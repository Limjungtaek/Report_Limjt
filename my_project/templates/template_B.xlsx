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보고서" sheetId="1" state="visible" r:id="rId3"/>
    <sheet name="가맹점정보" sheetId="2" state="visible" r:id="rId4"/>
    <sheet name="임대자산" sheetId="3" state="visible" r:id="rId5"/>
    <sheet name="폐업정보" sheetId="4" state="visible" r:id="rId6"/>
  </sheets>
  <definedNames>
    <definedName function="false" hidden="true" localSheetId="2" name="_xlnm._FilterDatabase" vbProcedure="false">임대자산!$A$4:$T$4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E5" authorId="0">
      <text>
        <r>
          <rPr>
            <sz val="10"/>
            <rFont val="Noto Sans CJK SC"/>
            <family val="2"/>
          </rPr>
          <t xml:space="preserve">임정택</t>
        </r>
        <r>
          <rPr>
            <sz val="10"/>
            <rFont val="Arial"/>
            <family val="2"/>
          </rPr>
          <t xml:space="preserve">:
</t>
        </r>
        <r>
          <rPr>
            <sz val="10"/>
            <rFont val="Noto Sans CJK SC"/>
            <family val="2"/>
          </rPr>
          <t xml:space="preserve">담당시작</t>
        </r>
      </text>
    </comment>
  </commentList>
</comments>
</file>

<file path=xl/sharedStrings.xml><?xml version="1.0" encoding="utf-8"?>
<sst xmlns="http://schemas.openxmlformats.org/spreadsheetml/2006/main" count="34356" uniqueCount="4392">
  <si>
    <t xml:space="preserve">키오스크 관리비 납부 및 임대 현황 요약보고서</t>
  </si>
  <si>
    <r>
      <rPr>
        <sz val="9"/>
        <color rgb="FF666666"/>
        <rFont val="Noto Sans CJK SC"/>
        <family val="2"/>
      </rPr>
      <t xml:space="preserve">기준일</t>
    </r>
    <r>
      <rPr>
        <sz val="9"/>
        <color rgb="FF666666"/>
        <rFont val="맑은 고딕"/>
        <family val="0"/>
        <charset val="1"/>
      </rPr>
      <t xml:space="preserve">:</t>
    </r>
  </si>
  <si>
    <t xml:space="preserve">▎ 전체 현황 요약</t>
  </si>
  <si>
    <t xml:space="preserve">전체 가맹점</t>
  </si>
  <si>
    <t xml:space="preserve">정상 운영</t>
  </si>
  <si>
    <t xml:space="preserve">폐업</t>
  </si>
  <si>
    <r>
      <rPr>
        <sz val="9"/>
        <color rgb="FF666666"/>
        <rFont val="Noto Sans CJK SC"/>
        <family val="2"/>
      </rPr>
      <t xml:space="preserve">납부 대상
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Noto Sans CJK SC"/>
        <family val="2"/>
      </rPr>
      <t xml:space="preserve">정상계약</t>
    </r>
    <r>
      <rPr>
        <sz val="9"/>
        <color rgb="FF666666"/>
        <rFont val="맑은 고딕"/>
        <family val="0"/>
        <charset val="1"/>
      </rPr>
      <t xml:space="preserve">)</t>
    </r>
  </si>
  <si>
    <t xml:space="preserve">면제</t>
  </si>
  <si>
    <t xml:space="preserve">키오스크
총 대수</t>
  </si>
  <si>
    <t xml:space="preserve">▎ 지역별 가맹점 현황</t>
  </si>
  <si>
    <t xml:space="preserve">▎ 임대자산 현황</t>
  </si>
  <si>
    <t xml:space="preserve">지역</t>
  </si>
  <si>
    <t xml:space="preserve">정상</t>
  </si>
  <si>
    <t xml:space="preserve">납부대상</t>
  </si>
  <si>
    <r>
      <rPr>
        <b val="true"/>
        <sz val="10"/>
        <color rgb="FFFFFFFF"/>
        <rFont val="Noto Sans CJK SC"/>
        <family val="2"/>
      </rPr>
      <t xml:space="preserve">미납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직전월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</si>
  <si>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납부율</t>
  </si>
  <si>
    <t xml:space="preserve">구분</t>
  </si>
  <si>
    <t xml:space="preserve">수량</t>
  </si>
  <si>
    <t xml:space="preserve">출고</t>
  </si>
  <si>
    <t xml:space="preserve">보유</t>
  </si>
  <si>
    <r>
      <rPr>
        <b val="true"/>
        <sz val="10"/>
        <color rgb="FFFFFFFF"/>
        <rFont val="Noto Sans CJK SC"/>
        <family val="2"/>
      </rPr>
      <t xml:space="preserve">자산가치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</si>
  <si>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비율</t>
  </si>
  <si>
    <t xml:space="preserve">서울</t>
  </si>
  <si>
    <r>
      <rPr>
        <sz val="10"/>
        <rFont val="Noto Sans CJK SC"/>
        <family val="2"/>
      </rPr>
      <t xml:space="preserve">무상임대</t>
    </r>
    <r>
      <rPr>
        <sz val="10"/>
        <rFont val="맑은 고딕"/>
        <family val="0"/>
        <charset val="1"/>
      </rPr>
      <t xml:space="preserve">(A-1)</t>
    </r>
  </si>
  <si>
    <t xml:space="preserve">경기</t>
  </si>
  <si>
    <r>
      <rPr>
        <sz val="10"/>
        <rFont val="Noto Sans CJK SC"/>
        <family val="2"/>
      </rPr>
      <t xml:space="preserve">무상임대</t>
    </r>
    <r>
      <rPr>
        <sz val="10"/>
        <rFont val="맑은 고딕"/>
        <family val="0"/>
        <charset val="1"/>
      </rPr>
      <t xml:space="preserve">(A-2)</t>
    </r>
  </si>
  <si>
    <t xml:space="preserve">경상</t>
  </si>
  <si>
    <r>
      <rPr>
        <sz val="10"/>
        <rFont val="Noto Sans CJK SC"/>
        <family val="2"/>
      </rPr>
      <t xml:space="preserve">유상임대</t>
    </r>
    <r>
      <rPr>
        <sz val="10"/>
        <rFont val="맑은 고딕"/>
        <family val="0"/>
        <charset val="1"/>
      </rPr>
      <t xml:space="preserve">(A-2)</t>
    </r>
  </si>
  <si>
    <t xml:space="preserve">강원</t>
  </si>
  <si>
    <r>
      <rPr>
        <sz val="10"/>
        <rFont val="Noto Sans CJK SC"/>
        <family val="2"/>
      </rPr>
      <t xml:space="preserve">무상임대</t>
    </r>
    <r>
      <rPr>
        <sz val="10"/>
        <rFont val="맑은 고딕"/>
        <family val="0"/>
        <charset val="1"/>
      </rPr>
      <t xml:space="preserve">(A-3)</t>
    </r>
  </si>
  <si>
    <t xml:space="preserve">전라</t>
  </si>
  <si>
    <r>
      <rPr>
        <sz val="10"/>
        <rFont val="Noto Sans CJK SC"/>
        <family val="2"/>
      </rPr>
      <t xml:space="preserve">유상임대</t>
    </r>
    <r>
      <rPr>
        <sz val="10"/>
        <rFont val="맑은 고딕"/>
        <family val="0"/>
        <charset val="1"/>
      </rPr>
      <t xml:space="preserve">(A-3)</t>
    </r>
  </si>
  <si>
    <t xml:space="preserve">합계</t>
  </si>
  <si>
    <r>
      <rPr>
        <sz val="10"/>
        <rFont val="Noto Sans CJK SC"/>
        <family val="2"/>
      </rPr>
      <t xml:space="preserve">중고출고</t>
    </r>
    <r>
      <rPr>
        <sz val="10"/>
        <rFont val="맑은 고딕"/>
        <family val="0"/>
        <charset val="1"/>
      </rPr>
      <t xml:space="preserve">(A-3)</t>
    </r>
  </si>
  <si>
    <t xml:space="preserve">▎ 월별 관리비 납부 추이</t>
  </si>
  <si>
    <t xml:space="preserve">'25.01</t>
  </si>
  <si>
    <t xml:space="preserve">'25.02</t>
  </si>
  <si>
    <t xml:space="preserve">'25.03</t>
  </si>
  <si>
    <t xml:space="preserve">'25.04</t>
  </si>
  <si>
    <t xml:space="preserve">'25.05</t>
  </si>
  <si>
    <t xml:space="preserve">'25.06</t>
  </si>
  <si>
    <t xml:space="preserve">'25.07</t>
  </si>
  <si>
    <t xml:space="preserve">'25.08</t>
  </si>
  <si>
    <t xml:space="preserve">'25.09</t>
  </si>
  <si>
    <t xml:space="preserve">'25.10</t>
  </si>
  <si>
    <t xml:space="preserve">'25.11</t>
  </si>
  <si>
    <t xml:space="preserve">'25.12</t>
  </si>
  <si>
    <t xml:space="preserve">'26.01</t>
  </si>
  <si>
    <t xml:space="preserve">'26.02</t>
  </si>
  <si>
    <t xml:space="preserve">납부액</t>
  </si>
  <si>
    <t xml:space="preserve">전월대비</t>
  </si>
  <si>
    <t xml:space="preserve">-</t>
  </si>
  <si>
    <t xml:space="preserve">▎ 직전월 납부상태 분석</t>
  </si>
  <si>
    <t xml:space="preserve">▎ 폐업 자산 보관 현황</t>
  </si>
  <si>
    <t xml:space="preserve">납부상태</t>
  </si>
  <si>
    <t xml:space="preserve">매장수</t>
  </si>
  <si>
    <t xml:space="preserve">비고</t>
  </si>
  <si>
    <t xml:space="preserve">보관위치</t>
  </si>
  <si>
    <t xml:space="preserve">정상 납부</t>
  </si>
  <si>
    <t xml:space="preserve">본사보관</t>
  </si>
  <si>
    <t xml:space="preserve">계약상 면제 대상</t>
  </si>
  <si>
    <t xml:space="preserve">지사보관</t>
  </si>
  <si>
    <t xml:space="preserve">미납</t>
  </si>
  <si>
    <t xml:space="preserve">독촉 및 관리 필요</t>
  </si>
  <si>
    <t xml:space="preserve">폐업 처리 완료</t>
  </si>
  <si>
    <t xml:space="preserve">확인요청</t>
  </si>
  <si>
    <t xml:space="preserve">납부여부 확인 중</t>
  </si>
  <si>
    <t xml:space="preserve">▎ 키오스크 제품별 현황</t>
  </si>
  <si>
    <t xml:space="preserve">제품</t>
  </si>
  <si>
    <t xml:space="preserve">운영 대수</t>
  </si>
  <si>
    <t xml:space="preserve">폐업 보관</t>
  </si>
  <si>
    <t xml:space="preserve">A-1</t>
  </si>
  <si>
    <t xml:space="preserve">A-2</t>
  </si>
  <si>
    <t xml:space="preserve">A-3</t>
  </si>
  <si>
    <t xml:space="preserve">순번</t>
  </si>
  <si>
    <t xml:space="preserve">상태</t>
  </si>
  <si>
    <t xml:space="preserve">위치</t>
  </si>
  <si>
    <t xml:space="preserve">매장정보</t>
  </si>
  <si>
    <r>
      <rPr>
        <b val="true"/>
        <sz val="10"/>
        <color theme="0"/>
        <rFont val="Noto Sans CJK SC"/>
        <family val="2"/>
      </rPr>
      <t xml:space="preserve">사용 </t>
    </r>
    <r>
      <rPr>
        <b val="true"/>
        <sz val="10"/>
        <color theme="0"/>
        <rFont val="맑은 고딕"/>
        <family val="2"/>
        <charset val="129"/>
      </rPr>
      <t xml:space="preserve">KIOSK </t>
    </r>
    <r>
      <rPr>
        <b val="true"/>
        <sz val="10"/>
        <color theme="0"/>
        <rFont val="Noto Sans CJK SC"/>
        <family val="2"/>
      </rPr>
      <t xml:space="preserve">수량</t>
    </r>
  </si>
  <si>
    <t xml:space="preserve">임관리비 기본 정보</t>
  </si>
  <si>
    <t xml:space="preserve">임관리비 납부내역</t>
  </si>
  <si>
    <r>
      <rPr>
        <b val="true"/>
        <sz val="10"/>
        <rFont val="Noto Sans CJK SC"/>
        <family val="2"/>
      </rPr>
      <t xml:space="preserve">이용</t>
    </r>
    <r>
      <rPr>
        <b val="true"/>
        <sz val="10"/>
        <rFont val="맑은 고딕"/>
        <family val="3"/>
        <charset val="129"/>
      </rPr>
      <t xml:space="preserve">ID</t>
    </r>
  </si>
  <si>
    <r>
      <rPr>
        <b val="true"/>
        <sz val="10"/>
        <rFont val="Noto Sans CJK SC"/>
        <family val="2"/>
      </rPr>
      <t xml:space="preserve">결제</t>
    </r>
    <r>
      <rPr>
        <b val="true"/>
        <sz val="10"/>
        <rFont val="맑은 고딕"/>
        <family val="3"/>
        <charset val="129"/>
      </rPr>
      <t xml:space="preserve">ID</t>
    </r>
  </si>
  <si>
    <t xml:space="preserve">설치일</t>
  </si>
  <si>
    <t xml:space="preserve">상호</t>
  </si>
  <si>
    <t xml:space="preserve">사업자등록번호</t>
  </si>
  <si>
    <t xml:space="preserve">대표자</t>
  </si>
  <si>
    <t xml:space="preserve">주소</t>
  </si>
  <si>
    <t xml:space="preserve">연락처</t>
  </si>
  <si>
    <t xml:space="preserve">담당자</t>
  </si>
  <si>
    <t xml:space="preserve">납부 대상 금액</t>
  </si>
  <si>
    <t xml:space="preserve">계약상태</t>
  </si>
  <si>
    <r>
      <rPr>
        <b val="true"/>
        <sz val="10"/>
        <color theme="0"/>
        <rFont val="Noto Sans CJK SC"/>
        <family val="2"/>
      </rPr>
      <t xml:space="preserve">직전 </t>
    </r>
    <r>
      <rPr>
        <b val="true"/>
        <sz val="10"/>
        <color theme="0"/>
        <rFont val="맑은 고딕"/>
        <family val="3"/>
        <charset val="129"/>
      </rPr>
      <t xml:space="preserve">3</t>
    </r>
    <r>
      <rPr>
        <b val="true"/>
        <sz val="10"/>
        <color theme="0"/>
        <rFont val="Noto Sans CJK SC"/>
        <family val="2"/>
      </rPr>
      <t xml:space="preserve">개월 
납부상태</t>
    </r>
  </si>
  <si>
    <t xml:space="preserve">직전
납부 상태</t>
  </si>
  <si>
    <t xml:space="preserve">관리비</t>
  </si>
  <si>
    <t xml:space="preserve">임대료</t>
  </si>
  <si>
    <t xml:space="preserve">010-1234-5678</t>
  </si>
  <si>
    <t xml:space="preserve">임정택</t>
  </si>
  <si>
    <r>
      <rPr>
        <sz val="10"/>
        <color theme="1"/>
        <rFont val="맑은 고딕"/>
        <family val="3"/>
        <charset val="129"/>
      </rPr>
      <t xml:space="preserve">25.11</t>
    </r>
    <r>
      <rPr>
        <sz val="10"/>
        <color theme="1"/>
        <rFont val="Noto Sans CJK SC"/>
        <family val="2"/>
      </rPr>
      <t xml:space="preserve">납부</t>
    </r>
  </si>
  <si>
    <r>
      <rPr>
        <sz val="10"/>
        <color theme="1"/>
        <rFont val="맑은 고딕"/>
        <family val="3"/>
        <charset val="129"/>
      </rPr>
      <t xml:space="preserve">25.02</t>
    </r>
    <r>
      <rPr>
        <sz val="10"/>
        <color theme="1"/>
        <rFont val="Noto Sans CJK SC"/>
        <family val="2"/>
      </rPr>
      <t xml:space="preserve">납부</t>
    </r>
  </si>
  <si>
    <r>
      <rPr>
        <sz val="10"/>
        <color theme="1"/>
        <rFont val="맑은 고딕"/>
        <family val="3"/>
        <charset val="129"/>
      </rPr>
      <t xml:space="preserve">25.10</t>
    </r>
    <r>
      <rPr>
        <sz val="10"/>
        <color theme="1"/>
        <rFont val="Noto Sans CJK SC"/>
        <family val="2"/>
      </rPr>
      <t xml:space="preserve">납부</t>
    </r>
  </si>
  <si>
    <r>
      <rPr>
        <sz val="10"/>
        <color theme="1"/>
        <rFont val="맑은 고딕"/>
        <family val="3"/>
        <charset val="129"/>
      </rPr>
      <t xml:space="preserve">26.01</t>
    </r>
    <r>
      <rPr>
        <sz val="10"/>
        <color theme="1"/>
        <rFont val="Noto Sans CJK SC"/>
        <family val="2"/>
      </rPr>
      <t xml:space="preserve">납부</t>
    </r>
  </si>
  <si>
    <r>
      <rPr>
        <sz val="10"/>
        <color theme="1"/>
        <rFont val="맑은 고딕"/>
        <family val="3"/>
        <charset val="129"/>
      </rPr>
      <t xml:space="preserve">25.08</t>
    </r>
    <r>
      <rPr>
        <sz val="10"/>
        <color theme="1"/>
        <rFont val="Noto Sans CJK SC"/>
        <family val="2"/>
      </rPr>
      <t xml:space="preserve">납부</t>
    </r>
  </si>
  <si>
    <r>
      <rPr>
        <sz val="10"/>
        <color theme="1"/>
        <rFont val="맑은 고딕"/>
        <family val="3"/>
        <charset val="129"/>
      </rPr>
      <t xml:space="preserve">25.07</t>
    </r>
    <r>
      <rPr>
        <sz val="10"/>
        <color theme="1"/>
        <rFont val="Noto Sans CJK SC"/>
        <family val="2"/>
      </rPr>
      <t xml:space="preserve">납부</t>
    </r>
  </si>
  <si>
    <t xml:space="preserve">휴업</t>
  </si>
  <si>
    <r>
      <rPr>
        <sz val="10"/>
        <color theme="1"/>
        <rFont val="맑은 고딕"/>
        <family val="3"/>
        <charset val="129"/>
      </rPr>
      <t xml:space="preserve">25.09</t>
    </r>
    <r>
      <rPr>
        <sz val="10"/>
        <color theme="1"/>
        <rFont val="Noto Sans CJK SC"/>
        <family val="2"/>
      </rPr>
      <t xml:space="preserve">납부</t>
    </r>
  </si>
  <si>
    <r>
      <rPr>
        <sz val="10"/>
        <color theme="1"/>
        <rFont val="맑은 고딕"/>
        <family val="3"/>
        <charset val="129"/>
      </rPr>
      <t xml:space="preserve">25.03</t>
    </r>
    <r>
      <rPr>
        <sz val="10"/>
        <color theme="1"/>
        <rFont val="Noto Sans CJK SC"/>
        <family val="2"/>
      </rPr>
      <t xml:space="preserve">납부</t>
    </r>
  </si>
  <si>
    <r>
      <rPr>
        <sz val="10"/>
        <color theme="1"/>
        <rFont val="맑은 고딕"/>
        <family val="3"/>
        <charset val="129"/>
      </rPr>
      <t xml:space="preserve">25.12</t>
    </r>
    <r>
      <rPr>
        <sz val="10"/>
        <color theme="1"/>
        <rFont val="Noto Sans CJK SC"/>
        <family val="2"/>
      </rPr>
      <t xml:space="preserve">납부</t>
    </r>
  </si>
  <si>
    <r>
      <rPr>
        <sz val="10"/>
        <color theme="1"/>
        <rFont val="맑은 고딕"/>
        <family val="3"/>
        <charset val="129"/>
      </rPr>
      <t xml:space="preserve">25.06</t>
    </r>
    <r>
      <rPr>
        <sz val="10"/>
        <color theme="1"/>
        <rFont val="Noto Sans CJK SC"/>
        <family val="2"/>
      </rPr>
      <t xml:space="preserve">납부</t>
    </r>
  </si>
  <si>
    <r>
      <rPr>
        <sz val="10"/>
        <color theme="1"/>
        <rFont val="맑은 고딕"/>
        <family val="3"/>
        <charset val="129"/>
      </rPr>
      <t xml:space="preserve">25.05</t>
    </r>
    <r>
      <rPr>
        <sz val="10"/>
        <color theme="1"/>
        <rFont val="Noto Sans CJK SC"/>
        <family val="2"/>
      </rPr>
      <t xml:space="preserve">납부</t>
    </r>
  </si>
  <si>
    <r>
      <rPr>
        <sz val="10"/>
        <color theme="1"/>
        <rFont val="맑은 고딕"/>
        <family val="3"/>
        <charset val="129"/>
      </rPr>
      <t xml:space="preserve">25..08</t>
    </r>
    <r>
      <rPr>
        <sz val="10"/>
        <color theme="1"/>
        <rFont val="Noto Sans CJK SC"/>
        <family val="2"/>
      </rPr>
      <t xml:space="preserve">납부</t>
    </r>
  </si>
  <si>
    <r>
      <rPr>
        <sz val="10"/>
        <color theme="1"/>
        <rFont val="맑은 고딕"/>
        <family val="3"/>
        <charset val="129"/>
      </rPr>
      <t xml:space="preserve">25.04</t>
    </r>
    <r>
      <rPr>
        <sz val="10"/>
        <color theme="1"/>
        <rFont val="Noto Sans CJK SC"/>
        <family val="2"/>
      </rPr>
      <t xml:space="preserve">납부</t>
    </r>
  </si>
  <si>
    <t xml:space="preserve">번호</t>
  </si>
  <si>
    <t xml:space="preserve">종류</t>
  </si>
  <si>
    <t xml:space="preserve">자산코드</t>
  </si>
  <si>
    <t xml:space="preserve">아이디</t>
  </si>
  <si>
    <r>
      <rPr>
        <b val="true"/>
        <sz val="10"/>
        <color theme="0"/>
        <rFont val="Noto Sans CJK SC"/>
        <family val="2"/>
      </rPr>
      <t xml:space="preserve">단말기</t>
    </r>
    <r>
      <rPr>
        <b val="true"/>
        <sz val="10"/>
        <color theme="0"/>
        <rFont val="맑은 고딕"/>
        <family val="3"/>
        <charset val="129"/>
      </rPr>
      <t xml:space="preserve">CODE</t>
    </r>
  </si>
  <si>
    <t xml:space="preserve">단가</t>
  </si>
  <si>
    <t xml:space="preserve">계약서</t>
  </si>
  <si>
    <t xml:space="preserve">전체</t>
  </si>
  <si>
    <t xml:space="preserve">종류별</t>
  </si>
  <si>
    <r>
      <rPr>
        <sz val="10"/>
        <color theme="1"/>
        <rFont val="Noto Sans CJK SC"/>
        <family val="2"/>
      </rPr>
      <t xml:space="preserve">무상임대</t>
    </r>
    <r>
      <rPr>
        <sz val="10"/>
        <color theme="1"/>
        <rFont val="맑은 고딕"/>
        <family val="3"/>
        <charset val="129"/>
      </rPr>
      <t xml:space="preserve">(A-1)</t>
    </r>
  </si>
  <si>
    <t xml:space="preserve">C_E0001</t>
  </si>
  <si>
    <t xml:space="preserve">1865400000</t>
  </si>
  <si>
    <t xml:space="preserve">완료</t>
  </si>
  <si>
    <t xml:space="preserve">C_E0002</t>
  </si>
  <si>
    <t xml:space="preserve">7912500000</t>
  </si>
  <si>
    <t xml:space="preserve">C_E0003</t>
  </si>
  <si>
    <t xml:space="preserve">8740400000</t>
  </si>
  <si>
    <t xml:space="preserve">C_E0004</t>
  </si>
  <si>
    <t xml:space="preserve">5617900000</t>
  </si>
  <si>
    <t xml:space="preserve">C_E0005</t>
  </si>
  <si>
    <t xml:space="preserve">3402900000</t>
  </si>
  <si>
    <t xml:space="preserve">C_E0006</t>
  </si>
  <si>
    <t xml:space="preserve">7398300000</t>
  </si>
  <si>
    <t xml:space="preserve">C_E0007</t>
  </si>
  <si>
    <t xml:space="preserve">2835300000</t>
  </si>
  <si>
    <t xml:space="preserve">C_E0008</t>
  </si>
  <si>
    <t xml:space="preserve">6732100000</t>
  </si>
  <si>
    <t xml:space="preserve">C_E0009</t>
  </si>
  <si>
    <t xml:space="preserve">9240700000</t>
  </si>
  <si>
    <t xml:space="preserve">C_E0010</t>
  </si>
  <si>
    <t xml:space="preserve">4449100000</t>
  </si>
  <si>
    <t xml:space="preserve">C_E0011</t>
  </si>
  <si>
    <t xml:space="preserve">6714700000</t>
  </si>
  <si>
    <t xml:space="preserve">C_E0012</t>
  </si>
  <si>
    <t xml:space="preserve">9729200000</t>
  </si>
  <si>
    <t xml:space="preserve">C_E0013</t>
  </si>
  <si>
    <t xml:space="preserve">4395700000</t>
  </si>
  <si>
    <t xml:space="preserve">C_E0014</t>
  </si>
  <si>
    <t xml:space="preserve">C_E0015</t>
  </si>
  <si>
    <t xml:space="preserve">1784000000</t>
  </si>
  <si>
    <t xml:space="preserve">C_E0016</t>
  </si>
  <si>
    <t xml:space="preserve">3420100000</t>
  </si>
  <si>
    <t xml:space="preserve">C_E0017</t>
  </si>
  <si>
    <t xml:space="preserve">2897600000</t>
  </si>
  <si>
    <t xml:space="preserve">C_E0018</t>
  </si>
  <si>
    <t xml:space="preserve">3880100000</t>
  </si>
  <si>
    <t xml:space="preserve">C_E0019</t>
  </si>
  <si>
    <t xml:space="preserve">2969000000</t>
  </si>
  <si>
    <t xml:space="preserve">C_E0020</t>
  </si>
  <si>
    <t xml:space="preserve">7816400000</t>
  </si>
  <si>
    <t xml:space="preserve">C_E0021</t>
  </si>
  <si>
    <t xml:space="preserve">2448400000</t>
  </si>
  <si>
    <t xml:space="preserve">C_E0022</t>
  </si>
  <si>
    <t xml:space="preserve">4777100000</t>
  </si>
  <si>
    <t xml:space="preserve">C_E0023</t>
  </si>
  <si>
    <t xml:space="preserve">9200600000</t>
  </si>
  <si>
    <t xml:space="preserve">C_E0024</t>
  </si>
  <si>
    <t xml:space="preserve">8307500000</t>
  </si>
  <si>
    <t xml:space="preserve">C_E0025</t>
  </si>
  <si>
    <t xml:space="preserve">5236200000</t>
  </si>
  <si>
    <t xml:space="preserve">C_E0026</t>
  </si>
  <si>
    <t xml:space="preserve">8874600000</t>
  </si>
  <si>
    <t xml:space="preserve">C_E0027</t>
  </si>
  <si>
    <t xml:space="preserve">1972500000</t>
  </si>
  <si>
    <t xml:space="preserve">C_E0028</t>
  </si>
  <si>
    <t xml:space="preserve">6387500000</t>
  </si>
  <si>
    <t xml:space="preserve">C_E0029</t>
  </si>
  <si>
    <t xml:space="preserve">8523900000</t>
  </si>
  <si>
    <t xml:space="preserve">C_E0030</t>
  </si>
  <si>
    <t xml:space="preserve">2057900000</t>
  </si>
  <si>
    <t xml:space="preserve">C_E0031</t>
  </si>
  <si>
    <t xml:space="preserve">6425700000</t>
  </si>
  <si>
    <t xml:space="preserve">C_E0032</t>
  </si>
  <si>
    <t xml:space="preserve">3659400000</t>
  </si>
  <si>
    <t xml:space="preserve">C_E0033</t>
  </si>
  <si>
    <t xml:space="preserve">6325600000</t>
  </si>
  <si>
    <t xml:space="preserve">C_E0034</t>
  </si>
  <si>
    <t xml:space="preserve">1766900000</t>
  </si>
  <si>
    <t xml:space="preserve">C_E0035</t>
  </si>
  <si>
    <t xml:space="preserve">8110300000</t>
  </si>
  <si>
    <t xml:space="preserve">C_E0036</t>
  </si>
  <si>
    <t xml:space="preserve">2493900000</t>
  </si>
  <si>
    <t xml:space="preserve">C_E0037</t>
  </si>
  <si>
    <t xml:space="preserve">7944100000</t>
  </si>
  <si>
    <t xml:space="preserve">C_E0038</t>
  </si>
  <si>
    <t xml:space="preserve">2860500000</t>
  </si>
  <si>
    <t xml:space="preserve">C_E0039</t>
  </si>
  <si>
    <t xml:space="preserve">8210400000</t>
  </si>
  <si>
    <t xml:space="preserve">C_E0040</t>
  </si>
  <si>
    <t xml:space="preserve">5593000000</t>
  </si>
  <si>
    <t xml:space="preserve">C_E0041</t>
  </si>
  <si>
    <t xml:space="preserve">5269400000</t>
  </si>
  <si>
    <t xml:space="preserve">C_E0042</t>
  </si>
  <si>
    <t xml:space="preserve">C_E0043</t>
  </si>
  <si>
    <t xml:space="preserve">4375200000</t>
  </si>
  <si>
    <t xml:space="preserve">C_E0044</t>
  </si>
  <si>
    <t xml:space="preserve">7570400000</t>
  </si>
  <si>
    <t xml:space="preserve">C_E0045</t>
  </si>
  <si>
    <t xml:space="preserve">본사</t>
  </si>
  <si>
    <t xml:space="preserve">C_E0046</t>
  </si>
  <si>
    <t xml:space="preserve">6205000000</t>
  </si>
  <si>
    <t xml:space="preserve">C_E0047</t>
  </si>
  <si>
    <t xml:space="preserve">3934600000</t>
  </si>
  <si>
    <t xml:space="preserve">C_E0048</t>
  </si>
  <si>
    <t xml:space="preserve">1040300000</t>
  </si>
  <si>
    <t xml:space="preserve">C_E0049</t>
  </si>
  <si>
    <t xml:space="preserve">5089900000</t>
  </si>
  <si>
    <t xml:space="preserve">C_E0050</t>
  </si>
  <si>
    <t xml:space="preserve">8879800000</t>
  </si>
  <si>
    <t xml:space="preserve">C_E0051</t>
  </si>
  <si>
    <t xml:space="preserve">2029700000</t>
  </si>
  <si>
    <t xml:space="preserve">C_E0052</t>
  </si>
  <si>
    <t xml:space="preserve">2254600000</t>
  </si>
  <si>
    <t xml:space="preserve">C_E0053</t>
  </si>
  <si>
    <t xml:space="preserve">3906800000</t>
  </si>
  <si>
    <t xml:space="preserve">C_E0054</t>
  </si>
  <si>
    <t xml:space="preserve">4990500000</t>
  </si>
  <si>
    <t xml:space="preserve">C_E0055</t>
  </si>
  <si>
    <t xml:space="preserve">8537000000</t>
  </si>
  <si>
    <t xml:space="preserve">C_E0056</t>
  </si>
  <si>
    <t xml:space="preserve">4822700000</t>
  </si>
  <si>
    <t xml:space="preserve">C_E0057</t>
  </si>
  <si>
    <t xml:space="preserve">2146100000</t>
  </si>
  <si>
    <t xml:space="preserve">C_E0058</t>
  </si>
  <si>
    <t xml:space="preserve">2624900000</t>
  </si>
  <si>
    <t xml:space="preserve">C_E0059</t>
  </si>
  <si>
    <t xml:space="preserve">8902700000</t>
  </si>
  <si>
    <t xml:space="preserve">C_E0060</t>
  </si>
  <si>
    <t xml:space="preserve">6968400000</t>
  </si>
  <si>
    <t xml:space="preserve">C_E0061</t>
  </si>
  <si>
    <t xml:space="preserve">7985200000</t>
  </si>
  <si>
    <t xml:space="preserve">C_E0062</t>
  </si>
  <si>
    <t xml:space="preserve">3241200000</t>
  </si>
  <si>
    <t xml:space="preserve">C_E0063</t>
  </si>
  <si>
    <t xml:space="preserve">2999300000</t>
  </si>
  <si>
    <t xml:space="preserve">C_E0064</t>
  </si>
  <si>
    <t xml:space="preserve">5317400000</t>
  </si>
  <si>
    <t xml:space="preserve">C_E0065</t>
  </si>
  <si>
    <t xml:space="preserve">2993100000</t>
  </si>
  <si>
    <t xml:space="preserve">C_E0066</t>
  </si>
  <si>
    <t xml:space="preserve">5170900000</t>
  </si>
  <si>
    <t xml:space="preserve">C_E0067</t>
  </si>
  <si>
    <t xml:space="preserve">5212300000</t>
  </si>
  <si>
    <t xml:space="preserve">C_E0068</t>
  </si>
  <si>
    <t xml:space="preserve">1415700000</t>
  </si>
  <si>
    <t xml:space="preserve">C_E0069</t>
  </si>
  <si>
    <t xml:space="preserve">3320100000</t>
  </si>
  <si>
    <t xml:space="preserve">C_E0070</t>
  </si>
  <si>
    <t xml:space="preserve">8930500000</t>
  </si>
  <si>
    <t xml:space="preserve">C_E0071</t>
  </si>
  <si>
    <t xml:space="preserve">9748300000</t>
  </si>
  <si>
    <t xml:space="preserve">C_E0072</t>
  </si>
  <si>
    <t xml:space="preserve">8091000000</t>
  </si>
  <si>
    <t xml:space="preserve">C_E0073</t>
  </si>
  <si>
    <t xml:space="preserve">C_E0074</t>
  </si>
  <si>
    <t xml:space="preserve">9240900000</t>
  </si>
  <si>
    <t xml:space="preserve">C_E0075</t>
  </si>
  <si>
    <t xml:space="preserve">3013900000</t>
  </si>
  <si>
    <t xml:space="preserve">C_E0076</t>
  </si>
  <si>
    <t xml:space="preserve">5708100000</t>
  </si>
  <si>
    <t xml:space="preserve">C_E0077</t>
  </si>
  <si>
    <t xml:space="preserve">3849600000</t>
  </si>
  <si>
    <t xml:space="preserve">C_E0078</t>
  </si>
  <si>
    <t xml:space="preserve">9034500000</t>
  </si>
  <si>
    <t xml:space="preserve">C_E0079</t>
  </si>
  <si>
    <t xml:space="preserve">3909100000</t>
  </si>
  <si>
    <t xml:space="preserve">C_E0080</t>
  </si>
  <si>
    <t xml:space="preserve">8646700000</t>
  </si>
  <si>
    <t xml:space="preserve">C_E0081</t>
  </si>
  <si>
    <t xml:space="preserve">8002000000</t>
  </si>
  <si>
    <t xml:space="preserve">C_E0082</t>
  </si>
  <si>
    <t xml:space="preserve">2328200000</t>
  </si>
  <si>
    <t xml:space="preserve">C_E0083</t>
  </si>
  <si>
    <t xml:space="preserve">2648800000</t>
  </si>
  <si>
    <t xml:space="preserve">C_E0084</t>
  </si>
  <si>
    <t xml:space="preserve">9540200000</t>
  </si>
  <si>
    <t xml:space="preserve">C_E0085</t>
  </si>
  <si>
    <t xml:space="preserve">1231800000</t>
  </si>
  <si>
    <t xml:space="preserve">C_E0086</t>
  </si>
  <si>
    <t xml:space="preserve">3408700000</t>
  </si>
  <si>
    <t xml:space="preserve">C_E0087</t>
  </si>
  <si>
    <t xml:space="preserve">6228400000</t>
  </si>
  <si>
    <t xml:space="preserve">C_E0088</t>
  </si>
  <si>
    <t xml:space="preserve">8745600000</t>
  </si>
  <si>
    <t xml:space="preserve">C_E0089</t>
  </si>
  <si>
    <t xml:space="preserve">2305600000</t>
  </si>
  <si>
    <t xml:space="preserve">C_E0090</t>
  </si>
  <si>
    <t xml:space="preserve">1040500000</t>
  </si>
  <si>
    <t xml:space="preserve">C_E0091</t>
  </si>
  <si>
    <t xml:space="preserve">6359100000</t>
  </si>
  <si>
    <t xml:space="preserve">C_E0092</t>
  </si>
  <si>
    <t xml:space="preserve">3411600000</t>
  </si>
  <si>
    <t xml:space="preserve">C_E0093</t>
  </si>
  <si>
    <t xml:space="preserve">3200700000</t>
  </si>
  <si>
    <t xml:space="preserve">C_E0094</t>
  </si>
  <si>
    <t xml:space="preserve">6014700000</t>
  </si>
  <si>
    <t xml:space="preserve">C_E0095</t>
  </si>
  <si>
    <t xml:space="preserve">6914500000</t>
  </si>
  <si>
    <t xml:space="preserve">C_E0096</t>
  </si>
  <si>
    <t xml:space="preserve">3082700000</t>
  </si>
  <si>
    <t xml:space="preserve">C_E0097</t>
  </si>
  <si>
    <t xml:space="preserve">9754500000</t>
  </si>
  <si>
    <t xml:space="preserve">C_E0098</t>
  </si>
  <si>
    <t xml:space="preserve">1777400000</t>
  </si>
  <si>
    <t xml:space="preserve">C_E0099</t>
  </si>
  <si>
    <t xml:space="preserve">5464500000</t>
  </si>
  <si>
    <t xml:space="preserve">C_E0100</t>
  </si>
  <si>
    <t xml:space="preserve">4310200000</t>
  </si>
  <si>
    <t xml:space="preserve">C_E0101</t>
  </si>
  <si>
    <t xml:space="preserve">2476700000</t>
  </si>
  <si>
    <t xml:space="preserve">C_E0102</t>
  </si>
  <si>
    <t xml:space="preserve">4538300000</t>
  </si>
  <si>
    <t xml:space="preserve">C_E0103</t>
  </si>
  <si>
    <t xml:space="preserve">9434200000</t>
  </si>
  <si>
    <t xml:space="preserve">C_E0104</t>
  </si>
  <si>
    <t xml:space="preserve">9753000000</t>
  </si>
  <si>
    <t xml:space="preserve">C_E0105</t>
  </si>
  <si>
    <t xml:space="preserve">C_E0106</t>
  </si>
  <si>
    <t xml:space="preserve">9887000000</t>
  </si>
  <si>
    <t xml:space="preserve">C_E0107</t>
  </si>
  <si>
    <t xml:space="preserve">8200900000</t>
  </si>
  <si>
    <t xml:space="preserve">C_E0108</t>
  </si>
  <si>
    <t xml:space="preserve">3818100000</t>
  </si>
  <si>
    <t xml:space="preserve">C_E0109</t>
  </si>
  <si>
    <t xml:space="preserve">3610300000</t>
  </si>
  <si>
    <t xml:space="preserve">C_E0110</t>
  </si>
  <si>
    <t xml:space="preserve">C_E0111</t>
  </si>
  <si>
    <t xml:space="preserve">5079700000</t>
  </si>
  <si>
    <t xml:space="preserve">C_E0112</t>
  </si>
  <si>
    <t xml:space="preserve">1070600000</t>
  </si>
  <si>
    <t xml:space="preserve">C_E0113</t>
  </si>
  <si>
    <t xml:space="preserve">1040600000</t>
  </si>
  <si>
    <t xml:space="preserve">C_E0114</t>
  </si>
  <si>
    <t xml:space="preserve">9229000000</t>
  </si>
  <si>
    <t xml:space="preserve">C_E0115</t>
  </si>
  <si>
    <t xml:space="preserve">5934500000</t>
  </si>
  <si>
    <t xml:space="preserve">C_E0116</t>
  </si>
  <si>
    <t xml:space="preserve">3410800000</t>
  </si>
  <si>
    <t xml:space="preserve">C_E0117</t>
  </si>
  <si>
    <t xml:space="preserve">7956900000</t>
  </si>
  <si>
    <t xml:space="preserve">C_E0118</t>
  </si>
  <si>
    <t xml:space="preserve">2891800000</t>
  </si>
  <si>
    <t xml:space="preserve">C_E0119</t>
  </si>
  <si>
    <t xml:space="preserve">5456500000</t>
  </si>
  <si>
    <t xml:space="preserve">C_E0120</t>
  </si>
  <si>
    <t xml:space="preserve">7842000000</t>
  </si>
  <si>
    <t xml:space="preserve">C_E0121</t>
  </si>
  <si>
    <t xml:space="preserve">6498200000</t>
  </si>
  <si>
    <t xml:space="preserve">C_E0122</t>
  </si>
  <si>
    <t xml:space="preserve">9816400000</t>
  </si>
  <si>
    <t xml:space="preserve">C_E0123</t>
  </si>
  <si>
    <t xml:space="preserve">9722200000</t>
  </si>
  <si>
    <t xml:space="preserve">C_E0124</t>
  </si>
  <si>
    <t xml:space="preserve">5314000000</t>
  </si>
  <si>
    <t xml:space="preserve">C_E0125</t>
  </si>
  <si>
    <t xml:space="preserve">2934900000</t>
  </si>
  <si>
    <t xml:space="preserve">C_E0126</t>
  </si>
  <si>
    <t xml:space="preserve">5739800000</t>
  </si>
  <si>
    <t xml:space="preserve">C_E0127</t>
  </si>
  <si>
    <t xml:space="preserve">9246900000</t>
  </si>
  <si>
    <t xml:space="preserve">C_E0128</t>
  </si>
  <si>
    <t xml:space="preserve">3722100000</t>
  </si>
  <si>
    <t xml:space="preserve">C_E0129</t>
  </si>
  <si>
    <t xml:space="preserve">9368000000</t>
  </si>
  <si>
    <t xml:space="preserve">C_E0130</t>
  </si>
  <si>
    <t xml:space="preserve">3112400000</t>
  </si>
  <si>
    <t xml:space="preserve">C_E0131</t>
  </si>
  <si>
    <t xml:space="preserve">4178200000</t>
  </si>
  <si>
    <t xml:space="preserve">C_E0132</t>
  </si>
  <si>
    <t xml:space="preserve">C_E0133</t>
  </si>
  <si>
    <t xml:space="preserve">8954400000</t>
  </si>
  <si>
    <t xml:space="preserve">C_E0134</t>
  </si>
  <si>
    <t xml:space="preserve">1122900000</t>
  </si>
  <si>
    <t xml:space="preserve">C_E0135</t>
  </si>
  <si>
    <t xml:space="preserve">4589300000</t>
  </si>
  <si>
    <t xml:space="preserve">C_E0136</t>
  </si>
  <si>
    <t xml:space="preserve">6222500000</t>
  </si>
  <si>
    <t xml:space="preserve">C_E0137</t>
  </si>
  <si>
    <t xml:space="preserve">1257500000</t>
  </si>
  <si>
    <r>
      <rPr>
        <sz val="10"/>
        <color theme="1"/>
        <rFont val="Noto Sans CJK SC"/>
        <family val="2"/>
      </rPr>
      <t xml:space="preserve">무상임대</t>
    </r>
    <r>
      <rPr>
        <sz val="10"/>
        <color theme="1"/>
        <rFont val="맑은 고딕"/>
        <family val="3"/>
        <charset val="129"/>
      </rPr>
      <t xml:space="preserve">(A-3)</t>
    </r>
  </si>
  <si>
    <t xml:space="preserve">C1_E0138</t>
  </si>
  <si>
    <t xml:space="preserve">1327100000</t>
  </si>
  <si>
    <t xml:space="preserve">C1_E0139</t>
  </si>
  <si>
    <t xml:space="preserve">C1_E0140</t>
  </si>
  <si>
    <t xml:space="preserve">5741400000</t>
  </si>
  <si>
    <t xml:space="preserve">C1_E0141</t>
  </si>
  <si>
    <t xml:space="preserve">8056500000</t>
  </si>
  <si>
    <t xml:space="preserve">C1_E0142</t>
  </si>
  <si>
    <t xml:space="preserve">2886900000</t>
  </si>
  <si>
    <t xml:space="preserve">C1_E0143</t>
  </si>
  <si>
    <t xml:space="preserve">5587900000</t>
  </si>
  <si>
    <t xml:space="preserve">C1_E0144</t>
  </si>
  <si>
    <t xml:space="preserve">8761200000</t>
  </si>
  <si>
    <t xml:space="preserve">C1_E0145</t>
  </si>
  <si>
    <t xml:space="preserve">5342000000</t>
  </si>
  <si>
    <t xml:space="preserve">C1_E0146</t>
  </si>
  <si>
    <t xml:space="preserve">6893200000</t>
  </si>
  <si>
    <t xml:space="preserve">C1_E0147</t>
  </si>
  <si>
    <t xml:space="preserve">7977300000</t>
  </si>
  <si>
    <t xml:space="preserve">C1_E0148</t>
  </si>
  <si>
    <t xml:space="preserve">8660400000</t>
  </si>
  <si>
    <t xml:space="preserve">C1_E0149</t>
  </si>
  <si>
    <t xml:space="preserve">C1_E0150</t>
  </si>
  <si>
    <t xml:space="preserve">6661800000</t>
  </si>
  <si>
    <t xml:space="preserve">C1_E0151</t>
  </si>
  <si>
    <t xml:space="preserve">4230800000</t>
  </si>
  <si>
    <t xml:space="preserve">C1_E0152</t>
  </si>
  <si>
    <t xml:space="preserve">3817000000</t>
  </si>
  <si>
    <t xml:space="preserve">C1_E0153</t>
  </si>
  <si>
    <t xml:space="preserve">9236200000</t>
  </si>
  <si>
    <t xml:space="preserve">C1_E0154</t>
  </si>
  <si>
    <t xml:space="preserve">7701300000</t>
  </si>
  <si>
    <t xml:space="preserve">C1_E0155</t>
  </si>
  <si>
    <t xml:space="preserve">5643100000</t>
  </si>
  <si>
    <t xml:space="preserve">C1_E0156</t>
  </si>
  <si>
    <t xml:space="preserve">6221200000</t>
  </si>
  <si>
    <t xml:space="preserve">C1_E0157</t>
  </si>
  <si>
    <t xml:space="preserve">3173100000</t>
  </si>
  <si>
    <t xml:space="preserve">C1_E0158</t>
  </si>
  <si>
    <t xml:space="preserve">7438400000</t>
  </si>
  <si>
    <t xml:space="preserve">C1_E0159</t>
  </si>
  <si>
    <t xml:space="preserve">2143400000</t>
  </si>
  <si>
    <t xml:space="preserve">C1_E0160</t>
  </si>
  <si>
    <t xml:space="preserve">1331900000</t>
  </si>
  <si>
    <t xml:space="preserve">C1_E0161</t>
  </si>
  <si>
    <t xml:space="preserve">5259100000</t>
  </si>
  <si>
    <t xml:space="preserve">C1_E0162</t>
  </si>
  <si>
    <t xml:space="preserve">1270400000</t>
  </si>
  <si>
    <t xml:space="preserve">C1_E0163</t>
  </si>
  <si>
    <t xml:space="preserve">9790400000</t>
  </si>
  <si>
    <t xml:space="preserve">C1_E0164</t>
  </si>
  <si>
    <t xml:space="preserve">4147300000</t>
  </si>
  <si>
    <t xml:space="preserve">C1_E0165</t>
  </si>
  <si>
    <t xml:space="preserve">5832600000</t>
  </si>
  <si>
    <t xml:space="preserve">C1_E0166</t>
  </si>
  <si>
    <t xml:space="preserve">8752300000</t>
  </si>
  <si>
    <t xml:space="preserve">C1_E0167</t>
  </si>
  <si>
    <t xml:space="preserve">6970800000</t>
  </si>
  <si>
    <t xml:space="preserve">C1_E0168</t>
  </si>
  <si>
    <t xml:space="preserve">8482600000</t>
  </si>
  <si>
    <t xml:space="preserve">C1_E0169</t>
  </si>
  <si>
    <t xml:space="preserve">7328600000</t>
  </si>
  <si>
    <t xml:space="preserve">C1_E0170</t>
  </si>
  <si>
    <t xml:space="preserve">4366300000</t>
  </si>
  <si>
    <t xml:space="preserve">C1_E0171</t>
  </si>
  <si>
    <t xml:space="preserve">7380000000</t>
  </si>
  <si>
    <t xml:space="preserve">C1_E0172</t>
  </si>
  <si>
    <t xml:space="preserve">9540100000</t>
  </si>
  <si>
    <t xml:space="preserve">C1_E0173</t>
  </si>
  <si>
    <t xml:space="preserve">9035700000</t>
  </si>
  <si>
    <t xml:space="preserve">C1_E0174</t>
  </si>
  <si>
    <t xml:space="preserve">6389500000</t>
  </si>
  <si>
    <t xml:space="preserve">C1_E0175</t>
  </si>
  <si>
    <t xml:space="preserve">7334900000</t>
  </si>
  <si>
    <t xml:space="preserve">C1_E0176</t>
  </si>
  <si>
    <t xml:space="preserve">9428900000</t>
  </si>
  <si>
    <t xml:space="preserve">C1_E0177</t>
  </si>
  <si>
    <t xml:space="preserve">2246600000</t>
  </si>
  <si>
    <t xml:space="preserve">C1_E0178</t>
  </si>
  <si>
    <t xml:space="preserve">5447900000</t>
  </si>
  <si>
    <t xml:space="preserve">C1_E0179</t>
  </si>
  <si>
    <t xml:space="preserve">C1_E0180</t>
  </si>
  <si>
    <t xml:space="preserve">2096700000</t>
  </si>
  <si>
    <t xml:space="preserve">C1_E0181</t>
  </si>
  <si>
    <t xml:space="preserve">7995700000</t>
  </si>
  <si>
    <t xml:space="preserve">C1_E0182</t>
  </si>
  <si>
    <t xml:space="preserve">1401800000</t>
  </si>
  <si>
    <t xml:space="preserve">C1_E0183</t>
  </si>
  <si>
    <t xml:space="preserve">2599000000</t>
  </si>
  <si>
    <t xml:space="preserve">C1_E0184</t>
  </si>
  <si>
    <t xml:space="preserve">6044700000</t>
  </si>
  <si>
    <t xml:space="preserve">C1_E0185</t>
  </si>
  <si>
    <t xml:space="preserve">8912000000</t>
  </si>
  <si>
    <t xml:space="preserve">C1_E0186</t>
  </si>
  <si>
    <t xml:space="preserve">9651200000</t>
  </si>
  <si>
    <t xml:space="preserve">C1_E0187</t>
  </si>
  <si>
    <t xml:space="preserve">8208700000</t>
  </si>
  <si>
    <t xml:space="preserve">C1_E0188</t>
  </si>
  <si>
    <t xml:space="preserve">7016500000</t>
  </si>
  <si>
    <t xml:space="preserve">C1_E0189</t>
  </si>
  <si>
    <t xml:space="preserve">2247000000</t>
  </si>
  <si>
    <t xml:space="preserve">C1_E0190</t>
  </si>
  <si>
    <t xml:space="preserve">4750000000</t>
  </si>
  <si>
    <t xml:space="preserve">C1_E0191</t>
  </si>
  <si>
    <t xml:space="preserve">8737400000</t>
  </si>
  <si>
    <t xml:space="preserve">C1_E0192</t>
  </si>
  <si>
    <t xml:space="preserve">C1_E0193</t>
  </si>
  <si>
    <t xml:space="preserve">5074200000</t>
  </si>
  <si>
    <t xml:space="preserve">C1_E0194</t>
  </si>
  <si>
    <t xml:space="preserve">3677300000</t>
  </si>
  <si>
    <t xml:space="preserve">C1_E0195</t>
  </si>
  <si>
    <t xml:space="preserve">2649900000</t>
  </si>
  <si>
    <t xml:space="preserve">C1_E0196</t>
  </si>
  <si>
    <t xml:space="preserve">7051500000</t>
  </si>
  <si>
    <t xml:space="preserve">C1_E0197</t>
  </si>
  <si>
    <t xml:space="preserve">1289800000</t>
  </si>
  <si>
    <t xml:space="preserve">C1_E0198</t>
  </si>
  <si>
    <t xml:space="preserve">4270600000</t>
  </si>
  <si>
    <t xml:space="preserve">C1_E0199</t>
  </si>
  <si>
    <t xml:space="preserve">5614100000</t>
  </si>
  <si>
    <t xml:space="preserve">C1_E0200</t>
  </si>
  <si>
    <t xml:space="preserve">3802200000</t>
  </si>
  <si>
    <t xml:space="preserve">C1_E0201</t>
  </si>
  <si>
    <t xml:space="preserve">2213500000</t>
  </si>
  <si>
    <t xml:space="preserve">C1_E0202</t>
  </si>
  <si>
    <t xml:space="preserve">1174600000</t>
  </si>
  <si>
    <t xml:space="preserve">C1_E0203</t>
  </si>
  <si>
    <t xml:space="preserve">6967100000</t>
  </si>
  <si>
    <t xml:space="preserve">C1_E0204</t>
  </si>
  <si>
    <t xml:space="preserve">4528500000</t>
  </si>
  <si>
    <t xml:space="preserve">C1_E0205</t>
  </si>
  <si>
    <t xml:space="preserve">6143900000</t>
  </si>
  <si>
    <t xml:space="preserve">C1_E0206</t>
  </si>
  <si>
    <t xml:space="preserve">1950500000</t>
  </si>
  <si>
    <t xml:space="preserve">C1_E0207</t>
  </si>
  <si>
    <t xml:space="preserve">5770800000</t>
  </si>
  <si>
    <t xml:space="preserve">C1_E0208</t>
  </si>
  <si>
    <t xml:space="preserve">8007200000</t>
  </si>
  <si>
    <t xml:space="preserve">C1_E0209</t>
  </si>
  <si>
    <t xml:space="preserve">4865100000</t>
  </si>
  <si>
    <t xml:space="preserve">C1_E0210</t>
  </si>
  <si>
    <t xml:space="preserve">2482100000</t>
  </si>
  <si>
    <t xml:space="preserve">C1_E0211</t>
  </si>
  <si>
    <t xml:space="preserve">4536800000</t>
  </si>
  <si>
    <t xml:space="preserve">C1_E0212</t>
  </si>
  <si>
    <t xml:space="preserve">5746600000</t>
  </si>
  <si>
    <t xml:space="preserve">C1_E0213</t>
  </si>
  <si>
    <t xml:space="preserve">3813500000</t>
  </si>
  <si>
    <t xml:space="preserve">C1_E0214</t>
  </si>
  <si>
    <t xml:space="preserve">2186200000</t>
  </si>
  <si>
    <t xml:space="preserve">C1_E0215</t>
  </si>
  <si>
    <t xml:space="preserve">8165700000</t>
  </si>
  <si>
    <t xml:space="preserve">C1_E0216</t>
  </si>
  <si>
    <t xml:space="preserve">4166100000</t>
  </si>
  <si>
    <t xml:space="preserve">C1_E0217</t>
  </si>
  <si>
    <t xml:space="preserve">3836300000</t>
  </si>
  <si>
    <t xml:space="preserve">C1_E0218</t>
  </si>
  <si>
    <t xml:space="preserve">4705700000</t>
  </si>
  <si>
    <t xml:space="preserve">C1_E0219</t>
  </si>
  <si>
    <t xml:space="preserve">9528000000</t>
  </si>
  <si>
    <t xml:space="preserve">C1_E0220</t>
  </si>
  <si>
    <t xml:space="preserve">1146600000</t>
  </si>
  <si>
    <t xml:space="preserve">C1_E0221</t>
  </si>
  <si>
    <t xml:space="preserve">7966800000</t>
  </si>
  <si>
    <t xml:space="preserve">C1_E0222</t>
  </si>
  <si>
    <t xml:space="preserve">2455100000</t>
  </si>
  <si>
    <t xml:space="preserve">C1_E0223</t>
  </si>
  <si>
    <t xml:space="preserve">2783700000</t>
  </si>
  <si>
    <t xml:space="preserve">C1_E0224</t>
  </si>
  <si>
    <t xml:space="preserve">6891100000</t>
  </si>
  <si>
    <t xml:space="preserve">C1_E0225</t>
  </si>
  <si>
    <t xml:space="preserve">3052000000</t>
  </si>
  <si>
    <t xml:space="preserve">C1_E0226</t>
  </si>
  <si>
    <t xml:space="preserve">2603500000</t>
  </si>
  <si>
    <t xml:space="preserve">C1_E0227</t>
  </si>
  <si>
    <t xml:space="preserve">8439200000</t>
  </si>
  <si>
    <t xml:space="preserve">C1_E0228</t>
  </si>
  <si>
    <t xml:space="preserve">3399200000</t>
  </si>
  <si>
    <t xml:space="preserve">C1_E0229</t>
  </si>
  <si>
    <t xml:space="preserve">6787200000</t>
  </si>
  <si>
    <t xml:space="preserve">C1_E0230</t>
  </si>
  <si>
    <t xml:space="preserve">3028400000</t>
  </si>
  <si>
    <t xml:space="preserve">C1_E0231</t>
  </si>
  <si>
    <t xml:space="preserve">7453300000</t>
  </si>
  <si>
    <t xml:space="preserve">C1_E0232</t>
  </si>
  <si>
    <t xml:space="preserve">7867500000</t>
  </si>
  <si>
    <t xml:space="preserve">C1_E0233</t>
  </si>
  <si>
    <t xml:space="preserve">C1_E0234</t>
  </si>
  <si>
    <t xml:space="preserve">4730800000</t>
  </si>
  <si>
    <t xml:space="preserve">C1_E0235</t>
  </si>
  <si>
    <t xml:space="preserve">8402800000</t>
  </si>
  <si>
    <t xml:space="preserve">C1_E0236</t>
  </si>
  <si>
    <t xml:space="preserve">7583700000</t>
  </si>
  <si>
    <t xml:space="preserve">C1_E0237</t>
  </si>
  <si>
    <t xml:space="preserve">C1_E0238</t>
  </si>
  <si>
    <t xml:space="preserve">9136700000</t>
  </si>
  <si>
    <t xml:space="preserve">C1_E0239</t>
  </si>
  <si>
    <t xml:space="preserve">3357100000</t>
  </si>
  <si>
    <t xml:space="preserve">C1_E0240</t>
  </si>
  <si>
    <t xml:space="preserve">8788900000</t>
  </si>
  <si>
    <t xml:space="preserve">C1_E0241</t>
  </si>
  <si>
    <t xml:space="preserve">7024400000</t>
  </si>
  <si>
    <t xml:space="preserve">C1_E0242</t>
  </si>
  <si>
    <t xml:space="preserve">6361900000</t>
  </si>
  <si>
    <t xml:space="preserve">C1_E0243</t>
  </si>
  <si>
    <t xml:space="preserve">1022000000</t>
  </si>
  <si>
    <t xml:space="preserve">C1_E0244</t>
  </si>
  <si>
    <t xml:space="preserve">6443900000</t>
  </si>
  <si>
    <t xml:space="preserve">C1_E0245</t>
  </si>
  <si>
    <t xml:space="preserve">6031800000</t>
  </si>
  <si>
    <t xml:space="preserve">C1_E0246</t>
  </si>
  <si>
    <t xml:space="preserve">7891000000</t>
  </si>
  <si>
    <t xml:space="preserve">C1_E0247</t>
  </si>
  <si>
    <t xml:space="preserve">1162900000</t>
  </si>
  <si>
    <t xml:space="preserve">C1_E0248</t>
  </si>
  <si>
    <t xml:space="preserve">3536300000</t>
  </si>
  <si>
    <t xml:space="preserve">C1_E0249</t>
  </si>
  <si>
    <t xml:space="preserve">4863200000</t>
  </si>
  <si>
    <t xml:space="preserve">C1_E0250</t>
  </si>
  <si>
    <t xml:space="preserve">9557700000</t>
  </si>
  <si>
    <t xml:space="preserve">C1_E0251</t>
  </si>
  <si>
    <t xml:space="preserve">1668000000</t>
  </si>
  <si>
    <t xml:space="preserve">C1_E0252</t>
  </si>
  <si>
    <t xml:space="preserve">8706700000</t>
  </si>
  <si>
    <t xml:space="preserve">C1_E0253</t>
  </si>
  <si>
    <t xml:space="preserve">4394100000</t>
  </si>
  <si>
    <t xml:space="preserve">C1_E0254</t>
  </si>
  <si>
    <t xml:space="preserve">9829300000</t>
  </si>
  <si>
    <t xml:space="preserve">C1_E0255</t>
  </si>
  <si>
    <t xml:space="preserve">4072000000</t>
  </si>
  <si>
    <t xml:space="preserve">C1_E0256</t>
  </si>
  <si>
    <t xml:space="preserve">9919600000</t>
  </si>
  <si>
    <t xml:space="preserve">C1_E0257</t>
  </si>
  <si>
    <t xml:space="preserve">6159800000</t>
  </si>
  <si>
    <t xml:space="preserve">C1_E0258</t>
  </si>
  <si>
    <t xml:space="preserve">1968100000</t>
  </si>
  <si>
    <t xml:space="preserve">C1_E0259</t>
  </si>
  <si>
    <t xml:space="preserve">3297800000</t>
  </si>
  <si>
    <t xml:space="preserve">C1_E0260</t>
  </si>
  <si>
    <t xml:space="preserve">3316200000</t>
  </si>
  <si>
    <t xml:space="preserve">C1_E0261</t>
  </si>
  <si>
    <t xml:space="preserve">2898100000</t>
  </si>
  <si>
    <t xml:space="preserve">C1_E0262</t>
  </si>
  <si>
    <t xml:space="preserve">1906200000</t>
  </si>
  <si>
    <t xml:space="preserve">C1_E0263</t>
  </si>
  <si>
    <t xml:space="preserve">4503900000</t>
  </si>
  <si>
    <t xml:space="preserve">C1_E0264</t>
  </si>
  <si>
    <t xml:space="preserve">9190600000</t>
  </si>
  <si>
    <t xml:space="preserve">C1_E0265</t>
  </si>
  <si>
    <t xml:space="preserve">2211100000</t>
  </si>
  <si>
    <t xml:space="preserve">C1_E0266</t>
  </si>
  <si>
    <t xml:space="preserve">8592900000</t>
  </si>
  <si>
    <t xml:space="preserve">C1_E0267</t>
  </si>
  <si>
    <t xml:space="preserve">2484000000</t>
  </si>
  <si>
    <t xml:space="preserve">C1_E0268</t>
  </si>
  <si>
    <t xml:space="preserve">8728500000</t>
  </si>
  <si>
    <t xml:space="preserve">C1_E0269</t>
  </si>
  <si>
    <t xml:space="preserve">7538600000</t>
  </si>
  <si>
    <t xml:space="preserve">C1_E0270</t>
  </si>
  <si>
    <t xml:space="preserve">8300900000</t>
  </si>
  <si>
    <t xml:space="preserve">C1_E0271</t>
  </si>
  <si>
    <t xml:space="preserve">4103600000</t>
  </si>
  <si>
    <t xml:space="preserve">C1_E0272</t>
  </si>
  <si>
    <t xml:space="preserve">9910200000</t>
  </si>
  <si>
    <t xml:space="preserve">C1_E0273</t>
  </si>
  <si>
    <t xml:space="preserve">8420900000</t>
  </si>
  <si>
    <t xml:space="preserve">C1_E0274</t>
  </si>
  <si>
    <t xml:space="preserve">2781000000</t>
  </si>
  <si>
    <t xml:space="preserve">C1_E0275</t>
  </si>
  <si>
    <t xml:space="preserve">4507500000</t>
  </si>
  <si>
    <t xml:space="preserve">C1_E0276</t>
  </si>
  <si>
    <t xml:space="preserve">4391500000</t>
  </si>
  <si>
    <t xml:space="preserve">C1_E0277</t>
  </si>
  <si>
    <t xml:space="preserve">1206400000</t>
  </si>
  <si>
    <t xml:space="preserve">C1_E0278</t>
  </si>
  <si>
    <t xml:space="preserve">3040100000</t>
  </si>
  <si>
    <t xml:space="preserve">C1_E0279</t>
  </si>
  <si>
    <t xml:space="preserve">4324200000</t>
  </si>
  <si>
    <t xml:space="preserve">C1_E0280</t>
  </si>
  <si>
    <t xml:space="preserve">5047300000</t>
  </si>
  <si>
    <t xml:space="preserve">C1_E0281</t>
  </si>
  <si>
    <t xml:space="preserve">6413200000</t>
  </si>
  <si>
    <t xml:space="preserve">C1_E0282</t>
  </si>
  <si>
    <t xml:space="preserve">2553800000</t>
  </si>
  <si>
    <t xml:space="preserve">C1_E0283</t>
  </si>
  <si>
    <t xml:space="preserve">3185600000</t>
  </si>
  <si>
    <t xml:space="preserve">C1_E0284</t>
  </si>
  <si>
    <t xml:space="preserve">6347500000</t>
  </si>
  <si>
    <t xml:space="preserve">C1_E0285</t>
  </si>
  <si>
    <t xml:space="preserve">8593900000</t>
  </si>
  <si>
    <t xml:space="preserve">C1_E0286</t>
  </si>
  <si>
    <t xml:space="preserve">7805500000</t>
  </si>
  <si>
    <t xml:space="preserve">C1_E0287</t>
  </si>
  <si>
    <t xml:space="preserve">2497500000</t>
  </si>
  <si>
    <t xml:space="preserve">C1_E0288</t>
  </si>
  <si>
    <t xml:space="preserve">7932000000</t>
  </si>
  <si>
    <t xml:space="preserve">C1_E0289</t>
  </si>
  <si>
    <t xml:space="preserve">8093700000</t>
  </si>
  <si>
    <t xml:space="preserve">C1_E0290</t>
  </si>
  <si>
    <t xml:space="preserve">6359800000</t>
  </si>
  <si>
    <t xml:space="preserve">C1_E0291</t>
  </si>
  <si>
    <t xml:space="preserve">8063900000</t>
  </si>
  <si>
    <t xml:space="preserve">C1_E0292</t>
  </si>
  <si>
    <t xml:space="preserve">3582800000</t>
  </si>
  <si>
    <t xml:space="preserve">C1_E0293</t>
  </si>
  <si>
    <t xml:space="preserve">1656500000</t>
  </si>
  <si>
    <t xml:space="preserve">C1_E0294</t>
  </si>
  <si>
    <t xml:space="preserve">5977400000</t>
  </si>
  <si>
    <t xml:space="preserve">C1_E0295</t>
  </si>
  <si>
    <t xml:space="preserve">5232800000</t>
  </si>
  <si>
    <t xml:space="preserve">C1_E0296</t>
  </si>
  <si>
    <t xml:space="preserve">5841600000</t>
  </si>
  <si>
    <t xml:space="preserve">C1_E0297</t>
  </si>
  <si>
    <t xml:space="preserve">3646000000</t>
  </si>
  <si>
    <t xml:space="preserve">C1_E0298</t>
  </si>
  <si>
    <t xml:space="preserve">7756200000</t>
  </si>
  <si>
    <t xml:space="preserve">C1_E0299</t>
  </si>
  <si>
    <t xml:space="preserve">3810600000</t>
  </si>
  <si>
    <t xml:space="preserve">C1_E0300</t>
  </si>
  <si>
    <t xml:space="preserve">5095900000</t>
  </si>
  <si>
    <t xml:space="preserve">C1_E0301</t>
  </si>
  <si>
    <t xml:space="preserve">1102700000</t>
  </si>
  <si>
    <t xml:space="preserve">C1_E0302</t>
  </si>
  <si>
    <t xml:space="preserve">C1_E0303</t>
  </si>
  <si>
    <t xml:space="preserve">C1_E0304</t>
  </si>
  <si>
    <t xml:space="preserve">5390600000</t>
  </si>
  <si>
    <t xml:space="preserve">C1_E0305</t>
  </si>
  <si>
    <t xml:space="preserve">5265200000</t>
  </si>
  <si>
    <t xml:space="preserve">C1_E0306</t>
  </si>
  <si>
    <t xml:space="preserve">4293600000</t>
  </si>
  <si>
    <t xml:space="preserve">C1_E0307</t>
  </si>
  <si>
    <t xml:space="preserve">7665200000</t>
  </si>
  <si>
    <t xml:space="preserve">C1_E0308</t>
  </si>
  <si>
    <t xml:space="preserve">3070200000</t>
  </si>
  <si>
    <t xml:space="preserve">C1_E0309</t>
  </si>
  <si>
    <t xml:space="preserve">3062500000</t>
  </si>
  <si>
    <t xml:space="preserve">C1_E0310</t>
  </si>
  <si>
    <t xml:space="preserve">2286800000</t>
  </si>
  <si>
    <t xml:space="preserve">C1_E0311</t>
  </si>
  <si>
    <t xml:space="preserve">7704200000</t>
  </si>
  <si>
    <t xml:space="preserve">C1_E0312</t>
  </si>
  <si>
    <t xml:space="preserve">7143100000</t>
  </si>
  <si>
    <t xml:space="preserve">C1_E0313</t>
  </si>
  <si>
    <t xml:space="preserve">C1_E0314</t>
  </si>
  <si>
    <t xml:space="preserve">3641000000</t>
  </si>
  <si>
    <t xml:space="preserve">C1_E0315</t>
  </si>
  <si>
    <t xml:space="preserve">4971600000</t>
  </si>
  <si>
    <t xml:space="preserve">C1_E0316</t>
  </si>
  <si>
    <t xml:space="preserve">1173400000</t>
  </si>
  <si>
    <t xml:space="preserve">C1_E0317</t>
  </si>
  <si>
    <t xml:space="preserve">C1_E0318</t>
  </si>
  <si>
    <t xml:space="preserve">5236500000</t>
  </si>
  <si>
    <t xml:space="preserve">C1_E0319</t>
  </si>
  <si>
    <t xml:space="preserve">8113000000</t>
  </si>
  <si>
    <t xml:space="preserve">C1_E0320</t>
  </si>
  <si>
    <t xml:space="preserve">7655300000</t>
  </si>
  <si>
    <t xml:space="preserve">C1_E0321</t>
  </si>
  <si>
    <t xml:space="preserve">6045900000</t>
  </si>
  <si>
    <t xml:space="preserve">C1_E0322</t>
  </si>
  <si>
    <t xml:space="preserve">4608500000</t>
  </si>
  <si>
    <t xml:space="preserve">C1_E0323</t>
  </si>
  <si>
    <t xml:space="preserve">7572400000</t>
  </si>
  <si>
    <t xml:space="preserve">C1_E0324</t>
  </si>
  <si>
    <t xml:space="preserve">3220700000</t>
  </si>
  <si>
    <t xml:space="preserve">C1_E0325</t>
  </si>
  <si>
    <t xml:space="preserve">9196700000</t>
  </si>
  <si>
    <t xml:space="preserve">C1_E0326</t>
  </si>
  <si>
    <t xml:space="preserve">3370300000</t>
  </si>
  <si>
    <t xml:space="preserve">C1_E0327</t>
  </si>
  <si>
    <t xml:space="preserve">8461600000</t>
  </si>
  <si>
    <t xml:space="preserve">C1_E0328</t>
  </si>
  <si>
    <t xml:space="preserve">8670500000</t>
  </si>
  <si>
    <t xml:space="preserve">C1_E0329</t>
  </si>
  <si>
    <t xml:space="preserve">7116500000</t>
  </si>
  <si>
    <t xml:space="preserve">C1_E0330</t>
  </si>
  <si>
    <t xml:space="preserve">5187000000</t>
  </si>
  <si>
    <t xml:space="preserve">C1_E0331</t>
  </si>
  <si>
    <t xml:space="preserve">1341400000</t>
  </si>
  <si>
    <t xml:space="preserve">C1_E0332</t>
  </si>
  <si>
    <t xml:space="preserve">4081900000</t>
  </si>
  <si>
    <t xml:space="preserve">C1_E0333</t>
  </si>
  <si>
    <t xml:space="preserve">2471300000</t>
  </si>
  <si>
    <t xml:space="preserve">C1_E0334</t>
  </si>
  <si>
    <t xml:space="preserve">9707600000</t>
  </si>
  <si>
    <t xml:space="preserve">C1_E0335</t>
  </si>
  <si>
    <t xml:space="preserve">4788000000</t>
  </si>
  <si>
    <t xml:space="preserve">C1_E0336</t>
  </si>
  <si>
    <t xml:space="preserve">9231800000</t>
  </si>
  <si>
    <t xml:space="preserve">C1_E0337</t>
  </si>
  <si>
    <t xml:space="preserve">6450000000</t>
  </si>
  <si>
    <t xml:space="preserve">C1_E0338</t>
  </si>
  <si>
    <t xml:space="preserve">5353300000</t>
  </si>
  <si>
    <t xml:space="preserve">C1_E0339</t>
  </si>
  <si>
    <t xml:space="preserve">9633700000</t>
  </si>
  <si>
    <t xml:space="preserve">C1_E0340</t>
  </si>
  <si>
    <t xml:space="preserve">8014900000</t>
  </si>
  <si>
    <t xml:space="preserve">C1_E0341</t>
  </si>
  <si>
    <t xml:space="preserve">7384600000</t>
  </si>
  <si>
    <t xml:space="preserve">C1_E0342</t>
  </si>
  <si>
    <t xml:space="preserve">4055800000</t>
  </si>
  <si>
    <t xml:space="preserve">C1_E0343</t>
  </si>
  <si>
    <t xml:space="preserve">5898200000</t>
  </si>
  <si>
    <t xml:space="preserve">C1_E0344</t>
  </si>
  <si>
    <t xml:space="preserve">C1_E0345</t>
  </si>
  <si>
    <t xml:space="preserve">2757700000</t>
  </si>
  <si>
    <t xml:space="preserve">C1_E0346</t>
  </si>
  <si>
    <t xml:space="preserve">8777300000</t>
  </si>
  <si>
    <t xml:space="preserve">C1_E0347</t>
  </si>
  <si>
    <t xml:space="preserve">8959700000</t>
  </si>
  <si>
    <t xml:space="preserve">C1_E0348</t>
  </si>
  <si>
    <t xml:space="preserve">9150500000</t>
  </si>
  <si>
    <t xml:space="preserve">C1_E0349</t>
  </si>
  <si>
    <t xml:space="preserve">C1_E0350</t>
  </si>
  <si>
    <t xml:space="preserve">7126400000</t>
  </si>
  <si>
    <t xml:space="preserve">C1_E0351</t>
  </si>
  <si>
    <t xml:space="preserve">4314000000</t>
  </si>
  <si>
    <t xml:space="preserve">C1_E0352</t>
  </si>
  <si>
    <t xml:space="preserve">C1_E0353</t>
  </si>
  <si>
    <t xml:space="preserve">C1_E0354</t>
  </si>
  <si>
    <t xml:space="preserve">9267400000</t>
  </si>
  <si>
    <t xml:space="preserve">C1_E0355</t>
  </si>
  <si>
    <t xml:space="preserve">8155000000</t>
  </si>
  <si>
    <t xml:space="preserve">C1_E0356</t>
  </si>
  <si>
    <t xml:space="preserve">9366900000</t>
  </si>
  <si>
    <t xml:space="preserve">C1_E0357</t>
  </si>
  <si>
    <t xml:space="preserve">3707100000</t>
  </si>
  <si>
    <t xml:space="preserve">C1_E0358</t>
  </si>
  <si>
    <t xml:space="preserve">5373500000</t>
  </si>
  <si>
    <t xml:space="preserve">C1_E0359</t>
  </si>
  <si>
    <t xml:space="preserve">9533500000</t>
  </si>
  <si>
    <t xml:space="preserve">C1_E0360</t>
  </si>
  <si>
    <t xml:space="preserve">1908900000</t>
  </si>
  <si>
    <t xml:space="preserve">C1_E0361</t>
  </si>
  <si>
    <t xml:space="preserve">5300900000</t>
  </si>
  <si>
    <t xml:space="preserve">C1_E0362</t>
  </si>
  <si>
    <t xml:space="preserve">C1_E0363</t>
  </si>
  <si>
    <t xml:space="preserve">C1_E0364</t>
  </si>
  <si>
    <t xml:space="preserve">4438600000</t>
  </si>
  <si>
    <t xml:space="preserve">C1_E0365</t>
  </si>
  <si>
    <t xml:space="preserve">2466400000</t>
  </si>
  <si>
    <t xml:space="preserve">C1_E0366</t>
  </si>
  <si>
    <t xml:space="preserve">9416200000</t>
  </si>
  <si>
    <t xml:space="preserve">C1_E0367</t>
  </si>
  <si>
    <t xml:space="preserve">5865200000</t>
  </si>
  <si>
    <t xml:space="preserve">C1_E0368</t>
  </si>
  <si>
    <t xml:space="preserve">8869100000</t>
  </si>
  <si>
    <t xml:space="preserve">C1_E0369</t>
  </si>
  <si>
    <t xml:space="preserve">7132300000</t>
  </si>
  <si>
    <t xml:space="preserve">C1_E0370</t>
  </si>
  <si>
    <t xml:space="preserve">6646400000</t>
  </si>
  <si>
    <t xml:space="preserve">C1_E0371</t>
  </si>
  <si>
    <t xml:space="preserve">7242800000</t>
  </si>
  <si>
    <t xml:space="preserve">C1_E0372</t>
  </si>
  <si>
    <t xml:space="preserve">9747900000</t>
  </si>
  <si>
    <t xml:space="preserve">C1_E0373</t>
  </si>
  <si>
    <t xml:space="preserve">7385500000</t>
  </si>
  <si>
    <t xml:space="preserve">C1_E0374</t>
  </si>
  <si>
    <t xml:space="preserve">2675400000</t>
  </si>
  <si>
    <t xml:space="preserve">C1_E0375</t>
  </si>
  <si>
    <t xml:space="preserve">3529800000</t>
  </si>
  <si>
    <t xml:space="preserve">C1_E0376</t>
  </si>
  <si>
    <t xml:space="preserve">6908200000</t>
  </si>
  <si>
    <t xml:space="preserve">C1_E0377</t>
  </si>
  <si>
    <t xml:space="preserve">7743800000</t>
  </si>
  <si>
    <t xml:space="preserve">C1_E0378</t>
  </si>
  <si>
    <t xml:space="preserve">1353600000</t>
  </si>
  <si>
    <t xml:space="preserve">C1_E0379</t>
  </si>
  <si>
    <t xml:space="preserve">5174400000</t>
  </si>
  <si>
    <t xml:space="preserve">C1_E0380</t>
  </si>
  <si>
    <t xml:space="preserve">7435200000</t>
  </si>
  <si>
    <t xml:space="preserve">C1_E0381</t>
  </si>
  <si>
    <t xml:space="preserve">6501700000</t>
  </si>
  <si>
    <t xml:space="preserve">C1_E0382</t>
  </si>
  <si>
    <t xml:space="preserve">2732100000</t>
  </si>
  <si>
    <t xml:space="preserve">C1_E0383</t>
  </si>
  <si>
    <t xml:space="preserve">2795700000</t>
  </si>
  <si>
    <t xml:space="preserve">C1_E0384</t>
  </si>
  <si>
    <t xml:space="preserve">9751000000</t>
  </si>
  <si>
    <t xml:space="preserve">C1_E0385</t>
  </si>
  <si>
    <t xml:space="preserve">5093500000</t>
  </si>
  <si>
    <t xml:space="preserve">C1_E0386</t>
  </si>
  <si>
    <t xml:space="preserve">8727800000</t>
  </si>
  <si>
    <t xml:space="preserve">C1_E0387</t>
  </si>
  <si>
    <t xml:space="preserve">2488000000</t>
  </si>
  <si>
    <t xml:space="preserve">C1_E0388</t>
  </si>
  <si>
    <t xml:space="preserve">8632300000</t>
  </si>
  <si>
    <t xml:space="preserve">C1_E0389</t>
  </si>
  <si>
    <t xml:space="preserve">8918400000</t>
  </si>
  <si>
    <t xml:space="preserve">C1_E0390</t>
  </si>
  <si>
    <t xml:space="preserve">9013600000</t>
  </si>
  <si>
    <t xml:space="preserve">C1_E0391</t>
  </si>
  <si>
    <t xml:space="preserve">C1_E0392</t>
  </si>
  <si>
    <t xml:space="preserve">7161600000</t>
  </si>
  <si>
    <t xml:space="preserve">C1_E0393</t>
  </si>
  <si>
    <t xml:space="preserve">3941100000</t>
  </si>
  <si>
    <t xml:space="preserve">C1_E0394</t>
  </si>
  <si>
    <t xml:space="preserve">6449700000</t>
  </si>
  <si>
    <t xml:space="preserve">C1_E0395</t>
  </si>
  <si>
    <t xml:space="preserve">3335500000</t>
  </si>
  <si>
    <t xml:space="preserve">C1_E0396</t>
  </si>
  <si>
    <t xml:space="preserve">4206600000</t>
  </si>
  <si>
    <t xml:space="preserve">C1_E0397</t>
  </si>
  <si>
    <t xml:space="preserve">9938900000</t>
  </si>
  <si>
    <t xml:space="preserve">C1_E0398</t>
  </si>
  <si>
    <t xml:space="preserve">8114600000</t>
  </si>
  <si>
    <t xml:space="preserve">C1_E0399</t>
  </si>
  <si>
    <t xml:space="preserve">5695500000</t>
  </si>
  <si>
    <t xml:space="preserve">C1_E0400</t>
  </si>
  <si>
    <t xml:space="preserve">6292900000</t>
  </si>
  <si>
    <t xml:space="preserve">C1_E0401</t>
  </si>
  <si>
    <t xml:space="preserve">8427300000</t>
  </si>
  <si>
    <t xml:space="preserve">C1_E0402</t>
  </si>
  <si>
    <t xml:space="preserve">7640200000</t>
  </si>
  <si>
    <t xml:space="preserve">C1_E0403</t>
  </si>
  <si>
    <t xml:space="preserve">5793700000</t>
  </si>
  <si>
    <r>
      <rPr>
        <sz val="10"/>
        <color theme="1"/>
        <rFont val="Noto Sans CJK SC"/>
        <family val="2"/>
      </rPr>
      <t xml:space="preserve">당월출고</t>
    </r>
    <r>
      <rPr>
        <sz val="10"/>
        <color theme="1"/>
        <rFont val="맑은 고딕"/>
        <family val="3"/>
        <charset val="129"/>
      </rPr>
      <t xml:space="preserve">(</t>
    </r>
    <r>
      <rPr>
        <sz val="10"/>
        <color theme="1"/>
        <rFont val="Noto Sans CJK SC"/>
        <family val="2"/>
      </rPr>
      <t xml:space="preserve">보유→출고</t>
    </r>
    <r>
      <rPr>
        <sz val="10"/>
        <color theme="1"/>
        <rFont val="맑은 고딕"/>
        <family val="3"/>
        <charset val="129"/>
      </rPr>
      <t xml:space="preserve">)</t>
    </r>
  </si>
  <si>
    <t xml:space="preserve">O</t>
  </si>
  <si>
    <t xml:space="preserve">C1_E0404</t>
  </si>
  <si>
    <t xml:space="preserve">1954500000</t>
  </si>
  <si>
    <t xml:space="preserve">C1_E0405</t>
  </si>
  <si>
    <t xml:space="preserve">9365200000</t>
  </si>
  <si>
    <t xml:space="preserve">C1_E0406</t>
  </si>
  <si>
    <t xml:space="preserve">9053100000</t>
  </si>
  <si>
    <t xml:space="preserve">C1_E0407</t>
  </si>
  <si>
    <t xml:space="preserve">2140100000</t>
  </si>
  <si>
    <t xml:space="preserve">C1_E0408</t>
  </si>
  <si>
    <t xml:space="preserve">5103000000</t>
  </si>
  <si>
    <t xml:space="preserve">C1_E0409</t>
  </si>
  <si>
    <t xml:space="preserve">7396000000</t>
  </si>
  <si>
    <t xml:space="preserve">C1_E0410</t>
  </si>
  <si>
    <t xml:space="preserve">C1_E0411</t>
  </si>
  <si>
    <t xml:space="preserve">6516800000</t>
  </si>
  <si>
    <t xml:space="preserve">C1_E0412</t>
  </si>
  <si>
    <t xml:space="preserve">8773100000</t>
  </si>
  <si>
    <t xml:space="preserve">C1_E0413</t>
  </si>
  <si>
    <t xml:space="preserve">1543700000</t>
  </si>
  <si>
    <t xml:space="preserve">C1_E0414</t>
  </si>
  <si>
    <t xml:space="preserve">C1_E0415</t>
  </si>
  <si>
    <t xml:space="preserve">4037000000</t>
  </si>
  <si>
    <t xml:space="preserve">C1_E0416</t>
  </si>
  <si>
    <t xml:space="preserve">5609000000</t>
  </si>
  <si>
    <t xml:space="preserve">C1_E0417</t>
  </si>
  <si>
    <t xml:space="preserve">7729100000</t>
  </si>
  <si>
    <t xml:space="preserve">C1_E0418</t>
  </si>
  <si>
    <t xml:space="preserve">1787900000</t>
  </si>
  <si>
    <t xml:space="preserve">C1_E0419</t>
  </si>
  <si>
    <t xml:space="preserve">1077700000</t>
  </si>
  <si>
    <t xml:space="preserve">C1_E0420</t>
  </si>
  <si>
    <t xml:space="preserve">8267000000</t>
  </si>
  <si>
    <t xml:space="preserve">C1_E0421</t>
  </si>
  <si>
    <t xml:space="preserve">4462300000</t>
  </si>
  <si>
    <t xml:space="preserve">C1_E0422</t>
  </si>
  <si>
    <t xml:space="preserve">C1_E0423</t>
  </si>
  <si>
    <t xml:space="preserve">C1_E0424</t>
  </si>
  <si>
    <t xml:space="preserve">C1_E0425</t>
  </si>
  <si>
    <t xml:space="preserve">8544100000</t>
  </si>
  <si>
    <t xml:space="preserve">C1_E0426</t>
  </si>
  <si>
    <t xml:space="preserve">6478100000</t>
  </si>
  <si>
    <t xml:space="preserve">C1_E0427</t>
  </si>
  <si>
    <t xml:space="preserve">3950300000</t>
  </si>
  <si>
    <t xml:space="preserve">C1_E0428</t>
  </si>
  <si>
    <t xml:space="preserve">5707600000</t>
  </si>
  <si>
    <t xml:space="preserve">C1_E0429</t>
  </si>
  <si>
    <t xml:space="preserve">7222900000</t>
  </si>
  <si>
    <t xml:space="preserve">C1_E0430</t>
  </si>
  <si>
    <t xml:space="preserve">6202900000</t>
  </si>
  <si>
    <t xml:space="preserve">C1_E0431</t>
  </si>
  <si>
    <t xml:space="preserve">3380100000</t>
  </si>
  <si>
    <t xml:space="preserve">C1_E0432</t>
  </si>
  <si>
    <t xml:space="preserve">5466500000</t>
  </si>
  <si>
    <t xml:space="preserve">C1_E0433</t>
  </si>
  <si>
    <t xml:space="preserve">5401500000</t>
  </si>
  <si>
    <t xml:space="preserve">C1_E0434</t>
  </si>
  <si>
    <t xml:space="preserve">9511900000</t>
  </si>
  <si>
    <t xml:space="preserve">C1_E0435</t>
  </si>
  <si>
    <t xml:space="preserve">7942200000</t>
  </si>
  <si>
    <t xml:space="preserve">C1_E0436</t>
  </si>
  <si>
    <t xml:space="preserve">5836900000</t>
  </si>
  <si>
    <t xml:space="preserve">C1_E0437</t>
  </si>
  <si>
    <t xml:space="preserve">7454000000</t>
  </si>
  <si>
    <t xml:space="preserve">C1_E0438</t>
  </si>
  <si>
    <t xml:space="preserve">4658700000</t>
  </si>
  <si>
    <t xml:space="preserve">C1_E0439</t>
  </si>
  <si>
    <t xml:space="preserve">8053100000</t>
  </si>
  <si>
    <t xml:space="preserve">C1_E0440</t>
  </si>
  <si>
    <t xml:space="preserve">1397000000</t>
  </si>
  <si>
    <t xml:space="preserve">C1_E0441</t>
  </si>
  <si>
    <t xml:space="preserve">6245200000</t>
  </si>
  <si>
    <t xml:space="preserve">C1_E0442</t>
  </si>
  <si>
    <t xml:space="preserve">6952100000</t>
  </si>
  <si>
    <t xml:space="preserve">C1_E0443</t>
  </si>
  <si>
    <t xml:space="preserve">8305900000</t>
  </si>
  <si>
    <t xml:space="preserve">C1_E0444</t>
  </si>
  <si>
    <t xml:space="preserve">6815300000</t>
  </si>
  <si>
    <t xml:space="preserve">C1_E0445</t>
  </si>
  <si>
    <t xml:space="preserve">2809100000</t>
  </si>
  <si>
    <t xml:space="preserve">C1_E0446</t>
  </si>
  <si>
    <t xml:space="preserve">5844200000</t>
  </si>
  <si>
    <t xml:space="preserve">C1_E0447</t>
  </si>
  <si>
    <t xml:space="preserve">8848800000</t>
  </si>
  <si>
    <t xml:space="preserve">C1_E0448</t>
  </si>
  <si>
    <t xml:space="preserve">2666900000</t>
  </si>
  <si>
    <t xml:space="preserve">C1_E0449</t>
  </si>
  <si>
    <t xml:space="preserve">9208400000</t>
  </si>
  <si>
    <t xml:space="preserve">C1_E0450</t>
  </si>
  <si>
    <t xml:space="preserve">8985600000</t>
  </si>
  <si>
    <t xml:space="preserve">C1_E0451</t>
  </si>
  <si>
    <t xml:space="preserve">8755200000</t>
  </si>
  <si>
    <t xml:space="preserve">C1_E0452</t>
  </si>
  <si>
    <t xml:space="preserve">7420900000</t>
  </si>
  <si>
    <t xml:space="preserve">C1_E0453</t>
  </si>
  <si>
    <t xml:space="preserve">7469600000</t>
  </si>
  <si>
    <t xml:space="preserve">C1_E0454</t>
  </si>
  <si>
    <t xml:space="preserve">7986300000</t>
  </si>
  <si>
    <t xml:space="preserve">C1_E0455</t>
  </si>
  <si>
    <t xml:space="preserve">3994600000</t>
  </si>
  <si>
    <t xml:space="preserve">C1_E0456</t>
  </si>
  <si>
    <t xml:space="preserve">6786500000</t>
  </si>
  <si>
    <t xml:space="preserve">C1_E0457</t>
  </si>
  <si>
    <t xml:space="preserve">3154300000</t>
  </si>
  <si>
    <t xml:space="preserve">C1_E0458</t>
  </si>
  <si>
    <t xml:space="preserve">6921100000</t>
  </si>
  <si>
    <t xml:space="preserve">C1_E0459</t>
  </si>
  <si>
    <t xml:space="preserve">1365900000</t>
  </si>
  <si>
    <t xml:space="preserve">C1_E0460</t>
  </si>
  <si>
    <t xml:space="preserve">2109500000</t>
  </si>
  <si>
    <t xml:space="preserve">C1_E0461</t>
  </si>
  <si>
    <t xml:space="preserve">4584700000</t>
  </si>
  <si>
    <t xml:space="preserve">C1_E0462</t>
  </si>
  <si>
    <t xml:space="preserve">4413800000</t>
  </si>
  <si>
    <t xml:space="preserve">C1_E0463</t>
  </si>
  <si>
    <t xml:space="preserve">2106500000</t>
  </si>
  <si>
    <t xml:space="preserve">C1_E0464</t>
  </si>
  <si>
    <t xml:space="preserve">6822800000</t>
  </si>
  <si>
    <t xml:space="preserve">C1_E0465</t>
  </si>
  <si>
    <t xml:space="preserve">3663200000</t>
  </si>
  <si>
    <t xml:space="preserve">C1_E0466</t>
  </si>
  <si>
    <t xml:space="preserve">3757500000</t>
  </si>
  <si>
    <t xml:space="preserve">C1_E0467</t>
  </si>
  <si>
    <t xml:space="preserve">1826200000</t>
  </si>
  <si>
    <t xml:space="preserve">C1_E0468</t>
  </si>
  <si>
    <t xml:space="preserve">8223700000</t>
  </si>
  <si>
    <t xml:space="preserve">C1_E0469</t>
  </si>
  <si>
    <t xml:space="preserve">6600700000</t>
  </si>
  <si>
    <t xml:space="preserve">C1_E0470</t>
  </si>
  <si>
    <t xml:space="preserve">2000500000</t>
  </si>
  <si>
    <t xml:space="preserve">C1_E0471</t>
  </si>
  <si>
    <t xml:space="preserve">4169100000</t>
  </si>
  <si>
    <t xml:space="preserve">C1_E0472</t>
  </si>
  <si>
    <t xml:space="preserve">2601300000</t>
  </si>
  <si>
    <t xml:space="preserve">C1_E0473</t>
  </si>
  <si>
    <t xml:space="preserve">2945500000</t>
  </si>
  <si>
    <t xml:space="preserve">C1_E0474</t>
  </si>
  <si>
    <t xml:space="preserve">7731900000</t>
  </si>
  <si>
    <t xml:space="preserve">C1_E0475</t>
  </si>
  <si>
    <t xml:space="preserve">2981800000</t>
  </si>
  <si>
    <t xml:space="preserve">C1_E0476</t>
  </si>
  <si>
    <t xml:space="preserve">6265900000</t>
  </si>
  <si>
    <t xml:space="preserve">C1_E0477</t>
  </si>
  <si>
    <t xml:space="preserve">4499000000</t>
  </si>
  <si>
    <t xml:space="preserve">C1_E0478</t>
  </si>
  <si>
    <t xml:space="preserve">2333100000</t>
  </si>
  <si>
    <t xml:space="preserve">C1_E0479</t>
  </si>
  <si>
    <t xml:space="preserve">7092500000</t>
  </si>
  <si>
    <t xml:space="preserve">C1_E0480</t>
  </si>
  <si>
    <t xml:space="preserve">8665200000</t>
  </si>
  <si>
    <t xml:space="preserve">C1_E0481</t>
  </si>
  <si>
    <t xml:space="preserve">9885400000</t>
  </si>
  <si>
    <t xml:space="preserve">C1_E0482</t>
  </si>
  <si>
    <t xml:space="preserve">1388100000</t>
  </si>
  <si>
    <t xml:space="preserve">C1_E0483</t>
  </si>
  <si>
    <t xml:space="preserve">6035400000</t>
  </si>
  <si>
    <t xml:space="preserve">C1_E0484</t>
  </si>
  <si>
    <t xml:space="preserve">5088900000</t>
  </si>
  <si>
    <t xml:space="preserve">C1_E0485</t>
  </si>
  <si>
    <t xml:space="preserve">7931400000</t>
  </si>
  <si>
    <t xml:space="preserve">C1_E0486</t>
  </si>
  <si>
    <t xml:space="preserve">2646300000</t>
  </si>
  <si>
    <t xml:space="preserve">C1_E0487</t>
  </si>
  <si>
    <t xml:space="preserve">4898500000</t>
  </si>
  <si>
    <t xml:space="preserve">C1_E0488</t>
  </si>
  <si>
    <t xml:space="preserve">6003200000</t>
  </si>
  <si>
    <t xml:space="preserve">C1_E0489</t>
  </si>
  <si>
    <t xml:space="preserve">5112400000</t>
  </si>
  <si>
    <t xml:space="preserve">C1_E0490</t>
  </si>
  <si>
    <t xml:space="preserve">3946500000</t>
  </si>
  <si>
    <t xml:space="preserve">C1_E0491</t>
  </si>
  <si>
    <t xml:space="preserve">3769100000</t>
  </si>
  <si>
    <t xml:space="preserve">C1_E0492</t>
  </si>
  <si>
    <t xml:space="preserve">6563400000</t>
  </si>
  <si>
    <t xml:space="preserve">C1_E0493</t>
  </si>
  <si>
    <t xml:space="preserve">9696200000</t>
  </si>
  <si>
    <t xml:space="preserve">C1_E0494</t>
  </si>
  <si>
    <t xml:space="preserve">1480700000</t>
  </si>
  <si>
    <t xml:space="preserve">C1_E0495</t>
  </si>
  <si>
    <t xml:space="preserve">6277300000</t>
  </si>
  <si>
    <t xml:space="preserve">C1_E0496</t>
  </si>
  <si>
    <t xml:space="preserve">9494700000</t>
  </si>
  <si>
    <t xml:space="preserve">C1_E0497</t>
  </si>
  <si>
    <t xml:space="preserve">8487400000</t>
  </si>
  <si>
    <t xml:space="preserve">C1_E0498</t>
  </si>
  <si>
    <t xml:space="preserve">3446100000</t>
  </si>
  <si>
    <t xml:space="preserve">C1_E0499</t>
  </si>
  <si>
    <t xml:space="preserve">9410100000</t>
  </si>
  <si>
    <t xml:space="preserve">C1_E0500</t>
  </si>
  <si>
    <t xml:space="preserve">7107800000</t>
  </si>
  <si>
    <t xml:space="preserve">C1_E0501</t>
  </si>
  <si>
    <t xml:space="preserve">3316500000</t>
  </si>
  <si>
    <t xml:space="preserve">C1_E0502</t>
  </si>
  <si>
    <t xml:space="preserve">7998800000</t>
  </si>
  <si>
    <t xml:space="preserve">C1_E0503</t>
  </si>
  <si>
    <t xml:space="preserve">6162900000</t>
  </si>
  <si>
    <t xml:space="preserve">C1_E0504</t>
  </si>
  <si>
    <t xml:space="preserve">4814400000</t>
  </si>
  <si>
    <t xml:space="preserve">C1_E0505</t>
  </si>
  <si>
    <t xml:space="preserve">7476000000</t>
  </si>
  <si>
    <t xml:space="preserve">C1_E0506</t>
  </si>
  <si>
    <t xml:space="preserve">7979600000</t>
  </si>
  <si>
    <t xml:space="preserve">C1_E0507</t>
  </si>
  <si>
    <t xml:space="preserve">7937300000</t>
  </si>
  <si>
    <t xml:space="preserve">C1_E0508</t>
  </si>
  <si>
    <t xml:space="preserve">6147700000</t>
  </si>
  <si>
    <t xml:space="preserve">C1_E0509</t>
  </si>
  <si>
    <t xml:space="preserve">6959800000</t>
  </si>
  <si>
    <t xml:space="preserve">C1_E0510</t>
  </si>
  <si>
    <t xml:space="preserve">7880000000</t>
  </si>
  <si>
    <t xml:space="preserve">C1_E0511</t>
  </si>
  <si>
    <t xml:space="preserve">2020200000</t>
  </si>
  <si>
    <t xml:space="preserve">C1_E0512</t>
  </si>
  <si>
    <t xml:space="preserve">7857000000</t>
  </si>
  <si>
    <t xml:space="preserve">C1_E0513</t>
  </si>
  <si>
    <t xml:space="preserve">1965100000</t>
  </si>
  <si>
    <t xml:space="preserve">C1_E0514</t>
  </si>
  <si>
    <t xml:space="preserve">5607000000</t>
  </si>
  <si>
    <t xml:space="preserve">C1_E0515</t>
  </si>
  <si>
    <t xml:space="preserve">5871400000</t>
  </si>
  <si>
    <t xml:space="preserve">C1_E0516</t>
  </si>
  <si>
    <t xml:space="preserve">7123500000</t>
  </si>
  <si>
    <t xml:space="preserve">C1_E0517</t>
  </si>
  <si>
    <t xml:space="preserve">3591300000</t>
  </si>
  <si>
    <t xml:space="preserve">C1_E0518</t>
  </si>
  <si>
    <t xml:space="preserve">2581300000</t>
  </si>
  <si>
    <t xml:space="preserve">C1_E0519</t>
  </si>
  <si>
    <t xml:space="preserve">2708400000</t>
  </si>
  <si>
    <t xml:space="preserve">C1_E0520</t>
  </si>
  <si>
    <t xml:space="preserve">2875500000</t>
  </si>
  <si>
    <t xml:space="preserve">C1_E0521</t>
  </si>
  <si>
    <t xml:space="preserve">2251800000</t>
  </si>
  <si>
    <t xml:space="preserve">C1_E0522</t>
  </si>
  <si>
    <t xml:space="preserve">4335300000</t>
  </si>
  <si>
    <t xml:space="preserve">C1_E0523</t>
  </si>
  <si>
    <t xml:space="preserve">7104400000</t>
  </si>
  <si>
    <t xml:space="preserve">C1_E0524</t>
  </si>
  <si>
    <t xml:space="preserve">4193500000</t>
  </si>
  <si>
    <t xml:space="preserve">C1_E0525</t>
  </si>
  <si>
    <t xml:space="preserve">6295800000</t>
  </si>
  <si>
    <t xml:space="preserve">C1_E0526</t>
  </si>
  <si>
    <t xml:space="preserve">3753500000</t>
  </si>
  <si>
    <t xml:space="preserve">C1_E0527</t>
  </si>
  <si>
    <t xml:space="preserve">3296700000</t>
  </si>
  <si>
    <t xml:space="preserve">C1_E0528</t>
  </si>
  <si>
    <t xml:space="preserve">6307900000</t>
  </si>
  <si>
    <t xml:space="preserve">C1_E0529</t>
  </si>
  <si>
    <t xml:space="preserve">6760000000</t>
  </si>
  <si>
    <t xml:space="preserve">C1_E0530</t>
  </si>
  <si>
    <t xml:space="preserve">3714800000</t>
  </si>
  <si>
    <t xml:space="preserve">C1_E0531</t>
  </si>
  <si>
    <t xml:space="preserve">2921800000</t>
  </si>
  <si>
    <t xml:space="preserve">C1_E0532</t>
  </si>
  <si>
    <t xml:space="preserve">1659900000</t>
  </si>
  <si>
    <t xml:space="preserve">C1_E0533</t>
  </si>
  <si>
    <t xml:space="preserve">7784000000</t>
  </si>
  <si>
    <t xml:space="preserve">C1_E0534</t>
  </si>
  <si>
    <t xml:space="preserve">3025700000</t>
  </si>
  <si>
    <t xml:space="preserve">C1_E0535</t>
  </si>
  <si>
    <t xml:space="preserve">9969100000</t>
  </si>
  <si>
    <t xml:space="preserve">C1_E0536</t>
  </si>
  <si>
    <t xml:space="preserve">7014900000</t>
  </si>
  <si>
    <t xml:space="preserve">C1_E0537</t>
  </si>
  <si>
    <t xml:space="preserve">6697200000</t>
  </si>
  <si>
    <t xml:space="preserve">C1_E0538</t>
  </si>
  <si>
    <t xml:space="preserve">3417100000</t>
  </si>
  <si>
    <t xml:space="preserve">C1_E0539</t>
  </si>
  <si>
    <t xml:space="preserve">9989200000</t>
  </si>
  <si>
    <t xml:space="preserve">C1_E0540</t>
  </si>
  <si>
    <t xml:space="preserve">7405500000</t>
  </si>
  <si>
    <t xml:space="preserve">C1_E0541</t>
  </si>
  <si>
    <t xml:space="preserve">7088000000</t>
  </si>
  <si>
    <t xml:space="preserve">C1_E0542</t>
  </si>
  <si>
    <t xml:space="preserve">3606600000</t>
  </si>
  <si>
    <t xml:space="preserve">C1_E0543</t>
  </si>
  <si>
    <t xml:space="preserve">5266300000</t>
  </si>
  <si>
    <t xml:space="preserve">C1_E0544</t>
  </si>
  <si>
    <t xml:space="preserve">9384800000</t>
  </si>
  <si>
    <t xml:space="preserve">C1_E0545</t>
  </si>
  <si>
    <t xml:space="preserve">7780100000</t>
  </si>
  <si>
    <t xml:space="preserve">C1_E0546</t>
  </si>
  <si>
    <t xml:space="preserve">6780400000</t>
  </si>
  <si>
    <t xml:space="preserve">C1_E0547</t>
  </si>
  <si>
    <t xml:space="preserve">3522500000</t>
  </si>
  <si>
    <t xml:space="preserve">C1_E0548</t>
  </si>
  <si>
    <t xml:space="preserve">1408100000</t>
  </si>
  <si>
    <t xml:space="preserve">C1_E0549</t>
  </si>
  <si>
    <t xml:space="preserve">7650500000</t>
  </si>
  <si>
    <t xml:space="preserve">C1_E0550</t>
  </si>
  <si>
    <t xml:space="preserve">1981900000</t>
  </si>
  <si>
    <t xml:space="preserve">C1_E0551</t>
  </si>
  <si>
    <t xml:space="preserve">7083500000</t>
  </si>
  <si>
    <t xml:space="preserve">C1_E0552</t>
  </si>
  <si>
    <t xml:space="preserve">7865700000</t>
  </si>
  <si>
    <t xml:space="preserve">C1_E0553</t>
  </si>
  <si>
    <t xml:space="preserve">2888300000</t>
  </si>
  <si>
    <t xml:space="preserve">C1_E0554</t>
  </si>
  <si>
    <t xml:space="preserve">3433900000</t>
  </si>
  <si>
    <t xml:space="preserve">C1_E0555</t>
  </si>
  <si>
    <t xml:space="preserve">5956800000</t>
  </si>
  <si>
    <r>
      <rPr>
        <sz val="10"/>
        <color theme="1"/>
        <rFont val="Noto Sans CJK SC"/>
        <family val="2"/>
      </rPr>
      <t xml:space="preserve">출고</t>
    </r>
    <r>
      <rPr>
        <sz val="10"/>
        <color theme="1"/>
        <rFont val="맑은 고딕"/>
        <family val="3"/>
        <charset val="129"/>
      </rPr>
      <t xml:space="preserve">(</t>
    </r>
    <r>
      <rPr>
        <sz val="10"/>
        <color theme="1"/>
        <rFont val="Noto Sans CJK SC"/>
        <family val="2"/>
      </rPr>
      <t xml:space="preserve">당월</t>
    </r>
    <r>
      <rPr>
        <sz val="10"/>
        <color theme="1"/>
        <rFont val="맑은 고딕"/>
        <family val="3"/>
        <charset val="129"/>
      </rPr>
      <t xml:space="preserve">)</t>
    </r>
  </si>
  <si>
    <r>
      <rPr>
        <sz val="10"/>
        <color theme="1"/>
        <rFont val="Noto Sans CJK SC"/>
        <family val="2"/>
      </rPr>
      <t xml:space="preserve">유상임대</t>
    </r>
    <r>
      <rPr>
        <sz val="10"/>
        <color theme="1"/>
        <rFont val="맑은 고딕"/>
        <family val="3"/>
        <charset val="129"/>
      </rPr>
      <t xml:space="preserve">(A-2)</t>
    </r>
  </si>
  <si>
    <t xml:space="preserve">L_E0556</t>
  </si>
  <si>
    <t xml:space="preserve">5287200000</t>
  </si>
  <si>
    <t xml:space="preserve">L_E0557</t>
  </si>
  <si>
    <t xml:space="preserve">1050600000</t>
  </si>
  <si>
    <t xml:space="preserve">L_E0558</t>
  </si>
  <si>
    <t xml:space="preserve">9590000000</t>
  </si>
  <si>
    <t xml:space="preserve">L_E0559</t>
  </si>
  <si>
    <t xml:space="preserve">9030700000</t>
  </si>
  <si>
    <t xml:space="preserve">L_E0560</t>
  </si>
  <si>
    <t xml:space="preserve">7679400000</t>
  </si>
  <si>
    <t xml:space="preserve">L_E0561</t>
  </si>
  <si>
    <t xml:space="preserve">9585400000</t>
  </si>
  <si>
    <t xml:space="preserve">L_E0562</t>
  </si>
  <si>
    <t xml:space="preserve">4848800000</t>
  </si>
  <si>
    <t xml:space="preserve">L_E0563</t>
  </si>
  <si>
    <t xml:space="preserve">7247200000</t>
  </si>
  <si>
    <t xml:space="preserve">L_E0564</t>
  </si>
  <si>
    <t xml:space="preserve">7290800000</t>
  </si>
  <si>
    <t xml:space="preserve">L_E0565</t>
  </si>
  <si>
    <t xml:space="preserve">9102100000</t>
  </si>
  <si>
    <t xml:space="preserve">L_E0566</t>
  </si>
  <si>
    <t xml:space="preserve">4556400000</t>
  </si>
  <si>
    <t xml:space="preserve">L_E0567</t>
  </si>
  <si>
    <t xml:space="preserve">6235700000</t>
  </si>
  <si>
    <t xml:space="preserve">L_E0568</t>
  </si>
  <si>
    <t xml:space="preserve">9465000000</t>
  </si>
  <si>
    <t xml:space="preserve">L_E0569</t>
  </si>
  <si>
    <t xml:space="preserve">7468100000</t>
  </si>
  <si>
    <t xml:space="preserve">L_E0570</t>
  </si>
  <si>
    <t xml:space="preserve">6583400000</t>
  </si>
  <si>
    <t xml:space="preserve">L_E0571</t>
  </si>
  <si>
    <t xml:space="preserve">7432700000</t>
  </si>
  <si>
    <t xml:space="preserve">L_E0572</t>
  </si>
  <si>
    <t xml:space="preserve">5773600000</t>
  </si>
  <si>
    <t xml:space="preserve">L_E0573</t>
  </si>
  <si>
    <t xml:space="preserve">4993300000</t>
  </si>
  <si>
    <t xml:space="preserve">L_E0574</t>
  </si>
  <si>
    <t xml:space="preserve">6306700000</t>
  </si>
  <si>
    <t xml:space="preserve">L_E0575</t>
  </si>
  <si>
    <t xml:space="preserve">L_E0576</t>
  </si>
  <si>
    <t xml:space="preserve">5928900000</t>
  </si>
  <si>
    <t xml:space="preserve">L_E0577</t>
  </si>
  <si>
    <t xml:space="preserve">2394800000</t>
  </si>
  <si>
    <t xml:space="preserve">L_E0578</t>
  </si>
  <si>
    <t xml:space="preserve">1938300000</t>
  </si>
  <si>
    <t xml:space="preserve">L_E0579</t>
  </si>
  <si>
    <t xml:space="preserve">8971000000</t>
  </si>
  <si>
    <t xml:space="preserve">L_E0580</t>
  </si>
  <si>
    <t xml:space="preserve">5490500000</t>
  </si>
  <si>
    <t xml:space="preserve">L_E0581</t>
  </si>
  <si>
    <t xml:space="preserve">4093500000</t>
  </si>
  <si>
    <t xml:space="preserve">L_E0582</t>
  </si>
  <si>
    <t xml:space="preserve">1368500000</t>
  </si>
  <si>
    <t xml:space="preserve">L_E0583</t>
  </si>
  <si>
    <t xml:space="preserve">8011600000</t>
  </si>
  <si>
    <t xml:space="preserve">L_E0584</t>
  </si>
  <si>
    <t xml:space="preserve">2874100000</t>
  </si>
  <si>
    <t xml:space="preserve">L_E0585</t>
  </si>
  <si>
    <t xml:space="preserve">2717700000</t>
  </si>
  <si>
    <t xml:space="preserve">L_E0586</t>
  </si>
  <si>
    <t xml:space="preserve">4194400000</t>
  </si>
  <si>
    <t xml:space="preserve">L_E0587</t>
  </si>
  <si>
    <t xml:space="preserve">3570800000</t>
  </si>
  <si>
    <t xml:space="preserve">L_E0588</t>
  </si>
  <si>
    <t xml:space="preserve">6749300000</t>
  </si>
  <si>
    <t xml:space="preserve">L_E0589</t>
  </si>
  <si>
    <t xml:space="preserve">5672200000</t>
  </si>
  <si>
    <t xml:space="preserve">L_E0590</t>
  </si>
  <si>
    <t xml:space="preserve">1829500000</t>
  </si>
  <si>
    <t xml:space="preserve">L_E0591</t>
  </si>
  <si>
    <t xml:space="preserve">2715500000</t>
  </si>
  <si>
    <t xml:space="preserve">L_E0592</t>
  </si>
  <si>
    <t xml:space="preserve">4858900000</t>
  </si>
  <si>
    <t xml:space="preserve">L_E0593</t>
  </si>
  <si>
    <t xml:space="preserve">4400300000</t>
  </si>
  <si>
    <t xml:space="preserve">L_E0594</t>
  </si>
  <si>
    <t xml:space="preserve">4324500000</t>
  </si>
  <si>
    <t xml:space="preserve">L_E0595</t>
  </si>
  <si>
    <t xml:space="preserve">4797800000</t>
  </si>
  <si>
    <t xml:space="preserve">L_E0596</t>
  </si>
  <si>
    <t xml:space="preserve">4506900000</t>
  </si>
  <si>
    <t xml:space="preserve">L_E0597</t>
  </si>
  <si>
    <t xml:space="preserve">6646500000</t>
  </si>
  <si>
    <t xml:space="preserve">L_E0598</t>
  </si>
  <si>
    <t xml:space="preserve">3106100000</t>
  </si>
  <si>
    <t xml:space="preserve">L_E0599</t>
  </si>
  <si>
    <t xml:space="preserve">1678600000</t>
  </si>
  <si>
    <t xml:space="preserve">L_E0600</t>
  </si>
  <si>
    <t xml:space="preserve">1384300000</t>
  </si>
  <si>
    <t xml:space="preserve">L_E0601</t>
  </si>
  <si>
    <t xml:space="preserve">5728600000</t>
  </si>
  <si>
    <t xml:space="preserve">L_E0602</t>
  </si>
  <si>
    <t xml:space="preserve">9786000000</t>
  </si>
  <si>
    <t xml:space="preserve">L_E0603</t>
  </si>
  <si>
    <t xml:space="preserve">3489900000</t>
  </si>
  <si>
    <t xml:space="preserve">L_E0604</t>
  </si>
  <si>
    <t xml:space="preserve">5952900000</t>
  </si>
  <si>
    <t xml:space="preserve">L_E0605</t>
  </si>
  <si>
    <t xml:space="preserve">7089000000</t>
  </si>
  <si>
    <t xml:space="preserve">L_E0606</t>
  </si>
  <si>
    <t xml:space="preserve">1997200000</t>
  </si>
  <si>
    <t xml:space="preserve">L_E0607</t>
  </si>
  <si>
    <t xml:space="preserve">7605400000</t>
  </si>
  <si>
    <t xml:space="preserve">L_E0608</t>
  </si>
  <si>
    <t xml:space="preserve">3521600000</t>
  </si>
  <si>
    <t xml:space="preserve">L_E0609</t>
  </si>
  <si>
    <t xml:space="preserve">8643400000</t>
  </si>
  <si>
    <t xml:space="preserve">L_E0610</t>
  </si>
  <si>
    <t xml:space="preserve">9280600000</t>
  </si>
  <si>
    <t xml:space="preserve">L_E0611</t>
  </si>
  <si>
    <t xml:space="preserve">8883400000</t>
  </si>
  <si>
    <t xml:space="preserve">L_E0612</t>
  </si>
  <si>
    <t xml:space="preserve">L_E0613</t>
  </si>
  <si>
    <t xml:space="preserve">2527500000</t>
  </si>
  <si>
    <t xml:space="preserve">L_E0614</t>
  </si>
  <si>
    <t xml:space="preserve">7563600000</t>
  </si>
  <si>
    <t xml:space="preserve">L_E0615</t>
  </si>
  <si>
    <t xml:space="preserve">6683500000</t>
  </si>
  <si>
    <t xml:space="preserve">L_E0616</t>
  </si>
  <si>
    <t xml:space="preserve">2143200000</t>
  </si>
  <si>
    <t xml:space="preserve">L_E0617</t>
  </si>
  <si>
    <t xml:space="preserve">9560800000</t>
  </si>
  <si>
    <t xml:space="preserve">L_E0618</t>
  </si>
  <si>
    <t xml:space="preserve">1062200000</t>
  </si>
  <si>
    <t xml:space="preserve">L_E0619</t>
  </si>
  <si>
    <t xml:space="preserve">9576300000</t>
  </si>
  <si>
    <t xml:space="preserve">L_E0620</t>
  </si>
  <si>
    <t xml:space="preserve">6521400000</t>
  </si>
  <si>
    <t xml:space="preserve">L_E0621</t>
  </si>
  <si>
    <t xml:space="preserve">2568700000</t>
  </si>
  <si>
    <t xml:space="preserve">L_E0622</t>
  </si>
  <si>
    <t xml:space="preserve">3051800000</t>
  </si>
  <si>
    <t xml:space="preserve">L_E0623</t>
  </si>
  <si>
    <t xml:space="preserve">1214600000</t>
  </si>
  <si>
    <t xml:space="preserve">L_E0624</t>
  </si>
  <si>
    <t xml:space="preserve">4451500000</t>
  </si>
  <si>
    <t xml:space="preserve">L_E0625</t>
  </si>
  <si>
    <t xml:space="preserve">4990800000</t>
  </si>
  <si>
    <t xml:space="preserve">L_E0626</t>
  </si>
  <si>
    <t xml:space="preserve">7238400000</t>
  </si>
  <si>
    <t xml:space="preserve">L_E0627</t>
  </si>
  <si>
    <t xml:space="preserve">5585400000</t>
  </si>
  <si>
    <t xml:space="preserve">L_E0628</t>
  </si>
  <si>
    <t xml:space="preserve">4095800000</t>
  </si>
  <si>
    <t xml:space="preserve">L_E0629</t>
  </si>
  <si>
    <t xml:space="preserve">7954700000</t>
  </si>
  <si>
    <t xml:space="preserve">L_E0630</t>
  </si>
  <si>
    <t xml:space="preserve">5030400000</t>
  </si>
  <si>
    <t xml:space="preserve">L_E0631</t>
  </si>
  <si>
    <t xml:space="preserve">2162800000</t>
  </si>
  <si>
    <t xml:space="preserve">L_E0632</t>
  </si>
  <si>
    <t xml:space="preserve">1173300000</t>
  </si>
  <si>
    <t xml:space="preserve">L_E0633</t>
  </si>
  <si>
    <t xml:space="preserve">1183600000</t>
  </si>
  <si>
    <t xml:space="preserve">L_E0634</t>
  </si>
  <si>
    <t xml:space="preserve">8244600000</t>
  </si>
  <si>
    <t xml:space="preserve">L_E0635</t>
  </si>
  <si>
    <t xml:space="preserve">2628200000</t>
  </si>
  <si>
    <t xml:space="preserve">L_E0636</t>
  </si>
  <si>
    <t xml:space="preserve">7756900000</t>
  </si>
  <si>
    <t xml:space="preserve">L_E0637</t>
  </si>
  <si>
    <t xml:space="preserve">L_E0638</t>
  </si>
  <si>
    <t xml:space="preserve">1100500000</t>
  </si>
  <si>
    <t xml:space="preserve">L_E0639</t>
  </si>
  <si>
    <t xml:space="preserve">7641700000</t>
  </si>
  <si>
    <t xml:space="preserve">L_E0640</t>
  </si>
  <si>
    <t xml:space="preserve">4442000000</t>
  </si>
  <si>
    <t xml:space="preserve">L_E0641</t>
  </si>
  <si>
    <t xml:space="preserve">7153300000</t>
  </si>
  <si>
    <t xml:space="preserve">L_E0642</t>
  </si>
  <si>
    <t xml:space="preserve">L_E0643</t>
  </si>
  <si>
    <t xml:space="preserve">6652600000</t>
  </si>
  <si>
    <t xml:space="preserve">L_E0644</t>
  </si>
  <si>
    <t xml:space="preserve">3563700000</t>
  </si>
  <si>
    <t xml:space="preserve">L_E0645</t>
  </si>
  <si>
    <t xml:space="preserve">4888400000</t>
  </si>
  <si>
    <t xml:space="preserve">L_E0646</t>
  </si>
  <si>
    <t xml:space="preserve">6106400000</t>
  </si>
  <si>
    <t xml:space="preserve">L_E0647</t>
  </si>
  <si>
    <t xml:space="preserve">L_E0648</t>
  </si>
  <si>
    <r>
      <rPr>
        <sz val="10"/>
        <color theme="1"/>
        <rFont val="Noto Sans CJK SC"/>
        <family val="2"/>
      </rPr>
      <t xml:space="preserve">무상임대</t>
    </r>
    <r>
      <rPr>
        <sz val="10"/>
        <color theme="1"/>
        <rFont val="맑은 고딕"/>
        <family val="3"/>
        <charset val="129"/>
      </rPr>
      <t xml:space="preserve">(A-2)</t>
    </r>
  </si>
  <si>
    <t xml:space="preserve">L_E0649</t>
  </si>
  <si>
    <t xml:space="preserve">9655000000</t>
  </si>
  <si>
    <t xml:space="preserve">L_E0650</t>
  </si>
  <si>
    <t xml:space="preserve">6542300000</t>
  </si>
  <si>
    <t xml:space="preserve">L_E0651</t>
  </si>
  <si>
    <t xml:space="preserve">4392400000</t>
  </si>
  <si>
    <t xml:space="preserve">L_E0652</t>
  </si>
  <si>
    <t xml:space="preserve">7020500000</t>
  </si>
  <si>
    <t xml:space="preserve">L_E0653</t>
  </si>
  <si>
    <t xml:space="preserve">6690100000</t>
  </si>
  <si>
    <t xml:space="preserve">L_E0654</t>
  </si>
  <si>
    <t xml:space="preserve">7980300000</t>
  </si>
  <si>
    <t xml:space="preserve">L_E0655</t>
  </si>
  <si>
    <t xml:space="preserve">5424700000</t>
  </si>
  <si>
    <t xml:space="preserve">L_E0656</t>
  </si>
  <si>
    <t xml:space="preserve">7118700000</t>
  </si>
  <si>
    <t xml:space="preserve">L_E0657</t>
  </si>
  <si>
    <t xml:space="preserve">5583300000</t>
  </si>
  <si>
    <t xml:space="preserve">L_E0658</t>
  </si>
  <si>
    <t xml:space="preserve">5118400000</t>
  </si>
  <si>
    <t xml:space="preserve">L_E0659</t>
  </si>
  <si>
    <t xml:space="preserve">8158900000</t>
  </si>
  <si>
    <t xml:space="preserve">L_E0660</t>
  </si>
  <si>
    <t xml:space="preserve">7179400000</t>
  </si>
  <si>
    <t xml:space="preserve">L_E0661</t>
  </si>
  <si>
    <t xml:space="preserve">2712500000</t>
  </si>
  <si>
    <t xml:space="preserve">L_E0662</t>
  </si>
  <si>
    <t xml:space="preserve">5219900000</t>
  </si>
  <si>
    <t xml:space="preserve">L_E0663</t>
  </si>
  <si>
    <t xml:space="preserve">3669200000</t>
  </si>
  <si>
    <t xml:space="preserve">L_E0664</t>
  </si>
  <si>
    <t xml:space="preserve">2842900000</t>
  </si>
  <si>
    <t xml:space="preserve">L_E0665</t>
  </si>
  <si>
    <t xml:space="preserve">1681300000</t>
  </si>
  <si>
    <t xml:space="preserve">L_E0666</t>
  </si>
  <si>
    <t xml:space="preserve">L_E0667</t>
  </si>
  <si>
    <t xml:space="preserve">3474100000</t>
  </si>
  <si>
    <t xml:space="preserve">L_E0668</t>
  </si>
  <si>
    <t xml:space="preserve">5108300000</t>
  </si>
  <si>
    <t xml:space="preserve">L_E0669</t>
  </si>
  <si>
    <t xml:space="preserve">4871400000</t>
  </si>
  <si>
    <t xml:space="preserve">L_E0670</t>
  </si>
  <si>
    <t xml:space="preserve">2024500000</t>
  </si>
  <si>
    <t xml:space="preserve">L_E0671</t>
  </si>
  <si>
    <t xml:space="preserve">4172000000</t>
  </si>
  <si>
    <t xml:space="preserve">L_E0672</t>
  </si>
  <si>
    <t xml:space="preserve">2980800000</t>
  </si>
  <si>
    <t xml:space="preserve">L_E0673</t>
  </si>
  <si>
    <t xml:space="preserve">2199200000</t>
  </si>
  <si>
    <t xml:space="preserve">L_E0674</t>
  </si>
  <si>
    <t xml:space="preserve">L_E0675</t>
  </si>
  <si>
    <t xml:space="preserve">9361500000</t>
  </si>
  <si>
    <t xml:space="preserve">L_E0676</t>
  </si>
  <si>
    <t xml:space="preserve">3176900000</t>
  </si>
  <si>
    <t xml:space="preserve">L_E0677</t>
  </si>
  <si>
    <t xml:space="preserve">6151000000</t>
  </si>
  <si>
    <t xml:space="preserve">L_E0678</t>
  </si>
  <si>
    <t xml:space="preserve">8375800000</t>
  </si>
  <si>
    <t xml:space="preserve">L_E0679</t>
  </si>
  <si>
    <t xml:space="preserve">9691200000</t>
  </si>
  <si>
    <t xml:space="preserve">L_E0680</t>
  </si>
  <si>
    <t xml:space="preserve">3492900000</t>
  </si>
  <si>
    <t xml:space="preserve">L_E0681</t>
  </si>
  <si>
    <t xml:space="preserve">8283400000</t>
  </si>
  <si>
    <t xml:space="preserve">L_E0682</t>
  </si>
  <si>
    <t xml:space="preserve">2015300000</t>
  </si>
  <si>
    <t xml:space="preserve">L_E0683</t>
  </si>
  <si>
    <t xml:space="preserve">6503200000</t>
  </si>
  <si>
    <t xml:space="preserve">L_E0684</t>
  </si>
  <si>
    <t xml:space="preserve">5758500000</t>
  </si>
  <si>
    <t xml:space="preserve">L_E0685</t>
  </si>
  <si>
    <t xml:space="preserve">5836100000</t>
  </si>
  <si>
    <t xml:space="preserve">L_E0686</t>
  </si>
  <si>
    <t xml:space="preserve">3639100000</t>
  </si>
  <si>
    <t xml:space="preserve">L_E0687</t>
  </si>
  <si>
    <t xml:space="preserve">2483400000</t>
  </si>
  <si>
    <t xml:space="preserve">L_E0688</t>
  </si>
  <si>
    <t xml:space="preserve">8690100000</t>
  </si>
  <si>
    <t xml:space="preserve">L_E0689</t>
  </si>
  <si>
    <t xml:space="preserve">3182600000</t>
  </si>
  <si>
    <t xml:space="preserve">L_E0690</t>
  </si>
  <si>
    <t xml:space="preserve">5078900000</t>
  </si>
  <si>
    <t xml:space="preserve">L_E0691</t>
  </si>
  <si>
    <t xml:space="preserve">8973200000</t>
  </si>
  <si>
    <t xml:space="preserve">L_E0692</t>
  </si>
  <si>
    <t xml:space="preserve">3296300000</t>
  </si>
  <si>
    <t xml:space="preserve">L_E0693</t>
  </si>
  <si>
    <t xml:space="preserve">2058000000</t>
  </si>
  <si>
    <t xml:space="preserve">L_E0694</t>
  </si>
  <si>
    <t xml:space="preserve">1005000000</t>
  </si>
  <si>
    <t xml:space="preserve">L_E0695</t>
  </si>
  <si>
    <t xml:space="preserve">5129300000</t>
  </si>
  <si>
    <t xml:space="preserve">L_E0696</t>
  </si>
  <si>
    <t xml:space="preserve">8028700000</t>
  </si>
  <si>
    <t xml:space="preserve">L_E0697</t>
  </si>
  <si>
    <t xml:space="preserve">3930500000</t>
  </si>
  <si>
    <t xml:space="preserve">L_E0698</t>
  </si>
  <si>
    <t xml:space="preserve">1942400000</t>
  </si>
  <si>
    <t xml:space="preserve">L_E0699</t>
  </si>
  <si>
    <t xml:space="preserve">6543600000</t>
  </si>
  <si>
    <t xml:space="preserve">L_E0700</t>
  </si>
  <si>
    <t xml:space="preserve">5153600000</t>
  </si>
  <si>
    <t xml:space="preserve">L_E0701</t>
  </si>
  <si>
    <t xml:space="preserve">5282200000</t>
  </si>
  <si>
    <t xml:space="preserve">L_E0702</t>
  </si>
  <si>
    <t xml:space="preserve">2963200000</t>
  </si>
  <si>
    <t xml:space="preserve">L_E0703</t>
  </si>
  <si>
    <t xml:space="preserve">3107400000</t>
  </si>
  <si>
    <t xml:space="preserve">L_E0704</t>
  </si>
  <si>
    <t xml:space="preserve">2688800000</t>
  </si>
  <si>
    <t xml:space="preserve">L_E0705</t>
  </si>
  <si>
    <t xml:space="preserve">5021700000</t>
  </si>
  <si>
    <t xml:space="preserve">L_E0706</t>
  </si>
  <si>
    <t xml:space="preserve">2386700000</t>
  </si>
  <si>
    <t xml:space="preserve">L_E0707</t>
  </si>
  <si>
    <t xml:space="preserve">5998400000</t>
  </si>
  <si>
    <t xml:space="preserve">L_E0708</t>
  </si>
  <si>
    <t xml:space="preserve">3195600000</t>
  </si>
  <si>
    <t xml:space="preserve">L_E0709</t>
  </si>
  <si>
    <t xml:space="preserve">3306700000</t>
  </si>
  <si>
    <t xml:space="preserve">L_E0710</t>
  </si>
  <si>
    <t xml:space="preserve">4687700000</t>
  </si>
  <si>
    <t xml:space="preserve">L_E0711</t>
  </si>
  <si>
    <t xml:space="preserve">3003900000</t>
  </si>
  <si>
    <t xml:space="preserve">L_E0712</t>
  </si>
  <si>
    <t xml:space="preserve">7577500000</t>
  </si>
  <si>
    <t xml:space="preserve">L_E0713</t>
  </si>
  <si>
    <t xml:space="preserve">6967700000</t>
  </si>
  <si>
    <t xml:space="preserve">L_E0714</t>
  </si>
  <si>
    <t xml:space="preserve">3668500000</t>
  </si>
  <si>
    <t xml:space="preserve">L_E0715</t>
  </si>
  <si>
    <t xml:space="preserve">8624400000</t>
  </si>
  <si>
    <t xml:space="preserve">L_E0716</t>
  </si>
  <si>
    <t xml:space="preserve">1218800000</t>
  </si>
  <si>
    <t xml:space="preserve">L_E0717</t>
  </si>
  <si>
    <t xml:space="preserve">9288200000</t>
  </si>
  <si>
    <t xml:space="preserve">L_E0718</t>
  </si>
  <si>
    <t xml:space="preserve">1517200000</t>
  </si>
  <si>
    <t xml:space="preserve">L_E0719</t>
  </si>
  <si>
    <t xml:space="preserve">2260700000</t>
  </si>
  <si>
    <t xml:space="preserve">L_E0720</t>
  </si>
  <si>
    <t xml:space="preserve">9556400000</t>
  </si>
  <si>
    <r>
      <rPr>
        <sz val="10"/>
        <color theme="1"/>
        <rFont val="Noto Sans CJK SC"/>
        <family val="2"/>
      </rPr>
      <t xml:space="preserve">당월출고</t>
    </r>
    <r>
      <rPr>
        <sz val="10"/>
        <color theme="1"/>
        <rFont val="맑은 고딕"/>
        <family val="3"/>
        <charset val="129"/>
      </rPr>
      <t xml:space="preserve">(</t>
    </r>
    <r>
      <rPr>
        <sz val="10"/>
        <color theme="1"/>
        <rFont val="Noto Sans CJK SC"/>
        <family val="2"/>
      </rPr>
      <t xml:space="preserve">당월회수→출고</t>
    </r>
    <r>
      <rPr>
        <sz val="10"/>
        <color theme="1"/>
        <rFont val="맑은 고딕"/>
        <family val="3"/>
        <charset val="129"/>
      </rPr>
      <t xml:space="preserve">)</t>
    </r>
  </si>
  <si>
    <t xml:space="preserve">L_E0721</t>
  </si>
  <si>
    <t xml:space="preserve">5772900000</t>
  </si>
  <si>
    <t xml:space="preserve">L_E0722</t>
  </si>
  <si>
    <t xml:space="preserve">2589700000</t>
  </si>
  <si>
    <t xml:space="preserve">L_E0723</t>
  </si>
  <si>
    <t xml:space="preserve">5735600000</t>
  </si>
  <si>
    <t xml:space="preserve">L_E0724</t>
  </si>
  <si>
    <t xml:space="preserve">8790200000</t>
  </si>
  <si>
    <t xml:space="preserve">L_E0725</t>
  </si>
  <si>
    <t xml:space="preserve">6688000000</t>
  </si>
  <si>
    <t xml:space="preserve">L_E0726</t>
  </si>
  <si>
    <t xml:space="preserve">3726600000</t>
  </si>
  <si>
    <t xml:space="preserve">L_E0727</t>
  </si>
  <si>
    <t xml:space="preserve">4459600000</t>
  </si>
  <si>
    <t xml:space="preserve">L_E0728</t>
  </si>
  <si>
    <t xml:space="preserve">2555300000</t>
  </si>
  <si>
    <t xml:space="preserve">L_E0729</t>
  </si>
  <si>
    <t xml:space="preserve">8060100000</t>
  </si>
  <si>
    <t xml:space="preserve">L_E0730</t>
  </si>
  <si>
    <t xml:space="preserve">3609700000</t>
  </si>
  <si>
    <t xml:space="preserve">L_E0731</t>
  </si>
  <si>
    <t xml:space="preserve">6197500000</t>
  </si>
  <si>
    <t xml:space="preserve">L_E0732</t>
  </si>
  <si>
    <t xml:space="preserve">9736900000</t>
  </si>
  <si>
    <t xml:space="preserve">L_E0733</t>
  </si>
  <si>
    <t xml:space="preserve">4852300000</t>
  </si>
  <si>
    <t xml:space="preserve">L_E0734</t>
  </si>
  <si>
    <t xml:space="preserve">1129600000</t>
  </si>
  <si>
    <t xml:space="preserve">L_E0735</t>
  </si>
  <si>
    <t xml:space="preserve">4558600000</t>
  </si>
  <si>
    <t xml:space="preserve">L_E0736</t>
  </si>
  <si>
    <t xml:space="preserve">9505600000</t>
  </si>
  <si>
    <t xml:space="preserve">L_E0737</t>
  </si>
  <si>
    <t xml:space="preserve">5446200000</t>
  </si>
  <si>
    <t xml:space="preserve">L_E0738</t>
  </si>
  <si>
    <t xml:space="preserve">5850800000</t>
  </si>
  <si>
    <t xml:space="preserve">L_E0739</t>
  </si>
  <si>
    <t xml:space="preserve">7229500000</t>
  </si>
  <si>
    <t xml:space="preserve">L_E0740</t>
  </si>
  <si>
    <t xml:space="preserve">8192800000</t>
  </si>
  <si>
    <t xml:space="preserve">L_E0741</t>
  </si>
  <si>
    <t xml:space="preserve">4985000000</t>
  </si>
  <si>
    <t xml:space="preserve">L_E0742</t>
  </si>
  <si>
    <t xml:space="preserve">8613700000</t>
  </si>
  <si>
    <t xml:space="preserve">L_E0743</t>
  </si>
  <si>
    <t xml:space="preserve">4948800000</t>
  </si>
  <si>
    <t xml:space="preserve">L_E0744</t>
  </si>
  <si>
    <t xml:space="preserve">8716500000</t>
  </si>
  <si>
    <t xml:space="preserve">L_E0745</t>
  </si>
  <si>
    <t xml:space="preserve">8357200000</t>
  </si>
  <si>
    <t xml:space="preserve">L_E0746</t>
  </si>
  <si>
    <t xml:space="preserve">2196100000</t>
  </si>
  <si>
    <t xml:space="preserve">L_E0747</t>
  </si>
  <si>
    <t xml:space="preserve">3178000000</t>
  </si>
  <si>
    <t xml:space="preserve">L_E0748</t>
  </si>
  <si>
    <t xml:space="preserve">6440700000</t>
  </si>
  <si>
    <t xml:space="preserve">L_E0749</t>
  </si>
  <si>
    <t xml:space="preserve">7808000000</t>
  </si>
  <si>
    <t xml:space="preserve">L_E0750</t>
  </si>
  <si>
    <t xml:space="preserve">4120100000</t>
  </si>
  <si>
    <t xml:space="preserve">L_E0751</t>
  </si>
  <si>
    <t xml:space="preserve">4024800000</t>
  </si>
  <si>
    <t xml:space="preserve">L_E0752</t>
  </si>
  <si>
    <t xml:space="preserve">2300900000</t>
  </si>
  <si>
    <t xml:space="preserve">L_E0753</t>
  </si>
  <si>
    <t xml:space="preserve">8213000000</t>
  </si>
  <si>
    <t xml:space="preserve">L_E0754</t>
  </si>
  <si>
    <t xml:space="preserve">2972600000</t>
  </si>
  <si>
    <t xml:space="preserve">L_E0755</t>
  </si>
  <si>
    <t xml:space="preserve">7223300000</t>
  </si>
  <si>
    <t xml:space="preserve">L_E0756</t>
  </si>
  <si>
    <t xml:space="preserve">8853300000</t>
  </si>
  <si>
    <t xml:space="preserve">L_E0757</t>
  </si>
  <si>
    <t xml:space="preserve">3717800000</t>
  </si>
  <si>
    <t xml:space="preserve">L_E0758</t>
  </si>
  <si>
    <t xml:space="preserve">1349900000</t>
  </si>
  <si>
    <t xml:space="preserve">L_E0759</t>
  </si>
  <si>
    <t xml:space="preserve">8503900000</t>
  </si>
  <si>
    <t xml:space="preserve">L_E0760</t>
  </si>
  <si>
    <t xml:space="preserve">7589500000</t>
  </si>
  <si>
    <t xml:space="preserve">L_E0761</t>
  </si>
  <si>
    <t xml:space="preserve">6741300000</t>
  </si>
  <si>
    <t xml:space="preserve">L_E0762</t>
  </si>
  <si>
    <t xml:space="preserve">9177600000</t>
  </si>
  <si>
    <t xml:space="preserve">L_E0763</t>
  </si>
  <si>
    <t xml:space="preserve">8077900000</t>
  </si>
  <si>
    <t xml:space="preserve">L_E0764</t>
  </si>
  <si>
    <t xml:space="preserve">9725900000</t>
  </si>
  <si>
    <t xml:space="preserve">L_E0765</t>
  </si>
  <si>
    <t xml:space="preserve">9455200000</t>
  </si>
  <si>
    <t xml:space="preserve">L_E0766</t>
  </si>
  <si>
    <t xml:space="preserve">2996200000</t>
  </si>
  <si>
    <t xml:space="preserve">L_E0767</t>
  </si>
  <si>
    <t xml:space="preserve">9252600000</t>
  </si>
  <si>
    <t xml:space="preserve">L_E0768</t>
  </si>
  <si>
    <t xml:space="preserve">4885800000</t>
  </si>
  <si>
    <t xml:space="preserve">L_E0769</t>
  </si>
  <si>
    <t xml:space="preserve">7752000000</t>
  </si>
  <si>
    <t xml:space="preserve">L_E0770</t>
  </si>
  <si>
    <t xml:space="preserve">4493400000</t>
  </si>
  <si>
    <t xml:space="preserve">L_E0771</t>
  </si>
  <si>
    <t xml:space="preserve">8210900000</t>
  </si>
  <si>
    <t xml:space="preserve">L_E0772</t>
  </si>
  <si>
    <t xml:space="preserve">9654000000</t>
  </si>
  <si>
    <t xml:space="preserve">L_E0773</t>
  </si>
  <si>
    <t xml:space="preserve">7043300000</t>
  </si>
  <si>
    <t xml:space="preserve">L_E0774</t>
  </si>
  <si>
    <t xml:space="preserve">5372600000</t>
  </si>
  <si>
    <t xml:space="preserve">L_E0775</t>
  </si>
  <si>
    <t xml:space="preserve">9680400000</t>
  </si>
  <si>
    <t xml:space="preserve">L_E0776</t>
  </si>
  <si>
    <t xml:space="preserve">4726900000</t>
  </si>
  <si>
    <t xml:space="preserve">L_E0777</t>
  </si>
  <si>
    <t xml:space="preserve">8390100000</t>
  </si>
  <si>
    <t xml:space="preserve">L_E0778</t>
  </si>
  <si>
    <t xml:space="preserve">9914700000</t>
  </si>
  <si>
    <t xml:space="preserve">L_E0779</t>
  </si>
  <si>
    <t xml:space="preserve">1052600000</t>
  </si>
  <si>
    <t xml:space="preserve">L_E0780</t>
  </si>
  <si>
    <t xml:space="preserve">3807500000</t>
  </si>
  <si>
    <t xml:space="preserve">L_E0781</t>
  </si>
  <si>
    <t xml:space="preserve">4198000000</t>
  </si>
  <si>
    <t xml:space="preserve">L_E0782</t>
  </si>
  <si>
    <t xml:space="preserve">6226900000</t>
  </si>
  <si>
    <t xml:space="preserve">L_E0783</t>
  </si>
  <si>
    <t xml:space="preserve">7585000000</t>
  </si>
  <si>
    <t xml:space="preserve">L_E0784</t>
  </si>
  <si>
    <t xml:space="preserve">9830600000</t>
  </si>
  <si>
    <t xml:space="preserve">L_E0785</t>
  </si>
  <si>
    <t xml:space="preserve">4412000000</t>
  </si>
  <si>
    <t xml:space="preserve">L_E0786</t>
  </si>
  <si>
    <t xml:space="preserve">9475300000</t>
  </si>
  <si>
    <t xml:space="preserve">L_E0787</t>
  </si>
  <si>
    <t xml:space="preserve">8929600000</t>
  </si>
  <si>
    <t xml:space="preserve">L_E0788</t>
  </si>
  <si>
    <t xml:space="preserve">4529400000</t>
  </si>
  <si>
    <t xml:space="preserve">L_E0789</t>
  </si>
  <si>
    <t xml:space="preserve">3124600000</t>
  </si>
  <si>
    <t xml:space="preserve">L_E0790</t>
  </si>
  <si>
    <t xml:space="preserve">3936800000</t>
  </si>
  <si>
    <t xml:space="preserve">L_E0791</t>
  </si>
  <si>
    <t xml:space="preserve">4528100000</t>
  </si>
  <si>
    <t xml:space="preserve">L_E0792</t>
  </si>
  <si>
    <t xml:space="preserve">7704700000</t>
  </si>
  <si>
    <t xml:space="preserve">L_E0793</t>
  </si>
  <si>
    <t xml:space="preserve">3717500000</t>
  </si>
  <si>
    <t xml:space="preserve">L_E0794</t>
  </si>
  <si>
    <t xml:space="preserve">2718100000</t>
  </si>
  <si>
    <t xml:space="preserve">L_E0795</t>
  </si>
  <si>
    <t xml:space="preserve">3044100000</t>
  </si>
  <si>
    <t xml:space="preserve">L_E0796</t>
  </si>
  <si>
    <t xml:space="preserve">4604900000</t>
  </si>
  <si>
    <t xml:space="preserve">L_E0797</t>
  </si>
  <si>
    <t xml:space="preserve">2142900000</t>
  </si>
  <si>
    <t xml:space="preserve">L_E0798</t>
  </si>
  <si>
    <t xml:space="preserve">9967100000</t>
  </si>
  <si>
    <t xml:space="preserve">L_E0799</t>
  </si>
  <si>
    <t xml:space="preserve">4097600000</t>
  </si>
  <si>
    <t xml:space="preserve">L_E0800</t>
  </si>
  <si>
    <t xml:space="preserve">8538300000</t>
  </si>
  <si>
    <t xml:space="preserve">L_E0801</t>
  </si>
  <si>
    <t xml:space="preserve">8242700000</t>
  </si>
  <si>
    <t xml:space="preserve">L_E0802</t>
  </si>
  <si>
    <t xml:space="preserve">3055800000</t>
  </si>
  <si>
    <t xml:space="preserve">L_E0803</t>
  </si>
  <si>
    <t xml:space="preserve">9658200000</t>
  </si>
  <si>
    <t xml:space="preserve">L_E0804</t>
  </si>
  <si>
    <t xml:space="preserve">5430300000</t>
  </si>
  <si>
    <t xml:space="preserve">L_E0805</t>
  </si>
  <si>
    <t xml:space="preserve">2517100000</t>
  </si>
  <si>
    <t xml:space="preserve">L_E0806</t>
  </si>
  <si>
    <t xml:space="preserve">2131500000</t>
  </si>
  <si>
    <t xml:space="preserve">L_E0807</t>
  </si>
  <si>
    <t xml:space="preserve">3654400000</t>
  </si>
  <si>
    <t xml:space="preserve">L_E0808</t>
  </si>
  <si>
    <t xml:space="preserve">L_E0809</t>
  </si>
  <si>
    <t xml:space="preserve">3031300000</t>
  </si>
  <si>
    <t xml:space="preserve">L_E0810</t>
  </si>
  <si>
    <t xml:space="preserve">9523800000</t>
  </si>
  <si>
    <t xml:space="preserve">L_E0811</t>
  </si>
  <si>
    <t xml:space="preserve">9572900000</t>
  </si>
  <si>
    <t xml:space="preserve">L_E0812</t>
  </si>
  <si>
    <t xml:space="preserve">7500300000</t>
  </si>
  <si>
    <t xml:space="preserve">L_E0813</t>
  </si>
  <si>
    <t xml:space="preserve">3492400000</t>
  </si>
  <si>
    <t xml:space="preserve">L_E0814</t>
  </si>
  <si>
    <t xml:space="preserve">8046300000</t>
  </si>
  <si>
    <t xml:space="preserve">L_E0815</t>
  </si>
  <si>
    <t xml:space="preserve">8109300000</t>
  </si>
  <si>
    <t xml:space="preserve">L_E0816</t>
  </si>
  <si>
    <t xml:space="preserve">3706200000</t>
  </si>
  <si>
    <t xml:space="preserve">L_E0817</t>
  </si>
  <si>
    <t xml:space="preserve">5778200000</t>
  </si>
  <si>
    <t xml:space="preserve">L_E0818</t>
  </si>
  <si>
    <t xml:space="preserve">6537800000</t>
  </si>
  <si>
    <t xml:space="preserve">L_E0819</t>
  </si>
  <si>
    <t xml:space="preserve">9105900000</t>
  </si>
  <si>
    <t xml:space="preserve">L_E0820</t>
  </si>
  <si>
    <t xml:space="preserve">3919100000</t>
  </si>
  <si>
    <t xml:space="preserve">L_E0821</t>
  </si>
  <si>
    <t xml:space="preserve">8133000000</t>
  </si>
  <si>
    <t xml:space="preserve">L_E0822</t>
  </si>
  <si>
    <t xml:space="preserve">9642400000</t>
  </si>
  <si>
    <t xml:space="preserve">L_E0823</t>
  </si>
  <si>
    <t xml:space="preserve">3986700000</t>
  </si>
  <si>
    <t xml:space="preserve">L_E0824</t>
  </si>
  <si>
    <t xml:space="preserve">2779900000</t>
  </si>
  <si>
    <t xml:space="preserve">L_E0825</t>
  </si>
  <si>
    <t xml:space="preserve">3318500000</t>
  </si>
  <si>
    <t xml:space="preserve">L_E0826</t>
  </si>
  <si>
    <t xml:space="preserve">9092500000</t>
  </si>
  <si>
    <t xml:space="preserve">L_E0827</t>
  </si>
  <si>
    <t xml:space="preserve">3684100000</t>
  </si>
  <si>
    <t xml:space="preserve">L_E0828</t>
  </si>
  <si>
    <t xml:space="preserve">4934100000</t>
  </si>
  <si>
    <t xml:space="preserve">L_E0829</t>
  </si>
  <si>
    <t xml:space="preserve">5538000000</t>
  </si>
  <si>
    <t xml:space="preserve">L_E0830</t>
  </si>
  <si>
    <t xml:space="preserve">5683400000</t>
  </si>
  <si>
    <t xml:space="preserve">L_E0831</t>
  </si>
  <si>
    <t xml:space="preserve">4205500000</t>
  </si>
  <si>
    <t xml:space="preserve">L_E0832</t>
  </si>
  <si>
    <t xml:space="preserve">4707400000</t>
  </si>
  <si>
    <t xml:space="preserve">L_E0833</t>
  </si>
  <si>
    <t xml:space="preserve">2563100000</t>
  </si>
  <si>
    <t xml:space="preserve">L_E0834</t>
  </si>
  <si>
    <t xml:space="preserve">5966400000</t>
  </si>
  <si>
    <t xml:space="preserve">L_E0835</t>
  </si>
  <si>
    <t xml:space="preserve">4800400000</t>
  </si>
  <si>
    <t xml:space="preserve">L_E0836</t>
  </si>
  <si>
    <t xml:space="preserve">4148700000</t>
  </si>
  <si>
    <t xml:space="preserve">L_E0837</t>
  </si>
  <si>
    <t xml:space="preserve">2638000000</t>
  </si>
  <si>
    <t xml:space="preserve">L_E0838</t>
  </si>
  <si>
    <t xml:space="preserve">4479400000</t>
  </si>
  <si>
    <t xml:space="preserve">L_E0839</t>
  </si>
  <si>
    <t xml:space="preserve">7286500000</t>
  </si>
  <si>
    <t xml:space="preserve">L_E0840</t>
  </si>
  <si>
    <t xml:space="preserve">2557400000</t>
  </si>
  <si>
    <t xml:space="preserve">L_E0841</t>
  </si>
  <si>
    <t xml:space="preserve">5818800000</t>
  </si>
  <si>
    <t xml:space="preserve">L_E0842</t>
  </si>
  <si>
    <t xml:space="preserve">2454800000</t>
  </si>
  <si>
    <t xml:space="preserve">L_E0843</t>
  </si>
  <si>
    <t xml:space="preserve">7924600000</t>
  </si>
  <si>
    <t xml:space="preserve">L_E0844</t>
  </si>
  <si>
    <t xml:space="preserve">2479000000</t>
  </si>
  <si>
    <t xml:space="preserve">L_E0845</t>
  </si>
  <si>
    <t xml:space="preserve">1030300000</t>
  </si>
  <si>
    <t xml:space="preserve">L_E0846</t>
  </si>
  <si>
    <t xml:space="preserve">4504000000</t>
  </si>
  <si>
    <t xml:space="preserve">L_E0847</t>
  </si>
  <si>
    <t xml:space="preserve">5894300000</t>
  </si>
  <si>
    <t xml:space="preserve">L_E0848</t>
  </si>
  <si>
    <t xml:space="preserve">2642300000</t>
  </si>
  <si>
    <t xml:space="preserve">L_E0849</t>
  </si>
  <si>
    <t xml:space="preserve">7354000000</t>
  </si>
  <si>
    <t xml:space="preserve">L_E0850</t>
  </si>
  <si>
    <t xml:space="preserve">2359000000</t>
  </si>
  <si>
    <t xml:space="preserve">L_E0851</t>
  </si>
  <si>
    <t xml:space="preserve">9698200000</t>
  </si>
  <si>
    <t xml:space="preserve">L_E0852</t>
  </si>
  <si>
    <t xml:space="preserve">3374300000</t>
  </si>
  <si>
    <t xml:space="preserve">L_E0853</t>
  </si>
  <si>
    <t xml:space="preserve">3075400000</t>
  </si>
  <si>
    <t xml:space="preserve">L_E0854</t>
  </si>
  <si>
    <t xml:space="preserve">5326600000</t>
  </si>
  <si>
    <t xml:space="preserve">L_E0855</t>
  </si>
  <si>
    <t xml:space="preserve">1573900000</t>
  </si>
  <si>
    <t xml:space="preserve">L_E0856</t>
  </si>
  <si>
    <t xml:space="preserve">8769200000</t>
  </si>
  <si>
    <t xml:space="preserve">L_E0857</t>
  </si>
  <si>
    <t xml:space="preserve">1667700000</t>
  </si>
  <si>
    <t xml:space="preserve">L_E0858</t>
  </si>
  <si>
    <t xml:space="preserve">9084300000</t>
  </si>
  <si>
    <t xml:space="preserve">L_E0859</t>
  </si>
  <si>
    <t xml:space="preserve">2077900000</t>
  </si>
  <si>
    <t xml:space="preserve">L_E0860</t>
  </si>
  <si>
    <t xml:space="preserve">8850100000</t>
  </si>
  <si>
    <r>
      <rPr>
        <sz val="10"/>
        <color theme="1"/>
        <rFont val="Noto Sans CJK SC"/>
        <family val="2"/>
      </rPr>
      <t xml:space="preserve">당월출고</t>
    </r>
    <r>
      <rPr>
        <sz val="10"/>
        <color theme="1"/>
        <rFont val="맑은 고딕"/>
        <family val="3"/>
        <charset val="129"/>
      </rPr>
      <t xml:space="preserve">(</t>
    </r>
    <r>
      <rPr>
        <sz val="10"/>
        <color theme="1"/>
        <rFont val="Noto Sans CJK SC"/>
        <family val="2"/>
      </rPr>
      <t xml:space="preserve">유상→무상전환</t>
    </r>
    <r>
      <rPr>
        <sz val="10"/>
        <color theme="1"/>
        <rFont val="맑은 고딕"/>
        <family val="3"/>
        <charset val="129"/>
      </rPr>
      <t xml:space="preserve">)</t>
    </r>
  </si>
  <si>
    <r>
      <rPr>
        <sz val="10"/>
        <color theme="1"/>
        <rFont val="Noto Sans CJK SC"/>
        <family val="2"/>
      </rPr>
      <t xml:space="preserve">중고출고</t>
    </r>
    <r>
      <rPr>
        <sz val="10"/>
        <color theme="1"/>
        <rFont val="맑은 고딕"/>
        <family val="3"/>
        <charset val="129"/>
      </rPr>
      <t xml:space="preserve">(A-3)</t>
    </r>
  </si>
  <si>
    <t xml:space="preserve">C_E0861</t>
  </si>
  <si>
    <t xml:space="preserve">4431500000</t>
  </si>
  <si>
    <t xml:space="preserve">C_E0862</t>
  </si>
  <si>
    <t xml:space="preserve">C_E0863</t>
  </si>
  <si>
    <t xml:space="preserve">6701300000</t>
  </si>
  <si>
    <t xml:space="preserve">C_E0864</t>
  </si>
  <si>
    <t xml:space="preserve">7131600000</t>
  </si>
  <si>
    <t xml:space="preserve">C_E0865</t>
  </si>
  <si>
    <t xml:space="preserve">6872900000</t>
  </si>
  <si>
    <t xml:space="preserve">C_E0866</t>
  </si>
  <si>
    <t xml:space="preserve">8558500000</t>
  </si>
  <si>
    <t xml:space="preserve">C_E0867</t>
  </si>
  <si>
    <t xml:space="preserve">1067300000</t>
  </si>
  <si>
    <t xml:space="preserve">C_E0868</t>
  </si>
  <si>
    <t xml:space="preserve">2740200000</t>
  </si>
  <si>
    <t xml:space="preserve">C_E0869</t>
  </si>
  <si>
    <t xml:space="preserve">8860500000</t>
  </si>
  <si>
    <t xml:space="preserve">C_E0870</t>
  </si>
  <si>
    <t xml:space="preserve">6527600000</t>
  </si>
  <si>
    <t xml:space="preserve">C_E0871</t>
  </si>
  <si>
    <t xml:space="preserve">4989500000</t>
  </si>
  <si>
    <t xml:space="preserve">C_E0872</t>
  </si>
  <si>
    <t xml:space="preserve">1322500000</t>
  </si>
  <si>
    <t xml:space="preserve">C_E0873</t>
  </si>
  <si>
    <t xml:space="preserve">3683900000</t>
  </si>
  <si>
    <t xml:space="preserve">C_E0874</t>
  </si>
  <si>
    <t xml:space="preserve">2004300000</t>
  </si>
  <si>
    <t xml:space="preserve">C_E0875</t>
  </si>
  <si>
    <t xml:space="preserve">9398300000</t>
  </si>
  <si>
    <t xml:space="preserve">C_E0876</t>
  </si>
  <si>
    <t xml:space="preserve">2493400000</t>
  </si>
  <si>
    <t xml:space="preserve">C_E0877</t>
  </si>
  <si>
    <t xml:space="preserve">4750100000</t>
  </si>
  <si>
    <t xml:space="preserve">C_E0878</t>
  </si>
  <si>
    <t xml:space="preserve">6538000000</t>
  </si>
  <si>
    <t xml:space="preserve">C_E0879</t>
  </si>
  <si>
    <r>
      <rPr>
        <sz val="10"/>
        <color rgb="FF000000"/>
        <rFont val="Noto Sans CJK SC"/>
        <family val="2"/>
      </rPr>
      <t xml:space="preserve">중고출고</t>
    </r>
    <r>
      <rPr>
        <sz val="10"/>
        <color rgb="FF000000"/>
        <rFont val="맑은 고딕"/>
        <family val="3"/>
        <charset val="129"/>
      </rPr>
      <t xml:space="preserve">(A-3)</t>
    </r>
  </si>
  <si>
    <t xml:space="preserve">C_E0880</t>
  </si>
  <si>
    <t xml:space="preserve">8160000000</t>
  </si>
  <si>
    <t xml:space="preserve">C_E0881</t>
  </si>
  <si>
    <t xml:space="preserve">C_E0882</t>
  </si>
  <si>
    <t xml:space="preserve">8374000000</t>
  </si>
  <si>
    <t xml:space="preserve">C_E0883</t>
  </si>
  <si>
    <t xml:space="preserve">1078500000</t>
  </si>
  <si>
    <t xml:space="preserve">C_E0884</t>
  </si>
  <si>
    <t xml:space="preserve">2187200000</t>
  </si>
  <si>
    <t xml:space="preserve">C_E0885</t>
  </si>
  <si>
    <t xml:space="preserve">5508000000</t>
  </si>
  <si>
    <t xml:space="preserve">C_E0886</t>
  </si>
  <si>
    <t xml:space="preserve">5214600000</t>
  </si>
  <si>
    <t xml:space="preserve">C_E0887</t>
  </si>
  <si>
    <t xml:space="preserve">7746800000</t>
  </si>
  <si>
    <t xml:space="preserve">C_E0888</t>
  </si>
  <si>
    <t xml:space="preserve">5179000000</t>
  </si>
  <si>
    <t xml:space="preserve">C_E0889</t>
  </si>
  <si>
    <t xml:space="preserve">4949900000</t>
  </si>
  <si>
    <t xml:space="preserve">C_E0890</t>
  </si>
  <si>
    <t xml:space="preserve">7426300000</t>
  </si>
  <si>
    <t xml:space="preserve">C_E0891</t>
  </si>
  <si>
    <t xml:space="preserve">5532600000</t>
  </si>
  <si>
    <t xml:space="preserve">C_E0892</t>
  </si>
  <si>
    <t xml:space="preserve">4080400000</t>
  </si>
  <si>
    <t xml:space="preserve">C_E0893</t>
  </si>
  <si>
    <t xml:space="preserve">1078300000</t>
  </si>
  <si>
    <t xml:space="preserve">C_E0894</t>
  </si>
  <si>
    <t xml:space="preserve">7450600000</t>
  </si>
  <si>
    <t xml:space="preserve">C_E0895</t>
  </si>
  <si>
    <t xml:space="preserve">4620800000</t>
  </si>
  <si>
    <t xml:space="preserve">C_E0896</t>
  </si>
  <si>
    <t xml:space="preserve">7941300000</t>
  </si>
  <si>
    <t xml:space="preserve">C_E0897</t>
  </si>
  <si>
    <t xml:space="preserve">4117500000</t>
  </si>
  <si>
    <t xml:space="preserve">C_E0898</t>
  </si>
  <si>
    <t xml:space="preserve">6568800000</t>
  </si>
  <si>
    <t xml:space="preserve">C_E0899</t>
  </si>
  <si>
    <t xml:space="preserve">8423600000</t>
  </si>
  <si>
    <t xml:space="preserve">C_E0900</t>
  </si>
  <si>
    <t xml:space="preserve">1875400000</t>
  </si>
  <si>
    <t xml:space="preserve">C_E0901</t>
  </si>
  <si>
    <t xml:space="preserve">C_E0902</t>
  </si>
  <si>
    <t xml:space="preserve">1277200000</t>
  </si>
  <si>
    <t xml:space="preserve">C_E0903</t>
  </si>
  <si>
    <t xml:space="preserve">8402900000</t>
  </si>
  <si>
    <t xml:space="preserve">C_E0904</t>
  </si>
  <si>
    <t xml:space="preserve">5152300000</t>
  </si>
  <si>
    <t xml:space="preserve">C_E0905</t>
  </si>
  <si>
    <t xml:space="preserve">3978600000</t>
  </si>
  <si>
    <t xml:space="preserve">C_E0906</t>
  </si>
  <si>
    <t xml:space="preserve">6434900000</t>
  </si>
  <si>
    <t xml:space="preserve">C_E0907</t>
  </si>
  <si>
    <t xml:space="preserve">1180100000</t>
  </si>
  <si>
    <t xml:space="preserve">C_E0908</t>
  </si>
  <si>
    <t xml:space="preserve">7199200000</t>
  </si>
  <si>
    <t xml:space="preserve">C_E0909</t>
  </si>
  <si>
    <t xml:space="preserve">7021200000</t>
  </si>
  <si>
    <t xml:space="preserve">C_E0910</t>
  </si>
  <si>
    <t xml:space="preserve">5964000000</t>
  </si>
  <si>
    <t xml:space="preserve">C_E0911</t>
  </si>
  <si>
    <t xml:space="preserve">9525300000</t>
  </si>
  <si>
    <t xml:space="preserve">C_E0912</t>
  </si>
  <si>
    <t xml:space="preserve">7000200000</t>
  </si>
  <si>
    <t xml:space="preserve">C_E0913</t>
  </si>
  <si>
    <t xml:space="preserve">7700500000</t>
  </si>
  <si>
    <t xml:space="preserve">C_E0914</t>
  </si>
  <si>
    <t xml:space="preserve">1681000000</t>
  </si>
  <si>
    <t xml:space="preserve">C_E0915</t>
  </si>
  <si>
    <t xml:space="preserve">7325000000</t>
  </si>
  <si>
    <t xml:space="preserve">C_E0916</t>
  </si>
  <si>
    <t xml:space="preserve">9599900000</t>
  </si>
  <si>
    <t xml:space="preserve">C_E0917</t>
  </si>
  <si>
    <t xml:space="preserve">2285400000</t>
  </si>
  <si>
    <t xml:space="preserve">C_E0918</t>
  </si>
  <si>
    <t xml:space="preserve">6821200000</t>
  </si>
  <si>
    <t xml:space="preserve">C_E0919</t>
  </si>
  <si>
    <t xml:space="preserve">7098500000</t>
  </si>
  <si>
    <t xml:space="preserve">C_E0920</t>
  </si>
  <si>
    <t xml:space="preserve">4265900000</t>
  </si>
  <si>
    <t xml:space="preserve">C_E0921</t>
  </si>
  <si>
    <t xml:space="preserve">3482700000</t>
  </si>
  <si>
    <t xml:space="preserve">C_E0922</t>
  </si>
  <si>
    <t xml:space="preserve">1159200000</t>
  </si>
  <si>
    <t xml:space="preserve">C_E0923</t>
  </si>
  <si>
    <t xml:space="preserve">3149900000</t>
  </si>
  <si>
    <t xml:space="preserve">C_E0924</t>
  </si>
  <si>
    <t xml:space="preserve">C_E0925</t>
  </si>
  <si>
    <t xml:space="preserve">1786100000</t>
  </si>
  <si>
    <t xml:space="preserve">C_E0926</t>
  </si>
  <si>
    <t xml:space="preserve">7643800000</t>
  </si>
  <si>
    <t xml:space="preserve">C_E0927</t>
  </si>
  <si>
    <t xml:space="preserve">7060400000</t>
  </si>
  <si>
    <t xml:space="preserve">C_E0928</t>
  </si>
  <si>
    <t xml:space="preserve">5704700000</t>
  </si>
  <si>
    <t xml:space="preserve">C_E0929</t>
  </si>
  <si>
    <t xml:space="preserve">3078000000</t>
  </si>
  <si>
    <t xml:space="preserve">C_E0930</t>
  </si>
  <si>
    <t xml:space="preserve">8715700000</t>
  </si>
  <si>
    <t xml:space="preserve">C_E0931</t>
  </si>
  <si>
    <t xml:space="preserve">1858800000</t>
  </si>
  <si>
    <t xml:space="preserve">C_E0932</t>
  </si>
  <si>
    <t xml:space="preserve">5163200000</t>
  </si>
  <si>
    <t xml:space="preserve">C_E0933</t>
  </si>
  <si>
    <t xml:space="preserve">2103300000</t>
  </si>
  <si>
    <t xml:space="preserve">C_E0934</t>
  </si>
  <si>
    <t xml:space="preserve">4632400000</t>
  </si>
  <si>
    <t xml:space="preserve">C_E0935</t>
  </si>
  <si>
    <t xml:space="preserve">5886800000</t>
  </si>
  <si>
    <t xml:space="preserve">C_E0936</t>
  </si>
  <si>
    <t xml:space="preserve">1607200000</t>
  </si>
  <si>
    <t xml:space="preserve">C_E0937</t>
  </si>
  <si>
    <t xml:space="preserve">1442400000</t>
  </si>
  <si>
    <t xml:space="preserve">C_E0938</t>
  </si>
  <si>
    <t xml:space="preserve">9331400000</t>
  </si>
  <si>
    <t xml:space="preserve">C_E0939</t>
  </si>
  <si>
    <t xml:space="preserve">2326100000</t>
  </si>
  <si>
    <t xml:space="preserve">C_E0940</t>
  </si>
  <si>
    <t xml:space="preserve">5744700000</t>
  </si>
  <si>
    <t xml:space="preserve">C_E0941</t>
  </si>
  <si>
    <t xml:space="preserve">8871000000</t>
  </si>
  <si>
    <t xml:space="preserve">C_E0942</t>
  </si>
  <si>
    <t xml:space="preserve">8711000000</t>
  </si>
  <si>
    <t xml:space="preserve">C_E0943</t>
  </si>
  <si>
    <t xml:space="preserve">1085400000</t>
  </si>
  <si>
    <t xml:space="preserve">C_E0944</t>
  </si>
  <si>
    <t xml:space="preserve">3037800000</t>
  </si>
  <si>
    <t xml:space="preserve">C_E0945</t>
  </si>
  <si>
    <t xml:space="preserve">C_E0946</t>
  </si>
  <si>
    <t xml:space="preserve">C_E0947</t>
  </si>
  <si>
    <t xml:space="preserve">4182300000</t>
  </si>
  <si>
    <t xml:space="preserve">C_E0948</t>
  </si>
  <si>
    <t xml:space="preserve">6538100000</t>
  </si>
  <si>
    <t xml:space="preserve">C_E0949</t>
  </si>
  <si>
    <t xml:space="preserve">3167400000</t>
  </si>
  <si>
    <t xml:space="preserve">C_E0950</t>
  </si>
  <si>
    <t xml:space="preserve">3167700000</t>
  </si>
  <si>
    <t xml:space="preserve">C_E0951</t>
  </si>
  <si>
    <t xml:space="preserve">1398300000</t>
  </si>
  <si>
    <t xml:space="preserve">C_E0952</t>
  </si>
  <si>
    <t xml:space="preserve">9132700000</t>
  </si>
  <si>
    <t xml:space="preserve">C_E0953</t>
  </si>
  <si>
    <t xml:space="preserve">8976200000</t>
  </si>
  <si>
    <t xml:space="preserve">C_E0954</t>
  </si>
  <si>
    <t xml:space="preserve">4464800000</t>
  </si>
  <si>
    <t xml:space="preserve">C_E0955</t>
  </si>
  <si>
    <t xml:space="preserve">1246800000</t>
  </si>
  <si>
    <t xml:space="preserve">C_E0956</t>
  </si>
  <si>
    <t xml:space="preserve">8096400000</t>
  </si>
  <si>
    <t xml:space="preserve">C_E0957</t>
  </si>
  <si>
    <t xml:space="preserve">C_E0958</t>
  </si>
  <si>
    <t xml:space="preserve">9599700000</t>
  </si>
  <si>
    <t xml:space="preserve">C_E0959</t>
  </si>
  <si>
    <t xml:space="preserve">6607000000</t>
  </si>
  <si>
    <r>
      <rPr>
        <sz val="10"/>
        <color theme="1"/>
        <rFont val="Noto Sans CJK SC"/>
        <family val="2"/>
      </rPr>
      <t xml:space="preserve">유상임대</t>
    </r>
    <r>
      <rPr>
        <sz val="10"/>
        <color theme="1"/>
        <rFont val="맑은 고딕"/>
        <family val="3"/>
        <charset val="129"/>
      </rPr>
      <t xml:space="preserve">(A-3)</t>
    </r>
  </si>
  <si>
    <t xml:space="preserve">C_E0960</t>
  </si>
  <si>
    <t xml:space="preserve">9192700000</t>
  </si>
  <si>
    <t xml:space="preserve">C_E0961</t>
  </si>
  <si>
    <t xml:space="preserve">8651000000</t>
  </si>
  <si>
    <t xml:space="preserve">C_E0962</t>
  </si>
  <si>
    <t xml:space="preserve">5052400000</t>
  </si>
  <si>
    <t xml:space="preserve">C_E0963</t>
  </si>
  <si>
    <t xml:space="preserve">9877500000</t>
  </si>
  <si>
    <t xml:space="preserve">C_E0964</t>
  </si>
  <si>
    <t xml:space="preserve">1583000000</t>
  </si>
  <si>
    <t xml:space="preserve">C_E0965</t>
  </si>
  <si>
    <t xml:space="preserve">8559800000</t>
  </si>
  <si>
    <t xml:space="preserve">C_E0966</t>
  </si>
  <si>
    <t xml:space="preserve">6567100000</t>
  </si>
  <si>
    <t xml:space="preserve">C_E0967</t>
  </si>
  <si>
    <t xml:space="preserve">5824100000</t>
  </si>
  <si>
    <t xml:space="preserve">C_E0968</t>
  </si>
  <si>
    <t xml:space="preserve">C_E0969</t>
  </si>
  <si>
    <t xml:space="preserve">C_E0970</t>
  </si>
  <si>
    <t xml:space="preserve">3916400000</t>
  </si>
  <si>
    <t xml:space="preserve">C_E0971</t>
  </si>
  <si>
    <t xml:space="preserve">1988600000</t>
  </si>
  <si>
    <t xml:space="preserve">C_E0972</t>
  </si>
  <si>
    <t xml:space="preserve">4000500000</t>
  </si>
  <si>
    <t xml:space="preserve">C_E0973</t>
  </si>
  <si>
    <t xml:space="preserve">2258100000</t>
  </si>
  <si>
    <t xml:space="preserve">C_E0974</t>
  </si>
  <si>
    <t xml:space="preserve">5946400000</t>
  </si>
  <si>
    <t xml:space="preserve">C_E0975</t>
  </si>
  <si>
    <t xml:space="preserve">6659300000</t>
  </si>
  <si>
    <t xml:space="preserve">C_E0976</t>
  </si>
  <si>
    <t xml:space="preserve">7124100000</t>
  </si>
  <si>
    <t xml:space="preserve">C_E0977</t>
  </si>
  <si>
    <t xml:space="preserve">6888800000</t>
  </si>
  <si>
    <t xml:space="preserve">C_E0978</t>
  </si>
  <si>
    <t xml:space="preserve">8849800000</t>
  </si>
  <si>
    <t xml:space="preserve">C_E0979</t>
  </si>
  <si>
    <t xml:space="preserve">7309300000</t>
  </si>
  <si>
    <t xml:space="preserve">C_E0980</t>
  </si>
  <si>
    <t xml:space="preserve">2149200000</t>
  </si>
  <si>
    <t xml:space="preserve">C_E0981</t>
  </si>
  <si>
    <t xml:space="preserve">6112400000</t>
  </si>
  <si>
    <t xml:space="preserve">C_E0982</t>
  </si>
  <si>
    <t xml:space="preserve">9764600000</t>
  </si>
  <si>
    <t xml:space="preserve">C_E0983</t>
  </si>
  <si>
    <t xml:space="preserve">6633100000</t>
  </si>
  <si>
    <t xml:space="preserve">C_E0984</t>
  </si>
  <si>
    <t xml:space="preserve">1374300000</t>
  </si>
  <si>
    <t xml:space="preserve">C_E0985</t>
  </si>
  <si>
    <t xml:space="preserve">6127000000</t>
  </si>
  <si>
    <t xml:space="preserve">C_E0986</t>
  </si>
  <si>
    <t xml:space="preserve">1792800000</t>
  </si>
  <si>
    <t xml:space="preserve">C_E0987</t>
  </si>
  <si>
    <t xml:space="preserve">7501700000</t>
  </si>
  <si>
    <t xml:space="preserve">C_E0988</t>
  </si>
  <si>
    <t xml:space="preserve">2340400000</t>
  </si>
  <si>
    <t xml:space="preserve">C_E0989</t>
  </si>
  <si>
    <t xml:space="preserve">1050000000</t>
  </si>
  <si>
    <t xml:space="preserve">C_E0990</t>
  </si>
  <si>
    <t xml:space="preserve">3929800000</t>
  </si>
  <si>
    <t xml:space="preserve">C_E0991</t>
  </si>
  <si>
    <t xml:space="preserve">8863600000</t>
  </si>
  <si>
    <t xml:space="preserve">C_E0992</t>
  </si>
  <si>
    <t xml:space="preserve">C_E0993</t>
  </si>
  <si>
    <t xml:space="preserve">C_E0994</t>
  </si>
  <si>
    <t xml:space="preserve">1302800000</t>
  </si>
  <si>
    <t xml:space="preserve">C_E0995</t>
  </si>
  <si>
    <t xml:space="preserve">1437800000</t>
  </si>
  <si>
    <t xml:space="preserve">C_E0996</t>
  </si>
  <si>
    <t xml:space="preserve">9154300000</t>
  </si>
  <si>
    <t xml:space="preserve">C_E0997</t>
  </si>
  <si>
    <t xml:space="preserve">6842700000</t>
  </si>
  <si>
    <t xml:space="preserve">C_E0998</t>
  </si>
  <si>
    <t xml:space="preserve">1983600000</t>
  </si>
  <si>
    <t xml:space="preserve">C_E0999</t>
  </si>
  <si>
    <t xml:space="preserve">5533200000</t>
  </si>
  <si>
    <t xml:space="preserve">C_E1000</t>
  </si>
  <si>
    <t xml:space="preserve">C_E1001</t>
  </si>
  <si>
    <t xml:space="preserve">6292200000</t>
  </si>
  <si>
    <t xml:space="preserve">C_E1002</t>
  </si>
  <si>
    <t xml:space="preserve">9280800000</t>
  </si>
  <si>
    <t xml:space="preserve">C_E1003</t>
  </si>
  <si>
    <t xml:space="preserve">3028300000</t>
  </si>
  <si>
    <t xml:space="preserve">C_E1004</t>
  </si>
  <si>
    <t xml:space="preserve">8957000000</t>
  </si>
  <si>
    <t xml:space="preserve">C_E1005</t>
  </si>
  <si>
    <t xml:space="preserve">3122400000</t>
  </si>
  <si>
    <t xml:space="preserve">C_E1006</t>
  </si>
  <si>
    <t xml:space="preserve">6342800000</t>
  </si>
  <si>
    <t xml:space="preserve">C_E1007</t>
  </si>
  <si>
    <t xml:space="preserve">8591500000</t>
  </si>
  <si>
    <t xml:space="preserve">C_E1008</t>
  </si>
  <si>
    <t xml:space="preserve">4547800000</t>
  </si>
  <si>
    <t xml:space="preserve">C_E1009</t>
  </si>
  <si>
    <t xml:space="preserve">1641400000</t>
  </si>
  <si>
    <t xml:space="preserve">C_E1010</t>
  </si>
  <si>
    <t xml:space="preserve">9772000000</t>
  </si>
  <si>
    <t xml:space="preserve">C_E1011</t>
  </si>
  <si>
    <t xml:space="preserve">9096300000</t>
  </si>
  <si>
    <t xml:space="preserve">C_E1012</t>
  </si>
  <si>
    <t xml:space="preserve">2016800000</t>
  </si>
  <si>
    <t xml:space="preserve">C_E1013</t>
  </si>
  <si>
    <t xml:space="preserve">9476200000</t>
  </si>
  <si>
    <t xml:space="preserve">C_E1014</t>
  </si>
  <si>
    <t xml:space="preserve">7048900000</t>
  </si>
  <si>
    <t xml:space="preserve">C_E1015</t>
  </si>
  <si>
    <t xml:space="preserve">7021700000</t>
  </si>
  <si>
    <t xml:space="preserve">C_E1016</t>
  </si>
  <si>
    <t xml:space="preserve">7699800000</t>
  </si>
  <si>
    <t xml:space="preserve">C_E1017</t>
  </si>
  <si>
    <t xml:space="preserve">2642800000</t>
  </si>
  <si>
    <t xml:space="preserve">C_E1018</t>
  </si>
  <si>
    <t xml:space="preserve">6146400000</t>
  </si>
  <si>
    <t xml:space="preserve">C_E1019</t>
  </si>
  <si>
    <t xml:space="preserve">9570600000</t>
  </si>
  <si>
    <t xml:space="preserve">C_E1020</t>
  </si>
  <si>
    <t xml:space="preserve">6651800000</t>
  </si>
  <si>
    <t xml:space="preserve">C_E1021</t>
  </si>
  <si>
    <t xml:space="preserve">2974300000</t>
  </si>
  <si>
    <t xml:space="preserve">C_E1022</t>
  </si>
  <si>
    <t xml:space="preserve">6468700000</t>
  </si>
  <si>
    <t xml:space="preserve">C_E1023</t>
  </si>
  <si>
    <t xml:space="preserve">9663400000</t>
  </si>
  <si>
    <t xml:space="preserve">C_E1024</t>
  </si>
  <si>
    <t xml:space="preserve">3046700000</t>
  </si>
  <si>
    <t xml:space="preserve">C_E1025</t>
  </si>
  <si>
    <t xml:space="preserve">6000900000</t>
  </si>
  <si>
    <t xml:space="preserve">C_E1026</t>
  </si>
  <si>
    <t xml:space="preserve">2626700000</t>
  </si>
  <si>
    <t xml:space="preserve">C_E1027</t>
  </si>
  <si>
    <t xml:space="preserve">8967500000</t>
  </si>
  <si>
    <t xml:space="preserve">C_E1028</t>
  </si>
  <si>
    <t xml:space="preserve">3148900000</t>
  </si>
  <si>
    <t xml:space="preserve">C_E1029</t>
  </si>
  <si>
    <t xml:space="preserve">5981900000</t>
  </si>
  <si>
    <t xml:space="preserve">C_E1030</t>
  </si>
  <si>
    <t xml:space="preserve">4047700000</t>
  </si>
  <si>
    <t xml:space="preserve">C_E1031</t>
  </si>
  <si>
    <t xml:space="preserve">2548200000</t>
  </si>
  <si>
    <t xml:space="preserve">C_E1032</t>
  </si>
  <si>
    <t xml:space="preserve">3142400000</t>
  </si>
  <si>
    <t xml:space="preserve">C_E1033</t>
  </si>
  <si>
    <t xml:space="preserve">7123300000</t>
  </si>
  <si>
    <t xml:space="preserve">C_E1034</t>
  </si>
  <si>
    <t xml:space="preserve">9440600000</t>
  </si>
  <si>
    <t xml:space="preserve">C_E1035</t>
  </si>
  <si>
    <t xml:space="preserve">1772200000</t>
  </si>
  <si>
    <t xml:space="preserve">C_E1036</t>
  </si>
  <si>
    <t xml:space="preserve">1524200000</t>
  </si>
  <si>
    <t xml:space="preserve">C_E1037</t>
  </si>
  <si>
    <t xml:space="preserve">2771200000</t>
  </si>
  <si>
    <t xml:space="preserve">C_E1038</t>
  </si>
  <si>
    <t xml:space="preserve">2929600000</t>
  </si>
  <si>
    <t xml:space="preserve">C_E1039</t>
  </si>
  <si>
    <t xml:space="preserve">3115400000</t>
  </si>
  <si>
    <t xml:space="preserve">C_E1040</t>
  </si>
  <si>
    <t xml:space="preserve">9913200000</t>
  </si>
  <si>
    <t xml:space="preserve">C_E1041</t>
  </si>
  <si>
    <t xml:space="preserve">7154400000</t>
  </si>
  <si>
    <t xml:space="preserve">C_E1042</t>
  </si>
  <si>
    <t xml:space="preserve">8088100000</t>
  </si>
  <si>
    <t xml:space="preserve">C_E1043</t>
  </si>
  <si>
    <t xml:space="preserve">1015200000</t>
  </si>
  <si>
    <t xml:space="preserve">C_E1044</t>
  </si>
  <si>
    <t xml:space="preserve">1325200000</t>
  </si>
  <si>
    <t xml:space="preserve">C_E1045</t>
  </si>
  <si>
    <t xml:space="preserve">4657400000</t>
  </si>
  <si>
    <t xml:space="preserve">C_E1046</t>
  </si>
  <si>
    <t xml:space="preserve">2039100000</t>
  </si>
  <si>
    <t xml:space="preserve">C_E1047</t>
  </si>
  <si>
    <t xml:space="preserve">5292400000</t>
  </si>
  <si>
    <t xml:space="preserve">C_E1048</t>
  </si>
  <si>
    <t xml:space="preserve">3876900000</t>
  </si>
  <si>
    <t xml:space="preserve">C_E1049</t>
  </si>
  <si>
    <t xml:space="preserve">3096000000</t>
  </si>
  <si>
    <t xml:space="preserve">C_E1050</t>
  </si>
  <si>
    <t xml:space="preserve">9660200000</t>
  </si>
  <si>
    <t xml:space="preserve">C_E1051</t>
  </si>
  <si>
    <t xml:space="preserve">C_E1052</t>
  </si>
  <si>
    <t xml:space="preserve">5768300000</t>
  </si>
  <si>
    <t xml:space="preserve">C_E1053</t>
  </si>
  <si>
    <t xml:space="preserve">2198800000</t>
  </si>
  <si>
    <t xml:space="preserve">C_E1054</t>
  </si>
  <si>
    <t xml:space="preserve">8846400000</t>
  </si>
  <si>
    <t xml:space="preserve">C_E1055</t>
  </si>
  <si>
    <t xml:space="preserve">7765900000</t>
  </si>
  <si>
    <t xml:space="preserve">C_E1056</t>
  </si>
  <si>
    <t xml:space="preserve">6321600000</t>
  </si>
  <si>
    <t xml:space="preserve">C_E1057</t>
  </si>
  <si>
    <t xml:space="preserve">5647200000</t>
  </si>
  <si>
    <t xml:space="preserve">C_E1058</t>
  </si>
  <si>
    <t xml:space="preserve">4879800000</t>
  </si>
  <si>
    <t xml:space="preserve">C_E1059</t>
  </si>
  <si>
    <t xml:space="preserve">4207100000</t>
  </si>
  <si>
    <t xml:space="preserve">C_E1060</t>
  </si>
  <si>
    <t xml:space="preserve">4434500000</t>
  </si>
  <si>
    <t xml:space="preserve">C_E1061</t>
  </si>
  <si>
    <t xml:space="preserve">7677500000</t>
  </si>
  <si>
    <t xml:space="preserve">C_E1062</t>
  </si>
  <si>
    <t xml:space="preserve">8475200000</t>
  </si>
  <si>
    <t xml:space="preserve">C_E1063</t>
  </si>
  <si>
    <t xml:space="preserve">4950300000</t>
  </si>
  <si>
    <t xml:space="preserve">C_E1064</t>
  </si>
  <si>
    <t xml:space="preserve">5939500000</t>
  </si>
  <si>
    <t xml:space="preserve">C_E1065</t>
  </si>
  <si>
    <t xml:space="preserve">5669600000</t>
  </si>
  <si>
    <t xml:space="preserve">C_E1066</t>
  </si>
  <si>
    <t xml:space="preserve">4908400000</t>
  </si>
  <si>
    <t xml:space="preserve">C_E1067</t>
  </si>
  <si>
    <t xml:space="preserve">6193200000</t>
  </si>
  <si>
    <t xml:space="preserve">C_E1068</t>
  </si>
  <si>
    <t xml:space="preserve">4501100000</t>
  </si>
  <si>
    <t xml:space="preserve">C_E1069</t>
  </si>
  <si>
    <t xml:space="preserve">9099700000</t>
  </si>
  <si>
    <t xml:space="preserve">C_E1070</t>
  </si>
  <si>
    <t xml:space="preserve">9545100000</t>
  </si>
  <si>
    <t xml:space="preserve">C_E1071</t>
  </si>
  <si>
    <t xml:space="preserve">2793200000</t>
  </si>
  <si>
    <t xml:space="preserve">C_E1072</t>
  </si>
  <si>
    <t xml:space="preserve">1595100000</t>
  </si>
  <si>
    <t xml:space="preserve">C_E1073</t>
  </si>
  <si>
    <t xml:space="preserve">4857200000</t>
  </si>
  <si>
    <t xml:space="preserve">C_E1074</t>
  </si>
  <si>
    <t xml:space="preserve">6098100000</t>
  </si>
  <si>
    <t xml:space="preserve">C_E1075</t>
  </si>
  <si>
    <t xml:space="preserve">1224000000</t>
  </si>
  <si>
    <t xml:space="preserve">C_E1076</t>
  </si>
  <si>
    <t xml:space="preserve">6459700000</t>
  </si>
  <si>
    <t xml:space="preserve">C_E1077</t>
  </si>
  <si>
    <t xml:space="preserve">7449000000</t>
  </si>
  <si>
    <t xml:space="preserve">C_E1078</t>
  </si>
  <si>
    <t xml:space="preserve">1916300000</t>
  </si>
  <si>
    <t xml:space="preserve">C_E1079</t>
  </si>
  <si>
    <t xml:space="preserve">2008000000</t>
  </si>
  <si>
    <t xml:space="preserve">C_E1080</t>
  </si>
  <si>
    <t xml:space="preserve">8004900000</t>
  </si>
  <si>
    <t xml:space="preserve">C_E1081</t>
  </si>
  <si>
    <t xml:space="preserve">3353400000</t>
  </si>
  <si>
    <t xml:space="preserve">C_E1082</t>
  </si>
  <si>
    <t xml:space="preserve">9008400000</t>
  </si>
  <si>
    <t xml:space="preserve">C_E1083</t>
  </si>
  <si>
    <t xml:space="preserve">1794600000</t>
  </si>
  <si>
    <t xml:space="preserve">C_E1084</t>
  </si>
  <si>
    <t xml:space="preserve">C_E1085</t>
  </si>
  <si>
    <t xml:space="preserve">2803200000</t>
  </si>
  <si>
    <t xml:space="preserve">C_E1086</t>
  </si>
  <si>
    <t xml:space="preserve">9475400000</t>
  </si>
  <si>
    <t xml:space="preserve">C_E1087</t>
  </si>
  <si>
    <t xml:space="preserve">6997100000</t>
  </si>
  <si>
    <t xml:space="preserve">C_E1088</t>
  </si>
  <si>
    <t xml:space="preserve">9390400000</t>
  </si>
  <si>
    <t xml:space="preserve">C_E1089</t>
  </si>
  <si>
    <t xml:space="preserve">6412900000</t>
  </si>
  <si>
    <t xml:space="preserve">C_E1090</t>
  </si>
  <si>
    <t xml:space="preserve">1357300000</t>
  </si>
  <si>
    <t xml:space="preserve">C_E1091</t>
  </si>
  <si>
    <t xml:space="preserve">3053800000</t>
  </si>
  <si>
    <t xml:space="preserve">C_E1092</t>
  </si>
  <si>
    <t xml:space="preserve">1472900000</t>
  </si>
  <si>
    <t xml:space="preserve">C_E1093</t>
  </si>
  <si>
    <t xml:space="preserve">2774300000</t>
  </si>
  <si>
    <t xml:space="preserve">C_E1094</t>
  </si>
  <si>
    <t xml:space="preserve">3554100000</t>
  </si>
  <si>
    <t xml:space="preserve">C_E1095</t>
  </si>
  <si>
    <t xml:space="preserve">3533500000</t>
  </si>
  <si>
    <t xml:space="preserve">C_E1096</t>
  </si>
  <si>
    <t xml:space="preserve">7262900000</t>
  </si>
  <si>
    <t xml:space="preserve">C_E1097</t>
  </si>
  <si>
    <t xml:space="preserve">3746800000</t>
  </si>
  <si>
    <t xml:space="preserve">C_E1098</t>
  </si>
  <si>
    <t xml:space="preserve">7273300000</t>
  </si>
  <si>
    <t xml:space="preserve">C_E1099</t>
  </si>
  <si>
    <t xml:space="preserve">8239100000</t>
  </si>
  <si>
    <t xml:space="preserve">C_E1100</t>
  </si>
  <si>
    <t xml:space="preserve">5057600000</t>
  </si>
  <si>
    <t xml:space="preserve">C_E1101</t>
  </si>
  <si>
    <t xml:space="preserve">1991900000</t>
  </si>
  <si>
    <t xml:space="preserve">C_E1102</t>
  </si>
  <si>
    <t xml:space="preserve">7056300000</t>
  </si>
  <si>
    <t xml:space="preserve">C_E1103</t>
  </si>
  <si>
    <t xml:space="preserve">C_E1104</t>
  </si>
  <si>
    <t xml:space="preserve">1121900000</t>
  </si>
  <si>
    <t xml:space="preserve">C_E1105</t>
  </si>
  <si>
    <t xml:space="preserve">3302300000</t>
  </si>
  <si>
    <t xml:space="preserve">C_E1106</t>
  </si>
  <si>
    <t xml:space="preserve">9564300000</t>
  </si>
  <si>
    <t xml:space="preserve">C_E1107</t>
  </si>
  <si>
    <t xml:space="preserve">7000000000</t>
  </si>
  <si>
    <t xml:space="preserve">C_E1108</t>
  </si>
  <si>
    <t xml:space="preserve">9113100000</t>
  </si>
  <si>
    <t xml:space="preserve">C_E1109</t>
  </si>
  <si>
    <t xml:space="preserve">9940600000</t>
  </si>
  <si>
    <t xml:space="preserve">C_E1110</t>
  </si>
  <si>
    <t xml:space="preserve">9871400000</t>
  </si>
  <si>
    <t xml:space="preserve">C_E1111</t>
  </si>
  <si>
    <t xml:space="preserve">9943500000</t>
  </si>
  <si>
    <t xml:space="preserve">C_E1112</t>
  </si>
  <si>
    <t xml:space="preserve">6390400000</t>
  </si>
  <si>
    <t xml:space="preserve">C_E1113</t>
  </si>
  <si>
    <t xml:space="preserve">6181300000</t>
  </si>
  <si>
    <t xml:space="preserve">C_E1114</t>
  </si>
  <si>
    <t xml:space="preserve">3339300000</t>
  </si>
  <si>
    <t xml:space="preserve">C_E1115</t>
  </si>
  <si>
    <t xml:space="preserve">6372500000</t>
  </si>
  <si>
    <t xml:space="preserve">C_E1116</t>
  </si>
  <si>
    <t xml:space="preserve">4758400000</t>
  </si>
  <si>
    <t xml:space="preserve">C_E1117</t>
  </si>
  <si>
    <t xml:space="preserve">8738200000</t>
  </si>
  <si>
    <t xml:space="preserve">C_E1118</t>
  </si>
  <si>
    <t xml:space="preserve">2998000000</t>
  </si>
  <si>
    <t xml:space="preserve">C_E1119</t>
  </si>
  <si>
    <t xml:space="preserve">9092700000</t>
  </si>
  <si>
    <t xml:space="preserve">C_E1120</t>
  </si>
  <si>
    <t xml:space="preserve">9277500000</t>
  </si>
  <si>
    <t xml:space="preserve">C_E1121</t>
  </si>
  <si>
    <t xml:space="preserve">6494200000</t>
  </si>
  <si>
    <t xml:space="preserve">C_E1122</t>
  </si>
  <si>
    <t xml:space="preserve">2677400000</t>
  </si>
  <si>
    <t xml:space="preserve">C_E1123</t>
  </si>
  <si>
    <t xml:space="preserve">C_E1124</t>
  </si>
  <si>
    <t xml:space="preserve">9405100000</t>
  </si>
  <si>
    <t xml:space="preserve">C_E1125</t>
  </si>
  <si>
    <t xml:space="preserve">1780500000</t>
  </si>
  <si>
    <t xml:space="preserve">C_E1126</t>
  </si>
  <si>
    <t xml:space="preserve">4861700000</t>
  </si>
  <si>
    <t xml:space="preserve">C_E1127</t>
  </si>
  <si>
    <t xml:space="preserve">7898700000</t>
  </si>
  <si>
    <t xml:space="preserve">C_E1128</t>
  </si>
  <si>
    <t xml:space="preserve">C_E1129</t>
  </si>
  <si>
    <t xml:space="preserve">1267600000</t>
  </si>
  <si>
    <t xml:space="preserve">C_E1130</t>
  </si>
  <si>
    <t xml:space="preserve">9095200000</t>
  </si>
  <si>
    <t xml:space="preserve">C_E1131</t>
  </si>
  <si>
    <t xml:space="preserve">2510800000</t>
  </si>
  <si>
    <t xml:space="preserve">C_E1132</t>
  </si>
  <si>
    <t xml:space="preserve">1749800000</t>
  </si>
  <si>
    <t xml:space="preserve">C_E1133</t>
  </si>
  <si>
    <t xml:space="preserve">7006100000</t>
  </si>
  <si>
    <t xml:space="preserve">C_E1134</t>
  </si>
  <si>
    <t xml:space="preserve">6855000000</t>
  </si>
  <si>
    <t xml:space="preserve">C_E1135</t>
  </si>
  <si>
    <t xml:space="preserve">9165300000</t>
  </si>
  <si>
    <t xml:space="preserve">C_E1136</t>
  </si>
  <si>
    <t xml:space="preserve">1970500000</t>
  </si>
  <si>
    <t xml:space="preserve">C_E1137</t>
  </si>
  <si>
    <t xml:space="preserve">4902500000</t>
  </si>
  <si>
    <t xml:space="preserve">C_E1138</t>
  </si>
  <si>
    <t xml:space="preserve">9757100000</t>
  </si>
  <si>
    <t xml:space="preserve">C_E1139</t>
  </si>
  <si>
    <t xml:space="preserve">1665700000</t>
  </si>
  <si>
    <t xml:space="preserve">C_E1140</t>
  </si>
  <si>
    <t xml:space="preserve">5393800000</t>
  </si>
  <si>
    <t xml:space="preserve">C_E1141</t>
  </si>
  <si>
    <t xml:space="preserve">7061200000</t>
  </si>
  <si>
    <t xml:space="preserve">C_E1142</t>
  </si>
  <si>
    <t xml:space="preserve">C_E1143</t>
  </si>
  <si>
    <t xml:space="preserve">4661000000</t>
  </si>
  <si>
    <t xml:space="preserve">C_E1144</t>
  </si>
  <si>
    <t xml:space="preserve">4651700000</t>
  </si>
  <si>
    <t xml:space="preserve">C_E1145</t>
  </si>
  <si>
    <t xml:space="preserve">8159000000</t>
  </si>
  <si>
    <t xml:space="preserve">C_E1146</t>
  </si>
  <si>
    <t xml:space="preserve">C_E1147</t>
  </si>
  <si>
    <t xml:space="preserve">8170600000</t>
  </si>
  <si>
    <t xml:space="preserve">C_E1148</t>
  </si>
  <si>
    <t xml:space="preserve">8556900000</t>
  </si>
  <si>
    <t xml:space="preserve">C_E1149</t>
  </si>
  <si>
    <t xml:space="preserve">7051400000</t>
  </si>
  <si>
    <t xml:space="preserve">C_E1150</t>
  </si>
  <si>
    <t xml:space="preserve">3639000000</t>
  </si>
  <si>
    <t xml:space="preserve">C_E1151</t>
  </si>
  <si>
    <t xml:space="preserve">4156300000</t>
  </si>
  <si>
    <t xml:space="preserve">C_E1152</t>
  </si>
  <si>
    <t xml:space="preserve">6705500000</t>
  </si>
  <si>
    <t xml:space="preserve">C_E1153</t>
  </si>
  <si>
    <t xml:space="preserve">7304700000</t>
  </si>
  <si>
    <t xml:space="preserve">C_E1154</t>
  </si>
  <si>
    <t xml:space="preserve">C_E1155</t>
  </si>
  <si>
    <t xml:space="preserve">4267100000</t>
  </si>
  <si>
    <t xml:space="preserve">C_E1156</t>
  </si>
  <si>
    <t xml:space="preserve">8162800000</t>
  </si>
  <si>
    <t xml:space="preserve">C_E1157</t>
  </si>
  <si>
    <t xml:space="preserve">5365500000</t>
  </si>
  <si>
    <t xml:space="preserve">C_E1158</t>
  </si>
  <si>
    <t xml:space="preserve">7722500000</t>
  </si>
  <si>
    <t xml:space="preserve">C_E1159</t>
  </si>
  <si>
    <t xml:space="preserve">9811100000</t>
  </si>
  <si>
    <t xml:space="preserve">C_E1160</t>
  </si>
  <si>
    <t xml:space="preserve">2267800000</t>
  </si>
  <si>
    <t xml:space="preserve">C_E1161</t>
  </si>
  <si>
    <t xml:space="preserve">5534800000</t>
  </si>
  <si>
    <t xml:space="preserve">C_E1162</t>
  </si>
  <si>
    <t xml:space="preserve">8795800000</t>
  </si>
  <si>
    <t xml:space="preserve">C_E1163</t>
  </si>
  <si>
    <t xml:space="preserve">4724800000</t>
  </si>
  <si>
    <t xml:space="preserve">C_E1164</t>
  </si>
  <si>
    <t xml:space="preserve">C_E1165</t>
  </si>
  <si>
    <t xml:space="preserve">4130800000</t>
  </si>
  <si>
    <t xml:space="preserve">C_E1166</t>
  </si>
  <si>
    <t xml:space="preserve">1308000000</t>
  </si>
  <si>
    <t xml:space="preserve">C_E1167</t>
  </si>
  <si>
    <t xml:space="preserve">1799900000</t>
  </si>
  <si>
    <t xml:space="preserve">C_E1168</t>
  </si>
  <si>
    <t xml:space="preserve">7294900000</t>
  </si>
  <si>
    <t xml:space="preserve">C_E1169</t>
  </si>
  <si>
    <t xml:space="preserve">2528500000</t>
  </si>
  <si>
    <t xml:space="preserve">C_E1170</t>
  </si>
  <si>
    <t xml:space="preserve">8272300000</t>
  </si>
  <si>
    <t xml:space="preserve">C_E1171</t>
  </si>
  <si>
    <t xml:space="preserve">6883500000</t>
  </si>
  <si>
    <t xml:space="preserve">C_E1172</t>
  </si>
  <si>
    <t xml:space="preserve">3186500000</t>
  </si>
  <si>
    <t xml:space="preserve">C_E1173</t>
  </si>
  <si>
    <t xml:space="preserve">8203700000</t>
  </si>
  <si>
    <t xml:space="preserve">C_E1174</t>
  </si>
  <si>
    <t xml:space="preserve">5919500000</t>
  </si>
  <si>
    <t xml:space="preserve">C_E1175</t>
  </si>
  <si>
    <t xml:space="preserve">2084600000</t>
  </si>
  <si>
    <t xml:space="preserve">C_E1176</t>
  </si>
  <si>
    <t xml:space="preserve">5509200000</t>
  </si>
  <si>
    <t xml:space="preserve">C_E1177</t>
  </si>
  <si>
    <t xml:space="preserve">6539200000</t>
  </si>
  <si>
    <t xml:space="preserve">C_E1178</t>
  </si>
  <si>
    <t xml:space="preserve">6650100000</t>
  </si>
  <si>
    <t xml:space="preserve">C_E1179</t>
  </si>
  <si>
    <t xml:space="preserve">5862000000</t>
  </si>
  <si>
    <t xml:space="preserve">C_E1180</t>
  </si>
  <si>
    <t xml:space="preserve">7786000000</t>
  </si>
  <si>
    <t xml:space="preserve">C_E1181</t>
  </si>
  <si>
    <t xml:space="preserve">4784400000</t>
  </si>
  <si>
    <t xml:space="preserve">C_E1182</t>
  </si>
  <si>
    <t xml:space="preserve">6928600000</t>
  </si>
  <si>
    <t xml:space="preserve">C_E1183</t>
  </si>
  <si>
    <t xml:space="preserve">9810500000</t>
  </si>
  <si>
    <t xml:space="preserve">C_E1184</t>
  </si>
  <si>
    <t xml:space="preserve">4844000000</t>
  </si>
  <si>
    <t xml:space="preserve">C_E1185</t>
  </si>
  <si>
    <t xml:space="preserve">9163600000</t>
  </si>
  <si>
    <t xml:space="preserve">C_E1186</t>
  </si>
  <si>
    <t xml:space="preserve">4687500000</t>
  </si>
  <si>
    <t xml:space="preserve">C_E1187</t>
  </si>
  <si>
    <t xml:space="preserve">8153500000</t>
  </si>
  <si>
    <t xml:space="preserve">C_E1188</t>
  </si>
  <si>
    <t xml:space="preserve">3424200000</t>
  </si>
  <si>
    <t xml:space="preserve">C_E1189</t>
  </si>
  <si>
    <t xml:space="preserve">7082700000</t>
  </si>
  <si>
    <t xml:space="preserve">C_E1190</t>
  </si>
  <si>
    <t xml:space="preserve">5761800000</t>
  </si>
  <si>
    <t xml:space="preserve">C_E1191</t>
  </si>
  <si>
    <t xml:space="preserve">2812000000</t>
  </si>
  <si>
    <t xml:space="preserve">C_E1192</t>
  </si>
  <si>
    <t xml:space="preserve">8051600000</t>
  </si>
  <si>
    <t xml:space="preserve">C_E1193</t>
  </si>
  <si>
    <t xml:space="preserve">3490200000</t>
  </si>
  <si>
    <t xml:space="preserve">C_E1194</t>
  </si>
  <si>
    <t xml:space="preserve">5723900000</t>
  </si>
  <si>
    <t xml:space="preserve">C_E1195</t>
  </si>
  <si>
    <t xml:space="preserve">C_E1196</t>
  </si>
  <si>
    <t xml:space="preserve">6027500000</t>
  </si>
  <si>
    <t xml:space="preserve">C_E1197</t>
  </si>
  <si>
    <t xml:space="preserve">7694900000</t>
  </si>
  <si>
    <t xml:space="preserve">C_E1198</t>
  </si>
  <si>
    <t xml:space="preserve">7872000000</t>
  </si>
  <si>
    <t xml:space="preserve">C_E1199</t>
  </si>
  <si>
    <t xml:space="preserve">1626300000</t>
  </si>
  <si>
    <t xml:space="preserve">C_E1200</t>
  </si>
  <si>
    <t xml:space="preserve">3334300000</t>
  </si>
  <si>
    <t xml:space="preserve">C_E1201</t>
  </si>
  <si>
    <t xml:space="preserve">3618900000</t>
  </si>
  <si>
    <t xml:space="preserve">C_E1202</t>
  </si>
  <si>
    <t xml:space="preserve">6252600000</t>
  </si>
  <si>
    <t xml:space="preserve">C_E1203</t>
  </si>
  <si>
    <t xml:space="preserve">4714600000</t>
  </si>
  <si>
    <t xml:space="preserve">C_E1204</t>
  </si>
  <si>
    <t xml:space="preserve">4366000000</t>
  </si>
  <si>
    <t xml:space="preserve">C_E1205</t>
  </si>
  <si>
    <t xml:space="preserve">8877200000</t>
  </si>
  <si>
    <t xml:space="preserve">C_E1206</t>
  </si>
  <si>
    <t xml:space="preserve">4848500000</t>
  </si>
  <si>
    <t xml:space="preserve">C_E1207</t>
  </si>
  <si>
    <t xml:space="preserve">3822700000</t>
  </si>
  <si>
    <t xml:space="preserve">C_E1208</t>
  </si>
  <si>
    <t xml:space="preserve">9213700000</t>
  </si>
  <si>
    <t xml:space="preserve">C_E1209</t>
  </si>
  <si>
    <t xml:space="preserve">3650700000</t>
  </si>
  <si>
    <t xml:space="preserve">C_E1210</t>
  </si>
  <si>
    <t xml:space="preserve">5092200000</t>
  </si>
  <si>
    <t xml:space="preserve">C_E1211</t>
  </si>
  <si>
    <t xml:space="preserve">4559200000</t>
  </si>
  <si>
    <t xml:space="preserve">C_E1212</t>
  </si>
  <si>
    <t xml:space="preserve">7923900000</t>
  </si>
  <si>
    <t xml:space="preserve">C_E1213</t>
  </si>
  <si>
    <t xml:space="preserve">8607700000</t>
  </si>
  <si>
    <t xml:space="preserve">C_E1214</t>
  </si>
  <si>
    <t xml:space="preserve">6740000000</t>
  </si>
  <si>
    <t xml:space="preserve">C_E1215</t>
  </si>
  <si>
    <t xml:space="preserve">8715400000</t>
  </si>
  <si>
    <t xml:space="preserve">C_E1216</t>
  </si>
  <si>
    <t xml:space="preserve">2749500000</t>
  </si>
  <si>
    <t xml:space="preserve">C_E1217</t>
  </si>
  <si>
    <t xml:space="preserve">2814700000</t>
  </si>
  <si>
    <t xml:space="preserve">C_E1218</t>
  </si>
  <si>
    <t xml:space="preserve">7178700000</t>
  </si>
  <si>
    <t xml:space="preserve">C_E1219</t>
  </si>
  <si>
    <t xml:space="preserve">7739200000</t>
  </si>
  <si>
    <t xml:space="preserve">C_E1220</t>
  </si>
  <si>
    <t xml:space="preserve">9510300000</t>
  </si>
  <si>
    <t xml:space="preserve">C_E1221</t>
  </si>
  <si>
    <t xml:space="preserve">2870700000</t>
  </si>
  <si>
    <t xml:space="preserve">C_E1222</t>
  </si>
  <si>
    <t xml:space="preserve">2708700000</t>
  </si>
  <si>
    <t xml:space="preserve">C_E1223</t>
  </si>
  <si>
    <t xml:space="preserve">C_E1224</t>
  </si>
  <si>
    <t xml:space="preserve">7753600000</t>
  </si>
  <si>
    <t xml:space="preserve">C_E1225</t>
  </si>
  <si>
    <t xml:space="preserve">4244600000</t>
  </si>
  <si>
    <t xml:space="preserve">C_E1226</t>
  </si>
  <si>
    <t xml:space="preserve">5698900000</t>
  </si>
  <si>
    <t xml:space="preserve">C_E1227</t>
  </si>
  <si>
    <t xml:space="preserve">9459800000</t>
  </si>
  <si>
    <t xml:space="preserve">C_E1228</t>
  </si>
  <si>
    <t xml:space="preserve">3991300000</t>
  </si>
  <si>
    <t xml:space="preserve">C_E1229</t>
  </si>
  <si>
    <t xml:space="preserve">C_E1230</t>
  </si>
  <si>
    <t xml:space="preserve">4311400000</t>
  </si>
  <si>
    <t xml:space="preserve">C_E1231</t>
  </si>
  <si>
    <t xml:space="preserve">6660000000</t>
  </si>
  <si>
    <t xml:space="preserve">C_E1232</t>
  </si>
  <si>
    <t xml:space="preserve">5821600000</t>
  </si>
  <si>
    <t xml:space="preserve">C_E1233</t>
  </si>
  <si>
    <t xml:space="preserve">7724800000</t>
  </si>
  <si>
    <t xml:space="preserve">C_E1234</t>
  </si>
  <si>
    <t xml:space="preserve">2738200000</t>
  </si>
  <si>
    <t xml:space="preserve">C_E1235</t>
  </si>
  <si>
    <t xml:space="preserve">8195900000</t>
  </si>
  <si>
    <t xml:space="preserve">C_E1236</t>
  </si>
  <si>
    <t xml:space="preserve">9166500000</t>
  </si>
  <si>
    <t xml:space="preserve">C_E1237</t>
  </si>
  <si>
    <t xml:space="preserve">3622800000</t>
  </si>
  <si>
    <t xml:space="preserve">C_E1238</t>
  </si>
  <si>
    <t xml:space="preserve">9289900000</t>
  </si>
  <si>
    <t xml:space="preserve">C_E1239</t>
  </si>
  <si>
    <t xml:space="preserve">7067700000</t>
  </si>
  <si>
    <t xml:space="preserve">C_E1240</t>
  </si>
  <si>
    <t xml:space="preserve">9427400000</t>
  </si>
  <si>
    <t xml:space="preserve">C_E1241</t>
  </si>
  <si>
    <t xml:space="preserve">1010700000</t>
  </si>
  <si>
    <t xml:space="preserve">C_E1242</t>
  </si>
  <si>
    <t xml:space="preserve">7235900000</t>
  </si>
  <si>
    <t xml:space="preserve">C_E1243</t>
  </si>
  <si>
    <t xml:space="preserve">4331200000</t>
  </si>
  <si>
    <t xml:space="preserve">C_E1244</t>
  </si>
  <si>
    <t xml:space="preserve">4615100000</t>
  </si>
  <si>
    <t xml:space="preserve">C_E1245</t>
  </si>
  <si>
    <t xml:space="preserve">3310400000</t>
  </si>
  <si>
    <t xml:space="preserve">C_E1246</t>
  </si>
  <si>
    <t xml:space="preserve">3834900000</t>
  </si>
  <si>
    <t xml:space="preserve">C_E1247</t>
  </si>
  <si>
    <t xml:space="preserve">6642300000</t>
  </si>
  <si>
    <t xml:space="preserve">C_E1248</t>
  </si>
  <si>
    <t xml:space="preserve">2324900000</t>
  </si>
  <si>
    <t xml:space="preserve">C_E1249</t>
  </si>
  <si>
    <t xml:space="preserve">5876100000</t>
  </si>
  <si>
    <t xml:space="preserve">C_E1250</t>
  </si>
  <si>
    <t xml:space="preserve">9329400000</t>
  </si>
  <si>
    <t xml:space="preserve">C_E1251</t>
  </si>
  <si>
    <t xml:space="preserve">3893800000</t>
  </si>
  <si>
    <t xml:space="preserve">C_E1252</t>
  </si>
  <si>
    <t xml:space="preserve">6615600000</t>
  </si>
  <si>
    <t xml:space="preserve">C_E1253</t>
  </si>
  <si>
    <t xml:space="preserve">5055300000</t>
  </si>
  <si>
    <t xml:space="preserve">C_E1254</t>
  </si>
  <si>
    <t xml:space="preserve">2867800000</t>
  </si>
  <si>
    <t xml:space="preserve">C_E1255</t>
  </si>
  <si>
    <t xml:space="preserve">4944800000</t>
  </si>
  <si>
    <t xml:space="preserve">C_E1256</t>
  </si>
  <si>
    <t xml:space="preserve">4817600000</t>
  </si>
  <si>
    <t xml:space="preserve">C_E1257</t>
  </si>
  <si>
    <t xml:space="preserve">1669800000</t>
  </si>
  <si>
    <t xml:space="preserve">C_E1258</t>
  </si>
  <si>
    <t xml:space="preserve">5033200000</t>
  </si>
  <si>
    <t xml:space="preserve">C_E1259</t>
  </si>
  <si>
    <t xml:space="preserve">9937900000</t>
  </si>
  <si>
    <t xml:space="preserve">C_E1260</t>
  </si>
  <si>
    <t xml:space="preserve">7675800000</t>
  </si>
  <si>
    <t xml:space="preserve">C_E1261</t>
  </si>
  <si>
    <t xml:space="preserve">8134500000</t>
  </si>
  <si>
    <t xml:space="preserve">C_E1262</t>
  </si>
  <si>
    <t xml:space="preserve">6097600000</t>
  </si>
  <si>
    <t xml:space="preserve">C_E1263</t>
  </si>
  <si>
    <t xml:space="preserve">3969500000</t>
  </si>
  <si>
    <t xml:space="preserve">C_E1264</t>
  </si>
  <si>
    <t xml:space="preserve">7904400000</t>
  </si>
  <si>
    <t xml:space="preserve">C_E1265</t>
  </si>
  <si>
    <t xml:space="preserve">C_E1266</t>
  </si>
  <si>
    <t xml:space="preserve">C_E1267</t>
  </si>
  <si>
    <t xml:space="preserve">3701200000</t>
  </si>
  <si>
    <t xml:space="preserve">C_E1268</t>
  </si>
  <si>
    <t xml:space="preserve">C_E1269</t>
  </si>
  <si>
    <t xml:space="preserve">8649100000</t>
  </si>
  <si>
    <t xml:space="preserve">C_E1270</t>
  </si>
  <si>
    <t xml:space="preserve">C_E1271</t>
  </si>
  <si>
    <t xml:space="preserve">6166200000</t>
  </si>
  <si>
    <t xml:space="preserve">C_E1272</t>
  </si>
  <si>
    <t xml:space="preserve">2770000000</t>
  </si>
  <si>
    <t xml:space="preserve">C_E1273</t>
  </si>
  <si>
    <t xml:space="preserve">7381200000</t>
  </si>
  <si>
    <t xml:space="preserve">C_E1274</t>
  </si>
  <si>
    <t xml:space="preserve">7052300000</t>
  </si>
  <si>
    <t xml:space="preserve">C_E1275</t>
  </si>
  <si>
    <t xml:space="preserve">5609300000</t>
  </si>
  <si>
    <t xml:space="preserve">C_E1276</t>
  </si>
  <si>
    <t xml:space="preserve">8536200000</t>
  </si>
  <si>
    <t xml:space="preserve">C_E1277</t>
  </si>
  <si>
    <t xml:space="preserve">8171900000</t>
  </si>
  <si>
    <t xml:space="preserve">C_E1278</t>
  </si>
  <si>
    <t xml:space="preserve">C_E1279</t>
  </si>
  <si>
    <t xml:space="preserve">2290900000</t>
  </si>
  <si>
    <t xml:space="preserve">C_E1280</t>
  </si>
  <si>
    <t xml:space="preserve">8497100000</t>
  </si>
  <si>
    <t xml:space="preserve">C_E1281</t>
  </si>
  <si>
    <t xml:space="preserve">7334000000</t>
  </si>
  <si>
    <t xml:space="preserve">C_E1282</t>
  </si>
  <si>
    <t xml:space="preserve">9338700000</t>
  </si>
  <si>
    <t xml:space="preserve">C_E1283</t>
  </si>
  <si>
    <t xml:space="preserve">7035600000</t>
  </si>
  <si>
    <t xml:space="preserve">C_E1284</t>
  </si>
  <si>
    <t xml:space="preserve">1463700000</t>
  </si>
  <si>
    <t xml:space="preserve">C_E1285</t>
  </si>
  <si>
    <t xml:space="preserve">3185500000</t>
  </si>
  <si>
    <t xml:space="preserve">C_E1286</t>
  </si>
  <si>
    <t xml:space="preserve">1113500000</t>
  </si>
  <si>
    <t xml:space="preserve">C_E1287</t>
  </si>
  <si>
    <t xml:space="preserve">9405300000</t>
  </si>
  <si>
    <t xml:space="preserve">C_E1288</t>
  </si>
  <si>
    <t xml:space="preserve">9850100000</t>
  </si>
  <si>
    <t xml:space="preserve">C_E1289</t>
  </si>
  <si>
    <t xml:space="preserve">5606800000</t>
  </si>
  <si>
    <t xml:space="preserve">C_E1290</t>
  </si>
  <si>
    <t xml:space="preserve">1629400000</t>
  </si>
  <si>
    <t xml:space="preserve">C_E1291</t>
  </si>
  <si>
    <t xml:space="preserve">4736500000</t>
  </si>
  <si>
    <t xml:space="preserve">C_E1292</t>
  </si>
  <si>
    <t xml:space="preserve">4636200000</t>
  </si>
  <si>
    <t xml:space="preserve">C_E1293</t>
  </si>
  <si>
    <t xml:space="preserve">9986700000</t>
  </si>
  <si>
    <t xml:space="preserve">C_E1294</t>
  </si>
  <si>
    <t xml:space="preserve">9346100000</t>
  </si>
  <si>
    <t xml:space="preserve">C_E1295</t>
  </si>
  <si>
    <t xml:space="preserve">7378400000</t>
  </si>
  <si>
    <t xml:space="preserve">C_E1296</t>
  </si>
  <si>
    <t xml:space="preserve">7994700000</t>
  </si>
  <si>
    <t xml:space="preserve">C_E1297</t>
  </si>
  <si>
    <t xml:space="preserve">6033300000</t>
  </si>
  <si>
    <t xml:space="preserve">C_E1298</t>
  </si>
  <si>
    <t xml:space="preserve">5573500000</t>
  </si>
  <si>
    <t xml:space="preserve">C_E1299</t>
  </si>
  <si>
    <t xml:space="preserve">4542500000</t>
  </si>
  <si>
    <t xml:space="preserve">C_E1300</t>
  </si>
  <si>
    <t xml:space="preserve">3301600000</t>
  </si>
  <si>
    <t xml:space="preserve">C_E1301</t>
  </si>
  <si>
    <t xml:space="preserve">1196100000</t>
  </si>
  <si>
    <t xml:space="preserve">C_E1302</t>
  </si>
  <si>
    <t xml:space="preserve">6873800000</t>
  </si>
  <si>
    <t xml:space="preserve">C_E1303</t>
  </si>
  <si>
    <t xml:space="preserve">9493700000</t>
  </si>
  <si>
    <t xml:space="preserve">C_E1304</t>
  </si>
  <si>
    <t xml:space="preserve">4051200000</t>
  </si>
  <si>
    <t xml:space="preserve">C_E1305</t>
  </si>
  <si>
    <t xml:space="preserve">C_E1306</t>
  </si>
  <si>
    <t xml:space="preserve">5522700000</t>
  </si>
  <si>
    <t xml:space="preserve">C_E1307</t>
  </si>
  <si>
    <t xml:space="preserve">8818300000</t>
  </si>
  <si>
    <t xml:space="preserve">C_E1308</t>
  </si>
  <si>
    <t xml:space="preserve">8279800000</t>
  </si>
  <si>
    <t xml:space="preserve">C_E1309</t>
  </si>
  <si>
    <t xml:space="preserve">1857300000</t>
  </si>
  <si>
    <t xml:space="preserve">C_E1310</t>
  </si>
  <si>
    <t xml:space="preserve">6696900000</t>
  </si>
  <si>
    <t xml:space="preserve">C_E1311</t>
  </si>
  <si>
    <t xml:space="preserve">8781700000</t>
  </si>
  <si>
    <t xml:space="preserve">C_E1312</t>
  </si>
  <si>
    <t xml:space="preserve">2348100000</t>
  </si>
  <si>
    <t xml:space="preserve">C_E1313</t>
  </si>
  <si>
    <t xml:space="preserve">5326900000</t>
  </si>
  <si>
    <t xml:space="preserve">C_E1314</t>
  </si>
  <si>
    <t xml:space="preserve">6668400000</t>
  </si>
  <si>
    <t xml:space="preserve">C_E1315</t>
  </si>
  <si>
    <t xml:space="preserve">C_E1316</t>
  </si>
  <si>
    <t xml:space="preserve">3838400000</t>
  </si>
  <si>
    <t xml:space="preserve">C_E1317</t>
  </si>
  <si>
    <t xml:space="preserve">1670900000</t>
  </si>
  <si>
    <t xml:space="preserve">C_E1318</t>
  </si>
  <si>
    <t xml:space="preserve">6854600000</t>
  </si>
  <si>
    <t xml:space="preserve">C_E1319</t>
  </si>
  <si>
    <t xml:space="preserve">6885800000</t>
  </si>
  <si>
    <t xml:space="preserve">C_E1320</t>
  </si>
  <si>
    <t xml:space="preserve">8064800000</t>
  </si>
  <si>
    <t xml:space="preserve">C_E1321</t>
  </si>
  <si>
    <t xml:space="preserve">3549100000</t>
  </si>
  <si>
    <t xml:space="preserve">C_E1322</t>
  </si>
  <si>
    <t xml:space="preserve">5303300000</t>
  </si>
  <si>
    <t xml:space="preserve">C_E1323</t>
  </si>
  <si>
    <t xml:space="preserve">7583600000</t>
  </si>
  <si>
    <t xml:space="preserve">C_E1324</t>
  </si>
  <si>
    <t xml:space="preserve">6460300000</t>
  </si>
  <si>
    <t xml:space="preserve">C_E1325</t>
  </si>
  <si>
    <t xml:space="preserve">3386900000</t>
  </si>
  <si>
    <t xml:space="preserve">C_E1326</t>
  </si>
  <si>
    <t xml:space="preserve">9659100000</t>
  </si>
  <si>
    <t xml:space="preserve">C_E1327</t>
  </si>
  <si>
    <t xml:space="preserve">4548000000</t>
  </si>
  <si>
    <t xml:space="preserve">C_E1328</t>
  </si>
  <si>
    <t xml:space="preserve">9128600000</t>
  </si>
  <si>
    <t xml:space="preserve">C_E1329</t>
  </si>
  <si>
    <t xml:space="preserve">C_E1330</t>
  </si>
  <si>
    <t xml:space="preserve">5832000000</t>
  </si>
  <si>
    <t xml:space="preserve">C_E1331</t>
  </si>
  <si>
    <t xml:space="preserve">6922600000</t>
  </si>
  <si>
    <t xml:space="preserve">C_E1332</t>
  </si>
  <si>
    <t xml:space="preserve">4543600000</t>
  </si>
  <si>
    <t xml:space="preserve">C_E1333</t>
  </si>
  <si>
    <t xml:space="preserve">1119000000</t>
  </si>
  <si>
    <t xml:space="preserve">C_E1334</t>
  </si>
  <si>
    <t xml:space="preserve">1439700000</t>
  </si>
  <si>
    <t xml:space="preserve">C_E1335</t>
  </si>
  <si>
    <t xml:space="preserve">5145500000</t>
  </si>
  <si>
    <t xml:space="preserve">C_E1336</t>
  </si>
  <si>
    <t xml:space="preserve">3520600000</t>
  </si>
  <si>
    <t xml:space="preserve">C_E1337</t>
  </si>
  <si>
    <t xml:space="preserve">3103700000</t>
  </si>
  <si>
    <t xml:space="preserve">C_E1338</t>
  </si>
  <si>
    <t xml:space="preserve">3666600000</t>
  </si>
  <si>
    <t xml:space="preserve">C_E1339</t>
  </si>
  <si>
    <t xml:space="preserve">7283100000</t>
  </si>
  <si>
    <t xml:space="preserve">C_E1340</t>
  </si>
  <si>
    <t xml:space="preserve">2510300000</t>
  </si>
  <si>
    <t xml:space="preserve">C_E1341</t>
  </si>
  <si>
    <t xml:space="preserve">C_E1342</t>
  </si>
  <si>
    <t xml:space="preserve">6194000000</t>
  </si>
  <si>
    <t xml:space="preserve">C_E1343</t>
  </si>
  <si>
    <t xml:space="preserve">5006000000</t>
  </si>
  <si>
    <t xml:space="preserve">C_E1344</t>
  </si>
  <si>
    <t xml:space="preserve">2713200000</t>
  </si>
  <si>
    <t xml:space="preserve">C_E1345</t>
  </si>
  <si>
    <t xml:space="preserve">2590200000</t>
  </si>
  <si>
    <t xml:space="preserve">C_E1346</t>
  </si>
  <si>
    <t xml:space="preserve">5245900000</t>
  </si>
  <si>
    <t xml:space="preserve">C_E1347</t>
  </si>
  <si>
    <t xml:space="preserve">2776300000</t>
  </si>
  <si>
    <t xml:space="preserve">C_E1348</t>
  </si>
  <si>
    <t xml:space="preserve">7536500000</t>
  </si>
  <si>
    <t xml:space="preserve">C_E1349</t>
  </si>
  <si>
    <t xml:space="preserve">2270000000</t>
  </si>
  <si>
    <t xml:space="preserve">C_E1350</t>
  </si>
  <si>
    <t xml:space="preserve">4710600000</t>
  </si>
  <si>
    <t xml:space="preserve">C_E1351</t>
  </si>
  <si>
    <t xml:space="preserve">4610800000</t>
  </si>
  <si>
    <t xml:space="preserve">C_E1352</t>
  </si>
  <si>
    <t xml:space="preserve">5788800000</t>
  </si>
  <si>
    <t xml:space="preserve">C_E1353</t>
  </si>
  <si>
    <t xml:space="preserve">8823700000</t>
  </si>
  <si>
    <t xml:space="preserve">C_E1354</t>
  </si>
  <si>
    <t xml:space="preserve">8187400000</t>
  </si>
  <si>
    <t xml:space="preserve">C_E1355</t>
  </si>
  <si>
    <t xml:space="preserve">9373100000</t>
  </si>
  <si>
    <t xml:space="preserve">C_E1356</t>
  </si>
  <si>
    <t xml:space="preserve">2174100000</t>
  </si>
  <si>
    <t xml:space="preserve">C_E1357</t>
  </si>
  <si>
    <t xml:space="preserve">1224600000</t>
  </si>
  <si>
    <t xml:space="preserve">C_E1358</t>
  </si>
  <si>
    <t xml:space="preserve">7169100000</t>
  </si>
  <si>
    <t xml:space="preserve">C_E1359</t>
  </si>
  <si>
    <t xml:space="preserve">2452500000</t>
  </si>
  <si>
    <t xml:space="preserve">C_E1360</t>
  </si>
  <si>
    <t xml:space="preserve">7421900000</t>
  </si>
  <si>
    <t xml:space="preserve">C_E1361</t>
  </si>
  <si>
    <t xml:space="preserve">4863800000</t>
  </si>
  <si>
    <t xml:space="preserve">C_E1362</t>
  </si>
  <si>
    <t xml:space="preserve">3519900000</t>
  </si>
  <si>
    <t xml:space="preserve">C_E1363</t>
  </si>
  <si>
    <t xml:space="preserve">2851600000</t>
  </si>
  <si>
    <t xml:space="preserve">C_E1364</t>
  </si>
  <si>
    <t xml:space="preserve">2758700000</t>
  </si>
  <si>
    <t xml:space="preserve">C_E1365</t>
  </si>
  <si>
    <t xml:space="preserve">9351700000</t>
  </si>
  <si>
    <t xml:space="preserve">C_E1366</t>
  </si>
  <si>
    <t xml:space="preserve">4274900000</t>
  </si>
  <si>
    <t xml:space="preserve">C_E1367</t>
  </si>
  <si>
    <t xml:space="preserve">3282100000</t>
  </si>
  <si>
    <t xml:space="preserve">C_E1368</t>
  </si>
  <si>
    <t xml:space="preserve">4535800000</t>
  </si>
  <si>
    <t xml:space="preserve">C_E1369</t>
  </si>
  <si>
    <t xml:space="preserve">7699300000</t>
  </si>
  <si>
    <t xml:space="preserve">C_E1370</t>
  </si>
  <si>
    <t xml:space="preserve">9848000000</t>
  </si>
  <si>
    <t xml:space="preserve">C_E1371</t>
  </si>
  <si>
    <t xml:space="preserve">2416100000</t>
  </si>
  <si>
    <t xml:space="preserve">C_E1372</t>
  </si>
  <si>
    <t xml:space="preserve">8593100000</t>
  </si>
  <si>
    <t xml:space="preserve">C_E1373</t>
  </si>
  <si>
    <t xml:space="preserve">3546900000</t>
  </si>
  <si>
    <t xml:space="preserve">C_E1374</t>
  </si>
  <si>
    <t xml:space="preserve">8578200000</t>
  </si>
  <si>
    <t xml:space="preserve">C_E1375</t>
  </si>
  <si>
    <t xml:space="preserve">C_E1376</t>
  </si>
  <si>
    <t xml:space="preserve">1551500000</t>
  </si>
  <si>
    <t xml:space="preserve">C_E1377</t>
  </si>
  <si>
    <t xml:space="preserve">8589300000</t>
  </si>
  <si>
    <t xml:space="preserve">C_E1378</t>
  </si>
  <si>
    <t xml:space="preserve">4584200000</t>
  </si>
  <si>
    <t xml:space="preserve">C_E1379</t>
  </si>
  <si>
    <t xml:space="preserve">2277600000</t>
  </si>
  <si>
    <t xml:space="preserve">C_E1380</t>
  </si>
  <si>
    <t xml:space="preserve">5785800000</t>
  </si>
  <si>
    <t xml:space="preserve">C_E1381</t>
  </si>
  <si>
    <t xml:space="preserve">9971300000</t>
  </si>
  <si>
    <t xml:space="preserve">C_E1382</t>
  </si>
  <si>
    <t xml:space="preserve">8206600000</t>
  </si>
  <si>
    <t xml:space="preserve">C_E1383</t>
  </si>
  <si>
    <t xml:space="preserve">2783800000</t>
  </si>
  <si>
    <t xml:space="preserve">C_E1384</t>
  </si>
  <si>
    <t xml:space="preserve">1854600000</t>
  </si>
  <si>
    <t xml:space="preserve">C_E1385</t>
  </si>
  <si>
    <t xml:space="preserve">C_E1386</t>
  </si>
  <si>
    <t xml:space="preserve">4925400000</t>
  </si>
  <si>
    <t xml:space="preserve">C_E1387</t>
  </si>
  <si>
    <t xml:space="preserve">2300100000</t>
  </si>
  <si>
    <t xml:space="preserve">C_E1388</t>
  </si>
  <si>
    <t xml:space="preserve">5518300000</t>
  </si>
  <si>
    <t xml:space="preserve">C_E1389</t>
  </si>
  <si>
    <t xml:space="preserve">1497000000</t>
  </si>
  <si>
    <t xml:space="preserve">C_E1390</t>
  </si>
  <si>
    <t xml:space="preserve">6674600000</t>
  </si>
  <si>
    <t xml:space="preserve">C_E1391</t>
  </si>
  <si>
    <t xml:space="preserve">4080200000</t>
  </si>
  <si>
    <t xml:space="preserve">C_E1392</t>
  </si>
  <si>
    <t xml:space="preserve">4650100000</t>
  </si>
  <si>
    <t xml:space="preserve">C_E1393</t>
  </si>
  <si>
    <t xml:space="preserve">7173800000</t>
  </si>
  <si>
    <t xml:space="preserve">C_E1394</t>
  </si>
  <si>
    <t xml:space="preserve">4626700000</t>
  </si>
  <si>
    <t xml:space="preserve">C_E1395</t>
  </si>
  <si>
    <t xml:space="preserve">2540700000</t>
  </si>
  <si>
    <t xml:space="preserve">C_E1396</t>
  </si>
  <si>
    <t xml:space="preserve">1879600000</t>
  </si>
  <si>
    <t xml:space="preserve">C_E1397</t>
  </si>
  <si>
    <t xml:space="preserve">C_E1398</t>
  </si>
  <si>
    <t xml:space="preserve">5284900000</t>
  </si>
  <si>
    <t xml:space="preserve">C_E1399</t>
  </si>
  <si>
    <t xml:space="preserve">6194600000</t>
  </si>
  <si>
    <t xml:space="preserve">C_E1400</t>
  </si>
  <si>
    <t xml:space="preserve">5071800000</t>
  </si>
  <si>
    <t xml:space="preserve">C_E1401</t>
  </si>
  <si>
    <t xml:space="preserve">4353800000</t>
  </si>
  <si>
    <t xml:space="preserve">C_E1402</t>
  </si>
  <si>
    <t xml:space="preserve">9323700000</t>
  </si>
  <si>
    <t xml:space="preserve">C_E1403</t>
  </si>
  <si>
    <t xml:space="preserve">3315700000</t>
  </si>
  <si>
    <t xml:space="preserve">C_E1404</t>
  </si>
  <si>
    <t xml:space="preserve">4177600000</t>
  </si>
  <si>
    <t xml:space="preserve">C_E1405</t>
  </si>
  <si>
    <t xml:space="preserve">3676400000</t>
  </si>
  <si>
    <t xml:space="preserve">C_E1406</t>
  </si>
  <si>
    <t xml:space="preserve">5032000000</t>
  </si>
  <si>
    <t xml:space="preserve">C_E1407</t>
  </si>
  <si>
    <t xml:space="preserve">8526600000</t>
  </si>
  <si>
    <t xml:space="preserve">C_E1408</t>
  </si>
  <si>
    <t xml:space="preserve">2765400000</t>
  </si>
  <si>
    <t xml:space="preserve">C_E1409</t>
  </si>
  <si>
    <t xml:space="preserve">1884300000</t>
  </si>
  <si>
    <t xml:space="preserve">C_E1410</t>
  </si>
  <si>
    <t xml:space="preserve">1895400000</t>
  </si>
  <si>
    <t xml:space="preserve">C_E1411</t>
  </si>
  <si>
    <t xml:space="preserve">4872600000</t>
  </si>
  <si>
    <t xml:space="preserve">C_E1412</t>
  </si>
  <si>
    <t xml:space="preserve">6860800000</t>
  </si>
  <si>
    <t xml:space="preserve">C_E1413</t>
  </si>
  <si>
    <t xml:space="preserve">4804800000</t>
  </si>
  <si>
    <t xml:space="preserve">C_E1414</t>
  </si>
  <si>
    <t xml:space="preserve">1807800000</t>
  </si>
  <si>
    <t xml:space="preserve">C_E1415</t>
  </si>
  <si>
    <t xml:space="preserve">7769700000</t>
  </si>
  <si>
    <t xml:space="preserve">C_E1416</t>
  </si>
  <si>
    <t xml:space="preserve">6312600000</t>
  </si>
  <si>
    <t xml:space="preserve">C_E1417</t>
  </si>
  <si>
    <t xml:space="preserve">6340500000</t>
  </si>
  <si>
    <t xml:space="preserve">C_E1418</t>
  </si>
  <si>
    <t xml:space="preserve">2850800000</t>
  </si>
  <si>
    <t xml:space="preserve">C_E1419</t>
  </si>
  <si>
    <t xml:space="preserve">4685400000</t>
  </si>
  <si>
    <t xml:space="preserve">C_E1420</t>
  </si>
  <si>
    <t xml:space="preserve">1017900000</t>
  </si>
  <si>
    <t xml:space="preserve">C_E1421</t>
  </si>
  <si>
    <t xml:space="preserve">6266000000</t>
  </si>
  <si>
    <t xml:space="preserve">C_E1422</t>
  </si>
  <si>
    <t xml:space="preserve">6575800000</t>
  </si>
  <si>
    <t xml:space="preserve">C_E1423</t>
  </si>
  <si>
    <t xml:space="preserve">5359400000</t>
  </si>
  <si>
    <t xml:space="preserve">C_E1424</t>
  </si>
  <si>
    <t xml:space="preserve">2327200000</t>
  </si>
  <si>
    <t xml:space="preserve">C_E1425</t>
  </si>
  <si>
    <t xml:space="preserve">6004600000</t>
  </si>
  <si>
    <t xml:space="preserve">C_E1426</t>
  </si>
  <si>
    <t xml:space="preserve">2770900000</t>
  </si>
  <si>
    <t xml:space="preserve">C_E1427</t>
  </si>
  <si>
    <t xml:space="preserve">3825100000</t>
  </si>
  <si>
    <t xml:space="preserve">C_E1428</t>
  </si>
  <si>
    <t xml:space="preserve">5511900000</t>
  </si>
  <si>
    <t xml:space="preserve">C_E1429</t>
  </si>
  <si>
    <t xml:space="preserve">3506800000</t>
  </si>
  <si>
    <t xml:space="preserve">C_E1430</t>
  </si>
  <si>
    <t xml:space="preserve">6163900000</t>
  </si>
  <si>
    <t xml:space="preserve">C_E1431</t>
  </si>
  <si>
    <t xml:space="preserve">9908700000</t>
  </si>
  <si>
    <t xml:space="preserve">C_E1432</t>
  </si>
  <si>
    <t xml:space="preserve">6432100000</t>
  </si>
  <si>
    <t xml:space="preserve">C_E1433</t>
  </si>
  <si>
    <t xml:space="preserve">8754000000</t>
  </si>
  <si>
    <t xml:space="preserve">C_E1434</t>
  </si>
  <si>
    <t xml:space="preserve">6681800000</t>
  </si>
  <si>
    <t xml:space="preserve">C_E1435</t>
  </si>
  <si>
    <t xml:space="preserve">1958400000</t>
  </si>
  <si>
    <t xml:space="preserve">C_E1436</t>
  </si>
  <si>
    <t xml:space="preserve">7992700000</t>
  </si>
  <si>
    <t xml:space="preserve">C_E1437</t>
  </si>
  <si>
    <t xml:space="preserve">6177600000</t>
  </si>
  <si>
    <t xml:space="preserve">C_E1438</t>
  </si>
  <si>
    <t xml:space="preserve">8774100000</t>
  </si>
  <si>
    <t xml:space="preserve">C_E1439</t>
  </si>
  <si>
    <t xml:space="preserve">3921600000</t>
  </si>
  <si>
    <t xml:space="preserve">C_E1440</t>
  </si>
  <si>
    <t xml:space="preserve">1332300000</t>
  </si>
  <si>
    <t xml:space="preserve">C_E1441</t>
  </si>
  <si>
    <t xml:space="preserve">5171000000</t>
  </si>
  <si>
    <t xml:space="preserve">C_E1442</t>
  </si>
  <si>
    <t xml:space="preserve">8035600000</t>
  </si>
  <si>
    <t xml:space="preserve">C_E1443</t>
  </si>
  <si>
    <t xml:space="preserve">3247200000</t>
  </si>
  <si>
    <t xml:space="preserve">C_E1444</t>
  </si>
  <si>
    <t xml:space="preserve">8457200000</t>
  </si>
  <si>
    <t xml:space="preserve">C_E1445</t>
  </si>
  <si>
    <t xml:space="preserve">1134300000</t>
  </si>
  <si>
    <t xml:space="preserve">C_E1446</t>
  </si>
  <si>
    <t xml:space="preserve">6714800000</t>
  </si>
  <si>
    <t xml:space="preserve">C_E1447</t>
  </si>
  <si>
    <t xml:space="preserve">9871000000</t>
  </si>
  <si>
    <t xml:space="preserve">C_E1448</t>
  </si>
  <si>
    <t xml:space="preserve">4409600000</t>
  </si>
  <si>
    <t xml:space="preserve">C_E1449</t>
  </si>
  <si>
    <t xml:space="preserve">2782000000</t>
  </si>
  <si>
    <t xml:space="preserve">C_E1450</t>
  </si>
  <si>
    <t xml:space="preserve">8311200000</t>
  </si>
  <si>
    <t xml:space="preserve">C_E1451</t>
  </si>
  <si>
    <t xml:space="preserve">6955800000</t>
  </si>
  <si>
    <t xml:space="preserve">C_E1452</t>
  </si>
  <si>
    <t xml:space="preserve">7034000000</t>
  </si>
  <si>
    <t xml:space="preserve">C_E1453</t>
  </si>
  <si>
    <t xml:space="preserve">4185800000</t>
  </si>
  <si>
    <t xml:space="preserve">C_E1454</t>
  </si>
  <si>
    <t xml:space="preserve">C_E1455</t>
  </si>
  <si>
    <t xml:space="preserve">C_E1456</t>
  </si>
  <si>
    <t xml:space="preserve">C_E1457</t>
  </si>
  <si>
    <t xml:space="preserve">6907700000</t>
  </si>
  <si>
    <t xml:space="preserve">C_E1458</t>
  </si>
  <si>
    <t xml:space="preserve">4448000000</t>
  </si>
  <si>
    <t xml:space="preserve">C_E1459</t>
  </si>
  <si>
    <t xml:space="preserve">3245500000</t>
  </si>
  <si>
    <t xml:space="preserve">C_E1460</t>
  </si>
  <si>
    <t xml:space="preserve">6407700000</t>
  </si>
  <si>
    <t xml:space="preserve">C_E1461</t>
  </si>
  <si>
    <t xml:space="preserve">2685300000</t>
  </si>
  <si>
    <t xml:space="preserve">C_E1462</t>
  </si>
  <si>
    <t xml:space="preserve">9488800000</t>
  </si>
  <si>
    <t xml:space="preserve">C_E1463</t>
  </si>
  <si>
    <t xml:space="preserve">8324300000</t>
  </si>
  <si>
    <t xml:space="preserve">C_E1464</t>
  </si>
  <si>
    <t xml:space="preserve">6537200000</t>
  </si>
  <si>
    <t xml:space="preserve">C_E1465</t>
  </si>
  <si>
    <t xml:space="preserve">8157400000</t>
  </si>
  <si>
    <t xml:space="preserve">C_E1466</t>
  </si>
  <si>
    <t xml:space="preserve">7515000000</t>
  </si>
  <si>
    <t xml:space="preserve">C_E1467</t>
  </si>
  <si>
    <t xml:space="preserve">1275200000</t>
  </si>
  <si>
    <t xml:space="preserve">C_E1468</t>
  </si>
  <si>
    <t xml:space="preserve">5460000000</t>
  </si>
  <si>
    <t xml:space="preserve">C_E1469</t>
  </si>
  <si>
    <t xml:space="preserve">1852800000</t>
  </si>
  <si>
    <t xml:space="preserve">C_E1470</t>
  </si>
  <si>
    <t xml:space="preserve">9634800000</t>
  </si>
  <si>
    <t xml:space="preserve">C_E1471</t>
  </si>
  <si>
    <t xml:space="preserve">5229600000</t>
  </si>
  <si>
    <t xml:space="preserve">C_E1472</t>
  </si>
  <si>
    <t xml:space="preserve">9528900000</t>
  </si>
  <si>
    <t xml:space="preserve">C_E1473</t>
  </si>
  <si>
    <t xml:space="preserve">7230300000</t>
  </si>
  <si>
    <t xml:space="preserve">C_E1474</t>
  </si>
  <si>
    <t xml:space="preserve">7170800000</t>
  </si>
  <si>
    <t xml:space="preserve">C_E1475</t>
  </si>
  <si>
    <t xml:space="preserve">5542000000</t>
  </si>
  <si>
    <t xml:space="preserve">C_E1476</t>
  </si>
  <si>
    <t xml:space="preserve">9849900000</t>
  </si>
  <si>
    <t xml:space="preserve">C_E1477</t>
  </si>
  <si>
    <t xml:space="preserve">3423300000</t>
  </si>
  <si>
    <t xml:space="preserve">C_E1478</t>
  </si>
  <si>
    <t xml:space="preserve">2358900000</t>
  </si>
  <si>
    <t xml:space="preserve">C_E1479</t>
  </si>
  <si>
    <t xml:space="preserve">6439800000</t>
  </si>
  <si>
    <t xml:space="preserve">C_E1480</t>
  </si>
  <si>
    <t xml:space="preserve">4595500000</t>
  </si>
  <si>
    <t xml:space="preserve">C_E1481</t>
  </si>
  <si>
    <t xml:space="preserve">6452400000</t>
  </si>
  <si>
    <t xml:space="preserve">C_E1482</t>
  </si>
  <si>
    <t xml:space="preserve">8434900000</t>
  </si>
  <si>
    <t xml:space="preserve">C_E1483</t>
  </si>
  <si>
    <t xml:space="preserve">2810500000</t>
  </si>
  <si>
    <t xml:space="preserve">C_E1484</t>
  </si>
  <si>
    <t xml:space="preserve">4836100000</t>
  </si>
  <si>
    <t xml:space="preserve">C_E1485</t>
  </si>
  <si>
    <t xml:space="preserve">4660500000</t>
  </si>
  <si>
    <t xml:space="preserve">C_E1486</t>
  </si>
  <si>
    <t xml:space="preserve">1216500000</t>
  </si>
  <si>
    <t xml:space="preserve">C_E1487</t>
  </si>
  <si>
    <t xml:space="preserve">8043100000</t>
  </si>
  <si>
    <t xml:space="preserve">C_E1488</t>
  </si>
  <si>
    <t xml:space="preserve">8349300000</t>
  </si>
  <si>
    <t xml:space="preserve">C_E1489</t>
  </si>
  <si>
    <t xml:space="preserve">2033900000</t>
  </si>
  <si>
    <t xml:space="preserve">C_E1490</t>
  </si>
  <si>
    <t xml:space="preserve">C_E1491</t>
  </si>
  <si>
    <t xml:space="preserve">C_E1492</t>
  </si>
  <si>
    <t xml:space="preserve">5598200000</t>
  </si>
  <si>
    <t xml:space="preserve">C_E1493</t>
  </si>
  <si>
    <t xml:space="preserve">C_E1494</t>
  </si>
  <si>
    <t xml:space="preserve">1831800000</t>
  </si>
  <si>
    <t xml:space="preserve">C_E1495</t>
  </si>
  <si>
    <t xml:space="preserve">8102300000</t>
  </si>
  <si>
    <t xml:space="preserve">C_E1496</t>
  </si>
  <si>
    <t xml:space="preserve">1211400000</t>
  </si>
  <si>
    <t xml:space="preserve">C_E1497</t>
  </si>
  <si>
    <t xml:space="preserve">9319400000</t>
  </si>
  <si>
    <t xml:space="preserve">C_E1498</t>
  </si>
  <si>
    <t xml:space="preserve">3371400000</t>
  </si>
  <si>
    <t xml:space="preserve">C_E1499</t>
  </si>
  <si>
    <t xml:space="preserve">3510400000</t>
  </si>
  <si>
    <t xml:space="preserve">C_E1500</t>
  </si>
  <si>
    <t xml:space="preserve">4813000000</t>
  </si>
  <si>
    <t xml:space="preserve">C_E1501</t>
  </si>
  <si>
    <t xml:space="preserve">4039500000</t>
  </si>
  <si>
    <t xml:space="preserve">C_E1502</t>
  </si>
  <si>
    <t xml:space="preserve">2223100000</t>
  </si>
  <si>
    <t xml:space="preserve">C_E1503</t>
  </si>
  <si>
    <t xml:space="preserve">9686300000</t>
  </si>
  <si>
    <t xml:space="preserve">C_E1504</t>
  </si>
  <si>
    <t xml:space="preserve">4922200000</t>
  </si>
  <si>
    <t xml:space="preserve">C_E1505</t>
  </si>
  <si>
    <t xml:space="preserve">3928900000</t>
  </si>
  <si>
    <t xml:space="preserve">C_E1506</t>
  </si>
  <si>
    <t xml:space="preserve">9040400000</t>
  </si>
  <si>
    <t xml:space="preserve">C_E1507</t>
  </si>
  <si>
    <t xml:space="preserve">8524700000</t>
  </si>
  <si>
    <t xml:space="preserve">C_E1508</t>
  </si>
  <si>
    <t xml:space="preserve">1507300000</t>
  </si>
  <si>
    <t xml:space="preserve">C_E1509</t>
  </si>
  <si>
    <t xml:space="preserve">8859700000</t>
  </si>
  <si>
    <t xml:space="preserve">C_E1510</t>
  </si>
  <si>
    <t xml:space="preserve">3818500000</t>
  </si>
  <si>
    <t xml:space="preserve">C_E1511</t>
  </si>
  <si>
    <t xml:space="preserve">9644500000</t>
  </si>
  <si>
    <t xml:space="preserve">C_E1512</t>
  </si>
  <si>
    <t xml:space="preserve">4121400000</t>
  </si>
  <si>
    <t xml:space="preserve">C_E1513</t>
  </si>
  <si>
    <t xml:space="preserve">8820300000</t>
  </si>
  <si>
    <t xml:space="preserve">C_E1514</t>
  </si>
  <si>
    <t xml:space="preserve">7655700000</t>
  </si>
  <si>
    <t xml:space="preserve">C_E1515</t>
  </si>
  <si>
    <t xml:space="preserve">7037300000</t>
  </si>
  <si>
    <t xml:space="preserve">C_E1516</t>
  </si>
  <si>
    <t xml:space="preserve">7850200000</t>
  </si>
  <si>
    <t xml:space="preserve">C_E1517</t>
  </si>
  <si>
    <t xml:space="preserve">6429500000</t>
  </si>
  <si>
    <t xml:space="preserve">C_E1518</t>
  </si>
  <si>
    <t xml:space="preserve">7287700000</t>
  </si>
  <si>
    <t xml:space="preserve">C_E1519</t>
  </si>
  <si>
    <t xml:space="preserve">9510500000</t>
  </si>
  <si>
    <t xml:space="preserve">C_E1520</t>
  </si>
  <si>
    <t xml:space="preserve">6457000000</t>
  </si>
  <si>
    <t xml:space="preserve">C_E1521</t>
  </si>
  <si>
    <t xml:space="preserve">8854900000</t>
  </si>
  <si>
    <t xml:space="preserve">C_E1522</t>
  </si>
  <si>
    <t xml:space="preserve">2034900000</t>
  </si>
  <si>
    <t xml:space="preserve">C_E1523</t>
  </si>
  <si>
    <t xml:space="preserve">2204000000</t>
  </si>
  <si>
    <t xml:space="preserve">C_E1524</t>
  </si>
  <si>
    <t xml:space="preserve">3469000000</t>
  </si>
  <si>
    <t xml:space="preserve">C_E1525</t>
  </si>
  <si>
    <t xml:space="preserve">2477600000</t>
  </si>
  <si>
    <t xml:space="preserve">C_E1526</t>
  </si>
  <si>
    <t xml:space="preserve">5728000000</t>
  </si>
  <si>
    <t xml:space="preserve">C_E1527</t>
  </si>
  <si>
    <t xml:space="preserve">3410200000</t>
  </si>
  <si>
    <t xml:space="preserve">C_E1528</t>
  </si>
  <si>
    <t xml:space="preserve">1390800000</t>
  </si>
  <si>
    <t xml:space="preserve">C_E1529</t>
  </si>
  <si>
    <t xml:space="preserve">2220000000</t>
  </si>
  <si>
    <t xml:space="preserve">C_E1530</t>
  </si>
  <si>
    <t xml:space="preserve">5421900000</t>
  </si>
  <si>
    <t xml:space="preserve">C_E1531</t>
  </si>
  <si>
    <t xml:space="preserve">4289300000</t>
  </si>
  <si>
    <t xml:space="preserve">C_E1532</t>
  </si>
  <si>
    <t xml:space="preserve">6313600000</t>
  </si>
  <si>
    <t xml:space="preserve">C_E1533</t>
  </si>
  <si>
    <t xml:space="preserve">2878100000</t>
  </si>
  <si>
    <t xml:space="preserve">C_E1534</t>
  </si>
  <si>
    <t xml:space="preserve">9504400000</t>
  </si>
  <si>
    <t xml:space="preserve">C_E1535</t>
  </si>
  <si>
    <t xml:space="preserve">1487700000</t>
  </si>
  <si>
    <t xml:space="preserve">C_E1536</t>
  </si>
  <si>
    <t xml:space="preserve">2861600000</t>
  </si>
  <si>
    <t xml:space="preserve">C_E1537</t>
  </si>
  <si>
    <t xml:space="preserve">7574000000</t>
  </si>
  <si>
    <t xml:space="preserve">C_E1538</t>
  </si>
  <si>
    <t xml:space="preserve">4760700000</t>
  </si>
  <si>
    <t xml:space="preserve">C_E1539</t>
  </si>
  <si>
    <t xml:space="preserve">3689100000</t>
  </si>
  <si>
    <t xml:space="preserve">C_E1540</t>
  </si>
  <si>
    <t xml:space="preserve">8291200000</t>
  </si>
  <si>
    <t xml:space="preserve">C_E1541</t>
  </si>
  <si>
    <t xml:space="preserve">4584500000</t>
  </si>
  <si>
    <t xml:space="preserve">C_E1542</t>
  </si>
  <si>
    <t xml:space="preserve">8270000000</t>
  </si>
  <si>
    <t xml:space="preserve">C_E1543</t>
  </si>
  <si>
    <t xml:space="preserve">4567800000</t>
  </si>
  <si>
    <t xml:space="preserve">C_E1544</t>
  </si>
  <si>
    <t xml:space="preserve">7455500000</t>
  </si>
  <si>
    <t xml:space="preserve">C_E1545</t>
  </si>
  <si>
    <t xml:space="preserve">2278600000</t>
  </si>
  <si>
    <t xml:space="preserve">C_E1546</t>
  </si>
  <si>
    <t xml:space="preserve">9602700000</t>
  </si>
  <si>
    <t xml:space="preserve">C_E1547</t>
  </si>
  <si>
    <t xml:space="preserve">5497500000</t>
  </si>
  <si>
    <t xml:space="preserve">C_E1548</t>
  </si>
  <si>
    <t xml:space="preserve">1334400000</t>
  </si>
  <si>
    <t xml:space="preserve">C_E1549</t>
  </si>
  <si>
    <t xml:space="preserve">7499100000</t>
  </si>
  <si>
    <t xml:space="preserve">C_E1550</t>
  </si>
  <si>
    <t xml:space="preserve">5254200000</t>
  </si>
  <si>
    <t xml:space="preserve">C_E1551</t>
  </si>
  <si>
    <t xml:space="preserve">8188200000</t>
  </si>
  <si>
    <t xml:space="preserve">C_E1552</t>
  </si>
  <si>
    <t xml:space="preserve">9170900000</t>
  </si>
  <si>
    <t xml:space="preserve">C_E1553</t>
  </si>
  <si>
    <t xml:space="preserve">3094400000</t>
  </si>
  <si>
    <t xml:space="preserve">C_E1554</t>
  </si>
  <si>
    <t xml:space="preserve">3794200000</t>
  </si>
  <si>
    <t xml:space="preserve">C_E1555</t>
  </si>
  <si>
    <t xml:space="preserve">1531500000</t>
  </si>
  <si>
    <t xml:space="preserve">C_E1556</t>
  </si>
  <si>
    <t xml:space="preserve">8167500000</t>
  </si>
  <si>
    <t xml:space="preserve">C_E1557</t>
  </si>
  <si>
    <t xml:space="preserve">2227500000</t>
  </si>
  <si>
    <t xml:space="preserve">C_E1558</t>
  </si>
  <si>
    <t xml:space="preserve">4715600000</t>
  </si>
  <si>
    <t xml:space="preserve">C_E1559</t>
  </si>
  <si>
    <t xml:space="preserve">5521000000</t>
  </si>
  <si>
    <t xml:space="preserve">C_E1560</t>
  </si>
  <si>
    <t xml:space="preserve">8547100000</t>
  </si>
  <si>
    <t xml:space="preserve">C_E1561</t>
  </si>
  <si>
    <t xml:space="preserve">3968000000</t>
  </si>
  <si>
    <t xml:space="preserve">C_E1562</t>
  </si>
  <si>
    <t xml:space="preserve">8768300000</t>
  </si>
  <si>
    <t xml:space="preserve">C_E1563</t>
  </si>
  <si>
    <t xml:space="preserve">2138800000</t>
  </si>
  <si>
    <t xml:space="preserve">C_E1564</t>
  </si>
  <si>
    <t xml:space="preserve">7340900000</t>
  </si>
  <si>
    <t xml:space="preserve">C_E1565</t>
  </si>
  <si>
    <t xml:space="preserve">4011300000</t>
  </si>
  <si>
    <t xml:space="preserve">C_E1566</t>
  </si>
  <si>
    <t xml:space="preserve">6433000000</t>
  </si>
  <si>
    <t xml:space="preserve">C_E1567</t>
  </si>
  <si>
    <t xml:space="preserve">6097100000</t>
  </si>
  <si>
    <t xml:space="preserve">C_E1568</t>
  </si>
  <si>
    <t xml:space="preserve">2022000000</t>
  </si>
  <si>
    <t xml:space="preserve">C_E1569</t>
  </si>
  <si>
    <t xml:space="preserve">9388200000</t>
  </si>
  <si>
    <t xml:space="preserve">C_E1570</t>
  </si>
  <si>
    <t xml:space="preserve">1712900000</t>
  </si>
  <si>
    <t xml:space="preserve">C_E1571</t>
  </si>
  <si>
    <t xml:space="preserve">3389300000</t>
  </si>
  <si>
    <t xml:space="preserve">C_E1572</t>
  </si>
  <si>
    <t xml:space="preserve">6572900000</t>
  </si>
  <si>
    <t xml:space="preserve">C_E1573</t>
  </si>
  <si>
    <t xml:space="preserve">8168700000</t>
  </si>
  <si>
    <t xml:space="preserve">C_E1574</t>
  </si>
  <si>
    <t xml:space="preserve">1328400000</t>
  </si>
  <si>
    <t xml:space="preserve">C_E1575</t>
  </si>
  <si>
    <t xml:space="preserve">5976100000</t>
  </si>
  <si>
    <t xml:space="preserve">C_E1576</t>
  </si>
  <si>
    <t xml:space="preserve">5485600000</t>
  </si>
  <si>
    <t xml:space="preserve">C_E1577</t>
  </si>
  <si>
    <t xml:space="preserve">3373000000</t>
  </si>
  <si>
    <t xml:space="preserve">C_E1578</t>
  </si>
  <si>
    <t xml:space="preserve">9929000000</t>
  </si>
  <si>
    <t xml:space="preserve">C_E1579</t>
  </si>
  <si>
    <t xml:space="preserve">1326300000</t>
  </si>
  <si>
    <t xml:space="preserve">C_E1580</t>
  </si>
  <si>
    <t xml:space="preserve">5091800000</t>
  </si>
  <si>
    <t xml:space="preserve">C_E1581</t>
  </si>
  <si>
    <t xml:space="preserve">C_E1582</t>
  </si>
  <si>
    <t xml:space="preserve">5279600000</t>
  </si>
  <si>
    <t xml:space="preserve">C_E1583</t>
  </si>
  <si>
    <t xml:space="preserve">2151800000</t>
  </si>
  <si>
    <t xml:space="preserve">C_E1584</t>
  </si>
  <si>
    <t xml:space="preserve">2498700000</t>
  </si>
  <si>
    <t xml:space="preserve">C_E1585</t>
  </si>
  <si>
    <t xml:space="preserve">7705300000</t>
  </si>
  <si>
    <t xml:space="preserve">C_E1586</t>
  </si>
  <si>
    <t xml:space="preserve">6030300000</t>
  </si>
  <si>
    <t xml:space="preserve">C_E1587</t>
  </si>
  <si>
    <t xml:space="preserve">8571000000</t>
  </si>
  <si>
    <t xml:space="preserve">C_E1588</t>
  </si>
  <si>
    <t xml:space="preserve">5966600000</t>
  </si>
  <si>
    <t xml:space="preserve">C_E1589</t>
  </si>
  <si>
    <t xml:space="preserve">1784900000</t>
  </si>
  <si>
    <t xml:space="preserve">C_E1590</t>
  </si>
  <si>
    <t xml:space="preserve">4029200000</t>
  </si>
  <si>
    <t xml:space="preserve">C_E1591</t>
  </si>
  <si>
    <t xml:space="preserve">2182100000</t>
  </si>
  <si>
    <t xml:space="preserve">C_E1592</t>
  </si>
  <si>
    <t xml:space="preserve">6793000000</t>
  </si>
  <si>
    <t xml:space="preserve">C_E1593</t>
  </si>
  <si>
    <t xml:space="preserve">4894200000</t>
  </si>
  <si>
    <t xml:space="preserve">C_E1594</t>
  </si>
  <si>
    <t xml:space="preserve">7078800000</t>
  </si>
  <si>
    <t xml:space="preserve">C_E1595</t>
  </si>
  <si>
    <t xml:space="preserve">7519700000</t>
  </si>
  <si>
    <t xml:space="preserve">C_E1596</t>
  </si>
  <si>
    <t xml:space="preserve">8087100000</t>
  </si>
  <si>
    <t xml:space="preserve">C_E1597</t>
  </si>
  <si>
    <t xml:space="preserve">8751000000</t>
  </si>
  <si>
    <t xml:space="preserve">C_E1598</t>
  </si>
  <si>
    <t xml:space="preserve">3854500000</t>
  </si>
  <si>
    <t xml:space="preserve">C_E1599</t>
  </si>
  <si>
    <t xml:space="preserve">8175800000</t>
  </si>
  <si>
    <t xml:space="preserve">C_E1600</t>
  </si>
  <si>
    <t xml:space="preserve">9785000000</t>
  </si>
  <si>
    <t xml:space="preserve">C_E1601</t>
  </si>
  <si>
    <t xml:space="preserve">7360600000</t>
  </si>
  <si>
    <t xml:space="preserve">C_E1602</t>
  </si>
  <si>
    <t xml:space="preserve">1103500000</t>
  </si>
  <si>
    <t xml:space="preserve">C_E1603</t>
  </si>
  <si>
    <t xml:space="preserve">4539600000</t>
  </si>
  <si>
    <t xml:space="preserve">C_E1604</t>
  </si>
  <si>
    <t xml:space="preserve">3488700000</t>
  </si>
  <si>
    <t xml:space="preserve">C_E1605</t>
  </si>
  <si>
    <t xml:space="preserve">8273500000</t>
  </si>
  <si>
    <t xml:space="preserve">C_E1606</t>
  </si>
  <si>
    <t xml:space="preserve">1775200000</t>
  </si>
  <si>
    <t xml:space="preserve">C_E1607</t>
  </si>
  <si>
    <t xml:space="preserve">6272100000</t>
  </si>
  <si>
    <t xml:space="preserve">C_E1608</t>
  </si>
  <si>
    <t xml:space="preserve">7854400000</t>
  </si>
  <si>
    <t xml:space="preserve">C_E1609</t>
  </si>
  <si>
    <t xml:space="preserve">5616800000</t>
  </si>
  <si>
    <t xml:space="preserve">C_E1610</t>
  </si>
  <si>
    <t xml:space="preserve">1722000000</t>
  </si>
  <si>
    <t xml:space="preserve">C_E1611</t>
  </si>
  <si>
    <t xml:space="preserve">2736900000</t>
  </si>
  <si>
    <t xml:space="preserve">C_E1612</t>
  </si>
  <si>
    <t xml:space="preserve">2056900000</t>
  </si>
  <si>
    <t xml:space="preserve">C_E1613</t>
  </si>
  <si>
    <t xml:space="preserve">9893500000</t>
  </si>
  <si>
    <t xml:space="preserve">C_E1614</t>
  </si>
  <si>
    <t xml:space="preserve">3147900000</t>
  </si>
  <si>
    <t xml:space="preserve">C_E1615</t>
  </si>
  <si>
    <t xml:space="preserve">5515900000</t>
  </si>
  <si>
    <t xml:space="preserve">C_E1616</t>
  </si>
  <si>
    <t xml:space="preserve">7586700000</t>
  </si>
  <si>
    <t xml:space="preserve">C_E1617</t>
  </si>
  <si>
    <t xml:space="preserve">7389500000</t>
  </si>
  <si>
    <t xml:space="preserve">C_E1618</t>
  </si>
  <si>
    <t xml:space="preserve">9091200000</t>
  </si>
  <si>
    <t xml:space="preserve">C_E1619</t>
  </si>
  <si>
    <t xml:space="preserve">1931700000</t>
  </si>
  <si>
    <t xml:space="preserve">C_E1620</t>
  </si>
  <si>
    <t xml:space="preserve">9007500000</t>
  </si>
  <si>
    <t xml:space="preserve">C_E1621</t>
  </si>
  <si>
    <t xml:space="preserve">3956000000</t>
  </si>
  <si>
    <t xml:space="preserve">C_E1622</t>
  </si>
  <si>
    <t xml:space="preserve">7525500000</t>
  </si>
  <si>
    <t xml:space="preserve">C_E1623</t>
  </si>
  <si>
    <t xml:space="preserve">8359500000</t>
  </si>
  <si>
    <t xml:space="preserve">C_E1624</t>
  </si>
  <si>
    <t xml:space="preserve">3324900000</t>
  </si>
  <si>
    <t xml:space="preserve">C_E1625</t>
  </si>
  <si>
    <t xml:space="preserve">8996200000</t>
  </si>
  <si>
    <t xml:space="preserve">C_E1626</t>
  </si>
  <si>
    <t xml:space="preserve">9654100000</t>
  </si>
  <si>
    <t xml:space="preserve">C_E1627</t>
  </si>
  <si>
    <t xml:space="preserve">8412300000</t>
  </si>
  <si>
    <t xml:space="preserve">C_E1628</t>
  </si>
  <si>
    <t xml:space="preserve">9816100000</t>
  </si>
  <si>
    <t xml:space="preserve">C_E1629</t>
  </si>
  <si>
    <t xml:space="preserve">2666500000</t>
  </si>
  <si>
    <t xml:space="preserve">C_E1630</t>
  </si>
  <si>
    <t xml:space="preserve">4209100000</t>
  </si>
  <si>
    <t xml:space="preserve">C_E1631</t>
  </si>
  <si>
    <t xml:space="preserve">9737800000</t>
  </si>
  <si>
    <t xml:space="preserve">C_E1632</t>
  </si>
  <si>
    <t xml:space="preserve">9849500000</t>
  </si>
  <si>
    <t xml:space="preserve">C_E1633</t>
  </si>
  <si>
    <t xml:space="preserve">8684200000</t>
  </si>
  <si>
    <t xml:space="preserve">C_E1634</t>
  </si>
  <si>
    <t xml:space="preserve">7521000000</t>
  </si>
  <si>
    <t xml:space="preserve">C_E1635</t>
  </si>
  <si>
    <t xml:space="preserve">5503900000</t>
  </si>
  <si>
    <t xml:space="preserve">C_E1636</t>
  </si>
  <si>
    <t xml:space="preserve">5534100000</t>
  </si>
  <si>
    <t xml:space="preserve">C_E1637</t>
  </si>
  <si>
    <t xml:space="preserve">6501500000</t>
  </si>
  <si>
    <t xml:space="preserve">C_E1638</t>
  </si>
  <si>
    <t xml:space="preserve">7981900000</t>
  </si>
  <si>
    <t xml:space="preserve">C_E1639</t>
  </si>
  <si>
    <t xml:space="preserve">9857200000</t>
  </si>
  <si>
    <t xml:space="preserve">C_E1640</t>
  </si>
  <si>
    <t xml:space="preserve">1677100000</t>
  </si>
  <si>
    <t xml:space="preserve">C_E1641</t>
  </si>
  <si>
    <t xml:space="preserve">8810000000</t>
  </si>
  <si>
    <t xml:space="preserve"> </t>
  </si>
  <si>
    <t xml:space="preserve">C_E1642</t>
  </si>
  <si>
    <t xml:space="preserve">3586900000</t>
  </si>
  <si>
    <t xml:space="preserve">C_E1643</t>
  </si>
  <si>
    <t xml:space="preserve">5336200000</t>
  </si>
  <si>
    <t xml:space="preserve">C_E1644</t>
  </si>
  <si>
    <t xml:space="preserve">3283800000</t>
  </si>
  <si>
    <t xml:space="preserve">C_E1645</t>
  </si>
  <si>
    <t xml:space="preserve">1237300000</t>
  </si>
  <si>
    <t xml:space="preserve">C_E1646</t>
  </si>
  <si>
    <t xml:space="preserve">9415400000</t>
  </si>
  <si>
    <t xml:space="preserve">C_E1647</t>
  </si>
  <si>
    <t xml:space="preserve">9792800000</t>
  </si>
  <si>
    <t xml:space="preserve">C_E1648</t>
  </si>
  <si>
    <t xml:space="preserve">6254700000</t>
  </si>
  <si>
    <t xml:space="preserve">C_E1649</t>
  </si>
  <si>
    <t xml:space="preserve">4667900000</t>
  </si>
  <si>
    <t xml:space="preserve">C_E1650</t>
  </si>
  <si>
    <t xml:space="preserve">C_E1651</t>
  </si>
  <si>
    <t xml:space="preserve">2856100000</t>
  </si>
  <si>
    <t xml:space="preserve">C_E1652</t>
  </si>
  <si>
    <t xml:space="preserve">5176400000</t>
  </si>
  <si>
    <t xml:space="preserve">C_E1653</t>
  </si>
  <si>
    <t xml:space="preserve">9986000000</t>
  </si>
  <si>
    <t xml:space="preserve">C_E1654</t>
  </si>
  <si>
    <t xml:space="preserve">1650300000</t>
  </si>
  <si>
    <t xml:space="preserve">C_E1655</t>
  </si>
  <si>
    <t xml:space="preserve">8577400000</t>
  </si>
  <si>
    <t xml:space="preserve">C_E1656</t>
  </si>
  <si>
    <t xml:space="preserve">3798100000</t>
  </si>
  <si>
    <t xml:space="preserve">C_E1657</t>
  </si>
  <si>
    <t xml:space="preserve">2646500000</t>
  </si>
  <si>
    <t xml:space="preserve">C_E1658</t>
  </si>
  <si>
    <t xml:space="preserve">9827100000</t>
  </si>
  <si>
    <t xml:space="preserve">C_E1659</t>
  </si>
  <si>
    <t xml:space="preserve">6100300000</t>
  </si>
  <si>
    <t xml:space="preserve">C_E1660</t>
  </si>
  <si>
    <t xml:space="preserve">8003500000</t>
  </si>
  <si>
    <t xml:space="preserve">C_E1661</t>
  </si>
  <si>
    <t xml:space="preserve">8573700000</t>
  </si>
  <si>
    <t xml:space="preserve">C_E1662</t>
  </si>
  <si>
    <t xml:space="preserve">C_E1663</t>
  </si>
  <si>
    <t xml:space="preserve">1462900000</t>
  </si>
  <si>
    <t xml:space="preserve">C_E1664</t>
  </si>
  <si>
    <t xml:space="preserve">3124400000</t>
  </si>
  <si>
    <t xml:space="preserve">C_E1665</t>
  </si>
  <si>
    <t xml:space="preserve">2427200000</t>
  </si>
  <si>
    <t xml:space="preserve">C_E1666</t>
  </si>
  <si>
    <t xml:space="preserve">C_E1667</t>
  </si>
  <si>
    <t xml:space="preserve">4579800000</t>
  </si>
  <si>
    <t xml:space="preserve">C_E1668</t>
  </si>
  <si>
    <t xml:space="preserve">9500500000</t>
  </si>
  <si>
    <t xml:space="preserve">C_E1669</t>
  </si>
  <si>
    <t xml:space="preserve">1155000000</t>
  </si>
  <si>
    <t xml:space="preserve">C_E1670</t>
  </si>
  <si>
    <t xml:space="preserve">9592000000</t>
  </si>
  <si>
    <t xml:space="preserve">C_E1671</t>
  </si>
  <si>
    <t xml:space="preserve">1550600000</t>
  </si>
  <si>
    <t xml:space="preserve">C_E1672</t>
  </si>
  <si>
    <t xml:space="preserve">5600400000</t>
  </si>
  <si>
    <t xml:space="preserve">C_E1673</t>
  </si>
  <si>
    <t xml:space="preserve">8006400000</t>
  </si>
  <si>
    <t xml:space="preserve">C_E1674</t>
  </si>
  <si>
    <t xml:space="preserve">2822800000</t>
  </si>
  <si>
    <t xml:space="preserve">C_E1675</t>
  </si>
  <si>
    <t xml:space="preserve">3980700000</t>
  </si>
  <si>
    <t xml:space="preserve">C_E1676</t>
  </si>
  <si>
    <t xml:space="preserve">6208000000</t>
  </si>
  <si>
    <t xml:space="preserve">C_E1677</t>
  </si>
  <si>
    <t xml:space="preserve">C_E1678</t>
  </si>
  <si>
    <t xml:space="preserve">6069900000</t>
  </si>
  <si>
    <t xml:space="preserve">C_E1679</t>
  </si>
  <si>
    <t xml:space="preserve">6442200000</t>
  </si>
  <si>
    <t xml:space="preserve">C_E1680</t>
  </si>
  <si>
    <t xml:space="preserve">1192300000</t>
  </si>
  <si>
    <t xml:space="preserve">C_E1681</t>
  </si>
  <si>
    <t xml:space="preserve">9612500000</t>
  </si>
  <si>
    <t xml:space="preserve">C_E1682</t>
  </si>
  <si>
    <t xml:space="preserve">1729900000</t>
  </si>
  <si>
    <t xml:space="preserve">C_E1683</t>
  </si>
  <si>
    <t xml:space="preserve">7132200000</t>
  </si>
  <si>
    <t xml:space="preserve">C_E1684</t>
  </si>
  <si>
    <t xml:space="preserve">7485100000</t>
  </si>
  <si>
    <t xml:space="preserve">C_E1685</t>
  </si>
  <si>
    <t xml:space="preserve">9517800000</t>
  </si>
  <si>
    <t xml:space="preserve">C_E1686</t>
  </si>
  <si>
    <t xml:space="preserve">2916700000</t>
  </si>
  <si>
    <t xml:space="preserve">C_E1687</t>
  </si>
  <si>
    <t xml:space="preserve">6839600000</t>
  </si>
  <si>
    <t xml:space="preserve">C_E1688</t>
  </si>
  <si>
    <t xml:space="preserve">5002500000</t>
  </si>
  <si>
    <t xml:space="preserve">C_E1689</t>
  </si>
  <si>
    <t xml:space="preserve">7386400000</t>
  </si>
  <si>
    <t xml:space="preserve">C_E1690</t>
  </si>
  <si>
    <t xml:space="preserve">8016800000</t>
  </si>
  <si>
    <t xml:space="preserve">C_E1691</t>
  </si>
  <si>
    <t xml:space="preserve">9171500000</t>
  </si>
  <si>
    <t xml:space="preserve">C_E1692</t>
  </si>
  <si>
    <t xml:space="preserve">5536100000</t>
  </si>
  <si>
    <t xml:space="preserve">C_E1693</t>
  </si>
  <si>
    <t xml:space="preserve">9318300000</t>
  </si>
  <si>
    <t xml:space="preserve">C_E1694</t>
  </si>
  <si>
    <t xml:space="preserve">5079900000</t>
  </si>
  <si>
    <t xml:space="preserve">C_E1695</t>
  </si>
  <si>
    <t xml:space="preserve">2217700000</t>
  </si>
  <si>
    <t xml:space="preserve">C_E1696</t>
  </si>
  <si>
    <t xml:space="preserve">5940600000</t>
  </si>
  <si>
    <t xml:space="preserve">C_E1697</t>
  </si>
  <si>
    <t xml:space="preserve">3114000000</t>
  </si>
  <si>
    <t xml:space="preserve">C_E1698</t>
  </si>
  <si>
    <t xml:space="preserve">2064500000</t>
  </si>
  <si>
    <t xml:space="preserve">C_E1699</t>
  </si>
  <si>
    <t xml:space="preserve">9279000000</t>
  </si>
  <si>
    <t xml:space="preserve">C_E1700</t>
  </si>
  <si>
    <t xml:space="preserve">1475200000</t>
  </si>
  <si>
    <t xml:space="preserve">C_E1701</t>
  </si>
  <si>
    <t xml:space="preserve">5257300000</t>
  </si>
  <si>
    <t xml:space="preserve">C_E1702</t>
  </si>
  <si>
    <t xml:space="preserve">1388200000</t>
  </si>
  <si>
    <t xml:space="preserve">C_E1703</t>
  </si>
  <si>
    <t xml:space="preserve">8600100000</t>
  </si>
  <si>
    <t xml:space="preserve">C_E1704</t>
  </si>
  <si>
    <t xml:space="preserve">4546400000</t>
  </si>
  <si>
    <t xml:space="preserve">C_E1705</t>
  </si>
  <si>
    <t xml:space="preserve">3914200000</t>
  </si>
  <si>
    <t xml:space="preserve">C_E1706</t>
  </si>
  <si>
    <t xml:space="preserve">8194600000</t>
  </si>
  <si>
    <t xml:space="preserve">C_E1707</t>
  </si>
  <si>
    <t xml:space="preserve">4247500000</t>
  </si>
  <si>
    <t xml:space="preserve">C_E1708</t>
  </si>
  <si>
    <t xml:space="preserve">C_E1709</t>
  </si>
  <si>
    <t xml:space="preserve">1654900000</t>
  </si>
  <si>
    <t xml:space="preserve">C_E1710</t>
  </si>
  <si>
    <t xml:space="preserve">4531100000</t>
  </si>
  <si>
    <t xml:space="preserve">C_E1711</t>
  </si>
  <si>
    <t xml:space="preserve">8744000000</t>
  </si>
  <si>
    <t xml:space="preserve">C_E1712</t>
  </si>
  <si>
    <t xml:space="preserve">6786400000</t>
  </si>
  <si>
    <t xml:space="preserve">C_E1713</t>
  </si>
  <si>
    <t xml:space="preserve">3172700000</t>
  </si>
  <si>
    <t xml:space="preserve">C_E1714</t>
  </si>
  <si>
    <t xml:space="preserve">3397800000</t>
  </si>
  <si>
    <t xml:space="preserve">C_E1715</t>
  </si>
  <si>
    <t xml:space="preserve">4836700000</t>
  </si>
  <si>
    <t xml:space="preserve">C_E1716</t>
  </si>
  <si>
    <t xml:space="preserve">3324700000</t>
  </si>
  <si>
    <t xml:space="preserve">C_E1717</t>
  </si>
  <si>
    <t xml:space="preserve">8911200000</t>
  </si>
  <si>
    <t xml:space="preserve">C_E1718</t>
  </si>
  <si>
    <t xml:space="preserve">1074300000</t>
  </si>
  <si>
    <t xml:space="preserve">C_E1719</t>
  </si>
  <si>
    <t xml:space="preserve">2805400000</t>
  </si>
  <si>
    <t xml:space="preserve">C_E1720</t>
  </si>
  <si>
    <t xml:space="preserve">4419400000</t>
  </si>
  <si>
    <t xml:space="preserve">C_E1721</t>
  </si>
  <si>
    <t xml:space="preserve">5001200000</t>
  </si>
  <si>
    <t xml:space="preserve">C_E1722</t>
  </si>
  <si>
    <t xml:space="preserve">7180600000</t>
  </si>
  <si>
    <t xml:space="preserve">C_E1723</t>
  </si>
  <si>
    <t xml:space="preserve">1122100000</t>
  </si>
  <si>
    <t xml:space="preserve">C_E1724</t>
  </si>
  <si>
    <t xml:space="preserve">C_E1725</t>
  </si>
  <si>
    <t xml:space="preserve">9504200000</t>
  </si>
  <si>
    <t xml:space="preserve">C_E1726</t>
  </si>
  <si>
    <t xml:space="preserve">C_E1727</t>
  </si>
  <si>
    <t xml:space="preserve">9970800000</t>
  </si>
  <si>
    <t xml:space="preserve">C_E1728</t>
  </si>
  <si>
    <t xml:space="preserve">7164600000</t>
  </si>
  <si>
    <t xml:space="preserve">C_E1729</t>
  </si>
  <si>
    <t xml:space="preserve">7316500000</t>
  </si>
  <si>
    <t xml:space="preserve">C_E1730</t>
  </si>
  <si>
    <t xml:space="preserve">5991200000</t>
  </si>
  <si>
    <t xml:space="preserve">C_E1731</t>
  </si>
  <si>
    <t xml:space="preserve">2597800000</t>
  </si>
  <si>
    <t xml:space="preserve">C_E1732</t>
  </si>
  <si>
    <t xml:space="preserve">9008300000</t>
  </si>
  <si>
    <t xml:space="preserve">C_E1733</t>
  </si>
  <si>
    <t xml:space="preserve">7901000000</t>
  </si>
  <si>
    <t xml:space="preserve">C_E1734</t>
  </si>
  <si>
    <t xml:space="preserve">4775700000</t>
  </si>
  <si>
    <t xml:space="preserve">C_E1735</t>
  </si>
  <si>
    <t xml:space="preserve">8580800000</t>
  </si>
  <si>
    <t xml:space="preserve">C_E1736</t>
  </si>
  <si>
    <t xml:space="preserve">6469400000</t>
  </si>
  <si>
    <t xml:space="preserve">C_E1737</t>
  </si>
  <si>
    <t xml:space="preserve">2545100000</t>
  </si>
  <si>
    <t xml:space="preserve">C_E1738</t>
  </si>
  <si>
    <t xml:space="preserve">7044200000</t>
  </si>
  <si>
    <t xml:space="preserve">C_E1739</t>
  </si>
  <si>
    <t xml:space="preserve">7350400000</t>
  </si>
  <si>
    <t xml:space="preserve">C_E1740</t>
  </si>
  <si>
    <t xml:space="preserve">5667600000</t>
  </si>
  <si>
    <t xml:space="preserve">C_E1741</t>
  </si>
  <si>
    <t xml:space="preserve">4863600000</t>
  </si>
  <si>
    <t xml:space="preserve">C_E1742</t>
  </si>
  <si>
    <t xml:space="preserve">7045900000</t>
  </si>
  <si>
    <t xml:space="preserve">C_E1743</t>
  </si>
  <si>
    <t xml:space="preserve">2484900000</t>
  </si>
  <si>
    <t xml:space="preserve">C_E1744</t>
  </si>
  <si>
    <t xml:space="preserve">3231900000</t>
  </si>
  <si>
    <t xml:space="preserve">C_E1745</t>
  </si>
  <si>
    <t xml:space="preserve">3383600000</t>
  </si>
  <si>
    <t xml:space="preserve">C_E1746</t>
  </si>
  <si>
    <t xml:space="preserve">8512100000</t>
  </si>
  <si>
    <t xml:space="preserve">C_E1747</t>
  </si>
  <si>
    <t xml:space="preserve">4772700000</t>
  </si>
  <si>
    <t xml:space="preserve">C_E1748</t>
  </si>
  <si>
    <t xml:space="preserve">7922600000</t>
  </si>
  <si>
    <t xml:space="preserve">C_E1749</t>
  </si>
  <si>
    <t xml:space="preserve">1012600000</t>
  </si>
  <si>
    <t xml:space="preserve">C_E1750</t>
  </si>
  <si>
    <t xml:space="preserve">5963400000</t>
  </si>
  <si>
    <t xml:space="preserve">C_E1751</t>
  </si>
  <si>
    <t xml:space="preserve">3740500000</t>
  </si>
  <si>
    <t xml:space="preserve">C_E1752</t>
  </si>
  <si>
    <t xml:space="preserve">5562600000</t>
  </si>
  <si>
    <t xml:space="preserve">C_E1753</t>
  </si>
  <si>
    <t xml:space="preserve">7495400000</t>
  </si>
  <si>
    <t xml:space="preserve">C_E1754</t>
  </si>
  <si>
    <t xml:space="preserve">9678800000</t>
  </si>
  <si>
    <t xml:space="preserve">C_E1755</t>
  </si>
  <si>
    <t xml:space="preserve">7090600000</t>
  </si>
  <si>
    <t xml:space="preserve">C_E1756</t>
  </si>
  <si>
    <t xml:space="preserve">1191600000</t>
  </si>
  <si>
    <t xml:space="preserve">C_E1757</t>
  </si>
  <si>
    <t xml:space="preserve">9059000000</t>
  </si>
  <si>
    <t xml:space="preserve">C_E1758</t>
  </si>
  <si>
    <t xml:space="preserve">2415600000</t>
  </si>
  <si>
    <t xml:space="preserve">C_E1759</t>
  </si>
  <si>
    <t xml:space="preserve">7110300000</t>
  </si>
  <si>
    <t xml:space="preserve">C_E1760</t>
  </si>
  <si>
    <t xml:space="preserve">4044400000</t>
  </si>
  <si>
    <t xml:space="preserve">C_E1761</t>
  </si>
  <si>
    <t xml:space="preserve">2308900000</t>
  </si>
  <si>
    <t xml:space="preserve">C_E1762</t>
  </si>
  <si>
    <t xml:space="preserve">8699500000</t>
  </si>
  <si>
    <t xml:space="preserve">C_E1763</t>
  </si>
  <si>
    <t xml:space="preserve">7895800000</t>
  </si>
  <si>
    <t xml:space="preserve">C_E1764</t>
  </si>
  <si>
    <t xml:space="preserve">1491100000</t>
  </si>
  <si>
    <t xml:space="preserve">C_E1765</t>
  </si>
  <si>
    <t xml:space="preserve">7515800000</t>
  </si>
  <si>
    <t xml:space="preserve">C_E1766</t>
  </si>
  <si>
    <t xml:space="preserve">6187600000</t>
  </si>
  <si>
    <t xml:space="preserve">C_E1767</t>
  </si>
  <si>
    <t xml:space="preserve">8890900000</t>
  </si>
  <si>
    <t xml:space="preserve">C_E1768</t>
  </si>
  <si>
    <t xml:space="preserve">9138700000</t>
  </si>
  <si>
    <t xml:space="preserve">C_E1769</t>
  </si>
  <si>
    <t xml:space="preserve">5269000000</t>
  </si>
  <si>
    <t xml:space="preserve">C_E1770</t>
  </si>
  <si>
    <t xml:space="preserve">7821000000</t>
  </si>
  <si>
    <t xml:space="preserve">C_E1771</t>
  </si>
  <si>
    <t xml:space="preserve">9996900000</t>
  </si>
  <si>
    <t xml:space="preserve">C_E1772</t>
  </si>
  <si>
    <t xml:space="preserve">C_E1773</t>
  </si>
  <si>
    <t xml:space="preserve">5198400000</t>
  </si>
  <si>
    <t xml:space="preserve">C_E1774</t>
  </si>
  <si>
    <t xml:space="preserve">4876000000</t>
  </si>
  <si>
    <t xml:space="preserve">C_E1775</t>
  </si>
  <si>
    <t xml:space="preserve">9827700000</t>
  </si>
  <si>
    <t xml:space="preserve">C_E1776</t>
  </si>
  <si>
    <t xml:space="preserve">3710100000</t>
  </si>
  <si>
    <t xml:space="preserve">C_E1777</t>
  </si>
  <si>
    <t xml:space="preserve">1459800000</t>
  </si>
  <si>
    <t xml:space="preserve">C_E1778</t>
  </si>
  <si>
    <t xml:space="preserve">6270000000</t>
  </si>
  <si>
    <t xml:space="preserve">C_E1779</t>
  </si>
  <si>
    <t xml:space="preserve">8986400000</t>
  </si>
  <si>
    <t xml:space="preserve">C_E1780</t>
  </si>
  <si>
    <t xml:space="preserve">9672900000</t>
  </si>
  <si>
    <t xml:space="preserve">C_E1781</t>
  </si>
  <si>
    <t xml:space="preserve">2498800000</t>
  </si>
  <si>
    <t xml:space="preserve">C_E1782</t>
  </si>
  <si>
    <t xml:space="preserve">3531200000</t>
  </si>
  <si>
    <t xml:space="preserve">C_E1783</t>
  </si>
  <si>
    <t xml:space="preserve">1221100000</t>
  </si>
  <si>
    <t xml:space="preserve">C_E1784</t>
  </si>
  <si>
    <t xml:space="preserve">1991100000</t>
  </si>
  <si>
    <t xml:space="preserve">C_E1785</t>
  </si>
  <si>
    <t xml:space="preserve">8993200000</t>
  </si>
  <si>
    <t xml:space="preserve">C_E1786</t>
  </si>
  <si>
    <t xml:space="preserve">4224900000</t>
  </si>
  <si>
    <t xml:space="preserve">C_E1787</t>
  </si>
  <si>
    <t xml:space="preserve">3882700000</t>
  </si>
  <si>
    <t xml:space="preserve">C_E1788</t>
  </si>
  <si>
    <t xml:space="preserve">2237900000</t>
  </si>
  <si>
    <t xml:space="preserve">C_E1789</t>
  </si>
  <si>
    <t xml:space="preserve">8704300000</t>
  </si>
  <si>
    <t xml:space="preserve">C_E1790</t>
  </si>
  <si>
    <t xml:space="preserve">5274100000</t>
  </si>
  <si>
    <t xml:space="preserve">C_E1791</t>
  </si>
  <si>
    <t xml:space="preserve">9995700000</t>
  </si>
  <si>
    <t xml:space="preserve">C_E1792</t>
  </si>
  <si>
    <t xml:space="preserve">4887000000</t>
  </si>
  <si>
    <t xml:space="preserve">C_E1793</t>
  </si>
  <si>
    <t xml:space="preserve">7753300000</t>
  </si>
  <si>
    <t xml:space="preserve">C_E1794</t>
  </si>
  <si>
    <t xml:space="preserve">2917000000</t>
  </si>
  <si>
    <t xml:space="preserve">C_E1795</t>
  </si>
  <si>
    <t xml:space="preserve">2885600000</t>
  </si>
  <si>
    <t xml:space="preserve">C_E1796</t>
  </si>
  <si>
    <t xml:space="preserve">4078000000</t>
  </si>
  <si>
    <t xml:space="preserve">C_E1797</t>
  </si>
  <si>
    <t xml:space="preserve">9524200000</t>
  </si>
  <si>
    <t xml:space="preserve">C_E1798</t>
  </si>
  <si>
    <t xml:space="preserve">3288800000</t>
  </si>
  <si>
    <t xml:space="preserve">C_E1799</t>
  </si>
  <si>
    <t xml:space="preserve">8184600000</t>
  </si>
  <si>
    <t xml:space="preserve">C_E1800</t>
  </si>
  <si>
    <t xml:space="preserve">8279100000</t>
  </si>
  <si>
    <t xml:space="preserve">C_E1801</t>
  </si>
  <si>
    <t xml:space="preserve">3280500000</t>
  </si>
  <si>
    <t xml:space="preserve">C_E1802</t>
  </si>
  <si>
    <t xml:space="preserve">9445100000</t>
  </si>
  <si>
    <t xml:space="preserve">C_E1803</t>
  </si>
  <si>
    <t xml:space="preserve">8942700000</t>
  </si>
  <si>
    <t xml:space="preserve">C_E1804</t>
  </si>
  <si>
    <t xml:space="preserve">1173800000</t>
  </si>
  <si>
    <t xml:space="preserve">C_E1805</t>
  </si>
  <si>
    <t xml:space="preserve">5109400000</t>
  </si>
  <si>
    <t xml:space="preserve">C_E1806</t>
  </si>
  <si>
    <t xml:space="preserve">3954000000</t>
  </si>
  <si>
    <t xml:space="preserve">C_E1807</t>
  </si>
  <si>
    <t xml:space="preserve">4008000000</t>
  </si>
  <si>
    <t xml:space="preserve">C_E1808</t>
  </si>
  <si>
    <t xml:space="preserve">3189600000</t>
  </si>
  <si>
    <t xml:space="preserve">C_E1809</t>
  </si>
  <si>
    <t xml:space="preserve">7619100000</t>
  </si>
  <si>
    <t xml:space="preserve">C_E1810</t>
  </si>
  <si>
    <t xml:space="preserve">2941800000</t>
  </si>
  <si>
    <t xml:space="preserve">C_E1811</t>
  </si>
  <si>
    <t xml:space="preserve">4519100000</t>
  </si>
  <si>
    <t xml:space="preserve">C_E1812</t>
  </si>
  <si>
    <t xml:space="preserve">1769100000</t>
  </si>
  <si>
    <t xml:space="preserve">C_E1813</t>
  </si>
  <si>
    <t xml:space="preserve">8357800000</t>
  </si>
  <si>
    <t xml:space="preserve">C_E1814</t>
  </si>
  <si>
    <t xml:space="preserve">6237800000</t>
  </si>
  <si>
    <t xml:space="preserve">C_E1815</t>
  </si>
  <si>
    <t xml:space="preserve">1965200000</t>
  </si>
  <si>
    <t xml:space="preserve">C_E1816</t>
  </si>
  <si>
    <t xml:space="preserve">6297000000</t>
  </si>
  <si>
    <t xml:space="preserve">C_E1817</t>
  </si>
  <si>
    <t xml:space="preserve">8252600000</t>
  </si>
  <si>
    <t xml:space="preserve">C_E1818</t>
  </si>
  <si>
    <t xml:space="preserve">6627100000</t>
  </si>
  <si>
    <t xml:space="preserve">C_E1819</t>
  </si>
  <si>
    <t xml:space="preserve">6724100000</t>
  </si>
  <si>
    <t xml:space="preserve">C_E1820</t>
  </si>
  <si>
    <t xml:space="preserve">5328400000</t>
  </si>
  <si>
    <t xml:space="preserve">C_E1821</t>
  </si>
  <si>
    <t xml:space="preserve">2223000000</t>
  </si>
  <si>
    <t xml:space="preserve">C_E1822</t>
  </si>
  <si>
    <t xml:space="preserve">2090400000</t>
  </si>
  <si>
    <t xml:space="preserve">C_E1823</t>
  </si>
  <si>
    <t xml:space="preserve">8131400000</t>
  </si>
  <si>
    <t xml:space="preserve">C_E1824</t>
  </si>
  <si>
    <t xml:space="preserve">3352900000</t>
  </si>
  <si>
    <t xml:space="preserve">C_E1825</t>
  </si>
  <si>
    <t xml:space="preserve">3714600000</t>
  </si>
  <si>
    <t xml:space="preserve">C_E1826</t>
  </si>
  <si>
    <t xml:space="preserve">4669600000</t>
  </si>
  <si>
    <t xml:space="preserve">C_E1827</t>
  </si>
  <si>
    <t xml:space="preserve">4104600000</t>
  </si>
  <si>
    <t xml:space="preserve">C_E1828</t>
  </si>
  <si>
    <t xml:space="preserve">5541200000</t>
  </si>
  <si>
    <t xml:space="preserve">C_E1829</t>
  </si>
  <si>
    <t xml:space="preserve">4705300000</t>
  </si>
  <si>
    <t xml:space="preserve">C_E1830</t>
  </si>
  <si>
    <t xml:space="preserve">4022300000</t>
  </si>
  <si>
    <t xml:space="preserve">C_E1831</t>
  </si>
  <si>
    <t xml:space="preserve">7433600000</t>
  </si>
  <si>
    <t xml:space="preserve">C_E1832</t>
  </si>
  <si>
    <t xml:space="preserve">6938200000</t>
  </si>
  <si>
    <t xml:space="preserve">C_E1833</t>
  </si>
  <si>
    <t xml:space="preserve">9730400000</t>
  </si>
  <si>
    <t xml:space="preserve">C_E1834</t>
  </si>
  <si>
    <t xml:space="preserve">3164500000</t>
  </si>
  <si>
    <t xml:space="preserve">C_E1835</t>
  </si>
  <si>
    <t xml:space="preserve">2304500000</t>
  </si>
  <si>
    <t xml:space="preserve">C_E1836</t>
  </si>
  <si>
    <t xml:space="preserve">9510700000</t>
  </si>
  <si>
    <t xml:space="preserve">C_E1837</t>
  </si>
  <si>
    <t xml:space="preserve">8047400000</t>
  </si>
  <si>
    <t xml:space="preserve">C_E1838</t>
  </si>
  <si>
    <t xml:space="preserve">5466200000</t>
  </si>
  <si>
    <t xml:space="preserve">C_E1839</t>
  </si>
  <si>
    <t xml:space="preserve">6599600000</t>
  </si>
  <si>
    <t xml:space="preserve">C_E1840</t>
  </si>
  <si>
    <t xml:space="preserve">6061400000</t>
  </si>
  <si>
    <t xml:space="preserve">C_E1841</t>
  </si>
  <si>
    <t xml:space="preserve">5864800000</t>
  </si>
  <si>
    <t xml:space="preserve">C_E1842</t>
  </si>
  <si>
    <t xml:space="preserve">8412600000</t>
  </si>
  <si>
    <t xml:space="preserve">C_E1843</t>
  </si>
  <si>
    <t xml:space="preserve">7833000000</t>
  </si>
  <si>
    <t xml:space="preserve">C_E1844</t>
  </si>
  <si>
    <t xml:space="preserve">8398500000</t>
  </si>
  <si>
    <t xml:space="preserve">C_E1845</t>
  </si>
  <si>
    <t xml:space="preserve">6019200000</t>
  </si>
  <si>
    <t xml:space="preserve">C_E1846</t>
  </si>
  <si>
    <t xml:space="preserve">5679200000</t>
  </si>
  <si>
    <t xml:space="preserve">C_E1847</t>
  </si>
  <si>
    <t xml:space="preserve">9821200000</t>
  </si>
  <si>
    <t xml:space="preserve">C_E1848</t>
  </si>
  <si>
    <t xml:space="preserve">7760500000</t>
  </si>
  <si>
    <t xml:space="preserve">C_E1849</t>
  </si>
  <si>
    <t xml:space="preserve">4406500000</t>
  </si>
  <si>
    <t xml:space="preserve">C_E1850</t>
  </si>
  <si>
    <t xml:space="preserve">9917500000</t>
  </si>
  <si>
    <t xml:space="preserve">C_E1851</t>
  </si>
  <si>
    <t xml:space="preserve">8074500000</t>
  </si>
  <si>
    <t xml:space="preserve">C_E1852</t>
  </si>
  <si>
    <t xml:space="preserve">3799000000</t>
  </si>
  <si>
    <t xml:space="preserve">C_E1853</t>
  </si>
  <si>
    <t xml:space="preserve">5016900000</t>
  </si>
  <si>
    <t xml:space="preserve">C_E1854</t>
  </si>
  <si>
    <t xml:space="preserve">1161400000</t>
  </si>
  <si>
    <t xml:space="preserve">C_E1855</t>
  </si>
  <si>
    <t xml:space="preserve">3998800000</t>
  </si>
  <si>
    <t xml:space="preserve">C_E1856</t>
  </si>
  <si>
    <t xml:space="preserve">8240300000</t>
  </si>
  <si>
    <t xml:space="preserve">C_E1857</t>
  </si>
  <si>
    <t xml:space="preserve">1210700000</t>
  </si>
  <si>
    <t xml:space="preserve">C_E1858</t>
  </si>
  <si>
    <t xml:space="preserve">7425900000</t>
  </si>
  <si>
    <t xml:space="preserve">C_E1859</t>
  </si>
  <si>
    <t xml:space="preserve">6962700000</t>
  </si>
  <si>
    <t xml:space="preserve">C_E1860</t>
  </si>
  <si>
    <t xml:space="preserve">5643900000</t>
  </si>
  <si>
    <t xml:space="preserve">C_E1861</t>
  </si>
  <si>
    <t xml:space="preserve">8129200000</t>
  </si>
  <si>
    <t xml:space="preserve">C_E1862</t>
  </si>
  <si>
    <t xml:space="preserve">9016800000</t>
  </si>
  <si>
    <t xml:space="preserve">C_E1863</t>
  </si>
  <si>
    <t xml:space="preserve">C_E1864</t>
  </si>
  <si>
    <t xml:space="preserve">9472300000</t>
  </si>
  <si>
    <t xml:space="preserve">C_E1865</t>
  </si>
  <si>
    <t xml:space="preserve">5797200000</t>
  </si>
  <si>
    <t xml:space="preserve">C_E1866</t>
  </si>
  <si>
    <t xml:space="preserve">4282600000</t>
  </si>
  <si>
    <t xml:space="preserve">C_E1867</t>
  </si>
  <si>
    <t xml:space="preserve">9992300000</t>
  </si>
  <si>
    <t xml:space="preserve">C_E1868</t>
  </si>
  <si>
    <t xml:space="preserve">4595100000</t>
  </si>
  <si>
    <t xml:space="preserve">C_E1869</t>
  </si>
  <si>
    <t xml:space="preserve">3927600000</t>
  </si>
  <si>
    <t xml:space="preserve">C_E1870</t>
  </si>
  <si>
    <t xml:space="preserve">2320700000</t>
  </si>
  <si>
    <t xml:space="preserve">C_E1871</t>
  </si>
  <si>
    <t xml:space="preserve">8047200000</t>
  </si>
  <si>
    <t xml:space="preserve">C_E1872</t>
  </si>
  <si>
    <t xml:space="preserve">5953600000</t>
  </si>
  <si>
    <t xml:space="preserve">C_E1873</t>
  </si>
  <si>
    <t xml:space="preserve">6513300000</t>
  </si>
  <si>
    <t xml:space="preserve">C_E1874</t>
  </si>
  <si>
    <t xml:space="preserve">9365600000</t>
  </si>
  <si>
    <t xml:space="preserve">C_E1875</t>
  </si>
  <si>
    <t xml:space="preserve">5266600000</t>
  </si>
  <si>
    <t xml:space="preserve">C_E1876</t>
  </si>
  <si>
    <t xml:space="preserve">2822700000</t>
  </si>
  <si>
    <t xml:space="preserve">C_E1877</t>
  </si>
  <si>
    <t xml:space="preserve">2855100000</t>
  </si>
  <si>
    <t xml:space="preserve">C_E1878</t>
  </si>
  <si>
    <t xml:space="preserve">7980400000</t>
  </si>
  <si>
    <t xml:space="preserve">C_E1879</t>
  </si>
  <si>
    <t xml:space="preserve">8623700000</t>
  </si>
  <si>
    <t xml:space="preserve">C_E1880</t>
  </si>
  <si>
    <t xml:space="preserve">9444600000</t>
  </si>
  <si>
    <t xml:space="preserve">C_E1881</t>
  </si>
  <si>
    <t xml:space="preserve">4387500000</t>
  </si>
  <si>
    <t xml:space="preserve">C_E1882</t>
  </si>
  <si>
    <t xml:space="preserve">4539300000</t>
  </si>
  <si>
    <t xml:space="preserve">C_E1883</t>
  </si>
  <si>
    <t xml:space="preserve">2806000000</t>
  </si>
  <si>
    <t xml:space="preserve">C_E1884</t>
  </si>
  <si>
    <t xml:space="preserve">3378500000</t>
  </si>
  <si>
    <t xml:space="preserve">C_E1885</t>
  </si>
  <si>
    <t xml:space="preserve">2691100000</t>
  </si>
  <si>
    <t xml:space="preserve">C_E1886</t>
  </si>
  <si>
    <t xml:space="preserve">9326600000</t>
  </si>
  <si>
    <t xml:space="preserve">C_E1887</t>
  </si>
  <si>
    <t xml:space="preserve">5454000000</t>
  </si>
  <si>
    <t xml:space="preserve">C_E1888</t>
  </si>
  <si>
    <t xml:space="preserve">5464200000</t>
  </si>
  <si>
    <t xml:space="preserve">C_E1889</t>
  </si>
  <si>
    <t xml:space="preserve">3706100000</t>
  </si>
  <si>
    <t xml:space="preserve">C_E1890</t>
  </si>
  <si>
    <t xml:space="preserve">1279600000</t>
  </si>
  <si>
    <t xml:space="preserve">C_E1891</t>
  </si>
  <si>
    <t xml:space="preserve">3560900000</t>
  </si>
  <si>
    <t xml:space="preserve">C_E1892</t>
  </si>
  <si>
    <t xml:space="preserve">1625700000</t>
  </si>
  <si>
    <t xml:space="preserve">C_E1893</t>
  </si>
  <si>
    <t xml:space="preserve">4932300000</t>
  </si>
  <si>
    <t xml:space="preserve">C_E1894</t>
  </si>
  <si>
    <t xml:space="preserve">4034900000</t>
  </si>
  <si>
    <t xml:space="preserve">C_E1895</t>
  </si>
  <si>
    <t xml:space="preserve">7328700000</t>
  </si>
  <si>
    <t xml:space="preserve">C_E1896</t>
  </si>
  <si>
    <t xml:space="preserve">5973300000</t>
  </si>
  <si>
    <t xml:space="preserve">C_E1897</t>
  </si>
  <si>
    <t xml:space="preserve">3534400000</t>
  </si>
  <si>
    <t xml:space="preserve">C_E1898</t>
  </si>
  <si>
    <t xml:space="preserve">1098200000</t>
  </si>
  <si>
    <t xml:space="preserve">C_E1899</t>
  </si>
  <si>
    <t xml:space="preserve">7523500000</t>
  </si>
  <si>
    <t xml:space="preserve">C_E1900</t>
  </si>
  <si>
    <t xml:space="preserve">5875600000</t>
  </si>
  <si>
    <t xml:space="preserve">C_E1901</t>
  </si>
  <si>
    <t xml:space="preserve">1386800000</t>
  </si>
  <si>
    <t xml:space="preserve">C_E1902</t>
  </si>
  <si>
    <t xml:space="preserve">9858100000</t>
  </si>
  <si>
    <t xml:space="preserve">C_E1903</t>
  </si>
  <si>
    <t xml:space="preserve">3424700000</t>
  </si>
  <si>
    <t xml:space="preserve">C_E1904</t>
  </si>
  <si>
    <t xml:space="preserve">7967000000</t>
  </si>
  <si>
    <t xml:space="preserve">C_E1905</t>
  </si>
  <si>
    <t xml:space="preserve">7882100000</t>
  </si>
  <si>
    <t xml:space="preserve">C_E1906</t>
  </si>
  <si>
    <t xml:space="preserve">2659500000</t>
  </si>
  <si>
    <t xml:space="preserve">C_E1907</t>
  </si>
  <si>
    <t xml:space="preserve">5724800000</t>
  </si>
  <si>
    <t xml:space="preserve">C_E1908</t>
  </si>
  <si>
    <t xml:space="preserve">7216000000</t>
  </si>
  <si>
    <t xml:space="preserve">C_E1909</t>
  </si>
  <si>
    <t xml:space="preserve">7831700000</t>
  </si>
  <si>
    <t xml:space="preserve">C_E1910</t>
  </si>
  <si>
    <t xml:space="preserve">2987400000</t>
  </si>
  <si>
    <t xml:space="preserve">C_E1911</t>
  </si>
  <si>
    <t xml:space="preserve">4715300000</t>
  </si>
  <si>
    <t xml:space="preserve">C_E1912</t>
  </si>
  <si>
    <t xml:space="preserve">5048100000</t>
  </si>
  <si>
    <t xml:space="preserve">C_E1913</t>
  </si>
  <si>
    <t xml:space="preserve">3246400000</t>
  </si>
  <si>
    <t xml:space="preserve">C_E1914</t>
  </si>
  <si>
    <t xml:space="preserve">4973000000</t>
  </si>
  <si>
    <t xml:space="preserve">C_E1915</t>
  </si>
  <si>
    <t xml:space="preserve">9092600000</t>
  </si>
  <si>
    <t xml:space="preserve">C_E1916</t>
  </si>
  <si>
    <t xml:space="preserve">3265200000</t>
  </si>
  <si>
    <t xml:space="preserve">C_E1917</t>
  </si>
  <si>
    <t xml:space="preserve">4125700000</t>
  </si>
  <si>
    <t xml:space="preserve">C_E1918</t>
  </si>
  <si>
    <t xml:space="preserve">1237900000</t>
  </si>
  <si>
    <t xml:space="preserve">C_E1919</t>
  </si>
  <si>
    <t xml:space="preserve">3983600000</t>
  </si>
  <si>
    <t xml:space="preserve">C_E1920</t>
  </si>
  <si>
    <t xml:space="preserve">5553100000</t>
  </si>
  <si>
    <t xml:space="preserve">C_E1921</t>
  </si>
  <si>
    <t xml:space="preserve">3701900000</t>
  </si>
  <si>
    <t xml:space="preserve">C_E1922</t>
  </si>
  <si>
    <t xml:space="preserve">1670400000</t>
  </si>
  <si>
    <t xml:space="preserve">C_E1923</t>
  </si>
  <si>
    <t xml:space="preserve">2292500000</t>
  </si>
  <si>
    <t xml:space="preserve">C_E1924</t>
  </si>
  <si>
    <t xml:space="preserve">8259800000</t>
  </si>
  <si>
    <t xml:space="preserve">C_E1925</t>
  </si>
  <si>
    <t xml:space="preserve">7419400000</t>
  </si>
  <si>
    <t xml:space="preserve">C_E1926</t>
  </si>
  <si>
    <t xml:space="preserve">3042100000</t>
  </si>
  <si>
    <t xml:space="preserve">C_E1927</t>
  </si>
  <si>
    <t xml:space="preserve">8751700000</t>
  </si>
  <si>
    <t xml:space="preserve">C_E1928</t>
  </si>
  <si>
    <t xml:space="preserve">1488900000</t>
  </si>
  <si>
    <t xml:space="preserve">C_E1929</t>
  </si>
  <si>
    <t xml:space="preserve">6476500000</t>
  </si>
  <si>
    <t xml:space="preserve">C_E1930</t>
  </si>
  <si>
    <t xml:space="preserve">8943400000</t>
  </si>
  <si>
    <t xml:space="preserve">C_E1931</t>
  </si>
  <si>
    <t xml:space="preserve">5222700000</t>
  </si>
  <si>
    <t xml:space="preserve">C_E1932</t>
  </si>
  <si>
    <t xml:space="preserve">2220800000</t>
  </si>
  <si>
    <t xml:space="preserve">C_E1933</t>
  </si>
  <si>
    <t xml:space="preserve">4560800000</t>
  </si>
  <si>
    <t xml:space="preserve">C_E1934</t>
  </si>
  <si>
    <t xml:space="preserve">6146700000</t>
  </si>
  <si>
    <t xml:space="preserve">C_E1935</t>
  </si>
  <si>
    <t xml:space="preserve">C_E1936</t>
  </si>
  <si>
    <t xml:space="preserve">7026800000</t>
  </si>
  <si>
    <t xml:space="preserve">C_E1937</t>
  </si>
  <si>
    <t xml:space="preserve">9268100000</t>
  </si>
  <si>
    <t xml:space="preserve">C_E1938</t>
  </si>
  <si>
    <t xml:space="preserve">1094100000</t>
  </si>
  <si>
    <t xml:space="preserve">C_E1939</t>
  </si>
  <si>
    <t xml:space="preserve">7250000000</t>
  </si>
  <si>
    <t xml:space="preserve">C_E1940</t>
  </si>
  <si>
    <t xml:space="preserve">2201500000</t>
  </si>
  <si>
    <t xml:space="preserve">C_E1941</t>
  </si>
  <si>
    <t xml:space="preserve">4190100000</t>
  </si>
  <si>
    <t xml:space="preserve">C_E1942</t>
  </si>
  <si>
    <t xml:space="preserve">7196300000</t>
  </si>
  <si>
    <t xml:space="preserve">C_E1943</t>
  </si>
  <si>
    <t xml:space="preserve">2344200000</t>
  </si>
  <si>
    <t xml:space="preserve">C_E1944</t>
  </si>
  <si>
    <t xml:space="preserve">9923000000</t>
  </si>
  <si>
    <t xml:space="preserve">C_E1945</t>
  </si>
  <si>
    <t xml:space="preserve">5718800000</t>
  </si>
  <si>
    <t xml:space="preserve">C_E1946</t>
  </si>
  <si>
    <t xml:space="preserve">7353400000</t>
  </si>
  <si>
    <t xml:space="preserve">C_E1947</t>
  </si>
  <si>
    <t xml:space="preserve">4665800000</t>
  </si>
  <si>
    <t xml:space="preserve">C_E1948</t>
  </si>
  <si>
    <t xml:space="preserve">4706900000</t>
  </si>
  <si>
    <t xml:space="preserve">C_E1949</t>
  </si>
  <si>
    <t xml:space="preserve">9298400000</t>
  </si>
  <si>
    <t xml:space="preserve">C_E1950</t>
  </si>
  <si>
    <t xml:space="preserve">6338100000</t>
  </si>
  <si>
    <t xml:space="preserve">C_E1951</t>
  </si>
  <si>
    <t xml:space="preserve">2389400000</t>
  </si>
  <si>
    <t xml:space="preserve">C_E1952</t>
  </si>
  <si>
    <t xml:space="preserve">7998600000</t>
  </si>
  <si>
    <t xml:space="preserve">C_E1953</t>
  </si>
  <si>
    <t xml:space="preserve">2454200000</t>
  </si>
  <si>
    <t xml:space="preserve">C_E1954</t>
  </si>
  <si>
    <t xml:space="preserve">8940800000</t>
  </si>
  <si>
    <t xml:space="preserve">C_E1955</t>
  </si>
  <si>
    <t xml:space="preserve">9086900000</t>
  </si>
  <si>
    <t xml:space="preserve">C_E1956</t>
  </si>
  <si>
    <t xml:space="preserve">2518100000</t>
  </si>
  <si>
    <t xml:space="preserve">C_E1957</t>
  </si>
  <si>
    <t xml:space="preserve">3727700000</t>
  </si>
  <si>
    <t xml:space="preserve">C_E1958</t>
  </si>
  <si>
    <t xml:space="preserve">8866700000</t>
  </si>
  <si>
    <t xml:space="preserve">C_E1959</t>
  </si>
  <si>
    <t xml:space="preserve">6208400000</t>
  </si>
  <si>
    <t xml:space="preserve">C_E1960</t>
  </si>
  <si>
    <t xml:space="preserve">1246700000</t>
  </si>
  <si>
    <t xml:space="preserve">C_E1961</t>
  </si>
  <si>
    <t xml:space="preserve">4256300000</t>
  </si>
  <si>
    <t xml:space="preserve">C_E1962</t>
  </si>
  <si>
    <t xml:space="preserve">1292300000</t>
  </si>
  <si>
    <t xml:space="preserve">A0014</t>
  </si>
  <si>
    <t xml:space="preserve">B0014</t>
  </si>
  <si>
    <t xml:space="preserve">5937900000</t>
  </si>
  <si>
    <t xml:space="preserve">C0014</t>
  </si>
  <si>
    <t xml:space="preserve">D0014</t>
  </si>
  <si>
    <t xml:space="preserve">E0014</t>
  </si>
  <si>
    <t xml:space="preserve">A0042</t>
  </si>
  <si>
    <t xml:space="preserve">B0042</t>
  </si>
  <si>
    <t xml:space="preserve">2199400000</t>
  </si>
  <si>
    <t xml:space="preserve">C0042</t>
  </si>
  <si>
    <t xml:space="preserve">D0042</t>
  </si>
  <si>
    <t xml:space="preserve">E0042</t>
  </si>
  <si>
    <t xml:space="preserve">A0045</t>
  </si>
  <si>
    <t xml:space="preserve">B0045</t>
  </si>
  <si>
    <t xml:space="preserve">9809800000</t>
  </si>
  <si>
    <t xml:space="preserve">C0045</t>
  </si>
  <si>
    <t xml:space="preserve">D0045</t>
  </si>
  <si>
    <t xml:space="preserve">E0045</t>
  </si>
  <si>
    <t xml:space="preserve">A0073</t>
  </si>
  <si>
    <t xml:space="preserve">B0073</t>
  </si>
  <si>
    <t xml:space="preserve">6930800000</t>
  </si>
  <si>
    <t xml:space="preserve">C0073</t>
  </si>
  <si>
    <t xml:space="preserve">D0073</t>
  </si>
  <si>
    <t xml:space="preserve">E0073</t>
  </si>
  <si>
    <t xml:space="preserve">A0105</t>
  </si>
  <si>
    <t xml:space="preserve">B0105</t>
  </si>
  <si>
    <t xml:space="preserve">6288300000</t>
  </si>
  <si>
    <t xml:space="preserve">C0105</t>
  </si>
  <si>
    <t xml:space="preserve">D0105</t>
  </si>
  <si>
    <t xml:space="preserve">E0105</t>
  </si>
  <si>
    <t xml:space="preserve">A0110</t>
  </si>
  <si>
    <t xml:space="preserve">B0110</t>
  </si>
  <si>
    <t xml:space="preserve">8176400000</t>
  </si>
  <si>
    <t xml:space="preserve">C0110</t>
  </si>
  <si>
    <t xml:space="preserve">D0110</t>
  </si>
  <si>
    <t xml:space="preserve">E0110</t>
  </si>
  <si>
    <t xml:space="preserve">A0132</t>
  </si>
  <si>
    <t xml:space="preserve">B0132</t>
  </si>
  <si>
    <t xml:space="preserve">2471900000</t>
  </si>
  <si>
    <t xml:space="preserve">C0132</t>
  </si>
  <si>
    <t xml:space="preserve">D0132</t>
  </si>
  <si>
    <t xml:space="preserve">E0132</t>
  </si>
  <si>
    <t xml:space="preserve">A0139</t>
  </si>
  <si>
    <t xml:space="preserve">B0139</t>
  </si>
  <si>
    <t xml:space="preserve">4568600000</t>
  </si>
  <si>
    <t xml:space="preserve">C0139</t>
  </si>
  <si>
    <t xml:space="preserve">D0139</t>
  </si>
  <si>
    <t xml:space="preserve">E0139</t>
  </si>
  <si>
    <t xml:space="preserve">A0149</t>
  </si>
  <si>
    <t xml:space="preserve">B0149</t>
  </si>
  <si>
    <t xml:space="preserve">3677100000</t>
  </si>
  <si>
    <t xml:space="preserve">C0149</t>
  </si>
  <si>
    <t xml:space="preserve">D0149</t>
  </si>
  <si>
    <t xml:space="preserve">E0149</t>
  </si>
  <si>
    <t xml:space="preserve">A0179</t>
  </si>
  <si>
    <t xml:space="preserve">B0179</t>
  </si>
  <si>
    <t xml:space="preserve">9553300000</t>
  </si>
  <si>
    <t xml:space="preserve">C0179</t>
  </si>
  <si>
    <t xml:space="preserve">D0179</t>
  </si>
  <si>
    <t xml:space="preserve">E0179</t>
  </si>
  <si>
    <t xml:space="preserve">A0192</t>
  </si>
  <si>
    <t xml:space="preserve">B0192</t>
  </si>
  <si>
    <t xml:space="preserve">2749300000</t>
  </si>
  <si>
    <t xml:space="preserve">C0192</t>
  </si>
  <si>
    <t xml:space="preserve">D0192</t>
  </si>
  <si>
    <t xml:space="preserve">E0192</t>
  </si>
  <si>
    <t xml:space="preserve">A0233</t>
  </si>
  <si>
    <t xml:space="preserve">B0233</t>
  </si>
  <si>
    <t xml:space="preserve">9772600000</t>
  </si>
  <si>
    <t xml:space="preserve">C0233</t>
  </si>
  <si>
    <t xml:space="preserve">D0233</t>
  </si>
  <si>
    <t xml:space="preserve">E0233</t>
  </si>
  <si>
    <t xml:space="preserve">A0237</t>
  </si>
  <si>
    <t xml:space="preserve">B0237</t>
  </si>
  <si>
    <t xml:space="preserve">5590000000</t>
  </si>
  <si>
    <t xml:space="preserve">C0237</t>
  </si>
  <si>
    <t xml:space="preserve">D0237</t>
  </si>
  <si>
    <t xml:space="preserve">E0237</t>
  </si>
  <si>
    <t xml:space="preserve">A0302</t>
  </si>
  <si>
    <t xml:space="preserve">B0302</t>
  </si>
  <si>
    <t xml:space="preserve">5954800000</t>
  </si>
  <si>
    <t xml:space="preserve">C0302</t>
  </si>
  <si>
    <t xml:space="preserve">D0302</t>
  </si>
  <si>
    <t xml:space="preserve">E0302</t>
  </si>
  <si>
    <t xml:space="preserve">A0303</t>
  </si>
  <si>
    <t xml:space="preserve">B0303</t>
  </si>
  <si>
    <t xml:space="preserve">9934400000</t>
  </si>
  <si>
    <t xml:space="preserve">C0303</t>
  </si>
  <si>
    <t xml:space="preserve">D0303</t>
  </si>
  <si>
    <t xml:space="preserve">E0303</t>
  </si>
  <si>
    <t xml:space="preserve">A0313</t>
  </si>
  <si>
    <t xml:space="preserve">B0313</t>
  </si>
  <si>
    <t xml:space="preserve">5835500000</t>
  </si>
  <si>
    <t xml:space="preserve">C0313</t>
  </si>
  <si>
    <t xml:space="preserve">D0313</t>
  </si>
  <si>
    <t xml:space="preserve">E0313</t>
  </si>
  <si>
    <t xml:space="preserve">A0317</t>
  </si>
  <si>
    <t xml:space="preserve">B0317</t>
  </si>
  <si>
    <t xml:space="preserve">1596500000</t>
  </si>
  <si>
    <t xml:space="preserve">C0317</t>
  </si>
  <si>
    <t xml:space="preserve">D0317</t>
  </si>
  <si>
    <t xml:space="preserve">E0317</t>
  </si>
  <si>
    <t xml:space="preserve">A0344</t>
  </si>
  <si>
    <t xml:space="preserve">B0344</t>
  </si>
  <si>
    <t xml:space="preserve">9386100000</t>
  </si>
  <si>
    <t xml:space="preserve">C0344</t>
  </si>
  <si>
    <t xml:space="preserve">D0344</t>
  </si>
  <si>
    <t xml:space="preserve">E0344</t>
  </si>
  <si>
    <t xml:space="preserve">A0352</t>
  </si>
  <si>
    <t xml:space="preserve">B0352</t>
  </si>
  <si>
    <t xml:space="preserve">4729000000</t>
  </si>
  <si>
    <t xml:space="preserve">C0352</t>
  </si>
  <si>
    <t xml:space="preserve">D0352</t>
  </si>
  <si>
    <t xml:space="preserve">E0352</t>
  </si>
  <si>
    <t xml:space="preserve">A0353</t>
  </si>
  <si>
    <t xml:space="preserve">B0353</t>
  </si>
  <si>
    <t xml:space="preserve">9591400000</t>
  </si>
  <si>
    <t xml:space="preserve">C0353</t>
  </si>
  <si>
    <t xml:space="preserve">D0353</t>
  </si>
  <si>
    <t xml:space="preserve">E0353</t>
  </si>
  <si>
    <t xml:space="preserve">A0362</t>
  </si>
  <si>
    <t xml:space="preserve">B0362</t>
  </si>
  <si>
    <t xml:space="preserve">9793700000</t>
  </si>
  <si>
    <t xml:space="preserve">C0362</t>
  </si>
  <si>
    <t xml:space="preserve">D0362</t>
  </si>
  <si>
    <t xml:space="preserve">E0362</t>
  </si>
  <si>
    <t xml:space="preserve">A0363</t>
  </si>
  <si>
    <t xml:space="preserve">B0363</t>
  </si>
  <si>
    <t xml:space="preserve">6846300000</t>
  </si>
  <si>
    <t xml:space="preserve">C0363</t>
  </si>
  <si>
    <t xml:space="preserve">D0363</t>
  </si>
  <si>
    <t xml:space="preserve">E0363</t>
  </si>
  <si>
    <t xml:space="preserve">A0391</t>
  </si>
  <si>
    <t xml:space="preserve">B0391</t>
  </si>
  <si>
    <t xml:space="preserve">9839000000</t>
  </si>
  <si>
    <t xml:space="preserve">C0391</t>
  </si>
  <si>
    <t xml:space="preserve">D0391</t>
  </si>
  <si>
    <t xml:space="preserve">E0391</t>
  </si>
  <si>
    <t xml:space="preserve">A0410</t>
  </si>
  <si>
    <t xml:space="preserve">B0410</t>
  </si>
  <si>
    <t xml:space="preserve">6817400000</t>
  </si>
  <si>
    <t xml:space="preserve">C0410</t>
  </si>
  <si>
    <t xml:space="preserve">D0410</t>
  </si>
  <si>
    <t xml:space="preserve">E0410</t>
  </si>
  <si>
    <t xml:space="preserve">A0414</t>
  </si>
  <si>
    <t xml:space="preserve">B0414</t>
  </si>
  <si>
    <t xml:space="preserve">2751600000</t>
  </si>
  <si>
    <t xml:space="preserve">C0414</t>
  </si>
  <si>
    <t xml:space="preserve">D0414</t>
  </si>
  <si>
    <t xml:space="preserve">E0414</t>
  </si>
  <si>
    <t xml:space="preserve">A0422</t>
  </si>
  <si>
    <t xml:space="preserve">B0422</t>
  </si>
  <si>
    <t xml:space="preserve">2980100000</t>
  </si>
  <si>
    <t xml:space="preserve">C0422</t>
  </si>
  <si>
    <t xml:space="preserve">D0422</t>
  </si>
  <si>
    <t xml:space="preserve">E0422</t>
  </si>
  <si>
    <t xml:space="preserve">A0423</t>
  </si>
  <si>
    <t xml:space="preserve">B0423</t>
  </si>
  <si>
    <t xml:space="preserve">6640100000</t>
  </si>
  <si>
    <t xml:space="preserve">C0423</t>
  </si>
  <si>
    <t xml:space="preserve">D0423</t>
  </si>
  <si>
    <t xml:space="preserve">E0423</t>
  </si>
  <si>
    <t xml:space="preserve">A0424</t>
  </si>
  <si>
    <t xml:space="preserve">B0424</t>
  </si>
  <si>
    <t xml:space="preserve">1225200000</t>
  </si>
  <si>
    <t xml:space="preserve">C0424</t>
  </si>
  <si>
    <t xml:space="preserve">D0424</t>
  </si>
  <si>
    <t xml:space="preserve">E0424</t>
  </si>
  <si>
    <t xml:space="preserve">A0612</t>
  </si>
  <si>
    <t xml:space="preserve">B0612</t>
  </si>
  <si>
    <t xml:space="preserve">7649900000</t>
  </si>
  <si>
    <t xml:space="preserve">C0612</t>
  </si>
  <si>
    <t xml:space="preserve">D0612</t>
  </si>
  <si>
    <t xml:space="preserve">E0612</t>
  </si>
  <si>
    <t xml:space="preserve">A0637</t>
  </si>
  <si>
    <t xml:space="preserve">B0637</t>
  </si>
  <si>
    <t xml:space="preserve">2767000000</t>
  </si>
  <si>
    <t xml:space="preserve">C0637</t>
  </si>
  <si>
    <t xml:space="preserve">D0637</t>
  </si>
  <si>
    <t xml:space="preserve">E0637</t>
  </si>
  <si>
    <t xml:space="preserve">A0642</t>
  </si>
  <si>
    <t xml:space="preserve">B0642</t>
  </si>
  <si>
    <t xml:space="preserve">8509500000</t>
  </si>
  <si>
    <t xml:space="preserve">C0642</t>
  </si>
  <si>
    <t xml:space="preserve">D0642</t>
  </si>
  <si>
    <t xml:space="preserve">E0642</t>
  </si>
  <si>
    <t xml:space="preserve">A0647</t>
  </si>
  <si>
    <t xml:space="preserve">B0647</t>
  </si>
  <si>
    <t xml:space="preserve">1150100000</t>
  </si>
  <si>
    <t xml:space="preserve">C0647</t>
  </si>
  <si>
    <t xml:space="preserve">D0647</t>
  </si>
  <si>
    <t xml:space="preserve">E0647</t>
  </si>
  <si>
    <t xml:space="preserve">A0648</t>
  </si>
  <si>
    <t xml:space="preserve">B0648</t>
  </si>
  <si>
    <t xml:space="preserve">9350500000</t>
  </si>
  <si>
    <t xml:space="preserve">C0648</t>
  </si>
  <si>
    <t xml:space="preserve">D0648</t>
  </si>
  <si>
    <t xml:space="preserve">E0648</t>
  </si>
  <si>
    <t xml:space="preserve">A0666</t>
  </si>
  <si>
    <t xml:space="preserve">B0666</t>
  </si>
  <si>
    <t xml:space="preserve">7687500000</t>
  </si>
  <si>
    <t xml:space="preserve">C0666</t>
  </si>
  <si>
    <t xml:space="preserve">D0666</t>
  </si>
  <si>
    <t xml:space="preserve">E0666</t>
  </si>
  <si>
    <t xml:space="preserve">A0674</t>
  </si>
  <si>
    <t xml:space="preserve">B0674</t>
  </si>
  <si>
    <t xml:space="preserve">2848800000</t>
  </si>
  <si>
    <t xml:space="preserve">C0674</t>
  </si>
  <si>
    <t xml:space="preserve">D0674</t>
  </si>
  <si>
    <t xml:space="preserve">E0674</t>
  </si>
  <si>
    <t xml:space="preserve">A0808</t>
  </si>
  <si>
    <t xml:space="preserve">B0808</t>
  </si>
  <si>
    <t xml:space="preserve">3659300000</t>
  </si>
  <si>
    <t xml:space="preserve">C0808</t>
  </si>
  <si>
    <t xml:space="preserve">D0808</t>
  </si>
  <si>
    <t xml:space="preserve">E0808</t>
  </si>
  <si>
    <t xml:space="preserve">A0862</t>
  </si>
  <si>
    <t xml:space="preserve">B0862</t>
  </si>
  <si>
    <t xml:space="preserve">7714500000</t>
  </si>
  <si>
    <t xml:space="preserve">C0862</t>
  </si>
  <si>
    <t xml:space="preserve">D0862</t>
  </si>
  <si>
    <t xml:space="preserve">E0862</t>
  </si>
  <si>
    <t xml:space="preserve">A0879</t>
  </si>
  <si>
    <t xml:space="preserve">B0879</t>
  </si>
  <si>
    <t xml:space="preserve">8997300000</t>
  </si>
  <si>
    <t xml:space="preserve">C0879</t>
  </si>
  <si>
    <t xml:space="preserve">D0879</t>
  </si>
  <si>
    <t xml:space="preserve">E0879</t>
  </si>
  <si>
    <t xml:space="preserve">A0881</t>
  </si>
  <si>
    <t xml:space="preserve">B0881</t>
  </si>
  <si>
    <t xml:space="preserve">4854200000</t>
  </si>
  <si>
    <t xml:space="preserve">C0881</t>
  </si>
  <si>
    <t xml:space="preserve">D0881</t>
  </si>
  <si>
    <t xml:space="preserve">E0881</t>
  </si>
  <si>
    <t xml:space="preserve">A0901</t>
  </si>
  <si>
    <t xml:space="preserve">B0901</t>
  </si>
  <si>
    <t xml:space="preserve">6376400000</t>
  </si>
  <si>
    <t xml:space="preserve">C0901</t>
  </si>
  <si>
    <t xml:space="preserve">D0901</t>
  </si>
  <si>
    <t xml:space="preserve">E0901</t>
  </si>
  <si>
    <t xml:space="preserve">A0945</t>
  </si>
  <si>
    <t xml:space="preserve">B0945</t>
  </si>
  <si>
    <t xml:space="preserve">9770700000</t>
  </si>
  <si>
    <t xml:space="preserve">C0945</t>
  </si>
  <si>
    <t xml:space="preserve">D0945</t>
  </si>
  <si>
    <t xml:space="preserve">E0945</t>
  </si>
  <si>
    <t xml:space="preserve">A0946</t>
  </si>
  <si>
    <t xml:space="preserve">B0946</t>
  </si>
  <si>
    <t xml:space="preserve">2561900000</t>
  </si>
  <si>
    <t xml:space="preserve">C0946</t>
  </si>
  <si>
    <t xml:space="preserve">D0946</t>
  </si>
  <si>
    <t xml:space="preserve">E0946</t>
  </si>
  <si>
    <t xml:space="preserve">A0957</t>
  </si>
  <si>
    <t xml:space="preserve">B0957</t>
  </si>
  <si>
    <t xml:space="preserve">7017500000</t>
  </si>
  <si>
    <t xml:space="preserve">C0957</t>
  </si>
  <si>
    <t xml:space="preserve">D0957</t>
  </si>
  <si>
    <t xml:space="preserve">E0957</t>
  </si>
  <si>
    <t xml:space="preserve">A0968</t>
  </si>
  <si>
    <t xml:space="preserve">B0968</t>
  </si>
  <si>
    <t xml:space="preserve">7015800000</t>
  </si>
  <si>
    <t xml:space="preserve">C0968</t>
  </si>
  <si>
    <t xml:space="preserve">D0968</t>
  </si>
  <si>
    <t xml:space="preserve">E0968</t>
  </si>
  <si>
    <t xml:space="preserve">A0969</t>
  </si>
  <si>
    <t xml:space="preserve">B0969</t>
  </si>
  <si>
    <t xml:space="preserve">1787500000</t>
  </si>
  <si>
    <t xml:space="preserve">C0969</t>
  </si>
  <si>
    <t xml:space="preserve">D0969</t>
  </si>
  <si>
    <t xml:space="preserve">E0969</t>
  </si>
  <si>
    <t xml:space="preserve">A0992</t>
  </si>
  <si>
    <t xml:space="preserve">B0992</t>
  </si>
  <si>
    <t xml:space="preserve">9625700000</t>
  </si>
  <si>
    <t xml:space="preserve">C0992</t>
  </si>
  <si>
    <t xml:space="preserve">D0992</t>
  </si>
  <si>
    <t xml:space="preserve">E0992</t>
  </si>
  <si>
    <t xml:space="preserve">A0993</t>
  </si>
  <si>
    <t xml:space="preserve">B0993</t>
  </si>
  <si>
    <t xml:space="preserve">2475800000</t>
  </si>
  <si>
    <t xml:space="preserve">C0993</t>
  </si>
  <si>
    <t xml:space="preserve">D0993</t>
  </si>
  <si>
    <t xml:space="preserve">E0993</t>
  </si>
  <si>
    <t xml:space="preserve">A1000</t>
  </si>
  <si>
    <t xml:space="preserve">B1000</t>
  </si>
  <si>
    <t xml:space="preserve">4379500000</t>
  </si>
  <si>
    <t xml:space="preserve">C1000</t>
  </si>
  <si>
    <t xml:space="preserve">D1000</t>
  </si>
  <si>
    <t xml:space="preserve">E1000</t>
  </si>
  <si>
    <t xml:space="preserve">A1084</t>
  </si>
  <si>
    <t xml:space="preserve">B1084</t>
  </si>
  <si>
    <t xml:space="preserve">9820000000</t>
  </si>
  <si>
    <t xml:space="preserve">C1084</t>
  </si>
  <si>
    <t xml:space="preserve">D1084</t>
  </si>
  <si>
    <t xml:space="preserve">E1084</t>
  </si>
  <si>
    <t xml:space="preserve">A1103</t>
  </si>
  <si>
    <t xml:space="preserve">B1103</t>
  </si>
  <si>
    <t xml:space="preserve">7236900000</t>
  </si>
  <si>
    <t xml:space="preserve">C1103</t>
  </si>
  <si>
    <t xml:space="preserve">D1103</t>
  </si>
  <si>
    <t xml:space="preserve">E1103</t>
  </si>
  <si>
    <t xml:space="preserve">A1123</t>
  </si>
  <si>
    <t xml:space="preserve">B1123</t>
  </si>
  <si>
    <t xml:space="preserve">9674600000</t>
  </si>
  <si>
    <t xml:space="preserve">C1123</t>
  </si>
  <si>
    <t xml:space="preserve">D1123</t>
  </si>
  <si>
    <t xml:space="preserve">E1123</t>
  </si>
  <si>
    <t xml:space="preserve">A1128</t>
  </si>
  <si>
    <t xml:space="preserve">B1128</t>
  </si>
  <si>
    <t xml:space="preserve">9130900000</t>
  </si>
  <si>
    <t xml:space="preserve">C1128</t>
  </si>
  <si>
    <t xml:space="preserve">D1128</t>
  </si>
  <si>
    <t xml:space="preserve">E1128</t>
  </si>
  <si>
    <t xml:space="preserve">A1164</t>
  </si>
  <si>
    <t xml:space="preserve">B1164</t>
  </si>
  <si>
    <t xml:space="preserve">7124200000</t>
  </si>
  <si>
    <t xml:space="preserve">C1164</t>
  </si>
  <si>
    <t xml:space="preserve">D1164</t>
  </si>
  <si>
    <t xml:space="preserve">E1164</t>
  </si>
  <si>
    <t xml:space="preserve">A1265</t>
  </si>
  <si>
    <t xml:space="preserve">B1265</t>
  </si>
  <si>
    <t xml:space="preserve">5477500000</t>
  </si>
  <si>
    <t xml:space="preserve">C1265</t>
  </si>
  <si>
    <t xml:space="preserve">D1265</t>
  </si>
  <si>
    <t xml:space="preserve">E1265</t>
  </si>
  <si>
    <t xml:space="preserve">A1266</t>
  </si>
  <si>
    <t xml:space="preserve">B1266</t>
  </si>
  <si>
    <t xml:space="preserve">3064500000</t>
  </si>
  <si>
    <t xml:space="preserve">C1266</t>
  </si>
  <si>
    <t xml:space="preserve">D1266</t>
  </si>
  <si>
    <t xml:space="preserve">E1266</t>
  </si>
  <si>
    <t xml:space="preserve">A1268</t>
  </si>
  <si>
    <t xml:space="preserve">B1268</t>
  </si>
  <si>
    <t xml:space="preserve">9148300000</t>
  </si>
  <si>
    <t xml:space="preserve">C1268</t>
  </si>
  <si>
    <t xml:space="preserve">D1268</t>
  </si>
  <si>
    <t xml:space="preserve">E1268</t>
  </si>
  <si>
    <t xml:space="preserve">A1270</t>
  </si>
  <si>
    <t xml:space="preserve">B1270</t>
  </si>
  <si>
    <t xml:space="preserve">4992200000</t>
  </si>
  <si>
    <t xml:space="preserve">C1270</t>
  </si>
  <si>
    <t xml:space="preserve">D1270</t>
  </si>
  <si>
    <t xml:space="preserve">E1270</t>
  </si>
  <si>
    <t xml:space="preserve">A1278</t>
  </si>
  <si>
    <t xml:space="preserve">B1278</t>
  </si>
  <si>
    <t xml:space="preserve">C1278</t>
  </si>
  <si>
    <t xml:space="preserve">D1278</t>
  </si>
  <si>
    <t xml:space="preserve">E1278</t>
  </si>
  <si>
    <t xml:space="preserve">A1305</t>
  </si>
  <si>
    <t xml:space="preserve">B1305</t>
  </si>
  <si>
    <t xml:space="preserve">8295200000</t>
  </si>
  <si>
    <t xml:space="preserve">C1305</t>
  </si>
  <si>
    <t xml:space="preserve">D1305</t>
  </si>
  <si>
    <t xml:space="preserve">E1305</t>
  </si>
  <si>
    <t xml:space="preserve">A1315</t>
  </si>
  <si>
    <t xml:space="preserve">B1315</t>
  </si>
  <si>
    <t xml:space="preserve">3917000000</t>
  </si>
  <si>
    <t xml:space="preserve">C1315</t>
  </si>
  <si>
    <t xml:space="preserve">D1315</t>
  </si>
  <si>
    <t xml:space="preserve">E1315</t>
  </si>
  <si>
    <t xml:space="preserve">A1385</t>
  </si>
  <si>
    <t xml:space="preserve">B1385</t>
  </si>
  <si>
    <t xml:space="preserve">C1385</t>
  </si>
  <si>
    <t xml:space="preserve">D1385</t>
  </si>
  <si>
    <t xml:space="preserve">E1385</t>
  </si>
  <si>
    <t xml:space="preserve">A1454</t>
  </si>
  <si>
    <t xml:space="preserve">B1454</t>
  </si>
  <si>
    <t xml:space="preserve">7095300000</t>
  </si>
  <si>
    <t xml:space="preserve">C1454</t>
  </si>
  <si>
    <t xml:space="preserve">D1454</t>
  </si>
  <si>
    <t xml:space="preserve">E1454</t>
  </si>
  <si>
    <t xml:space="preserve">A1455</t>
  </si>
  <si>
    <t xml:space="preserve">B1455</t>
  </si>
  <si>
    <t xml:space="preserve">6905100000</t>
  </si>
  <si>
    <t xml:space="preserve">C1455</t>
  </si>
  <si>
    <t xml:space="preserve">D1455</t>
  </si>
  <si>
    <t xml:space="preserve">E1455</t>
  </si>
  <si>
    <t xml:space="preserve">A1456</t>
  </si>
  <si>
    <t xml:space="preserve">B1456</t>
  </si>
  <si>
    <t xml:space="preserve">4759400000</t>
  </si>
  <si>
    <t xml:space="preserve">C1456</t>
  </si>
  <si>
    <t xml:space="preserve">D1456</t>
  </si>
  <si>
    <t xml:space="preserve">E1456</t>
  </si>
  <si>
    <t xml:space="preserve">A1490</t>
  </si>
  <si>
    <t xml:space="preserve">B1490</t>
  </si>
  <si>
    <t xml:space="preserve">7406400000</t>
  </si>
  <si>
    <t xml:space="preserve">C1490</t>
  </si>
  <si>
    <t xml:space="preserve">D1490</t>
  </si>
  <si>
    <t xml:space="preserve">E1490</t>
  </si>
  <si>
    <t xml:space="preserve">A1491</t>
  </si>
  <si>
    <t xml:space="preserve">B1491</t>
  </si>
  <si>
    <t xml:space="preserve">4965500000</t>
  </si>
  <si>
    <t xml:space="preserve">C1491</t>
  </si>
  <si>
    <t xml:space="preserve">D1491</t>
  </si>
  <si>
    <t xml:space="preserve">E1491</t>
  </si>
  <si>
    <t xml:space="preserve">A1493</t>
  </si>
  <si>
    <t xml:space="preserve">B1493</t>
  </si>
  <si>
    <t xml:space="preserve">8730800000</t>
  </si>
  <si>
    <t xml:space="preserve">C1493</t>
  </si>
  <si>
    <t xml:space="preserve">D1493</t>
  </si>
  <si>
    <t xml:space="preserve">E1493</t>
  </si>
  <si>
    <t xml:space="preserve">A1650</t>
  </si>
  <si>
    <t xml:space="preserve">B1650</t>
  </si>
  <si>
    <t xml:space="preserve">2177900000</t>
  </si>
  <si>
    <t xml:space="preserve">C1650</t>
  </si>
  <si>
    <t xml:space="preserve">D1650</t>
  </si>
  <si>
    <t xml:space="preserve">E1650</t>
  </si>
  <si>
    <t xml:space="preserve">A1666</t>
  </si>
  <si>
    <t xml:space="preserve">B1666</t>
  </si>
  <si>
    <t xml:space="preserve">4136900000</t>
  </si>
  <si>
    <t xml:space="preserve">C1666</t>
  </si>
  <si>
    <t xml:space="preserve">D1666</t>
  </si>
  <si>
    <t xml:space="preserve">E1666</t>
  </si>
  <si>
    <t xml:space="preserve">A1677</t>
  </si>
  <si>
    <t xml:space="preserve">B1677</t>
  </si>
  <si>
    <t xml:space="preserve">5151500000</t>
  </si>
  <si>
    <t xml:space="preserve">C1677</t>
  </si>
  <si>
    <t xml:space="preserve">D1677</t>
  </si>
  <si>
    <t xml:space="preserve">E1677</t>
  </si>
  <si>
    <t xml:space="preserve">A1772</t>
  </si>
  <si>
    <t xml:space="preserve">B1772</t>
  </si>
  <si>
    <t xml:space="preserve">6791000000</t>
  </si>
  <si>
    <t xml:space="preserve">C1772</t>
  </si>
  <si>
    <t xml:space="preserve">D1772</t>
  </si>
  <si>
    <t xml:space="preserve">E1772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</si>
</sst>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_(* #,##0_);_(* \(#,##0\);_(* \-_);_(@_)"/>
    <numFmt numFmtId="166" formatCode="yyyy\-mm\-dd"/>
    <numFmt numFmtId="167" formatCode="#,##0"/>
    <numFmt numFmtId="168" formatCode="0.0%"/>
    <numFmt numFmtId="169" formatCode="\+0.0%;\-0.0%"/>
    <numFmt numFmtId="170" formatCode="0%"/>
    <numFmt numFmtId="171" formatCode="0.00%"/>
    <numFmt numFmtId="172" formatCode="_-* #,##0_-;\-* #,##0_-;_-* \-_-;_-@_-"/>
    <numFmt numFmtId="173" formatCode="&quot;▣ &quot;yyyy/mm/dd"/>
    <numFmt numFmtId="174" formatCode="&quot;▣ 기준일자 : &quot;yyyy/mm/dd"/>
    <numFmt numFmtId="175" formatCode="yyyy\년"/>
    <numFmt numFmtId="176" formatCode="mm\월"/>
    <numFmt numFmtId="177" formatCode="General"/>
    <numFmt numFmtId="178" formatCode="m/d/yyyy"/>
  </numFmts>
  <fonts count="32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맑은 고딕"/>
      <family val="3"/>
      <charset val="129"/>
    </font>
    <font>
      <b val="true"/>
      <sz val="16"/>
      <color rgb="FF1F3864"/>
      <name val="Noto Sans CJK SC"/>
      <family val="2"/>
    </font>
    <font>
      <sz val="9"/>
      <color rgb="FF666666"/>
      <name val="Noto Sans CJK SC"/>
      <family val="2"/>
    </font>
    <font>
      <sz val="9"/>
      <color rgb="FF666666"/>
      <name val="맑은 고딕"/>
      <family val="0"/>
      <charset val="1"/>
    </font>
    <font>
      <b val="true"/>
      <sz val="11"/>
      <color rgb="FFFFFFFF"/>
      <name val="Noto Sans CJK SC"/>
      <family val="2"/>
    </font>
    <font>
      <b val="true"/>
      <sz val="14"/>
      <color rgb="FF1F3864"/>
      <name val="맑은 고딕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Noto Sans CJK SC"/>
      <family val="2"/>
    </font>
    <font>
      <sz val="10"/>
      <name val="맑은 고딕"/>
      <family val="0"/>
      <charset val="1"/>
    </font>
    <font>
      <sz val="10"/>
      <name val="Noto Sans CJK SC"/>
      <family val="2"/>
    </font>
    <font>
      <b val="true"/>
      <sz val="10"/>
      <name val="맑은 고딕"/>
      <family val="0"/>
      <charset val="1"/>
    </font>
    <font>
      <sz val="9"/>
      <name val="맑은 고딕"/>
      <family val="0"/>
      <charset val="1"/>
    </font>
    <font>
      <sz val="10"/>
      <color theme="1"/>
      <name val="맑은 고딕"/>
      <family val="3"/>
      <charset val="129"/>
    </font>
    <font>
      <sz val="9"/>
      <color theme="1"/>
      <name val="맑은 고딕"/>
      <family val="3"/>
      <charset val="129"/>
    </font>
    <font>
      <b val="true"/>
      <sz val="14"/>
      <color theme="1"/>
      <name val="맑은 고딕"/>
      <family val="3"/>
      <charset val="129"/>
    </font>
    <font>
      <b val="true"/>
      <sz val="12"/>
      <color theme="1"/>
      <name val="맑은 고딕"/>
      <family val="3"/>
      <charset val="129"/>
    </font>
    <font>
      <b val="true"/>
      <sz val="11"/>
      <name val="Noto Sans CJK SC"/>
      <family val="2"/>
    </font>
    <font>
      <b val="true"/>
      <sz val="10"/>
      <color theme="0"/>
      <name val="Noto Sans CJK SC"/>
      <family val="2"/>
    </font>
    <font>
      <b val="true"/>
      <sz val="10"/>
      <color theme="0"/>
      <name val="맑은 고딕"/>
      <family val="2"/>
      <charset val="129"/>
    </font>
    <font>
      <b val="true"/>
      <sz val="10"/>
      <name val="맑은 고딕"/>
      <family val="3"/>
      <charset val="129"/>
    </font>
    <font>
      <b val="true"/>
      <sz val="10"/>
      <color theme="0"/>
      <name val="맑은 고딕"/>
      <family val="3"/>
      <charset val="129"/>
    </font>
    <font>
      <sz val="10"/>
      <color theme="1"/>
      <name val="Noto Sans CJK SC"/>
      <family val="2"/>
    </font>
    <font>
      <sz val="10"/>
      <name val="Arial"/>
      <family val="2"/>
    </font>
    <font>
      <sz val="9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Noto Sans CJK SC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rgb="FF203864"/>
      </patternFill>
    </fill>
    <fill>
      <patternFill patternType="solid">
        <fgColor rgb="FFD6E4F0"/>
        <bgColor rgb="FFDAE3F3"/>
      </patternFill>
    </fill>
    <fill>
      <patternFill patternType="solid">
        <fgColor rgb="FFE2EFDA"/>
        <bgColor rgb="FFEDEDED"/>
      </patternFill>
    </fill>
    <fill>
      <patternFill patternType="solid">
        <fgColor rgb="FFFBE5D6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4472C4"/>
        <bgColor rgb="FF2F5597"/>
      </patternFill>
    </fill>
    <fill>
      <patternFill patternType="solid">
        <fgColor rgb="FFFFFFFF"/>
        <bgColor rgb="FFFFF7E1"/>
      </patternFill>
    </fill>
    <fill>
      <patternFill patternType="solid">
        <fgColor rgb="FFD6DCE4"/>
        <bgColor rgb="FFD6E4F0"/>
      </patternFill>
    </fill>
    <fill>
      <patternFill patternType="solid">
        <fgColor rgb="FFFFF2CC"/>
        <bgColor rgb="FFFFF7E1"/>
      </patternFill>
    </fill>
    <fill>
      <patternFill patternType="solid">
        <fgColor theme="6" tint="0.7999"/>
        <bgColor rgb="FFF2F2F2"/>
      </patternFill>
    </fill>
    <fill>
      <patternFill patternType="solid">
        <fgColor theme="8" tint="-0.25"/>
        <bgColor rgb="FF203864"/>
      </patternFill>
    </fill>
    <fill>
      <patternFill patternType="solid">
        <fgColor theme="8" tint="-0.5"/>
        <bgColor rgb="FF1F3864"/>
      </patternFill>
    </fill>
    <fill>
      <patternFill patternType="solid">
        <fgColor rgb="FFFFF7E1"/>
        <bgColor rgb="FFFFF2CC"/>
      </patternFill>
    </fill>
    <fill>
      <patternFill patternType="solid">
        <fgColor theme="8" tint="0.7999"/>
        <bgColor rgb="FFD6E4F0"/>
      </patternFill>
    </fill>
    <fill>
      <patternFill patternType="solid">
        <fgColor rgb="FFFFFF00"/>
        <bgColor rgb="FFFFCC00"/>
      </patternFill>
    </fill>
  </fills>
  <borders count="52">
    <border diagonalUp="false" diagonalDown="false">
      <left/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hair"/>
      <right style="medium"/>
      <top style="thin"/>
      <bottom style="thin"/>
      <diagonal/>
    </border>
    <border diagonalUp="false" diagonalDown="false">
      <left/>
      <right style="hair"/>
      <top style="thin"/>
      <bottom style="thin"/>
      <diagonal/>
    </border>
    <border diagonalUp="false" diagonalDown="false">
      <left style="medium"/>
      <right style="thin"/>
      <top/>
      <bottom style="hair"/>
      <diagonal/>
    </border>
    <border diagonalUp="false" diagonalDown="false">
      <left/>
      <right style="thin"/>
      <top/>
      <bottom style="hair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 style="thin"/>
      <right/>
      <top/>
      <bottom style="hair"/>
      <diagonal/>
    </border>
    <border diagonalUp="false" diagonalDown="false">
      <left style="thin"/>
      <right style="medium"/>
      <top/>
      <bottom style="hair"/>
      <diagonal/>
    </border>
    <border diagonalUp="false" diagonalDown="false">
      <left style="medium"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 style="medium"/>
      <top style="thin"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medium"/>
      <top/>
      <bottom style="hair"/>
      <diagonal/>
    </border>
    <border diagonalUp="false" diagonalDown="false">
      <left style="medium"/>
      <right style="hair"/>
      <top/>
      <bottom style="hair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medium"/>
      <right style="thin"/>
      <top style="medium"/>
      <bottom style="hair"/>
      <diagonal/>
    </border>
    <border diagonalUp="false" diagonalDown="false">
      <left/>
      <right style="thin"/>
      <top style="medium"/>
      <bottom style="hair"/>
      <diagonal/>
    </border>
    <border diagonalUp="false" diagonalDown="false">
      <left style="thin"/>
      <right style="thin"/>
      <top style="medium"/>
      <bottom style="hair"/>
      <diagonal/>
    </border>
    <border diagonalUp="false" diagonalDown="false">
      <left style="thin"/>
      <right style="medium"/>
      <top style="medium"/>
      <bottom style="hair"/>
      <diagonal/>
    </border>
    <border diagonalUp="false" diagonalDown="false">
      <left style="medium"/>
      <right style="thin"/>
      <top style="hair"/>
      <bottom style="hair"/>
      <diagonal/>
    </border>
    <border diagonalUp="false" diagonalDown="false">
      <left/>
      <right style="thin"/>
      <top style="hair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medium"/>
      <top style="hair"/>
      <bottom style="hair"/>
      <diagonal/>
    </border>
    <border diagonalUp="false" diagonalDown="false">
      <left style="medium"/>
      <right style="thin"/>
      <top style="hair"/>
      <bottom style="medium"/>
      <diagonal/>
    </border>
    <border diagonalUp="false" diagonalDown="false">
      <left/>
      <right style="thin"/>
      <top style="hair"/>
      <bottom style="medium"/>
      <diagonal/>
    </border>
    <border diagonalUp="false" diagonalDown="false">
      <left style="thin"/>
      <right style="thin"/>
      <top style="hair"/>
      <bottom style="medium"/>
      <diagonal/>
    </border>
    <border diagonalUp="false" diagonalDown="false">
      <left style="thin"/>
      <right style="medium"/>
      <top style="hair"/>
      <bottom style="medium"/>
      <diagonal/>
    </border>
    <border diagonalUp="false" diagonalDown="false">
      <left style="medium"/>
      <right style="thin"/>
      <top style="hair"/>
      <bottom/>
      <diagonal/>
    </border>
    <border diagonalUp="false" diagonalDown="false">
      <left/>
      <right style="thin"/>
      <top style="hair"/>
      <bottom/>
      <diagonal/>
    </border>
    <border diagonalUp="false" diagonalDown="false">
      <left style="thin"/>
      <right style="medium"/>
      <top style="hair"/>
      <bottom/>
      <diagonal/>
    </border>
    <border diagonalUp="false" diagonalDown="false">
      <left style="thin"/>
      <right style="thin"/>
      <top style="medium"/>
      <bottom/>
      <diagonal/>
    </border>
  </borders>
  <cellStyleXfs count="24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0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7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7" fillId="0" borderId="0" xfId="1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7" fillId="0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1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25" fillId="13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25" fillId="1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5" fillId="13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5" fillId="1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5" fillId="1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7" fillId="1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2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6" fillId="0" borderId="2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8" fontId="17" fillId="0" borderId="2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7" fillId="0" borderId="2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7" fillId="0" borderId="2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6" fillId="14" borderId="2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17" fillId="15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7" fillId="15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7" fillId="15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7" fillId="15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7" fillId="0" borderId="24" xfId="23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7" fillId="0" borderId="25" xfId="23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7" fillId="0" borderId="26" xfId="23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7" fillId="0" borderId="27" xfId="23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7" fillId="0" borderId="28" xfId="23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7" fillId="0" borderId="29" xfId="23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7" fillId="0" borderId="30" xfId="23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6" fillId="0" borderId="30" xfId="23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6" fillId="0" borderId="28" xfId="23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6" fillId="0" borderId="29" xfId="23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6" fillId="0" borderId="27" xfId="23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29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1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2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2" fillId="12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2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2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7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7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7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3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7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3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17" fillId="0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7" fillId="0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7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7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4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6" fillId="0" borderId="4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17" fillId="0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7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7" fillId="0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4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7" fillId="0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4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8" fontId="17" fillId="0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4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7" fillId="16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7" fillId="16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6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6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7" fillId="16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6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7" fillId="16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6" borderId="4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17" fillId="0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7" fillId="0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7" fillId="0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5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17" fillId="16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7" fillId="16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6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6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7" fillId="16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6" borderId="4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7" fillId="16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6" borderId="4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30" fillId="0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0" fillId="0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0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4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7" fillId="16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26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3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8" fontId="26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26" fillId="0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47" xfId="0" applyFont="true" applyBorder="true" applyAlignment="true" applyProtection="false">
      <alignment horizontal="center" vertical="center" textRotation="0" wrapText="false" indent="0" shrinkToFit="tru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쉼표 [0] 2" xfId="20"/>
    <cellStyle name="쉼표 [0] 3" xfId="21"/>
    <cellStyle name="표준 2 5" xfId="22"/>
    <cellStyle name="Excel Built-in Comma [0]" xfId="23"/>
  </cellStyles>
  <dxfs count="6">
    <dxf>
      <fill>
        <patternFill>
          <bgColor theme="0" tint="-0.25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7E1"/>
      <rgbColor rgb="FFD6E4F0"/>
      <rgbColor rgb="FF660066"/>
      <rgbColor rgb="FFFF8080"/>
      <rgbColor rgb="FF0066CC"/>
      <rgbColor rgb="FFB4C6E7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2CC"/>
      <rgbColor rgb="FFD6DCE4"/>
      <rgbColor rgb="FFFBE5D6"/>
      <rgbColor rgb="FFEDEDED"/>
      <rgbColor rgb="FFFFC7CE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20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P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16" min="2" style="1" width="13"/>
  </cols>
  <sheetData>
    <row r="1" customFormat="false" ht="21.75" hidden="false" customHeight="true" outlineLevel="0" collapsed="false"/>
    <row r="2" customFormat="false" ht="31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21.75" hidden="false" customHeight="true" outlineLevel="0" collapsed="false">
      <c r="B3" s="3" t="s">
        <v>1</v>
      </c>
      <c r="C3" s="4" t="n">
        <f aca="false">가맹점정보!C2</f>
        <v>46097</v>
      </c>
    </row>
    <row r="4" customFormat="false" ht="21.75" hidden="false" customHeight="true" outlineLevel="0" collapsed="false"/>
    <row r="5" customFormat="false" ht="27.75" hidden="false" customHeight="true" outlineLevel="0" collapsed="false">
      <c r="B5" s="5" t="s">
        <v>2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</row>
    <row r="6" customFormat="false" ht="21.75" hidden="false" customHeight="true" outlineLevel="0" collapsed="false">
      <c r="B6" s="6" t="s">
        <v>3</v>
      </c>
      <c r="C6" s="6"/>
      <c r="D6" s="7" t="s">
        <v>4</v>
      </c>
      <c r="E6" s="7"/>
      <c r="F6" s="8" t="s">
        <v>5</v>
      </c>
      <c r="G6" s="8"/>
      <c r="H6" s="6" t="s">
        <v>6</v>
      </c>
      <c r="I6" s="6"/>
      <c r="J6" s="9" t="s">
        <v>7</v>
      </c>
      <c r="K6" s="9"/>
      <c r="L6" s="6" t="s">
        <v>8</v>
      </c>
      <c r="M6" s="6"/>
    </row>
    <row r="7" customFormat="false" ht="30" hidden="false" customHeight="true" outlineLevel="0" collapsed="false">
      <c r="B7" s="10" t="n">
        <v>1962</v>
      </c>
      <c r="C7" s="10"/>
      <c r="D7" s="11" t="n">
        <v>1891</v>
      </c>
      <c r="E7" s="11"/>
      <c r="F7" s="12" t="n">
        <v>71</v>
      </c>
      <c r="G7" s="12"/>
      <c r="H7" s="10" t="n">
        <v>1105</v>
      </c>
      <c r="I7" s="10"/>
      <c r="J7" s="13" t="n">
        <v>786</v>
      </c>
      <c r="K7" s="13"/>
      <c r="L7" s="10" t="n">
        <v>1891</v>
      </c>
      <c r="M7" s="10"/>
    </row>
    <row r="8" customFormat="false" ht="21.75" hidden="false" customHeight="true" outlineLevel="0" collapsed="false"/>
    <row r="9" customFormat="false" ht="27.75" hidden="false" customHeight="true" outlineLevel="0" collapsed="false">
      <c r="B9" s="5" t="s">
        <v>9</v>
      </c>
      <c r="C9" s="5"/>
      <c r="D9" s="5"/>
      <c r="E9" s="5"/>
      <c r="F9" s="5"/>
      <c r="G9" s="5"/>
      <c r="H9" s="5"/>
      <c r="I9" s="5" t="s">
        <v>10</v>
      </c>
      <c r="J9" s="5"/>
      <c r="K9" s="5"/>
      <c r="L9" s="5"/>
      <c r="M9" s="5"/>
      <c r="N9" s="5"/>
    </row>
    <row r="10" customFormat="false" ht="21.75" hidden="false" customHeight="true" outlineLevel="0" collapsed="false">
      <c r="B10" s="14" t="s">
        <v>11</v>
      </c>
      <c r="C10" s="14" t="s">
        <v>12</v>
      </c>
      <c r="D10" s="14" t="s">
        <v>5</v>
      </c>
      <c r="E10" s="14" t="s">
        <v>13</v>
      </c>
      <c r="F10" s="14" t="s">
        <v>7</v>
      </c>
      <c r="G10" s="14" t="s">
        <v>14</v>
      </c>
      <c r="H10" s="14" t="s">
        <v>15</v>
      </c>
      <c r="I10" s="14" t="s">
        <v>16</v>
      </c>
      <c r="J10" s="14" t="s">
        <v>17</v>
      </c>
      <c r="K10" s="14" t="s">
        <v>18</v>
      </c>
      <c r="L10" s="14" t="s">
        <v>19</v>
      </c>
      <c r="M10" s="14" t="s">
        <v>20</v>
      </c>
      <c r="N10" s="14" t="s">
        <v>21</v>
      </c>
    </row>
    <row r="11" customFormat="false" ht="21.75" hidden="false" customHeight="true" outlineLevel="0" collapsed="false">
      <c r="B11" s="15" t="s">
        <v>22</v>
      </c>
      <c r="C11" s="16" t="n">
        <v>752</v>
      </c>
      <c r="D11" s="16" t="n">
        <v>33</v>
      </c>
      <c r="E11" s="16" t="n">
        <v>404</v>
      </c>
      <c r="F11" s="16" t="n">
        <v>348</v>
      </c>
      <c r="G11" s="16" t="n">
        <v>35</v>
      </c>
      <c r="H11" s="17" t="n">
        <f aca="false">IF(E11=0,"-",(E11-G11)/E11)</f>
        <v>0.913366336633663</v>
      </c>
      <c r="I11" s="18" t="s">
        <v>23</v>
      </c>
      <c r="J11" s="16" t="n">
        <v>137</v>
      </c>
      <c r="K11" s="16" t="n">
        <v>130</v>
      </c>
      <c r="L11" s="16" t="n">
        <v>7</v>
      </c>
      <c r="M11" s="16" t="n">
        <v>137000000</v>
      </c>
      <c r="N11" s="17" t="n">
        <f aca="false">J11/J17</f>
        <v>0.0698267074413864</v>
      </c>
    </row>
    <row r="12" customFormat="false" ht="21.75" hidden="false" customHeight="true" outlineLevel="0" collapsed="false">
      <c r="B12" s="19" t="s">
        <v>24</v>
      </c>
      <c r="C12" s="20" t="n">
        <v>268</v>
      </c>
      <c r="D12" s="20" t="n">
        <v>7</v>
      </c>
      <c r="E12" s="20" t="n">
        <v>161</v>
      </c>
      <c r="F12" s="20" t="n">
        <v>107</v>
      </c>
      <c r="G12" s="20" t="n">
        <v>20</v>
      </c>
      <c r="H12" s="21" t="n">
        <f aca="false">IF(E12=0,"-",(E12-G12)/E12)</f>
        <v>0.875776397515528</v>
      </c>
      <c r="I12" s="22" t="s">
        <v>25</v>
      </c>
      <c r="J12" s="20" t="n">
        <v>212</v>
      </c>
      <c r="K12" s="20" t="n">
        <v>209</v>
      </c>
      <c r="L12" s="20" t="n">
        <v>3</v>
      </c>
      <c r="M12" s="20" t="n">
        <v>212000000</v>
      </c>
      <c r="N12" s="21" t="n">
        <f aca="false">J12/J17</f>
        <v>0.108053007135576</v>
      </c>
    </row>
    <row r="13" customFormat="false" ht="21.75" hidden="false" customHeight="true" outlineLevel="0" collapsed="false">
      <c r="B13" s="15" t="s">
        <v>26</v>
      </c>
      <c r="C13" s="16" t="n">
        <v>304</v>
      </c>
      <c r="D13" s="16" t="n">
        <v>7</v>
      </c>
      <c r="E13" s="16" t="n">
        <v>182</v>
      </c>
      <c r="F13" s="16" t="n">
        <v>122</v>
      </c>
      <c r="G13" s="16" t="n">
        <v>10</v>
      </c>
      <c r="H13" s="17" t="n">
        <f aca="false">IF(E13=0,"-",(E13-G13)/E13)</f>
        <v>0.945054945054945</v>
      </c>
      <c r="I13" s="18" t="s">
        <v>27</v>
      </c>
      <c r="J13" s="16" t="n">
        <v>93</v>
      </c>
      <c r="K13" s="16" t="n">
        <v>88</v>
      </c>
      <c r="L13" s="16" t="n">
        <v>5</v>
      </c>
      <c r="M13" s="16" t="n">
        <v>93000000</v>
      </c>
      <c r="N13" s="17" t="n">
        <f aca="false">J13/J17</f>
        <v>0.0474006116207951</v>
      </c>
    </row>
    <row r="14" customFormat="false" ht="21.75" hidden="false" customHeight="true" outlineLevel="0" collapsed="false">
      <c r="B14" s="19" t="s">
        <v>28</v>
      </c>
      <c r="C14" s="20" t="n">
        <v>342</v>
      </c>
      <c r="D14" s="20" t="n">
        <v>16</v>
      </c>
      <c r="E14" s="20" t="n">
        <v>218</v>
      </c>
      <c r="F14" s="20" t="n">
        <v>124</v>
      </c>
      <c r="G14" s="20" t="n">
        <v>18</v>
      </c>
      <c r="H14" s="21" t="n">
        <f aca="false">IF(E14=0,"-",(E14-G14)/E14)</f>
        <v>0.917431192660551</v>
      </c>
      <c r="I14" s="22" t="s">
        <v>29</v>
      </c>
      <c r="J14" s="20" t="n">
        <v>418</v>
      </c>
      <c r="K14" s="20" t="n">
        <v>397</v>
      </c>
      <c r="L14" s="20" t="n">
        <v>21</v>
      </c>
      <c r="M14" s="20" t="n">
        <v>418000000</v>
      </c>
      <c r="N14" s="21" t="n">
        <f aca="false">J14/J17</f>
        <v>0.213047910295617</v>
      </c>
    </row>
    <row r="15" customFormat="false" ht="21.75" hidden="false" customHeight="true" outlineLevel="0" collapsed="false">
      <c r="B15" s="15" t="s">
        <v>30</v>
      </c>
      <c r="C15" s="16" t="n">
        <v>225</v>
      </c>
      <c r="D15" s="16" t="n">
        <v>8</v>
      </c>
      <c r="E15" s="16" t="n">
        <v>140</v>
      </c>
      <c r="F15" s="16" t="n">
        <v>85</v>
      </c>
      <c r="G15" s="16" t="n">
        <v>7</v>
      </c>
      <c r="H15" s="17" t="n">
        <f aca="false">IF(E15=0,"-",(E15-G15)/E15)</f>
        <v>0.95</v>
      </c>
      <c r="I15" s="18" t="s">
        <v>31</v>
      </c>
      <c r="J15" s="16" t="n">
        <v>1003</v>
      </c>
      <c r="K15" s="16" t="n">
        <v>975</v>
      </c>
      <c r="L15" s="16" t="n">
        <v>28</v>
      </c>
      <c r="M15" s="16" t="n">
        <v>1003000000</v>
      </c>
      <c r="N15" s="17" t="n">
        <f aca="false">J15/J17</f>
        <v>0.511213047910296</v>
      </c>
    </row>
    <row r="16" customFormat="false" ht="21.75" hidden="false" customHeight="true" outlineLevel="0" collapsed="false">
      <c r="B16" s="23" t="s">
        <v>32</v>
      </c>
      <c r="C16" s="24" t="n">
        <f aca="false">SUM(C11:C15)</f>
        <v>1891</v>
      </c>
      <c r="D16" s="24" t="n">
        <f aca="false">SUM(D11:D15)</f>
        <v>71</v>
      </c>
      <c r="E16" s="24" t="n">
        <f aca="false">SUM(E11:E15)</f>
        <v>1105</v>
      </c>
      <c r="F16" s="24" t="n">
        <f aca="false">SUM(F11:F15)</f>
        <v>786</v>
      </c>
      <c r="G16" s="24" t="n">
        <f aca="false">SUM(G11:G15)</f>
        <v>90</v>
      </c>
      <c r="H16" s="25" t="n">
        <f aca="false">IF(E16=0,"-",(E16-G16)/E16)</f>
        <v>0.918552036199095</v>
      </c>
      <c r="I16" s="22" t="s">
        <v>33</v>
      </c>
      <c r="J16" s="20" t="n">
        <v>99</v>
      </c>
      <c r="K16" s="20" t="n">
        <v>92</v>
      </c>
      <c r="L16" s="20" t="n">
        <v>7</v>
      </c>
      <c r="M16" s="20" t="n">
        <v>99000000</v>
      </c>
      <c r="N16" s="21" t="n">
        <f aca="false">J16/J17</f>
        <v>0.0504587155963303</v>
      </c>
    </row>
    <row r="17" customFormat="false" ht="21.75" hidden="false" customHeight="true" outlineLevel="0" collapsed="false">
      <c r="I17" s="23" t="s">
        <v>32</v>
      </c>
      <c r="J17" s="24" t="n">
        <f aca="false">SUM(J11:J16)</f>
        <v>1962</v>
      </c>
      <c r="K17" s="24" t="n">
        <f aca="false">SUM(K11:K16)</f>
        <v>1891</v>
      </c>
      <c r="L17" s="24" t="n">
        <f aca="false">SUM(L11:L16)</f>
        <v>71</v>
      </c>
      <c r="M17" s="24" t="n">
        <f aca="false">SUM(M11:M16)</f>
        <v>1962000000</v>
      </c>
      <c r="N17" s="25" t="n">
        <v>1</v>
      </c>
    </row>
    <row r="18" customFormat="false" ht="21.75" hidden="false" customHeight="true" outlineLevel="0" collapsed="false"/>
    <row r="19" customFormat="false" ht="27.75" hidden="false" customHeight="true" outlineLevel="0" collapsed="false">
      <c r="B19" s="5" t="s">
        <v>34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</row>
    <row r="20" customFormat="false" ht="21.75" hidden="false" customHeight="true" outlineLevel="0" collapsed="false">
      <c r="B20" s="14" t="s">
        <v>16</v>
      </c>
      <c r="C20" s="26" t="s">
        <v>35</v>
      </c>
      <c r="D20" s="26" t="s">
        <v>36</v>
      </c>
      <c r="E20" s="26" t="s">
        <v>37</v>
      </c>
      <c r="F20" s="26" t="s">
        <v>38</v>
      </c>
      <c r="G20" s="26" t="s">
        <v>39</v>
      </c>
      <c r="H20" s="26" t="s">
        <v>40</v>
      </c>
      <c r="I20" s="26" t="s">
        <v>41</v>
      </c>
      <c r="J20" s="26" t="s">
        <v>42</v>
      </c>
      <c r="K20" s="26" t="s">
        <v>43</v>
      </c>
      <c r="L20" s="26" t="s">
        <v>44</v>
      </c>
      <c r="M20" s="26" t="s">
        <v>45</v>
      </c>
      <c r="N20" s="26" t="s">
        <v>46</v>
      </c>
      <c r="O20" s="26" t="s">
        <v>47</v>
      </c>
      <c r="P20" s="26" t="s">
        <v>48</v>
      </c>
    </row>
    <row r="21" customFormat="false" ht="21.75" hidden="false" customHeight="true" outlineLevel="0" collapsed="false">
      <c r="B21" s="15" t="s">
        <v>49</v>
      </c>
      <c r="C21" s="27" t="n">
        <f aca="false">가맹점정보!Y2</f>
        <v>68357000</v>
      </c>
      <c r="D21" s="27" t="n">
        <f aca="false">가맹점정보!Z2</f>
        <v>70667000</v>
      </c>
      <c r="E21" s="27" t="n">
        <f aca="false">가맹점정보!AA2</f>
        <v>71932000</v>
      </c>
      <c r="F21" s="27" t="n">
        <f aca="false">가맹점정보!AB2</f>
        <v>70535000</v>
      </c>
      <c r="G21" s="27" t="n">
        <f aca="false">가맹점정보!AC2</f>
        <v>70293000</v>
      </c>
      <c r="H21" s="27" t="n">
        <f aca="false">가맹점정보!AD2</f>
        <v>71173000</v>
      </c>
      <c r="I21" s="27" t="n">
        <f aca="false">가맹점정보!AE2</f>
        <v>69578000</v>
      </c>
      <c r="J21" s="27" t="n">
        <f aca="false">가맹점정보!AF2</f>
        <v>68182000</v>
      </c>
      <c r="K21" s="27" t="n">
        <f aca="false">가맹점정보!AG2</f>
        <v>69347000</v>
      </c>
      <c r="L21" s="27" t="n">
        <f aca="false">가맹점정보!AH2</f>
        <v>68731000</v>
      </c>
      <c r="M21" s="27" t="n">
        <f aca="false">가맹점정보!AI2</f>
        <v>67466000</v>
      </c>
      <c r="N21" s="27" t="n">
        <f aca="false">가맹점정보!AJ2</f>
        <v>67455000</v>
      </c>
      <c r="O21" s="27" t="n">
        <f aca="false">가맹점정보!AK2</f>
        <v>67224000</v>
      </c>
      <c r="P21" s="27" t="n">
        <f aca="false">가맹점정보!AL2</f>
        <v>65156000</v>
      </c>
    </row>
    <row r="22" customFormat="false" ht="21.75" hidden="false" customHeight="true" outlineLevel="0" collapsed="false">
      <c r="B22" s="19" t="s">
        <v>50</v>
      </c>
      <c r="C22" s="28" t="s">
        <v>51</v>
      </c>
      <c r="D22" s="29" t="n">
        <f aca="false">IF(C21=0,"-",(D21-C21)/C21)</f>
        <v>0.0337931740714192</v>
      </c>
      <c r="E22" s="29" t="n">
        <f aca="false">IF(D21=0,"-",(E21-D21)/D21)</f>
        <v>0.0179008589582125</v>
      </c>
      <c r="F22" s="29" t="n">
        <f aca="false">IF(E21=0,"-",(F21-E21)/E21)</f>
        <v>-0.0194211199466162</v>
      </c>
      <c r="G22" s="29" t="n">
        <f aca="false">IF(F21=0,"-",(G21-F21)/F21)</f>
        <v>-0.00343092081945134</v>
      </c>
      <c r="H22" s="29" t="n">
        <f aca="false">IF(G21=0,"-",(H21-G21)/G21)</f>
        <v>0.012519027499182</v>
      </c>
      <c r="I22" s="29" t="n">
        <f aca="false">IF(H21=0,"-",(I21-H21)/H21)</f>
        <v>-0.0224101836370534</v>
      </c>
      <c r="J22" s="29" t="n">
        <f aca="false">IF(I21=0,"-",(J21-I21)/I21)</f>
        <v>-0.0200638132743108</v>
      </c>
      <c r="K22" s="29" t="n">
        <f aca="false">IF(J21=0,"-",(K21-J21)/J21)</f>
        <v>0.0170866211023437</v>
      </c>
      <c r="L22" s="29" t="n">
        <f aca="false">IF(K21=0,"-",(L21-K21)/K21)</f>
        <v>-0.00888286443537572</v>
      </c>
      <c r="M22" s="29" t="n">
        <f aca="false">IF(L21=0,"-",(M21-L21)/L21)</f>
        <v>-0.0184050864966318</v>
      </c>
      <c r="N22" s="29" t="n">
        <f aca="false">IF(M21=0,"-",(N21-M21)/M21)</f>
        <v>-0.000163045089378354</v>
      </c>
      <c r="O22" s="29" t="n">
        <f aca="false">IF(N21=0,"-",(O21-N21)/N21)</f>
        <v>-0.00342450522570603</v>
      </c>
      <c r="P22" s="29" t="n">
        <f aca="false">IF(O21=0,"-",(P21-O21)/O21)</f>
        <v>-0.0307628228013806</v>
      </c>
    </row>
    <row r="23" customFormat="false" ht="21.75" hidden="false" customHeight="true" outlineLevel="0" collapsed="false"/>
    <row r="24" customFormat="false" ht="27.75" hidden="false" customHeight="true" outlineLevel="0" collapsed="false">
      <c r="B24" s="5" t="s">
        <v>52</v>
      </c>
      <c r="C24" s="5"/>
      <c r="D24" s="5"/>
      <c r="E24" s="5"/>
      <c r="F24" s="5"/>
      <c r="G24" s="5"/>
      <c r="H24" s="5"/>
      <c r="I24" s="5" t="s">
        <v>53</v>
      </c>
      <c r="J24" s="5"/>
      <c r="K24" s="5"/>
      <c r="L24" s="5"/>
      <c r="M24" s="5"/>
      <c r="N24" s="5"/>
    </row>
    <row r="25" customFormat="false" ht="21.75" hidden="false" customHeight="true" outlineLevel="0" collapsed="false">
      <c r="B25" s="14" t="s">
        <v>54</v>
      </c>
      <c r="C25" s="14"/>
      <c r="D25" s="14" t="s">
        <v>55</v>
      </c>
      <c r="E25" s="14"/>
      <c r="F25" s="14" t="s">
        <v>21</v>
      </c>
      <c r="G25" s="14" t="s">
        <v>56</v>
      </c>
      <c r="H25" s="14"/>
      <c r="I25" s="14" t="s">
        <v>57</v>
      </c>
      <c r="J25" s="14"/>
      <c r="K25" s="14" t="s">
        <v>17</v>
      </c>
      <c r="L25" s="14"/>
      <c r="M25" s="14" t="s">
        <v>21</v>
      </c>
      <c r="N25" s="14"/>
    </row>
    <row r="26" customFormat="false" ht="21.75" hidden="false" customHeight="true" outlineLevel="0" collapsed="false">
      <c r="B26" s="30" t="s">
        <v>58</v>
      </c>
      <c r="C26" s="30"/>
      <c r="D26" s="31" t="n">
        <v>1016</v>
      </c>
      <c r="E26" s="31"/>
      <c r="F26" s="32" t="n">
        <f aca="false">IF(D31=0,"-",D26/D31)</f>
        <v>0.517838939857289</v>
      </c>
      <c r="G26" s="7"/>
      <c r="H26" s="7"/>
      <c r="I26" s="15" t="s">
        <v>59</v>
      </c>
      <c r="J26" s="15"/>
      <c r="K26" s="16" t="n">
        <v>50</v>
      </c>
      <c r="L26" s="16"/>
      <c r="M26" s="17" t="n">
        <f aca="false">IF(K28=0,"-",K26/K28)</f>
        <v>0.704225352112676</v>
      </c>
      <c r="N26" s="17"/>
    </row>
    <row r="27" customFormat="false" ht="21.75" hidden="false" customHeight="true" outlineLevel="0" collapsed="false">
      <c r="B27" s="15" t="s">
        <v>7</v>
      </c>
      <c r="C27" s="15"/>
      <c r="D27" s="16" t="n">
        <v>784</v>
      </c>
      <c r="E27" s="16"/>
      <c r="F27" s="17" t="n">
        <f aca="false">IF(D31=0,"-",D27/D31)</f>
        <v>0.399592252803262</v>
      </c>
      <c r="G27" s="9" t="s">
        <v>60</v>
      </c>
      <c r="H27" s="9"/>
      <c r="I27" s="19" t="s">
        <v>61</v>
      </c>
      <c r="J27" s="19"/>
      <c r="K27" s="20" t="n">
        <v>21</v>
      </c>
      <c r="L27" s="20"/>
      <c r="M27" s="21" t="n">
        <f aca="false">IF(K28=0,"-",K27/K28)</f>
        <v>0.295774647887324</v>
      </c>
      <c r="N27" s="21"/>
    </row>
    <row r="28" customFormat="false" ht="21.75" hidden="false" customHeight="true" outlineLevel="0" collapsed="false">
      <c r="B28" s="33" t="s">
        <v>62</v>
      </c>
      <c r="C28" s="33"/>
      <c r="D28" s="34" t="n">
        <v>89</v>
      </c>
      <c r="E28" s="34"/>
      <c r="F28" s="35" t="n">
        <f aca="false">IF(D31=0,"-",D28/D31)</f>
        <v>0.045361875637105</v>
      </c>
      <c r="G28" s="8" t="s">
        <v>63</v>
      </c>
      <c r="H28" s="8"/>
      <c r="I28" s="23" t="s">
        <v>32</v>
      </c>
      <c r="J28" s="23"/>
      <c r="K28" s="24" t="n">
        <f aca="false">SUM(K26:K27)</f>
        <v>71</v>
      </c>
      <c r="L28" s="24"/>
      <c r="M28" s="25" t="n">
        <v>1</v>
      </c>
      <c r="N28" s="25"/>
    </row>
    <row r="29" customFormat="false" ht="21.75" hidden="false" customHeight="true" outlineLevel="0" collapsed="false">
      <c r="B29" s="15" t="s">
        <v>5</v>
      </c>
      <c r="C29" s="15"/>
      <c r="D29" s="16" t="n">
        <v>71</v>
      </c>
      <c r="E29" s="16"/>
      <c r="F29" s="17" t="n">
        <f aca="false">IF(D31=0,"-",D29/D31)</f>
        <v>0.0361875637104995</v>
      </c>
      <c r="G29" s="9" t="s">
        <v>64</v>
      </c>
      <c r="H29" s="9"/>
    </row>
    <row r="30" customFormat="false" ht="27.75" hidden="false" customHeight="true" outlineLevel="0" collapsed="false">
      <c r="B30" s="36" t="s">
        <v>65</v>
      </c>
      <c r="C30" s="36"/>
      <c r="D30" s="37" t="n">
        <v>2</v>
      </c>
      <c r="E30" s="37"/>
      <c r="F30" s="38" t="n">
        <f aca="false">IF(D31=0,"-",D30/D31)</f>
        <v>0.00101936799184506</v>
      </c>
      <c r="G30" s="39" t="s">
        <v>66</v>
      </c>
      <c r="H30" s="39"/>
      <c r="I30" s="5" t="s">
        <v>67</v>
      </c>
      <c r="J30" s="5"/>
      <c r="K30" s="5"/>
      <c r="L30" s="5"/>
      <c r="M30" s="5"/>
      <c r="N30" s="5"/>
    </row>
    <row r="31" customFormat="false" ht="21.75" hidden="false" customHeight="true" outlineLevel="0" collapsed="false">
      <c r="B31" s="23" t="s">
        <v>32</v>
      </c>
      <c r="C31" s="23"/>
      <c r="D31" s="24" t="n">
        <f aca="false">SUM(D26:D30)</f>
        <v>1962</v>
      </c>
      <c r="E31" s="24"/>
      <c r="F31" s="25" t="n">
        <v>1</v>
      </c>
      <c r="G31" s="23"/>
      <c r="H31" s="23"/>
      <c r="I31" s="14" t="s">
        <v>68</v>
      </c>
      <c r="J31" s="14"/>
      <c r="K31" s="14" t="s">
        <v>69</v>
      </c>
      <c r="L31" s="14"/>
      <c r="M31" s="14" t="s">
        <v>70</v>
      </c>
      <c r="N31" s="14"/>
    </row>
    <row r="32" customFormat="false" ht="21.75" hidden="false" customHeight="true" outlineLevel="0" collapsed="false">
      <c r="I32" s="40" t="s">
        <v>71</v>
      </c>
      <c r="J32" s="40"/>
      <c r="K32" s="16" t="n">
        <v>137</v>
      </c>
      <c r="L32" s="16"/>
      <c r="M32" s="16" t="n">
        <v>7</v>
      </c>
      <c r="N32" s="16"/>
    </row>
    <row r="33" customFormat="false" ht="21.75" hidden="false" customHeight="true" outlineLevel="0" collapsed="false">
      <c r="I33" s="41" t="s">
        <v>72</v>
      </c>
      <c r="J33" s="41"/>
      <c r="K33" s="20" t="n">
        <v>305</v>
      </c>
      <c r="L33" s="20"/>
      <c r="M33" s="20" t="n">
        <v>8</v>
      </c>
      <c r="N33" s="20"/>
    </row>
    <row r="34" customFormat="false" ht="21.75" hidden="false" customHeight="true" outlineLevel="0" collapsed="false">
      <c r="I34" s="40" t="s">
        <v>73</v>
      </c>
      <c r="J34" s="40"/>
      <c r="K34" s="16" t="n">
        <v>1520</v>
      </c>
      <c r="L34" s="16"/>
      <c r="M34" s="16" t="n">
        <v>56</v>
      </c>
      <c r="N34" s="16"/>
    </row>
    <row r="35" customFormat="false" ht="21.75" hidden="false" customHeight="true" outlineLevel="0" collapsed="false"/>
  </sheetData>
  <mergeCells count="65">
    <mergeCell ref="B2:N2"/>
    <mergeCell ref="B5:N5"/>
    <mergeCell ref="B6:C6"/>
    <mergeCell ref="D6:E6"/>
    <mergeCell ref="F6:G6"/>
    <mergeCell ref="H6:I6"/>
    <mergeCell ref="J6:K6"/>
    <mergeCell ref="L6:M6"/>
    <mergeCell ref="B7:C7"/>
    <mergeCell ref="D7:E7"/>
    <mergeCell ref="F7:G7"/>
    <mergeCell ref="H7:I7"/>
    <mergeCell ref="J7:K7"/>
    <mergeCell ref="L7:M7"/>
    <mergeCell ref="B9:H9"/>
    <mergeCell ref="I9:N9"/>
    <mergeCell ref="B19:N19"/>
    <mergeCell ref="B24:H24"/>
    <mergeCell ref="I24:N24"/>
    <mergeCell ref="B25:C25"/>
    <mergeCell ref="D25:E25"/>
    <mergeCell ref="G25:H25"/>
    <mergeCell ref="I25:J25"/>
    <mergeCell ref="K25:L25"/>
    <mergeCell ref="M25:N25"/>
    <mergeCell ref="B26:C26"/>
    <mergeCell ref="D26:E26"/>
    <mergeCell ref="G26:H26"/>
    <mergeCell ref="I26:J26"/>
    <mergeCell ref="K26:L26"/>
    <mergeCell ref="M26:N26"/>
    <mergeCell ref="B27:C27"/>
    <mergeCell ref="D27:E27"/>
    <mergeCell ref="G27:H27"/>
    <mergeCell ref="I27:J27"/>
    <mergeCell ref="K27:L27"/>
    <mergeCell ref="M27:N27"/>
    <mergeCell ref="B28:C28"/>
    <mergeCell ref="D28:E28"/>
    <mergeCell ref="G28:H28"/>
    <mergeCell ref="I28:J28"/>
    <mergeCell ref="K28:L28"/>
    <mergeCell ref="M28:N28"/>
    <mergeCell ref="B29:C29"/>
    <mergeCell ref="D29:E29"/>
    <mergeCell ref="G29:H29"/>
    <mergeCell ref="B30:C30"/>
    <mergeCell ref="D30:E30"/>
    <mergeCell ref="G30:H30"/>
    <mergeCell ref="I30:N30"/>
    <mergeCell ref="B31:C31"/>
    <mergeCell ref="D31:E31"/>
    <mergeCell ref="G31:H31"/>
    <mergeCell ref="I31:J31"/>
    <mergeCell ref="K31:L31"/>
    <mergeCell ref="M31:N31"/>
    <mergeCell ref="I32:J32"/>
    <mergeCell ref="K32:L32"/>
    <mergeCell ref="M32:N32"/>
    <mergeCell ref="I33:J33"/>
    <mergeCell ref="K33:L33"/>
    <mergeCell ref="M33:N33"/>
    <mergeCell ref="I34:J34"/>
    <mergeCell ref="K34:L34"/>
    <mergeCell ref="M34:N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C1:AY2010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O61" activeCellId="0" sqref="O61"/>
    </sheetView>
  </sheetViews>
  <sheetFormatPr defaultColWidth="9" defaultRowHeight="13.5" zeroHeight="false" outlineLevelRow="0" outlineLevelCol="0"/>
  <cols>
    <col collapsed="false" customWidth="true" hidden="false" outlineLevel="0" max="1" min="1" style="42" width="2.63"/>
    <col collapsed="false" customWidth="true" hidden="false" outlineLevel="0" max="2" min="2" style="42" width="3"/>
    <col collapsed="false" customWidth="true" hidden="false" outlineLevel="0" max="4" min="3" style="42" width="4.75"/>
    <col collapsed="false" customWidth="true" hidden="false" outlineLevel="0" max="5" min="5" style="42" width="8"/>
    <col collapsed="false" customWidth="true" hidden="false" outlineLevel="0" max="6" min="6" style="42" width="13.88"/>
    <col collapsed="false" customWidth="true" hidden="false" outlineLevel="0" max="7" min="7" style="42" width="13.63"/>
    <col collapsed="false" customWidth="true" hidden="false" outlineLevel="0" max="8" min="8" style="42" width="11.88"/>
    <col collapsed="false" customWidth="true" hidden="false" outlineLevel="0" max="9" min="9" style="42" width="25.88"/>
    <col collapsed="false" customWidth="true" hidden="false" outlineLevel="0" max="10" min="10" style="42" width="13"/>
    <col collapsed="false" customWidth="true" hidden="false" outlineLevel="0" max="11" min="11" style="42" width="11.63"/>
    <col collapsed="false" customWidth="true" hidden="false" outlineLevel="0" max="12" min="12" style="42" width="34.5"/>
    <col collapsed="false" customWidth="true" hidden="false" outlineLevel="0" max="13" min="13" style="42" width="12.63"/>
    <col collapsed="false" customWidth="true" hidden="false" outlineLevel="0" max="14" min="14" style="42" width="30.88"/>
    <col collapsed="false" customWidth="true" hidden="false" outlineLevel="0" max="15" min="15" style="42" width="16.88"/>
    <col collapsed="false" customWidth="true" hidden="false" outlineLevel="0" max="18" min="16" style="42" width="7.25"/>
    <col collapsed="false" customWidth="true" hidden="false" outlineLevel="0" max="21" min="19" style="42" width="7.88"/>
    <col collapsed="false" customWidth="true" hidden="false" outlineLevel="0" max="22" min="22" style="42" width="8"/>
    <col collapsed="false" customWidth="true" hidden="false" outlineLevel="0" max="23" min="23" style="42" width="12.13"/>
    <col collapsed="false" customWidth="true" hidden="false" outlineLevel="0" max="24" min="24" style="42" width="11"/>
    <col collapsed="false" customWidth="true" hidden="false" outlineLevel="0" max="48" min="25" style="42" width="10.38"/>
    <col collapsed="false" customWidth="false" hidden="false" outlineLevel="0" max="16384" min="49" style="42" width="9"/>
  </cols>
  <sheetData>
    <row r="1" customFormat="false" ht="13.5" hidden="false" customHeight="false" outlineLevel="0" collapsed="false">
      <c r="N1" s="43"/>
      <c r="AI1" s="44"/>
    </row>
    <row r="2" customFormat="false" ht="24" hidden="false" customHeight="true" outlineLevel="0" collapsed="false">
      <c r="C2" s="45" t="n">
        <v>46097</v>
      </c>
      <c r="D2" s="45"/>
      <c r="E2" s="45"/>
      <c r="F2" s="46"/>
      <c r="G2" s="47"/>
      <c r="H2" s="48"/>
      <c r="I2" s="48"/>
      <c r="J2" s="48"/>
      <c r="K2" s="48"/>
      <c r="L2" s="48"/>
      <c r="M2" s="48"/>
      <c r="N2" s="48"/>
      <c r="O2" s="48"/>
      <c r="Y2" s="49" t="n">
        <f aca="false">SUBTOTAL(9,Y6:Y2010)</f>
        <v>68357000</v>
      </c>
      <c r="Z2" s="49" t="n">
        <f aca="false">SUBTOTAL(9,Z6:Z2010)</f>
        <v>70667000</v>
      </c>
      <c r="AA2" s="49" t="n">
        <f aca="false">SUBTOTAL(9,AA6:AA2010)</f>
        <v>71932000</v>
      </c>
      <c r="AB2" s="49" t="n">
        <f aca="false">SUBTOTAL(9,AB6:AB2010)</f>
        <v>70535000</v>
      </c>
      <c r="AC2" s="49" t="n">
        <f aca="false">SUBTOTAL(9,AC6:AC2010)</f>
        <v>70293000</v>
      </c>
      <c r="AD2" s="49" t="n">
        <f aca="false">SUBTOTAL(9,AD6:AD2010)</f>
        <v>71173000</v>
      </c>
      <c r="AE2" s="49" t="n">
        <f aca="false">SUBTOTAL(9,AE6:AE2010)</f>
        <v>69578000</v>
      </c>
      <c r="AF2" s="49" t="n">
        <f aca="false">SUBTOTAL(9,AF6:AF2010)</f>
        <v>68182000</v>
      </c>
      <c r="AG2" s="49" t="n">
        <f aca="false">SUBTOTAL(9,AG6:AG2010)</f>
        <v>69347000</v>
      </c>
      <c r="AH2" s="49" t="n">
        <f aca="false">SUBTOTAL(9,AH6:AH2010)</f>
        <v>68731000</v>
      </c>
      <c r="AI2" s="49" t="n">
        <f aca="false">SUBTOTAL(9,AI6:AI2010)</f>
        <v>67466000</v>
      </c>
      <c r="AJ2" s="49" t="n">
        <f aca="false">SUBTOTAL(9,AJ6:AJ2010)</f>
        <v>67455000</v>
      </c>
      <c r="AK2" s="49" t="n">
        <f aca="false">SUBTOTAL(9,AK6:AK2010)</f>
        <v>67224000</v>
      </c>
      <c r="AL2" s="49" t="n">
        <f aca="false">SUBTOTAL(9,AL6:AL2010)</f>
        <v>65156000</v>
      </c>
      <c r="AM2" s="44"/>
      <c r="AN2" s="44"/>
      <c r="AO2" s="44"/>
      <c r="AP2" s="44"/>
      <c r="AQ2" s="44"/>
      <c r="AR2" s="44"/>
      <c r="AS2" s="44"/>
      <c r="AT2" s="44"/>
      <c r="AU2" s="44"/>
      <c r="AV2" s="44"/>
    </row>
    <row r="3" customFormat="false" ht="27.75" hidden="false" customHeight="true" outlineLevel="0" collapsed="false">
      <c r="C3" s="50" t="s">
        <v>74</v>
      </c>
      <c r="D3" s="51" t="s">
        <v>75</v>
      </c>
      <c r="E3" s="51" t="s">
        <v>76</v>
      </c>
      <c r="F3" s="52" t="s">
        <v>77</v>
      </c>
      <c r="G3" s="52"/>
      <c r="H3" s="52"/>
      <c r="I3" s="52"/>
      <c r="J3" s="52"/>
      <c r="K3" s="52"/>
      <c r="L3" s="52"/>
      <c r="M3" s="52"/>
      <c r="N3" s="52"/>
      <c r="O3" s="52"/>
      <c r="P3" s="53" t="s">
        <v>78</v>
      </c>
      <c r="Q3" s="53"/>
      <c r="R3" s="53"/>
      <c r="S3" s="54" t="s">
        <v>79</v>
      </c>
      <c r="T3" s="54"/>
      <c r="U3" s="54"/>
      <c r="V3" s="54"/>
      <c r="W3" s="54"/>
      <c r="X3" s="54"/>
      <c r="Y3" s="54" t="s">
        <v>80</v>
      </c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5" t="s">
        <v>80</v>
      </c>
      <c r="AL3" s="55"/>
      <c r="AM3" s="55"/>
      <c r="AN3" s="55"/>
      <c r="AO3" s="55"/>
      <c r="AP3" s="55"/>
      <c r="AQ3" s="55"/>
      <c r="AR3" s="55"/>
      <c r="AS3" s="55"/>
      <c r="AT3" s="55"/>
      <c r="AU3" s="55"/>
      <c r="AV3" s="55"/>
    </row>
    <row r="4" customFormat="false" ht="22.5" hidden="false" customHeight="true" outlineLevel="0" collapsed="false">
      <c r="C4" s="50"/>
      <c r="D4" s="51"/>
      <c r="E4" s="51"/>
      <c r="F4" s="56" t="s">
        <v>81</v>
      </c>
      <c r="G4" s="57" t="s">
        <v>82</v>
      </c>
      <c r="H4" s="56" t="s">
        <v>83</v>
      </c>
      <c r="I4" s="56" t="s">
        <v>84</v>
      </c>
      <c r="J4" s="56" t="s">
        <v>85</v>
      </c>
      <c r="K4" s="56" t="s">
        <v>86</v>
      </c>
      <c r="L4" s="56" t="s">
        <v>87</v>
      </c>
      <c r="M4" s="56" t="s">
        <v>88</v>
      </c>
      <c r="N4" s="56" t="s">
        <v>56</v>
      </c>
      <c r="O4" s="58" t="s">
        <v>89</v>
      </c>
      <c r="P4" s="59" t="s">
        <v>71</v>
      </c>
      <c r="Q4" s="60" t="s">
        <v>72</v>
      </c>
      <c r="R4" s="61" t="s">
        <v>73</v>
      </c>
      <c r="S4" s="62" t="s">
        <v>90</v>
      </c>
      <c r="T4" s="62"/>
      <c r="U4" s="62"/>
      <c r="V4" s="63" t="s">
        <v>91</v>
      </c>
      <c r="W4" s="64" t="s">
        <v>92</v>
      </c>
      <c r="X4" s="65" t="s">
        <v>93</v>
      </c>
      <c r="Y4" s="66" t="n">
        <v>45658</v>
      </c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7" t="n">
        <v>46023</v>
      </c>
      <c r="AL4" s="67"/>
      <c r="AM4" s="67"/>
      <c r="AN4" s="67"/>
      <c r="AO4" s="67"/>
      <c r="AP4" s="67"/>
      <c r="AQ4" s="67"/>
      <c r="AR4" s="67"/>
      <c r="AS4" s="67"/>
      <c r="AT4" s="67"/>
      <c r="AU4" s="67"/>
      <c r="AV4" s="67"/>
    </row>
    <row r="5" customFormat="false" ht="18.75" hidden="false" customHeight="true" outlineLevel="0" collapsed="false">
      <c r="C5" s="50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8"/>
      <c r="P5" s="59"/>
      <c r="Q5" s="60"/>
      <c r="R5" s="61"/>
      <c r="S5" s="68" t="s">
        <v>94</v>
      </c>
      <c r="T5" s="63" t="s">
        <v>95</v>
      </c>
      <c r="U5" s="63" t="s">
        <v>32</v>
      </c>
      <c r="V5" s="63"/>
      <c r="W5" s="63"/>
      <c r="X5" s="65"/>
      <c r="Y5" s="69" t="n">
        <v>45658</v>
      </c>
      <c r="Z5" s="69" t="n">
        <v>45689</v>
      </c>
      <c r="AA5" s="69" t="n">
        <v>45717</v>
      </c>
      <c r="AB5" s="69" t="n">
        <v>45748</v>
      </c>
      <c r="AC5" s="69" t="n">
        <v>45778</v>
      </c>
      <c r="AD5" s="69" t="n">
        <v>45809</v>
      </c>
      <c r="AE5" s="69" t="n">
        <v>45839</v>
      </c>
      <c r="AF5" s="69" t="n">
        <v>45870</v>
      </c>
      <c r="AG5" s="69" t="n">
        <v>45901</v>
      </c>
      <c r="AH5" s="69" t="n">
        <v>45931</v>
      </c>
      <c r="AI5" s="69" t="n">
        <v>45962</v>
      </c>
      <c r="AJ5" s="70" t="n">
        <v>45992</v>
      </c>
      <c r="AK5" s="71" t="n">
        <v>46023</v>
      </c>
      <c r="AL5" s="69" t="n">
        <v>46054</v>
      </c>
      <c r="AM5" s="69" t="n">
        <v>46082</v>
      </c>
      <c r="AN5" s="69" t="n">
        <v>46113</v>
      </c>
      <c r="AO5" s="69" t="n">
        <v>46143</v>
      </c>
      <c r="AP5" s="69" t="n">
        <v>46174</v>
      </c>
      <c r="AQ5" s="69" t="n">
        <v>46204</v>
      </c>
      <c r="AR5" s="69" t="n">
        <v>46235</v>
      </c>
      <c r="AS5" s="69" t="n">
        <v>46266</v>
      </c>
      <c r="AT5" s="69" t="n">
        <v>46296</v>
      </c>
      <c r="AU5" s="69" t="n">
        <v>46327</v>
      </c>
      <c r="AV5" s="70" t="n">
        <v>46357</v>
      </c>
    </row>
    <row r="6" customFormat="false" ht="15.65" hidden="false" customHeight="false" outlineLevel="0" collapsed="false">
      <c r="C6" s="72" t="n">
        <f aca="false">COUNTIFS($D$6:D6,"&lt;&gt;"&amp;"")</f>
        <v>1</v>
      </c>
      <c r="D6" s="73" t="s">
        <v>12</v>
      </c>
      <c r="E6" s="74" t="str">
        <f aca="false">
IF($D6="정상",INDEX(임대자산!$D$3:$R$3000,MATCH($F6,임대자산!$I$3:$I$3000,0),MATCH(E$3,임대자산!$D$3:$R$3,0)),
IF($D6="폐업",INDEX(폐업정보!$D$3:$R$3000,MATCH($F6,폐업정보!$I$3:$I$3000,0),MATCH(E$3,폐업정보!$D$3:$R$3,0)),
"Error"))</f>
        <v>경상</v>
      </c>
      <c r="F6" s="74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B0001</v>
      </c>
      <c r="G6" s="74" t="str">
        <f aca="false">F6&amp;RANDBETWEEN(0,10)</f>
        <v>B00018</v>
      </c>
      <c r="H6" s="75" t="n">
        <f aca="false">
IF($D6="정상",INDEX(임대자산!$D$3:$R$3000,MATCH($F6,임대자산!$I$3:$I$3000,0),MATCH(H$4,임대자산!$D$3:$R$3,0)),
IF($D6="폐업",INDEX(폐업정보!$D$3:$R$3000,MATCH($F6,폐업정보!$I$3:$I$3000,0),MATCH(H$4,폐업정보!$D$3:$R$3,0)),
"Error"))</f>
        <v>45609</v>
      </c>
      <c r="I6" s="75" t="str">
        <f aca="false">
IF($D6="정상",INDEX(임대자산!$D$3:$R$3000,MATCH($F6,임대자산!$I$3:$I$3000,0),MATCH(I$4,임대자산!$D$3:$R$3,0)),
IF($D6="폐업",INDEX(폐업정보!$D$3:$R$3000,MATCH($F6,폐업정보!$I$3:$I$3000,0),MATCH(I$4,폐업정보!$D$3:$R$3,0)),
"Error"))</f>
        <v>A0001</v>
      </c>
      <c r="J6" s="75" t="str">
        <f aca="false">
IF($D6="정상",INDEX(임대자산!$D$3:$R$3000,MATCH($F6,임대자산!$I$3:$I$3000,0),MATCH(J$4,임대자산!$D$3:$R$3,0)),
IF($D6="폐업",INDEX(폐업정보!$D$3:$R$3000,MATCH($F6,폐업정보!$I$3:$I$3000,0),MATCH(J$4,폐업정보!$D$3:$R$3,0)),
"Error"))</f>
        <v>1865400000</v>
      </c>
      <c r="K6" s="75" t="str">
        <f aca="false">
IF($D6="정상",INDEX(임대자산!$D$3:$R$3000,MATCH($F6,임대자산!$I$3:$I$3000,0),MATCH(K$4,임대자산!$D$3:$R$3,0)),
IF($D6="폐업",INDEX(폐업정보!$D$3:$R$3000,MATCH($F6,폐업정보!$I$3:$I$3000,0),MATCH(K$4,폐업정보!$D$3:$R$3,0)),
"Error"))</f>
        <v>C0001</v>
      </c>
      <c r="L6" s="75" t="str">
        <f aca="false">
IF($D6="정상",INDEX(임대자산!$D$3:$R$3000,MATCH($F6,임대자산!$I$3:$I$3000,0),MATCH(L$4,임대자산!$D$3:$R$3,0)),
IF($D6="폐업",INDEX(폐업정보!$D$3:$R$3000,MATCH($F6,폐업정보!$I$3:$I$3000,0),MATCH(L$4,폐업정보!$D$3:$R$3,0)),
"Error"))</f>
        <v>D0001</v>
      </c>
      <c r="M6" s="76" t="s">
        <v>96</v>
      </c>
      <c r="N6" s="77"/>
      <c r="O6" s="78" t="s">
        <v>97</v>
      </c>
      <c r="P6" s="79" t="n">
        <f aca="false">COUNTIFS(임대자산!$I:$I,가맹점정보!F6,임대자산!$N:$N,가맹점정보!P$4)</f>
        <v>1</v>
      </c>
      <c r="Q6" s="80" t="n">
        <f aca="false">COUNTIFS(임대자산!$I:$I,가맹점정보!F6,임대자산!$N:$N,가맹점정보!Q$4)</f>
        <v>0</v>
      </c>
      <c r="R6" s="81" t="n">
        <f aca="false">COUNTIFS(임대자산!$I:$I,가맹점정보!F6,임대자산!$N:$N,가맹점정보!R$4)</f>
        <v>0</v>
      </c>
      <c r="S6" s="82" t="n">
        <v>55000</v>
      </c>
      <c r="T6" s="83" t="n">
        <v>0</v>
      </c>
      <c r="U6" s="80" t="n">
        <f aca="false">SUM(S6:T6)</f>
        <v>55000</v>
      </c>
      <c r="V6" s="84" t="s">
        <v>12</v>
      </c>
      <c r="W6" s="85" t="e">
        <f aca="true">
IF(D6="폐업","폐업",
IF(V6="면제","면제",
IF(AND(V6="정상",COUNTIFS(OFFSET(Y6,0,COUNTA(Y6:AV6)-1,1,-4),"미납")&gt;=3),"장기미납",
IF(AND(V6="정상",OFFSET(Y6,0,COUNTA(Y6:AV6)-1)&gt;=U6),"정상",
IF(AND(V6="정상",OFFSET(Y6,0,COUNTA(Y6:AV6)-1)=0),"정상",
"계약서 미작성")))))</f>
        <v>#VALUE!</v>
      </c>
      <c r="X6" s="81" t="str">
        <f aca="true">
IF(D6="폐업","폐업",
IF(AND(V6="정상",OFFSET(Y6,0,COUNTA(Y6:AV6)-1)="미납"),"미납",
IF(AND(V6="정상",OFFSET(Y6,0,COUNTA(Y6:AV6)-1)=0),"납부 시작 전",
IF(AND(V6="정상",OFFSET(Y6,0,COUNTA(Y6:AV6)-1)&gt;=U6),"정상",
IF(AND(V6="면제",OFFSET(Y6,0,COUNTA(Y6:AV6)-1)="면제"),"면제",
IF(AND(V6="면제",OFFSET(Y6,0,COUNTA(Y6:AV6)-1)=0),"면제",
"확인요청"))))))</f>
        <v>정상</v>
      </c>
      <c r="Y6" s="86" t="n">
        <v>55000</v>
      </c>
      <c r="Z6" s="87" t="n">
        <v>55000</v>
      </c>
      <c r="AA6" s="87" t="n">
        <v>55000</v>
      </c>
      <c r="AB6" s="87" t="n">
        <v>55000</v>
      </c>
      <c r="AC6" s="87" t="n">
        <v>55000</v>
      </c>
      <c r="AD6" s="87" t="n">
        <v>55000</v>
      </c>
      <c r="AE6" s="87" t="n">
        <v>55000</v>
      </c>
      <c r="AF6" s="87" t="n">
        <v>55000</v>
      </c>
      <c r="AG6" s="87" t="n">
        <v>55000</v>
      </c>
      <c r="AH6" s="87" t="n">
        <v>55000</v>
      </c>
      <c r="AI6" s="87" t="n">
        <v>55000</v>
      </c>
      <c r="AJ6" s="88" t="n">
        <v>55000</v>
      </c>
      <c r="AK6" s="89" t="n">
        <v>55000</v>
      </c>
      <c r="AL6" s="90" t="n">
        <v>55000</v>
      </c>
      <c r="AM6" s="90"/>
      <c r="AN6" s="90"/>
      <c r="AO6" s="90"/>
      <c r="AP6" s="90"/>
      <c r="AQ6" s="90"/>
      <c r="AR6" s="90"/>
      <c r="AS6" s="90"/>
      <c r="AT6" s="90"/>
      <c r="AU6" s="90"/>
      <c r="AV6" s="91"/>
      <c r="AX6" s="92"/>
      <c r="AY6" s="92"/>
    </row>
    <row r="7" customFormat="false" ht="15.65" hidden="false" customHeight="false" outlineLevel="0" collapsed="false">
      <c r="C7" s="72" t="n">
        <f aca="false">COUNTIFS($D$6:D7,"&lt;&gt;"&amp;"")</f>
        <v>2</v>
      </c>
      <c r="D7" s="73" t="s">
        <v>12</v>
      </c>
      <c r="E7" s="76" t="str">
        <f aca="false">
IF($D7="정상",INDEX(임대자산!$D$3:$R$3000,MATCH($F7,임대자산!$I$3:$I$3000,0),MATCH(E$3,임대자산!$D$3:$R$3,0)),
IF($D7="폐업",INDEX(폐업정보!$D$3:$R$3000,MATCH($F7,폐업정보!$I$3:$I$3000,0),MATCH(E$3,폐업정보!$D$3:$R$3,0)),
"Error"))</f>
        <v>경기</v>
      </c>
      <c r="F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B0002</v>
      </c>
      <c r="G7" s="76" t="str">
        <f aca="false">F7&amp;RANDBETWEEN(0,10)</f>
        <v>B00026</v>
      </c>
      <c r="H7" s="75" t="n">
        <f aca="false">
IF($D7="정상",INDEX(임대자산!$D$3:$R$3000,MATCH($F7,임대자산!$I$3:$I$3000,0),MATCH(H$4,임대자산!$D$3:$R$3,0)),
IF($D7="폐업",INDEX(폐업정보!$D$3:$R$3000,MATCH($F7,폐업정보!$I$3:$I$3000,0),MATCH(H$4,폐업정보!$D$3:$R$3,0)),
"Error"))</f>
        <v>43594</v>
      </c>
      <c r="I7" s="75" t="str">
        <f aca="false">
IF($D7="정상",INDEX(임대자산!$D$3:$R$3000,MATCH($F7,임대자산!$I$3:$I$3000,0),MATCH(I$4,임대자산!$D$3:$R$3,0)),
IF($D7="폐업",INDEX(폐업정보!$D$3:$R$3000,MATCH($F7,폐업정보!$I$3:$I$3000,0),MATCH(I$4,폐업정보!$D$3:$R$3,0)),
"Error"))</f>
        <v>A0002</v>
      </c>
      <c r="J7" s="75" t="str">
        <f aca="false">
IF($D7="정상",INDEX(임대자산!$D$3:$R$3000,MATCH($F7,임대자산!$I$3:$I$3000,0),MATCH(J$4,임대자산!$D$3:$R$3,0)),
IF($D7="폐업",INDEX(폐업정보!$D$3:$R$3000,MATCH($F7,폐업정보!$I$3:$I$3000,0),MATCH(J$4,폐업정보!$D$3:$R$3,0)),
"Error"))</f>
        <v>7912500000</v>
      </c>
      <c r="K7" s="75" t="str">
        <f aca="false">
IF($D7="정상",INDEX(임대자산!$D$3:$R$3000,MATCH($F7,임대자산!$I$3:$I$3000,0),MATCH(K$4,임대자산!$D$3:$R$3,0)),
IF($D7="폐업",INDEX(폐업정보!$D$3:$R$3000,MATCH($F7,폐업정보!$I$3:$I$3000,0),MATCH(K$4,폐업정보!$D$3:$R$3,0)),
"Error"))</f>
        <v>C0002</v>
      </c>
      <c r="L7" s="75" t="str">
        <f aca="false">
IF($D7="정상",INDEX(임대자산!$D$3:$R$3000,MATCH($F7,임대자산!$I$3:$I$3000,0),MATCH(L$4,임대자산!$D$3:$R$3,0)),
IF($D7="폐업",INDEX(폐업정보!$D$3:$R$3000,MATCH($F7,폐업정보!$I$3:$I$3000,0),MATCH(L$4,폐업정보!$D$3:$R$3,0)),
"Error"))</f>
        <v>D0002</v>
      </c>
      <c r="M7" s="76" t="s">
        <v>96</v>
      </c>
      <c r="N7" s="77"/>
      <c r="O7" s="78" t="s">
        <v>97</v>
      </c>
      <c r="P7" s="79" t="n">
        <f aca="false">COUNTIFS(임대자산!$I:$I,가맹점정보!F7,임대자산!$N:$N,가맹점정보!P$4)</f>
        <v>1</v>
      </c>
      <c r="Q7" s="80" t="n">
        <f aca="false">COUNTIFS(임대자산!$I:$I,가맹점정보!F7,임대자산!$N:$N,가맹점정보!Q$4)</f>
        <v>0</v>
      </c>
      <c r="R7" s="81" t="n">
        <f aca="false">COUNTIFS(임대자산!$I:$I,가맹점정보!F7,임대자산!$N:$N,가맹점정보!R$4)</f>
        <v>0</v>
      </c>
      <c r="S7" s="82" t="n">
        <v>55000</v>
      </c>
      <c r="T7" s="83" t="n">
        <v>0</v>
      </c>
      <c r="U7" s="80" t="n">
        <f aca="false">SUM(S7:T7)</f>
        <v>55000</v>
      </c>
      <c r="V7" s="84" t="s">
        <v>12</v>
      </c>
      <c r="W7" s="80" t="e">
        <f aca="true">
IF(D7="폐업","폐업",
IF(V7="면제","면제",
IF(AND(V7="정상",COUNTIFS(OFFSET(Y7,0,COUNTA(Y7:AV7)-1,1,-4),"미납")&gt;=3),"장기미납",
IF(AND(V7="정상",OFFSET(Y7,0,COUNTA(Y7:AV7)-1)&gt;=U7),"정상",
IF(AND(V7="정상",OFFSET(Y7,0,COUNTA(Y7:AV7)-1)=0),"정상",
"계약서 미작성")))))</f>
        <v>#VALUE!</v>
      </c>
      <c r="X7" s="81" t="str">
        <f aca="true">
IF(D7="폐업","폐업",
IF(AND(V7="정상",OFFSET(Y7,0,COUNTA(Y7:AV7)-1)="미납"),"미납",
IF(AND(V7="정상",OFFSET(Y7,0,COUNTA(Y7:AV7)-1)=0),"납부 시작 전",
IF(AND(V7="정상",OFFSET(Y7,0,COUNTA(Y7:AV7)-1)&gt;=U7),"정상",
IF(AND(V7="면제",OFFSET(Y7,0,COUNTA(Y7:AV7)-1)="면제"),"면제",
IF(AND(V7="면제",OFFSET(Y7,0,COUNTA(Y7:AV7)-1)=0),"면제",
"확인요청"))))))</f>
        <v>정상</v>
      </c>
      <c r="Y7" s="93" t="n">
        <v>55000</v>
      </c>
      <c r="Z7" s="90" t="n">
        <v>55000</v>
      </c>
      <c r="AA7" s="90" t="n">
        <v>55000</v>
      </c>
      <c r="AB7" s="90" t="n">
        <v>55000</v>
      </c>
      <c r="AC7" s="90" t="n">
        <v>55000</v>
      </c>
      <c r="AD7" s="90" t="n">
        <v>55000</v>
      </c>
      <c r="AE7" s="90" t="n">
        <v>55000</v>
      </c>
      <c r="AF7" s="90" t="n">
        <v>55000</v>
      </c>
      <c r="AG7" s="90" t="n">
        <v>55000</v>
      </c>
      <c r="AH7" s="90" t="n">
        <v>55000</v>
      </c>
      <c r="AI7" s="90" t="n">
        <v>55000</v>
      </c>
      <c r="AJ7" s="91" t="n">
        <v>55000</v>
      </c>
      <c r="AK7" s="89" t="n">
        <v>55000</v>
      </c>
      <c r="AL7" s="90" t="n">
        <v>55000</v>
      </c>
      <c r="AM7" s="90"/>
      <c r="AN7" s="90"/>
      <c r="AO7" s="90"/>
      <c r="AP7" s="90"/>
      <c r="AQ7" s="90"/>
      <c r="AR7" s="90"/>
      <c r="AS7" s="90"/>
      <c r="AT7" s="90"/>
      <c r="AU7" s="90"/>
      <c r="AV7" s="91"/>
      <c r="AX7" s="92"/>
    </row>
    <row r="8" customFormat="false" ht="15.65" hidden="false" customHeight="false" outlineLevel="0" collapsed="false">
      <c r="C8" s="72" t="n">
        <f aca="false">COUNTIFS($D$6:D8,"&lt;&gt;"&amp;"")</f>
        <v>3</v>
      </c>
      <c r="D8" s="73" t="s">
        <v>12</v>
      </c>
      <c r="E8" s="76" t="str">
        <f aca="false">
IF($D8="정상",INDEX(임대자산!$D$3:$R$3000,MATCH($F8,임대자산!$I$3:$I$3000,0),MATCH(E$3,임대자산!$D$3:$R$3,0)),
IF($D8="폐업",INDEX(폐업정보!$D$3:$R$3000,MATCH($F8,폐업정보!$I$3:$I$3000,0),MATCH(E$3,폐업정보!$D$3:$R$3,0)),
"Error"))</f>
        <v>전라</v>
      </c>
      <c r="F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B0003</v>
      </c>
      <c r="G8" s="76" t="str">
        <f aca="false">F8&amp;RANDBETWEEN(0,10)</f>
        <v>B00033</v>
      </c>
      <c r="H8" s="75" t="n">
        <f aca="false">
IF($D8="정상",INDEX(임대자산!$D$3:$R$3000,MATCH($F8,임대자산!$I$3:$I$3000,0),MATCH(H$4,임대자산!$D$3:$R$3,0)),
IF($D8="폐업",INDEX(폐업정보!$D$3:$R$3000,MATCH($F8,폐업정보!$I$3:$I$3000,0),MATCH(H$4,폐업정보!$D$3:$R$3,0)),
"Error"))</f>
        <v>42852</v>
      </c>
      <c r="I8" s="75" t="str">
        <f aca="false">
IF($D8="정상",INDEX(임대자산!$D$3:$R$3000,MATCH($F8,임대자산!$I$3:$I$3000,0),MATCH(I$4,임대자산!$D$3:$R$3,0)),
IF($D8="폐업",INDEX(폐업정보!$D$3:$R$3000,MATCH($F8,폐업정보!$I$3:$I$3000,0),MATCH(I$4,폐업정보!$D$3:$R$3,0)),
"Error"))</f>
        <v>A0003</v>
      </c>
      <c r="J8" s="75" t="str">
        <f aca="false">
IF($D8="정상",INDEX(임대자산!$D$3:$R$3000,MATCH($F8,임대자산!$I$3:$I$3000,0),MATCH(J$4,임대자산!$D$3:$R$3,0)),
IF($D8="폐업",INDEX(폐업정보!$D$3:$R$3000,MATCH($F8,폐업정보!$I$3:$I$3000,0),MATCH(J$4,폐업정보!$D$3:$R$3,0)),
"Error"))</f>
        <v>8740400000</v>
      </c>
      <c r="K8" s="75" t="str">
        <f aca="false">
IF($D8="정상",INDEX(임대자산!$D$3:$R$3000,MATCH($F8,임대자산!$I$3:$I$3000,0),MATCH(K$4,임대자산!$D$3:$R$3,0)),
IF($D8="폐업",INDEX(폐업정보!$D$3:$R$3000,MATCH($F8,폐업정보!$I$3:$I$3000,0),MATCH(K$4,폐업정보!$D$3:$R$3,0)),
"Error"))</f>
        <v>C0003</v>
      </c>
      <c r="L8" s="75" t="str">
        <f aca="false">
IF($D8="정상",INDEX(임대자산!$D$3:$R$3000,MATCH($F8,임대자산!$I$3:$I$3000,0),MATCH(L$4,임대자산!$D$3:$R$3,0)),
IF($D8="폐업",INDEX(폐업정보!$D$3:$R$3000,MATCH($F8,폐업정보!$I$3:$I$3000,0),MATCH(L$4,폐업정보!$D$3:$R$3,0)),
"Error"))</f>
        <v>D0003</v>
      </c>
      <c r="M8" s="76" t="s">
        <v>96</v>
      </c>
      <c r="N8" s="77"/>
      <c r="O8" s="78" t="s">
        <v>97</v>
      </c>
      <c r="P8" s="79" t="n">
        <f aca="false">COUNTIFS(임대자산!$I:$I,가맹점정보!F8,임대자산!$N:$N,가맹점정보!P$4)</f>
        <v>1</v>
      </c>
      <c r="Q8" s="80" t="n">
        <f aca="false">COUNTIFS(임대자산!$I:$I,가맹점정보!F8,임대자산!$N:$N,가맹점정보!Q$4)</f>
        <v>0</v>
      </c>
      <c r="R8" s="81" t="n">
        <f aca="false">COUNTIFS(임대자산!$I:$I,가맹점정보!F8,임대자산!$N:$N,가맹점정보!R$4)</f>
        <v>0</v>
      </c>
      <c r="S8" s="82" t="n">
        <v>55000</v>
      </c>
      <c r="T8" s="83" t="n">
        <v>0</v>
      </c>
      <c r="U8" s="80" t="n">
        <f aca="false">SUM(S8:T8)</f>
        <v>55000</v>
      </c>
      <c r="V8" s="84" t="s">
        <v>7</v>
      </c>
      <c r="W8" s="80" t="str">
        <f aca="true">
IF(D8="폐업","폐업",
IF(V8="면제","면제",
IF(AND(V8="정상",COUNTIFS(OFFSET(Y8,0,COUNTA(Y8:AV8)-1,1,-4),"미납")&gt;=3),"장기미납",
IF(AND(V8="정상",OFFSET(Y8,0,COUNTA(Y8:AV8)-1)&gt;=U8),"정상",
IF(AND(V8="정상",OFFSET(Y8,0,COUNTA(Y8:AV8)-1)=0),"정상",
"계약서 미작성")))))</f>
        <v>면제</v>
      </c>
      <c r="X8" s="81" t="str">
        <f aca="true">
IF(D8="폐업","폐업",
IF(AND(V8="정상",OFFSET(Y8,0,COUNTA(Y8:AV8)-1)="미납"),"미납",
IF(AND(V8="정상",OFFSET(Y8,0,COUNTA(Y8:AV8)-1)=0),"납부 시작 전",
IF(AND(V8="정상",OFFSET(Y8,0,COUNTA(Y8:AV8)-1)&gt;=U8),"정상",
IF(AND(V8="면제",OFFSET(Y8,0,COUNTA(Y8:AV8)-1)="면제"),"면제",
IF(AND(V8="면제",OFFSET(Y8,0,COUNTA(Y8:AV8)-1)=0),"면제",
"확인요청"))))))</f>
        <v>면제</v>
      </c>
      <c r="Y8" s="94" t="s">
        <v>7</v>
      </c>
      <c r="Z8" s="95" t="s">
        <v>7</v>
      </c>
      <c r="AA8" s="95" t="s">
        <v>7</v>
      </c>
      <c r="AB8" s="95" t="s">
        <v>7</v>
      </c>
      <c r="AC8" s="95" t="s">
        <v>7</v>
      </c>
      <c r="AD8" s="95" t="s">
        <v>7</v>
      </c>
      <c r="AE8" s="95" t="s">
        <v>7</v>
      </c>
      <c r="AF8" s="95" t="s">
        <v>7</v>
      </c>
      <c r="AG8" s="95" t="s">
        <v>7</v>
      </c>
      <c r="AH8" s="95" t="s">
        <v>7</v>
      </c>
      <c r="AI8" s="95" t="s">
        <v>7</v>
      </c>
      <c r="AJ8" s="96" t="s">
        <v>7</v>
      </c>
      <c r="AK8" s="97" t="s">
        <v>7</v>
      </c>
      <c r="AL8" s="95" t="s">
        <v>7</v>
      </c>
      <c r="AM8" s="90"/>
      <c r="AN8" s="90"/>
      <c r="AO8" s="90"/>
      <c r="AP8" s="90"/>
      <c r="AQ8" s="90"/>
      <c r="AR8" s="90"/>
      <c r="AS8" s="90"/>
      <c r="AT8" s="90"/>
      <c r="AU8" s="90"/>
      <c r="AV8" s="91"/>
      <c r="AX8" s="92"/>
    </row>
    <row r="9" customFormat="false" ht="15.65" hidden="false" customHeight="false" outlineLevel="0" collapsed="false">
      <c r="C9" s="72" t="n">
        <f aca="false">COUNTIFS($D$6:D9,"&lt;&gt;"&amp;"")</f>
        <v>4</v>
      </c>
      <c r="D9" s="73" t="s">
        <v>12</v>
      </c>
      <c r="E9" s="76" t="str">
        <f aca="false">
IF($D9="정상",INDEX(임대자산!$D$3:$R$3000,MATCH($F9,임대자산!$I$3:$I$3000,0),MATCH(E$3,임대자산!$D$3:$R$3,0)),
IF($D9="폐업",INDEX(폐업정보!$D$3:$R$3000,MATCH($F9,폐업정보!$I$3:$I$3000,0),MATCH(E$3,폐업정보!$D$3:$R$3,0)),
"Error"))</f>
        <v>전라</v>
      </c>
      <c r="F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B0004</v>
      </c>
      <c r="G9" s="76" t="str">
        <f aca="false">F9&amp;RANDBETWEEN(0,10)</f>
        <v>B00041</v>
      </c>
      <c r="H9" s="75" t="n">
        <f aca="false">
IF($D9="정상",INDEX(임대자산!$D$3:$R$3000,MATCH($F9,임대자산!$I$3:$I$3000,0),MATCH(H$4,임대자산!$D$3:$R$3,0)),
IF($D9="폐업",INDEX(폐업정보!$D$3:$R$3000,MATCH($F9,폐업정보!$I$3:$I$3000,0),MATCH(H$4,폐업정보!$D$3:$R$3,0)),
"Error"))</f>
        <v>42783</v>
      </c>
      <c r="I9" s="75" t="str">
        <f aca="false">
IF($D9="정상",INDEX(임대자산!$D$3:$R$3000,MATCH($F9,임대자산!$I$3:$I$3000,0),MATCH(I$4,임대자산!$D$3:$R$3,0)),
IF($D9="폐업",INDEX(폐업정보!$D$3:$R$3000,MATCH($F9,폐업정보!$I$3:$I$3000,0),MATCH(I$4,폐업정보!$D$3:$R$3,0)),
"Error"))</f>
        <v>A0004</v>
      </c>
      <c r="J9" s="75" t="str">
        <f aca="false">
IF($D9="정상",INDEX(임대자산!$D$3:$R$3000,MATCH($F9,임대자산!$I$3:$I$3000,0),MATCH(J$4,임대자산!$D$3:$R$3,0)),
IF($D9="폐업",INDEX(폐업정보!$D$3:$R$3000,MATCH($F9,폐업정보!$I$3:$I$3000,0),MATCH(J$4,폐업정보!$D$3:$R$3,0)),
"Error"))</f>
        <v>5617900000</v>
      </c>
      <c r="K9" s="75" t="str">
        <f aca="false">
IF($D9="정상",INDEX(임대자산!$D$3:$R$3000,MATCH($F9,임대자산!$I$3:$I$3000,0),MATCH(K$4,임대자산!$D$3:$R$3,0)),
IF($D9="폐업",INDEX(폐업정보!$D$3:$R$3000,MATCH($F9,폐업정보!$I$3:$I$3000,0),MATCH(K$4,폐업정보!$D$3:$R$3,0)),
"Error"))</f>
        <v>C0004</v>
      </c>
      <c r="L9" s="75" t="str">
        <f aca="false">
IF($D9="정상",INDEX(임대자산!$D$3:$R$3000,MATCH($F9,임대자산!$I$3:$I$3000,0),MATCH(L$4,임대자산!$D$3:$R$3,0)),
IF($D9="폐업",INDEX(폐업정보!$D$3:$R$3000,MATCH($F9,폐업정보!$I$3:$I$3000,0),MATCH(L$4,폐업정보!$D$3:$R$3,0)),
"Error"))</f>
        <v>D0004</v>
      </c>
      <c r="M9" s="76" t="s">
        <v>96</v>
      </c>
      <c r="N9" s="77"/>
      <c r="O9" s="78" t="s">
        <v>97</v>
      </c>
      <c r="P9" s="79" t="n">
        <f aca="false">COUNTIFS(임대자산!$I:$I,가맹점정보!F9,임대자산!$N:$N,가맹점정보!P$4)</f>
        <v>1</v>
      </c>
      <c r="Q9" s="80" t="n">
        <f aca="false">COUNTIFS(임대자산!$I:$I,가맹점정보!F9,임대자산!$N:$N,가맹점정보!Q$4)</f>
        <v>0</v>
      </c>
      <c r="R9" s="81" t="n">
        <f aca="false">COUNTIFS(임대자산!$I:$I,가맹점정보!F9,임대자산!$N:$N,가맹점정보!R$4)</f>
        <v>0</v>
      </c>
      <c r="S9" s="82" t="n">
        <v>55000</v>
      </c>
      <c r="T9" s="83" t="n">
        <v>0</v>
      </c>
      <c r="U9" s="80" t="n">
        <f aca="false">SUM(S9:T9)</f>
        <v>55000</v>
      </c>
      <c r="V9" s="84" t="s">
        <v>7</v>
      </c>
      <c r="W9" s="80" t="str">
        <f aca="true">
IF(D9="폐업","폐업",
IF(V9="면제","면제",
IF(AND(V9="정상",COUNTIFS(OFFSET(Y9,0,COUNTA(Y9:AV9)-1,1,-4),"미납")&gt;=3),"장기미납",
IF(AND(V9="정상",OFFSET(Y9,0,COUNTA(Y9:AV9)-1)&gt;=U9),"정상",
IF(AND(V9="정상",OFFSET(Y9,0,COUNTA(Y9:AV9)-1)=0),"정상",
"계약서 미작성")))))</f>
        <v>면제</v>
      </c>
      <c r="X9" s="81" t="str">
        <f aca="true">
IF(D9="폐업","폐업",
IF(AND(V9="정상",OFFSET(Y9,0,COUNTA(Y9:AV9)-1)="미납"),"미납",
IF(AND(V9="정상",OFFSET(Y9,0,COUNTA(Y9:AV9)-1)=0),"납부 시작 전",
IF(AND(V9="정상",OFFSET(Y9,0,COUNTA(Y9:AV9)-1)&gt;=U9),"정상",
IF(AND(V9="면제",OFFSET(Y9,0,COUNTA(Y9:AV9)-1)="면제"),"면제",
IF(AND(V9="면제",OFFSET(Y9,0,COUNTA(Y9:AV9)-1)=0),"면제",
"확인요청"))))))</f>
        <v>면제</v>
      </c>
      <c r="Y9" s="94" t="s">
        <v>7</v>
      </c>
      <c r="Z9" s="95" t="s">
        <v>7</v>
      </c>
      <c r="AA9" s="95" t="s">
        <v>7</v>
      </c>
      <c r="AB9" s="95" t="s">
        <v>7</v>
      </c>
      <c r="AC9" s="95" t="s">
        <v>7</v>
      </c>
      <c r="AD9" s="95" t="s">
        <v>7</v>
      </c>
      <c r="AE9" s="95" t="s">
        <v>7</v>
      </c>
      <c r="AF9" s="95" t="s">
        <v>7</v>
      </c>
      <c r="AG9" s="95" t="s">
        <v>7</v>
      </c>
      <c r="AH9" s="95" t="s">
        <v>7</v>
      </c>
      <c r="AI9" s="95" t="s">
        <v>7</v>
      </c>
      <c r="AJ9" s="96" t="s">
        <v>7</v>
      </c>
      <c r="AK9" s="97" t="s">
        <v>7</v>
      </c>
      <c r="AL9" s="95" t="s">
        <v>7</v>
      </c>
      <c r="AM9" s="90"/>
      <c r="AN9" s="90"/>
      <c r="AO9" s="90"/>
      <c r="AP9" s="90"/>
      <c r="AQ9" s="90"/>
      <c r="AR9" s="90"/>
      <c r="AS9" s="90"/>
      <c r="AT9" s="90"/>
      <c r="AU9" s="90"/>
      <c r="AV9" s="91"/>
      <c r="AX9" s="92"/>
    </row>
    <row r="10" customFormat="false" ht="15.65" hidden="false" customHeight="false" outlineLevel="0" collapsed="false">
      <c r="C10" s="72" t="n">
        <f aca="false">COUNTIFS($D$6:D10,"&lt;&gt;"&amp;"")</f>
        <v>5</v>
      </c>
      <c r="D10" s="73" t="s">
        <v>12</v>
      </c>
      <c r="E10" s="76" t="str">
        <f aca="false">
IF($D10="정상",INDEX(임대자산!$D$3:$R$3000,MATCH($F10,임대자산!$I$3:$I$3000,0),MATCH(E$3,임대자산!$D$3:$R$3,0)),
IF($D10="폐업",INDEX(폐업정보!$D$3:$R$3000,MATCH($F10,폐업정보!$I$3:$I$3000,0),MATCH(E$3,폐업정보!$D$3:$R$3,0)),
"Error"))</f>
        <v>서울</v>
      </c>
      <c r="F1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B0005</v>
      </c>
      <c r="G10" s="76" t="str">
        <f aca="false">F10&amp;RANDBETWEEN(0,10)</f>
        <v>B00059</v>
      </c>
      <c r="H10" s="75" t="n">
        <f aca="false">
IF($D10="정상",INDEX(임대자산!$D$3:$R$3000,MATCH($F10,임대자산!$I$3:$I$3000,0),MATCH(H$4,임대자산!$D$3:$R$3,0)),
IF($D10="폐업",INDEX(폐업정보!$D$3:$R$3000,MATCH($F10,폐업정보!$I$3:$I$3000,0),MATCH(H$4,폐업정보!$D$3:$R$3,0)),
"Error"))</f>
        <v>42789</v>
      </c>
      <c r="I10" s="75" t="str">
        <f aca="false">
IF($D10="정상",INDEX(임대자산!$D$3:$R$3000,MATCH($F10,임대자산!$I$3:$I$3000,0),MATCH(I$4,임대자산!$D$3:$R$3,0)),
IF($D10="폐업",INDEX(폐업정보!$D$3:$R$3000,MATCH($F10,폐업정보!$I$3:$I$3000,0),MATCH(I$4,폐업정보!$D$3:$R$3,0)),
"Error"))</f>
        <v>A0005</v>
      </c>
      <c r="J10" s="75" t="str">
        <f aca="false">
IF($D10="정상",INDEX(임대자산!$D$3:$R$3000,MATCH($F10,임대자산!$I$3:$I$3000,0),MATCH(J$4,임대자산!$D$3:$R$3,0)),
IF($D10="폐업",INDEX(폐업정보!$D$3:$R$3000,MATCH($F10,폐업정보!$I$3:$I$3000,0),MATCH(J$4,폐업정보!$D$3:$R$3,0)),
"Error"))</f>
        <v>3402900000</v>
      </c>
      <c r="K10" s="75" t="str">
        <f aca="false">
IF($D10="정상",INDEX(임대자산!$D$3:$R$3000,MATCH($F10,임대자산!$I$3:$I$3000,0),MATCH(K$4,임대자산!$D$3:$R$3,0)),
IF($D10="폐업",INDEX(폐업정보!$D$3:$R$3000,MATCH($F10,폐업정보!$I$3:$I$3000,0),MATCH(K$4,폐업정보!$D$3:$R$3,0)),
"Error"))</f>
        <v>C0005</v>
      </c>
      <c r="L10" s="75" t="str">
        <f aca="false">
IF($D10="정상",INDEX(임대자산!$D$3:$R$3000,MATCH($F10,임대자산!$I$3:$I$3000,0),MATCH(L$4,임대자산!$D$3:$R$3,0)),
IF($D10="폐업",INDEX(폐업정보!$D$3:$R$3000,MATCH($F10,폐업정보!$I$3:$I$3000,0),MATCH(L$4,폐업정보!$D$3:$R$3,0)),
"Error"))</f>
        <v>D0005</v>
      </c>
      <c r="M10" s="76" t="s">
        <v>96</v>
      </c>
      <c r="N10" s="77"/>
      <c r="O10" s="78" t="s">
        <v>97</v>
      </c>
      <c r="P10" s="79" t="n">
        <f aca="false">COUNTIFS(임대자산!$I:$I,가맹점정보!F10,임대자산!$N:$N,가맹점정보!P$4)</f>
        <v>1</v>
      </c>
      <c r="Q10" s="80" t="n">
        <f aca="false">COUNTIFS(임대자산!$I:$I,가맹점정보!F10,임대자산!$N:$N,가맹점정보!Q$4)</f>
        <v>0</v>
      </c>
      <c r="R10" s="81" t="n">
        <f aca="false">COUNTIFS(임대자산!$I:$I,가맹점정보!F10,임대자산!$N:$N,가맹점정보!R$4)</f>
        <v>0</v>
      </c>
      <c r="S10" s="82" t="n">
        <v>55000</v>
      </c>
      <c r="T10" s="83" t="n">
        <v>0</v>
      </c>
      <c r="U10" s="80" t="n">
        <f aca="false">SUM(S10:T10)</f>
        <v>55000</v>
      </c>
      <c r="V10" s="84" t="s">
        <v>7</v>
      </c>
      <c r="W10" s="80" t="str">
        <f aca="true">
IF(D10="폐업","폐업",
IF(V10="면제","면제",
IF(AND(V10="정상",COUNTIFS(OFFSET(Y10,0,COUNTA(Y10:AV10)-1,1,-4),"미납")&gt;=3),"장기미납",
IF(AND(V10="정상",OFFSET(Y10,0,COUNTA(Y10:AV10)-1)&gt;=U10),"정상",
IF(AND(V10="정상",OFFSET(Y10,0,COUNTA(Y10:AV10)-1)=0),"정상",
"계약서 미작성")))))</f>
        <v>면제</v>
      </c>
      <c r="X10" s="81" t="str">
        <f aca="true">
IF(D10="폐업","폐업",
IF(AND(V10="정상",OFFSET(Y10,0,COUNTA(Y10:AV10)-1)="미납"),"미납",
IF(AND(V10="정상",OFFSET(Y10,0,COUNTA(Y10:AV10)-1)=0),"납부 시작 전",
IF(AND(V10="정상",OFFSET(Y10,0,COUNTA(Y10:AV10)-1)&gt;=U10),"정상",
IF(AND(V10="면제",OFFSET(Y10,0,COUNTA(Y10:AV10)-1)="면제"),"면제",
IF(AND(V10="면제",OFFSET(Y10,0,COUNTA(Y10:AV10)-1)=0),"면제",
"확인요청"))))))</f>
        <v>면제</v>
      </c>
      <c r="Y10" s="94" t="s">
        <v>7</v>
      </c>
      <c r="Z10" s="95" t="s">
        <v>7</v>
      </c>
      <c r="AA10" s="95" t="s">
        <v>7</v>
      </c>
      <c r="AB10" s="95" t="s">
        <v>7</v>
      </c>
      <c r="AC10" s="95" t="s">
        <v>7</v>
      </c>
      <c r="AD10" s="95" t="s">
        <v>7</v>
      </c>
      <c r="AE10" s="95" t="s">
        <v>7</v>
      </c>
      <c r="AF10" s="95" t="s">
        <v>7</v>
      </c>
      <c r="AG10" s="95" t="s">
        <v>7</v>
      </c>
      <c r="AH10" s="95" t="s">
        <v>7</v>
      </c>
      <c r="AI10" s="95" t="s">
        <v>7</v>
      </c>
      <c r="AJ10" s="96" t="s">
        <v>7</v>
      </c>
      <c r="AK10" s="97" t="s">
        <v>7</v>
      </c>
      <c r="AL10" s="95" t="s">
        <v>7</v>
      </c>
      <c r="AM10" s="90"/>
      <c r="AN10" s="90"/>
      <c r="AO10" s="90"/>
      <c r="AP10" s="90"/>
      <c r="AQ10" s="90"/>
      <c r="AR10" s="90"/>
      <c r="AS10" s="90"/>
      <c r="AT10" s="90"/>
      <c r="AU10" s="90"/>
      <c r="AV10" s="91"/>
      <c r="AX10" s="92"/>
    </row>
    <row r="11" customFormat="false" ht="15.65" hidden="false" customHeight="false" outlineLevel="0" collapsed="false">
      <c r="C11" s="72" t="n">
        <f aca="false">COUNTIFS($D$6:D11,"&lt;&gt;"&amp;"")</f>
        <v>6</v>
      </c>
      <c r="D11" s="73" t="s">
        <v>12</v>
      </c>
      <c r="E11" s="76" t="str">
        <f aca="false">
IF($D11="정상",INDEX(임대자산!$D$3:$R$3000,MATCH($F11,임대자산!$I$3:$I$3000,0),MATCH(E$3,임대자산!$D$3:$R$3,0)),
IF($D11="폐업",INDEX(폐업정보!$D$3:$R$3000,MATCH($F11,폐업정보!$I$3:$I$3000,0),MATCH(E$3,폐업정보!$D$3:$R$3,0)),
"Error"))</f>
        <v>서울</v>
      </c>
      <c r="F1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B0006</v>
      </c>
      <c r="G11" s="76" t="str">
        <f aca="false">F11&amp;RANDBETWEEN(0,10)</f>
        <v>B00061</v>
      </c>
      <c r="H11" s="75" t="n">
        <f aca="false">
IF($D11="정상",INDEX(임대자산!$D$3:$R$3000,MATCH($F11,임대자산!$I$3:$I$3000,0),MATCH(H$4,임대자산!$D$3:$R$3,0)),
IF($D11="폐업",INDEX(폐업정보!$D$3:$R$3000,MATCH($F11,폐업정보!$I$3:$I$3000,0),MATCH(H$4,폐업정보!$D$3:$R$3,0)),
"Error"))</f>
        <v>45945</v>
      </c>
      <c r="I11" s="75" t="str">
        <f aca="false">
IF($D11="정상",INDEX(임대자산!$D$3:$R$3000,MATCH($F11,임대자산!$I$3:$I$3000,0),MATCH(I$4,임대자산!$D$3:$R$3,0)),
IF($D11="폐업",INDEX(폐업정보!$D$3:$R$3000,MATCH($F11,폐업정보!$I$3:$I$3000,0),MATCH(I$4,폐업정보!$D$3:$R$3,0)),
"Error"))</f>
        <v>A0006</v>
      </c>
      <c r="J11" s="75" t="str">
        <f aca="false">
IF($D11="정상",INDEX(임대자산!$D$3:$R$3000,MATCH($F11,임대자산!$I$3:$I$3000,0),MATCH(J$4,임대자산!$D$3:$R$3,0)),
IF($D11="폐업",INDEX(폐업정보!$D$3:$R$3000,MATCH($F11,폐업정보!$I$3:$I$3000,0),MATCH(J$4,폐업정보!$D$3:$R$3,0)),
"Error"))</f>
        <v>7398300000</v>
      </c>
      <c r="K11" s="75" t="str">
        <f aca="false">
IF($D11="정상",INDEX(임대자산!$D$3:$R$3000,MATCH($F11,임대자산!$I$3:$I$3000,0),MATCH(K$4,임대자산!$D$3:$R$3,0)),
IF($D11="폐업",INDEX(폐업정보!$D$3:$R$3000,MATCH($F11,폐업정보!$I$3:$I$3000,0),MATCH(K$4,폐업정보!$D$3:$R$3,0)),
"Error"))</f>
        <v>C0006</v>
      </c>
      <c r="L11" s="75" t="str">
        <f aca="false">
IF($D11="정상",INDEX(임대자산!$D$3:$R$3000,MATCH($F11,임대자산!$I$3:$I$3000,0),MATCH(L$4,임대자산!$D$3:$R$3,0)),
IF($D11="폐업",INDEX(폐업정보!$D$3:$R$3000,MATCH($F11,폐업정보!$I$3:$I$3000,0),MATCH(L$4,폐업정보!$D$3:$R$3,0)),
"Error"))</f>
        <v>D0006</v>
      </c>
      <c r="M11" s="76" t="s">
        <v>96</v>
      </c>
      <c r="N11" s="77"/>
      <c r="O11" s="78" t="s">
        <v>97</v>
      </c>
      <c r="P11" s="79" t="n">
        <f aca="false">COUNTIFS(임대자산!$I:$I,가맹점정보!F11,임대자산!$N:$N,가맹점정보!P$4)</f>
        <v>1</v>
      </c>
      <c r="Q11" s="80" t="n">
        <f aca="false">COUNTIFS(임대자산!$I:$I,가맹점정보!F11,임대자산!$N:$N,가맹점정보!Q$4)</f>
        <v>0</v>
      </c>
      <c r="R11" s="81" t="n">
        <f aca="false">COUNTIFS(임대자산!$I:$I,가맹점정보!F11,임대자산!$N:$N,가맹점정보!R$4)</f>
        <v>0</v>
      </c>
      <c r="S11" s="82" t="n">
        <v>55000</v>
      </c>
      <c r="T11" s="83" t="n">
        <v>0</v>
      </c>
      <c r="U11" s="80" t="n">
        <f aca="false">SUM(S11:T11)</f>
        <v>55000</v>
      </c>
      <c r="V11" s="84" t="s">
        <v>12</v>
      </c>
      <c r="W11" s="80" t="e">
        <f aca="true">
IF(D11="폐업","폐업",
IF(V11="면제","면제",
IF(AND(V11="정상",COUNTIFS(OFFSET(Y11,0,COUNTA(Y11:AV11)-1,1,-4),"미납")&gt;=3),"장기미납",
IF(AND(V11="정상",OFFSET(Y11,0,COUNTA(Y11:AV11)-1)&gt;=U11),"정상",
IF(AND(V11="정상",OFFSET(Y11,0,COUNTA(Y11:AV11)-1)=0),"정상",
"계약서 미작성")))))</f>
        <v>#VALUE!</v>
      </c>
      <c r="X11" s="81" t="str">
        <f aca="true">
IF(D11="폐업","폐업",
IF(AND(V11="정상",OFFSET(Y11,0,COUNTA(Y11:AV11)-1)="미납"),"미납",
IF(AND(V11="정상",OFFSET(Y11,0,COUNTA(Y11:AV11)-1)=0),"납부 시작 전",
IF(AND(V11="정상",OFFSET(Y11,0,COUNTA(Y11:AV11)-1)&gt;=U11),"정상",
IF(AND(V11="면제",OFFSET(Y11,0,COUNTA(Y11:AV11)-1)="면제"),"면제",
IF(AND(V11="면제",OFFSET(Y11,0,COUNTA(Y11:AV11)-1)=0),"면제",
"확인요청"))))))</f>
        <v>정상</v>
      </c>
      <c r="Y11" s="93" t="n">
        <v>55000</v>
      </c>
      <c r="Z11" s="90" t="n">
        <v>55000</v>
      </c>
      <c r="AA11" s="90" t="n">
        <v>55000</v>
      </c>
      <c r="AB11" s="90" t="n">
        <v>55000</v>
      </c>
      <c r="AC11" s="90" t="n">
        <v>55000</v>
      </c>
      <c r="AD11" s="90" t="n">
        <v>55000</v>
      </c>
      <c r="AE11" s="90" t="n">
        <v>55000</v>
      </c>
      <c r="AF11" s="90" t="n">
        <v>55000</v>
      </c>
      <c r="AG11" s="90" t="n">
        <v>55000</v>
      </c>
      <c r="AH11" s="90" t="n">
        <v>55000</v>
      </c>
      <c r="AI11" s="90" t="n">
        <v>55000</v>
      </c>
      <c r="AJ11" s="91" t="n">
        <v>55000</v>
      </c>
      <c r="AK11" s="89" t="n">
        <v>55000</v>
      </c>
      <c r="AL11" s="90" t="n">
        <v>55000</v>
      </c>
      <c r="AM11" s="90"/>
      <c r="AN11" s="90"/>
      <c r="AO11" s="90"/>
      <c r="AP11" s="90"/>
      <c r="AQ11" s="90"/>
      <c r="AR11" s="90"/>
      <c r="AS11" s="90"/>
      <c r="AT11" s="90"/>
      <c r="AU11" s="90"/>
      <c r="AV11" s="91"/>
      <c r="AX11" s="92"/>
    </row>
    <row r="12" customFormat="false" ht="15.65" hidden="false" customHeight="false" outlineLevel="0" collapsed="false">
      <c r="C12" s="72" t="n">
        <f aca="false">COUNTIFS($D$6:D12,"&lt;&gt;"&amp;"")</f>
        <v>7</v>
      </c>
      <c r="D12" s="73" t="s">
        <v>12</v>
      </c>
      <c r="E12" s="76" t="str">
        <f aca="false">
IF($D12="정상",INDEX(임대자산!$D$3:$R$3000,MATCH($F12,임대자산!$I$3:$I$3000,0),MATCH(E$3,임대자산!$D$3:$R$3,0)),
IF($D12="폐업",INDEX(폐업정보!$D$3:$R$3000,MATCH($F12,폐업정보!$I$3:$I$3000,0),MATCH(E$3,폐업정보!$D$3:$R$3,0)),
"Error"))</f>
        <v>서울</v>
      </c>
      <c r="F1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B0007</v>
      </c>
      <c r="G12" s="76" t="str">
        <f aca="false">F12&amp;RANDBETWEEN(0,10)</f>
        <v>B00072</v>
      </c>
      <c r="H12" s="75" t="n">
        <f aca="false">
IF($D12="정상",INDEX(임대자산!$D$3:$R$3000,MATCH($F12,임대자산!$I$3:$I$3000,0),MATCH(H$4,임대자산!$D$3:$R$3,0)),
IF($D12="폐업",INDEX(폐업정보!$D$3:$R$3000,MATCH($F12,폐업정보!$I$3:$I$3000,0),MATCH(H$4,폐업정보!$D$3:$R$3,0)),
"Error"))</f>
        <v>43389</v>
      </c>
      <c r="I12" s="75" t="str">
        <f aca="false">
IF($D12="정상",INDEX(임대자산!$D$3:$R$3000,MATCH($F12,임대자산!$I$3:$I$3000,0),MATCH(I$4,임대자산!$D$3:$R$3,0)),
IF($D12="폐업",INDEX(폐업정보!$D$3:$R$3000,MATCH($F12,폐업정보!$I$3:$I$3000,0),MATCH(I$4,폐업정보!$D$3:$R$3,0)),
"Error"))</f>
        <v>A0007</v>
      </c>
      <c r="J12" s="75" t="str">
        <f aca="false">
IF($D12="정상",INDEX(임대자산!$D$3:$R$3000,MATCH($F12,임대자산!$I$3:$I$3000,0),MATCH(J$4,임대자산!$D$3:$R$3,0)),
IF($D12="폐업",INDEX(폐업정보!$D$3:$R$3000,MATCH($F12,폐업정보!$I$3:$I$3000,0),MATCH(J$4,폐업정보!$D$3:$R$3,0)),
"Error"))</f>
        <v>2835300000</v>
      </c>
      <c r="K12" s="75" t="str">
        <f aca="false">
IF($D12="정상",INDEX(임대자산!$D$3:$R$3000,MATCH($F12,임대자산!$I$3:$I$3000,0),MATCH(K$4,임대자산!$D$3:$R$3,0)),
IF($D12="폐업",INDEX(폐업정보!$D$3:$R$3000,MATCH($F12,폐업정보!$I$3:$I$3000,0),MATCH(K$4,폐업정보!$D$3:$R$3,0)),
"Error"))</f>
        <v>C0007</v>
      </c>
      <c r="L12" s="75" t="str">
        <f aca="false">
IF($D12="정상",INDEX(임대자산!$D$3:$R$3000,MATCH($F12,임대자산!$I$3:$I$3000,0),MATCH(L$4,임대자산!$D$3:$R$3,0)),
IF($D12="폐업",INDEX(폐업정보!$D$3:$R$3000,MATCH($F12,폐업정보!$I$3:$I$3000,0),MATCH(L$4,폐업정보!$D$3:$R$3,0)),
"Error"))</f>
        <v>D0007</v>
      </c>
      <c r="M12" s="76" t="s">
        <v>96</v>
      </c>
      <c r="N12" s="77"/>
      <c r="O12" s="78" t="s">
        <v>97</v>
      </c>
      <c r="P12" s="79" t="n">
        <f aca="false">COUNTIFS(임대자산!$I:$I,가맹점정보!F12,임대자산!$N:$N,가맹점정보!P$4)</f>
        <v>1</v>
      </c>
      <c r="Q12" s="80" t="n">
        <f aca="false">COUNTIFS(임대자산!$I:$I,가맹점정보!F12,임대자산!$N:$N,가맹점정보!Q$4)</f>
        <v>0</v>
      </c>
      <c r="R12" s="81" t="n">
        <f aca="false">COUNTIFS(임대자산!$I:$I,가맹점정보!F12,임대자산!$N:$N,가맹점정보!R$4)</f>
        <v>0</v>
      </c>
      <c r="S12" s="82" t="n">
        <v>55000</v>
      </c>
      <c r="T12" s="83" t="n">
        <v>0</v>
      </c>
      <c r="U12" s="80" t="n">
        <f aca="false">SUM(S12:T12)</f>
        <v>55000</v>
      </c>
      <c r="V12" s="84" t="s">
        <v>7</v>
      </c>
      <c r="W12" s="80" t="str">
        <f aca="true">
IF(D12="폐업","폐업",
IF(V12="면제","면제",
IF(AND(V12="정상",COUNTIFS(OFFSET(Y12,0,COUNTA(Y12:AV12)-1,1,-4),"미납")&gt;=3),"장기미납",
IF(AND(V12="정상",OFFSET(Y12,0,COUNTA(Y12:AV12)-1)&gt;=U12),"정상",
IF(AND(V12="정상",OFFSET(Y12,0,COUNTA(Y12:AV12)-1)=0),"정상",
"계약서 미작성")))))</f>
        <v>면제</v>
      </c>
      <c r="X12" s="81" t="str">
        <f aca="true">
IF(D12="폐업","폐업",
IF(AND(V12="정상",OFFSET(Y12,0,COUNTA(Y12:AV12)-1)="미납"),"미납",
IF(AND(V12="정상",OFFSET(Y12,0,COUNTA(Y12:AV12)-1)=0),"납부 시작 전",
IF(AND(V12="정상",OFFSET(Y12,0,COUNTA(Y12:AV12)-1)&gt;=U12),"정상",
IF(AND(V12="면제",OFFSET(Y12,0,COUNTA(Y12:AV12)-1)="면제"),"면제",
IF(AND(V12="면제",OFFSET(Y12,0,COUNTA(Y12:AV12)-1)=0),"면제",
"확인요청"))))))</f>
        <v>면제</v>
      </c>
      <c r="Y12" s="94" t="s">
        <v>7</v>
      </c>
      <c r="Z12" s="95" t="s">
        <v>7</v>
      </c>
      <c r="AA12" s="95" t="s">
        <v>7</v>
      </c>
      <c r="AB12" s="95" t="s">
        <v>7</v>
      </c>
      <c r="AC12" s="95" t="s">
        <v>7</v>
      </c>
      <c r="AD12" s="95" t="s">
        <v>7</v>
      </c>
      <c r="AE12" s="95" t="s">
        <v>7</v>
      </c>
      <c r="AF12" s="95" t="s">
        <v>7</v>
      </c>
      <c r="AG12" s="95" t="s">
        <v>7</v>
      </c>
      <c r="AH12" s="95" t="s">
        <v>7</v>
      </c>
      <c r="AI12" s="95" t="s">
        <v>7</v>
      </c>
      <c r="AJ12" s="96" t="s">
        <v>7</v>
      </c>
      <c r="AK12" s="97" t="s">
        <v>7</v>
      </c>
      <c r="AL12" s="95" t="s">
        <v>7</v>
      </c>
      <c r="AM12" s="90"/>
      <c r="AN12" s="90"/>
      <c r="AO12" s="90"/>
      <c r="AP12" s="90"/>
      <c r="AQ12" s="90"/>
      <c r="AR12" s="90"/>
      <c r="AS12" s="90"/>
      <c r="AT12" s="90"/>
      <c r="AU12" s="90"/>
      <c r="AV12" s="91"/>
      <c r="AX12" s="92"/>
    </row>
    <row r="13" customFormat="false" ht="15.65" hidden="false" customHeight="false" outlineLevel="0" collapsed="false">
      <c r="C13" s="72" t="n">
        <f aca="false">COUNTIFS($D$6:D13,"&lt;&gt;"&amp;"")</f>
        <v>8</v>
      </c>
      <c r="D13" s="73" t="s">
        <v>12</v>
      </c>
      <c r="E13" s="76" t="str">
        <f aca="false">
IF($D13="정상",INDEX(임대자산!$D$3:$R$3000,MATCH($F13,임대자산!$I$3:$I$3000,0),MATCH(E$3,임대자산!$D$3:$R$3,0)),
IF($D13="폐업",INDEX(폐업정보!$D$3:$R$3000,MATCH($F13,폐업정보!$I$3:$I$3000,0),MATCH(E$3,폐업정보!$D$3:$R$3,0)),
"Error"))</f>
        <v>경기</v>
      </c>
      <c r="F1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B0008</v>
      </c>
      <c r="G13" s="76" t="str">
        <f aca="false">F13&amp;RANDBETWEEN(0,10)</f>
        <v>B00082</v>
      </c>
      <c r="H13" s="75" t="n">
        <f aca="false">
IF($D13="정상",INDEX(임대자산!$D$3:$R$3000,MATCH($F13,임대자산!$I$3:$I$3000,0),MATCH(H$4,임대자산!$D$3:$R$3,0)),
IF($D13="폐업",INDEX(폐업정보!$D$3:$R$3000,MATCH($F13,폐업정보!$I$3:$I$3000,0),MATCH(H$4,폐업정보!$D$3:$R$3,0)),
"Error"))</f>
        <v>42794</v>
      </c>
      <c r="I13" s="75" t="str">
        <f aca="false">
IF($D13="정상",INDEX(임대자산!$D$3:$R$3000,MATCH($F13,임대자산!$I$3:$I$3000,0),MATCH(I$4,임대자산!$D$3:$R$3,0)),
IF($D13="폐업",INDEX(폐업정보!$D$3:$R$3000,MATCH($F13,폐업정보!$I$3:$I$3000,0),MATCH(I$4,폐업정보!$D$3:$R$3,0)),
"Error"))</f>
        <v>A0008</v>
      </c>
      <c r="J13" s="75" t="str">
        <f aca="false">
IF($D13="정상",INDEX(임대자산!$D$3:$R$3000,MATCH($F13,임대자산!$I$3:$I$3000,0),MATCH(J$4,임대자산!$D$3:$R$3,0)),
IF($D13="폐업",INDEX(폐업정보!$D$3:$R$3000,MATCH($F13,폐업정보!$I$3:$I$3000,0),MATCH(J$4,폐업정보!$D$3:$R$3,0)),
"Error"))</f>
        <v>6732100000</v>
      </c>
      <c r="K13" s="75" t="str">
        <f aca="false">
IF($D13="정상",INDEX(임대자산!$D$3:$R$3000,MATCH($F13,임대자산!$I$3:$I$3000,0),MATCH(K$4,임대자산!$D$3:$R$3,0)),
IF($D13="폐업",INDEX(폐업정보!$D$3:$R$3000,MATCH($F13,폐업정보!$I$3:$I$3000,0),MATCH(K$4,폐업정보!$D$3:$R$3,0)),
"Error"))</f>
        <v>C0008</v>
      </c>
      <c r="L13" s="75" t="str">
        <f aca="false">
IF($D13="정상",INDEX(임대자산!$D$3:$R$3000,MATCH($F13,임대자산!$I$3:$I$3000,0),MATCH(L$4,임대자산!$D$3:$R$3,0)),
IF($D13="폐업",INDEX(폐업정보!$D$3:$R$3000,MATCH($F13,폐업정보!$I$3:$I$3000,0),MATCH(L$4,폐업정보!$D$3:$R$3,0)),
"Error"))</f>
        <v>D0008</v>
      </c>
      <c r="M13" s="76" t="s">
        <v>96</v>
      </c>
      <c r="N13" s="77"/>
      <c r="O13" s="78" t="s">
        <v>97</v>
      </c>
      <c r="P13" s="79" t="n">
        <f aca="false">COUNTIFS(임대자산!$I:$I,가맹점정보!F13,임대자산!$N:$N,가맹점정보!P$4)</f>
        <v>1</v>
      </c>
      <c r="Q13" s="80" t="n">
        <f aca="false">COUNTIFS(임대자산!$I:$I,가맹점정보!F13,임대자산!$N:$N,가맹점정보!Q$4)</f>
        <v>0</v>
      </c>
      <c r="R13" s="81" t="n">
        <f aca="false">COUNTIFS(임대자산!$I:$I,가맹점정보!F13,임대자산!$N:$N,가맹점정보!R$4)</f>
        <v>0</v>
      </c>
      <c r="S13" s="82" t="n">
        <v>55000</v>
      </c>
      <c r="T13" s="83" t="n">
        <v>0</v>
      </c>
      <c r="U13" s="80" t="n">
        <f aca="false">SUM(S13:T13)</f>
        <v>55000</v>
      </c>
      <c r="V13" s="84" t="s">
        <v>12</v>
      </c>
      <c r="W13" s="80" t="e">
        <f aca="true">
IF(D13="폐업","폐업",
IF(V13="면제","면제",
IF(AND(V13="정상",COUNTIFS(OFFSET(Y13,0,COUNTA(Y13:AV13)-1,1,-4),"미납")&gt;=3),"장기미납",
IF(AND(V13="정상",OFFSET(Y13,0,COUNTA(Y13:AV13)-1)&gt;=U13),"정상",
IF(AND(V13="정상",OFFSET(Y13,0,COUNTA(Y13:AV13)-1)=0),"정상",
"계약서 미작성")))))</f>
        <v>#VALUE!</v>
      </c>
      <c r="X13" s="81" t="str">
        <f aca="true">
IF(D13="폐업","폐업",
IF(AND(V13="정상",OFFSET(Y13,0,COUNTA(Y13:AV13)-1)="미납"),"미납",
IF(AND(V13="정상",OFFSET(Y13,0,COUNTA(Y13:AV13)-1)=0),"납부 시작 전",
IF(AND(V13="정상",OFFSET(Y13,0,COUNTA(Y13:AV13)-1)&gt;=U13),"정상",
IF(AND(V13="면제",OFFSET(Y13,0,COUNTA(Y13:AV13)-1)="면제"),"면제",
IF(AND(V13="면제",OFFSET(Y13,0,COUNTA(Y13:AV13)-1)=0),"면제",
"확인요청"))))))</f>
        <v>정상</v>
      </c>
      <c r="Y13" s="93" t="n">
        <v>55000</v>
      </c>
      <c r="Z13" s="90" t="n">
        <v>55000</v>
      </c>
      <c r="AA13" s="90" t="n">
        <v>55000</v>
      </c>
      <c r="AB13" s="90" t="n">
        <v>55000</v>
      </c>
      <c r="AC13" s="90" t="n">
        <v>55000</v>
      </c>
      <c r="AD13" s="90" t="n">
        <v>55000</v>
      </c>
      <c r="AE13" s="90" t="n">
        <v>55000</v>
      </c>
      <c r="AF13" s="90" t="n">
        <v>55000</v>
      </c>
      <c r="AG13" s="90" t="n">
        <v>55000</v>
      </c>
      <c r="AH13" s="90" t="n">
        <v>55000</v>
      </c>
      <c r="AI13" s="90" t="n">
        <v>55000</v>
      </c>
      <c r="AJ13" s="91" t="n">
        <v>55000</v>
      </c>
      <c r="AK13" s="89" t="n">
        <v>55000</v>
      </c>
      <c r="AL13" s="90" t="n">
        <v>55000</v>
      </c>
      <c r="AM13" s="90"/>
      <c r="AN13" s="90"/>
      <c r="AO13" s="90"/>
      <c r="AP13" s="90"/>
      <c r="AQ13" s="90"/>
      <c r="AR13" s="90"/>
      <c r="AS13" s="90"/>
      <c r="AT13" s="90"/>
      <c r="AU13" s="90"/>
      <c r="AV13" s="91"/>
      <c r="AX13" s="92"/>
    </row>
    <row r="14" customFormat="false" ht="15.65" hidden="false" customHeight="false" outlineLevel="0" collapsed="false">
      <c r="C14" s="72" t="n">
        <f aca="false">COUNTIFS($D$6:D14,"&lt;&gt;"&amp;"")</f>
        <v>9</v>
      </c>
      <c r="D14" s="73" t="s">
        <v>12</v>
      </c>
      <c r="E14" s="76" t="str">
        <f aca="false">
IF($D14="정상",INDEX(임대자산!$D$3:$R$3000,MATCH($F14,임대자산!$I$3:$I$3000,0),MATCH(E$3,임대자산!$D$3:$R$3,0)),
IF($D14="폐업",INDEX(폐업정보!$D$3:$R$3000,MATCH($F14,폐업정보!$I$3:$I$3000,0),MATCH(E$3,폐업정보!$D$3:$R$3,0)),
"Error"))</f>
        <v>경기</v>
      </c>
      <c r="F1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B0009</v>
      </c>
      <c r="G14" s="76" t="str">
        <f aca="false">F14&amp;RANDBETWEEN(0,10)</f>
        <v>B00090</v>
      </c>
      <c r="H14" s="75" t="n">
        <f aca="false">
IF($D14="정상",INDEX(임대자산!$D$3:$R$3000,MATCH($F14,임대자산!$I$3:$I$3000,0),MATCH(H$4,임대자산!$D$3:$R$3,0)),
IF($D14="폐업",INDEX(폐업정보!$D$3:$R$3000,MATCH($F14,폐업정보!$I$3:$I$3000,0),MATCH(H$4,폐업정보!$D$3:$R$3,0)),
"Error"))</f>
        <v>42843</v>
      </c>
      <c r="I14" s="75" t="str">
        <f aca="false">
IF($D14="정상",INDEX(임대자산!$D$3:$R$3000,MATCH($F14,임대자산!$I$3:$I$3000,0),MATCH(I$4,임대자산!$D$3:$R$3,0)),
IF($D14="폐업",INDEX(폐업정보!$D$3:$R$3000,MATCH($F14,폐업정보!$I$3:$I$3000,0),MATCH(I$4,폐업정보!$D$3:$R$3,0)),
"Error"))</f>
        <v>A0009</v>
      </c>
      <c r="J14" s="75" t="str">
        <f aca="false">
IF($D14="정상",INDEX(임대자산!$D$3:$R$3000,MATCH($F14,임대자산!$I$3:$I$3000,0),MATCH(J$4,임대자산!$D$3:$R$3,0)),
IF($D14="폐업",INDEX(폐업정보!$D$3:$R$3000,MATCH($F14,폐업정보!$I$3:$I$3000,0),MATCH(J$4,폐업정보!$D$3:$R$3,0)),
"Error"))</f>
        <v>9240700000</v>
      </c>
      <c r="K14" s="75" t="str">
        <f aca="false">
IF($D14="정상",INDEX(임대자산!$D$3:$R$3000,MATCH($F14,임대자산!$I$3:$I$3000,0),MATCH(K$4,임대자산!$D$3:$R$3,0)),
IF($D14="폐업",INDEX(폐업정보!$D$3:$R$3000,MATCH($F14,폐업정보!$I$3:$I$3000,0),MATCH(K$4,폐업정보!$D$3:$R$3,0)),
"Error"))</f>
        <v>C0009</v>
      </c>
      <c r="L14" s="75" t="str">
        <f aca="false">
IF($D14="정상",INDEX(임대자산!$D$3:$R$3000,MATCH($F14,임대자산!$I$3:$I$3000,0),MATCH(L$4,임대자산!$D$3:$R$3,0)),
IF($D14="폐업",INDEX(폐업정보!$D$3:$R$3000,MATCH($F14,폐업정보!$I$3:$I$3000,0),MATCH(L$4,폐업정보!$D$3:$R$3,0)),
"Error"))</f>
        <v>D0009</v>
      </c>
      <c r="M14" s="76" t="s">
        <v>96</v>
      </c>
      <c r="N14" s="77"/>
      <c r="O14" s="78" t="s">
        <v>97</v>
      </c>
      <c r="P14" s="79" t="n">
        <f aca="false">COUNTIFS(임대자산!$I:$I,가맹점정보!F14,임대자산!$N:$N,가맹점정보!P$4)</f>
        <v>1</v>
      </c>
      <c r="Q14" s="80" t="n">
        <f aca="false">COUNTIFS(임대자산!$I:$I,가맹점정보!F14,임대자산!$N:$N,가맹점정보!Q$4)</f>
        <v>0</v>
      </c>
      <c r="R14" s="81" t="n">
        <f aca="false">COUNTIFS(임대자산!$I:$I,가맹점정보!F14,임대자산!$N:$N,가맹점정보!R$4)</f>
        <v>0</v>
      </c>
      <c r="S14" s="82" t="n">
        <v>55000</v>
      </c>
      <c r="T14" s="83" t="n">
        <v>0</v>
      </c>
      <c r="U14" s="80" t="n">
        <f aca="false">SUM(S14:T14)</f>
        <v>55000</v>
      </c>
      <c r="V14" s="84" t="s">
        <v>12</v>
      </c>
      <c r="W14" s="80" t="e">
        <f aca="true">
IF(D14="폐업","폐업",
IF(V14="면제","면제",
IF(AND(V14="정상",COUNTIFS(OFFSET(Y14,0,COUNTA(Y14:AV14)-1,1,-4),"미납")&gt;=3),"장기미납",
IF(AND(V14="정상",OFFSET(Y14,0,COUNTA(Y14:AV14)-1)&gt;=U14),"정상",
IF(AND(V14="정상",OFFSET(Y14,0,COUNTA(Y14:AV14)-1)=0),"정상",
"계약서 미작성")))))</f>
        <v>#VALUE!</v>
      </c>
      <c r="X14" s="81" t="str">
        <f aca="true">
IF(D14="폐업","폐업",
IF(AND(V14="정상",OFFSET(Y14,0,COUNTA(Y14:AV14)-1)="미납"),"미납",
IF(AND(V14="정상",OFFSET(Y14,0,COUNTA(Y14:AV14)-1)=0),"납부 시작 전",
IF(AND(V14="정상",OFFSET(Y14,0,COUNTA(Y14:AV14)-1)&gt;=U14),"정상",
IF(AND(V14="면제",OFFSET(Y14,0,COUNTA(Y14:AV14)-1)="면제"),"면제",
IF(AND(V14="면제",OFFSET(Y14,0,COUNTA(Y14:AV14)-1)=0),"면제",
"확인요청"))))))</f>
        <v>미납</v>
      </c>
      <c r="Y14" s="93" t="n">
        <v>55000</v>
      </c>
      <c r="Z14" s="90" t="n">
        <v>55000</v>
      </c>
      <c r="AA14" s="90" t="n">
        <v>55000</v>
      </c>
      <c r="AB14" s="90" t="n">
        <v>55000</v>
      </c>
      <c r="AC14" s="90" t="n">
        <v>55000</v>
      </c>
      <c r="AD14" s="90" t="n">
        <v>55000</v>
      </c>
      <c r="AE14" s="90" t="n">
        <v>55000</v>
      </c>
      <c r="AF14" s="90" t="n">
        <v>55000</v>
      </c>
      <c r="AG14" s="90" t="s">
        <v>98</v>
      </c>
      <c r="AH14" s="90" t="n">
        <v>55000</v>
      </c>
      <c r="AI14" s="90" t="n">
        <v>110000</v>
      </c>
      <c r="AJ14" s="96" t="s">
        <v>62</v>
      </c>
      <c r="AK14" s="97" t="s">
        <v>62</v>
      </c>
      <c r="AL14" s="95" t="s">
        <v>62</v>
      </c>
      <c r="AM14" s="90"/>
      <c r="AN14" s="90"/>
      <c r="AO14" s="90"/>
      <c r="AP14" s="90"/>
      <c r="AQ14" s="90"/>
      <c r="AR14" s="90"/>
      <c r="AS14" s="90"/>
      <c r="AT14" s="90"/>
      <c r="AU14" s="90"/>
      <c r="AV14" s="91"/>
      <c r="AX14" s="92"/>
    </row>
    <row r="15" customFormat="false" ht="15.65" hidden="false" customHeight="false" outlineLevel="0" collapsed="false">
      <c r="C15" s="72" t="n">
        <f aca="false">COUNTIFS($D$6:D15,"&lt;&gt;"&amp;"")</f>
        <v>10</v>
      </c>
      <c r="D15" s="73" t="s">
        <v>12</v>
      </c>
      <c r="E15" s="76" t="str">
        <f aca="false">
IF($D15="정상",INDEX(임대자산!$D$3:$R$3000,MATCH($F15,임대자산!$I$3:$I$3000,0),MATCH(E$3,임대자산!$D$3:$R$3,0)),
IF($D15="폐업",INDEX(폐업정보!$D$3:$R$3000,MATCH($F15,폐업정보!$I$3:$I$3000,0),MATCH(E$3,폐업정보!$D$3:$R$3,0)),
"Error"))</f>
        <v>경상</v>
      </c>
      <c r="F1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B0010</v>
      </c>
      <c r="G15" s="76" t="str">
        <f aca="false">F15&amp;RANDBETWEEN(0,10)</f>
        <v>B00107</v>
      </c>
      <c r="H15" s="75" t="n">
        <f aca="false">
IF($D15="정상",INDEX(임대자산!$D$3:$R$3000,MATCH($F15,임대자산!$I$3:$I$3000,0),MATCH(H$4,임대자산!$D$3:$R$3,0)),
IF($D15="폐업",INDEX(폐업정보!$D$3:$R$3000,MATCH($F15,폐업정보!$I$3:$I$3000,0),MATCH(H$4,폐업정보!$D$3:$R$3,0)),
"Error"))</f>
        <v>44256</v>
      </c>
      <c r="I15" s="75" t="str">
        <f aca="false">
IF($D15="정상",INDEX(임대자산!$D$3:$R$3000,MATCH($F15,임대자산!$I$3:$I$3000,0),MATCH(I$4,임대자산!$D$3:$R$3,0)),
IF($D15="폐업",INDEX(폐업정보!$D$3:$R$3000,MATCH($F15,폐업정보!$I$3:$I$3000,0),MATCH(I$4,폐업정보!$D$3:$R$3,0)),
"Error"))</f>
        <v>A0010</v>
      </c>
      <c r="J15" s="75" t="str">
        <f aca="false">
IF($D15="정상",INDEX(임대자산!$D$3:$R$3000,MATCH($F15,임대자산!$I$3:$I$3000,0),MATCH(J$4,임대자산!$D$3:$R$3,0)),
IF($D15="폐업",INDEX(폐업정보!$D$3:$R$3000,MATCH($F15,폐업정보!$I$3:$I$3000,0),MATCH(J$4,폐업정보!$D$3:$R$3,0)),
"Error"))</f>
        <v>4449100000</v>
      </c>
      <c r="K15" s="75" t="str">
        <f aca="false">
IF($D15="정상",INDEX(임대자산!$D$3:$R$3000,MATCH($F15,임대자산!$I$3:$I$3000,0),MATCH(K$4,임대자산!$D$3:$R$3,0)),
IF($D15="폐업",INDEX(폐업정보!$D$3:$R$3000,MATCH($F15,폐업정보!$I$3:$I$3000,0),MATCH(K$4,폐업정보!$D$3:$R$3,0)),
"Error"))</f>
        <v>C0010</v>
      </c>
      <c r="L15" s="75" t="str">
        <f aca="false">
IF($D15="정상",INDEX(임대자산!$D$3:$R$3000,MATCH($F15,임대자산!$I$3:$I$3000,0),MATCH(L$4,임대자산!$D$3:$R$3,0)),
IF($D15="폐업",INDEX(폐업정보!$D$3:$R$3000,MATCH($F15,폐업정보!$I$3:$I$3000,0),MATCH(L$4,폐업정보!$D$3:$R$3,0)),
"Error"))</f>
        <v>D0010</v>
      </c>
      <c r="M15" s="76" t="s">
        <v>96</v>
      </c>
      <c r="N15" s="77"/>
      <c r="O15" s="78" t="s">
        <v>97</v>
      </c>
      <c r="P15" s="79" t="n">
        <f aca="false">COUNTIFS(임대자산!$I:$I,가맹점정보!F15,임대자산!$N:$N,가맹점정보!P$4)</f>
        <v>1</v>
      </c>
      <c r="Q15" s="80" t="n">
        <f aca="false">COUNTIFS(임대자산!$I:$I,가맹점정보!F15,임대자산!$N:$N,가맹점정보!Q$4)</f>
        <v>0</v>
      </c>
      <c r="R15" s="81" t="n">
        <f aca="false">COUNTIFS(임대자산!$I:$I,가맹점정보!F15,임대자산!$N:$N,가맹점정보!R$4)</f>
        <v>0</v>
      </c>
      <c r="S15" s="82" t="n">
        <v>110000</v>
      </c>
      <c r="T15" s="83" t="n">
        <v>0</v>
      </c>
      <c r="U15" s="80" t="n">
        <f aca="false">SUM(S15:T15)</f>
        <v>110000</v>
      </c>
      <c r="V15" s="84" t="s">
        <v>12</v>
      </c>
      <c r="W15" s="80" t="e">
        <f aca="true">
IF(D15="폐업","폐업",
IF(V15="면제","면제",
IF(AND(V15="정상",COUNTIFS(OFFSET(Y15,0,COUNTA(Y15:AV15)-1,1,-4),"미납")&gt;=3),"장기미납",
IF(AND(V15="정상",OFFSET(Y15,0,COUNTA(Y15:AV15)-1)&gt;=U15),"정상",
IF(AND(V15="정상",OFFSET(Y15,0,COUNTA(Y15:AV15)-1)=0),"정상",
"계약서 미작성")))))</f>
        <v>#VALUE!</v>
      </c>
      <c r="X15" s="81" t="str">
        <f aca="true">
IF(D15="폐업","폐업",
IF(AND(V15="정상",OFFSET(Y15,0,COUNTA(Y15:AV15)-1)="미납"),"미납",
IF(AND(V15="정상",OFFSET(Y15,0,COUNTA(Y15:AV15)-1)=0),"납부 시작 전",
IF(AND(V15="정상",OFFSET(Y15,0,COUNTA(Y15:AV15)-1)&gt;=U15),"정상",
IF(AND(V15="면제",OFFSET(Y15,0,COUNTA(Y15:AV15)-1)="면제"),"면제",
IF(AND(V15="면제",OFFSET(Y15,0,COUNTA(Y15:AV15)-1)=0),"면제",
"확인요청"))))))</f>
        <v>정상</v>
      </c>
      <c r="Y15" s="93" t="n">
        <v>110000</v>
      </c>
      <c r="Z15" s="90" t="n">
        <v>110000</v>
      </c>
      <c r="AA15" s="90" t="n">
        <v>110000</v>
      </c>
      <c r="AB15" s="90" t="n">
        <v>110000</v>
      </c>
      <c r="AC15" s="90" t="n">
        <v>110000</v>
      </c>
      <c r="AD15" s="90" t="n">
        <v>110000</v>
      </c>
      <c r="AE15" s="90" t="n">
        <v>110000</v>
      </c>
      <c r="AF15" s="90" t="n">
        <v>110000</v>
      </c>
      <c r="AG15" s="90" t="n">
        <v>110000</v>
      </c>
      <c r="AH15" s="90" t="n">
        <v>110000</v>
      </c>
      <c r="AI15" s="90" t="n">
        <v>110000</v>
      </c>
      <c r="AJ15" s="91" t="n">
        <v>110000</v>
      </c>
      <c r="AK15" s="89" t="n">
        <v>110000</v>
      </c>
      <c r="AL15" s="90" t="n">
        <v>110000</v>
      </c>
      <c r="AM15" s="90"/>
      <c r="AN15" s="90"/>
      <c r="AO15" s="90"/>
      <c r="AP15" s="90"/>
      <c r="AQ15" s="90"/>
      <c r="AR15" s="90"/>
      <c r="AS15" s="90"/>
      <c r="AT15" s="90"/>
      <c r="AU15" s="90"/>
      <c r="AV15" s="91"/>
      <c r="AX15" s="92"/>
    </row>
    <row r="16" customFormat="false" ht="15.65" hidden="false" customHeight="false" outlineLevel="0" collapsed="false">
      <c r="C16" s="72" t="n">
        <f aca="false">COUNTIFS($D$6:D16,"&lt;&gt;"&amp;"")</f>
        <v>11</v>
      </c>
      <c r="D16" s="73" t="s">
        <v>12</v>
      </c>
      <c r="E16" s="76" t="str">
        <f aca="false">
IF($D16="정상",INDEX(임대자산!$D$3:$R$3000,MATCH($F16,임대자산!$I$3:$I$3000,0),MATCH(E$3,임대자산!$D$3:$R$3,0)),
IF($D16="폐업",INDEX(폐업정보!$D$3:$R$3000,MATCH($F16,폐업정보!$I$3:$I$3000,0),MATCH(E$3,폐업정보!$D$3:$R$3,0)),
"Error"))</f>
        <v>전라</v>
      </c>
      <c r="F1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B0011</v>
      </c>
      <c r="G16" s="76" t="str">
        <f aca="false">F16&amp;RANDBETWEEN(0,10)</f>
        <v>B00113</v>
      </c>
      <c r="H16" s="75" t="n">
        <f aca="false">
IF($D16="정상",INDEX(임대자산!$D$3:$R$3000,MATCH($F16,임대자산!$I$3:$I$3000,0),MATCH(H$4,임대자산!$D$3:$R$3,0)),
IF($D16="폐업",INDEX(폐업정보!$D$3:$R$3000,MATCH($F16,폐업정보!$I$3:$I$3000,0),MATCH(H$4,폐업정보!$D$3:$R$3,0)),
"Error"))</f>
        <v>43235</v>
      </c>
      <c r="I16" s="75" t="str">
        <f aca="false">
IF($D16="정상",INDEX(임대자산!$D$3:$R$3000,MATCH($F16,임대자산!$I$3:$I$3000,0),MATCH(I$4,임대자산!$D$3:$R$3,0)),
IF($D16="폐업",INDEX(폐업정보!$D$3:$R$3000,MATCH($F16,폐업정보!$I$3:$I$3000,0),MATCH(I$4,폐업정보!$D$3:$R$3,0)),
"Error"))</f>
        <v>A0011</v>
      </c>
      <c r="J16" s="75" t="str">
        <f aca="false">
IF($D16="정상",INDEX(임대자산!$D$3:$R$3000,MATCH($F16,임대자산!$I$3:$I$3000,0),MATCH(J$4,임대자산!$D$3:$R$3,0)),
IF($D16="폐업",INDEX(폐업정보!$D$3:$R$3000,MATCH($F16,폐업정보!$I$3:$I$3000,0),MATCH(J$4,폐업정보!$D$3:$R$3,0)),
"Error"))</f>
        <v>6714700000</v>
      </c>
      <c r="K16" s="75" t="str">
        <f aca="false">
IF($D16="정상",INDEX(임대자산!$D$3:$R$3000,MATCH($F16,임대자산!$I$3:$I$3000,0),MATCH(K$4,임대자산!$D$3:$R$3,0)),
IF($D16="폐업",INDEX(폐업정보!$D$3:$R$3000,MATCH($F16,폐업정보!$I$3:$I$3000,0),MATCH(K$4,폐업정보!$D$3:$R$3,0)),
"Error"))</f>
        <v>C0011</v>
      </c>
      <c r="L16" s="75" t="str">
        <f aca="false">
IF($D16="정상",INDEX(임대자산!$D$3:$R$3000,MATCH($F16,임대자산!$I$3:$I$3000,0),MATCH(L$4,임대자산!$D$3:$R$3,0)),
IF($D16="폐업",INDEX(폐업정보!$D$3:$R$3000,MATCH($F16,폐업정보!$I$3:$I$3000,0),MATCH(L$4,폐업정보!$D$3:$R$3,0)),
"Error"))</f>
        <v>D0011</v>
      </c>
      <c r="M16" s="76" t="s">
        <v>96</v>
      </c>
      <c r="N16" s="77"/>
      <c r="O16" s="78" t="s">
        <v>97</v>
      </c>
      <c r="P16" s="79" t="n">
        <f aca="false">COUNTIFS(임대자산!$I:$I,가맹점정보!F16,임대자산!$N:$N,가맹점정보!P$4)</f>
        <v>1</v>
      </c>
      <c r="Q16" s="80" t="n">
        <f aca="false">COUNTIFS(임대자산!$I:$I,가맹점정보!F16,임대자산!$N:$N,가맹점정보!Q$4)</f>
        <v>0</v>
      </c>
      <c r="R16" s="81" t="n">
        <f aca="false">COUNTIFS(임대자산!$I:$I,가맹점정보!F16,임대자산!$N:$N,가맹점정보!R$4)</f>
        <v>0</v>
      </c>
      <c r="S16" s="82" t="n">
        <v>55000</v>
      </c>
      <c r="T16" s="83" t="n">
        <v>0</v>
      </c>
      <c r="U16" s="80" t="n">
        <f aca="false">SUM(S16:T16)</f>
        <v>55000</v>
      </c>
      <c r="V16" s="84" t="s">
        <v>7</v>
      </c>
      <c r="W16" s="80" t="str">
        <f aca="true">
IF(D16="폐업","폐업",
IF(V16="면제","면제",
IF(AND(V16="정상",COUNTIFS(OFFSET(Y16,0,COUNTA(Y16:AV16)-1,1,-4),"미납")&gt;=3),"장기미납",
IF(AND(V16="정상",OFFSET(Y16,0,COUNTA(Y16:AV16)-1)&gt;=U16),"정상",
IF(AND(V16="정상",OFFSET(Y16,0,COUNTA(Y16:AV16)-1)=0),"정상",
"계약서 미작성")))))</f>
        <v>면제</v>
      </c>
      <c r="X16" s="81" t="str">
        <f aca="true">
IF(D16="폐업","폐업",
IF(AND(V16="정상",OFFSET(Y16,0,COUNTA(Y16:AV16)-1)="미납"),"미납",
IF(AND(V16="정상",OFFSET(Y16,0,COUNTA(Y16:AV16)-1)=0),"납부 시작 전",
IF(AND(V16="정상",OFFSET(Y16,0,COUNTA(Y16:AV16)-1)&gt;=U16),"정상",
IF(AND(V16="면제",OFFSET(Y16,0,COUNTA(Y16:AV16)-1)="면제"),"면제",
IF(AND(V16="면제",OFFSET(Y16,0,COUNTA(Y16:AV16)-1)=0),"면제",
"확인요청"))))))</f>
        <v>면제</v>
      </c>
      <c r="Y16" s="94" t="s">
        <v>7</v>
      </c>
      <c r="Z16" s="95" t="s">
        <v>7</v>
      </c>
      <c r="AA16" s="95" t="s">
        <v>7</v>
      </c>
      <c r="AB16" s="95" t="s">
        <v>7</v>
      </c>
      <c r="AC16" s="95" t="s">
        <v>7</v>
      </c>
      <c r="AD16" s="95" t="s">
        <v>7</v>
      </c>
      <c r="AE16" s="95" t="s">
        <v>7</v>
      </c>
      <c r="AF16" s="95" t="s">
        <v>7</v>
      </c>
      <c r="AG16" s="95" t="s">
        <v>7</v>
      </c>
      <c r="AH16" s="95" t="s">
        <v>7</v>
      </c>
      <c r="AI16" s="95" t="s">
        <v>7</v>
      </c>
      <c r="AJ16" s="96" t="s">
        <v>7</v>
      </c>
      <c r="AK16" s="97" t="s">
        <v>7</v>
      </c>
      <c r="AL16" s="95" t="s">
        <v>7</v>
      </c>
      <c r="AM16" s="90"/>
      <c r="AN16" s="90"/>
      <c r="AO16" s="90"/>
      <c r="AP16" s="90"/>
      <c r="AQ16" s="90"/>
      <c r="AR16" s="90"/>
      <c r="AS16" s="90"/>
      <c r="AT16" s="90"/>
      <c r="AU16" s="90"/>
      <c r="AV16" s="91"/>
      <c r="AX16" s="92"/>
    </row>
    <row r="17" customFormat="false" ht="15.65" hidden="false" customHeight="false" outlineLevel="0" collapsed="false">
      <c r="C17" s="72" t="n">
        <f aca="false">COUNTIFS($D$6:D17,"&lt;&gt;"&amp;"")</f>
        <v>12</v>
      </c>
      <c r="D17" s="73" t="s">
        <v>12</v>
      </c>
      <c r="E17" s="76" t="str">
        <f aca="false">
IF($D17="정상",INDEX(임대자산!$D$3:$R$3000,MATCH($F17,임대자산!$I$3:$I$3000,0),MATCH(E$3,임대자산!$D$3:$R$3,0)),
IF($D17="폐업",INDEX(폐업정보!$D$3:$R$3000,MATCH($F17,폐업정보!$I$3:$I$3000,0),MATCH(E$3,폐업정보!$D$3:$R$3,0)),
"Error"))</f>
        <v>경기</v>
      </c>
      <c r="F1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B0012</v>
      </c>
      <c r="G17" s="76" t="str">
        <f aca="false">F17&amp;RANDBETWEEN(0,10)</f>
        <v>B00129</v>
      </c>
      <c r="H17" s="75" t="n">
        <f aca="false">
IF($D17="정상",INDEX(임대자산!$D$3:$R$3000,MATCH($F17,임대자산!$I$3:$I$3000,0),MATCH(H$4,임대자산!$D$3:$R$3,0)),
IF($D17="폐업",INDEX(폐업정보!$D$3:$R$3000,MATCH($F17,폐업정보!$I$3:$I$3000,0),MATCH(H$4,폐업정보!$D$3:$R$3,0)),
"Error"))</f>
        <v>42867</v>
      </c>
      <c r="I17" s="75" t="str">
        <f aca="false">
IF($D17="정상",INDEX(임대자산!$D$3:$R$3000,MATCH($F17,임대자산!$I$3:$I$3000,0),MATCH(I$4,임대자산!$D$3:$R$3,0)),
IF($D17="폐업",INDEX(폐업정보!$D$3:$R$3000,MATCH($F17,폐업정보!$I$3:$I$3000,0),MATCH(I$4,폐업정보!$D$3:$R$3,0)),
"Error"))</f>
        <v>A0012</v>
      </c>
      <c r="J17" s="75" t="str">
        <f aca="false">
IF($D17="정상",INDEX(임대자산!$D$3:$R$3000,MATCH($F17,임대자산!$I$3:$I$3000,0),MATCH(J$4,임대자산!$D$3:$R$3,0)),
IF($D17="폐업",INDEX(폐업정보!$D$3:$R$3000,MATCH($F17,폐업정보!$I$3:$I$3000,0),MATCH(J$4,폐업정보!$D$3:$R$3,0)),
"Error"))</f>
        <v>9729200000</v>
      </c>
      <c r="K17" s="75" t="str">
        <f aca="false">
IF($D17="정상",INDEX(임대자산!$D$3:$R$3000,MATCH($F17,임대자산!$I$3:$I$3000,0),MATCH(K$4,임대자산!$D$3:$R$3,0)),
IF($D17="폐업",INDEX(폐업정보!$D$3:$R$3000,MATCH($F17,폐업정보!$I$3:$I$3000,0),MATCH(K$4,폐업정보!$D$3:$R$3,0)),
"Error"))</f>
        <v>C0012</v>
      </c>
      <c r="L17" s="75" t="str">
        <f aca="false">
IF($D17="정상",INDEX(임대자산!$D$3:$R$3000,MATCH($F17,임대자산!$I$3:$I$3000,0),MATCH(L$4,임대자산!$D$3:$R$3,0)),
IF($D17="폐업",INDEX(폐업정보!$D$3:$R$3000,MATCH($F17,폐업정보!$I$3:$I$3000,0),MATCH(L$4,폐업정보!$D$3:$R$3,0)),
"Error"))</f>
        <v>D0012</v>
      </c>
      <c r="M17" s="76" t="s">
        <v>96</v>
      </c>
      <c r="N17" s="77"/>
      <c r="O17" s="78" t="s">
        <v>97</v>
      </c>
      <c r="P17" s="79" t="n">
        <f aca="false">COUNTIFS(임대자산!$I:$I,가맹점정보!F17,임대자산!$N:$N,가맹점정보!P$4)</f>
        <v>1</v>
      </c>
      <c r="Q17" s="80" t="n">
        <f aca="false">COUNTIFS(임대자산!$I:$I,가맹점정보!F17,임대자산!$N:$N,가맹점정보!Q$4)</f>
        <v>0</v>
      </c>
      <c r="R17" s="81" t="n">
        <f aca="false">COUNTIFS(임대자산!$I:$I,가맹점정보!F17,임대자산!$N:$N,가맹점정보!R$4)</f>
        <v>0</v>
      </c>
      <c r="S17" s="82" t="n">
        <v>55000</v>
      </c>
      <c r="T17" s="83" t="n">
        <v>0</v>
      </c>
      <c r="U17" s="80" t="n">
        <f aca="false">SUM(S17:T17)</f>
        <v>55000</v>
      </c>
      <c r="V17" s="84" t="s">
        <v>12</v>
      </c>
      <c r="W17" s="80" t="e">
        <f aca="true">
IF(D17="폐업","폐업",
IF(V17="면제","면제",
IF(AND(V17="정상",COUNTIFS(OFFSET(Y17,0,COUNTA(Y17:AV17)-1,1,-4),"미납")&gt;=3),"장기미납",
IF(AND(V17="정상",OFFSET(Y17,0,COUNTA(Y17:AV17)-1)&gt;=U17),"정상",
IF(AND(V17="정상",OFFSET(Y17,0,COUNTA(Y17:AV17)-1)=0),"정상",
"계약서 미작성")))))</f>
        <v>#VALUE!</v>
      </c>
      <c r="X17" s="81" t="str">
        <f aca="true">
IF(D17="폐업","폐업",
IF(AND(V17="정상",OFFSET(Y17,0,COUNTA(Y17:AV17)-1)="미납"),"미납",
IF(AND(V17="정상",OFFSET(Y17,0,COUNTA(Y17:AV17)-1)=0),"납부 시작 전",
IF(AND(V17="정상",OFFSET(Y17,0,COUNTA(Y17:AV17)-1)&gt;=U17),"정상",
IF(AND(V17="면제",OFFSET(Y17,0,COUNTA(Y17:AV17)-1)="면제"),"면제",
IF(AND(V17="면제",OFFSET(Y17,0,COUNTA(Y17:AV17)-1)=0),"면제",
"확인요청"))))))</f>
        <v>정상</v>
      </c>
      <c r="Y17" s="93" t="n">
        <v>55000</v>
      </c>
      <c r="Z17" s="90" t="n">
        <v>55000</v>
      </c>
      <c r="AA17" s="90" t="n">
        <v>55000</v>
      </c>
      <c r="AB17" s="90" t="n">
        <v>55000</v>
      </c>
      <c r="AC17" s="90" t="n">
        <v>55000</v>
      </c>
      <c r="AD17" s="90" t="n">
        <v>55000</v>
      </c>
      <c r="AE17" s="90" t="n">
        <v>55000</v>
      </c>
      <c r="AF17" s="90" t="n">
        <v>55000</v>
      </c>
      <c r="AG17" s="90" t="n">
        <v>55000</v>
      </c>
      <c r="AH17" s="90" t="n">
        <v>55000</v>
      </c>
      <c r="AI17" s="90" t="n">
        <v>55000</v>
      </c>
      <c r="AJ17" s="91" t="n">
        <v>55000</v>
      </c>
      <c r="AK17" s="89" t="n">
        <v>55000</v>
      </c>
      <c r="AL17" s="90" t="n">
        <v>55000</v>
      </c>
      <c r="AM17" s="90"/>
      <c r="AN17" s="90"/>
      <c r="AO17" s="90"/>
      <c r="AP17" s="90"/>
      <c r="AQ17" s="90"/>
      <c r="AR17" s="90"/>
      <c r="AS17" s="90"/>
      <c r="AT17" s="90"/>
      <c r="AU17" s="90"/>
      <c r="AV17" s="91"/>
      <c r="AX17" s="92"/>
    </row>
    <row r="18" customFormat="false" ht="15.65" hidden="false" customHeight="false" outlineLevel="0" collapsed="false">
      <c r="C18" s="72" t="n">
        <f aca="false">COUNTIFS($D$6:D18,"&lt;&gt;"&amp;"")</f>
        <v>13</v>
      </c>
      <c r="D18" s="73" t="s">
        <v>12</v>
      </c>
      <c r="E18" s="76" t="str">
        <f aca="false">
IF($D18="정상",INDEX(임대자산!$D$3:$R$3000,MATCH($F18,임대자산!$I$3:$I$3000,0),MATCH(E$3,임대자산!$D$3:$R$3,0)),
IF($D18="폐업",INDEX(폐업정보!$D$3:$R$3000,MATCH($F18,폐업정보!$I$3:$I$3000,0),MATCH(E$3,폐업정보!$D$3:$R$3,0)),
"Error"))</f>
        <v>서울</v>
      </c>
      <c r="F1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B0013</v>
      </c>
      <c r="G18" s="76" t="str">
        <f aca="false">F18&amp;RANDBETWEEN(0,10)</f>
        <v>B00138</v>
      </c>
      <c r="H18" s="75" t="n">
        <f aca="false">
IF($D18="정상",INDEX(임대자산!$D$3:$R$3000,MATCH($F18,임대자산!$I$3:$I$3000,0),MATCH(H$4,임대자산!$D$3:$R$3,0)),
IF($D18="폐업",INDEX(폐업정보!$D$3:$R$3000,MATCH($F18,폐업정보!$I$3:$I$3000,0),MATCH(H$4,폐업정보!$D$3:$R$3,0)),
"Error"))</f>
        <v>42790</v>
      </c>
      <c r="I18" s="75" t="str">
        <f aca="false">
IF($D18="정상",INDEX(임대자산!$D$3:$R$3000,MATCH($F18,임대자산!$I$3:$I$3000,0),MATCH(I$4,임대자산!$D$3:$R$3,0)),
IF($D18="폐업",INDEX(폐업정보!$D$3:$R$3000,MATCH($F18,폐업정보!$I$3:$I$3000,0),MATCH(I$4,폐업정보!$D$3:$R$3,0)),
"Error"))</f>
        <v>A0013</v>
      </c>
      <c r="J18" s="75" t="str">
        <f aca="false">
IF($D18="정상",INDEX(임대자산!$D$3:$R$3000,MATCH($F18,임대자산!$I$3:$I$3000,0),MATCH(J$4,임대자산!$D$3:$R$3,0)),
IF($D18="폐업",INDEX(폐업정보!$D$3:$R$3000,MATCH($F18,폐업정보!$I$3:$I$3000,0),MATCH(J$4,폐업정보!$D$3:$R$3,0)),
"Error"))</f>
        <v>4395700000</v>
      </c>
      <c r="K18" s="75" t="str">
        <f aca="false">
IF($D18="정상",INDEX(임대자산!$D$3:$R$3000,MATCH($F18,임대자산!$I$3:$I$3000,0),MATCH(K$4,임대자산!$D$3:$R$3,0)),
IF($D18="폐업",INDEX(폐업정보!$D$3:$R$3000,MATCH($F18,폐업정보!$I$3:$I$3000,0),MATCH(K$4,폐업정보!$D$3:$R$3,0)),
"Error"))</f>
        <v>C0013</v>
      </c>
      <c r="L18" s="75" t="str">
        <f aca="false">
IF($D18="정상",INDEX(임대자산!$D$3:$R$3000,MATCH($F18,임대자산!$I$3:$I$3000,0),MATCH(L$4,임대자산!$D$3:$R$3,0)),
IF($D18="폐업",INDEX(폐업정보!$D$3:$R$3000,MATCH($F18,폐업정보!$I$3:$I$3000,0),MATCH(L$4,폐업정보!$D$3:$R$3,0)),
"Error"))</f>
        <v>D0013</v>
      </c>
      <c r="M18" s="76" t="s">
        <v>96</v>
      </c>
      <c r="N18" s="77"/>
      <c r="O18" s="78" t="s">
        <v>97</v>
      </c>
      <c r="P18" s="79" t="n">
        <f aca="false">COUNTIFS(임대자산!$I:$I,가맹점정보!F18,임대자산!$N:$N,가맹점정보!P$4)</f>
        <v>1</v>
      </c>
      <c r="Q18" s="80" t="n">
        <f aca="false">COUNTIFS(임대자산!$I:$I,가맹점정보!F18,임대자산!$N:$N,가맹점정보!Q$4)</f>
        <v>0</v>
      </c>
      <c r="R18" s="81" t="n">
        <f aca="false">COUNTIFS(임대자산!$I:$I,가맹점정보!F18,임대자산!$N:$N,가맹점정보!R$4)</f>
        <v>0</v>
      </c>
      <c r="S18" s="82" t="n">
        <v>55000</v>
      </c>
      <c r="T18" s="83" t="n">
        <v>0</v>
      </c>
      <c r="U18" s="80" t="n">
        <f aca="false">SUM(S18:T18)</f>
        <v>55000</v>
      </c>
      <c r="V18" s="84" t="s">
        <v>7</v>
      </c>
      <c r="W18" s="80" t="str">
        <f aca="true">
IF(D18="폐업","폐업",
IF(V18="면제","면제",
IF(AND(V18="정상",COUNTIFS(OFFSET(Y18,0,COUNTA(Y18:AV18)-1,1,-4),"미납")&gt;=3),"장기미납",
IF(AND(V18="정상",OFFSET(Y18,0,COUNTA(Y18:AV18)-1)&gt;=U18),"정상",
IF(AND(V18="정상",OFFSET(Y18,0,COUNTA(Y18:AV18)-1)=0),"정상",
"계약서 미작성")))))</f>
        <v>면제</v>
      </c>
      <c r="X18" s="81" t="str">
        <f aca="true">
IF(D18="폐업","폐업",
IF(AND(V18="정상",OFFSET(Y18,0,COUNTA(Y18:AV18)-1)="미납"),"미납",
IF(AND(V18="정상",OFFSET(Y18,0,COUNTA(Y18:AV18)-1)=0),"납부 시작 전",
IF(AND(V18="정상",OFFSET(Y18,0,COUNTA(Y18:AV18)-1)&gt;=U18),"정상",
IF(AND(V18="면제",OFFSET(Y18,0,COUNTA(Y18:AV18)-1)="면제"),"면제",
IF(AND(V18="면제",OFFSET(Y18,0,COUNTA(Y18:AV18)-1)=0),"면제",
"확인요청"))))))</f>
        <v>면제</v>
      </c>
      <c r="Y18" s="94" t="s">
        <v>7</v>
      </c>
      <c r="Z18" s="95" t="s">
        <v>7</v>
      </c>
      <c r="AA18" s="95" t="s">
        <v>7</v>
      </c>
      <c r="AB18" s="95" t="s">
        <v>7</v>
      </c>
      <c r="AC18" s="95" t="s">
        <v>7</v>
      </c>
      <c r="AD18" s="95" t="s">
        <v>7</v>
      </c>
      <c r="AE18" s="95" t="s">
        <v>7</v>
      </c>
      <c r="AF18" s="95" t="s">
        <v>7</v>
      </c>
      <c r="AG18" s="95" t="s">
        <v>7</v>
      </c>
      <c r="AH18" s="95" t="s">
        <v>7</v>
      </c>
      <c r="AI18" s="95" t="s">
        <v>7</v>
      </c>
      <c r="AJ18" s="96" t="s">
        <v>7</v>
      </c>
      <c r="AK18" s="97" t="s">
        <v>7</v>
      </c>
      <c r="AL18" s="95" t="s">
        <v>7</v>
      </c>
      <c r="AM18" s="90"/>
      <c r="AN18" s="90"/>
      <c r="AO18" s="90"/>
      <c r="AP18" s="90"/>
      <c r="AQ18" s="90"/>
      <c r="AR18" s="90"/>
      <c r="AS18" s="90"/>
      <c r="AT18" s="90"/>
      <c r="AU18" s="90"/>
      <c r="AV18" s="91"/>
      <c r="AX18" s="92"/>
    </row>
    <row r="19" customFormat="false" ht="15.65" hidden="false" customHeight="false" outlineLevel="0" collapsed="false">
      <c r="C19" s="72" t="n">
        <f aca="false">COUNTIFS($D$6:D19,"&lt;&gt;"&amp;"")</f>
        <v>14</v>
      </c>
      <c r="D19" s="73" t="s">
        <v>5</v>
      </c>
      <c r="E19" s="76" t="str">
        <f aca="false">
IF($D19="정상",INDEX(임대자산!$D$3:$R$3000,MATCH($F19,임대자산!$I$3:$I$3000,0),MATCH(E$3,임대자산!$D$3:$R$3,0)),
IF($D19="폐업",INDEX(폐업정보!$D$3:$R$3000,MATCH($F19,폐업정보!$I$3:$I$3000,0),MATCH(E$3,폐업정보!$D$3:$R$3,0)),
"Error"))</f>
        <v>서울</v>
      </c>
      <c r="F1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B0014</v>
      </c>
      <c r="G19" s="76" t="str">
        <f aca="false">F19&amp;RANDBETWEEN(0,10)</f>
        <v>B001410</v>
      </c>
      <c r="H19" s="75" t="n">
        <f aca="false">
IF($D19="정상",INDEX(임대자산!$D$3:$R$3000,MATCH($F19,임대자산!$I$3:$I$3000,0),MATCH(H$4,임대자산!$D$3:$R$3,0)),
IF($D19="폐업",INDEX(폐업정보!$D$3:$R$3000,MATCH($F19,폐업정보!$I$3:$I$3000,0),MATCH(H$4,폐업정보!$D$3:$R$3,0)),
"Error"))</f>
        <v>42790</v>
      </c>
      <c r="I19" s="75" t="str">
        <f aca="false">
IF($D19="정상",INDEX(임대자산!$D$3:$R$3000,MATCH($F19,임대자산!$I$3:$I$3000,0),MATCH(I$4,임대자산!$D$3:$R$3,0)),
IF($D19="폐업",INDEX(폐업정보!$D$3:$R$3000,MATCH($F19,폐업정보!$I$3:$I$3000,0),MATCH(I$4,폐업정보!$D$3:$R$3,0)),
"Error"))</f>
        <v>A0014</v>
      </c>
      <c r="J19" s="75" t="str">
        <f aca="false">
IF($D19="정상",INDEX(임대자산!$D$3:$R$3000,MATCH($F19,임대자산!$I$3:$I$3000,0),MATCH(J$4,임대자산!$D$3:$R$3,0)),
IF($D19="폐업",INDEX(폐업정보!$D$3:$R$3000,MATCH($F19,폐업정보!$I$3:$I$3000,0),MATCH(J$4,폐업정보!$D$3:$R$3,0)),
"Error"))</f>
        <v>5937900000</v>
      </c>
      <c r="K19" s="75" t="str">
        <f aca="false">
IF($D19="정상",INDEX(임대자산!$D$3:$R$3000,MATCH($F19,임대자산!$I$3:$I$3000,0),MATCH(K$4,임대자산!$D$3:$R$3,0)),
IF($D19="폐업",INDEX(폐업정보!$D$3:$R$3000,MATCH($F19,폐업정보!$I$3:$I$3000,0),MATCH(K$4,폐업정보!$D$3:$R$3,0)),
"Error"))</f>
        <v>C0014</v>
      </c>
      <c r="L19" s="75" t="str">
        <f aca="false">
IF($D19="정상",INDEX(임대자산!$D$3:$R$3000,MATCH($F19,임대자산!$I$3:$I$3000,0),MATCH(L$4,임대자산!$D$3:$R$3,0)),
IF($D19="폐업",INDEX(폐업정보!$D$3:$R$3000,MATCH($F19,폐업정보!$I$3:$I$3000,0),MATCH(L$4,폐업정보!$D$3:$R$3,0)),
"Error"))</f>
        <v>D0014</v>
      </c>
      <c r="M19" s="76" t="s">
        <v>96</v>
      </c>
      <c r="N19" s="77"/>
      <c r="O19" s="78" t="s">
        <v>97</v>
      </c>
      <c r="P19" s="79" t="n">
        <f aca="false">COUNTIFS(임대자산!$I:$I,가맹점정보!F19,임대자산!$N:$N,가맹점정보!P$4)</f>
        <v>0</v>
      </c>
      <c r="Q19" s="80" t="n">
        <f aca="false">COUNTIFS(임대자산!$I:$I,가맹점정보!F19,임대자산!$N:$N,가맹점정보!Q$4)</f>
        <v>0</v>
      </c>
      <c r="R19" s="81" t="n">
        <f aca="false">COUNTIFS(임대자산!$I:$I,가맹점정보!F19,임대자산!$N:$N,가맹점정보!R$4)</f>
        <v>0</v>
      </c>
      <c r="S19" s="82" t="n">
        <v>55000</v>
      </c>
      <c r="T19" s="83" t="n">
        <v>0</v>
      </c>
      <c r="U19" s="80" t="n">
        <f aca="false">SUM(S19:T19)</f>
        <v>55000</v>
      </c>
      <c r="V19" s="84" t="s">
        <v>12</v>
      </c>
      <c r="W19" s="80" t="str">
        <f aca="true">
IF(D19="폐업","폐업",
IF(V19="면제","면제",
IF(AND(V19="정상",COUNTIFS(OFFSET(Y19,0,COUNTA(Y19:AV19)-1,1,-4),"미납")&gt;=3),"장기미납",
IF(AND(V19="정상",OFFSET(Y19,0,COUNTA(Y19:AV19)-1)&gt;=U19),"정상",
IF(AND(V19="정상",OFFSET(Y19,0,COUNTA(Y19:AV19)-1)=0),"정상",
"계약서 미작성")))))</f>
        <v>폐업</v>
      </c>
      <c r="X19" s="81" t="str">
        <f aca="true">
IF(D19="폐업","폐업",
IF(AND(V19="정상",OFFSET(Y19,0,COUNTA(Y19:AV19)-1)="미납"),"미납",
IF(AND(V19="정상",OFFSET(Y19,0,COUNTA(Y19:AV19)-1)=0),"납부 시작 전",
IF(AND(V19="정상",OFFSET(Y19,0,COUNTA(Y19:AV19)-1)&gt;=U19),"정상",
IF(AND(V19="면제",OFFSET(Y19,0,COUNTA(Y19:AV19)-1)="면제"),"면제",
IF(AND(V19="면제",OFFSET(Y19,0,COUNTA(Y19:AV19)-1)=0),"면제",
"확인요청"))))))</f>
        <v>폐업</v>
      </c>
      <c r="Y19" s="93" t="n">
        <v>55000</v>
      </c>
      <c r="Z19" s="90" t="n">
        <v>55000</v>
      </c>
      <c r="AA19" s="90" t="n">
        <v>55000</v>
      </c>
      <c r="AB19" s="90" t="n">
        <v>55000</v>
      </c>
      <c r="AC19" s="90" t="n">
        <v>55000</v>
      </c>
      <c r="AD19" s="90" t="n">
        <v>55000</v>
      </c>
      <c r="AE19" s="90" t="n">
        <v>55000</v>
      </c>
      <c r="AF19" s="90" t="n">
        <v>55000</v>
      </c>
      <c r="AG19" s="90" t="n">
        <v>55000</v>
      </c>
      <c r="AH19" s="90" t="n">
        <v>55000</v>
      </c>
      <c r="AI19" s="90" t="n">
        <v>55000</v>
      </c>
      <c r="AJ19" s="91" t="n">
        <v>55000</v>
      </c>
      <c r="AK19" s="89" t="n">
        <v>55000</v>
      </c>
      <c r="AL19" s="90" t="n">
        <v>55000</v>
      </c>
      <c r="AM19" s="90"/>
      <c r="AN19" s="90"/>
      <c r="AO19" s="90"/>
      <c r="AP19" s="90"/>
      <c r="AQ19" s="90"/>
      <c r="AR19" s="90"/>
      <c r="AS19" s="90"/>
      <c r="AT19" s="90"/>
      <c r="AU19" s="90"/>
      <c r="AV19" s="91"/>
      <c r="AX19" s="92"/>
    </row>
    <row r="20" customFormat="false" ht="15.65" hidden="false" customHeight="false" outlineLevel="0" collapsed="false">
      <c r="C20" s="72" t="n">
        <f aca="false">COUNTIFS($D$6:D20,"&lt;&gt;"&amp;"")</f>
        <v>15</v>
      </c>
      <c r="D20" s="73" t="s">
        <v>12</v>
      </c>
      <c r="E20" s="76" t="str">
        <f aca="false">
IF($D20="정상",INDEX(임대자산!$D$3:$R$3000,MATCH($F20,임대자산!$I$3:$I$3000,0),MATCH(E$3,임대자산!$D$3:$R$3,0)),
IF($D20="폐업",INDEX(폐업정보!$D$3:$R$3000,MATCH($F20,폐업정보!$I$3:$I$3000,0),MATCH(E$3,폐업정보!$D$3:$R$3,0)),
"Error"))</f>
        <v>경기</v>
      </c>
      <c r="F2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B0015</v>
      </c>
      <c r="G20" s="76" t="str">
        <f aca="false">F20&amp;RANDBETWEEN(0,10)</f>
        <v>B00157</v>
      </c>
      <c r="H20" s="75" t="n">
        <f aca="false">
IF($D20="정상",INDEX(임대자산!$D$3:$R$3000,MATCH($F20,임대자산!$I$3:$I$3000,0),MATCH(H$4,임대자산!$D$3:$R$3,0)),
IF($D20="폐업",INDEX(폐업정보!$D$3:$R$3000,MATCH($F20,폐업정보!$I$3:$I$3000,0),MATCH(H$4,폐업정보!$D$3:$R$3,0)),
"Error"))</f>
        <v>43181</v>
      </c>
      <c r="I20" s="75" t="str">
        <f aca="false">
IF($D20="정상",INDEX(임대자산!$D$3:$R$3000,MATCH($F20,임대자산!$I$3:$I$3000,0),MATCH(I$4,임대자산!$D$3:$R$3,0)),
IF($D20="폐업",INDEX(폐업정보!$D$3:$R$3000,MATCH($F20,폐업정보!$I$3:$I$3000,0),MATCH(I$4,폐업정보!$D$3:$R$3,0)),
"Error"))</f>
        <v>A0015</v>
      </c>
      <c r="J20" s="75" t="str">
        <f aca="false">
IF($D20="정상",INDEX(임대자산!$D$3:$R$3000,MATCH($F20,임대자산!$I$3:$I$3000,0),MATCH(J$4,임대자산!$D$3:$R$3,0)),
IF($D20="폐업",INDEX(폐업정보!$D$3:$R$3000,MATCH($F20,폐업정보!$I$3:$I$3000,0),MATCH(J$4,폐업정보!$D$3:$R$3,0)),
"Error"))</f>
        <v>1784000000</v>
      </c>
      <c r="K20" s="75" t="str">
        <f aca="false">
IF($D20="정상",INDEX(임대자산!$D$3:$R$3000,MATCH($F20,임대자산!$I$3:$I$3000,0),MATCH(K$4,임대자산!$D$3:$R$3,0)),
IF($D20="폐업",INDEX(폐업정보!$D$3:$R$3000,MATCH($F20,폐업정보!$I$3:$I$3000,0),MATCH(K$4,폐업정보!$D$3:$R$3,0)),
"Error"))</f>
        <v>C0015</v>
      </c>
      <c r="L20" s="75" t="str">
        <f aca="false">
IF($D20="정상",INDEX(임대자산!$D$3:$R$3000,MATCH($F20,임대자산!$I$3:$I$3000,0),MATCH(L$4,임대자산!$D$3:$R$3,0)),
IF($D20="폐업",INDEX(폐업정보!$D$3:$R$3000,MATCH($F20,폐업정보!$I$3:$I$3000,0),MATCH(L$4,폐업정보!$D$3:$R$3,0)),
"Error"))</f>
        <v>D0015</v>
      </c>
      <c r="M20" s="76" t="s">
        <v>96</v>
      </c>
      <c r="N20" s="77"/>
      <c r="O20" s="78" t="s">
        <v>97</v>
      </c>
      <c r="P20" s="79" t="n">
        <f aca="false">COUNTIFS(임대자산!$I:$I,가맹점정보!F20,임대자산!$N:$N,가맹점정보!P$4)</f>
        <v>1</v>
      </c>
      <c r="Q20" s="80" t="n">
        <f aca="false">COUNTIFS(임대자산!$I:$I,가맹점정보!F20,임대자산!$N:$N,가맹점정보!Q$4)</f>
        <v>0</v>
      </c>
      <c r="R20" s="81" t="n">
        <f aca="false">COUNTIFS(임대자산!$I:$I,가맹점정보!F20,임대자산!$N:$N,가맹점정보!R$4)</f>
        <v>0</v>
      </c>
      <c r="S20" s="82" t="n">
        <v>88000</v>
      </c>
      <c r="T20" s="83" t="n">
        <v>0</v>
      </c>
      <c r="U20" s="80" t="n">
        <f aca="false">SUM(S20:T20)</f>
        <v>88000</v>
      </c>
      <c r="V20" s="84" t="s">
        <v>7</v>
      </c>
      <c r="W20" s="80" t="str">
        <f aca="true">
IF(D20="폐업","폐업",
IF(V20="면제","면제",
IF(AND(V20="정상",COUNTIFS(OFFSET(Y20,0,COUNTA(Y20:AV20)-1,1,-4),"미납")&gt;=3),"장기미납",
IF(AND(V20="정상",OFFSET(Y20,0,COUNTA(Y20:AV20)-1)&gt;=U20),"정상",
IF(AND(V20="정상",OFFSET(Y20,0,COUNTA(Y20:AV20)-1)=0),"정상",
"계약서 미작성")))))</f>
        <v>면제</v>
      </c>
      <c r="X20" s="81" t="str">
        <f aca="true">
IF(D20="폐업","폐업",
IF(AND(V20="정상",OFFSET(Y20,0,COUNTA(Y20:AV20)-1)="미납"),"미납",
IF(AND(V20="정상",OFFSET(Y20,0,COUNTA(Y20:AV20)-1)=0),"납부 시작 전",
IF(AND(V20="정상",OFFSET(Y20,0,COUNTA(Y20:AV20)-1)&gt;=U20),"정상",
IF(AND(V20="면제",OFFSET(Y20,0,COUNTA(Y20:AV20)-1)="면제"),"면제",
IF(AND(V20="면제",OFFSET(Y20,0,COUNTA(Y20:AV20)-1)=0),"면제",
"확인요청"))))))</f>
        <v>면제</v>
      </c>
      <c r="Y20" s="94" t="s">
        <v>7</v>
      </c>
      <c r="Z20" s="95" t="s">
        <v>7</v>
      </c>
      <c r="AA20" s="95" t="s">
        <v>7</v>
      </c>
      <c r="AB20" s="95" t="s">
        <v>7</v>
      </c>
      <c r="AC20" s="95" t="s">
        <v>7</v>
      </c>
      <c r="AD20" s="95" t="s">
        <v>7</v>
      </c>
      <c r="AE20" s="95" t="s">
        <v>7</v>
      </c>
      <c r="AF20" s="95" t="s">
        <v>7</v>
      </c>
      <c r="AG20" s="95" t="s">
        <v>7</v>
      </c>
      <c r="AH20" s="95" t="s">
        <v>7</v>
      </c>
      <c r="AI20" s="95" t="s">
        <v>7</v>
      </c>
      <c r="AJ20" s="96" t="s">
        <v>7</v>
      </c>
      <c r="AK20" s="97" t="s">
        <v>7</v>
      </c>
      <c r="AL20" s="95" t="s">
        <v>7</v>
      </c>
      <c r="AM20" s="90"/>
      <c r="AN20" s="90"/>
      <c r="AO20" s="90"/>
      <c r="AP20" s="90"/>
      <c r="AQ20" s="90"/>
      <c r="AR20" s="90"/>
      <c r="AS20" s="90"/>
      <c r="AT20" s="90"/>
      <c r="AU20" s="90"/>
      <c r="AV20" s="91"/>
      <c r="AX20" s="92"/>
    </row>
    <row r="21" customFormat="false" ht="15.65" hidden="false" customHeight="false" outlineLevel="0" collapsed="false">
      <c r="C21" s="72" t="n">
        <f aca="false">COUNTIFS($D$6:D21,"&lt;&gt;"&amp;"")</f>
        <v>16</v>
      </c>
      <c r="D21" s="73" t="s">
        <v>12</v>
      </c>
      <c r="E21" s="76" t="str">
        <f aca="false">
IF($D21="정상",INDEX(임대자산!$D$3:$R$3000,MATCH($F21,임대자산!$I$3:$I$3000,0),MATCH(E$3,임대자산!$D$3:$R$3,0)),
IF($D21="폐업",INDEX(폐업정보!$D$3:$R$3000,MATCH($F21,폐업정보!$I$3:$I$3000,0),MATCH(E$3,폐업정보!$D$3:$R$3,0)),
"Error"))</f>
        <v>전라</v>
      </c>
      <c r="F2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B0016</v>
      </c>
      <c r="G21" s="76" t="str">
        <f aca="false">F21&amp;RANDBETWEEN(0,10)</f>
        <v>B00160</v>
      </c>
      <c r="H21" s="75" t="n">
        <f aca="false">
IF($D21="정상",INDEX(임대자산!$D$3:$R$3000,MATCH($F21,임대자산!$I$3:$I$3000,0),MATCH(H$4,임대자산!$D$3:$R$3,0)),
IF($D21="폐업",INDEX(폐업정보!$D$3:$R$3000,MATCH($F21,폐업정보!$I$3:$I$3000,0),MATCH(H$4,폐업정보!$D$3:$R$3,0)),
"Error"))</f>
        <v>43791</v>
      </c>
      <c r="I21" s="75" t="str">
        <f aca="false">
IF($D21="정상",INDEX(임대자산!$D$3:$R$3000,MATCH($F21,임대자산!$I$3:$I$3000,0),MATCH(I$4,임대자산!$D$3:$R$3,0)),
IF($D21="폐업",INDEX(폐업정보!$D$3:$R$3000,MATCH($F21,폐업정보!$I$3:$I$3000,0),MATCH(I$4,폐업정보!$D$3:$R$3,0)),
"Error"))</f>
        <v>A0016</v>
      </c>
      <c r="J21" s="75" t="str">
        <f aca="false">
IF($D21="정상",INDEX(임대자산!$D$3:$R$3000,MATCH($F21,임대자산!$I$3:$I$3000,0),MATCH(J$4,임대자산!$D$3:$R$3,0)),
IF($D21="폐업",INDEX(폐업정보!$D$3:$R$3000,MATCH($F21,폐업정보!$I$3:$I$3000,0),MATCH(J$4,폐업정보!$D$3:$R$3,0)),
"Error"))</f>
        <v>3420100000</v>
      </c>
      <c r="K21" s="75" t="str">
        <f aca="false">
IF($D21="정상",INDEX(임대자산!$D$3:$R$3000,MATCH($F21,임대자산!$I$3:$I$3000,0),MATCH(K$4,임대자산!$D$3:$R$3,0)),
IF($D21="폐업",INDEX(폐업정보!$D$3:$R$3000,MATCH($F21,폐업정보!$I$3:$I$3000,0),MATCH(K$4,폐업정보!$D$3:$R$3,0)),
"Error"))</f>
        <v>C0016</v>
      </c>
      <c r="L21" s="75" t="str">
        <f aca="false">
IF($D21="정상",INDEX(임대자산!$D$3:$R$3000,MATCH($F21,임대자산!$I$3:$I$3000,0),MATCH(L$4,임대자산!$D$3:$R$3,0)),
IF($D21="폐업",INDEX(폐업정보!$D$3:$R$3000,MATCH($F21,폐업정보!$I$3:$I$3000,0),MATCH(L$4,폐업정보!$D$3:$R$3,0)),
"Error"))</f>
        <v>D0016</v>
      </c>
      <c r="M21" s="76" t="s">
        <v>96</v>
      </c>
      <c r="N21" s="77"/>
      <c r="O21" s="78" t="s">
        <v>97</v>
      </c>
      <c r="P21" s="79" t="n">
        <f aca="false">COUNTIFS(임대자산!$I:$I,가맹점정보!F21,임대자산!$N:$N,가맹점정보!P$4)</f>
        <v>1</v>
      </c>
      <c r="Q21" s="80" t="n">
        <f aca="false">COUNTIFS(임대자산!$I:$I,가맹점정보!F21,임대자산!$N:$N,가맹점정보!Q$4)</f>
        <v>0</v>
      </c>
      <c r="R21" s="81" t="n">
        <f aca="false">COUNTIFS(임대자산!$I:$I,가맹점정보!F21,임대자산!$N:$N,가맹점정보!R$4)</f>
        <v>0</v>
      </c>
      <c r="S21" s="82" t="n">
        <v>55000</v>
      </c>
      <c r="T21" s="83" t="n">
        <v>0</v>
      </c>
      <c r="U21" s="80" t="n">
        <f aca="false">SUM(S21:T21)</f>
        <v>55000</v>
      </c>
      <c r="V21" s="84" t="s">
        <v>12</v>
      </c>
      <c r="W21" s="80" t="e">
        <f aca="true">
IF(D21="폐업","폐업",
IF(V21="면제","면제",
IF(AND(V21="정상",COUNTIFS(OFFSET(Y21,0,COUNTA(Y21:AV21)-1,1,-4),"미납")&gt;=3),"장기미납",
IF(AND(V21="정상",OFFSET(Y21,0,COUNTA(Y21:AV21)-1)&gt;=U21),"정상",
IF(AND(V21="정상",OFFSET(Y21,0,COUNTA(Y21:AV21)-1)=0),"정상",
"계약서 미작성")))))</f>
        <v>#VALUE!</v>
      </c>
      <c r="X21" s="81" t="str">
        <f aca="true">
IF(D21="폐업","폐업",
IF(AND(V21="정상",OFFSET(Y21,0,COUNTA(Y21:AV21)-1)="미납"),"미납",
IF(AND(V21="정상",OFFSET(Y21,0,COUNTA(Y21:AV21)-1)=0),"납부 시작 전",
IF(AND(V21="정상",OFFSET(Y21,0,COUNTA(Y21:AV21)-1)&gt;=U21),"정상",
IF(AND(V21="면제",OFFSET(Y21,0,COUNTA(Y21:AV21)-1)="면제"),"면제",
IF(AND(V21="면제",OFFSET(Y21,0,COUNTA(Y21:AV21)-1)=0),"면제",
"확인요청"))))))</f>
        <v>정상</v>
      </c>
      <c r="Y21" s="94" t="s">
        <v>7</v>
      </c>
      <c r="Z21" s="95" t="s">
        <v>7</v>
      </c>
      <c r="AA21" s="95" t="s">
        <v>7</v>
      </c>
      <c r="AB21" s="95" t="s">
        <v>7</v>
      </c>
      <c r="AC21" s="95" t="s">
        <v>7</v>
      </c>
      <c r="AD21" s="95" t="s">
        <v>7</v>
      </c>
      <c r="AE21" s="95" t="s">
        <v>7</v>
      </c>
      <c r="AF21" s="90" t="n">
        <v>55000</v>
      </c>
      <c r="AG21" s="90" t="n">
        <v>55000</v>
      </c>
      <c r="AH21" s="90" t="n">
        <v>55000</v>
      </c>
      <c r="AI21" s="90" t="n">
        <v>55000</v>
      </c>
      <c r="AJ21" s="91" t="n">
        <v>55000</v>
      </c>
      <c r="AK21" s="89" t="n">
        <v>55000</v>
      </c>
      <c r="AL21" s="90" t="n">
        <v>55000</v>
      </c>
      <c r="AM21" s="90"/>
      <c r="AN21" s="90"/>
      <c r="AO21" s="90"/>
      <c r="AP21" s="90"/>
      <c r="AQ21" s="90"/>
      <c r="AR21" s="90"/>
      <c r="AS21" s="90"/>
      <c r="AT21" s="90"/>
      <c r="AU21" s="90"/>
      <c r="AV21" s="91"/>
      <c r="AX21" s="92"/>
    </row>
    <row r="22" customFormat="false" ht="15.65" hidden="false" customHeight="false" outlineLevel="0" collapsed="false">
      <c r="C22" s="72" t="n">
        <f aca="false">COUNTIFS($D$6:D22,"&lt;&gt;"&amp;"")</f>
        <v>17</v>
      </c>
      <c r="D22" s="73" t="s">
        <v>12</v>
      </c>
      <c r="E22" s="76" t="str">
        <f aca="false">
IF($D22="정상",INDEX(임대자산!$D$3:$R$3000,MATCH($F22,임대자산!$I$3:$I$3000,0),MATCH(E$3,임대자산!$D$3:$R$3,0)),
IF($D22="폐업",INDEX(폐업정보!$D$3:$R$3000,MATCH($F22,폐업정보!$I$3:$I$3000,0),MATCH(E$3,폐업정보!$D$3:$R$3,0)),
"Error"))</f>
        <v>전라</v>
      </c>
      <c r="F2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B0017</v>
      </c>
      <c r="G22" s="76" t="str">
        <f aca="false">F22&amp;RANDBETWEEN(0,10)</f>
        <v>B00175</v>
      </c>
      <c r="H22" s="75" t="n">
        <f aca="false">
IF($D22="정상",INDEX(임대자산!$D$3:$R$3000,MATCH($F22,임대자산!$I$3:$I$3000,0),MATCH(H$4,임대자산!$D$3:$R$3,0)),
IF($D22="폐업",INDEX(폐업정보!$D$3:$R$3000,MATCH($F22,폐업정보!$I$3:$I$3000,0),MATCH(H$4,폐업정보!$D$3:$R$3,0)),
"Error"))</f>
        <v>43984</v>
      </c>
      <c r="I22" s="75" t="str">
        <f aca="false">
IF($D22="정상",INDEX(임대자산!$D$3:$R$3000,MATCH($F22,임대자산!$I$3:$I$3000,0),MATCH(I$4,임대자산!$D$3:$R$3,0)),
IF($D22="폐업",INDEX(폐업정보!$D$3:$R$3000,MATCH($F22,폐업정보!$I$3:$I$3000,0),MATCH(I$4,폐업정보!$D$3:$R$3,0)),
"Error"))</f>
        <v>A0017</v>
      </c>
      <c r="J22" s="75" t="str">
        <f aca="false">
IF($D22="정상",INDEX(임대자산!$D$3:$R$3000,MATCH($F22,임대자산!$I$3:$I$3000,0),MATCH(J$4,임대자산!$D$3:$R$3,0)),
IF($D22="폐업",INDEX(폐업정보!$D$3:$R$3000,MATCH($F22,폐업정보!$I$3:$I$3000,0),MATCH(J$4,폐업정보!$D$3:$R$3,0)),
"Error"))</f>
        <v>2897600000</v>
      </c>
      <c r="K22" s="75" t="str">
        <f aca="false">
IF($D22="정상",INDEX(임대자산!$D$3:$R$3000,MATCH($F22,임대자산!$I$3:$I$3000,0),MATCH(K$4,임대자산!$D$3:$R$3,0)),
IF($D22="폐업",INDEX(폐업정보!$D$3:$R$3000,MATCH($F22,폐업정보!$I$3:$I$3000,0),MATCH(K$4,폐업정보!$D$3:$R$3,0)),
"Error"))</f>
        <v>C0017</v>
      </c>
      <c r="L22" s="75" t="str">
        <f aca="false">
IF($D22="정상",INDEX(임대자산!$D$3:$R$3000,MATCH($F22,임대자산!$I$3:$I$3000,0),MATCH(L$4,임대자산!$D$3:$R$3,0)),
IF($D22="폐업",INDEX(폐업정보!$D$3:$R$3000,MATCH($F22,폐업정보!$I$3:$I$3000,0),MATCH(L$4,폐업정보!$D$3:$R$3,0)),
"Error"))</f>
        <v>D0017</v>
      </c>
      <c r="M22" s="76" t="s">
        <v>96</v>
      </c>
      <c r="N22" s="77"/>
      <c r="O22" s="78" t="s">
        <v>97</v>
      </c>
      <c r="P22" s="79" t="n">
        <f aca="false">COUNTIFS(임대자산!$I:$I,가맹점정보!F22,임대자산!$N:$N,가맹점정보!P$4)</f>
        <v>1</v>
      </c>
      <c r="Q22" s="80" t="n">
        <f aca="false">COUNTIFS(임대자산!$I:$I,가맹점정보!F22,임대자산!$N:$N,가맹점정보!Q$4)</f>
        <v>0</v>
      </c>
      <c r="R22" s="81" t="n">
        <f aca="false">COUNTIFS(임대자산!$I:$I,가맹점정보!F22,임대자산!$N:$N,가맹점정보!R$4)</f>
        <v>0</v>
      </c>
      <c r="S22" s="82" t="n">
        <v>88000</v>
      </c>
      <c r="T22" s="83" t="n">
        <v>0</v>
      </c>
      <c r="U22" s="80" t="n">
        <f aca="false">SUM(S22:T22)</f>
        <v>88000</v>
      </c>
      <c r="V22" s="84" t="s">
        <v>7</v>
      </c>
      <c r="W22" s="80" t="str">
        <f aca="true">
IF(D22="폐업","폐업",
IF(V22="면제","면제",
IF(AND(V22="정상",COUNTIFS(OFFSET(Y22,0,COUNTA(Y22:AV22)-1,1,-4),"미납")&gt;=3),"장기미납",
IF(AND(V22="정상",OFFSET(Y22,0,COUNTA(Y22:AV22)-1)&gt;=U22),"정상",
IF(AND(V22="정상",OFFSET(Y22,0,COUNTA(Y22:AV22)-1)=0),"정상",
"계약서 미작성")))))</f>
        <v>면제</v>
      </c>
      <c r="X22" s="81" t="str">
        <f aca="true">
IF(D22="폐업","폐업",
IF(AND(V22="정상",OFFSET(Y22,0,COUNTA(Y22:AV22)-1)="미납"),"미납",
IF(AND(V22="정상",OFFSET(Y22,0,COUNTA(Y22:AV22)-1)=0),"납부 시작 전",
IF(AND(V22="정상",OFFSET(Y22,0,COUNTA(Y22:AV22)-1)&gt;=U22),"정상",
IF(AND(V22="면제",OFFSET(Y22,0,COUNTA(Y22:AV22)-1)="면제"),"면제",
IF(AND(V22="면제",OFFSET(Y22,0,COUNTA(Y22:AV22)-1)=0),"면제",
"확인요청"))))))</f>
        <v>면제</v>
      </c>
      <c r="Y22" s="94" t="s">
        <v>7</v>
      </c>
      <c r="Z22" s="95" t="s">
        <v>7</v>
      </c>
      <c r="AA22" s="95" t="s">
        <v>7</v>
      </c>
      <c r="AB22" s="95" t="s">
        <v>7</v>
      </c>
      <c r="AC22" s="95" t="s">
        <v>7</v>
      </c>
      <c r="AD22" s="95" t="s">
        <v>7</v>
      </c>
      <c r="AE22" s="95" t="s">
        <v>7</v>
      </c>
      <c r="AF22" s="95" t="s">
        <v>7</v>
      </c>
      <c r="AG22" s="95" t="s">
        <v>7</v>
      </c>
      <c r="AH22" s="95" t="s">
        <v>7</v>
      </c>
      <c r="AI22" s="95" t="s">
        <v>7</v>
      </c>
      <c r="AJ22" s="96" t="s">
        <v>7</v>
      </c>
      <c r="AK22" s="97" t="s">
        <v>7</v>
      </c>
      <c r="AL22" s="95" t="s">
        <v>7</v>
      </c>
      <c r="AM22" s="90"/>
      <c r="AN22" s="90"/>
      <c r="AO22" s="90"/>
      <c r="AP22" s="90"/>
      <c r="AQ22" s="90"/>
      <c r="AR22" s="90"/>
      <c r="AS22" s="90"/>
      <c r="AT22" s="90"/>
      <c r="AU22" s="90"/>
      <c r="AV22" s="91"/>
      <c r="AX22" s="92"/>
    </row>
    <row r="23" customFormat="false" ht="15.65" hidden="false" customHeight="false" outlineLevel="0" collapsed="false">
      <c r="C23" s="72" t="n">
        <f aca="false">COUNTIFS($D$6:D23,"&lt;&gt;"&amp;"")</f>
        <v>18</v>
      </c>
      <c r="D23" s="73" t="s">
        <v>12</v>
      </c>
      <c r="E23" s="76" t="str">
        <f aca="false">
IF($D23="정상",INDEX(임대자산!$D$3:$R$3000,MATCH($F23,임대자산!$I$3:$I$3000,0),MATCH(E$3,임대자산!$D$3:$R$3,0)),
IF($D23="폐업",INDEX(폐업정보!$D$3:$R$3000,MATCH($F23,폐업정보!$I$3:$I$3000,0),MATCH(E$3,폐업정보!$D$3:$R$3,0)),
"Error"))</f>
        <v>전라</v>
      </c>
      <c r="F2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B0018</v>
      </c>
      <c r="G23" s="76" t="str">
        <f aca="false">F23&amp;RANDBETWEEN(0,10)</f>
        <v>B00182</v>
      </c>
      <c r="H23" s="75" t="n">
        <f aca="false">
IF($D23="정상",INDEX(임대자산!$D$3:$R$3000,MATCH($F23,임대자산!$I$3:$I$3000,0),MATCH(H$4,임대자산!$D$3:$R$3,0)),
IF($D23="폐업",INDEX(폐업정보!$D$3:$R$3000,MATCH($F23,폐업정보!$I$3:$I$3000,0),MATCH(H$4,폐업정보!$D$3:$R$3,0)),
"Error"))</f>
        <v>43843</v>
      </c>
      <c r="I23" s="75" t="str">
        <f aca="false">
IF($D23="정상",INDEX(임대자산!$D$3:$R$3000,MATCH($F23,임대자산!$I$3:$I$3000,0),MATCH(I$4,임대자산!$D$3:$R$3,0)),
IF($D23="폐업",INDEX(폐업정보!$D$3:$R$3000,MATCH($F23,폐업정보!$I$3:$I$3000,0),MATCH(I$4,폐업정보!$D$3:$R$3,0)),
"Error"))</f>
        <v>A0018</v>
      </c>
      <c r="J23" s="75" t="str">
        <f aca="false">
IF($D23="정상",INDEX(임대자산!$D$3:$R$3000,MATCH($F23,임대자산!$I$3:$I$3000,0),MATCH(J$4,임대자산!$D$3:$R$3,0)),
IF($D23="폐업",INDEX(폐업정보!$D$3:$R$3000,MATCH($F23,폐업정보!$I$3:$I$3000,0),MATCH(J$4,폐업정보!$D$3:$R$3,0)),
"Error"))</f>
        <v>3880100000</v>
      </c>
      <c r="K23" s="75" t="str">
        <f aca="false">
IF($D23="정상",INDEX(임대자산!$D$3:$R$3000,MATCH($F23,임대자산!$I$3:$I$3000,0),MATCH(K$4,임대자산!$D$3:$R$3,0)),
IF($D23="폐업",INDEX(폐업정보!$D$3:$R$3000,MATCH($F23,폐업정보!$I$3:$I$3000,0),MATCH(K$4,폐업정보!$D$3:$R$3,0)),
"Error"))</f>
        <v>C0018</v>
      </c>
      <c r="L23" s="75" t="str">
        <f aca="false">
IF($D23="정상",INDEX(임대자산!$D$3:$R$3000,MATCH($F23,임대자산!$I$3:$I$3000,0),MATCH(L$4,임대자산!$D$3:$R$3,0)),
IF($D23="폐업",INDEX(폐업정보!$D$3:$R$3000,MATCH($F23,폐업정보!$I$3:$I$3000,0),MATCH(L$4,폐업정보!$D$3:$R$3,0)),
"Error"))</f>
        <v>D0018</v>
      </c>
      <c r="M23" s="76" t="s">
        <v>96</v>
      </c>
      <c r="N23" s="77"/>
      <c r="O23" s="78" t="s">
        <v>97</v>
      </c>
      <c r="P23" s="79" t="n">
        <f aca="false">COUNTIFS(임대자산!$I:$I,가맹점정보!F23,임대자산!$N:$N,가맹점정보!P$4)</f>
        <v>1</v>
      </c>
      <c r="Q23" s="80" t="n">
        <f aca="false">COUNTIFS(임대자산!$I:$I,가맹점정보!F23,임대자산!$N:$N,가맹점정보!Q$4)</f>
        <v>0</v>
      </c>
      <c r="R23" s="81" t="n">
        <f aca="false">COUNTIFS(임대자산!$I:$I,가맹점정보!F23,임대자산!$N:$N,가맹점정보!R$4)</f>
        <v>0</v>
      </c>
      <c r="S23" s="82" t="n">
        <v>132000</v>
      </c>
      <c r="T23" s="83" t="n">
        <v>0</v>
      </c>
      <c r="U23" s="80" t="n">
        <f aca="false">SUM(S23:T23)</f>
        <v>132000</v>
      </c>
      <c r="V23" s="84" t="s">
        <v>7</v>
      </c>
      <c r="W23" s="80" t="str">
        <f aca="true">
IF(D23="폐업","폐업",
IF(V23="면제","면제",
IF(AND(V23="정상",COUNTIFS(OFFSET(Y23,0,COUNTA(Y23:AV23)-1,1,-4),"미납")&gt;=3),"장기미납",
IF(AND(V23="정상",OFFSET(Y23,0,COUNTA(Y23:AV23)-1)&gt;=U23),"정상",
IF(AND(V23="정상",OFFSET(Y23,0,COUNTA(Y23:AV23)-1)=0),"정상",
"계약서 미작성")))))</f>
        <v>면제</v>
      </c>
      <c r="X23" s="81" t="str">
        <f aca="true">
IF(D23="폐업","폐업",
IF(AND(V23="정상",OFFSET(Y23,0,COUNTA(Y23:AV23)-1)="미납"),"미납",
IF(AND(V23="정상",OFFSET(Y23,0,COUNTA(Y23:AV23)-1)=0),"납부 시작 전",
IF(AND(V23="정상",OFFSET(Y23,0,COUNTA(Y23:AV23)-1)&gt;=U23),"정상",
IF(AND(V23="면제",OFFSET(Y23,0,COUNTA(Y23:AV23)-1)="면제"),"면제",
IF(AND(V23="면제",OFFSET(Y23,0,COUNTA(Y23:AV23)-1)=0),"면제",
"확인요청"))))))</f>
        <v>면제</v>
      </c>
      <c r="Y23" s="94" t="s">
        <v>7</v>
      </c>
      <c r="Z23" s="95" t="s">
        <v>7</v>
      </c>
      <c r="AA23" s="95" t="s">
        <v>7</v>
      </c>
      <c r="AB23" s="95" t="s">
        <v>7</v>
      </c>
      <c r="AC23" s="95" t="s">
        <v>7</v>
      </c>
      <c r="AD23" s="95" t="s">
        <v>7</v>
      </c>
      <c r="AE23" s="95" t="s">
        <v>7</v>
      </c>
      <c r="AF23" s="95" t="s">
        <v>7</v>
      </c>
      <c r="AG23" s="95" t="s">
        <v>7</v>
      </c>
      <c r="AH23" s="95" t="s">
        <v>7</v>
      </c>
      <c r="AI23" s="95" t="s">
        <v>7</v>
      </c>
      <c r="AJ23" s="96" t="s">
        <v>7</v>
      </c>
      <c r="AK23" s="97" t="s">
        <v>7</v>
      </c>
      <c r="AL23" s="95" t="s">
        <v>7</v>
      </c>
      <c r="AM23" s="90"/>
      <c r="AN23" s="90"/>
      <c r="AO23" s="90"/>
      <c r="AP23" s="90"/>
      <c r="AQ23" s="90"/>
      <c r="AR23" s="90"/>
      <c r="AS23" s="90"/>
      <c r="AT23" s="90"/>
      <c r="AU23" s="90"/>
      <c r="AV23" s="91"/>
      <c r="AX23" s="92"/>
    </row>
    <row r="24" customFormat="false" ht="15.65" hidden="false" customHeight="false" outlineLevel="0" collapsed="false">
      <c r="C24" s="72" t="n">
        <f aca="false">COUNTIFS($D$6:D24,"&lt;&gt;"&amp;"")</f>
        <v>19</v>
      </c>
      <c r="D24" s="73" t="s">
        <v>12</v>
      </c>
      <c r="E24" s="76" t="str">
        <f aca="false">
IF($D24="정상",INDEX(임대자산!$D$3:$R$3000,MATCH($F24,임대자산!$I$3:$I$3000,0),MATCH(E$3,임대자산!$D$3:$R$3,0)),
IF($D24="폐업",INDEX(폐업정보!$D$3:$R$3000,MATCH($F24,폐업정보!$I$3:$I$3000,0),MATCH(E$3,폐업정보!$D$3:$R$3,0)),
"Error"))</f>
        <v>경기</v>
      </c>
      <c r="F2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B0019</v>
      </c>
      <c r="G24" s="76" t="str">
        <f aca="false">F24&amp;RANDBETWEEN(0,10)</f>
        <v>B001910</v>
      </c>
      <c r="H24" s="75" t="n">
        <f aca="false">
IF($D24="정상",INDEX(임대자산!$D$3:$R$3000,MATCH($F24,임대자산!$I$3:$I$3000,0),MATCH(H$4,임대자산!$D$3:$R$3,0)),
IF($D24="폐업",INDEX(폐업정보!$D$3:$R$3000,MATCH($F24,폐업정보!$I$3:$I$3000,0),MATCH(H$4,폐업정보!$D$3:$R$3,0)),
"Error"))</f>
        <v>42846</v>
      </c>
      <c r="I24" s="75" t="str">
        <f aca="false">
IF($D24="정상",INDEX(임대자산!$D$3:$R$3000,MATCH($F24,임대자산!$I$3:$I$3000,0),MATCH(I$4,임대자산!$D$3:$R$3,0)),
IF($D24="폐업",INDEX(폐업정보!$D$3:$R$3000,MATCH($F24,폐업정보!$I$3:$I$3000,0),MATCH(I$4,폐업정보!$D$3:$R$3,0)),
"Error"))</f>
        <v>A0019</v>
      </c>
      <c r="J24" s="75" t="str">
        <f aca="false">
IF($D24="정상",INDEX(임대자산!$D$3:$R$3000,MATCH($F24,임대자산!$I$3:$I$3000,0),MATCH(J$4,임대자산!$D$3:$R$3,0)),
IF($D24="폐업",INDEX(폐업정보!$D$3:$R$3000,MATCH($F24,폐업정보!$I$3:$I$3000,0),MATCH(J$4,폐업정보!$D$3:$R$3,0)),
"Error"))</f>
        <v>2969000000</v>
      </c>
      <c r="K24" s="75" t="str">
        <f aca="false">
IF($D24="정상",INDEX(임대자산!$D$3:$R$3000,MATCH($F24,임대자산!$I$3:$I$3000,0),MATCH(K$4,임대자산!$D$3:$R$3,0)),
IF($D24="폐업",INDEX(폐업정보!$D$3:$R$3000,MATCH($F24,폐업정보!$I$3:$I$3000,0),MATCH(K$4,폐업정보!$D$3:$R$3,0)),
"Error"))</f>
        <v>C0019</v>
      </c>
      <c r="L24" s="75" t="str">
        <f aca="false">
IF($D24="정상",INDEX(임대자산!$D$3:$R$3000,MATCH($F24,임대자산!$I$3:$I$3000,0),MATCH(L$4,임대자산!$D$3:$R$3,0)),
IF($D24="폐업",INDEX(폐업정보!$D$3:$R$3000,MATCH($F24,폐업정보!$I$3:$I$3000,0),MATCH(L$4,폐업정보!$D$3:$R$3,0)),
"Error"))</f>
        <v>D0019</v>
      </c>
      <c r="M24" s="76" t="s">
        <v>96</v>
      </c>
      <c r="N24" s="77"/>
      <c r="O24" s="78" t="s">
        <v>97</v>
      </c>
      <c r="P24" s="79" t="n">
        <f aca="false">COUNTIFS(임대자산!$I:$I,가맹점정보!F24,임대자산!$N:$N,가맹점정보!P$4)</f>
        <v>1</v>
      </c>
      <c r="Q24" s="80" t="n">
        <f aca="false">COUNTIFS(임대자산!$I:$I,가맹점정보!F24,임대자산!$N:$N,가맹점정보!Q$4)</f>
        <v>0</v>
      </c>
      <c r="R24" s="81" t="n">
        <f aca="false">COUNTIFS(임대자산!$I:$I,가맹점정보!F24,임대자산!$N:$N,가맹점정보!R$4)</f>
        <v>0</v>
      </c>
      <c r="S24" s="82" t="n">
        <v>55000</v>
      </c>
      <c r="T24" s="83" t="n">
        <v>0</v>
      </c>
      <c r="U24" s="80" t="n">
        <f aca="false">SUM(S24:T24)</f>
        <v>55000</v>
      </c>
      <c r="V24" s="84" t="s">
        <v>12</v>
      </c>
      <c r="W24" s="80" t="e">
        <f aca="true">
IF(D24="폐업","폐업",
IF(V24="면제","면제",
IF(AND(V24="정상",COUNTIFS(OFFSET(Y24,0,COUNTA(Y24:AV24)-1,1,-4),"미납")&gt;=3),"장기미납",
IF(AND(V24="정상",OFFSET(Y24,0,COUNTA(Y24:AV24)-1)&gt;=U24),"정상",
IF(AND(V24="정상",OFFSET(Y24,0,COUNTA(Y24:AV24)-1)=0),"정상",
"계약서 미작성")))))</f>
        <v>#VALUE!</v>
      </c>
      <c r="X24" s="81" t="str">
        <f aca="true">
IF(D24="폐업","폐업",
IF(AND(V24="정상",OFFSET(Y24,0,COUNTA(Y24:AV24)-1)="미납"),"미납",
IF(AND(V24="정상",OFFSET(Y24,0,COUNTA(Y24:AV24)-1)=0),"납부 시작 전",
IF(AND(V24="정상",OFFSET(Y24,0,COUNTA(Y24:AV24)-1)&gt;=U24),"정상",
IF(AND(V24="면제",OFFSET(Y24,0,COUNTA(Y24:AV24)-1)="면제"),"면제",
IF(AND(V24="면제",OFFSET(Y24,0,COUNTA(Y24:AV24)-1)=0),"면제",
"확인요청"))))))</f>
        <v>정상</v>
      </c>
      <c r="Y24" s="93" t="n">
        <v>55000</v>
      </c>
      <c r="Z24" s="90" t="n">
        <v>55000</v>
      </c>
      <c r="AA24" s="90" t="n">
        <v>55000</v>
      </c>
      <c r="AB24" s="90" t="n">
        <v>55000</v>
      </c>
      <c r="AC24" s="90" t="n">
        <v>55000</v>
      </c>
      <c r="AD24" s="90" t="n">
        <v>55000</v>
      </c>
      <c r="AE24" s="90" t="n">
        <v>55000</v>
      </c>
      <c r="AF24" s="90" t="n">
        <v>55000</v>
      </c>
      <c r="AG24" s="90" t="n">
        <v>55000</v>
      </c>
      <c r="AH24" s="90" t="n">
        <v>55000</v>
      </c>
      <c r="AI24" s="90" t="n">
        <v>55000</v>
      </c>
      <c r="AJ24" s="91" t="n">
        <v>55000</v>
      </c>
      <c r="AK24" s="89" t="n">
        <v>55000</v>
      </c>
      <c r="AL24" s="90" t="n">
        <v>55000</v>
      </c>
      <c r="AM24" s="90"/>
      <c r="AN24" s="90"/>
      <c r="AO24" s="90"/>
      <c r="AP24" s="90"/>
      <c r="AQ24" s="90"/>
      <c r="AR24" s="90"/>
      <c r="AS24" s="90"/>
      <c r="AT24" s="90"/>
      <c r="AU24" s="90"/>
      <c r="AV24" s="91"/>
      <c r="AX24" s="92"/>
    </row>
    <row r="25" customFormat="false" ht="15.65" hidden="false" customHeight="false" outlineLevel="0" collapsed="false">
      <c r="C25" s="72" t="n">
        <f aca="false">COUNTIFS($D$6:D25,"&lt;&gt;"&amp;"")</f>
        <v>20</v>
      </c>
      <c r="D25" s="73" t="s">
        <v>12</v>
      </c>
      <c r="E25" s="76" t="str">
        <f aca="false">
IF($D25="정상",INDEX(임대자산!$D$3:$R$3000,MATCH($F25,임대자산!$I$3:$I$3000,0),MATCH(E$3,임대자산!$D$3:$R$3,0)),
IF($D25="폐업",INDEX(폐업정보!$D$3:$R$3000,MATCH($F25,폐업정보!$I$3:$I$3000,0),MATCH(E$3,폐업정보!$D$3:$R$3,0)),
"Error"))</f>
        <v>서울</v>
      </c>
      <c r="F2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B0020</v>
      </c>
      <c r="G25" s="76" t="str">
        <f aca="false">F25&amp;RANDBETWEEN(0,10)</f>
        <v>B00205</v>
      </c>
      <c r="H25" s="75" t="n">
        <f aca="false">
IF($D25="정상",INDEX(임대자산!$D$3:$R$3000,MATCH($F25,임대자산!$I$3:$I$3000,0),MATCH(H$4,임대자산!$D$3:$R$3,0)),
IF($D25="폐업",INDEX(폐업정보!$D$3:$R$3000,MATCH($F25,폐업정보!$I$3:$I$3000,0),MATCH(H$4,폐업정보!$D$3:$R$3,0)),
"Error"))</f>
        <v>42789</v>
      </c>
      <c r="I25" s="75" t="str">
        <f aca="false">
IF($D25="정상",INDEX(임대자산!$D$3:$R$3000,MATCH($F25,임대자산!$I$3:$I$3000,0),MATCH(I$4,임대자산!$D$3:$R$3,0)),
IF($D25="폐업",INDEX(폐업정보!$D$3:$R$3000,MATCH($F25,폐업정보!$I$3:$I$3000,0),MATCH(I$4,폐업정보!$D$3:$R$3,0)),
"Error"))</f>
        <v>A0020</v>
      </c>
      <c r="J25" s="75" t="str">
        <f aca="false">
IF($D25="정상",INDEX(임대자산!$D$3:$R$3000,MATCH($F25,임대자산!$I$3:$I$3000,0),MATCH(J$4,임대자산!$D$3:$R$3,0)),
IF($D25="폐업",INDEX(폐업정보!$D$3:$R$3000,MATCH($F25,폐업정보!$I$3:$I$3000,0),MATCH(J$4,폐업정보!$D$3:$R$3,0)),
"Error"))</f>
        <v>7816400000</v>
      </c>
      <c r="K25" s="75" t="str">
        <f aca="false">
IF($D25="정상",INDEX(임대자산!$D$3:$R$3000,MATCH($F25,임대자산!$I$3:$I$3000,0),MATCH(K$4,임대자산!$D$3:$R$3,0)),
IF($D25="폐업",INDEX(폐업정보!$D$3:$R$3000,MATCH($F25,폐업정보!$I$3:$I$3000,0),MATCH(K$4,폐업정보!$D$3:$R$3,0)),
"Error"))</f>
        <v>C0020</v>
      </c>
      <c r="L25" s="75" t="str">
        <f aca="false">
IF($D25="정상",INDEX(임대자산!$D$3:$R$3000,MATCH($F25,임대자산!$I$3:$I$3000,0),MATCH(L$4,임대자산!$D$3:$R$3,0)),
IF($D25="폐업",INDEX(폐업정보!$D$3:$R$3000,MATCH($F25,폐업정보!$I$3:$I$3000,0),MATCH(L$4,폐업정보!$D$3:$R$3,0)),
"Error"))</f>
        <v>D0020</v>
      </c>
      <c r="M25" s="76" t="s">
        <v>96</v>
      </c>
      <c r="N25" s="77"/>
      <c r="O25" s="78" t="s">
        <v>97</v>
      </c>
      <c r="P25" s="79" t="n">
        <f aca="false">COUNTIFS(임대자산!$I:$I,가맹점정보!F25,임대자산!$N:$N,가맹점정보!P$4)</f>
        <v>1</v>
      </c>
      <c r="Q25" s="80" t="n">
        <f aca="false">COUNTIFS(임대자산!$I:$I,가맹점정보!F25,임대자산!$N:$N,가맹점정보!Q$4)</f>
        <v>0</v>
      </c>
      <c r="R25" s="81" t="n">
        <f aca="false">COUNTIFS(임대자산!$I:$I,가맹점정보!F25,임대자산!$N:$N,가맹점정보!R$4)</f>
        <v>0</v>
      </c>
      <c r="S25" s="82" t="n">
        <v>55000</v>
      </c>
      <c r="T25" s="83" t="n">
        <v>0</v>
      </c>
      <c r="U25" s="80" t="n">
        <f aca="false">SUM(S25:T25)</f>
        <v>55000</v>
      </c>
      <c r="V25" s="84" t="s">
        <v>12</v>
      </c>
      <c r="W25" s="80" t="e">
        <f aca="true">
IF(D25="폐업","폐업",
IF(V25="면제","면제",
IF(AND(V25="정상",COUNTIFS(OFFSET(Y25,0,COUNTA(Y25:AV25)-1,1,-4),"미납")&gt;=3),"장기미납",
IF(AND(V25="정상",OFFSET(Y25,0,COUNTA(Y25:AV25)-1)&gt;=U25),"정상",
IF(AND(V25="정상",OFFSET(Y25,0,COUNTA(Y25:AV25)-1)=0),"정상",
"계약서 미작성")))))</f>
        <v>#VALUE!</v>
      </c>
      <c r="X25" s="81" t="str">
        <f aca="true">
IF(D25="폐업","폐업",
IF(AND(V25="정상",OFFSET(Y25,0,COUNTA(Y25:AV25)-1)="미납"),"미납",
IF(AND(V25="정상",OFFSET(Y25,0,COUNTA(Y25:AV25)-1)=0),"납부 시작 전",
IF(AND(V25="정상",OFFSET(Y25,0,COUNTA(Y25:AV25)-1)&gt;=U25),"정상",
IF(AND(V25="면제",OFFSET(Y25,0,COUNTA(Y25:AV25)-1)="면제"),"면제",
IF(AND(V25="면제",OFFSET(Y25,0,COUNTA(Y25:AV25)-1)=0),"면제",
"확인요청"))))))</f>
        <v>정상</v>
      </c>
      <c r="Y25" s="93" t="n">
        <v>55000</v>
      </c>
      <c r="Z25" s="90" t="n">
        <v>55000</v>
      </c>
      <c r="AA25" s="90" t="n">
        <v>55000</v>
      </c>
      <c r="AB25" s="90" t="n">
        <v>55000</v>
      </c>
      <c r="AC25" s="90" t="n">
        <v>55000</v>
      </c>
      <c r="AD25" s="90" t="n">
        <v>55000</v>
      </c>
      <c r="AE25" s="90" t="n">
        <v>55000</v>
      </c>
      <c r="AF25" s="90" t="n">
        <v>55000</v>
      </c>
      <c r="AG25" s="90" t="n">
        <v>55000</v>
      </c>
      <c r="AH25" s="90" t="n">
        <v>55000</v>
      </c>
      <c r="AI25" s="90" t="n">
        <v>55000</v>
      </c>
      <c r="AJ25" s="91" t="n">
        <v>55000</v>
      </c>
      <c r="AK25" s="89" t="n">
        <v>55000</v>
      </c>
      <c r="AL25" s="90" t="n">
        <v>55000</v>
      </c>
      <c r="AM25" s="90"/>
      <c r="AN25" s="90"/>
      <c r="AO25" s="90"/>
      <c r="AP25" s="90"/>
      <c r="AQ25" s="90"/>
      <c r="AR25" s="90"/>
      <c r="AS25" s="90"/>
      <c r="AT25" s="90"/>
      <c r="AU25" s="90"/>
      <c r="AV25" s="91"/>
      <c r="AX25" s="92"/>
    </row>
    <row r="26" customFormat="false" ht="15.65" hidden="false" customHeight="false" outlineLevel="0" collapsed="false">
      <c r="C26" s="72" t="n">
        <f aca="false">COUNTIFS($D$6:D26,"&lt;&gt;"&amp;"")</f>
        <v>21</v>
      </c>
      <c r="D26" s="73" t="s">
        <v>12</v>
      </c>
      <c r="E26" s="76" t="str">
        <f aca="false">
IF($D26="정상",INDEX(임대자산!$D$3:$R$3000,MATCH($F26,임대자산!$I$3:$I$3000,0),MATCH(E$3,임대자산!$D$3:$R$3,0)),
IF($D26="폐업",INDEX(폐업정보!$D$3:$R$3000,MATCH($F26,폐업정보!$I$3:$I$3000,0),MATCH(E$3,폐업정보!$D$3:$R$3,0)),
"Error"))</f>
        <v>전라</v>
      </c>
      <c r="F2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B0021</v>
      </c>
      <c r="G26" s="76" t="str">
        <f aca="false">F26&amp;RANDBETWEEN(0,10)</f>
        <v>B00217</v>
      </c>
      <c r="H26" s="75" t="n">
        <f aca="false">
IF($D26="정상",INDEX(임대자산!$D$3:$R$3000,MATCH($F26,임대자산!$I$3:$I$3000,0),MATCH(H$4,임대자산!$D$3:$R$3,0)),
IF($D26="폐업",INDEX(폐업정보!$D$3:$R$3000,MATCH($F26,폐업정보!$I$3:$I$3000,0),MATCH(H$4,폐업정보!$D$3:$R$3,0)),
"Error"))</f>
        <v>45821</v>
      </c>
      <c r="I26" s="75" t="str">
        <f aca="false">
IF($D26="정상",INDEX(임대자산!$D$3:$R$3000,MATCH($F26,임대자산!$I$3:$I$3000,0),MATCH(I$4,임대자산!$D$3:$R$3,0)),
IF($D26="폐업",INDEX(폐업정보!$D$3:$R$3000,MATCH($F26,폐업정보!$I$3:$I$3000,0),MATCH(I$4,폐업정보!$D$3:$R$3,0)),
"Error"))</f>
        <v>A0021</v>
      </c>
      <c r="J26" s="75" t="str">
        <f aca="false">
IF($D26="정상",INDEX(임대자산!$D$3:$R$3000,MATCH($F26,임대자산!$I$3:$I$3000,0),MATCH(J$4,임대자산!$D$3:$R$3,0)),
IF($D26="폐업",INDEX(폐업정보!$D$3:$R$3000,MATCH($F26,폐업정보!$I$3:$I$3000,0),MATCH(J$4,폐업정보!$D$3:$R$3,0)),
"Error"))</f>
        <v>2448400000</v>
      </c>
      <c r="K26" s="75" t="str">
        <f aca="false">
IF($D26="정상",INDEX(임대자산!$D$3:$R$3000,MATCH($F26,임대자산!$I$3:$I$3000,0),MATCH(K$4,임대자산!$D$3:$R$3,0)),
IF($D26="폐업",INDEX(폐업정보!$D$3:$R$3000,MATCH($F26,폐업정보!$I$3:$I$3000,0),MATCH(K$4,폐업정보!$D$3:$R$3,0)),
"Error"))</f>
        <v>C0021</v>
      </c>
      <c r="L26" s="75" t="str">
        <f aca="false">
IF($D26="정상",INDEX(임대자산!$D$3:$R$3000,MATCH($F26,임대자산!$I$3:$I$3000,0),MATCH(L$4,임대자산!$D$3:$R$3,0)),
IF($D26="폐업",INDEX(폐업정보!$D$3:$R$3000,MATCH($F26,폐업정보!$I$3:$I$3000,0),MATCH(L$4,폐업정보!$D$3:$R$3,0)),
"Error"))</f>
        <v>D0021</v>
      </c>
      <c r="M26" s="76" t="s">
        <v>96</v>
      </c>
      <c r="N26" s="77"/>
      <c r="O26" s="78" t="s">
        <v>97</v>
      </c>
      <c r="P26" s="79" t="n">
        <f aca="false">COUNTIFS(임대자산!$I:$I,가맹점정보!F26,임대자산!$N:$N,가맹점정보!P$4)</f>
        <v>1</v>
      </c>
      <c r="Q26" s="80" t="n">
        <f aca="false">COUNTIFS(임대자산!$I:$I,가맹점정보!F26,임대자산!$N:$N,가맹점정보!Q$4)</f>
        <v>0</v>
      </c>
      <c r="R26" s="81" t="n">
        <f aca="false">COUNTIFS(임대자산!$I:$I,가맹점정보!F26,임대자산!$N:$N,가맹점정보!R$4)</f>
        <v>0</v>
      </c>
      <c r="S26" s="82" t="n">
        <v>88000</v>
      </c>
      <c r="T26" s="83" t="n">
        <v>0</v>
      </c>
      <c r="U26" s="80" t="n">
        <f aca="false">SUM(S26:T26)</f>
        <v>88000</v>
      </c>
      <c r="V26" s="84" t="s">
        <v>7</v>
      </c>
      <c r="W26" s="80" t="str">
        <f aca="true">
IF(D26="폐업","폐업",
IF(V26="면제","면제",
IF(AND(V26="정상",COUNTIFS(OFFSET(Y26,0,COUNTA(Y26:AV26)-1,1,-4),"미납")&gt;=3),"장기미납",
IF(AND(V26="정상",OFFSET(Y26,0,COUNTA(Y26:AV26)-1)&gt;=U26),"정상",
IF(AND(V26="정상",OFFSET(Y26,0,COUNTA(Y26:AV26)-1)=0),"정상",
"계약서 미작성")))))</f>
        <v>면제</v>
      </c>
      <c r="X26" s="81" t="str">
        <f aca="true">
IF(D26="폐업","폐업",
IF(AND(V26="정상",OFFSET(Y26,0,COUNTA(Y26:AV26)-1)="미납"),"미납",
IF(AND(V26="정상",OFFSET(Y26,0,COUNTA(Y26:AV26)-1)=0),"납부 시작 전",
IF(AND(V26="정상",OFFSET(Y26,0,COUNTA(Y26:AV26)-1)&gt;=U26),"정상",
IF(AND(V26="면제",OFFSET(Y26,0,COUNTA(Y26:AV26)-1)="면제"),"면제",
IF(AND(V26="면제",OFFSET(Y26,0,COUNTA(Y26:AV26)-1)=0),"면제",
"확인요청"))))))</f>
        <v>면제</v>
      </c>
      <c r="Y26" s="94" t="s">
        <v>7</v>
      </c>
      <c r="Z26" s="95" t="s">
        <v>7</v>
      </c>
      <c r="AA26" s="95" t="s">
        <v>7</v>
      </c>
      <c r="AB26" s="95" t="s">
        <v>7</v>
      </c>
      <c r="AC26" s="95" t="s">
        <v>7</v>
      </c>
      <c r="AD26" s="95" t="s">
        <v>7</v>
      </c>
      <c r="AE26" s="95" t="s">
        <v>7</v>
      </c>
      <c r="AF26" s="95" t="s">
        <v>7</v>
      </c>
      <c r="AG26" s="95" t="s">
        <v>7</v>
      </c>
      <c r="AH26" s="95" t="s">
        <v>7</v>
      </c>
      <c r="AI26" s="95" t="s">
        <v>7</v>
      </c>
      <c r="AJ26" s="96" t="s">
        <v>7</v>
      </c>
      <c r="AK26" s="97" t="s">
        <v>7</v>
      </c>
      <c r="AL26" s="95" t="s">
        <v>7</v>
      </c>
      <c r="AM26" s="90"/>
      <c r="AN26" s="90"/>
      <c r="AO26" s="90"/>
      <c r="AP26" s="90"/>
      <c r="AQ26" s="90"/>
      <c r="AR26" s="90"/>
      <c r="AS26" s="90"/>
      <c r="AT26" s="90"/>
      <c r="AU26" s="90"/>
      <c r="AV26" s="91"/>
      <c r="AX26" s="92"/>
    </row>
    <row r="27" customFormat="false" ht="15.65" hidden="false" customHeight="false" outlineLevel="0" collapsed="false">
      <c r="C27" s="72" t="n">
        <f aca="false">COUNTIFS($D$6:D27,"&lt;&gt;"&amp;"")</f>
        <v>22</v>
      </c>
      <c r="D27" s="73" t="s">
        <v>12</v>
      </c>
      <c r="E27" s="76" t="str">
        <f aca="false">
IF($D27="정상",INDEX(임대자산!$D$3:$R$3000,MATCH($F27,임대자산!$I$3:$I$3000,0),MATCH(E$3,임대자산!$D$3:$R$3,0)),
IF($D27="폐업",INDEX(폐업정보!$D$3:$R$3000,MATCH($F27,폐업정보!$I$3:$I$3000,0),MATCH(E$3,폐업정보!$D$3:$R$3,0)),
"Error"))</f>
        <v>경상</v>
      </c>
      <c r="F2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B0022</v>
      </c>
      <c r="G27" s="76" t="str">
        <f aca="false">F27&amp;RANDBETWEEN(0,10)</f>
        <v>B00220</v>
      </c>
      <c r="H27" s="75" t="n">
        <f aca="false">
IF($D27="정상",INDEX(임대자산!$D$3:$R$3000,MATCH($F27,임대자산!$I$3:$I$3000,0),MATCH(H$4,임대자산!$D$3:$R$3,0)),
IF($D27="폐업",INDEX(폐업정보!$D$3:$R$3000,MATCH($F27,폐업정보!$I$3:$I$3000,0),MATCH(H$4,폐업정보!$D$3:$R$3,0)),
"Error"))</f>
        <v>43194</v>
      </c>
      <c r="I27" s="75" t="str">
        <f aca="false">
IF($D27="정상",INDEX(임대자산!$D$3:$R$3000,MATCH($F27,임대자산!$I$3:$I$3000,0),MATCH(I$4,임대자산!$D$3:$R$3,0)),
IF($D27="폐업",INDEX(폐업정보!$D$3:$R$3000,MATCH($F27,폐업정보!$I$3:$I$3000,0),MATCH(I$4,폐업정보!$D$3:$R$3,0)),
"Error"))</f>
        <v>A0022</v>
      </c>
      <c r="J27" s="75" t="str">
        <f aca="false">
IF($D27="정상",INDEX(임대자산!$D$3:$R$3000,MATCH($F27,임대자산!$I$3:$I$3000,0),MATCH(J$4,임대자산!$D$3:$R$3,0)),
IF($D27="폐업",INDEX(폐업정보!$D$3:$R$3000,MATCH($F27,폐업정보!$I$3:$I$3000,0),MATCH(J$4,폐업정보!$D$3:$R$3,0)),
"Error"))</f>
        <v>4777100000</v>
      </c>
      <c r="K27" s="75" t="str">
        <f aca="false">
IF($D27="정상",INDEX(임대자산!$D$3:$R$3000,MATCH($F27,임대자산!$I$3:$I$3000,0),MATCH(K$4,임대자산!$D$3:$R$3,0)),
IF($D27="폐업",INDEX(폐업정보!$D$3:$R$3000,MATCH($F27,폐업정보!$I$3:$I$3000,0),MATCH(K$4,폐업정보!$D$3:$R$3,0)),
"Error"))</f>
        <v>C0022</v>
      </c>
      <c r="L27" s="75" t="str">
        <f aca="false">
IF($D27="정상",INDEX(임대자산!$D$3:$R$3000,MATCH($F27,임대자산!$I$3:$I$3000,0),MATCH(L$4,임대자산!$D$3:$R$3,0)),
IF($D27="폐업",INDEX(폐업정보!$D$3:$R$3000,MATCH($F27,폐업정보!$I$3:$I$3000,0),MATCH(L$4,폐업정보!$D$3:$R$3,0)),
"Error"))</f>
        <v>D0022</v>
      </c>
      <c r="M27" s="76" t="s">
        <v>96</v>
      </c>
      <c r="N27" s="77"/>
      <c r="O27" s="78" t="s">
        <v>97</v>
      </c>
      <c r="P27" s="79" t="n">
        <f aca="false">COUNTIFS(임대자산!$I:$I,가맹점정보!F27,임대자산!$N:$N,가맹점정보!P$4)</f>
        <v>1</v>
      </c>
      <c r="Q27" s="80" t="n">
        <f aca="false">COUNTIFS(임대자산!$I:$I,가맹점정보!F27,임대자산!$N:$N,가맹점정보!Q$4)</f>
        <v>0</v>
      </c>
      <c r="R27" s="81" t="n">
        <f aca="false">COUNTIFS(임대자산!$I:$I,가맹점정보!F27,임대자산!$N:$N,가맹점정보!R$4)</f>
        <v>0</v>
      </c>
      <c r="S27" s="82" t="n">
        <v>55000</v>
      </c>
      <c r="T27" s="83" t="n">
        <v>0</v>
      </c>
      <c r="U27" s="80" t="n">
        <f aca="false">SUM(S27:T27)</f>
        <v>55000</v>
      </c>
      <c r="V27" s="84" t="s">
        <v>12</v>
      </c>
      <c r="W27" s="80" t="e">
        <f aca="true">
IF(D27="폐업","폐업",
IF(V27="면제","면제",
IF(AND(V27="정상",COUNTIFS(OFFSET(Y27,0,COUNTA(Y27:AV27)-1,1,-4),"미납")&gt;=3),"장기미납",
IF(AND(V27="정상",OFFSET(Y27,0,COUNTA(Y27:AV27)-1)&gt;=U27),"정상",
IF(AND(V27="정상",OFFSET(Y27,0,COUNTA(Y27:AV27)-1)=0),"정상",
"계약서 미작성")))))</f>
        <v>#VALUE!</v>
      </c>
      <c r="X27" s="81" t="str">
        <f aca="true">
IF(D27="폐업","폐업",
IF(AND(V27="정상",OFFSET(Y27,0,COUNTA(Y27:AV27)-1)="미납"),"미납",
IF(AND(V27="정상",OFFSET(Y27,0,COUNTA(Y27:AV27)-1)=0),"납부 시작 전",
IF(AND(V27="정상",OFFSET(Y27,0,COUNTA(Y27:AV27)-1)&gt;=U27),"정상",
IF(AND(V27="면제",OFFSET(Y27,0,COUNTA(Y27:AV27)-1)="면제"),"면제",
IF(AND(V27="면제",OFFSET(Y27,0,COUNTA(Y27:AV27)-1)=0),"면제",
"확인요청"))))))</f>
        <v>정상</v>
      </c>
      <c r="Y27" s="93" t="n">
        <v>55000</v>
      </c>
      <c r="Z27" s="90" t="n">
        <v>55000</v>
      </c>
      <c r="AA27" s="90" t="n">
        <v>55000</v>
      </c>
      <c r="AB27" s="90" t="n">
        <v>55000</v>
      </c>
      <c r="AC27" s="90" t="n">
        <v>55000</v>
      </c>
      <c r="AD27" s="90" t="n">
        <v>55000</v>
      </c>
      <c r="AE27" s="90" t="n">
        <v>55000</v>
      </c>
      <c r="AF27" s="90" t="n">
        <v>55000</v>
      </c>
      <c r="AG27" s="90" t="n">
        <v>55000</v>
      </c>
      <c r="AH27" s="90" t="n">
        <v>55000</v>
      </c>
      <c r="AI27" s="90" t="n">
        <v>55000</v>
      </c>
      <c r="AJ27" s="91" t="n">
        <v>55000</v>
      </c>
      <c r="AK27" s="89" t="n">
        <v>55000</v>
      </c>
      <c r="AL27" s="90" t="n">
        <v>55000</v>
      </c>
      <c r="AM27" s="90"/>
      <c r="AN27" s="90"/>
      <c r="AO27" s="90"/>
      <c r="AP27" s="90"/>
      <c r="AQ27" s="90"/>
      <c r="AR27" s="90"/>
      <c r="AS27" s="90"/>
      <c r="AT27" s="90"/>
      <c r="AU27" s="90"/>
      <c r="AV27" s="91"/>
      <c r="AX27" s="92"/>
    </row>
    <row r="28" customFormat="false" ht="15.65" hidden="false" customHeight="false" outlineLevel="0" collapsed="false">
      <c r="C28" s="72" t="n">
        <f aca="false">COUNTIFS($D$6:D28,"&lt;&gt;"&amp;"")</f>
        <v>23</v>
      </c>
      <c r="D28" s="73" t="s">
        <v>12</v>
      </c>
      <c r="E28" s="76" t="str">
        <f aca="false">
IF($D28="정상",INDEX(임대자산!$D$3:$R$3000,MATCH($F28,임대자산!$I$3:$I$3000,0),MATCH(E$3,임대자산!$D$3:$R$3,0)),
IF($D28="폐업",INDEX(폐업정보!$D$3:$R$3000,MATCH($F28,폐업정보!$I$3:$I$3000,0),MATCH(E$3,폐업정보!$D$3:$R$3,0)),
"Error"))</f>
        <v>경기</v>
      </c>
      <c r="F2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B0023</v>
      </c>
      <c r="G28" s="76" t="str">
        <f aca="false">F28&amp;RANDBETWEEN(0,10)</f>
        <v>B00233</v>
      </c>
      <c r="H28" s="75" t="n">
        <f aca="false">
IF($D28="정상",INDEX(임대자산!$D$3:$R$3000,MATCH($F28,임대자산!$I$3:$I$3000,0),MATCH(H$4,임대자산!$D$3:$R$3,0)),
IF($D28="폐업",INDEX(폐업정보!$D$3:$R$3000,MATCH($F28,폐업정보!$I$3:$I$3000,0),MATCH(H$4,폐업정보!$D$3:$R$3,0)),
"Error"))</f>
        <v>46003</v>
      </c>
      <c r="I28" s="75" t="str">
        <f aca="false">
IF($D28="정상",INDEX(임대자산!$D$3:$R$3000,MATCH($F28,임대자산!$I$3:$I$3000,0),MATCH(I$4,임대자산!$D$3:$R$3,0)),
IF($D28="폐업",INDEX(폐업정보!$D$3:$R$3000,MATCH($F28,폐업정보!$I$3:$I$3000,0),MATCH(I$4,폐업정보!$D$3:$R$3,0)),
"Error"))</f>
        <v>A0023</v>
      </c>
      <c r="J28" s="75" t="str">
        <f aca="false">
IF($D28="정상",INDEX(임대자산!$D$3:$R$3000,MATCH($F28,임대자산!$I$3:$I$3000,0),MATCH(J$4,임대자산!$D$3:$R$3,0)),
IF($D28="폐업",INDEX(폐업정보!$D$3:$R$3000,MATCH($F28,폐업정보!$I$3:$I$3000,0),MATCH(J$4,폐업정보!$D$3:$R$3,0)),
"Error"))</f>
        <v>9200600000</v>
      </c>
      <c r="K28" s="75" t="str">
        <f aca="false">
IF($D28="정상",INDEX(임대자산!$D$3:$R$3000,MATCH($F28,임대자산!$I$3:$I$3000,0),MATCH(K$4,임대자산!$D$3:$R$3,0)),
IF($D28="폐업",INDEX(폐업정보!$D$3:$R$3000,MATCH($F28,폐업정보!$I$3:$I$3000,0),MATCH(K$4,폐업정보!$D$3:$R$3,0)),
"Error"))</f>
        <v>C0023</v>
      </c>
      <c r="L28" s="75" t="str">
        <f aca="false">
IF($D28="정상",INDEX(임대자산!$D$3:$R$3000,MATCH($F28,임대자산!$I$3:$I$3000,0),MATCH(L$4,임대자산!$D$3:$R$3,0)),
IF($D28="폐업",INDEX(폐업정보!$D$3:$R$3000,MATCH($F28,폐업정보!$I$3:$I$3000,0),MATCH(L$4,폐업정보!$D$3:$R$3,0)),
"Error"))</f>
        <v>D0023</v>
      </c>
      <c r="M28" s="76" t="s">
        <v>96</v>
      </c>
      <c r="N28" s="77"/>
      <c r="O28" s="78" t="s">
        <v>97</v>
      </c>
      <c r="P28" s="79" t="n">
        <f aca="false">COUNTIFS(임대자산!$I:$I,가맹점정보!F28,임대자산!$N:$N,가맹점정보!P$4)</f>
        <v>1</v>
      </c>
      <c r="Q28" s="80" t="n">
        <f aca="false">COUNTIFS(임대자산!$I:$I,가맹점정보!F28,임대자산!$N:$N,가맹점정보!Q$4)</f>
        <v>0</v>
      </c>
      <c r="R28" s="81" t="n">
        <f aca="false">COUNTIFS(임대자산!$I:$I,가맹점정보!F28,임대자산!$N:$N,가맹점정보!R$4)</f>
        <v>0</v>
      </c>
      <c r="S28" s="82" t="n">
        <v>55000</v>
      </c>
      <c r="T28" s="83" t="n">
        <v>0</v>
      </c>
      <c r="U28" s="80" t="n">
        <f aca="false">SUM(S28:T28)</f>
        <v>55000</v>
      </c>
      <c r="V28" s="84" t="s">
        <v>7</v>
      </c>
      <c r="W28" s="80" t="str">
        <f aca="true">
IF(D28="폐업","폐업",
IF(V28="면제","면제",
IF(AND(V28="정상",COUNTIFS(OFFSET(Y28,0,COUNTA(Y28:AV28)-1,1,-4),"미납")&gt;=3),"장기미납",
IF(AND(V28="정상",OFFSET(Y28,0,COUNTA(Y28:AV28)-1)&gt;=U28),"정상",
IF(AND(V28="정상",OFFSET(Y28,0,COUNTA(Y28:AV28)-1)=0),"정상",
"계약서 미작성")))))</f>
        <v>면제</v>
      </c>
      <c r="X28" s="81" t="str">
        <f aca="true">
IF(D28="폐업","폐업",
IF(AND(V28="정상",OFFSET(Y28,0,COUNTA(Y28:AV28)-1)="미납"),"미납",
IF(AND(V28="정상",OFFSET(Y28,0,COUNTA(Y28:AV28)-1)=0),"납부 시작 전",
IF(AND(V28="정상",OFFSET(Y28,0,COUNTA(Y28:AV28)-1)&gt;=U28),"정상",
IF(AND(V28="면제",OFFSET(Y28,0,COUNTA(Y28:AV28)-1)="면제"),"면제",
IF(AND(V28="면제",OFFSET(Y28,0,COUNTA(Y28:AV28)-1)=0),"면제",
"확인요청"))))))</f>
        <v>면제</v>
      </c>
      <c r="Y28" s="94" t="s">
        <v>7</v>
      </c>
      <c r="Z28" s="95" t="s">
        <v>7</v>
      </c>
      <c r="AA28" s="95" t="s">
        <v>7</v>
      </c>
      <c r="AB28" s="95" t="s">
        <v>7</v>
      </c>
      <c r="AC28" s="95" t="s">
        <v>7</v>
      </c>
      <c r="AD28" s="95" t="s">
        <v>7</v>
      </c>
      <c r="AE28" s="95" t="s">
        <v>7</v>
      </c>
      <c r="AF28" s="95" t="s">
        <v>7</v>
      </c>
      <c r="AG28" s="95" t="s">
        <v>7</v>
      </c>
      <c r="AH28" s="95" t="s">
        <v>7</v>
      </c>
      <c r="AI28" s="95" t="s">
        <v>7</v>
      </c>
      <c r="AJ28" s="96" t="s">
        <v>7</v>
      </c>
      <c r="AK28" s="97" t="s">
        <v>7</v>
      </c>
      <c r="AL28" s="95" t="s">
        <v>7</v>
      </c>
      <c r="AM28" s="90"/>
      <c r="AN28" s="90"/>
      <c r="AO28" s="90"/>
      <c r="AP28" s="90"/>
      <c r="AQ28" s="90"/>
      <c r="AR28" s="90"/>
      <c r="AS28" s="90"/>
      <c r="AT28" s="90"/>
      <c r="AU28" s="90"/>
      <c r="AV28" s="91"/>
      <c r="AX28" s="92"/>
    </row>
    <row r="29" customFormat="false" ht="15.65" hidden="false" customHeight="false" outlineLevel="0" collapsed="false">
      <c r="C29" s="72" t="n">
        <f aca="false">COUNTIFS($D$6:D29,"&lt;&gt;"&amp;"")</f>
        <v>24</v>
      </c>
      <c r="D29" s="73" t="s">
        <v>12</v>
      </c>
      <c r="E29" s="76" t="str">
        <f aca="false">
IF($D29="정상",INDEX(임대자산!$D$3:$R$3000,MATCH($F29,임대자산!$I$3:$I$3000,0),MATCH(E$3,임대자산!$D$3:$R$3,0)),
IF($D29="폐업",INDEX(폐업정보!$D$3:$R$3000,MATCH($F29,폐업정보!$I$3:$I$3000,0),MATCH(E$3,폐업정보!$D$3:$R$3,0)),
"Error"))</f>
        <v>전라</v>
      </c>
      <c r="F2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B0024</v>
      </c>
      <c r="G29" s="76" t="str">
        <f aca="false">F29&amp;RANDBETWEEN(0,10)</f>
        <v>B00243</v>
      </c>
      <c r="H29" s="75" t="n">
        <f aca="false">
IF($D29="정상",INDEX(임대자산!$D$3:$R$3000,MATCH($F29,임대자산!$I$3:$I$3000,0),MATCH(H$4,임대자산!$D$3:$R$3,0)),
IF($D29="폐업",INDEX(폐업정보!$D$3:$R$3000,MATCH($F29,폐업정보!$I$3:$I$3000,0),MATCH(H$4,폐업정보!$D$3:$R$3,0)),
"Error"))</f>
        <v>44120</v>
      </c>
      <c r="I29" s="75" t="str">
        <f aca="false">
IF($D29="정상",INDEX(임대자산!$D$3:$R$3000,MATCH($F29,임대자산!$I$3:$I$3000,0),MATCH(I$4,임대자산!$D$3:$R$3,0)),
IF($D29="폐업",INDEX(폐업정보!$D$3:$R$3000,MATCH($F29,폐업정보!$I$3:$I$3000,0),MATCH(I$4,폐업정보!$D$3:$R$3,0)),
"Error"))</f>
        <v>A0024</v>
      </c>
      <c r="J29" s="75" t="str">
        <f aca="false">
IF($D29="정상",INDEX(임대자산!$D$3:$R$3000,MATCH($F29,임대자산!$I$3:$I$3000,0),MATCH(J$4,임대자산!$D$3:$R$3,0)),
IF($D29="폐업",INDEX(폐업정보!$D$3:$R$3000,MATCH($F29,폐업정보!$I$3:$I$3000,0),MATCH(J$4,폐업정보!$D$3:$R$3,0)),
"Error"))</f>
        <v>8307500000</v>
      </c>
      <c r="K29" s="75" t="str">
        <f aca="false">
IF($D29="정상",INDEX(임대자산!$D$3:$R$3000,MATCH($F29,임대자산!$I$3:$I$3000,0),MATCH(K$4,임대자산!$D$3:$R$3,0)),
IF($D29="폐업",INDEX(폐업정보!$D$3:$R$3000,MATCH($F29,폐업정보!$I$3:$I$3000,0),MATCH(K$4,폐업정보!$D$3:$R$3,0)),
"Error"))</f>
        <v>C0024</v>
      </c>
      <c r="L29" s="75" t="str">
        <f aca="false">
IF($D29="정상",INDEX(임대자산!$D$3:$R$3000,MATCH($F29,임대자산!$I$3:$I$3000,0),MATCH(L$4,임대자산!$D$3:$R$3,0)),
IF($D29="폐업",INDEX(폐업정보!$D$3:$R$3000,MATCH($F29,폐업정보!$I$3:$I$3000,0),MATCH(L$4,폐업정보!$D$3:$R$3,0)),
"Error"))</f>
        <v>D0024</v>
      </c>
      <c r="M29" s="76" t="s">
        <v>96</v>
      </c>
      <c r="N29" s="77"/>
      <c r="O29" s="78" t="s">
        <v>97</v>
      </c>
      <c r="P29" s="79" t="n">
        <f aca="false">COUNTIFS(임대자산!$I:$I,가맹점정보!F29,임대자산!$N:$N,가맹점정보!P$4)</f>
        <v>1</v>
      </c>
      <c r="Q29" s="80" t="n">
        <f aca="false">COUNTIFS(임대자산!$I:$I,가맹점정보!F29,임대자산!$N:$N,가맹점정보!Q$4)</f>
        <v>0</v>
      </c>
      <c r="R29" s="81" t="n">
        <f aca="false">COUNTIFS(임대자산!$I:$I,가맹점정보!F29,임대자산!$N:$N,가맹점정보!R$4)</f>
        <v>0</v>
      </c>
      <c r="S29" s="82" t="n">
        <v>55000</v>
      </c>
      <c r="T29" s="83" t="n">
        <v>0</v>
      </c>
      <c r="U29" s="80" t="n">
        <f aca="false">SUM(S29:T29)</f>
        <v>55000</v>
      </c>
      <c r="V29" s="84" t="s">
        <v>7</v>
      </c>
      <c r="W29" s="80" t="str">
        <f aca="true">
IF(D29="폐업","폐업",
IF(V29="면제","면제",
IF(AND(V29="정상",COUNTIFS(OFFSET(Y29,0,COUNTA(Y29:AV29)-1,1,-4),"미납")&gt;=3),"장기미납",
IF(AND(V29="정상",OFFSET(Y29,0,COUNTA(Y29:AV29)-1)&gt;=U29),"정상",
IF(AND(V29="정상",OFFSET(Y29,0,COUNTA(Y29:AV29)-1)=0),"정상",
"계약서 미작성")))))</f>
        <v>면제</v>
      </c>
      <c r="X29" s="81" t="str">
        <f aca="true">
IF(D29="폐업","폐업",
IF(AND(V29="정상",OFFSET(Y29,0,COUNTA(Y29:AV29)-1)="미납"),"미납",
IF(AND(V29="정상",OFFSET(Y29,0,COUNTA(Y29:AV29)-1)=0),"납부 시작 전",
IF(AND(V29="정상",OFFSET(Y29,0,COUNTA(Y29:AV29)-1)&gt;=U29),"정상",
IF(AND(V29="면제",OFFSET(Y29,0,COUNTA(Y29:AV29)-1)="면제"),"면제",
IF(AND(V29="면제",OFFSET(Y29,0,COUNTA(Y29:AV29)-1)=0),"면제",
"확인요청"))))))</f>
        <v>면제</v>
      </c>
      <c r="Y29" s="94" t="s">
        <v>7</v>
      </c>
      <c r="Z29" s="95" t="s">
        <v>7</v>
      </c>
      <c r="AA29" s="95" t="s">
        <v>7</v>
      </c>
      <c r="AB29" s="95" t="s">
        <v>7</v>
      </c>
      <c r="AC29" s="95" t="s">
        <v>7</v>
      </c>
      <c r="AD29" s="95" t="s">
        <v>7</v>
      </c>
      <c r="AE29" s="95" t="s">
        <v>7</v>
      </c>
      <c r="AF29" s="95" t="s">
        <v>7</v>
      </c>
      <c r="AG29" s="95" t="s">
        <v>7</v>
      </c>
      <c r="AH29" s="95" t="s">
        <v>7</v>
      </c>
      <c r="AI29" s="95" t="s">
        <v>7</v>
      </c>
      <c r="AJ29" s="96" t="s">
        <v>7</v>
      </c>
      <c r="AK29" s="97" t="s">
        <v>7</v>
      </c>
      <c r="AL29" s="95" t="s">
        <v>7</v>
      </c>
      <c r="AM29" s="90"/>
      <c r="AN29" s="90"/>
      <c r="AO29" s="90"/>
      <c r="AP29" s="90"/>
      <c r="AQ29" s="90"/>
      <c r="AR29" s="90"/>
      <c r="AS29" s="90"/>
      <c r="AT29" s="90"/>
      <c r="AU29" s="90"/>
      <c r="AV29" s="91"/>
      <c r="AX29" s="92"/>
    </row>
    <row r="30" customFormat="false" ht="15.65" hidden="false" customHeight="false" outlineLevel="0" collapsed="false">
      <c r="C30" s="72" t="n">
        <f aca="false">COUNTIFS($D$6:D30,"&lt;&gt;"&amp;"")</f>
        <v>25</v>
      </c>
      <c r="D30" s="73" t="s">
        <v>12</v>
      </c>
      <c r="E30" s="76" t="str">
        <f aca="false">
IF($D30="정상",INDEX(임대자산!$D$3:$R$3000,MATCH($F30,임대자산!$I$3:$I$3000,0),MATCH(E$3,임대자산!$D$3:$R$3,0)),
IF($D30="폐업",INDEX(폐업정보!$D$3:$R$3000,MATCH($F30,폐업정보!$I$3:$I$3000,0),MATCH(E$3,폐업정보!$D$3:$R$3,0)),
"Error"))</f>
        <v>경기</v>
      </c>
      <c r="F3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B0025</v>
      </c>
      <c r="G30" s="76" t="str">
        <f aca="false">F30&amp;RANDBETWEEN(0,10)</f>
        <v>B00259</v>
      </c>
      <c r="H30" s="75" t="n">
        <f aca="false">
IF($D30="정상",INDEX(임대자산!$D$3:$R$3000,MATCH($F30,임대자산!$I$3:$I$3000,0),MATCH(H$4,임대자산!$D$3:$R$3,0)),
IF($D30="폐업",INDEX(폐업정보!$D$3:$R$3000,MATCH($F30,폐업정보!$I$3:$I$3000,0),MATCH(H$4,폐업정보!$D$3:$R$3,0)),
"Error"))</f>
        <v>44139</v>
      </c>
      <c r="I30" s="75" t="str">
        <f aca="false">
IF($D30="정상",INDEX(임대자산!$D$3:$R$3000,MATCH($F30,임대자산!$I$3:$I$3000,0),MATCH(I$4,임대자산!$D$3:$R$3,0)),
IF($D30="폐업",INDEX(폐업정보!$D$3:$R$3000,MATCH($F30,폐업정보!$I$3:$I$3000,0),MATCH(I$4,폐업정보!$D$3:$R$3,0)),
"Error"))</f>
        <v>A0025</v>
      </c>
      <c r="J30" s="75" t="str">
        <f aca="false">
IF($D30="정상",INDEX(임대자산!$D$3:$R$3000,MATCH($F30,임대자산!$I$3:$I$3000,0),MATCH(J$4,임대자산!$D$3:$R$3,0)),
IF($D30="폐업",INDEX(폐업정보!$D$3:$R$3000,MATCH($F30,폐업정보!$I$3:$I$3000,0),MATCH(J$4,폐업정보!$D$3:$R$3,0)),
"Error"))</f>
        <v>5236200000</v>
      </c>
      <c r="K30" s="75" t="str">
        <f aca="false">
IF($D30="정상",INDEX(임대자산!$D$3:$R$3000,MATCH($F30,임대자산!$I$3:$I$3000,0),MATCH(K$4,임대자산!$D$3:$R$3,0)),
IF($D30="폐업",INDEX(폐업정보!$D$3:$R$3000,MATCH($F30,폐업정보!$I$3:$I$3000,0),MATCH(K$4,폐업정보!$D$3:$R$3,0)),
"Error"))</f>
        <v>C0025</v>
      </c>
      <c r="L30" s="75" t="str">
        <f aca="false">
IF($D30="정상",INDEX(임대자산!$D$3:$R$3000,MATCH($F30,임대자산!$I$3:$I$3000,0),MATCH(L$4,임대자산!$D$3:$R$3,0)),
IF($D30="폐업",INDEX(폐업정보!$D$3:$R$3000,MATCH($F30,폐업정보!$I$3:$I$3000,0),MATCH(L$4,폐업정보!$D$3:$R$3,0)),
"Error"))</f>
        <v>D0025</v>
      </c>
      <c r="M30" s="76" t="s">
        <v>96</v>
      </c>
      <c r="N30" s="77"/>
      <c r="O30" s="78" t="s">
        <v>97</v>
      </c>
      <c r="P30" s="79" t="n">
        <f aca="false">COUNTIFS(임대자산!$I:$I,가맹점정보!F30,임대자산!$N:$N,가맹점정보!P$4)</f>
        <v>1</v>
      </c>
      <c r="Q30" s="80" t="n">
        <f aca="false">COUNTIFS(임대자산!$I:$I,가맹점정보!F30,임대자산!$N:$N,가맹점정보!Q$4)</f>
        <v>0</v>
      </c>
      <c r="R30" s="81" t="n">
        <f aca="false">COUNTIFS(임대자산!$I:$I,가맹점정보!F30,임대자산!$N:$N,가맹점정보!R$4)</f>
        <v>0</v>
      </c>
      <c r="S30" s="82" t="n">
        <v>55000</v>
      </c>
      <c r="T30" s="83" t="n">
        <v>0</v>
      </c>
      <c r="U30" s="80" t="n">
        <f aca="false">SUM(S30:T30)</f>
        <v>55000</v>
      </c>
      <c r="V30" s="84" t="s">
        <v>12</v>
      </c>
      <c r="W30" s="80" t="e">
        <f aca="true">
IF(D30="폐업","폐업",
IF(V30="면제","면제",
IF(AND(V30="정상",COUNTIFS(OFFSET(Y30,0,COUNTA(Y30:AV30)-1,1,-4),"미납")&gt;=3),"장기미납",
IF(AND(V30="정상",OFFSET(Y30,0,COUNTA(Y30:AV30)-1)&gt;=U30),"정상",
IF(AND(V30="정상",OFFSET(Y30,0,COUNTA(Y30:AV30)-1)=0),"정상",
"계약서 미작성")))))</f>
        <v>#VALUE!</v>
      </c>
      <c r="X30" s="81" t="str">
        <f aca="true">
IF(D30="폐업","폐업",
IF(AND(V30="정상",OFFSET(Y30,0,COUNTA(Y30:AV30)-1)="미납"),"미납",
IF(AND(V30="정상",OFFSET(Y30,0,COUNTA(Y30:AV30)-1)=0),"납부 시작 전",
IF(AND(V30="정상",OFFSET(Y30,0,COUNTA(Y30:AV30)-1)&gt;=U30),"정상",
IF(AND(V30="면제",OFFSET(Y30,0,COUNTA(Y30:AV30)-1)="면제"),"면제",
IF(AND(V30="면제",OFFSET(Y30,0,COUNTA(Y30:AV30)-1)=0),"면제",
"확인요청"))))))</f>
        <v>정상</v>
      </c>
      <c r="Y30" s="93" t="n">
        <v>55000</v>
      </c>
      <c r="Z30" s="90" t="n">
        <v>55000</v>
      </c>
      <c r="AA30" s="90" t="n">
        <v>55000</v>
      </c>
      <c r="AB30" s="90" t="n">
        <v>55000</v>
      </c>
      <c r="AC30" s="90" t="n">
        <v>55000</v>
      </c>
      <c r="AD30" s="90" t="n">
        <v>55000</v>
      </c>
      <c r="AE30" s="90" t="n">
        <v>55000</v>
      </c>
      <c r="AF30" s="90" t="n">
        <v>55000</v>
      </c>
      <c r="AG30" s="90" t="n">
        <v>55000</v>
      </c>
      <c r="AH30" s="90" t="n">
        <v>55000</v>
      </c>
      <c r="AI30" s="90" t="n">
        <v>55000</v>
      </c>
      <c r="AJ30" s="91" t="n">
        <v>55000</v>
      </c>
      <c r="AK30" s="89" t="n">
        <v>55000</v>
      </c>
      <c r="AL30" s="90" t="n">
        <v>55000</v>
      </c>
      <c r="AM30" s="90"/>
      <c r="AN30" s="90"/>
      <c r="AO30" s="90"/>
      <c r="AP30" s="90"/>
      <c r="AQ30" s="90"/>
      <c r="AR30" s="90"/>
      <c r="AS30" s="90"/>
      <c r="AT30" s="90"/>
      <c r="AU30" s="90"/>
      <c r="AV30" s="91"/>
      <c r="AX30" s="92"/>
    </row>
    <row r="31" customFormat="false" ht="15.65" hidden="false" customHeight="false" outlineLevel="0" collapsed="false">
      <c r="C31" s="72" t="n">
        <f aca="false">COUNTIFS($D$6:D31,"&lt;&gt;"&amp;"")</f>
        <v>26</v>
      </c>
      <c r="D31" s="73" t="s">
        <v>12</v>
      </c>
      <c r="E31" s="76" t="str">
        <f aca="false">
IF($D31="정상",INDEX(임대자산!$D$3:$R$3000,MATCH($F31,임대자산!$I$3:$I$3000,0),MATCH(E$3,임대자산!$D$3:$R$3,0)),
IF($D31="폐업",INDEX(폐업정보!$D$3:$R$3000,MATCH($F31,폐업정보!$I$3:$I$3000,0),MATCH(E$3,폐업정보!$D$3:$R$3,0)),
"Error"))</f>
        <v>경기</v>
      </c>
      <c r="F3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B0026</v>
      </c>
      <c r="G31" s="76" t="str">
        <f aca="false">F31&amp;RANDBETWEEN(0,10)</f>
        <v>B00262</v>
      </c>
      <c r="H31" s="75" t="n">
        <f aca="false">
IF($D31="정상",INDEX(임대자산!$D$3:$R$3000,MATCH($F31,임대자산!$I$3:$I$3000,0),MATCH(H$4,임대자산!$D$3:$R$3,0)),
IF($D31="폐업",INDEX(폐업정보!$D$3:$R$3000,MATCH($F31,폐업정보!$I$3:$I$3000,0),MATCH(H$4,폐업정보!$D$3:$R$3,0)),
"Error"))</f>
        <v>45881</v>
      </c>
      <c r="I31" s="75" t="str">
        <f aca="false">
IF($D31="정상",INDEX(임대자산!$D$3:$R$3000,MATCH($F31,임대자산!$I$3:$I$3000,0),MATCH(I$4,임대자산!$D$3:$R$3,0)),
IF($D31="폐업",INDEX(폐업정보!$D$3:$R$3000,MATCH($F31,폐업정보!$I$3:$I$3000,0),MATCH(I$4,폐업정보!$D$3:$R$3,0)),
"Error"))</f>
        <v>A0026</v>
      </c>
      <c r="J31" s="75" t="str">
        <f aca="false">
IF($D31="정상",INDEX(임대자산!$D$3:$R$3000,MATCH($F31,임대자산!$I$3:$I$3000,0),MATCH(J$4,임대자산!$D$3:$R$3,0)),
IF($D31="폐업",INDEX(폐업정보!$D$3:$R$3000,MATCH($F31,폐업정보!$I$3:$I$3000,0),MATCH(J$4,폐업정보!$D$3:$R$3,0)),
"Error"))</f>
        <v>8874600000</v>
      </c>
      <c r="K31" s="75" t="str">
        <f aca="false">
IF($D31="정상",INDEX(임대자산!$D$3:$R$3000,MATCH($F31,임대자산!$I$3:$I$3000,0),MATCH(K$4,임대자산!$D$3:$R$3,0)),
IF($D31="폐업",INDEX(폐업정보!$D$3:$R$3000,MATCH($F31,폐업정보!$I$3:$I$3000,0),MATCH(K$4,폐업정보!$D$3:$R$3,0)),
"Error"))</f>
        <v>C0026</v>
      </c>
      <c r="L31" s="75" t="str">
        <f aca="false">
IF($D31="정상",INDEX(임대자산!$D$3:$R$3000,MATCH($F31,임대자산!$I$3:$I$3000,0),MATCH(L$4,임대자산!$D$3:$R$3,0)),
IF($D31="폐업",INDEX(폐업정보!$D$3:$R$3000,MATCH($F31,폐업정보!$I$3:$I$3000,0),MATCH(L$4,폐업정보!$D$3:$R$3,0)),
"Error"))</f>
        <v>D0026</v>
      </c>
      <c r="M31" s="76" t="s">
        <v>96</v>
      </c>
      <c r="N31" s="77"/>
      <c r="O31" s="78" t="s">
        <v>97</v>
      </c>
      <c r="P31" s="79" t="n">
        <f aca="false">COUNTIFS(임대자산!$I:$I,가맹점정보!F31,임대자산!$N:$N,가맹점정보!P$4)</f>
        <v>1</v>
      </c>
      <c r="Q31" s="80" t="n">
        <f aca="false">COUNTIFS(임대자산!$I:$I,가맹점정보!F31,임대자산!$N:$N,가맹점정보!Q$4)</f>
        <v>0</v>
      </c>
      <c r="R31" s="81" t="n">
        <f aca="false">COUNTIFS(임대자산!$I:$I,가맹점정보!F31,임대자산!$N:$N,가맹점정보!R$4)</f>
        <v>0</v>
      </c>
      <c r="S31" s="82" t="n">
        <v>55000</v>
      </c>
      <c r="T31" s="83" t="n">
        <v>0</v>
      </c>
      <c r="U31" s="80" t="n">
        <f aca="false">SUM(S31:T31)</f>
        <v>55000</v>
      </c>
      <c r="V31" s="84" t="s">
        <v>7</v>
      </c>
      <c r="W31" s="80" t="str">
        <f aca="true">
IF(D31="폐업","폐업",
IF(V31="면제","면제",
IF(AND(V31="정상",COUNTIFS(OFFSET(Y31,0,COUNTA(Y31:AV31)-1,1,-4),"미납")&gt;=3),"장기미납",
IF(AND(V31="정상",OFFSET(Y31,0,COUNTA(Y31:AV31)-1)&gt;=U31),"정상",
IF(AND(V31="정상",OFFSET(Y31,0,COUNTA(Y31:AV31)-1)=0),"정상",
"계약서 미작성")))))</f>
        <v>면제</v>
      </c>
      <c r="X31" s="81" t="str">
        <f aca="true">
IF(D31="폐업","폐업",
IF(AND(V31="정상",OFFSET(Y31,0,COUNTA(Y31:AV31)-1)="미납"),"미납",
IF(AND(V31="정상",OFFSET(Y31,0,COUNTA(Y31:AV31)-1)=0),"납부 시작 전",
IF(AND(V31="정상",OFFSET(Y31,0,COUNTA(Y31:AV31)-1)&gt;=U31),"정상",
IF(AND(V31="면제",OFFSET(Y31,0,COUNTA(Y31:AV31)-1)="면제"),"면제",
IF(AND(V31="면제",OFFSET(Y31,0,COUNTA(Y31:AV31)-1)=0),"면제",
"확인요청"))))))</f>
        <v>면제</v>
      </c>
      <c r="Y31" s="94" t="s">
        <v>7</v>
      </c>
      <c r="Z31" s="95" t="s">
        <v>7</v>
      </c>
      <c r="AA31" s="95" t="s">
        <v>7</v>
      </c>
      <c r="AB31" s="95" t="s">
        <v>7</v>
      </c>
      <c r="AC31" s="95" t="s">
        <v>7</v>
      </c>
      <c r="AD31" s="95" t="s">
        <v>7</v>
      </c>
      <c r="AE31" s="95" t="s">
        <v>7</v>
      </c>
      <c r="AF31" s="95" t="s">
        <v>7</v>
      </c>
      <c r="AG31" s="95" t="s">
        <v>7</v>
      </c>
      <c r="AH31" s="95" t="s">
        <v>7</v>
      </c>
      <c r="AI31" s="95" t="s">
        <v>7</v>
      </c>
      <c r="AJ31" s="96" t="s">
        <v>7</v>
      </c>
      <c r="AK31" s="97" t="s">
        <v>7</v>
      </c>
      <c r="AL31" s="95" t="s">
        <v>7</v>
      </c>
      <c r="AM31" s="90"/>
      <c r="AN31" s="90"/>
      <c r="AO31" s="90"/>
      <c r="AP31" s="90"/>
      <c r="AQ31" s="90"/>
      <c r="AR31" s="90"/>
      <c r="AS31" s="90"/>
      <c r="AT31" s="90"/>
      <c r="AU31" s="90"/>
      <c r="AV31" s="91"/>
      <c r="AX31" s="92"/>
    </row>
    <row r="32" customFormat="false" ht="15.65" hidden="false" customHeight="false" outlineLevel="0" collapsed="false">
      <c r="C32" s="72" t="n">
        <f aca="false">COUNTIFS($D$6:D32,"&lt;&gt;"&amp;"")</f>
        <v>27</v>
      </c>
      <c r="D32" s="73" t="s">
        <v>12</v>
      </c>
      <c r="E32" s="76" t="str">
        <f aca="false">
IF($D32="정상",INDEX(임대자산!$D$3:$R$3000,MATCH($F32,임대자산!$I$3:$I$3000,0),MATCH(E$3,임대자산!$D$3:$R$3,0)),
IF($D32="폐업",INDEX(폐업정보!$D$3:$R$3000,MATCH($F32,폐업정보!$I$3:$I$3000,0),MATCH(E$3,폐업정보!$D$3:$R$3,0)),
"Error"))</f>
        <v>경상</v>
      </c>
      <c r="F3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B0027</v>
      </c>
      <c r="G32" s="76" t="str">
        <f aca="false">F32&amp;RANDBETWEEN(0,10)</f>
        <v>B00278</v>
      </c>
      <c r="H32" s="75" t="n">
        <f aca="false">
IF($D32="정상",INDEX(임대자산!$D$3:$R$3000,MATCH($F32,임대자산!$I$3:$I$3000,0),MATCH(H$4,임대자산!$D$3:$R$3,0)),
IF($D32="폐업",INDEX(폐업정보!$D$3:$R$3000,MATCH($F32,폐업정보!$I$3:$I$3000,0),MATCH(H$4,폐업정보!$D$3:$R$3,0)),
"Error"))</f>
        <v>42979</v>
      </c>
      <c r="I32" s="75" t="str">
        <f aca="false">
IF($D32="정상",INDEX(임대자산!$D$3:$R$3000,MATCH($F32,임대자산!$I$3:$I$3000,0),MATCH(I$4,임대자산!$D$3:$R$3,0)),
IF($D32="폐업",INDEX(폐업정보!$D$3:$R$3000,MATCH($F32,폐업정보!$I$3:$I$3000,0),MATCH(I$4,폐업정보!$D$3:$R$3,0)),
"Error"))</f>
        <v>A0027</v>
      </c>
      <c r="J32" s="75" t="str">
        <f aca="false">
IF($D32="정상",INDEX(임대자산!$D$3:$R$3000,MATCH($F32,임대자산!$I$3:$I$3000,0),MATCH(J$4,임대자산!$D$3:$R$3,0)),
IF($D32="폐업",INDEX(폐업정보!$D$3:$R$3000,MATCH($F32,폐업정보!$I$3:$I$3000,0),MATCH(J$4,폐업정보!$D$3:$R$3,0)),
"Error"))</f>
        <v>1972500000</v>
      </c>
      <c r="K32" s="75" t="str">
        <f aca="false">
IF($D32="정상",INDEX(임대자산!$D$3:$R$3000,MATCH($F32,임대자산!$I$3:$I$3000,0),MATCH(K$4,임대자산!$D$3:$R$3,0)),
IF($D32="폐업",INDEX(폐업정보!$D$3:$R$3000,MATCH($F32,폐업정보!$I$3:$I$3000,0),MATCH(K$4,폐업정보!$D$3:$R$3,0)),
"Error"))</f>
        <v>C0027</v>
      </c>
      <c r="L32" s="75" t="str">
        <f aca="false">
IF($D32="정상",INDEX(임대자산!$D$3:$R$3000,MATCH($F32,임대자산!$I$3:$I$3000,0),MATCH(L$4,임대자산!$D$3:$R$3,0)),
IF($D32="폐업",INDEX(폐업정보!$D$3:$R$3000,MATCH($F32,폐업정보!$I$3:$I$3000,0),MATCH(L$4,폐업정보!$D$3:$R$3,0)),
"Error"))</f>
        <v>D0027</v>
      </c>
      <c r="M32" s="76" t="s">
        <v>96</v>
      </c>
      <c r="N32" s="77"/>
      <c r="O32" s="78" t="s">
        <v>97</v>
      </c>
      <c r="P32" s="79" t="n">
        <f aca="false">COUNTIFS(임대자산!$I:$I,가맹점정보!F32,임대자산!$N:$N,가맹점정보!P$4)</f>
        <v>1</v>
      </c>
      <c r="Q32" s="80" t="n">
        <f aca="false">COUNTIFS(임대자산!$I:$I,가맹점정보!F32,임대자산!$N:$N,가맹점정보!Q$4)</f>
        <v>0</v>
      </c>
      <c r="R32" s="81" t="n">
        <f aca="false">COUNTIFS(임대자산!$I:$I,가맹점정보!F32,임대자산!$N:$N,가맹점정보!R$4)</f>
        <v>0</v>
      </c>
      <c r="S32" s="82" t="n">
        <v>55000</v>
      </c>
      <c r="T32" s="83" t="n">
        <v>0</v>
      </c>
      <c r="U32" s="80" t="n">
        <f aca="false">SUM(S32:T32)</f>
        <v>55000</v>
      </c>
      <c r="V32" s="84" t="s">
        <v>12</v>
      </c>
      <c r="W32" s="80" t="e">
        <f aca="true">
IF(D32="폐업","폐업",
IF(V32="면제","면제",
IF(AND(V32="정상",COUNTIFS(OFFSET(Y32,0,COUNTA(Y32:AV32)-1,1,-4),"미납")&gt;=3),"장기미납",
IF(AND(V32="정상",OFFSET(Y32,0,COUNTA(Y32:AV32)-1)&gt;=U32),"정상",
IF(AND(V32="정상",OFFSET(Y32,0,COUNTA(Y32:AV32)-1)=0),"정상",
"계약서 미작성")))))</f>
        <v>#VALUE!</v>
      </c>
      <c r="X32" s="81" t="str">
        <f aca="true">
IF(D32="폐업","폐업",
IF(AND(V32="정상",OFFSET(Y32,0,COUNTA(Y32:AV32)-1)="미납"),"미납",
IF(AND(V32="정상",OFFSET(Y32,0,COUNTA(Y32:AV32)-1)=0),"납부 시작 전",
IF(AND(V32="정상",OFFSET(Y32,0,COUNTA(Y32:AV32)-1)&gt;=U32),"정상",
IF(AND(V32="면제",OFFSET(Y32,0,COUNTA(Y32:AV32)-1)="면제"),"면제",
IF(AND(V32="면제",OFFSET(Y32,0,COUNTA(Y32:AV32)-1)=0),"면제",
"확인요청"))))))</f>
        <v>정상</v>
      </c>
      <c r="Y32" s="93" t="n">
        <v>55000</v>
      </c>
      <c r="Z32" s="90" t="n">
        <v>55000</v>
      </c>
      <c r="AA32" s="90" t="n">
        <v>55000</v>
      </c>
      <c r="AB32" s="90" t="n">
        <v>55000</v>
      </c>
      <c r="AC32" s="90" t="n">
        <v>55000</v>
      </c>
      <c r="AD32" s="90" t="n">
        <v>55000</v>
      </c>
      <c r="AE32" s="90" t="n">
        <v>55000</v>
      </c>
      <c r="AF32" s="90" t="n">
        <v>55000</v>
      </c>
      <c r="AG32" s="90" t="n">
        <v>55000</v>
      </c>
      <c r="AH32" s="90" t="n">
        <v>55000</v>
      </c>
      <c r="AI32" s="90" t="n">
        <v>55000</v>
      </c>
      <c r="AJ32" s="91" t="n">
        <v>55000</v>
      </c>
      <c r="AK32" s="89" t="n">
        <v>55000</v>
      </c>
      <c r="AL32" s="90" t="n">
        <v>55000</v>
      </c>
      <c r="AM32" s="90"/>
      <c r="AN32" s="90"/>
      <c r="AO32" s="90"/>
      <c r="AP32" s="90"/>
      <c r="AQ32" s="90"/>
      <c r="AR32" s="90"/>
      <c r="AS32" s="90"/>
      <c r="AT32" s="90"/>
      <c r="AU32" s="90"/>
      <c r="AV32" s="91"/>
      <c r="AX32" s="92"/>
    </row>
    <row r="33" customFormat="false" ht="15.65" hidden="false" customHeight="false" outlineLevel="0" collapsed="false">
      <c r="C33" s="72" t="n">
        <f aca="false">COUNTIFS($D$6:D33,"&lt;&gt;"&amp;"")</f>
        <v>28</v>
      </c>
      <c r="D33" s="73" t="s">
        <v>12</v>
      </c>
      <c r="E33" s="76" t="str">
        <f aca="false">
IF($D33="정상",INDEX(임대자산!$D$3:$R$3000,MATCH($F33,임대자산!$I$3:$I$3000,0),MATCH(E$3,임대자산!$D$3:$R$3,0)),
IF($D33="폐업",INDEX(폐업정보!$D$3:$R$3000,MATCH($F33,폐업정보!$I$3:$I$3000,0),MATCH(E$3,폐업정보!$D$3:$R$3,0)),
"Error"))</f>
        <v>전라</v>
      </c>
      <c r="F3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B0028</v>
      </c>
      <c r="G33" s="76" t="str">
        <f aca="false">F33&amp;RANDBETWEEN(0,10)</f>
        <v>B00285</v>
      </c>
      <c r="H33" s="75" t="n">
        <f aca="false">
IF($D33="정상",INDEX(임대자산!$D$3:$R$3000,MATCH($F33,임대자산!$I$3:$I$3000,0),MATCH(H$4,임대자산!$D$3:$R$3,0)),
IF($D33="폐업",INDEX(폐업정보!$D$3:$R$3000,MATCH($F33,폐업정보!$I$3:$I$3000,0),MATCH(H$4,폐업정보!$D$3:$R$3,0)),
"Error"))</f>
        <v>42789</v>
      </c>
      <c r="I33" s="75" t="str">
        <f aca="false">
IF($D33="정상",INDEX(임대자산!$D$3:$R$3000,MATCH($F33,임대자산!$I$3:$I$3000,0),MATCH(I$4,임대자산!$D$3:$R$3,0)),
IF($D33="폐업",INDEX(폐업정보!$D$3:$R$3000,MATCH($F33,폐업정보!$I$3:$I$3000,0),MATCH(I$4,폐업정보!$D$3:$R$3,0)),
"Error"))</f>
        <v>A0028</v>
      </c>
      <c r="J33" s="75" t="str">
        <f aca="false">
IF($D33="정상",INDEX(임대자산!$D$3:$R$3000,MATCH($F33,임대자산!$I$3:$I$3000,0),MATCH(J$4,임대자산!$D$3:$R$3,0)),
IF($D33="폐업",INDEX(폐업정보!$D$3:$R$3000,MATCH($F33,폐업정보!$I$3:$I$3000,0),MATCH(J$4,폐업정보!$D$3:$R$3,0)),
"Error"))</f>
        <v>6387500000</v>
      </c>
      <c r="K33" s="75" t="str">
        <f aca="false">
IF($D33="정상",INDEX(임대자산!$D$3:$R$3000,MATCH($F33,임대자산!$I$3:$I$3000,0),MATCH(K$4,임대자산!$D$3:$R$3,0)),
IF($D33="폐업",INDEX(폐업정보!$D$3:$R$3000,MATCH($F33,폐업정보!$I$3:$I$3000,0),MATCH(K$4,폐업정보!$D$3:$R$3,0)),
"Error"))</f>
        <v>C0028</v>
      </c>
      <c r="L33" s="75" t="str">
        <f aca="false">
IF($D33="정상",INDEX(임대자산!$D$3:$R$3000,MATCH($F33,임대자산!$I$3:$I$3000,0),MATCH(L$4,임대자산!$D$3:$R$3,0)),
IF($D33="폐업",INDEX(폐업정보!$D$3:$R$3000,MATCH($F33,폐업정보!$I$3:$I$3000,0),MATCH(L$4,폐업정보!$D$3:$R$3,0)),
"Error"))</f>
        <v>D0028</v>
      </c>
      <c r="M33" s="76" t="s">
        <v>96</v>
      </c>
      <c r="N33" s="77"/>
      <c r="O33" s="78" t="s">
        <v>97</v>
      </c>
      <c r="P33" s="79" t="n">
        <f aca="false">COUNTIFS(임대자산!$I:$I,가맹점정보!F33,임대자산!$N:$N,가맹점정보!P$4)</f>
        <v>1</v>
      </c>
      <c r="Q33" s="80" t="n">
        <f aca="false">COUNTIFS(임대자산!$I:$I,가맹점정보!F33,임대자산!$N:$N,가맹점정보!Q$4)</f>
        <v>0</v>
      </c>
      <c r="R33" s="81" t="n">
        <f aca="false">COUNTIFS(임대자산!$I:$I,가맹점정보!F33,임대자산!$N:$N,가맹점정보!R$4)</f>
        <v>0</v>
      </c>
      <c r="S33" s="82" t="n">
        <v>55000</v>
      </c>
      <c r="T33" s="83" t="n">
        <v>0</v>
      </c>
      <c r="U33" s="80" t="n">
        <f aca="false">SUM(S33:T33)</f>
        <v>55000</v>
      </c>
      <c r="V33" s="84" t="s">
        <v>12</v>
      </c>
      <c r="W33" s="80" t="e">
        <f aca="true">
IF(D33="폐업","폐업",
IF(V33="면제","면제",
IF(AND(V33="정상",COUNTIFS(OFFSET(Y33,0,COUNTA(Y33:AV33)-1,1,-4),"미납")&gt;=3),"장기미납",
IF(AND(V33="정상",OFFSET(Y33,0,COUNTA(Y33:AV33)-1)&gt;=U33),"정상",
IF(AND(V33="정상",OFFSET(Y33,0,COUNTA(Y33:AV33)-1)=0),"정상",
"계약서 미작성")))))</f>
        <v>#VALUE!</v>
      </c>
      <c r="X33" s="81" t="str">
        <f aca="true">
IF(D33="폐업","폐업",
IF(AND(V33="정상",OFFSET(Y33,0,COUNTA(Y33:AV33)-1)="미납"),"미납",
IF(AND(V33="정상",OFFSET(Y33,0,COUNTA(Y33:AV33)-1)=0),"납부 시작 전",
IF(AND(V33="정상",OFFSET(Y33,0,COUNTA(Y33:AV33)-1)&gt;=U33),"정상",
IF(AND(V33="면제",OFFSET(Y33,0,COUNTA(Y33:AV33)-1)="면제"),"면제",
IF(AND(V33="면제",OFFSET(Y33,0,COUNTA(Y33:AV33)-1)=0),"면제",
"확인요청"))))))</f>
        <v>정상</v>
      </c>
      <c r="Y33" s="93" t="n">
        <v>55000</v>
      </c>
      <c r="Z33" s="90" t="n">
        <v>55000</v>
      </c>
      <c r="AA33" s="90" t="n">
        <v>55000</v>
      </c>
      <c r="AB33" s="90" t="n">
        <v>55000</v>
      </c>
      <c r="AC33" s="90" t="n">
        <v>55000</v>
      </c>
      <c r="AD33" s="90" t="n">
        <v>55000</v>
      </c>
      <c r="AE33" s="90" t="n">
        <v>55000</v>
      </c>
      <c r="AF33" s="90" t="n">
        <v>55000</v>
      </c>
      <c r="AG33" s="90" t="n">
        <v>55000</v>
      </c>
      <c r="AH33" s="90" t="n">
        <v>55000</v>
      </c>
      <c r="AI33" s="90" t="n">
        <v>55000</v>
      </c>
      <c r="AJ33" s="91" t="n">
        <v>55000</v>
      </c>
      <c r="AK33" s="89" t="n">
        <v>55000</v>
      </c>
      <c r="AL33" s="90" t="n">
        <v>55000</v>
      </c>
      <c r="AM33" s="90"/>
      <c r="AN33" s="90"/>
      <c r="AO33" s="90"/>
      <c r="AP33" s="90"/>
      <c r="AQ33" s="90"/>
      <c r="AR33" s="90"/>
      <c r="AS33" s="90"/>
      <c r="AT33" s="90"/>
      <c r="AU33" s="90"/>
      <c r="AV33" s="91"/>
      <c r="AX33" s="92"/>
    </row>
    <row r="34" customFormat="false" ht="15" hidden="false" customHeight="true" outlineLevel="0" collapsed="false">
      <c r="C34" s="72" t="n">
        <f aca="false">COUNTIFS($D$6:D34,"&lt;&gt;"&amp;"")</f>
        <v>29</v>
      </c>
      <c r="D34" s="73" t="s">
        <v>12</v>
      </c>
      <c r="E34" s="76" t="str">
        <f aca="false">
IF($D34="정상",INDEX(임대자산!$D$3:$R$3000,MATCH($F34,임대자산!$I$3:$I$3000,0),MATCH(E$3,임대자산!$D$3:$R$3,0)),
IF($D34="폐업",INDEX(폐업정보!$D$3:$R$3000,MATCH($F34,폐업정보!$I$3:$I$3000,0),MATCH(E$3,폐업정보!$D$3:$R$3,0)),
"Error"))</f>
        <v>전라</v>
      </c>
      <c r="F3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B0029</v>
      </c>
      <c r="G34" s="76" t="str">
        <f aca="false">F34&amp;RANDBETWEEN(0,10)</f>
        <v>B00294</v>
      </c>
      <c r="H34" s="75" t="n">
        <f aca="false">
IF($D34="정상",INDEX(임대자산!$D$3:$R$3000,MATCH($F34,임대자산!$I$3:$I$3000,0),MATCH(H$4,임대자산!$D$3:$R$3,0)),
IF($D34="폐업",INDEX(폐업정보!$D$3:$R$3000,MATCH($F34,폐업정보!$I$3:$I$3000,0),MATCH(H$4,폐업정보!$D$3:$R$3,0)),
"Error"))</f>
        <v>43396</v>
      </c>
      <c r="I34" s="75" t="str">
        <f aca="false">
IF($D34="정상",INDEX(임대자산!$D$3:$R$3000,MATCH($F34,임대자산!$I$3:$I$3000,0),MATCH(I$4,임대자산!$D$3:$R$3,0)),
IF($D34="폐업",INDEX(폐업정보!$D$3:$R$3000,MATCH($F34,폐업정보!$I$3:$I$3000,0),MATCH(I$4,폐업정보!$D$3:$R$3,0)),
"Error"))</f>
        <v>A0029</v>
      </c>
      <c r="J34" s="75" t="str">
        <f aca="false">
IF($D34="정상",INDEX(임대자산!$D$3:$R$3000,MATCH($F34,임대자산!$I$3:$I$3000,0),MATCH(J$4,임대자산!$D$3:$R$3,0)),
IF($D34="폐업",INDEX(폐업정보!$D$3:$R$3000,MATCH($F34,폐업정보!$I$3:$I$3000,0),MATCH(J$4,폐업정보!$D$3:$R$3,0)),
"Error"))</f>
        <v>8523900000</v>
      </c>
      <c r="K34" s="75" t="str">
        <f aca="false">
IF($D34="정상",INDEX(임대자산!$D$3:$R$3000,MATCH($F34,임대자산!$I$3:$I$3000,0),MATCH(K$4,임대자산!$D$3:$R$3,0)),
IF($D34="폐업",INDEX(폐업정보!$D$3:$R$3000,MATCH($F34,폐업정보!$I$3:$I$3000,0),MATCH(K$4,폐업정보!$D$3:$R$3,0)),
"Error"))</f>
        <v>C0029</v>
      </c>
      <c r="L34" s="75" t="str">
        <f aca="false">
IF($D34="정상",INDEX(임대자산!$D$3:$R$3000,MATCH($F34,임대자산!$I$3:$I$3000,0),MATCH(L$4,임대자산!$D$3:$R$3,0)),
IF($D34="폐업",INDEX(폐업정보!$D$3:$R$3000,MATCH($F34,폐업정보!$I$3:$I$3000,0),MATCH(L$4,폐업정보!$D$3:$R$3,0)),
"Error"))</f>
        <v>D0029</v>
      </c>
      <c r="M34" s="76" t="s">
        <v>96</v>
      </c>
      <c r="N34" s="77"/>
      <c r="O34" s="78" t="s">
        <v>97</v>
      </c>
      <c r="P34" s="79" t="n">
        <f aca="false">COUNTIFS(임대자산!$I:$I,가맹점정보!F34,임대자산!$N:$N,가맹점정보!P$4)</f>
        <v>1</v>
      </c>
      <c r="Q34" s="80" t="n">
        <f aca="false">COUNTIFS(임대자산!$I:$I,가맹점정보!F34,임대자산!$N:$N,가맹점정보!Q$4)</f>
        <v>0</v>
      </c>
      <c r="R34" s="81" t="n">
        <f aca="false">COUNTIFS(임대자산!$I:$I,가맹점정보!F34,임대자산!$N:$N,가맹점정보!R$4)</f>
        <v>0</v>
      </c>
      <c r="S34" s="82" t="n">
        <v>55000</v>
      </c>
      <c r="T34" s="83" t="n">
        <v>0</v>
      </c>
      <c r="U34" s="80" t="n">
        <f aca="false">SUM(S34:T34)</f>
        <v>55000</v>
      </c>
      <c r="V34" s="84" t="s">
        <v>12</v>
      </c>
      <c r="W34" s="80" t="e">
        <f aca="true">
IF(D34="폐업","폐업",
IF(V34="면제","면제",
IF(AND(V34="정상",COUNTIFS(OFFSET(Y34,0,COUNTA(Y34:AV34)-1,1,-4),"미납")&gt;=3),"장기미납",
IF(AND(V34="정상",OFFSET(Y34,0,COUNTA(Y34:AV34)-1)&gt;=U34),"정상",
IF(AND(V34="정상",OFFSET(Y34,0,COUNTA(Y34:AV34)-1)=0),"정상",
"계약서 미작성")))))</f>
        <v>#VALUE!</v>
      </c>
      <c r="X34" s="81" t="str">
        <f aca="true">
IF(D34="폐업","폐업",
IF(AND(V34="정상",OFFSET(Y34,0,COUNTA(Y34:AV34)-1)="미납"),"미납",
IF(AND(V34="정상",OFFSET(Y34,0,COUNTA(Y34:AV34)-1)=0),"납부 시작 전",
IF(AND(V34="정상",OFFSET(Y34,0,COUNTA(Y34:AV34)-1)&gt;=U34),"정상",
IF(AND(V34="면제",OFFSET(Y34,0,COUNTA(Y34:AV34)-1)="면제"),"면제",
IF(AND(V34="면제",OFFSET(Y34,0,COUNTA(Y34:AV34)-1)=0),"면제",
"확인요청"))))))</f>
        <v>정상</v>
      </c>
      <c r="Y34" s="93" t="n">
        <v>55000</v>
      </c>
      <c r="Z34" s="90" t="n">
        <v>55000</v>
      </c>
      <c r="AA34" s="90" t="n">
        <v>55000</v>
      </c>
      <c r="AB34" s="90" t="n">
        <v>55000</v>
      </c>
      <c r="AC34" s="90" t="n">
        <v>55000</v>
      </c>
      <c r="AD34" s="90" t="n">
        <v>55000</v>
      </c>
      <c r="AE34" s="90" t="n">
        <v>55000</v>
      </c>
      <c r="AF34" s="90" t="n">
        <v>55000</v>
      </c>
      <c r="AG34" s="90" t="n">
        <v>55000</v>
      </c>
      <c r="AH34" s="90" t="n">
        <v>55000</v>
      </c>
      <c r="AI34" s="90" t="n">
        <v>55000</v>
      </c>
      <c r="AJ34" s="91" t="n">
        <v>55000</v>
      </c>
      <c r="AK34" s="89" t="n">
        <v>55000</v>
      </c>
      <c r="AL34" s="90" t="n">
        <v>55000</v>
      </c>
      <c r="AM34" s="90"/>
      <c r="AN34" s="90"/>
      <c r="AO34" s="90"/>
      <c r="AP34" s="90"/>
      <c r="AQ34" s="90"/>
      <c r="AR34" s="90"/>
      <c r="AS34" s="90"/>
      <c r="AT34" s="90"/>
      <c r="AU34" s="90"/>
      <c r="AV34" s="91"/>
      <c r="AX34" s="92"/>
    </row>
    <row r="35" customFormat="false" ht="15.65" hidden="false" customHeight="false" outlineLevel="0" collapsed="false">
      <c r="C35" s="72" t="n">
        <f aca="false">COUNTIFS($D$6:D35,"&lt;&gt;"&amp;"")</f>
        <v>30</v>
      </c>
      <c r="D35" s="73" t="s">
        <v>12</v>
      </c>
      <c r="E35" s="76" t="str">
        <f aca="false">
IF($D35="정상",INDEX(임대자산!$D$3:$R$3000,MATCH($F35,임대자산!$I$3:$I$3000,0),MATCH(E$3,임대자산!$D$3:$R$3,0)),
IF($D35="폐업",INDEX(폐업정보!$D$3:$R$3000,MATCH($F35,폐업정보!$I$3:$I$3000,0),MATCH(E$3,폐업정보!$D$3:$R$3,0)),
"Error"))</f>
        <v>경기</v>
      </c>
      <c r="F3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B0030</v>
      </c>
      <c r="G35" s="76" t="str">
        <f aca="false">F35&amp;RANDBETWEEN(0,10)</f>
        <v>B00307</v>
      </c>
      <c r="H35" s="75" t="n">
        <f aca="false">
IF($D35="정상",INDEX(임대자산!$D$3:$R$3000,MATCH($F35,임대자산!$I$3:$I$3000,0),MATCH(H$4,임대자산!$D$3:$R$3,0)),
IF($D35="폐업",INDEX(폐업정보!$D$3:$R$3000,MATCH($F35,폐업정보!$I$3:$I$3000,0),MATCH(H$4,폐업정보!$D$3:$R$3,0)),
"Error"))</f>
        <v>43032</v>
      </c>
      <c r="I35" s="75" t="str">
        <f aca="false">
IF($D35="정상",INDEX(임대자산!$D$3:$R$3000,MATCH($F35,임대자산!$I$3:$I$3000,0),MATCH(I$4,임대자산!$D$3:$R$3,0)),
IF($D35="폐업",INDEX(폐업정보!$D$3:$R$3000,MATCH($F35,폐업정보!$I$3:$I$3000,0),MATCH(I$4,폐업정보!$D$3:$R$3,0)),
"Error"))</f>
        <v>A0030</v>
      </c>
      <c r="J35" s="75" t="str">
        <f aca="false">
IF($D35="정상",INDEX(임대자산!$D$3:$R$3000,MATCH($F35,임대자산!$I$3:$I$3000,0),MATCH(J$4,임대자산!$D$3:$R$3,0)),
IF($D35="폐업",INDEX(폐업정보!$D$3:$R$3000,MATCH($F35,폐업정보!$I$3:$I$3000,0),MATCH(J$4,폐업정보!$D$3:$R$3,0)),
"Error"))</f>
        <v>2057900000</v>
      </c>
      <c r="K35" s="75" t="str">
        <f aca="false">
IF($D35="정상",INDEX(임대자산!$D$3:$R$3000,MATCH($F35,임대자산!$I$3:$I$3000,0),MATCH(K$4,임대자산!$D$3:$R$3,0)),
IF($D35="폐업",INDEX(폐업정보!$D$3:$R$3000,MATCH($F35,폐업정보!$I$3:$I$3000,0),MATCH(K$4,폐업정보!$D$3:$R$3,0)),
"Error"))</f>
        <v>C0030</v>
      </c>
      <c r="L35" s="75" t="str">
        <f aca="false">
IF($D35="정상",INDEX(임대자산!$D$3:$R$3000,MATCH($F35,임대자산!$I$3:$I$3000,0),MATCH(L$4,임대자산!$D$3:$R$3,0)),
IF($D35="폐업",INDEX(폐업정보!$D$3:$R$3000,MATCH($F35,폐업정보!$I$3:$I$3000,0),MATCH(L$4,폐업정보!$D$3:$R$3,0)),
"Error"))</f>
        <v>D0030</v>
      </c>
      <c r="M35" s="76" t="s">
        <v>96</v>
      </c>
      <c r="N35" s="77"/>
      <c r="O35" s="78" t="s">
        <v>97</v>
      </c>
      <c r="P35" s="79" t="n">
        <f aca="false">COUNTIFS(임대자산!$I:$I,가맹점정보!F35,임대자산!$N:$N,가맹점정보!P$4)</f>
        <v>1</v>
      </c>
      <c r="Q35" s="80" t="n">
        <f aca="false">COUNTIFS(임대자산!$I:$I,가맹점정보!F35,임대자산!$N:$N,가맹점정보!Q$4)</f>
        <v>0</v>
      </c>
      <c r="R35" s="81" t="n">
        <f aca="false">COUNTIFS(임대자산!$I:$I,가맹점정보!F35,임대자산!$N:$N,가맹점정보!R$4)</f>
        <v>0</v>
      </c>
      <c r="S35" s="82" t="n">
        <v>55000</v>
      </c>
      <c r="T35" s="83" t="n">
        <v>0</v>
      </c>
      <c r="U35" s="80" t="n">
        <f aca="false">SUM(S35:T35)</f>
        <v>55000</v>
      </c>
      <c r="V35" s="84" t="s">
        <v>7</v>
      </c>
      <c r="W35" s="80" t="str">
        <f aca="true">
IF(D35="폐업","폐업",
IF(V35="면제","면제",
IF(AND(V35="정상",COUNTIFS(OFFSET(Y35,0,COUNTA(Y35:AV35)-1,1,-4),"미납")&gt;=3),"장기미납",
IF(AND(V35="정상",OFFSET(Y35,0,COUNTA(Y35:AV35)-1)&gt;=U35),"정상",
IF(AND(V35="정상",OFFSET(Y35,0,COUNTA(Y35:AV35)-1)=0),"정상",
"계약서 미작성")))))</f>
        <v>면제</v>
      </c>
      <c r="X35" s="81" t="str">
        <f aca="true">
IF(D35="폐업","폐업",
IF(AND(V35="정상",OFFSET(Y35,0,COUNTA(Y35:AV35)-1)="미납"),"미납",
IF(AND(V35="정상",OFFSET(Y35,0,COUNTA(Y35:AV35)-1)=0),"납부 시작 전",
IF(AND(V35="정상",OFFSET(Y35,0,COUNTA(Y35:AV35)-1)&gt;=U35),"정상",
IF(AND(V35="면제",OFFSET(Y35,0,COUNTA(Y35:AV35)-1)="면제"),"면제",
IF(AND(V35="면제",OFFSET(Y35,0,COUNTA(Y35:AV35)-1)=0),"면제",
"확인요청"))))))</f>
        <v>면제</v>
      </c>
      <c r="Y35" s="94" t="s">
        <v>7</v>
      </c>
      <c r="Z35" s="95" t="s">
        <v>7</v>
      </c>
      <c r="AA35" s="95" t="s">
        <v>7</v>
      </c>
      <c r="AB35" s="95" t="s">
        <v>7</v>
      </c>
      <c r="AC35" s="95" t="s">
        <v>7</v>
      </c>
      <c r="AD35" s="95" t="s">
        <v>7</v>
      </c>
      <c r="AE35" s="95" t="s">
        <v>7</v>
      </c>
      <c r="AF35" s="95" t="s">
        <v>7</v>
      </c>
      <c r="AG35" s="95" t="s">
        <v>7</v>
      </c>
      <c r="AH35" s="95" t="s">
        <v>7</v>
      </c>
      <c r="AI35" s="95" t="s">
        <v>7</v>
      </c>
      <c r="AJ35" s="96" t="s">
        <v>7</v>
      </c>
      <c r="AK35" s="97" t="s">
        <v>7</v>
      </c>
      <c r="AL35" s="95" t="s">
        <v>7</v>
      </c>
      <c r="AM35" s="90"/>
      <c r="AN35" s="90"/>
      <c r="AO35" s="90"/>
      <c r="AP35" s="90"/>
      <c r="AQ35" s="90"/>
      <c r="AR35" s="90"/>
      <c r="AS35" s="90"/>
      <c r="AT35" s="90"/>
      <c r="AU35" s="90"/>
      <c r="AV35" s="91"/>
      <c r="AX35" s="92"/>
    </row>
    <row r="36" customFormat="false" ht="15.65" hidden="false" customHeight="false" outlineLevel="0" collapsed="false">
      <c r="C36" s="72" t="n">
        <f aca="false">COUNTIFS($D$6:D36,"&lt;&gt;"&amp;"")</f>
        <v>31</v>
      </c>
      <c r="D36" s="73" t="s">
        <v>12</v>
      </c>
      <c r="E36" s="76" t="str">
        <f aca="false">
IF($D36="정상",INDEX(임대자산!$D$3:$R$3000,MATCH($F36,임대자산!$I$3:$I$3000,0),MATCH(E$3,임대자산!$D$3:$R$3,0)),
IF($D36="폐업",INDEX(폐업정보!$D$3:$R$3000,MATCH($F36,폐업정보!$I$3:$I$3000,0),MATCH(E$3,폐업정보!$D$3:$R$3,0)),
"Error"))</f>
        <v>전라</v>
      </c>
      <c r="F3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B0031</v>
      </c>
      <c r="G36" s="76" t="str">
        <f aca="false">F36&amp;RANDBETWEEN(0,10)</f>
        <v>B00316</v>
      </c>
      <c r="H36" s="75" t="n">
        <f aca="false">
IF($D36="정상",INDEX(임대자산!$D$3:$R$3000,MATCH($F36,임대자산!$I$3:$I$3000,0),MATCH(H$4,임대자산!$D$3:$R$3,0)),
IF($D36="폐업",INDEX(폐업정보!$D$3:$R$3000,MATCH($F36,폐업정보!$I$3:$I$3000,0),MATCH(H$4,폐업정보!$D$3:$R$3,0)),
"Error"))</f>
        <v>43970</v>
      </c>
      <c r="I36" s="75" t="str">
        <f aca="false">
IF($D36="정상",INDEX(임대자산!$D$3:$R$3000,MATCH($F36,임대자산!$I$3:$I$3000,0),MATCH(I$4,임대자산!$D$3:$R$3,0)),
IF($D36="폐업",INDEX(폐업정보!$D$3:$R$3000,MATCH($F36,폐업정보!$I$3:$I$3000,0),MATCH(I$4,폐업정보!$D$3:$R$3,0)),
"Error"))</f>
        <v>A0031</v>
      </c>
      <c r="J36" s="75" t="str">
        <f aca="false">
IF($D36="정상",INDEX(임대자산!$D$3:$R$3000,MATCH($F36,임대자산!$I$3:$I$3000,0),MATCH(J$4,임대자산!$D$3:$R$3,0)),
IF($D36="폐업",INDEX(폐업정보!$D$3:$R$3000,MATCH($F36,폐업정보!$I$3:$I$3000,0),MATCH(J$4,폐업정보!$D$3:$R$3,0)),
"Error"))</f>
        <v>6425700000</v>
      </c>
      <c r="K36" s="75" t="str">
        <f aca="false">
IF($D36="정상",INDEX(임대자산!$D$3:$R$3000,MATCH($F36,임대자산!$I$3:$I$3000,0),MATCH(K$4,임대자산!$D$3:$R$3,0)),
IF($D36="폐업",INDEX(폐업정보!$D$3:$R$3000,MATCH($F36,폐업정보!$I$3:$I$3000,0),MATCH(K$4,폐업정보!$D$3:$R$3,0)),
"Error"))</f>
        <v>C0031</v>
      </c>
      <c r="L36" s="75" t="str">
        <f aca="false">
IF($D36="정상",INDEX(임대자산!$D$3:$R$3000,MATCH($F36,임대자산!$I$3:$I$3000,0),MATCH(L$4,임대자산!$D$3:$R$3,0)),
IF($D36="폐업",INDEX(폐업정보!$D$3:$R$3000,MATCH($F36,폐업정보!$I$3:$I$3000,0),MATCH(L$4,폐업정보!$D$3:$R$3,0)),
"Error"))</f>
        <v>D0031</v>
      </c>
      <c r="M36" s="76" t="s">
        <v>96</v>
      </c>
      <c r="N36" s="77"/>
      <c r="O36" s="78" t="s">
        <v>97</v>
      </c>
      <c r="P36" s="79" t="n">
        <f aca="false">COUNTIFS(임대자산!$I:$I,가맹점정보!F36,임대자산!$N:$N,가맹점정보!P$4)</f>
        <v>1</v>
      </c>
      <c r="Q36" s="80" t="n">
        <f aca="false">COUNTIFS(임대자산!$I:$I,가맹점정보!F36,임대자산!$N:$N,가맹점정보!Q$4)</f>
        <v>0</v>
      </c>
      <c r="R36" s="81" t="n">
        <f aca="false">COUNTIFS(임대자산!$I:$I,가맹점정보!F36,임대자산!$N:$N,가맹점정보!R$4)</f>
        <v>0</v>
      </c>
      <c r="S36" s="82" t="n">
        <v>55000</v>
      </c>
      <c r="T36" s="83" t="n">
        <v>0</v>
      </c>
      <c r="U36" s="80" t="n">
        <f aca="false">SUM(S36:T36)</f>
        <v>55000</v>
      </c>
      <c r="V36" s="84" t="s">
        <v>7</v>
      </c>
      <c r="W36" s="80" t="str">
        <f aca="true">
IF(D36="폐업","폐업",
IF(V36="면제","면제",
IF(AND(V36="정상",COUNTIFS(OFFSET(Y36,0,COUNTA(Y36:AV36)-1,1,-4),"미납")&gt;=3),"장기미납",
IF(AND(V36="정상",OFFSET(Y36,0,COUNTA(Y36:AV36)-1)&gt;=U36),"정상",
IF(AND(V36="정상",OFFSET(Y36,0,COUNTA(Y36:AV36)-1)=0),"정상",
"계약서 미작성")))))</f>
        <v>면제</v>
      </c>
      <c r="X36" s="81" t="str">
        <f aca="true">
IF(D36="폐업","폐업",
IF(AND(V36="정상",OFFSET(Y36,0,COUNTA(Y36:AV36)-1)="미납"),"미납",
IF(AND(V36="정상",OFFSET(Y36,0,COUNTA(Y36:AV36)-1)=0),"납부 시작 전",
IF(AND(V36="정상",OFFSET(Y36,0,COUNTA(Y36:AV36)-1)&gt;=U36),"정상",
IF(AND(V36="면제",OFFSET(Y36,0,COUNTA(Y36:AV36)-1)="면제"),"면제",
IF(AND(V36="면제",OFFSET(Y36,0,COUNTA(Y36:AV36)-1)=0),"면제",
"확인요청"))))))</f>
        <v>면제</v>
      </c>
      <c r="Y36" s="94" t="s">
        <v>7</v>
      </c>
      <c r="Z36" s="95" t="s">
        <v>7</v>
      </c>
      <c r="AA36" s="95" t="s">
        <v>7</v>
      </c>
      <c r="AB36" s="95" t="s">
        <v>7</v>
      </c>
      <c r="AC36" s="95" t="s">
        <v>7</v>
      </c>
      <c r="AD36" s="95" t="s">
        <v>7</v>
      </c>
      <c r="AE36" s="95" t="s">
        <v>7</v>
      </c>
      <c r="AF36" s="95" t="s">
        <v>7</v>
      </c>
      <c r="AG36" s="95" t="s">
        <v>7</v>
      </c>
      <c r="AH36" s="95" t="s">
        <v>7</v>
      </c>
      <c r="AI36" s="95" t="s">
        <v>7</v>
      </c>
      <c r="AJ36" s="96" t="s">
        <v>7</v>
      </c>
      <c r="AK36" s="97" t="s">
        <v>7</v>
      </c>
      <c r="AL36" s="95" t="s">
        <v>7</v>
      </c>
      <c r="AM36" s="90"/>
      <c r="AN36" s="90"/>
      <c r="AO36" s="90"/>
      <c r="AP36" s="90"/>
      <c r="AQ36" s="90"/>
      <c r="AR36" s="90"/>
      <c r="AS36" s="90"/>
      <c r="AT36" s="90"/>
      <c r="AU36" s="90"/>
      <c r="AV36" s="91"/>
      <c r="AX36" s="92"/>
    </row>
    <row r="37" customFormat="false" ht="15.65" hidden="false" customHeight="false" outlineLevel="0" collapsed="false">
      <c r="C37" s="72" t="n">
        <f aca="false">COUNTIFS($D$6:D37,"&lt;&gt;"&amp;"")</f>
        <v>32</v>
      </c>
      <c r="D37" s="73" t="s">
        <v>12</v>
      </c>
      <c r="E37" s="76" t="str">
        <f aca="false">
IF($D37="정상",INDEX(임대자산!$D$3:$R$3000,MATCH($F37,임대자산!$I$3:$I$3000,0),MATCH(E$3,임대자산!$D$3:$R$3,0)),
IF($D37="폐업",INDEX(폐업정보!$D$3:$R$3000,MATCH($F37,폐업정보!$I$3:$I$3000,0),MATCH(E$3,폐업정보!$D$3:$R$3,0)),
"Error"))</f>
        <v>전라</v>
      </c>
      <c r="F3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B0032</v>
      </c>
      <c r="G37" s="76" t="str">
        <f aca="false">F37&amp;RANDBETWEEN(0,10)</f>
        <v>B00323</v>
      </c>
      <c r="H37" s="75" t="n">
        <f aca="false">
IF($D37="정상",INDEX(임대자산!$D$3:$R$3000,MATCH($F37,임대자산!$I$3:$I$3000,0),MATCH(H$4,임대자산!$D$3:$R$3,0)),
IF($D37="폐업",INDEX(폐업정보!$D$3:$R$3000,MATCH($F37,폐업정보!$I$3:$I$3000,0),MATCH(H$4,폐업정보!$D$3:$R$3,0)),
"Error"))</f>
        <v>42846</v>
      </c>
      <c r="I37" s="75" t="str">
        <f aca="false">
IF($D37="정상",INDEX(임대자산!$D$3:$R$3000,MATCH($F37,임대자산!$I$3:$I$3000,0),MATCH(I$4,임대자산!$D$3:$R$3,0)),
IF($D37="폐업",INDEX(폐업정보!$D$3:$R$3000,MATCH($F37,폐업정보!$I$3:$I$3000,0),MATCH(I$4,폐업정보!$D$3:$R$3,0)),
"Error"))</f>
        <v>A0032</v>
      </c>
      <c r="J37" s="75" t="str">
        <f aca="false">
IF($D37="정상",INDEX(임대자산!$D$3:$R$3000,MATCH($F37,임대자산!$I$3:$I$3000,0),MATCH(J$4,임대자산!$D$3:$R$3,0)),
IF($D37="폐업",INDEX(폐업정보!$D$3:$R$3000,MATCH($F37,폐업정보!$I$3:$I$3000,0),MATCH(J$4,폐업정보!$D$3:$R$3,0)),
"Error"))</f>
        <v>3659400000</v>
      </c>
      <c r="K37" s="75" t="str">
        <f aca="false">
IF($D37="정상",INDEX(임대자산!$D$3:$R$3000,MATCH($F37,임대자산!$I$3:$I$3000,0),MATCH(K$4,임대자산!$D$3:$R$3,0)),
IF($D37="폐업",INDEX(폐업정보!$D$3:$R$3000,MATCH($F37,폐업정보!$I$3:$I$3000,0),MATCH(K$4,폐업정보!$D$3:$R$3,0)),
"Error"))</f>
        <v>C0032</v>
      </c>
      <c r="L37" s="75" t="str">
        <f aca="false">
IF($D37="정상",INDEX(임대자산!$D$3:$R$3000,MATCH($F37,임대자산!$I$3:$I$3000,0),MATCH(L$4,임대자산!$D$3:$R$3,0)),
IF($D37="폐업",INDEX(폐업정보!$D$3:$R$3000,MATCH($F37,폐업정보!$I$3:$I$3000,0),MATCH(L$4,폐업정보!$D$3:$R$3,0)),
"Error"))</f>
        <v>D0032</v>
      </c>
      <c r="M37" s="76" t="s">
        <v>96</v>
      </c>
      <c r="N37" s="77"/>
      <c r="O37" s="78" t="s">
        <v>97</v>
      </c>
      <c r="P37" s="79" t="n">
        <f aca="false">COUNTIFS(임대자산!$I:$I,가맹점정보!F37,임대자산!$N:$N,가맹점정보!P$4)</f>
        <v>1</v>
      </c>
      <c r="Q37" s="80" t="n">
        <f aca="false">COUNTIFS(임대자산!$I:$I,가맹점정보!F37,임대자산!$N:$N,가맹점정보!Q$4)</f>
        <v>0</v>
      </c>
      <c r="R37" s="81" t="n">
        <f aca="false">COUNTIFS(임대자산!$I:$I,가맹점정보!F37,임대자산!$N:$N,가맹점정보!R$4)</f>
        <v>0</v>
      </c>
      <c r="S37" s="82" t="n">
        <v>55000</v>
      </c>
      <c r="T37" s="83" t="n">
        <v>0</v>
      </c>
      <c r="U37" s="80" t="n">
        <f aca="false">SUM(S37:T37)</f>
        <v>55000</v>
      </c>
      <c r="V37" s="84" t="s">
        <v>7</v>
      </c>
      <c r="W37" s="80" t="str">
        <f aca="true">
IF(D37="폐업","폐업",
IF(V37="면제","면제",
IF(AND(V37="정상",COUNTIFS(OFFSET(Y37,0,COUNTA(Y37:AV37)-1,1,-4),"미납")&gt;=3),"장기미납",
IF(AND(V37="정상",OFFSET(Y37,0,COUNTA(Y37:AV37)-1)&gt;=U37),"정상",
IF(AND(V37="정상",OFFSET(Y37,0,COUNTA(Y37:AV37)-1)=0),"정상",
"계약서 미작성")))))</f>
        <v>면제</v>
      </c>
      <c r="X37" s="81" t="str">
        <f aca="true">
IF(D37="폐업","폐업",
IF(AND(V37="정상",OFFSET(Y37,0,COUNTA(Y37:AV37)-1)="미납"),"미납",
IF(AND(V37="정상",OFFSET(Y37,0,COUNTA(Y37:AV37)-1)=0),"납부 시작 전",
IF(AND(V37="정상",OFFSET(Y37,0,COUNTA(Y37:AV37)-1)&gt;=U37),"정상",
IF(AND(V37="면제",OFFSET(Y37,0,COUNTA(Y37:AV37)-1)="면제"),"면제",
IF(AND(V37="면제",OFFSET(Y37,0,COUNTA(Y37:AV37)-1)=0),"면제",
"확인요청"))))))</f>
        <v>면제</v>
      </c>
      <c r="Y37" s="94" t="s">
        <v>7</v>
      </c>
      <c r="Z37" s="95" t="s">
        <v>7</v>
      </c>
      <c r="AA37" s="95" t="s">
        <v>7</v>
      </c>
      <c r="AB37" s="95" t="s">
        <v>7</v>
      </c>
      <c r="AC37" s="95" t="s">
        <v>7</v>
      </c>
      <c r="AD37" s="95" t="s">
        <v>7</v>
      </c>
      <c r="AE37" s="95" t="s">
        <v>7</v>
      </c>
      <c r="AF37" s="95" t="s">
        <v>7</v>
      </c>
      <c r="AG37" s="95" t="s">
        <v>7</v>
      </c>
      <c r="AH37" s="95" t="s">
        <v>7</v>
      </c>
      <c r="AI37" s="95" t="s">
        <v>7</v>
      </c>
      <c r="AJ37" s="96" t="s">
        <v>7</v>
      </c>
      <c r="AK37" s="97" t="s">
        <v>7</v>
      </c>
      <c r="AL37" s="95" t="s">
        <v>7</v>
      </c>
      <c r="AM37" s="90"/>
      <c r="AN37" s="90"/>
      <c r="AO37" s="90"/>
      <c r="AP37" s="90"/>
      <c r="AQ37" s="90"/>
      <c r="AR37" s="90"/>
      <c r="AS37" s="90"/>
      <c r="AT37" s="90"/>
      <c r="AU37" s="90"/>
      <c r="AV37" s="91"/>
      <c r="AX37" s="92"/>
    </row>
    <row r="38" customFormat="false" ht="15.65" hidden="false" customHeight="false" outlineLevel="0" collapsed="false">
      <c r="C38" s="72" t="n">
        <f aca="false">COUNTIFS($D$6:D38,"&lt;&gt;"&amp;"")</f>
        <v>33</v>
      </c>
      <c r="D38" s="73" t="s">
        <v>12</v>
      </c>
      <c r="E38" s="76" t="str">
        <f aca="false">
IF($D38="정상",INDEX(임대자산!$D$3:$R$3000,MATCH($F38,임대자산!$I$3:$I$3000,0),MATCH(E$3,임대자산!$D$3:$R$3,0)),
IF($D38="폐업",INDEX(폐업정보!$D$3:$R$3000,MATCH($F38,폐업정보!$I$3:$I$3000,0),MATCH(E$3,폐업정보!$D$3:$R$3,0)),
"Error"))</f>
        <v>강원</v>
      </c>
      <c r="F3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B0033</v>
      </c>
      <c r="G38" s="76" t="str">
        <f aca="false">F38&amp;RANDBETWEEN(0,10)</f>
        <v>B00335</v>
      </c>
      <c r="H38" s="75" t="n">
        <f aca="false">
IF($D38="정상",INDEX(임대자산!$D$3:$R$3000,MATCH($F38,임대자산!$I$3:$I$3000,0),MATCH(H$4,임대자산!$D$3:$R$3,0)),
IF($D38="폐업",INDEX(폐업정보!$D$3:$R$3000,MATCH($F38,폐업정보!$I$3:$I$3000,0),MATCH(H$4,폐업정보!$D$3:$R$3,0)),
"Error"))</f>
        <v>44021</v>
      </c>
      <c r="I38" s="75" t="str">
        <f aca="false">
IF($D38="정상",INDEX(임대자산!$D$3:$R$3000,MATCH($F38,임대자산!$I$3:$I$3000,0),MATCH(I$4,임대자산!$D$3:$R$3,0)),
IF($D38="폐업",INDEX(폐업정보!$D$3:$R$3000,MATCH($F38,폐업정보!$I$3:$I$3000,0),MATCH(I$4,폐업정보!$D$3:$R$3,0)),
"Error"))</f>
        <v>A0033</v>
      </c>
      <c r="J38" s="75" t="str">
        <f aca="false">
IF($D38="정상",INDEX(임대자산!$D$3:$R$3000,MATCH($F38,임대자산!$I$3:$I$3000,0),MATCH(J$4,임대자산!$D$3:$R$3,0)),
IF($D38="폐업",INDEX(폐업정보!$D$3:$R$3000,MATCH($F38,폐업정보!$I$3:$I$3000,0),MATCH(J$4,폐업정보!$D$3:$R$3,0)),
"Error"))</f>
        <v>6325600000</v>
      </c>
      <c r="K38" s="75" t="str">
        <f aca="false">
IF($D38="정상",INDEX(임대자산!$D$3:$R$3000,MATCH($F38,임대자산!$I$3:$I$3000,0),MATCH(K$4,임대자산!$D$3:$R$3,0)),
IF($D38="폐업",INDEX(폐업정보!$D$3:$R$3000,MATCH($F38,폐업정보!$I$3:$I$3000,0),MATCH(K$4,폐업정보!$D$3:$R$3,0)),
"Error"))</f>
        <v>C0033</v>
      </c>
      <c r="L38" s="75" t="str">
        <f aca="false">
IF($D38="정상",INDEX(임대자산!$D$3:$R$3000,MATCH($F38,임대자산!$I$3:$I$3000,0),MATCH(L$4,임대자산!$D$3:$R$3,0)),
IF($D38="폐업",INDEX(폐업정보!$D$3:$R$3000,MATCH($F38,폐업정보!$I$3:$I$3000,0),MATCH(L$4,폐업정보!$D$3:$R$3,0)),
"Error"))</f>
        <v>D0033</v>
      </c>
      <c r="M38" s="76" t="s">
        <v>96</v>
      </c>
      <c r="N38" s="77"/>
      <c r="O38" s="78" t="s">
        <v>97</v>
      </c>
      <c r="P38" s="79" t="n">
        <f aca="false">COUNTIFS(임대자산!$I:$I,가맹점정보!F38,임대자산!$N:$N,가맹점정보!P$4)</f>
        <v>1</v>
      </c>
      <c r="Q38" s="80" t="n">
        <f aca="false">COUNTIFS(임대자산!$I:$I,가맹점정보!F38,임대자산!$N:$N,가맹점정보!Q$4)</f>
        <v>0</v>
      </c>
      <c r="R38" s="81" t="n">
        <f aca="false">COUNTIFS(임대자산!$I:$I,가맹점정보!F38,임대자산!$N:$N,가맹점정보!R$4)</f>
        <v>0</v>
      </c>
      <c r="S38" s="82" t="n">
        <v>55000</v>
      </c>
      <c r="T38" s="83" t="n">
        <v>0</v>
      </c>
      <c r="U38" s="80" t="n">
        <f aca="false">SUM(S38:T38)</f>
        <v>55000</v>
      </c>
      <c r="V38" s="84" t="s">
        <v>7</v>
      </c>
      <c r="W38" s="80" t="str">
        <f aca="true">
IF(D38="폐업","폐업",
IF(V38="면제","면제",
IF(AND(V38="정상",COUNTIFS(OFFSET(Y38,0,COUNTA(Y38:AV38)-1,1,-4),"미납")&gt;=3),"장기미납",
IF(AND(V38="정상",OFFSET(Y38,0,COUNTA(Y38:AV38)-1)&gt;=U38),"정상",
IF(AND(V38="정상",OFFSET(Y38,0,COUNTA(Y38:AV38)-1)=0),"정상",
"계약서 미작성")))))</f>
        <v>면제</v>
      </c>
      <c r="X38" s="81" t="str">
        <f aca="true">
IF(D38="폐업","폐업",
IF(AND(V38="정상",OFFSET(Y38,0,COUNTA(Y38:AV38)-1)="미납"),"미납",
IF(AND(V38="정상",OFFSET(Y38,0,COUNTA(Y38:AV38)-1)=0),"납부 시작 전",
IF(AND(V38="정상",OFFSET(Y38,0,COUNTA(Y38:AV38)-1)&gt;=U38),"정상",
IF(AND(V38="면제",OFFSET(Y38,0,COUNTA(Y38:AV38)-1)="면제"),"면제",
IF(AND(V38="면제",OFFSET(Y38,0,COUNTA(Y38:AV38)-1)=0),"면제",
"확인요청"))))))</f>
        <v>면제</v>
      </c>
      <c r="Y38" s="94" t="s">
        <v>7</v>
      </c>
      <c r="Z38" s="95" t="s">
        <v>7</v>
      </c>
      <c r="AA38" s="95" t="s">
        <v>7</v>
      </c>
      <c r="AB38" s="95" t="s">
        <v>7</v>
      </c>
      <c r="AC38" s="95" t="s">
        <v>7</v>
      </c>
      <c r="AD38" s="95" t="s">
        <v>7</v>
      </c>
      <c r="AE38" s="95" t="s">
        <v>7</v>
      </c>
      <c r="AF38" s="95" t="s">
        <v>7</v>
      </c>
      <c r="AG38" s="95" t="s">
        <v>7</v>
      </c>
      <c r="AH38" s="95" t="s">
        <v>7</v>
      </c>
      <c r="AI38" s="95" t="s">
        <v>7</v>
      </c>
      <c r="AJ38" s="96" t="s">
        <v>7</v>
      </c>
      <c r="AK38" s="97" t="s">
        <v>7</v>
      </c>
      <c r="AL38" s="95" t="s">
        <v>7</v>
      </c>
      <c r="AM38" s="90"/>
      <c r="AN38" s="90"/>
      <c r="AO38" s="90"/>
      <c r="AP38" s="90"/>
      <c r="AQ38" s="90"/>
      <c r="AR38" s="90"/>
      <c r="AS38" s="90"/>
      <c r="AT38" s="90"/>
      <c r="AU38" s="90"/>
      <c r="AV38" s="91"/>
      <c r="AX38" s="92"/>
    </row>
    <row r="39" customFormat="false" ht="15.65" hidden="false" customHeight="false" outlineLevel="0" collapsed="false">
      <c r="C39" s="72" t="n">
        <f aca="false">COUNTIFS($D$6:D39,"&lt;&gt;"&amp;"")</f>
        <v>34</v>
      </c>
      <c r="D39" s="73" t="s">
        <v>12</v>
      </c>
      <c r="E39" s="76" t="str">
        <f aca="false">
IF($D39="정상",INDEX(임대자산!$D$3:$R$3000,MATCH($F39,임대자산!$I$3:$I$3000,0),MATCH(E$3,임대자산!$D$3:$R$3,0)),
IF($D39="폐업",INDEX(폐업정보!$D$3:$R$3000,MATCH($F39,폐업정보!$I$3:$I$3000,0),MATCH(E$3,폐업정보!$D$3:$R$3,0)),
"Error"))</f>
        <v>강원</v>
      </c>
      <c r="F3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B0034</v>
      </c>
      <c r="G39" s="76" t="str">
        <f aca="false">F39&amp;RANDBETWEEN(0,10)</f>
        <v>B00345</v>
      </c>
      <c r="H39" s="75" t="n">
        <f aca="false">
IF($D39="정상",INDEX(임대자산!$D$3:$R$3000,MATCH($F39,임대자산!$I$3:$I$3000,0),MATCH(H$4,임대자산!$D$3:$R$3,0)),
IF($D39="폐업",INDEX(폐업정보!$D$3:$R$3000,MATCH($F39,폐업정보!$I$3:$I$3000,0),MATCH(H$4,폐업정보!$D$3:$R$3,0)),
"Error"))</f>
        <v>44151</v>
      </c>
      <c r="I39" s="75" t="str">
        <f aca="false">
IF($D39="정상",INDEX(임대자산!$D$3:$R$3000,MATCH($F39,임대자산!$I$3:$I$3000,0),MATCH(I$4,임대자산!$D$3:$R$3,0)),
IF($D39="폐업",INDEX(폐업정보!$D$3:$R$3000,MATCH($F39,폐업정보!$I$3:$I$3000,0),MATCH(I$4,폐업정보!$D$3:$R$3,0)),
"Error"))</f>
        <v>A0034</v>
      </c>
      <c r="J39" s="75" t="str">
        <f aca="false">
IF($D39="정상",INDEX(임대자산!$D$3:$R$3000,MATCH($F39,임대자산!$I$3:$I$3000,0),MATCH(J$4,임대자산!$D$3:$R$3,0)),
IF($D39="폐업",INDEX(폐업정보!$D$3:$R$3000,MATCH($F39,폐업정보!$I$3:$I$3000,0),MATCH(J$4,폐업정보!$D$3:$R$3,0)),
"Error"))</f>
        <v>1766900000</v>
      </c>
      <c r="K39" s="75" t="str">
        <f aca="false">
IF($D39="정상",INDEX(임대자산!$D$3:$R$3000,MATCH($F39,임대자산!$I$3:$I$3000,0),MATCH(K$4,임대자산!$D$3:$R$3,0)),
IF($D39="폐업",INDEX(폐업정보!$D$3:$R$3000,MATCH($F39,폐업정보!$I$3:$I$3000,0),MATCH(K$4,폐업정보!$D$3:$R$3,0)),
"Error"))</f>
        <v>C0034</v>
      </c>
      <c r="L39" s="75" t="str">
        <f aca="false">
IF($D39="정상",INDEX(임대자산!$D$3:$R$3000,MATCH($F39,임대자산!$I$3:$I$3000,0),MATCH(L$4,임대자산!$D$3:$R$3,0)),
IF($D39="폐업",INDEX(폐업정보!$D$3:$R$3000,MATCH($F39,폐업정보!$I$3:$I$3000,0),MATCH(L$4,폐업정보!$D$3:$R$3,0)),
"Error"))</f>
        <v>D0034</v>
      </c>
      <c r="M39" s="76" t="s">
        <v>96</v>
      </c>
      <c r="N39" s="77"/>
      <c r="O39" s="78" t="s">
        <v>97</v>
      </c>
      <c r="P39" s="79" t="n">
        <f aca="false">COUNTIFS(임대자산!$I:$I,가맹점정보!F39,임대자산!$N:$N,가맹점정보!P$4)</f>
        <v>1</v>
      </c>
      <c r="Q39" s="80" t="n">
        <f aca="false">COUNTIFS(임대자산!$I:$I,가맹점정보!F39,임대자산!$N:$N,가맹점정보!Q$4)</f>
        <v>0</v>
      </c>
      <c r="R39" s="81" t="n">
        <f aca="false">COUNTIFS(임대자산!$I:$I,가맹점정보!F39,임대자산!$N:$N,가맹점정보!R$4)</f>
        <v>0</v>
      </c>
      <c r="S39" s="82" t="n">
        <v>55000</v>
      </c>
      <c r="T39" s="83" t="n">
        <v>0</v>
      </c>
      <c r="U39" s="80" t="n">
        <f aca="false">SUM(S39:T39)</f>
        <v>55000</v>
      </c>
      <c r="V39" s="84" t="s">
        <v>7</v>
      </c>
      <c r="W39" s="80" t="str">
        <f aca="true">
IF(D39="폐업","폐업",
IF(V39="면제","면제",
IF(AND(V39="정상",COUNTIFS(OFFSET(Y39,0,COUNTA(Y39:AV39)-1,1,-4),"미납")&gt;=3),"장기미납",
IF(AND(V39="정상",OFFSET(Y39,0,COUNTA(Y39:AV39)-1)&gt;=U39),"정상",
IF(AND(V39="정상",OFFSET(Y39,0,COUNTA(Y39:AV39)-1)=0),"정상",
"계약서 미작성")))))</f>
        <v>면제</v>
      </c>
      <c r="X39" s="81" t="str">
        <f aca="true">
IF(D39="폐업","폐업",
IF(AND(V39="정상",OFFSET(Y39,0,COUNTA(Y39:AV39)-1)="미납"),"미납",
IF(AND(V39="정상",OFFSET(Y39,0,COUNTA(Y39:AV39)-1)=0),"납부 시작 전",
IF(AND(V39="정상",OFFSET(Y39,0,COUNTA(Y39:AV39)-1)&gt;=U39),"정상",
IF(AND(V39="면제",OFFSET(Y39,0,COUNTA(Y39:AV39)-1)="면제"),"면제",
IF(AND(V39="면제",OFFSET(Y39,0,COUNTA(Y39:AV39)-1)=0),"면제",
"확인요청"))))))</f>
        <v>면제</v>
      </c>
      <c r="Y39" s="94" t="s">
        <v>7</v>
      </c>
      <c r="Z39" s="95" t="s">
        <v>7</v>
      </c>
      <c r="AA39" s="95" t="s">
        <v>7</v>
      </c>
      <c r="AB39" s="95" t="s">
        <v>7</v>
      </c>
      <c r="AC39" s="95" t="s">
        <v>7</v>
      </c>
      <c r="AD39" s="95" t="s">
        <v>7</v>
      </c>
      <c r="AE39" s="95" t="s">
        <v>7</v>
      </c>
      <c r="AF39" s="95" t="s">
        <v>7</v>
      </c>
      <c r="AG39" s="95" t="s">
        <v>7</v>
      </c>
      <c r="AH39" s="95" t="s">
        <v>7</v>
      </c>
      <c r="AI39" s="95" t="s">
        <v>7</v>
      </c>
      <c r="AJ39" s="96" t="s">
        <v>7</v>
      </c>
      <c r="AK39" s="97" t="s">
        <v>7</v>
      </c>
      <c r="AL39" s="95" t="s">
        <v>7</v>
      </c>
      <c r="AM39" s="90"/>
      <c r="AN39" s="90"/>
      <c r="AO39" s="90"/>
      <c r="AP39" s="90"/>
      <c r="AQ39" s="90"/>
      <c r="AR39" s="90"/>
      <c r="AS39" s="90"/>
      <c r="AT39" s="90"/>
      <c r="AU39" s="90"/>
      <c r="AV39" s="91"/>
      <c r="AX39" s="92"/>
    </row>
    <row r="40" customFormat="false" ht="15.65" hidden="false" customHeight="false" outlineLevel="0" collapsed="false">
      <c r="C40" s="72" t="n">
        <f aca="false">COUNTIFS($D$6:D40,"&lt;&gt;"&amp;"")</f>
        <v>35</v>
      </c>
      <c r="D40" s="73" t="s">
        <v>12</v>
      </c>
      <c r="E40" s="76" t="str">
        <f aca="false">
IF($D40="정상",INDEX(임대자산!$D$3:$R$3000,MATCH($F40,임대자산!$I$3:$I$3000,0),MATCH(E$3,임대자산!$D$3:$R$3,0)),
IF($D40="폐업",INDEX(폐업정보!$D$3:$R$3000,MATCH($F40,폐업정보!$I$3:$I$3000,0),MATCH(E$3,폐업정보!$D$3:$R$3,0)),
"Error"))</f>
        <v>서울</v>
      </c>
      <c r="F4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B0035</v>
      </c>
      <c r="G40" s="76" t="str">
        <f aca="false">F40&amp;RANDBETWEEN(0,10)</f>
        <v>B00351</v>
      </c>
      <c r="H40" s="75" t="n">
        <f aca="false">
IF($D40="정상",INDEX(임대자산!$D$3:$R$3000,MATCH($F40,임대자산!$I$3:$I$3000,0),MATCH(H$4,임대자산!$D$3:$R$3,0)),
IF($D40="폐업",INDEX(폐업정보!$D$3:$R$3000,MATCH($F40,폐업정보!$I$3:$I$3000,0),MATCH(H$4,폐업정보!$D$3:$R$3,0)),
"Error"))</f>
        <v>44440</v>
      </c>
      <c r="I40" s="75" t="str">
        <f aca="false">
IF($D40="정상",INDEX(임대자산!$D$3:$R$3000,MATCH($F40,임대자산!$I$3:$I$3000,0),MATCH(I$4,임대자산!$D$3:$R$3,0)),
IF($D40="폐업",INDEX(폐업정보!$D$3:$R$3000,MATCH($F40,폐업정보!$I$3:$I$3000,0),MATCH(I$4,폐업정보!$D$3:$R$3,0)),
"Error"))</f>
        <v>A0035</v>
      </c>
      <c r="J40" s="75" t="str">
        <f aca="false">
IF($D40="정상",INDEX(임대자산!$D$3:$R$3000,MATCH($F40,임대자산!$I$3:$I$3000,0),MATCH(J$4,임대자산!$D$3:$R$3,0)),
IF($D40="폐업",INDEX(폐업정보!$D$3:$R$3000,MATCH($F40,폐업정보!$I$3:$I$3000,0),MATCH(J$4,폐업정보!$D$3:$R$3,0)),
"Error"))</f>
        <v>8110300000</v>
      </c>
      <c r="K40" s="75" t="str">
        <f aca="false">
IF($D40="정상",INDEX(임대자산!$D$3:$R$3000,MATCH($F40,임대자산!$I$3:$I$3000,0),MATCH(K$4,임대자산!$D$3:$R$3,0)),
IF($D40="폐업",INDEX(폐업정보!$D$3:$R$3000,MATCH($F40,폐업정보!$I$3:$I$3000,0),MATCH(K$4,폐업정보!$D$3:$R$3,0)),
"Error"))</f>
        <v>C0035</v>
      </c>
      <c r="L40" s="75" t="str">
        <f aca="false">
IF($D40="정상",INDEX(임대자산!$D$3:$R$3000,MATCH($F40,임대자산!$I$3:$I$3000,0),MATCH(L$4,임대자산!$D$3:$R$3,0)),
IF($D40="폐업",INDEX(폐업정보!$D$3:$R$3000,MATCH($F40,폐업정보!$I$3:$I$3000,0),MATCH(L$4,폐업정보!$D$3:$R$3,0)),
"Error"))</f>
        <v>D0035</v>
      </c>
      <c r="M40" s="76" t="s">
        <v>96</v>
      </c>
      <c r="N40" s="77"/>
      <c r="O40" s="78" t="s">
        <v>97</v>
      </c>
      <c r="P40" s="79" t="n">
        <f aca="false">COUNTIFS(임대자산!$I:$I,가맹점정보!F40,임대자산!$N:$N,가맹점정보!P$4)</f>
        <v>1</v>
      </c>
      <c r="Q40" s="80" t="n">
        <f aca="false">COUNTIFS(임대자산!$I:$I,가맹점정보!F40,임대자산!$N:$N,가맹점정보!Q$4)</f>
        <v>0</v>
      </c>
      <c r="R40" s="81" t="n">
        <f aca="false">COUNTIFS(임대자산!$I:$I,가맹점정보!F40,임대자산!$N:$N,가맹점정보!R$4)</f>
        <v>0</v>
      </c>
      <c r="S40" s="82" t="n">
        <v>55000</v>
      </c>
      <c r="T40" s="83" t="n">
        <v>0</v>
      </c>
      <c r="U40" s="80" t="n">
        <f aca="false">SUM(S40:T40)</f>
        <v>55000</v>
      </c>
      <c r="V40" s="84" t="s">
        <v>12</v>
      </c>
      <c r="W40" s="80" t="e">
        <f aca="true">
IF(D40="폐업","폐업",
IF(V40="면제","면제",
IF(AND(V40="정상",COUNTIFS(OFFSET(Y40,0,COUNTA(Y40:AV40)-1,1,-4),"미납")&gt;=3),"장기미납",
IF(AND(V40="정상",OFFSET(Y40,0,COUNTA(Y40:AV40)-1)&gt;=U40),"정상",
IF(AND(V40="정상",OFFSET(Y40,0,COUNTA(Y40:AV40)-1)=0),"정상",
"계약서 미작성")))))</f>
        <v>#VALUE!</v>
      </c>
      <c r="X40" s="81" t="str">
        <f aca="true">
IF(D40="폐업","폐업",
IF(AND(V40="정상",OFFSET(Y40,0,COUNTA(Y40:AV40)-1)="미납"),"미납",
IF(AND(V40="정상",OFFSET(Y40,0,COUNTA(Y40:AV40)-1)=0),"납부 시작 전",
IF(AND(V40="정상",OFFSET(Y40,0,COUNTA(Y40:AV40)-1)&gt;=U40),"정상",
IF(AND(V40="면제",OFFSET(Y40,0,COUNTA(Y40:AV40)-1)="면제"),"면제",
IF(AND(V40="면제",OFFSET(Y40,0,COUNTA(Y40:AV40)-1)=0),"면제",
"확인요청"))))))</f>
        <v>정상</v>
      </c>
      <c r="Y40" s="93" t="n">
        <v>55000</v>
      </c>
      <c r="Z40" s="90" t="n">
        <v>55000</v>
      </c>
      <c r="AA40" s="90" t="n">
        <v>55000</v>
      </c>
      <c r="AB40" s="90" t="n">
        <v>55000</v>
      </c>
      <c r="AC40" s="90" t="n">
        <v>55000</v>
      </c>
      <c r="AD40" s="90" t="n">
        <v>55000</v>
      </c>
      <c r="AE40" s="90" t="n">
        <v>55000</v>
      </c>
      <c r="AF40" s="90" t="n">
        <v>55000</v>
      </c>
      <c r="AG40" s="90" t="n">
        <v>55000</v>
      </c>
      <c r="AH40" s="90" t="n">
        <v>55000</v>
      </c>
      <c r="AI40" s="90" t="n">
        <v>55000</v>
      </c>
      <c r="AJ40" s="91" t="n">
        <v>55000</v>
      </c>
      <c r="AK40" s="89" t="n">
        <v>55000</v>
      </c>
      <c r="AL40" s="90" t="n">
        <v>55000</v>
      </c>
      <c r="AM40" s="90"/>
      <c r="AN40" s="90"/>
      <c r="AO40" s="90"/>
      <c r="AP40" s="90"/>
      <c r="AQ40" s="90"/>
      <c r="AR40" s="90"/>
      <c r="AS40" s="90"/>
      <c r="AT40" s="90"/>
      <c r="AU40" s="90"/>
      <c r="AV40" s="91"/>
      <c r="AX40" s="92"/>
    </row>
    <row r="41" customFormat="false" ht="15.65" hidden="false" customHeight="false" outlineLevel="0" collapsed="false">
      <c r="C41" s="72" t="n">
        <f aca="false">COUNTIFS($D$6:D41,"&lt;&gt;"&amp;"")</f>
        <v>36</v>
      </c>
      <c r="D41" s="73" t="s">
        <v>12</v>
      </c>
      <c r="E41" s="76" t="str">
        <f aca="false">
IF($D41="정상",INDEX(임대자산!$D$3:$R$3000,MATCH($F41,임대자산!$I$3:$I$3000,0),MATCH(E$3,임대자산!$D$3:$R$3,0)),
IF($D41="폐업",INDEX(폐업정보!$D$3:$R$3000,MATCH($F41,폐업정보!$I$3:$I$3000,0),MATCH(E$3,폐업정보!$D$3:$R$3,0)),
"Error"))</f>
        <v>경기</v>
      </c>
      <c r="F4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B0036</v>
      </c>
      <c r="G41" s="76" t="str">
        <f aca="false">F41&amp;RANDBETWEEN(0,10)</f>
        <v>B00365</v>
      </c>
      <c r="H41" s="75" t="n">
        <f aca="false">
IF($D41="정상",INDEX(임대자산!$D$3:$R$3000,MATCH($F41,임대자산!$I$3:$I$3000,0),MATCH(H$4,임대자산!$D$3:$R$3,0)),
IF($D41="폐업",INDEX(폐업정보!$D$3:$R$3000,MATCH($F41,폐업정보!$I$3:$I$3000,0),MATCH(H$4,폐업정보!$D$3:$R$3,0)),
"Error"))</f>
        <v>44126</v>
      </c>
      <c r="I41" s="75" t="str">
        <f aca="false">
IF($D41="정상",INDEX(임대자산!$D$3:$R$3000,MATCH($F41,임대자산!$I$3:$I$3000,0),MATCH(I$4,임대자산!$D$3:$R$3,0)),
IF($D41="폐업",INDEX(폐업정보!$D$3:$R$3000,MATCH($F41,폐업정보!$I$3:$I$3000,0),MATCH(I$4,폐업정보!$D$3:$R$3,0)),
"Error"))</f>
        <v>A0036</v>
      </c>
      <c r="J41" s="75" t="str">
        <f aca="false">
IF($D41="정상",INDEX(임대자산!$D$3:$R$3000,MATCH($F41,임대자산!$I$3:$I$3000,0),MATCH(J$4,임대자산!$D$3:$R$3,0)),
IF($D41="폐업",INDEX(폐업정보!$D$3:$R$3000,MATCH($F41,폐업정보!$I$3:$I$3000,0),MATCH(J$4,폐업정보!$D$3:$R$3,0)),
"Error"))</f>
        <v>2493900000</v>
      </c>
      <c r="K41" s="75" t="str">
        <f aca="false">
IF($D41="정상",INDEX(임대자산!$D$3:$R$3000,MATCH($F41,임대자산!$I$3:$I$3000,0),MATCH(K$4,임대자산!$D$3:$R$3,0)),
IF($D41="폐업",INDEX(폐업정보!$D$3:$R$3000,MATCH($F41,폐업정보!$I$3:$I$3000,0),MATCH(K$4,폐업정보!$D$3:$R$3,0)),
"Error"))</f>
        <v>C0036</v>
      </c>
      <c r="L41" s="75" t="str">
        <f aca="false">
IF($D41="정상",INDEX(임대자산!$D$3:$R$3000,MATCH($F41,임대자산!$I$3:$I$3000,0),MATCH(L$4,임대자산!$D$3:$R$3,0)),
IF($D41="폐업",INDEX(폐업정보!$D$3:$R$3000,MATCH($F41,폐업정보!$I$3:$I$3000,0),MATCH(L$4,폐업정보!$D$3:$R$3,0)),
"Error"))</f>
        <v>D0036</v>
      </c>
      <c r="M41" s="76" t="s">
        <v>96</v>
      </c>
      <c r="N41" s="77"/>
      <c r="O41" s="78" t="s">
        <v>97</v>
      </c>
      <c r="P41" s="79" t="n">
        <f aca="false">COUNTIFS(임대자산!$I:$I,가맹점정보!F41,임대자산!$N:$N,가맹점정보!P$4)</f>
        <v>1</v>
      </c>
      <c r="Q41" s="80" t="n">
        <f aca="false">COUNTIFS(임대자산!$I:$I,가맹점정보!F41,임대자산!$N:$N,가맹점정보!Q$4)</f>
        <v>0</v>
      </c>
      <c r="R41" s="81" t="n">
        <f aca="false">COUNTIFS(임대자산!$I:$I,가맹점정보!F41,임대자산!$N:$N,가맹점정보!R$4)</f>
        <v>0</v>
      </c>
      <c r="S41" s="82" t="n">
        <v>55000</v>
      </c>
      <c r="T41" s="83" t="n">
        <v>0</v>
      </c>
      <c r="U41" s="80" t="n">
        <f aca="false">SUM(S41:T41)</f>
        <v>55000</v>
      </c>
      <c r="V41" s="84" t="s">
        <v>12</v>
      </c>
      <c r="W41" s="80" t="e">
        <f aca="true">
IF(D41="폐업","폐업",
IF(V41="면제","면제",
IF(AND(V41="정상",COUNTIFS(OFFSET(Y41,0,COUNTA(Y41:AV41)-1,1,-4),"미납")&gt;=3),"장기미납",
IF(AND(V41="정상",OFFSET(Y41,0,COUNTA(Y41:AV41)-1)&gt;=U41),"정상",
IF(AND(V41="정상",OFFSET(Y41,0,COUNTA(Y41:AV41)-1)=0),"정상",
"계약서 미작성")))))</f>
        <v>#VALUE!</v>
      </c>
      <c r="X41" s="81" t="str">
        <f aca="true">
IF(D41="폐업","폐업",
IF(AND(V41="정상",OFFSET(Y41,0,COUNTA(Y41:AV41)-1)="미납"),"미납",
IF(AND(V41="정상",OFFSET(Y41,0,COUNTA(Y41:AV41)-1)=0),"납부 시작 전",
IF(AND(V41="정상",OFFSET(Y41,0,COUNTA(Y41:AV41)-1)&gt;=U41),"정상",
IF(AND(V41="면제",OFFSET(Y41,0,COUNTA(Y41:AV41)-1)="면제"),"면제",
IF(AND(V41="면제",OFFSET(Y41,0,COUNTA(Y41:AV41)-1)=0),"면제",
"확인요청"))))))</f>
        <v>정상</v>
      </c>
      <c r="Y41" s="93" t="n">
        <v>55000</v>
      </c>
      <c r="Z41" s="90" t="n">
        <v>55000</v>
      </c>
      <c r="AA41" s="90" t="n">
        <v>55000</v>
      </c>
      <c r="AB41" s="90" t="n">
        <v>55000</v>
      </c>
      <c r="AC41" s="90" t="n">
        <v>55000</v>
      </c>
      <c r="AD41" s="90" t="n">
        <v>55000</v>
      </c>
      <c r="AE41" s="90" t="n">
        <v>55000</v>
      </c>
      <c r="AF41" s="90" t="n">
        <v>55000</v>
      </c>
      <c r="AG41" s="90" t="n">
        <v>55000</v>
      </c>
      <c r="AH41" s="90" t="n">
        <v>55000</v>
      </c>
      <c r="AI41" s="90" t="n">
        <v>55000</v>
      </c>
      <c r="AJ41" s="91" t="n">
        <v>55000</v>
      </c>
      <c r="AK41" s="89" t="n">
        <v>55000</v>
      </c>
      <c r="AL41" s="90" t="n">
        <v>55000</v>
      </c>
      <c r="AM41" s="90"/>
      <c r="AN41" s="90"/>
      <c r="AO41" s="90"/>
      <c r="AP41" s="90"/>
      <c r="AQ41" s="90"/>
      <c r="AR41" s="90"/>
      <c r="AS41" s="90"/>
      <c r="AT41" s="90"/>
      <c r="AU41" s="90"/>
      <c r="AV41" s="91"/>
      <c r="AX41" s="92"/>
    </row>
    <row r="42" customFormat="false" ht="15.65" hidden="false" customHeight="false" outlineLevel="0" collapsed="false">
      <c r="C42" s="72" t="n">
        <f aca="false">COUNTIFS($D$6:D42,"&lt;&gt;"&amp;"")</f>
        <v>37</v>
      </c>
      <c r="D42" s="73" t="s">
        <v>12</v>
      </c>
      <c r="E42" s="76" t="str">
        <f aca="false">
IF($D42="정상",INDEX(임대자산!$D$3:$R$3000,MATCH($F42,임대자산!$I$3:$I$3000,0),MATCH(E$3,임대자산!$D$3:$R$3,0)),
IF($D42="폐업",INDEX(폐업정보!$D$3:$R$3000,MATCH($F42,폐업정보!$I$3:$I$3000,0),MATCH(E$3,폐업정보!$D$3:$R$3,0)),
"Error"))</f>
        <v>경기</v>
      </c>
      <c r="F4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B0037</v>
      </c>
      <c r="G42" s="76" t="str">
        <f aca="false">F42&amp;RANDBETWEEN(0,10)</f>
        <v>B00371</v>
      </c>
      <c r="H42" s="75" t="n">
        <f aca="false">
IF($D42="정상",INDEX(임대자산!$D$3:$R$3000,MATCH($F42,임대자산!$I$3:$I$3000,0),MATCH(H$4,임대자산!$D$3:$R$3,0)),
IF($D42="폐업",INDEX(폐업정보!$D$3:$R$3000,MATCH($F42,폐업정보!$I$3:$I$3000,0),MATCH(H$4,폐업정보!$D$3:$R$3,0)),
"Error"))</f>
        <v>44126</v>
      </c>
      <c r="I42" s="75" t="str">
        <f aca="false">
IF($D42="정상",INDEX(임대자산!$D$3:$R$3000,MATCH($F42,임대자산!$I$3:$I$3000,0),MATCH(I$4,임대자산!$D$3:$R$3,0)),
IF($D42="폐업",INDEX(폐업정보!$D$3:$R$3000,MATCH($F42,폐업정보!$I$3:$I$3000,0),MATCH(I$4,폐업정보!$D$3:$R$3,0)),
"Error"))</f>
        <v>A0037</v>
      </c>
      <c r="J42" s="75" t="str">
        <f aca="false">
IF($D42="정상",INDEX(임대자산!$D$3:$R$3000,MATCH($F42,임대자산!$I$3:$I$3000,0),MATCH(J$4,임대자산!$D$3:$R$3,0)),
IF($D42="폐업",INDEX(폐업정보!$D$3:$R$3000,MATCH($F42,폐업정보!$I$3:$I$3000,0),MATCH(J$4,폐업정보!$D$3:$R$3,0)),
"Error"))</f>
        <v>7944100000</v>
      </c>
      <c r="K42" s="75" t="str">
        <f aca="false">
IF($D42="정상",INDEX(임대자산!$D$3:$R$3000,MATCH($F42,임대자산!$I$3:$I$3000,0),MATCH(K$4,임대자산!$D$3:$R$3,0)),
IF($D42="폐업",INDEX(폐업정보!$D$3:$R$3000,MATCH($F42,폐업정보!$I$3:$I$3000,0),MATCH(K$4,폐업정보!$D$3:$R$3,0)),
"Error"))</f>
        <v>C0037</v>
      </c>
      <c r="L42" s="75" t="str">
        <f aca="false">
IF($D42="정상",INDEX(임대자산!$D$3:$R$3000,MATCH($F42,임대자산!$I$3:$I$3000,0),MATCH(L$4,임대자산!$D$3:$R$3,0)),
IF($D42="폐업",INDEX(폐업정보!$D$3:$R$3000,MATCH($F42,폐업정보!$I$3:$I$3000,0),MATCH(L$4,폐업정보!$D$3:$R$3,0)),
"Error"))</f>
        <v>D0037</v>
      </c>
      <c r="M42" s="76" t="s">
        <v>96</v>
      </c>
      <c r="N42" s="77"/>
      <c r="O42" s="78" t="s">
        <v>97</v>
      </c>
      <c r="P42" s="79" t="n">
        <f aca="false">COUNTIFS(임대자산!$I:$I,가맹점정보!F42,임대자산!$N:$N,가맹점정보!P$4)</f>
        <v>1</v>
      </c>
      <c r="Q42" s="80" t="n">
        <f aca="false">COUNTIFS(임대자산!$I:$I,가맹점정보!F42,임대자산!$N:$N,가맹점정보!Q$4)</f>
        <v>0</v>
      </c>
      <c r="R42" s="81" t="n">
        <f aca="false">COUNTIFS(임대자산!$I:$I,가맹점정보!F42,임대자산!$N:$N,가맹점정보!R$4)</f>
        <v>0</v>
      </c>
      <c r="S42" s="82" t="n">
        <v>55000</v>
      </c>
      <c r="T42" s="83" t="n">
        <v>0</v>
      </c>
      <c r="U42" s="80" t="n">
        <f aca="false">SUM(S42:T42)</f>
        <v>55000</v>
      </c>
      <c r="V42" s="84" t="s">
        <v>12</v>
      </c>
      <c r="W42" s="80" t="e">
        <f aca="true">
IF(D42="폐업","폐업",
IF(V42="면제","면제",
IF(AND(V42="정상",COUNTIFS(OFFSET(Y42,0,COUNTA(Y42:AV42)-1,1,-4),"미납")&gt;=3),"장기미납",
IF(AND(V42="정상",OFFSET(Y42,0,COUNTA(Y42:AV42)-1)&gt;=U42),"정상",
IF(AND(V42="정상",OFFSET(Y42,0,COUNTA(Y42:AV42)-1)=0),"정상",
"계약서 미작성")))))</f>
        <v>#VALUE!</v>
      </c>
      <c r="X42" s="81" t="str">
        <f aca="true">
IF(D42="폐업","폐업",
IF(AND(V42="정상",OFFSET(Y42,0,COUNTA(Y42:AV42)-1)="미납"),"미납",
IF(AND(V42="정상",OFFSET(Y42,0,COUNTA(Y42:AV42)-1)=0),"납부 시작 전",
IF(AND(V42="정상",OFFSET(Y42,0,COUNTA(Y42:AV42)-1)&gt;=U42),"정상",
IF(AND(V42="면제",OFFSET(Y42,0,COUNTA(Y42:AV42)-1)="면제"),"면제",
IF(AND(V42="면제",OFFSET(Y42,0,COUNTA(Y42:AV42)-1)=0),"면제",
"확인요청"))))))</f>
        <v>정상</v>
      </c>
      <c r="Y42" s="93" t="n">
        <v>55000</v>
      </c>
      <c r="Z42" s="90" t="n">
        <v>55000</v>
      </c>
      <c r="AA42" s="90" t="n">
        <v>55000</v>
      </c>
      <c r="AB42" s="90" t="n">
        <v>55000</v>
      </c>
      <c r="AC42" s="90" t="n">
        <v>55000</v>
      </c>
      <c r="AD42" s="90" t="n">
        <v>55000</v>
      </c>
      <c r="AE42" s="90" t="n">
        <v>55000</v>
      </c>
      <c r="AF42" s="90" t="n">
        <v>55000</v>
      </c>
      <c r="AG42" s="90" t="n">
        <v>55000</v>
      </c>
      <c r="AH42" s="90" t="n">
        <v>55000</v>
      </c>
      <c r="AI42" s="90" t="n">
        <v>55000</v>
      </c>
      <c r="AJ42" s="91" t="n">
        <v>55000</v>
      </c>
      <c r="AK42" s="89" t="n">
        <v>55000</v>
      </c>
      <c r="AL42" s="90" t="n">
        <v>55000</v>
      </c>
      <c r="AM42" s="90"/>
      <c r="AN42" s="90"/>
      <c r="AO42" s="90"/>
      <c r="AP42" s="90"/>
      <c r="AQ42" s="90"/>
      <c r="AR42" s="90"/>
      <c r="AS42" s="90"/>
      <c r="AT42" s="90"/>
      <c r="AU42" s="90"/>
      <c r="AV42" s="91"/>
      <c r="AX42" s="92"/>
    </row>
    <row r="43" customFormat="false" ht="15.65" hidden="false" customHeight="false" outlineLevel="0" collapsed="false">
      <c r="C43" s="72" t="n">
        <f aca="false">COUNTIFS($D$6:D43,"&lt;&gt;"&amp;"")</f>
        <v>38</v>
      </c>
      <c r="D43" s="73" t="s">
        <v>12</v>
      </c>
      <c r="E43" s="76" t="str">
        <f aca="false">
IF($D43="정상",INDEX(임대자산!$D$3:$R$3000,MATCH($F43,임대자산!$I$3:$I$3000,0),MATCH(E$3,임대자산!$D$3:$R$3,0)),
IF($D43="폐업",INDEX(폐업정보!$D$3:$R$3000,MATCH($F43,폐업정보!$I$3:$I$3000,0),MATCH(E$3,폐업정보!$D$3:$R$3,0)),
"Error"))</f>
        <v>전라</v>
      </c>
      <c r="F4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B0038</v>
      </c>
      <c r="G43" s="76" t="str">
        <f aca="false">F43&amp;RANDBETWEEN(0,10)</f>
        <v>B00387</v>
      </c>
      <c r="H43" s="75" t="n">
        <f aca="false">
IF($D43="정상",INDEX(임대자산!$D$3:$R$3000,MATCH($F43,임대자산!$I$3:$I$3000,0),MATCH(H$4,임대자산!$D$3:$R$3,0)),
IF($D43="폐업",INDEX(폐업정보!$D$3:$R$3000,MATCH($F43,폐업정보!$I$3:$I$3000,0),MATCH(H$4,폐업정보!$D$3:$R$3,0)),
"Error"))</f>
        <v>44102</v>
      </c>
      <c r="I43" s="75" t="str">
        <f aca="false">
IF($D43="정상",INDEX(임대자산!$D$3:$R$3000,MATCH($F43,임대자산!$I$3:$I$3000,0),MATCH(I$4,임대자산!$D$3:$R$3,0)),
IF($D43="폐업",INDEX(폐업정보!$D$3:$R$3000,MATCH($F43,폐업정보!$I$3:$I$3000,0),MATCH(I$4,폐업정보!$D$3:$R$3,0)),
"Error"))</f>
        <v>A0038</v>
      </c>
      <c r="J43" s="75" t="str">
        <f aca="false">
IF($D43="정상",INDEX(임대자산!$D$3:$R$3000,MATCH($F43,임대자산!$I$3:$I$3000,0),MATCH(J$4,임대자산!$D$3:$R$3,0)),
IF($D43="폐업",INDEX(폐업정보!$D$3:$R$3000,MATCH($F43,폐업정보!$I$3:$I$3000,0),MATCH(J$4,폐업정보!$D$3:$R$3,0)),
"Error"))</f>
        <v>2860500000</v>
      </c>
      <c r="K43" s="75" t="str">
        <f aca="false">
IF($D43="정상",INDEX(임대자산!$D$3:$R$3000,MATCH($F43,임대자산!$I$3:$I$3000,0),MATCH(K$4,임대자산!$D$3:$R$3,0)),
IF($D43="폐업",INDEX(폐업정보!$D$3:$R$3000,MATCH($F43,폐업정보!$I$3:$I$3000,0),MATCH(K$4,폐업정보!$D$3:$R$3,0)),
"Error"))</f>
        <v>C0038</v>
      </c>
      <c r="L43" s="75" t="str">
        <f aca="false">
IF($D43="정상",INDEX(임대자산!$D$3:$R$3000,MATCH($F43,임대자산!$I$3:$I$3000,0),MATCH(L$4,임대자산!$D$3:$R$3,0)),
IF($D43="폐업",INDEX(폐업정보!$D$3:$R$3000,MATCH($F43,폐업정보!$I$3:$I$3000,0),MATCH(L$4,폐업정보!$D$3:$R$3,0)),
"Error"))</f>
        <v>D0038</v>
      </c>
      <c r="M43" s="76" t="s">
        <v>96</v>
      </c>
      <c r="N43" s="77"/>
      <c r="O43" s="78" t="s">
        <v>97</v>
      </c>
      <c r="P43" s="79" t="n">
        <f aca="false">COUNTIFS(임대자산!$I:$I,가맹점정보!F43,임대자산!$N:$N,가맹점정보!P$4)</f>
        <v>1</v>
      </c>
      <c r="Q43" s="80" t="n">
        <f aca="false">COUNTIFS(임대자산!$I:$I,가맹점정보!F43,임대자산!$N:$N,가맹점정보!Q$4)</f>
        <v>0</v>
      </c>
      <c r="R43" s="81" t="n">
        <f aca="false">COUNTIFS(임대자산!$I:$I,가맹점정보!F43,임대자산!$N:$N,가맹점정보!R$4)</f>
        <v>0</v>
      </c>
      <c r="S43" s="82" t="n">
        <v>88000</v>
      </c>
      <c r="T43" s="83" t="n">
        <v>0</v>
      </c>
      <c r="U43" s="80" t="n">
        <f aca="false">SUM(S43:T43)</f>
        <v>88000</v>
      </c>
      <c r="V43" s="84" t="s">
        <v>7</v>
      </c>
      <c r="W43" s="80" t="str">
        <f aca="true">
IF(D43="폐업","폐업",
IF(V43="면제","면제",
IF(AND(V43="정상",COUNTIFS(OFFSET(Y43,0,COUNTA(Y43:AV43)-1,1,-4),"미납")&gt;=3),"장기미납",
IF(AND(V43="정상",OFFSET(Y43,0,COUNTA(Y43:AV43)-1)&gt;=U43),"정상",
IF(AND(V43="정상",OFFSET(Y43,0,COUNTA(Y43:AV43)-1)=0),"정상",
"계약서 미작성")))))</f>
        <v>면제</v>
      </c>
      <c r="X43" s="81" t="str">
        <f aca="true">
IF(D43="폐업","폐업",
IF(AND(V43="정상",OFFSET(Y43,0,COUNTA(Y43:AV43)-1)="미납"),"미납",
IF(AND(V43="정상",OFFSET(Y43,0,COUNTA(Y43:AV43)-1)=0),"납부 시작 전",
IF(AND(V43="정상",OFFSET(Y43,0,COUNTA(Y43:AV43)-1)&gt;=U43),"정상",
IF(AND(V43="면제",OFFSET(Y43,0,COUNTA(Y43:AV43)-1)="면제"),"면제",
IF(AND(V43="면제",OFFSET(Y43,0,COUNTA(Y43:AV43)-1)=0),"면제",
"확인요청"))))))</f>
        <v>면제</v>
      </c>
      <c r="Y43" s="94" t="s">
        <v>7</v>
      </c>
      <c r="Z43" s="95" t="s">
        <v>7</v>
      </c>
      <c r="AA43" s="95" t="s">
        <v>7</v>
      </c>
      <c r="AB43" s="95" t="s">
        <v>7</v>
      </c>
      <c r="AC43" s="95" t="s">
        <v>7</v>
      </c>
      <c r="AD43" s="95" t="s">
        <v>7</v>
      </c>
      <c r="AE43" s="95" t="s">
        <v>7</v>
      </c>
      <c r="AF43" s="95" t="s">
        <v>7</v>
      </c>
      <c r="AG43" s="95" t="s">
        <v>7</v>
      </c>
      <c r="AH43" s="95" t="s">
        <v>7</v>
      </c>
      <c r="AI43" s="95" t="s">
        <v>7</v>
      </c>
      <c r="AJ43" s="96" t="s">
        <v>7</v>
      </c>
      <c r="AK43" s="97" t="s">
        <v>7</v>
      </c>
      <c r="AL43" s="95" t="s">
        <v>7</v>
      </c>
      <c r="AM43" s="90"/>
      <c r="AN43" s="90"/>
      <c r="AO43" s="90"/>
      <c r="AP43" s="90"/>
      <c r="AQ43" s="90"/>
      <c r="AR43" s="90"/>
      <c r="AS43" s="90"/>
      <c r="AT43" s="90"/>
      <c r="AU43" s="90"/>
      <c r="AV43" s="91"/>
      <c r="AX43" s="92"/>
    </row>
    <row r="44" customFormat="false" ht="15.65" hidden="false" customHeight="false" outlineLevel="0" collapsed="false">
      <c r="C44" s="72" t="n">
        <f aca="false">COUNTIFS($D$6:D44,"&lt;&gt;"&amp;"")</f>
        <v>39</v>
      </c>
      <c r="D44" s="73" t="s">
        <v>12</v>
      </c>
      <c r="E44" s="76" t="str">
        <f aca="false">
IF($D44="정상",INDEX(임대자산!$D$3:$R$3000,MATCH($F44,임대자산!$I$3:$I$3000,0),MATCH(E$3,임대자산!$D$3:$R$3,0)),
IF($D44="폐업",INDEX(폐업정보!$D$3:$R$3000,MATCH($F44,폐업정보!$I$3:$I$3000,0),MATCH(E$3,폐업정보!$D$3:$R$3,0)),
"Error"))</f>
        <v>경기</v>
      </c>
      <c r="F4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B0039</v>
      </c>
      <c r="G44" s="76" t="str">
        <f aca="false">F44&amp;RANDBETWEEN(0,10)</f>
        <v>B00391</v>
      </c>
      <c r="H44" s="75" t="n">
        <f aca="false">
IF($D44="정상",INDEX(임대자산!$D$3:$R$3000,MATCH($F44,임대자산!$I$3:$I$3000,0),MATCH(H$4,임대자산!$D$3:$R$3,0)),
IF($D44="폐업",INDEX(폐업정보!$D$3:$R$3000,MATCH($F44,폐업정보!$I$3:$I$3000,0),MATCH(H$4,폐업정보!$D$3:$R$3,0)),
"Error"))</f>
        <v>44967</v>
      </c>
      <c r="I44" s="75" t="str">
        <f aca="false">
IF($D44="정상",INDEX(임대자산!$D$3:$R$3000,MATCH($F44,임대자산!$I$3:$I$3000,0),MATCH(I$4,임대자산!$D$3:$R$3,0)),
IF($D44="폐업",INDEX(폐업정보!$D$3:$R$3000,MATCH($F44,폐업정보!$I$3:$I$3000,0),MATCH(I$4,폐업정보!$D$3:$R$3,0)),
"Error"))</f>
        <v>A0039</v>
      </c>
      <c r="J44" s="75" t="str">
        <f aca="false">
IF($D44="정상",INDEX(임대자산!$D$3:$R$3000,MATCH($F44,임대자산!$I$3:$I$3000,0),MATCH(J$4,임대자산!$D$3:$R$3,0)),
IF($D44="폐업",INDEX(폐업정보!$D$3:$R$3000,MATCH($F44,폐업정보!$I$3:$I$3000,0),MATCH(J$4,폐업정보!$D$3:$R$3,0)),
"Error"))</f>
        <v>8210400000</v>
      </c>
      <c r="K44" s="75" t="str">
        <f aca="false">
IF($D44="정상",INDEX(임대자산!$D$3:$R$3000,MATCH($F44,임대자산!$I$3:$I$3000,0),MATCH(K$4,임대자산!$D$3:$R$3,0)),
IF($D44="폐업",INDEX(폐업정보!$D$3:$R$3000,MATCH($F44,폐업정보!$I$3:$I$3000,0),MATCH(K$4,폐업정보!$D$3:$R$3,0)),
"Error"))</f>
        <v>C0039</v>
      </c>
      <c r="L44" s="75" t="str">
        <f aca="false">
IF($D44="정상",INDEX(임대자산!$D$3:$R$3000,MATCH($F44,임대자산!$I$3:$I$3000,0),MATCH(L$4,임대자산!$D$3:$R$3,0)),
IF($D44="폐업",INDEX(폐업정보!$D$3:$R$3000,MATCH($F44,폐업정보!$I$3:$I$3000,0),MATCH(L$4,폐업정보!$D$3:$R$3,0)),
"Error"))</f>
        <v>D0039</v>
      </c>
      <c r="M44" s="76" t="s">
        <v>96</v>
      </c>
      <c r="N44" s="77"/>
      <c r="O44" s="78" t="s">
        <v>97</v>
      </c>
      <c r="P44" s="79" t="n">
        <f aca="false">COUNTIFS(임대자산!$I:$I,가맹점정보!F44,임대자산!$N:$N,가맹점정보!P$4)</f>
        <v>1</v>
      </c>
      <c r="Q44" s="80" t="n">
        <f aca="false">COUNTIFS(임대자산!$I:$I,가맹점정보!F44,임대자산!$N:$N,가맹점정보!Q$4)</f>
        <v>0</v>
      </c>
      <c r="R44" s="81" t="n">
        <f aca="false">COUNTIFS(임대자산!$I:$I,가맹점정보!F44,임대자산!$N:$N,가맹점정보!R$4)</f>
        <v>0</v>
      </c>
      <c r="S44" s="82" t="n">
        <v>55000</v>
      </c>
      <c r="T44" s="83" t="n">
        <v>0</v>
      </c>
      <c r="U44" s="80" t="n">
        <f aca="false">SUM(S44:T44)</f>
        <v>55000</v>
      </c>
      <c r="V44" s="84" t="s">
        <v>7</v>
      </c>
      <c r="W44" s="80" t="str">
        <f aca="true">
IF(D44="폐업","폐업",
IF(V44="면제","면제",
IF(AND(V44="정상",COUNTIFS(OFFSET(Y44,0,COUNTA(Y44:AV44)-1,1,-4),"미납")&gt;=3),"장기미납",
IF(AND(V44="정상",OFFSET(Y44,0,COUNTA(Y44:AV44)-1)&gt;=U44),"정상",
IF(AND(V44="정상",OFFSET(Y44,0,COUNTA(Y44:AV44)-1)=0),"정상",
"계약서 미작성")))))</f>
        <v>면제</v>
      </c>
      <c r="X44" s="81" t="str">
        <f aca="true">
IF(D44="폐업","폐업",
IF(AND(V44="정상",OFFSET(Y44,0,COUNTA(Y44:AV44)-1)="미납"),"미납",
IF(AND(V44="정상",OFFSET(Y44,0,COUNTA(Y44:AV44)-1)=0),"납부 시작 전",
IF(AND(V44="정상",OFFSET(Y44,0,COUNTA(Y44:AV44)-1)&gt;=U44),"정상",
IF(AND(V44="면제",OFFSET(Y44,0,COUNTA(Y44:AV44)-1)="면제"),"면제",
IF(AND(V44="면제",OFFSET(Y44,0,COUNTA(Y44:AV44)-1)=0),"면제",
"확인요청"))))))</f>
        <v>면제</v>
      </c>
      <c r="Y44" s="94" t="s">
        <v>7</v>
      </c>
      <c r="Z44" s="95" t="s">
        <v>7</v>
      </c>
      <c r="AA44" s="95" t="s">
        <v>7</v>
      </c>
      <c r="AB44" s="95" t="s">
        <v>7</v>
      </c>
      <c r="AC44" s="95" t="s">
        <v>7</v>
      </c>
      <c r="AD44" s="95" t="s">
        <v>7</v>
      </c>
      <c r="AE44" s="95" t="s">
        <v>7</v>
      </c>
      <c r="AF44" s="95" t="s">
        <v>7</v>
      </c>
      <c r="AG44" s="95" t="s">
        <v>7</v>
      </c>
      <c r="AH44" s="95" t="s">
        <v>7</v>
      </c>
      <c r="AI44" s="95" t="s">
        <v>7</v>
      </c>
      <c r="AJ44" s="96" t="s">
        <v>7</v>
      </c>
      <c r="AK44" s="97" t="s">
        <v>7</v>
      </c>
      <c r="AL44" s="95" t="s">
        <v>7</v>
      </c>
      <c r="AM44" s="90"/>
      <c r="AN44" s="90"/>
      <c r="AO44" s="90"/>
      <c r="AP44" s="90"/>
      <c r="AQ44" s="90"/>
      <c r="AR44" s="90"/>
      <c r="AS44" s="90"/>
      <c r="AT44" s="90"/>
      <c r="AU44" s="90"/>
      <c r="AV44" s="91"/>
      <c r="AX44" s="92"/>
    </row>
    <row r="45" customFormat="false" ht="15.65" hidden="false" customHeight="false" outlineLevel="0" collapsed="false">
      <c r="C45" s="72" t="n">
        <f aca="false">COUNTIFS($D$6:D45,"&lt;&gt;"&amp;"")</f>
        <v>40</v>
      </c>
      <c r="D45" s="73" t="s">
        <v>12</v>
      </c>
      <c r="E45" s="76" t="str">
        <f aca="false">
IF($D45="정상",INDEX(임대자산!$D$3:$R$3000,MATCH($F45,임대자산!$I$3:$I$3000,0),MATCH(E$3,임대자산!$D$3:$R$3,0)),
IF($D45="폐업",INDEX(폐업정보!$D$3:$R$3000,MATCH($F45,폐업정보!$I$3:$I$3000,0),MATCH(E$3,폐업정보!$D$3:$R$3,0)),
"Error"))</f>
        <v>경기</v>
      </c>
      <c r="F4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B0040</v>
      </c>
      <c r="G45" s="76" t="str">
        <f aca="false">F45&amp;RANDBETWEEN(0,10)</f>
        <v>B00407</v>
      </c>
      <c r="H45" s="75" t="n">
        <f aca="false">
IF($D45="정상",INDEX(임대자산!$D$3:$R$3000,MATCH($F45,임대자산!$I$3:$I$3000,0),MATCH(H$4,임대자산!$D$3:$R$3,0)),
IF($D45="폐업",INDEX(폐업정보!$D$3:$R$3000,MATCH($F45,폐업정보!$I$3:$I$3000,0),MATCH(H$4,폐업정보!$D$3:$R$3,0)),
"Error"))</f>
        <v>44349</v>
      </c>
      <c r="I45" s="75" t="str">
        <f aca="false">
IF($D45="정상",INDEX(임대자산!$D$3:$R$3000,MATCH($F45,임대자산!$I$3:$I$3000,0),MATCH(I$4,임대자산!$D$3:$R$3,0)),
IF($D45="폐업",INDEX(폐업정보!$D$3:$R$3000,MATCH($F45,폐업정보!$I$3:$I$3000,0),MATCH(I$4,폐업정보!$D$3:$R$3,0)),
"Error"))</f>
        <v>A0040</v>
      </c>
      <c r="J45" s="75" t="str">
        <f aca="false">
IF($D45="정상",INDEX(임대자산!$D$3:$R$3000,MATCH($F45,임대자산!$I$3:$I$3000,0),MATCH(J$4,임대자산!$D$3:$R$3,0)),
IF($D45="폐업",INDEX(폐업정보!$D$3:$R$3000,MATCH($F45,폐업정보!$I$3:$I$3000,0),MATCH(J$4,폐업정보!$D$3:$R$3,0)),
"Error"))</f>
        <v>5593000000</v>
      </c>
      <c r="K45" s="75" t="str">
        <f aca="false">
IF($D45="정상",INDEX(임대자산!$D$3:$R$3000,MATCH($F45,임대자산!$I$3:$I$3000,0),MATCH(K$4,임대자산!$D$3:$R$3,0)),
IF($D45="폐업",INDEX(폐업정보!$D$3:$R$3000,MATCH($F45,폐업정보!$I$3:$I$3000,0),MATCH(K$4,폐업정보!$D$3:$R$3,0)),
"Error"))</f>
        <v>C0040</v>
      </c>
      <c r="L45" s="75" t="str">
        <f aca="false">
IF($D45="정상",INDEX(임대자산!$D$3:$R$3000,MATCH($F45,임대자산!$I$3:$I$3000,0),MATCH(L$4,임대자산!$D$3:$R$3,0)),
IF($D45="폐업",INDEX(폐업정보!$D$3:$R$3000,MATCH($F45,폐업정보!$I$3:$I$3000,0),MATCH(L$4,폐업정보!$D$3:$R$3,0)),
"Error"))</f>
        <v>D0040</v>
      </c>
      <c r="M45" s="76" t="s">
        <v>96</v>
      </c>
      <c r="N45" s="77"/>
      <c r="O45" s="78" t="s">
        <v>97</v>
      </c>
      <c r="P45" s="79" t="n">
        <f aca="false">COUNTIFS(임대자산!$I:$I,가맹점정보!F45,임대자산!$N:$N,가맹점정보!P$4)</f>
        <v>1</v>
      </c>
      <c r="Q45" s="80" t="n">
        <f aca="false">COUNTIFS(임대자산!$I:$I,가맹점정보!F45,임대자산!$N:$N,가맹점정보!Q$4)</f>
        <v>0</v>
      </c>
      <c r="R45" s="81" t="n">
        <f aca="false">COUNTIFS(임대자산!$I:$I,가맹점정보!F45,임대자산!$N:$N,가맹점정보!R$4)</f>
        <v>0</v>
      </c>
      <c r="S45" s="82" t="n">
        <v>55000</v>
      </c>
      <c r="T45" s="83" t="n">
        <v>0</v>
      </c>
      <c r="U45" s="80" t="n">
        <f aca="false">SUM(S45:T45)</f>
        <v>55000</v>
      </c>
      <c r="V45" s="84" t="s">
        <v>7</v>
      </c>
      <c r="W45" s="80" t="str">
        <f aca="true">
IF(D45="폐업","폐업",
IF(V45="면제","면제",
IF(AND(V45="정상",COUNTIFS(OFFSET(Y45,0,COUNTA(Y45:AV45)-1,1,-4),"미납")&gt;=3),"장기미납",
IF(AND(V45="정상",OFFSET(Y45,0,COUNTA(Y45:AV45)-1)&gt;=U45),"정상",
IF(AND(V45="정상",OFFSET(Y45,0,COUNTA(Y45:AV45)-1)=0),"정상",
"계약서 미작성")))))</f>
        <v>면제</v>
      </c>
      <c r="X45" s="81" t="str">
        <f aca="true">
IF(D45="폐업","폐업",
IF(AND(V45="정상",OFFSET(Y45,0,COUNTA(Y45:AV45)-1)="미납"),"미납",
IF(AND(V45="정상",OFFSET(Y45,0,COUNTA(Y45:AV45)-1)=0),"납부 시작 전",
IF(AND(V45="정상",OFFSET(Y45,0,COUNTA(Y45:AV45)-1)&gt;=U45),"정상",
IF(AND(V45="면제",OFFSET(Y45,0,COUNTA(Y45:AV45)-1)="면제"),"면제",
IF(AND(V45="면제",OFFSET(Y45,0,COUNTA(Y45:AV45)-1)=0),"면제",
"확인요청"))))))</f>
        <v>면제</v>
      </c>
      <c r="Y45" s="94" t="s">
        <v>7</v>
      </c>
      <c r="Z45" s="95" t="s">
        <v>7</v>
      </c>
      <c r="AA45" s="95" t="s">
        <v>7</v>
      </c>
      <c r="AB45" s="95" t="s">
        <v>7</v>
      </c>
      <c r="AC45" s="95" t="s">
        <v>7</v>
      </c>
      <c r="AD45" s="95" t="s">
        <v>7</v>
      </c>
      <c r="AE45" s="95" t="s">
        <v>7</v>
      </c>
      <c r="AF45" s="95" t="s">
        <v>7</v>
      </c>
      <c r="AG45" s="95" t="s">
        <v>7</v>
      </c>
      <c r="AH45" s="95" t="s">
        <v>7</v>
      </c>
      <c r="AI45" s="95" t="s">
        <v>7</v>
      </c>
      <c r="AJ45" s="96" t="s">
        <v>7</v>
      </c>
      <c r="AK45" s="97" t="s">
        <v>7</v>
      </c>
      <c r="AL45" s="95" t="s">
        <v>7</v>
      </c>
      <c r="AM45" s="90"/>
      <c r="AN45" s="90"/>
      <c r="AO45" s="90"/>
      <c r="AP45" s="90"/>
      <c r="AQ45" s="90"/>
      <c r="AR45" s="90"/>
      <c r="AS45" s="90"/>
      <c r="AT45" s="90"/>
      <c r="AU45" s="90"/>
      <c r="AV45" s="91"/>
      <c r="AX45" s="92"/>
    </row>
    <row r="46" customFormat="false" ht="15.65" hidden="false" customHeight="false" outlineLevel="0" collapsed="false">
      <c r="C46" s="72" t="n">
        <f aca="false">COUNTIFS($D$6:D46,"&lt;&gt;"&amp;"")</f>
        <v>41</v>
      </c>
      <c r="D46" s="73" t="s">
        <v>12</v>
      </c>
      <c r="E46" s="76" t="str">
        <f aca="false">
IF($D46="정상",INDEX(임대자산!$D$3:$R$3000,MATCH($F46,임대자산!$I$3:$I$3000,0),MATCH(E$3,임대자산!$D$3:$R$3,0)),
IF($D46="폐업",INDEX(폐업정보!$D$3:$R$3000,MATCH($F46,폐업정보!$I$3:$I$3000,0),MATCH(E$3,폐업정보!$D$3:$R$3,0)),
"Error"))</f>
        <v>강원</v>
      </c>
      <c r="F4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B0041</v>
      </c>
      <c r="G46" s="76" t="str">
        <f aca="false">F46&amp;RANDBETWEEN(0,10)</f>
        <v>B00414</v>
      </c>
      <c r="H46" s="75" t="n">
        <f aca="false">
IF($D46="정상",INDEX(임대자산!$D$3:$R$3000,MATCH($F46,임대자산!$I$3:$I$3000,0),MATCH(H$4,임대자산!$D$3:$R$3,0)),
IF($D46="폐업",INDEX(폐업정보!$D$3:$R$3000,MATCH($F46,폐업정보!$I$3:$I$3000,0),MATCH(H$4,폐업정보!$D$3:$R$3,0)),
"Error"))</f>
        <v>43045</v>
      </c>
      <c r="I46" s="75" t="str">
        <f aca="false">
IF($D46="정상",INDEX(임대자산!$D$3:$R$3000,MATCH($F46,임대자산!$I$3:$I$3000,0),MATCH(I$4,임대자산!$D$3:$R$3,0)),
IF($D46="폐업",INDEX(폐업정보!$D$3:$R$3000,MATCH($F46,폐업정보!$I$3:$I$3000,0),MATCH(I$4,폐업정보!$D$3:$R$3,0)),
"Error"))</f>
        <v>A0041</v>
      </c>
      <c r="J46" s="75" t="str">
        <f aca="false">
IF($D46="정상",INDEX(임대자산!$D$3:$R$3000,MATCH($F46,임대자산!$I$3:$I$3000,0),MATCH(J$4,임대자산!$D$3:$R$3,0)),
IF($D46="폐업",INDEX(폐업정보!$D$3:$R$3000,MATCH($F46,폐업정보!$I$3:$I$3000,0),MATCH(J$4,폐업정보!$D$3:$R$3,0)),
"Error"))</f>
        <v>5269400000</v>
      </c>
      <c r="K46" s="75" t="str">
        <f aca="false">
IF($D46="정상",INDEX(임대자산!$D$3:$R$3000,MATCH($F46,임대자산!$I$3:$I$3000,0),MATCH(K$4,임대자산!$D$3:$R$3,0)),
IF($D46="폐업",INDEX(폐업정보!$D$3:$R$3000,MATCH($F46,폐업정보!$I$3:$I$3000,0),MATCH(K$4,폐업정보!$D$3:$R$3,0)),
"Error"))</f>
        <v>C0041</v>
      </c>
      <c r="L46" s="75" t="str">
        <f aca="false">
IF($D46="정상",INDEX(임대자산!$D$3:$R$3000,MATCH($F46,임대자산!$I$3:$I$3000,0),MATCH(L$4,임대자산!$D$3:$R$3,0)),
IF($D46="폐업",INDEX(폐업정보!$D$3:$R$3000,MATCH($F46,폐업정보!$I$3:$I$3000,0),MATCH(L$4,폐업정보!$D$3:$R$3,0)),
"Error"))</f>
        <v>D0041</v>
      </c>
      <c r="M46" s="76" t="s">
        <v>96</v>
      </c>
      <c r="N46" s="77"/>
      <c r="O46" s="78" t="s">
        <v>97</v>
      </c>
      <c r="P46" s="79" t="n">
        <f aca="false">COUNTIFS(임대자산!$I:$I,가맹점정보!F46,임대자산!$N:$N,가맹점정보!P$4)</f>
        <v>1</v>
      </c>
      <c r="Q46" s="80" t="n">
        <f aca="false">COUNTIFS(임대자산!$I:$I,가맹점정보!F46,임대자산!$N:$N,가맹점정보!Q$4)</f>
        <v>0</v>
      </c>
      <c r="R46" s="81" t="n">
        <f aca="false">COUNTIFS(임대자산!$I:$I,가맹점정보!F46,임대자산!$N:$N,가맹점정보!R$4)</f>
        <v>0</v>
      </c>
      <c r="S46" s="82" t="n">
        <v>55000</v>
      </c>
      <c r="T46" s="83" t="n">
        <v>0</v>
      </c>
      <c r="U46" s="80" t="n">
        <f aca="false">SUM(S46:T46)</f>
        <v>55000</v>
      </c>
      <c r="V46" s="84" t="s">
        <v>7</v>
      </c>
      <c r="W46" s="80" t="str">
        <f aca="true">
IF(D46="폐업","폐업",
IF(V46="면제","면제",
IF(AND(V46="정상",COUNTIFS(OFFSET(Y46,0,COUNTA(Y46:AV46)-1,1,-4),"미납")&gt;=3),"장기미납",
IF(AND(V46="정상",OFFSET(Y46,0,COUNTA(Y46:AV46)-1)&gt;=U46),"정상",
IF(AND(V46="정상",OFFSET(Y46,0,COUNTA(Y46:AV46)-1)=0),"정상",
"계약서 미작성")))))</f>
        <v>면제</v>
      </c>
      <c r="X46" s="81" t="str">
        <f aca="true">
IF(D46="폐업","폐업",
IF(AND(V46="정상",OFFSET(Y46,0,COUNTA(Y46:AV46)-1)="미납"),"미납",
IF(AND(V46="정상",OFFSET(Y46,0,COUNTA(Y46:AV46)-1)=0),"납부 시작 전",
IF(AND(V46="정상",OFFSET(Y46,0,COUNTA(Y46:AV46)-1)&gt;=U46),"정상",
IF(AND(V46="면제",OFFSET(Y46,0,COUNTA(Y46:AV46)-1)="면제"),"면제",
IF(AND(V46="면제",OFFSET(Y46,0,COUNTA(Y46:AV46)-1)=0),"면제",
"확인요청"))))))</f>
        <v>면제</v>
      </c>
      <c r="Y46" s="94" t="s">
        <v>7</v>
      </c>
      <c r="Z46" s="95" t="s">
        <v>7</v>
      </c>
      <c r="AA46" s="95" t="s">
        <v>7</v>
      </c>
      <c r="AB46" s="95" t="s">
        <v>7</v>
      </c>
      <c r="AC46" s="95" t="s">
        <v>7</v>
      </c>
      <c r="AD46" s="95" t="s">
        <v>7</v>
      </c>
      <c r="AE46" s="95" t="s">
        <v>7</v>
      </c>
      <c r="AF46" s="95" t="s">
        <v>7</v>
      </c>
      <c r="AG46" s="95" t="s">
        <v>7</v>
      </c>
      <c r="AH46" s="95" t="s">
        <v>7</v>
      </c>
      <c r="AI46" s="95" t="s">
        <v>7</v>
      </c>
      <c r="AJ46" s="96" t="s">
        <v>7</v>
      </c>
      <c r="AK46" s="97" t="s">
        <v>7</v>
      </c>
      <c r="AL46" s="95" t="s">
        <v>7</v>
      </c>
      <c r="AM46" s="90"/>
      <c r="AN46" s="90"/>
      <c r="AO46" s="90"/>
      <c r="AP46" s="90"/>
      <c r="AQ46" s="90"/>
      <c r="AR46" s="90"/>
      <c r="AS46" s="90"/>
      <c r="AT46" s="90"/>
      <c r="AU46" s="90"/>
      <c r="AV46" s="91"/>
      <c r="AX46" s="92"/>
    </row>
    <row r="47" customFormat="false" ht="15.65" hidden="false" customHeight="false" outlineLevel="0" collapsed="false">
      <c r="C47" s="72" t="n">
        <f aca="false">COUNTIFS($D$6:D47,"&lt;&gt;"&amp;"")</f>
        <v>42</v>
      </c>
      <c r="D47" s="73" t="s">
        <v>5</v>
      </c>
      <c r="E47" s="76" t="str">
        <f aca="false">
IF($D47="정상",INDEX(임대자산!$D$3:$R$3000,MATCH($F47,임대자산!$I$3:$I$3000,0),MATCH(E$3,임대자산!$D$3:$R$3,0)),
IF($D47="폐업",INDEX(폐업정보!$D$3:$R$3000,MATCH($F47,폐업정보!$I$3:$I$3000,0),MATCH(E$3,폐업정보!$D$3:$R$3,0)),
"Error"))</f>
        <v>강원</v>
      </c>
      <c r="F4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B0042</v>
      </c>
      <c r="G47" s="76" t="str">
        <f aca="false">F47&amp;RANDBETWEEN(0,10)</f>
        <v>B00423</v>
      </c>
      <c r="H47" s="75" t="n">
        <f aca="false">
IF($D47="정상",INDEX(임대자산!$D$3:$R$3000,MATCH($F47,임대자산!$I$3:$I$3000,0),MATCH(H$4,임대자산!$D$3:$R$3,0)),
IF($D47="폐업",INDEX(폐업정보!$D$3:$R$3000,MATCH($F47,폐업정보!$I$3:$I$3000,0),MATCH(H$4,폐업정보!$D$3:$R$3,0)),
"Error"))</f>
        <v>43045</v>
      </c>
      <c r="I47" s="75" t="str">
        <f aca="false">
IF($D47="정상",INDEX(임대자산!$D$3:$R$3000,MATCH($F47,임대자산!$I$3:$I$3000,0),MATCH(I$4,임대자산!$D$3:$R$3,0)),
IF($D47="폐업",INDEX(폐업정보!$D$3:$R$3000,MATCH($F47,폐업정보!$I$3:$I$3000,0),MATCH(I$4,폐업정보!$D$3:$R$3,0)),
"Error"))</f>
        <v>A0042</v>
      </c>
      <c r="J47" s="75" t="str">
        <f aca="false">
IF($D47="정상",INDEX(임대자산!$D$3:$R$3000,MATCH($F47,임대자산!$I$3:$I$3000,0),MATCH(J$4,임대자산!$D$3:$R$3,0)),
IF($D47="폐업",INDEX(폐업정보!$D$3:$R$3000,MATCH($F47,폐업정보!$I$3:$I$3000,0),MATCH(J$4,폐업정보!$D$3:$R$3,0)),
"Error"))</f>
        <v>2199400000</v>
      </c>
      <c r="K47" s="75" t="str">
        <f aca="false">
IF($D47="정상",INDEX(임대자산!$D$3:$R$3000,MATCH($F47,임대자산!$I$3:$I$3000,0),MATCH(K$4,임대자산!$D$3:$R$3,0)),
IF($D47="폐업",INDEX(폐업정보!$D$3:$R$3000,MATCH($F47,폐업정보!$I$3:$I$3000,0),MATCH(K$4,폐업정보!$D$3:$R$3,0)),
"Error"))</f>
        <v>C0042</v>
      </c>
      <c r="L47" s="75" t="str">
        <f aca="false">
IF($D47="정상",INDEX(임대자산!$D$3:$R$3000,MATCH($F47,임대자산!$I$3:$I$3000,0),MATCH(L$4,임대자산!$D$3:$R$3,0)),
IF($D47="폐업",INDEX(폐업정보!$D$3:$R$3000,MATCH($F47,폐업정보!$I$3:$I$3000,0),MATCH(L$4,폐업정보!$D$3:$R$3,0)),
"Error"))</f>
        <v>D0042</v>
      </c>
      <c r="M47" s="76" t="s">
        <v>96</v>
      </c>
      <c r="N47" s="77"/>
      <c r="O47" s="78" t="s">
        <v>97</v>
      </c>
      <c r="P47" s="79" t="n">
        <f aca="false">COUNTIFS(임대자산!$I:$I,가맹점정보!F47,임대자산!$N:$N,가맹점정보!P$4)</f>
        <v>0</v>
      </c>
      <c r="Q47" s="80" t="n">
        <f aca="false">COUNTIFS(임대자산!$I:$I,가맹점정보!F47,임대자산!$N:$N,가맹점정보!Q$4)</f>
        <v>0</v>
      </c>
      <c r="R47" s="81" t="n">
        <f aca="false">COUNTIFS(임대자산!$I:$I,가맹점정보!F47,임대자산!$N:$N,가맹점정보!R$4)</f>
        <v>0</v>
      </c>
      <c r="S47" s="82" t="n">
        <v>88000</v>
      </c>
      <c r="T47" s="83" t="n">
        <v>0</v>
      </c>
      <c r="U47" s="80" t="n">
        <f aca="false">SUM(S47:T47)</f>
        <v>88000</v>
      </c>
      <c r="V47" s="84" t="s">
        <v>7</v>
      </c>
      <c r="W47" s="80" t="str">
        <f aca="true">
IF(D47="폐업","폐업",
IF(V47="면제","면제",
IF(AND(V47="정상",COUNTIFS(OFFSET(Y47,0,COUNTA(Y47:AV47)-1,1,-4),"미납")&gt;=3),"장기미납",
IF(AND(V47="정상",OFFSET(Y47,0,COUNTA(Y47:AV47)-1)&gt;=U47),"정상",
IF(AND(V47="정상",OFFSET(Y47,0,COUNTA(Y47:AV47)-1)=0),"정상",
"계약서 미작성")))))</f>
        <v>폐업</v>
      </c>
      <c r="X47" s="81" t="str">
        <f aca="true">
IF(D47="폐업","폐업",
IF(AND(V47="정상",OFFSET(Y47,0,COUNTA(Y47:AV47)-1)="미납"),"미납",
IF(AND(V47="정상",OFFSET(Y47,0,COUNTA(Y47:AV47)-1)=0),"납부 시작 전",
IF(AND(V47="정상",OFFSET(Y47,0,COUNTA(Y47:AV47)-1)&gt;=U47),"정상",
IF(AND(V47="면제",OFFSET(Y47,0,COUNTA(Y47:AV47)-1)="면제"),"면제",
IF(AND(V47="면제",OFFSET(Y47,0,COUNTA(Y47:AV47)-1)=0),"면제",
"확인요청"))))))</f>
        <v>폐업</v>
      </c>
      <c r="Y47" s="94" t="s">
        <v>7</v>
      </c>
      <c r="Z47" s="95" t="s">
        <v>7</v>
      </c>
      <c r="AA47" s="95" t="s">
        <v>7</v>
      </c>
      <c r="AB47" s="95" t="s">
        <v>7</v>
      </c>
      <c r="AC47" s="95" t="s">
        <v>7</v>
      </c>
      <c r="AD47" s="95" t="s">
        <v>7</v>
      </c>
      <c r="AE47" s="95" t="s">
        <v>7</v>
      </c>
      <c r="AF47" s="95" t="s">
        <v>7</v>
      </c>
      <c r="AG47" s="95" t="s">
        <v>7</v>
      </c>
      <c r="AH47" s="95" t="s">
        <v>7</v>
      </c>
      <c r="AI47" s="95" t="s">
        <v>7</v>
      </c>
      <c r="AJ47" s="96" t="s">
        <v>7</v>
      </c>
      <c r="AK47" s="97" t="s">
        <v>7</v>
      </c>
      <c r="AL47" s="95" t="s">
        <v>7</v>
      </c>
      <c r="AM47" s="90"/>
      <c r="AN47" s="90"/>
      <c r="AO47" s="90"/>
      <c r="AP47" s="90"/>
      <c r="AQ47" s="90"/>
      <c r="AR47" s="90"/>
      <c r="AS47" s="90"/>
      <c r="AT47" s="90"/>
      <c r="AU47" s="90"/>
      <c r="AV47" s="91"/>
      <c r="AX47" s="92"/>
    </row>
    <row r="48" customFormat="false" ht="15.65" hidden="false" customHeight="false" outlineLevel="0" collapsed="false">
      <c r="C48" s="72" t="n">
        <f aca="false">COUNTIFS($D$6:D48,"&lt;&gt;"&amp;"")</f>
        <v>43</v>
      </c>
      <c r="D48" s="73" t="s">
        <v>12</v>
      </c>
      <c r="E48" s="76" t="str">
        <f aca="false">
IF($D48="정상",INDEX(임대자산!$D$3:$R$3000,MATCH($F48,임대자산!$I$3:$I$3000,0),MATCH(E$3,임대자산!$D$3:$R$3,0)),
IF($D48="폐업",INDEX(폐업정보!$D$3:$R$3000,MATCH($F48,폐업정보!$I$3:$I$3000,0),MATCH(E$3,폐업정보!$D$3:$R$3,0)),
"Error"))</f>
        <v>경상</v>
      </c>
      <c r="F4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B0043</v>
      </c>
      <c r="G48" s="76" t="str">
        <f aca="false">F48&amp;RANDBETWEEN(0,10)</f>
        <v>B00430</v>
      </c>
      <c r="H48" s="75" t="n">
        <f aca="false">
IF($D48="정상",INDEX(임대자산!$D$3:$R$3000,MATCH($F48,임대자산!$I$3:$I$3000,0),MATCH(H$4,임대자산!$D$3:$R$3,0)),
IF($D48="폐업",INDEX(폐업정보!$D$3:$R$3000,MATCH($F48,폐업정보!$I$3:$I$3000,0),MATCH(H$4,폐업정보!$D$3:$R$3,0)),
"Error"))</f>
        <v>43475</v>
      </c>
      <c r="I48" s="75" t="str">
        <f aca="false">
IF($D48="정상",INDEX(임대자산!$D$3:$R$3000,MATCH($F48,임대자산!$I$3:$I$3000,0),MATCH(I$4,임대자산!$D$3:$R$3,0)),
IF($D48="폐업",INDEX(폐업정보!$D$3:$R$3000,MATCH($F48,폐업정보!$I$3:$I$3000,0),MATCH(I$4,폐업정보!$D$3:$R$3,0)),
"Error"))</f>
        <v>A0043</v>
      </c>
      <c r="J48" s="75" t="str">
        <f aca="false">
IF($D48="정상",INDEX(임대자산!$D$3:$R$3000,MATCH($F48,임대자산!$I$3:$I$3000,0),MATCH(J$4,임대자산!$D$3:$R$3,0)),
IF($D48="폐업",INDEX(폐업정보!$D$3:$R$3000,MATCH($F48,폐업정보!$I$3:$I$3000,0),MATCH(J$4,폐업정보!$D$3:$R$3,0)),
"Error"))</f>
        <v>4375200000</v>
      </c>
      <c r="K48" s="75" t="str">
        <f aca="false">
IF($D48="정상",INDEX(임대자산!$D$3:$R$3000,MATCH($F48,임대자산!$I$3:$I$3000,0),MATCH(K$4,임대자산!$D$3:$R$3,0)),
IF($D48="폐업",INDEX(폐업정보!$D$3:$R$3000,MATCH($F48,폐업정보!$I$3:$I$3000,0),MATCH(K$4,폐업정보!$D$3:$R$3,0)),
"Error"))</f>
        <v>C0043</v>
      </c>
      <c r="L48" s="75" t="str">
        <f aca="false">
IF($D48="정상",INDEX(임대자산!$D$3:$R$3000,MATCH($F48,임대자산!$I$3:$I$3000,0),MATCH(L$4,임대자산!$D$3:$R$3,0)),
IF($D48="폐업",INDEX(폐업정보!$D$3:$R$3000,MATCH($F48,폐업정보!$I$3:$I$3000,0),MATCH(L$4,폐업정보!$D$3:$R$3,0)),
"Error"))</f>
        <v>D0043</v>
      </c>
      <c r="M48" s="76" t="s">
        <v>96</v>
      </c>
      <c r="N48" s="77"/>
      <c r="O48" s="78" t="s">
        <v>97</v>
      </c>
      <c r="P48" s="79" t="n">
        <f aca="false">COUNTIFS(임대자산!$I:$I,가맹점정보!F48,임대자산!$N:$N,가맹점정보!P$4)</f>
        <v>1</v>
      </c>
      <c r="Q48" s="80" t="n">
        <f aca="false">COUNTIFS(임대자산!$I:$I,가맹점정보!F48,임대자산!$N:$N,가맹점정보!Q$4)</f>
        <v>0</v>
      </c>
      <c r="R48" s="81" t="n">
        <f aca="false">COUNTIFS(임대자산!$I:$I,가맹점정보!F48,임대자산!$N:$N,가맹점정보!R$4)</f>
        <v>0</v>
      </c>
      <c r="S48" s="82" t="n">
        <v>55000</v>
      </c>
      <c r="T48" s="83" t="n">
        <v>0</v>
      </c>
      <c r="U48" s="80" t="n">
        <f aca="false">SUM(S48:T48)</f>
        <v>55000</v>
      </c>
      <c r="V48" s="84" t="s">
        <v>12</v>
      </c>
      <c r="W48" s="80" t="e">
        <f aca="true">
IF(D48="폐업","폐업",
IF(V48="면제","면제",
IF(AND(V48="정상",COUNTIFS(OFFSET(Y48,0,COUNTA(Y48:AV48)-1,1,-4),"미납")&gt;=3),"장기미납",
IF(AND(V48="정상",OFFSET(Y48,0,COUNTA(Y48:AV48)-1)&gt;=U48),"정상",
IF(AND(V48="정상",OFFSET(Y48,0,COUNTA(Y48:AV48)-1)=0),"정상",
"계약서 미작성")))))</f>
        <v>#VALUE!</v>
      </c>
      <c r="X48" s="81" t="str">
        <f aca="true">
IF(D48="폐업","폐업",
IF(AND(V48="정상",OFFSET(Y48,0,COUNTA(Y48:AV48)-1)="미납"),"미납",
IF(AND(V48="정상",OFFSET(Y48,0,COUNTA(Y48:AV48)-1)=0),"납부 시작 전",
IF(AND(V48="정상",OFFSET(Y48,0,COUNTA(Y48:AV48)-1)&gt;=U48),"정상",
IF(AND(V48="면제",OFFSET(Y48,0,COUNTA(Y48:AV48)-1)="면제"),"면제",
IF(AND(V48="면제",OFFSET(Y48,0,COUNTA(Y48:AV48)-1)=0),"면제",
"확인요청"))))))</f>
        <v>정상</v>
      </c>
      <c r="Y48" s="93" t="n">
        <v>55000</v>
      </c>
      <c r="Z48" s="90" t="n">
        <v>55000</v>
      </c>
      <c r="AA48" s="90" t="n">
        <v>55000</v>
      </c>
      <c r="AB48" s="90" t="n">
        <v>55000</v>
      </c>
      <c r="AC48" s="90" t="n">
        <v>55000</v>
      </c>
      <c r="AD48" s="90" t="n">
        <v>55000</v>
      </c>
      <c r="AE48" s="90" t="n">
        <v>55000</v>
      </c>
      <c r="AF48" s="90" t="n">
        <v>55000</v>
      </c>
      <c r="AG48" s="90" t="n">
        <v>55000</v>
      </c>
      <c r="AH48" s="90" t="n">
        <v>55000</v>
      </c>
      <c r="AI48" s="90" t="n">
        <v>55000</v>
      </c>
      <c r="AJ48" s="91" t="n">
        <v>55000</v>
      </c>
      <c r="AK48" s="89" t="n">
        <v>55000</v>
      </c>
      <c r="AL48" s="90" t="n">
        <v>55000</v>
      </c>
      <c r="AM48" s="90"/>
      <c r="AN48" s="90"/>
      <c r="AO48" s="90"/>
      <c r="AP48" s="90"/>
      <c r="AQ48" s="90"/>
      <c r="AR48" s="90"/>
      <c r="AS48" s="90"/>
      <c r="AT48" s="90"/>
      <c r="AU48" s="90"/>
      <c r="AV48" s="91"/>
      <c r="AX48" s="92"/>
    </row>
    <row r="49" customFormat="false" ht="15.65" hidden="false" customHeight="false" outlineLevel="0" collapsed="false">
      <c r="C49" s="72" t="n">
        <f aca="false">COUNTIFS($D$6:D49,"&lt;&gt;"&amp;"")</f>
        <v>44</v>
      </c>
      <c r="D49" s="73" t="s">
        <v>12</v>
      </c>
      <c r="E49" s="76" t="str">
        <f aca="false">
IF($D49="정상",INDEX(임대자산!$D$3:$R$3000,MATCH($F49,임대자산!$I$3:$I$3000,0),MATCH(E$3,임대자산!$D$3:$R$3,0)),
IF($D49="폐업",INDEX(폐업정보!$D$3:$R$3000,MATCH($F49,폐업정보!$I$3:$I$3000,0),MATCH(E$3,폐업정보!$D$3:$R$3,0)),
"Error"))</f>
        <v>서울</v>
      </c>
      <c r="F4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B0044</v>
      </c>
      <c r="G49" s="76" t="str">
        <f aca="false">F49&amp;RANDBETWEEN(0,10)</f>
        <v>B00444</v>
      </c>
      <c r="H49" s="75" t="n">
        <f aca="false">
IF($D49="정상",INDEX(임대자산!$D$3:$R$3000,MATCH($F49,임대자산!$I$3:$I$3000,0),MATCH(H$4,임대자산!$D$3:$R$3,0)),
IF($D49="폐업",INDEX(폐업정보!$D$3:$R$3000,MATCH($F49,폐업정보!$I$3:$I$3000,0),MATCH(H$4,폐업정보!$D$3:$R$3,0)),
"Error"))</f>
        <v>45805</v>
      </c>
      <c r="I49" s="75" t="str">
        <f aca="false">
IF($D49="정상",INDEX(임대자산!$D$3:$R$3000,MATCH($F49,임대자산!$I$3:$I$3000,0),MATCH(I$4,임대자산!$D$3:$R$3,0)),
IF($D49="폐업",INDEX(폐업정보!$D$3:$R$3000,MATCH($F49,폐업정보!$I$3:$I$3000,0),MATCH(I$4,폐업정보!$D$3:$R$3,0)),
"Error"))</f>
        <v>A0044</v>
      </c>
      <c r="J49" s="75" t="str">
        <f aca="false">
IF($D49="정상",INDEX(임대자산!$D$3:$R$3000,MATCH($F49,임대자산!$I$3:$I$3000,0),MATCH(J$4,임대자산!$D$3:$R$3,0)),
IF($D49="폐업",INDEX(폐업정보!$D$3:$R$3000,MATCH($F49,폐업정보!$I$3:$I$3000,0),MATCH(J$4,폐업정보!$D$3:$R$3,0)),
"Error"))</f>
        <v>7570400000</v>
      </c>
      <c r="K49" s="75" t="str">
        <f aca="false">
IF($D49="정상",INDEX(임대자산!$D$3:$R$3000,MATCH($F49,임대자산!$I$3:$I$3000,0),MATCH(K$4,임대자산!$D$3:$R$3,0)),
IF($D49="폐업",INDEX(폐업정보!$D$3:$R$3000,MATCH($F49,폐업정보!$I$3:$I$3000,0),MATCH(K$4,폐업정보!$D$3:$R$3,0)),
"Error"))</f>
        <v>C0044</v>
      </c>
      <c r="L49" s="75" t="str">
        <f aca="false">
IF($D49="정상",INDEX(임대자산!$D$3:$R$3000,MATCH($F49,임대자산!$I$3:$I$3000,0),MATCH(L$4,임대자산!$D$3:$R$3,0)),
IF($D49="폐업",INDEX(폐업정보!$D$3:$R$3000,MATCH($F49,폐업정보!$I$3:$I$3000,0),MATCH(L$4,폐업정보!$D$3:$R$3,0)),
"Error"))</f>
        <v>D0044</v>
      </c>
      <c r="M49" s="76" t="s">
        <v>96</v>
      </c>
      <c r="N49" s="77"/>
      <c r="O49" s="78" t="s">
        <v>97</v>
      </c>
      <c r="P49" s="79" t="n">
        <f aca="false">COUNTIFS(임대자산!$I:$I,가맹점정보!F49,임대자산!$N:$N,가맹점정보!P$4)</f>
        <v>1</v>
      </c>
      <c r="Q49" s="80" t="n">
        <f aca="false">COUNTIFS(임대자산!$I:$I,가맹점정보!F49,임대자산!$N:$N,가맹점정보!Q$4)</f>
        <v>0</v>
      </c>
      <c r="R49" s="81" t="n">
        <f aca="false">COUNTIFS(임대자산!$I:$I,가맹점정보!F49,임대자산!$N:$N,가맹점정보!R$4)</f>
        <v>0</v>
      </c>
      <c r="S49" s="82" t="n">
        <v>55000</v>
      </c>
      <c r="T49" s="83" t="n">
        <v>0</v>
      </c>
      <c r="U49" s="80" t="n">
        <f aca="false">SUM(S49:T49)</f>
        <v>55000</v>
      </c>
      <c r="V49" s="84" t="s">
        <v>12</v>
      </c>
      <c r="W49" s="80" t="e">
        <f aca="true">
IF(D49="폐업","폐업",
IF(V49="면제","면제",
IF(AND(V49="정상",COUNTIFS(OFFSET(Y49,0,COUNTA(Y49:AV49)-1,1,-4),"미납")&gt;=3),"장기미납",
IF(AND(V49="정상",OFFSET(Y49,0,COUNTA(Y49:AV49)-1)&gt;=U49),"정상",
IF(AND(V49="정상",OFFSET(Y49,0,COUNTA(Y49:AV49)-1)=0),"정상",
"계약서 미작성")))))</f>
        <v>#VALUE!</v>
      </c>
      <c r="X49" s="81" t="str">
        <f aca="true">
IF(D49="폐업","폐업",
IF(AND(V49="정상",OFFSET(Y49,0,COUNTA(Y49:AV49)-1)="미납"),"미납",
IF(AND(V49="정상",OFFSET(Y49,0,COUNTA(Y49:AV49)-1)=0),"납부 시작 전",
IF(AND(V49="정상",OFFSET(Y49,0,COUNTA(Y49:AV49)-1)&gt;=U49),"정상",
IF(AND(V49="면제",OFFSET(Y49,0,COUNTA(Y49:AV49)-1)="면제"),"면제",
IF(AND(V49="면제",OFFSET(Y49,0,COUNTA(Y49:AV49)-1)=0),"면제",
"확인요청"))))))</f>
        <v>정상</v>
      </c>
      <c r="Y49" s="93" t="n">
        <v>55000</v>
      </c>
      <c r="Z49" s="90" t="n">
        <v>55000</v>
      </c>
      <c r="AA49" s="90" t="n">
        <v>55000</v>
      </c>
      <c r="AB49" s="90" t="n">
        <v>55000</v>
      </c>
      <c r="AC49" s="90" t="n">
        <v>55000</v>
      </c>
      <c r="AD49" s="90" t="n">
        <v>55000</v>
      </c>
      <c r="AE49" s="90" t="n">
        <v>55000</v>
      </c>
      <c r="AF49" s="90" t="n">
        <v>55000</v>
      </c>
      <c r="AG49" s="90" t="n">
        <v>55000</v>
      </c>
      <c r="AH49" s="90" t="n">
        <v>55000</v>
      </c>
      <c r="AI49" s="90" t="n">
        <v>55000</v>
      </c>
      <c r="AJ49" s="91" t="n">
        <v>55000</v>
      </c>
      <c r="AK49" s="89" t="n">
        <v>55000</v>
      </c>
      <c r="AL49" s="90" t="n">
        <v>55000</v>
      </c>
      <c r="AM49" s="90"/>
      <c r="AN49" s="90"/>
      <c r="AO49" s="90"/>
      <c r="AP49" s="90"/>
      <c r="AQ49" s="90"/>
      <c r="AR49" s="90"/>
      <c r="AS49" s="90"/>
      <c r="AT49" s="90"/>
      <c r="AU49" s="90"/>
      <c r="AV49" s="91"/>
      <c r="AX49" s="92"/>
    </row>
    <row r="50" customFormat="false" ht="15.65" hidden="false" customHeight="false" outlineLevel="0" collapsed="false">
      <c r="C50" s="72" t="n">
        <f aca="false">COUNTIFS($D$6:D50,"&lt;&gt;"&amp;"")</f>
        <v>45</v>
      </c>
      <c r="D50" s="73" t="s">
        <v>5</v>
      </c>
      <c r="E50" s="76" t="str">
        <f aca="false">
IF($D50="정상",INDEX(임대자산!$D$3:$R$3000,MATCH($F50,임대자산!$I$3:$I$3000,0),MATCH(E$3,임대자산!$D$3:$R$3,0)),
IF($D50="폐업",INDEX(폐업정보!$D$3:$R$3000,MATCH($F50,폐업정보!$I$3:$I$3000,0),MATCH(E$3,폐업정보!$D$3:$R$3,0)),
"Error"))</f>
        <v>서울</v>
      </c>
      <c r="F5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B0045</v>
      </c>
      <c r="G50" s="76" t="str">
        <f aca="false">F50&amp;RANDBETWEEN(0,10)</f>
        <v>B00451</v>
      </c>
      <c r="H50" s="75" t="n">
        <f aca="false">
IF($D50="정상",INDEX(임대자산!$D$3:$R$3000,MATCH($F50,임대자산!$I$3:$I$3000,0),MATCH(H$4,임대자산!$D$3:$R$3,0)),
IF($D50="폐업",INDEX(폐업정보!$D$3:$R$3000,MATCH($F50,폐업정보!$I$3:$I$3000,0),MATCH(H$4,폐업정보!$D$3:$R$3,0)),
"Error"))</f>
        <v>45805</v>
      </c>
      <c r="I50" s="75" t="str">
        <f aca="false">
IF($D50="정상",INDEX(임대자산!$D$3:$R$3000,MATCH($F50,임대자산!$I$3:$I$3000,0),MATCH(I$4,임대자산!$D$3:$R$3,0)),
IF($D50="폐업",INDEX(폐업정보!$D$3:$R$3000,MATCH($F50,폐업정보!$I$3:$I$3000,0),MATCH(I$4,폐업정보!$D$3:$R$3,0)),
"Error"))</f>
        <v>A0045</v>
      </c>
      <c r="J50" s="75" t="str">
        <f aca="false">
IF($D50="정상",INDEX(임대자산!$D$3:$R$3000,MATCH($F50,임대자산!$I$3:$I$3000,0),MATCH(J$4,임대자산!$D$3:$R$3,0)),
IF($D50="폐업",INDEX(폐업정보!$D$3:$R$3000,MATCH($F50,폐업정보!$I$3:$I$3000,0),MATCH(J$4,폐업정보!$D$3:$R$3,0)),
"Error"))</f>
        <v>9809800000</v>
      </c>
      <c r="K50" s="75" t="str">
        <f aca="false">
IF($D50="정상",INDEX(임대자산!$D$3:$R$3000,MATCH($F50,임대자산!$I$3:$I$3000,0),MATCH(K$4,임대자산!$D$3:$R$3,0)),
IF($D50="폐업",INDEX(폐업정보!$D$3:$R$3000,MATCH($F50,폐업정보!$I$3:$I$3000,0),MATCH(K$4,폐업정보!$D$3:$R$3,0)),
"Error"))</f>
        <v>C0045</v>
      </c>
      <c r="L50" s="75" t="str">
        <f aca="false">
IF($D50="정상",INDEX(임대자산!$D$3:$R$3000,MATCH($F50,임대자산!$I$3:$I$3000,0),MATCH(L$4,임대자산!$D$3:$R$3,0)),
IF($D50="폐업",INDEX(폐업정보!$D$3:$R$3000,MATCH($F50,폐업정보!$I$3:$I$3000,0),MATCH(L$4,폐업정보!$D$3:$R$3,0)),
"Error"))</f>
        <v>D0045</v>
      </c>
      <c r="M50" s="76" t="s">
        <v>96</v>
      </c>
      <c r="N50" s="77"/>
      <c r="O50" s="78" t="s">
        <v>97</v>
      </c>
      <c r="P50" s="79" t="n">
        <f aca="false">COUNTIFS(임대자산!$I:$I,가맹점정보!F50,임대자산!$N:$N,가맹점정보!P$4)</f>
        <v>0</v>
      </c>
      <c r="Q50" s="80" t="n">
        <f aca="false">COUNTIFS(임대자산!$I:$I,가맹점정보!F50,임대자산!$N:$N,가맹점정보!Q$4)</f>
        <v>0</v>
      </c>
      <c r="R50" s="81" t="n">
        <f aca="false">COUNTIFS(임대자산!$I:$I,가맹점정보!F50,임대자산!$N:$N,가맹점정보!R$4)</f>
        <v>0</v>
      </c>
      <c r="S50" s="82" t="n">
        <v>55000</v>
      </c>
      <c r="T50" s="83" t="n">
        <v>0</v>
      </c>
      <c r="U50" s="80" t="n">
        <f aca="false">SUM(S50:T50)</f>
        <v>55000</v>
      </c>
      <c r="V50" s="84" t="s">
        <v>7</v>
      </c>
      <c r="W50" s="80" t="str">
        <f aca="true">
IF(D50="폐업","폐업",
IF(V50="면제","면제",
IF(AND(V50="정상",COUNTIFS(OFFSET(Y50,0,COUNTA(Y50:AV50)-1,1,-4),"미납")&gt;=3),"장기미납",
IF(AND(V50="정상",OFFSET(Y50,0,COUNTA(Y50:AV50)-1)&gt;=U50),"정상",
IF(AND(V50="정상",OFFSET(Y50,0,COUNTA(Y50:AV50)-1)=0),"정상",
"계약서 미작성")))))</f>
        <v>폐업</v>
      </c>
      <c r="X50" s="81" t="str">
        <f aca="true">
IF(D50="폐업","폐업",
IF(AND(V50="정상",OFFSET(Y50,0,COUNTA(Y50:AV50)-1)="미납"),"미납",
IF(AND(V50="정상",OFFSET(Y50,0,COUNTA(Y50:AV50)-1)=0),"납부 시작 전",
IF(AND(V50="정상",OFFSET(Y50,0,COUNTA(Y50:AV50)-1)&gt;=U50),"정상",
IF(AND(V50="면제",OFFSET(Y50,0,COUNTA(Y50:AV50)-1)="면제"),"면제",
IF(AND(V50="면제",OFFSET(Y50,0,COUNTA(Y50:AV50)-1)=0),"면제",
"확인요청"))))))</f>
        <v>폐업</v>
      </c>
      <c r="Y50" s="94" t="s">
        <v>7</v>
      </c>
      <c r="Z50" s="95" t="s">
        <v>7</v>
      </c>
      <c r="AA50" s="95" t="s">
        <v>7</v>
      </c>
      <c r="AB50" s="95" t="s">
        <v>7</v>
      </c>
      <c r="AC50" s="95" t="s">
        <v>7</v>
      </c>
      <c r="AD50" s="95" t="s">
        <v>7</v>
      </c>
      <c r="AE50" s="95" t="s">
        <v>7</v>
      </c>
      <c r="AF50" s="95" t="s">
        <v>7</v>
      </c>
      <c r="AG50" s="95" t="s">
        <v>7</v>
      </c>
      <c r="AH50" s="95" t="s">
        <v>7</v>
      </c>
      <c r="AI50" s="95" t="s">
        <v>7</v>
      </c>
      <c r="AJ50" s="96" t="s">
        <v>7</v>
      </c>
      <c r="AK50" s="97" t="s">
        <v>7</v>
      </c>
      <c r="AL50" s="95" t="s">
        <v>7</v>
      </c>
      <c r="AM50" s="90"/>
      <c r="AN50" s="90"/>
      <c r="AO50" s="90"/>
      <c r="AP50" s="90"/>
      <c r="AQ50" s="90"/>
      <c r="AR50" s="90"/>
      <c r="AS50" s="90"/>
      <c r="AT50" s="90"/>
      <c r="AU50" s="90"/>
      <c r="AV50" s="91"/>
      <c r="AX50" s="92"/>
    </row>
    <row r="51" customFormat="false" ht="15.65" hidden="false" customHeight="false" outlineLevel="0" collapsed="false">
      <c r="C51" s="72" t="n">
        <f aca="false">COUNTIFS($D$6:D51,"&lt;&gt;"&amp;"")</f>
        <v>46</v>
      </c>
      <c r="D51" s="73" t="s">
        <v>12</v>
      </c>
      <c r="E51" s="76" t="str">
        <f aca="false">
IF($D51="정상",INDEX(임대자산!$D$3:$R$3000,MATCH($F51,임대자산!$I$3:$I$3000,0),MATCH(E$3,임대자산!$D$3:$R$3,0)),
IF($D51="폐업",INDEX(폐업정보!$D$3:$R$3000,MATCH($F51,폐업정보!$I$3:$I$3000,0),MATCH(E$3,폐업정보!$D$3:$R$3,0)),
"Error"))</f>
        <v>강원</v>
      </c>
      <c r="F5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B0046</v>
      </c>
      <c r="G51" s="76" t="str">
        <f aca="false">F51&amp;RANDBETWEEN(0,10)</f>
        <v>B00462</v>
      </c>
      <c r="H51" s="75" t="n">
        <f aca="false">
IF($D51="정상",INDEX(임대자산!$D$3:$R$3000,MATCH($F51,임대자산!$I$3:$I$3000,0),MATCH(H$4,임대자산!$D$3:$R$3,0)),
IF($D51="폐업",INDEX(폐업정보!$D$3:$R$3000,MATCH($F51,폐업정보!$I$3:$I$3000,0),MATCH(H$4,폐업정보!$D$3:$R$3,0)),
"Error"))</f>
        <v>43486</v>
      </c>
      <c r="I51" s="75" t="str">
        <f aca="false">
IF($D51="정상",INDEX(임대자산!$D$3:$R$3000,MATCH($F51,임대자산!$I$3:$I$3000,0),MATCH(I$4,임대자산!$D$3:$R$3,0)),
IF($D51="폐업",INDEX(폐업정보!$D$3:$R$3000,MATCH($F51,폐업정보!$I$3:$I$3000,0),MATCH(I$4,폐업정보!$D$3:$R$3,0)),
"Error"))</f>
        <v>A0046</v>
      </c>
      <c r="J51" s="75" t="str">
        <f aca="false">
IF($D51="정상",INDEX(임대자산!$D$3:$R$3000,MATCH($F51,임대자산!$I$3:$I$3000,0),MATCH(J$4,임대자산!$D$3:$R$3,0)),
IF($D51="폐업",INDEX(폐업정보!$D$3:$R$3000,MATCH($F51,폐업정보!$I$3:$I$3000,0),MATCH(J$4,폐업정보!$D$3:$R$3,0)),
"Error"))</f>
        <v>6205000000</v>
      </c>
      <c r="K51" s="75" t="str">
        <f aca="false">
IF($D51="정상",INDEX(임대자산!$D$3:$R$3000,MATCH($F51,임대자산!$I$3:$I$3000,0),MATCH(K$4,임대자산!$D$3:$R$3,0)),
IF($D51="폐업",INDEX(폐업정보!$D$3:$R$3000,MATCH($F51,폐업정보!$I$3:$I$3000,0),MATCH(K$4,폐업정보!$D$3:$R$3,0)),
"Error"))</f>
        <v>C0046</v>
      </c>
      <c r="L51" s="75" t="str">
        <f aca="false">
IF($D51="정상",INDEX(임대자산!$D$3:$R$3000,MATCH($F51,임대자산!$I$3:$I$3000,0),MATCH(L$4,임대자산!$D$3:$R$3,0)),
IF($D51="폐업",INDEX(폐업정보!$D$3:$R$3000,MATCH($F51,폐업정보!$I$3:$I$3000,0),MATCH(L$4,폐업정보!$D$3:$R$3,0)),
"Error"))</f>
        <v>D0046</v>
      </c>
      <c r="M51" s="76" t="s">
        <v>96</v>
      </c>
      <c r="N51" s="77"/>
      <c r="O51" s="78" t="s">
        <v>97</v>
      </c>
      <c r="P51" s="79" t="n">
        <f aca="false">COUNTIFS(임대자산!$I:$I,가맹점정보!F51,임대자산!$N:$N,가맹점정보!P$4)</f>
        <v>1</v>
      </c>
      <c r="Q51" s="80" t="n">
        <f aca="false">COUNTIFS(임대자산!$I:$I,가맹점정보!F51,임대자산!$N:$N,가맹점정보!Q$4)</f>
        <v>0</v>
      </c>
      <c r="R51" s="81" t="n">
        <f aca="false">COUNTIFS(임대자산!$I:$I,가맹점정보!F51,임대자산!$N:$N,가맹점정보!R$4)</f>
        <v>0</v>
      </c>
      <c r="S51" s="82" t="n">
        <v>88000</v>
      </c>
      <c r="T51" s="83" t="n">
        <v>0</v>
      </c>
      <c r="U51" s="80" t="n">
        <f aca="false">SUM(S51:T51)</f>
        <v>88000</v>
      </c>
      <c r="V51" s="84" t="s">
        <v>7</v>
      </c>
      <c r="W51" s="80" t="str">
        <f aca="true">
IF(D51="폐업","폐업",
IF(V51="면제","면제",
IF(AND(V51="정상",COUNTIFS(OFFSET(Y51,0,COUNTA(Y51:AV51)-1,1,-4),"미납")&gt;=3),"장기미납",
IF(AND(V51="정상",OFFSET(Y51,0,COUNTA(Y51:AV51)-1)&gt;=U51),"정상",
IF(AND(V51="정상",OFFSET(Y51,0,COUNTA(Y51:AV51)-1)=0),"정상",
"계약서 미작성")))))</f>
        <v>면제</v>
      </c>
      <c r="X51" s="81" t="str">
        <f aca="true">
IF(D51="폐업","폐업",
IF(AND(V51="정상",OFFSET(Y51,0,COUNTA(Y51:AV51)-1)="미납"),"미납",
IF(AND(V51="정상",OFFSET(Y51,0,COUNTA(Y51:AV51)-1)=0),"납부 시작 전",
IF(AND(V51="정상",OFFSET(Y51,0,COUNTA(Y51:AV51)-1)&gt;=U51),"정상",
IF(AND(V51="면제",OFFSET(Y51,0,COUNTA(Y51:AV51)-1)="면제"),"면제",
IF(AND(V51="면제",OFFSET(Y51,0,COUNTA(Y51:AV51)-1)=0),"면제",
"확인요청"))))))</f>
        <v>면제</v>
      </c>
      <c r="Y51" s="94" t="s">
        <v>7</v>
      </c>
      <c r="Z51" s="95" t="s">
        <v>7</v>
      </c>
      <c r="AA51" s="95" t="s">
        <v>7</v>
      </c>
      <c r="AB51" s="95" t="s">
        <v>7</v>
      </c>
      <c r="AC51" s="95" t="s">
        <v>7</v>
      </c>
      <c r="AD51" s="95" t="s">
        <v>7</v>
      </c>
      <c r="AE51" s="95" t="s">
        <v>7</v>
      </c>
      <c r="AF51" s="95" t="s">
        <v>7</v>
      </c>
      <c r="AG51" s="95" t="s">
        <v>7</v>
      </c>
      <c r="AH51" s="95" t="s">
        <v>7</v>
      </c>
      <c r="AI51" s="95" t="s">
        <v>7</v>
      </c>
      <c r="AJ51" s="96" t="s">
        <v>7</v>
      </c>
      <c r="AK51" s="97" t="s">
        <v>7</v>
      </c>
      <c r="AL51" s="95" t="s">
        <v>7</v>
      </c>
      <c r="AM51" s="90"/>
      <c r="AN51" s="90"/>
      <c r="AO51" s="90"/>
      <c r="AP51" s="90"/>
      <c r="AQ51" s="90"/>
      <c r="AR51" s="90"/>
      <c r="AS51" s="90"/>
      <c r="AT51" s="90"/>
      <c r="AU51" s="90"/>
      <c r="AV51" s="91"/>
      <c r="AX51" s="92"/>
    </row>
    <row r="52" customFormat="false" ht="15.65" hidden="false" customHeight="false" outlineLevel="0" collapsed="false">
      <c r="C52" s="72" t="n">
        <f aca="false">COUNTIFS($D$6:D52,"&lt;&gt;"&amp;"")</f>
        <v>47</v>
      </c>
      <c r="D52" s="73" t="s">
        <v>12</v>
      </c>
      <c r="E52" s="76" t="str">
        <f aca="false">
IF($D52="정상",INDEX(임대자산!$D$3:$R$3000,MATCH($F52,임대자산!$I$3:$I$3000,0),MATCH(E$3,임대자산!$D$3:$R$3,0)),
IF($D52="폐업",INDEX(폐업정보!$D$3:$R$3000,MATCH($F52,폐업정보!$I$3:$I$3000,0),MATCH(E$3,폐업정보!$D$3:$R$3,0)),
"Error"))</f>
        <v>경기</v>
      </c>
      <c r="F5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B0047</v>
      </c>
      <c r="G52" s="76" t="str">
        <f aca="false">F52&amp;RANDBETWEEN(0,10)</f>
        <v>B00479</v>
      </c>
      <c r="H52" s="75" t="n">
        <f aca="false">
IF($D52="정상",INDEX(임대자산!$D$3:$R$3000,MATCH($F52,임대자산!$I$3:$I$3000,0),MATCH(H$4,임대자산!$D$3:$R$3,0)),
IF($D52="폐업",INDEX(폐업정보!$D$3:$R$3000,MATCH($F52,폐업정보!$I$3:$I$3000,0),MATCH(H$4,폐업정보!$D$3:$R$3,0)),
"Error"))</f>
        <v>44144</v>
      </c>
      <c r="I52" s="75" t="str">
        <f aca="false">
IF($D52="정상",INDEX(임대자산!$D$3:$R$3000,MATCH($F52,임대자산!$I$3:$I$3000,0),MATCH(I$4,임대자산!$D$3:$R$3,0)),
IF($D52="폐업",INDEX(폐업정보!$D$3:$R$3000,MATCH($F52,폐업정보!$I$3:$I$3000,0),MATCH(I$4,폐업정보!$D$3:$R$3,0)),
"Error"))</f>
        <v>A0047</v>
      </c>
      <c r="J52" s="75" t="str">
        <f aca="false">
IF($D52="정상",INDEX(임대자산!$D$3:$R$3000,MATCH($F52,임대자산!$I$3:$I$3000,0),MATCH(J$4,임대자산!$D$3:$R$3,0)),
IF($D52="폐업",INDEX(폐업정보!$D$3:$R$3000,MATCH($F52,폐업정보!$I$3:$I$3000,0),MATCH(J$4,폐업정보!$D$3:$R$3,0)),
"Error"))</f>
        <v>3934600000</v>
      </c>
      <c r="K52" s="75" t="str">
        <f aca="false">
IF($D52="정상",INDEX(임대자산!$D$3:$R$3000,MATCH($F52,임대자산!$I$3:$I$3000,0),MATCH(K$4,임대자산!$D$3:$R$3,0)),
IF($D52="폐업",INDEX(폐업정보!$D$3:$R$3000,MATCH($F52,폐업정보!$I$3:$I$3000,0),MATCH(K$4,폐업정보!$D$3:$R$3,0)),
"Error"))</f>
        <v>C0047</v>
      </c>
      <c r="L52" s="75" t="str">
        <f aca="false">
IF($D52="정상",INDEX(임대자산!$D$3:$R$3000,MATCH($F52,임대자산!$I$3:$I$3000,0),MATCH(L$4,임대자산!$D$3:$R$3,0)),
IF($D52="폐업",INDEX(폐업정보!$D$3:$R$3000,MATCH($F52,폐업정보!$I$3:$I$3000,0),MATCH(L$4,폐업정보!$D$3:$R$3,0)),
"Error"))</f>
        <v>D0047</v>
      </c>
      <c r="M52" s="76" t="s">
        <v>96</v>
      </c>
      <c r="N52" s="77"/>
      <c r="O52" s="78" t="s">
        <v>97</v>
      </c>
      <c r="P52" s="79" t="n">
        <f aca="false">COUNTIFS(임대자산!$I:$I,가맹점정보!F52,임대자산!$N:$N,가맹점정보!P$4)</f>
        <v>1</v>
      </c>
      <c r="Q52" s="80" t="n">
        <f aca="false">COUNTIFS(임대자산!$I:$I,가맹점정보!F52,임대자산!$N:$N,가맹점정보!Q$4)</f>
        <v>0</v>
      </c>
      <c r="R52" s="81" t="n">
        <f aca="false">COUNTIFS(임대자산!$I:$I,가맹점정보!F52,임대자산!$N:$N,가맹점정보!R$4)</f>
        <v>0</v>
      </c>
      <c r="S52" s="82" t="n">
        <v>88000</v>
      </c>
      <c r="T52" s="83" t="n">
        <v>0</v>
      </c>
      <c r="U52" s="80" t="n">
        <f aca="false">SUM(S52:T52)</f>
        <v>88000</v>
      </c>
      <c r="V52" s="84" t="s">
        <v>7</v>
      </c>
      <c r="W52" s="80" t="str">
        <f aca="true">
IF(D52="폐업","폐업",
IF(V52="면제","면제",
IF(AND(V52="정상",COUNTIFS(OFFSET(Y52,0,COUNTA(Y52:AV52)-1,1,-4),"미납")&gt;=3),"장기미납",
IF(AND(V52="정상",OFFSET(Y52,0,COUNTA(Y52:AV52)-1)&gt;=U52),"정상",
IF(AND(V52="정상",OFFSET(Y52,0,COUNTA(Y52:AV52)-1)=0),"정상",
"계약서 미작성")))))</f>
        <v>면제</v>
      </c>
      <c r="X52" s="81" t="str">
        <f aca="true">
IF(D52="폐업","폐업",
IF(AND(V52="정상",OFFSET(Y52,0,COUNTA(Y52:AV52)-1)="미납"),"미납",
IF(AND(V52="정상",OFFSET(Y52,0,COUNTA(Y52:AV52)-1)=0),"납부 시작 전",
IF(AND(V52="정상",OFFSET(Y52,0,COUNTA(Y52:AV52)-1)&gt;=U52),"정상",
IF(AND(V52="면제",OFFSET(Y52,0,COUNTA(Y52:AV52)-1)="면제"),"면제",
IF(AND(V52="면제",OFFSET(Y52,0,COUNTA(Y52:AV52)-1)=0),"면제",
"확인요청"))))))</f>
        <v>면제</v>
      </c>
      <c r="Y52" s="94" t="s">
        <v>7</v>
      </c>
      <c r="Z52" s="95" t="s">
        <v>7</v>
      </c>
      <c r="AA52" s="95" t="s">
        <v>7</v>
      </c>
      <c r="AB52" s="95" t="s">
        <v>7</v>
      </c>
      <c r="AC52" s="95" t="s">
        <v>7</v>
      </c>
      <c r="AD52" s="95" t="s">
        <v>7</v>
      </c>
      <c r="AE52" s="95" t="s">
        <v>7</v>
      </c>
      <c r="AF52" s="95" t="s">
        <v>7</v>
      </c>
      <c r="AG52" s="95" t="s">
        <v>7</v>
      </c>
      <c r="AH52" s="95" t="s">
        <v>7</v>
      </c>
      <c r="AI52" s="95" t="s">
        <v>7</v>
      </c>
      <c r="AJ52" s="96" t="s">
        <v>7</v>
      </c>
      <c r="AK52" s="97" t="s">
        <v>7</v>
      </c>
      <c r="AL52" s="95" t="s">
        <v>7</v>
      </c>
      <c r="AM52" s="90"/>
      <c r="AN52" s="90"/>
      <c r="AO52" s="90"/>
      <c r="AP52" s="90"/>
      <c r="AQ52" s="90"/>
      <c r="AR52" s="90"/>
      <c r="AS52" s="90"/>
      <c r="AT52" s="90"/>
      <c r="AU52" s="90"/>
      <c r="AV52" s="91"/>
      <c r="AX52" s="92"/>
    </row>
    <row r="53" customFormat="false" ht="15.65" hidden="false" customHeight="false" outlineLevel="0" collapsed="false">
      <c r="C53" s="72" t="n">
        <f aca="false">COUNTIFS($D$6:D53,"&lt;&gt;"&amp;"")</f>
        <v>48</v>
      </c>
      <c r="D53" s="73" t="s">
        <v>12</v>
      </c>
      <c r="E53" s="76" t="str">
        <f aca="false">
IF($D53="정상",INDEX(임대자산!$D$3:$R$3000,MATCH($F53,임대자산!$I$3:$I$3000,0),MATCH(E$3,임대자산!$D$3:$R$3,0)),
IF($D53="폐업",INDEX(폐업정보!$D$3:$R$3000,MATCH($F53,폐업정보!$I$3:$I$3000,0),MATCH(E$3,폐업정보!$D$3:$R$3,0)),
"Error"))</f>
        <v>경상</v>
      </c>
      <c r="F5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B0048</v>
      </c>
      <c r="G53" s="76" t="str">
        <f aca="false">F53&amp;RANDBETWEEN(0,10)</f>
        <v>B00480</v>
      </c>
      <c r="H53" s="75" t="n">
        <f aca="false">
IF($D53="정상",INDEX(임대자산!$D$3:$R$3000,MATCH($F53,임대자산!$I$3:$I$3000,0),MATCH(H$4,임대자산!$D$3:$R$3,0)),
IF($D53="폐업",INDEX(폐업정보!$D$3:$R$3000,MATCH($F53,폐업정보!$I$3:$I$3000,0),MATCH(H$4,폐업정보!$D$3:$R$3,0)),
"Error"))</f>
        <v>43475</v>
      </c>
      <c r="I53" s="75" t="str">
        <f aca="false">
IF($D53="정상",INDEX(임대자산!$D$3:$R$3000,MATCH($F53,임대자산!$I$3:$I$3000,0),MATCH(I$4,임대자산!$D$3:$R$3,0)),
IF($D53="폐업",INDEX(폐업정보!$D$3:$R$3000,MATCH($F53,폐업정보!$I$3:$I$3000,0),MATCH(I$4,폐업정보!$D$3:$R$3,0)),
"Error"))</f>
        <v>A0048</v>
      </c>
      <c r="J53" s="75" t="str">
        <f aca="false">
IF($D53="정상",INDEX(임대자산!$D$3:$R$3000,MATCH($F53,임대자산!$I$3:$I$3000,0),MATCH(J$4,임대자산!$D$3:$R$3,0)),
IF($D53="폐업",INDEX(폐업정보!$D$3:$R$3000,MATCH($F53,폐업정보!$I$3:$I$3000,0),MATCH(J$4,폐업정보!$D$3:$R$3,0)),
"Error"))</f>
        <v>1040300000</v>
      </c>
      <c r="K53" s="75" t="str">
        <f aca="false">
IF($D53="정상",INDEX(임대자산!$D$3:$R$3000,MATCH($F53,임대자산!$I$3:$I$3000,0),MATCH(K$4,임대자산!$D$3:$R$3,0)),
IF($D53="폐업",INDEX(폐업정보!$D$3:$R$3000,MATCH($F53,폐업정보!$I$3:$I$3000,0),MATCH(K$4,폐업정보!$D$3:$R$3,0)),
"Error"))</f>
        <v>C0048</v>
      </c>
      <c r="L53" s="75" t="str">
        <f aca="false">
IF($D53="정상",INDEX(임대자산!$D$3:$R$3000,MATCH($F53,임대자산!$I$3:$I$3000,0),MATCH(L$4,임대자산!$D$3:$R$3,0)),
IF($D53="폐업",INDEX(폐업정보!$D$3:$R$3000,MATCH($F53,폐업정보!$I$3:$I$3000,0),MATCH(L$4,폐업정보!$D$3:$R$3,0)),
"Error"))</f>
        <v>D0048</v>
      </c>
      <c r="M53" s="76" t="s">
        <v>96</v>
      </c>
      <c r="N53" s="77"/>
      <c r="O53" s="78" t="s">
        <v>97</v>
      </c>
      <c r="P53" s="79" t="n">
        <f aca="false">COUNTIFS(임대자산!$I:$I,가맹점정보!F53,임대자산!$N:$N,가맹점정보!P$4)</f>
        <v>1</v>
      </c>
      <c r="Q53" s="80" t="n">
        <f aca="false">COUNTIFS(임대자산!$I:$I,가맹점정보!F53,임대자산!$N:$N,가맹점정보!Q$4)</f>
        <v>0</v>
      </c>
      <c r="R53" s="81" t="n">
        <f aca="false">COUNTIFS(임대자산!$I:$I,가맹점정보!F53,임대자산!$N:$N,가맹점정보!R$4)</f>
        <v>0</v>
      </c>
      <c r="S53" s="82" t="n">
        <v>88000</v>
      </c>
      <c r="T53" s="83" t="n">
        <v>0</v>
      </c>
      <c r="U53" s="80" t="n">
        <f aca="false">SUM(S53:T53)</f>
        <v>88000</v>
      </c>
      <c r="V53" s="84" t="s">
        <v>7</v>
      </c>
      <c r="W53" s="80" t="str">
        <f aca="true">
IF(D53="폐업","폐업",
IF(V53="면제","면제",
IF(AND(V53="정상",COUNTIFS(OFFSET(Y53,0,COUNTA(Y53:AV53)-1,1,-4),"미납")&gt;=3),"장기미납",
IF(AND(V53="정상",OFFSET(Y53,0,COUNTA(Y53:AV53)-1)&gt;=U53),"정상",
IF(AND(V53="정상",OFFSET(Y53,0,COUNTA(Y53:AV53)-1)=0),"정상",
"계약서 미작성")))))</f>
        <v>면제</v>
      </c>
      <c r="X53" s="81" t="str">
        <f aca="true">
IF(D53="폐업","폐업",
IF(AND(V53="정상",OFFSET(Y53,0,COUNTA(Y53:AV53)-1)="미납"),"미납",
IF(AND(V53="정상",OFFSET(Y53,0,COUNTA(Y53:AV53)-1)=0),"납부 시작 전",
IF(AND(V53="정상",OFFSET(Y53,0,COUNTA(Y53:AV53)-1)&gt;=U53),"정상",
IF(AND(V53="면제",OFFSET(Y53,0,COUNTA(Y53:AV53)-1)="면제"),"면제",
IF(AND(V53="면제",OFFSET(Y53,0,COUNTA(Y53:AV53)-1)=0),"면제",
"확인요청"))))))</f>
        <v>면제</v>
      </c>
      <c r="Y53" s="94" t="s">
        <v>7</v>
      </c>
      <c r="Z53" s="95" t="s">
        <v>7</v>
      </c>
      <c r="AA53" s="95" t="s">
        <v>7</v>
      </c>
      <c r="AB53" s="95" t="s">
        <v>7</v>
      </c>
      <c r="AC53" s="95" t="s">
        <v>7</v>
      </c>
      <c r="AD53" s="95" t="s">
        <v>7</v>
      </c>
      <c r="AE53" s="95" t="s">
        <v>7</v>
      </c>
      <c r="AF53" s="95" t="s">
        <v>7</v>
      </c>
      <c r="AG53" s="95" t="s">
        <v>7</v>
      </c>
      <c r="AH53" s="95" t="s">
        <v>7</v>
      </c>
      <c r="AI53" s="95" t="s">
        <v>7</v>
      </c>
      <c r="AJ53" s="96" t="s">
        <v>7</v>
      </c>
      <c r="AK53" s="97" t="s">
        <v>7</v>
      </c>
      <c r="AL53" s="95" t="s">
        <v>7</v>
      </c>
      <c r="AM53" s="90"/>
      <c r="AN53" s="90"/>
      <c r="AO53" s="90"/>
      <c r="AP53" s="90"/>
      <c r="AQ53" s="90"/>
      <c r="AR53" s="90"/>
      <c r="AS53" s="90"/>
      <c r="AT53" s="90"/>
      <c r="AU53" s="90"/>
      <c r="AV53" s="91"/>
      <c r="AX53" s="92"/>
    </row>
    <row r="54" customFormat="false" ht="15.65" hidden="false" customHeight="false" outlineLevel="0" collapsed="false">
      <c r="C54" s="72" t="n">
        <f aca="false">COUNTIFS($D$6:D54,"&lt;&gt;"&amp;"")</f>
        <v>49</v>
      </c>
      <c r="D54" s="73" t="s">
        <v>12</v>
      </c>
      <c r="E54" s="76" t="str">
        <f aca="false">
IF($D54="정상",INDEX(임대자산!$D$3:$R$3000,MATCH($F54,임대자산!$I$3:$I$3000,0),MATCH(E$3,임대자산!$D$3:$R$3,0)),
IF($D54="폐업",INDEX(폐업정보!$D$3:$R$3000,MATCH($F54,폐업정보!$I$3:$I$3000,0),MATCH(E$3,폐업정보!$D$3:$R$3,0)),
"Error"))</f>
        <v>경기</v>
      </c>
      <c r="F5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B0049</v>
      </c>
      <c r="G54" s="76" t="str">
        <f aca="false">F54&amp;RANDBETWEEN(0,10)</f>
        <v>B00493</v>
      </c>
      <c r="H54" s="75" t="n">
        <f aca="false">
IF($D54="정상",INDEX(임대자산!$D$3:$R$3000,MATCH($F54,임대자산!$I$3:$I$3000,0),MATCH(H$4,임대자산!$D$3:$R$3,0)),
IF($D54="폐업",INDEX(폐업정보!$D$3:$R$3000,MATCH($F54,폐업정보!$I$3:$I$3000,0),MATCH(H$4,폐업정보!$D$3:$R$3,0)),
"Error"))</f>
        <v>44131</v>
      </c>
      <c r="I54" s="75" t="str">
        <f aca="false">
IF($D54="정상",INDEX(임대자산!$D$3:$R$3000,MATCH($F54,임대자산!$I$3:$I$3000,0),MATCH(I$4,임대자산!$D$3:$R$3,0)),
IF($D54="폐업",INDEX(폐업정보!$D$3:$R$3000,MATCH($F54,폐업정보!$I$3:$I$3000,0),MATCH(I$4,폐업정보!$D$3:$R$3,0)),
"Error"))</f>
        <v>A0049</v>
      </c>
      <c r="J54" s="75" t="str">
        <f aca="false">
IF($D54="정상",INDEX(임대자산!$D$3:$R$3000,MATCH($F54,임대자산!$I$3:$I$3000,0),MATCH(J$4,임대자산!$D$3:$R$3,0)),
IF($D54="폐업",INDEX(폐업정보!$D$3:$R$3000,MATCH($F54,폐업정보!$I$3:$I$3000,0),MATCH(J$4,폐업정보!$D$3:$R$3,0)),
"Error"))</f>
        <v>5089900000</v>
      </c>
      <c r="K54" s="75" t="str">
        <f aca="false">
IF($D54="정상",INDEX(임대자산!$D$3:$R$3000,MATCH($F54,임대자산!$I$3:$I$3000,0),MATCH(K$4,임대자산!$D$3:$R$3,0)),
IF($D54="폐업",INDEX(폐업정보!$D$3:$R$3000,MATCH($F54,폐업정보!$I$3:$I$3000,0),MATCH(K$4,폐업정보!$D$3:$R$3,0)),
"Error"))</f>
        <v>C0049</v>
      </c>
      <c r="L54" s="75" t="str">
        <f aca="false">
IF($D54="정상",INDEX(임대자산!$D$3:$R$3000,MATCH($F54,임대자산!$I$3:$I$3000,0),MATCH(L$4,임대자산!$D$3:$R$3,0)),
IF($D54="폐업",INDEX(폐업정보!$D$3:$R$3000,MATCH($F54,폐업정보!$I$3:$I$3000,0),MATCH(L$4,폐업정보!$D$3:$R$3,0)),
"Error"))</f>
        <v>D0049</v>
      </c>
      <c r="M54" s="76" t="s">
        <v>96</v>
      </c>
      <c r="N54" s="77"/>
      <c r="O54" s="78" t="s">
        <v>97</v>
      </c>
      <c r="P54" s="79" t="n">
        <f aca="false">COUNTIFS(임대자산!$I:$I,가맹점정보!F54,임대자산!$N:$N,가맹점정보!P$4)</f>
        <v>1</v>
      </c>
      <c r="Q54" s="80" t="n">
        <f aca="false">COUNTIFS(임대자산!$I:$I,가맹점정보!F54,임대자산!$N:$N,가맹점정보!Q$4)</f>
        <v>0</v>
      </c>
      <c r="R54" s="81" t="n">
        <f aca="false">COUNTIFS(임대자산!$I:$I,가맹점정보!F54,임대자산!$N:$N,가맹점정보!R$4)</f>
        <v>0</v>
      </c>
      <c r="S54" s="82" t="n">
        <v>55000</v>
      </c>
      <c r="T54" s="83" t="n">
        <v>0</v>
      </c>
      <c r="U54" s="80" t="n">
        <f aca="false">SUM(S54:T54)</f>
        <v>55000</v>
      </c>
      <c r="V54" s="84" t="s">
        <v>7</v>
      </c>
      <c r="W54" s="80" t="str">
        <f aca="true">
IF(D54="폐업","폐업",
IF(V54="면제","면제",
IF(AND(V54="정상",COUNTIFS(OFFSET(Y54,0,COUNTA(Y54:AV54)-1,1,-4),"미납")&gt;=3),"장기미납",
IF(AND(V54="정상",OFFSET(Y54,0,COUNTA(Y54:AV54)-1)&gt;=U54),"정상",
IF(AND(V54="정상",OFFSET(Y54,0,COUNTA(Y54:AV54)-1)=0),"정상",
"계약서 미작성")))))</f>
        <v>면제</v>
      </c>
      <c r="X54" s="81" t="str">
        <f aca="true">
IF(D54="폐업","폐업",
IF(AND(V54="정상",OFFSET(Y54,0,COUNTA(Y54:AV54)-1)="미납"),"미납",
IF(AND(V54="정상",OFFSET(Y54,0,COUNTA(Y54:AV54)-1)=0),"납부 시작 전",
IF(AND(V54="정상",OFFSET(Y54,0,COUNTA(Y54:AV54)-1)&gt;=U54),"정상",
IF(AND(V54="면제",OFFSET(Y54,0,COUNTA(Y54:AV54)-1)="면제"),"면제",
IF(AND(V54="면제",OFFSET(Y54,0,COUNTA(Y54:AV54)-1)=0),"면제",
"확인요청"))))))</f>
        <v>면제</v>
      </c>
      <c r="Y54" s="94" t="s">
        <v>7</v>
      </c>
      <c r="Z54" s="95" t="s">
        <v>7</v>
      </c>
      <c r="AA54" s="95" t="s">
        <v>7</v>
      </c>
      <c r="AB54" s="95" t="s">
        <v>7</v>
      </c>
      <c r="AC54" s="95" t="s">
        <v>7</v>
      </c>
      <c r="AD54" s="95" t="s">
        <v>7</v>
      </c>
      <c r="AE54" s="95" t="s">
        <v>7</v>
      </c>
      <c r="AF54" s="95" t="s">
        <v>7</v>
      </c>
      <c r="AG54" s="95" t="s">
        <v>7</v>
      </c>
      <c r="AH54" s="95" t="s">
        <v>7</v>
      </c>
      <c r="AI54" s="95" t="s">
        <v>7</v>
      </c>
      <c r="AJ54" s="96" t="s">
        <v>7</v>
      </c>
      <c r="AK54" s="97" t="s">
        <v>7</v>
      </c>
      <c r="AL54" s="95" t="s">
        <v>7</v>
      </c>
      <c r="AM54" s="90"/>
      <c r="AN54" s="90"/>
      <c r="AO54" s="90"/>
      <c r="AP54" s="90"/>
      <c r="AQ54" s="90"/>
      <c r="AR54" s="90"/>
      <c r="AS54" s="90"/>
      <c r="AT54" s="90"/>
      <c r="AU54" s="90"/>
      <c r="AV54" s="91"/>
      <c r="AX54" s="92"/>
    </row>
    <row r="55" customFormat="false" ht="15.65" hidden="false" customHeight="false" outlineLevel="0" collapsed="false">
      <c r="C55" s="72" t="n">
        <f aca="false">COUNTIFS($D$6:D55,"&lt;&gt;"&amp;"")</f>
        <v>50</v>
      </c>
      <c r="D55" s="73" t="s">
        <v>12</v>
      </c>
      <c r="E55" s="76" t="str">
        <f aca="false">
IF($D55="정상",INDEX(임대자산!$D$3:$R$3000,MATCH($F55,임대자산!$I$3:$I$3000,0),MATCH(E$3,임대자산!$D$3:$R$3,0)),
IF($D55="폐업",INDEX(폐업정보!$D$3:$R$3000,MATCH($F55,폐업정보!$I$3:$I$3000,0),MATCH(E$3,폐업정보!$D$3:$R$3,0)),
"Error"))</f>
        <v>강원</v>
      </c>
      <c r="F5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B0050</v>
      </c>
      <c r="G55" s="76" t="str">
        <f aca="false">F55&amp;RANDBETWEEN(0,10)</f>
        <v>B00507</v>
      </c>
      <c r="H55" s="75" t="n">
        <f aca="false">
IF($D55="정상",INDEX(임대자산!$D$3:$R$3000,MATCH($F55,임대자산!$I$3:$I$3000,0),MATCH(H$4,임대자산!$D$3:$R$3,0)),
IF($D55="폐업",INDEX(폐업정보!$D$3:$R$3000,MATCH($F55,폐업정보!$I$3:$I$3000,0),MATCH(H$4,폐업정보!$D$3:$R$3,0)),
"Error"))</f>
        <v>43783</v>
      </c>
      <c r="I55" s="75" t="str">
        <f aca="false">
IF($D55="정상",INDEX(임대자산!$D$3:$R$3000,MATCH($F55,임대자산!$I$3:$I$3000,0),MATCH(I$4,임대자산!$D$3:$R$3,0)),
IF($D55="폐업",INDEX(폐업정보!$D$3:$R$3000,MATCH($F55,폐업정보!$I$3:$I$3000,0),MATCH(I$4,폐업정보!$D$3:$R$3,0)),
"Error"))</f>
        <v>A0050</v>
      </c>
      <c r="J55" s="75" t="str">
        <f aca="false">
IF($D55="정상",INDEX(임대자산!$D$3:$R$3000,MATCH($F55,임대자산!$I$3:$I$3000,0),MATCH(J$4,임대자산!$D$3:$R$3,0)),
IF($D55="폐업",INDEX(폐업정보!$D$3:$R$3000,MATCH($F55,폐업정보!$I$3:$I$3000,0),MATCH(J$4,폐업정보!$D$3:$R$3,0)),
"Error"))</f>
        <v>8879800000</v>
      </c>
      <c r="K55" s="75" t="str">
        <f aca="false">
IF($D55="정상",INDEX(임대자산!$D$3:$R$3000,MATCH($F55,임대자산!$I$3:$I$3000,0),MATCH(K$4,임대자산!$D$3:$R$3,0)),
IF($D55="폐업",INDEX(폐업정보!$D$3:$R$3000,MATCH($F55,폐업정보!$I$3:$I$3000,0),MATCH(K$4,폐업정보!$D$3:$R$3,0)),
"Error"))</f>
        <v>C0050</v>
      </c>
      <c r="L55" s="75" t="str">
        <f aca="false">
IF($D55="정상",INDEX(임대자산!$D$3:$R$3000,MATCH($F55,임대자산!$I$3:$I$3000,0),MATCH(L$4,임대자산!$D$3:$R$3,0)),
IF($D55="폐업",INDEX(폐업정보!$D$3:$R$3000,MATCH($F55,폐업정보!$I$3:$I$3000,0),MATCH(L$4,폐업정보!$D$3:$R$3,0)),
"Error"))</f>
        <v>D0050</v>
      </c>
      <c r="M55" s="76" t="s">
        <v>96</v>
      </c>
      <c r="N55" s="77"/>
      <c r="O55" s="78" t="s">
        <v>97</v>
      </c>
      <c r="P55" s="79" t="n">
        <f aca="false">COUNTIFS(임대자산!$I:$I,가맹점정보!F55,임대자산!$N:$N,가맹점정보!P$4)</f>
        <v>1</v>
      </c>
      <c r="Q55" s="80" t="n">
        <f aca="false">COUNTIFS(임대자산!$I:$I,가맹점정보!F55,임대자산!$N:$N,가맹점정보!Q$4)</f>
        <v>0</v>
      </c>
      <c r="R55" s="81" t="n">
        <f aca="false">COUNTIFS(임대자산!$I:$I,가맹점정보!F55,임대자산!$N:$N,가맹점정보!R$4)</f>
        <v>0</v>
      </c>
      <c r="S55" s="82" t="n">
        <v>55000</v>
      </c>
      <c r="T55" s="83" t="n">
        <v>0</v>
      </c>
      <c r="U55" s="80" t="n">
        <f aca="false">SUM(S55:T55)</f>
        <v>55000</v>
      </c>
      <c r="V55" s="84" t="s">
        <v>12</v>
      </c>
      <c r="W55" s="80" t="e">
        <f aca="true">
IF(D55="폐업","폐업",
IF(V55="면제","면제",
IF(AND(V55="정상",COUNTIFS(OFFSET(Y55,0,COUNTA(Y55:AV55)-1,1,-4),"미납")&gt;=3),"장기미납",
IF(AND(V55="정상",OFFSET(Y55,0,COUNTA(Y55:AV55)-1)&gt;=U55),"정상",
IF(AND(V55="정상",OFFSET(Y55,0,COUNTA(Y55:AV55)-1)=0),"정상",
"계약서 미작성")))))</f>
        <v>#VALUE!</v>
      </c>
      <c r="X55" s="81" t="str">
        <f aca="true">
IF(D55="폐업","폐업",
IF(AND(V55="정상",OFFSET(Y55,0,COUNTA(Y55:AV55)-1)="미납"),"미납",
IF(AND(V55="정상",OFFSET(Y55,0,COUNTA(Y55:AV55)-1)=0),"납부 시작 전",
IF(AND(V55="정상",OFFSET(Y55,0,COUNTA(Y55:AV55)-1)&gt;=U55),"정상",
IF(AND(V55="면제",OFFSET(Y55,0,COUNTA(Y55:AV55)-1)="면제"),"면제",
IF(AND(V55="면제",OFFSET(Y55,0,COUNTA(Y55:AV55)-1)=0),"면제",
"확인요청"))))))</f>
        <v>미납</v>
      </c>
      <c r="Y55" s="93" t="n">
        <v>55000</v>
      </c>
      <c r="Z55" s="90" t="n">
        <v>55000</v>
      </c>
      <c r="AA55" s="90" t="n">
        <v>55000</v>
      </c>
      <c r="AB55" s="90" t="n">
        <v>55000</v>
      </c>
      <c r="AC55" s="90" t="n">
        <v>55000</v>
      </c>
      <c r="AD55" s="90" t="n">
        <v>55000</v>
      </c>
      <c r="AE55" s="90" t="n">
        <v>55000</v>
      </c>
      <c r="AF55" s="90" t="n">
        <v>55000</v>
      </c>
      <c r="AG55" s="90" t="n">
        <v>55000</v>
      </c>
      <c r="AH55" s="90" t="n">
        <v>55000</v>
      </c>
      <c r="AI55" s="90" t="n">
        <v>55000</v>
      </c>
      <c r="AJ55" s="91" t="n">
        <v>55000</v>
      </c>
      <c r="AK55" s="89" t="n">
        <v>55000</v>
      </c>
      <c r="AL55" s="95" t="s">
        <v>62</v>
      </c>
      <c r="AM55" s="90"/>
      <c r="AN55" s="90"/>
      <c r="AO55" s="90"/>
      <c r="AP55" s="90"/>
      <c r="AQ55" s="90"/>
      <c r="AR55" s="90"/>
      <c r="AS55" s="90"/>
      <c r="AT55" s="90"/>
      <c r="AU55" s="90"/>
      <c r="AV55" s="91"/>
      <c r="AX55" s="92"/>
    </row>
    <row r="56" customFormat="false" ht="15.65" hidden="false" customHeight="false" outlineLevel="0" collapsed="false">
      <c r="C56" s="72" t="n">
        <f aca="false">COUNTIFS($D$6:D56,"&lt;&gt;"&amp;"")</f>
        <v>51</v>
      </c>
      <c r="D56" s="73" t="s">
        <v>12</v>
      </c>
      <c r="E56" s="76" t="str">
        <f aca="false">
IF($D56="정상",INDEX(임대자산!$D$3:$R$3000,MATCH($F56,임대자산!$I$3:$I$3000,0),MATCH(E$3,임대자산!$D$3:$R$3,0)),
IF($D56="폐업",INDEX(폐업정보!$D$3:$R$3000,MATCH($F56,폐업정보!$I$3:$I$3000,0),MATCH(E$3,폐업정보!$D$3:$R$3,0)),
"Error"))</f>
        <v>경기</v>
      </c>
      <c r="F5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B0051</v>
      </c>
      <c r="G56" s="76" t="str">
        <f aca="false">F56&amp;RANDBETWEEN(0,10)</f>
        <v>B00510</v>
      </c>
      <c r="H56" s="75" t="n">
        <f aca="false">
IF($D56="정상",INDEX(임대자산!$D$3:$R$3000,MATCH($F56,임대자산!$I$3:$I$3000,0),MATCH(H$4,임대자산!$D$3:$R$3,0)),
IF($D56="폐업",INDEX(폐업정보!$D$3:$R$3000,MATCH($F56,폐업정보!$I$3:$I$3000,0),MATCH(H$4,폐업정보!$D$3:$R$3,0)),
"Error"))</f>
        <v>44133</v>
      </c>
      <c r="I56" s="75" t="str">
        <f aca="false">
IF($D56="정상",INDEX(임대자산!$D$3:$R$3000,MATCH($F56,임대자산!$I$3:$I$3000,0),MATCH(I$4,임대자산!$D$3:$R$3,0)),
IF($D56="폐업",INDEX(폐업정보!$D$3:$R$3000,MATCH($F56,폐업정보!$I$3:$I$3000,0),MATCH(I$4,폐업정보!$D$3:$R$3,0)),
"Error"))</f>
        <v>A0051</v>
      </c>
      <c r="J56" s="75" t="str">
        <f aca="false">
IF($D56="정상",INDEX(임대자산!$D$3:$R$3000,MATCH($F56,임대자산!$I$3:$I$3000,0),MATCH(J$4,임대자산!$D$3:$R$3,0)),
IF($D56="폐업",INDEX(폐업정보!$D$3:$R$3000,MATCH($F56,폐업정보!$I$3:$I$3000,0),MATCH(J$4,폐업정보!$D$3:$R$3,0)),
"Error"))</f>
        <v>2029700000</v>
      </c>
      <c r="K56" s="75" t="str">
        <f aca="false">
IF($D56="정상",INDEX(임대자산!$D$3:$R$3000,MATCH($F56,임대자산!$I$3:$I$3000,0),MATCH(K$4,임대자산!$D$3:$R$3,0)),
IF($D56="폐업",INDEX(폐업정보!$D$3:$R$3000,MATCH($F56,폐업정보!$I$3:$I$3000,0),MATCH(K$4,폐업정보!$D$3:$R$3,0)),
"Error"))</f>
        <v>C0051</v>
      </c>
      <c r="L56" s="75" t="str">
        <f aca="false">
IF($D56="정상",INDEX(임대자산!$D$3:$R$3000,MATCH($F56,임대자산!$I$3:$I$3000,0),MATCH(L$4,임대자산!$D$3:$R$3,0)),
IF($D56="폐업",INDEX(폐업정보!$D$3:$R$3000,MATCH($F56,폐업정보!$I$3:$I$3000,0),MATCH(L$4,폐업정보!$D$3:$R$3,0)),
"Error"))</f>
        <v>D0051</v>
      </c>
      <c r="M56" s="76" t="s">
        <v>96</v>
      </c>
      <c r="N56" s="77"/>
      <c r="O56" s="78" t="s">
        <v>97</v>
      </c>
      <c r="P56" s="79" t="n">
        <f aca="false">COUNTIFS(임대자산!$I:$I,가맹점정보!F56,임대자산!$N:$N,가맹점정보!P$4)</f>
        <v>1</v>
      </c>
      <c r="Q56" s="80" t="n">
        <f aca="false">COUNTIFS(임대자산!$I:$I,가맹점정보!F56,임대자산!$N:$N,가맹점정보!Q$4)</f>
        <v>0</v>
      </c>
      <c r="R56" s="81" t="n">
        <f aca="false">COUNTIFS(임대자산!$I:$I,가맹점정보!F56,임대자산!$N:$N,가맹점정보!R$4)</f>
        <v>0</v>
      </c>
      <c r="S56" s="82" t="n">
        <v>55000</v>
      </c>
      <c r="T56" s="83" t="n">
        <v>0</v>
      </c>
      <c r="U56" s="80" t="n">
        <f aca="false">SUM(S56:T56)</f>
        <v>55000</v>
      </c>
      <c r="V56" s="84" t="s">
        <v>12</v>
      </c>
      <c r="W56" s="80" t="e">
        <f aca="true">
IF(D56="폐업","폐업",
IF(V56="면제","면제",
IF(AND(V56="정상",COUNTIFS(OFFSET(Y56,0,COUNTA(Y56:AV56)-1,1,-4),"미납")&gt;=3),"장기미납",
IF(AND(V56="정상",OFFSET(Y56,0,COUNTA(Y56:AV56)-1)&gt;=U56),"정상",
IF(AND(V56="정상",OFFSET(Y56,0,COUNTA(Y56:AV56)-1)=0),"정상",
"계약서 미작성")))))</f>
        <v>#VALUE!</v>
      </c>
      <c r="X56" s="81" t="str">
        <f aca="true">
IF(D56="폐업","폐업",
IF(AND(V56="정상",OFFSET(Y56,0,COUNTA(Y56:AV56)-1)="미납"),"미납",
IF(AND(V56="정상",OFFSET(Y56,0,COUNTA(Y56:AV56)-1)=0),"납부 시작 전",
IF(AND(V56="정상",OFFSET(Y56,0,COUNTA(Y56:AV56)-1)&gt;=U56),"정상",
IF(AND(V56="면제",OFFSET(Y56,0,COUNTA(Y56:AV56)-1)="면제"),"면제",
IF(AND(V56="면제",OFFSET(Y56,0,COUNTA(Y56:AV56)-1)=0),"면제",
"확인요청"))))))</f>
        <v>정상</v>
      </c>
      <c r="Y56" s="93" t="n">
        <v>55000</v>
      </c>
      <c r="Z56" s="90" t="n">
        <v>55000</v>
      </c>
      <c r="AA56" s="90" t="n">
        <v>55000</v>
      </c>
      <c r="AB56" s="90" t="n">
        <v>55000</v>
      </c>
      <c r="AC56" s="90" t="n">
        <v>55000</v>
      </c>
      <c r="AD56" s="90" t="n">
        <v>55000</v>
      </c>
      <c r="AE56" s="90" t="n">
        <v>55000</v>
      </c>
      <c r="AF56" s="90" t="n">
        <v>55000</v>
      </c>
      <c r="AG56" s="90" t="n">
        <v>55000</v>
      </c>
      <c r="AH56" s="90" t="n">
        <v>55000</v>
      </c>
      <c r="AI56" s="90" t="n">
        <v>55000</v>
      </c>
      <c r="AJ56" s="91" t="n">
        <v>55000</v>
      </c>
      <c r="AK56" s="89" t="n">
        <v>55000</v>
      </c>
      <c r="AL56" s="90" t="n">
        <v>55000</v>
      </c>
      <c r="AM56" s="90"/>
      <c r="AN56" s="90"/>
      <c r="AO56" s="90"/>
      <c r="AP56" s="90"/>
      <c r="AQ56" s="90"/>
      <c r="AR56" s="90"/>
      <c r="AS56" s="90"/>
      <c r="AT56" s="90"/>
      <c r="AU56" s="90"/>
      <c r="AV56" s="91"/>
      <c r="AX56" s="92"/>
    </row>
    <row r="57" customFormat="false" ht="15.65" hidden="false" customHeight="false" outlineLevel="0" collapsed="false">
      <c r="C57" s="72" t="n">
        <f aca="false">COUNTIFS($D$6:D57,"&lt;&gt;"&amp;"")</f>
        <v>52</v>
      </c>
      <c r="D57" s="73" t="s">
        <v>12</v>
      </c>
      <c r="E57" s="76" t="str">
        <f aca="false">
IF($D57="정상",INDEX(임대자산!$D$3:$R$3000,MATCH($F57,임대자산!$I$3:$I$3000,0),MATCH(E$3,임대자산!$D$3:$R$3,0)),
IF($D57="폐업",INDEX(폐업정보!$D$3:$R$3000,MATCH($F57,폐업정보!$I$3:$I$3000,0),MATCH(E$3,폐업정보!$D$3:$R$3,0)),
"Error"))</f>
        <v>경상</v>
      </c>
      <c r="F5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B0052</v>
      </c>
      <c r="G57" s="76" t="str">
        <f aca="false">F57&amp;RANDBETWEEN(0,10)</f>
        <v>B00528</v>
      </c>
      <c r="H57" s="75" t="n">
        <f aca="false">
IF($D57="정상",INDEX(임대자산!$D$3:$R$3000,MATCH($F57,임대자산!$I$3:$I$3000,0),MATCH(H$4,임대자산!$D$3:$R$3,0)),
IF($D57="폐업",INDEX(폐업정보!$D$3:$R$3000,MATCH($F57,폐업정보!$I$3:$I$3000,0),MATCH(H$4,폐업정보!$D$3:$R$3,0)),
"Error"))</f>
        <v>43460</v>
      </c>
      <c r="I57" s="75" t="str">
        <f aca="false">
IF($D57="정상",INDEX(임대자산!$D$3:$R$3000,MATCH($F57,임대자산!$I$3:$I$3000,0),MATCH(I$4,임대자산!$D$3:$R$3,0)),
IF($D57="폐업",INDEX(폐업정보!$D$3:$R$3000,MATCH($F57,폐업정보!$I$3:$I$3000,0),MATCH(I$4,폐업정보!$D$3:$R$3,0)),
"Error"))</f>
        <v>A0052</v>
      </c>
      <c r="J57" s="75" t="str">
        <f aca="false">
IF($D57="정상",INDEX(임대자산!$D$3:$R$3000,MATCH($F57,임대자산!$I$3:$I$3000,0),MATCH(J$4,임대자산!$D$3:$R$3,0)),
IF($D57="폐업",INDEX(폐업정보!$D$3:$R$3000,MATCH($F57,폐업정보!$I$3:$I$3000,0),MATCH(J$4,폐업정보!$D$3:$R$3,0)),
"Error"))</f>
        <v>2254600000</v>
      </c>
      <c r="K57" s="75" t="str">
        <f aca="false">
IF($D57="정상",INDEX(임대자산!$D$3:$R$3000,MATCH($F57,임대자산!$I$3:$I$3000,0),MATCH(K$4,임대자산!$D$3:$R$3,0)),
IF($D57="폐업",INDEX(폐업정보!$D$3:$R$3000,MATCH($F57,폐업정보!$I$3:$I$3000,0),MATCH(K$4,폐업정보!$D$3:$R$3,0)),
"Error"))</f>
        <v>C0052</v>
      </c>
      <c r="L57" s="75" t="str">
        <f aca="false">
IF($D57="정상",INDEX(임대자산!$D$3:$R$3000,MATCH($F57,임대자산!$I$3:$I$3000,0),MATCH(L$4,임대자산!$D$3:$R$3,0)),
IF($D57="폐업",INDEX(폐업정보!$D$3:$R$3000,MATCH($F57,폐업정보!$I$3:$I$3000,0),MATCH(L$4,폐업정보!$D$3:$R$3,0)),
"Error"))</f>
        <v>D0052</v>
      </c>
      <c r="M57" s="76" t="s">
        <v>96</v>
      </c>
      <c r="N57" s="77"/>
      <c r="O57" s="78" t="s">
        <v>97</v>
      </c>
      <c r="P57" s="79" t="n">
        <f aca="false">COUNTIFS(임대자산!$I:$I,가맹점정보!F57,임대자산!$N:$N,가맹점정보!P$4)</f>
        <v>1</v>
      </c>
      <c r="Q57" s="80" t="n">
        <f aca="false">COUNTIFS(임대자산!$I:$I,가맹점정보!F57,임대자산!$N:$N,가맹점정보!Q$4)</f>
        <v>0</v>
      </c>
      <c r="R57" s="81" t="n">
        <f aca="false">COUNTIFS(임대자산!$I:$I,가맹점정보!F57,임대자산!$N:$N,가맹점정보!R$4)</f>
        <v>0</v>
      </c>
      <c r="S57" s="82" t="n">
        <v>55000</v>
      </c>
      <c r="T57" s="83" t="n">
        <v>0</v>
      </c>
      <c r="U57" s="80" t="n">
        <f aca="false">SUM(S57:T57)</f>
        <v>55000</v>
      </c>
      <c r="V57" s="84" t="s">
        <v>7</v>
      </c>
      <c r="W57" s="80" t="str">
        <f aca="true">
IF(D57="폐업","폐업",
IF(V57="면제","면제",
IF(AND(V57="정상",COUNTIFS(OFFSET(Y57,0,COUNTA(Y57:AV57)-1,1,-4),"미납")&gt;=3),"장기미납",
IF(AND(V57="정상",OFFSET(Y57,0,COUNTA(Y57:AV57)-1)&gt;=U57),"정상",
IF(AND(V57="정상",OFFSET(Y57,0,COUNTA(Y57:AV57)-1)=0),"정상",
"계약서 미작성")))))</f>
        <v>면제</v>
      </c>
      <c r="X57" s="81" t="str">
        <f aca="true">
IF(D57="폐업","폐업",
IF(AND(V57="정상",OFFSET(Y57,0,COUNTA(Y57:AV57)-1)="미납"),"미납",
IF(AND(V57="정상",OFFSET(Y57,0,COUNTA(Y57:AV57)-1)=0),"납부 시작 전",
IF(AND(V57="정상",OFFSET(Y57,0,COUNTA(Y57:AV57)-1)&gt;=U57),"정상",
IF(AND(V57="면제",OFFSET(Y57,0,COUNTA(Y57:AV57)-1)="면제"),"면제",
IF(AND(V57="면제",OFFSET(Y57,0,COUNTA(Y57:AV57)-1)=0),"면제",
"확인요청"))))))</f>
        <v>면제</v>
      </c>
      <c r="Y57" s="94" t="s">
        <v>7</v>
      </c>
      <c r="Z57" s="95" t="s">
        <v>7</v>
      </c>
      <c r="AA57" s="95" t="s">
        <v>7</v>
      </c>
      <c r="AB57" s="95" t="s">
        <v>7</v>
      </c>
      <c r="AC57" s="95" t="s">
        <v>7</v>
      </c>
      <c r="AD57" s="95" t="s">
        <v>7</v>
      </c>
      <c r="AE57" s="95" t="s">
        <v>7</v>
      </c>
      <c r="AF57" s="95" t="s">
        <v>7</v>
      </c>
      <c r="AG57" s="95" t="s">
        <v>7</v>
      </c>
      <c r="AH57" s="95" t="s">
        <v>7</v>
      </c>
      <c r="AI57" s="95" t="s">
        <v>7</v>
      </c>
      <c r="AJ57" s="96" t="s">
        <v>7</v>
      </c>
      <c r="AK57" s="97" t="s">
        <v>7</v>
      </c>
      <c r="AL57" s="95" t="s">
        <v>7</v>
      </c>
      <c r="AM57" s="90"/>
      <c r="AN57" s="90"/>
      <c r="AO57" s="90"/>
      <c r="AP57" s="90"/>
      <c r="AQ57" s="90"/>
      <c r="AR57" s="90"/>
      <c r="AS57" s="90"/>
      <c r="AT57" s="90"/>
      <c r="AU57" s="90"/>
      <c r="AV57" s="91"/>
      <c r="AX57" s="92"/>
    </row>
    <row r="58" customFormat="false" ht="15.65" hidden="false" customHeight="false" outlineLevel="0" collapsed="false">
      <c r="C58" s="72" t="n">
        <f aca="false">COUNTIFS($D$6:D58,"&lt;&gt;"&amp;"")</f>
        <v>53</v>
      </c>
      <c r="D58" s="73" t="s">
        <v>12</v>
      </c>
      <c r="E58" s="76" t="str">
        <f aca="false">
IF($D58="정상",INDEX(임대자산!$D$3:$R$3000,MATCH($F58,임대자산!$I$3:$I$3000,0),MATCH(E$3,임대자산!$D$3:$R$3,0)),
IF($D58="폐업",INDEX(폐업정보!$D$3:$R$3000,MATCH($F58,폐업정보!$I$3:$I$3000,0),MATCH(E$3,폐업정보!$D$3:$R$3,0)),
"Error"))</f>
        <v>경상</v>
      </c>
      <c r="F5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B0053</v>
      </c>
      <c r="G58" s="76" t="str">
        <f aca="false">F58&amp;RANDBETWEEN(0,10)</f>
        <v>B00535</v>
      </c>
      <c r="H58" s="75" t="n">
        <f aca="false">
IF($D58="정상",INDEX(임대자산!$D$3:$R$3000,MATCH($F58,임대자산!$I$3:$I$3000,0),MATCH(H$4,임대자산!$D$3:$R$3,0)),
IF($D58="폐업",INDEX(폐업정보!$D$3:$R$3000,MATCH($F58,폐업정보!$I$3:$I$3000,0),MATCH(H$4,폐업정보!$D$3:$R$3,0)),
"Error"))</f>
        <v>45862</v>
      </c>
      <c r="I58" s="75" t="str">
        <f aca="false">
IF($D58="정상",INDEX(임대자산!$D$3:$R$3000,MATCH($F58,임대자산!$I$3:$I$3000,0),MATCH(I$4,임대자산!$D$3:$R$3,0)),
IF($D58="폐업",INDEX(폐업정보!$D$3:$R$3000,MATCH($F58,폐업정보!$I$3:$I$3000,0),MATCH(I$4,폐업정보!$D$3:$R$3,0)),
"Error"))</f>
        <v>A0053</v>
      </c>
      <c r="J58" s="75" t="str">
        <f aca="false">
IF($D58="정상",INDEX(임대자산!$D$3:$R$3000,MATCH($F58,임대자산!$I$3:$I$3000,0),MATCH(J$4,임대자산!$D$3:$R$3,0)),
IF($D58="폐업",INDEX(폐업정보!$D$3:$R$3000,MATCH($F58,폐업정보!$I$3:$I$3000,0),MATCH(J$4,폐업정보!$D$3:$R$3,0)),
"Error"))</f>
        <v>3906800000</v>
      </c>
      <c r="K58" s="75" t="str">
        <f aca="false">
IF($D58="정상",INDEX(임대자산!$D$3:$R$3000,MATCH($F58,임대자산!$I$3:$I$3000,0),MATCH(K$4,임대자산!$D$3:$R$3,0)),
IF($D58="폐업",INDEX(폐업정보!$D$3:$R$3000,MATCH($F58,폐업정보!$I$3:$I$3000,0),MATCH(K$4,폐업정보!$D$3:$R$3,0)),
"Error"))</f>
        <v>C0053</v>
      </c>
      <c r="L58" s="75" t="str">
        <f aca="false">
IF($D58="정상",INDEX(임대자산!$D$3:$R$3000,MATCH($F58,임대자산!$I$3:$I$3000,0),MATCH(L$4,임대자산!$D$3:$R$3,0)),
IF($D58="폐업",INDEX(폐업정보!$D$3:$R$3000,MATCH($F58,폐업정보!$I$3:$I$3000,0),MATCH(L$4,폐업정보!$D$3:$R$3,0)),
"Error"))</f>
        <v>D0053</v>
      </c>
      <c r="M58" s="76" t="s">
        <v>96</v>
      </c>
      <c r="N58" s="77"/>
      <c r="O58" s="78" t="s">
        <v>97</v>
      </c>
      <c r="P58" s="79" t="n">
        <f aca="false">COUNTIFS(임대자산!$I:$I,가맹점정보!F58,임대자산!$N:$N,가맹점정보!P$4)</f>
        <v>1</v>
      </c>
      <c r="Q58" s="80" t="n">
        <f aca="false">COUNTIFS(임대자산!$I:$I,가맹점정보!F58,임대자산!$N:$N,가맹점정보!Q$4)</f>
        <v>0</v>
      </c>
      <c r="R58" s="81" t="n">
        <f aca="false">COUNTIFS(임대자산!$I:$I,가맹점정보!F58,임대자산!$N:$N,가맹점정보!R$4)</f>
        <v>0</v>
      </c>
      <c r="S58" s="82" t="n">
        <v>88000</v>
      </c>
      <c r="T58" s="83" t="n">
        <v>0</v>
      </c>
      <c r="U58" s="80" t="n">
        <f aca="false">SUM(S58:T58)</f>
        <v>88000</v>
      </c>
      <c r="V58" s="84" t="s">
        <v>7</v>
      </c>
      <c r="W58" s="80" t="str">
        <f aca="true">
IF(D58="폐업","폐업",
IF(V58="면제","면제",
IF(AND(V58="정상",COUNTIFS(OFFSET(Y58,0,COUNTA(Y58:AV58)-1,1,-4),"미납")&gt;=3),"장기미납",
IF(AND(V58="정상",OFFSET(Y58,0,COUNTA(Y58:AV58)-1)&gt;=U58),"정상",
IF(AND(V58="정상",OFFSET(Y58,0,COUNTA(Y58:AV58)-1)=0),"정상",
"계약서 미작성")))))</f>
        <v>면제</v>
      </c>
      <c r="X58" s="81" t="str">
        <f aca="true">
IF(D58="폐업","폐업",
IF(AND(V58="정상",OFFSET(Y58,0,COUNTA(Y58:AV58)-1)="미납"),"미납",
IF(AND(V58="정상",OFFSET(Y58,0,COUNTA(Y58:AV58)-1)=0),"납부 시작 전",
IF(AND(V58="정상",OFFSET(Y58,0,COUNTA(Y58:AV58)-1)&gt;=U58),"정상",
IF(AND(V58="면제",OFFSET(Y58,0,COUNTA(Y58:AV58)-1)="면제"),"면제",
IF(AND(V58="면제",OFFSET(Y58,0,COUNTA(Y58:AV58)-1)=0),"면제",
"확인요청"))))))</f>
        <v>면제</v>
      </c>
      <c r="Y58" s="94" t="s">
        <v>7</v>
      </c>
      <c r="Z58" s="95" t="s">
        <v>7</v>
      </c>
      <c r="AA58" s="95" t="s">
        <v>7</v>
      </c>
      <c r="AB58" s="95" t="s">
        <v>7</v>
      </c>
      <c r="AC58" s="95" t="s">
        <v>7</v>
      </c>
      <c r="AD58" s="95" t="s">
        <v>7</v>
      </c>
      <c r="AE58" s="95" t="s">
        <v>7</v>
      </c>
      <c r="AF58" s="95" t="s">
        <v>7</v>
      </c>
      <c r="AG58" s="95" t="s">
        <v>7</v>
      </c>
      <c r="AH58" s="95" t="s">
        <v>7</v>
      </c>
      <c r="AI58" s="95" t="s">
        <v>7</v>
      </c>
      <c r="AJ58" s="96" t="s">
        <v>7</v>
      </c>
      <c r="AK58" s="97" t="s">
        <v>7</v>
      </c>
      <c r="AL58" s="95" t="s">
        <v>7</v>
      </c>
      <c r="AM58" s="90"/>
      <c r="AN58" s="90"/>
      <c r="AO58" s="90"/>
      <c r="AP58" s="90"/>
      <c r="AQ58" s="90"/>
      <c r="AR58" s="90"/>
      <c r="AS58" s="90"/>
      <c r="AT58" s="90"/>
      <c r="AU58" s="90"/>
      <c r="AV58" s="91"/>
      <c r="AX58" s="92"/>
    </row>
    <row r="59" customFormat="false" ht="15.65" hidden="false" customHeight="false" outlineLevel="0" collapsed="false">
      <c r="C59" s="72" t="n">
        <f aca="false">COUNTIFS($D$6:D59,"&lt;&gt;"&amp;"")</f>
        <v>54</v>
      </c>
      <c r="D59" s="73" t="s">
        <v>12</v>
      </c>
      <c r="E59" s="76" t="str">
        <f aca="false">
IF($D59="정상",INDEX(임대자산!$D$3:$R$3000,MATCH($F59,임대자산!$I$3:$I$3000,0),MATCH(E$3,임대자산!$D$3:$R$3,0)),
IF($D59="폐업",INDEX(폐업정보!$D$3:$R$3000,MATCH($F59,폐업정보!$I$3:$I$3000,0),MATCH(E$3,폐업정보!$D$3:$R$3,0)),
"Error"))</f>
        <v>서울</v>
      </c>
      <c r="F5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B0054</v>
      </c>
      <c r="G59" s="76" t="str">
        <f aca="false">F59&amp;RANDBETWEEN(0,10)</f>
        <v>B00547</v>
      </c>
      <c r="H59" s="75" t="n">
        <f aca="false">
IF($D59="정상",INDEX(임대자산!$D$3:$R$3000,MATCH($F59,임대자산!$I$3:$I$3000,0),MATCH(H$4,임대자산!$D$3:$R$3,0)),
IF($D59="폐업",INDEX(폐업정보!$D$3:$R$3000,MATCH($F59,폐업정보!$I$3:$I$3000,0),MATCH(H$4,폐업정보!$D$3:$R$3,0)),
"Error"))</f>
        <v>44088</v>
      </c>
      <c r="I59" s="75" t="str">
        <f aca="false">
IF($D59="정상",INDEX(임대자산!$D$3:$R$3000,MATCH($F59,임대자산!$I$3:$I$3000,0),MATCH(I$4,임대자산!$D$3:$R$3,0)),
IF($D59="폐업",INDEX(폐업정보!$D$3:$R$3000,MATCH($F59,폐업정보!$I$3:$I$3000,0),MATCH(I$4,폐업정보!$D$3:$R$3,0)),
"Error"))</f>
        <v>A0054</v>
      </c>
      <c r="J59" s="75" t="str">
        <f aca="false">
IF($D59="정상",INDEX(임대자산!$D$3:$R$3000,MATCH($F59,임대자산!$I$3:$I$3000,0),MATCH(J$4,임대자산!$D$3:$R$3,0)),
IF($D59="폐업",INDEX(폐업정보!$D$3:$R$3000,MATCH($F59,폐업정보!$I$3:$I$3000,0),MATCH(J$4,폐업정보!$D$3:$R$3,0)),
"Error"))</f>
        <v>4990500000</v>
      </c>
      <c r="K59" s="75" t="str">
        <f aca="false">
IF($D59="정상",INDEX(임대자산!$D$3:$R$3000,MATCH($F59,임대자산!$I$3:$I$3000,0),MATCH(K$4,임대자산!$D$3:$R$3,0)),
IF($D59="폐업",INDEX(폐업정보!$D$3:$R$3000,MATCH($F59,폐업정보!$I$3:$I$3000,0),MATCH(K$4,폐업정보!$D$3:$R$3,0)),
"Error"))</f>
        <v>C0054</v>
      </c>
      <c r="L59" s="75" t="str">
        <f aca="false">
IF($D59="정상",INDEX(임대자산!$D$3:$R$3000,MATCH($F59,임대자산!$I$3:$I$3000,0),MATCH(L$4,임대자산!$D$3:$R$3,0)),
IF($D59="폐업",INDEX(폐업정보!$D$3:$R$3000,MATCH($F59,폐업정보!$I$3:$I$3000,0),MATCH(L$4,폐업정보!$D$3:$R$3,0)),
"Error"))</f>
        <v>D0054</v>
      </c>
      <c r="M59" s="76" t="s">
        <v>96</v>
      </c>
      <c r="N59" s="77"/>
      <c r="O59" s="78" t="s">
        <v>97</v>
      </c>
      <c r="P59" s="79" t="n">
        <f aca="false">COUNTIFS(임대자산!$I:$I,가맹점정보!F59,임대자산!$N:$N,가맹점정보!P$4)</f>
        <v>1</v>
      </c>
      <c r="Q59" s="80" t="n">
        <f aca="false">COUNTIFS(임대자산!$I:$I,가맹점정보!F59,임대자산!$N:$N,가맹점정보!Q$4)</f>
        <v>0</v>
      </c>
      <c r="R59" s="81" t="n">
        <f aca="false">COUNTIFS(임대자산!$I:$I,가맹점정보!F59,임대자산!$N:$N,가맹점정보!R$4)</f>
        <v>0</v>
      </c>
      <c r="S59" s="82" t="n">
        <v>55000</v>
      </c>
      <c r="T59" s="83" t="n">
        <v>0</v>
      </c>
      <c r="U59" s="80" t="n">
        <f aca="false">SUM(S59:T59)</f>
        <v>55000</v>
      </c>
      <c r="V59" s="84" t="s">
        <v>12</v>
      </c>
      <c r="W59" s="80" t="e">
        <f aca="true">
IF(D59="폐업","폐업",
IF(V59="면제","면제",
IF(AND(V59="정상",COUNTIFS(OFFSET(Y59,0,COUNTA(Y59:AV59)-1,1,-4),"미납")&gt;=3),"장기미납",
IF(AND(V59="정상",OFFSET(Y59,0,COUNTA(Y59:AV59)-1)&gt;=U59),"정상",
IF(AND(V59="정상",OFFSET(Y59,0,COUNTA(Y59:AV59)-1)=0),"정상",
"계약서 미작성")))))</f>
        <v>#VALUE!</v>
      </c>
      <c r="X59" s="81" t="str">
        <f aca="true">
IF(D59="폐업","폐업",
IF(AND(V59="정상",OFFSET(Y59,0,COUNTA(Y59:AV59)-1)="미납"),"미납",
IF(AND(V59="정상",OFFSET(Y59,0,COUNTA(Y59:AV59)-1)=0),"납부 시작 전",
IF(AND(V59="정상",OFFSET(Y59,0,COUNTA(Y59:AV59)-1)&gt;=U59),"정상",
IF(AND(V59="면제",OFFSET(Y59,0,COUNTA(Y59:AV59)-1)="면제"),"면제",
IF(AND(V59="면제",OFFSET(Y59,0,COUNTA(Y59:AV59)-1)=0),"면제",
"확인요청"))))))</f>
        <v>정상</v>
      </c>
      <c r="Y59" s="93" t="n">
        <v>55000</v>
      </c>
      <c r="Z59" s="90" t="n">
        <v>55000</v>
      </c>
      <c r="AA59" s="90" t="n">
        <v>55000</v>
      </c>
      <c r="AB59" s="90" t="n">
        <v>55000</v>
      </c>
      <c r="AC59" s="90" t="n">
        <v>55000</v>
      </c>
      <c r="AD59" s="90" t="n">
        <v>55000</v>
      </c>
      <c r="AE59" s="90" t="n">
        <v>55000</v>
      </c>
      <c r="AF59" s="90" t="n">
        <v>55000</v>
      </c>
      <c r="AG59" s="90" t="n">
        <v>55000</v>
      </c>
      <c r="AH59" s="90" t="n">
        <v>55000</v>
      </c>
      <c r="AI59" s="90" t="n">
        <v>55000</v>
      </c>
      <c r="AJ59" s="91" t="n">
        <v>55000</v>
      </c>
      <c r="AK59" s="89" t="n">
        <v>55000</v>
      </c>
      <c r="AL59" s="90" t="n">
        <v>55000</v>
      </c>
      <c r="AM59" s="90"/>
      <c r="AN59" s="90"/>
      <c r="AO59" s="90"/>
      <c r="AP59" s="90"/>
      <c r="AQ59" s="90"/>
      <c r="AR59" s="90"/>
      <c r="AS59" s="90"/>
      <c r="AT59" s="90"/>
      <c r="AU59" s="90"/>
      <c r="AV59" s="91"/>
      <c r="AX59" s="92"/>
    </row>
    <row r="60" customFormat="false" ht="15.65" hidden="false" customHeight="false" outlineLevel="0" collapsed="false">
      <c r="C60" s="72" t="n">
        <f aca="false">COUNTIFS($D$6:D60,"&lt;&gt;"&amp;"")</f>
        <v>55</v>
      </c>
      <c r="D60" s="73" t="s">
        <v>12</v>
      </c>
      <c r="E60" s="76" t="str">
        <f aca="false">
IF($D60="정상",INDEX(임대자산!$D$3:$R$3000,MATCH($F60,임대자산!$I$3:$I$3000,0),MATCH(E$3,임대자산!$D$3:$R$3,0)),
IF($D60="폐업",INDEX(폐업정보!$D$3:$R$3000,MATCH($F60,폐업정보!$I$3:$I$3000,0),MATCH(E$3,폐업정보!$D$3:$R$3,0)),
"Error"))</f>
        <v>서울</v>
      </c>
      <c r="F6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B0055</v>
      </c>
      <c r="G60" s="76" t="str">
        <f aca="false">F60&amp;RANDBETWEEN(0,10)</f>
        <v>B00551</v>
      </c>
      <c r="H60" s="75" t="n">
        <f aca="false">
IF($D60="정상",INDEX(임대자산!$D$3:$R$3000,MATCH($F60,임대자산!$I$3:$I$3000,0),MATCH(H$4,임대자산!$D$3:$R$3,0)),
IF($D60="폐업",INDEX(폐업정보!$D$3:$R$3000,MATCH($F60,폐업정보!$I$3:$I$3000,0),MATCH(H$4,폐업정보!$D$3:$R$3,0)),
"Error"))</f>
        <v>44004</v>
      </c>
      <c r="I60" s="75" t="str">
        <f aca="false">
IF($D60="정상",INDEX(임대자산!$D$3:$R$3000,MATCH($F60,임대자산!$I$3:$I$3000,0),MATCH(I$4,임대자산!$D$3:$R$3,0)),
IF($D60="폐업",INDEX(폐업정보!$D$3:$R$3000,MATCH($F60,폐업정보!$I$3:$I$3000,0),MATCH(I$4,폐업정보!$D$3:$R$3,0)),
"Error"))</f>
        <v>A0055</v>
      </c>
      <c r="J60" s="75" t="str">
        <f aca="false">
IF($D60="정상",INDEX(임대자산!$D$3:$R$3000,MATCH($F60,임대자산!$I$3:$I$3000,0),MATCH(J$4,임대자산!$D$3:$R$3,0)),
IF($D60="폐업",INDEX(폐업정보!$D$3:$R$3000,MATCH($F60,폐업정보!$I$3:$I$3000,0),MATCH(J$4,폐업정보!$D$3:$R$3,0)),
"Error"))</f>
        <v>8537000000</v>
      </c>
      <c r="K60" s="75" t="str">
        <f aca="false">
IF($D60="정상",INDEX(임대자산!$D$3:$R$3000,MATCH($F60,임대자산!$I$3:$I$3000,0),MATCH(K$4,임대자산!$D$3:$R$3,0)),
IF($D60="폐업",INDEX(폐업정보!$D$3:$R$3000,MATCH($F60,폐업정보!$I$3:$I$3000,0),MATCH(K$4,폐업정보!$D$3:$R$3,0)),
"Error"))</f>
        <v>C0055</v>
      </c>
      <c r="L60" s="75" t="str">
        <f aca="false">
IF($D60="정상",INDEX(임대자산!$D$3:$R$3000,MATCH($F60,임대자산!$I$3:$I$3000,0),MATCH(L$4,임대자산!$D$3:$R$3,0)),
IF($D60="폐업",INDEX(폐업정보!$D$3:$R$3000,MATCH($F60,폐업정보!$I$3:$I$3000,0),MATCH(L$4,폐업정보!$D$3:$R$3,0)),
"Error"))</f>
        <v>D0055</v>
      </c>
      <c r="M60" s="76" t="s">
        <v>96</v>
      </c>
      <c r="N60" s="77"/>
      <c r="O60" s="78" t="s">
        <v>97</v>
      </c>
      <c r="P60" s="79" t="n">
        <f aca="false">COUNTIFS(임대자산!$I:$I,가맹점정보!F60,임대자산!$N:$N,가맹점정보!P$4)</f>
        <v>1</v>
      </c>
      <c r="Q60" s="80" t="n">
        <f aca="false">COUNTIFS(임대자산!$I:$I,가맹점정보!F60,임대자산!$N:$N,가맹점정보!Q$4)</f>
        <v>0</v>
      </c>
      <c r="R60" s="81" t="n">
        <f aca="false">COUNTIFS(임대자산!$I:$I,가맹점정보!F60,임대자산!$N:$N,가맹점정보!R$4)</f>
        <v>0</v>
      </c>
      <c r="S60" s="82" t="n">
        <v>55000</v>
      </c>
      <c r="T60" s="83" t="n">
        <v>0</v>
      </c>
      <c r="U60" s="80" t="n">
        <f aca="false">SUM(S60:T60)</f>
        <v>55000</v>
      </c>
      <c r="V60" s="84" t="s">
        <v>12</v>
      </c>
      <c r="W60" s="80" t="e">
        <f aca="true">
IF(D60="폐업","폐업",
IF(V60="면제","면제",
IF(AND(V60="정상",COUNTIFS(OFFSET(Y60,0,COUNTA(Y60:AV60)-1,1,-4),"미납")&gt;=3),"장기미납",
IF(AND(V60="정상",OFFSET(Y60,0,COUNTA(Y60:AV60)-1)&gt;=U60),"정상",
IF(AND(V60="정상",OFFSET(Y60,0,COUNTA(Y60:AV60)-1)=0),"정상",
"계약서 미작성")))))</f>
        <v>#VALUE!</v>
      </c>
      <c r="X60" s="81" t="str">
        <f aca="true">
IF(D60="폐업","폐업",
IF(AND(V60="정상",OFFSET(Y60,0,COUNTA(Y60:AV60)-1)="미납"),"미납",
IF(AND(V60="정상",OFFSET(Y60,0,COUNTA(Y60:AV60)-1)=0),"납부 시작 전",
IF(AND(V60="정상",OFFSET(Y60,0,COUNTA(Y60:AV60)-1)&gt;=U60),"정상",
IF(AND(V60="면제",OFFSET(Y60,0,COUNTA(Y60:AV60)-1)="면제"),"면제",
IF(AND(V60="면제",OFFSET(Y60,0,COUNTA(Y60:AV60)-1)=0),"면제",
"확인요청"))))))</f>
        <v>정상</v>
      </c>
      <c r="Y60" s="94" t="s">
        <v>7</v>
      </c>
      <c r="Z60" s="95" t="s">
        <v>7</v>
      </c>
      <c r="AA60" s="95" t="s">
        <v>7</v>
      </c>
      <c r="AB60" s="95" t="s">
        <v>7</v>
      </c>
      <c r="AC60" s="95" t="s">
        <v>7</v>
      </c>
      <c r="AD60" s="95" t="s">
        <v>7</v>
      </c>
      <c r="AE60" s="95" t="s">
        <v>7</v>
      </c>
      <c r="AF60" s="90" t="n">
        <v>55000</v>
      </c>
      <c r="AG60" s="90" t="n">
        <v>55000</v>
      </c>
      <c r="AH60" s="90" t="n">
        <v>55000</v>
      </c>
      <c r="AI60" s="90" t="n">
        <v>55000</v>
      </c>
      <c r="AJ60" s="91" t="n">
        <v>55000</v>
      </c>
      <c r="AK60" s="89" t="n">
        <v>55000</v>
      </c>
      <c r="AL60" s="90" t="n">
        <v>55000</v>
      </c>
      <c r="AM60" s="90"/>
      <c r="AN60" s="90"/>
      <c r="AO60" s="90"/>
      <c r="AP60" s="90"/>
      <c r="AQ60" s="90"/>
      <c r="AR60" s="90"/>
      <c r="AS60" s="90"/>
      <c r="AT60" s="90"/>
      <c r="AU60" s="90"/>
      <c r="AV60" s="91"/>
      <c r="AX60" s="92"/>
    </row>
    <row r="61" customFormat="false" ht="15.65" hidden="false" customHeight="false" outlineLevel="0" collapsed="false">
      <c r="C61" s="72" t="n">
        <f aca="false">COUNTIFS($D$6:D61,"&lt;&gt;"&amp;"")</f>
        <v>56</v>
      </c>
      <c r="D61" s="73" t="s">
        <v>12</v>
      </c>
      <c r="E61" s="76" t="str">
        <f aca="false">
IF($D61="정상",INDEX(임대자산!$D$3:$R$3000,MATCH($F61,임대자산!$I$3:$I$3000,0),MATCH(E$3,임대자산!$D$3:$R$3,0)),
IF($D61="폐업",INDEX(폐업정보!$D$3:$R$3000,MATCH($F61,폐업정보!$I$3:$I$3000,0),MATCH(E$3,폐업정보!$D$3:$R$3,0)),
"Error"))</f>
        <v>경기</v>
      </c>
      <c r="F6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B0056</v>
      </c>
      <c r="G61" s="76" t="str">
        <f aca="false">F61&amp;RANDBETWEEN(0,10)</f>
        <v>B00561</v>
      </c>
      <c r="H61" s="75" t="n">
        <f aca="false">
IF($D61="정상",INDEX(임대자산!$D$3:$R$3000,MATCH($F61,임대자산!$I$3:$I$3000,0),MATCH(H$4,임대자산!$D$3:$R$3,0)),
IF($D61="폐업",INDEX(폐업정보!$D$3:$R$3000,MATCH($F61,폐업정보!$I$3:$I$3000,0),MATCH(H$4,폐업정보!$D$3:$R$3,0)),
"Error"))</f>
        <v>44935</v>
      </c>
      <c r="I61" s="75" t="str">
        <f aca="false">
IF($D61="정상",INDEX(임대자산!$D$3:$R$3000,MATCH($F61,임대자산!$I$3:$I$3000,0),MATCH(I$4,임대자산!$D$3:$R$3,0)),
IF($D61="폐업",INDEX(폐업정보!$D$3:$R$3000,MATCH($F61,폐업정보!$I$3:$I$3000,0),MATCH(I$4,폐업정보!$D$3:$R$3,0)),
"Error"))</f>
        <v>A0056</v>
      </c>
      <c r="J61" s="75" t="str">
        <f aca="false">
IF($D61="정상",INDEX(임대자산!$D$3:$R$3000,MATCH($F61,임대자산!$I$3:$I$3000,0),MATCH(J$4,임대자산!$D$3:$R$3,0)),
IF($D61="폐업",INDEX(폐업정보!$D$3:$R$3000,MATCH($F61,폐업정보!$I$3:$I$3000,0),MATCH(J$4,폐업정보!$D$3:$R$3,0)),
"Error"))</f>
        <v>4822700000</v>
      </c>
      <c r="K61" s="75" t="str">
        <f aca="false">
IF($D61="정상",INDEX(임대자산!$D$3:$R$3000,MATCH($F61,임대자산!$I$3:$I$3000,0),MATCH(K$4,임대자산!$D$3:$R$3,0)),
IF($D61="폐업",INDEX(폐업정보!$D$3:$R$3000,MATCH($F61,폐업정보!$I$3:$I$3000,0),MATCH(K$4,폐업정보!$D$3:$R$3,0)),
"Error"))</f>
        <v>C0056</v>
      </c>
      <c r="L61" s="75" t="str">
        <f aca="false">
IF($D61="정상",INDEX(임대자산!$D$3:$R$3000,MATCH($F61,임대자산!$I$3:$I$3000,0),MATCH(L$4,임대자산!$D$3:$R$3,0)),
IF($D61="폐업",INDEX(폐업정보!$D$3:$R$3000,MATCH($F61,폐업정보!$I$3:$I$3000,0),MATCH(L$4,폐업정보!$D$3:$R$3,0)),
"Error"))</f>
        <v>D0056</v>
      </c>
      <c r="M61" s="76" t="s">
        <v>96</v>
      </c>
      <c r="N61" s="77"/>
      <c r="O61" s="78" t="s">
        <v>97</v>
      </c>
      <c r="P61" s="79" t="n">
        <f aca="false">COUNTIFS(임대자산!$I:$I,가맹점정보!F61,임대자산!$N:$N,가맹점정보!P$4)</f>
        <v>1</v>
      </c>
      <c r="Q61" s="80" t="n">
        <f aca="false">COUNTIFS(임대자산!$I:$I,가맹점정보!F61,임대자산!$N:$N,가맹점정보!Q$4)</f>
        <v>0</v>
      </c>
      <c r="R61" s="81" t="n">
        <f aca="false">COUNTIFS(임대자산!$I:$I,가맹점정보!F61,임대자산!$N:$N,가맹점정보!R$4)</f>
        <v>0</v>
      </c>
      <c r="S61" s="82" t="n">
        <v>55000</v>
      </c>
      <c r="T61" s="83" t="n">
        <v>0</v>
      </c>
      <c r="U61" s="80" t="n">
        <f aca="false">SUM(S61:T61)</f>
        <v>55000</v>
      </c>
      <c r="V61" s="84" t="s">
        <v>12</v>
      </c>
      <c r="W61" s="80" t="e">
        <f aca="true">
IF(D61="폐업","폐업",
IF(V61="면제","면제",
IF(AND(V61="정상",COUNTIFS(OFFSET(Y61,0,COUNTA(Y61:AV61)-1,1,-4),"미납")&gt;=3),"장기미납",
IF(AND(V61="정상",OFFSET(Y61,0,COUNTA(Y61:AV61)-1)&gt;=U61),"정상",
IF(AND(V61="정상",OFFSET(Y61,0,COUNTA(Y61:AV61)-1)=0),"정상",
"계약서 미작성")))))</f>
        <v>#VALUE!</v>
      </c>
      <c r="X61" s="81" t="str">
        <f aca="true">
IF(D61="폐업","폐업",
IF(AND(V61="정상",OFFSET(Y61,0,COUNTA(Y61:AV61)-1)="미납"),"미납",
IF(AND(V61="정상",OFFSET(Y61,0,COUNTA(Y61:AV61)-1)=0),"납부 시작 전",
IF(AND(V61="정상",OFFSET(Y61,0,COUNTA(Y61:AV61)-1)&gt;=U61),"정상",
IF(AND(V61="면제",OFFSET(Y61,0,COUNTA(Y61:AV61)-1)="면제"),"면제",
IF(AND(V61="면제",OFFSET(Y61,0,COUNTA(Y61:AV61)-1)=0),"면제",
"확인요청"))))))</f>
        <v>정상</v>
      </c>
      <c r="Y61" s="93" t="n">
        <v>55000</v>
      </c>
      <c r="Z61" s="90" t="n">
        <v>55000</v>
      </c>
      <c r="AA61" s="90" t="n">
        <v>55000</v>
      </c>
      <c r="AB61" s="90" t="n">
        <v>55000</v>
      </c>
      <c r="AC61" s="90" t="n">
        <v>55000</v>
      </c>
      <c r="AD61" s="90" t="n">
        <v>55000</v>
      </c>
      <c r="AE61" s="90" t="n">
        <v>55000</v>
      </c>
      <c r="AF61" s="90" t="n">
        <v>55000</v>
      </c>
      <c r="AG61" s="90" t="n">
        <v>55000</v>
      </c>
      <c r="AH61" s="90" t="n">
        <v>55000</v>
      </c>
      <c r="AI61" s="90" t="n">
        <v>55000</v>
      </c>
      <c r="AJ61" s="91" t="n">
        <v>55000</v>
      </c>
      <c r="AK61" s="89" t="n">
        <v>55000</v>
      </c>
      <c r="AL61" s="90" t="n">
        <v>55000</v>
      </c>
      <c r="AM61" s="90"/>
      <c r="AN61" s="90"/>
      <c r="AO61" s="90"/>
      <c r="AP61" s="90"/>
      <c r="AQ61" s="90"/>
      <c r="AR61" s="90"/>
      <c r="AS61" s="90"/>
      <c r="AT61" s="90"/>
      <c r="AU61" s="90"/>
      <c r="AV61" s="91"/>
      <c r="AX61" s="92"/>
    </row>
    <row r="62" customFormat="false" ht="15.65" hidden="false" customHeight="false" outlineLevel="0" collapsed="false">
      <c r="C62" s="72" t="n">
        <f aca="false">COUNTIFS($D$6:D62,"&lt;&gt;"&amp;"")</f>
        <v>57</v>
      </c>
      <c r="D62" s="73" t="s">
        <v>12</v>
      </c>
      <c r="E62" s="76" t="str">
        <f aca="false">
IF($D62="정상",INDEX(임대자산!$D$3:$R$3000,MATCH($F62,임대자산!$I$3:$I$3000,0),MATCH(E$3,임대자산!$D$3:$R$3,0)),
IF($D62="폐업",INDEX(폐업정보!$D$3:$R$3000,MATCH($F62,폐업정보!$I$3:$I$3000,0),MATCH(E$3,폐업정보!$D$3:$R$3,0)),
"Error"))</f>
        <v>강원</v>
      </c>
      <c r="F6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B0057</v>
      </c>
      <c r="G62" s="76" t="str">
        <f aca="false">F62&amp;RANDBETWEEN(0,10)</f>
        <v>B00571</v>
      </c>
      <c r="H62" s="75" t="n">
        <f aca="false">
IF($D62="정상",INDEX(임대자산!$D$3:$R$3000,MATCH($F62,임대자산!$I$3:$I$3000,0),MATCH(H$4,임대자산!$D$3:$R$3,0)),
IF($D62="폐업",INDEX(폐업정보!$D$3:$R$3000,MATCH($F62,폐업정보!$I$3:$I$3000,0),MATCH(H$4,폐업정보!$D$3:$R$3,0)),
"Error"))</f>
        <v>43774</v>
      </c>
      <c r="I62" s="75" t="str">
        <f aca="false">
IF($D62="정상",INDEX(임대자산!$D$3:$R$3000,MATCH($F62,임대자산!$I$3:$I$3000,0),MATCH(I$4,임대자산!$D$3:$R$3,0)),
IF($D62="폐업",INDEX(폐업정보!$D$3:$R$3000,MATCH($F62,폐업정보!$I$3:$I$3000,0),MATCH(I$4,폐업정보!$D$3:$R$3,0)),
"Error"))</f>
        <v>A0057</v>
      </c>
      <c r="J62" s="75" t="str">
        <f aca="false">
IF($D62="정상",INDEX(임대자산!$D$3:$R$3000,MATCH($F62,임대자산!$I$3:$I$3000,0),MATCH(J$4,임대자산!$D$3:$R$3,0)),
IF($D62="폐업",INDEX(폐업정보!$D$3:$R$3000,MATCH($F62,폐업정보!$I$3:$I$3000,0),MATCH(J$4,폐업정보!$D$3:$R$3,0)),
"Error"))</f>
        <v>2146100000</v>
      </c>
      <c r="K62" s="75" t="str">
        <f aca="false">
IF($D62="정상",INDEX(임대자산!$D$3:$R$3000,MATCH($F62,임대자산!$I$3:$I$3000,0),MATCH(K$4,임대자산!$D$3:$R$3,0)),
IF($D62="폐업",INDEX(폐업정보!$D$3:$R$3000,MATCH($F62,폐업정보!$I$3:$I$3000,0),MATCH(K$4,폐업정보!$D$3:$R$3,0)),
"Error"))</f>
        <v>C0057</v>
      </c>
      <c r="L62" s="75" t="str">
        <f aca="false">
IF($D62="정상",INDEX(임대자산!$D$3:$R$3000,MATCH($F62,임대자산!$I$3:$I$3000,0),MATCH(L$4,임대자산!$D$3:$R$3,0)),
IF($D62="폐업",INDEX(폐업정보!$D$3:$R$3000,MATCH($F62,폐업정보!$I$3:$I$3000,0),MATCH(L$4,폐업정보!$D$3:$R$3,0)),
"Error"))</f>
        <v>D0057</v>
      </c>
      <c r="M62" s="76" t="s">
        <v>96</v>
      </c>
      <c r="N62" s="77"/>
      <c r="O62" s="78" t="s">
        <v>97</v>
      </c>
      <c r="P62" s="79" t="n">
        <f aca="false">COUNTIFS(임대자산!$I:$I,가맹점정보!F62,임대자산!$N:$N,가맹점정보!P$4)</f>
        <v>1</v>
      </c>
      <c r="Q62" s="80" t="n">
        <f aca="false">COUNTIFS(임대자산!$I:$I,가맹점정보!F62,임대자산!$N:$N,가맹점정보!Q$4)</f>
        <v>0</v>
      </c>
      <c r="R62" s="81" t="n">
        <f aca="false">COUNTIFS(임대자산!$I:$I,가맹점정보!F62,임대자산!$N:$N,가맹점정보!R$4)</f>
        <v>0</v>
      </c>
      <c r="S62" s="82" t="n">
        <v>55000</v>
      </c>
      <c r="T62" s="83" t="n">
        <v>0</v>
      </c>
      <c r="U62" s="80" t="n">
        <f aca="false">SUM(S62:T62)</f>
        <v>55000</v>
      </c>
      <c r="V62" s="84" t="s">
        <v>12</v>
      </c>
      <c r="W62" s="80" t="e">
        <f aca="true">
IF(D62="폐업","폐업",
IF(V62="면제","면제",
IF(AND(V62="정상",COUNTIFS(OFFSET(Y62,0,COUNTA(Y62:AV62)-1,1,-4),"미납")&gt;=3),"장기미납",
IF(AND(V62="정상",OFFSET(Y62,0,COUNTA(Y62:AV62)-1)&gt;=U62),"정상",
IF(AND(V62="정상",OFFSET(Y62,0,COUNTA(Y62:AV62)-1)=0),"정상",
"계약서 미작성")))))</f>
        <v>#VALUE!</v>
      </c>
      <c r="X62" s="81" t="str">
        <f aca="true">
IF(D62="폐업","폐업",
IF(AND(V62="정상",OFFSET(Y62,0,COUNTA(Y62:AV62)-1)="미납"),"미납",
IF(AND(V62="정상",OFFSET(Y62,0,COUNTA(Y62:AV62)-1)=0),"납부 시작 전",
IF(AND(V62="정상",OFFSET(Y62,0,COUNTA(Y62:AV62)-1)&gt;=U62),"정상",
IF(AND(V62="면제",OFFSET(Y62,0,COUNTA(Y62:AV62)-1)="면제"),"면제",
IF(AND(V62="면제",OFFSET(Y62,0,COUNTA(Y62:AV62)-1)=0),"면제",
"확인요청"))))))</f>
        <v>정상</v>
      </c>
      <c r="Y62" s="93" t="n">
        <v>55000</v>
      </c>
      <c r="Z62" s="90" t="n">
        <v>55000</v>
      </c>
      <c r="AA62" s="90" t="n">
        <v>55000</v>
      </c>
      <c r="AB62" s="90" t="n">
        <v>55000</v>
      </c>
      <c r="AC62" s="90" t="n">
        <v>55000</v>
      </c>
      <c r="AD62" s="90" t="n">
        <v>55000</v>
      </c>
      <c r="AE62" s="90" t="n">
        <v>55000</v>
      </c>
      <c r="AF62" s="90" t="n">
        <v>55000</v>
      </c>
      <c r="AG62" s="90" t="n">
        <v>55000</v>
      </c>
      <c r="AH62" s="90" t="n">
        <v>55000</v>
      </c>
      <c r="AI62" s="90" t="n">
        <v>55000</v>
      </c>
      <c r="AJ62" s="91" t="n">
        <v>55000</v>
      </c>
      <c r="AK62" s="89" t="n">
        <v>55000</v>
      </c>
      <c r="AL62" s="90" t="n">
        <v>55000</v>
      </c>
      <c r="AM62" s="90"/>
      <c r="AN62" s="90"/>
      <c r="AO62" s="90"/>
      <c r="AP62" s="90"/>
      <c r="AQ62" s="90"/>
      <c r="AR62" s="90"/>
      <c r="AS62" s="90"/>
      <c r="AT62" s="90"/>
      <c r="AU62" s="90"/>
      <c r="AV62" s="91"/>
      <c r="AX62" s="92"/>
    </row>
    <row r="63" customFormat="false" ht="15.65" hidden="false" customHeight="false" outlineLevel="0" collapsed="false">
      <c r="C63" s="72" t="n">
        <f aca="false">COUNTIFS($D$6:D63,"&lt;&gt;"&amp;"")</f>
        <v>58</v>
      </c>
      <c r="D63" s="73" t="s">
        <v>12</v>
      </c>
      <c r="E63" s="76" t="str">
        <f aca="false">
IF($D63="정상",INDEX(임대자산!$D$3:$R$3000,MATCH($F63,임대자산!$I$3:$I$3000,0),MATCH(E$3,임대자산!$D$3:$R$3,0)),
IF($D63="폐업",INDEX(폐업정보!$D$3:$R$3000,MATCH($F63,폐업정보!$I$3:$I$3000,0),MATCH(E$3,폐업정보!$D$3:$R$3,0)),
"Error"))</f>
        <v>경상</v>
      </c>
      <c r="F6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B0058</v>
      </c>
      <c r="G63" s="76" t="str">
        <f aca="false">F63&amp;RANDBETWEEN(0,10)</f>
        <v>B00584</v>
      </c>
      <c r="H63" s="75" t="n">
        <f aca="false">
IF($D63="정상",INDEX(임대자산!$D$3:$R$3000,MATCH($F63,임대자산!$I$3:$I$3000,0),MATCH(H$4,임대자산!$D$3:$R$3,0)),
IF($D63="폐업",INDEX(폐업정보!$D$3:$R$3000,MATCH($F63,폐업정보!$I$3:$I$3000,0),MATCH(H$4,폐업정보!$D$3:$R$3,0)),
"Error"))</f>
        <v>44111</v>
      </c>
      <c r="I63" s="75" t="str">
        <f aca="false">
IF($D63="정상",INDEX(임대자산!$D$3:$R$3000,MATCH($F63,임대자산!$I$3:$I$3000,0),MATCH(I$4,임대자산!$D$3:$R$3,0)),
IF($D63="폐업",INDEX(폐업정보!$D$3:$R$3000,MATCH($F63,폐업정보!$I$3:$I$3000,0),MATCH(I$4,폐업정보!$D$3:$R$3,0)),
"Error"))</f>
        <v>A0058</v>
      </c>
      <c r="J63" s="75" t="str">
        <f aca="false">
IF($D63="정상",INDEX(임대자산!$D$3:$R$3000,MATCH($F63,임대자산!$I$3:$I$3000,0),MATCH(J$4,임대자산!$D$3:$R$3,0)),
IF($D63="폐업",INDEX(폐업정보!$D$3:$R$3000,MATCH($F63,폐업정보!$I$3:$I$3000,0),MATCH(J$4,폐업정보!$D$3:$R$3,0)),
"Error"))</f>
        <v>2624900000</v>
      </c>
      <c r="K63" s="75" t="str">
        <f aca="false">
IF($D63="정상",INDEX(임대자산!$D$3:$R$3000,MATCH($F63,임대자산!$I$3:$I$3000,0),MATCH(K$4,임대자산!$D$3:$R$3,0)),
IF($D63="폐업",INDEX(폐업정보!$D$3:$R$3000,MATCH($F63,폐업정보!$I$3:$I$3000,0),MATCH(K$4,폐업정보!$D$3:$R$3,0)),
"Error"))</f>
        <v>C0058</v>
      </c>
      <c r="L63" s="75" t="str">
        <f aca="false">
IF($D63="정상",INDEX(임대자산!$D$3:$R$3000,MATCH($F63,임대자산!$I$3:$I$3000,0),MATCH(L$4,임대자산!$D$3:$R$3,0)),
IF($D63="폐업",INDEX(폐업정보!$D$3:$R$3000,MATCH($F63,폐업정보!$I$3:$I$3000,0),MATCH(L$4,폐업정보!$D$3:$R$3,0)),
"Error"))</f>
        <v>D0058</v>
      </c>
      <c r="M63" s="76" t="s">
        <v>96</v>
      </c>
      <c r="N63" s="77"/>
      <c r="O63" s="78" t="s">
        <v>97</v>
      </c>
      <c r="P63" s="79" t="n">
        <f aca="false">COUNTIFS(임대자산!$I:$I,가맹점정보!F63,임대자산!$N:$N,가맹점정보!P$4)</f>
        <v>1</v>
      </c>
      <c r="Q63" s="80" t="n">
        <f aca="false">COUNTIFS(임대자산!$I:$I,가맹점정보!F63,임대자산!$N:$N,가맹점정보!Q$4)</f>
        <v>0</v>
      </c>
      <c r="R63" s="81" t="n">
        <f aca="false">COUNTIFS(임대자산!$I:$I,가맹점정보!F63,임대자산!$N:$N,가맹점정보!R$4)</f>
        <v>0</v>
      </c>
      <c r="S63" s="82" t="n">
        <v>88000</v>
      </c>
      <c r="T63" s="83" t="n">
        <v>0</v>
      </c>
      <c r="U63" s="80" t="n">
        <f aca="false">SUM(S63:T63)</f>
        <v>88000</v>
      </c>
      <c r="V63" s="84" t="s">
        <v>7</v>
      </c>
      <c r="W63" s="80" t="str">
        <f aca="true">
IF(D63="폐업","폐업",
IF(V63="면제","면제",
IF(AND(V63="정상",COUNTIFS(OFFSET(Y63,0,COUNTA(Y63:AV63)-1,1,-4),"미납")&gt;=3),"장기미납",
IF(AND(V63="정상",OFFSET(Y63,0,COUNTA(Y63:AV63)-1)&gt;=U63),"정상",
IF(AND(V63="정상",OFFSET(Y63,0,COUNTA(Y63:AV63)-1)=0),"정상",
"계약서 미작성")))))</f>
        <v>면제</v>
      </c>
      <c r="X63" s="81" t="str">
        <f aca="true">
IF(D63="폐업","폐업",
IF(AND(V63="정상",OFFSET(Y63,0,COUNTA(Y63:AV63)-1)="미납"),"미납",
IF(AND(V63="정상",OFFSET(Y63,0,COUNTA(Y63:AV63)-1)=0),"납부 시작 전",
IF(AND(V63="정상",OFFSET(Y63,0,COUNTA(Y63:AV63)-1)&gt;=U63),"정상",
IF(AND(V63="면제",OFFSET(Y63,0,COUNTA(Y63:AV63)-1)="면제"),"면제",
IF(AND(V63="면제",OFFSET(Y63,0,COUNTA(Y63:AV63)-1)=0),"면제",
"확인요청"))))))</f>
        <v>면제</v>
      </c>
      <c r="Y63" s="94" t="s">
        <v>7</v>
      </c>
      <c r="Z63" s="95" t="s">
        <v>7</v>
      </c>
      <c r="AA63" s="95" t="s">
        <v>7</v>
      </c>
      <c r="AB63" s="95" t="s">
        <v>7</v>
      </c>
      <c r="AC63" s="95" t="s">
        <v>7</v>
      </c>
      <c r="AD63" s="95" t="s">
        <v>7</v>
      </c>
      <c r="AE63" s="95" t="s">
        <v>7</v>
      </c>
      <c r="AF63" s="95" t="s">
        <v>7</v>
      </c>
      <c r="AG63" s="95" t="s">
        <v>7</v>
      </c>
      <c r="AH63" s="95" t="s">
        <v>7</v>
      </c>
      <c r="AI63" s="95" t="s">
        <v>7</v>
      </c>
      <c r="AJ63" s="96" t="s">
        <v>7</v>
      </c>
      <c r="AK63" s="97" t="s">
        <v>7</v>
      </c>
      <c r="AL63" s="95" t="s">
        <v>7</v>
      </c>
      <c r="AM63" s="90"/>
      <c r="AN63" s="90"/>
      <c r="AO63" s="90"/>
      <c r="AP63" s="90"/>
      <c r="AQ63" s="90"/>
      <c r="AR63" s="90"/>
      <c r="AS63" s="90"/>
      <c r="AT63" s="90"/>
      <c r="AU63" s="90"/>
      <c r="AV63" s="91"/>
      <c r="AX63" s="92"/>
    </row>
    <row r="64" customFormat="false" ht="15.65" hidden="false" customHeight="false" outlineLevel="0" collapsed="false">
      <c r="C64" s="72" t="n">
        <f aca="false">COUNTIFS($D$6:D64,"&lt;&gt;"&amp;"")</f>
        <v>59</v>
      </c>
      <c r="D64" s="73" t="s">
        <v>12</v>
      </c>
      <c r="E64" s="76" t="str">
        <f aca="false">
IF($D64="정상",INDEX(임대자산!$D$3:$R$3000,MATCH($F64,임대자산!$I$3:$I$3000,0),MATCH(E$3,임대자산!$D$3:$R$3,0)),
IF($D64="폐업",INDEX(폐업정보!$D$3:$R$3000,MATCH($F64,폐업정보!$I$3:$I$3000,0),MATCH(E$3,폐업정보!$D$3:$R$3,0)),
"Error"))</f>
        <v>경상</v>
      </c>
      <c r="F6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B0059</v>
      </c>
      <c r="G64" s="76" t="str">
        <f aca="false">F64&amp;RANDBETWEEN(0,10)</f>
        <v>B00593</v>
      </c>
      <c r="H64" s="75" t="n">
        <f aca="false">
IF($D64="정상",INDEX(임대자산!$D$3:$R$3000,MATCH($F64,임대자산!$I$3:$I$3000,0),MATCH(H$4,임대자산!$D$3:$R$3,0)),
IF($D64="폐업",INDEX(폐업정보!$D$3:$R$3000,MATCH($F64,폐업정보!$I$3:$I$3000,0),MATCH(H$4,폐업정보!$D$3:$R$3,0)),
"Error"))</f>
        <v>44225</v>
      </c>
      <c r="I64" s="75" t="str">
        <f aca="false">
IF($D64="정상",INDEX(임대자산!$D$3:$R$3000,MATCH($F64,임대자산!$I$3:$I$3000,0),MATCH(I$4,임대자산!$D$3:$R$3,0)),
IF($D64="폐업",INDEX(폐업정보!$D$3:$R$3000,MATCH($F64,폐업정보!$I$3:$I$3000,0),MATCH(I$4,폐업정보!$D$3:$R$3,0)),
"Error"))</f>
        <v>A0059</v>
      </c>
      <c r="J64" s="75" t="str">
        <f aca="false">
IF($D64="정상",INDEX(임대자산!$D$3:$R$3000,MATCH($F64,임대자산!$I$3:$I$3000,0),MATCH(J$4,임대자산!$D$3:$R$3,0)),
IF($D64="폐업",INDEX(폐업정보!$D$3:$R$3000,MATCH($F64,폐업정보!$I$3:$I$3000,0),MATCH(J$4,폐업정보!$D$3:$R$3,0)),
"Error"))</f>
        <v>8902700000</v>
      </c>
      <c r="K64" s="75" t="str">
        <f aca="false">
IF($D64="정상",INDEX(임대자산!$D$3:$R$3000,MATCH($F64,임대자산!$I$3:$I$3000,0),MATCH(K$4,임대자산!$D$3:$R$3,0)),
IF($D64="폐업",INDEX(폐업정보!$D$3:$R$3000,MATCH($F64,폐업정보!$I$3:$I$3000,0),MATCH(K$4,폐업정보!$D$3:$R$3,0)),
"Error"))</f>
        <v>C0059</v>
      </c>
      <c r="L64" s="75" t="str">
        <f aca="false">
IF($D64="정상",INDEX(임대자산!$D$3:$R$3000,MATCH($F64,임대자산!$I$3:$I$3000,0),MATCH(L$4,임대자산!$D$3:$R$3,0)),
IF($D64="폐업",INDEX(폐업정보!$D$3:$R$3000,MATCH($F64,폐업정보!$I$3:$I$3000,0),MATCH(L$4,폐업정보!$D$3:$R$3,0)),
"Error"))</f>
        <v>D0059</v>
      </c>
      <c r="M64" s="76" t="s">
        <v>96</v>
      </c>
      <c r="N64" s="77"/>
      <c r="O64" s="78" t="s">
        <v>97</v>
      </c>
      <c r="P64" s="79" t="n">
        <f aca="false">COUNTIFS(임대자산!$I:$I,가맹점정보!F64,임대자산!$N:$N,가맹점정보!P$4)</f>
        <v>1</v>
      </c>
      <c r="Q64" s="80" t="n">
        <f aca="false">COUNTIFS(임대자산!$I:$I,가맹점정보!F64,임대자산!$N:$N,가맹점정보!Q$4)</f>
        <v>0</v>
      </c>
      <c r="R64" s="81" t="n">
        <f aca="false">COUNTIFS(임대자산!$I:$I,가맹점정보!F64,임대자산!$N:$N,가맹점정보!R$4)</f>
        <v>0</v>
      </c>
      <c r="S64" s="82" t="n">
        <v>110000</v>
      </c>
      <c r="T64" s="83" t="n">
        <v>0</v>
      </c>
      <c r="U64" s="80" t="n">
        <f aca="false">SUM(S64:T64)</f>
        <v>110000</v>
      </c>
      <c r="V64" s="84" t="s">
        <v>12</v>
      </c>
      <c r="W64" s="80" t="e">
        <f aca="true">
IF(D64="폐업","폐업",
IF(V64="면제","면제",
IF(AND(V64="정상",COUNTIFS(OFFSET(Y64,0,COUNTA(Y64:AV64)-1,1,-4),"미납")&gt;=3),"장기미납",
IF(AND(V64="정상",OFFSET(Y64,0,COUNTA(Y64:AV64)-1)&gt;=U64),"정상",
IF(AND(V64="정상",OFFSET(Y64,0,COUNTA(Y64:AV64)-1)=0),"정상",
"계약서 미작성")))))</f>
        <v>#VALUE!</v>
      </c>
      <c r="X64" s="81" t="str">
        <f aca="true">
IF(D64="폐업","폐업",
IF(AND(V64="정상",OFFSET(Y64,0,COUNTA(Y64:AV64)-1)="미납"),"미납",
IF(AND(V64="정상",OFFSET(Y64,0,COUNTA(Y64:AV64)-1)=0),"납부 시작 전",
IF(AND(V64="정상",OFFSET(Y64,0,COUNTA(Y64:AV64)-1)&gt;=U64),"정상",
IF(AND(V64="면제",OFFSET(Y64,0,COUNTA(Y64:AV64)-1)="면제"),"면제",
IF(AND(V64="면제",OFFSET(Y64,0,COUNTA(Y64:AV64)-1)=0),"면제",
"확인요청"))))))</f>
        <v>정상</v>
      </c>
      <c r="Y64" s="93" t="n">
        <v>110000</v>
      </c>
      <c r="Z64" s="90" t="n">
        <v>110000</v>
      </c>
      <c r="AA64" s="90" t="n">
        <v>110000</v>
      </c>
      <c r="AB64" s="90" t="n">
        <v>110000</v>
      </c>
      <c r="AC64" s="90" t="n">
        <v>110000</v>
      </c>
      <c r="AD64" s="90" t="n">
        <v>110000</v>
      </c>
      <c r="AE64" s="90" t="n">
        <v>110000</v>
      </c>
      <c r="AF64" s="90" t="n">
        <v>110000</v>
      </c>
      <c r="AG64" s="90" t="n">
        <v>110000</v>
      </c>
      <c r="AH64" s="90" t="n">
        <v>110000</v>
      </c>
      <c r="AI64" s="90" t="n">
        <v>110000</v>
      </c>
      <c r="AJ64" s="91" t="n">
        <v>110000</v>
      </c>
      <c r="AK64" s="89" t="n">
        <v>110000</v>
      </c>
      <c r="AL64" s="90" t="n">
        <v>110000</v>
      </c>
      <c r="AM64" s="90"/>
      <c r="AN64" s="90"/>
      <c r="AO64" s="90"/>
      <c r="AP64" s="90"/>
      <c r="AQ64" s="90"/>
      <c r="AR64" s="90"/>
      <c r="AS64" s="90"/>
      <c r="AT64" s="90"/>
      <c r="AU64" s="90"/>
      <c r="AV64" s="91"/>
      <c r="AX64" s="92"/>
    </row>
    <row r="65" customFormat="false" ht="15.65" hidden="false" customHeight="false" outlineLevel="0" collapsed="false">
      <c r="C65" s="72" t="n">
        <f aca="false">COUNTIFS($D$6:D65,"&lt;&gt;"&amp;"")</f>
        <v>60</v>
      </c>
      <c r="D65" s="73" t="s">
        <v>12</v>
      </c>
      <c r="E65" s="76" t="str">
        <f aca="false">
IF($D65="정상",INDEX(임대자산!$D$3:$R$3000,MATCH($F65,임대자산!$I$3:$I$3000,0),MATCH(E$3,임대자산!$D$3:$R$3,0)),
IF($D65="폐업",INDEX(폐업정보!$D$3:$R$3000,MATCH($F65,폐업정보!$I$3:$I$3000,0),MATCH(E$3,폐업정보!$D$3:$R$3,0)),
"Error"))</f>
        <v>경상</v>
      </c>
      <c r="F6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B0060</v>
      </c>
      <c r="G65" s="76" t="str">
        <f aca="false">F65&amp;RANDBETWEEN(0,10)</f>
        <v>B00609</v>
      </c>
      <c r="H65" s="75" t="n">
        <f aca="false">
IF($D65="정상",INDEX(임대자산!$D$3:$R$3000,MATCH($F65,임대자산!$I$3:$I$3000,0),MATCH(H$4,임대자산!$D$3:$R$3,0)),
IF($D65="폐업",INDEX(폐업정보!$D$3:$R$3000,MATCH($F65,폐업정보!$I$3:$I$3000,0),MATCH(H$4,폐업정보!$D$3:$R$3,0)),
"Error"))</f>
        <v>44228</v>
      </c>
      <c r="I65" s="75" t="str">
        <f aca="false">
IF($D65="정상",INDEX(임대자산!$D$3:$R$3000,MATCH($F65,임대자산!$I$3:$I$3000,0),MATCH(I$4,임대자산!$D$3:$R$3,0)),
IF($D65="폐업",INDEX(폐업정보!$D$3:$R$3000,MATCH($F65,폐업정보!$I$3:$I$3000,0),MATCH(I$4,폐업정보!$D$3:$R$3,0)),
"Error"))</f>
        <v>A0060</v>
      </c>
      <c r="J65" s="75" t="str">
        <f aca="false">
IF($D65="정상",INDEX(임대자산!$D$3:$R$3000,MATCH($F65,임대자산!$I$3:$I$3000,0),MATCH(J$4,임대자산!$D$3:$R$3,0)),
IF($D65="폐업",INDEX(폐업정보!$D$3:$R$3000,MATCH($F65,폐업정보!$I$3:$I$3000,0),MATCH(J$4,폐업정보!$D$3:$R$3,0)),
"Error"))</f>
        <v>6968400000</v>
      </c>
      <c r="K65" s="75" t="str">
        <f aca="false">
IF($D65="정상",INDEX(임대자산!$D$3:$R$3000,MATCH($F65,임대자산!$I$3:$I$3000,0),MATCH(K$4,임대자산!$D$3:$R$3,0)),
IF($D65="폐업",INDEX(폐업정보!$D$3:$R$3000,MATCH($F65,폐업정보!$I$3:$I$3000,0),MATCH(K$4,폐업정보!$D$3:$R$3,0)),
"Error"))</f>
        <v>C0060</v>
      </c>
      <c r="L65" s="75" t="str">
        <f aca="false">
IF($D65="정상",INDEX(임대자산!$D$3:$R$3000,MATCH($F65,임대자산!$I$3:$I$3000,0),MATCH(L$4,임대자산!$D$3:$R$3,0)),
IF($D65="폐업",INDEX(폐업정보!$D$3:$R$3000,MATCH($F65,폐업정보!$I$3:$I$3000,0),MATCH(L$4,폐업정보!$D$3:$R$3,0)),
"Error"))</f>
        <v>D0060</v>
      </c>
      <c r="M65" s="76" t="s">
        <v>96</v>
      </c>
      <c r="N65" s="77"/>
      <c r="O65" s="78" t="s">
        <v>97</v>
      </c>
      <c r="P65" s="79" t="n">
        <f aca="false">COUNTIFS(임대자산!$I:$I,가맹점정보!F65,임대자산!$N:$N,가맹점정보!P$4)</f>
        <v>1</v>
      </c>
      <c r="Q65" s="80" t="n">
        <f aca="false">COUNTIFS(임대자산!$I:$I,가맹점정보!F65,임대자산!$N:$N,가맹점정보!Q$4)</f>
        <v>0</v>
      </c>
      <c r="R65" s="81" t="n">
        <f aca="false">COUNTIFS(임대자산!$I:$I,가맹점정보!F65,임대자산!$N:$N,가맹점정보!R$4)</f>
        <v>0</v>
      </c>
      <c r="S65" s="82" t="n">
        <v>88000</v>
      </c>
      <c r="T65" s="83" t="n">
        <v>0</v>
      </c>
      <c r="U65" s="80" t="n">
        <f aca="false">SUM(S65:T65)</f>
        <v>88000</v>
      </c>
      <c r="V65" s="84" t="s">
        <v>7</v>
      </c>
      <c r="W65" s="80" t="str">
        <f aca="true">
IF(D65="폐업","폐업",
IF(V65="면제","면제",
IF(AND(V65="정상",COUNTIFS(OFFSET(Y65,0,COUNTA(Y65:AV65)-1,1,-4),"미납")&gt;=3),"장기미납",
IF(AND(V65="정상",OFFSET(Y65,0,COUNTA(Y65:AV65)-1)&gt;=U65),"정상",
IF(AND(V65="정상",OFFSET(Y65,0,COUNTA(Y65:AV65)-1)=0),"정상",
"계약서 미작성")))))</f>
        <v>면제</v>
      </c>
      <c r="X65" s="81" t="str">
        <f aca="true">
IF(D65="폐업","폐업",
IF(AND(V65="정상",OFFSET(Y65,0,COUNTA(Y65:AV65)-1)="미납"),"미납",
IF(AND(V65="정상",OFFSET(Y65,0,COUNTA(Y65:AV65)-1)=0),"납부 시작 전",
IF(AND(V65="정상",OFFSET(Y65,0,COUNTA(Y65:AV65)-1)&gt;=U65),"정상",
IF(AND(V65="면제",OFFSET(Y65,0,COUNTA(Y65:AV65)-1)="면제"),"면제",
IF(AND(V65="면제",OFFSET(Y65,0,COUNTA(Y65:AV65)-1)=0),"면제",
"확인요청"))))))</f>
        <v>면제</v>
      </c>
      <c r="Y65" s="94" t="s">
        <v>7</v>
      </c>
      <c r="Z65" s="95" t="s">
        <v>7</v>
      </c>
      <c r="AA65" s="95" t="s">
        <v>7</v>
      </c>
      <c r="AB65" s="95" t="s">
        <v>7</v>
      </c>
      <c r="AC65" s="95" t="s">
        <v>7</v>
      </c>
      <c r="AD65" s="95" t="s">
        <v>7</v>
      </c>
      <c r="AE65" s="95" t="s">
        <v>7</v>
      </c>
      <c r="AF65" s="95" t="s">
        <v>7</v>
      </c>
      <c r="AG65" s="95" t="s">
        <v>7</v>
      </c>
      <c r="AH65" s="95" t="s">
        <v>7</v>
      </c>
      <c r="AI65" s="95" t="s">
        <v>7</v>
      </c>
      <c r="AJ65" s="96" t="s">
        <v>7</v>
      </c>
      <c r="AK65" s="97" t="s">
        <v>7</v>
      </c>
      <c r="AL65" s="95" t="s">
        <v>7</v>
      </c>
      <c r="AM65" s="90"/>
      <c r="AN65" s="90"/>
      <c r="AO65" s="90"/>
      <c r="AP65" s="90"/>
      <c r="AQ65" s="90"/>
      <c r="AR65" s="90"/>
      <c r="AS65" s="90"/>
      <c r="AT65" s="90"/>
      <c r="AU65" s="90"/>
      <c r="AV65" s="91"/>
      <c r="AX65" s="92"/>
    </row>
    <row r="66" customFormat="false" ht="15.65" hidden="false" customHeight="false" outlineLevel="0" collapsed="false">
      <c r="C66" s="72" t="n">
        <f aca="false">COUNTIFS($D$6:D66,"&lt;&gt;"&amp;"")</f>
        <v>61</v>
      </c>
      <c r="D66" s="73" t="s">
        <v>12</v>
      </c>
      <c r="E66" s="76" t="str">
        <f aca="false">
IF($D66="정상",INDEX(임대자산!$D$3:$R$3000,MATCH($F66,임대자산!$I$3:$I$3000,0),MATCH(E$3,임대자산!$D$3:$R$3,0)),
IF($D66="폐업",INDEX(폐업정보!$D$3:$R$3000,MATCH($F66,폐업정보!$I$3:$I$3000,0),MATCH(E$3,폐업정보!$D$3:$R$3,0)),
"Error"))</f>
        <v>전라</v>
      </c>
      <c r="F6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B0061</v>
      </c>
      <c r="G66" s="76" t="str">
        <f aca="false">F66&amp;RANDBETWEEN(0,10)</f>
        <v>B00610</v>
      </c>
      <c r="H66" s="75" t="n">
        <f aca="false">
IF($D66="정상",INDEX(임대자산!$D$3:$R$3000,MATCH($F66,임대자산!$I$3:$I$3000,0),MATCH(H$4,임대자산!$D$3:$R$3,0)),
IF($D66="폐업",INDEX(폐업정보!$D$3:$R$3000,MATCH($F66,폐업정보!$I$3:$I$3000,0),MATCH(H$4,폐업정보!$D$3:$R$3,0)),
"Error"))</f>
        <v>44258</v>
      </c>
      <c r="I66" s="75" t="str">
        <f aca="false">
IF($D66="정상",INDEX(임대자산!$D$3:$R$3000,MATCH($F66,임대자산!$I$3:$I$3000,0),MATCH(I$4,임대자산!$D$3:$R$3,0)),
IF($D66="폐업",INDEX(폐업정보!$D$3:$R$3000,MATCH($F66,폐업정보!$I$3:$I$3000,0),MATCH(I$4,폐업정보!$D$3:$R$3,0)),
"Error"))</f>
        <v>A0061</v>
      </c>
      <c r="J66" s="75" t="str">
        <f aca="false">
IF($D66="정상",INDEX(임대자산!$D$3:$R$3000,MATCH($F66,임대자산!$I$3:$I$3000,0),MATCH(J$4,임대자산!$D$3:$R$3,0)),
IF($D66="폐업",INDEX(폐업정보!$D$3:$R$3000,MATCH($F66,폐업정보!$I$3:$I$3000,0),MATCH(J$4,폐업정보!$D$3:$R$3,0)),
"Error"))</f>
        <v>7985200000</v>
      </c>
      <c r="K66" s="75" t="str">
        <f aca="false">
IF($D66="정상",INDEX(임대자산!$D$3:$R$3000,MATCH($F66,임대자산!$I$3:$I$3000,0),MATCH(K$4,임대자산!$D$3:$R$3,0)),
IF($D66="폐업",INDEX(폐업정보!$D$3:$R$3000,MATCH($F66,폐업정보!$I$3:$I$3000,0),MATCH(K$4,폐업정보!$D$3:$R$3,0)),
"Error"))</f>
        <v>C0061</v>
      </c>
      <c r="L66" s="75" t="str">
        <f aca="false">
IF($D66="정상",INDEX(임대자산!$D$3:$R$3000,MATCH($F66,임대자산!$I$3:$I$3000,0),MATCH(L$4,임대자산!$D$3:$R$3,0)),
IF($D66="폐업",INDEX(폐업정보!$D$3:$R$3000,MATCH($F66,폐업정보!$I$3:$I$3000,0),MATCH(L$4,폐업정보!$D$3:$R$3,0)),
"Error"))</f>
        <v>D0061</v>
      </c>
      <c r="M66" s="76" t="s">
        <v>96</v>
      </c>
      <c r="N66" s="77"/>
      <c r="O66" s="78" t="s">
        <v>97</v>
      </c>
      <c r="P66" s="79" t="n">
        <f aca="false">COUNTIFS(임대자산!$I:$I,가맹점정보!F66,임대자산!$N:$N,가맹점정보!P$4)</f>
        <v>1</v>
      </c>
      <c r="Q66" s="80" t="n">
        <f aca="false">COUNTIFS(임대자산!$I:$I,가맹점정보!F66,임대자산!$N:$N,가맹점정보!Q$4)</f>
        <v>0</v>
      </c>
      <c r="R66" s="81" t="n">
        <f aca="false">COUNTIFS(임대자산!$I:$I,가맹점정보!F66,임대자산!$N:$N,가맹점정보!R$4)</f>
        <v>0</v>
      </c>
      <c r="S66" s="82" t="n">
        <v>110000</v>
      </c>
      <c r="T66" s="83" t="n">
        <v>0</v>
      </c>
      <c r="U66" s="80" t="n">
        <f aca="false">SUM(S66:T66)</f>
        <v>110000</v>
      </c>
      <c r="V66" s="84" t="s">
        <v>12</v>
      </c>
      <c r="W66" s="80" t="e">
        <f aca="true">
IF(D66="폐업","폐업",
IF(V66="면제","면제",
IF(AND(V66="정상",COUNTIFS(OFFSET(Y66,0,COUNTA(Y66:AV66)-1,1,-4),"미납")&gt;=3),"장기미납",
IF(AND(V66="정상",OFFSET(Y66,0,COUNTA(Y66:AV66)-1)&gt;=U66),"정상",
IF(AND(V66="정상",OFFSET(Y66,0,COUNTA(Y66:AV66)-1)=0),"정상",
"계약서 미작성")))))</f>
        <v>#VALUE!</v>
      </c>
      <c r="X66" s="81" t="str">
        <f aca="true">
IF(D66="폐업","폐업",
IF(AND(V66="정상",OFFSET(Y66,0,COUNTA(Y66:AV66)-1)="미납"),"미납",
IF(AND(V66="정상",OFFSET(Y66,0,COUNTA(Y66:AV66)-1)=0),"납부 시작 전",
IF(AND(V66="정상",OFFSET(Y66,0,COUNTA(Y66:AV66)-1)&gt;=U66),"정상",
IF(AND(V66="면제",OFFSET(Y66,0,COUNTA(Y66:AV66)-1)="면제"),"면제",
IF(AND(V66="면제",OFFSET(Y66,0,COUNTA(Y66:AV66)-1)=0),"면제",
"확인요청"))))))</f>
        <v>정상</v>
      </c>
      <c r="Y66" s="93" t="n">
        <v>110000</v>
      </c>
      <c r="Z66" s="90" t="n">
        <v>110000</v>
      </c>
      <c r="AA66" s="90" t="n">
        <v>110000</v>
      </c>
      <c r="AB66" s="90" t="n">
        <v>110000</v>
      </c>
      <c r="AC66" s="90" t="n">
        <v>110000</v>
      </c>
      <c r="AD66" s="90" t="n">
        <v>110000</v>
      </c>
      <c r="AE66" s="90" t="n">
        <v>110000</v>
      </c>
      <c r="AF66" s="90" t="n">
        <v>110000</v>
      </c>
      <c r="AG66" s="90" t="n">
        <v>110000</v>
      </c>
      <c r="AH66" s="90" t="n">
        <v>110000</v>
      </c>
      <c r="AI66" s="90" t="n">
        <v>110000</v>
      </c>
      <c r="AJ66" s="91" t="n">
        <v>110000</v>
      </c>
      <c r="AK66" s="89" t="n">
        <v>110000</v>
      </c>
      <c r="AL66" s="90" t="n">
        <v>110000</v>
      </c>
      <c r="AM66" s="90"/>
      <c r="AN66" s="90"/>
      <c r="AO66" s="90"/>
      <c r="AP66" s="90"/>
      <c r="AQ66" s="90"/>
      <c r="AR66" s="90"/>
      <c r="AS66" s="90"/>
      <c r="AT66" s="90"/>
      <c r="AU66" s="90"/>
      <c r="AV66" s="91"/>
      <c r="AX66" s="92"/>
    </row>
    <row r="67" customFormat="false" ht="15.65" hidden="false" customHeight="false" outlineLevel="0" collapsed="false">
      <c r="C67" s="72" t="n">
        <f aca="false">COUNTIFS($D$6:D67,"&lt;&gt;"&amp;"")</f>
        <v>62</v>
      </c>
      <c r="D67" s="73" t="s">
        <v>12</v>
      </c>
      <c r="E67" s="76" t="str">
        <f aca="false">
IF($D67="정상",INDEX(임대자산!$D$3:$R$3000,MATCH($F67,임대자산!$I$3:$I$3000,0),MATCH(E$3,임대자산!$D$3:$R$3,0)),
IF($D67="폐업",INDEX(폐업정보!$D$3:$R$3000,MATCH($F67,폐업정보!$I$3:$I$3000,0),MATCH(E$3,폐업정보!$D$3:$R$3,0)),
"Error"))</f>
        <v>경기</v>
      </c>
      <c r="F6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B0062</v>
      </c>
      <c r="G67" s="76" t="str">
        <f aca="false">F67&amp;RANDBETWEEN(0,10)</f>
        <v>B00626</v>
      </c>
      <c r="H67" s="75" t="n">
        <f aca="false">
IF($D67="정상",INDEX(임대자산!$D$3:$R$3000,MATCH($F67,임대자산!$I$3:$I$3000,0),MATCH(H$4,임대자산!$D$3:$R$3,0)),
IF($D67="폐업",INDEX(폐업정보!$D$3:$R$3000,MATCH($F67,폐업정보!$I$3:$I$3000,0),MATCH(H$4,폐업정보!$D$3:$R$3,0)),
"Error"))</f>
        <v>45163</v>
      </c>
      <c r="I67" s="75" t="str">
        <f aca="false">
IF($D67="정상",INDEX(임대자산!$D$3:$R$3000,MATCH($F67,임대자산!$I$3:$I$3000,0),MATCH(I$4,임대자산!$D$3:$R$3,0)),
IF($D67="폐업",INDEX(폐업정보!$D$3:$R$3000,MATCH($F67,폐업정보!$I$3:$I$3000,0),MATCH(I$4,폐업정보!$D$3:$R$3,0)),
"Error"))</f>
        <v>A0062</v>
      </c>
      <c r="J67" s="75" t="str">
        <f aca="false">
IF($D67="정상",INDEX(임대자산!$D$3:$R$3000,MATCH($F67,임대자산!$I$3:$I$3000,0),MATCH(J$4,임대자산!$D$3:$R$3,0)),
IF($D67="폐업",INDEX(폐업정보!$D$3:$R$3000,MATCH($F67,폐업정보!$I$3:$I$3000,0),MATCH(J$4,폐업정보!$D$3:$R$3,0)),
"Error"))</f>
        <v>3241200000</v>
      </c>
      <c r="K67" s="75" t="str">
        <f aca="false">
IF($D67="정상",INDEX(임대자산!$D$3:$R$3000,MATCH($F67,임대자산!$I$3:$I$3000,0),MATCH(K$4,임대자산!$D$3:$R$3,0)),
IF($D67="폐업",INDEX(폐업정보!$D$3:$R$3000,MATCH($F67,폐업정보!$I$3:$I$3000,0),MATCH(K$4,폐업정보!$D$3:$R$3,0)),
"Error"))</f>
        <v>C0062</v>
      </c>
      <c r="L67" s="75" t="str">
        <f aca="false">
IF($D67="정상",INDEX(임대자산!$D$3:$R$3000,MATCH($F67,임대자산!$I$3:$I$3000,0),MATCH(L$4,임대자산!$D$3:$R$3,0)),
IF($D67="폐업",INDEX(폐업정보!$D$3:$R$3000,MATCH($F67,폐업정보!$I$3:$I$3000,0),MATCH(L$4,폐업정보!$D$3:$R$3,0)),
"Error"))</f>
        <v>D0062</v>
      </c>
      <c r="M67" s="76" t="s">
        <v>96</v>
      </c>
      <c r="N67" s="77"/>
      <c r="O67" s="78" t="s">
        <v>97</v>
      </c>
      <c r="P67" s="79" t="n">
        <f aca="false">COUNTIFS(임대자산!$I:$I,가맹점정보!F67,임대자산!$N:$N,가맹점정보!P$4)</f>
        <v>1</v>
      </c>
      <c r="Q67" s="80" t="n">
        <f aca="false">COUNTIFS(임대자산!$I:$I,가맹점정보!F67,임대자산!$N:$N,가맹점정보!Q$4)</f>
        <v>0</v>
      </c>
      <c r="R67" s="81" t="n">
        <f aca="false">COUNTIFS(임대자산!$I:$I,가맹점정보!F67,임대자산!$N:$N,가맹점정보!R$4)</f>
        <v>0</v>
      </c>
      <c r="S67" s="82" t="n">
        <v>55000</v>
      </c>
      <c r="T67" s="83" t="n">
        <v>0</v>
      </c>
      <c r="U67" s="80" t="n">
        <f aca="false">SUM(S67:T67)</f>
        <v>55000</v>
      </c>
      <c r="V67" s="84" t="s">
        <v>12</v>
      </c>
      <c r="W67" s="80" t="e">
        <f aca="true">
IF(D67="폐업","폐업",
IF(V67="면제","면제",
IF(AND(V67="정상",COUNTIFS(OFFSET(Y67,0,COUNTA(Y67:AV67)-1,1,-4),"미납")&gt;=3),"장기미납",
IF(AND(V67="정상",OFFSET(Y67,0,COUNTA(Y67:AV67)-1)&gt;=U67),"정상",
IF(AND(V67="정상",OFFSET(Y67,0,COUNTA(Y67:AV67)-1)=0),"정상",
"계약서 미작성")))))</f>
        <v>#VALUE!</v>
      </c>
      <c r="X67" s="81" t="str">
        <f aca="true">
IF(D67="폐업","폐업",
IF(AND(V67="정상",OFFSET(Y67,0,COUNTA(Y67:AV67)-1)="미납"),"미납",
IF(AND(V67="정상",OFFSET(Y67,0,COUNTA(Y67:AV67)-1)=0),"납부 시작 전",
IF(AND(V67="정상",OFFSET(Y67,0,COUNTA(Y67:AV67)-1)&gt;=U67),"정상",
IF(AND(V67="면제",OFFSET(Y67,0,COUNTA(Y67:AV67)-1)="면제"),"면제",
IF(AND(V67="면제",OFFSET(Y67,0,COUNTA(Y67:AV67)-1)=0),"면제",
"확인요청"))))))</f>
        <v>정상</v>
      </c>
      <c r="Y67" s="93" t="n">
        <v>55000</v>
      </c>
      <c r="Z67" s="90" t="n">
        <v>55000</v>
      </c>
      <c r="AA67" s="90" t="n">
        <v>55000</v>
      </c>
      <c r="AB67" s="90" t="n">
        <v>55000</v>
      </c>
      <c r="AC67" s="90" t="n">
        <v>55000</v>
      </c>
      <c r="AD67" s="90" t="n">
        <v>55000</v>
      </c>
      <c r="AE67" s="90" t="n">
        <v>55000</v>
      </c>
      <c r="AF67" s="90" t="n">
        <v>55000</v>
      </c>
      <c r="AG67" s="90" t="n">
        <v>55000</v>
      </c>
      <c r="AH67" s="90" t="n">
        <v>55000</v>
      </c>
      <c r="AI67" s="90" t="n">
        <v>55000</v>
      </c>
      <c r="AJ67" s="91" t="n">
        <v>55000</v>
      </c>
      <c r="AK67" s="89" t="n">
        <v>55000</v>
      </c>
      <c r="AL67" s="90" t="n">
        <v>55000</v>
      </c>
      <c r="AM67" s="90"/>
      <c r="AN67" s="90"/>
      <c r="AO67" s="90"/>
      <c r="AP67" s="90"/>
      <c r="AQ67" s="90"/>
      <c r="AR67" s="90"/>
      <c r="AS67" s="90"/>
      <c r="AT67" s="90"/>
      <c r="AU67" s="90"/>
      <c r="AV67" s="91"/>
      <c r="AX67" s="92"/>
    </row>
    <row r="68" customFormat="false" ht="15.65" hidden="false" customHeight="false" outlineLevel="0" collapsed="false">
      <c r="C68" s="72" t="n">
        <f aca="false">COUNTIFS($D$6:D68,"&lt;&gt;"&amp;"")</f>
        <v>63</v>
      </c>
      <c r="D68" s="73" t="s">
        <v>12</v>
      </c>
      <c r="E68" s="76" t="str">
        <f aca="false">
IF($D68="정상",INDEX(임대자산!$D$3:$R$3000,MATCH($F68,임대자산!$I$3:$I$3000,0),MATCH(E$3,임대자산!$D$3:$R$3,0)),
IF($D68="폐업",INDEX(폐업정보!$D$3:$R$3000,MATCH($F68,폐업정보!$I$3:$I$3000,0),MATCH(E$3,폐업정보!$D$3:$R$3,0)),
"Error"))</f>
        <v>강원</v>
      </c>
      <c r="F6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B0063</v>
      </c>
      <c r="G68" s="76" t="str">
        <f aca="false">F68&amp;RANDBETWEEN(0,10)</f>
        <v>B00637</v>
      </c>
      <c r="H68" s="75" t="n">
        <f aca="false">
IF($D68="정상",INDEX(임대자산!$D$3:$R$3000,MATCH($F68,임대자산!$I$3:$I$3000,0),MATCH(H$4,임대자산!$D$3:$R$3,0)),
IF($D68="폐업",INDEX(폐업정보!$D$3:$R$3000,MATCH($F68,폐업정보!$I$3:$I$3000,0),MATCH(H$4,폐업정보!$D$3:$R$3,0)),
"Error"))</f>
        <v>44005</v>
      </c>
      <c r="I68" s="75" t="str">
        <f aca="false">
IF($D68="정상",INDEX(임대자산!$D$3:$R$3000,MATCH($F68,임대자산!$I$3:$I$3000,0),MATCH(I$4,임대자산!$D$3:$R$3,0)),
IF($D68="폐업",INDEX(폐업정보!$D$3:$R$3000,MATCH($F68,폐업정보!$I$3:$I$3000,0),MATCH(I$4,폐업정보!$D$3:$R$3,0)),
"Error"))</f>
        <v>A0063</v>
      </c>
      <c r="J68" s="75" t="str">
        <f aca="false">
IF($D68="정상",INDEX(임대자산!$D$3:$R$3000,MATCH($F68,임대자산!$I$3:$I$3000,0),MATCH(J$4,임대자산!$D$3:$R$3,0)),
IF($D68="폐업",INDEX(폐업정보!$D$3:$R$3000,MATCH($F68,폐업정보!$I$3:$I$3000,0),MATCH(J$4,폐업정보!$D$3:$R$3,0)),
"Error"))</f>
        <v>2999300000</v>
      </c>
      <c r="K68" s="75" t="str">
        <f aca="false">
IF($D68="정상",INDEX(임대자산!$D$3:$R$3000,MATCH($F68,임대자산!$I$3:$I$3000,0),MATCH(K$4,임대자산!$D$3:$R$3,0)),
IF($D68="폐업",INDEX(폐업정보!$D$3:$R$3000,MATCH($F68,폐업정보!$I$3:$I$3000,0),MATCH(K$4,폐업정보!$D$3:$R$3,0)),
"Error"))</f>
        <v>C0063</v>
      </c>
      <c r="L68" s="75" t="str">
        <f aca="false">
IF($D68="정상",INDEX(임대자산!$D$3:$R$3000,MATCH($F68,임대자산!$I$3:$I$3000,0),MATCH(L$4,임대자산!$D$3:$R$3,0)),
IF($D68="폐업",INDEX(폐업정보!$D$3:$R$3000,MATCH($F68,폐업정보!$I$3:$I$3000,0),MATCH(L$4,폐업정보!$D$3:$R$3,0)),
"Error"))</f>
        <v>D0063</v>
      </c>
      <c r="M68" s="76" t="s">
        <v>96</v>
      </c>
      <c r="N68" s="77"/>
      <c r="O68" s="78" t="s">
        <v>97</v>
      </c>
      <c r="P68" s="79" t="n">
        <f aca="false">COUNTIFS(임대자산!$I:$I,가맹점정보!F68,임대자산!$N:$N,가맹점정보!P$4)</f>
        <v>1</v>
      </c>
      <c r="Q68" s="80" t="n">
        <f aca="false">COUNTIFS(임대자산!$I:$I,가맹점정보!F68,임대자산!$N:$N,가맹점정보!Q$4)</f>
        <v>0</v>
      </c>
      <c r="R68" s="81" t="n">
        <f aca="false">COUNTIFS(임대자산!$I:$I,가맹점정보!F68,임대자산!$N:$N,가맹점정보!R$4)</f>
        <v>0</v>
      </c>
      <c r="S68" s="82" t="n">
        <v>55000</v>
      </c>
      <c r="T68" s="83" t="n">
        <v>0</v>
      </c>
      <c r="U68" s="80" t="n">
        <f aca="false">SUM(S68:T68)</f>
        <v>55000</v>
      </c>
      <c r="V68" s="84" t="s">
        <v>12</v>
      </c>
      <c r="W68" s="80" t="e">
        <f aca="true">
IF(D68="폐업","폐업",
IF(V68="면제","면제",
IF(AND(V68="정상",COUNTIFS(OFFSET(Y68,0,COUNTA(Y68:AV68)-1,1,-4),"미납")&gt;=3),"장기미납",
IF(AND(V68="정상",OFFSET(Y68,0,COUNTA(Y68:AV68)-1)&gt;=U68),"정상",
IF(AND(V68="정상",OFFSET(Y68,0,COUNTA(Y68:AV68)-1)=0),"정상",
"계약서 미작성")))))</f>
        <v>#VALUE!</v>
      </c>
      <c r="X68" s="81" t="str">
        <f aca="true">
IF(D68="폐업","폐업",
IF(AND(V68="정상",OFFSET(Y68,0,COUNTA(Y68:AV68)-1)="미납"),"미납",
IF(AND(V68="정상",OFFSET(Y68,0,COUNTA(Y68:AV68)-1)=0),"납부 시작 전",
IF(AND(V68="정상",OFFSET(Y68,0,COUNTA(Y68:AV68)-1)&gt;=U68),"정상",
IF(AND(V68="면제",OFFSET(Y68,0,COUNTA(Y68:AV68)-1)="면제"),"면제",
IF(AND(V68="면제",OFFSET(Y68,0,COUNTA(Y68:AV68)-1)=0),"면제",
"확인요청"))))))</f>
        <v>정상</v>
      </c>
      <c r="Y68" s="94" t="s">
        <v>62</v>
      </c>
      <c r="Z68" s="95" t="s">
        <v>62</v>
      </c>
      <c r="AA68" s="90" t="n">
        <v>55000</v>
      </c>
      <c r="AB68" s="90" t="n">
        <v>55000</v>
      </c>
      <c r="AC68" s="90" t="n">
        <v>55000</v>
      </c>
      <c r="AD68" s="90" t="n">
        <v>55000</v>
      </c>
      <c r="AE68" s="90" t="n">
        <v>55000</v>
      </c>
      <c r="AF68" s="90" t="n">
        <v>55000</v>
      </c>
      <c r="AG68" s="90" t="n">
        <v>55000</v>
      </c>
      <c r="AH68" s="90" t="n">
        <v>55000</v>
      </c>
      <c r="AI68" s="90" t="n">
        <v>55000</v>
      </c>
      <c r="AJ68" s="91" t="n">
        <v>55000</v>
      </c>
      <c r="AK68" s="89" t="n">
        <v>55000</v>
      </c>
      <c r="AL68" s="90" t="n">
        <v>55000</v>
      </c>
      <c r="AM68" s="90"/>
      <c r="AN68" s="90"/>
      <c r="AO68" s="90"/>
      <c r="AP68" s="90"/>
      <c r="AQ68" s="90"/>
      <c r="AR68" s="90"/>
      <c r="AS68" s="90"/>
      <c r="AT68" s="90"/>
      <c r="AU68" s="90"/>
      <c r="AV68" s="91"/>
      <c r="AX68" s="92"/>
    </row>
    <row r="69" customFormat="false" ht="15.65" hidden="false" customHeight="false" outlineLevel="0" collapsed="false">
      <c r="C69" s="72" t="n">
        <f aca="false">COUNTIFS($D$6:D69,"&lt;&gt;"&amp;"")</f>
        <v>64</v>
      </c>
      <c r="D69" s="73" t="s">
        <v>12</v>
      </c>
      <c r="E69" s="76" t="str">
        <f aca="false">
IF($D69="정상",INDEX(임대자산!$D$3:$R$3000,MATCH($F69,임대자산!$I$3:$I$3000,0),MATCH(E$3,임대자산!$D$3:$R$3,0)),
IF($D69="폐업",INDEX(폐업정보!$D$3:$R$3000,MATCH($F69,폐업정보!$I$3:$I$3000,0),MATCH(E$3,폐업정보!$D$3:$R$3,0)),
"Error"))</f>
        <v>서울</v>
      </c>
      <c r="F6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B0064</v>
      </c>
      <c r="G69" s="76" t="str">
        <f aca="false">F69&amp;RANDBETWEEN(0,10)</f>
        <v>B00645</v>
      </c>
      <c r="H69" s="75" t="n">
        <f aca="false">
IF($D69="정상",INDEX(임대자산!$D$3:$R$3000,MATCH($F69,임대자산!$I$3:$I$3000,0),MATCH(H$4,임대자산!$D$3:$R$3,0)),
IF($D69="폐업",INDEX(폐업정보!$D$3:$R$3000,MATCH($F69,폐업정보!$I$3:$I$3000,0),MATCH(H$4,폐업정보!$D$3:$R$3,0)),
"Error"))</f>
        <v>43971</v>
      </c>
      <c r="I69" s="75" t="str">
        <f aca="false">
IF($D69="정상",INDEX(임대자산!$D$3:$R$3000,MATCH($F69,임대자산!$I$3:$I$3000,0),MATCH(I$4,임대자산!$D$3:$R$3,0)),
IF($D69="폐업",INDEX(폐업정보!$D$3:$R$3000,MATCH($F69,폐업정보!$I$3:$I$3000,0),MATCH(I$4,폐업정보!$D$3:$R$3,0)),
"Error"))</f>
        <v>A0064</v>
      </c>
      <c r="J69" s="75" t="str">
        <f aca="false">
IF($D69="정상",INDEX(임대자산!$D$3:$R$3000,MATCH($F69,임대자산!$I$3:$I$3000,0),MATCH(J$4,임대자산!$D$3:$R$3,0)),
IF($D69="폐업",INDEX(폐업정보!$D$3:$R$3000,MATCH($F69,폐업정보!$I$3:$I$3000,0),MATCH(J$4,폐업정보!$D$3:$R$3,0)),
"Error"))</f>
        <v>5317400000</v>
      </c>
      <c r="K69" s="75" t="str">
        <f aca="false">
IF($D69="정상",INDEX(임대자산!$D$3:$R$3000,MATCH($F69,임대자산!$I$3:$I$3000,0),MATCH(K$4,임대자산!$D$3:$R$3,0)),
IF($D69="폐업",INDEX(폐업정보!$D$3:$R$3000,MATCH($F69,폐업정보!$I$3:$I$3000,0),MATCH(K$4,폐업정보!$D$3:$R$3,0)),
"Error"))</f>
        <v>C0064</v>
      </c>
      <c r="L69" s="75" t="str">
        <f aca="false">
IF($D69="정상",INDEX(임대자산!$D$3:$R$3000,MATCH($F69,임대자산!$I$3:$I$3000,0),MATCH(L$4,임대자산!$D$3:$R$3,0)),
IF($D69="폐업",INDEX(폐업정보!$D$3:$R$3000,MATCH($F69,폐업정보!$I$3:$I$3000,0),MATCH(L$4,폐업정보!$D$3:$R$3,0)),
"Error"))</f>
        <v>D0064</v>
      </c>
      <c r="M69" s="76" t="s">
        <v>96</v>
      </c>
      <c r="N69" s="77"/>
      <c r="O69" s="78" t="s">
        <v>97</v>
      </c>
      <c r="P69" s="79" t="n">
        <f aca="false">COUNTIFS(임대자산!$I:$I,가맹점정보!F69,임대자산!$N:$N,가맹점정보!P$4)</f>
        <v>1</v>
      </c>
      <c r="Q69" s="80" t="n">
        <f aca="false">COUNTIFS(임대자산!$I:$I,가맹점정보!F69,임대자산!$N:$N,가맹점정보!Q$4)</f>
        <v>0</v>
      </c>
      <c r="R69" s="81" t="n">
        <f aca="false">COUNTIFS(임대자산!$I:$I,가맹점정보!F69,임대자산!$N:$N,가맹점정보!R$4)</f>
        <v>0</v>
      </c>
      <c r="S69" s="82" t="n">
        <v>55000</v>
      </c>
      <c r="T69" s="83" t="n">
        <v>0</v>
      </c>
      <c r="U69" s="80" t="n">
        <f aca="false">SUM(S69:T69)</f>
        <v>55000</v>
      </c>
      <c r="V69" s="84" t="s">
        <v>7</v>
      </c>
      <c r="W69" s="80" t="str">
        <f aca="true">
IF(D69="폐업","폐업",
IF(V69="면제","면제",
IF(AND(V69="정상",COUNTIFS(OFFSET(Y69,0,COUNTA(Y69:AV69)-1,1,-4),"미납")&gt;=3),"장기미납",
IF(AND(V69="정상",OFFSET(Y69,0,COUNTA(Y69:AV69)-1)&gt;=U69),"정상",
IF(AND(V69="정상",OFFSET(Y69,0,COUNTA(Y69:AV69)-1)=0),"정상",
"계약서 미작성")))))</f>
        <v>면제</v>
      </c>
      <c r="X69" s="81" t="str">
        <f aca="true">
IF(D69="폐업","폐업",
IF(AND(V69="정상",OFFSET(Y69,0,COUNTA(Y69:AV69)-1)="미납"),"미납",
IF(AND(V69="정상",OFFSET(Y69,0,COUNTA(Y69:AV69)-1)=0),"납부 시작 전",
IF(AND(V69="정상",OFFSET(Y69,0,COUNTA(Y69:AV69)-1)&gt;=U69),"정상",
IF(AND(V69="면제",OFFSET(Y69,0,COUNTA(Y69:AV69)-1)="면제"),"면제",
IF(AND(V69="면제",OFFSET(Y69,0,COUNTA(Y69:AV69)-1)=0),"면제",
"확인요청"))))))</f>
        <v>면제</v>
      </c>
      <c r="Y69" s="94" t="s">
        <v>7</v>
      </c>
      <c r="Z69" s="95" t="s">
        <v>7</v>
      </c>
      <c r="AA69" s="95" t="s">
        <v>7</v>
      </c>
      <c r="AB69" s="95" t="s">
        <v>7</v>
      </c>
      <c r="AC69" s="95" t="s">
        <v>7</v>
      </c>
      <c r="AD69" s="95" t="s">
        <v>7</v>
      </c>
      <c r="AE69" s="95" t="s">
        <v>7</v>
      </c>
      <c r="AF69" s="95" t="s">
        <v>7</v>
      </c>
      <c r="AG69" s="95" t="s">
        <v>7</v>
      </c>
      <c r="AH69" s="95" t="s">
        <v>7</v>
      </c>
      <c r="AI69" s="95" t="s">
        <v>7</v>
      </c>
      <c r="AJ69" s="96" t="s">
        <v>7</v>
      </c>
      <c r="AK69" s="97" t="s">
        <v>7</v>
      </c>
      <c r="AL69" s="95" t="s">
        <v>7</v>
      </c>
      <c r="AM69" s="90"/>
      <c r="AN69" s="90"/>
      <c r="AO69" s="90"/>
      <c r="AP69" s="90"/>
      <c r="AQ69" s="90"/>
      <c r="AR69" s="90"/>
      <c r="AS69" s="90"/>
      <c r="AT69" s="90"/>
      <c r="AU69" s="90"/>
      <c r="AV69" s="91"/>
      <c r="AX69" s="92"/>
    </row>
    <row r="70" customFormat="false" ht="15.65" hidden="false" customHeight="false" outlineLevel="0" collapsed="false">
      <c r="C70" s="72" t="n">
        <f aca="false">COUNTIFS($D$6:D70,"&lt;&gt;"&amp;"")</f>
        <v>65</v>
      </c>
      <c r="D70" s="73" t="s">
        <v>12</v>
      </c>
      <c r="E70" s="76" t="str">
        <f aca="false">
IF($D70="정상",INDEX(임대자산!$D$3:$R$3000,MATCH($F70,임대자산!$I$3:$I$3000,0),MATCH(E$3,임대자산!$D$3:$R$3,0)),
IF($D70="폐업",INDEX(폐업정보!$D$3:$R$3000,MATCH($F70,폐업정보!$I$3:$I$3000,0),MATCH(E$3,폐업정보!$D$3:$R$3,0)),
"Error"))</f>
        <v>경상</v>
      </c>
      <c r="F7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B0065</v>
      </c>
      <c r="G70" s="76" t="str">
        <f aca="false">F70&amp;RANDBETWEEN(0,10)</f>
        <v>B00655</v>
      </c>
      <c r="H70" s="75" t="n">
        <f aca="false">
IF($D70="정상",INDEX(임대자산!$D$3:$R$3000,MATCH($F70,임대자산!$I$3:$I$3000,0),MATCH(H$4,임대자산!$D$3:$R$3,0)),
IF($D70="폐업",INDEX(폐업정보!$D$3:$R$3000,MATCH($F70,폐업정보!$I$3:$I$3000,0),MATCH(H$4,폐업정보!$D$3:$R$3,0)),
"Error"))</f>
        <v>43474</v>
      </c>
      <c r="I70" s="75" t="str">
        <f aca="false">
IF($D70="정상",INDEX(임대자산!$D$3:$R$3000,MATCH($F70,임대자산!$I$3:$I$3000,0),MATCH(I$4,임대자산!$D$3:$R$3,0)),
IF($D70="폐업",INDEX(폐업정보!$D$3:$R$3000,MATCH($F70,폐업정보!$I$3:$I$3000,0),MATCH(I$4,폐업정보!$D$3:$R$3,0)),
"Error"))</f>
        <v>A0065</v>
      </c>
      <c r="J70" s="75" t="str">
        <f aca="false">
IF($D70="정상",INDEX(임대자산!$D$3:$R$3000,MATCH($F70,임대자산!$I$3:$I$3000,0),MATCH(J$4,임대자산!$D$3:$R$3,0)),
IF($D70="폐업",INDEX(폐업정보!$D$3:$R$3000,MATCH($F70,폐업정보!$I$3:$I$3000,0),MATCH(J$4,폐업정보!$D$3:$R$3,0)),
"Error"))</f>
        <v>2993100000</v>
      </c>
      <c r="K70" s="75" t="str">
        <f aca="false">
IF($D70="정상",INDEX(임대자산!$D$3:$R$3000,MATCH($F70,임대자산!$I$3:$I$3000,0),MATCH(K$4,임대자산!$D$3:$R$3,0)),
IF($D70="폐업",INDEX(폐업정보!$D$3:$R$3000,MATCH($F70,폐업정보!$I$3:$I$3000,0),MATCH(K$4,폐업정보!$D$3:$R$3,0)),
"Error"))</f>
        <v>C0065</v>
      </c>
      <c r="L70" s="75" t="str">
        <f aca="false">
IF($D70="정상",INDEX(임대자산!$D$3:$R$3000,MATCH($F70,임대자산!$I$3:$I$3000,0),MATCH(L$4,임대자산!$D$3:$R$3,0)),
IF($D70="폐업",INDEX(폐업정보!$D$3:$R$3000,MATCH($F70,폐업정보!$I$3:$I$3000,0),MATCH(L$4,폐업정보!$D$3:$R$3,0)),
"Error"))</f>
        <v>D0065</v>
      </c>
      <c r="M70" s="76" t="s">
        <v>96</v>
      </c>
      <c r="N70" s="77"/>
      <c r="O70" s="78" t="s">
        <v>97</v>
      </c>
      <c r="P70" s="79" t="n">
        <f aca="false">COUNTIFS(임대자산!$I:$I,가맹점정보!F70,임대자산!$N:$N,가맹점정보!P$4)</f>
        <v>1</v>
      </c>
      <c r="Q70" s="80" t="n">
        <f aca="false">COUNTIFS(임대자산!$I:$I,가맹점정보!F70,임대자산!$N:$N,가맹점정보!Q$4)</f>
        <v>0</v>
      </c>
      <c r="R70" s="81" t="n">
        <f aca="false">COUNTIFS(임대자산!$I:$I,가맹점정보!F70,임대자산!$N:$N,가맹점정보!R$4)</f>
        <v>0</v>
      </c>
      <c r="S70" s="82" t="n">
        <v>55000</v>
      </c>
      <c r="T70" s="83" t="n">
        <v>0</v>
      </c>
      <c r="U70" s="80" t="n">
        <f aca="false">SUM(S70:T70)</f>
        <v>55000</v>
      </c>
      <c r="V70" s="84" t="s">
        <v>12</v>
      </c>
      <c r="W70" s="80" t="e">
        <f aca="true">
IF(D70="폐업","폐업",
IF(V70="면제","면제",
IF(AND(V70="정상",COUNTIFS(OFFSET(Y70,0,COUNTA(Y70:AV70)-1,1,-4),"미납")&gt;=3),"장기미납",
IF(AND(V70="정상",OFFSET(Y70,0,COUNTA(Y70:AV70)-1)&gt;=U70),"정상",
IF(AND(V70="정상",OFFSET(Y70,0,COUNTA(Y70:AV70)-1)=0),"정상",
"계약서 미작성")))))</f>
        <v>#VALUE!</v>
      </c>
      <c r="X70" s="81" t="str">
        <f aca="true">
IF(D70="폐업","폐업",
IF(AND(V70="정상",OFFSET(Y70,0,COUNTA(Y70:AV70)-1)="미납"),"미납",
IF(AND(V70="정상",OFFSET(Y70,0,COUNTA(Y70:AV70)-1)=0),"납부 시작 전",
IF(AND(V70="정상",OFFSET(Y70,0,COUNTA(Y70:AV70)-1)&gt;=U70),"정상",
IF(AND(V70="면제",OFFSET(Y70,0,COUNTA(Y70:AV70)-1)="면제"),"면제",
IF(AND(V70="면제",OFFSET(Y70,0,COUNTA(Y70:AV70)-1)=0),"면제",
"확인요청"))))))</f>
        <v>정상</v>
      </c>
      <c r="Y70" s="93" t="n">
        <v>55000</v>
      </c>
      <c r="Z70" s="90" t="n">
        <v>55000</v>
      </c>
      <c r="AA70" s="90" t="n">
        <v>55000</v>
      </c>
      <c r="AB70" s="90" t="n">
        <v>55000</v>
      </c>
      <c r="AC70" s="90" t="n">
        <v>55000</v>
      </c>
      <c r="AD70" s="90" t="n">
        <v>55000</v>
      </c>
      <c r="AE70" s="90" t="n">
        <v>55000</v>
      </c>
      <c r="AF70" s="90" t="n">
        <v>55000</v>
      </c>
      <c r="AG70" s="90" t="n">
        <v>55000</v>
      </c>
      <c r="AH70" s="90" t="n">
        <v>55000</v>
      </c>
      <c r="AI70" s="90" t="n">
        <v>55000</v>
      </c>
      <c r="AJ70" s="91" t="n">
        <v>55000</v>
      </c>
      <c r="AK70" s="89" t="n">
        <v>55000</v>
      </c>
      <c r="AL70" s="90" t="n">
        <v>55000</v>
      </c>
      <c r="AM70" s="90"/>
      <c r="AN70" s="90"/>
      <c r="AO70" s="90"/>
      <c r="AP70" s="90"/>
      <c r="AQ70" s="90"/>
      <c r="AR70" s="90"/>
      <c r="AS70" s="90"/>
      <c r="AT70" s="90"/>
      <c r="AU70" s="90"/>
      <c r="AV70" s="91"/>
      <c r="AX70" s="92"/>
    </row>
    <row r="71" customFormat="false" ht="15.65" hidden="false" customHeight="false" outlineLevel="0" collapsed="false">
      <c r="C71" s="72" t="n">
        <f aca="false">COUNTIFS($D$6:D71,"&lt;&gt;"&amp;"")</f>
        <v>66</v>
      </c>
      <c r="D71" s="73" t="s">
        <v>12</v>
      </c>
      <c r="E71" s="76" t="str">
        <f aca="false">
IF($D71="정상",INDEX(임대자산!$D$3:$R$3000,MATCH($F71,임대자산!$I$3:$I$3000,0),MATCH(E$3,임대자산!$D$3:$R$3,0)),
IF($D71="폐업",INDEX(폐업정보!$D$3:$R$3000,MATCH($F71,폐업정보!$I$3:$I$3000,0),MATCH(E$3,폐업정보!$D$3:$R$3,0)),
"Error"))</f>
        <v>경상</v>
      </c>
      <c r="F7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B0066</v>
      </c>
      <c r="G71" s="76" t="str">
        <f aca="false">F71&amp;RANDBETWEEN(0,10)</f>
        <v>B00667</v>
      </c>
      <c r="H71" s="75" t="n">
        <f aca="false">
IF($D71="정상",INDEX(임대자산!$D$3:$R$3000,MATCH($F71,임대자산!$I$3:$I$3000,0),MATCH(H$4,임대자산!$D$3:$R$3,0)),
IF($D71="폐업",INDEX(폐업정보!$D$3:$R$3000,MATCH($F71,폐업정보!$I$3:$I$3000,0),MATCH(H$4,폐업정보!$D$3:$R$3,0)),
"Error"))</f>
        <v>44208</v>
      </c>
      <c r="I71" s="75" t="str">
        <f aca="false">
IF($D71="정상",INDEX(임대자산!$D$3:$R$3000,MATCH($F71,임대자산!$I$3:$I$3000,0),MATCH(I$4,임대자산!$D$3:$R$3,0)),
IF($D71="폐업",INDEX(폐업정보!$D$3:$R$3000,MATCH($F71,폐업정보!$I$3:$I$3000,0),MATCH(I$4,폐업정보!$D$3:$R$3,0)),
"Error"))</f>
        <v>A0066</v>
      </c>
      <c r="J71" s="75" t="str">
        <f aca="false">
IF($D71="정상",INDEX(임대자산!$D$3:$R$3000,MATCH($F71,임대자산!$I$3:$I$3000,0),MATCH(J$4,임대자산!$D$3:$R$3,0)),
IF($D71="폐업",INDEX(폐업정보!$D$3:$R$3000,MATCH($F71,폐업정보!$I$3:$I$3000,0),MATCH(J$4,폐업정보!$D$3:$R$3,0)),
"Error"))</f>
        <v>5170900000</v>
      </c>
      <c r="K71" s="75" t="str">
        <f aca="false">
IF($D71="정상",INDEX(임대자산!$D$3:$R$3000,MATCH($F71,임대자산!$I$3:$I$3000,0),MATCH(K$4,임대자산!$D$3:$R$3,0)),
IF($D71="폐업",INDEX(폐업정보!$D$3:$R$3000,MATCH($F71,폐업정보!$I$3:$I$3000,0),MATCH(K$4,폐업정보!$D$3:$R$3,0)),
"Error"))</f>
        <v>C0066</v>
      </c>
      <c r="L71" s="75" t="str">
        <f aca="false">
IF($D71="정상",INDEX(임대자산!$D$3:$R$3000,MATCH($F71,임대자산!$I$3:$I$3000,0),MATCH(L$4,임대자산!$D$3:$R$3,0)),
IF($D71="폐업",INDEX(폐업정보!$D$3:$R$3000,MATCH($F71,폐업정보!$I$3:$I$3000,0),MATCH(L$4,폐업정보!$D$3:$R$3,0)),
"Error"))</f>
        <v>D0066</v>
      </c>
      <c r="M71" s="76" t="s">
        <v>96</v>
      </c>
      <c r="N71" s="77"/>
      <c r="O71" s="78" t="s">
        <v>97</v>
      </c>
      <c r="P71" s="79" t="n">
        <f aca="false">COUNTIFS(임대자산!$I:$I,가맹점정보!F71,임대자산!$N:$N,가맹점정보!P$4)</f>
        <v>1</v>
      </c>
      <c r="Q71" s="80" t="n">
        <f aca="false">COUNTIFS(임대자산!$I:$I,가맹점정보!F71,임대자산!$N:$N,가맹점정보!Q$4)</f>
        <v>0</v>
      </c>
      <c r="R71" s="81" t="n">
        <f aca="false">COUNTIFS(임대자산!$I:$I,가맹점정보!F71,임대자산!$N:$N,가맹점정보!R$4)</f>
        <v>0</v>
      </c>
      <c r="S71" s="82" t="n">
        <v>88000</v>
      </c>
      <c r="T71" s="83" t="n">
        <v>0</v>
      </c>
      <c r="U71" s="80" t="n">
        <f aca="false">SUM(S71:T71)</f>
        <v>88000</v>
      </c>
      <c r="V71" s="84" t="s">
        <v>7</v>
      </c>
      <c r="W71" s="80" t="str">
        <f aca="true">
IF(D71="폐업","폐업",
IF(V71="면제","면제",
IF(AND(V71="정상",COUNTIFS(OFFSET(Y71,0,COUNTA(Y71:AV71)-1,1,-4),"미납")&gt;=3),"장기미납",
IF(AND(V71="정상",OFFSET(Y71,0,COUNTA(Y71:AV71)-1)&gt;=U71),"정상",
IF(AND(V71="정상",OFFSET(Y71,0,COUNTA(Y71:AV71)-1)=0),"정상",
"계약서 미작성")))))</f>
        <v>면제</v>
      </c>
      <c r="X71" s="81" t="str">
        <f aca="true">
IF(D71="폐업","폐업",
IF(AND(V71="정상",OFFSET(Y71,0,COUNTA(Y71:AV71)-1)="미납"),"미납",
IF(AND(V71="정상",OFFSET(Y71,0,COUNTA(Y71:AV71)-1)=0),"납부 시작 전",
IF(AND(V71="정상",OFFSET(Y71,0,COUNTA(Y71:AV71)-1)&gt;=U71),"정상",
IF(AND(V71="면제",OFFSET(Y71,0,COUNTA(Y71:AV71)-1)="면제"),"면제",
IF(AND(V71="면제",OFFSET(Y71,0,COUNTA(Y71:AV71)-1)=0),"면제",
"확인요청"))))))</f>
        <v>면제</v>
      </c>
      <c r="Y71" s="94" t="s">
        <v>7</v>
      </c>
      <c r="Z71" s="95" t="s">
        <v>7</v>
      </c>
      <c r="AA71" s="95" t="s">
        <v>7</v>
      </c>
      <c r="AB71" s="95" t="s">
        <v>7</v>
      </c>
      <c r="AC71" s="95" t="s">
        <v>7</v>
      </c>
      <c r="AD71" s="95" t="s">
        <v>7</v>
      </c>
      <c r="AE71" s="95" t="s">
        <v>7</v>
      </c>
      <c r="AF71" s="95" t="s">
        <v>7</v>
      </c>
      <c r="AG71" s="95" t="s">
        <v>7</v>
      </c>
      <c r="AH71" s="95" t="s">
        <v>7</v>
      </c>
      <c r="AI71" s="95" t="s">
        <v>7</v>
      </c>
      <c r="AJ71" s="96" t="s">
        <v>7</v>
      </c>
      <c r="AK71" s="97" t="s">
        <v>7</v>
      </c>
      <c r="AL71" s="95" t="s">
        <v>7</v>
      </c>
      <c r="AM71" s="90"/>
      <c r="AN71" s="90"/>
      <c r="AO71" s="90"/>
      <c r="AP71" s="90"/>
      <c r="AQ71" s="90"/>
      <c r="AR71" s="90"/>
      <c r="AS71" s="90"/>
      <c r="AT71" s="90"/>
      <c r="AU71" s="90"/>
      <c r="AV71" s="91"/>
      <c r="AX71" s="92"/>
    </row>
    <row r="72" customFormat="false" ht="15.65" hidden="false" customHeight="false" outlineLevel="0" collapsed="false">
      <c r="C72" s="72" t="n">
        <f aca="false">COUNTIFS($D$6:D72,"&lt;&gt;"&amp;"")</f>
        <v>67</v>
      </c>
      <c r="D72" s="73" t="s">
        <v>12</v>
      </c>
      <c r="E72" s="76" t="str">
        <f aca="false">
IF($D72="정상",INDEX(임대자산!$D$3:$R$3000,MATCH($F72,임대자산!$I$3:$I$3000,0),MATCH(E$3,임대자산!$D$3:$R$3,0)),
IF($D72="폐업",INDEX(폐업정보!$D$3:$R$3000,MATCH($F72,폐업정보!$I$3:$I$3000,0),MATCH(E$3,폐업정보!$D$3:$R$3,0)),
"Error"))</f>
        <v>강원</v>
      </c>
      <c r="F7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B0067</v>
      </c>
      <c r="G72" s="76" t="str">
        <f aca="false">F72&amp;RANDBETWEEN(0,10)</f>
        <v>B006710</v>
      </c>
      <c r="H72" s="75" t="n">
        <f aca="false">
IF($D72="정상",INDEX(임대자산!$D$3:$R$3000,MATCH($F72,임대자산!$I$3:$I$3000,0),MATCH(H$4,임대자산!$D$3:$R$3,0)),
IF($D72="폐업",INDEX(폐업정보!$D$3:$R$3000,MATCH($F72,폐업정보!$I$3:$I$3000,0),MATCH(H$4,폐업정보!$D$3:$R$3,0)),
"Error"))</f>
        <v>43599</v>
      </c>
      <c r="I72" s="75" t="str">
        <f aca="false">
IF($D72="정상",INDEX(임대자산!$D$3:$R$3000,MATCH($F72,임대자산!$I$3:$I$3000,0),MATCH(I$4,임대자산!$D$3:$R$3,0)),
IF($D72="폐업",INDEX(폐업정보!$D$3:$R$3000,MATCH($F72,폐업정보!$I$3:$I$3000,0),MATCH(I$4,폐업정보!$D$3:$R$3,0)),
"Error"))</f>
        <v>A0067</v>
      </c>
      <c r="J72" s="75" t="str">
        <f aca="false">
IF($D72="정상",INDEX(임대자산!$D$3:$R$3000,MATCH($F72,임대자산!$I$3:$I$3000,0),MATCH(J$4,임대자산!$D$3:$R$3,0)),
IF($D72="폐업",INDEX(폐업정보!$D$3:$R$3000,MATCH($F72,폐업정보!$I$3:$I$3000,0),MATCH(J$4,폐업정보!$D$3:$R$3,0)),
"Error"))</f>
        <v>5212300000</v>
      </c>
      <c r="K72" s="75" t="str">
        <f aca="false">
IF($D72="정상",INDEX(임대자산!$D$3:$R$3000,MATCH($F72,임대자산!$I$3:$I$3000,0),MATCH(K$4,임대자산!$D$3:$R$3,0)),
IF($D72="폐업",INDEX(폐업정보!$D$3:$R$3000,MATCH($F72,폐업정보!$I$3:$I$3000,0),MATCH(K$4,폐업정보!$D$3:$R$3,0)),
"Error"))</f>
        <v>C0067</v>
      </c>
      <c r="L72" s="75" t="str">
        <f aca="false">
IF($D72="정상",INDEX(임대자산!$D$3:$R$3000,MATCH($F72,임대자산!$I$3:$I$3000,0),MATCH(L$4,임대자산!$D$3:$R$3,0)),
IF($D72="폐업",INDEX(폐업정보!$D$3:$R$3000,MATCH($F72,폐업정보!$I$3:$I$3000,0),MATCH(L$4,폐업정보!$D$3:$R$3,0)),
"Error"))</f>
        <v>D0067</v>
      </c>
      <c r="M72" s="76" t="s">
        <v>96</v>
      </c>
      <c r="N72" s="77"/>
      <c r="O72" s="78" t="s">
        <v>97</v>
      </c>
      <c r="P72" s="79" t="n">
        <f aca="false">COUNTIFS(임대자산!$I:$I,가맹점정보!F72,임대자산!$N:$N,가맹점정보!P$4)</f>
        <v>1</v>
      </c>
      <c r="Q72" s="80" t="n">
        <f aca="false">COUNTIFS(임대자산!$I:$I,가맹점정보!F72,임대자산!$N:$N,가맹점정보!Q$4)</f>
        <v>0</v>
      </c>
      <c r="R72" s="81" t="n">
        <f aca="false">COUNTIFS(임대자산!$I:$I,가맹점정보!F72,임대자산!$N:$N,가맹점정보!R$4)</f>
        <v>0</v>
      </c>
      <c r="S72" s="82" t="n">
        <v>55000</v>
      </c>
      <c r="T72" s="83" t="n">
        <v>0</v>
      </c>
      <c r="U72" s="80" t="n">
        <f aca="false">SUM(S72:T72)</f>
        <v>55000</v>
      </c>
      <c r="V72" s="84" t="s">
        <v>12</v>
      </c>
      <c r="W72" s="80" t="e">
        <f aca="true">
IF(D72="폐업","폐업",
IF(V72="면제","면제",
IF(AND(V72="정상",COUNTIFS(OFFSET(Y72,0,COUNTA(Y72:AV72)-1,1,-4),"미납")&gt;=3),"장기미납",
IF(AND(V72="정상",OFFSET(Y72,0,COUNTA(Y72:AV72)-1)&gt;=U72),"정상",
IF(AND(V72="정상",OFFSET(Y72,0,COUNTA(Y72:AV72)-1)=0),"정상",
"계약서 미작성")))))</f>
        <v>#VALUE!</v>
      </c>
      <c r="X72" s="81" t="str">
        <f aca="true">
IF(D72="폐업","폐업",
IF(AND(V72="정상",OFFSET(Y72,0,COUNTA(Y72:AV72)-1)="미납"),"미납",
IF(AND(V72="정상",OFFSET(Y72,0,COUNTA(Y72:AV72)-1)=0),"납부 시작 전",
IF(AND(V72="정상",OFFSET(Y72,0,COUNTA(Y72:AV72)-1)&gt;=U72),"정상",
IF(AND(V72="면제",OFFSET(Y72,0,COUNTA(Y72:AV72)-1)="면제"),"면제",
IF(AND(V72="면제",OFFSET(Y72,0,COUNTA(Y72:AV72)-1)=0),"면제",
"확인요청"))))))</f>
        <v>정상</v>
      </c>
      <c r="Y72" s="93" t="n">
        <v>55000</v>
      </c>
      <c r="Z72" s="90" t="n">
        <v>55000</v>
      </c>
      <c r="AA72" s="90" t="n">
        <v>55000</v>
      </c>
      <c r="AB72" s="90" t="n">
        <v>55000</v>
      </c>
      <c r="AC72" s="90" t="n">
        <v>55000</v>
      </c>
      <c r="AD72" s="90" t="n">
        <v>55000</v>
      </c>
      <c r="AE72" s="90" t="n">
        <v>55000</v>
      </c>
      <c r="AF72" s="90" t="n">
        <v>55000</v>
      </c>
      <c r="AG72" s="90" t="n">
        <v>55000</v>
      </c>
      <c r="AH72" s="90" t="n">
        <v>55000</v>
      </c>
      <c r="AI72" s="90" t="n">
        <v>55000</v>
      </c>
      <c r="AJ72" s="91" t="n">
        <v>55000</v>
      </c>
      <c r="AK72" s="89" t="n">
        <v>55000</v>
      </c>
      <c r="AL72" s="90" t="n">
        <v>55000</v>
      </c>
      <c r="AM72" s="90"/>
      <c r="AN72" s="90"/>
      <c r="AO72" s="90"/>
      <c r="AP72" s="90"/>
      <c r="AQ72" s="90"/>
      <c r="AR72" s="90"/>
      <c r="AS72" s="90"/>
      <c r="AT72" s="90"/>
      <c r="AU72" s="90"/>
      <c r="AV72" s="91"/>
      <c r="AX72" s="92"/>
    </row>
    <row r="73" customFormat="false" ht="15.65" hidden="false" customHeight="false" outlineLevel="0" collapsed="false">
      <c r="C73" s="72" t="n">
        <f aca="false">COUNTIFS($D$6:D73,"&lt;&gt;"&amp;"")</f>
        <v>68</v>
      </c>
      <c r="D73" s="73" t="s">
        <v>12</v>
      </c>
      <c r="E73" s="76" t="str">
        <f aca="false">
IF($D73="정상",INDEX(임대자산!$D$3:$R$3000,MATCH($F73,임대자산!$I$3:$I$3000,0),MATCH(E$3,임대자산!$D$3:$R$3,0)),
IF($D73="폐업",INDEX(폐업정보!$D$3:$R$3000,MATCH($F73,폐업정보!$I$3:$I$3000,0),MATCH(E$3,폐업정보!$D$3:$R$3,0)),
"Error"))</f>
        <v>서울</v>
      </c>
      <c r="F7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B0068</v>
      </c>
      <c r="G73" s="76" t="str">
        <f aca="false">F73&amp;RANDBETWEEN(0,10)</f>
        <v>B00685</v>
      </c>
      <c r="H73" s="75" t="n">
        <f aca="false">
IF($D73="정상",INDEX(임대자산!$D$3:$R$3000,MATCH($F73,임대자산!$I$3:$I$3000,0),MATCH(H$4,임대자산!$D$3:$R$3,0)),
IF($D73="폐업",INDEX(폐업정보!$D$3:$R$3000,MATCH($F73,폐업정보!$I$3:$I$3000,0),MATCH(H$4,폐업정보!$D$3:$R$3,0)),
"Error"))</f>
        <v>44140</v>
      </c>
      <c r="I73" s="75" t="str">
        <f aca="false">
IF($D73="정상",INDEX(임대자산!$D$3:$R$3000,MATCH($F73,임대자산!$I$3:$I$3000,0),MATCH(I$4,임대자산!$D$3:$R$3,0)),
IF($D73="폐업",INDEX(폐업정보!$D$3:$R$3000,MATCH($F73,폐업정보!$I$3:$I$3000,0),MATCH(I$4,폐업정보!$D$3:$R$3,0)),
"Error"))</f>
        <v>A0068</v>
      </c>
      <c r="J73" s="75" t="str">
        <f aca="false">
IF($D73="정상",INDEX(임대자산!$D$3:$R$3000,MATCH($F73,임대자산!$I$3:$I$3000,0),MATCH(J$4,임대자산!$D$3:$R$3,0)),
IF($D73="폐업",INDEX(폐업정보!$D$3:$R$3000,MATCH($F73,폐업정보!$I$3:$I$3000,0),MATCH(J$4,폐업정보!$D$3:$R$3,0)),
"Error"))</f>
        <v>1415700000</v>
      </c>
      <c r="K73" s="75" t="str">
        <f aca="false">
IF($D73="정상",INDEX(임대자산!$D$3:$R$3000,MATCH($F73,임대자산!$I$3:$I$3000,0),MATCH(K$4,임대자산!$D$3:$R$3,0)),
IF($D73="폐업",INDEX(폐업정보!$D$3:$R$3000,MATCH($F73,폐업정보!$I$3:$I$3000,0),MATCH(K$4,폐업정보!$D$3:$R$3,0)),
"Error"))</f>
        <v>C0068</v>
      </c>
      <c r="L73" s="75" t="str">
        <f aca="false">
IF($D73="정상",INDEX(임대자산!$D$3:$R$3000,MATCH($F73,임대자산!$I$3:$I$3000,0),MATCH(L$4,임대자산!$D$3:$R$3,0)),
IF($D73="폐업",INDEX(폐업정보!$D$3:$R$3000,MATCH($F73,폐업정보!$I$3:$I$3000,0),MATCH(L$4,폐업정보!$D$3:$R$3,0)),
"Error"))</f>
        <v>D0068</v>
      </c>
      <c r="M73" s="76" t="s">
        <v>96</v>
      </c>
      <c r="N73" s="77"/>
      <c r="O73" s="78" t="s">
        <v>97</v>
      </c>
      <c r="P73" s="79" t="n">
        <f aca="false">COUNTIFS(임대자산!$I:$I,가맹점정보!F73,임대자산!$N:$N,가맹점정보!P$4)</f>
        <v>1</v>
      </c>
      <c r="Q73" s="80" t="n">
        <f aca="false">COUNTIFS(임대자산!$I:$I,가맹점정보!F73,임대자산!$N:$N,가맹점정보!Q$4)</f>
        <v>0</v>
      </c>
      <c r="R73" s="81" t="n">
        <f aca="false">COUNTIFS(임대자산!$I:$I,가맹점정보!F73,임대자산!$N:$N,가맹점정보!R$4)</f>
        <v>0</v>
      </c>
      <c r="S73" s="82" t="n">
        <v>55000</v>
      </c>
      <c r="T73" s="83" t="n">
        <v>0</v>
      </c>
      <c r="U73" s="80" t="n">
        <f aca="false">SUM(S73:T73)</f>
        <v>55000</v>
      </c>
      <c r="V73" s="84" t="s">
        <v>12</v>
      </c>
      <c r="W73" s="80" t="e">
        <f aca="true">
IF(D73="폐업","폐업",
IF(V73="면제","면제",
IF(AND(V73="정상",COUNTIFS(OFFSET(Y73,0,COUNTA(Y73:AV73)-1,1,-4),"미납")&gt;=3),"장기미납",
IF(AND(V73="정상",OFFSET(Y73,0,COUNTA(Y73:AV73)-1)&gt;=U73),"정상",
IF(AND(V73="정상",OFFSET(Y73,0,COUNTA(Y73:AV73)-1)=0),"정상",
"계약서 미작성")))))</f>
        <v>#VALUE!</v>
      </c>
      <c r="X73" s="81" t="str">
        <f aca="true">
IF(D73="폐업","폐업",
IF(AND(V73="정상",OFFSET(Y73,0,COUNTA(Y73:AV73)-1)="미납"),"미납",
IF(AND(V73="정상",OFFSET(Y73,0,COUNTA(Y73:AV73)-1)=0),"납부 시작 전",
IF(AND(V73="정상",OFFSET(Y73,0,COUNTA(Y73:AV73)-1)&gt;=U73),"정상",
IF(AND(V73="면제",OFFSET(Y73,0,COUNTA(Y73:AV73)-1)="면제"),"면제",
IF(AND(V73="면제",OFFSET(Y73,0,COUNTA(Y73:AV73)-1)=0),"면제",
"확인요청"))))))</f>
        <v>정상</v>
      </c>
      <c r="Y73" s="93" t="n">
        <v>55000</v>
      </c>
      <c r="Z73" s="90" t="n">
        <v>55000</v>
      </c>
      <c r="AA73" s="90" t="n">
        <v>55000</v>
      </c>
      <c r="AB73" s="90" t="n">
        <v>55000</v>
      </c>
      <c r="AC73" s="90" t="n">
        <v>55000</v>
      </c>
      <c r="AD73" s="90" t="n">
        <v>55000</v>
      </c>
      <c r="AE73" s="90" t="n">
        <v>55000</v>
      </c>
      <c r="AF73" s="90" t="n">
        <v>55000</v>
      </c>
      <c r="AG73" s="90" t="n">
        <v>55000</v>
      </c>
      <c r="AH73" s="90" t="s">
        <v>98</v>
      </c>
      <c r="AI73" s="90" t="n">
        <v>110000</v>
      </c>
      <c r="AJ73" s="91" t="n">
        <v>55000</v>
      </c>
      <c r="AK73" s="89" t="n">
        <v>55000</v>
      </c>
      <c r="AL73" s="90" t="n">
        <v>55000</v>
      </c>
      <c r="AM73" s="90"/>
      <c r="AN73" s="90"/>
      <c r="AO73" s="90"/>
      <c r="AP73" s="90"/>
      <c r="AQ73" s="90"/>
      <c r="AR73" s="90"/>
      <c r="AS73" s="90"/>
      <c r="AT73" s="90"/>
      <c r="AU73" s="90"/>
      <c r="AV73" s="91"/>
      <c r="AX73" s="92"/>
    </row>
    <row r="74" customFormat="false" ht="15.65" hidden="false" customHeight="false" outlineLevel="0" collapsed="false">
      <c r="C74" s="72" t="n">
        <f aca="false">COUNTIFS($D$6:D74,"&lt;&gt;"&amp;"")</f>
        <v>69</v>
      </c>
      <c r="D74" s="73" t="s">
        <v>12</v>
      </c>
      <c r="E74" s="76" t="str">
        <f aca="false">
IF($D74="정상",INDEX(임대자산!$D$3:$R$3000,MATCH($F74,임대자산!$I$3:$I$3000,0),MATCH(E$3,임대자산!$D$3:$R$3,0)),
IF($D74="폐업",INDEX(폐업정보!$D$3:$R$3000,MATCH($F74,폐업정보!$I$3:$I$3000,0),MATCH(E$3,폐업정보!$D$3:$R$3,0)),
"Error"))</f>
        <v>서울</v>
      </c>
      <c r="F7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B0069</v>
      </c>
      <c r="G74" s="76" t="str">
        <f aca="false">F74&amp;RANDBETWEEN(0,10)</f>
        <v>B00694</v>
      </c>
      <c r="H74" s="75" t="n">
        <f aca="false">
IF($D74="정상",INDEX(임대자산!$D$3:$R$3000,MATCH($F74,임대자산!$I$3:$I$3000,0),MATCH(H$4,임대자산!$D$3:$R$3,0)),
IF($D74="폐업",INDEX(폐업정보!$D$3:$R$3000,MATCH($F74,폐업정보!$I$3:$I$3000,0),MATCH(H$4,폐업정보!$D$3:$R$3,0)),
"Error"))</f>
        <v>44145</v>
      </c>
      <c r="I74" s="75" t="str">
        <f aca="false">
IF($D74="정상",INDEX(임대자산!$D$3:$R$3000,MATCH($F74,임대자산!$I$3:$I$3000,0),MATCH(I$4,임대자산!$D$3:$R$3,0)),
IF($D74="폐업",INDEX(폐업정보!$D$3:$R$3000,MATCH($F74,폐업정보!$I$3:$I$3000,0),MATCH(I$4,폐업정보!$D$3:$R$3,0)),
"Error"))</f>
        <v>A0069</v>
      </c>
      <c r="J74" s="75" t="str">
        <f aca="false">
IF($D74="정상",INDEX(임대자산!$D$3:$R$3000,MATCH($F74,임대자산!$I$3:$I$3000,0),MATCH(J$4,임대자산!$D$3:$R$3,0)),
IF($D74="폐업",INDEX(폐업정보!$D$3:$R$3000,MATCH($F74,폐업정보!$I$3:$I$3000,0),MATCH(J$4,폐업정보!$D$3:$R$3,0)),
"Error"))</f>
        <v>3320100000</v>
      </c>
      <c r="K74" s="75" t="str">
        <f aca="false">
IF($D74="정상",INDEX(임대자산!$D$3:$R$3000,MATCH($F74,임대자산!$I$3:$I$3000,0),MATCH(K$4,임대자산!$D$3:$R$3,0)),
IF($D74="폐업",INDEX(폐업정보!$D$3:$R$3000,MATCH($F74,폐업정보!$I$3:$I$3000,0),MATCH(K$4,폐업정보!$D$3:$R$3,0)),
"Error"))</f>
        <v>C0069</v>
      </c>
      <c r="L74" s="75" t="str">
        <f aca="false">
IF($D74="정상",INDEX(임대자산!$D$3:$R$3000,MATCH($F74,임대자산!$I$3:$I$3000,0),MATCH(L$4,임대자산!$D$3:$R$3,0)),
IF($D74="폐업",INDEX(폐업정보!$D$3:$R$3000,MATCH($F74,폐업정보!$I$3:$I$3000,0),MATCH(L$4,폐업정보!$D$3:$R$3,0)),
"Error"))</f>
        <v>D0069</v>
      </c>
      <c r="M74" s="76" t="s">
        <v>96</v>
      </c>
      <c r="N74" s="77"/>
      <c r="O74" s="78" t="s">
        <v>97</v>
      </c>
      <c r="P74" s="79" t="n">
        <f aca="false">COUNTIFS(임대자산!$I:$I,가맹점정보!F74,임대자산!$N:$N,가맹점정보!P$4)</f>
        <v>1</v>
      </c>
      <c r="Q74" s="80" t="n">
        <f aca="false">COUNTIFS(임대자산!$I:$I,가맹점정보!F74,임대자산!$N:$N,가맹점정보!Q$4)</f>
        <v>0</v>
      </c>
      <c r="R74" s="81" t="n">
        <f aca="false">COUNTIFS(임대자산!$I:$I,가맹점정보!F74,임대자산!$N:$N,가맹점정보!R$4)</f>
        <v>0</v>
      </c>
      <c r="S74" s="82" t="n">
        <v>55000</v>
      </c>
      <c r="T74" s="83" t="n">
        <v>0</v>
      </c>
      <c r="U74" s="80" t="n">
        <f aca="false">SUM(S74:T74)</f>
        <v>55000</v>
      </c>
      <c r="V74" s="84" t="s">
        <v>7</v>
      </c>
      <c r="W74" s="80" t="str">
        <f aca="true">
IF(D74="폐업","폐업",
IF(V74="면제","면제",
IF(AND(V74="정상",COUNTIFS(OFFSET(Y74,0,COUNTA(Y74:AV74)-1,1,-4),"미납")&gt;=3),"장기미납",
IF(AND(V74="정상",OFFSET(Y74,0,COUNTA(Y74:AV74)-1)&gt;=U74),"정상",
IF(AND(V74="정상",OFFSET(Y74,0,COUNTA(Y74:AV74)-1)=0),"정상",
"계약서 미작성")))))</f>
        <v>면제</v>
      </c>
      <c r="X74" s="81" t="str">
        <f aca="true">
IF(D74="폐업","폐업",
IF(AND(V74="정상",OFFSET(Y74,0,COUNTA(Y74:AV74)-1)="미납"),"미납",
IF(AND(V74="정상",OFFSET(Y74,0,COUNTA(Y74:AV74)-1)=0),"납부 시작 전",
IF(AND(V74="정상",OFFSET(Y74,0,COUNTA(Y74:AV74)-1)&gt;=U74),"정상",
IF(AND(V74="면제",OFFSET(Y74,0,COUNTA(Y74:AV74)-1)="면제"),"면제",
IF(AND(V74="면제",OFFSET(Y74,0,COUNTA(Y74:AV74)-1)=0),"면제",
"확인요청"))))))</f>
        <v>면제</v>
      </c>
      <c r="Y74" s="94" t="s">
        <v>7</v>
      </c>
      <c r="Z74" s="95" t="s">
        <v>7</v>
      </c>
      <c r="AA74" s="95" t="s">
        <v>7</v>
      </c>
      <c r="AB74" s="95" t="s">
        <v>7</v>
      </c>
      <c r="AC74" s="95" t="s">
        <v>7</v>
      </c>
      <c r="AD74" s="95" t="s">
        <v>7</v>
      </c>
      <c r="AE74" s="95" t="s">
        <v>7</v>
      </c>
      <c r="AF74" s="95" t="s">
        <v>7</v>
      </c>
      <c r="AG74" s="95" t="s">
        <v>7</v>
      </c>
      <c r="AH74" s="95" t="s">
        <v>7</v>
      </c>
      <c r="AI74" s="95" t="s">
        <v>7</v>
      </c>
      <c r="AJ74" s="96" t="s">
        <v>7</v>
      </c>
      <c r="AK74" s="97" t="s">
        <v>7</v>
      </c>
      <c r="AL74" s="95" t="s">
        <v>7</v>
      </c>
      <c r="AM74" s="90"/>
      <c r="AN74" s="90"/>
      <c r="AO74" s="90"/>
      <c r="AP74" s="90"/>
      <c r="AQ74" s="90"/>
      <c r="AR74" s="90"/>
      <c r="AS74" s="90"/>
      <c r="AT74" s="90"/>
      <c r="AU74" s="90"/>
      <c r="AV74" s="91"/>
      <c r="AX74" s="92"/>
    </row>
    <row r="75" customFormat="false" ht="15.65" hidden="false" customHeight="false" outlineLevel="0" collapsed="false">
      <c r="C75" s="72" t="n">
        <f aca="false">COUNTIFS($D$6:D75,"&lt;&gt;"&amp;"")</f>
        <v>70</v>
      </c>
      <c r="D75" s="73" t="s">
        <v>12</v>
      </c>
      <c r="E75" s="76" t="str">
        <f aca="false">
IF($D75="정상",INDEX(임대자산!$D$3:$R$3000,MATCH($F75,임대자산!$I$3:$I$3000,0),MATCH(E$3,임대자산!$D$3:$R$3,0)),
IF($D75="폐업",INDEX(폐업정보!$D$3:$R$3000,MATCH($F75,폐업정보!$I$3:$I$3000,0),MATCH(E$3,폐업정보!$D$3:$R$3,0)),
"Error"))</f>
        <v>경상</v>
      </c>
      <c r="F7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B0070</v>
      </c>
      <c r="G75" s="76" t="str">
        <f aca="false">F75&amp;RANDBETWEEN(0,10)</f>
        <v>B00701</v>
      </c>
      <c r="H75" s="75" t="n">
        <f aca="false">
IF($D75="정상",INDEX(임대자산!$D$3:$R$3000,MATCH($F75,임대자산!$I$3:$I$3000,0),MATCH(H$4,임대자산!$D$3:$R$3,0)),
IF($D75="폐업",INDEX(폐업정보!$D$3:$R$3000,MATCH($F75,폐업정보!$I$3:$I$3000,0),MATCH(H$4,폐업정보!$D$3:$R$3,0)),
"Error"))</f>
        <v>44741</v>
      </c>
      <c r="I75" s="75" t="str">
        <f aca="false">
IF($D75="정상",INDEX(임대자산!$D$3:$R$3000,MATCH($F75,임대자산!$I$3:$I$3000,0),MATCH(I$4,임대자산!$D$3:$R$3,0)),
IF($D75="폐업",INDEX(폐업정보!$D$3:$R$3000,MATCH($F75,폐업정보!$I$3:$I$3000,0),MATCH(I$4,폐업정보!$D$3:$R$3,0)),
"Error"))</f>
        <v>A0070</v>
      </c>
      <c r="J75" s="75" t="str">
        <f aca="false">
IF($D75="정상",INDEX(임대자산!$D$3:$R$3000,MATCH($F75,임대자산!$I$3:$I$3000,0),MATCH(J$4,임대자산!$D$3:$R$3,0)),
IF($D75="폐업",INDEX(폐업정보!$D$3:$R$3000,MATCH($F75,폐업정보!$I$3:$I$3000,0),MATCH(J$4,폐업정보!$D$3:$R$3,0)),
"Error"))</f>
        <v>8930500000</v>
      </c>
      <c r="K75" s="75" t="str">
        <f aca="false">
IF($D75="정상",INDEX(임대자산!$D$3:$R$3000,MATCH($F75,임대자산!$I$3:$I$3000,0),MATCH(K$4,임대자산!$D$3:$R$3,0)),
IF($D75="폐업",INDEX(폐업정보!$D$3:$R$3000,MATCH($F75,폐업정보!$I$3:$I$3000,0),MATCH(K$4,폐업정보!$D$3:$R$3,0)),
"Error"))</f>
        <v>C0070</v>
      </c>
      <c r="L75" s="75" t="str">
        <f aca="false">
IF($D75="정상",INDEX(임대자산!$D$3:$R$3000,MATCH($F75,임대자산!$I$3:$I$3000,0),MATCH(L$4,임대자산!$D$3:$R$3,0)),
IF($D75="폐업",INDEX(폐업정보!$D$3:$R$3000,MATCH($F75,폐업정보!$I$3:$I$3000,0),MATCH(L$4,폐업정보!$D$3:$R$3,0)),
"Error"))</f>
        <v>D0070</v>
      </c>
      <c r="M75" s="76" t="s">
        <v>96</v>
      </c>
      <c r="N75" s="77"/>
      <c r="O75" s="78" t="s">
        <v>97</v>
      </c>
      <c r="P75" s="79" t="n">
        <f aca="false">COUNTIFS(임대자산!$I:$I,가맹점정보!F75,임대자산!$N:$N,가맹점정보!P$4)</f>
        <v>1</v>
      </c>
      <c r="Q75" s="80" t="n">
        <f aca="false">COUNTIFS(임대자산!$I:$I,가맹점정보!F75,임대자산!$N:$N,가맹점정보!Q$4)</f>
        <v>0</v>
      </c>
      <c r="R75" s="81" t="n">
        <f aca="false">COUNTIFS(임대자산!$I:$I,가맹점정보!F75,임대자산!$N:$N,가맹점정보!R$4)</f>
        <v>0</v>
      </c>
      <c r="S75" s="82" t="n">
        <v>55000</v>
      </c>
      <c r="T75" s="83" t="n">
        <v>0</v>
      </c>
      <c r="U75" s="80" t="n">
        <f aca="false">SUM(S75:T75)</f>
        <v>55000</v>
      </c>
      <c r="V75" s="84" t="s">
        <v>12</v>
      </c>
      <c r="W75" s="80" t="e">
        <f aca="true">
IF(D75="폐업","폐업",
IF(V75="면제","면제",
IF(AND(V75="정상",COUNTIFS(OFFSET(Y75,0,COUNTA(Y75:AV75)-1,1,-4),"미납")&gt;=3),"장기미납",
IF(AND(V75="정상",OFFSET(Y75,0,COUNTA(Y75:AV75)-1)&gt;=U75),"정상",
IF(AND(V75="정상",OFFSET(Y75,0,COUNTA(Y75:AV75)-1)=0),"정상",
"계약서 미작성")))))</f>
        <v>#VALUE!</v>
      </c>
      <c r="X75" s="81" t="str">
        <f aca="true">
IF(D75="폐업","폐업",
IF(AND(V75="정상",OFFSET(Y75,0,COUNTA(Y75:AV75)-1)="미납"),"미납",
IF(AND(V75="정상",OFFSET(Y75,0,COUNTA(Y75:AV75)-1)=0),"납부 시작 전",
IF(AND(V75="정상",OFFSET(Y75,0,COUNTA(Y75:AV75)-1)&gt;=U75),"정상",
IF(AND(V75="면제",OFFSET(Y75,0,COUNTA(Y75:AV75)-1)="면제"),"면제",
IF(AND(V75="면제",OFFSET(Y75,0,COUNTA(Y75:AV75)-1)=0),"면제",
"확인요청"))))))</f>
        <v>정상</v>
      </c>
      <c r="Y75" s="93" t="n">
        <v>55000</v>
      </c>
      <c r="Z75" s="90" t="n">
        <v>55000</v>
      </c>
      <c r="AA75" s="90" t="n">
        <v>55000</v>
      </c>
      <c r="AB75" s="90" t="n">
        <v>55000</v>
      </c>
      <c r="AC75" s="90" t="n">
        <v>55000</v>
      </c>
      <c r="AD75" s="90" t="n">
        <v>55000</v>
      </c>
      <c r="AE75" s="90" t="n">
        <v>55000</v>
      </c>
      <c r="AF75" s="90" t="n">
        <v>55000</v>
      </c>
      <c r="AG75" s="90" t="n">
        <v>55000</v>
      </c>
      <c r="AH75" s="90" t="n">
        <v>55000</v>
      </c>
      <c r="AI75" s="90" t="n">
        <v>55000</v>
      </c>
      <c r="AJ75" s="91" t="n">
        <v>55000</v>
      </c>
      <c r="AK75" s="89" t="n">
        <v>55000</v>
      </c>
      <c r="AL75" s="90" t="n">
        <v>55000</v>
      </c>
      <c r="AM75" s="90"/>
      <c r="AN75" s="90"/>
      <c r="AO75" s="90"/>
      <c r="AP75" s="90"/>
      <c r="AQ75" s="90"/>
      <c r="AR75" s="90"/>
      <c r="AS75" s="90"/>
      <c r="AT75" s="90"/>
      <c r="AU75" s="90"/>
      <c r="AV75" s="91"/>
      <c r="AX75" s="92"/>
    </row>
    <row r="76" customFormat="false" ht="15.65" hidden="false" customHeight="false" outlineLevel="0" collapsed="false">
      <c r="C76" s="72" t="n">
        <f aca="false">COUNTIFS($D$6:D76,"&lt;&gt;"&amp;"")</f>
        <v>71</v>
      </c>
      <c r="D76" s="73" t="s">
        <v>12</v>
      </c>
      <c r="E76" s="76" t="str">
        <f aca="false">
IF($D76="정상",INDEX(임대자산!$D$3:$R$3000,MATCH($F76,임대자산!$I$3:$I$3000,0),MATCH(E$3,임대자산!$D$3:$R$3,0)),
IF($D76="폐업",INDEX(폐업정보!$D$3:$R$3000,MATCH($F76,폐업정보!$I$3:$I$3000,0),MATCH(E$3,폐업정보!$D$3:$R$3,0)),
"Error"))</f>
        <v>경상</v>
      </c>
      <c r="F7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B0071</v>
      </c>
      <c r="G76" s="76" t="str">
        <f aca="false">F76&amp;RANDBETWEEN(0,10)</f>
        <v>B00718</v>
      </c>
      <c r="H76" s="75" t="n">
        <f aca="false">
IF($D76="정상",INDEX(임대자산!$D$3:$R$3000,MATCH($F76,임대자산!$I$3:$I$3000,0),MATCH(H$4,임대자산!$D$3:$R$3,0)),
IF($D76="폐업",INDEX(폐업정보!$D$3:$R$3000,MATCH($F76,폐업정보!$I$3:$I$3000,0),MATCH(H$4,폐업정보!$D$3:$R$3,0)),
"Error"))</f>
        <v>44133</v>
      </c>
      <c r="I76" s="75" t="str">
        <f aca="false">
IF($D76="정상",INDEX(임대자산!$D$3:$R$3000,MATCH($F76,임대자산!$I$3:$I$3000,0),MATCH(I$4,임대자산!$D$3:$R$3,0)),
IF($D76="폐업",INDEX(폐업정보!$D$3:$R$3000,MATCH($F76,폐업정보!$I$3:$I$3000,0),MATCH(I$4,폐업정보!$D$3:$R$3,0)),
"Error"))</f>
        <v>A0071</v>
      </c>
      <c r="J76" s="75" t="str">
        <f aca="false">
IF($D76="정상",INDEX(임대자산!$D$3:$R$3000,MATCH($F76,임대자산!$I$3:$I$3000,0),MATCH(J$4,임대자산!$D$3:$R$3,0)),
IF($D76="폐업",INDEX(폐업정보!$D$3:$R$3000,MATCH($F76,폐업정보!$I$3:$I$3000,0),MATCH(J$4,폐업정보!$D$3:$R$3,0)),
"Error"))</f>
        <v>9748300000</v>
      </c>
      <c r="K76" s="75" t="str">
        <f aca="false">
IF($D76="정상",INDEX(임대자산!$D$3:$R$3000,MATCH($F76,임대자산!$I$3:$I$3000,0),MATCH(K$4,임대자산!$D$3:$R$3,0)),
IF($D76="폐업",INDEX(폐업정보!$D$3:$R$3000,MATCH($F76,폐업정보!$I$3:$I$3000,0),MATCH(K$4,폐업정보!$D$3:$R$3,0)),
"Error"))</f>
        <v>C0071</v>
      </c>
      <c r="L76" s="75" t="str">
        <f aca="false">
IF($D76="정상",INDEX(임대자산!$D$3:$R$3000,MATCH($F76,임대자산!$I$3:$I$3000,0),MATCH(L$4,임대자산!$D$3:$R$3,0)),
IF($D76="폐업",INDEX(폐업정보!$D$3:$R$3000,MATCH($F76,폐업정보!$I$3:$I$3000,0),MATCH(L$4,폐업정보!$D$3:$R$3,0)),
"Error"))</f>
        <v>D0071</v>
      </c>
      <c r="M76" s="76" t="s">
        <v>96</v>
      </c>
      <c r="N76" s="77"/>
      <c r="O76" s="78" t="s">
        <v>97</v>
      </c>
      <c r="P76" s="79" t="n">
        <f aca="false">COUNTIFS(임대자산!$I:$I,가맹점정보!F76,임대자산!$N:$N,가맹점정보!P$4)</f>
        <v>1</v>
      </c>
      <c r="Q76" s="80" t="n">
        <f aca="false">COUNTIFS(임대자산!$I:$I,가맹점정보!F76,임대자산!$N:$N,가맹점정보!Q$4)</f>
        <v>0</v>
      </c>
      <c r="R76" s="81" t="n">
        <f aca="false">COUNTIFS(임대자산!$I:$I,가맹점정보!F76,임대자산!$N:$N,가맹점정보!R$4)</f>
        <v>0</v>
      </c>
      <c r="S76" s="82" t="n">
        <v>55000</v>
      </c>
      <c r="T76" s="83" t="n">
        <v>0</v>
      </c>
      <c r="U76" s="80" t="n">
        <f aca="false">SUM(S76:T76)</f>
        <v>55000</v>
      </c>
      <c r="V76" s="84" t="s">
        <v>7</v>
      </c>
      <c r="W76" s="80" t="str">
        <f aca="true">
IF(D76="폐업","폐업",
IF(V76="면제","면제",
IF(AND(V76="정상",COUNTIFS(OFFSET(Y76,0,COUNTA(Y76:AV76)-1,1,-4),"미납")&gt;=3),"장기미납",
IF(AND(V76="정상",OFFSET(Y76,0,COUNTA(Y76:AV76)-1)&gt;=U76),"정상",
IF(AND(V76="정상",OFFSET(Y76,0,COUNTA(Y76:AV76)-1)=0),"정상",
"계약서 미작성")))))</f>
        <v>면제</v>
      </c>
      <c r="X76" s="81" t="str">
        <f aca="true">
IF(D76="폐업","폐업",
IF(AND(V76="정상",OFFSET(Y76,0,COUNTA(Y76:AV76)-1)="미납"),"미납",
IF(AND(V76="정상",OFFSET(Y76,0,COUNTA(Y76:AV76)-1)=0),"납부 시작 전",
IF(AND(V76="정상",OFFSET(Y76,0,COUNTA(Y76:AV76)-1)&gt;=U76),"정상",
IF(AND(V76="면제",OFFSET(Y76,0,COUNTA(Y76:AV76)-1)="면제"),"면제",
IF(AND(V76="면제",OFFSET(Y76,0,COUNTA(Y76:AV76)-1)=0),"면제",
"확인요청"))))))</f>
        <v>면제</v>
      </c>
      <c r="Y76" s="94" t="s">
        <v>7</v>
      </c>
      <c r="Z76" s="95" t="s">
        <v>7</v>
      </c>
      <c r="AA76" s="95" t="s">
        <v>7</v>
      </c>
      <c r="AB76" s="95" t="s">
        <v>7</v>
      </c>
      <c r="AC76" s="95" t="s">
        <v>7</v>
      </c>
      <c r="AD76" s="95" t="s">
        <v>7</v>
      </c>
      <c r="AE76" s="95" t="s">
        <v>7</v>
      </c>
      <c r="AF76" s="95" t="s">
        <v>7</v>
      </c>
      <c r="AG76" s="95" t="s">
        <v>7</v>
      </c>
      <c r="AH76" s="95" t="s">
        <v>7</v>
      </c>
      <c r="AI76" s="95" t="s">
        <v>7</v>
      </c>
      <c r="AJ76" s="96" t="s">
        <v>7</v>
      </c>
      <c r="AK76" s="97" t="s">
        <v>7</v>
      </c>
      <c r="AL76" s="95" t="s">
        <v>7</v>
      </c>
      <c r="AM76" s="90"/>
      <c r="AN76" s="90"/>
      <c r="AO76" s="90"/>
      <c r="AP76" s="90"/>
      <c r="AQ76" s="90"/>
      <c r="AR76" s="90"/>
      <c r="AS76" s="90"/>
      <c r="AT76" s="90"/>
      <c r="AU76" s="90"/>
      <c r="AV76" s="91"/>
      <c r="AX76" s="92"/>
    </row>
    <row r="77" customFormat="false" ht="15.65" hidden="false" customHeight="false" outlineLevel="0" collapsed="false">
      <c r="C77" s="72" t="n">
        <f aca="false">COUNTIFS($D$6:D77,"&lt;&gt;"&amp;"")</f>
        <v>72</v>
      </c>
      <c r="D77" s="73" t="s">
        <v>12</v>
      </c>
      <c r="E77" s="76" t="str">
        <f aca="false">
IF($D77="정상",INDEX(임대자산!$D$3:$R$3000,MATCH($F77,임대자산!$I$3:$I$3000,0),MATCH(E$3,임대자산!$D$3:$R$3,0)),
IF($D77="폐업",INDEX(폐업정보!$D$3:$R$3000,MATCH($F77,폐업정보!$I$3:$I$3000,0),MATCH(E$3,폐업정보!$D$3:$R$3,0)),
"Error"))</f>
        <v>경기</v>
      </c>
      <c r="F7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B0072</v>
      </c>
      <c r="G77" s="76" t="str">
        <f aca="false">F77&amp;RANDBETWEEN(0,10)</f>
        <v>B00724</v>
      </c>
      <c r="H77" s="75" t="n">
        <f aca="false">
IF($D77="정상",INDEX(임대자산!$D$3:$R$3000,MATCH($F77,임대자산!$I$3:$I$3000,0),MATCH(H$4,임대자산!$D$3:$R$3,0)),
IF($D77="폐업",INDEX(폐업정보!$D$3:$R$3000,MATCH($F77,폐업정보!$I$3:$I$3000,0),MATCH(H$4,폐업정보!$D$3:$R$3,0)),
"Error"))</f>
        <v>44846</v>
      </c>
      <c r="I77" s="75" t="str">
        <f aca="false">
IF($D77="정상",INDEX(임대자산!$D$3:$R$3000,MATCH($F77,임대자산!$I$3:$I$3000,0),MATCH(I$4,임대자산!$D$3:$R$3,0)),
IF($D77="폐업",INDEX(폐업정보!$D$3:$R$3000,MATCH($F77,폐업정보!$I$3:$I$3000,0),MATCH(I$4,폐업정보!$D$3:$R$3,0)),
"Error"))</f>
        <v>A0072</v>
      </c>
      <c r="J77" s="75" t="str">
        <f aca="false">
IF($D77="정상",INDEX(임대자산!$D$3:$R$3000,MATCH($F77,임대자산!$I$3:$I$3000,0),MATCH(J$4,임대자산!$D$3:$R$3,0)),
IF($D77="폐업",INDEX(폐업정보!$D$3:$R$3000,MATCH($F77,폐업정보!$I$3:$I$3000,0),MATCH(J$4,폐업정보!$D$3:$R$3,0)),
"Error"))</f>
        <v>8091000000</v>
      </c>
      <c r="K77" s="75" t="str">
        <f aca="false">
IF($D77="정상",INDEX(임대자산!$D$3:$R$3000,MATCH($F77,임대자산!$I$3:$I$3000,0),MATCH(K$4,임대자산!$D$3:$R$3,0)),
IF($D77="폐업",INDEX(폐업정보!$D$3:$R$3000,MATCH($F77,폐업정보!$I$3:$I$3000,0),MATCH(K$4,폐업정보!$D$3:$R$3,0)),
"Error"))</f>
        <v>C0072</v>
      </c>
      <c r="L77" s="75" t="str">
        <f aca="false">
IF($D77="정상",INDEX(임대자산!$D$3:$R$3000,MATCH($F77,임대자산!$I$3:$I$3000,0),MATCH(L$4,임대자산!$D$3:$R$3,0)),
IF($D77="폐업",INDEX(폐업정보!$D$3:$R$3000,MATCH($F77,폐업정보!$I$3:$I$3000,0),MATCH(L$4,폐업정보!$D$3:$R$3,0)),
"Error"))</f>
        <v>D0072</v>
      </c>
      <c r="M77" s="76" t="s">
        <v>96</v>
      </c>
      <c r="N77" s="77"/>
      <c r="O77" s="78" t="s">
        <v>97</v>
      </c>
      <c r="P77" s="79" t="n">
        <f aca="false">COUNTIFS(임대자산!$I:$I,가맹점정보!F77,임대자산!$N:$N,가맹점정보!P$4)</f>
        <v>1</v>
      </c>
      <c r="Q77" s="80" t="n">
        <f aca="false">COUNTIFS(임대자산!$I:$I,가맹점정보!F77,임대자산!$N:$N,가맹점정보!Q$4)</f>
        <v>0</v>
      </c>
      <c r="R77" s="81" t="n">
        <f aca="false">COUNTIFS(임대자산!$I:$I,가맹점정보!F77,임대자산!$N:$N,가맹점정보!R$4)</f>
        <v>0</v>
      </c>
      <c r="S77" s="82" t="n">
        <v>55000</v>
      </c>
      <c r="T77" s="83" t="n">
        <v>0</v>
      </c>
      <c r="U77" s="80" t="n">
        <f aca="false">SUM(S77:T77)</f>
        <v>55000</v>
      </c>
      <c r="V77" s="84" t="s">
        <v>7</v>
      </c>
      <c r="W77" s="80" t="str">
        <f aca="true">
IF(D77="폐업","폐업",
IF(V77="면제","면제",
IF(AND(V77="정상",COUNTIFS(OFFSET(Y77,0,COUNTA(Y77:AV77)-1,1,-4),"미납")&gt;=3),"장기미납",
IF(AND(V77="정상",OFFSET(Y77,0,COUNTA(Y77:AV77)-1)&gt;=U77),"정상",
IF(AND(V77="정상",OFFSET(Y77,0,COUNTA(Y77:AV77)-1)=0),"정상",
"계약서 미작성")))))</f>
        <v>면제</v>
      </c>
      <c r="X77" s="81" t="str">
        <f aca="true">
IF(D77="폐업","폐업",
IF(AND(V77="정상",OFFSET(Y77,0,COUNTA(Y77:AV77)-1)="미납"),"미납",
IF(AND(V77="정상",OFFSET(Y77,0,COUNTA(Y77:AV77)-1)=0),"납부 시작 전",
IF(AND(V77="정상",OFFSET(Y77,0,COUNTA(Y77:AV77)-1)&gt;=U77),"정상",
IF(AND(V77="면제",OFFSET(Y77,0,COUNTA(Y77:AV77)-1)="면제"),"면제",
IF(AND(V77="면제",OFFSET(Y77,0,COUNTA(Y77:AV77)-1)=0),"면제",
"확인요청"))))))</f>
        <v>면제</v>
      </c>
      <c r="Y77" s="94" t="s">
        <v>7</v>
      </c>
      <c r="Z77" s="95" t="s">
        <v>7</v>
      </c>
      <c r="AA77" s="95" t="s">
        <v>7</v>
      </c>
      <c r="AB77" s="95" t="s">
        <v>7</v>
      </c>
      <c r="AC77" s="95" t="s">
        <v>7</v>
      </c>
      <c r="AD77" s="95" t="s">
        <v>7</v>
      </c>
      <c r="AE77" s="95" t="s">
        <v>7</v>
      </c>
      <c r="AF77" s="95" t="s">
        <v>7</v>
      </c>
      <c r="AG77" s="95" t="s">
        <v>7</v>
      </c>
      <c r="AH77" s="95" t="s">
        <v>7</v>
      </c>
      <c r="AI77" s="95" t="s">
        <v>7</v>
      </c>
      <c r="AJ77" s="96" t="s">
        <v>7</v>
      </c>
      <c r="AK77" s="97" t="s">
        <v>7</v>
      </c>
      <c r="AL77" s="95" t="s">
        <v>7</v>
      </c>
      <c r="AM77" s="90"/>
      <c r="AN77" s="90"/>
      <c r="AO77" s="90"/>
      <c r="AP77" s="90"/>
      <c r="AQ77" s="90"/>
      <c r="AR77" s="90"/>
      <c r="AS77" s="90"/>
      <c r="AT77" s="90"/>
      <c r="AU77" s="90"/>
      <c r="AV77" s="91"/>
      <c r="AX77" s="92"/>
    </row>
    <row r="78" customFormat="false" ht="15.65" hidden="false" customHeight="false" outlineLevel="0" collapsed="false">
      <c r="C78" s="72" t="n">
        <f aca="false">COUNTIFS($D$6:D78,"&lt;&gt;"&amp;"")</f>
        <v>73</v>
      </c>
      <c r="D78" s="73" t="s">
        <v>5</v>
      </c>
      <c r="E78" s="76" t="str">
        <f aca="false">
IF($D78="정상",INDEX(임대자산!$D$3:$R$3000,MATCH($F78,임대자산!$I$3:$I$3000,0),MATCH(E$3,임대자산!$D$3:$R$3,0)),
IF($D78="폐업",INDEX(폐업정보!$D$3:$R$3000,MATCH($F78,폐업정보!$I$3:$I$3000,0),MATCH(E$3,폐업정보!$D$3:$R$3,0)),
"Error"))</f>
        <v>경기</v>
      </c>
      <c r="F7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B0073</v>
      </c>
      <c r="G78" s="76" t="str">
        <f aca="false">F78&amp;RANDBETWEEN(0,10)</f>
        <v>B00733</v>
      </c>
      <c r="H78" s="75" t="n">
        <f aca="false">
IF($D78="정상",INDEX(임대자산!$D$3:$R$3000,MATCH($F78,임대자산!$I$3:$I$3000,0),MATCH(H$4,임대자산!$D$3:$R$3,0)),
IF($D78="폐업",INDEX(폐업정보!$D$3:$R$3000,MATCH($F78,폐업정보!$I$3:$I$3000,0),MATCH(H$4,폐업정보!$D$3:$R$3,0)),
"Error"))</f>
        <v>44846</v>
      </c>
      <c r="I78" s="75" t="str">
        <f aca="false">
IF($D78="정상",INDEX(임대자산!$D$3:$R$3000,MATCH($F78,임대자산!$I$3:$I$3000,0),MATCH(I$4,임대자산!$D$3:$R$3,0)),
IF($D78="폐업",INDEX(폐업정보!$D$3:$R$3000,MATCH($F78,폐업정보!$I$3:$I$3000,0),MATCH(I$4,폐업정보!$D$3:$R$3,0)),
"Error"))</f>
        <v>A0073</v>
      </c>
      <c r="J78" s="75" t="str">
        <f aca="false">
IF($D78="정상",INDEX(임대자산!$D$3:$R$3000,MATCH($F78,임대자산!$I$3:$I$3000,0),MATCH(J$4,임대자산!$D$3:$R$3,0)),
IF($D78="폐업",INDEX(폐업정보!$D$3:$R$3000,MATCH($F78,폐업정보!$I$3:$I$3000,0),MATCH(J$4,폐업정보!$D$3:$R$3,0)),
"Error"))</f>
        <v>6930800000</v>
      </c>
      <c r="K78" s="75" t="str">
        <f aca="false">
IF($D78="정상",INDEX(임대자산!$D$3:$R$3000,MATCH($F78,임대자산!$I$3:$I$3000,0),MATCH(K$4,임대자산!$D$3:$R$3,0)),
IF($D78="폐업",INDEX(폐업정보!$D$3:$R$3000,MATCH($F78,폐업정보!$I$3:$I$3000,0),MATCH(K$4,폐업정보!$D$3:$R$3,0)),
"Error"))</f>
        <v>C0073</v>
      </c>
      <c r="L78" s="75" t="str">
        <f aca="false">
IF($D78="정상",INDEX(임대자산!$D$3:$R$3000,MATCH($F78,임대자산!$I$3:$I$3000,0),MATCH(L$4,임대자산!$D$3:$R$3,0)),
IF($D78="폐업",INDEX(폐업정보!$D$3:$R$3000,MATCH($F78,폐업정보!$I$3:$I$3000,0),MATCH(L$4,폐업정보!$D$3:$R$3,0)),
"Error"))</f>
        <v>D0073</v>
      </c>
      <c r="M78" s="76" t="s">
        <v>96</v>
      </c>
      <c r="N78" s="77"/>
      <c r="O78" s="78" t="s">
        <v>97</v>
      </c>
      <c r="P78" s="79" t="n">
        <f aca="false">COUNTIFS(임대자산!$I:$I,가맹점정보!F78,임대자산!$N:$N,가맹점정보!P$4)</f>
        <v>0</v>
      </c>
      <c r="Q78" s="80" t="n">
        <f aca="false">COUNTIFS(임대자산!$I:$I,가맹점정보!F78,임대자산!$N:$N,가맹점정보!Q$4)</f>
        <v>0</v>
      </c>
      <c r="R78" s="81" t="n">
        <f aca="false">COUNTIFS(임대자산!$I:$I,가맹점정보!F78,임대자산!$N:$N,가맹점정보!R$4)</f>
        <v>0</v>
      </c>
      <c r="S78" s="82" t="n">
        <v>55000</v>
      </c>
      <c r="T78" s="83" t="n">
        <v>0</v>
      </c>
      <c r="U78" s="80" t="n">
        <f aca="false">SUM(S78:T78)</f>
        <v>55000</v>
      </c>
      <c r="V78" s="84" t="s">
        <v>7</v>
      </c>
      <c r="W78" s="80" t="str">
        <f aca="true">
IF(D78="폐업","폐업",
IF(V78="면제","면제",
IF(AND(V78="정상",COUNTIFS(OFFSET(Y78,0,COUNTA(Y78:AV78)-1,1,-4),"미납")&gt;=3),"장기미납",
IF(AND(V78="정상",OFFSET(Y78,0,COUNTA(Y78:AV78)-1)&gt;=U78),"정상",
IF(AND(V78="정상",OFFSET(Y78,0,COUNTA(Y78:AV78)-1)=0),"정상",
"계약서 미작성")))))</f>
        <v>폐업</v>
      </c>
      <c r="X78" s="81" t="str">
        <f aca="true">
IF(D78="폐업","폐업",
IF(AND(V78="정상",OFFSET(Y78,0,COUNTA(Y78:AV78)-1)="미납"),"미납",
IF(AND(V78="정상",OFFSET(Y78,0,COUNTA(Y78:AV78)-1)=0),"납부 시작 전",
IF(AND(V78="정상",OFFSET(Y78,0,COUNTA(Y78:AV78)-1)&gt;=U78),"정상",
IF(AND(V78="면제",OFFSET(Y78,0,COUNTA(Y78:AV78)-1)="면제"),"면제",
IF(AND(V78="면제",OFFSET(Y78,0,COUNTA(Y78:AV78)-1)=0),"면제",
"확인요청"))))))</f>
        <v>폐업</v>
      </c>
      <c r="Y78" s="94" t="s">
        <v>7</v>
      </c>
      <c r="Z78" s="95" t="s">
        <v>7</v>
      </c>
      <c r="AA78" s="95" t="s">
        <v>7</v>
      </c>
      <c r="AB78" s="95" t="s">
        <v>7</v>
      </c>
      <c r="AC78" s="95" t="s">
        <v>7</v>
      </c>
      <c r="AD78" s="95" t="s">
        <v>7</v>
      </c>
      <c r="AE78" s="95" t="s">
        <v>7</v>
      </c>
      <c r="AF78" s="95" t="s">
        <v>7</v>
      </c>
      <c r="AG78" s="95" t="s">
        <v>7</v>
      </c>
      <c r="AH78" s="95" t="s">
        <v>7</v>
      </c>
      <c r="AI78" s="95" t="s">
        <v>7</v>
      </c>
      <c r="AJ78" s="96" t="s">
        <v>7</v>
      </c>
      <c r="AK78" s="97" t="s">
        <v>7</v>
      </c>
      <c r="AL78" s="95" t="s">
        <v>7</v>
      </c>
      <c r="AM78" s="90"/>
      <c r="AN78" s="90"/>
      <c r="AO78" s="90"/>
      <c r="AP78" s="90"/>
      <c r="AQ78" s="90"/>
      <c r="AR78" s="90"/>
      <c r="AS78" s="90"/>
      <c r="AT78" s="90"/>
      <c r="AU78" s="90"/>
      <c r="AV78" s="91"/>
      <c r="AX78" s="92"/>
    </row>
    <row r="79" customFormat="false" ht="15.65" hidden="false" customHeight="false" outlineLevel="0" collapsed="false">
      <c r="C79" s="72" t="n">
        <f aca="false">COUNTIFS($D$6:D79,"&lt;&gt;"&amp;"")</f>
        <v>74</v>
      </c>
      <c r="D79" s="73" t="s">
        <v>12</v>
      </c>
      <c r="E79" s="76" t="str">
        <f aca="false">
IF($D79="정상",INDEX(임대자산!$D$3:$R$3000,MATCH($F79,임대자산!$I$3:$I$3000,0),MATCH(E$3,임대자산!$D$3:$R$3,0)),
IF($D79="폐업",INDEX(폐업정보!$D$3:$R$3000,MATCH($F79,폐업정보!$I$3:$I$3000,0),MATCH(E$3,폐업정보!$D$3:$R$3,0)),
"Error"))</f>
        <v>강원</v>
      </c>
      <c r="F7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B0074</v>
      </c>
      <c r="G79" s="76" t="str">
        <f aca="false">F79&amp;RANDBETWEEN(0,10)</f>
        <v>B00741</v>
      </c>
      <c r="H79" s="75" t="n">
        <f aca="false">
IF($D79="정상",INDEX(임대자산!$D$3:$R$3000,MATCH($F79,임대자산!$I$3:$I$3000,0),MATCH(H$4,임대자산!$D$3:$R$3,0)),
IF($D79="폐업",INDEX(폐업정보!$D$3:$R$3000,MATCH($F79,폐업정보!$I$3:$I$3000,0),MATCH(H$4,폐업정보!$D$3:$R$3,0)),
"Error"))</f>
        <v>43727</v>
      </c>
      <c r="I79" s="75" t="str">
        <f aca="false">
IF($D79="정상",INDEX(임대자산!$D$3:$R$3000,MATCH($F79,임대자산!$I$3:$I$3000,0),MATCH(I$4,임대자산!$D$3:$R$3,0)),
IF($D79="폐업",INDEX(폐업정보!$D$3:$R$3000,MATCH($F79,폐업정보!$I$3:$I$3000,0),MATCH(I$4,폐업정보!$D$3:$R$3,0)),
"Error"))</f>
        <v>A0074</v>
      </c>
      <c r="J79" s="75" t="str">
        <f aca="false">
IF($D79="정상",INDEX(임대자산!$D$3:$R$3000,MATCH($F79,임대자산!$I$3:$I$3000,0),MATCH(J$4,임대자산!$D$3:$R$3,0)),
IF($D79="폐업",INDEX(폐업정보!$D$3:$R$3000,MATCH($F79,폐업정보!$I$3:$I$3000,0),MATCH(J$4,폐업정보!$D$3:$R$3,0)),
"Error"))</f>
        <v>9240900000</v>
      </c>
      <c r="K79" s="75" t="str">
        <f aca="false">
IF($D79="정상",INDEX(임대자산!$D$3:$R$3000,MATCH($F79,임대자산!$I$3:$I$3000,0),MATCH(K$4,임대자산!$D$3:$R$3,0)),
IF($D79="폐업",INDEX(폐업정보!$D$3:$R$3000,MATCH($F79,폐업정보!$I$3:$I$3000,0),MATCH(K$4,폐업정보!$D$3:$R$3,0)),
"Error"))</f>
        <v>C0074</v>
      </c>
      <c r="L79" s="75" t="str">
        <f aca="false">
IF($D79="정상",INDEX(임대자산!$D$3:$R$3000,MATCH($F79,임대자산!$I$3:$I$3000,0),MATCH(L$4,임대자산!$D$3:$R$3,0)),
IF($D79="폐업",INDEX(폐업정보!$D$3:$R$3000,MATCH($F79,폐업정보!$I$3:$I$3000,0),MATCH(L$4,폐업정보!$D$3:$R$3,0)),
"Error"))</f>
        <v>D0074</v>
      </c>
      <c r="M79" s="76" t="s">
        <v>96</v>
      </c>
      <c r="N79" s="77"/>
      <c r="O79" s="78" t="s">
        <v>97</v>
      </c>
      <c r="P79" s="79" t="n">
        <f aca="false">COUNTIFS(임대자산!$I:$I,가맹점정보!F79,임대자산!$N:$N,가맹점정보!P$4)</f>
        <v>1</v>
      </c>
      <c r="Q79" s="80" t="n">
        <f aca="false">COUNTIFS(임대자산!$I:$I,가맹점정보!F79,임대자산!$N:$N,가맹점정보!Q$4)</f>
        <v>0</v>
      </c>
      <c r="R79" s="81" t="n">
        <f aca="false">COUNTIFS(임대자산!$I:$I,가맹점정보!F79,임대자산!$N:$N,가맹점정보!R$4)</f>
        <v>0</v>
      </c>
      <c r="S79" s="82" t="n">
        <v>88000</v>
      </c>
      <c r="T79" s="83" t="n">
        <v>0</v>
      </c>
      <c r="U79" s="80" t="n">
        <f aca="false">SUM(S79:T79)</f>
        <v>88000</v>
      </c>
      <c r="V79" s="84" t="s">
        <v>7</v>
      </c>
      <c r="W79" s="80" t="str">
        <f aca="true">
IF(D79="폐업","폐업",
IF(V79="면제","면제",
IF(AND(V79="정상",COUNTIFS(OFFSET(Y79,0,COUNTA(Y79:AV79)-1,1,-4),"미납")&gt;=3),"장기미납",
IF(AND(V79="정상",OFFSET(Y79,0,COUNTA(Y79:AV79)-1)&gt;=U79),"정상",
IF(AND(V79="정상",OFFSET(Y79,0,COUNTA(Y79:AV79)-1)=0),"정상",
"계약서 미작성")))))</f>
        <v>면제</v>
      </c>
      <c r="X79" s="81" t="str">
        <f aca="true">
IF(D79="폐업","폐업",
IF(AND(V79="정상",OFFSET(Y79,0,COUNTA(Y79:AV79)-1)="미납"),"미납",
IF(AND(V79="정상",OFFSET(Y79,0,COUNTA(Y79:AV79)-1)=0),"납부 시작 전",
IF(AND(V79="정상",OFFSET(Y79,0,COUNTA(Y79:AV79)-1)&gt;=U79),"정상",
IF(AND(V79="면제",OFFSET(Y79,0,COUNTA(Y79:AV79)-1)="면제"),"면제",
IF(AND(V79="면제",OFFSET(Y79,0,COUNTA(Y79:AV79)-1)=0),"면제",
"확인요청"))))))</f>
        <v>면제</v>
      </c>
      <c r="Y79" s="94" t="s">
        <v>7</v>
      </c>
      <c r="Z79" s="95" t="s">
        <v>7</v>
      </c>
      <c r="AA79" s="95" t="s">
        <v>7</v>
      </c>
      <c r="AB79" s="95" t="s">
        <v>7</v>
      </c>
      <c r="AC79" s="95" t="s">
        <v>7</v>
      </c>
      <c r="AD79" s="95" t="s">
        <v>7</v>
      </c>
      <c r="AE79" s="95" t="s">
        <v>7</v>
      </c>
      <c r="AF79" s="95" t="s">
        <v>7</v>
      </c>
      <c r="AG79" s="95" t="s">
        <v>7</v>
      </c>
      <c r="AH79" s="95" t="s">
        <v>7</v>
      </c>
      <c r="AI79" s="95" t="s">
        <v>7</v>
      </c>
      <c r="AJ79" s="96" t="s">
        <v>7</v>
      </c>
      <c r="AK79" s="97" t="s">
        <v>7</v>
      </c>
      <c r="AL79" s="95" t="s">
        <v>7</v>
      </c>
      <c r="AM79" s="90"/>
      <c r="AN79" s="90"/>
      <c r="AO79" s="90"/>
      <c r="AP79" s="90"/>
      <c r="AQ79" s="90"/>
      <c r="AR79" s="90"/>
      <c r="AS79" s="90"/>
      <c r="AT79" s="90"/>
      <c r="AU79" s="90"/>
      <c r="AV79" s="91"/>
      <c r="AX79" s="92"/>
    </row>
    <row r="80" customFormat="false" ht="15.65" hidden="false" customHeight="false" outlineLevel="0" collapsed="false">
      <c r="C80" s="72" t="n">
        <f aca="false">COUNTIFS($D$6:D80,"&lt;&gt;"&amp;"")</f>
        <v>75</v>
      </c>
      <c r="D80" s="73" t="s">
        <v>12</v>
      </c>
      <c r="E80" s="76" t="str">
        <f aca="false">
IF($D80="정상",INDEX(임대자산!$D$3:$R$3000,MATCH($F80,임대자산!$I$3:$I$3000,0),MATCH(E$3,임대자산!$D$3:$R$3,0)),
IF($D80="폐업",INDEX(폐업정보!$D$3:$R$3000,MATCH($F80,폐업정보!$I$3:$I$3000,0),MATCH(E$3,폐업정보!$D$3:$R$3,0)),
"Error"))</f>
        <v>강원</v>
      </c>
      <c r="F8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B0075</v>
      </c>
      <c r="G80" s="76" t="str">
        <f aca="false">F80&amp;RANDBETWEEN(0,10)</f>
        <v>B00750</v>
      </c>
      <c r="H80" s="75" t="n">
        <f aca="false">
IF($D80="정상",INDEX(임대자산!$D$3:$R$3000,MATCH($F80,임대자산!$I$3:$I$3000,0),MATCH(H$4,임대자산!$D$3:$R$3,0)),
IF($D80="폐업",INDEX(폐업정보!$D$3:$R$3000,MATCH($F80,폐업정보!$I$3:$I$3000,0),MATCH(H$4,폐업정보!$D$3:$R$3,0)),
"Error"))</f>
        <v>43984</v>
      </c>
      <c r="I80" s="75" t="str">
        <f aca="false">
IF($D80="정상",INDEX(임대자산!$D$3:$R$3000,MATCH($F80,임대자산!$I$3:$I$3000,0),MATCH(I$4,임대자산!$D$3:$R$3,0)),
IF($D80="폐업",INDEX(폐업정보!$D$3:$R$3000,MATCH($F80,폐업정보!$I$3:$I$3000,0),MATCH(I$4,폐업정보!$D$3:$R$3,0)),
"Error"))</f>
        <v>A0075</v>
      </c>
      <c r="J80" s="75" t="str">
        <f aca="false">
IF($D80="정상",INDEX(임대자산!$D$3:$R$3000,MATCH($F80,임대자산!$I$3:$I$3000,0),MATCH(J$4,임대자산!$D$3:$R$3,0)),
IF($D80="폐업",INDEX(폐업정보!$D$3:$R$3000,MATCH($F80,폐업정보!$I$3:$I$3000,0),MATCH(J$4,폐업정보!$D$3:$R$3,0)),
"Error"))</f>
        <v>3013900000</v>
      </c>
      <c r="K80" s="75" t="str">
        <f aca="false">
IF($D80="정상",INDEX(임대자산!$D$3:$R$3000,MATCH($F80,임대자산!$I$3:$I$3000,0),MATCH(K$4,임대자산!$D$3:$R$3,0)),
IF($D80="폐업",INDEX(폐업정보!$D$3:$R$3000,MATCH($F80,폐업정보!$I$3:$I$3000,0),MATCH(K$4,폐업정보!$D$3:$R$3,0)),
"Error"))</f>
        <v>C0075</v>
      </c>
      <c r="L80" s="75" t="str">
        <f aca="false">
IF($D80="정상",INDEX(임대자산!$D$3:$R$3000,MATCH($F80,임대자산!$I$3:$I$3000,0),MATCH(L$4,임대자산!$D$3:$R$3,0)),
IF($D80="폐업",INDEX(폐업정보!$D$3:$R$3000,MATCH($F80,폐업정보!$I$3:$I$3000,0),MATCH(L$4,폐업정보!$D$3:$R$3,0)),
"Error"))</f>
        <v>D0075</v>
      </c>
      <c r="M80" s="76" t="s">
        <v>96</v>
      </c>
      <c r="N80" s="77"/>
      <c r="O80" s="78" t="s">
        <v>97</v>
      </c>
      <c r="P80" s="79" t="n">
        <f aca="false">COUNTIFS(임대자산!$I:$I,가맹점정보!F80,임대자산!$N:$N,가맹점정보!P$4)</f>
        <v>1</v>
      </c>
      <c r="Q80" s="80" t="n">
        <f aca="false">COUNTIFS(임대자산!$I:$I,가맹점정보!F80,임대자산!$N:$N,가맹점정보!Q$4)</f>
        <v>0</v>
      </c>
      <c r="R80" s="81" t="n">
        <f aca="false">COUNTIFS(임대자산!$I:$I,가맹점정보!F80,임대자산!$N:$N,가맹점정보!R$4)</f>
        <v>0</v>
      </c>
      <c r="S80" s="82" t="n">
        <v>44000</v>
      </c>
      <c r="T80" s="83" t="n">
        <v>44000</v>
      </c>
      <c r="U80" s="80" t="n">
        <f aca="false">SUM(S80:T80)</f>
        <v>88000</v>
      </c>
      <c r="V80" s="84" t="s">
        <v>12</v>
      </c>
      <c r="W80" s="80" t="e">
        <f aca="true">
IF(D80="폐업","폐업",
IF(V80="면제","면제",
IF(AND(V80="정상",COUNTIFS(OFFSET(Y80,0,COUNTA(Y80:AV80)-1,1,-4),"미납")&gt;=3),"장기미납",
IF(AND(V80="정상",OFFSET(Y80,0,COUNTA(Y80:AV80)-1)&gt;=U80),"정상",
IF(AND(V80="정상",OFFSET(Y80,0,COUNTA(Y80:AV80)-1)=0),"정상",
"계약서 미작성")))))</f>
        <v>#VALUE!</v>
      </c>
      <c r="X80" s="81" t="str">
        <f aca="true">
IF(D80="폐업","폐업",
IF(AND(V80="정상",OFFSET(Y80,0,COUNTA(Y80:AV80)-1)="미납"),"미납",
IF(AND(V80="정상",OFFSET(Y80,0,COUNTA(Y80:AV80)-1)=0),"납부 시작 전",
IF(AND(V80="정상",OFFSET(Y80,0,COUNTA(Y80:AV80)-1)&gt;=U80),"정상",
IF(AND(V80="면제",OFFSET(Y80,0,COUNTA(Y80:AV80)-1)="면제"),"면제",
IF(AND(V80="면제",OFFSET(Y80,0,COUNTA(Y80:AV80)-1)=0),"면제",
"확인요청"))))))</f>
        <v>정상</v>
      </c>
      <c r="Y80" s="93" t="n">
        <v>88000</v>
      </c>
      <c r="Z80" s="90" t="n">
        <v>88000</v>
      </c>
      <c r="AA80" s="90" t="n">
        <v>88000</v>
      </c>
      <c r="AB80" s="90" t="n">
        <v>88000</v>
      </c>
      <c r="AC80" s="90" t="n">
        <v>88000</v>
      </c>
      <c r="AD80" s="90" t="n">
        <v>88000</v>
      </c>
      <c r="AE80" s="90" t="n">
        <v>88000</v>
      </c>
      <c r="AF80" s="90" t="n">
        <v>88000</v>
      </c>
      <c r="AG80" s="90" t="n">
        <v>88000</v>
      </c>
      <c r="AH80" s="90" t="n">
        <v>88000</v>
      </c>
      <c r="AI80" s="90" t="n">
        <v>88000</v>
      </c>
      <c r="AJ80" s="91" t="n">
        <v>88000</v>
      </c>
      <c r="AK80" s="89" t="n">
        <v>88000</v>
      </c>
      <c r="AL80" s="90" t="n">
        <v>88000</v>
      </c>
      <c r="AM80" s="90"/>
      <c r="AN80" s="90"/>
      <c r="AO80" s="90"/>
      <c r="AP80" s="90"/>
      <c r="AQ80" s="90"/>
      <c r="AR80" s="90"/>
      <c r="AS80" s="90"/>
      <c r="AT80" s="90"/>
      <c r="AU80" s="90"/>
      <c r="AV80" s="91"/>
      <c r="AX80" s="92"/>
    </row>
    <row r="81" customFormat="false" ht="15.65" hidden="false" customHeight="false" outlineLevel="0" collapsed="false">
      <c r="C81" s="72" t="n">
        <f aca="false">COUNTIFS($D$6:D81,"&lt;&gt;"&amp;"")</f>
        <v>76</v>
      </c>
      <c r="D81" s="73" t="s">
        <v>12</v>
      </c>
      <c r="E81" s="76" t="str">
        <f aca="false">
IF($D81="정상",INDEX(임대자산!$D$3:$R$3000,MATCH($F81,임대자산!$I$3:$I$3000,0),MATCH(E$3,임대자산!$D$3:$R$3,0)),
IF($D81="폐업",INDEX(폐업정보!$D$3:$R$3000,MATCH($F81,폐업정보!$I$3:$I$3000,0),MATCH(E$3,폐업정보!$D$3:$R$3,0)),
"Error"))</f>
        <v>서울</v>
      </c>
      <c r="F8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B0076</v>
      </c>
      <c r="G81" s="76" t="str">
        <f aca="false">F81&amp;RANDBETWEEN(0,10)</f>
        <v>B00766</v>
      </c>
      <c r="H81" s="75" t="n">
        <f aca="false">
IF($D81="정상",INDEX(임대자산!$D$3:$R$3000,MATCH($F81,임대자산!$I$3:$I$3000,0),MATCH(H$4,임대자산!$D$3:$R$3,0)),
IF($D81="폐업",INDEX(폐업정보!$D$3:$R$3000,MATCH($F81,폐업정보!$I$3:$I$3000,0),MATCH(H$4,폐업정보!$D$3:$R$3,0)),
"Error"))</f>
        <v>45643</v>
      </c>
      <c r="I81" s="75" t="str">
        <f aca="false">
IF($D81="정상",INDEX(임대자산!$D$3:$R$3000,MATCH($F81,임대자산!$I$3:$I$3000,0),MATCH(I$4,임대자산!$D$3:$R$3,0)),
IF($D81="폐업",INDEX(폐업정보!$D$3:$R$3000,MATCH($F81,폐업정보!$I$3:$I$3000,0),MATCH(I$4,폐업정보!$D$3:$R$3,0)),
"Error"))</f>
        <v>A0076</v>
      </c>
      <c r="J81" s="75" t="str">
        <f aca="false">
IF($D81="정상",INDEX(임대자산!$D$3:$R$3000,MATCH($F81,임대자산!$I$3:$I$3000,0),MATCH(J$4,임대자산!$D$3:$R$3,0)),
IF($D81="폐업",INDEX(폐업정보!$D$3:$R$3000,MATCH($F81,폐업정보!$I$3:$I$3000,0),MATCH(J$4,폐업정보!$D$3:$R$3,0)),
"Error"))</f>
        <v>5708100000</v>
      </c>
      <c r="K81" s="75" t="str">
        <f aca="false">
IF($D81="정상",INDEX(임대자산!$D$3:$R$3000,MATCH($F81,임대자산!$I$3:$I$3000,0),MATCH(K$4,임대자산!$D$3:$R$3,0)),
IF($D81="폐업",INDEX(폐업정보!$D$3:$R$3000,MATCH($F81,폐업정보!$I$3:$I$3000,0),MATCH(K$4,폐업정보!$D$3:$R$3,0)),
"Error"))</f>
        <v>C0076</v>
      </c>
      <c r="L81" s="75" t="str">
        <f aca="false">
IF($D81="정상",INDEX(임대자산!$D$3:$R$3000,MATCH($F81,임대자산!$I$3:$I$3000,0),MATCH(L$4,임대자산!$D$3:$R$3,0)),
IF($D81="폐업",INDEX(폐업정보!$D$3:$R$3000,MATCH($F81,폐업정보!$I$3:$I$3000,0),MATCH(L$4,폐업정보!$D$3:$R$3,0)),
"Error"))</f>
        <v>D0076</v>
      </c>
      <c r="M81" s="76" t="s">
        <v>96</v>
      </c>
      <c r="N81" s="77"/>
      <c r="O81" s="78" t="s">
        <v>97</v>
      </c>
      <c r="P81" s="79" t="n">
        <f aca="false">COUNTIFS(임대자산!$I:$I,가맹점정보!F81,임대자산!$N:$N,가맹점정보!P$4)</f>
        <v>1</v>
      </c>
      <c r="Q81" s="80" t="n">
        <f aca="false">COUNTIFS(임대자산!$I:$I,가맹점정보!F81,임대자산!$N:$N,가맹점정보!Q$4)</f>
        <v>0</v>
      </c>
      <c r="R81" s="81" t="n">
        <f aca="false">COUNTIFS(임대자산!$I:$I,가맹점정보!F81,임대자산!$N:$N,가맹점정보!R$4)</f>
        <v>0</v>
      </c>
      <c r="S81" s="82" t="n">
        <v>88000</v>
      </c>
      <c r="T81" s="83" t="n">
        <v>0</v>
      </c>
      <c r="U81" s="80" t="n">
        <f aca="false">SUM(S81:T81)</f>
        <v>88000</v>
      </c>
      <c r="V81" s="84" t="s">
        <v>7</v>
      </c>
      <c r="W81" s="80" t="str">
        <f aca="true">
IF(D81="폐업","폐업",
IF(V81="면제","면제",
IF(AND(V81="정상",COUNTIFS(OFFSET(Y81,0,COUNTA(Y81:AV81)-1,1,-4),"미납")&gt;=3),"장기미납",
IF(AND(V81="정상",OFFSET(Y81,0,COUNTA(Y81:AV81)-1)&gt;=U81),"정상",
IF(AND(V81="정상",OFFSET(Y81,0,COUNTA(Y81:AV81)-1)=0),"정상",
"계약서 미작성")))))</f>
        <v>면제</v>
      </c>
      <c r="X81" s="81" t="str">
        <f aca="true">
IF(D81="폐업","폐업",
IF(AND(V81="정상",OFFSET(Y81,0,COUNTA(Y81:AV81)-1)="미납"),"미납",
IF(AND(V81="정상",OFFSET(Y81,0,COUNTA(Y81:AV81)-1)=0),"납부 시작 전",
IF(AND(V81="정상",OFFSET(Y81,0,COUNTA(Y81:AV81)-1)&gt;=U81),"정상",
IF(AND(V81="면제",OFFSET(Y81,0,COUNTA(Y81:AV81)-1)="면제"),"면제",
IF(AND(V81="면제",OFFSET(Y81,0,COUNTA(Y81:AV81)-1)=0),"면제",
"확인요청"))))))</f>
        <v>면제</v>
      </c>
      <c r="Y81" s="94" t="s">
        <v>7</v>
      </c>
      <c r="Z81" s="95" t="s">
        <v>7</v>
      </c>
      <c r="AA81" s="95" t="s">
        <v>7</v>
      </c>
      <c r="AB81" s="95" t="s">
        <v>7</v>
      </c>
      <c r="AC81" s="95" t="s">
        <v>7</v>
      </c>
      <c r="AD81" s="95" t="s">
        <v>7</v>
      </c>
      <c r="AE81" s="95" t="s">
        <v>7</v>
      </c>
      <c r="AF81" s="95" t="s">
        <v>7</v>
      </c>
      <c r="AG81" s="95" t="s">
        <v>7</v>
      </c>
      <c r="AH81" s="95" t="s">
        <v>7</v>
      </c>
      <c r="AI81" s="95" t="s">
        <v>7</v>
      </c>
      <c r="AJ81" s="96" t="s">
        <v>7</v>
      </c>
      <c r="AK81" s="97" t="s">
        <v>7</v>
      </c>
      <c r="AL81" s="95" t="s">
        <v>7</v>
      </c>
      <c r="AM81" s="90"/>
      <c r="AN81" s="90"/>
      <c r="AO81" s="90"/>
      <c r="AP81" s="90"/>
      <c r="AQ81" s="90"/>
      <c r="AR81" s="90"/>
      <c r="AS81" s="90"/>
      <c r="AT81" s="90"/>
      <c r="AU81" s="90"/>
      <c r="AV81" s="91"/>
      <c r="AX81" s="92"/>
    </row>
    <row r="82" customFormat="false" ht="15.65" hidden="false" customHeight="false" outlineLevel="0" collapsed="false">
      <c r="C82" s="72" t="n">
        <f aca="false">COUNTIFS($D$6:D82,"&lt;&gt;"&amp;"")</f>
        <v>77</v>
      </c>
      <c r="D82" s="73" t="s">
        <v>12</v>
      </c>
      <c r="E82" s="76" t="str">
        <f aca="false">
IF($D82="정상",INDEX(임대자산!$D$3:$R$3000,MATCH($F82,임대자산!$I$3:$I$3000,0),MATCH(E$3,임대자산!$D$3:$R$3,0)),
IF($D82="폐업",INDEX(폐업정보!$D$3:$R$3000,MATCH($F82,폐업정보!$I$3:$I$3000,0),MATCH(E$3,폐업정보!$D$3:$R$3,0)),
"Error"))</f>
        <v>서울</v>
      </c>
      <c r="F8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B0077</v>
      </c>
      <c r="G82" s="76" t="str">
        <f aca="false">F82&amp;RANDBETWEEN(0,10)</f>
        <v>B00770</v>
      </c>
      <c r="H82" s="75" t="n">
        <f aca="false">
IF($D82="정상",INDEX(임대자산!$D$3:$R$3000,MATCH($F82,임대자산!$I$3:$I$3000,0),MATCH(H$4,임대자산!$D$3:$R$3,0)),
IF($D82="폐업",INDEX(폐업정보!$D$3:$R$3000,MATCH($F82,폐업정보!$I$3:$I$3000,0),MATCH(H$4,폐업정보!$D$3:$R$3,0)),
"Error"))</f>
        <v>43971</v>
      </c>
      <c r="I82" s="75" t="str">
        <f aca="false">
IF($D82="정상",INDEX(임대자산!$D$3:$R$3000,MATCH($F82,임대자산!$I$3:$I$3000,0),MATCH(I$4,임대자산!$D$3:$R$3,0)),
IF($D82="폐업",INDEX(폐업정보!$D$3:$R$3000,MATCH($F82,폐업정보!$I$3:$I$3000,0),MATCH(I$4,폐업정보!$D$3:$R$3,0)),
"Error"))</f>
        <v>A0077</v>
      </c>
      <c r="J82" s="75" t="str">
        <f aca="false">
IF($D82="정상",INDEX(임대자산!$D$3:$R$3000,MATCH($F82,임대자산!$I$3:$I$3000,0),MATCH(J$4,임대자산!$D$3:$R$3,0)),
IF($D82="폐업",INDEX(폐업정보!$D$3:$R$3000,MATCH($F82,폐업정보!$I$3:$I$3000,0),MATCH(J$4,폐업정보!$D$3:$R$3,0)),
"Error"))</f>
        <v>3849600000</v>
      </c>
      <c r="K82" s="75" t="str">
        <f aca="false">
IF($D82="정상",INDEX(임대자산!$D$3:$R$3000,MATCH($F82,임대자산!$I$3:$I$3000,0),MATCH(K$4,임대자산!$D$3:$R$3,0)),
IF($D82="폐업",INDEX(폐업정보!$D$3:$R$3000,MATCH($F82,폐업정보!$I$3:$I$3000,0),MATCH(K$4,폐업정보!$D$3:$R$3,0)),
"Error"))</f>
        <v>C0077</v>
      </c>
      <c r="L82" s="75" t="str">
        <f aca="false">
IF($D82="정상",INDEX(임대자산!$D$3:$R$3000,MATCH($F82,임대자산!$I$3:$I$3000,0),MATCH(L$4,임대자산!$D$3:$R$3,0)),
IF($D82="폐업",INDEX(폐업정보!$D$3:$R$3000,MATCH($F82,폐업정보!$I$3:$I$3000,0),MATCH(L$4,폐업정보!$D$3:$R$3,0)),
"Error"))</f>
        <v>D0077</v>
      </c>
      <c r="M82" s="76" t="s">
        <v>96</v>
      </c>
      <c r="N82" s="77"/>
      <c r="O82" s="78" t="s">
        <v>97</v>
      </c>
      <c r="P82" s="79" t="n">
        <f aca="false">COUNTIFS(임대자산!$I:$I,가맹점정보!F82,임대자산!$N:$N,가맹점정보!P$4)</f>
        <v>1</v>
      </c>
      <c r="Q82" s="80" t="n">
        <f aca="false">COUNTIFS(임대자산!$I:$I,가맹점정보!F82,임대자산!$N:$N,가맹점정보!Q$4)</f>
        <v>0</v>
      </c>
      <c r="R82" s="81" t="n">
        <f aca="false">COUNTIFS(임대자산!$I:$I,가맹점정보!F82,임대자산!$N:$N,가맹점정보!R$4)</f>
        <v>0</v>
      </c>
      <c r="S82" s="82" t="n">
        <v>88000</v>
      </c>
      <c r="T82" s="83" t="n">
        <v>0</v>
      </c>
      <c r="U82" s="80" t="n">
        <f aca="false">SUM(S82:T82)</f>
        <v>88000</v>
      </c>
      <c r="V82" s="84" t="s">
        <v>7</v>
      </c>
      <c r="W82" s="80" t="str">
        <f aca="true">
IF(D82="폐업","폐업",
IF(V82="면제","면제",
IF(AND(V82="정상",COUNTIFS(OFFSET(Y82,0,COUNTA(Y82:AV82)-1,1,-4),"미납")&gt;=3),"장기미납",
IF(AND(V82="정상",OFFSET(Y82,0,COUNTA(Y82:AV82)-1)&gt;=U82),"정상",
IF(AND(V82="정상",OFFSET(Y82,0,COUNTA(Y82:AV82)-1)=0),"정상",
"계약서 미작성")))))</f>
        <v>면제</v>
      </c>
      <c r="X82" s="81" t="str">
        <f aca="true">
IF(D82="폐업","폐업",
IF(AND(V82="정상",OFFSET(Y82,0,COUNTA(Y82:AV82)-1)="미납"),"미납",
IF(AND(V82="정상",OFFSET(Y82,0,COUNTA(Y82:AV82)-1)=0),"납부 시작 전",
IF(AND(V82="정상",OFFSET(Y82,0,COUNTA(Y82:AV82)-1)&gt;=U82),"정상",
IF(AND(V82="면제",OFFSET(Y82,0,COUNTA(Y82:AV82)-1)="면제"),"면제",
IF(AND(V82="면제",OFFSET(Y82,0,COUNTA(Y82:AV82)-1)=0),"면제",
"확인요청"))))))</f>
        <v>면제</v>
      </c>
      <c r="Y82" s="94" t="s">
        <v>7</v>
      </c>
      <c r="Z82" s="95" t="s">
        <v>7</v>
      </c>
      <c r="AA82" s="95" t="s">
        <v>7</v>
      </c>
      <c r="AB82" s="95" t="s">
        <v>7</v>
      </c>
      <c r="AC82" s="95" t="s">
        <v>7</v>
      </c>
      <c r="AD82" s="95" t="s">
        <v>7</v>
      </c>
      <c r="AE82" s="95" t="s">
        <v>7</v>
      </c>
      <c r="AF82" s="95" t="s">
        <v>7</v>
      </c>
      <c r="AG82" s="95" t="s">
        <v>7</v>
      </c>
      <c r="AH82" s="95" t="s">
        <v>7</v>
      </c>
      <c r="AI82" s="95" t="s">
        <v>7</v>
      </c>
      <c r="AJ82" s="96" t="s">
        <v>7</v>
      </c>
      <c r="AK82" s="97" t="s">
        <v>7</v>
      </c>
      <c r="AL82" s="95" t="s">
        <v>7</v>
      </c>
      <c r="AM82" s="90"/>
      <c r="AN82" s="90"/>
      <c r="AO82" s="90"/>
      <c r="AP82" s="90"/>
      <c r="AQ82" s="90"/>
      <c r="AR82" s="90"/>
      <c r="AS82" s="90"/>
      <c r="AT82" s="90"/>
      <c r="AU82" s="90"/>
      <c r="AV82" s="91"/>
      <c r="AX82" s="92"/>
    </row>
    <row r="83" customFormat="false" ht="15.65" hidden="false" customHeight="false" outlineLevel="0" collapsed="false">
      <c r="C83" s="72" t="n">
        <f aca="false">COUNTIFS($D$6:D83,"&lt;&gt;"&amp;"")</f>
        <v>78</v>
      </c>
      <c r="D83" s="73" t="s">
        <v>12</v>
      </c>
      <c r="E83" s="76" t="str">
        <f aca="false">
IF($D83="정상",INDEX(임대자산!$D$3:$R$3000,MATCH($F83,임대자산!$I$3:$I$3000,0),MATCH(E$3,임대자산!$D$3:$R$3,0)),
IF($D83="폐업",INDEX(폐업정보!$D$3:$R$3000,MATCH($F83,폐업정보!$I$3:$I$3000,0),MATCH(E$3,폐업정보!$D$3:$R$3,0)),
"Error"))</f>
        <v>전라</v>
      </c>
      <c r="F8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B0078</v>
      </c>
      <c r="G83" s="76" t="str">
        <f aca="false">F83&amp;RANDBETWEEN(0,10)</f>
        <v>B007810</v>
      </c>
      <c r="H83" s="75" t="n">
        <f aca="false">
IF($D83="정상",INDEX(임대자산!$D$3:$R$3000,MATCH($F83,임대자산!$I$3:$I$3000,0),MATCH(H$4,임대자산!$D$3:$R$3,0)),
IF($D83="폐업",INDEX(폐업정보!$D$3:$R$3000,MATCH($F83,폐업정보!$I$3:$I$3000,0),MATCH(H$4,폐업정보!$D$3:$R$3,0)),
"Error"))</f>
        <v>44445</v>
      </c>
      <c r="I83" s="75" t="str">
        <f aca="false">
IF($D83="정상",INDEX(임대자산!$D$3:$R$3000,MATCH($F83,임대자산!$I$3:$I$3000,0),MATCH(I$4,임대자산!$D$3:$R$3,0)),
IF($D83="폐업",INDEX(폐업정보!$D$3:$R$3000,MATCH($F83,폐업정보!$I$3:$I$3000,0),MATCH(I$4,폐업정보!$D$3:$R$3,0)),
"Error"))</f>
        <v>A0078</v>
      </c>
      <c r="J83" s="75" t="str">
        <f aca="false">
IF($D83="정상",INDEX(임대자산!$D$3:$R$3000,MATCH($F83,임대자산!$I$3:$I$3000,0),MATCH(J$4,임대자산!$D$3:$R$3,0)),
IF($D83="폐업",INDEX(폐업정보!$D$3:$R$3000,MATCH($F83,폐업정보!$I$3:$I$3000,0),MATCH(J$4,폐업정보!$D$3:$R$3,0)),
"Error"))</f>
        <v>9034500000</v>
      </c>
      <c r="K83" s="75" t="str">
        <f aca="false">
IF($D83="정상",INDEX(임대자산!$D$3:$R$3000,MATCH($F83,임대자산!$I$3:$I$3000,0),MATCH(K$4,임대자산!$D$3:$R$3,0)),
IF($D83="폐업",INDEX(폐업정보!$D$3:$R$3000,MATCH($F83,폐업정보!$I$3:$I$3000,0),MATCH(K$4,폐업정보!$D$3:$R$3,0)),
"Error"))</f>
        <v>C0078</v>
      </c>
      <c r="L83" s="75" t="str">
        <f aca="false">
IF($D83="정상",INDEX(임대자산!$D$3:$R$3000,MATCH($F83,임대자산!$I$3:$I$3000,0),MATCH(L$4,임대자산!$D$3:$R$3,0)),
IF($D83="폐업",INDEX(폐업정보!$D$3:$R$3000,MATCH($F83,폐업정보!$I$3:$I$3000,0),MATCH(L$4,폐업정보!$D$3:$R$3,0)),
"Error"))</f>
        <v>D0078</v>
      </c>
      <c r="M83" s="76" t="s">
        <v>96</v>
      </c>
      <c r="N83" s="77"/>
      <c r="O83" s="78" t="s">
        <v>97</v>
      </c>
      <c r="P83" s="79" t="n">
        <f aca="false">COUNTIFS(임대자산!$I:$I,가맹점정보!F83,임대자산!$N:$N,가맹점정보!P$4)</f>
        <v>1</v>
      </c>
      <c r="Q83" s="80" t="n">
        <f aca="false">COUNTIFS(임대자산!$I:$I,가맹점정보!F83,임대자산!$N:$N,가맹점정보!Q$4)</f>
        <v>0</v>
      </c>
      <c r="R83" s="81" t="n">
        <f aca="false">COUNTIFS(임대자산!$I:$I,가맹점정보!F83,임대자산!$N:$N,가맹점정보!R$4)</f>
        <v>0</v>
      </c>
      <c r="S83" s="82" t="n">
        <v>55000</v>
      </c>
      <c r="T83" s="83" t="n">
        <v>0</v>
      </c>
      <c r="U83" s="80" t="n">
        <f aca="false">SUM(S83:T83)</f>
        <v>55000</v>
      </c>
      <c r="V83" s="84" t="s">
        <v>12</v>
      </c>
      <c r="W83" s="80" t="e">
        <f aca="true">
IF(D83="폐업","폐업",
IF(V83="면제","면제",
IF(AND(V83="정상",COUNTIFS(OFFSET(Y83,0,COUNTA(Y83:AV83)-1,1,-4),"미납")&gt;=3),"장기미납",
IF(AND(V83="정상",OFFSET(Y83,0,COUNTA(Y83:AV83)-1)&gt;=U83),"정상",
IF(AND(V83="정상",OFFSET(Y83,0,COUNTA(Y83:AV83)-1)=0),"정상",
"계약서 미작성")))))</f>
        <v>#VALUE!</v>
      </c>
      <c r="X83" s="81" t="str">
        <f aca="true">
IF(D83="폐업","폐업",
IF(AND(V83="정상",OFFSET(Y83,0,COUNTA(Y83:AV83)-1)="미납"),"미납",
IF(AND(V83="정상",OFFSET(Y83,0,COUNTA(Y83:AV83)-1)=0),"납부 시작 전",
IF(AND(V83="정상",OFFSET(Y83,0,COUNTA(Y83:AV83)-1)&gt;=U83),"정상",
IF(AND(V83="면제",OFFSET(Y83,0,COUNTA(Y83:AV83)-1)="면제"),"면제",
IF(AND(V83="면제",OFFSET(Y83,0,COUNTA(Y83:AV83)-1)=0),"면제",
"확인요청"))))))</f>
        <v>정상</v>
      </c>
      <c r="Y83" s="93" t="n">
        <v>55000</v>
      </c>
      <c r="Z83" s="90" t="n">
        <v>55000</v>
      </c>
      <c r="AA83" s="90" t="n">
        <v>55000</v>
      </c>
      <c r="AB83" s="90" t="n">
        <v>55000</v>
      </c>
      <c r="AC83" s="90" t="n">
        <v>55000</v>
      </c>
      <c r="AD83" s="90" t="n">
        <v>55000</v>
      </c>
      <c r="AE83" s="90" t="n">
        <v>55000</v>
      </c>
      <c r="AF83" s="90" t="n">
        <v>55000</v>
      </c>
      <c r="AG83" s="90" t="n">
        <v>55000</v>
      </c>
      <c r="AH83" s="90" t="n">
        <v>55000</v>
      </c>
      <c r="AI83" s="90" t="n">
        <v>55000</v>
      </c>
      <c r="AJ83" s="91" t="n">
        <v>55000</v>
      </c>
      <c r="AK83" s="89" t="n">
        <v>55000</v>
      </c>
      <c r="AL83" s="90" t="n">
        <v>55000</v>
      </c>
      <c r="AM83" s="90"/>
      <c r="AN83" s="90"/>
      <c r="AO83" s="90"/>
      <c r="AP83" s="90"/>
      <c r="AQ83" s="90"/>
      <c r="AR83" s="90"/>
      <c r="AS83" s="90"/>
      <c r="AT83" s="90"/>
      <c r="AU83" s="90"/>
      <c r="AV83" s="91"/>
      <c r="AX83" s="92"/>
    </row>
    <row r="84" customFormat="false" ht="15.65" hidden="false" customHeight="false" outlineLevel="0" collapsed="false">
      <c r="C84" s="72" t="n">
        <f aca="false">COUNTIFS($D$6:D84,"&lt;&gt;"&amp;"")</f>
        <v>79</v>
      </c>
      <c r="D84" s="73" t="s">
        <v>12</v>
      </c>
      <c r="E84" s="76" t="str">
        <f aca="false">
IF($D84="정상",INDEX(임대자산!$D$3:$R$3000,MATCH($F84,임대자산!$I$3:$I$3000,0),MATCH(E$3,임대자산!$D$3:$R$3,0)),
IF($D84="폐업",INDEX(폐업정보!$D$3:$R$3000,MATCH($F84,폐업정보!$I$3:$I$3000,0),MATCH(E$3,폐업정보!$D$3:$R$3,0)),
"Error"))</f>
        <v>경상</v>
      </c>
      <c r="F8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B0079</v>
      </c>
      <c r="G84" s="76" t="str">
        <f aca="false">F84&amp;RANDBETWEEN(0,10)</f>
        <v>B00792</v>
      </c>
      <c r="H84" s="75" t="n">
        <f aca="false">
IF($D84="정상",INDEX(임대자산!$D$3:$R$3000,MATCH($F84,임대자산!$I$3:$I$3000,0),MATCH(H$4,임대자산!$D$3:$R$3,0)),
IF($D84="폐업",INDEX(폐업정보!$D$3:$R$3000,MATCH($F84,폐업정보!$I$3:$I$3000,0),MATCH(H$4,폐업정보!$D$3:$R$3,0)),
"Error"))</f>
        <v>44005</v>
      </c>
      <c r="I84" s="75" t="str">
        <f aca="false">
IF($D84="정상",INDEX(임대자산!$D$3:$R$3000,MATCH($F84,임대자산!$I$3:$I$3000,0),MATCH(I$4,임대자산!$D$3:$R$3,0)),
IF($D84="폐업",INDEX(폐업정보!$D$3:$R$3000,MATCH($F84,폐업정보!$I$3:$I$3000,0),MATCH(I$4,폐업정보!$D$3:$R$3,0)),
"Error"))</f>
        <v>A0079</v>
      </c>
      <c r="J84" s="75" t="str">
        <f aca="false">
IF($D84="정상",INDEX(임대자산!$D$3:$R$3000,MATCH($F84,임대자산!$I$3:$I$3000,0),MATCH(J$4,임대자산!$D$3:$R$3,0)),
IF($D84="폐업",INDEX(폐업정보!$D$3:$R$3000,MATCH($F84,폐업정보!$I$3:$I$3000,0),MATCH(J$4,폐업정보!$D$3:$R$3,0)),
"Error"))</f>
        <v>3909100000</v>
      </c>
      <c r="K84" s="75" t="str">
        <f aca="false">
IF($D84="정상",INDEX(임대자산!$D$3:$R$3000,MATCH($F84,임대자산!$I$3:$I$3000,0),MATCH(K$4,임대자산!$D$3:$R$3,0)),
IF($D84="폐업",INDEX(폐업정보!$D$3:$R$3000,MATCH($F84,폐업정보!$I$3:$I$3000,0),MATCH(K$4,폐업정보!$D$3:$R$3,0)),
"Error"))</f>
        <v>C0079</v>
      </c>
      <c r="L84" s="75" t="str">
        <f aca="false">
IF($D84="정상",INDEX(임대자산!$D$3:$R$3000,MATCH($F84,임대자산!$I$3:$I$3000,0),MATCH(L$4,임대자산!$D$3:$R$3,0)),
IF($D84="폐업",INDEX(폐업정보!$D$3:$R$3000,MATCH($F84,폐업정보!$I$3:$I$3000,0),MATCH(L$4,폐업정보!$D$3:$R$3,0)),
"Error"))</f>
        <v>D0079</v>
      </c>
      <c r="M84" s="76" t="s">
        <v>96</v>
      </c>
      <c r="N84" s="77"/>
      <c r="O84" s="78" t="s">
        <v>97</v>
      </c>
      <c r="P84" s="79" t="n">
        <f aca="false">COUNTIFS(임대자산!$I:$I,가맹점정보!F84,임대자산!$N:$N,가맹점정보!P$4)</f>
        <v>1</v>
      </c>
      <c r="Q84" s="80" t="n">
        <f aca="false">COUNTIFS(임대자산!$I:$I,가맹점정보!F84,임대자산!$N:$N,가맹점정보!Q$4)</f>
        <v>0</v>
      </c>
      <c r="R84" s="81" t="n">
        <f aca="false">COUNTIFS(임대자산!$I:$I,가맹점정보!F84,임대자산!$N:$N,가맹점정보!R$4)</f>
        <v>0</v>
      </c>
      <c r="S84" s="82" t="n">
        <v>55000</v>
      </c>
      <c r="T84" s="83" t="n">
        <v>0</v>
      </c>
      <c r="U84" s="80" t="n">
        <f aca="false">SUM(S84:T84)</f>
        <v>55000</v>
      </c>
      <c r="V84" s="84" t="s">
        <v>7</v>
      </c>
      <c r="W84" s="80" t="str">
        <f aca="true">
IF(D84="폐업","폐업",
IF(V84="면제","면제",
IF(AND(V84="정상",COUNTIFS(OFFSET(Y84,0,COUNTA(Y84:AV84)-1,1,-4),"미납")&gt;=3),"장기미납",
IF(AND(V84="정상",OFFSET(Y84,0,COUNTA(Y84:AV84)-1)&gt;=U84),"정상",
IF(AND(V84="정상",OFFSET(Y84,0,COUNTA(Y84:AV84)-1)=0),"정상",
"계약서 미작성")))))</f>
        <v>면제</v>
      </c>
      <c r="X84" s="81" t="str">
        <f aca="true">
IF(D84="폐업","폐업",
IF(AND(V84="정상",OFFSET(Y84,0,COUNTA(Y84:AV84)-1)="미납"),"미납",
IF(AND(V84="정상",OFFSET(Y84,0,COUNTA(Y84:AV84)-1)=0),"납부 시작 전",
IF(AND(V84="정상",OFFSET(Y84,0,COUNTA(Y84:AV84)-1)&gt;=U84),"정상",
IF(AND(V84="면제",OFFSET(Y84,0,COUNTA(Y84:AV84)-1)="면제"),"면제",
IF(AND(V84="면제",OFFSET(Y84,0,COUNTA(Y84:AV84)-1)=0),"면제",
"확인요청"))))))</f>
        <v>면제</v>
      </c>
      <c r="Y84" s="94" t="s">
        <v>7</v>
      </c>
      <c r="Z84" s="95" t="s">
        <v>7</v>
      </c>
      <c r="AA84" s="95" t="s">
        <v>7</v>
      </c>
      <c r="AB84" s="95" t="s">
        <v>7</v>
      </c>
      <c r="AC84" s="95" t="s">
        <v>7</v>
      </c>
      <c r="AD84" s="95" t="s">
        <v>7</v>
      </c>
      <c r="AE84" s="95" t="s">
        <v>7</v>
      </c>
      <c r="AF84" s="95" t="s">
        <v>7</v>
      </c>
      <c r="AG84" s="95" t="s">
        <v>7</v>
      </c>
      <c r="AH84" s="95" t="s">
        <v>7</v>
      </c>
      <c r="AI84" s="95" t="s">
        <v>7</v>
      </c>
      <c r="AJ84" s="96" t="s">
        <v>7</v>
      </c>
      <c r="AK84" s="97" t="s">
        <v>7</v>
      </c>
      <c r="AL84" s="95" t="s">
        <v>7</v>
      </c>
      <c r="AM84" s="90"/>
      <c r="AN84" s="90"/>
      <c r="AO84" s="90"/>
      <c r="AP84" s="90"/>
      <c r="AQ84" s="90"/>
      <c r="AR84" s="90"/>
      <c r="AS84" s="90"/>
      <c r="AT84" s="90"/>
      <c r="AU84" s="90"/>
      <c r="AV84" s="91"/>
      <c r="AX84" s="92"/>
    </row>
    <row r="85" customFormat="false" ht="15.65" hidden="false" customHeight="false" outlineLevel="0" collapsed="false">
      <c r="C85" s="72" t="n">
        <f aca="false">COUNTIFS($D$6:D85,"&lt;&gt;"&amp;"")</f>
        <v>80</v>
      </c>
      <c r="D85" s="73" t="s">
        <v>12</v>
      </c>
      <c r="E85" s="76" t="str">
        <f aca="false">
IF($D85="정상",INDEX(임대자산!$D$3:$R$3000,MATCH($F85,임대자산!$I$3:$I$3000,0),MATCH(E$3,임대자산!$D$3:$R$3,0)),
IF($D85="폐업",INDEX(폐업정보!$D$3:$R$3000,MATCH($F85,폐업정보!$I$3:$I$3000,0),MATCH(E$3,폐업정보!$D$3:$R$3,0)),
"Error"))</f>
        <v>경상</v>
      </c>
      <c r="F8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B0080</v>
      </c>
      <c r="G85" s="76" t="str">
        <f aca="false">F85&amp;RANDBETWEEN(0,10)</f>
        <v>B00806</v>
      </c>
      <c r="H85" s="75" t="n">
        <f aca="false">
IF($D85="정상",INDEX(임대자산!$D$3:$R$3000,MATCH($F85,임대자산!$I$3:$I$3000,0),MATCH(H$4,임대자산!$D$3:$R$3,0)),
IF($D85="폐업",INDEX(폐업정보!$D$3:$R$3000,MATCH($F85,폐업정보!$I$3:$I$3000,0),MATCH(H$4,폐업정보!$D$3:$R$3,0)),
"Error"))</f>
        <v>44756</v>
      </c>
      <c r="I85" s="75" t="str">
        <f aca="false">
IF($D85="정상",INDEX(임대자산!$D$3:$R$3000,MATCH($F85,임대자산!$I$3:$I$3000,0),MATCH(I$4,임대자산!$D$3:$R$3,0)),
IF($D85="폐업",INDEX(폐업정보!$D$3:$R$3000,MATCH($F85,폐업정보!$I$3:$I$3000,0),MATCH(I$4,폐업정보!$D$3:$R$3,0)),
"Error"))</f>
        <v>A0080</v>
      </c>
      <c r="J85" s="75" t="str">
        <f aca="false">
IF($D85="정상",INDEX(임대자산!$D$3:$R$3000,MATCH($F85,임대자산!$I$3:$I$3000,0),MATCH(J$4,임대자산!$D$3:$R$3,0)),
IF($D85="폐업",INDEX(폐업정보!$D$3:$R$3000,MATCH($F85,폐업정보!$I$3:$I$3000,0),MATCH(J$4,폐업정보!$D$3:$R$3,0)),
"Error"))</f>
        <v>8646700000</v>
      </c>
      <c r="K85" s="75" t="str">
        <f aca="false">
IF($D85="정상",INDEX(임대자산!$D$3:$R$3000,MATCH($F85,임대자산!$I$3:$I$3000,0),MATCH(K$4,임대자산!$D$3:$R$3,0)),
IF($D85="폐업",INDEX(폐업정보!$D$3:$R$3000,MATCH($F85,폐업정보!$I$3:$I$3000,0),MATCH(K$4,폐업정보!$D$3:$R$3,0)),
"Error"))</f>
        <v>C0080</v>
      </c>
      <c r="L85" s="75" t="str">
        <f aca="false">
IF($D85="정상",INDEX(임대자산!$D$3:$R$3000,MATCH($F85,임대자산!$I$3:$I$3000,0),MATCH(L$4,임대자산!$D$3:$R$3,0)),
IF($D85="폐업",INDEX(폐업정보!$D$3:$R$3000,MATCH($F85,폐업정보!$I$3:$I$3000,0),MATCH(L$4,폐업정보!$D$3:$R$3,0)),
"Error"))</f>
        <v>D0080</v>
      </c>
      <c r="M85" s="76" t="s">
        <v>96</v>
      </c>
      <c r="N85" s="77"/>
      <c r="O85" s="78" t="s">
        <v>97</v>
      </c>
      <c r="P85" s="79" t="n">
        <f aca="false">COUNTIFS(임대자산!$I:$I,가맹점정보!F85,임대자산!$N:$N,가맹점정보!P$4)</f>
        <v>1</v>
      </c>
      <c r="Q85" s="80" t="n">
        <f aca="false">COUNTIFS(임대자산!$I:$I,가맹점정보!F85,임대자산!$N:$N,가맹점정보!Q$4)</f>
        <v>0</v>
      </c>
      <c r="R85" s="81" t="n">
        <f aca="false">COUNTIFS(임대자산!$I:$I,가맹점정보!F85,임대자산!$N:$N,가맹점정보!R$4)</f>
        <v>0</v>
      </c>
      <c r="S85" s="82" t="n">
        <v>55000</v>
      </c>
      <c r="T85" s="83" t="n">
        <v>0</v>
      </c>
      <c r="U85" s="80" t="n">
        <f aca="false">SUM(S85:T85)</f>
        <v>55000</v>
      </c>
      <c r="V85" s="84" t="s">
        <v>12</v>
      </c>
      <c r="W85" s="80" t="e">
        <f aca="true">
IF(D85="폐업","폐업",
IF(V85="면제","면제",
IF(AND(V85="정상",COUNTIFS(OFFSET(Y85,0,COUNTA(Y85:AV85)-1,1,-4),"미납")&gt;=3),"장기미납",
IF(AND(V85="정상",OFFSET(Y85,0,COUNTA(Y85:AV85)-1)&gt;=U85),"정상",
IF(AND(V85="정상",OFFSET(Y85,0,COUNTA(Y85:AV85)-1)=0),"정상",
"계약서 미작성")))))</f>
        <v>#VALUE!</v>
      </c>
      <c r="X85" s="81" t="str">
        <f aca="true">
IF(D85="폐업","폐업",
IF(AND(V85="정상",OFFSET(Y85,0,COUNTA(Y85:AV85)-1)="미납"),"미납",
IF(AND(V85="정상",OFFSET(Y85,0,COUNTA(Y85:AV85)-1)=0),"납부 시작 전",
IF(AND(V85="정상",OFFSET(Y85,0,COUNTA(Y85:AV85)-1)&gt;=U85),"정상",
IF(AND(V85="면제",OFFSET(Y85,0,COUNTA(Y85:AV85)-1)="면제"),"면제",
IF(AND(V85="면제",OFFSET(Y85,0,COUNTA(Y85:AV85)-1)=0),"면제",
"확인요청"))))))</f>
        <v>정상</v>
      </c>
      <c r="Y85" s="93" t="n">
        <v>55000</v>
      </c>
      <c r="Z85" s="90" t="n">
        <v>55000</v>
      </c>
      <c r="AA85" s="90" t="n">
        <v>55000</v>
      </c>
      <c r="AB85" s="90" t="n">
        <v>55000</v>
      </c>
      <c r="AC85" s="90" t="n">
        <v>55000</v>
      </c>
      <c r="AD85" s="90" t="n">
        <v>55000</v>
      </c>
      <c r="AE85" s="90" t="n">
        <v>55000</v>
      </c>
      <c r="AF85" s="90" t="n">
        <v>55000</v>
      </c>
      <c r="AG85" s="90" t="n">
        <v>55000</v>
      </c>
      <c r="AH85" s="90" t="n">
        <v>55000</v>
      </c>
      <c r="AI85" s="90" t="n">
        <v>55000</v>
      </c>
      <c r="AJ85" s="91" t="n">
        <v>55000</v>
      </c>
      <c r="AK85" s="89" t="n">
        <v>55000</v>
      </c>
      <c r="AL85" s="90" t="n">
        <v>55000</v>
      </c>
      <c r="AM85" s="90"/>
      <c r="AN85" s="90"/>
      <c r="AO85" s="90"/>
      <c r="AP85" s="90"/>
      <c r="AQ85" s="90"/>
      <c r="AR85" s="90"/>
      <c r="AS85" s="90"/>
      <c r="AT85" s="90"/>
      <c r="AU85" s="90"/>
      <c r="AV85" s="91"/>
      <c r="AX85" s="92"/>
    </row>
    <row r="86" customFormat="false" ht="15.65" hidden="false" customHeight="false" outlineLevel="0" collapsed="false">
      <c r="C86" s="72" t="n">
        <f aca="false">COUNTIFS($D$6:D86,"&lt;&gt;"&amp;"")</f>
        <v>81</v>
      </c>
      <c r="D86" s="73" t="s">
        <v>12</v>
      </c>
      <c r="E86" s="76" t="str">
        <f aca="false">
IF($D86="정상",INDEX(임대자산!$D$3:$R$3000,MATCH($F86,임대자산!$I$3:$I$3000,0),MATCH(E$3,임대자산!$D$3:$R$3,0)),
IF($D86="폐업",INDEX(폐업정보!$D$3:$R$3000,MATCH($F86,폐업정보!$I$3:$I$3000,0),MATCH(E$3,폐업정보!$D$3:$R$3,0)),
"Error"))</f>
        <v>경기</v>
      </c>
      <c r="F8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B0081</v>
      </c>
      <c r="G86" s="76" t="str">
        <f aca="false">F86&amp;RANDBETWEEN(0,10)</f>
        <v>B00811</v>
      </c>
      <c r="H86" s="75" t="n">
        <f aca="false">
IF($D86="정상",INDEX(임대자산!$D$3:$R$3000,MATCH($F86,임대자산!$I$3:$I$3000,0),MATCH(H$4,임대자산!$D$3:$R$3,0)),
IF($D86="폐업",INDEX(폐업정보!$D$3:$R$3000,MATCH($F86,폐업정보!$I$3:$I$3000,0),MATCH(H$4,폐업정보!$D$3:$R$3,0)),
"Error"))</f>
        <v>44340</v>
      </c>
      <c r="I86" s="75" t="str">
        <f aca="false">
IF($D86="정상",INDEX(임대자산!$D$3:$R$3000,MATCH($F86,임대자산!$I$3:$I$3000,0),MATCH(I$4,임대자산!$D$3:$R$3,0)),
IF($D86="폐업",INDEX(폐업정보!$D$3:$R$3000,MATCH($F86,폐업정보!$I$3:$I$3000,0),MATCH(I$4,폐업정보!$D$3:$R$3,0)),
"Error"))</f>
        <v>A0081</v>
      </c>
      <c r="J86" s="75" t="str">
        <f aca="false">
IF($D86="정상",INDEX(임대자산!$D$3:$R$3000,MATCH($F86,임대자산!$I$3:$I$3000,0),MATCH(J$4,임대자산!$D$3:$R$3,0)),
IF($D86="폐업",INDEX(폐업정보!$D$3:$R$3000,MATCH($F86,폐업정보!$I$3:$I$3000,0),MATCH(J$4,폐업정보!$D$3:$R$3,0)),
"Error"))</f>
        <v>8002000000</v>
      </c>
      <c r="K86" s="75" t="str">
        <f aca="false">
IF($D86="정상",INDEX(임대자산!$D$3:$R$3000,MATCH($F86,임대자산!$I$3:$I$3000,0),MATCH(K$4,임대자산!$D$3:$R$3,0)),
IF($D86="폐업",INDEX(폐업정보!$D$3:$R$3000,MATCH($F86,폐업정보!$I$3:$I$3000,0),MATCH(K$4,폐업정보!$D$3:$R$3,0)),
"Error"))</f>
        <v>C0081</v>
      </c>
      <c r="L86" s="75" t="str">
        <f aca="false">
IF($D86="정상",INDEX(임대자산!$D$3:$R$3000,MATCH($F86,임대자산!$I$3:$I$3000,0),MATCH(L$4,임대자산!$D$3:$R$3,0)),
IF($D86="폐업",INDEX(폐업정보!$D$3:$R$3000,MATCH($F86,폐업정보!$I$3:$I$3000,0),MATCH(L$4,폐업정보!$D$3:$R$3,0)),
"Error"))</f>
        <v>D0081</v>
      </c>
      <c r="M86" s="76" t="s">
        <v>96</v>
      </c>
      <c r="N86" s="77"/>
      <c r="O86" s="78" t="s">
        <v>97</v>
      </c>
      <c r="P86" s="79" t="n">
        <f aca="false">COUNTIFS(임대자산!$I:$I,가맹점정보!F86,임대자산!$N:$N,가맹점정보!P$4)</f>
        <v>1</v>
      </c>
      <c r="Q86" s="80" t="n">
        <f aca="false">COUNTIFS(임대자산!$I:$I,가맹점정보!F86,임대자산!$N:$N,가맹점정보!Q$4)</f>
        <v>0</v>
      </c>
      <c r="R86" s="81" t="n">
        <f aca="false">COUNTIFS(임대자산!$I:$I,가맹점정보!F86,임대자산!$N:$N,가맹점정보!R$4)</f>
        <v>0</v>
      </c>
      <c r="S86" s="82" t="n">
        <v>55000</v>
      </c>
      <c r="T86" s="83" t="n">
        <v>0</v>
      </c>
      <c r="U86" s="80" t="n">
        <f aca="false">SUM(S86:T86)</f>
        <v>55000</v>
      </c>
      <c r="V86" s="84" t="s">
        <v>12</v>
      </c>
      <c r="W86" s="80" t="e">
        <f aca="true">
IF(D86="폐업","폐업",
IF(V86="면제","면제",
IF(AND(V86="정상",COUNTIFS(OFFSET(Y86,0,COUNTA(Y86:AV86)-1,1,-4),"미납")&gt;=3),"장기미납",
IF(AND(V86="정상",OFFSET(Y86,0,COUNTA(Y86:AV86)-1)&gt;=U86),"정상",
IF(AND(V86="정상",OFFSET(Y86,0,COUNTA(Y86:AV86)-1)=0),"정상",
"계약서 미작성")))))</f>
        <v>#VALUE!</v>
      </c>
      <c r="X86" s="81" t="str">
        <f aca="true">
IF(D86="폐업","폐업",
IF(AND(V86="정상",OFFSET(Y86,0,COUNTA(Y86:AV86)-1)="미납"),"미납",
IF(AND(V86="정상",OFFSET(Y86,0,COUNTA(Y86:AV86)-1)=0),"납부 시작 전",
IF(AND(V86="정상",OFFSET(Y86,0,COUNTA(Y86:AV86)-1)&gt;=U86),"정상",
IF(AND(V86="면제",OFFSET(Y86,0,COUNTA(Y86:AV86)-1)="면제"),"면제",
IF(AND(V86="면제",OFFSET(Y86,0,COUNTA(Y86:AV86)-1)=0),"면제",
"확인요청"))))))</f>
        <v>정상</v>
      </c>
      <c r="Y86" s="93" t="n">
        <v>55000</v>
      </c>
      <c r="Z86" s="90" t="n">
        <v>55000</v>
      </c>
      <c r="AA86" s="90" t="n">
        <v>55000</v>
      </c>
      <c r="AB86" s="90" t="n">
        <v>55000</v>
      </c>
      <c r="AC86" s="90" t="n">
        <v>55000</v>
      </c>
      <c r="AD86" s="90" t="n">
        <v>55000</v>
      </c>
      <c r="AE86" s="90" t="n">
        <v>55000</v>
      </c>
      <c r="AF86" s="90" t="n">
        <v>55000</v>
      </c>
      <c r="AG86" s="90" t="n">
        <v>55000</v>
      </c>
      <c r="AH86" s="90" t="n">
        <v>55000</v>
      </c>
      <c r="AI86" s="90" t="n">
        <v>55000</v>
      </c>
      <c r="AJ86" s="91" t="n">
        <v>55000</v>
      </c>
      <c r="AK86" s="89" t="n">
        <v>55000</v>
      </c>
      <c r="AL86" s="90" t="n">
        <v>55000</v>
      </c>
      <c r="AM86" s="90"/>
      <c r="AN86" s="90"/>
      <c r="AO86" s="90"/>
      <c r="AP86" s="90"/>
      <c r="AQ86" s="90"/>
      <c r="AR86" s="90"/>
      <c r="AS86" s="90"/>
      <c r="AT86" s="90"/>
      <c r="AU86" s="90"/>
      <c r="AV86" s="91"/>
      <c r="AX86" s="92"/>
    </row>
    <row r="87" customFormat="false" ht="15.65" hidden="false" customHeight="false" outlineLevel="0" collapsed="false">
      <c r="C87" s="72" t="n">
        <f aca="false">COUNTIFS($D$6:D87,"&lt;&gt;"&amp;"")</f>
        <v>82</v>
      </c>
      <c r="D87" s="73" t="s">
        <v>12</v>
      </c>
      <c r="E87" s="76" t="str">
        <f aca="false">
IF($D87="정상",INDEX(임대자산!$D$3:$R$3000,MATCH($F87,임대자산!$I$3:$I$3000,0),MATCH(E$3,임대자산!$D$3:$R$3,0)),
IF($D87="폐업",INDEX(폐업정보!$D$3:$R$3000,MATCH($F87,폐업정보!$I$3:$I$3000,0),MATCH(E$3,폐업정보!$D$3:$R$3,0)),
"Error"))</f>
        <v>경기</v>
      </c>
      <c r="F8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B0082</v>
      </c>
      <c r="G87" s="76" t="str">
        <f aca="false">F87&amp;RANDBETWEEN(0,10)</f>
        <v>B00826</v>
      </c>
      <c r="H87" s="75" t="n">
        <f aca="false">
IF($D87="정상",INDEX(임대자산!$D$3:$R$3000,MATCH($F87,임대자산!$I$3:$I$3000,0),MATCH(H$4,임대자산!$D$3:$R$3,0)),
IF($D87="폐업",INDEX(폐업정보!$D$3:$R$3000,MATCH($F87,폐업정보!$I$3:$I$3000,0),MATCH(H$4,폐업정보!$D$3:$R$3,0)),
"Error"))</f>
        <v>44095</v>
      </c>
      <c r="I87" s="75" t="str">
        <f aca="false">
IF($D87="정상",INDEX(임대자산!$D$3:$R$3000,MATCH($F87,임대자산!$I$3:$I$3000,0),MATCH(I$4,임대자산!$D$3:$R$3,0)),
IF($D87="폐업",INDEX(폐업정보!$D$3:$R$3000,MATCH($F87,폐업정보!$I$3:$I$3000,0),MATCH(I$4,폐업정보!$D$3:$R$3,0)),
"Error"))</f>
        <v>A0082</v>
      </c>
      <c r="J87" s="75" t="str">
        <f aca="false">
IF($D87="정상",INDEX(임대자산!$D$3:$R$3000,MATCH($F87,임대자산!$I$3:$I$3000,0),MATCH(J$4,임대자산!$D$3:$R$3,0)),
IF($D87="폐업",INDEX(폐업정보!$D$3:$R$3000,MATCH($F87,폐업정보!$I$3:$I$3000,0),MATCH(J$4,폐업정보!$D$3:$R$3,0)),
"Error"))</f>
        <v>2328200000</v>
      </c>
      <c r="K87" s="75" t="str">
        <f aca="false">
IF($D87="정상",INDEX(임대자산!$D$3:$R$3000,MATCH($F87,임대자산!$I$3:$I$3000,0),MATCH(K$4,임대자산!$D$3:$R$3,0)),
IF($D87="폐업",INDEX(폐업정보!$D$3:$R$3000,MATCH($F87,폐업정보!$I$3:$I$3000,0),MATCH(K$4,폐업정보!$D$3:$R$3,0)),
"Error"))</f>
        <v>C0082</v>
      </c>
      <c r="L87" s="75" t="str">
        <f aca="false">
IF($D87="정상",INDEX(임대자산!$D$3:$R$3000,MATCH($F87,임대자산!$I$3:$I$3000,0),MATCH(L$4,임대자산!$D$3:$R$3,0)),
IF($D87="폐업",INDEX(폐업정보!$D$3:$R$3000,MATCH($F87,폐업정보!$I$3:$I$3000,0),MATCH(L$4,폐업정보!$D$3:$R$3,0)),
"Error"))</f>
        <v>D0082</v>
      </c>
      <c r="M87" s="76" t="s">
        <v>96</v>
      </c>
      <c r="N87" s="77"/>
      <c r="O87" s="78" t="s">
        <v>97</v>
      </c>
      <c r="P87" s="79" t="n">
        <f aca="false">COUNTIFS(임대자산!$I:$I,가맹점정보!F87,임대자산!$N:$N,가맹점정보!P$4)</f>
        <v>1</v>
      </c>
      <c r="Q87" s="80" t="n">
        <f aca="false">COUNTIFS(임대자산!$I:$I,가맹점정보!F87,임대자산!$N:$N,가맹점정보!Q$4)</f>
        <v>0</v>
      </c>
      <c r="R87" s="81" t="n">
        <f aca="false">COUNTIFS(임대자산!$I:$I,가맹점정보!F87,임대자산!$N:$N,가맹점정보!R$4)</f>
        <v>0</v>
      </c>
      <c r="S87" s="82" t="n">
        <v>55000</v>
      </c>
      <c r="T87" s="83" t="n">
        <v>0</v>
      </c>
      <c r="U87" s="80" t="n">
        <f aca="false">SUM(S87:T87)</f>
        <v>55000</v>
      </c>
      <c r="V87" s="84" t="s">
        <v>12</v>
      </c>
      <c r="W87" s="80" t="e">
        <f aca="true">
IF(D87="폐업","폐업",
IF(V87="면제","면제",
IF(AND(V87="정상",COUNTIFS(OFFSET(Y87,0,COUNTA(Y87:AV87)-1,1,-4),"미납")&gt;=3),"장기미납",
IF(AND(V87="정상",OFFSET(Y87,0,COUNTA(Y87:AV87)-1)&gt;=U87),"정상",
IF(AND(V87="정상",OFFSET(Y87,0,COUNTA(Y87:AV87)-1)=0),"정상",
"계약서 미작성")))))</f>
        <v>#VALUE!</v>
      </c>
      <c r="X87" s="81" t="str">
        <f aca="true">
IF(D87="폐업","폐업",
IF(AND(V87="정상",OFFSET(Y87,0,COUNTA(Y87:AV87)-1)="미납"),"미납",
IF(AND(V87="정상",OFFSET(Y87,0,COUNTA(Y87:AV87)-1)=0),"납부 시작 전",
IF(AND(V87="정상",OFFSET(Y87,0,COUNTA(Y87:AV87)-1)&gt;=U87),"정상",
IF(AND(V87="면제",OFFSET(Y87,0,COUNTA(Y87:AV87)-1)="면제"),"면제",
IF(AND(V87="면제",OFFSET(Y87,0,COUNTA(Y87:AV87)-1)=0),"면제",
"확인요청"))))))</f>
        <v>정상</v>
      </c>
      <c r="Y87" s="93" t="n">
        <v>55000</v>
      </c>
      <c r="Z87" s="90" t="n">
        <v>55000</v>
      </c>
      <c r="AA87" s="90" t="n">
        <v>55000</v>
      </c>
      <c r="AB87" s="90" t="n">
        <v>55000</v>
      </c>
      <c r="AC87" s="90" t="n">
        <v>55000</v>
      </c>
      <c r="AD87" s="90" t="n">
        <v>55000</v>
      </c>
      <c r="AE87" s="90" t="n">
        <v>55000</v>
      </c>
      <c r="AF87" s="90" t="n">
        <v>55000</v>
      </c>
      <c r="AG87" s="90" t="n">
        <v>55000</v>
      </c>
      <c r="AH87" s="90" t="n">
        <v>55000</v>
      </c>
      <c r="AI87" s="90" t="n">
        <v>55000</v>
      </c>
      <c r="AJ87" s="91" t="n">
        <v>55000</v>
      </c>
      <c r="AK87" s="89" t="n">
        <v>55000</v>
      </c>
      <c r="AL87" s="90" t="n">
        <v>55000</v>
      </c>
      <c r="AM87" s="90"/>
      <c r="AN87" s="90"/>
      <c r="AO87" s="90"/>
      <c r="AP87" s="90"/>
      <c r="AQ87" s="90"/>
      <c r="AR87" s="90"/>
      <c r="AS87" s="90"/>
      <c r="AT87" s="90"/>
      <c r="AU87" s="90"/>
      <c r="AV87" s="91"/>
      <c r="AX87" s="92"/>
    </row>
    <row r="88" customFormat="false" ht="15.65" hidden="false" customHeight="false" outlineLevel="0" collapsed="false">
      <c r="C88" s="72" t="n">
        <f aca="false">COUNTIFS($D$6:D88,"&lt;&gt;"&amp;"")</f>
        <v>83</v>
      </c>
      <c r="D88" s="73" t="s">
        <v>12</v>
      </c>
      <c r="E88" s="76" t="str">
        <f aca="false">
IF($D88="정상",INDEX(임대자산!$D$3:$R$3000,MATCH($F88,임대자산!$I$3:$I$3000,0),MATCH(E$3,임대자산!$D$3:$R$3,0)),
IF($D88="폐업",INDEX(폐업정보!$D$3:$R$3000,MATCH($F88,폐업정보!$I$3:$I$3000,0),MATCH(E$3,폐업정보!$D$3:$R$3,0)),
"Error"))</f>
        <v>경상</v>
      </c>
      <c r="F8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B0083</v>
      </c>
      <c r="G88" s="76" t="str">
        <f aca="false">F88&amp;RANDBETWEEN(0,10)</f>
        <v>B00837</v>
      </c>
      <c r="H88" s="75" t="n">
        <f aca="false">
IF($D88="정상",INDEX(임대자산!$D$3:$R$3000,MATCH($F88,임대자산!$I$3:$I$3000,0),MATCH(H$4,임대자산!$D$3:$R$3,0)),
IF($D88="폐업",INDEX(폐업정보!$D$3:$R$3000,MATCH($F88,폐업정보!$I$3:$I$3000,0),MATCH(H$4,폐업정보!$D$3:$R$3,0)),
"Error"))</f>
        <v>44777</v>
      </c>
      <c r="I88" s="75" t="str">
        <f aca="false">
IF($D88="정상",INDEX(임대자산!$D$3:$R$3000,MATCH($F88,임대자산!$I$3:$I$3000,0),MATCH(I$4,임대자산!$D$3:$R$3,0)),
IF($D88="폐업",INDEX(폐업정보!$D$3:$R$3000,MATCH($F88,폐업정보!$I$3:$I$3000,0),MATCH(I$4,폐업정보!$D$3:$R$3,0)),
"Error"))</f>
        <v>A0083</v>
      </c>
      <c r="J88" s="75" t="str">
        <f aca="false">
IF($D88="정상",INDEX(임대자산!$D$3:$R$3000,MATCH($F88,임대자산!$I$3:$I$3000,0),MATCH(J$4,임대자산!$D$3:$R$3,0)),
IF($D88="폐업",INDEX(폐업정보!$D$3:$R$3000,MATCH($F88,폐업정보!$I$3:$I$3000,0),MATCH(J$4,폐업정보!$D$3:$R$3,0)),
"Error"))</f>
        <v>2648800000</v>
      </c>
      <c r="K88" s="75" t="str">
        <f aca="false">
IF($D88="정상",INDEX(임대자산!$D$3:$R$3000,MATCH($F88,임대자산!$I$3:$I$3000,0),MATCH(K$4,임대자산!$D$3:$R$3,0)),
IF($D88="폐업",INDEX(폐업정보!$D$3:$R$3000,MATCH($F88,폐업정보!$I$3:$I$3000,0),MATCH(K$4,폐업정보!$D$3:$R$3,0)),
"Error"))</f>
        <v>C0083</v>
      </c>
      <c r="L88" s="75" t="str">
        <f aca="false">
IF($D88="정상",INDEX(임대자산!$D$3:$R$3000,MATCH($F88,임대자산!$I$3:$I$3000,0),MATCH(L$4,임대자산!$D$3:$R$3,0)),
IF($D88="폐업",INDEX(폐업정보!$D$3:$R$3000,MATCH($F88,폐업정보!$I$3:$I$3000,0),MATCH(L$4,폐업정보!$D$3:$R$3,0)),
"Error"))</f>
        <v>D0083</v>
      </c>
      <c r="M88" s="76" t="s">
        <v>96</v>
      </c>
      <c r="N88" s="77"/>
      <c r="O88" s="78" t="s">
        <v>97</v>
      </c>
      <c r="P88" s="79" t="n">
        <f aca="false">COUNTIFS(임대자산!$I:$I,가맹점정보!F88,임대자산!$N:$N,가맹점정보!P$4)</f>
        <v>1</v>
      </c>
      <c r="Q88" s="80" t="n">
        <f aca="false">COUNTIFS(임대자산!$I:$I,가맹점정보!F88,임대자산!$N:$N,가맹점정보!Q$4)</f>
        <v>0</v>
      </c>
      <c r="R88" s="81" t="n">
        <f aca="false">COUNTIFS(임대자산!$I:$I,가맹점정보!F88,임대자산!$N:$N,가맹점정보!R$4)</f>
        <v>0</v>
      </c>
      <c r="S88" s="82" t="n">
        <v>55000</v>
      </c>
      <c r="T88" s="83" t="n">
        <v>0</v>
      </c>
      <c r="U88" s="80" t="n">
        <f aca="false">SUM(S88:T88)</f>
        <v>55000</v>
      </c>
      <c r="V88" s="84" t="s">
        <v>12</v>
      </c>
      <c r="W88" s="80" t="e">
        <f aca="true">
IF(D88="폐업","폐업",
IF(V88="면제","면제",
IF(AND(V88="정상",COUNTIFS(OFFSET(Y88,0,COUNTA(Y88:AV88)-1,1,-4),"미납")&gt;=3),"장기미납",
IF(AND(V88="정상",OFFSET(Y88,0,COUNTA(Y88:AV88)-1)&gt;=U88),"정상",
IF(AND(V88="정상",OFFSET(Y88,0,COUNTA(Y88:AV88)-1)=0),"정상",
"계약서 미작성")))))</f>
        <v>#VALUE!</v>
      </c>
      <c r="X88" s="81" t="str">
        <f aca="true">
IF(D88="폐업","폐업",
IF(AND(V88="정상",OFFSET(Y88,0,COUNTA(Y88:AV88)-1)="미납"),"미납",
IF(AND(V88="정상",OFFSET(Y88,0,COUNTA(Y88:AV88)-1)=0),"납부 시작 전",
IF(AND(V88="정상",OFFSET(Y88,0,COUNTA(Y88:AV88)-1)&gt;=U88),"정상",
IF(AND(V88="면제",OFFSET(Y88,0,COUNTA(Y88:AV88)-1)="면제"),"면제",
IF(AND(V88="면제",OFFSET(Y88,0,COUNTA(Y88:AV88)-1)=0),"면제",
"확인요청"))))))</f>
        <v>정상</v>
      </c>
      <c r="Y88" s="93" t="n">
        <v>55000</v>
      </c>
      <c r="Z88" s="90" t="n">
        <v>55000</v>
      </c>
      <c r="AA88" s="90" t="n">
        <v>55000</v>
      </c>
      <c r="AB88" s="90" t="n">
        <v>55000</v>
      </c>
      <c r="AC88" s="90" t="n">
        <v>55000</v>
      </c>
      <c r="AD88" s="90" t="n">
        <v>55000</v>
      </c>
      <c r="AE88" s="90" t="n">
        <v>55000</v>
      </c>
      <c r="AF88" s="90" t="n">
        <v>55000</v>
      </c>
      <c r="AG88" s="90" t="n">
        <v>55000</v>
      </c>
      <c r="AH88" s="90" t="n">
        <v>55000</v>
      </c>
      <c r="AI88" s="90" t="n">
        <v>55000</v>
      </c>
      <c r="AJ88" s="91" t="n">
        <v>55000</v>
      </c>
      <c r="AK88" s="89" t="n">
        <v>55000</v>
      </c>
      <c r="AL88" s="90" t="n">
        <v>55000</v>
      </c>
      <c r="AM88" s="90"/>
      <c r="AN88" s="90"/>
      <c r="AO88" s="90"/>
      <c r="AP88" s="90"/>
      <c r="AQ88" s="90"/>
      <c r="AR88" s="90"/>
      <c r="AS88" s="90"/>
      <c r="AT88" s="90"/>
      <c r="AU88" s="90"/>
      <c r="AV88" s="91"/>
      <c r="AX88" s="92"/>
    </row>
    <row r="89" customFormat="false" ht="15.65" hidden="false" customHeight="false" outlineLevel="0" collapsed="false">
      <c r="C89" s="72" t="n">
        <f aca="false">COUNTIFS($D$6:D89,"&lt;&gt;"&amp;"")</f>
        <v>84</v>
      </c>
      <c r="D89" s="73" t="s">
        <v>12</v>
      </c>
      <c r="E89" s="76" t="str">
        <f aca="false">
IF($D89="정상",INDEX(임대자산!$D$3:$R$3000,MATCH($F89,임대자산!$I$3:$I$3000,0),MATCH(E$3,임대자산!$D$3:$R$3,0)),
IF($D89="폐업",INDEX(폐업정보!$D$3:$R$3000,MATCH($F89,폐업정보!$I$3:$I$3000,0),MATCH(E$3,폐업정보!$D$3:$R$3,0)),
"Error"))</f>
        <v>경상</v>
      </c>
      <c r="F8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B0084</v>
      </c>
      <c r="G89" s="76" t="str">
        <f aca="false">F89&amp;RANDBETWEEN(0,10)</f>
        <v>B00844</v>
      </c>
      <c r="H89" s="75" t="n">
        <f aca="false">
IF($D89="정상",INDEX(임대자산!$D$3:$R$3000,MATCH($F89,임대자산!$I$3:$I$3000,0),MATCH(H$4,임대자산!$D$3:$R$3,0)),
IF($D89="폐업",INDEX(폐업정보!$D$3:$R$3000,MATCH($F89,폐업정보!$I$3:$I$3000,0),MATCH(H$4,폐업정보!$D$3:$R$3,0)),
"Error"))</f>
        <v>43490</v>
      </c>
      <c r="I89" s="75" t="str">
        <f aca="false">
IF($D89="정상",INDEX(임대자산!$D$3:$R$3000,MATCH($F89,임대자산!$I$3:$I$3000,0),MATCH(I$4,임대자산!$D$3:$R$3,0)),
IF($D89="폐업",INDEX(폐업정보!$D$3:$R$3000,MATCH($F89,폐업정보!$I$3:$I$3000,0),MATCH(I$4,폐업정보!$D$3:$R$3,0)),
"Error"))</f>
        <v>A0084</v>
      </c>
      <c r="J89" s="75" t="str">
        <f aca="false">
IF($D89="정상",INDEX(임대자산!$D$3:$R$3000,MATCH($F89,임대자산!$I$3:$I$3000,0),MATCH(J$4,임대자산!$D$3:$R$3,0)),
IF($D89="폐업",INDEX(폐업정보!$D$3:$R$3000,MATCH($F89,폐업정보!$I$3:$I$3000,0),MATCH(J$4,폐업정보!$D$3:$R$3,0)),
"Error"))</f>
        <v>9540200000</v>
      </c>
      <c r="K89" s="75" t="str">
        <f aca="false">
IF($D89="정상",INDEX(임대자산!$D$3:$R$3000,MATCH($F89,임대자산!$I$3:$I$3000,0),MATCH(K$4,임대자산!$D$3:$R$3,0)),
IF($D89="폐업",INDEX(폐업정보!$D$3:$R$3000,MATCH($F89,폐업정보!$I$3:$I$3000,0),MATCH(K$4,폐업정보!$D$3:$R$3,0)),
"Error"))</f>
        <v>C0084</v>
      </c>
      <c r="L89" s="75" t="str">
        <f aca="false">
IF($D89="정상",INDEX(임대자산!$D$3:$R$3000,MATCH($F89,임대자산!$I$3:$I$3000,0),MATCH(L$4,임대자산!$D$3:$R$3,0)),
IF($D89="폐업",INDEX(폐업정보!$D$3:$R$3000,MATCH($F89,폐업정보!$I$3:$I$3000,0),MATCH(L$4,폐업정보!$D$3:$R$3,0)),
"Error"))</f>
        <v>D0084</v>
      </c>
      <c r="M89" s="76" t="s">
        <v>96</v>
      </c>
      <c r="N89" s="77"/>
      <c r="O89" s="78" t="s">
        <v>97</v>
      </c>
      <c r="P89" s="79" t="n">
        <f aca="false">COUNTIFS(임대자산!$I:$I,가맹점정보!F89,임대자산!$N:$N,가맹점정보!P$4)</f>
        <v>1</v>
      </c>
      <c r="Q89" s="80" t="n">
        <f aca="false">COUNTIFS(임대자산!$I:$I,가맹점정보!F89,임대자산!$N:$N,가맹점정보!Q$4)</f>
        <v>0</v>
      </c>
      <c r="R89" s="81" t="n">
        <f aca="false">COUNTIFS(임대자산!$I:$I,가맹점정보!F89,임대자산!$N:$N,가맹점정보!R$4)</f>
        <v>0</v>
      </c>
      <c r="S89" s="82" t="n">
        <v>55000</v>
      </c>
      <c r="T89" s="83" t="n">
        <v>0</v>
      </c>
      <c r="U89" s="80" t="n">
        <f aca="false">SUM(S89:T89)</f>
        <v>55000</v>
      </c>
      <c r="V89" s="84" t="s">
        <v>12</v>
      </c>
      <c r="W89" s="80" t="e">
        <f aca="true">
IF(D89="폐업","폐업",
IF(V89="면제","면제",
IF(AND(V89="정상",COUNTIFS(OFFSET(Y89,0,COUNTA(Y89:AV89)-1,1,-4),"미납")&gt;=3),"장기미납",
IF(AND(V89="정상",OFFSET(Y89,0,COUNTA(Y89:AV89)-1)&gt;=U89),"정상",
IF(AND(V89="정상",OFFSET(Y89,0,COUNTA(Y89:AV89)-1)=0),"정상",
"계약서 미작성")))))</f>
        <v>#VALUE!</v>
      </c>
      <c r="X89" s="81" t="str">
        <f aca="true">
IF(D89="폐업","폐업",
IF(AND(V89="정상",OFFSET(Y89,0,COUNTA(Y89:AV89)-1)="미납"),"미납",
IF(AND(V89="정상",OFFSET(Y89,0,COUNTA(Y89:AV89)-1)=0),"납부 시작 전",
IF(AND(V89="정상",OFFSET(Y89,0,COUNTA(Y89:AV89)-1)&gt;=U89),"정상",
IF(AND(V89="면제",OFFSET(Y89,0,COUNTA(Y89:AV89)-1)="면제"),"면제",
IF(AND(V89="면제",OFFSET(Y89,0,COUNTA(Y89:AV89)-1)=0),"면제",
"확인요청"))))))</f>
        <v>정상</v>
      </c>
      <c r="Y89" s="93" t="n">
        <v>55000</v>
      </c>
      <c r="Z89" s="90" t="n">
        <v>55000</v>
      </c>
      <c r="AA89" s="90" t="n">
        <v>55000</v>
      </c>
      <c r="AB89" s="90" t="n">
        <v>55000</v>
      </c>
      <c r="AC89" s="90" t="n">
        <v>55000</v>
      </c>
      <c r="AD89" s="90" t="n">
        <v>55000</v>
      </c>
      <c r="AE89" s="90" t="n">
        <v>55000</v>
      </c>
      <c r="AF89" s="90" t="n">
        <v>55000</v>
      </c>
      <c r="AG89" s="90" t="n">
        <v>55000</v>
      </c>
      <c r="AH89" s="90" t="n">
        <v>55000</v>
      </c>
      <c r="AI89" s="90" t="n">
        <v>55000</v>
      </c>
      <c r="AJ89" s="91" t="n">
        <v>55000</v>
      </c>
      <c r="AK89" s="89" t="n">
        <v>55000</v>
      </c>
      <c r="AL89" s="90" t="n">
        <v>55000</v>
      </c>
      <c r="AM89" s="90"/>
      <c r="AN89" s="90"/>
      <c r="AO89" s="90"/>
      <c r="AP89" s="90"/>
      <c r="AQ89" s="90"/>
      <c r="AR89" s="90"/>
      <c r="AS89" s="90"/>
      <c r="AT89" s="90"/>
      <c r="AU89" s="90"/>
      <c r="AV89" s="91"/>
      <c r="AX89" s="92"/>
    </row>
    <row r="90" customFormat="false" ht="15.65" hidden="false" customHeight="false" outlineLevel="0" collapsed="false">
      <c r="C90" s="72" t="n">
        <f aca="false">COUNTIFS($D$6:D90,"&lt;&gt;"&amp;"")</f>
        <v>85</v>
      </c>
      <c r="D90" s="73" t="s">
        <v>12</v>
      </c>
      <c r="E90" s="76" t="str">
        <f aca="false">
IF($D90="정상",INDEX(임대자산!$D$3:$R$3000,MATCH($F90,임대자산!$I$3:$I$3000,0),MATCH(E$3,임대자산!$D$3:$R$3,0)),
IF($D90="폐업",INDEX(폐업정보!$D$3:$R$3000,MATCH($F90,폐업정보!$I$3:$I$3000,0),MATCH(E$3,폐업정보!$D$3:$R$3,0)),
"Error"))</f>
        <v>전라</v>
      </c>
      <c r="F9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B0085</v>
      </c>
      <c r="G90" s="76" t="str">
        <f aca="false">F90&amp;RANDBETWEEN(0,10)</f>
        <v>B008510</v>
      </c>
      <c r="H90" s="75" t="n">
        <f aca="false">
IF($D90="정상",INDEX(임대자산!$D$3:$R$3000,MATCH($F90,임대자산!$I$3:$I$3000,0),MATCH(H$4,임대자산!$D$3:$R$3,0)),
IF($D90="폐업",INDEX(폐업정보!$D$3:$R$3000,MATCH($F90,폐업정보!$I$3:$I$3000,0),MATCH(H$4,폐업정보!$D$3:$R$3,0)),
"Error"))</f>
        <v>44217</v>
      </c>
      <c r="I90" s="75" t="str">
        <f aca="false">
IF($D90="정상",INDEX(임대자산!$D$3:$R$3000,MATCH($F90,임대자산!$I$3:$I$3000,0),MATCH(I$4,임대자산!$D$3:$R$3,0)),
IF($D90="폐업",INDEX(폐업정보!$D$3:$R$3000,MATCH($F90,폐업정보!$I$3:$I$3000,0),MATCH(I$4,폐업정보!$D$3:$R$3,0)),
"Error"))</f>
        <v>A0085</v>
      </c>
      <c r="J90" s="75" t="str">
        <f aca="false">
IF($D90="정상",INDEX(임대자산!$D$3:$R$3000,MATCH($F90,임대자산!$I$3:$I$3000,0),MATCH(J$4,임대자산!$D$3:$R$3,0)),
IF($D90="폐업",INDEX(폐업정보!$D$3:$R$3000,MATCH($F90,폐업정보!$I$3:$I$3000,0),MATCH(J$4,폐업정보!$D$3:$R$3,0)),
"Error"))</f>
        <v>1231800000</v>
      </c>
      <c r="K90" s="75" t="str">
        <f aca="false">
IF($D90="정상",INDEX(임대자산!$D$3:$R$3000,MATCH($F90,임대자산!$I$3:$I$3000,0),MATCH(K$4,임대자산!$D$3:$R$3,0)),
IF($D90="폐업",INDEX(폐업정보!$D$3:$R$3000,MATCH($F90,폐업정보!$I$3:$I$3000,0),MATCH(K$4,폐업정보!$D$3:$R$3,0)),
"Error"))</f>
        <v>C0085</v>
      </c>
      <c r="L90" s="75" t="str">
        <f aca="false">
IF($D90="정상",INDEX(임대자산!$D$3:$R$3000,MATCH($F90,임대자산!$I$3:$I$3000,0),MATCH(L$4,임대자산!$D$3:$R$3,0)),
IF($D90="폐업",INDEX(폐업정보!$D$3:$R$3000,MATCH($F90,폐업정보!$I$3:$I$3000,0),MATCH(L$4,폐업정보!$D$3:$R$3,0)),
"Error"))</f>
        <v>D0085</v>
      </c>
      <c r="M90" s="76" t="s">
        <v>96</v>
      </c>
      <c r="N90" s="77"/>
      <c r="O90" s="78" t="s">
        <v>97</v>
      </c>
      <c r="P90" s="79" t="n">
        <f aca="false">COUNTIFS(임대자산!$I:$I,가맹점정보!F90,임대자산!$N:$N,가맹점정보!P$4)</f>
        <v>1</v>
      </c>
      <c r="Q90" s="80" t="n">
        <f aca="false">COUNTIFS(임대자산!$I:$I,가맹점정보!F90,임대자산!$N:$N,가맹점정보!Q$4)</f>
        <v>0</v>
      </c>
      <c r="R90" s="81" t="n">
        <f aca="false">COUNTIFS(임대자산!$I:$I,가맹점정보!F90,임대자산!$N:$N,가맹점정보!R$4)</f>
        <v>0</v>
      </c>
      <c r="S90" s="82" t="n">
        <v>55000</v>
      </c>
      <c r="T90" s="83" t="n">
        <v>0</v>
      </c>
      <c r="U90" s="80" t="n">
        <f aca="false">SUM(S90:T90)</f>
        <v>55000</v>
      </c>
      <c r="V90" s="84" t="s">
        <v>12</v>
      </c>
      <c r="W90" s="80" t="e">
        <f aca="true">
IF(D90="폐업","폐업",
IF(V90="면제","면제",
IF(AND(V90="정상",COUNTIFS(OFFSET(Y90,0,COUNTA(Y90:AV90)-1,1,-4),"미납")&gt;=3),"장기미납",
IF(AND(V90="정상",OFFSET(Y90,0,COUNTA(Y90:AV90)-1)&gt;=U90),"정상",
IF(AND(V90="정상",OFFSET(Y90,0,COUNTA(Y90:AV90)-1)=0),"정상",
"계약서 미작성")))))</f>
        <v>#VALUE!</v>
      </c>
      <c r="X90" s="81" t="str">
        <f aca="true">
IF(D90="폐업","폐업",
IF(AND(V90="정상",OFFSET(Y90,0,COUNTA(Y90:AV90)-1)="미납"),"미납",
IF(AND(V90="정상",OFFSET(Y90,0,COUNTA(Y90:AV90)-1)=0),"납부 시작 전",
IF(AND(V90="정상",OFFSET(Y90,0,COUNTA(Y90:AV90)-1)&gt;=U90),"정상",
IF(AND(V90="면제",OFFSET(Y90,0,COUNTA(Y90:AV90)-1)="면제"),"면제",
IF(AND(V90="면제",OFFSET(Y90,0,COUNTA(Y90:AV90)-1)=0),"면제",
"확인요청"))))))</f>
        <v>정상</v>
      </c>
      <c r="Y90" s="93" t="n">
        <v>55000</v>
      </c>
      <c r="Z90" s="90" t="n">
        <v>55000</v>
      </c>
      <c r="AA90" s="90" t="n">
        <v>55000</v>
      </c>
      <c r="AB90" s="90" t="n">
        <v>55000</v>
      </c>
      <c r="AC90" s="90" t="n">
        <v>55000</v>
      </c>
      <c r="AD90" s="90" t="n">
        <v>55000</v>
      </c>
      <c r="AE90" s="90" t="n">
        <v>55000</v>
      </c>
      <c r="AF90" s="90" t="n">
        <v>55000</v>
      </c>
      <c r="AG90" s="90" t="n">
        <v>55000</v>
      </c>
      <c r="AH90" s="90" t="n">
        <v>55000</v>
      </c>
      <c r="AI90" s="90" t="n">
        <v>55000</v>
      </c>
      <c r="AJ90" s="91" t="n">
        <v>55000</v>
      </c>
      <c r="AK90" s="89" t="n">
        <v>55000</v>
      </c>
      <c r="AL90" s="90" t="n">
        <v>55000</v>
      </c>
      <c r="AM90" s="90"/>
      <c r="AN90" s="90"/>
      <c r="AO90" s="90"/>
      <c r="AP90" s="90"/>
      <c r="AQ90" s="90"/>
      <c r="AR90" s="90"/>
      <c r="AS90" s="90"/>
      <c r="AT90" s="90"/>
      <c r="AU90" s="90"/>
      <c r="AV90" s="91"/>
      <c r="AX90" s="92"/>
    </row>
    <row r="91" customFormat="false" ht="15.65" hidden="false" customHeight="false" outlineLevel="0" collapsed="false">
      <c r="C91" s="72" t="n">
        <f aca="false">COUNTIFS($D$6:D91,"&lt;&gt;"&amp;"")</f>
        <v>86</v>
      </c>
      <c r="D91" s="73" t="s">
        <v>12</v>
      </c>
      <c r="E91" s="76" t="str">
        <f aca="false">
IF($D91="정상",INDEX(임대자산!$D$3:$R$3000,MATCH($F91,임대자산!$I$3:$I$3000,0),MATCH(E$3,임대자산!$D$3:$R$3,0)),
IF($D91="폐업",INDEX(폐업정보!$D$3:$R$3000,MATCH($F91,폐업정보!$I$3:$I$3000,0),MATCH(E$3,폐업정보!$D$3:$R$3,0)),
"Error"))</f>
        <v>경상</v>
      </c>
      <c r="F9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B0086</v>
      </c>
      <c r="G91" s="76" t="str">
        <f aca="false">F91&amp;RANDBETWEEN(0,10)</f>
        <v>B00860</v>
      </c>
      <c r="H91" s="75" t="n">
        <f aca="false">
IF($D91="정상",INDEX(임대자산!$D$3:$R$3000,MATCH($F91,임대자산!$I$3:$I$3000,0),MATCH(H$4,임대자산!$D$3:$R$3,0)),
IF($D91="폐업",INDEX(폐업정보!$D$3:$R$3000,MATCH($F91,폐업정보!$I$3:$I$3000,0),MATCH(H$4,폐업정보!$D$3:$R$3,0)),
"Error"))</f>
        <v>44679</v>
      </c>
      <c r="I91" s="75" t="str">
        <f aca="false">
IF($D91="정상",INDEX(임대자산!$D$3:$R$3000,MATCH($F91,임대자산!$I$3:$I$3000,0),MATCH(I$4,임대자산!$D$3:$R$3,0)),
IF($D91="폐업",INDEX(폐업정보!$D$3:$R$3000,MATCH($F91,폐업정보!$I$3:$I$3000,0),MATCH(I$4,폐업정보!$D$3:$R$3,0)),
"Error"))</f>
        <v>A0086</v>
      </c>
      <c r="J91" s="75" t="str">
        <f aca="false">
IF($D91="정상",INDEX(임대자산!$D$3:$R$3000,MATCH($F91,임대자산!$I$3:$I$3000,0),MATCH(J$4,임대자산!$D$3:$R$3,0)),
IF($D91="폐업",INDEX(폐업정보!$D$3:$R$3000,MATCH($F91,폐업정보!$I$3:$I$3000,0),MATCH(J$4,폐업정보!$D$3:$R$3,0)),
"Error"))</f>
        <v>3408700000</v>
      </c>
      <c r="K91" s="75" t="str">
        <f aca="false">
IF($D91="정상",INDEX(임대자산!$D$3:$R$3000,MATCH($F91,임대자산!$I$3:$I$3000,0),MATCH(K$4,임대자산!$D$3:$R$3,0)),
IF($D91="폐업",INDEX(폐업정보!$D$3:$R$3000,MATCH($F91,폐업정보!$I$3:$I$3000,0),MATCH(K$4,폐업정보!$D$3:$R$3,0)),
"Error"))</f>
        <v>C0086</v>
      </c>
      <c r="L91" s="75" t="str">
        <f aca="false">
IF($D91="정상",INDEX(임대자산!$D$3:$R$3000,MATCH($F91,임대자산!$I$3:$I$3000,0),MATCH(L$4,임대자산!$D$3:$R$3,0)),
IF($D91="폐업",INDEX(폐업정보!$D$3:$R$3000,MATCH($F91,폐업정보!$I$3:$I$3000,0),MATCH(L$4,폐업정보!$D$3:$R$3,0)),
"Error"))</f>
        <v>D0086</v>
      </c>
      <c r="M91" s="76" t="s">
        <v>96</v>
      </c>
      <c r="N91" s="77"/>
      <c r="O91" s="78" t="s">
        <v>97</v>
      </c>
      <c r="P91" s="79" t="n">
        <f aca="false">COUNTIFS(임대자산!$I:$I,가맹점정보!F91,임대자산!$N:$N,가맹점정보!P$4)</f>
        <v>1</v>
      </c>
      <c r="Q91" s="80" t="n">
        <f aca="false">COUNTIFS(임대자산!$I:$I,가맹점정보!F91,임대자산!$N:$N,가맹점정보!Q$4)</f>
        <v>0</v>
      </c>
      <c r="R91" s="81" t="n">
        <f aca="false">COUNTIFS(임대자산!$I:$I,가맹점정보!F91,임대자산!$N:$N,가맹점정보!R$4)</f>
        <v>0</v>
      </c>
      <c r="S91" s="82" t="n">
        <v>55000</v>
      </c>
      <c r="T91" s="83" t="n">
        <v>0</v>
      </c>
      <c r="U91" s="80" t="n">
        <f aca="false">SUM(S91:T91)</f>
        <v>55000</v>
      </c>
      <c r="V91" s="84" t="s">
        <v>12</v>
      </c>
      <c r="W91" s="80" t="e">
        <f aca="true">
IF(D91="폐업","폐업",
IF(V91="면제","면제",
IF(AND(V91="정상",COUNTIFS(OFFSET(Y91,0,COUNTA(Y91:AV91)-1,1,-4),"미납")&gt;=3),"장기미납",
IF(AND(V91="정상",OFFSET(Y91,0,COUNTA(Y91:AV91)-1)&gt;=U91),"정상",
IF(AND(V91="정상",OFFSET(Y91,0,COUNTA(Y91:AV91)-1)=0),"정상",
"계약서 미작성")))))</f>
        <v>#VALUE!</v>
      </c>
      <c r="X91" s="81" t="str">
        <f aca="true">
IF(D91="폐업","폐업",
IF(AND(V91="정상",OFFSET(Y91,0,COUNTA(Y91:AV91)-1)="미납"),"미납",
IF(AND(V91="정상",OFFSET(Y91,0,COUNTA(Y91:AV91)-1)=0),"납부 시작 전",
IF(AND(V91="정상",OFFSET(Y91,0,COUNTA(Y91:AV91)-1)&gt;=U91),"정상",
IF(AND(V91="면제",OFFSET(Y91,0,COUNTA(Y91:AV91)-1)="면제"),"면제",
IF(AND(V91="면제",OFFSET(Y91,0,COUNTA(Y91:AV91)-1)=0),"면제",
"확인요청"))))))</f>
        <v>정상</v>
      </c>
      <c r="Y91" s="93" t="n">
        <v>55000</v>
      </c>
      <c r="Z91" s="90" t="n">
        <v>55000</v>
      </c>
      <c r="AA91" s="90" t="n">
        <v>55000</v>
      </c>
      <c r="AB91" s="90" t="n">
        <v>55000</v>
      </c>
      <c r="AC91" s="90" t="n">
        <v>55000</v>
      </c>
      <c r="AD91" s="90" t="n">
        <v>55000</v>
      </c>
      <c r="AE91" s="90" t="n">
        <v>55000</v>
      </c>
      <c r="AF91" s="90" t="n">
        <v>55000</v>
      </c>
      <c r="AG91" s="90" t="n">
        <v>55000</v>
      </c>
      <c r="AH91" s="90" t="n">
        <v>55000</v>
      </c>
      <c r="AI91" s="90" t="n">
        <v>55000</v>
      </c>
      <c r="AJ91" s="91" t="n">
        <v>55000</v>
      </c>
      <c r="AK91" s="89" t="n">
        <v>55000</v>
      </c>
      <c r="AL91" s="90" t="n">
        <v>55000</v>
      </c>
      <c r="AM91" s="90"/>
      <c r="AN91" s="90"/>
      <c r="AO91" s="90"/>
      <c r="AP91" s="90"/>
      <c r="AQ91" s="90"/>
      <c r="AR91" s="90"/>
      <c r="AS91" s="90"/>
      <c r="AT91" s="90"/>
      <c r="AU91" s="90"/>
      <c r="AV91" s="91"/>
      <c r="AX91" s="92"/>
    </row>
    <row r="92" customFormat="false" ht="15.65" hidden="false" customHeight="false" outlineLevel="0" collapsed="false">
      <c r="C92" s="72" t="n">
        <f aca="false">COUNTIFS($D$6:D92,"&lt;&gt;"&amp;"")</f>
        <v>87</v>
      </c>
      <c r="D92" s="73" t="s">
        <v>12</v>
      </c>
      <c r="E92" s="76" t="str">
        <f aca="false">
IF($D92="정상",INDEX(임대자산!$D$3:$R$3000,MATCH($F92,임대자산!$I$3:$I$3000,0),MATCH(E$3,임대자산!$D$3:$R$3,0)),
IF($D92="폐업",INDEX(폐업정보!$D$3:$R$3000,MATCH($F92,폐업정보!$I$3:$I$3000,0),MATCH(E$3,폐업정보!$D$3:$R$3,0)),
"Error"))</f>
        <v>강원</v>
      </c>
      <c r="F9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B0087</v>
      </c>
      <c r="G92" s="76" t="str">
        <f aca="false">F92&amp;RANDBETWEEN(0,10)</f>
        <v>B00879</v>
      </c>
      <c r="H92" s="75" t="n">
        <f aca="false">
IF($D92="정상",INDEX(임대자산!$D$3:$R$3000,MATCH($F92,임대자산!$I$3:$I$3000,0),MATCH(H$4,임대자산!$D$3:$R$3,0)),
IF($D92="폐업",INDEX(폐업정보!$D$3:$R$3000,MATCH($F92,폐업정보!$I$3:$I$3000,0),MATCH(H$4,폐업정보!$D$3:$R$3,0)),
"Error"))</f>
        <v>44151</v>
      </c>
      <c r="I92" s="75" t="str">
        <f aca="false">
IF($D92="정상",INDEX(임대자산!$D$3:$R$3000,MATCH($F92,임대자산!$I$3:$I$3000,0),MATCH(I$4,임대자산!$D$3:$R$3,0)),
IF($D92="폐업",INDEX(폐업정보!$D$3:$R$3000,MATCH($F92,폐업정보!$I$3:$I$3000,0),MATCH(I$4,폐업정보!$D$3:$R$3,0)),
"Error"))</f>
        <v>A0087</v>
      </c>
      <c r="J92" s="75" t="str">
        <f aca="false">
IF($D92="정상",INDEX(임대자산!$D$3:$R$3000,MATCH($F92,임대자산!$I$3:$I$3000,0),MATCH(J$4,임대자산!$D$3:$R$3,0)),
IF($D92="폐업",INDEX(폐업정보!$D$3:$R$3000,MATCH($F92,폐업정보!$I$3:$I$3000,0),MATCH(J$4,폐업정보!$D$3:$R$3,0)),
"Error"))</f>
        <v>6228400000</v>
      </c>
      <c r="K92" s="75" t="str">
        <f aca="false">
IF($D92="정상",INDEX(임대자산!$D$3:$R$3000,MATCH($F92,임대자산!$I$3:$I$3000,0),MATCH(K$4,임대자산!$D$3:$R$3,0)),
IF($D92="폐업",INDEX(폐업정보!$D$3:$R$3000,MATCH($F92,폐업정보!$I$3:$I$3000,0),MATCH(K$4,폐업정보!$D$3:$R$3,0)),
"Error"))</f>
        <v>C0087</v>
      </c>
      <c r="L92" s="75" t="str">
        <f aca="false">
IF($D92="정상",INDEX(임대자산!$D$3:$R$3000,MATCH($F92,임대자산!$I$3:$I$3000,0),MATCH(L$4,임대자산!$D$3:$R$3,0)),
IF($D92="폐업",INDEX(폐업정보!$D$3:$R$3000,MATCH($F92,폐업정보!$I$3:$I$3000,0),MATCH(L$4,폐업정보!$D$3:$R$3,0)),
"Error"))</f>
        <v>D0087</v>
      </c>
      <c r="M92" s="76" t="s">
        <v>96</v>
      </c>
      <c r="N92" s="77"/>
      <c r="O92" s="78" t="s">
        <v>97</v>
      </c>
      <c r="P92" s="79" t="n">
        <f aca="false">COUNTIFS(임대자산!$I:$I,가맹점정보!F92,임대자산!$N:$N,가맹점정보!P$4)</f>
        <v>1</v>
      </c>
      <c r="Q92" s="80" t="n">
        <f aca="false">COUNTIFS(임대자산!$I:$I,가맹점정보!F92,임대자산!$N:$N,가맹점정보!Q$4)</f>
        <v>0</v>
      </c>
      <c r="R92" s="81" t="n">
        <f aca="false">COUNTIFS(임대자산!$I:$I,가맹점정보!F92,임대자산!$N:$N,가맹점정보!R$4)</f>
        <v>0</v>
      </c>
      <c r="S92" s="82" t="n">
        <v>55000</v>
      </c>
      <c r="T92" s="83" t="n">
        <v>0</v>
      </c>
      <c r="U92" s="80" t="n">
        <f aca="false">SUM(S92:T92)</f>
        <v>55000</v>
      </c>
      <c r="V92" s="84" t="s">
        <v>12</v>
      </c>
      <c r="W92" s="80" t="e">
        <f aca="true">
IF(D92="폐업","폐업",
IF(V92="면제","면제",
IF(AND(V92="정상",COUNTIFS(OFFSET(Y92,0,COUNTA(Y92:AV92)-1,1,-4),"미납")&gt;=3),"장기미납",
IF(AND(V92="정상",OFFSET(Y92,0,COUNTA(Y92:AV92)-1)&gt;=U92),"정상",
IF(AND(V92="정상",OFFSET(Y92,0,COUNTA(Y92:AV92)-1)=0),"정상",
"계약서 미작성")))))</f>
        <v>#VALUE!</v>
      </c>
      <c r="X92" s="81" t="str">
        <f aca="true">
IF(D92="폐업","폐업",
IF(AND(V92="정상",OFFSET(Y92,0,COUNTA(Y92:AV92)-1)="미납"),"미납",
IF(AND(V92="정상",OFFSET(Y92,0,COUNTA(Y92:AV92)-1)=0),"납부 시작 전",
IF(AND(V92="정상",OFFSET(Y92,0,COUNTA(Y92:AV92)-1)&gt;=U92),"정상",
IF(AND(V92="면제",OFFSET(Y92,0,COUNTA(Y92:AV92)-1)="면제"),"면제",
IF(AND(V92="면제",OFFSET(Y92,0,COUNTA(Y92:AV92)-1)=0),"면제",
"확인요청"))))))</f>
        <v>정상</v>
      </c>
      <c r="Y92" s="93" t="n">
        <v>55000</v>
      </c>
      <c r="Z92" s="90" t="n">
        <v>55000</v>
      </c>
      <c r="AA92" s="90" t="n">
        <v>55000</v>
      </c>
      <c r="AB92" s="90" t="n">
        <v>55000</v>
      </c>
      <c r="AC92" s="90" t="n">
        <v>55000</v>
      </c>
      <c r="AD92" s="90" t="n">
        <v>55000</v>
      </c>
      <c r="AE92" s="90" t="n">
        <v>55000</v>
      </c>
      <c r="AF92" s="90" t="n">
        <v>55000</v>
      </c>
      <c r="AG92" s="90" t="n">
        <v>55000</v>
      </c>
      <c r="AH92" s="90" t="n">
        <v>55000</v>
      </c>
      <c r="AI92" s="90" t="n">
        <v>55000</v>
      </c>
      <c r="AJ92" s="91" t="n">
        <v>55000</v>
      </c>
      <c r="AK92" s="89" t="n">
        <v>55000</v>
      </c>
      <c r="AL92" s="90" t="n">
        <v>55000</v>
      </c>
      <c r="AM92" s="90"/>
      <c r="AN92" s="90"/>
      <c r="AO92" s="90"/>
      <c r="AP92" s="90"/>
      <c r="AQ92" s="90"/>
      <c r="AR92" s="90"/>
      <c r="AS92" s="90"/>
      <c r="AT92" s="90"/>
      <c r="AU92" s="90"/>
      <c r="AV92" s="91"/>
      <c r="AX92" s="92"/>
    </row>
    <row r="93" customFormat="false" ht="15.65" hidden="false" customHeight="false" outlineLevel="0" collapsed="false">
      <c r="C93" s="72" t="n">
        <f aca="false">COUNTIFS($D$6:D93,"&lt;&gt;"&amp;"")</f>
        <v>88</v>
      </c>
      <c r="D93" s="73" t="s">
        <v>12</v>
      </c>
      <c r="E93" s="76" t="str">
        <f aca="false">
IF($D93="정상",INDEX(임대자산!$D$3:$R$3000,MATCH($F93,임대자산!$I$3:$I$3000,0),MATCH(E$3,임대자산!$D$3:$R$3,0)),
IF($D93="폐업",INDEX(폐업정보!$D$3:$R$3000,MATCH($F93,폐업정보!$I$3:$I$3000,0),MATCH(E$3,폐업정보!$D$3:$R$3,0)),
"Error"))</f>
        <v>강원</v>
      </c>
      <c r="F9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B0088</v>
      </c>
      <c r="G93" s="76" t="str">
        <f aca="false">F93&amp;RANDBETWEEN(0,10)</f>
        <v>B00888</v>
      </c>
      <c r="H93" s="75" t="n">
        <f aca="false">
IF($D93="정상",INDEX(임대자산!$D$3:$R$3000,MATCH($F93,임대자산!$I$3:$I$3000,0),MATCH(H$4,임대자산!$D$3:$R$3,0)),
IF($D93="폐업",INDEX(폐업정보!$D$3:$R$3000,MATCH($F93,폐업정보!$I$3:$I$3000,0),MATCH(H$4,폐업정보!$D$3:$R$3,0)),
"Error"))</f>
        <v>45856</v>
      </c>
      <c r="I93" s="75" t="str">
        <f aca="false">
IF($D93="정상",INDEX(임대자산!$D$3:$R$3000,MATCH($F93,임대자산!$I$3:$I$3000,0),MATCH(I$4,임대자산!$D$3:$R$3,0)),
IF($D93="폐업",INDEX(폐업정보!$D$3:$R$3000,MATCH($F93,폐업정보!$I$3:$I$3000,0),MATCH(I$4,폐업정보!$D$3:$R$3,0)),
"Error"))</f>
        <v>A0088</v>
      </c>
      <c r="J93" s="75" t="str">
        <f aca="false">
IF($D93="정상",INDEX(임대자산!$D$3:$R$3000,MATCH($F93,임대자산!$I$3:$I$3000,0),MATCH(J$4,임대자산!$D$3:$R$3,0)),
IF($D93="폐업",INDEX(폐업정보!$D$3:$R$3000,MATCH($F93,폐업정보!$I$3:$I$3000,0),MATCH(J$4,폐업정보!$D$3:$R$3,0)),
"Error"))</f>
        <v>8745600000</v>
      </c>
      <c r="K93" s="75" t="str">
        <f aca="false">
IF($D93="정상",INDEX(임대자산!$D$3:$R$3000,MATCH($F93,임대자산!$I$3:$I$3000,0),MATCH(K$4,임대자산!$D$3:$R$3,0)),
IF($D93="폐업",INDEX(폐업정보!$D$3:$R$3000,MATCH($F93,폐업정보!$I$3:$I$3000,0),MATCH(K$4,폐업정보!$D$3:$R$3,0)),
"Error"))</f>
        <v>C0088</v>
      </c>
      <c r="L93" s="75" t="str">
        <f aca="false">
IF($D93="정상",INDEX(임대자산!$D$3:$R$3000,MATCH($F93,임대자산!$I$3:$I$3000,0),MATCH(L$4,임대자산!$D$3:$R$3,0)),
IF($D93="폐업",INDEX(폐업정보!$D$3:$R$3000,MATCH($F93,폐업정보!$I$3:$I$3000,0),MATCH(L$4,폐업정보!$D$3:$R$3,0)),
"Error"))</f>
        <v>D0088</v>
      </c>
      <c r="M93" s="76" t="s">
        <v>96</v>
      </c>
      <c r="N93" s="77"/>
      <c r="O93" s="78" t="s">
        <v>97</v>
      </c>
      <c r="P93" s="79" t="n">
        <f aca="false">COUNTIFS(임대자산!$I:$I,가맹점정보!F93,임대자산!$N:$N,가맹점정보!P$4)</f>
        <v>1</v>
      </c>
      <c r="Q93" s="80" t="n">
        <f aca="false">COUNTIFS(임대자산!$I:$I,가맹점정보!F93,임대자산!$N:$N,가맹점정보!Q$4)</f>
        <v>0</v>
      </c>
      <c r="R93" s="81" t="n">
        <f aca="false">COUNTIFS(임대자산!$I:$I,가맹점정보!F93,임대자산!$N:$N,가맹점정보!R$4)</f>
        <v>0</v>
      </c>
      <c r="S93" s="82" t="n">
        <v>55000</v>
      </c>
      <c r="T93" s="83" t="n">
        <v>0</v>
      </c>
      <c r="U93" s="80" t="n">
        <f aca="false">SUM(S93:T93)</f>
        <v>55000</v>
      </c>
      <c r="V93" s="84" t="s">
        <v>12</v>
      </c>
      <c r="W93" s="80" t="e">
        <f aca="true">
IF(D93="폐업","폐업",
IF(V93="면제","면제",
IF(AND(V93="정상",COUNTIFS(OFFSET(Y93,0,COUNTA(Y93:AV93)-1,1,-4),"미납")&gt;=3),"장기미납",
IF(AND(V93="정상",OFFSET(Y93,0,COUNTA(Y93:AV93)-1)&gt;=U93),"정상",
IF(AND(V93="정상",OFFSET(Y93,0,COUNTA(Y93:AV93)-1)=0),"정상",
"계약서 미작성")))))</f>
        <v>#VALUE!</v>
      </c>
      <c r="X93" s="81" t="str">
        <f aca="true">
IF(D93="폐업","폐업",
IF(AND(V93="정상",OFFSET(Y93,0,COUNTA(Y93:AV93)-1)="미납"),"미납",
IF(AND(V93="정상",OFFSET(Y93,0,COUNTA(Y93:AV93)-1)=0),"납부 시작 전",
IF(AND(V93="정상",OFFSET(Y93,0,COUNTA(Y93:AV93)-1)&gt;=U93),"정상",
IF(AND(V93="면제",OFFSET(Y93,0,COUNTA(Y93:AV93)-1)="면제"),"면제",
IF(AND(V93="면제",OFFSET(Y93,0,COUNTA(Y93:AV93)-1)=0),"면제",
"확인요청"))))))</f>
        <v>정상</v>
      </c>
      <c r="Y93" s="93" t="n">
        <v>55000</v>
      </c>
      <c r="Z93" s="90" t="n">
        <v>55000</v>
      </c>
      <c r="AA93" s="90" t="n">
        <v>55000</v>
      </c>
      <c r="AB93" s="90" t="n">
        <v>55000</v>
      </c>
      <c r="AC93" s="90" t="n">
        <v>55000</v>
      </c>
      <c r="AD93" s="90" t="n">
        <v>55000</v>
      </c>
      <c r="AE93" s="90" t="n">
        <v>55000</v>
      </c>
      <c r="AF93" s="90" t="n">
        <v>55000</v>
      </c>
      <c r="AG93" s="90" t="n">
        <v>55000</v>
      </c>
      <c r="AH93" s="90" t="s">
        <v>98</v>
      </c>
      <c r="AI93" s="90" t="n">
        <v>110000</v>
      </c>
      <c r="AJ93" s="91" t="n">
        <v>55000</v>
      </c>
      <c r="AK93" s="89" t="n">
        <v>55000</v>
      </c>
      <c r="AL93" s="90" t="n">
        <v>55000</v>
      </c>
      <c r="AM93" s="90"/>
      <c r="AN93" s="90"/>
      <c r="AO93" s="90"/>
      <c r="AP93" s="90"/>
      <c r="AQ93" s="90"/>
      <c r="AR93" s="90"/>
      <c r="AS93" s="90"/>
      <c r="AT93" s="90"/>
      <c r="AU93" s="90"/>
      <c r="AV93" s="91"/>
      <c r="AX93" s="92"/>
    </row>
    <row r="94" customFormat="false" ht="15.65" hidden="false" customHeight="false" outlineLevel="0" collapsed="false">
      <c r="C94" s="72" t="n">
        <f aca="false">COUNTIFS($D$6:D94,"&lt;&gt;"&amp;"")</f>
        <v>89</v>
      </c>
      <c r="D94" s="73" t="s">
        <v>12</v>
      </c>
      <c r="E94" s="76" t="str">
        <f aca="false">
IF($D94="정상",INDEX(임대자산!$D$3:$R$3000,MATCH($F94,임대자산!$I$3:$I$3000,0),MATCH(E$3,임대자산!$D$3:$R$3,0)),
IF($D94="폐업",INDEX(폐업정보!$D$3:$R$3000,MATCH($F94,폐업정보!$I$3:$I$3000,0),MATCH(E$3,폐업정보!$D$3:$R$3,0)),
"Error"))</f>
        <v>서울</v>
      </c>
      <c r="F9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B0089</v>
      </c>
      <c r="G94" s="76" t="str">
        <f aca="false">F94&amp;RANDBETWEEN(0,10)</f>
        <v>B00897</v>
      </c>
      <c r="H94" s="75" t="n">
        <f aca="false">
IF($D94="정상",INDEX(임대자산!$D$3:$R$3000,MATCH($F94,임대자산!$I$3:$I$3000,0),MATCH(H$4,임대자산!$D$3:$R$3,0)),
IF($D94="폐업",INDEX(폐업정보!$D$3:$R$3000,MATCH($F94,폐업정보!$I$3:$I$3000,0),MATCH(H$4,폐업정보!$D$3:$R$3,0)),
"Error"))</f>
        <v>44056</v>
      </c>
      <c r="I94" s="75" t="str">
        <f aca="false">
IF($D94="정상",INDEX(임대자산!$D$3:$R$3000,MATCH($F94,임대자산!$I$3:$I$3000,0),MATCH(I$4,임대자산!$D$3:$R$3,0)),
IF($D94="폐업",INDEX(폐업정보!$D$3:$R$3000,MATCH($F94,폐업정보!$I$3:$I$3000,0),MATCH(I$4,폐업정보!$D$3:$R$3,0)),
"Error"))</f>
        <v>A0089</v>
      </c>
      <c r="J94" s="75" t="str">
        <f aca="false">
IF($D94="정상",INDEX(임대자산!$D$3:$R$3000,MATCH($F94,임대자산!$I$3:$I$3000,0),MATCH(J$4,임대자산!$D$3:$R$3,0)),
IF($D94="폐업",INDEX(폐업정보!$D$3:$R$3000,MATCH($F94,폐업정보!$I$3:$I$3000,0),MATCH(J$4,폐업정보!$D$3:$R$3,0)),
"Error"))</f>
        <v>2305600000</v>
      </c>
      <c r="K94" s="75" t="str">
        <f aca="false">
IF($D94="정상",INDEX(임대자산!$D$3:$R$3000,MATCH($F94,임대자산!$I$3:$I$3000,0),MATCH(K$4,임대자산!$D$3:$R$3,0)),
IF($D94="폐업",INDEX(폐업정보!$D$3:$R$3000,MATCH($F94,폐업정보!$I$3:$I$3000,0),MATCH(K$4,폐업정보!$D$3:$R$3,0)),
"Error"))</f>
        <v>C0089</v>
      </c>
      <c r="L94" s="75" t="str">
        <f aca="false">
IF($D94="정상",INDEX(임대자산!$D$3:$R$3000,MATCH($F94,임대자산!$I$3:$I$3000,0),MATCH(L$4,임대자산!$D$3:$R$3,0)),
IF($D94="폐업",INDEX(폐업정보!$D$3:$R$3000,MATCH($F94,폐업정보!$I$3:$I$3000,0),MATCH(L$4,폐업정보!$D$3:$R$3,0)),
"Error"))</f>
        <v>D0089</v>
      </c>
      <c r="M94" s="76" t="s">
        <v>96</v>
      </c>
      <c r="N94" s="77"/>
      <c r="O94" s="78" t="s">
        <v>97</v>
      </c>
      <c r="P94" s="79" t="n">
        <f aca="false">COUNTIFS(임대자산!$I:$I,가맹점정보!F94,임대자산!$N:$N,가맹점정보!P$4)</f>
        <v>1</v>
      </c>
      <c r="Q94" s="80" t="n">
        <f aca="false">COUNTIFS(임대자산!$I:$I,가맹점정보!F94,임대자산!$N:$N,가맹점정보!Q$4)</f>
        <v>0</v>
      </c>
      <c r="R94" s="81" t="n">
        <f aca="false">COUNTIFS(임대자산!$I:$I,가맹점정보!F94,임대자산!$N:$N,가맹점정보!R$4)</f>
        <v>0</v>
      </c>
      <c r="S94" s="82" t="n">
        <v>55000</v>
      </c>
      <c r="T94" s="83" t="n">
        <v>0</v>
      </c>
      <c r="U94" s="80" t="n">
        <f aca="false">SUM(S94:T94)</f>
        <v>55000</v>
      </c>
      <c r="V94" s="84" t="s">
        <v>12</v>
      </c>
      <c r="W94" s="80" t="e">
        <f aca="true">
IF(D94="폐업","폐업",
IF(V94="면제","면제",
IF(AND(V94="정상",COUNTIFS(OFFSET(Y94,0,COUNTA(Y94:AV94)-1,1,-4),"미납")&gt;=3),"장기미납",
IF(AND(V94="정상",OFFSET(Y94,0,COUNTA(Y94:AV94)-1)&gt;=U94),"정상",
IF(AND(V94="정상",OFFSET(Y94,0,COUNTA(Y94:AV94)-1)=0),"정상",
"계약서 미작성")))))</f>
        <v>#VALUE!</v>
      </c>
      <c r="X94" s="81" t="str">
        <f aca="true">
IF(D94="폐업","폐업",
IF(AND(V94="정상",OFFSET(Y94,0,COUNTA(Y94:AV94)-1)="미납"),"미납",
IF(AND(V94="정상",OFFSET(Y94,0,COUNTA(Y94:AV94)-1)=0),"납부 시작 전",
IF(AND(V94="정상",OFFSET(Y94,0,COUNTA(Y94:AV94)-1)&gt;=U94),"정상",
IF(AND(V94="면제",OFFSET(Y94,0,COUNTA(Y94:AV94)-1)="면제"),"면제",
IF(AND(V94="면제",OFFSET(Y94,0,COUNTA(Y94:AV94)-1)=0),"면제",
"확인요청"))))))</f>
        <v>정상</v>
      </c>
      <c r="Y94" s="93" t="n">
        <v>55000</v>
      </c>
      <c r="Z94" s="90" t="n">
        <v>55000</v>
      </c>
      <c r="AA94" s="90" t="n">
        <v>55000</v>
      </c>
      <c r="AB94" s="90" t="n">
        <v>55000</v>
      </c>
      <c r="AC94" s="90" t="n">
        <v>55000</v>
      </c>
      <c r="AD94" s="90" t="n">
        <v>55000</v>
      </c>
      <c r="AE94" s="90" t="n">
        <v>55000</v>
      </c>
      <c r="AF94" s="90" t="n">
        <v>55000</v>
      </c>
      <c r="AG94" s="90" t="n">
        <v>55000</v>
      </c>
      <c r="AH94" s="90" t="n">
        <v>55000</v>
      </c>
      <c r="AI94" s="90" t="n">
        <v>55000</v>
      </c>
      <c r="AJ94" s="91" t="n">
        <v>55000</v>
      </c>
      <c r="AK94" s="89" t="n">
        <v>55000</v>
      </c>
      <c r="AL94" s="90" t="n">
        <v>55000</v>
      </c>
      <c r="AM94" s="90"/>
      <c r="AN94" s="90"/>
      <c r="AO94" s="90"/>
      <c r="AP94" s="90"/>
      <c r="AQ94" s="90"/>
      <c r="AR94" s="90"/>
      <c r="AS94" s="90"/>
      <c r="AT94" s="90"/>
      <c r="AU94" s="90"/>
      <c r="AV94" s="91"/>
      <c r="AX94" s="92"/>
    </row>
    <row r="95" customFormat="false" ht="15.65" hidden="false" customHeight="false" outlineLevel="0" collapsed="false">
      <c r="C95" s="72" t="n">
        <f aca="false">COUNTIFS($D$6:D95,"&lt;&gt;"&amp;"")</f>
        <v>90</v>
      </c>
      <c r="D95" s="73" t="s">
        <v>12</v>
      </c>
      <c r="E95" s="76" t="str">
        <f aca="false">
IF($D95="정상",INDEX(임대자산!$D$3:$R$3000,MATCH($F95,임대자산!$I$3:$I$3000,0),MATCH(E$3,임대자산!$D$3:$R$3,0)),
IF($D95="폐업",INDEX(폐업정보!$D$3:$R$3000,MATCH($F95,폐업정보!$I$3:$I$3000,0),MATCH(E$3,폐업정보!$D$3:$R$3,0)),
"Error"))</f>
        <v>서울</v>
      </c>
      <c r="F9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B0090</v>
      </c>
      <c r="G95" s="76" t="str">
        <f aca="false">F95&amp;RANDBETWEEN(0,10)</f>
        <v>B009010</v>
      </c>
      <c r="H95" s="75" t="n">
        <f aca="false">
IF($D95="정상",INDEX(임대자산!$D$3:$R$3000,MATCH($F95,임대자산!$I$3:$I$3000,0),MATCH(H$4,임대자산!$D$3:$R$3,0)),
IF($D95="폐업",INDEX(폐업정보!$D$3:$R$3000,MATCH($F95,폐업정보!$I$3:$I$3000,0),MATCH(H$4,폐업정보!$D$3:$R$3,0)),
"Error"))</f>
        <v>44411</v>
      </c>
      <c r="I95" s="75" t="str">
        <f aca="false">
IF($D95="정상",INDEX(임대자산!$D$3:$R$3000,MATCH($F95,임대자산!$I$3:$I$3000,0),MATCH(I$4,임대자산!$D$3:$R$3,0)),
IF($D95="폐업",INDEX(폐업정보!$D$3:$R$3000,MATCH($F95,폐업정보!$I$3:$I$3000,0),MATCH(I$4,폐업정보!$D$3:$R$3,0)),
"Error"))</f>
        <v>A0090</v>
      </c>
      <c r="J95" s="75" t="str">
        <f aca="false">
IF($D95="정상",INDEX(임대자산!$D$3:$R$3000,MATCH($F95,임대자산!$I$3:$I$3000,0),MATCH(J$4,임대자산!$D$3:$R$3,0)),
IF($D95="폐업",INDEX(폐업정보!$D$3:$R$3000,MATCH($F95,폐업정보!$I$3:$I$3000,0),MATCH(J$4,폐업정보!$D$3:$R$3,0)),
"Error"))</f>
        <v>1040500000</v>
      </c>
      <c r="K95" s="75" t="str">
        <f aca="false">
IF($D95="정상",INDEX(임대자산!$D$3:$R$3000,MATCH($F95,임대자산!$I$3:$I$3000,0),MATCH(K$4,임대자산!$D$3:$R$3,0)),
IF($D95="폐업",INDEX(폐업정보!$D$3:$R$3000,MATCH($F95,폐업정보!$I$3:$I$3000,0),MATCH(K$4,폐업정보!$D$3:$R$3,0)),
"Error"))</f>
        <v>C0090</v>
      </c>
      <c r="L95" s="75" t="str">
        <f aca="false">
IF($D95="정상",INDEX(임대자산!$D$3:$R$3000,MATCH($F95,임대자산!$I$3:$I$3000,0),MATCH(L$4,임대자산!$D$3:$R$3,0)),
IF($D95="폐업",INDEX(폐업정보!$D$3:$R$3000,MATCH($F95,폐업정보!$I$3:$I$3000,0),MATCH(L$4,폐업정보!$D$3:$R$3,0)),
"Error"))</f>
        <v>D0090</v>
      </c>
      <c r="M95" s="76" t="s">
        <v>96</v>
      </c>
      <c r="N95" s="77"/>
      <c r="O95" s="78" t="s">
        <v>97</v>
      </c>
      <c r="P95" s="79" t="n">
        <f aca="false">COUNTIFS(임대자산!$I:$I,가맹점정보!F95,임대자산!$N:$N,가맹점정보!P$4)</f>
        <v>1</v>
      </c>
      <c r="Q95" s="80" t="n">
        <f aca="false">COUNTIFS(임대자산!$I:$I,가맹점정보!F95,임대자산!$N:$N,가맹점정보!Q$4)</f>
        <v>0</v>
      </c>
      <c r="R95" s="81" t="n">
        <f aca="false">COUNTIFS(임대자산!$I:$I,가맹점정보!F95,임대자산!$N:$N,가맹점정보!R$4)</f>
        <v>0</v>
      </c>
      <c r="S95" s="82" t="n">
        <v>55000</v>
      </c>
      <c r="T95" s="83" t="n">
        <v>0</v>
      </c>
      <c r="U95" s="80" t="n">
        <f aca="false">SUM(S95:T95)</f>
        <v>55000</v>
      </c>
      <c r="V95" s="84" t="s">
        <v>12</v>
      </c>
      <c r="W95" s="80" t="e">
        <f aca="true">
IF(D95="폐업","폐업",
IF(V95="면제","면제",
IF(AND(V95="정상",COUNTIFS(OFFSET(Y95,0,COUNTA(Y95:AV95)-1,1,-4),"미납")&gt;=3),"장기미납",
IF(AND(V95="정상",OFFSET(Y95,0,COUNTA(Y95:AV95)-1)&gt;=U95),"정상",
IF(AND(V95="정상",OFFSET(Y95,0,COUNTA(Y95:AV95)-1)=0),"정상",
"계약서 미작성")))))</f>
        <v>#VALUE!</v>
      </c>
      <c r="X95" s="81" t="str">
        <f aca="true">
IF(D95="폐업","폐업",
IF(AND(V95="정상",OFFSET(Y95,0,COUNTA(Y95:AV95)-1)="미납"),"미납",
IF(AND(V95="정상",OFFSET(Y95,0,COUNTA(Y95:AV95)-1)=0),"납부 시작 전",
IF(AND(V95="정상",OFFSET(Y95,0,COUNTA(Y95:AV95)-1)&gt;=U95),"정상",
IF(AND(V95="면제",OFFSET(Y95,0,COUNTA(Y95:AV95)-1)="면제"),"면제",
IF(AND(V95="면제",OFFSET(Y95,0,COUNTA(Y95:AV95)-1)=0),"면제",
"확인요청"))))))</f>
        <v>정상</v>
      </c>
      <c r="Y95" s="93" t="n">
        <v>55000</v>
      </c>
      <c r="Z95" s="90" t="n">
        <v>55000</v>
      </c>
      <c r="AA95" s="90" t="n">
        <v>55000</v>
      </c>
      <c r="AB95" s="90" t="n">
        <v>55000</v>
      </c>
      <c r="AC95" s="90" t="n">
        <v>55000</v>
      </c>
      <c r="AD95" s="90" t="n">
        <v>55000</v>
      </c>
      <c r="AE95" s="90" t="n">
        <v>55000</v>
      </c>
      <c r="AF95" s="90" t="n">
        <v>55000</v>
      </c>
      <c r="AG95" s="90" t="n">
        <v>55000</v>
      </c>
      <c r="AH95" s="90" t="n">
        <v>55000</v>
      </c>
      <c r="AI95" s="90" t="n">
        <v>55000</v>
      </c>
      <c r="AJ95" s="91" t="n">
        <v>55000</v>
      </c>
      <c r="AK95" s="89" t="n">
        <v>55000</v>
      </c>
      <c r="AL95" s="90" t="n">
        <v>55000</v>
      </c>
      <c r="AM95" s="90"/>
      <c r="AN95" s="90"/>
      <c r="AO95" s="90"/>
      <c r="AP95" s="90"/>
      <c r="AQ95" s="90"/>
      <c r="AR95" s="90"/>
      <c r="AS95" s="90"/>
      <c r="AT95" s="90"/>
      <c r="AU95" s="90"/>
      <c r="AV95" s="91"/>
      <c r="AX95" s="92"/>
    </row>
    <row r="96" customFormat="false" ht="15.65" hidden="false" customHeight="false" outlineLevel="0" collapsed="false">
      <c r="C96" s="72" t="n">
        <f aca="false">COUNTIFS($D$6:D96,"&lt;&gt;"&amp;"")</f>
        <v>91</v>
      </c>
      <c r="D96" s="73" t="s">
        <v>12</v>
      </c>
      <c r="E96" s="76" t="str">
        <f aca="false">
IF($D96="정상",INDEX(임대자산!$D$3:$R$3000,MATCH($F96,임대자산!$I$3:$I$3000,0),MATCH(E$3,임대자산!$D$3:$R$3,0)),
IF($D96="폐업",INDEX(폐업정보!$D$3:$R$3000,MATCH($F96,폐업정보!$I$3:$I$3000,0),MATCH(E$3,폐업정보!$D$3:$R$3,0)),
"Error"))</f>
        <v>경기</v>
      </c>
      <c r="F9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B0091</v>
      </c>
      <c r="G96" s="76" t="str">
        <f aca="false">F96&amp;RANDBETWEEN(0,10)</f>
        <v>B00916</v>
      </c>
      <c r="H96" s="75" t="n">
        <f aca="false">
IF($D96="정상",INDEX(임대자산!$D$3:$R$3000,MATCH($F96,임대자산!$I$3:$I$3000,0),MATCH(H$4,임대자산!$D$3:$R$3,0)),
IF($D96="폐업",INDEX(폐업정보!$D$3:$R$3000,MATCH($F96,폐업정보!$I$3:$I$3000,0),MATCH(H$4,폐업정보!$D$3:$R$3,0)),
"Error"))</f>
        <v>45131</v>
      </c>
      <c r="I96" s="75" t="str">
        <f aca="false">
IF($D96="정상",INDEX(임대자산!$D$3:$R$3000,MATCH($F96,임대자산!$I$3:$I$3000,0),MATCH(I$4,임대자산!$D$3:$R$3,0)),
IF($D96="폐업",INDEX(폐업정보!$D$3:$R$3000,MATCH($F96,폐업정보!$I$3:$I$3000,0),MATCH(I$4,폐업정보!$D$3:$R$3,0)),
"Error"))</f>
        <v>A0091</v>
      </c>
      <c r="J96" s="75" t="str">
        <f aca="false">
IF($D96="정상",INDEX(임대자산!$D$3:$R$3000,MATCH($F96,임대자산!$I$3:$I$3000,0),MATCH(J$4,임대자산!$D$3:$R$3,0)),
IF($D96="폐업",INDEX(폐업정보!$D$3:$R$3000,MATCH($F96,폐업정보!$I$3:$I$3000,0),MATCH(J$4,폐업정보!$D$3:$R$3,0)),
"Error"))</f>
        <v>6359100000</v>
      </c>
      <c r="K96" s="75" t="str">
        <f aca="false">
IF($D96="정상",INDEX(임대자산!$D$3:$R$3000,MATCH($F96,임대자산!$I$3:$I$3000,0),MATCH(K$4,임대자산!$D$3:$R$3,0)),
IF($D96="폐업",INDEX(폐업정보!$D$3:$R$3000,MATCH($F96,폐업정보!$I$3:$I$3000,0),MATCH(K$4,폐업정보!$D$3:$R$3,0)),
"Error"))</f>
        <v>C0091</v>
      </c>
      <c r="L96" s="75" t="str">
        <f aca="false">
IF($D96="정상",INDEX(임대자산!$D$3:$R$3000,MATCH($F96,임대자산!$I$3:$I$3000,0),MATCH(L$4,임대자산!$D$3:$R$3,0)),
IF($D96="폐업",INDEX(폐업정보!$D$3:$R$3000,MATCH($F96,폐업정보!$I$3:$I$3000,0),MATCH(L$4,폐업정보!$D$3:$R$3,0)),
"Error"))</f>
        <v>D0091</v>
      </c>
      <c r="M96" s="76" t="s">
        <v>96</v>
      </c>
      <c r="N96" s="77"/>
      <c r="O96" s="78" t="s">
        <v>97</v>
      </c>
      <c r="P96" s="79" t="n">
        <f aca="false">COUNTIFS(임대자산!$I:$I,가맹점정보!F96,임대자산!$N:$N,가맹점정보!P$4)</f>
        <v>1</v>
      </c>
      <c r="Q96" s="80" t="n">
        <f aca="false">COUNTIFS(임대자산!$I:$I,가맹점정보!F96,임대자산!$N:$N,가맹점정보!Q$4)</f>
        <v>0</v>
      </c>
      <c r="R96" s="81" t="n">
        <f aca="false">COUNTIFS(임대자산!$I:$I,가맹점정보!F96,임대자산!$N:$N,가맹점정보!R$4)</f>
        <v>0</v>
      </c>
      <c r="S96" s="82" t="n">
        <v>88000</v>
      </c>
      <c r="T96" s="83" t="n">
        <v>0</v>
      </c>
      <c r="U96" s="80" t="n">
        <f aca="false">SUM(S96:T96)</f>
        <v>88000</v>
      </c>
      <c r="V96" s="84" t="s">
        <v>7</v>
      </c>
      <c r="W96" s="80" t="str">
        <f aca="true">
IF(D96="폐업","폐업",
IF(V96="면제","면제",
IF(AND(V96="정상",COUNTIFS(OFFSET(Y96,0,COUNTA(Y96:AV96)-1,1,-4),"미납")&gt;=3),"장기미납",
IF(AND(V96="정상",OFFSET(Y96,0,COUNTA(Y96:AV96)-1)&gt;=U96),"정상",
IF(AND(V96="정상",OFFSET(Y96,0,COUNTA(Y96:AV96)-1)=0),"정상",
"계약서 미작성")))))</f>
        <v>면제</v>
      </c>
      <c r="X96" s="81" t="str">
        <f aca="true">
IF(D96="폐업","폐업",
IF(AND(V96="정상",OFFSET(Y96,0,COUNTA(Y96:AV96)-1)="미납"),"미납",
IF(AND(V96="정상",OFFSET(Y96,0,COUNTA(Y96:AV96)-1)=0),"납부 시작 전",
IF(AND(V96="정상",OFFSET(Y96,0,COUNTA(Y96:AV96)-1)&gt;=U96),"정상",
IF(AND(V96="면제",OFFSET(Y96,0,COUNTA(Y96:AV96)-1)="면제"),"면제",
IF(AND(V96="면제",OFFSET(Y96,0,COUNTA(Y96:AV96)-1)=0),"면제",
"확인요청"))))))</f>
        <v>면제</v>
      </c>
      <c r="Y96" s="94" t="s">
        <v>7</v>
      </c>
      <c r="Z96" s="95" t="s">
        <v>7</v>
      </c>
      <c r="AA96" s="95" t="s">
        <v>7</v>
      </c>
      <c r="AB96" s="95" t="s">
        <v>7</v>
      </c>
      <c r="AC96" s="95" t="s">
        <v>7</v>
      </c>
      <c r="AD96" s="95" t="s">
        <v>7</v>
      </c>
      <c r="AE96" s="95" t="s">
        <v>7</v>
      </c>
      <c r="AF96" s="95" t="s">
        <v>7</v>
      </c>
      <c r="AG96" s="95" t="s">
        <v>7</v>
      </c>
      <c r="AH96" s="95" t="s">
        <v>7</v>
      </c>
      <c r="AI96" s="95" t="s">
        <v>7</v>
      </c>
      <c r="AJ96" s="96" t="s">
        <v>7</v>
      </c>
      <c r="AK96" s="97" t="s">
        <v>7</v>
      </c>
      <c r="AL96" s="95" t="s">
        <v>7</v>
      </c>
      <c r="AM96" s="90"/>
      <c r="AN96" s="90"/>
      <c r="AO96" s="90"/>
      <c r="AP96" s="90"/>
      <c r="AQ96" s="90"/>
      <c r="AR96" s="90"/>
      <c r="AS96" s="90"/>
      <c r="AT96" s="90"/>
      <c r="AU96" s="90"/>
      <c r="AV96" s="91"/>
      <c r="AX96" s="92"/>
    </row>
    <row r="97" customFormat="false" ht="15.65" hidden="false" customHeight="false" outlineLevel="0" collapsed="false">
      <c r="C97" s="72" t="n">
        <f aca="false">COUNTIFS($D$6:D97,"&lt;&gt;"&amp;"")</f>
        <v>92</v>
      </c>
      <c r="D97" s="73" t="s">
        <v>12</v>
      </c>
      <c r="E97" s="76" t="str">
        <f aca="false">
IF($D97="정상",INDEX(임대자산!$D$3:$R$3000,MATCH($F97,임대자산!$I$3:$I$3000,0),MATCH(E$3,임대자산!$D$3:$R$3,0)),
IF($D97="폐업",INDEX(폐업정보!$D$3:$R$3000,MATCH($F97,폐업정보!$I$3:$I$3000,0),MATCH(E$3,폐업정보!$D$3:$R$3,0)),
"Error"))</f>
        <v>서울</v>
      </c>
      <c r="F9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B0092</v>
      </c>
      <c r="G97" s="76" t="str">
        <f aca="false">F97&amp;RANDBETWEEN(0,10)</f>
        <v>B00929</v>
      </c>
      <c r="H97" s="75" t="n">
        <f aca="false">
IF($D97="정상",INDEX(임대자산!$D$3:$R$3000,MATCH($F97,임대자산!$I$3:$I$3000,0),MATCH(H$4,임대자산!$D$3:$R$3,0)),
IF($D97="폐업",INDEX(폐업정보!$D$3:$R$3000,MATCH($F97,폐업정보!$I$3:$I$3000,0),MATCH(H$4,폐업정보!$D$3:$R$3,0)),
"Error"))</f>
        <v>43983</v>
      </c>
      <c r="I97" s="75" t="str">
        <f aca="false">
IF($D97="정상",INDEX(임대자산!$D$3:$R$3000,MATCH($F97,임대자산!$I$3:$I$3000,0),MATCH(I$4,임대자산!$D$3:$R$3,0)),
IF($D97="폐업",INDEX(폐업정보!$D$3:$R$3000,MATCH($F97,폐업정보!$I$3:$I$3000,0),MATCH(I$4,폐업정보!$D$3:$R$3,0)),
"Error"))</f>
        <v>A0092</v>
      </c>
      <c r="J97" s="75" t="str">
        <f aca="false">
IF($D97="정상",INDEX(임대자산!$D$3:$R$3000,MATCH($F97,임대자산!$I$3:$I$3000,0),MATCH(J$4,임대자산!$D$3:$R$3,0)),
IF($D97="폐업",INDEX(폐업정보!$D$3:$R$3000,MATCH($F97,폐업정보!$I$3:$I$3000,0),MATCH(J$4,폐업정보!$D$3:$R$3,0)),
"Error"))</f>
        <v>3411600000</v>
      </c>
      <c r="K97" s="75" t="str">
        <f aca="false">
IF($D97="정상",INDEX(임대자산!$D$3:$R$3000,MATCH($F97,임대자산!$I$3:$I$3000,0),MATCH(K$4,임대자산!$D$3:$R$3,0)),
IF($D97="폐업",INDEX(폐업정보!$D$3:$R$3000,MATCH($F97,폐업정보!$I$3:$I$3000,0),MATCH(K$4,폐업정보!$D$3:$R$3,0)),
"Error"))</f>
        <v>C0092</v>
      </c>
      <c r="L97" s="75" t="str">
        <f aca="false">
IF($D97="정상",INDEX(임대자산!$D$3:$R$3000,MATCH($F97,임대자산!$I$3:$I$3000,0),MATCH(L$4,임대자산!$D$3:$R$3,0)),
IF($D97="폐업",INDEX(폐업정보!$D$3:$R$3000,MATCH($F97,폐업정보!$I$3:$I$3000,0),MATCH(L$4,폐업정보!$D$3:$R$3,0)),
"Error"))</f>
        <v>D0092</v>
      </c>
      <c r="M97" s="76" t="s">
        <v>96</v>
      </c>
      <c r="N97" s="77"/>
      <c r="O97" s="78" t="s">
        <v>97</v>
      </c>
      <c r="P97" s="79" t="n">
        <f aca="false">COUNTIFS(임대자산!$I:$I,가맹점정보!F97,임대자산!$N:$N,가맹점정보!P$4)</f>
        <v>1</v>
      </c>
      <c r="Q97" s="80" t="n">
        <f aca="false">COUNTIFS(임대자산!$I:$I,가맹점정보!F97,임대자산!$N:$N,가맹점정보!Q$4)</f>
        <v>0</v>
      </c>
      <c r="R97" s="81" t="n">
        <f aca="false">COUNTIFS(임대자산!$I:$I,가맹점정보!F97,임대자산!$N:$N,가맹점정보!R$4)</f>
        <v>0</v>
      </c>
      <c r="S97" s="82" t="n">
        <v>55000</v>
      </c>
      <c r="T97" s="83" t="n">
        <v>0</v>
      </c>
      <c r="U97" s="80" t="n">
        <f aca="false">SUM(S97:T97)</f>
        <v>55000</v>
      </c>
      <c r="V97" s="84" t="s">
        <v>12</v>
      </c>
      <c r="W97" s="80" t="e">
        <f aca="true">
IF(D97="폐업","폐업",
IF(V97="면제","면제",
IF(AND(V97="정상",COUNTIFS(OFFSET(Y97,0,COUNTA(Y97:AV97)-1,1,-4),"미납")&gt;=3),"장기미납",
IF(AND(V97="정상",OFFSET(Y97,0,COUNTA(Y97:AV97)-1)&gt;=U97),"정상",
IF(AND(V97="정상",OFFSET(Y97,0,COUNTA(Y97:AV97)-1)=0),"정상",
"계약서 미작성")))))</f>
        <v>#VALUE!</v>
      </c>
      <c r="X97" s="81" t="str">
        <f aca="true">
IF(D97="폐업","폐업",
IF(AND(V97="정상",OFFSET(Y97,0,COUNTA(Y97:AV97)-1)="미납"),"미납",
IF(AND(V97="정상",OFFSET(Y97,0,COUNTA(Y97:AV97)-1)=0),"납부 시작 전",
IF(AND(V97="정상",OFFSET(Y97,0,COUNTA(Y97:AV97)-1)&gt;=U97),"정상",
IF(AND(V97="면제",OFFSET(Y97,0,COUNTA(Y97:AV97)-1)="면제"),"면제",
IF(AND(V97="면제",OFFSET(Y97,0,COUNTA(Y97:AV97)-1)=0),"면제",
"확인요청"))))))</f>
        <v>정상</v>
      </c>
      <c r="Y97" s="93" t="n">
        <v>55000</v>
      </c>
      <c r="Z97" s="90" t="n">
        <v>55000</v>
      </c>
      <c r="AA97" s="90" t="n">
        <v>55000</v>
      </c>
      <c r="AB97" s="90" t="n">
        <v>55000</v>
      </c>
      <c r="AC97" s="90" t="n">
        <v>55000</v>
      </c>
      <c r="AD97" s="90" t="n">
        <v>55000</v>
      </c>
      <c r="AE97" s="90" t="n">
        <v>55000</v>
      </c>
      <c r="AF97" s="90" t="n">
        <v>55000</v>
      </c>
      <c r="AG97" s="90" t="n">
        <v>55000</v>
      </c>
      <c r="AH97" s="90" t="n">
        <v>55000</v>
      </c>
      <c r="AI97" s="90" t="n">
        <v>55000</v>
      </c>
      <c r="AJ97" s="91" t="n">
        <v>55000</v>
      </c>
      <c r="AK97" s="89" t="n">
        <v>55000</v>
      </c>
      <c r="AL97" s="90" t="n">
        <v>55000</v>
      </c>
      <c r="AM97" s="90"/>
      <c r="AN97" s="90"/>
      <c r="AO97" s="90"/>
      <c r="AP97" s="90"/>
      <c r="AQ97" s="90"/>
      <c r="AR97" s="90"/>
      <c r="AS97" s="90"/>
      <c r="AT97" s="90"/>
      <c r="AU97" s="90"/>
      <c r="AV97" s="91"/>
      <c r="AX97" s="92"/>
    </row>
    <row r="98" customFormat="false" ht="15.65" hidden="false" customHeight="false" outlineLevel="0" collapsed="false">
      <c r="C98" s="72" t="n">
        <f aca="false">COUNTIFS($D$6:D98,"&lt;&gt;"&amp;"")</f>
        <v>93</v>
      </c>
      <c r="D98" s="73" t="s">
        <v>12</v>
      </c>
      <c r="E98" s="76" t="str">
        <f aca="false">
IF($D98="정상",INDEX(임대자산!$D$3:$R$3000,MATCH($F98,임대자산!$I$3:$I$3000,0),MATCH(E$3,임대자산!$D$3:$R$3,0)),
IF($D98="폐업",INDEX(폐업정보!$D$3:$R$3000,MATCH($F98,폐업정보!$I$3:$I$3000,0),MATCH(E$3,폐업정보!$D$3:$R$3,0)),
"Error"))</f>
        <v>전라</v>
      </c>
      <c r="F9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B0093</v>
      </c>
      <c r="G98" s="76" t="str">
        <f aca="false">F98&amp;RANDBETWEEN(0,10)</f>
        <v>B00938</v>
      </c>
      <c r="H98" s="75" t="n">
        <f aca="false">
IF($D98="정상",INDEX(임대자산!$D$3:$R$3000,MATCH($F98,임대자산!$I$3:$I$3000,0),MATCH(H$4,임대자산!$D$3:$R$3,0)),
IF($D98="폐업",INDEX(폐업정보!$D$3:$R$3000,MATCH($F98,폐업정보!$I$3:$I$3000,0),MATCH(H$4,폐업정보!$D$3:$R$3,0)),
"Error"))</f>
        <v>44148</v>
      </c>
      <c r="I98" s="75" t="str">
        <f aca="false">
IF($D98="정상",INDEX(임대자산!$D$3:$R$3000,MATCH($F98,임대자산!$I$3:$I$3000,0),MATCH(I$4,임대자산!$D$3:$R$3,0)),
IF($D98="폐업",INDEX(폐업정보!$D$3:$R$3000,MATCH($F98,폐업정보!$I$3:$I$3000,0),MATCH(I$4,폐업정보!$D$3:$R$3,0)),
"Error"))</f>
        <v>A0093</v>
      </c>
      <c r="J98" s="75" t="str">
        <f aca="false">
IF($D98="정상",INDEX(임대자산!$D$3:$R$3000,MATCH($F98,임대자산!$I$3:$I$3000,0),MATCH(J$4,임대자산!$D$3:$R$3,0)),
IF($D98="폐업",INDEX(폐업정보!$D$3:$R$3000,MATCH($F98,폐업정보!$I$3:$I$3000,0),MATCH(J$4,폐업정보!$D$3:$R$3,0)),
"Error"))</f>
        <v>3200700000</v>
      </c>
      <c r="K98" s="75" t="str">
        <f aca="false">
IF($D98="정상",INDEX(임대자산!$D$3:$R$3000,MATCH($F98,임대자산!$I$3:$I$3000,0),MATCH(K$4,임대자산!$D$3:$R$3,0)),
IF($D98="폐업",INDEX(폐업정보!$D$3:$R$3000,MATCH($F98,폐업정보!$I$3:$I$3000,0),MATCH(K$4,폐업정보!$D$3:$R$3,0)),
"Error"))</f>
        <v>C0093</v>
      </c>
      <c r="L98" s="75" t="str">
        <f aca="false">
IF($D98="정상",INDEX(임대자산!$D$3:$R$3000,MATCH($F98,임대자산!$I$3:$I$3000,0),MATCH(L$4,임대자산!$D$3:$R$3,0)),
IF($D98="폐업",INDEX(폐업정보!$D$3:$R$3000,MATCH($F98,폐업정보!$I$3:$I$3000,0),MATCH(L$4,폐업정보!$D$3:$R$3,0)),
"Error"))</f>
        <v>D0093</v>
      </c>
      <c r="M98" s="76" t="s">
        <v>96</v>
      </c>
      <c r="N98" s="77"/>
      <c r="O98" s="78" t="s">
        <v>97</v>
      </c>
      <c r="P98" s="79" t="n">
        <f aca="false">COUNTIFS(임대자산!$I:$I,가맹점정보!F98,임대자산!$N:$N,가맹점정보!P$4)</f>
        <v>1</v>
      </c>
      <c r="Q98" s="80" t="n">
        <f aca="false">COUNTIFS(임대자산!$I:$I,가맹점정보!F98,임대자산!$N:$N,가맹점정보!Q$4)</f>
        <v>0</v>
      </c>
      <c r="R98" s="81" t="n">
        <f aca="false">COUNTIFS(임대자산!$I:$I,가맹점정보!F98,임대자산!$N:$N,가맹점정보!R$4)</f>
        <v>0</v>
      </c>
      <c r="S98" s="82" t="n">
        <v>55000</v>
      </c>
      <c r="T98" s="83" t="n">
        <v>0</v>
      </c>
      <c r="U98" s="80" t="n">
        <f aca="false">SUM(S98:T98)</f>
        <v>55000</v>
      </c>
      <c r="V98" s="84" t="s">
        <v>12</v>
      </c>
      <c r="W98" s="80" t="e">
        <f aca="true">
IF(D98="폐업","폐업",
IF(V98="면제","면제",
IF(AND(V98="정상",COUNTIFS(OFFSET(Y98,0,COUNTA(Y98:AV98)-1,1,-4),"미납")&gt;=3),"장기미납",
IF(AND(V98="정상",OFFSET(Y98,0,COUNTA(Y98:AV98)-1)&gt;=U98),"정상",
IF(AND(V98="정상",OFFSET(Y98,0,COUNTA(Y98:AV98)-1)=0),"정상",
"계약서 미작성")))))</f>
        <v>#VALUE!</v>
      </c>
      <c r="X98" s="81" t="str">
        <f aca="true">
IF(D98="폐업","폐업",
IF(AND(V98="정상",OFFSET(Y98,0,COUNTA(Y98:AV98)-1)="미납"),"미납",
IF(AND(V98="정상",OFFSET(Y98,0,COUNTA(Y98:AV98)-1)=0),"납부 시작 전",
IF(AND(V98="정상",OFFSET(Y98,0,COUNTA(Y98:AV98)-1)&gt;=U98),"정상",
IF(AND(V98="면제",OFFSET(Y98,0,COUNTA(Y98:AV98)-1)="면제"),"면제",
IF(AND(V98="면제",OFFSET(Y98,0,COUNTA(Y98:AV98)-1)=0),"면제",
"확인요청"))))))</f>
        <v>정상</v>
      </c>
      <c r="Y98" s="93" t="n">
        <v>55000</v>
      </c>
      <c r="Z98" s="90" t="n">
        <v>55000</v>
      </c>
      <c r="AA98" s="90" t="n">
        <v>55000</v>
      </c>
      <c r="AB98" s="90" t="n">
        <v>55000</v>
      </c>
      <c r="AC98" s="90" t="n">
        <v>55000</v>
      </c>
      <c r="AD98" s="90" t="n">
        <v>55000</v>
      </c>
      <c r="AE98" s="90" t="n">
        <v>55000</v>
      </c>
      <c r="AF98" s="90" t="n">
        <v>55000</v>
      </c>
      <c r="AG98" s="90" t="n">
        <v>55000</v>
      </c>
      <c r="AH98" s="90" t="n">
        <v>55000</v>
      </c>
      <c r="AI98" s="90" t="n">
        <v>55000</v>
      </c>
      <c r="AJ98" s="91" t="n">
        <v>55000</v>
      </c>
      <c r="AK98" s="89" t="n">
        <v>55000</v>
      </c>
      <c r="AL98" s="90" t="n">
        <v>55000</v>
      </c>
      <c r="AM98" s="90"/>
      <c r="AN98" s="90"/>
      <c r="AO98" s="90"/>
      <c r="AP98" s="90"/>
      <c r="AQ98" s="90"/>
      <c r="AR98" s="90"/>
      <c r="AS98" s="90"/>
      <c r="AT98" s="90"/>
      <c r="AU98" s="90"/>
      <c r="AV98" s="91"/>
      <c r="AX98" s="92"/>
    </row>
    <row r="99" customFormat="false" ht="15.65" hidden="false" customHeight="false" outlineLevel="0" collapsed="false">
      <c r="C99" s="72" t="n">
        <f aca="false">COUNTIFS($D$6:D99,"&lt;&gt;"&amp;"")</f>
        <v>94</v>
      </c>
      <c r="D99" s="73" t="s">
        <v>12</v>
      </c>
      <c r="E99" s="76" t="str">
        <f aca="false">
IF($D99="정상",INDEX(임대자산!$D$3:$R$3000,MATCH($F99,임대자산!$I$3:$I$3000,0),MATCH(E$3,임대자산!$D$3:$R$3,0)),
IF($D99="폐업",INDEX(폐업정보!$D$3:$R$3000,MATCH($F99,폐업정보!$I$3:$I$3000,0),MATCH(E$3,폐업정보!$D$3:$R$3,0)),
"Error"))</f>
        <v>강원</v>
      </c>
      <c r="F9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B0094</v>
      </c>
      <c r="G99" s="76" t="str">
        <f aca="false">F99&amp;RANDBETWEEN(0,10)</f>
        <v>B00949</v>
      </c>
      <c r="H99" s="75" t="n">
        <f aca="false">
IF($D99="정상",INDEX(임대자산!$D$3:$R$3000,MATCH($F99,임대자산!$I$3:$I$3000,0),MATCH(H$4,임대자산!$D$3:$R$3,0)),
IF($D99="폐업",INDEX(폐업정보!$D$3:$R$3000,MATCH($F99,폐업정보!$I$3:$I$3000,0),MATCH(H$4,폐업정보!$D$3:$R$3,0)),
"Error"))</f>
        <v>44054</v>
      </c>
      <c r="I99" s="75" t="str">
        <f aca="false">
IF($D99="정상",INDEX(임대자산!$D$3:$R$3000,MATCH($F99,임대자산!$I$3:$I$3000,0),MATCH(I$4,임대자산!$D$3:$R$3,0)),
IF($D99="폐업",INDEX(폐업정보!$D$3:$R$3000,MATCH($F99,폐업정보!$I$3:$I$3000,0),MATCH(I$4,폐업정보!$D$3:$R$3,0)),
"Error"))</f>
        <v>A0094</v>
      </c>
      <c r="J99" s="75" t="str">
        <f aca="false">
IF($D99="정상",INDEX(임대자산!$D$3:$R$3000,MATCH($F99,임대자산!$I$3:$I$3000,0),MATCH(J$4,임대자산!$D$3:$R$3,0)),
IF($D99="폐업",INDEX(폐업정보!$D$3:$R$3000,MATCH($F99,폐업정보!$I$3:$I$3000,0),MATCH(J$4,폐업정보!$D$3:$R$3,0)),
"Error"))</f>
        <v>6014700000</v>
      </c>
      <c r="K99" s="75" t="str">
        <f aca="false">
IF($D99="정상",INDEX(임대자산!$D$3:$R$3000,MATCH($F99,임대자산!$I$3:$I$3000,0),MATCH(K$4,임대자산!$D$3:$R$3,0)),
IF($D99="폐업",INDEX(폐업정보!$D$3:$R$3000,MATCH($F99,폐업정보!$I$3:$I$3000,0),MATCH(K$4,폐업정보!$D$3:$R$3,0)),
"Error"))</f>
        <v>C0094</v>
      </c>
      <c r="L99" s="75" t="str">
        <f aca="false">
IF($D99="정상",INDEX(임대자산!$D$3:$R$3000,MATCH($F99,임대자산!$I$3:$I$3000,0),MATCH(L$4,임대자산!$D$3:$R$3,0)),
IF($D99="폐업",INDEX(폐업정보!$D$3:$R$3000,MATCH($F99,폐업정보!$I$3:$I$3000,0),MATCH(L$4,폐업정보!$D$3:$R$3,0)),
"Error"))</f>
        <v>D0094</v>
      </c>
      <c r="M99" s="76" t="s">
        <v>96</v>
      </c>
      <c r="N99" s="77"/>
      <c r="O99" s="78" t="s">
        <v>97</v>
      </c>
      <c r="P99" s="79" t="n">
        <f aca="false">COUNTIFS(임대자산!$I:$I,가맹점정보!F99,임대자산!$N:$N,가맹점정보!P$4)</f>
        <v>1</v>
      </c>
      <c r="Q99" s="80" t="n">
        <f aca="false">COUNTIFS(임대자산!$I:$I,가맹점정보!F99,임대자산!$N:$N,가맹점정보!Q$4)</f>
        <v>0</v>
      </c>
      <c r="R99" s="81" t="n">
        <f aca="false">COUNTIFS(임대자산!$I:$I,가맹점정보!F99,임대자산!$N:$N,가맹점정보!R$4)</f>
        <v>0</v>
      </c>
      <c r="S99" s="82" t="n">
        <v>55000</v>
      </c>
      <c r="T99" s="83" t="n">
        <v>0</v>
      </c>
      <c r="U99" s="80" t="n">
        <f aca="false">SUM(S99:T99)</f>
        <v>55000</v>
      </c>
      <c r="V99" s="84" t="s">
        <v>12</v>
      </c>
      <c r="W99" s="80" t="e">
        <f aca="true">
IF(D99="폐업","폐업",
IF(V99="면제","면제",
IF(AND(V99="정상",COUNTIFS(OFFSET(Y99,0,COUNTA(Y99:AV99)-1,1,-4),"미납")&gt;=3),"장기미납",
IF(AND(V99="정상",OFFSET(Y99,0,COUNTA(Y99:AV99)-1)&gt;=U99),"정상",
IF(AND(V99="정상",OFFSET(Y99,0,COUNTA(Y99:AV99)-1)=0),"정상",
"계약서 미작성")))))</f>
        <v>#VALUE!</v>
      </c>
      <c r="X99" s="81" t="str">
        <f aca="true">
IF(D99="폐업","폐업",
IF(AND(V99="정상",OFFSET(Y99,0,COUNTA(Y99:AV99)-1)="미납"),"미납",
IF(AND(V99="정상",OFFSET(Y99,0,COUNTA(Y99:AV99)-1)=0),"납부 시작 전",
IF(AND(V99="정상",OFFSET(Y99,0,COUNTA(Y99:AV99)-1)&gt;=U99),"정상",
IF(AND(V99="면제",OFFSET(Y99,0,COUNTA(Y99:AV99)-1)="면제"),"면제",
IF(AND(V99="면제",OFFSET(Y99,0,COUNTA(Y99:AV99)-1)=0),"면제",
"확인요청"))))))</f>
        <v>정상</v>
      </c>
      <c r="Y99" s="93" t="n">
        <v>55000</v>
      </c>
      <c r="Z99" s="90" t="n">
        <v>55000</v>
      </c>
      <c r="AA99" s="90" t="n">
        <v>55000</v>
      </c>
      <c r="AB99" s="90" t="n">
        <v>55000</v>
      </c>
      <c r="AC99" s="90" t="n">
        <v>55000</v>
      </c>
      <c r="AD99" s="90" t="n">
        <v>55000</v>
      </c>
      <c r="AE99" s="90" t="n">
        <v>55000</v>
      </c>
      <c r="AF99" s="90" t="n">
        <v>55000</v>
      </c>
      <c r="AG99" s="90" t="n">
        <v>55000</v>
      </c>
      <c r="AH99" s="90" t="n">
        <v>55000</v>
      </c>
      <c r="AI99" s="90" t="n">
        <v>55000</v>
      </c>
      <c r="AJ99" s="91" t="n">
        <v>55000</v>
      </c>
      <c r="AK99" s="89" t="n">
        <v>55000</v>
      </c>
      <c r="AL99" s="90" t="n">
        <v>55000</v>
      </c>
      <c r="AM99" s="90"/>
      <c r="AN99" s="90"/>
      <c r="AO99" s="90"/>
      <c r="AP99" s="90"/>
      <c r="AQ99" s="90"/>
      <c r="AR99" s="90"/>
      <c r="AS99" s="90"/>
      <c r="AT99" s="90"/>
      <c r="AU99" s="90"/>
      <c r="AV99" s="91"/>
      <c r="AX99" s="92"/>
    </row>
    <row r="100" customFormat="false" ht="15.65" hidden="false" customHeight="false" outlineLevel="0" collapsed="false">
      <c r="C100" s="72" t="n">
        <f aca="false">COUNTIFS($D$6:D100,"&lt;&gt;"&amp;"")</f>
        <v>95</v>
      </c>
      <c r="D100" s="73" t="s">
        <v>12</v>
      </c>
      <c r="E100" s="76" t="str">
        <f aca="false">
IF($D100="정상",INDEX(임대자산!$D$3:$R$3000,MATCH($F100,임대자산!$I$3:$I$3000,0),MATCH(E$3,임대자산!$D$3:$R$3,0)),
IF($D100="폐업",INDEX(폐업정보!$D$3:$R$3000,MATCH($F100,폐업정보!$I$3:$I$3000,0),MATCH(E$3,폐업정보!$D$3:$R$3,0)),
"Error"))</f>
        <v>경기</v>
      </c>
      <c r="F10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B0095</v>
      </c>
      <c r="G100" s="76" t="str">
        <f aca="false">F100&amp;RANDBETWEEN(0,10)</f>
        <v>B00955</v>
      </c>
      <c r="H100" s="75" t="n">
        <f aca="false">
IF($D100="정상",INDEX(임대자산!$D$3:$R$3000,MATCH($F100,임대자산!$I$3:$I$3000,0),MATCH(H$4,임대자산!$D$3:$R$3,0)),
IF($D100="폐업",INDEX(폐업정보!$D$3:$R$3000,MATCH($F100,폐업정보!$I$3:$I$3000,0),MATCH(H$4,폐업정보!$D$3:$R$3,0)),
"Error"))</f>
        <v>44750</v>
      </c>
      <c r="I100" s="75" t="str">
        <f aca="false">
IF($D100="정상",INDEX(임대자산!$D$3:$R$3000,MATCH($F100,임대자산!$I$3:$I$3000,0),MATCH(I$4,임대자산!$D$3:$R$3,0)),
IF($D100="폐업",INDEX(폐업정보!$D$3:$R$3000,MATCH($F100,폐업정보!$I$3:$I$3000,0),MATCH(I$4,폐업정보!$D$3:$R$3,0)),
"Error"))</f>
        <v>A0095</v>
      </c>
      <c r="J100" s="75" t="str">
        <f aca="false">
IF($D100="정상",INDEX(임대자산!$D$3:$R$3000,MATCH($F100,임대자산!$I$3:$I$3000,0),MATCH(J$4,임대자산!$D$3:$R$3,0)),
IF($D100="폐업",INDEX(폐업정보!$D$3:$R$3000,MATCH($F100,폐업정보!$I$3:$I$3000,0),MATCH(J$4,폐업정보!$D$3:$R$3,0)),
"Error"))</f>
        <v>6914500000</v>
      </c>
      <c r="K100" s="75" t="str">
        <f aca="false">
IF($D100="정상",INDEX(임대자산!$D$3:$R$3000,MATCH($F100,임대자산!$I$3:$I$3000,0),MATCH(K$4,임대자산!$D$3:$R$3,0)),
IF($D100="폐업",INDEX(폐업정보!$D$3:$R$3000,MATCH($F100,폐업정보!$I$3:$I$3000,0),MATCH(K$4,폐업정보!$D$3:$R$3,0)),
"Error"))</f>
        <v>C0095</v>
      </c>
      <c r="L100" s="75" t="str">
        <f aca="false">
IF($D100="정상",INDEX(임대자산!$D$3:$R$3000,MATCH($F100,임대자산!$I$3:$I$3000,0),MATCH(L$4,임대자산!$D$3:$R$3,0)),
IF($D100="폐업",INDEX(폐업정보!$D$3:$R$3000,MATCH($F100,폐업정보!$I$3:$I$3000,0),MATCH(L$4,폐업정보!$D$3:$R$3,0)),
"Error"))</f>
        <v>D0095</v>
      </c>
      <c r="M100" s="76" t="s">
        <v>96</v>
      </c>
      <c r="N100" s="77"/>
      <c r="O100" s="78" t="s">
        <v>97</v>
      </c>
      <c r="P100" s="79" t="n">
        <f aca="false">COUNTIFS(임대자산!$I:$I,가맹점정보!F100,임대자산!$N:$N,가맹점정보!P$4)</f>
        <v>1</v>
      </c>
      <c r="Q100" s="80" t="n">
        <f aca="false">COUNTIFS(임대자산!$I:$I,가맹점정보!F100,임대자산!$N:$N,가맹점정보!Q$4)</f>
        <v>0</v>
      </c>
      <c r="R100" s="81" t="n">
        <f aca="false">COUNTIFS(임대자산!$I:$I,가맹점정보!F100,임대자산!$N:$N,가맹점정보!R$4)</f>
        <v>0</v>
      </c>
      <c r="S100" s="82" t="n">
        <v>55000</v>
      </c>
      <c r="T100" s="83" t="n">
        <v>0</v>
      </c>
      <c r="U100" s="80" t="n">
        <f aca="false">SUM(S100:T100)</f>
        <v>55000</v>
      </c>
      <c r="V100" s="84" t="s">
        <v>12</v>
      </c>
      <c r="W100" s="80" t="e">
        <f aca="true">
IF(D100="폐업","폐업",
IF(V100="면제","면제",
IF(AND(V100="정상",COUNTIFS(OFFSET(Y100,0,COUNTA(Y100:AV100)-1,1,-4),"미납")&gt;=3),"장기미납",
IF(AND(V100="정상",OFFSET(Y100,0,COUNTA(Y100:AV100)-1)&gt;=U100),"정상",
IF(AND(V100="정상",OFFSET(Y100,0,COUNTA(Y100:AV100)-1)=0),"정상",
"계약서 미작성")))))</f>
        <v>#VALUE!</v>
      </c>
      <c r="X100" s="81" t="str">
        <f aca="true">
IF(D100="폐업","폐업",
IF(AND(V100="정상",OFFSET(Y100,0,COUNTA(Y100:AV100)-1)="미납"),"미납",
IF(AND(V100="정상",OFFSET(Y100,0,COUNTA(Y100:AV100)-1)=0),"납부 시작 전",
IF(AND(V100="정상",OFFSET(Y100,0,COUNTA(Y100:AV100)-1)&gt;=U100),"정상",
IF(AND(V100="면제",OFFSET(Y100,0,COUNTA(Y100:AV100)-1)="면제"),"면제",
IF(AND(V100="면제",OFFSET(Y100,0,COUNTA(Y100:AV100)-1)=0),"면제",
"확인요청"))))))</f>
        <v>정상</v>
      </c>
      <c r="Y100" s="93" t="n">
        <v>55000</v>
      </c>
      <c r="Z100" s="90" t="n">
        <v>55000</v>
      </c>
      <c r="AA100" s="90" t="n">
        <v>55000</v>
      </c>
      <c r="AB100" s="90" t="n">
        <v>55000</v>
      </c>
      <c r="AC100" s="90" t="n">
        <v>55000</v>
      </c>
      <c r="AD100" s="90" t="n">
        <v>55000</v>
      </c>
      <c r="AE100" s="90" t="n">
        <v>55000</v>
      </c>
      <c r="AF100" s="90" t="n">
        <v>55000</v>
      </c>
      <c r="AG100" s="90" t="n">
        <v>55000</v>
      </c>
      <c r="AH100" s="90" t="n">
        <v>55000</v>
      </c>
      <c r="AI100" s="90" t="n">
        <v>55000</v>
      </c>
      <c r="AJ100" s="91" t="n">
        <v>55000</v>
      </c>
      <c r="AK100" s="89" t="n">
        <v>55000</v>
      </c>
      <c r="AL100" s="90" t="n">
        <v>55000</v>
      </c>
      <c r="AM100" s="90"/>
      <c r="AN100" s="90"/>
      <c r="AO100" s="90"/>
      <c r="AP100" s="90"/>
      <c r="AQ100" s="90"/>
      <c r="AR100" s="90"/>
      <c r="AS100" s="90"/>
      <c r="AT100" s="90"/>
      <c r="AU100" s="90"/>
      <c r="AV100" s="91"/>
      <c r="AX100" s="92"/>
    </row>
    <row r="101" customFormat="false" ht="15.65" hidden="false" customHeight="false" outlineLevel="0" collapsed="false">
      <c r="C101" s="72" t="n">
        <f aca="false">COUNTIFS($D$6:D101,"&lt;&gt;"&amp;"")</f>
        <v>96</v>
      </c>
      <c r="D101" s="73" t="s">
        <v>12</v>
      </c>
      <c r="E101" s="76" t="str">
        <f aca="false">
IF($D101="정상",INDEX(임대자산!$D$3:$R$3000,MATCH($F101,임대자산!$I$3:$I$3000,0),MATCH(E$3,임대자산!$D$3:$R$3,0)),
IF($D101="폐업",INDEX(폐업정보!$D$3:$R$3000,MATCH($F101,폐업정보!$I$3:$I$3000,0),MATCH(E$3,폐업정보!$D$3:$R$3,0)),
"Error"))</f>
        <v>경기</v>
      </c>
      <c r="F10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B0096</v>
      </c>
      <c r="G101" s="76" t="str">
        <f aca="false">F101&amp;RANDBETWEEN(0,10)</f>
        <v>B00969</v>
      </c>
      <c r="H101" s="75" t="n">
        <f aca="false">
IF($D101="정상",INDEX(임대자산!$D$3:$R$3000,MATCH($F101,임대자산!$I$3:$I$3000,0),MATCH(H$4,임대자산!$D$3:$R$3,0)),
IF($D101="폐업",INDEX(폐업정보!$D$3:$R$3000,MATCH($F101,폐업정보!$I$3:$I$3000,0),MATCH(H$4,폐업정보!$D$3:$R$3,0)),
"Error"))</f>
        <v>46000</v>
      </c>
      <c r="I101" s="75" t="str">
        <f aca="false">
IF($D101="정상",INDEX(임대자산!$D$3:$R$3000,MATCH($F101,임대자산!$I$3:$I$3000,0),MATCH(I$4,임대자산!$D$3:$R$3,0)),
IF($D101="폐업",INDEX(폐업정보!$D$3:$R$3000,MATCH($F101,폐업정보!$I$3:$I$3000,0),MATCH(I$4,폐업정보!$D$3:$R$3,0)),
"Error"))</f>
        <v>A0096</v>
      </c>
      <c r="J101" s="75" t="str">
        <f aca="false">
IF($D101="정상",INDEX(임대자산!$D$3:$R$3000,MATCH($F101,임대자산!$I$3:$I$3000,0),MATCH(J$4,임대자산!$D$3:$R$3,0)),
IF($D101="폐업",INDEX(폐업정보!$D$3:$R$3000,MATCH($F101,폐업정보!$I$3:$I$3000,0),MATCH(J$4,폐업정보!$D$3:$R$3,0)),
"Error"))</f>
        <v>3082700000</v>
      </c>
      <c r="K101" s="75" t="str">
        <f aca="false">
IF($D101="정상",INDEX(임대자산!$D$3:$R$3000,MATCH($F101,임대자산!$I$3:$I$3000,0),MATCH(K$4,임대자산!$D$3:$R$3,0)),
IF($D101="폐업",INDEX(폐업정보!$D$3:$R$3000,MATCH($F101,폐업정보!$I$3:$I$3000,0),MATCH(K$4,폐업정보!$D$3:$R$3,0)),
"Error"))</f>
        <v>C0096</v>
      </c>
      <c r="L101" s="75" t="str">
        <f aca="false">
IF($D101="정상",INDEX(임대자산!$D$3:$R$3000,MATCH($F101,임대자산!$I$3:$I$3000,0),MATCH(L$4,임대자산!$D$3:$R$3,0)),
IF($D101="폐업",INDEX(폐업정보!$D$3:$R$3000,MATCH($F101,폐업정보!$I$3:$I$3000,0),MATCH(L$4,폐업정보!$D$3:$R$3,0)),
"Error"))</f>
        <v>D0096</v>
      </c>
      <c r="M101" s="76" t="s">
        <v>96</v>
      </c>
      <c r="N101" s="77"/>
      <c r="O101" s="78" t="s">
        <v>97</v>
      </c>
      <c r="P101" s="79" t="n">
        <f aca="false">COUNTIFS(임대자산!$I:$I,가맹점정보!F101,임대자산!$N:$N,가맹점정보!P$4)</f>
        <v>1</v>
      </c>
      <c r="Q101" s="80" t="n">
        <f aca="false">COUNTIFS(임대자산!$I:$I,가맹점정보!F101,임대자산!$N:$N,가맹점정보!Q$4)</f>
        <v>0</v>
      </c>
      <c r="R101" s="81" t="n">
        <f aca="false">COUNTIFS(임대자산!$I:$I,가맹점정보!F101,임대자산!$N:$N,가맹점정보!R$4)</f>
        <v>0</v>
      </c>
      <c r="S101" s="82" t="n">
        <v>55000</v>
      </c>
      <c r="T101" s="83" t="n">
        <v>0</v>
      </c>
      <c r="U101" s="80" t="n">
        <f aca="false">SUM(S101:T101)</f>
        <v>55000</v>
      </c>
      <c r="V101" s="84" t="s">
        <v>12</v>
      </c>
      <c r="W101" s="80" t="e">
        <f aca="true">
IF(D101="폐업","폐업",
IF(V101="면제","면제",
IF(AND(V101="정상",COUNTIFS(OFFSET(Y101,0,COUNTA(Y101:AV101)-1,1,-4),"미납")&gt;=3),"장기미납",
IF(AND(V101="정상",OFFSET(Y101,0,COUNTA(Y101:AV101)-1)&gt;=U101),"정상",
IF(AND(V101="정상",OFFSET(Y101,0,COUNTA(Y101:AV101)-1)=0),"정상",
"계약서 미작성")))))</f>
        <v>#VALUE!</v>
      </c>
      <c r="X101" s="81" t="str">
        <f aca="true">
IF(D101="폐업","폐업",
IF(AND(V101="정상",OFFSET(Y101,0,COUNTA(Y101:AV101)-1)="미납"),"미납",
IF(AND(V101="정상",OFFSET(Y101,0,COUNTA(Y101:AV101)-1)=0),"납부 시작 전",
IF(AND(V101="정상",OFFSET(Y101,0,COUNTA(Y101:AV101)-1)&gt;=U101),"정상",
IF(AND(V101="면제",OFFSET(Y101,0,COUNTA(Y101:AV101)-1)="면제"),"면제",
IF(AND(V101="면제",OFFSET(Y101,0,COUNTA(Y101:AV101)-1)=0),"면제",
"확인요청"))))))</f>
        <v>정상</v>
      </c>
      <c r="Y101" s="93" t="n">
        <v>55000</v>
      </c>
      <c r="Z101" s="90" t="n">
        <v>55000</v>
      </c>
      <c r="AA101" s="90" t="n">
        <v>55000</v>
      </c>
      <c r="AB101" s="90" t="n">
        <v>55000</v>
      </c>
      <c r="AC101" s="90" t="n">
        <v>55000</v>
      </c>
      <c r="AD101" s="90" t="n">
        <v>55000</v>
      </c>
      <c r="AE101" s="90" t="n">
        <v>55000</v>
      </c>
      <c r="AF101" s="90" t="n">
        <v>55000</v>
      </c>
      <c r="AG101" s="90" t="n">
        <v>55000</v>
      </c>
      <c r="AH101" s="90" t="n">
        <v>55000</v>
      </c>
      <c r="AI101" s="90" t="n">
        <v>55000</v>
      </c>
      <c r="AJ101" s="91" t="n">
        <v>55000</v>
      </c>
      <c r="AK101" s="89" t="n">
        <v>55000</v>
      </c>
      <c r="AL101" s="90" t="n">
        <v>55000</v>
      </c>
      <c r="AM101" s="90"/>
      <c r="AN101" s="90"/>
      <c r="AO101" s="90"/>
      <c r="AP101" s="90"/>
      <c r="AQ101" s="90"/>
      <c r="AR101" s="90"/>
      <c r="AS101" s="90"/>
      <c r="AT101" s="90"/>
      <c r="AU101" s="90"/>
      <c r="AV101" s="91"/>
      <c r="AX101" s="92"/>
    </row>
    <row r="102" customFormat="false" ht="15.65" hidden="false" customHeight="false" outlineLevel="0" collapsed="false">
      <c r="C102" s="72" t="n">
        <f aca="false">COUNTIFS($D$6:D102,"&lt;&gt;"&amp;"")</f>
        <v>97</v>
      </c>
      <c r="D102" s="73" t="s">
        <v>12</v>
      </c>
      <c r="E102" s="76" t="str">
        <f aca="false">
IF($D102="정상",INDEX(임대자산!$D$3:$R$3000,MATCH($F102,임대자산!$I$3:$I$3000,0),MATCH(E$3,임대자산!$D$3:$R$3,0)),
IF($D102="폐업",INDEX(폐업정보!$D$3:$R$3000,MATCH($F102,폐업정보!$I$3:$I$3000,0),MATCH(E$3,폐업정보!$D$3:$R$3,0)),
"Error"))</f>
        <v>서울</v>
      </c>
      <c r="F10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B0097</v>
      </c>
      <c r="G102" s="76" t="str">
        <f aca="false">F102&amp;RANDBETWEEN(0,10)</f>
        <v>B009710</v>
      </c>
      <c r="H102" s="75" t="n">
        <f aca="false">
IF($D102="정상",INDEX(임대자산!$D$3:$R$3000,MATCH($F102,임대자산!$I$3:$I$3000,0),MATCH(H$4,임대자산!$D$3:$R$3,0)),
IF($D102="폐업",INDEX(폐업정보!$D$3:$R$3000,MATCH($F102,폐업정보!$I$3:$I$3000,0),MATCH(H$4,폐업정보!$D$3:$R$3,0)),
"Error"))</f>
        <v>44029</v>
      </c>
      <c r="I102" s="75" t="str">
        <f aca="false">
IF($D102="정상",INDEX(임대자산!$D$3:$R$3000,MATCH($F102,임대자산!$I$3:$I$3000,0),MATCH(I$4,임대자산!$D$3:$R$3,0)),
IF($D102="폐업",INDEX(폐업정보!$D$3:$R$3000,MATCH($F102,폐업정보!$I$3:$I$3000,0),MATCH(I$4,폐업정보!$D$3:$R$3,0)),
"Error"))</f>
        <v>A0097</v>
      </c>
      <c r="J102" s="75" t="str">
        <f aca="false">
IF($D102="정상",INDEX(임대자산!$D$3:$R$3000,MATCH($F102,임대자산!$I$3:$I$3000,0),MATCH(J$4,임대자산!$D$3:$R$3,0)),
IF($D102="폐업",INDEX(폐업정보!$D$3:$R$3000,MATCH($F102,폐업정보!$I$3:$I$3000,0),MATCH(J$4,폐업정보!$D$3:$R$3,0)),
"Error"))</f>
        <v>9754500000</v>
      </c>
      <c r="K102" s="75" t="str">
        <f aca="false">
IF($D102="정상",INDEX(임대자산!$D$3:$R$3000,MATCH($F102,임대자산!$I$3:$I$3000,0),MATCH(K$4,임대자산!$D$3:$R$3,0)),
IF($D102="폐업",INDEX(폐업정보!$D$3:$R$3000,MATCH($F102,폐업정보!$I$3:$I$3000,0),MATCH(K$4,폐업정보!$D$3:$R$3,0)),
"Error"))</f>
        <v>C0097</v>
      </c>
      <c r="L102" s="75" t="str">
        <f aca="false">
IF($D102="정상",INDEX(임대자산!$D$3:$R$3000,MATCH($F102,임대자산!$I$3:$I$3000,0),MATCH(L$4,임대자산!$D$3:$R$3,0)),
IF($D102="폐업",INDEX(폐업정보!$D$3:$R$3000,MATCH($F102,폐업정보!$I$3:$I$3000,0),MATCH(L$4,폐업정보!$D$3:$R$3,0)),
"Error"))</f>
        <v>D0097</v>
      </c>
      <c r="M102" s="76" t="s">
        <v>96</v>
      </c>
      <c r="N102" s="77"/>
      <c r="O102" s="78" t="s">
        <v>97</v>
      </c>
      <c r="P102" s="79" t="n">
        <f aca="false">COUNTIFS(임대자산!$I:$I,가맹점정보!F102,임대자산!$N:$N,가맹점정보!P$4)</f>
        <v>1</v>
      </c>
      <c r="Q102" s="80" t="n">
        <f aca="false">COUNTIFS(임대자산!$I:$I,가맹점정보!F102,임대자산!$N:$N,가맹점정보!Q$4)</f>
        <v>0</v>
      </c>
      <c r="R102" s="81" t="n">
        <f aca="false">COUNTIFS(임대자산!$I:$I,가맹점정보!F102,임대자산!$N:$N,가맹점정보!R$4)</f>
        <v>0</v>
      </c>
      <c r="S102" s="82" t="n">
        <v>88000</v>
      </c>
      <c r="T102" s="83" t="n">
        <v>0</v>
      </c>
      <c r="U102" s="80" t="n">
        <f aca="false">SUM(S102:T102)</f>
        <v>88000</v>
      </c>
      <c r="V102" s="84" t="s">
        <v>7</v>
      </c>
      <c r="W102" s="80" t="str">
        <f aca="true">
IF(D102="폐업","폐업",
IF(V102="면제","면제",
IF(AND(V102="정상",COUNTIFS(OFFSET(Y102,0,COUNTA(Y102:AV102)-1,1,-4),"미납")&gt;=3),"장기미납",
IF(AND(V102="정상",OFFSET(Y102,0,COUNTA(Y102:AV102)-1)&gt;=U102),"정상",
IF(AND(V102="정상",OFFSET(Y102,0,COUNTA(Y102:AV102)-1)=0),"정상",
"계약서 미작성")))))</f>
        <v>면제</v>
      </c>
      <c r="X102" s="81" t="str">
        <f aca="true">
IF(D102="폐업","폐업",
IF(AND(V102="정상",OFFSET(Y102,0,COUNTA(Y102:AV102)-1)="미납"),"미납",
IF(AND(V102="정상",OFFSET(Y102,0,COUNTA(Y102:AV102)-1)=0),"납부 시작 전",
IF(AND(V102="정상",OFFSET(Y102,0,COUNTA(Y102:AV102)-1)&gt;=U102),"정상",
IF(AND(V102="면제",OFFSET(Y102,0,COUNTA(Y102:AV102)-1)="면제"),"면제",
IF(AND(V102="면제",OFFSET(Y102,0,COUNTA(Y102:AV102)-1)=0),"면제",
"확인요청"))))))</f>
        <v>면제</v>
      </c>
      <c r="Y102" s="94" t="s">
        <v>7</v>
      </c>
      <c r="Z102" s="95" t="s">
        <v>7</v>
      </c>
      <c r="AA102" s="95" t="s">
        <v>7</v>
      </c>
      <c r="AB102" s="95" t="s">
        <v>7</v>
      </c>
      <c r="AC102" s="95" t="s">
        <v>7</v>
      </c>
      <c r="AD102" s="95" t="s">
        <v>7</v>
      </c>
      <c r="AE102" s="95" t="s">
        <v>7</v>
      </c>
      <c r="AF102" s="95" t="s">
        <v>7</v>
      </c>
      <c r="AG102" s="95" t="s">
        <v>7</v>
      </c>
      <c r="AH102" s="95" t="s">
        <v>7</v>
      </c>
      <c r="AI102" s="95" t="s">
        <v>7</v>
      </c>
      <c r="AJ102" s="96" t="s">
        <v>7</v>
      </c>
      <c r="AK102" s="97" t="s">
        <v>7</v>
      </c>
      <c r="AL102" s="95" t="s">
        <v>7</v>
      </c>
      <c r="AM102" s="90"/>
      <c r="AN102" s="90"/>
      <c r="AO102" s="90"/>
      <c r="AP102" s="90"/>
      <c r="AQ102" s="90"/>
      <c r="AR102" s="90"/>
      <c r="AS102" s="90"/>
      <c r="AT102" s="90"/>
      <c r="AU102" s="90"/>
      <c r="AV102" s="91"/>
      <c r="AX102" s="92"/>
    </row>
    <row r="103" customFormat="false" ht="15.65" hidden="false" customHeight="false" outlineLevel="0" collapsed="false">
      <c r="C103" s="72" t="n">
        <f aca="false">COUNTIFS($D$6:D103,"&lt;&gt;"&amp;"")</f>
        <v>98</v>
      </c>
      <c r="D103" s="73" t="s">
        <v>12</v>
      </c>
      <c r="E103" s="76" t="str">
        <f aca="false">
IF($D103="정상",INDEX(임대자산!$D$3:$R$3000,MATCH($F103,임대자산!$I$3:$I$3000,0),MATCH(E$3,임대자산!$D$3:$R$3,0)),
IF($D103="폐업",INDEX(폐업정보!$D$3:$R$3000,MATCH($F103,폐업정보!$I$3:$I$3000,0),MATCH(E$3,폐업정보!$D$3:$R$3,0)),
"Error"))</f>
        <v>경상</v>
      </c>
      <c r="F10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B0098</v>
      </c>
      <c r="G103" s="76" t="str">
        <f aca="false">F103&amp;RANDBETWEEN(0,10)</f>
        <v>B00985</v>
      </c>
      <c r="H103" s="75" t="n">
        <f aca="false">
IF($D103="정상",INDEX(임대자산!$D$3:$R$3000,MATCH($F103,임대자산!$I$3:$I$3000,0),MATCH(H$4,임대자산!$D$3:$R$3,0)),
IF($D103="폐업",INDEX(폐업정보!$D$3:$R$3000,MATCH($F103,폐업정보!$I$3:$I$3000,0),MATCH(H$4,폐업정보!$D$3:$R$3,0)),
"Error"))</f>
        <v>44005</v>
      </c>
      <c r="I103" s="75" t="str">
        <f aca="false">
IF($D103="정상",INDEX(임대자산!$D$3:$R$3000,MATCH($F103,임대자산!$I$3:$I$3000,0),MATCH(I$4,임대자산!$D$3:$R$3,0)),
IF($D103="폐업",INDEX(폐업정보!$D$3:$R$3000,MATCH($F103,폐업정보!$I$3:$I$3000,0),MATCH(I$4,폐업정보!$D$3:$R$3,0)),
"Error"))</f>
        <v>A0098</v>
      </c>
      <c r="J103" s="75" t="str">
        <f aca="false">
IF($D103="정상",INDEX(임대자산!$D$3:$R$3000,MATCH($F103,임대자산!$I$3:$I$3000,0),MATCH(J$4,임대자산!$D$3:$R$3,0)),
IF($D103="폐업",INDEX(폐업정보!$D$3:$R$3000,MATCH($F103,폐업정보!$I$3:$I$3000,0),MATCH(J$4,폐업정보!$D$3:$R$3,0)),
"Error"))</f>
        <v>1777400000</v>
      </c>
      <c r="K103" s="75" t="str">
        <f aca="false">
IF($D103="정상",INDEX(임대자산!$D$3:$R$3000,MATCH($F103,임대자산!$I$3:$I$3000,0),MATCH(K$4,임대자산!$D$3:$R$3,0)),
IF($D103="폐업",INDEX(폐업정보!$D$3:$R$3000,MATCH($F103,폐업정보!$I$3:$I$3000,0),MATCH(K$4,폐업정보!$D$3:$R$3,0)),
"Error"))</f>
        <v>C0098</v>
      </c>
      <c r="L103" s="75" t="str">
        <f aca="false">
IF($D103="정상",INDEX(임대자산!$D$3:$R$3000,MATCH($F103,임대자산!$I$3:$I$3000,0),MATCH(L$4,임대자산!$D$3:$R$3,0)),
IF($D103="폐업",INDEX(폐업정보!$D$3:$R$3000,MATCH($F103,폐업정보!$I$3:$I$3000,0),MATCH(L$4,폐업정보!$D$3:$R$3,0)),
"Error"))</f>
        <v>D0098</v>
      </c>
      <c r="M103" s="76" t="s">
        <v>96</v>
      </c>
      <c r="N103" s="77"/>
      <c r="O103" s="78" t="s">
        <v>97</v>
      </c>
      <c r="P103" s="79" t="n">
        <f aca="false">COUNTIFS(임대자산!$I:$I,가맹점정보!F103,임대자산!$N:$N,가맹점정보!P$4)</f>
        <v>1</v>
      </c>
      <c r="Q103" s="80" t="n">
        <f aca="false">COUNTIFS(임대자산!$I:$I,가맹점정보!F103,임대자산!$N:$N,가맹점정보!Q$4)</f>
        <v>0</v>
      </c>
      <c r="R103" s="81" t="n">
        <f aca="false">COUNTIFS(임대자산!$I:$I,가맹점정보!F103,임대자산!$N:$N,가맹점정보!R$4)</f>
        <v>0</v>
      </c>
      <c r="S103" s="82" t="n">
        <v>55000</v>
      </c>
      <c r="T103" s="83" t="n">
        <v>0</v>
      </c>
      <c r="U103" s="80" t="n">
        <f aca="false">SUM(S103:T103)</f>
        <v>55000</v>
      </c>
      <c r="V103" s="84" t="s">
        <v>12</v>
      </c>
      <c r="W103" s="80" t="e">
        <f aca="true">
IF(D103="폐업","폐업",
IF(V103="면제","면제",
IF(AND(V103="정상",COUNTIFS(OFFSET(Y103,0,COUNTA(Y103:AV103)-1,1,-4),"미납")&gt;=3),"장기미납",
IF(AND(V103="정상",OFFSET(Y103,0,COUNTA(Y103:AV103)-1)&gt;=U103),"정상",
IF(AND(V103="정상",OFFSET(Y103,0,COUNTA(Y103:AV103)-1)=0),"정상",
"계약서 미작성")))))</f>
        <v>#VALUE!</v>
      </c>
      <c r="X103" s="81" t="str">
        <f aca="true">
IF(D103="폐업","폐업",
IF(AND(V103="정상",OFFSET(Y103,0,COUNTA(Y103:AV103)-1)="미납"),"미납",
IF(AND(V103="정상",OFFSET(Y103,0,COUNTA(Y103:AV103)-1)=0),"납부 시작 전",
IF(AND(V103="정상",OFFSET(Y103,0,COUNTA(Y103:AV103)-1)&gt;=U103),"정상",
IF(AND(V103="면제",OFFSET(Y103,0,COUNTA(Y103:AV103)-1)="면제"),"면제",
IF(AND(V103="면제",OFFSET(Y103,0,COUNTA(Y103:AV103)-1)=0),"면제",
"확인요청"))))))</f>
        <v>정상</v>
      </c>
      <c r="Y103" s="93" t="n">
        <v>55000</v>
      </c>
      <c r="Z103" s="90" t="n">
        <v>55000</v>
      </c>
      <c r="AA103" s="90" t="n">
        <v>55000</v>
      </c>
      <c r="AB103" s="90" t="n">
        <v>55000</v>
      </c>
      <c r="AC103" s="90" t="n">
        <v>55000</v>
      </c>
      <c r="AD103" s="90" t="n">
        <v>55000</v>
      </c>
      <c r="AE103" s="90" t="n">
        <v>55000</v>
      </c>
      <c r="AF103" s="90" t="n">
        <v>55000</v>
      </c>
      <c r="AG103" s="90" t="n">
        <v>55000</v>
      </c>
      <c r="AH103" s="90" t="n">
        <v>55000</v>
      </c>
      <c r="AI103" s="90" t="n">
        <v>55000</v>
      </c>
      <c r="AJ103" s="91" t="n">
        <v>55000</v>
      </c>
      <c r="AK103" s="89" t="n">
        <v>55000</v>
      </c>
      <c r="AL103" s="90" t="n">
        <v>55000</v>
      </c>
      <c r="AM103" s="90"/>
      <c r="AN103" s="90"/>
      <c r="AO103" s="90"/>
      <c r="AP103" s="90"/>
      <c r="AQ103" s="90"/>
      <c r="AR103" s="90"/>
      <c r="AS103" s="90"/>
      <c r="AT103" s="90"/>
      <c r="AU103" s="90"/>
      <c r="AV103" s="91"/>
      <c r="AX103" s="92"/>
    </row>
    <row r="104" customFormat="false" ht="15.65" hidden="false" customHeight="false" outlineLevel="0" collapsed="false">
      <c r="C104" s="72" t="n">
        <f aca="false">COUNTIFS($D$6:D104,"&lt;&gt;"&amp;"")</f>
        <v>99</v>
      </c>
      <c r="D104" s="73" t="s">
        <v>12</v>
      </c>
      <c r="E104" s="76" t="str">
        <f aca="false">
IF($D104="정상",INDEX(임대자산!$D$3:$R$3000,MATCH($F104,임대자산!$I$3:$I$3000,0),MATCH(E$3,임대자산!$D$3:$R$3,0)),
IF($D104="폐업",INDEX(폐업정보!$D$3:$R$3000,MATCH($F104,폐업정보!$I$3:$I$3000,0),MATCH(E$3,폐업정보!$D$3:$R$3,0)),
"Error"))</f>
        <v>강원</v>
      </c>
      <c r="F10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B0099</v>
      </c>
      <c r="G104" s="76" t="str">
        <f aca="false">F104&amp;RANDBETWEEN(0,10)</f>
        <v>B00999</v>
      </c>
      <c r="H104" s="75" t="n">
        <f aca="false">
IF($D104="정상",INDEX(임대자산!$D$3:$R$3000,MATCH($F104,임대자산!$I$3:$I$3000,0),MATCH(H$4,임대자산!$D$3:$R$3,0)),
IF($D104="폐업",INDEX(폐업정보!$D$3:$R$3000,MATCH($F104,폐업정보!$I$3:$I$3000,0),MATCH(H$4,폐업정보!$D$3:$R$3,0)),
"Error"))</f>
        <v>43910</v>
      </c>
      <c r="I104" s="75" t="str">
        <f aca="false">
IF($D104="정상",INDEX(임대자산!$D$3:$R$3000,MATCH($F104,임대자산!$I$3:$I$3000,0),MATCH(I$4,임대자산!$D$3:$R$3,0)),
IF($D104="폐업",INDEX(폐업정보!$D$3:$R$3000,MATCH($F104,폐업정보!$I$3:$I$3000,0),MATCH(I$4,폐업정보!$D$3:$R$3,0)),
"Error"))</f>
        <v>A0099</v>
      </c>
      <c r="J104" s="75" t="str">
        <f aca="false">
IF($D104="정상",INDEX(임대자산!$D$3:$R$3000,MATCH($F104,임대자산!$I$3:$I$3000,0),MATCH(J$4,임대자산!$D$3:$R$3,0)),
IF($D104="폐업",INDEX(폐업정보!$D$3:$R$3000,MATCH($F104,폐업정보!$I$3:$I$3000,0),MATCH(J$4,폐업정보!$D$3:$R$3,0)),
"Error"))</f>
        <v>5464500000</v>
      </c>
      <c r="K104" s="75" t="str">
        <f aca="false">
IF($D104="정상",INDEX(임대자산!$D$3:$R$3000,MATCH($F104,임대자산!$I$3:$I$3000,0),MATCH(K$4,임대자산!$D$3:$R$3,0)),
IF($D104="폐업",INDEX(폐업정보!$D$3:$R$3000,MATCH($F104,폐업정보!$I$3:$I$3000,0),MATCH(K$4,폐업정보!$D$3:$R$3,0)),
"Error"))</f>
        <v>C0099</v>
      </c>
      <c r="L104" s="75" t="str">
        <f aca="false">
IF($D104="정상",INDEX(임대자산!$D$3:$R$3000,MATCH($F104,임대자산!$I$3:$I$3000,0),MATCH(L$4,임대자산!$D$3:$R$3,0)),
IF($D104="폐업",INDEX(폐업정보!$D$3:$R$3000,MATCH($F104,폐업정보!$I$3:$I$3000,0),MATCH(L$4,폐업정보!$D$3:$R$3,0)),
"Error"))</f>
        <v>D0099</v>
      </c>
      <c r="M104" s="76" t="s">
        <v>96</v>
      </c>
      <c r="N104" s="77"/>
      <c r="O104" s="78" t="s">
        <v>97</v>
      </c>
      <c r="P104" s="79" t="n">
        <f aca="false">COUNTIFS(임대자산!$I:$I,가맹점정보!F104,임대자산!$N:$N,가맹점정보!P$4)</f>
        <v>1</v>
      </c>
      <c r="Q104" s="80" t="n">
        <f aca="false">COUNTIFS(임대자산!$I:$I,가맹점정보!F104,임대자산!$N:$N,가맹점정보!Q$4)</f>
        <v>0</v>
      </c>
      <c r="R104" s="81" t="n">
        <f aca="false">COUNTIFS(임대자산!$I:$I,가맹점정보!F104,임대자산!$N:$N,가맹점정보!R$4)</f>
        <v>0</v>
      </c>
      <c r="S104" s="82" t="n">
        <v>110000</v>
      </c>
      <c r="T104" s="83" t="n">
        <v>0</v>
      </c>
      <c r="U104" s="80" t="n">
        <f aca="false">SUM(S104:T104)</f>
        <v>110000</v>
      </c>
      <c r="V104" s="84" t="s">
        <v>7</v>
      </c>
      <c r="W104" s="80" t="str">
        <f aca="true">
IF(D104="폐업","폐업",
IF(V104="면제","면제",
IF(AND(V104="정상",COUNTIFS(OFFSET(Y104,0,COUNTA(Y104:AV104)-1,1,-4),"미납")&gt;=3),"장기미납",
IF(AND(V104="정상",OFFSET(Y104,0,COUNTA(Y104:AV104)-1)&gt;=U104),"정상",
IF(AND(V104="정상",OFFSET(Y104,0,COUNTA(Y104:AV104)-1)=0),"정상",
"계약서 미작성")))))</f>
        <v>면제</v>
      </c>
      <c r="X104" s="81" t="str">
        <f aca="true">
IF(D104="폐업","폐업",
IF(AND(V104="정상",OFFSET(Y104,0,COUNTA(Y104:AV104)-1)="미납"),"미납",
IF(AND(V104="정상",OFFSET(Y104,0,COUNTA(Y104:AV104)-1)=0),"납부 시작 전",
IF(AND(V104="정상",OFFSET(Y104,0,COUNTA(Y104:AV104)-1)&gt;=U104),"정상",
IF(AND(V104="면제",OFFSET(Y104,0,COUNTA(Y104:AV104)-1)="면제"),"면제",
IF(AND(V104="면제",OFFSET(Y104,0,COUNTA(Y104:AV104)-1)=0),"면제",
"확인요청"))))))</f>
        <v>면제</v>
      </c>
      <c r="Y104" s="93" t="n">
        <v>110000</v>
      </c>
      <c r="Z104" s="90" t="n">
        <v>110000</v>
      </c>
      <c r="AA104" s="90" t="n">
        <v>110000</v>
      </c>
      <c r="AB104" s="90" t="n">
        <v>110000</v>
      </c>
      <c r="AC104" s="90" t="n">
        <v>110000</v>
      </c>
      <c r="AD104" s="90" t="n">
        <v>110000</v>
      </c>
      <c r="AE104" s="90" t="n">
        <v>110000</v>
      </c>
      <c r="AF104" s="95" t="s">
        <v>62</v>
      </c>
      <c r="AG104" s="95" t="s">
        <v>62</v>
      </c>
      <c r="AH104" s="95" t="s">
        <v>7</v>
      </c>
      <c r="AI104" s="95" t="s">
        <v>7</v>
      </c>
      <c r="AJ104" s="96" t="s">
        <v>7</v>
      </c>
      <c r="AK104" s="97" t="s">
        <v>7</v>
      </c>
      <c r="AL104" s="95" t="s">
        <v>7</v>
      </c>
      <c r="AM104" s="90"/>
      <c r="AN104" s="90"/>
      <c r="AO104" s="90"/>
      <c r="AP104" s="90"/>
      <c r="AQ104" s="90"/>
      <c r="AR104" s="90"/>
      <c r="AS104" s="90"/>
      <c r="AT104" s="90"/>
      <c r="AU104" s="90"/>
      <c r="AV104" s="91"/>
      <c r="AX104" s="92"/>
    </row>
    <row r="105" customFormat="false" ht="15.65" hidden="false" customHeight="false" outlineLevel="0" collapsed="false">
      <c r="C105" s="72" t="n">
        <f aca="false">COUNTIFS($D$6:D105,"&lt;&gt;"&amp;"")</f>
        <v>100</v>
      </c>
      <c r="D105" s="73" t="s">
        <v>12</v>
      </c>
      <c r="E105" s="76" t="str">
        <f aca="false">
IF($D105="정상",INDEX(임대자산!$D$3:$R$3000,MATCH($F105,임대자산!$I$3:$I$3000,0),MATCH(E$3,임대자산!$D$3:$R$3,0)),
IF($D105="폐업",INDEX(폐업정보!$D$3:$R$3000,MATCH($F105,폐업정보!$I$3:$I$3000,0),MATCH(E$3,폐업정보!$D$3:$R$3,0)),
"Error"))</f>
        <v>전라</v>
      </c>
      <c r="F10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B0100</v>
      </c>
      <c r="G105" s="76" t="str">
        <f aca="false">F105&amp;RANDBETWEEN(0,10)</f>
        <v>B01000</v>
      </c>
      <c r="H105" s="75" t="n">
        <f aca="false">
IF($D105="정상",INDEX(임대자산!$D$3:$R$3000,MATCH($F105,임대자산!$I$3:$I$3000,0),MATCH(H$4,임대자산!$D$3:$R$3,0)),
IF($D105="폐업",INDEX(폐업정보!$D$3:$R$3000,MATCH($F105,폐업정보!$I$3:$I$3000,0),MATCH(H$4,폐업정보!$D$3:$R$3,0)),
"Error"))</f>
        <v>43652</v>
      </c>
      <c r="I105" s="75" t="str">
        <f aca="false">
IF($D105="정상",INDEX(임대자산!$D$3:$R$3000,MATCH($F105,임대자산!$I$3:$I$3000,0),MATCH(I$4,임대자산!$D$3:$R$3,0)),
IF($D105="폐업",INDEX(폐업정보!$D$3:$R$3000,MATCH($F105,폐업정보!$I$3:$I$3000,0),MATCH(I$4,폐업정보!$D$3:$R$3,0)),
"Error"))</f>
        <v>A0100</v>
      </c>
      <c r="J105" s="75" t="str">
        <f aca="false">
IF($D105="정상",INDEX(임대자산!$D$3:$R$3000,MATCH($F105,임대자산!$I$3:$I$3000,0),MATCH(J$4,임대자산!$D$3:$R$3,0)),
IF($D105="폐업",INDEX(폐업정보!$D$3:$R$3000,MATCH($F105,폐업정보!$I$3:$I$3000,0),MATCH(J$4,폐업정보!$D$3:$R$3,0)),
"Error"))</f>
        <v>4310200000</v>
      </c>
      <c r="K105" s="75" t="str">
        <f aca="false">
IF($D105="정상",INDEX(임대자산!$D$3:$R$3000,MATCH($F105,임대자산!$I$3:$I$3000,0),MATCH(K$4,임대자산!$D$3:$R$3,0)),
IF($D105="폐업",INDEX(폐업정보!$D$3:$R$3000,MATCH($F105,폐업정보!$I$3:$I$3000,0),MATCH(K$4,폐업정보!$D$3:$R$3,0)),
"Error"))</f>
        <v>C0100</v>
      </c>
      <c r="L105" s="75" t="str">
        <f aca="false">
IF($D105="정상",INDEX(임대자산!$D$3:$R$3000,MATCH($F105,임대자산!$I$3:$I$3000,0),MATCH(L$4,임대자산!$D$3:$R$3,0)),
IF($D105="폐업",INDEX(폐업정보!$D$3:$R$3000,MATCH($F105,폐업정보!$I$3:$I$3000,0),MATCH(L$4,폐업정보!$D$3:$R$3,0)),
"Error"))</f>
        <v>D0100</v>
      </c>
      <c r="M105" s="76" t="s">
        <v>96</v>
      </c>
      <c r="N105" s="77"/>
      <c r="O105" s="78" t="s">
        <v>97</v>
      </c>
      <c r="P105" s="79" t="n">
        <f aca="false">COUNTIFS(임대자산!$I:$I,가맹점정보!F105,임대자산!$N:$N,가맹점정보!P$4)</f>
        <v>1</v>
      </c>
      <c r="Q105" s="80" t="n">
        <f aca="false">COUNTIFS(임대자산!$I:$I,가맹점정보!F105,임대자산!$N:$N,가맹점정보!Q$4)</f>
        <v>0</v>
      </c>
      <c r="R105" s="81" t="n">
        <f aca="false">COUNTIFS(임대자산!$I:$I,가맹점정보!F105,임대자산!$N:$N,가맹점정보!R$4)</f>
        <v>0</v>
      </c>
      <c r="S105" s="82" t="n">
        <v>55000</v>
      </c>
      <c r="T105" s="83" t="n">
        <v>0</v>
      </c>
      <c r="U105" s="80" t="n">
        <f aca="false">SUM(S105:T105)</f>
        <v>55000</v>
      </c>
      <c r="V105" s="84" t="s">
        <v>12</v>
      </c>
      <c r="W105" s="80" t="e">
        <f aca="true">
IF(D105="폐업","폐업",
IF(V105="면제","면제",
IF(AND(V105="정상",COUNTIFS(OFFSET(Y105,0,COUNTA(Y105:AV105)-1,1,-4),"미납")&gt;=3),"장기미납",
IF(AND(V105="정상",OFFSET(Y105,0,COUNTA(Y105:AV105)-1)&gt;=U105),"정상",
IF(AND(V105="정상",OFFSET(Y105,0,COUNTA(Y105:AV105)-1)=0),"정상",
"계약서 미작성")))))</f>
        <v>#VALUE!</v>
      </c>
      <c r="X105" s="81" t="str">
        <f aca="true">
IF(D105="폐업","폐업",
IF(AND(V105="정상",OFFSET(Y105,0,COUNTA(Y105:AV105)-1)="미납"),"미납",
IF(AND(V105="정상",OFFSET(Y105,0,COUNTA(Y105:AV105)-1)=0),"납부 시작 전",
IF(AND(V105="정상",OFFSET(Y105,0,COUNTA(Y105:AV105)-1)&gt;=U105),"정상",
IF(AND(V105="면제",OFFSET(Y105,0,COUNTA(Y105:AV105)-1)="면제"),"면제",
IF(AND(V105="면제",OFFSET(Y105,0,COUNTA(Y105:AV105)-1)=0),"면제",
"확인요청"))))))</f>
        <v>정상</v>
      </c>
      <c r="Y105" s="93" t="n">
        <v>55000</v>
      </c>
      <c r="Z105" s="90" t="n">
        <v>55000</v>
      </c>
      <c r="AA105" s="90" t="n">
        <v>55000</v>
      </c>
      <c r="AB105" s="90" t="n">
        <v>55000</v>
      </c>
      <c r="AC105" s="90" t="n">
        <v>55000</v>
      </c>
      <c r="AD105" s="90" t="n">
        <v>55000</v>
      </c>
      <c r="AE105" s="90" t="n">
        <v>55000</v>
      </c>
      <c r="AF105" s="90" t="n">
        <v>55000</v>
      </c>
      <c r="AG105" s="90" t="n">
        <v>55000</v>
      </c>
      <c r="AH105" s="90" t="n">
        <v>55000</v>
      </c>
      <c r="AI105" s="90" t="n">
        <v>55000</v>
      </c>
      <c r="AJ105" s="91" t="n">
        <v>55000</v>
      </c>
      <c r="AK105" s="89" t="n">
        <v>55000</v>
      </c>
      <c r="AL105" s="90" t="n">
        <v>55000</v>
      </c>
      <c r="AM105" s="90"/>
      <c r="AN105" s="90"/>
      <c r="AO105" s="90"/>
      <c r="AP105" s="90"/>
      <c r="AQ105" s="90"/>
      <c r="AR105" s="90"/>
      <c r="AS105" s="90"/>
      <c r="AT105" s="90"/>
      <c r="AU105" s="90"/>
      <c r="AV105" s="91"/>
      <c r="AX105" s="92"/>
    </row>
    <row r="106" customFormat="false" ht="15.65" hidden="false" customHeight="false" outlineLevel="0" collapsed="false">
      <c r="C106" s="72" t="n">
        <f aca="false">COUNTIFS($D$6:D106,"&lt;&gt;"&amp;"")</f>
        <v>101</v>
      </c>
      <c r="D106" s="73" t="s">
        <v>12</v>
      </c>
      <c r="E106" s="76" t="str">
        <f aca="false">
IF($D106="정상",INDEX(임대자산!$D$3:$R$3000,MATCH($F106,임대자산!$I$3:$I$3000,0),MATCH(E$3,임대자산!$D$3:$R$3,0)),
IF($D106="폐업",INDEX(폐업정보!$D$3:$R$3000,MATCH($F106,폐업정보!$I$3:$I$3000,0),MATCH(E$3,폐업정보!$D$3:$R$3,0)),
"Error"))</f>
        <v>서울</v>
      </c>
      <c r="F10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B0101</v>
      </c>
      <c r="G106" s="76" t="str">
        <f aca="false">F106&amp;RANDBETWEEN(0,10)</f>
        <v>B01019</v>
      </c>
      <c r="H106" s="75" t="n">
        <f aca="false">
IF($D106="정상",INDEX(임대자산!$D$3:$R$3000,MATCH($F106,임대자산!$I$3:$I$3000,0),MATCH(H$4,임대자산!$D$3:$R$3,0)),
IF($D106="폐업",INDEX(폐업정보!$D$3:$R$3000,MATCH($F106,폐업정보!$I$3:$I$3000,0),MATCH(H$4,폐업정보!$D$3:$R$3,0)),
"Error"))</f>
        <v>44056</v>
      </c>
      <c r="I106" s="75" t="str">
        <f aca="false">
IF($D106="정상",INDEX(임대자산!$D$3:$R$3000,MATCH($F106,임대자산!$I$3:$I$3000,0),MATCH(I$4,임대자산!$D$3:$R$3,0)),
IF($D106="폐업",INDEX(폐업정보!$D$3:$R$3000,MATCH($F106,폐업정보!$I$3:$I$3000,0),MATCH(I$4,폐업정보!$D$3:$R$3,0)),
"Error"))</f>
        <v>A0101</v>
      </c>
      <c r="J106" s="75" t="str">
        <f aca="false">
IF($D106="정상",INDEX(임대자산!$D$3:$R$3000,MATCH($F106,임대자산!$I$3:$I$3000,0),MATCH(J$4,임대자산!$D$3:$R$3,0)),
IF($D106="폐업",INDEX(폐업정보!$D$3:$R$3000,MATCH($F106,폐업정보!$I$3:$I$3000,0),MATCH(J$4,폐업정보!$D$3:$R$3,0)),
"Error"))</f>
        <v>2476700000</v>
      </c>
      <c r="K106" s="75" t="str">
        <f aca="false">
IF($D106="정상",INDEX(임대자산!$D$3:$R$3000,MATCH($F106,임대자산!$I$3:$I$3000,0),MATCH(K$4,임대자산!$D$3:$R$3,0)),
IF($D106="폐업",INDEX(폐업정보!$D$3:$R$3000,MATCH($F106,폐업정보!$I$3:$I$3000,0),MATCH(K$4,폐업정보!$D$3:$R$3,0)),
"Error"))</f>
        <v>C0101</v>
      </c>
      <c r="L106" s="75" t="str">
        <f aca="false">
IF($D106="정상",INDEX(임대자산!$D$3:$R$3000,MATCH($F106,임대자산!$I$3:$I$3000,0),MATCH(L$4,임대자산!$D$3:$R$3,0)),
IF($D106="폐업",INDEX(폐업정보!$D$3:$R$3000,MATCH($F106,폐업정보!$I$3:$I$3000,0),MATCH(L$4,폐업정보!$D$3:$R$3,0)),
"Error"))</f>
        <v>D0101</v>
      </c>
      <c r="M106" s="76" t="s">
        <v>96</v>
      </c>
      <c r="N106" s="77"/>
      <c r="O106" s="78" t="s">
        <v>97</v>
      </c>
      <c r="P106" s="79" t="n">
        <f aca="false">COUNTIFS(임대자산!$I:$I,가맹점정보!F106,임대자산!$N:$N,가맹점정보!P$4)</f>
        <v>1</v>
      </c>
      <c r="Q106" s="80" t="n">
        <f aca="false">COUNTIFS(임대자산!$I:$I,가맹점정보!F106,임대자산!$N:$N,가맹점정보!Q$4)</f>
        <v>0</v>
      </c>
      <c r="R106" s="81" t="n">
        <f aca="false">COUNTIFS(임대자산!$I:$I,가맹점정보!F106,임대자산!$N:$N,가맹점정보!R$4)</f>
        <v>0</v>
      </c>
      <c r="S106" s="82" t="n">
        <v>55000</v>
      </c>
      <c r="T106" s="83" t="n">
        <v>0</v>
      </c>
      <c r="U106" s="80" t="n">
        <f aca="false">SUM(S106:T106)</f>
        <v>55000</v>
      </c>
      <c r="V106" s="84" t="s">
        <v>12</v>
      </c>
      <c r="W106" s="80" t="e">
        <f aca="true">
IF(D106="폐업","폐업",
IF(V106="면제","면제",
IF(AND(V106="정상",COUNTIFS(OFFSET(Y106,0,COUNTA(Y106:AV106)-1,1,-4),"미납")&gt;=3),"장기미납",
IF(AND(V106="정상",OFFSET(Y106,0,COUNTA(Y106:AV106)-1)&gt;=U106),"정상",
IF(AND(V106="정상",OFFSET(Y106,0,COUNTA(Y106:AV106)-1)=0),"정상",
"계약서 미작성")))))</f>
        <v>#VALUE!</v>
      </c>
      <c r="X106" s="81" t="str">
        <f aca="true">
IF(D106="폐업","폐업",
IF(AND(V106="정상",OFFSET(Y106,0,COUNTA(Y106:AV106)-1)="미납"),"미납",
IF(AND(V106="정상",OFFSET(Y106,0,COUNTA(Y106:AV106)-1)=0),"납부 시작 전",
IF(AND(V106="정상",OFFSET(Y106,0,COUNTA(Y106:AV106)-1)&gt;=U106),"정상",
IF(AND(V106="면제",OFFSET(Y106,0,COUNTA(Y106:AV106)-1)="면제"),"면제",
IF(AND(V106="면제",OFFSET(Y106,0,COUNTA(Y106:AV106)-1)=0),"면제",
"확인요청"))))))</f>
        <v>정상</v>
      </c>
      <c r="Y106" s="93" t="n">
        <v>55000</v>
      </c>
      <c r="Z106" s="90" t="n">
        <v>55000</v>
      </c>
      <c r="AA106" s="90" t="n">
        <v>55000</v>
      </c>
      <c r="AB106" s="90" t="n">
        <v>55000</v>
      </c>
      <c r="AC106" s="90" t="n">
        <v>55000</v>
      </c>
      <c r="AD106" s="90" t="n">
        <v>55000</v>
      </c>
      <c r="AE106" s="90" t="n">
        <v>55000</v>
      </c>
      <c r="AF106" s="90" t="n">
        <v>55000</v>
      </c>
      <c r="AG106" s="90" t="n">
        <v>55000</v>
      </c>
      <c r="AH106" s="90" t="n">
        <v>55000</v>
      </c>
      <c r="AI106" s="90" t="n">
        <v>55000</v>
      </c>
      <c r="AJ106" s="91" t="n">
        <v>55000</v>
      </c>
      <c r="AK106" s="89" t="n">
        <v>55000</v>
      </c>
      <c r="AL106" s="90" t="n">
        <v>55000</v>
      </c>
      <c r="AM106" s="90"/>
      <c r="AN106" s="90"/>
      <c r="AO106" s="90"/>
      <c r="AP106" s="90"/>
      <c r="AQ106" s="90"/>
      <c r="AR106" s="90"/>
      <c r="AS106" s="90"/>
      <c r="AT106" s="90"/>
      <c r="AU106" s="90"/>
      <c r="AV106" s="91"/>
      <c r="AX106" s="92"/>
    </row>
    <row r="107" customFormat="false" ht="15.65" hidden="false" customHeight="false" outlineLevel="0" collapsed="false">
      <c r="C107" s="72" t="n">
        <f aca="false">COUNTIFS($D$6:D107,"&lt;&gt;"&amp;"")</f>
        <v>102</v>
      </c>
      <c r="D107" s="73" t="s">
        <v>12</v>
      </c>
      <c r="E107" s="76" t="str">
        <f aca="false">
IF($D107="정상",INDEX(임대자산!$D$3:$R$3000,MATCH($F107,임대자산!$I$3:$I$3000,0),MATCH(E$3,임대자산!$D$3:$R$3,0)),
IF($D107="폐업",INDEX(폐업정보!$D$3:$R$3000,MATCH($F107,폐업정보!$I$3:$I$3000,0),MATCH(E$3,폐업정보!$D$3:$R$3,0)),
"Error"))</f>
        <v>전라</v>
      </c>
      <c r="F10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B0102</v>
      </c>
      <c r="G107" s="76" t="str">
        <f aca="false">F107&amp;RANDBETWEEN(0,10)</f>
        <v>B010210</v>
      </c>
      <c r="H107" s="75" t="n">
        <f aca="false">
IF($D107="정상",INDEX(임대자산!$D$3:$R$3000,MATCH($F107,임대자산!$I$3:$I$3000,0),MATCH(H$4,임대자산!$D$3:$R$3,0)),
IF($D107="폐업",INDEX(폐업정보!$D$3:$R$3000,MATCH($F107,폐업정보!$I$3:$I$3000,0),MATCH(H$4,폐업정보!$D$3:$R$3,0)),
"Error"))</f>
        <v>44029</v>
      </c>
      <c r="I107" s="75" t="str">
        <f aca="false">
IF($D107="정상",INDEX(임대자산!$D$3:$R$3000,MATCH($F107,임대자산!$I$3:$I$3000,0),MATCH(I$4,임대자산!$D$3:$R$3,0)),
IF($D107="폐업",INDEX(폐업정보!$D$3:$R$3000,MATCH($F107,폐업정보!$I$3:$I$3000,0),MATCH(I$4,폐업정보!$D$3:$R$3,0)),
"Error"))</f>
        <v>A0102</v>
      </c>
      <c r="J107" s="75" t="str">
        <f aca="false">
IF($D107="정상",INDEX(임대자산!$D$3:$R$3000,MATCH($F107,임대자산!$I$3:$I$3000,0),MATCH(J$4,임대자산!$D$3:$R$3,0)),
IF($D107="폐업",INDEX(폐업정보!$D$3:$R$3000,MATCH($F107,폐업정보!$I$3:$I$3000,0),MATCH(J$4,폐업정보!$D$3:$R$3,0)),
"Error"))</f>
        <v>4538300000</v>
      </c>
      <c r="K107" s="75" t="str">
        <f aca="false">
IF($D107="정상",INDEX(임대자산!$D$3:$R$3000,MATCH($F107,임대자산!$I$3:$I$3000,0),MATCH(K$4,임대자산!$D$3:$R$3,0)),
IF($D107="폐업",INDEX(폐업정보!$D$3:$R$3000,MATCH($F107,폐업정보!$I$3:$I$3000,0),MATCH(K$4,폐업정보!$D$3:$R$3,0)),
"Error"))</f>
        <v>C0102</v>
      </c>
      <c r="L107" s="75" t="str">
        <f aca="false">
IF($D107="정상",INDEX(임대자산!$D$3:$R$3000,MATCH($F107,임대자산!$I$3:$I$3000,0),MATCH(L$4,임대자산!$D$3:$R$3,0)),
IF($D107="폐업",INDEX(폐업정보!$D$3:$R$3000,MATCH($F107,폐업정보!$I$3:$I$3000,0),MATCH(L$4,폐업정보!$D$3:$R$3,0)),
"Error"))</f>
        <v>D0102</v>
      </c>
      <c r="M107" s="76" t="s">
        <v>96</v>
      </c>
      <c r="N107" s="77"/>
      <c r="O107" s="78" t="s">
        <v>97</v>
      </c>
      <c r="P107" s="79" t="n">
        <f aca="false">COUNTIFS(임대자산!$I:$I,가맹점정보!F107,임대자산!$N:$N,가맹점정보!P$4)</f>
        <v>1</v>
      </c>
      <c r="Q107" s="80" t="n">
        <f aca="false">COUNTIFS(임대자산!$I:$I,가맹점정보!F107,임대자산!$N:$N,가맹점정보!Q$4)</f>
        <v>0</v>
      </c>
      <c r="R107" s="81" t="n">
        <f aca="false">COUNTIFS(임대자산!$I:$I,가맹점정보!F107,임대자산!$N:$N,가맹점정보!R$4)</f>
        <v>0</v>
      </c>
      <c r="S107" s="82" t="n">
        <v>55000</v>
      </c>
      <c r="T107" s="83" t="n">
        <v>0</v>
      </c>
      <c r="U107" s="80" t="n">
        <f aca="false">SUM(S107:T107)</f>
        <v>55000</v>
      </c>
      <c r="V107" s="84" t="s">
        <v>12</v>
      </c>
      <c r="W107" s="80" t="e">
        <f aca="true">
IF(D107="폐업","폐업",
IF(V107="면제","면제",
IF(AND(V107="정상",COUNTIFS(OFFSET(Y107,0,COUNTA(Y107:AV107)-1,1,-4),"미납")&gt;=3),"장기미납",
IF(AND(V107="정상",OFFSET(Y107,0,COUNTA(Y107:AV107)-1)&gt;=U107),"정상",
IF(AND(V107="정상",OFFSET(Y107,0,COUNTA(Y107:AV107)-1)=0),"정상",
"계약서 미작성")))))</f>
        <v>#VALUE!</v>
      </c>
      <c r="X107" s="81" t="str">
        <f aca="true">
IF(D107="폐업","폐업",
IF(AND(V107="정상",OFFSET(Y107,0,COUNTA(Y107:AV107)-1)="미납"),"미납",
IF(AND(V107="정상",OFFSET(Y107,0,COUNTA(Y107:AV107)-1)=0),"납부 시작 전",
IF(AND(V107="정상",OFFSET(Y107,0,COUNTA(Y107:AV107)-1)&gt;=U107),"정상",
IF(AND(V107="면제",OFFSET(Y107,0,COUNTA(Y107:AV107)-1)="면제"),"면제",
IF(AND(V107="면제",OFFSET(Y107,0,COUNTA(Y107:AV107)-1)=0),"면제",
"확인요청"))))))</f>
        <v>정상</v>
      </c>
      <c r="Y107" s="93" t="n">
        <v>55000</v>
      </c>
      <c r="Z107" s="90" t="n">
        <v>55000</v>
      </c>
      <c r="AA107" s="90" t="n">
        <v>55000</v>
      </c>
      <c r="AB107" s="90" t="n">
        <v>55000</v>
      </c>
      <c r="AC107" s="90" t="n">
        <v>55000</v>
      </c>
      <c r="AD107" s="90" t="n">
        <v>55000</v>
      </c>
      <c r="AE107" s="90" t="n">
        <v>55000</v>
      </c>
      <c r="AF107" s="90" t="n">
        <v>55000</v>
      </c>
      <c r="AG107" s="90" t="n">
        <v>55000</v>
      </c>
      <c r="AH107" s="90" t="n">
        <v>55000</v>
      </c>
      <c r="AI107" s="90" t="n">
        <v>55000</v>
      </c>
      <c r="AJ107" s="91" t="n">
        <v>55000</v>
      </c>
      <c r="AK107" s="89" t="n">
        <v>55000</v>
      </c>
      <c r="AL107" s="90" t="n">
        <v>55000</v>
      </c>
      <c r="AM107" s="90"/>
      <c r="AN107" s="90"/>
      <c r="AO107" s="90"/>
      <c r="AP107" s="90"/>
      <c r="AQ107" s="90"/>
      <c r="AR107" s="90"/>
      <c r="AS107" s="90"/>
      <c r="AT107" s="90"/>
      <c r="AU107" s="90"/>
      <c r="AV107" s="91"/>
      <c r="AX107" s="92"/>
    </row>
    <row r="108" customFormat="false" ht="15.65" hidden="false" customHeight="false" outlineLevel="0" collapsed="false">
      <c r="C108" s="72" t="n">
        <f aca="false">COUNTIFS($D$6:D108,"&lt;&gt;"&amp;"")</f>
        <v>103</v>
      </c>
      <c r="D108" s="73" t="s">
        <v>12</v>
      </c>
      <c r="E108" s="76" t="str">
        <f aca="false">
IF($D108="정상",INDEX(임대자산!$D$3:$R$3000,MATCH($F108,임대자산!$I$3:$I$3000,0),MATCH(E$3,임대자산!$D$3:$R$3,0)),
IF($D108="폐업",INDEX(폐업정보!$D$3:$R$3000,MATCH($F108,폐업정보!$I$3:$I$3000,0),MATCH(E$3,폐업정보!$D$3:$R$3,0)),
"Error"))</f>
        <v>전라</v>
      </c>
      <c r="F10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B0103</v>
      </c>
      <c r="G108" s="76" t="str">
        <f aca="false">F108&amp;RANDBETWEEN(0,10)</f>
        <v>B01037</v>
      </c>
      <c r="H108" s="75" t="n">
        <f aca="false">
IF($D108="정상",INDEX(임대자산!$D$3:$R$3000,MATCH($F108,임대자산!$I$3:$I$3000,0),MATCH(H$4,임대자산!$D$3:$R$3,0)),
IF($D108="폐업",INDEX(폐업정보!$D$3:$R$3000,MATCH($F108,폐업정보!$I$3:$I$3000,0),MATCH(H$4,폐업정보!$D$3:$R$3,0)),
"Error"))</f>
        <v>43441</v>
      </c>
      <c r="I108" s="75" t="str">
        <f aca="false">
IF($D108="정상",INDEX(임대자산!$D$3:$R$3000,MATCH($F108,임대자산!$I$3:$I$3000,0),MATCH(I$4,임대자산!$D$3:$R$3,0)),
IF($D108="폐업",INDEX(폐업정보!$D$3:$R$3000,MATCH($F108,폐업정보!$I$3:$I$3000,0),MATCH(I$4,폐업정보!$D$3:$R$3,0)),
"Error"))</f>
        <v>A0103</v>
      </c>
      <c r="J108" s="75" t="str">
        <f aca="false">
IF($D108="정상",INDEX(임대자산!$D$3:$R$3000,MATCH($F108,임대자산!$I$3:$I$3000,0),MATCH(J$4,임대자산!$D$3:$R$3,0)),
IF($D108="폐업",INDEX(폐업정보!$D$3:$R$3000,MATCH($F108,폐업정보!$I$3:$I$3000,0),MATCH(J$4,폐업정보!$D$3:$R$3,0)),
"Error"))</f>
        <v>9434200000</v>
      </c>
      <c r="K108" s="75" t="str">
        <f aca="false">
IF($D108="정상",INDEX(임대자산!$D$3:$R$3000,MATCH($F108,임대자산!$I$3:$I$3000,0),MATCH(K$4,임대자산!$D$3:$R$3,0)),
IF($D108="폐업",INDEX(폐업정보!$D$3:$R$3000,MATCH($F108,폐업정보!$I$3:$I$3000,0),MATCH(K$4,폐업정보!$D$3:$R$3,0)),
"Error"))</f>
        <v>C0103</v>
      </c>
      <c r="L108" s="75" t="str">
        <f aca="false">
IF($D108="정상",INDEX(임대자산!$D$3:$R$3000,MATCH($F108,임대자산!$I$3:$I$3000,0),MATCH(L$4,임대자산!$D$3:$R$3,0)),
IF($D108="폐업",INDEX(폐업정보!$D$3:$R$3000,MATCH($F108,폐업정보!$I$3:$I$3000,0),MATCH(L$4,폐업정보!$D$3:$R$3,0)),
"Error"))</f>
        <v>D0103</v>
      </c>
      <c r="M108" s="76" t="s">
        <v>96</v>
      </c>
      <c r="N108" s="77"/>
      <c r="O108" s="78" t="s">
        <v>97</v>
      </c>
      <c r="P108" s="79" t="n">
        <f aca="false">COUNTIFS(임대자산!$I:$I,가맹점정보!F108,임대자산!$N:$N,가맹점정보!P$4)</f>
        <v>1</v>
      </c>
      <c r="Q108" s="80" t="n">
        <f aca="false">COUNTIFS(임대자산!$I:$I,가맹점정보!F108,임대자산!$N:$N,가맹점정보!Q$4)</f>
        <v>0</v>
      </c>
      <c r="R108" s="81" t="n">
        <f aca="false">COUNTIFS(임대자산!$I:$I,가맹점정보!F108,임대자산!$N:$N,가맹점정보!R$4)</f>
        <v>0</v>
      </c>
      <c r="S108" s="82" t="n">
        <v>55000</v>
      </c>
      <c r="T108" s="83" t="n">
        <v>0</v>
      </c>
      <c r="U108" s="80" t="n">
        <f aca="false">SUM(S108:T108)</f>
        <v>55000</v>
      </c>
      <c r="V108" s="84" t="s">
        <v>12</v>
      </c>
      <c r="W108" s="80" t="e">
        <f aca="true">
IF(D108="폐업","폐업",
IF(V108="면제","면제",
IF(AND(V108="정상",COUNTIFS(OFFSET(Y108,0,COUNTA(Y108:AV108)-1,1,-4),"미납")&gt;=3),"장기미납",
IF(AND(V108="정상",OFFSET(Y108,0,COUNTA(Y108:AV108)-1)&gt;=U108),"정상",
IF(AND(V108="정상",OFFSET(Y108,0,COUNTA(Y108:AV108)-1)=0),"정상",
"계약서 미작성")))))</f>
        <v>#VALUE!</v>
      </c>
      <c r="X108" s="81" t="str">
        <f aca="true">
IF(D108="폐업","폐업",
IF(AND(V108="정상",OFFSET(Y108,0,COUNTA(Y108:AV108)-1)="미납"),"미납",
IF(AND(V108="정상",OFFSET(Y108,0,COUNTA(Y108:AV108)-1)=0),"납부 시작 전",
IF(AND(V108="정상",OFFSET(Y108,0,COUNTA(Y108:AV108)-1)&gt;=U108),"정상",
IF(AND(V108="면제",OFFSET(Y108,0,COUNTA(Y108:AV108)-1)="면제"),"면제",
IF(AND(V108="면제",OFFSET(Y108,0,COUNTA(Y108:AV108)-1)=0),"면제",
"확인요청"))))))</f>
        <v>정상</v>
      </c>
      <c r="Y108" s="93" t="n">
        <v>55000</v>
      </c>
      <c r="Z108" s="90" t="n">
        <v>55000</v>
      </c>
      <c r="AA108" s="90" t="n">
        <v>55000</v>
      </c>
      <c r="AB108" s="90" t="n">
        <v>55000</v>
      </c>
      <c r="AC108" s="90" t="n">
        <v>55000</v>
      </c>
      <c r="AD108" s="90" t="n">
        <v>55000</v>
      </c>
      <c r="AE108" s="90" t="n">
        <v>55000</v>
      </c>
      <c r="AF108" s="90" t="n">
        <v>55000</v>
      </c>
      <c r="AG108" s="90" t="n">
        <v>55000</v>
      </c>
      <c r="AH108" s="90" t="n">
        <v>55000</v>
      </c>
      <c r="AI108" s="90" t="n">
        <v>55000</v>
      </c>
      <c r="AJ108" s="91" t="n">
        <v>55000</v>
      </c>
      <c r="AK108" s="89" t="n">
        <v>55000</v>
      </c>
      <c r="AL108" s="90" t="n">
        <v>55000</v>
      </c>
      <c r="AM108" s="90"/>
      <c r="AN108" s="90"/>
      <c r="AO108" s="90"/>
      <c r="AP108" s="90"/>
      <c r="AQ108" s="90"/>
      <c r="AR108" s="90"/>
      <c r="AS108" s="90"/>
      <c r="AT108" s="90"/>
      <c r="AU108" s="90"/>
      <c r="AV108" s="91"/>
      <c r="AX108" s="92"/>
    </row>
    <row r="109" customFormat="false" ht="15.65" hidden="false" customHeight="false" outlineLevel="0" collapsed="false">
      <c r="C109" s="72" t="n">
        <f aca="false">COUNTIFS($D$6:D109,"&lt;&gt;"&amp;"")</f>
        <v>104</v>
      </c>
      <c r="D109" s="73" t="s">
        <v>12</v>
      </c>
      <c r="E109" s="76" t="str">
        <f aca="false">
IF($D109="정상",INDEX(임대자산!$D$3:$R$3000,MATCH($F109,임대자산!$I$3:$I$3000,0),MATCH(E$3,임대자산!$D$3:$R$3,0)),
IF($D109="폐업",INDEX(폐업정보!$D$3:$R$3000,MATCH($F109,폐업정보!$I$3:$I$3000,0),MATCH(E$3,폐업정보!$D$3:$R$3,0)),
"Error"))</f>
        <v>경기</v>
      </c>
      <c r="F10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B0104</v>
      </c>
      <c r="G109" s="76" t="str">
        <f aca="false">F109&amp;RANDBETWEEN(0,10)</f>
        <v>B01045</v>
      </c>
      <c r="H109" s="75" t="n">
        <f aca="false">
IF($D109="정상",INDEX(임대자산!$D$3:$R$3000,MATCH($F109,임대자산!$I$3:$I$3000,0),MATCH(H$4,임대자산!$D$3:$R$3,0)),
IF($D109="폐업",INDEX(폐업정보!$D$3:$R$3000,MATCH($F109,폐업정보!$I$3:$I$3000,0),MATCH(H$4,폐업정보!$D$3:$R$3,0)),
"Error"))</f>
        <v>43802</v>
      </c>
      <c r="I109" s="75" t="str">
        <f aca="false">
IF($D109="정상",INDEX(임대자산!$D$3:$R$3000,MATCH($F109,임대자산!$I$3:$I$3000,0),MATCH(I$4,임대자산!$D$3:$R$3,0)),
IF($D109="폐업",INDEX(폐업정보!$D$3:$R$3000,MATCH($F109,폐업정보!$I$3:$I$3000,0),MATCH(I$4,폐업정보!$D$3:$R$3,0)),
"Error"))</f>
        <v>A0104</v>
      </c>
      <c r="J109" s="75" t="str">
        <f aca="false">
IF($D109="정상",INDEX(임대자산!$D$3:$R$3000,MATCH($F109,임대자산!$I$3:$I$3000,0),MATCH(J$4,임대자산!$D$3:$R$3,0)),
IF($D109="폐업",INDEX(폐업정보!$D$3:$R$3000,MATCH($F109,폐업정보!$I$3:$I$3000,0),MATCH(J$4,폐업정보!$D$3:$R$3,0)),
"Error"))</f>
        <v>9753000000</v>
      </c>
      <c r="K109" s="75" t="str">
        <f aca="false">
IF($D109="정상",INDEX(임대자산!$D$3:$R$3000,MATCH($F109,임대자산!$I$3:$I$3000,0),MATCH(K$4,임대자산!$D$3:$R$3,0)),
IF($D109="폐업",INDEX(폐업정보!$D$3:$R$3000,MATCH($F109,폐업정보!$I$3:$I$3000,0),MATCH(K$4,폐업정보!$D$3:$R$3,0)),
"Error"))</f>
        <v>C0104</v>
      </c>
      <c r="L109" s="75" t="str">
        <f aca="false">
IF($D109="정상",INDEX(임대자산!$D$3:$R$3000,MATCH($F109,임대자산!$I$3:$I$3000,0),MATCH(L$4,임대자산!$D$3:$R$3,0)),
IF($D109="폐업",INDEX(폐업정보!$D$3:$R$3000,MATCH($F109,폐업정보!$I$3:$I$3000,0),MATCH(L$4,폐업정보!$D$3:$R$3,0)),
"Error"))</f>
        <v>D0104</v>
      </c>
      <c r="M109" s="76" t="s">
        <v>96</v>
      </c>
      <c r="N109" s="77"/>
      <c r="O109" s="78" t="s">
        <v>97</v>
      </c>
      <c r="P109" s="79" t="n">
        <f aca="false">COUNTIFS(임대자산!$I:$I,가맹점정보!F109,임대자산!$N:$N,가맹점정보!P$4)</f>
        <v>1</v>
      </c>
      <c r="Q109" s="80" t="n">
        <f aca="false">COUNTIFS(임대자산!$I:$I,가맹점정보!F109,임대자산!$N:$N,가맹점정보!Q$4)</f>
        <v>0</v>
      </c>
      <c r="R109" s="81" t="n">
        <f aca="false">COUNTIFS(임대자산!$I:$I,가맹점정보!F109,임대자산!$N:$N,가맹점정보!R$4)</f>
        <v>0</v>
      </c>
      <c r="S109" s="82" t="n">
        <v>55000</v>
      </c>
      <c r="T109" s="83" t="n">
        <v>0</v>
      </c>
      <c r="U109" s="80" t="n">
        <f aca="false">SUM(S109:T109)</f>
        <v>55000</v>
      </c>
      <c r="V109" s="84" t="s">
        <v>12</v>
      </c>
      <c r="W109" s="80" t="e">
        <f aca="true">
IF(D109="폐업","폐업",
IF(V109="면제","면제",
IF(AND(V109="정상",COUNTIFS(OFFSET(Y109,0,COUNTA(Y109:AV109)-1,1,-4),"미납")&gt;=3),"장기미납",
IF(AND(V109="정상",OFFSET(Y109,0,COUNTA(Y109:AV109)-1)&gt;=U109),"정상",
IF(AND(V109="정상",OFFSET(Y109,0,COUNTA(Y109:AV109)-1)=0),"정상",
"계약서 미작성")))))</f>
        <v>#VALUE!</v>
      </c>
      <c r="X109" s="81" t="str">
        <f aca="true">
IF(D109="폐업","폐업",
IF(AND(V109="정상",OFFSET(Y109,0,COUNTA(Y109:AV109)-1)="미납"),"미납",
IF(AND(V109="정상",OFFSET(Y109,0,COUNTA(Y109:AV109)-1)=0),"납부 시작 전",
IF(AND(V109="정상",OFFSET(Y109,0,COUNTA(Y109:AV109)-1)&gt;=U109),"정상",
IF(AND(V109="면제",OFFSET(Y109,0,COUNTA(Y109:AV109)-1)="면제"),"면제",
IF(AND(V109="면제",OFFSET(Y109,0,COUNTA(Y109:AV109)-1)=0),"면제",
"확인요청"))))))</f>
        <v>정상</v>
      </c>
      <c r="Y109" s="93" t="n">
        <v>55000</v>
      </c>
      <c r="Z109" s="90" t="n">
        <v>55000</v>
      </c>
      <c r="AA109" s="90" t="n">
        <v>55000</v>
      </c>
      <c r="AB109" s="90" t="n">
        <v>55000</v>
      </c>
      <c r="AC109" s="90" t="n">
        <v>55000</v>
      </c>
      <c r="AD109" s="90" t="n">
        <v>55000</v>
      </c>
      <c r="AE109" s="90" t="n">
        <v>55000</v>
      </c>
      <c r="AF109" s="90" t="n">
        <v>55000</v>
      </c>
      <c r="AG109" s="90" t="n">
        <v>55000</v>
      </c>
      <c r="AH109" s="90" t="n">
        <v>55000</v>
      </c>
      <c r="AI109" s="90" t="n">
        <v>55000</v>
      </c>
      <c r="AJ109" s="91" t="n">
        <v>55000</v>
      </c>
      <c r="AK109" s="89" t="n">
        <v>55000</v>
      </c>
      <c r="AL109" s="90" t="n">
        <v>55000</v>
      </c>
      <c r="AM109" s="90"/>
      <c r="AN109" s="90"/>
      <c r="AO109" s="90"/>
      <c r="AP109" s="90"/>
      <c r="AQ109" s="90"/>
      <c r="AR109" s="90"/>
      <c r="AS109" s="90"/>
      <c r="AT109" s="90"/>
      <c r="AU109" s="90"/>
      <c r="AV109" s="91"/>
      <c r="AX109" s="92"/>
    </row>
    <row r="110" customFormat="false" ht="15.65" hidden="false" customHeight="false" outlineLevel="0" collapsed="false">
      <c r="C110" s="72" t="n">
        <f aca="false">COUNTIFS($D$6:D110,"&lt;&gt;"&amp;"")</f>
        <v>105</v>
      </c>
      <c r="D110" s="73" t="s">
        <v>5</v>
      </c>
      <c r="E110" s="76" t="str">
        <f aca="false">
IF($D110="정상",INDEX(임대자산!$D$3:$R$3000,MATCH($F110,임대자산!$I$3:$I$3000,0),MATCH(E$3,임대자산!$D$3:$R$3,0)),
IF($D110="폐업",INDEX(폐업정보!$D$3:$R$3000,MATCH($F110,폐업정보!$I$3:$I$3000,0),MATCH(E$3,폐업정보!$D$3:$R$3,0)),
"Error"))</f>
        <v>경기</v>
      </c>
      <c r="F11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B0105</v>
      </c>
      <c r="G110" s="76" t="str">
        <f aca="false">F110&amp;RANDBETWEEN(0,10)</f>
        <v>B01050</v>
      </c>
      <c r="H110" s="75" t="n">
        <f aca="false">
IF($D110="정상",INDEX(임대자산!$D$3:$R$3000,MATCH($F110,임대자산!$I$3:$I$3000,0),MATCH(H$4,임대자산!$D$3:$R$3,0)),
IF($D110="폐업",INDEX(폐업정보!$D$3:$R$3000,MATCH($F110,폐업정보!$I$3:$I$3000,0),MATCH(H$4,폐업정보!$D$3:$R$3,0)),
"Error"))</f>
        <v>43802</v>
      </c>
      <c r="I110" s="75" t="str">
        <f aca="false">
IF($D110="정상",INDEX(임대자산!$D$3:$R$3000,MATCH($F110,임대자산!$I$3:$I$3000,0),MATCH(I$4,임대자산!$D$3:$R$3,0)),
IF($D110="폐업",INDEX(폐업정보!$D$3:$R$3000,MATCH($F110,폐업정보!$I$3:$I$3000,0),MATCH(I$4,폐업정보!$D$3:$R$3,0)),
"Error"))</f>
        <v>A0105</v>
      </c>
      <c r="J110" s="75" t="str">
        <f aca="false">
IF($D110="정상",INDEX(임대자산!$D$3:$R$3000,MATCH($F110,임대자산!$I$3:$I$3000,0),MATCH(J$4,임대자산!$D$3:$R$3,0)),
IF($D110="폐업",INDEX(폐업정보!$D$3:$R$3000,MATCH($F110,폐업정보!$I$3:$I$3000,0),MATCH(J$4,폐업정보!$D$3:$R$3,0)),
"Error"))</f>
        <v>6288300000</v>
      </c>
      <c r="K110" s="75" t="str">
        <f aca="false">
IF($D110="정상",INDEX(임대자산!$D$3:$R$3000,MATCH($F110,임대자산!$I$3:$I$3000,0),MATCH(K$4,임대자산!$D$3:$R$3,0)),
IF($D110="폐업",INDEX(폐업정보!$D$3:$R$3000,MATCH($F110,폐업정보!$I$3:$I$3000,0),MATCH(K$4,폐업정보!$D$3:$R$3,0)),
"Error"))</f>
        <v>C0105</v>
      </c>
      <c r="L110" s="75" t="str">
        <f aca="false">
IF($D110="정상",INDEX(임대자산!$D$3:$R$3000,MATCH($F110,임대자산!$I$3:$I$3000,0),MATCH(L$4,임대자산!$D$3:$R$3,0)),
IF($D110="폐업",INDEX(폐업정보!$D$3:$R$3000,MATCH($F110,폐업정보!$I$3:$I$3000,0),MATCH(L$4,폐업정보!$D$3:$R$3,0)),
"Error"))</f>
        <v>D0105</v>
      </c>
      <c r="M110" s="76" t="s">
        <v>96</v>
      </c>
      <c r="N110" s="77"/>
      <c r="O110" s="78" t="s">
        <v>97</v>
      </c>
      <c r="P110" s="79" t="n">
        <f aca="false">COUNTIFS(임대자산!$I:$I,가맹점정보!F110,임대자산!$N:$N,가맹점정보!P$4)</f>
        <v>0</v>
      </c>
      <c r="Q110" s="80" t="n">
        <f aca="false">COUNTIFS(임대자산!$I:$I,가맹점정보!F110,임대자산!$N:$N,가맹점정보!Q$4)</f>
        <v>0</v>
      </c>
      <c r="R110" s="81" t="n">
        <f aca="false">COUNTIFS(임대자산!$I:$I,가맹점정보!F110,임대자산!$N:$N,가맹점정보!R$4)</f>
        <v>0</v>
      </c>
      <c r="S110" s="82" t="n">
        <v>55000</v>
      </c>
      <c r="T110" s="83" t="n">
        <v>0</v>
      </c>
      <c r="U110" s="80" t="n">
        <f aca="false">SUM(S110:T110)</f>
        <v>55000</v>
      </c>
      <c r="V110" s="84" t="s">
        <v>7</v>
      </c>
      <c r="W110" s="80" t="str">
        <f aca="true">
IF(D110="폐업","폐업",
IF(V110="면제","면제",
IF(AND(V110="정상",COUNTIFS(OFFSET(Y110,0,COUNTA(Y110:AV110)-1,1,-4),"미납")&gt;=3),"장기미납",
IF(AND(V110="정상",OFFSET(Y110,0,COUNTA(Y110:AV110)-1)&gt;=U110),"정상",
IF(AND(V110="정상",OFFSET(Y110,0,COUNTA(Y110:AV110)-1)=0),"정상",
"계약서 미작성")))))</f>
        <v>폐업</v>
      </c>
      <c r="X110" s="81" t="str">
        <f aca="true">
IF(D110="폐업","폐업",
IF(AND(V110="정상",OFFSET(Y110,0,COUNTA(Y110:AV110)-1)="미납"),"미납",
IF(AND(V110="정상",OFFSET(Y110,0,COUNTA(Y110:AV110)-1)=0),"납부 시작 전",
IF(AND(V110="정상",OFFSET(Y110,0,COUNTA(Y110:AV110)-1)&gt;=U110),"정상",
IF(AND(V110="면제",OFFSET(Y110,0,COUNTA(Y110:AV110)-1)="면제"),"면제",
IF(AND(V110="면제",OFFSET(Y110,0,COUNTA(Y110:AV110)-1)=0),"면제",
"확인요청"))))))</f>
        <v>폐업</v>
      </c>
      <c r="Y110" s="94" t="s">
        <v>7</v>
      </c>
      <c r="Z110" s="95" t="s">
        <v>7</v>
      </c>
      <c r="AA110" s="95" t="s">
        <v>7</v>
      </c>
      <c r="AB110" s="95" t="s">
        <v>7</v>
      </c>
      <c r="AC110" s="95" t="s">
        <v>7</v>
      </c>
      <c r="AD110" s="95" t="s">
        <v>7</v>
      </c>
      <c r="AE110" s="95" t="s">
        <v>7</v>
      </c>
      <c r="AF110" s="95" t="s">
        <v>7</v>
      </c>
      <c r="AG110" s="95" t="s">
        <v>7</v>
      </c>
      <c r="AH110" s="95" t="s">
        <v>7</v>
      </c>
      <c r="AI110" s="95" t="s">
        <v>7</v>
      </c>
      <c r="AJ110" s="96" t="s">
        <v>7</v>
      </c>
      <c r="AK110" s="97" t="s">
        <v>7</v>
      </c>
      <c r="AL110" s="95" t="s">
        <v>7</v>
      </c>
      <c r="AM110" s="90"/>
      <c r="AN110" s="90"/>
      <c r="AO110" s="90"/>
      <c r="AP110" s="90"/>
      <c r="AQ110" s="90"/>
      <c r="AR110" s="90"/>
      <c r="AS110" s="90"/>
      <c r="AT110" s="90"/>
      <c r="AU110" s="90"/>
      <c r="AV110" s="91"/>
      <c r="AX110" s="92"/>
    </row>
    <row r="111" customFormat="false" ht="15.65" hidden="false" customHeight="false" outlineLevel="0" collapsed="false">
      <c r="C111" s="72" t="n">
        <f aca="false">COUNTIFS($D$6:D111,"&lt;&gt;"&amp;"")</f>
        <v>106</v>
      </c>
      <c r="D111" s="73" t="s">
        <v>12</v>
      </c>
      <c r="E111" s="76" t="str">
        <f aca="false">
IF($D111="정상",INDEX(임대자산!$D$3:$R$3000,MATCH($F111,임대자산!$I$3:$I$3000,0),MATCH(E$3,임대자산!$D$3:$R$3,0)),
IF($D111="폐업",INDEX(폐업정보!$D$3:$R$3000,MATCH($F111,폐업정보!$I$3:$I$3000,0),MATCH(E$3,폐업정보!$D$3:$R$3,0)),
"Error"))</f>
        <v>강원</v>
      </c>
      <c r="F11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B0106</v>
      </c>
      <c r="G111" s="76" t="str">
        <f aca="false">F111&amp;RANDBETWEEN(0,10)</f>
        <v>B010610</v>
      </c>
      <c r="H111" s="75" t="n">
        <f aca="false">
IF($D111="정상",INDEX(임대자산!$D$3:$R$3000,MATCH($F111,임대자산!$I$3:$I$3000,0),MATCH(H$4,임대자산!$D$3:$R$3,0)),
IF($D111="폐업",INDEX(폐업정보!$D$3:$R$3000,MATCH($F111,폐업정보!$I$3:$I$3000,0),MATCH(H$4,폐업정보!$D$3:$R$3,0)),
"Error"))</f>
        <v>45763</v>
      </c>
      <c r="I111" s="75" t="str">
        <f aca="false">
IF($D111="정상",INDEX(임대자산!$D$3:$R$3000,MATCH($F111,임대자산!$I$3:$I$3000,0),MATCH(I$4,임대자산!$D$3:$R$3,0)),
IF($D111="폐업",INDEX(폐업정보!$D$3:$R$3000,MATCH($F111,폐업정보!$I$3:$I$3000,0),MATCH(I$4,폐업정보!$D$3:$R$3,0)),
"Error"))</f>
        <v>A0106</v>
      </c>
      <c r="J111" s="75" t="str">
        <f aca="false">
IF($D111="정상",INDEX(임대자산!$D$3:$R$3000,MATCH($F111,임대자산!$I$3:$I$3000,0),MATCH(J$4,임대자산!$D$3:$R$3,0)),
IF($D111="폐업",INDEX(폐업정보!$D$3:$R$3000,MATCH($F111,폐업정보!$I$3:$I$3000,0),MATCH(J$4,폐업정보!$D$3:$R$3,0)),
"Error"))</f>
        <v>9887000000</v>
      </c>
      <c r="K111" s="75" t="str">
        <f aca="false">
IF($D111="정상",INDEX(임대자산!$D$3:$R$3000,MATCH($F111,임대자산!$I$3:$I$3000,0),MATCH(K$4,임대자산!$D$3:$R$3,0)),
IF($D111="폐업",INDEX(폐업정보!$D$3:$R$3000,MATCH($F111,폐업정보!$I$3:$I$3000,0),MATCH(K$4,폐업정보!$D$3:$R$3,0)),
"Error"))</f>
        <v>C0106</v>
      </c>
      <c r="L111" s="75" t="str">
        <f aca="false">
IF($D111="정상",INDEX(임대자산!$D$3:$R$3000,MATCH($F111,임대자산!$I$3:$I$3000,0),MATCH(L$4,임대자산!$D$3:$R$3,0)),
IF($D111="폐업",INDEX(폐업정보!$D$3:$R$3000,MATCH($F111,폐업정보!$I$3:$I$3000,0),MATCH(L$4,폐업정보!$D$3:$R$3,0)),
"Error"))</f>
        <v>D0106</v>
      </c>
      <c r="M111" s="76" t="s">
        <v>96</v>
      </c>
      <c r="N111" s="77"/>
      <c r="O111" s="78" t="s">
        <v>97</v>
      </c>
      <c r="P111" s="79" t="n">
        <f aca="false">COUNTIFS(임대자산!$I:$I,가맹점정보!F111,임대자산!$N:$N,가맹점정보!P$4)</f>
        <v>1</v>
      </c>
      <c r="Q111" s="80" t="n">
        <f aca="false">COUNTIFS(임대자산!$I:$I,가맹점정보!F111,임대자산!$N:$N,가맹점정보!Q$4)</f>
        <v>0</v>
      </c>
      <c r="R111" s="81" t="n">
        <f aca="false">COUNTIFS(임대자산!$I:$I,가맹점정보!F111,임대자산!$N:$N,가맹점정보!R$4)</f>
        <v>0</v>
      </c>
      <c r="S111" s="82" t="n">
        <v>55000</v>
      </c>
      <c r="T111" s="83" t="n">
        <v>0</v>
      </c>
      <c r="U111" s="80" t="n">
        <f aca="false">SUM(S111:T111)</f>
        <v>55000</v>
      </c>
      <c r="V111" s="84" t="s">
        <v>12</v>
      </c>
      <c r="W111" s="80" t="e">
        <f aca="true">
IF(D111="폐업","폐업",
IF(V111="면제","면제",
IF(AND(V111="정상",COUNTIFS(OFFSET(Y111,0,COUNTA(Y111:AV111)-1,1,-4),"미납")&gt;=3),"장기미납",
IF(AND(V111="정상",OFFSET(Y111,0,COUNTA(Y111:AV111)-1)&gt;=U111),"정상",
IF(AND(V111="정상",OFFSET(Y111,0,COUNTA(Y111:AV111)-1)=0),"정상",
"계약서 미작성")))))</f>
        <v>#VALUE!</v>
      </c>
      <c r="X111" s="81" t="str">
        <f aca="true">
IF(D111="폐업","폐업",
IF(AND(V111="정상",OFFSET(Y111,0,COUNTA(Y111:AV111)-1)="미납"),"미납",
IF(AND(V111="정상",OFFSET(Y111,0,COUNTA(Y111:AV111)-1)=0),"납부 시작 전",
IF(AND(V111="정상",OFFSET(Y111,0,COUNTA(Y111:AV111)-1)&gt;=U111),"정상",
IF(AND(V111="면제",OFFSET(Y111,0,COUNTA(Y111:AV111)-1)="면제"),"면제",
IF(AND(V111="면제",OFFSET(Y111,0,COUNTA(Y111:AV111)-1)=0),"면제",
"확인요청"))))))</f>
        <v>정상</v>
      </c>
      <c r="Y111" s="93" t="n">
        <v>55000</v>
      </c>
      <c r="Z111" s="90" t="n">
        <v>55000</v>
      </c>
      <c r="AA111" s="90" t="n">
        <v>55000</v>
      </c>
      <c r="AB111" s="90" t="n">
        <v>55000</v>
      </c>
      <c r="AC111" s="90" t="n">
        <v>55000</v>
      </c>
      <c r="AD111" s="90" t="n">
        <v>55000</v>
      </c>
      <c r="AE111" s="90" t="n">
        <v>55000</v>
      </c>
      <c r="AF111" s="90" t="n">
        <v>55000</v>
      </c>
      <c r="AG111" s="90" t="n">
        <v>55000</v>
      </c>
      <c r="AH111" s="90" t="n">
        <v>55000</v>
      </c>
      <c r="AI111" s="90" t="n">
        <v>55000</v>
      </c>
      <c r="AJ111" s="91" t="n">
        <v>55000</v>
      </c>
      <c r="AK111" s="89" t="n">
        <v>55000</v>
      </c>
      <c r="AL111" s="90" t="n">
        <v>55000</v>
      </c>
      <c r="AM111" s="90"/>
      <c r="AN111" s="90"/>
      <c r="AO111" s="90"/>
      <c r="AP111" s="90"/>
      <c r="AQ111" s="90"/>
      <c r="AR111" s="90"/>
      <c r="AS111" s="90"/>
      <c r="AT111" s="90"/>
      <c r="AU111" s="90"/>
      <c r="AV111" s="91"/>
      <c r="AX111" s="92"/>
    </row>
    <row r="112" customFormat="false" ht="15.65" hidden="false" customHeight="false" outlineLevel="0" collapsed="false">
      <c r="C112" s="72" t="n">
        <f aca="false">COUNTIFS($D$6:D112,"&lt;&gt;"&amp;"")</f>
        <v>107</v>
      </c>
      <c r="D112" s="73" t="s">
        <v>12</v>
      </c>
      <c r="E112" s="76" t="str">
        <f aca="false">
IF($D112="정상",INDEX(임대자산!$D$3:$R$3000,MATCH($F112,임대자산!$I$3:$I$3000,0),MATCH(E$3,임대자산!$D$3:$R$3,0)),
IF($D112="폐업",INDEX(폐업정보!$D$3:$R$3000,MATCH($F112,폐업정보!$I$3:$I$3000,0),MATCH(E$3,폐업정보!$D$3:$R$3,0)),
"Error"))</f>
        <v>경상</v>
      </c>
      <c r="F11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B0107</v>
      </c>
      <c r="G112" s="76" t="str">
        <f aca="false">F112&amp;RANDBETWEEN(0,10)</f>
        <v>B01071</v>
      </c>
      <c r="H112" s="75" t="n">
        <f aca="false">
IF($D112="정상",INDEX(임대자산!$D$3:$R$3000,MATCH($F112,임대자산!$I$3:$I$3000,0),MATCH(H$4,임대자산!$D$3:$R$3,0)),
IF($D112="폐업",INDEX(폐업정보!$D$3:$R$3000,MATCH($F112,폐업정보!$I$3:$I$3000,0),MATCH(H$4,폐업정보!$D$3:$R$3,0)),
"Error"))</f>
        <v>44700</v>
      </c>
      <c r="I112" s="75" t="str">
        <f aca="false">
IF($D112="정상",INDEX(임대자산!$D$3:$R$3000,MATCH($F112,임대자산!$I$3:$I$3000,0),MATCH(I$4,임대자산!$D$3:$R$3,0)),
IF($D112="폐업",INDEX(폐업정보!$D$3:$R$3000,MATCH($F112,폐업정보!$I$3:$I$3000,0),MATCH(I$4,폐업정보!$D$3:$R$3,0)),
"Error"))</f>
        <v>A0107</v>
      </c>
      <c r="J112" s="75" t="str">
        <f aca="false">
IF($D112="정상",INDEX(임대자산!$D$3:$R$3000,MATCH($F112,임대자산!$I$3:$I$3000,0),MATCH(J$4,임대자산!$D$3:$R$3,0)),
IF($D112="폐업",INDEX(폐업정보!$D$3:$R$3000,MATCH($F112,폐업정보!$I$3:$I$3000,0),MATCH(J$4,폐업정보!$D$3:$R$3,0)),
"Error"))</f>
        <v>8200900000</v>
      </c>
      <c r="K112" s="75" t="str">
        <f aca="false">
IF($D112="정상",INDEX(임대자산!$D$3:$R$3000,MATCH($F112,임대자산!$I$3:$I$3000,0),MATCH(K$4,임대자산!$D$3:$R$3,0)),
IF($D112="폐업",INDEX(폐업정보!$D$3:$R$3000,MATCH($F112,폐업정보!$I$3:$I$3000,0),MATCH(K$4,폐업정보!$D$3:$R$3,0)),
"Error"))</f>
        <v>C0107</v>
      </c>
      <c r="L112" s="75" t="str">
        <f aca="false">
IF($D112="정상",INDEX(임대자산!$D$3:$R$3000,MATCH($F112,임대자산!$I$3:$I$3000,0),MATCH(L$4,임대자산!$D$3:$R$3,0)),
IF($D112="폐업",INDEX(폐업정보!$D$3:$R$3000,MATCH($F112,폐업정보!$I$3:$I$3000,0),MATCH(L$4,폐업정보!$D$3:$R$3,0)),
"Error"))</f>
        <v>D0107</v>
      </c>
      <c r="M112" s="76" t="s">
        <v>96</v>
      </c>
      <c r="N112" s="77"/>
      <c r="O112" s="78" t="s">
        <v>97</v>
      </c>
      <c r="P112" s="79" t="n">
        <f aca="false">COUNTIFS(임대자산!$I:$I,가맹점정보!F112,임대자산!$N:$N,가맹점정보!P$4)</f>
        <v>1</v>
      </c>
      <c r="Q112" s="80" t="n">
        <f aca="false">COUNTIFS(임대자산!$I:$I,가맹점정보!F112,임대자산!$N:$N,가맹점정보!Q$4)</f>
        <v>0</v>
      </c>
      <c r="R112" s="81" t="n">
        <f aca="false">COUNTIFS(임대자산!$I:$I,가맹점정보!F112,임대자산!$N:$N,가맹점정보!R$4)</f>
        <v>0</v>
      </c>
      <c r="S112" s="82" t="n">
        <v>55000</v>
      </c>
      <c r="T112" s="83" t="n">
        <v>0</v>
      </c>
      <c r="U112" s="80" t="n">
        <f aca="false">SUM(S112:T112)</f>
        <v>55000</v>
      </c>
      <c r="V112" s="84" t="s">
        <v>7</v>
      </c>
      <c r="W112" s="80" t="str">
        <f aca="true">
IF(D112="폐업","폐업",
IF(V112="면제","면제",
IF(AND(V112="정상",COUNTIFS(OFFSET(Y112,0,COUNTA(Y112:AV112)-1,1,-4),"미납")&gt;=3),"장기미납",
IF(AND(V112="정상",OFFSET(Y112,0,COUNTA(Y112:AV112)-1)&gt;=U112),"정상",
IF(AND(V112="정상",OFFSET(Y112,0,COUNTA(Y112:AV112)-1)=0),"정상",
"계약서 미작성")))))</f>
        <v>면제</v>
      </c>
      <c r="X112" s="81" t="str">
        <f aca="true">
IF(D112="폐업","폐업",
IF(AND(V112="정상",OFFSET(Y112,0,COUNTA(Y112:AV112)-1)="미납"),"미납",
IF(AND(V112="정상",OFFSET(Y112,0,COUNTA(Y112:AV112)-1)=0),"납부 시작 전",
IF(AND(V112="정상",OFFSET(Y112,0,COUNTA(Y112:AV112)-1)&gt;=U112),"정상",
IF(AND(V112="면제",OFFSET(Y112,0,COUNTA(Y112:AV112)-1)="면제"),"면제",
IF(AND(V112="면제",OFFSET(Y112,0,COUNTA(Y112:AV112)-1)=0),"면제",
"확인요청"))))))</f>
        <v>면제</v>
      </c>
      <c r="Y112" s="94" t="s">
        <v>7</v>
      </c>
      <c r="Z112" s="95" t="s">
        <v>7</v>
      </c>
      <c r="AA112" s="95" t="s">
        <v>7</v>
      </c>
      <c r="AB112" s="95" t="s">
        <v>7</v>
      </c>
      <c r="AC112" s="95" t="s">
        <v>7</v>
      </c>
      <c r="AD112" s="95" t="s">
        <v>7</v>
      </c>
      <c r="AE112" s="95" t="s">
        <v>7</v>
      </c>
      <c r="AF112" s="95" t="s">
        <v>7</v>
      </c>
      <c r="AG112" s="95" t="s">
        <v>7</v>
      </c>
      <c r="AH112" s="95" t="s">
        <v>7</v>
      </c>
      <c r="AI112" s="95" t="s">
        <v>7</v>
      </c>
      <c r="AJ112" s="96" t="s">
        <v>7</v>
      </c>
      <c r="AK112" s="97" t="s">
        <v>7</v>
      </c>
      <c r="AL112" s="95" t="s">
        <v>7</v>
      </c>
      <c r="AM112" s="90"/>
      <c r="AN112" s="90"/>
      <c r="AO112" s="90"/>
      <c r="AP112" s="90"/>
      <c r="AQ112" s="90"/>
      <c r="AR112" s="90"/>
      <c r="AS112" s="90"/>
      <c r="AT112" s="90"/>
      <c r="AU112" s="90"/>
      <c r="AV112" s="91"/>
      <c r="AX112" s="92"/>
    </row>
    <row r="113" customFormat="false" ht="15.65" hidden="false" customHeight="false" outlineLevel="0" collapsed="false">
      <c r="C113" s="72" t="n">
        <f aca="false">COUNTIFS($D$6:D113,"&lt;&gt;"&amp;"")</f>
        <v>108</v>
      </c>
      <c r="D113" s="73" t="s">
        <v>12</v>
      </c>
      <c r="E113" s="76" t="str">
        <f aca="false">
IF($D113="정상",INDEX(임대자산!$D$3:$R$3000,MATCH($F113,임대자산!$I$3:$I$3000,0),MATCH(E$3,임대자산!$D$3:$R$3,0)),
IF($D113="폐업",INDEX(폐업정보!$D$3:$R$3000,MATCH($F113,폐업정보!$I$3:$I$3000,0),MATCH(E$3,폐업정보!$D$3:$R$3,0)),
"Error"))</f>
        <v>전라</v>
      </c>
      <c r="F11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B0108</v>
      </c>
      <c r="G113" s="76" t="str">
        <f aca="false">F113&amp;RANDBETWEEN(0,10)</f>
        <v>B01080</v>
      </c>
      <c r="H113" s="75" t="n">
        <f aca="false">
IF($D113="정상",INDEX(임대자산!$D$3:$R$3000,MATCH($F113,임대자산!$I$3:$I$3000,0),MATCH(H$4,임대자산!$D$3:$R$3,0)),
IF($D113="폐업",INDEX(폐업정보!$D$3:$R$3000,MATCH($F113,폐업정보!$I$3:$I$3000,0),MATCH(H$4,폐업정보!$D$3:$R$3,0)),
"Error"))</f>
        <v>42781</v>
      </c>
      <c r="I113" s="75" t="str">
        <f aca="false">
IF($D113="정상",INDEX(임대자산!$D$3:$R$3000,MATCH($F113,임대자산!$I$3:$I$3000,0),MATCH(I$4,임대자산!$D$3:$R$3,0)),
IF($D113="폐업",INDEX(폐업정보!$D$3:$R$3000,MATCH($F113,폐업정보!$I$3:$I$3000,0),MATCH(I$4,폐업정보!$D$3:$R$3,0)),
"Error"))</f>
        <v>A0108</v>
      </c>
      <c r="J113" s="75" t="str">
        <f aca="false">
IF($D113="정상",INDEX(임대자산!$D$3:$R$3000,MATCH($F113,임대자산!$I$3:$I$3000,0),MATCH(J$4,임대자산!$D$3:$R$3,0)),
IF($D113="폐업",INDEX(폐업정보!$D$3:$R$3000,MATCH($F113,폐업정보!$I$3:$I$3000,0),MATCH(J$4,폐업정보!$D$3:$R$3,0)),
"Error"))</f>
        <v>3818100000</v>
      </c>
      <c r="K113" s="75" t="str">
        <f aca="false">
IF($D113="정상",INDEX(임대자산!$D$3:$R$3000,MATCH($F113,임대자산!$I$3:$I$3000,0),MATCH(K$4,임대자산!$D$3:$R$3,0)),
IF($D113="폐업",INDEX(폐업정보!$D$3:$R$3000,MATCH($F113,폐업정보!$I$3:$I$3000,0),MATCH(K$4,폐업정보!$D$3:$R$3,0)),
"Error"))</f>
        <v>C0108</v>
      </c>
      <c r="L113" s="75" t="str">
        <f aca="false">
IF($D113="정상",INDEX(임대자산!$D$3:$R$3000,MATCH($F113,임대자산!$I$3:$I$3000,0),MATCH(L$4,임대자산!$D$3:$R$3,0)),
IF($D113="폐업",INDEX(폐업정보!$D$3:$R$3000,MATCH($F113,폐업정보!$I$3:$I$3000,0),MATCH(L$4,폐업정보!$D$3:$R$3,0)),
"Error"))</f>
        <v>D0108</v>
      </c>
      <c r="M113" s="76" t="s">
        <v>96</v>
      </c>
      <c r="N113" s="77"/>
      <c r="O113" s="78" t="s">
        <v>97</v>
      </c>
      <c r="P113" s="79" t="n">
        <f aca="false">COUNTIFS(임대자산!$I:$I,가맹점정보!F113,임대자산!$N:$N,가맹점정보!P$4)</f>
        <v>1</v>
      </c>
      <c r="Q113" s="80" t="n">
        <f aca="false">COUNTIFS(임대자산!$I:$I,가맹점정보!F113,임대자산!$N:$N,가맹점정보!Q$4)</f>
        <v>0</v>
      </c>
      <c r="R113" s="81" t="n">
        <f aca="false">COUNTIFS(임대자산!$I:$I,가맹점정보!F113,임대자산!$N:$N,가맹점정보!R$4)</f>
        <v>0</v>
      </c>
      <c r="S113" s="82" t="n">
        <v>55000</v>
      </c>
      <c r="T113" s="83" t="n">
        <v>0</v>
      </c>
      <c r="U113" s="80" t="n">
        <f aca="false">SUM(S113:T113)</f>
        <v>55000</v>
      </c>
      <c r="V113" s="84" t="s">
        <v>12</v>
      </c>
      <c r="W113" s="80" t="e">
        <f aca="true">
IF(D113="폐업","폐업",
IF(V113="면제","면제",
IF(AND(V113="정상",COUNTIFS(OFFSET(Y113,0,COUNTA(Y113:AV113)-1,1,-4),"미납")&gt;=3),"장기미납",
IF(AND(V113="정상",OFFSET(Y113,0,COUNTA(Y113:AV113)-1)&gt;=U113),"정상",
IF(AND(V113="정상",OFFSET(Y113,0,COUNTA(Y113:AV113)-1)=0),"정상",
"계약서 미작성")))))</f>
        <v>#VALUE!</v>
      </c>
      <c r="X113" s="81" t="str">
        <f aca="true">
IF(D113="폐업","폐업",
IF(AND(V113="정상",OFFSET(Y113,0,COUNTA(Y113:AV113)-1)="미납"),"미납",
IF(AND(V113="정상",OFFSET(Y113,0,COUNTA(Y113:AV113)-1)=0),"납부 시작 전",
IF(AND(V113="정상",OFFSET(Y113,0,COUNTA(Y113:AV113)-1)&gt;=U113),"정상",
IF(AND(V113="면제",OFFSET(Y113,0,COUNTA(Y113:AV113)-1)="면제"),"면제",
IF(AND(V113="면제",OFFSET(Y113,0,COUNTA(Y113:AV113)-1)=0),"면제",
"확인요청"))))))</f>
        <v>정상</v>
      </c>
      <c r="Y113" s="93" t="n">
        <v>55000</v>
      </c>
      <c r="Z113" s="90" t="n">
        <v>55000</v>
      </c>
      <c r="AA113" s="90" t="n">
        <v>55000</v>
      </c>
      <c r="AB113" s="90" t="n">
        <v>55000</v>
      </c>
      <c r="AC113" s="90" t="n">
        <v>55000</v>
      </c>
      <c r="AD113" s="90" t="n">
        <v>55000</v>
      </c>
      <c r="AE113" s="90" t="n">
        <v>55000</v>
      </c>
      <c r="AF113" s="90" t="n">
        <v>55000</v>
      </c>
      <c r="AG113" s="90" t="n">
        <v>55000</v>
      </c>
      <c r="AH113" s="90" t="n">
        <v>55000</v>
      </c>
      <c r="AI113" s="90" t="n">
        <v>55000</v>
      </c>
      <c r="AJ113" s="91" t="n">
        <v>55000</v>
      </c>
      <c r="AK113" s="89" t="n">
        <v>55000</v>
      </c>
      <c r="AL113" s="90" t="n">
        <v>55000</v>
      </c>
      <c r="AM113" s="90"/>
      <c r="AN113" s="90"/>
      <c r="AO113" s="90"/>
      <c r="AP113" s="90"/>
      <c r="AQ113" s="90"/>
      <c r="AR113" s="90"/>
      <c r="AS113" s="90"/>
      <c r="AT113" s="90"/>
      <c r="AU113" s="90"/>
      <c r="AV113" s="91"/>
      <c r="AX113" s="92"/>
    </row>
    <row r="114" customFormat="false" ht="15.65" hidden="false" customHeight="false" outlineLevel="0" collapsed="false">
      <c r="C114" s="72" t="n">
        <f aca="false">COUNTIFS($D$6:D114,"&lt;&gt;"&amp;"")</f>
        <v>109</v>
      </c>
      <c r="D114" s="73" t="s">
        <v>12</v>
      </c>
      <c r="E114" s="76" t="str">
        <f aca="false">
IF($D114="정상",INDEX(임대자산!$D$3:$R$3000,MATCH($F114,임대자산!$I$3:$I$3000,0),MATCH(E$3,임대자산!$D$3:$R$3,0)),
IF($D114="폐업",INDEX(폐업정보!$D$3:$R$3000,MATCH($F114,폐업정보!$I$3:$I$3000,0),MATCH(E$3,폐업정보!$D$3:$R$3,0)),
"Error"))</f>
        <v>전라</v>
      </c>
      <c r="F11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B0109</v>
      </c>
      <c r="G114" s="76" t="str">
        <f aca="false">F114&amp;RANDBETWEEN(0,10)</f>
        <v>B01095</v>
      </c>
      <c r="H114" s="75" t="n">
        <f aca="false">
IF($D114="정상",INDEX(임대자산!$D$3:$R$3000,MATCH($F114,임대자산!$I$3:$I$3000,0),MATCH(H$4,임대자산!$D$3:$R$3,0)),
IF($D114="폐업",INDEX(폐업정보!$D$3:$R$3000,MATCH($F114,폐업정보!$I$3:$I$3000,0),MATCH(H$4,폐업정보!$D$3:$R$3,0)),
"Error"))</f>
        <v>44109</v>
      </c>
      <c r="I114" s="75" t="str">
        <f aca="false">
IF($D114="정상",INDEX(임대자산!$D$3:$R$3000,MATCH($F114,임대자산!$I$3:$I$3000,0),MATCH(I$4,임대자산!$D$3:$R$3,0)),
IF($D114="폐업",INDEX(폐업정보!$D$3:$R$3000,MATCH($F114,폐업정보!$I$3:$I$3000,0),MATCH(I$4,폐업정보!$D$3:$R$3,0)),
"Error"))</f>
        <v>A0109</v>
      </c>
      <c r="J114" s="75" t="str">
        <f aca="false">
IF($D114="정상",INDEX(임대자산!$D$3:$R$3000,MATCH($F114,임대자산!$I$3:$I$3000,0),MATCH(J$4,임대자산!$D$3:$R$3,0)),
IF($D114="폐업",INDEX(폐업정보!$D$3:$R$3000,MATCH($F114,폐업정보!$I$3:$I$3000,0),MATCH(J$4,폐업정보!$D$3:$R$3,0)),
"Error"))</f>
        <v>3610300000</v>
      </c>
      <c r="K114" s="75" t="str">
        <f aca="false">
IF($D114="정상",INDEX(임대자산!$D$3:$R$3000,MATCH($F114,임대자산!$I$3:$I$3000,0),MATCH(K$4,임대자산!$D$3:$R$3,0)),
IF($D114="폐업",INDEX(폐업정보!$D$3:$R$3000,MATCH($F114,폐업정보!$I$3:$I$3000,0),MATCH(K$4,폐업정보!$D$3:$R$3,0)),
"Error"))</f>
        <v>C0109</v>
      </c>
      <c r="L114" s="75" t="str">
        <f aca="false">
IF($D114="정상",INDEX(임대자산!$D$3:$R$3000,MATCH($F114,임대자산!$I$3:$I$3000,0),MATCH(L$4,임대자산!$D$3:$R$3,0)),
IF($D114="폐업",INDEX(폐업정보!$D$3:$R$3000,MATCH($F114,폐업정보!$I$3:$I$3000,0),MATCH(L$4,폐업정보!$D$3:$R$3,0)),
"Error"))</f>
        <v>D0109</v>
      </c>
      <c r="M114" s="76" t="s">
        <v>96</v>
      </c>
      <c r="N114" s="77"/>
      <c r="O114" s="78" t="s">
        <v>97</v>
      </c>
      <c r="P114" s="79" t="n">
        <f aca="false">COUNTIFS(임대자산!$I:$I,가맹점정보!F114,임대자산!$N:$N,가맹점정보!P$4)</f>
        <v>1</v>
      </c>
      <c r="Q114" s="80" t="n">
        <f aca="false">COUNTIFS(임대자산!$I:$I,가맹점정보!F114,임대자산!$N:$N,가맹점정보!Q$4)</f>
        <v>0</v>
      </c>
      <c r="R114" s="81" t="n">
        <f aca="false">COUNTIFS(임대자산!$I:$I,가맹점정보!F114,임대자산!$N:$N,가맹점정보!R$4)</f>
        <v>0</v>
      </c>
      <c r="S114" s="82" t="n">
        <v>55000</v>
      </c>
      <c r="T114" s="83" t="n">
        <v>0</v>
      </c>
      <c r="U114" s="80" t="n">
        <f aca="false">SUM(S114:T114)</f>
        <v>55000</v>
      </c>
      <c r="V114" s="84" t="s">
        <v>12</v>
      </c>
      <c r="W114" s="80" t="e">
        <f aca="true">
IF(D114="폐업","폐업",
IF(V114="면제","면제",
IF(AND(V114="정상",COUNTIFS(OFFSET(Y114,0,COUNTA(Y114:AV114)-1,1,-4),"미납")&gt;=3),"장기미납",
IF(AND(V114="정상",OFFSET(Y114,0,COUNTA(Y114:AV114)-1)&gt;=U114),"정상",
IF(AND(V114="정상",OFFSET(Y114,0,COUNTA(Y114:AV114)-1)=0),"정상",
"계약서 미작성")))))</f>
        <v>#VALUE!</v>
      </c>
      <c r="X114" s="81" t="str">
        <f aca="true">
IF(D114="폐업","폐업",
IF(AND(V114="정상",OFFSET(Y114,0,COUNTA(Y114:AV114)-1)="미납"),"미납",
IF(AND(V114="정상",OFFSET(Y114,0,COUNTA(Y114:AV114)-1)=0),"납부 시작 전",
IF(AND(V114="정상",OFFSET(Y114,0,COUNTA(Y114:AV114)-1)&gt;=U114),"정상",
IF(AND(V114="면제",OFFSET(Y114,0,COUNTA(Y114:AV114)-1)="면제"),"면제",
IF(AND(V114="면제",OFFSET(Y114,0,COUNTA(Y114:AV114)-1)=0),"면제",
"확인요청"))))))</f>
        <v>정상</v>
      </c>
      <c r="Y114" s="93" t="n">
        <v>55000</v>
      </c>
      <c r="Z114" s="90" t="n">
        <v>55000</v>
      </c>
      <c r="AA114" s="90" t="n">
        <v>55000</v>
      </c>
      <c r="AB114" s="90" t="n">
        <v>55000</v>
      </c>
      <c r="AC114" s="90" t="n">
        <v>55000</v>
      </c>
      <c r="AD114" s="90" t="n">
        <v>55000</v>
      </c>
      <c r="AE114" s="90" t="n">
        <v>55000</v>
      </c>
      <c r="AF114" s="90" t="n">
        <v>55000</v>
      </c>
      <c r="AG114" s="90" t="n">
        <v>55000</v>
      </c>
      <c r="AH114" s="90" t="n">
        <v>55000</v>
      </c>
      <c r="AI114" s="90" t="n">
        <v>55000</v>
      </c>
      <c r="AJ114" s="91" t="n">
        <v>55000</v>
      </c>
      <c r="AK114" s="89" t="n">
        <v>55000</v>
      </c>
      <c r="AL114" s="90" t="n">
        <v>55000</v>
      </c>
      <c r="AM114" s="90"/>
      <c r="AN114" s="90"/>
      <c r="AO114" s="90"/>
      <c r="AP114" s="90"/>
      <c r="AQ114" s="90"/>
      <c r="AR114" s="90"/>
      <c r="AS114" s="90"/>
      <c r="AT114" s="90"/>
      <c r="AU114" s="90"/>
      <c r="AV114" s="91"/>
      <c r="AX114" s="92"/>
    </row>
    <row r="115" customFormat="false" ht="15.65" hidden="false" customHeight="false" outlineLevel="0" collapsed="false">
      <c r="C115" s="72" t="n">
        <f aca="false">COUNTIFS($D$6:D115,"&lt;&gt;"&amp;"")</f>
        <v>110</v>
      </c>
      <c r="D115" s="73" t="s">
        <v>5</v>
      </c>
      <c r="E115" s="76" t="str">
        <f aca="false">
IF($D115="정상",INDEX(임대자산!$D$3:$R$3000,MATCH($F115,임대자산!$I$3:$I$3000,0),MATCH(E$3,임대자산!$D$3:$R$3,0)),
IF($D115="폐업",INDEX(폐업정보!$D$3:$R$3000,MATCH($F115,폐업정보!$I$3:$I$3000,0),MATCH(E$3,폐업정보!$D$3:$R$3,0)),
"Error"))</f>
        <v>전라</v>
      </c>
      <c r="F11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B0110</v>
      </c>
      <c r="G115" s="76" t="str">
        <f aca="false">F115&amp;RANDBETWEEN(0,10)</f>
        <v>B01102</v>
      </c>
      <c r="H115" s="75" t="n">
        <f aca="false">
IF($D115="정상",INDEX(임대자산!$D$3:$R$3000,MATCH($F115,임대자산!$I$3:$I$3000,0),MATCH(H$4,임대자산!$D$3:$R$3,0)),
IF($D115="폐업",INDEX(폐업정보!$D$3:$R$3000,MATCH($F115,폐업정보!$I$3:$I$3000,0),MATCH(H$4,폐업정보!$D$3:$R$3,0)),
"Error"))</f>
        <v>44109</v>
      </c>
      <c r="I115" s="75" t="str">
        <f aca="false">
IF($D115="정상",INDEX(임대자산!$D$3:$R$3000,MATCH($F115,임대자산!$I$3:$I$3000,0),MATCH(I$4,임대자산!$D$3:$R$3,0)),
IF($D115="폐업",INDEX(폐업정보!$D$3:$R$3000,MATCH($F115,폐업정보!$I$3:$I$3000,0),MATCH(I$4,폐업정보!$D$3:$R$3,0)),
"Error"))</f>
        <v>A0110</v>
      </c>
      <c r="J115" s="75" t="str">
        <f aca="false">
IF($D115="정상",INDEX(임대자산!$D$3:$R$3000,MATCH($F115,임대자산!$I$3:$I$3000,0),MATCH(J$4,임대자산!$D$3:$R$3,0)),
IF($D115="폐업",INDEX(폐업정보!$D$3:$R$3000,MATCH($F115,폐업정보!$I$3:$I$3000,0),MATCH(J$4,폐업정보!$D$3:$R$3,0)),
"Error"))</f>
        <v>8176400000</v>
      </c>
      <c r="K115" s="75" t="str">
        <f aca="false">
IF($D115="정상",INDEX(임대자산!$D$3:$R$3000,MATCH($F115,임대자산!$I$3:$I$3000,0),MATCH(K$4,임대자산!$D$3:$R$3,0)),
IF($D115="폐업",INDEX(폐업정보!$D$3:$R$3000,MATCH($F115,폐업정보!$I$3:$I$3000,0),MATCH(K$4,폐업정보!$D$3:$R$3,0)),
"Error"))</f>
        <v>C0110</v>
      </c>
      <c r="L115" s="75" t="str">
        <f aca="false">
IF($D115="정상",INDEX(임대자산!$D$3:$R$3000,MATCH($F115,임대자산!$I$3:$I$3000,0),MATCH(L$4,임대자산!$D$3:$R$3,0)),
IF($D115="폐업",INDEX(폐업정보!$D$3:$R$3000,MATCH($F115,폐업정보!$I$3:$I$3000,0),MATCH(L$4,폐업정보!$D$3:$R$3,0)),
"Error"))</f>
        <v>D0110</v>
      </c>
      <c r="M115" s="76" t="s">
        <v>96</v>
      </c>
      <c r="N115" s="77"/>
      <c r="O115" s="78" t="s">
        <v>97</v>
      </c>
      <c r="P115" s="79" t="n">
        <f aca="false">COUNTIFS(임대자산!$I:$I,가맹점정보!F115,임대자산!$N:$N,가맹점정보!P$4)</f>
        <v>0</v>
      </c>
      <c r="Q115" s="80" t="n">
        <f aca="false">COUNTIFS(임대자산!$I:$I,가맹점정보!F115,임대자산!$N:$N,가맹점정보!Q$4)</f>
        <v>0</v>
      </c>
      <c r="R115" s="81" t="n">
        <f aca="false">COUNTIFS(임대자산!$I:$I,가맹점정보!F115,임대자산!$N:$N,가맹점정보!R$4)</f>
        <v>0</v>
      </c>
      <c r="S115" s="82" t="n">
        <v>55000</v>
      </c>
      <c r="T115" s="83" t="n">
        <v>0</v>
      </c>
      <c r="U115" s="80" t="n">
        <f aca="false">SUM(S115:T115)</f>
        <v>55000</v>
      </c>
      <c r="V115" s="84" t="s">
        <v>12</v>
      </c>
      <c r="W115" s="80" t="str">
        <f aca="true">
IF(D115="폐업","폐업",
IF(V115="면제","면제",
IF(AND(V115="정상",COUNTIFS(OFFSET(Y115,0,COUNTA(Y115:AV115)-1,1,-4),"미납")&gt;=3),"장기미납",
IF(AND(V115="정상",OFFSET(Y115,0,COUNTA(Y115:AV115)-1)&gt;=U115),"정상",
IF(AND(V115="정상",OFFSET(Y115,0,COUNTA(Y115:AV115)-1)=0),"정상",
"계약서 미작성")))))</f>
        <v>폐업</v>
      </c>
      <c r="X115" s="81" t="str">
        <f aca="true">
IF(D115="폐업","폐업",
IF(AND(V115="정상",OFFSET(Y115,0,COUNTA(Y115:AV115)-1)="미납"),"미납",
IF(AND(V115="정상",OFFSET(Y115,0,COUNTA(Y115:AV115)-1)=0),"납부 시작 전",
IF(AND(V115="정상",OFFSET(Y115,0,COUNTA(Y115:AV115)-1)&gt;=U115),"정상",
IF(AND(V115="면제",OFFSET(Y115,0,COUNTA(Y115:AV115)-1)="면제"),"면제",
IF(AND(V115="면제",OFFSET(Y115,0,COUNTA(Y115:AV115)-1)=0),"면제",
"확인요청"))))))</f>
        <v>폐업</v>
      </c>
      <c r="Y115" s="93" t="n">
        <v>55000</v>
      </c>
      <c r="Z115" s="90" t="n">
        <v>55000</v>
      </c>
      <c r="AA115" s="90" t="n">
        <v>55000</v>
      </c>
      <c r="AB115" s="90" t="n">
        <v>55000</v>
      </c>
      <c r="AC115" s="90" t="n">
        <v>55000</v>
      </c>
      <c r="AD115" s="90" t="n">
        <v>55000</v>
      </c>
      <c r="AE115" s="90" t="n">
        <v>55000</v>
      </c>
      <c r="AF115" s="90" t="n">
        <v>55000</v>
      </c>
      <c r="AG115" s="90" t="n">
        <v>55000</v>
      </c>
      <c r="AH115" s="90" t="n">
        <v>55000</v>
      </c>
      <c r="AI115" s="90" t="n">
        <v>55000</v>
      </c>
      <c r="AJ115" s="91" t="n">
        <v>55000</v>
      </c>
      <c r="AK115" s="89" t="n">
        <v>55000</v>
      </c>
      <c r="AL115" s="90" t="n">
        <v>55000</v>
      </c>
      <c r="AM115" s="90"/>
      <c r="AN115" s="90"/>
      <c r="AO115" s="90"/>
      <c r="AP115" s="90"/>
      <c r="AQ115" s="90"/>
      <c r="AR115" s="90"/>
      <c r="AS115" s="90"/>
      <c r="AT115" s="90"/>
      <c r="AU115" s="90"/>
      <c r="AV115" s="91"/>
      <c r="AX115" s="92"/>
    </row>
    <row r="116" customFormat="false" ht="15.65" hidden="false" customHeight="false" outlineLevel="0" collapsed="false">
      <c r="C116" s="72" t="n">
        <f aca="false">COUNTIFS($D$6:D116,"&lt;&gt;"&amp;"")</f>
        <v>111</v>
      </c>
      <c r="D116" s="73" t="s">
        <v>12</v>
      </c>
      <c r="E116" s="76" t="str">
        <f aca="false">
IF($D116="정상",INDEX(임대자산!$D$3:$R$3000,MATCH($F116,임대자산!$I$3:$I$3000,0),MATCH(E$3,임대자산!$D$3:$R$3,0)),
IF($D116="폐업",INDEX(폐업정보!$D$3:$R$3000,MATCH($F116,폐업정보!$I$3:$I$3000,0),MATCH(E$3,폐업정보!$D$3:$R$3,0)),
"Error"))</f>
        <v>전라</v>
      </c>
      <c r="F11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B0111</v>
      </c>
      <c r="G116" s="76" t="str">
        <f aca="false">F116&amp;RANDBETWEEN(0,10)</f>
        <v>B01118</v>
      </c>
      <c r="H116" s="75" t="n">
        <f aca="false">
IF($D116="정상",INDEX(임대자산!$D$3:$R$3000,MATCH($F116,임대자산!$I$3:$I$3000,0),MATCH(H$4,임대자산!$D$3:$R$3,0)),
IF($D116="폐업",INDEX(폐업정보!$D$3:$R$3000,MATCH($F116,폐업정보!$I$3:$I$3000,0),MATCH(H$4,폐업정보!$D$3:$R$3,0)),
"Error"))</f>
        <v>43363</v>
      </c>
      <c r="I116" s="75" t="str">
        <f aca="false">
IF($D116="정상",INDEX(임대자산!$D$3:$R$3000,MATCH($F116,임대자산!$I$3:$I$3000,0),MATCH(I$4,임대자산!$D$3:$R$3,0)),
IF($D116="폐업",INDEX(폐업정보!$D$3:$R$3000,MATCH($F116,폐업정보!$I$3:$I$3000,0),MATCH(I$4,폐업정보!$D$3:$R$3,0)),
"Error"))</f>
        <v>A0111</v>
      </c>
      <c r="J116" s="75" t="str">
        <f aca="false">
IF($D116="정상",INDEX(임대자산!$D$3:$R$3000,MATCH($F116,임대자산!$I$3:$I$3000,0),MATCH(J$4,임대자산!$D$3:$R$3,0)),
IF($D116="폐업",INDEX(폐업정보!$D$3:$R$3000,MATCH($F116,폐업정보!$I$3:$I$3000,0),MATCH(J$4,폐업정보!$D$3:$R$3,0)),
"Error"))</f>
        <v>5079700000</v>
      </c>
      <c r="K116" s="75" t="str">
        <f aca="false">
IF($D116="정상",INDEX(임대자산!$D$3:$R$3000,MATCH($F116,임대자산!$I$3:$I$3000,0),MATCH(K$4,임대자산!$D$3:$R$3,0)),
IF($D116="폐업",INDEX(폐업정보!$D$3:$R$3000,MATCH($F116,폐업정보!$I$3:$I$3000,0),MATCH(K$4,폐업정보!$D$3:$R$3,0)),
"Error"))</f>
        <v>C0111</v>
      </c>
      <c r="L116" s="75" t="str">
        <f aca="false">
IF($D116="정상",INDEX(임대자산!$D$3:$R$3000,MATCH($F116,임대자산!$I$3:$I$3000,0),MATCH(L$4,임대자산!$D$3:$R$3,0)),
IF($D116="폐업",INDEX(폐업정보!$D$3:$R$3000,MATCH($F116,폐업정보!$I$3:$I$3000,0),MATCH(L$4,폐업정보!$D$3:$R$3,0)),
"Error"))</f>
        <v>D0111</v>
      </c>
      <c r="M116" s="76" t="s">
        <v>96</v>
      </c>
      <c r="N116" s="77"/>
      <c r="O116" s="78" t="s">
        <v>97</v>
      </c>
      <c r="P116" s="79" t="n">
        <f aca="false">COUNTIFS(임대자산!$I:$I,가맹점정보!F116,임대자산!$N:$N,가맹점정보!P$4)</f>
        <v>1</v>
      </c>
      <c r="Q116" s="80" t="n">
        <f aca="false">COUNTIFS(임대자산!$I:$I,가맹점정보!F116,임대자산!$N:$N,가맹점정보!Q$4)</f>
        <v>0</v>
      </c>
      <c r="R116" s="81" t="n">
        <f aca="false">COUNTIFS(임대자산!$I:$I,가맹점정보!F116,임대자산!$N:$N,가맹점정보!R$4)</f>
        <v>0</v>
      </c>
      <c r="S116" s="82" t="n">
        <v>55000</v>
      </c>
      <c r="T116" s="83" t="n">
        <v>0</v>
      </c>
      <c r="U116" s="80" t="n">
        <f aca="false">SUM(S116:T116)</f>
        <v>55000</v>
      </c>
      <c r="V116" s="84" t="s">
        <v>12</v>
      </c>
      <c r="W116" s="80" t="e">
        <f aca="true">
IF(D116="폐업","폐업",
IF(V116="면제","면제",
IF(AND(V116="정상",COUNTIFS(OFFSET(Y116,0,COUNTA(Y116:AV116)-1,1,-4),"미납")&gt;=3),"장기미납",
IF(AND(V116="정상",OFFSET(Y116,0,COUNTA(Y116:AV116)-1)&gt;=U116),"정상",
IF(AND(V116="정상",OFFSET(Y116,0,COUNTA(Y116:AV116)-1)=0),"정상",
"계약서 미작성")))))</f>
        <v>#VALUE!</v>
      </c>
      <c r="X116" s="81" t="str">
        <f aca="true">
IF(D116="폐업","폐업",
IF(AND(V116="정상",OFFSET(Y116,0,COUNTA(Y116:AV116)-1)="미납"),"미납",
IF(AND(V116="정상",OFFSET(Y116,0,COUNTA(Y116:AV116)-1)=0),"납부 시작 전",
IF(AND(V116="정상",OFFSET(Y116,0,COUNTA(Y116:AV116)-1)&gt;=U116),"정상",
IF(AND(V116="면제",OFFSET(Y116,0,COUNTA(Y116:AV116)-1)="면제"),"면제",
IF(AND(V116="면제",OFFSET(Y116,0,COUNTA(Y116:AV116)-1)=0),"면제",
"확인요청"))))))</f>
        <v>정상</v>
      </c>
      <c r="Y116" s="93" t="n">
        <v>55000</v>
      </c>
      <c r="Z116" s="90" t="n">
        <v>55000</v>
      </c>
      <c r="AA116" s="90" t="n">
        <v>55000</v>
      </c>
      <c r="AB116" s="90" t="n">
        <v>55000</v>
      </c>
      <c r="AC116" s="90" t="n">
        <v>55000</v>
      </c>
      <c r="AD116" s="90" t="n">
        <v>55000</v>
      </c>
      <c r="AE116" s="90" t="n">
        <v>55000</v>
      </c>
      <c r="AF116" s="90" t="n">
        <v>55000</v>
      </c>
      <c r="AG116" s="90" t="n">
        <v>55000</v>
      </c>
      <c r="AH116" s="90" t="n">
        <v>55000</v>
      </c>
      <c r="AI116" s="90" t="n">
        <v>55000</v>
      </c>
      <c r="AJ116" s="91" t="n">
        <v>55000</v>
      </c>
      <c r="AK116" s="89" t="n">
        <v>55000</v>
      </c>
      <c r="AL116" s="90" t="n">
        <v>55000</v>
      </c>
      <c r="AM116" s="90"/>
      <c r="AN116" s="90"/>
      <c r="AO116" s="90"/>
      <c r="AP116" s="90"/>
      <c r="AQ116" s="90"/>
      <c r="AR116" s="90"/>
      <c r="AS116" s="90"/>
      <c r="AT116" s="90"/>
      <c r="AU116" s="90"/>
      <c r="AV116" s="91"/>
      <c r="AX116" s="92"/>
    </row>
    <row r="117" customFormat="false" ht="15.65" hidden="false" customHeight="false" outlineLevel="0" collapsed="false">
      <c r="C117" s="72" t="n">
        <f aca="false">COUNTIFS($D$6:D117,"&lt;&gt;"&amp;"")</f>
        <v>112</v>
      </c>
      <c r="D117" s="73" t="s">
        <v>12</v>
      </c>
      <c r="E117" s="76" t="str">
        <f aca="false">
IF($D117="정상",INDEX(임대자산!$D$3:$R$3000,MATCH($F117,임대자산!$I$3:$I$3000,0),MATCH(E$3,임대자산!$D$3:$R$3,0)),
IF($D117="폐업",INDEX(폐업정보!$D$3:$R$3000,MATCH($F117,폐업정보!$I$3:$I$3000,0),MATCH(E$3,폐업정보!$D$3:$R$3,0)),
"Error"))</f>
        <v>서울</v>
      </c>
      <c r="F11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B0112</v>
      </c>
      <c r="G117" s="76" t="str">
        <f aca="false">F117&amp;RANDBETWEEN(0,10)</f>
        <v>B01127</v>
      </c>
      <c r="H117" s="75" t="n">
        <f aca="false">
IF($D117="정상",INDEX(임대자산!$D$3:$R$3000,MATCH($F117,임대자산!$I$3:$I$3000,0),MATCH(H$4,임대자산!$D$3:$R$3,0)),
IF($D117="폐업",INDEX(폐업정보!$D$3:$R$3000,MATCH($F117,폐업정보!$I$3:$I$3000,0),MATCH(H$4,폐업정보!$D$3:$R$3,0)),
"Error"))</f>
        <v>43060</v>
      </c>
      <c r="I117" s="75" t="str">
        <f aca="false">
IF($D117="정상",INDEX(임대자산!$D$3:$R$3000,MATCH($F117,임대자산!$I$3:$I$3000,0),MATCH(I$4,임대자산!$D$3:$R$3,0)),
IF($D117="폐업",INDEX(폐업정보!$D$3:$R$3000,MATCH($F117,폐업정보!$I$3:$I$3000,0),MATCH(I$4,폐업정보!$D$3:$R$3,0)),
"Error"))</f>
        <v>A0112</v>
      </c>
      <c r="J117" s="75" t="str">
        <f aca="false">
IF($D117="정상",INDEX(임대자산!$D$3:$R$3000,MATCH($F117,임대자산!$I$3:$I$3000,0),MATCH(J$4,임대자산!$D$3:$R$3,0)),
IF($D117="폐업",INDEX(폐업정보!$D$3:$R$3000,MATCH($F117,폐업정보!$I$3:$I$3000,0),MATCH(J$4,폐업정보!$D$3:$R$3,0)),
"Error"))</f>
        <v>1070600000</v>
      </c>
      <c r="K117" s="75" t="str">
        <f aca="false">
IF($D117="정상",INDEX(임대자산!$D$3:$R$3000,MATCH($F117,임대자산!$I$3:$I$3000,0),MATCH(K$4,임대자산!$D$3:$R$3,0)),
IF($D117="폐업",INDEX(폐업정보!$D$3:$R$3000,MATCH($F117,폐업정보!$I$3:$I$3000,0),MATCH(K$4,폐업정보!$D$3:$R$3,0)),
"Error"))</f>
        <v>C0112</v>
      </c>
      <c r="L117" s="75" t="str">
        <f aca="false">
IF($D117="정상",INDEX(임대자산!$D$3:$R$3000,MATCH($F117,임대자산!$I$3:$I$3000,0),MATCH(L$4,임대자산!$D$3:$R$3,0)),
IF($D117="폐업",INDEX(폐업정보!$D$3:$R$3000,MATCH($F117,폐업정보!$I$3:$I$3000,0),MATCH(L$4,폐업정보!$D$3:$R$3,0)),
"Error"))</f>
        <v>D0112</v>
      </c>
      <c r="M117" s="76" t="s">
        <v>96</v>
      </c>
      <c r="N117" s="77"/>
      <c r="O117" s="78" t="s">
        <v>97</v>
      </c>
      <c r="P117" s="79" t="n">
        <f aca="false">COUNTIFS(임대자산!$I:$I,가맹점정보!F117,임대자산!$N:$N,가맹점정보!P$4)</f>
        <v>1</v>
      </c>
      <c r="Q117" s="80" t="n">
        <f aca="false">COUNTIFS(임대자산!$I:$I,가맹점정보!F117,임대자산!$N:$N,가맹점정보!Q$4)</f>
        <v>0</v>
      </c>
      <c r="R117" s="81" t="n">
        <f aca="false">COUNTIFS(임대자산!$I:$I,가맹점정보!F117,임대자산!$N:$N,가맹점정보!R$4)</f>
        <v>0</v>
      </c>
      <c r="S117" s="82" t="n">
        <v>55000</v>
      </c>
      <c r="T117" s="83" t="n">
        <v>0</v>
      </c>
      <c r="U117" s="80" t="n">
        <f aca="false">SUM(S117:T117)</f>
        <v>55000</v>
      </c>
      <c r="V117" s="84" t="s">
        <v>12</v>
      </c>
      <c r="W117" s="80" t="e">
        <f aca="true">
IF(D117="폐업","폐업",
IF(V117="면제","면제",
IF(AND(V117="정상",COUNTIFS(OFFSET(Y117,0,COUNTA(Y117:AV117)-1,1,-4),"미납")&gt;=3),"장기미납",
IF(AND(V117="정상",OFFSET(Y117,0,COUNTA(Y117:AV117)-1)&gt;=U117),"정상",
IF(AND(V117="정상",OFFSET(Y117,0,COUNTA(Y117:AV117)-1)=0),"정상",
"계약서 미작성")))))</f>
        <v>#VALUE!</v>
      </c>
      <c r="X117" s="81" t="str">
        <f aca="true">
IF(D117="폐업","폐업",
IF(AND(V117="정상",OFFSET(Y117,0,COUNTA(Y117:AV117)-1)="미납"),"미납",
IF(AND(V117="정상",OFFSET(Y117,0,COUNTA(Y117:AV117)-1)=0),"납부 시작 전",
IF(AND(V117="정상",OFFSET(Y117,0,COUNTA(Y117:AV117)-1)&gt;=U117),"정상",
IF(AND(V117="면제",OFFSET(Y117,0,COUNTA(Y117:AV117)-1)="면제"),"면제",
IF(AND(V117="면제",OFFSET(Y117,0,COUNTA(Y117:AV117)-1)=0),"면제",
"확인요청"))))))</f>
        <v>정상</v>
      </c>
      <c r="Y117" s="93" t="n">
        <v>55000</v>
      </c>
      <c r="Z117" s="90" t="n">
        <v>55000</v>
      </c>
      <c r="AA117" s="90" t="n">
        <v>55000</v>
      </c>
      <c r="AB117" s="90" t="n">
        <v>55000</v>
      </c>
      <c r="AC117" s="90" t="n">
        <v>55000</v>
      </c>
      <c r="AD117" s="90" t="n">
        <v>55000</v>
      </c>
      <c r="AE117" s="90" t="n">
        <v>55000</v>
      </c>
      <c r="AF117" s="90" t="n">
        <v>55000</v>
      </c>
      <c r="AG117" s="90" t="n">
        <v>55000</v>
      </c>
      <c r="AH117" s="90" t="n">
        <v>55000</v>
      </c>
      <c r="AI117" s="90" t="n">
        <v>55000</v>
      </c>
      <c r="AJ117" s="91" t="n">
        <v>55000</v>
      </c>
      <c r="AK117" s="89" t="n">
        <v>55000</v>
      </c>
      <c r="AL117" s="90" t="n">
        <v>55000</v>
      </c>
      <c r="AM117" s="90"/>
      <c r="AN117" s="90"/>
      <c r="AO117" s="90"/>
      <c r="AP117" s="90"/>
      <c r="AQ117" s="90"/>
      <c r="AR117" s="90"/>
      <c r="AS117" s="90"/>
      <c r="AT117" s="90"/>
      <c r="AU117" s="90"/>
      <c r="AV117" s="91"/>
      <c r="AX117" s="92"/>
    </row>
    <row r="118" customFormat="false" ht="15.65" hidden="false" customHeight="false" outlineLevel="0" collapsed="false">
      <c r="C118" s="72" t="n">
        <f aca="false">COUNTIFS($D$6:D118,"&lt;&gt;"&amp;"")</f>
        <v>113</v>
      </c>
      <c r="D118" s="73" t="s">
        <v>12</v>
      </c>
      <c r="E118" s="76" t="str">
        <f aca="false">
IF($D118="정상",INDEX(임대자산!$D$3:$R$3000,MATCH($F118,임대자산!$I$3:$I$3000,0),MATCH(E$3,임대자산!$D$3:$R$3,0)),
IF($D118="폐업",INDEX(폐업정보!$D$3:$R$3000,MATCH($F118,폐업정보!$I$3:$I$3000,0),MATCH(E$3,폐업정보!$D$3:$R$3,0)),
"Error"))</f>
        <v>전라</v>
      </c>
      <c r="F11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B0113</v>
      </c>
      <c r="G118" s="76" t="str">
        <f aca="false">F118&amp;RANDBETWEEN(0,10)</f>
        <v>B01135</v>
      </c>
      <c r="H118" s="75" t="n">
        <f aca="false">
IF($D118="정상",INDEX(임대자산!$D$3:$R$3000,MATCH($F118,임대자산!$I$3:$I$3000,0),MATCH(H$4,임대자산!$D$3:$R$3,0)),
IF($D118="폐업",INDEX(폐업정보!$D$3:$R$3000,MATCH($F118,폐업정보!$I$3:$I$3000,0),MATCH(H$4,폐업정보!$D$3:$R$3,0)),
"Error"))</f>
        <v>42846</v>
      </c>
      <c r="I118" s="75" t="str">
        <f aca="false">
IF($D118="정상",INDEX(임대자산!$D$3:$R$3000,MATCH($F118,임대자산!$I$3:$I$3000,0),MATCH(I$4,임대자산!$D$3:$R$3,0)),
IF($D118="폐업",INDEX(폐업정보!$D$3:$R$3000,MATCH($F118,폐업정보!$I$3:$I$3000,0),MATCH(I$4,폐업정보!$D$3:$R$3,0)),
"Error"))</f>
        <v>A0113</v>
      </c>
      <c r="J118" s="75" t="str">
        <f aca="false">
IF($D118="정상",INDEX(임대자산!$D$3:$R$3000,MATCH($F118,임대자산!$I$3:$I$3000,0),MATCH(J$4,임대자산!$D$3:$R$3,0)),
IF($D118="폐업",INDEX(폐업정보!$D$3:$R$3000,MATCH($F118,폐업정보!$I$3:$I$3000,0),MATCH(J$4,폐업정보!$D$3:$R$3,0)),
"Error"))</f>
        <v>1040600000</v>
      </c>
      <c r="K118" s="75" t="str">
        <f aca="false">
IF($D118="정상",INDEX(임대자산!$D$3:$R$3000,MATCH($F118,임대자산!$I$3:$I$3000,0),MATCH(K$4,임대자산!$D$3:$R$3,0)),
IF($D118="폐업",INDEX(폐업정보!$D$3:$R$3000,MATCH($F118,폐업정보!$I$3:$I$3000,0),MATCH(K$4,폐업정보!$D$3:$R$3,0)),
"Error"))</f>
        <v>C0113</v>
      </c>
      <c r="L118" s="75" t="str">
        <f aca="false">
IF($D118="정상",INDEX(임대자산!$D$3:$R$3000,MATCH($F118,임대자산!$I$3:$I$3000,0),MATCH(L$4,임대자산!$D$3:$R$3,0)),
IF($D118="폐업",INDEX(폐업정보!$D$3:$R$3000,MATCH($F118,폐업정보!$I$3:$I$3000,0),MATCH(L$4,폐업정보!$D$3:$R$3,0)),
"Error"))</f>
        <v>D0113</v>
      </c>
      <c r="M118" s="76" t="s">
        <v>96</v>
      </c>
      <c r="N118" s="77"/>
      <c r="O118" s="78" t="s">
        <v>97</v>
      </c>
      <c r="P118" s="79" t="n">
        <f aca="false">COUNTIFS(임대자산!$I:$I,가맹점정보!F118,임대자산!$N:$N,가맹점정보!P$4)</f>
        <v>1</v>
      </c>
      <c r="Q118" s="80" t="n">
        <f aca="false">COUNTIFS(임대자산!$I:$I,가맹점정보!F118,임대자산!$N:$N,가맹점정보!Q$4)</f>
        <v>0</v>
      </c>
      <c r="R118" s="81" t="n">
        <f aca="false">COUNTIFS(임대자산!$I:$I,가맹점정보!F118,임대자산!$N:$N,가맹점정보!R$4)</f>
        <v>0</v>
      </c>
      <c r="S118" s="82" t="n">
        <v>55000</v>
      </c>
      <c r="T118" s="83" t="n">
        <v>0</v>
      </c>
      <c r="U118" s="80" t="n">
        <f aca="false">SUM(S118:T118)</f>
        <v>55000</v>
      </c>
      <c r="V118" s="84" t="s">
        <v>12</v>
      </c>
      <c r="W118" s="80" t="e">
        <f aca="true">
IF(D118="폐업","폐업",
IF(V118="면제","면제",
IF(AND(V118="정상",COUNTIFS(OFFSET(Y118,0,COUNTA(Y118:AV118)-1,1,-4),"미납")&gt;=3),"장기미납",
IF(AND(V118="정상",OFFSET(Y118,0,COUNTA(Y118:AV118)-1)&gt;=U118),"정상",
IF(AND(V118="정상",OFFSET(Y118,0,COUNTA(Y118:AV118)-1)=0),"정상",
"계약서 미작성")))))</f>
        <v>#VALUE!</v>
      </c>
      <c r="X118" s="81" t="str">
        <f aca="true">
IF(D118="폐업","폐업",
IF(AND(V118="정상",OFFSET(Y118,0,COUNTA(Y118:AV118)-1)="미납"),"미납",
IF(AND(V118="정상",OFFSET(Y118,0,COUNTA(Y118:AV118)-1)=0),"납부 시작 전",
IF(AND(V118="정상",OFFSET(Y118,0,COUNTA(Y118:AV118)-1)&gt;=U118),"정상",
IF(AND(V118="면제",OFFSET(Y118,0,COUNTA(Y118:AV118)-1)="면제"),"면제",
IF(AND(V118="면제",OFFSET(Y118,0,COUNTA(Y118:AV118)-1)=0),"면제",
"확인요청"))))))</f>
        <v>정상</v>
      </c>
      <c r="Y118" s="93" t="n">
        <v>55000</v>
      </c>
      <c r="Z118" s="90" t="n">
        <v>55000</v>
      </c>
      <c r="AA118" s="90" t="n">
        <v>55000</v>
      </c>
      <c r="AB118" s="90" t="n">
        <v>55000</v>
      </c>
      <c r="AC118" s="90" t="n">
        <v>55000</v>
      </c>
      <c r="AD118" s="90" t="n">
        <v>55000</v>
      </c>
      <c r="AE118" s="90" t="n">
        <v>55000</v>
      </c>
      <c r="AF118" s="90" t="n">
        <v>55000</v>
      </c>
      <c r="AG118" s="90" t="n">
        <v>55000</v>
      </c>
      <c r="AH118" s="90" t="n">
        <v>55000</v>
      </c>
      <c r="AI118" s="90" t="n">
        <v>55000</v>
      </c>
      <c r="AJ118" s="91" t="n">
        <v>55000</v>
      </c>
      <c r="AK118" s="89" t="n">
        <v>55000</v>
      </c>
      <c r="AL118" s="90" t="n">
        <v>55000</v>
      </c>
      <c r="AM118" s="90"/>
      <c r="AN118" s="90"/>
      <c r="AO118" s="90"/>
      <c r="AP118" s="90"/>
      <c r="AQ118" s="90"/>
      <c r="AR118" s="90"/>
      <c r="AS118" s="90"/>
      <c r="AT118" s="90"/>
      <c r="AU118" s="90"/>
      <c r="AV118" s="91"/>
      <c r="AX118" s="92"/>
    </row>
    <row r="119" customFormat="false" ht="15.65" hidden="false" customHeight="false" outlineLevel="0" collapsed="false">
      <c r="C119" s="72" t="n">
        <f aca="false">COUNTIFS($D$6:D119,"&lt;&gt;"&amp;"")</f>
        <v>114</v>
      </c>
      <c r="D119" s="73" t="s">
        <v>12</v>
      </c>
      <c r="E119" s="76" t="str">
        <f aca="false">
IF($D119="정상",INDEX(임대자산!$D$3:$R$3000,MATCH($F119,임대자산!$I$3:$I$3000,0),MATCH(E$3,임대자산!$D$3:$R$3,0)),
IF($D119="폐업",INDEX(폐업정보!$D$3:$R$3000,MATCH($F119,폐업정보!$I$3:$I$3000,0),MATCH(E$3,폐업정보!$D$3:$R$3,0)),
"Error"))</f>
        <v>전라</v>
      </c>
      <c r="F11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B0114</v>
      </c>
      <c r="G119" s="76" t="str">
        <f aca="false">F119&amp;RANDBETWEEN(0,10)</f>
        <v>B01142</v>
      </c>
      <c r="H119" s="75" t="n">
        <f aca="false">
IF($D119="정상",INDEX(임대자산!$D$3:$R$3000,MATCH($F119,임대자산!$I$3:$I$3000,0),MATCH(H$4,임대자산!$D$3:$R$3,0)),
IF($D119="폐업",INDEX(폐업정보!$D$3:$R$3000,MATCH($F119,폐업정보!$I$3:$I$3000,0),MATCH(H$4,폐업정보!$D$3:$R$3,0)),
"Error"))</f>
        <v>44250</v>
      </c>
      <c r="I119" s="75" t="str">
        <f aca="false">
IF($D119="정상",INDEX(임대자산!$D$3:$R$3000,MATCH($F119,임대자산!$I$3:$I$3000,0),MATCH(I$4,임대자산!$D$3:$R$3,0)),
IF($D119="폐업",INDEX(폐업정보!$D$3:$R$3000,MATCH($F119,폐업정보!$I$3:$I$3000,0),MATCH(I$4,폐업정보!$D$3:$R$3,0)),
"Error"))</f>
        <v>A0114</v>
      </c>
      <c r="J119" s="75" t="str">
        <f aca="false">
IF($D119="정상",INDEX(임대자산!$D$3:$R$3000,MATCH($F119,임대자산!$I$3:$I$3000,0),MATCH(J$4,임대자산!$D$3:$R$3,0)),
IF($D119="폐업",INDEX(폐업정보!$D$3:$R$3000,MATCH($F119,폐업정보!$I$3:$I$3000,0),MATCH(J$4,폐업정보!$D$3:$R$3,0)),
"Error"))</f>
        <v>9229000000</v>
      </c>
      <c r="K119" s="75" t="str">
        <f aca="false">
IF($D119="정상",INDEX(임대자산!$D$3:$R$3000,MATCH($F119,임대자산!$I$3:$I$3000,0),MATCH(K$4,임대자산!$D$3:$R$3,0)),
IF($D119="폐업",INDEX(폐업정보!$D$3:$R$3000,MATCH($F119,폐업정보!$I$3:$I$3000,0),MATCH(K$4,폐업정보!$D$3:$R$3,0)),
"Error"))</f>
        <v>C0114</v>
      </c>
      <c r="L119" s="75" t="str">
        <f aca="false">
IF($D119="정상",INDEX(임대자산!$D$3:$R$3000,MATCH($F119,임대자산!$I$3:$I$3000,0),MATCH(L$4,임대자산!$D$3:$R$3,0)),
IF($D119="폐업",INDEX(폐업정보!$D$3:$R$3000,MATCH($F119,폐업정보!$I$3:$I$3000,0),MATCH(L$4,폐업정보!$D$3:$R$3,0)),
"Error"))</f>
        <v>D0114</v>
      </c>
      <c r="M119" s="76" t="s">
        <v>96</v>
      </c>
      <c r="N119" s="77"/>
      <c r="O119" s="78" t="s">
        <v>97</v>
      </c>
      <c r="P119" s="79" t="n">
        <f aca="false">COUNTIFS(임대자산!$I:$I,가맹점정보!F119,임대자산!$N:$N,가맹점정보!P$4)</f>
        <v>1</v>
      </c>
      <c r="Q119" s="80" t="n">
        <f aca="false">COUNTIFS(임대자산!$I:$I,가맹점정보!F119,임대자산!$N:$N,가맹점정보!Q$4)</f>
        <v>0</v>
      </c>
      <c r="R119" s="81" t="n">
        <f aca="false">COUNTIFS(임대자산!$I:$I,가맹점정보!F119,임대자산!$N:$N,가맹점정보!R$4)</f>
        <v>0</v>
      </c>
      <c r="S119" s="82" t="n">
        <v>55000</v>
      </c>
      <c r="T119" s="83" t="n">
        <v>0</v>
      </c>
      <c r="U119" s="80" t="n">
        <f aca="false">SUM(S119:T119)</f>
        <v>55000</v>
      </c>
      <c r="V119" s="84" t="s">
        <v>12</v>
      </c>
      <c r="W119" s="80" t="e">
        <f aca="true">
IF(D119="폐업","폐업",
IF(V119="면제","면제",
IF(AND(V119="정상",COUNTIFS(OFFSET(Y119,0,COUNTA(Y119:AV119)-1,1,-4),"미납")&gt;=3),"장기미납",
IF(AND(V119="정상",OFFSET(Y119,0,COUNTA(Y119:AV119)-1)&gt;=U119),"정상",
IF(AND(V119="정상",OFFSET(Y119,0,COUNTA(Y119:AV119)-1)=0),"정상",
"계약서 미작성")))))</f>
        <v>#VALUE!</v>
      </c>
      <c r="X119" s="81" t="str">
        <f aca="true">
IF(D119="폐업","폐업",
IF(AND(V119="정상",OFFSET(Y119,0,COUNTA(Y119:AV119)-1)="미납"),"미납",
IF(AND(V119="정상",OFFSET(Y119,0,COUNTA(Y119:AV119)-1)=0),"납부 시작 전",
IF(AND(V119="정상",OFFSET(Y119,0,COUNTA(Y119:AV119)-1)&gt;=U119),"정상",
IF(AND(V119="면제",OFFSET(Y119,0,COUNTA(Y119:AV119)-1)="면제"),"면제",
IF(AND(V119="면제",OFFSET(Y119,0,COUNTA(Y119:AV119)-1)=0),"면제",
"확인요청"))))))</f>
        <v>정상</v>
      </c>
      <c r="Y119" s="93" t="n">
        <v>55000</v>
      </c>
      <c r="Z119" s="90" t="n">
        <v>55000</v>
      </c>
      <c r="AA119" s="90" t="n">
        <v>55000</v>
      </c>
      <c r="AB119" s="90" t="n">
        <v>55000</v>
      </c>
      <c r="AC119" s="90" t="n">
        <v>55000</v>
      </c>
      <c r="AD119" s="90" t="n">
        <v>55000</v>
      </c>
      <c r="AE119" s="90" t="n">
        <v>55000</v>
      </c>
      <c r="AF119" s="90" t="n">
        <v>55000</v>
      </c>
      <c r="AG119" s="90" t="n">
        <v>55000</v>
      </c>
      <c r="AH119" s="90" t="n">
        <v>55000</v>
      </c>
      <c r="AI119" s="90" t="n">
        <v>55000</v>
      </c>
      <c r="AJ119" s="91" t="n">
        <v>55000</v>
      </c>
      <c r="AK119" s="89" t="n">
        <v>55000</v>
      </c>
      <c r="AL119" s="90" t="n">
        <v>55000</v>
      </c>
      <c r="AM119" s="90"/>
      <c r="AN119" s="90"/>
      <c r="AO119" s="90"/>
      <c r="AP119" s="90"/>
      <c r="AQ119" s="90"/>
      <c r="AR119" s="90"/>
      <c r="AS119" s="90"/>
      <c r="AT119" s="90"/>
      <c r="AU119" s="90"/>
      <c r="AV119" s="91"/>
      <c r="AX119" s="92"/>
    </row>
    <row r="120" customFormat="false" ht="15.65" hidden="false" customHeight="false" outlineLevel="0" collapsed="false">
      <c r="C120" s="72" t="n">
        <f aca="false">COUNTIFS($D$6:D120,"&lt;&gt;"&amp;"")</f>
        <v>115</v>
      </c>
      <c r="D120" s="73" t="s">
        <v>12</v>
      </c>
      <c r="E120" s="76" t="str">
        <f aca="false">
IF($D120="정상",INDEX(임대자산!$D$3:$R$3000,MATCH($F120,임대자산!$I$3:$I$3000,0),MATCH(E$3,임대자산!$D$3:$R$3,0)),
IF($D120="폐업",INDEX(폐업정보!$D$3:$R$3000,MATCH($F120,폐업정보!$I$3:$I$3000,0),MATCH(E$3,폐업정보!$D$3:$R$3,0)),
"Error"))</f>
        <v>전라</v>
      </c>
      <c r="F12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B0115</v>
      </c>
      <c r="G120" s="76" t="str">
        <f aca="false">F120&amp;RANDBETWEEN(0,10)</f>
        <v>B01151</v>
      </c>
      <c r="H120" s="75" t="n">
        <f aca="false">
IF($D120="정상",INDEX(임대자산!$D$3:$R$3000,MATCH($F120,임대자산!$I$3:$I$3000,0),MATCH(H$4,임대자산!$D$3:$R$3,0)),
IF($D120="폐업",INDEX(폐업정보!$D$3:$R$3000,MATCH($F120,폐업정보!$I$3:$I$3000,0),MATCH(H$4,폐업정보!$D$3:$R$3,0)),
"Error"))</f>
        <v>44117</v>
      </c>
      <c r="I120" s="75" t="str">
        <f aca="false">
IF($D120="정상",INDEX(임대자산!$D$3:$R$3000,MATCH($F120,임대자산!$I$3:$I$3000,0),MATCH(I$4,임대자산!$D$3:$R$3,0)),
IF($D120="폐업",INDEX(폐업정보!$D$3:$R$3000,MATCH($F120,폐업정보!$I$3:$I$3000,0),MATCH(I$4,폐업정보!$D$3:$R$3,0)),
"Error"))</f>
        <v>A0115</v>
      </c>
      <c r="J120" s="75" t="str">
        <f aca="false">
IF($D120="정상",INDEX(임대자산!$D$3:$R$3000,MATCH($F120,임대자산!$I$3:$I$3000,0),MATCH(J$4,임대자산!$D$3:$R$3,0)),
IF($D120="폐업",INDEX(폐업정보!$D$3:$R$3000,MATCH($F120,폐업정보!$I$3:$I$3000,0),MATCH(J$4,폐업정보!$D$3:$R$3,0)),
"Error"))</f>
        <v>5934500000</v>
      </c>
      <c r="K120" s="75" t="str">
        <f aca="false">
IF($D120="정상",INDEX(임대자산!$D$3:$R$3000,MATCH($F120,임대자산!$I$3:$I$3000,0),MATCH(K$4,임대자산!$D$3:$R$3,0)),
IF($D120="폐업",INDEX(폐업정보!$D$3:$R$3000,MATCH($F120,폐업정보!$I$3:$I$3000,0),MATCH(K$4,폐업정보!$D$3:$R$3,0)),
"Error"))</f>
        <v>C0115</v>
      </c>
      <c r="L120" s="75" t="str">
        <f aca="false">
IF($D120="정상",INDEX(임대자산!$D$3:$R$3000,MATCH($F120,임대자산!$I$3:$I$3000,0),MATCH(L$4,임대자산!$D$3:$R$3,0)),
IF($D120="폐업",INDEX(폐업정보!$D$3:$R$3000,MATCH($F120,폐업정보!$I$3:$I$3000,0),MATCH(L$4,폐업정보!$D$3:$R$3,0)),
"Error"))</f>
        <v>D0115</v>
      </c>
      <c r="M120" s="76" t="s">
        <v>96</v>
      </c>
      <c r="N120" s="77"/>
      <c r="O120" s="78" t="s">
        <v>97</v>
      </c>
      <c r="P120" s="79" t="n">
        <f aca="false">COUNTIFS(임대자산!$I:$I,가맹점정보!F120,임대자산!$N:$N,가맹점정보!P$4)</f>
        <v>1</v>
      </c>
      <c r="Q120" s="80" t="n">
        <f aca="false">COUNTIFS(임대자산!$I:$I,가맹점정보!F120,임대자산!$N:$N,가맹점정보!Q$4)</f>
        <v>0</v>
      </c>
      <c r="R120" s="81" t="n">
        <f aca="false">COUNTIFS(임대자산!$I:$I,가맹점정보!F120,임대자산!$N:$N,가맹점정보!R$4)</f>
        <v>0</v>
      </c>
      <c r="S120" s="82" t="n">
        <v>110000</v>
      </c>
      <c r="T120" s="83" t="n">
        <v>0</v>
      </c>
      <c r="U120" s="80" t="n">
        <f aca="false">SUM(S120:T120)</f>
        <v>110000</v>
      </c>
      <c r="V120" s="84" t="s">
        <v>12</v>
      </c>
      <c r="W120" s="80" t="e">
        <f aca="true">
IF(D120="폐업","폐업",
IF(V120="면제","면제",
IF(AND(V120="정상",COUNTIFS(OFFSET(Y120,0,COUNTA(Y120:AV120)-1,1,-4),"미납")&gt;=3),"장기미납",
IF(AND(V120="정상",OFFSET(Y120,0,COUNTA(Y120:AV120)-1)&gt;=U120),"정상",
IF(AND(V120="정상",OFFSET(Y120,0,COUNTA(Y120:AV120)-1)=0),"정상",
"계약서 미작성")))))</f>
        <v>#VALUE!</v>
      </c>
      <c r="X120" s="81" t="str">
        <f aca="true">
IF(D120="폐업","폐업",
IF(AND(V120="정상",OFFSET(Y120,0,COUNTA(Y120:AV120)-1)="미납"),"미납",
IF(AND(V120="정상",OFFSET(Y120,0,COUNTA(Y120:AV120)-1)=0),"납부 시작 전",
IF(AND(V120="정상",OFFSET(Y120,0,COUNTA(Y120:AV120)-1)&gt;=U120),"정상",
IF(AND(V120="면제",OFFSET(Y120,0,COUNTA(Y120:AV120)-1)="면제"),"면제",
IF(AND(V120="면제",OFFSET(Y120,0,COUNTA(Y120:AV120)-1)=0),"면제",
"확인요청"))))))</f>
        <v>정상</v>
      </c>
      <c r="Y120" s="93" t="n">
        <v>110000</v>
      </c>
      <c r="Z120" s="90" t="n">
        <v>110000</v>
      </c>
      <c r="AA120" s="90" t="n">
        <v>110000</v>
      </c>
      <c r="AB120" s="90" t="n">
        <v>110000</v>
      </c>
      <c r="AC120" s="90" t="n">
        <v>110000</v>
      </c>
      <c r="AD120" s="90" t="n">
        <v>110000</v>
      </c>
      <c r="AE120" s="90" t="n">
        <v>110000</v>
      </c>
      <c r="AF120" s="90" t="n">
        <v>110000</v>
      </c>
      <c r="AG120" s="90" t="n">
        <v>110000</v>
      </c>
      <c r="AH120" s="90" t="n">
        <v>110000</v>
      </c>
      <c r="AI120" s="90" t="n">
        <v>110000</v>
      </c>
      <c r="AJ120" s="91" t="n">
        <v>110000</v>
      </c>
      <c r="AK120" s="89" t="n">
        <v>110000</v>
      </c>
      <c r="AL120" s="90" t="n">
        <v>110000</v>
      </c>
      <c r="AM120" s="90"/>
      <c r="AN120" s="90"/>
      <c r="AO120" s="90"/>
      <c r="AP120" s="90"/>
      <c r="AQ120" s="90"/>
      <c r="AR120" s="90"/>
      <c r="AS120" s="90"/>
      <c r="AT120" s="90"/>
      <c r="AU120" s="90"/>
      <c r="AV120" s="91"/>
      <c r="AX120" s="92"/>
    </row>
    <row r="121" customFormat="false" ht="15.65" hidden="false" customHeight="false" outlineLevel="0" collapsed="false">
      <c r="C121" s="72" t="n">
        <f aca="false">COUNTIFS($D$6:D121,"&lt;&gt;"&amp;"")</f>
        <v>116</v>
      </c>
      <c r="D121" s="73" t="s">
        <v>12</v>
      </c>
      <c r="E121" s="76" t="str">
        <f aca="false">
IF($D121="정상",INDEX(임대자산!$D$3:$R$3000,MATCH($F121,임대자산!$I$3:$I$3000,0),MATCH(E$3,임대자산!$D$3:$R$3,0)),
IF($D121="폐업",INDEX(폐업정보!$D$3:$R$3000,MATCH($F121,폐업정보!$I$3:$I$3000,0),MATCH(E$3,폐업정보!$D$3:$R$3,0)),
"Error"))</f>
        <v>전라</v>
      </c>
      <c r="F12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B0116</v>
      </c>
      <c r="G121" s="76" t="str">
        <f aca="false">F121&amp;RANDBETWEEN(0,10)</f>
        <v>B01162</v>
      </c>
      <c r="H121" s="75" t="n">
        <f aca="false">
IF($D121="정상",INDEX(임대자산!$D$3:$R$3000,MATCH($F121,임대자산!$I$3:$I$3000,0),MATCH(H$4,임대자산!$D$3:$R$3,0)),
IF($D121="폐업",INDEX(폐업정보!$D$3:$R$3000,MATCH($F121,폐업정보!$I$3:$I$3000,0),MATCH(H$4,폐업정보!$D$3:$R$3,0)),
"Error"))</f>
        <v>44117</v>
      </c>
      <c r="I121" s="75" t="str">
        <f aca="false">
IF($D121="정상",INDEX(임대자산!$D$3:$R$3000,MATCH($F121,임대자산!$I$3:$I$3000,0),MATCH(I$4,임대자산!$D$3:$R$3,0)),
IF($D121="폐업",INDEX(폐업정보!$D$3:$R$3000,MATCH($F121,폐업정보!$I$3:$I$3000,0),MATCH(I$4,폐업정보!$D$3:$R$3,0)),
"Error"))</f>
        <v>A0116</v>
      </c>
      <c r="J121" s="75" t="str">
        <f aca="false">
IF($D121="정상",INDEX(임대자산!$D$3:$R$3000,MATCH($F121,임대자산!$I$3:$I$3000,0),MATCH(J$4,임대자산!$D$3:$R$3,0)),
IF($D121="폐업",INDEX(폐업정보!$D$3:$R$3000,MATCH($F121,폐업정보!$I$3:$I$3000,0),MATCH(J$4,폐업정보!$D$3:$R$3,0)),
"Error"))</f>
        <v>3410800000</v>
      </c>
      <c r="K121" s="75" t="str">
        <f aca="false">
IF($D121="정상",INDEX(임대자산!$D$3:$R$3000,MATCH($F121,임대자산!$I$3:$I$3000,0),MATCH(K$4,임대자산!$D$3:$R$3,0)),
IF($D121="폐업",INDEX(폐업정보!$D$3:$R$3000,MATCH($F121,폐업정보!$I$3:$I$3000,0),MATCH(K$4,폐업정보!$D$3:$R$3,0)),
"Error"))</f>
        <v>C0116</v>
      </c>
      <c r="L121" s="75" t="str">
        <f aca="false">
IF($D121="정상",INDEX(임대자산!$D$3:$R$3000,MATCH($F121,임대자산!$I$3:$I$3000,0),MATCH(L$4,임대자산!$D$3:$R$3,0)),
IF($D121="폐업",INDEX(폐업정보!$D$3:$R$3000,MATCH($F121,폐업정보!$I$3:$I$3000,0),MATCH(L$4,폐업정보!$D$3:$R$3,0)),
"Error"))</f>
        <v>D0116</v>
      </c>
      <c r="M121" s="76" t="s">
        <v>96</v>
      </c>
      <c r="N121" s="77"/>
      <c r="O121" s="78" t="s">
        <v>97</v>
      </c>
      <c r="P121" s="79" t="n">
        <f aca="false">COUNTIFS(임대자산!$I:$I,가맹점정보!F121,임대자산!$N:$N,가맹점정보!P$4)</f>
        <v>1</v>
      </c>
      <c r="Q121" s="80" t="n">
        <f aca="false">COUNTIFS(임대자산!$I:$I,가맹점정보!F121,임대자산!$N:$N,가맹점정보!Q$4)</f>
        <v>0</v>
      </c>
      <c r="R121" s="81" t="n">
        <f aca="false">COUNTIFS(임대자산!$I:$I,가맹점정보!F121,임대자산!$N:$N,가맹점정보!R$4)</f>
        <v>0</v>
      </c>
      <c r="S121" s="82" t="n">
        <v>55000</v>
      </c>
      <c r="T121" s="83" t="n">
        <v>0</v>
      </c>
      <c r="U121" s="80" t="n">
        <f aca="false">SUM(S121:T121)</f>
        <v>55000</v>
      </c>
      <c r="V121" s="84" t="s">
        <v>12</v>
      </c>
      <c r="W121" s="80" t="e">
        <f aca="true">
IF(D121="폐업","폐업",
IF(V121="면제","면제",
IF(AND(V121="정상",COUNTIFS(OFFSET(Y121,0,COUNTA(Y121:AV121)-1,1,-4),"미납")&gt;=3),"장기미납",
IF(AND(V121="정상",OFFSET(Y121,0,COUNTA(Y121:AV121)-1)&gt;=U121),"정상",
IF(AND(V121="정상",OFFSET(Y121,0,COUNTA(Y121:AV121)-1)=0),"정상",
"계약서 미작성")))))</f>
        <v>#VALUE!</v>
      </c>
      <c r="X121" s="81" t="str">
        <f aca="true">
IF(D121="폐업","폐업",
IF(AND(V121="정상",OFFSET(Y121,0,COUNTA(Y121:AV121)-1)="미납"),"미납",
IF(AND(V121="정상",OFFSET(Y121,0,COUNTA(Y121:AV121)-1)=0),"납부 시작 전",
IF(AND(V121="정상",OFFSET(Y121,0,COUNTA(Y121:AV121)-1)&gt;=U121),"정상",
IF(AND(V121="면제",OFFSET(Y121,0,COUNTA(Y121:AV121)-1)="면제"),"면제",
IF(AND(V121="면제",OFFSET(Y121,0,COUNTA(Y121:AV121)-1)=0),"면제",
"확인요청"))))))</f>
        <v>정상</v>
      </c>
      <c r="Y121" s="93" t="n">
        <v>55000</v>
      </c>
      <c r="Z121" s="90" t="n">
        <v>55000</v>
      </c>
      <c r="AA121" s="90" t="n">
        <v>55000</v>
      </c>
      <c r="AB121" s="90" t="n">
        <v>55000</v>
      </c>
      <c r="AC121" s="90" t="n">
        <v>55000</v>
      </c>
      <c r="AD121" s="90" t="n">
        <v>55000</v>
      </c>
      <c r="AE121" s="90" t="n">
        <v>55000</v>
      </c>
      <c r="AF121" s="90" t="n">
        <v>55000</v>
      </c>
      <c r="AG121" s="90" t="n">
        <v>55000</v>
      </c>
      <c r="AH121" s="90" t="n">
        <v>55000</v>
      </c>
      <c r="AI121" s="90" t="n">
        <v>55000</v>
      </c>
      <c r="AJ121" s="91" t="n">
        <v>55000</v>
      </c>
      <c r="AK121" s="89" t="n">
        <v>55000</v>
      </c>
      <c r="AL121" s="90" t="n">
        <v>55000</v>
      </c>
      <c r="AM121" s="90"/>
      <c r="AN121" s="90"/>
      <c r="AO121" s="90"/>
      <c r="AP121" s="90"/>
      <c r="AQ121" s="90"/>
      <c r="AR121" s="90"/>
      <c r="AS121" s="90"/>
      <c r="AT121" s="90"/>
      <c r="AU121" s="90"/>
      <c r="AV121" s="91"/>
      <c r="AX121" s="92"/>
    </row>
    <row r="122" customFormat="false" ht="15.65" hidden="false" customHeight="false" outlineLevel="0" collapsed="false">
      <c r="C122" s="72" t="n">
        <f aca="false">COUNTIFS($D$6:D122,"&lt;&gt;"&amp;"")</f>
        <v>117</v>
      </c>
      <c r="D122" s="73" t="s">
        <v>12</v>
      </c>
      <c r="E122" s="76" t="str">
        <f aca="false">
IF($D122="정상",INDEX(임대자산!$D$3:$R$3000,MATCH($F122,임대자산!$I$3:$I$3000,0),MATCH(E$3,임대자산!$D$3:$R$3,0)),
IF($D122="폐업",INDEX(폐업정보!$D$3:$R$3000,MATCH($F122,폐업정보!$I$3:$I$3000,0),MATCH(E$3,폐업정보!$D$3:$R$3,0)),
"Error"))</f>
        <v>전라</v>
      </c>
      <c r="F12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B0117</v>
      </c>
      <c r="G122" s="76" t="str">
        <f aca="false">F122&amp;RANDBETWEEN(0,10)</f>
        <v>B01179</v>
      </c>
      <c r="H122" s="75" t="n">
        <f aca="false">
IF($D122="정상",INDEX(임대자산!$D$3:$R$3000,MATCH($F122,임대자산!$I$3:$I$3000,0),MATCH(H$4,임대자산!$D$3:$R$3,0)),
IF($D122="폐업",INDEX(폐업정보!$D$3:$R$3000,MATCH($F122,폐업정보!$I$3:$I$3000,0),MATCH(H$4,폐업정보!$D$3:$R$3,0)),
"Error"))</f>
        <v>44088</v>
      </c>
      <c r="I122" s="75" t="str">
        <f aca="false">
IF($D122="정상",INDEX(임대자산!$D$3:$R$3000,MATCH($F122,임대자산!$I$3:$I$3000,0),MATCH(I$4,임대자산!$D$3:$R$3,0)),
IF($D122="폐업",INDEX(폐업정보!$D$3:$R$3000,MATCH($F122,폐업정보!$I$3:$I$3000,0),MATCH(I$4,폐업정보!$D$3:$R$3,0)),
"Error"))</f>
        <v>A0117</v>
      </c>
      <c r="J122" s="75" t="str">
        <f aca="false">
IF($D122="정상",INDEX(임대자산!$D$3:$R$3000,MATCH($F122,임대자산!$I$3:$I$3000,0),MATCH(J$4,임대자산!$D$3:$R$3,0)),
IF($D122="폐업",INDEX(폐업정보!$D$3:$R$3000,MATCH($F122,폐업정보!$I$3:$I$3000,0),MATCH(J$4,폐업정보!$D$3:$R$3,0)),
"Error"))</f>
        <v>7956900000</v>
      </c>
      <c r="K122" s="75" t="str">
        <f aca="false">
IF($D122="정상",INDEX(임대자산!$D$3:$R$3000,MATCH($F122,임대자산!$I$3:$I$3000,0),MATCH(K$4,임대자산!$D$3:$R$3,0)),
IF($D122="폐업",INDEX(폐업정보!$D$3:$R$3000,MATCH($F122,폐업정보!$I$3:$I$3000,0),MATCH(K$4,폐업정보!$D$3:$R$3,0)),
"Error"))</f>
        <v>C0117</v>
      </c>
      <c r="L122" s="75" t="str">
        <f aca="false">
IF($D122="정상",INDEX(임대자산!$D$3:$R$3000,MATCH($F122,임대자산!$I$3:$I$3000,0),MATCH(L$4,임대자산!$D$3:$R$3,0)),
IF($D122="폐업",INDEX(폐업정보!$D$3:$R$3000,MATCH($F122,폐업정보!$I$3:$I$3000,0),MATCH(L$4,폐업정보!$D$3:$R$3,0)),
"Error"))</f>
        <v>D0117</v>
      </c>
      <c r="M122" s="76" t="s">
        <v>96</v>
      </c>
      <c r="N122" s="77"/>
      <c r="O122" s="78" t="s">
        <v>97</v>
      </c>
      <c r="P122" s="79" t="n">
        <f aca="false">COUNTIFS(임대자산!$I:$I,가맹점정보!F122,임대자산!$N:$N,가맹점정보!P$4)</f>
        <v>1</v>
      </c>
      <c r="Q122" s="80" t="n">
        <f aca="false">COUNTIFS(임대자산!$I:$I,가맹점정보!F122,임대자산!$N:$N,가맹점정보!Q$4)</f>
        <v>0</v>
      </c>
      <c r="R122" s="81" t="n">
        <f aca="false">COUNTIFS(임대자산!$I:$I,가맹점정보!F122,임대자산!$N:$N,가맹점정보!R$4)</f>
        <v>0</v>
      </c>
      <c r="S122" s="82" t="n">
        <v>55000</v>
      </c>
      <c r="T122" s="83" t="n">
        <v>0</v>
      </c>
      <c r="U122" s="80" t="n">
        <f aca="false">SUM(S122:T122)</f>
        <v>55000</v>
      </c>
      <c r="V122" s="84" t="s">
        <v>12</v>
      </c>
      <c r="W122" s="80" t="e">
        <f aca="true">
IF(D122="폐업","폐업",
IF(V122="면제","면제",
IF(AND(V122="정상",COUNTIFS(OFFSET(Y122,0,COUNTA(Y122:AV122)-1,1,-4),"미납")&gt;=3),"장기미납",
IF(AND(V122="정상",OFFSET(Y122,0,COUNTA(Y122:AV122)-1)&gt;=U122),"정상",
IF(AND(V122="정상",OFFSET(Y122,0,COUNTA(Y122:AV122)-1)=0),"정상",
"계약서 미작성")))))</f>
        <v>#VALUE!</v>
      </c>
      <c r="X122" s="81" t="str">
        <f aca="true">
IF(D122="폐업","폐업",
IF(AND(V122="정상",OFFSET(Y122,0,COUNTA(Y122:AV122)-1)="미납"),"미납",
IF(AND(V122="정상",OFFSET(Y122,0,COUNTA(Y122:AV122)-1)=0),"납부 시작 전",
IF(AND(V122="정상",OFFSET(Y122,0,COUNTA(Y122:AV122)-1)&gt;=U122),"정상",
IF(AND(V122="면제",OFFSET(Y122,0,COUNTA(Y122:AV122)-1)="면제"),"면제",
IF(AND(V122="면제",OFFSET(Y122,0,COUNTA(Y122:AV122)-1)=0),"면제",
"확인요청"))))))</f>
        <v>정상</v>
      </c>
      <c r="Y122" s="93" t="n">
        <v>55000</v>
      </c>
      <c r="Z122" s="90" t="n">
        <v>55000</v>
      </c>
      <c r="AA122" s="90" t="n">
        <v>55000</v>
      </c>
      <c r="AB122" s="90" t="n">
        <v>55000</v>
      </c>
      <c r="AC122" s="90" t="n">
        <v>55000</v>
      </c>
      <c r="AD122" s="90" t="n">
        <v>55000</v>
      </c>
      <c r="AE122" s="90" t="n">
        <v>55000</v>
      </c>
      <c r="AF122" s="90" t="n">
        <v>55000</v>
      </c>
      <c r="AG122" s="90" t="n">
        <v>55000</v>
      </c>
      <c r="AH122" s="90" t="n">
        <v>55000</v>
      </c>
      <c r="AI122" s="90" t="n">
        <v>55000</v>
      </c>
      <c r="AJ122" s="91" t="n">
        <v>55000</v>
      </c>
      <c r="AK122" s="89" t="n">
        <v>55000</v>
      </c>
      <c r="AL122" s="90" t="n">
        <v>55000</v>
      </c>
      <c r="AM122" s="90"/>
      <c r="AN122" s="90"/>
      <c r="AO122" s="90"/>
      <c r="AP122" s="90"/>
      <c r="AQ122" s="90"/>
      <c r="AR122" s="90"/>
      <c r="AS122" s="90"/>
      <c r="AT122" s="90"/>
      <c r="AU122" s="90"/>
      <c r="AV122" s="91"/>
      <c r="AX122" s="92"/>
    </row>
    <row r="123" customFormat="false" ht="15.65" hidden="false" customHeight="false" outlineLevel="0" collapsed="false">
      <c r="C123" s="72" t="n">
        <f aca="false">COUNTIFS($D$6:D123,"&lt;&gt;"&amp;"")</f>
        <v>118</v>
      </c>
      <c r="D123" s="73" t="s">
        <v>12</v>
      </c>
      <c r="E123" s="76" t="str">
        <f aca="false">
IF($D123="정상",INDEX(임대자산!$D$3:$R$3000,MATCH($F123,임대자산!$I$3:$I$3000,0),MATCH(E$3,임대자산!$D$3:$R$3,0)),
IF($D123="폐업",INDEX(폐업정보!$D$3:$R$3000,MATCH($F123,폐업정보!$I$3:$I$3000,0),MATCH(E$3,폐업정보!$D$3:$R$3,0)),
"Error"))</f>
        <v>전라</v>
      </c>
      <c r="F12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B0118</v>
      </c>
      <c r="G123" s="76" t="str">
        <f aca="false">F123&amp;RANDBETWEEN(0,10)</f>
        <v>B01184</v>
      </c>
      <c r="H123" s="75" t="n">
        <f aca="false">
IF($D123="정상",INDEX(임대자산!$D$3:$R$3000,MATCH($F123,임대자산!$I$3:$I$3000,0),MATCH(H$4,임대자산!$D$3:$R$3,0)),
IF($D123="폐업",INDEX(폐업정보!$D$3:$R$3000,MATCH($F123,폐업정보!$I$3:$I$3000,0),MATCH(H$4,폐업정보!$D$3:$R$3,0)),
"Error"))</f>
        <v>44034</v>
      </c>
      <c r="I123" s="75" t="str">
        <f aca="false">
IF($D123="정상",INDEX(임대자산!$D$3:$R$3000,MATCH($F123,임대자산!$I$3:$I$3000,0),MATCH(I$4,임대자산!$D$3:$R$3,0)),
IF($D123="폐업",INDEX(폐업정보!$D$3:$R$3000,MATCH($F123,폐업정보!$I$3:$I$3000,0),MATCH(I$4,폐업정보!$D$3:$R$3,0)),
"Error"))</f>
        <v>A0118</v>
      </c>
      <c r="J123" s="75" t="str">
        <f aca="false">
IF($D123="정상",INDEX(임대자산!$D$3:$R$3000,MATCH($F123,임대자산!$I$3:$I$3000,0),MATCH(J$4,임대자산!$D$3:$R$3,0)),
IF($D123="폐업",INDEX(폐업정보!$D$3:$R$3000,MATCH($F123,폐업정보!$I$3:$I$3000,0),MATCH(J$4,폐업정보!$D$3:$R$3,0)),
"Error"))</f>
        <v>2891800000</v>
      </c>
      <c r="K123" s="75" t="str">
        <f aca="false">
IF($D123="정상",INDEX(임대자산!$D$3:$R$3000,MATCH($F123,임대자산!$I$3:$I$3000,0),MATCH(K$4,임대자산!$D$3:$R$3,0)),
IF($D123="폐업",INDEX(폐업정보!$D$3:$R$3000,MATCH($F123,폐업정보!$I$3:$I$3000,0),MATCH(K$4,폐업정보!$D$3:$R$3,0)),
"Error"))</f>
        <v>C0118</v>
      </c>
      <c r="L123" s="75" t="str">
        <f aca="false">
IF($D123="정상",INDEX(임대자산!$D$3:$R$3000,MATCH($F123,임대자산!$I$3:$I$3000,0),MATCH(L$4,임대자산!$D$3:$R$3,0)),
IF($D123="폐업",INDEX(폐업정보!$D$3:$R$3000,MATCH($F123,폐업정보!$I$3:$I$3000,0),MATCH(L$4,폐업정보!$D$3:$R$3,0)),
"Error"))</f>
        <v>D0118</v>
      </c>
      <c r="M123" s="76" t="s">
        <v>96</v>
      </c>
      <c r="N123" s="77"/>
      <c r="O123" s="78" t="s">
        <v>97</v>
      </c>
      <c r="P123" s="79" t="n">
        <f aca="false">COUNTIFS(임대자산!$I:$I,가맹점정보!F123,임대자산!$N:$N,가맹점정보!P$4)</f>
        <v>1</v>
      </c>
      <c r="Q123" s="80" t="n">
        <f aca="false">COUNTIFS(임대자산!$I:$I,가맹점정보!F123,임대자산!$N:$N,가맹점정보!Q$4)</f>
        <v>0</v>
      </c>
      <c r="R123" s="81" t="n">
        <f aca="false">COUNTIFS(임대자산!$I:$I,가맹점정보!F123,임대자산!$N:$N,가맹점정보!R$4)</f>
        <v>0</v>
      </c>
      <c r="S123" s="82" t="n">
        <v>55000</v>
      </c>
      <c r="T123" s="83" t="n">
        <v>0</v>
      </c>
      <c r="U123" s="80" t="n">
        <f aca="false">SUM(S123:T123)</f>
        <v>55000</v>
      </c>
      <c r="V123" s="84" t="s">
        <v>12</v>
      </c>
      <c r="W123" s="80" t="e">
        <f aca="true">
IF(D123="폐업","폐업",
IF(V123="면제","면제",
IF(AND(V123="정상",COUNTIFS(OFFSET(Y123,0,COUNTA(Y123:AV123)-1,1,-4),"미납")&gt;=3),"장기미납",
IF(AND(V123="정상",OFFSET(Y123,0,COUNTA(Y123:AV123)-1)&gt;=U123),"정상",
IF(AND(V123="정상",OFFSET(Y123,0,COUNTA(Y123:AV123)-1)=0),"정상",
"계약서 미작성")))))</f>
        <v>#VALUE!</v>
      </c>
      <c r="X123" s="81" t="str">
        <f aca="true">
IF(D123="폐업","폐업",
IF(AND(V123="정상",OFFSET(Y123,0,COUNTA(Y123:AV123)-1)="미납"),"미납",
IF(AND(V123="정상",OFFSET(Y123,0,COUNTA(Y123:AV123)-1)=0),"납부 시작 전",
IF(AND(V123="정상",OFFSET(Y123,0,COUNTA(Y123:AV123)-1)&gt;=U123),"정상",
IF(AND(V123="면제",OFFSET(Y123,0,COUNTA(Y123:AV123)-1)="면제"),"면제",
IF(AND(V123="면제",OFFSET(Y123,0,COUNTA(Y123:AV123)-1)=0),"면제",
"확인요청"))))))</f>
        <v>정상</v>
      </c>
      <c r="Y123" s="93" t="n">
        <v>55000</v>
      </c>
      <c r="Z123" s="90" t="n">
        <v>55000</v>
      </c>
      <c r="AA123" s="90" t="n">
        <v>55000</v>
      </c>
      <c r="AB123" s="90" t="n">
        <v>55000</v>
      </c>
      <c r="AC123" s="90" t="n">
        <v>55000</v>
      </c>
      <c r="AD123" s="90" t="n">
        <v>55000</v>
      </c>
      <c r="AE123" s="90" t="n">
        <v>55000</v>
      </c>
      <c r="AF123" s="90" t="n">
        <v>55000</v>
      </c>
      <c r="AG123" s="90" t="n">
        <v>55000</v>
      </c>
      <c r="AH123" s="90" t="n">
        <v>55000</v>
      </c>
      <c r="AI123" s="90" t="n">
        <v>55000</v>
      </c>
      <c r="AJ123" s="91" t="n">
        <v>55000</v>
      </c>
      <c r="AK123" s="89" t="n">
        <v>55000</v>
      </c>
      <c r="AL123" s="90" t="n">
        <v>55000</v>
      </c>
      <c r="AM123" s="90"/>
      <c r="AN123" s="90"/>
      <c r="AO123" s="90"/>
      <c r="AP123" s="90"/>
      <c r="AQ123" s="90"/>
      <c r="AR123" s="90"/>
      <c r="AS123" s="90"/>
      <c r="AT123" s="90"/>
      <c r="AU123" s="90"/>
      <c r="AV123" s="91"/>
      <c r="AX123" s="92"/>
    </row>
    <row r="124" customFormat="false" ht="15.65" hidden="false" customHeight="false" outlineLevel="0" collapsed="false">
      <c r="C124" s="72" t="n">
        <f aca="false">COUNTIFS($D$6:D124,"&lt;&gt;"&amp;"")</f>
        <v>119</v>
      </c>
      <c r="D124" s="73" t="s">
        <v>12</v>
      </c>
      <c r="E124" s="76" t="str">
        <f aca="false">
IF($D124="정상",INDEX(임대자산!$D$3:$R$3000,MATCH($F124,임대자산!$I$3:$I$3000,0),MATCH(E$3,임대자산!$D$3:$R$3,0)),
IF($D124="폐업",INDEX(폐업정보!$D$3:$R$3000,MATCH($F124,폐업정보!$I$3:$I$3000,0),MATCH(E$3,폐업정보!$D$3:$R$3,0)),
"Error"))</f>
        <v>전라</v>
      </c>
      <c r="F12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B0119</v>
      </c>
      <c r="G124" s="76" t="str">
        <f aca="false">F124&amp;RANDBETWEEN(0,10)</f>
        <v>B01190</v>
      </c>
      <c r="H124" s="75" t="n">
        <f aca="false">
IF($D124="정상",INDEX(임대자산!$D$3:$R$3000,MATCH($F124,임대자산!$I$3:$I$3000,0),MATCH(H$4,임대자산!$D$3:$R$3,0)),
IF($D124="폐업",INDEX(폐업정보!$D$3:$R$3000,MATCH($F124,폐업정보!$I$3:$I$3000,0),MATCH(H$4,폐업정보!$D$3:$R$3,0)),
"Error"))</f>
        <v>44034</v>
      </c>
      <c r="I124" s="75" t="str">
        <f aca="false">
IF($D124="정상",INDEX(임대자산!$D$3:$R$3000,MATCH($F124,임대자산!$I$3:$I$3000,0),MATCH(I$4,임대자산!$D$3:$R$3,0)),
IF($D124="폐업",INDEX(폐업정보!$D$3:$R$3000,MATCH($F124,폐업정보!$I$3:$I$3000,0),MATCH(I$4,폐업정보!$D$3:$R$3,0)),
"Error"))</f>
        <v>A0119</v>
      </c>
      <c r="J124" s="75" t="str">
        <f aca="false">
IF($D124="정상",INDEX(임대자산!$D$3:$R$3000,MATCH($F124,임대자산!$I$3:$I$3000,0),MATCH(J$4,임대자산!$D$3:$R$3,0)),
IF($D124="폐업",INDEX(폐업정보!$D$3:$R$3000,MATCH($F124,폐업정보!$I$3:$I$3000,0),MATCH(J$4,폐업정보!$D$3:$R$3,0)),
"Error"))</f>
        <v>5456500000</v>
      </c>
      <c r="K124" s="75" t="str">
        <f aca="false">
IF($D124="정상",INDEX(임대자산!$D$3:$R$3000,MATCH($F124,임대자산!$I$3:$I$3000,0),MATCH(K$4,임대자산!$D$3:$R$3,0)),
IF($D124="폐업",INDEX(폐업정보!$D$3:$R$3000,MATCH($F124,폐업정보!$I$3:$I$3000,0),MATCH(K$4,폐업정보!$D$3:$R$3,0)),
"Error"))</f>
        <v>C0119</v>
      </c>
      <c r="L124" s="75" t="str">
        <f aca="false">
IF($D124="정상",INDEX(임대자산!$D$3:$R$3000,MATCH($F124,임대자산!$I$3:$I$3000,0),MATCH(L$4,임대자산!$D$3:$R$3,0)),
IF($D124="폐업",INDEX(폐업정보!$D$3:$R$3000,MATCH($F124,폐업정보!$I$3:$I$3000,0),MATCH(L$4,폐업정보!$D$3:$R$3,0)),
"Error"))</f>
        <v>D0119</v>
      </c>
      <c r="M124" s="76" t="s">
        <v>96</v>
      </c>
      <c r="N124" s="77"/>
      <c r="O124" s="78" t="s">
        <v>97</v>
      </c>
      <c r="P124" s="79" t="n">
        <f aca="false">COUNTIFS(임대자산!$I:$I,가맹점정보!F124,임대자산!$N:$N,가맹점정보!P$4)</f>
        <v>1</v>
      </c>
      <c r="Q124" s="80" t="n">
        <f aca="false">COUNTIFS(임대자산!$I:$I,가맹점정보!F124,임대자산!$N:$N,가맹점정보!Q$4)</f>
        <v>0</v>
      </c>
      <c r="R124" s="81" t="n">
        <f aca="false">COUNTIFS(임대자산!$I:$I,가맹점정보!F124,임대자산!$N:$N,가맹점정보!R$4)</f>
        <v>0</v>
      </c>
      <c r="S124" s="82" t="n">
        <v>55000</v>
      </c>
      <c r="T124" s="83" t="n">
        <v>0</v>
      </c>
      <c r="U124" s="80" t="n">
        <f aca="false">SUM(S124:T124)</f>
        <v>55000</v>
      </c>
      <c r="V124" s="84" t="s">
        <v>12</v>
      </c>
      <c r="W124" s="80" t="e">
        <f aca="true">
IF(D124="폐업","폐업",
IF(V124="면제","면제",
IF(AND(V124="정상",COUNTIFS(OFFSET(Y124,0,COUNTA(Y124:AV124)-1,1,-4),"미납")&gt;=3),"장기미납",
IF(AND(V124="정상",OFFSET(Y124,0,COUNTA(Y124:AV124)-1)&gt;=U124),"정상",
IF(AND(V124="정상",OFFSET(Y124,0,COUNTA(Y124:AV124)-1)=0),"정상",
"계약서 미작성")))))</f>
        <v>#VALUE!</v>
      </c>
      <c r="X124" s="81" t="str">
        <f aca="true">
IF(D124="폐업","폐업",
IF(AND(V124="정상",OFFSET(Y124,0,COUNTA(Y124:AV124)-1)="미납"),"미납",
IF(AND(V124="정상",OFFSET(Y124,0,COUNTA(Y124:AV124)-1)=0),"납부 시작 전",
IF(AND(V124="정상",OFFSET(Y124,0,COUNTA(Y124:AV124)-1)&gt;=U124),"정상",
IF(AND(V124="면제",OFFSET(Y124,0,COUNTA(Y124:AV124)-1)="면제"),"면제",
IF(AND(V124="면제",OFFSET(Y124,0,COUNTA(Y124:AV124)-1)=0),"면제",
"확인요청"))))))</f>
        <v>정상</v>
      </c>
      <c r="Y124" s="93" t="n">
        <v>55000</v>
      </c>
      <c r="Z124" s="90" t="n">
        <v>55000</v>
      </c>
      <c r="AA124" s="90" t="n">
        <v>55000</v>
      </c>
      <c r="AB124" s="90" t="n">
        <v>55000</v>
      </c>
      <c r="AC124" s="90" t="n">
        <v>55000</v>
      </c>
      <c r="AD124" s="90" t="n">
        <v>55000</v>
      </c>
      <c r="AE124" s="90" t="n">
        <v>55000</v>
      </c>
      <c r="AF124" s="90" t="n">
        <v>55000</v>
      </c>
      <c r="AG124" s="90" t="n">
        <v>55000</v>
      </c>
      <c r="AH124" s="90" t="n">
        <v>55000</v>
      </c>
      <c r="AI124" s="90" t="n">
        <v>55000</v>
      </c>
      <c r="AJ124" s="91" t="n">
        <v>55000</v>
      </c>
      <c r="AK124" s="89" t="n">
        <v>55000</v>
      </c>
      <c r="AL124" s="90" t="n">
        <v>55000</v>
      </c>
      <c r="AM124" s="90"/>
      <c r="AN124" s="90"/>
      <c r="AO124" s="90"/>
      <c r="AP124" s="90"/>
      <c r="AQ124" s="90"/>
      <c r="AR124" s="90"/>
      <c r="AS124" s="90"/>
      <c r="AT124" s="90"/>
      <c r="AU124" s="90"/>
      <c r="AV124" s="91"/>
      <c r="AX124" s="92"/>
    </row>
    <row r="125" customFormat="false" ht="15.65" hidden="false" customHeight="false" outlineLevel="0" collapsed="false">
      <c r="C125" s="72" t="n">
        <f aca="false">COUNTIFS($D$6:D125,"&lt;&gt;"&amp;"")</f>
        <v>120</v>
      </c>
      <c r="D125" s="73" t="s">
        <v>12</v>
      </c>
      <c r="E125" s="76" t="str">
        <f aca="false">
IF($D125="정상",INDEX(임대자산!$D$3:$R$3000,MATCH($F125,임대자산!$I$3:$I$3000,0),MATCH(E$3,임대자산!$D$3:$R$3,0)),
IF($D125="폐업",INDEX(폐업정보!$D$3:$R$3000,MATCH($F125,폐업정보!$I$3:$I$3000,0),MATCH(E$3,폐업정보!$D$3:$R$3,0)),
"Error"))</f>
        <v>전라</v>
      </c>
      <c r="F12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B0120</v>
      </c>
      <c r="G125" s="76" t="str">
        <f aca="false">F125&amp;RANDBETWEEN(0,10)</f>
        <v>B01201</v>
      </c>
      <c r="H125" s="75" t="n">
        <f aca="false">
IF($D125="정상",INDEX(임대자산!$D$3:$R$3000,MATCH($F125,임대자산!$I$3:$I$3000,0),MATCH(H$4,임대자산!$D$3:$R$3,0)),
IF($D125="폐업",INDEX(폐업정보!$D$3:$R$3000,MATCH($F125,폐업정보!$I$3:$I$3000,0),MATCH(H$4,폐업정보!$D$3:$R$3,0)),
"Error"))</f>
        <v>44235</v>
      </c>
      <c r="I125" s="75" t="str">
        <f aca="false">
IF($D125="정상",INDEX(임대자산!$D$3:$R$3000,MATCH($F125,임대자산!$I$3:$I$3000,0),MATCH(I$4,임대자산!$D$3:$R$3,0)),
IF($D125="폐업",INDEX(폐업정보!$D$3:$R$3000,MATCH($F125,폐업정보!$I$3:$I$3000,0),MATCH(I$4,폐업정보!$D$3:$R$3,0)),
"Error"))</f>
        <v>A0120</v>
      </c>
      <c r="J125" s="75" t="str">
        <f aca="false">
IF($D125="정상",INDEX(임대자산!$D$3:$R$3000,MATCH($F125,임대자산!$I$3:$I$3000,0),MATCH(J$4,임대자산!$D$3:$R$3,0)),
IF($D125="폐업",INDEX(폐업정보!$D$3:$R$3000,MATCH($F125,폐업정보!$I$3:$I$3000,0),MATCH(J$4,폐업정보!$D$3:$R$3,0)),
"Error"))</f>
        <v>7842000000</v>
      </c>
      <c r="K125" s="75" t="str">
        <f aca="false">
IF($D125="정상",INDEX(임대자산!$D$3:$R$3000,MATCH($F125,임대자산!$I$3:$I$3000,0),MATCH(K$4,임대자산!$D$3:$R$3,0)),
IF($D125="폐업",INDEX(폐업정보!$D$3:$R$3000,MATCH($F125,폐업정보!$I$3:$I$3000,0),MATCH(K$4,폐업정보!$D$3:$R$3,0)),
"Error"))</f>
        <v>C0120</v>
      </c>
      <c r="L125" s="75" t="str">
        <f aca="false">
IF($D125="정상",INDEX(임대자산!$D$3:$R$3000,MATCH($F125,임대자산!$I$3:$I$3000,0),MATCH(L$4,임대자산!$D$3:$R$3,0)),
IF($D125="폐업",INDEX(폐업정보!$D$3:$R$3000,MATCH($F125,폐업정보!$I$3:$I$3000,0),MATCH(L$4,폐업정보!$D$3:$R$3,0)),
"Error"))</f>
        <v>D0120</v>
      </c>
      <c r="M125" s="76" t="s">
        <v>96</v>
      </c>
      <c r="N125" s="77"/>
      <c r="O125" s="78" t="s">
        <v>97</v>
      </c>
      <c r="P125" s="79" t="n">
        <f aca="false">COUNTIFS(임대자산!$I:$I,가맹점정보!F125,임대자산!$N:$N,가맹점정보!P$4)</f>
        <v>1</v>
      </c>
      <c r="Q125" s="80" t="n">
        <f aca="false">COUNTIFS(임대자산!$I:$I,가맹점정보!F125,임대자산!$N:$N,가맹점정보!Q$4)</f>
        <v>0</v>
      </c>
      <c r="R125" s="81" t="n">
        <f aca="false">COUNTIFS(임대자산!$I:$I,가맹점정보!F125,임대자산!$N:$N,가맹점정보!R$4)</f>
        <v>0</v>
      </c>
      <c r="S125" s="82" t="n">
        <v>55000</v>
      </c>
      <c r="T125" s="83" t="n">
        <v>0</v>
      </c>
      <c r="U125" s="80" t="n">
        <f aca="false">SUM(S125:T125)</f>
        <v>55000</v>
      </c>
      <c r="V125" s="84" t="s">
        <v>12</v>
      </c>
      <c r="W125" s="80" t="e">
        <f aca="true">
IF(D125="폐업","폐업",
IF(V125="면제","면제",
IF(AND(V125="정상",COUNTIFS(OFFSET(Y125,0,COUNTA(Y125:AV125)-1,1,-4),"미납")&gt;=3),"장기미납",
IF(AND(V125="정상",OFFSET(Y125,0,COUNTA(Y125:AV125)-1)&gt;=U125),"정상",
IF(AND(V125="정상",OFFSET(Y125,0,COUNTA(Y125:AV125)-1)=0),"정상",
"계약서 미작성")))))</f>
        <v>#VALUE!</v>
      </c>
      <c r="X125" s="81" t="str">
        <f aca="true">
IF(D125="폐업","폐업",
IF(AND(V125="정상",OFFSET(Y125,0,COUNTA(Y125:AV125)-1)="미납"),"미납",
IF(AND(V125="정상",OFFSET(Y125,0,COUNTA(Y125:AV125)-1)=0),"납부 시작 전",
IF(AND(V125="정상",OFFSET(Y125,0,COUNTA(Y125:AV125)-1)&gt;=U125),"정상",
IF(AND(V125="면제",OFFSET(Y125,0,COUNTA(Y125:AV125)-1)="면제"),"면제",
IF(AND(V125="면제",OFFSET(Y125,0,COUNTA(Y125:AV125)-1)=0),"면제",
"확인요청"))))))</f>
        <v>정상</v>
      </c>
      <c r="Y125" s="93" t="n">
        <v>55000</v>
      </c>
      <c r="Z125" s="90" t="n">
        <v>55000</v>
      </c>
      <c r="AA125" s="90" t="n">
        <v>55000</v>
      </c>
      <c r="AB125" s="90" t="n">
        <v>55000</v>
      </c>
      <c r="AC125" s="90" t="n">
        <v>55000</v>
      </c>
      <c r="AD125" s="90" t="n">
        <v>55000</v>
      </c>
      <c r="AE125" s="90" t="n">
        <v>55000</v>
      </c>
      <c r="AF125" s="90" t="n">
        <v>55000</v>
      </c>
      <c r="AG125" s="90" t="n">
        <v>55000</v>
      </c>
      <c r="AH125" s="90" t="n">
        <v>55000</v>
      </c>
      <c r="AI125" s="90" t="n">
        <v>55000</v>
      </c>
      <c r="AJ125" s="91" t="n">
        <v>55000</v>
      </c>
      <c r="AK125" s="89" t="n">
        <v>55000</v>
      </c>
      <c r="AL125" s="90" t="n">
        <v>55000</v>
      </c>
      <c r="AM125" s="90"/>
      <c r="AN125" s="90"/>
      <c r="AO125" s="90"/>
      <c r="AP125" s="90"/>
      <c r="AQ125" s="90"/>
      <c r="AR125" s="90"/>
      <c r="AS125" s="90"/>
      <c r="AT125" s="90"/>
      <c r="AU125" s="90"/>
      <c r="AV125" s="91"/>
      <c r="AX125" s="92"/>
    </row>
    <row r="126" customFormat="false" ht="15.65" hidden="false" customHeight="false" outlineLevel="0" collapsed="false">
      <c r="C126" s="72" t="n">
        <f aca="false">COUNTIFS($D$6:D126,"&lt;&gt;"&amp;"")</f>
        <v>121</v>
      </c>
      <c r="D126" s="73" t="s">
        <v>12</v>
      </c>
      <c r="E126" s="76" t="str">
        <f aca="false">
IF($D126="정상",INDEX(임대자산!$D$3:$R$3000,MATCH($F126,임대자산!$I$3:$I$3000,0),MATCH(E$3,임대자산!$D$3:$R$3,0)),
IF($D126="폐업",INDEX(폐업정보!$D$3:$R$3000,MATCH($F126,폐업정보!$I$3:$I$3000,0),MATCH(E$3,폐업정보!$D$3:$R$3,0)),
"Error"))</f>
        <v>전라</v>
      </c>
      <c r="F12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B0121</v>
      </c>
      <c r="G126" s="76" t="str">
        <f aca="false">F126&amp;RANDBETWEEN(0,10)</f>
        <v>B01210</v>
      </c>
      <c r="H126" s="75" t="n">
        <f aca="false">
IF($D126="정상",INDEX(임대자산!$D$3:$R$3000,MATCH($F126,임대자산!$I$3:$I$3000,0),MATCH(H$4,임대자산!$D$3:$R$3,0)),
IF($D126="폐업",INDEX(폐업정보!$D$3:$R$3000,MATCH($F126,폐업정보!$I$3:$I$3000,0),MATCH(H$4,폐업정보!$D$3:$R$3,0)),
"Error"))</f>
        <v>44232</v>
      </c>
      <c r="I126" s="75" t="str">
        <f aca="false">
IF($D126="정상",INDEX(임대자산!$D$3:$R$3000,MATCH($F126,임대자산!$I$3:$I$3000,0),MATCH(I$4,임대자산!$D$3:$R$3,0)),
IF($D126="폐업",INDEX(폐업정보!$D$3:$R$3000,MATCH($F126,폐업정보!$I$3:$I$3000,0),MATCH(I$4,폐업정보!$D$3:$R$3,0)),
"Error"))</f>
        <v>A0121</v>
      </c>
      <c r="J126" s="75" t="str">
        <f aca="false">
IF($D126="정상",INDEX(임대자산!$D$3:$R$3000,MATCH($F126,임대자산!$I$3:$I$3000,0),MATCH(J$4,임대자산!$D$3:$R$3,0)),
IF($D126="폐업",INDEX(폐업정보!$D$3:$R$3000,MATCH($F126,폐업정보!$I$3:$I$3000,0),MATCH(J$4,폐업정보!$D$3:$R$3,0)),
"Error"))</f>
        <v>6498200000</v>
      </c>
      <c r="K126" s="75" t="str">
        <f aca="false">
IF($D126="정상",INDEX(임대자산!$D$3:$R$3000,MATCH($F126,임대자산!$I$3:$I$3000,0),MATCH(K$4,임대자산!$D$3:$R$3,0)),
IF($D126="폐업",INDEX(폐업정보!$D$3:$R$3000,MATCH($F126,폐업정보!$I$3:$I$3000,0),MATCH(K$4,폐업정보!$D$3:$R$3,0)),
"Error"))</f>
        <v>C0121</v>
      </c>
      <c r="L126" s="75" t="str">
        <f aca="false">
IF($D126="정상",INDEX(임대자산!$D$3:$R$3000,MATCH($F126,임대자산!$I$3:$I$3000,0),MATCH(L$4,임대자산!$D$3:$R$3,0)),
IF($D126="폐업",INDEX(폐업정보!$D$3:$R$3000,MATCH($F126,폐업정보!$I$3:$I$3000,0),MATCH(L$4,폐업정보!$D$3:$R$3,0)),
"Error"))</f>
        <v>D0121</v>
      </c>
      <c r="M126" s="76" t="s">
        <v>96</v>
      </c>
      <c r="N126" s="77"/>
      <c r="O126" s="78" t="s">
        <v>97</v>
      </c>
      <c r="P126" s="79" t="n">
        <f aca="false">COUNTIFS(임대자산!$I:$I,가맹점정보!F126,임대자산!$N:$N,가맹점정보!P$4)</f>
        <v>1</v>
      </c>
      <c r="Q126" s="80" t="n">
        <f aca="false">COUNTIFS(임대자산!$I:$I,가맹점정보!F126,임대자산!$N:$N,가맹점정보!Q$4)</f>
        <v>0</v>
      </c>
      <c r="R126" s="81" t="n">
        <f aca="false">COUNTIFS(임대자산!$I:$I,가맹점정보!F126,임대자산!$N:$N,가맹점정보!R$4)</f>
        <v>0</v>
      </c>
      <c r="S126" s="82" t="n">
        <v>55000</v>
      </c>
      <c r="T126" s="83" t="n">
        <v>0</v>
      </c>
      <c r="U126" s="80" t="n">
        <f aca="false">SUM(S126:T126)</f>
        <v>55000</v>
      </c>
      <c r="V126" s="84" t="s">
        <v>12</v>
      </c>
      <c r="W126" s="80" t="e">
        <f aca="true">
IF(D126="폐업","폐업",
IF(V126="면제","면제",
IF(AND(V126="정상",COUNTIFS(OFFSET(Y126,0,COUNTA(Y126:AV126)-1,1,-4),"미납")&gt;=3),"장기미납",
IF(AND(V126="정상",OFFSET(Y126,0,COUNTA(Y126:AV126)-1)&gt;=U126),"정상",
IF(AND(V126="정상",OFFSET(Y126,0,COUNTA(Y126:AV126)-1)=0),"정상",
"계약서 미작성")))))</f>
        <v>#VALUE!</v>
      </c>
      <c r="X126" s="81" t="str">
        <f aca="true">
IF(D126="폐업","폐업",
IF(AND(V126="정상",OFFSET(Y126,0,COUNTA(Y126:AV126)-1)="미납"),"미납",
IF(AND(V126="정상",OFFSET(Y126,0,COUNTA(Y126:AV126)-1)=0),"납부 시작 전",
IF(AND(V126="정상",OFFSET(Y126,0,COUNTA(Y126:AV126)-1)&gt;=U126),"정상",
IF(AND(V126="면제",OFFSET(Y126,0,COUNTA(Y126:AV126)-1)="면제"),"면제",
IF(AND(V126="면제",OFFSET(Y126,0,COUNTA(Y126:AV126)-1)=0),"면제",
"확인요청"))))))</f>
        <v>정상</v>
      </c>
      <c r="Y126" s="93" t="n">
        <v>55000</v>
      </c>
      <c r="Z126" s="90" t="n">
        <v>55000</v>
      </c>
      <c r="AA126" s="90" t="n">
        <v>55000</v>
      </c>
      <c r="AB126" s="90" t="n">
        <v>55000</v>
      </c>
      <c r="AC126" s="90" t="n">
        <v>55000</v>
      </c>
      <c r="AD126" s="90" t="n">
        <v>55000</v>
      </c>
      <c r="AE126" s="90" t="n">
        <v>55000</v>
      </c>
      <c r="AF126" s="90" t="n">
        <v>55000</v>
      </c>
      <c r="AG126" s="90" t="n">
        <v>55000</v>
      </c>
      <c r="AH126" s="90" t="n">
        <v>55000</v>
      </c>
      <c r="AI126" s="90" t="n">
        <v>55000</v>
      </c>
      <c r="AJ126" s="91" t="n">
        <v>55000</v>
      </c>
      <c r="AK126" s="89" t="n">
        <v>55000</v>
      </c>
      <c r="AL126" s="90" t="n">
        <v>55000</v>
      </c>
      <c r="AM126" s="90"/>
      <c r="AN126" s="90"/>
      <c r="AO126" s="90"/>
      <c r="AP126" s="90"/>
      <c r="AQ126" s="90"/>
      <c r="AR126" s="90"/>
      <c r="AS126" s="90"/>
      <c r="AT126" s="90"/>
      <c r="AU126" s="90"/>
      <c r="AV126" s="91"/>
      <c r="AX126" s="92"/>
    </row>
    <row r="127" customFormat="false" ht="15.65" hidden="false" customHeight="false" outlineLevel="0" collapsed="false">
      <c r="C127" s="72" t="n">
        <f aca="false">COUNTIFS($D$6:D127,"&lt;&gt;"&amp;"")</f>
        <v>122</v>
      </c>
      <c r="D127" s="73" t="s">
        <v>12</v>
      </c>
      <c r="E127" s="76" t="str">
        <f aca="false">
IF($D127="정상",INDEX(임대자산!$D$3:$R$3000,MATCH($F127,임대자산!$I$3:$I$3000,0),MATCH(E$3,임대자산!$D$3:$R$3,0)),
IF($D127="폐업",INDEX(폐업정보!$D$3:$R$3000,MATCH($F127,폐업정보!$I$3:$I$3000,0),MATCH(E$3,폐업정보!$D$3:$R$3,0)),
"Error"))</f>
        <v>경상</v>
      </c>
      <c r="F12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B0122</v>
      </c>
      <c r="G127" s="76" t="str">
        <f aca="false">F127&amp;RANDBETWEEN(0,10)</f>
        <v>B01224</v>
      </c>
      <c r="H127" s="75" t="n">
        <f aca="false">
IF($D127="정상",INDEX(임대자산!$D$3:$R$3000,MATCH($F127,임대자산!$I$3:$I$3000,0),MATCH(H$4,임대자산!$D$3:$R$3,0)),
IF($D127="폐업",INDEX(폐업정보!$D$3:$R$3000,MATCH($F127,폐업정보!$I$3:$I$3000,0),MATCH(H$4,폐업정보!$D$3:$R$3,0)),
"Error"))</f>
        <v>42781</v>
      </c>
      <c r="I127" s="75" t="str">
        <f aca="false">
IF($D127="정상",INDEX(임대자산!$D$3:$R$3000,MATCH($F127,임대자산!$I$3:$I$3000,0),MATCH(I$4,임대자산!$D$3:$R$3,0)),
IF($D127="폐업",INDEX(폐업정보!$D$3:$R$3000,MATCH($F127,폐업정보!$I$3:$I$3000,0),MATCH(I$4,폐업정보!$D$3:$R$3,0)),
"Error"))</f>
        <v>A0122</v>
      </c>
      <c r="J127" s="75" t="str">
        <f aca="false">
IF($D127="정상",INDEX(임대자산!$D$3:$R$3000,MATCH($F127,임대자산!$I$3:$I$3000,0),MATCH(J$4,임대자산!$D$3:$R$3,0)),
IF($D127="폐업",INDEX(폐업정보!$D$3:$R$3000,MATCH($F127,폐업정보!$I$3:$I$3000,0),MATCH(J$4,폐업정보!$D$3:$R$3,0)),
"Error"))</f>
        <v>9816400000</v>
      </c>
      <c r="K127" s="75" t="str">
        <f aca="false">
IF($D127="정상",INDEX(임대자산!$D$3:$R$3000,MATCH($F127,임대자산!$I$3:$I$3000,0),MATCH(K$4,임대자산!$D$3:$R$3,0)),
IF($D127="폐업",INDEX(폐업정보!$D$3:$R$3000,MATCH($F127,폐업정보!$I$3:$I$3000,0),MATCH(K$4,폐업정보!$D$3:$R$3,0)),
"Error"))</f>
        <v>C0122</v>
      </c>
      <c r="L127" s="75" t="str">
        <f aca="false">
IF($D127="정상",INDEX(임대자산!$D$3:$R$3000,MATCH($F127,임대자산!$I$3:$I$3000,0),MATCH(L$4,임대자산!$D$3:$R$3,0)),
IF($D127="폐업",INDEX(폐업정보!$D$3:$R$3000,MATCH($F127,폐업정보!$I$3:$I$3000,0),MATCH(L$4,폐업정보!$D$3:$R$3,0)),
"Error"))</f>
        <v>D0122</v>
      </c>
      <c r="M127" s="76" t="s">
        <v>96</v>
      </c>
      <c r="N127" s="77"/>
      <c r="O127" s="78" t="s">
        <v>97</v>
      </c>
      <c r="P127" s="79" t="n">
        <f aca="false">COUNTIFS(임대자산!$I:$I,가맹점정보!F127,임대자산!$N:$N,가맹점정보!P$4)</f>
        <v>1</v>
      </c>
      <c r="Q127" s="80" t="n">
        <f aca="false">COUNTIFS(임대자산!$I:$I,가맹점정보!F127,임대자산!$N:$N,가맹점정보!Q$4)</f>
        <v>0</v>
      </c>
      <c r="R127" s="81" t="n">
        <f aca="false">COUNTIFS(임대자산!$I:$I,가맹점정보!F127,임대자산!$N:$N,가맹점정보!R$4)</f>
        <v>0</v>
      </c>
      <c r="S127" s="82" t="n">
        <v>55000</v>
      </c>
      <c r="T127" s="83" t="n">
        <v>0</v>
      </c>
      <c r="U127" s="80" t="n">
        <f aca="false">SUM(S127:T127)</f>
        <v>55000</v>
      </c>
      <c r="V127" s="84" t="s">
        <v>12</v>
      </c>
      <c r="W127" s="80" t="e">
        <f aca="true">
IF(D127="폐업","폐업",
IF(V127="면제","면제",
IF(AND(V127="정상",COUNTIFS(OFFSET(Y127,0,COUNTA(Y127:AV127)-1,1,-4),"미납")&gt;=3),"장기미납",
IF(AND(V127="정상",OFFSET(Y127,0,COUNTA(Y127:AV127)-1)&gt;=U127),"정상",
IF(AND(V127="정상",OFFSET(Y127,0,COUNTA(Y127:AV127)-1)=0),"정상",
"계약서 미작성")))))</f>
        <v>#VALUE!</v>
      </c>
      <c r="X127" s="81" t="str">
        <f aca="true">
IF(D127="폐업","폐업",
IF(AND(V127="정상",OFFSET(Y127,0,COUNTA(Y127:AV127)-1)="미납"),"미납",
IF(AND(V127="정상",OFFSET(Y127,0,COUNTA(Y127:AV127)-1)=0),"납부 시작 전",
IF(AND(V127="정상",OFFSET(Y127,0,COUNTA(Y127:AV127)-1)&gt;=U127),"정상",
IF(AND(V127="면제",OFFSET(Y127,0,COUNTA(Y127:AV127)-1)="면제"),"면제",
IF(AND(V127="면제",OFFSET(Y127,0,COUNTA(Y127:AV127)-1)=0),"면제",
"확인요청"))))))</f>
        <v>정상</v>
      </c>
      <c r="Y127" s="93" t="n">
        <v>55000</v>
      </c>
      <c r="Z127" s="90" t="n">
        <v>55000</v>
      </c>
      <c r="AA127" s="90" t="n">
        <v>55000</v>
      </c>
      <c r="AB127" s="90" t="n">
        <v>55000</v>
      </c>
      <c r="AC127" s="90" t="n">
        <v>55000</v>
      </c>
      <c r="AD127" s="90" t="n">
        <v>55000</v>
      </c>
      <c r="AE127" s="90" t="n">
        <v>55000</v>
      </c>
      <c r="AF127" s="90" t="n">
        <v>55000</v>
      </c>
      <c r="AG127" s="90" t="n">
        <v>55000</v>
      </c>
      <c r="AH127" s="90" t="n">
        <v>55000</v>
      </c>
      <c r="AI127" s="90" t="n">
        <v>55000</v>
      </c>
      <c r="AJ127" s="91" t="n">
        <v>55000</v>
      </c>
      <c r="AK127" s="89" t="n">
        <v>55000</v>
      </c>
      <c r="AL127" s="90" t="n">
        <v>55000</v>
      </c>
      <c r="AM127" s="90"/>
      <c r="AN127" s="90"/>
      <c r="AO127" s="90"/>
      <c r="AP127" s="90"/>
      <c r="AQ127" s="90"/>
      <c r="AR127" s="90"/>
      <c r="AS127" s="90"/>
      <c r="AT127" s="90"/>
      <c r="AU127" s="90"/>
      <c r="AV127" s="91"/>
      <c r="AX127" s="92"/>
    </row>
    <row r="128" customFormat="false" ht="15.65" hidden="false" customHeight="false" outlineLevel="0" collapsed="false">
      <c r="C128" s="72" t="n">
        <f aca="false">COUNTIFS($D$6:D128,"&lt;&gt;"&amp;"")</f>
        <v>123</v>
      </c>
      <c r="D128" s="73" t="s">
        <v>12</v>
      </c>
      <c r="E128" s="76" t="str">
        <f aca="false">
IF($D128="정상",INDEX(임대자산!$D$3:$R$3000,MATCH($F128,임대자산!$I$3:$I$3000,0),MATCH(E$3,임대자산!$D$3:$R$3,0)),
IF($D128="폐업",INDEX(폐업정보!$D$3:$R$3000,MATCH($F128,폐업정보!$I$3:$I$3000,0),MATCH(E$3,폐업정보!$D$3:$R$3,0)),
"Error"))</f>
        <v>전라</v>
      </c>
      <c r="F12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B0123</v>
      </c>
      <c r="G128" s="76" t="str">
        <f aca="false">F128&amp;RANDBETWEEN(0,10)</f>
        <v>B01234</v>
      </c>
      <c r="H128" s="75" t="n">
        <f aca="false">
IF($D128="정상",INDEX(임대자산!$D$3:$R$3000,MATCH($F128,임대자산!$I$3:$I$3000,0),MATCH(H$4,임대자산!$D$3:$R$3,0)),
IF($D128="폐업",INDEX(폐업정보!$D$3:$R$3000,MATCH($F128,폐업정보!$I$3:$I$3000,0),MATCH(H$4,폐업정보!$D$3:$R$3,0)),
"Error"))</f>
        <v>44021</v>
      </c>
      <c r="I128" s="75" t="str">
        <f aca="false">
IF($D128="정상",INDEX(임대자산!$D$3:$R$3000,MATCH($F128,임대자산!$I$3:$I$3000,0),MATCH(I$4,임대자산!$D$3:$R$3,0)),
IF($D128="폐업",INDEX(폐업정보!$D$3:$R$3000,MATCH($F128,폐업정보!$I$3:$I$3000,0),MATCH(I$4,폐업정보!$D$3:$R$3,0)),
"Error"))</f>
        <v>A0123</v>
      </c>
      <c r="J128" s="75" t="str">
        <f aca="false">
IF($D128="정상",INDEX(임대자산!$D$3:$R$3000,MATCH($F128,임대자산!$I$3:$I$3000,0),MATCH(J$4,임대자산!$D$3:$R$3,0)),
IF($D128="폐업",INDEX(폐업정보!$D$3:$R$3000,MATCH($F128,폐업정보!$I$3:$I$3000,0),MATCH(J$4,폐업정보!$D$3:$R$3,0)),
"Error"))</f>
        <v>9722200000</v>
      </c>
      <c r="K128" s="75" t="str">
        <f aca="false">
IF($D128="정상",INDEX(임대자산!$D$3:$R$3000,MATCH($F128,임대자산!$I$3:$I$3000,0),MATCH(K$4,임대자산!$D$3:$R$3,0)),
IF($D128="폐업",INDEX(폐업정보!$D$3:$R$3000,MATCH($F128,폐업정보!$I$3:$I$3000,0),MATCH(K$4,폐업정보!$D$3:$R$3,0)),
"Error"))</f>
        <v>C0123</v>
      </c>
      <c r="L128" s="75" t="str">
        <f aca="false">
IF($D128="정상",INDEX(임대자산!$D$3:$R$3000,MATCH($F128,임대자산!$I$3:$I$3000,0),MATCH(L$4,임대자산!$D$3:$R$3,0)),
IF($D128="폐업",INDEX(폐업정보!$D$3:$R$3000,MATCH($F128,폐업정보!$I$3:$I$3000,0),MATCH(L$4,폐업정보!$D$3:$R$3,0)),
"Error"))</f>
        <v>D0123</v>
      </c>
      <c r="M128" s="76" t="s">
        <v>96</v>
      </c>
      <c r="N128" s="77"/>
      <c r="O128" s="78" t="s">
        <v>97</v>
      </c>
      <c r="P128" s="79" t="n">
        <f aca="false">COUNTIFS(임대자산!$I:$I,가맹점정보!F128,임대자산!$N:$N,가맹점정보!P$4)</f>
        <v>1</v>
      </c>
      <c r="Q128" s="80" t="n">
        <f aca="false">COUNTIFS(임대자산!$I:$I,가맹점정보!F128,임대자산!$N:$N,가맹점정보!Q$4)</f>
        <v>0</v>
      </c>
      <c r="R128" s="81" t="n">
        <f aca="false">COUNTIFS(임대자산!$I:$I,가맹점정보!F128,임대자산!$N:$N,가맹점정보!R$4)</f>
        <v>0</v>
      </c>
      <c r="S128" s="82" t="n">
        <v>55000</v>
      </c>
      <c r="T128" s="83" t="n">
        <v>0</v>
      </c>
      <c r="U128" s="80" t="n">
        <f aca="false">SUM(S128:T128)</f>
        <v>55000</v>
      </c>
      <c r="V128" s="84" t="s">
        <v>12</v>
      </c>
      <c r="W128" s="80" t="e">
        <f aca="true">
IF(D128="폐업","폐업",
IF(V128="면제","면제",
IF(AND(V128="정상",COUNTIFS(OFFSET(Y128,0,COUNTA(Y128:AV128)-1,1,-4),"미납")&gt;=3),"장기미납",
IF(AND(V128="정상",OFFSET(Y128,0,COUNTA(Y128:AV128)-1)&gt;=U128),"정상",
IF(AND(V128="정상",OFFSET(Y128,0,COUNTA(Y128:AV128)-1)=0),"정상",
"계약서 미작성")))))</f>
        <v>#VALUE!</v>
      </c>
      <c r="X128" s="81" t="str">
        <f aca="true">
IF(D128="폐업","폐업",
IF(AND(V128="정상",OFFSET(Y128,0,COUNTA(Y128:AV128)-1)="미납"),"미납",
IF(AND(V128="정상",OFFSET(Y128,0,COUNTA(Y128:AV128)-1)=0),"납부 시작 전",
IF(AND(V128="정상",OFFSET(Y128,0,COUNTA(Y128:AV128)-1)&gt;=U128),"정상",
IF(AND(V128="면제",OFFSET(Y128,0,COUNTA(Y128:AV128)-1)="면제"),"면제",
IF(AND(V128="면제",OFFSET(Y128,0,COUNTA(Y128:AV128)-1)=0),"면제",
"확인요청"))))))</f>
        <v>정상</v>
      </c>
      <c r="Y128" s="93" t="n">
        <v>55000</v>
      </c>
      <c r="Z128" s="90" t="n">
        <v>55000</v>
      </c>
      <c r="AA128" s="90" t="n">
        <v>55000</v>
      </c>
      <c r="AB128" s="90" t="n">
        <v>55000</v>
      </c>
      <c r="AC128" s="90" t="n">
        <v>55000</v>
      </c>
      <c r="AD128" s="90" t="n">
        <v>55000</v>
      </c>
      <c r="AE128" s="90" t="n">
        <v>55000</v>
      </c>
      <c r="AF128" s="90" t="n">
        <v>55000</v>
      </c>
      <c r="AG128" s="90" t="n">
        <v>55000</v>
      </c>
      <c r="AH128" s="90" t="n">
        <v>55000</v>
      </c>
      <c r="AI128" s="90" t="n">
        <v>55000</v>
      </c>
      <c r="AJ128" s="91" t="n">
        <v>55000</v>
      </c>
      <c r="AK128" s="89" t="n">
        <v>55000</v>
      </c>
      <c r="AL128" s="90" t="n">
        <v>55000</v>
      </c>
      <c r="AM128" s="90"/>
      <c r="AN128" s="90"/>
      <c r="AO128" s="90"/>
      <c r="AP128" s="90"/>
      <c r="AQ128" s="90"/>
      <c r="AR128" s="90"/>
      <c r="AS128" s="90"/>
      <c r="AT128" s="90"/>
      <c r="AU128" s="90"/>
      <c r="AV128" s="91"/>
      <c r="AX128" s="92"/>
    </row>
    <row r="129" customFormat="false" ht="15.65" hidden="false" customHeight="false" outlineLevel="0" collapsed="false">
      <c r="C129" s="72" t="n">
        <f aca="false">COUNTIFS($D$6:D129,"&lt;&gt;"&amp;"")</f>
        <v>124</v>
      </c>
      <c r="D129" s="73" t="s">
        <v>12</v>
      </c>
      <c r="E129" s="76" t="str">
        <f aca="false">
IF($D129="정상",INDEX(임대자산!$D$3:$R$3000,MATCH($F129,임대자산!$I$3:$I$3000,0),MATCH(E$3,임대자산!$D$3:$R$3,0)),
IF($D129="폐업",INDEX(폐업정보!$D$3:$R$3000,MATCH($F129,폐업정보!$I$3:$I$3000,0),MATCH(E$3,폐업정보!$D$3:$R$3,0)),
"Error"))</f>
        <v>서울</v>
      </c>
      <c r="F12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B0124</v>
      </c>
      <c r="G129" s="76" t="str">
        <f aca="false">F129&amp;RANDBETWEEN(0,10)</f>
        <v>B01246</v>
      </c>
      <c r="H129" s="75" t="n">
        <f aca="false">
IF($D129="정상",INDEX(임대자산!$D$3:$R$3000,MATCH($F129,임대자산!$I$3:$I$3000,0),MATCH(H$4,임대자산!$D$3:$R$3,0)),
IF($D129="폐업",INDEX(폐업정보!$D$3:$R$3000,MATCH($F129,폐업정보!$I$3:$I$3000,0),MATCH(H$4,폐업정보!$D$3:$R$3,0)),
"Error"))</f>
        <v>45681</v>
      </c>
      <c r="I129" s="75" t="str">
        <f aca="false">
IF($D129="정상",INDEX(임대자산!$D$3:$R$3000,MATCH($F129,임대자산!$I$3:$I$3000,0),MATCH(I$4,임대자산!$D$3:$R$3,0)),
IF($D129="폐업",INDEX(폐업정보!$D$3:$R$3000,MATCH($F129,폐업정보!$I$3:$I$3000,0),MATCH(I$4,폐업정보!$D$3:$R$3,0)),
"Error"))</f>
        <v>A0124</v>
      </c>
      <c r="J129" s="75" t="str">
        <f aca="false">
IF($D129="정상",INDEX(임대자산!$D$3:$R$3000,MATCH($F129,임대자산!$I$3:$I$3000,0),MATCH(J$4,임대자산!$D$3:$R$3,0)),
IF($D129="폐업",INDEX(폐업정보!$D$3:$R$3000,MATCH($F129,폐업정보!$I$3:$I$3000,0),MATCH(J$4,폐업정보!$D$3:$R$3,0)),
"Error"))</f>
        <v>5314000000</v>
      </c>
      <c r="K129" s="75" t="str">
        <f aca="false">
IF($D129="정상",INDEX(임대자산!$D$3:$R$3000,MATCH($F129,임대자산!$I$3:$I$3000,0),MATCH(K$4,임대자산!$D$3:$R$3,0)),
IF($D129="폐업",INDEX(폐업정보!$D$3:$R$3000,MATCH($F129,폐업정보!$I$3:$I$3000,0),MATCH(K$4,폐업정보!$D$3:$R$3,0)),
"Error"))</f>
        <v>C0124</v>
      </c>
      <c r="L129" s="75" t="str">
        <f aca="false">
IF($D129="정상",INDEX(임대자산!$D$3:$R$3000,MATCH($F129,임대자산!$I$3:$I$3000,0),MATCH(L$4,임대자산!$D$3:$R$3,0)),
IF($D129="폐업",INDEX(폐업정보!$D$3:$R$3000,MATCH($F129,폐업정보!$I$3:$I$3000,0),MATCH(L$4,폐업정보!$D$3:$R$3,0)),
"Error"))</f>
        <v>D0124</v>
      </c>
      <c r="M129" s="76" t="s">
        <v>96</v>
      </c>
      <c r="N129" s="77"/>
      <c r="O129" s="78" t="s">
        <v>97</v>
      </c>
      <c r="P129" s="79" t="n">
        <f aca="false">COUNTIFS(임대자산!$I:$I,가맹점정보!F129,임대자산!$N:$N,가맹점정보!P$4)</f>
        <v>1</v>
      </c>
      <c r="Q129" s="80" t="n">
        <f aca="false">COUNTIFS(임대자산!$I:$I,가맹점정보!F129,임대자산!$N:$N,가맹점정보!Q$4)</f>
        <v>0</v>
      </c>
      <c r="R129" s="81" t="n">
        <f aca="false">COUNTIFS(임대자산!$I:$I,가맹점정보!F129,임대자산!$N:$N,가맹점정보!R$4)</f>
        <v>0</v>
      </c>
      <c r="S129" s="82" t="n">
        <v>55000</v>
      </c>
      <c r="T129" s="83" t="n">
        <v>0</v>
      </c>
      <c r="U129" s="80" t="n">
        <f aca="false">SUM(S129:T129)</f>
        <v>55000</v>
      </c>
      <c r="V129" s="84" t="s">
        <v>12</v>
      </c>
      <c r="W129" s="80" t="e">
        <f aca="true">
IF(D129="폐업","폐업",
IF(V129="면제","면제",
IF(AND(V129="정상",COUNTIFS(OFFSET(Y129,0,COUNTA(Y129:AV129)-1,1,-4),"미납")&gt;=3),"장기미납",
IF(AND(V129="정상",OFFSET(Y129,0,COUNTA(Y129:AV129)-1)&gt;=U129),"정상",
IF(AND(V129="정상",OFFSET(Y129,0,COUNTA(Y129:AV129)-1)=0),"정상",
"계약서 미작성")))))</f>
        <v>#VALUE!</v>
      </c>
      <c r="X129" s="81" t="str">
        <f aca="true">
IF(D129="폐업","폐업",
IF(AND(V129="정상",OFFSET(Y129,0,COUNTA(Y129:AV129)-1)="미납"),"미납",
IF(AND(V129="정상",OFFSET(Y129,0,COUNTA(Y129:AV129)-1)=0),"납부 시작 전",
IF(AND(V129="정상",OFFSET(Y129,0,COUNTA(Y129:AV129)-1)&gt;=U129),"정상",
IF(AND(V129="면제",OFFSET(Y129,0,COUNTA(Y129:AV129)-1)="면제"),"면제",
IF(AND(V129="면제",OFFSET(Y129,0,COUNTA(Y129:AV129)-1)=0),"면제",
"확인요청"))))))</f>
        <v>정상</v>
      </c>
      <c r="Y129" s="93" t="n">
        <v>55000</v>
      </c>
      <c r="Z129" s="90" t="n">
        <v>55000</v>
      </c>
      <c r="AA129" s="90" t="n">
        <v>55000</v>
      </c>
      <c r="AB129" s="90" t="n">
        <v>55000</v>
      </c>
      <c r="AC129" s="90" t="n">
        <v>55000</v>
      </c>
      <c r="AD129" s="90" t="n">
        <v>55000</v>
      </c>
      <c r="AE129" s="90" t="n">
        <v>55000</v>
      </c>
      <c r="AF129" s="90" t="n">
        <v>55000</v>
      </c>
      <c r="AG129" s="90" t="n">
        <v>55000</v>
      </c>
      <c r="AH129" s="90" t="n">
        <v>55000</v>
      </c>
      <c r="AI129" s="90" t="n">
        <v>55000</v>
      </c>
      <c r="AJ129" s="91" t="n">
        <v>55000</v>
      </c>
      <c r="AK129" s="89" t="n">
        <v>55000</v>
      </c>
      <c r="AL129" s="90" t="n">
        <v>55000</v>
      </c>
      <c r="AM129" s="90"/>
      <c r="AN129" s="90"/>
      <c r="AO129" s="90"/>
      <c r="AP129" s="90"/>
      <c r="AQ129" s="90"/>
      <c r="AR129" s="90"/>
      <c r="AS129" s="90"/>
      <c r="AT129" s="90"/>
      <c r="AU129" s="90"/>
      <c r="AV129" s="91"/>
      <c r="AX129" s="92"/>
    </row>
    <row r="130" customFormat="false" ht="15.65" hidden="false" customHeight="false" outlineLevel="0" collapsed="false">
      <c r="C130" s="72" t="n">
        <f aca="false">COUNTIFS($D$6:D130,"&lt;&gt;"&amp;"")</f>
        <v>125</v>
      </c>
      <c r="D130" s="73" t="s">
        <v>12</v>
      </c>
      <c r="E130" s="76" t="str">
        <f aca="false">
IF($D130="정상",INDEX(임대자산!$D$3:$R$3000,MATCH($F130,임대자산!$I$3:$I$3000,0),MATCH(E$3,임대자산!$D$3:$R$3,0)),
IF($D130="폐업",INDEX(폐업정보!$D$3:$R$3000,MATCH($F130,폐업정보!$I$3:$I$3000,0),MATCH(E$3,폐업정보!$D$3:$R$3,0)),
"Error"))</f>
        <v>전라</v>
      </c>
      <c r="F13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B0125</v>
      </c>
      <c r="G130" s="76" t="str">
        <f aca="false">F130&amp;RANDBETWEEN(0,10)</f>
        <v>B01257</v>
      </c>
      <c r="H130" s="75" t="n">
        <f aca="false">
IF($D130="정상",INDEX(임대자산!$D$3:$R$3000,MATCH($F130,임대자산!$I$3:$I$3000,0),MATCH(H$4,임대자산!$D$3:$R$3,0)),
IF($D130="폐업",INDEX(폐업정보!$D$3:$R$3000,MATCH($F130,폐업정보!$I$3:$I$3000,0),MATCH(H$4,폐업정보!$D$3:$R$3,0)),
"Error"))</f>
        <v>44126</v>
      </c>
      <c r="I130" s="75" t="str">
        <f aca="false">
IF($D130="정상",INDEX(임대자산!$D$3:$R$3000,MATCH($F130,임대자산!$I$3:$I$3000,0),MATCH(I$4,임대자산!$D$3:$R$3,0)),
IF($D130="폐업",INDEX(폐업정보!$D$3:$R$3000,MATCH($F130,폐업정보!$I$3:$I$3000,0),MATCH(I$4,폐업정보!$D$3:$R$3,0)),
"Error"))</f>
        <v>A0125</v>
      </c>
      <c r="J130" s="75" t="str">
        <f aca="false">
IF($D130="정상",INDEX(임대자산!$D$3:$R$3000,MATCH($F130,임대자산!$I$3:$I$3000,0),MATCH(J$4,임대자산!$D$3:$R$3,0)),
IF($D130="폐업",INDEX(폐업정보!$D$3:$R$3000,MATCH($F130,폐업정보!$I$3:$I$3000,0),MATCH(J$4,폐업정보!$D$3:$R$3,0)),
"Error"))</f>
        <v>2934900000</v>
      </c>
      <c r="K130" s="75" t="str">
        <f aca="false">
IF($D130="정상",INDEX(임대자산!$D$3:$R$3000,MATCH($F130,임대자산!$I$3:$I$3000,0),MATCH(K$4,임대자산!$D$3:$R$3,0)),
IF($D130="폐업",INDEX(폐업정보!$D$3:$R$3000,MATCH($F130,폐업정보!$I$3:$I$3000,0),MATCH(K$4,폐업정보!$D$3:$R$3,0)),
"Error"))</f>
        <v>C0125</v>
      </c>
      <c r="L130" s="75" t="str">
        <f aca="false">
IF($D130="정상",INDEX(임대자산!$D$3:$R$3000,MATCH($F130,임대자산!$I$3:$I$3000,0),MATCH(L$4,임대자산!$D$3:$R$3,0)),
IF($D130="폐업",INDEX(폐업정보!$D$3:$R$3000,MATCH($F130,폐업정보!$I$3:$I$3000,0),MATCH(L$4,폐업정보!$D$3:$R$3,0)),
"Error"))</f>
        <v>D0125</v>
      </c>
      <c r="M130" s="76" t="s">
        <v>96</v>
      </c>
      <c r="N130" s="77"/>
      <c r="O130" s="78" t="s">
        <v>97</v>
      </c>
      <c r="P130" s="79" t="n">
        <f aca="false">COUNTIFS(임대자산!$I:$I,가맹점정보!F130,임대자산!$N:$N,가맹점정보!P$4)</f>
        <v>1</v>
      </c>
      <c r="Q130" s="80" t="n">
        <f aca="false">COUNTIFS(임대자산!$I:$I,가맹점정보!F130,임대자산!$N:$N,가맹점정보!Q$4)</f>
        <v>0</v>
      </c>
      <c r="R130" s="81" t="n">
        <f aca="false">COUNTIFS(임대자산!$I:$I,가맹점정보!F130,임대자산!$N:$N,가맹점정보!R$4)</f>
        <v>0</v>
      </c>
      <c r="S130" s="82" t="n">
        <v>55000</v>
      </c>
      <c r="T130" s="83" t="n">
        <v>0</v>
      </c>
      <c r="U130" s="80" t="n">
        <f aca="false">SUM(S130:T130)</f>
        <v>55000</v>
      </c>
      <c r="V130" s="84" t="s">
        <v>7</v>
      </c>
      <c r="W130" s="80" t="str">
        <f aca="true">
IF(D130="폐업","폐업",
IF(V130="면제","면제",
IF(AND(V130="정상",COUNTIFS(OFFSET(Y130,0,COUNTA(Y130:AV130)-1,1,-4),"미납")&gt;=3),"장기미납",
IF(AND(V130="정상",OFFSET(Y130,0,COUNTA(Y130:AV130)-1)&gt;=U130),"정상",
IF(AND(V130="정상",OFFSET(Y130,0,COUNTA(Y130:AV130)-1)=0),"정상",
"계약서 미작성")))))</f>
        <v>면제</v>
      </c>
      <c r="X130" s="81" t="str">
        <f aca="true">
IF(D130="폐업","폐업",
IF(AND(V130="정상",OFFSET(Y130,0,COUNTA(Y130:AV130)-1)="미납"),"미납",
IF(AND(V130="정상",OFFSET(Y130,0,COUNTA(Y130:AV130)-1)=0),"납부 시작 전",
IF(AND(V130="정상",OFFSET(Y130,0,COUNTA(Y130:AV130)-1)&gt;=U130),"정상",
IF(AND(V130="면제",OFFSET(Y130,0,COUNTA(Y130:AV130)-1)="면제"),"면제",
IF(AND(V130="면제",OFFSET(Y130,0,COUNTA(Y130:AV130)-1)=0),"면제",
"확인요청"))))))</f>
        <v>면제</v>
      </c>
      <c r="Y130" s="93" t="n">
        <v>55000</v>
      </c>
      <c r="Z130" s="90" t="n">
        <v>55000</v>
      </c>
      <c r="AA130" s="90" t="n">
        <v>55000</v>
      </c>
      <c r="AB130" s="90" t="n">
        <v>55000</v>
      </c>
      <c r="AC130" s="90" t="n">
        <v>55000</v>
      </c>
      <c r="AD130" s="90" t="n">
        <v>55000</v>
      </c>
      <c r="AE130" s="90" t="n">
        <v>55000</v>
      </c>
      <c r="AF130" s="90" t="n">
        <v>55000</v>
      </c>
      <c r="AG130" s="90" t="n">
        <v>55000</v>
      </c>
      <c r="AH130" s="95" t="s">
        <v>7</v>
      </c>
      <c r="AI130" s="95" t="s">
        <v>7</v>
      </c>
      <c r="AJ130" s="96" t="s">
        <v>7</v>
      </c>
      <c r="AK130" s="97" t="s">
        <v>7</v>
      </c>
      <c r="AL130" s="95" t="s">
        <v>7</v>
      </c>
      <c r="AM130" s="90"/>
      <c r="AN130" s="90"/>
      <c r="AO130" s="90"/>
      <c r="AP130" s="90"/>
      <c r="AQ130" s="90"/>
      <c r="AR130" s="90"/>
      <c r="AS130" s="90"/>
      <c r="AT130" s="90"/>
      <c r="AU130" s="90"/>
      <c r="AV130" s="91"/>
      <c r="AX130" s="92"/>
    </row>
    <row r="131" customFormat="false" ht="15.65" hidden="false" customHeight="false" outlineLevel="0" collapsed="false">
      <c r="C131" s="72" t="n">
        <f aca="false">COUNTIFS($D$6:D131,"&lt;&gt;"&amp;"")</f>
        <v>126</v>
      </c>
      <c r="D131" s="73" t="s">
        <v>12</v>
      </c>
      <c r="E131" s="76" t="str">
        <f aca="false">
IF($D131="정상",INDEX(임대자산!$D$3:$R$3000,MATCH($F131,임대자산!$I$3:$I$3000,0),MATCH(E$3,임대자산!$D$3:$R$3,0)),
IF($D131="폐업",INDEX(폐업정보!$D$3:$R$3000,MATCH($F131,폐업정보!$I$3:$I$3000,0),MATCH(E$3,폐업정보!$D$3:$R$3,0)),
"Error"))</f>
        <v>전라</v>
      </c>
      <c r="F13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B0126</v>
      </c>
      <c r="G131" s="76" t="str">
        <f aca="false">F131&amp;RANDBETWEEN(0,10)</f>
        <v>B01260</v>
      </c>
      <c r="H131" s="75" t="n">
        <f aca="false">
IF($D131="정상",INDEX(임대자산!$D$3:$R$3000,MATCH($F131,임대자산!$I$3:$I$3000,0),MATCH(H$4,임대자산!$D$3:$R$3,0)),
IF($D131="폐업",INDEX(폐업정보!$D$3:$R$3000,MATCH($F131,폐업정보!$I$3:$I$3000,0),MATCH(H$4,폐업정보!$D$3:$R$3,0)),
"Error"))</f>
        <v>43795</v>
      </c>
      <c r="I131" s="75" t="str">
        <f aca="false">
IF($D131="정상",INDEX(임대자산!$D$3:$R$3000,MATCH($F131,임대자산!$I$3:$I$3000,0),MATCH(I$4,임대자산!$D$3:$R$3,0)),
IF($D131="폐업",INDEX(폐업정보!$D$3:$R$3000,MATCH($F131,폐업정보!$I$3:$I$3000,0),MATCH(I$4,폐업정보!$D$3:$R$3,0)),
"Error"))</f>
        <v>A0126</v>
      </c>
      <c r="J131" s="75" t="str">
        <f aca="false">
IF($D131="정상",INDEX(임대자산!$D$3:$R$3000,MATCH($F131,임대자산!$I$3:$I$3000,0),MATCH(J$4,임대자산!$D$3:$R$3,0)),
IF($D131="폐업",INDEX(폐업정보!$D$3:$R$3000,MATCH($F131,폐업정보!$I$3:$I$3000,0),MATCH(J$4,폐업정보!$D$3:$R$3,0)),
"Error"))</f>
        <v>5739800000</v>
      </c>
      <c r="K131" s="75" t="str">
        <f aca="false">
IF($D131="정상",INDEX(임대자산!$D$3:$R$3000,MATCH($F131,임대자산!$I$3:$I$3000,0),MATCH(K$4,임대자산!$D$3:$R$3,0)),
IF($D131="폐업",INDEX(폐업정보!$D$3:$R$3000,MATCH($F131,폐업정보!$I$3:$I$3000,0),MATCH(K$4,폐업정보!$D$3:$R$3,0)),
"Error"))</f>
        <v>C0126</v>
      </c>
      <c r="L131" s="75" t="str">
        <f aca="false">
IF($D131="정상",INDEX(임대자산!$D$3:$R$3000,MATCH($F131,임대자산!$I$3:$I$3000,0),MATCH(L$4,임대자산!$D$3:$R$3,0)),
IF($D131="폐업",INDEX(폐업정보!$D$3:$R$3000,MATCH($F131,폐업정보!$I$3:$I$3000,0),MATCH(L$4,폐업정보!$D$3:$R$3,0)),
"Error"))</f>
        <v>D0126</v>
      </c>
      <c r="M131" s="76" t="s">
        <v>96</v>
      </c>
      <c r="N131" s="77"/>
      <c r="O131" s="78" t="s">
        <v>97</v>
      </c>
      <c r="P131" s="79" t="n">
        <f aca="false">COUNTIFS(임대자산!$I:$I,가맹점정보!F131,임대자산!$N:$N,가맹점정보!P$4)</f>
        <v>1</v>
      </c>
      <c r="Q131" s="80" t="n">
        <f aca="false">COUNTIFS(임대자산!$I:$I,가맹점정보!F131,임대자산!$N:$N,가맹점정보!Q$4)</f>
        <v>0</v>
      </c>
      <c r="R131" s="81" t="n">
        <f aca="false">COUNTIFS(임대자산!$I:$I,가맹점정보!F131,임대자산!$N:$N,가맹점정보!R$4)</f>
        <v>0</v>
      </c>
      <c r="S131" s="82" t="n">
        <v>55000</v>
      </c>
      <c r="T131" s="83" t="n">
        <v>0</v>
      </c>
      <c r="U131" s="80" t="n">
        <f aca="false">SUM(S131:T131)</f>
        <v>55000</v>
      </c>
      <c r="V131" s="84" t="s">
        <v>12</v>
      </c>
      <c r="W131" s="80" t="e">
        <f aca="true">
IF(D131="폐업","폐업",
IF(V131="면제","면제",
IF(AND(V131="정상",COUNTIFS(OFFSET(Y131,0,COUNTA(Y131:AV131)-1,1,-4),"미납")&gt;=3),"장기미납",
IF(AND(V131="정상",OFFSET(Y131,0,COUNTA(Y131:AV131)-1)&gt;=U131),"정상",
IF(AND(V131="정상",OFFSET(Y131,0,COUNTA(Y131:AV131)-1)=0),"정상",
"계약서 미작성")))))</f>
        <v>#VALUE!</v>
      </c>
      <c r="X131" s="81" t="str">
        <f aca="true">
IF(D131="폐업","폐업",
IF(AND(V131="정상",OFFSET(Y131,0,COUNTA(Y131:AV131)-1)="미납"),"미납",
IF(AND(V131="정상",OFFSET(Y131,0,COUNTA(Y131:AV131)-1)=0),"납부 시작 전",
IF(AND(V131="정상",OFFSET(Y131,0,COUNTA(Y131:AV131)-1)&gt;=U131),"정상",
IF(AND(V131="면제",OFFSET(Y131,0,COUNTA(Y131:AV131)-1)="면제"),"면제",
IF(AND(V131="면제",OFFSET(Y131,0,COUNTA(Y131:AV131)-1)=0),"면제",
"확인요청"))))))</f>
        <v>정상</v>
      </c>
      <c r="Y131" s="93" t="n">
        <v>55000</v>
      </c>
      <c r="Z131" s="90" t="n">
        <v>55000</v>
      </c>
      <c r="AA131" s="90" t="n">
        <v>55000</v>
      </c>
      <c r="AB131" s="90" t="n">
        <v>55000</v>
      </c>
      <c r="AC131" s="90" t="n">
        <v>55000</v>
      </c>
      <c r="AD131" s="90" t="n">
        <v>55000</v>
      </c>
      <c r="AE131" s="90" t="n">
        <v>55000</v>
      </c>
      <c r="AF131" s="90" t="n">
        <v>55000</v>
      </c>
      <c r="AG131" s="90" t="n">
        <v>55000</v>
      </c>
      <c r="AH131" s="90" t="n">
        <v>55000</v>
      </c>
      <c r="AI131" s="90" t="n">
        <v>55000</v>
      </c>
      <c r="AJ131" s="91" t="n">
        <v>55000</v>
      </c>
      <c r="AK131" s="89" t="n">
        <v>55000</v>
      </c>
      <c r="AL131" s="90" t="n">
        <v>55000</v>
      </c>
      <c r="AM131" s="90"/>
      <c r="AN131" s="90"/>
      <c r="AO131" s="90"/>
      <c r="AP131" s="90"/>
      <c r="AQ131" s="90"/>
      <c r="AR131" s="90"/>
      <c r="AS131" s="90"/>
      <c r="AT131" s="90"/>
      <c r="AU131" s="90"/>
      <c r="AV131" s="91"/>
      <c r="AX131" s="92"/>
    </row>
    <row r="132" customFormat="false" ht="15.65" hidden="false" customHeight="false" outlineLevel="0" collapsed="false">
      <c r="C132" s="72" t="n">
        <f aca="false">COUNTIFS($D$6:D132,"&lt;&gt;"&amp;"")</f>
        <v>127</v>
      </c>
      <c r="D132" s="73" t="s">
        <v>12</v>
      </c>
      <c r="E132" s="76" t="str">
        <f aca="false">
IF($D132="정상",INDEX(임대자산!$D$3:$R$3000,MATCH($F132,임대자산!$I$3:$I$3000,0),MATCH(E$3,임대자산!$D$3:$R$3,0)),
IF($D132="폐업",INDEX(폐업정보!$D$3:$R$3000,MATCH($F132,폐업정보!$I$3:$I$3000,0),MATCH(E$3,폐업정보!$D$3:$R$3,0)),
"Error"))</f>
        <v>전라</v>
      </c>
      <c r="F13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B0127</v>
      </c>
      <c r="G132" s="76" t="str">
        <f aca="false">F132&amp;RANDBETWEEN(0,10)</f>
        <v>B01279</v>
      </c>
      <c r="H132" s="75" t="n">
        <f aca="false">
IF($D132="정상",INDEX(임대자산!$D$3:$R$3000,MATCH($F132,임대자산!$I$3:$I$3000,0),MATCH(H$4,임대자산!$D$3:$R$3,0)),
IF($D132="폐업",INDEX(폐업정보!$D$3:$R$3000,MATCH($F132,폐업정보!$I$3:$I$3000,0),MATCH(H$4,폐업정보!$D$3:$R$3,0)),
"Error"))</f>
        <v>43489</v>
      </c>
      <c r="I132" s="75" t="str">
        <f aca="false">
IF($D132="정상",INDEX(임대자산!$D$3:$R$3000,MATCH($F132,임대자산!$I$3:$I$3000,0),MATCH(I$4,임대자산!$D$3:$R$3,0)),
IF($D132="폐업",INDEX(폐업정보!$D$3:$R$3000,MATCH($F132,폐업정보!$I$3:$I$3000,0),MATCH(I$4,폐업정보!$D$3:$R$3,0)),
"Error"))</f>
        <v>A0127</v>
      </c>
      <c r="J132" s="75" t="str">
        <f aca="false">
IF($D132="정상",INDEX(임대자산!$D$3:$R$3000,MATCH($F132,임대자산!$I$3:$I$3000,0),MATCH(J$4,임대자산!$D$3:$R$3,0)),
IF($D132="폐업",INDEX(폐업정보!$D$3:$R$3000,MATCH($F132,폐업정보!$I$3:$I$3000,0),MATCH(J$4,폐업정보!$D$3:$R$3,0)),
"Error"))</f>
        <v>9246900000</v>
      </c>
      <c r="K132" s="75" t="str">
        <f aca="false">
IF($D132="정상",INDEX(임대자산!$D$3:$R$3000,MATCH($F132,임대자산!$I$3:$I$3000,0),MATCH(K$4,임대자산!$D$3:$R$3,0)),
IF($D132="폐업",INDEX(폐업정보!$D$3:$R$3000,MATCH($F132,폐업정보!$I$3:$I$3000,0),MATCH(K$4,폐업정보!$D$3:$R$3,0)),
"Error"))</f>
        <v>C0127</v>
      </c>
      <c r="L132" s="75" t="str">
        <f aca="false">
IF($D132="정상",INDEX(임대자산!$D$3:$R$3000,MATCH($F132,임대자산!$I$3:$I$3000,0),MATCH(L$4,임대자산!$D$3:$R$3,0)),
IF($D132="폐업",INDEX(폐업정보!$D$3:$R$3000,MATCH($F132,폐업정보!$I$3:$I$3000,0),MATCH(L$4,폐업정보!$D$3:$R$3,0)),
"Error"))</f>
        <v>D0127</v>
      </c>
      <c r="M132" s="76" t="s">
        <v>96</v>
      </c>
      <c r="N132" s="77"/>
      <c r="O132" s="78" t="s">
        <v>97</v>
      </c>
      <c r="P132" s="79" t="n">
        <f aca="false">COUNTIFS(임대자산!$I:$I,가맹점정보!F132,임대자산!$N:$N,가맹점정보!P$4)</f>
        <v>1</v>
      </c>
      <c r="Q132" s="80" t="n">
        <f aca="false">COUNTIFS(임대자산!$I:$I,가맹점정보!F132,임대자산!$N:$N,가맹점정보!Q$4)</f>
        <v>0</v>
      </c>
      <c r="R132" s="81" t="n">
        <f aca="false">COUNTIFS(임대자산!$I:$I,가맹점정보!F132,임대자산!$N:$N,가맹점정보!R$4)</f>
        <v>0</v>
      </c>
      <c r="S132" s="82" t="n">
        <v>55000</v>
      </c>
      <c r="T132" s="83" t="n">
        <v>0</v>
      </c>
      <c r="U132" s="80" t="n">
        <f aca="false">SUM(S132:T132)</f>
        <v>55000</v>
      </c>
      <c r="V132" s="84" t="s">
        <v>12</v>
      </c>
      <c r="W132" s="80" t="e">
        <f aca="true">
IF(D132="폐업","폐업",
IF(V132="면제","면제",
IF(AND(V132="정상",COUNTIFS(OFFSET(Y132,0,COUNTA(Y132:AV132)-1,1,-4),"미납")&gt;=3),"장기미납",
IF(AND(V132="정상",OFFSET(Y132,0,COUNTA(Y132:AV132)-1)&gt;=U132),"정상",
IF(AND(V132="정상",OFFSET(Y132,0,COUNTA(Y132:AV132)-1)=0),"정상",
"계약서 미작성")))))</f>
        <v>#VALUE!</v>
      </c>
      <c r="X132" s="81" t="str">
        <f aca="true">
IF(D132="폐업","폐업",
IF(AND(V132="정상",OFFSET(Y132,0,COUNTA(Y132:AV132)-1)="미납"),"미납",
IF(AND(V132="정상",OFFSET(Y132,0,COUNTA(Y132:AV132)-1)=0),"납부 시작 전",
IF(AND(V132="정상",OFFSET(Y132,0,COUNTA(Y132:AV132)-1)&gt;=U132),"정상",
IF(AND(V132="면제",OFFSET(Y132,0,COUNTA(Y132:AV132)-1)="면제"),"면제",
IF(AND(V132="면제",OFFSET(Y132,0,COUNTA(Y132:AV132)-1)=0),"면제",
"확인요청"))))))</f>
        <v>정상</v>
      </c>
      <c r="Y132" s="93" t="n">
        <v>55000</v>
      </c>
      <c r="Z132" s="90" t="n">
        <v>55000</v>
      </c>
      <c r="AA132" s="90" t="n">
        <v>55000</v>
      </c>
      <c r="AB132" s="90" t="n">
        <v>55000</v>
      </c>
      <c r="AC132" s="90" t="n">
        <v>55000</v>
      </c>
      <c r="AD132" s="90" t="n">
        <v>55000</v>
      </c>
      <c r="AE132" s="90" t="n">
        <v>55000</v>
      </c>
      <c r="AF132" s="90" t="n">
        <v>55000</v>
      </c>
      <c r="AG132" s="90" t="n">
        <v>55000</v>
      </c>
      <c r="AH132" s="90" t="n">
        <v>55000</v>
      </c>
      <c r="AI132" s="90" t="n">
        <v>55000</v>
      </c>
      <c r="AJ132" s="91" t="n">
        <v>55000</v>
      </c>
      <c r="AK132" s="89" t="n">
        <v>55000</v>
      </c>
      <c r="AL132" s="90" t="n">
        <v>55000</v>
      </c>
      <c r="AM132" s="90"/>
      <c r="AN132" s="90"/>
      <c r="AO132" s="90"/>
      <c r="AP132" s="90"/>
      <c r="AQ132" s="90"/>
      <c r="AR132" s="90"/>
      <c r="AS132" s="90"/>
      <c r="AT132" s="90"/>
      <c r="AU132" s="90"/>
      <c r="AV132" s="91"/>
      <c r="AX132" s="92"/>
    </row>
    <row r="133" customFormat="false" ht="15.65" hidden="false" customHeight="false" outlineLevel="0" collapsed="false">
      <c r="C133" s="72" t="n">
        <f aca="false">COUNTIFS($D$6:D133,"&lt;&gt;"&amp;"")</f>
        <v>128</v>
      </c>
      <c r="D133" s="73" t="s">
        <v>12</v>
      </c>
      <c r="E133" s="76" t="str">
        <f aca="false">
IF($D133="정상",INDEX(임대자산!$D$3:$R$3000,MATCH($F133,임대자산!$I$3:$I$3000,0),MATCH(E$3,임대자산!$D$3:$R$3,0)),
IF($D133="폐업",INDEX(폐업정보!$D$3:$R$3000,MATCH($F133,폐업정보!$I$3:$I$3000,0),MATCH(E$3,폐업정보!$D$3:$R$3,0)),
"Error"))</f>
        <v>전라</v>
      </c>
      <c r="F13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B0128</v>
      </c>
      <c r="G133" s="76" t="str">
        <f aca="false">F133&amp;RANDBETWEEN(0,10)</f>
        <v>B01284</v>
      </c>
      <c r="H133" s="75" t="n">
        <f aca="false">
IF($D133="정상",INDEX(임대자산!$D$3:$R$3000,MATCH($F133,임대자산!$I$3:$I$3000,0),MATCH(H$4,임대자산!$D$3:$R$3,0)),
IF($D133="폐업",INDEX(폐업정보!$D$3:$R$3000,MATCH($F133,폐업정보!$I$3:$I$3000,0),MATCH(H$4,폐업정보!$D$3:$R$3,0)),
"Error"))</f>
        <v>44029</v>
      </c>
      <c r="I133" s="75" t="str">
        <f aca="false">
IF($D133="정상",INDEX(임대자산!$D$3:$R$3000,MATCH($F133,임대자산!$I$3:$I$3000,0),MATCH(I$4,임대자산!$D$3:$R$3,0)),
IF($D133="폐업",INDEX(폐업정보!$D$3:$R$3000,MATCH($F133,폐업정보!$I$3:$I$3000,0),MATCH(I$4,폐업정보!$D$3:$R$3,0)),
"Error"))</f>
        <v>A0128</v>
      </c>
      <c r="J133" s="75" t="str">
        <f aca="false">
IF($D133="정상",INDEX(임대자산!$D$3:$R$3000,MATCH($F133,임대자산!$I$3:$I$3000,0),MATCH(J$4,임대자산!$D$3:$R$3,0)),
IF($D133="폐업",INDEX(폐업정보!$D$3:$R$3000,MATCH($F133,폐업정보!$I$3:$I$3000,0),MATCH(J$4,폐업정보!$D$3:$R$3,0)),
"Error"))</f>
        <v>3722100000</v>
      </c>
      <c r="K133" s="75" t="str">
        <f aca="false">
IF($D133="정상",INDEX(임대자산!$D$3:$R$3000,MATCH($F133,임대자산!$I$3:$I$3000,0),MATCH(K$4,임대자산!$D$3:$R$3,0)),
IF($D133="폐업",INDEX(폐업정보!$D$3:$R$3000,MATCH($F133,폐업정보!$I$3:$I$3000,0),MATCH(K$4,폐업정보!$D$3:$R$3,0)),
"Error"))</f>
        <v>C0128</v>
      </c>
      <c r="L133" s="75" t="str">
        <f aca="false">
IF($D133="정상",INDEX(임대자산!$D$3:$R$3000,MATCH($F133,임대자산!$I$3:$I$3000,0),MATCH(L$4,임대자산!$D$3:$R$3,0)),
IF($D133="폐업",INDEX(폐업정보!$D$3:$R$3000,MATCH($F133,폐업정보!$I$3:$I$3000,0),MATCH(L$4,폐업정보!$D$3:$R$3,0)),
"Error"))</f>
        <v>D0128</v>
      </c>
      <c r="M133" s="76" t="s">
        <v>96</v>
      </c>
      <c r="N133" s="77"/>
      <c r="O133" s="78" t="s">
        <v>97</v>
      </c>
      <c r="P133" s="79" t="n">
        <f aca="false">COUNTIFS(임대자산!$I:$I,가맹점정보!F133,임대자산!$N:$N,가맹점정보!P$4)</f>
        <v>1</v>
      </c>
      <c r="Q133" s="80" t="n">
        <f aca="false">COUNTIFS(임대자산!$I:$I,가맹점정보!F133,임대자산!$N:$N,가맹점정보!Q$4)</f>
        <v>0</v>
      </c>
      <c r="R133" s="81" t="n">
        <f aca="false">COUNTIFS(임대자산!$I:$I,가맹점정보!F133,임대자산!$N:$N,가맹점정보!R$4)</f>
        <v>0</v>
      </c>
      <c r="S133" s="82" t="n">
        <v>55000</v>
      </c>
      <c r="T133" s="83" t="n">
        <v>0</v>
      </c>
      <c r="U133" s="80" t="n">
        <f aca="false">SUM(S133:T133)</f>
        <v>55000</v>
      </c>
      <c r="V133" s="84" t="s">
        <v>7</v>
      </c>
      <c r="W133" s="80" t="str">
        <f aca="true">
IF(D133="폐업","폐업",
IF(V133="면제","면제",
IF(AND(V133="정상",COUNTIFS(OFFSET(Y133,0,COUNTA(Y133:AV133)-1,1,-4),"미납")&gt;=3),"장기미납",
IF(AND(V133="정상",OFFSET(Y133,0,COUNTA(Y133:AV133)-1)&gt;=U133),"정상",
IF(AND(V133="정상",OFFSET(Y133,0,COUNTA(Y133:AV133)-1)=0),"정상",
"계약서 미작성")))))</f>
        <v>면제</v>
      </c>
      <c r="X133" s="81" t="str">
        <f aca="true">
IF(D133="폐업","폐업",
IF(AND(V133="정상",OFFSET(Y133,0,COUNTA(Y133:AV133)-1)="미납"),"미납",
IF(AND(V133="정상",OFFSET(Y133,0,COUNTA(Y133:AV133)-1)=0),"납부 시작 전",
IF(AND(V133="정상",OFFSET(Y133,0,COUNTA(Y133:AV133)-1)&gt;=U133),"정상",
IF(AND(V133="면제",OFFSET(Y133,0,COUNTA(Y133:AV133)-1)="면제"),"면제",
IF(AND(V133="면제",OFFSET(Y133,0,COUNTA(Y133:AV133)-1)=0),"면제",
"확인요청"))))))</f>
        <v>면제</v>
      </c>
      <c r="Y133" s="94" t="s">
        <v>7</v>
      </c>
      <c r="Z133" s="95" t="s">
        <v>7</v>
      </c>
      <c r="AA133" s="95" t="s">
        <v>7</v>
      </c>
      <c r="AB133" s="95" t="s">
        <v>7</v>
      </c>
      <c r="AC133" s="95" t="s">
        <v>7</v>
      </c>
      <c r="AD133" s="95" t="s">
        <v>7</v>
      </c>
      <c r="AE133" s="95" t="s">
        <v>7</v>
      </c>
      <c r="AF133" s="95" t="s">
        <v>7</v>
      </c>
      <c r="AG133" s="95" t="s">
        <v>7</v>
      </c>
      <c r="AH133" s="95" t="s">
        <v>7</v>
      </c>
      <c r="AI133" s="95" t="s">
        <v>7</v>
      </c>
      <c r="AJ133" s="96" t="s">
        <v>7</v>
      </c>
      <c r="AK133" s="97" t="s">
        <v>7</v>
      </c>
      <c r="AL133" s="95" t="s">
        <v>7</v>
      </c>
      <c r="AM133" s="90"/>
      <c r="AN133" s="90"/>
      <c r="AO133" s="90"/>
      <c r="AP133" s="90"/>
      <c r="AQ133" s="90"/>
      <c r="AR133" s="90"/>
      <c r="AS133" s="90"/>
      <c r="AT133" s="90"/>
      <c r="AU133" s="90"/>
      <c r="AV133" s="91"/>
      <c r="AX133" s="92"/>
    </row>
    <row r="134" customFormat="false" ht="15.65" hidden="false" customHeight="false" outlineLevel="0" collapsed="false">
      <c r="C134" s="72" t="n">
        <f aca="false">COUNTIFS($D$6:D134,"&lt;&gt;"&amp;"")</f>
        <v>129</v>
      </c>
      <c r="D134" s="73" t="s">
        <v>12</v>
      </c>
      <c r="E134" s="76" t="str">
        <f aca="false">
IF($D134="정상",INDEX(임대자산!$D$3:$R$3000,MATCH($F134,임대자산!$I$3:$I$3000,0),MATCH(E$3,임대자산!$D$3:$R$3,0)),
IF($D134="폐업",INDEX(폐업정보!$D$3:$R$3000,MATCH($F134,폐업정보!$I$3:$I$3000,0),MATCH(E$3,폐업정보!$D$3:$R$3,0)),
"Error"))</f>
        <v>전라</v>
      </c>
      <c r="F13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B0129</v>
      </c>
      <c r="G134" s="76" t="str">
        <f aca="false">F134&amp;RANDBETWEEN(0,10)</f>
        <v>B01296</v>
      </c>
      <c r="H134" s="75" t="n">
        <f aca="false">
IF($D134="정상",INDEX(임대자산!$D$3:$R$3000,MATCH($F134,임대자산!$I$3:$I$3000,0),MATCH(H$4,임대자산!$D$3:$R$3,0)),
IF($D134="폐업",INDEX(폐업정보!$D$3:$R$3000,MATCH($F134,폐업정보!$I$3:$I$3000,0),MATCH(H$4,폐업정보!$D$3:$R$3,0)),
"Error"))</f>
        <v>44040</v>
      </c>
      <c r="I134" s="75" t="str">
        <f aca="false">
IF($D134="정상",INDEX(임대자산!$D$3:$R$3000,MATCH($F134,임대자산!$I$3:$I$3000,0),MATCH(I$4,임대자산!$D$3:$R$3,0)),
IF($D134="폐업",INDEX(폐업정보!$D$3:$R$3000,MATCH($F134,폐업정보!$I$3:$I$3000,0),MATCH(I$4,폐업정보!$D$3:$R$3,0)),
"Error"))</f>
        <v>A0129</v>
      </c>
      <c r="J134" s="75" t="str">
        <f aca="false">
IF($D134="정상",INDEX(임대자산!$D$3:$R$3000,MATCH($F134,임대자산!$I$3:$I$3000,0),MATCH(J$4,임대자산!$D$3:$R$3,0)),
IF($D134="폐업",INDEX(폐업정보!$D$3:$R$3000,MATCH($F134,폐업정보!$I$3:$I$3000,0),MATCH(J$4,폐업정보!$D$3:$R$3,0)),
"Error"))</f>
        <v>9368000000</v>
      </c>
      <c r="K134" s="75" t="str">
        <f aca="false">
IF($D134="정상",INDEX(임대자산!$D$3:$R$3000,MATCH($F134,임대자산!$I$3:$I$3000,0),MATCH(K$4,임대자산!$D$3:$R$3,0)),
IF($D134="폐업",INDEX(폐업정보!$D$3:$R$3000,MATCH($F134,폐업정보!$I$3:$I$3000,0),MATCH(K$4,폐업정보!$D$3:$R$3,0)),
"Error"))</f>
        <v>C0129</v>
      </c>
      <c r="L134" s="75" t="str">
        <f aca="false">
IF($D134="정상",INDEX(임대자산!$D$3:$R$3000,MATCH($F134,임대자산!$I$3:$I$3000,0),MATCH(L$4,임대자산!$D$3:$R$3,0)),
IF($D134="폐업",INDEX(폐업정보!$D$3:$R$3000,MATCH($F134,폐업정보!$I$3:$I$3000,0),MATCH(L$4,폐업정보!$D$3:$R$3,0)),
"Error"))</f>
        <v>D0129</v>
      </c>
      <c r="M134" s="76" t="s">
        <v>96</v>
      </c>
      <c r="N134" s="77"/>
      <c r="O134" s="78" t="s">
        <v>97</v>
      </c>
      <c r="P134" s="79" t="n">
        <f aca="false">COUNTIFS(임대자산!$I:$I,가맹점정보!F134,임대자산!$N:$N,가맹점정보!P$4)</f>
        <v>1</v>
      </c>
      <c r="Q134" s="80" t="n">
        <f aca="false">COUNTIFS(임대자산!$I:$I,가맹점정보!F134,임대자산!$N:$N,가맹점정보!Q$4)</f>
        <v>0</v>
      </c>
      <c r="R134" s="81" t="n">
        <f aca="false">COUNTIFS(임대자산!$I:$I,가맹점정보!F134,임대자산!$N:$N,가맹점정보!R$4)</f>
        <v>0</v>
      </c>
      <c r="S134" s="82" t="n">
        <v>55000</v>
      </c>
      <c r="T134" s="83" t="n">
        <v>0</v>
      </c>
      <c r="U134" s="80" t="n">
        <f aca="false">SUM(S134:T134)</f>
        <v>55000</v>
      </c>
      <c r="V134" s="84" t="s">
        <v>12</v>
      </c>
      <c r="W134" s="80" t="e">
        <f aca="true">
IF(D134="폐업","폐업",
IF(V134="면제","면제",
IF(AND(V134="정상",COUNTIFS(OFFSET(Y134,0,COUNTA(Y134:AV134)-1,1,-4),"미납")&gt;=3),"장기미납",
IF(AND(V134="정상",OFFSET(Y134,0,COUNTA(Y134:AV134)-1)&gt;=U134),"정상",
IF(AND(V134="정상",OFFSET(Y134,0,COUNTA(Y134:AV134)-1)=0),"정상",
"계약서 미작성")))))</f>
        <v>#VALUE!</v>
      </c>
      <c r="X134" s="81" t="str">
        <f aca="true">
IF(D134="폐업","폐업",
IF(AND(V134="정상",OFFSET(Y134,0,COUNTA(Y134:AV134)-1)="미납"),"미납",
IF(AND(V134="정상",OFFSET(Y134,0,COUNTA(Y134:AV134)-1)=0),"납부 시작 전",
IF(AND(V134="정상",OFFSET(Y134,0,COUNTA(Y134:AV134)-1)&gt;=U134),"정상",
IF(AND(V134="면제",OFFSET(Y134,0,COUNTA(Y134:AV134)-1)="면제"),"면제",
IF(AND(V134="면제",OFFSET(Y134,0,COUNTA(Y134:AV134)-1)=0),"면제",
"확인요청"))))))</f>
        <v>정상</v>
      </c>
      <c r="Y134" s="93" t="n">
        <v>55000</v>
      </c>
      <c r="Z134" s="90" t="n">
        <v>55000</v>
      </c>
      <c r="AA134" s="90" t="n">
        <v>55000</v>
      </c>
      <c r="AB134" s="90" t="n">
        <v>55000</v>
      </c>
      <c r="AC134" s="90" t="n">
        <v>55000</v>
      </c>
      <c r="AD134" s="90" t="n">
        <v>55000</v>
      </c>
      <c r="AE134" s="90" t="n">
        <v>55000</v>
      </c>
      <c r="AF134" s="90" t="n">
        <v>55000</v>
      </c>
      <c r="AG134" s="90" t="n">
        <v>55000</v>
      </c>
      <c r="AH134" s="90" t="n">
        <v>55000</v>
      </c>
      <c r="AI134" s="90" t="n">
        <v>55000</v>
      </c>
      <c r="AJ134" s="91" t="n">
        <v>55000</v>
      </c>
      <c r="AK134" s="89" t="n">
        <v>55000</v>
      </c>
      <c r="AL134" s="90" t="n">
        <v>55000</v>
      </c>
      <c r="AM134" s="90"/>
      <c r="AN134" s="90"/>
      <c r="AO134" s="90"/>
      <c r="AP134" s="90"/>
      <c r="AQ134" s="90"/>
      <c r="AR134" s="90"/>
      <c r="AS134" s="90"/>
      <c r="AT134" s="90"/>
      <c r="AU134" s="90"/>
      <c r="AV134" s="91"/>
      <c r="AX134" s="92"/>
    </row>
    <row r="135" customFormat="false" ht="15.65" hidden="false" customHeight="false" outlineLevel="0" collapsed="false">
      <c r="C135" s="72" t="n">
        <f aca="false">COUNTIFS($D$6:D135,"&lt;&gt;"&amp;"")</f>
        <v>130</v>
      </c>
      <c r="D135" s="73" t="s">
        <v>12</v>
      </c>
      <c r="E135" s="76" t="str">
        <f aca="false">
IF($D135="정상",INDEX(임대자산!$D$3:$R$3000,MATCH($F135,임대자산!$I$3:$I$3000,0),MATCH(E$3,임대자산!$D$3:$R$3,0)),
IF($D135="폐업",INDEX(폐업정보!$D$3:$R$3000,MATCH($F135,폐업정보!$I$3:$I$3000,0),MATCH(E$3,폐업정보!$D$3:$R$3,0)),
"Error"))</f>
        <v>전라</v>
      </c>
      <c r="F13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B0130</v>
      </c>
      <c r="G135" s="76" t="str">
        <f aca="false">F135&amp;RANDBETWEEN(0,10)</f>
        <v>B01302</v>
      </c>
      <c r="H135" s="75" t="n">
        <f aca="false">
IF($D135="정상",INDEX(임대자산!$D$3:$R$3000,MATCH($F135,임대자산!$I$3:$I$3000,0),MATCH(H$4,임대자산!$D$3:$R$3,0)),
IF($D135="폐업",INDEX(폐업정보!$D$3:$R$3000,MATCH($F135,폐업정보!$I$3:$I$3000,0),MATCH(H$4,폐업정보!$D$3:$R$3,0)),
"Error"))</f>
        <v>44050</v>
      </c>
      <c r="I135" s="75" t="str">
        <f aca="false">
IF($D135="정상",INDEX(임대자산!$D$3:$R$3000,MATCH($F135,임대자산!$I$3:$I$3000,0),MATCH(I$4,임대자산!$D$3:$R$3,0)),
IF($D135="폐업",INDEX(폐업정보!$D$3:$R$3000,MATCH($F135,폐업정보!$I$3:$I$3000,0),MATCH(I$4,폐업정보!$D$3:$R$3,0)),
"Error"))</f>
        <v>A0130</v>
      </c>
      <c r="J135" s="75" t="str">
        <f aca="false">
IF($D135="정상",INDEX(임대자산!$D$3:$R$3000,MATCH($F135,임대자산!$I$3:$I$3000,0),MATCH(J$4,임대자산!$D$3:$R$3,0)),
IF($D135="폐업",INDEX(폐업정보!$D$3:$R$3000,MATCH($F135,폐업정보!$I$3:$I$3000,0),MATCH(J$4,폐업정보!$D$3:$R$3,0)),
"Error"))</f>
        <v>3112400000</v>
      </c>
      <c r="K135" s="75" t="str">
        <f aca="false">
IF($D135="정상",INDEX(임대자산!$D$3:$R$3000,MATCH($F135,임대자산!$I$3:$I$3000,0),MATCH(K$4,임대자산!$D$3:$R$3,0)),
IF($D135="폐업",INDEX(폐업정보!$D$3:$R$3000,MATCH($F135,폐업정보!$I$3:$I$3000,0),MATCH(K$4,폐업정보!$D$3:$R$3,0)),
"Error"))</f>
        <v>C0130</v>
      </c>
      <c r="L135" s="75" t="str">
        <f aca="false">
IF($D135="정상",INDEX(임대자산!$D$3:$R$3000,MATCH($F135,임대자산!$I$3:$I$3000,0),MATCH(L$4,임대자산!$D$3:$R$3,0)),
IF($D135="폐업",INDEX(폐업정보!$D$3:$R$3000,MATCH($F135,폐업정보!$I$3:$I$3000,0),MATCH(L$4,폐업정보!$D$3:$R$3,0)),
"Error"))</f>
        <v>D0130</v>
      </c>
      <c r="M135" s="76" t="s">
        <v>96</v>
      </c>
      <c r="N135" s="77"/>
      <c r="O135" s="78" t="s">
        <v>97</v>
      </c>
      <c r="P135" s="79" t="n">
        <f aca="false">COUNTIFS(임대자산!$I:$I,가맹점정보!F135,임대자산!$N:$N,가맹점정보!P$4)</f>
        <v>1</v>
      </c>
      <c r="Q135" s="80" t="n">
        <f aca="false">COUNTIFS(임대자산!$I:$I,가맹점정보!F135,임대자산!$N:$N,가맹점정보!Q$4)</f>
        <v>0</v>
      </c>
      <c r="R135" s="81" t="n">
        <f aca="false">COUNTIFS(임대자산!$I:$I,가맹점정보!F135,임대자산!$N:$N,가맹점정보!R$4)</f>
        <v>0</v>
      </c>
      <c r="S135" s="82" t="n">
        <v>88000</v>
      </c>
      <c r="T135" s="83" t="n">
        <v>0</v>
      </c>
      <c r="U135" s="80" t="n">
        <f aca="false">SUM(S135:T135)</f>
        <v>88000</v>
      </c>
      <c r="V135" s="84" t="s">
        <v>7</v>
      </c>
      <c r="W135" s="80" t="str">
        <f aca="true">
IF(D135="폐업","폐업",
IF(V135="면제","면제",
IF(AND(V135="정상",COUNTIFS(OFFSET(Y135,0,COUNTA(Y135:AV135)-1,1,-4),"미납")&gt;=3),"장기미납",
IF(AND(V135="정상",OFFSET(Y135,0,COUNTA(Y135:AV135)-1)&gt;=U135),"정상",
IF(AND(V135="정상",OFFSET(Y135,0,COUNTA(Y135:AV135)-1)=0),"정상",
"계약서 미작성")))))</f>
        <v>면제</v>
      </c>
      <c r="X135" s="81" t="str">
        <f aca="true">
IF(D135="폐업","폐업",
IF(AND(V135="정상",OFFSET(Y135,0,COUNTA(Y135:AV135)-1)="미납"),"미납",
IF(AND(V135="정상",OFFSET(Y135,0,COUNTA(Y135:AV135)-1)=0),"납부 시작 전",
IF(AND(V135="정상",OFFSET(Y135,0,COUNTA(Y135:AV135)-1)&gt;=U135),"정상",
IF(AND(V135="면제",OFFSET(Y135,0,COUNTA(Y135:AV135)-1)="면제"),"면제",
IF(AND(V135="면제",OFFSET(Y135,0,COUNTA(Y135:AV135)-1)=0),"면제",
"확인요청"))))))</f>
        <v>면제</v>
      </c>
      <c r="Y135" s="94" t="s">
        <v>7</v>
      </c>
      <c r="Z135" s="95" t="s">
        <v>7</v>
      </c>
      <c r="AA135" s="95" t="s">
        <v>7</v>
      </c>
      <c r="AB135" s="95" t="s">
        <v>7</v>
      </c>
      <c r="AC135" s="95" t="s">
        <v>7</v>
      </c>
      <c r="AD135" s="95" t="s">
        <v>7</v>
      </c>
      <c r="AE135" s="95" t="s">
        <v>7</v>
      </c>
      <c r="AF135" s="95" t="s">
        <v>7</v>
      </c>
      <c r="AG135" s="95" t="s">
        <v>7</v>
      </c>
      <c r="AH135" s="95" t="s">
        <v>7</v>
      </c>
      <c r="AI135" s="95" t="s">
        <v>7</v>
      </c>
      <c r="AJ135" s="96" t="s">
        <v>7</v>
      </c>
      <c r="AK135" s="97" t="s">
        <v>7</v>
      </c>
      <c r="AL135" s="95" t="s">
        <v>7</v>
      </c>
      <c r="AM135" s="90"/>
      <c r="AN135" s="90"/>
      <c r="AO135" s="90"/>
      <c r="AP135" s="90"/>
      <c r="AQ135" s="90"/>
      <c r="AR135" s="90"/>
      <c r="AS135" s="90"/>
      <c r="AT135" s="90"/>
      <c r="AU135" s="90"/>
      <c r="AV135" s="91"/>
      <c r="AX135" s="92"/>
    </row>
    <row r="136" customFormat="false" ht="15.65" hidden="false" customHeight="false" outlineLevel="0" collapsed="false">
      <c r="C136" s="72" t="n">
        <f aca="false">COUNTIFS($D$6:D136,"&lt;&gt;"&amp;"")</f>
        <v>131</v>
      </c>
      <c r="D136" s="73" t="s">
        <v>12</v>
      </c>
      <c r="E136" s="76" t="str">
        <f aca="false">
IF($D136="정상",INDEX(임대자산!$D$3:$R$3000,MATCH($F136,임대자산!$I$3:$I$3000,0),MATCH(E$3,임대자산!$D$3:$R$3,0)),
IF($D136="폐업",INDEX(폐업정보!$D$3:$R$3000,MATCH($F136,폐업정보!$I$3:$I$3000,0),MATCH(E$3,폐업정보!$D$3:$R$3,0)),
"Error"))</f>
        <v>전라</v>
      </c>
      <c r="F13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B0131</v>
      </c>
      <c r="G136" s="76" t="str">
        <f aca="false">F136&amp;RANDBETWEEN(0,10)</f>
        <v>B01313</v>
      </c>
      <c r="H136" s="75" t="n">
        <f aca="false">
IF($D136="정상",INDEX(임대자산!$D$3:$R$3000,MATCH($F136,임대자산!$I$3:$I$3000,0),MATCH(H$4,임대자산!$D$3:$R$3,0)),
IF($D136="폐업",INDEX(폐업정보!$D$3:$R$3000,MATCH($F136,폐업정보!$I$3:$I$3000,0),MATCH(H$4,폐업정보!$D$3:$R$3,0)),
"Error"))</f>
        <v>42838</v>
      </c>
      <c r="I136" s="75" t="str">
        <f aca="false">
IF($D136="정상",INDEX(임대자산!$D$3:$R$3000,MATCH($F136,임대자산!$I$3:$I$3000,0),MATCH(I$4,임대자산!$D$3:$R$3,0)),
IF($D136="폐업",INDEX(폐업정보!$D$3:$R$3000,MATCH($F136,폐업정보!$I$3:$I$3000,0),MATCH(I$4,폐업정보!$D$3:$R$3,0)),
"Error"))</f>
        <v>A0131</v>
      </c>
      <c r="J136" s="75" t="str">
        <f aca="false">
IF($D136="정상",INDEX(임대자산!$D$3:$R$3000,MATCH($F136,임대자산!$I$3:$I$3000,0),MATCH(J$4,임대자산!$D$3:$R$3,0)),
IF($D136="폐업",INDEX(폐업정보!$D$3:$R$3000,MATCH($F136,폐업정보!$I$3:$I$3000,0),MATCH(J$4,폐업정보!$D$3:$R$3,0)),
"Error"))</f>
        <v>4178200000</v>
      </c>
      <c r="K136" s="75" t="str">
        <f aca="false">
IF($D136="정상",INDEX(임대자산!$D$3:$R$3000,MATCH($F136,임대자산!$I$3:$I$3000,0),MATCH(K$4,임대자산!$D$3:$R$3,0)),
IF($D136="폐업",INDEX(폐업정보!$D$3:$R$3000,MATCH($F136,폐업정보!$I$3:$I$3000,0),MATCH(K$4,폐업정보!$D$3:$R$3,0)),
"Error"))</f>
        <v>C0131</v>
      </c>
      <c r="L136" s="75" t="str">
        <f aca="false">
IF($D136="정상",INDEX(임대자산!$D$3:$R$3000,MATCH($F136,임대자산!$I$3:$I$3000,0),MATCH(L$4,임대자산!$D$3:$R$3,0)),
IF($D136="폐업",INDEX(폐업정보!$D$3:$R$3000,MATCH($F136,폐업정보!$I$3:$I$3000,0),MATCH(L$4,폐업정보!$D$3:$R$3,0)),
"Error"))</f>
        <v>D0131</v>
      </c>
      <c r="M136" s="76" t="s">
        <v>96</v>
      </c>
      <c r="N136" s="77"/>
      <c r="O136" s="78" t="s">
        <v>97</v>
      </c>
      <c r="P136" s="79" t="n">
        <f aca="false">COUNTIFS(임대자산!$I:$I,가맹점정보!F136,임대자산!$N:$N,가맹점정보!P$4)</f>
        <v>1</v>
      </c>
      <c r="Q136" s="80" t="n">
        <f aca="false">COUNTIFS(임대자산!$I:$I,가맹점정보!F136,임대자산!$N:$N,가맹점정보!Q$4)</f>
        <v>0</v>
      </c>
      <c r="R136" s="81" t="n">
        <f aca="false">COUNTIFS(임대자산!$I:$I,가맹점정보!F136,임대자산!$N:$N,가맹점정보!R$4)</f>
        <v>0</v>
      </c>
      <c r="S136" s="82" t="n">
        <v>55000</v>
      </c>
      <c r="T136" s="83" t="n">
        <v>0</v>
      </c>
      <c r="U136" s="80" t="n">
        <f aca="false">SUM(S136:T136)</f>
        <v>55000</v>
      </c>
      <c r="V136" s="84" t="s">
        <v>12</v>
      </c>
      <c r="W136" s="80" t="e">
        <f aca="true">
IF(D136="폐업","폐업",
IF(V136="면제","면제",
IF(AND(V136="정상",COUNTIFS(OFFSET(Y136,0,COUNTA(Y136:AV136)-1,1,-4),"미납")&gt;=3),"장기미납",
IF(AND(V136="정상",OFFSET(Y136,0,COUNTA(Y136:AV136)-1)&gt;=U136),"정상",
IF(AND(V136="정상",OFFSET(Y136,0,COUNTA(Y136:AV136)-1)=0),"정상",
"계약서 미작성")))))</f>
        <v>#VALUE!</v>
      </c>
      <c r="X136" s="81" t="str">
        <f aca="true">
IF(D136="폐업","폐업",
IF(AND(V136="정상",OFFSET(Y136,0,COUNTA(Y136:AV136)-1)="미납"),"미납",
IF(AND(V136="정상",OFFSET(Y136,0,COUNTA(Y136:AV136)-1)=0),"납부 시작 전",
IF(AND(V136="정상",OFFSET(Y136,0,COUNTA(Y136:AV136)-1)&gt;=U136),"정상",
IF(AND(V136="면제",OFFSET(Y136,0,COUNTA(Y136:AV136)-1)="면제"),"면제",
IF(AND(V136="면제",OFFSET(Y136,0,COUNTA(Y136:AV136)-1)=0),"면제",
"확인요청"))))))</f>
        <v>정상</v>
      </c>
      <c r="Y136" s="93" t="n">
        <v>55000</v>
      </c>
      <c r="Z136" s="90" t="n">
        <v>55000</v>
      </c>
      <c r="AA136" s="90" t="n">
        <v>55000</v>
      </c>
      <c r="AB136" s="90" t="n">
        <v>55000</v>
      </c>
      <c r="AC136" s="90" t="n">
        <v>55000</v>
      </c>
      <c r="AD136" s="90" t="n">
        <v>55000</v>
      </c>
      <c r="AE136" s="90" t="n">
        <v>55000</v>
      </c>
      <c r="AF136" s="90" t="n">
        <v>55000</v>
      </c>
      <c r="AG136" s="90" t="n">
        <v>55000</v>
      </c>
      <c r="AH136" s="90" t="n">
        <v>55000</v>
      </c>
      <c r="AI136" s="90" t="n">
        <v>55000</v>
      </c>
      <c r="AJ136" s="91" t="n">
        <v>55000</v>
      </c>
      <c r="AK136" s="89" t="n">
        <v>55000</v>
      </c>
      <c r="AL136" s="90" t="n">
        <v>55000</v>
      </c>
      <c r="AM136" s="90"/>
      <c r="AN136" s="90"/>
      <c r="AO136" s="90"/>
      <c r="AP136" s="90"/>
      <c r="AQ136" s="90"/>
      <c r="AR136" s="90"/>
      <c r="AS136" s="90"/>
      <c r="AT136" s="90"/>
      <c r="AU136" s="90"/>
      <c r="AV136" s="91"/>
      <c r="AX136" s="92"/>
    </row>
    <row r="137" customFormat="false" ht="15.65" hidden="false" customHeight="false" outlineLevel="0" collapsed="false">
      <c r="C137" s="72" t="n">
        <f aca="false">COUNTIFS($D$6:D137,"&lt;&gt;"&amp;"")</f>
        <v>132</v>
      </c>
      <c r="D137" s="73" t="s">
        <v>5</v>
      </c>
      <c r="E137" s="76" t="str">
        <f aca="false">
IF($D137="정상",INDEX(임대자산!$D$3:$R$3000,MATCH($F137,임대자산!$I$3:$I$3000,0),MATCH(E$3,임대자산!$D$3:$R$3,0)),
IF($D137="폐업",INDEX(폐업정보!$D$3:$R$3000,MATCH($F137,폐업정보!$I$3:$I$3000,0),MATCH(E$3,폐업정보!$D$3:$R$3,0)),
"Error"))</f>
        <v>전라</v>
      </c>
      <c r="F13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B0132</v>
      </c>
      <c r="G137" s="76" t="str">
        <f aca="false">F137&amp;RANDBETWEEN(0,10)</f>
        <v>B01326</v>
      </c>
      <c r="H137" s="75" t="n">
        <f aca="false">
IF($D137="정상",INDEX(임대자산!$D$3:$R$3000,MATCH($F137,임대자산!$I$3:$I$3000,0),MATCH(H$4,임대자산!$D$3:$R$3,0)),
IF($D137="폐업",INDEX(폐업정보!$D$3:$R$3000,MATCH($F137,폐업정보!$I$3:$I$3000,0),MATCH(H$4,폐업정보!$D$3:$R$3,0)),
"Error"))</f>
        <v>42838</v>
      </c>
      <c r="I137" s="75" t="str">
        <f aca="false">
IF($D137="정상",INDEX(임대자산!$D$3:$R$3000,MATCH($F137,임대자산!$I$3:$I$3000,0),MATCH(I$4,임대자산!$D$3:$R$3,0)),
IF($D137="폐업",INDEX(폐업정보!$D$3:$R$3000,MATCH($F137,폐업정보!$I$3:$I$3000,0),MATCH(I$4,폐업정보!$D$3:$R$3,0)),
"Error"))</f>
        <v>A0132</v>
      </c>
      <c r="J137" s="75" t="str">
        <f aca="false">
IF($D137="정상",INDEX(임대자산!$D$3:$R$3000,MATCH($F137,임대자산!$I$3:$I$3000,0),MATCH(J$4,임대자산!$D$3:$R$3,0)),
IF($D137="폐업",INDEX(폐업정보!$D$3:$R$3000,MATCH($F137,폐업정보!$I$3:$I$3000,0),MATCH(J$4,폐업정보!$D$3:$R$3,0)),
"Error"))</f>
        <v>2471900000</v>
      </c>
      <c r="K137" s="75" t="str">
        <f aca="false">
IF($D137="정상",INDEX(임대자산!$D$3:$R$3000,MATCH($F137,임대자산!$I$3:$I$3000,0),MATCH(K$4,임대자산!$D$3:$R$3,0)),
IF($D137="폐업",INDEX(폐업정보!$D$3:$R$3000,MATCH($F137,폐업정보!$I$3:$I$3000,0),MATCH(K$4,폐업정보!$D$3:$R$3,0)),
"Error"))</f>
        <v>C0132</v>
      </c>
      <c r="L137" s="75" t="str">
        <f aca="false">
IF($D137="정상",INDEX(임대자산!$D$3:$R$3000,MATCH($F137,임대자산!$I$3:$I$3000,0),MATCH(L$4,임대자산!$D$3:$R$3,0)),
IF($D137="폐업",INDEX(폐업정보!$D$3:$R$3000,MATCH($F137,폐업정보!$I$3:$I$3000,0),MATCH(L$4,폐업정보!$D$3:$R$3,0)),
"Error"))</f>
        <v>D0132</v>
      </c>
      <c r="M137" s="76" t="s">
        <v>96</v>
      </c>
      <c r="N137" s="77"/>
      <c r="O137" s="78" t="s">
        <v>97</v>
      </c>
      <c r="P137" s="79" t="n">
        <f aca="false">COUNTIFS(임대자산!$I:$I,가맹점정보!F137,임대자산!$N:$N,가맹점정보!P$4)</f>
        <v>0</v>
      </c>
      <c r="Q137" s="80" t="n">
        <f aca="false">COUNTIFS(임대자산!$I:$I,가맹점정보!F137,임대자산!$N:$N,가맹점정보!Q$4)</f>
        <v>0</v>
      </c>
      <c r="R137" s="81" t="n">
        <f aca="false">COUNTIFS(임대자산!$I:$I,가맹점정보!F137,임대자산!$N:$N,가맹점정보!R$4)</f>
        <v>0</v>
      </c>
      <c r="S137" s="82" t="n">
        <v>55000</v>
      </c>
      <c r="T137" s="83" t="n">
        <v>0</v>
      </c>
      <c r="U137" s="80" t="n">
        <f aca="false">SUM(S137:T137)</f>
        <v>55000</v>
      </c>
      <c r="V137" s="84" t="s">
        <v>12</v>
      </c>
      <c r="W137" s="80" t="str">
        <f aca="true">
IF(D137="폐업","폐업",
IF(V137="면제","면제",
IF(AND(V137="정상",COUNTIFS(OFFSET(Y137,0,COUNTA(Y137:AV137)-1,1,-4),"미납")&gt;=3),"장기미납",
IF(AND(V137="정상",OFFSET(Y137,0,COUNTA(Y137:AV137)-1)&gt;=U137),"정상",
IF(AND(V137="정상",OFFSET(Y137,0,COUNTA(Y137:AV137)-1)=0),"정상",
"계약서 미작성")))))</f>
        <v>폐업</v>
      </c>
      <c r="X137" s="81" t="str">
        <f aca="true">
IF(D137="폐업","폐업",
IF(AND(V137="정상",OFFSET(Y137,0,COUNTA(Y137:AV137)-1)="미납"),"미납",
IF(AND(V137="정상",OFFSET(Y137,0,COUNTA(Y137:AV137)-1)=0),"납부 시작 전",
IF(AND(V137="정상",OFFSET(Y137,0,COUNTA(Y137:AV137)-1)&gt;=U137),"정상",
IF(AND(V137="면제",OFFSET(Y137,0,COUNTA(Y137:AV137)-1)="면제"),"면제",
IF(AND(V137="면제",OFFSET(Y137,0,COUNTA(Y137:AV137)-1)=0),"면제",
"확인요청"))))))</f>
        <v>폐업</v>
      </c>
      <c r="Y137" s="93" t="n">
        <v>55000</v>
      </c>
      <c r="Z137" s="90" t="n">
        <v>55000</v>
      </c>
      <c r="AA137" s="90" t="n">
        <v>55000</v>
      </c>
      <c r="AB137" s="90" t="n">
        <v>55000</v>
      </c>
      <c r="AC137" s="90" t="n">
        <v>55000</v>
      </c>
      <c r="AD137" s="90" t="n">
        <v>55000</v>
      </c>
      <c r="AE137" s="90" t="n">
        <v>55000</v>
      </c>
      <c r="AF137" s="90" t="n">
        <v>55000</v>
      </c>
      <c r="AG137" s="90" t="n">
        <v>55000</v>
      </c>
      <c r="AH137" s="90" t="n">
        <v>55000</v>
      </c>
      <c r="AI137" s="90" t="n">
        <v>55000</v>
      </c>
      <c r="AJ137" s="91" t="n">
        <v>55000</v>
      </c>
      <c r="AK137" s="89" t="n">
        <v>55000</v>
      </c>
      <c r="AL137" s="90" t="n">
        <v>55000</v>
      </c>
      <c r="AM137" s="90"/>
      <c r="AN137" s="90"/>
      <c r="AO137" s="90"/>
      <c r="AP137" s="90"/>
      <c r="AQ137" s="90"/>
      <c r="AR137" s="90"/>
      <c r="AS137" s="90"/>
      <c r="AT137" s="90"/>
      <c r="AU137" s="90"/>
      <c r="AV137" s="91"/>
      <c r="AX137" s="92"/>
    </row>
    <row r="138" customFormat="false" ht="15.65" hidden="false" customHeight="false" outlineLevel="0" collapsed="false">
      <c r="C138" s="72" t="n">
        <f aca="false">COUNTIFS($D$6:D138,"&lt;&gt;"&amp;"")</f>
        <v>133</v>
      </c>
      <c r="D138" s="73" t="s">
        <v>12</v>
      </c>
      <c r="E138" s="76" t="str">
        <f aca="false">
IF($D138="정상",INDEX(임대자산!$D$3:$R$3000,MATCH($F138,임대자산!$I$3:$I$3000,0),MATCH(E$3,임대자산!$D$3:$R$3,0)),
IF($D138="폐업",INDEX(폐업정보!$D$3:$R$3000,MATCH($F138,폐업정보!$I$3:$I$3000,0),MATCH(E$3,폐업정보!$D$3:$R$3,0)),
"Error"))</f>
        <v>서울</v>
      </c>
      <c r="F13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B0133</v>
      </c>
      <c r="G138" s="76" t="str">
        <f aca="false">F138&amp;RANDBETWEEN(0,10)</f>
        <v>B01330</v>
      </c>
      <c r="H138" s="75" t="n">
        <f aca="false">
IF($D138="정상",INDEX(임대자산!$D$3:$R$3000,MATCH($F138,임대자산!$I$3:$I$3000,0),MATCH(H$4,임대자산!$D$3:$R$3,0)),
IF($D138="폐업",INDEX(폐업정보!$D$3:$R$3000,MATCH($F138,폐업정보!$I$3:$I$3000,0),MATCH(H$4,폐업정보!$D$3:$R$3,0)),
"Error"))</f>
        <v>45694</v>
      </c>
      <c r="I138" s="75" t="str">
        <f aca="false">
IF($D138="정상",INDEX(임대자산!$D$3:$R$3000,MATCH($F138,임대자산!$I$3:$I$3000,0),MATCH(I$4,임대자산!$D$3:$R$3,0)),
IF($D138="폐업",INDEX(폐업정보!$D$3:$R$3000,MATCH($F138,폐업정보!$I$3:$I$3000,0),MATCH(I$4,폐업정보!$D$3:$R$3,0)),
"Error"))</f>
        <v>A0133</v>
      </c>
      <c r="J138" s="75" t="str">
        <f aca="false">
IF($D138="정상",INDEX(임대자산!$D$3:$R$3000,MATCH($F138,임대자산!$I$3:$I$3000,0),MATCH(J$4,임대자산!$D$3:$R$3,0)),
IF($D138="폐업",INDEX(폐업정보!$D$3:$R$3000,MATCH($F138,폐업정보!$I$3:$I$3000,0),MATCH(J$4,폐업정보!$D$3:$R$3,0)),
"Error"))</f>
        <v>8954400000</v>
      </c>
      <c r="K138" s="75" t="str">
        <f aca="false">
IF($D138="정상",INDEX(임대자산!$D$3:$R$3000,MATCH($F138,임대자산!$I$3:$I$3000,0),MATCH(K$4,임대자산!$D$3:$R$3,0)),
IF($D138="폐업",INDEX(폐업정보!$D$3:$R$3000,MATCH($F138,폐업정보!$I$3:$I$3000,0),MATCH(K$4,폐업정보!$D$3:$R$3,0)),
"Error"))</f>
        <v>C0133</v>
      </c>
      <c r="L138" s="75" t="str">
        <f aca="false">
IF($D138="정상",INDEX(임대자산!$D$3:$R$3000,MATCH($F138,임대자산!$I$3:$I$3000,0),MATCH(L$4,임대자산!$D$3:$R$3,0)),
IF($D138="폐업",INDEX(폐업정보!$D$3:$R$3000,MATCH($F138,폐업정보!$I$3:$I$3000,0),MATCH(L$4,폐업정보!$D$3:$R$3,0)),
"Error"))</f>
        <v>D0133</v>
      </c>
      <c r="M138" s="76" t="s">
        <v>96</v>
      </c>
      <c r="N138" s="77"/>
      <c r="O138" s="78" t="s">
        <v>97</v>
      </c>
      <c r="P138" s="79" t="n">
        <f aca="false">COUNTIFS(임대자산!$I:$I,가맹점정보!F138,임대자산!$N:$N,가맹점정보!P$4)</f>
        <v>1</v>
      </c>
      <c r="Q138" s="80" t="n">
        <f aca="false">COUNTIFS(임대자산!$I:$I,가맹점정보!F138,임대자산!$N:$N,가맹점정보!Q$4)</f>
        <v>0</v>
      </c>
      <c r="R138" s="81" t="n">
        <f aca="false">COUNTIFS(임대자산!$I:$I,가맹점정보!F138,임대자산!$N:$N,가맹점정보!R$4)</f>
        <v>0</v>
      </c>
      <c r="S138" s="82" t="n">
        <v>55000</v>
      </c>
      <c r="T138" s="83" t="n">
        <v>0</v>
      </c>
      <c r="U138" s="80" t="n">
        <f aca="false">SUM(S138:T138)</f>
        <v>55000</v>
      </c>
      <c r="V138" s="84" t="s">
        <v>12</v>
      </c>
      <c r="W138" s="80" t="e">
        <f aca="true">
IF(D138="폐업","폐업",
IF(V138="면제","면제",
IF(AND(V138="정상",COUNTIFS(OFFSET(Y138,0,COUNTA(Y138:AV138)-1,1,-4),"미납")&gt;=3),"장기미납",
IF(AND(V138="정상",OFFSET(Y138,0,COUNTA(Y138:AV138)-1)&gt;=U138),"정상",
IF(AND(V138="정상",OFFSET(Y138,0,COUNTA(Y138:AV138)-1)=0),"정상",
"계약서 미작성")))))</f>
        <v>#VALUE!</v>
      </c>
      <c r="X138" s="81" t="str">
        <f aca="true">
IF(D138="폐업","폐업",
IF(AND(V138="정상",OFFSET(Y138,0,COUNTA(Y138:AV138)-1)="미납"),"미납",
IF(AND(V138="정상",OFFSET(Y138,0,COUNTA(Y138:AV138)-1)=0),"납부 시작 전",
IF(AND(V138="정상",OFFSET(Y138,0,COUNTA(Y138:AV138)-1)&gt;=U138),"정상",
IF(AND(V138="면제",OFFSET(Y138,0,COUNTA(Y138:AV138)-1)="면제"),"면제",
IF(AND(V138="면제",OFFSET(Y138,0,COUNTA(Y138:AV138)-1)=0),"면제",
"확인요청"))))))</f>
        <v>정상</v>
      </c>
      <c r="Y138" s="93" t="n">
        <v>55000</v>
      </c>
      <c r="Z138" s="90" t="n">
        <v>55000</v>
      </c>
      <c r="AA138" s="90" t="n">
        <v>55000</v>
      </c>
      <c r="AB138" s="90" t="n">
        <v>55000</v>
      </c>
      <c r="AC138" s="90" t="n">
        <v>55000</v>
      </c>
      <c r="AD138" s="90" t="n">
        <v>55000</v>
      </c>
      <c r="AE138" s="90" t="n">
        <v>55000</v>
      </c>
      <c r="AF138" s="90" t="n">
        <v>55000</v>
      </c>
      <c r="AG138" s="90" t="n">
        <v>55000</v>
      </c>
      <c r="AH138" s="90" t="n">
        <v>55000</v>
      </c>
      <c r="AI138" s="90" t="n">
        <v>55000</v>
      </c>
      <c r="AJ138" s="91" t="n">
        <v>55000</v>
      </c>
      <c r="AK138" s="89" t="n">
        <v>55000</v>
      </c>
      <c r="AL138" s="90" t="n">
        <v>55000</v>
      </c>
      <c r="AM138" s="90"/>
      <c r="AN138" s="90"/>
      <c r="AO138" s="90"/>
      <c r="AP138" s="90"/>
      <c r="AQ138" s="90"/>
      <c r="AR138" s="90"/>
      <c r="AS138" s="90"/>
      <c r="AT138" s="90"/>
      <c r="AU138" s="90"/>
      <c r="AV138" s="91"/>
      <c r="AX138" s="92"/>
    </row>
    <row r="139" customFormat="false" ht="15.65" hidden="false" customHeight="false" outlineLevel="0" collapsed="false">
      <c r="C139" s="72" t="n">
        <f aca="false">COUNTIFS($D$6:D139,"&lt;&gt;"&amp;"")</f>
        <v>134</v>
      </c>
      <c r="D139" s="73" t="s">
        <v>12</v>
      </c>
      <c r="E139" s="76" t="str">
        <f aca="false">
IF($D139="정상",INDEX(임대자산!$D$3:$R$3000,MATCH($F139,임대자산!$I$3:$I$3000,0),MATCH(E$3,임대자산!$D$3:$R$3,0)),
IF($D139="폐업",INDEX(폐업정보!$D$3:$R$3000,MATCH($F139,폐업정보!$I$3:$I$3000,0),MATCH(E$3,폐업정보!$D$3:$R$3,0)),
"Error"))</f>
        <v>서울</v>
      </c>
      <c r="F13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B0134</v>
      </c>
      <c r="G139" s="76" t="str">
        <f aca="false">F139&amp;RANDBETWEEN(0,10)</f>
        <v>B01347</v>
      </c>
      <c r="H139" s="75" t="n">
        <f aca="false">
IF($D139="정상",INDEX(임대자산!$D$3:$R$3000,MATCH($F139,임대자산!$I$3:$I$3000,0),MATCH(H$4,임대자산!$D$3:$R$3,0)),
IF($D139="폐업",INDEX(폐업정보!$D$3:$R$3000,MATCH($F139,폐업정보!$I$3:$I$3000,0),MATCH(H$4,폐업정보!$D$3:$R$3,0)),
"Error"))</f>
        <v>45659</v>
      </c>
      <c r="I139" s="75" t="str">
        <f aca="false">
IF($D139="정상",INDEX(임대자산!$D$3:$R$3000,MATCH($F139,임대자산!$I$3:$I$3000,0),MATCH(I$4,임대자산!$D$3:$R$3,0)),
IF($D139="폐업",INDEX(폐업정보!$D$3:$R$3000,MATCH($F139,폐업정보!$I$3:$I$3000,0),MATCH(I$4,폐업정보!$D$3:$R$3,0)),
"Error"))</f>
        <v>A0134</v>
      </c>
      <c r="J139" s="75" t="str">
        <f aca="false">
IF($D139="정상",INDEX(임대자산!$D$3:$R$3000,MATCH($F139,임대자산!$I$3:$I$3000,0),MATCH(J$4,임대자산!$D$3:$R$3,0)),
IF($D139="폐업",INDEX(폐업정보!$D$3:$R$3000,MATCH($F139,폐업정보!$I$3:$I$3000,0),MATCH(J$4,폐업정보!$D$3:$R$3,0)),
"Error"))</f>
        <v>1122900000</v>
      </c>
      <c r="K139" s="75" t="str">
        <f aca="false">
IF($D139="정상",INDEX(임대자산!$D$3:$R$3000,MATCH($F139,임대자산!$I$3:$I$3000,0),MATCH(K$4,임대자산!$D$3:$R$3,0)),
IF($D139="폐업",INDEX(폐업정보!$D$3:$R$3000,MATCH($F139,폐업정보!$I$3:$I$3000,0),MATCH(K$4,폐업정보!$D$3:$R$3,0)),
"Error"))</f>
        <v>C0134</v>
      </c>
      <c r="L139" s="75" t="str">
        <f aca="false">
IF($D139="정상",INDEX(임대자산!$D$3:$R$3000,MATCH($F139,임대자산!$I$3:$I$3000,0),MATCH(L$4,임대자산!$D$3:$R$3,0)),
IF($D139="폐업",INDEX(폐업정보!$D$3:$R$3000,MATCH($F139,폐업정보!$I$3:$I$3000,0),MATCH(L$4,폐업정보!$D$3:$R$3,0)),
"Error"))</f>
        <v>D0134</v>
      </c>
      <c r="M139" s="76" t="s">
        <v>96</v>
      </c>
      <c r="N139" s="77"/>
      <c r="O139" s="78" t="s">
        <v>97</v>
      </c>
      <c r="P139" s="79" t="n">
        <f aca="false">COUNTIFS(임대자산!$I:$I,가맹점정보!F139,임대자산!$N:$N,가맹점정보!P$4)</f>
        <v>1</v>
      </c>
      <c r="Q139" s="80" t="n">
        <f aca="false">COUNTIFS(임대자산!$I:$I,가맹점정보!F139,임대자산!$N:$N,가맹점정보!Q$4)</f>
        <v>0</v>
      </c>
      <c r="R139" s="81" t="n">
        <f aca="false">COUNTIFS(임대자산!$I:$I,가맹점정보!F139,임대자산!$N:$N,가맹점정보!R$4)</f>
        <v>0</v>
      </c>
      <c r="S139" s="82" t="n">
        <v>55000</v>
      </c>
      <c r="T139" s="83" t="n">
        <v>0</v>
      </c>
      <c r="U139" s="80" t="n">
        <f aca="false">SUM(S139:T139)</f>
        <v>55000</v>
      </c>
      <c r="V139" s="84" t="s">
        <v>12</v>
      </c>
      <c r="W139" s="80" t="e">
        <f aca="true">
IF(D139="폐업","폐업",
IF(V139="면제","면제",
IF(AND(V139="정상",COUNTIFS(OFFSET(Y139,0,COUNTA(Y139:AV139)-1,1,-4),"미납")&gt;=3),"장기미납",
IF(AND(V139="정상",OFFSET(Y139,0,COUNTA(Y139:AV139)-1)&gt;=U139),"정상",
IF(AND(V139="정상",OFFSET(Y139,0,COUNTA(Y139:AV139)-1)=0),"정상",
"계약서 미작성")))))</f>
        <v>#VALUE!</v>
      </c>
      <c r="X139" s="81" t="str">
        <f aca="true">
IF(D139="폐업","폐업",
IF(AND(V139="정상",OFFSET(Y139,0,COUNTA(Y139:AV139)-1)="미납"),"미납",
IF(AND(V139="정상",OFFSET(Y139,0,COUNTA(Y139:AV139)-1)=0),"납부 시작 전",
IF(AND(V139="정상",OFFSET(Y139,0,COUNTA(Y139:AV139)-1)&gt;=U139),"정상",
IF(AND(V139="면제",OFFSET(Y139,0,COUNTA(Y139:AV139)-1)="면제"),"면제",
IF(AND(V139="면제",OFFSET(Y139,0,COUNTA(Y139:AV139)-1)=0),"면제",
"확인요청"))))))</f>
        <v>정상</v>
      </c>
      <c r="Y139" s="93" t="n">
        <v>55000</v>
      </c>
      <c r="Z139" s="90" t="n">
        <v>55000</v>
      </c>
      <c r="AA139" s="90" t="n">
        <v>55000</v>
      </c>
      <c r="AB139" s="90" t="n">
        <v>55000</v>
      </c>
      <c r="AC139" s="90" t="n">
        <v>55000</v>
      </c>
      <c r="AD139" s="90" t="n">
        <v>55000</v>
      </c>
      <c r="AE139" s="90" t="n">
        <v>55000</v>
      </c>
      <c r="AF139" s="90" t="n">
        <v>55000</v>
      </c>
      <c r="AG139" s="90" t="n">
        <v>55000</v>
      </c>
      <c r="AH139" s="90" t="n">
        <v>55000</v>
      </c>
      <c r="AI139" s="90" t="n">
        <v>55000</v>
      </c>
      <c r="AJ139" s="91" t="n">
        <v>55000</v>
      </c>
      <c r="AK139" s="89" t="n">
        <v>55000</v>
      </c>
      <c r="AL139" s="90" t="n">
        <v>55000</v>
      </c>
      <c r="AM139" s="90"/>
      <c r="AN139" s="90"/>
      <c r="AO139" s="90"/>
      <c r="AP139" s="90"/>
      <c r="AQ139" s="90"/>
      <c r="AR139" s="90"/>
      <c r="AS139" s="90"/>
      <c r="AT139" s="90"/>
      <c r="AU139" s="90"/>
      <c r="AV139" s="91"/>
      <c r="AX139" s="92"/>
    </row>
    <row r="140" customFormat="false" ht="15.65" hidden="false" customHeight="false" outlineLevel="0" collapsed="false">
      <c r="C140" s="72" t="n">
        <f aca="false">COUNTIFS($D$6:D140,"&lt;&gt;"&amp;"")</f>
        <v>135</v>
      </c>
      <c r="D140" s="73" t="s">
        <v>12</v>
      </c>
      <c r="E140" s="76" t="str">
        <f aca="false">
IF($D140="정상",INDEX(임대자산!$D$3:$R$3000,MATCH($F140,임대자산!$I$3:$I$3000,0),MATCH(E$3,임대자산!$D$3:$R$3,0)),
IF($D140="폐업",INDEX(폐업정보!$D$3:$R$3000,MATCH($F140,폐업정보!$I$3:$I$3000,0),MATCH(E$3,폐업정보!$D$3:$R$3,0)),
"Error"))</f>
        <v>서울</v>
      </c>
      <c r="F14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B0135</v>
      </c>
      <c r="G140" s="76" t="str">
        <f aca="false">F140&amp;RANDBETWEEN(0,10)</f>
        <v>B01350</v>
      </c>
      <c r="H140" s="75" t="n">
        <f aca="false">
IF($D140="정상",INDEX(임대자산!$D$3:$R$3000,MATCH($F140,임대자산!$I$3:$I$3000,0),MATCH(H$4,임대자산!$D$3:$R$3,0)),
IF($D140="폐업",INDEX(폐업정보!$D$3:$R$3000,MATCH($F140,폐업정보!$I$3:$I$3000,0),MATCH(H$4,폐업정보!$D$3:$R$3,0)),
"Error"))</f>
        <v>45602</v>
      </c>
      <c r="I140" s="75" t="str">
        <f aca="false">
IF($D140="정상",INDEX(임대자산!$D$3:$R$3000,MATCH($F140,임대자산!$I$3:$I$3000,0),MATCH(I$4,임대자산!$D$3:$R$3,0)),
IF($D140="폐업",INDEX(폐업정보!$D$3:$R$3000,MATCH($F140,폐업정보!$I$3:$I$3000,0),MATCH(I$4,폐업정보!$D$3:$R$3,0)),
"Error"))</f>
        <v>A0135</v>
      </c>
      <c r="J140" s="75" t="str">
        <f aca="false">
IF($D140="정상",INDEX(임대자산!$D$3:$R$3000,MATCH($F140,임대자산!$I$3:$I$3000,0),MATCH(J$4,임대자산!$D$3:$R$3,0)),
IF($D140="폐업",INDEX(폐업정보!$D$3:$R$3000,MATCH($F140,폐업정보!$I$3:$I$3000,0),MATCH(J$4,폐업정보!$D$3:$R$3,0)),
"Error"))</f>
        <v>4589300000</v>
      </c>
      <c r="K140" s="75" t="str">
        <f aca="false">
IF($D140="정상",INDEX(임대자산!$D$3:$R$3000,MATCH($F140,임대자산!$I$3:$I$3000,0),MATCH(K$4,임대자산!$D$3:$R$3,0)),
IF($D140="폐업",INDEX(폐업정보!$D$3:$R$3000,MATCH($F140,폐업정보!$I$3:$I$3000,0),MATCH(K$4,폐업정보!$D$3:$R$3,0)),
"Error"))</f>
        <v>C0135</v>
      </c>
      <c r="L140" s="75" t="str">
        <f aca="false">
IF($D140="정상",INDEX(임대자산!$D$3:$R$3000,MATCH($F140,임대자산!$I$3:$I$3000,0),MATCH(L$4,임대자산!$D$3:$R$3,0)),
IF($D140="폐업",INDEX(폐업정보!$D$3:$R$3000,MATCH($F140,폐업정보!$I$3:$I$3000,0),MATCH(L$4,폐업정보!$D$3:$R$3,0)),
"Error"))</f>
        <v>D0135</v>
      </c>
      <c r="M140" s="76" t="s">
        <v>96</v>
      </c>
      <c r="N140" s="77"/>
      <c r="O140" s="78" t="s">
        <v>97</v>
      </c>
      <c r="P140" s="79" t="n">
        <f aca="false">COUNTIFS(임대자산!$I:$I,가맹점정보!F140,임대자산!$N:$N,가맹점정보!P$4)</f>
        <v>1</v>
      </c>
      <c r="Q140" s="80" t="n">
        <f aca="false">COUNTIFS(임대자산!$I:$I,가맹점정보!F140,임대자산!$N:$N,가맹점정보!Q$4)</f>
        <v>0</v>
      </c>
      <c r="R140" s="81" t="n">
        <f aca="false">COUNTIFS(임대자산!$I:$I,가맹점정보!F140,임대자산!$N:$N,가맹점정보!R$4)</f>
        <v>0</v>
      </c>
      <c r="S140" s="82" t="n">
        <v>88000</v>
      </c>
      <c r="T140" s="83" t="n">
        <v>0</v>
      </c>
      <c r="U140" s="80" t="n">
        <f aca="false">SUM(S140:T140)</f>
        <v>88000</v>
      </c>
      <c r="V140" s="84" t="s">
        <v>7</v>
      </c>
      <c r="W140" s="80" t="str">
        <f aca="true">
IF(D140="폐업","폐업",
IF(V140="면제","면제",
IF(AND(V140="정상",COUNTIFS(OFFSET(Y140,0,COUNTA(Y140:AV140)-1,1,-4),"미납")&gt;=3),"장기미납",
IF(AND(V140="정상",OFFSET(Y140,0,COUNTA(Y140:AV140)-1)&gt;=U140),"정상",
IF(AND(V140="정상",OFFSET(Y140,0,COUNTA(Y140:AV140)-1)=0),"정상",
"계약서 미작성")))))</f>
        <v>면제</v>
      </c>
      <c r="X140" s="81" t="str">
        <f aca="true">
IF(D140="폐업","폐업",
IF(AND(V140="정상",OFFSET(Y140,0,COUNTA(Y140:AV140)-1)="미납"),"미납",
IF(AND(V140="정상",OFFSET(Y140,0,COUNTA(Y140:AV140)-1)=0),"납부 시작 전",
IF(AND(V140="정상",OFFSET(Y140,0,COUNTA(Y140:AV140)-1)&gt;=U140),"정상",
IF(AND(V140="면제",OFFSET(Y140,0,COUNTA(Y140:AV140)-1)="면제"),"면제",
IF(AND(V140="면제",OFFSET(Y140,0,COUNTA(Y140:AV140)-1)=0),"면제",
"확인요청"))))))</f>
        <v>면제</v>
      </c>
      <c r="Y140" s="94" t="s">
        <v>7</v>
      </c>
      <c r="Z140" s="95" t="s">
        <v>7</v>
      </c>
      <c r="AA140" s="95" t="s">
        <v>7</v>
      </c>
      <c r="AB140" s="95" t="s">
        <v>7</v>
      </c>
      <c r="AC140" s="95" t="s">
        <v>7</v>
      </c>
      <c r="AD140" s="95" t="s">
        <v>7</v>
      </c>
      <c r="AE140" s="95" t="s">
        <v>7</v>
      </c>
      <c r="AF140" s="95" t="s">
        <v>7</v>
      </c>
      <c r="AG140" s="95" t="s">
        <v>7</v>
      </c>
      <c r="AH140" s="95" t="s">
        <v>7</v>
      </c>
      <c r="AI140" s="95" t="s">
        <v>7</v>
      </c>
      <c r="AJ140" s="96" t="s">
        <v>7</v>
      </c>
      <c r="AK140" s="97" t="s">
        <v>7</v>
      </c>
      <c r="AL140" s="95" t="s">
        <v>7</v>
      </c>
      <c r="AM140" s="90"/>
      <c r="AN140" s="90"/>
      <c r="AO140" s="90"/>
      <c r="AP140" s="90"/>
      <c r="AQ140" s="90"/>
      <c r="AR140" s="90"/>
      <c r="AS140" s="90"/>
      <c r="AT140" s="90"/>
      <c r="AU140" s="90"/>
      <c r="AV140" s="91"/>
      <c r="AX140" s="92"/>
    </row>
    <row r="141" customFormat="false" ht="15.65" hidden="false" customHeight="false" outlineLevel="0" collapsed="false">
      <c r="C141" s="72" t="n">
        <f aca="false">COUNTIFS($D$6:D141,"&lt;&gt;"&amp;"")</f>
        <v>136</v>
      </c>
      <c r="D141" s="73" t="s">
        <v>12</v>
      </c>
      <c r="E141" s="76" t="str">
        <f aca="false">
IF($D141="정상",INDEX(임대자산!$D$3:$R$3000,MATCH($F141,임대자산!$I$3:$I$3000,0),MATCH(E$3,임대자산!$D$3:$R$3,0)),
IF($D141="폐업",INDEX(폐업정보!$D$3:$R$3000,MATCH($F141,폐업정보!$I$3:$I$3000,0),MATCH(E$3,폐업정보!$D$3:$R$3,0)),
"Error"))</f>
        <v>전라</v>
      </c>
      <c r="F14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B0136</v>
      </c>
      <c r="G141" s="76" t="str">
        <f aca="false">F141&amp;RANDBETWEEN(0,10)</f>
        <v>B01368</v>
      </c>
      <c r="H141" s="75" t="n">
        <f aca="false">
IF($D141="정상",INDEX(임대자산!$D$3:$R$3000,MATCH($F141,임대자산!$I$3:$I$3000,0),MATCH(H$4,임대자산!$D$3:$R$3,0)),
IF($D141="폐업",INDEX(폐업정보!$D$3:$R$3000,MATCH($F141,폐업정보!$I$3:$I$3000,0),MATCH(H$4,폐업정보!$D$3:$R$3,0)),
"Error"))</f>
        <v>45700</v>
      </c>
      <c r="I141" s="75" t="str">
        <f aca="false">
IF($D141="정상",INDEX(임대자산!$D$3:$R$3000,MATCH($F141,임대자산!$I$3:$I$3000,0),MATCH(I$4,임대자산!$D$3:$R$3,0)),
IF($D141="폐업",INDEX(폐업정보!$D$3:$R$3000,MATCH($F141,폐업정보!$I$3:$I$3000,0),MATCH(I$4,폐업정보!$D$3:$R$3,0)),
"Error"))</f>
        <v>A0136</v>
      </c>
      <c r="J141" s="75" t="str">
        <f aca="false">
IF($D141="정상",INDEX(임대자산!$D$3:$R$3000,MATCH($F141,임대자산!$I$3:$I$3000,0),MATCH(J$4,임대자산!$D$3:$R$3,0)),
IF($D141="폐업",INDEX(폐업정보!$D$3:$R$3000,MATCH($F141,폐업정보!$I$3:$I$3000,0),MATCH(J$4,폐업정보!$D$3:$R$3,0)),
"Error"))</f>
        <v>6222500000</v>
      </c>
      <c r="K141" s="75" t="str">
        <f aca="false">
IF($D141="정상",INDEX(임대자산!$D$3:$R$3000,MATCH($F141,임대자산!$I$3:$I$3000,0),MATCH(K$4,임대자산!$D$3:$R$3,0)),
IF($D141="폐업",INDEX(폐업정보!$D$3:$R$3000,MATCH($F141,폐업정보!$I$3:$I$3000,0),MATCH(K$4,폐업정보!$D$3:$R$3,0)),
"Error"))</f>
        <v>C0136</v>
      </c>
      <c r="L141" s="75" t="str">
        <f aca="false">
IF($D141="정상",INDEX(임대자산!$D$3:$R$3000,MATCH($F141,임대자산!$I$3:$I$3000,0),MATCH(L$4,임대자산!$D$3:$R$3,0)),
IF($D141="폐업",INDEX(폐업정보!$D$3:$R$3000,MATCH($F141,폐업정보!$I$3:$I$3000,0),MATCH(L$4,폐업정보!$D$3:$R$3,0)),
"Error"))</f>
        <v>D0136</v>
      </c>
      <c r="M141" s="76" t="s">
        <v>96</v>
      </c>
      <c r="N141" s="77"/>
      <c r="O141" s="78" t="s">
        <v>97</v>
      </c>
      <c r="P141" s="79" t="n">
        <f aca="false">COUNTIFS(임대자산!$I:$I,가맹점정보!F141,임대자산!$N:$N,가맹점정보!P$4)</f>
        <v>1</v>
      </c>
      <c r="Q141" s="80" t="n">
        <f aca="false">COUNTIFS(임대자산!$I:$I,가맹점정보!F141,임대자산!$N:$N,가맹점정보!Q$4)</f>
        <v>0</v>
      </c>
      <c r="R141" s="81" t="n">
        <f aca="false">COUNTIFS(임대자산!$I:$I,가맹점정보!F141,임대자산!$N:$N,가맹점정보!R$4)</f>
        <v>0</v>
      </c>
      <c r="S141" s="82" t="n">
        <v>55000</v>
      </c>
      <c r="T141" s="83" t="n">
        <v>0</v>
      </c>
      <c r="U141" s="80" t="n">
        <f aca="false">SUM(S141:T141)</f>
        <v>55000</v>
      </c>
      <c r="V141" s="84" t="s">
        <v>12</v>
      </c>
      <c r="W141" s="80" t="e">
        <f aca="true">
IF(D141="폐업","폐업",
IF(V141="면제","면제",
IF(AND(V141="정상",COUNTIFS(OFFSET(Y141,0,COUNTA(Y141:AV141)-1,1,-4),"미납")&gt;=3),"장기미납",
IF(AND(V141="정상",OFFSET(Y141,0,COUNTA(Y141:AV141)-1)&gt;=U141),"정상",
IF(AND(V141="정상",OFFSET(Y141,0,COUNTA(Y141:AV141)-1)=0),"정상",
"계약서 미작성")))))</f>
        <v>#VALUE!</v>
      </c>
      <c r="X141" s="81" t="str">
        <f aca="true">
IF(D141="폐업","폐업",
IF(AND(V141="정상",OFFSET(Y141,0,COUNTA(Y141:AV141)-1)="미납"),"미납",
IF(AND(V141="정상",OFFSET(Y141,0,COUNTA(Y141:AV141)-1)=0),"납부 시작 전",
IF(AND(V141="정상",OFFSET(Y141,0,COUNTA(Y141:AV141)-1)&gt;=U141),"정상",
IF(AND(V141="면제",OFFSET(Y141,0,COUNTA(Y141:AV141)-1)="면제"),"면제",
IF(AND(V141="면제",OFFSET(Y141,0,COUNTA(Y141:AV141)-1)=0),"면제",
"확인요청"))))))</f>
        <v>정상</v>
      </c>
      <c r="Y141" s="93" t="n">
        <v>55000</v>
      </c>
      <c r="Z141" s="90" t="n">
        <v>55000</v>
      </c>
      <c r="AA141" s="90" t="n">
        <v>55000</v>
      </c>
      <c r="AB141" s="90" t="n">
        <v>55000</v>
      </c>
      <c r="AC141" s="90" t="n">
        <v>55000</v>
      </c>
      <c r="AD141" s="90" t="n">
        <v>55000</v>
      </c>
      <c r="AE141" s="90" t="n">
        <v>55000</v>
      </c>
      <c r="AF141" s="90" t="n">
        <v>55000</v>
      </c>
      <c r="AG141" s="90" t="n">
        <v>55000</v>
      </c>
      <c r="AH141" s="90" t="n">
        <v>55000</v>
      </c>
      <c r="AI141" s="90" t="n">
        <v>55000</v>
      </c>
      <c r="AJ141" s="91" t="n">
        <v>55000</v>
      </c>
      <c r="AK141" s="89" t="n">
        <v>55000</v>
      </c>
      <c r="AL141" s="90" t="n">
        <v>55000</v>
      </c>
      <c r="AM141" s="90"/>
      <c r="AN141" s="90"/>
      <c r="AO141" s="90"/>
      <c r="AP141" s="90"/>
      <c r="AQ141" s="90"/>
      <c r="AR141" s="90"/>
      <c r="AS141" s="90"/>
      <c r="AT141" s="90"/>
      <c r="AU141" s="90"/>
      <c r="AV141" s="91"/>
      <c r="AX141" s="92"/>
    </row>
    <row r="142" customFormat="false" ht="15.65" hidden="false" customHeight="false" outlineLevel="0" collapsed="false">
      <c r="C142" s="72" t="n">
        <f aca="false">COUNTIFS($D$6:D142,"&lt;&gt;"&amp;"")</f>
        <v>137</v>
      </c>
      <c r="D142" s="73" t="s">
        <v>12</v>
      </c>
      <c r="E142" s="76" t="str">
        <f aca="false">
IF($D142="정상",INDEX(임대자산!$D$3:$R$3000,MATCH($F142,임대자산!$I$3:$I$3000,0),MATCH(E$3,임대자산!$D$3:$R$3,0)),
IF($D142="폐업",INDEX(폐업정보!$D$3:$R$3000,MATCH($F142,폐업정보!$I$3:$I$3000,0),MATCH(E$3,폐업정보!$D$3:$R$3,0)),
"Error"))</f>
        <v>전라</v>
      </c>
      <c r="F14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B0137</v>
      </c>
      <c r="G142" s="76" t="str">
        <f aca="false">F142&amp;RANDBETWEEN(0,10)</f>
        <v>B01373</v>
      </c>
      <c r="H142" s="75" t="n">
        <f aca="false">
IF($D142="정상",INDEX(임대자산!$D$3:$R$3000,MATCH($F142,임대자산!$I$3:$I$3000,0),MATCH(H$4,임대자산!$D$3:$R$3,0)),
IF($D142="폐업",INDEX(폐업정보!$D$3:$R$3000,MATCH($F142,폐업정보!$I$3:$I$3000,0),MATCH(H$4,폐업정보!$D$3:$R$3,0)),
"Error"))</f>
        <v>45842</v>
      </c>
      <c r="I142" s="75" t="str">
        <f aca="false">
IF($D142="정상",INDEX(임대자산!$D$3:$R$3000,MATCH($F142,임대자산!$I$3:$I$3000,0),MATCH(I$4,임대자산!$D$3:$R$3,0)),
IF($D142="폐업",INDEX(폐업정보!$D$3:$R$3000,MATCH($F142,폐업정보!$I$3:$I$3000,0),MATCH(I$4,폐업정보!$D$3:$R$3,0)),
"Error"))</f>
        <v>A0137</v>
      </c>
      <c r="J142" s="75" t="str">
        <f aca="false">
IF($D142="정상",INDEX(임대자산!$D$3:$R$3000,MATCH($F142,임대자산!$I$3:$I$3000,0),MATCH(J$4,임대자산!$D$3:$R$3,0)),
IF($D142="폐업",INDEX(폐업정보!$D$3:$R$3000,MATCH($F142,폐업정보!$I$3:$I$3000,0),MATCH(J$4,폐업정보!$D$3:$R$3,0)),
"Error"))</f>
        <v>1257500000</v>
      </c>
      <c r="K142" s="75" t="str">
        <f aca="false">
IF($D142="정상",INDEX(임대자산!$D$3:$R$3000,MATCH($F142,임대자산!$I$3:$I$3000,0),MATCH(K$4,임대자산!$D$3:$R$3,0)),
IF($D142="폐업",INDEX(폐업정보!$D$3:$R$3000,MATCH($F142,폐업정보!$I$3:$I$3000,0),MATCH(K$4,폐업정보!$D$3:$R$3,0)),
"Error"))</f>
        <v>C0137</v>
      </c>
      <c r="L142" s="75" t="str">
        <f aca="false">
IF($D142="정상",INDEX(임대자산!$D$3:$R$3000,MATCH($F142,임대자산!$I$3:$I$3000,0),MATCH(L$4,임대자산!$D$3:$R$3,0)),
IF($D142="폐업",INDEX(폐업정보!$D$3:$R$3000,MATCH($F142,폐업정보!$I$3:$I$3000,0),MATCH(L$4,폐업정보!$D$3:$R$3,0)),
"Error"))</f>
        <v>D0137</v>
      </c>
      <c r="M142" s="76" t="s">
        <v>96</v>
      </c>
      <c r="N142" s="77"/>
      <c r="O142" s="78" t="s">
        <v>97</v>
      </c>
      <c r="P142" s="79" t="n">
        <f aca="false">COUNTIFS(임대자산!$I:$I,가맹점정보!F142,임대자산!$N:$N,가맹점정보!P$4)</f>
        <v>1</v>
      </c>
      <c r="Q142" s="80" t="n">
        <f aca="false">COUNTIFS(임대자산!$I:$I,가맹점정보!F142,임대자산!$N:$N,가맹점정보!Q$4)</f>
        <v>0</v>
      </c>
      <c r="R142" s="81" t="n">
        <f aca="false">COUNTIFS(임대자산!$I:$I,가맹점정보!F142,임대자산!$N:$N,가맹점정보!R$4)</f>
        <v>0</v>
      </c>
      <c r="S142" s="82" t="n">
        <v>55000</v>
      </c>
      <c r="T142" s="83" t="n">
        <v>0</v>
      </c>
      <c r="U142" s="80" t="n">
        <f aca="false">SUM(S142:T142)</f>
        <v>55000</v>
      </c>
      <c r="V142" s="84" t="s">
        <v>12</v>
      </c>
      <c r="W142" s="80" t="e">
        <f aca="true">
IF(D142="폐업","폐업",
IF(V142="면제","면제",
IF(AND(V142="정상",COUNTIFS(OFFSET(Y142,0,COUNTA(Y142:AV142)-1,1,-4),"미납")&gt;=3),"장기미납",
IF(AND(V142="정상",OFFSET(Y142,0,COUNTA(Y142:AV142)-1)&gt;=U142),"정상",
IF(AND(V142="정상",OFFSET(Y142,0,COUNTA(Y142:AV142)-1)=0),"정상",
"계약서 미작성")))))</f>
        <v>#VALUE!</v>
      </c>
      <c r="X142" s="81" t="str">
        <f aca="true">
IF(D142="폐업","폐업",
IF(AND(V142="정상",OFFSET(Y142,0,COUNTA(Y142:AV142)-1)="미납"),"미납",
IF(AND(V142="정상",OFFSET(Y142,0,COUNTA(Y142:AV142)-1)=0),"납부 시작 전",
IF(AND(V142="정상",OFFSET(Y142,0,COUNTA(Y142:AV142)-1)&gt;=U142),"정상",
IF(AND(V142="면제",OFFSET(Y142,0,COUNTA(Y142:AV142)-1)="면제"),"면제",
IF(AND(V142="면제",OFFSET(Y142,0,COUNTA(Y142:AV142)-1)=0),"면제",
"확인요청"))))))</f>
        <v>정상</v>
      </c>
      <c r="Y142" s="94" t="s">
        <v>7</v>
      </c>
      <c r="Z142" s="90" t="n">
        <v>55000</v>
      </c>
      <c r="AA142" s="90" t="n">
        <v>55000</v>
      </c>
      <c r="AB142" s="90" t="n">
        <v>55000</v>
      </c>
      <c r="AC142" s="90" t="n">
        <v>55000</v>
      </c>
      <c r="AD142" s="90" t="n">
        <v>55000</v>
      </c>
      <c r="AE142" s="90" t="n">
        <v>55000</v>
      </c>
      <c r="AF142" s="90" t="n">
        <v>55000</v>
      </c>
      <c r="AG142" s="90" t="n">
        <v>55000</v>
      </c>
      <c r="AH142" s="90" t="n">
        <v>55000</v>
      </c>
      <c r="AI142" s="90" t="n">
        <v>55000</v>
      </c>
      <c r="AJ142" s="91" t="n">
        <v>55000</v>
      </c>
      <c r="AK142" s="89" t="n">
        <v>55000</v>
      </c>
      <c r="AL142" s="90" t="n">
        <v>55000</v>
      </c>
      <c r="AM142" s="90"/>
      <c r="AN142" s="90"/>
      <c r="AO142" s="90"/>
      <c r="AP142" s="90"/>
      <c r="AQ142" s="90"/>
      <c r="AR142" s="90"/>
      <c r="AS142" s="90"/>
      <c r="AT142" s="90"/>
      <c r="AU142" s="90"/>
      <c r="AV142" s="91"/>
      <c r="AX142" s="92"/>
    </row>
    <row r="143" customFormat="false" ht="15.65" hidden="false" customHeight="false" outlineLevel="0" collapsed="false">
      <c r="C143" s="72" t="n">
        <f aca="false">COUNTIFS($D$6:D143,"&lt;&gt;"&amp;"")</f>
        <v>138</v>
      </c>
      <c r="D143" s="73" t="s">
        <v>12</v>
      </c>
      <c r="E143" s="76" t="str">
        <f aca="false">
IF($D143="정상",INDEX(임대자산!$D$3:$R$3000,MATCH($F143,임대자산!$I$3:$I$3000,0),MATCH(E$3,임대자산!$D$3:$R$3,0)),
IF($D143="폐업",INDEX(폐업정보!$D$3:$R$3000,MATCH($F143,폐업정보!$I$3:$I$3000,0),MATCH(E$3,폐업정보!$D$3:$R$3,0)),
"Error"))</f>
        <v>서울</v>
      </c>
      <c r="F14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B0138</v>
      </c>
      <c r="G143" s="76" t="str">
        <f aca="false">F143&amp;RANDBETWEEN(0,10)</f>
        <v>B01385</v>
      </c>
      <c r="H143" s="75" t="n">
        <f aca="false">
IF($D143="정상",INDEX(임대자산!$D$3:$R$3000,MATCH($F143,임대자산!$I$3:$I$3000,0),MATCH(H$4,임대자산!$D$3:$R$3,0)),
IF($D143="폐업",INDEX(폐업정보!$D$3:$R$3000,MATCH($F143,폐업정보!$I$3:$I$3000,0),MATCH(H$4,폐업정보!$D$3:$R$3,0)),
"Error"))</f>
        <v>45861</v>
      </c>
      <c r="I143" s="75" t="str">
        <f aca="false">
IF($D143="정상",INDEX(임대자산!$D$3:$R$3000,MATCH($F143,임대자산!$I$3:$I$3000,0),MATCH(I$4,임대자산!$D$3:$R$3,0)),
IF($D143="폐업",INDEX(폐업정보!$D$3:$R$3000,MATCH($F143,폐업정보!$I$3:$I$3000,0),MATCH(I$4,폐업정보!$D$3:$R$3,0)),
"Error"))</f>
        <v>A0138</v>
      </c>
      <c r="J143" s="75" t="str">
        <f aca="false">
IF($D143="정상",INDEX(임대자산!$D$3:$R$3000,MATCH($F143,임대자산!$I$3:$I$3000,0),MATCH(J$4,임대자산!$D$3:$R$3,0)),
IF($D143="폐업",INDEX(폐업정보!$D$3:$R$3000,MATCH($F143,폐업정보!$I$3:$I$3000,0),MATCH(J$4,폐업정보!$D$3:$R$3,0)),
"Error"))</f>
        <v>1327100000</v>
      </c>
      <c r="K143" s="75" t="str">
        <f aca="false">
IF($D143="정상",INDEX(임대자산!$D$3:$R$3000,MATCH($F143,임대자산!$I$3:$I$3000,0),MATCH(K$4,임대자산!$D$3:$R$3,0)),
IF($D143="폐업",INDEX(폐업정보!$D$3:$R$3000,MATCH($F143,폐업정보!$I$3:$I$3000,0),MATCH(K$4,폐업정보!$D$3:$R$3,0)),
"Error"))</f>
        <v>C0138</v>
      </c>
      <c r="L143" s="75" t="str">
        <f aca="false">
IF($D143="정상",INDEX(임대자산!$D$3:$R$3000,MATCH($F143,임대자산!$I$3:$I$3000,0),MATCH(L$4,임대자산!$D$3:$R$3,0)),
IF($D143="폐업",INDEX(폐업정보!$D$3:$R$3000,MATCH($F143,폐업정보!$I$3:$I$3000,0),MATCH(L$4,폐업정보!$D$3:$R$3,0)),
"Error"))</f>
        <v>D0138</v>
      </c>
      <c r="M143" s="76" t="s">
        <v>96</v>
      </c>
      <c r="N143" s="77"/>
      <c r="O143" s="78" t="s">
        <v>97</v>
      </c>
      <c r="P143" s="79" t="n">
        <f aca="false">COUNTIFS(임대자산!$I:$I,가맹점정보!F143,임대자산!$N:$N,가맹점정보!P$4)</f>
        <v>0</v>
      </c>
      <c r="Q143" s="80" t="n">
        <f aca="false">COUNTIFS(임대자산!$I:$I,가맹점정보!F143,임대자산!$N:$N,가맹점정보!Q$4)</f>
        <v>0</v>
      </c>
      <c r="R143" s="81" t="n">
        <f aca="false">COUNTIFS(임대자산!$I:$I,가맹점정보!F143,임대자산!$N:$N,가맹점정보!R$4)</f>
        <v>1</v>
      </c>
      <c r="S143" s="82" t="n">
        <v>55000</v>
      </c>
      <c r="T143" s="83" t="n">
        <v>0</v>
      </c>
      <c r="U143" s="80" t="n">
        <f aca="false">SUM(S143:T143)</f>
        <v>55000</v>
      </c>
      <c r="V143" s="84" t="s">
        <v>7</v>
      </c>
      <c r="W143" s="80" t="str">
        <f aca="true">
IF(D143="폐업","폐업",
IF(V143="면제","면제",
IF(AND(V143="정상",COUNTIFS(OFFSET(Y143,0,COUNTA(Y143:AV143)-1,1,-4),"미납")&gt;=3),"장기미납",
IF(AND(V143="정상",OFFSET(Y143,0,COUNTA(Y143:AV143)-1)&gt;=U143),"정상",
IF(AND(V143="정상",OFFSET(Y143,0,COUNTA(Y143:AV143)-1)=0),"정상",
"계약서 미작성")))))</f>
        <v>면제</v>
      </c>
      <c r="X143" s="81" t="str">
        <f aca="true">
IF(D143="폐업","폐업",
IF(AND(V143="정상",OFFSET(Y143,0,COUNTA(Y143:AV143)-1)="미납"),"미납",
IF(AND(V143="정상",OFFSET(Y143,0,COUNTA(Y143:AV143)-1)=0),"납부 시작 전",
IF(AND(V143="정상",OFFSET(Y143,0,COUNTA(Y143:AV143)-1)&gt;=U143),"정상",
IF(AND(V143="면제",OFFSET(Y143,0,COUNTA(Y143:AV143)-1)="면제"),"면제",
IF(AND(V143="면제",OFFSET(Y143,0,COUNTA(Y143:AV143)-1)=0),"면제",
"확인요청"))))))</f>
        <v>면제</v>
      </c>
      <c r="Y143" s="94" t="s">
        <v>7</v>
      </c>
      <c r="Z143" s="95" t="s">
        <v>7</v>
      </c>
      <c r="AA143" s="95" t="s">
        <v>7</v>
      </c>
      <c r="AB143" s="95" t="s">
        <v>7</v>
      </c>
      <c r="AC143" s="95" t="s">
        <v>7</v>
      </c>
      <c r="AD143" s="95" t="s">
        <v>7</v>
      </c>
      <c r="AE143" s="95" t="s">
        <v>7</v>
      </c>
      <c r="AF143" s="95" t="s">
        <v>7</v>
      </c>
      <c r="AG143" s="95" t="s">
        <v>7</v>
      </c>
      <c r="AH143" s="95" t="s">
        <v>7</v>
      </c>
      <c r="AI143" s="95" t="s">
        <v>7</v>
      </c>
      <c r="AJ143" s="96" t="s">
        <v>7</v>
      </c>
      <c r="AK143" s="97" t="s">
        <v>7</v>
      </c>
      <c r="AL143" s="95" t="s">
        <v>7</v>
      </c>
      <c r="AM143" s="90"/>
      <c r="AN143" s="90"/>
      <c r="AO143" s="90"/>
      <c r="AP143" s="90"/>
      <c r="AQ143" s="90"/>
      <c r="AR143" s="90"/>
      <c r="AS143" s="90"/>
      <c r="AT143" s="90"/>
      <c r="AU143" s="90"/>
      <c r="AV143" s="91"/>
      <c r="AX143" s="92"/>
    </row>
    <row r="144" customFormat="false" ht="15.65" hidden="false" customHeight="false" outlineLevel="0" collapsed="false">
      <c r="C144" s="72" t="n">
        <f aca="false">COUNTIFS($D$6:D144,"&lt;&gt;"&amp;"")</f>
        <v>139</v>
      </c>
      <c r="D144" s="73" t="s">
        <v>5</v>
      </c>
      <c r="E144" s="76" t="str">
        <f aca="false">
IF($D144="정상",INDEX(임대자산!$D$3:$R$3000,MATCH($F144,임대자산!$I$3:$I$3000,0),MATCH(E$3,임대자산!$D$3:$R$3,0)),
IF($D144="폐업",INDEX(폐업정보!$D$3:$R$3000,MATCH($F144,폐업정보!$I$3:$I$3000,0),MATCH(E$3,폐업정보!$D$3:$R$3,0)),
"Error"))</f>
        <v>서울</v>
      </c>
      <c r="F14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B0139</v>
      </c>
      <c r="G144" s="76" t="str">
        <f aca="false">F144&amp;RANDBETWEEN(0,10)</f>
        <v>B01391</v>
      </c>
      <c r="H144" s="75" t="n">
        <f aca="false">
IF($D144="정상",INDEX(임대자산!$D$3:$R$3000,MATCH($F144,임대자산!$I$3:$I$3000,0),MATCH(H$4,임대자산!$D$3:$R$3,0)),
IF($D144="폐업",INDEX(폐업정보!$D$3:$R$3000,MATCH($F144,폐업정보!$I$3:$I$3000,0),MATCH(H$4,폐업정보!$D$3:$R$3,0)),
"Error"))</f>
        <v>45861</v>
      </c>
      <c r="I144" s="75" t="str">
        <f aca="false">
IF($D144="정상",INDEX(임대자산!$D$3:$R$3000,MATCH($F144,임대자산!$I$3:$I$3000,0),MATCH(I$4,임대자산!$D$3:$R$3,0)),
IF($D144="폐업",INDEX(폐업정보!$D$3:$R$3000,MATCH($F144,폐업정보!$I$3:$I$3000,0),MATCH(I$4,폐업정보!$D$3:$R$3,0)),
"Error"))</f>
        <v>A0139</v>
      </c>
      <c r="J144" s="75" t="str">
        <f aca="false">
IF($D144="정상",INDEX(임대자산!$D$3:$R$3000,MATCH($F144,임대자산!$I$3:$I$3000,0),MATCH(J$4,임대자산!$D$3:$R$3,0)),
IF($D144="폐업",INDEX(폐업정보!$D$3:$R$3000,MATCH($F144,폐업정보!$I$3:$I$3000,0),MATCH(J$4,폐업정보!$D$3:$R$3,0)),
"Error"))</f>
        <v>4568600000</v>
      </c>
      <c r="K144" s="75" t="str">
        <f aca="false">
IF($D144="정상",INDEX(임대자산!$D$3:$R$3000,MATCH($F144,임대자산!$I$3:$I$3000,0),MATCH(K$4,임대자산!$D$3:$R$3,0)),
IF($D144="폐업",INDEX(폐업정보!$D$3:$R$3000,MATCH($F144,폐업정보!$I$3:$I$3000,0),MATCH(K$4,폐업정보!$D$3:$R$3,0)),
"Error"))</f>
        <v>C0139</v>
      </c>
      <c r="L144" s="75" t="str">
        <f aca="false">
IF($D144="정상",INDEX(임대자산!$D$3:$R$3000,MATCH($F144,임대자산!$I$3:$I$3000,0),MATCH(L$4,임대자산!$D$3:$R$3,0)),
IF($D144="폐업",INDEX(폐업정보!$D$3:$R$3000,MATCH($F144,폐업정보!$I$3:$I$3000,0),MATCH(L$4,폐업정보!$D$3:$R$3,0)),
"Error"))</f>
        <v>D0139</v>
      </c>
      <c r="M144" s="76" t="s">
        <v>96</v>
      </c>
      <c r="N144" s="77"/>
      <c r="O144" s="78" t="s">
        <v>97</v>
      </c>
      <c r="P144" s="79" t="n">
        <f aca="false">COUNTIFS(임대자산!$I:$I,가맹점정보!F144,임대자산!$N:$N,가맹점정보!P$4)</f>
        <v>0</v>
      </c>
      <c r="Q144" s="80" t="n">
        <f aca="false">COUNTIFS(임대자산!$I:$I,가맹점정보!F144,임대자산!$N:$N,가맹점정보!Q$4)</f>
        <v>0</v>
      </c>
      <c r="R144" s="81" t="n">
        <f aca="false">COUNTIFS(임대자산!$I:$I,가맹점정보!F144,임대자산!$N:$N,가맹점정보!R$4)</f>
        <v>0</v>
      </c>
      <c r="S144" s="82" t="n">
        <v>55000</v>
      </c>
      <c r="T144" s="83" t="n">
        <v>0</v>
      </c>
      <c r="U144" s="80" t="n">
        <f aca="false">SUM(S144:T144)</f>
        <v>55000</v>
      </c>
      <c r="V144" s="84" t="s">
        <v>12</v>
      </c>
      <c r="W144" s="80" t="str">
        <f aca="true">
IF(D144="폐업","폐업",
IF(V144="면제","면제",
IF(AND(V144="정상",COUNTIFS(OFFSET(Y144,0,COUNTA(Y144:AV144)-1,1,-4),"미납")&gt;=3),"장기미납",
IF(AND(V144="정상",OFFSET(Y144,0,COUNTA(Y144:AV144)-1)&gt;=U144),"정상",
IF(AND(V144="정상",OFFSET(Y144,0,COUNTA(Y144:AV144)-1)=0),"정상",
"계약서 미작성")))))</f>
        <v>폐업</v>
      </c>
      <c r="X144" s="81" t="str">
        <f aca="true">
IF(D144="폐업","폐업",
IF(AND(V144="정상",OFFSET(Y144,0,COUNTA(Y144:AV144)-1)="미납"),"미납",
IF(AND(V144="정상",OFFSET(Y144,0,COUNTA(Y144:AV144)-1)=0),"납부 시작 전",
IF(AND(V144="정상",OFFSET(Y144,0,COUNTA(Y144:AV144)-1)&gt;=U144),"정상",
IF(AND(V144="면제",OFFSET(Y144,0,COUNTA(Y144:AV144)-1)="면제"),"면제",
IF(AND(V144="면제",OFFSET(Y144,0,COUNTA(Y144:AV144)-1)=0),"면제",
"확인요청"))))))</f>
        <v>폐업</v>
      </c>
      <c r="Y144" s="93" t="n">
        <v>55000</v>
      </c>
      <c r="Z144" s="90" t="n">
        <v>55000</v>
      </c>
      <c r="AA144" s="90" t="n">
        <v>55000</v>
      </c>
      <c r="AB144" s="90" t="n">
        <v>55000</v>
      </c>
      <c r="AC144" s="90" t="n">
        <v>55000</v>
      </c>
      <c r="AD144" s="90" t="n">
        <v>55000</v>
      </c>
      <c r="AE144" s="90" t="n">
        <v>55000</v>
      </c>
      <c r="AF144" s="90" t="n">
        <v>55000</v>
      </c>
      <c r="AG144" s="90" t="n">
        <v>55000</v>
      </c>
      <c r="AH144" s="90" t="n">
        <v>55000</v>
      </c>
      <c r="AI144" s="90" t="n">
        <v>55000</v>
      </c>
      <c r="AJ144" s="91" t="n">
        <v>55000</v>
      </c>
      <c r="AK144" s="89" t="n">
        <v>55000</v>
      </c>
      <c r="AL144" s="90" t="n">
        <v>55000</v>
      </c>
      <c r="AM144" s="90"/>
      <c r="AN144" s="90"/>
      <c r="AO144" s="90"/>
      <c r="AP144" s="90"/>
      <c r="AQ144" s="90"/>
      <c r="AR144" s="90"/>
      <c r="AS144" s="90"/>
      <c r="AT144" s="90"/>
      <c r="AU144" s="90"/>
      <c r="AV144" s="91"/>
      <c r="AX144" s="92"/>
    </row>
    <row r="145" customFormat="false" ht="15.65" hidden="false" customHeight="false" outlineLevel="0" collapsed="false">
      <c r="C145" s="72" t="n">
        <f aca="false">COUNTIFS($D$6:D145,"&lt;&gt;"&amp;"")</f>
        <v>140</v>
      </c>
      <c r="D145" s="73" t="s">
        <v>12</v>
      </c>
      <c r="E145" s="76" t="str">
        <f aca="false">
IF($D145="정상",INDEX(임대자산!$D$3:$R$3000,MATCH($F145,임대자산!$I$3:$I$3000,0),MATCH(E$3,임대자산!$D$3:$R$3,0)),
IF($D145="폐업",INDEX(폐업정보!$D$3:$R$3000,MATCH($F145,폐업정보!$I$3:$I$3000,0),MATCH(E$3,폐업정보!$D$3:$R$3,0)),
"Error"))</f>
        <v>서울</v>
      </c>
      <c r="F14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B0140</v>
      </c>
      <c r="G145" s="76" t="str">
        <f aca="false">F145&amp;RANDBETWEEN(0,10)</f>
        <v>B01407</v>
      </c>
      <c r="H145" s="75" t="n">
        <f aca="false">
IF($D145="정상",INDEX(임대자산!$D$3:$R$3000,MATCH($F145,임대자산!$I$3:$I$3000,0),MATCH(H$4,임대자산!$D$3:$R$3,0)),
IF($D145="폐업",INDEX(폐업정보!$D$3:$R$3000,MATCH($F145,폐업정보!$I$3:$I$3000,0),MATCH(H$4,폐업정보!$D$3:$R$3,0)),
"Error"))</f>
        <v>44683</v>
      </c>
      <c r="I145" s="75" t="str">
        <f aca="false">
IF($D145="정상",INDEX(임대자산!$D$3:$R$3000,MATCH($F145,임대자산!$I$3:$I$3000,0),MATCH(I$4,임대자산!$D$3:$R$3,0)),
IF($D145="폐업",INDEX(폐업정보!$D$3:$R$3000,MATCH($F145,폐업정보!$I$3:$I$3000,0),MATCH(I$4,폐업정보!$D$3:$R$3,0)),
"Error"))</f>
        <v>A0140</v>
      </c>
      <c r="J145" s="75" t="str">
        <f aca="false">
IF($D145="정상",INDEX(임대자산!$D$3:$R$3000,MATCH($F145,임대자산!$I$3:$I$3000,0),MATCH(J$4,임대자산!$D$3:$R$3,0)),
IF($D145="폐업",INDEX(폐업정보!$D$3:$R$3000,MATCH($F145,폐업정보!$I$3:$I$3000,0),MATCH(J$4,폐업정보!$D$3:$R$3,0)),
"Error"))</f>
        <v>5741400000</v>
      </c>
      <c r="K145" s="75" t="str">
        <f aca="false">
IF($D145="정상",INDEX(임대자산!$D$3:$R$3000,MATCH($F145,임대자산!$I$3:$I$3000,0),MATCH(K$4,임대자산!$D$3:$R$3,0)),
IF($D145="폐업",INDEX(폐업정보!$D$3:$R$3000,MATCH($F145,폐업정보!$I$3:$I$3000,0),MATCH(K$4,폐업정보!$D$3:$R$3,0)),
"Error"))</f>
        <v>C0140</v>
      </c>
      <c r="L145" s="75" t="str">
        <f aca="false">
IF($D145="정상",INDEX(임대자산!$D$3:$R$3000,MATCH($F145,임대자산!$I$3:$I$3000,0),MATCH(L$4,임대자산!$D$3:$R$3,0)),
IF($D145="폐업",INDEX(폐업정보!$D$3:$R$3000,MATCH($F145,폐업정보!$I$3:$I$3000,0),MATCH(L$4,폐업정보!$D$3:$R$3,0)),
"Error"))</f>
        <v>D0140</v>
      </c>
      <c r="M145" s="76" t="s">
        <v>96</v>
      </c>
      <c r="N145" s="77"/>
      <c r="O145" s="78" t="s">
        <v>97</v>
      </c>
      <c r="P145" s="79" t="n">
        <f aca="false">COUNTIFS(임대자산!$I:$I,가맹점정보!F145,임대자산!$N:$N,가맹점정보!P$4)</f>
        <v>0</v>
      </c>
      <c r="Q145" s="80" t="n">
        <f aca="false">COUNTIFS(임대자산!$I:$I,가맹점정보!F145,임대자산!$N:$N,가맹점정보!Q$4)</f>
        <v>0</v>
      </c>
      <c r="R145" s="81" t="n">
        <f aca="false">COUNTIFS(임대자산!$I:$I,가맹점정보!F145,임대자산!$N:$N,가맹점정보!R$4)</f>
        <v>1</v>
      </c>
      <c r="S145" s="82" t="n">
        <v>55000</v>
      </c>
      <c r="T145" s="83" t="n">
        <v>0</v>
      </c>
      <c r="U145" s="80" t="n">
        <f aca="false">SUM(S145:T145)</f>
        <v>55000</v>
      </c>
      <c r="V145" s="84" t="s">
        <v>12</v>
      </c>
      <c r="W145" s="80" t="e">
        <f aca="true">
IF(D145="폐업","폐업",
IF(V145="면제","면제",
IF(AND(V145="정상",COUNTIFS(OFFSET(Y145,0,COUNTA(Y145:AV145)-1,1,-4),"미납")&gt;=3),"장기미납",
IF(AND(V145="정상",OFFSET(Y145,0,COUNTA(Y145:AV145)-1)&gt;=U145),"정상",
IF(AND(V145="정상",OFFSET(Y145,0,COUNTA(Y145:AV145)-1)=0),"정상",
"계약서 미작성")))))</f>
        <v>#VALUE!</v>
      </c>
      <c r="X145" s="81" t="str">
        <f aca="true">
IF(D145="폐업","폐업",
IF(AND(V145="정상",OFFSET(Y145,0,COUNTA(Y145:AV145)-1)="미납"),"미납",
IF(AND(V145="정상",OFFSET(Y145,0,COUNTA(Y145:AV145)-1)=0),"납부 시작 전",
IF(AND(V145="정상",OFFSET(Y145,0,COUNTA(Y145:AV145)-1)&gt;=U145),"정상",
IF(AND(V145="면제",OFFSET(Y145,0,COUNTA(Y145:AV145)-1)="면제"),"면제",
IF(AND(V145="면제",OFFSET(Y145,0,COUNTA(Y145:AV145)-1)=0),"면제",
"확인요청"))))))</f>
        <v>정상</v>
      </c>
      <c r="Y145" s="93" t="n">
        <v>55000</v>
      </c>
      <c r="Z145" s="90" t="n">
        <v>55000</v>
      </c>
      <c r="AA145" s="90" t="n">
        <v>55000</v>
      </c>
      <c r="AB145" s="90" t="n">
        <v>55000</v>
      </c>
      <c r="AC145" s="90" t="n">
        <v>55000</v>
      </c>
      <c r="AD145" s="90" t="n">
        <v>55000</v>
      </c>
      <c r="AE145" s="90" t="n">
        <v>55000</v>
      </c>
      <c r="AF145" s="90" t="n">
        <v>55000</v>
      </c>
      <c r="AG145" s="90" t="n">
        <v>55000</v>
      </c>
      <c r="AH145" s="90" t="n">
        <v>55000</v>
      </c>
      <c r="AI145" s="90" t="n">
        <v>55000</v>
      </c>
      <c r="AJ145" s="91" t="n">
        <v>55000</v>
      </c>
      <c r="AK145" s="89" t="n">
        <v>55000</v>
      </c>
      <c r="AL145" s="90" t="n">
        <v>55000</v>
      </c>
      <c r="AM145" s="90"/>
      <c r="AN145" s="90"/>
      <c r="AO145" s="90"/>
      <c r="AP145" s="90"/>
      <c r="AQ145" s="90"/>
      <c r="AR145" s="90"/>
      <c r="AS145" s="90"/>
      <c r="AT145" s="90"/>
      <c r="AU145" s="90"/>
      <c r="AV145" s="91"/>
      <c r="AX145" s="92"/>
    </row>
    <row r="146" customFormat="false" ht="15.65" hidden="false" customHeight="false" outlineLevel="0" collapsed="false">
      <c r="C146" s="72" t="n">
        <f aca="false">COUNTIFS($D$6:D146,"&lt;&gt;"&amp;"")</f>
        <v>141</v>
      </c>
      <c r="D146" s="73" t="s">
        <v>12</v>
      </c>
      <c r="E146" s="76" t="str">
        <f aca="false">
IF($D146="정상",INDEX(임대자산!$D$3:$R$3000,MATCH($F146,임대자산!$I$3:$I$3000,0),MATCH(E$3,임대자산!$D$3:$R$3,0)),
IF($D146="폐업",INDEX(폐업정보!$D$3:$R$3000,MATCH($F146,폐업정보!$I$3:$I$3000,0),MATCH(E$3,폐업정보!$D$3:$R$3,0)),
"Error"))</f>
        <v>서울</v>
      </c>
      <c r="F14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B0141</v>
      </c>
      <c r="G146" s="76" t="str">
        <f aca="false">F146&amp;RANDBETWEEN(0,10)</f>
        <v>B01416</v>
      </c>
      <c r="H146" s="75" t="n">
        <f aca="false">
IF($D146="정상",INDEX(임대자산!$D$3:$R$3000,MATCH($F146,임대자산!$I$3:$I$3000,0),MATCH(H$4,임대자산!$D$3:$R$3,0)),
IF($D146="폐업",INDEX(폐업정보!$D$3:$R$3000,MATCH($F146,폐업정보!$I$3:$I$3000,0),MATCH(H$4,폐업정보!$D$3:$R$3,0)),
"Error"))</f>
        <v>45576</v>
      </c>
      <c r="I146" s="75" t="str">
        <f aca="false">
IF($D146="정상",INDEX(임대자산!$D$3:$R$3000,MATCH($F146,임대자산!$I$3:$I$3000,0),MATCH(I$4,임대자산!$D$3:$R$3,0)),
IF($D146="폐업",INDEX(폐업정보!$D$3:$R$3000,MATCH($F146,폐업정보!$I$3:$I$3000,0),MATCH(I$4,폐업정보!$D$3:$R$3,0)),
"Error"))</f>
        <v>A0141</v>
      </c>
      <c r="J146" s="75" t="str">
        <f aca="false">
IF($D146="정상",INDEX(임대자산!$D$3:$R$3000,MATCH($F146,임대자산!$I$3:$I$3000,0),MATCH(J$4,임대자산!$D$3:$R$3,0)),
IF($D146="폐업",INDEX(폐업정보!$D$3:$R$3000,MATCH($F146,폐업정보!$I$3:$I$3000,0),MATCH(J$4,폐업정보!$D$3:$R$3,0)),
"Error"))</f>
        <v>8056500000</v>
      </c>
      <c r="K146" s="75" t="str">
        <f aca="false">
IF($D146="정상",INDEX(임대자산!$D$3:$R$3000,MATCH($F146,임대자산!$I$3:$I$3000,0),MATCH(K$4,임대자산!$D$3:$R$3,0)),
IF($D146="폐업",INDEX(폐업정보!$D$3:$R$3000,MATCH($F146,폐업정보!$I$3:$I$3000,0),MATCH(K$4,폐업정보!$D$3:$R$3,0)),
"Error"))</f>
        <v>C0141</v>
      </c>
      <c r="L146" s="75" t="str">
        <f aca="false">
IF($D146="정상",INDEX(임대자산!$D$3:$R$3000,MATCH($F146,임대자산!$I$3:$I$3000,0),MATCH(L$4,임대자산!$D$3:$R$3,0)),
IF($D146="폐업",INDEX(폐업정보!$D$3:$R$3000,MATCH($F146,폐업정보!$I$3:$I$3000,0),MATCH(L$4,폐업정보!$D$3:$R$3,0)),
"Error"))</f>
        <v>D0141</v>
      </c>
      <c r="M146" s="76" t="s">
        <v>96</v>
      </c>
      <c r="N146" s="77"/>
      <c r="O146" s="78" t="s">
        <v>97</v>
      </c>
      <c r="P146" s="79" t="n">
        <f aca="false">COUNTIFS(임대자산!$I:$I,가맹점정보!F146,임대자산!$N:$N,가맹점정보!P$4)</f>
        <v>0</v>
      </c>
      <c r="Q146" s="80" t="n">
        <f aca="false">COUNTIFS(임대자산!$I:$I,가맹점정보!F146,임대자산!$N:$N,가맹점정보!Q$4)</f>
        <v>0</v>
      </c>
      <c r="R146" s="81" t="n">
        <f aca="false">COUNTIFS(임대자산!$I:$I,가맹점정보!F146,임대자산!$N:$N,가맹점정보!R$4)</f>
        <v>1</v>
      </c>
      <c r="S146" s="82" t="n">
        <v>55000</v>
      </c>
      <c r="T146" s="83" t="n">
        <v>0</v>
      </c>
      <c r="U146" s="80" t="n">
        <f aca="false">SUM(S146:T146)</f>
        <v>55000</v>
      </c>
      <c r="V146" s="84" t="s">
        <v>12</v>
      </c>
      <c r="W146" s="80" t="e">
        <f aca="true">
IF(D146="폐업","폐업",
IF(V146="면제","면제",
IF(AND(V146="정상",COUNTIFS(OFFSET(Y146,0,COUNTA(Y146:AV146)-1,1,-4),"미납")&gt;=3),"장기미납",
IF(AND(V146="정상",OFFSET(Y146,0,COUNTA(Y146:AV146)-1)&gt;=U146),"정상",
IF(AND(V146="정상",OFFSET(Y146,0,COUNTA(Y146:AV146)-1)=0),"정상",
"계약서 미작성")))))</f>
        <v>#VALUE!</v>
      </c>
      <c r="X146" s="81" t="str">
        <f aca="true">
IF(D146="폐업","폐업",
IF(AND(V146="정상",OFFSET(Y146,0,COUNTA(Y146:AV146)-1)="미납"),"미납",
IF(AND(V146="정상",OFFSET(Y146,0,COUNTA(Y146:AV146)-1)=0),"납부 시작 전",
IF(AND(V146="정상",OFFSET(Y146,0,COUNTA(Y146:AV146)-1)&gt;=U146),"정상",
IF(AND(V146="면제",OFFSET(Y146,0,COUNTA(Y146:AV146)-1)="면제"),"면제",
IF(AND(V146="면제",OFFSET(Y146,0,COUNTA(Y146:AV146)-1)=0),"면제",
"확인요청"))))))</f>
        <v>정상</v>
      </c>
      <c r="Y146" s="93" t="n">
        <v>55000</v>
      </c>
      <c r="Z146" s="90" t="n">
        <v>55000</v>
      </c>
      <c r="AA146" s="90" t="n">
        <v>55000</v>
      </c>
      <c r="AB146" s="90" t="n">
        <v>55000</v>
      </c>
      <c r="AC146" s="90" t="n">
        <v>55000</v>
      </c>
      <c r="AD146" s="90" t="n">
        <v>55000</v>
      </c>
      <c r="AE146" s="90" t="n">
        <v>55000</v>
      </c>
      <c r="AF146" s="90" t="n">
        <v>55000</v>
      </c>
      <c r="AG146" s="90" t="n">
        <v>55000</v>
      </c>
      <c r="AH146" s="90" t="n">
        <v>55000</v>
      </c>
      <c r="AI146" s="90" t="n">
        <v>55000</v>
      </c>
      <c r="AJ146" s="91" t="n">
        <v>55000</v>
      </c>
      <c r="AK146" s="89" t="n">
        <v>55000</v>
      </c>
      <c r="AL146" s="90" t="n">
        <v>55000</v>
      </c>
      <c r="AM146" s="90"/>
      <c r="AN146" s="90"/>
      <c r="AO146" s="90"/>
      <c r="AP146" s="90"/>
      <c r="AQ146" s="90"/>
      <c r="AR146" s="90"/>
      <c r="AS146" s="90"/>
      <c r="AT146" s="90"/>
      <c r="AU146" s="90"/>
      <c r="AV146" s="91"/>
      <c r="AX146" s="92"/>
    </row>
    <row r="147" customFormat="false" ht="15.65" hidden="false" customHeight="false" outlineLevel="0" collapsed="false">
      <c r="C147" s="72" t="n">
        <f aca="false">COUNTIFS($D$6:D147,"&lt;&gt;"&amp;"")</f>
        <v>142</v>
      </c>
      <c r="D147" s="73" t="s">
        <v>12</v>
      </c>
      <c r="E147" s="76" t="str">
        <f aca="false">
IF($D147="정상",INDEX(임대자산!$D$3:$R$3000,MATCH($F147,임대자산!$I$3:$I$3000,0),MATCH(E$3,임대자산!$D$3:$R$3,0)),
IF($D147="폐업",INDEX(폐업정보!$D$3:$R$3000,MATCH($F147,폐업정보!$I$3:$I$3000,0),MATCH(E$3,폐업정보!$D$3:$R$3,0)),
"Error"))</f>
        <v>서울</v>
      </c>
      <c r="F14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B0142</v>
      </c>
      <c r="G147" s="76" t="str">
        <f aca="false">F147&amp;RANDBETWEEN(0,10)</f>
        <v>B01427</v>
      </c>
      <c r="H147" s="75" t="n">
        <f aca="false">
IF($D147="정상",INDEX(임대자산!$D$3:$R$3000,MATCH($F147,임대자산!$I$3:$I$3000,0),MATCH(H$4,임대자산!$D$3:$R$3,0)),
IF($D147="폐업",INDEX(폐업정보!$D$3:$R$3000,MATCH($F147,폐업정보!$I$3:$I$3000,0),MATCH(H$4,폐업정보!$D$3:$R$3,0)),
"Error"))</f>
        <v>44708</v>
      </c>
      <c r="I147" s="75" t="str">
        <f aca="false">
IF($D147="정상",INDEX(임대자산!$D$3:$R$3000,MATCH($F147,임대자산!$I$3:$I$3000,0),MATCH(I$4,임대자산!$D$3:$R$3,0)),
IF($D147="폐업",INDEX(폐업정보!$D$3:$R$3000,MATCH($F147,폐업정보!$I$3:$I$3000,0),MATCH(I$4,폐업정보!$D$3:$R$3,0)),
"Error"))</f>
        <v>A0142</v>
      </c>
      <c r="J147" s="75" t="str">
        <f aca="false">
IF($D147="정상",INDEX(임대자산!$D$3:$R$3000,MATCH($F147,임대자산!$I$3:$I$3000,0),MATCH(J$4,임대자산!$D$3:$R$3,0)),
IF($D147="폐업",INDEX(폐업정보!$D$3:$R$3000,MATCH($F147,폐업정보!$I$3:$I$3000,0),MATCH(J$4,폐업정보!$D$3:$R$3,0)),
"Error"))</f>
        <v>2886900000</v>
      </c>
      <c r="K147" s="75" t="str">
        <f aca="false">
IF($D147="정상",INDEX(임대자산!$D$3:$R$3000,MATCH($F147,임대자산!$I$3:$I$3000,0),MATCH(K$4,임대자산!$D$3:$R$3,0)),
IF($D147="폐업",INDEX(폐업정보!$D$3:$R$3000,MATCH($F147,폐업정보!$I$3:$I$3000,0),MATCH(K$4,폐업정보!$D$3:$R$3,0)),
"Error"))</f>
        <v>C0142</v>
      </c>
      <c r="L147" s="75" t="str">
        <f aca="false">
IF($D147="정상",INDEX(임대자산!$D$3:$R$3000,MATCH($F147,임대자산!$I$3:$I$3000,0),MATCH(L$4,임대자산!$D$3:$R$3,0)),
IF($D147="폐업",INDEX(폐업정보!$D$3:$R$3000,MATCH($F147,폐업정보!$I$3:$I$3000,0),MATCH(L$4,폐업정보!$D$3:$R$3,0)),
"Error"))</f>
        <v>D0142</v>
      </c>
      <c r="M147" s="76" t="s">
        <v>96</v>
      </c>
      <c r="N147" s="77"/>
      <c r="O147" s="78" t="s">
        <v>97</v>
      </c>
      <c r="P147" s="79" t="n">
        <f aca="false">COUNTIFS(임대자산!$I:$I,가맹점정보!F147,임대자산!$N:$N,가맹점정보!P$4)</f>
        <v>0</v>
      </c>
      <c r="Q147" s="80" t="n">
        <f aca="false">COUNTIFS(임대자산!$I:$I,가맹점정보!F147,임대자산!$N:$N,가맹점정보!Q$4)</f>
        <v>0</v>
      </c>
      <c r="R147" s="81" t="n">
        <f aca="false">COUNTIFS(임대자산!$I:$I,가맹점정보!F147,임대자산!$N:$N,가맹점정보!R$4)</f>
        <v>1</v>
      </c>
      <c r="S147" s="82" t="n">
        <v>55000</v>
      </c>
      <c r="T147" s="83" t="n">
        <v>0</v>
      </c>
      <c r="U147" s="80" t="n">
        <f aca="false">SUM(S147:T147)</f>
        <v>55000</v>
      </c>
      <c r="V147" s="84" t="s">
        <v>12</v>
      </c>
      <c r="W147" s="80" t="e">
        <f aca="true">
IF(D147="폐업","폐업",
IF(V147="면제","면제",
IF(AND(V147="정상",COUNTIFS(OFFSET(Y147,0,COUNTA(Y147:AV147)-1,1,-4),"미납")&gt;=3),"장기미납",
IF(AND(V147="정상",OFFSET(Y147,0,COUNTA(Y147:AV147)-1)&gt;=U147),"정상",
IF(AND(V147="정상",OFFSET(Y147,0,COUNTA(Y147:AV147)-1)=0),"정상",
"계약서 미작성")))))</f>
        <v>#VALUE!</v>
      </c>
      <c r="X147" s="81" t="str">
        <f aca="true">
IF(D147="폐업","폐업",
IF(AND(V147="정상",OFFSET(Y147,0,COUNTA(Y147:AV147)-1)="미납"),"미납",
IF(AND(V147="정상",OFFSET(Y147,0,COUNTA(Y147:AV147)-1)=0),"납부 시작 전",
IF(AND(V147="정상",OFFSET(Y147,0,COUNTA(Y147:AV147)-1)&gt;=U147),"정상",
IF(AND(V147="면제",OFFSET(Y147,0,COUNTA(Y147:AV147)-1)="면제"),"면제",
IF(AND(V147="면제",OFFSET(Y147,0,COUNTA(Y147:AV147)-1)=0),"면제",
"확인요청"))))))</f>
        <v>정상</v>
      </c>
      <c r="Y147" s="93" t="n">
        <v>55000</v>
      </c>
      <c r="Z147" s="90" t="n">
        <v>55000</v>
      </c>
      <c r="AA147" s="90" t="n">
        <v>55000</v>
      </c>
      <c r="AB147" s="90" t="n">
        <v>55000</v>
      </c>
      <c r="AC147" s="90" t="n">
        <v>55000</v>
      </c>
      <c r="AD147" s="90" t="n">
        <v>55000</v>
      </c>
      <c r="AE147" s="90" t="n">
        <v>55000</v>
      </c>
      <c r="AF147" s="90" t="n">
        <v>55000</v>
      </c>
      <c r="AG147" s="90" t="n">
        <v>55000</v>
      </c>
      <c r="AH147" s="90" t="n">
        <v>55000</v>
      </c>
      <c r="AI147" s="90" t="n">
        <v>55000</v>
      </c>
      <c r="AJ147" s="91" t="n">
        <v>55000</v>
      </c>
      <c r="AK147" s="89" t="n">
        <v>55000</v>
      </c>
      <c r="AL147" s="90" t="n">
        <v>55000</v>
      </c>
      <c r="AM147" s="90"/>
      <c r="AN147" s="90"/>
      <c r="AO147" s="90"/>
      <c r="AP147" s="90"/>
      <c r="AQ147" s="90"/>
      <c r="AR147" s="90"/>
      <c r="AS147" s="90"/>
      <c r="AT147" s="90"/>
      <c r="AU147" s="90"/>
      <c r="AV147" s="91"/>
      <c r="AX147" s="92"/>
    </row>
    <row r="148" customFormat="false" ht="15.65" hidden="false" customHeight="false" outlineLevel="0" collapsed="false">
      <c r="C148" s="72" t="n">
        <f aca="false">COUNTIFS($D$6:D148,"&lt;&gt;"&amp;"")</f>
        <v>143</v>
      </c>
      <c r="D148" s="73" t="s">
        <v>12</v>
      </c>
      <c r="E148" s="76" t="str">
        <f aca="false">
IF($D148="정상",INDEX(임대자산!$D$3:$R$3000,MATCH($F148,임대자산!$I$3:$I$3000,0),MATCH(E$3,임대자산!$D$3:$R$3,0)),
IF($D148="폐업",INDEX(폐업정보!$D$3:$R$3000,MATCH($F148,폐업정보!$I$3:$I$3000,0),MATCH(E$3,폐업정보!$D$3:$R$3,0)),
"Error"))</f>
        <v>서울</v>
      </c>
      <c r="F14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B0143</v>
      </c>
      <c r="G148" s="76" t="str">
        <f aca="false">F148&amp;RANDBETWEEN(0,10)</f>
        <v>B01439</v>
      </c>
      <c r="H148" s="75" t="n">
        <f aca="false">
IF($D148="정상",INDEX(임대자산!$D$3:$R$3000,MATCH($F148,임대자산!$I$3:$I$3000,0),MATCH(H$4,임대자산!$D$3:$R$3,0)),
IF($D148="폐업",INDEX(폐업정보!$D$3:$R$3000,MATCH($F148,폐업정보!$I$3:$I$3000,0),MATCH(H$4,폐업정보!$D$3:$R$3,0)),
"Error"))</f>
        <v>45820</v>
      </c>
      <c r="I148" s="75" t="str">
        <f aca="false">
IF($D148="정상",INDEX(임대자산!$D$3:$R$3000,MATCH($F148,임대자산!$I$3:$I$3000,0),MATCH(I$4,임대자산!$D$3:$R$3,0)),
IF($D148="폐업",INDEX(폐업정보!$D$3:$R$3000,MATCH($F148,폐업정보!$I$3:$I$3000,0),MATCH(I$4,폐업정보!$D$3:$R$3,0)),
"Error"))</f>
        <v>A0143</v>
      </c>
      <c r="J148" s="75" t="str">
        <f aca="false">
IF($D148="정상",INDEX(임대자산!$D$3:$R$3000,MATCH($F148,임대자산!$I$3:$I$3000,0),MATCH(J$4,임대자산!$D$3:$R$3,0)),
IF($D148="폐업",INDEX(폐업정보!$D$3:$R$3000,MATCH($F148,폐업정보!$I$3:$I$3000,0),MATCH(J$4,폐업정보!$D$3:$R$3,0)),
"Error"))</f>
        <v>5587900000</v>
      </c>
      <c r="K148" s="75" t="str">
        <f aca="false">
IF($D148="정상",INDEX(임대자산!$D$3:$R$3000,MATCH($F148,임대자산!$I$3:$I$3000,0),MATCH(K$4,임대자산!$D$3:$R$3,0)),
IF($D148="폐업",INDEX(폐업정보!$D$3:$R$3000,MATCH($F148,폐업정보!$I$3:$I$3000,0),MATCH(K$4,폐업정보!$D$3:$R$3,0)),
"Error"))</f>
        <v>C0143</v>
      </c>
      <c r="L148" s="75" t="str">
        <f aca="false">
IF($D148="정상",INDEX(임대자산!$D$3:$R$3000,MATCH($F148,임대자산!$I$3:$I$3000,0),MATCH(L$4,임대자산!$D$3:$R$3,0)),
IF($D148="폐업",INDEX(폐업정보!$D$3:$R$3000,MATCH($F148,폐업정보!$I$3:$I$3000,0),MATCH(L$4,폐업정보!$D$3:$R$3,0)),
"Error"))</f>
        <v>D0143</v>
      </c>
      <c r="M148" s="76" t="s">
        <v>96</v>
      </c>
      <c r="N148" s="77"/>
      <c r="O148" s="78" t="s">
        <v>97</v>
      </c>
      <c r="P148" s="79" t="n">
        <f aca="false">COUNTIFS(임대자산!$I:$I,가맹점정보!F148,임대자산!$N:$N,가맹점정보!P$4)</f>
        <v>0</v>
      </c>
      <c r="Q148" s="80" t="n">
        <f aca="false">COUNTIFS(임대자산!$I:$I,가맹점정보!F148,임대자산!$N:$N,가맹점정보!Q$4)</f>
        <v>0</v>
      </c>
      <c r="R148" s="81" t="n">
        <f aca="false">COUNTIFS(임대자산!$I:$I,가맹점정보!F148,임대자산!$N:$N,가맹점정보!R$4)</f>
        <v>1</v>
      </c>
      <c r="S148" s="82" t="n">
        <v>55000</v>
      </c>
      <c r="T148" s="83" t="n">
        <v>0</v>
      </c>
      <c r="U148" s="80" t="n">
        <f aca="false">SUM(S148:T148)</f>
        <v>55000</v>
      </c>
      <c r="V148" s="84" t="s">
        <v>7</v>
      </c>
      <c r="W148" s="80" t="str">
        <f aca="true">
IF(D148="폐업","폐업",
IF(V148="면제","면제",
IF(AND(V148="정상",COUNTIFS(OFFSET(Y148,0,COUNTA(Y148:AV148)-1,1,-4),"미납")&gt;=3),"장기미납",
IF(AND(V148="정상",OFFSET(Y148,0,COUNTA(Y148:AV148)-1)&gt;=U148),"정상",
IF(AND(V148="정상",OFFSET(Y148,0,COUNTA(Y148:AV148)-1)=0),"정상",
"계약서 미작성")))))</f>
        <v>면제</v>
      </c>
      <c r="X148" s="81" t="str">
        <f aca="true">
IF(D148="폐업","폐업",
IF(AND(V148="정상",OFFSET(Y148,0,COUNTA(Y148:AV148)-1)="미납"),"미납",
IF(AND(V148="정상",OFFSET(Y148,0,COUNTA(Y148:AV148)-1)=0),"납부 시작 전",
IF(AND(V148="정상",OFFSET(Y148,0,COUNTA(Y148:AV148)-1)&gt;=U148),"정상",
IF(AND(V148="면제",OFFSET(Y148,0,COUNTA(Y148:AV148)-1)="면제"),"면제",
IF(AND(V148="면제",OFFSET(Y148,0,COUNTA(Y148:AV148)-1)=0),"면제",
"확인요청"))))))</f>
        <v>면제</v>
      </c>
      <c r="Y148" s="94" t="s">
        <v>7</v>
      </c>
      <c r="Z148" s="95" t="s">
        <v>7</v>
      </c>
      <c r="AA148" s="95" t="s">
        <v>7</v>
      </c>
      <c r="AB148" s="95" t="s">
        <v>7</v>
      </c>
      <c r="AC148" s="95" t="s">
        <v>7</v>
      </c>
      <c r="AD148" s="95" t="s">
        <v>7</v>
      </c>
      <c r="AE148" s="95" t="s">
        <v>7</v>
      </c>
      <c r="AF148" s="95" t="s">
        <v>7</v>
      </c>
      <c r="AG148" s="95" t="s">
        <v>7</v>
      </c>
      <c r="AH148" s="95" t="s">
        <v>7</v>
      </c>
      <c r="AI148" s="95" t="s">
        <v>7</v>
      </c>
      <c r="AJ148" s="96" t="s">
        <v>7</v>
      </c>
      <c r="AK148" s="97" t="s">
        <v>7</v>
      </c>
      <c r="AL148" s="95" t="s">
        <v>7</v>
      </c>
      <c r="AM148" s="90"/>
      <c r="AN148" s="90"/>
      <c r="AO148" s="90"/>
      <c r="AP148" s="90"/>
      <c r="AQ148" s="90"/>
      <c r="AR148" s="90"/>
      <c r="AS148" s="90"/>
      <c r="AT148" s="90"/>
      <c r="AU148" s="90"/>
      <c r="AV148" s="91"/>
      <c r="AX148" s="92"/>
    </row>
    <row r="149" customFormat="false" ht="15.65" hidden="false" customHeight="false" outlineLevel="0" collapsed="false">
      <c r="C149" s="72" t="n">
        <f aca="false">COUNTIFS($D$6:D149,"&lt;&gt;"&amp;"")</f>
        <v>144</v>
      </c>
      <c r="D149" s="73" t="s">
        <v>12</v>
      </c>
      <c r="E149" s="76" t="str">
        <f aca="false">
IF($D149="정상",INDEX(임대자산!$D$3:$R$3000,MATCH($F149,임대자산!$I$3:$I$3000,0),MATCH(E$3,임대자산!$D$3:$R$3,0)),
IF($D149="폐업",INDEX(폐업정보!$D$3:$R$3000,MATCH($F149,폐업정보!$I$3:$I$3000,0),MATCH(E$3,폐업정보!$D$3:$R$3,0)),
"Error"))</f>
        <v>서울</v>
      </c>
      <c r="F14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B0144</v>
      </c>
      <c r="G149" s="76" t="str">
        <f aca="false">F149&amp;RANDBETWEEN(0,10)</f>
        <v>B01444</v>
      </c>
      <c r="H149" s="75" t="n">
        <f aca="false">
IF($D149="정상",INDEX(임대자산!$D$3:$R$3000,MATCH($F149,임대자산!$I$3:$I$3000,0),MATCH(H$4,임대자산!$D$3:$R$3,0)),
IF($D149="폐업",INDEX(폐업정보!$D$3:$R$3000,MATCH($F149,폐업정보!$I$3:$I$3000,0),MATCH(H$4,폐업정보!$D$3:$R$3,0)),
"Error"))</f>
        <v>44729</v>
      </c>
      <c r="I149" s="75" t="str">
        <f aca="false">
IF($D149="정상",INDEX(임대자산!$D$3:$R$3000,MATCH($F149,임대자산!$I$3:$I$3000,0),MATCH(I$4,임대자산!$D$3:$R$3,0)),
IF($D149="폐업",INDEX(폐업정보!$D$3:$R$3000,MATCH($F149,폐업정보!$I$3:$I$3000,0),MATCH(I$4,폐업정보!$D$3:$R$3,0)),
"Error"))</f>
        <v>A0144</v>
      </c>
      <c r="J149" s="75" t="str">
        <f aca="false">
IF($D149="정상",INDEX(임대자산!$D$3:$R$3000,MATCH($F149,임대자산!$I$3:$I$3000,0),MATCH(J$4,임대자산!$D$3:$R$3,0)),
IF($D149="폐업",INDEX(폐업정보!$D$3:$R$3000,MATCH($F149,폐업정보!$I$3:$I$3000,0),MATCH(J$4,폐업정보!$D$3:$R$3,0)),
"Error"))</f>
        <v>8761200000</v>
      </c>
      <c r="K149" s="75" t="str">
        <f aca="false">
IF($D149="정상",INDEX(임대자산!$D$3:$R$3000,MATCH($F149,임대자산!$I$3:$I$3000,0),MATCH(K$4,임대자산!$D$3:$R$3,0)),
IF($D149="폐업",INDEX(폐업정보!$D$3:$R$3000,MATCH($F149,폐업정보!$I$3:$I$3000,0),MATCH(K$4,폐업정보!$D$3:$R$3,0)),
"Error"))</f>
        <v>C0144</v>
      </c>
      <c r="L149" s="75" t="str">
        <f aca="false">
IF($D149="정상",INDEX(임대자산!$D$3:$R$3000,MATCH($F149,임대자산!$I$3:$I$3000,0),MATCH(L$4,임대자산!$D$3:$R$3,0)),
IF($D149="폐업",INDEX(폐업정보!$D$3:$R$3000,MATCH($F149,폐업정보!$I$3:$I$3000,0),MATCH(L$4,폐업정보!$D$3:$R$3,0)),
"Error"))</f>
        <v>D0144</v>
      </c>
      <c r="M149" s="76" t="s">
        <v>96</v>
      </c>
      <c r="N149" s="77"/>
      <c r="O149" s="78" t="s">
        <v>97</v>
      </c>
      <c r="P149" s="79" t="n">
        <f aca="false">COUNTIFS(임대자산!$I:$I,가맹점정보!F149,임대자산!$N:$N,가맹점정보!P$4)</f>
        <v>0</v>
      </c>
      <c r="Q149" s="80" t="n">
        <f aca="false">COUNTIFS(임대자산!$I:$I,가맹점정보!F149,임대자산!$N:$N,가맹점정보!Q$4)</f>
        <v>0</v>
      </c>
      <c r="R149" s="81" t="n">
        <f aca="false">COUNTIFS(임대자산!$I:$I,가맹점정보!F149,임대자산!$N:$N,가맹점정보!R$4)</f>
        <v>1</v>
      </c>
      <c r="S149" s="82" t="n">
        <v>88000</v>
      </c>
      <c r="T149" s="83" t="n">
        <v>0</v>
      </c>
      <c r="U149" s="80" t="n">
        <f aca="false">SUM(S149:T149)</f>
        <v>88000</v>
      </c>
      <c r="V149" s="84" t="s">
        <v>7</v>
      </c>
      <c r="W149" s="80" t="str">
        <f aca="true">
IF(D149="폐업","폐업",
IF(V149="면제","면제",
IF(AND(V149="정상",COUNTIFS(OFFSET(Y149,0,COUNTA(Y149:AV149)-1,1,-4),"미납")&gt;=3),"장기미납",
IF(AND(V149="정상",OFFSET(Y149,0,COUNTA(Y149:AV149)-1)&gt;=U149),"정상",
IF(AND(V149="정상",OFFSET(Y149,0,COUNTA(Y149:AV149)-1)=0),"정상",
"계약서 미작성")))))</f>
        <v>면제</v>
      </c>
      <c r="X149" s="81" t="str">
        <f aca="true">
IF(D149="폐업","폐업",
IF(AND(V149="정상",OFFSET(Y149,0,COUNTA(Y149:AV149)-1)="미납"),"미납",
IF(AND(V149="정상",OFFSET(Y149,0,COUNTA(Y149:AV149)-1)=0),"납부 시작 전",
IF(AND(V149="정상",OFFSET(Y149,0,COUNTA(Y149:AV149)-1)&gt;=U149),"정상",
IF(AND(V149="면제",OFFSET(Y149,0,COUNTA(Y149:AV149)-1)="면제"),"면제",
IF(AND(V149="면제",OFFSET(Y149,0,COUNTA(Y149:AV149)-1)=0),"면제",
"확인요청"))))))</f>
        <v>면제</v>
      </c>
      <c r="Y149" s="94" t="s">
        <v>7</v>
      </c>
      <c r="Z149" s="95" t="s">
        <v>7</v>
      </c>
      <c r="AA149" s="95" t="s">
        <v>7</v>
      </c>
      <c r="AB149" s="95" t="s">
        <v>7</v>
      </c>
      <c r="AC149" s="95" t="s">
        <v>7</v>
      </c>
      <c r="AD149" s="95" t="s">
        <v>7</v>
      </c>
      <c r="AE149" s="95" t="s">
        <v>7</v>
      </c>
      <c r="AF149" s="95" t="s">
        <v>7</v>
      </c>
      <c r="AG149" s="95" t="s">
        <v>7</v>
      </c>
      <c r="AH149" s="95" t="s">
        <v>7</v>
      </c>
      <c r="AI149" s="95" t="s">
        <v>7</v>
      </c>
      <c r="AJ149" s="96" t="s">
        <v>7</v>
      </c>
      <c r="AK149" s="97" t="s">
        <v>7</v>
      </c>
      <c r="AL149" s="95" t="s">
        <v>7</v>
      </c>
      <c r="AM149" s="90"/>
      <c r="AN149" s="90"/>
      <c r="AO149" s="90"/>
      <c r="AP149" s="90"/>
      <c r="AQ149" s="90"/>
      <c r="AR149" s="90"/>
      <c r="AS149" s="90"/>
      <c r="AT149" s="90"/>
      <c r="AU149" s="90"/>
      <c r="AV149" s="91"/>
      <c r="AX149" s="92"/>
    </row>
    <row r="150" customFormat="false" ht="15.65" hidden="false" customHeight="false" outlineLevel="0" collapsed="false">
      <c r="C150" s="72" t="n">
        <f aca="false">COUNTIFS($D$6:D150,"&lt;&gt;"&amp;"")</f>
        <v>145</v>
      </c>
      <c r="D150" s="73" t="s">
        <v>12</v>
      </c>
      <c r="E150" s="76" t="str">
        <f aca="false">
IF($D150="정상",INDEX(임대자산!$D$3:$R$3000,MATCH($F150,임대자산!$I$3:$I$3000,0),MATCH(E$3,임대자산!$D$3:$R$3,0)),
IF($D150="폐업",INDEX(폐업정보!$D$3:$R$3000,MATCH($F150,폐업정보!$I$3:$I$3000,0),MATCH(E$3,폐업정보!$D$3:$R$3,0)),
"Error"))</f>
        <v>서울</v>
      </c>
      <c r="F15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B0145</v>
      </c>
      <c r="G150" s="76" t="str">
        <f aca="false">F150&amp;RANDBETWEEN(0,10)</f>
        <v>B01458</v>
      </c>
      <c r="H150" s="75" t="n">
        <f aca="false">
IF($D150="정상",INDEX(임대자산!$D$3:$R$3000,MATCH($F150,임대자산!$I$3:$I$3000,0),MATCH(H$4,임대자산!$D$3:$R$3,0)),
IF($D150="폐업",INDEX(폐업정보!$D$3:$R$3000,MATCH($F150,폐업정보!$I$3:$I$3000,0),MATCH(H$4,폐업정보!$D$3:$R$3,0)),
"Error"))</f>
        <v>44719</v>
      </c>
      <c r="I150" s="75" t="str">
        <f aca="false">
IF($D150="정상",INDEX(임대자산!$D$3:$R$3000,MATCH($F150,임대자산!$I$3:$I$3000,0),MATCH(I$4,임대자산!$D$3:$R$3,0)),
IF($D150="폐업",INDEX(폐업정보!$D$3:$R$3000,MATCH($F150,폐업정보!$I$3:$I$3000,0),MATCH(I$4,폐업정보!$D$3:$R$3,0)),
"Error"))</f>
        <v>A0145</v>
      </c>
      <c r="J150" s="75" t="str">
        <f aca="false">
IF($D150="정상",INDEX(임대자산!$D$3:$R$3000,MATCH($F150,임대자산!$I$3:$I$3000,0),MATCH(J$4,임대자산!$D$3:$R$3,0)),
IF($D150="폐업",INDEX(폐업정보!$D$3:$R$3000,MATCH($F150,폐업정보!$I$3:$I$3000,0),MATCH(J$4,폐업정보!$D$3:$R$3,0)),
"Error"))</f>
        <v>5342000000</v>
      </c>
      <c r="K150" s="75" t="str">
        <f aca="false">
IF($D150="정상",INDEX(임대자산!$D$3:$R$3000,MATCH($F150,임대자산!$I$3:$I$3000,0),MATCH(K$4,임대자산!$D$3:$R$3,0)),
IF($D150="폐업",INDEX(폐업정보!$D$3:$R$3000,MATCH($F150,폐업정보!$I$3:$I$3000,0),MATCH(K$4,폐업정보!$D$3:$R$3,0)),
"Error"))</f>
        <v>C0145</v>
      </c>
      <c r="L150" s="75" t="str">
        <f aca="false">
IF($D150="정상",INDEX(임대자산!$D$3:$R$3000,MATCH($F150,임대자산!$I$3:$I$3000,0),MATCH(L$4,임대자산!$D$3:$R$3,0)),
IF($D150="폐업",INDEX(폐업정보!$D$3:$R$3000,MATCH($F150,폐업정보!$I$3:$I$3000,0),MATCH(L$4,폐업정보!$D$3:$R$3,0)),
"Error"))</f>
        <v>D0145</v>
      </c>
      <c r="M150" s="76" t="s">
        <v>96</v>
      </c>
      <c r="N150" s="77"/>
      <c r="O150" s="78" t="s">
        <v>97</v>
      </c>
      <c r="P150" s="79" t="n">
        <f aca="false">COUNTIFS(임대자산!$I:$I,가맹점정보!F150,임대자산!$N:$N,가맹점정보!P$4)</f>
        <v>0</v>
      </c>
      <c r="Q150" s="80" t="n">
        <f aca="false">COUNTIFS(임대자산!$I:$I,가맹점정보!F150,임대자산!$N:$N,가맹점정보!Q$4)</f>
        <v>0</v>
      </c>
      <c r="R150" s="81" t="n">
        <f aca="false">COUNTIFS(임대자산!$I:$I,가맹점정보!F150,임대자산!$N:$N,가맹점정보!R$4)</f>
        <v>1</v>
      </c>
      <c r="S150" s="82" t="n">
        <v>55000</v>
      </c>
      <c r="T150" s="83" t="n">
        <v>0</v>
      </c>
      <c r="U150" s="80" t="n">
        <f aca="false">SUM(S150:T150)</f>
        <v>55000</v>
      </c>
      <c r="V150" s="84" t="s">
        <v>7</v>
      </c>
      <c r="W150" s="80" t="str">
        <f aca="true">
IF(D150="폐업","폐업",
IF(V150="면제","면제",
IF(AND(V150="정상",COUNTIFS(OFFSET(Y150,0,COUNTA(Y150:AV150)-1,1,-4),"미납")&gt;=3),"장기미납",
IF(AND(V150="정상",OFFSET(Y150,0,COUNTA(Y150:AV150)-1)&gt;=U150),"정상",
IF(AND(V150="정상",OFFSET(Y150,0,COUNTA(Y150:AV150)-1)=0),"정상",
"계약서 미작성")))))</f>
        <v>면제</v>
      </c>
      <c r="X150" s="81" t="str">
        <f aca="true">
IF(D150="폐업","폐업",
IF(AND(V150="정상",OFFSET(Y150,0,COUNTA(Y150:AV150)-1)="미납"),"미납",
IF(AND(V150="정상",OFFSET(Y150,0,COUNTA(Y150:AV150)-1)=0),"납부 시작 전",
IF(AND(V150="정상",OFFSET(Y150,0,COUNTA(Y150:AV150)-1)&gt;=U150),"정상",
IF(AND(V150="면제",OFFSET(Y150,0,COUNTA(Y150:AV150)-1)="면제"),"면제",
IF(AND(V150="면제",OFFSET(Y150,0,COUNTA(Y150:AV150)-1)=0),"면제",
"확인요청"))))))</f>
        <v>면제</v>
      </c>
      <c r="Y150" s="94" t="s">
        <v>7</v>
      </c>
      <c r="Z150" s="95" t="s">
        <v>7</v>
      </c>
      <c r="AA150" s="95" t="s">
        <v>7</v>
      </c>
      <c r="AB150" s="95" t="s">
        <v>7</v>
      </c>
      <c r="AC150" s="95" t="s">
        <v>7</v>
      </c>
      <c r="AD150" s="95" t="s">
        <v>7</v>
      </c>
      <c r="AE150" s="95" t="s">
        <v>7</v>
      </c>
      <c r="AF150" s="95" t="s">
        <v>7</v>
      </c>
      <c r="AG150" s="95" t="s">
        <v>7</v>
      </c>
      <c r="AH150" s="95" t="s">
        <v>7</v>
      </c>
      <c r="AI150" s="95" t="s">
        <v>7</v>
      </c>
      <c r="AJ150" s="96" t="s">
        <v>7</v>
      </c>
      <c r="AK150" s="97" t="s">
        <v>7</v>
      </c>
      <c r="AL150" s="95" t="s">
        <v>7</v>
      </c>
      <c r="AM150" s="90"/>
      <c r="AN150" s="90"/>
      <c r="AO150" s="90"/>
      <c r="AP150" s="90"/>
      <c r="AQ150" s="90"/>
      <c r="AR150" s="90"/>
      <c r="AS150" s="90"/>
      <c r="AT150" s="90"/>
      <c r="AU150" s="90"/>
      <c r="AV150" s="91"/>
      <c r="AX150" s="92"/>
    </row>
    <row r="151" customFormat="false" ht="15.65" hidden="false" customHeight="false" outlineLevel="0" collapsed="false">
      <c r="C151" s="72" t="n">
        <f aca="false">COUNTIFS($D$6:D151,"&lt;&gt;"&amp;"")</f>
        <v>146</v>
      </c>
      <c r="D151" s="73" t="s">
        <v>12</v>
      </c>
      <c r="E151" s="76" t="str">
        <f aca="false">
IF($D151="정상",INDEX(임대자산!$D$3:$R$3000,MATCH($F151,임대자산!$I$3:$I$3000,0),MATCH(E$3,임대자산!$D$3:$R$3,0)),
IF($D151="폐업",INDEX(폐업정보!$D$3:$R$3000,MATCH($F151,폐업정보!$I$3:$I$3000,0),MATCH(E$3,폐업정보!$D$3:$R$3,0)),
"Error"))</f>
        <v>강원</v>
      </c>
      <c r="F15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B0146</v>
      </c>
      <c r="G151" s="76" t="str">
        <f aca="false">F151&amp;RANDBETWEEN(0,10)</f>
        <v>B01460</v>
      </c>
      <c r="H151" s="75" t="n">
        <f aca="false">
IF($D151="정상",INDEX(임대자산!$D$3:$R$3000,MATCH($F151,임대자산!$I$3:$I$3000,0),MATCH(H$4,임대자산!$D$3:$R$3,0)),
IF($D151="폐업",INDEX(폐업정보!$D$3:$R$3000,MATCH($F151,폐업정보!$I$3:$I$3000,0),MATCH(H$4,폐업정보!$D$3:$R$3,0)),
"Error"))</f>
        <v>44715</v>
      </c>
      <c r="I151" s="75" t="str">
        <f aca="false">
IF($D151="정상",INDEX(임대자산!$D$3:$R$3000,MATCH($F151,임대자산!$I$3:$I$3000,0),MATCH(I$4,임대자산!$D$3:$R$3,0)),
IF($D151="폐업",INDEX(폐업정보!$D$3:$R$3000,MATCH($F151,폐업정보!$I$3:$I$3000,0),MATCH(I$4,폐업정보!$D$3:$R$3,0)),
"Error"))</f>
        <v>A0146</v>
      </c>
      <c r="J151" s="75" t="str">
        <f aca="false">
IF($D151="정상",INDEX(임대자산!$D$3:$R$3000,MATCH($F151,임대자산!$I$3:$I$3000,0),MATCH(J$4,임대자산!$D$3:$R$3,0)),
IF($D151="폐업",INDEX(폐업정보!$D$3:$R$3000,MATCH($F151,폐업정보!$I$3:$I$3000,0),MATCH(J$4,폐업정보!$D$3:$R$3,0)),
"Error"))</f>
        <v>6893200000</v>
      </c>
      <c r="K151" s="75" t="str">
        <f aca="false">
IF($D151="정상",INDEX(임대자산!$D$3:$R$3000,MATCH($F151,임대자산!$I$3:$I$3000,0),MATCH(K$4,임대자산!$D$3:$R$3,0)),
IF($D151="폐업",INDEX(폐업정보!$D$3:$R$3000,MATCH($F151,폐업정보!$I$3:$I$3000,0),MATCH(K$4,폐업정보!$D$3:$R$3,0)),
"Error"))</f>
        <v>C0146</v>
      </c>
      <c r="L151" s="75" t="str">
        <f aca="false">
IF($D151="정상",INDEX(임대자산!$D$3:$R$3000,MATCH($F151,임대자산!$I$3:$I$3000,0),MATCH(L$4,임대자산!$D$3:$R$3,0)),
IF($D151="폐업",INDEX(폐업정보!$D$3:$R$3000,MATCH($F151,폐업정보!$I$3:$I$3000,0),MATCH(L$4,폐업정보!$D$3:$R$3,0)),
"Error"))</f>
        <v>D0146</v>
      </c>
      <c r="M151" s="76" t="s">
        <v>96</v>
      </c>
      <c r="N151" s="77"/>
      <c r="O151" s="78" t="s">
        <v>97</v>
      </c>
      <c r="P151" s="79" t="n">
        <f aca="false">COUNTIFS(임대자산!$I:$I,가맹점정보!F151,임대자산!$N:$N,가맹점정보!P$4)</f>
        <v>0</v>
      </c>
      <c r="Q151" s="80" t="n">
        <f aca="false">COUNTIFS(임대자산!$I:$I,가맹점정보!F151,임대자산!$N:$N,가맹점정보!Q$4)</f>
        <v>0</v>
      </c>
      <c r="R151" s="81" t="n">
        <f aca="false">COUNTIFS(임대자산!$I:$I,가맹점정보!F151,임대자산!$N:$N,가맹점정보!R$4)</f>
        <v>1</v>
      </c>
      <c r="S151" s="82" t="n">
        <v>88000</v>
      </c>
      <c r="T151" s="83" t="n">
        <v>0</v>
      </c>
      <c r="U151" s="80" t="n">
        <f aca="false">SUM(S151:T151)</f>
        <v>88000</v>
      </c>
      <c r="V151" s="84" t="s">
        <v>7</v>
      </c>
      <c r="W151" s="80" t="str">
        <f aca="true">
IF(D151="폐업","폐업",
IF(V151="면제","면제",
IF(AND(V151="정상",COUNTIFS(OFFSET(Y151,0,COUNTA(Y151:AV151)-1,1,-4),"미납")&gt;=3),"장기미납",
IF(AND(V151="정상",OFFSET(Y151,0,COUNTA(Y151:AV151)-1)&gt;=U151),"정상",
IF(AND(V151="정상",OFFSET(Y151,0,COUNTA(Y151:AV151)-1)=0),"정상",
"계약서 미작성")))))</f>
        <v>면제</v>
      </c>
      <c r="X151" s="81" t="str">
        <f aca="true">
IF(D151="폐업","폐업",
IF(AND(V151="정상",OFFSET(Y151,0,COUNTA(Y151:AV151)-1)="미납"),"미납",
IF(AND(V151="정상",OFFSET(Y151,0,COUNTA(Y151:AV151)-1)=0),"납부 시작 전",
IF(AND(V151="정상",OFFSET(Y151,0,COUNTA(Y151:AV151)-1)&gt;=U151),"정상",
IF(AND(V151="면제",OFFSET(Y151,0,COUNTA(Y151:AV151)-1)="면제"),"면제",
IF(AND(V151="면제",OFFSET(Y151,0,COUNTA(Y151:AV151)-1)=0),"면제",
"확인요청"))))))</f>
        <v>면제</v>
      </c>
      <c r="Y151" s="94" t="s">
        <v>7</v>
      </c>
      <c r="Z151" s="95" t="s">
        <v>7</v>
      </c>
      <c r="AA151" s="95" t="s">
        <v>7</v>
      </c>
      <c r="AB151" s="95" t="s">
        <v>7</v>
      </c>
      <c r="AC151" s="95" t="s">
        <v>7</v>
      </c>
      <c r="AD151" s="95" t="s">
        <v>7</v>
      </c>
      <c r="AE151" s="95" t="s">
        <v>7</v>
      </c>
      <c r="AF151" s="95" t="s">
        <v>7</v>
      </c>
      <c r="AG151" s="95" t="s">
        <v>7</v>
      </c>
      <c r="AH151" s="95" t="s">
        <v>7</v>
      </c>
      <c r="AI151" s="95" t="s">
        <v>7</v>
      </c>
      <c r="AJ151" s="96" t="s">
        <v>7</v>
      </c>
      <c r="AK151" s="97" t="s">
        <v>7</v>
      </c>
      <c r="AL151" s="95" t="s">
        <v>7</v>
      </c>
      <c r="AM151" s="90"/>
      <c r="AN151" s="90"/>
      <c r="AO151" s="90"/>
      <c r="AP151" s="90"/>
      <c r="AQ151" s="90"/>
      <c r="AR151" s="90"/>
      <c r="AS151" s="90"/>
      <c r="AT151" s="90"/>
      <c r="AU151" s="90"/>
      <c r="AV151" s="91"/>
      <c r="AX151" s="92"/>
    </row>
    <row r="152" customFormat="false" ht="15.65" hidden="false" customHeight="false" outlineLevel="0" collapsed="false">
      <c r="C152" s="72" t="n">
        <f aca="false">COUNTIFS($D$6:D152,"&lt;&gt;"&amp;"")</f>
        <v>147</v>
      </c>
      <c r="D152" s="73" t="s">
        <v>12</v>
      </c>
      <c r="E152" s="76" t="str">
        <f aca="false">
IF($D152="정상",INDEX(임대자산!$D$3:$R$3000,MATCH($F152,임대자산!$I$3:$I$3000,0),MATCH(E$3,임대자산!$D$3:$R$3,0)),
IF($D152="폐업",INDEX(폐업정보!$D$3:$R$3000,MATCH($F152,폐업정보!$I$3:$I$3000,0),MATCH(E$3,폐업정보!$D$3:$R$3,0)),
"Error"))</f>
        <v>강원</v>
      </c>
      <c r="F15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B0147</v>
      </c>
      <c r="G152" s="76" t="str">
        <f aca="false">F152&amp;RANDBETWEEN(0,10)</f>
        <v>B01472</v>
      </c>
      <c r="H152" s="75" t="n">
        <f aca="false">
IF($D152="정상",INDEX(임대자산!$D$3:$R$3000,MATCH($F152,임대자산!$I$3:$I$3000,0),MATCH(H$4,임대자산!$D$3:$R$3,0)),
IF($D152="폐업",INDEX(폐업정보!$D$3:$R$3000,MATCH($F152,폐업정보!$I$3:$I$3000,0),MATCH(H$4,폐업정보!$D$3:$R$3,0)),
"Error"))</f>
        <v>45968</v>
      </c>
      <c r="I152" s="75" t="str">
        <f aca="false">
IF($D152="정상",INDEX(임대자산!$D$3:$R$3000,MATCH($F152,임대자산!$I$3:$I$3000,0),MATCH(I$4,임대자산!$D$3:$R$3,0)),
IF($D152="폐업",INDEX(폐업정보!$D$3:$R$3000,MATCH($F152,폐업정보!$I$3:$I$3000,0),MATCH(I$4,폐업정보!$D$3:$R$3,0)),
"Error"))</f>
        <v>A0147</v>
      </c>
      <c r="J152" s="75" t="str">
        <f aca="false">
IF($D152="정상",INDEX(임대자산!$D$3:$R$3000,MATCH($F152,임대자산!$I$3:$I$3000,0),MATCH(J$4,임대자산!$D$3:$R$3,0)),
IF($D152="폐업",INDEX(폐업정보!$D$3:$R$3000,MATCH($F152,폐업정보!$I$3:$I$3000,0),MATCH(J$4,폐업정보!$D$3:$R$3,0)),
"Error"))</f>
        <v>7977300000</v>
      </c>
      <c r="K152" s="75" t="str">
        <f aca="false">
IF($D152="정상",INDEX(임대자산!$D$3:$R$3000,MATCH($F152,임대자산!$I$3:$I$3000,0),MATCH(K$4,임대자산!$D$3:$R$3,0)),
IF($D152="폐업",INDEX(폐업정보!$D$3:$R$3000,MATCH($F152,폐업정보!$I$3:$I$3000,0),MATCH(K$4,폐업정보!$D$3:$R$3,0)),
"Error"))</f>
        <v>C0147</v>
      </c>
      <c r="L152" s="75" t="str">
        <f aca="false">
IF($D152="정상",INDEX(임대자산!$D$3:$R$3000,MATCH($F152,임대자산!$I$3:$I$3000,0),MATCH(L$4,임대자산!$D$3:$R$3,0)),
IF($D152="폐업",INDEX(폐업정보!$D$3:$R$3000,MATCH($F152,폐업정보!$I$3:$I$3000,0),MATCH(L$4,폐업정보!$D$3:$R$3,0)),
"Error"))</f>
        <v>D0147</v>
      </c>
      <c r="M152" s="76" t="s">
        <v>96</v>
      </c>
      <c r="N152" s="77"/>
      <c r="O152" s="78" t="s">
        <v>97</v>
      </c>
      <c r="P152" s="79" t="n">
        <f aca="false">COUNTIFS(임대자산!$I:$I,가맹점정보!F152,임대자산!$N:$N,가맹점정보!P$4)</f>
        <v>0</v>
      </c>
      <c r="Q152" s="80" t="n">
        <f aca="false">COUNTIFS(임대자산!$I:$I,가맹점정보!F152,임대자산!$N:$N,가맹점정보!Q$4)</f>
        <v>0</v>
      </c>
      <c r="R152" s="81" t="n">
        <f aca="false">COUNTIFS(임대자산!$I:$I,가맹점정보!F152,임대자산!$N:$N,가맹점정보!R$4)</f>
        <v>1</v>
      </c>
      <c r="S152" s="82" t="n">
        <v>55000</v>
      </c>
      <c r="T152" s="83" t="n">
        <v>0</v>
      </c>
      <c r="U152" s="80" t="n">
        <f aca="false">SUM(S152:T152)</f>
        <v>55000</v>
      </c>
      <c r="V152" s="84" t="s">
        <v>12</v>
      </c>
      <c r="W152" s="80" t="e">
        <f aca="true">
IF(D152="폐업","폐업",
IF(V152="면제","면제",
IF(AND(V152="정상",COUNTIFS(OFFSET(Y152,0,COUNTA(Y152:AV152)-1,1,-4),"미납")&gt;=3),"장기미납",
IF(AND(V152="정상",OFFSET(Y152,0,COUNTA(Y152:AV152)-1)&gt;=U152),"정상",
IF(AND(V152="정상",OFFSET(Y152,0,COUNTA(Y152:AV152)-1)=0),"정상",
"계약서 미작성")))))</f>
        <v>#VALUE!</v>
      </c>
      <c r="X152" s="81" t="str">
        <f aca="true">
IF(D152="폐업","폐업",
IF(AND(V152="정상",OFFSET(Y152,0,COUNTA(Y152:AV152)-1)="미납"),"미납",
IF(AND(V152="정상",OFFSET(Y152,0,COUNTA(Y152:AV152)-1)=0),"납부 시작 전",
IF(AND(V152="정상",OFFSET(Y152,0,COUNTA(Y152:AV152)-1)&gt;=U152),"정상",
IF(AND(V152="면제",OFFSET(Y152,0,COUNTA(Y152:AV152)-1)="면제"),"면제",
IF(AND(V152="면제",OFFSET(Y152,0,COUNTA(Y152:AV152)-1)=0),"면제",
"확인요청"))))))</f>
        <v>정상</v>
      </c>
      <c r="Y152" s="93" t="n">
        <v>55000</v>
      </c>
      <c r="Z152" s="90" t="n">
        <v>55000</v>
      </c>
      <c r="AA152" s="90" t="n">
        <v>55000</v>
      </c>
      <c r="AB152" s="90" t="n">
        <v>55000</v>
      </c>
      <c r="AC152" s="90" t="n">
        <v>55000</v>
      </c>
      <c r="AD152" s="90" t="n">
        <v>55000</v>
      </c>
      <c r="AE152" s="90" t="n">
        <v>55000</v>
      </c>
      <c r="AF152" s="90" t="n">
        <v>55000</v>
      </c>
      <c r="AG152" s="90" t="n">
        <v>55000</v>
      </c>
      <c r="AH152" s="90" t="n">
        <v>55000</v>
      </c>
      <c r="AI152" s="90" t="n">
        <v>55000</v>
      </c>
      <c r="AJ152" s="91" t="n">
        <v>55000</v>
      </c>
      <c r="AK152" s="89" t="n">
        <v>55000</v>
      </c>
      <c r="AL152" s="90" t="n">
        <v>55000</v>
      </c>
      <c r="AM152" s="90"/>
      <c r="AN152" s="90"/>
      <c r="AO152" s="90"/>
      <c r="AP152" s="90"/>
      <c r="AQ152" s="90"/>
      <c r="AR152" s="90"/>
      <c r="AS152" s="90"/>
      <c r="AT152" s="90"/>
      <c r="AU152" s="90"/>
      <c r="AV152" s="91"/>
      <c r="AX152" s="92"/>
    </row>
    <row r="153" customFormat="false" ht="15.65" hidden="false" customHeight="false" outlineLevel="0" collapsed="false">
      <c r="C153" s="72" t="n">
        <f aca="false">COUNTIFS($D$6:D153,"&lt;&gt;"&amp;"")</f>
        <v>148</v>
      </c>
      <c r="D153" s="73" t="s">
        <v>12</v>
      </c>
      <c r="E153" s="76" t="str">
        <f aca="false">
IF($D153="정상",INDEX(임대자산!$D$3:$R$3000,MATCH($F153,임대자산!$I$3:$I$3000,0),MATCH(E$3,임대자산!$D$3:$R$3,0)),
IF($D153="폐업",INDEX(폐업정보!$D$3:$R$3000,MATCH($F153,폐업정보!$I$3:$I$3000,0),MATCH(E$3,폐업정보!$D$3:$R$3,0)),
"Error"))</f>
        <v>경기</v>
      </c>
      <c r="F15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B0148</v>
      </c>
      <c r="G153" s="76" t="str">
        <f aca="false">F153&amp;RANDBETWEEN(0,10)</f>
        <v>B01485</v>
      </c>
      <c r="H153" s="75" t="n">
        <f aca="false">
IF($D153="정상",INDEX(임대자산!$D$3:$R$3000,MATCH($F153,임대자산!$I$3:$I$3000,0),MATCH(H$4,임대자산!$D$3:$R$3,0)),
IF($D153="폐업",INDEX(폐업정보!$D$3:$R$3000,MATCH($F153,폐업정보!$I$3:$I$3000,0),MATCH(H$4,폐업정보!$D$3:$R$3,0)),
"Error"))</f>
        <v>45483</v>
      </c>
      <c r="I153" s="75" t="str">
        <f aca="false">
IF($D153="정상",INDEX(임대자산!$D$3:$R$3000,MATCH($F153,임대자산!$I$3:$I$3000,0),MATCH(I$4,임대자산!$D$3:$R$3,0)),
IF($D153="폐업",INDEX(폐업정보!$D$3:$R$3000,MATCH($F153,폐업정보!$I$3:$I$3000,0),MATCH(I$4,폐업정보!$D$3:$R$3,0)),
"Error"))</f>
        <v>A0148</v>
      </c>
      <c r="J153" s="75" t="str">
        <f aca="false">
IF($D153="정상",INDEX(임대자산!$D$3:$R$3000,MATCH($F153,임대자산!$I$3:$I$3000,0),MATCH(J$4,임대자산!$D$3:$R$3,0)),
IF($D153="폐업",INDEX(폐업정보!$D$3:$R$3000,MATCH($F153,폐업정보!$I$3:$I$3000,0),MATCH(J$4,폐업정보!$D$3:$R$3,0)),
"Error"))</f>
        <v>8660400000</v>
      </c>
      <c r="K153" s="75" t="str">
        <f aca="false">
IF($D153="정상",INDEX(임대자산!$D$3:$R$3000,MATCH($F153,임대자산!$I$3:$I$3000,0),MATCH(K$4,임대자산!$D$3:$R$3,0)),
IF($D153="폐업",INDEX(폐업정보!$D$3:$R$3000,MATCH($F153,폐업정보!$I$3:$I$3000,0),MATCH(K$4,폐업정보!$D$3:$R$3,0)),
"Error"))</f>
        <v>C0148</v>
      </c>
      <c r="L153" s="75" t="str">
        <f aca="false">
IF($D153="정상",INDEX(임대자산!$D$3:$R$3000,MATCH($F153,임대자산!$I$3:$I$3000,0),MATCH(L$4,임대자산!$D$3:$R$3,0)),
IF($D153="폐업",INDEX(폐업정보!$D$3:$R$3000,MATCH($F153,폐업정보!$I$3:$I$3000,0),MATCH(L$4,폐업정보!$D$3:$R$3,0)),
"Error"))</f>
        <v>D0148</v>
      </c>
      <c r="M153" s="76" t="s">
        <v>96</v>
      </c>
      <c r="N153" s="77"/>
      <c r="O153" s="78" t="s">
        <v>97</v>
      </c>
      <c r="P153" s="79" t="n">
        <f aca="false">COUNTIFS(임대자산!$I:$I,가맹점정보!F153,임대자산!$N:$N,가맹점정보!P$4)</f>
        <v>0</v>
      </c>
      <c r="Q153" s="80" t="n">
        <f aca="false">COUNTIFS(임대자산!$I:$I,가맹점정보!F153,임대자산!$N:$N,가맹점정보!Q$4)</f>
        <v>0</v>
      </c>
      <c r="R153" s="81" t="n">
        <f aca="false">COUNTIFS(임대자산!$I:$I,가맹점정보!F153,임대자산!$N:$N,가맹점정보!R$4)</f>
        <v>1</v>
      </c>
      <c r="S153" s="82" t="n">
        <v>55000</v>
      </c>
      <c r="T153" s="83" t="n">
        <v>0</v>
      </c>
      <c r="U153" s="80" t="n">
        <f aca="false">SUM(S153:T153)</f>
        <v>55000</v>
      </c>
      <c r="V153" s="84" t="s">
        <v>12</v>
      </c>
      <c r="W153" s="80" t="e">
        <f aca="true">
IF(D153="폐업","폐업",
IF(V153="면제","면제",
IF(AND(V153="정상",COUNTIFS(OFFSET(Y153,0,COUNTA(Y153:AV153)-1,1,-4),"미납")&gt;=3),"장기미납",
IF(AND(V153="정상",OFFSET(Y153,0,COUNTA(Y153:AV153)-1)&gt;=U153),"정상",
IF(AND(V153="정상",OFFSET(Y153,0,COUNTA(Y153:AV153)-1)=0),"정상",
"계약서 미작성")))))</f>
        <v>#VALUE!</v>
      </c>
      <c r="X153" s="81" t="str">
        <f aca="true">
IF(D153="폐업","폐업",
IF(AND(V153="정상",OFFSET(Y153,0,COUNTA(Y153:AV153)-1)="미납"),"미납",
IF(AND(V153="정상",OFFSET(Y153,0,COUNTA(Y153:AV153)-1)=0),"납부 시작 전",
IF(AND(V153="정상",OFFSET(Y153,0,COUNTA(Y153:AV153)-1)&gt;=U153),"정상",
IF(AND(V153="면제",OFFSET(Y153,0,COUNTA(Y153:AV153)-1)="면제"),"면제",
IF(AND(V153="면제",OFFSET(Y153,0,COUNTA(Y153:AV153)-1)=0),"면제",
"확인요청"))))))</f>
        <v>정상</v>
      </c>
      <c r="Y153" s="93" t="n">
        <v>55000</v>
      </c>
      <c r="Z153" s="90" t="n">
        <v>55000</v>
      </c>
      <c r="AA153" s="90" t="n">
        <v>55000</v>
      </c>
      <c r="AB153" s="90" t="n">
        <v>55000</v>
      </c>
      <c r="AC153" s="90" t="n">
        <v>55000</v>
      </c>
      <c r="AD153" s="90" t="n">
        <v>55000</v>
      </c>
      <c r="AE153" s="90" t="n">
        <v>55000</v>
      </c>
      <c r="AF153" s="90" t="n">
        <v>55000</v>
      </c>
      <c r="AG153" s="90" t="n">
        <v>55000</v>
      </c>
      <c r="AH153" s="90" t="n">
        <v>55000</v>
      </c>
      <c r="AI153" s="90" t="n">
        <v>55000</v>
      </c>
      <c r="AJ153" s="91" t="n">
        <v>55000</v>
      </c>
      <c r="AK153" s="89" t="n">
        <v>55000</v>
      </c>
      <c r="AL153" s="90" t="n">
        <v>55000</v>
      </c>
      <c r="AM153" s="90"/>
      <c r="AN153" s="90"/>
      <c r="AO153" s="90"/>
      <c r="AP153" s="90"/>
      <c r="AQ153" s="90"/>
      <c r="AR153" s="90"/>
      <c r="AS153" s="90"/>
      <c r="AT153" s="90"/>
      <c r="AU153" s="90"/>
      <c r="AV153" s="91"/>
      <c r="AX153" s="92"/>
    </row>
    <row r="154" customFormat="false" ht="15.65" hidden="false" customHeight="false" outlineLevel="0" collapsed="false">
      <c r="C154" s="72" t="n">
        <f aca="false">COUNTIFS($D$6:D154,"&lt;&gt;"&amp;"")</f>
        <v>149</v>
      </c>
      <c r="D154" s="73" t="s">
        <v>5</v>
      </c>
      <c r="E154" s="76" t="str">
        <f aca="false">
IF($D154="정상",INDEX(임대자산!$D$3:$R$3000,MATCH($F154,임대자산!$I$3:$I$3000,0),MATCH(E$3,임대자산!$D$3:$R$3,0)),
IF($D154="폐업",INDEX(폐업정보!$D$3:$R$3000,MATCH($F154,폐업정보!$I$3:$I$3000,0),MATCH(E$3,폐업정보!$D$3:$R$3,0)),
"Error"))</f>
        <v>경기</v>
      </c>
      <c r="F15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B0149</v>
      </c>
      <c r="G154" s="76" t="str">
        <f aca="false">F154&amp;RANDBETWEEN(0,10)</f>
        <v>B01492</v>
      </c>
      <c r="H154" s="75" t="n">
        <f aca="false">
IF($D154="정상",INDEX(임대자산!$D$3:$R$3000,MATCH($F154,임대자산!$I$3:$I$3000,0),MATCH(H$4,임대자산!$D$3:$R$3,0)),
IF($D154="폐업",INDEX(폐업정보!$D$3:$R$3000,MATCH($F154,폐업정보!$I$3:$I$3000,0),MATCH(H$4,폐업정보!$D$3:$R$3,0)),
"Error"))</f>
        <v>45483</v>
      </c>
      <c r="I154" s="75" t="str">
        <f aca="false">
IF($D154="정상",INDEX(임대자산!$D$3:$R$3000,MATCH($F154,임대자산!$I$3:$I$3000,0),MATCH(I$4,임대자산!$D$3:$R$3,0)),
IF($D154="폐업",INDEX(폐업정보!$D$3:$R$3000,MATCH($F154,폐업정보!$I$3:$I$3000,0),MATCH(I$4,폐업정보!$D$3:$R$3,0)),
"Error"))</f>
        <v>A0149</v>
      </c>
      <c r="J154" s="75" t="str">
        <f aca="false">
IF($D154="정상",INDEX(임대자산!$D$3:$R$3000,MATCH($F154,임대자산!$I$3:$I$3000,0),MATCH(J$4,임대자산!$D$3:$R$3,0)),
IF($D154="폐업",INDEX(폐업정보!$D$3:$R$3000,MATCH($F154,폐업정보!$I$3:$I$3000,0),MATCH(J$4,폐업정보!$D$3:$R$3,0)),
"Error"))</f>
        <v>3677100000</v>
      </c>
      <c r="K154" s="75" t="str">
        <f aca="false">
IF($D154="정상",INDEX(임대자산!$D$3:$R$3000,MATCH($F154,임대자산!$I$3:$I$3000,0),MATCH(K$4,임대자산!$D$3:$R$3,0)),
IF($D154="폐업",INDEX(폐업정보!$D$3:$R$3000,MATCH($F154,폐업정보!$I$3:$I$3000,0),MATCH(K$4,폐업정보!$D$3:$R$3,0)),
"Error"))</f>
        <v>C0149</v>
      </c>
      <c r="L154" s="75" t="str">
        <f aca="false">
IF($D154="정상",INDEX(임대자산!$D$3:$R$3000,MATCH($F154,임대자산!$I$3:$I$3000,0),MATCH(L$4,임대자산!$D$3:$R$3,0)),
IF($D154="폐업",INDEX(폐업정보!$D$3:$R$3000,MATCH($F154,폐업정보!$I$3:$I$3000,0),MATCH(L$4,폐업정보!$D$3:$R$3,0)),
"Error"))</f>
        <v>D0149</v>
      </c>
      <c r="M154" s="76" t="s">
        <v>96</v>
      </c>
      <c r="N154" s="77"/>
      <c r="O154" s="78" t="s">
        <v>97</v>
      </c>
      <c r="P154" s="79" t="n">
        <f aca="false">COUNTIFS(임대자산!$I:$I,가맹점정보!F154,임대자산!$N:$N,가맹점정보!P$4)</f>
        <v>0</v>
      </c>
      <c r="Q154" s="80" t="n">
        <f aca="false">COUNTIFS(임대자산!$I:$I,가맹점정보!F154,임대자산!$N:$N,가맹점정보!Q$4)</f>
        <v>0</v>
      </c>
      <c r="R154" s="81" t="n">
        <f aca="false">COUNTIFS(임대자산!$I:$I,가맹점정보!F154,임대자산!$N:$N,가맹점정보!R$4)</f>
        <v>0</v>
      </c>
      <c r="S154" s="82" t="n">
        <v>55000</v>
      </c>
      <c r="T154" s="83" t="n">
        <v>0</v>
      </c>
      <c r="U154" s="80" t="n">
        <f aca="false">SUM(S154:T154)</f>
        <v>55000</v>
      </c>
      <c r="V154" s="84" t="s">
        <v>12</v>
      </c>
      <c r="W154" s="80" t="str">
        <f aca="true">
IF(D154="폐업","폐업",
IF(V154="면제","면제",
IF(AND(V154="정상",COUNTIFS(OFFSET(Y154,0,COUNTA(Y154:AV154)-1,1,-4),"미납")&gt;=3),"장기미납",
IF(AND(V154="정상",OFFSET(Y154,0,COUNTA(Y154:AV154)-1)&gt;=U154),"정상",
IF(AND(V154="정상",OFFSET(Y154,0,COUNTA(Y154:AV154)-1)=0),"정상",
"계약서 미작성")))))</f>
        <v>폐업</v>
      </c>
      <c r="X154" s="81" t="str">
        <f aca="true">
IF(D154="폐업","폐업",
IF(AND(V154="정상",OFFSET(Y154,0,COUNTA(Y154:AV154)-1)="미납"),"미납",
IF(AND(V154="정상",OFFSET(Y154,0,COUNTA(Y154:AV154)-1)=0),"납부 시작 전",
IF(AND(V154="정상",OFFSET(Y154,0,COUNTA(Y154:AV154)-1)&gt;=U154),"정상",
IF(AND(V154="면제",OFFSET(Y154,0,COUNTA(Y154:AV154)-1)="면제"),"면제",
IF(AND(V154="면제",OFFSET(Y154,0,COUNTA(Y154:AV154)-1)=0),"면제",
"확인요청"))))))</f>
        <v>폐업</v>
      </c>
      <c r="Y154" s="93" t="n">
        <v>55000</v>
      </c>
      <c r="Z154" s="90" t="n">
        <v>55000</v>
      </c>
      <c r="AA154" s="90" t="n">
        <v>55000</v>
      </c>
      <c r="AB154" s="90" t="n">
        <v>55000</v>
      </c>
      <c r="AC154" s="90" t="n">
        <v>55000</v>
      </c>
      <c r="AD154" s="90" t="n">
        <v>55000</v>
      </c>
      <c r="AE154" s="90" t="n">
        <v>55000</v>
      </c>
      <c r="AF154" s="90" t="n">
        <v>55000</v>
      </c>
      <c r="AG154" s="90" t="n">
        <v>55000</v>
      </c>
      <c r="AH154" s="90" t="n">
        <v>55000</v>
      </c>
      <c r="AI154" s="90" t="n">
        <v>55000</v>
      </c>
      <c r="AJ154" s="91" t="n">
        <v>55000</v>
      </c>
      <c r="AK154" s="89" t="n">
        <v>55000</v>
      </c>
      <c r="AL154" s="90" t="n">
        <v>55000</v>
      </c>
      <c r="AM154" s="90"/>
      <c r="AN154" s="90"/>
      <c r="AO154" s="90"/>
      <c r="AP154" s="90"/>
      <c r="AQ154" s="90"/>
      <c r="AR154" s="90"/>
      <c r="AS154" s="90"/>
      <c r="AT154" s="90"/>
      <c r="AU154" s="90"/>
      <c r="AV154" s="91"/>
      <c r="AX154" s="92"/>
    </row>
    <row r="155" customFormat="false" ht="15.65" hidden="false" customHeight="false" outlineLevel="0" collapsed="false">
      <c r="C155" s="72" t="n">
        <f aca="false">COUNTIFS($D$6:D155,"&lt;&gt;"&amp;"")</f>
        <v>150</v>
      </c>
      <c r="D155" s="73" t="s">
        <v>12</v>
      </c>
      <c r="E155" s="76" t="str">
        <f aca="false">
IF($D155="정상",INDEX(임대자산!$D$3:$R$3000,MATCH($F155,임대자산!$I$3:$I$3000,0),MATCH(E$3,임대자산!$D$3:$R$3,0)),
IF($D155="폐업",INDEX(폐업정보!$D$3:$R$3000,MATCH($F155,폐업정보!$I$3:$I$3000,0),MATCH(E$3,폐업정보!$D$3:$R$3,0)),
"Error"))</f>
        <v>경기</v>
      </c>
      <c r="F15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B0150</v>
      </c>
      <c r="G155" s="76" t="str">
        <f aca="false">F155&amp;RANDBETWEEN(0,10)</f>
        <v>B01509</v>
      </c>
      <c r="H155" s="75" t="n">
        <f aca="false">
IF($D155="정상",INDEX(임대자산!$D$3:$R$3000,MATCH($F155,임대자산!$I$3:$I$3000,0),MATCH(H$4,임대자산!$D$3:$R$3,0)),
IF($D155="폐업",INDEX(폐업정보!$D$3:$R$3000,MATCH($F155,폐업정보!$I$3:$I$3000,0),MATCH(H$4,폐업정보!$D$3:$R$3,0)),
"Error"))</f>
        <v>44728</v>
      </c>
      <c r="I155" s="75" t="str">
        <f aca="false">
IF($D155="정상",INDEX(임대자산!$D$3:$R$3000,MATCH($F155,임대자산!$I$3:$I$3000,0),MATCH(I$4,임대자산!$D$3:$R$3,0)),
IF($D155="폐업",INDEX(폐업정보!$D$3:$R$3000,MATCH($F155,폐업정보!$I$3:$I$3000,0),MATCH(I$4,폐업정보!$D$3:$R$3,0)),
"Error"))</f>
        <v>A0150</v>
      </c>
      <c r="J155" s="75" t="str">
        <f aca="false">
IF($D155="정상",INDEX(임대자산!$D$3:$R$3000,MATCH($F155,임대자산!$I$3:$I$3000,0),MATCH(J$4,임대자산!$D$3:$R$3,0)),
IF($D155="폐업",INDEX(폐업정보!$D$3:$R$3000,MATCH($F155,폐업정보!$I$3:$I$3000,0),MATCH(J$4,폐업정보!$D$3:$R$3,0)),
"Error"))</f>
        <v>6661800000</v>
      </c>
      <c r="K155" s="75" t="str">
        <f aca="false">
IF($D155="정상",INDEX(임대자산!$D$3:$R$3000,MATCH($F155,임대자산!$I$3:$I$3000,0),MATCH(K$4,임대자산!$D$3:$R$3,0)),
IF($D155="폐업",INDEX(폐업정보!$D$3:$R$3000,MATCH($F155,폐업정보!$I$3:$I$3000,0),MATCH(K$4,폐업정보!$D$3:$R$3,0)),
"Error"))</f>
        <v>C0150</v>
      </c>
      <c r="L155" s="75" t="str">
        <f aca="false">
IF($D155="정상",INDEX(임대자산!$D$3:$R$3000,MATCH($F155,임대자산!$I$3:$I$3000,0),MATCH(L$4,임대자산!$D$3:$R$3,0)),
IF($D155="폐업",INDEX(폐업정보!$D$3:$R$3000,MATCH($F155,폐업정보!$I$3:$I$3000,0),MATCH(L$4,폐업정보!$D$3:$R$3,0)),
"Error"))</f>
        <v>D0150</v>
      </c>
      <c r="M155" s="76" t="s">
        <v>96</v>
      </c>
      <c r="N155" s="77"/>
      <c r="O155" s="78" t="s">
        <v>97</v>
      </c>
      <c r="P155" s="79" t="n">
        <f aca="false">COUNTIFS(임대자산!$I:$I,가맹점정보!F155,임대자산!$N:$N,가맹점정보!P$4)</f>
        <v>0</v>
      </c>
      <c r="Q155" s="80" t="n">
        <f aca="false">COUNTIFS(임대자산!$I:$I,가맹점정보!F155,임대자산!$N:$N,가맹점정보!Q$4)</f>
        <v>0</v>
      </c>
      <c r="R155" s="81" t="n">
        <f aca="false">COUNTIFS(임대자산!$I:$I,가맹점정보!F155,임대자산!$N:$N,가맹점정보!R$4)</f>
        <v>1</v>
      </c>
      <c r="S155" s="82" t="n">
        <v>88000</v>
      </c>
      <c r="T155" s="83" t="n">
        <v>0</v>
      </c>
      <c r="U155" s="80" t="n">
        <f aca="false">SUM(S155:T155)</f>
        <v>88000</v>
      </c>
      <c r="V155" s="84" t="s">
        <v>7</v>
      </c>
      <c r="W155" s="80" t="str">
        <f aca="true">
IF(D155="폐업","폐업",
IF(V155="면제","면제",
IF(AND(V155="정상",COUNTIFS(OFFSET(Y155,0,COUNTA(Y155:AV155)-1,1,-4),"미납")&gt;=3),"장기미납",
IF(AND(V155="정상",OFFSET(Y155,0,COUNTA(Y155:AV155)-1)&gt;=U155),"정상",
IF(AND(V155="정상",OFFSET(Y155,0,COUNTA(Y155:AV155)-1)=0),"정상",
"계약서 미작성")))))</f>
        <v>면제</v>
      </c>
      <c r="X155" s="81" t="str">
        <f aca="true">
IF(D155="폐업","폐업",
IF(AND(V155="정상",OFFSET(Y155,0,COUNTA(Y155:AV155)-1)="미납"),"미납",
IF(AND(V155="정상",OFFSET(Y155,0,COUNTA(Y155:AV155)-1)=0),"납부 시작 전",
IF(AND(V155="정상",OFFSET(Y155,0,COUNTA(Y155:AV155)-1)&gt;=U155),"정상",
IF(AND(V155="면제",OFFSET(Y155,0,COUNTA(Y155:AV155)-1)="면제"),"면제",
IF(AND(V155="면제",OFFSET(Y155,0,COUNTA(Y155:AV155)-1)=0),"면제",
"확인요청"))))))</f>
        <v>면제</v>
      </c>
      <c r="Y155" s="94" t="s">
        <v>7</v>
      </c>
      <c r="Z155" s="95" t="s">
        <v>7</v>
      </c>
      <c r="AA155" s="95" t="s">
        <v>7</v>
      </c>
      <c r="AB155" s="95" t="s">
        <v>7</v>
      </c>
      <c r="AC155" s="95" t="s">
        <v>7</v>
      </c>
      <c r="AD155" s="95" t="s">
        <v>7</v>
      </c>
      <c r="AE155" s="95" t="s">
        <v>7</v>
      </c>
      <c r="AF155" s="95" t="s">
        <v>7</v>
      </c>
      <c r="AG155" s="95" t="s">
        <v>7</v>
      </c>
      <c r="AH155" s="95" t="s">
        <v>7</v>
      </c>
      <c r="AI155" s="95" t="s">
        <v>7</v>
      </c>
      <c r="AJ155" s="96" t="s">
        <v>7</v>
      </c>
      <c r="AK155" s="97" t="s">
        <v>7</v>
      </c>
      <c r="AL155" s="95" t="s">
        <v>7</v>
      </c>
      <c r="AM155" s="90"/>
      <c r="AN155" s="90"/>
      <c r="AO155" s="90"/>
      <c r="AP155" s="90"/>
      <c r="AQ155" s="90"/>
      <c r="AR155" s="90"/>
      <c r="AS155" s="90"/>
      <c r="AT155" s="90"/>
      <c r="AU155" s="90"/>
      <c r="AV155" s="91"/>
      <c r="AX155" s="92"/>
    </row>
    <row r="156" customFormat="false" ht="15.65" hidden="false" customHeight="false" outlineLevel="0" collapsed="false">
      <c r="C156" s="72" t="n">
        <f aca="false">COUNTIFS($D$6:D156,"&lt;&gt;"&amp;"")</f>
        <v>151</v>
      </c>
      <c r="D156" s="73" t="s">
        <v>12</v>
      </c>
      <c r="E156" s="76" t="str">
        <f aca="false">
IF($D156="정상",INDEX(임대자산!$D$3:$R$3000,MATCH($F156,임대자산!$I$3:$I$3000,0),MATCH(E$3,임대자산!$D$3:$R$3,0)),
IF($D156="폐업",INDEX(폐업정보!$D$3:$R$3000,MATCH($F156,폐업정보!$I$3:$I$3000,0),MATCH(E$3,폐업정보!$D$3:$R$3,0)),
"Error"))</f>
        <v>경상</v>
      </c>
      <c r="F15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B0151</v>
      </c>
      <c r="G156" s="76" t="str">
        <f aca="false">F156&amp;RANDBETWEEN(0,10)</f>
        <v>B01513</v>
      </c>
      <c r="H156" s="75" t="n">
        <f aca="false">
IF($D156="정상",INDEX(임대자산!$D$3:$R$3000,MATCH($F156,임대자산!$I$3:$I$3000,0),MATCH(H$4,임대자산!$D$3:$R$3,0)),
IF($D156="폐업",INDEX(폐업정보!$D$3:$R$3000,MATCH($F156,폐업정보!$I$3:$I$3000,0),MATCH(H$4,폐업정보!$D$3:$R$3,0)),
"Error"))</f>
        <v>44712</v>
      </c>
      <c r="I156" s="75" t="str">
        <f aca="false">
IF($D156="정상",INDEX(임대자산!$D$3:$R$3000,MATCH($F156,임대자산!$I$3:$I$3000,0),MATCH(I$4,임대자산!$D$3:$R$3,0)),
IF($D156="폐업",INDEX(폐업정보!$D$3:$R$3000,MATCH($F156,폐업정보!$I$3:$I$3000,0),MATCH(I$4,폐업정보!$D$3:$R$3,0)),
"Error"))</f>
        <v>A0151</v>
      </c>
      <c r="J156" s="75" t="str">
        <f aca="false">
IF($D156="정상",INDEX(임대자산!$D$3:$R$3000,MATCH($F156,임대자산!$I$3:$I$3000,0),MATCH(J$4,임대자산!$D$3:$R$3,0)),
IF($D156="폐업",INDEX(폐업정보!$D$3:$R$3000,MATCH($F156,폐업정보!$I$3:$I$3000,0),MATCH(J$4,폐업정보!$D$3:$R$3,0)),
"Error"))</f>
        <v>4230800000</v>
      </c>
      <c r="K156" s="75" t="str">
        <f aca="false">
IF($D156="정상",INDEX(임대자산!$D$3:$R$3000,MATCH($F156,임대자산!$I$3:$I$3000,0),MATCH(K$4,임대자산!$D$3:$R$3,0)),
IF($D156="폐업",INDEX(폐업정보!$D$3:$R$3000,MATCH($F156,폐업정보!$I$3:$I$3000,0),MATCH(K$4,폐업정보!$D$3:$R$3,0)),
"Error"))</f>
        <v>C0151</v>
      </c>
      <c r="L156" s="75" t="str">
        <f aca="false">
IF($D156="정상",INDEX(임대자산!$D$3:$R$3000,MATCH($F156,임대자산!$I$3:$I$3000,0),MATCH(L$4,임대자산!$D$3:$R$3,0)),
IF($D156="폐업",INDEX(폐업정보!$D$3:$R$3000,MATCH($F156,폐업정보!$I$3:$I$3000,0),MATCH(L$4,폐업정보!$D$3:$R$3,0)),
"Error"))</f>
        <v>D0151</v>
      </c>
      <c r="M156" s="76" t="s">
        <v>96</v>
      </c>
      <c r="N156" s="77"/>
      <c r="O156" s="78" t="s">
        <v>97</v>
      </c>
      <c r="P156" s="79" t="n">
        <f aca="false">COUNTIFS(임대자산!$I:$I,가맹점정보!F156,임대자산!$N:$N,가맹점정보!P$4)</f>
        <v>0</v>
      </c>
      <c r="Q156" s="80" t="n">
        <f aca="false">COUNTIFS(임대자산!$I:$I,가맹점정보!F156,임대자산!$N:$N,가맹점정보!Q$4)</f>
        <v>0</v>
      </c>
      <c r="R156" s="81" t="n">
        <f aca="false">COUNTIFS(임대자산!$I:$I,가맹점정보!F156,임대자산!$N:$N,가맹점정보!R$4)</f>
        <v>1</v>
      </c>
      <c r="S156" s="82" t="n">
        <v>55000</v>
      </c>
      <c r="T156" s="83" t="n">
        <v>0</v>
      </c>
      <c r="U156" s="80" t="n">
        <f aca="false">SUM(S156:T156)</f>
        <v>55000</v>
      </c>
      <c r="V156" s="84" t="s">
        <v>12</v>
      </c>
      <c r="W156" s="80" t="e">
        <f aca="true">
IF(D156="폐업","폐업",
IF(V156="면제","면제",
IF(AND(V156="정상",COUNTIFS(OFFSET(Y156,0,COUNTA(Y156:AV156)-1,1,-4),"미납")&gt;=3),"장기미납",
IF(AND(V156="정상",OFFSET(Y156,0,COUNTA(Y156:AV156)-1)&gt;=U156),"정상",
IF(AND(V156="정상",OFFSET(Y156,0,COUNTA(Y156:AV156)-1)=0),"정상",
"계약서 미작성")))))</f>
        <v>#VALUE!</v>
      </c>
      <c r="X156" s="81" t="str">
        <f aca="true">
IF(D156="폐업","폐업",
IF(AND(V156="정상",OFFSET(Y156,0,COUNTA(Y156:AV156)-1)="미납"),"미납",
IF(AND(V156="정상",OFFSET(Y156,0,COUNTA(Y156:AV156)-1)=0),"납부 시작 전",
IF(AND(V156="정상",OFFSET(Y156,0,COUNTA(Y156:AV156)-1)&gt;=U156),"정상",
IF(AND(V156="면제",OFFSET(Y156,0,COUNTA(Y156:AV156)-1)="면제"),"면제",
IF(AND(V156="면제",OFFSET(Y156,0,COUNTA(Y156:AV156)-1)=0),"면제",
"확인요청"))))))</f>
        <v>정상</v>
      </c>
      <c r="Y156" s="93" t="n">
        <v>55000</v>
      </c>
      <c r="Z156" s="90" t="n">
        <v>55000</v>
      </c>
      <c r="AA156" s="90" t="n">
        <v>55000</v>
      </c>
      <c r="AB156" s="90" t="n">
        <v>55000</v>
      </c>
      <c r="AC156" s="90" t="n">
        <v>55000</v>
      </c>
      <c r="AD156" s="90" t="n">
        <v>55000</v>
      </c>
      <c r="AE156" s="90" t="n">
        <v>55000</v>
      </c>
      <c r="AF156" s="90" t="n">
        <v>55000</v>
      </c>
      <c r="AG156" s="90" t="n">
        <v>55000</v>
      </c>
      <c r="AH156" s="90" t="n">
        <v>55000</v>
      </c>
      <c r="AI156" s="90" t="n">
        <v>55000</v>
      </c>
      <c r="AJ156" s="91" t="n">
        <v>55000</v>
      </c>
      <c r="AK156" s="89" t="n">
        <v>55000</v>
      </c>
      <c r="AL156" s="90" t="n">
        <v>55000</v>
      </c>
      <c r="AM156" s="90"/>
      <c r="AN156" s="90"/>
      <c r="AO156" s="90"/>
      <c r="AP156" s="90"/>
      <c r="AQ156" s="90"/>
      <c r="AR156" s="90"/>
      <c r="AS156" s="90"/>
      <c r="AT156" s="90"/>
      <c r="AU156" s="90"/>
      <c r="AV156" s="91"/>
      <c r="AX156" s="92"/>
    </row>
    <row r="157" customFormat="false" ht="15.65" hidden="false" customHeight="false" outlineLevel="0" collapsed="false">
      <c r="C157" s="72" t="n">
        <f aca="false">COUNTIFS($D$6:D157,"&lt;&gt;"&amp;"")</f>
        <v>152</v>
      </c>
      <c r="D157" s="73" t="s">
        <v>12</v>
      </c>
      <c r="E157" s="76" t="str">
        <f aca="false">
IF($D157="정상",INDEX(임대자산!$D$3:$R$3000,MATCH($F157,임대자산!$I$3:$I$3000,0),MATCH(E$3,임대자산!$D$3:$R$3,0)),
IF($D157="폐업",INDEX(폐업정보!$D$3:$R$3000,MATCH($F157,폐업정보!$I$3:$I$3000,0),MATCH(E$3,폐업정보!$D$3:$R$3,0)),
"Error"))</f>
        <v>경상</v>
      </c>
      <c r="F15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B0152</v>
      </c>
      <c r="G157" s="76" t="str">
        <f aca="false">F157&amp;RANDBETWEEN(0,10)</f>
        <v>B01522</v>
      </c>
      <c r="H157" s="75" t="n">
        <f aca="false">
IF($D157="정상",INDEX(임대자산!$D$3:$R$3000,MATCH($F157,임대자산!$I$3:$I$3000,0),MATCH(H$4,임대자산!$D$3:$R$3,0)),
IF($D157="폐업",INDEX(폐업정보!$D$3:$R$3000,MATCH($F157,폐업정보!$I$3:$I$3000,0),MATCH(H$4,폐업정보!$D$3:$R$3,0)),
"Error"))</f>
        <v>44712</v>
      </c>
      <c r="I157" s="75" t="str">
        <f aca="false">
IF($D157="정상",INDEX(임대자산!$D$3:$R$3000,MATCH($F157,임대자산!$I$3:$I$3000,0),MATCH(I$4,임대자산!$D$3:$R$3,0)),
IF($D157="폐업",INDEX(폐업정보!$D$3:$R$3000,MATCH($F157,폐업정보!$I$3:$I$3000,0),MATCH(I$4,폐업정보!$D$3:$R$3,0)),
"Error"))</f>
        <v>A0152</v>
      </c>
      <c r="J157" s="75" t="str">
        <f aca="false">
IF($D157="정상",INDEX(임대자산!$D$3:$R$3000,MATCH($F157,임대자산!$I$3:$I$3000,0),MATCH(J$4,임대자산!$D$3:$R$3,0)),
IF($D157="폐업",INDEX(폐업정보!$D$3:$R$3000,MATCH($F157,폐업정보!$I$3:$I$3000,0),MATCH(J$4,폐업정보!$D$3:$R$3,0)),
"Error"))</f>
        <v>3817000000</v>
      </c>
      <c r="K157" s="75" t="str">
        <f aca="false">
IF($D157="정상",INDEX(임대자산!$D$3:$R$3000,MATCH($F157,임대자산!$I$3:$I$3000,0),MATCH(K$4,임대자산!$D$3:$R$3,0)),
IF($D157="폐업",INDEX(폐업정보!$D$3:$R$3000,MATCH($F157,폐업정보!$I$3:$I$3000,0),MATCH(K$4,폐업정보!$D$3:$R$3,0)),
"Error"))</f>
        <v>C0152</v>
      </c>
      <c r="L157" s="75" t="str">
        <f aca="false">
IF($D157="정상",INDEX(임대자산!$D$3:$R$3000,MATCH($F157,임대자산!$I$3:$I$3000,0),MATCH(L$4,임대자산!$D$3:$R$3,0)),
IF($D157="폐업",INDEX(폐업정보!$D$3:$R$3000,MATCH($F157,폐업정보!$I$3:$I$3000,0),MATCH(L$4,폐업정보!$D$3:$R$3,0)),
"Error"))</f>
        <v>D0152</v>
      </c>
      <c r="M157" s="76" t="s">
        <v>96</v>
      </c>
      <c r="N157" s="77"/>
      <c r="O157" s="78" t="s">
        <v>97</v>
      </c>
      <c r="P157" s="79" t="n">
        <f aca="false">COUNTIFS(임대자산!$I:$I,가맹점정보!F157,임대자산!$N:$N,가맹점정보!P$4)</f>
        <v>0</v>
      </c>
      <c r="Q157" s="80" t="n">
        <f aca="false">COUNTIFS(임대자산!$I:$I,가맹점정보!F157,임대자산!$N:$N,가맹점정보!Q$4)</f>
        <v>0</v>
      </c>
      <c r="R157" s="81" t="n">
        <f aca="false">COUNTIFS(임대자산!$I:$I,가맹점정보!F157,임대자산!$N:$N,가맹점정보!R$4)</f>
        <v>1</v>
      </c>
      <c r="S157" s="82" t="n">
        <v>55000</v>
      </c>
      <c r="T157" s="83" t="n">
        <v>0</v>
      </c>
      <c r="U157" s="80" t="n">
        <f aca="false">SUM(S157:T157)</f>
        <v>55000</v>
      </c>
      <c r="V157" s="84" t="s">
        <v>12</v>
      </c>
      <c r="W157" s="80" t="e">
        <f aca="true">
IF(D157="폐업","폐업",
IF(V157="면제","면제",
IF(AND(V157="정상",COUNTIFS(OFFSET(Y157,0,COUNTA(Y157:AV157)-1,1,-4),"미납")&gt;=3),"장기미납",
IF(AND(V157="정상",OFFSET(Y157,0,COUNTA(Y157:AV157)-1)&gt;=U157),"정상",
IF(AND(V157="정상",OFFSET(Y157,0,COUNTA(Y157:AV157)-1)=0),"정상",
"계약서 미작성")))))</f>
        <v>#VALUE!</v>
      </c>
      <c r="X157" s="81" t="str">
        <f aca="true">
IF(D157="폐업","폐업",
IF(AND(V157="정상",OFFSET(Y157,0,COUNTA(Y157:AV157)-1)="미납"),"미납",
IF(AND(V157="정상",OFFSET(Y157,0,COUNTA(Y157:AV157)-1)=0),"납부 시작 전",
IF(AND(V157="정상",OFFSET(Y157,0,COUNTA(Y157:AV157)-1)&gt;=U157),"정상",
IF(AND(V157="면제",OFFSET(Y157,0,COUNTA(Y157:AV157)-1)="면제"),"면제",
IF(AND(V157="면제",OFFSET(Y157,0,COUNTA(Y157:AV157)-1)=0),"면제",
"확인요청"))))))</f>
        <v>미납</v>
      </c>
      <c r="Y157" s="93" t="n">
        <v>55000</v>
      </c>
      <c r="Z157" s="90" t="n">
        <v>55000</v>
      </c>
      <c r="AA157" s="90" t="n">
        <v>55000</v>
      </c>
      <c r="AB157" s="90" t="n">
        <v>55000</v>
      </c>
      <c r="AC157" s="90" t="n">
        <v>55000</v>
      </c>
      <c r="AD157" s="90" t="n">
        <v>55000</v>
      </c>
      <c r="AE157" s="90" t="n">
        <v>55000</v>
      </c>
      <c r="AF157" s="90" t="n">
        <v>55000</v>
      </c>
      <c r="AG157" s="90" t="n">
        <v>55000</v>
      </c>
      <c r="AH157" s="90" t="n">
        <v>55000</v>
      </c>
      <c r="AI157" s="90" t="n">
        <v>55000</v>
      </c>
      <c r="AJ157" s="96" t="s">
        <v>62</v>
      </c>
      <c r="AK157" s="97" t="s">
        <v>62</v>
      </c>
      <c r="AL157" s="95" t="s">
        <v>62</v>
      </c>
      <c r="AM157" s="90"/>
      <c r="AN157" s="90"/>
      <c r="AO157" s="90"/>
      <c r="AP157" s="90"/>
      <c r="AQ157" s="90"/>
      <c r="AR157" s="90"/>
      <c r="AS157" s="90"/>
      <c r="AT157" s="90"/>
      <c r="AU157" s="90"/>
      <c r="AV157" s="91"/>
      <c r="AX157" s="92"/>
    </row>
    <row r="158" customFormat="false" ht="15.65" hidden="false" customHeight="false" outlineLevel="0" collapsed="false">
      <c r="C158" s="72" t="n">
        <f aca="false">COUNTIFS($D$6:D158,"&lt;&gt;"&amp;"")</f>
        <v>153</v>
      </c>
      <c r="D158" s="73" t="s">
        <v>12</v>
      </c>
      <c r="E158" s="76" t="str">
        <f aca="false">
IF($D158="정상",INDEX(임대자산!$D$3:$R$3000,MATCH($F158,임대자산!$I$3:$I$3000,0),MATCH(E$3,임대자산!$D$3:$R$3,0)),
IF($D158="폐업",INDEX(폐업정보!$D$3:$R$3000,MATCH($F158,폐업정보!$I$3:$I$3000,0),MATCH(E$3,폐업정보!$D$3:$R$3,0)),
"Error"))</f>
        <v>경상</v>
      </c>
      <c r="F15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B0153</v>
      </c>
      <c r="G158" s="76" t="str">
        <f aca="false">F158&amp;RANDBETWEEN(0,10)</f>
        <v>B01531</v>
      </c>
      <c r="H158" s="75" t="n">
        <f aca="false">
IF($D158="정상",INDEX(임대자산!$D$3:$R$3000,MATCH($F158,임대자산!$I$3:$I$3000,0),MATCH(H$4,임대자산!$D$3:$R$3,0)),
IF($D158="폐업",INDEX(폐업정보!$D$3:$R$3000,MATCH($F158,폐업정보!$I$3:$I$3000,0),MATCH(H$4,폐업정보!$D$3:$R$3,0)),
"Error"))</f>
        <v>44719</v>
      </c>
      <c r="I158" s="75" t="str">
        <f aca="false">
IF($D158="정상",INDEX(임대자산!$D$3:$R$3000,MATCH($F158,임대자산!$I$3:$I$3000,0),MATCH(I$4,임대자산!$D$3:$R$3,0)),
IF($D158="폐업",INDEX(폐업정보!$D$3:$R$3000,MATCH($F158,폐업정보!$I$3:$I$3000,0),MATCH(I$4,폐업정보!$D$3:$R$3,0)),
"Error"))</f>
        <v>A0153</v>
      </c>
      <c r="J158" s="75" t="str">
        <f aca="false">
IF($D158="정상",INDEX(임대자산!$D$3:$R$3000,MATCH($F158,임대자산!$I$3:$I$3000,0),MATCH(J$4,임대자산!$D$3:$R$3,0)),
IF($D158="폐업",INDEX(폐업정보!$D$3:$R$3000,MATCH($F158,폐업정보!$I$3:$I$3000,0),MATCH(J$4,폐업정보!$D$3:$R$3,0)),
"Error"))</f>
        <v>9236200000</v>
      </c>
      <c r="K158" s="75" t="str">
        <f aca="false">
IF($D158="정상",INDEX(임대자산!$D$3:$R$3000,MATCH($F158,임대자산!$I$3:$I$3000,0),MATCH(K$4,임대자산!$D$3:$R$3,0)),
IF($D158="폐업",INDEX(폐업정보!$D$3:$R$3000,MATCH($F158,폐업정보!$I$3:$I$3000,0),MATCH(K$4,폐업정보!$D$3:$R$3,0)),
"Error"))</f>
        <v>C0153</v>
      </c>
      <c r="L158" s="75" t="str">
        <f aca="false">
IF($D158="정상",INDEX(임대자산!$D$3:$R$3000,MATCH($F158,임대자산!$I$3:$I$3000,0),MATCH(L$4,임대자산!$D$3:$R$3,0)),
IF($D158="폐업",INDEX(폐업정보!$D$3:$R$3000,MATCH($F158,폐업정보!$I$3:$I$3000,0),MATCH(L$4,폐업정보!$D$3:$R$3,0)),
"Error"))</f>
        <v>D0153</v>
      </c>
      <c r="M158" s="76" t="s">
        <v>96</v>
      </c>
      <c r="N158" s="77"/>
      <c r="O158" s="78" t="s">
        <v>97</v>
      </c>
      <c r="P158" s="79" t="n">
        <f aca="false">COUNTIFS(임대자산!$I:$I,가맹점정보!F158,임대자산!$N:$N,가맹점정보!P$4)</f>
        <v>0</v>
      </c>
      <c r="Q158" s="80" t="n">
        <f aca="false">COUNTIFS(임대자산!$I:$I,가맹점정보!F158,임대자산!$N:$N,가맹점정보!Q$4)</f>
        <v>0</v>
      </c>
      <c r="R158" s="81" t="n">
        <f aca="false">COUNTIFS(임대자산!$I:$I,가맹점정보!F158,임대자산!$N:$N,가맹점정보!R$4)</f>
        <v>1</v>
      </c>
      <c r="S158" s="82" t="n">
        <v>55000</v>
      </c>
      <c r="T158" s="83" t="n">
        <v>0</v>
      </c>
      <c r="U158" s="80" t="n">
        <f aca="false">SUM(S158:T158)</f>
        <v>55000</v>
      </c>
      <c r="V158" s="84" t="s">
        <v>12</v>
      </c>
      <c r="W158" s="80" t="e">
        <f aca="true">
IF(D158="폐업","폐업",
IF(V158="면제","면제",
IF(AND(V158="정상",COUNTIFS(OFFSET(Y158,0,COUNTA(Y158:AV158)-1,1,-4),"미납")&gt;=3),"장기미납",
IF(AND(V158="정상",OFFSET(Y158,0,COUNTA(Y158:AV158)-1)&gt;=U158),"정상",
IF(AND(V158="정상",OFFSET(Y158,0,COUNTA(Y158:AV158)-1)=0),"정상",
"계약서 미작성")))))</f>
        <v>#VALUE!</v>
      </c>
      <c r="X158" s="81" t="str">
        <f aca="true">
IF(D158="폐업","폐업",
IF(AND(V158="정상",OFFSET(Y158,0,COUNTA(Y158:AV158)-1)="미납"),"미납",
IF(AND(V158="정상",OFFSET(Y158,0,COUNTA(Y158:AV158)-1)=0),"납부 시작 전",
IF(AND(V158="정상",OFFSET(Y158,0,COUNTA(Y158:AV158)-1)&gt;=U158),"정상",
IF(AND(V158="면제",OFFSET(Y158,0,COUNTA(Y158:AV158)-1)="면제"),"면제",
IF(AND(V158="면제",OFFSET(Y158,0,COUNTA(Y158:AV158)-1)=0),"면제",
"확인요청"))))))</f>
        <v>정상</v>
      </c>
      <c r="Y158" s="94" t="s">
        <v>7</v>
      </c>
      <c r="Z158" s="95" t="s">
        <v>7</v>
      </c>
      <c r="AA158" s="90" t="n">
        <v>55000</v>
      </c>
      <c r="AB158" s="90" t="n">
        <v>55000</v>
      </c>
      <c r="AC158" s="90" t="n">
        <v>55000</v>
      </c>
      <c r="AD158" s="90" t="n">
        <v>55000</v>
      </c>
      <c r="AE158" s="90" t="n">
        <v>55000</v>
      </c>
      <c r="AF158" s="90" t="n">
        <v>55000</v>
      </c>
      <c r="AG158" s="90" t="n">
        <v>55000</v>
      </c>
      <c r="AH158" s="90" t="n">
        <v>55000</v>
      </c>
      <c r="AI158" s="90" t="n">
        <v>55000</v>
      </c>
      <c r="AJ158" s="91" t="n">
        <v>55000</v>
      </c>
      <c r="AK158" s="89" t="n">
        <v>55000</v>
      </c>
      <c r="AL158" s="90" t="n">
        <v>55000</v>
      </c>
      <c r="AM158" s="90"/>
      <c r="AN158" s="90"/>
      <c r="AO158" s="90"/>
      <c r="AP158" s="90"/>
      <c r="AQ158" s="90"/>
      <c r="AR158" s="90"/>
      <c r="AS158" s="90"/>
      <c r="AT158" s="90"/>
      <c r="AU158" s="90"/>
      <c r="AV158" s="91"/>
      <c r="AX158" s="92"/>
    </row>
    <row r="159" customFormat="false" ht="15.65" hidden="false" customHeight="false" outlineLevel="0" collapsed="false">
      <c r="C159" s="72" t="n">
        <f aca="false">COUNTIFS($D$6:D159,"&lt;&gt;"&amp;"")</f>
        <v>154</v>
      </c>
      <c r="D159" s="73" t="s">
        <v>12</v>
      </c>
      <c r="E159" s="76" t="str">
        <f aca="false">
IF($D159="정상",INDEX(임대자산!$D$3:$R$3000,MATCH($F159,임대자산!$I$3:$I$3000,0),MATCH(E$3,임대자산!$D$3:$R$3,0)),
IF($D159="폐업",INDEX(폐업정보!$D$3:$R$3000,MATCH($F159,폐업정보!$I$3:$I$3000,0),MATCH(E$3,폐업정보!$D$3:$R$3,0)),
"Error"))</f>
        <v>강원</v>
      </c>
      <c r="F15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B0154</v>
      </c>
      <c r="G159" s="76" t="str">
        <f aca="false">F159&amp;RANDBETWEEN(0,10)</f>
        <v>B01545</v>
      </c>
      <c r="H159" s="75" t="n">
        <f aca="false">
IF($D159="정상",INDEX(임대자산!$D$3:$R$3000,MATCH($F159,임대자산!$I$3:$I$3000,0),MATCH(H$4,임대자산!$D$3:$R$3,0)),
IF($D159="폐업",INDEX(폐업정보!$D$3:$R$3000,MATCH($F159,폐업정보!$I$3:$I$3000,0),MATCH(H$4,폐업정보!$D$3:$R$3,0)),
"Error"))</f>
        <v>45247</v>
      </c>
      <c r="I159" s="75" t="str">
        <f aca="false">
IF($D159="정상",INDEX(임대자산!$D$3:$R$3000,MATCH($F159,임대자산!$I$3:$I$3000,0),MATCH(I$4,임대자산!$D$3:$R$3,0)),
IF($D159="폐업",INDEX(폐업정보!$D$3:$R$3000,MATCH($F159,폐업정보!$I$3:$I$3000,0),MATCH(I$4,폐업정보!$D$3:$R$3,0)),
"Error"))</f>
        <v>A0154</v>
      </c>
      <c r="J159" s="75" t="str">
        <f aca="false">
IF($D159="정상",INDEX(임대자산!$D$3:$R$3000,MATCH($F159,임대자산!$I$3:$I$3000,0),MATCH(J$4,임대자산!$D$3:$R$3,0)),
IF($D159="폐업",INDEX(폐업정보!$D$3:$R$3000,MATCH($F159,폐업정보!$I$3:$I$3000,0),MATCH(J$4,폐업정보!$D$3:$R$3,0)),
"Error"))</f>
        <v>7701300000</v>
      </c>
      <c r="K159" s="75" t="str">
        <f aca="false">
IF($D159="정상",INDEX(임대자산!$D$3:$R$3000,MATCH($F159,임대자산!$I$3:$I$3000,0),MATCH(K$4,임대자산!$D$3:$R$3,0)),
IF($D159="폐업",INDEX(폐업정보!$D$3:$R$3000,MATCH($F159,폐업정보!$I$3:$I$3000,0),MATCH(K$4,폐업정보!$D$3:$R$3,0)),
"Error"))</f>
        <v>C0154</v>
      </c>
      <c r="L159" s="75" t="str">
        <f aca="false">
IF($D159="정상",INDEX(임대자산!$D$3:$R$3000,MATCH($F159,임대자산!$I$3:$I$3000,0),MATCH(L$4,임대자산!$D$3:$R$3,0)),
IF($D159="폐업",INDEX(폐업정보!$D$3:$R$3000,MATCH($F159,폐업정보!$I$3:$I$3000,0),MATCH(L$4,폐업정보!$D$3:$R$3,0)),
"Error"))</f>
        <v>D0154</v>
      </c>
      <c r="M159" s="76" t="s">
        <v>96</v>
      </c>
      <c r="N159" s="77"/>
      <c r="O159" s="78" t="s">
        <v>97</v>
      </c>
      <c r="P159" s="79" t="n">
        <f aca="false">COUNTIFS(임대자산!$I:$I,가맹점정보!F159,임대자산!$N:$N,가맹점정보!P$4)</f>
        <v>0</v>
      </c>
      <c r="Q159" s="80" t="n">
        <f aca="false">COUNTIFS(임대자산!$I:$I,가맹점정보!F159,임대자산!$N:$N,가맹점정보!Q$4)</f>
        <v>0</v>
      </c>
      <c r="R159" s="81" t="n">
        <f aca="false">COUNTIFS(임대자산!$I:$I,가맹점정보!F159,임대자산!$N:$N,가맹점정보!R$4)</f>
        <v>1</v>
      </c>
      <c r="S159" s="82" t="n">
        <v>55000</v>
      </c>
      <c r="T159" s="83" t="n">
        <v>0</v>
      </c>
      <c r="U159" s="80" t="n">
        <f aca="false">SUM(S159:T159)</f>
        <v>55000</v>
      </c>
      <c r="V159" s="84" t="s">
        <v>12</v>
      </c>
      <c r="W159" s="80" t="e">
        <f aca="true">
IF(D159="폐업","폐업",
IF(V159="면제","면제",
IF(AND(V159="정상",COUNTIFS(OFFSET(Y159,0,COUNTA(Y159:AV159)-1,1,-4),"미납")&gt;=3),"장기미납",
IF(AND(V159="정상",OFFSET(Y159,0,COUNTA(Y159:AV159)-1)&gt;=U159),"정상",
IF(AND(V159="정상",OFFSET(Y159,0,COUNTA(Y159:AV159)-1)=0),"정상",
"계약서 미작성")))))</f>
        <v>#VALUE!</v>
      </c>
      <c r="X159" s="81" t="str">
        <f aca="true">
IF(D159="폐업","폐업",
IF(AND(V159="정상",OFFSET(Y159,0,COUNTA(Y159:AV159)-1)="미납"),"미납",
IF(AND(V159="정상",OFFSET(Y159,0,COUNTA(Y159:AV159)-1)=0),"납부 시작 전",
IF(AND(V159="정상",OFFSET(Y159,0,COUNTA(Y159:AV159)-1)&gt;=U159),"정상",
IF(AND(V159="면제",OFFSET(Y159,0,COUNTA(Y159:AV159)-1)="면제"),"면제",
IF(AND(V159="면제",OFFSET(Y159,0,COUNTA(Y159:AV159)-1)=0),"면제",
"확인요청"))))))</f>
        <v>정상</v>
      </c>
      <c r="Y159" s="93" t="n">
        <v>55000</v>
      </c>
      <c r="Z159" s="90" t="n">
        <v>55000</v>
      </c>
      <c r="AA159" s="90" t="n">
        <v>55000</v>
      </c>
      <c r="AB159" s="90" t="n">
        <v>55000</v>
      </c>
      <c r="AC159" s="90" t="n">
        <v>55000</v>
      </c>
      <c r="AD159" s="90" t="n">
        <v>55000</v>
      </c>
      <c r="AE159" s="90" t="n">
        <v>55000</v>
      </c>
      <c r="AF159" s="90" t="n">
        <v>55000</v>
      </c>
      <c r="AG159" s="90" t="n">
        <v>55000</v>
      </c>
      <c r="AH159" s="90" t="n">
        <v>55000</v>
      </c>
      <c r="AI159" s="90" t="n">
        <v>55000</v>
      </c>
      <c r="AJ159" s="91" t="n">
        <v>55000</v>
      </c>
      <c r="AK159" s="89" t="n">
        <v>55000</v>
      </c>
      <c r="AL159" s="90" t="n">
        <v>55000</v>
      </c>
      <c r="AM159" s="90"/>
      <c r="AN159" s="90"/>
      <c r="AO159" s="90"/>
      <c r="AP159" s="90"/>
      <c r="AQ159" s="90"/>
      <c r="AR159" s="90"/>
      <c r="AS159" s="90"/>
      <c r="AT159" s="90"/>
      <c r="AU159" s="90"/>
      <c r="AV159" s="91"/>
      <c r="AX159" s="92"/>
    </row>
    <row r="160" customFormat="false" ht="15.65" hidden="false" customHeight="false" outlineLevel="0" collapsed="false">
      <c r="C160" s="72" t="n">
        <f aca="false">COUNTIFS($D$6:D160,"&lt;&gt;"&amp;"")</f>
        <v>155</v>
      </c>
      <c r="D160" s="73" t="s">
        <v>12</v>
      </c>
      <c r="E160" s="76" t="str">
        <f aca="false">
IF($D160="정상",INDEX(임대자산!$D$3:$R$3000,MATCH($F160,임대자산!$I$3:$I$3000,0),MATCH(E$3,임대자산!$D$3:$R$3,0)),
IF($D160="폐업",INDEX(폐업정보!$D$3:$R$3000,MATCH($F160,폐업정보!$I$3:$I$3000,0),MATCH(E$3,폐업정보!$D$3:$R$3,0)),
"Error"))</f>
        <v>강원</v>
      </c>
      <c r="F16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B0155</v>
      </c>
      <c r="G160" s="76" t="str">
        <f aca="false">F160&amp;RANDBETWEEN(0,10)</f>
        <v>B01553</v>
      </c>
      <c r="H160" s="75" t="n">
        <f aca="false">
IF($D160="정상",INDEX(임대자산!$D$3:$R$3000,MATCH($F160,임대자산!$I$3:$I$3000,0),MATCH(H$4,임대자산!$D$3:$R$3,0)),
IF($D160="폐업",INDEX(폐업정보!$D$3:$R$3000,MATCH($F160,폐업정보!$I$3:$I$3000,0),MATCH(H$4,폐업정보!$D$3:$R$3,0)),
"Error"))</f>
        <v>44755</v>
      </c>
      <c r="I160" s="75" t="str">
        <f aca="false">
IF($D160="정상",INDEX(임대자산!$D$3:$R$3000,MATCH($F160,임대자산!$I$3:$I$3000,0),MATCH(I$4,임대자산!$D$3:$R$3,0)),
IF($D160="폐업",INDEX(폐업정보!$D$3:$R$3000,MATCH($F160,폐업정보!$I$3:$I$3000,0),MATCH(I$4,폐업정보!$D$3:$R$3,0)),
"Error"))</f>
        <v>A0155</v>
      </c>
      <c r="J160" s="75" t="str">
        <f aca="false">
IF($D160="정상",INDEX(임대자산!$D$3:$R$3000,MATCH($F160,임대자산!$I$3:$I$3000,0),MATCH(J$4,임대자산!$D$3:$R$3,0)),
IF($D160="폐업",INDEX(폐업정보!$D$3:$R$3000,MATCH($F160,폐업정보!$I$3:$I$3000,0),MATCH(J$4,폐업정보!$D$3:$R$3,0)),
"Error"))</f>
        <v>5643100000</v>
      </c>
      <c r="K160" s="75" t="str">
        <f aca="false">
IF($D160="정상",INDEX(임대자산!$D$3:$R$3000,MATCH($F160,임대자산!$I$3:$I$3000,0),MATCH(K$4,임대자산!$D$3:$R$3,0)),
IF($D160="폐업",INDEX(폐업정보!$D$3:$R$3000,MATCH($F160,폐업정보!$I$3:$I$3000,0),MATCH(K$4,폐업정보!$D$3:$R$3,0)),
"Error"))</f>
        <v>C0155</v>
      </c>
      <c r="L160" s="75" t="str">
        <f aca="false">
IF($D160="정상",INDEX(임대자산!$D$3:$R$3000,MATCH($F160,임대자산!$I$3:$I$3000,0),MATCH(L$4,임대자산!$D$3:$R$3,0)),
IF($D160="폐업",INDEX(폐업정보!$D$3:$R$3000,MATCH($F160,폐업정보!$I$3:$I$3000,0),MATCH(L$4,폐업정보!$D$3:$R$3,0)),
"Error"))</f>
        <v>D0155</v>
      </c>
      <c r="M160" s="76" t="s">
        <v>96</v>
      </c>
      <c r="N160" s="77"/>
      <c r="O160" s="78" t="s">
        <v>97</v>
      </c>
      <c r="P160" s="79" t="n">
        <f aca="false">COUNTIFS(임대자산!$I:$I,가맹점정보!F160,임대자산!$N:$N,가맹점정보!P$4)</f>
        <v>0</v>
      </c>
      <c r="Q160" s="80" t="n">
        <f aca="false">COUNTIFS(임대자산!$I:$I,가맹점정보!F160,임대자산!$N:$N,가맹점정보!Q$4)</f>
        <v>0</v>
      </c>
      <c r="R160" s="81" t="n">
        <f aca="false">COUNTIFS(임대자산!$I:$I,가맹점정보!F160,임대자산!$N:$N,가맹점정보!R$4)</f>
        <v>1</v>
      </c>
      <c r="S160" s="82" t="n">
        <v>88000</v>
      </c>
      <c r="T160" s="83" t="n">
        <v>0</v>
      </c>
      <c r="U160" s="80" t="n">
        <f aca="false">SUM(S160:T160)</f>
        <v>88000</v>
      </c>
      <c r="V160" s="84" t="s">
        <v>7</v>
      </c>
      <c r="W160" s="80" t="str">
        <f aca="true">
IF(D160="폐업","폐업",
IF(V160="면제","면제",
IF(AND(V160="정상",COUNTIFS(OFFSET(Y160,0,COUNTA(Y160:AV160)-1,1,-4),"미납")&gt;=3),"장기미납",
IF(AND(V160="정상",OFFSET(Y160,0,COUNTA(Y160:AV160)-1)&gt;=U160),"정상",
IF(AND(V160="정상",OFFSET(Y160,0,COUNTA(Y160:AV160)-1)=0),"정상",
"계약서 미작성")))))</f>
        <v>면제</v>
      </c>
      <c r="X160" s="81" t="str">
        <f aca="true">
IF(D160="폐업","폐업",
IF(AND(V160="정상",OFFSET(Y160,0,COUNTA(Y160:AV160)-1)="미납"),"미납",
IF(AND(V160="정상",OFFSET(Y160,0,COUNTA(Y160:AV160)-1)=0),"납부 시작 전",
IF(AND(V160="정상",OFFSET(Y160,0,COUNTA(Y160:AV160)-1)&gt;=U160),"정상",
IF(AND(V160="면제",OFFSET(Y160,0,COUNTA(Y160:AV160)-1)="면제"),"면제",
IF(AND(V160="면제",OFFSET(Y160,0,COUNTA(Y160:AV160)-1)=0),"면제",
"확인요청"))))))</f>
        <v>면제</v>
      </c>
      <c r="Y160" s="94" t="s">
        <v>7</v>
      </c>
      <c r="Z160" s="95" t="s">
        <v>7</v>
      </c>
      <c r="AA160" s="95" t="s">
        <v>7</v>
      </c>
      <c r="AB160" s="95" t="s">
        <v>7</v>
      </c>
      <c r="AC160" s="95" t="s">
        <v>7</v>
      </c>
      <c r="AD160" s="95" t="s">
        <v>7</v>
      </c>
      <c r="AE160" s="95" t="s">
        <v>7</v>
      </c>
      <c r="AF160" s="95" t="s">
        <v>7</v>
      </c>
      <c r="AG160" s="95" t="s">
        <v>7</v>
      </c>
      <c r="AH160" s="95" t="s">
        <v>7</v>
      </c>
      <c r="AI160" s="95" t="s">
        <v>7</v>
      </c>
      <c r="AJ160" s="96" t="s">
        <v>7</v>
      </c>
      <c r="AK160" s="97" t="s">
        <v>7</v>
      </c>
      <c r="AL160" s="95" t="s">
        <v>7</v>
      </c>
      <c r="AM160" s="90"/>
      <c r="AN160" s="90"/>
      <c r="AO160" s="90"/>
      <c r="AP160" s="90"/>
      <c r="AQ160" s="90"/>
      <c r="AR160" s="90"/>
      <c r="AS160" s="90"/>
      <c r="AT160" s="90"/>
      <c r="AU160" s="90"/>
      <c r="AV160" s="91"/>
      <c r="AX160" s="92"/>
    </row>
    <row r="161" customFormat="false" ht="15.65" hidden="false" customHeight="false" outlineLevel="0" collapsed="false">
      <c r="C161" s="72" t="n">
        <f aca="false">COUNTIFS($D$6:D161,"&lt;&gt;"&amp;"")</f>
        <v>156</v>
      </c>
      <c r="D161" s="73" t="s">
        <v>12</v>
      </c>
      <c r="E161" s="76" t="str">
        <f aca="false">
IF($D161="정상",INDEX(임대자산!$D$3:$R$3000,MATCH($F161,임대자산!$I$3:$I$3000,0),MATCH(E$3,임대자산!$D$3:$R$3,0)),
IF($D161="폐업",INDEX(폐업정보!$D$3:$R$3000,MATCH($F161,폐업정보!$I$3:$I$3000,0),MATCH(E$3,폐업정보!$D$3:$R$3,0)),
"Error"))</f>
        <v>강원</v>
      </c>
      <c r="F16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B0156</v>
      </c>
      <c r="G161" s="76" t="str">
        <f aca="false">F161&amp;RANDBETWEEN(0,10)</f>
        <v>B01569</v>
      </c>
      <c r="H161" s="75" t="n">
        <f aca="false">
IF($D161="정상",INDEX(임대자산!$D$3:$R$3000,MATCH($F161,임대자산!$I$3:$I$3000,0),MATCH(H$4,임대자산!$D$3:$R$3,0)),
IF($D161="폐업",INDEX(폐업정보!$D$3:$R$3000,MATCH($F161,폐업정보!$I$3:$I$3000,0),MATCH(H$4,폐업정보!$D$3:$R$3,0)),
"Error"))</f>
        <v>44740</v>
      </c>
      <c r="I161" s="75" t="str">
        <f aca="false">
IF($D161="정상",INDEX(임대자산!$D$3:$R$3000,MATCH($F161,임대자산!$I$3:$I$3000,0),MATCH(I$4,임대자산!$D$3:$R$3,0)),
IF($D161="폐업",INDEX(폐업정보!$D$3:$R$3000,MATCH($F161,폐업정보!$I$3:$I$3000,0),MATCH(I$4,폐업정보!$D$3:$R$3,0)),
"Error"))</f>
        <v>A0156</v>
      </c>
      <c r="J161" s="75" t="str">
        <f aca="false">
IF($D161="정상",INDEX(임대자산!$D$3:$R$3000,MATCH($F161,임대자산!$I$3:$I$3000,0),MATCH(J$4,임대자산!$D$3:$R$3,0)),
IF($D161="폐업",INDEX(폐업정보!$D$3:$R$3000,MATCH($F161,폐업정보!$I$3:$I$3000,0),MATCH(J$4,폐업정보!$D$3:$R$3,0)),
"Error"))</f>
        <v>6221200000</v>
      </c>
      <c r="K161" s="75" t="str">
        <f aca="false">
IF($D161="정상",INDEX(임대자산!$D$3:$R$3000,MATCH($F161,임대자산!$I$3:$I$3000,0),MATCH(K$4,임대자산!$D$3:$R$3,0)),
IF($D161="폐업",INDEX(폐업정보!$D$3:$R$3000,MATCH($F161,폐업정보!$I$3:$I$3000,0),MATCH(K$4,폐업정보!$D$3:$R$3,0)),
"Error"))</f>
        <v>C0156</v>
      </c>
      <c r="L161" s="75" t="str">
        <f aca="false">
IF($D161="정상",INDEX(임대자산!$D$3:$R$3000,MATCH($F161,임대자산!$I$3:$I$3000,0),MATCH(L$4,임대자산!$D$3:$R$3,0)),
IF($D161="폐업",INDEX(폐업정보!$D$3:$R$3000,MATCH($F161,폐업정보!$I$3:$I$3000,0),MATCH(L$4,폐업정보!$D$3:$R$3,0)),
"Error"))</f>
        <v>D0156</v>
      </c>
      <c r="M161" s="76" t="s">
        <v>96</v>
      </c>
      <c r="N161" s="77"/>
      <c r="O161" s="78" t="s">
        <v>97</v>
      </c>
      <c r="P161" s="79" t="n">
        <f aca="false">COUNTIFS(임대자산!$I:$I,가맹점정보!F161,임대자산!$N:$N,가맹점정보!P$4)</f>
        <v>0</v>
      </c>
      <c r="Q161" s="80" t="n">
        <f aca="false">COUNTIFS(임대자산!$I:$I,가맹점정보!F161,임대자산!$N:$N,가맹점정보!Q$4)</f>
        <v>0</v>
      </c>
      <c r="R161" s="81" t="n">
        <f aca="false">COUNTIFS(임대자산!$I:$I,가맹점정보!F161,임대자산!$N:$N,가맹점정보!R$4)</f>
        <v>1</v>
      </c>
      <c r="S161" s="82" t="n">
        <v>88000</v>
      </c>
      <c r="T161" s="83" t="n">
        <v>0</v>
      </c>
      <c r="U161" s="80" t="n">
        <f aca="false">SUM(S161:T161)</f>
        <v>88000</v>
      </c>
      <c r="V161" s="84" t="s">
        <v>7</v>
      </c>
      <c r="W161" s="80" t="str">
        <f aca="true">
IF(D161="폐업","폐업",
IF(V161="면제","면제",
IF(AND(V161="정상",COUNTIFS(OFFSET(Y161,0,COUNTA(Y161:AV161)-1,1,-4),"미납")&gt;=3),"장기미납",
IF(AND(V161="정상",OFFSET(Y161,0,COUNTA(Y161:AV161)-1)&gt;=U161),"정상",
IF(AND(V161="정상",OFFSET(Y161,0,COUNTA(Y161:AV161)-1)=0),"정상",
"계약서 미작성")))))</f>
        <v>면제</v>
      </c>
      <c r="X161" s="81" t="str">
        <f aca="true">
IF(D161="폐업","폐업",
IF(AND(V161="정상",OFFSET(Y161,0,COUNTA(Y161:AV161)-1)="미납"),"미납",
IF(AND(V161="정상",OFFSET(Y161,0,COUNTA(Y161:AV161)-1)=0),"납부 시작 전",
IF(AND(V161="정상",OFFSET(Y161,0,COUNTA(Y161:AV161)-1)&gt;=U161),"정상",
IF(AND(V161="면제",OFFSET(Y161,0,COUNTA(Y161:AV161)-1)="면제"),"면제",
IF(AND(V161="면제",OFFSET(Y161,0,COUNTA(Y161:AV161)-1)=0),"면제",
"확인요청"))))))</f>
        <v>면제</v>
      </c>
      <c r="Y161" s="94" t="s">
        <v>7</v>
      </c>
      <c r="Z161" s="95" t="s">
        <v>7</v>
      </c>
      <c r="AA161" s="95" t="s">
        <v>7</v>
      </c>
      <c r="AB161" s="95" t="s">
        <v>7</v>
      </c>
      <c r="AC161" s="95" t="s">
        <v>7</v>
      </c>
      <c r="AD161" s="95" t="s">
        <v>7</v>
      </c>
      <c r="AE161" s="95" t="s">
        <v>7</v>
      </c>
      <c r="AF161" s="95" t="s">
        <v>7</v>
      </c>
      <c r="AG161" s="95" t="s">
        <v>7</v>
      </c>
      <c r="AH161" s="95" t="s">
        <v>7</v>
      </c>
      <c r="AI161" s="95" t="s">
        <v>7</v>
      </c>
      <c r="AJ161" s="96" t="s">
        <v>7</v>
      </c>
      <c r="AK161" s="97" t="s">
        <v>7</v>
      </c>
      <c r="AL161" s="95" t="s">
        <v>7</v>
      </c>
      <c r="AM161" s="90"/>
      <c r="AN161" s="90"/>
      <c r="AO161" s="90"/>
      <c r="AP161" s="90"/>
      <c r="AQ161" s="90"/>
      <c r="AR161" s="90"/>
      <c r="AS161" s="90"/>
      <c r="AT161" s="90"/>
      <c r="AU161" s="90"/>
      <c r="AV161" s="91"/>
      <c r="AX161" s="92"/>
    </row>
    <row r="162" customFormat="false" ht="15.65" hidden="false" customHeight="false" outlineLevel="0" collapsed="false">
      <c r="C162" s="72" t="n">
        <f aca="false">COUNTIFS($D$6:D162,"&lt;&gt;"&amp;"")</f>
        <v>157</v>
      </c>
      <c r="D162" s="73" t="s">
        <v>12</v>
      </c>
      <c r="E162" s="76" t="str">
        <f aca="false">
IF($D162="정상",INDEX(임대자산!$D$3:$R$3000,MATCH($F162,임대자산!$I$3:$I$3000,0),MATCH(E$3,임대자산!$D$3:$R$3,0)),
IF($D162="폐업",INDEX(폐업정보!$D$3:$R$3000,MATCH($F162,폐업정보!$I$3:$I$3000,0),MATCH(E$3,폐업정보!$D$3:$R$3,0)),
"Error"))</f>
        <v>경기</v>
      </c>
      <c r="F16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B0157</v>
      </c>
      <c r="G162" s="76" t="str">
        <f aca="false">F162&amp;RANDBETWEEN(0,10)</f>
        <v>B01573</v>
      </c>
      <c r="H162" s="75" t="n">
        <f aca="false">
IF($D162="정상",INDEX(임대자산!$D$3:$R$3000,MATCH($F162,임대자산!$I$3:$I$3000,0),MATCH(H$4,임대자산!$D$3:$R$3,0)),
IF($D162="폐업",INDEX(폐업정보!$D$3:$R$3000,MATCH($F162,폐업정보!$I$3:$I$3000,0),MATCH(H$4,폐업정보!$D$3:$R$3,0)),
"Error"))</f>
        <v>44873</v>
      </c>
      <c r="I162" s="75" t="str">
        <f aca="false">
IF($D162="정상",INDEX(임대자산!$D$3:$R$3000,MATCH($F162,임대자산!$I$3:$I$3000,0),MATCH(I$4,임대자산!$D$3:$R$3,0)),
IF($D162="폐업",INDEX(폐업정보!$D$3:$R$3000,MATCH($F162,폐업정보!$I$3:$I$3000,0),MATCH(I$4,폐업정보!$D$3:$R$3,0)),
"Error"))</f>
        <v>A0157</v>
      </c>
      <c r="J162" s="75" t="str">
        <f aca="false">
IF($D162="정상",INDEX(임대자산!$D$3:$R$3000,MATCH($F162,임대자산!$I$3:$I$3000,0),MATCH(J$4,임대자산!$D$3:$R$3,0)),
IF($D162="폐업",INDEX(폐업정보!$D$3:$R$3000,MATCH($F162,폐업정보!$I$3:$I$3000,0),MATCH(J$4,폐업정보!$D$3:$R$3,0)),
"Error"))</f>
        <v>3173100000</v>
      </c>
      <c r="K162" s="75" t="str">
        <f aca="false">
IF($D162="정상",INDEX(임대자산!$D$3:$R$3000,MATCH($F162,임대자산!$I$3:$I$3000,0),MATCH(K$4,임대자산!$D$3:$R$3,0)),
IF($D162="폐업",INDEX(폐업정보!$D$3:$R$3000,MATCH($F162,폐업정보!$I$3:$I$3000,0),MATCH(K$4,폐업정보!$D$3:$R$3,0)),
"Error"))</f>
        <v>C0157</v>
      </c>
      <c r="L162" s="75" t="str">
        <f aca="false">
IF($D162="정상",INDEX(임대자산!$D$3:$R$3000,MATCH($F162,임대자산!$I$3:$I$3000,0),MATCH(L$4,임대자산!$D$3:$R$3,0)),
IF($D162="폐업",INDEX(폐업정보!$D$3:$R$3000,MATCH($F162,폐업정보!$I$3:$I$3000,0),MATCH(L$4,폐업정보!$D$3:$R$3,0)),
"Error"))</f>
        <v>D0157</v>
      </c>
      <c r="M162" s="76" t="s">
        <v>96</v>
      </c>
      <c r="N162" s="77"/>
      <c r="O162" s="78" t="s">
        <v>97</v>
      </c>
      <c r="P162" s="79" t="n">
        <f aca="false">COUNTIFS(임대자산!$I:$I,가맹점정보!F162,임대자산!$N:$N,가맹점정보!P$4)</f>
        <v>0</v>
      </c>
      <c r="Q162" s="80" t="n">
        <f aca="false">COUNTIFS(임대자산!$I:$I,가맹점정보!F162,임대자산!$N:$N,가맹점정보!Q$4)</f>
        <v>0</v>
      </c>
      <c r="R162" s="81" t="n">
        <f aca="false">COUNTIFS(임대자산!$I:$I,가맹점정보!F162,임대자산!$N:$N,가맹점정보!R$4)</f>
        <v>1</v>
      </c>
      <c r="S162" s="82" t="n">
        <v>88000</v>
      </c>
      <c r="T162" s="83" t="n">
        <v>0</v>
      </c>
      <c r="U162" s="80" t="n">
        <f aca="false">SUM(S162:T162)</f>
        <v>88000</v>
      </c>
      <c r="V162" s="84" t="s">
        <v>7</v>
      </c>
      <c r="W162" s="80" t="str">
        <f aca="true">
IF(D162="폐업","폐업",
IF(V162="면제","면제",
IF(AND(V162="정상",COUNTIFS(OFFSET(Y162,0,COUNTA(Y162:AV162)-1,1,-4),"미납")&gt;=3),"장기미납",
IF(AND(V162="정상",OFFSET(Y162,0,COUNTA(Y162:AV162)-1)&gt;=U162),"정상",
IF(AND(V162="정상",OFFSET(Y162,0,COUNTA(Y162:AV162)-1)=0),"정상",
"계약서 미작성")))))</f>
        <v>면제</v>
      </c>
      <c r="X162" s="81" t="str">
        <f aca="true">
IF(D162="폐업","폐업",
IF(AND(V162="정상",OFFSET(Y162,0,COUNTA(Y162:AV162)-1)="미납"),"미납",
IF(AND(V162="정상",OFFSET(Y162,0,COUNTA(Y162:AV162)-1)=0),"납부 시작 전",
IF(AND(V162="정상",OFFSET(Y162,0,COUNTA(Y162:AV162)-1)&gt;=U162),"정상",
IF(AND(V162="면제",OFFSET(Y162,0,COUNTA(Y162:AV162)-1)="면제"),"면제",
IF(AND(V162="면제",OFFSET(Y162,0,COUNTA(Y162:AV162)-1)=0),"면제",
"확인요청"))))))</f>
        <v>면제</v>
      </c>
      <c r="Y162" s="94" t="s">
        <v>7</v>
      </c>
      <c r="Z162" s="95" t="s">
        <v>7</v>
      </c>
      <c r="AA162" s="95" t="s">
        <v>7</v>
      </c>
      <c r="AB162" s="95" t="s">
        <v>7</v>
      </c>
      <c r="AC162" s="95" t="s">
        <v>7</v>
      </c>
      <c r="AD162" s="95" t="s">
        <v>7</v>
      </c>
      <c r="AE162" s="95" t="s">
        <v>7</v>
      </c>
      <c r="AF162" s="95" t="s">
        <v>7</v>
      </c>
      <c r="AG162" s="95" t="s">
        <v>7</v>
      </c>
      <c r="AH162" s="95" t="s">
        <v>7</v>
      </c>
      <c r="AI162" s="95" t="s">
        <v>7</v>
      </c>
      <c r="AJ162" s="96" t="s">
        <v>7</v>
      </c>
      <c r="AK162" s="97" t="s">
        <v>7</v>
      </c>
      <c r="AL162" s="95" t="s">
        <v>7</v>
      </c>
      <c r="AM162" s="90"/>
      <c r="AN162" s="90"/>
      <c r="AO162" s="90"/>
      <c r="AP162" s="90"/>
      <c r="AQ162" s="90"/>
      <c r="AR162" s="90"/>
      <c r="AS162" s="90"/>
      <c r="AT162" s="90"/>
      <c r="AU162" s="90"/>
      <c r="AV162" s="91"/>
      <c r="AX162" s="92"/>
    </row>
    <row r="163" customFormat="false" ht="15.65" hidden="false" customHeight="false" outlineLevel="0" collapsed="false">
      <c r="C163" s="72" t="n">
        <f aca="false">COUNTIFS($D$6:D163,"&lt;&gt;"&amp;"")</f>
        <v>158</v>
      </c>
      <c r="D163" s="73" t="s">
        <v>12</v>
      </c>
      <c r="E163" s="76" t="str">
        <f aca="false">
IF($D163="정상",INDEX(임대자산!$D$3:$R$3000,MATCH($F163,임대자산!$I$3:$I$3000,0),MATCH(E$3,임대자산!$D$3:$R$3,0)),
IF($D163="폐업",INDEX(폐업정보!$D$3:$R$3000,MATCH($F163,폐업정보!$I$3:$I$3000,0),MATCH(E$3,폐업정보!$D$3:$R$3,0)),
"Error"))</f>
        <v>경기</v>
      </c>
      <c r="F16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B0158</v>
      </c>
      <c r="G163" s="76" t="str">
        <f aca="false">F163&amp;RANDBETWEEN(0,10)</f>
        <v>B01581</v>
      </c>
      <c r="H163" s="75" t="n">
        <f aca="false">
IF($D163="정상",INDEX(임대자산!$D$3:$R$3000,MATCH($F163,임대자산!$I$3:$I$3000,0),MATCH(H$4,임대자산!$D$3:$R$3,0)),
IF($D163="폐업",INDEX(폐업정보!$D$3:$R$3000,MATCH($F163,폐업정보!$I$3:$I$3000,0),MATCH(H$4,폐업정보!$D$3:$R$3,0)),
"Error"))</f>
        <v>42956</v>
      </c>
      <c r="I163" s="75" t="str">
        <f aca="false">
IF($D163="정상",INDEX(임대자산!$D$3:$R$3000,MATCH($F163,임대자산!$I$3:$I$3000,0),MATCH(I$4,임대자산!$D$3:$R$3,0)),
IF($D163="폐업",INDEX(폐업정보!$D$3:$R$3000,MATCH($F163,폐업정보!$I$3:$I$3000,0),MATCH(I$4,폐업정보!$D$3:$R$3,0)),
"Error"))</f>
        <v>A0158</v>
      </c>
      <c r="J163" s="75" t="str">
        <f aca="false">
IF($D163="정상",INDEX(임대자산!$D$3:$R$3000,MATCH($F163,임대자산!$I$3:$I$3000,0),MATCH(J$4,임대자산!$D$3:$R$3,0)),
IF($D163="폐업",INDEX(폐업정보!$D$3:$R$3000,MATCH($F163,폐업정보!$I$3:$I$3000,0),MATCH(J$4,폐업정보!$D$3:$R$3,0)),
"Error"))</f>
        <v>7438400000</v>
      </c>
      <c r="K163" s="75" t="str">
        <f aca="false">
IF($D163="정상",INDEX(임대자산!$D$3:$R$3000,MATCH($F163,임대자산!$I$3:$I$3000,0),MATCH(K$4,임대자산!$D$3:$R$3,0)),
IF($D163="폐업",INDEX(폐업정보!$D$3:$R$3000,MATCH($F163,폐업정보!$I$3:$I$3000,0),MATCH(K$4,폐업정보!$D$3:$R$3,0)),
"Error"))</f>
        <v>C0158</v>
      </c>
      <c r="L163" s="75" t="str">
        <f aca="false">
IF($D163="정상",INDEX(임대자산!$D$3:$R$3000,MATCH($F163,임대자산!$I$3:$I$3000,0),MATCH(L$4,임대자산!$D$3:$R$3,0)),
IF($D163="폐업",INDEX(폐업정보!$D$3:$R$3000,MATCH($F163,폐업정보!$I$3:$I$3000,0),MATCH(L$4,폐업정보!$D$3:$R$3,0)),
"Error"))</f>
        <v>D0158</v>
      </c>
      <c r="M163" s="76" t="s">
        <v>96</v>
      </c>
      <c r="N163" s="77"/>
      <c r="O163" s="78" t="s">
        <v>97</v>
      </c>
      <c r="P163" s="79" t="n">
        <f aca="false">COUNTIFS(임대자산!$I:$I,가맹점정보!F163,임대자산!$N:$N,가맹점정보!P$4)</f>
        <v>0</v>
      </c>
      <c r="Q163" s="80" t="n">
        <f aca="false">COUNTIFS(임대자산!$I:$I,가맹점정보!F163,임대자산!$N:$N,가맹점정보!Q$4)</f>
        <v>0</v>
      </c>
      <c r="R163" s="81" t="n">
        <f aca="false">COUNTIFS(임대자산!$I:$I,가맹점정보!F163,임대자산!$N:$N,가맹점정보!R$4)</f>
        <v>1</v>
      </c>
      <c r="S163" s="82" t="n">
        <v>55000</v>
      </c>
      <c r="T163" s="83" t="n">
        <v>0</v>
      </c>
      <c r="U163" s="80" t="n">
        <f aca="false">SUM(S163:T163)</f>
        <v>55000</v>
      </c>
      <c r="V163" s="84" t="s">
        <v>12</v>
      </c>
      <c r="W163" s="80" t="e">
        <f aca="true">
IF(D163="폐업","폐업",
IF(V163="면제","면제",
IF(AND(V163="정상",COUNTIFS(OFFSET(Y163,0,COUNTA(Y163:AV163)-1,1,-4),"미납")&gt;=3),"장기미납",
IF(AND(V163="정상",OFFSET(Y163,0,COUNTA(Y163:AV163)-1)&gt;=U163),"정상",
IF(AND(V163="정상",OFFSET(Y163,0,COUNTA(Y163:AV163)-1)=0),"정상",
"계약서 미작성")))))</f>
        <v>#VALUE!</v>
      </c>
      <c r="X163" s="81" t="str">
        <f aca="true">
IF(D163="폐업","폐업",
IF(AND(V163="정상",OFFSET(Y163,0,COUNTA(Y163:AV163)-1)="미납"),"미납",
IF(AND(V163="정상",OFFSET(Y163,0,COUNTA(Y163:AV163)-1)=0),"납부 시작 전",
IF(AND(V163="정상",OFFSET(Y163,0,COUNTA(Y163:AV163)-1)&gt;=U163),"정상",
IF(AND(V163="면제",OFFSET(Y163,0,COUNTA(Y163:AV163)-1)="면제"),"면제",
IF(AND(V163="면제",OFFSET(Y163,0,COUNTA(Y163:AV163)-1)=0),"면제",
"확인요청"))))))</f>
        <v>정상</v>
      </c>
      <c r="Y163" s="93" t="n">
        <v>55000</v>
      </c>
      <c r="Z163" s="90" t="n">
        <v>55000</v>
      </c>
      <c r="AA163" s="90" t="n">
        <v>55000</v>
      </c>
      <c r="AB163" s="90" t="n">
        <v>55000</v>
      </c>
      <c r="AC163" s="90" t="n">
        <v>55000</v>
      </c>
      <c r="AD163" s="90" t="n">
        <v>55000</v>
      </c>
      <c r="AE163" s="90" t="n">
        <v>55000</v>
      </c>
      <c r="AF163" s="90" t="n">
        <v>55000</v>
      </c>
      <c r="AG163" s="90" t="n">
        <v>55000</v>
      </c>
      <c r="AH163" s="90" t="n">
        <v>55000</v>
      </c>
      <c r="AI163" s="90" t="n">
        <v>55000</v>
      </c>
      <c r="AJ163" s="91" t="n">
        <v>55000</v>
      </c>
      <c r="AK163" s="89" t="n">
        <v>55000</v>
      </c>
      <c r="AL163" s="90" t="n">
        <v>55000</v>
      </c>
      <c r="AM163" s="90"/>
      <c r="AN163" s="90"/>
      <c r="AO163" s="90"/>
      <c r="AP163" s="90"/>
      <c r="AQ163" s="90"/>
      <c r="AR163" s="90"/>
      <c r="AS163" s="90"/>
      <c r="AT163" s="90"/>
      <c r="AU163" s="90"/>
      <c r="AV163" s="91"/>
      <c r="AX163" s="92"/>
    </row>
    <row r="164" customFormat="false" ht="15.65" hidden="false" customHeight="false" outlineLevel="0" collapsed="false">
      <c r="C164" s="72" t="n">
        <f aca="false">COUNTIFS($D$6:D164,"&lt;&gt;"&amp;"")</f>
        <v>159</v>
      </c>
      <c r="D164" s="73" t="s">
        <v>12</v>
      </c>
      <c r="E164" s="76" t="str">
        <f aca="false">
IF($D164="정상",INDEX(임대자산!$D$3:$R$3000,MATCH($F164,임대자산!$I$3:$I$3000,0),MATCH(E$3,임대자산!$D$3:$R$3,0)),
IF($D164="폐업",INDEX(폐업정보!$D$3:$R$3000,MATCH($F164,폐업정보!$I$3:$I$3000,0),MATCH(E$3,폐업정보!$D$3:$R$3,0)),
"Error"))</f>
        <v>경기</v>
      </c>
      <c r="F16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B0159</v>
      </c>
      <c r="G164" s="76" t="str">
        <f aca="false">F164&amp;RANDBETWEEN(0,10)</f>
        <v>B01599</v>
      </c>
      <c r="H164" s="75" t="n">
        <f aca="false">
IF($D164="정상",INDEX(임대자산!$D$3:$R$3000,MATCH($F164,임대자산!$I$3:$I$3000,0),MATCH(H$4,임대자산!$D$3:$R$3,0)),
IF($D164="폐업",INDEX(폐업정보!$D$3:$R$3000,MATCH($F164,폐업정보!$I$3:$I$3000,0),MATCH(H$4,폐업정보!$D$3:$R$3,0)),
"Error"))</f>
        <v>44733</v>
      </c>
      <c r="I164" s="75" t="str">
        <f aca="false">
IF($D164="정상",INDEX(임대자산!$D$3:$R$3000,MATCH($F164,임대자산!$I$3:$I$3000,0),MATCH(I$4,임대자산!$D$3:$R$3,0)),
IF($D164="폐업",INDEX(폐업정보!$D$3:$R$3000,MATCH($F164,폐업정보!$I$3:$I$3000,0),MATCH(I$4,폐업정보!$D$3:$R$3,0)),
"Error"))</f>
        <v>A0159</v>
      </c>
      <c r="J164" s="75" t="str">
        <f aca="false">
IF($D164="정상",INDEX(임대자산!$D$3:$R$3000,MATCH($F164,임대자산!$I$3:$I$3000,0),MATCH(J$4,임대자산!$D$3:$R$3,0)),
IF($D164="폐업",INDEX(폐업정보!$D$3:$R$3000,MATCH($F164,폐업정보!$I$3:$I$3000,0),MATCH(J$4,폐업정보!$D$3:$R$3,0)),
"Error"))</f>
        <v>2143400000</v>
      </c>
      <c r="K164" s="75" t="str">
        <f aca="false">
IF($D164="정상",INDEX(임대자산!$D$3:$R$3000,MATCH($F164,임대자산!$I$3:$I$3000,0),MATCH(K$4,임대자산!$D$3:$R$3,0)),
IF($D164="폐업",INDEX(폐업정보!$D$3:$R$3000,MATCH($F164,폐업정보!$I$3:$I$3000,0),MATCH(K$4,폐업정보!$D$3:$R$3,0)),
"Error"))</f>
        <v>C0159</v>
      </c>
      <c r="L164" s="75" t="str">
        <f aca="false">
IF($D164="정상",INDEX(임대자산!$D$3:$R$3000,MATCH($F164,임대자산!$I$3:$I$3000,0),MATCH(L$4,임대자산!$D$3:$R$3,0)),
IF($D164="폐업",INDEX(폐업정보!$D$3:$R$3000,MATCH($F164,폐업정보!$I$3:$I$3000,0),MATCH(L$4,폐업정보!$D$3:$R$3,0)),
"Error"))</f>
        <v>D0159</v>
      </c>
      <c r="M164" s="76" t="s">
        <v>96</v>
      </c>
      <c r="N164" s="77"/>
      <c r="O164" s="78" t="s">
        <v>97</v>
      </c>
      <c r="P164" s="79" t="n">
        <f aca="false">COUNTIFS(임대자산!$I:$I,가맹점정보!F164,임대자산!$N:$N,가맹점정보!P$4)</f>
        <v>0</v>
      </c>
      <c r="Q164" s="80" t="n">
        <f aca="false">COUNTIFS(임대자산!$I:$I,가맹점정보!F164,임대자산!$N:$N,가맹점정보!Q$4)</f>
        <v>0</v>
      </c>
      <c r="R164" s="81" t="n">
        <f aca="false">COUNTIFS(임대자산!$I:$I,가맹점정보!F164,임대자산!$N:$N,가맹점정보!R$4)</f>
        <v>1</v>
      </c>
      <c r="S164" s="82" t="n">
        <v>55000</v>
      </c>
      <c r="T164" s="83" t="n">
        <v>0</v>
      </c>
      <c r="U164" s="80" t="n">
        <f aca="false">SUM(S164:T164)</f>
        <v>55000</v>
      </c>
      <c r="V164" s="84" t="s">
        <v>12</v>
      </c>
      <c r="W164" s="80" t="e">
        <f aca="true">
IF(D164="폐업","폐업",
IF(V164="면제","면제",
IF(AND(V164="정상",COUNTIFS(OFFSET(Y164,0,COUNTA(Y164:AV164)-1,1,-4),"미납")&gt;=3),"장기미납",
IF(AND(V164="정상",OFFSET(Y164,0,COUNTA(Y164:AV164)-1)&gt;=U164),"정상",
IF(AND(V164="정상",OFFSET(Y164,0,COUNTA(Y164:AV164)-1)=0),"정상",
"계약서 미작성")))))</f>
        <v>#VALUE!</v>
      </c>
      <c r="X164" s="81" t="str">
        <f aca="true">
IF(D164="폐업","폐업",
IF(AND(V164="정상",OFFSET(Y164,0,COUNTA(Y164:AV164)-1)="미납"),"미납",
IF(AND(V164="정상",OFFSET(Y164,0,COUNTA(Y164:AV164)-1)=0),"납부 시작 전",
IF(AND(V164="정상",OFFSET(Y164,0,COUNTA(Y164:AV164)-1)&gt;=U164),"정상",
IF(AND(V164="면제",OFFSET(Y164,0,COUNTA(Y164:AV164)-1)="면제"),"면제",
IF(AND(V164="면제",OFFSET(Y164,0,COUNTA(Y164:AV164)-1)=0),"면제",
"확인요청"))))))</f>
        <v>정상</v>
      </c>
      <c r="Y164" s="93" t="n">
        <v>55000</v>
      </c>
      <c r="Z164" s="90" t="n">
        <v>55000</v>
      </c>
      <c r="AA164" s="90" t="n">
        <v>55000</v>
      </c>
      <c r="AB164" s="90" t="n">
        <v>55000</v>
      </c>
      <c r="AC164" s="90" t="n">
        <v>55000</v>
      </c>
      <c r="AD164" s="90" t="n">
        <v>55000</v>
      </c>
      <c r="AE164" s="95" t="s">
        <v>62</v>
      </c>
      <c r="AF164" s="90" t="n">
        <v>55000</v>
      </c>
      <c r="AG164" s="90" t="n">
        <v>55000</v>
      </c>
      <c r="AH164" s="90" t="n">
        <v>55000</v>
      </c>
      <c r="AI164" s="90" t="n">
        <v>55000</v>
      </c>
      <c r="AJ164" s="91" t="n">
        <v>55000</v>
      </c>
      <c r="AK164" s="89" t="n">
        <v>55000</v>
      </c>
      <c r="AL164" s="90" t="n">
        <v>55000</v>
      </c>
      <c r="AM164" s="90"/>
      <c r="AN164" s="90"/>
      <c r="AO164" s="90"/>
      <c r="AP164" s="90"/>
      <c r="AQ164" s="90"/>
      <c r="AR164" s="90"/>
      <c r="AS164" s="90"/>
      <c r="AT164" s="90"/>
      <c r="AU164" s="90"/>
      <c r="AV164" s="91"/>
      <c r="AX164" s="92"/>
    </row>
    <row r="165" customFormat="false" ht="15.65" hidden="false" customHeight="false" outlineLevel="0" collapsed="false">
      <c r="C165" s="72" t="n">
        <f aca="false">COUNTIFS($D$6:D165,"&lt;&gt;"&amp;"")</f>
        <v>160</v>
      </c>
      <c r="D165" s="73" t="s">
        <v>12</v>
      </c>
      <c r="E165" s="76" t="str">
        <f aca="false">
IF($D165="정상",INDEX(임대자산!$D$3:$R$3000,MATCH($F165,임대자산!$I$3:$I$3000,0),MATCH(E$3,임대자산!$D$3:$R$3,0)),
IF($D165="폐업",INDEX(폐업정보!$D$3:$R$3000,MATCH($F165,폐업정보!$I$3:$I$3000,0),MATCH(E$3,폐업정보!$D$3:$R$3,0)),
"Error"))</f>
        <v>경기</v>
      </c>
      <c r="F16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B0160</v>
      </c>
      <c r="G165" s="76" t="str">
        <f aca="false">F165&amp;RANDBETWEEN(0,10)</f>
        <v>B01609</v>
      </c>
      <c r="H165" s="75" t="n">
        <f aca="false">
IF($D165="정상",INDEX(임대자산!$D$3:$R$3000,MATCH($F165,임대자산!$I$3:$I$3000,0),MATCH(H$4,임대자산!$D$3:$R$3,0)),
IF($D165="폐업",INDEX(폐업정보!$D$3:$R$3000,MATCH($F165,폐업정보!$I$3:$I$3000,0),MATCH(H$4,폐업정보!$D$3:$R$3,0)),
"Error"))</f>
        <v>45807</v>
      </c>
      <c r="I165" s="75" t="str">
        <f aca="false">
IF($D165="정상",INDEX(임대자산!$D$3:$R$3000,MATCH($F165,임대자산!$I$3:$I$3000,0),MATCH(I$4,임대자산!$D$3:$R$3,0)),
IF($D165="폐업",INDEX(폐업정보!$D$3:$R$3000,MATCH($F165,폐업정보!$I$3:$I$3000,0),MATCH(I$4,폐업정보!$D$3:$R$3,0)),
"Error"))</f>
        <v>A0160</v>
      </c>
      <c r="J165" s="75" t="str">
        <f aca="false">
IF($D165="정상",INDEX(임대자산!$D$3:$R$3000,MATCH($F165,임대자산!$I$3:$I$3000,0),MATCH(J$4,임대자산!$D$3:$R$3,0)),
IF($D165="폐업",INDEX(폐업정보!$D$3:$R$3000,MATCH($F165,폐업정보!$I$3:$I$3000,0),MATCH(J$4,폐업정보!$D$3:$R$3,0)),
"Error"))</f>
        <v>1331900000</v>
      </c>
      <c r="K165" s="75" t="str">
        <f aca="false">
IF($D165="정상",INDEX(임대자산!$D$3:$R$3000,MATCH($F165,임대자산!$I$3:$I$3000,0),MATCH(K$4,임대자산!$D$3:$R$3,0)),
IF($D165="폐업",INDEX(폐업정보!$D$3:$R$3000,MATCH($F165,폐업정보!$I$3:$I$3000,0),MATCH(K$4,폐업정보!$D$3:$R$3,0)),
"Error"))</f>
        <v>C0160</v>
      </c>
      <c r="L165" s="75" t="str">
        <f aca="false">
IF($D165="정상",INDEX(임대자산!$D$3:$R$3000,MATCH($F165,임대자산!$I$3:$I$3000,0),MATCH(L$4,임대자산!$D$3:$R$3,0)),
IF($D165="폐업",INDEX(폐업정보!$D$3:$R$3000,MATCH($F165,폐업정보!$I$3:$I$3000,0),MATCH(L$4,폐업정보!$D$3:$R$3,0)),
"Error"))</f>
        <v>D0160</v>
      </c>
      <c r="M165" s="76" t="s">
        <v>96</v>
      </c>
      <c r="N165" s="77"/>
      <c r="O165" s="78" t="s">
        <v>97</v>
      </c>
      <c r="P165" s="79" t="n">
        <f aca="false">COUNTIFS(임대자산!$I:$I,가맹점정보!F165,임대자산!$N:$N,가맹점정보!P$4)</f>
        <v>0</v>
      </c>
      <c r="Q165" s="80" t="n">
        <f aca="false">COUNTIFS(임대자산!$I:$I,가맹점정보!F165,임대자산!$N:$N,가맹점정보!Q$4)</f>
        <v>0</v>
      </c>
      <c r="R165" s="81" t="n">
        <f aca="false">COUNTIFS(임대자산!$I:$I,가맹점정보!F165,임대자산!$N:$N,가맹점정보!R$4)</f>
        <v>1</v>
      </c>
      <c r="S165" s="82" t="n">
        <v>88000</v>
      </c>
      <c r="T165" s="83" t="n">
        <v>0</v>
      </c>
      <c r="U165" s="80" t="n">
        <f aca="false">SUM(S165:T165)</f>
        <v>88000</v>
      </c>
      <c r="V165" s="84" t="s">
        <v>7</v>
      </c>
      <c r="W165" s="80" t="str">
        <f aca="true">
IF(D165="폐업","폐업",
IF(V165="면제","면제",
IF(AND(V165="정상",COUNTIFS(OFFSET(Y165,0,COUNTA(Y165:AV165)-1,1,-4),"미납")&gt;=3),"장기미납",
IF(AND(V165="정상",OFFSET(Y165,0,COUNTA(Y165:AV165)-1)&gt;=U165),"정상",
IF(AND(V165="정상",OFFSET(Y165,0,COUNTA(Y165:AV165)-1)=0),"정상",
"계약서 미작성")))))</f>
        <v>면제</v>
      </c>
      <c r="X165" s="81" t="str">
        <f aca="true">
IF(D165="폐업","폐업",
IF(AND(V165="정상",OFFSET(Y165,0,COUNTA(Y165:AV165)-1)="미납"),"미납",
IF(AND(V165="정상",OFFSET(Y165,0,COUNTA(Y165:AV165)-1)=0),"납부 시작 전",
IF(AND(V165="정상",OFFSET(Y165,0,COUNTA(Y165:AV165)-1)&gt;=U165),"정상",
IF(AND(V165="면제",OFFSET(Y165,0,COUNTA(Y165:AV165)-1)="면제"),"면제",
IF(AND(V165="면제",OFFSET(Y165,0,COUNTA(Y165:AV165)-1)=0),"면제",
"확인요청"))))))</f>
        <v>면제</v>
      </c>
      <c r="Y165" s="94" t="s">
        <v>7</v>
      </c>
      <c r="Z165" s="95" t="s">
        <v>7</v>
      </c>
      <c r="AA165" s="95" t="s">
        <v>7</v>
      </c>
      <c r="AB165" s="95" t="s">
        <v>7</v>
      </c>
      <c r="AC165" s="95" t="s">
        <v>7</v>
      </c>
      <c r="AD165" s="95" t="s">
        <v>7</v>
      </c>
      <c r="AE165" s="95" t="s">
        <v>7</v>
      </c>
      <c r="AF165" s="95" t="s">
        <v>7</v>
      </c>
      <c r="AG165" s="95" t="s">
        <v>7</v>
      </c>
      <c r="AH165" s="95" t="s">
        <v>7</v>
      </c>
      <c r="AI165" s="95" t="s">
        <v>7</v>
      </c>
      <c r="AJ165" s="96" t="s">
        <v>7</v>
      </c>
      <c r="AK165" s="97" t="s">
        <v>7</v>
      </c>
      <c r="AL165" s="95" t="s">
        <v>7</v>
      </c>
      <c r="AM165" s="90"/>
      <c r="AN165" s="90"/>
      <c r="AO165" s="90"/>
      <c r="AP165" s="90"/>
      <c r="AQ165" s="90"/>
      <c r="AR165" s="90"/>
      <c r="AS165" s="90"/>
      <c r="AT165" s="90"/>
      <c r="AU165" s="90"/>
      <c r="AV165" s="91"/>
      <c r="AX165" s="92"/>
    </row>
    <row r="166" customFormat="false" ht="15.65" hidden="false" customHeight="false" outlineLevel="0" collapsed="false">
      <c r="C166" s="72" t="n">
        <f aca="false">COUNTIFS($D$6:D166,"&lt;&gt;"&amp;"")</f>
        <v>161</v>
      </c>
      <c r="D166" s="73" t="s">
        <v>12</v>
      </c>
      <c r="E166" s="76" t="str">
        <f aca="false">
IF($D166="정상",INDEX(임대자산!$D$3:$R$3000,MATCH($F166,임대자산!$I$3:$I$3000,0),MATCH(E$3,임대자산!$D$3:$R$3,0)),
IF($D166="폐업",INDEX(폐업정보!$D$3:$R$3000,MATCH($F166,폐업정보!$I$3:$I$3000,0),MATCH(E$3,폐업정보!$D$3:$R$3,0)),
"Error"))</f>
        <v>경기</v>
      </c>
      <c r="F16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B0161</v>
      </c>
      <c r="G166" s="76" t="str">
        <f aca="false">F166&amp;RANDBETWEEN(0,10)</f>
        <v>B01615</v>
      </c>
      <c r="H166" s="75" t="n">
        <f aca="false">
IF($D166="정상",INDEX(임대자산!$D$3:$R$3000,MATCH($F166,임대자산!$I$3:$I$3000,0),MATCH(H$4,임대자산!$D$3:$R$3,0)),
IF($D166="폐업",INDEX(폐업정보!$D$3:$R$3000,MATCH($F166,폐업정보!$I$3:$I$3000,0),MATCH(H$4,폐업정보!$D$3:$R$3,0)),
"Error"))</f>
        <v>44756</v>
      </c>
      <c r="I166" s="75" t="str">
        <f aca="false">
IF($D166="정상",INDEX(임대자산!$D$3:$R$3000,MATCH($F166,임대자산!$I$3:$I$3000,0),MATCH(I$4,임대자산!$D$3:$R$3,0)),
IF($D166="폐업",INDEX(폐업정보!$D$3:$R$3000,MATCH($F166,폐업정보!$I$3:$I$3000,0),MATCH(I$4,폐업정보!$D$3:$R$3,0)),
"Error"))</f>
        <v>A0161</v>
      </c>
      <c r="J166" s="75" t="str">
        <f aca="false">
IF($D166="정상",INDEX(임대자산!$D$3:$R$3000,MATCH($F166,임대자산!$I$3:$I$3000,0),MATCH(J$4,임대자산!$D$3:$R$3,0)),
IF($D166="폐업",INDEX(폐업정보!$D$3:$R$3000,MATCH($F166,폐업정보!$I$3:$I$3000,0),MATCH(J$4,폐업정보!$D$3:$R$3,0)),
"Error"))</f>
        <v>5259100000</v>
      </c>
      <c r="K166" s="75" t="str">
        <f aca="false">
IF($D166="정상",INDEX(임대자산!$D$3:$R$3000,MATCH($F166,임대자산!$I$3:$I$3000,0),MATCH(K$4,임대자산!$D$3:$R$3,0)),
IF($D166="폐업",INDEX(폐업정보!$D$3:$R$3000,MATCH($F166,폐업정보!$I$3:$I$3000,0),MATCH(K$4,폐업정보!$D$3:$R$3,0)),
"Error"))</f>
        <v>C0161</v>
      </c>
      <c r="L166" s="75" t="str">
        <f aca="false">
IF($D166="정상",INDEX(임대자산!$D$3:$R$3000,MATCH($F166,임대자산!$I$3:$I$3000,0),MATCH(L$4,임대자산!$D$3:$R$3,0)),
IF($D166="폐업",INDEX(폐업정보!$D$3:$R$3000,MATCH($F166,폐업정보!$I$3:$I$3000,0),MATCH(L$4,폐업정보!$D$3:$R$3,0)),
"Error"))</f>
        <v>D0161</v>
      </c>
      <c r="M166" s="76" t="s">
        <v>96</v>
      </c>
      <c r="N166" s="77"/>
      <c r="O166" s="78" t="s">
        <v>97</v>
      </c>
      <c r="P166" s="79" t="n">
        <f aca="false">COUNTIFS(임대자산!$I:$I,가맹점정보!F166,임대자산!$N:$N,가맹점정보!P$4)</f>
        <v>0</v>
      </c>
      <c r="Q166" s="80" t="n">
        <f aca="false">COUNTIFS(임대자산!$I:$I,가맹점정보!F166,임대자산!$N:$N,가맹점정보!Q$4)</f>
        <v>0</v>
      </c>
      <c r="R166" s="81" t="n">
        <f aca="false">COUNTIFS(임대자산!$I:$I,가맹점정보!F166,임대자산!$N:$N,가맹점정보!R$4)</f>
        <v>1</v>
      </c>
      <c r="S166" s="82" t="n">
        <v>88000</v>
      </c>
      <c r="T166" s="83" t="n">
        <v>0</v>
      </c>
      <c r="U166" s="80" t="n">
        <f aca="false">SUM(S166:T166)</f>
        <v>88000</v>
      </c>
      <c r="V166" s="84" t="s">
        <v>7</v>
      </c>
      <c r="W166" s="80" t="str">
        <f aca="true">
IF(D166="폐업","폐업",
IF(V166="면제","면제",
IF(AND(V166="정상",COUNTIFS(OFFSET(Y166,0,COUNTA(Y166:AV166)-1,1,-4),"미납")&gt;=3),"장기미납",
IF(AND(V166="정상",OFFSET(Y166,0,COUNTA(Y166:AV166)-1)&gt;=U166),"정상",
IF(AND(V166="정상",OFFSET(Y166,0,COUNTA(Y166:AV166)-1)=0),"정상",
"계약서 미작성")))))</f>
        <v>면제</v>
      </c>
      <c r="X166" s="81" t="str">
        <f aca="true">
IF(D166="폐업","폐업",
IF(AND(V166="정상",OFFSET(Y166,0,COUNTA(Y166:AV166)-1)="미납"),"미납",
IF(AND(V166="정상",OFFSET(Y166,0,COUNTA(Y166:AV166)-1)=0),"납부 시작 전",
IF(AND(V166="정상",OFFSET(Y166,0,COUNTA(Y166:AV166)-1)&gt;=U166),"정상",
IF(AND(V166="면제",OFFSET(Y166,0,COUNTA(Y166:AV166)-1)="면제"),"면제",
IF(AND(V166="면제",OFFSET(Y166,0,COUNTA(Y166:AV166)-1)=0),"면제",
"확인요청"))))))</f>
        <v>면제</v>
      </c>
      <c r="Y166" s="94" t="s">
        <v>7</v>
      </c>
      <c r="Z166" s="95" t="s">
        <v>7</v>
      </c>
      <c r="AA166" s="95" t="s">
        <v>7</v>
      </c>
      <c r="AB166" s="95" t="s">
        <v>7</v>
      </c>
      <c r="AC166" s="95" t="s">
        <v>7</v>
      </c>
      <c r="AD166" s="95" t="s">
        <v>7</v>
      </c>
      <c r="AE166" s="95" t="s">
        <v>7</v>
      </c>
      <c r="AF166" s="95" t="s">
        <v>7</v>
      </c>
      <c r="AG166" s="95" t="s">
        <v>7</v>
      </c>
      <c r="AH166" s="95" t="s">
        <v>7</v>
      </c>
      <c r="AI166" s="95" t="s">
        <v>7</v>
      </c>
      <c r="AJ166" s="96" t="s">
        <v>7</v>
      </c>
      <c r="AK166" s="97" t="s">
        <v>7</v>
      </c>
      <c r="AL166" s="95" t="s">
        <v>7</v>
      </c>
      <c r="AM166" s="90"/>
      <c r="AN166" s="90"/>
      <c r="AO166" s="90"/>
      <c r="AP166" s="90"/>
      <c r="AQ166" s="90"/>
      <c r="AR166" s="90"/>
      <c r="AS166" s="90"/>
      <c r="AT166" s="90"/>
      <c r="AU166" s="90"/>
      <c r="AV166" s="91"/>
      <c r="AX166" s="92"/>
    </row>
    <row r="167" customFormat="false" ht="15.65" hidden="false" customHeight="false" outlineLevel="0" collapsed="false">
      <c r="C167" s="72" t="n">
        <f aca="false">COUNTIFS($D$6:D167,"&lt;&gt;"&amp;"")</f>
        <v>162</v>
      </c>
      <c r="D167" s="73" t="s">
        <v>12</v>
      </c>
      <c r="E167" s="76" t="str">
        <f aca="false">
IF($D167="정상",INDEX(임대자산!$D$3:$R$3000,MATCH($F167,임대자산!$I$3:$I$3000,0),MATCH(E$3,임대자산!$D$3:$R$3,0)),
IF($D167="폐업",INDEX(폐업정보!$D$3:$R$3000,MATCH($F167,폐업정보!$I$3:$I$3000,0),MATCH(E$3,폐업정보!$D$3:$R$3,0)),
"Error"))</f>
        <v>경기</v>
      </c>
      <c r="F16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B0162</v>
      </c>
      <c r="G167" s="76" t="str">
        <f aca="false">F167&amp;RANDBETWEEN(0,10)</f>
        <v>B01621</v>
      </c>
      <c r="H167" s="75" t="n">
        <f aca="false">
IF($D167="정상",INDEX(임대자산!$D$3:$R$3000,MATCH($F167,임대자산!$I$3:$I$3000,0),MATCH(H$4,임대자산!$D$3:$R$3,0)),
IF($D167="폐업",INDEX(폐업정보!$D$3:$R$3000,MATCH($F167,폐업정보!$I$3:$I$3000,0),MATCH(H$4,폐업정보!$D$3:$R$3,0)),
"Error"))</f>
        <v>45881</v>
      </c>
      <c r="I167" s="75" t="str">
        <f aca="false">
IF($D167="정상",INDEX(임대자산!$D$3:$R$3000,MATCH($F167,임대자산!$I$3:$I$3000,0),MATCH(I$4,임대자산!$D$3:$R$3,0)),
IF($D167="폐업",INDEX(폐업정보!$D$3:$R$3000,MATCH($F167,폐업정보!$I$3:$I$3000,0),MATCH(I$4,폐업정보!$D$3:$R$3,0)),
"Error"))</f>
        <v>A0162</v>
      </c>
      <c r="J167" s="75" t="str">
        <f aca="false">
IF($D167="정상",INDEX(임대자산!$D$3:$R$3000,MATCH($F167,임대자산!$I$3:$I$3000,0),MATCH(J$4,임대자산!$D$3:$R$3,0)),
IF($D167="폐업",INDEX(폐업정보!$D$3:$R$3000,MATCH($F167,폐업정보!$I$3:$I$3000,0),MATCH(J$4,폐업정보!$D$3:$R$3,0)),
"Error"))</f>
        <v>1270400000</v>
      </c>
      <c r="K167" s="75" t="str">
        <f aca="false">
IF($D167="정상",INDEX(임대자산!$D$3:$R$3000,MATCH($F167,임대자산!$I$3:$I$3000,0),MATCH(K$4,임대자산!$D$3:$R$3,0)),
IF($D167="폐업",INDEX(폐업정보!$D$3:$R$3000,MATCH($F167,폐업정보!$I$3:$I$3000,0),MATCH(K$4,폐업정보!$D$3:$R$3,0)),
"Error"))</f>
        <v>C0162</v>
      </c>
      <c r="L167" s="75" t="str">
        <f aca="false">
IF($D167="정상",INDEX(임대자산!$D$3:$R$3000,MATCH($F167,임대자산!$I$3:$I$3000,0),MATCH(L$4,임대자산!$D$3:$R$3,0)),
IF($D167="폐업",INDEX(폐업정보!$D$3:$R$3000,MATCH($F167,폐업정보!$I$3:$I$3000,0),MATCH(L$4,폐업정보!$D$3:$R$3,0)),
"Error"))</f>
        <v>D0162</v>
      </c>
      <c r="M167" s="76" t="s">
        <v>96</v>
      </c>
      <c r="N167" s="77"/>
      <c r="O167" s="78" t="s">
        <v>97</v>
      </c>
      <c r="P167" s="79" t="n">
        <f aca="false">COUNTIFS(임대자산!$I:$I,가맹점정보!F167,임대자산!$N:$N,가맹점정보!P$4)</f>
        <v>0</v>
      </c>
      <c r="Q167" s="80" t="n">
        <f aca="false">COUNTIFS(임대자산!$I:$I,가맹점정보!F167,임대자산!$N:$N,가맹점정보!Q$4)</f>
        <v>0</v>
      </c>
      <c r="R167" s="81" t="n">
        <f aca="false">COUNTIFS(임대자산!$I:$I,가맹점정보!F167,임대자산!$N:$N,가맹점정보!R$4)</f>
        <v>1</v>
      </c>
      <c r="S167" s="82" t="n">
        <v>55000</v>
      </c>
      <c r="T167" s="83" t="n">
        <v>0</v>
      </c>
      <c r="U167" s="80" t="n">
        <f aca="false">SUM(S167:T167)</f>
        <v>55000</v>
      </c>
      <c r="V167" s="84" t="s">
        <v>12</v>
      </c>
      <c r="W167" s="80" t="e">
        <f aca="true">
IF(D167="폐업","폐업",
IF(V167="면제","면제",
IF(AND(V167="정상",COUNTIFS(OFFSET(Y167,0,COUNTA(Y167:AV167)-1,1,-4),"미납")&gt;=3),"장기미납",
IF(AND(V167="정상",OFFSET(Y167,0,COUNTA(Y167:AV167)-1)&gt;=U167),"정상",
IF(AND(V167="정상",OFFSET(Y167,0,COUNTA(Y167:AV167)-1)=0),"정상",
"계약서 미작성")))))</f>
        <v>#VALUE!</v>
      </c>
      <c r="X167" s="81" t="str">
        <f aca="true">
IF(D167="폐업","폐업",
IF(AND(V167="정상",OFFSET(Y167,0,COUNTA(Y167:AV167)-1)="미납"),"미납",
IF(AND(V167="정상",OFFSET(Y167,0,COUNTA(Y167:AV167)-1)=0),"납부 시작 전",
IF(AND(V167="정상",OFFSET(Y167,0,COUNTA(Y167:AV167)-1)&gt;=U167),"정상",
IF(AND(V167="면제",OFFSET(Y167,0,COUNTA(Y167:AV167)-1)="면제"),"면제",
IF(AND(V167="면제",OFFSET(Y167,0,COUNTA(Y167:AV167)-1)=0),"면제",
"확인요청"))))))</f>
        <v>정상</v>
      </c>
      <c r="Y167" s="93" t="n">
        <v>55000</v>
      </c>
      <c r="Z167" s="90" t="n">
        <v>55000</v>
      </c>
      <c r="AA167" s="90" t="n">
        <v>55000</v>
      </c>
      <c r="AB167" s="90" t="n">
        <v>55000</v>
      </c>
      <c r="AC167" s="90" t="n">
        <v>55000</v>
      </c>
      <c r="AD167" s="90" t="n">
        <v>55000</v>
      </c>
      <c r="AE167" s="90" t="n">
        <v>55000</v>
      </c>
      <c r="AF167" s="90" t="n">
        <v>55000</v>
      </c>
      <c r="AG167" s="90" t="n">
        <v>55000</v>
      </c>
      <c r="AH167" s="90" t="n">
        <v>55000</v>
      </c>
      <c r="AI167" s="90" t="n">
        <v>55000</v>
      </c>
      <c r="AJ167" s="91" t="n">
        <v>55000</v>
      </c>
      <c r="AK167" s="89" t="n">
        <v>55000</v>
      </c>
      <c r="AL167" s="90" t="n">
        <v>55000</v>
      </c>
      <c r="AM167" s="90"/>
      <c r="AN167" s="90"/>
      <c r="AO167" s="90"/>
      <c r="AP167" s="90"/>
      <c r="AQ167" s="90"/>
      <c r="AR167" s="90"/>
      <c r="AS167" s="90"/>
      <c r="AT167" s="90"/>
      <c r="AU167" s="90"/>
      <c r="AV167" s="91"/>
      <c r="AX167" s="92"/>
    </row>
    <row r="168" customFormat="false" ht="15.65" hidden="false" customHeight="false" outlineLevel="0" collapsed="false">
      <c r="C168" s="72" t="n">
        <f aca="false">COUNTIFS($D$6:D168,"&lt;&gt;"&amp;"")</f>
        <v>163</v>
      </c>
      <c r="D168" s="73" t="s">
        <v>12</v>
      </c>
      <c r="E168" s="76" t="str">
        <f aca="false">
IF($D168="정상",INDEX(임대자산!$D$3:$R$3000,MATCH($F168,임대자산!$I$3:$I$3000,0),MATCH(E$3,임대자산!$D$3:$R$3,0)),
IF($D168="폐업",INDEX(폐업정보!$D$3:$R$3000,MATCH($F168,폐업정보!$I$3:$I$3000,0),MATCH(E$3,폐업정보!$D$3:$R$3,0)),
"Error"))</f>
        <v>경상</v>
      </c>
      <c r="F16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B0163</v>
      </c>
      <c r="G168" s="76" t="str">
        <f aca="false">F168&amp;RANDBETWEEN(0,10)</f>
        <v>B01635</v>
      </c>
      <c r="H168" s="75" t="n">
        <f aca="false">
IF($D168="정상",INDEX(임대자산!$D$3:$R$3000,MATCH($F168,임대자산!$I$3:$I$3000,0),MATCH(H$4,임대자산!$D$3:$R$3,0)),
IF($D168="폐업",INDEX(폐업정보!$D$3:$R$3000,MATCH($F168,폐업정보!$I$3:$I$3000,0),MATCH(H$4,폐업정보!$D$3:$R$3,0)),
"Error"))</f>
        <v>45750</v>
      </c>
      <c r="I168" s="75" t="str">
        <f aca="false">
IF($D168="정상",INDEX(임대자산!$D$3:$R$3000,MATCH($F168,임대자산!$I$3:$I$3000,0),MATCH(I$4,임대자산!$D$3:$R$3,0)),
IF($D168="폐업",INDEX(폐업정보!$D$3:$R$3000,MATCH($F168,폐업정보!$I$3:$I$3000,0),MATCH(I$4,폐업정보!$D$3:$R$3,0)),
"Error"))</f>
        <v>A0163</v>
      </c>
      <c r="J168" s="75" t="str">
        <f aca="false">
IF($D168="정상",INDEX(임대자산!$D$3:$R$3000,MATCH($F168,임대자산!$I$3:$I$3000,0),MATCH(J$4,임대자산!$D$3:$R$3,0)),
IF($D168="폐업",INDEX(폐업정보!$D$3:$R$3000,MATCH($F168,폐업정보!$I$3:$I$3000,0),MATCH(J$4,폐업정보!$D$3:$R$3,0)),
"Error"))</f>
        <v>9790400000</v>
      </c>
      <c r="K168" s="75" t="str">
        <f aca="false">
IF($D168="정상",INDEX(임대자산!$D$3:$R$3000,MATCH($F168,임대자산!$I$3:$I$3000,0),MATCH(K$4,임대자산!$D$3:$R$3,0)),
IF($D168="폐업",INDEX(폐업정보!$D$3:$R$3000,MATCH($F168,폐업정보!$I$3:$I$3000,0),MATCH(K$4,폐업정보!$D$3:$R$3,0)),
"Error"))</f>
        <v>C0163</v>
      </c>
      <c r="L168" s="75" t="str">
        <f aca="false">
IF($D168="정상",INDEX(임대자산!$D$3:$R$3000,MATCH($F168,임대자산!$I$3:$I$3000,0),MATCH(L$4,임대자산!$D$3:$R$3,0)),
IF($D168="폐업",INDEX(폐업정보!$D$3:$R$3000,MATCH($F168,폐업정보!$I$3:$I$3000,0),MATCH(L$4,폐업정보!$D$3:$R$3,0)),
"Error"))</f>
        <v>D0163</v>
      </c>
      <c r="M168" s="76" t="s">
        <v>96</v>
      </c>
      <c r="N168" s="77"/>
      <c r="O168" s="78" t="s">
        <v>97</v>
      </c>
      <c r="P168" s="79" t="n">
        <f aca="false">COUNTIFS(임대자산!$I:$I,가맹점정보!F168,임대자산!$N:$N,가맹점정보!P$4)</f>
        <v>0</v>
      </c>
      <c r="Q168" s="80" t="n">
        <f aca="false">COUNTIFS(임대자산!$I:$I,가맹점정보!F168,임대자산!$N:$N,가맹점정보!Q$4)</f>
        <v>0</v>
      </c>
      <c r="R168" s="81" t="n">
        <f aca="false">COUNTIFS(임대자산!$I:$I,가맹점정보!F168,임대자산!$N:$N,가맹점정보!R$4)</f>
        <v>1</v>
      </c>
      <c r="S168" s="82" t="n">
        <v>88000</v>
      </c>
      <c r="T168" s="83" t="n">
        <v>0</v>
      </c>
      <c r="U168" s="80" t="n">
        <f aca="false">SUM(S168:T168)</f>
        <v>88000</v>
      </c>
      <c r="V168" s="84" t="s">
        <v>7</v>
      </c>
      <c r="W168" s="80" t="str">
        <f aca="true">
IF(D168="폐업","폐업",
IF(V168="면제","면제",
IF(AND(V168="정상",COUNTIFS(OFFSET(Y168,0,COUNTA(Y168:AV168)-1,1,-4),"미납")&gt;=3),"장기미납",
IF(AND(V168="정상",OFFSET(Y168,0,COUNTA(Y168:AV168)-1)&gt;=U168),"정상",
IF(AND(V168="정상",OFFSET(Y168,0,COUNTA(Y168:AV168)-1)=0),"정상",
"계약서 미작성")))))</f>
        <v>면제</v>
      </c>
      <c r="X168" s="81" t="str">
        <f aca="true">
IF(D168="폐업","폐업",
IF(AND(V168="정상",OFFSET(Y168,0,COUNTA(Y168:AV168)-1)="미납"),"미납",
IF(AND(V168="정상",OFFSET(Y168,0,COUNTA(Y168:AV168)-1)=0),"납부 시작 전",
IF(AND(V168="정상",OFFSET(Y168,0,COUNTA(Y168:AV168)-1)&gt;=U168),"정상",
IF(AND(V168="면제",OFFSET(Y168,0,COUNTA(Y168:AV168)-1)="면제"),"면제",
IF(AND(V168="면제",OFFSET(Y168,0,COUNTA(Y168:AV168)-1)=0),"면제",
"확인요청"))))))</f>
        <v>면제</v>
      </c>
      <c r="Y168" s="94" t="s">
        <v>7</v>
      </c>
      <c r="Z168" s="95" t="s">
        <v>7</v>
      </c>
      <c r="AA168" s="95" t="s">
        <v>7</v>
      </c>
      <c r="AB168" s="95" t="s">
        <v>7</v>
      </c>
      <c r="AC168" s="95" t="s">
        <v>7</v>
      </c>
      <c r="AD168" s="95" t="s">
        <v>7</v>
      </c>
      <c r="AE168" s="95" t="s">
        <v>7</v>
      </c>
      <c r="AF168" s="95" t="s">
        <v>7</v>
      </c>
      <c r="AG168" s="95" t="s">
        <v>7</v>
      </c>
      <c r="AH168" s="95" t="s">
        <v>7</v>
      </c>
      <c r="AI168" s="95" t="s">
        <v>7</v>
      </c>
      <c r="AJ168" s="96" t="s">
        <v>7</v>
      </c>
      <c r="AK168" s="97" t="s">
        <v>7</v>
      </c>
      <c r="AL168" s="95" t="s">
        <v>7</v>
      </c>
      <c r="AM168" s="90"/>
      <c r="AN168" s="90"/>
      <c r="AO168" s="90"/>
      <c r="AP168" s="90"/>
      <c r="AQ168" s="90"/>
      <c r="AR168" s="90"/>
      <c r="AS168" s="90"/>
      <c r="AT168" s="90"/>
      <c r="AU168" s="90"/>
      <c r="AV168" s="91"/>
      <c r="AX168" s="92"/>
    </row>
    <row r="169" customFormat="false" ht="15.65" hidden="false" customHeight="false" outlineLevel="0" collapsed="false">
      <c r="C169" s="72" t="n">
        <f aca="false">COUNTIFS($D$6:D169,"&lt;&gt;"&amp;"")</f>
        <v>164</v>
      </c>
      <c r="D169" s="73" t="s">
        <v>12</v>
      </c>
      <c r="E169" s="76" t="str">
        <f aca="false">
IF($D169="정상",INDEX(임대자산!$D$3:$R$3000,MATCH($F169,임대자산!$I$3:$I$3000,0),MATCH(E$3,임대자산!$D$3:$R$3,0)),
IF($D169="폐업",INDEX(폐업정보!$D$3:$R$3000,MATCH($F169,폐업정보!$I$3:$I$3000,0),MATCH(E$3,폐업정보!$D$3:$R$3,0)),
"Error"))</f>
        <v>경상</v>
      </c>
      <c r="F16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B0164</v>
      </c>
      <c r="G169" s="76" t="str">
        <f aca="false">F169&amp;RANDBETWEEN(0,10)</f>
        <v>B01648</v>
      </c>
      <c r="H169" s="75" t="n">
        <f aca="false">
IF($D169="정상",INDEX(임대자산!$D$3:$R$3000,MATCH($F169,임대자산!$I$3:$I$3000,0),MATCH(H$4,임대자산!$D$3:$R$3,0)),
IF($D169="폐업",INDEX(폐업정보!$D$3:$R$3000,MATCH($F169,폐업정보!$I$3:$I$3000,0),MATCH(H$4,폐업정보!$D$3:$R$3,0)),
"Error"))</f>
        <v>44763</v>
      </c>
      <c r="I169" s="75" t="str">
        <f aca="false">
IF($D169="정상",INDEX(임대자산!$D$3:$R$3000,MATCH($F169,임대자산!$I$3:$I$3000,0),MATCH(I$4,임대자산!$D$3:$R$3,0)),
IF($D169="폐업",INDEX(폐업정보!$D$3:$R$3000,MATCH($F169,폐업정보!$I$3:$I$3000,0),MATCH(I$4,폐업정보!$D$3:$R$3,0)),
"Error"))</f>
        <v>A0164</v>
      </c>
      <c r="J169" s="75" t="str">
        <f aca="false">
IF($D169="정상",INDEX(임대자산!$D$3:$R$3000,MATCH($F169,임대자산!$I$3:$I$3000,0),MATCH(J$4,임대자산!$D$3:$R$3,0)),
IF($D169="폐업",INDEX(폐업정보!$D$3:$R$3000,MATCH($F169,폐업정보!$I$3:$I$3000,0),MATCH(J$4,폐업정보!$D$3:$R$3,0)),
"Error"))</f>
        <v>4147300000</v>
      </c>
      <c r="K169" s="75" t="str">
        <f aca="false">
IF($D169="정상",INDEX(임대자산!$D$3:$R$3000,MATCH($F169,임대자산!$I$3:$I$3000,0),MATCH(K$4,임대자산!$D$3:$R$3,0)),
IF($D169="폐업",INDEX(폐업정보!$D$3:$R$3000,MATCH($F169,폐업정보!$I$3:$I$3000,0),MATCH(K$4,폐업정보!$D$3:$R$3,0)),
"Error"))</f>
        <v>C0164</v>
      </c>
      <c r="L169" s="75" t="str">
        <f aca="false">
IF($D169="정상",INDEX(임대자산!$D$3:$R$3000,MATCH($F169,임대자산!$I$3:$I$3000,0),MATCH(L$4,임대자산!$D$3:$R$3,0)),
IF($D169="폐업",INDEX(폐업정보!$D$3:$R$3000,MATCH($F169,폐업정보!$I$3:$I$3000,0),MATCH(L$4,폐업정보!$D$3:$R$3,0)),
"Error"))</f>
        <v>D0164</v>
      </c>
      <c r="M169" s="76" t="s">
        <v>96</v>
      </c>
      <c r="N169" s="77"/>
      <c r="O169" s="78" t="s">
        <v>97</v>
      </c>
      <c r="P169" s="79" t="n">
        <f aca="false">COUNTIFS(임대자산!$I:$I,가맹점정보!F169,임대자산!$N:$N,가맹점정보!P$4)</f>
        <v>0</v>
      </c>
      <c r="Q169" s="80" t="n">
        <f aca="false">COUNTIFS(임대자산!$I:$I,가맹점정보!F169,임대자산!$N:$N,가맹점정보!Q$4)</f>
        <v>0</v>
      </c>
      <c r="R169" s="81" t="n">
        <f aca="false">COUNTIFS(임대자산!$I:$I,가맹점정보!F169,임대자산!$N:$N,가맹점정보!R$4)</f>
        <v>1</v>
      </c>
      <c r="S169" s="82" t="n">
        <v>88000</v>
      </c>
      <c r="T169" s="83" t="n">
        <v>0</v>
      </c>
      <c r="U169" s="80" t="n">
        <f aca="false">SUM(S169:T169)</f>
        <v>88000</v>
      </c>
      <c r="V169" s="84" t="s">
        <v>7</v>
      </c>
      <c r="W169" s="80" t="str">
        <f aca="true">
IF(D169="폐업","폐업",
IF(V169="면제","면제",
IF(AND(V169="정상",COUNTIFS(OFFSET(Y169,0,COUNTA(Y169:AV169)-1,1,-4),"미납")&gt;=3),"장기미납",
IF(AND(V169="정상",OFFSET(Y169,0,COUNTA(Y169:AV169)-1)&gt;=U169),"정상",
IF(AND(V169="정상",OFFSET(Y169,0,COUNTA(Y169:AV169)-1)=0),"정상",
"계약서 미작성")))))</f>
        <v>면제</v>
      </c>
      <c r="X169" s="81" t="str">
        <f aca="true">
IF(D169="폐업","폐업",
IF(AND(V169="정상",OFFSET(Y169,0,COUNTA(Y169:AV169)-1)="미납"),"미납",
IF(AND(V169="정상",OFFSET(Y169,0,COUNTA(Y169:AV169)-1)=0),"납부 시작 전",
IF(AND(V169="정상",OFFSET(Y169,0,COUNTA(Y169:AV169)-1)&gt;=U169),"정상",
IF(AND(V169="면제",OFFSET(Y169,0,COUNTA(Y169:AV169)-1)="면제"),"면제",
IF(AND(V169="면제",OFFSET(Y169,0,COUNTA(Y169:AV169)-1)=0),"면제",
"확인요청"))))))</f>
        <v>면제</v>
      </c>
      <c r="Y169" s="94" t="s">
        <v>7</v>
      </c>
      <c r="Z169" s="95" t="s">
        <v>7</v>
      </c>
      <c r="AA169" s="95" t="s">
        <v>7</v>
      </c>
      <c r="AB169" s="95" t="s">
        <v>7</v>
      </c>
      <c r="AC169" s="95" t="s">
        <v>7</v>
      </c>
      <c r="AD169" s="95" t="s">
        <v>7</v>
      </c>
      <c r="AE169" s="95" t="s">
        <v>7</v>
      </c>
      <c r="AF169" s="95" t="s">
        <v>7</v>
      </c>
      <c r="AG169" s="95" t="s">
        <v>7</v>
      </c>
      <c r="AH169" s="95" t="s">
        <v>7</v>
      </c>
      <c r="AI169" s="95" t="s">
        <v>7</v>
      </c>
      <c r="AJ169" s="96" t="s">
        <v>7</v>
      </c>
      <c r="AK169" s="97" t="s">
        <v>7</v>
      </c>
      <c r="AL169" s="95" t="s">
        <v>7</v>
      </c>
      <c r="AM169" s="90"/>
      <c r="AN169" s="90"/>
      <c r="AO169" s="90"/>
      <c r="AP169" s="90"/>
      <c r="AQ169" s="90"/>
      <c r="AR169" s="90"/>
      <c r="AS169" s="90"/>
      <c r="AT169" s="90"/>
      <c r="AU169" s="90"/>
      <c r="AV169" s="91"/>
      <c r="AX169" s="92"/>
    </row>
    <row r="170" customFormat="false" ht="15.65" hidden="false" customHeight="false" outlineLevel="0" collapsed="false">
      <c r="C170" s="72" t="n">
        <f aca="false">COUNTIFS($D$6:D170,"&lt;&gt;"&amp;"")</f>
        <v>165</v>
      </c>
      <c r="D170" s="73" t="s">
        <v>12</v>
      </c>
      <c r="E170" s="76" t="str">
        <f aca="false">
IF($D170="정상",INDEX(임대자산!$D$3:$R$3000,MATCH($F170,임대자산!$I$3:$I$3000,0),MATCH(E$3,임대자산!$D$3:$R$3,0)),
IF($D170="폐업",INDEX(폐업정보!$D$3:$R$3000,MATCH($F170,폐업정보!$I$3:$I$3000,0),MATCH(E$3,폐업정보!$D$3:$R$3,0)),
"Error"))</f>
        <v>경상</v>
      </c>
      <c r="F17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B0165</v>
      </c>
      <c r="G170" s="76" t="str">
        <f aca="false">F170&amp;RANDBETWEEN(0,10)</f>
        <v>B01656</v>
      </c>
      <c r="H170" s="75" t="n">
        <f aca="false">
IF($D170="정상",INDEX(임대자산!$D$3:$R$3000,MATCH($F170,임대자산!$I$3:$I$3000,0),MATCH(H$4,임대자산!$D$3:$R$3,0)),
IF($D170="폐업",INDEX(폐업정보!$D$3:$R$3000,MATCH($F170,폐업정보!$I$3:$I$3000,0),MATCH(H$4,폐업정보!$D$3:$R$3,0)),
"Error"))</f>
        <v>44756</v>
      </c>
      <c r="I170" s="75" t="str">
        <f aca="false">
IF($D170="정상",INDEX(임대자산!$D$3:$R$3000,MATCH($F170,임대자산!$I$3:$I$3000,0),MATCH(I$4,임대자산!$D$3:$R$3,0)),
IF($D170="폐업",INDEX(폐업정보!$D$3:$R$3000,MATCH($F170,폐업정보!$I$3:$I$3000,0),MATCH(I$4,폐업정보!$D$3:$R$3,0)),
"Error"))</f>
        <v>A0165</v>
      </c>
      <c r="J170" s="75" t="str">
        <f aca="false">
IF($D170="정상",INDEX(임대자산!$D$3:$R$3000,MATCH($F170,임대자산!$I$3:$I$3000,0),MATCH(J$4,임대자산!$D$3:$R$3,0)),
IF($D170="폐업",INDEX(폐업정보!$D$3:$R$3000,MATCH($F170,폐업정보!$I$3:$I$3000,0),MATCH(J$4,폐업정보!$D$3:$R$3,0)),
"Error"))</f>
        <v>5832600000</v>
      </c>
      <c r="K170" s="75" t="str">
        <f aca="false">
IF($D170="정상",INDEX(임대자산!$D$3:$R$3000,MATCH($F170,임대자산!$I$3:$I$3000,0),MATCH(K$4,임대자산!$D$3:$R$3,0)),
IF($D170="폐업",INDEX(폐업정보!$D$3:$R$3000,MATCH($F170,폐업정보!$I$3:$I$3000,0),MATCH(K$4,폐업정보!$D$3:$R$3,0)),
"Error"))</f>
        <v>C0165</v>
      </c>
      <c r="L170" s="75" t="str">
        <f aca="false">
IF($D170="정상",INDEX(임대자산!$D$3:$R$3000,MATCH($F170,임대자산!$I$3:$I$3000,0),MATCH(L$4,임대자산!$D$3:$R$3,0)),
IF($D170="폐업",INDEX(폐업정보!$D$3:$R$3000,MATCH($F170,폐업정보!$I$3:$I$3000,0),MATCH(L$4,폐업정보!$D$3:$R$3,0)),
"Error"))</f>
        <v>D0165</v>
      </c>
      <c r="M170" s="76" t="s">
        <v>96</v>
      </c>
      <c r="N170" s="77"/>
      <c r="O170" s="78" t="s">
        <v>97</v>
      </c>
      <c r="P170" s="79" t="n">
        <f aca="false">COUNTIFS(임대자산!$I:$I,가맹점정보!F170,임대자산!$N:$N,가맹점정보!P$4)</f>
        <v>0</v>
      </c>
      <c r="Q170" s="80" t="n">
        <f aca="false">COUNTIFS(임대자산!$I:$I,가맹점정보!F170,임대자산!$N:$N,가맹점정보!Q$4)</f>
        <v>0</v>
      </c>
      <c r="R170" s="81" t="n">
        <f aca="false">COUNTIFS(임대자산!$I:$I,가맹점정보!F170,임대자산!$N:$N,가맹점정보!R$4)</f>
        <v>1</v>
      </c>
      <c r="S170" s="82" t="n">
        <v>55000</v>
      </c>
      <c r="T170" s="83" t="n">
        <v>0</v>
      </c>
      <c r="U170" s="80" t="n">
        <f aca="false">SUM(S170:T170)</f>
        <v>55000</v>
      </c>
      <c r="V170" s="84" t="s">
        <v>12</v>
      </c>
      <c r="W170" s="80" t="e">
        <f aca="true">
IF(D170="폐업","폐업",
IF(V170="면제","면제",
IF(AND(V170="정상",COUNTIFS(OFFSET(Y170,0,COUNTA(Y170:AV170)-1,1,-4),"미납")&gt;=3),"장기미납",
IF(AND(V170="정상",OFFSET(Y170,0,COUNTA(Y170:AV170)-1)&gt;=U170),"정상",
IF(AND(V170="정상",OFFSET(Y170,0,COUNTA(Y170:AV170)-1)=0),"정상",
"계약서 미작성")))))</f>
        <v>#VALUE!</v>
      </c>
      <c r="X170" s="81" t="str">
        <f aca="true">
IF(D170="폐업","폐업",
IF(AND(V170="정상",OFFSET(Y170,0,COUNTA(Y170:AV170)-1)="미납"),"미납",
IF(AND(V170="정상",OFFSET(Y170,0,COUNTA(Y170:AV170)-1)=0),"납부 시작 전",
IF(AND(V170="정상",OFFSET(Y170,0,COUNTA(Y170:AV170)-1)&gt;=U170),"정상",
IF(AND(V170="면제",OFFSET(Y170,0,COUNTA(Y170:AV170)-1)="면제"),"면제",
IF(AND(V170="면제",OFFSET(Y170,0,COUNTA(Y170:AV170)-1)=0),"면제",
"확인요청"))))))</f>
        <v>정상</v>
      </c>
      <c r="Y170" s="93" t="n">
        <v>55000</v>
      </c>
      <c r="Z170" s="90" t="n">
        <v>55000</v>
      </c>
      <c r="AA170" s="90" t="n">
        <v>55000</v>
      </c>
      <c r="AB170" s="90" t="n">
        <v>55000</v>
      </c>
      <c r="AC170" s="90" t="n">
        <v>55000</v>
      </c>
      <c r="AD170" s="90" t="n">
        <v>55000</v>
      </c>
      <c r="AE170" s="90" t="n">
        <v>55000</v>
      </c>
      <c r="AF170" s="90" t="n">
        <v>55000</v>
      </c>
      <c r="AG170" s="90" t="n">
        <v>55000</v>
      </c>
      <c r="AH170" s="90" t="n">
        <v>55000</v>
      </c>
      <c r="AI170" s="90" t="n">
        <v>55000</v>
      </c>
      <c r="AJ170" s="91" t="n">
        <v>55000</v>
      </c>
      <c r="AK170" s="89" t="n">
        <v>55000</v>
      </c>
      <c r="AL170" s="90" t="n">
        <v>55000</v>
      </c>
      <c r="AM170" s="90"/>
      <c r="AN170" s="90"/>
      <c r="AO170" s="90"/>
      <c r="AP170" s="90"/>
      <c r="AQ170" s="90"/>
      <c r="AR170" s="90"/>
      <c r="AS170" s="90"/>
      <c r="AT170" s="90"/>
      <c r="AU170" s="90"/>
      <c r="AV170" s="91"/>
      <c r="AX170" s="92"/>
    </row>
    <row r="171" customFormat="false" ht="15.65" hidden="false" customHeight="false" outlineLevel="0" collapsed="false">
      <c r="C171" s="72" t="n">
        <f aca="false">COUNTIFS($D$6:D171,"&lt;&gt;"&amp;"")</f>
        <v>166</v>
      </c>
      <c r="D171" s="73" t="s">
        <v>12</v>
      </c>
      <c r="E171" s="76" t="str">
        <f aca="false">
IF($D171="정상",INDEX(임대자산!$D$3:$R$3000,MATCH($F171,임대자산!$I$3:$I$3000,0),MATCH(E$3,임대자산!$D$3:$R$3,0)),
IF($D171="폐업",INDEX(폐업정보!$D$3:$R$3000,MATCH($F171,폐업정보!$I$3:$I$3000,0),MATCH(E$3,폐업정보!$D$3:$R$3,0)),
"Error"))</f>
        <v>경상</v>
      </c>
      <c r="F17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B0166</v>
      </c>
      <c r="G171" s="76" t="str">
        <f aca="false">F171&amp;RANDBETWEEN(0,10)</f>
        <v>B01667</v>
      </c>
      <c r="H171" s="75" t="n">
        <f aca="false">
IF($D171="정상",INDEX(임대자산!$D$3:$R$3000,MATCH($F171,임대자산!$I$3:$I$3000,0),MATCH(H$4,임대자산!$D$3:$R$3,0)),
IF($D171="폐업",INDEX(폐업정보!$D$3:$R$3000,MATCH($F171,폐업정보!$I$3:$I$3000,0),MATCH(H$4,폐업정보!$D$3:$R$3,0)),
"Error"))</f>
        <v>44762</v>
      </c>
      <c r="I171" s="75" t="str">
        <f aca="false">
IF($D171="정상",INDEX(임대자산!$D$3:$R$3000,MATCH($F171,임대자산!$I$3:$I$3000,0),MATCH(I$4,임대자산!$D$3:$R$3,0)),
IF($D171="폐업",INDEX(폐업정보!$D$3:$R$3000,MATCH($F171,폐업정보!$I$3:$I$3000,0),MATCH(I$4,폐업정보!$D$3:$R$3,0)),
"Error"))</f>
        <v>A0166</v>
      </c>
      <c r="J171" s="75" t="str">
        <f aca="false">
IF($D171="정상",INDEX(임대자산!$D$3:$R$3000,MATCH($F171,임대자산!$I$3:$I$3000,0),MATCH(J$4,임대자산!$D$3:$R$3,0)),
IF($D171="폐업",INDEX(폐업정보!$D$3:$R$3000,MATCH($F171,폐업정보!$I$3:$I$3000,0),MATCH(J$4,폐업정보!$D$3:$R$3,0)),
"Error"))</f>
        <v>8752300000</v>
      </c>
      <c r="K171" s="75" t="str">
        <f aca="false">
IF($D171="정상",INDEX(임대자산!$D$3:$R$3000,MATCH($F171,임대자산!$I$3:$I$3000,0),MATCH(K$4,임대자산!$D$3:$R$3,0)),
IF($D171="폐업",INDEX(폐업정보!$D$3:$R$3000,MATCH($F171,폐업정보!$I$3:$I$3000,0),MATCH(K$4,폐업정보!$D$3:$R$3,0)),
"Error"))</f>
        <v>C0166</v>
      </c>
      <c r="L171" s="75" t="str">
        <f aca="false">
IF($D171="정상",INDEX(임대자산!$D$3:$R$3000,MATCH($F171,임대자산!$I$3:$I$3000,0),MATCH(L$4,임대자산!$D$3:$R$3,0)),
IF($D171="폐업",INDEX(폐업정보!$D$3:$R$3000,MATCH($F171,폐업정보!$I$3:$I$3000,0),MATCH(L$4,폐업정보!$D$3:$R$3,0)),
"Error"))</f>
        <v>D0166</v>
      </c>
      <c r="M171" s="76" t="s">
        <v>96</v>
      </c>
      <c r="N171" s="77"/>
      <c r="O171" s="78" t="s">
        <v>97</v>
      </c>
      <c r="P171" s="79" t="n">
        <f aca="false">COUNTIFS(임대자산!$I:$I,가맹점정보!F171,임대자산!$N:$N,가맹점정보!P$4)</f>
        <v>0</v>
      </c>
      <c r="Q171" s="80" t="n">
        <f aca="false">COUNTIFS(임대자산!$I:$I,가맹점정보!F171,임대자산!$N:$N,가맹점정보!Q$4)</f>
        <v>0</v>
      </c>
      <c r="R171" s="81" t="n">
        <f aca="false">COUNTIFS(임대자산!$I:$I,가맹점정보!F171,임대자산!$N:$N,가맹점정보!R$4)</f>
        <v>1</v>
      </c>
      <c r="S171" s="82" t="n">
        <v>55000</v>
      </c>
      <c r="T171" s="83" t="n">
        <v>0</v>
      </c>
      <c r="U171" s="80" t="n">
        <f aca="false">SUM(S171:T171)</f>
        <v>55000</v>
      </c>
      <c r="V171" s="84" t="s">
        <v>12</v>
      </c>
      <c r="W171" s="80" t="e">
        <f aca="true">
IF(D171="폐업","폐업",
IF(V171="면제","면제",
IF(AND(V171="정상",COUNTIFS(OFFSET(Y171,0,COUNTA(Y171:AV171)-1,1,-4),"미납")&gt;=3),"장기미납",
IF(AND(V171="정상",OFFSET(Y171,0,COUNTA(Y171:AV171)-1)&gt;=U171),"정상",
IF(AND(V171="정상",OFFSET(Y171,0,COUNTA(Y171:AV171)-1)=0),"정상",
"계약서 미작성")))))</f>
        <v>#VALUE!</v>
      </c>
      <c r="X171" s="81" t="str">
        <f aca="true">
IF(D171="폐업","폐업",
IF(AND(V171="정상",OFFSET(Y171,0,COUNTA(Y171:AV171)-1)="미납"),"미납",
IF(AND(V171="정상",OFFSET(Y171,0,COUNTA(Y171:AV171)-1)=0),"납부 시작 전",
IF(AND(V171="정상",OFFSET(Y171,0,COUNTA(Y171:AV171)-1)&gt;=U171),"정상",
IF(AND(V171="면제",OFFSET(Y171,0,COUNTA(Y171:AV171)-1)="면제"),"면제",
IF(AND(V171="면제",OFFSET(Y171,0,COUNTA(Y171:AV171)-1)=0),"면제",
"확인요청"))))))</f>
        <v>정상</v>
      </c>
      <c r="Y171" s="93" t="n">
        <v>55000</v>
      </c>
      <c r="Z171" s="90" t="n">
        <v>55000</v>
      </c>
      <c r="AA171" s="90" t="n">
        <v>55000</v>
      </c>
      <c r="AB171" s="90" t="n">
        <v>55000</v>
      </c>
      <c r="AC171" s="90" t="n">
        <v>55000</v>
      </c>
      <c r="AD171" s="90" t="n">
        <v>55000</v>
      </c>
      <c r="AE171" s="90" t="n">
        <v>55000</v>
      </c>
      <c r="AF171" s="90" t="n">
        <v>55000</v>
      </c>
      <c r="AG171" s="90" t="n">
        <v>55000</v>
      </c>
      <c r="AH171" s="90" t="n">
        <v>55000</v>
      </c>
      <c r="AI171" s="90" t="n">
        <v>55000</v>
      </c>
      <c r="AJ171" s="91" t="n">
        <v>55000</v>
      </c>
      <c r="AK171" s="89" t="n">
        <v>55000</v>
      </c>
      <c r="AL171" s="90" t="n">
        <v>55000</v>
      </c>
      <c r="AM171" s="90"/>
      <c r="AN171" s="90"/>
      <c r="AO171" s="90"/>
      <c r="AP171" s="90"/>
      <c r="AQ171" s="90"/>
      <c r="AR171" s="90"/>
      <c r="AS171" s="90"/>
      <c r="AT171" s="90"/>
      <c r="AU171" s="90"/>
      <c r="AV171" s="91"/>
      <c r="AX171" s="92"/>
    </row>
    <row r="172" customFormat="false" ht="15.65" hidden="false" customHeight="false" outlineLevel="0" collapsed="false">
      <c r="C172" s="72" t="n">
        <f aca="false">COUNTIFS($D$6:D172,"&lt;&gt;"&amp;"")</f>
        <v>167</v>
      </c>
      <c r="D172" s="73" t="s">
        <v>12</v>
      </c>
      <c r="E172" s="76" t="str">
        <f aca="false">
IF($D172="정상",INDEX(임대자산!$D$3:$R$3000,MATCH($F172,임대자산!$I$3:$I$3000,0),MATCH(E$3,임대자산!$D$3:$R$3,0)),
IF($D172="폐업",INDEX(폐업정보!$D$3:$R$3000,MATCH($F172,폐업정보!$I$3:$I$3000,0),MATCH(E$3,폐업정보!$D$3:$R$3,0)),
"Error"))</f>
        <v>경상</v>
      </c>
      <c r="F17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B0167</v>
      </c>
      <c r="G172" s="76" t="str">
        <f aca="false">F172&amp;RANDBETWEEN(0,10)</f>
        <v>B01670</v>
      </c>
      <c r="H172" s="75" t="n">
        <f aca="false">
IF($D172="정상",INDEX(임대자산!$D$3:$R$3000,MATCH($F172,임대자산!$I$3:$I$3000,0),MATCH(H$4,임대자산!$D$3:$R$3,0)),
IF($D172="폐업",INDEX(폐업정보!$D$3:$R$3000,MATCH($F172,폐업정보!$I$3:$I$3000,0),MATCH(H$4,폐업정보!$D$3:$R$3,0)),
"Error"))</f>
        <v>44762</v>
      </c>
      <c r="I172" s="75" t="str">
        <f aca="false">
IF($D172="정상",INDEX(임대자산!$D$3:$R$3000,MATCH($F172,임대자산!$I$3:$I$3000,0),MATCH(I$4,임대자산!$D$3:$R$3,0)),
IF($D172="폐업",INDEX(폐업정보!$D$3:$R$3000,MATCH($F172,폐업정보!$I$3:$I$3000,0),MATCH(I$4,폐업정보!$D$3:$R$3,0)),
"Error"))</f>
        <v>A0167</v>
      </c>
      <c r="J172" s="75" t="str">
        <f aca="false">
IF($D172="정상",INDEX(임대자산!$D$3:$R$3000,MATCH($F172,임대자산!$I$3:$I$3000,0),MATCH(J$4,임대자산!$D$3:$R$3,0)),
IF($D172="폐업",INDEX(폐업정보!$D$3:$R$3000,MATCH($F172,폐업정보!$I$3:$I$3000,0),MATCH(J$4,폐업정보!$D$3:$R$3,0)),
"Error"))</f>
        <v>6970800000</v>
      </c>
      <c r="K172" s="75" t="str">
        <f aca="false">
IF($D172="정상",INDEX(임대자산!$D$3:$R$3000,MATCH($F172,임대자산!$I$3:$I$3000,0),MATCH(K$4,임대자산!$D$3:$R$3,0)),
IF($D172="폐업",INDEX(폐업정보!$D$3:$R$3000,MATCH($F172,폐업정보!$I$3:$I$3000,0),MATCH(K$4,폐업정보!$D$3:$R$3,0)),
"Error"))</f>
        <v>C0167</v>
      </c>
      <c r="L172" s="75" t="str">
        <f aca="false">
IF($D172="정상",INDEX(임대자산!$D$3:$R$3000,MATCH($F172,임대자산!$I$3:$I$3000,0),MATCH(L$4,임대자산!$D$3:$R$3,0)),
IF($D172="폐업",INDEX(폐업정보!$D$3:$R$3000,MATCH($F172,폐업정보!$I$3:$I$3000,0),MATCH(L$4,폐업정보!$D$3:$R$3,0)),
"Error"))</f>
        <v>D0167</v>
      </c>
      <c r="M172" s="76" t="s">
        <v>96</v>
      </c>
      <c r="N172" s="77"/>
      <c r="O172" s="78" t="s">
        <v>97</v>
      </c>
      <c r="P172" s="79" t="n">
        <f aca="false">COUNTIFS(임대자산!$I:$I,가맹점정보!F172,임대자산!$N:$N,가맹점정보!P$4)</f>
        <v>0</v>
      </c>
      <c r="Q172" s="80" t="n">
        <f aca="false">COUNTIFS(임대자산!$I:$I,가맹점정보!F172,임대자산!$N:$N,가맹점정보!Q$4)</f>
        <v>0</v>
      </c>
      <c r="R172" s="81" t="n">
        <f aca="false">COUNTIFS(임대자산!$I:$I,가맹점정보!F172,임대자산!$N:$N,가맹점정보!R$4)</f>
        <v>1</v>
      </c>
      <c r="S172" s="82" t="n">
        <v>55000</v>
      </c>
      <c r="T172" s="83" t="n">
        <v>0</v>
      </c>
      <c r="U172" s="80" t="n">
        <f aca="false">SUM(S172:T172)</f>
        <v>55000</v>
      </c>
      <c r="V172" s="84" t="s">
        <v>12</v>
      </c>
      <c r="W172" s="80" t="e">
        <f aca="true">
IF(D172="폐업","폐업",
IF(V172="면제","면제",
IF(AND(V172="정상",COUNTIFS(OFFSET(Y172,0,COUNTA(Y172:AV172)-1,1,-4),"미납")&gt;=3),"장기미납",
IF(AND(V172="정상",OFFSET(Y172,0,COUNTA(Y172:AV172)-1)&gt;=U172),"정상",
IF(AND(V172="정상",OFFSET(Y172,0,COUNTA(Y172:AV172)-1)=0),"정상",
"계약서 미작성")))))</f>
        <v>#VALUE!</v>
      </c>
      <c r="X172" s="81" t="str">
        <f aca="true">
IF(D172="폐업","폐업",
IF(AND(V172="정상",OFFSET(Y172,0,COUNTA(Y172:AV172)-1)="미납"),"미납",
IF(AND(V172="정상",OFFSET(Y172,0,COUNTA(Y172:AV172)-1)=0),"납부 시작 전",
IF(AND(V172="정상",OFFSET(Y172,0,COUNTA(Y172:AV172)-1)&gt;=U172),"정상",
IF(AND(V172="면제",OFFSET(Y172,0,COUNTA(Y172:AV172)-1)="면제"),"면제",
IF(AND(V172="면제",OFFSET(Y172,0,COUNTA(Y172:AV172)-1)=0),"면제",
"확인요청"))))))</f>
        <v>정상</v>
      </c>
      <c r="Y172" s="93" t="n">
        <v>55000</v>
      </c>
      <c r="Z172" s="90" t="n">
        <v>55000</v>
      </c>
      <c r="AA172" s="90" t="n">
        <v>55000</v>
      </c>
      <c r="AB172" s="90" t="n">
        <v>55000</v>
      </c>
      <c r="AC172" s="90" t="n">
        <v>55000</v>
      </c>
      <c r="AD172" s="90" t="n">
        <v>55000</v>
      </c>
      <c r="AE172" s="90" t="n">
        <v>55000</v>
      </c>
      <c r="AF172" s="90" t="n">
        <v>55000</v>
      </c>
      <c r="AG172" s="90" t="n">
        <v>55000</v>
      </c>
      <c r="AH172" s="90" t="n">
        <v>55000</v>
      </c>
      <c r="AI172" s="90" t="n">
        <v>55000</v>
      </c>
      <c r="AJ172" s="91" t="n">
        <v>55000</v>
      </c>
      <c r="AK172" s="89" t="n">
        <v>55000</v>
      </c>
      <c r="AL172" s="90" t="n">
        <v>55000</v>
      </c>
      <c r="AM172" s="90"/>
      <c r="AN172" s="90"/>
      <c r="AO172" s="90"/>
      <c r="AP172" s="90"/>
      <c r="AQ172" s="90"/>
      <c r="AR172" s="90"/>
      <c r="AS172" s="90"/>
      <c r="AT172" s="90"/>
      <c r="AU172" s="90"/>
      <c r="AV172" s="91"/>
      <c r="AX172" s="92"/>
    </row>
    <row r="173" customFormat="false" ht="15.65" hidden="false" customHeight="false" outlineLevel="0" collapsed="false">
      <c r="C173" s="72" t="n">
        <f aca="false">COUNTIFS($D$6:D173,"&lt;&gt;"&amp;"")</f>
        <v>168</v>
      </c>
      <c r="D173" s="73" t="s">
        <v>12</v>
      </c>
      <c r="E173" s="76" t="str">
        <f aca="false">
IF($D173="정상",INDEX(임대자산!$D$3:$R$3000,MATCH($F173,임대자산!$I$3:$I$3000,0),MATCH(E$3,임대자산!$D$3:$R$3,0)),
IF($D173="폐업",INDEX(폐업정보!$D$3:$R$3000,MATCH($F173,폐업정보!$I$3:$I$3000,0),MATCH(E$3,폐업정보!$D$3:$R$3,0)),
"Error"))</f>
        <v>경상</v>
      </c>
      <c r="F17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B0168</v>
      </c>
      <c r="G173" s="76" t="str">
        <f aca="false">F173&amp;RANDBETWEEN(0,10)</f>
        <v>B01685</v>
      </c>
      <c r="H173" s="75" t="n">
        <f aca="false">
IF($D173="정상",INDEX(임대자산!$D$3:$R$3000,MATCH($F173,임대자산!$I$3:$I$3000,0),MATCH(H$4,임대자산!$D$3:$R$3,0)),
IF($D173="폐업",INDEX(폐업정보!$D$3:$R$3000,MATCH($F173,폐업정보!$I$3:$I$3000,0),MATCH(H$4,폐업정보!$D$3:$R$3,0)),
"Error"))</f>
        <v>45405</v>
      </c>
      <c r="I173" s="75" t="str">
        <f aca="false">
IF($D173="정상",INDEX(임대자산!$D$3:$R$3000,MATCH($F173,임대자산!$I$3:$I$3000,0),MATCH(I$4,임대자산!$D$3:$R$3,0)),
IF($D173="폐업",INDEX(폐업정보!$D$3:$R$3000,MATCH($F173,폐업정보!$I$3:$I$3000,0),MATCH(I$4,폐업정보!$D$3:$R$3,0)),
"Error"))</f>
        <v>A0168</v>
      </c>
      <c r="J173" s="75" t="str">
        <f aca="false">
IF($D173="정상",INDEX(임대자산!$D$3:$R$3000,MATCH($F173,임대자산!$I$3:$I$3000,0),MATCH(J$4,임대자산!$D$3:$R$3,0)),
IF($D173="폐업",INDEX(폐업정보!$D$3:$R$3000,MATCH($F173,폐업정보!$I$3:$I$3000,0),MATCH(J$4,폐업정보!$D$3:$R$3,0)),
"Error"))</f>
        <v>8482600000</v>
      </c>
      <c r="K173" s="75" t="str">
        <f aca="false">
IF($D173="정상",INDEX(임대자산!$D$3:$R$3000,MATCH($F173,임대자산!$I$3:$I$3000,0),MATCH(K$4,임대자산!$D$3:$R$3,0)),
IF($D173="폐업",INDEX(폐업정보!$D$3:$R$3000,MATCH($F173,폐업정보!$I$3:$I$3000,0),MATCH(K$4,폐업정보!$D$3:$R$3,0)),
"Error"))</f>
        <v>C0168</v>
      </c>
      <c r="L173" s="75" t="str">
        <f aca="false">
IF($D173="정상",INDEX(임대자산!$D$3:$R$3000,MATCH($F173,임대자산!$I$3:$I$3000,0),MATCH(L$4,임대자산!$D$3:$R$3,0)),
IF($D173="폐업",INDEX(폐업정보!$D$3:$R$3000,MATCH($F173,폐업정보!$I$3:$I$3000,0),MATCH(L$4,폐업정보!$D$3:$R$3,0)),
"Error"))</f>
        <v>D0168</v>
      </c>
      <c r="M173" s="76" t="s">
        <v>96</v>
      </c>
      <c r="N173" s="77"/>
      <c r="O173" s="78" t="s">
        <v>97</v>
      </c>
      <c r="P173" s="79" t="n">
        <f aca="false">COUNTIFS(임대자산!$I:$I,가맹점정보!F173,임대자산!$N:$N,가맹점정보!P$4)</f>
        <v>0</v>
      </c>
      <c r="Q173" s="80" t="n">
        <f aca="false">COUNTIFS(임대자산!$I:$I,가맹점정보!F173,임대자산!$N:$N,가맹점정보!Q$4)</f>
        <v>0</v>
      </c>
      <c r="R173" s="81" t="n">
        <f aca="false">COUNTIFS(임대자산!$I:$I,가맹점정보!F173,임대자산!$N:$N,가맹점정보!R$4)</f>
        <v>1</v>
      </c>
      <c r="S173" s="82" t="n">
        <v>55000</v>
      </c>
      <c r="T173" s="83" t="n">
        <v>0</v>
      </c>
      <c r="U173" s="80" t="n">
        <f aca="false">SUM(S173:T173)</f>
        <v>55000</v>
      </c>
      <c r="V173" s="84" t="s">
        <v>12</v>
      </c>
      <c r="W173" s="80" t="e">
        <f aca="true">
IF(D173="폐업","폐업",
IF(V173="면제","면제",
IF(AND(V173="정상",COUNTIFS(OFFSET(Y173,0,COUNTA(Y173:AV173)-1,1,-4),"미납")&gt;=3),"장기미납",
IF(AND(V173="정상",OFFSET(Y173,0,COUNTA(Y173:AV173)-1)&gt;=U173),"정상",
IF(AND(V173="정상",OFFSET(Y173,0,COUNTA(Y173:AV173)-1)=0),"정상",
"계약서 미작성")))))</f>
        <v>#VALUE!</v>
      </c>
      <c r="X173" s="81" t="str">
        <f aca="true">
IF(D173="폐업","폐업",
IF(AND(V173="정상",OFFSET(Y173,0,COUNTA(Y173:AV173)-1)="미납"),"미납",
IF(AND(V173="정상",OFFSET(Y173,0,COUNTA(Y173:AV173)-1)=0),"납부 시작 전",
IF(AND(V173="정상",OFFSET(Y173,0,COUNTA(Y173:AV173)-1)&gt;=U173),"정상",
IF(AND(V173="면제",OFFSET(Y173,0,COUNTA(Y173:AV173)-1)="면제"),"면제",
IF(AND(V173="면제",OFFSET(Y173,0,COUNTA(Y173:AV173)-1)=0),"면제",
"확인요청"))))))</f>
        <v>정상</v>
      </c>
      <c r="Y173" s="93" t="n">
        <v>55000</v>
      </c>
      <c r="Z173" s="90" t="n">
        <v>55000</v>
      </c>
      <c r="AA173" s="90" t="n">
        <v>55000</v>
      </c>
      <c r="AB173" s="90" t="n">
        <v>55000</v>
      </c>
      <c r="AC173" s="90" t="n">
        <v>55000</v>
      </c>
      <c r="AD173" s="90" t="n">
        <v>55000</v>
      </c>
      <c r="AE173" s="90" t="n">
        <v>55000</v>
      </c>
      <c r="AF173" s="90" t="n">
        <v>55000</v>
      </c>
      <c r="AG173" s="90" t="n">
        <v>55000</v>
      </c>
      <c r="AH173" s="90" t="n">
        <v>55000</v>
      </c>
      <c r="AI173" s="90" t="n">
        <v>55000</v>
      </c>
      <c r="AJ173" s="91" t="n">
        <v>55000</v>
      </c>
      <c r="AK173" s="89" t="n">
        <v>55000</v>
      </c>
      <c r="AL173" s="90" t="n">
        <v>55000</v>
      </c>
      <c r="AM173" s="90"/>
      <c r="AN173" s="90"/>
      <c r="AO173" s="90"/>
      <c r="AP173" s="90"/>
      <c r="AQ173" s="90"/>
      <c r="AR173" s="90"/>
      <c r="AS173" s="90"/>
      <c r="AT173" s="90"/>
      <c r="AU173" s="90"/>
      <c r="AV173" s="91"/>
      <c r="AX173" s="92"/>
    </row>
    <row r="174" customFormat="false" ht="15.65" hidden="false" customHeight="false" outlineLevel="0" collapsed="false">
      <c r="C174" s="72" t="n">
        <f aca="false">COUNTIFS($D$6:D174,"&lt;&gt;"&amp;"")</f>
        <v>169</v>
      </c>
      <c r="D174" s="73" t="s">
        <v>12</v>
      </c>
      <c r="E174" s="76" t="str">
        <f aca="false">
IF($D174="정상",INDEX(임대자산!$D$3:$R$3000,MATCH($F174,임대자산!$I$3:$I$3000,0),MATCH(E$3,임대자산!$D$3:$R$3,0)),
IF($D174="폐업",INDEX(폐업정보!$D$3:$R$3000,MATCH($F174,폐업정보!$I$3:$I$3000,0),MATCH(E$3,폐업정보!$D$3:$R$3,0)),
"Error"))</f>
        <v>전라</v>
      </c>
      <c r="F17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B0169</v>
      </c>
      <c r="G174" s="76" t="str">
        <f aca="false">F174&amp;RANDBETWEEN(0,10)</f>
        <v>B01698</v>
      </c>
      <c r="H174" s="75" t="n">
        <f aca="false">
IF($D174="정상",INDEX(임대자산!$D$3:$R$3000,MATCH($F174,임대자산!$I$3:$I$3000,0),MATCH(H$4,임대자산!$D$3:$R$3,0)),
IF($D174="폐업",INDEX(폐업정보!$D$3:$R$3000,MATCH($F174,폐업정보!$I$3:$I$3000,0),MATCH(H$4,폐업정보!$D$3:$R$3,0)),
"Error"))</f>
        <v>44753</v>
      </c>
      <c r="I174" s="75" t="str">
        <f aca="false">
IF($D174="정상",INDEX(임대자산!$D$3:$R$3000,MATCH($F174,임대자산!$I$3:$I$3000,0),MATCH(I$4,임대자산!$D$3:$R$3,0)),
IF($D174="폐업",INDEX(폐업정보!$D$3:$R$3000,MATCH($F174,폐업정보!$I$3:$I$3000,0),MATCH(I$4,폐업정보!$D$3:$R$3,0)),
"Error"))</f>
        <v>A0169</v>
      </c>
      <c r="J174" s="75" t="str">
        <f aca="false">
IF($D174="정상",INDEX(임대자산!$D$3:$R$3000,MATCH($F174,임대자산!$I$3:$I$3000,0),MATCH(J$4,임대자산!$D$3:$R$3,0)),
IF($D174="폐업",INDEX(폐업정보!$D$3:$R$3000,MATCH($F174,폐업정보!$I$3:$I$3000,0),MATCH(J$4,폐업정보!$D$3:$R$3,0)),
"Error"))</f>
        <v>7328600000</v>
      </c>
      <c r="K174" s="75" t="str">
        <f aca="false">
IF($D174="정상",INDEX(임대자산!$D$3:$R$3000,MATCH($F174,임대자산!$I$3:$I$3000,0),MATCH(K$4,임대자산!$D$3:$R$3,0)),
IF($D174="폐업",INDEX(폐업정보!$D$3:$R$3000,MATCH($F174,폐업정보!$I$3:$I$3000,0),MATCH(K$4,폐업정보!$D$3:$R$3,0)),
"Error"))</f>
        <v>C0169</v>
      </c>
      <c r="L174" s="75" t="str">
        <f aca="false">
IF($D174="정상",INDEX(임대자산!$D$3:$R$3000,MATCH($F174,임대자산!$I$3:$I$3000,0),MATCH(L$4,임대자산!$D$3:$R$3,0)),
IF($D174="폐업",INDEX(폐업정보!$D$3:$R$3000,MATCH($F174,폐업정보!$I$3:$I$3000,0),MATCH(L$4,폐업정보!$D$3:$R$3,0)),
"Error"))</f>
        <v>D0169</v>
      </c>
      <c r="M174" s="76" t="s">
        <v>96</v>
      </c>
      <c r="N174" s="77"/>
      <c r="O174" s="78" t="s">
        <v>97</v>
      </c>
      <c r="P174" s="79" t="n">
        <f aca="false">COUNTIFS(임대자산!$I:$I,가맹점정보!F174,임대자산!$N:$N,가맹점정보!P$4)</f>
        <v>0</v>
      </c>
      <c r="Q174" s="80" t="n">
        <f aca="false">COUNTIFS(임대자산!$I:$I,가맹점정보!F174,임대자산!$N:$N,가맹점정보!Q$4)</f>
        <v>0</v>
      </c>
      <c r="R174" s="81" t="n">
        <f aca="false">COUNTIFS(임대자산!$I:$I,가맹점정보!F174,임대자산!$N:$N,가맹점정보!R$4)</f>
        <v>1</v>
      </c>
      <c r="S174" s="82" t="n">
        <v>55000</v>
      </c>
      <c r="T174" s="83" t="n">
        <v>0</v>
      </c>
      <c r="U174" s="80" t="n">
        <f aca="false">SUM(S174:T174)</f>
        <v>55000</v>
      </c>
      <c r="V174" s="84" t="s">
        <v>12</v>
      </c>
      <c r="W174" s="80" t="e">
        <f aca="true">
IF(D174="폐업","폐업",
IF(V174="면제","면제",
IF(AND(V174="정상",COUNTIFS(OFFSET(Y174,0,COUNTA(Y174:AV174)-1,1,-4),"미납")&gt;=3),"장기미납",
IF(AND(V174="정상",OFFSET(Y174,0,COUNTA(Y174:AV174)-1)&gt;=U174),"정상",
IF(AND(V174="정상",OFFSET(Y174,0,COUNTA(Y174:AV174)-1)=0),"정상",
"계약서 미작성")))))</f>
        <v>#VALUE!</v>
      </c>
      <c r="X174" s="81" t="str">
        <f aca="true">
IF(D174="폐업","폐업",
IF(AND(V174="정상",OFFSET(Y174,0,COUNTA(Y174:AV174)-1)="미납"),"미납",
IF(AND(V174="정상",OFFSET(Y174,0,COUNTA(Y174:AV174)-1)=0),"납부 시작 전",
IF(AND(V174="정상",OFFSET(Y174,0,COUNTA(Y174:AV174)-1)&gt;=U174),"정상",
IF(AND(V174="면제",OFFSET(Y174,0,COUNTA(Y174:AV174)-1)="면제"),"면제",
IF(AND(V174="면제",OFFSET(Y174,0,COUNTA(Y174:AV174)-1)=0),"면제",
"확인요청"))))))</f>
        <v>정상</v>
      </c>
      <c r="Y174" s="93" t="n">
        <v>55000</v>
      </c>
      <c r="Z174" s="90" t="n">
        <v>55000</v>
      </c>
      <c r="AA174" s="90" t="n">
        <v>55000</v>
      </c>
      <c r="AB174" s="90" t="n">
        <v>55000</v>
      </c>
      <c r="AC174" s="90" t="n">
        <v>55000</v>
      </c>
      <c r="AD174" s="90" t="n">
        <v>55000</v>
      </c>
      <c r="AE174" s="90" t="n">
        <v>55000</v>
      </c>
      <c r="AF174" s="90" t="n">
        <v>55000</v>
      </c>
      <c r="AG174" s="90" t="n">
        <v>55000</v>
      </c>
      <c r="AH174" s="90" t="n">
        <v>55000</v>
      </c>
      <c r="AI174" s="90" t="n">
        <v>55000</v>
      </c>
      <c r="AJ174" s="91" t="n">
        <v>55000</v>
      </c>
      <c r="AK174" s="89" t="n">
        <v>55000</v>
      </c>
      <c r="AL174" s="90" t="n">
        <v>55000</v>
      </c>
      <c r="AM174" s="90"/>
      <c r="AN174" s="90"/>
      <c r="AO174" s="90"/>
      <c r="AP174" s="90"/>
      <c r="AQ174" s="90"/>
      <c r="AR174" s="90"/>
      <c r="AS174" s="90"/>
      <c r="AT174" s="90"/>
      <c r="AU174" s="90"/>
      <c r="AV174" s="91"/>
      <c r="AX174" s="92"/>
    </row>
    <row r="175" customFormat="false" ht="15.65" hidden="false" customHeight="false" outlineLevel="0" collapsed="false">
      <c r="C175" s="72" t="n">
        <f aca="false">COUNTIFS($D$6:D175,"&lt;&gt;"&amp;"")</f>
        <v>170</v>
      </c>
      <c r="D175" s="73" t="s">
        <v>12</v>
      </c>
      <c r="E175" s="76" t="str">
        <f aca="false">
IF($D175="정상",INDEX(임대자산!$D$3:$R$3000,MATCH($F175,임대자산!$I$3:$I$3000,0),MATCH(E$3,임대자산!$D$3:$R$3,0)),
IF($D175="폐업",INDEX(폐업정보!$D$3:$R$3000,MATCH($F175,폐업정보!$I$3:$I$3000,0),MATCH(E$3,폐업정보!$D$3:$R$3,0)),
"Error"))</f>
        <v>전라</v>
      </c>
      <c r="F17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B0170</v>
      </c>
      <c r="G175" s="76" t="str">
        <f aca="false">F175&amp;RANDBETWEEN(0,10)</f>
        <v>B017010</v>
      </c>
      <c r="H175" s="75" t="n">
        <f aca="false">
IF($D175="정상",INDEX(임대자산!$D$3:$R$3000,MATCH($F175,임대자산!$I$3:$I$3000,0),MATCH(H$4,임대자산!$D$3:$R$3,0)),
IF($D175="폐업",INDEX(폐업정보!$D$3:$R$3000,MATCH($F175,폐업정보!$I$3:$I$3000,0),MATCH(H$4,폐업정보!$D$3:$R$3,0)),
"Error"))</f>
        <v>45357</v>
      </c>
      <c r="I175" s="75" t="str">
        <f aca="false">
IF($D175="정상",INDEX(임대자산!$D$3:$R$3000,MATCH($F175,임대자산!$I$3:$I$3000,0),MATCH(I$4,임대자산!$D$3:$R$3,0)),
IF($D175="폐업",INDEX(폐업정보!$D$3:$R$3000,MATCH($F175,폐업정보!$I$3:$I$3000,0),MATCH(I$4,폐업정보!$D$3:$R$3,0)),
"Error"))</f>
        <v>A0170</v>
      </c>
      <c r="J175" s="75" t="str">
        <f aca="false">
IF($D175="정상",INDEX(임대자산!$D$3:$R$3000,MATCH($F175,임대자산!$I$3:$I$3000,0),MATCH(J$4,임대자산!$D$3:$R$3,0)),
IF($D175="폐업",INDEX(폐업정보!$D$3:$R$3000,MATCH($F175,폐업정보!$I$3:$I$3000,0),MATCH(J$4,폐업정보!$D$3:$R$3,0)),
"Error"))</f>
        <v>4366300000</v>
      </c>
      <c r="K175" s="75" t="str">
        <f aca="false">
IF($D175="정상",INDEX(임대자산!$D$3:$R$3000,MATCH($F175,임대자산!$I$3:$I$3000,0),MATCH(K$4,임대자산!$D$3:$R$3,0)),
IF($D175="폐업",INDEX(폐업정보!$D$3:$R$3000,MATCH($F175,폐업정보!$I$3:$I$3000,0),MATCH(K$4,폐업정보!$D$3:$R$3,0)),
"Error"))</f>
        <v>C0170</v>
      </c>
      <c r="L175" s="75" t="str">
        <f aca="false">
IF($D175="정상",INDEX(임대자산!$D$3:$R$3000,MATCH($F175,임대자산!$I$3:$I$3000,0),MATCH(L$4,임대자산!$D$3:$R$3,0)),
IF($D175="폐업",INDEX(폐업정보!$D$3:$R$3000,MATCH($F175,폐업정보!$I$3:$I$3000,0),MATCH(L$4,폐업정보!$D$3:$R$3,0)),
"Error"))</f>
        <v>D0170</v>
      </c>
      <c r="M175" s="76" t="s">
        <v>96</v>
      </c>
      <c r="N175" s="77"/>
      <c r="O175" s="78" t="s">
        <v>97</v>
      </c>
      <c r="P175" s="79" t="n">
        <f aca="false">COUNTIFS(임대자산!$I:$I,가맹점정보!F175,임대자산!$N:$N,가맹점정보!P$4)</f>
        <v>0</v>
      </c>
      <c r="Q175" s="80" t="n">
        <f aca="false">COUNTIFS(임대자산!$I:$I,가맹점정보!F175,임대자산!$N:$N,가맹점정보!Q$4)</f>
        <v>0</v>
      </c>
      <c r="R175" s="81" t="n">
        <f aca="false">COUNTIFS(임대자산!$I:$I,가맹점정보!F175,임대자산!$N:$N,가맹점정보!R$4)</f>
        <v>1</v>
      </c>
      <c r="S175" s="82" t="n">
        <v>55000</v>
      </c>
      <c r="T175" s="83" t="n">
        <v>0</v>
      </c>
      <c r="U175" s="80" t="n">
        <f aca="false">SUM(S175:T175)</f>
        <v>55000</v>
      </c>
      <c r="V175" s="84" t="s">
        <v>12</v>
      </c>
      <c r="W175" s="80" t="e">
        <f aca="true">
IF(D175="폐업","폐업",
IF(V175="면제","면제",
IF(AND(V175="정상",COUNTIFS(OFFSET(Y175,0,COUNTA(Y175:AV175)-1,1,-4),"미납")&gt;=3),"장기미납",
IF(AND(V175="정상",OFFSET(Y175,0,COUNTA(Y175:AV175)-1)&gt;=U175),"정상",
IF(AND(V175="정상",OFFSET(Y175,0,COUNTA(Y175:AV175)-1)=0),"정상",
"계약서 미작성")))))</f>
        <v>#VALUE!</v>
      </c>
      <c r="X175" s="81" t="str">
        <f aca="true">
IF(D175="폐업","폐업",
IF(AND(V175="정상",OFFSET(Y175,0,COUNTA(Y175:AV175)-1)="미납"),"미납",
IF(AND(V175="정상",OFFSET(Y175,0,COUNTA(Y175:AV175)-1)=0),"납부 시작 전",
IF(AND(V175="정상",OFFSET(Y175,0,COUNTA(Y175:AV175)-1)&gt;=U175),"정상",
IF(AND(V175="면제",OFFSET(Y175,0,COUNTA(Y175:AV175)-1)="면제"),"면제",
IF(AND(V175="면제",OFFSET(Y175,0,COUNTA(Y175:AV175)-1)=0),"면제",
"확인요청"))))))</f>
        <v>정상</v>
      </c>
      <c r="Y175" s="93" t="n">
        <v>55000</v>
      </c>
      <c r="Z175" s="90" t="n">
        <v>55000</v>
      </c>
      <c r="AA175" s="90" t="n">
        <v>55000</v>
      </c>
      <c r="AB175" s="90" t="n">
        <v>55000</v>
      </c>
      <c r="AC175" s="90" t="n">
        <v>55000</v>
      </c>
      <c r="AD175" s="90" t="n">
        <v>55000</v>
      </c>
      <c r="AE175" s="90" t="n">
        <v>55000</v>
      </c>
      <c r="AF175" s="90" t="n">
        <v>55000</v>
      </c>
      <c r="AG175" s="90" t="n">
        <v>55000</v>
      </c>
      <c r="AH175" s="90" t="n">
        <v>55000</v>
      </c>
      <c r="AI175" s="90" t="n">
        <v>55000</v>
      </c>
      <c r="AJ175" s="91" t="n">
        <v>55000</v>
      </c>
      <c r="AK175" s="89" t="n">
        <v>55000</v>
      </c>
      <c r="AL175" s="90" t="n">
        <v>55000</v>
      </c>
      <c r="AM175" s="90"/>
      <c r="AN175" s="90"/>
      <c r="AO175" s="90"/>
      <c r="AP175" s="90"/>
      <c r="AQ175" s="90"/>
      <c r="AR175" s="90"/>
      <c r="AS175" s="90"/>
      <c r="AT175" s="90"/>
      <c r="AU175" s="90"/>
      <c r="AV175" s="91"/>
      <c r="AX175" s="92"/>
    </row>
    <row r="176" customFormat="false" ht="15.65" hidden="false" customHeight="false" outlineLevel="0" collapsed="false">
      <c r="C176" s="72" t="n">
        <f aca="false">COUNTIFS($D$6:D176,"&lt;&gt;"&amp;"")</f>
        <v>171</v>
      </c>
      <c r="D176" s="73" t="s">
        <v>12</v>
      </c>
      <c r="E176" s="76" t="str">
        <f aca="false">
IF($D176="정상",INDEX(임대자산!$D$3:$R$3000,MATCH($F176,임대자산!$I$3:$I$3000,0),MATCH(E$3,임대자산!$D$3:$R$3,0)),
IF($D176="폐업",INDEX(폐업정보!$D$3:$R$3000,MATCH($F176,폐업정보!$I$3:$I$3000,0),MATCH(E$3,폐업정보!$D$3:$R$3,0)),
"Error"))</f>
        <v>서울</v>
      </c>
      <c r="F17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B0171</v>
      </c>
      <c r="G176" s="76" t="str">
        <f aca="false">F176&amp;RANDBETWEEN(0,10)</f>
        <v>B01716</v>
      </c>
      <c r="H176" s="75" t="n">
        <f aca="false">
IF($D176="정상",INDEX(임대자산!$D$3:$R$3000,MATCH($F176,임대자산!$I$3:$I$3000,0),MATCH(H$4,임대자산!$D$3:$R$3,0)),
IF($D176="폐업",INDEX(폐업정보!$D$3:$R$3000,MATCH($F176,폐업정보!$I$3:$I$3000,0),MATCH(H$4,폐업정보!$D$3:$R$3,0)),
"Error"))</f>
        <v>44754</v>
      </c>
      <c r="I176" s="75" t="str">
        <f aca="false">
IF($D176="정상",INDEX(임대자산!$D$3:$R$3000,MATCH($F176,임대자산!$I$3:$I$3000,0),MATCH(I$4,임대자산!$D$3:$R$3,0)),
IF($D176="폐업",INDEX(폐업정보!$D$3:$R$3000,MATCH($F176,폐업정보!$I$3:$I$3000,0),MATCH(I$4,폐업정보!$D$3:$R$3,0)),
"Error"))</f>
        <v>A0171</v>
      </c>
      <c r="J176" s="75" t="str">
        <f aca="false">
IF($D176="정상",INDEX(임대자산!$D$3:$R$3000,MATCH($F176,임대자산!$I$3:$I$3000,0),MATCH(J$4,임대자산!$D$3:$R$3,0)),
IF($D176="폐업",INDEX(폐업정보!$D$3:$R$3000,MATCH($F176,폐업정보!$I$3:$I$3000,0),MATCH(J$4,폐업정보!$D$3:$R$3,0)),
"Error"))</f>
        <v>7380000000</v>
      </c>
      <c r="K176" s="75" t="str">
        <f aca="false">
IF($D176="정상",INDEX(임대자산!$D$3:$R$3000,MATCH($F176,임대자산!$I$3:$I$3000,0),MATCH(K$4,임대자산!$D$3:$R$3,0)),
IF($D176="폐업",INDEX(폐업정보!$D$3:$R$3000,MATCH($F176,폐업정보!$I$3:$I$3000,0),MATCH(K$4,폐업정보!$D$3:$R$3,0)),
"Error"))</f>
        <v>C0171</v>
      </c>
      <c r="L176" s="75" t="str">
        <f aca="false">
IF($D176="정상",INDEX(임대자산!$D$3:$R$3000,MATCH($F176,임대자산!$I$3:$I$3000,0),MATCH(L$4,임대자산!$D$3:$R$3,0)),
IF($D176="폐업",INDEX(폐업정보!$D$3:$R$3000,MATCH($F176,폐업정보!$I$3:$I$3000,0),MATCH(L$4,폐업정보!$D$3:$R$3,0)),
"Error"))</f>
        <v>D0171</v>
      </c>
      <c r="M176" s="76" t="s">
        <v>96</v>
      </c>
      <c r="N176" s="77"/>
      <c r="O176" s="78" t="s">
        <v>97</v>
      </c>
      <c r="P176" s="79" t="n">
        <f aca="false">COUNTIFS(임대자산!$I:$I,가맹점정보!F176,임대자산!$N:$N,가맹점정보!P$4)</f>
        <v>0</v>
      </c>
      <c r="Q176" s="80" t="n">
        <f aca="false">COUNTIFS(임대자산!$I:$I,가맹점정보!F176,임대자산!$N:$N,가맹점정보!Q$4)</f>
        <v>0</v>
      </c>
      <c r="R176" s="81" t="n">
        <f aca="false">COUNTIFS(임대자산!$I:$I,가맹점정보!F176,임대자산!$N:$N,가맹점정보!R$4)</f>
        <v>1</v>
      </c>
      <c r="S176" s="82" t="n">
        <v>110000</v>
      </c>
      <c r="T176" s="83" t="n">
        <v>0</v>
      </c>
      <c r="U176" s="80" t="n">
        <f aca="false">SUM(S176:T176)</f>
        <v>110000</v>
      </c>
      <c r="V176" s="84" t="s">
        <v>12</v>
      </c>
      <c r="W176" s="80" t="e">
        <f aca="true">
IF(D176="폐업","폐업",
IF(V176="면제","면제",
IF(AND(V176="정상",COUNTIFS(OFFSET(Y176,0,COUNTA(Y176:AV176)-1,1,-4),"미납")&gt;=3),"장기미납",
IF(AND(V176="정상",OFFSET(Y176,0,COUNTA(Y176:AV176)-1)&gt;=U176),"정상",
IF(AND(V176="정상",OFFSET(Y176,0,COUNTA(Y176:AV176)-1)=0),"정상",
"계약서 미작성")))))</f>
        <v>#VALUE!</v>
      </c>
      <c r="X176" s="81" t="str">
        <f aca="true">
IF(D176="폐업","폐업",
IF(AND(V176="정상",OFFSET(Y176,0,COUNTA(Y176:AV176)-1)="미납"),"미납",
IF(AND(V176="정상",OFFSET(Y176,0,COUNTA(Y176:AV176)-1)=0),"납부 시작 전",
IF(AND(V176="정상",OFFSET(Y176,0,COUNTA(Y176:AV176)-1)&gt;=U176),"정상",
IF(AND(V176="면제",OFFSET(Y176,0,COUNTA(Y176:AV176)-1)="면제"),"면제",
IF(AND(V176="면제",OFFSET(Y176,0,COUNTA(Y176:AV176)-1)=0),"면제",
"확인요청"))))))</f>
        <v>정상</v>
      </c>
      <c r="Y176" s="93" t="n">
        <v>110000</v>
      </c>
      <c r="Z176" s="90" t="n">
        <v>110000</v>
      </c>
      <c r="AA176" s="90" t="n">
        <v>110000</v>
      </c>
      <c r="AB176" s="90" t="n">
        <v>110000</v>
      </c>
      <c r="AC176" s="90" t="n">
        <v>110000</v>
      </c>
      <c r="AD176" s="90" t="n">
        <v>110000</v>
      </c>
      <c r="AE176" s="90" t="n">
        <v>110000</v>
      </c>
      <c r="AF176" s="90" t="n">
        <v>110000</v>
      </c>
      <c r="AG176" s="90" t="n">
        <v>110000</v>
      </c>
      <c r="AH176" s="90" t="n">
        <v>110000</v>
      </c>
      <c r="AI176" s="90" t="n">
        <v>110000</v>
      </c>
      <c r="AJ176" s="91" t="n">
        <v>110000</v>
      </c>
      <c r="AK176" s="89" t="n">
        <v>110000</v>
      </c>
      <c r="AL176" s="90" t="n">
        <v>110000</v>
      </c>
      <c r="AM176" s="90"/>
      <c r="AN176" s="90"/>
      <c r="AO176" s="90"/>
      <c r="AP176" s="90"/>
      <c r="AQ176" s="90"/>
      <c r="AR176" s="90"/>
      <c r="AS176" s="90"/>
      <c r="AT176" s="90"/>
      <c r="AU176" s="90"/>
      <c r="AV176" s="91"/>
      <c r="AX176" s="92"/>
    </row>
    <row r="177" customFormat="false" ht="15.65" hidden="false" customHeight="false" outlineLevel="0" collapsed="false">
      <c r="C177" s="72" t="n">
        <f aca="false">COUNTIFS($D$6:D177,"&lt;&gt;"&amp;"")</f>
        <v>172</v>
      </c>
      <c r="D177" s="73" t="s">
        <v>12</v>
      </c>
      <c r="E177" s="76" t="str">
        <f aca="false">
IF($D177="정상",INDEX(임대자산!$D$3:$R$3000,MATCH($F177,임대자산!$I$3:$I$3000,0),MATCH(E$3,임대자산!$D$3:$R$3,0)),
IF($D177="폐업",INDEX(폐업정보!$D$3:$R$3000,MATCH($F177,폐업정보!$I$3:$I$3000,0),MATCH(E$3,폐업정보!$D$3:$R$3,0)),
"Error"))</f>
        <v>서울</v>
      </c>
      <c r="F17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B0172</v>
      </c>
      <c r="G177" s="76" t="str">
        <f aca="false">F177&amp;RANDBETWEEN(0,10)</f>
        <v>B01721</v>
      </c>
      <c r="H177" s="75" t="n">
        <f aca="false">
IF($D177="정상",INDEX(임대자산!$D$3:$R$3000,MATCH($F177,임대자산!$I$3:$I$3000,0),MATCH(H$4,임대자산!$D$3:$R$3,0)),
IF($D177="폐업",INDEX(폐업정보!$D$3:$R$3000,MATCH($F177,폐업정보!$I$3:$I$3000,0),MATCH(H$4,폐업정보!$D$3:$R$3,0)),
"Error"))</f>
        <v>44761</v>
      </c>
      <c r="I177" s="75" t="str">
        <f aca="false">
IF($D177="정상",INDEX(임대자산!$D$3:$R$3000,MATCH($F177,임대자산!$I$3:$I$3000,0),MATCH(I$4,임대자산!$D$3:$R$3,0)),
IF($D177="폐업",INDEX(폐업정보!$D$3:$R$3000,MATCH($F177,폐업정보!$I$3:$I$3000,0),MATCH(I$4,폐업정보!$D$3:$R$3,0)),
"Error"))</f>
        <v>A0172</v>
      </c>
      <c r="J177" s="75" t="str">
        <f aca="false">
IF($D177="정상",INDEX(임대자산!$D$3:$R$3000,MATCH($F177,임대자산!$I$3:$I$3000,0),MATCH(J$4,임대자산!$D$3:$R$3,0)),
IF($D177="폐업",INDEX(폐업정보!$D$3:$R$3000,MATCH($F177,폐업정보!$I$3:$I$3000,0),MATCH(J$4,폐업정보!$D$3:$R$3,0)),
"Error"))</f>
        <v>9540100000</v>
      </c>
      <c r="K177" s="75" t="str">
        <f aca="false">
IF($D177="정상",INDEX(임대자산!$D$3:$R$3000,MATCH($F177,임대자산!$I$3:$I$3000,0),MATCH(K$4,임대자산!$D$3:$R$3,0)),
IF($D177="폐업",INDEX(폐업정보!$D$3:$R$3000,MATCH($F177,폐업정보!$I$3:$I$3000,0),MATCH(K$4,폐업정보!$D$3:$R$3,0)),
"Error"))</f>
        <v>C0172</v>
      </c>
      <c r="L177" s="75" t="str">
        <f aca="false">
IF($D177="정상",INDEX(임대자산!$D$3:$R$3000,MATCH($F177,임대자산!$I$3:$I$3000,0),MATCH(L$4,임대자산!$D$3:$R$3,0)),
IF($D177="폐업",INDEX(폐업정보!$D$3:$R$3000,MATCH($F177,폐업정보!$I$3:$I$3000,0),MATCH(L$4,폐업정보!$D$3:$R$3,0)),
"Error"))</f>
        <v>D0172</v>
      </c>
      <c r="M177" s="76" t="s">
        <v>96</v>
      </c>
      <c r="N177" s="77"/>
      <c r="O177" s="78" t="s">
        <v>97</v>
      </c>
      <c r="P177" s="79" t="n">
        <f aca="false">COUNTIFS(임대자산!$I:$I,가맹점정보!F177,임대자산!$N:$N,가맹점정보!P$4)</f>
        <v>0</v>
      </c>
      <c r="Q177" s="80" t="n">
        <f aca="false">COUNTIFS(임대자산!$I:$I,가맹점정보!F177,임대자산!$N:$N,가맹점정보!Q$4)</f>
        <v>0</v>
      </c>
      <c r="R177" s="81" t="n">
        <f aca="false">COUNTIFS(임대자산!$I:$I,가맹점정보!F177,임대자산!$N:$N,가맹점정보!R$4)</f>
        <v>1</v>
      </c>
      <c r="S177" s="82" t="n">
        <v>88000</v>
      </c>
      <c r="T177" s="83" t="n">
        <v>0</v>
      </c>
      <c r="U177" s="80" t="n">
        <f aca="false">SUM(S177:T177)</f>
        <v>88000</v>
      </c>
      <c r="V177" s="84" t="s">
        <v>7</v>
      </c>
      <c r="W177" s="80" t="str">
        <f aca="true">
IF(D177="폐업","폐업",
IF(V177="면제","면제",
IF(AND(V177="정상",COUNTIFS(OFFSET(Y177,0,COUNTA(Y177:AV177)-1,1,-4),"미납")&gt;=3),"장기미납",
IF(AND(V177="정상",OFFSET(Y177,0,COUNTA(Y177:AV177)-1)&gt;=U177),"정상",
IF(AND(V177="정상",OFFSET(Y177,0,COUNTA(Y177:AV177)-1)=0),"정상",
"계약서 미작성")))))</f>
        <v>면제</v>
      </c>
      <c r="X177" s="81" t="str">
        <f aca="true">
IF(D177="폐업","폐업",
IF(AND(V177="정상",OFFSET(Y177,0,COUNTA(Y177:AV177)-1)="미납"),"미납",
IF(AND(V177="정상",OFFSET(Y177,0,COUNTA(Y177:AV177)-1)=0),"납부 시작 전",
IF(AND(V177="정상",OFFSET(Y177,0,COUNTA(Y177:AV177)-1)&gt;=U177),"정상",
IF(AND(V177="면제",OFFSET(Y177,0,COUNTA(Y177:AV177)-1)="면제"),"면제",
IF(AND(V177="면제",OFFSET(Y177,0,COUNTA(Y177:AV177)-1)=0),"면제",
"확인요청"))))))</f>
        <v>면제</v>
      </c>
      <c r="Y177" s="94" t="s">
        <v>7</v>
      </c>
      <c r="Z177" s="95" t="s">
        <v>7</v>
      </c>
      <c r="AA177" s="95" t="s">
        <v>7</v>
      </c>
      <c r="AB177" s="95" t="s">
        <v>7</v>
      </c>
      <c r="AC177" s="95" t="s">
        <v>7</v>
      </c>
      <c r="AD177" s="95" t="s">
        <v>7</v>
      </c>
      <c r="AE177" s="95" t="s">
        <v>7</v>
      </c>
      <c r="AF177" s="95" t="s">
        <v>7</v>
      </c>
      <c r="AG177" s="95" t="s">
        <v>7</v>
      </c>
      <c r="AH177" s="95" t="s">
        <v>7</v>
      </c>
      <c r="AI177" s="95" t="s">
        <v>7</v>
      </c>
      <c r="AJ177" s="96" t="s">
        <v>7</v>
      </c>
      <c r="AK177" s="97" t="s">
        <v>7</v>
      </c>
      <c r="AL177" s="95" t="s">
        <v>7</v>
      </c>
      <c r="AM177" s="90"/>
      <c r="AN177" s="90"/>
      <c r="AO177" s="90"/>
      <c r="AP177" s="90"/>
      <c r="AQ177" s="90"/>
      <c r="AR177" s="90"/>
      <c r="AS177" s="90"/>
      <c r="AT177" s="90"/>
      <c r="AU177" s="90"/>
      <c r="AV177" s="91"/>
      <c r="AX177" s="92"/>
    </row>
    <row r="178" customFormat="false" ht="15.65" hidden="false" customHeight="false" outlineLevel="0" collapsed="false">
      <c r="C178" s="72" t="n">
        <f aca="false">COUNTIFS($D$6:D178,"&lt;&gt;"&amp;"")</f>
        <v>173</v>
      </c>
      <c r="D178" s="73" t="s">
        <v>12</v>
      </c>
      <c r="E178" s="76" t="str">
        <f aca="false">
IF($D178="정상",INDEX(임대자산!$D$3:$R$3000,MATCH($F178,임대자산!$I$3:$I$3000,0),MATCH(E$3,임대자산!$D$3:$R$3,0)),
IF($D178="폐업",INDEX(폐업정보!$D$3:$R$3000,MATCH($F178,폐업정보!$I$3:$I$3000,0),MATCH(E$3,폐업정보!$D$3:$R$3,0)),
"Error"))</f>
        <v>강원</v>
      </c>
      <c r="F17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B0173</v>
      </c>
      <c r="G178" s="76" t="str">
        <f aca="false">F178&amp;RANDBETWEEN(0,10)</f>
        <v>B01735</v>
      </c>
      <c r="H178" s="75" t="n">
        <f aca="false">
IF($D178="정상",INDEX(임대자산!$D$3:$R$3000,MATCH($F178,임대자산!$I$3:$I$3000,0),MATCH(H$4,임대자산!$D$3:$R$3,0)),
IF($D178="폐업",INDEX(폐업정보!$D$3:$R$3000,MATCH($F178,폐업정보!$I$3:$I$3000,0),MATCH(H$4,폐업정보!$D$3:$R$3,0)),
"Error"))</f>
        <v>45926</v>
      </c>
      <c r="I178" s="75" t="str">
        <f aca="false">
IF($D178="정상",INDEX(임대자산!$D$3:$R$3000,MATCH($F178,임대자산!$I$3:$I$3000,0),MATCH(I$4,임대자산!$D$3:$R$3,0)),
IF($D178="폐업",INDEX(폐업정보!$D$3:$R$3000,MATCH($F178,폐업정보!$I$3:$I$3000,0),MATCH(I$4,폐업정보!$D$3:$R$3,0)),
"Error"))</f>
        <v>A0173</v>
      </c>
      <c r="J178" s="75" t="str">
        <f aca="false">
IF($D178="정상",INDEX(임대자산!$D$3:$R$3000,MATCH($F178,임대자산!$I$3:$I$3000,0),MATCH(J$4,임대자산!$D$3:$R$3,0)),
IF($D178="폐업",INDEX(폐업정보!$D$3:$R$3000,MATCH($F178,폐업정보!$I$3:$I$3000,0),MATCH(J$4,폐업정보!$D$3:$R$3,0)),
"Error"))</f>
        <v>9035700000</v>
      </c>
      <c r="K178" s="75" t="str">
        <f aca="false">
IF($D178="정상",INDEX(임대자산!$D$3:$R$3000,MATCH($F178,임대자산!$I$3:$I$3000,0),MATCH(K$4,임대자산!$D$3:$R$3,0)),
IF($D178="폐업",INDEX(폐업정보!$D$3:$R$3000,MATCH($F178,폐업정보!$I$3:$I$3000,0),MATCH(K$4,폐업정보!$D$3:$R$3,0)),
"Error"))</f>
        <v>C0173</v>
      </c>
      <c r="L178" s="75" t="str">
        <f aca="false">
IF($D178="정상",INDEX(임대자산!$D$3:$R$3000,MATCH($F178,임대자산!$I$3:$I$3000,0),MATCH(L$4,임대자산!$D$3:$R$3,0)),
IF($D178="폐업",INDEX(폐업정보!$D$3:$R$3000,MATCH($F178,폐업정보!$I$3:$I$3000,0),MATCH(L$4,폐업정보!$D$3:$R$3,0)),
"Error"))</f>
        <v>D0173</v>
      </c>
      <c r="M178" s="76" t="s">
        <v>96</v>
      </c>
      <c r="N178" s="77"/>
      <c r="O178" s="78" t="s">
        <v>97</v>
      </c>
      <c r="P178" s="79" t="n">
        <f aca="false">COUNTIFS(임대자산!$I:$I,가맹점정보!F178,임대자산!$N:$N,가맹점정보!P$4)</f>
        <v>0</v>
      </c>
      <c r="Q178" s="80" t="n">
        <f aca="false">COUNTIFS(임대자산!$I:$I,가맹점정보!F178,임대자산!$N:$N,가맹점정보!Q$4)</f>
        <v>0</v>
      </c>
      <c r="R178" s="81" t="n">
        <f aca="false">COUNTIFS(임대자산!$I:$I,가맹점정보!F178,임대자산!$N:$N,가맹점정보!R$4)</f>
        <v>1</v>
      </c>
      <c r="S178" s="82" t="n">
        <v>55000</v>
      </c>
      <c r="T178" s="83" t="n">
        <v>0</v>
      </c>
      <c r="U178" s="80" t="n">
        <f aca="false">SUM(S178:T178)</f>
        <v>55000</v>
      </c>
      <c r="V178" s="84" t="s">
        <v>12</v>
      </c>
      <c r="W178" s="80" t="e">
        <f aca="true">
IF(D178="폐업","폐업",
IF(V178="면제","면제",
IF(AND(V178="정상",COUNTIFS(OFFSET(Y178,0,COUNTA(Y178:AV178)-1,1,-4),"미납")&gt;=3),"장기미납",
IF(AND(V178="정상",OFFSET(Y178,0,COUNTA(Y178:AV178)-1)&gt;=U178),"정상",
IF(AND(V178="정상",OFFSET(Y178,0,COUNTA(Y178:AV178)-1)=0),"정상",
"계약서 미작성")))))</f>
        <v>#VALUE!</v>
      </c>
      <c r="X178" s="81" t="str">
        <f aca="true">
IF(D178="폐업","폐업",
IF(AND(V178="정상",OFFSET(Y178,0,COUNTA(Y178:AV178)-1)="미납"),"미납",
IF(AND(V178="정상",OFFSET(Y178,0,COUNTA(Y178:AV178)-1)=0),"납부 시작 전",
IF(AND(V178="정상",OFFSET(Y178,0,COUNTA(Y178:AV178)-1)&gt;=U178),"정상",
IF(AND(V178="면제",OFFSET(Y178,0,COUNTA(Y178:AV178)-1)="면제"),"면제",
IF(AND(V178="면제",OFFSET(Y178,0,COUNTA(Y178:AV178)-1)=0),"면제",
"확인요청"))))))</f>
        <v>정상</v>
      </c>
      <c r="Y178" s="93" t="n">
        <v>55000</v>
      </c>
      <c r="Z178" s="90" t="n">
        <v>55000</v>
      </c>
      <c r="AA178" s="90" t="n">
        <v>55000</v>
      </c>
      <c r="AB178" s="90" t="n">
        <v>55000</v>
      </c>
      <c r="AC178" s="90" t="n">
        <v>55000</v>
      </c>
      <c r="AD178" s="90" t="n">
        <v>55000</v>
      </c>
      <c r="AE178" s="90" t="n">
        <v>55000</v>
      </c>
      <c r="AF178" s="90" t="n">
        <v>55000</v>
      </c>
      <c r="AG178" s="90" t="n">
        <v>55000</v>
      </c>
      <c r="AH178" s="90" t="n">
        <v>55000</v>
      </c>
      <c r="AI178" s="90" t="n">
        <v>55000</v>
      </c>
      <c r="AJ178" s="91" t="n">
        <v>55000</v>
      </c>
      <c r="AK178" s="89" t="n">
        <v>55000</v>
      </c>
      <c r="AL178" s="90" t="n">
        <v>55000</v>
      </c>
      <c r="AM178" s="90"/>
      <c r="AN178" s="90"/>
      <c r="AO178" s="90"/>
      <c r="AP178" s="90"/>
      <c r="AQ178" s="90"/>
      <c r="AR178" s="90"/>
      <c r="AS178" s="90"/>
      <c r="AT178" s="90"/>
      <c r="AU178" s="90"/>
      <c r="AV178" s="91"/>
      <c r="AX178" s="92"/>
    </row>
    <row r="179" customFormat="false" ht="15.65" hidden="false" customHeight="false" outlineLevel="0" collapsed="false">
      <c r="C179" s="72" t="n">
        <f aca="false">COUNTIFS($D$6:D179,"&lt;&gt;"&amp;"")</f>
        <v>174</v>
      </c>
      <c r="D179" s="73" t="s">
        <v>12</v>
      </c>
      <c r="E179" s="76" t="str">
        <f aca="false">
IF($D179="정상",INDEX(임대자산!$D$3:$R$3000,MATCH($F179,임대자산!$I$3:$I$3000,0),MATCH(E$3,임대자산!$D$3:$R$3,0)),
IF($D179="폐업",INDEX(폐업정보!$D$3:$R$3000,MATCH($F179,폐업정보!$I$3:$I$3000,0),MATCH(E$3,폐업정보!$D$3:$R$3,0)),
"Error"))</f>
        <v>서울</v>
      </c>
      <c r="F17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B0174</v>
      </c>
      <c r="G179" s="76" t="str">
        <f aca="false">F179&amp;RANDBETWEEN(0,10)</f>
        <v>B01745</v>
      </c>
      <c r="H179" s="75" t="n">
        <f aca="false">
IF($D179="정상",INDEX(임대자산!$D$3:$R$3000,MATCH($F179,임대자산!$I$3:$I$3000,0),MATCH(H$4,임대자산!$D$3:$R$3,0)),
IF($D179="폐업",INDEX(폐업정보!$D$3:$R$3000,MATCH($F179,폐업정보!$I$3:$I$3000,0),MATCH(H$4,폐업정보!$D$3:$R$3,0)),
"Error"))</f>
        <v>44739</v>
      </c>
      <c r="I179" s="75" t="str">
        <f aca="false">
IF($D179="정상",INDEX(임대자산!$D$3:$R$3000,MATCH($F179,임대자산!$I$3:$I$3000,0),MATCH(I$4,임대자산!$D$3:$R$3,0)),
IF($D179="폐업",INDEX(폐업정보!$D$3:$R$3000,MATCH($F179,폐업정보!$I$3:$I$3000,0),MATCH(I$4,폐업정보!$D$3:$R$3,0)),
"Error"))</f>
        <v>A0174</v>
      </c>
      <c r="J179" s="75" t="str">
        <f aca="false">
IF($D179="정상",INDEX(임대자산!$D$3:$R$3000,MATCH($F179,임대자산!$I$3:$I$3000,0),MATCH(J$4,임대자산!$D$3:$R$3,0)),
IF($D179="폐업",INDEX(폐업정보!$D$3:$R$3000,MATCH($F179,폐업정보!$I$3:$I$3000,0),MATCH(J$4,폐업정보!$D$3:$R$3,0)),
"Error"))</f>
        <v>6389500000</v>
      </c>
      <c r="K179" s="75" t="str">
        <f aca="false">
IF($D179="정상",INDEX(임대자산!$D$3:$R$3000,MATCH($F179,임대자산!$I$3:$I$3000,0),MATCH(K$4,임대자산!$D$3:$R$3,0)),
IF($D179="폐업",INDEX(폐업정보!$D$3:$R$3000,MATCH($F179,폐업정보!$I$3:$I$3000,0),MATCH(K$4,폐업정보!$D$3:$R$3,0)),
"Error"))</f>
        <v>C0174</v>
      </c>
      <c r="L179" s="75" t="str">
        <f aca="false">
IF($D179="정상",INDEX(임대자산!$D$3:$R$3000,MATCH($F179,임대자산!$I$3:$I$3000,0),MATCH(L$4,임대자산!$D$3:$R$3,0)),
IF($D179="폐업",INDEX(폐업정보!$D$3:$R$3000,MATCH($F179,폐업정보!$I$3:$I$3000,0),MATCH(L$4,폐업정보!$D$3:$R$3,0)),
"Error"))</f>
        <v>D0174</v>
      </c>
      <c r="M179" s="76" t="s">
        <v>96</v>
      </c>
      <c r="N179" s="77"/>
      <c r="O179" s="78" t="s">
        <v>97</v>
      </c>
      <c r="P179" s="79" t="n">
        <f aca="false">COUNTIFS(임대자산!$I:$I,가맹점정보!F179,임대자산!$N:$N,가맹점정보!P$4)</f>
        <v>0</v>
      </c>
      <c r="Q179" s="80" t="n">
        <f aca="false">COUNTIFS(임대자산!$I:$I,가맹점정보!F179,임대자산!$N:$N,가맹점정보!Q$4)</f>
        <v>0</v>
      </c>
      <c r="R179" s="81" t="n">
        <f aca="false">COUNTIFS(임대자산!$I:$I,가맹점정보!F179,임대자산!$N:$N,가맹점정보!R$4)</f>
        <v>1</v>
      </c>
      <c r="S179" s="82" t="n">
        <v>55000</v>
      </c>
      <c r="T179" s="83" t="n">
        <v>0</v>
      </c>
      <c r="U179" s="80" t="n">
        <f aca="false">SUM(S179:T179)</f>
        <v>55000</v>
      </c>
      <c r="V179" s="84" t="s">
        <v>12</v>
      </c>
      <c r="W179" s="80" t="e">
        <f aca="true">
IF(D179="폐업","폐업",
IF(V179="면제","면제",
IF(AND(V179="정상",COUNTIFS(OFFSET(Y179,0,COUNTA(Y179:AV179)-1,1,-4),"미납")&gt;=3),"장기미납",
IF(AND(V179="정상",OFFSET(Y179,0,COUNTA(Y179:AV179)-1)&gt;=U179),"정상",
IF(AND(V179="정상",OFFSET(Y179,0,COUNTA(Y179:AV179)-1)=0),"정상",
"계약서 미작성")))))</f>
        <v>#VALUE!</v>
      </c>
      <c r="X179" s="81" t="str">
        <f aca="true">
IF(D179="폐업","폐업",
IF(AND(V179="정상",OFFSET(Y179,0,COUNTA(Y179:AV179)-1)="미납"),"미납",
IF(AND(V179="정상",OFFSET(Y179,0,COUNTA(Y179:AV179)-1)=0),"납부 시작 전",
IF(AND(V179="정상",OFFSET(Y179,0,COUNTA(Y179:AV179)-1)&gt;=U179),"정상",
IF(AND(V179="면제",OFFSET(Y179,0,COUNTA(Y179:AV179)-1)="면제"),"면제",
IF(AND(V179="면제",OFFSET(Y179,0,COUNTA(Y179:AV179)-1)=0),"면제",
"확인요청"))))))</f>
        <v>정상</v>
      </c>
      <c r="Y179" s="93" t="n">
        <v>55000</v>
      </c>
      <c r="Z179" s="90" t="n">
        <v>55000</v>
      </c>
      <c r="AA179" s="90" t="n">
        <v>55000</v>
      </c>
      <c r="AB179" s="90" t="n">
        <v>55000</v>
      </c>
      <c r="AC179" s="90" t="n">
        <v>55000</v>
      </c>
      <c r="AD179" s="90" t="n">
        <v>55000</v>
      </c>
      <c r="AE179" s="90" t="n">
        <v>55000</v>
      </c>
      <c r="AF179" s="90" t="n">
        <v>55000</v>
      </c>
      <c r="AG179" s="90" t="n">
        <v>55000</v>
      </c>
      <c r="AH179" s="90" t="n">
        <v>55000</v>
      </c>
      <c r="AI179" s="90" t="n">
        <v>55000</v>
      </c>
      <c r="AJ179" s="91" t="n">
        <v>55000</v>
      </c>
      <c r="AK179" s="89" t="n">
        <v>55000</v>
      </c>
      <c r="AL179" s="90" t="n">
        <v>55000</v>
      </c>
      <c r="AM179" s="90"/>
      <c r="AN179" s="90"/>
      <c r="AO179" s="90"/>
      <c r="AP179" s="90"/>
      <c r="AQ179" s="90"/>
      <c r="AR179" s="90"/>
      <c r="AS179" s="90"/>
      <c r="AT179" s="90"/>
      <c r="AU179" s="90"/>
      <c r="AV179" s="91"/>
      <c r="AX179" s="92"/>
    </row>
    <row r="180" customFormat="false" ht="15.65" hidden="false" customHeight="false" outlineLevel="0" collapsed="false">
      <c r="C180" s="72" t="n">
        <f aca="false">COUNTIFS($D$6:D180,"&lt;&gt;"&amp;"")</f>
        <v>175</v>
      </c>
      <c r="D180" s="73" t="s">
        <v>12</v>
      </c>
      <c r="E180" s="76" t="str">
        <f aca="false">
IF($D180="정상",INDEX(임대자산!$D$3:$R$3000,MATCH($F180,임대자산!$I$3:$I$3000,0),MATCH(E$3,임대자산!$D$3:$R$3,0)),
IF($D180="폐업",INDEX(폐업정보!$D$3:$R$3000,MATCH($F180,폐업정보!$I$3:$I$3000,0),MATCH(E$3,폐업정보!$D$3:$R$3,0)),
"Error"))</f>
        <v>서울</v>
      </c>
      <c r="F18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B0175</v>
      </c>
      <c r="G180" s="76" t="str">
        <f aca="false">F180&amp;RANDBETWEEN(0,10)</f>
        <v>B01755</v>
      </c>
      <c r="H180" s="75" t="n">
        <f aca="false">
IF($D180="정상",INDEX(임대자산!$D$3:$R$3000,MATCH($F180,임대자산!$I$3:$I$3000,0),MATCH(H$4,임대자산!$D$3:$R$3,0)),
IF($D180="폐업",INDEX(폐업정보!$D$3:$R$3000,MATCH($F180,폐업정보!$I$3:$I$3000,0),MATCH(H$4,폐업정보!$D$3:$R$3,0)),
"Error"))</f>
        <v>45146</v>
      </c>
      <c r="I180" s="75" t="str">
        <f aca="false">
IF($D180="정상",INDEX(임대자산!$D$3:$R$3000,MATCH($F180,임대자산!$I$3:$I$3000,0),MATCH(I$4,임대자산!$D$3:$R$3,0)),
IF($D180="폐업",INDEX(폐업정보!$D$3:$R$3000,MATCH($F180,폐업정보!$I$3:$I$3000,0),MATCH(I$4,폐업정보!$D$3:$R$3,0)),
"Error"))</f>
        <v>A0175</v>
      </c>
      <c r="J180" s="75" t="str">
        <f aca="false">
IF($D180="정상",INDEX(임대자산!$D$3:$R$3000,MATCH($F180,임대자산!$I$3:$I$3000,0),MATCH(J$4,임대자산!$D$3:$R$3,0)),
IF($D180="폐업",INDEX(폐업정보!$D$3:$R$3000,MATCH($F180,폐업정보!$I$3:$I$3000,0),MATCH(J$4,폐업정보!$D$3:$R$3,0)),
"Error"))</f>
        <v>7334900000</v>
      </c>
      <c r="K180" s="75" t="str">
        <f aca="false">
IF($D180="정상",INDEX(임대자산!$D$3:$R$3000,MATCH($F180,임대자산!$I$3:$I$3000,0),MATCH(K$4,임대자산!$D$3:$R$3,0)),
IF($D180="폐업",INDEX(폐업정보!$D$3:$R$3000,MATCH($F180,폐업정보!$I$3:$I$3000,0),MATCH(K$4,폐업정보!$D$3:$R$3,0)),
"Error"))</f>
        <v>C0175</v>
      </c>
      <c r="L180" s="75" t="str">
        <f aca="false">
IF($D180="정상",INDEX(임대자산!$D$3:$R$3000,MATCH($F180,임대자산!$I$3:$I$3000,0),MATCH(L$4,임대자산!$D$3:$R$3,0)),
IF($D180="폐업",INDEX(폐업정보!$D$3:$R$3000,MATCH($F180,폐업정보!$I$3:$I$3000,0),MATCH(L$4,폐업정보!$D$3:$R$3,0)),
"Error"))</f>
        <v>D0175</v>
      </c>
      <c r="M180" s="76" t="s">
        <v>96</v>
      </c>
      <c r="N180" s="77"/>
      <c r="O180" s="78" t="s">
        <v>97</v>
      </c>
      <c r="P180" s="79" t="n">
        <f aca="false">COUNTIFS(임대자산!$I:$I,가맹점정보!F180,임대자산!$N:$N,가맹점정보!P$4)</f>
        <v>0</v>
      </c>
      <c r="Q180" s="80" t="n">
        <f aca="false">COUNTIFS(임대자산!$I:$I,가맹점정보!F180,임대자산!$N:$N,가맹점정보!Q$4)</f>
        <v>0</v>
      </c>
      <c r="R180" s="81" t="n">
        <f aca="false">COUNTIFS(임대자산!$I:$I,가맹점정보!F180,임대자산!$N:$N,가맹점정보!R$4)</f>
        <v>1</v>
      </c>
      <c r="S180" s="82" t="n">
        <v>55000</v>
      </c>
      <c r="T180" s="83" t="n">
        <v>0</v>
      </c>
      <c r="U180" s="80" t="n">
        <f aca="false">SUM(S180:T180)</f>
        <v>55000</v>
      </c>
      <c r="V180" s="84" t="s">
        <v>12</v>
      </c>
      <c r="W180" s="80" t="e">
        <f aca="true">
IF(D180="폐업","폐업",
IF(V180="면제","면제",
IF(AND(V180="정상",COUNTIFS(OFFSET(Y180,0,COUNTA(Y180:AV180)-1,1,-4),"미납")&gt;=3),"장기미납",
IF(AND(V180="정상",OFFSET(Y180,0,COUNTA(Y180:AV180)-1)&gt;=U180),"정상",
IF(AND(V180="정상",OFFSET(Y180,0,COUNTA(Y180:AV180)-1)=0),"정상",
"계약서 미작성")))))</f>
        <v>#VALUE!</v>
      </c>
      <c r="X180" s="81" t="str">
        <f aca="true">
IF(D180="폐업","폐업",
IF(AND(V180="정상",OFFSET(Y180,0,COUNTA(Y180:AV180)-1)="미납"),"미납",
IF(AND(V180="정상",OFFSET(Y180,0,COUNTA(Y180:AV180)-1)=0),"납부 시작 전",
IF(AND(V180="정상",OFFSET(Y180,0,COUNTA(Y180:AV180)-1)&gt;=U180),"정상",
IF(AND(V180="면제",OFFSET(Y180,0,COUNTA(Y180:AV180)-1)="면제"),"면제",
IF(AND(V180="면제",OFFSET(Y180,0,COUNTA(Y180:AV180)-1)=0),"면제",
"확인요청"))))))</f>
        <v>정상</v>
      </c>
      <c r="Y180" s="93" t="n">
        <v>55000</v>
      </c>
      <c r="Z180" s="90" t="n">
        <v>55000</v>
      </c>
      <c r="AA180" s="90" t="n">
        <v>55000</v>
      </c>
      <c r="AB180" s="90" t="n">
        <v>0</v>
      </c>
      <c r="AC180" s="90" t="n">
        <v>55000</v>
      </c>
      <c r="AD180" s="90" t="n">
        <v>55000</v>
      </c>
      <c r="AE180" s="90" t="n">
        <v>55000</v>
      </c>
      <c r="AF180" s="90" t="n">
        <v>55000</v>
      </c>
      <c r="AG180" s="90" t="n">
        <v>55000</v>
      </c>
      <c r="AH180" s="90" t="n">
        <v>55000</v>
      </c>
      <c r="AI180" s="90" t="n">
        <v>55000</v>
      </c>
      <c r="AJ180" s="91" t="n">
        <v>55000</v>
      </c>
      <c r="AK180" s="89" t="n">
        <v>55000</v>
      </c>
      <c r="AL180" s="90" t="n">
        <v>55000</v>
      </c>
      <c r="AM180" s="90"/>
      <c r="AN180" s="90"/>
      <c r="AO180" s="90"/>
      <c r="AP180" s="90"/>
      <c r="AQ180" s="90"/>
      <c r="AR180" s="90"/>
      <c r="AS180" s="90"/>
      <c r="AT180" s="90"/>
      <c r="AU180" s="90"/>
      <c r="AV180" s="91"/>
      <c r="AX180" s="92"/>
    </row>
    <row r="181" customFormat="false" ht="15.65" hidden="false" customHeight="false" outlineLevel="0" collapsed="false">
      <c r="C181" s="72" t="n">
        <f aca="false">COUNTIFS($D$6:D181,"&lt;&gt;"&amp;"")</f>
        <v>176</v>
      </c>
      <c r="D181" s="73" t="s">
        <v>12</v>
      </c>
      <c r="E181" s="76" t="str">
        <f aca="false">
IF($D181="정상",INDEX(임대자산!$D$3:$R$3000,MATCH($F181,임대자산!$I$3:$I$3000,0),MATCH(E$3,임대자산!$D$3:$R$3,0)),
IF($D181="폐업",INDEX(폐업정보!$D$3:$R$3000,MATCH($F181,폐업정보!$I$3:$I$3000,0),MATCH(E$3,폐업정보!$D$3:$R$3,0)),
"Error"))</f>
        <v>서울</v>
      </c>
      <c r="F18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B0176</v>
      </c>
      <c r="G181" s="76" t="str">
        <f aca="false">F181&amp;RANDBETWEEN(0,10)</f>
        <v>B01767</v>
      </c>
      <c r="H181" s="75" t="n">
        <f aca="false">
IF($D181="정상",INDEX(임대자산!$D$3:$R$3000,MATCH($F181,임대자산!$I$3:$I$3000,0),MATCH(H$4,임대자산!$D$3:$R$3,0)),
IF($D181="폐업",INDEX(폐업정보!$D$3:$R$3000,MATCH($F181,폐업정보!$I$3:$I$3000,0),MATCH(H$4,폐업정보!$D$3:$R$3,0)),
"Error"))</f>
        <v>45537</v>
      </c>
      <c r="I181" s="75" t="str">
        <f aca="false">
IF($D181="정상",INDEX(임대자산!$D$3:$R$3000,MATCH($F181,임대자산!$I$3:$I$3000,0),MATCH(I$4,임대자산!$D$3:$R$3,0)),
IF($D181="폐업",INDEX(폐업정보!$D$3:$R$3000,MATCH($F181,폐업정보!$I$3:$I$3000,0),MATCH(I$4,폐업정보!$D$3:$R$3,0)),
"Error"))</f>
        <v>A0176</v>
      </c>
      <c r="J181" s="75" t="str">
        <f aca="false">
IF($D181="정상",INDEX(임대자산!$D$3:$R$3000,MATCH($F181,임대자산!$I$3:$I$3000,0),MATCH(J$4,임대자산!$D$3:$R$3,0)),
IF($D181="폐업",INDEX(폐업정보!$D$3:$R$3000,MATCH($F181,폐업정보!$I$3:$I$3000,0),MATCH(J$4,폐업정보!$D$3:$R$3,0)),
"Error"))</f>
        <v>9428900000</v>
      </c>
      <c r="K181" s="75" t="str">
        <f aca="false">
IF($D181="정상",INDEX(임대자산!$D$3:$R$3000,MATCH($F181,임대자산!$I$3:$I$3000,0),MATCH(K$4,임대자산!$D$3:$R$3,0)),
IF($D181="폐업",INDEX(폐업정보!$D$3:$R$3000,MATCH($F181,폐업정보!$I$3:$I$3000,0),MATCH(K$4,폐업정보!$D$3:$R$3,0)),
"Error"))</f>
        <v>C0176</v>
      </c>
      <c r="L181" s="75" t="str">
        <f aca="false">
IF($D181="정상",INDEX(임대자산!$D$3:$R$3000,MATCH($F181,임대자산!$I$3:$I$3000,0),MATCH(L$4,임대자산!$D$3:$R$3,0)),
IF($D181="폐업",INDEX(폐업정보!$D$3:$R$3000,MATCH($F181,폐업정보!$I$3:$I$3000,0),MATCH(L$4,폐업정보!$D$3:$R$3,0)),
"Error"))</f>
        <v>D0176</v>
      </c>
      <c r="M181" s="76" t="s">
        <v>96</v>
      </c>
      <c r="N181" s="77"/>
      <c r="O181" s="78" t="s">
        <v>97</v>
      </c>
      <c r="P181" s="79" t="n">
        <f aca="false">COUNTIFS(임대자산!$I:$I,가맹점정보!F181,임대자산!$N:$N,가맹점정보!P$4)</f>
        <v>0</v>
      </c>
      <c r="Q181" s="80" t="n">
        <f aca="false">COUNTIFS(임대자산!$I:$I,가맹점정보!F181,임대자산!$N:$N,가맹점정보!Q$4)</f>
        <v>0</v>
      </c>
      <c r="R181" s="81" t="n">
        <f aca="false">COUNTIFS(임대자산!$I:$I,가맹점정보!F181,임대자산!$N:$N,가맹점정보!R$4)</f>
        <v>1</v>
      </c>
      <c r="S181" s="82" t="n">
        <v>55000</v>
      </c>
      <c r="T181" s="83" t="n">
        <v>0</v>
      </c>
      <c r="U181" s="80" t="n">
        <f aca="false">SUM(S181:T181)</f>
        <v>55000</v>
      </c>
      <c r="V181" s="84" t="s">
        <v>12</v>
      </c>
      <c r="W181" s="80" t="e">
        <f aca="true">
IF(D181="폐업","폐업",
IF(V181="면제","면제",
IF(AND(V181="정상",COUNTIFS(OFFSET(Y181,0,COUNTA(Y181:AV181)-1,1,-4),"미납")&gt;=3),"장기미납",
IF(AND(V181="정상",OFFSET(Y181,0,COUNTA(Y181:AV181)-1)&gt;=U181),"정상",
IF(AND(V181="정상",OFFSET(Y181,0,COUNTA(Y181:AV181)-1)=0),"정상",
"계약서 미작성")))))</f>
        <v>#VALUE!</v>
      </c>
      <c r="X181" s="81" t="str">
        <f aca="true">
IF(D181="폐업","폐업",
IF(AND(V181="정상",OFFSET(Y181,0,COUNTA(Y181:AV181)-1)="미납"),"미납",
IF(AND(V181="정상",OFFSET(Y181,0,COUNTA(Y181:AV181)-1)=0),"납부 시작 전",
IF(AND(V181="정상",OFFSET(Y181,0,COUNTA(Y181:AV181)-1)&gt;=U181),"정상",
IF(AND(V181="면제",OFFSET(Y181,0,COUNTA(Y181:AV181)-1)="면제"),"면제",
IF(AND(V181="면제",OFFSET(Y181,0,COUNTA(Y181:AV181)-1)=0),"면제",
"확인요청"))))))</f>
        <v>정상</v>
      </c>
      <c r="Y181" s="93" t="n">
        <v>55000</v>
      </c>
      <c r="Z181" s="90" t="n">
        <v>55000</v>
      </c>
      <c r="AA181" s="90" t="n">
        <v>55000</v>
      </c>
      <c r="AB181" s="90" t="n">
        <v>55000</v>
      </c>
      <c r="AC181" s="90" t="n">
        <v>55000</v>
      </c>
      <c r="AD181" s="90" t="n">
        <v>55000</v>
      </c>
      <c r="AE181" s="90" t="n">
        <v>55000</v>
      </c>
      <c r="AF181" s="90" t="n">
        <v>55000</v>
      </c>
      <c r="AG181" s="90" t="n">
        <v>55000</v>
      </c>
      <c r="AH181" s="90" t="n">
        <v>55000</v>
      </c>
      <c r="AI181" s="90" t="n">
        <v>55000</v>
      </c>
      <c r="AJ181" s="91" t="n">
        <v>55000</v>
      </c>
      <c r="AK181" s="89" t="n">
        <v>55000</v>
      </c>
      <c r="AL181" s="90" t="n">
        <v>55000</v>
      </c>
      <c r="AM181" s="90"/>
      <c r="AN181" s="90"/>
      <c r="AO181" s="90"/>
      <c r="AP181" s="90"/>
      <c r="AQ181" s="90"/>
      <c r="AR181" s="90"/>
      <c r="AS181" s="90"/>
      <c r="AT181" s="90"/>
      <c r="AU181" s="90"/>
      <c r="AV181" s="91"/>
      <c r="AX181" s="92"/>
    </row>
    <row r="182" customFormat="false" ht="15.65" hidden="false" customHeight="false" outlineLevel="0" collapsed="false">
      <c r="C182" s="72" t="n">
        <f aca="false">COUNTIFS($D$6:D182,"&lt;&gt;"&amp;"")</f>
        <v>177</v>
      </c>
      <c r="D182" s="73" t="s">
        <v>12</v>
      </c>
      <c r="E182" s="76" t="str">
        <f aca="false">
IF($D182="정상",INDEX(임대자산!$D$3:$R$3000,MATCH($F182,임대자산!$I$3:$I$3000,0),MATCH(E$3,임대자산!$D$3:$R$3,0)),
IF($D182="폐업",INDEX(폐업정보!$D$3:$R$3000,MATCH($F182,폐업정보!$I$3:$I$3000,0),MATCH(E$3,폐업정보!$D$3:$R$3,0)),
"Error"))</f>
        <v>서울</v>
      </c>
      <c r="F18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B0177</v>
      </c>
      <c r="G182" s="76" t="str">
        <f aca="false">F182&amp;RANDBETWEEN(0,10)</f>
        <v>B01775</v>
      </c>
      <c r="H182" s="75" t="n">
        <f aca="false">
IF($D182="정상",INDEX(임대자산!$D$3:$R$3000,MATCH($F182,임대자산!$I$3:$I$3000,0),MATCH(H$4,임대자산!$D$3:$R$3,0)),
IF($D182="폐업",INDEX(폐업정보!$D$3:$R$3000,MATCH($F182,폐업정보!$I$3:$I$3000,0),MATCH(H$4,폐업정보!$D$3:$R$3,0)),
"Error"))</f>
        <v>44763</v>
      </c>
      <c r="I182" s="75" t="str">
        <f aca="false">
IF($D182="정상",INDEX(임대자산!$D$3:$R$3000,MATCH($F182,임대자산!$I$3:$I$3000,0),MATCH(I$4,임대자산!$D$3:$R$3,0)),
IF($D182="폐업",INDEX(폐업정보!$D$3:$R$3000,MATCH($F182,폐업정보!$I$3:$I$3000,0),MATCH(I$4,폐업정보!$D$3:$R$3,0)),
"Error"))</f>
        <v>A0177</v>
      </c>
      <c r="J182" s="75" t="str">
        <f aca="false">
IF($D182="정상",INDEX(임대자산!$D$3:$R$3000,MATCH($F182,임대자산!$I$3:$I$3000,0),MATCH(J$4,임대자산!$D$3:$R$3,0)),
IF($D182="폐업",INDEX(폐업정보!$D$3:$R$3000,MATCH($F182,폐업정보!$I$3:$I$3000,0),MATCH(J$4,폐업정보!$D$3:$R$3,0)),
"Error"))</f>
        <v>2246600000</v>
      </c>
      <c r="K182" s="75" t="str">
        <f aca="false">
IF($D182="정상",INDEX(임대자산!$D$3:$R$3000,MATCH($F182,임대자산!$I$3:$I$3000,0),MATCH(K$4,임대자산!$D$3:$R$3,0)),
IF($D182="폐업",INDEX(폐업정보!$D$3:$R$3000,MATCH($F182,폐업정보!$I$3:$I$3000,0),MATCH(K$4,폐업정보!$D$3:$R$3,0)),
"Error"))</f>
        <v>C0177</v>
      </c>
      <c r="L182" s="75" t="str">
        <f aca="false">
IF($D182="정상",INDEX(임대자산!$D$3:$R$3000,MATCH($F182,임대자산!$I$3:$I$3000,0),MATCH(L$4,임대자산!$D$3:$R$3,0)),
IF($D182="폐업",INDEX(폐업정보!$D$3:$R$3000,MATCH($F182,폐업정보!$I$3:$I$3000,0),MATCH(L$4,폐업정보!$D$3:$R$3,0)),
"Error"))</f>
        <v>D0177</v>
      </c>
      <c r="M182" s="76" t="s">
        <v>96</v>
      </c>
      <c r="N182" s="77"/>
      <c r="O182" s="78" t="s">
        <v>97</v>
      </c>
      <c r="P182" s="79" t="n">
        <f aca="false">COUNTIFS(임대자산!$I:$I,가맹점정보!F182,임대자산!$N:$N,가맹점정보!P$4)</f>
        <v>0</v>
      </c>
      <c r="Q182" s="80" t="n">
        <f aca="false">COUNTIFS(임대자산!$I:$I,가맹점정보!F182,임대자산!$N:$N,가맹점정보!Q$4)</f>
        <v>0</v>
      </c>
      <c r="R182" s="81" t="n">
        <f aca="false">COUNTIFS(임대자산!$I:$I,가맹점정보!F182,임대자산!$N:$N,가맹점정보!R$4)</f>
        <v>1</v>
      </c>
      <c r="S182" s="82" t="n">
        <v>132000</v>
      </c>
      <c r="T182" s="83" t="n">
        <v>0</v>
      </c>
      <c r="U182" s="80" t="n">
        <f aca="false">SUM(S182:T182)</f>
        <v>132000</v>
      </c>
      <c r="V182" s="84" t="s">
        <v>7</v>
      </c>
      <c r="W182" s="80" t="str">
        <f aca="true">
IF(D182="폐업","폐업",
IF(V182="면제","면제",
IF(AND(V182="정상",COUNTIFS(OFFSET(Y182,0,COUNTA(Y182:AV182)-1,1,-4),"미납")&gt;=3),"장기미납",
IF(AND(V182="정상",OFFSET(Y182,0,COUNTA(Y182:AV182)-1)&gt;=U182),"정상",
IF(AND(V182="정상",OFFSET(Y182,0,COUNTA(Y182:AV182)-1)=0),"정상",
"계약서 미작성")))))</f>
        <v>면제</v>
      </c>
      <c r="X182" s="81" t="str">
        <f aca="true">
IF(D182="폐업","폐업",
IF(AND(V182="정상",OFFSET(Y182,0,COUNTA(Y182:AV182)-1)="미납"),"미납",
IF(AND(V182="정상",OFFSET(Y182,0,COUNTA(Y182:AV182)-1)=0),"납부 시작 전",
IF(AND(V182="정상",OFFSET(Y182,0,COUNTA(Y182:AV182)-1)&gt;=U182),"정상",
IF(AND(V182="면제",OFFSET(Y182,0,COUNTA(Y182:AV182)-1)="면제"),"면제",
IF(AND(V182="면제",OFFSET(Y182,0,COUNTA(Y182:AV182)-1)=0),"면제",
"확인요청"))))))</f>
        <v>면제</v>
      </c>
      <c r="Y182" s="94" t="s">
        <v>7</v>
      </c>
      <c r="Z182" s="95" t="s">
        <v>7</v>
      </c>
      <c r="AA182" s="95" t="s">
        <v>7</v>
      </c>
      <c r="AB182" s="95" t="s">
        <v>7</v>
      </c>
      <c r="AC182" s="95" t="s">
        <v>7</v>
      </c>
      <c r="AD182" s="95" t="s">
        <v>7</v>
      </c>
      <c r="AE182" s="95" t="s">
        <v>7</v>
      </c>
      <c r="AF182" s="95" t="s">
        <v>7</v>
      </c>
      <c r="AG182" s="95" t="s">
        <v>7</v>
      </c>
      <c r="AH182" s="95" t="s">
        <v>7</v>
      </c>
      <c r="AI182" s="95" t="s">
        <v>7</v>
      </c>
      <c r="AJ182" s="96" t="s">
        <v>7</v>
      </c>
      <c r="AK182" s="97" t="s">
        <v>7</v>
      </c>
      <c r="AL182" s="95" t="s">
        <v>7</v>
      </c>
      <c r="AM182" s="90"/>
      <c r="AN182" s="90"/>
      <c r="AO182" s="90"/>
      <c r="AP182" s="90"/>
      <c r="AQ182" s="90"/>
      <c r="AR182" s="90"/>
      <c r="AS182" s="90"/>
      <c r="AT182" s="90"/>
      <c r="AU182" s="90"/>
      <c r="AV182" s="91"/>
      <c r="AX182" s="92"/>
    </row>
    <row r="183" customFormat="false" ht="15.65" hidden="false" customHeight="false" outlineLevel="0" collapsed="false">
      <c r="C183" s="72" t="n">
        <f aca="false">COUNTIFS($D$6:D183,"&lt;&gt;"&amp;"")</f>
        <v>178</v>
      </c>
      <c r="D183" s="73" t="s">
        <v>12</v>
      </c>
      <c r="E183" s="76" t="str">
        <f aca="false">
IF($D183="정상",INDEX(임대자산!$D$3:$R$3000,MATCH($F183,임대자산!$I$3:$I$3000,0),MATCH(E$3,임대자산!$D$3:$R$3,0)),
IF($D183="폐업",INDEX(폐업정보!$D$3:$R$3000,MATCH($F183,폐업정보!$I$3:$I$3000,0),MATCH(E$3,폐업정보!$D$3:$R$3,0)),
"Error"))</f>
        <v>서울</v>
      </c>
      <c r="F18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B0178</v>
      </c>
      <c r="G183" s="76" t="str">
        <f aca="false">F183&amp;RANDBETWEEN(0,10)</f>
        <v>B01787</v>
      </c>
      <c r="H183" s="75" t="n">
        <f aca="false">
IF($D183="정상",INDEX(임대자산!$D$3:$R$3000,MATCH($F183,임대자산!$I$3:$I$3000,0),MATCH(H$4,임대자산!$D$3:$R$3,0)),
IF($D183="폐업",INDEX(폐업정보!$D$3:$R$3000,MATCH($F183,폐업정보!$I$3:$I$3000,0),MATCH(H$4,폐업정보!$D$3:$R$3,0)),
"Error"))</f>
        <v>44757</v>
      </c>
      <c r="I183" s="75" t="str">
        <f aca="false">
IF($D183="정상",INDEX(임대자산!$D$3:$R$3000,MATCH($F183,임대자산!$I$3:$I$3000,0),MATCH(I$4,임대자산!$D$3:$R$3,0)),
IF($D183="폐업",INDEX(폐업정보!$D$3:$R$3000,MATCH($F183,폐업정보!$I$3:$I$3000,0),MATCH(I$4,폐업정보!$D$3:$R$3,0)),
"Error"))</f>
        <v>A0178</v>
      </c>
      <c r="J183" s="75" t="str">
        <f aca="false">
IF($D183="정상",INDEX(임대자산!$D$3:$R$3000,MATCH($F183,임대자산!$I$3:$I$3000,0),MATCH(J$4,임대자산!$D$3:$R$3,0)),
IF($D183="폐업",INDEX(폐업정보!$D$3:$R$3000,MATCH($F183,폐업정보!$I$3:$I$3000,0),MATCH(J$4,폐업정보!$D$3:$R$3,0)),
"Error"))</f>
        <v>5447900000</v>
      </c>
      <c r="K183" s="75" t="str">
        <f aca="false">
IF($D183="정상",INDEX(임대자산!$D$3:$R$3000,MATCH($F183,임대자산!$I$3:$I$3000,0),MATCH(K$4,임대자산!$D$3:$R$3,0)),
IF($D183="폐업",INDEX(폐업정보!$D$3:$R$3000,MATCH($F183,폐업정보!$I$3:$I$3000,0),MATCH(K$4,폐업정보!$D$3:$R$3,0)),
"Error"))</f>
        <v>C0178</v>
      </c>
      <c r="L183" s="75" t="str">
        <f aca="false">
IF($D183="정상",INDEX(임대자산!$D$3:$R$3000,MATCH($F183,임대자산!$I$3:$I$3000,0),MATCH(L$4,임대자산!$D$3:$R$3,0)),
IF($D183="폐업",INDEX(폐업정보!$D$3:$R$3000,MATCH($F183,폐업정보!$I$3:$I$3000,0),MATCH(L$4,폐업정보!$D$3:$R$3,0)),
"Error"))</f>
        <v>D0178</v>
      </c>
      <c r="M183" s="76" t="s">
        <v>96</v>
      </c>
      <c r="N183" s="77"/>
      <c r="O183" s="78" t="s">
        <v>97</v>
      </c>
      <c r="P183" s="79" t="n">
        <f aca="false">COUNTIFS(임대자산!$I:$I,가맹점정보!F183,임대자산!$N:$N,가맹점정보!P$4)</f>
        <v>0</v>
      </c>
      <c r="Q183" s="80" t="n">
        <f aca="false">COUNTIFS(임대자산!$I:$I,가맹점정보!F183,임대자산!$N:$N,가맹점정보!Q$4)</f>
        <v>0</v>
      </c>
      <c r="R183" s="81" t="n">
        <f aca="false">COUNTIFS(임대자산!$I:$I,가맹점정보!F183,임대자산!$N:$N,가맹점정보!R$4)</f>
        <v>1</v>
      </c>
      <c r="S183" s="82" t="n">
        <v>110000</v>
      </c>
      <c r="T183" s="83" t="n">
        <v>0</v>
      </c>
      <c r="U183" s="80" t="n">
        <f aca="false">SUM(S183:T183)</f>
        <v>110000</v>
      </c>
      <c r="V183" s="84" t="s">
        <v>7</v>
      </c>
      <c r="W183" s="80" t="str">
        <f aca="true">
IF(D183="폐업","폐업",
IF(V183="면제","면제",
IF(AND(V183="정상",COUNTIFS(OFFSET(Y183,0,COUNTA(Y183:AV183)-1,1,-4),"미납")&gt;=3),"장기미납",
IF(AND(V183="정상",OFFSET(Y183,0,COUNTA(Y183:AV183)-1)&gt;=U183),"정상",
IF(AND(V183="정상",OFFSET(Y183,0,COUNTA(Y183:AV183)-1)=0),"정상",
"계약서 미작성")))))</f>
        <v>면제</v>
      </c>
      <c r="X183" s="81" t="str">
        <f aca="true">
IF(D183="폐업","폐업",
IF(AND(V183="정상",OFFSET(Y183,0,COUNTA(Y183:AV183)-1)="미납"),"미납",
IF(AND(V183="정상",OFFSET(Y183,0,COUNTA(Y183:AV183)-1)=0),"납부 시작 전",
IF(AND(V183="정상",OFFSET(Y183,0,COUNTA(Y183:AV183)-1)&gt;=U183),"정상",
IF(AND(V183="면제",OFFSET(Y183,0,COUNTA(Y183:AV183)-1)="면제"),"면제",
IF(AND(V183="면제",OFFSET(Y183,0,COUNTA(Y183:AV183)-1)=0),"면제",
"확인요청"))))))</f>
        <v>면제</v>
      </c>
      <c r="Y183" s="93" t="n">
        <v>0</v>
      </c>
      <c r="Z183" s="90" t="n">
        <v>0</v>
      </c>
      <c r="AA183" s="90" t="n">
        <v>0</v>
      </c>
      <c r="AB183" s="90" t="n">
        <v>110000</v>
      </c>
      <c r="AC183" s="90" t="n">
        <v>110000</v>
      </c>
      <c r="AD183" s="95" t="s">
        <v>62</v>
      </c>
      <c r="AE183" s="90" t="n">
        <v>110000</v>
      </c>
      <c r="AF183" s="90" t="n">
        <v>110000</v>
      </c>
      <c r="AG183" s="90" t="n">
        <v>110000</v>
      </c>
      <c r="AH183" s="90" t="n">
        <v>110000</v>
      </c>
      <c r="AI183" s="90" t="n">
        <v>110000</v>
      </c>
      <c r="AJ183" s="96" t="s">
        <v>7</v>
      </c>
      <c r="AK183" s="97" t="s">
        <v>7</v>
      </c>
      <c r="AL183" s="95" t="s">
        <v>7</v>
      </c>
      <c r="AM183" s="90"/>
      <c r="AN183" s="90"/>
      <c r="AO183" s="90"/>
      <c r="AP183" s="90"/>
      <c r="AQ183" s="90"/>
      <c r="AR183" s="90"/>
      <c r="AS183" s="90"/>
      <c r="AT183" s="90"/>
      <c r="AU183" s="90"/>
      <c r="AV183" s="91"/>
      <c r="AX183" s="92"/>
    </row>
    <row r="184" customFormat="false" ht="15.65" hidden="false" customHeight="false" outlineLevel="0" collapsed="false">
      <c r="C184" s="72" t="n">
        <f aca="false">COUNTIFS($D$6:D184,"&lt;&gt;"&amp;"")</f>
        <v>179</v>
      </c>
      <c r="D184" s="73" t="s">
        <v>5</v>
      </c>
      <c r="E184" s="76" t="str">
        <f aca="false">
IF($D184="정상",INDEX(임대자산!$D$3:$R$3000,MATCH($F184,임대자산!$I$3:$I$3000,0),MATCH(E$3,임대자산!$D$3:$R$3,0)),
IF($D184="폐업",INDEX(폐업정보!$D$3:$R$3000,MATCH($F184,폐업정보!$I$3:$I$3000,0),MATCH(E$3,폐업정보!$D$3:$R$3,0)),
"Error"))</f>
        <v>서울</v>
      </c>
      <c r="F18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B0179</v>
      </c>
      <c r="G184" s="76" t="str">
        <f aca="false">F184&amp;RANDBETWEEN(0,10)</f>
        <v>B017910</v>
      </c>
      <c r="H184" s="75" t="n">
        <f aca="false">
IF($D184="정상",INDEX(임대자산!$D$3:$R$3000,MATCH($F184,임대자산!$I$3:$I$3000,0),MATCH(H$4,임대자산!$D$3:$R$3,0)),
IF($D184="폐업",INDEX(폐업정보!$D$3:$R$3000,MATCH($F184,폐업정보!$I$3:$I$3000,0),MATCH(H$4,폐업정보!$D$3:$R$3,0)),
"Error"))</f>
        <v>44757</v>
      </c>
      <c r="I184" s="75" t="str">
        <f aca="false">
IF($D184="정상",INDEX(임대자산!$D$3:$R$3000,MATCH($F184,임대자산!$I$3:$I$3000,0),MATCH(I$4,임대자산!$D$3:$R$3,0)),
IF($D184="폐업",INDEX(폐업정보!$D$3:$R$3000,MATCH($F184,폐업정보!$I$3:$I$3000,0),MATCH(I$4,폐업정보!$D$3:$R$3,0)),
"Error"))</f>
        <v>A0179</v>
      </c>
      <c r="J184" s="75" t="str">
        <f aca="false">
IF($D184="정상",INDEX(임대자산!$D$3:$R$3000,MATCH($F184,임대자산!$I$3:$I$3000,0),MATCH(J$4,임대자산!$D$3:$R$3,0)),
IF($D184="폐업",INDEX(폐업정보!$D$3:$R$3000,MATCH($F184,폐업정보!$I$3:$I$3000,0),MATCH(J$4,폐업정보!$D$3:$R$3,0)),
"Error"))</f>
        <v>9553300000</v>
      </c>
      <c r="K184" s="75" t="str">
        <f aca="false">
IF($D184="정상",INDEX(임대자산!$D$3:$R$3000,MATCH($F184,임대자산!$I$3:$I$3000,0),MATCH(K$4,임대자산!$D$3:$R$3,0)),
IF($D184="폐업",INDEX(폐업정보!$D$3:$R$3000,MATCH($F184,폐업정보!$I$3:$I$3000,0),MATCH(K$4,폐업정보!$D$3:$R$3,0)),
"Error"))</f>
        <v>C0179</v>
      </c>
      <c r="L184" s="75" t="str">
        <f aca="false">
IF($D184="정상",INDEX(임대자산!$D$3:$R$3000,MATCH($F184,임대자산!$I$3:$I$3000,0),MATCH(L$4,임대자산!$D$3:$R$3,0)),
IF($D184="폐업",INDEX(폐업정보!$D$3:$R$3000,MATCH($F184,폐업정보!$I$3:$I$3000,0),MATCH(L$4,폐업정보!$D$3:$R$3,0)),
"Error"))</f>
        <v>D0179</v>
      </c>
      <c r="M184" s="76" t="s">
        <v>96</v>
      </c>
      <c r="N184" s="77"/>
      <c r="O184" s="78" t="s">
        <v>97</v>
      </c>
      <c r="P184" s="79" t="n">
        <f aca="false">COUNTIFS(임대자산!$I:$I,가맹점정보!F184,임대자산!$N:$N,가맹점정보!P$4)</f>
        <v>0</v>
      </c>
      <c r="Q184" s="80" t="n">
        <f aca="false">COUNTIFS(임대자산!$I:$I,가맹점정보!F184,임대자산!$N:$N,가맹점정보!Q$4)</f>
        <v>0</v>
      </c>
      <c r="R184" s="81" t="n">
        <f aca="false">COUNTIFS(임대자산!$I:$I,가맹점정보!F184,임대자산!$N:$N,가맹점정보!R$4)</f>
        <v>0</v>
      </c>
      <c r="S184" s="82" t="n">
        <v>55000</v>
      </c>
      <c r="T184" s="83" t="n">
        <v>0</v>
      </c>
      <c r="U184" s="80" t="n">
        <f aca="false">SUM(S184:T184)</f>
        <v>55000</v>
      </c>
      <c r="V184" s="84" t="s">
        <v>12</v>
      </c>
      <c r="W184" s="80" t="str">
        <f aca="true">
IF(D184="폐업","폐업",
IF(V184="면제","면제",
IF(AND(V184="정상",COUNTIFS(OFFSET(Y184,0,COUNTA(Y184:AV184)-1,1,-4),"미납")&gt;=3),"장기미납",
IF(AND(V184="정상",OFFSET(Y184,0,COUNTA(Y184:AV184)-1)&gt;=U184),"정상",
IF(AND(V184="정상",OFFSET(Y184,0,COUNTA(Y184:AV184)-1)=0),"정상",
"계약서 미작성")))))</f>
        <v>폐업</v>
      </c>
      <c r="X184" s="81" t="str">
        <f aca="true">
IF(D184="폐업","폐업",
IF(AND(V184="정상",OFFSET(Y184,0,COUNTA(Y184:AV184)-1)="미납"),"미납",
IF(AND(V184="정상",OFFSET(Y184,0,COUNTA(Y184:AV184)-1)=0),"납부 시작 전",
IF(AND(V184="정상",OFFSET(Y184,0,COUNTA(Y184:AV184)-1)&gt;=U184),"정상",
IF(AND(V184="면제",OFFSET(Y184,0,COUNTA(Y184:AV184)-1)="면제"),"면제",
IF(AND(V184="면제",OFFSET(Y184,0,COUNTA(Y184:AV184)-1)=0),"면제",
"확인요청"))))))</f>
        <v>폐업</v>
      </c>
      <c r="Y184" s="93" t="n">
        <v>55000</v>
      </c>
      <c r="Z184" s="90" t="n">
        <v>55000</v>
      </c>
      <c r="AA184" s="90" t="n">
        <v>55000</v>
      </c>
      <c r="AB184" s="90" t="n">
        <v>55000</v>
      </c>
      <c r="AC184" s="90" t="n">
        <v>55000</v>
      </c>
      <c r="AD184" s="90" t="n">
        <v>55000</v>
      </c>
      <c r="AE184" s="90" t="n">
        <v>55000</v>
      </c>
      <c r="AF184" s="90" t="n">
        <v>55000</v>
      </c>
      <c r="AG184" s="90" t="n">
        <v>55000</v>
      </c>
      <c r="AH184" s="90" t="n">
        <v>55000</v>
      </c>
      <c r="AI184" s="90" t="n">
        <v>55000</v>
      </c>
      <c r="AJ184" s="91" t="n">
        <v>55000</v>
      </c>
      <c r="AK184" s="89" t="n">
        <v>55000</v>
      </c>
      <c r="AL184" s="90" t="n">
        <v>55000</v>
      </c>
      <c r="AM184" s="90"/>
      <c r="AN184" s="90"/>
      <c r="AO184" s="90"/>
      <c r="AP184" s="90"/>
      <c r="AQ184" s="90"/>
      <c r="AR184" s="90"/>
      <c r="AS184" s="90"/>
      <c r="AT184" s="90"/>
      <c r="AU184" s="90"/>
      <c r="AV184" s="91"/>
      <c r="AX184" s="92"/>
    </row>
    <row r="185" customFormat="false" ht="15.65" hidden="false" customHeight="false" outlineLevel="0" collapsed="false">
      <c r="C185" s="72" t="n">
        <f aca="false">COUNTIFS($D$6:D185,"&lt;&gt;"&amp;"")</f>
        <v>180</v>
      </c>
      <c r="D185" s="73" t="s">
        <v>12</v>
      </c>
      <c r="E185" s="76" t="str">
        <f aca="false">
IF($D185="정상",INDEX(임대자산!$D$3:$R$3000,MATCH($F185,임대자산!$I$3:$I$3000,0),MATCH(E$3,임대자산!$D$3:$R$3,0)),
IF($D185="폐업",INDEX(폐업정보!$D$3:$R$3000,MATCH($F185,폐업정보!$I$3:$I$3000,0),MATCH(E$3,폐업정보!$D$3:$R$3,0)),
"Error"))</f>
        <v>경상</v>
      </c>
      <c r="F18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B0180</v>
      </c>
      <c r="G185" s="76" t="str">
        <f aca="false">F185&amp;RANDBETWEEN(0,10)</f>
        <v>B01809</v>
      </c>
      <c r="H185" s="75" t="n">
        <f aca="false">
IF($D185="정상",INDEX(임대자산!$D$3:$R$3000,MATCH($F185,임대자산!$I$3:$I$3000,0),MATCH(H$4,임대자산!$D$3:$R$3,0)),
IF($D185="폐업",INDEX(폐업정보!$D$3:$R$3000,MATCH($F185,폐업정보!$I$3:$I$3000,0),MATCH(H$4,폐업정보!$D$3:$R$3,0)),
"Error"))</f>
        <v>44769</v>
      </c>
      <c r="I185" s="75" t="str">
        <f aca="false">
IF($D185="정상",INDEX(임대자산!$D$3:$R$3000,MATCH($F185,임대자산!$I$3:$I$3000,0),MATCH(I$4,임대자산!$D$3:$R$3,0)),
IF($D185="폐업",INDEX(폐업정보!$D$3:$R$3000,MATCH($F185,폐업정보!$I$3:$I$3000,0),MATCH(I$4,폐업정보!$D$3:$R$3,0)),
"Error"))</f>
        <v>A0180</v>
      </c>
      <c r="J185" s="75" t="str">
        <f aca="false">
IF($D185="정상",INDEX(임대자산!$D$3:$R$3000,MATCH($F185,임대자산!$I$3:$I$3000,0),MATCH(J$4,임대자산!$D$3:$R$3,0)),
IF($D185="폐업",INDEX(폐업정보!$D$3:$R$3000,MATCH($F185,폐업정보!$I$3:$I$3000,0),MATCH(J$4,폐업정보!$D$3:$R$3,0)),
"Error"))</f>
        <v>2096700000</v>
      </c>
      <c r="K185" s="75" t="str">
        <f aca="false">
IF($D185="정상",INDEX(임대자산!$D$3:$R$3000,MATCH($F185,임대자산!$I$3:$I$3000,0),MATCH(K$4,임대자산!$D$3:$R$3,0)),
IF($D185="폐업",INDEX(폐업정보!$D$3:$R$3000,MATCH($F185,폐업정보!$I$3:$I$3000,0),MATCH(K$4,폐업정보!$D$3:$R$3,0)),
"Error"))</f>
        <v>C0180</v>
      </c>
      <c r="L185" s="75" t="str">
        <f aca="false">
IF($D185="정상",INDEX(임대자산!$D$3:$R$3000,MATCH($F185,임대자산!$I$3:$I$3000,0),MATCH(L$4,임대자산!$D$3:$R$3,0)),
IF($D185="폐업",INDEX(폐업정보!$D$3:$R$3000,MATCH($F185,폐업정보!$I$3:$I$3000,0),MATCH(L$4,폐업정보!$D$3:$R$3,0)),
"Error"))</f>
        <v>D0180</v>
      </c>
      <c r="M185" s="76" t="s">
        <v>96</v>
      </c>
      <c r="N185" s="77"/>
      <c r="O185" s="78" t="s">
        <v>97</v>
      </c>
      <c r="P185" s="79" t="n">
        <f aca="false">COUNTIFS(임대자산!$I:$I,가맹점정보!F185,임대자산!$N:$N,가맹점정보!P$4)</f>
        <v>0</v>
      </c>
      <c r="Q185" s="80" t="n">
        <f aca="false">COUNTIFS(임대자산!$I:$I,가맹점정보!F185,임대자산!$N:$N,가맹점정보!Q$4)</f>
        <v>0</v>
      </c>
      <c r="R185" s="81" t="n">
        <f aca="false">COUNTIFS(임대자산!$I:$I,가맹점정보!F185,임대자산!$N:$N,가맹점정보!R$4)</f>
        <v>1</v>
      </c>
      <c r="S185" s="82" t="n">
        <v>55000</v>
      </c>
      <c r="T185" s="83" t="n">
        <v>0</v>
      </c>
      <c r="U185" s="80" t="n">
        <f aca="false">SUM(S185:T185)</f>
        <v>55000</v>
      </c>
      <c r="V185" s="84" t="s">
        <v>12</v>
      </c>
      <c r="W185" s="80" t="e">
        <f aca="true">
IF(D185="폐업","폐업",
IF(V185="면제","면제",
IF(AND(V185="정상",COUNTIFS(OFFSET(Y185,0,COUNTA(Y185:AV185)-1,1,-4),"미납")&gt;=3),"장기미납",
IF(AND(V185="정상",OFFSET(Y185,0,COUNTA(Y185:AV185)-1)&gt;=U185),"정상",
IF(AND(V185="정상",OFFSET(Y185,0,COUNTA(Y185:AV185)-1)=0),"정상",
"계약서 미작성")))))</f>
        <v>#VALUE!</v>
      </c>
      <c r="X185" s="81" t="str">
        <f aca="true">
IF(D185="폐업","폐업",
IF(AND(V185="정상",OFFSET(Y185,0,COUNTA(Y185:AV185)-1)="미납"),"미납",
IF(AND(V185="정상",OFFSET(Y185,0,COUNTA(Y185:AV185)-1)=0),"납부 시작 전",
IF(AND(V185="정상",OFFSET(Y185,0,COUNTA(Y185:AV185)-1)&gt;=U185),"정상",
IF(AND(V185="면제",OFFSET(Y185,0,COUNTA(Y185:AV185)-1)="면제"),"면제",
IF(AND(V185="면제",OFFSET(Y185,0,COUNTA(Y185:AV185)-1)=0),"면제",
"확인요청"))))))</f>
        <v>정상</v>
      </c>
      <c r="Y185" s="93" t="n">
        <v>55000</v>
      </c>
      <c r="Z185" s="90" t="n">
        <v>55000</v>
      </c>
      <c r="AA185" s="90" t="n">
        <v>55000</v>
      </c>
      <c r="AB185" s="90" t="n">
        <v>55000</v>
      </c>
      <c r="AC185" s="90" t="n">
        <v>55000</v>
      </c>
      <c r="AD185" s="90" t="n">
        <v>55000</v>
      </c>
      <c r="AE185" s="90" t="n">
        <v>55000</v>
      </c>
      <c r="AF185" s="90" t="n">
        <v>55000</v>
      </c>
      <c r="AG185" s="90" t="n">
        <v>55000</v>
      </c>
      <c r="AH185" s="90" t="n">
        <v>55000</v>
      </c>
      <c r="AI185" s="90" t="n">
        <v>55000</v>
      </c>
      <c r="AJ185" s="91" t="n">
        <v>55000</v>
      </c>
      <c r="AK185" s="89" t="n">
        <v>55000</v>
      </c>
      <c r="AL185" s="90" t="n">
        <v>55000</v>
      </c>
      <c r="AM185" s="90"/>
      <c r="AN185" s="90"/>
      <c r="AO185" s="90"/>
      <c r="AP185" s="90"/>
      <c r="AQ185" s="90"/>
      <c r="AR185" s="90"/>
      <c r="AS185" s="90"/>
      <c r="AT185" s="90"/>
      <c r="AU185" s="90"/>
      <c r="AV185" s="91"/>
      <c r="AX185" s="92"/>
    </row>
    <row r="186" customFormat="false" ht="15.65" hidden="false" customHeight="false" outlineLevel="0" collapsed="false">
      <c r="C186" s="72" t="n">
        <f aca="false">COUNTIFS($D$6:D186,"&lt;&gt;"&amp;"")</f>
        <v>181</v>
      </c>
      <c r="D186" s="73" t="s">
        <v>12</v>
      </c>
      <c r="E186" s="76" t="str">
        <f aca="false">
IF($D186="정상",INDEX(임대자산!$D$3:$R$3000,MATCH($F186,임대자산!$I$3:$I$3000,0),MATCH(E$3,임대자산!$D$3:$R$3,0)),
IF($D186="폐업",INDEX(폐업정보!$D$3:$R$3000,MATCH($F186,폐업정보!$I$3:$I$3000,0),MATCH(E$3,폐업정보!$D$3:$R$3,0)),
"Error"))</f>
        <v>전라</v>
      </c>
      <c r="F18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B0181</v>
      </c>
      <c r="G186" s="76" t="str">
        <f aca="false">F186&amp;RANDBETWEEN(0,10)</f>
        <v>B01816</v>
      </c>
      <c r="H186" s="75" t="n">
        <f aca="false">
IF($D186="정상",INDEX(임대자산!$D$3:$R$3000,MATCH($F186,임대자산!$I$3:$I$3000,0),MATCH(H$4,임대자산!$D$3:$R$3,0)),
IF($D186="폐업",INDEX(폐업정보!$D$3:$R$3000,MATCH($F186,폐업정보!$I$3:$I$3000,0),MATCH(H$4,폐업정보!$D$3:$R$3,0)),
"Error"))</f>
        <v>45239</v>
      </c>
      <c r="I186" s="75" t="str">
        <f aca="false">
IF($D186="정상",INDEX(임대자산!$D$3:$R$3000,MATCH($F186,임대자산!$I$3:$I$3000,0),MATCH(I$4,임대자산!$D$3:$R$3,0)),
IF($D186="폐업",INDEX(폐업정보!$D$3:$R$3000,MATCH($F186,폐업정보!$I$3:$I$3000,0),MATCH(I$4,폐업정보!$D$3:$R$3,0)),
"Error"))</f>
        <v>A0181</v>
      </c>
      <c r="J186" s="75" t="str">
        <f aca="false">
IF($D186="정상",INDEX(임대자산!$D$3:$R$3000,MATCH($F186,임대자산!$I$3:$I$3000,0),MATCH(J$4,임대자산!$D$3:$R$3,0)),
IF($D186="폐업",INDEX(폐업정보!$D$3:$R$3000,MATCH($F186,폐업정보!$I$3:$I$3000,0),MATCH(J$4,폐업정보!$D$3:$R$3,0)),
"Error"))</f>
        <v>7995700000</v>
      </c>
      <c r="K186" s="75" t="str">
        <f aca="false">
IF($D186="정상",INDEX(임대자산!$D$3:$R$3000,MATCH($F186,임대자산!$I$3:$I$3000,0),MATCH(K$4,임대자산!$D$3:$R$3,0)),
IF($D186="폐업",INDEX(폐업정보!$D$3:$R$3000,MATCH($F186,폐업정보!$I$3:$I$3000,0),MATCH(K$4,폐업정보!$D$3:$R$3,0)),
"Error"))</f>
        <v>C0181</v>
      </c>
      <c r="L186" s="75" t="str">
        <f aca="false">
IF($D186="정상",INDEX(임대자산!$D$3:$R$3000,MATCH($F186,임대자산!$I$3:$I$3000,0),MATCH(L$4,임대자산!$D$3:$R$3,0)),
IF($D186="폐업",INDEX(폐업정보!$D$3:$R$3000,MATCH($F186,폐업정보!$I$3:$I$3000,0),MATCH(L$4,폐업정보!$D$3:$R$3,0)),
"Error"))</f>
        <v>D0181</v>
      </c>
      <c r="M186" s="76" t="s">
        <v>96</v>
      </c>
      <c r="N186" s="77"/>
      <c r="O186" s="78" t="s">
        <v>97</v>
      </c>
      <c r="P186" s="79" t="n">
        <f aca="false">COUNTIFS(임대자산!$I:$I,가맹점정보!F186,임대자산!$N:$N,가맹점정보!P$4)</f>
        <v>0</v>
      </c>
      <c r="Q186" s="80" t="n">
        <f aca="false">COUNTIFS(임대자산!$I:$I,가맹점정보!F186,임대자산!$N:$N,가맹점정보!Q$4)</f>
        <v>0</v>
      </c>
      <c r="R186" s="81" t="n">
        <f aca="false">COUNTIFS(임대자산!$I:$I,가맹점정보!F186,임대자산!$N:$N,가맹점정보!R$4)</f>
        <v>1</v>
      </c>
      <c r="S186" s="82" t="n">
        <v>55000</v>
      </c>
      <c r="T186" s="83" t="n">
        <v>0</v>
      </c>
      <c r="U186" s="80" t="n">
        <f aca="false">SUM(S186:T186)</f>
        <v>55000</v>
      </c>
      <c r="V186" s="84" t="s">
        <v>12</v>
      </c>
      <c r="W186" s="80" t="e">
        <f aca="true">
IF(D186="폐업","폐업",
IF(V186="면제","면제",
IF(AND(V186="정상",COUNTIFS(OFFSET(Y186,0,COUNTA(Y186:AV186)-1,1,-4),"미납")&gt;=3),"장기미납",
IF(AND(V186="정상",OFFSET(Y186,0,COUNTA(Y186:AV186)-1)&gt;=U186),"정상",
IF(AND(V186="정상",OFFSET(Y186,0,COUNTA(Y186:AV186)-1)=0),"정상",
"계약서 미작성")))))</f>
        <v>#VALUE!</v>
      </c>
      <c r="X186" s="81" t="str">
        <f aca="true">
IF(D186="폐업","폐업",
IF(AND(V186="정상",OFFSET(Y186,0,COUNTA(Y186:AV186)-1)="미납"),"미납",
IF(AND(V186="정상",OFFSET(Y186,0,COUNTA(Y186:AV186)-1)=0),"납부 시작 전",
IF(AND(V186="정상",OFFSET(Y186,0,COUNTA(Y186:AV186)-1)&gt;=U186),"정상",
IF(AND(V186="면제",OFFSET(Y186,0,COUNTA(Y186:AV186)-1)="면제"),"면제",
IF(AND(V186="면제",OFFSET(Y186,0,COUNTA(Y186:AV186)-1)=0),"면제",
"확인요청"))))))</f>
        <v>정상</v>
      </c>
      <c r="Y186" s="93" t="n">
        <v>55000</v>
      </c>
      <c r="Z186" s="90" t="n">
        <v>55000</v>
      </c>
      <c r="AA186" s="90" t="n">
        <v>55000</v>
      </c>
      <c r="AB186" s="90" t="n">
        <v>55000</v>
      </c>
      <c r="AC186" s="90" t="n">
        <v>55000</v>
      </c>
      <c r="AD186" s="90" t="n">
        <v>55000</v>
      </c>
      <c r="AE186" s="90" t="n">
        <v>55000</v>
      </c>
      <c r="AF186" s="90" t="n">
        <v>55000</v>
      </c>
      <c r="AG186" s="90" t="n">
        <v>55000</v>
      </c>
      <c r="AH186" s="90" t="n">
        <v>55000</v>
      </c>
      <c r="AI186" s="90" t="n">
        <v>55000</v>
      </c>
      <c r="AJ186" s="91" t="n">
        <v>55000</v>
      </c>
      <c r="AK186" s="89" t="n">
        <v>55000</v>
      </c>
      <c r="AL186" s="90" t="n">
        <v>55000</v>
      </c>
      <c r="AM186" s="90"/>
      <c r="AN186" s="90"/>
      <c r="AO186" s="90"/>
      <c r="AP186" s="90"/>
      <c r="AQ186" s="90"/>
      <c r="AR186" s="90"/>
      <c r="AS186" s="90"/>
      <c r="AT186" s="90"/>
      <c r="AU186" s="90"/>
      <c r="AV186" s="91"/>
      <c r="AX186" s="92"/>
    </row>
    <row r="187" customFormat="false" ht="15.65" hidden="false" customHeight="false" outlineLevel="0" collapsed="false">
      <c r="C187" s="72" t="n">
        <f aca="false">COUNTIFS($D$6:D187,"&lt;&gt;"&amp;"")</f>
        <v>182</v>
      </c>
      <c r="D187" s="73" t="s">
        <v>12</v>
      </c>
      <c r="E187" s="76" t="str">
        <f aca="false">
IF($D187="정상",INDEX(임대자산!$D$3:$R$3000,MATCH($F187,임대자산!$I$3:$I$3000,0),MATCH(E$3,임대자산!$D$3:$R$3,0)),
IF($D187="폐업",INDEX(폐업정보!$D$3:$R$3000,MATCH($F187,폐업정보!$I$3:$I$3000,0),MATCH(E$3,폐업정보!$D$3:$R$3,0)),
"Error"))</f>
        <v>경기</v>
      </c>
      <c r="F18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B0182</v>
      </c>
      <c r="G187" s="76" t="str">
        <f aca="false">F187&amp;RANDBETWEEN(0,10)</f>
        <v>B01829</v>
      </c>
      <c r="H187" s="75" t="n">
        <f aca="false">
IF($D187="정상",INDEX(임대자산!$D$3:$R$3000,MATCH($F187,임대자산!$I$3:$I$3000,0),MATCH(H$4,임대자산!$D$3:$R$3,0)),
IF($D187="폐업",INDEX(폐업정보!$D$3:$R$3000,MATCH($F187,폐업정보!$I$3:$I$3000,0),MATCH(H$4,폐업정보!$D$3:$R$3,0)),
"Error"))</f>
        <v>45776</v>
      </c>
      <c r="I187" s="75" t="str">
        <f aca="false">
IF($D187="정상",INDEX(임대자산!$D$3:$R$3000,MATCH($F187,임대자산!$I$3:$I$3000,0),MATCH(I$4,임대자산!$D$3:$R$3,0)),
IF($D187="폐업",INDEX(폐업정보!$D$3:$R$3000,MATCH($F187,폐업정보!$I$3:$I$3000,0),MATCH(I$4,폐업정보!$D$3:$R$3,0)),
"Error"))</f>
        <v>A0182</v>
      </c>
      <c r="J187" s="75" t="str">
        <f aca="false">
IF($D187="정상",INDEX(임대자산!$D$3:$R$3000,MATCH($F187,임대자산!$I$3:$I$3000,0),MATCH(J$4,임대자산!$D$3:$R$3,0)),
IF($D187="폐업",INDEX(폐업정보!$D$3:$R$3000,MATCH($F187,폐업정보!$I$3:$I$3000,0),MATCH(J$4,폐업정보!$D$3:$R$3,0)),
"Error"))</f>
        <v>1401800000</v>
      </c>
      <c r="K187" s="75" t="str">
        <f aca="false">
IF($D187="정상",INDEX(임대자산!$D$3:$R$3000,MATCH($F187,임대자산!$I$3:$I$3000,0),MATCH(K$4,임대자산!$D$3:$R$3,0)),
IF($D187="폐업",INDEX(폐업정보!$D$3:$R$3000,MATCH($F187,폐업정보!$I$3:$I$3000,0),MATCH(K$4,폐업정보!$D$3:$R$3,0)),
"Error"))</f>
        <v>C0182</v>
      </c>
      <c r="L187" s="75" t="str">
        <f aca="false">
IF($D187="정상",INDEX(임대자산!$D$3:$R$3000,MATCH($F187,임대자산!$I$3:$I$3000,0),MATCH(L$4,임대자산!$D$3:$R$3,0)),
IF($D187="폐업",INDEX(폐업정보!$D$3:$R$3000,MATCH($F187,폐업정보!$I$3:$I$3000,0),MATCH(L$4,폐업정보!$D$3:$R$3,0)),
"Error"))</f>
        <v>D0182</v>
      </c>
      <c r="M187" s="76" t="s">
        <v>96</v>
      </c>
      <c r="N187" s="77"/>
      <c r="O187" s="78" t="s">
        <v>97</v>
      </c>
      <c r="P187" s="79" t="n">
        <f aca="false">COUNTIFS(임대자산!$I:$I,가맹점정보!F187,임대자산!$N:$N,가맹점정보!P$4)</f>
        <v>0</v>
      </c>
      <c r="Q187" s="80" t="n">
        <f aca="false">COUNTIFS(임대자산!$I:$I,가맹점정보!F187,임대자산!$N:$N,가맹점정보!Q$4)</f>
        <v>0</v>
      </c>
      <c r="R187" s="81" t="n">
        <f aca="false">COUNTIFS(임대자산!$I:$I,가맹점정보!F187,임대자산!$N:$N,가맹점정보!R$4)</f>
        <v>1</v>
      </c>
      <c r="S187" s="82" t="n">
        <v>88000</v>
      </c>
      <c r="T187" s="83" t="n">
        <v>0</v>
      </c>
      <c r="U187" s="80" t="n">
        <f aca="false">SUM(S187:T187)</f>
        <v>88000</v>
      </c>
      <c r="V187" s="84" t="s">
        <v>7</v>
      </c>
      <c r="W187" s="80" t="str">
        <f aca="true">
IF(D187="폐업","폐업",
IF(V187="면제","면제",
IF(AND(V187="정상",COUNTIFS(OFFSET(Y187,0,COUNTA(Y187:AV187)-1,1,-4),"미납")&gt;=3),"장기미납",
IF(AND(V187="정상",OFFSET(Y187,0,COUNTA(Y187:AV187)-1)&gt;=U187),"정상",
IF(AND(V187="정상",OFFSET(Y187,0,COUNTA(Y187:AV187)-1)=0),"정상",
"계약서 미작성")))))</f>
        <v>면제</v>
      </c>
      <c r="X187" s="81" t="str">
        <f aca="true">
IF(D187="폐업","폐업",
IF(AND(V187="정상",OFFSET(Y187,0,COUNTA(Y187:AV187)-1)="미납"),"미납",
IF(AND(V187="정상",OFFSET(Y187,0,COUNTA(Y187:AV187)-1)=0),"납부 시작 전",
IF(AND(V187="정상",OFFSET(Y187,0,COUNTA(Y187:AV187)-1)&gt;=U187),"정상",
IF(AND(V187="면제",OFFSET(Y187,0,COUNTA(Y187:AV187)-1)="면제"),"면제",
IF(AND(V187="면제",OFFSET(Y187,0,COUNTA(Y187:AV187)-1)=0),"면제",
"확인요청"))))))</f>
        <v>면제</v>
      </c>
      <c r="Y187" s="94" t="s">
        <v>7</v>
      </c>
      <c r="Z187" s="95" t="s">
        <v>7</v>
      </c>
      <c r="AA187" s="95" t="s">
        <v>7</v>
      </c>
      <c r="AB187" s="95" t="s">
        <v>7</v>
      </c>
      <c r="AC187" s="95" t="s">
        <v>7</v>
      </c>
      <c r="AD187" s="95" t="s">
        <v>7</v>
      </c>
      <c r="AE187" s="95" t="s">
        <v>7</v>
      </c>
      <c r="AF187" s="95" t="s">
        <v>7</v>
      </c>
      <c r="AG187" s="95" t="s">
        <v>7</v>
      </c>
      <c r="AH187" s="95" t="s">
        <v>7</v>
      </c>
      <c r="AI187" s="95" t="s">
        <v>7</v>
      </c>
      <c r="AJ187" s="96" t="s">
        <v>7</v>
      </c>
      <c r="AK187" s="97" t="s">
        <v>7</v>
      </c>
      <c r="AL187" s="95" t="s">
        <v>7</v>
      </c>
      <c r="AM187" s="90"/>
      <c r="AN187" s="90"/>
      <c r="AO187" s="90"/>
      <c r="AP187" s="90"/>
      <c r="AQ187" s="90"/>
      <c r="AR187" s="90"/>
      <c r="AS187" s="90"/>
      <c r="AT187" s="90"/>
      <c r="AU187" s="90"/>
      <c r="AV187" s="91"/>
      <c r="AX187" s="92"/>
    </row>
    <row r="188" customFormat="false" ht="15.65" hidden="false" customHeight="false" outlineLevel="0" collapsed="false">
      <c r="C188" s="72" t="n">
        <f aca="false">COUNTIFS($D$6:D188,"&lt;&gt;"&amp;"")</f>
        <v>183</v>
      </c>
      <c r="D188" s="73" t="s">
        <v>12</v>
      </c>
      <c r="E188" s="76" t="str">
        <f aca="false">
IF($D188="정상",INDEX(임대자산!$D$3:$R$3000,MATCH($F188,임대자산!$I$3:$I$3000,0),MATCH(E$3,임대자산!$D$3:$R$3,0)),
IF($D188="폐업",INDEX(폐업정보!$D$3:$R$3000,MATCH($F188,폐업정보!$I$3:$I$3000,0),MATCH(E$3,폐업정보!$D$3:$R$3,0)),
"Error"))</f>
        <v>전라</v>
      </c>
      <c r="F18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B0183</v>
      </c>
      <c r="G188" s="76" t="str">
        <f aca="false">F188&amp;RANDBETWEEN(0,10)</f>
        <v>B01834</v>
      </c>
      <c r="H188" s="75" t="n">
        <f aca="false">
IF($D188="정상",INDEX(임대자산!$D$3:$R$3000,MATCH($F188,임대자산!$I$3:$I$3000,0),MATCH(H$4,임대자산!$D$3:$R$3,0)),
IF($D188="폐업",INDEX(폐업정보!$D$3:$R$3000,MATCH($F188,폐업정보!$I$3:$I$3000,0),MATCH(H$4,폐업정보!$D$3:$R$3,0)),
"Error"))</f>
        <v>44776</v>
      </c>
      <c r="I188" s="75" t="str">
        <f aca="false">
IF($D188="정상",INDEX(임대자산!$D$3:$R$3000,MATCH($F188,임대자산!$I$3:$I$3000,0),MATCH(I$4,임대자산!$D$3:$R$3,0)),
IF($D188="폐업",INDEX(폐업정보!$D$3:$R$3000,MATCH($F188,폐업정보!$I$3:$I$3000,0),MATCH(I$4,폐업정보!$D$3:$R$3,0)),
"Error"))</f>
        <v>A0183</v>
      </c>
      <c r="J188" s="75" t="str">
        <f aca="false">
IF($D188="정상",INDEX(임대자산!$D$3:$R$3000,MATCH($F188,임대자산!$I$3:$I$3000,0),MATCH(J$4,임대자산!$D$3:$R$3,0)),
IF($D188="폐업",INDEX(폐업정보!$D$3:$R$3000,MATCH($F188,폐업정보!$I$3:$I$3000,0),MATCH(J$4,폐업정보!$D$3:$R$3,0)),
"Error"))</f>
        <v>2599000000</v>
      </c>
      <c r="K188" s="75" t="str">
        <f aca="false">
IF($D188="정상",INDEX(임대자산!$D$3:$R$3000,MATCH($F188,임대자산!$I$3:$I$3000,0),MATCH(K$4,임대자산!$D$3:$R$3,0)),
IF($D188="폐업",INDEX(폐업정보!$D$3:$R$3000,MATCH($F188,폐업정보!$I$3:$I$3000,0),MATCH(K$4,폐업정보!$D$3:$R$3,0)),
"Error"))</f>
        <v>C0183</v>
      </c>
      <c r="L188" s="75" t="str">
        <f aca="false">
IF($D188="정상",INDEX(임대자산!$D$3:$R$3000,MATCH($F188,임대자산!$I$3:$I$3000,0),MATCH(L$4,임대자산!$D$3:$R$3,0)),
IF($D188="폐업",INDEX(폐업정보!$D$3:$R$3000,MATCH($F188,폐업정보!$I$3:$I$3000,0),MATCH(L$4,폐업정보!$D$3:$R$3,0)),
"Error"))</f>
        <v>D0183</v>
      </c>
      <c r="M188" s="76" t="s">
        <v>96</v>
      </c>
      <c r="N188" s="77"/>
      <c r="O188" s="78" t="s">
        <v>97</v>
      </c>
      <c r="P188" s="79" t="n">
        <f aca="false">COUNTIFS(임대자산!$I:$I,가맹점정보!F188,임대자산!$N:$N,가맹점정보!P$4)</f>
        <v>0</v>
      </c>
      <c r="Q188" s="80" t="n">
        <f aca="false">COUNTIFS(임대자산!$I:$I,가맹점정보!F188,임대자산!$N:$N,가맹점정보!Q$4)</f>
        <v>0</v>
      </c>
      <c r="R188" s="81" t="n">
        <f aca="false">COUNTIFS(임대자산!$I:$I,가맹점정보!F188,임대자산!$N:$N,가맹점정보!R$4)</f>
        <v>1</v>
      </c>
      <c r="S188" s="82" t="n">
        <v>88000</v>
      </c>
      <c r="T188" s="83" t="n">
        <v>0</v>
      </c>
      <c r="U188" s="80" t="n">
        <f aca="false">SUM(S188:T188)</f>
        <v>88000</v>
      </c>
      <c r="V188" s="84" t="s">
        <v>7</v>
      </c>
      <c r="W188" s="80" t="str">
        <f aca="true">
IF(D188="폐업","폐업",
IF(V188="면제","면제",
IF(AND(V188="정상",COUNTIFS(OFFSET(Y188,0,COUNTA(Y188:AV188)-1,1,-4),"미납")&gt;=3),"장기미납",
IF(AND(V188="정상",OFFSET(Y188,0,COUNTA(Y188:AV188)-1)&gt;=U188),"정상",
IF(AND(V188="정상",OFFSET(Y188,0,COUNTA(Y188:AV188)-1)=0),"정상",
"계약서 미작성")))))</f>
        <v>면제</v>
      </c>
      <c r="X188" s="81" t="str">
        <f aca="true">
IF(D188="폐업","폐업",
IF(AND(V188="정상",OFFSET(Y188,0,COUNTA(Y188:AV188)-1)="미납"),"미납",
IF(AND(V188="정상",OFFSET(Y188,0,COUNTA(Y188:AV188)-1)=0),"납부 시작 전",
IF(AND(V188="정상",OFFSET(Y188,0,COUNTA(Y188:AV188)-1)&gt;=U188),"정상",
IF(AND(V188="면제",OFFSET(Y188,0,COUNTA(Y188:AV188)-1)="면제"),"면제",
IF(AND(V188="면제",OFFSET(Y188,0,COUNTA(Y188:AV188)-1)=0),"면제",
"확인요청"))))))</f>
        <v>면제</v>
      </c>
      <c r="Y188" s="94" t="s">
        <v>7</v>
      </c>
      <c r="Z188" s="95" t="s">
        <v>7</v>
      </c>
      <c r="AA188" s="95" t="s">
        <v>7</v>
      </c>
      <c r="AB188" s="95" t="s">
        <v>7</v>
      </c>
      <c r="AC188" s="95" t="s">
        <v>7</v>
      </c>
      <c r="AD188" s="95" t="s">
        <v>7</v>
      </c>
      <c r="AE188" s="95" t="s">
        <v>7</v>
      </c>
      <c r="AF188" s="95" t="s">
        <v>7</v>
      </c>
      <c r="AG188" s="95" t="s">
        <v>7</v>
      </c>
      <c r="AH188" s="95" t="s">
        <v>7</v>
      </c>
      <c r="AI188" s="95" t="s">
        <v>7</v>
      </c>
      <c r="AJ188" s="96" t="s">
        <v>7</v>
      </c>
      <c r="AK188" s="97" t="s">
        <v>7</v>
      </c>
      <c r="AL188" s="95" t="s">
        <v>7</v>
      </c>
      <c r="AM188" s="90"/>
      <c r="AN188" s="90"/>
      <c r="AO188" s="90"/>
      <c r="AP188" s="90"/>
      <c r="AQ188" s="90"/>
      <c r="AR188" s="90"/>
      <c r="AS188" s="90"/>
      <c r="AT188" s="90"/>
      <c r="AU188" s="90"/>
      <c r="AV188" s="91"/>
      <c r="AX188" s="92"/>
    </row>
    <row r="189" customFormat="false" ht="15.65" hidden="false" customHeight="false" outlineLevel="0" collapsed="false">
      <c r="C189" s="72" t="n">
        <f aca="false">COUNTIFS($D$6:D189,"&lt;&gt;"&amp;"")</f>
        <v>184</v>
      </c>
      <c r="D189" s="73" t="s">
        <v>12</v>
      </c>
      <c r="E189" s="76" t="str">
        <f aca="false">
IF($D189="정상",INDEX(임대자산!$D$3:$R$3000,MATCH($F189,임대자산!$I$3:$I$3000,0),MATCH(E$3,임대자산!$D$3:$R$3,0)),
IF($D189="폐업",INDEX(폐업정보!$D$3:$R$3000,MATCH($F189,폐업정보!$I$3:$I$3000,0),MATCH(E$3,폐업정보!$D$3:$R$3,0)),
"Error"))</f>
        <v>전라</v>
      </c>
      <c r="F18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B0184</v>
      </c>
      <c r="G189" s="76" t="str">
        <f aca="false">F189&amp;RANDBETWEEN(0,10)</f>
        <v>B01843</v>
      </c>
      <c r="H189" s="75" t="n">
        <f aca="false">
IF($D189="정상",INDEX(임대자산!$D$3:$R$3000,MATCH($F189,임대자산!$I$3:$I$3000,0),MATCH(H$4,임대자산!$D$3:$R$3,0)),
IF($D189="폐업",INDEX(폐업정보!$D$3:$R$3000,MATCH($F189,폐업정보!$I$3:$I$3000,0),MATCH(H$4,폐업정보!$D$3:$R$3,0)),
"Error"))</f>
        <v>45050</v>
      </c>
      <c r="I189" s="75" t="str">
        <f aca="false">
IF($D189="정상",INDEX(임대자산!$D$3:$R$3000,MATCH($F189,임대자산!$I$3:$I$3000,0),MATCH(I$4,임대자산!$D$3:$R$3,0)),
IF($D189="폐업",INDEX(폐업정보!$D$3:$R$3000,MATCH($F189,폐업정보!$I$3:$I$3000,0),MATCH(I$4,폐업정보!$D$3:$R$3,0)),
"Error"))</f>
        <v>A0184</v>
      </c>
      <c r="J189" s="75" t="str">
        <f aca="false">
IF($D189="정상",INDEX(임대자산!$D$3:$R$3000,MATCH($F189,임대자산!$I$3:$I$3000,0),MATCH(J$4,임대자산!$D$3:$R$3,0)),
IF($D189="폐업",INDEX(폐업정보!$D$3:$R$3000,MATCH($F189,폐업정보!$I$3:$I$3000,0),MATCH(J$4,폐업정보!$D$3:$R$3,0)),
"Error"))</f>
        <v>6044700000</v>
      </c>
      <c r="K189" s="75" t="str">
        <f aca="false">
IF($D189="정상",INDEX(임대자산!$D$3:$R$3000,MATCH($F189,임대자산!$I$3:$I$3000,0),MATCH(K$4,임대자산!$D$3:$R$3,0)),
IF($D189="폐업",INDEX(폐업정보!$D$3:$R$3000,MATCH($F189,폐업정보!$I$3:$I$3000,0),MATCH(K$4,폐업정보!$D$3:$R$3,0)),
"Error"))</f>
        <v>C0184</v>
      </c>
      <c r="L189" s="75" t="str">
        <f aca="false">
IF($D189="정상",INDEX(임대자산!$D$3:$R$3000,MATCH($F189,임대자산!$I$3:$I$3000,0),MATCH(L$4,임대자산!$D$3:$R$3,0)),
IF($D189="폐업",INDEX(폐업정보!$D$3:$R$3000,MATCH($F189,폐업정보!$I$3:$I$3000,0),MATCH(L$4,폐업정보!$D$3:$R$3,0)),
"Error"))</f>
        <v>D0184</v>
      </c>
      <c r="M189" s="76" t="s">
        <v>96</v>
      </c>
      <c r="N189" s="77"/>
      <c r="O189" s="78" t="s">
        <v>97</v>
      </c>
      <c r="P189" s="79" t="n">
        <f aca="false">COUNTIFS(임대자산!$I:$I,가맹점정보!F189,임대자산!$N:$N,가맹점정보!P$4)</f>
        <v>0</v>
      </c>
      <c r="Q189" s="80" t="n">
        <f aca="false">COUNTIFS(임대자산!$I:$I,가맹점정보!F189,임대자산!$N:$N,가맹점정보!Q$4)</f>
        <v>0</v>
      </c>
      <c r="R189" s="81" t="n">
        <f aca="false">COUNTIFS(임대자산!$I:$I,가맹점정보!F189,임대자산!$N:$N,가맹점정보!R$4)</f>
        <v>1</v>
      </c>
      <c r="S189" s="82" t="n">
        <v>55000</v>
      </c>
      <c r="T189" s="83" t="n">
        <v>0</v>
      </c>
      <c r="U189" s="80" t="n">
        <f aca="false">SUM(S189:T189)</f>
        <v>55000</v>
      </c>
      <c r="V189" s="84" t="s">
        <v>7</v>
      </c>
      <c r="W189" s="80" t="str">
        <f aca="true">
IF(D189="폐업","폐업",
IF(V189="면제","면제",
IF(AND(V189="정상",COUNTIFS(OFFSET(Y189,0,COUNTA(Y189:AV189)-1,1,-4),"미납")&gt;=3),"장기미납",
IF(AND(V189="정상",OFFSET(Y189,0,COUNTA(Y189:AV189)-1)&gt;=U189),"정상",
IF(AND(V189="정상",OFFSET(Y189,0,COUNTA(Y189:AV189)-1)=0),"정상",
"계약서 미작성")))))</f>
        <v>면제</v>
      </c>
      <c r="X189" s="81" t="str">
        <f aca="true">
IF(D189="폐업","폐업",
IF(AND(V189="정상",OFFSET(Y189,0,COUNTA(Y189:AV189)-1)="미납"),"미납",
IF(AND(V189="정상",OFFSET(Y189,0,COUNTA(Y189:AV189)-1)=0),"납부 시작 전",
IF(AND(V189="정상",OFFSET(Y189,0,COUNTA(Y189:AV189)-1)&gt;=U189),"정상",
IF(AND(V189="면제",OFFSET(Y189,0,COUNTA(Y189:AV189)-1)="면제"),"면제",
IF(AND(V189="면제",OFFSET(Y189,0,COUNTA(Y189:AV189)-1)=0),"면제",
"확인요청"))))))</f>
        <v>면제</v>
      </c>
      <c r="Y189" s="94" t="s">
        <v>7</v>
      </c>
      <c r="Z189" s="95" t="s">
        <v>7</v>
      </c>
      <c r="AA189" s="95" t="s">
        <v>7</v>
      </c>
      <c r="AB189" s="95" t="s">
        <v>7</v>
      </c>
      <c r="AC189" s="95" t="s">
        <v>7</v>
      </c>
      <c r="AD189" s="95" t="s">
        <v>7</v>
      </c>
      <c r="AE189" s="95" t="s">
        <v>7</v>
      </c>
      <c r="AF189" s="95" t="s">
        <v>7</v>
      </c>
      <c r="AG189" s="95" t="s">
        <v>7</v>
      </c>
      <c r="AH189" s="95" t="s">
        <v>7</v>
      </c>
      <c r="AI189" s="95" t="s">
        <v>7</v>
      </c>
      <c r="AJ189" s="96" t="s">
        <v>7</v>
      </c>
      <c r="AK189" s="97" t="s">
        <v>7</v>
      </c>
      <c r="AL189" s="95" t="s">
        <v>7</v>
      </c>
      <c r="AM189" s="90"/>
      <c r="AN189" s="90"/>
      <c r="AO189" s="90"/>
      <c r="AP189" s="90"/>
      <c r="AQ189" s="90"/>
      <c r="AR189" s="90"/>
      <c r="AS189" s="90"/>
      <c r="AT189" s="90"/>
      <c r="AU189" s="90"/>
      <c r="AV189" s="91"/>
      <c r="AX189" s="92"/>
    </row>
    <row r="190" customFormat="false" ht="15.65" hidden="false" customHeight="false" outlineLevel="0" collapsed="false">
      <c r="C190" s="72" t="n">
        <f aca="false">COUNTIFS($D$6:D190,"&lt;&gt;"&amp;"")</f>
        <v>185</v>
      </c>
      <c r="D190" s="73" t="s">
        <v>12</v>
      </c>
      <c r="E190" s="76" t="str">
        <f aca="false">
IF($D190="정상",INDEX(임대자산!$D$3:$R$3000,MATCH($F190,임대자산!$I$3:$I$3000,0),MATCH(E$3,임대자산!$D$3:$R$3,0)),
IF($D190="폐업",INDEX(폐업정보!$D$3:$R$3000,MATCH($F190,폐업정보!$I$3:$I$3000,0),MATCH(E$3,폐업정보!$D$3:$R$3,0)),
"Error"))</f>
        <v>서울</v>
      </c>
      <c r="F19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B0185</v>
      </c>
      <c r="G190" s="76" t="str">
        <f aca="false">F190&amp;RANDBETWEEN(0,10)</f>
        <v>B01856</v>
      </c>
      <c r="H190" s="75" t="n">
        <f aca="false">
IF($D190="정상",INDEX(임대자산!$D$3:$R$3000,MATCH($F190,임대자산!$I$3:$I$3000,0),MATCH(H$4,임대자산!$D$3:$R$3,0)),
IF($D190="폐업",INDEX(폐업정보!$D$3:$R$3000,MATCH($F190,폐업정보!$I$3:$I$3000,0),MATCH(H$4,폐업정보!$D$3:$R$3,0)),
"Error"))</f>
        <v>44792</v>
      </c>
      <c r="I190" s="75" t="str">
        <f aca="false">
IF($D190="정상",INDEX(임대자산!$D$3:$R$3000,MATCH($F190,임대자산!$I$3:$I$3000,0),MATCH(I$4,임대자산!$D$3:$R$3,0)),
IF($D190="폐업",INDEX(폐업정보!$D$3:$R$3000,MATCH($F190,폐업정보!$I$3:$I$3000,0),MATCH(I$4,폐업정보!$D$3:$R$3,0)),
"Error"))</f>
        <v>A0185</v>
      </c>
      <c r="J190" s="75" t="str">
        <f aca="false">
IF($D190="정상",INDEX(임대자산!$D$3:$R$3000,MATCH($F190,임대자산!$I$3:$I$3000,0),MATCH(J$4,임대자산!$D$3:$R$3,0)),
IF($D190="폐업",INDEX(폐업정보!$D$3:$R$3000,MATCH($F190,폐업정보!$I$3:$I$3000,0),MATCH(J$4,폐업정보!$D$3:$R$3,0)),
"Error"))</f>
        <v>8912000000</v>
      </c>
      <c r="K190" s="75" t="str">
        <f aca="false">
IF($D190="정상",INDEX(임대자산!$D$3:$R$3000,MATCH($F190,임대자산!$I$3:$I$3000,0),MATCH(K$4,임대자산!$D$3:$R$3,0)),
IF($D190="폐업",INDEX(폐업정보!$D$3:$R$3000,MATCH($F190,폐업정보!$I$3:$I$3000,0),MATCH(K$4,폐업정보!$D$3:$R$3,0)),
"Error"))</f>
        <v>C0185</v>
      </c>
      <c r="L190" s="75" t="str">
        <f aca="false">
IF($D190="정상",INDEX(임대자산!$D$3:$R$3000,MATCH($F190,임대자산!$I$3:$I$3000,0),MATCH(L$4,임대자산!$D$3:$R$3,0)),
IF($D190="폐업",INDEX(폐업정보!$D$3:$R$3000,MATCH($F190,폐업정보!$I$3:$I$3000,0),MATCH(L$4,폐업정보!$D$3:$R$3,0)),
"Error"))</f>
        <v>D0185</v>
      </c>
      <c r="M190" s="76" t="s">
        <v>96</v>
      </c>
      <c r="N190" s="77"/>
      <c r="O190" s="78" t="s">
        <v>97</v>
      </c>
      <c r="P190" s="79" t="n">
        <f aca="false">COUNTIFS(임대자산!$I:$I,가맹점정보!F190,임대자산!$N:$N,가맹점정보!P$4)</f>
        <v>0</v>
      </c>
      <c r="Q190" s="80" t="n">
        <f aca="false">COUNTIFS(임대자산!$I:$I,가맹점정보!F190,임대자산!$N:$N,가맹점정보!Q$4)</f>
        <v>0</v>
      </c>
      <c r="R190" s="81" t="n">
        <f aca="false">COUNTIFS(임대자산!$I:$I,가맹점정보!F190,임대자산!$N:$N,가맹점정보!R$4)</f>
        <v>1</v>
      </c>
      <c r="S190" s="82" t="n">
        <v>55000</v>
      </c>
      <c r="T190" s="83" t="n">
        <v>0</v>
      </c>
      <c r="U190" s="80" t="n">
        <f aca="false">SUM(S190:T190)</f>
        <v>55000</v>
      </c>
      <c r="V190" s="84" t="s">
        <v>12</v>
      </c>
      <c r="W190" s="80" t="e">
        <f aca="true">
IF(D190="폐업","폐업",
IF(V190="면제","면제",
IF(AND(V190="정상",COUNTIFS(OFFSET(Y190,0,COUNTA(Y190:AV190)-1,1,-4),"미납")&gt;=3),"장기미납",
IF(AND(V190="정상",OFFSET(Y190,0,COUNTA(Y190:AV190)-1)&gt;=U190),"정상",
IF(AND(V190="정상",OFFSET(Y190,0,COUNTA(Y190:AV190)-1)=0),"정상",
"계약서 미작성")))))</f>
        <v>#VALUE!</v>
      </c>
      <c r="X190" s="81" t="str">
        <f aca="true">
IF(D190="폐업","폐업",
IF(AND(V190="정상",OFFSET(Y190,0,COUNTA(Y190:AV190)-1)="미납"),"미납",
IF(AND(V190="정상",OFFSET(Y190,0,COUNTA(Y190:AV190)-1)=0),"납부 시작 전",
IF(AND(V190="정상",OFFSET(Y190,0,COUNTA(Y190:AV190)-1)&gt;=U190),"정상",
IF(AND(V190="면제",OFFSET(Y190,0,COUNTA(Y190:AV190)-1)="면제"),"면제",
IF(AND(V190="면제",OFFSET(Y190,0,COUNTA(Y190:AV190)-1)=0),"면제",
"확인요청"))))))</f>
        <v>정상</v>
      </c>
      <c r="Y190" s="93" t="n">
        <v>55000</v>
      </c>
      <c r="Z190" s="90" t="n">
        <v>55000</v>
      </c>
      <c r="AA190" s="90" t="n">
        <v>55000</v>
      </c>
      <c r="AB190" s="90" t="n">
        <v>55000</v>
      </c>
      <c r="AC190" s="90" t="n">
        <v>55000</v>
      </c>
      <c r="AD190" s="90" t="n">
        <v>55000</v>
      </c>
      <c r="AE190" s="90" t="n">
        <v>55000</v>
      </c>
      <c r="AF190" s="90" t="n">
        <v>55000</v>
      </c>
      <c r="AG190" s="90" t="n">
        <v>55000</v>
      </c>
      <c r="AH190" s="90" t="n">
        <v>55000</v>
      </c>
      <c r="AI190" s="90" t="n">
        <v>55000</v>
      </c>
      <c r="AJ190" s="91" t="n">
        <v>55000</v>
      </c>
      <c r="AK190" s="89" t="n">
        <v>55000</v>
      </c>
      <c r="AL190" s="90" t="n">
        <v>55000</v>
      </c>
      <c r="AM190" s="90"/>
      <c r="AN190" s="90"/>
      <c r="AO190" s="90"/>
      <c r="AP190" s="90"/>
      <c r="AQ190" s="90"/>
      <c r="AR190" s="90"/>
      <c r="AS190" s="90"/>
      <c r="AT190" s="90"/>
      <c r="AU190" s="90"/>
      <c r="AV190" s="91"/>
      <c r="AX190" s="92"/>
    </row>
    <row r="191" customFormat="false" ht="15.65" hidden="false" customHeight="false" outlineLevel="0" collapsed="false">
      <c r="C191" s="72" t="n">
        <f aca="false">COUNTIFS($D$6:D191,"&lt;&gt;"&amp;"")</f>
        <v>186</v>
      </c>
      <c r="D191" s="73" t="s">
        <v>12</v>
      </c>
      <c r="E191" s="76" t="str">
        <f aca="false">
IF($D191="정상",INDEX(임대자산!$D$3:$R$3000,MATCH($F191,임대자산!$I$3:$I$3000,0),MATCH(E$3,임대자산!$D$3:$R$3,0)),
IF($D191="폐업",INDEX(폐업정보!$D$3:$R$3000,MATCH($F191,폐업정보!$I$3:$I$3000,0),MATCH(E$3,폐업정보!$D$3:$R$3,0)),
"Error"))</f>
        <v>서울</v>
      </c>
      <c r="F19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B0186</v>
      </c>
      <c r="G191" s="76" t="str">
        <f aca="false">F191&amp;RANDBETWEEN(0,10)</f>
        <v>B01867</v>
      </c>
      <c r="H191" s="75" t="n">
        <f aca="false">
IF($D191="정상",INDEX(임대자산!$D$3:$R$3000,MATCH($F191,임대자산!$I$3:$I$3000,0),MATCH(H$4,임대자산!$D$3:$R$3,0)),
IF($D191="폐업",INDEX(폐업정보!$D$3:$R$3000,MATCH($F191,폐업정보!$I$3:$I$3000,0),MATCH(H$4,폐업정보!$D$3:$R$3,0)),
"Error"))</f>
        <v>45737</v>
      </c>
      <c r="I191" s="75" t="str">
        <f aca="false">
IF($D191="정상",INDEX(임대자산!$D$3:$R$3000,MATCH($F191,임대자산!$I$3:$I$3000,0),MATCH(I$4,임대자산!$D$3:$R$3,0)),
IF($D191="폐업",INDEX(폐업정보!$D$3:$R$3000,MATCH($F191,폐업정보!$I$3:$I$3000,0),MATCH(I$4,폐업정보!$D$3:$R$3,0)),
"Error"))</f>
        <v>A0186</v>
      </c>
      <c r="J191" s="75" t="str">
        <f aca="false">
IF($D191="정상",INDEX(임대자산!$D$3:$R$3000,MATCH($F191,임대자산!$I$3:$I$3000,0),MATCH(J$4,임대자산!$D$3:$R$3,0)),
IF($D191="폐업",INDEX(폐업정보!$D$3:$R$3000,MATCH($F191,폐업정보!$I$3:$I$3000,0),MATCH(J$4,폐업정보!$D$3:$R$3,0)),
"Error"))</f>
        <v>9651200000</v>
      </c>
      <c r="K191" s="75" t="str">
        <f aca="false">
IF($D191="정상",INDEX(임대자산!$D$3:$R$3000,MATCH($F191,임대자산!$I$3:$I$3000,0),MATCH(K$4,임대자산!$D$3:$R$3,0)),
IF($D191="폐업",INDEX(폐업정보!$D$3:$R$3000,MATCH($F191,폐업정보!$I$3:$I$3000,0),MATCH(K$4,폐업정보!$D$3:$R$3,0)),
"Error"))</f>
        <v>C0186</v>
      </c>
      <c r="L191" s="75" t="str">
        <f aca="false">
IF($D191="정상",INDEX(임대자산!$D$3:$R$3000,MATCH($F191,임대자산!$I$3:$I$3000,0),MATCH(L$4,임대자산!$D$3:$R$3,0)),
IF($D191="폐업",INDEX(폐업정보!$D$3:$R$3000,MATCH($F191,폐업정보!$I$3:$I$3000,0),MATCH(L$4,폐업정보!$D$3:$R$3,0)),
"Error"))</f>
        <v>D0186</v>
      </c>
      <c r="M191" s="76" t="s">
        <v>96</v>
      </c>
      <c r="N191" s="77"/>
      <c r="O191" s="78" t="s">
        <v>97</v>
      </c>
      <c r="P191" s="79" t="n">
        <f aca="false">COUNTIFS(임대자산!$I:$I,가맹점정보!F191,임대자산!$N:$N,가맹점정보!P$4)</f>
        <v>0</v>
      </c>
      <c r="Q191" s="80" t="n">
        <f aca="false">COUNTIFS(임대자산!$I:$I,가맹점정보!F191,임대자산!$N:$N,가맹점정보!Q$4)</f>
        <v>0</v>
      </c>
      <c r="R191" s="81" t="n">
        <f aca="false">COUNTIFS(임대자산!$I:$I,가맹점정보!F191,임대자산!$N:$N,가맹점정보!R$4)</f>
        <v>1</v>
      </c>
      <c r="S191" s="82" t="n">
        <v>110000</v>
      </c>
      <c r="T191" s="83" t="n">
        <v>0</v>
      </c>
      <c r="U191" s="80" t="n">
        <f aca="false">SUM(S191:T191)</f>
        <v>110000</v>
      </c>
      <c r="V191" s="84" t="s">
        <v>12</v>
      </c>
      <c r="W191" s="80" t="e">
        <f aca="true">
IF(D191="폐업","폐업",
IF(V191="면제","면제",
IF(AND(V191="정상",COUNTIFS(OFFSET(Y191,0,COUNTA(Y191:AV191)-1,1,-4),"미납")&gt;=3),"장기미납",
IF(AND(V191="정상",OFFSET(Y191,0,COUNTA(Y191:AV191)-1)&gt;=U191),"정상",
IF(AND(V191="정상",OFFSET(Y191,0,COUNTA(Y191:AV191)-1)=0),"정상",
"계약서 미작성")))))</f>
        <v>#VALUE!</v>
      </c>
      <c r="X191" s="81" t="str">
        <f aca="true">
IF(D191="폐업","폐업",
IF(AND(V191="정상",OFFSET(Y191,0,COUNTA(Y191:AV191)-1)="미납"),"미납",
IF(AND(V191="정상",OFFSET(Y191,0,COUNTA(Y191:AV191)-1)=0),"납부 시작 전",
IF(AND(V191="정상",OFFSET(Y191,0,COUNTA(Y191:AV191)-1)&gt;=U191),"정상",
IF(AND(V191="면제",OFFSET(Y191,0,COUNTA(Y191:AV191)-1)="면제"),"면제",
IF(AND(V191="면제",OFFSET(Y191,0,COUNTA(Y191:AV191)-1)=0),"면제",
"확인요청"))))))</f>
        <v>정상</v>
      </c>
      <c r="Y191" s="93" t="n">
        <v>110000</v>
      </c>
      <c r="Z191" s="90" t="n">
        <v>110000</v>
      </c>
      <c r="AA191" s="90" t="n">
        <v>110000</v>
      </c>
      <c r="AB191" s="90" t="n">
        <v>110000</v>
      </c>
      <c r="AC191" s="90" t="n">
        <v>110000</v>
      </c>
      <c r="AD191" s="90" t="n">
        <v>110000</v>
      </c>
      <c r="AE191" s="90" t="n">
        <v>110000</v>
      </c>
      <c r="AF191" s="90" t="n">
        <v>110000</v>
      </c>
      <c r="AG191" s="90" t="n">
        <v>110000</v>
      </c>
      <c r="AH191" s="90" t="n">
        <v>110000</v>
      </c>
      <c r="AI191" s="90" t="n">
        <v>110000</v>
      </c>
      <c r="AJ191" s="91" t="n">
        <v>110000</v>
      </c>
      <c r="AK191" s="89" t="n">
        <v>110000</v>
      </c>
      <c r="AL191" s="90" t="n">
        <v>110000</v>
      </c>
      <c r="AM191" s="90"/>
      <c r="AN191" s="90"/>
      <c r="AO191" s="90"/>
      <c r="AP191" s="90"/>
      <c r="AQ191" s="90"/>
      <c r="AR191" s="90"/>
      <c r="AS191" s="90"/>
      <c r="AT191" s="90"/>
      <c r="AU191" s="90"/>
      <c r="AV191" s="91"/>
      <c r="AX191" s="92"/>
    </row>
    <row r="192" customFormat="false" ht="15.65" hidden="false" customHeight="false" outlineLevel="0" collapsed="false">
      <c r="C192" s="72" t="n">
        <f aca="false">COUNTIFS($D$6:D192,"&lt;&gt;"&amp;"")</f>
        <v>187</v>
      </c>
      <c r="D192" s="73" t="s">
        <v>12</v>
      </c>
      <c r="E192" s="76" t="str">
        <f aca="false">
IF($D192="정상",INDEX(임대자산!$D$3:$R$3000,MATCH($F192,임대자산!$I$3:$I$3000,0),MATCH(E$3,임대자산!$D$3:$R$3,0)),
IF($D192="폐업",INDEX(폐업정보!$D$3:$R$3000,MATCH($F192,폐업정보!$I$3:$I$3000,0),MATCH(E$3,폐업정보!$D$3:$R$3,0)),
"Error"))</f>
        <v>서울</v>
      </c>
      <c r="F19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B0187</v>
      </c>
      <c r="G192" s="76" t="str">
        <f aca="false">F192&amp;RANDBETWEEN(0,10)</f>
        <v>B01871</v>
      </c>
      <c r="H192" s="75" t="n">
        <f aca="false">
IF($D192="정상",INDEX(임대자산!$D$3:$R$3000,MATCH($F192,임대자산!$I$3:$I$3000,0),MATCH(H$4,임대자산!$D$3:$R$3,0)),
IF($D192="폐업",INDEX(폐업정보!$D$3:$R$3000,MATCH($F192,폐업정보!$I$3:$I$3000,0),MATCH(H$4,폐업정보!$D$3:$R$3,0)),
"Error"))</f>
        <v>44769</v>
      </c>
      <c r="I192" s="75" t="str">
        <f aca="false">
IF($D192="정상",INDEX(임대자산!$D$3:$R$3000,MATCH($F192,임대자산!$I$3:$I$3000,0),MATCH(I$4,임대자산!$D$3:$R$3,0)),
IF($D192="폐업",INDEX(폐업정보!$D$3:$R$3000,MATCH($F192,폐업정보!$I$3:$I$3000,0),MATCH(I$4,폐업정보!$D$3:$R$3,0)),
"Error"))</f>
        <v>A0187</v>
      </c>
      <c r="J192" s="75" t="str">
        <f aca="false">
IF($D192="정상",INDEX(임대자산!$D$3:$R$3000,MATCH($F192,임대자산!$I$3:$I$3000,0),MATCH(J$4,임대자산!$D$3:$R$3,0)),
IF($D192="폐업",INDEX(폐업정보!$D$3:$R$3000,MATCH($F192,폐업정보!$I$3:$I$3000,0),MATCH(J$4,폐업정보!$D$3:$R$3,0)),
"Error"))</f>
        <v>8208700000</v>
      </c>
      <c r="K192" s="75" t="str">
        <f aca="false">
IF($D192="정상",INDEX(임대자산!$D$3:$R$3000,MATCH($F192,임대자산!$I$3:$I$3000,0),MATCH(K$4,임대자산!$D$3:$R$3,0)),
IF($D192="폐업",INDEX(폐업정보!$D$3:$R$3000,MATCH($F192,폐업정보!$I$3:$I$3000,0),MATCH(K$4,폐업정보!$D$3:$R$3,0)),
"Error"))</f>
        <v>C0187</v>
      </c>
      <c r="L192" s="75" t="str">
        <f aca="false">
IF($D192="정상",INDEX(임대자산!$D$3:$R$3000,MATCH($F192,임대자산!$I$3:$I$3000,0),MATCH(L$4,임대자산!$D$3:$R$3,0)),
IF($D192="폐업",INDEX(폐업정보!$D$3:$R$3000,MATCH($F192,폐업정보!$I$3:$I$3000,0),MATCH(L$4,폐업정보!$D$3:$R$3,0)),
"Error"))</f>
        <v>D0187</v>
      </c>
      <c r="M192" s="76" t="s">
        <v>96</v>
      </c>
      <c r="N192" s="77"/>
      <c r="O192" s="78" t="s">
        <v>97</v>
      </c>
      <c r="P192" s="79" t="n">
        <f aca="false">COUNTIFS(임대자산!$I:$I,가맹점정보!F192,임대자산!$N:$N,가맹점정보!P$4)</f>
        <v>0</v>
      </c>
      <c r="Q192" s="80" t="n">
        <f aca="false">COUNTIFS(임대자산!$I:$I,가맹점정보!F192,임대자산!$N:$N,가맹점정보!Q$4)</f>
        <v>0</v>
      </c>
      <c r="R192" s="81" t="n">
        <f aca="false">COUNTIFS(임대자산!$I:$I,가맹점정보!F192,임대자산!$N:$N,가맹점정보!R$4)</f>
        <v>1</v>
      </c>
      <c r="S192" s="82" t="n">
        <v>55000</v>
      </c>
      <c r="T192" s="83" t="n">
        <v>0</v>
      </c>
      <c r="U192" s="80" t="n">
        <f aca="false">SUM(S192:T192)</f>
        <v>55000</v>
      </c>
      <c r="V192" s="84" t="s">
        <v>12</v>
      </c>
      <c r="W192" s="80" t="e">
        <f aca="true">
IF(D192="폐업","폐업",
IF(V192="면제","면제",
IF(AND(V192="정상",COUNTIFS(OFFSET(Y192,0,COUNTA(Y192:AV192)-1,1,-4),"미납")&gt;=3),"장기미납",
IF(AND(V192="정상",OFFSET(Y192,0,COUNTA(Y192:AV192)-1)&gt;=U192),"정상",
IF(AND(V192="정상",OFFSET(Y192,0,COUNTA(Y192:AV192)-1)=0),"정상",
"계약서 미작성")))))</f>
        <v>#VALUE!</v>
      </c>
      <c r="X192" s="81" t="str">
        <f aca="true">
IF(D192="폐업","폐업",
IF(AND(V192="정상",OFFSET(Y192,0,COUNTA(Y192:AV192)-1)="미납"),"미납",
IF(AND(V192="정상",OFFSET(Y192,0,COUNTA(Y192:AV192)-1)=0),"납부 시작 전",
IF(AND(V192="정상",OFFSET(Y192,0,COUNTA(Y192:AV192)-1)&gt;=U192),"정상",
IF(AND(V192="면제",OFFSET(Y192,0,COUNTA(Y192:AV192)-1)="면제"),"면제",
IF(AND(V192="면제",OFFSET(Y192,0,COUNTA(Y192:AV192)-1)=0),"면제",
"확인요청"))))))</f>
        <v>정상</v>
      </c>
      <c r="Y192" s="93" t="n">
        <v>55000</v>
      </c>
      <c r="Z192" s="90" t="n">
        <v>55000</v>
      </c>
      <c r="AA192" s="90" t="n">
        <v>55000</v>
      </c>
      <c r="AB192" s="90" t="n">
        <v>55000</v>
      </c>
      <c r="AC192" s="90" t="n">
        <v>55000</v>
      </c>
      <c r="AD192" s="90" t="n">
        <v>55000</v>
      </c>
      <c r="AE192" s="90" t="n">
        <v>55000</v>
      </c>
      <c r="AF192" s="90" t="n">
        <v>55000</v>
      </c>
      <c r="AG192" s="90" t="n">
        <v>55000</v>
      </c>
      <c r="AH192" s="90" t="n">
        <v>55000</v>
      </c>
      <c r="AI192" s="90" t="n">
        <v>55000</v>
      </c>
      <c r="AJ192" s="91" t="n">
        <v>55000</v>
      </c>
      <c r="AK192" s="89" t="n">
        <v>55000</v>
      </c>
      <c r="AL192" s="90" t="n">
        <v>55000</v>
      </c>
      <c r="AM192" s="90"/>
      <c r="AN192" s="90"/>
      <c r="AO192" s="90"/>
      <c r="AP192" s="90"/>
      <c r="AQ192" s="90"/>
      <c r="AR192" s="90"/>
      <c r="AS192" s="90"/>
      <c r="AT192" s="90"/>
      <c r="AU192" s="90"/>
      <c r="AV192" s="91"/>
      <c r="AX192" s="92"/>
    </row>
    <row r="193" customFormat="false" ht="15.65" hidden="false" customHeight="false" outlineLevel="0" collapsed="false">
      <c r="C193" s="72" t="n">
        <f aca="false">COUNTIFS($D$6:D193,"&lt;&gt;"&amp;"")</f>
        <v>188</v>
      </c>
      <c r="D193" s="73" t="s">
        <v>12</v>
      </c>
      <c r="E193" s="76" t="str">
        <f aca="false">
IF($D193="정상",INDEX(임대자산!$D$3:$R$3000,MATCH($F193,임대자산!$I$3:$I$3000,0),MATCH(E$3,임대자산!$D$3:$R$3,0)),
IF($D193="폐업",INDEX(폐업정보!$D$3:$R$3000,MATCH($F193,폐업정보!$I$3:$I$3000,0),MATCH(E$3,폐업정보!$D$3:$R$3,0)),
"Error"))</f>
        <v>서울</v>
      </c>
      <c r="F19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B0188</v>
      </c>
      <c r="G193" s="76" t="str">
        <f aca="false">F193&amp;RANDBETWEEN(0,10)</f>
        <v>B01882</v>
      </c>
      <c r="H193" s="75" t="n">
        <f aca="false">
IF($D193="정상",INDEX(임대자산!$D$3:$R$3000,MATCH($F193,임대자산!$I$3:$I$3000,0),MATCH(H$4,임대자산!$D$3:$R$3,0)),
IF($D193="폐업",INDEX(폐업정보!$D$3:$R$3000,MATCH($F193,폐업정보!$I$3:$I$3000,0),MATCH(H$4,폐업정보!$D$3:$R$3,0)),
"Error"))</f>
        <v>44778</v>
      </c>
      <c r="I193" s="75" t="str">
        <f aca="false">
IF($D193="정상",INDEX(임대자산!$D$3:$R$3000,MATCH($F193,임대자산!$I$3:$I$3000,0),MATCH(I$4,임대자산!$D$3:$R$3,0)),
IF($D193="폐업",INDEX(폐업정보!$D$3:$R$3000,MATCH($F193,폐업정보!$I$3:$I$3000,0),MATCH(I$4,폐업정보!$D$3:$R$3,0)),
"Error"))</f>
        <v>A0188</v>
      </c>
      <c r="J193" s="75" t="str">
        <f aca="false">
IF($D193="정상",INDEX(임대자산!$D$3:$R$3000,MATCH($F193,임대자산!$I$3:$I$3000,0),MATCH(J$4,임대자산!$D$3:$R$3,0)),
IF($D193="폐업",INDEX(폐업정보!$D$3:$R$3000,MATCH($F193,폐업정보!$I$3:$I$3000,0),MATCH(J$4,폐업정보!$D$3:$R$3,0)),
"Error"))</f>
        <v>7016500000</v>
      </c>
      <c r="K193" s="75" t="str">
        <f aca="false">
IF($D193="정상",INDEX(임대자산!$D$3:$R$3000,MATCH($F193,임대자산!$I$3:$I$3000,0),MATCH(K$4,임대자산!$D$3:$R$3,0)),
IF($D193="폐업",INDEX(폐업정보!$D$3:$R$3000,MATCH($F193,폐업정보!$I$3:$I$3000,0),MATCH(K$4,폐업정보!$D$3:$R$3,0)),
"Error"))</f>
        <v>C0188</v>
      </c>
      <c r="L193" s="75" t="str">
        <f aca="false">
IF($D193="정상",INDEX(임대자산!$D$3:$R$3000,MATCH($F193,임대자산!$I$3:$I$3000,0),MATCH(L$4,임대자산!$D$3:$R$3,0)),
IF($D193="폐업",INDEX(폐업정보!$D$3:$R$3000,MATCH($F193,폐업정보!$I$3:$I$3000,0),MATCH(L$4,폐업정보!$D$3:$R$3,0)),
"Error"))</f>
        <v>D0188</v>
      </c>
      <c r="M193" s="76" t="s">
        <v>96</v>
      </c>
      <c r="N193" s="77"/>
      <c r="O193" s="78" t="s">
        <v>97</v>
      </c>
      <c r="P193" s="79" t="n">
        <f aca="false">COUNTIFS(임대자산!$I:$I,가맹점정보!F193,임대자산!$N:$N,가맹점정보!P$4)</f>
        <v>0</v>
      </c>
      <c r="Q193" s="80" t="n">
        <f aca="false">COUNTIFS(임대자산!$I:$I,가맹점정보!F193,임대자산!$N:$N,가맹점정보!Q$4)</f>
        <v>0</v>
      </c>
      <c r="R193" s="81" t="n">
        <f aca="false">COUNTIFS(임대자산!$I:$I,가맹점정보!F193,임대자산!$N:$N,가맹점정보!R$4)</f>
        <v>1</v>
      </c>
      <c r="S193" s="82" t="n">
        <v>55000</v>
      </c>
      <c r="T193" s="83" t="n">
        <v>0</v>
      </c>
      <c r="U193" s="80" t="n">
        <f aca="false">SUM(S193:T193)</f>
        <v>55000</v>
      </c>
      <c r="V193" s="84" t="s">
        <v>12</v>
      </c>
      <c r="W193" s="80" t="e">
        <f aca="true">
IF(D193="폐업","폐업",
IF(V193="면제","면제",
IF(AND(V193="정상",COUNTIFS(OFFSET(Y193,0,COUNTA(Y193:AV193)-1,1,-4),"미납")&gt;=3),"장기미납",
IF(AND(V193="정상",OFFSET(Y193,0,COUNTA(Y193:AV193)-1)&gt;=U193),"정상",
IF(AND(V193="정상",OFFSET(Y193,0,COUNTA(Y193:AV193)-1)=0),"정상",
"계약서 미작성")))))</f>
        <v>#VALUE!</v>
      </c>
      <c r="X193" s="81" t="str">
        <f aca="true">
IF(D193="폐업","폐업",
IF(AND(V193="정상",OFFSET(Y193,0,COUNTA(Y193:AV193)-1)="미납"),"미납",
IF(AND(V193="정상",OFFSET(Y193,0,COUNTA(Y193:AV193)-1)=0),"납부 시작 전",
IF(AND(V193="정상",OFFSET(Y193,0,COUNTA(Y193:AV193)-1)&gt;=U193),"정상",
IF(AND(V193="면제",OFFSET(Y193,0,COUNTA(Y193:AV193)-1)="면제"),"면제",
IF(AND(V193="면제",OFFSET(Y193,0,COUNTA(Y193:AV193)-1)=0),"면제",
"확인요청"))))))</f>
        <v>정상</v>
      </c>
      <c r="Y193" s="93" t="n">
        <v>55000</v>
      </c>
      <c r="Z193" s="90" t="n">
        <v>55000</v>
      </c>
      <c r="AA193" s="90" t="n">
        <v>55000</v>
      </c>
      <c r="AB193" s="90" t="n">
        <v>55000</v>
      </c>
      <c r="AC193" s="90" t="n">
        <v>55000</v>
      </c>
      <c r="AD193" s="90" t="n">
        <v>55000</v>
      </c>
      <c r="AE193" s="90" t="n">
        <v>55000</v>
      </c>
      <c r="AF193" s="90" t="n">
        <v>55000</v>
      </c>
      <c r="AG193" s="90" t="n">
        <v>55000</v>
      </c>
      <c r="AH193" s="90" t="n">
        <v>55000</v>
      </c>
      <c r="AI193" s="90" t="n">
        <v>55000</v>
      </c>
      <c r="AJ193" s="91" t="n">
        <v>55000</v>
      </c>
      <c r="AK193" s="89" t="n">
        <v>55000</v>
      </c>
      <c r="AL193" s="90" t="n">
        <v>55000</v>
      </c>
      <c r="AM193" s="90"/>
      <c r="AN193" s="90"/>
      <c r="AO193" s="90"/>
      <c r="AP193" s="90"/>
      <c r="AQ193" s="90"/>
      <c r="AR193" s="90"/>
      <c r="AS193" s="90"/>
      <c r="AT193" s="90"/>
      <c r="AU193" s="90"/>
      <c r="AV193" s="91"/>
      <c r="AX193" s="92"/>
    </row>
    <row r="194" customFormat="false" ht="15.65" hidden="false" customHeight="false" outlineLevel="0" collapsed="false">
      <c r="C194" s="72" t="n">
        <f aca="false">COUNTIFS($D$6:D194,"&lt;&gt;"&amp;"")</f>
        <v>189</v>
      </c>
      <c r="D194" s="73" t="s">
        <v>12</v>
      </c>
      <c r="E194" s="76" t="str">
        <f aca="false">
IF($D194="정상",INDEX(임대자산!$D$3:$R$3000,MATCH($F194,임대자산!$I$3:$I$3000,0),MATCH(E$3,임대자산!$D$3:$R$3,0)),
IF($D194="폐업",INDEX(폐업정보!$D$3:$R$3000,MATCH($F194,폐업정보!$I$3:$I$3000,0),MATCH(E$3,폐업정보!$D$3:$R$3,0)),
"Error"))</f>
        <v>강원</v>
      </c>
      <c r="F19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B0189</v>
      </c>
      <c r="G194" s="76" t="str">
        <f aca="false">F194&amp;RANDBETWEEN(0,10)</f>
        <v>B01892</v>
      </c>
      <c r="H194" s="75" t="n">
        <f aca="false">
IF($D194="정상",INDEX(임대자산!$D$3:$R$3000,MATCH($F194,임대자산!$I$3:$I$3000,0),MATCH(H$4,임대자산!$D$3:$R$3,0)),
IF($D194="폐업",INDEX(폐업정보!$D$3:$R$3000,MATCH($F194,폐업정보!$I$3:$I$3000,0),MATCH(H$4,폐업정보!$D$3:$R$3,0)),
"Error"))</f>
        <v>45855</v>
      </c>
      <c r="I194" s="75" t="str">
        <f aca="false">
IF($D194="정상",INDEX(임대자산!$D$3:$R$3000,MATCH($F194,임대자산!$I$3:$I$3000,0),MATCH(I$4,임대자산!$D$3:$R$3,0)),
IF($D194="폐업",INDEX(폐업정보!$D$3:$R$3000,MATCH($F194,폐업정보!$I$3:$I$3000,0),MATCH(I$4,폐업정보!$D$3:$R$3,0)),
"Error"))</f>
        <v>A0189</v>
      </c>
      <c r="J194" s="75" t="str">
        <f aca="false">
IF($D194="정상",INDEX(임대자산!$D$3:$R$3000,MATCH($F194,임대자산!$I$3:$I$3000,0),MATCH(J$4,임대자산!$D$3:$R$3,0)),
IF($D194="폐업",INDEX(폐업정보!$D$3:$R$3000,MATCH($F194,폐업정보!$I$3:$I$3000,0),MATCH(J$4,폐업정보!$D$3:$R$3,0)),
"Error"))</f>
        <v>2247000000</v>
      </c>
      <c r="K194" s="75" t="str">
        <f aca="false">
IF($D194="정상",INDEX(임대자산!$D$3:$R$3000,MATCH($F194,임대자산!$I$3:$I$3000,0),MATCH(K$4,임대자산!$D$3:$R$3,0)),
IF($D194="폐업",INDEX(폐업정보!$D$3:$R$3000,MATCH($F194,폐업정보!$I$3:$I$3000,0),MATCH(K$4,폐업정보!$D$3:$R$3,0)),
"Error"))</f>
        <v>C0189</v>
      </c>
      <c r="L194" s="75" t="str">
        <f aca="false">
IF($D194="정상",INDEX(임대자산!$D$3:$R$3000,MATCH($F194,임대자산!$I$3:$I$3000,0),MATCH(L$4,임대자산!$D$3:$R$3,0)),
IF($D194="폐업",INDEX(폐업정보!$D$3:$R$3000,MATCH($F194,폐업정보!$I$3:$I$3000,0),MATCH(L$4,폐업정보!$D$3:$R$3,0)),
"Error"))</f>
        <v>D0189</v>
      </c>
      <c r="M194" s="76" t="s">
        <v>96</v>
      </c>
      <c r="N194" s="77"/>
      <c r="O194" s="78" t="s">
        <v>97</v>
      </c>
      <c r="P194" s="79" t="n">
        <f aca="false">COUNTIFS(임대자산!$I:$I,가맹점정보!F194,임대자산!$N:$N,가맹점정보!P$4)</f>
        <v>0</v>
      </c>
      <c r="Q194" s="80" t="n">
        <f aca="false">COUNTIFS(임대자산!$I:$I,가맹점정보!F194,임대자산!$N:$N,가맹점정보!Q$4)</f>
        <v>0</v>
      </c>
      <c r="R194" s="81" t="n">
        <f aca="false">COUNTIFS(임대자산!$I:$I,가맹점정보!F194,임대자산!$N:$N,가맹점정보!R$4)</f>
        <v>1</v>
      </c>
      <c r="S194" s="82" t="n">
        <v>55000</v>
      </c>
      <c r="T194" s="83" t="n">
        <v>0</v>
      </c>
      <c r="U194" s="80" t="n">
        <f aca="false">SUM(S194:T194)</f>
        <v>55000</v>
      </c>
      <c r="V194" s="84" t="s">
        <v>12</v>
      </c>
      <c r="W194" s="80" t="e">
        <f aca="true">
IF(D194="폐업","폐업",
IF(V194="면제","면제",
IF(AND(V194="정상",COUNTIFS(OFFSET(Y194,0,COUNTA(Y194:AV194)-1,1,-4),"미납")&gt;=3),"장기미납",
IF(AND(V194="정상",OFFSET(Y194,0,COUNTA(Y194:AV194)-1)&gt;=U194),"정상",
IF(AND(V194="정상",OFFSET(Y194,0,COUNTA(Y194:AV194)-1)=0),"정상",
"계약서 미작성")))))</f>
        <v>#VALUE!</v>
      </c>
      <c r="X194" s="81" t="str">
        <f aca="true">
IF(D194="폐업","폐업",
IF(AND(V194="정상",OFFSET(Y194,0,COUNTA(Y194:AV194)-1)="미납"),"미납",
IF(AND(V194="정상",OFFSET(Y194,0,COUNTA(Y194:AV194)-1)=0),"납부 시작 전",
IF(AND(V194="정상",OFFSET(Y194,0,COUNTA(Y194:AV194)-1)&gt;=U194),"정상",
IF(AND(V194="면제",OFFSET(Y194,0,COUNTA(Y194:AV194)-1)="면제"),"면제",
IF(AND(V194="면제",OFFSET(Y194,0,COUNTA(Y194:AV194)-1)=0),"면제",
"확인요청"))))))</f>
        <v>미납</v>
      </c>
      <c r="Y194" s="94" t="s">
        <v>7</v>
      </c>
      <c r="Z194" s="95" t="s">
        <v>7</v>
      </c>
      <c r="AA194" s="95" t="s">
        <v>7</v>
      </c>
      <c r="AB194" s="95" t="s">
        <v>7</v>
      </c>
      <c r="AC194" s="95" t="s">
        <v>7</v>
      </c>
      <c r="AD194" s="95" t="s">
        <v>7</v>
      </c>
      <c r="AE194" s="95" t="s">
        <v>7</v>
      </c>
      <c r="AF194" s="95" t="s">
        <v>7</v>
      </c>
      <c r="AG194" s="95" t="s">
        <v>7</v>
      </c>
      <c r="AH194" s="95" t="s">
        <v>7</v>
      </c>
      <c r="AI194" s="95" t="s">
        <v>7</v>
      </c>
      <c r="AJ194" s="96" t="s">
        <v>7</v>
      </c>
      <c r="AK194" s="97" t="s">
        <v>7</v>
      </c>
      <c r="AL194" s="95" t="s">
        <v>62</v>
      </c>
      <c r="AM194" s="90"/>
      <c r="AN194" s="90"/>
      <c r="AO194" s="90"/>
      <c r="AP194" s="90"/>
      <c r="AQ194" s="90"/>
      <c r="AR194" s="90"/>
      <c r="AS194" s="90"/>
      <c r="AT194" s="90"/>
      <c r="AU194" s="90"/>
      <c r="AV194" s="91"/>
      <c r="AX194" s="92"/>
    </row>
    <row r="195" customFormat="false" ht="15.65" hidden="false" customHeight="false" outlineLevel="0" collapsed="false">
      <c r="C195" s="72" t="n">
        <f aca="false">COUNTIFS($D$6:D195,"&lt;&gt;"&amp;"")</f>
        <v>190</v>
      </c>
      <c r="D195" s="73" t="s">
        <v>12</v>
      </c>
      <c r="E195" s="76" t="str">
        <f aca="false">
IF($D195="정상",INDEX(임대자산!$D$3:$R$3000,MATCH($F195,임대자산!$I$3:$I$3000,0),MATCH(E$3,임대자산!$D$3:$R$3,0)),
IF($D195="폐업",INDEX(폐업정보!$D$3:$R$3000,MATCH($F195,폐업정보!$I$3:$I$3000,0),MATCH(E$3,폐업정보!$D$3:$R$3,0)),
"Error"))</f>
        <v>경상</v>
      </c>
      <c r="F19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B0190</v>
      </c>
      <c r="G195" s="76" t="str">
        <f aca="false">F195&amp;RANDBETWEEN(0,10)</f>
        <v>B01905</v>
      </c>
      <c r="H195" s="75" t="n">
        <f aca="false">
IF($D195="정상",INDEX(임대자산!$D$3:$R$3000,MATCH($F195,임대자산!$I$3:$I$3000,0),MATCH(H$4,임대자산!$D$3:$R$3,0)),
IF($D195="폐업",INDEX(폐업정보!$D$3:$R$3000,MATCH($F195,폐업정보!$I$3:$I$3000,0),MATCH(H$4,폐업정보!$D$3:$R$3,0)),
"Error"))</f>
        <v>44824</v>
      </c>
      <c r="I195" s="75" t="str">
        <f aca="false">
IF($D195="정상",INDEX(임대자산!$D$3:$R$3000,MATCH($F195,임대자산!$I$3:$I$3000,0),MATCH(I$4,임대자산!$D$3:$R$3,0)),
IF($D195="폐업",INDEX(폐업정보!$D$3:$R$3000,MATCH($F195,폐업정보!$I$3:$I$3000,0),MATCH(I$4,폐업정보!$D$3:$R$3,0)),
"Error"))</f>
        <v>A0190</v>
      </c>
      <c r="J195" s="75" t="str">
        <f aca="false">
IF($D195="정상",INDEX(임대자산!$D$3:$R$3000,MATCH($F195,임대자산!$I$3:$I$3000,0),MATCH(J$4,임대자산!$D$3:$R$3,0)),
IF($D195="폐업",INDEX(폐업정보!$D$3:$R$3000,MATCH($F195,폐업정보!$I$3:$I$3000,0),MATCH(J$4,폐업정보!$D$3:$R$3,0)),
"Error"))</f>
        <v>4750000000</v>
      </c>
      <c r="K195" s="75" t="str">
        <f aca="false">
IF($D195="정상",INDEX(임대자산!$D$3:$R$3000,MATCH($F195,임대자산!$I$3:$I$3000,0),MATCH(K$4,임대자산!$D$3:$R$3,0)),
IF($D195="폐업",INDEX(폐업정보!$D$3:$R$3000,MATCH($F195,폐업정보!$I$3:$I$3000,0),MATCH(K$4,폐업정보!$D$3:$R$3,0)),
"Error"))</f>
        <v>C0190</v>
      </c>
      <c r="L195" s="75" t="str">
        <f aca="false">
IF($D195="정상",INDEX(임대자산!$D$3:$R$3000,MATCH($F195,임대자산!$I$3:$I$3000,0),MATCH(L$4,임대자산!$D$3:$R$3,0)),
IF($D195="폐업",INDEX(폐업정보!$D$3:$R$3000,MATCH($F195,폐업정보!$I$3:$I$3000,0),MATCH(L$4,폐업정보!$D$3:$R$3,0)),
"Error"))</f>
        <v>D0190</v>
      </c>
      <c r="M195" s="76" t="s">
        <v>96</v>
      </c>
      <c r="N195" s="77"/>
      <c r="O195" s="78" t="s">
        <v>97</v>
      </c>
      <c r="P195" s="79" t="n">
        <f aca="false">COUNTIFS(임대자산!$I:$I,가맹점정보!F195,임대자산!$N:$N,가맹점정보!P$4)</f>
        <v>0</v>
      </c>
      <c r="Q195" s="80" t="n">
        <f aca="false">COUNTIFS(임대자산!$I:$I,가맹점정보!F195,임대자산!$N:$N,가맹점정보!Q$4)</f>
        <v>0</v>
      </c>
      <c r="R195" s="81" t="n">
        <f aca="false">COUNTIFS(임대자산!$I:$I,가맹점정보!F195,임대자산!$N:$N,가맹점정보!R$4)</f>
        <v>1</v>
      </c>
      <c r="S195" s="82" t="n">
        <v>55000</v>
      </c>
      <c r="T195" s="83" t="n">
        <v>0</v>
      </c>
      <c r="U195" s="80" t="n">
        <f aca="false">SUM(S195:T195)</f>
        <v>55000</v>
      </c>
      <c r="V195" s="84" t="s">
        <v>7</v>
      </c>
      <c r="W195" s="80" t="str">
        <f aca="true">
IF(D195="폐업","폐업",
IF(V195="면제","면제",
IF(AND(V195="정상",COUNTIFS(OFFSET(Y195,0,COUNTA(Y195:AV195)-1,1,-4),"미납")&gt;=3),"장기미납",
IF(AND(V195="정상",OFFSET(Y195,0,COUNTA(Y195:AV195)-1)&gt;=U195),"정상",
IF(AND(V195="정상",OFFSET(Y195,0,COUNTA(Y195:AV195)-1)=0),"정상",
"계약서 미작성")))))</f>
        <v>면제</v>
      </c>
      <c r="X195" s="81" t="str">
        <f aca="true">
IF(D195="폐업","폐업",
IF(AND(V195="정상",OFFSET(Y195,0,COUNTA(Y195:AV195)-1)="미납"),"미납",
IF(AND(V195="정상",OFFSET(Y195,0,COUNTA(Y195:AV195)-1)=0),"납부 시작 전",
IF(AND(V195="정상",OFFSET(Y195,0,COUNTA(Y195:AV195)-1)&gt;=U195),"정상",
IF(AND(V195="면제",OFFSET(Y195,0,COUNTA(Y195:AV195)-1)="면제"),"면제",
IF(AND(V195="면제",OFFSET(Y195,0,COUNTA(Y195:AV195)-1)=0),"면제",
"확인요청"))))))</f>
        <v>면제</v>
      </c>
      <c r="Y195" s="94" t="s">
        <v>7</v>
      </c>
      <c r="Z195" s="95" t="s">
        <v>7</v>
      </c>
      <c r="AA195" s="95" t="s">
        <v>7</v>
      </c>
      <c r="AB195" s="95" t="s">
        <v>7</v>
      </c>
      <c r="AC195" s="95" t="s">
        <v>7</v>
      </c>
      <c r="AD195" s="95" t="s">
        <v>7</v>
      </c>
      <c r="AE195" s="95" t="s">
        <v>7</v>
      </c>
      <c r="AF195" s="95" t="s">
        <v>7</v>
      </c>
      <c r="AG195" s="95" t="s">
        <v>7</v>
      </c>
      <c r="AH195" s="95" t="s">
        <v>7</v>
      </c>
      <c r="AI195" s="95" t="s">
        <v>7</v>
      </c>
      <c r="AJ195" s="96" t="s">
        <v>7</v>
      </c>
      <c r="AK195" s="97" t="s">
        <v>7</v>
      </c>
      <c r="AL195" s="95" t="s">
        <v>7</v>
      </c>
      <c r="AM195" s="90"/>
      <c r="AN195" s="90"/>
      <c r="AO195" s="90"/>
      <c r="AP195" s="90"/>
      <c r="AQ195" s="90"/>
      <c r="AR195" s="90"/>
      <c r="AS195" s="90"/>
      <c r="AT195" s="90"/>
      <c r="AU195" s="90"/>
      <c r="AV195" s="91"/>
      <c r="AX195" s="92"/>
    </row>
    <row r="196" customFormat="false" ht="15.65" hidden="false" customHeight="false" outlineLevel="0" collapsed="false">
      <c r="C196" s="72" t="n">
        <f aca="false">COUNTIFS($D$6:D196,"&lt;&gt;"&amp;"")</f>
        <v>191</v>
      </c>
      <c r="D196" s="73" t="s">
        <v>12</v>
      </c>
      <c r="E196" s="76" t="str">
        <f aca="false">
IF($D196="정상",INDEX(임대자산!$D$3:$R$3000,MATCH($F196,임대자산!$I$3:$I$3000,0),MATCH(E$3,임대자산!$D$3:$R$3,0)),
IF($D196="폐업",INDEX(폐업정보!$D$3:$R$3000,MATCH($F196,폐업정보!$I$3:$I$3000,0),MATCH(E$3,폐업정보!$D$3:$R$3,0)),
"Error"))</f>
        <v>서울</v>
      </c>
      <c r="F19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B0191</v>
      </c>
      <c r="G196" s="76" t="str">
        <f aca="false">F196&amp;RANDBETWEEN(0,10)</f>
        <v>B01910</v>
      </c>
      <c r="H196" s="75" t="n">
        <f aca="false">
IF($D196="정상",INDEX(임대자산!$D$3:$R$3000,MATCH($F196,임대자산!$I$3:$I$3000,0),MATCH(H$4,임대자산!$D$3:$R$3,0)),
IF($D196="폐업",INDEX(폐업정보!$D$3:$R$3000,MATCH($F196,폐업정보!$I$3:$I$3000,0),MATCH(H$4,폐업정보!$D$3:$R$3,0)),
"Error"))</f>
        <v>44830</v>
      </c>
      <c r="I196" s="75" t="str">
        <f aca="false">
IF($D196="정상",INDEX(임대자산!$D$3:$R$3000,MATCH($F196,임대자산!$I$3:$I$3000,0),MATCH(I$4,임대자산!$D$3:$R$3,0)),
IF($D196="폐업",INDEX(폐업정보!$D$3:$R$3000,MATCH($F196,폐업정보!$I$3:$I$3000,0),MATCH(I$4,폐업정보!$D$3:$R$3,0)),
"Error"))</f>
        <v>A0191</v>
      </c>
      <c r="J196" s="75" t="str">
        <f aca="false">
IF($D196="정상",INDEX(임대자산!$D$3:$R$3000,MATCH($F196,임대자산!$I$3:$I$3000,0),MATCH(J$4,임대자산!$D$3:$R$3,0)),
IF($D196="폐업",INDEX(폐업정보!$D$3:$R$3000,MATCH($F196,폐업정보!$I$3:$I$3000,0),MATCH(J$4,폐업정보!$D$3:$R$3,0)),
"Error"))</f>
        <v>8737400000</v>
      </c>
      <c r="K196" s="75" t="str">
        <f aca="false">
IF($D196="정상",INDEX(임대자산!$D$3:$R$3000,MATCH($F196,임대자산!$I$3:$I$3000,0),MATCH(K$4,임대자산!$D$3:$R$3,0)),
IF($D196="폐업",INDEX(폐업정보!$D$3:$R$3000,MATCH($F196,폐업정보!$I$3:$I$3000,0),MATCH(K$4,폐업정보!$D$3:$R$3,0)),
"Error"))</f>
        <v>C0191</v>
      </c>
      <c r="L196" s="75" t="str">
        <f aca="false">
IF($D196="정상",INDEX(임대자산!$D$3:$R$3000,MATCH($F196,임대자산!$I$3:$I$3000,0),MATCH(L$4,임대자산!$D$3:$R$3,0)),
IF($D196="폐업",INDEX(폐업정보!$D$3:$R$3000,MATCH($F196,폐업정보!$I$3:$I$3000,0),MATCH(L$4,폐업정보!$D$3:$R$3,0)),
"Error"))</f>
        <v>D0191</v>
      </c>
      <c r="M196" s="76" t="s">
        <v>96</v>
      </c>
      <c r="N196" s="77"/>
      <c r="O196" s="78" t="s">
        <v>97</v>
      </c>
      <c r="P196" s="79" t="n">
        <f aca="false">COUNTIFS(임대자산!$I:$I,가맹점정보!F196,임대자산!$N:$N,가맹점정보!P$4)</f>
        <v>0</v>
      </c>
      <c r="Q196" s="80" t="n">
        <f aca="false">COUNTIFS(임대자산!$I:$I,가맹점정보!F196,임대자산!$N:$N,가맹점정보!Q$4)</f>
        <v>0</v>
      </c>
      <c r="R196" s="81" t="n">
        <f aca="false">COUNTIFS(임대자산!$I:$I,가맹점정보!F196,임대자산!$N:$N,가맹점정보!R$4)</f>
        <v>1</v>
      </c>
      <c r="S196" s="82" t="n">
        <v>55000</v>
      </c>
      <c r="T196" s="83" t="n">
        <v>0</v>
      </c>
      <c r="U196" s="80" t="n">
        <f aca="false">SUM(S196:T196)</f>
        <v>55000</v>
      </c>
      <c r="V196" s="84" t="s">
        <v>12</v>
      </c>
      <c r="W196" s="80" t="e">
        <f aca="true">
IF(D196="폐업","폐업",
IF(V196="면제","면제",
IF(AND(V196="정상",COUNTIFS(OFFSET(Y196,0,COUNTA(Y196:AV196)-1,1,-4),"미납")&gt;=3),"장기미납",
IF(AND(V196="정상",OFFSET(Y196,0,COUNTA(Y196:AV196)-1)&gt;=U196),"정상",
IF(AND(V196="정상",OFFSET(Y196,0,COUNTA(Y196:AV196)-1)=0),"정상",
"계약서 미작성")))))</f>
        <v>#VALUE!</v>
      </c>
      <c r="X196" s="81" t="str">
        <f aca="true">
IF(D196="폐업","폐업",
IF(AND(V196="정상",OFFSET(Y196,0,COUNTA(Y196:AV196)-1)="미납"),"미납",
IF(AND(V196="정상",OFFSET(Y196,0,COUNTA(Y196:AV196)-1)=0),"납부 시작 전",
IF(AND(V196="정상",OFFSET(Y196,0,COUNTA(Y196:AV196)-1)&gt;=U196),"정상",
IF(AND(V196="면제",OFFSET(Y196,0,COUNTA(Y196:AV196)-1)="면제"),"면제",
IF(AND(V196="면제",OFFSET(Y196,0,COUNTA(Y196:AV196)-1)=0),"면제",
"확인요청"))))))</f>
        <v>정상</v>
      </c>
      <c r="Y196" s="93" t="s">
        <v>99</v>
      </c>
      <c r="Z196" s="90" t="n">
        <v>110000</v>
      </c>
      <c r="AA196" s="90" t="n">
        <v>55000</v>
      </c>
      <c r="AB196" s="90" t="n">
        <v>55000</v>
      </c>
      <c r="AC196" s="90" t="n">
        <v>55000</v>
      </c>
      <c r="AD196" s="90" t="n">
        <v>55000</v>
      </c>
      <c r="AE196" s="90" t="n">
        <v>55000</v>
      </c>
      <c r="AF196" s="90" t="n">
        <v>55000</v>
      </c>
      <c r="AG196" s="90" t="n">
        <v>55000</v>
      </c>
      <c r="AH196" s="90" t="n">
        <v>55000</v>
      </c>
      <c r="AI196" s="90" t="n">
        <v>55000</v>
      </c>
      <c r="AJ196" s="91" t="n">
        <v>55000</v>
      </c>
      <c r="AK196" s="89" t="n">
        <v>55000</v>
      </c>
      <c r="AL196" s="90" t="n">
        <v>55000</v>
      </c>
      <c r="AM196" s="90"/>
      <c r="AN196" s="90"/>
      <c r="AO196" s="90"/>
      <c r="AP196" s="90"/>
      <c r="AQ196" s="90"/>
      <c r="AR196" s="90"/>
      <c r="AS196" s="90"/>
      <c r="AT196" s="90"/>
      <c r="AU196" s="90"/>
      <c r="AV196" s="91"/>
      <c r="AX196" s="92"/>
    </row>
    <row r="197" customFormat="false" ht="15.65" hidden="false" customHeight="false" outlineLevel="0" collapsed="false">
      <c r="C197" s="72" t="n">
        <f aca="false">COUNTIFS($D$6:D197,"&lt;&gt;"&amp;"")</f>
        <v>192</v>
      </c>
      <c r="D197" s="73" t="s">
        <v>5</v>
      </c>
      <c r="E197" s="76" t="str">
        <f aca="false">
IF($D197="정상",INDEX(임대자산!$D$3:$R$3000,MATCH($F197,임대자산!$I$3:$I$3000,0),MATCH(E$3,임대자산!$D$3:$R$3,0)),
IF($D197="폐업",INDEX(폐업정보!$D$3:$R$3000,MATCH($F197,폐업정보!$I$3:$I$3000,0),MATCH(E$3,폐업정보!$D$3:$R$3,0)),
"Error"))</f>
        <v>서울</v>
      </c>
      <c r="F19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B0192</v>
      </c>
      <c r="G197" s="76" t="str">
        <f aca="false">F197&amp;RANDBETWEEN(0,10)</f>
        <v>B01928</v>
      </c>
      <c r="H197" s="75" t="n">
        <f aca="false">
IF($D197="정상",INDEX(임대자산!$D$3:$R$3000,MATCH($F197,임대자산!$I$3:$I$3000,0),MATCH(H$4,임대자산!$D$3:$R$3,0)),
IF($D197="폐업",INDEX(폐업정보!$D$3:$R$3000,MATCH($F197,폐업정보!$I$3:$I$3000,0),MATCH(H$4,폐업정보!$D$3:$R$3,0)),
"Error"))</f>
        <v>44830</v>
      </c>
      <c r="I197" s="75" t="str">
        <f aca="false">
IF($D197="정상",INDEX(임대자산!$D$3:$R$3000,MATCH($F197,임대자산!$I$3:$I$3000,0),MATCH(I$4,임대자산!$D$3:$R$3,0)),
IF($D197="폐업",INDEX(폐업정보!$D$3:$R$3000,MATCH($F197,폐업정보!$I$3:$I$3000,0),MATCH(I$4,폐업정보!$D$3:$R$3,0)),
"Error"))</f>
        <v>A0192</v>
      </c>
      <c r="J197" s="75" t="str">
        <f aca="false">
IF($D197="정상",INDEX(임대자산!$D$3:$R$3000,MATCH($F197,임대자산!$I$3:$I$3000,0),MATCH(J$4,임대자산!$D$3:$R$3,0)),
IF($D197="폐업",INDEX(폐업정보!$D$3:$R$3000,MATCH($F197,폐업정보!$I$3:$I$3000,0),MATCH(J$4,폐업정보!$D$3:$R$3,0)),
"Error"))</f>
        <v>2749300000</v>
      </c>
      <c r="K197" s="75" t="str">
        <f aca="false">
IF($D197="정상",INDEX(임대자산!$D$3:$R$3000,MATCH($F197,임대자산!$I$3:$I$3000,0),MATCH(K$4,임대자산!$D$3:$R$3,0)),
IF($D197="폐업",INDEX(폐업정보!$D$3:$R$3000,MATCH($F197,폐업정보!$I$3:$I$3000,0),MATCH(K$4,폐업정보!$D$3:$R$3,0)),
"Error"))</f>
        <v>C0192</v>
      </c>
      <c r="L197" s="75" t="str">
        <f aca="false">
IF($D197="정상",INDEX(임대자산!$D$3:$R$3000,MATCH($F197,임대자산!$I$3:$I$3000,0),MATCH(L$4,임대자산!$D$3:$R$3,0)),
IF($D197="폐업",INDEX(폐업정보!$D$3:$R$3000,MATCH($F197,폐업정보!$I$3:$I$3000,0),MATCH(L$4,폐업정보!$D$3:$R$3,0)),
"Error"))</f>
        <v>D0192</v>
      </c>
      <c r="M197" s="76" t="s">
        <v>96</v>
      </c>
      <c r="N197" s="77"/>
      <c r="O197" s="78" t="s">
        <v>97</v>
      </c>
      <c r="P197" s="79" t="n">
        <f aca="false">COUNTIFS(임대자산!$I:$I,가맹점정보!F197,임대자산!$N:$N,가맹점정보!P$4)</f>
        <v>0</v>
      </c>
      <c r="Q197" s="80" t="n">
        <f aca="false">COUNTIFS(임대자산!$I:$I,가맹점정보!F197,임대자산!$N:$N,가맹점정보!Q$4)</f>
        <v>0</v>
      </c>
      <c r="R197" s="81" t="n">
        <f aca="false">COUNTIFS(임대자산!$I:$I,가맹점정보!F197,임대자산!$N:$N,가맹점정보!R$4)</f>
        <v>0</v>
      </c>
      <c r="S197" s="82" t="n">
        <v>88000</v>
      </c>
      <c r="T197" s="83" t="n">
        <v>0</v>
      </c>
      <c r="U197" s="80" t="n">
        <f aca="false">SUM(S197:T197)</f>
        <v>88000</v>
      </c>
      <c r="V197" s="84" t="s">
        <v>7</v>
      </c>
      <c r="W197" s="80" t="str">
        <f aca="true">
IF(D197="폐업","폐업",
IF(V197="면제","면제",
IF(AND(V197="정상",COUNTIFS(OFFSET(Y197,0,COUNTA(Y197:AV197)-1,1,-4),"미납")&gt;=3),"장기미납",
IF(AND(V197="정상",OFFSET(Y197,0,COUNTA(Y197:AV197)-1)&gt;=U197),"정상",
IF(AND(V197="정상",OFFSET(Y197,0,COUNTA(Y197:AV197)-1)=0),"정상",
"계약서 미작성")))))</f>
        <v>폐업</v>
      </c>
      <c r="X197" s="81" t="str">
        <f aca="true">
IF(D197="폐업","폐업",
IF(AND(V197="정상",OFFSET(Y197,0,COUNTA(Y197:AV197)-1)="미납"),"미납",
IF(AND(V197="정상",OFFSET(Y197,0,COUNTA(Y197:AV197)-1)=0),"납부 시작 전",
IF(AND(V197="정상",OFFSET(Y197,0,COUNTA(Y197:AV197)-1)&gt;=U197),"정상",
IF(AND(V197="면제",OFFSET(Y197,0,COUNTA(Y197:AV197)-1)="면제"),"면제",
IF(AND(V197="면제",OFFSET(Y197,0,COUNTA(Y197:AV197)-1)=0),"면제",
"확인요청"))))))</f>
        <v>폐업</v>
      </c>
      <c r="Y197" s="94" t="s">
        <v>7</v>
      </c>
      <c r="Z197" s="95" t="s">
        <v>7</v>
      </c>
      <c r="AA197" s="95" t="s">
        <v>7</v>
      </c>
      <c r="AB197" s="95" t="s">
        <v>7</v>
      </c>
      <c r="AC197" s="95" t="s">
        <v>7</v>
      </c>
      <c r="AD197" s="95" t="s">
        <v>7</v>
      </c>
      <c r="AE197" s="95" t="s">
        <v>7</v>
      </c>
      <c r="AF197" s="95" t="s">
        <v>7</v>
      </c>
      <c r="AG197" s="95" t="s">
        <v>7</v>
      </c>
      <c r="AH197" s="95" t="s">
        <v>7</v>
      </c>
      <c r="AI197" s="95" t="s">
        <v>7</v>
      </c>
      <c r="AJ197" s="96" t="s">
        <v>7</v>
      </c>
      <c r="AK197" s="97" t="s">
        <v>7</v>
      </c>
      <c r="AL197" s="95" t="s">
        <v>7</v>
      </c>
      <c r="AM197" s="90"/>
      <c r="AN197" s="90"/>
      <c r="AO197" s="90"/>
      <c r="AP197" s="90"/>
      <c r="AQ197" s="90"/>
      <c r="AR197" s="90"/>
      <c r="AS197" s="90"/>
      <c r="AT197" s="90"/>
      <c r="AU197" s="90"/>
      <c r="AV197" s="91"/>
      <c r="AX197" s="92"/>
    </row>
    <row r="198" customFormat="false" ht="15.65" hidden="false" customHeight="false" outlineLevel="0" collapsed="false">
      <c r="C198" s="72" t="n">
        <f aca="false">COUNTIFS($D$6:D198,"&lt;&gt;"&amp;"")</f>
        <v>193</v>
      </c>
      <c r="D198" s="73" t="s">
        <v>12</v>
      </c>
      <c r="E198" s="76" t="str">
        <f aca="false">
IF($D198="정상",INDEX(임대자산!$D$3:$R$3000,MATCH($F198,임대자산!$I$3:$I$3000,0),MATCH(E$3,임대자산!$D$3:$R$3,0)),
IF($D198="폐업",INDEX(폐업정보!$D$3:$R$3000,MATCH($F198,폐업정보!$I$3:$I$3000,0),MATCH(E$3,폐업정보!$D$3:$R$3,0)),
"Error"))</f>
        <v>강원</v>
      </c>
      <c r="F19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B0193</v>
      </c>
      <c r="G198" s="76" t="str">
        <f aca="false">F198&amp;RANDBETWEEN(0,10)</f>
        <v>B01934</v>
      </c>
      <c r="H198" s="75" t="n">
        <f aca="false">
IF($D198="정상",INDEX(임대자산!$D$3:$R$3000,MATCH($F198,임대자산!$I$3:$I$3000,0),MATCH(H$4,임대자산!$D$3:$R$3,0)),
IF($D198="폐업",INDEX(폐업정보!$D$3:$R$3000,MATCH($F198,폐업정보!$I$3:$I$3000,0),MATCH(H$4,폐업정보!$D$3:$R$3,0)),
"Error"))</f>
        <v>44820</v>
      </c>
      <c r="I198" s="75" t="str">
        <f aca="false">
IF($D198="정상",INDEX(임대자산!$D$3:$R$3000,MATCH($F198,임대자산!$I$3:$I$3000,0),MATCH(I$4,임대자산!$D$3:$R$3,0)),
IF($D198="폐업",INDEX(폐업정보!$D$3:$R$3000,MATCH($F198,폐업정보!$I$3:$I$3000,0),MATCH(I$4,폐업정보!$D$3:$R$3,0)),
"Error"))</f>
        <v>A0193</v>
      </c>
      <c r="J198" s="75" t="str">
        <f aca="false">
IF($D198="정상",INDEX(임대자산!$D$3:$R$3000,MATCH($F198,임대자산!$I$3:$I$3000,0),MATCH(J$4,임대자산!$D$3:$R$3,0)),
IF($D198="폐업",INDEX(폐업정보!$D$3:$R$3000,MATCH($F198,폐업정보!$I$3:$I$3000,0),MATCH(J$4,폐업정보!$D$3:$R$3,0)),
"Error"))</f>
        <v>5074200000</v>
      </c>
      <c r="K198" s="75" t="str">
        <f aca="false">
IF($D198="정상",INDEX(임대자산!$D$3:$R$3000,MATCH($F198,임대자산!$I$3:$I$3000,0),MATCH(K$4,임대자산!$D$3:$R$3,0)),
IF($D198="폐업",INDEX(폐업정보!$D$3:$R$3000,MATCH($F198,폐업정보!$I$3:$I$3000,0),MATCH(K$4,폐업정보!$D$3:$R$3,0)),
"Error"))</f>
        <v>C0193</v>
      </c>
      <c r="L198" s="75" t="str">
        <f aca="false">
IF($D198="정상",INDEX(임대자산!$D$3:$R$3000,MATCH($F198,임대자산!$I$3:$I$3000,0),MATCH(L$4,임대자산!$D$3:$R$3,0)),
IF($D198="폐업",INDEX(폐업정보!$D$3:$R$3000,MATCH($F198,폐업정보!$I$3:$I$3000,0),MATCH(L$4,폐업정보!$D$3:$R$3,0)),
"Error"))</f>
        <v>D0193</v>
      </c>
      <c r="M198" s="76" t="s">
        <v>96</v>
      </c>
      <c r="N198" s="77"/>
      <c r="O198" s="78" t="s">
        <v>97</v>
      </c>
      <c r="P198" s="79" t="n">
        <f aca="false">COUNTIFS(임대자산!$I:$I,가맹점정보!F198,임대자산!$N:$N,가맹점정보!P$4)</f>
        <v>0</v>
      </c>
      <c r="Q198" s="80" t="n">
        <f aca="false">COUNTIFS(임대자산!$I:$I,가맹점정보!F198,임대자산!$N:$N,가맹점정보!Q$4)</f>
        <v>0</v>
      </c>
      <c r="R198" s="81" t="n">
        <f aca="false">COUNTIFS(임대자산!$I:$I,가맹점정보!F198,임대자산!$N:$N,가맹점정보!R$4)</f>
        <v>1</v>
      </c>
      <c r="S198" s="82" t="n">
        <v>55000</v>
      </c>
      <c r="T198" s="83" t="n">
        <v>0</v>
      </c>
      <c r="U198" s="80" t="n">
        <f aca="false">SUM(S198:T198)</f>
        <v>55000</v>
      </c>
      <c r="V198" s="84" t="s">
        <v>12</v>
      </c>
      <c r="W198" s="80" t="e">
        <f aca="true">
IF(D198="폐업","폐업",
IF(V198="면제","면제",
IF(AND(V198="정상",COUNTIFS(OFFSET(Y198,0,COUNTA(Y198:AV198)-1,1,-4),"미납")&gt;=3),"장기미납",
IF(AND(V198="정상",OFFSET(Y198,0,COUNTA(Y198:AV198)-1)&gt;=U198),"정상",
IF(AND(V198="정상",OFFSET(Y198,0,COUNTA(Y198:AV198)-1)=0),"정상",
"계약서 미작성")))))</f>
        <v>#VALUE!</v>
      </c>
      <c r="X198" s="81" t="str">
        <f aca="true">
IF(D198="폐업","폐업",
IF(AND(V198="정상",OFFSET(Y198,0,COUNTA(Y198:AV198)-1)="미납"),"미납",
IF(AND(V198="정상",OFFSET(Y198,0,COUNTA(Y198:AV198)-1)=0),"납부 시작 전",
IF(AND(V198="정상",OFFSET(Y198,0,COUNTA(Y198:AV198)-1)&gt;=U198),"정상",
IF(AND(V198="면제",OFFSET(Y198,0,COUNTA(Y198:AV198)-1)="면제"),"면제",
IF(AND(V198="면제",OFFSET(Y198,0,COUNTA(Y198:AV198)-1)=0),"면제",
"확인요청"))))))</f>
        <v>정상</v>
      </c>
      <c r="Y198" s="93" t="n">
        <v>55000</v>
      </c>
      <c r="Z198" s="90" t="n">
        <v>55000</v>
      </c>
      <c r="AA198" s="90" t="n">
        <v>55000</v>
      </c>
      <c r="AB198" s="90" t="n">
        <v>55000</v>
      </c>
      <c r="AC198" s="90" t="n">
        <v>55000</v>
      </c>
      <c r="AD198" s="90" t="n">
        <v>55000</v>
      </c>
      <c r="AE198" s="90" t="n">
        <v>55000</v>
      </c>
      <c r="AF198" s="90" t="n">
        <v>55000</v>
      </c>
      <c r="AG198" s="90" t="n">
        <v>55000</v>
      </c>
      <c r="AH198" s="90" t="n">
        <v>55000</v>
      </c>
      <c r="AI198" s="90" t="n">
        <v>55000</v>
      </c>
      <c r="AJ198" s="91" t="n">
        <v>55000</v>
      </c>
      <c r="AK198" s="89" t="n">
        <v>55000</v>
      </c>
      <c r="AL198" s="90" t="n">
        <v>55000</v>
      </c>
      <c r="AM198" s="90"/>
      <c r="AN198" s="90"/>
      <c r="AO198" s="90"/>
      <c r="AP198" s="90"/>
      <c r="AQ198" s="90"/>
      <c r="AR198" s="90"/>
      <c r="AS198" s="90"/>
      <c r="AT198" s="90"/>
      <c r="AU198" s="90"/>
      <c r="AV198" s="91"/>
      <c r="AX198" s="92"/>
    </row>
    <row r="199" customFormat="false" ht="15.65" hidden="false" customHeight="false" outlineLevel="0" collapsed="false">
      <c r="C199" s="72" t="n">
        <f aca="false">COUNTIFS($D$6:D199,"&lt;&gt;"&amp;"")</f>
        <v>194</v>
      </c>
      <c r="D199" s="73" t="s">
        <v>12</v>
      </c>
      <c r="E199" s="76" t="str">
        <f aca="false">
IF($D199="정상",INDEX(임대자산!$D$3:$R$3000,MATCH($F199,임대자산!$I$3:$I$3000,0),MATCH(E$3,임대자산!$D$3:$R$3,0)),
IF($D199="폐업",INDEX(폐업정보!$D$3:$R$3000,MATCH($F199,폐업정보!$I$3:$I$3000,0),MATCH(E$3,폐업정보!$D$3:$R$3,0)),
"Error"))</f>
        <v>강원</v>
      </c>
      <c r="F19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B0194</v>
      </c>
      <c r="G199" s="76" t="str">
        <f aca="false">F199&amp;RANDBETWEEN(0,10)</f>
        <v>B019410</v>
      </c>
      <c r="H199" s="75" t="n">
        <f aca="false">
IF($D199="정상",INDEX(임대자산!$D$3:$R$3000,MATCH($F199,임대자산!$I$3:$I$3000,0),MATCH(H$4,임대자산!$D$3:$R$3,0)),
IF($D199="폐업",INDEX(폐업정보!$D$3:$R$3000,MATCH($F199,폐업정보!$I$3:$I$3000,0),MATCH(H$4,폐업정보!$D$3:$R$3,0)),
"Error"))</f>
        <v>45219</v>
      </c>
      <c r="I199" s="75" t="str">
        <f aca="false">
IF($D199="정상",INDEX(임대자산!$D$3:$R$3000,MATCH($F199,임대자산!$I$3:$I$3000,0),MATCH(I$4,임대자산!$D$3:$R$3,0)),
IF($D199="폐업",INDEX(폐업정보!$D$3:$R$3000,MATCH($F199,폐업정보!$I$3:$I$3000,0),MATCH(I$4,폐업정보!$D$3:$R$3,0)),
"Error"))</f>
        <v>A0194</v>
      </c>
      <c r="J199" s="75" t="str">
        <f aca="false">
IF($D199="정상",INDEX(임대자산!$D$3:$R$3000,MATCH($F199,임대자산!$I$3:$I$3000,0),MATCH(J$4,임대자산!$D$3:$R$3,0)),
IF($D199="폐업",INDEX(폐업정보!$D$3:$R$3000,MATCH($F199,폐업정보!$I$3:$I$3000,0),MATCH(J$4,폐업정보!$D$3:$R$3,0)),
"Error"))</f>
        <v>3677300000</v>
      </c>
      <c r="K199" s="75" t="str">
        <f aca="false">
IF($D199="정상",INDEX(임대자산!$D$3:$R$3000,MATCH($F199,임대자산!$I$3:$I$3000,0),MATCH(K$4,임대자산!$D$3:$R$3,0)),
IF($D199="폐업",INDEX(폐업정보!$D$3:$R$3000,MATCH($F199,폐업정보!$I$3:$I$3000,0),MATCH(K$4,폐업정보!$D$3:$R$3,0)),
"Error"))</f>
        <v>C0194</v>
      </c>
      <c r="L199" s="75" t="str">
        <f aca="false">
IF($D199="정상",INDEX(임대자산!$D$3:$R$3000,MATCH($F199,임대자산!$I$3:$I$3000,0),MATCH(L$4,임대자산!$D$3:$R$3,0)),
IF($D199="폐업",INDEX(폐업정보!$D$3:$R$3000,MATCH($F199,폐업정보!$I$3:$I$3000,0),MATCH(L$4,폐업정보!$D$3:$R$3,0)),
"Error"))</f>
        <v>D0194</v>
      </c>
      <c r="M199" s="76" t="s">
        <v>96</v>
      </c>
      <c r="N199" s="77"/>
      <c r="O199" s="78" t="s">
        <v>97</v>
      </c>
      <c r="P199" s="79" t="n">
        <f aca="false">COUNTIFS(임대자산!$I:$I,가맹점정보!F199,임대자산!$N:$N,가맹점정보!P$4)</f>
        <v>0</v>
      </c>
      <c r="Q199" s="80" t="n">
        <f aca="false">COUNTIFS(임대자산!$I:$I,가맹점정보!F199,임대자산!$N:$N,가맹점정보!Q$4)</f>
        <v>0</v>
      </c>
      <c r="R199" s="81" t="n">
        <f aca="false">COUNTIFS(임대자산!$I:$I,가맹점정보!F199,임대자산!$N:$N,가맹점정보!R$4)</f>
        <v>1</v>
      </c>
      <c r="S199" s="82" t="n">
        <v>44000</v>
      </c>
      <c r="T199" s="83" t="n">
        <v>44000</v>
      </c>
      <c r="U199" s="80" t="n">
        <f aca="false">SUM(S199:T199)</f>
        <v>88000</v>
      </c>
      <c r="V199" s="84" t="s">
        <v>12</v>
      </c>
      <c r="W199" s="80" t="e">
        <f aca="true">
IF(D199="폐업","폐업",
IF(V199="면제","면제",
IF(AND(V199="정상",COUNTIFS(OFFSET(Y199,0,COUNTA(Y199:AV199)-1,1,-4),"미납")&gt;=3),"장기미납",
IF(AND(V199="정상",OFFSET(Y199,0,COUNTA(Y199:AV199)-1)&gt;=U199),"정상",
IF(AND(V199="정상",OFFSET(Y199,0,COUNTA(Y199:AV199)-1)=0),"정상",
"계약서 미작성")))))</f>
        <v>#VALUE!</v>
      </c>
      <c r="X199" s="81" t="str">
        <f aca="true">
IF(D199="폐업","폐업",
IF(AND(V199="정상",OFFSET(Y199,0,COUNTA(Y199:AV199)-1)="미납"),"미납",
IF(AND(V199="정상",OFFSET(Y199,0,COUNTA(Y199:AV199)-1)=0),"납부 시작 전",
IF(AND(V199="정상",OFFSET(Y199,0,COUNTA(Y199:AV199)-1)&gt;=U199),"정상",
IF(AND(V199="면제",OFFSET(Y199,0,COUNTA(Y199:AV199)-1)="면제"),"면제",
IF(AND(V199="면제",OFFSET(Y199,0,COUNTA(Y199:AV199)-1)=0),"면제",
"확인요청"))))))</f>
        <v>정상</v>
      </c>
      <c r="Y199" s="93" t="n">
        <v>88000</v>
      </c>
      <c r="Z199" s="90" t="n">
        <v>88000</v>
      </c>
      <c r="AA199" s="90" t="n">
        <v>88000</v>
      </c>
      <c r="AB199" s="90" t="n">
        <v>88000</v>
      </c>
      <c r="AC199" s="90" t="n">
        <v>88000</v>
      </c>
      <c r="AD199" s="90" t="n">
        <v>88000</v>
      </c>
      <c r="AE199" s="90" t="n">
        <v>88000</v>
      </c>
      <c r="AF199" s="90" t="n">
        <v>88000</v>
      </c>
      <c r="AG199" s="90" t="n">
        <v>88000</v>
      </c>
      <c r="AH199" s="90" t="n">
        <v>88000</v>
      </c>
      <c r="AI199" s="90" t="n">
        <v>88000</v>
      </c>
      <c r="AJ199" s="91" t="n">
        <v>88000</v>
      </c>
      <c r="AK199" s="89" t="n">
        <v>88000</v>
      </c>
      <c r="AL199" s="90" t="n">
        <v>88000</v>
      </c>
      <c r="AM199" s="90"/>
      <c r="AN199" s="90"/>
      <c r="AO199" s="90"/>
      <c r="AP199" s="90"/>
      <c r="AQ199" s="90"/>
      <c r="AR199" s="90"/>
      <c r="AS199" s="90"/>
      <c r="AT199" s="90"/>
      <c r="AU199" s="90"/>
      <c r="AV199" s="91"/>
      <c r="AX199" s="92"/>
    </row>
    <row r="200" customFormat="false" ht="15.65" hidden="false" customHeight="false" outlineLevel="0" collapsed="false">
      <c r="C200" s="72" t="n">
        <f aca="false">COUNTIFS($D$6:D200,"&lt;&gt;"&amp;"")</f>
        <v>195</v>
      </c>
      <c r="D200" s="73" t="s">
        <v>12</v>
      </c>
      <c r="E200" s="76" t="str">
        <f aca="false">
IF($D200="정상",INDEX(임대자산!$D$3:$R$3000,MATCH($F200,임대자산!$I$3:$I$3000,0),MATCH(E$3,임대자산!$D$3:$R$3,0)),
IF($D200="폐업",INDEX(폐업정보!$D$3:$R$3000,MATCH($F200,폐업정보!$I$3:$I$3000,0),MATCH(E$3,폐업정보!$D$3:$R$3,0)),
"Error"))</f>
        <v>서울</v>
      </c>
      <c r="F20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B0195</v>
      </c>
      <c r="G200" s="76" t="str">
        <f aca="false">F200&amp;RANDBETWEEN(0,10)</f>
        <v>B01956</v>
      </c>
      <c r="H200" s="75" t="n">
        <f aca="false">
IF($D200="정상",INDEX(임대자산!$D$3:$R$3000,MATCH($F200,임대자산!$I$3:$I$3000,0),MATCH(H$4,임대자산!$D$3:$R$3,0)),
IF($D200="폐업",INDEX(폐업정보!$D$3:$R$3000,MATCH($F200,폐업정보!$I$3:$I$3000,0),MATCH(H$4,폐업정보!$D$3:$R$3,0)),
"Error"))</f>
        <v>45609</v>
      </c>
      <c r="I200" s="75" t="str">
        <f aca="false">
IF($D200="정상",INDEX(임대자산!$D$3:$R$3000,MATCH($F200,임대자산!$I$3:$I$3000,0),MATCH(I$4,임대자산!$D$3:$R$3,0)),
IF($D200="폐업",INDEX(폐업정보!$D$3:$R$3000,MATCH($F200,폐업정보!$I$3:$I$3000,0),MATCH(I$4,폐업정보!$D$3:$R$3,0)),
"Error"))</f>
        <v>A0195</v>
      </c>
      <c r="J200" s="75" t="str">
        <f aca="false">
IF($D200="정상",INDEX(임대자산!$D$3:$R$3000,MATCH($F200,임대자산!$I$3:$I$3000,0),MATCH(J$4,임대자산!$D$3:$R$3,0)),
IF($D200="폐업",INDEX(폐업정보!$D$3:$R$3000,MATCH($F200,폐업정보!$I$3:$I$3000,0),MATCH(J$4,폐업정보!$D$3:$R$3,0)),
"Error"))</f>
        <v>2649900000</v>
      </c>
      <c r="K200" s="75" t="str">
        <f aca="false">
IF($D200="정상",INDEX(임대자산!$D$3:$R$3000,MATCH($F200,임대자산!$I$3:$I$3000,0),MATCH(K$4,임대자산!$D$3:$R$3,0)),
IF($D200="폐업",INDEX(폐업정보!$D$3:$R$3000,MATCH($F200,폐업정보!$I$3:$I$3000,0),MATCH(K$4,폐업정보!$D$3:$R$3,0)),
"Error"))</f>
        <v>C0195</v>
      </c>
      <c r="L200" s="75" t="str">
        <f aca="false">
IF($D200="정상",INDEX(임대자산!$D$3:$R$3000,MATCH($F200,임대자산!$I$3:$I$3000,0),MATCH(L$4,임대자산!$D$3:$R$3,0)),
IF($D200="폐업",INDEX(폐업정보!$D$3:$R$3000,MATCH($F200,폐업정보!$I$3:$I$3000,0),MATCH(L$4,폐업정보!$D$3:$R$3,0)),
"Error"))</f>
        <v>D0195</v>
      </c>
      <c r="M200" s="76" t="s">
        <v>96</v>
      </c>
      <c r="N200" s="77"/>
      <c r="O200" s="78" t="s">
        <v>97</v>
      </c>
      <c r="P200" s="79" t="n">
        <f aca="false">COUNTIFS(임대자산!$I:$I,가맹점정보!F200,임대자산!$N:$N,가맹점정보!P$4)</f>
        <v>0</v>
      </c>
      <c r="Q200" s="80" t="n">
        <f aca="false">COUNTIFS(임대자산!$I:$I,가맹점정보!F200,임대자산!$N:$N,가맹점정보!Q$4)</f>
        <v>0</v>
      </c>
      <c r="R200" s="81" t="n">
        <f aca="false">COUNTIFS(임대자산!$I:$I,가맹점정보!F200,임대자산!$N:$N,가맹점정보!R$4)</f>
        <v>1</v>
      </c>
      <c r="S200" s="82" t="n">
        <v>55000</v>
      </c>
      <c r="T200" s="83" t="n">
        <v>0</v>
      </c>
      <c r="U200" s="80" t="n">
        <f aca="false">SUM(S200:T200)</f>
        <v>55000</v>
      </c>
      <c r="V200" s="84" t="s">
        <v>12</v>
      </c>
      <c r="W200" s="80" t="e">
        <f aca="true">
IF(D200="폐업","폐업",
IF(V200="면제","면제",
IF(AND(V200="정상",COUNTIFS(OFFSET(Y200,0,COUNTA(Y200:AV200)-1,1,-4),"미납")&gt;=3),"장기미납",
IF(AND(V200="정상",OFFSET(Y200,0,COUNTA(Y200:AV200)-1)&gt;=U200),"정상",
IF(AND(V200="정상",OFFSET(Y200,0,COUNTA(Y200:AV200)-1)=0),"정상",
"계약서 미작성")))))</f>
        <v>#VALUE!</v>
      </c>
      <c r="X200" s="81" t="str">
        <f aca="true">
IF(D200="폐업","폐업",
IF(AND(V200="정상",OFFSET(Y200,0,COUNTA(Y200:AV200)-1)="미납"),"미납",
IF(AND(V200="정상",OFFSET(Y200,0,COUNTA(Y200:AV200)-1)=0),"납부 시작 전",
IF(AND(V200="정상",OFFSET(Y200,0,COUNTA(Y200:AV200)-1)&gt;=U200),"정상",
IF(AND(V200="면제",OFFSET(Y200,0,COUNTA(Y200:AV200)-1)="면제"),"면제",
IF(AND(V200="면제",OFFSET(Y200,0,COUNTA(Y200:AV200)-1)=0),"면제",
"확인요청"))))))</f>
        <v>정상</v>
      </c>
      <c r="Y200" s="93" t="n">
        <v>55000</v>
      </c>
      <c r="Z200" s="90" t="n">
        <v>55000</v>
      </c>
      <c r="AA200" s="90" t="n">
        <v>55000</v>
      </c>
      <c r="AB200" s="90" t="n">
        <v>55000</v>
      </c>
      <c r="AC200" s="90" t="n">
        <v>55000</v>
      </c>
      <c r="AD200" s="90" t="n">
        <v>55000</v>
      </c>
      <c r="AE200" s="90" t="n">
        <v>55000</v>
      </c>
      <c r="AF200" s="90" t="n">
        <v>55000</v>
      </c>
      <c r="AG200" s="90" t="n">
        <v>55000</v>
      </c>
      <c r="AH200" s="90" t="n">
        <v>55000</v>
      </c>
      <c r="AI200" s="90" t="n">
        <v>55000</v>
      </c>
      <c r="AJ200" s="91" t="n">
        <v>55000</v>
      </c>
      <c r="AK200" s="89" t="n">
        <v>55000</v>
      </c>
      <c r="AL200" s="90" t="n">
        <v>55000</v>
      </c>
      <c r="AM200" s="90"/>
      <c r="AN200" s="90"/>
      <c r="AO200" s="90"/>
      <c r="AP200" s="90"/>
      <c r="AQ200" s="90"/>
      <c r="AR200" s="90"/>
      <c r="AS200" s="90"/>
      <c r="AT200" s="90"/>
      <c r="AU200" s="90"/>
      <c r="AV200" s="91"/>
      <c r="AX200" s="92"/>
    </row>
    <row r="201" customFormat="false" ht="15.65" hidden="false" customHeight="false" outlineLevel="0" collapsed="false">
      <c r="C201" s="72" t="n">
        <f aca="false">COUNTIFS($D$6:D201,"&lt;&gt;"&amp;"")</f>
        <v>196</v>
      </c>
      <c r="D201" s="73" t="s">
        <v>12</v>
      </c>
      <c r="E201" s="76" t="str">
        <f aca="false">
IF($D201="정상",INDEX(임대자산!$D$3:$R$3000,MATCH($F201,임대자산!$I$3:$I$3000,0),MATCH(E$3,임대자산!$D$3:$R$3,0)),
IF($D201="폐업",INDEX(폐업정보!$D$3:$R$3000,MATCH($F201,폐업정보!$I$3:$I$3000,0),MATCH(E$3,폐업정보!$D$3:$R$3,0)),
"Error"))</f>
        <v>서울</v>
      </c>
      <c r="F20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B0196</v>
      </c>
      <c r="G201" s="76" t="str">
        <f aca="false">F201&amp;RANDBETWEEN(0,10)</f>
        <v>B01964</v>
      </c>
      <c r="H201" s="75" t="n">
        <f aca="false">
IF($D201="정상",INDEX(임대자산!$D$3:$R$3000,MATCH($F201,임대자산!$I$3:$I$3000,0),MATCH(H$4,임대자산!$D$3:$R$3,0)),
IF($D201="폐업",INDEX(폐업정보!$D$3:$R$3000,MATCH($F201,폐업정보!$I$3:$I$3000,0),MATCH(H$4,폐업정보!$D$3:$R$3,0)),
"Error"))</f>
        <v>44827</v>
      </c>
      <c r="I201" s="75" t="str">
        <f aca="false">
IF($D201="정상",INDEX(임대자산!$D$3:$R$3000,MATCH($F201,임대자산!$I$3:$I$3000,0),MATCH(I$4,임대자산!$D$3:$R$3,0)),
IF($D201="폐업",INDEX(폐업정보!$D$3:$R$3000,MATCH($F201,폐업정보!$I$3:$I$3000,0),MATCH(I$4,폐업정보!$D$3:$R$3,0)),
"Error"))</f>
        <v>A0196</v>
      </c>
      <c r="J201" s="75" t="str">
        <f aca="false">
IF($D201="정상",INDEX(임대자산!$D$3:$R$3000,MATCH($F201,임대자산!$I$3:$I$3000,0),MATCH(J$4,임대자산!$D$3:$R$3,0)),
IF($D201="폐업",INDEX(폐업정보!$D$3:$R$3000,MATCH($F201,폐업정보!$I$3:$I$3000,0),MATCH(J$4,폐업정보!$D$3:$R$3,0)),
"Error"))</f>
        <v>7051500000</v>
      </c>
      <c r="K201" s="75" t="str">
        <f aca="false">
IF($D201="정상",INDEX(임대자산!$D$3:$R$3000,MATCH($F201,임대자산!$I$3:$I$3000,0),MATCH(K$4,임대자산!$D$3:$R$3,0)),
IF($D201="폐업",INDEX(폐업정보!$D$3:$R$3000,MATCH($F201,폐업정보!$I$3:$I$3000,0),MATCH(K$4,폐업정보!$D$3:$R$3,0)),
"Error"))</f>
        <v>C0196</v>
      </c>
      <c r="L201" s="75" t="str">
        <f aca="false">
IF($D201="정상",INDEX(임대자산!$D$3:$R$3000,MATCH($F201,임대자산!$I$3:$I$3000,0),MATCH(L$4,임대자산!$D$3:$R$3,0)),
IF($D201="폐업",INDEX(폐업정보!$D$3:$R$3000,MATCH($F201,폐업정보!$I$3:$I$3000,0),MATCH(L$4,폐업정보!$D$3:$R$3,0)),
"Error"))</f>
        <v>D0196</v>
      </c>
      <c r="M201" s="76" t="s">
        <v>96</v>
      </c>
      <c r="N201" s="77"/>
      <c r="O201" s="78" t="s">
        <v>97</v>
      </c>
      <c r="P201" s="79" t="n">
        <f aca="false">COUNTIFS(임대자산!$I:$I,가맹점정보!F201,임대자산!$N:$N,가맹점정보!P$4)</f>
        <v>0</v>
      </c>
      <c r="Q201" s="80" t="n">
        <f aca="false">COUNTIFS(임대자산!$I:$I,가맹점정보!F201,임대자산!$N:$N,가맹점정보!Q$4)</f>
        <v>0</v>
      </c>
      <c r="R201" s="81" t="n">
        <f aca="false">COUNTIFS(임대자산!$I:$I,가맹점정보!F201,임대자산!$N:$N,가맹점정보!R$4)</f>
        <v>1</v>
      </c>
      <c r="S201" s="82" t="n">
        <v>55000</v>
      </c>
      <c r="T201" s="83" t="n">
        <v>0</v>
      </c>
      <c r="U201" s="80" t="n">
        <f aca="false">SUM(S201:T201)</f>
        <v>55000</v>
      </c>
      <c r="V201" s="84" t="s">
        <v>12</v>
      </c>
      <c r="W201" s="80" t="e">
        <f aca="true">
IF(D201="폐업","폐업",
IF(V201="면제","면제",
IF(AND(V201="정상",COUNTIFS(OFFSET(Y201,0,COUNTA(Y201:AV201)-1,1,-4),"미납")&gt;=3),"장기미납",
IF(AND(V201="정상",OFFSET(Y201,0,COUNTA(Y201:AV201)-1)&gt;=U201),"정상",
IF(AND(V201="정상",OFFSET(Y201,0,COUNTA(Y201:AV201)-1)=0),"정상",
"계약서 미작성")))))</f>
        <v>#VALUE!</v>
      </c>
      <c r="X201" s="81" t="str">
        <f aca="true">
IF(D201="폐업","폐업",
IF(AND(V201="정상",OFFSET(Y201,0,COUNTA(Y201:AV201)-1)="미납"),"미납",
IF(AND(V201="정상",OFFSET(Y201,0,COUNTA(Y201:AV201)-1)=0),"납부 시작 전",
IF(AND(V201="정상",OFFSET(Y201,0,COUNTA(Y201:AV201)-1)&gt;=U201),"정상",
IF(AND(V201="면제",OFFSET(Y201,0,COUNTA(Y201:AV201)-1)="면제"),"면제",
IF(AND(V201="면제",OFFSET(Y201,0,COUNTA(Y201:AV201)-1)=0),"면제",
"확인요청"))))))</f>
        <v>정상</v>
      </c>
      <c r="Y201" s="93" t="n">
        <v>55000</v>
      </c>
      <c r="Z201" s="90" t="n">
        <v>55000</v>
      </c>
      <c r="AA201" s="90" t="n">
        <v>55000</v>
      </c>
      <c r="AB201" s="90" t="n">
        <v>55000</v>
      </c>
      <c r="AC201" s="90" t="n">
        <v>55000</v>
      </c>
      <c r="AD201" s="90" t="n">
        <v>55000</v>
      </c>
      <c r="AE201" s="90" t="n">
        <v>55000</v>
      </c>
      <c r="AF201" s="90" t="n">
        <v>55000</v>
      </c>
      <c r="AG201" s="90" t="n">
        <v>55000</v>
      </c>
      <c r="AH201" s="90" t="n">
        <v>55000</v>
      </c>
      <c r="AI201" s="90" t="n">
        <v>55000</v>
      </c>
      <c r="AJ201" s="91" t="n">
        <v>55000</v>
      </c>
      <c r="AK201" s="89" t="n">
        <v>55000</v>
      </c>
      <c r="AL201" s="90" t="n">
        <v>55000</v>
      </c>
      <c r="AM201" s="90"/>
      <c r="AN201" s="90"/>
      <c r="AO201" s="90"/>
      <c r="AP201" s="90"/>
      <c r="AQ201" s="90"/>
      <c r="AR201" s="90"/>
      <c r="AS201" s="90"/>
      <c r="AT201" s="90"/>
      <c r="AU201" s="90"/>
      <c r="AV201" s="91"/>
      <c r="AX201" s="92"/>
    </row>
    <row r="202" customFormat="false" ht="15.65" hidden="false" customHeight="false" outlineLevel="0" collapsed="false">
      <c r="C202" s="72" t="n">
        <f aca="false">COUNTIFS($D$6:D202,"&lt;&gt;"&amp;"")</f>
        <v>197</v>
      </c>
      <c r="D202" s="73" t="s">
        <v>12</v>
      </c>
      <c r="E202" s="76" t="str">
        <f aca="false">
IF($D202="정상",INDEX(임대자산!$D$3:$R$3000,MATCH($F202,임대자산!$I$3:$I$3000,0),MATCH(E$3,임대자산!$D$3:$R$3,0)),
IF($D202="폐업",INDEX(폐업정보!$D$3:$R$3000,MATCH($F202,폐업정보!$I$3:$I$3000,0),MATCH(E$3,폐업정보!$D$3:$R$3,0)),
"Error"))</f>
        <v>서울</v>
      </c>
      <c r="F20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B0197</v>
      </c>
      <c r="G202" s="76" t="str">
        <f aca="false">F202&amp;RANDBETWEEN(0,10)</f>
        <v>B019710</v>
      </c>
      <c r="H202" s="75" t="n">
        <f aca="false">
IF($D202="정상",INDEX(임대자산!$D$3:$R$3000,MATCH($F202,임대자산!$I$3:$I$3000,0),MATCH(H$4,임대자산!$D$3:$R$3,0)),
IF($D202="폐업",INDEX(폐업정보!$D$3:$R$3000,MATCH($F202,폐업정보!$I$3:$I$3000,0),MATCH(H$4,폐업정보!$D$3:$R$3,0)),
"Error"))</f>
        <v>45784</v>
      </c>
      <c r="I202" s="75" t="str">
        <f aca="false">
IF($D202="정상",INDEX(임대자산!$D$3:$R$3000,MATCH($F202,임대자산!$I$3:$I$3000,0),MATCH(I$4,임대자산!$D$3:$R$3,0)),
IF($D202="폐업",INDEX(폐업정보!$D$3:$R$3000,MATCH($F202,폐업정보!$I$3:$I$3000,0),MATCH(I$4,폐업정보!$D$3:$R$3,0)),
"Error"))</f>
        <v>A0197</v>
      </c>
      <c r="J202" s="75" t="str">
        <f aca="false">
IF($D202="정상",INDEX(임대자산!$D$3:$R$3000,MATCH($F202,임대자산!$I$3:$I$3000,0),MATCH(J$4,임대자산!$D$3:$R$3,0)),
IF($D202="폐업",INDEX(폐업정보!$D$3:$R$3000,MATCH($F202,폐업정보!$I$3:$I$3000,0),MATCH(J$4,폐업정보!$D$3:$R$3,0)),
"Error"))</f>
        <v>1289800000</v>
      </c>
      <c r="K202" s="75" t="str">
        <f aca="false">
IF($D202="정상",INDEX(임대자산!$D$3:$R$3000,MATCH($F202,임대자산!$I$3:$I$3000,0),MATCH(K$4,임대자산!$D$3:$R$3,0)),
IF($D202="폐업",INDEX(폐업정보!$D$3:$R$3000,MATCH($F202,폐업정보!$I$3:$I$3000,0),MATCH(K$4,폐업정보!$D$3:$R$3,0)),
"Error"))</f>
        <v>C0197</v>
      </c>
      <c r="L202" s="75" t="str">
        <f aca="false">
IF($D202="정상",INDEX(임대자산!$D$3:$R$3000,MATCH($F202,임대자산!$I$3:$I$3000,0),MATCH(L$4,임대자산!$D$3:$R$3,0)),
IF($D202="폐업",INDEX(폐업정보!$D$3:$R$3000,MATCH($F202,폐업정보!$I$3:$I$3000,0),MATCH(L$4,폐업정보!$D$3:$R$3,0)),
"Error"))</f>
        <v>D0197</v>
      </c>
      <c r="M202" s="76" t="s">
        <v>96</v>
      </c>
      <c r="N202" s="77"/>
      <c r="O202" s="78" t="s">
        <v>97</v>
      </c>
      <c r="P202" s="79" t="n">
        <f aca="false">COUNTIFS(임대자산!$I:$I,가맹점정보!F202,임대자산!$N:$N,가맹점정보!P$4)</f>
        <v>0</v>
      </c>
      <c r="Q202" s="80" t="n">
        <f aca="false">COUNTIFS(임대자산!$I:$I,가맹점정보!F202,임대자산!$N:$N,가맹점정보!Q$4)</f>
        <v>0</v>
      </c>
      <c r="R202" s="81" t="n">
        <f aca="false">COUNTIFS(임대자산!$I:$I,가맹점정보!F202,임대자산!$N:$N,가맹점정보!R$4)</f>
        <v>1</v>
      </c>
      <c r="S202" s="82" t="n">
        <v>55000</v>
      </c>
      <c r="T202" s="83" t="n">
        <v>0</v>
      </c>
      <c r="U202" s="80" t="n">
        <f aca="false">SUM(S202:T202)</f>
        <v>55000</v>
      </c>
      <c r="V202" s="84" t="s">
        <v>12</v>
      </c>
      <c r="W202" s="80" t="e">
        <f aca="true">
IF(D202="폐업","폐업",
IF(V202="면제","면제",
IF(AND(V202="정상",COUNTIFS(OFFSET(Y202,0,COUNTA(Y202:AV202)-1,1,-4),"미납")&gt;=3),"장기미납",
IF(AND(V202="정상",OFFSET(Y202,0,COUNTA(Y202:AV202)-1)&gt;=U202),"정상",
IF(AND(V202="정상",OFFSET(Y202,0,COUNTA(Y202:AV202)-1)=0),"정상",
"계약서 미작성")))))</f>
        <v>#VALUE!</v>
      </c>
      <c r="X202" s="81" t="str">
        <f aca="true">
IF(D202="폐업","폐업",
IF(AND(V202="정상",OFFSET(Y202,0,COUNTA(Y202:AV202)-1)="미납"),"미납",
IF(AND(V202="정상",OFFSET(Y202,0,COUNTA(Y202:AV202)-1)=0),"납부 시작 전",
IF(AND(V202="정상",OFFSET(Y202,0,COUNTA(Y202:AV202)-1)&gt;=U202),"정상",
IF(AND(V202="면제",OFFSET(Y202,0,COUNTA(Y202:AV202)-1)="면제"),"면제",
IF(AND(V202="면제",OFFSET(Y202,0,COUNTA(Y202:AV202)-1)=0),"면제",
"확인요청"))))))</f>
        <v>정상</v>
      </c>
      <c r="Y202" s="93" t="n">
        <v>55000</v>
      </c>
      <c r="Z202" s="90" t="n">
        <v>55000</v>
      </c>
      <c r="AA202" s="90" t="n">
        <v>55000</v>
      </c>
      <c r="AB202" s="90" t="n">
        <v>55000</v>
      </c>
      <c r="AC202" s="90" t="n">
        <v>55000</v>
      </c>
      <c r="AD202" s="90" t="n">
        <v>55000</v>
      </c>
      <c r="AE202" s="90" t="n">
        <v>55000</v>
      </c>
      <c r="AF202" s="90" t="n">
        <v>55000</v>
      </c>
      <c r="AG202" s="90" t="n">
        <v>55000</v>
      </c>
      <c r="AH202" s="90" t="n">
        <v>55000</v>
      </c>
      <c r="AI202" s="90" t="n">
        <v>55000</v>
      </c>
      <c r="AJ202" s="91" t="n">
        <v>55000</v>
      </c>
      <c r="AK202" s="89" t="n">
        <v>55000</v>
      </c>
      <c r="AL202" s="90" t="n">
        <v>55000</v>
      </c>
      <c r="AM202" s="90"/>
      <c r="AN202" s="90"/>
      <c r="AO202" s="90"/>
      <c r="AP202" s="90"/>
      <c r="AQ202" s="90"/>
      <c r="AR202" s="90"/>
      <c r="AS202" s="90"/>
      <c r="AT202" s="90"/>
      <c r="AU202" s="90"/>
      <c r="AV202" s="91"/>
      <c r="AX202" s="92"/>
    </row>
    <row r="203" customFormat="false" ht="15.65" hidden="false" customHeight="false" outlineLevel="0" collapsed="false">
      <c r="C203" s="72" t="n">
        <f aca="false">COUNTIFS($D$6:D203,"&lt;&gt;"&amp;"")</f>
        <v>198</v>
      </c>
      <c r="D203" s="73" t="s">
        <v>12</v>
      </c>
      <c r="E203" s="76" t="str">
        <f aca="false">
IF($D203="정상",INDEX(임대자산!$D$3:$R$3000,MATCH($F203,임대자산!$I$3:$I$3000,0),MATCH(E$3,임대자산!$D$3:$R$3,0)),
IF($D203="폐업",INDEX(폐업정보!$D$3:$R$3000,MATCH($F203,폐업정보!$I$3:$I$3000,0),MATCH(E$3,폐업정보!$D$3:$R$3,0)),
"Error"))</f>
        <v>경기</v>
      </c>
      <c r="F20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B0198</v>
      </c>
      <c r="G203" s="76" t="str">
        <f aca="false">F203&amp;RANDBETWEEN(0,10)</f>
        <v>B01984</v>
      </c>
      <c r="H203" s="75" t="n">
        <f aca="false">
IF($D203="정상",INDEX(임대자산!$D$3:$R$3000,MATCH($F203,임대자산!$I$3:$I$3000,0),MATCH(H$4,임대자산!$D$3:$R$3,0)),
IF($D203="폐업",INDEX(폐업정보!$D$3:$R$3000,MATCH($F203,폐업정보!$I$3:$I$3000,0),MATCH(H$4,폐업정보!$D$3:$R$3,0)),
"Error"))</f>
        <v>45300</v>
      </c>
      <c r="I203" s="75" t="str">
        <f aca="false">
IF($D203="정상",INDEX(임대자산!$D$3:$R$3000,MATCH($F203,임대자산!$I$3:$I$3000,0),MATCH(I$4,임대자산!$D$3:$R$3,0)),
IF($D203="폐업",INDEX(폐업정보!$D$3:$R$3000,MATCH($F203,폐업정보!$I$3:$I$3000,0),MATCH(I$4,폐업정보!$D$3:$R$3,0)),
"Error"))</f>
        <v>A0198</v>
      </c>
      <c r="J203" s="75" t="str">
        <f aca="false">
IF($D203="정상",INDEX(임대자산!$D$3:$R$3000,MATCH($F203,임대자산!$I$3:$I$3000,0),MATCH(J$4,임대자산!$D$3:$R$3,0)),
IF($D203="폐업",INDEX(폐업정보!$D$3:$R$3000,MATCH($F203,폐업정보!$I$3:$I$3000,0),MATCH(J$4,폐업정보!$D$3:$R$3,0)),
"Error"))</f>
        <v>4270600000</v>
      </c>
      <c r="K203" s="75" t="str">
        <f aca="false">
IF($D203="정상",INDEX(임대자산!$D$3:$R$3000,MATCH($F203,임대자산!$I$3:$I$3000,0),MATCH(K$4,임대자산!$D$3:$R$3,0)),
IF($D203="폐업",INDEX(폐업정보!$D$3:$R$3000,MATCH($F203,폐업정보!$I$3:$I$3000,0),MATCH(K$4,폐업정보!$D$3:$R$3,0)),
"Error"))</f>
        <v>C0198</v>
      </c>
      <c r="L203" s="75" t="str">
        <f aca="false">
IF($D203="정상",INDEX(임대자산!$D$3:$R$3000,MATCH($F203,임대자산!$I$3:$I$3000,0),MATCH(L$4,임대자산!$D$3:$R$3,0)),
IF($D203="폐업",INDEX(폐업정보!$D$3:$R$3000,MATCH($F203,폐업정보!$I$3:$I$3000,0),MATCH(L$4,폐업정보!$D$3:$R$3,0)),
"Error"))</f>
        <v>D0198</v>
      </c>
      <c r="M203" s="76" t="s">
        <v>96</v>
      </c>
      <c r="N203" s="77"/>
      <c r="O203" s="78" t="s">
        <v>97</v>
      </c>
      <c r="P203" s="79" t="n">
        <f aca="false">COUNTIFS(임대자산!$I:$I,가맹점정보!F203,임대자산!$N:$N,가맹점정보!P$4)</f>
        <v>0</v>
      </c>
      <c r="Q203" s="80" t="n">
        <f aca="false">COUNTIFS(임대자산!$I:$I,가맹점정보!F203,임대자산!$N:$N,가맹점정보!Q$4)</f>
        <v>0</v>
      </c>
      <c r="R203" s="81" t="n">
        <f aca="false">COUNTIFS(임대자산!$I:$I,가맹점정보!F203,임대자산!$N:$N,가맹점정보!R$4)</f>
        <v>1</v>
      </c>
      <c r="S203" s="82" t="n">
        <v>55000</v>
      </c>
      <c r="T203" s="83" t="n">
        <v>0</v>
      </c>
      <c r="U203" s="80" t="n">
        <f aca="false">SUM(S203:T203)</f>
        <v>55000</v>
      </c>
      <c r="V203" s="84" t="s">
        <v>12</v>
      </c>
      <c r="W203" s="80" t="e">
        <f aca="true">
IF(D203="폐업","폐업",
IF(V203="면제","면제",
IF(AND(V203="정상",COUNTIFS(OFFSET(Y203,0,COUNTA(Y203:AV203)-1,1,-4),"미납")&gt;=3),"장기미납",
IF(AND(V203="정상",OFFSET(Y203,0,COUNTA(Y203:AV203)-1)&gt;=U203),"정상",
IF(AND(V203="정상",OFFSET(Y203,0,COUNTA(Y203:AV203)-1)=0),"정상",
"계약서 미작성")))))</f>
        <v>#VALUE!</v>
      </c>
      <c r="X203" s="81" t="str">
        <f aca="true">
IF(D203="폐업","폐업",
IF(AND(V203="정상",OFFSET(Y203,0,COUNTA(Y203:AV203)-1)="미납"),"미납",
IF(AND(V203="정상",OFFSET(Y203,0,COUNTA(Y203:AV203)-1)=0),"납부 시작 전",
IF(AND(V203="정상",OFFSET(Y203,0,COUNTA(Y203:AV203)-1)&gt;=U203),"정상",
IF(AND(V203="면제",OFFSET(Y203,0,COUNTA(Y203:AV203)-1)="면제"),"면제",
IF(AND(V203="면제",OFFSET(Y203,0,COUNTA(Y203:AV203)-1)=0),"면제",
"확인요청"))))))</f>
        <v>정상</v>
      </c>
      <c r="Y203" s="93" t="n">
        <v>55000</v>
      </c>
      <c r="Z203" s="90" t="n">
        <v>55000</v>
      </c>
      <c r="AA203" s="90" t="n">
        <v>55000</v>
      </c>
      <c r="AB203" s="90" t="n">
        <v>55000</v>
      </c>
      <c r="AC203" s="90" t="n">
        <v>55000</v>
      </c>
      <c r="AD203" s="90" t="n">
        <v>55000</v>
      </c>
      <c r="AE203" s="90" t="n">
        <v>55000</v>
      </c>
      <c r="AF203" s="90" t="n">
        <v>55000</v>
      </c>
      <c r="AG203" s="90" t="n">
        <v>55000</v>
      </c>
      <c r="AH203" s="90" t="n">
        <v>55000</v>
      </c>
      <c r="AI203" s="90" t="n">
        <v>55000</v>
      </c>
      <c r="AJ203" s="91" t="n">
        <v>55000</v>
      </c>
      <c r="AK203" s="89" t="n">
        <v>55000</v>
      </c>
      <c r="AL203" s="90" t="n">
        <v>55000</v>
      </c>
      <c r="AM203" s="90"/>
      <c r="AN203" s="90"/>
      <c r="AO203" s="90"/>
      <c r="AP203" s="90"/>
      <c r="AQ203" s="90"/>
      <c r="AR203" s="90"/>
      <c r="AS203" s="90"/>
      <c r="AT203" s="90"/>
      <c r="AU203" s="90"/>
      <c r="AV203" s="91"/>
      <c r="AX203" s="92"/>
    </row>
    <row r="204" customFormat="false" ht="15.65" hidden="false" customHeight="false" outlineLevel="0" collapsed="false">
      <c r="C204" s="72" t="n">
        <f aca="false">COUNTIFS($D$6:D204,"&lt;&gt;"&amp;"")</f>
        <v>199</v>
      </c>
      <c r="D204" s="73" t="s">
        <v>12</v>
      </c>
      <c r="E204" s="76" t="str">
        <f aca="false">
IF($D204="정상",INDEX(임대자산!$D$3:$R$3000,MATCH($F204,임대자산!$I$3:$I$3000,0),MATCH(E$3,임대자산!$D$3:$R$3,0)),
IF($D204="폐업",INDEX(폐업정보!$D$3:$R$3000,MATCH($F204,폐업정보!$I$3:$I$3000,0),MATCH(E$3,폐업정보!$D$3:$R$3,0)),
"Error"))</f>
        <v>강원</v>
      </c>
      <c r="F20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B0199</v>
      </c>
      <c r="G204" s="76" t="str">
        <f aca="false">F204&amp;RANDBETWEEN(0,10)</f>
        <v>B01998</v>
      </c>
      <c r="H204" s="75" t="n">
        <f aca="false">
IF($D204="정상",INDEX(임대자산!$D$3:$R$3000,MATCH($F204,임대자산!$I$3:$I$3000,0),MATCH(H$4,임대자산!$D$3:$R$3,0)),
IF($D204="폐업",INDEX(폐업정보!$D$3:$R$3000,MATCH($F204,폐업정보!$I$3:$I$3000,0),MATCH(H$4,폐업정보!$D$3:$R$3,0)),
"Error"))</f>
        <v>44840</v>
      </c>
      <c r="I204" s="75" t="str">
        <f aca="false">
IF($D204="정상",INDEX(임대자산!$D$3:$R$3000,MATCH($F204,임대자산!$I$3:$I$3000,0),MATCH(I$4,임대자산!$D$3:$R$3,0)),
IF($D204="폐업",INDEX(폐업정보!$D$3:$R$3000,MATCH($F204,폐업정보!$I$3:$I$3000,0),MATCH(I$4,폐업정보!$D$3:$R$3,0)),
"Error"))</f>
        <v>A0199</v>
      </c>
      <c r="J204" s="75" t="str">
        <f aca="false">
IF($D204="정상",INDEX(임대자산!$D$3:$R$3000,MATCH($F204,임대자산!$I$3:$I$3000,0),MATCH(J$4,임대자산!$D$3:$R$3,0)),
IF($D204="폐업",INDEX(폐업정보!$D$3:$R$3000,MATCH($F204,폐업정보!$I$3:$I$3000,0),MATCH(J$4,폐업정보!$D$3:$R$3,0)),
"Error"))</f>
        <v>5614100000</v>
      </c>
      <c r="K204" s="75" t="str">
        <f aca="false">
IF($D204="정상",INDEX(임대자산!$D$3:$R$3000,MATCH($F204,임대자산!$I$3:$I$3000,0),MATCH(K$4,임대자산!$D$3:$R$3,0)),
IF($D204="폐업",INDEX(폐업정보!$D$3:$R$3000,MATCH($F204,폐업정보!$I$3:$I$3000,0),MATCH(K$4,폐업정보!$D$3:$R$3,0)),
"Error"))</f>
        <v>C0199</v>
      </c>
      <c r="L204" s="75" t="str">
        <f aca="false">
IF($D204="정상",INDEX(임대자산!$D$3:$R$3000,MATCH($F204,임대자산!$I$3:$I$3000,0),MATCH(L$4,임대자산!$D$3:$R$3,0)),
IF($D204="폐업",INDEX(폐업정보!$D$3:$R$3000,MATCH($F204,폐업정보!$I$3:$I$3000,0),MATCH(L$4,폐업정보!$D$3:$R$3,0)),
"Error"))</f>
        <v>D0199</v>
      </c>
      <c r="M204" s="76" t="s">
        <v>96</v>
      </c>
      <c r="N204" s="77"/>
      <c r="O204" s="78" t="s">
        <v>97</v>
      </c>
      <c r="P204" s="79" t="n">
        <f aca="false">COUNTIFS(임대자산!$I:$I,가맹점정보!F204,임대자산!$N:$N,가맹점정보!P$4)</f>
        <v>0</v>
      </c>
      <c r="Q204" s="80" t="n">
        <f aca="false">COUNTIFS(임대자산!$I:$I,가맹점정보!F204,임대자산!$N:$N,가맹점정보!Q$4)</f>
        <v>0</v>
      </c>
      <c r="R204" s="81" t="n">
        <f aca="false">COUNTIFS(임대자산!$I:$I,가맹점정보!F204,임대자산!$N:$N,가맹점정보!R$4)</f>
        <v>1</v>
      </c>
      <c r="S204" s="82" t="n">
        <v>55000</v>
      </c>
      <c r="T204" s="83" t="n">
        <v>0</v>
      </c>
      <c r="U204" s="80" t="n">
        <f aca="false">SUM(S204:T204)</f>
        <v>55000</v>
      </c>
      <c r="V204" s="84" t="s">
        <v>12</v>
      </c>
      <c r="W204" s="80" t="e">
        <f aca="true">
IF(D204="폐업","폐업",
IF(V204="면제","면제",
IF(AND(V204="정상",COUNTIFS(OFFSET(Y204,0,COUNTA(Y204:AV204)-1,1,-4),"미납")&gt;=3),"장기미납",
IF(AND(V204="정상",OFFSET(Y204,0,COUNTA(Y204:AV204)-1)&gt;=U204),"정상",
IF(AND(V204="정상",OFFSET(Y204,0,COUNTA(Y204:AV204)-1)=0),"정상",
"계약서 미작성")))))</f>
        <v>#VALUE!</v>
      </c>
      <c r="X204" s="81" t="str">
        <f aca="true">
IF(D204="폐업","폐업",
IF(AND(V204="정상",OFFSET(Y204,0,COUNTA(Y204:AV204)-1)="미납"),"미납",
IF(AND(V204="정상",OFFSET(Y204,0,COUNTA(Y204:AV204)-1)=0),"납부 시작 전",
IF(AND(V204="정상",OFFSET(Y204,0,COUNTA(Y204:AV204)-1)&gt;=U204),"정상",
IF(AND(V204="면제",OFFSET(Y204,0,COUNTA(Y204:AV204)-1)="면제"),"면제",
IF(AND(V204="면제",OFFSET(Y204,0,COUNTA(Y204:AV204)-1)=0),"면제",
"확인요청"))))))</f>
        <v>정상</v>
      </c>
      <c r="Y204" s="93" t="n">
        <v>55000</v>
      </c>
      <c r="Z204" s="90" t="n">
        <v>55000</v>
      </c>
      <c r="AA204" s="90" t="n">
        <v>55000</v>
      </c>
      <c r="AB204" s="90" t="n">
        <v>55000</v>
      </c>
      <c r="AC204" s="90" t="n">
        <v>55000</v>
      </c>
      <c r="AD204" s="90" t="n">
        <v>55000</v>
      </c>
      <c r="AE204" s="90" t="n">
        <v>55000</v>
      </c>
      <c r="AF204" s="90" t="n">
        <v>55000</v>
      </c>
      <c r="AG204" s="90" t="s">
        <v>100</v>
      </c>
      <c r="AH204" s="90" t="n">
        <v>110000</v>
      </c>
      <c r="AI204" s="90" t="n">
        <v>55000</v>
      </c>
      <c r="AJ204" s="91" t="n">
        <v>55000</v>
      </c>
      <c r="AK204" s="89" t="n">
        <v>55000</v>
      </c>
      <c r="AL204" s="90" t="n">
        <v>55000</v>
      </c>
      <c r="AM204" s="90"/>
      <c r="AN204" s="90"/>
      <c r="AO204" s="90"/>
      <c r="AP204" s="90"/>
      <c r="AQ204" s="90"/>
      <c r="AR204" s="90"/>
      <c r="AS204" s="90"/>
      <c r="AT204" s="90"/>
      <c r="AU204" s="90"/>
      <c r="AV204" s="91"/>
      <c r="AX204" s="92"/>
    </row>
    <row r="205" customFormat="false" ht="15.65" hidden="false" customHeight="false" outlineLevel="0" collapsed="false">
      <c r="C205" s="72" t="n">
        <f aca="false">COUNTIFS($D$6:D205,"&lt;&gt;"&amp;"")</f>
        <v>200</v>
      </c>
      <c r="D205" s="73" t="s">
        <v>12</v>
      </c>
      <c r="E205" s="76" t="str">
        <f aca="false">
IF($D205="정상",INDEX(임대자산!$D$3:$R$3000,MATCH($F205,임대자산!$I$3:$I$3000,0),MATCH(E$3,임대자산!$D$3:$R$3,0)),
IF($D205="폐업",INDEX(폐업정보!$D$3:$R$3000,MATCH($F205,폐업정보!$I$3:$I$3000,0),MATCH(E$3,폐업정보!$D$3:$R$3,0)),
"Error"))</f>
        <v>강원</v>
      </c>
      <c r="F20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B0200</v>
      </c>
      <c r="G205" s="76" t="str">
        <f aca="false">F205&amp;RANDBETWEEN(0,10)</f>
        <v>B02005</v>
      </c>
      <c r="H205" s="75" t="n">
        <f aca="false">
IF($D205="정상",INDEX(임대자산!$D$3:$R$3000,MATCH($F205,임대자산!$I$3:$I$3000,0),MATCH(H$4,임대자산!$D$3:$R$3,0)),
IF($D205="폐업",INDEX(폐업정보!$D$3:$R$3000,MATCH($F205,폐업정보!$I$3:$I$3000,0),MATCH(H$4,폐업정보!$D$3:$R$3,0)),
"Error"))</f>
        <v>44847</v>
      </c>
      <c r="I205" s="75" t="str">
        <f aca="false">
IF($D205="정상",INDEX(임대자산!$D$3:$R$3000,MATCH($F205,임대자산!$I$3:$I$3000,0),MATCH(I$4,임대자산!$D$3:$R$3,0)),
IF($D205="폐업",INDEX(폐업정보!$D$3:$R$3000,MATCH($F205,폐업정보!$I$3:$I$3000,0),MATCH(I$4,폐업정보!$D$3:$R$3,0)),
"Error"))</f>
        <v>A0200</v>
      </c>
      <c r="J205" s="75" t="str">
        <f aca="false">
IF($D205="정상",INDEX(임대자산!$D$3:$R$3000,MATCH($F205,임대자산!$I$3:$I$3000,0),MATCH(J$4,임대자산!$D$3:$R$3,0)),
IF($D205="폐업",INDEX(폐업정보!$D$3:$R$3000,MATCH($F205,폐업정보!$I$3:$I$3000,0),MATCH(J$4,폐업정보!$D$3:$R$3,0)),
"Error"))</f>
        <v>3802200000</v>
      </c>
      <c r="K205" s="75" t="str">
        <f aca="false">
IF($D205="정상",INDEX(임대자산!$D$3:$R$3000,MATCH($F205,임대자산!$I$3:$I$3000,0),MATCH(K$4,임대자산!$D$3:$R$3,0)),
IF($D205="폐업",INDEX(폐업정보!$D$3:$R$3000,MATCH($F205,폐업정보!$I$3:$I$3000,0),MATCH(K$4,폐업정보!$D$3:$R$3,0)),
"Error"))</f>
        <v>C0200</v>
      </c>
      <c r="L205" s="75" t="str">
        <f aca="false">
IF($D205="정상",INDEX(임대자산!$D$3:$R$3000,MATCH($F205,임대자산!$I$3:$I$3000,0),MATCH(L$4,임대자산!$D$3:$R$3,0)),
IF($D205="폐업",INDEX(폐업정보!$D$3:$R$3000,MATCH($F205,폐업정보!$I$3:$I$3000,0),MATCH(L$4,폐업정보!$D$3:$R$3,0)),
"Error"))</f>
        <v>D0200</v>
      </c>
      <c r="M205" s="76" t="s">
        <v>96</v>
      </c>
      <c r="N205" s="77"/>
      <c r="O205" s="78" t="s">
        <v>97</v>
      </c>
      <c r="P205" s="79" t="n">
        <f aca="false">COUNTIFS(임대자산!$I:$I,가맹점정보!F205,임대자산!$N:$N,가맹점정보!P$4)</f>
        <v>0</v>
      </c>
      <c r="Q205" s="80" t="n">
        <f aca="false">COUNTIFS(임대자산!$I:$I,가맹점정보!F205,임대자산!$N:$N,가맹점정보!Q$4)</f>
        <v>0</v>
      </c>
      <c r="R205" s="81" t="n">
        <f aca="false">COUNTIFS(임대자산!$I:$I,가맹점정보!F205,임대자산!$N:$N,가맹점정보!R$4)</f>
        <v>1</v>
      </c>
      <c r="S205" s="82" t="n">
        <v>55000</v>
      </c>
      <c r="T205" s="83" t="n">
        <v>0</v>
      </c>
      <c r="U205" s="80" t="n">
        <f aca="false">SUM(S205:T205)</f>
        <v>55000</v>
      </c>
      <c r="V205" s="84" t="s">
        <v>12</v>
      </c>
      <c r="W205" s="80" t="e">
        <f aca="true">
IF(D205="폐업","폐업",
IF(V205="면제","면제",
IF(AND(V205="정상",COUNTIFS(OFFSET(Y205,0,COUNTA(Y205:AV205)-1,1,-4),"미납")&gt;=3),"장기미납",
IF(AND(V205="정상",OFFSET(Y205,0,COUNTA(Y205:AV205)-1)&gt;=U205),"정상",
IF(AND(V205="정상",OFFSET(Y205,0,COUNTA(Y205:AV205)-1)=0),"정상",
"계약서 미작성")))))</f>
        <v>#VALUE!</v>
      </c>
      <c r="X205" s="81" t="str">
        <f aca="true">
IF(D205="폐업","폐업",
IF(AND(V205="정상",OFFSET(Y205,0,COUNTA(Y205:AV205)-1)="미납"),"미납",
IF(AND(V205="정상",OFFSET(Y205,0,COUNTA(Y205:AV205)-1)=0),"납부 시작 전",
IF(AND(V205="정상",OFFSET(Y205,0,COUNTA(Y205:AV205)-1)&gt;=U205),"정상",
IF(AND(V205="면제",OFFSET(Y205,0,COUNTA(Y205:AV205)-1)="면제"),"면제",
IF(AND(V205="면제",OFFSET(Y205,0,COUNTA(Y205:AV205)-1)=0),"면제",
"확인요청"))))))</f>
        <v>정상</v>
      </c>
      <c r="Y205" s="93" t="n">
        <v>55000</v>
      </c>
      <c r="Z205" s="90" t="n">
        <v>55000</v>
      </c>
      <c r="AA205" s="90" t="n">
        <v>55000</v>
      </c>
      <c r="AB205" s="90" t="n">
        <v>55000</v>
      </c>
      <c r="AC205" s="90" t="n">
        <v>55000</v>
      </c>
      <c r="AD205" s="90" t="n">
        <v>55000</v>
      </c>
      <c r="AE205" s="90" t="n">
        <v>55000</v>
      </c>
      <c r="AF205" s="90" t="n">
        <v>55000</v>
      </c>
      <c r="AG205" s="90" t="n">
        <v>55000</v>
      </c>
      <c r="AH205" s="90" t="n">
        <v>55000</v>
      </c>
      <c r="AI205" s="90" t="n">
        <v>55000</v>
      </c>
      <c r="AJ205" s="91" t="n">
        <v>55000</v>
      </c>
      <c r="AK205" s="89" t="n">
        <v>55000</v>
      </c>
      <c r="AL205" s="90" t="n">
        <v>55000</v>
      </c>
      <c r="AM205" s="90"/>
      <c r="AN205" s="90"/>
      <c r="AO205" s="90"/>
      <c r="AP205" s="90"/>
      <c r="AQ205" s="90"/>
      <c r="AR205" s="90"/>
      <c r="AS205" s="90"/>
      <c r="AT205" s="90"/>
      <c r="AU205" s="90"/>
      <c r="AV205" s="91"/>
      <c r="AX205" s="92"/>
    </row>
    <row r="206" customFormat="false" ht="15.65" hidden="false" customHeight="false" outlineLevel="0" collapsed="false">
      <c r="C206" s="72" t="n">
        <f aca="false">COUNTIFS($D$6:D206,"&lt;&gt;"&amp;"")</f>
        <v>201</v>
      </c>
      <c r="D206" s="73" t="s">
        <v>12</v>
      </c>
      <c r="E206" s="76" t="str">
        <f aca="false">
IF($D206="정상",INDEX(임대자산!$D$3:$R$3000,MATCH($F206,임대자산!$I$3:$I$3000,0),MATCH(E$3,임대자산!$D$3:$R$3,0)),
IF($D206="폐업",INDEX(폐업정보!$D$3:$R$3000,MATCH($F206,폐업정보!$I$3:$I$3000,0),MATCH(E$3,폐업정보!$D$3:$R$3,0)),
"Error"))</f>
        <v>강원</v>
      </c>
      <c r="F20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B0201</v>
      </c>
      <c r="G206" s="76" t="str">
        <f aca="false">F206&amp;RANDBETWEEN(0,10)</f>
        <v>B02013</v>
      </c>
      <c r="H206" s="75" t="n">
        <f aca="false">
IF($D206="정상",INDEX(임대자산!$D$3:$R$3000,MATCH($F206,임대자산!$I$3:$I$3000,0),MATCH(H$4,임대자산!$D$3:$R$3,0)),
IF($D206="폐업",INDEX(폐업정보!$D$3:$R$3000,MATCH($F206,폐업정보!$I$3:$I$3000,0),MATCH(H$4,폐업정보!$D$3:$R$3,0)),
"Error"))</f>
        <v>45901</v>
      </c>
      <c r="I206" s="75" t="str">
        <f aca="false">
IF($D206="정상",INDEX(임대자산!$D$3:$R$3000,MATCH($F206,임대자산!$I$3:$I$3000,0),MATCH(I$4,임대자산!$D$3:$R$3,0)),
IF($D206="폐업",INDEX(폐업정보!$D$3:$R$3000,MATCH($F206,폐업정보!$I$3:$I$3000,0),MATCH(I$4,폐업정보!$D$3:$R$3,0)),
"Error"))</f>
        <v>A0201</v>
      </c>
      <c r="J206" s="75" t="str">
        <f aca="false">
IF($D206="정상",INDEX(임대자산!$D$3:$R$3000,MATCH($F206,임대자산!$I$3:$I$3000,0),MATCH(J$4,임대자산!$D$3:$R$3,0)),
IF($D206="폐업",INDEX(폐업정보!$D$3:$R$3000,MATCH($F206,폐업정보!$I$3:$I$3000,0),MATCH(J$4,폐업정보!$D$3:$R$3,0)),
"Error"))</f>
        <v>2213500000</v>
      </c>
      <c r="K206" s="75" t="str">
        <f aca="false">
IF($D206="정상",INDEX(임대자산!$D$3:$R$3000,MATCH($F206,임대자산!$I$3:$I$3000,0),MATCH(K$4,임대자산!$D$3:$R$3,0)),
IF($D206="폐업",INDEX(폐업정보!$D$3:$R$3000,MATCH($F206,폐업정보!$I$3:$I$3000,0),MATCH(K$4,폐업정보!$D$3:$R$3,0)),
"Error"))</f>
        <v>C0201</v>
      </c>
      <c r="L206" s="75" t="str">
        <f aca="false">
IF($D206="정상",INDEX(임대자산!$D$3:$R$3000,MATCH($F206,임대자산!$I$3:$I$3000,0),MATCH(L$4,임대자산!$D$3:$R$3,0)),
IF($D206="폐업",INDEX(폐업정보!$D$3:$R$3000,MATCH($F206,폐업정보!$I$3:$I$3000,0),MATCH(L$4,폐업정보!$D$3:$R$3,0)),
"Error"))</f>
        <v>D0201</v>
      </c>
      <c r="M206" s="76" t="s">
        <v>96</v>
      </c>
      <c r="N206" s="77"/>
      <c r="O206" s="78" t="s">
        <v>97</v>
      </c>
      <c r="P206" s="79" t="n">
        <f aca="false">COUNTIFS(임대자산!$I:$I,가맹점정보!F206,임대자산!$N:$N,가맹점정보!P$4)</f>
        <v>0</v>
      </c>
      <c r="Q206" s="80" t="n">
        <f aca="false">COUNTIFS(임대자산!$I:$I,가맹점정보!F206,임대자산!$N:$N,가맹점정보!Q$4)</f>
        <v>0</v>
      </c>
      <c r="R206" s="81" t="n">
        <f aca="false">COUNTIFS(임대자산!$I:$I,가맹점정보!F206,임대자산!$N:$N,가맹점정보!R$4)</f>
        <v>1</v>
      </c>
      <c r="S206" s="82" t="n">
        <v>55000</v>
      </c>
      <c r="T206" s="83" t="n">
        <v>0</v>
      </c>
      <c r="U206" s="80" t="n">
        <f aca="false">SUM(S206:T206)</f>
        <v>55000</v>
      </c>
      <c r="V206" s="84" t="s">
        <v>7</v>
      </c>
      <c r="W206" s="80" t="str">
        <f aca="true">
IF(D206="폐업","폐업",
IF(V206="면제","면제",
IF(AND(V206="정상",COUNTIFS(OFFSET(Y206,0,COUNTA(Y206:AV206)-1,1,-4),"미납")&gt;=3),"장기미납",
IF(AND(V206="정상",OFFSET(Y206,0,COUNTA(Y206:AV206)-1)&gt;=U206),"정상",
IF(AND(V206="정상",OFFSET(Y206,0,COUNTA(Y206:AV206)-1)=0),"정상",
"계약서 미작성")))))</f>
        <v>면제</v>
      </c>
      <c r="X206" s="81" t="str">
        <f aca="true">
IF(D206="폐업","폐업",
IF(AND(V206="정상",OFFSET(Y206,0,COUNTA(Y206:AV206)-1)="미납"),"미납",
IF(AND(V206="정상",OFFSET(Y206,0,COUNTA(Y206:AV206)-1)=0),"납부 시작 전",
IF(AND(V206="정상",OFFSET(Y206,0,COUNTA(Y206:AV206)-1)&gt;=U206),"정상",
IF(AND(V206="면제",OFFSET(Y206,0,COUNTA(Y206:AV206)-1)="면제"),"면제",
IF(AND(V206="면제",OFFSET(Y206,0,COUNTA(Y206:AV206)-1)=0),"면제",
"확인요청"))))))</f>
        <v>면제</v>
      </c>
      <c r="Y206" s="94" t="s">
        <v>7</v>
      </c>
      <c r="Z206" s="95" t="s">
        <v>7</v>
      </c>
      <c r="AA206" s="95" t="s">
        <v>7</v>
      </c>
      <c r="AB206" s="95" t="s">
        <v>7</v>
      </c>
      <c r="AC206" s="95" t="s">
        <v>7</v>
      </c>
      <c r="AD206" s="95" t="s">
        <v>7</v>
      </c>
      <c r="AE206" s="95" t="s">
        <v>7</v>
      </c>
      <c r="AF206" s="95" t="s">
        <v>7</v>
      </c>
      <c r="AG206" s="95" t="s">
        <v>7</v>
      </c>
      <c r="AH206" s="95" t="s">
        <v>7</v>
      </c>
      <c r="AI206" s="95" t="s">
        <v>7</v>
      </c>
      <c r="AJ206" s="96" t="s">
        <v>7</v>
      </c>
      <c r="AK206" s="97" t="s">
        <v>7</v>
      </c>
      <c r="AL206" s="95" t="s">
        <v>7</v>
      </c>
      <c r="AM206" s="90"/>
      <c r="AN206" s="90"/>
      <c r="AO206" s="90"/>
      <c r="AP206" s="90"/>
      <c r="AQ206" s="90"/>
      <c r="AR206" s="90"/>
      <c r="AS206" s="90"/>
      <c r="AT206" s="90"/>
      <c r="AU206" s="90"/>
      <c r="AV206" s="91"/>
      <c r="AX206" s="92"/>
    </row>
    <row r="207" customFormat="false" ht="15.65" hidden="false" customHeight="false" outlineLevel="0" collapsed="false">
      <c r="C207" s="72" t="n">
        <f aca="false">COUNTIFS($D$6:D207,"&lt;&gt;"&amp;"")</f>
        <v>202</v>
      </c>
      <c r="D207" s="73" t="s">
        <v>12</v>
      </c>
      <c r="E207" s="76" t="str">
        <f aca="false">
IF($D207="정상",INDEX(임대자산!$D$3:$R$3000,MATCH($F207,임대자산!$I$3:$I$3000,0),MATCH(E$3,임대자산!$D$3:$R$3,0)),
IF($D207="폐업",INDEX(폐업정보!$D$3:$R$3000,MATCH($F207,폐업정보!$I$3:$I$3000,0),MATCH(E$3,폐업정보!$D$3:$R$3,0)),
"Error"))</f>
        <v>강원</v>
      </c>
      <c r="F20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B0202</v>
      </c>
      <c r="G207" s="76" t="str">
        <f aca="false">F207&amp;RANDBETWEEN(0,10)</f>
        <v>B02023</v>
      </c>
      <c r="H207" s="75" t="n">
        <f aca="false">
IF($D207="정상",INDEX(임대자산!$D$3:$R$3000,MATCH($F207,임대자산!$I$3:$I$3000,0),MATCH(H$4,임대자산!$D$3:$R$3,0)),
IF($D207="폐업",INDEX(폐업정보!$D$3:$R$3000,MATCH($F207,폐업정보!$I$3:$I$3000,0),MATCH(H$4,폐업정보!$D$3:$R$3,0)),
"Error"))</f>
        <v>45567</v>
      </c>
      <c r="I207" s="75" t="str">
        <f aca="false">
IF($D207="정상",INDEX(임대자산!$D$3:$R$3000,MATCH($F207,임대자산!$I$3:$I$3000,0),MATCH(I$4,임대자산!$D$3:$R$3,0)),
IF($D207="폐업",INDEX(폐업정보!$D$3:$R$3000,MATCH($F207,폐업정보!$I$3:$I$3000,0),MATCH(I$4,폐업정보!$D$3:$R$3,0)),
"Error"))</f>
        <v>A0202</v>
      </c>
      <c r="J207" s="75" t="str">
        <f aca="false">
IF($D207="정상",INDEX(임대자산!$D$3:$R$3000,MATCH($F207,임대자산!$I$3:$I$3000,0),MATCH(J$4,임대자산!$D$3:$R$3,0)),
IF($D207="폐업",INDEX(폐업정보!$D$3:$R$3000,MATCH($F207,폐업정보!$I$3:$I$3000,0),MATCH(J$4,폐업정보!$D$3:$R$3,0)),
"Error"))</f>
        <v>1174600000</v>
      </c>
      <c r="K207" s="75" t="str">
        <f aca="false">
IF($D207="정상",INDEX(임대자산!$D$3:$R$3000,MATCH($F207,임대자산!$I$3:$I$3000,0),MATCH(K$4,임대자산!$D$3:$R$3,0)),
IF($D207="폐업",INDEX(폐업정보!$D$3:$R$3000,MATCH($F207,폐업정보!$I$3:$I$3000,0),MATCH(K$4,폐업정보!$D$3:$R$3,0)),
"Error"))</f>
        <v>C0202</v>
      </c>
      <c r="L207" s="75" t="str">
        <f aca="false">
IF($D207="정상",INDEX(임대자산!$D$3:$R$3000,MATCH($F207,임대자산!$I$3:$I$3000,0),MATCH(L$4,임대자산!$D$3:$R$3,0)),
IF($D207="폐업",INDEX(폐업정보!$D$3:$R$3000,MATCH($F207,폐업정보!$I$3:$I$3000,0),MATCH(L$4,폐업정보!$D$3:$R$3,0)),
"Error"))</f>
        <v>D0202</v>
      </c>
      <c r="M207" s="76" t="s">
        <v>96</v>
      </c>
      <c r="N207" s="77"/>
      <c r="O207" s="78" t="s">
        <v>97</v>
      </c>
      <c r="P207" s="79" t="n">
        <f aca="false">COUNTIFS(임대자산!$I:$I,가맹점정보!F207,임대자산!$N:$N,가맹점정보!P$4)</f>
        <v>0</v>
      </c>
      <c r="Q207" s="80" t="n">
        <f aca="false">COUNTIFS(임대자산!$I:$I,가맹점정보!F207,임대자산!$N:$N,가맹점정보!Q$4)</f>
        <v>0</v>
      </c>
      <c r="R207" s="81" t="n">
        <f aca="false">COUNTIFS(임대자산!$I:$I,가맹점정보!F207,임대자산!$N:$N,가맹점정보!R$4)</f>
        <v>1</v>
      </c>
      <c r="S207" s="82" t="n">
        <v>55000</v>
      </c>
      <c r="T207" s="83" t="n">
        <v>0</v>
      </c>
      <c r="U207" s="80" t="n">
        <f aca="false">SUM(S207:T207)</f>
        <v>55000</v>
      </c>
      <c r="V207" s="84" t="s">
        <v>12</v>
      </c>
      <c r="W207" s="80" t="e">
        <f aca="true">
IF(D207="폐업","폐업",
IF(V207="면제","면제",
IF(AND(V207="정상",COUNTIFS(OFFSET(Y207,0,COUNTA(Y207:AV207)-1,1,-4),"미납")&gt;=3),"장기미납",
IF(AND(V207="정상",OFFSET(Y207,0,COUNTA(Y207:AV207)-1)&gt;=U207),"정상",
IF(AND(V207="정상",OFFSET(Y207,0,COUNTA(Y207:AV207)-1)=0),"정상",
"계약서 미작성")))))</f>
        <v>#VALUE!</v>
      </c>
      <c r="X207" s="81" t="str">
        <f aca="true">
IF(D207="폐업","폐업",
IF(AND(V207="정상",OFFSET(Y207,0,COUNTA(Y207:AV207)-1)="미납"),"미납",
IF(AND(V207="정상",OFFSET(Y207,0,COUNTA(Y207:AV207)-1)=0),"납부 시작 전",
IF(AND(V207="정상",OFFSET(Y207,0,COUNTA(Y207:AV207)-1)&gt;=U207),"정상",
IF(AND(V207="면제",OFFSET(Y207,0,COUNTA(Y207:AV207)-1)="면제"),"면제",
IF(AND(V207="면제",OFFSET(Y207,0,COUNTA(Y207:AV207)-1)=0),"면제",
"확인요청"))))))</f>
        <v>정상</v>
      </c>
      <c r="Y207" s="93" t="n">
        <v>55000</v>
      </c>
      <c r="Z207" s="90" t="n">
        <v>55000</v>
      </c>
      <c r="AA207" s="90" t="n">
        <v>55000</v>
      </c>
      <c r="AB207" s="90" t="n">
        <v>55000</v>
      </c>
      <c r="AC207" s="90" t="n">
        <v>55000</v>
      </c>
      <c r="AD207" s="90" t="n">
        <v>55000</v>
      </c>
      <c r="AE207" s="90" t="n">
        <v>55000</v>
      </c>
      <c r="AF207" s="90" t="n">
        <v>55000</v>
      </c>
      <c r="AG207" s="90" t="n">
        <v>55000</v>
      </c>
      <c r="AH207" s="90" t="n">
        <v>55000</v>
      </c>
      <c r="AI207" s="90" t="n">
        <v>55000</v>
      </c>
      <c r="AJ207" s="91" t="n">
        <v>55000</v>
      </c>
      <c r="AK207" s="89" t="n">
        <v>55000</v>
      </c>
      <c r="AL207" s="90" t="n">
        <v>55000</v>
      </c>
      <c r="AM207" s="90"/>
      <c r="AN207" s="90"/>
      <c r="AO207" s="90"/>
      <c r="AP207" s="90"/>
      <c r="AQ207" s="90"/>
      <c r="AR207" s="90"/>
      <c r="AS207" s="90"/>
      <c r="AT207" s="90"/>
      <c r="AU207" s="90"/>
      <c r="AV207" s="91"/>
      <c r="AX207" s="92"/>
    </row>
    <row r="208" customFormat="false" ht="15.65" hidden="false" customHeight="false" outlineLevel="0" collapsed="false">
      <c r="C208" s="72" t="n">
        <f aca="false">COUNTIFS($D$6:D208,"&lt;&gt;"&amp;"")</f>
        <v>203</v>
      </c>
      <c r="D208" s="73" t="s">
        <v>12</v>
      </c>
      <c r="E208" s="76" t="str">
        <f aca="false">
IF($D208="정상",INDEX(임대자산!$D$3:$R$3000,MATCH($F208,임대자산!$I$3:$I$3000,0),MATCH(E$3,임대자산!$D$3:$R$3,0)),
IF($D208="폐업",INDEX(폐업정보!$D$3:$R$3000,MATCH($F208,폐업정보!$I$3:$I$3000,0),MATCH(E$3,폐업정보!$D$3:$R$3,0)),
"Error"))</f>
        <v>강원</v>
      </c>
      <c r="F20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B0203</v>
      </c>
      <c r="G208" s="76" t="str">
        <f aca="false">F208&amp;RANDBETWEEN(0,10)</f>
        <v>B02033</v>
      </c>
      <c r="H208" s="75" t="n">
        <f aca="false">
IF($D208="정상",INDEX(임대자산!$D$3:$R$3000,MATCH($F208,임대자산!$I$3:$I$3000,0),MATCH(H$4,임대자산!$D$3:$R$3,0)),
IF($D208="폐업",INDEX(폐업정보!$D$3:$R$3000,MATCH($F208,폐업정보!$I$3:$I$3000,0),MATCH(H$4,폐업정보!$D$3:$R$3,0)),
"Error"))</f>
        <v>45896</v>
      </c>
      <c r="I208" s="75" t="str">
        <f aca="false">
IF($D208="정상",INDEX(임대자산!$D$3:$R$3000,MATCH($F208,임대자산!$I$3:$I$3000,0),MATCH(I$4,임대자산!$D$3:$R$3,0)),
IF($D208="폐업",INDEX(폐업정보!$D$3:$R$3000,MATCH($F208,폐업정보!$I$3:$I$3000,0),MATCH(I$4,폐업정보!$D$3:$R$3,0)),
"Error"))</f>
        <v>A0203</v>
      </c>
      <c r="J208" s="75" t="str">
        <f aca="false">
IF($D208="정상",INDEX(임대자산!$D$3:$R$3000,MATCH($F208,임대자산!$I$3:$I$3000,0),MATCH(J$4,임대자산!$D$3:$R$3,0)),
IF($D208="폐업",INDEX(폐업정보!$D$3:$R$3000,MATCH($F208,폐업정보!$I$3:$I$3000,0),MATCH(J$4,폐업정보!$D$3:$R$3,0)),
"Error"))</f>
        <v>6967100000</v>
      </c>
      <c r="K208" s="75" t="str">
        <f aca="false">
IF($D208="정상",INDEX(임대자산!$D$3:$R$3000,MATCH($F208,임대자산!$I$3:$I$3000,0),MATCH(K$4,임대자산!$D$3:$R$3,0)),
IF($D208="폐업",INDEX(폐업정보!$D$3:$R$3000,MATCH($F208,폐업정보!$I$3:$I$3000,0),MATCH(K$4,폐업정보!$D$3:$R$3,0)),
"Error"))</f>
        <v>C0203</v>
      </c>
      <c r="L208" s="75" t="str">
        <f aca="false">
IF($D208="정상",INDEX(임대자산!$D$3:$R$3000,MATCH($F208,임대자산!$I$3:$I$3000,0),MATCH(L$4,임대자산!$D$3:$R$3,0)),
IF($D208="폐업",INDEX(폐업정보!$D$3:$R$3000,MATCH($F208,폐업정보!$I$3:$I$3000,0),MATCH(L$4,폐업정보!$D$3:$R$3,0)),
"Error"))</f>
        <v>D0203</v>
      </c>
      <c r="M208" s="76" t="s">
        <v>96</v>
      </c>
      <c r="N208" s="77"/>
      <c r="O208" s="78" t="s">
        <v>97</v>
      </c>
      <c r="P208" s="79" t="n">
        <f aca="false">COUNTIFS(임대자산!$I:$I,가맹점정보!F208,임대자산!$N:$N,가맹점정보!P$4)</f>
        <v>0</v>
      </c>
      <c r="Q208" s="80" t="n">
        <f aca="false">COUNTIFS(임대자산!$I:$I,가맹점정보!F208,임대자산!$N:$N,가맹점정보!Q$4)</f>
        <v>0</v>
      </c>
      <c r="R208" s="81" t="n">
        <f aca="false">COUNTIFS(임대자산!$I:$I,가맹점정보!F208,임대자산!$N:$N,가맹점정보!R$4)</f>
        <v>1</v>
      </c>
      <c r="S208" s="82" t="n">
        <v>55000</v>
      </c>
      <c r="T208" s="83" t="n">
        <v>0</v>
      </c>
      <c r="U208" s="80" t="n">
        <f aca="false">SUM(S208:T208)</f>
        <v>55000</v>
      </c>
      <c r="V208" s="84" t="s">
        <v>12</v>
      </c>
      <c r="W208" s="80" t="e">
        <f aca="true">
IF(D208="폐업","폐업",
IF(V208="면제","면제",
IF(AND(V208="정상",COUNTIFS(OFFSET(Y208,0,COUNTA(Y208:AV208)-1,1,-4),"미납")&gt;=3),"장기미납",
IF(AND(V208="정상",OFFSET(Y208,0,COUNTA(Y208:AV208)-1)&gt;=U208),"정상",
IF(AND(V208="정상",OFFSET(Y208,0,COUNTA(Y208:AV208)-1)=0),"정상",
"계약서 미작성")))))</f>
        <v>#VALUE!</v>
      </c>
      <c r="X208" s="81" t="str">
        <f aca="true">
IF(D208="폐업","폐업",
IF(AND(V208="정상",OFFSET(Y208,0,COUNTA(Y208:AV208)-1)="미납"),"미납",
IF(AND(V208="정상",OFFSET(Y208,0,COUNTA(Y208:AV208)-1)=0),"납부 시작 전",
IF(AND(V208="정상",OFFSET(Y208,0,COUNTA(Y208:AV208)-1)&gt;=U208),"정상",
IF(AND(V208="면제",OFFSET(Y208,0,COUNTA(Y208:AV208)-1)="면제"),"면제",
IF(AND(V208="면제",OFFSET(Y208,0,COUNTA(Y208:AV208)-1)=0),"면제",
"확인요청"))))))</f>
        <v>정상</v>
      </c>
      <c r="Y208" s="93" t="n">
        <v>55000</v>
      </c>
      <c r="Z208" s="90" t="n">
        <v>55000</v>
      </c>
      <c r="AA208" s="90" t="n">
        <v>55000</v>
      </c>
      <c r="AB208" s="90" t="n">
        <v>55000</v>
      </c>
      <c r="AC208" s="90" t="n">
        <v>55000</v>
      </c>
      <c r="AD208" s="90" t="n">
        <v>55000</v>
      </c>
      <c r="AE208" s="90" t="n">
        <v>55000</v>
      </c>
      <c r="AF208" s="90" t="n">
        <v>55000</v>
      </c>
      <c r="AG208" s="90" t="n">
        <v>55000</v>
      </c>
      <c r="AH208" s="90" t="n">
        <v>55000</v>
      </c>
      <c r="AI208" s="90" t="n">
        <v>55000</v>
      </c>
      <c r="AJ208" s="91" t="n">
        <v>55000</v>
      </c>
      <c r="AK208" s="89" t="n">
        <v>55000</v>
      </c>
      <c r="AL208" s="90" t="n">
        <v>55000</v>
      </c>
      <c r="AM208" s="90"/>
      <c r="AN208" s="90"/>
      <c r="AO208" s="90"/>
      <c r="AP208" s="90"/>
      <c r="AQ208" s="90"/>
      <c r="AR208" s="90"/>
      <c r="AS208" s="90"/>
      <c r="AT208" s="90"/>
      <c r="AU208" s="90"/>
      <c r="AV208" s="91"/>
      <c r="AX208" s="92"/>
    </row>
    <row r="209" customFormat="false" ht="15.65" hidden="false" customHeight="false" outlineLevel="0" collapsed="false">
      <c r="C209" s="72" t="n">
        <f aca="false">COUNTIFS($D$6:D209,"&lt;&gt;"&amp;"")</f>
        <v>204</v>
      </c>
      <c r="D209" s="73" t="s">
        <v>12</v>
      </c>
      <c r="E209" s="76" t="str">
        <f aca="false">
IF($D209="정상",INDEX(임대자산!$D$3:$R$3000,MATCH($F209,임대자산!$I$3:$I$3000,0),MATCH(E$3,임대자산!$D$3:$R$3,0)),
IF($D209="폐업",INDEX(폐업정보!$D$3:$R$3000,MATCH($F209,폐업정보!$I$3:$I$3000,0),MATCH(E$3,폐업정보!$D$3:$R$3,0)),
"Error"))</f>
        <v>경기</v>
      </c>
      <c r="F20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B0204</v>
      </c>
      <c r="G209" s="76" t="str">
        <f aca="false">F209&amp;RANDBETWEEN(0,10)</f>
        <v>B02049</v>
      </c>
      <c r="H209" s="75" t="n">
        <f aca="false">
IF($D209="정상",INDEX(임대자산!$D$3:$R$3000,MATCH($F209,임대자산!$I$3:$I$3000,0),MATCH(H$4,임대자산!$D$3:$R$3,0)),
IF($D209="폐업",INDEX(폐업정보!$D$3:$R$3000,MATCH($F209,폐업정보!$I$3:$I$3000,0),MATCH(H$4,폐업정보!$D$3:$R$3,0)),
"Error"))</f>
        <v>45240</v>
      </c>
      <c r="I209" s="75" t="str">
        <f aca="false">
IF($D209="정상",INDEX(임대자산!$D$3:$R$3000,MATCH($F209,임대자산!$I$3:$I$3000,0),MATCH(I$4,임대자산!$D$3:$R$3,0)),
IF($D209="폐업",INDEX(폐업정보!$D$3:$R$3000,MATCH($F209,폐업정보!$I$3:$I$3000,0),MATCH(I$4,폐업정보!$D$3:$R$3,0)),
"Error"))</f>
        <v>A0204</v>
      </c>
      <c r="J209" s="75" t="str">
        <f aca="false">
IF($D209="정상",INDEX(임대자산!$D$3:$R$3000,MATCH($F209,임대자산!$I$3:$I$3000,0),MATCH(J$4,임대자산!$D$3:$R$3,0)),
IF($D209="폐업",INDEX(폐업정보!$D$3:$R$3000,MATCH($F209,폐업정보!$I$3:$I$3000,0),MATCH(J$4,폐업정보!$D$3:$R$3,0)),
"Error"))</f>
        <v>4528500000</v>
      </c>
      <c r="K209" s="75" t="str">
        <f aca="false">
IF($D209="정상",INDEX(임대자산!$D$3:$R$3000,MATCH($F209,임대자산!$I$3:$I$3000,0),MATCH(K$4,임대자산!$D$3:$R$3,0)),
IF($D209="폐업",INDEX(폐업정보!$D$3:$R$3000,MATCH($F209,폐업정보!$I$3:$I$3000,0),MATCH(K$4,폐업정보!$D$3:$R$3,0)),
"Error"))</f>
        <v>C0204</v>
      </c>
      <c r="L209" s="75" t="str">
        <f aca="false">
IF($D209="정상",INDEX(임대자산!$D$3:$R$3000,MATCH($F209,임대자산!$I$3:$I$3000,0),MATCH(L$4,임대자산!$D$3:$R$3,0)),
IF($D209="폐업",INDEX(폐업정보!$D$3:$R$3000,MATCH($F209,폐업정보!$I$3:$I$3000,0),MATCH(L$4,폐업정보!$D$3:$R$3,0)),
"Error"))</f>
        <v>D0204</v>
      </c>
      <c r="M209" s="76" t="s">
        <v>96</v>
      </c>
      <c r="N209" s="77"/>
      <c r="O209" s="78" t="s">
        <v>97</v>
      </c>
      <c r="P209" s="79" t="n">
        <f aca="false">COUNTIFS(임대자산!$I:$I,가맹점정보!F209,임대자산!$N:$N,가맹점정보!P$4)</f>
        <v>0</v>
      </c>
      <c r="Q209" s="80" t="n">
        <f aca="false">COUNTIFS(임대자산!$I:$I,가맹점정보!F209,임대자산!$N:$N,가맹점정보!Q$4)</f>
        <v>0</v>
      </c>
      <c r="R209" s="81" t="n">
        <f aca="false">COUNTIFS(임대자산!$I:$I,가맹점정보!F209,임대자산!$N:$N,가맹점정보!R$4)</f>
        <v>1</v>
      </c>
      <c r="S209" s="82" t="n">
        <v>55000</v>
      </c>
      <c r="T209" s="83" t="n">
        <v>0</v>
      </c>
      <c r="U209" s="80" t="n">
        <f aca="false">SUM(S209:T209)</f>
        <v>55000</v>
      </c>
      <c r="V209" s="84" t="s">
        <v>12</v>
      </c>
      <c r="W209" s="80" t="e">
        <f aca="true">
IF(D209="폐업","폐업",
IF(V209="면제","면제",
IF(AND(V209="정상",COUNTIFS(OFFSET(Y209,0,COUNTA(Y209:AV209)-1,1,-4),"미납")&gt;=3),"장기미납",
IF(AND(V209="정상",OFFSET(Y209,0,COUNTA(Y209:AV209)-1)&gt;=U209),"정상",
IF(AND(V209="정상",OFFSET(Y209,0,COUNTA(Y209:AV209)-1)=0),"정상",
"계약서 미작성")))))</f>
        <v>#VALUE!</v>
      </c>
      <c r="X209" s="81" t="str">
        <f aca="true">
IF(D209="폐업","폐업",
IF(AND(V209="정상",OFFSET(Y209,0,COUNTA(Y209:AV209)-1)="미납"),"미납",
IF(AND(V209="정상",OFFSET(Y209,0,COUNTA(Y209:AV209)-1)=0),"납부 시작 전",
IF(AND(V209="정상",OFFSET(Y209,0,COUNTA(Y209:AV209)-1)&gt;=U209),"정상",
IF(AND(V209="면제",OFFSET(Y209,0,COUNTA(Y209:AV209)-1)="면제"),"면제",
IF(AND(V209="면제",OFFSET(Y209,0,COUNTA(Y209:AV209)-1)=0),"면제",
"확인요청"))))))</f>
        <v>정상</v>
      </c>
      <c r="Y209" s="93" t="n">
        <v>55000</v>
      </c>
      <c r="Z209" s="90" t="n">
        <v>55000</v>
      </c>
      <c r="AA209" s="90" t="n">
        <v>55000</v>
      </c>
      <c r="AB209" s="90" t="n">
        <v>55000</v>
      </c>
      <c r="AC209" s="90" t="n">
        <v>55000</v>
      </c>
      <c r="AD209" s="90" t="n">
        <v>55000</v>
      </c>
      <c r="AE209" s="90" t="n">
        <v>55000</v>
      </c>
      <c r="AF209" s="90" t="n">
        <v>55000</v>
      </c>
      <c r="AG209" s="90" t="n">
        <v>55000</v>
      </c>
      <c r="AH209" s="90" t="n">
        <v>55000</v>
      </c>
      <c r="AI209" s="90" t="n">
        <v>55000</v>
      </c>
      <c r="AJ209" s="91" t="n">
        <v>55000</v>
      </c>
      <c r="AK209" s="89" t="n">
        <v>55000</v>
      </c>
      <c r="AL209" s="90" t="n">
        <v>55000</v>
      </c>
      <c r="AM209" s="90"/>
      <c r="AN209" s="90"/>
      <c r="AO209" s="90"/>
      <c r="AP209" s="90"/>
      <c r="AQ209" s="90"/>
      <c r="AR209" s="90"/>
      <c r="AS209" s="90"/>
      <c r="AT209" s="90"/>
      <c r="AU209" s="90"/>
      <c r="AV209" s="91"/>
      <c r="AX209" s="92"/>
    </row>
    <row r="210" customFormat="false" ht="15.65" hidden="false" customHeight="false" outlineLevel="0" collapsed="false">
      <c r="C210" s="72" t="n">
        <f aca="false">COUNTIFS($D$6:D210,"&lt;&gt;"&amp;"")</f>
        <v>205</v>
      </c>
      <c r="D210" s="73" t="s">
        <v>12</v>
      </c>
      <c r="E210" s="76" t="str">
        <f aca="false">
IF($D210="정상",INDEX(임대자산!$D$3:$R$3000,MATCH($F210,임대자산!$I$3:$I$3000,0),MATCH(E$3,임대자산!$D$3:$R$3,0)),
IF($D210="폐업",INDEX(폐업정보!$D$3:$R$3000,MATCH($F210,폐업정보!$I$3:$I$3000,0),MATCH(E$3,폐업정보!$D$3:$R$3,0)),
"Error"))</f>
        <v>전라</v>
      </c>
      <c r="F21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B0205</v>
      </c>
      <c r="G210" s="76" t="str">
        <f aca="false">F210&amp;RANDBETWEEN(0,10)</f>
        <v>B02053</v>
      </c>
      <c r="H210" s="75" t="n">
        <f aca="false">
IF($D210="정상",INDEX(임대자산!$D$3:$R$3000,MATCH($F210,임대자산!$I$3:$I$3000,0),MATCH(H$4,임대자산!$D$3:$R$3,0)),
IF($D210="폐업",INDEX(폐업정보!$D$3:$R$3000,MATCH($F210,폐업정보!$I$3:$I$3000,0),MATCH(H$4,폐업정보!$D$3:$R$3,0)),
"Error"))</f>
        <v>44838</v>
      </c>
      <c r="I210" s="75" t="str">
        <f aca="false">
IF($D210="정상",INDEX(임대자산!$D$3:$R$3000,MATCH($F210,임대자산!$I$3:$I$3000,0),MATCH(I$4,임대자산!$D$3:$R$3,0)),
IF($D210="폐업",INDEX(폐업정보!$D$3:$R$3000,MATCH($F210,폐업정보!$I$3:$I$3000,0),MATCH(I$4,폐업정보!$D$3:$R$3,0)),
"Error"))</f>
        <v>A0205</v>
      </c>
      <c r="J210" s="75" t="str">
        <f aca="false">
IF($D210="정상",INDEX(임대자산!$D$3:$R$3000,MATCH($F210,임대자산!$I$3:$I$3000,0),MATCH(J$4,임대자산!$D$3:$R$3,0)),
IF($D210="폐업",INDEX(폐업정보!$D$3:$R$3000,MATCH($F210,폐업정보!$I$3:$I$3000,0),MATCH(J$4,폐업정보!$D$3:$R$3,0)),
"Error"))</f>
        <v>6143900000</v>
      </c>
      <c r="K210" s="75" t="str">
        <f aca="false">
IF($D210="정상",INDEX(임대자산!$D$3:$R$3000,MATCH($F210,임대자산!$I$3:$I$3000,0),MATCH(K$4,임대자산!$D$3:$R$3,0)),
IF($D210="폐업",INDEX(폐업정보!$D$3:$R$3000,MATCH($F210,폐업정보!$I$3:$I$3000,0),MATCH(K$4,폐업정보!$D$3:$R$3,0)),
"Error"))</f>
        <v>C0205</v>
      </c>
      <c r="L210" s="75" t="str">
        <f aca="false">
IF($D210="정상",INDEX(임대자산!$D$3:$R$3000,MATCH($F210,임대자산!$I$3:$I$3000,0),MATCH(L$4,임대자산!$D$3:$R$3,0)),
IF($D210="폐업",INDEX(폐업정보!$D$3:$R$3000,MATCH($F210,폐업정보!$I$3:$I$3000,0),MATCH(L$4,폐업정보!$D$3:$R$3,0)),
"Error"))</f>
        <v>D0205</v>
      </c>
      <c r="M210" s="76" t="s">
        <v>96</v>
      </c>
      <c r="N210" s="77"/>
      <c r="O210" s="78" t="s">
        <v>97</v>
      </c>
      <c r="P210" s="79" t="n">
        <f aca="false">COUNTIFS(임대자산!$I:$I,가맹점정보!F210,임대자산!$N:$N,가맹점정보!P$4)</f>
        <v>0</v>
      </c>
      <c r="Q210" s="80" t="n">
        <f aca="false">COUNTIFS(임대자산!$I:$I,가맹점정보!F210,임대자산!$N:$N,가맹점정보!Q$4)</f>
        <v>0</v>
      </c>
      <c r="R210" s="81" t="n">
        <f aca="false">COUNTIFS(임대자산!$I:$I,가맹점정보!F210,임대자산!$N:$N,가맹점정보!R$4)</f>
        <v>1</v>
      </c>
      <c r="S210" s="82" t="n">
        <v>110000</v>
      </c>
      <c r="T210" s="83" t="n">
        <v>0</v>
      </c>
      <c r="U210" s="80" t="n">
        <f aca="false">SUM(S210:T210)</f>
        <v>110000</v>
      </c>
      <c r="V210" s="84" t="s">
        <v>12</v>
      </c>
      <c r="W210" s="80" t="e">
        <f aca="true">
IF(D210="폐업","폐업",
IF(V210="면제","면제",
IF(AND(V210="정상",COUNTIFS(OFFSET(Y210,0,COUNTA(Y210:AV210)-1,1,-4),"미납")&gt;=3),"장기미납",
IF(AND(V210="정상",OFFSET(Y210,0,COUNTA(Y210:AV210)-1)&gt;=U210),"정상",
IF(AND(V210="정상",OFFSET(Y210,0,COUNTA(Y210:AV210)-1)=0),"정상",
"계약서 미작성")))))</f>
        <v>#VALUE!</v>
      </c>
      <c r="X210" s="81" t="str">
        <f aca="true">
IF(D210="폐업","폐업",
IF(AND(V210="정상",OFFSET(Y210,0,COUNTA(Y210:AV210)-1)="미납"),"미납",
IF(AND(V210="정상",OFFSET(Y210,0,COUNTA(Y210:AV210)-1)=0),"납부 시작 전",
IF(AND(V210="정상",OFFSET(Y210,0,COUNTA(Y210:AV210)-1)&gt;=U210),"정상",
IF(AND(V210="면제",OFFSET(Y210,0,COUNTA(Y210:AV210)-1)="면제"),"면제",
IF(AND(V210="면제",OFFSET(Y210,0,COUNTA(Y210:AV210)-1)=0),"면제",
"확인요청"))))))</f>
        <v>정상</v>
      </c>
      <c r="Y210" s="93" t="n">
        <v>110000</v>
      </c>
      <c r="Z210" s="90" t="n">
        <v>110000</v>
      </c>
      <c r="AA210" s="90" t="n">
        <v>110000</v>
      </c>
      <c r="AB210" s="90" t="n">
        <v>110000</v>
      </c>
      <c r="AC210" s="90" t="n">
        <v>110000</v>
      </c>
      <c r="AD210" s="90" t="n">
        <v>110000</v>
      </c>
      <c r="AE210" s="90" t="n">
        <v>110000</v>
      </c>
      <c r="AF210" s="90" t="n">
        <v>110000</v>
      </c>
      <c r="AG210" s="90" t="n">
        <v>110000</v>
      </c>
      <c r="AH210" s="90" t="n">
        <v>110000</v>
      </c>
      <c r="AI210" s="90" t="n">
        <v>110000</v>
      </c>
      <c r="AJ210" s="91" t="n">
        <v>110000</v>
      </c>
      <c r="AK210" s="89" t="n">
        <v>110000</v>
      </c>
      <c r="AL210" s="90" t="n">
        <v>110000</v>
      </c>
      <c r="AM210" s="90"/>
      <c r="AN210" s="90"/>
      <c r="AO210" s="90"/>
      <c r="AP210" s="90"/>
      <c r="AQ210" s="90"/>
      <c r="AR210" s="90"/>
      <c r="AS210" s="90"/>
      <c r="AT210" s="90"/>
      <c r="AU210" s="90"/>
      <c r="AV210" s="91"/>
      <c r="AX210" s="92"/>
    </row>
    <row r="211" customFormat="false" ht="15.65" hidden="false" customHeight="false" outlineLevel="0" collapsed="false">
      <c r="C211" s="72" t="n">
        <f aca="false">COUNTIFS($D$6:D211,"&lt;&gt;"&amp;"")</f>
        <v>206</v>
      </c>
      <c r="D211" s="73" t="s">
        <v>12</v>
      </c>
      <c r="E211" s="76" t="str">
        <f aca="false">
IF($D211="정상",INDEX(임대자산!$D$3:$R$3000,MATCH($F211,임대자산!$I$3:$I$3000,0),MATCH(E$3,임대자산!$D$3:$R$3,0)),
IF($D211="폐업",INDEX(폐업정보!$D$3:$R$3000,MATCH($F211,폐업정보!$I$3:$I$3000,0),MATCH(E$3,폐업정보!$D$3:$R$3,0)),
"Error"))</f>
        <v>경상</v>
      </c>
      <c r="F21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B0206</v>
      </c>
      <c r="G211" s="76" t="str">
        <f aca="false">F211&amp;RANDBETWEEN(0,10)</f>
        <v>B02063</v>
      </c>
      <c r="H211" s="75" t="n">
        <f aca="false">
IF($D211="정상",INDEX(임대자산!$D$3:$R$3000,MATCH($F211,임대자산!$I$3:$I$3000,0),MATCH(H$4,임대자산!$D$3:$R$3,0)),
IF($D211="폐업",INDEX(폐업정보!$D$3:$R$3000,MATCH($F211,폐업정보!$I$3:$I$3000,0),MATCH(H$4,폐업정보!$D$3:$R$3,0)),
"Error"))</f>
        <v>44854</v>
      </c>
      <c r="I211" s="75" t="str">
        <f aca="false">
IF($D211="정상",INDEX(임대자산!$D$3:$R$3000,MATCH($F211,임대자산!$I$3:$I$3000,0),MATCH(I$4,임대자산!$D$3:$R$3,0)),
IF($D211="폐업",INDEX(폐업정보!$D$3:$R$3000,MATCH($F211,폐업정보!$I$3:$I$3000,0),MATCH(I$4,폐업정보!$D$3:$R$3,0)),
"Error"))</f>
        <v>A0206</v>
      </c>
      <c r="J211" s="75" t="str">
        <f aca="false">
IF($D211="정상",INDEX(임대자산!$D$3:$R$3000,MATCH($F211,임대자산!$I$3:$I$3000,0),MATCH(J$4,임대자산!$D$3:$R$3,0)),
IF($D211="폐업",INDEX(폐업정보!$D$3:$R$3000,MATCH($F211,폐업정보!$I$3:$I$3000,0),MATCH(J$4,폐업정보!$D$3:$R$3,0)),
"Error"))</f>
        <v>1950500000</v>
      </c>
      <c r="K211" s="75" t="str">
        <f aca="false">
IF($D211="정상",INDEX(임대자산!$D$3:$R$3000,MATCH($F211,임대자산!$I$3:$I$3000,0),MATCH(K$4,임대자산!$D$3:$R$3,0)),
IF($D211="폐업",INDEX(폐업정보!$D$3:$R$3000,MATCH($F211,폐업정보!$I$3:$I$3000,0),MATCH(K$4,폐업정보!$D$3:$R$3,0)),
"Error"))</f>
        <v>C0206</v>
      </c>
      <c r="L211" s="75" t="str">
        <f aca="false">
IF($D211="정상",INDEX(임대자산!$D$3:$R$3000,MATCH($F211,임대자산!$I$3:$I$3000,0),MATCH(L$4,임대자산!$D$3:$R$3,0)),
IF($D211="폐업",INDEX(폐업정보!$D$3:$R$3000,MATCH($F211,폐업정보!$I$3:$I$3000,0),MATCH(L$4,폐업정보!$D$3:$R$3,0)),
"Error"))</f>
        <v>D0206</v>
      </c>
      <c r="M211" s="76" t="s">
        <v>96</v>
      </c>
      <c r="N211" s="77"/>
      <c r="O211" s="78" t="s">
        <v>97</v>
      </c>
      <c r="P211" s="79" t="n">
        <f aca="false">COUNTIFS(임대자산!$I:$I,가맹점정보!F211,임대자산!$N:$N,가맹점정보!P$4)</f>
        <v>0</v>
      </c>
      <c r="Q211" s="80" t="n">
        <f aca="false">COUNTIFS(임대자산!$I:$I,가맹점정보!F211,임대자산!$N:$N,가맹점정보!Q$4)</f>
        <v>0</v>
      </c>
      <c r="R211" s="81" t="n">
        <f aca="false">COUNTIFS(임대자산!$I:$I,가맹점정보!F211,임대자산!$N:$N,가맹점정보!R$4)</f>
        <v>1</v>
      </c>
      <c r="S211" s="82" t="n">
        <v>88000</v>
      </c>
      <c r="T211" s="83" t="n">
        <v>0</v>
      </c>
      <c r="U211" s="80" t="n">
        <f aca="false">SUM(S211:T211)</f>
        <v>88000</v>
      </c>
      <c r="V211" s="84" t="s">
        <v>7</v>
      </c>
      <c r="W211" s="80" t="str">
        <f aca="true">
IF(D211="폐업","폐업",
IF(V211="면제","면제",
IF(AND(V211="정상",COUNTIFS(OFFSET(Y211,0,COUNTA(Y211:AV211)-1,1,-4),"미납")&gt;=3),"장기미납",
IF(AND(V211="정상",OFFSET(Y211,0,COUNTA(Y211:AV211)-1)&gt;=U211),"정상",
IF(AND(V211="정상",OFFSET(Y211,0,COUNTA(Y211:AV211)-1)=0),"정상",
"계약서 미작성")))))</f>
        <v>면제</v>
      </c>
      <c r="X211" s="81" t="str">
        <f aca="true">
IF(D211="폐업","폐업",
IF(AND(V211="정상",OFFSET(Y211,0,COUNTA(Y211:AV211)-1)="미납"),"미납",
IF(AND(V211="정상",OFFSET(Y211,0,COUNTA(Y211:AV211)-1)=0),"납부 시작 전",
IF(AND(V211="정상",OFFSET(Y211,0,COUNTA(Y211:AV211)-1)&gt;=U211),"정상",
IF(AND(V211="면제",OFFSET(Y211,0,COUNTA(Y211:AV211)-1)="면제"),"면제",
IF(AND(V211="면제",OFFSET(Y211,0,COUNTA(Y211:AV211)-1)=0),"면제",
"확인요청"))))))</f>
        <v>면제</v>
      </c>
      <c r="Y211" s="94" t="s">
        <v>7</v>
      </c>
      <c r="Z211" s="95" t="s">
        <v>7</v>
      </c>
      <c r="AA211" s="95" t="s">
        <v>7</v>
      </c>
      <c r="AB211" s="95" t="s">
        <v>7</v>
      </c>
      <c r="AC211" s="95" t="s">
        <v>7</v>
      </c>
      <c r="AD211" s="95" t="s">
        <v>7</v>
      </c>
      <c r="AE211" s="95" t="s">
        <v>7</v>
      </c>
      <c r="AF211" s="95" t="s">
        <v>7</v>
      </c>
      <c r="AG211" s="95" t="s">
        <v>7</v>
      </c>
      <c r="AH211" s="95" t="s">
        <v>7</v>
      </c>
      <c r="AI211" s="95" t="s">
        <v>7</v>
      </c>
      <c r="AJ211" s="96" t="s">
        <v>7</v>
      </c>
      <c r="AK211" s="97" t="s">
        <v>7</v>
      </c>
      <c r="AL211" s="95" t="s">
        <v>7</v>
      </c>
      <c r="AM211" s="90"/>
      <c r="AN211" s="90"/>
      <c r="AO211" s="90"/>
      <c r="AP211" s="90"/>
      <c r="AQ211" s="90"/>
      <c r="AR211" s="90"/>
      <c r="AS211" s="90"/>
      <c r="AT211" s="90"/>
      <c r="AU211" s="90"/>
      <c r="AV211" s="91"/>
      <c r="AX211" s="92"/>
    </row>
    <row r="212" customFormat="false" ht="15.65" hidden="false" customHeight="false" outlineLevel="0" collapsed="false">
      <c r="C212" s="72" t="n">
        <f aca="false">COUNTIFS($D$6:D212,"&lt;&gt;"&amp;"")</f>
        <v>207</v>
      </c>
      <c r="D212" s="73" t="s">
        <v>12</v>
      </c>
      <c r="E212" s="76" t="str">
        <f aca="false">
IF($D212="정상",INDEX(임대자산!$D$3:$R$3000,MATCH($F212,임대자산!$I$3:$I$3000,0),MATCH(E$3,임대자산!$D$3:$R$3,0)),
IF($D212="폐업",INDEX(폐업정보!$D$3:$R$3000,MATCH($F212,폐업정보!$I$3:$I$3000,0),MATCH(E$3,폐업정보!$D$3:$R$3,0)),
"Error"))</f>
        <v>서울</v>
      </c>
      <c r="F21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B0207</v>
      </c>
      <c r="G212" s="76" t="str">
        <f aca="false">F212&amp;RANDBETWEEN(0,10)</f>
        <v>B02075</v>
      </c>
      <c r="H212" s="75" t="n">
        <f aca="false">
IF($D212="정상",INDEX(임대자산!$D$3:$R$3000,MATCH($F212,임대자산!$I$3:$I$3000,0),MATCH(H$4,임대자산!$D$3:$R$3,0)),
IF($D212="폐업",INDEX(폐업정보!$D$3:$R$3000,MATCH($F212,폐업정보!$I$3:$I$3000,0),MATCH(H$4,폐업정보!$D$3:$R$3,0)),
"Error"))</f>
        <v>44860</v>
      </c>
      <c r="I212" s="75" t="str">
        <f aca="false">
IF($D212="정상",INDEX(임대자산!$D$3:$R$3000,MATCH($F212,임대자산!$I$3:$I$3000,0),MATCH(I$4,임대자산!$D$3:$R$3,0)),
IF($D212="폐업",INDEX(폐업정보!$D$3:$R$3000,MATCH($F212,폐업정보!$I$3:$I$3000,0),MATCH(I$4,폐업정보!$D$3:$R$3,0)),
"Error"))</f>
        <v>A0207</v>
      </c>
      <c r="J212" s="75" t="str">
        <f aca="false">
IF($D212="정상",INDEX(임대자산!$D$3:$R$3000,MATCH($F212,임대자산!$I$3:$I$3000,0),MATCH(J$4,임대자산!$D$3:$R$3,0)),
IF($D212="폐업",INDEX(폐업정보!$D$3:$R$3000,MATCH($F212,폐업정보!$I$3:$I$3000,0),MATCH(J$4,폐업정보!$D$3:$R$3,0)),
"Error"))</f>
        <v>5770800000</v>
      </c>
      <c r="K212" s="75" t="str">
        <f aca="false">
IF($D212="정상",INDEX(임대자산!$D$3:$R$3000,MATCH($F212,임대자산!$I$3:$I$3000,0),MATCH(K$4,임대자산!$D$3:$R$3,0)),
IF($D212="폐업",INDEX(폐업정보!$D$3:$R$3000,MATCH($F212,폐업정보!$I$3:$I$3000,0),MATCH(K$4,폐업정보!$D$3:$R$3,0)),
"Error"))</f>
        <v>C0207</v>
      </c>
      <c r="L212" s="75" t="str">
        <f aca="false">
IF($D212="정상",INDEX(임대자산!$D$3:$R$3000,MATCH($F212,임대자산!$I$3:$I$3000,0),MATCH(L$4,임대자산!$D$3:$R$3,0)),
IF($D212="폐업",INDEX(폐업정보!$D$3:$R$3000,MATCH($F212,폐업정보!$I$3:$I$3000,0),MATCH(L$4,폐업정보!$D$3:$R$3,0)),
"Error"))</f>
        <v>D0207</v>
      </c>
      <c r="M212" s="76" t="s">
        <v>96</v>
      </c>
      <c r="N212" s="77"/>
      <c r="O212" s="78" t="s">
        <v>97</v>
      </c>
      <c r="P212" s="79" t="n">
        <f aca="false">COUNTIFS(임대자산!$I:$I,가맹점정보!F212,임대자산!$N:$N,가맹점정보!P$4)</f>
        <v>0</v>
      </c>
      <c r="Q212" s="80" t="n">
        <f aca="false">COUNTIFS(임대자산!$I:$I,가맹점정보!F212,임대자산!$N:$N,가맹점정보!Q$4)</f>
        <v>0</v>
      </c>
      <c r="R212" s="81" t="n">
        <f aca="false">COUNTIFS(임대자산!$I:$I,가맹점정보!F212,임대자산!$N:$N,가맹점정보!R$4)</f>
        <v>1</v>
      </c>
      <c r="S212" s="82" t="n">
        <v>55000</v>
      </c>
      <c r="T212" s="83" t="n">
        <v>0</v>
      </c>
      <c r="U212" s="80" t="n">
        <f aca="false">SUM(S212:T212)</f>
        <v>55000</v>
      </c>
      <c r="V212" s="84" t="s">
        <v>12</v>
      </c>
      <c r="W212" s="80" t="e">
        <f aca="true">
IF(D212="폐업","폐업",
IF(V212="면제","면제",
IF(AND(V212="정상",COUNTIFS(OFFSET(Y212,0,COUNTA(Y212:AV212)-1,1,-4),"미납")&gt;=3),"장기미납",
IF(AND(V212="정상",OFFSET(Y212,0,COUNTA(Y212:AV212)-1)&gt;=U212),"정상",
IF(AND(V212="정상",OFFSET(Y212,0,COUNTA(Y212:AV212)-1)=0),"정상",
"계약서 미작성")))))</f>
        <v>#VALUE!</v>
      </c>
      <c r="X212" s="81" t="str">
        <f aca="true">
IF(D212="폐업","폐업",
IF(AND(V212="정상",OFFSET(Y212,0,COUNTA(Y212:AV212)-1)="미납"),"미납",
IF(AND(V212="정상",OFFSET(Y212,0,COUNTA(Y212:AV212)-1)=0),"납부 시작 전",
IF(AND(V212="정상",OFFSET(Y212,0,COUNTA(Y212:AV212)-1)&gt;=U212),"정상",
IF(AND(V212="면제",OFFSET(Y212,0,COUNTA(Y212:AV212)-1)="면제"),"면제",
IF(AND(V212="면제",OFFSET(Y212,0,COUNTA(Y212:AV212)-1)=0),"면제",
"확인요청"))))))</f>
        <v>정상</v>
      </c>
      <c r="Y212" s="93" t="n">
        <v>55000</v>
      </c>
      <c r="Z212" s="90" t="n">
        <v>55000</v>
      </c>
      <c r="AA212" s="90" t="n">
        <v>55000</v>
      </c>
      <c r="AB212" s="90" t="n">
        <v>55000</v>
      </c>
      <c r="AC212" s="90" t="n">
        <v>55000</v>
      </c>
      <c r="AD212" s="90" t="n">
        <v>55000</v>
      </c>
      <c r="AE212" s="90" t="n">
        <v>55000</v>
      </c>
      <c r="AF212" s="90" t="n">
        <v>55000</v>
      </c>
      <c r="AG212" s="90" t="n">
        <v>55000</v>
      </c>
      <c r="AH212" s="90" t="n">
        <v>55000</v>
      </c>
      <c r="AI212" s="90" t="n">
        <v>55000</v>
      </c>
      <c r="AJ212" s="91" t="n">
        <v>55000</v>
      </c>
      <c r="AK212" s="89" t="n">
        <v>55000</v>
      </c>
      <c r="AL212" s="90" t="n">
        <v>55000</v>
      </c>
      <c r="AM212" s="90"/>
      <c r="AN212" s="90"/>
      <c r="AO212" s="90"/>
      <c r="AP212" s="90"/>
      <c r="AQ212" s="90"/>
      <c r="AR212" s="90"/>
      <c r="AS212" s="90"/>
      <c r="AT212" s="90"/>
      <c r="AU212" s="90"/>
      <c r="AV212" s="91"/>
      <c r="AX212" s="92"/>
    </row>
    <row r="213" customFormat="false" ht="15.65" hidden="false" customHeight="false" outlineLevel="0" collapsed="false">
      <c r="C213" s="72" t="n">
        <f aca="false">COUNTIFS($D$6:D213,"&lt;&gt;"&amp;"")</f>
        <v>208</v>
      </c>
      <c r="D213" s="73" t="s">
        <v>12</v>
      </c>
      <c r="E213" s="76" t="str">
        <f aca="false">
IF($D213="정상",INDEX(임대자산!$D$3:$R$3000,MATCH($F213,임대자산!$I$3:$I$3000,0),MATCH(E$3,임대자산!$D$3:$R$3,0)),
IF($D213="폐업",INDEX(폐업정보!$D$3:$R$3000,MATCH($F213,폐업정보!$I$3:$I$3000,0),MATCH(E$3,폐업정보!$D$3:$R$3,0)),
"Error"))</f>
        <v>서울</v>
      </c>
      <c r="F21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B0208</v>
      </c>
      <c r="G213" s="76" t="str">
        <f aca="false">F213&amp;RANDBETWEEN(0,10)</f>
        <v>B02084</v>
      </c>
      <c r="H213" s="75" t="n">
        <f aca="false">
IF($D213="정상",INDEX(임대자산!$D$3:$R$3000,MATCH($F213,임대자산!$I$3:$I$3000,0),MATCH(H$4,임대자산!$D$3:$R$3,0)),
IF($D213="폐업",INDEX(폐업정보!$D$3:$R$3000,MATCH($F213,폐업정보!$I$3:$I$3000,0),MATCH(H$4,폐업정보!$D$3:$R$3,0)),
"Error"))</f>
        <v>44831</v>
      </c>
      <c r="I213" s="75" t="str">
        <f aca="false">
IF($D213="정상",INDEX(임대자산!$D$3:$R$3000,MATCH($F213,임대자산!$I$3:$I$3000,0),MATCH(I$4,임대자산!$D$3:$R$3,0)),
IF($D213="폐업",INDEX(폐업정보!$D$3:$R$3000,MATCH($F213,폐업정보!$I$3:$I$3000,0),MATCH(I$4,폐업정보!$D$3:$R$3,0)),
"Error"))</f>
        <v>A0208</v>
      </c>
      <c r="J213" s="75" t="str">
        <f aca="false">
IF($D213="정상",INDEX(임대자산!$D$3:$R$3000,MATCH($F213,임대자산!$I$3:$I$3000,0),MATCH(J$4,임대자산!$D$3:$R$3,0)),
IF($D213="폐업",INDEX(폐업정보!$D$3:$R$3000,MATCH($F213,폐업정보!$I$3:$I$3000,0),MATCH(J$4,폐업정보!$D$3:$R$3,0)),
"Error"))</f>
        <v>8007200000</v>
      </c>
      <c r="K213" s="75" t="str">
        <f aca="false">
IF($D213="정상",INDEX(임대자산!$D$3:$R$3000,MATCH($F213,임대자산!$I$3:$I$3000,0),MATCH(K$4,임대자산!$D$3:$R$3,0)),
IF($D213="폐업",INDEX(폐업정보!$D$3:$R$3000,MATCH($F213,폐업정보!$I$3:$I$3000,0),MATCH(K$4,폐업정보!$D$3:$R$3,0)),
"Error"))</f>
        <v>C0208</v>
      </c>
      <c r="L213" s="75" t="str">
        <f aca="false">
IF($D213="정상",INDEX(임대자산!$D$3:$R$3000,MATCH($F213,임대자산!$I$3:$I$3000,0),MATCH(L$4,임대자산!$D$3:$R$3,0)),
IF($D213="폐업",INDEX(폐업정보!$D$3:$R$3000,MATCH($F213,폐업정보!$I$3:$I$3000,0),MATCH(L$4,폐업정보!$D$3:$R$3,0)),
"Error"))</f>
        <v>D0208</v>
      </c>
      <c r="M213" s="76" t="s">
        <v>96</v>
      </c>
      <c r="N213" s="77"/>
      <c r="O213" s="78" t="s">
        <v>97</v>
      </c>
      <c r="P213" s="79" t="n">
        <f aca="false">COUNTIFS(임대자산!$I:$I,가맹점정보!F213,임대자산!$N:$N,가맹점정보!P$4)</f>
        <v>0</v>
      </c>
      <c r="Q213" s="80" t="n">
        <f aca="false">COUNTIFS(임대자산!$I:$I,가맹점정보!F213,임대자산!$N:$N,가맹점정보!Q$4)</f>
        <v>0</v>
      </c>
      <c r="R213" s="81" t="n">
        <f aca="false">COUNTIFS(임대자산!$I:$I,가맹점정보!F213,임대자산!$N:$N,가맹점정보!R$4)</f>
        <v>1</v>
      </c>
      <c r="S213" s="82" t="n">
        <v>110000</v>
      </c>
      <c r="T213" s="83" t="n">
        <v>0</v>
      </c>
      <c r="U213" s="80" t="n">
        <f aca="false">SUM(S213:T213)</f>
        <v>110000</v>
      </c>
      <c r="V213" s="84" t="s">
        <v>12</v>
      </c>
      <c r="W213" s="80" t="e">
        <f aca="true">
IF(D213="폐업","폐업",
IF(V213="면제","면제",
IF(AND(V213="정상",COUNTIFS(OFFSET(Y213,0,COUNTA(Y213:AV213)-1,1,-4),"미납")&gt;=3),"장기미납",
IF(AND(V213="정상",OFFSET(Y213,0,COUNTA(Y213:AV213)-1)&gt;=U213),"정상",
IF(AND(V213="정상",OFFSET(Y213,0,COUNTA(Y213:AV213)-1)=0),"정상",
"계약서 미작성")))))</f>
        <v>#VALUE!</v>
      </c>
      <c r="X213" s="81" t="str">
        <f aca="true">
IF(D213="폐업","폐업",
IF(AND(V213="정상",OFFSET(Y213,0,COUNTA(Y213:AV213)-1)="미납"),"미납",
IF(AND(V213="정상",OFFSET(Y213,0,COUNTA(Y213:AV213)-1)=0),"납부 시작 전",
IF(AND(V213="정상",OFFSET(Y213,0,COUNTA(Y213:AV213)-1)&gt;=U213),"정상",
IF(AND(V213="면제",OFFSET(Y213,0,COUNTA(Y213:AV213)-1)="면제"),"면제",
IF(AND(V213="면제",OFFSET(Y213,0,COUNTA(Y213:AV213)-1)=0),"면제",
"확인요청"))))))</f>
        <v>정상</v>
      </c>
      <c r="Y213" s="93" t="n">
        <v>110000</v>
      </c>
      <c r="Z213" s="90" t="n">
        <v>110000</v>
      </c>
      <c r="AA213" s="90" t="n">
        <v>110000</v>
      </c>
      <c r="AB213" s="90" t="n">
        <v>110000</v>
      </c>
      <c r="AC213" s="90" t="n">
        <v>110000</v>
      </c>
      <c r="AD213" s="90" t="n">
        <v>110000</v>
      </c>
      <c r="AE213" s="90" t="n">
        <v>110000</v>
      </c>
      <c r="AF213" s="90" t="n">
        <v>110000</v>
      </c>
      <c r="AG213" s="90" t="n">
        <v>110000</v>
      </c>
      <c r="AH213" s="90" t="n">
        <v>110000</v>
      </c>
      <c r="AI213" s="90" t="n">
        <v>110000</v>
      </c>
      <c r="AJ213" s="91" t="n">
        <v>110000</v>
      </c>
      <c r="AK213" s="89" t="n">
        <v>110000</v>
      </c>
      <c r="AL213" s="90" t="n">
        <v>110000</v>
      </c>
      <c r="AM213" s="90"/>
      <c r="AN213" s="90"/>
      <c r="AO213" s="90"/>
      <c r="AP213" s="90"/>
      <c r="AQ213" s="90"/>
      <c r="AR213" s="90"/>
      <c r="AS213" s="90"/>
      <c r="AT213" s="90"/>
      <c r="AU213" s="90"/>
      <c r="AV213" s="91"/>
      <c r="AX213" s="92"/>
    </row>
    <row r="214" customFormat="false" ht="15.65" hidden="false" customHeight="false" outlineLevel="0" collapsed="false">
      <c r="C214" s="72" t="n">
        <f aca="false">COUNTIFS($D$6:D214,"&lt;&gt;"&amp;"")</f>
        <v>209</v>
      </c>
      <c r="D214" s="73" t="s">
        <v>12</v>
      </c>
      <c r="E214" s="76" t="str">
        <f aca="false">
IF($D214="정상",INDEX(임대자산!$D$3:$R$3000,MATCH($F214,임대자산!$I$3:$I$3000,0),MATCH(E$3,임대자산!$D$3:$R$3,0)),
IF($D214="폐업",INDEX(폐업정보!$D$3:$R$3000,MATCH($F214,폐업정보!$I$3:$I$3000,0),MATCH(E$3,폐업정보!$D$3:$R$3,0)),
"Error"))</f>
        <v>서울</v>
      </c>
      <c r="F21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B0209</v>
      </c>
      <c r="G214" s="76" t="str">
        <f aca="false">F214&amp;RANDBETWEEN(0,10)</f>
        <v>B02092</v>
      </c>
      <c r="H214" s="75" t="n">
        <f aca="false">
IF($D214="정상",INDEX(임대자산!$D$3:$R$3000,MATCH($F214,임대자산!$I$3:$I$3000,0),MATCH(H$4,임대자산!$D$3:$R$3,0)),
IF($D214="폐업",INDEX(폐업정보!$D$3:$R$3000,MATCH($F214,폐업정보!$I$3:$I$3000,0),MATCH(H$4,폐업정보!$D$3:$R$3,0)),
"Error"))</f>
        <v>44854</v>
      </c>
      <c r="I214" s="75" t="str">
        <f aca="false">
IF($D214="정상",INDEX(임대자산!$D$3:$R$3000,MATCH($F214,임대자산!$I$3:$I$3000,0),MATCH(I$4,임대자산!$D$3:$R$3,0)),
IF($D214="폐업",INDEX(폐업정보!$D$3:$R$3000,MATCH($F214,폐업정보!$I$3:$I$3000,0),MATCH(I$4,폐업정보!$D$3:$R$3,0)),
"Error"))</f>
        <v>A0209</v>
      </c>
      <c r="J214" s="75" t="str">
        <f aca="false">
IF($D214="정상",INDEX(임대자산!$D$3:$R$3000,MATCH($F214,임대자산!$I$3:$I$3000,0),MATCH(J$4,임대자산!$D$3:$R$3,0)),
IF($D214="폐업",INDEX(폐업정보!$D$3:$R$3000,MATCH($F214,폐업정보!$I$3:$I$3000,0),MATCH(J$4,폐업정보!$D$3:$R$3,0)),
"Error"))</f>
        <v>4865100000</v>
      </c>
      <c r="K214" s="75" t="str">
        <f aca="false">
IF($D214="정상",INDEX(임대자산!$D$3:$R$3000,MATCH($F214,임대자산!$I$3:$I$3000,0),MATCH(K$4,임대자산!$D$3:$R$3,0)),
IF($D214="폐업",INDEX(폐업정보!$D$3:$R$3000,MATCH($F214,폐업정보!$I$3:$I$3000,0),MATCH(K$4,폐업정보!$D$3:$R$3,0)),
"Error"))</f>
        <v>C0209</v>
      </c>
      <c r="L214" s="75" t="str">
        <f aca="false">
IF($D214="정상",INDEX(임대자산!$D$3:$R$3000,MATCH($F214,임대자산!$I$3:$I$3000,0),MATCH(L$4,임대자산!$D$3:$R$3,0)),
IF($D214="폐업",INDEX(폐업정보!$D$3:$R$3000,MATCH($F214,폐업정보!$I$3:$I$3000,0),MATCH(L$4,폐업정보!$D$3:$R$3,0)),
"Error"))</f>
        <v>D0209</v>
      </c>
      <c r="M214" s="76" t="s">
        <v>96</v>
      </c>
      <c r="N214" s="77"/>
      <c r="O214" s="78" t="s">
        <v>97</v>
      </c>
      <c r="P214" s="79" t="n">
        <f aca="false">COUNTIFS(임대자산!$I:$I,가맹점정보!F214,임대자산!$N:$N,가맹점정보!P$4)</f>
        <v>0</v>
      </c>
      <c r="Q214" s="80" t="n">
        <f aca="false">COUNTIFS(임대자산!$I:$I,가맹점정보!F214,임대자산!$N:$N,가맹점정보!Q$4)</f>
        <v>0</v>
      </c>
      <c r="R214" s="81" t="n">
        <f aca="false">COUNTIFS(임대자산!$I:$I,가맹점정보!F214,임대자산!$N:$N,가맹점정보!R$4)</f>
        <v>1</v>
      </c>
      <c r="S214" s="82" t="n">
        <v>55000</v>
      </c>
      <c r="T214" s="83" t="n">
        <v>0</v>
      </c>
      <c r="U214" s="80" t="n">
        <f aca="false">SUM(S214:T214)</f>
        <v>55000</v>
      </c>
      <c r="V214" s="84" t="s">
        <v>12</v>
      </c>
      <c r="W214" s="80" t="e">
        <f aca="true">
IF(D214="폐업","폐업",
IF(V214="면제","면제",
IF(AND(V214="정상",COUNTIFS(OFFSET(Y214,0,COUNTA(Y214:AV214)-1,1,-4),"미납")&gt;=3),"장기미납",
IF(AND(V214="정상",OFFSET(Y214,0,COUNTA(Y214:AV214)-1)&gt;=U214),"정상",
IF(AND(V214="정상",OFFSET(Y214,0,COUNTA(Y214:AV214)-1)=0),"정상",
"계약서 미작성")))))</f>
        <v>#VALUE!</v>
      </c>
      <c r="X214" s="81" t="str">
        <f aca="true">
IF(D214="폐업","폐업",
IF(AND(V214="정상",OFFSET(Y214,0,COUNTA(Y214:AV214)-1)="미납"),"미납",
IF(AND(V214="정상",OFFSET(Y214,0,COUNTA(Y214:AV214)-1)=0),"납부 시작 전",
IF(AND(V214="정상",OFFSET(Y214,0,COUNTA(Y214:AV214)-1)&gt;=U214),"정상",
IF(AND(V214="면제",OFFSET(Y214,0,COUNTA(Y214:AV214)-1)="면제"),"면제",
IF(AND(V214="면제",OFFSET(Y214,0,COUNTA(Y214:AV214)-1)=0),"면제",
"확인요청"))))))</f>
        <v>정상</v>
      </c>
      <c r="Y214" s="93" t="n">
        <v>55000</v>
      </c>
      <c r="Z214" s="90" t="n">
        <v>55000</v>
      </c>
      <c r="AA214" s="90" t="n">
        <v>55000</v>
      </c>
      <c r="AB214" s="90" t="n">
        <v>55000</v>
      </c>
      <c r="AC214" s="90" t="n">
        <v>55000</v>
      </c>
      <c r="AD214" s="90" t="n">
        <v>55000</v>
      </c>
      <c r="AE214" s="90" t="n">
        <v>55000</v>
      </c>
      <c r="AF214" s="90" t="n">
        <v>55000</v>
      </c>
      <c r="AG214" s="90" t="n">
        <v>55000</v>
      </c>
      <c r="AH214" s="90" t="n">
        <v>55000</v>
      </c>
      <c r="AI214" s="90" t="n">
        <v>55000</v>
      </c>
      <c r="AJ214" s="91" t="n">
        <v>55000</v>
      </c>
      <c r="AK214" s="89" t="n">
        <v>55000</v>
      </c>
      <c r="AL214" s="90" t="n">
        <v>55000</v>
      </c>
      <c r="AM214" s="90"/>
      <c r="AN214" s="90"/>
      <c r="AO214" s="90"/>
      <c r="AP214" s="90"/>
      <c r="AQ214" s="90"/>
      <c r="AR214" s="90"/>
      <c r="AS214" s="90"/>
      <c r="AT214" s="90"/>
      <c r="AU214" s="90"/>
      <c r="AV214" s="91"/>
      <c r="AX214" s="92"/>
    </row>
    <row r="215" customFormat="false" ht="15.65" hidden="false" customHeight="false" outlineLevel="0" collapsed="false">
      <c r="C215" s="72" t="n">
        <f aca="false">COUNTIFS($D$6:D215,"&lt;&gt;"&amp;"")</f>
        <v>210</v>
      </c>
      <c r="D215" s="73" t="s">
        <v>12</v>
      </c>
      <c r="E215" s="76" t="str">
        <f aca="false">
IF($D215="정상",INDEX(임대자산!$D$3:$R$3000,MATCH($F215,임대자산!$I$3:$I$3000,0),MATCH(E$3,임대자산!$D$3:$R$3,0)),
IF($D215="폐업",INDEX(폐업정보!$D$3:$R$3000,MATCH($F215,폐업정보!$I$3:$I$3000,0),MATCH(E$3,폐업정보!$D$3:$R$3,0)),
"Error"))</f>
        <v>경상</v>
      </c>
      <c r="F21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B0210</v>
      </c>
      <c r="G215" s="76" t="str">
        <f aca="false">F215&amp;RANDBETWEEN(0,10)</f>
        <v>B02104</v>
      </c>
      <c r="H215" s="75" t="n">
        <f aca="false">
IF($D215="정상",INDEX(임대자산!$D$3:$R$3000,MATCH($F215,임대자산!$I$3:$I$3000,0),MATCH(H$4,임대자산!$D$3:$R$3,0)),
IF($D215="폐업",INDEX(폐업정보!$D$3:$R$3000,MATCH($F215,폐업정보!$I$3:$I$3000,0),MATCH(H$4,폐업정보!$D$3:$R$3,0)),
"Error"))</f>
        <v>44874</v>
      </c>
      <c r="I215" s="75" t="str">
        <f aca="false">
IF($D215="정상",INDEX(임대자산!$D$3:$R$3000,MATCH($F215,임대자산!$I$3:$I$3000,0),MATCH(I$4,임대자산!$D$3:$R$3,0)),
IF($D215="폐업",INDEX(폐업정보!$D$3:$R$3000,MATCH($F215,폐업정보!$I$3:$I$3000,0),MATCH(I$4,폐업정보!$D$3:$R$3,0)),
"Error"))</f>
        <v>A0210</v>
      </c>
      <c r="J215" s="75" t="str">
        <f aca="false">
IF($D215="정상",INDEX(임대자산!$D$3:$R$3000,MATCH($F215,임대자산!$I$3:$I$3000,0),MATCH(J$4,임대자산!$D$3:$R$3,0)),
IF($D215="폐업",INDEX(폐업정보!$D$3:$R$3000,MATCH($F215,폐업정보!$I$3:$I$3000,0),MATCH(J$4,폐업정보!$D$3:$R$3,0)),
"Error"))</f>
        <v>2482100000</v>
      </c>
      <c r="K215" s="75" t="str">
        <f aca="false">
IF($D215="정상",INDEX(임대자산!$D$3:$R$3000,MATCH($F215,임대자산!$I$3:$I$3000,0),MATCH(K$4,임대자산!$D$3:$R$3,0)),
IF($D215="폐업",INDEX(폐업정보!$D$3:$R$3000,MATCH($F215,폐업정보!$I$3:$I$3000,0),MATCH(K$4,폐업정보!$D$3:$R$3,0)),
"Error"))</f>
        <v>C0210</v>
      </c>
      <c r="L215" s="75" t="str">
        <f aca="false">
IF($D215="정상",INDEX(임대자산!$D$3:$R$3000,MATCH($F215,임대자산!$I$3:$I$3000,0),MATCH(L$4,임대자산!$D$3:$R$3,0)),
IF($D215="폐업",INDEX(폐업정보!$D$3:$R$3000,MATCH($F215,폐업정보!$I$3:$I$3000,0),MATCH(L$4,폐업정보!$D$3:$R$3,0)),
"Error"))</f>
        <v>D0210</v>
      </c>
      <c r="M215" s="76" t="s">
        <v>96</v>
      </c>
      <c r="N215" s="77"/>
      <c r="O215" s="78" t="s">
        <v>97</v>
      </c>
      <c r="P215" s="79" t="n">
        <f aca="false">COUNTIFS(임대자산!$I:$I,가맹점정보!F215,임대자산!$N:$N,가맹점정보!P$4)</f>
        <v>0</v>
      </c>
      <c r="Q215" s="80" t="n">
        <f aca="false">COUNTIFS(임대자산!$I:$I,가맹점정보!F215,임대자산!$N:$N,가맹점정보!Q$4)</f>
        <v>0</v>
      </c>
      <c r="R215" s="81" t="n">
        <f aca="false">COUNTIFS(임대자산!$I:$I,가맹점정보!F215,임대자산!$N:$N,가맹점정보!R$4)</f>
        <v>1</v>
      </c>
      <c r="S215" s="82" t="n">
        <v>55000</v>
      </c>
      <c r="T215" s="83" t="n">
        <v>0</v>
      </c>
      <c r="U215" s="80" t="n">
        <f aca="false">SUM(S215:T215)</f>
        <v>55000</v>
      </c>
      <c r="V215" s="84" t="s">
        <v>7</v>
      </c>
      <c r="W215" s="80" t="str">
        <f aca="true">
IF(D215="폐업","폐업",
IF(V215="면제","면제",
IF(AND(V215="정상",COUNTIFS(OFFSET(Y215,0,COUNTA(Y215:AV215)-1,1,-4),"미납")&gt;=3),"장기미납",
IF(AND(V215="정상",OFFSET(Y215,0,COUNTA(Y215:AV215)-1)&gt;=U215),"정상",
IF(AND(V215="정상",OFFSET(Y215,0,COUNTA(Y215:AV215)-1)=0),"정상",
"계약서 미작성")))))</f>
        <v>면제</v>
      </c>
      <c r="X215" s="81" t="str">
        <f aca="true">
IF(D215="폐업","폐업",
IF(AND(V215="정상",OFFSET(Y215,0,COUNTA(Y215:AV215)-1)="미납"),"미납",
IF(AND(V215="정상",OFFSET(Y215,0,COUNTA(Y215:AV215)-1)=0),"납부 시작 전",
IF(AND(V215="정상",OFFSET(Y215,0,COUNTA(Y215:AV215)-1)&gt;=U215),"정상",
IF(AND(V215="면제",OFFSET(Y215,0,COUNTA(Y215:AV215)-1)="면제"),"면제",
IF(AND(V215="면제",OFFSET(Y215,0,COUNTA(Y215:AV215)-1)=0),"면제",
"확인요청"))))))</f>
        <v>면제</v>
      </c>
      <c r="Y215" s="93" t="n">
        <v>55000</v>
      </c>
      <c r="Z215" s="90" t="n">
        <v>55000</v>
      </c>
      <c r="AA215" s="90" t="n">
        <v>55000</v>
      </c>
      <c r="AB215" s="90" t="n">
        <v>55000</v>
      </c>
      <c r="AC215" s="90" t="n">
        <v>55000</v>
      </c>
      <c r="AD215" s="90" t="n">
        <v>55000</v>
      </c>
      <c r="AE215" s="90" t="n">
        <v>55000</v>
      </c>
      <c r="AF215" s="95" t="s">
        <v>62</v>
      </c>
      <c r="AG215" s="95" t="s">
        <v>62</v>
      </c>
      <c r="AH215" s="95" t="s">
        <v>7</v>
      </c>
      <c r="AI215" s="95" t="s">
        <v>7</v>
      </c>
      <c r="AJ215" s="96" t="s">
        <v>7</v>
      </c>
      <c r="AK215" s="97" t="s">
        <v>7</v>
      </c>
      <c r="AL215" s="95" t="s">
        <v>7</v>
      </c>
      <c r="AM215" s="90"/>
      <c r="AN215" s="90"/>
      <c r="AO215" s="90"/>
      <c r="AP215" s="90"/>
      <c r="AQ215" s="90"/>
      <c r="AR215" s="90"/>
      <c r="AS215" s="90"/>
      <c r="AT215" s="90"/>
      <c r="AU215" s="90"/>
      <c r="AV215" s="91"/>
      <c r="AX215" s="92"/>
    </row>
    <row r="216" customFormat="false" ht="15.65" hidden="false" customHeight="false" outlineLevel="0" collapsed="false">
      <c r="C216" s="72" t="n">
        <f aca="false">COUNTIFS($D$6:D216,"&lt;&gt;"&amp;"")</f>
        <v>211</v>
      </c>
      <c r="D216" s="73" t="s">
        <v>12</v>
      </c>
      <c r="E216" s="76" t="str">
        <f aca="false">
IF($D216="정상",INDEX(임대자산!$D$3:$R$3000,MATCH($F216,임대자산!$I$3:$I$3000,0),MATCH(E$3,임대자산!$D$3:$R$3,0)),
IF($D216="폐업",INDEX(폐업정보!$D$3:$R$3000,MATCH($F216,폐업정보!$I$3:$I$3000,0),MATCH(E$3,폐업정보!$D$3:$R$3,0)),
"Error"))</f>
        <v>경상</v>
      </c>
      <c r="F21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B0211</v>
      </c>
      <c r="G216" s="76" t="str">
        <f aca="false">F216&amp;RANDBETWEEN(0,10)</f>
        <v>B02116</v>
      </c>
      <c r="H216" s="75" t="n">
        <f aca="false">
IF($D216="정상",INDEX(임대자산!$D$3:$R$3000,MATCH($F216,임대자산!$I$3:$I$3000,0),MATCH(H$4,임대자산!$D$3:$R$3,0)),
IF($D216="폐업",INDEX(폐업정보!$D$3:$R$3000,MATCH($F216,폐업정보!$I$3:$I$3000,0),MATCH(H$4,폐업정보!$D$3:$R$3,0)),
"Error"))</f>
        <v>44838</v>
      </c>
      <c r="I216" s="75" t="str">
        <f aca="false">
IF($D216="정상",INDEX(임대자산!$D$3:$R$3000,MATCH($F216,임대자산!$I$3:$I$3000,0),MATCH(I$4,임대자산!$D$3:$R$3,0)),
IF($D216="폐업",INDEX(폐업정보!$D$3:$R$3000,MATCH($F216,폐업정보!$I$3:$I$3000,0),MATCH(I$4,폐업정보!$D$3:$R$3,0)),
"Error"))</f>
        <v>A0211</v>
      </c>
      <c r="J216" s="75" t="str">
        <f aca="false">
IF($D216="정상",INDEX(임대자산!$D$3:$R$3000,MATCH($F216,임대자산!$I$3:$I$3000,0),MATCH(J$4,임대자산!$D$3:$R$3,0)),
IF($D216="폐업",INDEX(폐업정보!$D$3:$R$3000,MATCH($F216,폐업정보!$I$3:$I$3000,0),MATCH(J$4,폐업정보!$D$3:$R$3,0)),
"Error"))</f>
        <v>4536800000</v>
      </c>
      <c r="K216" s="75" t="str">
        <f aca="false">
IF($D216="정상",INDEX(임대자산!$D$3:$R$3000,MATCH($F216,임대자산!$I$3:$I$3000,0),MATCH(K$4,임대자산!$D$3:$R$3,0)),
IF($D216="폐업",INDEX(폐업정보!$D$3:$R$3000,MATCH($F216,폐업정보!$I$3:$I$3000,0),MATCH(K$4,폐업정보!$D$3:$R$3,0)),
"Error"))</f>
        <v>C0211</v>
      </c>
      <c r="L216" s="75" t="str">
        <f aca="false">
IF($D216="정상",INDEX(임대자산!$D$3:$R$3000,MATCH($F216,임대자산!$I$3:$I$3000,0),MATCH(L$4,임대자산!$D$3:$R$3,0)),
IF($D216="폐업",INDEX(폐업정보!$D$3:$R$3000,MATCH($F216,폐업정보!$I$3:$I$3000,0),MATCH(L$4,폐업정보!$D$3:$R$3,0)),
"Error"))</f>
        <v>D0211</v>
      </c>
      <c r="M216" s="76" t="s">
        <v>96</v>
      </c>
      <c r="N216" s="77"/>
      <c r="O216" s="78" t="s">
        <v>97</v>
      </c>
      <c r="P216" s="79" t="n">
        <f aca="false">COUNTIFS(임대자산!$I:$I,가맹점정보!F216,임대자산!$N:$N,가맹점정보!P$4)</f>
        <v>0</v>
      </c>
      <c r="Q216" s="80" t="n">
        <f aca="false">COUNTIFS(임대자산!$I:$I,가맹점정보!F216,임대자산!$N:$N,가맹점정보!Q$4)</f>
        <v>0</v>
      </c>
      <c r="R216" s="81" t="n">
        <f aca="false">COUNTIFS(임대자산!$I:$I,가맹점정보!F216,임대자산!$N:$N,가맹점정보!R$4)</f>
        <v>1</v>
      </c>
      <c r="S216" s="82" t="n">
        <v>110000</v>
      </c>
      <c r="T216" s="83" t="n">
        <v>0</v>
      </c>
      <c r="U216" s="80" t="n">
        <f aca="false">SUM(S216:T216)</f>
        <v>110000</v>
      </c>
      <c r="V216" s="84" t="s">
        <v>7</v>
      </c>
      <c r="W216" s="80" t="str">
        <f aca="true">
IF(D216="폐업","폐업",
IF(V216="면제","면제",
IF(AND(V216="정상",COUNTIFS(OFFSET(Y216,0,COUNTA(Y216:AV216)-1,1,-4),"미납")&gt;=3),"장기미납",
IF(AND(V216="정상",OFFSET(Y216,0,COUNTA(Y216:AV216)-1)&gt;=U216),"정상",
IF(AND(V216="정상",OFFSET(Y216,0,COUNTA(Y216:AV216)-1)=0),"정상",
"계약서 미작성")))))</f>
        <v>면제</v>
      </c>
      <c r="X216" s="81" t="str">
        <f aca="true">
IF(D216="폐업","폐업",
IF(AND(V216="정상",OFFSET(Y216,0,COUNTA(Y216:AV216)-1)="미납"),"미납",
IF(AND(V216="정상",OFFSET(Y216,0,COUNTA(Y216:AV216)-1)=0),"납부 시작 전",
IF(AND(V216="정상",OFFSET(Y216,0,COUNTA(Y216:AV216)-1)&gt;=U216),"정상",
IF(AND(V216="면제",OFFSET(Y216,0,COUNTA(Y216:AV216)-1)="면제"),"면제",
IF(AND(V216="면제",OFFSET(Y216,0,COUNTA(Y216:AV216)-1)=0),"면제",
"확인요청"))))))</f>
        <v>면제</v>
      </c>
      <c r="Y216" s="93" t="n">
        <v>110000</v>
      </c>
      <c r="Z216" s="90" t="n">
        <v>110000</v>
      </c>
      <c r="AA216" s="90" t="n">
        <v>110000</v>
      </c>
      <c r="AB216" s="90" t="n">
        <v>110000</v>
      </c>
      <c r="AC216" s="90" t="n">
        <v>110000</v>
      </c>
      <c r="AD216" s="90" t="n">
        <v>110000</v>
      </c>
      <c r="AE216" s="90" t="n">
        <v>110000</v>
      </c>
      <c r="AF216" s="90" t="n">
        <v>110000</v>
      </c>
      <c r="AG216" s="90" t="s">
        <v>98</v>
      </c>
      <c r="AH216" s="90" t="s">
        <v>98</v>
      </c>
      <c r="AI216" s="90" t="n">
        <v>330000</v>
      </c>
      <c r="AJ216" s="96" t="s">
        <v>7</v>
      </c>
      <c r="AK216" s="97" t="s">
        <v>7</v>
      </c>
      <c r="AL216" s="95" t="s">
        <v>7</v>
      </c>
      <c r="AM216" s="90"/>
      <c r="AN216" s="90"/>
      <c r="AO216" s="90"/>
      <c r="AP216" s="90"/>
      <c r="AQ216" s="90"/>
      <c r="AR216" s="90"/>
      <c r="AS216" s="90"/>
      <c r="AT216" s="90"/>
      <c r="AU216" s="90"/>
      <c r="AV216" s="91"/>
      <c r="AX216" s="92"/>
    </row>
    <row r="217" customFormat="false" ht="15.65" hidden="false" customHeight="false" outlineLevel="0" collapsed="false">
      <c r="C217" s="72" t="n">
        <f aca="false">COUNTIFS($D$6:D217,"&lt;&gt;"&amp;"")</f>
        <v>212</v>
      </c>
      <c r="D217" s="73" t="s">
        <v>12</v>
      </c>
      <c r="E217" s="76" t="str">
        <f aca="false">
IF($D217="정상",INDEX(임대자산!$D$3:$R$3000,MATCH($F217,임대자산!$I$3:$I$3000,0),MATCH(E$3,임대자산!$D$3:$R$3,0)),
IF($D217="폐업",INDEX(폐업정보!$D$3:$R$3000,MATCH($F217,폐업정보!$I$3:$I$3000,0),MATCH(E$3,폐업정보!$D$3:$R$3,0)),
"Error"))</f>
        <v>강원</v>
      </c>
      <c r="F21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B0212</v>
      </c>
      <c r="G217" s="76" t="str">
        <f aca="false">F217&amp;RANDBETWEEN(0,10)</f>
        <v>B02127</v>
      </c>
      <c r="H217" s="75" t="n">
        <f aca="false">
IF($D217="정상",INDEX(임대자산!$D$3:$R$3000,MATCH($F217,임대자산!$I$3:$I$3000,0),MATCH(H$4,임대자산!$D$3:$R$3,0)),
IF($D217="폐업",INDEX(폐업정보!$D$3:$R$3000,MATCH($F217,폐업정보!$I$3:$I$3000,0),MATCH(H$4,폐업정보!$D$3:$R$3,0)),
"Error"))</f>
        <v>44862</v>
      </c>
      <c r="I217" s="75" t="str">
        <f aca="false">
IF($D217="정상",INDEX(임대자산!$D$3:$R$3000,MATCH($F217,임대자산!$I$3:$I$3000,0),MATCH(I$4,임대자산!$D$3:$R$3,0)),
IF($D217="폐업",INDEX(폐업정보!$D$3:$R$3000,MATCH($F217,폐업정보!$I$3:$I$3000,0),MATCH(I$4,폐업정보!$D$3:$R$3,0)),
"Error"))</f>
        <v>A0212</v>
      </c>
      <c r="J217" s="75" t="str">
        <f aca="false">
IF($D217="정상",INDEX(임대자산!$D$3:$R$3000,MATCH($F217,임대자산!$I$3:$I$3000,0),MATCH(J$4,임대자산!$D$3:$R$3,0)),
IF($D217="폐업",INDEX(폐업정보!$D$3:$R$3000,MATCH($F217,폐업정보!$I$3:$I$3000,0),MATCH(J$4,폐업정보!$D$3:$R$3,0)),
"Error"))</f>
        <v>5746600000</v>
      </c>
      <c r="K217" s="75" t="str">
        <f aca="false">
IF($D217="정상",INDEX(임대자산!$D$3:$R$3000,MATCH($F217,임대자산!$I$3:$I$3000,0),MATCH(K$4,임대자산!$D$3:$R$3,0)),
IF($D217="폐업",INDEX(폐업정보!$D$3:$R$3000,MATCH($F217,폐업정보!$I$3:$I$3000,0),MATCH(K$4,폐업정보!$D$3:$R$3,0)),
"Error"))</f>
        <v>C0212</v>
      </c>
      <c r="L217" s="75" t="str">
        <f aca="false">
IF($D217="정상",INDEX(임대자산!$D$3:$R$3000,MATCH($F217,임대자산!$I$3:$I$3000,0),MATCH(L$4,임대자산!$D$3:$R$3,0)),
IF($D217="폐업",INDEX(폐업정보!$D$3:$R$3000,MATCH($F217,폐업정보!$I$3:$I$3000,0),MATCH(L$4,폐업정보!$D$3:$R$3,0)),
"Error"))</f>
        <v>D0212</v>
      </c>
      <c r="M217" s="76" t="s">
        <v>96</v>
      </c>
      <c r="N217" s="77"/>
      <c r="O217" s="78" t="s">
        <v>97</v>
      </c>
      <c r="P217" s="79" t="n">
        <f aca="false">COUNTIFS(임대자산!$I:$I,가맹점정보!F217,임대자산!$N:$N,가맹점정보!P$4)</f>
        <v>0</v>
      </c>
      <c r="Q217" s="80" t="n">
        <f aca="false">COUNTIFS(임대자산!$I:$I,가맹점정보!F217,임대자산!$N:$N,가맹점정보!Q$4)</f>
        <v>0</v>
      </c>
      <c r="R217" s="81" t="n">
        <f aca="false">COUNTIFS(임대자산!$I:$I,가맹점정보!F217,임대자산!$N:$N,가맹점정보!R$4)</f>
        <v>1</v>
      </c>
      <c r="S217" s="82" t="n">
        <v>55000</v>
      </c>
      <c r="T217" s="83" t="n">
        <v>0</v>
      </c>
      <c r="U217" s="80" t="n">
        <f aca="false">SUM(S217:T217)</f>
        <v>55000</v>
      </c>
      <c r="V217" s="84" t="s">
        <v>12</v>
      </c>
      <c r="W217" s="80" t="e">
        <f aca="true">
IF(D217="폐업","폐업",
IF(V217="면제","면제",
IF(AND(V217="정상",COUNTIFS(OFFSET(Y217,0,COUNTA(Y217:AV217)-1,1,-4),"미납")&gt;=3),"장기미납",
IF(AND(V217="정상",OFFSET(Y217,0,COUNTA(Y217:AV217)-1)&gt;=U217),"정상",
IF(AND(V217="정상",OFFSET(Y217,0,COUNTA(Y217:AV217)-1)=0),"정상",
"계약서 미작성")))))</f>
        <v>#VALUE!</v>
      </c>
      <c r="X217" s="81" t="str">
        <f aca="true">
IF(D217="폐업","폐업",
IF(AND(V217="정상",OFFSET(Y217,0,COUNTA(Y217:AV217)-1)="미납"),"미납",
IF(AND(V217="정상",OFFSET(Y217,0,COUNTA(Y217:AV217)-1)=0),"납부 시작 전",
IF(AND(V217="정상",OFFSET(Y217,0,COUNTA(Y217:AV217)-1)&gt;=U217),"정상",
IF(AND(V217="면제",OFFSET(Y217,0,COUNTA(Y217:AV217)-1)="면제"),"면제",
IF(AND(V217="면제",OFFSET(Y217,0,COUNTA(Y217:AV217)-1)=0),"면제",
"확인요청"))))))</f>
        <v>정상</v>
      </c>
      <c r="Y217" s="93" t="n">
        <v>55000</v>
      </c>
      <c r="Z217" s="90" t="n">
        <v>55000</v>
      </c>
      <c r="AA217" s="90" t="n">
        <v>55000</v>
      </c>
      <c r="AB217" s="90" t="n">
        <v>55000</v>
      </c>
      <c r="AC217" s="90" t="n">
        <v>55000</v>
      </c>
      <c r="AD217" s="90" t="n">
        <v>55000</v>
      </c>
      <c r="AE217" s="90" t="n">
        <v>55000</v>
      </c>
      <c r="AF217" s="90" t="n">
        <v>55000</v>
      </c>
      <c r="AG217" s="90" t="n">
        <v>55000</v>
      </c>
      <c r="AH217" s="90" t="n">
        <v>55000</v>
      </c>
      <c r="AI217" s="90" t="n">
        <v>55000</v>
      </c>
      <c r="AJ217" s="91" t="n">
        <v>55000</v>
      </c>
      <c r="AK217" s="89" t="n">
        <v>55000</v>
      </c>
      <c r="AL217" s="90" t="n">
        <v>55000</v>
      </c>
      <c r="AM217" s="90"/>
      <c r="AN217" s="90"/>
      <c r="AO217" s="90"/>
      <c r="AP217" s="90"/>
      <c r="AQ217" s="90"/>
      <c r="AR217" s="90"/>
      <c r="AS217" s="90"/>
      <c r="AT217" s="90"/>
      <c r="AU217" s="90"/>
      <c r="AV217" s="91"/>
      <c r="AX217" s="92"/>
    </row>
    <row r="218" customFormat="false" ht="15.65" hidden="false" customHeight="false" outlineLevel="0" collapsed="false">
      <c r="C218" s="72" t="n">
        <f aca="false">COUNTIFS($D$6:D218,"&lt;&gt;"&amp;"")</f>
        <v>213</v>
      </c>
      <c r="D218" s="73" t="s">
        <v>12</v>
      </c>
      <c r="E218" s="76" t="str">
        <f aca="false">
IF($D218="정상",INDEX(임대자산!$D$3:$R$3000,MATCH($F218,임대자산!$I$3:$I$3000,0),MATCH(E$3,임대자산!$D$3:$R$3,0)),
IF($D218="폐업",INDEX(폐업정보!$D$3:$R$3000,MATCH($F218,폐업정보!$I$3:$I$3000,0),MATCH(E$3,폐업정보!$D$3:$R$3,0)),
"Error"))</f>
        <v>전라</v>
      </c>
      <c r="F21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B0213</v>
      </c>
      <c r="G218" s="76" t="str">
        <f aca="false">F218&amp;RANDBETWEEN(0,10)</f>
        <v>B02138</v>
      </c>
      <c r="H218" s="75" t="n">
        <f aca="false">
IF($D218="정상",INDEX(임대자산!$D$3:$R$3000,MATCH($F218,임대자산!$I$3:$I$3000,0),MATCH(H$4,임대자산!$D$3:$R$3,0)),
IF($D218="폐업",INDEX(폐업정보!$D$3:$R$3000,MATCH($F218,폐업정보!$I$3:$I$3000,0),MATCH(H$4,폐업정보!$D$3:$R$3,0)),
"Error"))</f>
        <v>44889</v>
      </c>
      <c r="I218" s="75" t="str">
        <f aca="false">
IF($D218="정상",INDEX(임대자산!$D$3:$R$3000,MATCH($F218,임대자산!$I$3:$I$3000,0),MATCH(I$4,임대자산!$D$3:$R$3,0)),
IF($D218="폐업",INDEX(폐업정보!$D$3:$R$3000,MATCH($F218,폐업정보!$I$3:$I$3000,0),MATCH(I$4,폐업정보!$D$3:$R$3,0)),
"Error"))</f>
        <v>A0213</v>
      </c>
      <c r="J218" s="75" t="str">
        <f aca="false">
IF($D218="정상",INDEX(임대자산!$D$3:$R$3000,MATCH($F218,임대자산!$I$3:$I$3000,0),MATCH(J$4,임대자산!$D$3:$R$3,0)),
IF($D218="폐업",INDEX(폐업정보!$D$3:$R$3000,MATCH($F218,폐업정보!$I$3:$I$3000,0),MATCH(J$4,폐업정보!$D$3:$R$3,0)),
"Error"))</f>
        <v>3813500000</v>
      </c>
      <c r="K218" s="75" t="str">
        <f aca="false">
IF($D218="정상",INDEX(임대자산!$D$3:$R$3000,MATCH($F218,임대자산!$I$3:$I$3000,0),MATCH(K$4,임대자산!$D$3:$R$3,0)),
IF($D218="폐업",INDEX(폐업정보!$D$3:$R$3000,MATCH($F218,폐업정보!$I$3:$I$3000,0),MATCH(K$4,폐업정보!$D$3:$R$3,0)),
"Error"))</f>
        <v>C0213</v>
      </c>
      <c r="L218" s="75" t="str">
        <f aca="false">
IF($D218="정상",INDEX(임대자산!$D$3:$R$3000,MATCH($F218,임대자산!$I$3:$I$3000,0),MATCH(L$4,임대자산!$D$3:$R$3,0)),
IF($D218="폐업",INDEX(폐업정보!$D$3:$R$3000,MATCH($F218,폐업정보!$I$3:$I$3000,0),MATCH(L$4,폐업정보!$D$3:$R$3,0)),
"Error"))</f>
        <v>D0213</v>
      </c>
      <c r="M218" s="76" t="s">
        <v>96</v>
      </c>
      <c r="N218" s="77"/>
      <c r="O218" s="78" t="s">
        <v>97</v>
      </c>
      <c r="P218" s="79" t="n">
        <f aca="false">COUNTIFS(임대자산!$I:$I,가맹점정보!F218,임대자산!$N:$N,가맹점정보!P$4)</f>
        <v>0</v>
      </c>
      <c r="Q218" s="80" t="n">
        <f aca="false">COUNTIFS(임대자산!$I:$I,가맹점정보!F218,임대자산!$N:$N,가맹점정보!Q$4)</f>
        <v>0</v>
      </c>
      <c r="R218" s="81" t="n">
        <f aca="false">COUNTIFS(임대자산!$I:$I,가맹점정보!F218,임대자산!$N:$N,가맹점정보!R$4)</f>
        <v>1</v>
      </c>
      <c r="S218" s="82" t="n">
        <v>44000</v>
      </c>
      <c r="T218" s="83" t="n">
        <v>44000</v>
      </c>
      <c r="U218" s="80" t="n">
        <f aca="false">SUM(S218:T218)</f>
        <v>88000</v>
      </c>
      <c r="V218" s="84" t="s">
        <v>12</v>
      </c>
      <c r="W218" s="80" t="e">
        <f aca="true">
IF(D218="폐업","폐업",
IF(V218="면제","면제",
IF(AND(V218="정상",COUNTIFS(OFFSET(Y218,0,COUNTA(Y218:AV218)-1,1,-4),"미납")&gt;=3),"장기미납",
IF(AND(V218="정상",OFFSET(Y218,0,COUNTA(Y218:AV218)-1)&gt;=U218),"정상",
IF(AND(V218="정상",OFFSET(Y218,0,COUNTA(Y218:AV218)-1)=0),"정상",
"계약서 미작성")))))</f>
        <v>#VALUE!</v>
      </c>
      <c r="X218" s="81" t="str">
        <f aca="true">
IF(D218="폐업","폐업",
IF(AND(V218="정상",OFFSET(Y218,0,COUNTA(Y218:AV218)-1)="미납"),"미납",
IF(AND(V218="정상",OFFSET(Y218,0,COUNTA(Y218:AV218)-1)=0),"납부 시작 전",
IF(AND(V218="정상",OFFSET(Y218,0,COUNTA(Y218:AV218)-1)&gt;=U218),"정상",
IF(AND(V218="면제",OFFSET(Y218,0,COUNTA(Y218:AV218)-1)="면제"),"면제",
IF(AND(V218="면제",OFFSET(Y218,0,COUNTA(Y218:AV218)-1)=0),"면제",
"확인요청"))))))</f>
        <v>정상</v>
      </c>
      <c r="Y218" s="93" t="n">
        <v>88000</v>
      </c>
      <c r="Z218" s="90" t="n">
        <v>88000</v>
      </c>
      <c r="AA218" s="90" t="n">
        <v>88000</v>
      </c>
      <c r="AB218" s="90" t="n">
        <v>88000</v>
      </c>
      <c r="AC218" s="90" t="n">
        <v>88000</v>
      </c>
      <c r="AD218" s="90" t="n">
        <v>88000</v>
      </c>
      <c r="AE218" s="90" t="n">
        <v>88000</v>
      </c>
      <c r="AF218" s="90" t="n">
        <v>88000</v>
      </c>
      <c r="AG218" s="90" t="n">
        <v>88000</v>
      </c>
      <c r="AH218" s="90" t="n">
        <v>88000</v>
      </c>
      <c r="AI218" s="90" t="n">
        <v>88000</v>
      </c>
      <c r="AJ218" s="91" t="n">
        <v>88000</v>
      </c>
      <c r="AK218" s="89" t="n">
        <v>88000</v>
      </c>
      <c r="AL218" s="90" t="n">
        <v>88000</v>
      </c>
      <c r="AM218" s="90"/>
      <c r="AN218" s="90"/>
      <c r="AO218" s="90"/>
      <c r="AP218" s="90"/>
      <c r="AQ218" s="90"/>
      <c r="AR218" s="90"/>
      <c r="AS218" s="90"/>
      <c r="AT218" s="90"/>
      <c r="AU218" s="90"/>
      <c r="AV218" s="91"/>
      <c r="AX218" s="92"/>
    </row>
    <row r="219" customFormat="false" ht="15.65" hidden="false" customHeight="false" outlineLevel="0" collapsed="false">
      <c r="C219" s="72" t="n">
        <f aca="false">COUNTIFS($D$6:D219,"&lt;&gt;"&amp;"")</f>
        <v>214</v>
      </c>
      <c r="D219" s="73" t="s">
        <v>12</v>
      </c>
      <c r="E219" s="76" t="str">
        <f aca="false">
IF($D219="정상",INDEX(임대자산!$D$3:$R$3000,MATCH($F219,임대자산!$I$3:$I$3000,0),MATCH(E$3,임대자산!$D$3:$R$3,0)),
IF($D219="폐업",INDEX(폐업정보!$D$3:$R$3000,MATCH($F219,폐업정보!$I$3:$I$3000,0),MATCH(E$3,폐업정보!$D$3:$R$3,0)),
"Error"))</f>
        <v>경기</v>
      </c>
      <c r="F21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B0214</v>
      </c>
      <c r="G219" s="76" t="str">
        <f aca="false">F219&amp;RANDBETWEEN(0,10)</f>
        <v>B02140</v>
      </c>
      <c r="H219" s="75" t="n">
        <f aca="false">
IF($D219="정상",INDEX(임대자산!$D$3:$R$3000,MATCH($F219,임대자산!$I$3:$I$3000,0),MATCH(H$4,임대자산!$D$3:$R$3,0)),
IF($D219="폐업",INDEX(폐업정보!$D$3:$R$3000,MATCH($F219,폐업정보!$I$3:$I$3000,0),MATCH(H$4,폐업정보!$D$3:$R$3,0)),
"Error"))</f>
        <v>44979</v>
      </c>
      <c r="I219" s="75" t="str">
        <f aca="false">
IF($D219="정상",INDEX(임대자산!$D$3:$R$3000,MATCH($F219,임대자산!$I$3:$I$3000,0),MATCH(I$4,임대자산!$D$3:$R$3,0)),
IF($D219="폐업",INDEX(폐업정보!$D$3:$R$3000,MATCH($F219,폐업정보!$I$3:$I$3000,0),MATCH(I$4,폐업정보!$D$3:$R$3,0)),
"Error"))</f>
        <v>A0214</v>
      </c>
      <c r="J219" s="75" t="str">
        <f aca="false">
IF($D219="정상",INDEX(임대자산!$D$3:$R$3000,MATCH($F219,임대자산!$I$3:$I$3000,0),MATCH(J$4,임대자산!$D$3:$R$3,0)),
IF($D219="폐업",INDEX(폐업정보!$D$3:$R$3000,MATCH($F219,폐업정보!$I$3:$I$3000,0),MATCH(J$4,폐업정보!$D$3:$R$3,0)),
"Error"))</f>
        <v>2186200000</v>
      </c>
      <c r="K219" s="75" t="str">
        <f aca="false">
IF($D219="정상",INDEX(임대자산!$D$3:$R$3000,MATCH($F219,임대자산!$I$3:$I$3000,0),MATCH(K$4,임대자산!$D$3:$R$3,0)),
IF($D219="폐업",INDEX(폐업정보!$D$3:$R$3000,MATCH($F219,폐업정보!$I$3:$I$3000,0),MATCH(K$4,폐업정보!$D$3:$R$3,0)),
"Error"))</f>
        <v>C0214</v>
      </c>
      <c r="L219" s="75" t="str">
        <f aca="false">
IF($D219="정상",INDEX(임대자산!$D$3:$R$3000,MATCH($F219,임대자산!$I$3:$I$3000,0),MATCH(L$4,임대자산!$D$3:$R$3,0)),
IF($D219="폐업",INDEX(폐업정보!$D$3:$R$3000,MATCH($F219,폐업정보!$I$3:$I$3000,0),MATCH(L$4,폐업정보!$D$3:$R$3,0)),
"Error"))</f>
        <v>D0214</v>
      </c>
      <c r="M219" s="76" t="s">
        <v>96</v>
      </c>
      <c r="N219" s="77"/>
      <c r="O219" s="78" t="s">
        <v>97</v>
      </c>
      <c r="P219" s="79" t="n">
        <f aca="false">COUNTIFS(임대자산!$I:$I,가맹점정보!F219,임대자산!$N:$N,가맹점정보!P$4)</f>
        <v>0</v>
      </c>
      <c r="Q219" s="80" t="n">
        <f aca="false">COUNTIFS(임대자산!$I:$I,가맹점정보!F219,임대자산!$N:$N,가맹점정보!Q$4)</f>
        <v>0</v>
      </c>
      <c r="R219" s="81" t="n">
        <f aca="false">COUNTIFS(임대자산!$I:$I,가맹점정보!F219,임대자산!$N:$N,가맹점정보!R$4)</f>
        <v>1</v>
      </c>
      <c r="S219" s="82" t="n">
        <v>0</v>
      </c>
      <c r="T219" s="83" t="n">
        <v>0</v>
      </c>
      <c r="U219" s="80" t="n">
        <f aca="false">SUM(S219:T219)</f>
        <v>0</v>
      </c>
      <c r="V219" s="84" t="s">
        <v>7</v>
      </c>
      <c r="W219" s="80" t="str">
        <f aca="true">
IF(D219="폐업","폐업",
IF(V219="면제","면제",
IF(AND(V219="정상",COUNTIFS(OFFSET(Y219,0,COUNTA(Y219:AV219)-1,1,-4),"미납")&gt;=3),"장기미납",
IF(AND(V219="정상",OFFSET(Y219,0,COUNTA(Y219:AV219)-1)&gt;=U219),"정상",
IF(AND(V219="정상",OFFSET(Y219,0,COUNTA(Y219:AV219)-1)=0),"정상",
"계약서 미작성")))))</f>
        <v>면제</v>
      </c>
      <c r="X219" s="81" t="str">
        <f aca="true">
IF(D219="폐업","폐업",
IF(AND(V219="정상",OFFSET(Y219,0,COUNTA(Y219:AV219)-1)="미납"),"미납",
IF(AND(V219="정상",OFFSET(Y219,0,COUNTA(Y219:AV219)-1)=0),"납부 시작 전",
IF(AND(V219="정상",OFFSET(Y219,0,COUNTA(Y219:AV219)-1)&gt;=U219),"정상",
IF(AND(V219="면제",OFFSET(Y219,0,COUNTA(Y219:AV219)-1)="면제"),"면제",
IF(AND(V219="면제",OFFSET(Y219,0,COUNTA(Y219:AV219)-1)=0),"면제",
"확인요청"))))))</f>
        <v>면제</v>
      </c>
      <c r="Y219" s="94" t="s">
        <v>7</v>
      </c>
      <c r="Z219" s="95" t="s">
        <v>7</v>
      </c>
      <c r="AA219" s="95" t="s">
        <v>7</v>
      </c>
      <c r="AB219" s="95" t="s">
        <v>7</v>
      </c>
      <c r="AC219" s="95" t="s">
        <v>7</v>
      </c>
      <c r="AD219" s="95" t="s">
        <v>7</v>
      </c>
      <c r="AE219" s="95" t="s">
        <v>7</v>
      </c>
      <c r="AF219" s="95" t="s">
        <v>7</v>
      </c>
      <c r="AG219" s="95" t="s">
        <v>7</v>
      </c>
      <c r="AH219" s="95" t="s">
        <v>7</v>
      </c>
      <c r="AI219" s="95" t="s">
        <v>7</v>
      </c>
      <c r="AJ219" s="96" t="s">
        <v>7</v>
      </c>
      <c r="AK219" s="97" t="s">
        <v>7</v>
      </c>
      <c r="AL219" s="95" t="s">
        <v>7</v>
      </c>
      <c r="AM219" s="90"/>
      <c r="AN219" s="90"/>
      <c r="AO219" s="90"/>
      <c r="AP219" s="90"/>
      <c r="AQ219" s="90"/>
      <c r="AR219" s="90"/>
      <c r="AS219" s="90"/>
      <c r="AT219" s="90"/>
      <c r="AU219" s="90"/>
      <c r="AV219" s="91"/>
      <c r="AX219" s="92"/>
    </row>
    <row r="220" customFormat="false" ht="15.65" hidden="false" customHeight="false" outlineLevel="0" collapsed="false">
      <c r="C220" s="72" t="n">
        <f aca="false">COUNTIFS($D$6:D220,"&lt;&gt;"&amp;"")</f>
        <v>215</v>
      </c>
      <c r="D220" s="73" t="s">
        <v>12</v>
      </c>
      <c r="E220" s="76" t="str">
        <f aca="false">
IF($D220="정상",INDEX(임대자산!$D$3:$R$3000,MATCH($F220,임대자산!$I$3:$I$3000,0),MATCH(E$3,임대자산!$D$3:$R$3,0)),
IF($D220="폐업",INDEX(폐업정보!$D$3:$R$3000,MATCH($F220,폐업정보!$I$3:$I$3000,0),MATCH(E$3,폐업정보!$D$3:$R$3,0)),
"Error"))</f>
        <v>경기</v>
      </c>
      <c r="F22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B0215</v>
      </c>
      <c r="G220" s="76" t="str">
        <f aca="false">F220&amp;RANDBETWEEN(0,10)</f>
        <v>B02158</v>
      </c>
      <c r="H220" s="75" t="n">
        <f aca="false">
IF($D220="정상",INDEX(임대자산!$D$3:$R$3000,MATCH($F220,임대자산!$I$3:$I$3000,0),MATCH(H$4,임대자산!$D$3:$R$3,0)),
IF($D220="폐업",INDEX(폐업정보!$D$3:$R$3000,MATCH($F220,폐업정보!$I$3:$I$3000,0),MATCH(H$4,폐업정보!$D$3:$R$3,0)),
"Error"))</f>
        <v>45579</v>
      </c>
      <c r="I220" s="75" t="str">
        <f aca="false">
IF($D220="정상",INDEX(임대자산!$D$3:$R$3000,MATCH($F220,임대자산!$I$3:$I$3000,0),MATCH(I$4,임대자산!$D$3:$R$3,0)),
IF($D220="폐업",INDEX(폐업정보!$D$3:$R$3000,MATCH($F220,폐업정보!$I$3:$I$3000,0),MATCH(I$4,폐업정보!$D$3:$R$3,0)),
"Error"))</f>
        <v>A0215</v>
      </c>
      <c r="J220" s="75" t="str">
        <f aca="false">
IF($D220="정상",INDEX(임대자산!$D$3:$R$3000,MATCH($F220,임대자산!$I$3:$I$3000,0),MATCH(J$4,임대자산!$D$3:$R$3,0)),
IF($D220="폐업",INDEX(폐업정보!$D$3:$R$3000,MATCH($F220,폐업정보!$I$3:$I$3000,0),MATCH(J$4,폐업정보!$D$3:$R$3,0)),
"Error"))</f>
        <v>8165700000</v>
      </c>
      <c r="K220" s="75" t="str">
        <f aca="false">
IF($D220="정상",INDEX(임대자산!$D$3:$R$3000,MATCH($F220,임대자산!$I$3:$I$3000,0),MATCH(K$4,임대자산!$D$3:$R$3,0)),
IF($D220="폐업",INDEX(폐업정보!$D$3:$R$3000,MATCH($F220,폐업정보!$I$3:$I$3000,0),MATCH(K$4,폐업정보!$D$3:$R$3,0)),
"Error"))</f>
        <v>C0215</v>
      </c>
      <c r="L220" s="75" t="str">
        <f aca="false">
IF($D220="정상",INDEX(임대자산!$D$3:$R$3000,MATCH($F220,임대자산!$I$3:$I$3000,0),MATCH(L$4,임대자산!$D$3:$R$3,0)),
IF($D220="폐업",INDEX(폐업정보!$D$3:$R$3000,MATCH($F220,폐업정보!$I$3:$I$3000,0),MATCH(L$4,폐업정보!$D$3:$R$3,0)),
"Error"))</f>
        <v>D0215</v>
      </c>
      <c r="M220" s="76" t="s">
        <v>96</v>
      </c>
      <c r="N220" s="77"/>
      <c r="O220" s="78" t="s">
        <v>97</v>
      </c>
      <c r="P220" s="79" t="n">
        <f aca="false">COUNTIFS(임대자산!$I:$I,가맹점정보!F220,임대자산!$N:$N,가맹점정보!P$4)</f>
        <v>0</v>
      </c>
      <c r="Q220" s="80" t="n">
        <f aca="false">COUNTIFS(임대자산!$I:$I,가맹점정보!F220,임대자산!$N:$N,가맹점정보!Q$4)</f>
        <v>0</v>
      </c>
      <c r="R220" s="81" t="n">
        <f aca="false">COUNTIFS(임대자산!$I:$I,가맹점정보!F220,임대자산!$N:$N,가맹점정보!R$4)</f>
        <v>1</v>
      </c>
      <c r="S220" s="82" t="n">
        <v>55000</v>
      </c>
      <c r="T220" s="83" t="n">
        <v>0</v>
      </c>
      <c r="U220" s="80" t="n">
        <f aca="false">SUM(S220:T220)</f>
        <v>55000</v>
      </c>
      <c r="V220" s="84" t="s">
        <v>12</v>
      </c>
      <c r="W220" s="80" t="e">
        <f aca="true">
IF(D220="폐업","폐업",
IF(V220="면제","면제",
IF(AND(V220="정상",COUNTIFS(OFFSET(Y220,0,COUNTA(Y220:AV220)-1,1,-4),"미납")&gt;=3),"장기미납",
IF(AND(V220="정상",OFFSET(Y220,0,COUNTA(Y220:AV220)-1)&gt;=U220),"정상",
IF(AND(V220="정상",OFFSET(Y220,0,COUNTA(Y220:AV220)-1)=0),"정상",
"계약서 미작성")))))</f>
        <v>#VALUE!</v>
      </c>
      <c r="X220" s="81" t="str">
        <f aca="true">
IF(D220="폐업","폐업",
IF(AND(V220="정상",OFFSET(Y220,0,COUNTA(Y220:AV220)-1)="미납"),"미납",
IF(AND(V220="정상",OFFSET(Y220,0,COUNTA(Y220:AV220)-1)=0),"납부 시작 전",
IF(AND(V220="정상",OFFSET(Y220,0,COUNTA(Y220:AV220)-1)&gt;=U220),"정상",
IF(AND(V220="면제",OFFSET(Y220,0,COUNTA(Y220:AV220)-1)="면제"),"면제",
IF(AND(V220="면제",OFFSET(Y220,0,COUNTA(Y220:AV220)-1)=0),"면제",
"확인요청"))))))</f>
        <v>정상</v>
      </c>
      <c r="Y220" s="93" t="n">
        <v>55000</v>
      </c>
      <c r="Z220" s="90" t="n">
        <v>55000</v>
      </c>
      <c r="AA220" s="90" t="n">
        <v>55000</v>
      </c>
      <c r="AB220" s="90" t="n">
        <v>55000</v>
      </c>
      <c r="AC220" s="90" t="n">
        <v>55000</v>
      </c>
      <c r="AD220" s="90" t="n">
        <v>55000</v>
      </c>
      <c r="AE220" s="90" t="n">
        <v>55000</v>
      </c>
      <c r="AF220" s="90" t="n">
        <v>55000</v>
      </c>
      <c r="AG220" s="90" t="n">
        <v>55000</v>
      </c>
      <c r="AH220" s="90" t="n">
        <v>55000</v>
      </c>
      <c r="AI220" s="90" t="n">
        <v>55000</v>
      </c>
      <c r="AJ220" s="91" t="n">
        <v>55000</v>
      </c>
      <c r="AK220" s="89" t="n">
        <v>55000</v>
      </c>
      <c r="AL220" s="90" t="n">
        <v>55000</v>
      </c>
      <c r="AM220" s="90"/>
      <c r="AN220" s="90"/>
      <c r="AO220" s="90"/>
      <c r="AP220" s="90"/>
      <c r="AQ220" s="90"/>
      <c r="AR220" s="90"/>
      <c r="AS220" s="90"/>
      <c r="AT220" s="90"/>
      <c r="AU220" s="90"/>
      <c r="AV220" s="91"/>
      <c r="AX220" s="92"/>
    </row>
    <row r="221" customFormat="false" ht="15.65" hidden="false" customHeight="false" outlineLevel="0" collapsed="false">
      <c r="C221" s="72" t="n">
        <f aca="false">COUNTIFS($D$6:D221,"&lt;&gt;"&amp;"")</f>
        <v>216</v>
      </c>
      <c r="D221" s="73" t="s">
        <v>12</v>
      </c>
      <c r="E221" s="76" t="str">
        <f aca="false">
IF($D221="정상",INDEX(임대자산!$D$3:$R$3000,MATCH($F221,임대자산!$I$3:$I$3000,0),MATCH(E$3,임대자산!$D$3:$R$3,0)),
IF($D221="폐업",INDEX(폐업정보!$D$3:$R$3000,MATCH($F221,폐업정보!$I$3:$I$3000,0),MATCH(E$3,폐업정보!$D$3:$R$3,0)),
"Error"))</f>
        <v>서울</v>
      </c>
      <c r="F22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B0216</v>
      </c>
      <c r="G221" s="76" t="str">
        <f aca="false">F221&amp;RANDBETWEEN(0,10)</f>
        <v>B02169</v>
      </c>
      <c r="H221" s="75" t="n">
        <f aca="false">
IF($D221="정상",INDEX(임대자산!$D$3:$R$3000,MATCH($F221,임대자산!$I$3:$I$3000,0),MATCH(H$4,임대자산!$D$3:$R$3,0)),
IF($D221="폐업",INDEX(폐업정보!$D$3:$R$3000,MATCH($F221,폐업정보!$I$3:$I$3000,0),MATCH(H$4,폐업정보!$D$3:$R$3,0)),
"Error"))</f>
        <v>45672</v>
      </c>
      <c r="I221" s="75" t="str">
        <f aca="false">
IF($D221="정상",INDEX(임대자산!$D$3:$R$3000,MATCH($F221,임대자산!$I$3:$I$3000,0),MATCH(I$4,임대자산!$D$3:$R$3,0)),
IF($D221="폐업",INDEX(폐업정보!$D$3:$R$3000,MATCH($F221,폐업정보!$I$3:$I$3000,0),MATCH(I$4,폐업정보!$D$3:$R$3,0)),
"Error"))</f>
        <v>A0216</v>
      </c>
      <c r="J221" s="75" t="str">
        <f aca="false">
IF($D221="정상",INDEX(임대자산!$D$3:$R$3000,MATCH($F221,임대자산!$I$3:$I$3000,0),MATCH(J$4,임대자산!$D$3:$R$3,0)),
IF($D221="폐업",INDEX(폐업정보!$D$3:$R$3000,MATCH($F221,폐업정보!$I$3:$I$3000,0),MATCH(J$4,폐업정보!$D$3:$R$3,0)),
"Error"))</f>
        <v>4166100000</v>
      </c>
      <c r="K221" s="75" t="str">
        <f aca="false">
IF($D221="정상",INDEX(임대자산!$D$3:$R$3000,MATCH($F221,임대자산!$I$3:$I$3000,0),MATCH(K$4,임대자산!$D$3:$R$3,0)),
IF($D221="폐업",INDEX(폐업정보!$D$3:$R$3000,MATCH($F221,폐업정보!$I$3:$I$3000,0),MATCH(K$4,폐업정보!$D$3:$R$3,0)),
"Error"))</f>
        <v>C0216</v>
      </c>
      <c r="L221" s="75" t="str">
        <f aca="false">
IF($D221="정상",INDEX(임대자산!$D$3:$R$3000,MATCH($F221,임대자산!$I$3:$I$3000,0),MATCH(L$4,임대자산!$D$3:$R$3,0)),
IF($D221="폐업",INDEX(폐업정보!$D$3:$R$3000,MATCH($F221,폐업정보!$I$3:$I$3000,0),MATCH(L$4,폐업정보!$D$3:$R$3,0)),
"Error"))</f>
        <v>D0216</v>
      </c>
      <c r="M221" s="76" t="s">
        <v>96</v>
      </c>
      <c r="N221" s="77"/>
      <c r="O221" s="78" t="s">
        <v>97</v>
      </c>
      <c r="P221" s="79" t="n">
        <f aca="false">COUNTIFS(임대자산!$I:$I,가맹점정보!F221,임대자산!$N:$N,가맹점정보!P$4)</f>
        <v>0</v>
      </c>
      <c r="Q221" s="80" t="n">
        <f aca="false">COUNTIFS(임대자산!$I:$I,가맹점정보!F221,임대자산!$N:$N,가맹점정보!Q$4)</f>
        <v>0</v>
      </c>
      <c r="R221" s="81" t="n">
        <f aca="false">COUNTIFS(임대자산!$I:$I,가맹점정보!F221,임대자산!$N:$N,가맹점정보!R$4)</f>
        <v>1</v>
      </c>
      <c r="S221" s="82" t="n">
        <v>55000</v>
      </c>
      <c r="T221" s="83" t="n">
        <v>0</v>
      </c>
      <c r="U221" s="80" t="n">
        <f aca="false">SUM(S221:T221)</f>
        <v>55000</v>
      </c>
      <c r="V221" s="84" t="s">
        <v>12</v>
      </c>
      <c r="W221" s="80" t="e">
        <f aca="true">
IF(D221="폐업","폐업",
IF(V221="면제","면제",
IF(AND(V221="정상",COUNTIFS(OFFSET(Y221,0,COUNTA(Y221:AV221)-1,1,-4),"미납")&gt;=3),"장기미납",
IF(AND(V221="정상",OFFSET(Y221,0,COUNTA(Y221:AV221)-1)&gt;=U221),"정상",
IF(AND(V221="정상",OFFSET(Y221,0,COUNTA(Y221:AV221)-1)=0),"정상",
"계약서 미작성")))))</f>
        <v>#VALUE!</v>
      </c>
      <c r="X221" s="81" t="str">
        <f aca="true">
IF(D221="폐업","폐업",
IF(AND(V221="정상",OFFSET(Y221,0,COUNTA(Y221:AV221)-1)="미납"),"미납",
IF(AND(V221="정상",OFFSET(Y221,0,COUNTA(Y221:AV221)-1)=0),"납부 시작 전",
IF(AND(V221="정상",OFFSET(Y221,0,COUNTA(Y221:AV221)-1)&gt;=U221),"정상",
IF(AND(V221="면제",OFFSET(Y221,0,COUNTA(Y221:AV221)-1)="면제"),"면제",
IF(AND(V221="면제",OFFSET(Y221,0,COUNTA(Y221:AV221)-1)=0),"면제",
"확인요청"))))))</f>
        <v>정상</v>
      </c>
      <c r="Y221" s="93" t="n">
        <v>55000</v>
      </c>
      <c r="Z221" s="90" t="n">
        <v>55000</v>
      </c>
      <c r="AA221" s="90" t="n">
        <v>55000</v>
      </c>
      <c r="AB221" s="90" t="n">
        <v>55000</v>
      </c>
      <c r="AC221" s="90" t="n">
        <v>55000</v>
      </c>
      <c r="AD221" s="90" t="n">
        <v>55000</v>
      </c>
      <c r="AE221" s="90" t="n">
        <v>55000</v>
      </c>
      <c r="AF221" s="90" t="n">
        <v>55000</v>
      </c>
      <c r="AG221" s="90" t="n">
        <v>55000</v>
      </c>
      <c r="AH221" s="90" t="n">
        <v>55000</v>
      </c>
      <c r="AI221" s="90" t="n">
        <v>55000</v>
      </c>
      <c r="AJ221" s="91" t="n">
        <v>55000</v>
      </c>
      <c r="AK221" s="89" t="n">
        <v>55000</v>
      </c>
      <c r="AL221" s="90" t="n">
        <v>55000</v>
      </c>
      <c r="AM221" s="90"/>
      <c r="AN221" s="90"/>
      <c r="AO221" s="90"/>
      <c r="AP221" s="90"/>
      <c r="AQ221" s="90"/>
      <c r="AR221" s="90"/>
      <c r="AS221" s="90"/>
      <c r="AT221" s="90"/>
      <c r="AU221" s="90"/>
      <c r="AV221" s="91"/>
      <c r="AX221" s="92"/>
    </row>
    <row r="222" customFormat="false" ht="15.65" hidden="false" customHeight="false" outlineLevel="0" collapsed="false">
      <c r="C222" s="72" t="n">
        <f aca="false">COUNTIFS($D$6:D222,"&lt;&gt;"&amp;"")</f>
        <v>217</v>
      </c>
      <c r="D222" s="73" t="s">
        <v>12</v>
      </c>
      <c r="E222" s="76" t="str">
        <f aca="false">
IF($D222="정상",INDEX(임대자산!$D$3:$R$3000,MATCH($F222,임대자산!$I$3:$I$3000,0),MATCH(E$3,임대자산!$D$3:$R$3,0)),
IF($D222="폐업",INDEX(폐업정보!$D$3:$R$3000,MATCH($F222,폐업정보!$I$3:$I$3000,0),MATCH(E$3,폐업정보!$D$3:$R$3,0)),
"Error"))</f>
        <v>서울</v>
      </c>
      <c r="F22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B0217</v>
      </c>
      <c r="G222" s="76" t="str">
        <f aca="false">F222&amp;RANDBETWEEN(0,10)</f>
        <v>B02177</v>
      </c>
      <c r="H222" s="75" t="n">
        <f aca="false">
IF($D222="정상",INDEX(임대자산!$D$3:$R$3000,MATCH($F222,임대자산!$I$3:$I$3000,0),MATCH(H$4,임대자산!$D$3:$R$3,0)),
IF($D222="폐업",INDEX(폐업정보!$D$3:$R$3000,MATCH($F222,폐업정보!$I$3:$I$3000,0),MATCH(H$4,폐업정보!$D$3:$R$3,0)),
"Error"))</f>
        <v>46029</v>
      </c>
      <c r="I222" s="75" t="str">
        <f aca="false">
IF($D222="정상",INDEX(임대자산!$D$3:$R$3000,MATCH($F222,임대자산!$I$3:$I$3000,0),MATCH(I$4,임대자산!$D$3:$R$3,0)),
IF($D222="폐업",INDEX(폐업정보!$D$3:$R$3000,MATCH($F222,폐업정보!$I$3:$I$3000,0),MATCH(I$4,폐업정보!$D$3:$R$3,0)),
"Error"))</f>
        <v>A0217</v>
      </c>
      <c r="J222" s="75" t="str">
        <f aca="false">
IF($D222="정상",INDEX(임대자산!$D$3:$R$3000,MATCH($F222,임대자산!$I$3:$I$3000,0),MATCH(J$4,임대자산!$D$3:$R$3,0)),
IF($D222="폐업",INDEX(폐업정보!$D$3:$R$3000,MATCH($F222,폐업정보!$I$3:$I$3000,0),MATCH(J$4,폐업정보!$D$3:$R$3,0)),
"Error"))</f>
        <v>3836300000</v>
      </c>
      <c r="K222" s="75" t="str">
        <f aca="false">
IF($D222="정상",INDEX(임대자산!$D$3:$R$3000,MATCH($F222,임대자산!$I$3:$I$3000,0),MATCH(K$4,임대자산!$D$3:$R$3,0)),
IF($D222="폐업",INDEX(폐업정보!$D$3:$R$3000,MATCH($F222,폐업정보!$I$3:$I$3000,0),MATCH(K$4,폐업정보!$D$3:$R$3,0)),
"Error"))</f>
        <v>C0217</v>
      </c>
      <c r="L222" s="75" t="str">
        <f aca="false">
IF($D222="정상",INDEX(임대자산!$D$3:$R$3000,MATCH($F222,임대자산!$I$3:$I$3000,0),MATCH(L$4,임대자산!$D$3:$R$3,0)),
IF($D222="폐업",INDEX(폐업정보!$D$3:$R$3000,MATCH($F222,폐업정보!$I$3:$I$3000,0),MATCH(L$4,폐업정보!$D$3:$R$3,0)),
"Error"))</f>
        <v>D0217</v>
      </c>
      <c r="M222" s="76" t="s">
        <v>96</v>
      </c>
      <c r="N222" s="77"/>
      <c r="O222" s="78" t="s">
        <v>97</v>
      </c>
      <c r="P222" s="79" t="n">
        <f aca="false">COUNTIFS(임대자산!$I:$I,가맹점정보!F222,임대자산!$N:$N,가맹점정보!P$4)</f>
        <v>0</v>
      </c>
      <c r="Q222" s="80" t="n">
        <f aca="false">COUNTIFS(임대자산!$I:$I,가맹점정보!F222,임대자산!$N:$N,가맹점정보!Q$4)</f>
        <v>0</v>
      </c>
      <c r="R222" s="81" t="n">
        <f aca="false">COUNTIFS(임대자산!$I:$I,가맹점정보!F222,임대자산!$N:$N,가맹점정보!R$4)</f>
        <v>1</v>
      </c>
      <c r="S222" s="82" t="n">
        <v>55000</v>
      </c>
      <c r="T222" s="83" t="n">
        <v>0</v>
      </c>
      <c r="U222" s="80" t="n">
        <f aca="false">SUM(S222:T222)</f>
        <v>55000</v>
      </c>
      <c r="V222" s="84" t="s">
        <v>7</v>
      </c>
      <c r="W222" s="80" t="str">
        <f aca="true">
IF(D222="폐업","폐업",
IF(V222="면제","면제",
IF(AND(V222="정상",COUNTIFS(OFFSET(Y222,0,COUNTA(Y222:AV222)-1,1,-4),"미납")&gt;=3),"장기미납",
IF(AND(V222="정상",OFFSET(Y222,0,COUNTA(Y222:AV222)-1)&gt;=U222),"정상",
IF(AND(V222="정상",OFFSET(Y222,0,COUNTA(Y222:AV222)-1)=0),"정상",
"계약서 미작성")))))</f>
        <v>면제</v>
      </c>
      <c r="X222" s="81" t="str">
        <f aca="true">
IF(D222="폐업","폐업",
IF(AND(V222="정상",OFFSET(Y222,0,COUNTA(Y222:AV222)-1)="미납"),"미납",
IF(AND(V222="정상",OFFSET(Y222,0,COUNTA(Y222:AV222)-1)=0),"납부 시작 전",
IF(AND(V222="정상",OFFSET(Y222,0,COUNTA(Y222:AV222)-1)&gt;=U222),"정상",
IF(AND(V222="면제",OFFSET(Y222,0,COUNTA(Y222:AV222)-1)="면제"),"면제",
IF(AND(V222="면제",OFFSET(Y222,0,COUNTA(Y222:AV222)-1)=0),"면제",
"확인요청"))))))</f>
        <v>면제</v>
      </c>
      <c r="Y222" s="94" t="s">
        <v>7</v>
      </c>
      <c r="Z222" s="95" t="s">
        <v>7</v>
      </c>
      <c r="AA222" s="95" t="s">
        <v>7</v>
      </c>
      <c r="AB222" s="95" t="s">
        <v>7</v>
      </c>
      <c r="AC222" s="95" t="s">
        <v>7</v>
      </c>
      <c r="AD222" s="95" t="s">
        <v>7</v>
      </c>
      <c r="AE222" s="95" t="s">
        <v>7</v>
      </c>
      <c r="AF222" s="95" t="s">
        <v>7</v>
      </c>
      <c r="AG222" s="95" t="s">
        <v>7</v>
      </c>
      <c r="AH222" s="95" t="s">
        <v>7</v>
      </c>
      <c r="AI222" s="95" t="s">
        <v>7</v>
      </c>
      <c r="AJ222" s="96" t="s">
        <v>7</v>
      </c>
      <c r="AK222" s="97" t="s">
        <v>7</v>
      </c>
      <c r="AL222" s="95" t="s">
        <v>7</v>
      </c>
      <c r="AM222" s="90"/>
      <c r="AN222" s="90"/>
      <c r="AO222" s="90"/>
      <c r="AP222" s="90"/>
      <c r="AQ222" s="90"/>
      <c r="AR222" s="90"/>
      <c r="AS222" s="90"/>
      <c r="AT222" s="90"/>
      <c r="AU222" s="90"/>
      <c r="AV222" s="91"/>
      <c r="AX222" s="92"/>
    </row>
    <row r="223" customFormat="false" ht="15.65" hidden="false" customHeight="false" outlineLevel="0" collapsed="false">
      <c r="C223" s="72" t="n">
        <f aca="false">COUNTIFS($D$6:D223,"&lt;&gt;"&amp;"")</f>
        <v>218</v>
      </c>
      <c r="D223" s="73" t="s">
        <v>12</v>
      </c>
      <c r="E223" s="76" t="str">
        <f aca="false">
IF($D223="정상",INDEX(임대자산!$D$3:$R$3000,MATCH($F223,임대자산!$I$3:$I$3000,0),MATCH(E$3,임대자산!$D$3:$R$3,0)),
IF($D223="폐업",INDEX(폐업정보!$D$3:$R$3000,MATCH($F223,폐업정보!$I$3:$I$3000,0),MATCH(E$3,폐업정보!$D$3:$R$3,0)),
"Error"))</f>
        <v>강원</v>
      </c>
      <c r="F22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B0218</v>
      </c>
      <c r="G223" s="76" t="str">
        <f aca="false">F223&amp;RANDBETWEEN(0,10)</f>
        <v>B02186</v>
      </c>
      <c r="H223" s="75" t="n">
        <f aca="false">
IF($D223="정상",INDEX(임대자산!$D$3:$R$3000,MATCH($F223,임대자산!$I$3:$I$3000,0),MATCH(H$4,임대자산!$D$3:$R$3,0)),
IF($D223="폐업",INDEX(폐업정보!$D$3:$R$3000,MATCH($F223,폐업정보!$I$3:$I$3000,0),MATCH(H$4,폐업정보!$D$3:$R$3,0)),
"Error"))</f>
        <v>44886</v>
      </c>
      <c r="I223" s="75" t="str">
        <f aca="false">
IF($D223="정상",INDEX(임대자산!$D$3:$R$3000,MATCH($F223,임대자산!$I$3:$I$3000,0),MATCH(I$4,임대자산!$D$3:$R$3,0)),
IF($D223="폐업",INDEX(폐업정보!$D$3:$R$3000,MATCH($F223,폐업정보!$I$3:$I$3000,0),MATCH(I$4,폐업정보!$D$3:$R$3,0)),
"Error"))</f>
        <v>A0218</v>
      </c>
      <c r="J223" s="75" t="str">
        <f aca="false">
IF($D223="정상",INDEX(임대자산!$D$3:$R$3000,MATCH($F223,임대자산!$I$3:$I$3000,0),MATCH(J$4,임대자산!$D$3:$R$3,0)),
IF($D223="폐업",INDEX(폐업정보!$D$3:$R$3000,MATCH($F223,폐업정보!$I$3:$I$3000,0),MATCH(J$4,폐업정보!$D$3:$R$3,0)),
"Error"))</f>
        <v>4705700000</v>
      </c>
      <c r="K223" s="75" t="str">
        <f aca="false">
IF($D223="정상",INDEX(임대자산!$D$3:$R$3000,MATCH($F223,임대자산!$I$3:$I$3000,0),MATCH(K$4,임대자산!$D$3:$R$3,0)),
IF($D223="폐업",INDEX(폐업정보!$D$3:$R$3000,MATCH($F223,폐업정보!$I$3:$I$3000,0),MATCH(K$4,폐업정보!$D$3:$R$3,0)),
"Error"))</f>
        <v>C0218</v>
      </c>
      <c r="L223" s="75" t="str">
        <f aca="false">
IF($D223="정상",INDEX(임대자산!$D$3:$R$3000,MATCH($F223,임대자산!$I$3:$I$3000,0),MATCH(L$4,임대자산!$D$3:$R$3,0)),
IF($D223="폐업",INDEX(폐업정보!$D$3:$R$3000,MATCH($F223,폐업정보!$I$3:$I$3000,0),MATCH(L$4,폐업정보!$D$3:$R$3,0)),
"Error"))</f>
        <v>D0218</v>
      </c>
      <c r="M223" s="76" t="s">
        <v>96</v>
      </c>
      <c r="N223" s="77"/>
      <c r="O223" s="78" t="s">
        <v>97</v>
      </c>
      <c r="P223" s="79" t="n">
        <f aca="false">COUNTIFS(임대자산!$I:$I,가맹점정보!F223,임대자산!$N:$N,가맹점정보!P$4)</f>
        <v>0</v>
      </c>
      <c r="Q223" s="80" t="n">
        <f aca="false">COUNTIFS(임대자산!$I:$I,가맹점정보!F223,임대자산!$N:$N,가맹점정보!Q$4)</f>
        <v>0</v>
      </c>
      <c r="R223" s="81" t="n">
        <f aca="false">COUNTIFS(임대자산!$I:$I,가맹점정보!F223,임대자산!$N:$N,가맹점정보!R$4)</f>
        <v>1</v>
      </c>
      <c r="S223" s="82" t="n">
        <v>55000</v>
      </c>
      <c r="T223" s="83" t="n">
        <v>0</v>
      </c>
      <c r="U223" s="80" t="n">
        <f aca="false">SUM(S223:T223)</f>
        <v>55000</v>
      </c>
      <c r="V223" s="84" t="s">
        <v>12</v>
      </c>
      <c r="W223" s="80" t="e">
        <f aca="true">
IF(D223="폐업","폐업",
IF(V223="면제","면제",
IF(AND(V223="정상",COUNTIFS(OFFSET(Y223,0,COUNTA(Y223:AV223)-1,1,-4),"미납")&gt;=3),"장기미납",
IF(AND(V223="정상",OFFSET(Y223,0,COUNTA(Y223:AV223)-1)&gt;=U223),"정상",
IF(AND(V223="정상",OFFSET(Y223,0,COUNTA(Y223:AV223)-1)=0),"정상",
"계약서 미작성")))))</f>
        <v>#VALUE!</v>
      </c>
      <c r="X223" s="81" t="str">
        <f aca="true">
IF(D223="폐업","폐업",
IF(AND(V223="정상",OFFSET(Y223,0,COUNTA(Y223:AV223)-1)="미납"),"미납",
IF(AND(V223="정상",OFFSET(Y223,0,COUNTA(Y223:AV223)-1)=0),"납부 시작 전",
IF(AND(V223="정상",OFFSET(Y223,0,COUNTA(Y223:AV223)-1)&gt;=U223),"정상",
IF(AND(V223="면제",OFFSET(Y223,0,COUNTA(Y223:AV223)-1)="면제"),"면제",
IF(AND(V223="면제",OFFSET(Y223,0,COUNTA(Y223:AV223)-1)=0),"면제",
"확인요청"))))))</f>
        <v>정상</v>
      </c>
      <c r="Y223" s="93" t="n">
        <v>55000</v>
      </c>
      <c r="Z223" s="90" t="n">
        <v>55000</v>
      </c>
      <c r="AA223" s="90" t="n">
        <v>55000</v>
      </c>
      <c r="AB223" s="90" t="n">
        <v>55000</v>
      </c>
      <c r="AC223" s="90" t="n">
        <v>55000</v>
      </c>
      <c r="AD223" s="90" t="n">
        <v>55000</v>
      </c>
      <c r="AE223" s="90" t="n">
        <v>55000</v>
      </c>
      <c r="AF223" s="90" t="n">
        <v>55000</v>
      </c>
      <c r="AG223" s="90" t="n">
        <v>55000</v>
      </c>
      <c r="AH223" s="90" t="n">
        <v>55000</v>
      </c>
      <c r="AI223" s="90" t="n">
        <v>55000</v>
      </c>
      <c r="AJ223" s="91" t="n">
        <v>55000</v>
      </c>
      <c r="AK223" s="89" t="n">
        <v>55000</v>
      </c>
      <c r="AL223" s="90" t="n">
        <v>55000</v>
      </c>
      <c r="AM223" s="90"/>
      <c r="AN223" s="90"/>
      <c r="AO223" s="90"/>
      <c r="AP223" s="90"/>
      <c r="AQ223" s="90"/>
      <c r="AR223" s="90"/>
      <c r="AS223" s="90"/>
      <c r="AT223" s="90"/>
      <c r="AU223" s="90"/>
      <c r="AV223" s="91"/>
      <c r="AX223" s="92"/>
    </row>
    <row r="224" customFormat="false" ht="15.65" hidden="false" customHeight="false" outlineLevel="0" collapsed="false">
      <c r="C224" s="72" t="n">
        <f aca="false">COUNTIFS($D$6:D224,"&lt;&gt;"&amp;"")</f>
        <v>219</v>
      </c>
      <c r="D224" s="73" t="s">
        <v>12</v>
      </c>
      <c r="E224" s="76" t="str">
        <f aca="false">
IF($D224="정상",INDEX(임대자산!$D$3:$R$3000,MATCH($F224,임대자산!$I$3:$I$3000,0),MATCH(E$3,임대자산!$D$3:$R$3,0)),
IF($D224="폐업",INDEX(폐업정보!$D$3:$R$3000,MATCH($F224,폐업정보!$I$3:$I$3000,0),MATCH(E$3,폐업정보!$D$3:$R$3,0)),
"Error"))</f>
        <v>강원</v>
      </c>
      <c r="F22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B0219</v>
      </c>
      <c r="G224" s="76" t="str">
        <f aca="false">F224&amp;RANDBETWEEN(0,10)</f>
        <v>B02199</v>
      </c>
      <c r="H224" s="75" t="n">
        <f aca="false">
IF($D224="정상",INDEX(임대자산!$D$3:$R$3000,MATCH($F224,임대자산!$I$3:$I$3000,0),MATCH(H$4,임대자산!$D$3:$R$3,0)),
IF($D224="폐업",INDEX(폐업정보!$D$3:$R$3000,MATCH($F224,폐업정보!$I$3:$I$3000,0),MATCH(H$4,폐업정보!$D$3:$R$3,0)),
"Error"))</f>
        <v>44901</v>
      </c>
      <c r="I224" s="75" t="str">
        <f aca="false">
IF($D224="정상",INDEX(임대자산!$D$3:$R$3000,MATCH($F224,임대자산!$I$3:$I$3000,0),MATCH(I$4,임대자산!$D$3:$R$3,0)),
IF($D224="폐업",INDEX(폐업정보!$D$3:$R$3000,MATCH($F224,폐업정보!$I$3:$I$3000,0),MATCH(I$4,폐업정보!$D$3:$R$3,0)),
"Error"))</f>
        <v>A0219</v>
      </c>
      <c r="J224" s="75" t="str">
        <f aca="false">
IF($D224="정상",INDEX(임대자산!$D$3:$R$3000,MATCH($F224,임대자산!$I$3:$I$3000,0),MATCH(J$4,임대자산!$D$3:$R$3,0)),
IF($D224="폐업",INDEX(폐업정보!$D$3:$R$3000,MATCH($F224,폐업정보!$I$3:$I$3000,0),MATCH(J$4,폐업정보!$D$3:$R$3,0)),
"Error"))</f>
        <v>9528000000</v>
      </c>
      <c r="K224" s="75" t="str">
        <f aca="false">
IF($D224="정상",INDEX(임대자산!$D$3:$R$3000,MATCH($F224,임대자산!$I$3:$I$3000,0),MATCH(K$4,임대자산!$D$3:$R$3,0)),
IF($D224="폐업",INDEX(폐업정보!$D$3:$R$3000,MATCH($F224,폐업정보!$I$3:$I$3000,0),MATCH(K$4,폐업정보!$D$3:$R$3,0)),
"Error"))</f>
        <v>C0219</v>
      </c>
      <c r="L224" s="75" t="str">
        <f aca="false">
IF($D224="정상",INDEX(임대자산!$D$3:$R$3000,MATCH($F224,임대자산!$I$3:$I$3000,0),MATCH(L$4,임대자산!$D$3:$R$3,0)),
IF($D224="폐업",INDEX(폐업정보!$D$3:$R$3000,MATCH($F224,폐업정보!$I$3:$I$3000,0),MATCH(L$4,폐업정보!$D$3:$R$3,0)),
"Error"))</f>
        <v>D0219</v>
      </c>
      <c r="M224" s="76" t="s">
        <v>96</v>
      </c>
      <c r="N224" s="77"/>
      <c r="O224" s="78" t="s">
        <v>97</v>
      </c>
      <c r="P224" s="79" t="n">
        <f aca="false">COUNTIFS(임대자산!$I:$I,가맹점정보!F224,임대자산!$N:$N,가맹점정보!P$4)</f>
        <v>0</v>
      </c>
      <c r="Q224" s="80" t="n">
        <f aca="false">COUNTIFS(임대자산!$I:$I,가맹점정보!F224,임대자산!$N:$N,가맹점정보!Q$4)</f>
        <v>0</v>
      </c>
      <c r="R224" s="81" t="n">
        <f aca="false">COUNTIFS(임대자산!$I:$I,가맹점정보!F224,임대자산!$N:$N,가맹점정보!R$4)</f>
        <v>1</v>
      </c>
      <c r="S224" s="82" t="n">
        <v>55000</v>
      </c>
      <c r="T224" s="83" t="n">
        <v>0</v>
      </c>
      <c r="U224" s="80" t="n">
        <f aca="false">SUM(S224:T224)</f>
        <v>55000</v>
      </c>
      <c r="V224" s="84" t="s">
        <v>12</v>
      </c>
      <c r="W224" s="80" t="e">
        <f aca="true">
IF(D224="폐업","폐업",
IF(V224="면제","면제",
IF(AND(V224="정상",COUNTIFS(OFFSET(Y224,0,COUNTA(Y224:AV224)-1,1,-4),"미납")&gt;=3),"장기미납",
IF(AND(V224="정상",OFFSET(Y224,0,COUNTA(Y224:AV224)-1)&gt;=U224),"정상",
IF(AND(V224="정상",OFFSET(Y224,0,COUNTA(Y224:AV224)-1)=0),"정상",
"계약서 미작성")))))</f>
        <v>#VALUE!</v>
      </c>
      <c r="X224" s="81" t="str">
        <f aca="true">
IF(D224="폐업","폐업",
IF(AND(V224="정상",OFFSET(Y224,0,COUNTA(Y224:AV224)-1)="미납"),"미납",
IF(AND(V224="정상",OFFSET(Y224,0,COUNTA(Y224:AV224)-1)=0),"납부 시작 전",
IF(AND(V224="정상",OFFSET(Y224,0,COUNTA(Y224:AV224)-1)&gt;=U224),"정상",
IF(AND(V224="면제",OFFSET(Y224,0,COUNTA(Y224:AV224)-1)="면제"),"면제",
IF(AND(V224="면제",OFFSET(Y224,0,COUNTA(Y224:AV224)-1)=0),"면제",
"확인요청"))))))</f>
        <v>정상</v>
      </c>
      <c r="Y224" s="93" t="n">
        <v>55000</v>
      </c>
      <c r="Z224" s="90" t="n">
        <v>55000</v>
      </c>
      <c r="AA224" s="90" t="n">
        <v>55000</v>
      </c>
      <c r="AB224" s="90" t="n">
        <v>55000</v>
      </c>
      <c r="AC224" s="90" t="n">
        <v>55000</v>
      </c>
      <c r="AD224" s="90" t="n">
        <v>55000</v>
      </c>
      <c r="AE224" s="90" t="n">
        <v>55000</v>
      </c>
      <c r="AF224" s="90" t="n">
        <v>55000</v>
      </c>
      <c r="AG224" s="90" t="n">
        <v>55000</v>
      </c>
      <c r="AH224" s="90" t="n">
        <v>55000</v>
      </c>
      <c r="AI224" s="90" t="n">
        <v>55000</v>
      </c>
      <c r="AJ224" s="91" t="n">
        <v>55000</v>
      </c>
      <c r="AK224" s="89" t="n">
        <v>55000</v>
      </c>
      <c r="AL224" s="90" t="n">
        <v>55000</v>
      </c>
      <c r="AM224" s="90"/>
      <c r="AN224" s="90"/>
      <c r="AO224" s="90"/>
      <c r="AP224" s="90"/>
      <c r="AQ224" s="90"/>
      <c r="AR224" s="90"/>
      <c r="AS224" s="90"/>
      <c r="AT224" s="90"/>
      <c r="AU224" s="90"/>
      <c r="AV224" s="91"/>
      <c r="AX224" s="92"/>
    </row>
    <row r="225" customFormat="false" ht="15.65" hidden="false" customHeight="false" outlineLevel="0" collapsed="false">
      <c r="C225" s="72" t="n">
        <f aca="false">COUNTIFS($D$6:D225,"&lt;&gt;"&amp;"")</f>
        <v>220</v>
      </c>
      <c r="D225" s="73" t="s">
        <v>12</v>
      </c>
      <c r="E225" s="76" t="str">
        <f aca="false">
IF($D225="정상",INDEX(임대자산!$D$3:$R$3000,MATCH($F225,임대자산!$I$3:$I$3000,0),MATCH(E$3,임대자산!$D$3:$R$3,0)),
IF($D225="폐업",INDEX(폐업정보!$D$3:$R$3000,MATCH($F225,폐업정보!$I$3:$I$3000,0),MATCH(E$3,폐업정보!$D$3:$R$3,0)),
"Error"))</f>
        <v>전라</v>
      </c>
      <c r="F22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B0220</v>
      </c>
      <c r="G225" s="76" t="str">
        <f aca="false">F225&amp;RANDBETWEEN(0,10)</f>
        <v>B02201</v>
      </c>
      <c r="H225" s="75" t="n">
        <f aca="false">
IF($D225="정상",INDEX(임대자산!$D$3:$R$3000,MATCH($F225,임대자산!$I$3:$I$3000,0),MATCH(H$4,임대자산!$D$3:$R$3,0)),
IF($D225="폐업",INDEX(폐업정보!$D$3:$R$3000,MATCH($F225,폐업정보!$I$3:$I$3000,0),MATCH(H$4,폐업정보!$D$3:$R$3,0)),
"Error"))</f>
        <v>44908</v>
      </c>
      <c r="I225" s="75" t="str">
        <f aca="false">
IF($D225="정상",INDEX(임대자산!$D$3:$R$3000,MATCH($F225,임대자산!$I$3:$I$3000,0),MATCH(I$4,임대자산!$D$3:$R$3,0)),
IF($D225="폐업",INDEX(폐업정보!$D$3:$R$3000,MATCH($F225,폐업정보!$I$3:$I$3000,0),MATCH(I$4,폐업정보!$D$3:$R$3,0)),
"Error"))</f>
        <v>A0220</v>
      </c>
      <c r="J225" s="75" t="str">
        <f aca="false">
IF($D225="정상",INDEX(임대자산!$D$3:$R$3000,MATCH($F225,임대자산!$I$3:$I$3000,0),MATCH(J$4,임대자산!$D$3:$R$3,0)),
IF($D225="폐업",INDEX(폐업정보!$D$3:$R$3000,MATCH($F225,폐업정보!$I$3:$I$3000,0),MATCH(J$4,폐업정보!$D$3:$R$3,0)),
"Error"))</f>
        <v>1146600000</v>
      </c>
      <c r="K225" s="75" t="str">
        <f aca="false">
IF($D225="정상",INDEX(임대자산!$D$3:$R$3000,MATCH($F225,임대자산!$I$3:$I$3000,0),MATCH(K$4,임대자산!$D$3:$R$3,0)),
IF($D225="폐업",INDEX(폐업정보!$D$3:$R$3000,MATCH($F225,폐업정보!$I$3:$I$3000,0),MATCH(K$4,폐업정보!$D$3:$R$3,0)),
"Error"))</f>
        <v>C0220</v>
      </c>
      <c r="L225" s="75" t="str">
        <f aca="false">
IF($D225="정상",INDEX(임대자산!$D$3:$R$3000,MATCH($F225,임대자산!$I$3:$I$3000,0),MATCH(L$4,임대자산!$D$3:$R$3,0)),
IF($D225="폐업",INDEX(폐업정보!$D$3:$R$3000,MATCH($F225,폐업정보!$I$3:$I$3000,0),MATCH(L$4,폐업정보!$D$3:$R$3,0)),
"Error"))</f>
        <v>D0220</v>
      </c>
      <c r="M225" s="76" t="s">
        <v>96</v>
      </c>
      <c r="N225" s="77"/>
      <c r="O225" s="78" t="s">
        <v>97</v>
      </c>
      <c r="P225" s="79" t="n">
        <f aca="false">COUNTIFS(임대자산!$I:$I,가맹점정보!F225,임대자산!$N:$N,가맹점정보!P$4)</f>
        <v>0</v>
      </c>
      <c r="Q225" s="80" t="n">
        <f aca="false">COUNTIFS(임대자산!$I:$I,가맹점정보!F225,임대자산!$N:$N,가맹점정보!Q$4)</f>
        <v>0</v>
      </c>
      <c r="R225" s="81" t="n">
        <f aca="false">COUNTIFS(임대자산!$I:$I,가맹점정보!F225,임대자산!$N:$N,가맹점정보!R$4)</f>
        <v>1</v>
      </c>
      <c r="S225" s="82" t="n">
        <v>55000</v>
      </c>
      <c r="T225" s="83" t="n">
        <v>0</v>
      </c>
      <c r="U225" s="80" t="n">
        <f aca="false">SUM(S225:T225)</f>
        <v>55000</v>
      </c>
      <c r="V225" s="84" t="s">
        <v>12</v>
      </c>
      <c r="W225" s="80" t="e">
        <f aca="true">
IF(D225="폐업","폐업",
IF(V225="면제","면제",
IF(AND(V225="정상",COUNTIFS(OFFSET(Y225,0,COUNTA(Y225:AV225)-1,1,-4),"미납")&gt;=3),"장기미납",
IF(AND(V225="정상",OFFSET(Y225,0,COUNTA(Y225:AV225)-1)&gt;=U225),"정상",
IF(AND(V225="정상",OFFSET(Y225,0,COUNTA(Y225:AV225)-1)=0),"정상",
"계약서 미작성")))))</f>
        <v>#VALUE!</v>
      </c>
      <c r="X225" s="81" t="str">
        <f aca="true">
IF(D225="폐업","폐업",
IF(AND(V225="정상",OFFSET(Y225,0,COUNTA(Y225:AV225)-1)="미납"),"미납",
IF(AND(V225="정상",OFFSET(Y225,0,COUNTA(Y225:AV225)-1)=0),"납부 시작 전",
IF(AND(V225="정상",OFFSET(Y225,0,COUNTA(Y225:AV225)-1)&gt;=U225),"정상",
IF(AND(V225="면제",OFFSET(Y225,0,COUNTA(Y225:AV225)-1)="면제"),"면제",
IF(AND(V225="면제",OFFSET(Y225,0,COUNTA(Y225:AV225)-1)=0),"면제",
"확인요청"))))))</f>
        <v>정상</v>
      </c>
      <c r="Y225" s="93" t="n">
        <v>55000</v>
      </c>
      <c r="Z225" s="90" t="n">
        <v>55000</v>
      </c>
      <c r="AA225" s="90" t="n">
        <v>55000</v>
      </c>
      <c r="AB225" s="90" t="n">
        <v>55000</v>
      </c>
      <c r="AC225" s="90" t="n">
        <v>55000</v>
      </c>
      <c r="AD225" s="90" t="n">
        <v>55000</v>
      </c>
      <c r="AE225" s="90" t="n">
        <v>55000</v>
      </c>
      <c r="AF225" s="90" t="n">
        <v>55000</v>
      </c>
      <c r="AG225" s="90" t="n">
        <v>55000</v>
      </c>
      <c r="AH225" s="90" t="n">
        <v>55000</v>
      </c>
      <c r="AI225" s="90" t="n">
        <v>55000</v>
      </c>
      <c r="AJ225" s="91" t="n">
        <v>55000</v>
      </c>
      <c r="AK225" s="89" t="n">
        <v>55000</v>
      </c>
      <c r="AL225" s="90" t="n">
        <v>55000</v>
      </c>
      <c r="AM225" s="90"/>
      <c r="AN225" s="90"/>
      <c r="AO225" s="90"/>
      <c r="AP225" s="90"/>
      <c r="AQ225" s="90"/>
      <c r="AR225" s="90"/>
      <c r="AS225" s="90"/>
      <c r="AT225" s="90"/>
      <c r="AU225" s="90"/>
      <c r="AV225" s="91"/>
      <c r="AX225" s="92"/>
    </row>
    <row r="226" customFormat="false" ht="15.65" hidden="false" customHeight="false" outlineLevel="0" collapsed="false">
      <c r="C226" s="72" t="n">
        <f aca="false">COUNTIFS($D$6:D226,"&lt;&gt;"&amp;"")</f>
        <v>221</v>
      </c>
      <c r="D226" s="73" t="s">
        <v>12</v>
      </c>
      <c r="E226" s="76" t="str">
        <f aca="false">
IF($D226="정상",INDEX(임대자산!$D$3:$R$3000,MATCH($F226,임대자산!$I$3:$I$3000,0),MATCH(E$3,임대자산!$D$3:$R$3,0)),
IF($D226="폐업",INDEX(폐업정보!$D$3:$R$3000,MATCH($F226,폐업정보!$I$3:$I$3000,0),MATCH(E$3,폐업정보!$D$3:$R$3,0)),
"Error"))</f>
        <v>강원</v>
      </c>
      <c r="F22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B0221</v>
      </c>
      <c r="G226" s="76" t="str">
        <f aca="false">F226&amp;RANDBETWEEN(0,10)</f>
        <v>B02214</v>
      </c>
      <c r="H226" s="75" t="n">
        <f aca="false">
IF($D226="정상",INDEX(임대자산!$D$3:$R$3000,MATCH($F226,임대자산!$I$3:$I$3000,0),MATCH(H$4,임대자산!$D$3:$R$3,0)),
IF($D226="폐업",INDEX(폐업정보!$D$3:$R$3000,MATCH($F226,폐업정보!$I$3:$I$3000,0),MATCH(H$4,폐업정보!$D$3:$R$3,0)),
"Error"))</f>
        <v>44917</v>
      </c>
      <c r="I226" s="75" t="str">
        <f aca="false">
IF($D226="정상",INDEX(임대자산!$D$3:$R$3000,MATCH($F226,임대자산!$I$3:$I$3000,0),MATCH(I$4,임대자산!$D$3:$R$3,0)),
IF($D226="폐업",INDEX(폐업정보!$D$3:$R$3000,MATCH($F226,폐업정보!$I$3:$I$3000,0),MATCH(I$4,폐업정보!$D$3:$R$3,0)),
"Error"))</f>
        <v>A0221</v>
      </c>
      <c r="J226" s="75" t="str">
        <f aca="false">
IF($D226="정상",INDEX(임대자산!$D$3:$R$3000,MATCH($F226,임대자산!$I$3:$I$3000,0),MATCH(J$4,임대자산!$D$3:$R$3,0)),
IF($D226="폐업",INDEX(폐업정보!$D$3:$R$3000,MATCH($F226,폐업정보!$I$3:$I$3000,0),MATCH(J$4,폐업정보!$D$3:$R$3,0)),
"Error"))</f>
        <v>7966800000</v>
      </c>
      <c r="K226" s="75" t="str">
        <f aca="false">
IF($D226="정상",INDEX(임대자산!$D$3:$R$3000,MATCH($F226,임대자산!$I$3:$I$3000,0),MATCH(K$4,임대자산!$D$3:$R$3,0)),
IF($D226="폐업",INDEX(폐업정보!$D$3:$R$3000,MATCH($F226,폐업정보!$I$3:$I$3000,0),MATCH(K$4,폐업정보!$D$3:$R$3,0)),
"Error"))</f>
        <v>C0221</v>
      </c>
      <c r="L226" s="75" t="str">
        <f aca="false">
IF($D226="정상",INDEX(임대자산!$D$3:$R$3000,MATCH($F226,임대자산!$I$3:$I$3000,0),MATCH(L$4,임대자산!$D$3:$R$3,0)),
IF($D226="폐업",INDEX(폐업정보!$D$3:$R$3000,MATCH($F226,폐업정보!$I$3:$I$3000,0),MATCH(L$4,폐업정보!$D$3:$R$3,0)),
"Error"))</f>
        <v>D0221</v>
      </c>
      <c r="M226" s="76" t="s">
        <v>96</v>
      </c>
      <c r="N226" s="77"/>
      <c r="O226" s="78" t="s">
        <v>97</v>
      </c>
      <c r="P226" s="79" t="n">
        <f aca="false">COUNTIFS(임대자산!$I:$I,가맹점정보!F226,임대자산!$N:$N,가맹점정보!P$4)</f>
        <v>0</v>
      </c>
      <c r="Q226" s="80" t="n">
        <f aca="false">COUNTIFS(임대자산!$I:$I,가맹점정보!F226,임대자산!$N:$N,가맹점정보!Q$4)</f>
        <v>0</v>
      </c>
      <c r="R226" s="81" t="n">
        <f aca="false">COUNTIFS(임대자산!$I:$I,가맹점정보!F226,임대자산!$N:$N,가맹점정보!R$4)</f>
        <v>1</v>
      </c>
      <c r="S226" s="82" t="n">
        <v>55000</v>
      </c>
      <c r="T226" s="83" t="n">
        <v>0</v>
      </c>
      <c r="U226" s="80" t="n">
        <f aca="false">SUM(S226:T226)</f>
        <v>55000</v>
      </c>
      <c r="V226" s="84" t="s">
        <v>7</v>
      </c>
      <c r="W226" s="80" t="str">
        <f aca="true">
IF(D226="폐업","폐업",
IF(V226="면제","면제",
IF(AND(V226="정상",COUNTIFS(OFFSET(Y226,0,COUNTA(Y226:AV226)-1,1,-4),"미납")&gt;=3),"장기미납",
IF(AND(V226="정상",OFFSET(Y226,0,COUNTA(Y226:AV226)-1)&gt;=U226),"정상",
IF(AND(V226="정상",OFFSET(Y226,0,COUNTA(Y226:AV226)-1)=0),"정상",
"계약서 미작성")))))</f>
        <v>면제</v>
      </c>
      <c r="X226" s="81" t="str">
        <f aca="true">
IF(D226="폐업","폐업",
IF(AND(V226="정상",OFFSET(Y226,0,COUNTA(Y226:AV226)-1)="미납"),"미납",
IF(AND(V226="정상",OFFSET(Y226,0,COUNTA(Y226:AV226)-1)=0),"납부 시작 전",
IF(AND(V226="정상",OFFSET(Y226,0,COUNTA(Y226:AV226)-1)&gt;=U226),"정상",
IF(AND(V226="면제",OFFSET(Y226,0,COUNTA(Y226:AV226)-1)="면제"),"면제",
IF(AND(V226="면제",OFFSET(Y226,0,COUNTA(Y226:AV226)-1)=0),"면제",
"확인요청"))))))</f>
        <v>면제</v>
      </c>
      <c r="Y226" s="94" t="s">
        <v>7</v>
      </c>
      <c r="Z226" s="95" t="s">
        <v>7</v>
      </c>
      <c r="AA226" s="95" t="s">
        <v>7</v>
      </c>
      <c r="AB226" s="95" t="s">
        <v>7</v>
      </c>
      <c r="AC226" s="95" t="s">
        <v>7</v>
      </c>
      <c r="AD226" s="95" t="s">
        <v>7</v>
      </c>
      <c r="AE226" s="95" t="s">
        <v>7</v>
      </c>
      <c r="AF226" s="95" t="s">
        <v>7</v>
      </c>
      <c r="AG226" s="95" t="s">
        <v>7</v>
      </c>
      <c r="AH226" s="95" t="s">
        <v>7</v>
      </c>
      <c r="AI226" s="95" t="s">
        <v>7</v>
      </c>
      <c r="AJ226" s="96" t="s">
        <v>7</v>
      </c>
      <c r="AK226" s="97" t="s">
        <v>7</v>
      </c>
      <c r="AL226" s="95" t="s">
        <v>7</v>
      </c>
      <c r="AM226" s="90"/>
      <c r="AN226" s="90"/>
      <c r="AO226" s="90"/>
      <c r="AP226" s="90"/>
      <c r="AQ226" s="90"/>
      <c r="AR226" s="90"/>
      <c r="AS226" s="90"/>
      <c r="AT226" s="90"/>
      <c r="AU226" s="90"/>
      <c r="AV226" s="91"/>
      <c r="AX226" s="92"/>
    </row>
    <row r="227" customFormat="false" ht="15.65" hidden="false" customHeight="false" outlineLevel="0" collapsed="false">
      <c r="C227" s="72" t="n">
        <f aca="false">COUNTIFS($D$6:D227,"&lt;&gt;"&amp;"")</f>
        <v>222</v>
      </c>
      <c r="D227" s="73" t="s">
        <v>12</v>
      </c>
      <c r="E227" s="76" t="str">
        <f aca="false">
IF($D227="정상",INDEX(임대자산!$D$3:$R$3000,MATCH($F227,임대자산!$I$3:$I$3000,0),MATCH(E$3,임대자산!$D$3:$R$3,0)),
IF($D227="폐업",INDEX(폐업정보!$D$3:$R$3000,MATCH($F227,폐업정보!$I$3:$I$3000,0),MATCH(E$3,폐업정보!$D$3:$R$3,0)),
"Error"))</f>
        <v>강원</v>
      </c>
      <c r="F22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B0222</v>
      </c>
      <c r="G227" s="76" t="str">
        <f aca="false">F227&amp;RANDBETWEEN(0,10)</f>
        <v>B02223</v>
      </c>
      <c r="H227" s="75" t="n">
        <f aca="false">
IF($D227="정상",INDEX(임대자산!$D$3:$R$3000,MATCH($F227,임대자산!$I$3:$I$3000,0),MATCH(H$4,임대자산!$D$3:$R$3,0)),
IF($D227="폐업",INDEX(폐업정보!$D$3:$R$3000,MATCH($F227,폐업정보!$I$3:$I$3000,0),MATCH(H$4,폐업정보!$D$3:$R$3,0)),
"Error"))</f>
        <v>44900</v>
      </c>
      <c r="I227" s="75" t="str">
        <f aca="false">
IF($D227="정상",INDEX(임대자산!$D$3:$R$3000,MATCH($F227,임대자산!$I$3:$I$3000,0),MATCH(I$4,임대자산!$D$3:$R$3,0)),
IF($D227="폐업",INDEX(폐업정보!$D$3:$R$3000,MATCH($F227,폐업정보!$I$3:$I$3000,0),MATCH(I$4,폐업정보!$D$3:$R$3,0)),
"Error"))</f>
        <v>A0222</v>
      </c>
      <c r="J227" s="75" t="str">
        <f aca="false">
IF($D227="정상",INDEX(임대자산!$D$3:$R$3000,MATCH($F227,임대자산!$I$3:$I$3000,0),MATCH(J$4,임대자산!$D$3:$R$3,0)),
IF($D227="폐업",INDEX(폐업정보!$D$3:$R$3000,MATCH($F227,폐업정보!$I$3:$I$3000,0),MATCH(J$4,폐업정보!$D$3:$R$3,0)),
"Error"))</f>
        <v>2455100000</v>
      </c>
      <c r="K227" s="75" t="str">
        <f aca="false">
IF($D227="정상",INDEX(임대자산!$D$3:$R$3000,MATCH($F227,임대자산!$I$3:$I$3000,0),MATCH(K$4,임대자산!$D$3:$R$3,0)),
IF($D227="폐업",INDEX(폐업정보!$D$3:$R$3000,MATCH($F227,폐업정보!$I$3:$I$3000,0),MATCH(K$4,폐업정보!$D$3:$R$3,0)),
"Error"))</f>
        <v>C0222</v>
      </c>
      <c r="L227" s="75" t="str">
        <f aca="false">
IF($D227="정상",INDEX(임대자산!$D$3:$R$3000,MATCH($F227,임대자산!$I$3:$I$3000,0),MATCH(L$4,임대자산!$D$3:$R$3,0)),
IF($D227="폐업",INDEX(폐업정보!$D$3:$R$3000,MATCH($F227,폐업정보!$I$3:$I$3000,0),MATCH(L$4,폐업정보!$D$3:$R$3,0)),
"Error"))</f>
        <v>D0222</v>
      </c>
      <c r="M227" s="76" t="s">
        <v>96</v>
      </c>
      <c r="N227" s="77"/>
      <c r="O227" s="78" t="s">
        <v>97</v>
      </c>
      <c r="P227" s="79" t="n">
        <f aca="false">COUNTIFS(임대자산!$I:$I,가맹점정보!F227,임대자산!$N:$N,가맹점정보!P$4)</f>
        <v>0</v>
      </c>
      <c r="Q227" s="80" t="n">
        <f aca="false">COUNTIFS(임대자산!$I:$I,가맹점정보!F227,임대자산!$N:$N,가맹점정보!Q$4)</f>
        <v>0</v>
      </c>
      <c r="R227" s="81" t="n">
        <f aca="false">COUNTIFS(임대자산!$I:$I,가맹점정보!F227,임대자산!$N:$N,가맹점정보!R$4)</f>
        <v>1</v>
      </c>
      <c r="S227" s="82" t="n">
        <v>55000</v>
      </c>
      <c r="T227" s="83" t="n">
        <v>0</v>
      </c>
      <c r="U227" s="80" t="n">
        <f aca="false">SUM(S227:T227)</f>
        <v>55000</v>
      </c>
      <c r="V227" s="84" t="s">
        <v>12</v>
      </c>
      <c r="W227" s="80" t="e">
        <f aca="true">
IF(D227="폐업","폐업",
IF(V227="면제","면제",
IF(AND(V227="정상",COUNTIFS(OFFSET(Y227,0,COUNTA(Y227:AV227)-1,1,-4),"미납")&gt;=3),"장기미납",
IF(AND(V227="정상",OFFSET(Y227,0,COUNTA(Y227:AV227)-1)&gt;=U227),"정상",
IF(AND(V227="정상",OFFSET(Y227,0,COUNTA(Y227:AV227)-1)=0),"정상",
"계약서 미작성")))))</f>
        <v>#VALUE!</v>
      </c>
      <c r="X227" s="81" t="str">
        <f aca="true">
IF(D227="폐업","폐업",
IF(AND(V227="정상",OFFSET(Y227,0,COUNTA(Y227:AV227)-1)="미납"),"미납",
IF(AND(V227="정상",OFFSET(Y227,0,COUNTA(Y227:AV227)-1)=0),"납부 시작 전",
IF(AND(V227="정상",OFFSET(Y227,0,COUNTA(Y227:AV227)-1)&gt;=U227),"정상",
IF(AND(V227="면제",OFFSET(Y227,0,COUNTA(Y227:AV227)-1)="면제"),"면제",
IF(AND(V227="면제",OFFSET(Y227,0,COUNTA(Y227:AV227)-1)=0),"면제",
"확인요청"))))))</f>
        <v>정상</v>
      </c>
      <c r="Y227" s="93" t="n">
        <v>55000</v>
      </c>
      <c r="Z227" s="90" t="n">
        <v>55000</v>
      </c>
      <c r="AA227" s="90" t="n">
        <v>55000</v>
      </c>
      <c r="AB227" s="90" t="n">
        <v>55000</v>
      </c>
      <c r="AC227" s="90" t="n">
        <v>55000</v>
      </c>
      <c r="AD227" s="90" t="n">
        <v>55000</v>
      </c>
      <c r="AE227" s="90" t="n">
        <v>55000</v>
      </c>
      <c r="AF227" s="90" t="n">
        <v>55000</v>
      </c>
      <c r="AG227" s="90" t="n">
        <v>55000</v>
      </c>
      <c r="AH227" s="90" t="n">
        <v>55000</v>
      </c>
      <c r="AI227" s="90" t="n">
        <v>55000</v>
      </c>
      <c r="AJ227" s="91" t="n">
        <v>55000</v>
      </c>
      <c r="AK227" s="89" t="n">
        <v>55000</v>
      </c>
      <c r="AL227" s="90" t="n">
        <v>55000</v>
      </c>
      <c r="AM227" s="90"/>
      <c r="AN227" s="90"/>
      <c r="AO227" s="90"/>
      <c r="AP227" s="90"/>
      <c r="AQ227" s="90"/>
      <c r="AR227" s="90"/>
      <c r="AS227" s="90"/>
      <c r="AT227" s="90"/>
      <c r="AU227" s="90"/>
      <c r="AV227" s="91"/>
      <c r="AX227" s="92"/>
    </row>
    <row r="228" customFormat="false" ht="15.65" hidden="false" customHeight="false" outlineLevel="0" collapsed="false">
      <c r="C228" s="72" t="n">
        <f aca="false">COUNTIFS($D$6:D228,"&lt;&gt;"&amp;"")</f>
        <v>223</v>
      </c>
      <c r="D228" s="73" t="s">
        <v>12</v>
      </c>
      <c r="E228" s="76" t="str">
        <f aca="false">
IF($D228="정상",INDEX(임대자산!$D$3:$R$3000,MATCH($F228,임대자산!$I$3:$I$3000,0),MATCH(E$3,임대자산!$D$3:$R$3,0)),
IF($D228="폐업",INDEX(폐업정보!$D$3:$R$3000,MATCH($F228,폐업정보!$I$3:$I$3000,0),MATCH(E$3,폐업정보!$D$3:$R$3,0)),
"Error"))</f>
        <v>경기</v>
      </c>
      <c r="F22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B0223</v>
      </c>
      <c r="G228" s="76" t="str">
        <f aca="false">F228&amp;RANDBETWEEN(0,10)</f>
        <v>B02231</v>
      </c>
      <c r="H228" s="75" t="n">
        <f aca="false">
IF($D228="정상",INDEX(임대자산!$D$3:$R$3000,MATCH($F228,임대자산!$I$3:$I$3000,0),MATCH(H$4,임대자산!$D$3:$R$3,0)),
IF($D228="폐업",INDEX(폐업정보!$D$3:$R$3000,MATCH($F228,폐업정보!$I$3:$I$3000,0),MATCH(H$4,폐업정보!$D$3:$R$3,0)),
"Error"))</f>
        <v>45408</v>
      </c>
      <c r="I228" s="75" t="str">
        <f aca="false">
IF($D228="정상",INDEX(임대자산!$D$3:$R$3000,MATCH($F228,임대자산!$I$3:$I$3000,0),MATCH(I$4,임대자산!$D$3:$R$3,0)),
IF($D228="폐업",INDEX(폐업정보!$D$3:$R$3000,MATCH($F228,폐업정보!$I$3:$I$3000,0),MATCH(I$4,폐업정보!$D$3:$R$3,0)),
"Error"))</f>
        <v>A0223</v>
      </c>
      <c r="J228" s="75" t="str">
        <f aca="false">
IF($D228="정상",INDEX(임대자산!$D$3:$R$3000,MATCH($F228,임대자산!$I$3:$I$3000,0),MATCH(J$4,임대자산!$D$3:$R$3,0)),
IF($D228="폐업",INDEX(폐업정보!$D$3:$R$3000,MATCH($F228,폐업정보!$I$3:$I$3000,0),MATCH(J$4,폐업정보!$D$3:$R$3,0)),
"Error"))</f>
        <v>2783700000</v>
      </c>
      <c r="K228" s="75" t="str">
        <f aca="false">
IF($D228="정상",INDEX(임대자산!$D$3:$R$3000,MATCH($F228,임대자산!$I$3:$I$3000,0),MATCH(K$4,임대자산!$D$3:$R$3,0)),
IF($D228="폐업",INDEX(폐업정보!$D$3:$R$3000,MATCH($F228,폐업정보!$I$3:$I$3000,0),MATCH(K$4,폐업정보!$D$3:$R$3,0)),
"Error"))</f>
        <v>C0223</v>
      </c>
      <c r="L228" s="75" t="str">
        <f aca="false">
IF($D228="정상",INDEX(임대자산!$D$3:$R$3000,MATCH($F228,임대자산!$I$3:$I$3000,0),MATCH(L$4,임대자산!$D$3:$R$3,0)),
IF($D228="폐업",INDEX(폐업정보!$D$3:$R$3000,MATCH($F228,폐업정보!$I$3:$I$3000,0),MATCH(L$4,폐업정보!$D$3:$R$3,0)),
"Error"))</f>
        <v>D0223</v>
      </c>
      <c r="M228" s="76" t="s">
        <v>96</v>
      </c>
      <c r="N228" s="77"/>
      <c r="O228" s="78" t="s">
        <v>97</v>
      </c>
      <c r="P228" s="79" t="n">
        <f aca="false">COUNTIFS(임대자산!$I:$I,가맹점정보!F228,임대자산!$N:$N,가맹점정보!P$4)</f>
        <v>0</v>
      </c>
      <c r="Q228" s="80" t="n">
        <f aca="false">COUNTIFS(임대자산!$I:$I,가맹점정보!F228,임대자산!$N:$N,가맹점정보!Q$4)</f>
        <v>0</v>
      </c>
      <c r="R228" s="81" t="n">
        <f aca="false">COUNTIFS(임대자산!$I:$I,가맹점정보!F228,임대자산!$N:$N,가맹점정보!R$4)</f>
        <v>1</v>
      </c>
      <c r="S228" s="82" t="n">
        <v>90000</v>
      </c>
      <c r="T228" s="83" t="n">
        <v>0</v>
      </c>
      <c r="U228" s="80" t="n">
        <f aca="false">SUM(S228:T228)</f>
        <v>90000</v>
      </c>
      <c r="V228" s="84" t="s">
        <v>12</v>
      </c>
      <c r="W228" s="80" t="e">
        <f aca="true">
IF(D228="폐업","폐업",
IF(V228="면제","면제",
IF(AND(V228="정상",COUNTIFS(OFFSET(Y228,0,COUNTA(Y228:AV228)-1,1,-4),"미납")&gt;=3),"장기미납",
IF(AND(V228="정상",OFFSET(Y228,0,COUNTA(Y228:AV228)-1)&gt;=U228),"정상",
IF(AND(V228="정상",OFFSET(Y228,0,COUNTA(Y228:AV228)-1)=0),"정상",
"계약서 미작성")))))</f>
        <v>#VALUE!</v>
      </c>
      <c r="X228" s="81" t="str">
        <f aca="true">
IF(D228="폐업","폐업",
IF(AND(V228="정상",OFFSET(Y228,0,COUNTA(Y228:AV228)-1)="미납"),"미납",
IF(AND(V228="정상",OFFSET(Y228,0,COUNTA(Y228:AV228)-1)=0),"납부 시작 전",
IF(AND(V228="정상",OFFSET(Y228,0,COUNTA(Y228:AV228)-1)&gt;=U228),"정상",
IF(AND(V228="면제",OFFSET(Y228,0,COUNTA(Y228:AV228)-1)="면제"),"면제",
IF(AND(V228="면제",OFFSET(Y228,0,COUNTA(Y228:AV228)-1)=0),"면제",
"확인요청"))))))</f>
        <v>정상</v>
      </c>
      <c r="Y228" s="93" t="n">
        <v>90000</v>
      </c>
      <c r="Z228" s="90" t="n">
        <v>90000</v>
      </c>
      <c r="AA228" s="90" t="n">
        <v>90000</v>
      </c>
      <c r="AB228" s="90" t="n">
        <v>90000</v>
      </c>
      <c r="AC228" s="90" t="n">
        <v>90000</v>
      </c>
      <c r="AD228" s="90" t="n">
        <v>90000</v>
      </c>
      <c r="AE228" s="90" t="n">
        <v>90000</v>
      </c>
      <c r="AF228" s="90" t="n">
        <v>90000</v>
      </c>
      <c r="AG228" s="90" t="n">
        <v>90000</v>
      </c>
      <c r="AH228" s="90" t="n">
        <v>90000</v>
      </c>
      <c r="AI228" s="90" t="n">
        <v>90000</v>
      </c>
      <c r="AJ228" s="91" t="n">
        <v>90000</v>
      </c>
      <c r="AK228" s="89" t="n">
        <v>90000</v>
      </c>
      <c r="AL228" s="90" t="n">
        <v>90000</v>
      </c>
      <c r="AM228" s="90"/>
      <c r="AN228" s="90"/>
      <c r="AO228" s="90"/>
      <c r="AP228" s="90"/>
      <c r="AQ228" s="90"/>
      <c r="AR228" s="90"/>
      <c r="AS228" s="90"/>
      <c r="AT228" s="90"/>
      <c r="AU228" s="90"/>
      <c r="AV228" s="91"/>
      <c r="AX228" s="92"/>
    </row>
    <row r="229" customFormat="false" ht="15.65" hidden="false" customHeight="false" outlineLevel="0" collapsed="false">
      <c r="C229" s="72" t="n">
        <f aca="false">COUNTIFS($D$6:D229,"&lt;&gt;"&amp;"")</f>
        <v>224</v>
      </c>
      <c r="D229" s="73" t="s">
        <v>12</v>
      </c>
      <c r="E229" s="76" t="str">
        <f aca="false">
IF($D229="정상",INDEX(임대자산!$D$3:$R$3000,MATCH($F229,임대자산!$I$3:$I$3000,0),MATCH(E$3,임대자산!$D$3:$R$3,0)),
IF($D229="폐업",INDEX(폐업정보!$D$3:$R$3000,MATCH($F229,폐업정보!$I$3:$I$3000,0),MATCH(E$3,폐업정보!$D$3:$R$3,0)),
"Error"))</f>
        <v>강원</v>
      </c>
      <c r="F22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B0224</v>
      </c>
      <c r="G229" s="76" t="str">
        <f aca="false">F229&amp;RANDBETWEEN(0,10)</f>
        <v>B02241</v>
      </c>
      <c r="H229" s="75" t="n">
        <f aca="false">
IF($D229="정상",INDEX(임대자산!$D$3:$R$3000,MATCH($F229,임대자산!$I$3:$I$3000,0),MATCH(H$4,임대자산!$D$3:$R$3,0)),
IF($D229="폐업",INDEX(폐업정보!$D$3:$R$3000,MATCH($F229,폐업정보!$I$3:$I$3000,0),MATCH(H$4,폐업정보!$D$3:$R$3,0)),
"Error"))</f>
        <v>45817</v>
      </c>
      <c r="I229" s="75" t="str">
        <f aca="false">
IF($D229="정상",INDEX(임대자산!$D$3:$R$3000,MATCH($F229,임대자산!$I$3:$I$3000,0),MATCH(I$4,임대자산!$D$3:$R$3,0)),
IF($D229="폐업",INDEX(폐업정보!$D$3:$R$3000,MATCH($F229,폐업정보!$I$3:$I$3000,0),MATCH(I$4,폐업정보!$D$3:$R$3,0)),
"Error"))</f>
        <v>A0224</v>
      </c>
      <c r="J229" s="75" t="str">
        <f aca="false">
IF($D229="정상",INDEX(임대자산!$D$3:$R$3000,MATCH($F229,임대자산!$I$3:$I$3000,0),MATCH(J$4,임대자산!$D$3:$R$3,0)),
IF($D229="폐업",INDEX(폐업정보!$D$3:$R$3000,MATCH($F229,폐업정보!$I$3:$I$3000,0),MATCH(J$4,폐업정보!$D$3:$R$3,0)),
"Error"))</f>
        <v>6891100000</v>
      </c>
      <c r="K229" s="75" t="str">
        <f aca="false">
IF($D229="정상",INDEX(임대자산!$D$3:$R$3000,MATCH($F229,임대자산!$I$3:$I$3000,0),MATCH(K$4,임대자산!$D$3:$R$3,0)),
IF($D229="폐업",INDEX(폐업정보!$D$3:$R$3000,MATCH($F229,폐업정보!$I$3:$I$3000,0),MATCH(K$4,폐업정보!$D$3:$R$3,0)),
"Error"))</f>
        <v>C0224</v>
      </c>
      <c r="L229" s="75" t="str">
        <f aca="false">
IF($D229="정상",INDEX(임대자산!$D$3:$R$3000,MATCH($F229,임대자산!$I$3:$I$3000,0),MATCH(L$4,임대자산!$D$3:$R$3,0)),
IF($D229="폐업",INDEX(폐업정보!$D$3:$R$3000,MATCH($F229,폐업정보!$I$3:$I$3000,0),MATCH(L$4,폐업정보!$D$3:$R$3,0)),
"Error"))</f>
        <v>D0224</v>
      </c>
      <c r="M229" s="76" t="s">
        <v>96</v>
      </c>
      <c r="N229" s="77"/>
      <c r="O229" s="78" t="s">
        <v>97</v>
      </c>
      <c r="P229" s="79" t="n">
        <f aca="false">COUNTIFS(임대자산!$I:$I,가맹점정보!F229,임대자산!$N:$N,가맹점정보!P$4)</f>
        <v>0</v>
      </c>
      <c r="Q229" s="80" t="n">
        <f aca="false">COUNTIFS(임대자산!$I:$I,가맹점정보!F229,임대자산!$N:$N,가맹점정보!Q$4)</f>
        <v>0</v>
      </c>
      <c r="R229" s="81" t="n">
        <f aca="false">COUNTIFS(임대자산!$I:$I,가맹점정보!F229,임대자산!$N:$N,가맹점정보!R$4)</f>
        <v>1</v>
      </c>
      <c r="S229" s="82" t="n">
        <v>55000</v>
      </c>
      <c r="T229" s="83" t="n">
        <v>0</v>
      </c>
      <c r="U229" s="80" t="n">
        <f aca="false">SUM(S229:T229)</f>
        <v>55000</v>
      </c>
      <c r="V229" s="84" t="s">
        <v>12</v>
      </c>
      <c r="W229" s="80" t="e">
        <f aca="true">
IF(D229="폐업","폐업",
IF(V229="면제","면제",
IF(AND(V229="정상",COUNTIFS(OFFSET(Y229,0,COUNTA(Y229:AV229)-1,1,-4),"미납")&gt;=3),"장기미납",
IF(AND(V229="정상",OFFSET(Y229,0,COUNTA(Y229:AV229)-1)&gt;=U229),"정상",
IF(AND(V229="정상",OFFSET(Y229,0,COUNTA(Y229:AV229)-1)=0),"정상",
"계약서 미작성")))))</f>
        <v>#VALUE!</v>
      </c>
      <c r="X229" s="81" t="str">
        <f aca="true">
IF(D229="폐업","폐업",
IF(AND(V229="정상",OFFSET(Y229,0,COUNTA(Y229:AV229)-1)="미납"),"미납",
IF(AND(V229="정상",OFFSET(Y229,0,COUNTA(Y229:AV229)-1)=0),"납부 시작 전",
IF(AND(V229="정상",OFFSET(Y229,0,COUNTA(Y229:AV229)-1)&gt;=U229),"정상",
IF(AND(V229="면제",OFFSET(Y229,0,COUNTA(Y229:AV229)-1)="면제"),"면제",
IF(AND(V229="면제",OFFSET(Y229,0,COUNTA(Y229:AV229)-1)=0),"면제",
"확인요청"))))))</f>
        <v>정상</v>
      </c>
      <c r="Y229" s="93" t="n">
        <v>55000</v>
      </c>
      <c r="Z229" s="90" t="n">
        <v>55000</v>
      </c>
      <c r="AA229" s="90" t="n">
        <v>55000</v>
      </c>
      <c r="AB229" s="90" t="n">
        <v>55000</v>
      </c>
      <c r="AC229" s="90" t="n">
        <v>55000</v>
      </c>
      <c r="AD229" s="90" t="n">
        <v>55000</v>
      </c>
      <c r="AE229" s="90" t="n">
        <v>55000</v>
      </c>
      <c r="AF229" s="90" t="n">
        <v>55000</v>
      </c>
      <c r="AG229" s="90" t="s">
        <v>98</v>
      </c>
      <c r="AH229" s="95" t="s">
        <v>62</v>
      </c>
      <c r="AI229" s="90" t="n">
        <v>110000</v>
      </c>
      <c r="AJ229" s="91" t="n">
        <v>55000</v>
      </c>
      <c r="AK229" s="89" t="n">
        <v>55000</v>
      </c>
      <c r="AL229" s="90" t="n">
        <v>55000</v>
      </c>
      <c r="AM229" s="90"/>
      <c r="AN229" s="90"/>
      <c r="AO229" s="90"/>
      <c r="AP229" s="90"/>
      <c r="AQ229" s="90"/>
      <c r="AR229" s="90"/>
      <c r="AS229" s="90"/>
      <c r="AT229" s="90"/>
      <c r="AU229" s="90"/>
      <c r="AV229" s="91"/>
      <c r="AX229" s="92"/>
    </row>
    <row r="230" customFormat="false" ht="15.65" hidden="false" customHeight="false" outlineLevel="0" collapsed="false">
      <c r="C230" s="72" t="n">
        <f aca="false">COUNTIFS($D$6:D230,"&lt;&gt;"&amp;"")</f>
        <v>225</v>
      </c>
      <c r="D230" s="73" t="s">
        <v>12</v>
      </c>
      <c r="E230" s="76" t="str">
        <f aca="false">
IF($D230="정상",INDEX(임대자산!$D$3:$R$3000,MATCH($F230,임대자산!$I$3:$I$3000,0),MATCH(E$3,임대자산!$D$3:$R$3,0)),
IF($D230="폐업",INDEX(폐업정보!$D$3:$R$3000,MATCH($F230,폐업정보!$I$3:$I$3000,0),MATCH(E$3,폐업정보!$D$3:$R$3,0)),
"Error"))</f>
        <v>경기</v>
      </c>
      <c r="F23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B0225</v>
      </c>
      <c r="G230" s="76" t="str">
        <f aca="false">F230&amp;RANDBETWEEN(0,10)</f>
        <v>B022510</v>
      </c>
      <c r="H230" s="75" t="n">
        <f aca="false">
IF($D230="정상",INDEX(임대자산!$D$3:$R$3000,MATCH($F230,임대자산!$I$3:$I$3000,0),MATCH(H$4,임대자산!$D$3:$R$3,0)),
IF($D230="폐업",INDEX(폐업정보!$D$3:$R$3000,MATCH($F230,폐업정보!$I$3:$I$3000,0),MATCH(H$4,폐업정보!$D$3:$R$3,0)),
"Error"))</f>
        <v>44923</v>
      </c>
      <c r="I230" s="75" t="str">
        <f aca="false">
IF($D230="정상",INDEX(임대자산!$D$3:$R$3000,MATCH($F230,임대자산!$I$3:$I$3000,0),MATCH(I$4,임대자산!$D$3:$R$3,0)),
IF($D230="폐업",INDEX(폐업정보!$D$3:$R$3000,MATCH($F230,폐업정보!$I$3:$I$3000,0),MATCH(I$4,폐업정보!$D$3:$R$3,0)),
"Error"))</f>
        <v>A0225</v>
      </c>
      <c r="J230" s="75" t="str">
        <f aca="false">
IF($D230="정상",INDEX(임대자산!$D$3:$R$3000,MATCH($F230,임대자산!$I$3:$I$3000,0),MATCH(J$4,임대자산!$D$3:$R$3,0)),
IF($D230="폐업",INDEX(폐업정보!$D$3:$R$3000,MATCH($F230,폐업정보!$I$3:$I$3000,0),MATCH(J$4,폐업정보!$D$3:$R$3,0)),
"Error"))</f>
        <v>3052000000</v>
      </c>
      <c r="K230" s="75" t="str">
        <f aca="false">
IF($D230="정상",INDEX(임대자산!$D$3:$R$3000,MATCH($F230,임대자산!$I$3:$I$3000,0),MATCH(K$4,임대자산!$D$3:$R$3,0)),
IF($D230="폐업",INDEX(폐업정보!$D$3:$R$3000,MATCH($F230,폐업정보!$I$3:$I$3000,0),MATCH(K$4,폐업정보!$D$3:$R$3,0)),
"Error"))</f>
        <v>C0225</v>
      </c>
      <c r="L230" s="75" t="str">
        <f aca="false">
IF($D230="정상",INDEX(임대자산!$D$3:$R$3000,MATCH($F230,임대자산!$I$3:$I$3000,0),MATCH(L$4,임대자산!$D$3:$R$3,0)),
IF($D230="폐업",INDEX(폐업정보!$D$3:$R$3000,MATCH($F230,폐업정보!$I$3:$I$3000,0),MATCH(L$4,폐업정보!$D$3:$R$3,0)),
"Error"))</f>
        <v>D0225</v>
      </c>
      <c r="M230" s="76" t="s">
        <v>96</v>
      </c>
      <c r="N230" s="77"/>
      <c r="O230" s="78" t="s">
        <v>97</v>
      </c>
      <c r="P230" s="79" t="n">
        <f aca="false">COUNTIFS(임대자산!$I:$I,가맹점정보!F230,임대자산!$N:$N,가맹점정보!P$4)</f>
        <v>0</v>
      </c>
      <c r="Q230" s="80" t="n">
        <f aca="false">COUNTIFS(임대자산!$I:$I,가맹점정보!F230,임대자산!$N:$N,가맹점정보!Q$4)</f>
        <v>0</v>
      </c>
      <c r="R230" s="81" t="n">
        <f aca="false">COUNTIFS(임대자산!$I:$I,가맹점정보!F230,임대자산!$N:$N,가맹점정보!R$4)</f>
        <v>1</v>
      </c>
      <c r="S230" s="82" t="n">
        <v>55000</v>
      </c>
      <c r="T230" s="83" t="n">
        <v>0</v>
      </c>
      <c r="U230" s="80" t="n">
        <f aca="false">SUM(S230:T230)</f>
        <v>55000</v>
      </c>
      <c r="V230" s="84" t="s">
        <v>12</v>
      </c>
      <c r="W230" s="80" t="e">
        <f aca="true">
IF(D230="폐업","폐업",
IF(V230="면제","면제",
IF(AND(V230="정상",COUNTIFS(OFFSET(Y230,0,COUNTA(Y230:AV230)-1,1,-4),"미납")&gt;=3),"장기미납",
IF(AND(V230="정상",OFFSET(Y230,0,COUNTA(Y230:AV230)-1)&gt;=U230),"정상",
IF(AND(V230="정상",OFFSET(Y230,0,COUNTA(Y230:AV230)-1)=0),"정상",
"계약서 미작성")))))</f>
        <v>#VALUE!</v>
      </c>
      <c r="X230" s="81" t="str">
        <f aca="true">
IF(D230="폐업","폐업",
IF(AND(V230="정상",OFFSET(Y230,0,COUNTA(Y230:AV230)-1)="미납"),"미납",
IF(AND(V230="정상",OFFSET(Y230,0,COUNTA(Y230:AV230)-1)=0),"납부 시작 전",
IF(AND(V230="정상",OFFSET(Y230,0,COUNTA(Y230:AV230)-1)&gt;=U230),"정상",
IF(AND(V230="면제",OFFSET(Y230,0,COUNTA(Y230:AV230)-1)="면제"),"면제",
IF(AND(V230="면제",OFFSET(Y230,0,COUNTA(Y230:AV230)-1)=0),"면제",
"확인요청"))))))</f>
        <v>정상</v>
      </c>
      <c r="Y230" s="93" t="n">
        <v>55000</v>
      </c>
      <c r="Z230" s="90" t="n">
        <v>55000</v>
      </c>
      <c r="AA230" s="90" t="n">
        <v>55000</v>
      </c>
      <c r="AB230" s="90" t="n">
        <v>55000</v>
      </c>
      <c r="AC230" s="90" t="n">
        <v>55000</v>
      </c>
      <c r="AD230" s="90" t="n">
        <v>55000</v>
      </c>
      <c r="AE230" s="90" t="n">
        <v>55000</v>
      </c>
      <c r="AF230" s="90" t="n">
        <v>55000</v>
      </c>
      <c r="AG230" s="90" t="n">
        <v>55000</v>
      </c>
      <c r="AH230" s="90" t="n">
        <v>55000</v>
      </c>
      <c r="AI230" s="90" t="n">
        <v>55000</v>
      </c>
      <c r="AJ230" s="91" t="n">
        <v>55000</v>
      </c>
      <c r="AK230" s="89" t="n">
        <v>55000</v>
      </c>
      <c r="AL230" s="90" t="n">
        <v>55000</v>
      </c>
      <c r="AM230" s="90"/>
      <c r="AN230" s="90"/>
      <c r="AO230" s="90"/>
      <c r="AP230" s="90"/>
      <c r="AQ230" s="90"/>
      <c r="AR230" s="90"/>
      <c r="AS230" s="90"/>
      <c r="AT230" s="90"/>
      <c r="AU230" s="90"/>
      <c r="AV230" s="91"/>
      <c r="AX230" s="92"/>
    </row>
    <row r="231" customFormat="false" ht="15.65" hidden="false" customHeight="false" outlineLevel="0" collapsed="false">
      <c r="C231" s="72" t="n">
        <f aca="false">COUNTIFS($D$6:D231,"&lt;&gt;"&amp;"")</f>
        <v>226</v>
      </c>
      <c r="D231" s="73" t="s">
        <v>12</v>
      </c>
      <c r="E231" s="76" t="str">
        <f aca="false">
IF($D231="정상",INDEX(임대자산!$D$3:$R$3000,MATCH($F231,임대자산!$I$3:$I$3000,0),MATCH(E$3,임대자산!$D$3:$R$3,0)),
IF($D231="폐업",INDEX(폐업정보!$D$3:$R$3000,MATCH($F231,폐업정보!$I$3:$I$3000,0),MATCH(E$3,폐업정보!$D$3:$R$3,0)),
"Error"))</f>
        <v>강원</v>
      </c>
      <c r="F23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B0226</v>
      </c>
      <c r="G231" s="76" t="str">
        <f aca="false">F231&amp;RANDBETWEEN(0,10)</f>
        <v>B02261</v>
      </c>
      <c r="H231" s="75" t="n">
        <f aca="false">
IF($D231="정상",INDEX(임대자산!$D$3:$R$3000,MATCH($F231,임대자산!$I$3:$I$3000,0),MATCH(H$4,임대자산!$D$3:$R$3,0)),
IF($D231="폐업",INDEX(폐업정보!$D$3:$R$3000,MATCH($F231,폐업정보!$I$3:$I$3000,0),MATCH(H$4,폐업정보!$D$3:$R$3,0)),
"Error"))</f>
        <v>45512</v>
      </c>
      <c r="I231" s="75" t="str">
        <f aca="false">
IF($D231="정상",INDEX(임대자산!$D$3:$R$3000,MATCH($F231,임대자산!$I$3:$I$3000,0),MATCH(I$4,임대자산!$D$3:$R$3,0)),
IF($D231="폐업",INDEX(폐업정보!$D$3:$R$3000,MATCH($F231,폐업정보!$I$3:$I$3000,0),MATCH(I$4,폐업정보!$D$3:$R$3,0)),
"Error"))</f>
        <v>A0226</v>
      </c>
      <c r="J231" s="75" t="str">
        <f aca="false">
IF($D231="정상",INDEX(임대자산!$D$3:$R$3000,MATCH($F231,임대자산!$I$3:$I$3000,0),MATCH(J$4,임대자산!$D$3:$R$3,0)),
IF($D231="폐업",INDEX(폐업정보!$D$3:$R$3000,MATCH($F231,폐업정보!$I$3:$I$3000,0),MATCH(J$4,폐업정보!$D$3:$R$3,0)),
"Error"))</f>
        <v>2603500000</v>
      </c>
      <c r="K231" s="75" t="str">
        <f aca="false">
IF($D231="정상",INDEX(임대자산!$D$3:$R$3000,MATCH($F231,임대자산!$I$3:$I$3000,0),MATCH(K$4,임대자산!$D$3:$R$3,0)),
IF($D231="폐업",INDEX(폐업정보!$D$3:$R$3000,MATCH($F231,폐업정보!$I$3:$I$3000,0),MATCH(K$4,폐업정보!$D$3:$R$3,0)),
"Error"))</f>
        <v>C0226</v>
      </c>
      <c r="L231" s="75" t="str">
        <f aca="false">
IF($D231="정상",INDEX(임대자산!$D$3:$R$3000,MATCH($F231,임대자산!$I$3:$I$3000,0),MATCH(L$4,임대자산!$D$3:$R$3,0)),
IF($D231="폐업",INDEX(폐업정보!$D$3:$R$3000,MATCH($F231,폐업정보!$I$3:$I$3000,0),MATCH(L$4,폐업정보!$D$3:$R$3,0)),
"Error"))</f>
        <v>D0226</v>
      </c>
      <c r="M231" s="76" t="s">
        <v>96</v>
      </c>
      <c r="N231" s="77"/>
      <c r="O231" s="78" t="s">
        <v>97</v>
      </c>
      <c r="P231" s="79" t="n">
        <f aca="false">COUNTIFS(임대자산!$I:$I,가맹점정보!F231,임대자산!$N:$N,가맹점정보!P$4)</f>
        <v>0</v>
      </c>
      <c r="Q231" s="80" t="n">
        <f aca="false">COUNTIFS(임대자산!$I:$I,가맹점정보!F231,임대자산!$N:$N,가맹점정보!Q$4)</f>
        <v>0</v>
      </c>
      <c r="R231" s="81" t="n">
        <f aca="false">COUNTIFS(임대자산!$I:$I,가맹점정보!F231,임대자산!$N:$N,가맹점정보!R$4)</f>
        <v>1</v>
      </c>
      <c r="S231" s="82" t="n">
        <v>110000</v>
      </c>
      <c r="T231" s="83" t="n">
        <v>0</v>
      </c>
      <c r="U231" s="80" t="n">
        <f aca="false">SUM(S231:T231)</f>
        <v>110000</v>
      </c>
      <c r="V231" s="84" t="s">
        <v>12</v>
      </c>
      <c r="W231" s="80" t="e">
        <f aca="true">
IF(D231="폐업","폐업",
IF(V231="면제","면제",
IF(AND(V231="정상",COUNTIFS(OFFSET(Y231,0,COUNTA(Y231:AV231)-1,1,-4),"미납")&gt;=3),"장기미납",
IF(AND(V231="정상",OFFSET(Y231,0,COUNTA(Y231:AV231)-1)&gt;=U231),"정상",
IF(AND(V231="정상",OFFSET(Y231,0,COUNTA(Y231:AV231)-1)=0),"정상",
"계약서 미작성")))))</f>
        <v>#VALUE!</v>
      </c>
      <c r="X231" s="81" t="str">
        <f aca="true">
IF(D231="폐업","폐업",
IF(AND(V231="정상",OFFSET(Y231,0,COUNTA(Y231:AV231)-1)="미납"),"미납",
IF(AND(V231="정상",OFFSET(Y231,0,COUNTA(Y231:AV231)-1)=0),"납부 시작 전",
IF(AND(V231="정상",OFFSET(Y231,0,COUNTA(Y231:AV231)-1)&gt;=U231),"정상",
IF(AND(V231="면제",OFFSET(Y231,0,COUNTA(Y231:AV231)-1)="면제"),"면제",
IF(AND(V231="면제",OFFSET(Y231,0,COUNTA(Y231:AV231)-1)=0),"면제",
"확인요청"))))))</f>
        <v>정상</v>
      </c>
      <c r="Y231" s="93" t="n">
        <v>110000</v>
      </c>
      <c r="Z231" s="90" t="n">
        <v>110000</v>
      </c>
      <c r="AA231" s="90" t="n">
        <v>110000</v>
      </c>
      <c r="AB231" s="90" t="n">
        <v>110000</v>
      </c>
      <c r="AC231" s="90" t="n">
        <v>110000</v>
      </c>
      <c r="AD231" s="90" t="n">
        <v>110000</v>
      </c>
      <c r="AE231" s="90" t="n">
        <v>110000</v>
      </c>
      <c r="AF231" s="90" t="n">
        <v>110000</v>
      </c>
      <c r="AG231" s="90" t="n">
        <v>110000</v>
      </c>
      <c r="AH231" s="90" t="n">
        <v>110000</v>
      </c>
      <c r="AI231" s="90" t="n">
        <v>110000</v>
      </c>
      <c r="AJ231" s="91" t="n">
        <v>110000</v>
      </c>
      <c r="AK231" s="89" t="n">
        <v>110000</v>
      </c>
      <c r="AL231" s="90" t="n">
        <v>110000</v>
      </c>
      <c r="AM231" s="90"/>
      <c r="AN231" s="90"/>
      <c r="AO231" s="90"/>
      <c r="AP231" s="90"/>
      <c r="AQ231" s="90"/>
      <c r="AR231" s="90"/>
      <c r="AS231" s="90"/>
      <c r="AT231" s="90"/>
      <c r="AU231" s="90"/>
      <c r="AV231" s="91"/>
      <c r="AX231" s="92"/>
    </row>
    <row r="232" customFormat="false" ht="15.65" hidden="false" customHeight="false" outlineLevel="0" collapsed="false">
      <c r="C232" s="72" t="n">
        <f aca="false">COUNTIFS($D$6:D232,"&lt;&gt;"&amp;"")</f>
        <v>227</v>
      </c>
      <c r="D232" s="73" t="s">
        <v>12</v>
      </c>
      <c r="E232" s="76" t="str">
        <f aca="false">
IF($D232="정상",INDEX(임대자산!$D$3:$R$3000,MATCH($F232,임대자산!$I$3:$I$3000,0),MATCH(E$3,임대자산!$D$3:$R$3,0)),
IF($D232="폐업",INDEX(폐업정보!$D$3:$R$3000,MATCH($F232,폐업정보!$I$3:$I$3000,0),MATCH(E$3,폐업정보!$D$3:$R$3,0)),
"Error"))</f>
        <v>전라</v>
      </c>
      <c r="F23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B0227</v>
      </c>
      <c r="G232" s="76" t="str">
        <f aca="false">F232&amp;RANDBETWEEN(0,10)</f>
        <v>B02276</v>
      </c>
      <c r="H232" s="75" t="n">
        <f aca="false">
IF($D232="정상",INDEX(임대자산!$D$3:$R$3000,MATCH($F232,임대자산!$I$3:$I$3000,0),MATCH(H$4,임대자산!$D$3:$R$3,0)),
IF($D232="폐업",INDEX(폐업정보!$D$3:$R$3000,MATCH($F232,폐업정보!$I$3:$I$3000,0),MATCH(H$4,폐업정보!$D$3:$R$3,0)),
"Error"))</f>
        <v>44980</v>
      </c>
      <c r="I232" s="75" t="str">
        <f aca="false">
IF($D232="정상",INDEX(임대자산!$D$3:$R$3000,MATCH($F232,임대자산!$I$3:$I$3000,0),MATCH(I$4,임대자산!$D$3:$R$3,0)),
IF($D232="폐업",INDEX(폐업정보!$D$3:$R$3000,MATCH($F232,폐업정보!$I$3:$I$3000,0),MATCH(I$4,폐업정보!$D$3:$R$3,0)),
"Error"))</f>
        <v>A0227</v>
      </c>
      <c r="J232" s="75" t="str">
        <f aca="false">
IF($D232="정상",INDEX(임대자산!$D$3:$R$3000,MATCH($F232,임대자산!$I$3:$I$3000,0),MATCH(J$4,임대자산!$D$3:$R$3,0)),
IF($D232="폐업",INDEX(폐업정보!$D$3:$R$3000,MATCH($F232,폐업정보!$I$3:$I$3000,0),MATCH(J$4,폐업정보!$D$3:$R$3,0)),
"Error"))</f>
        <v>8439200000</v>
      </c>
      <c r="K232" s="75" t="str">
        <f aca="false">
IF($D232="정상",INDEX(임대자산!$D$3:$R$3000,MATCH($F232,임대자산!$I$3:$I$3000,0),MATCH(K$4,임대자산!$D$3:$R$3,0)),
IF($D232="폐업",INDEX(폐업정보!$D$3:$R$3000,MATCH($F232,폐업정보!$I$3:$I$3000,0),MATCH(K$4,폐업정보!$D$3:$R$3,0)),
"Error"))</f>
        <v>C0227</v>
      </c>
      <c r="L232" s="75" t="str">
        <f aca="false">
IF($D232="정상",INDEX(임대자산!$D$3:$R$3000,MATCH($F232,임대자산!$I$3:$I$3000,0),MATCH(L$4,임대자산!$D$3:$R$3,0)),
IF($D232="폐업",INDEX(폐업정보!$D$3:$R$3000,MATCH($F232,폐업정보!$I$3:$I$3000,0),MATCH(L$4,폐업정보!$D$3:$R$3,0)),
"Error"))</f>
        <v>D0227</v>
      </c>
      <c r="M232" s="76" t="s">
        <v>96</v>
      </c>
      <c r="N232" s="77"/>
      <c r="O232" s="78" t="s">
        <v>97</v>
      </c>
      <c r="P232" s="79" t="n">
        <f aca="false">COUNTIFS(임대자산!$I:$I,가맹점정보!F232,임대자산!$N:$N,가맹점정보!P$4)</f>
        <v>0</v>
      </c>
      <c r="Q232" s="80" t="n">
        <f aca="false">COUNTIFS(임대자산!$I:$I,가맹점정보!F232,임대자산!$N:$N,가맹점정보!Q$4)</f>
        <v>0</v>
      </c>
      <c r="R232" s="81" t="n">
        <f aca="false">COUNTIFS(임대자산!$I:$I,가맹점정보!F232,임대자산!$N:$N,가맹점정보!R$4)</f>
        <v>1</v>
      </c>
      <c r="S232" s="82" t="n">
        <v>55000</v>
      </c>
      <c r="T232" s="83" t="n">
        <v>0</v>
      </c>
      <c r="U232" s="80" t="n">
        <f aca="false">SUM(S232:T232)</f>
        <v>55000</v>
      </c>
      <c r="V232" s="84" t="s">
        <v>7</v>
      </c>
      <c r="W232" s="80" t="str">
        <f aca="true">
IF(D232="폐업","폐업",
IF(V232="면제","면제",
IF(AND(V232="정상",COUNTIFS(OFFSET(Y232,0,COUNTA(Y232:AV232)-1,1,-4),"미납")&gt;=3),"장기미납",
IF(AND(V232="정상",OFFSET(Y232,0,COUNTA(Y232:AV232)-1)&gt;=U232),"정상",
IF(AND(V232="정상",OFFSET(Y232,0,COUNTA(Y232:AV232)-1)=0),"정상",
"계약서 미작성")))))</f>
        <v>면제</v>
      </c>
      <c r="X232" s="81" t="str">
        <f aca="true">
IF(D232="폐업","폐업",
IF(AND(V232="정상",OFFSET(Y232,0,COUNTA(Y232:AV232)-1)="미납"),"미납",
IF(AND(V232="정상",OFFSET(Y232,0,COUNTA(Y232:AV232)-1)=0),"납부 시작 전",
IF(AND(V232="정상",OFFSET(Y232,0,COUNTA(Y232:AV232)-1)&gt;=U232),"정상",
IF(AND(V232="면제",OFFSET(Y232,0,COUNTA(Y232:AV232)-1)="면제"),"면제",
IF(AND(V232="면제",OFFSET(Y232,0,COUNTA(Y232:AV232)-1)=0),"면제",
"확인요청"))))))</f>
        <v>면제</v>
      </c>
      <c r="Y232" s="94" t="s">
        <v>7</v>
      </c>
      <c r="Z232" s="95" t="s">
        <v>7</v>
      </c>
      <c r="AA232" s="95" t="s">
        <v>7</v>
      </c>
      <c r="AB232" s="95" t="s">
        <v>7</v>
      </c>
      <c r="AC232" s="95" t="s">
        <v>7</v>
      </c>
      <c r="AD232" s="95" t="s">
        <v>7</v>
      </c>
      <c r="AE232" s="95" t="s">
        <v>7</v>
      </c>
      <c r="AF232" s="95" t="s">
        <v>7</v>
      </c>
      <c r="AG232" s="95" t="s">
        <v>7</v>
      </c>
      <c r="AH232" s="95" t="s">
        <v>7</v>
      </c>
      <c r="AI232" s="95" t="s">
        <v>7</v>
      </c>
      <c r="AJ232" s="96" t="s">
        <v>7</v>
      </c>
      <c r="AK232" s="97" t="s">
        <v>7</v>
      </c>
      <c r="AL232" s="95" t="s">
        <v>7</v>
      </c>
      <c r="AM232" s="90"/>
      <c r="AN232" s="90"/>
      <c r="AO232" s="90"/>
      <c r="AP232" s="90"/>
      <c r="AQ232" s="90"/>
      <c r="AR232" s="90"/>
      <c r="AS232" s="90"/>
      <c r="AT232" s="90"/>
      <c r="AU232" s="90"/>
      <c r="AV232" s="91"/>
      <c r="AX232" s="92"/>
    </row>
    <row r="233" customFormat="false" ht="15.65" hidden="false" customHeight="false" outlineLevel="0" collapsed="false">
      <c r="C233" s="72" t="n">
        <f aca="false">COUNTIFS($D$6:D233,"&lt;&gt;"&amp;"")</f>
        <v>228</v>
      </c>
      <c r="D233" s="73" t="s">
        <v>12</v>
      </c>
      <c r="E233" s="76" t="str">
        <f aca="false">
IF($D233="정상",INDEX(임대자산!$D$3:$R$3000,MATCH($F233,임대자산!$I$3:$I$3000,0),MATCH(E$3,임대자산!$D$3:$R$3,0)),
IF($D233="폐업",INDEX(폐업정보!$D$3:$R$3000,MATCH($F233,폐업정보!$I$3:$I$3000,0),MATCH(E$3,폐업정보!$D$3:$R$3,0)),
"Error"))</f>
        <v>서울</v>
      </c>
      <c r="F23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B0228</v>
      </c>
      <c r="G233" s="76" t="str">
        <f aca="false">F233&amp;RANDBETWEEN(0,10)</f>
        <v>B02287</v>
      </c>
      <c r="H233" s="75" t="n">
        <f aca="false">
IF($D233="정상",INDEX(임대자산!$D$3:$R$3000,MATCH($F233,임대자산!$I$3:$I$3000,0),MATCH(H$4,임대자산!$D$3:$R$3,0)),
IF($D233="폐업",INDEX(폐업정보!$D$3:$R$3000,MATCH($F233,폐업정보!$I$3:$I$3000,0),MATCH(H$4,폐업정보!$D$3:$R$3,0)),
"Error"))</f>
        <v>45572</v>
      </c>
      <c r="I233" s="75" t="str">
        <f aca="false">
IF($D233="정상",INDEX(임대자산!$D$3:$R$3000,MATCH($F233,임대자산!$I$3:$I$3000,0),MATCH(I$4,임대자산!$D$3:$R$3,0)),
IF($D233="폐업",INDEX(폐업정보!$D$3:$R$3000,MATCH($F233,폐업정보!$I$3:$I$3000,0),MATCH(I$4,폐업정보!$D$3:$R$3,0)),
"Error"))</f>
        <v>A0228</v>
      </c>
      <c r="J233" s="75" t="str">
        <f aca="false">
IF($D233="정상",INDEX(임대자산!$D$3:$R$3000,MATCH($F233,임대자산!$I$3:$I$3000,0),MATCH(J$4,임대자산!$D$3:$R$3,0)),
IF($D233="폐업",INDEX(폐업정보!$D$3:$R$3000,MATCH($F233,폐업정보!$I$3:$I$3000,0),MATCH(J$4,폐업정보!$D$3:$R$3,0)),
"Error"))</f>
        <v>3399200000</v>
      </c>
      <c r="K233" s="75" t="str">
        <f aca="false">
IF($D233="정상",INDEX(임대자산!$D$3:$R$3000,MATCH($F233,임대자산!$I$3:$I$3000,0),MATCH(K$4,임대자산!$D$3:$R$3,0)),
IF($D233="폐업",INDEX(폐업정보!$D$3:$R$3000,MATCH($F233,폐업정보!$I$3:$I$3000,0),MATCH(K$4,폐업정보!$D$3:$R$3,0)),
"Error"))</f>
        <v>C0228</v>
      </c>
      <c r="L233" s="75" t="str">
        <f aca="false">
IF($D233="정상",INDEX(임대자산!$D$3:$R$3000,MATCH($F233,임대자산!$I$3:$I$3000,0),MATCH(L$4,임대자산!$D$3:$R$3,0)),
IF($D233="폐업",INDEX(폐업정보!$D$3:$R$3000,MATCH($F233,폐업정보!$I$3:$I$3000,0),MATCH(L$4,폐업정보!$D$3:$R$3,0)),
"Error"))</f>
        <v>D0228</v>
      </c>
      <c r="M233" s="76" t="s">
        <v>96</v>
      </c>
      <c r="N233" s="77"/>
      <c r="O233" s="78" t="s">
        <v>97</v>
      </c>
      <c r="P233" s="79" t="n">
        <f aca="false">COUNTIFS(임대자산!$I:$I,가맹점정보!F233,임대자산!$N:$N,가맹점정보!P$4)</f>
        <v>0</v>
      </c>
      <c r="Q233" s="80" t="n">
        <f aca="false">COUNTIFS(임대자산!$I:$I,가맹점정보!F233,임대자산!$N:$N,가맹점정보!Q$4)</f>
        <v>0</v>
      </c>
      <c r="R233" s="81" t="n">
        <f aca="false">COUNTIFS(임대자산!$I:$I,가맹점정보!F233,임대자산!$N:$N,가맹점정보!R$4)</f>
        <v>1</v>
      </c>
      <c r="S233" s="82" t="n">
        <v>110000</v>
      </c>
      <c r="T233" s="83" t="n">
        <v>0</v>
      </c>
      <c r="U233" s="80" t="n">
        <f aca="false">SUM(S233:T233)</f>
        <v>110000</v>
      </c>
      <c r="V233" s="84" t="s">
        <v>12</v>
      </c>
      <c r="W233" s="80" t="e">
        <f aca="true">
IF(D233="폐업","폐업",
IF(V233="면제","면제",
IF(AND(V233="정상",COUNTIFS(OFFSET(Y233,0,COUNTA(Y233:AV233)-1,1,-4),"미납")&gt;=3),"장기미납",
IF(AND(V233="정상",OFFSET(Y233,0,COUNTA(Y233:AV233)-1)&gt;=U233),"정상",
IF(AND(V233="정상",OFFSET(Y233,0,COUNTA(Y233:AV233)-1)=0),"정상",
"계약서 미작성")))))</f>
        <v>#VALUE!</v>
      </c>
      <c r="X233" s="81" t="str">
        <f aca="true">
IF(D233="폐업","폐업",
IF(AND(V233="정상",OFFSET(Y233,0,COUNTA(Y233:AV233)-1)="미납"),"미납",
IF(AND(V233="정상",OFFSET(Y233,0,COUNTA(Y233:AV233)-1)=0),"납부 시작 전",
IF(AND(V233="정상",OFFSET(Y233,0,COUNTA(Y233:AV233)-1)&gt;=U233),"정상",
IF(AND(V233="면제",OFFSET(Y233,0,COUNTA(Y233:AV233)-1)="면제"),"면제",
IF(AND(V233="면제",OFFSET(Y233,0,COUNTA(Y233:AV233)-1)=0),"면제",
"확인요청"))))))</f>
        <v>정상</v>
      </c>
      <c r="Y233" s="93" t="n">
        <v>110000</v>
      </c>
      <c r="Z233" s="90" t="n">
        <v>110000</v>
      </c>
      <c r="AA233" s="90" t="n">
        <v>110000</v>
      </c>
      <c r="AB233" s="90" t="n">
        <v>110000</v>
      </c>
      <c r="AC233" s="90" t="n">
        <v>110000</v>
      </c>
      <c r="AD233" s="90" t="n">
        <v>110000</v>
      </c>
      <c r="AE233" s="90" t="n">
        <v>110000</v>
      </c>
      <c r="AF233" s="90" t="n">
        <v>110000</v>
      </c>
      <c r="AG233" s="90" t="n">
        <v>110000</v>
      </c>
      <c r="AH233" s="90" t="n">
        <v>110000</v>
      </c>
      <c r="AI233" s="90" t="n">
        <v>110000</v>
      </c>
      <c r="AJ233" s="91" t="n">
        <v>110000</v>
      </c>
      <c r="AK233" s="89" t="n">
        <v>110000</v>
      </c>
      <c r="AL233" s="90" t="n">
        <v>110000</v>
      </c>
      <c r="AM233" s="90"/>
      <c r="AN233" s="90"/>
      <c r="AO233" s="90"/>
      <c r="AP233" s="90"/>
      <c r="AQ233" s="90"/>
      <c r="AR233" s="90"/>
      <c r="AS233" s="90"/>
      <c r="AT233" s="90"/>
      <c r="AU233" s="90"/>
      <c r="AV233" s="91"/>
      <c r="AX233" s="92"/>
    </row>
    <row r="234" customFormat="false" ht="15.65" hidden="false" customHeight="false" outlineLevel="0" collapsed="false">
      <c r="C234" s="72" t="n">
        <f aca="false">COUNTIFS($D$6:D234,"&lt;&gt;"&amp;"")</f>
        <v>229</v>
      </c>
      <c r="D234" s="73" t="s">
        <v>12</v>
      </c>
      <c r="E234" s="76" t="str">
        <f aca="false">
IF($D234="정상",INDEX(임대자산!$D$3:$R$3000,MATCH($F234,임대자산!$I$3:$I$3000,0),MATCH(E$3,임대자산!$D$3:$R$3,0)),
IF($D234="폐업",INDEX(폐업정보!$D$3:$R$3000,MATCH($F234,폐업정보!$I$3:$I$3000,0),MATCH(E$3,폐업정보!$D$3:$R$3,0)),
"Error"))</f>
        <v>서울</v>
      </c>
      <c r="F23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B0229</v>
      </c>
      <c r="G234" s="76" t="str">
        <f aca="false">F234&amp;RANDBETWEEN(0,10)</f>
        <v>B02291</v>
      </c>
      <c r="H234" s="75" t="n">
        <f aca="false">
IF($D234="정상",INDEX(임대자산!$D$3:$R$3000,MATCH($F234,임대자산!$I$3:$I$3000,0),MATCH(H$4,임대자산!$D$3:$R$3,0)),
IF($D234="폐업",INDEX(폐업정보!$D$3:$R$3000,MATCH($F234,폐업정보!$I$3:$I$3000,0),MATCH(H$4,폐업정보!$D$3:$R$3,0)),
"Error"))</f>
        <v>44977</v>
      </c>
      <c r="I234" s="75" t="str">
        <f aca="false">
IF($D234="정상",INDEX(임대자산!$D$3:$R$3000,MATCH($F234,임대자산!$I$3:$I$3000,0),MATCH(I$4,임대자산!$D$3:$R$3,0)),
IF($D234="폐업",INDEX(폐업정보!$D$3:$R$3000,MATCH($F234,폐업정보!$I$3:$I$3000,0),MATCH(I$4,폐업정보!$D$3:$R$3,0)),
"Error"))</f>
        <v>A0229</v>
      </c>
      <c r="J234" s="75" t="str">
        <f aca="false">
IF($D234="정상",INDEX(임대자산!$D$3:$R$3000,MATCH($F234,임대자산!$I$3:$I$3000,0),MATCH(J$4,임대자산!$D$3:$R$3,0)),
IF($D234="폐업",INDEX(폐업정보!$D$3:$R$3000,MATCH($F234,폐업정보!$I$3:$I$3000,0),MATCH(J$4,폐업정보!$D$3:$R$3,0)),
"Error"))</f>
        <v>6787200000</v>
      </c>
      <c r="K234" s="75" t="str">
        <f aca="false">
IF($D234="정상",INDEX(임대자산!$D$3:$R$3000,MATCH($F234,임대자산!$I$3:$I$3000,0),MATCH(K$4,임대자산!$D$3:$R$3,0)),
IF($D234="폐업",INDEX(폐업정보!$D$3:$R$3000,MATCH($F234,폐업정보!$I$3:$I$3000,0),MATCH(K$4,폐업정보!$D$3:$R$3,0)),
"Error"))</f>
        <v>C0229</v>
      </c>
      <c r="L234" s="75" t="str">
        <f aca="false">
IF($D234="정상",INDEX(임대자산!$D$3:$R$3000,MATCH($F234,임대자산!$I$3:$I$3000,0),MATCH(L$4,임대자산!$D$3:$R$3,0)),
IF($D234="폐업",INDEX(폐업정보!$D$3:$R$3000,MATCH($F234,폐업정보!$I$3:$I$3000,0),MATCH(L$4,폐업정보!$D$3:$R$3,0)),
"Error"))</f>
        <v>D0229</v>
      </c>
      <c r="M234" s="76" t="s">
        <v>96</v>
      </c>
      <c r="N234" s="77"/>
      <c r="O234" s="78" t="s">
        <v>97</v>
      </c>
      <c r="P234" s="79" t="n">
        <f aca="false">COUNTIFS(임대자산!$I:$I,가맹점정보!F234,임대자산!$N:$N,가맹점정보!P$4)</f>
        <v>0</v>
      </c>
      <c r="Q234" s="80" t="n">
        <f aca="false">COUNTIFS(임대자산!$I:$I,가맹점정보!F234,임대자산!$N:$N,가맹점정보!Q$4)</f>
        <v>0</v>
      </c>
      <c r="R234" s="81" t="n">
        <f aca="false">COUNTIFS(임대자산!$I:$I,가맹점정보!F234,임대자산!$N:$N,가맹점정보!R$4)</f>
        <v>1</v>
      </c>
      <c r="S234" s="82" t="n">
        <v>55000</v>
      </c>
      <c r="T234" s="83" t="n">
        <v>0</v>
      </c>
      <c r="U234" s="80" t="n">
        <f aca="false">SUM(S234:T234)</f>
        <v>55000</v>
      </c>
      <c r="V234" s="84" t="s">
        <v>12</v>
      </c>
      <c r="W234" s="80" t="e">
        <f aca="true">
IF(D234="폐업","폐업",
IF(V234="면제","면제",
IF(AND(V234="정상",COUNTIFS(OFFSET(Y234,0,COUNTA(Y234:AV234)-1,1,-4),"미납")&gt;=3),"장기미납",
IF(AND(V234="정상",OFFSET(Y234,0,COUNTA(Y234:AV234)-1)&gt;=U234),"정상",
IF(AND(V234="정상",OFFSET(Y234,0,COUNTA(Y234:AV234)-1)=0),"정상",
"계약서 미작성")))))</f>
        <v>#VALUE!</v>
      </c>
      <c r="X234" s="81" t="str">
        <f aca="true">
IF(D234="폐업","폐업",
IF(AND(V234="정상",OFFSET(Y234,0,COUNTA(Y234:AV234)-1)="미납"),"미납",
IF(AND(V234="정상",OFFSET(Y234,0,COUNTA(Y234:AV234)-1)=0),"납부 시작 전",
IF(AND(V234="정상",OFFSET(Y234,0,COUNTA(Y234:AV234)-1)&gt;=U234),"정상",
IF(AND(V234="면제",OFFSET(Y234,0,COUNTA(Y234:AV234)-1)="면제"),"면제",
IF(AND(V234="면제",OFFSET(Y234,0,COUNTA(Y234:AV234)-1)=0),"면제",
"확인요청"))))))</f>
        <v>정상</v>
      </c>
      <c r="Y234" s="93" t="n">
        <v>55000</v>
      </c>
      <c r="Z234" s="90" t="n">
        <v>55000</v>
      </c>
      <c r="AA234" s="90" t="n">
        <v>55000</v>
      </c>
      <c r="AB234" s="90" t="n">
        <v>55000</v>
      </c>
      <c r="AC234" s="90" t="n">
        <v>55000</v>
      </c>
      <c r="AD234" s="90" t="n">
        <v>55000</v>
      </c>
      <c r="AE234" s="90" t="n">
        <v>55000</v>
      </c>
      <c r="AF234" s="90" t="n">
        <v>55000</v>
      </c>
      <c r="AG234" s="90" t="n">
        <v>55000</v>
      </c>
      <c r="AH234" s="90" t="n">
        <v>55000</v>
      </c>
      <c r="AI234" s="90" t="n">
        <v>55000</v>
      </c>
      <c r="AJ234" s="91" t="n">
        <v>55000</v>
      </c>
      <c r="AK234" s="89" t="n">
        <v>55000</v>
      </c>
      <c r="AL234" s="90" t="n">
        <v>55000</v>
      </c>
      <c r="AM234" s="90"/>
      <c r="AN234" s="90"/>
      <c r="AO234" s="90"/>
      <c r="AP234" s="90"/>
      <c r="AQ234" s="90"/>
      <c r="AR234" s="90"/>
      <c r="AS234" s="90"/>
      <c r="AT234" s="90"/>
      <c r="AU234" s="90"/>
      <c r="AV234" s="91"/>
      <c r="AX234" s="92"/>
    </row>
    <row r="235" customFormat="false" ht="15.65" hidden="false" customHeight="false" outlineLevel="0" collapsed="false">
      <c r="C235" s="72" t="n">
        <f aca="false">COUNTIFS($D$6:D235,"&lt;&gt;"&amp;"")</f>
        <v>230</v>
      </c>
      <c r="D235" s="73" t="s">
        <v>12</v>
      </c>
      <c r="E235" s="76" t="str">
        <f aca="false">
IF($D235="정상",INDEX(임대자산!$D$3:$R$3000,MATCH($F235,임대자산!$I$3:$I$3000,0),MATCH(E$3,임대자산!$D$3:$R$3,0)),
IF($D235="폐업",INDEX(폐업정보!$D$3:$R$3000,MATCH($F235,폐업정보!$I$3:$I$3000,0),MATCH(E$3,폐업정보!$D$3:$R$3,0)),
"Error"))</f>
        <v>서울</v>
      </c>
      <c r="F23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B0230</v>
      </c>
      <c r="G235" s="76" t="str">
        <f aca="false">F235&amp;RANDBETWEEN(0,10)</f>
        <v>B02304</v>
      </c>
      <c r="H235" s="75" t="n">
        <f aca="false">
IF($D235="정상",INDEX(임대자산!$D$3:$R$3000,MATCH($F235,임대자산!$I$3:$I$3000,0),MATCH(H$4,임대자산!$D$3:$R$3,0)),
IF($D235="폐업",INDEX(폐업정보!$D$3:$R$3000,MATCH($F235,폐업정보!$I$3:$I$3000,0),MATCH(H$4,폐업정보!$D$3:$R$3,0)),
"Error"))</f>
        <v>44972</v>
      </c>
      <c r="I235" s="75" t="str">
        <f aca="false">
IF($D235="정상",INDEX(임대자산!$D$3:$R$3000,MATCH($F235,임대자산!$I$3:$I$3000,0),MATCH(I$4,임대자산!$D$3:$R$3,0)),
IF($D235="폐업",INDEX(폐업정보!$D$3:$R$3000,MATCH($F235,폐업정보!$I$3:$I$3000,0),MATCH(I$4,폐업정보!$D$3:$R$3,0)),
"Error"))</f>
        <v>A0230</v>
      </c>
      <c r="J235" s="75" t="str">
        <f aca="false">
IF($D235="정상",INDEX(임대자산!$D$3:$R$3000,MATCH($F235,임대자산!$I$3:$I$3000,0),MATCH(J$4,임대자산!$D$3:$R$3,0)),
IF($D235="폐업",INDEX(폐업정보!$D$3:$R$3000,MATCH($F235,폐업정보!$I$3:$I$3000,0),MATCH(J$4,폐업정보!$D$3:$R$3,0)),
"Error"))</f>
        <v>3028400000</v>
      </c>
      <c r="K235" s="75" t="str">
        <f aca="false">
IF($D235="정상",INDEX(임대자산!$D$3:$R$3000,MATCH($F235,임대자산!$I$3:$I$3000,0),MATCH(K$4,임대자산!$D$3:$R$3,0)),
IF($D235="폐업",INDEX(폐업정보!$D$3:$R$3000,MATCH($F235,폐업정보!$I$3:$I$3000,0),MATCH(K$4,폐업정보!$D$3:$R$3,0)),
"Error"))</f>
        <v>C0230</v>
      </c>
      <c r="L235" s="75" t="str">
        <f aca="false">
IF($D235="정상",INDEX(임대자산!$D$3:$R$3000,MATCH($F235,임대자산!$I$3:$I$3000,0),MATCH(L$4,임대자산!$D$3:$R$3,0)),
IF($D235="폐업",INDEX(폐업정보!$D$3:$R$3000,MATCH($F235,폐업정보!$I$3:$I$3000,0),MATCH(L$4,폐업정보!$D$3:$R$3,0)),
"Error"))</f>
        <v>D0230</v>
      </c>
      <c r="M235" s="76" t="s">
        <v>96</v>
      </c>
      <c r="N235" s="77"/>
      <c r="O235" s="78" t="s">
        <v>97</v>
      </c>
      <c r="P235" s="79" t="n">
        <f aca="false">COUNTIFS(임대자산!$I:$I,가맹점정보!F235,임대자산!$N:$N,가맹점정보!P$4)</f>
        <v>0</v>
      </c>
      <c r="Q235" s="80" t="n">
        <f aca="false">COUNTIFS(임대자산!$I:$I,가맹점정보!F235,임대자산!$N:$N,가맹점정보!Q$4)</f>
        <v>0</v>
      </c>
      <c r="R235" s="81" t="n">
        <f aca="false">COUNTIFS(임대자산!$I:$I,가맹점정보!F235,임대자산!$N:$N,가맹점정보!R$4)</f>
        <v>1</v>
      </c>
      <c r="S235" s="82" t="n">
        <v>110000</v>
      </c>
      <c r="T235" s="83" t="n">
        <v>0</v>
      </c>
      <c r="U235" s="80" t="n">
        <f aca="false">SUM(S235:T235)</f>
        <v>110000</v>
      </c>
      <c r="V235" s="84" t="s">
        <v>12</v>
      </c>
      <c r="W235" s="80" t="e">
        <f aca="true">
IF(D235="폐업","폐업",
IF(V235="면제","면제",
IF(AND(V235="정상",COUNTIFS(OFFSET(Y235,0,COUNTA(Y235:AV235)-1,1,-4),"미납")&gt;=3),"장기미납",
IF(AND(V235="정상",OFFSET(Y235,0,COUNTA(Y235:AV235)-1)&gt;=U235),"정상",
IF(AND(V235="정상",OFFSET(Y235,0,COUNTA(Y235:AV235)-1)=0),"정상",
"계약서 미작성")))))</f>
        <v>#VALUE!</v>
      </c>
      <c r="X235" s="81" t="str">
        <f aca="true">
IF(D235="폐업","폐업",
IF(AND(V235="정상",OFFSET(Y235,0,COUNTA(Y235:AV235)-1)="미납"),"미납",
IF(AND(V235="정상",OFFSET(Y235,0,COUNTA(Y235:AV235)-1)=0),"납부 시작 전",
IF(AND(V235="정상",OFFSET(Y235,0,COUNTA(Y235:AV235)-1)&gt;=U235),"정상",
IF(AND(V235="면제",OFFSET(Y235,0,COUNTA(Y235:AV235)-1)="면제"),"면제",
IF(AND(V235="면제",OFFSET(Y235,0,COUNTA(Y235:AV235)-1)=0),"면제",
"확인요청"))))))</f>
        <v>정상</v>
      </c>
      <c r="Y235" s="93" t="n">
        <v>110000</v>
      </c>
      <c r="Z235" s="90" t="n">
        <v>110000</v>
      </c>
      <c r="AA235" s="90" t="n">
        <v>110000</v>
      </c>
      <c r="AB235" s="90" t="n">
        <v>110000</v>
      </c>
      <c r="AC235" s="90" t="n">
        <v>110000</v>
      </c>
      <c r="AD235" s="90" t="n">
        <v>110000</v>
      </c>
      <c r="AE235" s="90" t="n">
        <v>110000</v>
      </c>
      <c r="AF235" s="90" t="n">
        <v>110000</v>
      </c>
      <c r="AG235" s="90" t="n">
        <v>110000</v>
      </c>
      <c r="AH235" s="90" t="n">
        <v>110000</v>
      </c>
      <c r="AI235" s="90" t="n">
        <v>110000</v>
      </c>
      <c r="AJ235" s="91" t="n">
        <v>110000</v>
      </c>
      <c r="AK235" s="89" t="n">
        <v>110000</v>
      </c>
      <c r="AL235" s="90" t="n">
        <v>110000</v>
      </c>
      <c r="AM235" s="90"/>
      <c r="AN235" s="90"/>
      <c r="AO235" s="90"/>
      <c r="AP235" s="90"/>
      <c r="AQ235" s="90"/>
      <c r="AR235" s="90"/>
      <c r="AS235" s="90"/>
      <c r="AT235" s="90"/>
      <c r="AU235" s="90"/>
      <c r="AV235" s="91"/>
      <c r="AX235" s="92"/>
    </row>
    <row r="236" customFormat="false" ht="15.65" hidden="false" customHeight="false" outlineLevel="0" collapsed="false">
      <c r="C236" s="72" t="n">
        <f aca="false">COUNTIFS($D$6:D236,"&lt;&gt;"&amp;"")</f>
        <v>231</v>
      </c>
      <c r="D236" s="73" t="s">
        <v>12</v>
      </c>
      <c r="E236" s="76" t="str">
        <f aca="false">
IF($D236="정상",INDEX(임대자산!$D$3:$R$3000,MATCH($F236,임대자산!$I$3:$I$3000,0),MATCH(E$3,임대자산!$D$3:$R$3,0)),
IF($D236="폐업",INDEX(폐업정보!$D$3:$R$3000,MATCH($F236,폐업정보!$I$3:$I$3000,0),MATCH(E$3,폐업정보!$D$3:$R$3,0)),
"Error"))</f>
        <v>강원</v>
      </c>
      <c r="F23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B0231</v>
      </c>
      <c r="G236" s="76" t="str">
        <f aca="false">F236&amp;RANDBETWEEN(0,10)</f>
        <v>B02315</v>
      </c>
      <c r="H236" s="75" t="n">
        <f aca="false">
IF($D236="정상",INDEX(임대자산!$D$3:$R$3000,MATCH($F236,임대자산!$I$3:$I$3000,0),MATCH(H$4,임대자산!$D$3:$R$3,0)),
IF($D236="폐업",INDEX(폐업정보!$D$3:$R$3000,MATCH($F236,폐업정보!$I$3:$I$3000,0),MATCH(H$4,폐업정보!$D$3:$R$3,0)),
"Error"))</f>
        <v>44993</v>
      </c>
      <c r="I236" s="75" t="str">
        <f aca="false">
IF($D236="정상",INDEX(임대자산!$D$3:$R$3000,MATCH($F236,임대자산!$I$3:$I$3000,0),MATCH(I$4,임대자산!$D$3:$R$3,0)),
IF($D236="폐업",INDEX(폐업정보!$D$3:$R$3000,MATCH($F236,폐업정보!$I$3:$I$3000,0),MATCH(I$4,폐업정보!$D$3:$R$3,0)),
"Error"))</f>
        <v>A0231</v>
      </c>
      <c r="J236" s="75" t="str">
        <f aca="false">
IF($D236="정상",INDEX(임대자산!$D$3:$R$3000,MATCH($F236,임대자산!$I$3:$I$3000,0),MATCH(J$4,임대자산!$D$3:$R$3,0)),
IF($D236="폐업",INDEX(폐업정보!$D$3:$R$3000,MATCH($F236,폐업정보!$I$3:$I$3000,0),MATCH(J$4,폐업정보!$D$3:$R$3,0)),
"Error"))</f>
        <v>7453300000</v>
      </c>
      <c r="K236" s="75" t="str">
        <f aca="false">
IF($D236="정상",INDEX(임대자산!$D$3:$R$3000,MATCH($F236,임대자산!$I$3:$I$3000,0),MATCH(K$4,임대자산!$D$3:$R$3,0)),
IF($D236="폐업",INDEX(폐업정보!$D$3:$R$3000,MATCH($F236,폐업정보!$I$3:$I$3000,0),MATCH(K$4,폐업정보!$D$3:$R$3,0)),
"Error"))</f>
        <v>C0231</v>
      </c>
      <c r="L236" s="75" t="str">
        <f aca="false">
IF($D236="정상",INDEX(임대자산!$D$3:$R$3000,MATCH($F236,임대자산!$I$3:$I$3000,0),MATCH(L$4,임대자산!$D$3:$R$3,0)),
IF($D236="폐업",INDEX(폐업정보!$D$3:$R$3000,MATCH($F236,폐업정보!$I$3:$I$3000,0),MATCH(L$4,폐업정보!$D$3:$R$3,0)),
"Error"))</f>
        <v>D0231</v>
      </c>
      <c r="M236" s="76" t="s">
        <v>96</v>
      </c>
      <c r="N236" s="77"/>
      <c r="O236" s="78" t="s">
        <v>97</v>
      </c>
      <c r="P236" s="79" t="n">
        <f aca="false">COUNTIFS(임대자산!$I:$I,가맹점정보!F236,임대자산!$N:$N,가맹점정보!P$4)</f>
        <v>0</v>
      </c>
      <c r="Q236" s="80" t="n">
        <f aca="false">COUNTIFS(임대자산!$I:$I,가맹점정보!F236,임대자산!$N:$N,가맹점정보!Q$4)</f>
        <v>0</v>
      </c>
      <c r="R236" s="81" t="n">
        <f aca="false">COUNTIFS(임대자산!$I:$I,가맹점정보!F236,임대자산!$N:$N,가맹점정보!R$4)</f>
        <v>1</v>
      </c>
      <c r="S236" s="82" t="n">
        <v>55000</v>
      </c>
      <c r="T236" s="83" t="n">
        <v>0</v>
      </c>
      <c r="U236" s="80" t="n">
        <f aca="false">SUM(S236:T236)</f>
        <v>55000</v>
      </c>
      <c r="V236" s="84" t="s">
        <v>12</v>
      </c>
      <c r="W236" s="80" t="e">
        <f aca="true">
IF(D236="폐업","폐업",
IF(V236="면제","면제",
IF(AND(V236="정상",COUNTIFS(OFFSET(Y236,0,COUNTA(Y236:AV236)-1,1,-4),"미납")&gt;=3),"장기미납",
IF(AND(V236="정상",OFFSET(Y236,0,COUNTA(Y236:AV236)-1)&gt;=U236),"정상",
IF(AND(V236="정상",OFFSET(Y236,0,COUNTA(Y236:AV236)-1)=0),"정상",
"계약서 미작성")))))</f>
        <v>#VALUE!</v>
      </c>
      <c r="X236" s="81" t="str">
        <f aca="true">
IF(D236="폐업","폐업",
IF(AND(V236="정상",OFFSET(Y236,0,COUNTA(Y236:AV236)-1)="미납"),"미납",
IF(AND(V236="정상",OFFSET(Y236,0,COUNTA(Y236:AV236)-1)=0),"납부 시작 전",
IF(AND(V236="정상",OFFSET(Y236,0,COUNTA(Y236:AV236)-1)&gt;=U236),"정상",
IF(AND(V236="면제",OFFSET(Y236,0,COUNTA(Y236:AV236)-1)="면제"),"면제",
IF(AND(V236="면제",OFFSET(Y236,0,COUNTA(Y236:AV236)-1)=0),"면제",
"확인요청"))))))</f>
        <v>정상</v>
      </c>
      <c r="Y236" s="93" t="n">
        <v>55000</v>
      </c>
      <c r="Z236" s="90" t="n">
        <v>55000</v>
      </c>
      <c r="AA236" s="90" t="n">
        <v>55000</v>
      </c>
      <c r="AB236" s="90" t="n">
        <v>55000</v>
      </c>
      <c r="AC236" s="90" t="n">
        <v>55000</v>
      </c>
      <c r="AD236" s="90" t="n">
        <v>55000</v>
      </c>
      <c r="AE236" s="90" t="n">
        <v>55000</v>
      </c>
      <c r="AF236" s="90" t="n">
        <v>55000</v>
      </c>
      <c r="AG236" s="90" t="n">
        <v>55000</v>
      </c>
      <c r="AH236" s="90" t="n">
        <v>55000</v>
      </c>
      <c r="AI236" s="90" t="n">
        <v>55000</v>
      </c>
      <c r="AJ236" s="91" t="n">
        <v>55000</v>
      </c>
      <c r="AK236" s="89" t="n">
        <v>55000</v>
      </c>
      <c r="AL236" s="90" t="n">
        <v>55000</v>
      </c>
      <c r="AM236" s="90"/>
      <c r="AN236" s="90"/>
      <c r="AO236" s="90"/>
      <c r="AP236" s="90"/>
      <c r="AQ236" s="90"/>
      <c r="AR236" s="90"/>
      <c r="AS236" s="90"/>
      <c r="AT236" s="90"/>
      <c r="AU236" s="90"/>
      <c r="AV236" s="91"/>
      <c r="AX236" s="92"/>
    </row>
    <row r="237" customFormat="false" ht="15.65" hidden="false" customHeight="false" outlineLevel="0" collapsed="false">
      <c r="C237" s="72" t="n">
        <f aca="false">COUNTIFS($D$6:D237,"&lt;&gt;"&amp;"")</f>
        <v>232</v>
      </c>
      <c r="D237" s="73" t="s">
        <v>12</v>
      </c>
      <c r="E237" s="76" t="str">
        <f aca="false">
IF($D237="정상",INDEX(임대자산!$D$3:$R$3000,MATCH($F237,임대자산!$I$3:$I$3000,0),MATCH(E$3,임대자산!$D$3:$R$3,0)),
IF($D237="폐업",INDEX(폐업정보!$D$3:$R$3000,MATCH($F237,폐업정보!$I$3:$I$3000,0),MATCH(E$3,폐업정보!$D$3:$R$3,0)),
"Error"))</f>
        <v>강원</v>
      </c>
      <c r="F23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B0232</v>
      </c>
      <c r="G237" s="76" t="str">
        <f aca="false">F237&amp;RANDBETWEEN(0,10)</f>
        <v>B02320</v>
      </c>
      <c r="H237" s="75" t="n">
        <f aca="false">
IF($D237="정상",INDEX(임대자산!$D$3:$R$3000,MATCH($F237,임대자산!$I$3:$I$3000,0),MATCH(H$4,임대자산!$D$3:$R$3,0)),
IF($D237="폐업",INDEX(폐업정보!$D$3:$R$3000,MATCH($F237,폐업정보!$I$3:$I$3000,0),MATCH(H$4,폐업정보!$D$3:$R$3,0)),
"Error"))</f>
        <v>45442</v>
      </c>
      <c r="I237" s="75" t="str">
        <f aca="false">
IF($D237="정상",INDEX(임대자산!$D$3:$R$3000,MATCH($F237,임대자산!$I$3:$I$3000,0),MATCH(I$4,임대자산!$D$3:$R$3,0)),
IF($D237="폐업",INDEX(폐업정보!$D$3:$R$3000,MATCH($F237,폐업정보!$I$3:$I$3000,0),MATCH(I$4,폐업정보!$D$3:$R$3,0)),
"Error"))</f>
        <v>A0232</v>
      </c>
      <c r="J237" s="75" t="str">
        <f aca="false">
IF($D237="정상",INDEX(임대자산!$D$3:$R$3000,MATCH($F237,임대자산!$I$3:$I$3000,0),MATCH(J$4,임대자산!$D$3:$R$3,0)),
IF($D237="폐업",INDEX(폐업정보!$D$3:$R$3000,MATCH($F237,폐업정보!$I$3:$I$3000,0),MATCH(J$4,폐업정보!$D$3:$R$3,0)),
"Error"))</f>
        <v>7867500000</v>
      </c>
      <c r="K237" s="75" t="str">
        <f aca="false">
IF($D237="정상",INDEX(임대자산!$D$3:$R$3000,MATCH($F237,임대자산!$I$3:$I$3000,0),MATCH(K$4,임대자산!$D$3:$R$3,0)),
IF($D237="폐업",INDEX(폐업정보!$D$3:$R$3000,MATCH($F237,폐업정보!$I$3:$I$3000,0),MATCH(K$4,폐업정보!$D$3:$R$3,0)),
"Error"))</f>
        <v>C0232</v>
      </c>
      <c r="L237" s="75" t="str">
        <f aca="false">
IF($D237="정상",INDEX(임대자산!$D$3:$R$3000,MATCH($F237,임대자산!$I$3:$I$3000,0),MATCH(L$4,임대자산!$D$3:$R$3,0)),
IF($D237="폐업",INDEX(폐업정보!$D$3:$R$3000,MATCH($F237,폐업정보!$I$3:$I$3000,0),MATCH(L$4,폐업정보!$D$3:$R$3,0)),
"Error"))</f>
        <v>D0232</v>
      </c>
      <c r="M237" s="76" t="s">
        <v>96</v>
      </c>
      <c r="N237" s="77"/>
      <c r="O237" s="78" t="s">
        <v>97</v>
      </c>
      <c r="P237" s="79" t="n">
        <f aca="false">COUNTIFS(임대자산!$I:$I,가맹점정보!F237,임대자산!$N:$N,가맹점정보!P$4)</f>
        <v>0</v>
      </c>
      <c r="Q237" s="80" t="n">
        <f aca="false">COUNTIFS(임대자산!$I:$I,가맹점정보!F237,임대자산!$N:$N,가맹점정보!Q$4)</f>
        <v>0</v>
      </c>
      <c r="R237" s="81" t="n">
        <f aca="false">COUNTIFS(임대자산!$I:$I,가맹점정보!F237,임대자산!$N:$N,가맹점정보!R$4)</f>
        <v>1</v>
      </c>
      <c r="S237" s="82" t="n">
        <v>55000</v>
      </c>
      <c r="T237" s="83" t="n">
        <v>0</v>
      </c>
      <c r="U237" s="80" t="n">
        <f aca="false">SUM(S237:T237)</f>
        <v>55000</v>
      </c>
      <c r="V237" s="84" t="s">
        <v>12</v>
      </c>
      <c r="W237" s="80" t="e">
        <f aca="true">
IF(D237="폐업","폐업",
IF(V237="면제","면제",
IF(AND(V237="정상",COUNTIFS(OFFSET(Y237,0,COUNTA(Y237:AV237)-1,1,-4),"미납")&gt;=3),"장기미납",
IF(AND(V237="정상",OFFSET(Y237,0,COUNTA(Y237:AV237)-1)&gt;=U237),"정상",
IF(AND(V237="정상",OFFSET(Y237,0,COUNTA(Y237:AV237)-1)=0),"정상",
"계약서 미작성")))))</f>
        <v>#VALUE!</v>
      </c>
      <c r="X237" s="81" t="str">
        <f aca="true">
IF(D237="폐업","폐업",
IF(AND(V237="정상",OFFSET(Y237,0,COUNTA(Y237:AV237)-1)="미납"),"미납",
IF(AND(V237="정상",OFFSET(Y237,0,COUNTA(Y237:AV237)-1)=0),"납부 시작 전",
IF(AND(V237="정상",OFFSET(Y237,0,COUNTA(Y237:AV237)-1)&gt;=U237),"정상",
IF(AND(V237="면제",OFFSET(Y237,0,COUNTA(Y237:AV237)-1)="면제"),"면제",
IF(AND(V237="면제",OFFSET(Y237,0,COUNTA(Y237:AV237)-1)=0),"면제",
"확인요청"))))))</f>
        <v>정상</v>
      </c>
      <c r="Y237" s="93" t="n">
        <v>110000</v>
      </c>
      <c r="Z237" s="90" t="n">
        <v>110000</v>
      </c>
      <c r="AA237" s="90" t="n">
        <v>110000</v>
      </c>
      <c r="AB237" s="90" t="n">
        <v>110000</v>
      </c>
      <c r="AC237" s="90" t="n">
        <v>110000</v>
      </c>
      <c r="AD237" s="90" t="n">
        <v>110000</v>
      </c>
      <c r="AE237" s="90" t="n">
        <v>110000</v>
      </c>
      <c r="AF237" s="90" t="n">
        <v>110000</v>
      </c>
      <c r="AG237" s="90" t="n">
        <v>55000</v>
      </c>
      <c r="AH237" s="90" t="n">
        <v>55000</v>
      </c>
      <c r="AI237" s="90" t="n">
        <v>55000</v>
      </c>
      <c r="AJ237" s="91" t="n">
        <v>55000</v>
      </c>
      <c r="AK237" s="89" t="n">
        <v>55000</v>
      </c>
      <c r="AL237" s="90" t="n">
        <v>55000</v>
      </c>
      <c r="AM237" s="90"/>
      <c r="AN237" s="90"/>
      <c r="AO237" s="90"/>
      <c r="AP237" s="90"/>
      <c r="AQ237" s="90"/>
      <c r="AR237" s="90"/>
      <c r="AS237" s="90"/>
      <c r="AT237" s="90"/>
      <c r="AU237" s="90"/>
      <c r="AV237" s="91"/>
      <c r="AX237" s="92"/>
    </row>
    <row r="238" customFormat="false" ht="15.65" hidden="false" customHeight="false" outlineLevel="0" collapsed="false">
      <c r="C238" s="72" t="n">
        <f aca="false">COUNTIFS($D$6:D238,"&lt;&gt;"&amp;"")</f>
        <v>233</v>
      </c>
      <c r="D238" s="73" t="s">
        <v>5</v>
      </c>
      <c r="E238" s="76" t="str">
        <f aca="false">
IF($D238="정상",INDEX(임대자산!$D$3:$R$3000,MATCH($F238,임대자산!$I$3:$I$3000,0),MATCH(E$3,임대자산!$D$3:$R$3,0)),
IF($D238="폐업",INDEX(폐업정보!$D$3:$R$3000,MATCH($F238,폐업정보!$I$3:$I$3000,0),MATCH(E$3,폐업정보!$D$3:$R$3,0)),
"Error"))</f>
        <v>강원</v>
      </c>
      <c r="F23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B0233</v>
      </c>
      <c r="G238" s="76" t="str">
        <f aca="false">F238&amp;RANDBETWEEN(0,10)</f>
        <v>B02334</v>
      </c>
      <c r="H238" s="75" t="n">
        <f aca="false">
IF($D238="정상",INDEX(임대자산!$D$3:$R$3000,MATCH($F238,임대자산!$I$3:$I$3000,0),MATCH(H$4,임대자산!$D$3:$R$3,0)),
IF($D238="폐업",INDEX(폐업정보!$D$3:$R$3000,MATCH($F238,폐업정보!$I$3:$I$3000,0),MATCH(H$4,폐업정보!$D$3:$R$3,0)),
"Error"))</f>
        <v>45442</v>
      </c>
      <c r="I238" s="75" t="str">
        <f aca="false">
IF($D238="정상",INDEX(임대자산!$D$3:$R$3000,MATCH($F238,임대자산!$I$3:$I$3000,0),MATCH(I$4,임대자산!$D$3:$R$3,0)),
IF($D238="폐업",INDEX(폐업정보!$D$3:$R$3000,MATCH($F238,폐업정보!$I$3:$I$3000,0),MATCH(I$4,폐업정보!$D$3:$R$3,0)),
"Error"))</f>
        <v>A0233</v>
      </c>
      <c r="J238" s="75" t="str">
        <f aca="false">
IF($D238="정상",INDEX(임대자산!$D$3:$R$3000,MATCH($F238,임대자산!$I$3:$I$3000,0),MATCH(J$4,임대자산!$D$3:$R$3,0)),
IF($D238="폐업",INDEX(폐업정보!$D$3:$R$3000,MATCH($F238,폐업정보!$I$3:$I$3000,0),MATCH(J$4,폐업정보!$D$3:$R$3,0)),
"Error"))</f>
        <v>9772600000</v>
      </c>
      <c r="K238" s="75" t="str">
        <f aca="false">
IF($D238="정상",INDEX(임대자산!$D$3:$R$3000,MATCH($F238,임대자산!$I$3:$I$3000,0),MATCH(K$4,임대자산!$D$3:$R$3,0)),
IF($D238="폐업",INDEX(폐업정보!$D$3:$R$3000,MATCH($F238,폐업정보!$I$3:$I$3000,0),MATCH(K$4,폐업정보!$D$3:$R$3,0)),
"Error"))</f>
        <v>C0233</v>
      </c>
      <c r="L238" s="75" t="str">
        <f aca="false">
IF($D238="정상",INDEX(임대자산!$D$3:$R$3000,MATCH($F238,임대자산!$I$3:$I$3000,0),MATCH(L$4,임대자산!$D$3:$R$3,0)),
IF($D238="폐업",INDEX(폐업정보!$D$3:$R$3000,MATCH($F238,폐업정보!$I$3:$I$3000,0),MATCH(L$4,폐업정보!$D$3:$R$3,0)),
"Error"))</f>
        <v>D0233</v>
      </c>
      <c r="M238" s="76" t="s">
        <v>96</v>
      </c>
      <c r="N238" s="77"/>
      <c r="O238" s="78" t="s">
        <v>97</v>
      </c>
      <c r="P238" s="79" t="n">
        <f aca="false">COUNTIFS(임대자산!$I:$I,가맹점정보!F238,임대자산!$N:$N,가맹점정보!P$4)</f>
        <v>0</v>
      </c>
      <c r="Q238" s="80" t="n">
        <f aca="false">COUNTIFS(임대자산!$I:$I,가맹점정보!F238,임대자산!$N:$N,가맹점정보!Q$4)</f>
        <v>0</v>
      </c>
      <c r="R238" s="81" t="n">
        <f aca="false">COUNTIFS(임대자산!$I:$I,가맹점정보!F238,임대자산!$N:$N,가맹점정보!R$4)</f>
        <v>0</v>
      </c>
      <c r="S238" s="82" t="n">
        <v>55000</v>
      </c>
      <c r="T238" s="83" t="n">
        <v>0</v>
      </c>
      <c r="U238" s="80" t="n">
        <f aca="false">SUM(S238:T238)</f>
        <v>55000</v>
      </c>
      <c r="V238" s="84" t="s">
        <v>7</v>
      </c>
      <c r="W238" s="80" t="str">
        <f aca="true">
IF(D238="폐업","폐업",
IF(V238="면제","면제",
IF(AND(V238="정상",COUNTIFS(OFFSET(Y238,0,COUNTA(Y238:AV238)-1,1,-4),"미납")&gt;=3),"장기미납",
IF(AND(V238="정상",OFFSET(Y238,0,COUNTA(Y238:AV238)-1)&gt;=U238),"정상",
IF(AND(V238="정상",OFFSET(Y238,0,COUNTA(Y238:AV238)-1)=0),"정상",
"계약서 미작성")))))</f>
        <v>폐업</v>
      </c>
      <c r="X238" s="81" t="str">
        <f aca="true">
IF(D238="폐업","폐업",
IF(AND(V238="정상",OFFSET(Y238,0,COUNTA(Y238:AV238)-1)="미납"),"미납",
IF(AND(V238="정상",OFFSET(Y238,0,COUNTA(Y238:AV238)-1)=0),"납부 시작 전",
IF(AND(V238="정상",OFFSET(Y238,0,COUNTA(Y238:AV238)-1)&gt;=U238),"정상",
IF(AND(V238="면제",OFFSET(Y238,0,COUNTA(Y238:AV238)-1)="면제"),"면제",
IF(AND(V238="면제",OFFSET(Y238,0,COUNTA(Y238:AV238)-1)=0),"면제",
"확인요청"))))))</f>
        <v>폐업</v>
      </c>
      <c r="Y238" s="94" t="s">
        <v>62</v>
      </c>
      <c r="Z238" s="95" t="s">
        <v>7</v>
      </c>
      <c r="AA238" s="95" t="s">
        <v>7</v>
      </c>
      <c r="AB238" s="95" t="s">
        <v>7</v>
      </c>
      <c r="AC238" s="95" t="s">
        <v>7</v>
      </c>
      <c r="AD238" s="95" t="s">
        <v>7</v>
      </c>
      <c r="AE238" s="95" t="s">
        <v>7</v>
      </c>
      <c r="AF238" s="95" t="s">
        <v>7</v>
      </c>
      <c r="AG238" s="95" t="s">
        <v>7</v>
      </c>
      <c r="AH238" s="95" t="s">
        <v>7</v>
      </c>
      <c r="AI238" s="95" t="s">
        <v>7</v>
      </c>
      <c r="AJ238" s="96" t="s">
        <v>7</v>
      </c>
      <c r="AK238" s="97" t="s">
        <v>7</v>
      </c>
      <c r="AL238" s="95" t="s">
        <v>7</v>
      </c>
      <c r="AM238" s="90"/>
      <c r="AN238" s="90"/>
      <c r="AO238" s="90"/>
      <c r="AP238" s="90"/>
      <c r="AQ238" s="90"/>
      <c r="AR238" s="90"/>
      <c r="AS238" s="90"/>
      <c r="AT238" s="90"/>
      <c r="AU238" s="90"/>
      <c r="AV238" s="91"/>
      <c r="AX238" s="92"/>
    </row>
    <row r="239" customFormat="false" ht="15.65" hidden="false" customHeight="false" outlineLevel="0" collapsed="false">
      <c r="C239" s="72" t="n">
        <f aca="false">COUNTIFS($D$6:D239,"&lt;&gt;"&amp;"")</f>
        <v>234</v>
      </c>
      <c r="D239" s="73" t="s">
        <v>12</v>
      </c>
      <c r="E239" s="76" t="str">
        <f aca="false">
IF($D239="정상",INDEX(임대자산!$D$3:$R$3000,MATCH($F239,임대자산!$I$3:$I$3000,0),MATCH(E$3,임대자산!$D$3:$R$3,0)),
IF($D239="폐업",INDEX(폐업정보!$D$3:$R$3000,MATCH($F239,폐업정보!$I$3:$I$3000,0),MATCH(E$3,폐업정보!$D$3:$R$3,0)),
"Error"))</f>
        <v>경기</v>
      </c>
      <c r="F23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B0234</v>
      </c>
      <c r="G239" s="76" t="str">
        <f aca="false">F239&amp;RANDBETWEEN(0,10)</f>
        <v>B02349</v>
      </c>
      <c r="H239" s="75" t="n">
        <f aca="false">
IF($D239="정상",INDEX(임대자산!$D$3:$R$3000,MATCH($F239,임대자산!$I$3:$I$3000,0),MATCH(H$4,임대자산!$D$3:$R$3,0)),
IF($D239="폐업",INDEX(폐업정보!$D$3:$R$3000,MATCH($F239,폐업정보!$I$3:$I$3000,0),MATCH(H$4,폐업정보!$D$3:$R$3,0)),
"Error"))</f>
        <v>44993</v>
      </c>
      <c r="I239" s="75" t="str">
        <f aca="false">
IF($D239="정상",INDEX(임대자산!$D$3:$R$3000,MATCH($F239,임대자산!$I$3:$I$3000,0),MATCH(I$4,임대자산!$D$3:$R$3,0)),
IF($D239="폐업",INDEX(폐업정보!$D$3:$R$3000,MATCH($F239,폐업정보!$I$3:$I$3000,0),MATCH(I$4,폐업정보!$D$3:$R$3,0)),
"Error"))</f>
        <v>A0234</v>
      </c>
      <c r="J239" s="75" t="str">
        <f aca="false">
IF($D239="정상",INDEX(임대자산!$D$3:$R$3000,MATCH($F239,임대자산!$I$3:$I$3000,0),MATCH(J$4,임대자산!$D$3:$R$3,0)),
IF($D239="폐업",INDEX(폐업정보!$D$3:$R$3000,MATCH($F239,폐업정보!$I$3:$I$3000,0),MATCH(J$4,폐업정보!$D$3:$R$3,0)),
"Error"))</f>
        <v>4730800000</v>
      </c>
      <c r="K239" s="75" t="str">
        <f aca="false">
IF($D239="정상",INDEX(임대자산!$D$3:$R$3000,MATCH($F239,임대자산!$I$3:$I$3000,0),MATCH(K$4,임대자산!$D$3:$R$3,0)),
IF($D239="폐업",INDEX(폐업정보!$D$3:$R$3000,MATCH($F239,폐업정보!$I$3:$I$3000,0),MATCH(K$4,폐업정보!$D$3:$R$3,0)),
"Error"))</f>
        <v>C0234</v>
      </c>
      <c r="L239" s="75" t="str">
        <f aca="false">
IF($D239="정상",INDEX(임대자산!$D$3:$R$3000,MATCH($F239,임대자산!$I$3:$I$3000,0),MATCH(L$4,임대자산!$D$3:$R$3,0)),
IF($D239="폐업",INDEX(폐업정보!$D$3:$R$3000,MATCH($F239,폐업정보!$I$3:$I$3000,0),MATCH(L$4,폐업정보!$D$3:$R$3,0)),
"Error"))</f>
        <v>D0234</v>
      </c>
      <c r="M239" s="76" t="s">
        <v>96</v>
      </c>
      <c r="N239" s="77"/>
      <c r="O239" s="78" t="s">
        <v>97</v>
      </c>
      <c r="P239" s="79" t="n">
        <f aca="false">COUNTIFS(임대자산!$I:$I,가맹점정보!F239,임대자산!$N:$N,가맹점정보!P$4)</f>
        <v>0</v>
      </c>
      <c r="Q239" s="80" t="n">
        <f aca="false">COUNTIFS(임대자산!$I:$I,가맹점정보!F239,임대자산!$N:$N,가맹점정보!Q$4)</f>
        <v>0</v>
      </c>
      <c r="R239" s="81" t="n">
        <f aca="false">COUNTIFS(임대자산!$I:$I,가맹점정보!F239,임대자산!$N:$N,가맹점정보!R$4)</f>
        <v>1</v>
      </c>
      <c r="S239" s="82" t="n">
        <v>110000</v>
      </c>
      <c r="T239" s="83" t="n">
        <v>0</v>
      </c>
      <c r="U239" s="80" t="n">
        <f aca="false">SUM(S239:T239)</f>
        <v>110000</v>
      </c>
      <c r="V239" s="84" t="s">
        <v>12</v>
      </c>
      <c r="W239" s="80" t="e">
        <f aca="true">
IF(D239="폐업","폐업",
IF(V239="면제","면제",
IF(AND(V239="정상",COUNTIFS(OFFSET(Y239,0,COUNTA(Y239:AV239)-1,1,-4),"미납")&gt;=3),"장기미납",
IF(AND(V239="정상",OFFSET(Y239,0,COUNTA(Y239:AV239)-1)&gt;=U239),"정상",
IF(AND(V239="정상",OFFSET(Y239,0,COUNTA(Y239:AV239)-1)=0),"정상",
"계약서 미작성")))))</f>
        <v>#VALUE!</v>
      </c>
      <c r="X239" s="81" t="str">
        <f aca="true">
IF(D239="폐업","폐업",
IF(AND(V239="정상",OFFSET(Y239,0,COUNTA(Y239:AV239)-1)="미납"),"미납",
IF(AND(V239="정상",OFFSET(Y239,0,COUNTA(Y239:AV239)-1)=0),"납부 시작 전",
IF(AND(V239="정상",OFFSET(Y239,0,COUNTA(Y239:AV239)-1)&gt;=U239),"정상",
IF(AND(V239="면제",OFFSET(Y239,0,COUNTA(Y239:AV239)-1)="면제"),"면제",
IF(AND(V239="면제",OFFSET(Y239,0,COUNTA(Y239:AV239)-1)=0),"면제",
"확인요청"))))))</f>
        <v>정상</v>
      </c>
      <c r="Y239" s="93" t="n">
        <v>110000</v>
      </c>
      <c r="Z239" s="90" t="n">
        <v>110000</v>
      </c>
      <c r="AA239" s="90" t="n">
        <v>110000</v>
      </c>
      <c r="AB239" s="90" t="n">
        <v>110000</v>
      </c>
      <c r="AC239" s="90" t="n">
        <v>110000</v>
      </c>
      <c r="AD239" s="90" t="n">
        <v>110000</v>
      </c>
      <c r="AE239" s="90" t="n">
        <v>110000</v>
      </c>
      <c r="AF239" s="90" t="n">
        <v>110000</v>
      </c>
      <c r="AG239" s="90" t="n">
        <v>110000</v>
      </c>
      <c r="AH239" s="90" t="n">
        <v>110000</v>
      </c>
      <c r="AI239" s="90" t="n">
        <v>110000</v>
      </c>
      <c r="AJ239" s="91" t="n">
        <v>110000</v>
      </c>
      <c r="AK239" s="89" t="n">
        <v>110000</v>
      </c>
      <c r="AL239" s="90" t="n">
        <v>110000</v>
      </c>
      <c r="AM239" s="90"/>
      <c r="AN239" s="90"/>
      <c r="AO239" s="90"/>
      <c r="AP239" s="90"/>
      <c r="AQ239" s="90"/>
      <c r="AR239" s="90"/>
      <c r="AS239" s="90"/>
      <c r="AT239" s="90"/>
      <c r="AU239" s="90"/>
      <c r="AV239" s="91"/>
      <c r="AX239" s="92"/>
    </row>
    <row r="240" customFormat="false" ht="15.65" hidden="false" customHeight="false" outlineLevel="0" collapsed="false">
      <c r="C240" s="72" t="n">
        <f aca="false">COUNTIFS($D$6:D240,"&lt;&gt;"&amp;"")</f>
        <v>235</v>
      </c>
      <c r="D240" s="73" t="s">
        <v>12</v>
      </c>
      <c r="E240" s="76" t="str">
        <f aca="false">
IF($D240="정상",INDEX(임대자산!$D$3:$R$3000,MATCH($F240,임대자산!$I$3:$I$3000,0),MATCH(E$3,임대자산!$D$3:$R$3,0)),
IF($D240="폐업",INDEX(폐업정보!$D$3:$R$3000,MATCH($F240,폐업정보!$I$3:$I$3000,0),MATCH(E$3,폐업정보!$D$3:$R$3,0)),
"Error"))</f>
        <v>강원</v>
      </c>
      <c r="F24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B0235</v>
      </c>
      <c r="G240" s="76" t="str">
        <f aca="false">F240&amp;RANDBETWEEN(0,10)</f>
        <v>B02357</v>
      </c>
      <c r="H240" s="75" t="n">
        <f aca="false">
IF($D240="정상",INDEX(임대자산!$D$3:$R$3000,MATCH($F240,임대자산!$I$3:$I$3000,0),MATCH(H$4,임대자산!$D$3:$R$3,0)),
IF($D240="폐업",INDEX(폐업정보!$D$3:$R$3000,MATCH($F240,폐업정보!$I$3:$I$3000,0),MATCH(H$4,폐업정보!$D$3:$R$3,0)),
"Error"))</f>
        <v>45008</v>
      </c>
      <c r="I240" s="75" t="str">
        <f aca="false">
IF($D240="정상",INDEX(임대자산!$D$3:$R$3000,MATCH($F240,임대자산!$I$3:$I$3000,0),MATCH(I$4,임대자산!$D$3:$R$3,0)),
IF($D240="폐업",INDEX(폐업정보!$D$3:$R$3000,MATCH($F240,폐업정보!$I$3:$I$3000,0),MATCH(I$4,폐업정보!$D$3:$R$3,0)),
"Error"))</f>
        <v>A0235</v>
      </c>
      <c r="J240" s="75" t="str">
        <f aca="false">
IF($D240="정상",INDEX(임대자산!$D$3:$R$3000,MATCH($F240,임대자산!$I$3:$I$3000,0),MATCH(J$4,임대자산!$D$3:$R$3,0)),
IF($D240="폐업",INDEX(폐업정보!$D$3:$R$3000,MATCH($F240,폐업정보!$I$3:$I$3000,0),MATCH(J$4,폐업정보!$D$3:$R$3,0)),
"Error"))</f>
        <v>8402800000</v>
      </c>
      <c r="K240" s="75" t="str">
        <f aca="false">
IF($D240="정상",INDEX(임대자산!$D$3:$R$3000,MATCH($F240,임대자산!$I$3:$I$3000,0),MATCH(K$4,임대자산!$D$3:$R$3,0)),
IF($D240="폐업",INDEX(폐업정보!$D$3:$R$3000,MATCH($F240,폐업정보!$I$3:$I$3000,0),MATCH(K$4,폐업정보!$D$3:$R$3,0)),
"Error"))</f>
        <v>C0235</v>
      </c>
      <c r="L240" s="75" t="str">
        <f aca="false">
IF($D240="정상",INDEX(임대자산!$D$3:$R$3000,MATCH($F240,임대자산!$I$3:$I$3000,0),MATCH(L$4,임대자산!$D$3:$R$3,0)),
IF($D240="폐업",INDEX(폐업정보!$D$3:$R$3000,MATCH($F240,폐업정보!$I$3:$I$3000,0),MATCH(L$4,폐업정보!$D$3:$R$3,0)),
"Error"))</f>
        <v>D0235</v>
      </c>
      <c r="M240" s="76" t="s">
        <v>96</v>
      </c>
      <c r="N240" s="77"/>
      <c r="O240" s="78" t="s">
        <v>97</v>
      </c>
      <c r="P240" s="79" t="n">
        <f aca="false">COUNTIFS(임대자산!$I:$I,가맹점정보!F240,임대자산!$N:$N,가맹점정보!P$4)</f>
        <v>0</v>
      </c>
      <c r="Q240" s="80" t="n">
        <f aca="false">COUNTIFS(임대자산!$I:$I,가맹점정보!F240,임대자산!$N:$N,가맹점정보!Q$4)</f>
        <v>0</v>
      </c>
      <c r="R240" s="81" t="n">
        <f aca="false">COUNTIFS(임대자산!$I:$I,가맹점정보!F240,임대자산!$N:$N,가맹점정보!R$4)</f>
        <v>1</v>
      </c>
      <c r="S240" s="82" t="n">
        <v>55000</v>
      </c>
      <c r="T240" s="83" t="n">
        <v>0</v>
      </c>
      <c r="U240" s="80" t="n">
        <f aca="false">SUM(S240:T240)</f>
        <v>55000</v>
      </c>
      <c r="V240" s="84" t="s">
        <v>12</v>
      </c>
      <c r="W240" s="80" t="e">
        <f aca="true">
IF(D240="폐업","폐업",
IF(V240="면제","면제",
IF(AND(V240="정상",COUNTIFS(OFFSET(Y240,0,COUNTA(Y240:AV240)-1,1,-4),"미납")&gt;=3),"장기미납",
IF(AND(V240="정상",OFFSET(Y240,0,COUNTA(Y240:AV240)-1)&gt;=U240),"정상",
IF(AND(V240="정상",OFFSET(Y240,0,COUNTA(Y240:AV240)-1)=0),"정상",
"계약서 미작성")))))</f>
        <v>#VALUE!</v>
      </c>
      <c r="X240" s="81" t="str">
        <f aca="true">
IF(D240="폐업","폐업",
IF(AND(V240="정상",OFFSET(Y240,0,COUNTA(Y240:AV240)-1)="미납"),"미납",
IF(AND(V240="정상",OFFSET(Y240,0,COUNTA(Y240:AV240)-1)=0),"납부 시작 전",
IF(AND(V240="정상",OFFSET(Y240,0,COUNTA(Y240:AV240)-1)&gt;=U240),"정상",
IF(AND(V240="면제",OFFSET(Y240,0,COUNTA(Y240:AV240)-1)="면제"),"면제",
IF(AND(V240="면제",OFFSET(Y240,0,COUNTA(Y240:AV240)-1)=0),"면제",
"확인요청"))))))</f>
        <v>정상</v>
      </c>
      <c r="Y240" s="93" t="n">
        <v>55000</v>
      </c>
      <c r="Z240" s="90" t="n">
        <v>55000</v>
      </c>
      <c r="AA240" s="90" t="n">
        <v>55000</v>
      </c>
      <c r="AB240" s="90" t="n">
        <v>55000</v>
      </c>
      <c r="AC240" s="90" t="n">
        <v>55000</v>
      </c>
      <c r="AD240" s="90" t="n">
        <v>55000</v>
      </c>
      <c r="AE240" s="90" t="n">
        <v>55000</v>
      </c>
      <c r="AF240" s="90" t="n">
        <v>55000</v>
      </c>
      <c r="AG240" s="90" t="s">
        <v>100</v>
      </c>
      <c r="AH240" s="90" t="n">
        <v>110000</v>
      </c>
      <c r="AI240" s="90" t="s">
        <v>101</v>
      </c>
      <c r="AJ240" s="96" t="s">
        <v>62</v>
      </c>
      <c r="AK240" s="89" t="n">
        <v>110000</v>
      </c>
      <c r="AL240" s="90" t="n">
        <v>55000</v>
      </c>
      <c r="AM240" s="90"/>
      <c r="AN240" s="90"/>
      <c r="AO240" s="90"/>
      <c r="AP240" s="90"/>
      <c r="AQ240" s="90"/>
      <c r="AR240" s="90"/>
      <c r="AS240" s="90"/>
      <c r="AT240" s="90"/>
      <c r="AU240" s="90"/>
      <c r="AV240" s="91"/>
      <c r="AX240" s="92"/>
    </row>
    <row r="241" customFormat="false" ht="15.65" hidden="false" customHeight="false" outlineLevel="0" collapsed="false">
      <c r="C241" s="72" t="n">
        <f aca="false">COUNTIFS($D$6:D241,"&lt;&gt;"&amp;"")</f>
        <v>236</v>
      </c>
      <c r="D241" s="73" t="s">
        <v>12</v>
      </c>
      <c r="E241" s="76" t="str">
        <f aca="false">
IF($D241="정상",INDEX(임대자산!$D$3:$R$3000,MATCH($F241,임대자산!$I$3:$I$3000,0),MATCH(E$3,임대자산!$D$3:$R$3,0)),
IF($D241="폐업",INDEX(폐업정보!$D$3:$R$3000,MATCH($F241,폐업정보!$I$3:$I$3000,0),MATCH(E$3,폐업정보!$D$3:$R$3,0)),
"Error"))</f>
        <v>서울</v>
      </c>
      <c r="F24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B0236</v>
      </c>
      <c r="G241" s="76" t="str">
        <f aca="false">F241&amp;RANDBETWEEN(0,10)</f>
        <v>B02362</v>
      </c>
      <c r="H241" s="75" t="n">
        <f aca="false">
IF($D241="정상",INDEX(임대자산!$D$3:$R$3000,MATCH($F241,임대자산!$I$3:$I$3000,0),MATCH(H$4,임대자산!$D$3:$R$3,0)),
IF($D241="폐업",INDEX(폐업정보!$D$3:$R$3000,MATCH($F241,폐업정보!$I$3:$I$3000,0),MATCH(H$4,폐업정보!$D$3:$R$3,0)),
"Error"))</f>
        <v>44998</v>
      </c>
      <c r="I241" s="75" t="str">
        <f aca="false">
IF($D241="정상",INDEX(임대자산!$D$3:$R$3000,MATCH($F241,임대자산!$I$3:$I$3000,0),MATCH(I$4,임대자산!$D$3:$R$3,0)),
IF($D241="폐업",INDEX(폐업정보!$D$3:$R$3000,MATCH($F241,폐업정보!$I$3:$I$3000,0),MATCH(I$4,폐업정보!$D$3:$R$3,0)),
"Error"))</f>
        <v>A0236</v>
      </c>
      <c r="J241" s="75" t="str">
        <f aca="false">
IF($D241="정상",INDEX(임대자산!$D$3:$R$3000,MATCH($F241,임대자산!$I$3:$I$3000,0),MATCH(J$4,임대자산!$D$3:$R$3,0)),
IF($D241="폐업",INDEX(폐업정보!$D$3:$R$3000,MATCH($F241,폐업정보!$I$3:$I$3000,0),MATCH(J$4,폐업정보!$D$3:$R$3,0)),
"Error"))</f>
        <v>7583700000</v>
      </c>
      <c r="K241" s="75" t="str">
        <f aca="false">
IF($D241="정상",INDEX(임대자산!$D$3:$R$3000,MATCH($F241,임대자산!$I$3:$I$3000,0),MATCH(K$4,임대자산!$D$3:$R$3,0)),
IF($D241="폐업",INDEX(폐업정보!$D$3:$R$3000,MATCH($F241,폐업정보!$I$3:$I$3000,0),MATCH(K$4,폐업정보!$D$3:$R$3,0)),
"Error"))</f>
        <v>C0236</v>
      </c>
      <c r="L241" s="75" t="str">
        <f aca="false">
IF($D241="정상",INDEX(임대자산!$D$3:$R$3000,MATCH($F241,임대자산!$I$3:$I$3000,0),MATCH(L$4,임대자산!$D$3:$R$3,0)),
IF($D241="폐업",INDEX(폐업정보!$D$3:$R$3000,MATCH($F241,폐업정보!$I$3:$I$3000,0),MATCH(L$4,폐업정보!$D$3:$R$3,0)),
"Error"))</f>
        <v>D0236</v>
      </c>
      <c r="M241" s="76" t="s">
        <v>96</v>
      </c>
      <c r="N241" s="77"/>
      <c r="O241" s="78" t="s">
        <v>97</v>
      </c>
      <c r="P241" s="79" t="n">
        <f aca="false">COUNTIFS(임대자산!$I:$I,가맹점정보!F241,임대자산!$N:$N,가맹점정보!P$4)</f>
        <v>0</v>
      </c>
      <c r="Q241" s="80" t="n">
        <f aca="false">COUNTIFS(임대자산!$I:$I,가맹점정보!F241,임대자산!$N:$N,가맹점정보!Q$4)</f>
        <v>0</v>
      </c>
      <c r="R241" s="81" t="n">
        <f aca="false">COUNTIFS(임대자산!$I:$I,가맹점정보!F241,임대자산!$N:$N,가맹점정보!R$4)</f>
        <v>1</v>
      </c>
      <c r="S241" s="82" t="n">
        <v>55000</v>
      </c>
      <c r="T241" s="83" t="n">
        <v>0</v>
      </c>
      <c r="U241" s="80" t="n">
        <f aca="false">SUM(S241:T241)</f>
        <v>55000</v>
      </c>
      <c r="V241" s="84" t="s">
        <v>12</v>
      </c>
      <c r="W241" s="80" t="e">
        <f aca="true">
IF(D241="폐업","폐업",
IF(V241="면제","면제",
IF(AND(V241="정상",COUNTIFS(OFFSET(Y241,0,COUNTA(Y241:AV241)-1,1,-4),"미납")&gt;=3),"장기미납",
IF(AND(V241="정상",OFFSET(Y241,0,COUNTA(Y241:AV241)-1)&gt;=U241),"정상",
IF(AND(V241="정상",OFFSET(Y241,0,COUNTA(Y241:AV241)-1)=0),"정상",
"계약서 미작성")))))</f>
        <v>#VALUE!</v>
      </c>
      <c r="X241" s="81" t="str">
        <f aca="true">
IF(D241="폐업","폐업",
IF(AND(V241="정상",OFFSET(Y241,0,COUNTA(Y241:AV241)-1)="미납"),"미납",
IF(AND(V241="정상",OFFSET(Y241,0,COUNTA(Y241:AV241)-1)=0),"납부 시작 전",
IF(AND(V241="정상",OFFSET(Y241,0,COUNTA(Y241:AV241)-1)&gt;=U241),"정상",
IF(AND(V241="면제",OFFSET(Y241,0,COUNTA(Y241:AV241)-1)="면제"),"면제",
IF(AND(V241="면제",OFFSET(Y241,0,COUNTA(Y241:AV241)-1)=0),"면제",
"확인요청"))))))</f>
        <v>정상</v>
      </c>
      <c r="Y241" s="93" t="n">
        <v>55000</v>
      </c>
      <c r="Z241" s="90" t="n">
        <v>55000</v>
      </c>
      <c r="AA241" s="90" t="n">
        <v>55000</v>
      </c>
      <c r="AB241" s="90" t="n">
        <v>55000</v>
      </c>
      <c r="AC241" s="90" t="n">
        <v>55000</v>
      </c>
      <c r="AD241" s="90" t="n">
        <v>55000</v>
      </c>
      <c r="AE241" s="90" t="n">
        <v>55000</v>
      </c>
      <c r="AF241" s="90" t="n">
        <v>55000</v>
      </c>
      <c r="AG241" s="90" t="n">
        <v>55000</v>
      </c>
      <c r="AH241" s="90" t="n">
        <v>55000</v>
      </c>
      <c r="AI241" s="90" t="n">
        <v>55000</v>
      </c>
      <c r="AJ241" s="91" t="n">
        <v>55000</v>
      </c>
      <c r="AK241" s="89" t="n">
        <v>55000</v>
      </c>
      <c r="AL241" s="90" t="n">
        <v>55000</v>
      </c>
      <c r="AM241" s="90"/>
      <c r="AN241" s="90"/>
      <c r="AO241" s="90"/>
      <c r="AP241" s="90"/>
      <c r="AQ241" s="90"/>
      <c r="AR241" s="90"/>
      <c r="AS241" s="90"/>
      <c r="AT241" s="90"/>
      <c r="AU241" s="90"/>
      <c r="AV241" s="91"/>
      <c r="AX241" s="92"/>
    </row>
    <row r="242" customFormat="false" ht="15.65" hidden="false" customHeight="false" outlineLevel="0" collapsed="false">
      <c r="C242" s="72" t="n">
        <f aca="false">COUNTIFS($D$6:D242,"&lt;&gt;"&amp;"")</f>
        <v>237</v>
      </c>
      <c r="D242" s="73" t="s">
        <v>5</v>
      </c>
      <c r="E242" s="76" t="str">
        <f aca="false">
IF($D242="정상",INDEX(임대자산!$D$3:$R$3000,MATCH($F242,임대자산!$I$3:$I$3000,0),MATCH(E$3,임대자산!$D$3:$R$3,0)),
IF($D242="폐업",INDEX(폐업정보!$D$3:$R$3000,MATCH($F242,폐업정보!$I$3:$I$3000,0),MATCH(E$3,폐업정보!$D$3:$R$3,0)),
"Error"))</f>
        <v>서울</v>
      </c>
      <c r="F24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B0237</v>
      </c>
      <c r="G242" s="76" t="str">
        <f aca="false">F242&amp;RANDBETWEEN(0,10)</f>
        <v>B02375</v>
      </c>
      <c r="H242" s="75" t="n">
        <f aca="false">
IF($D242="정상",INDEX(임대자산!$D$3:$R$3000,MATCH($F242,임대자산!$I$3:$I$3000,0),MATCH(H$4,임대자산!$D$3:$R$3,0)),
IF($D242="폐업",INDEX(폐업정보!$D$3:$R$3000,MATCH($F242,폐업정보!$I$3:$I$3000,0),MATCH(H$4,폐업정보!$D$3:$R$3,0)),
"Error"))</f>
        <v>44998</v>
      </c>
      <c r="I242" s="75" t="str">
        <f aca="false">
IF($D242="정상",INDEX(임대자산!$D$3:$R$3000,MATCH($F242,임대자산!$I$3:$I$3000,0),MATCH(I$4,임대자산!$D$3:$R$3,0)),
IF($D242="폐업",INDEX(폐업정보!$D$3:$R$3000,MATCH($F242,폐업정보!$I$3:$I$3000,0),MATCH(I$4,폐업정보!$D$3:$R$3,0)),
"Error"))</f>
        <v>A0237</v>
      </c>
      <c r="J242" s="75" t="str">
        <f aca="false">
IF($D242="정상",INDEX(임대자산!$D$3:$R$3000,MATCH($F242,임대자산!$I$3:$I$3000,0),MATCH(J$4,임대자산!$D$3:$R$3,0)),
IF($D242="폐업",INDEX(폐업정보!$D$3:$R$3000,MATCH($F242,폐업정보!$I$3:$I$3000,0),MATCH(J$4,폐업정보!$D$3:$R$3,0)),
"Error"))</f>
        <v>5590000000</v>
      </c>
      <c r="K242" s="75" t="str">
        <f aca="false">
IF($D242="정상",INDEX(임대자산!$D$3:$R$3000,MATCH($F242,임대자산!$I$3:$I$3000,0),MATCH(K$4,임대자산!$D$3:$R$3,0)),
IF($D242="폐업",INDEX(폐업정보!$D$3:$R$3000,MATCH($F242,폐업정보!$I$3:$I$3000,0),MATCH(K$4,폐업정보!$D$3:$R$3,0)),
"Error"))</f>
        <v>C0237</v>
      </c>
      <c r="L242" s="75" t="str">
        <f aca="false">
IF($D242="정상",INDEX(임대자산!$D$3:$R$3000,MATCH($F242,임대자산!$I$3:$I$3000,0),MATCH(L$4,임대자산!$D$3:$R$3,0)),
IF($D242="폐업",INDEX(폐업정보!$D$3:$R$3000,MATCH($F242,폐업정보!$I$3:$I$3000,0),MATCH(L$4,폐업정보!$D$3:$R$3,0)),
"Error"))</f>
        <v>D0237</v>
      </c>
      <c r="M242" s="76" t="s">
        <v>96</v>
      </c>
      <c r="N242" s="77"/>
      <c r="O242" s="78" t="s">
        <v>97</v>
      </c>
      <c r="P242" s="79" t="n">
        <f aca="false">COUNTIFS(임대자산!$I:$I,가맹점정보!F242,임대자산!$N:$N,가맹점정보!P$4)</f>
        <v>0</v>
      </c>
      <c r="Q242" s="80" t="n">
        <f aca="false">COUNTIFS(임대자산!$I:$I,가맹점정보!F242,임대자산!$N:$N,가맹점정보!Q$4)</f>
        <v>0</v>
      </c>
      <c r="R242" s="81" t="n">
        <f aca="false">COUNTIFS(임대자산!$I:$I,가맹점정보!F242,임대자산!$N:$N,가맹점정보!R$4)</f>
        <v>0</v>
      </c>
      <c r="S242" s="82" t="n">
        <v>110000</v>
      </c>
      <c r="T242" s="83" t="n">
        <v>0</v>
      </c>
      <c r="U242" s="80" t="n">
        <f aca="false">SUM(S242:T242)</f>
        <v>110000</v>
      </c>
      <c r="V242" s="84" t="s">
        <v>12</v>
      </c>
      <c r="W242" s="80" t="str">
        <f aca="true">
IF(D242="폐업","폐업",
IF(V242="면제","면제",
IF(AND(V242="정상",COUNTIFS(OFFSET(Y242,0,COUNTA(Y242:AV242)-1,1,-4),"미납")&gt;=3),"장기미납",
IF(AND(V242="정상",OFFSET(Y242,0,COUNTA(Y242:AV242)-1)&gt;=U242),"정상",
IF(AND(V242="정상",OFFSET(Y242,0,COUNTA(Y242:AV242)-1)=0),"정상",
"계약서 미작성")))))</f>
        <v>폐업</v>
      </c>
      <c r="X242" s="81" t="str">
        <f aca="true">
IF(D242="폐업","폐업",
IF(AND(V242="정상",OFFSET(Y242,0,COUNTA(Y242:AV242)-1)="미납"),"미납",
IF(AND(V242="정상",OFFSET(Y242,0,COUNTA(Y242:AV242)-1)=0),"납부 시작 전",
IF(AND(V242="정상",OFFSET(Y242,0,COUNTA(Y242:AV242)-1)&gt;=U242),"정상",
IF(AND(V242="면제",OFFSET(Y242,0,COUNTA(Y242:AV242)-1)="면제"),"면제",
IF(AND(V242="면제",OFFSET(Y242,0,COUNTA(Y242:AV242)-1)=0),"면제",
"확인요청"))))))</f>
        <v>폐업</v>
      </c>
      <c r="Y242" s="93" t="n">
        <v>110000</v>
      </c>
      <c r="Z242" s="90" t="n">
        <v>110000</v>
      </c>
      <c r="AA242" s="90" t="n">
        <v>110000</v>
      </c>
      <c r="AB242" s="90" t="n">
        <v>110000</v>
      </c>
      <c r="AC242" s="90" t="n">
        <v>110000</v>
      </c>
      <c r="AD242" s="90" t="n">
        <v>110000</v>
      </c>
      <c r="AE242" s="90" t="n">
        <v>110000</v>
      </c>
      <c r="AF242" s="90" t="n">
        <v>110000</v>
      </c>
      <c r="AG242" s="90" t="n">
        <v>110000</v>
      </c>
      <c r="AH242" s="90" t="n">
        <v>110000</v>
      </c>
      <c r="AI242" s="90" t="n">
        <v>110000</v>
      </c>
      <c r="AJ242" s="91" t="n">
        <v>110000</v>
      </c>
      <c r="AK242" s="89" t="n">
        <v>110000</v>
      </c>
      <c r="AL242" s="90" t="n">
        <v>110000</v>
      </c>
      <c r="AM242" s="90"/>
      <c r="AN242" s="90"/>
      <c r="AO242" s="90"/>
      <c r="AP242" s="90"/>
      <c r="AQ242" s="90"/>
      <c r="AR242" s="90"/>
      <c r="AS242" s="90"/>
      <c r="AT242" s="90"/>
      <c r="AU242" s="90"/>
      <c r="AV242" s="91"/>
      <c r="AX242" s="92"/>
    </row>
    <row r="243" customFormat="false" ht="15.65" hidden="false" customHeight="false" outlineLevel="0" collapsed="false">
      <c r="C243" s="72" t="n">
        <f aca="false">COUNTIFS($D$6:D243,"&lt;&gt;"&amp;"")</f>
        <v>238</v>
      </c>
      <c r="D243" s="73" t="s">
        <v>12</v>
      </c>
      <c r="E243" s="76" t="str">
        <f aca="false">
IF($D243="정상",INDEX(임대자산!$D$3:$R$3000,MATCH($F243,임대자산!$I$3:$I$3000,0),MATCH(E$3,임대자산!$D$3:$R$3,0)),
IF($D243="폐업",INDEX(폐업정보!$D$3:$R$3000,MATCH($F243,폐업정보!$I$3:$I$3000,0),MATCH(E$3,폐업정보!$D$3:$R$3,0)),
"Error"))</f>
        <v>서울</v>
      </c>
      <c r="F24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B0238</v>
      </c>
      <c r="G243" s="76" t="str">
        <f aca="false">F243&amp;RANDBETWEEN(0,10)</f>
        <v>B02386</v>
      </c>
      <c r="H243" s="75" t="n">
        <f aca="false">
IF($D243="정상",INDEX(임대자산!$D$3:$R$3000,MATCH($F243,임대자산!$I$3:$I$3000,0),MATCH(H$4,임대자산!$D$3:$R$3,0)),
IF($D243="폐업",INDEX(폐업정보!$D$3:$R$3000,MATCH($F243,폐업정보!$I$3:$I$3000,0),MATCH(H$4,폐업정보!$D$3:$R$3,0)),
"Error"))</f>
        <v>45482</v>
      </c>
      <c r="I243" s="75" t="str">
        <f aca="false">
IF($D243="정상",INDEX(임대자산!$D$3:$R$3000,MATCH($F243,임대자산!$I$3:$I$3000,0),MATCH(I$4,임대자산!$D$3:$R$3,0)),
IF($D243="폐업",INDEX(폐업정보!$D$3:$R$3000,MATCH($F243,폐업정보!$I$3:$I$3000,0),MATCH(I$4,폐업정보!$D$3:$R$3,0)),
"Error"))</f>
        <v>A0238</v>
      </c>
      <c r="J243" s="75" t="str">
        <f aca="false">
IF($D243="정상",INDEX(임대자산!$D$3:$R$3000,MATCH($F243,임대자산!$I$3:$I$3000,0),MATCH(J$4,임대자산!$D$3:$R$3,0)),
IF($D243="폐업",INDEX(폐업정보!$D$3:$R$3000,MATCH($F243,폐업정보!$I$3:$I$3000,0),MATCH(J$4,폐업정보!$D$3:$R$3,0)),
"Error"))</f>
        <v>9136700000</v>
      </c>
      <c r="K243" s="75" t="str">
        <f aca="false">
IF($D243="정상",INDEX(임대자산!$D$3:$R$3000,MATCH($F243,임대자산!$I$3:$I$3000,0),MATCH(K$4,임대자산!$D$3:$R$3,0)),
IF($D243="폐업",INDEX(폐업정보!$D$3:$R$3000,MATCH($F243,폐업정보!$I$3:$I$3000,0),MATCH(K$4,폐업정보!$D$3:$R$3,0)),
"Error"))</f>
        <v>C0238</v>
      </c>
      <c r="L243" s="75" t="str">
        <f aca="false">
IF($D243="정상",INDEX(임대자산!$D$3:$R$3000,MATCH($F243,임대자산!$I$3:$I$3000,0),MATCH(L$4,임대자산!$D$3:$R$3,0)),
IF($D243="폐업",INDEX(폐업정보!$D$3:$R$3000,MATCH($F243,폐업정보!$I$3:$I$3000,0),MATCH(L$4,폐업정보!$D$3:$R$3,0)),
"Error"))</f>
        <v>D0238</v>
      </c>
      <c r="M243" s="76" t="s">
        <v>96</v>
      </c>
      <c r="N243" s="77"/>
      <c r="O243" s="78" t="s">
        <v>97</v>
      </c>
      <c r="P243" s="79" t="n">
        <f aca="false">COUNTIFS(임대자산!$I:$I,가맹점정보!F243,임대자산!$N:$N,가맹점정보!P$4)</f>
        <v>0</v>
      </c>
      <c r="Q243" s="80" t="n">
        <f aca="false">COUNTIFS(임대자산!$I:$I,가맹점정보!F243,임대자산!$N:$N,가맹점정보!Q$4)</f>
        <v>0</v>
      </c>
      <c r="R243" s="81" t="n">
        <f aca="false">COUNTIFS(임대자산!$I:$I,가맹점정보!F243,임대자산!$N:$N,가맹점정보!R$4)</f>
        <v>1</v>
      </c>
      <c r="S243" s="82" t="n">
        <v>88000</v>
      </c>
      <c r="T243" s="83" t="n">
        <v>0</v>
      </c>
      <c r="U243" s="80" t="n">
        <f aca="false">SUM(S243:T243)</f>
        <v>88000</v>
      </c>
      <c r="V243" s="84" t="s">
        <v>7</v>
      </c>
      <c r="W243" s="80" t="str">
        <f aca="true">
IF(D243="폐업","폐업",
IF(V243="면제","면제",
IF(AND(V243="정상",COUNTIFS(OFFSET(Y243,0,COUNTA(Y243:AV243)-1,1,-4),"미납")&gt;=3),"장기미납",
IF(AND(V243="정상",OFFSET(Y243,0,COUNTA(Y243:AV243)-1)&gt;=U243),"정상",
IF(AND(V243="정상",OFFSET(Y243,0,COUNTA(Y243:AV243)-1)=0),"정상",
"계약서 미작성")))))</f>
        <v>면제</v>
      </c>
      <c r="X243" s="81" t="str">
        <f aca="true">
IF(D243="폐업","폐업",
IF(AND(V243="정상",OFFSET(Y243,0,COUNTA(Y243:AV243)-1)="미납"),"미납",
IF(AND(V243="정상",OFFSET(Y243,0,COUNTA(Y243:AV243)-1)=0),"납부 시작 전",
IF(AND(V243="정상",OFFSET(Y243,0,COUNTA(Y243:AV243)-1)&gt;=U243),"정상",
IF(AND(V243="면제",OFFSET(Y243,0,COUNTA(Y243:AV243)-1)="면제"),"면제",
IF(AND(V243="면제",OFFSET(Y243,0,COUNTA(Y243:AV243)-1)=0),"면제",
"확인요청"))))))</f>
        <v>면제</v>
      </c>
      <c r="Y243" s="94" t="s">
        <v>7</v>
      </c>
      <c r="Z243" s="95" t="s">
        <v>7</v>
      </c>
      <c r="AA243" s="95" t="s">
        <v>7</v>
      </c>
      <c r="AB243" s="95" t="s">
        <v>7</v>
      </c>
      <c r="AC243" s="95" t="s">
        <v>7</v>
      </c>
      <c r="AD243" s="95" t="s">
        <v>7</v>
      </c>
      <c r="AE243" s="95" t="s">
        <v>7</v>
      </c>
      <c r="AF243" s="95" t="s">
        <v>7</v>
      </c>
      <c r="AG243" s="95" t="s">
        <v>7</v>
      </c>
      <c r="AH243" s="95" t="s">
        <v>7</v>
      </c>
      <c r="AI243" s="95" t="s">
        <v>7</v>
      </c>
      <c r="AJ243" s="96" t="s">
        <v>7</v>
      </c>
      <c r="AK243" s="97" t="s">
        <v>7</v>
      </c>
      <c r="AL243" s="95" t="s">
        <v>7</v>
      </c>
      <c r="AM243" s="90"/>
      <c r="AN243" s="90"/>
      <c r="AO243" s="90"/>
      <c r="AP243" s="90"/>
      <c r="AQ243" s="90"/>
      <c r="AR243" s="90"/>
      <c r="AS243" s="90"/>
      <c r="AT243" s="90"/>
      <c r="AU243" s="90"/>
      <c r="AV243" s="91"/>
      <c r="AX243" s="92"/>
    </row>
    <row r="244" customFormat="false" ht="15.65" hidden="false" customHeight="false" outlineLevel="0" collapsed="false">
      <c r="C244" s="72" t="n">
        <f aca="false">COUNTIFS($D$6:D244,"&lt;&gt;"&amp;"")</f>
        <v>239</v>
      </c>
      <c r="D244" s="73" t="s">
        <v>12</v>
      </c>
      <c r="E244" s="76" t="str">
        <f aca="false">
IF($D244="정상",INDEX(임대자산!$D$3:$R$3000,MATCH($F244,임대자산!$I$3:$I$3000,0),MATCH(E$3,임대자산!$D$3:$R$3,0)),
IF($D244="폐업",INDEX(폐업정보!$D$3:$R$3000,MATCH($F244,폐업정보!$I$3:$I$3000,0),MATCH(E$3,폐업정보!$D$3:$R$3,0)),
"Error"))</f>
        <v>전라</v>
      </c>
      <c r="F24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B0239</v>
      </c>
      <c r="G244" s="76" t="str">
        <f aca="false">F244&amp;RANDBETWEEN(0,10)</f>
        <v>B02398</v>
      </c>
      <c r="H244" s="75" t="n">
        <f aca="false">
IF($D244="정상",INDEX(임대자산!$D$3:$R$3000,MATCH($F244,임대자산!$I$3:$I$3000,0),MATCH(H$4,임대자산!$D$3:$R$3,0)),
IF($D244="폐업",INDEX(폐업정보!$D$3:$R$3000,MATCH($F244,폐업정보!$I$3:$I$3000,0),MATCH(H$4,폐업정보!$D$3:$R$3,0)),
"Error"))</f>
        <v>45035</v>
      </c>
      <c r="I244" s="75" t="str">
        <f aca="false">
IF($D244="정상",INDEX(임대자산!$D$3:$R$3000,MATCH($F244,임대자산!$I$3:$I$3000,0),MATCH(I$4,임대자산!$D$3:$R$3,0)),
IF($D244="폐업",INDEX(폐업정보!$D$3:$R$3000,MATCH($F244,폐업정보!$I$3:$I$3000,0),MATCH(I$4,폐업정보!$D$3:$R$3,0)),
"Error"))</f>
        <v>A0239</v>
      </c>
      <c r="J244" s="75" t="str">
        <f aca="false">
IF($D244="정상",INDEX(임대자산!$D$3:$R$3000,MATCH($F244,임대자산!$I$3:$I$3000,0),MATCH(J$4,임대자산!$D$3:$R$3,0)),
IF($D244="폐업",INDEX(폐업정보!$D$3:$R$3000,MATCH($F244,폐업정보!$I$3:$I$3000,0),MATCH(J$4,폐업정보!$D$3:$R$3,0)),
"Error"))</f>
        <v>3357100000</v>
      </c>
      <c r="K244" s="75" t="str">
        <f aca="false">
IF($D244="정상",INDEX(임대자산!$D$3:$R$3000,MATCH($F244,임대자산!$I$3:$I$3000,0),MATCH(K$4,임대자산!$D$3:$R$3,0)),
IF($D244="폐업",INDEX(폐업정보!$D$3:$R$3000,MATCH($F244,폐업정보!$I$3:$I$3000,0),MATCH(K$4,폐업정보!$D$3:$R$3,0)),
"Error"))</f>
        <v>C0239</v>
      </c>
      <c r="L244" s="75" t="str">
        <f aca="false">
IF($D244="정상",INDEX(임대자산!$D$3:$R$3000,MATCH($F244,임대자산!$I$3:$I$3000,0),MATCH(L$4,임대자산!$D$3:$R$3,0)),
IF($D244="폐업",INDEX(폐업정보!$D$3:$R$3000,MATCH($F244,폐업정보!$I$3:$I$3000,0),MATCH(L$4,폐업정보!$D$3:$R$3,0)),
"Error"))</f>
        <v>D0239</v>
      </c>
      <c r="M244" s="76" t="s">
        <v>96</v>
      </c>
      <c r="N244" s="77"/>
      <c r="O244" s="78" t="s">
        <v>97</v>
      </c>
      <c r="P244" s="79" t="n">
        <f aca="false">COUNTIFS(임대자산!$I:$I,가맹점정보!F244,임대자산!$N:$N,가맹점정보!P$4)</f>
        <v>0</v>
      </c>
      <c r="Q244" s="80" t="n">
        <f aca="false">COUNTIFS(임대자산!$I:$I,가맹점정보!F244,임대자산!$N:$N,가맹점정보!Q$4)</f>
        <v>0</v>
      </c>
      <c r="R244" s="81" t="n">
        <f aca="false">COUNTIFS(임대자산!$I:$I,가맹점정보!F244,임대자산!$N:$N,가맹점정보!R$4)</f>
        <v>1</v>
      </c>
      <c r="S244" s="82" t="n">
        <v>55000</v>
      </c>
      <c r="T244" s="83" t="n">
        <v>0</v>
      </c>
      <c r="U244" s="80" t="n">
        <f aca="false">SUM(S244:T244)</f>
        <v>55000</v>
      </c>
      <c r="V244" s="84" t="s">
        <v>7</v>
      </c>
      <c r="W244" s="80" t="str">
        <f aca="true">
IF(D244="폐업","폐업",
IF(V244="면제","면제",
IF(AND(V244="정상",COUNTIFS(OFFSET(Y244,0,COUNTA(Y244:AV244)-1,1,-4),"미납")&gt;=3),"장기미납",
IF(AND(V244="정상",OFFSET(Y244,0,COUNTA(Y244:AV244)-1)&gt;=U244),"정상",
IF(AND(V244="정상",OFFSET(Y244,0,COUNTA(Y244:AV244)-1)=0),"정상",
"계약서 미작성")))))</f>
        <v>면제</v>
      </c>
      <c r="X244" s="81" t="str">
        <f aca="true">
IF(D244="폐업","폐업",
IF(AND(V244="정상",OFFSET(Y244,0,COUNTA(Y244:AV244)-1)="미납"),"미납",
IF(AND(V244="정상",OFFSET(Y244,0,COUNTA(Y244:AV244)-1)=0),"납부 시작 전",
IF(AND(V244="정상",OFFSET(Y244,0,COUNTA(Y244:AV244)-1)&gt;=U244),"정상",
IF(AND(V244="면제",OFFSET(Y244,0,COUNTA(Y244:AV244)-1)="면제"),"면제",
IF(AND(V244="면제",OFFSET(Y244,0,COUNTA(Y244:AV244)-1)=0),"면제",
"확인요청"))))))</f>
        <v>면제</v>
      </c>
      <c r="Y244" s="94" t="s">
        <v>7</v>
      </c>
      <c r="Z244" s="95" t="s">
        <v>7</v>
      </c>
      <c r="AA244" s="95" t="s">
        <v>7</v>
      </c>
      <c r="AB244" s="95" t="s">
        <v>7</v>
      </c>
      <c r="AC244" s="95" t="s">
        <v>7</v>
      </c>
      <c r="AD244" s="95" t="s">
        <v>7</v>
      </c>
      <c r="AE244" s="95" t="s">
        <v>7</v>
      </c>
      <c r="AF244" s="95" t="s">
        <v>7</v>
      </c>
      <c r="AG244" s="95" t="s">
        <v>7</v>
      </c>
      <c r="AH244" s="95" t="s">
        <v>7</v>
      </c>
      <c r="AI244" s="95" t="s">
        <v>7</v>
      </c>
      <c r="AJ244" s="96" t="s">
        <v>7</v>
      </c>
      <c r="AK244" s="97" t="s">
        <v>7</v>
      </c>
      <c r="AL244" s="95" t="s">
        <v>7</v>
      </c>
      <c r="AM244" s="90"/>
      <c r="AN244" s="90"/>
      <c r="AO244" s="90"/>
      <c r="AP244" s="90"/>
      <c r="AQ244" s="90"/>
      <c r="AR244" s="90"/>
      <c r="AS244" s="90"/>
      <c r="AT244" s="90"/>
      <c r="AU244" s="90"/>
      <c r="AV244" s="91"/>
      <c r="AX244" s="92"/>
    </row>
    <row r="245" customFormat="false" ht="15.65" hidden="false" customHeight="false" outlineLevel="0" collapsed="false">
      <c r="C245" s="72" t="n">
        <f aca="false">COUNTIFS($D$6:D245,"&lt;&gt;"&amp;"")</f>
        <v>240</v>
      </c>
      <c r="D245" s="73" t="s">
        <v>12</v>
      </c>
      <c r="E245" s="76" t="str">
        <f aca="false">
IF($D245="정상",INDEX(임대자산!$D$3:$R$3000,MATCH($F245,임대자산!$I$3:$I$3000,0),MATCH(E$3,임대자산!$D$3:$R$3,0)),
IF($D245="폐업",INDEX(폐업정보!$D$3:$R$3000,MATCH($F245,폐업정보!$I$3:$I$3000,0),MATCH(E$3,폐업정보!$D$3:$R$3,0)),
"Error"))</f>
        <v>전라</v>
      </c>
      <c r="F24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B0240</v>
      </c>
      <c r="G245" s="76" t="str">
        <f aca="false">F245&amp;RANDBETWEEN(0,10)</f>
        <v>B02404</v>
      </c>
      <c r="H245" s="75" t="n">
        <f aca="false">
IF($D245="정상",INDEX(임대자산!$D$3:$R$3000,MATCH($F245,임대자산!$I$3:$I$3000,0),MATCH(H$4,임대자산!$D$3:$R$3,0)),
IF($D245="폐업",INDEX(폐업정보!$D$3:$R$3000,MATCH($F245,폐업정보!$I$3:$I$3000,0),MATCH(H$4,폐업정보!$D$3:$R$3,0)),
"Error"))</f>
        <v>45029</v>
      </c>
      <c r="I245" s="75" t="str">
        <f aca="false">
IF($D245="정상",INDEX(임대자산!$D$3:$R$3000,MATCH($F245,임대자산!$I$3:$I$3000,0),MATCH(I$4,임대자산!$D$3:$R$3,0)),
IF($D245="폐업",INDEX(폐업정보!$D$3:$R$3000,MATCH($F245,폐업정보!$I$3:$I$3000,0),MATCH(I$4,폐업정보!$D$3:$R$3,0)),
"Error"))</f>
        <v>A0240</v>
      </c>
      <c r="J245" s="75" t="str">
        <f aca="false">
IF($D245="정상",INDEX(임대자산!$D$3:$R$3000,MATCH($F245,임대자산!$I$3:$I$3000,0),MATCH(J$4,임대자산!$D$3:$R$3,0)),
IF($D245="폐업",INDEX(폐업정보!$D$3:$R$3000,MATCH($F245,폐업정보!$I$3:$I$3000,0),MATCH(J$4,폐업정보!$D$3:$R$3,0)),
"Error"))</f>
        <v>8788900000</v>
      </c>
      <c r="K245" s="75" t="str">
        <f aca="false">
IF($D245="정상",INDEX(임대자산!$D$3:$R$3000,MATCH($F245,임대자산!$I$3:$I$3000,0),MATCH(K$4,임대자산!$D$3:$R$3,0)),
IF($D245="폐업",INDEX(폐업정보!$D$3:$R$3000,MATCH($F245,폐업정보!$I$3:$I$3000,0),MATCH(K$4,폐업정보!$D$3:$R$3,0)),
"Error"))</f>
        <v>C0240</v>
      </c>
      <c r="L245" s="75" t="str">
        <f aca="false">
IF($D245="정상",INDEX(임대자산!$D$3:$R$3000,MATCH($F245,임대자산!$I$3:$I$3000,0),MATCH(L$4,임대자산!$D$3:$R$3,0)),
IF($D245="폐업",INDEX(폐업정보!$D$3:$R$3000,MATCH($F245,폐업정보!$I$3:$I$3000,0),MATCH(L$4,폐업정보!$D$3:$R$3,0)),
"Error"))</f>
        <v>D0240</v>
      </c>
      <c r="M245" s="76" t="s">
        <v>96</v>
      </c>
      <c r="N245" s="77"/>
      <c r="O245" s="78" t="s">
        <v>97</v>
      </c>
      <c r="P245" s="79" t="n">
        <f aca="false">COUNTIFS(임대자산!$I:$I,가맹점정보!F245,임대자산!$N:$N,가맹점정보!P$4)</f>
        <v>0</v>
      </c>
      <c r="Q245" s="80" t="n">
        <f aca="false">COUNTIFS(임대자산!$I:$I,가맹점정보!F245,임대자산!$N:$N,가맹점정보!Q$4)</f>
        <v>0</v>
      </c>
      <c r="R245" s="81" t="n">
        <f aca="false">COUNTIFS(임대자산!$I:$I,가맹점정보!F245,임대자산!$N:$N,가맹점정보!R$4)</f>
        <v>1</v>
      </c>
      <c r="S245" s="82" t="n">
        <v>44000</v>
      </c>
      <c r="T245" s="83" t="n">
        <v>44000</v>
      </c>
      <c r="U245" s="80" t="n">
        <f aca="false">SUM(S245:T245)</f>
        <v>88000</v>
      </c>
      <c r="V245" s="84" t="s">
        <v>12</v>
      </c>
      <c r="W245" s="80" t="e">
        <f aca="true">
IF(D245="폐업","폐업",
IF(V245="면제","면제",
IF(AND(V245="정상",COUNTIFS(OFFSET(Y245,0,COUNTA(Y245:AV245)-1,1,-4),"미납")&gt;=3),"장기미납",
IF(AND(V245="정상",OFFSET(Y245,0,COUNTA(Y245:AV245)-1)&gt;=U245),"정상",
IF(AND(V245="정상",OFFSET(Y245,0,COUNTA(Y245:AV245)-1)=0),"정상",
"계약서 미작성")))))</f>
        <v>#VALUE!</v>
      </c>
      <c r="X245" s="81" t="str">
        <f aca="true">
IF(D245="폐업","폐업",
IF(AND(V245="정상",OFFSET(Y245,0,COUNTA(Y245:AV245)-1)="미납"),"미납",
IF(AND(V245="정상",OFFSET(Y245,0,COUNTA(Y245:AV245)-1)=0),"납부 시작 전",
IF(AND(V245="정상",OFFSET(Y245,0,COUNTA(Y245:AV245)-1)&gt;=U245),"정상",
IF(AND(V245="면제",OFFSET(Y245,0,COUNTA(Y245:AV245)-1)="면제"),"면제",
IF(AND(V245="면제",OFFSET(Y245,0,COUNTA(Y245:AV245)-1)=0),"면제",
"확인요청"))))))</f>
        <v>정상</v>
      </c>
      <c r="Y245" s="93" t="n">
        <v>88000</v>
      </c>
      <c r="Z245" s="90" t="n">
        <v>88000</v>
      </c>
      <c r="AA245" s="90" t="n">
        <v>88000</v>
      </c>
      <c r="AB245" s="90" t="n">
        <v>88000</v>
      </c>
      <c r="AC245" s="90" t="n">
        <v>88000</v>
      </c>
      <c r="AD245" s="90" t="n">
        <v>88000</v>
      </c>
      <c r="AE245" s="90" t="n">
        <v>88000</v>
      </c>
      <c r="AF245" s="90" t="n">
        <v>88000</v>
      </c>
      <c r="AG245" s="90" t="s">
        <v>100</v>
      </c>
      <c r="AH245" s="90" t="n">
        <v>176000</v>
      </c>
      <c r="AI245" s="90" t="n">
        <v>88000</v>
      </c>
      <c r="AJ245" s="91" t="n">
        <v>88000</v>
      </c>
      <c r="AK245" s="89" t="n">
        <v>88000</v>
      </c>
      <c r="AL245" s="90" t="n">
        <v>88000</v>
      </c>
      <c r="AM245" s="90"/>
      <c r="AN245" s="90"/>
      <c r="AO245" s="90"/>
      <c r="AP245" s="90"/>
      <c r="AQ245" s="90"/>
      <c r="AR245" s="90"/>
      <c r="AS245" s="90"/>
      <c r="AT245" s="90"/>
      <c r="AU245" s="90"/>
      <c r="AV245" s="91"/>
      <c r="AX245" s="92"/>
    </row>
    <row r="246" customFormat="false" ht="15.65" hidden="false" customHeight="false" outlineLevel="0" collapsed="false">
      <c r="C246" s="72" t="n">
        <f aca="false">COUNTIFS($D$6:D246,"&lt;&gt;"&amp;"")</f>
        <v>241</v>
      </c>
      <c r="D246" s="73" t="s">
        <v>12</v>
      </c>
      <c r="E246" s="76" t="str">
        <f aca="false">
IF($D246="정상",INDEX(임대자산!$D$3:$R$3000,MATCH($F246,임대자산!$I$3:$I$3000,0),MATCH(E$3,임대자산!$D$3:$R$3,0)),
IF($D246="폐업",INDEX(폐업정보!$D$3:$R$3000,MATCH($F246,폐업정보!$I$3:$I$3000,0),MATCH(E$3,폐업정보!$D$3:$R$3,0)),
"Error"))</f>
        <v>전라</v>
      </c>
      <c r="F24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B0241</v>
      </c>
      <c r="G246" s="76" t="str">
        <f aca="false">F246&amp;RANDBETWEEN(0,10)</f>
        <v>B02417</v>
      </c>
      <c r="H246" s="75" t="n">
        <f aca="false">
IF($D246="정상",INDEX(임대자산!$D$3:$R$3000,MATCH($F246,임대자산!$I$3:$I$3000,0),MATCH(H$4,임대자산!$D$3:$R$3,0)),
IF($D246="폐업",INDEX(폐업정보!$D$3:$R$3000,MATCH($F246,폐업정보!$I$3:$I$3000,0),MATCH(H$4,폐업정보!$D$3:$R$3,0)),
"Error"))</f>
        <v>45020</v>
      </c>
      <c r="I246" s="75" t="str">
        <f aca="false">
IF($D246="정상",INDEX(임대자산!$D$3:$R$3000,MATCH($F246,임대자산!$I$3:$I$3000,0),MATCH(I$4,임대자산!$D$3:$R$3,0)),
IF($D246="폐업",INDEX(폐업정보!$D$3:$R$3000,MATCH($F246,폐업정보!$I$3:$I$3000,0),MATCH(I$4,폐업정보!$D$3:$R$3,0)),
"Error"))</f>
        <v>A0241</v>
      </c>
      <c r="J246" s="75" t="str">
        <f aca="false">
IF($D246="정상",INDEX(임대자산!$D$3:$R$3000,MATCH($F246,임대자산!$I$3:$I$3000,0),MATCH(J$4,임대자산!$D$3:$R$3,0)),
IF($D246="폐업",INDEX(폐업정보!$D$3:$R$3000,MATCH($F246,폐업정보!$I$3:$I$3000,0),MATCH(J$4,폐업정보!$D$3:$R$3,0)),
"Error"))</f>
        <v>7024400000</v>
      </c>
      <c r="K246" s="75" t="str">
        <f aca="false">
IF($D246="정상",INDEX(임대자산!$D$3:$R$3000,MATCH($F246,임대자산!$I$3:$I$3000,0),MATCH(K$4,임대자산!$D$3:$R$3,0)),
IF($D246="폐업",INDEX(폐업정보!$D$3:$R$3000,MATCH($F246,폐업정보!$I$3:$I$3000,0),MATCH(K$4,폐업정보!$D$3:$R$3,0)),
"Error"))</f>
        <v>C0241</v>
      </c>
      <c r="L246" s="75" t="str">
        <f aca="false">
IF($D246="정상",INDEX(임대자산!$D$3:$R$3000,MATCH($F246,임대자산!$I$3:$I$3000,0),MATCH(L$4,임대자산!$D$3:$R$3,0)),
IF($D246="폐업",INDEX(폐업정보!$D$3:$R$3000,MATCH($F246,폐업정보!$I$3:$I$3000,0),MATCH(L$4,폐업정보!$D$3:$R$3,0)),
"Error"))</f>
        <v>D0241</v>
      </c>
      <c r="M246" s="76" t="s">
        <v>96</v>
      </c>
      <c r="N246" s="77"/>
      <c r="O246" s="78" t="s">
        <v>97</v>
      </c>
      <c r="P246" s="79" t="n">
        <f aca="false">COUNTIFS(임대자산!$I:$I,가맹점정보!F246,임대자산!$N:$N,가맹점정보!P$4)</f>
        <v>0</v>
      </c>
      <c r="Q246" s="80" t="n">
        <f aca="false">COUNTIFS(임대자산!$I:$I,가맹점정보!F246,임대자산!$N:$N,가맹점정보!Q$4)</f>
        <v>0</v>
      </c>
      <c r="R246" s="81" t="n">
        <f aca="false">COUNTIFS(임대자산!$I:$I,가맹점정보!F246,임대자산!$N:$N,가맹점정보!R$4)</f>
        <v>1</v>
      </c>
      <c r="S246" s="82" t="n">
        <v>55000</v>
      </c>
      <c r="T246" s="83" t="n">
        <v>0</v>
      </c>
      <c r="U246" s="80" t="n">
        <f aca="false">SUM(S246:T246)</f>
        <v>55000</v>
      </c>
      <c r="V246" s="84" t="s">
        <v>12</v>
      </c>
      <c r="W246" s="80" t="e">
        <f aca="true">
IF(D246="폐업","폐업",
IF(V246="면제","면제",
IF(AND(V246="정상",COUNTIFS(OFFSET(Y246,0,COUNTA(Y246:AV246)-1,1,-4),"미납")&gt;=3),"장기미납",
IF(AND(V246="정상",OFFSET(Y246,0,COUNTA(Y246:AV246)-1)&gt;=U246),"정상",
IF(AND(V246="정상",OFFSET(Y246,0,COUNTA(Y246:AV246)-1)=0),"정상",
"계약서 미작성")))))</f>
        <v>#VALUE!</v>
      </c>
      <c r="X246" s="81" t="str">
        <f aca="true">
IF(D246="폐업","폐업",
IF(AND(V246="정상",OFFSET(Y246,0,COUNTA(Y246:AV246)-1)="미납"),"미납",
IF(AND(V246="정상",OFFSET(Y246,0,COUNTA(Y246:AV246)-1)=0),"납부 시작 전",
IF(AND(V246="정상",OFFSET(Y246,0,COUNTA(Y246:AV246)-1)&gt;=U246),"정상",
IF(AND(V246="면제",OFFSET(Y246,0,COUNTA(Y246:AV246)-1)="면제"),"면제",
IF(AND(V246="면제",OFFSET(Y246,0,COUNTA(Y246:AV246)-1)=0),"면제",
"확인요청"))))))</f>
        <v>정상</v>
      </c>
      <c r="Y246" s="93" t="n">
        <v>55000</v>
      </c>
      <c r="Z246" s="90" t="n">
        <v>55000</v>
      </c>
      <c r="AA246" s="90" t="n">
        <v>55000</v>
      </c>
      <c r="AB246" s="90" t="n">
        <v>55000</v>
      </c>
      <c r="AC246" s="90" t="n">
        <v>55000</v>
      </c>
      <c r="AD246" s="90" t="n">
        <v>55000</v>
      </c>
      <c r="AE246" s="90" t="n">
        <v>55000</v>
      </c>
      <c r="AF246" s="90" t="n">
        <v>55000</v>
      </c>
      <c r="AG246" s="90" t="n">
        <v>55000</v>
      </c>
      <c r="AH246" s="90" t="n">
        <v>55000</v>
      </c>
      <c r="AI246" s="90" t="n">
        <v>55000</v>
      </c>
      <c r="AJ246" s="91" t="n">
        <v>55000</v>
      </c>
      <c r="AK246" s="89" t="n">
        <v>55000</v>
      </c>
      <c r="AL246" s="90" t="n">
        <v>55000</v>
      </c>
      <c r="AM246" s="90"/>
      <c r="AN246" s="90"/>
      <c r="AO246" s="90"/>
      <c r="AP246" s="90"/>
      <c r="AQ246" s="90"/>
      <c r="AR246" s="90"/>
      <c r="AS246" s="90"/>
      <c r="AT246" s="90"/>
      <c r="AU246" s="90"/>
      <c r="AV246" s="91"/>
      <c r="AX246" s="92"/>
    </row>
    <row r="247" customFormat="false" ht="15.65" hidden="false" customHeight="false" outlineLevel="0" collapsed="false">
      <c r="C247" s="72" t="n">
        <f aca="false">COUNTIFS($D$6:D247,"&lt;&gt;"&amp;"")</f>
        <v>242</v>
      </c>
      <c r="D247" s="73" t="s">
        <v>12</v>
      </c>
      <c r="E247" s="76" t="str">
        <f aca="false">
IF($D247="정상",INDEX(임대자산!$D$3:$R$3000,MATCH($F247,임대자산!$I$3:$I$3000,0),MATCH(E$3,임대자산!$D$3:$R$3,0)),
IF($D247="폐업",INDEX(폐업정보!$D$3:$R$3000,MATCH($F247,폐업정보!$I$3:$I$3000,0),MATCH(E$3,폐업정보!$D$3:$R$3,0)),
"Error"))</f>
        <v>전라</v>
      </c>
      <c r="F24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B0242</v>
      </c>
      <c r="G247" s="76" t="str">
        <f aca="false">F247&amp;RANDBETWEEN(0,10)</f>
        <v>B02420</v>
      </c>
      <c r="H247" s="75" t="n">
        <f aca="false">
IF($D247="정상",INDEX(임대자산!$D$3:$R$3000,MATCH($F247,임대자산!$I$3:$I$3000,0),MATCH(H$4,임대자산!$D$3:$R$3,0)),
IF($D247="폐업",INDEX(폐업정보!$D$3:$R$3000,MATCH($F247,폐업정보!$I$3:$I$3000,0),MATCH(H$4,폐업정보!$D$3:$R$3,0)),
"Error"))</f>
        <v>45020</v>
      </c>
      <c r="I247" s="75" t="str">
        <f aca="false">
IF($D247="정상",INDEX(임대자산!$D$3:$R$3000,MATCH($F247,임대자산!$I$3:$I$3000,0),MATCH(I$4,임대자산!$D$3:$R$3,0)),
IF($D247="폐업",INDEX(폐업정보!$D$3:$R$3000,MATCH($F247,폐업정보!$I$3:$I$3000,0),MATCH(I$4,폐업정보!$D$3:$R$3,0)),
"Error"))</f>
        <v>A0242</v>
      </c>
      <c r="J247" s="75" t="str">
        <f aca="false">
IF($D247="정상",INDEX(임대자산!$D$3:$R$3000,MATCH($F247,임대자산!$I$3:$I$3000,0),MATCH(J$4,임대자산!$D$3:$R$3,0)),
IF($D247="폐업",INDEX(폐업정보!$D$3:$R$3000,MATCH($F247,폐업정보!$I$3:$I$3000,0),MATCH(J$4,폐업정보!$D$3:$R$3,0)),
"Error"))</f>
        <v>6361900000</v>
      </c>
      <c r="K247" s="75" t="str">
        <f aca="false">
IF($D247="정상",INDEX(임대자산!$D$3:$R$3000,MATCH($F247,임대자산!$I$3:$I$3000,0),MATCH(K$4,임대자산!$D$3:$R$3,0)),
IF($D247="폐업",INDEX(폐업정보!$D$3:$R$3000,MATCH($F247,폐업정보!$I$3:$I$3000,0),MATCH(K$4,폐업정보!$D$3:$R$3,0)),
"Error"))</f>
        <v>C0242</v>
      </c>
      <c r="L247" s="75" t="str">
        <f aca="false">
IF($D247="정상",INDEX(임대자산!$D$3:$R$3000,MATCH($F247,임대자산!$I$3:$I$3000,0),MATCH(L$4,임대자산!$D$3:$R$3,0)),
IF($D247="폐업",INDEX(폐업정보!$D$3:$R$3000,MATCH($F247,폐업정보!$I$3:$I$3000,0),MATCH(L$4,폐업정보!$D$3:$R$3,0)),
"Error"))</f>
        <v>D0242</v>
      </c>
      <c r="M247" s="76" t="s">
        <v>96</v>
      </c>
      <c r="N247" s="77"/>
      <c r="O247" s="78" t="s">
        <v>97</v>
      </c>
      <c r="P247" s="79" t="n">
        <f aca="false">COUNTIFS(임대자산!$I:$I,가맹점정보!F247,임대자산!$N:$N,가맹점정보!P$4)</f>
        <v>0</v>
      </c>
      <c r="Q247" s="80" t="n">
        <f aca="false">COUNTIFS(임대자산!$I:$I,가맹점정보!F247,임대자산!$N:$N,가맹점정보!Q$4)</f>
        <v>0</v>
      </c>
      <c r="R247" s="81" t="n">
        <f aca="false">COUNTIFS(임대자산!$I:$I,가맹점정보!F247,임대자산!$N:$N,가맹점정보!R$4)</f>
        <v>1</v>
      </c>
      <c r="S247" s="82" t="n">
        <v>55000</v>
      </c>
      <c r="T247" s="83" t="n">
        <v>0</v>
      </c>
      <c r="U247" s="80" t="n">
        <f aca="false">SUM(S247:T247)</f>
        <v>55000</v>
      </c>
      <c r="V247" s="84" t="s">
        <v>12</v>
      </c>
      <c r="W247" s="80" t="e">
        <f aca="true">
IF(D247="폐업","폐업",
IF(V247="면제","면제",
IF(AND(V247="정상",COUNTIFS(OFFSET(Y247,0,COUNTA(Y247:AV247)-1,1,-4),"미납")&gt;=3),"장기미납",
IF(AND(V247="정상",OFFSET(Y247,0,COUNTA(Y247:AV247)-1)&gt;=U247),"정상",
IF(AND(V247="정상",OFFSET(Y247,0,COUNTA(Y247:AV247)-1)=0),"정상",
"계약서 미작성")))))</f>
        <v>#VALUE!</v>
      </c>
      <c r="X247" s="81" t="str">
        <f aca="true">
IF(D247="폐업","폐업",
IF(AND(V247="정상",OFFSET(Y247,0,COUNTA(Y247:AV247)-1)="미납"),"미납",
IF(AND(V247="정상",OFFSET(Y247,0,COUNTA(Y247:AV247)-1)=0),"납부 시작 전",
IF(AND(V247="정상",OFFSET(Y247,0,COUNTA(Y247:AV247)-1)&gt;=U247),"정상",
IF(AND(V247="면제",OFFSET(Y247,0,COUNTA(Y247:AV247)-1)="면제"),"면제",
IF(AND(V247="면제",OFFSET(Y247,0,COUNTA(Y247:AV247)-1)=0),"면제",
"확인요청"))))))</f>
        <v>정상</v>
      </c>
      <c r="Y247" s="93" t="n">
        <v>55000</v>
      </c>
      <c r="Z247" s="90" t="n">
        <v>55000</v>
      </c>
      <c r="AA247" s="90" t="n">
        <v>55000</v>
      </c>
      <c r="AB247" s="90" t="n">
        <v>55000</v>
      </c>
      <c r="AC247" s="90" t="n">
        <v>55000</v>
      </c>
      <c r="AD247" s="90" t="n">
        <v>55000</v>
      </c>
      <c r="AE247" s="90" t="n">
        <v>55000</v>
      </c>
      <c r="AF247" s="90" t="n">
        <v>55000</v>
      </c>
      <c r="AG247" s="90" t="n">
        <v>55000</v>
      </c>
      <c r="AH247" s="90" t="n">
        <v>55000</v>
      </c>
      <c r="AI247" s="90" t="n">
        <v>55000</v>
      </c>
      <c r="AJ247" s="91" t="n">
        <v>55000</v>
      </c>
      <c r="AK247" s="89" t="n">
        <v>55000</v>
      </c>
      <c r="AL247" s="90" t="n">
        <v>55000</v>
      </c>
      <c r="AM247" s="90"/>
      <c r="AN247" s="90"/>
      <c r="AO247" s="90"/>
      <c r="AP247" s="90"/>
      <c r="AQ247" s="90"/>
      <c r="AR247" s="90"/>
      <c r="AS247" s="90"/>
      <c r="AT247" s="90"/>
      <c r="AU247" s="90"/>
      <c r="AV247" s="91"/>
      <c r="AX247" s="92"/>
    </row>
    <row r="248" customFormat="false" ht="15.65" hidden="false" customHeight="false" outlineLevel="0" collapsed="false">
      <c r="C248" s="72" t="n">
        <f aca="false">COUNTIFS($D$6:D248,"&lt;&gt;"&amp;"")</f>
        <v>243</v>
      </c>
      <c r="D248" s="73" t="s">
        <v>12</v>
      </c>
      <c r="E248" s="76" t="str">
        <f aca="false">
IF($D248="정상",INDEX(임대자산!$D$3:$R$3000,MATCH($F248,임대자산!$I$3:$I$3000,0),MATCH(E$3,임대자산!$D$3:$R$3,0)),
IF($D248="폐업",INDEX(폐업정보!$D$3:$R$3000,MATCH($F248,폐업정보!$I$3:$I$3000,0),MATCH(E$3,폐업정보!$D$3:$R$3,0)),
"Error"))</f>
        <v>서울</v>
      </c>
      <c r="F24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B0243</v>
      </c>
      <c r="G248" s="76" t="str">
        <f aca="false">F248&amp;RANDBETWEEN(0,10)</f>
        <v>B02435</v>
      </c>
      <c r="H248" s="75" t="n">
        <f aca="false">
IF($D248="정상",INDEX(임대자산!$D$3:$R$3000,MATCH($F248,임대자산!$I$3:$I$3000,0),MATCH(H$4,임대자산!$D$3:$R$3,0)),
IF($D248="폐업",INDEX(폐업정보!$D$3:$R$3000,MATCH($F248,폐업정보!$I$3:$I$3000,0),MATCH(H$4,폐업정보!$D$3:$R$3,0)),
"Error"))</f>
        <v>45041</v>
      </c>
      <c r="I248" s="75" t="str">
        <f aca="false">
IF($D248="정상",INDEX(임대자산!$D$3:$R$3000,MATCH($F248,임대자산!$I$3:$I$3000,0),MATCH(I$4,임대자산!$D$3:$R$3,0)),
IF($D248="폐업",INDEX(폐업정보!$D$3:$R$3000,MATCH($F248,폐업정보!$I$3:$I$3000,0),MATCH(I$4,폐업정보!$D$3:$R$3,0)),
"Error"))</f>
        <v>A0243</v>
      </c>
      <c r="J248" s="75" t="str">
        <f aca="false">
IF($D248="정상",INDEX(임대자산!$D$3:$R$3000,MATCH($F248,임대자산!$I$3:$I$3000,0),MATCH(J$4,임대자산!$D$3:$R$3,0)),
IF($D248="폐업",INDEX(폐업정보!$D$3:$R$3000,MATCH($F248,폐업정보!$I$3:$I$3000,0),MATCH(J$4,폐업정보!$D$3:$R$3,0)),
"Error"))</f>
        <v>1022000000</v>
      </c>
      <c r="K248" s="75" t="str">
        <f aca="false">
IF($D248="정상",INDEX(임대자산!$D$3:$R$3000,MATCH($F248,임대자산!$I$3:$I$3000,0),MATCH(K$4,임대자산!$D$3:$R$3,0)),
IF($D248="폐업",INDEX(폐업정보!$D$3:$R$3000,MATCH($F248,폐업정보!$I$3:$I$3000,0),MATCH(K$4,폐업정보!$D$3:$R$3,0)),
"Error"))</f>
        <v>C0243</v>
      </c>
      <c r="L248" s="75" t="str">
        <f aca="false">
IF($D248="정상",INDEX(임대자산!$D$3:$R$3000,MATCH($F248,임대자산!$I$3:$I$3000,0),MATCH(L$4,임대자산!$D$3:$R$3,0)),
IF($D248="폐업",INDEX(폐업정보!$D$3:$R$3000,MATCH($F248,폐업정보!$I$3:$I$3000,0),MATCH(L$4,폐업정보!$D$3:$R$3,0)),
"Error"))</f>
        <v>D0243</v>
      </c>
      <c r="M248" s="76" t="s">
        <v>96</v>
      </c>
      <c r="N248" s="77"/>
      <c r="O248" s="78" t="s">
        <v>97</v>
      </c>
      <c r="P248" s="79" t="n">
        <f aca="false">COUNTIFS(임대자산!$I:$I,가맹점정보!F248,임대자산!$N:$N,가맹점정보!P$4)</f>
        <v>0</v>
      </c>
      <c r="Q248" s="80" t="n">
        <f aca="false">COUNTIFS(임대자산!$I:$I,가맹점정보!F248,임대자산!$N:$N,가맹점정보!Q$4)</f>
        <v>0</v>
      </c>
      <c r="R248" s="81" t="n">
        <f aca="false">COUNTIFS(임대자산!$I:$I,가맹점정보!F248,임대자산!$N:$N,가맹점정보!R$4)</f>
        <v>1</v>
      </c>
      <c r="S248" s="82" t="n">
        <v>55000</v>
      </c>
      <c r="T248" s="83" t="n">
        <v>0</v>
      </c>
      <c r="U248" s="80" t="n">
        <f aca="false">SUM(S248:T248)</f>
        <v>55000</v>
      </c>
      <c r="V248" s="84" t="s">
        <v>12</v>
      </c>
      <c r="W248" s="80" t="e">
        <f aca="true">
IF(D248="폐업","폐업",
IF(V248="면제","면제",
IF(AND(V248="정상",COUNTIFS(OFFSET(Y248,0,COUNTA(Y248:AV248)-1,1,-4),"미납")&gt;=3),"장기미납",
IF(AND(V248="정상",OFFSET(Y248,0,COUNTA(Y248:AV248)-1)&gt;=U248),"정상",
IF(AND(V248="정상",OFFSET(Y248,0,COUNTA(Y248:AV248)-1)=0),"정상",
"계약서 미작성")))))</f>
        <v>#VALUE!</v>
      </c>
      <c r="X248" s="81" t="str">
        <f aca="true">
IF(D248="폐업","폐업",
IF(AND(V248="정상",OFFSET(Y248,0,COUNTA(Y248:AV248)-1)="미납"),"미납",
IF(AND(V248="정상",OFFSET(Y248,0,COUNTA(Y248:AV248)-1)=0),"납부 시작 전",
IF(AND(V248="정상",OFFSET(Y248,0,COUNTA(Y248:AV248)-1)&gt;=U248),"정상",
IF(AND(V248="면제",OFFSET(Y248,0,COUNTA(Y248:AV248)-1)="면제"),"면제",
IF(AND(V248="면제",OFFSET(Y248,0,COUNTA(Y248:AV248)-1)=0),"면제",
"확인요청"))))))</f>
        <v>미납</v>
      </c>
      <c r="Y248" s="93" t="n">
        <v>55000</v>
      </c>
      <c r="Z248" s="90" t="n">
        <v>55000</v>
      </c>
      <c r="AA248" s="90" t="n">
        <v>55000</v>
      </c>
      <c r="AB248" s="90" t="n">
        <v>55000</v>
      </c>
      <c r="AC248" s="90" t="n">
        <v>55000</v>
      </c>
      <c r="AD248" s="90" t="n">
        <v>55000</v>
      </c>
      <c r="AE248" s="90" t="n">
        <v>55000</v>
      </c>
      <c r="AF248" s="90" t="n">
        <v>55000</v>
      </c>
      <c r="AG248" s="90" t="n">
        <v>55000</v>
      </c>
      <c r="AH248" s="90" t="n">
        <v>55000</v>
      </c>
      <c r="AI248" s="90" t="n">
        <v>55000</v>
      </c>
      <c r="AJ248" s="91" t="n">
        <v>55000</v>
      </c>
      <c r="AK248" s="89" t="n">
        <v>55000</v>
      </c>
      <c r="AL248" s="95" t="s">
        <v>62</v>
      </c>
      <c r="AM248" s="90"/>
      <c r="AN248" s="90"/>
      <c r="AO248" s="90"/>
      <c r="AP248" s="90"/>
      <c r="AQ248" s="90"/>
      <c r="AR248" s="90"/>
      <c r="AS248" s="90"/>
      <c r="AT248" s="90"/>
      <c r="AU248" s="90"/>
      <c r="AV248" s="91"/>
      <c r="AX248" s="92"/>
    </row>
    <row r="249" customFormat="false" ht="15.65" hidden="false" customHeight="false" outlineLevel="0" collapsed="false">
      <c r="C249" s="72" t="n">
        <f aca="false">COUNTIFS($D$6:D249,"&lt;&gt;"&amp;"")</f>
        <v>244</v>
      </c>
      <c r="D249" s="73" t="s">
        <v>12</v>
      </c>
      <c r="E249" s="76" t="str">
        <f aca="false">
IF($D249="정상",INDEX(임대자산!$D$3:$R$3000,MATCH($F249,임대자산!$I$3:$I$3000,0),MATCH(E$3,임대자산!$D$3:$R$3,0)),
IF($D249="폐업",INDEX(폐업정보!$D$3:$R$3000,MATCH($F249,폐업정보!$I$3:$I$3000,0),MATCH(E$3,폐업정보!$D$3:$R$3,0)),
"Error"))</f>
        <v>서울</v>
      </c>
      <c r="F24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B0244</v>
      </c>
      <c r="G249" s="76" t="str">
        <f aca="false">F249&amp;RANDBETWEEN(0,10)</f>
        <v>B02448</v>
      </c>
      <c r="H249" s="75" t="n">
        <f aca="false">
IF($D249="정상",INDEX(임대자산!$D$3:$R$3000,MATCH($F249,임대자산!$I$3:$I$3000,0),MATCH(H$4,임대자산!$D$3:$R$3,0)),
IF($D249="폐업",INDEX(폐업정보!$D$3:$R$3000,MATCH($F249,폐업정보!$I$3:$I$3000,0),MATCH(H$4,폐업정보!$D$3:$R$3,0)),
"Error"))</f>
        <v>45393</v>
      </c>
      <c r="I249" s="75" t="str">
        <f aca="false">
IF($D249="정상",INDEX(임대자산!$D$3:$R$3000,MATCH($F249,임대자산!$I$3:$I$3000,0),MATCH(I$4,임대자산!$D$3:$R$3,0)),
IF($D249="폐업",INDEX(폐업정보!$D$3:$R$3000,MATCH($F249,폐업정보!$I$3:$I$3000,0),MATCH(I$4,폐업정보!$D$3:$R$3,0)),
"Error"))</f>
        <v>A0244</v>
      </c>
      <c r="J249" s="75" t="str">
        <f aca="false">
IF($D249="정상",INDEX(임대자산!$D$3:$R$3000,MATCH($F249,임대자산!$I$3:$I$3000,0),MATCH(J$4,임대자산!$D$3:$R$3,0)),
IF($D249="폐업",INDEX(폐업정보!$D$3:$R$3000,MATCH($F249,폐업정보!$I$3:$I$3000,0),MATCH(J$4,폐업정보!$D$3:$R$3,0)),
"Error"))</f>
        <v>6443900000</v>
      </c>
      <c r="K249" s="75" t="str">
        <f aca="false">
IF($D249="정상",INDEX(임대자산!$D$3:$R$3000,MATCH($F249,임대자산!$I$3:$I$3000,0),MATCH(K$4,임대자산!$D$3:$R$3,0)),
IF($D249="폐업",INDEX(폐업정보!$D$3:$R$3000,MATCH($F249,폐업정보!$I$3:$I$3000,0),MATCH(K$4,폐업정보!$D$3:$R$3,0)),
"Error"))</f>
        <v>C0244</v>
      </c>
      <c r="L249" s="75" t="str">
        <f aca="false">
IF($D249="정상",INDEX(임대자산!$D$3:$R$3000,MATCH($F249,임대자산!$I$3:$I$3000,0),MATCH(L$4,임대자산!$D$3:$R$3,0)),
IF($D249="폐업",INDEX(폐업정보!$D$3:$R$3000,MATCH($F249,폐업정보!$I$3:$I$3000,0),MATCH(L$4,폐업정보!$D$3:$R$3,0)),
"Error"))</f>
        <v>D0244</v>
      </c>
      <c r="M249" s="76" t="s">
        <v>96</v>
      </c>
      <c r="N249" s="77"/>
      <c r="O249" s="78" t="s">
        <v>97</v>
      </c>
      <c r="P249" s="79" t="n">
        <f aca="false">COUNTIFS(임대자산!$I:$I,가맹점정보!F249,임대자산!$N:$N,가맹점정보!P$4)</f>
        <v>0</v>
      </c>
      <c r="Q249" s="80" t="n">
        <f aca="false">COUNTIFS(임대자산!$I:$I,가맹점정보!F249,임대자산!$N:$N,가맹점정보!Q$4)</f>
        <v>0</v>
      </c>
      <c r="R249" s="81" t="n">
        <f aca="false">COUNTIFS(임대자산!$I:$I,가맹점정보!F249,임대자산!$N:$N,가맹점정보!R$4)</f>
        <v>1</v>
      </c>
      <c r="S249" s="82" t="n">
        <v>110000</v>
      </c>
      <c r="T249" s="83" t="n">
        <v>0</v>
      </c>
      <c r="U249" s="80" t="n">
        <f aca="false">SUM(S249:T249)</f>
        <v>110000</v>
      </c>
      <c r="V249" s="84" t="s">
        <v>12</v>
      </c>
      <c r="W249" s="80" t="e">
        <f aca="true">
IF(D249="폐업","폐업",
IF(V249="면제","면제",
IF(AND(V249="정상",COUNTIFS(OFFSET(Y249,0,COUNTA(Y249:AV249)-1,1,-4),"미납")&gt;=3),"장기미납",
IF(AND(V249="정상",OFFSET(Y249,0,COUNTA(Y249:AV249)-1)&gt;=U249),"정상",
IF(AND(V249="정상",OFFSET(Y249,0,COUNTA(Y249:AV249)-1)=0),"정상",
"계약서 미작성")))))</f>
        <v>#VALUE!</v>
      </c>
      <c r="X249" s="81" t="str">
        <f aca="true">
IF(D249="폐업","폐업",
IF(AND(V249="정상",OFFSET(Y249,0,COUNTA(Y249:AV249)-1)="미납"),"미납",
IF(AND(V249="정상",OFFSET(Y249,0,COUNTA(Y249:AV249)-1)=0),"납부 시작 전",
IF(AND(V249="정상",OFFSET(Y249,0,COUNTA(Y249:AV249)-1)&gt;=U249),"정상",
IF(AND(V249="면제",OFFSET(Y249,0,COUNTA(Y249:AV249)-1)="면제"),"면제",
IF(AND(V249="면제",OFFSET(Y249,0,COUNTA(Y249:AV249)-1)=0),"면제",
"확인요청"))))))</f>
        <v>정상</v>
      </c>
      <c r="Y249" s="93" t="n">
        <v>110000</v>
      </c>
      <c r="Z249" s="90" t="n">
        <v>110000</v>
      </c>
      <c r="AA249" s="90" t="n">
        <v>110000</v>
      </c>
      <c r="AB249" s="90" t="n">
        <v>110000</v>
      </c>
      <c r="AC249" s="90" t="n">
        <v>55000</v>
      </c>
      <c r="AD249" s="90" t="n">
        <v>55000</v>
      </c>
      <c r="AE249" s="90" t="n">
        <v>55000</v>
      </c>
      <c r="AF249" s="90" t="n">
        <v>55000</v>
      </c>
      <c r="AG249" s="90" t="n">
        <v>110000</v>
      </c>
      <c r="AH249" s="90" t="n">
        <v>110000</v>
      </c>
      <c r="AI249" s="90" t="n">
        <v>110000</v>
      </c>
      <c r="AJ249" s="91" t="n">
        <v>110000</v>
      </c>
      <c r="AK249" s="89" t="n">
        <v>110000</v>
      </c>
      <c r="AL249" s="90" t="n">
        <v>110000</v>
      </c>
      <c r="AM249" s="90"/>
      <c r="AN249" s="90"/>
      <c r="AO249" s="90"/>
      <c r="AP249" s="90"/>
      <c r="AQ249" s="90"/>
      <c r="AR249" s="90"/>
      <c r="AS249" s="90"/>
      <c r="AT249" s="90"/>
      <c r="AU249" s="90"/>
      <c r="AV249" s="91"/>
      <c r="AX249" s="92"/>
    </row>
    <row r="250" customFormat="false" ht="15.65" hidden="false" customHeight="false" outlineLevel="0" collapsed="false">
      <c r="C250" s="72" t="n">
        <f aca="false">COUNTIFS($D$6:D250,"&lt;&gt;"&amp;"")</f>
        <v>245</v>
      </c>
      <c r="D250" s="73" t="s">
        <v>12</v>
      </c>
      <c r="E250" s="76" t="str">
        <f aca="false">
IF($D250="정상",INDEX(임대자산!$D$3:$R$3000,MATCH($F250,임대자산!$I$3:$I$3000,0),MATCH(E$3,임대자산!$D$3:$R$3,0)),
IF($D250="폐업",INDEX(폐업정보!$D$3:$R$3000,MATCH($F250,폐업정보!$I$3:$I$3000,0),MATCH(E$3,폐업정보!$D$3:$R$3,0)),
"Error"))</f>
        <v>경상</v>
      </c>
      <c r="F25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B0245</v>
      </c>
      <c r="G250" s="76" t="str">
        <f aca="false">F250&amp;RANDBETWEEN(0,10)</f>
        <v>B024510</v>
      </c>
      <c r="H250" s="75" t="n">
        <f aca="false">
IF($D250="정상",INDEX(임대자산!$D$3:$R$3000,MATCH($F250,임대자산!$I$3:$I$3000,0),MATCH(H$4,임대자산!$D$3:$R$3,0)),
IF($D250="폐업",INDEX(폐업정보!$D$3:$R$3000,MATCH($F250,폐업정보!$I$3:$I$3000,0),MATCH(H$4,폐업정보!$D$3:$R$3,0)),
"Error"))</f>
        <v>45041</v>
      </c>
      <c r="I250" s="75" t="str">
        <f aca="false">
IF($D250="정상",INDEX(임대자산!$D$3:$R$3000,MATCH($F250,임대자산!$I$3:$I$3000,0),MATCH(I$4,임대자산!$D$3:$R$3,0)),
IF($D250="폐업",INDEX(폐업정보!$D$3:$R$3000,MATCH($F250,폐업정보!$I$3:$I$3000,0),MATCH(I$4,폐업정보!$D$3:$R$3,0)),
"Error"))</f>
        <v>A0245</v>
      </c>
      <c r="J250" s="75" t="str">
        <f aca="false">
IF($D250="정상",INDEX(임대자산!$D$3:$R$3000,MATCH($F250,임대자산!$I$3:$I$3000,0),MATCH(J$4,임대자산!$D$3:$R$3,0)),
IF($D250="폐업",INDEX(폐업정보!$D$3:$R$3000,MATCH($F250,폐업정보!$I$3:$I$3000,0),MATCH(J$4,폐업정보!$D$3:$R$3,0)),
"Error"))</f>
        <v>6031800000</v>
      </c>
      <c r="K250" s="75" t="str">
        <f aca="false">
IF($D250="정상",INDEX(임대자산!$D$3:$R$3000,MATCH($F250,임대자산!$I$3:$I$3000,0),MATCH(K$4,임대자산!$D$3:$R$3,0)),
IF($D250="폐업",INDEX(폐업정보!$D$3:$R$3000,MATCH($F250,폐업정보!$I$3:$I$3000,0),MATCH(K$4,폐업정보!$D$3:$R$3,0)),
"Error"))</f>
        <v>C0245</v>
      </c>
      <c r="L250" s="75" t="str">
        <f aca="false">
IF($D250="정상",INDEX(임대자산!$D$3:$R$3000,MATCH($F250,임대자산!$I$3:$I$3000,0),MATCH(L$4,임대자산!$D$3:$R$3,0)),
IF($D250="폐업",INDEX(폐업정보!$D$3:$R$3000,MATCH($F250,폐업정보!$I$3:$I$3000,0),MATCH(L$4,폐업정보!$D$3:$R$3,0)),
"Error"))</f>
        <v>D0245</v>
      </c>
      <c r="M250" s="76" t="s">
        <v>96</v>
      </c>
      <c r="N250" s="77"/>
      <c r="O250" s="78" t="s">
        <v>97</v>
      </c>
      <c r="P250" s="79" t="n">
        <f aca="false">COUNTIFS(임대자산!$I:$I,가맹점정보!F250,임대자산!$N:$N,가맹점정보!P$4)</f>
        <v>0</v>
      </c>
      <c r="Q250" s="80" t="n">
        <f aca="false">COUNTIFS(임대자산!$I:$I,가맹점정보!F250,임대자산!$N:$N,가맹점정보!Q$4)</f>
        <v>0</v>
      </c>
      <c r="R250" s="81" t="n">
        <f aca="false">COUNTIFS(임대자산!$I:$I,가맹점정보!F250,임대자산!$N:$N,가맹점정보!R$4)</f>
        <v>1</v>
      </c>
      <c r="S250" s="82" t="n">
        <v>27500</v>
      </c>
      <c r="T250" s="83" t="n">
        <v>27500</v>
      </c>
      <c r="U250" s="80" t="n">
        <f aca="false">SUM(S250:T250)</f>
        <v>55000</v>
      </c>
      <c r="V250" s="84" t="s">
        <v>12</v>
      </c>
      <c r="W250" s="80" t="e">
        <f aca="true">
IF(D250="폐업","폐업",
IF(V250="면제","면제",
IF(AND(V250="정상",COUNTIFS(OFFSET(Y250,0,COUNTA(Y250:AV250)-1,1,-4),"미납")&gt;=3),"장기미납",
IF(AND(V250="정상",OFFSET(Y250,0,COUNTA(Y250:AV250)-1)&gt;=U250),"정상",
IF(AND(V250="정상",OFFSET(Y250,0,COUNTA(Y250:AV250)-1)=0),"정상",
"계약서 미작성")))))</f>
        <v>#VALUE!</v>
      </c>
      <c r="X250" s="81" t="str">
        <f aca="true">
IF(D250="폐업","폐업",
IF(AND(V250="정상",OFFSET(Y250,0,COUNTA(Y250:AV250)-1)="미납"),"미납",
IF(AND(V250="정상",OFFSET(Y250,0,COUNTA(Y250:AV250)-1)=0),"납부 시작 전",
IF(AND(V250="정상",OFFSET(Y250,0,COUNTA(Y250:AV250)-1)&gt;=U250),"정상",
IF(AND(V250="면제",OFFSET(Y250,0,COUNTA(Y250:AV250)-1)="면제"),"면제",
IF(AND(V250="면제",OFFSET(Y250,0,COUNTA(Y250:AV250)-1)=0),"면제",
"확인요청"))))))</f>
        <v>정상</v>
      </c>
      <c r="Y250" s="93" t="n">
        <v>55000</v>
      </c>
      <c r="Z250" s="90" t="n">
        <v>55000</v>
      </c>
      <c r="AA250" s="90" t="n">
        <v>55000</v>
      </c>
      <c r="AB250" s="90" t="n">
        <v>55000</v>
      </c>
      <c r="AC250" s="90" t="n">
        <v>55000</v>
      </c>
      <c r="AD250" s="90" t="n">
        <v>55000</v>
      </c>
      <c r="AE250" s="90" t="n">
        <v>55000</v>
      </c>
      <c r="AF250" s="90" t="n">
        <v>55000</v>
      </c>
      <c r="AG250" s="90" t="n">
        <v>55000</v>
      </c>
      <c r="AH250" s="90" t="n">
        <v>55000</v>
      </c>
      <c r="AI250" s="90" t="n">
        <v>55000</v>
      </c>
      <c r="AJ250" s="91" t="n">
        <v>55000</v>
      </c>
      <c r="AK250" s="89" t="n">
        <v>55000</v>
      </c>
      <c r="AL250" s="90" t="n">
        <v>55000</v>
      </c>
      <c r="AM250" s="90"/>
      <c r="AN250" s="90"/>
      <c r="AO250" s="90"/>
      <c r="AP250" s="90"/>
      <c r="AQ250" s="90"/>
      <c r="AR250" s="90"/>
      <c r="AS250" s="90"/>
      <c r="AT250" s="90"/>
      <c r="AU250" s="90"/>
      <c r="AV250" s="91"/>
      <c r="AX250" s="92"/>
    </row>
    <row r="251" customFormat="false" ht="15.65" hidden="false" customHeight="false" outlineLevel="0" collapsed="false">
      <c r="C251" s="72" t="n">
        <f aca="false">COUNTIFS($D$6:D251,"&lt;&gt;"&amp;"")</f>
        <v>246</v>
      </c>
      <c r="D251" s="73" t="s">
        <v>12</v>
      </c>
      <c r="E251" s="76" t="str">
        <f aca="false">
IF($D251="정상",INDEX(임대자산!$D$3:$R$3000,MATCH($F251,임대자산!$I$3:$I$3000,0),MATCH(E$3,임대자산!$D$3:$R$3,0)),
IF($D251="폐업",INDEX(폐업정보!$D$3:$R$3000,MATCH($F251,폐업정보!$I$3:$I$3000,0),MATCH(E$3,폐업정보!$D$3:$R$3,0)),
"Error"))</f>
        <v>경상</v>
      </c>
      <c r="F25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B0246</v>
      </c>
      <c r="G251" s="76" t="str">
        <f aca="false">F251&amp;RANDBETWEEN(0,10)</f>
        <v>B02460</v>
      </c>
      <c r="H251" s="75" t="n">
        <f aca="false">
IF($D251="정상",INDEX(임대자산!$D$3:$R$3000,MATCH($F251,임대자산!$I$3:$I$3000,0),MATCH(H$4,임대자산!$D$3:$R$3,0)),
IF($D251="폐업",INDEX(폐업정보!$D$3:$R$3000,MATCH($F251,폐업정보!$I$3:$I$3000,0),MATCH(H$4,폐업정보!$D$3:$R$3,0)),
"Error"))</f>
        <v>45043</v>
      </c>
      <c r="I251" s="75" t="str">
        <f aca="false">
IF($D251="정상",INDEX(임대자산!$D$3:$R$3000,MATCH($F251,임대자산!$I$3:$I$3000,0),MATCH(I$4,임대자산!$D$3:$R$3,0)),
IF($D251="폐업",INDEX(폐업정보!$D$3:$R$3000,MATCH($F251,폐업정보!$I$3:$I$3000,0),MATCH(I$4,폐업정보!$D$3:$R$3,0)),
"Error"))</f>
        <v>A0246</v>
      </c>
      <c r="J251" s="75" t="str">
        <f aca="false">
IF($D251="정상",INDEX(임대자산!$D$3:$R$3000,MATCH($F251,임대자산!$I$3:$I$3000,0),MATCH(J$4,임대자산!$D$3:$R$3,0)),
IF($D251="폐업",INDEX(폐업정보!$D$3:$R$3000,MATCH($F251,폐업정보!$I$3:$I$3000,0),MATCH(J$4,폐업정보!$D$3:$R$3,0)),
"Error"))</f>
        <v>7891000000</v>
      </c>
      <c r="K251" s="75" t="str">
        <f aca="false">
IF($D251="정상",INDEX(임대자산!$D$3:$R$3000,MATCH($F251,임대자산!$I$3:$I$3000,0),MATCH(K$4,임대자산!$D$3:$R$3,0)),
IF($D251="폐업",INDEX(폐업정보!$D$3:$R$3000,MATCH($F251,폐업정보!$I$3:$I$3000,0),MATCH(K$4,폐업정보!$D$3:$R$3,0)),
"Error"))</f>
        <v>C0246</v>
      </c>
      <c r="L251" s="75" t="str">
        <f aca="false">
IF($D251="정상",INDEX(임대자산!$D$3:$R$3000,MATCH($F251,임대자산!$I$3:$I$3000,0),MATCH(L$4,임대자산!$D$3:$R$3,0)),
IF($D251="폐업",INDEX(폐업정보!$D$3:$R$3000,MATCH($F251,폐업정보!$I$3:$I$3000,0),MATCH(L$4,폐업정보!$D$3:$R$3,0)),
"Error"))</f>
        <v>D0246</v>
      </c>
      <c r="M251" s="76" t="s">
        <v>96</v>
      </c>
      <c r="N251" s="77"/>
      <c r="O251" s="78" t="s">
        <v>97</v>
      </c>
      <c r="P251" s="79" t="n">
        <f aca="false">COUNTIFS(임대자산!$I:$I,가맹점정보!F251,임대자산!$N:$N,가맹점정보!P$4)</f>
        <v>0</v>
      </c>
      <c r="Q251" s="80" t="n">
        <f aca="false">COUNTIFS(임대자산!$I:$I,가맹점정보!F251,임대자산!$N:$N,가맹점정보!Q$4)</f>
        <v>0</v>
      </c>
      <c r="R251" s="81" t="n">
        <f aca="false">COUNTIFS(임대자산!$I:$I,가맹점정보!F251,임대자산!$N:$N,가맹점정보!R$4)</f>
        <v>1</v>
      </c>
      <c r="S251" s="82" t="n">
        <v>44000</v>
      </c>
      <c r="T251" s="83" t="n">
        <v>44000</v>
      </c>
      <c r="U251" s="80" t="n">
        <f aca="false">SUM(S251:T251)</f>
        <v>88000</v>
      </c>
      <c r="V251" s="84" t="s">
        <v>12</v>
      </c>
      <c r="W251" s="80" t="e">
        <f aca="true">
IF(D251="폐업","폐업",
IF(V251="면제","면제",
IF(AND(V251="정상",COUNTIFS(OFFSET(Y251,0,COUNTA(Y251:AV251)-1,1,-4),"미납")&gt;=3),"장기미납",
IF(AND(V251="정상",OFFSET(Y251,0,COUNTA(Y251:AV251)-1)&gt;=U251),"정상",
IF(AND(V251="정상",OFFSET(Y251,0,COUNTA(Y251:AV251)-1)=0),"정상",
"계약서 미작성")))))</f>
        <v>#VALUE!</v>
      </c>
      <c r="X251" s="81" t="str">
        <f aca="true">
IF(D251="폐업","폐업",
IF(AND(V251="정상",OFFSET(Y251,0,COUNTA(Y251:AV251)-1)="미납"),"미납",
IF(AND(V251="정상",OFFSET(Y251,0,COUNTA(Y251:AV251)-1)=0),"납부 시작 전",
IF(AND(V251="정상",OFFSET(Y251,0,COUNTA(Y251:AV251)-1)&gt;=U251),"정상",
IF(AND(V251="면제",OFFSET(Y251,0,COUNTA(Y251:AV251)-1)="면제"),"면제",
IF(AND(V251="면제",OFFSET(Y251,0,COUNTA(Y251:AV251)-1)=0),"면제",
"확인요청"))))))</f>
        <v>정상</v>
      </c>
      <c r="Y251" s="93" t="n">
        <v>88000</v>
      </c>
      <c r="Z251" s="90" t="n">
        <v>88000</v>
      </c>
      <c r="AA251" s="90" t="n">
        <v>88000</v>
      </c>
      <c r="AB251" s="90" t="n">
        <v>88000</v>
      </c>
      <c r="AC251" s="90" t="n">
        <v>88000</v>
      </c>
      <c r="AD251" s="90" t="n">
        <v>88000</v>
      </c>
      <c r="AE251" s="90" t="n">
        <v>88000</v>
      </c>
      <c r="AF251" s="90" t="n">
        <v>88000</v>
      </c>
      <c r="AG251" s="90" t="n">
        <v>88000</v>
      </c>
      <c r="AH251" s="90" t="n">
        <v>88000</v>
      </c>
      <c r="AI251" s="90" t="n">
        <v>88000</v>
      </c>
      <c r="AJ251" s="91" t="n">
        <v>88000</v>
      </c>
      <c r="AK251" s="89" t="n">
        <v>88000</v>
      </c>
      <c r="AL251" s="90" t="n">
        <v>88000</v>
      </c>
      <c r="AM251" s="90"/>
      <c r="AN251" s="90"/>
      <c r="AO251" s="90"/>
      <c r="AP251" s="90"/>
      <c r="AQ251" s="90"/>
      <c r="AR251" s="90"/>
      <c r="AS251" s="90"/>
      <c r="AT251" s="90"/>
      <c r="AU251" s="90"/>
      <c r="AV251" s="91"/>
      <c r="AX251" s="92"/>
    </row>
    <row r="252" customFormat="false" ht="15.65" hidden="false" customHeight="false" outlineLevel="0" collapsed="false">
      <c r="C252" s="72" t="n">
        <f aca="false">COUNTIFS($D$6:D252,"&lt;&gt;"&amp;"")</f>
        <v>247</v>
      </c>
      <c r="D252" s="73" t="s">
        <v>12</v>
      </c>
      <c r="E252" s="76" t="str">
        <f aca="false">
IF($D252="정상",INDEX(임대자산!$D$3:$R$3000,MATCH($F252,임대자산!$I$3:$I$3000,0),MATCH(E$3,임대자산!$D$3:$R$3,0)),
IF($D252="폐업",INDEX(폐업정보!$D$3:$R$3000,MATCH($F252,폐업정보!$I$3:$I$3000,0),MATCH(E$3,폐업정보!$D$3:$R$3,0)),
"Error"))</f>
        <v>강원</v>
      </c>
      <c r="F25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B0247</v>
      </c>
      <c r="G252" s="76" t="str">
        <f aca="false">F252&amp;RANDBETWEEN(0,10)</f>
        <v>B02477</v>
      </c>
      <c r="H252" s="75" t="n">
        <f aca="false">
IF($D252="정상",INDEX(임대자산!$D$3:$R$3000,MATCH($F252,임대자산!$I$3:$I$3000,0),MATCH(H$4,임대자산!$D$3:$R$3,0)),
IF($D252="폐업",INDEX(폐업정보!$D$3:$R$3000,MATCH($F252,폐업정보!$I$3:$I$3000,0),MATCH(H$4,폐업정보!$D$3:$R$3,0)),
"Error"))</f>
        <v>45041</v>
      </c>
      <c r="I252" s="75" t="str">
        <f aca="false">
IF($D252="정상",INDEX(임대자산!$D$3:$R$3000,MATCH($F252,임대자산!$I$3:$I$3000,0),MATCH(I$4,임대자산!$D$3:$R$3,0)),
IF($D252="폐업",INDEX(폐업정보!$D$3:$R$3000,MATCH($F252,폐업정보!$I$3:$I$3000,0),MATCH(I$4,폐업정보!$D$3:$R$3,0)),
"Error"))</f>
        <v>A0247</v>
      </c>
      <c r="J252" s="75" t="str">
        <f aca="false">
IF($D252="정상",INDEX(임대자산!$D$3:$R$3000,MATCH($F252,임대자산!$I$3:$I$3000,0),MATCH(J$4,임대자산!$D$3:$R$3,0)),
IF($D252="폐업",INDEX(폐업정보!$D$3:$R$3000,MATCH($F252,폐업정보!$I$3:$I$3000,0),MATCH(J$4,폐업정보!$D$3:$R$3,0)),
"Error"))</f>
        <v>1162900000</v>
      </c>
      <c r="K252" s="75" t="str">
        <f aca="false">
IF($D252="정상",INDEX(임대자산!$D$3:$R$3000,MATCH($F252,임대자산!$I$3:$I$3000,0),MATCH(K$4,임대자산!$D$3:$R$3,0)),
IF($D252="폐업",INDEX(폐업정보!$D$3:$R$3000,MATCH($F252,폐업정보!$I$3:$I$3000,0),MATCH(K$4,폐업정보!$D$3:$R$3,0)),
"Error"))</f>
        <v>C0247</v>
      </c>
      <c r="L252" s="75" t="str">
        <f aca="false">
IF($D252="정상",INDEX(임대자산!$D$3:$R$3000,MATCH($F252,임대자산!$I$3:$I$3000,0),MATCH(L$4,임대자산!$D$3:$R$3,0)),
IF($D252="폐업",INDEX(폐업정보!$D$3:$R$3000,MATCH($F252,폐업정보!$I$3:$I$3000,0),MATCH(L$4,폐업정보!$D$3:$R$3,0)),
"Error"))</f>
        <v>D0247</v>
      </c>
      <c r="M252" s="76" t="s">
        <v>96</v>
      </c>
      <c r="N252" s="77"/>
      <c r="O252" s="78" t="s">
        <v>97</v>
      </c>
      <c r="P252" s="79" t="n">
        <f aca="false">COUNTIFS(임대자산!$I:$I,가맹점정보!F252,임대자산!$N:$N,가맹점정보!P$4)</f>
        <v>0</v>
      </c>
      <c r="Q252" s="80" t="n">
        <f aca="false">COUNTIFS(임대자산!$I:$I,가맹점정보!F252,임대자산!$N:$N,가맹점정보!Q$4)</f>
        <v>0</v>
      </c>
      <c r="R252" s="81" t="n">
        <f aca="false">COUNTIFS(임대자산!$I:$I,가맹점정보!F252,임대자산!$N:$N,가맹점정보!R$4)</f>
        <v>1</v>
      </c>
      <c r="S252" s="82" t="n">
        <v>55000</v>
      </c>
      <c r="T252" s="83" t="n">
        <v>0</v>
      </c>
      <c r="U252" s="80" t="n">
        <f aca="false">SUM(S252:T252)</f>
        <v>55000</v>
      </c>
      <c r="V252" s="84" t="s">
        <v>12</v>
      </c>
      <c r="W252" s="80" t="e">
        <f aca="true">
IF(D252="폐업","폐업",
IF(V252="면제","면제",
IF(AND(V252="정상",COUNTIFS(OFFSET(Y252,0,COUNTA(Y252:AV252)-1,1,-4),"미납")&gt;=3),"장기미납",
IF(AND(V252="정상",OFFSET(Y252,0,COUNTA(Y252:AV252)-1)&gt;=U252),"정상",
IF(AND(V252="정상",OFFSET(Y252,0,COUNTA(Y252:AV252)-1)=0),"정상",
"계약서 미작성")))))</f>
        <v>#VALUE!</v>
      </c>
      <c r="X252" s="81" t="str">
        <f aca="true">
IF(D252="폐업","폐업",
IF(AND(V252="정상",OFFSET(Y252,0,COUNTA(Y252:AV252)-1)="미납"),"미납",
IF(AND(V252="정상",OFFSET(Y252,0,COUNTA(Y252:AV252)-1)=0),"납부 시작 전",
IF(AND(V252="정상",OFFSET(Y252,0,COUNTA(Y252:AV252)-1)&gt;=U252),"정상",
IF(AND(V252="면제",OFFSET(Y252,0,COUNTA(Y252:AV252)-1)="면제"),"면제",
IF(AND(V252="면제",OFFSET(Y252,0,COUNTA(Y252:AV252)-1)=0),"면제",
"확인요청"))))))</f>
        <v>정상</v>
      </c>
      <c r="Y252" s="93" t="n">
        <v>55000</v>
      </c>
      <c r="Z252" s="90" t="n">
        <v>55000</v>
      </c>
      <c r="AA252" s="90" t="n">
        <v>55000</v>
      </c>
      <c r="AB252" s="90" t="n">
        <v>55000</v>
      </c>
      <c r="AC252" s="90" t="n">
        <v>55000</v>
      </c>
      <c r="AD252" s="90" t="n">
        <v>55000</v>
      </c>
      <c r="AE252" s="90" t="n">
        <v>55000</v>
      </c>
      <c r="AF252" s="90" t="n">
        <v>55000</v>
      </c>
      <c r="AG252" s="90" t="n">
        <v>55000</v>
      </c>
      <c r="AH252" s="90" t="n">
        <v>55000</v>
      </c>
      <c r="AI252" s="90" t="n">
        <v>55000</v>
      </c>
      <c r="AJ252" s="91" t="n">
        <v>55000</v>
      </c>
      <c r="AK252" s="89" t="n">
        <v>55000</v>
      </c>
      <c r="AL252" s="90" t="n">
        <v>55000</v>
      </c>
      <c r="AM252" s="90"/>
      <c r="AN252" s="90"/>
      <c r="AO252" s="90"/>
      <c r="AP252" s="90"/>
      <c r="AQ252" s="90"/>
      <c r="AR252" s="90"/>
      <c r="AS252" s="90"/>
      <c r="AT252" s="90"/>
      <c r="AU252" s="90"/>
      <c r="AV252" s="91"/>
      <c r="AX252" s="92"/>
    </row>
    <row r="253" customFormat="false" ht="15.65" hidden="false" customHeight="false" outlineLevel="0" collapsed="false">
      <c r="C253" s="72" t="n">
        <f aca="false">COUNTIFS($D$6:D253,"&lt;&gt;"&amp;"")</f>
        <v>248</v>
      </c>
      <c r="D253" s="73" t="s">
        <v>12</v>
      </c>
      <c r="E253" s="76" t="str">
        <f aca="false">
IF($D253="정상",INDEX(임대자산!$D$3:$R$3000,MATCH($F253,임대자산!$I$3:$I$3000,0),MATCH(E$3,임대자산!$D$3:$R$3,0)),
IF($D253="폐업",INDEX(폐업정보!$D$3:$R$3000,MATCH($F253,폐업정보!$I$3:$I$3000,0),MATCH(E$3,폐업정보!$D$3:$R$3,0)),
"Error"))</f>
        <v>경상</v>
      </c>
      <c r="F25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B0248</v>
      </c>
      <c r="G253" s="76" t="str">
        <f aca="false">F253&amp;RANDBETWEEN(0,10)</f>
        <v>B02485</v>
      </c>
      <c r="H253" s="75" t="n">
        <f aca="false">
IF($D253="정상",INDEX(임대자산!$D$3:$R$3000,MATCH($F253,임대자산!$I$3:$I$3000,0),MATCH(H$4,임대자산!$D$3:$R$3,0)),
IF($D253="폐업",INDEX(폐업정보!$D$3:$R$3000,MATCH($F253,폐업정보!$I$3:$I$3000,0),MATCH(H$4,폐업정보!$D$3:$R$3,0)),
"Error"))</f>
        <v>45797</v>
      </c>
      <c r="I253" s="75" t="str">
        <f aca="false">
IF($D253="정상",INDEX(임대자산!$D$3:$R$3000,MATCH($F253,임대자산!$I$3:$I$3000,0),MATCH(I$4,임대자산!$D$3:$R$3,0)),
IF($D253="폐업",INDEX(폐업정보!$D$3:$R$3000,MATCH($F253,폐업정보!$I$3:$I$3000,0),MATCH(I$4,폐업정보!$D$3:$R$3,0)),
"Error"))</f>
        <v>A0248</v>
      </c>
      <c r="J253" s="75" t="str">
        <f aca="false">
IF($D253="정상",INDEX(임대자산!$D$3:$R$3000,MATCH($F253,임대자산!$I$3:$I$3000,0),MATCH(J$4,임대자산!$D$3:$R$3,0)),
IF($D253="폐업",INDEX(폐업정보!$D$3:$R$3000,MATCH($F253,폐업정보!$I$3:$I$3000,0),MATCH(J$4,폐업정보!$D$3:$R$3,0)),
"Error"))</f>
        <v>3536300000</v>
      </c>
      <c r="K253" s="75" t="str">
        <f aca="false">
IF($D253="정상",INDEX(임대자산!$D$3:$R$3000,MATCH($F253,임대자산!$I$3:$I$3000,0),MATCH(K$4,임대자산!$D$3:$R$3,0)),
IF($D253="폐업",INDEX(폐업정보!$D$3:$R$3000,MATCH($F253,폐업정보!$I$3:$I$3000,0),MATCH(K$4,폐업정보!$D$3:$R$3,0)),
"Error"))</f>
        <v>C0248</v>
      </c>
      <c r="L253" s="75" t="str">
        <f aca="false">
IF($D253="정상",INDEX(임대자산!$D$3:$R$3000,MATCH($F253,임대자산!$I$3:$I$3000,0),MATCH(L$4,임대자산!$D$3:$R$3,0)),
IF($D253="폐업",INDEX(폐업정보!$D$3:$R$3000,MATCH($F253,폐업정보!$I$3:$I$3000,0),MATCH(L$4,폐업정보!$D$3:$R$3,0)),
"Error"))</f>
        <v>D0248</v>
      </c>
      <c r="M253" s="76" t="s">
        <v>96</v>
      </c>
      <c r="N253" s="77"/>
      <c r="O253" s="78" t="s">
        <v>97</v>
      </c>
      <c r="P253" s="79" t="n">
        <f aca="false">COUNTIFS(임대자산!$I:$I,가맹점정보!F253,임대자산!$N:$N,가맹점정보!P$4)</f>
        <v>0</v>
      </c>
      <c r="Q253" s="80" t="n">
        <f aca="false">COUNTIFS(임대자산!$I:$I,가맹점정보!F253,임대자산!$N:$N,가맹점정보!Q$4)</f>
        <v>0</v>
      </c>
      <c r="R253" s="81" t="n">
        <f aca="false">COUNTIFS(임대자산!$I:$I,가맹점정보!F253,임대자산!$N:$N,가맹점정보!R$4)</f>
        <v>1</v>
      </c>
      <c r="S253" s="82" t="n">
        <v>110000</v>
      </c>
      <c r="T253" s="83" t="n">
        <v>0</v>
      </c>
      <c r="U253" s="80" t="n">
        <f aca="false">SUM(S253:T253)</f>
        <v>110000</v>
      </c>
      <c r="V253" s="84" t="s">
        <v>12</v>
      </c>
      <c r="W253" s="80" t="e">
        <f aca="true">
IF(D253="폐업","폐업",
IF(V253="면제","면제",
IF(AND(V253="정상",COUNTIFS(OFFSET(Y253,0,COUNTA(Y253:AV253)-1,1,-4),"미납")&gt;=3),"장기미납",
IF(AND(V253="정상",OFFSET(Y253,0,COUNTA(Y253:AV253)-1)&gt;=U253),"정상",
IF(AND(V253="정상",OFFSET(Y253,0,COUNTA(Y253:AV253)-1)=0),"정상",
"계약서 미작성")))))</f>
        <v>#VALUE!</v>
      </c>
      <c r="X253" s="81" t="str">
        <f aca="true">
IF(D253="폐업","폐업",
IF(AND(V253="정상",OFFSET(Y253,0,COUNTA(Y253:AV253)-1)="미납"),"미납",
IF(AND(V253="정상",OFFSET(Y253,0,COUNTA(Y253:AV253)-1)=0),"납부 시작 전",
IF(AND(V253="정상",OFFSET(Y253,0,COUNTA(Y253:AV253)-1)&gt;=U253),"정상",
IF(AND(V253="면제",OFFSET(Y253,0,COUNTA(Y253:AV253)-1)="면제"),"면제",
IF(AND(V253="면제",OFFSET(Y253,0,COUNTA(Y253:AV253)-1)=0),"면제",
"확인요청"))))))</f>
        <v>정상</v>
      </c>
      <c r="Y253" s="93" t="n">
        <v>110000</v>
      </c>
      <c r="Z253" s="90" t="n">
        <v>110000</v>
      </c>
      <c r="AA253" s="90" t="n">
        <v>110000</v>
      </c>
      <c r="AB253" s="90" t="n">
        <v>110000</v>
      </c>
      <c r="AC253" s="90" t="n">
        <v>110000</v>
      </c>
      <c r="AD253" s="90" t="n">
        <v>110000</v>
      </c>
      <c r="AE253" s="90" t="n">
        <v>110000</v>
      </c>
      <c r="AF253" s="90" t="n">
        <v>110000</v>
      </c>
      <c r="AG253" s="90" t="n">
        <v>110000</v>
      </c>
      <c r="AH253" s="90" t="n">
        <v>110000</v>
      </c>
      <c r="AI253" s="90" t="n">
        <v>110000</v>
      </c>
      <c r="AJ253" s="91" t="n">
        <v>110000</v>
      </c>
      <c r="AK253" s="89" t="n">
        <v>110000</v>
      </c>
      <c r="AL253" s="90" t="n">
        <v>110000</v>
      </c>
      <c r="AM253" s="90"/>
      <c r="AN253" s="90"/>
      <c r="AO253" s="90"/>
      <c r="AP253" s="90"/>
      <c r="AQ253" s="90"/>
      <c r="AR253" s="90"/>
      <c r="AS253" s="90"/>
      <c r="AT253" s="90"/>
      <c r="AU253" s="90"/>
      <c r="AV253" s="91"/>
      <c r="AX253" s="92"/>
    </row>
    <row r="254" customFormat="false" ht="15.65" hidden="false" customHeight="false" outlineLevel="0" collapsed="false">
      <c r="C254" s="72" t="n">
        <f aca="false">COUNTIFS($D$6:D254,"&lt;&gt;"&amp;"")</f>
        <v>249</v>
      </c>
      <c r="D254" s="73" t="s">
        <v>12</v>
      </c>
      <c r="E254" s="76" t="str">
        <f aca="false">
IF($D254="정상",INDEX(임대자산!$D$3:$R$3000,MATCH($F254,임대자산!$I$3:$I$3000,0),MATCH(E$3,임대자산!$D$3:$R$3,0)),
IF($D254="폐업",INDEX(폐업정보!$D$3:$R$3000,MATCH($F254,폐업정보!$I$3:$I$3000,0),MATCH(E$3,폐업정보!$D$3:$R$3,0)),
"Error"))</f>
        <v>서울</v>
      </c>
      <c r="F25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B0249</v>
      </c>
      <c r="G254" s="76" t="str">
        <f aca="false">F254&amp;RANDBETWEEN(0,10)</f>
        <v>B02497</v>
      </c>
      <c r="H254" s="75" t="n">
        <f aca="false">
IF($D254="정상",INDEX(임대자산!$D$3:$R$3000,MATCH($F254,임대자산!$I$3:$I$3000,0),MATCH(H$4,임대자산!$D$3:$R$3,0)),
IF($D254="폐업",INDEX(폐업정보!$D$3:$R$3000,MATCH($F254,폐업정보!$I$3:$I$3000,0),MATCH(H$4,폐업정보!$D$3:$R$3,0)),
"Error"))</f>
        <v>45055</v>
      </c>
      <c r="I254" s="75" t="str">
        <f aca="false">
IF($D254="정상",INDEX(임대자산!$D$3:$R$3000,MATCH($F254,임대자산!$I$3:$I$3000,0),MATCH(I$4,임대자산!$D$3:$R$3,0)),
IF($D254="폐업",INDEX(폐업정보!$D$3:$R$3000,MATCH($F254,폐업정보!$I$3:$I$3000,0),MATCH(I$4,폐업정보!$D$3:$R$3,0)),
"Error"))</f>
        <v>A0249</v>
      </c>
      <c r="J254" s="75" t="str">
        <f aca="false">
IF($D254="정상",INDEX(임대자산!$D$3:$R$3000,MATCH($F254,임대자산!$I$3:$I$3000,0),MATCH(J$4,임대자산!$D$3:$R$3,0)),
IF($D254="폐업",INDEX(폐업정보!$D$3:$R$3000,MATCH($F254,폐업정보!$I$3:$I$3000,0),MATCH(J$4,폐업정보!$D$3:$R$3,0)),
"Error"))</f>
        <v>4863200000</v>
      </c>
      <c r="K254" s="75" t="str">
        <f aca="false">
IF($D254="정상",INDEX(임대자산!$D$3:$R$3000,MATCH($F254,임대자산!$I$3:$I$3000,0),MATCH(K$4,임대자산!$D$3:$R$3,0)),
IF($D254="폐업",INDEX(폐업정보!$D$3:$R$3000,MATCH($F254,폐업정보!$I$3:$I$3000,0),MATCH(K$4,폐업정보!$D$3:$R$3,0)),
"Error"))</f>
        <v>C0249</v>
      </c>
      <c r="L254" s="75" t="str">
        <f aca="false">
IF($D254="정상",INDEX(임대자산!$D$3:$R$3000,MATCH($F254,임대자산!$I$3:$I$3000,0),MATCH(L$4,임대자산!$D$3:$R$3,0)),
IF($D254="폐업",INDEX(폐업정보!$D$3:$R$3000,MATCH($F254,폐업정보!$I$3:$I$3000,0),MATCH(L$4,폐업정보!$D$3:$R$3,0)),
"Error"))</f>
        <v>D0249</v>
      </c>
      <c r="M254" s="76" t="s">
        <v>96</v>
      </c>
      <c r="N254" s="77"/>
      <c r="O254" s="78" t="s">
        <v>97</v>
      </c>
      <c r="P254" s="79" t="n">
        <f aca="false">COUNTIFS(임대자산!$I:$I,가맹점정보!F254,임대자산!$N:$N,가맹점정보!P$4)</f>
        <v>0</v>
      </c>
      <c r="Q254" s="80" t="n">
        <f aca="false">COUNTIFS(임대자산!$I:$I,가맹점정보!F254,임대자산!$N:$N,가맹점정보!Q$4)</f>
        <v>0</v>
      </c>
      <c r="R254" s="81" t="n">
        <f aca="false">COUNTIFS(임대자산!$I:$I,가맹점정보!F254,임대자산!$N:$N,가맹점정보!R$4)</f>
        <v>1</v>
      </c>
      <c r="S254" s="82" t="n">
        <v>55000</v>
      </c>
      <c r="T254" s="83" t="n">
        <v>0</v>
      </c>
      <c r="U254" s="80" t="n">
        <f aca="false">SUM(S254:T254)</f>
        <v>55000</v>
      </c>
      <c r="V254" s="84" t="s">
        <v>12</v>
      </c>
      <c r="W254" s="80" t="e">
        <f aca="true">
IF(D254="폐업","폐업",
IF(V254="면제","면제",
IF(AND(V254="정상",COUNTIFS(OFFSET(Y254,0,COUNTA(Y254:AV254)-1,1,-4),"미납")&gt;=3),"장기미납",
IF(AND(V254="정상",OFFSET(Y254,0,COUNTA(Y254:AV254)-1)&gt;=U254),"정상",
IF(AND(V254="정상",OFFSET(Y254,0,COUNTA(Y254:AV254)-1)=0),"정상",
"계약서 미작성")))))</f>
        <v>#VALUE!</v>
      </c>
      <c r="X254" s="81" t="str">
        <f aca="true">
IF(D254="폐업","폐업",
IF(AND(V254="정상",OFFSET(Y254,0,COUNTA(Y254:AV254)-1)="미납"),"미납",
IF(AND(V254="정상",OFFSET(Y254,0,COUNTA(Y254:AV254)-1)=0),"납부 시작 전",
IF(AND(V254="정상",OFFSET(Y254,0,COUNTA(Y254:AV254)-1)&gt;=U254),"정상",
IF(AND(V254="면제",OFFSET(Y254,0,COUNTA(Y254:AV254)-1)="면제"),"면제",
IF(AND(V254="면제",OFFSET(Y254,0,COUNTA(Y254:AV254)-1)=0),"면제",
"확인요청"))))))</f>
        <v>정상</v>
      </c>
      <c r="Y254" s="93" t="n">
        <v>55000</v>
      </c>
      <c r="Z254" s="90" t="n">
        <v>55000</v>
      </c>
      <c r="AA254" s="90" t="n">
        <v>55000</v>
      </c>
      <c r="AB254" s="90" t="n">
        <v>55000</v>
      </c>
      <c r="AC254" s="90" t="n">
        <v>55000</v>
      </c>
      <c r="AD254" s="90" t="n">
        <v>55000</v>
      </c>
      <c r="AE254" s="90" t="n">
        <v>55000</v>
      </c>
      <c r="AF254" s="90" t="n">
        <v>55000</v>
      </c>
      <c r="AG254" s="90" t="n">
        <v>55000</v>
      </c>
      <c r="AH254" s="90" t="n">
        <v>55000</v>
      </c>
      <c r="AI254" s="90" t="n">
        <v>55000</v>
      </c>
      <c r="AJ254" s="91" t="n">
        <v>55000</v>
      </c>
      <c r="AK254" s="89" t="n">
        <v>55000</v>
      </c>
      <c r="AL254" s="90" t="n">
        <v>55000</v>
      </c>
      <c r="AM254" s="90"/>
      <c r="AN254" s="90"/>
      <c r="AO254" s="90"/>
      <c r="AP254" s="90"/>
      <c r="AQ254" s="90"/>
      <c r="AR254" s="90"/>
      <c r="AS254" s="90"/>
      <c r="AT254" s="90"/>
      <c r="AU254" s="90"/>
      <c r="AV254" s="91"/>
      <c r="AX254" s="92"/>
    </row>
    <row r="255" customFormat="false" ht="15.65" hidden="false" customHeight="false" outlineLevel="0" collapsed="false">
      <c r="C255" s="72" t="n">
        <f aca="false">COUNTIFS($D$6:D255,"&lt;&gt;"&amp;"")</f>
        <v>250</v>
      </c>
      <c r="D255" s="73" t="s">
        <v>12</v>
      </c>
      <c r="E255" s="76" t="str">
        <f aca="false">
IF($D255="정상",INDEX(임대자산!$D$3:$R$3000,MATCH($F255,임대자산!$I$3:$I$3000,0),MATCH(E$3,임대자산!$D$3:$R$3,0)),
IF($D255="폐업",INDEX(폐업정보!$D$3:$R$3000,MATCH($F255,폐업정보!$I$3:$I$3000,0),MATCH(E$3,폐업정보!$D$3:$R$3,0)),
"Error"))</f>
        <v>전라</v>
      </c>
      <c r="F25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B0250</v>
      </c>
      <c r="G255" s="76" t="str">
        <f aca="false">F255&amp;RANDBETWEEN(0,10)</f>
        <v>B02503</v>
      </c>
      <c r="H255" s="75" t="n">
        <f aca="false">
IF($D255="정상",INDEX(임대자산!$D$3:$R$3000,MATCH($F255,임대자산!$I$3:$I$3000,0),MATCH(H$4,임대자산!$D$3:$R$3,0)),
IF($D255="폐업",INDEX(폐업정보!$D$3:$R$3000,MATCH($F255,폐업정보!$I$3:$I$3000,0),MATCH(H$4,폐업정보!$D$3:$R$3,0)),
"Error"))</f>
        <v>45070</v>
      </c>
      <c r="I255" s="75" t="str">
        <f aca="false">
IF($D255="정상",INDEX(임대자산!$D$3:$R$3000,MATCH($F255,임대자산!$I$3:$I$3000,0),MATCH(I$4,임대자산!$D$3:$R$3,0)),
IF($D255="폐업",INDEX(폐업정보!$D$3:$R$3000,MATCH($F255,폐업정보!$I$3:$I$3000,0),MATCH(I$4,폐업정보!$D$3:$R$3,0)),
"Error"))</f>
        <v>A0250</v>
      </c>
      <c r="J255" s="75" t="str">
        <f aca="false">
IF($D255="정상",INDEX(임대자산!$D$3:$R$3000,MATCH($F255,임대자산!$I$3:$I$3000,0),MATCH(J$4,임대자산!$D$3:$R$3,0)),
IF($D255="폐업",INDEX(폐업정보!$D$3:$R$3000,MATCH($F255,폐업정보!$I$3:$I$3000,0),MATCH(J$4,폐업정보!$D$3:$R$3,0)),
"Error"))</f>
        <v>9557700000</v>
      </c>
      <c r="K255" s="75" t="str">
        <f aca="false">
IF($D255="정상",INDEX(임대자산!$D$3:$R$3000,MATCH($F255,임대자산!$I$3:$I$3000,0),MATCH(K$4,임대자산!$D$3:$R$3,0)),
IF($D255="폐업",INDEX(폐업정보!$D$3:$R$3000,MATCH($F255,폐업정보!$I$3:$I$3000,0),MATCH(K$4,폐업정보!$D$3:$R$3,0)),
"Error"))</f>
        <v>C0250</v>
      </c>
      <c r="L255" s="75" t="str">
        <f aca="false">
IF($D255="정상",INDEX(임대자산!$D$3:$R$3000,MATCH($F255,임대자산!$I$3:$I$3000,0),MATCH(L$4,임대자산!$D$3:$R$3,0)),
IF($D255="폐업",INDEX(폐업정보!$D$3:$R$3000,MATCH($F255,폐업정보!$I$3:$I$3000,0),MATCH(L$4,폐업정보!$D$3:$R$3,0)),
"Error"))</f>
        <v>D0250</v>
      </c>
      <c r="M255" s="76" t="s">
        <v>96</v>
      </c>
      <c r="N255" s="77"/>
      <c r="O255" s="78" t="s">
        <v>97</v>
      </c>
      <c r="P255" s="79" t="n">
        <f aca="false">COUNTIFS(임대자산!$I:$I,가맹점정보!F255,임대자산!$N:$N,가맹점정보!P$4)</f>
        <v>0</v>
      </c>
      <c r="Q255" s="80" t="n">
        <f aca="false">COUNTIFS(임대자산!$I:$I,가맹점정보!F255,임대자산!$N:$N,가맹점정보!Q$4)</f>
        <v>0</v>
      </c>
      <c r="R255" s="81" t="n">
        <f aca="false">COUNTIFS(임대자산!$I:$I,가맹점정보!F255,임대자산!$N:$N,가맹점정보!R$4)</f>
        <v>1</v>
      </c>
      <c r="S255" s="82" t="n">
        <v>88000</v>
      </c>
      <c r="T255" s="83" t="n">
        <v>0</v>
      </c>
      <c r="U255" s="80" t="n">
        <f aca="false">SUM(S255:T255)</f>
        <v>88000</v>
      </c>
      <c r="V255" s="84" t="s">
        <v>7</v>
      </c>
      <c r="W255" s="80" t="str">
        <f aca="true">
IF(D255="폐업","폐업",
IF(V255="면제","면제",
IF(AND(V255="정상",COUNTIFS(OFFSET(Y255,0,COUNTA(Y255:AV255)-1,1,-4),"미납")&gt;=3),"장기미납",
IF(AND(V255="정상",OFFSET(Y255,0,COUNTA(Y255:AV255)-1)&gt;=U255),"정상",
IF(AND(V255="정상",OFFSET(Y255,0,COUNTA(Y255:AV255)-1)=0),"정상",
"계약서 미작성")))))</f>
        <v>면제</v>
      </c>
      <c r="X255" s="81" t="str">
        <f aca="true">
IF(D255="폐업","폐업",
IF(AND(V255="정상",OFFSET(Y255,0,COUNTA(Y255:AV255)-1)="미납"),"미납",
IF(AND(V255="정상",OFFSET(Y255,0,COUNTA(Y255:AV255)-1)=0),"납부 시작 전",
IF(AND(V255="정상",OFFSET(Y255,0,COUNTA(Y255:AV255)-1)&gt;=U255),"정상",
IF(AND(V255="면제",OFFSET(Y255,0,COUNTA(Y255:AV255)-1)="면제"),"면제",
IF(AND(V255="면제",OFFSET(Y255,0,COUNTA(Y255:AV255)-1)=0),"면제",
"확인요청"))))))</f>
        <v>면제</v>
      </c>
      <c r="Y255" s="94" t="s">
        <v>7</v>
      </c>
      <c r="Z255" s="95" t="s">
        <v>7</v>
      </c>
      <c r="AA255" s="95" t="s">
        <v>7</v>
      </c>
      <c r="AB255" s="95" t="s">
        <v>7</v>
      </c>
      <c r="AC255" s="95" t="s">
        <v>7</v>
      </c>
      <c r="AD255" s="95" t="s">
        <v>7</v>
      </c>
      <c r="AE255" s="95" t="s">
        <v>7</v>
      </c>
      <c r="AF255" s="95" t="s">
        <v>7</v>
      </c>
      <c r="AG255" s="95" t="s">
        <v>7</v>
      </c>
      <c r="AH255" s="95" t="s">
        <v>7</v>
      </c>
      <c r="AI255" s="95" t="s">
        <v>7</v>
      </c>
      <c r="AJ255" s="96" t="s">
        <v>7</v>
      </c>
      <c r="AK255" s="97" t="s">
        <v>7</v>
      </c>
      <c r="AL255" s="95" t="s">
        <v>7</v>
      </c>
      <c r="AM255" s="90"/>
      <c r="AN255" s="90"/>
      <c r="AO255" s="90"/>
      <c r="AP255" s="90"/>
      <c r="AQ255" s="90"/>
      <c r="AR255" s="90"/>
      <c r="AS255" s="90"/>
      <c r="AT255" s="90"/>
      <c r="AU255" s="90"/>
      <c r="AV255" s="91"/>
      <c r="AX255" s="92"/>
    </row>
    <row r="256" customFormat="false" ht="15.65" hidden="false" customHeight="false" outlineLevel="0" collapsed="false">
      <c r="C256" s="72" t="n">
        <f aca="false">COUNTIFS($D$6:D256,"&lt;&gt;"&amp;"")</f>
        <v>251</v>
      </c>
      <c r="D256" s="73" t="s">
        <v>12</v>
      </c>
      <c r="E256" s="76" t="str">
        <f aca="false">
IF($D256="정상",INDEX(임대자산!$D$3:$R$3000,MATCH($F256,임대자산!$I$3:$I$3000,0),MATCH(E$3,임대자산!$D$3:$R$3,0)),
IF($D256="폐업",INDEX(폐업정보!$D$3:$R$3000,MATCH($F256,폐업정보!$I$3:$I$3000,0),MATCH(E$3,폐업정보!$D$3:$R$3,0)),
"Error"))</f>
        <v>강원</v>
      </c>
      <c r="F25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B0251</v>
      </c>
      <c r="G256" s="76" t="str">
        <f aca="false">F256&amp;RANDBETWEEN(0,10)</f>
        <v>B02510</v>
      </c>
      <c r="H256" s="75" t="n">
        <f aca="false">
IF($D256="정상",INDEX(임대자산!$D$3:$R$3000,MATCH($F256,임대자산!$I$3:$I$3000,0),MATCH(H$4,임대자산!$D$3:$R$3,0)),
IF($D256="폐업",INDEX(폐업정보!$D$3:$R$3000,MATCH($F256,폐업정보!$I$3:$I$3000,0),MATCH(H$4,폐업정보!$D$3:$R$3,0)),
"Error"))</f>
        <v>45048</v>
      </c>
      <c r="I256" s="75" t="str">
        <f aca="false">
IF($D256="정상",INDEX(임대자산!$D$3:$R$3000,MATCH($F256,임대자산!$I$3:$I$3000,0),MATCH(I$4,임대자산!$D$3:$R$3,0)),
IF($D256="폐업",INDEX(폐업정보!$D$3:$R$3000,MATCH($F256,폐업정보!$I$3:$I$3000,0),MATCH(I$4,폐업정보!$D$3:$R$3,0)),
"Error"))</f>
        <v>A0251</v>
      </c>
      <c r="J256" s="75" t="str">
        <f aca="false">
IF($D256="정상",INDEX(임대자산!$D$3:$R$3000,MATCH($F256,임대자산!$I$3:$I$3000,0),MATCH(J$4,임대자산!$D$3:$R$3,0)),
IF($D256="폐업",INDEX(폐업정보!$D$3:$R$3000,MATCH($F256,폐업정보!$I$3:$I$3000,0),MATCH(J$4,폐업정보!$D$3:$R$3,0)),
"Error"))</f>
        <v>1668000000</v>
      </c>
      <c r="K256" s="75" t="str">
        <f aca="false">
IF($D256="정상",INDEX(임대자산!$D$3:$R$3000,MATCH($F256,임대자산!$I$3:$I$3000,0),MATCH(K$4,임대자산!$D$3:$R$3,0)),
IF($D256="폐업",INDEX(폐업정보!$D$3:$R$3000,MATCH($F256,폐업정보!$I$3:$I$3000,0),MATCH(K$4,폐업정보!$D$3:$R$3,0)),
"Error"))</f>
        <v>C0251</v>
      </c>
      <c r="L256" s="75" t="str">
        <f aca="false">
IF($D256="정상",INDEX(임대자산!$D$3:$R$3000,MATCH($F256,임대자산!$I$3:$I$3000,0),MATCH(L$4,임대자산!$D$3:$R$3,0)),
IF($D256="폐업",INDEX(폐업정보!$D$3:$R$3000,MATCH($F256,폐업정보!$I$3:$I$3000,0),MATCH(L$4,폐업정보!$D$3:$R$3,0)),
"Error"))</f>
        <v>D0251</v>
      </c>
      <c r="M256" s="76" t="s">
        <v>96</v>
      </c>
      <c r="N256" s="77"/>
      <c r="O256" s="78" t="s">
        <v>97</v>
      </c>
      <c r="P256" s="79" t="n">
        <f aca="false">COUNTIFS(임대자산!$I:$I,가맹점정보!F256,임대자산!$N:$N,가맹점정보!P$4)</f>
        <v>0</v>
      </c>
      <c r="Q256" s="80" t="n">
        <f aca="false">COUNTIFS(임대자산!$I:$I,가맹점정보!F256,임대자산!$N:$N,가맹점정보!Q$4)</f>
        <v>0</v>
      </c>
      <c r="R256" s="81" t="n">
        <f aca="false">COUNTIFS(임대자산!$I:$I,가맹점정보!F256,임대자산!$N:$N,가맹점정보!R$4)</f>
        <v>1</v>
      </c>
      <c r="S256" s="82" t="n">
        <v>55000</v>
      </c>
      <c r="T256" s="83" t="n">
        <v>0</v>
      </c>
      <c r="U256" s="80" t="n">
        <f aca="false">SUM(S256:T256)</f>
        <v>55000</v>
      </c>
      <c r="V256" s="84" t="s">
        <v>12</v>
      </c>
      <c r="W256" s="80" t="e">
        <f aca="true">
IF(D256="폐업","폐업",
IF(V256="면제","면제",
IF(AND(V256="정상",COUNTIFS(OFFSET(Y256,0,COUNTA(Y256:AV256)-1,1,-4),"미납")&gt;=3),"장기미납",
IF(AND(V256="정상",OFFSET(Y256,0,COUNTA(Y256:AV256)-1)&gt;=U256),"정상",
IF(AND(V256="정상",OFFSET(Y256,0,COUNTA(Y256:AV256)-1)=0),"정상",
"계약서 미작성")))))</f>
        <v>#VALUE!</v>
      </c>
      <c r="X256" s="81" t="str">
        <f aca="true">
IF(D256="폐업","폐업",
IF(AND(V256="정상",OFFSET(Y256,0,COUNTA(Y256:AV256)-1)="미납"),"미납",
IF(AND(V256="정상",OFFSET(Y256,0,COUNTA(Y256:AV256)-1)=0),"납부 시작 전",
IF(AND(V256="정상",OFFSET(Y256,0,COUNTA(Y256:AV256)-1)&gt;=U256),"정상",
IF(AND(V256="면제",OFFSET(Y256,0,COUNTA(Y256:AV256)-1)="면제"),"면제",
IF(AND(V256="면제",OFFSET(Y256,0,COUNTA(Y256:AV256)-1)=0),"면제",
"확인요청"))))))</f>
        <v>정상</v>
      </c>
      <c r="Y256" s="93" t="n">
        <v>55000</v>
      </c>
      <c r="Z256" s="90" t="n">
        <v>55000</v>
      </c>
      <c r="AA256" s="90" t="n">
        <v>55000</v>
      </c>
      <c r="AB256" s="90" t="n">
        <v>55000</v>
      </c>
      <c r="AC256" s="90" t="n">
        <v>55000</v>
      </c>
      <c r="AD256" s="90" t="n">
        <v>55000</v>
      </c>
      <c r="AE256" s="90" t="n">
        <v>55000</v>
      </c>
      <c r="AF256" s="90" t="n">
        <v>55000</v>
      </c>
      <c r="AG256" s="90" t="n">
        <v>55000</v>
      </c>
      <c r="AH256" s="90" t="n">
        <v>55000</v>
      </c>
      <c r="AI256" s="90" t="n">
        <v>55000</v>
      </c>
      <c r="AJ256" s="91" t="n">
        <v>55000</v>
      </c>
      <c r="AK256" s="89" t="n">
        <v>55000</v>
      </c>
      <c r="AL256" s="90" t="n">
        <v>55000</v>
      </c>
      <c r="AM256" s="90"/>
      <c r="AN256" s="90"/>
      <c r="AO256" s="90"/>
      <c r="AP256" s="90"/>
      <c r="AQ256" s="90"/>
      <c r="AR256" s="90"/>
      <c r="AS256" s="90"/>
      <c r="AT256" s="90"/>
      <c r="AU256" s="90"/>
      <c r="AV256" s="91"/>
      <c r="AX256" s="92"/>
    </row>
    <row r="257" customFormat="false" ht="15.65" hidden="false" customHeight="false" outlineLevel="0" collapsed="false">
      <c r="C257" s="72" t="n">
        <f aca="false">COUNTIFS($D$6:D257,"&lt;&gt;"&amp;"")</f>
        <v>252</v>
      </c>
      <c r="D257" s="73" t="s">
        <v>12</v>
      </c>
      <c r="E257" s="76" t="str">
        <f aca="false">
IF($D257="정상",INDEX(임대자산!$D$3:$R$3000,MATCH($F257,임대자산!$I$3:$I$3000,0),MATCH(E$3,임대자산!$D$3:$R$3,0)),
IF($D257="폐업",INDEX(폐업정보!$D$3:$R$3000,MATCH($F257,폐업정보!$I$3:$I$3000,0),MATCH(E$3,폐업정보!$D$3:$R$3,0)),
"Error"))</f>
        <v>강원</v>
      </c>
      <c r="F25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B0252</v>
      </c>
      <c r="G257" s="76" t="str">
        <f aca="false">F257&amp;RANDBETWEEN(0,10)</f>
        <v>B025210</v>
      </c>
      <c r="H257" s="75" t="n">
        <f aca="false">
IF($D257="정상",INDEX(임대자산!$D$3:$R$3000,MATCH($F257,임대자산!$I$3:$I$3000,0),MATCH(H$4,임대자산!$D$3:$R$3,0)),
IF($D257="폐업",INDEX(폐업정보!$D$3:$R$3000,MATCH($F257,폐업정보!$I$3:$I$3000,0),MATCH(H$4,폐업정보!$D$3:$R$3,0)),
"Error"))</f>
        <v>45056</v>
      </c>
      <c r="I257" s="75" t="str">
        <f aca="false">
IF($D257="정상",INDEX(임대자산!$D$3:$R$3000,MATCH($F257,임대자산!$I$3:$I$3000,0),MATCH(I$4,임대자산!$D$3:$R$3,0)),
IF($D257="폐업",INDEX(폐업정보!$D$3:$R$3000,MATCH($F257,폐업정보!$I$3:$I$3000,0),MATCH(I$4,폐업정보!$D$3:$R$3,0)),
"Error"))</f>
        <v>A0252</v>
      </c>
      <c r="J257" s="75" t="str">
        <f aca="false">
IF($D257="정상",INDEX(임대자산!$D$3:$R$3000,MATCH($F257,임대자산!$I$3:$I$3000,0),MATCH(J$4,임대자산!$D$3:$R$3,0)),
IF($D257="폐업",INDEX(폐업정보!$D$3:$R$3000,MATCH($F257,폐업정보!$I$3:$I$3000,0),MATCH(J$4,폐업정보!$D$3:$R$3,0)),
"Error"))</f>
        <v>8706700000</v>
      </c>
      <c r="K257" s="75" t="str">
        <f aca="false">
IF($D257="정상",INDEX(임대자산!$D$3:$R$3000,MATCH($F257,임대자산!$I$3:$I$3000,0),MATCH(K$4,임대자산!$D$3:$R$3,0)),
IF($D257="폐업",INDEX(폐업정보!$D$3:$R$3000,MATCH($F257,폐업정보!$I$3:$I$3000,0),MATCH(K$4,폐업정보!$D$3:$R$3,0)),
"Error"))</f>
        <v>C0252</v>
      </c>
      <c r="L257" s="75" t="str">
        <f aca="false">
IF($D257="정상",INDEX(임대자산!$D$3:$R$3000,MATCH($F257,임대자산!$I$3:$I$3000,0),MATCH(L$4,임대자산!$D$3:$R$3,0)),
IF($D257="폐업",INDEX(폐업정보!$D$3:$R$3000,MATCH($F257,폐업정보!$I$3:$I$3000,0),MATCH(L$4,폐업정보!$D$3:$R$3,0)),
"Error"))</f>
        <v>D0252</v>
      </c>
      <c r="M257" s="76" t="s">
        <v>96</v>
      </c>
      <c r="N257" s="77"/>
      <c r="O257" s="78" t="s">
        <v>97</v>
      </c>
      <c r="P257" s="79" t="n">
        <f aca="false">COUNTIFS(임대자산!$I:$I,가맹점정보!F257,임대자산!$N:$N,가맹점정보!P$4)</f>
        <v>0</v>
      </c>
      <c r="Q257" s="80" t="n">
        <f aca="false">COUNTIFS(임대자산!$I:$I,가맹점정보!F257,임대자산!$N:$N,가맹점정보!Q$4)</f>
        <v>0</v>
      </c>
      <c r="R257" s="81" t="n">
        <f aca="false">COUNTIFS(임대자산!$I:$I,가맹점정보!F257,임대자산!$N:$N,가맹점정보!R$4)</f>
        <v>1</v>
      </c>
      <c r="S257" s="82" t="n">
        <v>55000</v>
      </c>
      <c r="T257" s="83" t="n">
        <v>0</v>
      </c>
      <c r="U257" s="80" t="n">
        <f aca="false">SUM(S257:T257)</f>
        <v>55000</v>
      </c>
      <c r="V257" s="84" t="s">
        <v>12</v>
      </c>
      <c r="W257" s="80" t="e">
        <f aca="true">
IF(D257="폐업","폐업",
IF(V257="면제","면제",
IF(AND(V257="정상",COUNTIFS(OFFSET(Y257,0,COUNTA(Y257:AV257)-1,1,-4),"미납")&gt;=3),"장기미납",
IF(AND(V257="정상",OFFSET(Y257,0,COUNTA(Y257:AV257)-1)&gt;=U257),"정상",
IF(AND(V257="정상",OFFSET(Y257,0,COUNTA(Y257:AV257)-1)=0),"정상",
"계약서 미작성")))))</f>
        <v>#VALUE!</v>
      </c>
      <c r="X257" s="81" t="str">
        <f aca="true">
IF(D257="폐업","폐업",
IF(AND(V257="정상",OFFSET(Y257,0,COUNTA(Y257:AV257)-1)="미납"),"미납",
IF(AND(V257="정상",OFFSET(Y257,0,COUNTA(Y257:AV257)-1)=0),"납부 시작 전",
IF(AND(V257="정상",OFFSET(Y257,0,COUNTA(Y257:AV257)-1)&gt;=U257),"정상",
IF(AND(V257="면제",OFFSET(Y257,0,COUNTA(Y257:AV257)-1)="면제"),"면제",
IF(AND(V257="면제",OFFSET(Y257,0,COUNTA(Y257:AV257)-1)=0),"면제",
"확인요청"))))))</f>
        <v>정상</v>
      </c>
      <c r="Y257" s="93" t="n">
        <v>55000</v>
      </c>
      <c r="Z257" s="90" t="n">
        <v>55000</v>
      </c>
      <c r="AA257" s="90" t="n">
        <v>55000</v>
      </c>
      <c r="AB257" s="90" t="n">
        <v>55000</v>
      </c>
      <c r="AC257" s="90" t="n">
        <v>55000</v>
      </c>
      <c r="AD257" s="90" t="n">
        <v>55000</v>
      </c>
      <c r="AE257" s="90" t="n">
        <v>55000</v>
      </c>
      <c r="AF257" s="90" t="n">
        <v>55000</v>
      </c>
      <c r="AG257" s="90" t="n">
        <v>55000</v>
      </c>
      <c r="AH257" s="90" t="n">
        <v>55000</v>
      </c>
      <c r="AI257" s="90" t="n">
        <v>55000</v>
      </c>
      <c r="AJ257" s="91" t="n">
        <v>55000</v>
      </c>
      <c r="AK257" s="89" t="n">
        <v>55000</v>
      </c>
      <c r="AL257" s="90" t="n">
        <v>55000</v>
      </c>
      <c r="AM257" s="90"/>
      <c r="AN257" s="90"/>
      <c r="AO257" s="90"/>
      <c r="AP257" s="90"/>
      <c r="AQ257" s="90"/>
      <c r="AR257" s="90"/>
      <c r="AS257" s="90"/>
      <c r="AT257" s="90"/>
      <c r="AU257" s="90"/>
      <c r="AV257" s="91"/>
      <c r="AX257" s="92"/>
    </row>
    <row r="258" customFormat="false" ht="15.65" hidden="false" customHeight="false" outlineLevel="0" collapsed="false">
      <c r="C258" s="72" t="n">
        <f aca="false">COUNTIFS($D$6:D258,"&lt;&gt;"&amp;"")</f>
        <v>253</v>
      </c>
      <c r="D258" s="73" t="s">
        <v>12</v>
      </c>
      <c r="E258" s="76" t="str">
        <f aca="false">
IF($D258="정상",INDEX(임대자산!$D$3:$R$3000,MATCH($F258,임대자산!$I$3:$I$3000,0),MATCH(E$3,임대자산!$D$3:$R$3,0)),
IF($D258="폐업",INDEX(폐업정보!$D$3:$R$3000,MATCH($F258,폐업정보!$I$3:$I$3000,0),MATCH(E$3,폐업정보!$D$3:$R$3,0)),
"Error"))</f>
        <v>강원</v>
      </c>
      <c r="F25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B0253</v>
      </c>
      <c r="G258" s="76" t="str">
        <f aca="false">F258&amp;RANDBETWEEN(0,10)</f>
        <v>B02534</v>
      </c>
      <c r="H258" s="75" t="n">
        <f aca="false">
IF($D258="정상",INDEX(임대자산!$D$3:$R$3000,MATCH($F258,임대자산!$I$3:$I$3000,0),MATCH(H$4,임대자산!$D$3:$R$3,0)),
IF($D258="폐업",INDEX(폐업정보!$D$3:$R$3000,MATCH($F258,폐업정보!$I$3:$I$3000,0),MATCH(H$4,폐업정보!$D$3:$R$3,0)),
"Error"))</f>
        <v>45064</v>
      </c>
      <c r="I258" s="75" t="str">
        <f aca="false">
IF($D258="정상",INDEX(임대자산!$D$3:$R$3000,MATCH($F258,임대자산!$I$3:$I$3000,0),MATCH(I$4,임대자산!$D$3:$R$3,0)),
IF($D258="폐업",INDEX(폐업정보!$D$3:$R$3000,MATCH($F258,폐업정보!$I$3:$I$3000,0),MATCH(I$4,폐업정보!$D$3:$R$3,0)),
"Error"))</f>
        <v>A0253</v>
      </c>
      <c r="J258" s="75" t="str">
        <f aca="false">
IF($D258="정상",INDEX(임대자산!$D$3:$R$3000,MATCH($F258,임대자산!$I$3:$I$3000,0),MATCH(J$4,임대자산!$D$3:$R$3,0)),
IF($D258="폐업",INDEX(폐업정보!$D$3:$R$3000,MATCH($F258,폐업정보!$I$3:$I$3000,0),MATCH(J$4,폐업정보!$D$3:$R$3,0)),
"Error"))</f>
        <v>4394100000</v>
      </c>
      <c r="K258" s="75" t="str">
        <f aca="false">
IF($D258="정상",INDEX(임대자산!$D$3:$R$3000,MATCH($F258,임대자산!$I$3:$I$3000,0),MATCH(K$4,임대자산!$D$3:$R$3,0)),
IF($D258="폐업",INDEX(폐업정보!$D$3:$R$3000,MATCH($F258,폐업정보!$I$3:$I$3000,0),MATCH(K$4,폐업정보!$D$3:$R$3,0)),
"Error"))</f>
        <v>C0253</v>
      </c>
      <c r="L258" s="75" t="str">
        <f aca="false">
IF($D258="정상",INDEX(임대자산!$D$3:$R$3000,MATCH($F258,임대자산!$I$3:$I$3000,0),MATCH(L$4,임대자산!$D$3:$R$3,0)),
IF($D258="폐업",INDEX(폐업정보!$D$3:$R$3000,MATCH($F258,폐업정보!$I$3:$I$3000,0),MATCH(L$4,폐업정보!$D$3:$R$3,0)),
"Error"))</f>
        <v>D0253</v>
      </c>
      <c r="M258" s="76" t="s">
        <v>96</v>
      </c>
      <c r="N258" s="77"/>
      <c r="O258" s="78" t="s">
        <v>97</v>
      </c>
      <c r="P258" s="79" t="n">
        <f aca="false">COUNTIFS(임대자산!$I:$I,가맹점정보!F258,임대자산!$N:$N,가맹점정보!P$4)</f>
        <v>0</v>
      </c>
      <c r="Q258" s="80" t="n">
        <f aca="false">COUNTIFS(임대자산!$I:$I,가맹점정보!F258,임대자산!$N:$N,가맹점정보!Q$4)</f>
        <v>0</v>
      </c>
      <c r="R258" s="81" t="n">
        <f aca="false">COUNTIFS(임대자산!$I:$I,가맹점정보!F258,임대자산!$N:$N,가맹점정보!R$4)</f>
        <v>1</v>
      </c>
      <c r="S258" s="82" t="n">
        <v>55000</v>
      </c>
      <c r="T258" s="83" t="n">
        <v>0</v>
      </c>
      <c r="U258" s="80" t="n">
        <f aca="false">SUM(S258:T258)</f>
        <v>55000</v>
      </c>
      <c r="V258" s="84" t="s">
        <v>12</v>
      </c>
      <c r="W258" s="80" t="e">
        <f aca="true">
IF(D258="폐업","폐업",
IF(V258="면제","면제",
IF(AND(V258="정상",COUNTIFS(OFFSET(Y258,0,COUNTA(Y258:AV258)-1,1,-4),"미납")&gt;=3),"장기미납",
IF(AND(V258="정상",OFFSET(Y258,0,COUNTA(Y258:AV258)-1)&gt;=U258),"정상",
IF(AND(V258="정상",OFFSET(Y258,0,COUNTA(Y258:AV258)-1)=0),"정상",
"계약서 미작성")))))</f>
        <v>#VALUE!</v>
      </c>
      <c r="X258" s="81" t="str">
        <f aca="true">
IF(D258="폐업","폐업",
IF(AND(V258="정상",OFFSET(Y258,0,COUNTA(Y258:AV258)-1)="미납"),"미납",
IF(AND(V258="정상",OFFSET(Y258,0,COUNTA(Y258:AV258)-1)=0),"납부 시작 전",
IF(AND(V258="정상",OFFSET(Y258,0,COUNTA(Y258:AV258)-1)&gt;=U258),"정상",
IF(AND(V258="면제",OFFSET(Y258,0,COUNTA(Y258:AV258)-1)="면제"),"면제",
IF(AND(V258="면제",OFFSET(Y258,0,COUNTA(Y258:AV258)-1)=0),"면제",
"확인요청"))))))</f>
        <v>정상</v>
      </c>
      <c r="Y258" s="93" t="n">
        <v>55000</v>
      </c>
      <c r="Z258" s="90" t="n">
        <v>55000</v>
      </c>
      <c r="AA258" s="90" t="n">
        <v>55000</v>
      </c>
      <c r="AB258" s="90" t="n">
        <v>55000</v>
      </c>
      <c r="AC258" s="90" t="n">
        <v>55000</v>
      </c>
      <c r="AD258" s="90" t="n">
        <v>55000</v>
      </c>
      <c r="AE258" s="90" t="n">
        <v>55000</v>
      </c>
      <c r="AF258" s="90" t="n">
        <v>55000</v>
      </c>
      <c r="AG258" s="90" t="n">
        <v>55000</v>
      </c>
      <c r="AH258" s="90" t="n">
        <v>55000</v>
      </c>
      <c r="AI258" s="90" t="n">
        <v>55000</v>
      </c>
      <c r="AJ258" s="91" t="n">
        <v>55000</v>
      </c>
      <c r="AK258" s="89" t="n">
        <v>55000</v>
      </c>
      <c r="AL258" s="90" t="n">
        <v>55000</v>
      </c>
      <c r="AM258" s="90"/>
      <c r="AN258" s="90"/>
      <c r="AO258" s="90"/>
      <c r="AP258" s="90"/>
      <c r="AQ258" s="90"/>
      <c r="AR258" s="90"/>
      <c r="AS258" s="90"/>
      <c r="AT258" s="90"/>
      <c r="AU258" s="90"/>
      <c r="AV258" s="91"/>
      <c r="AX258" s="92"/>
    </row>
    <row r="259" customFormat="false" ht="15.65" hidden="false" customHeight="false" outlineLevel="0" collapsed="false">
      <c r="C259" s="72" t="n">
        <f aca="false">COUNTIFS($D$6:D259,"&lt;&gt;"&amp;"")</f>
        <v>254</v>
      </c>
      <c r="D259" s="73" t="s">
        <v>12</v>
      </c>
      <c r="E259" s="76" t="str">
        <f aca="false">
IF($D259="정상",INDEX(임대자산!$D$3:$R$3000,MATCH($F259,임대자산!$I$3:$I$3000,0),MATCH(E$3,임대자산!$D$3:$R$3,0)),
IF($D259="폐업",INDEX(폐업정보!$D$3:$R$3000,MATCH($F259,폐업정보!$I$3:$I$3000,0),MATCH(E$3,폐업정보!$D$3:$R$3,0)),
"Error"))</f>
        <v>강원</v>
      </c>
      <c r="F25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B0254</v>
      </c>
      <c r="G259" s="76" t="str">
        <f aca="false">F259&amp;RANDBETWEEN(0,10)</f>
        <v>B02541</v>
      </c>
      <c r="H259" s="75" t="n">
        <f aca="false">
IF($D259="정상",INDEX(임대자산!$D$3:$R$3000,MATCH($F259,임대자산!$I$3:$I$3000,0),MATCH(H$4,임대자산!$D$3:$R$3,0)),
IF($D259="폐업",INDEX(폐업정보!$D$3:$R$3000,MATCH($F259,폐업정보!$I$3:$I$3000,0),MATCH(H$4,폐업정보!$D$3:$R$3,0)),
"Error"))</f>
        <v>45063</v>
      </c>
      <c r="I259" s="75" t="str">
        <f aca="false">
IF($D259="정상",INDEX(임대자산!$D$3:$R$3000,MATCH($F259,임대자산!$I$3:$I$3000,0),MATCH(I$4,임대자산!$D$3:$R$3,0)),
IF($D259="폐업",INDEX(폐업정보!$D$3:$R$3000,MATCH($F259,폐업정보!$I$3:$I$3000,0),MATCH(I$4,폐업정보!$D$3:$R$3,0)),
"Error"))</f>
        <v>A0254</v>
      </c>
      <c r="J259" s="75" t="str">
        <f aca="false">
IF($D259="정상",INDEX(임대자산!$D$3:$R$3000,MATCH($F259,임대자산!$I$3:$I$3000,0),MATCH(J$4,임대자산!$D$3:$R$3,0)),
IF($D259="폐업",INDEX(폐업정보!$D$3:$R$3000,MATCH($F259,폐업정보!$I$3:$I$3000,0),MATCH(J$4,폐업정보!$D$3:$R$3,0)),
"Error"))</f>
        <v>9829300000</v>
      </c>
      <c r="K259" s="75" t="str">
        <f aca="false">
IF($D259="정상",INDEX(임대자산!$D$3:$R$3000,MATCH($F259,임대자산!$I$3:$I$3000,0),MATCH(K$4,임대자산!$D$3:$R$3,0)),
IF($D259="폐업",INDEX(폐업정보!$D$3:$R$3000,MATCH($F259,폐업정보!$I$3:$I$3000,0),MATCH(K$4,폐업정보!$D$3:$R$3,0)),
"Error"))</f>
        <v>C0254</v>
      </c>
      <c r="L259" s="75" t="str">
        <f aca="false">
IF($D259="정상",INDEX(임대자산!$D$3:$R$3000,MATCH($F259,임대자산!$I$3:$I$3000,0),MATCH(L$4,임대자산!$D$3:$R$3,0)),
IF($D259="폐업",INDEX(폐업정보!$D$3:$R$3000,MATCH($F259,폐업정보!$I$3:$I$3000,0),MATCH(L$4,폐업정보!$D$3:$R$3,0)),
"Error"))</f>
        <v>D0254</v>
      </c>
      <c r="M259" s="76" t="s">
        <v>96</v>
      </c>
      <c r="N259" s="77"/>
      <c r="O259" s="78" t="s">
        <v>97</v>
      </c>
      <c r="P259" s="79" t="n">
        <f aca="false">COUNTIFS(임대자산!$I:$I,가맹점정보!F259,임대자산!$N:$N,가맹점정보!P$4)</f>
        <v>0</v>
      </c>
      <c r="Q259" s="80" t="n">
        <f aca="false">COUNTIFS(임대자산!$I:$I,가맹점정보!F259,임대자산!$N:$N,가맹점정보!Q$4)</f>
        <v>0</v>
      </c>
      <c r="R259" s="81" t="n">
        <f aca="false">COUNTIFS(임대자산!$I:$I,가맹점정보!F259,임대자산!$N:$N,가맹점정보!R$4)</f>
        <v>1</v>
      </c>
      <c r="S259" s="82" t="n">
        <v>55000</v>
      </c>
      <c r="T259" s="83" t="n">
        <v>0</v>
      </c>
      <c r="U259" s="80" t="n">
        <f aca="false">SUM(S259:T259)</f>
        <v>55000</v>
      </c>
      <c r="V259" s="84" t="s">
        <v>12</v>
      </c>
      <c r="W259" s="80" t="e">
        <f aca="true">
IF(D259="폐업","폐업",
IF(V259="면제","면제",
IF(AND(V259="정상",COUNTIFS(OFFSET(Y259,0,COUNTA(Y259:AV259)-1,1,-4),"미납")&gt;=3),"장기미납",
IF(AND(V259="정상",OFFSET(Y259,0,COUNTA(Y259:AV259)-1)&gt;=U259),"정상",
IF(AND(V259="정상",OFFSET(Y259,0,COUNTA(Y259:AV259)-1)=0),"정상",
"계약서 미작성")))))</f>
        <v>#VALUE!</v>
      </c>
      <c r="X259" s="81" t="str">
        <f aca="true">
IF(D259="폐업","폐업",
IF(AND(V259="정상",OFFSET(Y259,0,COUNTA(Y259:AV259)-1)="미납"),"미납",
IF(AND(V259="정상",OFFSET(Y259,0,COUNTA(Y259:AV259)-1)=0),"납부 시작 전",
IF(AND(V259="정상",OFFSET(Y259,0,COUNTA(Y259:AV259)-1)&gt;=U259),"정상",
IF(AND(V259="면제",OFFSET(Y259,0,COUNTA(Y259:AV259)-1)="면제"),"면제",
IF(AND(V259="면제",OFFSET(Y259,0,COUNTA(Y259:AV259)-1)=0),"면제",
"확인요청"))))))</f>
        <v>정상</v>
      </c>
      <c r="Y259" s="93" t="n">
        <v>55000</v>
      </c>
      <c r="Z259" s="90" t="n">
        <v>55000</v>
      </c>
      <c r="AA259" s="90" t="n">
        <v>55000</v>
      </c>
      <c r="AB259" s="90" t="n">
        <v>55000</v>
      </c>
      <c r="AC259" s="90" t="n">
        <v>55000</v>
      </c>
      <c r="AD259" s="90" t="n">
        <v>55000</v>
      </c>
      <c r="AE259" s="90" t="n">
        <v>55000</v>
      </c>
      <c r="AF259" s="90" t="n">
        <v>55000</v>
      </c>
      <c r="AG259" s="90" t="n">
        <v>55000</v>
      </c>
      <c r="AH259" s="90" t="n">
        <v>55000</v>
      </c>
      <c r="AI259" s="90" t="n">
        <v>55000</v>
      </c>
      <c r="AJ259" s="91" t="n">
        <v>55000</v>
      </c>
      <c r="AK259" s="89" t="n">
        <v>55000</v>
      </c>
      <c r="AL259" s="90" t="n">
        <v>55000</v>
      </c>
      <c r="AM259" s="90"/>
      <c r="AN259" s="90"/>
      <c r="AO259" s="90"/>
      <c r="AP259" s="90"/>
      <c r="AQ259" s="90"/>
      <c r="AR259" s="90"/>
      <c r="AS259" s="90"/>
      <c r="AT259" s="90"/>
      <c r="AU259" s="90"/>
      <c r="AV259" s="91"/>
      <c r="AX259" s="92"/>
    </row>
    <row r="260" customFormat="false" ht="15.65" hidden="false" customHeight="false" outlineLevel="0" collapsed="false">
      <c r="C260" s="72" t="n">
        <f aca="false">COUNTIFS($D$6:D260,"&lt;&gt;"&amp;"")</f>
        <v>255</v>
      </c>
      <c r="D260" s="73" t="s">
        <v>12</v>
      </c>
      <c r="E260" s="76" t="str">
        <f aca="false">
IF($D260="정상",INDEX(임대자산!$D$3:$R$3000,MATCH($F260,임대자산!$I$3:$I$3000,0),MATCH(E$3,임대자산!$D$3:$R$3,0)),
IF($D260="폐업",INDEX(폐업정보!$D$3:$R$3000,MATCH($F260,폐업정보!$I$3:$I$3000,0),MATCH(E$3,폐업정보!$D$3:$R$3,0)),
"Error"))</f>
        <v>강원</v>
      </c>
      <c r="F26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B0255</v>
      </c>
      <c r="G260" s="76" t="str">
        <f aca="false">F260&amp;RANDBETWEEN(0,10)</f>
        <v>B025510</v>
      </c>
      <c r="H260" s="75" t="n">
        <f aca="false">
IF($D260="정상",INDEX(임대자산!$D$3:$R$3000,MATCH($F260,임대자산!$I$3:$I$3000,0),MATCH(H$4,임대자산!$D$3:$R$3,0)),
IF($D260="폐업",INDEX(폐업정보!$D$3:$R$3000,MATCH($F260,폐업정보!$I$3:$I$3000,0),MATCH(H$4,폐업정보!$D$3:$R$3,0)),
"Error"))</f>
        <v>45498</v>
      </c>
      <c r="I260" s="75" t="str">
        <f aca="false">
IF($D260="정상",INDEX(임대자산!$D$3:$R$3000,MATCH($F260,임대자산!$I$3:$I$3000,0),MATCH(I$4,임대자산!$D$3:$R$3,0)),
IF($D260="폐업",INDEX(폐업정보!$D$3:$R$3000,MATCH($F260,폐업정보!$I$3:$I$3000,0),MATCH(I$4,폐업정보!$D$3:$R$3,0)),
"Error"))</f>
        <v>A0255</v>
      </c>
      <c r="J260" s="75" t="str">
        <f aca="false">
IF($D260="정상",INDEX(임대자산!$D$3:$R$3000,MATCH($F260,임대자산!$I$3:$I$3000,0),MATCH(J$4,임대자산!$D$3:$R$3,0)),
IF($D260="폐업",INDEX(폐업정보!$D$3:$R$3000,MATCH($F260,폐업정보!$I$3:$I$3000,0),MATCH(J$4,폐업정보!$D$3:$R$3,0)),
"Error"))</f>
        <v>4072000000</v>
      </c>
      <c r="K260" s="75" t="str">
        <f aca="false">
IF($D260="정상",INDEX(임대자산!$D$3:$R$3000,MATCH($F260,임대자산!$I$3:$I$3000,0),MATCH(K$4,임대자산!$D$3:$R$3,0)),
IF($D260="폐업",INDEX(폐업정보!$D$3:$R$3000,MATCH($F260,폐업정보!$I$3:$I$3000,0),MATCH(K$4,폐업정보!$D$3:$R$3,0)),
"Error"))</f>
        <v>C0255</v>
      </c>
      <c r="L260" s="75" t="str">
        <f aca="false">
IF($D260="정상",INDEX(임대자산!$D$3:$R$3000,MATCH($F260,임대자산!$I$3:$I$3000,0),MATCH(L$4,임대자산!$D$3:$R$3,0)),
IF($D260="폐업",INDEX(폐업정보!$D$3:$R$3000,MATCH($F260,폐업정보!$I$3:$I$3000,0),MATCH(L$4,폐업정보!$D$3:$R$3,0)),
"Error"))</f>
        <v>D0255</v>
      </c>
      <c r="M260" s="76" t="s">
        <v>96</v>
      </c>
      <c r="N260" s="77"/>
      <c r="O260" s="78" t="s">
        <v>97</v>
      </c>
      <c r="P260" s="79" t="n">
        <f aca="false">COUNTIFS(임대자산!$I:$I,가맹점정보!F260,임대자산!$N:$N,가맹점정보!P$4)</f>
        <v>0</v>
      </c>
      <c r="Q260" s="80" t="n">
        <f aca="false">COUNTIFS(임대자산!$I:$I,가맹점정보!F260,임대자산!$N:$N,가맹점정보!Q$4)</f>
        <v>0</v>
      </c>
      <c r="R260" s="81" t="n">
        <f aca="false">COUNTIFS(임대자산!$I:$I,가맹점정보!F260,임대자산!$N:$N,가맹점정보!R$4)</f>
        <v>1</v>
      </c>
      <c r="S260" s="82" t="n">
        <v>55000</v>
      </c>
      <c r="T260" s="83" t="n">
        <v>0</v>
      </c>
      <c r="U260" s="80" t="n">
        <f aca="false">SUM(S260:T260)</f>
        <v>55000</v>
      </c>
      <c r="V260" s="84" t="s">
        <v>12</v>
      </c>
      <c r="W260" s="80" t="e">
        <f aca="true">
IF(D260="폐업","폐업",
IF(V260="면제","면제",
IF(AND(V260="정상",COUNTIFS(OFFSET(Y260,0,COUNTA(Y260:AV260)-1,1,-4),"미납")&gt;=3),"장기미납",
IF(AND(V260="정상",OFFSET(Y260,0,COUNTA(Y260:AV260)-1)&gt;=U260),"정상",
IF(AND(V260="정상",OFFSET(Y260,0,COUNTA(Y260:AV260)-1)=0),"정상",
"계약서 미작성")))))</f>
        <v>#VALUE!</v>
      </c>
      <c r="X260" s="81" t="str">
        <f aca="true">
IF(D260="폐업","폐업",
IF(AND(V260="정상",OFFSET(Y260,0,COUNTA(Y260:AV260)-1)="미납"),"미납",
IF(AND(V260="정상",OFFSET(Y260,0,COUNTA(Y260:AV260)-1)=0),"납부 시작 전",
IF(AND(V260="정상",OFFSET(Y260,0,COUNTA(Y260:AV260)-1)&gt;=U260),"정상",
IF(AND(V260="면제",OFFSET(Y260,0,COUNTA(Y260:AV260)-1)="면제"),"면제",
IF(AND(V260="면제",OFFSET(Y260,0,COUNTA(Y260:AV260)-1)=0),"면제",
"확인요청"))))))</f>
        <v>정상</v>
      </c>
      <c r="Y260" s="93" t="n">
        <v>55000</v>
      </c>
      <c r="Z260" s="90" t="n">
        <v>55000</v>
      </c>
      <c r="AA260" s="90" t="n">
        <v>55000</v>
      </c>
      <c r="AB260" s="90" t="n">
        <v>55000</v>
      </c>
      <c r="AC260" s="90" t="n">
        <v>55000</v>
      </c>
      <c r="AD260" s="90" t="n">
        <v>55000</v>
      </c>
      <c r="AE260" s="90" t="s">
        <v>102</v>
      </c>
      <c r="AF260" s="90" t="n">
        <v>110000</v>
      </c>
      <c r="AG260" s="90" t="n">
        <v>55000</v>
      </c>
      <c r="AH260" s="90" t="n">
        <v>55000</v>
      </c>
      <c r="AI260" s="90" t="n">
        <v>55000</v>
      </c>
      <c r="AJ260" s="91" t="n">
        <v>55000</v>
      </c>
      <c r="AK260" s="89" t="n">
        <v>55000</v>
      </c>
      <c r="AL260" s="90" t="n">
        <v>55000</v>
      </c>
      <c r="AM260" s="90"/>
      <c r="AN260" s="90"/>
      <c r="AO260" s="90"/>
      <c r="AP260" s="90"/>
      <c r="AQ260" s="90"/>
      <c r="AR260" s="90"/>
      <c r="AS260" s="90"/>
      <c r="AT260" s="90"/>
      <c r="AU260" s="90"/>
      <c r="AV260" s="91"/>
      <c r="AX260" s="92"/>
    </row>
    <row r="261" customFormat="false" ht="15.65" hidden="false" customHeight="false" outlineLevel="0" collapsed="false">
      <c r="C261" s="72" t="n">
        <f aca="false">COUNTIFS($D$6:D261,"&lt;&gt;"&amp;"")</f>
        <v>256</v>
      </c>
      <c r="D261" s="73" t="s">
        <v>12</v>
      </c>
      <c r="E261" s="76" t="str">
        <f aca="false">
IF($D261="정상",INDEX(임대자산!$D$3:$R$3000,MATCH($F261,임대자산!$I$3:$I$3000,0),MATCH(E$3,임대자산!$D$3:$R$3,0)),
IF($D261="폐업",INDEX(폐업정보!$D$3:$R$3000,MATCH($F261,폐업정보!$I$3:$I$3000,0),MATCH(E$3,폐업정보!$D$3:$R$3,0)),
"Error"))</f>
        <v>전라</v>
      </c>
      <c r="F26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B0256</v>
      </c>
      <c r="G261" s="76" t="str">
        <f aca="false">F261&amp;RANDBETWEEN(0,10)</f>
        <v>B02568</v>
      </c>
      <c r="H261" s="75" t="n">
        <f aca="false">
IF($D261="정상",INDEX(임대자산!$D$3:$R$3000,MATCH($F261,임대자산!$I$3:$I$3000,0),MATCH(H$4,임대자산!$D$3:$R$3,0)),
IF($D261="폐업",INDEX(폐업정보!$D$3:$R$3000,MATCH($F261,폐업정보!$I$3:$I$3000,0),MATCH(H$4,폐업정보!$D$3:$R$3,0)),
"Error"))</f>
        <v>45092</v>
      </c>
      <c r="I261" s="75" t="str">
        <f aca="false">
IF($D261="정상",INDEX(임대자산!$D$3:$R$3000,MATCH($F261,임대자산!$I$3:$I$3000,0),MATCH(I$4,임대자산!$D$3:$R$3,0)),
IF($D261="폐업",INDEX(폐업정보!$D$3:$R$3000,MATCH($F261,폐업정보!$I$3:$I$3000,0),MATCH(I$4,폐업정보!$D$3:$R$3,0)),
"Error"))</f>
        <v>A0256</v>
      </c>
      <c r="J261" s="75" t="str">
        <f aca="false">
IF($D261="정상",INDEX(임대자산!$D$3:$R$3000,MATCH($F261,임대자산!$I$3:$I$3000,0),MATCH(J$4,임대자산!$D$3:$R$3,0)),
IF($D261="폐업",INDEX(폐업정보!$D$3:$R$3000,MATCH($F261,폐업정보!$I$3:$I$3000,0),MATCH(J$4,폐업정보!$D$3:$R$3,0)),
"Error"))</f>
        <v>9919600000</v>
      </c>
      <c r="K261" s="75" t="str">
        <f aca="false">
IF($D261="정상",INDEX(임대자산!$D$3:$R$3000,MATCH($F261,임대자산!$I$3:$I$3000,0),MATCH(K$4,임대자산!$D$3:$R$3,0)),
IF($D261="폐업",INDEX(폐업정보!$D$3:$R$3000,MATCH($F261,폐업정보!$I$3:$I$3000,0),MATCH(K$4,폐업정보!$D$3:$R$3,0)),
"Error"))</f>
        <v>C0256</v>
      </c>
      <c r="L261" s="75" t="str">
        <f aca="false">
IF($D261="정상",INDEX(임대자산!$D$3:$R$3000,MATCH($F261,임대자산!$I$3:$I$3000,0),MATCH(L$4,임대자산!$D$3:$R$3,0)),
IF($D261="폐업",INDEX(폐업정보!$D$3:$R$3000,MATCH($F261,폐업정보!$I$3:$I$3000,0),MATCH(L$4,폐업정보!$D$3:$R$3,0)),
"Error"))</f>
        <v>D0256</v>
      </c>
      <c r="M261" s="76" t="s">
        <v>96</v>
      </c>
      <c r="N261" s="77"/>
      <c r="O261" s="78" t="s">
        <v>97</v>
      </c>
      <c r="P261" s="79" t="n">
        <f aca="false">COUNTIFS(임대자산!$I:$I,가맹점정보!F261,임대자산!$N:$N,가맹점정보!P$4)</f>
        <v>0</v>
      </c>
      <c r="Q261" s="80" t="n">
        <f aca="false">COUNTIFS(임대자산!$I:$I,가맹점정보!F261,임대자산!$N:$N,가맹점정보!Q$4)</f>
        <v>0</v>
      </c>
      <c r="R261" s="81" t="n">
        <f aca="false">COUNTIFS(임대자산!$I:$I,가맹점정보!F261,임대자산!$N:$N,가맹점정보!R$4)</f>
        <v>1</v>
      </c>
      <c r="S261" s="82" t="n">
        <v>55000</v>
      </c>
      <c r="T261" s="83" t="n">
        <v>0</v>
      </c>
      <c r="U261" s="80" t="n">
        <f aca="false">SUM(S261:T261)</f>
        <v>55000</v>
      </c>
      <c r="V261" s="84" t="s">
        <v>12</v>
      </c>
      <c r="W261" s="80" t="e">
        <f aca="true">
IF(D261="폐업","폐업",
IF(V261="면제","면제",
IF(AND(V261="정상",COUNTIFS(OFFSET(Y261,0,COUNTA(Y261:AV261)-1,1,-4),"미납")&gt;=3),"장기미납",
IF(AND(V261="정상",OFFSET(Y261,0,COUNTA(Y261:AV261)-1)&gt;=U261),"정상",
IF(AND(V261="정상",OFFSET(Y261,0,COUNTA(Y261:AV261)-1)=0),"정상",
"계약서 미작성")))))</f>
        <v>#VALUE!</v>
      </c>
      <c r="X261" s="81" t="str">
        <f aca="true">
IF(D261="폐업","폐업",
IF(AND(V261="정상",OFFSET(Y261,0,COUNTA(Y261:AV261)-1)="미납"),"미납",
IF(AND(V261="정상",OFFSET(Y261,0,COUNTA(Y261:AV261)-1)=0),"납부 시작 전",
IF(AND(V261="정상",OFFSET(Y261,0,COUNTA(Y261:AV261)-1)&gt;=U261),"정상",
IF(AND(V261="면제",OFFSET(Y261,0,COUNTA(Y261:AV261)-1)="면제"),"면제",
IF(AND(V261="면제",OFFSET(Y261,0,COUNTA(Y261:AV261)-1)=0),"면제",
"확인요청"))))))</f>
        <v>정상</v>
      </c>
      <c r="Y261" s="93" t="n">
        <v>55000</v>
      </c>
      <c r="Z261" s="90" t="n">
        <v>55000</v>
      </c>
      <c r="AA261" s="90" t="n">
        <v>55000</v>
      </c>
      <c r="AB261" s="90" t="n">
        <v>55000</v>
      </c>
      <c r="AC261" s="90" t="n">
        <v>55000</v>
      </c>
      <c r="AD261" s="90" t="n">
        <v>55000</v>
      </c>
      <c r="AE261" s="90" t="n">
        <v>55000</v>
      </c>
      <c r="AF261" s="90" t="n">
        <v>55000</v>
      </c>
      <c r="AG261" s="90" t="n">
        <v>55000</v>
      </c>
      <c r="AH261" s="90" t="n">
        <v>55000</v>
      </c>
      <c r="AI261" s="90" t="n">
        <v>55000</v>
      </c>
      <c r="AJ261" s="91" t="n">
        <v>55000</v>
      </c>
      <c r="AK261" s="89" t="n">
        <v>55000</v>
      </c>
      <c r="AL261" s="90" t="n">
        <v>55000</v>
      </c>
      <c r="AM261" s="90"/>
      <c r="AN261" s="90"/>
      <c r="AO261" s="90"/>
      <c r="AP261" s="90"/>
      <c r="AQ261" s="90"/>
      <c r="AR261" s="90"/>
      <c r="AS261" s="90"/>
      <c r="AT261" s="90"/>
      <c r="AU261" s="90"/>
      <c r="AV261" s="91"/>
      <c r="AX261" s="92"/>
    </row>
    <row r="262" customFormat="false" ht="15.65" hidden="false" customHeight="false" outlineLevel="0" collapsed="false">
      <c r="C262" s="72" t="n">
        <f aca="false">COUNTIFS($D$6:D262,"&lt;&gt;"&amp;"")</f>
        <v>257</v>
      </c>
      <c r="D262" s="73" t="s">
        <v>12</v>
      </c>
      <c r="E262" s="76" t="str">
        <f aca="false">
IF($D262="정상",INDEX(임대자산!$D$3:$R$3000,MATCH($F262,임대자산!$I$3:$I$3000,0),MATCH(E$3,임대자산!$D$3:$R$3,0)),
IF($D262="폐업",INDEX(폐업정보!$D$3:$R$3000,MATCH($F262,폐업정보!$I$3:$I$3000,0),MATCH(E$3,폐업정보!$D$3:$R$3,0)),
"Error"))</f>
        <v>경기</v>
      </c>
      <c r="F26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B0257</v>
      </c>
      <c r="G262" s="76" t="str">
        <f aca="false">F262&amp;RANDBETWEEN(0,10)</f>
        <v>B02577</v>
      </c>
      <c r="H262" s="75" t="n">
        <f aca="false">
IF($D262="정상",INDEX(임대자산!$D$3:$R$3000,MATCH($F262,임대자산!$I$3:$I$3000,0),MATCH(H$4,임대자산!$D$3:$R$3,0)),
IF($D262="폐업",INDEX(폐업정보!$D$3:$R$3000,MATCH($F262,폐업정보!$I$3:$I$3000,0),MATCH(H$4,폐업정보!$D$3:$R$3,0)),
"Error"))</f>
        <v>45096</v>
      </c>
      <c r="I262" s="75" t="str">
        <f aca="false">
IF($D262="정상",INDEX(임대자산!$D$3:$R$3000,MATCH($F262,임대자산!$I$3:$I$3000,0),MATCH(I$4,임대자산!$D$3:$R$3,0)),
IF($D262="폐업",INDEX(폐업정보!$D$3:$R$3000,MATCH($F262,폐업정보!$I$3:$I$3000,0),MATCH(I$4,폐업정보!$D$3:$R$3,0)),
"Error"))</f>
        <v>A0257</v>
      </c>
      <c r="J262" s="75" t="str">
        <f aca="false">
IF($D262="정상",INDEX(임대자산!$D$3:$R$3000,MATCH($F262,임대자산!$I$3:$I$3000,0),MATCH(J$4,임대자산!$D$3:$R$3,0)),
IF($D262="폐업",INDEX(폐업정보!$D$3:$R$3000,MATCH($F262,폐업정보!$I$3:$I$3000,0),MATCH(J$4,폐업정보!$D$3:$R$3,0)),
"Error"))</f>
        <v>6159800000</v>
      </c>
      <c r="K262" s="75" t="str">
        <f aca="false">
IF($D262="정상",INDEX(임대자산!$D$3:$R$3000,MATCH($F262,임대자산!$I$3:$I$3000,0),MATCH(K$4,임대자산!$D$3:$R$3,0)),
IF($D262="폐업",INDEX(폐업정보!$D$3:$R$3000,MATCH($F262,폐업정보!$I$3:$I$3000,0),MATCH(K$4,폐업정보!$D$3:$R$3,0)),
"Error"))</f>
        <v>C0257</v>
      </c>
      <c r="L262" s="75" t="str">
        <f aca="false">
IF($D262="정상",INDEX(임대자산!$D$3:$R$3000,MATCH($F262,임대자산!$I$3:$I$3000,0),MATCH(L$4,임대자산!$D$3:$R$3,0)),
IF($D262="폐업",INDEX(폐업정보!$D$3:$R$3000,MATCH($F262,폐업정보!$I$3:$I$3000,0),MATCH(L$4,폐업정보!$D$3:$R$3,0)),
"Error"))</f>
        <v>D0257</v>
      </c>
      <c r="M262" s="76" t="s">
        <v>96</v>
      </c>
      <c r="N262" s="77"/>
      <c r="O262" s="78" t="s">
        <v>97</v>
      </c>
      <c r="P262" s="79" t="n">
        <f aca="false">COUNTIFS(임대자산!$I:$I,가맹점정보!F262,임대자산!$N:$N,가맹점정보!P$4)</f>
        <v>0</v>
      </c>
      <c r="Q262" s="80" t="n">
        <f aca="false">COUNTIFS(임대자산!$I:$I,가맹점정보!F262,임대자산!$N:$N,가맹점정보!Q$4)</f>
        <v>0</v>
      </c>
      <c r="R262" s="81" t="n">
        <f aca="false">COUNTIFS(임대자산!$I:$I,가맹점정보!F262,임대자산!$N:$N,가맹점정보!R$4)</f>
        <v>1</v>
      </c>
      <c r="S262" s="82" t="n">
        <v>55000</v>
      </c>
      <c r="T262" s="83" t="n">
        <v>0</v>
      </c>
      <c r="U262" s="80" t="n">
        <f aca="false">SUM(S262:T262)</f>
        <v>55000</v>
      </c>
      <c r="V262" s="84" t="s">
        <v>12</v>
      </c>
      <c r="W262" s="80" t="e">
        <f aca="true">
IF(D262="폐업","폐업",
IF(V262="면제","면제",
IF(AND(V262="정상",COUNTIFS(OFFSET(Y262,0,COUNTA(Y262:AV262)-1,1,-4),"미납")&gt;=3),"장기미납",
IF(AND(V262="정상",OFFSET(Y262,0,COUNTA(Y262:AV262)-1)&gt;=U262),"정상",
IF(AND(V262="정상",OFFSET(Y262,0,COUNTA(Y262:AV262)-1)=0),"정상",
"계약서 미작성")))))</f>
        <v>#VALUE!</v>
      </c>
      <c r="X262" s="81" t="str">
        <f aca="true">
IF(D262="폐업","폐업",
IF(AND(V262="정상",OFFSET(Y262,0,COUNTA(Y262:AV262)-1)="미납"),"미납",
IF(AND(V262="정상",OFFSET(Y262,0,COUNTA(Y262:AV262)-1)=0),"납부 시작 전",
IF(AND(V262="정상",OFFSET(Y262,0,COUNTA(Y262:AV262)-1)&gt;=U262),"정상",
IF(AND(V262="면제",OFFSET(Y262,0,COUNTA(Y262:AV262)-1)="면제"),"면제",
IF(AND(V262="면제",OFFSET(Y262,0,COUNTA(Y262:AV262)-1)=0),"면제",
"확인요청"))))))</f>
        <v>정상</v>
      </c>
      <c r="Y262" s="93" t="n">
        <v>55000</v>
      </c>
      <c r="Z262" s="90" t="n">
        <v>55000</v>
      </c>
      <c r="AA262" s="90" t="n">
        <v>55000</v>
      </c>
      <c r="AB262" s="90" t="n">
        <v>55000</v>
      </c>
      <c r="AC262" s="90" t="n">
        <v>55000</v>
      </c>
      <c r="AD262" s="90" t="n">
        <v>55000</v>
      </c>
      <c r="AE262" s="90" t="n">
        <v>55000</v>
      </c>
      <c r="AF262" s="90" t="n">
        <v>55000</v>
      </c>
      <c r="AG262" s="90" t="n">
        <v>55000</v>
      </c>
      <c r="AH262" s="90" t="n">
        <v>55000</v>
      </c>
      <c r="AI262" s="90" t="n">
        <v>55000</v>
      </c>
      <c r="AJ262" s="91" t="n">
        <v>55000</v>
      </c>
      <c r="AK262" s="89" t="n">
        <v>55000</v>
      </c>
      <c r="AL262" s="90" t="n">
        <v>55000</v>
      </c>
      <c r="AM262" s="90"/>
      <c r="AN262" s="90"/>
      <c r="AO262" s="90"/>
      <c r="AP262" s="90"/>
      <c r="AQ262" s="90"/>
      <c r="AR262" s="90"/>
      <c r="AS262" s="90"/>
      <c r="AT262" s="90"/>
      <c r="AU262" s="90"/>
      <c r="AV262" s="91"/>
      <c r="AX262" s="92"/>
    </row>
    <row r="263" customFormat="false" ht="15.65" hidden="false" customHeight="false" outlineLevel="0" collapsed="false">
      <c r="C263" s="72" t="n">
        <f aca="false">COUNTIFS($D$6:D263,"&lt;&gt;"&amp;"")</f>
        <v>258</v>
      </c>
      <c r="D263" s="73" t="s">
        <v>12</v>
      </c>
      <c r="E263" s="76" t="str">
        <f aca="false">
IF($D263="정상",INDEX(임대자산!$D$3:$R$3000,MATCH($F263,임대자산!$I$3:$I$3000,0),MATCH(E$3,임대자산!$D$3:$R$3,0)),
IF($D263="폐업",INDEX(폐업정보!$D$3:$R$3000,MATCH($F263,폐업정보!$I$3:$I$3000,0),MATCH(E$3,폐업정보!$D$3:$R$3,0)),
"Error"))</f>
        <v>경기</v>
      </c>
      <c r="F26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B0258</v>
      </c>
      <c r="G263" s="76" t="str">
        <f aca="false">F263&amp;RANDBETWEEN(0,10)</f>
        <v>B025810</v>
      </c>
      <c r="H263" s="75" t="n">
        <f aca="false">
IF($D263="정상",INDEX(임대자산!$D$3:$R$3000,MATCH($F263,임대자산!$I$3:$I$3000,0),MATCH(H$4,임대자산!$D$3:$R$3,0)),
IF($D263="폐업",INDEX(폐업정보!$D$3:$R$3000,MATCH($F263,폐업정보!$I$3:$I$3000,0),MATCH(H$4,폐업정보!$D$3:$R$3,0)),
"Error"))</f>
        <v>45769</v>
      </c>
      <c r="I263" s="75" t="str">
        <f aca="false">
IF($D263="정상",INDEX(임대자산!$D$3:$R$3000,MATCH($F263,임대자산!$I$3:$I$3000,0),MATCH(I$4,임대자산!$D$3:$R$3,0)),
IF($D263="폐업",INDEX(폐업정보!$D$3:$R$3000,MATCH($F263,폐업정보!$I$3:$I$3000,0),MATCH(I$4,폐업정보!$D$3:$R$3,0)),
"Error"))</f>
        <v>A0258</v>
      </c>
      <c r="J263" s="75" t="str">
        <f aca="false">
IF($D263="정상",INDEX(임대자산!$D$3:$R$3000,MATCH($F263,임대자산!$I$3:$I$3000,0),MATCH(J$4,임대자산!$D$3:$R$3,0)),
IF($D263="폐업",INDEX(폐업정보!$D$3:$R$3000,MATCH($F263,폐업정보!$I$3:$I$3000,0),MATCH(J$4,폐업정보!$D$3:$R$3,0)),
"Error"))</f>
        <v>1968100000</v>
      </c>
      <c r="K263" s="75" t="str">
        <f aca="false">
IF($D263="정상",INDEX(임대자산!$D$3:$R$3000,MATCH($F263,임대자산!$I$3:$I$3000,0),MATCH(K$4,임대자산!$D$3:$R$3,0)),
IF($D263="폐업",INDEX(폐업정보!$D$3:$R$3000,MATCH($F263,폐업정보!$I$3:$I$3000,0),MATCH(K$4,폐업정보!$D$3:$R$3,0)),
"Error"))</f>
        <v>C0258</v>
      </c>
      <c r="L263" s="75" t="str">
        <f aca="false">
IF($D263="정상",INDEX(임대자산!$D$3:$R$3000,MATCH($F263,임대자산!$I$3:$I$3000,0),MATCH(L$4,임대자산!$D$3:$R$3,0)),
IF($D263="폐업",INDEX(폐업정보!$D$3:$R$3000,MATCH($F263,폐업정보!$I$3:$I$3000,0),MATCH(L$4,폐업정보!$D$3:$R$3,0)),
"Error"))</f>
        <v>D0258</v>
      </c>
      <c r="M263" s="76" t="s">
        <v>96</v>
      </c>
      <c r="N263" s="77"/>
      <c r="O263" s="78" t="s">
        <v>97</v>
      </c>
      <c r="P263" s="79" t="n">
        <f aca="false">COUNTIFS(임대자산!$I:$I,가맹점정보!F263,임대자산!$N:$N,가맹점정보!P$4)</f>
        <v>0</v>
      </c>
      <c r="Q263" s="80" t="n">
        <f aca="false">COUNTIFS(임대자산!$I:$I,가맹점정보!F263,임대자산!$N:$N,가맹점정보!Q$4)</f>
        <v>0</v>
      </c>
      <c r="R263" s="81" t="n">
        <f aca="false">COUNTIFS(임대자산!$I:$I,가맹점정보!F263,임대자산!$N:$N,가맹점정보!R$4)</f>
        <v>1</v>
      </c>
      <c r="S263" s="82" t="n">
        <v>55000</v>
      </c>
      <c r="T263" s="83" t="n">
        <v>0</v>
      </c>
      <c r="U263" s="80" t="n">
        <f aca="false">SUM(S263:T263)</f>
        <v>55000</v>
      </c>
      <c r="V263" s="84" t="s">
        <v>12</v>
      </c>
      <c r="W263" s="80" t="e">
        <f aca="true">
IF(D263="폐업","폐업",
IF(V263="면제","면제",
IF(AND(V263="정상",COUNTIFS(OFFSET(Y263,0,COUNTA(Y263:AV263)-1,1,-4),"미납")&gt;=3),"장기미납",
IF(AND(V263="정상",OFFSET(Y263,0,COUNTA(Y263:AV263)-1)&gt;=U263),"정상",
IF(AND(V263="정상",OFFSET(Y263,0,COUNTA(Y263:AV263)-1)=0),"정상",
"계약서 미작성")))))</f>
        <v>#VALUE!</v>
      </c>
      <c r="X263" s="81" t="str">
        <f aca="true">
IF(D263="폐업","폐업",
IF(AND(V263="정상",OFFSET(Y263,0,COUNTA(Y263:AV263)-1)="미납"),"미납",
IF(AND(V263="정상",OFFSET(Y263,0,COUNTA(Y263:AV263)-1)=0),"납부 시작 전",
IF(AND(V263="정상",OFFSET(Y263,0,COUNTA(Y263:AV263)-1)&gt;=U263),"정상",
IF(AND(V263="면제",OFFSET(Y263,0,COUNTA(Y263:AV263)-1)="면제"),"면제",
IF(AND(V263="면제",OFFSET(Y263,0,COUNTA(Y263:AV263)-1)=0),"면제",
"확인요청"))))))</f>
        <v>정상</v>
      </c>
      <c r="Y263" s="93" t="n">
        <v>55000</v>
      </c>
      <c r="Z263" s="90" t="n">
        <v>55000</v>
      </c>
      <c r="AA263" s="90" t="n">
        <v>55000</v>
      </c>
      <c r="AB263" s="90" t="n">
        <v>55000</v>
      </c>
      <c r="AC263" s="90" t="n">
        <v>55000</v>
      </c>
      <c r="AD263" s="90" t="n">
        <v>55000</v>
      </c>
      <c r="AE263" s="90" t="n">
        <v>55000</v>
      </c>
      <c r="AF263" s="90" t="n">
        <v>55000</v>
      </c>
      <c r="AG263" s="90" t="n">
        <v>55000</v>
      </c>
      <c r="AH263" s="90" t="n">
        <v>55000</v>
      </c>
      <c r="AI263" s="90" t="n">
        <v>55000</v>
      </c>
      <c r="AJ263" s="91" t="n">
        <v>55000</v>
      </c>
      <c r="AK263" s="89" t="n">
        <v>55000</v>
      </c>
      <c r="AL263" s="90" t="n">
        <v>55000</v>
      </c>
      <c r="AM263" s="90"/>
      <c r="AN263" s="90"/>
      <c r="AO263" s="90"/>
      <c r="AP263" s="90"/>
      <c r="AQ263" s="90"/>
      <c r="AR263" s="90"/>
      <c r="AS263" s="90"/>
      <c r="AT263" s="90"/>
      <c r="AU263" s="90"/>
      <c r="AV263" s="91"/>
      <c r="AX263" s="92"/>
    </row>
    <row r="264" customFormat="false" ht="15.65" hidden="false" customHeight="false" outlineLevel="0" collapsed="false">
      <c r="C264" s="72" t="n">
        <f aca="false">COUNTIFS($D$6:D264,"&lt;&gt;"&amp;"")</f>
        <v>259</v>
      </c>
      <c r="D264" s="73" t="s">
        <v>12</v>
      </c>
      <c r="E264" s="76" t="str">
        <f aca="false">
IF($D264="정상",INDEX(임대자산!$D$3:$R$3000,MATCH($F264,임대자산!$I$3:$I$3000,0),MATCH(E$3,임대자산!$D$3:$R$3,0)),
IF($D264="폐업",INDEX(폐업정보!$D$3:$R$3000,MATCH($F264,폐업정보!$I$3:$I$3000,0),MATCH(E$3,폐업정보!$D$3:$R$3,0)),
"Error"))</f>
        <v>강원</v>
      </c>
      <c r="F26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B0259</v>
      </c>
      <c r="G264" s="76" t="str">
        <f aca="false">F264&amp;RANDBETWEEN(0,10)</f>
        <v>B02592</v>
      </c>
      <c r="H264" s="75" t="n">
        <f aca="false">
IF($D264="정상",INDEX(임대자산!$D$3:$R$3000,MATCH($F264,임대자산!$I$3:$I$3000,0),MATCH(H$4,임대자산!$D$3:$R$3,0)),
IF($D264="폐업",INDEX(폐업정보!$D$3:$R$3000,MATCH($F264,폐업정보!$I$3:$I$3000,0),MATCH(H$4,폐업정보!$D$3:$R$3,0)),
"Error"))</f>
        <v>45924</v>
      </c>
      <c r="I264" s="75" t="str">
        <f aca="false">
IF($D264="정상",INDEX(임대자산!$D$3:$R$3000,MATCH($F264,임대자산!$I$3:$I$3000,0),MATCH(I$4,임대자산!$D$3:$R$3,0)),
IF($D264="폐업",INDEX(폐업정보!$D$3:$R$3000,MATCH($F264,폐업정보!$I$3:$I$3000,0),MATCH(I$4,폐업정보!$D$3:$R$3,0)),
"Error"))</f>
        <v>A0259</v>
      </c>
      <c r="J264" s="75" t="str">
        <f aca="false">
IF($D264="정상",INDEX(임대자산!$D$3:$R$3000,MATCH($F264,임대자산!$I$3:$I$3000,0),MATCH(J$4,임대자산!$D$3:$R$3,0)),
IF($D264="폐업",INDEX(폐업정보!$D$3:$R$3000,MATCH($F264,폐업정보!$I$3:$I$3000,0),MATCH(J$4,폐업정보!$D$3:$R$3,0)),
"Error"))</f>
        <v>3297800000</v>
      </c>
      <c r="K264" s="75" t="str">
        <f aca="false">
IF($D264="정상",INDEX(임대자산!$D$3:$R$3000,MATCH($F264,임대자산!$I$3:$I$3000,0),MATCH(K$4,임대자산!$D$3:$R$3,0)),
IF($D264="폐업",INDEX(폐업정보!$D$3:$R$3000,MATCH($F264,폐업정보!$I$3:$I$3000,0),MATCH(K$4,폐업정보!$D$3:$R$3,0)),
"Error"))</f>
        <v>C0259</v>
      </c>
      <c r="L264" s="75" t="str">
        <f aca="false">
IF($D264="정상",INDEX(임대자산!$D$3:$R$3000,MATCH($F264,임대자산!$I$3:$I$3000,0),MATCH(L$4,임대자산!$D$3:$R$3,0)),
IF($D264="폐업",INDEX(폐업정보!$D$3:$R$3000,MATCH($F264,폐업정보!$I$3:$I$3000,0),MATCH(L$4,폐업정보!$D$3:$R$3,0)),
"Error"))</f>
        <v>D0259</v>
      </c>
      <c r="M264" s="76" t="s">
        <v>96</v>
      </c>
      <c r="N264" s="77"/>
      <c r="O264" s="78" t="s">
        <v>97</v>
      </c>
      <c r="P264" s="79" t="n">
        <f aca="false">COUNTIFS(임대자산!$I:$I,가맹점정보!F264,임대자산!$N:$N,가맹점정보!P$4)</f>
        <v>0</v>
      </c>
      <c r="Q264" s="80" t="n">
        <f aca="false">COUNTIFS(임대자산!$I:$I,가맹점정보!F264,임대자산!$N:$N,가맹점정보!Q$4)</f>
        <v>0</v>
      </c>
      <c r="R264" s="81" t="n">
        <f aca="false">COUNTIFS(임대자산!$I:$I,가맹점정보!F264,임대자산!$N:$N,가맹점정보!R$4)</f>
        <v>1</v>
      </c>
      <c r="S264" s="82" t="n">
        <v>55000</v>
      </c>
      <c r="T264" s="83" t="n">
        <v>0</v>
      </c>
      <c r="U264" s="80" t="n">
        <f aca="false">SUM(S264:T264)</f>
        <v>55000</v>
      </c>
      <c r="V264" s="84" t="s">
        <v>12</v>
      </c>
      <c r="W264" s="80" t="e">
        <f aca="true">
IF(D264="폐업","폐업",
IF(V264="면제","면제",
IF(AND(V264="정상",COUNTIFS(OFFSET(Y264,0,COUNTA(Y264:AV264)-1,1,-4),"미납")&gt;=3),"장기미납",
IF(AND(V264="정상",OFFSET(Y264,0,COUNTA(Y264:AV264)-1)&gt;=U264),"정상",
IF(AND(V264="정상",OFFSET(Y264,0,COUNTA(Y264:AV264)-1)=0),"정상",
"계약서 미작성")))))</f>
        <v>#VALUE!</v>
      </c>
      <c r="X264" s="81" t="str">
        <f aca="true">
IF(D264="폐업","폐업",
IF(AND(V264="정상",OFFSET(Y264,0,COUNTA(Y264:AV264)-1)="미납"),"미납",
IF(AND(V264="정상",OFFSET(Y264,0,COUNTA(Y264:AV264)-1)=0),"납부 시작 전",
IF(AND(V264="정상",OFFSET(Y264,0,COUNTA(Y264:AV264)-1)&gt;=U264),"정상",
IF(AND(V264="면제",OFFSET(Y264,0,COUNTA(Y264:AV264)-1)="면제"),"면제",
IF(AND(V264="면제",OFFSET(Y264,0,COUNTA(Y264:AV264)-1)=0),"면제",
"확인요청"))))))</f>
        <v>정상</v>
      </c>
      <c r="Y264" s="93" t="n">
        <v>55000</v>
      </c>
      <c r="Z264" s="90" t="n">
        <v>55000</v>
      </c>
      <c r="AA264" s="90" t="n">
        <v>55000</v>
      </c>
      <c r="AB264" s="90" t="n">
        <v>55000</v>
      </c>
      <c r="AC264" s="90" t="n">
        <v>55000</v>
      </c>
      <c r="AD264" s="90" t="n">
        <v>55000</v>
      </c>
      <c r="AE264" s="90" t="n">
        <v>55000</v>
      </c>
      <c r="AF264" s="90" t="n">
        <v>55000</v>
      </c>
      <c r="AG264" s="90" t="n">
        <v>55000</v>
      </c>
      <c r="AH264" s="90" t="n">
        <v>55000</v>
      </c>
      <c r="AI264" s="90" t="n">
        <v>55000</v>
      </c>
      <c r="AJ264" s="91" t="n">
        <v>55000</v>
      </c>
      <c r="AK264" s="89" t="n">
        <v>55000</v>
      </c>
      <c r="AL264" s="90" t="n">
        <v>55000</v>
      </c>
      <c r="AM264" s="90"/>
      <c r="AN264" s="90"/>
      <c r="AO264" s="90"/>
      <c r="AP264" s="90"/>
      <c r="AQ264" s="90"/>
      <c r="AR264" s="90"/>
      <c r="AS264" s="90"/>
      <c r="AT264" s="90"/>
      <c r="AU264" s="90"/>
      <c r="AV264" s="91"/>
      <c r="AX264" s="92"/>
    </row>
    <row r="265" customFormat="false" ht="15.65" hidden="false" customHeight="false" outlineLevel="0" collapsed="false">
      <c r="C265" s="72" t="n">
        <f aca="false">COUNTIFS($D$6:D265,"&lt;&gt;"&amp;"")</f>
        <v>260</v>
      </c>
      <c r="D265" s="73" t="s">
        <v>12</v>
      </c>
      <c r="E265" s="76" t="str">
        <f aca="false">
IF($D265="정상",INDEX(임대자산!$D$3:$R$3000,MATCH($F265,임대자산!$I$3:$I$3000,0),MATCH(E$3,임대자산!$D$3:$R$3,0)),
IF($D265="폐업",INDEX(폐업정보!$D$3:$R$3000,MATCH($F265,폐업정보!$I$3:$I$3000,0),MATCH(E$3,폐업정보!$D$3:$R$3,0)),
"Error"))</f>
        <v>전라</v>
      </c>
      <c r="F26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B0260</v>
      </c>
      <c r="G265" s="76" t="str">
        <f aca="false">F265&amp;RANDBETWEEN(0,10)</f>
        <v>B02603</v>
      </c>
      <c r="H265" s="75" t="n">
        <f aca="false">
IF($D265="정상",INDEX(임대자산!$D$3:$R$3000,MATCH($F265,임대자산!$I$3:$I$3000,0),MATCH(H$4,임대자산!$D$3:$R$3,0)),
IF($D265="폐업",INDEX(폐업정보!$D$3:$R$3000,MATCH($F265,폐업정보!$I$3:$I$3000,0),MATCH(H$4,폐업정보!$D$3:$R$3,0)),
"Error"))</f>
        <v>45931</v>
      </c>
      <c r="I265" s="75" t="str">
        <f aca="false">
IF($D265="정상",INDEX(임대자산!$D$3:$R$3000,MATCH($F265,임대자산!$I$3:$I$3000,0),MATCH(I$4,임대자산!$D$3:$R$3,0)),
IF($D265="폐업",INDEX(폐업정보!$D$3:$R$3000,MATCH($F265,폐업정보!$I$3:$I$3000,0),MATCH(I$4,폐업정보!$D$3:$R$3,0)),
"Error"))</f>
        <v>A0260</v>
      </c>
      <c r="J265" s="75" t="str">
        <f aca="false">
IF($D265="정상",INDEX(임대자산!$D$3:$R$3000,MATCH($F265,임대자산!$I$3:$I$3000,0),MATCH(J$4,임대자산!$D$3:$R$3,0)),
IF($D265="폐업",INDEX(폐업정보!$D$3:$R$3000,MATCH($F265,폐업정보!$I$3:$I$3000,0),MATCH(J$4,폐업정보!$D$3:$R$3,0)),
"Error"))</f>
        <v>3316200000</v>
      </c>
      <c r="K265" s="75" t="str">
        <f aca="false">
IF($D265="정상",INDEX(임대자산!$D$3:$R$3000,MATCH($F265,임대자산!$I$3:$I$3000,0),MATCH(K$4,임대자산!$D$3:$R$3,0)),
IF($D265="폐업",INDEX(폐업정보!$D$3:$R$3000,MATCH($F265,폐업정보!$I$3:$I$3000,0),MATCH(K$4,폐업정보!$D$3:$R$3,0)),
"Error"))</f>
        <v>C0260</v>
      </c>
      <c r="L265" s="75" t="str">
        <f aca="false">
IF($D265="정상",INDEX(임대자산!$D$3:$R$3000,MATCH($F265,임대자산!$I$3:$I$3000,0),MATCH(L$4,임대자산!$D$3:$R$3,0)),
IF($D265="폐업",INDEX(폐업정보!$D$3:$R$3000,MATCH($F265,폐업정보!$I$3:$I$3000,0),MATCH(L$4,폐업정보!$D$3:$R$3,0)),
"Error"))</f>
        <v>D0260</v>
      </c>
      <c r="M265" s="76" t="s">
        <v>96</v>
      </c>
      <c r="N265" s="77"/>
      <c r="O265" s="78" t="s">
        <v>97</v>
      </c>
      <c r="P265" s="79" t="n">
        <f aca="false">COUNTIFS(임대자산!$I:$I,가맹점정보!F265,임대자산!$N:$N,가맹점정보!P$4)</f>
        <v>0</v>
      </c>
      <c r="Q265" s="80" t="n">
        <f aca="false">COUNTIFS(임대자산!$I:$I,가맹점정보!F265,임대자산!$N:$N,가맹점정보!Q$4)</f>
        <v>0</v>
      </c>
      <c r="R265" s="81" t="n">
        <f aca="false">COUNTIFS(임대자산!$I:$I,가맹점정보!F265,임대자산!$N:$N,가맹점정보!R$4)</f>
        <v>1</v>
      </c>
      <c r="S265" s="82" t="n">
        <v>55000</v>
      </c>
      <c r="T265" s="83" t="n">
        <v>0</v>
      </c>
      <c r="U265" s="80" t="n">
        <f aca="false">SUM(S265:T265)</f>
        <v>55000</v>
      </c>
      <c r="V265" s="84" t="s">
        <v>12</v>
      </c>
      <c r="W265" s="80" t="e">
        <f aca="true">
IF(D265="폐업","폐업",
IF(V265="면제","면제",
IF(AND(V265="정상",COUNTIFS(OFFSET(Y265,0,COUNTA(Y265:AV265)-1,1,-4),"미납")&gt;=3),"장기미납",
IF(AND(V265="정상",OFFSET(Y265,0,COUNTA(Y265:AV265)-1)&gt;=U265),"정상",
IF(AND(V265="정상",OFFSET(Y265,0,COUNTA(Y265:AV265)-1)=0),"정상",
"계약서 미작성")))))</f>
        <v>#VALUE!</v>
      </c>
      <c r="X265" s="81" t="str">
        <f aca="true">
IF(D265="폐업","폐업",
IF(AND(V265="정상",OFFSET(Y265,0,COUNTA(Y265:AV265)-1)="미납"),"미납",
IF(AND(V265="정상",OFFSET(Y265,0,COUNTA(Y265:AV265)-1)=0),"납부 시작 전",
IF(AND(V265="정상",OFFSET(Y265,0,COUNTA(Y265:AV265)-1)&gt;=U265),"정상",
IF(AND(V265="면제",OFFSET(Y265,0,COUNTA(Y265:AV265)-1)="면제"),"면제",
IF(AND(V265="면제",OFFSET(Y265,0,COUNTA(Y265:AV265)-1)=0),"면제",
"확인요청"))))))</f>
        <v>정상</v>
      </c>
      <c r="Y265" s="93" t="n">
        <v>55000</v>
      </c>
      <c r="Z265" s="90" t="n">
        <v>55000</v>
      </c>
      <c r="AA265" s="90" t="n">
        <v>55000</v>
      </c>
      <c r="AB265" s="90" t="n">
        <v>55000</v>
      </c>
      <c r="AC265" s="90" t="n">
        <v>55000</v>
      </c>
      <c r="AD265" s="90" t="n">
        <v>55000</v>
      </c>
      <c r="AE265" s="90" t="n">
        <v>55000</v>
      </c>
      <c r="AF265" s="90" t="n">
        <v>55000</v>
      </c>
      <c r="AG265" s="90" t="n">
        <v>55000</v>
      </c>
      <c r="AH265" s="90" t="n">
        <v>55000</v>
      </c>
      <c r="AI265" s="90" t="n">
        <v>55000</v>
      </c>
      <c r="AJ265" s="91" t="n">
        <v>55000</v>
      </c>
      <c r="AK265" s="89" t="n">
        <v>55000</v>
      </c>
      <c r="AL265" s="90" t="n">
        <v>55000</v>
      </c>
      <c r="AM265" s="90"/>
      <c r="AN265" s="90"/>
      <c r="AO265" s="90"/>
      <c r="AP265" s="90"/>
      <c r="AQ265" s="90"/>
      <c r="AR265" s="90"/>
      <c r="AS265" s="90"/>
      <c r="AT265" s="90"/>
      <c r="AU265" s="90"/>
      <c r="AV265" s="91"/>
      <c r="AX265" s="92"/>
    </row>
    <row r="266" customFormat="false" ht="15.65" hidden="false" customHeight="false" outlineLevel="0" collapsed="false">
      <c r="C266" s="72" t="n">
        <f aca="false">COUNTIFS($D$6:D266,"&lt;&gt;"&amp;"")</f>
        <v>261</v>
      </c>
      <c r="D266" s="73" t="s">
        <v>12</v>
      </c>
      <c r="E266" s="76" t="str">
        <f aca="false">
IF($D266="정상",INDEX(임대자산!$D$3:$R$3000,MATCH($F266,임대자산!$I$3:$I$3000,0),MATCH(E$3,임대자산!$D$3:$R$3,0)),
IF($D266="폐업",INDEX(폐업정보!$D$3:$R$3000,MATCH($F266,폐업정보!$I$3:$I$3000,0),MATCH(E$3,폐업정보!$D$3:$R$3,0)),
"Error"))</f>
        <v>강원</v>
      </c>
      <c r="F26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B0261</v>
      </c>
      <c r="G266" s="76" t="str">
        <f aca="false">F266&amp;RANDBETWEEN(0,10)</f>
        <v>B02615</v>
      </c>
      <c r="H266" s="75" t="n">
        <f aca="false">
IF($D266="정상",INDEX(임대자산!$D$3:$R$3000,MATCH($F266,임대자산!$I$3:$I$3000,0),MATCH(H$4,임대자산!$D$3:$R$3,0)),
IF($D266="폐업",INDEX(폐업정보!$D$3:$R$3000,MATCH($F266,폐업정보!$I$3:$I$3000,0),MATCH(H$4,폐업정보!$D$3:$R$3,0)),
"Error"))</f>
        <v>45088</v>
      </c>
      <c r="I266" s="75" t="str">
        <f aca="false">
IF($D266="정상",INDEX(임대자산!$D$3:$R$3000,MATCH($F266,임대자산!$I$3:$I$3000,0),MATCH(I$4,임대자산!$D$3:$R$3,0)),
IF($D266="폐업",INDEX(폐업정보!$D$3:$R$3000,MATCH($F266,폐업정보!$I$3:$I$3000,0),MATCH(I$4,폐업정보!$D$3:$R$3,0)),
"Error"))</f>
        <v>A0261</v>
      </c>
      <c r="J266" s="75" t="str">
        <f aca="false">
IF($D266="정상",INDEX(임대자산!$D$3:$R$3000,MATCH($F266,임대자산!$I$3:$I$3000,0),MATCH(J$4,임대자산!$D$3:$R$3,0)),
IF($D266="폐업",INDEX(폐업정보!$D$3:$R$3000,MATCH($F266,폐업정보!$I$3:$I$3000,0),MATCH(J$4,폐업정보!$D$3:$R$3,0)),
"Error"))</f>
        <v>2898100000</v>
      </c>
      <c r="K266" s="75" t="str">
        <f aca="false">
IF($D266="정상",INDEX(임대자산!$D$3:$R$3000,MATCH($F266,임대자산!$I$3:$I$3000,0),MATCH(K$4,임대자산!$D$3:$R$3,0)),
IF($D266="폐업",INDEX(폐업정보!$D$3:$R$3000,MATCH($F266,폐업정보!$I$3:$I$3000,0),MATCH(K$4,폐업정보!$D$3:$R$3,0)),
"Error"))</f>
        <v>C0261</v>
      </c>
      <c r="L266" s="75" t="str">
        <f aca="false">
IF($D266="정상",INDEX(임대자산!$D$3:$R$3000,MATCH($F266,임대자산!$I$3:$I$3000,0),MATCH(L$4,임대자산!$D$3:$R$3,0)),
IF($D266="폐업",INDEX(폐업정보!$D$3:$R$3000,MATCH($F266,폐업정보!$I$3:$I$3000,0),MATCH(L$4,폐업정보!$D$3:$R$3,0)),
"Error"))</f>
        <v>D0261</v>
      </c>
      <c r="M266" s="76" t="s">
        <v>96</v>
      </c>
      <c r="N266" s="77"/>
      <c r="O266" s="78" t="s">
        <v>97</v>
      </c>
      <c r="P266" s="79" t="n">
        <f aca="false">COUNTIFS(임대자산!$I:$I,가맹점정보!F266,임대자산!$N:$N,가맹점정보!P$4)</f>
        <v>0</v>
      </c>
      <c r="Q266" s="80" t="n">
        <f aca="false">COUNTIFS(임대자산!$I:$I,가맹점정보!F266,임대자산!$N:$N,가맹점정보!Q$4)</f>
        <v>0</v>
      </c>
      <c r="R266" s="81" t="n">
        <f aca="false">COUNTIFS(임대자산!$I:$I,가맹점정보!F266,임대자산!$N:$N,가맹점정보!R$4)</f>
        <v>1</v>
      </c>
      <c r="S266" s="82" t="n">
        <v>55000</v>
      </c>
      <c r="T266" s="83" t="n">
        <v>0</v>
      </c>
      <c r="U266" s="80" t="n">
        <f aca="false">SUM(S266:T266)</f>
        <v>55000</v>
      </c>
      <c r="V266" s="84" t="s">
        <v>12</v>
      </c>
      <c r="W266" s="80" t="e">
        <f aca="true">
IF(D266="폐업","폐업",
IF(V266="면제","면제",
IF(AND(V266="정상",COUNTIFS(OFFSET(Y266,0,COUNTA(Y266:AV266)-1,1,-4),"미납")&gt;=3),"장기미납",
IF(AND(V266="정상",OFFSET(Y266,0,COUNTA(Y266:AV266)-1)&gt;=U266),"정상",
IF(AND(V266="정상",OFFSET(Y266,0,COUNTA(Y266:AV266)-1)=0),"정상",
"계약서 미작성")))))</f>
        <v>#VALUE!</v>
      </c>
      <c r="X266" s="81" t="str">
        <f aca="true">
IF(D266="폐업","폐업",
IF(AND(V266="정상",OFFSET(Y266,0,COUNTA(Y266:AV266)-1)="미납"),"미납",
IF(AND(V266="정상",OFFSET(Y266,0,COUNTA(Y266:AV266)-1)=0),"납부 시작 전",
IF(AND(V266="정상",OFFSET(Y266,0,COUNTA(Y266:AV266)-1)&gt;=U266),"정상",
IF(AND(V266="면제",OFFSET(Y266,0,COUNTA(Y266:AV266)-1)="면제"),"면제",
IF(AND(V266="면제",OFFSET(Y266,0,COUNTA(Y266:AV266)-1)=0),"면제",
"확인요청"))))))</f>
        <v>정상</v>
      </c>
      <c r="Y266" s="93" t="n">
        <v>88000</v>
      </c>
      <c r="Z266" s="90" t="n">
        <v>88000</v>
      </c>
      <c r="AA266" s="90" t="n">
        <v>88000</v>
      </c>
      <c r="AB266" s="90" t="n">
        <v>88000</v>
      </c>
      <c r="AC266" s="90" t="n">
        <v>88000</v>
      </c>
      <c r="AD266" s="90" t="n">
        <v>88000</v>
      </c>
      <c r="AE266" s="90" t="n">
        <v>88000</v>
      </c>
      <c r="AF266" s="90" t="n">
        <v>88000</v>
      </c>
      <c r="AG266" s="90" t="n">
        <v>88000</v>
      </c>
      <c r="AH266" s="90" t="n">
        <v>88000</v>
      </c>
      <c r="AI266" s="90" t="n">
        <v>55000</v>
      </c>
      <c r="AJ266" s="91" t="n">
        <v>55000</v>
      </c>
      <c r="AK266" s="89" t="n">
        <v>55000</v>
      </c>
      <c r="AL266" s="90" t="n">
        <v>55000</v>
      </c>
      <c r="AM266" s="90"/>
      <c r="AN266" s="90"/>
      <c r="AO266" s="90"/>
      <c r="AP266" s="90"/>
      <c r="AQ266" s="90"/>
      <c r="AR266" s="90"/>
      <c r="AS266" s="90"/>
      <c r="AT266" s="90"/>
      <c r="AU266" s="90"/>
      <c r="AV266" s="91"/>
      <c r="AX266" s="92"/>
    </row>
    <row r="267" customFormat="false" ht="15.65" hidden="false" customHeight="false" outlineLevel="0" collapsed="false">
      <c r="C267" s="72" t="n">
        <f aca="false">COUNTIFS($D$6:D267,"&lt;&gt;"&amp;"")</f>
        <v>262</v>
      </c>
      <c r="D267" s="73" t="s">
        <v>12</v>
      </c>
      <c r="E267" s="76" t="str">
        <f aca="false">
IF($D267="정상",INDEX(임대자산!$D$3:$R$3000,MATCH($F267,임대자산!$I$3:$I$3000,0),MATCH(E$3,임대자산!$D$3:$R$3,0)),
IF($D267="폐업",INDEX(폐업정보!$D$3:$R$3000,MATCH($F267,폐업정보!$I$3:$I$3000,0),MATCH(E$3,폐업정보!$D$3:$R$3,0)),
"Error"))</f>
        <v>전라</v>
      </c>
      <c r="F26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B0262</v>
      </c>
      <c r="G267" s="76" t="str">
        <f aca="false">F267&amp;RANDBETWEEN(0,10)</f>
        <v>B02620</v>
      </c>
      <c r="H267" s="75" t="n">
        <f aca="false">
IF($D267="정상",INDEX(임대자산!$D$3:$R$3000,MATCH($F267,임대자산!$I$3:$I$3000,0),MATCH(H$4,임대자산!$D$3:$R$3,0)),
IF($D267="폐업",INDEX(폐업정보!$D$3:$R$3000,MATCH($F267,폐업정보!$I$3:$I$3000,0),MATCH(H$4,폐업정보!$D$3:$R$3,0)),
"Error"))</f>
        <v>45127</v>
      </c>
      <c r="I267" s="75" t="str">
        <f aca="false">
IF($D267="정상",INDEX(임대자산!$D$3:$R$3000,MATCH($F267,임대자산!$I$3:$I$3000,0),MATCH(I$4,임대자산!$D$3:$R$3,0)),
IF($D267="폐업",INDEX(폐업정보!$D$3:$R$3000,MATCH($F267,폐업정보!$I$3:$I$3000,0),MATCH(I$4,폐업정보!$D$3:$R$3,0)),
"Error"))</f>
        <v>A0262</v>
      </c>
      <c r="J267" s="75" t="str">
        <f aca="false">
IF($D267="정상",INDEX(임대자산!$D$3:$R$3000,MATCH($F267,임대자산!$I$3:$I$3000,0),MATCH(J$4,임대자산!$D$3:$R$3,0)),
IF($D267="폐업",INDEX(폐업정보!$D$3:$R$3000,MATCH($F267,폐업정보!$I$3:$I$3000,0),MATCH(J$4,폐업정보!$D$3:$R$3,0)),
"Error"))</f>
        <v>1906200000</v>
      </c>
      <c r="K267" s="75" t="str">
        <f aca="false">
IF($D267="정상",INDEX(임대자산!$D$3:$R$3000,MATCH($F267,임대자산!$I$3:$I$3000,0),MATCH(K$4,임대자산!$D$3:$R$3,0)),
IF($D267="폐업",INDEX(폐업정보!$D$3:$R$3000,MATCH($F267,폐업정보!$I$3:$I$3000,0),MATCH(K$4,폐업정보!$D$3:$R$3,0)),
"Error"))</f>
        <v>C0262</v>
      </c>
      <c r="L267" s="75" t="str">
        <f aca="false">
IF($D267="정상",INDEX(임대자산!$D$3:$R$3000,MATCH($F267,임대자산!$I$3:$I$3000,0),MATCH(L$4,임대자산!$D$3:$R$3,0)),
IF($D267="폐업",INDEX(폐업정보!$D$3:$R$3000,MATCH($F267,폐업정보!$I$3:$I$3000,0),MATCH(L$4,폐업정보!$D$3:$R$3,0)),
"Error"))</f>
        <v>D0262</v>
      </c>
      <c r="M267" s="76" t="s">
        <v>96</v>
      </c>
      <c r="N267" s="77"/>
      <c r="O267" s="78" t="s">
        <v>97</v>
      </c>
      <c r="P267" s="79" t="n">
        <f aca="false">COUNTIFS(임대자산!$I:$I,가맹점정보!F267,임대자산!$N:$N,가맹점정보!P$4)</f>
        <v>0</v>
      </c>
      <c r="Q267" s="80" t="n">
        <f aca="false">COUNTIFS(임대자산!$I:$I,가맹점정보!F267,임대자산!$N:$N,가맹점정보!Q$4)</f>
        <v>0</v>
      </c>
      <c r="R267" s="81" t="n">
        <f aca="false">COUNTIFS(임대자산!$I:$I,가맹점정보!F267,임대자산!$N:$N,가맹점정보!R$4)</f>
        <v>1</v>
      </c>
      <c r="S267" s="82" t="n">
        <v>55000</v>
      </c>
      <c r="T267" s="83" t="n">
        <v>0</v>
      </c>
      <c r="U267" s="80" t="n">
        <f aca="false">SUM(S267:T267)</f>
        <v>55000</v>
      </c>
      <c r="V267" s="84" t="s">
        <v>12</v>
      </c>
      <c r="W267" s="80" t="e">
        <f aca="true">
IF(D267="폐업","폐업",
IF(V267="면제","면제",
IF(AND(V267="정상",COUNTIFS(OFFSET(Y267,0,COUNTA(Y267:AV267)-1,1,-4),"미납")&gt;=3),"장기미납",
IF(AND(V267="정상",OFFSET(Y267,0,COUNTA(Y267:AV267)-1)&gt;=U267),"정상",
IF(AND(V267="정상",OFFSET(Y267,0,COUNTA(Y267:AV267)-1)=0),"정상",
"계약서 미작성")))))</f>
        <v>#VALUE!</v>
      </c>
      <c r="X267" s="81" t="str">
        <f aca="true">
IF(D267="폐업","폐업",
IF(AND(V267="정상",OFFSET(Y267,0,COUNTA(Y267:AV267)-1)="미납"),"미납",
IF(AND(V267="정상",OFFSET(Y267,0,COUNTA(Y267:AV267)-1)=0),"납부 시작 전",
IF(AND(V267="정상",OFFSET(Y267,0,COUNTA(Y267:AV267)-1)&gt;=U267),"정상",
IF(AND(V267="면제",OFFSET(Y267,0,COUNTA(Y267:AV267)-1)="면제"),"면제",
IF(AND(V267="면제",OFFSET(Y267,0,COUNTA(Y267:AV267)-1)=0),"면제",
"확인요청"))))))</f>
        <v>정상</v>
      </c>
      <c r="Y267" s="93" t="n">
        <v>55000</v>
      </c>
      <c r="Z267" s="90" t="n">
        <v>55000</v>
      </c>
      <c r="AA267" s="90" t="n">
        <v>55000</v>
      </c>
      <c r="AB267" s="90" t="n">
        <v>55000</v>
      </c>
      <c r="AC267" s="90" t="n">
        <v>55000</v>
      </c>
      <c r="AD267" s="90" t="n">
        <v>55000</v>
      </c>
      <c r="AE267" s="90" t="n">
        <v>55000</v>
      </c>
      <c r="AF267" s="90" t="n">
        <v>55000</v>
      </c>
      <c r="AG267" s="90" t="n">
        <v>55000</v>
      </c>
      <c r="AH267" s="90" t="n">
        <v>55000</v>
      </c>
      <c r="AI267" s="90" t="n">
        <v>55000</v>
      </c>
      <c r="AJ267" s="91" t="n">
        <v>55000</v>
      </c>
      <c r="AK267" s="89" t="n">
        <v>55000</v>
      </c>
      <c r="AL267" s="90" t="n">
        <v>55000</v>
      </c>
      <c r="AM267" s="90"/>
      <c r="AN267" s="90"/>
      <c r="AO267" s="90"/>
      <c r="AP267" s="90"/>
      <c r="AQ267" s="90"/>
      <c r="AR267" s="90"/>
      <c r="AS267" s="90"/>
      <c r="AT267" s="90"/>
      <c r="AU267" s="90"/>
      <c r="AV267" s="91"/>
      <c r="AX267" s="92"/>
    </row>
    <row r="268" customFormat="false" ht="15.65" hidden="false" customHeight="false" outlineLevel="0" collapsed="false">
      <c r="C268" s="72" t="n">
        <f aca="false">COUNTIFS($D$6:D268,"&lt;&gt;"&amp;"")</f>
        <v>263</v>
      </c>
      <c r="D268" s="73" t="s">
        <v>12</v>
      </c>
      <c r="E268" s="76" t="str">
        <f aca="false">
IF($D268="정상",INDEX(임대자산!$D$3:$R$3000,MATCH($F268,임대자산!$I$3:$I$3000,0),MATCH(E$3,임대자산!$D$3:$R$3,0)),
IF($D268="폐업",INDEX(폐업정보!$D$3:$R$3000,MATCH($F268,폐업정보!$I$3:$I$3000,0),MATCH(E$3,폐업정보!$D$3:$R$3,0)),
"Error"))</f>
        <v>전라</v>
      </c>
      <c r="F26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B0263</v>
      </c>
      <c r="G268" s="76" t="str">
        <f aca="false">F268&amp;RANDBETWEEN(0,10)</f>
        <v>B02636</v>
      </c>
      <c r="H268" s="75" t="n">
        <f aca="false">
IF($D268="정상",INDEX(임대자산!$D$3:$R$3000,MATCH($F268,임대자산!$I$3:$I$3000,0),MATCH(H$4,임대자산!$D$3:$R$3,0)),
IF($D268="폐업",INDEX(폐업정보!$D$3:$R$3000,MATCH($F268,폐업정보!$I$3:$I$3000,0),MATCH(H$4,폐업정보!$D$3:$R$3,0)),
"Error"))</f>
        <v>45930</v>
      </c>
      <c r="I268" s="75" t="str">
        <f aca="false">
IF($D268="정상",INDEX(임대자산!$D$3:$R$3000,MATCH($F268,임대자산!$I$3:$I$3000,0),MATCH(I$4,임대자산!$D$3:$R$3,0)),
IF($D268="폐업",INDEX(폐업정보!$D$3:$R$3000,MATCH($F268,폐업정보!$I$3:$I$3000,0),MATCH(I$4,폐업정보!$D$3:$R$3,0)),
"Error"))</f>
        <v>A0263</v>
      </c>
      <c r="J268" s="75" t="str">
        <f aca="false">
IF($D268="정상",INDEX(임대자산!$D$3:$R$3000,MATCH($F268,임대자산!$I$3:$I$3000,0),MATCH(J$4,임대자산!$D$3:$R$3,0)),
IF($D268="폐업",INDEX(폐업정보!$D$3:$R$3000,MATCH($F268,폐업정보!$I$3:$I$3000,0),MATCH(J$4,폐업정보!$D$3:$R$3,0)),
"Error"))</f>
        <v>4503900000</v>
      </c>
      <c r="K268" s="75" t="str">
        <f aca="false">
IF($D268="정상",INDEX(임대자산!$D$3:$R$3000,MATCH($F268,임대자산!$I$3:$I$3000,0),MATCH(K$4,임대자산!$D$3:$R$3,0)),
IF($D268="폐업",INDEX(폐업정보!$D$3:$R$3000,MATCH($F268,폐업정보!$I$3:$I$3000,0),MATCH(K$4,폐업정보!$D$3:$R$3,0)),
"Error"))</f>
        <v>C0263</v>
      </c>
      <c r="L268" s="75" t="str">
        <f aca="false">
IF($D268="정상",INDEX(임대자산!$D$3:$R$3000,MATCH($F268,임대자산!$I$3:$I$3000,0),MATCH(L$4,임대자산!$D$3:$R$3,0)),
IF($D268="폐업",INDEX(폐업정보!$D$3:$R$3000,MATCH($F268,폐업정보!$I$3:$I$3000,0),MATCH(L$4,폐업정보!$D$3:$R$3,0)),
"Error"))</f>
        <v>D0263</v>
      </c>
      <c r="M268" s="76" t="s">
        <v>96</v>
      </c>
      <c r="N268" s="77"/>
      <c r="O268" s="78" t="s">
        <v>97</v>
      </c>
      <c r="P268" s="79" t="n">
        <f aca="false">COUNTIFS(임대자산!$I:$I,가맹점정보!F268,임대자산!$N:$N,가맹점정보!P$4)</f>
        <v>0</v>
      </c>
      <c r="Q268" s="80" t="n">
        <f aca="false">COUNTIFS(임대자산!$I:$I,가맹점정보!F268,임대자산!$N:$N,가맹점정보!Q$4)</f>
        <v>0</v>
      </c>
      <c r="R268" s="81" t="n">
        <f aca="false">COUNTIFS(임대자산!$I:$I,가맹점정보!F268,임대자산!$N:$N,가맹점정보!R$4)</f>
        <v>1</v>
      </c>
      <c r="S268" s="82" t="n">
        <v>55000</v>
      </c>
      <c r="T268" s="83" t="n">
        <v>0</v>
      </c>
      <c r="U268" s="80" t="n">
        <f aca="false">SUM(S268:T268)</f>
        <v>55000</v>
      </c>
      <c r="V268" s="84" t="s">
        <v>12</v>
      </c>
      <c r="W268" s="80" t="e">
        <f aca="true">
IF(D268="폐업","폐업",
IF(V268="면제","면제",
IF(AND(V268="정상",COUNTIFS(OFFSET(Y268,0,COUNTA(Y268:AV268)-1,1,-4),"미납")&gt;=3),"장기미납",
IF(AND(V268="정상",OFFSET(Y268,0,COUNTA(Y268:AV268)-1)&gt;=U268),"정상",
IF(AND(V268="정상",OFFSET(Y268,0,COUNTA(Y268:AV268)-1)=0),"정상",
"계약서 미작성")))))</f>
        <v>#VALUE!</v>
      </c>
      <c r="X268" s="81" t="str">
        <f aca="true">
IF(D268="폐업","폐업",
IF(AND(V268="정상",OFFSET(Y268,0,COUNTA(Y268:AV268)-1)="미납"),"미납",
IF(AND(V268="정상",OFFSET(Y268,0,COUNTA(Y268:AV268)-1)=0),"납부 시작 전",
IF(AND(V268="정상",OFFSET(Y268,0,COUNTA(Y268:AV268)-1)&gt;=U268),"정상",
IF(AND(V268="면제",OFFSET(Y268,0,COUNTA(Y268:AV268)-1)="면제"),"면제",
IF(AND(V268="면제",OFFSET(Y268,0,COUNTA(Y268:AV268)-1)=0),"면제",
"확인요청"))))))</f>
        <v>정상</v>
      </c>
      <c r="Y268" s="93" t="n">
        <v>55000</v>
      </c>
      <c r="Z268" s="90" t="n">
        <v>55000</v>
      </c>
      <c r="AA268" s="90" t="n">
        <v>55000</v>
      </c>
      <c r="AB268" s="90" t="n">
        <v>55000</v>
      </c>
      <c r="AC268" s="90" t="n">
        <v>55000</v>
      </c>
      <c r="AD268" s="90" t="n">
        <v>55000</v>
      </c>
      <c r="AE268" s="90" t="n">
        <v>55000</v>
      </c>
      <c r="AF268" s="90" t="n">
        <v>55000</v>
      </c>
      <c r="AG268" s="90" t="n">
        <v>55000</v>
      </c>
      <c r="AH268" s="90" t="n">
        <v>55000</v>
      </c>
      <c r="AI268" s="90" t="n">
        <v>55000</v>
      </c>
      <c r="AJ268" s="91" t="n">
        <v>55000</v>
      </c>
      <c r="AK268" s="89" t="n">
        <v>55000</v>
      </c>
      <c r="AL268" s="90" t="n">
        <v>55000</v>
      </c>
      <c r="AM268" s="90"/>
      <c r="AN268" s="90"/>
      <c r="AO268" s="90"/>
      <c r="AP268" s="90"/>
      <c r="AQ268" s="90"/>
      <c r="AR268" s="90"/>
      <c r="AS268" s="90"/>
      <c r="AT268" s="90"/>
      <c r="AU268" s="90"/>
      <c r="AV268" s="91"/>
      <c r="AX268" s="92"/>
    </row>
    <row r="269" customFormat="false" ht="15.65" hidden="false" customHeight="false" outlineLevel="0" collapsed="false">
      <c r="C269" s="72" t="n">
        <f aca="false">COUNTIFS($D$6:D269,"&lt;&gt;"&amp;"")</f>
        <v>264</v>
      </c>
      <c r="D269" s="73" t="s">
        <v>12</v>
      </c>
      <c r="E269" s="76" t="str">
        <f aca="false">
IF($D269="정상",INDEX(임대자산!$D$3:$R$3000,MATCH($F269,임대자산!$I$3:$I$3000,0),MATCH(E$3,임대자산!$D$3:$R$3,0)),
IF($D269="폐업",INDEX(폐업정보!$D$3:$R$3000,MATCH($F269,폐업정보!$I$3:$I$3000,0),MATCH(E$3,폐업정보!$D$3:$R$3,0)),
"Error"))</f>
        <v>경상</v>
      </c>
      <c r="F26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B0264</v>
      </c>
      <c r="G269" s="76" t="str">
        <f aca="false">F269&amp;RANDBETWEEN(0,10)</f>
        <v>B026410</v>
      </c>
      <c r="H269" s="75" t="n">
        <f aca="false">
IF($D269="정상",INDEX(임대자산!$D$3:$R$3000,MATCH($F269,임대자산!$I$3:$I$3000,0),MATCH(H$4,임대자산!$D$3:$R$3,0)),
IF($D269="폐업",INDEX(폐업정보!$D$3:$R$3000,MATCH($F269,폐업정보!$I$3:$I$3000,0),MATCH(H$4,폐업정보!$D$3:$R$3,0)),
"Error"))</f>
        <v>45266</v>
      </c>
      <c r="I269" s="75" t="str">
        <f aca="false">
IF($D269="정상",INDEX(임대자산!$D$3:$R$3000,MATCH($F269,임대자산!$I$3:$I$3000,0),MATCH(I$4,임대자산!$D$3:$R$3,0)),
IF($D269="폐업",INDEX(폐업정보!$D$3:$R$3000,MATCH($F269,폐업정보!$I$3:$I$3000,0),MATCH(I$4,폐업정보!$D$3:$R$3,0)),
"Error"))</f>
        <v>A0264</v>
      </c>
      <c r="J269" s="75" t="str">
        <f aca="false">
IF($D269="정상",INDEX(임대자산!$D$3:$R$3000,MATCH($F269,임대자산!$I$3:$I$3000,0),MATCH(J$4,임대자산!$D$3:$R$3,0)),
IF($D269="폐업",INDEX(폐업정보!$D$3:$R$3000,MATCH($F269,폐업정보!$I$3:$I$3000,0),MATCH(J$4,폐업정보!$D$3:$R$3,0)),
"Error"))</f>
        <v>9190600000</v>
      </c>
      <c r="K269" s="75" t="str">
        <f aca="false">
IF($D269="정상",INDEX(임대자산!$D$3:$R$3000,MATCH($F269,임대자산!$I$3:$I$3000,0),MATCH(K$4,임대자산!$D$3:$R$3,0)),
IF($D269="폐업",INDEX(폐업정보!$D$3:$R$3000,MATCH($F269,폐업정보!$I$3:$I$3000,0),MATCH(K$4,폐업정보!$D$3:$R$3,0)),
"Error"))</f>
        <v>C0264</v>
      </c>
      <c r="L269" s="75" t="str">
        <f aca="false">
IF($D269="정상",INDEX(임대자산!$D$3:$R$3000,MATCH($F269,임대자산!$I$3:$I$3000,0),MATCH(L$4,임대자산!$D$3:$R$3,0)),
IF($D269="폐업",INDEX(폐업정보!$D$3:$R$3000,MATCH($F269,폐업정보!$I$3:$I$3000,0),MATCH(L$4,폐업정보!$D$3:$R$3,0)),
"Error"))</f>
        <v>D0264</v>
      </c>
      <c r="M269" s="76" t="s">
        <v>96</v>
      </c>
      <c r="N269" s="77"/>
      <c r="O269" s="78" t="s">
        <v>97</v>
      </c>
      <c r="P269" s="79" t="n">
        <f aca="false">COUNTIFS(임대자산!$I:$I,가맹점정보!F269,임대자산!$N:$N,가맹점정보!P$4)</f>
        <v>0</v>
      </c>
      <c r="Q269" s="80" t="n">
        <f aca="false">COUNTIFS(임대자산!$I:$I,가맹점정보!F269,임대자산!$N:$N,가맹점정보!Q$4)</f>
        <v>0</v>
      </c>
      <c r="R269" s="81" t="n">
        <f aca="false">COUNTIFS(임대자산!$I:$I,가맹점정보!F269,임대자산!$N:$N,가맹점정보!R$4)</f>
        <v>1</v>
      </c>
      <c r="S269" s="82" t="n">
        <v>55000</v>
      </c>
      <c r="T269" s="83" t="n">
        <v>0</v>
      </c>
      <c r="U269" s="80" t="n">
        <f aca="false">SUM(S269:T269)</f>
        <v>55000</v>
      </c>
      <c r="V269" s="84" t="s">
        <v>12</v>
      </c>
      <c r="W269" s="80" t="e">
        <f aca="true">
IF(D269="폐업","폐업",
IF(V269="면제","면제",
IF(AND(V269="정상",COUNTIFS(OFFSET(Y269,0,COUNTA(Y269:AV269)-1,1,-4),"미납")&gt;=3),"장기미납",
IF(AND(V269="정상",OFFSET(Y269,0,COUNTA(Y269:AV269)-1)&gt;=U269),"정상",
IF(AND(V269="정상",OFFSET(Y269,0,COUNTA(Y269:AV269)-1)=0),"정상",
"계약서 미작성")))))</f>
        <v>#VALUE!</v>
      </c>
      <c r="X269" s="81" t="str">
        <f aca="true">
IF(D269="폐업","폐업",
IF(AND(V269="정상",OFFSET(Y269,0,COUNTA(Y269:AV269)-1)="미납"),"미납",
IF(AND(V269="정상",OFFSET(Y269,0,COUNTA(Y269:AV269)-1)=0),"납부 시작 전",
IF(AND(V269="정상",OFFSET(Y269,0,COUNTA(Y269:AV269)-1)&gt;=U269),"정상",
IF(AND(V269="면제",OFFSET(Y269,0,COUNTA(Y269:AV269)-1)="면제"),"면제",
IF(AND(V269="면제",OFFSET(Y269,0,COUNTA(Y269:AV269)-1)=0),"면제",
"확인요청"))))))</f>
        <v>정상</v>
      </c>
      <c r="Y269" s="93" t="n">
        <v>55000</v>
      </c>
      <c r="Z269" s="90" t="n">
        <v>55000</v>
      </c>
      <c r="AA269" s="90" t="n">
        <v>55000</v>
      </c>
      <c r="AB269" s="90" t="n">
        <v>55000</v>
      </c>
      <c r="AC269" s="90" t="n">
        <v>55000</v>
      </c>
      <c r="AD269" s="90" t="n">
        <v>55000</v>
      </c>
      <c r="AE269" s="90" t="n">
        <v>55000</v>
      </c>
      <c r="AF269" s="90" t="n">
        <v>55000</v>
      </c>
      <c r="AG269" s="90" t="n">
        <v>55000</v>
      </c>
      <c r="AH269" s="90" t="n">
        <v>55000</v>
      </c>
      <c r="AI269" s="90" t="n">
        <v>55000</v>
      </c>
      <c r="AJ269" s="91" t="n">
        <v>55000</v>
      </c>
      <c r="AK269" s="89" t="n">
        <v>55000</v>
      </c>
      <c r="AL269" s="90" t="n">
        <v>55000</v>
      </c>
      <c r="AM269" s="90"/>
      <c r="AN269" s="90"/>
      <c r="AO269" s="90"/>
      <c r="AP269" s="90"/>
      <c r="AQ269" s="90"/>
      <c r="AR269" s="90"/>
      <c r="AS269" s="90"/>
      <c r="AT269" s="90"/>
      <c r="AU269" s="90"/>
      <c r="AV269" s="91"/>
      <c r="AX269" s="92"/>
    </row>
    <row r="270" customFormat="false" ht="15.65" hidden="false" customHeight="false" outlineLevel="0" collapsed="false">
      <c r="C270" s="72" t="n">
        <f aca="false">COUNTIFS($D$6:D270,"&lt;&gt;"&amp;"")</f>
        <v>265</v>
      </c>
      <c r="D270" s="73" t="s">
        <v>12</v>
      </c>
      <c r="E270" s="76" t="str">
        <f aca="false">
IF($D270="정상",INDEX(임대자산!$D$3:$R$3000,MATCH($F270,임대자산!$I$3:$I$3000,0),MATCH(E$3,임대자산!$D$3:$R$3,0)),
IF($D270="폐업",INDEX(폐업정보!$D$3:$R$3000,MATCH($F270,폐업정보!$I$3:$I$3000,0),MATCH(E$3,폐업정보!$D$3:$R$3,0)),
"Error"))</f>
        <v>서울</v>
      </c>
      <c r="F27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B0265</v>
      </c>
      <c r="G270" s="76" t="str">
        <f aca="false">F270&amp;RANDBETWEEN(0,10)</f>
        <v>B02659</v>
      </c>
      <c r="H270" s="75" t="n">
        <f aca="false">
IF($D270="정상",INDEX(임대자산!$D$3:$R$3000,MATCH($F270,임대자산!$I$3:$I$3000,0),MATCH(H$4,임대자산!$D$3:$R$3,0)),
IF($D270="폐업",INDEX(폐업정보!$D$3:$R$3000,MATCH($F270,폐업정보!$I$3:$I$3000,0),MATCH(H$4,폐업정보!$D$3:$R$3,0)),
"Error"))</f>
        <v>45827</v>
      </c>
      <c r="I270" s="75" t="str">
        <f aca="false">
IF($D270="정상",INDEX(임대자산!$D$3:$R$3000,MATCH($F270,임대자산!$I$3:$I$3000,0),MATCH(I$4,임대자산!$D$3:$R$3,0)),
IF($D270="폐업",INDEX(폐업정보!$D$3:$R$3000,MATCH($F270,폐업정보!$I$3:$I$3000,0),MATCH(I$4,폐업정보!$D$3:$R$3,0)),
"Error"))</f>
        <v>A0265</v>
      </c>
      <c r="J270" s="75" t="str">
        <f aca="false">
IF($D270="정상",INDEX(임대자산!$D$3:$R$3000,MATCH($F270,임대자산!$I$3:$I$3000,0),MATCH(J$4,임대자산!$D$3:$R$3,0)),
IF($D270="폐업",INDEX(폐업정보!$D$3:$R$3000,MATCH($F270,폐업정보!$I$3:$I$3000,0),MATCH(J$4,폐업정보!$D$3:$R$3,0)),
"Error"))</f>
        <v>2211100000</v>
      </c>
      <c r="K270" s="75" t="str">
        <f aca="false">
IF($D270="정상",INDEX(임대자산!$D$3:$R$3000,MATCH($F270,임대자산!$I$3:$I$3000,0),MATCH(K$4,임대자산!$D$3:$R$3,0)),
IF($D270="폐업",INDEX(폐업정보!$D$3:$R$3000,MATCH($F270,폐업정보!$I$3:$I$3000,0),MATCH(K$4,폐업정보!$D$3:$R$3,0)),
"Error"))</f>
        <v>C0265</v>
      </c>
      <c r="L270" s="75" t="str">
        <f aca="false">
IF($D270="정상",INDEX(임대자산!$D$3:$R$3000,MATCH($F270,임대자산!$I$3:$I$3000,0),MATCH(L$4,임대자산!$D$3:$R$3,0)),
IF($D270="폐업",INDEX(폐업정보!$D$3:$R$3000,MATCH($F270,폐업정보!$I$3:$I$3000,0),MATCH(L$4,폐업정보!$D$3:$R$3,0)),
"Error"))</f>
        <v>D0265</v>
      </c>
      <c r="M270" s="76" t="s">
        <v>96</v>
      </c>
      <c r="N270" s="77"/>
      <c r="O270" s="78" t="s">
        <v>97</v>
      </c>
      <c r="P270" s="79" t="n">
        <f aca="false">COUNTIFS(임대자산!$I:$I,가맹점정보!F270,임대자산!$N:$N,가맹점정보!P$4)</f>
        <v>0</v>
      </c>
      <c r="Q270" s="80" t="n">
        <f aca="false">COUNTIFS(임대자산!$I:$I,가맹점정보!F270,임대자산!$N:$N,가맹점정보!Q$4)</f>
        <v>0</v>
      </c>
      <c r="R270" s="81" t="n">
        <f aca="false">COUNTIFS(임대자산!$I:$I,가맹점정보!F270,임대자산!$N:$N,가맹점정보!R$4)</f>
        <v>1</v>
      </c>
      <c r="S270" s="82" t="n">
        <v>55000</v>
      </c>
      <c r="T270" s="83" t="n">
        <v>0</v>
      </c>
      <c r="U270" s="80" t="n">
        <f aca="false">SUM(S270:T270)</f>
        <v>55000</v>
      </c>
      <c r="V270" s="84" t="s">
        <v>12</v>
      </c>
      <c r="W270" s="80" t="e">
        <f aca="true">
IF(D270="폐업","폐업",
IF(V270="면제","면제",
IF(AND(V270="정상",COUNTIFS(OFFSET(Y270,0,COUNTA(Y270:AV270)-1,1,-4),"미납")&gt;=3),"장기미납",
IF(AND(V270="정상",OFFSET(Y270,0,COUNTA(Y270:AV270)-1)&gt;=U270),"정상",
IF(AND(V270="정상",OFFSET(Y270,0,COUNTA(Y270:AV270)-1)=0),"정상",
"계약서 미작성")))))</f>
        <v>#VALUE!</v>
      </c>
      <c r="X270" s="81" t="str">
        <f aca="true">
IF(D270="폐업","폐업",
IF(AND(V270="정상",OFFSET(Y270,0,COUNTA(Y270:AV270)-1)="미납"),"미납",
IF(AND(V270="정상",OFFSET(Y270,0,COUNTA(Y270:AV270)-1)=0),"납부 시작 전",
IF(AND(V270="정상",OFFSET(Y270,0,COUNTA(Y270:AV270)-1)&gt;=U270),"정상",
IF(AND(V270="면제",OFFSET(Y270,0,COUNTA(Y270:AV270)-1)="면제"),"면제",
IF(AND(V270="면제",OFFSET(Y270,0,COUNTA(Y270:AV270)-1)=0),"면제",
"확인요청"))))))</f>
        <v>미납</v>
      </c>
      <c r="Y270" s="93" t="n">
        <v>55000</v>
      </c>
      <c r="Z270" s="90" t="n">
        <v>55000</v>
      </c>
      <c r="AA270" s="90" t="n">
        <v>55000</v>
      </c>
      <c r="AB270" s="90" t="n">
        <v>55000</v>
      </c>
      <c r="AC270" s="90" t="n">
        <v>55000</v>
      </c>
      <c r="AD270" s="90" t="n">
        <v>55000</v>
      </c>
      <c r="AE270" s="90" t="n">
        <v>55000</v>
      </c>
      <c r="AF270" s="90" t="n">
        <v>55000</v>
      </c>
      <c r="AG270" s="90" t="n">
        <v>55000</v>
      </c>
      <c r="AH270" s="90" t="n">
        <v>55000</v>
      </c>
      <c r="AI270" s="90" t="s">
        <v>101</v>
      </c>
      <c r="AJ270" s="96" t="s">
        <v>62</v>
      </c>
      <c r="AK270" s="89" t="n">
        <v>110000</v>
      </c>
      <c r="AL270" s="95" t="s">
        <v>62</v>
      </c>
      <c r="AM270" s="90"/>
      <c r="AN270" s="90"/>
      <c r="AO270" s="90"/>
      <c r="AP270" s="90"/>
      <c r="AQ270" s="90"/>
      <c r="AR270" s="90"/>
      <c r="AS270" s="90"/>
      <c r="AT270" s="90"/>
      <c r="AU270" s="90"/>
      <c r="AV270" s="91"/>
      <c r="AX270" s="92"/>
    </row>
    <row r="271" customFormat="false" ht="15.65" hidden="false" customHeight="false" outlineLevel="0" collapsed="false">
      <c r="C271" s="72" t="n">
        <f aca="false">COUNTIFS($D$6:D271,"&lt;&gt;"&amp;"")</f>
        <v>266</v>
      </c>
      <c r="D271" s="73" t="s">
        <v>12</v>
      </c>
      <c r="E271" s="76" t="str">
        <f aca="false">
IF($D271="정상",INDEX(임대자산!$D$3:$R$3000,MATCH($F271,임대자산!$I$3:$I$3000,0),MATCH(E$3,임대자산!$D$3:$R$3,0)),
IF($D271="폐업",INDEX(폐업정보!$D$3:$R$3000,MATCH($F271,폐업정보!$I$3:$I$3000,0),MATCH(E$3,폐업정보!$D$3:$R$3,0)),
"Error"))</f>
        <v>강원</v>
      </c>
      <c r="F27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B0266</v>
      </c>
      <c r="G271" s="76" t="str">
        <f aca="false">F271&amp;RANDBETWEEN(0,10)</f>
        <v>B02664</v>
      </c>
      <c r="H271" s="75" t="n">
        <f aca="false">
IF($D271="정상",INDEX(임대자산!$D$3:$R$3000,MATCH($F271,임대자산!$I$3:$I$3000,0),MATCH(H$4,임대자산!$D$3:$R$3,0)),
IF($D271="폐업",INDEX(폐업정보!$D$3:$R$3000,MATCH($F271,폐업정보!$I$3:$I$3000,0),MATCH(H$4,폐업정보!$D$3:$R$3,0)),
"Error"))</f>
        <v>45166</v>
      </c>
      <c r="I271" s="75" t="str">
        <f aca="false">
IF($D271="정상",INDEX(임대자산!$D$3:$R$3000,MATCH($F271,임대자산!$I$3:$I$3000,0),MATCH(I$4,임대자산!$D$3:$R$3,0)),
IF($D271="폐업",INDEX(폐업정보!$D$3:$R$3000,MATCH($F271,폐업정보!$I$3:$I$3000,0),MATCH(I$4,폐업정보!$D$3:$R$3,0)),
"Error"))</f>
        <v>A0266</v>
      </c>
      <c r="J271" s="75" t="str">
        <f aca="false">
IF($D271="정상",INDEX(임대자산!$D$3:$R$3000,MATCH($F271,임대자산!$I$3:$I$3000,0),MATCH(J$4,임대자산!$D$3:$R$3,0)),
IF($D271="폐업",INDEX(폐업정보!$D$3:$R$3000,MATCH($F271,폐업정보!$I$3:$I$3000,0),MATCH(J$4,폐업정보!$D$3:$R$3,0)),
"Error"))</f>
        <v>8592900000</v>
      </c>
      <c r="K271" s="75" t="str">
        <f aca="false">
IF($D271="정상",INDEX(임대자산!$D$3:$R$3000,MATCH($F271,임대자산!$I$3:$I$3000,0),MATCH(K$4,임대자산!$D$3:$R$3,0)),
IF($D271="폐업",INDEX(폐업정보!$D$3:$R$3000,MATCH($F271,폐업정보!$I$3:$I$3000,0),MATCH(K$4,폐업정보!$D$3:$R$3,0)),
"Error"))</f>
        <v>C0266</v>
      </c>
      <c r="L271" s="75" t="str">
        <f aca="false">
IF($D271="정상",INDEX(임대자산!$D$3:$R$3000,MATCH($F271,임대자산!$I$3:$I$3000,0),MATCH(L$4,임대자산!$D$3:$R$3,0)),
IF($D271="폐업",INDEX(폐업정보!$D$3:$R$3000,MATCH($F271,폐업정보!$I$3:$I$3000,0),MATCH(L$4,폐업정보!$D$3:$R$3,0)),
"Error"))</f>
        <v>D0266</v>
      </c>
      <c r="M271" s="76" t="s">
        <v>96</v>
      </c>
      <c r="N271" s="77"/>
      <c r="O271" s="78" t="s">
        <v>97</v>
      </c>
      <c r="P271" s="79" t="n">
        <f aca="false">COUNTIFS(임대자산!$I:$I,가맹점정보!F271,임대자산!$N:$N,가맹점정보!P$4)</f>
        <v>0</v>
      </c>
      <c r="Q271" s="80" t="n">
        <f aca="false">COUNTIFS(임대자산!$I:$I,가맹점정보!F271,임대자산!$N:$N,가맹점정보!Q$4)</f>
        <v>0</v>
      </c>
      <c r="R271" s="81" t="n">
        <f aca="false">COUNTIFS(임대자산!$I:$I,가맹점정보!F271,임대자산!$N:$N,가맹점정보!R$4)</f>
        <v>1</v>
      </c>
      <c r="S271" s="82" t="n">
        <v>55000</v>
      </c>
      <c r="T271" s="83" t="n">
        <v>0</v>
      </c>
      <c r="U271" s="80" t="n">
        <f aca="false">SUM(S271:T271)</f>
        <v>55000</v>
      </c>
      <c r="V271" s="84" t="s">
        <v>12</v>
      </c>
      <c r="W271" s="80" t="e">
        <f aca="true">
IF(D271="폐업","폐업",
IF(V271="면제","면제",
IF(AND(V271="정상",COUNTIFS(OFFSET(Y271,0,COUNTA(Y271:AV271)-1,1,-4),"미납")&gt;=3),"장기미납",
IF(AND(V271="정상",OFFSET(Y271,0,COUNTA(Y271:AV271)-1)&gt;=U271),"정상",
IF(AND(V271="정상",OFFSET(Y271,0,COUNTA(Y271:AV271)-1)=0),"정상",
"계약서 미작성")))))</f>
        <v>#VALUE!</v>
      </c>
      <c r="X271" s="81" t="str">
        <f aca="true">
IF(D271="폐업","폐업",
IF(AND(V271="정상",OFFSET(Y271,0,COUNTA(Y271:AV271)-1)="미납"),"미납",
IF(AND(V271="정상",OFFSET(Y271,0,COUNTA(Y271:AV271)-1)=0),"납부 시작 전",
IF(AND(V271="정상",OFFSET(Y271,0,COUNTA(Y271:AV271)-1)&gt;=U271),"정상",
IF(AND(V271="면제",OFFSET(Y271,0,COUNTA(Y271:AV271)-1)="면제"),"면제",
IF(AND(V271="면제",OFFSET(Y271,0,COUNTA(Y271:AV271)-1)=0),"면제",
"확인요청"))))))</f>
        <v>정상</v>
      </c>
      <c r="Y271" s="93" t="n">
        <v>55000</v>
      </c>
      <c r="Z271" s="90" t="n">
        <v>55000</v>
      </c>
      <c r="AA271" s="90" t="n">
        <v>55000</v>
      </c>
      <c r="AB271" s="90" t="n">
        <v>55000</v>
      </c>
      <c r="AC271" s="90" t="n">
        <v>55000</v>
      </c>
      <c r="AD271" s="90" t="n">
        <v>55000</v>
      </c>
      <c r="AE271" s="90" t="n">
        <v>55000</v>
      </c>
      <c r="AF271" s="90" t="n">
        <v>55000</v>
      </c>
      <c r="AG271" s="90" t="n">
        <v>55000</v>
      </c>
      <c r="AH271" s="90" t="n">
        <v>55000</v>
      </c>
      <c r="AI271" s="90" t="n">
        <v>55000</v>
      </c>
      <c r="AJ271" s="91" t="n">
        <v>55000</v>
      </c>
      <c r="AK271" s="89" t="n">
        <v>55000</v>
      </c>
      <c r="AL271" s="90" t="n">
        <v>55000</v>
      </c>
      <c r="AM271" s="90"/>
      <c r="AN271" s="90"/>
      <c r="AO271" s="90"/>
      <c r="AP271" s="90"/>
      <c r="AQ271" s="90"/>
      <c r="AR271" s="90"/>
      <c r="AS271" s="90"/>
      <c r="AT271" s="90"/>
      <c r="AU271" s="90"/>
      <c r="AV271" s="91"/>
      <c r="AX271" s="92"/>
    </row>
    <row r="272" customFormat="false" ht="15.65" hidden="false" customHeight="false" outlineLevel="0" collapsed="false">
      <c r="C272" s="72" t="n">
        <f aca="false">COUNTIFS($D$6:D272,"&lt;&gt;"&amp;"")</f>
        <v>267</v>
      </c>
      <c r="D272" s="73" t="s">
        <v>12</v>
      </c>
      <c r="E272" s="76" t="str">
        <f aca="false">
IF($D272="정상",INDEX(임대자산!$D$3:$R$3000,MATCH($F272,임대자산!$I$3:$I$3000,0),MATCH(E$3,임대자산!$D$3:$R$3,0)),
IF($D272="폐업",INDEX(폐업정보!$D$3:$R$3000,MATCH($F272,폐업정보!$I$3:$I$3000,0),MATCH(E$3,폐업정보!$D$3:$R$3,0)),
"Error"))</f>
        <v>강원</v>
      </c>
      <c r="F27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B0267</v>
      </c>
      <c r="G272" s="76" t="str">
        <f aca="false">F272&amp;RANDBETWEEN(0,10)</f>
        <v>B02676</v>
      </c>
      <c r="H272" s="75" t="n">
        <f aca="false">
IF($D272="정상",INDEX(임대자산!$D$3:$R$3000,MATCH($F272,임대자산!$I$3:$I$3000,0),MATCH(H$4,임대자산!$D$3:$R$3,0)),
IF($D272="폐업",INDEX(폐업정보!$D$3:$R$3000,MATCH($F272,폐업정보!$I$3:$I$3000,0),MATCH(H$4,폐업정보!$D$3:$R$3,0)),
"Error"))</f>
        <v>45534</v>
      </c>
      <c r="I272" s="75" t="str">
        <f aca="false">
IF($D272="정상",INDEX(임대자산!$D$3:$R$3000,MATCH($F272,임대자산!$I$3:$I$3000,0),MATCH(I$4,임대자산!$D$3:$R$3,0)),
IF($D272="폐업",INDEX(폐업정보!$D$3:$R$3000,MATCH($F272,폐업정보!$I$3:$I$3000,0),MATCH(I$4,폐업정보!$D$3:$R$3,0)),
"Error"))</f>
        <v>A0267</v>
      </c>
      <c r="J272" s="75" t="str">
        <f aca="false">
IF($D272="정상",INDEX(임대자산!$D$3:$R$3000,MATCH($F272,임대자산!$I$3:$I$3000,0),MATCH(J$4,임대자산!$D$3:$R$3,0)),
IF($D272="폐업",INDEX(폐업정보!$D$3:$R$3000,MATCH($F272,폐업정보!$I$3:$I$3000,0),MATCH(J$4,폐업정보!$D$3:$R$3,0)),
"Error"))</f>
        <v>2484000000</v>
      </c>
      <c r="K272" s="75" t="str">
        <f aca="false">
IF($D272="정상",INDEX(임대자산!$D$3:$R$3000,MATCH($F272,임대자산!$I$3:$I$3000,0),MATCH(K$4,임대자산!$D$3:$R$3,0)),
IF($D272="폐업",INDEX(폐업정보!$D$3:$R$3000,MATCH($F272,폐업정보!$I$3:$I$3000,0),MATCH(K$4,폐업정보!$D$3:$R$3,0)),
"Error"))</f>
        <v>C0267</v>
      </c>
      <c r="L272" s="75" t="str">
        <f aca="false">
IF($D272="정상",INDEX(임대자산!$D$3:$R$3000,MATCH($F272,임대자산!$I$3:$I$3000,0),MATCH(L$4,임대자산!$D$3:$R$3,0)),
IF($D272="폐업",INDEX(폐업정보!$D$3:$R$3000,MATCH($F272,폐업정보!$I$3:$I$3000,0),MATCH(L$4,폐업정보!$D$3:$R$3,0)),
"Error"))</f>
        <v>D0267</v>
      </c>
      <c r="M272" s="76" t="s">
        <v>96</v>
      </c>
      <c r="N272" s="77"/>
      <c r="O272" s="78" t="s">
        <v>97</v>
      </c>
      <c r="P272" s="79" t="n">
        <f aca="false">COUNTIFS(임대자산!$I:$I,가맹점정보!F272,임대자산!$N:$N,가맹점정보!P$4)</f>
        <v>0</v>
      </c>
      <c r="Q272" s="80" t="n">
        <f aca="false">COUNTIFS(임대자산!$I:$I,가맹점정보!F272,임대자산!$N:$N,가맹점정보!Q$4)</f>
        <v>0</v>
      </c>
      <c r="R272" s="81" t="n">
        <f aca="false">COUNTIFS(임대자산!$I:$I,가맹점정보!F272,임대자산!$N:$N,가맹점정보!R$4)</f>
        <v>1</v>
      </c>
      <c r="S272" s="82" t="n">
        <v>110000</v>
      </c>
      <c r="T272" s="83" t="n">
        <v>0</v>
      </c>
      <c r="U272" s="80" t="n">
        <f aca="false">SUM(S272:T272)</f>
        <v>110000</v>
      </c>
      <c r="V272" s="84" t="s">
        <v>12</v>
      </c>
      <c r="W272" s="80" t="e">
        <f aca="true">
IF(D272="폐업","폐업",
IF(V272="면제","면제",
IF(AND(V272="정상",COUNTIFS(OFFSET(Y272,0,COUNTA(Y272:AV272)-1,1,-4),"미납")&gt;=3),"장기미납",
IF(AND(V272="정상",OFFSET(Y272,0,COUNTA(Y272:AV272)-1)&gt;=U272),"정상",
IF(AND(V272="정상",OFFSET(Y272,0,COUNTA(Y272:AV272)-1)=0),"정상",
"계약서 미작성")))))</f>
        <v>#VALUE!</v>
      </c>
      <c r="X272" s="81" t="str">
        <f aca="true">
IF(D272="폐업","폐업",
IF(AND(V272="정상",OFFSET(Y272,0,COUNTA(Y272:AV272)-1)="미납"),"미납",
IF(AND(V272="정상",OFFSET(Y272,0,COUNTA(Y272:AV272)-1)=0),"납부 시작 전",
IF(AND(V272="정상",OFFSET(Y272,0,COUNTA(Y272:AV272)-1)&gt;=U272),"정상",
IF(AND(V272="면제",OFFSET(Y272,0,COUNTA(Y272:AV272)-1)="면제"),"면제",
IF(AND(V272="면제",OFFSET(Y272,0,COUNTA(Y272:AV272)-1)=0),"면제",
"확인요청"))))))</f>
        <v>정상</v>
      </c>
      <c r="Y272" s="93" t="n">
        <v>110000</v>
      </c>
      <c r="Z272" s="90" t="n">
        <v>110000</v>
      </c>
      <c r="AA272" s="90" t="n">
        <v>110000</v>
      </c>
      <c r="AB272" s="90" t="n">
        <v>110000</v>
      </c>
      <c r="AC272" s="90" t="n">
        <v>110000</v>
      </c>
      <c r="AD272" s="90" t="n">
        <v>110000</v>
      </c>
      <c r="AE272" s="90" t="n">
        <v>110000</v>
      </c>
      <c r="AF272" s="90" t="n">
        <v>110000</v>
      </c>
      <c r="AG272" s="90" t="n">
        <v>110000</v>
      </c>
      <c r="AH272" s="90" t="n">
        <v>110000</v>
      </c>
      <c r="AI272" s="90" t="n">
        <v>110000</v>
      </c>
      <c r="AJ272" s="91" t="n">
        <v>110000</v>
      </c>
      <c r="AK272" s="89" t="n">
        <v>110000</v>
      </c>
      <c r="AL272" s="90" t="n">
        <v>110000</v>
      </c>
      <c r="AM272" s="90"/>
      <c r="AN272" s="90"/>
      <c r="AO272" s="90"/>
      <c r="AP272" s="90"/>
      <c r="AQ272" s="90"/>
      <c r="AR272" s="90"/>
      <c r="AS272" s="90"/>
      <c r="AT272" s="90"/>
      <c r="AU272" s="90"/>
      <c r="AV272" s="91"/>
      <c r="AX272" s="92"/>
    </row>
    <row r="273" customFormat="false" ht="15.65" hidden="false" customHeight="false" outlineLevel="0" collapsed="false">
      <c r="C273" s="72" t="n">
        <f aca="false">COUNTIFS($D$6:D273,"&lt;&gt;"&amp;"")</f>
        <v>268</v>
      </c>
      <c r="D273" s="73" t="s">
        <v>12</v>
      </c>
      <c r="E273" s="76" t="str">
        <f aca="false">
IF($D273="정상",INDEX(임대자산!$D$3:$R$3000,MATCH($F273,임대자산!$I$3:$I$3000,0),MATCH(E$3,임대자산!$D$3:$R$3,0)),
IF($D273="폐업",INDEX(폐업정보!$D$3:$R$3000,MATCH($F273,폐업정보!$I$3:$I$3000,0),MATCH(E$3,폐업정보!$D$3:$R$3,0)),
"Error"))</f>
        <v>경기</v>
      </c>
      <c r="F27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B0268</v>
      </c>
      <c r="G273" s="76" t="str">
        <f aca="false">F273&amp;RANDBETWEEN(0,10)</f>
        <v>B026810</v>
      </c>
      <c r="H273" s="75" t="n">
        <f aca="false">
IF($D273="정상",INDEX(임대자산!$D$3:$R$3000,MATCH($F273,임대자산!$I$3:$I$3000,0),MATCH(H$4,임대자산!$D$3:$R$3,0)),
IF($D273="폐업",INDEX(폐업정보!$D$3:$R$3000,MATCH($F273,폐업정보!$I$3:$I$3000,0),MATCH(H$4,폐업정보!$D$3:$R$3,0)),
"Error"))</f>
        <v>45182</v>
      </c>
      <c r="I273" s="75" t="str">
        <f aca="false">
IF($D273="정상",INDEX(임대자산!$D$3:$R$3000,MATCH($F273,임대자산!$I$3:$I$3000,0),MATCH(I$4,임대자산!$D$3:$R$3,0)),
IF($D273="폐업",INDEX(폐업정보!$D$3:$R$3000,MATCH($F273,폐업정보!$I$3:$I$3000,0),MATCH(I$4,폐업정보!$D$3:$R$3,0)),
"Error"))</f>
        <v>A0268</v>
      </c>
      <c r="J273" s="75" t="str">
        <f aca="false">
IF($D273="정상",INDEX(임대자산!$D$3:$R$3000,MATCH($F273,임대자산!$I$3:$I$3000,0),MATCH(J$4,임대자산!$D$3:$R$3,0)),
IF($D273="폐업",INDEX(폐업정보!$D$3:$R$3000,MATCH($F273,폐업정보!$I$3:$I$3000,0),MATCH(J$4,폐업정보!$D$3:$R$3,0)),
"Error"))</f>
        <v>8728500000</v>
      </c>
      <c r="K273" s="75" t="str">
        <f aca="false">
IF($D273="정상",INDEX(임대자산!$D$3:$R$3000,MATCH($F273,임대자산!$I$3:$I$3000,0),MATCH(K$4,임대자산!$D$3:$R$3,0)),
IF($D273="폐업",INDEX(폐업정보!$D$3:$R$3000,MATCH($F273,폐업정보!$I$3:$I$3000,0),MATCH(K$4,폐업정보!$D$3:$R$3,0)),
"Error"))</f>
        <v>C0268</v>
      </c>
      <c r="L273" s="75" t="str">
        <f aca="false">
IF($D273="정상",INDEX(임대자산!$D$3:$R$3000,MATCH($F273,임대자산!$I$3:$I$3000,0),MATCH(L$4,임대자산!$D$3:$R$3,0)),
IF($D273="폐업",INDEX(폐업정보!$D$3:$R$3000,MATCH($F273,폐업정보!$I$3:$I$3000,0),MATCH(L$4,폐업정보!$D$3:$R$3,0)),
"Error"))</f>
        <v>D0268</v>
      </c>
      <c r="M273" s="76" t="s">
        <v>96</v>
      </c>
      <c r="N273" s="77"/>
      <c r="O273" s="78" t="s">
        <v>97</v>
      </c>
      <c r="P273" s="79" t="n">
        <f aca="false">COUNTIFS(임대자산!$I:$I,가맹점정보!F273,임대자산!$N:$N,가맹점정보!P$4)</f>
        <v>0</v>
      </c>
      <c r="Q273" s="80" t="n">
        <f aca="false">COUNTIFS(임대자산!$I:$I,가맹점정보!F273,임대자산!$N:$N,가맹점정보!Q$4)</f>
        <v>0</v>
      </c>
      <c r="R273" s="81" t="n">
        <f aca="false">COUNTIFS(임대자산!$I:$I,가맹점정보!F273,임대자산!$N:$N,가맹점정보!R$4)</f>
        <v>1</v>
      </c>
      <c r="S273" s="82" t="n">
        <v>55000</v>
      </c>
      <c r="T273" s="83" t="n">
        <v>0</v>
      </c>
      <c r="U273" s="80" t="n">
        <f aca="false">SUM(S273:T273)</f>
        <v>55000</v>
      </c>
      <c r="V273" s="84" t="s">
        <v>7</v>
      </c>
      <c r="W273" s="80" t="str">
        <f aca="true">
IF(D273="폐업","폐업",
IF(V273="면제","면제",
IF(AND(V273="정상",COUNTIFS(OFFSET(Y273,0,COUNTA(Y273:AV273)-1,1,-4),"미납")&gt;=3),"장기미납",
IF(AND(V273="정상",OFFSET(Y273,0,COUNTA(Y273:AV273)-1)&gt;=U273),"정상",
IF(AND(V273="정상",OFFSET(Y273,0,COUNTA(Y273:AV273)-1)=0),"정상",
"계약서 미작성")))))</f>
        <v>면제</v>
      </c>
      <c r="X273" s="81" t="str">
        <f aca="true">
IF(D273="폐업","폐업",
IF(AND(V273="정상",OFFSET(Y273,0,COUNTA(Y273:AV273)-1)="미납"),"미납",
IF(AND(V273="정상",OFFSET(Y273,0,COUNTA(Y273:AV273)-1)=0),"납부 시작 전",
IF(AND(V273="정상",OFFSET(Y273,0,COUNTA(Y273:AV273)-1)&gt;=U273),"정상",
IF(AND(V273="면제",OFFSET(Y273,0,COUNTA(Y273:AV273)-1)="면제"),"면제",
IF(AND(V273="면제",OFFSET(Y273,0,COUNTA(Y273:AV273)-1)=0),"면제",
"확인요청"))))))</f>
        <v>면제</v>
      </c>
      <c r="Y273" s="94" t="s">
        <v>7</v>
      </c>
      <c r="Z273" s="95" t="s">
        <v>7</v>
      </c>
      <c r="AA273" s="95" t="s">
        <v>7</v>
      </c>
      <c r="AB273" s="95" t="s">
        <v>7</v>
      </c>
      <c r="AC273" s="95" t="s">
        <v>7</v>
      </c>
      <c r="AD273" s="95" t="s">
        <v>7</v>
      </c>
      <c r="AE273" s="95" t="s">
        <v>7</v>
      </c>
      <c r="AF273" s="95" t="s">
        <v>7</v>
      </c>
      <c r="AG273" s="95" t="s">
        <v>7</v>
      </c>
      <c r="AH273" s="95" t="s">
        <v>7</v>
      </c>
      <c r="AI273" s="95" t="s">
        <v>7</v>
      </c>
      <c r="AJ273" s="96" t="s">
        <v>7</v>
      </c>
      <c r="AK273" s="97" t="s">
        <v>7</v>
      </c>
      <c r="AL273" s="95" t="s">
        <v>7</v>
      </c>
      <c r="AM273" s="90"/>
      <c r="AN273" s="90"/>
      <c r="AO273" s="90"/>
      <c r="AP273" s="90"/>
      <c r="AQ273" s="90"/>
      <c r="AR273" s="90"/>
      <c r="AS273" s="90"/>
      <c r="AT273" s="90"/>
      <c r="AU273" s="90"/>
      <c r="AV273" s="91"/>
      <c r="AX273" s="92"/>
    </row>
    <row r="274" customFormat="false" ht="15.65" hidden="false" customHeight="false" outlineLevel="0" collapsed="false">
      <c r="C274" s="72" t="n">
        <f aca="false">COUNTIFS($D$6:D274,"&lt;&gt;"&amp;"")</f>
        <v>269</v>
      </c>
      <c r="D274" s="73" t="s">
        <v>12</v>
      </c>
      <c r="E274" s="76" t="str">
        <f aca="false">
IF($D274="정상",INDEX(임대자산!$D$3:$R$3000,MATCH($F274,임대자산!$I$3:$I$3000,0),MATCH(E$3,임대자산!$D$3:$R$3,0)),
IF($D274="폐업",INDEX(폐업정보!$D$3:$R$3000,MATCH($F274,폐업정보!$I$3:$I$3000,0),MATCH(E$3,폐업정보!$D$3:$R$3,0)),
"Error"))</f>
        <v>경기</v>
      </c>
      <c r="F27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B0269</v>
      </c>
      <c r="G274" s="76" t="str">
        <f aca="false">F274&amp;RANDBETWEEN(0,10)</f>
        <v>B02695</v>
      </c>
      <c r="H274" s="75" t="n">
        <f aca="false">
IF($D274="정상",INDEX(임대자산!$D$3:$R$3000,MATCH($F274,임대자산!$I$3:$I$3000,0),MATCH(H$4,임대자산!$D$3:$R$3,0)),
IF($D274="폐업",INDEX(폐업정보!$D$3:$R$3000,MATCH($F274,폐업정보!$I$3:$I$3000,0),MATCH(H$4,폐업정보!$D$3:$R$3,0)),
"Error"))</f>
        <v>45182</v>
      </c>
      <c r="I274" s="75" t="str">
        <f aca="false">
IF($D274="정상",INDEX(임대자산!$D$3:$R$3000,MATCH($F274,임대자산!$I$3:$I$3000,0),MATCH(I$4,임대자산!$D$3:$R$3,0)),
IF($D274="폐업",INDEX(폐업정보!$D$3:$R$3000,MATCH($F274,폐업정보!$I$3:$I$3000,0),MATCH(I$4,폐업정보!$D$3:$R$3,0)),
"Error"))</f>
        <v>A0269</v>
      </c>
      <c r="J274" s="75" t="str">
        <f aca="false">
IF($D274="정상",INDEX(임대자산!$D$3:$R$3000,MATCH($F274,임대자산!$I$3:$I$3000,0),MATCH(J$4,임대자산!$D$3:$R$3,0)),
IF($D274="폐업",INDEX(폐업정보!$D$3:$R$3000,MATCH($F274,폐업정보!$I$3:$I$3000,0),MATCH(J$4,폐업정보!$D$3:$R$3,0)),
"Error"))</f>
        <v>7538600000</v>
      </c>
      <c r="K274" s="75" t="str">
        <f aca="false">
IF($D274="정상",INDEX(임대자산!$D$3:$R$3000,MATCH($F274,임대자산!$I$3:$I$3000,0),MATCH(K$4,임대자산!$D$3:$R$3,0)),
IF($D274="폐업",INDEX(폐업정보!$D$3:$R$3000,MATCH($F274,폐업정보!$I$3:$I$3000,0),MATCH(K$4,폐업정보!$D$3:$R$3,0)),
"Error"))</f>
        <v>C0269</v>
      </c>
      <c r="L274" s="75" t="str">
        <f aca="false">
IF($D274="정상",INDEX(임대자산!$D$3:$R$3000,MATCH($F274,임대자산!$I$3:$I$3000,0),MATCH(L$4,임대자산!$D$3:$R$3,0)),
IF($D274="폐업",INDEX(폐업정보!$D$3:$R$3000,MATCH($F274,폐업정보!$I$3:$I$3000,0),MATCH(L$4,폐업정보!$D$3:$R$3,0)),
"Error"))</f>
        <v>D0269</v>
      </c>
      <c r="M274" s="76" t="s">
        <v>96</v>
      </c>
      <c r="N274" s="77"/>
      <c r="O274" s="78" t="s">
        <v>97</v>
      </c>
      <c r="P274" s="79" t="n">
        <f aca="false">COUNTIFS(임대자산!$I:$I,가맹점정보!F274,임대자산!$N:$N,가맹점정보!P$4)</f>
        <v>0</v>
      </c>
      <c r="Q274" s="80" t="n">
        <f aca="false">COUNTIFS(임대자산!$I:$I,가맹점정보!F274,임대자산!$N:$N,가맹점정보!Q$4)</f>
        <v>0</v>
      </c>
      <c r="R274" s="81" t="n">
        <f aca="false">COUNTIFS(임대자산!$I:$I,가맹점정보!F274,임대자산!$N:$N,가맹점정보!R$4)</f>
        <v>1</v>
      </c>
      <c r="S274" s="82" t="n">
        <v>27500</v>
      </c>
      <c r="T274" s="83" t="n">
        <v>27500</v>
      </c>
      <c r="U274" s="80" t="n">
        <f aca="false">SUM(S274:T274)</f>
        <v>55000</v>
      </c>
      <c r="V274" s="84" t="s">
        <v>12</v>
      </c>
      <c r="W274" s="80" t="e">
        <f aca="true">
IF(D274="폐업","폐업",
IF(V274="면제","면제",
IF(AND(V274="정상",COUNTIFS(OFFSET(Y274,0,COUNTA(Y274:AV274)-1,1,-4),"미납")&gt;=3),"장기미납",
IF(AND(V274="정상",OFFSET(Y274,0,COUNTA(Y274:AV274)-1)&gt;=U274),"정상",
IF(AND(V274="정상",OFFSET(Y274,0,COUNTA(Y274:AV274)-1)=0),"정상",
"계약서 미작성")))))</f>
        <v>#VALUE!</v>
      </c>
      <c r="X274" s="81" t="str">
        <f aca="true">
IF(D274="폐업","폐업",
IF(AND(V274="정상",OFFSET(Y274,0,COUNTA(Y274:AV274)-1)="미납"),"미납",
IF(AND(V274="정상",OFFSET(Y274,0,COUNTA(Y274:AV274)-1)=0),"납부 시작 전",
IF(AND(V274="정상",OFFSET(Y274,0,COUNTA(Y274:AV274)-1)&gt;=U274),"정상",
IF(AND(V274="면제",OFFSET(Y274,0,COUNTA(Y274:AV274)-1)="면제"),"면제",
IF(AND(V274="면제",OFFSET(Y274,0,COUNTA(Y274:AV274)-1)=0),"면제",
"확인요청"))))))</f>
        <v>미납</v>
      </c>
      <c r="Y274" s="93" t="n">
        <v>55000</v>
      </c>
      <c r="Z274" s="90" t="n">
        <v>55000</v>
      </c>
      <c r="AA274" s="90" t="n">
        <v>55000</v>
      </c>
      <c r="AB274" s="90" t="n">
        <v>55000</v>
      </c>
      <c r="AC274" s="90" t="n">
        <v>55000</v>
      </c>
      <c r="AD274" s="90" t="n">
        <v>55000</v>
      </c>
      <c r="AE274" s="90" t="n">
        <v>55000</v>
      </c>
      <c r="AF274" s="90" t="n">
        <v>55000</v>
      </c>
      <c r="AG274" s="90" t="n">
        <v>55000</v>
      </c>
      <c r="AH274" s="90" t="n">
        <v>55000</v>
      </c>
      <c r="AI274" s="90" t="n">
        <v>55000</v>
      </c>
      <c r="AJ274" s="91" t="n">
        <v>55000</v>
      </c>
      <c r="AK274" s="89" t="n">
        <v>55000</v>
      </c>
      <c r="AL274" s="95" t="s">
        <v>62</v>
      </c>
      <c r="AM274" s="90"/>
      <c r="AN274" s="90"/>
      <c r="AO274" s="90"/>
      <c r="AP274" s="90"/>
      <c r="AQ274" s="90"/>
      <c r="AR274" s="90"/>
      <c r="AS274" s="90"/>
      <c r="AT274" s="90"/>
      <c r="AU274" s="90"/>
      <c r="AV274" s="91"/>
      <c r="AX274" s="92"/>
    </row>
    <row r="275" customFormat="false" ht="15.65" hidden="false" customHeight="false" outlineLevel="0" collapsed="false">
      <c r="C275" s="72" t="n">
        <f aca="false">COUNTIFS($D$6:D275,"&lt;&gt;"&amp;"")</f>
        <v>270</v>
      </c>
      <c r="D275" s="73" t="s">
        <v>12</v>
      </c>
      <c r="E275" s="76" t="str">
        <f aca="false">
IF($D275="정상",INDEX(임대자산!$D$3:$R$3000,MATCH($F275,임대자산!$I$3:$I$3000,0),MATCH(E$3,임대자산!$D$3:$R$3,0)),
IF($D275="폐업",INDEX(폐업정보!$D$3:$R$3000,MATCH($F275,폐업정보!$I$3:$I$3000,0),MATCH(E$3,폐업정보!$D$3:$R$3,0)),
"Error"))</f>
        <v>경기</v>
      </c>
      <c r="F27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B0270</v>
      </c>
      <c r="G275" s="76" t="str">
        <f aca="false">F275&amp;RANDBETWEEN(0,10)</f>
        <v>B02703</v>
      </c>
      <c r="H275" s="75" t="n">
        <f aca="false">
IF($D275="정상",INDEX(임대자산!$D$3:$R$3000,MATCH($F275,임대자산!$I$3:$I$3000,0),MATCH(H$4,임대자산!$D$3:$R$3,0)),
IF($D275="폐업",INDEX(폐업정보!$D$3:$R$3000,MATCH($F275,폐업정보!$I$3:$I$3000,0),MATCH(H$4,폐업정보!$D$3:$R$3,0)),
"Error"))</f>
        <v>45181</v>
      </c>
      <c r="I275" s="75" t="str">
        <f aca="false">
IF($D275="정상",INDEX(임대자산!$D$3:$R$3000,MATCH($F275,임대자산!$I$3:$I$3000,0),MATCH(I$4,임대자산!$D$3:$R$3,0)),
IF($D275="폐업",INDEX(폐업정보!$D$3:$R$3000,MATCH($F275,폐업정보!$I$3:$I$3000,0),MATCH(I$4,폐업정보!$D$3:$R$3,0)),
"Error"))</f>
        <v>A0270</v>
      </c>
      <c r="J275" s="75" t="str">
        <f aca="false">
IF($D275="정상",INDEX(임대자산!$D$3:$R$3000,MATCH($F275,임대자산!$I$3:$I$3000,0),MATCH(J$4,임대자산!$D$3:$R$3,0)),
IF($D275="폐업",INDEX(폐업정보!$D$3:$R$3000,MATCH($F275,폐업정보!$I$3:$I$3000,0),MATCH(J$4,폐업정보!$D$3:$R$3,0)),
"Error"))</f>
        <v>8300900000</v>
      </c>
      <c r="K275" s="75" t="str">
        <f aca="false">
IF($D275="정상",INDEX(임대자산!$D$3:$R$3000,MATCH($F275,임대자산!$I$3:$I$3000,0),MATCH(K$4,임대자산!$D$3:$R$3,0)),
IF($D275="폐업",INDEX(폐업정보!$D$3:$R$3000,MATCH($F275,폐업정보!$I$3:$I$3000,0),MATCH(K$4,폐업정보!$D$3:$R$3,0)),
"Error"))</f>
        <v>C0270</v>
      </c>
      <c r="L275" s="75" t="str">
        <f aca="false">
IF($D275="정상",INDEX(임대자산!$D$3:$R$3000,MATCH($F275,임대자산!$I$3:$I$3000,0),MATCH(L$4,임대자산!$D$3:$R$3,0)),
IF($D275="폐업",INDEX(폐업정보!$D$3:$R$3000,MATCH($F275,폐업정보!$I$3:$I$3000,0),MATCH(L$4,폐업정보!$D$3:$R$3,0)),
"Error"))</f>
        <v>D0270</v>
      </c>
      <c r="M275" s="76" t="s">
        <v>96</v>
      </c>
      <c r="N275" s="77"/>
      <c r="O275" s="78" t="s">
        <v>97</v>
      </c>
      <c r="P275" s="79" t="n">
        <f aca="false">COUNTIFS(임대자산!$I:$I,가맹점정보!F275,임대자산!$N:$N,가맹점정보!P$4)</f>
        <v>0</v>
      </c>
      <c r="Q275" s="80" t="n">
        <f aca="false">COUNTIFS(임대자산!$I:$I,가맹점정보!F275,임대자산!$N:$N,가맹점정보!Q$4)</f>
        <v>0</v>
      </c>
      <c r="R275" s="81" t="n">
        <f aca="false">COUNTIFS(임대자산!$I:$I,가맹점정보!F275,임대자산!$N:$N,가맹점정보!R$4)</f>
        <v>1</v>
      </c>
      <c r="S275" s="82" t="n">
        <v>55000</v>
      </c>
      <c r="T275" s="83" t="n">
        <v>0</v>
      </c>
      <c r="U275" s="80" t="n">
        <f aca="false">SUM(S275:T275)</f>
        <v>55000</v>
      </c>
      <c r="V275" s="84" t="s">
        <v>12</v>
      </c>
      <c r="W275" s="80" t="e">
        <f aca="true">
IF(D275="폐업","폐업",
IF(V275="면제","면제",
IF(AND(V275="정상",COUNTIFS(OFFSET(Y275,0,COUNTA(Y275:AV275)-1,1,-4),"미납")&gt;=3),"장기미납",
IF(AND(V275="정상",OFFSET(Y275,0,COUNTA(Y275:AV275)-1)&gt;=U275),"정상",
IF(AND(V275="정상",OFFSET(Y275,0,COUNTA(Y275:AV275)-1)=0),"정상",
"계약서 미작성")))))</f>
        <v>#VALUE!</v>
      </c>
      <c r="X275" s="81" t="str">
        <f aca="true">
IF(D275="폐업","폐업",
IF(AND(V275="정상",OFFSET(Y275,0,COUNTA(Y275:AV275)-1)="미납"),"미납",
IF(AND(V275="정상",OFFSET(Y275,0,COUNTA(Y275:AV275)-1)=0),"납부 시작 전",
IF(AND(V275="정상",OFFSET(Y275,0,COUNTA(Y275:AV275)-1)&gt;=U275),"정상",
IF(AND(V275="면제",OFFSET(Y275,0,COUNTA(Y275:AV275)-1)="면제"),"면제",
IF(AND(V275="면제",OFFSET(Y275,0,COUNTA(Y275:AV275)-1)=0),"면제",
"확인요청"))))))</f>
        <v>정상</v>
      </c>
      <c r="Y275" s="93" t="n">
        <v>55000</v>
      </c>
      <c r="Z275" s="90" t="n">
        <v>55000</v>
      </c>
      <c r="AA275" s="90" t="n">
        <v>55000</v>
      </c>
      <c r="AB275" s="90" t="n">
        <v>55000</v>
      </c>
      <c r="AC275" s="90" t="n">
        <v>55000</v>
      </c>
      <c r="AD275" s="90" t="n">
        <v>55000</v>
      </c>
      <c r="AE275" s="90" t="n">
        <v>55000</v>
      </c>
      <c r="AF275" s="90" t="n">
        <v>55000</v>
      </c>
      <c r="AG275" s="90" t="n">
        <v>55000</v>
      </c>
      <c r="AH275" s="90" t="n">
        <v>55000</v>
      </c>
      <c r="AI275" s="90" t="n">
        <v>55000</v>
      </c>
      <c r="AJ275" s="91" t="n">
        <v>55000</v>
      </c>
      <c r="AK275" s="89" t="n">
        <v>55000</v>
      </c>
      <c r="AL275" s="90" t="n">
        <v>55000</v>
      </c>
      <c r="AM275" s="90"/>
      <c r="AN275" s="90"/>
      <c r="AO275" s="90"/>
      <c r="AP275" s="90"/>
      <c r="AQ275" s="90"/>
      <c r="AR275" s="90"/>
      <c r="AS275" s="90"/>
      <c r="AT275" s="90"/>
      <c r="AU275" s="90"/>
      <c r="AV275" s="91"/>
      <c r="AX275" s="92"/>
    </row>
    <row r="276" customFormat="false" ht="15.65" hidden="false" customHeight="false" outlineLevel="0" collapsed="false">
      <c r="C276" s="72" t="n">
        <f aca="false">COUNTIFS($D$6:D276,"&lt;&gt;"&amp;"")</f>
        <v>271</v>
      </c>
      <c r="D276" s="73" t="s">
        <v>12</v>
      </c>
      <c r="E276" s="76" t="str">
        <f aca="false">
IF($D276="정상",INDEX(임대자산!$D$3:$R$3000,MATCH($F276,임대자산!$I$3:$I$3000,0),MATCH(E$3,임대자산!$D$3:$R$3,0)),
IF($D276="폐업",INDEX(폐업정보!$D$3:$R$3000,MATCH($F276,폐업정보!$I$3:$I$3000,0),MATCH(E$3,폐업정보!$D$3:$R$3,0)),
"Error"))</f>
        <v>경기</v>
      </c>
      <c r="F27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B0271</v>
      </c>
      <c r="G276" s="76" t="str">
        <f aca="false">F276&amp;RANDBETWEEN(0,10)</f>
        <v>B02717</v>
      </c>
      <c r="H276" s="75" t="n">
        <f aca="false">
IF($D276="정상",INDEX(임대자산!$D$3:$R$3000,MATCH($F276,임대자산!$I$3:$I$3000,0),MATCH(H$4,임대자산!$D$3:$R$3,0)),
IF($D276="폐업",INDEX(폐업정보!$D$3:$R$3000,MATCH($F276,폐업정보!$I$3:$I$3000,0),MATCH(H$4,폐업정보!$D$3:$R$3,0)),
"Error"))</f>
        <v>45183</v>
      </c>
      <c r="I276" s="75" t="str">
        <f aca="false">
IF($D276="정상",INDEX(임대자산!$D$3:$R$3000,MATCH($F276,임대자산!$I$3:$I$3000,0),MATCH(I$4,임대자산!$D$3:$R$3,0)),
IF($D276="폐업",INDEX(폐업정보!$D$3:$R$3000,MATCH($F276,폐업정보!$I$3:$I$3000,0),MATCH(I$4,폐업정보!$D$3:$R$3,0)),
"Error"))</f>
        <v>A0271</v>
      </c>
      <c r="J276" s="75" t="str">
        <f aca="false">
IF($D276="정상",INDEX(임대자산!$D$3:$R$3000,MATCH($F276,임대자산!$I$3:$I$3000,0),MATCH(J$4,임대자산!$D$3:$R$3,0)),
IF($D276="폐업",INDEX(폐업정보!$D$3:$R$3000,MATCH($F276,폐업정보!$I$3:$I$3000,0),MATCH(J$4,폐업정보!$D$3:$R$3,0)),
"Error"))</f>
        <v>4103600000</v>
      </c>
      <c r="K276" s="75" t="str">
        <f aca="false">
IF($D276="정상",INDEX(임대자산!$D$3:$R$3000,MATCH($F276,임대자산!$I$3:$I$3000,0),MATCH(K$4,임대자산!$D$3:$R$3,0)),
IF($D276="폐업",INDEX(폐업정보!$D$3:$R$3000,MATCH($F276,폐업정보!$I$3:$I$3000,0),MATCH(K$4,폐업정보!$D$3:$R$3,0)),
"Error"))</f>
        <v>C0271</v>
      </c>
      <c r="L276" s="75" t="str">
        <f aca="false">
IF($D276="정상",INDEX(임대자산!$D$3:$R$3000,MATCH($F276,임대자산!$I$3:$I$3000,0),MATCH(L$4,임대자산!$D$3:$R$3,0)),
IF($D276="폐업",INDEX(폐업정보!$D$3:$R$3000,MATCH($F276,폐업정보!$I$3:$I$3000,0),MATCH(L$4,폐업정보!$D$3:$R$3,0)),
"Error"))</f>
        <v>D0271</v>
      </c>
      <c r="M276" s="76" t="s">
        <v>96</v>
      </c>
      <c r="N276" s="77"/>
      <c r="O276" s="78" t="s">
        <v>97</v>
      </c>
      <c r="P276" s="79" t="n">
        <f aca="false">COUNTIFS(임대자산!$I:$I,가맹점정보!F276,임대자산!$N:$N,가맹점정보!P$4)</f>
        <v>0</v>
      </c>
      <c r="Q276" s="80" t="n">
        <f aca="false">COUNTIFS(임대자산!$I:$I,가맹점정보!F276,임대자산!$N:$N,가맹점정보!Q$4)</f>
        <v>0</v>
      </c>
      <c r="R276" s="81" t="n">
        <f aca="false">COUNTIFS(임대자산!$I:$I,가맹점정보!F276,임대자산!$N:$N,가맹점정보!R$4)</f>
        <v>1</v>
      </c>
      <c r="S276" s="82" t="n">
        <v>44000</v>
      </c>
      <c r="T276" s="83" t="n">
        <v>44000</v>
      </c>
      <c r="U276" s="80" t="n">
        <f aca="false">SUM(S276:T276)</f>
        <v>88000</v>
      </c>
      <c r="V276" s="84" t="s">
        <v>12</v>
      </c>
      <c r="W276" s="80" t="e">
        <f aca="true">
IF(D276="폐업","폐업",
IF(V276="면제","면제",
IF(AND(V276="정상",COUNTIFS(OFFSET(Y276,0,COUNTA(Y276:AV276)-1,1,-4),"미납")&gt;=3),"장기미납",
IF(AND(V276="정상",OFFSET(Y276,0,COUNTA(Y276:AV276)-1)&gt;=U276),"정상",
IF(AND(V276="정상",OFFSET(Y276,0,COUNTA(Y276:AV276)-1)=0),"정상",
"계약서 미작성")))))</f>
        <v>#VALUE!</v>
      </c>
      <c r="X276" s="81" t="str">
        <f aca="true">
IF(D276="폐업","폐업",
IF(AND(V276="정상",OFFSET(Y276,0,COUNTA(Y276:AV276)-1)="미납"),"미납",
IF(AND(V276="정상",OFFSET(Y276,0,COUNTA(Y276:AV276)-1)=0),"납부 시작 전",
IF(AND(V276="정상",OFFSET(Y276,0,COUNTA(Y276:AV276)-1)&gt;=U276),"정상",
IF(AND(V276="면제",OFFSET(Y276,0,COUNTA(Y276:AV276)-1)="면제"),"면제",
IF(AND(V276="면제",OFFSET(Y276,0,COUNTA(Y276:AV276)-1)=0),"면제",
"확인요청"))))))</f>
        <v>정상</v>
      </c>
      <c r="Y276" s="93" t="n">
        <v>88000</v>
      </c>
      <c r="Z276" s="90" t="n">
        <v>88000</v>
      </c>
      <c r="AA276" s="90" t="n">
        <v>88000</v>
      </c>
      <c r="AB276" s="90" t="n">
        <v>88000</v>
      </c>
      <c r="AC276" s="90" t="n">
        <v>88000</v>
      </c>
      <c r="AD276" s="90" t="n">
        <v>88000</v>
      </c>
      <c r="AE276" s="90" t="n">
        <v>88000</v>
      </c>
      <c r="AF276" s="90" t="n">
        <v>88000</v>
      </c>
      <c r="AG276" s="90" t="n">
        <v>88000</v>
      </c>
      <c r="AH276" s="90" t="n">
        <v>88000</v>
      </c>
      <c r="AI276" s="90" t="n">
        <v>88000</v>
      </c>
      <c r="AJ276" s="91" t="n">
        <v>88000</v>
      </c>
      <c r="AK276" s="89" t="n">
        <v>88000</v>
      </c>
      <c r="AL276" s="90" t="n">
        <v>88000</v>
      </c>
      <c r="AM276" s="90"/>
      <c r="AN276" s="90"/>
      <c r="AO276" s="90"/>
      <c r="AP276" s="90"/>
      <c r="AQ276" s="90"/>
      <c r="AR276" s="90"/>
      <c r="AS276" s="90"/>
      <c r="AT276" s="90"/>
      <c r="AU276" s="90"/>
      <c r="AV276" s="91"/>
      <c r="AX276" s="92"/>
    </row>
    <row r="277" customFormat="false" ht="15.65" hidden="false" customHeight="false" outlineLevel="0" collapsed="false">
      <c r="C277" s="72" t="n">
        <f aca="false">COUNTIFS($D$6:D277,"&lt;&gt;"&amp;"")</f>
        <v>272</v>
      </c>
      <c r="D277" s="73" t="s">
        <v>12</v>
      </c>
      <c r="E277" s="76" t="str">
        <f aca="false">
IF($D277="정상",INDEX(임대자산!$D$3:$R$3000,MATCH($F277,임대자산!$I$3:$I$3000,0),MATCH(E$3,임대자산!$D$3:$R$3,0)),
IF($D277="폐업",INDEX(폐업정보!$D$3:$R$3000,MATCH($F277,폐업정보!$I$3:$I$3000,0),MATCH(E$3,폐업정보!$D$3:$R$3,0)),
"Error"))</f>
        <v>경상</v>
      </c>
      <c r="F27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B0272</v>
      </c>
      <c r="G277" s="76" t="str">
        <f aca="false">F277&amp;RANDBETWEEN(0,10)</f>
        <v>B027210</v>
      </c>
      <c r="H277" s="75" t="n">
        <f aca="false">
IF($D277="정상",INDEX(임대자산!$D$3:$R$3000,MATCH($F277,임대자산!$I$3:$I$3000,0),MATCH(H$4,임대자산!$D$3:$R$3,0)),
IF($D277="폐업",INDEX(폐업정보!$D$3:$R$3000,MATCH($F277,폐업정보!$I$3:$I$3000,0),MATCH(H$4,폐업정보!$D$3:$R$3,0)),
"Error"))</f>
        <v>45175</v>
      </c>
      <c r="I277" s="75" t="str">
        <f aca="false">
IF($D277="정상",INDEX(임대자산!$D$3:$R$3000,MATCH($F277,임대자산!$I$3:$I$3000,0),MATCH(I$4,임대자산!$D$3:$R$3,0)),
IF($D277="폐업",INDEX(폐업정보!$D$3:$R$3000,MATCH($F277,폐업정보!$I$3:$I$3000,0),MATCH(I$4,폐업정보!$D$3:$R$3,0)),
"Error"))</f>
        <v>A0272</v>
      </c>
      <c r="J277" s="75" t="str">
        <f aca="false">
IF($D277="정상",INDEX(임대자산!$D$3:$R$3000,MATCH($F277,임대자산!$I$3:$I$3000,0),MATCH(J$4,임대자산!$D$3:$R$3,0)),
IF($D277="폐업",INDEX(폐업정보!$D$3:$R$3000,MATCH($F277,폐업정보!$I$3:$I$3000,0),MATCH(J$4,폐업정보!$D$3:$R$3,0)),
"Error"))</f>
        <v>9910200000</v>
      </c>
      <c r="K277" s="75" t="str">
        <f aca="false">
IF($D277="정상",INDEX(임대자산!$D$3:$R$3000,MATCH($F277,임대자산!$I$3:$I$3000,0),MATCH(K$4,임대자산!$D$3:$R$3,0)),
IF($D277="폐업",INDEX(폐업정보!$D$3:$R$3000,MATCH($F277,폐업정보!$I$3:$I$3000,0),MATCH(K$4,폐업정보!$D$3:$R$3,0)),
"Error"))</f>
        <v>C0272</v>
      </c>
      <c r="L277" s="75" t="str">
        <f aca="false">
IF($D277="정상",INDEX(임대자산!$D$3:$R$3000,MATCH($F277,임대자산!$I$3:$I$3000,0),MATCH(L$4,임대자산!$D$3:$R$3,0)),
IF($D277="폐업",INDEX(폐업정보!$D$3:$R$3000,MATCH($F277,폐업정보!$I$3:$I$3000,0),MATCH(L$4,폐업정보!$D$3:$R$3,0)),
"Error"))</f>
        <v>D0272</v>
      </c>
      <c r="M277" s="76" t="s">
        <v>96</v>
      </c>
      <c r="N277" s="77"/>
      <c r="O277" s="78" t="s">
        <v>97</v>
      </c>
      <c r="P277" s="79" t="n">
        <f aca="false">COUNTIFS(임대자산!$I:$I,가맹점정보!F277,임대자산!$N:$N,가맹점정보!P$4)</f>
        <v>0</v>
      </c>
      <c r="Q277" s="80" t="n">
        <f aca="false">COUNTIFS(임대자산!$I:$I,가맹점정보!F277,임대자산!$N:$N,가맹점정보!Q$4)</f>
        <v>0</v>
      </c>
      <c r="R277" s="81" t="n">
        <f aca="false">COUNTIFS(임대자산!$I:$I,가맹점정보!F277,임대자산!$N:$N,가맹점정보!R$4)</f>
        <v>1</v>
      </c>
      <c r="S277" s="82" t="n">
        <v>55000</v>
      </c>
      <c r="T277" s="83" t="n">
        <v>0</v>
      </c>
      <c r="U277" s="80" t="n">
        <f aca="false">SUM(S277:T277)</f>
        <v>55000</v>
      </c>
      <c r="V277" s="84" t="s">
        <v>12</v>
      </c>
      <c r="W277" s="80" t="e">
        <f aca="true">
IF(D277="폐업","폐업",
IF(V277="면제","면제",
IF(AND(V277="정상",COUNTIFS(OFFSET(Y277,0,COUNTA(Y277:AV277)-1,1,-4),"미납")&gt;=3),"장기미납",
IF(AND(V277="정상",OFFSET(Y277,0,COUNTA(Y277:AV277)-1)&gt;=U277),"정상",
IF(AND(V277="정상",OFFSET(Y277,0,COUNTA(Y277:AV277)-1)=0),"정상",
"계약서 미작성")))))</f>
        <v>#VALUE!</v>
      </c>
      <c r="X277" s="81" t="str">
        <f aca="true">
IF(D277="폐업","폐업",
IF(AND(V277="정상",OFFSET(Y277,0,COUNTA(Y277:AV277)-1)="미납"),"미납",
IF(AND(V277="정상",OFFSET(Y277,0,COUNTA(Y277:AV277)-1)=0),"납부 시작 전",
IF(AND(V277="정상",OFFSET(Y277,0,COUNTA(Y277:AV277)-1)&gt;=U277),"정상",
IF(AND(V277="면제",OFFSET(Y277,0,COUNTA(Y277:AV277)-1)="면제"),"면제",
IF(AND(V277="면제",OFFSET(Y277,0,COUNTA(Y277:AV277)-1)=0),"면제",
"확인요청"))))))</f>
        <v>정상</v>
      </c>
      <c r="Y277" s="93" t="n">
        <v>55000</v>
      </c>
      <c r="Z277" s="90" t="n">
        <v>55000</v>
      </c>
      <c r="AA277" s="90" t="n">
        <v>55000</v>
      </c>
      <c r="AB277" s="90" t="n">
        <v>55000</v>
      </c>
      <c r="AC277" s="90" t="n">
        <v>55000</v>
      </c>
      <c r="AD277" s="90" t="n">
        <v>55000</v>
      </c>
      <c r="AE277" s="90" t="n">
        <v>55000</v>
      </c>
      <c r="AF277" s="90" t="n">
        <v>55000</v>
      </c>
      <c r="AG277" s="90" t="n">
        <v>55000</v>
      </c>
      <c r="AH277" s="90" t="n">
        <v>55000</v>
      </c>
      <c r="AI277" s="90" t="n">
        <v>55000</v>
      </c>
      <c r="AJ277" s="91" t="n">
        <v>55000</v>
      </c>
      <c r="AK277" s="89" t="n">
        <v>55000</v>
      </c>
      <c r="AL277" s="90" t="n">
        <v>55000</v>
      </c>
      <c r="AM277" s="90"/>
      <c r="AN277" s="90"/>
      <c r="AO277" s="90"/>
      <c r="AP277" s="90"/>
      <c r="AQ277" s="90"/>
      <c r="AR277" s="90"/>
      <c r="AS277" s="90"/>
      <c r="AT277" s="90"/>
      <c r="AU277" s="90"/>
      <c r="AV277" s="91"/>
      <c r="AX277" s="92"/>
    </row>
    <row r="278" customFormat="false" ht="15.65" hidden="false" customHeight="false" outlineLevel="0" collapsed="false">
      <c r="C278" s="72" t="n">
        <f aca="false">COUNTIFS($D$6:D278,"&lt;&gt;"&amp;"")</f>
        <v>273</v>
      </c>
      <c r="D278" s="73" t="s">
        <v>12</v>
      </c>
      <c r="E278" s="76" t="str">
        <f aca="false">
IF($D278="정상",INDEX(임대자산!$D$3:$R$3000,MATCH($F278,임대자산!$I$3:$I$3000,0),MATCH(E$3,임대자산!$D$3:$R$3,0)),
IF($D278="폐업",INDEX(폐업정보!$D$3:$R$3000,MATCH($F278,폐업정보!$I$3:$I$3000,0),MATCH(E$3,폐업정보!$D$3:$R$3,0)),
"Error"))</f>
        <v>경상</v>
      </c>
      <c r="F27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B0273</v>
      </c>
      <c r="G278" s="76" t="str">
        <f aca="false">F278&amp;RANDBETWEEN(0,10)</f>
        <v>B02736</v>
      </c>
      <c r="H278" s="75" t="n">
        <f aca="false">
IF($D278="정상",INDEX(임대자산!$D$3:$R$3000,MATCH($F278,임대자산!$I$3:$I$3000,0),MATCH(H$4,임대자산!$D$3:$R$3,0)),
IF($D278="폐업",INDEX(폐업정보!$D$3:$R$3000,MATCH($F278,폐업정보!$I$3:$I$3000,0),MATCH(H$4,폐업정보!$D$3:$R$3,0)),
"Error"))</f>
        <v>45183</v>
      </c>
      <c r="I278" s="75" t="str">
        <f aca="false">
IF($D278="정상",INDEX(임대자산!$D$3:$R$3000,MATCH($F278,임대자산!$I$3:$I$3000,0),MATCH(I$4,임대자산!$D$3:$R$3,0)),
IF($D278="폐업",INDEX(폐업정보!$D$3:$R$3000,MATCH($F278,폐업정보!$I$3:$I$3000,0),MATCH(I$4,폐업정보!$D$3:$R$3,0)),
"Error"))</f>
        <v>A0273</v>
      </c>
      <c r="J278" s="75" t="str">
        <f aca="false">
IF($D278="정상",INDEX(임대자산!$D$3:$R$3000,MATCH($F278,임대자산!$I$3:$I$3000,0),MATCH(J$4,임대자산!$D$3:$R$3,0)),
IF($D278="폐업",INDEX(폐업정보!$D$3:$R$3000,MATCH($F278,폐업정보!$I$3:$I$3000,0),MATCH(J$4,폐업정보!$D$3:$R$3,0)),
"Error"))</f>
        <v>8420900000</v>
      </c>
      <c r="K278" s="75" t="str">
        <f aca="false">
IF($D278="정상",INDEX(임대자산!$D$3:$R$3000,MATCH($F278,임대자산!$I$3:$I$3000,0),MATCH(K$4,임대자산!$D$3:$R$3,0)),
IF($D278="폐업",INDEX(폐업정보!$D$3:$R$3000,MATCH($F278,폐업정보!$I$3:$I$3000,0),MATCH(K$4,폐업정보!$D$3:$R$3,0)),
"Error"))</f>
        <v>C0273</v>
      </c>
      <c r="L278" s="75" t="str">
        <f aca="false">
IF($D278="정상",INDEX(임대자산!$D$3:$R$3000,MATCH($F278,임대자산!$I$3:$I$3000,0),MATCH(L$4,임대자산!$D$3:$R$3,0)),
IF($D278="폐업",INDEX(폐업정보!$D$3:$R$3000,MATCH($F278,폐업정보!$I$3:$I$3000,0),MATCH(L$4,폐업정보!$D$3:$R$3,0)),
"Error"))</f>
        <v>D0273</v>
      </c>
      <c r="M278" s="76" t="s">
        <v>96</v>
      </c>
      <c r="N278" s="77"/>
      <c r="O278" s="78" t="s">
        <v>97</v>
      </c>
      <c r="P278" s="79" t="n">
        <f aca="false">COUNTIFS(임대자산!$I:$I,가맹점정보!F278,임대자산!$N:$N,가맹점정보!P$4)</f>
        <v>0</v>
      </c>
      <c r="Q278" s="80" t="n">
        <f aca="false">COUNTIFS(임대자산!$I:$I,가맹점정보!F278,임대자산!$N:$N,가맹점정보!Q$4)</f>
        <v>0</v>
      </c>
      <c r="R278" s="81" t="n">
        <f aca="false">COUNTIFS(임대자산!$I:$I,가맹점정보!F278,임대자산!$N:$N,가맹점정보!R$4)</f>
        <v>1</v>
      </c>
      <c r="S278" s="82" t="n">
        <v>55000</v>
      </c>
      <c r="T278" s="83" t="n">
        <v>0</v>
      </c>
      <c r="U278" s="80" t="n">
        <f aca="false">SUM(S278:T278)</f>
        <v>55000</v>
      </c>
      <c r="V278" s="84" t="s">
        <v>12</v>
      </c>
      <c r="W278" s="80" t="e">
        <f aca="true">
IF(D278="폐업","폐업",
IF(V278="면제","면제",
IF(AND(V278="정상",COUNTIFS(OFFSET(Y278,0,COUNTA(Y278:AV278)-1,1,-4),"미납")&gt;=3),"장기미납",
IF(AND(V278="정상",OFFSET(Y278,0,COUNTA(Y278:AV278)-1)&gt;=U278),"정상",
IF(AND(V278="정상",OFFSET(Y278,0,COUNTA(Y278:AV278)-1)=0),"정상",
"계약서 미작성")))))</f>
        <v>#VALUE!</v>
      </c>
      <c r="X278" s="81" t="str">
        <f aca="true">
IF(D278="폐업","폐업",
IF(AND(V278="정상",OFFSET(Y278,0,COUNTA(Y278:AV278)-1)="미납"),"미납",
IF(AND(V278="정상",OFFSET(Y278,0,COUNTA(Y278:AV278)-1)=0),"납부 시작 전",
IF(AND(V278="정상",OFFSET(Y278,0,COUNTA(Y278:AV278)-1)&gt;=U278),"정상",
IF(AND(V278="면제",OFFSET(Y278,0,COUNTA(Y278:AV278)-1)="면제"),"면제",
IF(AND(V278="면제",OFFSET(Y278,0,COUNTA(Y278:AV278)-1)=0),"면제",
"확인요청"))))))</f>
        <v>정상</v>
      </c>
      <c r="Y278" s="93" t="n">
        <v>55000</v>
      </c>
      <c r="Z278" s="90" t="n">
        <v>55000</v>
      </c>
      <c r="AA278" s="90" t="n">
        <v>55000</v>
      </c>
      <c r="AB278" s="90" t="n">
        <v>55000</v>
      </c>
      <c r="AC278" s="90" t="n">
        <v>55000</v>
      </c>
      <c r="AD278" s="90" t="n">
        <v>55000</v>
      </c>
      <c r="AE278" s="90" t="n">
        <v>55000</v>
      </c>
      <c r="AF278" s="90" t="n">
        <v>55000</v>
      </c>
      <c r="AG278" s="90" t="n">
        <v>55000</v>
      </c>
      <c r="AH278" s="90" t="n">
        <v>55000</v>
      </c>
      <c r="AI278" s="90" t="n">
        <v>55000</v>
      </c>
      <c r="AJ278" s="91" t="n">
        <v>55000</v>
      </c>
      <c r="AK278" s="89" t="n">
        <v>55000</v>
      </c>
      <c r="AL278" s="90" t="n">
        <v>55000</v>
      </c>
      <c r="AM278" s="90"/>
      <c r="AN278" s="90"/>
      <c r="AO278" s="90"/>
      <c r="AP278" s="90"/>
      <c r="AQ278" s="90"/>
      <c r="AR278" s="90"/>
      <c r="AS278" s="90"/>
      <c r="AT278" s="90"/>
      <c r="AU278" s="90"/>
      <c r="AV278" s="91"/>
      <c r="AX278" s="92"/>
    </row>
    <row r="279" customFormat="false" ht="15.65" hidden="false" customHeight="false" outlineLevel="0" collapsed="false">
      <c r="C279" s="72" t="n">
        <f aca="false">COUNTIFS($D$6:D279,"&lt;&gt;"&amp;"")</f>
        <v>274</v>
      </c>
      <c r="D279" s="73" t="s">
        <v>12</v>
      </c>
      <c r="E279" s="76" t="str">
        <f aca="false">
IF($D279="정상",INDEX(임대자산!$D$3:$R$3000,MATCH($F279,임대자산!$I$3:$I$3000,0),MATCH(E$3,임대자산!$D$3:$R$3,0)),
IF($D279="폐업",INDEX(폐업정보!$D$3:$R$3000,MATCH($F279,폐업정보!$I$3:$I$3000,0),MATCH(E$3,폐업정보!$D$3:$R$3,0)),
"Error"))</f>
        <v>경상</v>
      </c>
      <c r="F27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B0274</v>
      </c>
      <c r="G279" s="76" t="str">
        <f aca="false">F279&amp;RANDBETWEEN(0,10)</f>
        <v>B02748</v>
      </c>
      <c r="H279" s="75" t="n">
        <f aca="false">
IF($D279="정상",INDEX(임대자산!$D$3:$R$3000,MATCH($F279,임대자산!$I$3:$I$3000,0),MATCH(H$4,임대자산!$D$3:$R$3,0)),
IF($D279="폐업",INDEX(폐업정보!$D$3:$R$3000,MATCH($F279,폐업정보!$I$3:$I$3000,0),MATCH(H$4,폐업정보!$D$3:$R$3,0)),
"Error"))</f>
        <v>45180</v>
      </c>
      <c r="I279" s="75" t="str">
        <f aca="false">
IF($D279="정상",INDEX(임대자산!$D$3:$R$3000,MATCH($F279,임대자산!$I$3:$I$3000,0),MATCH(I$4,임대자산!$D$3:$R$3,0)),
IF($D279="폐업",INDEX(폐업정보!$D$3:$R$3000,MATCH($F279,폐업정보!$I$3:$I$3000,0),MATCH(I$4,폐업정보!$D$3:$R$3,0)),
"Error"))</f>
        <v>A0274</v>
      </c>
      <c r="J279" s="75" t="str">
        <f aca="false">
IF($D279="정상",INDEX(임대자산!$D$3:$R$3000,MATCH($F279,임대자산!$I$3:$I$3000,0),MATCH(J$4,임대자산!$D$3:$R$3,0)),
IF($D279="폐업",INDEX(폐업정보!$D$3:$R$3000,MATCH($F279,폐업정보!$I$3:$I$3000,0),MATCH(J$4,폐업정보!$D$3:$R$3,0)),
"Error"))</f>
        <v>2781000000</v>
      </c>
      <c r="K279" s="75" t="str">
        <f aca="false">
IF($D279="정상",INDEX(임대자산!$D$3:$R$3000,MATCH($F279,임대자산!$I$3:$I$3000,0),MATCH(K$4,임대자산!$D$3:$R$3,0)),
IF($D279="폐업",INDEX(폐업정보!$D$3:$R$3000,MATCH($F279,폐업정보!$I$3:$I$3000,0),MATCH(K$4,폐업정보!$D$3:$R$3,0)),
"Error"))</f>
        <v>C0274</v>
      </c>
      <c r="L279" s="75" t="str">
        <f aca="false">
IF($D279="정상",INDEX(임대자산!$D$3:$R$3000,MATCH($F279,임대자산!$I$3:$I$3000,0),MATCH(L$4,임대자산!$D$3:$R$3,0)),
IF($D279="폐업",INDEX(폐업정보!$D$3:$R$3000,MATCH($F279,폐업정보!$I$3:$I$3000,0),MATCH(L$4,폐업정보!$D$3:$R$3,0)),
"Error"))</f>
        <v>D0274</v>
      </c>
      <c r="M279" s="76" t="s">
        <v>96</v>
      </c>
      <c r="N279" s="77"/>
      <c r="O279" s="78" t="s">
        <v>97</v>
      </c>
      <c r="P279" s="79" t="n">
        <f aca="false">COUNTIFS(임대자산!$I:$I,가맹점정보!F279,임대자산!$N:$N,가맹점정보!P$4)</f>
        <v>0</v>
      </c>
      <c r="Q279" s="80" t="n">
        <f aca="false">COUNTIFS(임대자산!$I:$I,가맹점정보!F279,임대자산!$N:$N,가맹점정보!Q$4)</f>
        <v>0</v>
      </c>
      <c r="R279" s="81" t="n">
        <f aca="false">COUNTIFS(임대자산!$I:$I,가맹점정보!F279,임대자산!$N:$N,가맹점정보!R$4)</f>
        <v>1</v>
      </c>
      <c r="S279" s="82" t="n">
        <v>55000</v>
      </c>
      <c r="T279" s="83" t="n">
        <v>0</v>
      </c>
      <c r="U279" s="80" t="n">
        <f aca="false">SUM(S279:T279)</f>
        <v>55000</v>
      </c>
      <c r="V279" s="84" t="s">
        <v>7</v>
      </c>
      <c r="W279" s="80" t="str">
        <f aca="true">
IF(D279="폐업","폐업",
IF(V279="면제","면제",
IF(AND(V279="정상",COUNTIFS(OFFSET(Y279,0,COUNTA(Y279:AV279)-1,1,-4),"미납")&gt;=3),"장기미납",
IF(AND(V279="정상",OFFSET(Y279,0,COUNTA(Y279:AV279)-1)&gt;=U279),"정상",
IF(AND(V279="정상",OFFSET(Y279,0,COUNTA(Y279:AV279)-1)=0),"정상",
"계약서 미작성")))))</f>
        <v>면제</v>
      </c>
      <c r="X279" s="81" t="str">
        <f aca="true">
IF(D279="폐업","폐업",
IF(AND(V279="정상",OFFSET(Y279,0,COUNTA(Y279:AV279)-1)="미납"),"미납",
IF(AND(V279="정상",OFFSET(Y279,0,COUNTA(Y279:AV279)-1)=0),"납부 시작 전",
IF(AND(V279="정상",OFFSET(Y279,0,COUNTA(Y279:AV279)-1)&gt;=U279),"정상",
IF(AND(V279="면제",OFFSET(Y279,0,COUNTA(Y279:AV279)-1)="면제"),"면제",
IF(AND(V279="면제",OFFSET(Y279,0,COUNTA(Y279:AV279)-1)=0),"면제",
"확인요청"))))))</f>
        <v>면제</v>
      </c>
      <c r="Y279" s="94" t="s">
        <v>7</v>
      </c>
      <c r="Z279" s="95" t="s">
        <v>7</v>
      </c>
      <c r="AA279" s="95" t="s">
        <v>7</v>
      </c>
      <c r="AB279" s="95" t="s">
        <v>7</v>
      </c>
      <c r="AC279" s="95" t="s">
        <v>7</v>
      </c>
      <c r="AD279" s="95" t="s">
        <v>7</v>
      </c>
      <c r="AE279" s="95" t="s">
        <v>7</v>
      </c>
      <c r="AF279" s="95" t="s">
        <v>7</v>
      </c>
      <c r="AG279" s="95" t="s">
        <v>7</v>
      </c>
      <c r="AH279" s="95" t="s">
        <v>7</v>
      </c>
      <c r="AI279" s="95" t="s">
        <v>7</v>
      </c>
      <c r="AJ279" s="96" t="s">
        <v>7</v>
      </c>
      <c r="AK279" s="97" t="s">
        <v>7</v>
      </c>
      <c r="AL279" s="95" t="s">
        <v>7</v>
      </c>
      <c r="AM279" s="90"/>
      <c r="AN279" s="90"/>
      <c r="AO279" s="90"/>
      <c r="AP279" s="90"/>
      <c r="AQ279" s="90"/>
      <c r="AR279" s="90"/>
      <c r="AS279" s="90"/>
      <c r="AT279" s="90"/>
      <c r="AU279" s="90"/>
      <c r="AV279" s="91"/>
      <c r="AX279" s="92"/>
    </row>
    <row r="280" customFormat="false" ht="15.65" hidden="false" customHeight="false" outlineLevel="0" collapsed="false">
      <c r="C280" s="72" t="n">
        <f aca="false">COUNTIFS($D$6:D280,"&lt;&gt;"&amp;"")</f>
        <v>275</v>
      </c>
      <c r="D280" s="73" t="s">
        <v>12</v>
      </c>
      <c r="E280" s="76" t="str">
        <f aca="false">
IF($D280="정상",INDEX(임대자산!$D$3:$R$3000,MATCH($F280,임대자산!$I$3:$I$3000,0),MATCH(E$3,임대자산!$D$3:$R$3,0)),
IF($D280="폐업",INDEX(폐업정보!$D$3:$R$3000,MATCH($F280,폐업정보!$I$3:$I$3000,0),MATCH(E$3,폐업정보!$D$3:$R$3,0)),
"Error"))</f>
        <v>경상</v>
      </c>
      <c r="F28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B0275</v>
      </c>
      <c r="G280" s="76" t="str">
        <f aca="false">F280&amp;RANDBETWEEN(0,10)</f>
        <v>B02753</v>
      </c>
      <c r="H280" s="75" t="n">
        <f aca="false">
IF($D280="정상",INDEX(임대자산!$D$3:$R$3000,MATCH($F280,임대자산!$I$3:$I$3000,0),MATCH(H$4,임대자산!$D$3:$R$3,0)),
IF($D280="폐업",INDEX(폐업정보!$D$3:$R$3000,MATCH($F280,폐업정보!$I$3:$I$3000,0),MATCH(H$4,폐업정보!$D$3:$R$3,0)),
"Error"))</f>
        <v>45328</v>
      </c>
      <c r="I280" s="75" t="str">
        <f aca="false">
IF($D280="정상",INDEX(임대자산!$D$3:$R$3000,MATCH($F280,임대자산!$I$3:$I$3000,0),MATCH(I$4,임대자산!$D$3:$R$3,0)),
IF($D280="폐업",INDEX(폐업정보!$D$3:$R$3000,MATCH($F280,폐업정보!$I$3:$I$3000,0),MATCH(I$4,폐업정보!$D$3:$R$3,0)),
"Error"))</f>
        <v>A0275</v>
      </c>
      <c r="J280" s="75" t="str">
        <f aca="false">
IF($D280="정상",INDEX(임대자산!$D$3:$R$3000,MATCH($F280,임대자산!$I$3:$I$3000,0),MATCH(J$4,임대자산!$D$3:$R$3,0)),
IF($D280="폐업",INDEX(폐업정보!$D$3:$R$3000,MATCH($F280,폐업정보!$I$3:$I$3000,0),MATCH(J$4,폐업정보!$D$3:$R$3,0)),
"Error"))</f>
        <v>4507500000</v>
      </c>
      <c r="K280" s="75" t="str">
        <f aca="false">
IF($D280="정상",INDEX(임대자산!$D$3:$R$3000,MATCH($F280,임대자산!$I$3:$I$3000,0),MATCH(K$4,임대자산!$D$3:$R$3,0)),
IF($D280="폐업",INDEX(폐업정보!$D$3:$R$3000,MATCH($F280,폐업정보!$I$3:$I$3000,0),MATCH(K$4,폐업정보!$D$3:$R$3,0)),
"Error"))</f>
        <v>C0275</v>
      </c>
      <c r="L280" s="75" t="str">
        <f aca="false">
IF($D280="정상",INDEX(임대자산!$D$3:$R$3000,MATCH($F280,임대자산!$I$3:$I$3000,0),MATCH(L$4,임대자산!$D$3:$R$3,0)),
IF($D280="폐업",INDEX(폐업정보!$D$3:$R$3000,MATCH($F280,폐업정보!$I$3:$I$3000,0),MATCH(L$4,폐업정보!$D$3:$R$3,0)),
"Error"))</f>
        <v>D0275</v>
      </c>
      <c r="M280" s="76" t="s">
        <v>96</v>
      </c>
      <c r="N280" s="77"/>
      <c r="O280" s="78" t="s">
        <v>97</v>
      </c>
      <c r="P280" s="79" t="n">
        <f aca="false">COUNTIFS(임대자산!$I:$I,가맹점정보!F280,임대자산!$N:$N,가맹점정보!P$4)</f>
        <v>0</v>
      </c>
      <c r="Q280" s="80" t="n">
        <f aca="false">COUNTIFS(임대자산!$I:$I,가맹점정보!F280,임대자산!$N:$N,가맹점정보!Q$4)</f>
        <v>0</v>
      </c>
      <c r="R280" s="81" t="n">
        <f aca="false">COUNTIFS(임대자산!$I:$I,가맹점정보!F280,임대자산!$N:$N,가맹점정보!R$4)</f>
        <v>1</v>
      </c>
      <c r="S280" s="82" t="n">
        <v>55000</v>
      </c>
      <c r="T280" s="83" t="n">
        <v>0</v>
      </c>
      <c r="U280" s="80" t="n">
        <f aca="false">SUM(S280:T280)</f>
        <v>55000</v>
      </c>
      <c r="V280" s="84" t="s">
        <v>12</v>
      </c>
      <c r="W280" s="80" t="e">
        <f aca="true">
IF(D280="폐업","폐업",
IF(V280="면제","면제",
IF(AND(V280="정상",COUNTIFS(OFFSET(Y280,0,COUNTA(Y280:AV280)-1,1,-4),"미납")&gt;=3),"장기미납",
IF(AND(V280="정상",OFFSET(Y280,0,COUNTA(Y280:AV280)-1)&gt;=U280),"정상",
IF(AND(V280="정상",OFFSET(Y280,0,COUNTA(Y280:AV280)-1)=0),"정상",
"계약서 미작성")))))</f>
        <v>#VALUE!</v>
      </c>
      <c r="X280" s="81" t="str">
        <f aca="true">
IF(D280="폐업","폐업",
IF(AND(V280="정상",OFFSET(Y280,0,COUNTA(Y280:AV280)-1)="미납"),"미납",
IF(AND(V280="정상",OFFSET(Y280,0,COUNTA(Y280:AV280)-1)=0),"납부 시작 전",
IF(AND(V280="정상",OFFSET(Y280,0,COUNTA(Y280:AV280)-1)&gt;=U280),"정상",
IF(AND(V280="면제",OFFSET(Y280,0,COUNTA(Y280:AV280)-1)="면제"),"면제",
IF(AND(V280="면제",OFFSET(Y280,0,COUNTA(Y280:AV280)-1)=0),"면제",
"확인요청"))))))</f>
        <v>정상</v>
      </c>
      <c r="Y280" s="93" t="n">
        <v>55000</v>
      </c>
      <c r="Z280" s="90" t="n">
        <v>55000</v>
      </c>
      <c r="AA280" s="90" t="n">
        <v>55000</v>
      </c>
      <c r="AB280" s="90" t="n">
        <v>55000</v>
      </c>
      <c r="AC280" s="90" t="n">
        <v>55000</v>
      </c>
      <c r="AD280" s="90" t="n">
        <v>55000</v>
      </c>
      <c r="AE280" s="90" t="n">
        <v>55000</v>
      </c>
      <c r="AF280" s="90" t="n">
        <v>55000</v>
      </c>
      <c r="AG280" s="90" t="n">
        <v>55000</v>
      </c>
      <c r="AH280" s="90" t="n">
        <v>55000</v>
      </c>
      <c r="AI280" s="90" t="n">
        <v>55000</v>
      </c>
      <c r="AJ280" s="91" t="n">
        <v>55000</v>
      </c>
      <c r="AK280" s="89" t="n">
        <v>55000</v>
      </c>
      <c r="AL280" s="90" t="n">
        <v>55000</v>
      </c>
      <c r="AM280" s="90"/>
      <c r="AN280" s="90"/>
      <c r="AO280" s="90"/>
      <c r="AP280" s="90"/>
      <c r="AQ280" s="90"/>
      <c r="AR280" s="90"/>
      <c r="AS280" s="90"/>
      <c r="AT280" s="90"/>
      <c r="AU280" s="90"/>
      <c r="AV280" s="91"/>
      <c r="AX280" s="92"/>
    </row>
    <row r="281" customFormat="false" ht="15.65" hidden="false" customHeight="false" outlineLevel="0" collapsed="false">
      <c r="C281" s="72" t="n">
        <f aca="false">COUNTIFS($D$6:D281,"&lt;&gt;"&amp;"")</f>
        <v>276</v>
      </c>
      <c r="D281" s="73" t="s">
        <v>12</v>
      </c>
      <c r="E281" s="76" t="str">
        <f aca="false">
IF($D281="정상",INDEX(임대자산!$D$3:$R$3000,MATCH($F281,임대자산!$I$3:$I$3000,0),MATCH(E$3,임대자산!$D$3:$R$3,0)),
IF($D281="폐업",INDEX(폐업정보!$D$3:$R$3000,MATCH($F281,폐업정보!$I$3:$I$3000,0),MATCH(E$3,폐업정보!$D$3:$R$3,0)),
"Error"))</f>
        <v>서울</v>
      </c>
      <c r="F28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B0276</v>
      </c>
      <c r="G281" s="76" t="str">
        <f aca="false">F281&amp;RANDBETWEEN(0,10)</f>
        <v>B02761</v>
      </c>
      <c r="H281" s="75" t="n">
        <f aca="false">
IF($D281="정상",INDEX(임대자산!$D$3:$R$3000,MATCH($F281,임대자산!$I$3:$I$3000,0),MATCH(H$4,임대자산!$D$3:$R$3,0)),
IF($D281="폐업",INDEX(폐업정보!$D$3:$R$3000,MATCH($F281,폐업정보!$I$3:$I$3000,0),MATCH(H$4,폐업정보!$D$3:$R$3,0)),
"Error"))</f>
        <v>45812</v>
      </c>
      <c r="I281" s="75" t="str">
        <f aca="false">
IF($D281="정상",INDEX(임대자산!$D$3:$R$3000,MATCH($F281,임대자산!$I$3:$I$3000,0),MATCH(I$4,임대자산!$D$3:$R$3,0)),
IF($D281="폐업",INDEX(폐업정보!$D$3:$R$3000,MATCH($F281,폐업정보!$I$3:$I$3000,0),MATCH(I$4,폐업정보!$D$3:$R$3,0)),
"Error"))</f>
        <v>A0276</v>
      </c>
      <c r="J281" s="75" t="str">
        <f aca="false">
IF($D281="정상",INDEX(임대자산!$D$3:$R$3000,MATCH($F281,임대자산!$I$3:$I$3000,0),MATCH(J$4,임대자산!$D$3:$R$3,0)),
IF($D281="폐업",INDEX(폐업정보!$D$3:$R$3000,MATCH($F281,폐업정보!$I$3:$I$3000,0),MATCH(J$4,폐업정보!$D$3:$R$3,0)),
"Error"))</f>
        <v>4391500000</v>
      </c>
      <c r="K281" s="75" t="str">
        <f aca="false">
IF($D281="정상",INDEX(임대자산!$D$3:$R$3000,MATCH($F281,임대자산!$I$3:$I$3000,0),MATCH(K$4,임대자산!$D$3:$R$3,0)),
IF($D281="폐업",INDEX(폐업정보!$D$3:$R$3000,MATCH($F281,폐업정보!$I$3:$I$3000,0),MATCH(K$4,폐업정보!$D$3:$R$3,0)),
"Error"))</f>
        <v>C0276</v>
      </c>
      <c r="L281" s="75" t="str">
        <f aca="false">
IF($D281="정상",INDEX(임대자산!$D$3:$R$3000,MATCH($F281,임대자산!$I$3:$I$3000,0),MATCH(L$4,임대자산!$D$3:$R$3,0)),
IF($D281="폐업",INDEX(폐업정보!$D$3:$R$3000,MATCH($F281,폐업정보!$I$3:$I$3000,0),MATCH(L$4,폐업정보!$D$3:$R$3,0)),
"Error"))</f>
        <v>D0276</v>
      </c>
      <c r="M281" s="76" t="s">
        <v>96</v>
      </c>
      <c r="N281" s="77"/>
      <c r="O281" s="78" t="s">
        <v>97</v>
      </c>
      <c r="P281" s="79" t="n">
        <f aca="false">COUNTIFS(임대자산!$I:$I,가맹점정보!F281,임대자산!$N:$N,가맹점정보!P$4)</f>
        <v>0</v>
      </c>
      <c r="Q281" s="80" t="n">
        <f aca="false">COUNTIFS(임대자산!$I:$I,가맹점정보!F281,임대자산!$N:$N,가맹점정보!Q$4)</f>
        <v>0</v>
      </c>
      <c r="R281" s="81" t="n">
        <f aca="false">COUNTIFS(임대자산!$I:$I,가맹점정보!F281,임대자산!$N:$N,가맹점정보!R$4)</f>
        <v>1</v>
      </c>
      <c r="S281" s="82" t="n">
        <v>55000</v>
      </c>
      <c r="T281" s="83" t="n">
        <v>0</v>
      </c>
      <c r="U281" s="80" t="n">
        <f aca="false">SUM(S281:T281)</f>
        <v>55000</v>
      </c>
      <c r="V281" s="84" t="s">
        <v>12</v>
      </c>
      <c r="W281" s="80" t="e">
        <f aca="true">
IF(D281="폐업","폐업",
IF(V281="면제","면제",
IF(AND(V281="정상",COUNTIFS(OFFSET(Y281,0,COUNTA(Y281:AV281)-1,1,-4),"미납")&gt;=3),"장기미납",
IF(AND(V281="정상",OFFSET(Y281,0,COUNTA(Y281:AV281)-1)&gt;=U281),"정상",
IF(AND(V281="정상",OFFSET(Y281,0,COUNTA(Y281:AV281)-1)=0),"정상",
"계약서 미작성")))))</f>
        <v>#VALUE!</v>
      </c>
      <c r="X281" s="81" t="str">
        <f aca="true">
IF(D281="폐업","폐업",
IF(AND(V281="정상",OFFSET(Y281,0,COUNTA(Y281:AV281)-1)="미납"),"미납",
IF(AND(V281="정상",OFFSET(Y281,0,COUNTA(Y281:AV281)-1)=0),"납부 시작 전",
IF(AND(V281="정상",OFFSET(Y281,0,COUNTA(Y281:AV281)-1)&gt;=U281),"정상",
IF(AND(V281="면제",OFFSET(Y281,0,COUNTA(Y281:AV281)-1)="면제"),"면제",
IF(AND(V281="면제",OFFSET(Y281,0,COUNTA(Y281:AV281)-1)=0),"면제",
"확인요청"))))))</f>
        <v>정상</v>
      </c>
      <c r="Y281" s="93" t="n">
        <v>55000</v>
      </c>
      <c r="Z281" s="90" t="n">
        <v>55000</v>
      </c>
      <c r="AA281" s="90" t="n">
        <v>55000</v>
      </c>
      <c r="AB281" s="90" t="n">
        <v>55000</v>
      </c>
      <c r="AC281" s="90" t="n">
        <v>55000</v>
      </c>
      <c r="AD281" s="90" t="n">
        <v>55000</v>
      </c>
      <c r="AE281" s="90" t="n">
        <v>55000</v>
      </c>
      <c r="AF281" s="90" t="n">
        <v>55000</v>
      </c>
      <c r="AG281" s="90" t="n">
        <v>55000</v>
      </c>
      <c r="AH281" s="90" t="n">
        <v>55000</v>
      </c>
      <c r="AI281" s="90" t="n">
        <v>55000</v>
      </c>
      <c r="AJ281" s="91" t="n">
        <v>55000</v>
      </c>
      <c r="AK281" s="89" t="n">
        <v>55000</v>
      </c>
      <c r="AL281" s="90" t="n">
        <v>55000</v>
      </c>
      <c r="AM281" s="90"/>
      <c r="AN281" s="90"/>
      <c r="AO281" s="90"/>
      <c r="AP281" s="90"/>
      <c r="AQ281" s="90"/>
      <c r="AR281" s="90"/>
      <c r="AS281" s="90"/>
      <c r="AT281" s="90"/>
      <c r="AU281" s="90"/>
      <c r="AV281" s="91"/>
      <c r="AX281" s="92"/>
    </row>
    <row r="282" customFormat="false" ht="15.65" hidden="false" customHeight="false" outlineLevel="0" collapsed="false">
      <c r="C282" s="72" t="n">
        <f aca="false">COUNTIFS($D$6:D282,"&lt;&gt;"&amp;"")</f>
        <v>277</v>
      </c>
      <c r="D282" s="73" t="s">
        <v>12</v>
      </c>
      <c r="E282" s="76" t="str">
        <f aca="false">
IF($D282="정상",INDEX(임대자산!$D$3:$R$3000,MATCH($F282,임대자산!$I$3:$I$3000,0),MATCH(E$3,임대자산!$D$3:$R$3,0)),
IF($D282="폐업",INDEX(폐업정보!$D$3:$R$3000,MATCH($F282,폐업정보!$I$3:$I$3000,0),MATCH(E$3,폐업정보!$D$3:$R$3,0)),
"Error"))</f>
        <v>서울</v>
      </c>
      <c r="F28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B0277</v>
      </c>
      <c r="G282" s="76" t="str">
        <f aca="false">F282&amp;RANDBETWEEN(0,10)</f>
        <v>B02777</v>
      </c>
      <c r="H282" s="75" t="n">
        <f aca="false">
IF($D282="정상",INDEX(임대자산!$D$3:$R$3000,MATCH($F282,임대자산!$I$3:$I$3000,0),MATCH(H$4,임대자산!$D$3:$R$3,0)),
IF($D282="폐업",INDEX(폐업정보!$D$3:$R$3000,MATCH($F282,폐업정보!$I$3:$I$3000,0),MATCH(H$4,폐업정보!$D$3:$R$3,0)),
"Error"))</f>
        <v>45162</v>
      </c>
      <c r="I282" s="75" t="str">
        <f aca="false">
IF($D282="정상",INDEX(임대자산!$D$3:$R$3000,MATCH($F282,임대자산!$I$3:$I$3000,0),MATCH(I$4,임대자산!$D$3:$R$3,0)),
IF($D282="폐업",INDEX(폐업정보!$D$3:$R$3000,MATCH($F282,폐업정보!$I$3:$I$3000,0),MATCH(I$4,폐업정보!$D$3:$R$3,0)),
"Error"))</f>
        <v>A0277</v>
      </c>
      <c r="J282" s="75" t="str">
        <f aca="false">
IF($D282="정상",INDEX(임대자산!$D$3:$R$3000,MATCH($F282,임대자산!$I$3:$I$3000,0),MATCH(J$4,임대자산!$D$3:$R$3,0)),
IF($D282="폐업",INDEX(폐업정보!$D$3:$R$3000,MATCH($F282,폐업정보!$I$3:$I$3000,0),MATCH(J$4,폐업정보!$D$3:$R$3,0)),
"Error"))</f>
        <v>1206400000</v>
      </c>
      <c r="K282" s="75" t="str">
        <f aca="false">
IF($D282="정상",INDEX(임대자산!$D$3:$R$3000,MATCH($F282,임대자산!$I$3:$I$3000,0),MATCH(K$4,임대자산!$D$3:$R$3,0)),
IF($D282="폐업",INDEX(폐업정보!$D$3:$R$3000,MATCH($F282,폐업정보!$I$3:$I$3000,0),MATCH(K$4,폐업정보!$D$3:$R$3,0)),
"Error"))</f>
        <v>C0277</v>
      </c>
      <c r="L282" s="75" t="str">
        <f aca="false">
IF($D282="정상",INDEX(임대자산!$D$3:$R$3000,MATCH($F282,임대자산!$I$3:$I$3000,0),MATCH(L$4,임대자산!$D$3:$R$3,0)),
IF($D282="폐업",INDEX(폐업정보!$D$3:$R$3000,MATCH($F282,폐업정보!$I$3:$I$3000,0),MATCH(L$4,폐업정보!$D$3:$R$3,0)),
"Error"))</f>
        <v>D0277</v>
      </c>
      <c r="M282" s="76" t="s">
        <v>96</v>
      </c>
      <c r="N282" s="77"/>
      <c r="O282" s="78" t="s">
        <v>97</v>
      </c>
      <c r="P282" s="79" t="n">
        <f aca="false">COUNTIFS(임대자산!$I:$I,가맹점정보!F282,임대자산!$N:$N,가맹점정보!P$4)</f>
        <v>0</v>
      </c>
      <c r="Q282" s="80" t="n">
        <f aca="false">COUNTIFS(임대자산!$I:$I,가맹점정보!F282,임대자산!$N:$N,가맹점정보!Q$4)</f>
        <v>0</v>
      </c>
      <c r="R282" s="81" t="n">
        <f aca="false">COUNTIFS(임대자산!$I:$I,가맹점정보!F282,임대자산!$N:$N,가맹점정보!R$4)</f>
        <v>1</v>
      </c>
      <c r="S282" s="82" t="n">
        <v>55000</v>
      </c>
      <c r="T282" s="83" t="n">
        <v>0</v>
      </c>
      <c r="U282" s="80" t="n">
        <f aca="false">SUM(S282:T282)</f>
        <v>55000</v>
      </c>
      <c r="V282" s="84" t="s">
        <v>12</v>
      </c>
      <c r="W282" s="80" t="e">
        <f aca="true">
IF(D282="폐업","폐업",
IF(V282="면제","면제",
IF(AND(V282="정상",COUNTIFS(OFFSET(Y282,0,COUNTA(Y282:AV282)-1,1,-4),"미납")&gt;=3),"장기미납",
IF(AND(V282="정상",OFFSET(Y282,0,COUNTA(Y282:AV282)-1)&gt;=U282),"정상",
IF(AND(V282="정상",OFFSET(Y282,0,COUNTA(Y282:AV282)-1)=0),"정상",
"계약서 미작성")))))</f>
        <v>#VALUE!</v>
      </c>
      <c r="X282" s="81" t="str">
        <f aca="true">
IF(D282="폐업","폐업",
IF(AND(V282="정상",OFFSET(Y282,0,COUNTA(Y282:AV282)-1)="미납"),"미납",
IF(AND(V282="정상",OFFSET(Y282,0,COUNTA(Y282:AV282)-1)=0),"납부 시작 전",
IF(AND(V282="정상",OFFSET(Y282,0,COUNTA(Y282:AV282)-1)&gt;=U282),"정상",
IF(AND(V282="면제",OFFSET(Y282,0,COUNTA(Y282:AV282)-1)="면제"),"면제",
IF(AND(V282="면제",OFFSET(Y282,0,COUNTA(Y282:AV282)-1)=0),"면제",
"확인요청"))))))</f>
        <v>정상</v>
      </c>
      <c r="Y282" s="93" t="n">
        <v>55000</v>
      </c>
      <c r="Z282" s="90" t="n">
        <v>55000</v>
      </c>
      <c r="AA282" s="90" t="n">
        <v>55000</v>
      </c>
      <c r="AB282" s="90" t="n">
        <v>55000</v>
      </c>
      <c r="AC282" s="90" t="n">
        <v>55000</v>
      </c>
      <c r="AD282" s="90" t="n">
        <v>55000</v>
      </c>
      <c r="AE282" s="90" t="n">
        <v>55000</v>
      </c>
      <c r="AF282" s="90" t="n">
        <v>55000</v>
      </c>
      <c r="AG282" s="90" t="n">
        <v>55000</v>
      </c>
      <c r="AH282" s="90" t="n">
        <v>55000</v>
      </c>
      <c r="AI282" s="90" t="n">
        <v>55000</v>
      </c>
      <c r="AJ282" s="91" t="n">
        <v>55000</v>
      </c>
      <c r="AK282" s="89" t="n">
        <v>55000</v>
      </c>
      <c r="AL282" s="90" t="n">
        <v>55000</v>
      </c>
      <c r="AM282" s="90"/>
      <c r="AN282" s="90"/>
      <c r="AO282" s="90"/>
      <c r="AP282" s="90"/>
      <c r="AQ282" s="90"/>
      <c r="AR282" s="90"/>
      <c r="AS282" s="90"/>
      <c r="AT282" s="90"/>
      <c r="AU282" s="90"/>
      <c r="AV282" s="91"/>
      <c r="AX282" s="92"/>
    </row>
    <row r="283" customFormat="false" ht="15.65" hidden="false" customHeight="false" outlineLevel="0" collapsed="false">
      <c r="C283" s="72" t="n">
        <f aca="false">COUNTIFS($D$6:D283,"&lt;&gt;"&amp;"")</f>
        <v>278</v>
      </c>
      <c r="D283" s="73" t="s">
        <v>12</v>
      </c>
      <c r="E283" s="76" t="str">
        <f aca="false">
IF($D283="정상",INDEX(임대자산!$D$3:$R$3000,MATCH($F283,임대자산!$I$3:$I$3000,0),MATCH(E$3,임대자산!$D$3:$R$3,0)),
IF($D283="폐업",INDEX(폐업정보!$D$3:$R$3000,MATCH($F283,폐업정보!$I$3:$I$3000,0),MATCH(E$3,폐업정보!$D$3:$R$3,0)),
"Error"))</f>
        <v>경기</v>
      </c>
      <c r="F28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B0278</v>
      </c>
      <c r="G283" s="76" t="str">
        <f aca="false">F283&amp;RANDBETWEEN(0,10)</f>
        <v>B02781</v>
      </c>
      <c r="H283" s="75" t="n">
        <f aca="false">
IF($D283="정상",INDEX(임대자산!$D$3:$R$3000,MATCH($F283,임대자산!$I$3:$I$3000,0),MATCH(H$4,임대자산!$D$3:$R$3,0)),
IF($D283="폐업",INDEX(폐업정보!$D$3:$R$3000,MATCH($F283,폐업정보!$I$3:$I$3000,0),MATCH(H$4,폐업정보!$D$3:$R$3,0)),
"Error"))</f>
        <v>45184</v>
      </c>
      <c r="I283" s="75" t="str">
        <f aca="false">
IF($D283="정상",INDEX(임대자산!$D$3:$R$3000,MATCH($F283,임대자산!$I$3:$I$3000,0),MATCH(I$4,임대자산!$D$3:$R$3,0)),
IF($D283="폐업",INDEX(폐업정보!$D$3:$R$3000,MATCH($F283,폐업정보!$I$3:$I$3000,0),MATCH(I$4,폐업정보!$D$3:$R$3,0)),
"Error"))</f>
        <v>A0278</v>
      </c>
      <c r="J283" s="75" t="str">
        <f aca="false">
IF($D283="정상",INDEX(임대자산!$D$3:$R$3000,MATCH($F283,임대자산!$I$3:$I$3000,0),MATCH(J$4,임대자산!$D$3:$R$3,0)),
IF($D283="폐업",INDEX(폐업정보!$D$3:$R$3000,MATCH($F283,폐업정보!$I$3:$I$3000,0),MATCH(J$4,폐업정보!$D$3:$R$3,0)),
"Error"))</f>
        <v>3040100000</v>
      </c>
      <c r="K283" s="75" t="str">
        <f aca="false">
IF($D283="정상",INDEX(임대자산!$D$3:$R$3000,MATCH($F283,임대자산!$I$3:$I$3000,0),MATCH(K$4,임대자산!$D$3:$R$3,0)),
IF($D283="폐업",INDEX(폐업정보!$D$3:$R$3000,MATCH($F283,폐업정보!$I$3:$I$3000,0),MATCH(K$4,폐업정보!$D$3:$R$3,0)),
"Error"))</f>
        <v>C0278</v>
      </c>
      <c r="L283" s="75" t="str">
        <f aca="false">
IF($D283="정상",INDEX(임대자산!$D$3:$R$3000,MATCH($F283,임대자산!$I$3:$I$3000,0),MATCH(L$4,임대자산!$D$3:$R$3,0)),
IF($D283="폐업",INDEX(폐업정보!$D$3:$R$3000,MATCH($F283,폐업정보!$I$3:$I$3000,0),MATCH(L$4,폐업정보!$D$3:$R$3,0)),
"Error"))</f>
        <v>D0278</v>
      </c>
      <c r="M283" s="76" t="s">
        <v>96</v>
      </c>
      <c r="N283" s="77"/>
      <c r="O283" s="78" t="s">
        <v>97</v>
      </c>
      <c r="P283" s="79" t="n">
        <f aca="false">COUNTIFS(임대자산!$I:$I,가맹점정보!F283,임대자산!$N:$N,가맹점정보!P$4)</f>
        <v>0</v>
      </c>
      <c r="Q283" s="80" t="n">
        <f aca="false">COUNTIFS(임대자산!$I:$I,가맹점정보!F283,임대자산!$N:$N,가맹점정보!Q$4)</f>
        <v>0</v>
      </c>
      <c r="R283" s="81" t="n">
        <f aca="false">COUNTIFS(임대자산!$I:$I,가맹점정보!F283,임대자산!$N:$N,가맹점정보!R$4)</f>
        <v>1</v>
      </c>
      <c r="S283" s="82" t="n">
        <v>44000</v>
      </c>
      <c r="T283" s="83" t="n">
        <v>44000</v>
      </c>
      <c r="U283" s="80" t="n">
        <f aca="false">SUM(S283:T283)</f>
        <v>88000</v>
      </c>
      <c r="V283" s="84" t="s">
        <v>12</v>
      </c>
      <c r="W283" s="80" t="e">
        <f aca="true">
IF(D283="폐업","폐업",
IF(V283="면제","면제",
IF(AND(V283="정상",COUNTIFS(OFFSET(Y283,0,COUNTA(Y283:AV283)-1,1,-4),"미납")&gt;=3),"장기미납",
IF(AND(V283="정상",OFFSET(Y283,0,COUNTA(Y283:AV283)-1)&gt;=U283),"정상",
IF(AND(V283="정상",OFFSET(Y283,0,COUNTA(Y283:AV283)-1)=0),"정상",
"계약서 미작성")))))</f>
        <v>#VALUE!</v>
      </c>
      <c r="X283" s="81" t="str">
        <f aca="true">
IF(D283="폐업","폐업",
IF(AND(V283="정상",OFFSET(Y283,0,COUNTA(Y283:AV283)-1)="미납"),"미납",
IF(AND(V283="정상",OFFSET(Y283,0,COUNTA(Y283:AV283)-1)=0),"납부 시작 전",
IF(AND(V283="정상",OFFSET(Y283,0,COUNTA(Y283:AV283)-1)&gt;=U283),"정상",
IF(AND(V283="면제",OFFSET(Y283,0,COUNTA(Y283:AV283)-1)="면제"),"면제",
IF(AND(V283="면제",OFFSET(Y283,0,COUNTA(Y283:AV283)-1)=0),"면제",
"확인요청"))))))</f>
        <v>정상</v>
      </c>
      <c r="Y283" s="93" t="n">
        <v>88000</v>
      </c>
      <c r="Z283" s="90" t="n">
        <v>88000</v>
      </c>
      <c r="AA283" s="90" t="n">
        <v>88000</v>
      </c>
      <c r="AB283" s="90" t="n">
        <v>88000</v>
      </c>
      <c r="AC283" s="90" t="n">
        <v>88000</v>
      </c>
      <c r="AD283" s="90" t="n">
        <v>88000</v>
      </c>
      <c r="AE283" s="90" t="n">
        <v>88000</v>
      </c>
      <c r="AF283" s="90" t="n">
        <v>88000</v>
      </c>
      <c r="AG283" s="90" t="n">
        <v>88000</v>
      </c>
      <c r="AH283" s="90" t="n">
        <v>88000</v>
      </c>
      <c r="AI283" s="90" t="n">
        <v>88000</v>
      </c>
      <c r="AJ283" s="91" t="n">
        <v>88000</v>
      </c>
      <c r="AK283" s="89" t="n">
        <v>88000</v>
      </c>
      <c r="AL283" s="90" t="n">
        <v>88000</v>
      </c>
      <c r="AM283" s="90"/>
      <c r="AN283" s="90"/>
      <c r="AO283" s="90"/>
      <c r="AP283" s="90"/>
      <c r="AQ283" s="90"/>
      <c r="AR283" s="90"/>
      <c r="AS283" s="90"/>
      <c r="AT283" s="90"/>
      <c r="AU283" s="90"/>
      <c r="AV283" s="91"/>
      <c r="AX283" s="92"/>
    </row>
    <row r="284" customFormat="false" ht="15.65" hidden="false" customHeight="false" outlineLevel="0" collapsed="false">
      <c r="C284" s="72" t="n">
        <f aca="false">COUNTIFS($D$6:D284,"&lt;&gt;"&amp;"")</f>
        <v>279</v>
      </c>
      <c r="D284" s="73" t="s">
        <v>12</v>
      </c>
      <c r="E284" s="76" t="str">
        <f aca="false">
IF($D284="정상",INDEX(임대자산!$D$3:$R$3000,MATCH($F284,임대자산!$I$3:$I$3000,0),MATCH(E$3,임대자산!$D$3:$R$3,0)),
IF($D284="폐업",INDEX(폐업정보!$D$3:$R$3000,MATCH($F284,폐업정보!$I$3:$I$3000,0),MATCH(E$3,폐업정보!$D$3:$R$3,0)),
"Error"))</f>
        <v>강원</v>
      </c>
      <c r="F28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B0279</v>
      </c>
      <c r="G284" s="76" t="str">
        <f aca="false">F284&amp;RANDBETWEEN(0,10)</f>
        <v>B02794</v>
      </c>
      <c r="H284" s="75" t="n">
        <f aca="false">
IF($D284="정상",INDEX(임대자산!$D$3:$R$3000,MATCH($F284,임대자산!$I$3:$I$3000,0),MATCH(H$4,임대자산!$D$3:$R$3,0)),
IF($D284="폐업",INDEX(폐업정보!$D$3:$R$3000,MATCH($F284,폐업정보!$I$3:$I$3000,0),MATCH(H$4,폐업정보!$D$3:$R$3,0)),
"Error"))</f>
        <v>45951</v>
      </c>
      <c r="I284" s="75" t="str">
        <f aca="false">
IF($D284="정상",INDEX(임대자산!$D$3:$R$3000,MATCH($F284,임대자산!$I$3:$I$3000,0),MATCH(I$4,임대자산!$D$3:$R$3,0)),
IF($D284="폐업",INDEX(폐업정보!$D$3:$R$3000,MATCH($F284,폐업정보!$I$3:$I$3000,0),MATCH(I$4,폐업정보!$D$3:$R$3,0)),
"Error"))</f>
        <v>A0279</v>
      </c>
      <c r="J284" s="75" t="str">
        <f aca="false">
IF($D284="정상",INDEX(임대자산!$D$3:$R$3000,MATCH($F284,임대자산!$I$3:$I$3000,0),MATCH(J$4,임대자산!$D$3:$R$3,0)),
IF($D284="폐업",INDEX(폐업정보!$D$3:$R$3000,MATCH($F284,폐업정보!$I$3:$I$3000,0),MATCH(J$4,폐업정보!$D$3:$R$3,0)),
"Error"))</f>
        <v>4324200000</v>
      </c>
      <c r="K284" s="75" t="str">
        <f aca="false">
IF($D284="정상",INDEX(임대자산!$D$3:$R$3000,MATCH($F284,임대자산!$I$3:$I$3000,0),MATCH(K$4,임대자산!$D$3:$R$3,0)),
IF($D284="폐업",INDEX(폐업정보!$D$3:$R$3000,MATCH($F284,폐업정보!$I$3:$I$3000,0),MATCH(K$4,폐업정보!$D$3:$R$3,0)),
"Error"))</f>
        <v>C0279</v>
      </c>
      <c r="L284" s="75" t="str">
        <f aca="false">
IF($D284="정상",INDEX(임대자산!$D$3:$R$3000,MATCH($F284,임대자산!$I$3:$I$3000,0),MATCH(L$4,임대자산!$D$3:$R$3,0)),
IF($D284="폐업",INDEX(폐업정보!$D$3:$R$3000,MATCH($F284,폐업정보!$I$3:$I$3000,0),MATCH(L$4,폐업정보!$D$3:$R$3,0)),
"Error"))</f>
        <v>D0279</v>
      </c>
      <c r="M284" s="76" t="s">
        <v>96</v>
      </c>
      <c r="N284" s="77"/>
      <c r="O284" s="78" t="s">
        <v>97</v>
      </c>
      <c r="P284" s="79" t="n">
        <f aca="false">COUNTIFS(임대자산!$I:$I,가맹점정보!F284,임대자산!$N:$N,가맹점정보!P$4)</f>
        <v>0</v>
      </c>
      <c r="Q284" s="80" t="n">
        <f aca="false">COUNTIFS(임대자산!$I:$I,가맹점정보!F284,임대자산!$N:$N,가맹점정보!Q$4)</f>
        <v>0</v>
      </c>
      <c r="R284" s="81" t="n">
        <f aca="false">COUNTIFS(임대자산!$I:$I,가맹점정보!F284,임대자산!$N:$N,가맹점정보!R$4)</f>
        <v>1</v>
      </c>
      <c r="S284" s="82" t="n">
        <v>55000</v>
      </c>
      <c r="T284" s="83" t="n">
        <v>0</v>
      </c>
      <c r="U284" s="80" t="n">
        <f aca="false">SUM(S284:T284)</f>
        <v>55000</v>
      </c>
      <c r="V284" s="84" t="s">
        <v>12</v>
      </c>
      <c r="W284" s="80" t="e">
        <f aca="true">
IF(D284="폐업","폐업",
IF(V284="면제","면제",
IF(AND(V284="정상",COUNTIFS(OFFSET(Y284,0,COUNTA(Y284:AV284)-1,1,-4),"미납")&gt;=3),"장기미납",
IF(AND(V284="정상",OFFSET(Y284,0,COUNTA(Y284:AV284)-1)&gt;=U284),"정상",
IF(AND(V284="정상",OFFSET(Y284,0,COUNTA(Y284:AV284)-1)=0),"정상",
"계약서 미작성")))))</f>
        <v>#VALUE!</v>
      </c>
      <c r="X284" s="81" t="str">
        <f aca="true">
IF(D284="폐업","폐업",
IF(AND(V284="정상",OFFSET(Y284,0,COUNTA(Y284:AV284)-1)="미납"),"미납",
IF(AND(V284="정상",OFFSET(Y284,0,COUNTA(Y284:AV284)-1)=0),"납부 시작 전",
IF(AND(V284="정상",OFFSET(Y284,0,COUNTA(Y284:AV284)-1)&gt;=U284),"정상",
IF(AND(V284="면제",OFFSET(Y284,0,COUNTA(Y284:AV284)-1)="면제"),"면제",
IF(AND(V284="면제",OFFSET(Y284,0,COUNTA(Y284:AV284)-1)=0),"면제",
"확인요청"))))))</f>
        <v>정상</v>
      </c>
      <c r="Y284" s="93" t="n">
        <v>55000</v>
      </c>
      <c r="Z284" s="90" t="n">
        <v>55000</v>
      </c>
      <c r="AA284" s="90" t="n">
        <v>55000</v>
      </c>
      <c r="AB284" s="90" t="n">
        <v>55000</v>
      </c>
      <c r="AC284" s="90" t="n">
        <v>55000</v>
      </c>
      <c r="AD284" s="90" t="n">
        <v>55000</v>
      </c>
      <c r="AE284" s="90" t="n">
        <v>55000</v>
      </c>
      <c r="AF284" s="90" t="n">
        <v>55000</v>
      </c>
      <c r="AG284" s="90" t="n">
        <v>55000</v>
      </c>
      <c r="AH284" s="90" t="n">
        <v>55000</v>
      </c>
      <c r="AI284" s="90" t="n">
        <v>55000</v>
      </c>
      <c r="AJ284" s="91" t="n">
        <v>55000</v>
      </c>
      <c r="AK284" s="89" t="n">
        <v>55000</v>
      </c>
      <c r="AL284" s="90" t="n">
        <v>55000</v>
      </c>
      <c r="AM284" s="90"/>
      <c r="AN284" s="90"/>
      <c r="AO284" s="90"/>
      <c r="AP284" s="90"/>
      <c r="AQ284" s="90"/>
      <c r="AR284" s="90"/>
      <c r="AS284" s="90"/>
      <c r="AT284" s="90"/>
      <c r="AU284" s="90"/>
      <c r="AV284" s="91"/>
      <c r="AX284" s="92"/>
    </row>
    <row r="285" customFormat="false" ht="15.65" hidden="false" customHeight="false" outlineLevel="0" collapsed="false">
      <c r="C285" s="72" t="n">
        <f aca="false">COUNTIFS($D$6:D285,"&lt;&gt;"&amp;"")</f>
        <v>280</v>
      </c>
      <c r="D285" s="73" t="s">
        <v>12</v>
      </c>
      <c r="E285" s="76" t="str">
        <f aca="false">
IF($D285="정상",INDEX(임대자산!$D$3:$R$3000,MATCH($F285,임대자산!$I$3:$I$3000,0),MATCH(E$3,임대자산!$D$3:$R$3,0)),
IF($D285="폐업",INDEX(폐업정보!$D$3:$R$3000,MATCH($F285,폐업정보!$I$3:$I$3000,0),MATCH(E$3,폐업정보!$D$3:$R$3,0)),
"Error"))</f>
        <v>경상</v>
      </c>
      <c r="F28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B0280</v>
      </c>
      <c r="G285" s="76" t="str">
        <f aca="false">F285&amp;RANDBETWEEN(0,10)</f>
        <v>B02802</v>
      </c>
      <c r="H285" s="75" t="n">
        <f aca="false">
IF($D285="정상",INDEX(임대자산!$D$3:$R$3000,MATCH($F285,임대자산!$I$3:$I$3000,0),MATCH(H$4,임대자산!$D$3:$R$3,0)),
IF($D285="폐업",INDEX(폐업정보!$D$3:$R$3000,MATCH($F285,폐업정보!$I$3:$I$3000,0),MATCH(H$4,폐업정보!$D$3:$R$3,0)),
"Error"))</f>
        <v>45189</v>
      </c>
      <c r="I285" s="75" t="str">
        <f aca="false">
IF($D285="정상",INDEX(임대자산!$D$3:$R$3000,MATCH($F285,임대자산!$I$3:$I$3000,0),MATCH(I$4,임대자산!$D$3:$R$3,0)),
IF($D285="폐업",INDEX(폐업정보!$D$3:$R$3000,MATCH($F285,폐업정보!$I$3:$I$3000,0),MATCH(I$4,폐업정보!$D$3:$R$3,0)),
"Error"))</f>
        <v>A0280</v>
      </c>
      <c r="J285" s="75" t="str">
        <f aca="false">
IF($D285="정상",INDEX(임대자산!$D$3:$R$3000,MATCH($F285,임대자산!$I$3:$I$3000,0),MATCH(J$4,임대자산!$D$3:$R$3,0)),
IF($D285="폐업",INDEX(폐업정보!$D$3:$R$3000,MATCH($F285,폐업정보!$I$3:$I$3000,0),MATCH(J$4,폐업정보!$D$3:$R$3,0)),
"Error"))</f>
        <v>5047300000</v>
      </c>
      <c r="K285" s="75" t="str">
        <f aca="false">
IF($D285="정상",INDEX(임대자산!$D$3:$R$3000,MATCH($F285,임대자산!$I$3:$I$3000,0),MATCH(K$4,임대자산!$D$3:$R$3,0)),
IF($D285="폐업",INDEX(폐업정보!$D$3:$R$3000,MATCH($F285,폐업정보!$I$3:$I$3000,0),MATCH(K$4,폐업정보!$D$3:$R$3,0)),
"Error"))</f>
        <v>C0280</v>
      </c>
      <c r="L285" s="75" t="str">
        <f aca="false">
IF($D285="정상",INDEX(임대자산!$D$3:$R$3000,MATCH($F285,임대자산!$I$3:$I$3000,0),MATCH(L$4,임대자산!$D$3:$R$3,0)),
IF($D285="폐업",INDEX(폐업정보!$D$3:$R$3000,MATCH($F285,폐업정보!$I$3:$I$3000,0),MATCH(L$4,폐업정보!$D$3:$R$3,0)),
"Error"))</f>
        <v>D0280</v>
      </c>
      <c r="M285" s="76" t="s">
        <v>96</v>
      </c>
      <c r="N285" s="77"/>
      <c r="O285" s="78" t="s">
        <v>97</v>
      </c>
      <c r="P285" s="79" t="n">
        <f aca="false">COUNTIFS(임대자산!$I:$I,가맹점정보!F285,임대자산!$N:$N,가맹점정보!P$4)</f>
        <v>0</v>
      </c>
      <c r="Q285" s="80" t="n">
        <f aca="false">COUNTIFS(임대자산!$I:$I,가맹점정보!F285,임대자산!$N:$N,가맹점정보!Q$4)</f>
        <v>0</v>
      </c>
      <c r="R285" s="81" t="n">
        <f aca="false">COUNTIFS(임대자산!$I:$I,가맹점정보!F285,임대자산!$N:$N,가맹점정보!R$4)</f>
        <v>1</v>
      </c>
      <c r="S285" s="82" t="n">
        <v>55000</v>
      </c>
      <c r="T285" s="83" t="n">
        <v>0</v>
      </c>
      <c r="U285" s="80" t="n">
        <f aca="false">SUM(S285:T285)</f>
        <v>55000</v>
      </c>
      <c r="V285" s="84" t="s">
        <v>12</v>
      </c>
      <c r="W285" s="80" t="e">
        <f aca="true">
IF(D285="폐업","폐업",
IF(V285="면제","면제",
IF(AND(V285="정상",COUNTIFS(OFFSET(Y285,0,COUNTA(Y285:AV285)-1,1,-4),"미납")&gt;=3),"장기미납",
IF(AND(V285="정상",OFFSET(Y285,0,COUNTA(Y285:AV285)-1)&gt;=U285),"정상",
IF(AND(V285="정상",OFFSET(Y285,0,COUNTA(Y285:AV285)-1)=0),"정상",
"계약서 미작성")))))</f>
        <v>#VALUE!</v>
      </c>
      <c r="X285" s="81" t="str">
        <f aca="true">
IF(D285="폐업","폐업",
IF(AND(V285="정상",OFFSET(Y285,0,COUNTA(Y285:AV285)-1)="미납"),"미납",
IF(AND(V285="정상",OFFSET(Y285,0,COUNTA(Y285:AV285)-1)=0),"납부 시작 전",
IF(AND(V285="정상",OFFSET(Y285,0,COUNTA(Y285:AV285)-1)&gt;=U285),"정상",
IF(AND(V285="면제",OFFSET(Y285,0,COUNTA(Y285:AV285)-1)="면제"),"면제",
IF(AND(V285="면제",OFFSET(Y285,0,COUNTA(Y285:AV285)-1)=0),"면제",
"확인요청"))))))</f>
        <v>정상</v>
      </c>
      <c r="Y285" s="93" t="n">
        <v>55000</v>
      </c>
      <c r="Z285" s="90" t="n">
        <v>55000</v>
      </c>
      <c r="AA285" s="90" t="n">
        <v>55000</v>
      </c>
      <c r="AB285" s="90" t="n">
        <v>55000</v>
      </c>
      <c r="AC285" s="90" t="n">
        <v>55000</v>
      </c>
      <c r="AD285" s="90" t="n">
        <v>55000</v>
      </c>
      <c r="AE285" s="90" t="n">
        <v>55000</v>
      </c>
      <c r="AF285" s="90" t="n">
        <v>55000</v>
      </c>
      <c r="AG285" s="90" t="n">
        <v>55000</v>
      </c>
      <c r="AH285" s="90" t="n">
        <v>55000</v>
      </c>
      <c r="AI285" s="90" t="n">
        <v>55000</v>
      </c>
      <c r="AJ285" s="91" t="n">
        <v>55000</v>
      </c>
      <c r="AK285" s="89" t="n">
        <v>55000</v>
      </c>
      <c r="AL285" s="90" t="n">
        <v>55000</v>
      </c>
      <c r="AM285" s="90"/>
      <c r="AN285" s="90"/>
      <c r="AO285" s="90"/>
      <c r="AP285" s="90"/>
      <c r="AQ285" s="90"/>
      <c r="AR285" s="90"/>
      <c r="AS285" s="90"/>
      <c r="AT285" s="90"/>
      <c r="AU285" s="90"/>
      <c r="AV285" s="91"/>
      <c r="AX285" s="92"/>
    </row>
    <row r="286" customFormat="false" ht="15.65" hidden="false" customHeight="false" outlineLevel="0" collapsed="false">
      <c r="C286" s="72" t="n">
        <f aca="false">COUNTIFS($D$6:D286,"&lt;&gt;"&amp;"")</f>
        <v>281</v>
      </c>
      <c r="D286" s="73" t="s">
        <v>12</v>
      </c>
      <c r="E286" s="76" t="str">
        <f aca="false">
IF($D286="정상",INDEX(임대자산!$D$3:$R$3000,MATCH($F286,임대자산!$I$3:$I$3000,0),MATCH(E$3,임대자산!$D$3:$R$3,0)),
IF($D286="폐업",INDEX(폐업정보!$D$3:$R$3000,MATCH($F286,폐업정보!$I$3:$I$3000,0),MATCH(E$3,폐업정보!$D$3:$R$3,0)),
"Error"))</f>
        <v>강원</v>
      </c>
      <c r="F28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B0281</v>
      </c>
      <c r="G286" s="76" t="str">
        <f aca="false">F286&amp;RANDBETWEEN(0,10)</f>
        <v>B02812</v>
      </c>
      <c r="H286" s="75" t="n">
        <f aca="false">
IF($D286="정상",INDEX(임대자산!$D$3:$R$3000,MATCH($F286,임대자산!$I$3:$I$3000,0),MATCH(H$4,임대자산!$D$3:$R$3,0)),
IF($D286="폐업",INDEX(폐업정보!$D$3:$R$3000,MATCH($F286,폐업정보!$I$3:$I$3000,0),MATCH(H$4,폐업정보!$D$3:$R$3,0)),
"Error"))</f>
        <v>45189</v>
      </c>
      <c r="I286" s="75" t="str">
        <f aca="false">
IF($D286="정상",INDEX(임대자산!$D$3:$R$3000,MATCH($F286,임대자산!$I$3:$I$3000,0),MATCH(I$4,임대자산!$D$3:$R$3,0)),
IF($D286="폐업",INDEX(폐업정보!$D$3:$R$3000,MATCH($F286,폐업정보!$I$3:$I$3000,0),MATCH(I$4,폐업정보!$D$3:$R$3,0)),
"Error"))</f>
        <v>A0281</v>
      </c>
      <c r="J286" s="75" t="str">
        <f aca="false">
IF($D286="정상",INDEX(임대자산!$D$3:$R$3000,MATCH($F286,임대자산!$I$3:$I$3000,0),MATCH(J$4,임대자산!$D$3:$R$3,0)),
IF($D286="폐업",INDEX(폐업정보!$D$3:$R$3000,MATCH($F286,폐업정보!$I$3:$I$3000,0),MATCH(J$4,폐업정보!$D$3:$R$3,0)),
"Error"))</f>
        <v>6413200000</v>
      </c>
      <c r="K286" s="75" t="str">
        <f aca="false">
IF($D286="정상",INDEX(임대자산!$D$3:$R$3000,MATCH($F286,임대자산!$I$3:$I$3000,0),MATCH(K$4,임대자산!$D$3:$R$3,0)),
IF($D286="폐업",INDEX(폐업정보!$D$3:$R$3000,MATCH($F286,폐업정보!$I$3:$I$3000,0),MATCH(K$4,폐업정보!$D$3:$R$3,0)),
"Error"))</f>
        <v>C0281</v>
      </c>
      <c r="L286" s="75" t="str">
        <f aca="false">
IF($D286="정상",INDEX(임대자산!$D$3:$R$3000,MATCH($F286,임대자산!$I$3:$I$3000,0),MATCH(L$4,임대자산!$D$3:$R$3,0)),
IF($D286="폐업",INDEX(폐업정보!$D$3:$R$3000,MATCH($F286,폐업정보!$I$3:$I$3000,0),MATCH(L$4,폐업정보!$D$3:$R$3,0)),
"Error"))</f>
        <v>D0281</v>
      </c>
      <c r="M286" s="76" t="s">
        <v>96</v>
      </c>
      <c r="N286" s="77"/>
      <c r="O286" s="78" t="s">
        <v>97</v>
      </c>
      <c r="P286" s="79" t="n">
        <f aca="false">COUNTIFS(임대자산!$I:$I,가맹점정보!F286,임대자산!$N:$N,가맹점정보!P$4)</f>
        <v>0</v>
      </c>
      <c r="Q286" s="80" t="n">
        <f aca="false">COUNTIFS(임대자산!$I:$I,가맹점정보!F286,임대자산!$N:$N,가맹점정보!Q$4)</f>
        <v>0</v>
      </c>
      <c r="R286" s="81" t="n">
        <f aca="false">COUNTIFS(임대자산!$I:$I,가맹점정보!F286,임대자산!$N:$N,가맹점정보!R$4)</f>
        <v>1</v>
      </c>
      <c r="S286" s="82" t="n">
        <v>55000</v>
      </c>
      <c r="T286" s="83" t="n">
        <v>0</v>
      </c>
      <c r="U286" s="80" t="n">
        <f aca="false">SUM(S286:T286)</f>
        <v>55000</v>
      </c>
      <c r="V286" s="84" t="s">
        <v>12</v>
      </c>
      <c r="W286" s="80" t="e">
        <f aca="true">
IF(D286="폐업","폐업",
IF(V286="면제","면제",
IF(AND(V286="정상",COUNTIFS(OFFSET(Y286,0,COUNTA(Y286:AV286)-1,1,-4),"미납")&gt;=3),"장기미납",
IF(AND(V286="정상",OFFSET(Y286,0,COUNTA(Y286:AV286)-1)&gt;=U286),"정상",
IF(AND(V286="정상",OFFSET(Y286,0,COUNTA(Y286:AV286)-1)=0),"정상",
"계약서 미작성")))))</f>
        <v>#VALUE!</v>
      </c>
      <c r="X286" s="81" t="str">
        <f aca="true">
IF(D286="폐업","폐업",
IF(AND(V286="정상",OFFSET(Y286,0,COUNTA(Y286:AV286)-1)="미납"),"미납",
IF(AND(V286="정상",OFFSET(Y286,0,COUNTA(Y286:AV286)-1)=0),"납부 시작 전",
IF(AND(V286="정상",OFFSET(Y286,0,COUNTA(Y286:AV286)-1)&gt;=U286),"정상",
IF(AND(V286="면제",OFFSET(Y286,0,COUNTA(Y286:AV286)-1)="면제"),"면제",
IF(AND(V286="면제",OFFSET(Y286,0,COUNTA(Y286:AV286)-1)=0),"면제",
"확인요청"))))))</f>
        <v>정상</v>
      </c>
      <c r="Y286" s="93" t="n">
        <v>55000</v>
      </c>
      <c r="Z286" s="90" t="n">
        <v>55000</v>
      </c>
      <c r="AA286" s="90" t="n">
        <v>55000</v>
      </c>
      <c r="AB286" s="90" t="n">
        <v>55000</v>
      </c>
      <c r="AC286" s="90" t="n">
        <v>55000</v>
      </c>
      <c r="AD286" s="90" t="n">
        <v>55000</v>
      </c>
      <c r="AE286" s="90" t="n">
        <v>55000</v>
      </c>
      <c r="AF286" s="90" t="n">
        <v>55000</v>
      </c>
      <c r="AG286" s="90" t="n">
        <v>55000</v>
      </c>
      <c r="AH286" s="90" t="n">
        <v>55000</v>
      </c>
      <c r="AI286" s="90" t="n">
        <v>55000</v>
      </c>
      <c r="AJ286" s="91" t="n">
        <v>55000</v>
      </c>
      <c r="AK286" s="89" t="n">
        <v>55000</v>
      </c>
      <c r="AL286" s="90" t="n">
        <v>55000</v>
      </c>
      <c r="AM286" s="90"/>
      <c r="AN286" s="90"/>
      <c r="AO286" s="90"/>
      <c r="AP286" s="90"/>
      <c r="AQ286" s="90"/>
      <c r="AR286" s="90"/>
      <c r="AS286" s="90"/>
      <c r="AT286" s="90"/>
      <c r="AU286" s="90"/>
      <c r="AV286" s="91"/>
      <c r="AX286" s="92"/>
    </row>
    <row r="287" customFormat="false" ht="15.65" hidden="false" customHeight="false" outlineLevel="0" collapsed="false">
      <c r="C287" s="72" t="n">
        <f aca="false">COUNTIFS($D$6:D287,"&lt;&gt;"&amp;"")</f>
        <v>282</v>
      </c>
      <c r="D287" s="73" t="s">
        <v>12</v>
      </c>
      <c r="E287" s="76" t="str">
        <f aca="false">
IF($D287="정상",INDEX(임대자산!$D$3:$R$3000,MATCH($F287,임대자산!$I$3:$I$3000,0),MATCH(E$3,임대자산!$D$3:$R$3,0)),
IF($D287="폐업",INDEX(폐업정보!$D$3:$R$3000,MATCH($F287,폐업정보!$I$3:$I$3000,0),MATCH(E$3,폐업정보!$D$3:$R$3,0)),
"Error"))</f>
        <v>강원</v>
      </c>
      <c r="F28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B0282</v>
      </c>
      <c r="G287" s="76" t="str">
        <f aca="false">F287&amp;RANDBETWEEN(0,10)</f>
        <v>B02823</v>
      </c>
      <c r="H287" s="75" t="n">
        <f aca="false">
IF($D287="정상",INDEX(임대자산!$D$3:$R$3000,MATCH($F287,임대자산!$I$3:$I$3000,0),MATCH(H$4,임대자산!$D$3:$R$3,0)),
IF($D287="폐업",INDEX(폐업정보!$D$3:$R$3000,MATCH($F287,폐업정보!$I$3:$I$3000,0),MATCH(H$4,폐업정보!$D$3:$R$3,0)),
"Error"))</f>
        <v>45205</v>
      </c>
      <c r="I287" s="75" t="str">
        <f aca="false">
IF($D287="정상",INDEX(임대자산!$D$3:$R$3000,MATCH($F287,임대자산!$I$3:$I$3000,0),MATCH(I$4,임대자산!$D$3:$R$3,0)),
IF($D287="폐업",INDEX(폐업정보!$D$3:$R$3000,MATCH($F287,폐업정보!$I$3:$I$3000,0),MATCH(I$4,폐업정보!$D$3:$R$3,0)),
"Error"))</f>
        <v>A0282</v>
      </c>
      <c r="J287" s="75" t="str">
        <f aca="false">
IF($D287="정상",INDEX(임대자산!$D$3:$R$3000,MATCH($F287,임대자산!$I$3:$I$3000,0),MATCH(J$4,임대자산!$D$3:$R$3,0)),
IF($D287="폐업",INDEX(폐업정보!$D$3:$R$3000,MATCH($F287,폐업정보!$I$3:$I$3000,0),MATCH(J$4,폐업정보!$D$3:$R$3,0)),
"Error"))</f>
        <v>2553800000</v>
      </c>
      <c r="K287" s="75" t="str">
        <f aca="false">
IF($D287="정상",INDEX(임대자산!$D$3:$R$3000,MATCH($F287,임대자산!$I$3:$I$3000,0),MATCH(K$4,임대자산!$D$3:$R$3,0)),
IF($D287="폐업",INDEX(폐업정보!$D$3:$R$3000,MATCH($F287,폐업정보!$I$3:$I$3000,0),MATCH(K$4,폐업정보!$D$3:$R$3,0)),
"Error"))</f>
        <v>C0282</v>
      </c>
      <c r="L287" s="75" t="str">
        <f aca="false">
IF($D287="정상",INDEX(임대자산!$D$3:$R$3000,MATCH($F287,임대자산!$I$3:$I$3000,0),MATCH(L$4,임대자산!$D$3:$R$3,0)),
IF($D287="폐업",INDEX(폐업정보!$D$3:$R$3000,MATCH($F287,폐업정보!$I$3:$I$3000,0),MATCH(L$4,폐업정보!$D$3:$R$3,0)),
"Error"))</f>
        <v>D0282</v>
      </c>
      <c r="M287" s="76" t="s">
        <v>96</v>
      </c>
      <c r="N287" s="77"/>
      <c r="O287" s="78" t="s">
        <v>97</v>
      </c>
      <c r="P287" s="79" t="n">
        <f aca="false">COUNTIFS(임대자산!$I:$I,가맹점정보!F287,임대자산!$N:$N,가맹점정보!P$4)</f>
        <v>0</v>
      </c>
      <c r="Q287" s="80" t="n">
        <f aca="false">COUNTIFS(임대자산!$I:$I,가맹점정보!F287,임대자산!$N:$N,가맹점정보!Q$4)</f>
        <v>0</v>
      </c>
      <c r="R287" s="81" t="n">
        <f aca="false">COUNTIFS(임대자산!$I:$I,가맹점정보!F287,임대자산!$N:$N,가맹점정보!R$4)</f>
        <v>1</v>
      </c>
      <c r="S287" s="82" t="n">
        <v>55000</v>
      </c>
      <c r="T287" s="83" t="n">
        <v>0</v>
      </c>
      <c r="U287" s="80" t="n">
        <f aca="false">SUM(S287:T287)</f>
        <v>55000</v>
      </c>
      <c r="V287" s="84" t="s">
        <v>7</v>
      </c>
      <c r="W287" s="80" t="str">
        <f aca="true">
IF(D287="폐업","폐업",
IF(V287="면제","면제",
IF(AND(V287="정상",COUNTIFS(OFFSET(Y287,0,COUNTA(Y287:AV287)-1,1,-4),"미납")&gt;=3),"장기미납",
IF(AND(V287="정상",OFFSET(Y287,0,COUNTA(Y287:AV287)-1)&gt;=U287),"정상",
IF(AND(V287="정상",OFFSET(Y287,0,COUNTA(Y287:AV287)-1)=0),"정상",
"계약서 미작성")))))</f>
        <v>면제</v>
      </c>
      <c r="X287" s="81" t="str">
        <f aca="true">
IF(D287="폐업","폐업",
IF(AND(V287="정상",OFFSET(Y287,0,COUNTA(Y287:AV287)-1)="미납"),"미납",
IF(AND(V287="정상",OFFSET(Y287,0,COUNTA(Y287:AV287)-1)=0),"납부 시작 전",
IF(AND(V287="정상",OFFSET(Y287,0,COUNTA(Y287:AV287)-1)&gt;=U287),"정상",
IF(AND(V287="면제",OFFSET(Y287,0,COUNTA(Y287:AV287)-1)="면제"),"면제",
IF(AND(V287="면제",OFFSET(Y287,0,COUNTA(Y287:AV287)-1)=0),"면제",
"확인요청"))))))</f>
        <v>면제</v>
      </c>
      <c r="Y287" s="94" t="s">
        <v>7</v>
      </c>
      <c r="Z287" s="95" t="s">
        <v>7</v>
      </c>
      <c r="AA287" s="95" t="s">
        <v>7</v>
      </c>
      <c r="AB287" s="95" t="s">
        <v>7</v>
      </c>
      <c r="AC287" s="95" t="s">
        <v>7</v>
      </c>
      <c r="AD287" s="95" t="s">
        <v>7</v>
      </c>
      <c r="AE287" s="95" t="s">
        <v>7</v>
      </c>
      <c r="AF287" s="95" t="s">
        <v>7</v>
      </c>
      <c r="AG287" s="95" t="s">
        <v>7</v>
      </c>
      <c r="AH287" s="95" t="s">
        <v>7</v>
      </c>
      <c r="AI287" s="95" t="s">
        <v>7</v>
      </c>
      <c r="AJ287" s="96" t="s">
        <v>7</v>
      </c>
      <c r="AK287" s="97" t="s">
        <v>7</v>
      </c>
      <c r="AL287" s="95" t="s">
        <v>7</v>
      </c>
      <c r="AM287" s="90"/>
      <c r="AN287" s="90"/>
      <c r="AO287" s="90"/>
      <c r="AP287" s="90"/>
      <c r="AQ287" s="90"/>
      <c r="AR287" s="90"/>
      <c r="AS287" s="90"/>
      <c r="AT287" s="90"/>
      <c r="AU287" s="90"/>
      <c r="AV287" s="91"/>
      <c r="AX287" s="92"/>
    </row>
    <row r="288" customFormat="false" ht="15.65" hidden="false" customHeight="false" outlineLevel="0" collapsed="false">
      <c r="C288" s="72" t="n">
        <f aca="false">COUNTIFS($D$6:D288,"&lt;&gt;"&amp;"")</f>
        <v>283</v>
      </c>
      <c r="D288" s="73" t="s">
        <v>12</v>
      </c>
      <c r="E288" s="76" t="str">
        <f aca="false">
IF($D288="정상",INDEX(임대자산!$D$3:$R$3000,MATCH($F288,임대자산!$I$3:$I$3000,0),MATCH(E$3,임대자산!$D$3:$R$3,0)),
IF($D288="폐업",INDEX(폐업정보!$D$3:$R$3000,MATCH($F288,폐업정보!$I$3:$I$3000,0),MATCH(E$3,폐업정보!$D$3:$R$3,0)),
"Error"))</f>
        <v>강원</v>
      </c>
      <c r="F28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B0283</v>
      </c>
      <c r="G288" s="76" t="str">
        <f aca="false">F288&amp;RANDBETWEEN(0,10)</f>
        <v>B02838</v>
      </c>
      <c r="H288" s="75" t="n">
        <f aca="false">
IF($D288="정상",INDEX(임대자산!$D$3:$R$3000,MATCH($F288,임대자산!$I$3:$I$3000,0),MATCH(H$4,임대자산!$D$3:$R$3,0)),
IF($D288="폐업",INDEX(폐업정보!$D$3:$R$3000,MATCH($F288,폐업정보!$I$3:$I$3000,0),MATCH(H$4,폐업정보!$D$3:$R$3,0)),
"Error"))</f>
        <v>45205</v>
      </c>
      <c r="I288" s="75" t="str">
        <f aca="false">
IF($D288="정상",INDEX(임대자산!$D$3:$R$3000,MATCH($F288,임대자산!$I$3:$I$3000,0),MATCH(I$4,임대자산!$D$3:$R$3,0)),
IF($D288="폐업",INDEX(폐업정보!$D$3:$R$3000,MATCH($F288,폐업정보!$I$3:$I$3000,0),MATCH(I$4,폐업정보!$D$3:$R$3,0)),
"Error"))</f>
        <v>A0283</v>
      </c>
      <c r="J288" s="75" t="str">
        <f aca="false">
IF($D288="정상",INDEX(임대자산!$D$3:$R$3000,MATCH($F288,임대자산!$I$3:$I$3000,0),MATCH(J$4,임대자산!$D$3:$R$3,0)),
IF($D288="폐업",INDEX(폐업정보!$D$3:$R$3000,MATCH($F288,폐업정보!$I$3:$I$3000,0),MATCH(J$4,폐업정보!$D$3:$R$3,0)),
"Error"))</f>
        <v>3185600000</v>
      </c>
      <c r="K288" s="75" t="str">
        <f aca="false">
IF($D288="정상",INDEX(임대자산!$D$3:$R$3000,MATCH($F288,임대자산!$I$3:$I$3000,0),MATCH(K$4,임대자산!$D$3:$R$3,0)),
IF($D288="폐업",INDEX(폐업정보!$D$3:$R$3000,MATCH($F288,폐업정보!$I$3:$I$3000,0),MATCH(K$4,폐업정보!$D$3:$R$3,0)),
"Error"))</f>
        <v>C0283</v>
      </c>
      <c r="L288" s="75" t="str">
        <f aca="false">
IF($D288="정상",INDEX(임대자산!$D$3:$R$3000,MATCH($F288,임대자산!$I$3:$I$3000,0),MATCH(L$4,임대자산!$D$3:$R$3,0)),
IF($D288="폐업",INDEX(폐업정보!$D$3:$R$3000,MATCH($F288,폐업정보!$I$3:$I$3000,0),MATCH(L$4,폐업정보!$D$3:$R$3,0)),
"Error"))</f>
        <v>D0283</v>
      </c>
      <c r="M288" s="76" t="s">
        <v>96</v>
      </c>
      <c r="N288" s="77"/>
      <c r="O288" s="78" t="s">
        <v>97</v>
      </c>
      <c r="P288" s="79" t="n">
        <f aca="false">COUNTIFS(임대자산!$I:$I,가맹점정보!F288,임대자산!$N:$N,가맹점정보!P$4)</f>
        <v>0</v>
      </c>
      <c r="Q288" s="80" t="n">
        <f aca="false">COUNTIFS(임대자산!$I:$I,가맹점정보!F288,임대자산!$N:$N,가맹점정보!Q$4)</f>
        <v>0</v>
      </c>
      <c r="R288" s="81" t="n">
        <f aca="false">COUNTIFS(임대자산!$I:$I,가맹점정보!F288,임대자산!$N:$N,가맹점정보!R$4)</f>
        <v>1</v>
      </c>
      <c r="S288" s="82" t="n">
        <v>55000</v>
      </c>
      <c r="T288" s="83" t="n">
        <v>0</v>
      </c>
      <c r="U288" s="80" t="n">
        <f aca="false">SUM(S288:T288)</f>
        <v>55000</v>
      </c>
      <c r="V288" s="84" t="s">
        <v>7</v>
      </c>
      <c r="W288" s="80" t="str">
        <f aca="true">
IF(D288="폐업","폐업",
IF(V288="면제","면제",
IF(AND(V288="정상",COUNTIFS(OFFSET(Y288,0,COUNTA(Y288:AV288)-1,1,-4),"미납")&gt;=3),"장기미납",
IF(AND(V288="정상",OFFSET(Y288,0,COUNTA(Y288:AV288)-1)&gt;=U288),"정상",
IF(AND(V288="정상",OFFSET(Y288,0,COUNTA(Y288:AV288)-1)=0),"정상",
"계약서 미작성")))))</f>
        <v>면제</v>
      </c>
      <c r="X288" s="81" t="str">
        <f aca="true">
IF(D288="폐업","폐업",
IF(AND(V288="정상",OFFSET(Y288,0,COUNTA(Y288:AV288)-1)="미납"),"미납",
IF(AND(V288="정상",OFFSET(Y288,0,COUNTA(Y288:AV288)-1)=0),"납부 시작 전",
IF(AND(V288="정상",OFFSET(Y288,0,COUNTA(Y288:AV288)-1)&gt;=U288),"정상",
IF(AND(V288="면제",OFFSET(Y288,0,COUNTA(Y288:AV288)-1)="면제"),"면제",
IF(AND(V288="면제",OFFSET(Y288,0,COUNTA(Y288:AV288)-1)=0),"면제",
"확인요청"))))))</f>
        <v>면제</v>
      </c>
      <c r="Y288" s="94" t="s">
        <v>7</v>
      </c>
      <c r="Z288" s="95" t="s">
        <v>7</v>
      </c>
      <c r="AA288" s="95" t="s">
        <v>7</v>
      </c>
      <c r="AB288" s="95" t="s">
        <v>7</v>
      </c>
      <c r="AC288" s="95" t="s">
        <v>7</v>
      </c>
      <c r="AD288" s="95" t="s">
        <v>7</v>
      </c>
      <c r="AE288" s="95" t="s">
        <v>7</v>
      </c>
      <c r="AF288" s="95" t="s">
        <v>7</v>
      </c>
      <c r="AG288" s="95" t="s">
        <v>7</v>
      </c>
      <c r="AH288" s="95" t="s">
        <v>7</v>
      </c>
      <c r="AI288" s="95" t="s">
        <v>7</v>
      </c>
      <c r="AJ288" s="96" t="s">
        <v>7</v>
      </c>
      <c r="AK288" s="97" t="s">
        <v>7</v>
      </c>
      <c r="AL288" s="95" t="s">
        <v>7</v>
      </c>
      <c r="AM288" s="90"/>
      <c r="AN288" s="90"/>
      <c r="AO288" s="90"/>
      <c r="AP288" s="90"/>
      <c r="AQ288" s="90"/>
      <c r="AR288" s="90"/>
      <c r="AS288" s="90"/>
      <c r="AT288" s="90"/>
      <c r="AU288" s="90"/>
      <c r="AV288" s="91"/>
      <c r="AX288" s="92"/>
    </row>
    <row r="289" customFormat="false" ht="15.65" hidden="false" customHeight="false" outlineLevel="0" collapsed="false">
      <c r="C289" s="72" t="n">
        <f aca="false">COUNTIFS($D$6:D289,"&lt;&gt;"&amp;"")</f>
        <v>284</v>
      </c>
      <c r="D289" s="73" t="s">
        <v>12</v>
      </c>
      <c r="E289" s="76" t="str">
        <f aca="false">
IF($D289="정상",INDEX(임대자산!$D$3:$R$3000,MATCH($F289,임대자산!$I$3:$I$3000,0),MATCH(E$3,임대자산!$D$3:$R$3,0)),
IF($D289="폐업",INDEX(폐업정보!$D$3:$R$3000,MATCH($F289,폐업정보!$I$3:$I$3000,0),MATCH(E$3,폐업정보!$D$3:$R$3,0)),
"Error"))</f>
        <v>강원</v>
      </c>
      <c r="F28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B0284</v>
      </c>
      <c r="G289" s="76" t="str">
        <f aca="false">F289&amp;RANDBETWEEN(0,10)</f>
        <v>B02840</v>
      </c>
      <c r="H289" s="75" t="n">
        <f aca="false">
IF($D289="정상",INDEX(임대자산!$D$3:$R$3000,MATCH($F289,임대자산!$I$3:$I$3000,0),MATCH(H$4,임대자산!$D$3:$R$3,0)),
IF($D289="폐업",INDEX(폐업정보!$D$3:$R$3000,MATCH($F289,폐업정보!$I$3:$I$3000,0),MATCH(H$4,폐업정보!$D$3:$R$3,0)),
"Error"))</f>
        <v>45209</v>
      </c>
      <c r="I289" s="75" t="str">
        <f aca="false">
IF($D289="정상",INDEX(임대자산!$D$3:$R$3000,MATCH($F289,임대자산!$I$3:$I$3000,0),MATCH(I$4,임대자산!$D$3:$R$3,0)),
IF($D289="폐업",INDEX(폐업정보!$D$3:$R$3000,MATCH($F289,폐업정보!$I$3:$I$3000,0),MATCH(I$4,폐업정보!$D$3:$R$3,0)),
"Error"))</f>
        <v>A0284</v>
      </c>
      <c r="J289" s="75" t="str">
        <f aca="false">
IF($D289="정상",INDEX(임대자산!$D$3:$R$3000,MATCH($F289,임대자산!$I$3:$I$3000,0),MATCH(J$4,임대자산!$D$3:$R$3,0)),
IF($D289="폐업",INDEX(폐업정보!$D$3:$R$3000,MATCH($F289,폐업정보!$I$3:$I$3000,0),MATCH(J$4,폐업정보!$D$3:$R$3,0)),
"Error"))</f>
        <v>6347500000</v>
      </c>
      <c r="K289" s="75" t="str">
        <f aca="false">
IF($D289="정상",INDEX(임대자산!$D$3:$R$3000,MATCH($F289,임대자산!$I$3:$I$3000,0),MATCH(K$4,임대자산!$D$3:$R$3,0)),
IF($D289="폐업",INDEX(폐업정보!$D$3:$R$3000,MATCH($F289,폐업정보!$I$3:$I$3000,0),MATCH(K$4,폐업정보!$D$3:$R$3,0)),
"Error"))</f>
        <v>C0284</v>
      </c>
      <c r="L289" s="75" t="str">
        <f aca="false">
IF($D289="정상",INDEX(임대자산!$D$3:$R$3000,MATCH($F289,임대자산!$I$3:$I$3000,0),MATCH(L$4,임대자산!$D$3:$R$3,0)),
IF($D289="폐업",INDEX(폐업정보!$D$3:$R$3000,MATCH($F289,폐업정보!$I$3:$I$3000,0),MATCH(L$4,폐업정보!$D$3:$R$3,0)),
"Error"))</f>
        <v>D0284</v>
      </c>
      <c r="M289" s="76" t="s">
        <v>96</v>
      </c>
      <c r="N289" s="77"/>
      <c r="O289" s="78" t="s">
        <v>97</v>
      </c>
      <c r="P289" s="79" t="n">
        <f aca="false">COUNTIFS(임대자산!$I:$I,가맹점정보!F289,임대자산!$N:$N,가맹점정보!P$4)</f>
        <v>0</v>
      </c>
      <c r="Q289" s="80" t="n">
        <f aca="false">COUNTIFS(임대자산!$I:$I,가맹점정보!F289,임대자산!$N:$N,가맹점정보!Q$4)</f>
        <v>0</v>
      </c>
      <c r="R289" s="81" t="n">
        <f aca="false">COUNTIFS(임대자산!$I:$I,가맹점정보!F289,임대자산!$N:$N,가맹점정보!R$4)</f>
        <v>1</v>
      </c>
      <c r="S289" s="82" t="n">
        <v>55000</v>
      </c>
      <c r="T289" s="83" t="n">
        <v>0</v>
      </c>
      <c r="U289" s="80" t="n">
        <f aca="false">SUM(S289:T289)</f>
        <v>55000</v>
      </c>
      <c r="V289" s="84" t="s">
        <v>12</v>
      </c>
      <c r="W289" s="80" t="e">
        <f aca="true">
IF(D289="폐업","폐업",
IF(V289="면제","면제",
IF(AND(V289="정상",COUNTIFS(OFFSET(Y289,0,COUNTA(Y289:AV289)-1,1,-4),"미납")&gt;=3),"장기미납",
IF(AND(V289="정상",OFFSET(Y289,0,COUNTA(Y289:AV289)-1)&gt;=U289),"정상",
IF(AND(V289="정상",OFFSET(Y289,0,COUNTA(Y289:AV289)-1)=0),"정상",
"계약서 미작성")))))</f>
        <v>#VALUE!</v>
      </c>
      <c r="X289" s="81" t="str">
        <f aca="true">
IF(D289="폐업","폐업",
IF(AND(V289="정상",OFFSET(Y289,0,COUNTA(Y289:AV289)-1)="미납"),"미납",
IF(AND(V289="정상",OFFSET(Y289,0,COUNTA(Y289:AV289)-1)=0),"납부 시작 전",
IF(AND(V289="정상",OFFSET(Y289,0,COUNTA(Y289:AV289)-1)&gt;=U289),"정상",
IF(AND(V289="면제",OFFSET(Y289,0,COUNTA(Y289:AV289)-1)="면제"),"면제",
IF(AND(V289="면제",OFFSET(Y289,0,COUNTA(Y289:AV289)-1)=0),"면제",
"확인요청"))))))</f>
        <v>정상</v>
      </c>
      <c r="Y289" s="93" t="n">
        <v>55000</v>
      </c>
      <c r="Z289" s="90" t="n">
        <v>55000</v>
      </c>
      <c r="AA289" s="90" t="n">
        <v>55000</v>
      </c>
      <c r="AB289" s="90" t="n">
        <v>55000</v>
      </c>
      <c r="AC289" s="90" t="n">
        <v>55000</v>
      </c>
      <c r="AD289" s="90" t="n">
        <v>55000</v>
      </c>
      <c r="AE289" s="90" t="n">
        <v>55000</v>
      </c>
      <c r="AF289" s="90" t="n">
        <v>55000</v>
      </c>
      <c r="AG289" s="90" t="n">
        <v>55000</v>
      </c>
      <c r="AH289" s="90" t="n">
        <v>55000</v>
      </c>
      <c r="AI289" s="90" t="n">
        <v>55000</v>
      </c>
      <c r="AJ289" s="91" t="n">
        <v>55000</v>
      </c>
      <c r="AK289" s="89" t="n">
        <v>55000</v>
      </c>
      <c r="AL289" s="90" t="n">
        <v>55000</v>
      </c>
      <c r="AM289" s="90"/>
      <c r="AN289" s="90"/>
      <c r="AO289" s="90"/>
      <c r="AP289" s="90"/>
      <c r="AQ289" s="90"/>
      <c r="AR289" s="90"/>
      <c r="AS289" s="90"/>
      <c r="AT289" s="90"/>
      <c r="AU289" s="90"/>
      <c r="AV289" s="91"/>
      <c r="AX289" s="92"/>
    </row>
    <row r="290" customFormat="false" ht="15.65" hidden="false" customHeight="false" outlineLevel="0" collapsed="false">
      <c r="C290" s="72" t="n">
        <f aca="false">COUNTIFS($D$6:D290,"&lt;&gt;"&amp;"")</f>
        <v>285</v>
      </c>
      <c r="D290" s="73" t="s">
        <v>12</v>
      </c>
      <c r="E290" s="76" t="str">
        <f aca="false">
IF($D290="정상",INDEX(임대자산!$D$3:$R$3000,MATCH($F290,임대자산!$I$3:$I$3000,0),MATCH(E$3,임대자산!$D$3:$R$3,0)),
IF($D290="폐업",INDEX(폐업정보!$D$3:$R$3000,MATCH($F290,폐업정보!$I$3:$I$3000,0),MATCH(E$3,폐업정보!$D$3:$R$3,0)),
"Error"))</f>
        <v>전라</v>
      </c>
      <c r="F29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B0285</v>
      </c>
      <c r="G290" s="76" t="str">
        <f aca="false">F290&amp;RANDBETWEEN(0,10)</f>
        <v>B02859</v>
      </c>
      <c r="H290" s="75" t="n">
        <f aca="false">
IF($D290="정상",INDEX(임대자산!$D$3:$R$3000,MATCH($F290,임대자산!$I$3:$I$3000,0),MATCH(H$4,임대자산!$D$3:$R$3,0)),
IF($D290="폐업",INDEX(폐업정보!$D$3:$R$3000,MATCH($F290,폐업정보!$I$3:$I$3000,0),MATCH(H$4,폐업정보!$D$3:$R$3,0)),
"Error"))</f>
        <v>45210</v>
      </c>
      <c r="I290" s="75" t="str">
        <f aca="false">
IF($D290="정상",INDEX(임대자산!$D$3:$R$3000,MATCH($F290,임대자산!$I$3:$I$3000,0),MATCH(I$4,임대자산!$D$3:$R$3,0)),
IF($D290="폐업",INDEX(폐업정보!$D$3:$R$3000,MATCH($F290,폐업정보!$I$3:$I$3000,0),MATCH(I$4,폐업정보!$D$3:$R$3,0)),
"Error"))</f>
        <v>A0285</v>
      </c>
      <c r="J290" s="75" t="str">
        <f aca="false">
IF($D290="정상",INDEX(임대자산!$D$3:$R$3000,MATCH($F290,임대자산!$I$3:$I$3000,0),MATCH(J$4,임대자산!$D$3:$R$3,0)),
IF($D290="폐업",INDEX(폐업정보!$D$3:$R$3000,MATCH($F290,폐업정보!$I$3:$I$3000,0),MATCH(J$4,폐업정보!$D$3:$R$3,0)),
"Error"))</f>
        <v>8593900000</v>
      </c>
      <c r="K290" s="75" t="str">
        <f aca="false">
IF($D290="정상",INDEX(임대자산!$D$3:$R$3000,MATCH($F290,임대자산!$I$3:$I$3000,0),MATCH(K$4,임대자산!$D$3:$R$3,0)),
IF($D290="폐업",INDEX(폐업정보!$D$3:$R$3000,MATCH($F290,폐업정보!$I$3:$I$3000,0),MATCH(K$4,폐업정보!$D$3:$R$3,0)),
"Error"))</f>
        <v>C0285</v>
      </c>
      <c r="L290" s="75" t="str">
        <f aca="false">
IF($D290="정상",INDEX(임대자산!$D$3:$R$3000,MATCH($F290,임대자산!$I$3:$I$3000,0),MATCH(L$4,임대자산!$D$3:$R$3,0)),
IF($D290="폐업",INDEX(폐업정보!$D$3:$R$3000,MATCH($F290,폐업정보!$I$3:$I$3000,0),MATCH(L$4,폐업정보!$D$3:$R$3,0)),
"Error"))</f>
        <v>D0285</v>
      </c>
      <c r="M290" s="76" t="s">
        <v>96</v>
      </c>
      <c r="N290" s="77"/>
      <c r="O290" s="78" t="s">
        <v>97</v>
      </c>
      <c r="P290" s="79" t="n">
        <f aca="false">COUNTIFS(임대자산!$I:$I,가맹점정보!F290,임대자산!$N:$N,가맹점정보!P$4)</f>
        <v>0</v>
      </c>
      <c r="Q290" s="80" t="n">
        <f aca="false">COUNTIFS(임대자산!$I:$I,가맹점정보!F290,임대자산!$N:$N,가맹점정보!Q$4)</f>
        <v>0</v>
      </c>
      <c r="R290" s="81" t="n">
        <f aca="false">COUNTIFS(임대자산!$I:$I,가맹점정보!F290,임대자산!$N:$N,가맹점정보!R$4)</f>
        <v>1</v>
      </c>
      <c r="S290" s="82" t="n">
        <v>55000</v>
      </c>
      <c r="T290" s="83" t="n">
        <v>0</v>
      </c>
      <c r="U290" s="80" t="n">
        <f aca="false">SUM(S290:T290)</f>
        <v>55000</v>
      </c>
      <c r="V290" s="84" t="s">
        <v>12</v>
      </c>
      <c r="W290" s="80" t="e">
        <f aca="true">
IF(D290="폐업","폐업",
IF(V290="면제","면제",
IF(AND(V290="정상",COUNTIFS(OFFSET(Y290,0,COUNTA(Y290:AV290)-1,1,-4),"미납")&gt;=3),"장기미납",
IF(AND(V290="정상",OFFSET(Y290,0,COUNTA(Y290:AV290)-1)&gt;=U290),"정상",
IF(AND(V290="정상",OFFSET(Y290,0,COUNTA(Y290:AV290)-1)=0),"정상",
"계약서 미작성")))))</f>
        <v>#VALUE!</v>
      </c>
      <c r="X290" s="81" t="str">
        <f aca="true">
IF(D290="폐업","폐업",
IF(AND(V290="정상",OFFSET(Y290,0,COUNTA(Y290:AV290)-1)="미납"),"미납",
IF(AND(V290="정상",OFFSET(Y290,0,COUNTA(Y290:AV290)-1)=0),"납부 시작 전",
IF(AND(V290="정상",OFFSET(Y290,0,COUNTA(Y290:AV290)-1)&gt;=U290),"정상",
IF(AND(V290="면제",OFFSET(Y290,0,COUNTA(Y290:AV290)-1)="면제"),"면제",
IF(AND(V290="면제",OFFSET(Y290,0,COUNTA(Y290:AV290)-1)=0),"면제",
"확인요청"))))))</f>
        <v>정상</v>
      </c>
      <c r="Y290" s="93" t="n">
        <v>55000</v>
      </c>
      <c r="Z290" s="90" t="n">
        <v>55000</v>
      </c>
      <c r="AA290" s="90" t="n">
        <v>55000</v>
      </c>
      <c r="AB290" s="90" t="n">
        <v>55000</v>
      </c>
      <c r="AC290" s="90" t="n">
        <v>55000</v>
      </c>
      <c r="AD290" s="90" t="n">
        <v>55000</v>
      </c>
      <c r="AE290" s="90" t="n">
        <v>55000</v>
      </c>
      <c r="AF290" s="90" t="n">
        <v>55000</v>
      </c>
      <c r="AG290" s="90" t="n">
        <v>55000</v>
      </c>
      <c r="AH290" s="90" t="n">
        <v>55000</v>
      </c>
      <c r="AI290" s="90" t="n">
        <v>55000</v>
      </c>
      <c r="AJ290" s="91" t="n">
        <v>55000</v>
      </c>
      <c r="AK290" s="89" t="n">
        <v>55000</v>
      </c>
      <c r="AL290" s="90" t="n">
        <v>55000</v>
      </c>
      <c r="AM290" s="90"/>
      <c r="AN290" s="90"/>
      <c r="AO290" s="90"/>
      <c r="AP290" s="90"/>
      <c r="AQ290" s="90"/>
      <c r="AR290" s="90"/>
      <c r="AS290" s="90"/>
      <c r="AT290" s="90"/>
      <c r="AU290" s="90"/>
      <c r="AV290" s="91"/>
      <c r="AX290" s="92"/>
    </row>
    <row r="291" customFormat="false" ht="15.65" hidden="false" customHeight="false" outlineLevel="0" collapsed="false">
      <c r="C291" s="72" t="n">
        <f aca="false">COUNTIFS($D$6:D291,"&lt;&gt;"&amp;"")</f>
        <v>286</v>
      </c>
      <c r="D291" s="73" t="s">
        <v>12</v>
      </c>
      <c r="E291" s="76" t="str">
        <f aca="false">
IF($D291="정상",INDEX(임대자산!$D$3:$R$3000,MATCH($F291,임대자산!$I$3:$I$3000,0),MATCH(E$3,임대자산!$D$3:$R$3,0)),
IF($D291="폐업",INDEX(폐업정보!$D$3:$R$3000,MATCH($F291,폐업정보!$I$3:$I$3000,0),MATCH(E$3,폐업정보!$D$3:$R$3,0)),
"Error"))</f>
        <v>전라</v>
      </c>
      <c r="F29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B0286</v>
      </c>
      <c r="G291" s="76" t="str">
        <f aca="false">F291&amp;RANDBETWEEN(0,10)</f>
        <v>B02867</v>
      </c>
      <c r="H291" s="75" t="n">
        <f aca="false">
IF($D291="정상",INDEX(임대자산!$D$3:$R$3000,MATCH($F291,임대자산!$I$3:$I$3000,0),MATCH(H$4,임대자산!$D$3:$R$3,0)),
IF($D291="폐업",INDEX(폐업정보!$D$3:$R$3000,MATCH($F291,폐업정보!$I$3:$I$3000,0),MATCH(H$4,폐업정보!$D$3:$R$3,0)),
"Error"))</f>
        <v>45210</v>
      </c>
      <c r="I291" s="75" t="str">
        <f aca="false">
IF($D291="정상",INDEX(임대자산!$D$3:$R$3000,MATCH($F291,임대자산!$I$3:$I$3000,0),MATCH(I$4,임대자산!$D$3:$R$3,0)),
IF($D291="폐업",INDEX(폐업정보!$D$3:$R$3000,MATCH($F291,폐업정보!$I$3:$I$3000,0),MATCH(I$4,폐업정보!$D$3:$R$3,0)),
"Error"))</f>
        <v>A0286</v>
      </c>
      <c r="J291" s="75" t="str">
        <f aca="false">
IF($D291="정상",INDEX(임대자산!$D$3:$R$3000,MATCH($F291,임대자산!$I$3:$I$3000,0),MATCH(J$4,임대자산!$D$3:$R$3,0)),
IF($D291="폐업",INDEX(폐업정보!$D$3:$R$3000,MATCH($F291,폐업정보!$I$3:$I$3000,0),MATCH(J$4,폐업정보!$D$3:$R$3,0)),
"Error"))</f>
        <v>7805500000</v>
      </c>
      <c r="K291" s="75" t="str">
        <f aca="false">
IF($D291="정상",INDEX(임대자산!$D$3:$R$3000,MATCH($F291,임대자산!$I$3:$I$3000,0),MATCH(K$4,임대자산!$D$3:$R$3,0)),
IF($D291="폐업",INDEX(폐업정보!$D$3:$R$3000,MATCH($F291,폐업정보!$I$3:$I$3000,0),MATCH(K$4,폐업정보!$D$3:$R$3,0)),
"Error"))</f>
        <v>C0286</v>
      </c>
      <c r="L291" s="75" t="str">
        <f aca="false">
IF($D291="정상",INDEX(임대자산!$D$3:$R$3000,MATCH($F291,임대자산!$I$3:$I$3000,0),MATCH(L$4,임대자산!$D$3:$R$3,0)),
IF($D291="폐업",INDEX(폐업정보!$D$3:$R$3000,MATCH($F291,폐업정보!$I$3:$I$3000,0),MATCH(L$4,폐업정보!$D$3:$R$3,0)),
"Error"))</f>
        <v>D0286</v>
      </c>
      <c r="M291" s="76" t="s">
        <v>96</v>
      </c>
      <c r="N291" s="77"/>
      <c r="O291" s="78" t="s">
        <v>97</v>
      </c>
      <c r="P291" s="79" t="n">
        <f aca="false">COUNTIFS(임대자산!$I:$I,가맹점정보!F291,임대자산!$N:$N,가맹점정보!P$4)</f>
        <v>0</v>
      </c>
      <c r="Q291" s="80" t="n">
        <f aca="false">COUNTIFS(임대자산!$I:$I,가맹점정보!F291,임대자산!$N:$N,가맹점정보!Q$4)</f>
        <v>0</v>
      </c>
      <c r="R291" s="81" t="n">
        <f aca="false">COUNTIFS(임대자산!$I:$I,가맹점정보!F291,임대자산!$N:$N,가맹점정보!R$4)</f>
        <v>1</v>
      </c>
      <c r="S291" s="82" t="n">
        <v>88000</v>
      </c>
      <c r="T291" s="83" t="n">
        <v>0</v>
      </c>
      <c r="U291" s="80" t="n">
        <f aca="false">SUM(S291:T291)</f>
        <v>88000</v>
      </c>
      <c r="V291" s="84" t="s">
        <v>7</v>
      </c>
      <c r="W291" s="80" t="str">
        <f aca="true">
IF(D291="폐업","폐업",
IF(V291="면제","면제",
IF(AND(V291="정상",COUNTIFS(OFFSET(Y291,0,COUNTA(Y291:AV291)-1,1,-4),"미납")&gt;=3),"장기미납",
IF(AND(V291="정상",OFFSET(Y291,0,COUNTA(Y291:AV291)-1)&gt;=U291),"정상",
IF(AND(V291="정상",OFFSET(Y291,0,COUNTA(Y291:AV291)-1)=0),"정상",
"계약서 미작성")))))</f>
        <v>면제</v>
      </c>
      <c r="X291" s="81" t="str">
        <f aca="true">
IF(D291="폐업","폐업",
IF(AND(V291="정상",OFFSET(Y291,0,COUNTA(Y291:AV291)-1)="미납"),"미납",
IF(AND(V291="정상",OFFSET(Y291,0,COUNTA(Y291:AV291)-1)=0),"납부 시작 전",
IF(AND(V291="정상",OFFSET(Y291,0,COUNTA(Y291:AV291)-1)&gt;=U291),"정상",
IF(AND(V291="면제",OFFSET(Y291,0,COUNTA(Y291:AV291)-1)="면제"),"면제",
IF(AND(V291="면제",OFFSET(Y291,0,COUNTA(Y291:AV291)-1)=0),"면제",
"확인요청"))))))</f>
        <v>면제</v>
      </c>
      <c r="Y291" s="94" t="s">
        <v>7</v>
      </c>
      <c r="Z291" s="95" t="s">
        <v>7</v>
      </c>
      <c r="AA291" s="95" t="s">
        <v>7</v>
      </c>
      <c r="AB291" s="95" t="s">
        <v>7</v>
      </c>
      <c r="AC291" s="95" t="s">
        <v>7</v>
      </c>
      <c r="AD291" s="95" t="s">
        <v>7</v>
      </c>
      <c r="AE291" s="95" t="s">
        <v>7</v>
      </c>
      <c r="AF291" s="95" t="s">
        <v>7</v>
      </c>
      <c r="AG291" s="95" t="s">
        <v>7</v>
      </c>
      <c r="AH291" s="95" t="s">
        <v>7</v>
      </c>
      <c r="AI291" s="95" t="s">
        <v>7</v>
      </c>
      <c r="AJ291" s="96" t="s">
        <v>7</v>
      </c>
      <c r="AK291" s="97" t="s">
        <v>7</v>
      </c>
      <c r="AL291" s="95" t="s">
        <v>7</v>
      </c>
      <c r="AM291" s="90"/>
      <c r="AN291" s="90"/>
      <c r="AO291" s="90"/>
      <c r="AP291" s="90"/>
      <c r="AQ291" s="90"/>
      <c r="AR291" s="90"/>
      <c r="AS291" s="90"/>
      <c r="AT291" s="90"/>
      <c r="AU291" s="90"/>
      <c r="AV291" s="91"/>
      <c r="AX291" s="92"/>
    </row>
    <row r="292" customFormat="false" ht="15.65" hidden="false" customHeight="false" outlineLevel="0" collapsed="false">
      <c r="C292" s="72" t="n">
        <f aca="false">COUNTIFS($D$6:D292,"&lt;&gt;"&amp;"")</f>
        <v>287</v>
      </c>
      <c r="D292" s="73" t="s">
        <v>12</v>
      </c>
      <c r="E292" s="76" t="str">
        <f aca="false">
IF($D292="정상",INDEX(임대자산!$D$3:$R$3000,MATCH($F292,임대자산!$I$3:$I$3000,0),MATCH(E$3,임대자산!$D$3:$R$3,0)),
IF($D292="폐업",INDEX(폐업정보!$D$3:$R$3000,MATCH($F292,폐업정보!$I$3:$I$3000,0),MATCH(E$3,폐업정보!$D$3:$R$3,0)),
"Error"))</f>
        <v>서울</v>
      </c>
      <c r="F29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B0287</v>
      </c>
      <c r="G292" s="76" t="str">
        <f aca="false">F292&amp;RANDBETWEEN(0,10)</f>
        <v>B02871</v>
      </c>
      <c r="H292" s="75" t="n">
        <f aca="false">
IF($D292="정상",INDEX(임대자산!$D$3:$R$3000,MATCH($F292,임대자산!$I$3:$I$3000,0),MATCH(H$4,임대자산!$D$3:$R$3,0)),
IF($D292="폐업",INDEX(폐업정보!$D$3:$R$3000,MATCH($F292,폐업정보!$I$3:$I$3000,0),MATCH(H$4,폐업정보!$D$3:$R$3,0)),
"Error"))</f>
        <v>45189</v>
      </c>
      <c r="I292" s="75" t="str">
        <f aca="false">
IF($D292="정상",INDEX(임대자산!$D$3:$R$3000,MATCH($F292,임대자산!$I$3:$I$3000,0),MATCH(I$4,임대자산!$D$3:$R$3,0)),
IF($D292="폐업",INDEX(폐업정보!$D$3:$R$3000,MATCH($F292,폐업정보!$I$3:$I$3000,0),MATCH(I$4,폐업정보!$D$3:$R$3,0)),
"Error"))</f>
        <v>A0287</v>
      </c>
      <c r="J292" s="75" t="str">
        <f aca="false">
IF($D292="정상",INDEX(임대자산!$D$3:$R$3000,MATCH($F292,임대자산!$I$3:$I$3000,0),MATCH(J$4,임대자산!$D$3:$R$3,0)),
IF($D292="폐업",INDEX(폐업정보!$D$3:$R$3000,MATCH($F292,폐업정보!$I$3:$I$3000,0),MATCH(J$4,폐업정보!$D$3:$R$3,0)),
"Error"))</f>
        <v>2497500000</v>
      </c>
      <c r="K292" s="75" t="str">
        <f aca="false">
IF($D292="정상",INDEX(임대자산!$D$3:$R$3000,MATCH($F292,임대자산!$I$3:$I$3000,0),MATCH(K$4,임대자산!$D$3:$R$3,0)),
IF($D292="폐업",INDEX(폐업정보!$D$3:$R$3000,MATCH($F292,폐업정보!$I$3:$I$3000,0),MATCH(K$4,폐업정보!$D$3:$R$3,0)),
"Error"))</f>
        <v>C0287</v>
      </c>
      <c r="L292" s="75" t="str">
        <f aca="false">
IF($D292="정상",INDEX(임대자산!$D$3:$R$3000,MATCH($F292,임대자산!$I$3:$I$3000,0),MATCH(L$4,임대자산!$D$3:$R$3,0)),
IF($D292="폐업",INDEX(폐업정보!$D$3:$R$3000,MATCH($F292,폐업정보!$I$3:$I$3000,0),MATCH(L$4,폐업정보!$D$3:$R$3,0)),
"Error"))</f>
        <v>D0287</v>
      </c>
      <c r="M292" s="76" t="s">
        <v>96</v>
      </c>
      <c r="N292" s="77"/>
      <c r="O292" s="78" t="s">
        <v>97</v>
      </c>
      <c r="P292" s="79" t="n">
        <f aca="false">COUNTIFS(임대자산!$I:$I,가맹점정보!F292,임대자산!$N:$N,가맹점정보!P$4)</f>
        <v>0</v>
      </c>
      <c r="Q292" s="80" t="n">
        <f aca="false">COUNTIFS(임대자산!$I:$I,가맹점정보!F292,임대자산!$N:$N,가맹점정보!Q$4)</f>
        <v>0</v>
      </c>
      <c r="R292" s="81" t="n">
        <f aca="false">COUNTIFS(임대자산!$I:$I,가맹점정보!F292,임대자산!$N:$N,가맹점정보!R$4)</f>
        <v>1</v>
      </c>
      <c r="S292" s="82" t="n">
        <v>55000</v>
      </c>
      <c r="T292" s="83" t="n">
        <v>0</v>
      </c>
      <c r="U292" s="80" t="n">
        <f aca="false">SUM(S292:T292)</f>
        <v>55000</v>
      </c>
      <c r="V292" s="84" t="s">
        <v>12</v>
      </c>
      <c r="W292" s="80" t="e">
        <f aca="true">
IF(D292="폐업","폐업",
IF(V292="면제","면제",
IF(AND(V292="정상",COUNTIFS(OFFSET(Y292,0,COUNTA(Y292:AV292)-1,1,-4),"미납")&gt;=3),"장기미납",
IF(AND(V292="정상",OFFSET(Y292,0,COUNTA(Y292:AV292)-1)&gt;=U292),"정상",
IF(AND(V292="정상",OFFSET(Y292,0,COUNTA(Y292:AV292)-1)=0),"정상",
"계약서 미작성")))))</f>
        <v>#VALUE!</v>
      </c>
      <c r="X292" s="81" t="str">
        <f aca="true">
IF(D292="폐업","폐업",
IF(AND(V292="정상",OFFSET(Y292,0,COUNTA(Y292:AV292)-1)="미납"),"미납",
IF(AND(V292="정상",OFFSET(Y292,0,COUNTA(Y292:AV292)-1)=0),"납부 시작 전",
IF(AND(V292="정상",OFFSET(Y292,0,COUNTA(Y292:AV292)-1)&gt;=U292),"정상",
IF(AND(V292="면제",OFFSET(Y292,0,COUNTA(Y292:AV292)-1)="면제"),"면제",
IF(AND(V292="면제",OFFSET(Y292,0,COUNTA(Y292:AV292)-1)=0),"면제",
"확인요청"))))))</f>
        <v>정상</v>
      </c>
      <c r="Y292" s="93" t="n">
        <v>55000</v>
      </c>
      <c r="Z292" s="90" t="n">
        <v>55000</v>
      </c>
      <c r="AA292" s="90" t="n">
        <v>55000</v>
      </c>
      <c r="AB292" s="90" t="n">
        <v>55000</v>
      </c>
      <c r="AC292" s="90" t="n">
        <v>55000</v>
      </c>
      <c r="AD292" s="90" t="n">
        <v>55000</v>
      </c>
      <c r="AE292" s="90" t="n">
        <v>55000</v>
      </c>
      <c r="AF292" s="90" t="n">
        <v>55000</v>
      </c>
      <c r="AG292" s="90" t="n">
        <v>55000</v>
      </c>
      <c r="AH292" s="90" t="n">
        <v>55000</v>
      </c>
      <c r="AI292" s="90" t="n">
        <v>55000</v>
      </c>
      <c r="AJ292" s="91" t="n">
        <v>55000</v>
      </c>
      <c r="AK292" s="89" t="n">
        <v>55000</v>
      </c>
      <c r="AL292" s="90" t="n">
        <v>55000</v>
      </c>
      <c r="AM292" s="90"/>
      <c r="AN292" s="90"/>
      <c r="AO292" s="90"/>
      <c r="AP292" s="90"/>
      <c r="AQ292" s="90"/>
      <c r="AR292" s="90"/>
      <c r="AS292" s="90"/>
      <c r="AT292" s="90"/>
      <c r="AU292" s="90"/>
      <c r="AV292" s="91"/>
      <c r="AX292" s="92"/>
    </row>
    <row r="293" customFormat="false" ht="15.65" hidden="false" customHeight="false" outlineLevel="0" collapsed="false">
      <c r="C293" s="72" t="n">
        <f aca="false">COUNTIFS($D$6:D293,"&lt;&gt;"&amp;"")</f>
        <v>288</v>
      </c>
      <c r="D293" s="73" t="s">
        <v>12</v>
      </c>
      <c r="E293" s="76" t="str">
        <f aca="false">
IF($D293="정상",INDEX(임대자산!$D$3:$R$3000,MATCH($F293,임대자산!$I$3:$I$3000,0),MATCH(E$3,임대자산!$D$3:$R$3,0)),
IF($D293="폐업",INDEX(폐업정보!$D$3:$R$3000,MATCH($F293,폐업정보!$I$3:$I$3000,0),MATCH(E$3,폐업정보!$D$3:$R$3,0)),
"Error"))</f>
        <v>서울</v>
      </c>
      <c r="F29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B0288</v>
      </c>
      <c r="G293" s="76" t="str">
        <f aca="false">F293&amp;RANDBETWEEN(0,10)</f>
        <v>B02884</v>
      </c>
      <c r="H293" s="75" t="n">
        <f aca="false">
IF($D293="정상",INDEX(임대자산!$D$3:$R$3000,MATCH($F293,임대자산!$I$3:$I$3000,0),MATCH(H$4,임대자산!$D$3:$R$3,0)),
IF($D293="폐업",INDEX(폐업정보!$D$3:$R$3000,MATCH($F293,폐업정보!$I$3:$I$3000,0),MATCH(H$4,폐업정보!$D$3:$R$3,0)),
"Error"))</f>
        <v>45217</v>
      </c>
      <c r="I293" s="75" t="str">
        <f aca="false">
IF($D293="정상",INDEX(임대자산!$D$3:$R$3000,MATCH($F293,임대자산!$I$3:$I$3000,0),MATCH(I$4,임대자산!$D$3:$R$3,0)),
IF($D293="폐업",INDEX(폐업정보!$D$3:$R$3000,MATCH($F293,폐업정보!$I$3:$I$3000,0),MATCH(I$4,폐업정보!$D$3:$R$3,0)),
"Error"))</f>
        <v>A0288</v>
      </c>
      <c r="J293" s="75" t="str">
        <f aca="false">
IF($D293="정상",INDEX(임대자산!$D$3:$R$3000,MATCH($F293,임대자산!$I$3:$I$3000,0),MATCH(J$4,임대자산!$D$3:$R$3,0)),
IF($D293="폐업",INDEX(폐업정보!$D$3:$R$3000,MATCH($F293,폐업정보!$I$3:$I$3000,0),MATCH(J$4,폐업정보!$D$3:$R$3,0)),
"Error"))</f>
        <v>7932000000</v>
      </c>
      <c r="K293" s="75" t="str">
        <f aca="false">
IF($D293="정상",INDEX(임대자산!$D$3:$R$3000,MATCH($F293,임대자산!$I$3:$I$3000,0),MATCH(K$4,임대자산!$D$3:$R$3,0)),
IF($D293="폐업",INDEX(폐업정보!$D$3:$R$3000,MATCH($F293,폐업정보!$I$3:$I$3000,0),MATCH(K$4,폐업정보!$D$3:$R$3,0)),
"Error"))</f>
        <v>C0288</v>
      </c>
      <c r="L293" s="75" t="str">
        <f aca="false">
IF($D293="정상",INDEX(임대자산!$D$3:$R$3000,MATCH($F293,임대자산!$I$3:$I$3000,0),MATCH(L$4,임대자산!$D$3:$R$3,0)),
IF($D293="폐업",INDEX(폐업정보!$D$3:$R$3000,MATCH($F293,폐업정보!$I$3:$I$3000,0),MATCH(L$4,폐업정보!$D$3:$R$3,0)),
"Error"))</f>
        <v>D0288</v>
      </c>
      <c r="M293" s="76" t="s">
        <v>96</v>
      </c>
      <c r="N293" s="77"/>
      <c r="O293" s="78" t="s">
        <v>97</v>
      </c>
      <c r="P293" s="79" t="n">
        <f aca="false">COUNTIFS(임대자산!$I:$I,가맹점정보!F293,임대자산!$N:$N,가맹점정보!P$4)</f>
        <v>0</v>
      </c>
      <c r="Q293" s="80" t="n">
        <f aca="false">COUNTIFS(임대자산!$I:$I,가맹점정보!F293,임대자산!$N:$N,가맹점정보!Q$4)</f>
        <v>0</v>
      </c>
      <c r="R293" s="81" t="n">
        <f aca="false">COUNTIFS(임대자산!$I:$I,가맹점정보!F293,임대자산!$N:$N,가맹점정보!R$4)</f>
        <v>1</v>
      </c>
      <c r="S293" s="82" t="n">
        <v>55000</v>
      </c>
      <c r="T293" s="83" t="n">
        <v>0</v>
      </c>
      <c r="U293" s="80" t="n">
        <f aca="false">SUM(S293:T293)</f>
        <v>55000</v>
      </c>
      <c r="V293" s="84" t="s">
        <v>12</v>
      </c>
      <c r="W293" s="80" t="e">
        <f aca="true">
IF(D293="폐업","폐업",
IF(V293="면제","면제",
IF(AND(V293="정상",COUNTIFS(OFFSET(Y293,0,COUNTA(Y293:AV293)-1,1,-4),"미납")&gt;=3),"장기미납",
IF(AND(V293="정상",OFFSET(Y293,0,COUNTA(Y293:AV293)-1)&gt;=U293),"정상",
IF(AND(V293="정상",OFFSET(Y293,0,COUNTA(Y293:AV293)-1)=0),"정상",
"계약서 미작성")))))</f>
        <v>#VALUE!</v>
      </c>
      <c r="X293" s="81" t="str">
        <f aca="true">
IF(D293="폐업","폐업",
IF(AND(V293="정상",OFFSET(Y293,0,COUNTA(Y293:AV293)-1)="미납"),"미납",
IF(AND(V293="정상",OFFSET(Y293,0,COUNTA(Y293:AV293)-1)=0),"납부 시작 전",
IF(AND(V293="정상",OFFSET(Y293,0,COUNTA(Y293:AV293)-1)&gt;=U293),"정상",
IF(AND(V293="면제",OFFSET(Y293,0,COUNTA(Y293:AV293)-1)="면제"),"면제",
IF(AND(V293="면제",OFFSET(Y293,0,COUNTA(Y293:AV293)-1)=0),"면제",
"확인요청"))))))</f>
        <v>정상</v>
      </c>
      <c r="Y293" s="93" t="n">
        <v>55000</v>
      </c>
      <c r="Z293" s="90" t="n">
        <v>55000</v>
      </c>
      <c r="AA293" s="90" t="n">
        <v>55000</v>
      </c>
      <c r="AB293" s="90" t="n">
        <v>55000</v>
      </c>
      <c r="AC293" s="90" t="n">
        <v>55000</v>
      </c>
      <c r="AD293" s="90" t="n">
        <v>55000</v>
      </c>
      <c r="AE293" s="90" t="n">
        <v>55000</v>
      </c>
      <c r="AF293" s="90" t="n">
        <v>55000</v>
      </c>
      <c r="AG293" s="90" t="s">
        <v>100</v>
      </c>
      <c r="AH293" s="90" t="n">
        <v>110000</v>
      </c>
      <c r="AI293" s="90" t="n">
        <v>55000</v>
      </c>
      <c r="AJ293" s="91" t="n">
        <v>55000</v>
      </c>
      <c r="AK293" s="89" t="n">
        <v>55000</v>
      </c>
      <c r="AL293" s="90" t="n">
        <v>55000</v>
      </c>
      <c r="AM293" s="90"/>
      <c r="AN293" s="90"/>
      <c r="AO293" s="90"/>
      <c r="AP293" s="90"/>
      <c r="AQ293" s="90"/>
      <c r="AR293" s="90"/>
      <c r="AS293" s="90"/>
      <c r="AT293" s="90"/>
      <c r="AU293" s="90"/>
      <c r="AV293" s="91"/>
      <c r="AX293" s="92"/>
    </row>
    <row r="294" customFormat="false" ht="15.65" hidden="false" customHeight="false" outlineLevel="0" collapsed="false">
      <c r="C294" s="72" t="n">
        <f aca="false">COUNTIFS($D$6:D294,"&lt;&gt;"&amp;"")</f>
        <v>289</v>
      </c>
      <c r="D294" s="73" t="s">
        <v>12</v>
      </c>
      <c r="E294" s="76" t="str">
        <f aca="false">
IF($D294="정상",INDEX(임대자산!$D$3:$R$3000,MATCH($F294,임대자산!$I$3:$I$3000,0),MATCH(E$3,임대자산!$D$3:$R$3,0)),
IF($D294="폐업",INDEX(폐업정보!$D$3:$R$3000,MATCH($F294,폐업정보!$I$3:$I$3000,0),MATCH(E$3,폐업정보!$D$3:$R$3,0)),
"Error"))</f>
        <v>강원</v>
      </c>
      <c r="F29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B0289</v>
      </c>
      <c r="G294" s="76" t="str">
        <f aca="false">F294&amp;RANDBETWEEN(0,10)</f>
        <v>B02891</v>
      </c>
      <c r="H294" s="75" t="n">
        <f aca="false">
IF($D294="정상",INDEX(임대자산!$D$3:$R$3000,MATCH($F294,임대자산!$I$3:$I$3000,0),MATCH(H$4,임대자산!$D$3:$R$3,0)),
IF($D294="폐업",INDEX(폐업정보!$D$3:$R$3000,MATCH($F294,폐업정보!$I$3:$I$3000,0),MATCH(H$4,폐업정보!$D$3:$R$3,0)),
"Error"))</f>
        <v>45842</v>
      </c>
      <c r="I294" s="75" t="str">
        <f aca="false">
IF($D294="정상",INDEX(임대자산!$D$3:$R$3000,MATCH($F294,임대자산!$I$3:$I$3000,0),MATCH(I$4,임대자산!$D$3:$R$3,0)),
IF($D294="폐업",INDEX(폐업정보!$D$3:$R$3000,MATCH($F294,폐업정보!$I$3:$I$3000,0),MATCH(I$4,폐업정보!$D$3:$R$3,0)),
"Error"))</f>
        <v>A0289</v>
      </c>
      <c r="J294" s="75" t="str">
        <f aca="false">
IF($D294="정상",INDEX(임대자산!$D$3:$R$3000,MATCH($F294,임대자산!$I$3:$I$3000,0),MATCH(J$4,임대자산!$D$3:$R$3,0)),
IF($D294="폐업",INDEX(폐업정보!$D$3:$R$3000,MATCH($F294,폐업정보!$I$3:$I$3000,0),MATCH(J$4,폐업정보!$D$3:$R$3,0)),
"Error"))</f>
        <v>8093700000</v>
      </c>
      <c r="K294" s="75" t="str">
        <f aca="false">
IF($D294="정상",INDEX(임대자산!$D$3:$R$3000,MATCH($F294,임대자산!$I$3:$I$3000,0),MATCH(K$4,임대자산!$D$3:$R$3,0)),
IF($D294="폐업",INDEX(폐업정보!$D$3:$R$3000,MATCH($F294,폐업정보!$I$3:$I$3000,0),MATCH(K$4,폐업정보!$D$3:$R$3,0)),
"Error"))</f>
        <v>C0289</v>
      </c>
      <c r="L294" s="75" t="str">
        <f aca="false">
IF($D294="정상",INDEX(임대자산!$D$3:$R$3000,MATCH($F294,임대자산!$I$3:$I$3000,0),MATCH(L$4,임대자산!$D$3:$R$3,0)),
IF($D294="폐업",INDEX(폐업정보!$D$3:$R$3000,MATCH($F294,폐업정보!$I$3:$I$3000,0),MATCH(L$4,폐업정보!$D$3:$R$3,0)),
"Error"))</f>
        <v>D0289</v>
      </c>
      <c r="M294" s="76" t="s">
        <v>96</v>
      </c>
      <c r="N294" s="77"/>
      <c r="O294" s="78" t="s">
        <v>97</v>
      </c>
      <c r="P294" s="79" t="n">
        <f aca="false">COUNTIFS(임대자산!$I:$I,가맹점정보!F294,임대자산!$N:$N,가맹점정보!P$4)</f>
        <v>0</v>
      </c>
      <c r="Q294" s="80" t="n">
        <f aca="false">COUNTIFS(임대자산!$I:$I,가맹점정보!F294,임대자산!$N:$N,가맹점정보!Q$4)</f>
        <v>0</v>
      </c>
      <c r="R294" s="81" t="n">
        <f aca="false">COUNTIFS(임대자산!$I:$I,가맹점정보!F294,임대자산!$N:$N,가맹점정보!R$4)</f>
        <v>1</v>
      </c>
      <c r="S294" s="82" t="n">
        <v>55000</v>
      </c>
      <c r="T294" s="83" t="n">
        <v>0</v>
      </c>
      <c r="U294" s="80" t="n">
        <f aca="false">SUM(S294:T294)</f>
        <v>55000</v>
      </c>
      <c r="V294" s="84" t="s">
        <v>12</v>
      </c>
      <c r="W294" s="80" t="e">
        <f aca="true">
IF(D294="폐업","폐업",
IF(V294="면제","면제",
IF(AND(V294="정상",COUNTIFS(OFFSET(Y294,0,COUNTA(Y294:AV294)-1,1,-4),"미납")&gt;=3),"장기미납",
IF(AND(V294="정상",OFFSET(Y294,0,COUNTA(Y294:AV294)-1)&gt;=U294),"정상",
IF(AND(V294="정상",OFFSET(Y294,0,COUNTA(Y294:AV294)-1)=0),"정상",
"계약서 미작성")))))</f>
        <v>#VALUE!</v>
      </c>
      <c r="X294" s="81" t="str">
        <f aca="true">
IF(D294="폐업","폐업",
IF(AND(V294="정상",OFFSET(Y294,0,COUNTA(Y294:AV294)-1)="미납"),"미납",
IF(AND(V294="정상",OFFSET(Y294,0,COUNTA(Y294:AV294)-1)=0),"납부 시작 전",
IF(AND(V294="정상",OFFSET(Y294,0,COUNTA(Y294:AV294)-1)&gt;=U294),"정상",
IF(AND(V294="면제",OFFSET(Y294,0,COUNTA(Y294:AV294)-1)="면제"),"면제",
IF(AND(V294="면제",OFFSET(Y294,0,COUNTA(Y294:AV294)-1)=0),"면제",
"확인요청"))))))</f>
        <v>정상</v>
      </c>
      <c r="Y294" s="93" t="n">
        <v>55000</v>
      </c>
      <c r="Z294" s="90" t="n">
        <v>55000</v>
      </c>
      <c r="AA294" s="90" t="n">
        <v>55000</v>
      </c>
      <c r="AB294" s="90" t="n">
        <v>55000</v>
      </c>
      <c r="AC294" s="90" t="n">
        <v>55000</v>
      </c>
      <c r="AD294" s="90" t="n">
        <v>55000</v>
      </c>
      <c r="AE294" s="90" t="n">
        <v>55000</v>
      </c>
      <c r="AF294" s="90" t="n">
        <v>55000</v>
      </c>
      <c r="AG294" s="90" t="n">
        <v>55000</v>
      </c>
      <c r="AH294" s="90" t="n">
        <v>55000</v>
      </c>
      <c r="AI294" s="90" t="n">
        <v>55000</v>
      </c>
      <c r="AJ294" s="91" t="n">
        <v>55000</v>
      </c>
      <c r="AK294" s="89" t="n">
        <v>55000</v>
      </c>
      <c r="AL294" s="90" t="n">
        <v>55000</v>
      </c>
      <c r="AM294" s="90"/>
      <c r="AN294" s="90"/>
      <c r="AO294" s="90"/>
      <c r="AP294" s="90"/>
      <c r="AQ294" s="90"/>
      <c r="AR294" s="90"/>
      <c r="AS294" s="90"/>
      <c r="AT294" s="90"/>
      <c r="AU294" s="90"/>
      <c r="AV294" s="91"/>
      <c r="AX294" s="92"/>
    </row>
    <row r="295" customFormat="false" ht="15.65" hidden="false" customHeight="false" outlineLevel="0" collapsed="false">
      <c r="C295" s="72" t="n">
        <f aca="false">COUNTIFS($D$6:D295,"&lt;&gt;"&amp;"")</f>
        <v>290</v>
      </c>
      <c r="D295" s="73" t="s">
        <v>12</v>
      </c>
      <c r="E295" s="76" t="str">
        <f aca="false">
IF($D295="정상",INDEX(임대자산!$D$3:$R$3000,MATCH($F295,임대자산!$I$3:$I$3000,0),MATCH(E$3,임대자산!$D$3:$R$3,0)),
IF($D295="폐업",INDEX(폐업정보!$D$3:$R$3000,MATCH($F295,폐업정보!$I$3:$I$3000,0),MATCH(E$3,폐업정보!$D$3:$R$3,0)),
"Error"))</f>
        <v>강원</v>
      </c>
      <c r="F29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B0290</v>
      </c>
      <c r="G295" s="76" t="str">
        <f aca="false">F295&amp;RANDBETWEEN(0,10)</f>
        <v>B02904</v>
      </c>
      <c r="H295" s="75" t="n">
        <f aca="false">
IF($D295="정상",INDEX(임대자산!$D$3:$R$3000,MATCH($F295,임대자산!$I$3:$I$3000,0),MATCH(H$4,임대자산!$D$3:$R$3,0)),
IF($D295="폐업",INDEX(폐업정보!$D$3:$R$3000,MATCH($F295,폐업정보!$I$3:$I$3000,0),MATCH(H$4,폐업정보!$D$3:$R$3,0)),
"Error"))</f>
        <v>45246</v>
      </c>
      <c r="I295" s="75" t="str">
        <f aca="false">
IF($D295="정상",INDEX(임대자산!$D$3:$R$3000,MATCH($F295,임대자산!$I$3:$I$3000,0),MATCH(I$4,임대자산!$D$3:$R$3,0)),
IF($D295="폐업",INDEX(폐업정보!$D$3:$R$3000,MATCH($F295,폐업정보!$I$3:$I$3000,0),MATCH(I$4,폐업정보!$D$3:$R$3,0)),
"Error"))</f>
        <v>A0290</v>
      </c>
      <c r="J295" s="75" t="str">
        <f aca="false">
IF($D295="정상",INDEX(임대자산!$D$3:$R$3000,MATCH($F295,임대자산!$I$3:$I$3000,0),MATCH(J$4,임대자산!$D$3:$R$3,0)),
IF($D295="폐업",INDEX(폐업정보!$D$3:$R$3000,MATCH($F295,폐업정보!$I$3:$I$3000,0),MATCH(J$4,폐업정보!$D$3:$R$3,0)),
"Error"))</f>
        <v>6359800000</v>
      </c>
      <c r="K295" s="75" t="str">
        <f aca="false">
IF($D295="정상",INDEX(임대자산!$D$3:$R$3000,MATCH($F295,임대자산!$I$3:$I$3000,0),MATCH(K$4,임대자산!$D$3:$R$3,0)),
IF($D295="폐업",INDEX(폐업정보!$D$3:$R$3000,MATCH($F295,폐업정보!$I$3:$I$3000,0),MATCH(K$4,폐업정보!$D$3:$R$3,0)),
"Error"))</f>
        <v>C0290</v>
      </c>
      <c r="L295" s="75" t="str">
        <f aca="false">
IF($D295="정상",INDEX(임대자산!$D$3:$R$3000,MATCH($F295,임대자산!$I$3:$I$3000,0),MATCH(L$4,임대자산!$D$3:$R$3,0)),
IF($D295="폐업",INDEX(폐업정보!$D$3:$R$3000,MATCH($F295,폐업정보!$I$3:$I$3000,0),MATCH(L$4,폐업정보!$D$3:$R$3,0)),
"Error"))</f>
        <v>D0290</v>
      </c>
      <c r="M295" s="76" t="s">
        <v>96</v>
      </c>
      <c r="N295" s="77"/>
      <c r="O295" s="78" t="s">
        <v>97</v>
      </c>
      <c r="P295" s="79" t="n">
        <f aca="false">COUNTIFS(임대자산!$I:$I,가맹점정보!F295,임대자산!$N:$N,가맹점정보!P$4)</f>
        <v>0</v>
      </c>
      <c r="Q295" s="80" t="n">
        <f aca="false">COUNTIFS(임대자산!$I:$I,가맹점정보!F295,임대자산!$N:$N,가맹점정보!Q$4)</f>
        <v>0</v>
      </c>
      <c r="R295" s="81" t="n">
        <f aca="false">COUNTIFS(임대자산!$I:$I,가맹점정보!F295,임대자산!$N:$N,가맹점정보!R$4)</f>
        <v>1</v>
      </c>
      <c r="S295" s="82" t="n">
        <v>55000</v>
      </c>
      <c r="T295" s="83" t="n">
        <v>0</v>
      </c>
      <c r="U295" s="80" t="n">
        <f aca="false">SUM(S295:T295)</f>
        <v>55000</v>
      </c>
      <c r="V295" s="84" t="s">
        <v>12</v>
      </c>
      <c r="W295" s="80" t="e">
        <f aca="true">
IF(D295="폐업","폐업",
IF(V295="면제","면제",
IF(AND(V295="정상",COUNTIFS(OFFSET(Y295,0,COUNTA(Y295:AV295)-1,1,-4),"미납")&gt;=3),"장기미납",
IF(AND(V295="정상",OFFSET(Y295,0,COUNTA(Y295:AV295)-1)&gt;=U295),"정상",
IF(AND(V295="정상",OFFSET(Y295,0,COUNTA(Y295:AV295)-1)=0),"정상",
"계약서 미작성")))))</f>
        <v>#VALUE!</v>
      </c>
      <c r="X295" s="81" t="str">
        <f aca="true">
IF(D295="폐업","폐업",
IF(AND(V295="정상",OFFSET(Y295,0,COUNTA(Y295:AV295)-1)="미납"),"미납",
IF(AND(V295="정상",OFFSET(Y295,0,COUNTA(Y295:AV295)-1)=0),"납부 시작 전",
IF(AND(V295="정상",OFFSET(Y295,0,COUNTA(Y295:AV295)-1)&gt;=U295),"정상",
IF(AND(V295="면제",OFFSET(Y295,0,COUNTA(Y295:AV295)-1)="면제"),"면제",
IF(AND(V295="면제",OFFSET(Y295,0,COUNTA(Y295:AV295)-1)=0),"면제",
"확인요청"))))))</f>
        <v>정상</v>
      </c>
      <c r="Y295" s="93" t="n">
        <v>55000</v>
      </c>
      <c r="Z295" s="90" t="n">
        <v>55000</v>
      </c>
      <c r="AA295" s="90" t="n">
        <v>55000</v>
      </c>
      <c r="AB295" s="90" t="n">
        <v>55000</v>
      </c>
      <c r="AC295" s="90" t="n">
        <v>55000</v>
      </c>
      <c r="AD295" s="90" t="n">
        <v>55000</v>
      </c>
      <c r="AE295" s="90" t="n">
        <v>55000</v>
      </c>
      <c r="AF295" s="90" t="n">
        <v>55000</v>
      </c>
      <c r="AG295" s="90" t="n">
        <v>55000</v>
      </c>
      <c r="AH295" s="90" t="n">
        <v>55000</v>
      </c>
      <c r="AI295" s="90" t="n">
        <v>55000</v>
      </c>
      <c r="AJ295" s="91" t="n">
        <v>55000</v>
      </c>
      <c r="AK295" s="89" t="n">
        <v>55000</v>
      </c>
      <c r="AL295" s="90" t="n">
        <v>55000</v>
      </c>
      <c r="AM295" s="90"/>
      <c r="AN295" s="90"/>
      <c r="AO295" s="90"/>
      <c r="AP295" s="90"/>
      <c r="AQ295" s="90"/>
      <c r="AR295" s="90"/>
      <c r="AS295" s="90"/>
      <c r="AT295" s="90"/>
      <c r="AU295" s="90"/>
      <c r="AV295" s="91"/>
      <c r="AX295" s="92"/>
    </row>
    <row r="296" customFormat="false" ht="15.65" hidden="false" customHeight="false" outlineLevel="0" collapsed="false">
      <c r="C296" s="72" t="n">
        <f aca="false">COUNTIFS($D$6:D296,"&lt;&gt;"&amp;"")</f>
        <v>291</v>
      </c>
      <c r="D296" s="73" t="s">
        <v>12</v>
      </c>
      <c r="E296" s="76" t="str">
        <f aca="false">
IF($D296="정상",INDEX(임대자산!$D$3:$R$3000,MATCH($F296,임대자산!$I$3:$I$3000,0),MATCH(E$3,임대자산!$D$3:$R$3,0)),
IF($D296="폐업",INDEX(폐업정보!$D$3:$R$3000,MATCH($F296,폐업정보!$I$3:$I$3000,0),MATCH(E$3,폐업정보!$D$3:$R$3,0)),
"Error"))</f>
        <v>강원</v>
      </c>
      <c r="F29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B0291</v>
      </c>
      <c r="G296" s="76" t="str">
        <f aca="false">F296&amp;RANDBETWEEN(0,10)</f>
        <v>B02917</v>
      </c>
      <c r="H296" s="75" t="n">
        <f aca="false">
IF($D296="정상",INDEX(임대자산!$D$3:$R$3000,MATCH($F296,임대자산!$I$3:$I$3000,0),MATCH(H$4,임대자산!$D$3:$R$3,0)),
IF($D296="폐업",INDEX(폐업정보!$D$3:$R$3000,MATCH($F296,폐업정보!$I$3:$I$3000,0),MATCH(H$4,폐업정보!$D$3:$R$3,0)),
"Error"))</f>
        <v>45246</v>
      </c>
      <c r="I296" s="75" t="str">
        <f aca="false">
IF($D296="정상",INDEX(임대자산!$D$3:$R$3000,MATCH($F296,임대자산!$I$3:$I$3000,0),MATCH(I$4,임대자산!$D$3:$R$3,0)),
IF($D296="폐업",INDEX(폐업정보!$D$3:$R$3000,MATCH($F296,폐업정보!$I$3:$I$3000,0),MATCH(I$4,폐업정보!$D$3:$R$3,0)),
"Error"))</f>
        <v>A0291</v>
      </c>
      <c r="J296" s="75" t="str">
        <f aca="false">
IF($D296="정상",INDEX(임대자산!$D$3:$R$3000,MATCH($F296,임대자산!$I$3:$I$3000,0),MATCH(J$4,임대자산!$D$3:$R$3,0)),
IF($D296="폐업",INDEX(폐업정보!$D$3:$R$3000,MATCH($F296,폐업정보!$I$3:$I$3000,0),MATCH(J$4,폐업정보!$D$3:$R$3,0)),
"Error"))</f>
        <v>8063900000</v>
      </c>
      <c r="K296" s="75" t="str">
        <f aca="false">
IF($D296="정상",INDEX(임대자산!$D$3:$R$3000,MATCH($F296,임대자산!$I$3:$I$3000,0),MATCH(K$4,임대자산!$D$3:$R$3,0)),
IF($D296="폐업",INDEX(폐업정보!$D$3:$R$3000,MATCH($F296,폐업정보!$I$3:$I$3000,0),MATCH(K$4,폐업정보!$D$3:$R$3,0)),
"Error"))</f>
        <v>C0291</v>
      </c>
      <c r="L296" s="75" t="str">
        <f aca="false">
IF($D296="정상",INDEX(임대자산!$D$3:$R$3000,MATCH($F296,임대자산!$I$3:$I$3000,0),MATCH(L$4,임대자산!$D$3:$R$3,0)),
IF($D296="폐업",INDEX(폐업정보!$D$3:$R$3000,MATCH($F296,폐업정보!$I$3:$I$3000,0),MATCH(L$4,폐업정보!$D$3:$R$3,0)),
"Error"))</f>
        <v>D0291</v>
      </c>
      <c r="M296" s="76" t="s">
        <v>96</v>
      </c>
      <c r="N296" s="77"/>
      <c r="O296" s="78" t="s">
        <v>97</v>
      </c>
      <c r="P296" s="79" t="n">
        <f aca="false">COUNTIFS(임대자산!$I:$I,가맹점정보!F296,임대자산!$N:$N,가맹점정보!P$4)</f>
        <v>0</v>
      </c>
      <c r="Q296" s="80" t="n">
        <f aca="false">COUNTIFS(임대자산!$I:$I,가맹점정보!F296,임대자산!$N:$N,가맹점정보!Q$4)</f>
        <v>0</v>
      </c>
      <c r="R296" s="81" t="n">
        <f aca="false">COUNTIFS(임대자산!$I:$I,가맹점정보!F296,임대자산!$N:$N,가맹점정보!R$4)</f>
        <v>1</v>
      </c>
      <c r="S296" s="82" t="n">
        <v>88000</v>
      </c>
      <c r="T296" s="83" t="n">
        <v>0</v>
      </c>
      <c r="U296" s="80" t="n">
        <f aca="false">SUM(S296:T296)</f>
        <v>88000</v>
      </c>
      <c r="V296" s="84" t="s">
        <v>7</v>
      </c>
      <c r="W296" s="80" t="str">
        <f aca="true">
IF(D296="폐업","폐업",
IF(V296="면제","면제",
IF(AND(V296="정상",COUNTIFS(OFFSET(Y296,0,COUNTA(Y296:AV296)-1,1,-4),"미납")&gt;=3),"장기미납",
IF(AND(V296="정상",OFFSET(Y296,0,COUNTA(Y296:AV296)-1)&gt;=U296),"정상",
IF(AND(V296="정상",OFFSET(Y296,0,COUNTA(Y296:AV296)-1)=0),"정상",
"계약서 미작성")))))</f>
        <v>면제</v>
      </c>
      <c r="X296" s="81" t="str">
        <f aca="true">
IF(D296="폐업","폐업",
IF(AND(V296="정상",OFFSET(Y296,0,COUNTA(Y296:AV296)-1)="미납"),"미납",
IF(AND(V296="정상",OFFSET(Y296,0,COUNTA(Y296:AV296)-1)=0),"납부 시작 전",
IF(AND(V296="정상",OFFSET(Y296,0,COUNTA(Y296:AV296)-1)&gt;=U296),"정상",
IF(AND(V296="면제",OFFSET(Y296,0,COUNTA(Y296:AV296)-1)="면제"),"면제",
IF(AND(V296="면제",OFFSET(Y296,0,COUNTA(Y296:AV296)-1)=0),"면제",
"확인요청"))))))</f>
        <v>면제</v>
      </c>
      <c r="Y296" s="94" t="s">
        <v>7</v>
      </c>
      <c r="Z296" s="95" t="s">
        <v>7</v>
      </c>
      <c r="AA296" s="95" t="s">
        <v>7</v>
      </c>
      <c r="AB296" s="95" t="s">
        <v>7</v>
      </c>
      <c r="AC296" s="95" t="s">
        <v>7</v>
      </c>
      <c r="AD296" s="95" t="s">
        <v>7</v>
      </c>
      <c r="AE296" s="95" t="s">
        <v>7</v>
      </c>
      <c r="AF296" s="95" t="s">
        <v>7</v>
      </c>
      <c r="AG296" s="95" t="s">
        <v>7</v>
      </c>
      <c r="AH296" s="95" t="s">
        <v>7</v>
      </c>
      <c r="AI296" s="95" t="s">
        <v>7</v>
      </c>
      <c r="AJ296" s="96" t="s">
        <v>7</v>
      </c>
      <c r="AK296" s="97" t="s">
        <v>7</v>
      </c>
      <c r="AL296" s="95" t="s">
        <v>7</v>
      </c>
      <c r="AM296" s="90"/>
      <c r="AN296" s="90"/>
      <c r="AO296" s="90"/>
      <c r="AP296" s="90"/>
      <c r="AQ296" s="90"/>
      <c r="AR296" s="90"/>
      <c r="AS296" s="90"/>
      <c r="AT296" s="90"/>
      <c r="AU296" s="90"/>
      <c r="AV296" s="91"/>
      <c r="AX296" s="92"/>
    </row>
    <row r="297" customFormat="false" ht="15.65" hidden="false" customHeight="false" outlineLevel="0" collapsed="false">
      <c r="C297" s="72" t="n">
        <f aca="false">COUNTIFS($D$6:D297,"&lt;&gt;"&amp;"")</f>
        <v>292</v>
      </c>
      <c r="D297" s="73" t="s">
        <v>12</v>
      </c>
      <c r="E297" s="76" t="str">
        <f aca="false">
IF($D297="정상",INDEX(임대자산!$D$3:$R$3000,MATCH($F297,임대자산!$I$3:$I$3000,0),MATCH(E$3,임대자산!$D$3:$R$3,0)),
IF($D297="폐업",INDEX(폐업정보!$D$3:$R$3000,MATCH($F297,폐업정보!$I$3:$I$3000,0),MATCH(E$3,폐업정보!$D$3:$R$3,0)),
"Error"))</f>
        <v>강원</v>
      </c>
      <c r="F29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B0292</v>
      </c>
      <c r="G297" s="76" t="str">
        <f aca="false">F297&amp;RANDBETWEEN(0,10)</f>
        <v>B02923</v>
      </c>
      <c r="H297" s="75" t="n">
        <f aca="false">
IF($D297="정상",INDEX(임대자산!$D$3:$R$3000,MATCH($F297,임대자산!$I$3:$I$3000,0),MATCH(H$4,임대자산!$D$3:$R$3,0)),
IF($D297="폐업",INDEX(폐업정보!$D$3:$R$3000,MATCH($F297,폐업정보!$I$3:$I$3000,0),MATCH(H$4,폐업정보!$D$3:$R$3,0)),
"Error"))</f>
        <v>45924</v>
      </c>
      <c r="I297" s="75" t="str">
        <f aca="false">
IF($D297="정상",INDEX(임대자산!$D$3:$R$3000,MATCH($F297,임대자산!$I$3:$I$3000,0),MATCH(I$4,임대자산!$D$3:$R$3,0)),
IF($D297="폐업",INDEX(폐업정보!$D$3:$R$3000,MATCH($F297,폐업정보!$I$3:$I$3000,0),MATCH(I$4,폐업정보!$D$3:$R$3,0)),
"Error"))</f>
        <v>A0292</v>
      </c>
      <c r="J297" s="75" t="str">
        <f aca="false">
IF($D297="정상",INDEX(임대자산!$D$3:$R$3000,MATCH($F297,임대자산!$I$3:$I$3000,0),MATCH(J$4,임대자산!$D$3:$R$3,0)),
IF($D297="폐업",INDEX(폐업정보!$D$3:$R$3000,MATCH($F297,폐업정보!$I$3:$I$3000,0),MATCH(J$4,폐업정보!$D$3:$R$3,0)),
"Error"))</f>
        <v>3582800000</v>
      </c>
      <c r="K297" s="75" t="str">
        <f aca="false">
IF($D297="정상",INDEX(임대자산!$D$3:$R$3000,MATCH($F297,임대자산!$I$3:$I$3000,0),MATCH(K$4,임대자산!$D$3:$R$3,0)),
IF($D297="폐업",INDEX(폐업정보!$D$3:$R$3000,MATCH($F297,폐업정보!$I$3:$I$3000,0),MATCH(K$4,폐업정보!$D$3:$R$3,0)),
"Error"))</f>
        <v>C0292</v>
      </c>
      <c r="L297" s="75" t="str">
        <f aca="false">
IF($D297="정상",INDEX(임대자산!$D$3:$R$3000,MATCH($F297,임대자산!$I$3:$I$3000,0),MATCH(L$4,임대자산!$D$3:$R$3,0)),
IF($D297="폐업",INDEX(폐업정보!$D$3:$R$3000,MATCH($F297,폐업정보!$I$3:$I$3000,0),MATCH(L$4,폐업정보!$D$3:$R$3,0)),
"Error"))</f>
        <v>D0292</v>
      </c>
      <c r="M297" s="76" t="s">
        <v>96</v>
      </c>
      <c r="N297" s="77"/>
      <c r="O297" s="78" t="s">
        <v>97</v>
      </c>
      <c r="P297" s="79" t="n">
        <f aca="false">COUNTIFS(임대자산!$I:$I,가맹점정보!F297,임대자산!$N:$N,가맹점정보!P$4)</f>
        <v>0</v>
      </c>
      <c r="Q297" s="80" t="n">
        <f aca="false">COUNTIFS(임대자산!$I:$I,가맹점정보!F297,임대자산!$N:$N,가맹점정보!Q$4)</f>
        <v>0</v>
      </c>
      <c r="R297" s="81" t="n">
        <f aca="false">COUNTIFS(임대자산!$I:$I,가맹점정보!F297,임대자산!$N:$N,가맹점정보!R$4)</f>
        <v>1</v>
      </c>
      <c r="S297" s="82" t="n">
        <v>110000</v>
      </c>
      <c r="T297" s="83" t="n">
        <v>0</v>
      </c>
      <c r="U297" s="80" t="n">
        <f aca="false">SUM(S297:T297)</f>
        <v>110000</v>
      </c>
      <c r="V297" s="84" t="s">
        <v>12</v>
      </c>
      <c r="W297" s="80" t="e">
        <f aca="true">
IF(D297="폐업","폐업",
IF(V297="면제","면제",
IF(AND(V297="정상",COUNTIFS(OFFSET(Y297,0,COUNTA(Y297:AV297)-1,1,-4),"미납")&gt;=3),"장기미납",
IF(AND(V297="정상",OFFSET(Y297,0,COUNTA(Y297:AV297)-1)&gt;=U297),"정상",
IF(AND(V297="정상",OFFSET(Y297,0,COUNTA(Y297:AV297)-1)=0),"정상",
"계약서 미작성")))))</f>
        <v>#VALUE!</v>
      </c>
      <c r="X297" s="81" t="str">
        <f aca="true">
IF(D297="폐업","폐업",
IF(AND(V297="정상",OFFSET(Y297,0,COUNTA(Y297:AV297)-1)="미납"),"미납",
IF(AND(V297="정상",OFFSET(Y297,0,COUNTA(Y297:AV297)-1)=0),"납부 시작 전",
IF(AND(V297="정상",OFFSET(Y297,0,COUNTA(Y297:AV297)-1)&gt;=U297),"정상",
IF(AND(V297="면제",OFFSET(Y297,0,COUNTA(Y297:AV297)-1)="면제"),"면제",
IF(AND(V297="면제",OFFSET(Y297,0,COUNTA(Y297:AV297)-1)=0),"면제",
"확인요청"))))))</f>
        <v>정상</v>
      </c>
      <c r="Y297" s="93" t="n">
        <v>110000</v>
      </c>
      <c r="Z297" s="90" t="n">
        <v>110000</v>
      </c>
      <c r="AA297" s="90" t="n">
        <v>110000</v>
      </c>
      <c r="AB297" s="90" t="n">
        <v>110000</v>
      </c>
      <c r="AC297" s="90" t="n">
        <v>110000</v>
      </c>
      <c r="AD297" s="90" t="n">
        <v>110000</v>
      </c>
      <c r="AE297" s="90" t="n">
        <v>110000</v>
      </c>
      <c r="AF297" s="90" t="n">
        <v>110000</v>
      </c>
      <c r="AG297" s="90" t="n">
        <v>110000</v>
      </c>
      <c r="AH297" s="90" t="n">
        <v>110000</v>
      </c>
      <c r="AI297" s="90" t="n">
        <v>110000</v>
      </c>
      <c r="AJ297" s="91" t="n">
        <v>110000</v>
      </c>
      <c r="AK297" s="89" t="n">
        <v>110000</v>
      </c>
      <c r="AL297" s="90" t="n">
        <v>110000</v>
      </c>
      <c r="AM297" s="90"/>
      <c r="AN297" s="90"/>
      <c r="AO297" s="90"/>
      <c r="AP297" s="90"/>
      <c r="AQ297" s="90"/>
      <c r="AR297" s="90"/>
      <c r="AS297" s="90"/>
      <c r="AT297" s="90"/>
      <c r="AU297" s="90"/>
      <c r="AV297" s="91"/>
      <c r="AX297" s="92"/>
    </row>
    <row r="298" customFormat="false" ht="15.65" hidden="false" customHeight="false" outlineLevel="0" collapsed="false">
      <c r="C298" s="72" t="n">
        <f aca="false">COUNTIFS($D$6:D298,"&lt;&gt;"&amp;"")</f>
        <v>293</v>
      </c>
      <c r="D298" s="73" t="s">
        <v>12</v>
      </c>
      <c r="E298" s="76" t="str">
        <f aca="false">
IF($D298="정상",INDEX(임대자산!$D$3:$R$3000,MATCH($F298,임대자산!$I$3:$I$3000,0),MATCH(E$3,임대자산!$D$3:$R$3,0)),
IF($D298="폐업",INDEX(폐업정보!$D$3:$R$3000,MATCH($F298,폐업정보!$I$3:$I$3000,0),MATCH(E$3,폐업정보!$D$3:$R$3,0)),
"Error"))</f>
        <v>전라</v>
      </c>
      <c r="F29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B0293</v>
      </c>
      <c r="G298" s="76" t="str">
        <f aca="false">F298&amp;RANDBETWEEN(0,10)</f>
        <v>B02933</v>
      </c>
      <c r="H298" s="75" t="n">
        <f aca="false">
IF($D298="정상",INDEX(임대자산!$D$3:$R$3000,MATCH($F298,임대자산!$I$3:$I$3000,0),MATCH(H$4,임대자산!$D$3:$R$3,0)),
IF($D298="폐업",INDEX(폐업정보!$D$3:$R$3000,MATCH($F298,폐업정보!$I$3:$I$3000,0),MATCH(H$4,폐업정보!$D$3:$R$3,0)),
"Error"))</f>
        <v>45245</v>
      </c>
      <c r="I298" s="75" t="str">
        <f aca="false">
IF($D298="정상",INDEX(임대자산!$D$3:$R$3000,MATCH($F298,임대자산!$I$3:$I$3000,0),MATCH(I$4,임대자산!$D$3:$R$3,0)),
IF($D298="폐업",INDEX(폐업정보!$D$3:$R$3000,MATCH($F298,폐업정보!$I$3:$I$3000,0),MATCH(I$4,폐업정보!$D$3:$R$3,0)),
"Error"))</f>
        <v>A0293</v>
      </c>
      <c r="J298" s="75" t="str">
        <f aca="false">
IF($D298="정상",INDEX(임대자산!$D$3:$R$3000,MATCH($F298,임대자산!$I$3:$I$3000,0),MATCH(J$4,임대자산!$D$3:$R$3,0)),
IF($D298="폐업",INDEX(폐업정보!$D$3:$R$3000,MATCH($F298,폐업정보!$I$3:$I$3000,0),MATCH(J$4,폐업정보!$D$3:$R$3,0)),
"Error"))</f>
        <v>1656500000</v>
      </c>
      <c r="K298" s="75" t="str">
        <f aca="false">
IF($D298="정상",INDEX(임대자산!$D$3:$R$3000,MATCH($F298,임대자산!$I$3:$I$3000,0),MATCH(K$4,임대자산!$D$3:$R$3,0)),
IF($D298="폐업",INDEX(폐업정보!$D$3:$R$3000,MATCH($F298,폐업정보!$I$3:$I$3000,0),MATCH(K$4,폐업정보!$D$3:$R$3,0)),
"Error"))</f>
        <v>C0293</v>
      </c>
      <c r="L298" s="75" t="str">
        <f aca="false">
IF($D298="정상",INDEX(임대자산!$D$3:$R$3000,MATCH($F298,임대자산!$I$3:$I$3000,0),MATCH(L$4,임대자산!$D$3:$R$3,0)),
IF($D298="폐업",INDEX(폐업정보!$D$3:$R$3000,MATCH($F298,폐업정보!$I$3:$I$3000,0),MATCH(L$4,폐업정보!$D$3:$R$3,0)),
"Error"))</f>
        <v>D0293</v>
      </c>
      <c r="M298" s="76" t="s">
        <v>96</v>
      </c>
      <c r="N298" s="77"/>
      <c r="O298" s="78" t="s">
        <v>97</v>
      </c>
      <c r="P298" s="79" t="n">
        <f aca="false">COUNTIFS(임대자산!$I:$I,가맹점정보!F298,임대자산!$N:$N,가맹점정보!P$4)</f>
        <v>0</v>
      </c>
      <c r="Q298" s="80" t="n">
        <f aca="false">COUNTIFS(임대자산!$I:$I,가맹점정보!F298,임대자산!$N:$N,가맹점정보!Q$4)</f>
        <v>0</v>
      </c>
      <c r="R298" s="81" t="n">
        <f aca="false">COUNTIFS(임대자산!$I:$I,가맹점정보!F298,임대자산!$N:$N,가맹점정보!R$4)</f>
        <v>1</v>
      </c>
      <c r="S298" s="82" t="n">
        <v>55000</v>
      </c>
      <c r="T298" s="83" t="n">
        <v>0</v>
      </c>
      <c r="U298" s="80" t="n">
        <f aca="false">SUM(S298:T298)</f>
        <v>55000</v>
      </c>
      <c r="V298" s="84" t="s">
        <v>7</v>
      </c>
      <c r="W298" s="80" t="str">
        <f aca="true">
IF(D298="폐업","폐업",
IF(V298="면제","면제",
IF(AND(V298="정상",COUNTIFS(OFFSET(Y298,0,COUNTA(Y298:AV298)-1,1,-4),"미납")&gt;=3),"장기미납",
IF(AND(V298="정상",OFFSET(Y298,0,COUNTA(Y298:AV298)-1)&gt;=U298),"정상",
IF(AND(V298="정상",OFFSET(Y298,0,COUNTA(Y298:AV298)-1)=0),"정상",
"계약서 미작성")))))</f>
        <v>면제</v>
      </c>
      <c r="X298" s="81" t="str">
        <f aca="true">
IF(D298="폐업","폐업",
IF(AND(V298="정상",OFFSET(Y298,0,COUNTA(Y298:AV298)-1)="미납"),"미납",
IF(AND(V298="정상",OFFSET(Y298,0,COUNTA(Y298:AV298)-1)=0),"납부 시작 전",
IF(AND(V298="정상",OFFSET(Y298,0,COUNTA(Y298:AV298)-1)&gt;=U298),"정상",
IF(AND(V298="면제",OFFSET(Y298,0,COUNTA(Y298:AV298)-1)="면제"),"면제",
IF(AND(V298="면제",OFFSET(Y298,0,COUNTA(Y298:AV298)-1)=0),"면제",
"확인요청"))))))</f>
        <v>면제</v>
      </c>
      <c r="Y298" s="94" t="s">
        <v>7</v>
      </c>
      <c r="Z298" s="95" t="s">
        <v>7</v>
      </c>
      <c r="AA298" s="95" t="s">
        <v>7</v>
      </c>
      <c r="AB298" s="95" t="s">
        <v>7</v>
      </c>
      <c r="AC298" s="95" t="s">
        <v>7</v>
      </c>
      <c r="AD298" s="95" t="s">
        <v>7</v>
      </c>
      <c r="AE298" s="95" t="s">
        <v>7</v>
      </c>
      <c r="AF298" s="95" t="s">
        <v>7</v>
      </c>
      <c r="AG298" s="95" t="s">
        <v>7</v>
      </c>
      <c r="AH298" s="95" t="s">
        <v>7</v>
      </c>
      <c r="AI298" s="95" t="s">
        <v>7</v>
      </c>
      <c r="AJ298" s="96" t="s">
        <v>7</v>
      </c>
      <c r="AK298" s="97" t="s">
        <v>7</v>
      </c>
      <c r="AL298" s="95" t="s">
        <v>7</v>
      </c>
      <c r="AM298" s="90"/>
      <c r="AN298" s="90"/>
      <c r="AO298" s="90"/>
      <c r="AP298" s="90"/>
      <c r="AQ298" s="90"/>
      <c r="AR298" s="90"/>
      <c r="AS298" s="90"/>
      <c r="AT298" s="90"/>
      <c r="AU298" s="90"/>
      <c r="AV298" s="91"/>
      <c r="AX298" s="92"/>
    </row>
    <row r="299" customFormat="false" ht="15.65" hidden="false" customHeight="false" outlineLevel="0" collapsed="false">
      <c r="C299" s="72" t="n">
        <f aca="false">COUNTIFS($D$6:D299,"&lt;&gt;"&amp;"")</f>
        <v>294</v>
      </c>
      <c r="D299" s="73" t="s">
        <v>12</v>
      </c>
      <c r="E299" s="76" t="str">
        <f aca="false">
IF($D299="정상",INDEX(임대자산!$D$3:$R$3000,MATCH($F299,임대자산!$I$3:$I$3000,0),MATCH(E$3,임대자산!$D$3:$R$3,0)),
IF($D299="폐업",INDEX(폐업정보!$D$3:$R$3000,MATCH($F299,폐업정보!$I$3:$I$3000,0),MATCH(E$3,폐업정보!$D$3:$R$3,0)),
"Error"))</f>
        <v>전라</v>
      </c>
      <c r="F29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B0294</v>
      </c>
      <c r="G299" s="76" t="str">
        <f aca="false">F299&amp;RANDBETWEEN(0,10)</f>
        <v>B02943</v>
      </c>
      <c r="H299" s="75" t="n">
        <f aca="false">
IF($D299="정상",INDEX(임대자산!$D$3:$R$3000,MATCH($F299,임대자산!$I$3:$I$3000,0),MATCH(H$4,임대자산!$D$3:$R$3,0)),
IF($D299="폐업",INDEX(폐업정보!$D$3:$R$3000,MATCH($F299,폐업정보!$I$3:$I$3000,0),MATCH(H$4,폐업정보!$D$3:$R$3,0)),
"Error"))</f>
        <v>45245</v>
      </c>
      <c r="I299" s="75" t="str">
        <f aca="false">
IF($D299="정상",INDEX(임대자산!$D$3:$R$3000,MATCH($F299,임대자산!$I$3:$I$3000,0),MATCH(I$4,임대자산!$D$3:$R$3,0)),
IF($D299="폐업",INDEX(폐업정보!$D$3:$R$3000,MATCH($F299,폐업정보!$I$3:$I$3000,0),MATCH(I$4,폐업정보!$D$3:$R$3,0)),
"Error"))</f>
        <v>A0294</v>
      </c>
      <c r="J299" s="75" t="str">
        <f aca="false">
IF($D299="정상",INDEX(임대자산!$D$3:$R$3000,MATCH($F299,임대자산!$I$3:$I$3000,0),MATCH(J$4,임대자산!$D$3:$R$3,0)),
IF($D299="폐업",INDEX(폐업정보!$D$3:$R$3000,MATCH($F299,폐업정보!$I$3:$I$3000,0),MATCH(J$4,폐업정보!$D$3:$R$3,0)),
"Error"))</f>
        <v>5977400000</v>
      </c>
      <c r="K299" s="75" t="str">
        <f aca="false">
IF($D299="정상",INDEX(임대자산!$D$3:$R$3000,MATCH($F299,임대자산!$I$3:$I$3000,0),MATCH(K$4,임대자산!$D$3:$R$3,0)),
IF($D299="폐업",INDEX(폐업정보!$D$3:$R$3000,MATCH($F299,폐업정보!$I$3:$I$3000,0),MATCH(K$4,폐업정보!$D$3:$R$3,0)),
"Error"))</f>
        <v>C0294</v>
      </c>
      <c r="L299" s="75" t="str">
        <f aca="false">
IF($D299="정상",INDEX(임대자산!$D$3:$R$3000,MATCH($F299,임대자산!$I$3:$I$3000,0),MATCH(L$4,임대자산!$D$3:$R$3,0)),
IF($D299="폐업",INDEX(폐업정보!$D$3:$R$3000,MATCH($F299,폐업정보!$I$3:$I$3000,0),MATCH(L$4,폐업정보!$D$3:$R$3,0)),
"Error"))</f>
        <v>D0294</v>
      </c>
      <c r="M299" s="76" t="s">
        <v>96</v>
      </c>
      <c r="N299" s="77"/>
      <c r="O299" s="78" t="s">
        <v>97</v>
      </c>
      <c r="P299" s="79" t="n">
        <f aca="false">COUNTIFS(임대자산!$I:$I,가맹점정보!F299,임대자산!$N:$N,가맹점정보!P$4)</f>
        <v>0</v>
      </c>
      <c r="Q299" s="80" t="n">
        <f aca="false">COUNTIFS(임대자산!$I:$I,가맹점정보!F299,임대자산!$N:$N,가맹점정보!Q$4)</f>
        <v>0</v>
      </c>
      <c r="R299" s="81" t="n">
        <f aca="false">COUNTIFS(임대자산!$I:$I,가맹점정보!F299,임대자산!$N:$N,가맹점정보!R$4)</f>
        <v>1</v>
      </c>
      <c r="S299" s="82" t="n">
        <v>55000</v>
      </c>
      <c r="T299" s="83" t="n">
        <v>0</v>
      </c>
      <c r="U299" s="80" t="n">
        <f aca="false">SUM(S299:T299)</f>
        <v>55000</v>
      </c>
      <c r="V299" s="84" t="s">
        <v>12</v>
      </c>
      <c r="W299" s="80" t="e">
        <f aca="true">
IF(D299="폐업","폐업",
IF(V299="면제","면제",
IF(AND(V299="정상",COUNTIFS(OFFSET(Y299,0,COUNTA(Y299:AV299)-1,1,-4),"미납")&gt;=3),"장기미납",
IF(AND(V299="정상",OFFSET(Y299,0,COUNTA(Y299:AV299)-1)&gt;=U299),"정상",
IF(AND(V299="정상",OFFSET(Y299,0,COUNTA(Y299:AV299)-1)=0),"정상",
"계약서 미작성")))))</f>
        <v>#VALUE!</v>
      </c>
      <c r="X299" s="81" t="str">
        <f aca="true">
IF(D299="폐업","폐업",
IF(AND(V299="정상",OFFSET(Y299,0,COUNTA(Y299:AV299)-1)="미납"),"미납",
IF(AND(V299="정상",OFFSET(Y299,0,COUNTA(Y299:AV299)-1)=0),"납부 시작 전",
IF(AND(V299="정상",OFFSET(Y299,0,COUNTA(Y299:AV299)-1)&gt;=U299),"정상",
IF(AND(V299="면제",OFFSET(Y299,0,COUNTA(Y299:AV299)-1)="면제"),"면제",
IF(AND(V299="면제",OFFSET(Y299,0,COUNTA(Y299:AV299)-1)=0),"면제",
"확인요청"))))))</f>
        <v>정상</v>
      </c>
      <c r="Y299" s="93" t="n">
        <v>55000</v>
      </c>
      <c r="Z299" s="90" t="n">
        <v>55000</v>
      </c>
      <c r="AA299" s="90" t="n">
        <v>55000</v>
      </c>
      <c r="AB299" s="90" t="n">
        <v>55000</v>
      </c>
      <c r="AC299" s="90" t="n">
        <v>55000</v>
      </c>
      <c r="AD299" s="90" t="n">
        <v>55000</v>
      </c>
      <c r="AE299" s="90" t="n">
        <v>55000</v>
      </c>
      <c r="AF299" s="90" t="n">
        <v>55000</v>
      </c>
      <c r="AG299" s="90" t="n">
        <v>55000</v>
      </c>
      <c r="AH299" s="90" t="n">
        <v>55000</v>
      </c>
      <c r="AI299" s="90" t="n">
        <v>55000</v>
      </c>
      <c r="AJ299" s="91" t="n">
        <v>55000</v>
      </c>
      <c r="AK299" s="89" t="n">
        <v>55000</v>
      </c>
      <c r="AL299" s="90" t="n">
        <v>55000</v>
      </c>
      <c r="AM299" s="90"/>
      <c r="AN299" s="90"/>
      <c r="AO299" s="90"/>
      <c r="AP299" s="90"/>
      <c r="AQ299" s="90"/>
      <c r="AR299" s="90"/>
      <c r="AS299" s="90"/>
      <c r="AT299" s="90"/>
      <c r="AU299" s="90"/>
      <c r="AV299" s="91"/>
      <c r="AX299" s="92"/>
    </row>
    <row r="300" customFormat="false" ht="15.65" hidden="false" customHeight="false" outlineLevel="0" collapsed="false">
      <c r="C300" s="72" t="n">
        <f aca="false">COUNTIFS($D$6:D300,"&lt;&gt;"&amp;"")</f>
        <v>295</v>
      </c>
      <c r="D300" s="73" t="s">
        <v>12</v>
      </c>
      <c r="E300" s="76" t="str">
        <f aca="false">
IF($D300="정상",INDEX(임대자산!$D$3:$R$3000,MATCH($F300,임대자산!$I$3:$I$3000,0),MATCH(E$3,임대자산!$D$3:$R$3,0)),
IF($D300="폐업",INDEX(폐업정보!$D$3:$R$3000,MATCH($F300,폐업정보!$I$3:$I$3000,0),MATCH(E$3,폐업정보!$D$3:$R$3,0)),
"Error"))</f>
        <v>전라</v>
      </c>
      <c r="F30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B0295</v>
      </c>
      <c r="G300" s="76" t="str">
        <f aca="false">F300&amp;RANDBETWEEN(0,10)</f>
        <v>B029510</v>
      </c>
      <c r="H300" s="75" t="n">
        <f aca="false">
IF($D300="정상",INDEX(임대자산!$D$3:$R$3000,MATCH($F300,임대자산!$I$3:$I$3000,0),MATCH(H$4,임대자산!$D$3:$R$3,0)),
IF($D300="폐업",INDEX(폐업정보!$D$3:$R$3000,MATCH($F300,폐업정보!$I$3:$I$3000,0),MATCH(H$4,폐업정보!$D$3:$R$3,0)),
"Error"))</f>
        <v>45252</v>
      </c>
      <c r="I300" s="75" t="str">
        <f aca="false">
IF($D300="정상",INDEX(임대자산!$D$3:$R$3000,MATCH($F300,임대자산!$I$3:$I$3000,0),MATCH(I$4,임대자산!$D$3:$R$3,0)),
IF($D300="폐업",INDEX(폐업정보!$D$3:$R$3000,MATCH($F300,폐업정보!$I$3:$I$3000,0),MATCH(I$4,폐업정보!$D$3:$R$3,0)),
"Error"))</f>
        <v>A0295</v>
      </c>
      <c r="J300" s="75" t="str">
        <f aca="false">
IF($D300="정상",INDEX(임대자산!$D$3:$R$3000,MATCH($F300,임대자산!$I$3:$I$3000,0),MATCH(J$4,임대자산!$D$3:$R$3,0)),
IF($D300="폐업",INDEX(폐업정보!$D$3:$R$3000,MATCH($F300,폐업정보!$I$3:$I$3000,0),MATCH(J$4,폐업정보!$D$3:$R$3,0)),
"Error"))</f>
        <v>5232800000</v>
      </c>
      <c r="K300" s="75" t="str">
        <f aca="false">
IF($D300="정상",INDEX(임대자산!$D$3:$R$3000,MATCH($F300,임대자산!$I$3:$I$3000,0),MATCH(K$4,임대자산!$D$3:$R$3,0)),
IF($D300="폐업",INDEX(폐업정보!$D$3:$R$3000,MATCH($F300,폐업정보!$I$3:$I$3000,0),MATCH(K$4,폐업정보!$D$3:$R$3,0)),
"Error"))</f>
        <v>C0295</v>
      </c>
      <c r="L300" s="75" t="str">
        <f aca="false">
IF($D300="정상",INDEX(임대자산!$D$3:$R$3000,MATCH($F300,임대자산!$I$3:$I$3000,0),MATCH(L$4,임대자산!$D$3:$R$3,0)),
IF($D300="폐업",INDEX(폐업정보!$D$3:$R$3000,MATCH($F300,폐업정보!$I$3:$I$3000,0),MATCH(L$4,폐업정보!$D$3:$R$3,0)),
"Error"))</f>
        <v>D0295</v>
      </c>
      <c r="M300" s="76" t="s">
        <v>96</v>
      </c>
      <c r="N300" s="77"/>
      <c r="O300" s="78" t="s">
        <v>97</v>
      </c>
      <c r="P300" s="79" t="n">
        <f aca="false">COUNTIFS(임대자산!$I:$I,가맹점정보!F300,임대자산!$N:$N,가맹점정보!P$4)</f>
        <v>0</v>
      </c>
      <c r="Q300" s="80" t="n">
        <f aca="false">COUNTIFS(임대자산!$I:$I,가맹점정보!F300,임대자산!$N:$N,가맹점정보!Q$4)</f>
        <v>0</v>
      </c>
      <c r="R300" s="81" t="n">
        <f aca="false">COUNTIFS(임대자산!$I:$I,가맹점정보!F300,임대자산!$N:$N,가맹점정보!R$4)</f>
        <v>1</v>
      </c>
      <c r="S300" s="82" t="n">
        <v>55000</v>
      </c>
      <c r="T300" s="83" t="n">
        <v>0</v>
      </c>
      <c r="U300" s="80" t="n">
        <f aca="false">SUM(S300:T300)</f>
        <v>55000</v>
      </c>
      <c r="V300" s="84" t="s">
        <v>12</v>
      </c>
      <c r="W300" s="80" t="e">
        <f aca="true">
IF(D300="폐업","폐업",
IF(V300="면제","면제",
IF(AND(V300="정상",COUNTIFS(OFFSET(Y300,0,COUNTA(Y300:AV300)-1,1,-4),"미납")&gt;=3),"장기미납",
IF(AND(V300="정상",OFFSET(Y300,0,COUNTA(Y300:AV300)-1)&gt;=U300),"정상",
IF(AND(V300="정상",OFFSET(Y300,0,COUNTA(Y300:AV300)-1)=0),"정상",
"계약서 미작성")))))</f>
        <v>#VALUE!</v>
      </c>
      <c r="X300" s="81" t="str">
        <f aca="true">
IF(D300="폐업","폐업",
IF(AND(V300="정상",OFFSET(Y300,0,COUNTA(Y300:AV300)-1)="미납"),"미납",
IF(AND(V300="정상",OFFSET(Y300,0,COUNTA(Y300:AV300)-1)=0),"납부 시작 전",
IF(AND(V300="정상",OFFSET(Y300,0,COUNTA(Y300:AV300)-1)&gt;=U300),"정상",
IF(AND(V300="면제",OFFSET(Y300,0,COUNTA(Y300:AV300)-1)="면제"),"면제",
IF(AND(V300="면제",OFFSET(Y300,0,COUNTA(Y300:AV300)-1)=0),"면제",
"확인요청"))))))</f>
        <v>정상</v>
      </c>
      <c r="Y300" s="93" t="n">
        <v>55000</v>
      </c>
      <c r="Z300" s="90" t="n">
        <v>55000</v>
      </c>
      <c r="AA300" s="90" t="n">
        <v>55000</v>
      </c>
      <c r="AB300" s="90" t="n">
        <v>55000</v>
      </c>
      <c r="AC300" s="90" t="n">
        <v>55000</v>
      </c>
      <c r="AD300" s="90" t="n">
        <v>55000</v>
      </c>
      <c r="AE300" s="90" t="n">
        <v>55000</v>
      </c>
      <c r="AF300" s="90" t="n">
        <v>55000</v>
      </c>
      <c r="AG300" s="90" t="n">
        <v>55000</v>
      </c>
      <c r="AH300" s="90" t="n">
        <v>55000</v>
      </c>
      <c r="AI300" s="90" t="n">
        <v>55000</v>
      </c>
      <c r="AJ300" s="91" t="n">
        <v>55000</v>
      </c>
      <c r="AK300" s="89" t="n">
        <v>55000</v>
      </c>
      <c r="AL300" s="90" t="n">
        <v>55000</v>
      </c>
      <c r="AM300" s="90"/>
      <c r="AN300" s="90"/>
      <c r="AO300" s="90"/>
      <c r="AP300" s="90"/>
      <c r="AQ300" s="90"/>
      <c r="AR300" s="90"/>
      <c r="AS300" s="90"/>
      <c r="AT300" s="90"/>
      <c r="AU300" s="90"/>
      <c r="AV300" s="91"/>
      <c r="AX300" s="92"/>
    </row>
    <row r="301" customFormat="false" ht="15.65" hidden="false" customHeight="false" outlineLevel="0" collapsed="false">
      <c r="C301" s="72" t="n">
        <f aca="false">COUNTIFS($D$6:D301,"&lt;&gt;"&amp;"")</f>
        <v>296</v>
      </c>
      <c r="D301" s="73" t="s">
        <v>12</v>
      </c>
      <c r="E301" s="76" t="str">
        <f aca="false">
IF($D301="정상",INDEX(임대자산!$D$3:$R$3000,MATCH($F301,임대자산!$I$3:$I$3000,0),MATCH(E$3,임대자산!$D$3:$R$3,0)),
IF($D301="폐업",INDEX(폐업정보!$D$3:$R$3000,MATCH($F301,폐업정보!$I$3:$I$3000,0),MATCH(E$3,폐업정보!$D$3:$R$3,0)),
"Error"))</f>
        <v>전라</v>
      </c>
      <c r="F30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B0296</v>
      </c>
      <c r="G301" s="76" t="str">
        <f aca="false">F301&amp;RANDBETWEEN(0,10)</f>
        <v>B02965</v>
      </c>
      <c r="H301" s="75" t="n">
        <f aca="false">
IF($D301="정상",INDEX(임대자산!$D$3:$R$3000,MATCH($F301,임대자산!$I$3:$I$3000,0),MATCH(H$4,임대자산!$D$3:$R$3,0)),
IF($D301="폐업",INDEX(폐업정보!$D$3:$R$3000,MATCH($F301,폐업정보!$I$3:$I$3000,0),MATCH(H$4,폐업정보!$D$3:$R$3,0)),
"Error"))</f>
        <v>45239</v>
      </c>
      <c r="I301" s="75" t="str">
        <f aca="false">
IF($D301="정상",INDEX(임대자산!$D$3:$R$3000,MATCH($F301,임대자산!$I$3:$I$3000,0),MATCH(I$4,임대자산!$D$3:$R$3,0)),
IF($D301="폐업",INDEX(폐업정보!$D$3:$R$3000,MATCH($F301,폐업정보!$I$3:$I$3000,0),MATCH(I$4,폐업정보!$D$3:$R$3,0)),
"Error"))</f>
        <v>A0296</v>
      </c>
      <c r="J301" s="75" t="str">
        <f aca="false">
IF($D301="정상",INDEX(임대자산!$D$3:$R$3000,MATCH($F301,임대자산!$I$3:$I$3000,0),MATCH(J$4,임대자산!$D$3:$R$3,0)),
IF($D301="폐업",INDEX(폐업정보!$D$3:$R$3000,MATCH($F301,폐업정보!$I$3:$I$3000,0),MATCH(J$4,폐업정보!$D$3:$R$3,0)),
"Error"))</f>
        <v>5841600000</v>
      </c>
      <c r="K301" s="75" t="str">
        <f aca="false">
IF($D301="정상",INDEX(임대자산!$D$3:$R$3000,MATCH($F301,임대자산!$I$3:$I$3000,0),MATCH(K$4,임대자산!$D$3:$R$3,0)),
IF($D301="폐업",INDEX(폐업정보!$D$3:$R$3000,MATCH($F301,폐업정보!$I$3:$I$3000,0),MATCH(K$4,폐업정보!$D$3:$R$3,0)),
"Error"))</f>
        <v>C0296</v>
      </c>
      <c r="L301" s="75" t="str">
        <f aca="false">
IF($D301="정상",INDEX(임대자산!$D$3:$R$3000,MATCH($F301,임대자산!$I$3:$I$3000,0),MATCH(L$4,임대자산!$D$3:$R$3,0)),
IF($D301="폐업",INDEX(폐업정보!$D$3:$R$3000,MATCH($F301,폐업정보!$I$3:$I$3000,0),MATCH(L$4,폐업정보!$D$3:$R$3,0)),
"Error"))</f>
        <v>D0296</v>
      </c>
      <c r="M301" s="76" t="s">
        <v>96</v>
      </c>
      <c r="N301" s="77"/>
      <c r="O301" s="78" t="s">
        <v>97</v>
      </c>
      <c r="P301" s="79" t="n">
        <f aca="false">COUNTIFS(임대자산!$I:$I,가맹점정보!F301,임대자산!$N:$N,가맹점정보!P$4)</f>
        <v>0</v>
      </c>
      <c r="Q301" s="80" t="n">
        <f aca="false">COUNTIFS(임대자산!$I:$I,가맹점정보!F301,임대자산!$N:$N,가맹점정보!Q$4)</f>
        <v>0</v>
      </c>
      <c r="R301" s="81" t="n">
        <f aca="false">COUNTIFS(임대자산!$I:$I,가맹점정보!F301,임대자산!$N:$N,가맹점정보!R$4)</f>
        <v>1</v>
      </c>
      <c r="S301" s="82" t="n">
        <v>55000</v>
      </c>
      <c r="T301" s="83" t="n">
        <v>0</v>
      </c>
      <c r="U301" s="80" t="n">
        <f aca="false">SUM(S301:T301)</f>
        <v>55000</v>
      </c>
      <c r="V301" s="84" t="s">
        <v>12</v>
      </c>
      <c r="W301" s="80" t="e">
        <f aca="true">
IF(D301="폐업","폐업",
IF(V301="면제","면제",
IF(AND(V301="정상",COUNTIFS(OFFSET(Y301,0,COUNTA(Y301:AV301)-1,1,-4),"미납")&gt;=3),"장기미납",
IF(AND(V301="정상",OFFSET(Y301,0,COUNTA(Y301:AV301)-1)&gt;=U301),"정상",
IF(AND(V301="정상",OFFSET(Y301,0,COUNTA(Y301:AV301)-1)=0),"정상",
"계약서 미작성")))))</f>
        <v>#VALUE!</v>
      </c>
      <c r="X301" s="81" t="str">
        <f aca="true">
IF(D301="폐업","폐업",
IF(AND(V301="정상",OFFSET(Y301,0,COUNTA(Y301:AV301)-1)="미납"),"미납",
IF(AND(V301="정상",OFFSET(Y301,0,COUNTA(Y301:AV301)-1)=0),"납부 시작 전",
IF(AND(V301="정상",OFFSET(Y301,0,COUNTA(Y301:AV301)-1)&gt;=U301),"정상",
IF(AND(V301="면제",OFFSET(Y301,0,COUNTA(Y301:AV301)-1)="면제"),"면제",
IF(AND(V301="면제",OFFSET(Y301,0,COUNTA(Y301:AV301)-1)=0),"면제",
"확인요청"))))))</f>
        <v>정상</v>
      </c>
      <c r="Y301" s="93" t="n">
        <v>55000</v>
      </c>
      <c r="Z301" s="90" t="n">
        <v>55000</v>
      </c>
      <c r="AA301" s="90" t="n">
        <v>55000</v>
      </c>
      <c r="AB301" s="90" t="n">
        <v>55000</v>
      </c>
      <c r="AC301" s="90" t="n">
        <v>55000</v>
      </c>
      <c r="AD301" s="90" t="n">
        <v>55000</v>
      </c>
      <c r="AE301" s="90" t="n">
        <v>55000</v>
      </c>
      <c r="AF301" s="90" t="n">
        <v>55000</v>
      </c>
      <c r="AG301" s="90" t="n">
        <v>55000</v>
      </c>
      <c r="AH301" s="90" t="n">
        <v>55000</v>
      </c>
      <c r="AI301" s="90" t="n">
        <v>55000</v>
      </c>
      <c r="AJ301" s="91" t="n">
        <v>55000</v>
      </c>
      <c r="AK301" s="89" t="n">
        <v>55000</v>
      </c>
      <c r="AL301" s="90" t="n">
        <v>55000</v>
      </c>
      <c r="AM301" s="90"/>
      <c r="AN301" s="90"/>
      <c r="AO301" s="90"/>
      <c r="AP301" s="90"/>
      <c r="AQ301" s="90"/>
      <c r="AR301" s="90"/>
      <c r="AS301" s="90"/>
      <c r="AT301" s="90"/>
      <c r="AU301" s="90"/>
      <c r="AV301" s="91"/>
      <c r="AX301" s="92"/>
    </row>
    <row r="302" customFormat="false" ht="15.65" hidden="false" customHeight="false" outlineLevel="0" collapsed="false">
      <c r="C302" s="72" t="n">
        <f aca="false">COUNTIFS($D$6:D302,"&lt;&gt;"&amp;"")</f>
        <v>297</v>
      </c>
      <c r="D302" s="73" t="s">
        <v>12</v>
      </c>
      <c r="E302" s="76" t="str">
        <f aca="false">
IF($D302="정상",INDEX(임대자산!$D$3:$R$3000,MATCH($F302,임대자산!$I$3:$I$3000,0),MATCH(E$3,임대자산!$D$3:$R$3,0)),
IF($D302="폐업",INDEX(폐업정보!$D$3:$R$3000,MATCH($F302,폐업정보!$I$3:$I$3000,0),MATCH(E$3,폐업정보!$D$3:$R$3,0)),
"Error"))</f>
        <v>전라</v>
      </c>
      <c r="F30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B0297</v>
      </c>
      <c r="G302" s="76" t="str">
        <f aca="false">F302&amp;RANDBETWEEN(0,10)</f>
        <v>B029710</v>
      </c>
      <c r="H302" s="75" t="n">
        <f aca="false">
IF($D302="정상",INDEX(임대자산!$D$3:$R$3000,MATCH($F302,임대자산!$I$3:$I$3000,0),MATCH(H$4,임대자산!$D$3:$R$3,0)),
IF($D302="폐업",INDEX(폐업정보!$D$3:$R$3000,MATCH($F302,폐업정보!$I$3:$I$3000,0),MATCH(H$4,폐업정보!$D$3:$R$3,0)),
"Error"))</f>
        <v>45239</v>
      </c>
      <c r="I302" s="75" t="str">
        <f aca="false">
IF($D302="정상",INDEX(임대자산!$D$3:$R$3000,MATCH($F302,임대자산!$I$3:$I$3000,0),MATCH(I$4,임대자산!$D$3:$R$3,0)),
IF($D302="폐업",INDEX(폐업정보!$D$3:$R$3000,MATCH($F302,폐업정보!$I$3:$I$3000,0),MATCH(I$4,폐업정보!$D$3:$R$3,0)),
"Error"))</f>
        <v>A0297</v>
      </c>
      <c r="J302" s="75" t="str">
        <f aca="false">
IF($D302="정상",INDEX(임대자산!$D$3:$R$3000,MATCH($F302,임대자산!$I$3:$I$3000,0),MATCH(J$4,임대자산!$D$3:$R$3,0)),
IF($D302="폐업",INDEX(폐업정보!$D$3:$R$3000,MATCH($F302,폐업정보!$I$3:$I$3000,0),MATCH(J$4,폐업정보!$D$3:$R$3,0)),
"Error"))</f>
        <v>3646000000</v>
      </c>
      <c r="K302" s="75" t="str">
        <f aca="false">
IF($D302="정상",INDEX(임대자산!$D$3:$R$3000,MATCH($F302,임대자산!$I$3:$I$3000,0),MATCH(K$4,임대자산!$D$3:$R$3,0)),
IF($D302="폐업",INDEX(폐업정보!$D$3:$R$3000,MATCH($F302,폐업정보!$I$3:$I$3000,0),MATCH(K$4,폐업정보!$D$3:$R$3,0)),
"Error"))</f>
        <v>C0297</v>
      </c>
      <c r="L302" s="75" t="str">
        <f aca="false">
IF($D302="정상",INDEX(임대자산!$D$3:$R$3000,MATCH($F302,임대자산!$I$3:$I$3000,0),MATCH(L$4,임대자산!$D$3:$R$3,0)),
IF($D302="폐업",INDEX(폐업정보!$D$3:$R$3000,MATCH($F302,폐업정보!$I$3:$I$3000,0),MATCH(L$4,폐업정보!$D$3:$R$3,0)),
"Error"))</f>
        <v>D0297</v>
      </c>
      <c r="M302" s="76" t="s">
        <v>96</v>
      </c>
      <c r="N302" s="77"/>
      <c r="O302" s="78" t="s">
        <v>97</v>
      </c>
      <c r="P302" s="79" t="n">
        <f aca="false">COUNTIFS(임대자산!$I:$I,가맹점정보!F302,임대자산!$N:$N,가맹점정보!P$4)</f>
        <v>0</v>
      </c>
      <c r="Q302" s="80" t="n">
        <f aca="false">COUNTIFS(임대자산!$I:$I,가맹점정보!F302,임대자산!$N:$N,가맹점정보!Q$4)</f>
        <v>0</v>
      </c>
      <c r="R302" s="81" t="n">
        <f aca="false">COUNTIFS(임대자산!$I:$I,가맹점정보!F302,임대자산!$N:$N,가맹점정보!R$4)</f>
        <v>1</v>
      </c>
      <c r="S302" s="82" t="n">
        <v>88000</v>
      </c>
      <c r="T302" s="83" t="n">
        <v>0</v>
      </c>
      <c r="U302" s="80" t="n">
        <f aca="false">SUM(S302:T302)</f>
        <v>88000</v>
      </c>
      <c r="V302" s="84" t="s">
        <v>7</v>
      </c>
      <c r="W302" s="80" t="str">
        <f aca="true">
IF(D302="폐업","폐업",
IF(V302="면제","면제",
IF(AND(V302="정상",COUNTIFS(OFFSET(Y302,0,COUNTA(Y302:AV302)-1,1,-4),"미납")&gt;=3),"장기미납",
IF(AND(V302="정상",OFFSET(Y302,0,COUNTA(Y302:AV302)-1)&gt;=U302),"정상",
IF(AND(V302="정상",OFFSET(Y302,0,COUNTA(Y302:AV302)-1)=0),"정상",
"계약서 미작성")))))</f>
        <v>면제</v>
      </c>
      <c r="X302" s="81" t="str">
        <f aca="true">
IF(D302="폐업","폐업",
IF(AND(V302="정상",OFFSET(Y302,0,COUNTA(Y302:AV302)-1)="미납"),"미납",
IF(AND(V302="정상",OFFSET(Y302,0,COUNTA(Y302:AV302)-1)=0),"납부 시작 전",
IF(AND(V302="정상",OFFSET(Y302,0,COUNTA(Y302:AV302)-1)&gt;=U302),"정상",
IF(AND(V302="면제",OFFSET(Y302,0,COUNTA(Y302:AV302)-1)="면제"),"면제",
IF(AND(V302="면제",OFFSET(Y302,0,COUNTA(Y302:AV302)-1)=0),"면제",
"확인요청"))))))</f>
        <v>면제</v>
      </c>
      <c r="Y302" s="94" t="s">
        <v>7</v>
      </c>
      <c r="Z302" s="95" t="s">
        <v>7</v>
      </c>
      <c r="AA302" s="95" t="s">
        <v>7</v>
      </c>
      <c r="AB302" s="95" t="s">
        <v>7</v>
      </c>
      <c r="AC302" s="95" t="s">
        <v>7</v>
      </c>
      <c r="AD302" s="95" t="s">
        <v>7</v>
      </c>
      <c r="AE302" s="95" t="s">
        <v>7</v>
      </c>
      <c r="AF302" s="95" t="s">
        <v>7</v>
      </c>
      <c r="AG302" s="95" t="s">
        <v>7</v>
      </c>
      <c r="AH302" s="95" t="s">
        <v>7</v>
      </c>
      <c r="AI302" s="95" t="s">
        <v>7</v>
      </c>
      <c r="AJ302" s="96" t="s">
        <v>7</v>
      </c>
      <c r="AK302" s="97" t="s">
        <v>7</v>
      </c>
      <c r="AL302" s="95" t="s">
        <v>7</v>
      </c>
      <c r="AM302" s="90"/>
      <c r="AN302" s="90"/>
      <c r="AO302" s="90"/>
      <c r="AP302" s="90"/>
      <c r="AQ302" s="90"/>
      <c r="AR302" s="90"/>
      <c r="AS302" s="90"/>
      <c r="AT302" s="90"/>
      <c r="AU302" s="90"/>
      <c r="AV302" s="91"/>
      <c r="AX302" s="92"/>
    </row>
    <row r="303" customFormat="false" ht="15.65" hidden="false" customHeight="false" outlineLevel="0" collapsed="false">
      <c r="C303" s="72" t="n">
        <f aca="false">COUNTIFS($D$6:D303,"&lt;&gt;"&amp;"")</f>
        <v>298</v>
      </c>
      <c r="D303" s="73" t="s">
        <v>12</v>
      </c>
      <c r="E303" s="76" t="str">
        <f aca="false">
IF($D303="정상",INDEX(임대자산!$D$3:$R$3000,MATCH($F303,임대자산!$I$3:$I$3000,0),MATCH(E$3,임대자산!$D$3:$R$3,0)),
IF($D303="폐업",INDEX(폐업정보!$D$3:$R$3000,MATCH($F303,폐업정보!$I$3:$I$3000,0),MATCH(E$3,폐업정보!$D$3:$R$3,0)),
"Error"))</f>
        <v>서울</v>
      </c>
      <c r="F30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B0298</v>
      </c>
      <c r="G303" s="76" t="str">
        <f aca="false">F303&amp;RANDBETWEEN(0,10)</f>
        <v>B02985</v>
      </c>
      <c r="H303" s="75" t="n">
        <f aca="false">
IF($D303="정상",INDEX(임대자산!$D$3:$R$3000,MATCH($F303,임대자산!$I$3:$I$3000,0),MATCH(H$4,임대자산!$D$3:$R$3,0)),
IF($D303="폐업",INDEX(폐업정보!$D$3:$R$3000,MATCH($F303,폐업정보!$I$3:$I$3000,0),MATCH(H$4,폐업정보!$D$3:$R$3,0)),
"Error"))</f>
        <v>45229</v>
      </c>
      <c r="I303" s="75" t="str">
        <f aca="false">
IF($D303="정상",INDEX(임대자산!$D$3:$R$3000,MATCH($F303,임대자산!$I$3:$I$3000,0),MATCH(I$4,임대자산!$D$3:$R$3,0)),
IF($D303="폐업",INDEX(폐업정보!$D$3:$R$3000,MATCH($F303,폐업정보!$I$3:$I$3000,0),MATCH(I$4,폐업정보!$D$3:$R$3,0)),
"Error"))</f>
        <v>A0298</v>
      </c>
      <c r="J303" s="75" t="str">
        <f aca="false">
IF($D303="정상",INDEX(임대자산!$D$3:$R$3000,MATCH($F303,임대자산!$I$3:$I$3000,0),MATCH(J$4,임대자산!$D$3:$R$3,0)),
IF($D303="폐업",INDEX(폐업정보!$D$3:$R$3000,MATCH($F303,폐업정보!$I$3:$I$3000,0),MATCH(J$4,폐업정보!$D$3:$R$3,0)),
"Error"))</f>
        <v>7756200000</v>
      </c>
      <c r="K303" s="75" t="str">
        <f aca="false">
IF($D303="정상",INDEX(임대자산!$D$3:$R$3000,MATCH($F303,임대자산!$I$3:$I$3000,0),MATCH(K$4,임대자산!$D$3:$R$3,0)),
IF($D303="폐업",INDEX(폐업정보!$D$3:$R$3000,MATCH($F303,폐업정보!$I$3:$I$3000,0),MATCH(K$4,폐업정보!$D$3:$R$3,0)),
"Error"))</f>
        <v>C0298</v>
      </c>
      <c r="L303" s="75" t="str">
        <f aca="false">
IF($D303="정상",INDEX(임대자산!$D$3:$R$3000,MATCH($F303,임대자산!$I$3:$I$3000,0),MATCH(L$4,임대자산!$D$3:$R$3,0)),
IF($D303="폐업",INDEX(폐업정보!$D$3:$R$3000,MATCH($F303,폐업정보!$I$3:$I$3000,0),MATCH(L$4,폐업정보!$D$3:$R$3,0)),
"Error"))</f>
        <v>D0298</v>
      </c>
      <c r="M303" s="76" t="s">
        <v>96</v>
      </c>
      <c r="N303" s="77"/>
      <c r="O303" s="78" t="s">
        <v>97</v>
      </c>
      <c r="P303" s="79" t="n">
        <f aca="false">COUNTIFS(임대자산!$I:$I,가맹점정보!F303,임대자산!$N:$N,가맹점정보!P$4)</f>
        <v>0</v>
      </c>
      <c r="Q303" s="80" t="n">
        <f aca="false">COUNTIFS(임대자산!$I:$I,가맹점정보!F303,임대자산!$N:$N,가맹점정보!Q$4)</f>
        <v>0</v>
      </c>
      <c r="R303" s="81" t="n">
        <f aca="false">COUNTIFS(임대자산!$I:$I,가맹점정보!F303,임대자산!$N:$N,가맹점정보!R$4)</f>
        <v>1</v>
      </c>
      <c r="S303" s="82" t="n">
        <v>55000</v>
      </c>
      <c r="T303" s="83" t="n">
        <v>0</v>
      </c>
      <c r="U303" s="80" t="n">
        <f aca="false">SUM(S303:T303)</f>
        <v>55000</v>
      </c>
      <c r="V303" s="84" t="s">
        <v>12</v>
      </c>
      <c r="W303" s="80" t="e">
        <f aca="true">
IF(D303="폐업","폐업",
IF(V303="면제","면제",
IF(AND(V303="정상",COUNTIFS(OFFSET(Y303,0,COUNTA(Y303:AV303)-1,1,-4),"미납")&gt;=3),"장기미납",
IF(AND(V303="정상",OFFSET(Y303,0,COUNTA(Y303:AV303)-1)&gt;=U303),"정상",
IF(AND(V303="정상",OFFSET(Y303,0,COUNTA(Y303:AV303)-1)=0),"정상",
"계약서 미작성")))))</f>
        <v>#VALUE!</v>
      </c>
      <c r="X303" s="81" t="str">
        <f aca="true">
IF(D303="폐업","폐업",
IF(AND(V303="정상",OFFSET(Y303,0,COUNTA(Y303:AV303)-1)="미납"),"미납",
IF(AND(V303="정상",OFFSET(Y303,0,COUNTA(Y303:AV303)-1)=0),"납부 시작 전",
IF(AND(V303="정상",OFFSET(Y303,0,COUNTA(Y303:AV303)-1)&gt;=U303),"정상",
IF(AND(V303="면제",OFFSET(Y303,0,COUNTA(Y303:AV303)-1)="면제"),"면제",
IF(AND(V303="면제",OFFSET(Y303,0,COUNTA(Y303:AV303)-1)=0),"면제",
"확인요청"))))))</f>
        <v>정상</v>
      </c>
      <c r="Y303" s="93" t="n">
        <v>55000</v>
      </c>
      <c r="Z303" s="90" t="n">
        <v>55000</v>
      </c>
      <c r="AA303" s="90" t="n">
        <v>55000</v>
      </c>
      <c r="AB303" s="90" t="n">
        <v>55000</v>
      </c>
      <c r="AC303" s="90" t="n">
        <v>55000</v>
      </c>
      <c r="AD303" s="90" t="n">
        <v>55000</v>
      </c>
      <c r="AE303" s="90" t="n">
        <v>55000</v>
      </c>
      <c r="AF303" s="90" t="n">
        <v>55000</v>
      </c>
      <c r="AG303" s="90" t="n">
        <v>55000</v>
      </c>
      <c r="AH303" s="90" t="n">
        <v>55000</v>
      </c>
      <c r="AI303" s="90" t="n">
        <v>55000</v>
      </c>
      <c r="AJ303" s="91" t="n">
        <v>55000</v>
      </c>
      <c r="AK303" s="89" t="n">
        <v>55000</v>
      </c>
      <c r="AL303" s="90" t="n">
        <v>55000</v>
      </c>
      <c r="AM303" s="90"/>
      <c r="AN303" s="90"/>
      <c r="AO303" s="90"/>
      <c r="AP303" s="90"/>
      <c r="AQ303" s="90"/>
      <c r="AR303" s="90"/>
      <c r="AS303" s="90"/>
      <c r="AT303" s="90"/>
      <c r="AU303" s="90"/>
      <c r="AV303" s="91"/>
      <c r="AX303" s="92"/>
    </row>
    <row r="304" customFormat="false" ht="15.65" hidden="false" customHeight="false" outlineLevel="0" collapsed="false">
      <c r="C304" s="72" t="n">
        <f aca="false">COUNTIFS($D$6:D304,"&lt;&gt;"&amp;"")</f>
        <v>299</v>
      </c>
      <c r="D304" s="73" t="s">
        <v>12</v>
      </c>
      <c r="E304" s="76" t="str">
        <f aca="false">
IF($D304="정상",INDEX(임대자산!$D$3:$R$3000,MATCH($F304,임대자산!$I$3:$I$3000,0),MATCH(E$3,임대자산!$D$3:$R$3,0)),
IF($D304="폐업",INDEX(폐업정보!$D$3:$R$3000,MATCH($F304,폐업정보!$I$3:$I$3000,0),MATCH(E$3,폐업정보!$D$3:$R$3,0)),
"Error"))</f>
        <v>경상</v>
      </c>
      <c r="F30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B0299</v>
      </c>
      <c r="G304" s="76" t="str">
        <f aca="false">F304&amp;RANDBETWEEN(0,10)</f>
        <v>B02990</v>
      </c>
      <c r="H304" s="75" t="n">
        <f aca="false">
IF($D304="정상",INDEX(임대자산!$D$3:$R$3000,MATCH($F304,임대자산!$I$3:$I$3000,0),MATCH(H$4,임대자산!$D$3:$R$3,0)),
IF($D304="폐업",INDEX(폐업정보!$D$3:$R$3000,MATCH($F304,폐업정보!$I$3:$I$3000,0),MATCH(H$4,폐업정보!$D$3:$R$3,0)),
"Error"))</f>
        <v>45280</v>
      </c>
      <c r="I304" s="75" t="str">
        <f aca="false">
IF($D304="정상",INDEX(임대자산!$D$3:$R$3000,MATCH($F304,임대자산!$I$3:$I$3000,0),MATCH(I$4,임대자산!$D$3:$R$3,0)),
IF($D304="폐업",INDEX(폐업정보!$D$3:$R$3000,MATCH($F304,폐업정보!$I$3:$I$3000,0),MATCH(I$4,폐업정보!$D$3:$R$3,0)),
"Error"))</f>
        <v>A0299</v>
      </c>
      <c r="J304" s="75" t="str">
        <f aca="false">
IF($D304="정상",INDEX(임대자산!$D$3:$R$3000,MATCH($F304,임대자산!$I$3:$I$3000,0),MATCH(J$4,임대자산!$D$3:$R$3,0)),
IF($D304="폐업",INDEX(폐업정보!$D$3:$R$3000,MATCH($F304,폐업정보!$I$3:$I$3000,0),MATCH(J$4,폐업정보!$D$3:$R$3,0)),
"Error"))</f>
        <v>3810600000</v>
      </c>
      <c r="K304" s="75" t="str">
        <f aca="false">
IF($D304="정상",INDEX(임대자산!$D$3:$R$3000,MATCH($F304,임대자산!$I$3:$I$3000,0),MATCH(K$4,임대자산!$D$3:$R$3,0)),
IF($D304="폐업",INDEX(폐업정보!$D$3:$R$3000,MATCH($F304,폐업정보!$I$3:$I$3000,0),MATCH(K$4,폐업정보!$D$3:$R$3,0)),
"Error"))</f>
        <v>C0299</v>
      </c>
      <c r="L304" s="75" t="str">
        <f aca="false">
IF($D304="정상",INDEX(임대자산!$D$3:$R$3000,MATCH($F304,임대자산!$I$3:$I$3000,0),MATCH(L$4,임대자산!$D$3:$R$3,0)),
IF($D304="폐업",INDEX(폐업정보!$D$3:$R$3000,MATCH($F304,폐업정보!$I$3:$I$3000,0),MATCH(L$4,폐업정보!$D$3:$R$3,0)),
"Error"))</f>
        <v>D0299</v>
      </c>
      <c r="M304" s="76" t="s">
        <v>96</v>
      </c>
      <c r="N304" s="77"/>
      <c r="O304" s="78" t="s">
        <v>97</v>
      </c>
      <c r="P304" s="79" t="n">
        <f aca="false">COUNTIFS(임대자산!$I:$I,가맹점정보!F304,임대자산!$N:$N,가맹점정보!P$4)</f>
        <v>0</v>
      </c>
      <c r="Q304" s="80" t="n">
        <f aca="false">COUNTIFS(임대자산!$I:$I,가맹점정보!F304,임대자산!$N:$N,가맹점정보!Q$4)</f>
        <v>0</v>
      </c>
      <c r="R304" s="81" t="n">
        <f aca="false">COUNTIFS(임대자산!$I:$I,가맹점정보!F304,임대자산!$N:$N,가맹점정보!R$4)</f>
        <v>1</v>
      </c>
      <c r="S304" s="82" t="n">
        <v>55000</v>
      </c>
      <c r="T304" s="83" t="n">
        <v>0</v>
      </c>
      <c r="U304" s="80" t="n">
        <f aca="false">SUM(S304:T304)</f>
        <v>55000</v>
      </c>
      <c r="V304" s="84" t="s">
        <v>12</v>
      </c>
      <c r="W304" s="80" t="e">
        <f aca="true">
IF(D304="폐업","폐업",
IF(V304="면제","면제",
IF(AND(V304="정상",COUNTIFS(OFFSET(Y304,0,COUNTA(Y304:AV304)-1,1,-4),"미납")&gt;=3),"장기미납",
IF(AND(V304="정상",OFFSET(Y304,0,COUNTA(Y304:AV304)-1)&gt;=U304),"정상",
IF(AND(V304="정상",OFFSET(Y304,0,COUNTA(Y304:AV304)-1)=0),"정상",
"계약서 미작성")))))</f>
        <v>#VALUE!</v>
      </c>
      <c r="X304" s="81" t="str">
        <f aca="true">
IF(D304="폐업","폐업",
IF(AND(V304="정상",OFFSET(Y304,0,COUNTA(Y304:AV304)-1)="미납"),"미납",
IF(AND(V304="정상",OFFSET(Y304,0,COUNTA(Y304:AV304)-1)=0),"납부 시작 전",
IF(AND(V304="정상",OFFSET(Y304,0,COUNTA(Y304:AV304)-1)&gt;=U304),"정상",
IF(AND(V304="면제",OFFSET(Y304,0,COUNTA(Y304:AV304)-1)="면제"),"면제",
IF(AND(V304="면제",OFFSET(Y304,0,COUNTA(Y304:AV304)-1)=0),"면제",
"확인요청"))))))</f>
        <v>정상</v>
      </c>
      <c r="Y304" s="93" t="n">
        <v>55000</v>
      </c>
      <c r="Z304" s="90" t="n">
        <v>55000</v>
      </c>
      <c r="AA304" s="90" t="n">
        <v>55000</v>
      </c>
      <c r="AB304" s="90" t="n">
        <v>55000</v>
      </c>
      <c r="AC304" s="90" t="n">
        <v>55000</v>
      </c>
      <c r="AD304" s="90" t="n">
        <v>55000</v>
      </c>
      <c r="AE304" s="90" t="n">
        <v>55000</v>
      </c>
      <c r="AF304" s="90" t="n">
        <v>55000</v>
      </c>
      <c r="AG304" s="90" t="n">
        <v>55000</v>
      </c>
      <c r="AH304" s="90" t="n">
        <v>55000</v>
      </c>
      <c r="AI304" s="90" t="n">
        <v>55000</v>
      </c>
      <c r="AJ304" s="91" t="n">
        <v>55000</v>
      </c>
      <c r="AK304" s="89" t="n">
        <v>55000</v>
      </c>
      <c r="AL304" s="90" t="n">
        <v>55000</v>
      </c>
      <c r="AM304" s="90"/>
      <c r="AN304" s="90"/>
      <c r="AO304" s="90"/>
      <c r="AP304" s="90"/>
      <c r="AQ304" s="90"/>
      <c r="AR304" s="90"/>
      <c r="AS304" s="90"/>
      <c r="AT304" s="90"/>
      <c r="AU304" s="90"/>
      <c r="AV304" s="91"/>
      <c r="AX304" s="92"/>
    </row>
    <row r="305" customFormat="false" ht="15.65" hidden="false" customHeight="false" outlineLevel="0" collapsed="false">
      <c r="C305" s="72" t="n">
        <f aca="false">COUNTIFS($D$6:D305,"&lt;&gt;"&amp;"")</f>
        <v>300</v>
      </c>
      <c r="D305" s="73" t="s">
        <v>12</v>
      </c>
      <c r="E305" s="76" t="str">
        <f aca="false">
IF($D305="정상",INDEX(임대자산!$D$3:$R$3000,MATCH($F305,임대자산!$I$3:$I$3000,0),MATCH(E$3,임대자산!$D$3:$R$3,0)),
IF($D305="폐업",INDEX(폐업정보!$D$3:$R$3000,MATCH($F305,폐업정보!$I$3:$I$3000,0),MATCH(E$3,폐업정보!$D$3:$R$3,0)),
"Error"))</f>
        <v>서울</v>
      </c>
      <c r="F30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B0300</v>
      </c>
      <c r="G305" s="76" t="str">
        <f aca="false">F305&amp;RANDBETWEEN(0,10)</f>
        <v>B03004</v>
      </c>
      <c r="H305" s="75" t="n">
        <f aca="false">
IF($D305="정상",INDEX(임대자산!$D$3:$R$3000,MATCH($F305,임대자산!$I$3:$I$3000,0),MATCH(H$4,임대자산!$D$3:$R$3,0)),
IF($D305="폐업",INDEX(폐업정보!$D$3:$R$3000,MATCH($F305,폐업정보!$I$3:$I$3000,0),MATCH(H$4,폐업정보!$D$3:$R$3,0)),
"Error"))</f>
        <v>45258</v>
      </c>
      <c r="I305" s="75" t="str">
        <f aca="false">
IF($D305="정상",INDEX(임대자산!$D$3:$R$3000,MATCH($F305,임대자산!$I$3:$I$3000,0),MATCH(I$4,임대자산!$D$3:$R$3,0)),
IF($D305="폐업",INDEX(폐업정보!$D$3:$R$3000,MATCH($F305,폐업정보!$I$3:$I$3000,0),MATCH(I$4,폐업정보!$D$3:$R$3,0)),
"Error"))</f>
        <v>A0300</v>
      </c>
      <c r="J305" s="75" t="str">
        <f aca="false">
IF($D305="정상",INDEX(임대자산!$D$3:$R$3000,MATCH($F305,임대자산!$I$3:$I$3000,0),MATCH(J$4,임대자산!$D$3:$R$3,0)),
IF($D305="폐업",INDEX(폐업정보!$D$3:$R$3000,MATCH($F305,폐업정보!$I$3:$I$3000,0),MATCH(J$4,폐업정보!$D$3:$R$3,0)),
"Error"))</f>
        <v>5095900000</v>
      </c>
      <c r="K305" s="75" t="str">
        <f aca="false">
IF($D305="정상",INDEX(임대자산!$D$3:$R$3000,MATCH($F305,임대자산!$I$3:$I$3000,0),MATCH(K$4,임대자산!$D$3:$R$3,0)),
IF($D305="폐업",INDEX(폐업정보!$D$3:$R$3000,MATCH($F305,폐업정보!$I$3:$I$3000,0),MATCH(K$4,폐업정보!$D$3:$R$3,0)),
"Error"))</f>
        <v>C0300</v>
      </c>
      <c r="L305" s="75" t="str">
        <f aca="false">
IF($D305="정상",INDEX(임대자산!$D$3:$R$3000,MATCH($F305,임대자산!$I$3:$I$3000,0),MATCH(L$4,임대자산!$D$3:$R$3,0)),
IF($D305="폐업",INDEX(폐업정보!$D$3:$R$3000,MATCH($F305,폐업정보!$I$3:$I$3000,0),MATCH(L$4,폐업정보!$D$3:$R$3,0)),
"Error"))</f>
        <v>D0300</v>
      </c>
      <c r="M305" s="76" t="s">
        <v>96</v>
      </c>
      <c r="N305" s="77"/>
      <c r="O305" s="78" t="s">
        <v>97</v>
      </c>
      <c r="P305" s="79" t="n">
        <f aca="false">COUNTIFS(임대자산!$I:$I,가맹점정보!F305,임대자산!$N:$N,가맹점정보!P$4)</f>
        <v>0</v>
      </c>
      <c r="Q305" s="80" t="n">
        <f aca="false">COUNTIFS(임대자산!$I:$I,가맹점정보!F305,임대자산!$N:$N,가맹점정보!Q$4)</f>
        <v>0</v>
      </c>
      <c r="R305" s="81" t="n">
        <f aca="false">COUNTIFS(임대자산!$I:$I,가맹점정보!F305,임대자산!$N:$N,가맹점정보!R$4)</f>
        <v>1</v>
      </c>
      <c r="S305" s="82" t="n">
        <v>55000</v>
      </c>
      <c r="T305" s="83" t="n">
        <v>0</v>
      </c>
      <c r="U305" s="80" t="n">
        <f aca="false">SUM(S305:T305)</f>
        <v>55000</v>
      </c>
      <c r="V305" s="84" t="s">
        <v>12</v>
      </c>
      <c r="W305" s="80" t="e">
        <f aca="true">
IF(D305="폐업","폐업",
IF(V305="면제","면제",
IF(AND(V305="정상",COUNTIFS(OFFSET(Y305,0,COUNTA(Y305:AV305)-1,1,-4),"미납")&gt;=3),"장기미납",
IF(AND(V305="정상",OFFSET(Y305,0,COUNTA(Y305:AV305)-1)&gt;=U305),"정상",
IF(AND(V305="정상",OFFSET(Y305,0,COUNTA(Y305:AV305)-1)=0),"정상",
"계약서 미작성")))))</f>
        <v>#VALUE!</v>
      </c>
      <c r="X305" s="81" t="str">
        <f aca="true">
IF(D305="폐업","폐업",
IF(AND(V305="정상",OFFSET(Y305,0,COUNTA(Y305:AV305)-1)="미납"),"미납",
IF(AND(V305="정상",OFFSET(Y305,0,COUNTA(Y305:AV305)-1)=0),"납부 시작 전",
IF(AND(V305="정상",OFFSET(Y305,0,COUNTA(Y305:AV305)-1)&gt;=U305),"정상",
IF(AND(V305="면제",OFFSET(Y305,0,COUNTA(Y305:AV305)-1)="면제"),"면제",
IF(AND(V305="면제",OFFSET(Y305,0,COUNTA(Y305:AV305)-1)=0),"면제",
"확인요청"))))))</f>
        <v>정상</v>
      </c>
      <c r="Y305" s="93" t="n">
        <v>55000</v>
      </c>
      <c r="Z305" s="90" t="n">
        <v>55000</v>
      </c>
      <c r="AA305" s="90" t="n">
        <v>55000</v>
      </c>
      <c r="AB305" s="90" t="n">
        <v>55000</v>
      </c>
      <c r="AC305" s="90" t="n">
        <v>55000</v>
      </c>
      <c r="AD305" s="90" t="n">
        <v>55000</v>
      </c>
      <c r="AE305" s="90" t="n">
        <v>55000</v>
      </c>
      <c r="AF305" s="90" t="n">
        <v>55000</v>
      </c>
      <c r="AG305" s="90" t="n">
        <v>55000</v>
      </c>
      <c r="AH305" s="90" t="n">
        <v>55000</v>
      </c>
      <c r="AI305" s="90" t="n">
        <v>55000</v>
      </c>
      <c r="AJ305" s="91" t="n">
        <v>55000</v>
      </c>
      <c r="AK305" s="89" t="n">
        <v>55000</v>
      </c>
      <c r="AL305" s="90" t="n">
        <v>55000</v>
      </c>
      <c r="AM305" s="90"/>
      <c r="AN305" s="90"/>
      <c r="AO305" s="90"/>
      <c r="AP305" s="90"/>
      <c r="AQ305" s="90"/>
      <c r="AR305" s="90"/>
      <c r="AS305" s="90"/>
      <c r="AT305" s="90"/>
      <c r="AU305" s="90"/>
      <c r="AV305" s="91"/>
      <c r="AX305" s="92"/>
    </row>
    <row r="306" customFormat="false" ht="15.65" hidden="false" customHeight="false" outlineLevel="0" collapsed="false">
      <c r="C306" s="72" t="n">
        <f aca="false">COUNTIFS($D$6:D306,"&lt;&gt;"&amp;"")</f>
        <v>301</v>
      </c>
      <c r="D306" s="73" t="s">
        <v>12</v>
      </c>
      <c r="E306" s="76" t="str">
        <f aca="false">
IF($D306="정상",INDEX(임대자산!$D$3:$R$3000,MATCH($F306,임대자산!$I$3:$I$3000,0),MATCH(E$3,임대자산!$D$3:$R$3,0)),
IF($D306="폐업",INDEX(폐업정보!$D$3:$R$3000,MATCH($F306,폐업정보!$I$3:$I$3000,0),MATCH(E$3,폐업정보!$D$3:$R$3,0)),
"Error"))</f>
        <v>전라</v>
      </c>
      <c r="F30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B0301</v>
      </c>
      <c r="G306" s="76" t="str">
        <f aca="false">F306&amp;RANDBETWEEN(0,10)</f>
        <v>B03017</v>
      </c>
      <c r="H306" s="75" t="n">
        <f aca="false">
IF($D306="정상",INDEX(임대자산!$D$3:$R$3000,MATCH($F306,임대자산!$I$3:$I$3000,0),MATCH(H$4,임대자산!$D$3:$R$3,0)),
IF($D306="폐업",INDEX(폐업정보!$D$3:$R$3000,MATCH($F306,폐업정보!$I$3:$I$3000,0),MATCH(H$4,폐업정보!$D$3:$R$3,0)),
"Error"))</f>
        <v>45196</v>
      </c>
      <c r="I306" s="75" t="str">
        <f aca="false">
IF($D306="정상",INDEX(임대자산!$D$3:$R$3000,MATCH($F306,임대자산!$I$3:$I$3000,0),MATCH(I$4,임대자산!$D$3:$R$3,0)),
IF($D306="폐업",INDEX(폐업정보!$D$3:$R$3000,MATCH($F306,폐업정보!$I$3:$I$3000,0),MATCH(I$4,폐업정보!$D$3:$R$3,0)),
"Error"))</f>
        <v>A0301</v>
      </c>
      <c r="J306" s="75" t="str">
        <f aca="false">
IF($D306="정상",INDEX(임대자산!$D$3:$R$3000,MATCH($F306,임대자산!$I$3:$I$3000,0),MATCH(J$4,임대자산!$D$3:$R$3,0)),
IF($D306="폐업",INDEX(폐업정보!$D$3:$R$3000,MATCH($F306,폐업정보!$I$3:$I$3000,0),MATCH(J$4,폐업정보!$D$3:$R$3,0)),
"Error"))</f>
        <v>1102700000</v>
      </c>
      <c r="K306" s="75" t="str">
        <f aca="false">
IF($D306="정상",INDEX(임대자산!$D$3:$R$3000,MATCH($F306,임대자산!$I$3:$I$3000,0),MATCH(K$4,임대자산!$D$3:$R$3,0)),
IF($D306="폐업",INDEX(폐업정보!$D$3:$R$3000,MATCH($F306,폐업정보!$I$3:$I$3000,0),MATCH(K$4,폐업정보!$D$3:$R$3,0)),
"Error"))</f>
        <v>C0301</v>
      </c>
      <c r="L306" s="75" t="str">
        <f aca="false">
IF($D306="정상",INDEX(임대자산!$D$3:$R$3000,MATCH($F306,임대자산!$I$3:$I$3000,0),MATCH(L$4,임대자산!$D$3:$R$3,0)),
IF($D306="폐업",INDEX(폐업정보!$D$3:$R$3000,MATCH($F306,폐업정보!$I$3:$I$3000,0),MATCH(L$4,폐업정보!$D$3:$R$3,0)),
"Error"))</f>
        <v>D0301</v>
      </c>
      <c r="M306" s="76" t="s">
        <v>96</v>
      </c>
      <c r="N306" s="77"/>
      <c r="O306" s="78" t="s">
        <v>97</v>
      </c>
      <c r="P306" s="79" t="n">
        <f aca="false">COUNTIFS(임대자산!$I:$I,가맹점정보!F306,임대자산!$N:$N,가맹점정보!P$4)</f>
        <v>0</v>
      </c>
      <c r="Q306" s="80" t="n">
        <f aca="false">COUNTIFS(임대자산!$I:$I,가맹점정보!F306,임대자산!$N:$N,가맹점정보!Q$4)</f>
        <v>0</v>
      </c>
      <c r="R306" s="81" t="n">
        <f aca="false">COUNTIFS(임대자산!$I:$I,가맹점정보!F306,임대자산!$N:$N,가맹점정보!R$4)</f>
        <v>1</v>
      </c>
      <c r="S306" s="82" t="n">
        <v>55000</v>
      </c>
      <c r="T306" s="83" t="n">
        <v>0</v>
      </c>
      <c r="U306" s="80" t="n">
        <f aca="false">SUM(S306:T306)</f>
        <v>55000</v>
      </c>
      <c r="V306" s="84" t="s">
        <v>12</v>
      </c>
      <c r="W306" s="80" t="e">
        <f aca="true">
IF(D306="폐업","폐업",
IF(V306="면제","면제",
IF(AND(V306="정상",COUNTIFS(OFFSET(Y306,0,COUNTA(Y306:AV306)-1,1,-4),"미납")&gt;=3),"장기미납",
IF(AND(V306="정상",OFFSET(Y306,0,COUNTA(Y306:AV306)-1)&gt;=U306),"정상",
IF(AND(V306="정상",OFFSET(Y306,0,COUNTA(Y306:AV306)-1)=0),"정상",
"계약서 미작성")))))</f>
        <v>#VALUE!</v>
      </c>
      <c r="X306" s="81" t="str">
        <f aca="true">
IF(D306="폐업","폐업",
IF(AND(V306="정상",OFFSET(Y306,0,COUNTA(Y306:AV306)-1)="미납"),"미납",
IF(AND(V306="정상",OFFSET(Y306,0,COUNTA(Y306:AV306)-1)=0),"납부 시작 전",
IF(AND(V306="정상",OFFSET(Y306,0,COUNTA(Y306:AV306)-1)&gt;=U306),"정상",
IF(AND(V306="면제",OFFSET(Y306,0,COUNTA(Y306:AV306)-1)="면제"),"면제",
IF(AND(V306="면제",OFFSET(Y306,0,COUNTA(Y306:AV306)-1)=0),"면제",
"확인요청"))))))</f>
        <v>정상</v>
      </c>
      <c r="Y306" s="93" t="n">
        <v>55000</v>
      </c>
      <c r="Z306" s="90" t="n">
        <v>55000</v>
      </c>
      <c r="AA306" s="90" t="n">
        <v>55000</v>
      </c>
      <c r="AB306" s="90" t="n">
        <v>55000</v>
      </c>
      <c r="AC306" s="90" t="n">
        <v>55000</v>
      </c>
      <c r="AD306" s="90" t="n">
        <v>55000</v>
      </c>
      <c r="AE306" s="90" t="n">
        <v>55000</v>
      </c>
      <c r="AF306" s="90" t="n">
        <v>55000</v>
      </c>
      <c r="AG306" s="90" t="n">
        <v>55000</v>
      </c>
      <c r="AH306" s="90" t="n">
        <v>55000</v>
      </c>
      <c r="AI306" s="90" t="n">
        <v>55000</v>
      </c>
      <c r="AJ306" s="91" t="n">
        <v>55000</v>
      </c>
      <c r="AK306" s="89" t="n">
        <v>55000</v>
      </c>
      <c r="AL306" s="90" t="n">
        <v>55000</v>
      </c>
      <c r="AM306" s="90"/>
      <c r="AN306" s="90"/>
      <c r="AO306" s="90"/>
      <c r="AP306" s="90"/>
      <c r="AQ306" s="90"/>
      <c r="AR306" s="90"/>
      <c r="AS306" s="90"/>
      <c r="AT306" s="90"/>
      <c r="AU306" s="90"/>
      <c r="AV306" s="91"/>
      <c r="AX306" s="92"/>
    </row>
    <row r="307" customFormat="false" ht="15.65" hidden="false" customHeight="false" outlineLevel="0" collapsed="false">
      <c r="C307" s="72" t="n">
        <f aca="false">COUNTIFS($D$6:D307,"&lt;&gt;"&amp;"")</f>
        <v>302</v>
      </c>
      <c r="D307" s="73" t="s">
        <v>5</v>
      </c>
      <c r="E307" s="76" t="str">
        <f aca="false">
IF($D307="정상",INDEX(임대자산!$D$3:$R$3000,MATCH($F307,임대자산!$I$3:$I$3000,0),MATCH(E$3,임대자산!$D$3:$R$3,0)),
IF($D307="폐업",INDEX(폐업정보!$D$3:$R$3000,MATCH($F307,폐업정보!$I$3:$I$3000,0),MATCH(E$3,폐업정보!$D$3:$R$3,0)),
"Error"))</f>
        <v>전라</v>
      </c>
      <c r="F30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B0302</v>
      </c>
      <c r="G307" s="76" t="str">
        <f aca="false">F307&amp;RANDBETWEEN(0,10)</f>
        <v>B03025</v>
      </c>
      <c r="H307" s="75" t="n">
        <f aca="false">
IF($D307="정상",INDEX(임대자산!$D$3:$R$3000,MATCH($F307,임대자산!$I$3:$I$3000,0),MATCH(H$4,임대자산!$D$3:$R$3,0)),
IF($D307="폐업",INDEX(폐업정보!$D$3:$R$3000,MATCH($F307,폐업정보!$I$3:$I$3000,0),MATCH(H$4,폐업정보!$D$3:$R$3,0)),
"Error"))</f>
        <v>45196</v>
      </c>
      <c r="I307" s="75" t="str">
        <f aca="false">
IF($D307="정상",INDEX(임대자산!$D$3:$R$3000,MATCH($F307,임대자산!$I$3:$I$3000,0),MATCH(I$4,임대자산!$D$3:$R$3,0)),
IF($D307="폐업",INDEX(폐업정보!$D$3:$R$3000,MATCH($F307,폐업정보!$I$3:$I$3000,0),MATCH(I$4,폐업정보!$D$3:$R$3,0)),
"Error"))</f>
        <v>A0302</v>
      </c>
      <c r="J307" s="75" t="str">
        <f aca="false">
IF($D307="정상",INDEX(임대자산!$D$3:$R$3000,MATCH($F307,임대자산!$I$3:$I$3000,0),MATCH(J$4,임대자산!$D$3:$R$3,0)),
IF($D307="폐업",INDEX(폐업정보!$D$3:$R$3000,MATCH($F307,폐업정보!$I$3:$I$3000,0),MATCH(J$4,폐업정보!$D$3:$R$3,0)),
"Error"))</f>
        <v>5954800000</v>
      </c>
      <c r="K307" s="75" t="str">
        <f aca="false">
IF($D307="정상",INDEX(임대자산!$D$3:$R$3000,MATCH($F307,임대자산!$I$3:$I$3000,0),MATCH(K$4,임대자산!$D$3:$R$3,0)),
IF($D307="폐업",INDEX(폐업정보!$D$3:$R$3000,MATCH($F307,폐업정보!$I$3:$I$3000,0),MATCH(K$4,폐업정보!$D$3:$R$3,0)),
"Error"))</f>
        <v>C0302</v>
      </c>
      <c r="L307" s="75" t="str">
        <f aca="false">
IF($D307="정상",INDEX(임대자산!$D$3:$R$3000,MATCH($F307,임대자산!$I$3:$I$3000,0),MATCH(L$4,임대자산!$D$3:$R$3,0)),
IF($D307="폐업",INDEX(폐업정보!$D$3:$R$3000,MATCH($F307,폐업정보!$I$3:$I$3000,0),MATCH(L$4,폐업정보!$D$3:$R$3,0)),
"Error"))</f>
        <v>D0302</v>
      </c>
      <c r="M307" s="76" t="s">
        <v>96</v>
      </c>
      <c r="N307" s="77"/>
      <c r="O307" s="78" t="s">
        <v>97</v>
      </c>
      <c r="P307" s="79" t="n">
        <f aca="false">COUNTIFS(임대자산!$I:$I,가맹점정보!F307,임대자산!$N:$N,가맹점정보!P$4)</f>
        <v>0</v>
      </c>
      <c r="Q307" s="80" t="n">
        <f aca="false">COUNTIFS(임대자산!$I:$I,가맹점정보!F307,임대자산!$N:$N,가맹점정보!Q$4)</f>
        <v>0</v>
      </c>
      <c r="R307" s="81" t="n">
        <f aca="false">COUNTIFS(임대자산!$I:$I,가맹점정보!F307,임대자산!$N:$N,가맹점정보!R$4)</f>
        <v>0</v>
      </c>
      <c r="S307" s="82" t="n">
        <v>55000</v>
      </c>
      <c r="T307" s="83" t="n">
        <v>0</v>
      </c>
      <c r="U307" s="80" t="n">
        <f aca="false">SUM(S307:T307)</f>
        <v>55000</v>
      </c>
      <c r="V307" s="84" t="s">
        <v>12</v>
      </c>
      <c r="W307" s="80" t="str">
        <f aca="true">
IF(D307="폐업","폐업",
IF(V307="면제","면제",
IF(AND(V307="정상",COUNTIFS(OFFSET(Y307,0,COUNTA(Y307:AV307)-1,1,-4),"미납")&gt;=3),"장기미납",
IF(AND(V307="정상",OFFSET(Y307,0,COUNTA(Y307:AV307)-1)&gt;=U307),"정상",
IF(AND(V307="정상",OFFSET(Y307,0,COUNTA(Y307:AV307)-1)=0),"정상",
"계약서 미작성")))))</f>
        <v>폐업</v>
      </c>
      <c r="X307" s="81" t="str">
        <f aca="true">
IF(D307="폐업","폐업",
IF(AND(V307="정상",OFFSET(Y307,0,COUNTA(Y307:AV307)-1)="미납"),"미납",
IF(AND(V307="정상",OFFSET(Y307,0,COUNTA(Y307:AV307)-1)=0),"납부 시작 전",
IF(AND(V307="정상",OFFSET(Y307,0,COUNTA(Y307:AV307)-1)&gt;=U307),"정상",
IF(AND(V307="면제",OFFSET(Y307,0,COUNTA(Y307:AV307)-1)="면제"),"면제",
IF(AND(V307="면제",OFFSET(Y307,0,COUNTA(Y307:AV307)-1)=0),"면제",
"확인요청"))))))</f>
        <v>폐업</v>
      </c>
      <c r="Y307" s="93" t="n">
        <v>55000</v>
      </c>
      <c r="Z307" s="90" t="n">
        <v>55000</v>
      </c>
      <c r="AA307" s="90" t="n">
        <v>55000</v>
      </c>
      <c r="AB307" s="90" t="n">
        <v>55000</v>
      </c>
      <c r="AC307" s="90" t="n">
        <v>55000</v>
      </c>
      <c r="AD307" s="90" t="n">
        <v>55000</v>
      </c>
      <c r="AE307" s="90" t="n">
        <v>55000</v>
      </c>
      <c r="AF307" s="90" t="n">
        <v>55000</v>
      </c>
      <c r="AG307" s="90" t="n">
        <v>55000</v>
      </c>
      <c r="AH307" s="90" t="n">
        <v>55000</v>
      </c>
      <c r="AI307" s="90" t="n">
        <v>55000</v>
      </c>
      <c r="AJ307" s="91" t="n">
        <v>55000</v>
      </c>
      <c r="AK307" s="89" t="n">
        <v>55000</v>
      </c>
      <c r="AL307" s="90" t="n">
        <v>55000</v>
      </c>
      <c r="AM307" s="90"/>
      <c r="AN307" s="90"/>
      <c r="AO307" s="90"/>
      <c r="AP307" s="90"/>
      <c r="AQ307" s="90"/>
      <c r="AR307" s="90"/>
      <c r="AS307" s="90"/>
      <c r="AT307" s="90"/>
      <c r="AU307" s="90"/>
      <c r="AV307" s="91"/>
      <c r="AX307" s="92"/>
    </row>
    <row r="308" customFormat="false" ht="15.65" hidden="false" customHeight="false" outlineLevel="0" collapsed="false">
      <c r="C308" s="72" t="n">
        <f aca="false">COUNTIFS($D$6:D308,"&lt;&gt;"&amp;"")</f>
        <v>303</v>
      </c>
      <c r="D308" s="73" t="s">
        <v>5</v>
      </c>
      <c r="E308" s="76" t="str">
        <f aca="false">
IF($D308="정상",INDEX(임대자산!$D$3:$R$3000,MATCH($F308,임대자산!$I$3:$I$3000,0),MATCH(E$3,임대자산!$D$3:$R$3,0)),
IF($D308="폐업",INDEX(폐업정보!$D$3:$R$3000,MATCH($F308,폐업정보!$I$3:$I$3000,0),MATCH(E$3,폐업정보!$D$3:$R$3,0)),
"Error"))</f>
        <v>전라</v>
      </c>
      <c r="F30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B0303</v>
      </c>
      <c r="G308" s="76" t="str">
        <f aca="false">F308&amp;RANDBETWEEN(0,10)</f>
        <v>B03034</v>
      </c>
      <c r="H308" s="75" t="n">
        <f aca="false">
IF($D308="정상",INDEX(임대자산!$D$3:$R$3000,MATCH($F308,임대자산!$I$3:$I$3000,0),MATCH(H$4,임대자산!$D$3:$R$3,0)),
IF($D308="폐업",INDEX(폐업정보!$D$3:$R$3000,MATCH($F308,폐업정보!$I$3:$I$3000,0),MATCH(H$4,폐업정보!$D$3:$R$3,0)),
"Error"))</f>
        <v>45196</v>
      </c>
      <c r="I308" s="75" t="str">
        <f aca="false">
IF($D308="정상",INDEX(임대자산!$D$3:$R$3000,MATCH($F308,임대자산!$I$3:$I$3000,0),MATCH(I$4,임대자산!$D$3:$R$3,0)),
IF($D308="폐업",INDEX(폐업정보!$D$3:$R$3000,MATCH($F308,폐업정보!$I$3:$I$3000,0),MATCH(I$4,폐업정보!$D$3:$R$3,0)),
"Error"))</f>
        <v>A0303</v>
      </c>
      <c r="J308" s="75" t="str">
        <f aca="false">
IF($D308="정상",INDEX(임대자산!$D$3:$R$3000,MATCH($F308,임대자산!$I$3:$I$3000,0),MATCH(J$4,임대자산!$D$3:$R$3,0)),
IF($D308="폐업",INDEX(폐업정보!$D$3:$R$3000,MATCH($F308,폐업정보!$I$3:$I$3000,0),MATCH(J$4,폐업정보!$D$3:$R$3,0)),
"Error"))</f>
        <v>9934400000</v>
      </c>
      <c r="K308" s="75" t="str">
        <f aca="false">
IF($D308="정상",INDEX(임대자산!$D$3:$R$3000,MATCH($F308,임대자산!$I$3:$I$3000,0),MATCH(K$4,임대자산!$D$3:$R$3,0)),
IF($D308="폐업",INDEX(폐업정보!$D$3:$R$3000,MATCH($F308,폐업정보!$I$3:$I$3000,0),MATCH(K$4,폐업정보!$D$3:$R$3,0)),
"Error"))</f>
        <v>C0303</v>
      </c>
      <c r="L308" s="75" t="str">
        <f aca="false">
IF($D308="정상",INDEX(임대자산!$D$3:$R$3000,MATCH($F308,임대자산!$I$3:$I$3000,0),MATCH(L$4,임대자산!$D$3:$R$3,0)),
IF($D308="폐업",INDEX(폐업정보!$D$3:$R$3000,MATCH($F308,폐업정보!$I$3:$I$3000,0),MATCH(L$4,폐업정보!$D$3:$R$3,0)),
"Error"))</f>
        <v>D0303</v>
      </c>
      <c r="M308" s="76" t="s">
        <v>96</v>
      </c>
      <c r="N308" s="77"/>
      <c r="O308" s="78" t="s">
        <v>97</v>
      </c>
      <c r="P308" s="79" t="n">
        <f aca="false">COUNTIFS(임대자산!$I:$I,가맹점정보!F308,임대자산!$N:$N,가맹점정보!P$4)</f>
        <v>0</v>
      </c>
      <c r="Q308" s="80" t="n">
        <f aca="false">COUNTIFS(임대자산!$I:$I,가맹점정보!F308,임대자산!$N:$N,가맹점정보!Q$4)</f>
        <v>0</v>
      </c>
      <c r="R308" s="81" t="n">
        <f aca="false">COUNTIFS(임대자산!$I:$I,가맹점정보!F308,임대자산!$N:$N,가맹점정보!R$4)</f>
        <v>0</v>
      </c>
      <c r="S308" s="82" t="n">
        <v>55000</v>
      </c>
      <c r="T308" s="83" t="n">
        <v>0</v>
      </c>
      <c r="U308" s="80" t="n">
        <f aca="false">SUM(S308:T308)</f>
        <v>55000</v>
      </c>
      <c r="V308" s="84" t="s">
        <v>12</v>
      </c>
      <c r="W308" s="80" t="str">
        <f aca="true">
IF(D308="폐업","폐업",
IF(V308="면제","면제",
IF(AND(V308="정상",COUNTIFS(OFFSET(Y308,0,COUNTA(Y308:AV308)-1,1,-4),"미납")&gt;=3),"장기미납",
IF(AND(V308="정상",OFFSET(Y308,0,COUNTA(Y308:AV308)-1)&gt;=U308),"정상",
IF(AND(V308="정상",OFFSET(Y308,0,COUNTA(Y308:AV308)-1)=0),"정상",
"계약서 미작성")))))</f>
        <v>폐업</v>
      </c>
      <c r="X308" s="81" t="str">
        <f aca="true">
IF(D308="폐업","폐업",
IF(AND(V308="정상",OFFSET(Y308,0,COUNTA(Y308:AV308)-1)="미납"),"미납",
IF(AND(V308="정상",OFFSET(Y308,0,COUNTA(Y308:AV308)-1)=0),"납부 시작 전",
IF(AND(V308="정상",OFFSET(Y308,0,COUNTA(Y308:AV308)-1)&gt;=U308),"정상",
IF(AND(V308="면제",OFFSET(Y308,0,COUNTA(Y308:AV308)-1)="면제"),"면제",
IF(AND(V308="면제",OFFSET(Y308,0,COUNTA(Y308:AV308)-1)=0),"면제",
"확인요청"))))))</f>
        <v>폐업</v>
      </c>
      <c r="Y308" s="93" t="n">
        <v>55000</v>
      </c>
      <c r="Z308" s="90" t="n">
        <v>55000</v>
      </c>
      <c r="AA308" s="90" t="n">
        <v>55000</v>
      </c>
      <c r="AB308" s="90" t="n">
        <v>55000</v>
      </c>
      <c r="AC308" s="90" t="n">
        <v>55000</v>
      </c>
      <c r="AD308" s="90" t="n">
        <v>55000</v>
      </c>
      <c r="AE308" s="90" t="n">
        <v>55000</v>
      </c>
      <c r="AF308" s="90" t="n">
        <v>55000</v>
      </c>
      <c r="AG308" s="90" t="n">
        <v>55000</v>
      </c>
      <c r="AH308" s="90" t="n">
        <v>55000</v>
      </c>
      <c r="AI308" s="90" t="n">
        <v>55000</v>
      </c>
      <c r="AJ308" s="91" t="n">
        <v>55000</v>
      </c>
      <c r="AK308" s="89" t="n">
        <v>55000</v>
      </c>
      <c r="AL308" s="90" t="n">
        <v>55000</v>
      </c>
      <c r="AM308" s="90"/>
      <c r="AN308" s="90"/>
      <c r="AO308" s="90"/>
      <c r="AP308" s="90"/>
      <c r="AQ308" s="90"/>
      <c r="AR308" s="90"/>
      <c r="AS308" s="90"/>
      <c r="AT308" s="90"/>
      <c r="AU308" s="90"/>
      <c r="AV308" s="91"/>
      <c r="AX308" s="92"/>
    </row>
    <row r="309" customFormat="false" ht="15.65" hidden="false" customHeight="false" outlineLevel="0" collapsed="false">
      <c r="C309" s="72" t="n">
        <f aca="false">COUNTIFS($D$6:D309,"&lt;&gt;"&amp;"")</f>
        <v>304</v>
      </c>
      <c r="D309" s="73" t="s">
        <v>12</v>
      </c>
      <c r="E309" s="76" t="str">
        <f aca="false">
IF($D309="정상",INDEX(임대자산!$D$3:$R$3000,MATCH($F309,임대자산!$I$3:$I$3000,0),MATCH(E$3,임대자산!$D$3:$R$3,0)),
IF($D309="폐업",INDEX(폐업정보!$D$3:$R$3000,MATCH($F309,폐업정보!$I$3:$I$3000,0),MATCH(E$3,폐업정보!$D$3:$R$3,0)),
"Error"))</f>
        <v>전라</v>
      </c>
      <c r="F30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B0304</v>
      </c>
      <c r="G309" s="76" t="str">
        <f aca="false">F309&amp;RANDBETWEEN(0,10)</f>
        <v>B03044</v>
      </c>
      <c r="H309" s="75" t="n">
        <f aca="false">
IF($D309="정상",INDEX(임대자산!$D$3:$R$3000,MATCH($F309,임대자산!$I$3:$I$3000,0),MATCH(H$4,임대자산!$D$3:$R$3,0)),
IF($D309="폐업",INDEX(폐업정보!$D$3:$R$3000,MATCH($F309,폐업정보!$I$3:$I$3000,0),MATCH(H$4,폐업정보!$D$3:$R$3,0)),
"Error"))</f>
        <v>45237</v>
      </c>
      <c r="I309" s="75" t="str">
        <f aca="false">
IF($D309="정상",INDEX(임대자산!$D$3:$R$3000,MATCH($F309,임대자산!$I$3:$I$3000,0),MATCH(I$4,임대자산!$D$3:$R$3,0)),
IF($D309="폐업",INDEX(폐업정보!$D$3:$R$3000,MATCH($F309,폐업정보!$I$3:$I$3000,0),MATCH(I$4,폐업정보!$D$3:$R$3,0)),
"Error"))</f>
        <v>A0304</v>
      </c>
      <c r="J309" s="75" t="str">
        <f aca="false">
IF($D309="정상",INDEX(임대자산!$D$3:$R$3000,MATCH($F309,임대자산!$I$3:$I$3000,0),MATCH(J$4,임대자산!$D$3:$R$3,0)),
IF($D309="폐업",INDEX(폐업정보!$D$3:$R$3000,MATCH($F309,폐업정보!$I$3:$I$3000,0),MATCH(J$4,폐업정보!$D$3:$R$3,0)),
"Error"))</f>
        <v>5390600000</v>
      </c>
      <c r="K309" s="75" t="str">
        <f aca="false">
IF($D309="정상",INDEX(임대자산!$D$3:$R$3000,MATCH($F309,임대자산!$I$3:$I$3000,0),MATCH(K$4,임대자산!$D$3:$R$3,0)),
IF($D309="폐업",INDEX(폐업정보!$D$3:$R$3000,MATCH($F309,폐업정보!$I$3:$I$3000,0),MATCH(K$4,폐업정보!$D$3:$R$3,0)),
"Error"))</f>
        <v>C0304</v>
      </c>
      <c r="L309" s="75" t="str">
        <f aca="false">
IF($D309="정상",INDEX(임대자산!$D$3:$R$3000,MATCH($F309,임대자산!$I$3:$I$3000,0),MATCH(L$4,임대자산!$D$3:$R$3,0)),
IF($D309="폐업",INDEX(폐업정보!$D$3:$R$3000,MATCH($F309,폐업정보!$I$3:$I$3000,0),MATCH(L$4,폐업정보!$D$3:$R$3,0)),
"Error"))</f>
        <v>D0304</v>
      </c>
      <c r="M309" s="76" t="s">
        <v>96</v>
      </c>
      <c r="N309" s="77"/>
      <c r="O309" s="78" t="s">
        <v>97</v>
      </c>
      <c r="P309" s="79" t="n">
        <f aca="false">COUNTIFS(임대자산!$I:$I,가맹점정보!F309,임대자산!$N:$N,가맹점정보!P$4)</f>
        <v>0</v>
      </c>
      <c r="Q309" s="80" t="n">
        <f aca="false">COUNTIFS(임대자산!$I:$I,가맹점정보!F309,임대자산!$N:$N,가맹점정보!Q$4)</f>
        <v>0</v>
      </c>
      <c r="R309" s="81" t="n">
        <f aca="false">COUNTIFS(임대자산!$I:$I,가맹점정보!F309,임대자산!$N:$N,가맹점정보!R$4)</f>
        <v>1</v>
      </c>
      <c r="S309" s="82" t="n">
        <v>96000</v>
      </c>
      <c r="T309" s="83" t="n">
        <v>0</v>
      </c>
      <c r="U309" s="80" t="n">
        <f aca="false">SUM(S309:T309)</f>
        <v>96000</v>
      </c>
      <c r="V309" s="84" t="s">
        <v>12</v>
      </c>
      <c r="W309" s="80" t="e">
        <f aca="true">
IF(D309="폐업","폐업",
IF(V309="면제","면제",
IF(AND(V309="정상",COUNTIFS(OFFSET(Y309,0,COUNTA(Y309:AV309)-1,1,-4),"미납")&gt;=3),"장기미납",
IF(AND(V309="정상",OFFSET(Y309,0,COUNTA(Y309:AV309)-1)&gt;=U309),"정상",
IF(AND(V309="정상",OFFSET(Y309,0,COUNTA(Y309:AV309)-1)=0),"정상",
"계약서 미작성")))))</f>
        <v>#VALUE!</v>
      </c>
      <c r="X309" s="81" t="str">
        <f aca="true">
IF(D309="폐업","폐업",
IF(AND(V309="정상",OFFSET(Y309,0,COUNTA(Y309:AV309)-1)="미납"),"미납",
IF(AND(V309="정상",OFFSET(Y309,0,COUNTA(Y309:AV309)-1)=0),"납부 시작 전",
IF(AND(V309="정상",OFFSET(Y309,0,COUNTA(Y309:AV309)-1)&gt;=U309),"정상",
IF(AND(V309="면제",OFFSET(Y309,0,COUNTA(Y309:AV309)-1)="면제"),"면제",
IF(AND(V309="면제",OFFSET(Y309,0,COUNTA(Y309:AV309)-1)=0),"면제",
"확인요청"))))))</f>
        <v>정상</v>
      </c>
      <c r="Y309" s="93" t="n">
        <v>96000</v>
      </c>
      <c r="Z309" s="90" t="n">
        <v>96000</v>
      </c>
      <c r="AA309" s="90" t="n">
        <v>96000</v>
      </c>
      <c r="AB309" s="90" t="n">
        <v>96000</v>
      </c>
      <c r="AC309" s="90" t="n">
        <v>96000</v>
      </c>
      <c r="AD309" s="90" t="n">
        <v>96000</v>
      </c>
      <c r="AE309" s="90" t="n">
        <v>96000</v>
      </c>
      <c r="AF309" s="90" t="n">
        <v>96000</v>
      </c>
      <c r="AG309" s="90" t="n">
        <v>96000</v>
      </c>
      <c r="AH309" s="90" t="n">
        <v>96000</v>
      </c>
      <c r="AI309" s="90" t="n">
        <v>96000</v>
      </c>
      <c r="AJ309" s="91" t="n">
        <v>96000</v>
      </c>
      <c r="AK309" s="89" t="n">
        <v>96000</v>
      </c>
      <c r="AL309" s="90" t="n">
        <v>96000</v>
      </c>
      <c r="AM309" s="90"/>
      <c r="AN309" s="90"/>
      <c r="AO309" s="90"/>
      <c r="AP309" s="90"/>
      <c r="AQ309" s="90"/>
      <c r="AR309" s="90"/>
      <c r="AS309" s="90"/>
      <c r="AT309" s="90"/>
      <c r="AU309" s="90"/>
      <c r="AV309" s="91"/>
      <c r="AX309" s="92"/>
    </row>
    <row r="310" customFormat="false" ht="15.65" hidden="false" customHeight="false" outlineLevel="0" collapsed="false">
      <c r="C310" s="72" t="n">
        <f aca="false">COUNTIFS($D$6:D310,"&lt;&gt;"&amp;"")</f>
        <v>305</v>
      </c>
      <c r="D310" s="73" t="s">
        <v>12</v>
      </c>
      <c r="E310" s="76" t="str">
        <f aca="false">
IF($D310="정상",INDEX(임대자산!$D$3:$R$3000,MATCH($F310,임대자산!$I$3:$I$3000,0),MATCH(E$3,임대자산!$D$3:$R$3,0)),
IF($D310="폐업",INDEX(폐업정보!$D$3:$R$3000,MATCH($F310,폐업정보!$I$3:$I$3000,0),MATCH(E$3,폐업정보!$D$3:$R$3,0)),
"Error"))</f>
        <v>강원</v>
      </c>
      <c r="F31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B0305</v>
      </c>
      <c r="G310" s="76" t="str">
        <f aca="false">F310&amp;RANDBETWEEN(0,10)</f>
        <v>B03050</v>
      </c>
      <c r="H310" s="75" t="n">
        <f aca="false">
IF($D310="정상",INDEX(임대자산!$D$3:$R$3000,MATCH($F310,임대자산!$I$3:$I$3000,0),MATCH(H$4,임대자산!$D$3:$R$3,0)),
IF($D310="폐업",INDEX(폐업정보!$D$3:$R$3000,MATCH($F310,폐업정보!$I$3:$I$3000,0),MATCH(H$4,폐업정보!$D$3:$R$3,0)),
"Error"))</f>
        <v>45271</v>
      </c>
      <c r="I310" s="75" t="str">
        <f aca="false">
IF($D310="정상",INDEX(임대자산!$D$3:$R$3000,MATCH($F310,임대자산!$I$3:$I$3000,0),MATCH(I$4,임대자산!$D$3:$R$3,0)),
IF($D310="폐업",INDEX(폐업정보!$D$3:$R$3000,MATCH($F310,폐업정보!$I$3:$I$3000,0),MATCH(I$4,폐업정보!$D$3:$R$3,0)),
"Error"))</f>
        <v>A0305</v>
      </c>
      <c r="J310" s="75" t="str">
        <f aca="false">
IF($D310="정상",INDEX(임대자산!$D$3:$R$3000,MATCH($F310,임대자산!$I$3:$I$3000,0),MATCH(J$4,임대자산!$D$3:$R$3,0)),
IF($D310="폐업",INDEX(폐업정보!$D$3:$R$3000,MATCH($F310,폐업정보!$I$3:$I$3000,0),MATCH(J$4,폐업정보!$D$3:$R$3,0)),
"Error"))</f>
        <v>5265200000</v>
      </c>
      <c r="K310" s="75" t="str">
        <f aca="false">
IF($D310="정상",INDEX(임대자산!$D$3:$R$3000,MATCH($F310,임대자산!$I$3:$I$3000,0),MATCH(K$4,임대자산!$D$3:$R$3,0)),
IF($D310="폐업",INDEX(폐업정보!$D$3:$R$3000,MATCH($F310,폐업정보!$I$3:$I$3000,0),MATCH(K$4,폐업정보!$D$3:$R$3,0)),
"Error"))</f>
        <v>C0305</v>
      </c>
      <c r="L310" s="75" t="str">
        <f aca="false">
IF($D310="정상",INDEX(임대자산!$D$3:$R$3000,MATCH($F310,임대자산!$I$3:$I$3000,0),MATCH(L$4,임대자산!$D$3:$R$3,0)),
IF($D310="폐업",INDEX(폐업정보!$D$3:$R$3000,MATCH($F310,폐업정보!$I$3:$I$3000,0),MATCH(L$4,폐업정보!$D$3:$R$3,0)),
"Error"))</f>
        <v>D0305</v>
      </c>
      <c r="M310" s="76" t="s">
        <v>96</v>
      </c>
      <c r="N310" s="77"/>
      <c r="O310" s="78" t="s">
        <v>97</v>
      </c>
      <c r="P310" s="79" t="n">
        <f aca="false">COUNTIFS(임대자산!$I:$I,가맹점정보!F310,임대자산!$N:$N,가맹점정보!P$4)</f>
        <v>0</v>
      </c>
      <c r="Q310" s="80" t="n">
        <f aca="false">COUNTIFS(임대자산!$I:$I,가맹점정보!F310,임대자산!$N:$N,가맹점정보!Q$4)</f>
        <v>0</v>
      </c>
      <c r="R310" s="81" t="n">
        <f aca="false">COUNTIFS(임대자산!$I:$I,가맹점정보!F310,임대자산!$N:$N,가맹점정보!R$4)</f>
        <v>1</v>
      </c>
      <c r="S310" s="82" t="n">
        <v>55000</v>
      </c>
      <c r="T310" s="83" t="n">
        <v>0</v>
      </c>
      <c r="U310" s="80" t="n">
        <f aca="false">SUM(S310:T310)</f>
        <v>55000</v>
      </c>
      <c r="V310" s="84" t="s">
        <v>12</v>
      </c>
      <c r="W310" s="80" t="e">
        <f aca="true">
IF(D310="폐업","폐업",
IF(V310="면제","면제",
IF(AND(V310="정상",COUNTIFS(OFFSET(Y310,0,COUNTA(Y310:AV310)-1,1,-4),"미납")&gt;=3),"장기미납",
IF(AND(V310="정상",OFFSET(Y310,0,COUNTA(Y310:AV310)-1)&gt;=U310),"정상",
IF(AND(V310="정상",OFFSET(Y310,0,COUNTA(Y310:AV310)-1)=0),"정상",
"계약서 미작성")))))</f>
        <v>#VALUE!</v>
      </c>
      <c r="X310" s="81" t="str">
        <f aca="true">
IF(D310="폐업","폐업",
IF(AND(V310="정상",OFFSET(Y310,0,COUNTA(Y310:AV310)-1)="미납"),"미납",
IF(AND(V310="정상",OFFSET(Y310,0,COUNTA(Y310:AV310)-1)=0),"납부 시작 전",
IF(AND(V310="정상",OFFSET(Y310,0,COUNTA(Y310:AV310)-1)&gt;=U310),"정상",
IF(AND(V310="면제",OFFSET(Y310,0,COUNTA(Y310:AV310)-1)="면제"),"면제",
IF(AND(V310="면제",OFFSET(Y310,0,COUNTA(Y310:AV310)-1)=0),"면제",
"확인요청"))))))</f>
        <v>정상</v>
      </c>
      <c r="Y310" s="93" t="n">
        <v>55000</v>
      </c>
      <c r="Z310" s="90" t="n">
        <v>55000</v>
      </c>
      <c r="AA310" s="90" t="n">
        <v>55000</v>
      </c>
      <c r="AB310" s="90" t="n">
        <v>55000</v>
      </c>
      <c r="AC310" s="90" t="n">
        <v>55000</v>
      </c>
      <c r="AD310" s="90" t="n">
        <v>55000</v>
      </c>
      <c r="AE310" s="90" t="n">
        <v>55000</v>
      </c>
      <c r="AF310" s="90" t="n">
        <v>55000</v>
      </c>
      <c r="AG310" s="90" t="n">
        <v>55000</v>
      </c>
      <c r="AH310" s="90" t="n">
        <v>55000</v>
      </c>
      <c r="AI310" s="90" t="n">
        <v>55000</v>
      </c>
      <c r="AJ310" s="91" t="n">
        <v>55000</v>
      </c>
      <c r="AK310" s="89" t="n">
        <v>55000</v>
      </c>
      <c r="AL310" s="90" t="n">
        <v>55000</v>
      </c>
      <c r="AM310" s="90"/>
      <c r="AN310" s="90"/>
      <c r="AO310" s="90"/>
      <c r="AP310" s="90"/>
      <c r="AQ310" s="90"/>
      <c r="AR310" s="90"/>
      <c r="AS310" s="90"/>
      <c r="AT310" s="90"/>
      <c r="AU310" s="90"/>
      <c r="AV310" s="91"/>
      <c r="AX310" s="92"/>
    </row>
    <row r="311" customFormat="false" ht="15.65" hidden="false" customHeight="false" outlineLevel="0" collapsed="false">
      <c r="C311" s="72" t="n">
        <f aca="false">COUNTIFS($D$6:D311,"&lt;&gt;"&amp;"")</f>
        <v>306</v>
      </c>
      <c r="D311" s="73" t="s">
        <v>12</v>
      </c>
      <c r="E311" s="76" t="str">
        <f aca="false">
IF($D311="정상",INDEX(임대자산!$D$3:$R$3000,MATCH($F311,임대자산!$I$3:$I$3000,0),MATCH(E$3,임대자산!$D$3:$R$3,0)),
IF($D311="폐업",INDEX(폐업정보!$D$3:$R$3000,MATCH($F311,폐업정보!$I$3:$I$3000,0),MATCH(E$3,폐업정보!$D$3:$R$3,0)),
"Error"))</f>
        <v>강원</v>
      </c>
      <c r="F31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B0306</v>
      </c>
      <c r="G311" s="76" t="str">
        <f aca="false">F311&amp;RANDBETWEEN(0,10)</f>
        <v>B03065</v>
      </c>
      <c r="H311" s="75" t="n">
        <f aca="false">
IF($D311="정상",INDEX(임대자산!$D$3:$R$3000,MATCH($F311,임대자산!$I$3:$I$3000,0),MATCH(H$4,임대자산!$D$3:$R$3,0)),
IF($D311="폐업",INDEX(폐업정보!$D$3:$R$3000,MATCH($F311,폐업정보!$I$3:$I$3000,0),MATCH(H$4,폐업정보!$D$3:$R$3,0)),
"Error"))</f>
        <v>45273</v>
      </c>
      <c r="I311" s="75" t="str">
        <f aca="false">
IF($D311="정상",INDEX(임대자산!$D$3:$R$3000,MATCH($F311,임대자산!$I$3:$I$3000,0),MATCH(I$4,임대자산!$D$3:$R$3,0)),
IF($D311="폐업",INDEX(폐업정보!$D$3:$R$3000,MATCH($F311,폐업정보!$I$3:$I$3000,0),MATCH(I$4,폐업정보!$D$3:$R$3,0)),
"Error"))</f>
        <v>A0306</v>
      </c>
      <c r="J311" s="75" t="str">
        <f aca="false">
IF($D311="정상",INDEX(임대자산!$D$3:$R$3000,MATCH($F311,임대자산!$I$3:$I$3000,0),MATCH(J$4,임대자산!$D$3:$R$3,0)),
IF($D311="폐업",INDEX(폐업정보!$D$3:$R$3000,MATCH($F311,폐업정보!$I$3:$I$3000,0),MATCH(J$4,폐업정보!$D$3:$R$3,0)),
"Error"))</f>
        <v>4293600000</v>
      </c>
      <c r="K311" s="75" t="str">
        <f aca="false">
IF($D311="정상",INDEX(임대자산!$D$3:$R$3000,MATCH($F311,임대자산!$I$3:$I$3000,0),MATCH(K$4,임대자산!$D$3:$R$3,0)),
IF($D311="폐업",INDEX(폐업정보!$D$3:$R$3000,MATCH($F311,폐업정보!$I$3:$I$3000,0),MATCH(K$4,폐업정보!$D$3:$R$3,0)),
"Error"))</f>
        <v>C0306</v>
      </c>
      <c r="L311" s="75" t="str">
        <f aca="false">
IF($D311="정상",INDEX(임대자산!$D$3:$R$3000,MATCH($F311,임대자산!$I$3:$I$3000,0),MATCH(L$4,임대자산!$D$3:$R$3,0)),
IF($D311="폐업",INDEX(폐업정보!$D$3:$R$3000,MATCH($F311,폐업정보!$I$3:$I$3000,0),MATCH(L$4,폐업정보!$D$3:$R$3,0)),
"Error"))</f>
        <v>D0306</v>
      </c>
      <c r="M311" s="76" t="s">
        <v>96</v>
      </c>
      <c r="N311" s="77"/>
      <c r="O311" s="78" t="s">
        <v>97</v>
      </c>
      <c r="P311" s="79" t="n">
        <f aca="false">COUNTIFS(임대자산!$I:$I,가맹점정보!F311,임대자산!$N:$N,가맹점정보!P$4)</f>
        <v>0</v>
      </c>
      <c r="Q311" s="80" t="n">
        <f aca="false">COUNTIFS(임대자산!$I:$I,가맹점정보!F311,임대자산!$N:$N,가맹점정보!Q$4)</f>
        <v>0</v>
      </c>
      <c r="R311" s="81" t="n">
        <f aca="false">COUNTIFS(임대자산!$I:$I,가맹점정보!F311,임대자산!$N:$N,가맹점정보!R$4)</f>
        <v>1</v>
      </c>
      <c r="S311" s="82" t="n">
        <v>55000</v>
      </c>
      <c r="T311" s="83" t="n">
        <v>0</v>
      </c>
      <c r="U311" s="80" t="n">
        <f aca="false">SUM(S311:T311)</f>
        <v>55000</v>
      </c>
      <c r="V311" s="84" t="s">
        <v>12</v>
      </c>
      <c r="W311" s="80" t="e">
        <f aca="true">
IF(D311="폐업","폐업",
IF(V311="면제","면제",
IF(AND(V311="정상",COUNTIFS(OFFSET(Y311,0,COUNTA(Y311:AV311)-1,1,-4),"미납")&gt;=3),"장기미납",
IF(AND(V311="정상",OFFSET(Y311,0,COUNTA(Y311:AV311)-1)&gt;=U311),"정상",
IF(AND(V311="정상",OFFSET(Y311,0,COUNTA(Y311:AV311)-1)=0),"정상",
"계약서 미작성")))))</f>
        <v>#VALUE!</v>
      </c>
      <c r="X311" s="81" t="str">
        <f aca="true">
IF(D311="폐업","폐업",
IF(AND(V311="정상",OFFSET(Y311,0,COUNTA(Y311:AV311)-1)="미납"),"미납",
IF(AND(V311="정상",OFFSET(Y311,0,COUNTA(Y311:AV311)-1)=0),"납부 시작 전",
IF(AND(V311="정상",OFFSET(Y311,0,COUNTA(Y311:AV311)-1)&gt;=U311),"정상",
IF(AND(V311="면제",OFFSET(Y311,0,COUNTA(Y311:AV311)-1)="면제"),"면제",
IF(AND(V311="면제",OFFSET(Y311,0,COUNTA(Y311:AV311)-1)=0),"면제",
"확인요청"))))))</f>
        <v>정상</v>
      </c>
      <c r="Y311" s="93" t="n">
        <v>55000</v>
      </c>
      <c r="Z311" s="90" t="n">
        <v>55000</v>
      </c>
      <c r="AA311" s="90" t="n">
        <v>55000</v>
      </c>
      <c r="AB311" s="90" t="n">
        <v>55000</v>
      </c>
      <c r="AC311" s="90" t="n">
        <v>55000</v>
      </c>
      <c r="AD311" s="90" t="n">
        <v>55000</v>
      </c>
      <c r="AE311" s="90" t="n">
        <v>55000</v>
      </c>
      <c r="AF311" s="90" t="n">
        <v>55000</v>
      </c>
      <c r="AG311" s="90" t="n">
        <v>55000</v>
      </c>
      <c r="AH311" s="90" t="n">
        <v>55000</v>
      </c>
      <c r="AI311" s="90" t="n">
        <v>55000</v>
      </c>
      <c r="AJ311" s="91" t="n">
        <v>55000</v>
      </c>
      <c r="AK311" s="89" t="n">
        <v>55000</v>
      </c>
      <c r="AL311" s="90" t="n">
        <v>55000</v>
      </c>
      <c r="AM311" s="90"/>
      <c r="AN311" s="90"/>
      <c r="AO311" s="90"/>
      <c r="AP311" s="90"/>
      <c r="AQ311" s="90"/>
      <c r="AR311" s="90"/>
      <c r="AS311" s="90"/>
      <c r="AT311" s="90"/>
      <c r="AU311" s="90"/>
      <c r="AV311" s="91"/>
      <c r="AX311" s="92"/>
    </row>
    <row r="312" customFormat="false" ht="15.65" hidden="false" customHeight="false" outlineLevel="0" collapsed="false">
      <c r="C312" s="72" t="n">
        <f aca="false">COUNTIFS($D$6:D312,"&lt;&gt;"&amp;"")</f>
        <v>307</v>
      </c>
      <c r="D312" s="73" t="s">
        <v>12</v>
      </c>
      <c r="E312" s="76" t="str">
        <f aca="false">
IF($D312="정상",INDEX(임대자산!$D$3:$R$3000,MATCH($F312,임대자산!$I$3:$I$3000,0),MATCH(E$3,임대자산!$D$3:$R$3,0)),
IF($D312="폐업",INDEX(폐업정보!$D$3:$R$3000,MATCH($F312,폐업정보!$I$3:$I$3000,0),MATCH(E$3,폐업정보!$D$3:$R$3,0)),
"Error"))</f>
        <v>전라</v>
      </c>
      <c r="F31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B0307</v>
      </c>
      <c r="G312" s="76" t="str">
        <f aca="false">F312&amp;RANDBETWEEN(0,10)</f>
        <v>B03079</v>
      </c>
      <c r="H312" s="75" t="n">
        <f aca="false">
IF($D312="정상",INDEX(임대자산!$D$3:$R$3000,MATCH($F312,임대자산!$I$3:$I$3000,0),MATCH(H$4,임대자산!$D$3:$R$3,0)),
IF($D312="폐업",INDEX(폐업정보!$D$3:$R$3000,MATCH($F312,폐업정보!$I$3:$I$3000,0),MATCH(H$4,폐업정보!$D$3:$R$3,0)),
"Error"))</f>
        <v>45765</v>
      </c>
      <c r="I312" s="75" t="str">
        <f aca="false">
IF($D312="정상",INDEX(임대자산!$D$3:$R$3000,MATCH($F312,임대자산!$I$3:$I$3000,0),MATCH(I$4,임대자산!$D$3:$R$3,0)),
IF($D312="폐업",INDEX(폐업정보!$D$3:$R$3000,MATCH($F312,폐업정보!$I$3:$I$3000,0),MATCH(I$4,폐업정보!$D$3:$R$3,0)),
"Error"))</f>
        <v>A0307</v>
      </c>
      <c r="J312" s="75" t="str">
        <f aca="false">
IF($D312="정상",INDEX(임대자산!$D$3:$R$3000,MATCH($F312,임대자산!$I$3:$I$3000,0),MATCH(J$4,임대자산!$D$3:$R$3,0)),
IF($D312="폐업",INDEX(폐업정보!$D$3:$R$3000,MATCH($F312,폐업정보!$I$3:$I$3000,0),MATCH(J$4,폐업정보!$D$3:$R$3,0)),
"Error"))</f>
        <v>7665200000</v>
      </c>
      <c r="K312" s="75" t="str">
        <f aca="false">
IF($D312="정상",INDEX(임대자산!$D$3:$R$3000,MATCH($F312,임대자산!$I$3:$I$3000,0),MATCH(K$4,임대자산!$D$3:$R$3,0)),
IF($D312="폐업",INDEX(폐업정보!$D$3:$R$3000,MATCH($F312,폐업정보!$I$3:$I$3000,0),MATCH(K$4,폐업정보!$D$3:$R$3,0)),
"Error"))</f>
        <v>C0307</v>
      </c>
      <c r="L312" s="75" t="str">
        <f aca="false">
IF($D312="정상",INDEX(임대자산!$D$3:$R$3000,MATCH($F312,임대자산!$I$3:$I$3000,0),MATCH(L$4,임대자산!$D$3:$R$3,0)),
IF($D312="폐업",INDEX(폐업정보!$D$3:$R$3000,MATCH($F312,폐업정보!$I$3:$I$3000,0),MATCH(L$4,폐업정보!$D$3:$R$3,0)),
"Error"))</f>
        <v>D0307</v>
      </c>
      <c r="M312" s="76" t="s">
        <v>96</v>
      </c>
      <c r="N312" s="77"/>
      <c r="O312" s="78" t="s">
        <v>97</v>
      </c>
      <c r="P312" s="79" t="n">
        <f aca="false">COUNTIFS(임대자산!$I:$I,가맹점정보!F312,임대자산!$N:$N,가맹점정보!P$4)</f>
        <v>0</v>
      </c>
      <c r="Q312" s="80" t="n">
        <f aca="false">COUNTIFS(임대자산!$I:$I,가맹점정보!F312,임대자산!$N:$N,가맹점정보!Q$4)</f>
        <v>0</v>
      </c>
      <c r="R312" s="81" t="n">
        <f aca="false">COUNTIFS(임대자산!$I:$I,가맹점정보!F312,임대자산!$N:$N,가맹점정보!R$4)</f>
        <v>1</v>
      </c>
      <c r="S312" s="82" t="n">
        <v>55000</v>
      </c>
      <c r="T312" s="83" t="n">
        <v>0</v>
      </c>
      <c r="U312" s="80" t="n">
        <f aca="false">SUM(S312:T312)</f>
        <v>55000</v>
      </c>
      <c r="V312" s="84" t="s">
        <v>12</v>
      </c>
      <c r="W312" s="80" t="e">
        <f aca="true">
IF(D312="폐업","폐업",
IF(V312="면제","면제",
IF(AND(V312="정상",COUNTIFS(OFFSET(Y312,0,COUNTA(Y312:AV312)-1,1,-4),"미납")&gt;=3),"장기미납",
IF(AND(V312="정상",OFFSET(Y312,0,COUNTA(Y312:AV312)-1)&gt;=U312),"정상",
IF(AND(V312="정상",OFFSET(Y312,0,COUNTA(Y312:AV312)-1)=0),"정상",
"계약서 미작성")))))</f>
        <v>#VALUE!</v>
      </c>
      <c r="X312" s="81" t="str">
        <f aca="true">
IF(D312="폐업","폐업",
IF(AND(V312="정상",OFFSET(Y312,0,COUNTA(Y312:AV312)-1)="미납"),"미납",
IF(AND(V312="정상",OFFSET(Y312,0,COUNTA(Y312:AV312)-1)=0),"납부 시작 전",
IF(AND(V312="정상",OFFSET(Y312,0,COUNTA(Y312:AV312)-1)&gt;=U312),"정상",
IF(AND(V312="면제",OFFSET(Y312,0,COUNTA(Y312:AV312)-1)="면제"),"면제",
IF(AND(V312="면제",OFFSET(Y312,0,COUNTA(Y312:AV312)-1)=0),"면제",
"확인요청"))))))</f>
        <v>정상</v>
      </c>
      <c r="Y312" s="93" t="n">
        <v>55000</v>
      </c>
      <c r="Z312" s="90" t="n">
        <v>55000</v>
      </c>
      <c r="AA312" s="90" t="n">
        <v>55000</v>
      </c>
      <c r="AB312" s="90" t="n">
        <v>55000</v>
      </c>
      <c r="AC312" s="90" t="n">
        <v>55000</v>
      </c>
      <c r="AD312" s="90" t="n">
        <v>55000</v>
      </c>
      <c r="AE312" s="90" t="n">
        <v>55000</v>
      </c>
      <c r="AF312" s="90" t="n">
        <v>55000</v>
      </c>
      <c r="AG312" s="90" t="n">
        <v>55000</v>
      </c>
      <c r="AH312" s="90" t="n">
        <v>55000</v>
      </c>
      <c r="AI312" s="90" t="n">
        <v>55000</v>
      </c>
      <c r="AJ312" s="91" t="n">
        <v>55000</v>
      </c>
      <c r="AK312" s="89" t="n">
        <v>55000</v>
      </c>
      <c r="AL312" s="90" t="n">
        <v>55000</v>
      </c>
      <c r="AM312" s="90"/>
      <c r="AN312" s="90"/>
      <c r="AO312" s="90"/>
      <c r="AP312" s="90"/>
      <c r="AQ312" s="90"/>
      <c r="AR312" s="90"/>
      <c r="AS312" s="90"/>
      <c r="AT312" s="90"/>
      <c r="AU312" s="90"/>
      <c r="AV312" s="91"/>
      <c r="AX312" s="92"/>
    </row>
    <row r="313" customFormat="false" ht="15.65" hidden="false" customHeight="false" outlineLevel="0" collapsed="false">
      <c r="C313" s="72" t="n">
        <f aca="false">COUNTIFS($D$6:D313,"&lt;&gt;"&amp;"")</f>
        <v>308</v>
      </c>
      <c r="D313" s="73" t="s">
        <v>12</v>
      </c>
      <c r="E313" s="76" t="str">
        <f aca="false">
IF($D313="정상",INDEX(임대자산!$D$3:$R$3000,MATCH($F313,임대자산!$I$3:$I$3000,0),MATCH(E$3,임대자산!$D$3:$R$3,0)),
IF($D313="폐업",INDEX(폐업정보!$D$3:$R$3000,MATCH($F313,폐업정보!$I$3:$I$3000,0),MATCH(E$3,폐업정보!$D$3:$R$3,0)),
"Error"))</f>
        <v>전라</v>
      </c>
      <c r="F31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B0308</v>
      </c>
      <c r="G313" s="76" t="str">
        <f aca="false">F313&amp;RANDBETWEEN(0,10)</f>
        <v>B03086</v>
      </c>
      <c r="H313" s="75" t="n">
        <f aca="false">
IF($D313="정상",INDEX(임대자산!$D$3:$R$3000,MATCH($F313,임대자산!$I$3:$I$3000,0),MATCH(H$4,임대자산!$D$3:$R$3,0)),
IF($D313="폐업",INDEX(폐업정보!$D$3:$R$3000,MATCH($F313,폐업정보!$I$3:$I$3000,0),MATCH(H$4,폐업정보!$D$3:$R$3,0)),
"Error"))</f>
        <v>45765</v>
      </c>
      <c r="I313" s="75" t="str">
        <f aca="false">
IF($D313="정상",INDEX(임대자산!$D$3:$R$3000,MATCH($F313,임대자산!$I$3:$I$3000,0),MATCH(I$4,임대자산!$D$3:$R$3,0)),
IF($D313="폐업",INDEX(폐업정보!$D$3:$R$3000,MATCH($F313,폐업정보!$I$3:$I$3000,0),MATCH(I$4,폐업정보!$D$3:$R$3,0)),
"Error"))</f>
        <v>A0308</v>
      </c>
      <c r="J313" s="75" t="str">
        <f aca="false">
IF($D313="정상",INDEX(임대자산!$D$3:$R$3000,MATCH($F313,임대자산!$I$3:$I$3000,0),MATCH(J$4,임대자산!$D$3:$R$3,0)),
IF($D313="폐업",INDEX(폐업정보!$D$3:$R$3000,MATCH($F313,폐업정보!$I$3:$I$3000,0),MATCH(J$4,폐업정보!$D$3:$R$3,0)),
"Error"))</f>
        <v>3070200000</v>
      </c>
      <c r="K313" s="75" t="str">
        <f aca="false">
IF($D313="정상",INDEX(임대자산!$D$3:$R$3000,MATCH($F313,임대자산!$I$3:$I$3000,0),MATCH(K$4,임대자산!$D$3:$R$3,0)),
IF($D313="폐업",INDEX(폐업정보!$D$3:$R$3000,MATCH($F313,폐업정보!$I$3:$I$3000,0),MATCH(K$4,폐업정보!$D$3:$R$3,0)),
"Error"))</f>
        <v>C0308</v>
      </c>
      <c r="L313" s="75" t="str">
        <f aca="false">
IF($D313="정상",INDEX(임대자산!$D$3:$R$3000,MATCH($F313,임대자산!$I$3:$I$3000,0),MATCH(L$4,임대자산!$D$3:$R$3,0)),
IF($D313="폐업",INDEX(폐업정보!$D$3:$R$3000,MATCH($F313,폐업정보!$I$3:$I$3000,0),MATCH(L$4,폐업정보!$D$3:$R$3,0)),
"Error"))</f>
        <v>D0308</v>
      </c>
      <c r="M313" s="76" t="s">
        <v>96</v>
      </c>
      <c r="N313" s="77"/>
      <c r="O313" s="78" t="s">
        <v>97</v>
      </c>
      <c r="P313" s="79" t="n">
        <f aca="false">COUNTIFS(임대자산!$I:$I,가맹점정보!F313,임대자산!$N:$N,가맹점정보!P$4)</f>
        <v>0</v>
      </c>
      <c r="Q313" s="80" t="n">
        <f aca="false">COUNTIFS(임대자산!$I:$I,가맹점정보!F313,임대자산!$N:$N,가맹점정보!Q$4)</f>
        <v>0</v>
      </c>
      <c r="R313" s="81" t="n">
        <f aca="false">COUNTIFS(임대자산!$I:$I,가맹점정보!F313,임대자산!$N:$N,가맹점정보!R$4)</f>
        <v>1</v>
      </c>
      <c r="S313" s="82" t="n">
        <v>55000</v>
      </c>
      <c r="T313" s="83" t="n">
        <v>0</v>
      </c>
      <c r="U313" s="80" t="n">
        <f aca="false">SUM(S313:T313)</f>
        <v>55000</v>
      </c>
      <c r="V313" s="84" t="s">
        <v>12</v>
      </c>
      <c r="W313" s="80" t="e">
        <f aca="true">
IF(D313="폐업","폐업",
IF(V313="면제","면제",
IF(AND(V313="정상",COUNTIFS(OFFSET(Y313,0,COUNTA(Y313:AV313)-1,1,-4),"미납")&gt;=3),"장기미납",
IF(AND(V313="정상",OFFSET(Y313,0,COUNTA(Y313:AV313)-1)&gt;=U313),"정상",
IF(AND(V313="정상",OFFSET(Y313,0,COUNTA(Y313:AV313)-1)=0),"정상",
"계약서 미작성")))))</f>
        <v>#VALUE!</v>
      </c>
      <c r="X313" s="81" t="str">
        <f aca="true">
IF(D313="폐업","폐업",
IF(AND(V313="정상",OFFSET(Y313,0,COUNTA(Y313:AV313)-1)="미납"),"미납",
IF(AND(V313="정상",OFFSET(Y313,0,COUNTA(Y313:AV313)-1)=0),"납부 시작 전",
IF(AND(V313="정상",OFFSET(Y313,0,COUNTA(Y313:AV313)-1)&gt;=U313),"정상",
IF(AND(V313="면제",OFFSET(Y313,0,COUNTA(Y313:AV313)-1)="면제"),"면제",
IF(AND(V313="면제",OFFSET(Y313,0,COUNTA(Y313:AV313)-1)=0),"면제",
"확인요청"))))))</f>
        <v>정상</v>
      </c>
      <c r="Y313" s="93" t="n">
        <v>55000</v>
      </c>
      <c r="Z313" s="90" t="n">
        <v>55000</v>
      </c>
      <c r="AA313" s="90" t="n">
        <v>55000</v>
      </c>
      <c r="AB313" s="90" t="n">
        <v>55000</v>
      </c>
      <c r="AC313" s="90" t="n">
        <v>55000</v>
      </c>
      <c r="AD313" s="90" t="n">
        <v>55000</v>
      </c>
      <c r="AE313" s="90" t="n">
        <v>55000</v>
      </c>
      <c r="AF313" s="90" t="n">
        <v>55000</v>
      </c>
      <c r="AG313" s="90" t="n">
        <v>55000</v>
      </c>
      <c r="AH313" s="90" t="n">
        <v>55000</v>
      </c>
      <c r="AI313" s="90" t="n">
        <v>55000</v>
      </c>
      <c r="AJ313" s="91" t="n">
        <v>55000</v>
      </c>
      <c r="AK313" s="89" t="n">
        <v>55000</v>
      </c>
      <c r="AL313" s="90" t="n">
        <v>55000</v>
      </c>
      <c r="AM313" s="90"/>
      <c r="AN313" s="90"/>
      <c r="AO313" s="90"/>
      <c r="AP313" s="90"/>
      <c r="AQ313" s="90"/>
      <c r="AR313" s="90"/>
      <c r="AS313" s="90"/>
      <c r="AT313" s="90"/>
      <c r="AU313" s="90"/>
      <c r="AV313" s="91"/>
      <c r="AX313" s="92"/>
    </row>
    <row r="314" customFormat="false" ht="15.65" hidden="false" customHeight="false" outlineLevel="0" collapsed="false">
      <c r="C314" s="72" t="n">
        <f aca="false">COUNTIFS($D$6:D314,"&lt;&gt;"&amp;"")</f>
        <v>309</v>
      </c>
      <c r="D314" s="73" t="s">
        <v>12</v>
      </c>
      <c r="E314" s="76" t="str">
        <f aca="false">
IF($D314="정상",INDEX(임대자산!$D$3:$R$3000,MATCH($F314,임대자산!$I$3:$I$3000,0),MATCH(E$3,임대자산!$D$3:$R$3,0)),
IF($D314="폐업",INDEX(폐업정보!$D$3:$R$3000,MATCH($F314,폐업정보!$I$3:$I$3000,0),MATCH(E$3,폐업정보!$D$3:$R$3,0)),
"Error"))</f>
        <v>전라</v>
      </c>
      <c r="F31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B0309</v>
      </c>
      <c r="G314" s="76" t="str">
        <f aca="false">F314&amp;RANDBETWEEN(0,10)</f>
        <v>B03099</v>
      </c>
      <c r="H314" s="75" t="n">
        <f aca="false">
IF($D314="정상",INDEX(임대자산!$D$3:$R$3000,MATCH($F314,임대자산!$I$3:$I$3000,0),MATCH(H$4,임대자산!$D$3:$R$3,0)),
IF($D314="폐업",INDEX(폐업정보!$D$3:$R$3000,MATCH($F314,폐업정보!$I$3:$I$3000,0),MATCH(H$4,폐업정보!$D$3:$R$3,0)),
"Error"))</f>
        <v>45296</v>
      </c>
      <c r="I314" s="75" t="str">
        <f aca="false">
IF($D314="정상",INDEX(임대자산!$D$3:$R$3000,MATCH($F314,임대자산!$I$3:$I$3000,0),MATCH(I$4,임대자산!$D$3:$R$3,0)),
IF($D314="폐업",INDEX(폐업정보!$D$3:$R$3000,MATCH($F314,폐업정보!$I$3:$I$3000,0),MATCH(I$4,폐업정보!$D$3:$R$3,0)),
"Error"))</f>
        <v>A0309</v>
      </c>
      <c r="J314" s="75" t="str">
        <f aca="false">
IF($D314="정상",INDEX(임대자산!$D$3:$R$3000,MATCH($F314,임대자산!$I$3:$I$3000,0),MATCH(J$4,임대자산!$D$3:$R$3,0)),
IF($D314="폐업",INDEX(폐업정보!$D$3:$R$3000,MATCH($F314,폐업정보!$I$3:$I$3000,0),MATCH(J$4,폐업정보!$D$3:$R$3,0)),
"Error"))</f>
        <v>3062500000</v>
      </c>
      <c r="K314" s="75" t="str">
        <f aca="false">
IF($D314="정상",INDEX(임대자산!$D$3:$R$3000,MATCH($F314,임대자산!$I$3:$I$3000,0),MATCH(K$4,임대자산!$D$3:$R$3,0)),
IF($D314="폐업",INDEX(폐업정보!$D$3:$R$3000,MATCH($F314,폐업정보!$I$3:$I$3000,0),MATCH(K$4,폐업정보!$D$3:$R$3,0)),
"Error"))</f>
        <v>C0309</v>
      </c>
      <c r="L314" s="75" t="str">
        <f aca="false">
IF($D314="정상",INDEX(임대자산!$D$3:$R$3000,MATCH($F314,임대자산!$I$3:$I$3000,0),MATCH(L$4,임대자산!$D$3:$R$3,0)),
IF($D314="폐업",INDEX(폐업정보!$D$3:$R$3000,MATCH($F314,폐업정보!$I$3:$I$3000,0),MATCH(L$4,폐업정보!$D$3:$R$3,0)),
"Error"))</f>
        <v>D0309</v>
      </c>
      <c r="M314" s="76" t="s">
        <v>96</v>
      </c>
      <c r="N314" s="77"/>
      <c r="O314" s="78" t="s">
        <v>97</v>
      </c>
      <c r="P314" s="79" t="n">
        <f aca="false">COUNTIFS(임대자산!$I:$I,가맹점정보!F314,임대자산!$N:$N,가맹점정보!P$4)</f>
        <v>0</v>
      </c>
      <c r="Q314" s="80" t="n">
        <f aca="false">COUNTIFS(임대자산!$I:$I,가맹점정보!F314,임대자산!$N:$N,가맹점정보!Q$4)</f>
        <v>0</v>
      </c>
      <c r="R314" s="81" t="n">
        <f aca="false">COUNTIFS(임대자산!$I:$I,가맹점정보!F314,임대자산!$N:$N,가맹점정보!R$4)</f>
        <v>1</v>
      </c>
      <c r="S314" s="82" t="n">
        <v>55000</v>
      </c>
      <c r="T314" s="83" t="n">
        <v>0</v>
      </c>
      <c r="U314" s="80" t="n">
        <f aca="false">SUM(S314:T314)</f>
        <v>55000</v>
      </c>
      <c r="V314" s="84" t="s">
        <v>12</v>
      </c>
      <c r="W314" s="80" t="e">
        <f aca="true">
IF(D314="폐업","폐업",
IF(V314="면제","면제",
IF(AND(V314="정상",COUNTIFS(OFFSET(Y314,0,COUNTA(Y314:AV314)-1,1,-4),"미납")&gt;=3),"장기미납",
IF(AND(V314="정상",OFFSET(Y314,0,COUNTA(Y314:AV314)-1)&gt;=U314),"정상",
IF(AND(V314="정상",OFFSET(Y314,0,COUNTA(Y314:AV314)-1)=0),"정상",
"계약서 미작성")))))</f>
        <v>#VALUE!</v>
      </c>
      <c r="X314" s="81" t="str">
        <f aca="true">
IF(D314="폐업","폐업",
IF(AND(V314="정상",OFFSET(Y314,0,COUNTA(Y314:AV314)-1)="미납"),"미납",
IF(AND(V314="정상",OFFSET(Y314,0,COUNTA(Y314:AV314)-1)=0),"납부 시작 전",
IF(AND(V314="정상",OFFSET(Y314,0,COUNTA(Y314:AV314)-1)&gt;=U314),"정상",
IF(AND(V314="면제",OFFSET(Y314,0,COUNTA(Y314:AV314)-1)="면제"),"면제",
IF(AND(V314="면제",OFFSET(Y314,0,COUNTA(Y314:AV314)-1)=0),"면제",
"확인요청"))))))</f>
        <v>정상</v>
      </c>
      <c r="Y314" s="93" t="n">
        <v>55000</v>
      </c>
      <c r="Z314" s="90" t="n">
        <v>55000</v>
      </c>
      <c r="AA314" s="90" t="n">
        <v>55000</v>
      </c>
      <c r="AB314" s="90" t="n">
        <v>55000</v>
      </c>
      <c r="AC314" s="90" t="n">
        <v>55000</v>
      </c>
      <c r="AD314" s="90" t="n">
        <v>55000</v>
      </c>
      <c r="AE314" s="90" t="n">
        <v>55000</v>
      </c>
      <c r="AF314" s="90" t="n">
        <v>55000</v>
      </c>
      <c r="AG314" s="90" t="n">
        <v>55000</v>
      </c>
      <c r="AH314" s="90" t="n">
        <v>55000</v>
      </c>
      <c r="AI314" s="90" t="n">
        <v>55000</v>
      </c>
      <c r="AJ314" s="91" t="n">
        <v>55000</v>
      </c>
      <c r="AK314" s="89" t="n">
        <v>55000</v>
      </c>
      <c r="AL314" s="90" t="n">
        <v>55000</v>
      </c>
      <c r="AM314" s="90"/>
      <c r="AN314" s="90"/>
      <c r="AO314" s="90"/>
      <c r="AP314" s="90"/>
      <c r="AQ314" s="90"/>
      <c r="AR314" s="90"/>
      <c r="AS314" s="90"/>
      <c r="AT314" s="90"/>
      <c r="AU314" s="90"/>
      <c r="AV314" s="91"/>
      <c r="AX314" s="92"/>
    </row>
    <row r="315" customFormat="false" ht="15.65" hidden="false" customHeight="false" outlineLevel="0" collapsed="false">
      <c r="C315" s="72" t="n">
        <f aca="false">COUNTIFS($D$6:D315,"&lt;&gt;"&amp;"")</f>
        <v>310</v>
      </c>
      <c r="D315" s="73" t="s">
        <v>12</v>
      </c>
      <c r="E315" s="76" t="str">
        <f aca="false">
IF($D315="정상",INDEX(임대자산!$D$3:$R$3000,MATCH($F315,임대자산!$I$3:$I$3000,0),MATCH(E$3,임대자산!$D$3:$R$3,0)),
IF($D315="폐업",INDEX(폐업정보!$D$3:$R$3000,MATCH($F315,폐업정보!$I$3:$I$3000,0),MATCH(E$3,폐업정보!$D$3:$R$3,0)),
"Error"))</f>
        <v>전라</v>
      </c>
      <c r="F31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B0310</v>
      </c>
      <c r="G315" s="76" t="str">
        <f aca="false">F315&amp;RANDBETWEEN(0,10)</f>
        <v>B03100</v>
      </c>
      <c r="H315" s="75" t="n">
        <f aca="false">
IF($D315="정상",INDEX(임대자산!$D$3:$R$3000,MATCH($F315,임대자산!$I$3:$I$3000,0),MATCH(H$4,임대자산!$D$3:$R$3,0)),
IF($D315="폐업",INDEX(폐업정보!$D$3:$R$3000,MATCH($F315,폐업정보!$I$3:$I$3000,0),MATCH(H$4,폐업정보!$D$3:$R$3,0)),
"Error"))</f>
        <v>45296</v>
      </c>
      <c r="I315" s="75" t="str">
        <f aca="false">
IF($D315="정상",INDEX(임대자산!$D$3:$R$3000,MATCH($F315,임대자산!$I$3:$I$3000,0),MATCH(I$4,임대자산!$D$3:$R$3,0)),
IF($D315="폐업",INDEX(폐업정보!$D$3:$R$3000,MATCH($F315,폐업정보!$I$3:$I$3000,0),MATCH(I$4,폐업정보!$D$3:$R$3,0)),
"Error"))</f>
        <v>A0310</v>
      </c>
      <c r="J315" s="75" t="str">
        <f aca="false">
IF($D315="정상",INDEX(임대자산!$D$3:$R$3000,MATCH($F315,임대자산!$I$3:$I$3000,0),MATCH(J$4,임대자산!$D$3:$R$3,0)),
IF($D315="폐업",INDEX(폐업정보!$D$3:$R$3000,MATCH($F315,폐업정보!$I$3:$I$3000,0),MATCH(J$4,폐업정보!$D$3:$R$3,0)),
"Error"))</f>
        <v>2286800000</v>
      </c>
      <c r="K315" s="75" t="str">
        <f aca="false">
IF($D315="정상",INDEX(임대자산!$D$3:$R$3000,MATCH($F315,임대자산!$I$3:$I$3000,0),MATCH(K$4,임대자산!$D$3:$R$3,0)),
IF($D315="폐업",INDEX(폐업정보!$D$3:$R$3000,MATCH($F315,폐업정보!$I$3:$I$3000,0),MATCH(K$4,폐업정보!$D$3:$R$3,0)),
"Error"))</f>
        <v>C0310</v>
      </c>
      <c r="L315" s="75" t="str">
        <f aca="false">
IF($D315="정상",INDEX(임대자산!$D$3:$R$3000,MATCH($F315,임대자산!$I$3:$I$3000,0),MATCH(L$4,임대자산!$D$3:$R$3,0)),
IF($D315="폐업",INDEX(폐업정보!$D$3:$R$3000,MATCH($F315,폐업정보!$I$3:$I$3000,0),MATCH(L$4,폐업정보!$D$3:$R$3,0)),
"Error"))</f>
        <v>D0310</v>
      </c>
      <c r="M315" s="76" t="s">
        <v>96</v>
      </c>
      <c r="N315" s="77"/>
      <c r="O315" s="78" t="s">
        <v>97</v>
      </c>
      <c r="P315" s="79" t="n">
        <f aca="false">COUNTIFS(임대자산!$I:$I,가맹점정보!F315,임대자산!$N:$N,가맹점정보!P$4)</f>
        <v>0</v>
      </c>
      <c r="Q315" s="80" t="n">
        <f aca="false">COUNTIFS(임대자산!$I:$I,가맹점정보!F315,임대자산!$N:$N,가맹점정보!Q$4)</f>
        <v>0</v>
      </c>
      <c r="R315" s="81" t="n">
        <f aca="false">COUNTIFS(임대자산!$I:$I,가맹점정보!F315,임대자산!$N:$N,가맹점정보!R$4)</f>
        <v>1</v>
      </c>
      <c r="S315" s="82" t="n">
        <v>55000</v>
      </c>
      <c r="T315" s="83" t="n">
        <v>0</v>
      </c>
      <c r="U315" s="80" t="n">
        <f aca="false">SUM(S315:T315)</f>
        <v>55000</v>
      </c>
      <c r="V315" s="84" t="s">
        <v>12</v>
      </c>
      <c r="W315" s="80" t="e">
        <f aca="true">
IF(D315="폐업","폐업",
IF(V315="면제","면제",
IF(AND(V315="정상",COUNTIFS(OFFSET(Y315,0,COUNTA(Y315:AV315)-1,1,-4),"미납")&gt;=3),"장기미납",
IF(AND(V315="정상",OFFSET(Y315,0,COUNTA(Y315:AV315)-1)&gt;=U315),"정상",
IF(AND(V315="정상",OFFSET(Y315,0,COUNTA(Y315:AV315)-1)=0),"정상",
"계약서 미작성")))))</f>
        <v>#VALUE!</v>
      </c>
      <c r="X315" s="81" t="str">
        <f aca="true">
IF(D315="폐업","폐업",
IF(AND(V315="정상",OFFSET(Y315,0,COUNTA(Y315:AV315)-1)="미납"),"미납",
IF(AND(V315="정상",OFFSET(Y315,0,COUNTA(Y315:AV315)-1)=0),"납부 시작 전",
IF(AND(V315="정상",OFFSET(Y315,0,COUNTA(Y315:AV315)-1)&gt;=U315),"정상",
IF(AND(V315="면제",OFFSET(Y315,0,COUNTA(Y315:AV315)-1)="면제"),"면제",
IF(AND(V315="면제",OFFSET(Y315,0,COUNTA(Y315:AV315)-1)=0),"면제",
"확인요청"))))))</f>
        <v>정상</v>
      </c>
      <c r="Y315" s="93" t="n">
        <v>55000</v>
      </c>
      <c r="Z315" s="90" t="n">
        <v>55000</v>
      </c>
      <c r="AA315" s="90" t="n">
        <v>55000</v>
      </c>
      <c r="AB315" s="90" t="n">
        <v>55000</v>
      </c>
      <c r="AC315" s="90" t="n">
        <v>55000</v>
      </c>
      <c r="AD315" s="90" t="n">
        <v>55000</v>
      </c>
      <c r="AE315" s="90" t="n">
        <v>55000</v>
      </c>
      <c r="AF315" s="90" t="n">
        <v>55000</v>
      </c>
      <c r="AG315" s="90" t="n">
        <v>55000</v>
      </c>
      <c r="AH315" s="90" t="n">
        <v>55000</v>
      </c>
      <c r="AI315" s="90" t="n">
        <v>55000</v>
      </c>
      <c r="AJ315" s="91" t="n">
        <v>55000</v>
      </c>
      <c r="AK315" s="89" t="n">
        <v>55000</v>
      </c>
      <c r="AL315" s="90" t="n">
        <v>55000</v>
      </c>
      <c r="AM315" s="90"/>
      <c r="AN315" s="90"/>
      <c r="AO315" s="90"/>
      <c r="AP315" s="90"/>
      <c r="AQ315" s="90"/>
      <c r="AR315" s="90"/>
      <c r="AS315" s="90"/>
      <c r="AT315" s="90"/>
      <c r="AU315" s="90"/>
      <c r="AV315" s="91"/>
      <c r="AX315" s="92"/>
    </row>
    <row r="316" customFormat="false" ht="15.65" hidden="false" customHeight="false" outlineLevel="0" collapsed="false">
      <c r="C316" s="72" t="n">
        <f aca="false">COUNTIFS($D$6:D316,"&lt;&gt;"&amp;"")</f>
        <v>311</v>
      </c>
      <c r="D316" s="73" t="s">
        <v>12</v>
      </c>
      <c r="E316" s="76" t="str">
        <f aca="false">
IF($D316="정상",INDEX(임대자산!$D$3:$R$3000,MATCH($F316,임대자산!$I$3:$I$3000,0),MATCH(E$3,임대자산!$D$3:$R$3,0)),
IF($D316="폐업",INDEX(폐업정보!$D$3:$R$3000,MATCH($F316,폐업정보!$I$3:$I$3000,0),MATCH(E$3,폐업정보!$D$3:$R$3,0)),
"Error"))</f>
        <v>전라</v>
      </c>
      <c r="F31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B0311</v>
      </c>
      <c r="G316" s="76" t="str">
        <f aca="false">F316&amp;RANDBETWEEN(0,10)</f>
        <v>B03115</v>
      </c>
      <c r="H316" s="75" t="n">
        <f aca="false">
IF($D316="정상",INDEX(임대자산!$D$3:$R$3000,MATCH($F316,임대자산!$I$3:$I$3000,0),MATCH(H$4,임대자산!$D$3:$R$3,0)),
IF($D316="폐업",INDEX(폐업정보!$D$3:$R$3000,MATCH($F316,폐업정보!$I$3:$I$3000,0),MATCH(H$4,폐업정보!$D$3:$R$3,0)),
"Error"))</f>
        <v>45282</v>
      </c>
      <c r="I316" s="75" t="str">
        <f aca="false">
IF($D316="정상",INDEX(임대자산!$D$3:$R$3000,MATCH($F316,임대자산!$I$3:$I$3000,0),MATCH(I$4,임대자산!$D$3:$R$3,0)),
IF($D316="폐업",INDEX(폐업정보!$D$3:$R$3000,MATCH($F316,폐업정보!$I$3:$I$3000,0),MATCH(I$4,폐업정보!$D$3:$R$3,0)),
"Error"))</f>
        <v>A0311</v>
      </c>
      <c r="J316" s="75" t="str">
        <f aca="false">
IF($D316="정상",INDEX(임대자산!$D$3:$R$3000,MATCH($F316,임대자산!$I$3:$I$3000,0),MATCH(J$4,임대자산!$D$3:$R$3,0)),
IF($D316="폐업",INDEX(폐업정보!$D$3:$R$3000,MATCH($F316,폐업정보!$I$3:$I$3000,0),MATCH(J$4,폐업정보!$D$3:$R$3,0)),
"Error"))</f>
        <v>7704200000</v>
      </c>
      <c r="K316" s="75" t="str">
        <f aca="false">
IF($D316="정상",INDEX(임대자산!$D$3:$R$3000,MATCH($F316,임대자산!$I$3:$I$3000,0),MATCH(K$4,임대자산!$D$3:$R$3,0)),
IF($D316="폐업",INDEX(폐업정보!$D$3:$R$3000,MATCH($F316,폐업정보!$I$3:$I$3000,0),MATCH(K$4,폐업정보!$D$3:$R$3,0)),
"Error"))</f>
        <v>C0311</v>
      </c>
      <c r="L316" s="75" t="str">
        <f aca="false">
IF($D316="정상",INDEX(임대자산!$D$3:$R$3000,MATCH($F316,임대자산!$I$3:$I$3000,0),MATCH(L$4,임대자산!$D$3:$R$3,0)),
IF($D316="폐업",INDEX(폐업정보!$D$3:$R$3000,MATCH($F316,폐업정보!$I$3:$I$3000,0),MATCH(L$4,폐업정보!$D$3:$R$3,0)),
"Error"))</f>
        <v>D0311</v>
      </c>
      <c r="M316" s="76" t="s">
        <v>96</v>
      </c>
      <c r="N316" s="77"/>
      <c r="O316" s="78" t="s">
        <v>97</v>
      </c>
      <c r="P316" s="79" t="n">
        <f aca="false">COUNTIFS(임대자산!$I:$I,가맹점정보!F316,임대자산!$N:$N,가맹점정보!P$4)</f>
        <v>0</v>
      </c>
      <c r="Q316" s="80" t="n">
        <f aca="false">COUNTIFS(임대자산!$I:$I,가맹점정보!F316,임대자산!$N:$N,가맹점정보!Q$4)</f>
        <v>0</v>
      </c>
      <c r="R316" s="81" t="n">
        <f aca="false">COUNTIFS(임대자산!$I:$I,가맹점정보!F316,임대자산!$N:$N,가맹점정보!R$4)</f>
        <v>1</v>
      </c>
      <c r="S316" s="82" t="n">
        <v>55000</v>
      </c>
      <c r="T316" s="83" t="n">
        <v>0</v>
      </c>
      <c r="U316" s="80" t="n">
        <f aca="false">SUM(S316:T316)</f>
        <v>55000</v>
      </c>
      <c r="V316" s="84" t="s">
        <v>12</v>
      </c>
      <c r="W316" s="80" t="e">
        <f aca="true">
IF(D316="폐업","폐업",
IF(V316="면제","면제",
IF(AND(V316="정상",COUNTIFS(OFFSET(Y316,0,COUNTA(Y316:AV316)-1,1,-4),"미납")&gt;=3),"장기미납",
IF(AND(V316="정상",OFFSET(Y316,0,COUNTA(Y316:AV316)-1)&gt;=U316),"정상",
IF(AND(V316="정상",OFFSET(Y316,0,COUNTA(Y316:AV316)-1)=0),"정상",
"계약서 미작성")))))</f>
        <v>#VALUE!</v>
      </c>
      <c r="X316" s="81" t="str">
        <f aca="true">
IF(D316="폐업","폐업",
IF(AND(V316="정상",OFFSET(Y316,0,COUNTA(Y316:AV316)-1)="미납"),"미납",
IF(AND(V316="정상",OFFSET(Y316,0,COUNTA(Y316:AV316)-1)=0),"납부 시작 전",
IF(AND(V316="정상",OFFSET(Y316,0,COUNTA(Y316:AV316)-1)&gt;=U316),"정상",
IF(AND(V316="면제",OFFSET(Y316,0,COUNTA(Y316:AV316)-1)="면제"),"면제",
IF(AND(V316="면제",OFFSET(Y316,0,COUNTA(Y316:AV316)-1)=0),"면제",
"확인요청"))))))</f>
        <v>정상</v>
      </c>
      <c r="Y316" s="93" t="n">
        <v>55000</v>
      </c>
      <c r="Z316" s="90" t="n">
        <v>55000</v>
      </c>
      <c r="AA316" s="90" t="n">
        <v>55000</v>
      </c>
      <c r="AB316" s="90" t="n">
        <v>55000</v>
      </c>
      <c r="AC316" s="90" t="n">
        <v>55000</v>
      </c>
      <c r="AD316" s="90" t="n">
        <v>55000</v>
      </c>
      <c r="AE316" s="90" t="n">
        <v>55000</v>
      </c>
      <c r="AF316" s="90" t="n">
        <v>55000</v>
      </c>
      <c r="AG316" s="90" t="n">
        <v>55000</v>
      </c>
      <c r="AH316" s="90" t="n">
        <v>55000</v>
      </c>
      <c r="AI316" s="90" t="n">
        <v>55000</v>
      </c>
      <c r="AJ316" s="91" t="n">
        <v>55000</v>
      </c>
      <c r="AK316" s="89" t="n">
        <v>55000</v>
      </c>
      <c r="AL316" s="90" t="n">
        <v>55000</v>
      </c>
      <c r="AM316" s="90"/>
      <c r="AN316" s="90"/>
      <c r="AO316" s="90"/>
      <c r="AP316" s="90"/>
      <c r="AQ316" s="90"/>
      <c r="AR316" s="90"/>
      <c r="AS316" s="90"/>
      <c r="AT316" s="90"/>
      <c r="AU316" s="90"/>
      <c r="AV316" s="91"/>
      <c r="AX316" s="92"/>
    </row>
    <row r="317" customFormat="false" ht="15.65" hidden="false" customHeight="false" outlineLevel="0" collapsed="false">
      <c r="C317" s="72" t="n">
        <f aca="false">COUNTIFS($D$6:D317,"&lt;&gt;"&amp;"")</f>
        <v>312</v>
      </c>
      <c r="D317" s="73" t="s">
        <v>12</v>
      </c>
      <c r="E317" s="76" t="str">
        <f aca="false">
IF($D317="정상",INDEX(임대자산!$D$3:$R$3000,MATCH($F317,임대자산!$I$3:$I$3000,0),MATCH(E$3,임대자산!$D$3:$R$3,0)),
IF($D317="폐업",INDEX(폐업정보!$D$3:$R$3000,MATCH($F317,폐업정보!$I$3:$I$3000,0),MATCH(E$3,폐업정보!$D$3:$R$3,0)),
"Error"))</f>
        <v>서울</v>
      </c>
      <c r="F31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B0312</v>
      </c>
      <c r="G317" s="76" t="str">
        <f aca="false">F317&amp;RANDBETWEEN(0,10)</f>
        <v>B03122</v>
      </c>
      <c r="H317" s="75" t="n">
        <f aca="false">
IF($D317="정상",INDEX(임대자산!$D$3:$R$3000,MATCH($F317,임대자산!$I$3:$I$3000,0),MATCH(H$4,임대자산!$D$3:$R$3,0)),
IF($D317="폐업",INDEX(폐업정보!$D$3:$R$3000,MATCH($F317,폐업정보!$I$3:$I$3000,0),MATCH(H$4,폐업정보!$D$3:$R$3,0)),
"Error"))</f>
        <v>45306</v>
      </c>
      <c r="I317" s="75" t="str">
        <f aca="false">
IF($D317="정상",INDEX(임대자산!$D$3:$R$3000,MATCH($F317,임대자산!$I$3:$I$3000,0),MATCH(I$4,임대자산!$D$3:$R$3,0)),
IF($D317="폐업",INDEX(폐업정보!$D$3:$R$3000,MATCH($F317,폐업정보!$I$3:$I$3000,0),MATCH(I$4,폐업정보!$D$3:$R$3,0)),
"Error"))</f>
        <v>A0312</v>
      </c>
      <c r="J317" s="75" t="str">
        <f aca="false">
IF($D317="정상",INDEX(임대자산!$D$3:$R$3000,MATCH($F317,임대자산!$I$3:$I$3000,0),MATCH(J$4,임대자산!$D$3:$R$3,0)),
IF($D317="폐업",INDEX(폐업정보!$D$3:$R$3000,MATCH($F317,폐업정보!$I$3:$I$3000,0),MATCH(J$4,폐업정보!$D$3:$R$3,0)),
"Error"))</f>
        <v>7143100000</v>
      </c>
      <c r="K317" s="75" t="str">
        <f aca="false">
IF($D317="정상",INDEX(임대자산!$D$3:$R$3000,MATCH($F317,임대자산!$I$3:$I$3000,0),MATCH(K$4,임대자산!$D$3:$R$3,0)),
IF($D317="폐업",INDEX(폐업정보!$D$3:$R$3000,MATCH($F317,폐업정보!$I$3:$I$3000,0),MATCH(K$4,폐업정보!$D$3:$R$3,0)),
"Error"))</f>
        <v>C0312</v>
      </c>
      <c r="L317" s="75" t="str">
        <f aca="false">
IF($D317="정상",INDEX(임대자산!$D$3:$R$3000,MATCH($F317,임대자산!$I$3:$I$3000,0),MATCH(L$4,임대자산!$D$3:$R$3,0)),
IF($D317="폐업",INDEX(폐업정보!$D$3:$R$3000,MATCH($F317,폐업정보!$I$3:$I$3000,0),MATCH(L$4,폐업정보!$D$3:$R$3,0)),
"Error"))</f>
        <v>D0312</v>
      </c>
      <c r="M317" s="76" t="s">
        <v>96</v>
      </c>
      <c r="N317" s="77"/>
      <c r="O317" s="78" t="s">
        <v>97</v>
      </c>
      <c r="P317" s="79" t="n">
        <f aca="false">COUNTIFS(임대자산!$I:$I,가맹점정보!F317,임대자산!$N:$N,가맹점정보!P$4)</f>
        <v>0</v>
      </c>
      <c r="Q317" s="80" t="n">
        <f aca="false">COUNTIFS(임대자산!$I:$I,가맹점정보!F317,임대자산!$N:$N,가맹점정보!Q$4)</f>
        <v>0</v>
      </c>
      <c r="R317" s="81" t="n">
        <f aca="false">COUNTIFS(임대자산!$I:$I,가맹점정보!F317,임대자산!$N:$N,가맹점정보!R$4)</f>
        <v>1</v>
      </c>
      <c r="S317" s="82" t="n">
        <v>55000</v>
      </c>
      <c r="T317" s="83" t="n">
        <v>0</v>
      </c>
      <c r="U317" s="80" t="n">
        <f aca="false">SUM(S317:T317)</f>
        <v>55000</v>
      </c>
      <c r="V317" s="84" t="s">
        <v>12</v>
      </c>
      <c r="W317" s="80" t="e">
        <f aca="true">
IF(D317="폐업","폐업",
IF(V317="면제","면제",
IF(AND(V317="정상",COUNTIFS(OFFSET(Y317,0,COUNTA(Y317:AV317)-1,1,-4),"미납")&gt;=3),"장기미납",
IF(AND(V317="정상",OFFSET(Y317,0,COUNTA(Y317:AV317)-1)&gt;=U317),"정상",
IF(AND(V317="정상",OFFSET(Y317,0,COUNTA(Y317:AV317)-1)=0),"정상",
"계약서 미작성")))))</f>
        <v>#VALUE!</v>
      </c>
      <c r="X317" s="81" t="str">
        <f aca="true">
IF(D317="폐업","폐업",
IF(AND(V317="정상",OFFSET(Y317,0,COUNTA(Y317:AV317)-1)="미납"),"미납",
IF(AND(V317="정상",OFFSET(Y317,0,COUNTA(Y317:AV317)-1)=0),"납부 시작 전",
IF(AND(V317="정상",OFFSET(Y317,0,COUNTA(Y317:AV317)-1)&gt;=U317),"정상",
IF(AND(V317="면제",OFFSET(Y317,0,COUNTA(Y317:AV317)-1)="면제"),"면제",
IF(AND(V317="면제",OFFSET(Y317,0,COUNTA(Y317:AV317)-1)=0),"면제",
"확인요청"))))))</f>
        <v>정상</v>
      </c>
      <c r="Y317" s="93" t="n">
        <v>55000</v>
      </c>
      <c r="Z317" s="90" t="n">
        <v>55000</v>
      </c>
      <c r="AA317" s="90" t="n">
        <v>55000</v>
      </c>
      <c r="AB317" s="90" t="n">
        <v>55000</v>
      </c>
      <c r="AC317" s="90" t="n">
        <v>55000</v>
      </c>
      <c r="AD317" s="90" t="n">
        <v>55000</v>
      </c>
      <c r="AE317" s="90" t="n">
        <v>55000</v>
      </c>
      <c r="AF317" s="90" t="n">
        <v>55000</v>
      </c>
      <c r="AG317" s="90" t="n">
        <v>55000</v>
      </c>
      <c r="AH317" s="90" t="n">
        <v>55000</v>
      </c>
      <c r="AI317" s="90" t="n">
        <v>55000</v>
      </c>
      <c r="AJ317" s="91" t="n">
        <v>55000</v>
      </c>
      <c r="AK317" s="89" t="n">
        <v>55000</v>
      </c>
      <c r="AL317" s="90" t="n">
        <v>55000</v>
      </c>
      <c r="AM317" s="90"/>
      <c r="AN317" s="90"/>
      <c r="AO317" s="90"/>
      <c r="AP317" s="90"/>
      <c r="AQ317" s="90"/>
      <c r="AR317" s="90"/>
      <c r="AS317" s="90"/>
      <c r="AT317" s="90"/>
      <c r="AU317" s="90"/>
      <c r="AV317" s="91"/>
      <c r="AX317" s="92"/>
    </row>
    <row r="318" customFormat="false" ht="15.65" hidden="false" customHeight="false" outlineLevel="0" collapsed="false">
      <c r="C318" s="72" t="n">
        <f aca="false">COUNTIFS($D$6:D318,"&lt;&gt;"&amp;"")</f>
        <v>313</v>
      </c>
      <c r="D318" s="73" t="s">
        <v>5</v>
      </c>
      <c r="E318" s="76" t="str">
        <f aca="false">
IF($D318="정상",INDEX(임대자산!$D$3:$R$3000,MATCH($F318,임대자산!$I$3:$I$3000,0),MATCH(E$3,임대자산!$D$3:$R$3,0)),
IF($D318="폐업",INDEX(폐업정보!$D$3:$R$3000,MATCH($F318,폐업정보!$I$3:$I$3000,0),MATCH(E$3,폐업정보!$D$3:$R$3,0)),
"Error"))</f>
        <v>서울</v>
      </c>
      <c r="F31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B0313</v>
      </c>
      <c r="G318" s="76" t="str">
        <f aca="false">F318&amp;RANDBETWEEN(0,10)</f>
        <v>B03132</v>
      </c>
      <c r="H318" s="75" t="n">
        <f aca="false">
IF($D318="정상",INDEX(임대자산!$D$3:$R$3000,MATCH($F318,임대자산!$I$3:$I$3000,0),MATCH(H$4,임대자산!$D$3:$R$3,0)),
IF($D318="폐업",INDEX(폐업정보!$D$3:$R$3000,MATCH($F318,폐업정보!$I$3:$I$3000,0),MATCH(H$4,폐업정보!$D$3:$R$3,0)),
"Error"))</f>
        <v>45306</v>
      </c>
      <c r="I318" s="75" t="str">
        <f aca="false">
IF($D318="정상",INDEX(임대자산!$D$3:$R$3000,MATCH($F318,임대자산!$I$3:$I$3000,0),MATCH(I$4,임대자산!$D$3:$R$3,0)),
IF($D318="폐업",INDEX(폐업정보!$D$3:$R$3000,MATCH($F318,폐업정보!$I$3:$I$3000,0),MATCH(I$4,폐업정보!$D$3:$R$3,0)),
"Error"))</f>
        <v>A0313</v>
      </c>
      <c r="J318" s="75" t="str">
        <f aca="false">
IF($D318="정상",INDEX(임대자산!$D$3:$R$3000,MATCH($F318,임대자산!$I$3:$I$3000,0),MATCH(J$4,임대자산!$D$3:$R$3,0)),
IF($D318="폐업",INDEX(폐업정보!$D$3:$R$3000,MATCH($F318,폐업정보!$I$3:$I$3000,0),MATCH(J$4,폐업정보!$D$3:$R$3,0)),
"Error"))</f>
        <v>5835500000</v>
      </c>
      <c r="K318" s="75" t="str">
        <f aca="false">
IF($D318="정상",INDEX(임대자산!$D$3:$R$3000,MATCH($F318,임대자산!$I$3:$I$3000,0),MATCH(K$4,임대자산!$D$3:$R$3,0)),
IF($D318="폐업",INDEX(폐업정보!$D$3:$R$3000,MATCH($F318,폐업정보!$I$3:$I$3000,0),MATCH(K$4,폐업정보!$D$3:$R$3,0)),
"Error"))</f>
        <v>C0313</v>
      </c>
      <c r="L318" s="75" t="str">
        <f aca="false">
IF($D318="정상",INDEX(임대자산!$D$3:$R$3000,MATCH($F318,임대자산!$I$3:$I$3000,0),MATCH(L$4,임대자산!$D$3:$R$3,0)),
IF($D318="폐업",INDEX(폐업정보!$D$3:$R$3000,MATCH($F318,폐업정보!$I$3:$I$3000,0),MATCH(L$4,폐업정보!$D$3:$R$3,0)),
"Error"))</f>
        <v>D0313</v>
      </c>
      <c r="M318" s="76" t="s">
        <v>96</v>
      </c>
      <c r="N318" s="77"/>
      <c r="O318" s="78" t="s">
        <v>97</v>
      </c>
      <c r="P318" s="79" t="n">
        <f aca="false">COUNTIFS(임대자산!$I:$I,가맹점정보!F318,임대자산!$N:$N,가맹점정보!P$4)</f>
        <v>0</v>
      </c>
      <c r="Q318" s="80" t="n">
        <f aca="false">COUNTIFS(임대자산!$I:$I,가맹점정보!F318,임대자산!$N:$N,가맹점정보!Q$4)</f>
        <v>0</v>
      </c>
      <c r="R318" s="81" t="n">
        <f aca="false">COUNTIFS(임대자산!$I:$I,가맹점정보!F318,임대자산!$N:$N,가맹점정보!R$4)</f>
        <v>0</v>
      </c>
      <c r="S318" s="82" t="n">
        <v>55000</v>
      </c>
      <c r="T318" s="83" t="n">
        <v>0</v>
      </c>
      <c r="U318" s="80" t="n">
        <f aca="false">SUM(S318:T318)</f>
        <v>55000</v>
      </c>
      <c r="V318" s="84" t="s">
        <v>12</v>
      </c>
      <c r="W318" s="80" t="str">
        <f aca="true">
IF(D318="폐업","폐업",
IF(V318="면제","면제",
IF(AND(V318="정상",COUNTIFS(OFFSET(Y318,0,COUNTA(Y318:AV318)-1,1,-4),"미납")&gt;=3),"장기미납",
IF(AND(V318="정상",OFFSET(Y318,0,COUNTA(Y318:AV318)-1)&gt;=U318),"정상",
IF(AND(V318="정상",OFFSET(Y318,0,COUNTA(Y318:AV318)-1)=0),"정상",
"계약서 미작성")))))</f>
        <v>폐업</v>
      </c>
      <c r="X318" s="81" t="str">
        <f aca="true">
IF(D318="폐업","폐업",
IF(AND(V318="정상",OFFSET(Y318,0,COUNTA(Y318:AV318)-1)="미납"),"미납",
IF(AND(V318="정상",OFFSET(Y318,0,COUNTA(Y318:AV318)-1)=0),"납부 시작 전",
IF(AND(V318="정상",OFFSET(Y318,0,COUNTA(Y318:AV318)-1)&gt;=U318),"정상",
IF(AND(V318="면제",OFFSET(Y318,0,COUNTA(Y318:AV318)-1)="면제"),"면제",
IF(AND(V318="면제",OFFSET(Y318,0,COUNTA(Y318:AV318)-1)=0),"면제",
"확인요청"))))))</f>
        <v>폐업</v>
      </c>
      <c r="Y318" s="93" t="n">
        <v>55000</v>
      </c>
      <c r="Z318" s="90" t="n">
        <v>55000</v>
      </c>
      <c r="AA318" s="90" t="n">
        <v>55000</v>
      </c>
      <c r="AB318" s="90" t="n">
        <v>55000</v>
      </c>
      <c r="AC318" s="90" t="n">
        <v>55000</v>
      </c>
      <c r="AD318" s="90" t="n">
        <v>55000</v>
      </c>
      <c r="AE318" s="90" t="n">
        <v>55000</v>
      </c>
      <c r="AF318" s="90" t="n">
        <v>55000</v>
      </c>
      <c r="AG318" s="90" t="n">
        <v>55000</v>
      </c>
      <c r="AH318" s="90" t="n">
        <v>55000</v>
      </c>
      <c r="AI318" s="90" t="n">
        <v>55000</v>
      </c>
      <c r="AJ318" s="91" t="n">
        <v>55000</v>
      </c>
      <c r="AK318" s="89" t="n">
        <v>55000</v>
      </c>
      <c r="AL318" s="90" t="n">
        <v>55000</v>
      </c>
      <c r="AM318" s="90"/>
      <c r="AN318" s="90"/>
      <c r="AO318" s="90"/>
      <c r="AP318" s="90"/>
      <c r="AQ318" s="90"/>
      <c r="AR318" s="90"/>
      <c r="AS318" s="90"/>
      <c r="AT318" s="90"/>
      <c r="AU318" s="90"/>
      <c r="AV318" s="91"/>
      <c r="AX318" s="92"/>
    </row>
    <row r="319" customFormat="false" ht="15.65" hidden="false" customHeight="false" outlineLevel="0" collapsed="false">
      <c r="C319" s="72" t="n">
        <f aca="false">COUNTIFS($D$6:D319,"&lt;&gt;"&amp;"")</f>
        <v>314</v>
      </c>
      <c r="D319" s="73" t="s">
        <v>12</v>
      </c>
      <c r="E319" s="76" t="str">
        <f aca="false">
IF($D319="정상",INDEX(임대자산!$D$3:$R$3000,MATCH($F319,임대자산!$I$3:$I$3000,0),MATCH(E$3,임대자산!$D$3:$R$3,0)),
IF($D319="폐업",INDEX(폐업정보!$D$3:$R$3000,MATCH($F319,폐업정보!$I$3:$I$3000,0),MATCH(E$3,폐업정보!$D$3:$R$3,0)),
"Error"))</f>
        <v>경상</v>
      </c>
      <c r="F31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B0314</v>
      </c>
      <c r="G319" s="76" t="str">
        <f aca="false">F319&amp;RANDBETWEEN(0,10)</f>
        <v>B03144</v>
      </c>
      <c r="H319" s="75" t="n">
        <f aca="false">
IF($D319="정상",INDEX(임대자산!$D$3:$R$3000,MATCH($F319,임대자산!$I$3:$I$3000,0),MATCH(H$4,임대자산!$D$3:$R$3,0)),
IF($D319="폐업",INDEX(폐업정보!$D$3:$R$3000,MATCH($F319,폐업정보!$I$3:$I$3000,0),MATCH(H$4,폐업정보!$D$3:$R$3,0)),
"Error"))</f>
        <v>45294</v>
      </c>
      <c r="I319" s="75" t="str">
        <f aca="false">
IF($D319="정상",INDEX(임대자산!$D$3:$R$3000,MATCH($F319,임대자산!$I$3:$I$3000,0),MATCH(I$4,임대자산!$D$3:$R$3,0)),
IF($D319="폐업",INDEX(폐업정보!$D$3:$R$3000,MATCH($F319,폐업정보!$I$3:$I$3000,0),MATCH(I$4,폐업정보!$D$3:$R$3,0)),
"Error"))</f>
        <v>A0314</v>
      </c>
      <c r="J319" s="75" t="str">
        <f aca="false">
IF($D319="정상",INDEX(임대자산!$D$3:$R$3000,MATCH($F319,임대자산!$I$3:$I$3000,0),MATCH(J$4,임대자산!$D$3:$R$3,0)),
IF($D319="폐업",INDEX(폐업정보!$D$3:$R$3000,MATCH($F319,폐업정보!$I$3:$I$3000,0),MATCH(J$4,폐업정보!$D$3:$R$3,0)),
"Error"))</f>
        <v>3641000000</v>
      </c>
      <c r="K319" s="75" t="str">
        <f aca="false">
IF($D319="정상",INDEX(임대자산!$D$3:$R$3000,MATCH($F319,임대자산!$I$3:$I$3000,0),MATCH(K$4,임대자산!$D$3:$R$3,0)),
IF($D319="폐업",INDEX(폐업정보!$D$3:$R$3000,MATCH($F319,폐업정보!$I$3:$I$3000,0),MATCH(K$4,폐업정보!$D$3:$R$3,0)),
"Error"))</f>
        <v>C0314</v>
      </c>
      <c r="L319" s="75" t="str">
        <f aca="false">
IF($D319="정상",INDEX(임대자산!$D$3:$R$3000,MATCH($F319,임대자산!$I$3:$I$3000,0),MATCH(L$4,임대자산!$D$3:$R$3,0)),
IF($D319="폐업",INDEX(폐업정보!$D$3:$R$3000,MATCH($F319,폐업정보!$I$3:$I$3000,0),MATCH(L$4,폐업정보!$D$3:$R$3,0)),
"Error"))</f>
        <v>D0314</v>
      </c>
      <c r="M319" s="76" t="s">
        <v>96</v>
      </c>
      <c r="N319" s="77"/>
      <c r="O319" s="78" t="s">
        <v>97</v>
      </c>
      <c r="P319" s="79" t="n">
        <f aca="false">COUNTIFS(임대자산!$I:$I,가맹점정보!F319,임대자산!$N:$N,가맹점정보!P$4)</f>
        <v>0</v>
      </c>
      <c r="Q319" s="80" t="n">
        <f aca="false">COUNTIFS(임대자산!$I:$I,가맹점정보!F319,임대자산!$N:$N,가맹점정보!Q$4)</f>
        <v>0</v>
      </c>
      <c r="R319" s="81" t="n">
        <f aca="false">COUNTIFS(임대자산!$I:$I,가맹점정보!F319,임대자산!$N:$N,가맹점정보!R$4)</f>
        <v>1</v>
      </c>
      <c r="S319" s="82" t="n">
        <v>55000</v>
      </c>
      <c r="T319" s="83" t="n">
        <v>0</v>
      </c>
      <c r="U319" s="80" t="n">
        <f aca="false">SUM(S319:T319)</f>
        <v>55000</v>
      </c>
      <c r="V319" s="84" t="s">
        <v>12</v>
      </c>
      <c r="W319" s="80" t="e">
        <f aca="true">
IF(D319="폐업","폐업",
IF(V319="면제","면제",
IF(AND(V319="정상",COUNTIFS(OFFSET(Y319,0,COUNTA(Y319:AV319)-1,1,-4),"미납")&gt;=3),"장기미납",
IF(AND(V319="정상",OFFSET(Y319,0,COUNTA(Y319:AV319)-1)&gt;=U319),"정상",
IF(AND(V319="정상",OFFSET(Y319,0,COUNTA(Y319:AV319)-1)=0),"정상",
"계약서 미작성")))))</f>
        <v>#VALUE!</v>
      </c>
      <c r="X319" s="81" t="str">
        <f aca="true">
IF(D319="폐업","폐업",
IF(AND(V319="정상",OFFSET(Y319,0,COUNTA(Y319:AV319)-1)="미납"),"미납",
IF(AND(V319="정상",OFFSET(Y319,0,COUNTA(Y319:AV319)-1)=0),"납부 시작 전",
IF(AND(V319="정상",OFFSET(Y319,0,COUNTA(Y319:AV319)-1)&gt;=U319),"정상",
IF(AND(V319="면제",OFFSET(Y319,0,COUNTA(Y319:AV319)-1)="면제"),"면제",
IF(AND(V319="면제",OFFSET(Y319,0,COUNTA(Y319:AV319)-1)=0),"면제",
"확인요청"))))))</f>
        <v>정상</v>
      </c>
      <c r="Y319" s="93" t="n">
        <v>55000</v>
      </c>
      <c r="Z319" s="90" t="n">
        <v>55000</v>
      </c>
      <c r="AA319" s="90" t="n">
        <v>55000</v>
      </c>
      <c r="AB319" s="90" t="n">
        <v>55000</v>
      </c>
      <c r="AC319" s="90" t="n">
        <v>55000</v>
      </c>
      <c r="AD319" s="90" t="n">
        <v>55000</v>
      </c>
      <c r="AE319" s="90" t="n">
        <v>55000</v>
      </c>
      <c r="AF319" s="90" t="n">
        <v>55000</v>
      </c>
      <c r="AG319" s="90" t="n">
        <v>55000</v>
      </c>
      <c r="AH319" s="90" t="n">
        <v>55000</v>
      </c>
      <c r="AI319" s="90" t="n">
        <v>55000</v>
      </c>
      <c r="AJ319" s="91" t="n">
        <v>55000</v>
      </c>
      <c r="AK319" s="89" t="n">
        <v>55000</v>
      </c>
      <c r="AL319" s="90" t="n">
        <v>55000</v>
      </c>
      <c r="AM319" s="90"/>
      <c r="AN319" s="90"/>
      <c r="AO319" s="90"/>
      <c r="AP319" s="90"/>
      <c r="AQ319" s="90"/>
      <c r="AR319" s="90"/>
      <c r="AS319" s="90"/>
      <c r="AT319" s="90"/>
      <c r="AU319" s="90"/>
      <c r="AV319" s="91"/>
      <c r="AX319" s="92"/>
    </row>
    <row r="320" customFormat="false" ht="15.65" hidden="false" customHeight="false" outlineLevel="0" collapsed="false">
      <c r="C320" s="72" t="n">
        <f aca="false">COUNTIFS($D$6:D320,"&lt;&gt;"&amp;"")</f>
        <v>315</v>
      </c>
      <c r="D320" s="73" t="s">
        <v>12</v>
      </c>
      <c r="E320" s="76" t="str">
        <f aca="false">
IF($D320="정상",INDEX(임대자산!$D$3:$R$3000,MATCH($F320,임대자산!$I$3:$I$3000,0),MATCH(E$3,임대자산!$D$3:$R$3,0)),
IF($D320="폐업",INDEX(폐업정보!$D$3:$R$3000,MATCH($F320,폐업정보!$I$3:$I$3000,0),MATCH(E$3,폐업정보!$D$3:$R$3,0)),
"Error"))</f>
        <v>경상</v>
      </c>
      <c r="F32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B0315</v>
      </c>
      <c r="G320" s="76" t="str">
        <f aca="false">F320&amp;RANDBETWEEN(0,10)</f>
        <v>B03155</v>
      </c>
      <c r="H320" s="75" t="n">
        <f aca="false">
IF($D320="정상",INDEX(임대자산!$D$3:$R$3000,MATCH($F320,임대자산!$I$3:$I$3000,0),MATCH(H$4,임대자산!$D$3:$R$3,0)),
IF($D320="폐업",INDEX(폐업정보!$D$3:$R$3000,MATCH($F320,폐업정보!$I$3:$I$3000,0),MATCH(H$4,폐업정보!$D$3:$R$3,0)),
"Error"))</f>
        <v>46062</v>
      </c>
      <c r="I320" s="75" t="str">
        <f aca="false">
IF($D320="정상",INDEX(임대자산!$D$3:$R$3000,MATCH($F320,임대자산!$I$3:$I$3000,0),MATCH(I$4,임대자산!$D$3:$R$3,0)),
IF($D320="폐업",INDEX(폐업정보!$D$3:$R$3000,MATCH($F320,폐업정보!$I$3:$I$3000,0),MATCH(I$4,폐업정보!$D$3:$R$3,0)),
"Error"))</f>
        <v>A0315</v>
      </c>
      <c r="J320" s="75" t="str">
        <f aca="false">
IF($D320="정상",INDEX(임대자산!$D$3:$R$3000,MATCH($F320,임대자산!$I$3:$I$3000,0),MATCH(J$4,임대자산!$D$3:$R$3,0)),
IF($D320="폐업",INDEX(폐업정보!$D$3:$R$3000,MATCH($F320,폐업정보!$I$3:$I$3000,0),MATCH(J$4,폐업정보!$D$3:$R$3,0)),
"Error"))</f>
        <v>4971600000</v>
      </c>
      <c r="K320" s="75" t="str">
        <f aca="false">
IF($D320="정상",INDEX(임대자산!$D$3:$R$3000,MATCH($F320,임대자산!$I$3:$I$3000,0),MATCH(K$4,임대자산!$D$3:$R$3,0)),
IF($D320="폐업",INDEX(폐업정보!$D$3:$R$3000,MATCH($F320,폐업정보!$I$3:$I$3000,0),MATCH(K$4,폐업정보!$D$3:$R$3,0)),
"Error"))</f>
        <v>C0315</v>
      </c>
      <c r="L320" s="75" t="str">
        <f aca="false">
IF($D320="정상",INDEX(임대자산!$D$3:$R$3000,MATCH($F320,임대자산!$I$3:$I$3000,0),MATCH(L$4,임대자산!$D$3:$R$3,0)),
IF($D320="폐업",INDEX(폐업정보!$D$3:$R$3000,MATCH($F320,폐업정보!$I$3:$I$3000,0),MATCH(L$4,폐업정보!$D$3:$R$3,0)),
"Error"))</f>
        <v>D0315</v>
      </c>
      <c r="M320" s="76" t="s">
        <v>96</v>
      </c>
      <c r="N320" s="77"/>
      <c r="O320" s="78" t="s">
        <v>97</v>
      </c>
      <c r="P320" s="79" t="n">
        <f aca="false">COUNTIFS(임대자산!$I:$I,가맹점정보!F320,임대자산!$N:$N,가맹점정보!P$4)</f>
        <v>0</v>
      </c>
      <c r="Q320" s="80" t="n">
        <f aca="false">COUNTIFS(임대자산!$I:$I,가맹점정보!F320,임대자산!$N:$N,가맹점정보!Q$4)</f>
        <v>0</v>
      </c>
      <c r="R320" s="81" t="n">
        <f aca="false">COUNTIFS(임대자산!$I:$I,가맹점정보!F320,임대자산!$N:$N,가맹점정보!R$4)</f>
        <v>1</v>
      </c>
      <c r="S320" s="82" t="n">
        <v>55000</v>
      </c>
      <c r="T320" s="83" t="n">
        <v>0</v>
      </c>
      <c r="U320" s="80" t="n">
        <f aca="false">SUM(S320:T320)</f>
        <v>55000</v>
      </c>
      <c r="V320" s="84" t="s">
        <v>12</v>
      </c>
      <c r="W320" s="80" t="e">
        <f aca="true">
IF(D320="폐업","폐업",
IF(V320="면제","면제",
IF(AND(V320="정상",COUNTIFS(OFFSET(Y320,0,COUNTA(Y320:AV320)-1,1,-4),"미납")&gt;=3),"장기미납",
IF(AND(V320="정상",OFFSET(Y320,0,COUNTA(Y320:AV320)-1)&gt;=U320),"정상",
IF(AND(V320="정상",OFFSET(Y320,0,COUNTA(Y320:AV320)-1)=0),"정상",
"계약서 미작성")))))</f>
        <v>#VALUE!</v>
      </c>
      <c r="X320" s="81" t="str">
        <f aca="true">
IF(D320="폐업","폐업",
IF(AND(V320="정상",OFFSET(Y320,0,COUNTA(Y320:AV320)-1)="미납"),"미납",
IF(AND(V320="정상",OFFSET(Y320,0,COUNTA(Y320:AV320)-1)=0),"납부 시작 전",
IF(AND(V320="정상",OFFSET(Y320,0,COUNTA(Y320:AV320)-1)&gt;=U320),"정상",
IF(AND(V320="면제",OFFSET(Y320,0,COUNTA(Y320:AV320)-1)="면제"),"면제",
IF(AND(V320="면제",OFFSET(Y320,0,COUNTA(Y320:AV320)-1)=0),"면제",
"확인요청"))))))</f>
        <v>정상</v>
      </c>
      <c r="Y320" s="93" t="n">
        <v>55000</v>
      </c>
      <c r="Z320" s="90" t="n">
        <v>55000</v>
      </c>
      <c r="AA320" s="90" t="n">
        <v>55000</v>
      </c>
      <c r="AB320" s="90" t="n">
        <v>55000</v>
      </c>
      <c r="AC320" s="90" t="n">
        <v>55000</v>
      </c>
      <c r="AD320" s="90" t="n">
        <v>55000</v>
      </c>
      <c r="AE320" s="90" t="n">
        <v>55000</v>
      </c>
      <c r="AF320" s="90" t="n">
        <v>55000</v>
      </c>
      <c r="AG320" s="90" t="n">
        <v>55000</v>
      </c>
      <c r="AH320" s="90" t="n">
        <v>55000</v>
      </c>
      <c r="AI320" s="90" t="n">
        <v>55000</v>
      </c>
      <c r="AJ320" s="91" t="n">
        <v>55000</v>
      </c>
      <c r="AK320" s="89" t="n">
        <v>55000</v>
      </c>
      <c r="AL320" s="90" t="n">
        <v>55000</v>
      </c>
      <c r="AM320" s="90"/>
      <c r="AN320" s="90"/>
      <c r="AO320" s="90"/>
      <c r="AP320" s="90"/>
      <c r="AQ320" s="90"/>
      <c r="AR320" s="90"/>
      <c r="AS320" s="90"/>
      <c r="AT320" s="90"/>
      <c r="AU320" s="90"/>
      <c r="AV320" s="91"/>
      <c r="AX320" s="92"/>
    </row>
    <row r="321" customFormat="false" ht="15.65" hidden="false" customHeight="false" outlineLevel="0" collapsed="false">
      <c r="C321" s="72" t="n">
        <f aca="false">COUNTIFS($D$6:D321,"&lt;&gt;"&amp;"")</f>
        <v>316</v>
      </c>
      <c r="D321" s="73" t="s">
        <v>12</v>
      </c>
      <c r="E321" s="76" t="str">
        <f aca="false">
IF($D321="정상",INDEX(임대자산!$D$3:$R$3000,MATCH($F321,임대자산!$I$3:$I$3000,0),MATCH(E$3,임대자산!$D$3:$R$3,0)),
IF($D321="폐업",INDEX(폐업정보!$D$3:$R$3000,MATCH($F321,폐업정보!$I$3:$I$3000,0),MATCH(E$3,폐업정보!$D$3:$R$3,0)),
"Error"))</f>
        <v>경상</v>
      </c>
      <c r="F32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B0316</v>
      </c>
      <c r="G321" s="76" t="str">
        <f aca="false">F321&amp;RANDBETWEEN(0,10)</f>
        <v>B03169</v>
      </c>
      <c r="H321" s="75" t="n">
        <f aca="false">
IF($D321="정상",INDEX(임대자산!$D$3:$R$3000,MATCH($F321,임대자산!$I$3:$I$3000,0),MATCH(H$4,임대자산!$D$3:$R$3,0)),
IF($D321="폐업",INDEX(폐업정보!$D$3:$R$3000,MATCH($F321,폐업정보!$I$3:$I$3000,0),MATCH(H$4,폐업정보!$D$3:$R$3,0)),
"Error"))</f>
        <v>45862</v>
      </c>
      <c r="I321" s="75" t="str">
        <f aca="false">
IF($D321="정상",INDEX(임대자산!$D$3:$R$3000,MATCH($F321,임대자산!$I$3:$I$3000,0),MATCH(I$4,임대자산!$D$3:$R$3,0)),
IF($D321="폐업",INDEX(폐업정보!$D$3:$R$3000,MATCH($F321,폐업정보!$I$3:$I$3000,0),MATCH(I$4,폐업정보!$D$3:$R$3,0)),
"Error"))</f>
        <v>A0316</v>
      </c>
      <c r="J321" s="75" t="str">
        <f aca="false">
IF($D321="정상",INDEX(임대자산!$D$3:$R$3000,MATCH($F321,임대자산!$I$3:$I$3000,0),MATCH(J$4,임대자산!$D$3:$R$3,0)),
IF($D321="폐업",INDEX(폐업정보!$D$3:$R$3000,MATCH($F321,폐업정보!$I$3:$I$3000,0),MATCH(J$4,폐업정보!$D$3:$R$3,0)),
"Error"))</f>
        <v>1173400000</v>
      </c>
      <c r="K321" s="75" t="str">
        <f aca="false">
IF($D321="정상",INDEX(임대자산!$D$3:$R$3000,MATCH($F321,임대자산!$I$3:$I$3000,0),MATCH(K$4,임대자산!$D$3:$R$3,0)),
IF($D321="폐업",INDEX(폐업정보!$D$3:$R$3000,MATCH($F321,폐업정보!$I$3:$I$3000,0),MATCH(K$4,폐업정보!$D$3:$R$3,0)),
"Error"))</f>
        <v>C0316</v>
      </c>
      <c r="L321" s="75" t="str">
        <f aca="false">
IF($D321="정상",INDEX(임대자산!$D$3:$R$3000,MATCH($F321,임대자산!$I$3:$I$3000,0),MATCH(L$4,임대자산!$D$3:$R$3,0)),
IF($D321="폐업",INDEX(폐업정보!$D$3:$R$3000,MATCH($F321,폐업정보!$I$3:$I$3000,0),MATCH(L$4,폐업정보!$D$3:$R$3,0)),
"Error"))</f>
        <v>D0316</v>
      </c>
      <c r="M321" s="76" t="s">
        <v>96</v>
      </c>
      <c r="N321" s="77"/>
      <c r="O321" s="78" t="s">
        <v>97</v>
      </c>
      <c r="P321" s="79" t="n">
        <f aca="false">COUNTIFS(임대자산!$I:$I,가맹점정보!F321,임대자산!$N:$N,가맹점정보!P$4)</f>
        <v>0</v>
      </c>
      <c r="Q321" s="80" t="n">
        <f aca="false">COUNTIFS(임대자산!$I:$I,가맹점정보!F321,임대자산!$N:$N,가맹점정보!Q$4)</f>
        <v>0</v>
      </c>
      <c r="R321" s="81" t="n">
        <f aca="false">COUNTIFS(임대자산!$I:$I,가맹점정보!F321,임대자산!$N:$N,가맹점정보!R$4)</f>
        <v>1</v>
      </c>
      <c r="S321" s="82" t="n">
        <v>55000</v>
      </c>
      <c r="T321" s="83" t="n">
        <v>0</v>
      </c>
      <c r="U321" s="80" t="n">
        <f aca="false">SUM(S321:T321)</f>
        <v>55000</v>
      </c>
      <c r="V321" s="84" t="s">
        <v>12</v>
      </c>
      <c r="W321" s="80" t="e">
        <f aca="true">
IF(D321="폐업","폐업",
IF(V321="면제","면제",
IF(AND(V321="정상",COUNTIFS(OFFSET(Y321,0,COUNTA(Y321:AV321)-1,1,-4),"미납")&gt;=3),"장기미납",
IF(AND(V321="정상",OFFSET(Y321,0,COUNTA(Y321:AV321)-1)&gt;=U321),"정상",
IF(AND(V321="정상",OFFSET(Y321,0,COUNTA(Y321:AV321)-1)=0),"정상",
"계약서 미작성")))))</f>
        <v>#VALUE!</v>
      </c>
      <c r="X321" s="81" t="str">
        <f aca="true">
IF(D321="폐업","폐업",
IF(AND(V321="정상",OFFSET(Y321,0,COUNTA(Y321:AV321)-1)="미납"),"미납",
IF(AND(V321="정상",OFFSET(Y321,0,COUNTA(Y321:AV321)-1)=0),"납부 시작 전",
IF(AND(V321="정상",OFFSET(Y321,0,COUNTA(Y321:AV321)-1)&gt;=U321),"정상",
IF(AND(V321="면제",OFFSET(Y321,0,COUNTA(Y321:AV321)-1)="면제"),"면제",
IF(AND(V321="면제",OFFSET(Y321,0,COUNTA(Y321:AV321)-1)=0),"면제",
"확인요청"))))))</f>
        <v>정상</v>
      </c>
      <c r="Y321" s="93" t="n">
        <v>55000</v>
      </c>
      <c r="Z321" s="90" t="n">
        <v>55000</v>
      </c>
      <c r="AA321" s="90" t="n">
        <v>55000</v>
      </c>
      <c r="AB321" s="90" t="n">
        <v>55000</v>
      </c>
      <c r="AC321" s="90" t="n">
        <v>55000</v>
      </c>
      <c r="AD321" s="90" t="n">
        <v>55000</v>
      </c>
      <c r="AE321" s="90" t="n">
        <v>55000</v>
      </c>
      <c r="AF321" s="90" t="n">
        <v>55000</v>
      </c>
      <c r="AG321" s="90" t="n">
        <v>55000</v>
      </c>
      <c r="AH321" s="90" t="n">
        <v>55000</v>
      </c>
      <c r="AI321" s="90" t="n">
        <v>55000</v>
      </c>
      <c r="AJ321" s="91" t="n">
        <v>55000</v>
      </c>
      <c r="AK321" s="89" t="n">
        <v>55000</v>
      </c>
      <c r="AL321" s="90" t="n">
        <v>55000</v>
      </c>
      <c r="AM321" s="90"/>
      <c r="AN321" s="90"/>
      <c r="AO321" s="90"/>
      <c r="AP321" s="90"/>
      <c r="AQ321" s="90"/>
      <c r="AR321" s="90"/>
      <c r="AS321" s="90"/>
      <c r="AT321" s="90"/>
      <c r="AU321" s="90"/>
      <c r="AV321" s="91"/>
      <c r="AX321" s="92"/>
    </row>
    <row r="322" customFormat="false" ht="15.65" hidden="false" customHeight="false" outlineLevel="0" collapsed="false">
      <c r="C322" s="72" t="n">
        <f aca="false">COUNTIFS($D$6:D322,"&lt;&gt;"&amp;"")</f>
        <v>317</v>
      </c>
      <c r="D322" s="73" t="s">
        <v>5</v>
      </c>
      <c r="E322" s="76" t="str">
        <f aca="false">
IF($D322="정상",INDEX(임대자산!$D$3:$R$3000,MATCH($F322,임대자산!$I$3:$I$3000,0),MATCH(E$3,임대자산!$D$3:$R$3,0)),
IF($D322="폐업",INDEX(폐업정보!$D$3:$R$3000,MATCH($F322,폐업정보!$I$3:$I$3000,0),MATCH(E$3,폐업정보!$D$3:$R$3,0)),
"Error"))</f>
        <v>경상</v>
      </c>
      <c r="F32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B0317</v>
      </c>
      <c r="G322" s="76" t="str">
        <f aca="false">F322&amp;RANDBETWEEN(0,10)</f>
        <v>B03176</v>
      </c>
      <c r="H322" s="75" t="n">
        <f aca="false">
IF($D322="정상",INDEX(임대자산!$D$3:$R$3000,MATCH($F322,임대자산!$I$3:$I$3000,0),MATCH(H$4,임대자산!$D$3:$R$3,0)),
IF($D322="폐업",INDEX(폐업정보!$D$3:$R$3000,MATCH($F322,폐업정보!$I$3:$I$3000,0),MATCH(H$4,폐업정보!$D$3:$R$3,0)),
"Error"))</f>
        <v>45862</v>
      </c>
      <c r="I322" s="75" t="str">
        <f aca="false">
IF($D322="정상",INDEX(임대자산!$D$3:$R$3000,MATCH($F322,임대자산!$I$3:$I$3000,0),MATCH(I$4,임대자산!$D$3:$R$3,0)),
IF($D322="폐업",INDEX(폐업정보!$D$3:$R$3000,MATCH($F322,폐업정보!$I$3:$I$3000,0),MATCH(I$4,폐업정보!$D$3:$R$3,0)),
"Error"))</f>
        <v>A0317</v>
      </c>
      <c r="J322" s="75" t="str">
        <f aca="false">
IF($D322="정상",INDEX(임대자산!$D$3:$R$3000,MATCH($F322,임대자산!$I$3:$I$3000,0),MATCH(J$4,임대자산!$D$3:$R$3,0)),
IF($D322="폐업",INDEX(폐업정보!$D$3:$R$3000,MATCH($F322,폐업정보!$I$3:$I$3000,0),MATCH(J$4,폐업정보!$D$3:$R$3,0)),
"Error"))</f>
        <v>1596500000</v>
      </c>
      <c r="K322" s="75" t="str">
        <f aca="false">
IF($D322="정상",INDEX(임대자산!$D$3:$R$3000,MATCH($F322,임대자산!$I$3:$I$3000,0),MATCH(K$4,임대자산!$D$3:$R$3,0)),
IF($D322="폐업",INDEX(폐업정보!$D$3:$R$3000,MATCH($F322,폐업정보!$I$3:$I$3000,0),MATCH(K$4,폐업정보!$D$3:$R$3,0)),
"Error"))</f>
        <v>C0317</v>
      </c>
      <c r="L322" s="75" t="str">
        <f aca="false">
IF($D322="정상",INDEX(임대자산!$D$3:$R$3000,MATCH($F322,임대자산!$I$3:$I$3000,0),MATCH(L$4,임대자산!$D$3:$R$3,0)),
IF($D322="폐업",INDEX(폐업정보!$D$3:$R$3000,MATCH($F322,폐업정보!$I$3:$I$3000,0),MATCH(L$4,폐업정보!$D$3:$R$3,0)),
"Error"))</f>
        <v>D0317</v>
      </c>
      <c r="M322" s="76" t="s">
        <v>96</v>
      </c>
      <c r="N322" s="77"/>
      <c r="O322" s="78" t="s">
        <v>97</v>
      </c>
      <c r="P322" s="79" t="n">
        <f aca="false">COUNTIFS(임대자산!$I:$I,가맹점정보!F322,임대자산!$N:$N,가맹점정보!P$4)</f>
        <v>0</v>
      </c>
      <c r="Q322" s="80" t="n">
        <f aca="false">COUNTIFS(임대자산!$I:$I,가맹점정보!F322,임대자산!$N:$N,가맹점정보!Q$4)</f>
        <v>0</v>
      </c>
      <c r="R322" s="81" t="n">
        <f aca="false">COUNTIFS(임대자산!$I:$I,가맹점정보!F322,임대자산!$N:$N,가맹점정보!R$4)</f>
        <v>0</v>
      </c>
      <c r="S322" s="82" t="n">
        <v>55000</v>
      </c>
      <c r="T322" s="83" t="n">
        <v>0</v>
      </c>
      <c r="U322" s="80" t="n">
        <f aca="false">SUM(S322:T322)</f>
        <v>55000</v>
      </c>
      <c r="V322" s="84" t="s">
        <v>12</v>
      </c>
      <c r="W322" s="80" t="str">
        <f aca="true">
IF(D322="폐업","폐업",
IF(V322="면제","면제",
IF(AND(V322="정상",COUNTIFS(OFFSET(Y322,0,COUNTA(Y322:AV322)-1,1,-4),"미납")&gt;=3),"장기미납",
IF(AND(V322="정상",OFFSET(Y322,0,COUNTA(Y322:AV322)-1)&gt;=U322),"정상",
IF(AND(V322="정상",OFFSET(Y322,0,COUNTA(Y322:AV322)-1)=0),"정상",
"계약서 미작성")))))</f>
        <v>폐업</v>
      </c>
      <c r="X322" s="81" t="str">
        <f aca="true">
IF(D322="폐업","폐업",
IF(AND(V322="정상",OFFSET(Y322,0,COUNTA(Y322:AV322)-1)="미납"),"미납",
IF(AND(V322="정상",OFFSET(Y322,0,COUNTA(Y322:AV322)-1)=0),"납부 시작 전",
IF(AND(V322="정상",OFFSET(Y322,0,COUNTA(Y322:AV322)-1)&gt;=U322),"정상",
IF(AND(V322="면제",OFFSET(Y322,0,COUNTA(Y322:AV322)-1)="면제"),"면제",
IF(AND(V322="면제",OFFSET(Y322,0,COUNTA(Y322:AV322)-1)=0),"면제",
"확인요청"))))))</f>
        <v>폐업</v>
      </c>
      <c r="Y322" s="93" t="n">
        <v>55000</v>
      </c>
      <c r="Z322" s="90" t="n">
        <v>55000</v>
      </c>
      <c r="AA322" s="90" t="n">
        <v>55000</v>
      </c>
      <c r="AB322" s="90" t="n">
        <v>55000</v>
      </c>
      <c r="AC322" s="90" t="n">
        <v>55000</v>
      </c>
      <c r="AD322" s="90" t="n">
        <v>55000</v>
      </c>
      <c r="AE322" s="90" t="n">
        <v>55000</v>
      </c>
      <c r="AF322" s="90" t="n">
        <v>55000</v>
      </c>
      <c r="AG322" s="90" t="n">
        <v>55000</v>
      </c>
      <c r="AH322" s="90" t="n">
        <v>55000</v>
      </c>
      <c r="AI322" s="90" t="n">
        <v>55000</v>
      </c>
      <c r="AJ322" s="91" t="n">
        <v>55000</v>
      </c>
      <c r="AK322" s="89" t="n">
        <v>55000</v>
      </c>
      <c r="AL322" s="90" t="n">
        <v>55000</v>
      </c>
      <c r="AM322" s="90"/>
      <c r="AN322" s="90"/>
      <c r="AO322" s="90"/>
      <c r="AP322" s="90"/>
      <c r="AQ322" s="90"/>
      <c r="AR322" s="90"/>
      <c r="AS322" s="90"/>
      <c r="AT322" s="90"/>
      <c r="AU322" s="90"/>
      <c r="AV322" s="91"/>
      <c r="AX322" s="92"/>
    </row>
    <row r="323" customFormat="false" ht="15.65" hidden="false" customHeight="false" outlineLevel="0" collapsed="false">
      <c r="C323" s="72" t="n">
        <f aca="false">COUNTIFS($D$6:D323,"&lt;&gt;"&amp;"")</f>
        <v>318</v>
      </c>
      <c r="D323" s="73" t="s">
        <v>12</v>
      </c>
      <c r="E323" s="76" t="str">
        <f aca="false">
IF($D323="정상",INDEX(임대자산!$D$3:$R$3000,MATCH($F323,임대자산!$I$3:$I$3000,0),MATCH(E$3,임대자산!$D$3:$R$3,0)),
IF($D323="폐업",INDEX(폐업정보!$D$3:$R$3000,MATCH($F323,폐업정보!$I$3:$I$3000,0),MATCH(E$3,폐업정보!$D$3:$R$3,0)),
"Error"))</f>
        <v>경상</v>
      </c>
      <c r="F32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B0318</v>
      </c>
      <c r="G323" s="76" t="str">
        <f aca="false">F323&amp;RANDBETWEEN(0,10)</f>
        <v>B031810</v>
      </c>
      <c r="H323" s="75" t="n">
        <f aca="false">
IF($D323="정상",INDEX(임대자산!$D$3:$R$3000,MATCH($F323,임대자산!$I$3:$I$3000,0),MATCH(H$4,임대자산!$D$3:$R$3,0)),
IF($D323="폐업",INDEX(폐업정보!$D$3:$R$3000,MATCH($F323,폐업정보!$I$3:$I$3000,0),MATCH(H$4,폐업정보!$D$3:$R$3,0)),
"Error"))</f>
        <v>45309</v>
      </c>
      <c r="I323" s="75" t="str">
        <f aca="false">
IF($D323="정상",INDEX(임대자산!$D$3:$R$3000,MATCH($F323,임대자산!$I$3:$I$3000,0),MATCH(I$4,임대자산!$D$3:$R$3,0)),
IF($D323="폐업",INDEX(폐업정보!$D$3:$R$3000,MATCH($F323,폐업정보!$I$3:$I$3000,0),MATCH(I$4,폐업정보!$D$3:$R$3,0)),
"Error"))</f>
        <v>A0318</v>
      </c>
      <c r="J323" s="75" t="str">
        <f aca="false">
IF($D323="정상",INDEX(임대자산!$D$3:$R$3000,MATCH($F323,임대자산!$I$3:$I$3000,0),MATCH(J$4,임대자산!$D$3:$R$3,0)),
IF($D323="폐업",INDEX(폐업정보!$D$3:$R$3000,MATCH($F323,폐업정보!$I$3:$I$3000,0),MATCH(J$4,폐업정보!$D$3:$R$3,0)),
"Error"))</f>
        <v>5236500000</v>
      </c>
      <c r="K323" s="75" t="str">
        <f aca="false">
IF($D323="정상",INDEX(임대자산!$D$3:$R$3000,MATCH($F323,임대자산!$I$3:$I$3000,0),MATCH(K$4,임대자산!$D$3:$R$3,0)),
IF($D323="폐업",INDEX(폐업정보!$D$3:$R$3000,MATCH($F323,폐업정보!$I$3:$I$3000,0),MATCH(K$4,폐업정보!$D$3:$R$3,0)),
"Error"))</f>
        <v>C0318</v>
      </c>
      <c r="L323" s="75" t="str">
        <f aca="false">
IF($D323="정상",INDEX(임대자산!$D$3:$R$3000,MATCH($F323,임대자산!$I$3:$I$3000,0),MATCH(L$4,임대자산!$D$3:$R$3,0)),
IF($D323="폐업",INDEX(폐업정보!$D$3:$R$3000,MATCH($F323,폐업정보!$I$3:$I$3000,0),MATCH(L$4,폐업정보!$D$3:$R$3,0)),
"Error"))</f>
        <v>D0318</v>
      </c>
      <c r="M323" s="76" t="s">
        <v>96</v>
      </c>
      <c r="N323" s="77"/>
      <c r="O323" s="78" t="s">
        <v>97</v>
      </c>
      <c r="P323" s="79" t="n">
        <f aca="false">COUNTIFS(임대자산!$I:$I,가맹점정보!F323,임대자산!$N:$N,가맹점정보!P$4)</f>
        <v>0</v>
      </c>
      <c r="Q323" s="80" t="n">
        <f aca="false">COUNTIFS(임대자산!$I:$I,가맹점정보!F323,임대자산!$N:$N,가맹점정보!Q$4)</f>
        <v>0</v>
      </c>
      <c r="R323" s="81" t="n">
        <f aca="false">COUNTIFS(임대자산!$I:$I,가맹점정보!F323,임대자산!$N:$N,가맹점정보!R$4)</f>
        <v>1</v>
      </c>
      <c r="S323" s="82" t="n">
        <v>55000</v>
      </c>
      <c r="T323" s="83" t="n">
        <v>0</v>
      </c>
      <c r="U323" s="80" t="n">
        <f aca="false">SUM(S323:T323)</f>
        <v>55000</v>
      </c>
      <c r="V323" s="84" t="s">
        <v>12</v>
      </c>
      <c r="W323" s="80" t="e">
        <f aca="true">
IF(D323="폐업","폐업",
IF(V323="면제","면제",
IF(AND(V323="정상",COUNTIFS(OFFSET(Y323,0,COUNTA(Y323:AV323)-1,1,-4),"미납")&gt;=3),"장기미납",
IF(AND(V323="정상",OFFSET(Y323,0,COUNTA(Y323:AV323)-1)&gt;=U323),"정상",
IF(AND(V323="정상",OFFSET(Y323,0,COUNTA(Y323:AV323)-1)=0),"정상",
"계약서 미작성")))))</f>
        <v>#VALUE!</v>
      </c>
      <c r="X323" s="81" t="str">
        <f aca="true">
IF(D323="폐업","폐업",
IF(AND(V323="정상",OFFSET(Y323,0,COUNTA(Y323:AV323)-1)="미납"),"미납",
IF(AND(V323="정상",OFFSET(Y323,0,COUNTA(Y323:AV323)-1)=0),"납부 시작 전",
IF(AND(V323="정상",OFFSET(Y323,0,COUNTA(Y323:AV323)-1)&gt;=U323),"정상",
IF(AND(V323="면제",OFFSET(Y323,0,COUNTA(Y323:AV323)-1)="면제"),"면제",
IF(AND(V323="면제",OFFSET(Y323,0,COUNTA(Y323:AV323)-1)=0),"면제",
"확인요청"))))))</f>
        <v>정상</v>
      </c>
      <c r="Y323" s="93" t="n">
        <v>55000</v>
      </c>
      <c r="Z323" s="90" t="n">
        <v>55000</v>
      </c>
      <c r="AA323" s="90" t="n">
        <v>55000</v>
      </c>
      <c r="AB323" s="90" t="n">
        <v>55000</v>
      </c>
      <c r="AC323" s="90" t="n">
        <v>55000</v>
      </c>
      <c r="AD323" s="90" t="n">
        <v>55000</v>
      </c>
      <c r="AE323" s="90" t="n">
        <v>55000</v>
      </c>
      <c r="AF323" s="90" t="n">
        <v>55000</v>
      </c>
      <c r="AG323" s="90" t="n">
        <v>55000</v>
      </c>
      <c r="AH323" s="90" t="n">
        <v>55000</v>
      </c>
      <c r="AI323" s="90" t="n">
        <v>55000</v>
      </c>
      <c r="AJ323" s="91" t="n">
        <v>55000</v>
      </c>
      <c r="AK323" s="89" t="n">
        <v>55000</v>
      </c>
      <c r="AL323" s="90" t="n">
        <v>55000</v>
      </c>
      <c r="AM323" s="90"/>
      <c r="AN323" s="90"/>
      <c r="AO323" s="90"/>
      <c r="AP323" s="90"/>
      <c r="AQ323" s="90"/>
      <c r="AR323" s="90"/>
      <c r="AS323" s="90"/>
      <c r="AT323" s="90"/>
      <c r="AU323" s="90"/>
      <c r="AV323" s="91"/>
      <c r="AX323" s="92"/>
    </row>
    <row r="324" customFormat="false" ht="15.65" hidden="false" customHeight="false" outlineLevel="0" collapsed="false">
      <c r="C324" s="72" t="n">
        <f aca="false">COUNTIFS($D$6:D324,"&lt;&gt;"&amp;"")</f>
        <v>319</v>
      </c>
      <c r="D324" s="73" t="s">
        <v>12</v>
      </c>
      <c r="E324" s="76" t="str">
        <f aca="false">
IF($D324="정상",INDEX(임대자산!$D$3:$R$3000,MATCH($F324,임대자산!$I$3:$I$3000,0),MATCH(E$3,임대자산!$D$3:$R$3,0)),
IF($D324="폐업",INDEX(폐업정보!$D$3:$R$3000,MATCH($F324,폐업정보!$I$3:$I$3000,0),MATCH(E$3,폐업정보!$D$3:$R$3,0)),
"Error"))</f>
        <v>경상</v>
      </c>
      <c r="F32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B0319</v>
      </c>
      <c r="G324" s="76" t="str">
        <f aca="false">F324&amp;RANDBETWEEN(0,10)</f>
        <v>B03199</v>
      </c>
      <c r="H324" s="75" t="n">
        <f aca="false">
IF($D324="정상",INDEX(임대자산!$D$3:$R$3000,MATCH($F324,임대자산!$I$3:$I$3000,0),MATCH(H$4,임대자산!$D$3:$R$3,0)),
IF($D324="폐업",INDEX(폐업정보!$D$3:$R$3000,MATCH($F324,폐업정보!$I$3:$I$3000,0),MATCH(H$4,폐업정보!$D$3:$R$3,0)),
"Error"))</f>
        <v>45370</v>
      </c>
      <c r="I324" s="75" t="str">
        <f aca="false">
IF($D324="정상",INDEX(임대자산!$D$3:$R$3000,MATCH($F324,임대자산!$I$3:$I$3000,0),MATCH(I$4,임대자산!$D$3:$R$3,0)),
IF($D324="폐업",INDEX(폐업정보!$D$3:$R$3000,MATCH($F324,폐업정보!$I$3:$I$3000,0),MATCH(I$4,폐업정보!$D$3:$R$3,0)),
"Error"))</f>
        <v>A0319</v>
      </c>
      <c r="J324" s="75" t="str">
        <f aca="false">
IF($D324="정상",INDEX(임대자산!$D$3:$R$3000,MATCH($F324,임대자산!$I$3:$I$3000,0),MATCH(J$4,임대자산!$D$3:$R$3,0)),
IF($D324="폐업",INDEX(폐업정보!$D$3:$R$3000,MATCH($F324,폐업정보!$I$3:$I$3000,0),MATCH(J$4,폐업정보!$D$3:$R$3,0)),
"Error"))</f>
        <v>8113000000</v>
      </c>
      <c r="K324" s="75" t="str">
        <f aca="false">
IF($D324="정상",INDEX(임대자산!$D$3:$R$3000,MATCH($F324,임대자산!$I$3:$I$3000,0),MATCH(K$4,임대자산!$D$3:$R$3,0)),
IF($D324="폐업",INDEX(폐업정보!$D$3:$R$3000,MATCH($F324,폐업정보!$I$3:$I$3000,0),MATCH(K$4,폐업정보!$D$3:$R$3,0)),
"Error"))</f>
        <v>C0319</v>
      </c>
      <c r="L324" s="75" t="str">
        <f aca="false">
IF($D324="정상",INDEX(임대자산!$D$3:$R$3000,MATCH($F324,임대자산!$I$3:$I$3000,0),MATCH(L$4,임대자산!$D$3:$R$3,0)),
IF($D324="폐업",INDEX(폐업정보!$D$3:$R$3000,MATCH($F324,폐업정보!$I$3:$I$3000,0),MATCH(L$4,폐업정보!$D$3:$R$3,0)),
"Error"))</f>
        <v>D0319</v>
      </c>
      <c r="M324" s="76" t="s">
        <v>96</v>
      </c>
      <c r="N324" s="77"/>
      <c r="O324" s="78" t="s">
        <v>97</v>
      </c>
      <c r="P324" s="79" t="n">
        <f aca="false">COUNTIFS(임대자산!$I:$I,가맹점정보!F324,임대자산!$N:$N,가맹점정보!P$4)</f>
        <v>0</v>
      </c>
      <c r="Q324" s="80" t="n">
        <f aca="false">COUNTIFS(임대자산!$I:$I,가맹점정보!F324,임대자산!$N:$N,가맹점정보!Q$4)</f>
        <v>0</v>
      </c>
      <c r="R324" s="81" t="n">
        <f aca="false">COUNTIFS(임대자산!$I:$I,가맹점정보!F324,임대자산!$N:$N,가맹점정보!R$4)</f>
        <v>1</v>
      </c>
      <c r="S324" s="82" t="n">
        <v>33000</v>
      </c>
      <c r="T324" s="83" t="n">
        <v>0</v>
      </c>
      <c r="U324" s="80" t="n">
        <f aca="false">SUM(S324:T324)</f>
        <v>33000</v>
      </c>
      <c r="V324" s="84" t="s">
        <v>12</v>
      </c>
      <c r="W324" s="80" t="e">
        <f aca="true">
IF(D324="폐업","폐업",
IF(V324="면제","면제",
IF(AND(V324="정상",COUNTIFS(OFFSET(Y324,0,COUNTA(Y324:AV324)-1,1,-4),"미납")&gt;=3),"장기미납",
IF(AND(V324="정상",OFFSET(Y324,0,COUNTA(Y324:AV324)-1)&gt;=U324),"정상",
IF(AND(V324="정상",OFFSET(Y324,0,COUNTA(Y324:AV324)-1)=0),"정상",
"계약서 미작성")))))</f>
        <v>#VALUE!</v>
      </c>
      <c r="X324" s="81" t="str">
        <f aca="true">
IF(D324="폐업","폐업",
IF(AND(V324="정상",OFFSET(Y324,0,COUNTA(Y324:AV324)-1)="미납"),"미납",
IF(AND(V324="정상",OFFSET(Y324,0,COUNTA(Y324:AV324)-1)=0),"납부 시작 전",
IF(AND(V324="정상",OFFSET(Y324,0,COUNTA(Y324:AV324)-1)&gt;=U324),"정상",
IF(AND(V324="면제",OFFSET(Y324,0,COUNTA(Y324:AV324)-1)="면제"),"면제",
IF(AND(V324="면제",OFFSET(Y324,0,COUNTA(Y324:AV324)-1)=0),"면제",
"확인요청"))))))</f>
        <v>미납</v>
      </c>
      <c r="Y324" s="93" t="n">
        <v>55000</v>
      </c>
      <c r="Z324" s="90" t="n">
        <v>55000</v>
      </c>
      <c r="AA324" s="90" t="n">
        <v>55000</v>
      </c>
      <c r="AB324" s="90" t="n">
        <v>55000</v>
      </c>
      <c r="AC324" s="90" t="n">
        <v>55000</v>
      </c>
      <c r="AD324" s="90" t="n">
        <v>55000</v>
      </c>
      <c r="AE324" s="90" t="n">
        <v>55000</v>
      </c>
      <c r="AF324" s="90" t="n">
        <v>55000</v>
      </c>
      <c r="AG324" s="90" t="n">
        <v>55000</v>
      </c>
      <c r="AH324" s="90" t="n">
        <v>55000</v>
      </c>
      <c r="AI324" s="90" t="n">
        <v>33000</v>
      </c>
      <c r="AJ324" s="91" t="n">
        <v>33000</v>
      </c>
      <c r="AK324" s="89" t="n">
        <v>33000</v>
      </c>
      <c r="AL324" s="95" t="s">
        <v>62</v>
      </c>
      <c r="AM324" s="90"/>
      <c r="AN324" s="90"/>
      <c r="AO324" s="90"/>
      <c r="AP324" s="90"/>
      <c r="AQ324" s="90"/>
      <c r="AR324" s="90"/>
      <c r="AS324" s="90"/>
      <c r="AT324" s="90"/>
      <c r="AU324" s="90"/>
      <c r="AV324" s="91"/>
      <c r="AX324" s="92"/>
    </row>
    <row r="325" customFormat="false" ht="15.65" hidden="false" customHeight="false" outlineLevel="0" collapsed="false">
      <c r="C325" s="72" t="n">
        <f aca="false">COUNTIFS($D$6:D325,"&lt;&gt;"&amp;"")</f>
        <v>320</v>
      </c>
      <c r="D325" s="73" t="s">
        <v>12</v>
      </c>
      <c r="E325" s="76" t="str">
        <f aca="false">
IF($D325="정상",INDEX(임대자산!$D$3:$R$3000,MATCH($F325,임대자산!$I$3:$I$3000,0),MATCH(E$3,임대자산!$D$3:$R$3,0)),
IF($D325="폐업",INDEX(폐업정보!$D$3:$R$3000,MATCH($F325,폐업정보!$I$3:$I$3000,0),MATCH(E$3,폐업정보!$D$3:$R$3,0)),
"Error"))</f>
        <v>강원</v>
      </c>
      <c r="F32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B0320</v>
      </c>
      <c r="G325" s="76" t="str">
        <f aca="false">F325&amp;RANDBETWEEN(0,10)</f>
        <v>B03203</v>
      </c>
      <c r="H325" s="75" t="n">
        <f aca="false">
IF($D325="정상",INDEX(임대자산!$D$3:$R$3000,MATCH($F325,임대자산!$I$3:$I$3000,0),MATCH(H$4,임대자산!$D$3:$R$3,0)),
IF($D325="폐업",INDEX(폐업정보!$D$3:$R$3000,MATCH($F325,폐업정보!$I$3:$I$3000,0),MATCH(H$4,폐업정보!$D$3:$R$3,0)),
"Error"))</f>
        <v>45743</v>
      </c>
      <c r="I325" s="75" t="str">
        <f aca="false">
IF($D325="정상",INDEX(임대자산!$D$3:$R$3000,MATCH($F325,임대자산!$I$3:$I$3000,0),MATCH(I$4,임대자산!$D$3:$R$3,0)),
IF($D325="폐업",INDEX(폐업정보!$D$3:$R$3000,MATCH($F325,폐업정보!$I$3:$I$3000,0),MATCH(I$4,폐업정보!$D$3:$R$3,0)),
"Error"))</f>
        <v>A0320</v>
      </c>
      <c r="J325" s="75" t="str">
        <f aca="false">
IF($D325="정상",INDEX(임대자산!$D$3:$R$3000,MATCH($F325,임대자산!$I$3:$I$3000,0),MATCH(J$4,임대자산!$D$3:$R$3,0)),
IF($D325="폐업",INDEX(폐업정보!$D$3:$R$3000,MATCH($F325,폐업정보!$I$3:$I$3000,0),MATCH(J$4,폐업정보!$D$3:$R$3,0)),
"Error"))</f>
        <v>7655300000</v>
      </c>
      <c r="K325" s="75" t="str">
        <f aca="false">
IF($D325="정상",INDEX(임대자산!$D$3:$R$3000,MATCH($F325,임대자산!$I$3:$I$3000,0),MATCH(K$4,임대자산!$D$3:$R$3,0)),
IF($D325="폐업",INDEX(폐업정보!$D$3:$R$3000,MATCH($F325,폐업정보!$I$3:$I$3000,0),MATCH(K$4,폐업정보!$D$3:$R$3,0)),
"Error"))</f>
        <v>C0320</v>
      </c>
      <c r="L325" s="75" t="str">
        <f aca="false">
IF($D325="정상",INDEX(임대자산!$D$3:$R$3000,MATCH($F325,임대자산!$I$3:$I$3000,0),MATCH(L$4,임대자산!$D$3:$R$3,0)),
IF($D325="폐업",INDEX(폐업정보!$D$3:$R$3000,MATCH($F325,폐업정보!$I$3:$I$3000,0),MATCH(L$4,폐업정보!$D$3:$R$3,0)),
"Error"))</f>
        <v>D0320</v>
      </c>
      <c r="M325" s="76" t="s">
        <v>96</v>
      </c>
      <c r="N325" s="77"/>
      <c r="O325" s="78" t="s">
        <v>97</v>
      </c>
      <c r="P325" s="79" t="n">
        <f aca="false">COUNTIFS(임대자산!$I:$I,가맹점정보!F325,임대자산!$N:$N,가맹점정보!P$4)</f>
        <v>0</v>
      </c>
      <c r="Q325" s="80" t="n">
        <f aca="false">COUNTIFS(임대자산!$I:$I,가맹점정보!F325,임대자산!$N:$N,가맹점정보!Q$4)</f>
        <v>0</v>
      </c>
      <c r="R325" s="81" t="n">
        <f aca="false">COUNTIFS(임대자산!$I:$I,가맹점정보!F325,임대자산!$N:$N,가맹점정보!R$4)</f>
        <v>1</v>
      </c>
      <c r="S325" s="82" t="n">
        <v>88000</v>
      </c>
      <c r="T325" s="83" t="n">
        <v>0</v>
      </c>
      <c r="U325" s="80" t="n">
        <f aca="false">SUM(S325:T325)</f>
        <v>88000</v>
      </c>
      <c r="V325" s="84" t="s">
        <v>7</v>
      </c>
      <c r="W325" s="80" t="str">
        <f aca="true">
IF(D325="폐업","폐업",
IF(V325="면제","면제",
IF(AND(V325="정상",COUNTIFS(OFFSET(Y325,0,COUNTA(Y325:AV325)-1,1,-4),"미납")&gt;=3),"장기미납",
IF(AND(V325="정상",OFFSET(Y325,0,COUNTA(Y325:AV325)-1)&gt;=U325),"정상",
IF(AND(V325="정상",OFFSET(Y325,0,COUNTA(Y325:AV325)-1)=0),"정상",
"계약서 미작성")))))</f>
        <v>면제</v>
      </c>
      <c r="X325" s="81" t="str">
        <f aca="true">
IF(D325="폐업","폐업",
IF(AND(V325="정상",OFFSET(Y325,0,COUNTA(Y325:AV325)-1)="미납"),"미납",
IF(AND(V325="정상",OFFSET(Y325,0,COUNTA(Y325:AV325)-1)=0),"납부 시작 전",
IF(AND(V325="정상",OFFSET(Y325,0,COUNTA(Y325:AV325)-1)&gt;=U325),"정상",
IF(AND(V325="면제",OFFSET(Y325,0,COUNTA(Y325:AV325)-1)="면제"),"면제",
IF(AND(V325="면제",OFFSET(Y325,0,COUNTA(Y325:AV325)-1)=0),"면제",
"확인요청"))))))</f>
        <v>면제</v>
      </c>
      <c r="Y325" s="94" t="s">
        <v>7</v>
      </c>
      <c r="Z325" s="95" t="s">
        <v>7</v>
      </c>
      <c r="AA325" s="95" t="s">
        <v>7</v>
      </c>
      <c r="AB325" s="95" t="s">
        <v>7</v>
      </c>
      <c r="AC325" s="95" t="s">
        <v>7</v>
      </c>
      <c r="AD325" s="95" t="s">
        <v>7</v>
      </c>
      <c r="AE325" s="95" t="s">
        <v>7</v>
      </c>
      <c r="AF325" s="95" t="s">
        <v>7</v>
      </c>
      <c r="AG325" s="95" t="s">
        <v>7</v>
      </c>
      <c r="AH325" s="95" t="s">
        <v>7</v>
      </c>
      <c r="AI325" s="95" t="s">
        <v>7</v>
      </c>
      <c r="AJ325" s="96" t="s">
        <v>7</v>
      </c>
      <c r="AK325" s="97" t="s">
        <v>7</v>
      </c>
      <c r="AL325" s="95" t="s">
        <v>7</v>
      </c>
      <c r="AM325" s="90"/>
      <c r="AN325" s="90"/>
      <c r="AO325" s="90"/>
      <c r="AP325" s="90"/>
      <c r="AQ325" s="90"/>
      <c r="AR325" s="90"/>
      <c r="AS325" s="90"/>
      <c r="AT325" s="90"/>
      <c r="AU325" s="90"/>
      <c r="AV325" s="91"/>
      <c r="AX325" s="92"/>
    </row>
    <row r="326" customFormat="false" ht="15.65" hidden="false" customHeight="false" outlineLevel="0" collapsed="false">
      <c r="C326" s="72" t="n">
        <f aca="false">COUNTIFS($D$6:D326,"&lt;&gt;"&amp;"")</f>
        <v>321</v>
      </c>
      <c r="D326" s="73" t="s">
        <v>12</v>
      </c>
      <c r="E326" s="76" t="str">
        <f aca="false">
IF($D326="정상",INDEX(임대자산!$D$3:$R$3000,MATCH($F326,임대자산!$I$3:$I$3000,0),MATCH(E$3,임대자산!$D$3:$R$3,0)),
IF($D326="폐업",INDEX(폐업정보!$D$3:$R$3000,MATCH($F326,폐업정보!$I$3:$I$3000,0),MATCH(E$3,폐업정보!$D$3:$R$3,0)),
"Error"))</f>
        <v>전라</v>
      </c>
      <c r="F32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B0321</v>
      </c>
      <c r="G326" s="76" t="str">
        <f aca="false">F326&amp;RANDBETWEEN(0,10)</f>
        <v>B03214</v>
      </c>
      <c r="H326" s="75" t="n">
        <f aca="false">
IF($D326="정상",INDEX(임대자산!$D$3:$R$3000,MATCH($F326,임대자산!$I$3:$I$3000,0),MATCH(H$4,임대자산!$D$3:$R$3,0)),
IF($D326="폐업",INDEX(폐업정보!$D$3:$R$3000,MATCH($F326,폐업정보!$I$3:$I$3000,0),MATCH(H$4,폐업정보!$D$3:$R$3,0)),
"Error"))</f>
        <v>45301</v>
      </c>
      <c r="I326" s="75" t="str">
        <f aca="false">
IF($D326="정상",INDEX(임대자산!$D$3:$R$3000,MATCH($F326,임대자산!$I$3:$I$3000,0),MATCH(I$4,임대자산!$D$3:$R$3,0)),
IF($D326="폐업",INDEX(폐업정보!$D$3:$R$3000,MATCH($F326,폐업정보!$I$3:$I$3000,0),MATCH(I$4,폐업정보!$D$3:$R$3,0)),
"Error"))</f>
        <v>A0321</v>
      </c>
      <c r="J326" s="75" t="str">
        <f aca="false">
IF($D326="정상",INDEX(임대자산!$D$3:$R$3000,MATCH($F326,임대자산!$I$3:$I$3000,0),MATCH(J$4,임대자산!$D$3:$R$3,0)),
IF($D326="폐업",INDEX(폐업정보!$D$3:$R$3000,MATCH($F326,폐업정보!$I$3:$I$3000,0),MATCH(J$4,폐업정보!$D$3:$R$3,0)),
"Error"))</f>
        <v>6045900000</v>
      </c>
      <c r="K326" s="75" t="str">
        <f aca="false">
IF($D326="정상",INDEX(임대자산!$D$3:$R$3000,MATCH($F326,임대자산!$I$3:$I$3000,0),MATCH(K$4,임대자산!$D$3:$R$3,0)),
IF($D326="폐업",INDEX(폐업정보!$D$3:$R$3000,MATCH($F326,폐업정보!$I$3:$I$3000,0),MATCH(K$4,폐업정보!$D$3:$R$3,0)),
"Error"))</f>
        <v>C0321</v>
      </c>
      <c r="L326" s="75" t="str">
        <f aca="false">
IF($D326="정상",INDEX(임대자산!$D$3:$R$3000,MATCH($F326,임대자산!$I$3:$I$3000,0),MATCH(L$4,임대자산!$D$3:$R$3,0)),
IF($D326="폐업",INDEX(폐업정보!$D$3:$R$3000,MATCH($F326,폐업정보!$I$3:$I$3000,0),MATCH(L$4,폐업정보!$D$3:$R$3,0)),
"Error"))</f>
        <v>D0321</v>
      </c>
      <c r="M326" s="76" t="s">
        <v>96</v>
      </c>
      <c r="N326" s="77"/>
      <c r="O326" s="78" t="s">
        <v>97</v>
      </c>
      <c r="P326" s="79" t="n">
        <f aca="false">COUNTIFS(임대자산!$I:$I,가맹점정보!F326,임대자산!$N:$N,가맹점정보!P$4)</f>
        <v>0</v>
      </c>
      <c r="Q326" s="80" t="n">
        <f aca="false">COUNTIFS(임대자산!$I:$I,가맹점정보!F326,임대자산!$N:$N,가맹점정보!Q$4)</f>
        <v>0</v>
      </c>
      <c r="R326" s="81" t="n">
        <f aca="false">COUNTIFS(임대자산!$I:$I,가맹점정보!F326,임대자산!$N:$N,가맹점정보!R$4)</f>
        <v>1</v>
      </c>
      <c r="S326" s="82" t="n">
        <v>88000</v>
      </c>
      <c r="T326" s="83" t="n">
        <v>0</v>
      </c>
      <c r="U326" s="80" t="n">
        <f aca="false">SUM(S326:T326)</f>
        <v>88000</v>
      </c>
      <c r="V326" s="84" t="s">
        <v>7</v>
      </c>
      <c r="W326" s="80" t="str">
        <f aca="true">
IF(D326="폐업","폐업",
IF(V326="면제","면제",
IF(AND(V326="정상",COUNTIFS(OFFSET(Y326,0,COUNTA(Y326:AV326)-1,1,-4),"미납")&gt;=3),"장기미납",
IF(AND(V326="정상",OFFSET(Y326,0,COUNTA(Y326:AV326)-1)&gt;=U326),"정상",
IF(AND(V326="정상",OFFSET(Y326,0,COUNTA(Y326:AV326)-1)=0),"정상",
"계약서 미작성")))))</f>
        <v>면제</v>
      </c>
      <c r="X326" s="81" t="str">
        <f aca="true">
IF(D326="폐업","폐업",
IF(AND(V326="정상",OFFSET(Y326,0,COUNTA(Y326:AV326)-1)="미납"),"미납",
IF(AND(V326="정상",OFFSET(Y326,0,COUNTA(Y326:AV326)-1)=0),"납부 시작 전",
IF(AND(V326="정상",OFFSET(Y326,0,COUNTA(Y326:AV326)-1)&gt;=U326),"정상",
IF(AND(V326="면제",OFFSET(Y326,0,COUNTA(Y326:AV326)-1)="면제"),"면제",
IF(AND(V326="면제",OFFSET(Y326,0,COUNTA(Y326:AV326)-1)=0),"면제",
"확인요청"))))))</f>
        <v>면제</v>
      </c>
      <c r="Y326" s="94" t="s">
        <v>7</v>
      </c>
      <c r="Z326" s="95" t="s">
        <v>7</v>
      </c>
      <c r="AA326" s="95" t="s">
        <v>7</v>
      </c>
      <c r="AB326" s="95" t="s">
        <v>7</v>
      </c>
      <c r="AC326" s="95" t="s">
        <v>7</v>
      </c>
      <c r="AD326" s="95" t="s">
        <v>7</v>
      </c>
      <c r="AE326" s="95" t="s">
        <v>7</v>
      </c>
      <c r="AF326" s="95" t="s">
        <v>7</v>
      </c>
      <c r="AG326" s="95" t="s">
        <v>7</v>
      </c>
      <c r="AH326" s="95" t="s">
        <v>7</v>
      </c>
      <c r="AI326" s="95" t="s">
        <v>7</v>
      </c>
      <c r="AJ326" s="96" t="s">
        <v>7</v>
      </c>
      <c r="AK326" s="97" t="s">
        <v>7</v>
      </c>
      <c r="AL326" s="95" t="s">
        <v>7</v>
      </c>
      <c r="AM326" s="90"/>
      <c r="AN326" s="90"/>
      <c r="AO326" s="90"/>
      <c r="AP326" s="90"/>
      <c r="AQ326" s="90"/>
      <c r="AR326" s="90"/>
      <c r="AS326" s="90"/>
      <c r="AT326" s="90"/>
      <c r="AU326" s="90"/>
      <c r="AV326" s="91"/>
      <c r="AX326" s="92"/>
    </row>
    <row r="327" customFormat="false" ht="15.65" hidden="false" customHeight="false" outlineLevel="0" collapsed="false">
      <c r="C327" s="72" t="n">
        <f aca="false">COUNTIFS($D$6:D327,"&lt;&gt;"&amp;"")</f>
        <v>322</v>
      </c>
      <c r="D327" s="73" t="s">
        <v>12</v>
      </c>
      <c r="E327" s="76" t="str">
        <f aca="false">
IF($D327="정상",INDEX(임대자산!$D$3:$R$3000,MATCH($F327,임대자산!$I$3:$I$3000,0),MATCH(E$3,임대자산!$D$3:$R$3,0)),
IF($D327="폐업",INDEX(폐업정보!$D$3:$R$3000,MATCH($F327,폐업정보!$I$3:$I$3000,0),MATCH(E$3,폐업정보!$D$3:$R$3,0)),
"Error"))</f>
        <v>전라</v>
      </c>
      <c r="F32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B0322</v>
      </c>
      <c r="G327" s="76" t="str">
        <f aca="false">F327&amp;RANDBETWEEN(0,10)</f>
        <v>B032210</v>
      </c>
      <c r="H327" s="75" t="n">
        <f aca="false">
IF($D327="정상",INDEX(임대자산!$D$3:$R$3000,MATCH($F327,임대자산!$I$3:$I$3000,0),MATCH(H$4,임대자산!$D$3:$R$3,0)),
IF($D327="폐업",INDEX(폐업정보!$D$3:$R$3000,MATCH($F327,폐업정보!$I$3:$I$3000,0),MATCH(H$4,폐업정보!$D$3:$R$3,0)),
"Error"))</f>
        <v>45301</v>
      </c>
      <c r="I327" s="75" t="str">
        <f aca="false">
IF($D327="정상",INDEX(임대자산!$D$3:$R$3000,MATCH($F327,임대자산!$I$3:$I$3000,0),MATCH(I$4,임대자산!$D$3:$R$3,0)),
IF($D327="폐업",INDEX(폐업정보!$D$3:$R$3000,MATCH($F327,폐업정보!$I$3:$I$3000,0),MATCH(I$4,폐업정보!$D$3:$R$3,0)),
"Error"))</f>
        <v>A0322</v>
      </c>
      <c r="J327" s="75" t="str">
        <f aca="false">
IF($D327="정상",INDEX(임대자산!$D$3:$R$3000,MATCH($F327,임대자산!$I$3:$I$3000,0),MATCH(J$4,임대자산!$D$3:$R$3,0)),
IF($D327="폐업",INDEX(폐업정보!$D$3:$R$3000,MATCH($F327,폐업정보!$I$3:$I$3000,0),MATCH(J$4,폐업정보!$D$3:$R$3,0)),
"Error"))</f>
        <v>4608500000</v>
      </c>
      <c r="K327" s="75" t="str">
        <f aca="false">
IF($D327="정상",INDEX(임대자산!$D$3:$R$3000,MATCH($F327,임대자산!$I$3:$I$3000,0),MATCH(K$4,임대자산!$D$3:$R$3,0)),
IF($D327="폐업",INDEX(폐업정보!$D$3:$R$3000,MATCH($F327,폐업정보!$I$3:$I$3000,0),MATCH(K$4,폐업정보!$D$3:$R$3,0)),
"Error"))</f>
        <v>C0322</v>
      </c>
      <c r="L327" s="75" t="str">
        <f aca="false">
IF($D327="정상",INDEX(임대자산!$D$3:$R$3000,MATCH($F327,임대자산!$I$3:$I$3000,0),MATCH(L$4,임대자산!$D$3:$R$3,0)),
IF($D327="폐업",INDEX(폐업정보!$D$3:$R$3000,MATCH($F327,폐업정보!$I$3:$I$3000,0),MATCH(L$4,폐업정보!$D$3:$R$3,0)),
"Error"))</f>
        <v>D0322</v>
      </c>
      <c r="M327" s="76" t="s">
        <v>96</v>
      </c>
      <c r="N327" s="77"/>
      <c r="O327" s="78" t="s">
        <v>97</v>
      </c>
      <c r="P327" s="79" t="n">
        <f aca="false">COUNTIFS(임대자산!$I:$I,가맹점정보!F327,임대자산!$N:$N,가맹점정보!P$4)</f>
        <v>0</v>
      </c>
      <c r="Q327" s="80" t="n">
        <f aca="false">COUNTIFS(임대자산!$I:$I,가맹점정보!F327,임대자산!$N:$N,가맹점정보!Q$4)</f>
        <v>0</v>
      </c>
      <c r="R327" s="81" t="n">
        <f aca="false">COUNTIFS(임대자산!$I:$I,가맹점정보!F327,임대자산!$N:$N,가맹점정보!R$4)</f>
        <v>1</v>
      </c>
      <c r="S327" s="82" t="n">
        <v>55000</v>
      </c>
      <c r="T327" s="83" t="n">
        <v>0</v>
      </c>
      <c r="U327" s="80" t="n">
        <f aca="false">SUM(S327:T327)</f>
        <v>55000</v>
      </c>
      <c r="V327" s="84" t="s">
        <v>12</v>
      </c>
      <c r="W327" s="80" t="e">
        <f aca="true">
IF(D327="폐업","폐업",
IF(V327="면제","면제",
IF(AND(V327="정상",COUNTIFS(OFFSET(Y327,0,COUNTA(Y327:AV327)-1,1,-4),"미납")&gt;=3),"장기미납",
IF(AND(V327="정상",OFFSET(Y327,0,COUNTA(Y327:AV327)-1)&gt;=U327),"정상",
IF(AND(V327="정상",OFFSET(Y327,0,COUNTA(Y327:AV327)-1)=0),"정상",
"계약서 미작성")))))</f>
        <v>#VALUE!</v>
      </c>
      <c r="X327" s="81" t="str">
        <f aca="true">
IF(D327="폐업","폐업",
IF(AND(V327="정상",OFFSET(Y327,0,COUNTA(Y327:AV327)-1)="미납"),"미납",
IF(AND(V327="정상",OFFSET(Y327,0,COUNTA(Y327:AV327)-1)=0),"납부 시작 전",
IF(AND(V327="정상",OFFSET(Y327,0,COUNTA(Y327:AV327)-1)&gt;=U327),"정상",
IF(AND(V327="면제",OFFSET(Y327,0,COUNTA(Y327:AV327)-1)="면제"),"면제",
IF(AND(V327="면제",OFFSET(Y327,0,COUNTA(Y327:AV327)-1)=0),"면제",
"확인요청"))))))</f>
        <v>정상</v>
      </c>
      <c r="Y327" s="93" t="n">
        <v>55000</v>
      </c>
      <c r="Z327" s="90" t="n">
        <v>55000</v>
      </c>
      <c r="AA327" s="90" t="n">
        <v>55000</v>
      </c>
      <c r="AB327" s="90" t="n">
        <v>55000</v>
      </c>
      <c r="AC327" s="90" t="s">
        <v>102</v>
      </c>
      <c r="AD327" s="90" t="n">
        <v>55000</v>
      </c>
      <c r="AE327" s="90" t="n">
        <v>55000</v>
      </c>
      <c r="AF327" s="90" t="n">
        <v>110000</v>
      </c>
      <c r="AG327" s="90" t="n">
        <v>55000</v>
      </c>
      <c r="AH327" s="90" t="n">
        <v>55000</v>
      </c>
      <c r="AI327" s="95" t="s">
        <v>62</v>
      </c>
      <c r="AJ327" s="91" t="n">
        <v>55000</v>
      </c>
      <c r="AK327" s="89" t="n">
        <v>55000</v>
      </c>
      <c r="AL327" s="90" t="n">
        <v>55000</v>
      </c>
      <c r="AM327" s="90"/>
      <c r="AN327" s="90"/>
      <c r="AO327" s="90"/>
      <c r="AP327" s="90"/>
      <c r="AQ327" s="90"/>
      <c r="AR327" s="90"/>
      <c r="AS327" s="90"/>
      <c r="AT327" s="90"/>
      <c r="AU327" s="90"/>
      <c r="AV327" s="91"/>
      <c r="AX327" s="92"/>
    </row>
    <row r="328" customFormat="false" ht="15.65" hidden="false" customHeight="false" outlineLevel="0" collapsed="false">
      <c r="C328" s="72" t="n">
        <f aca="false">COUNTIFS($D$6:D328,"&lt;&gt;"&amp;"")</f>
        <v>323</v>
      </c>
      <c r="D328" s="73" t="s">
        <v>12</v>
      </c>
      <c r="E328" s="76" t="str">
        <f aca="false">
IF($D328="정상",INDEX(임대자산!$D$3:$R$3000,MATCH($F328,임대자산!$I$3:$I$3000,0),MATCH(E$3,임대자산!$D$3:$R$3,0)),
IF($D328="폐업",INDEX(폐업정보!$D$3:$R$3000,MATCH($F328,폐업정보!$I$3:$I$3000,0),MATCH(E$3,폐업정보!$D$3:$R$3,0)),
"Error"))</f>
        <v>전라</v>
      </c>
      <c r="F32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B0323</v>
      </c>
      <c r="G328" s="76" t="str">
        <f aca="false">F328&amp;RANDBETWEEN(0,10)</f>
        <v>B03236</v>
      </c>
      <c r="H328" s="75" t="n">
        <f aca="false">
IF($D328="정상",INDEX(임대자산!$D$3:$R$3000,MATCH($F328,임대자산!$I$3:$I$3000,0),MATCH(H$4,임대자산!$D$3:$R$3,0)),
IF($D328="폐업",INDEX(폐업정보!$D$3:$R$3000,MATCH($F328,폐업정보!$I$3:$I$3000,0),MATCH(H$4,폐업정보!$D$3:$R$3,0)),
"Error"))</f>
        <v>45308</v>
      </c>
      <c r="I328" s="75" t="str">
        <f aca="false">
IF($D328="정상",INDEX(임대자산!$D$3:$R$3000,MATCH($F328,임대자산!$I$3:$I$3000,0),MATCH(I$4,임대자산!$D$3:$R$3,0)),
IF($D328="폐업",INDEX(폐업정보!$D$3:$R$3000,MATCH($F328,폐업정보!$I$3:$I$3000,0),MATCH(I$4,폐업정보!$D$3:$R$3,0)),
"Error"))</f>
        <v>A0323</v>
      </c>
      <c r="J328" s="75" t="str">
        <f aca="false">
IF($D328="정상",INDEX(임대자산!$D$3:$R$3000,MATCH($F328,임대자산!$I$3:$I$3000,0),MATCH(J$4,임대자산!$D$3:$R$3,0)),
IF($D328="폐업",INDEX(폐업정보!$D$3:$R$3000,MATCH($F328,폐업정보!$I$3:$I$3000,0),MATCH(J$4,폐업정보!$D$3:$R$3,0)),
"Error"))</f>
        <v>7572400000</v>
      </c>
      <c r="K328" s="75" t="str">
        <f aca="false">
IF($D328="정상",INDEX(임대자산!$D$3:$R$3000,MATCH($F328,임대자산!$I$3:$I$3000,0),MATCH(K$4,임대자산!$D$3:$R$3,0)),
IF($D328="폐업",INDEX(폐업정보!$D$3:$R$3000,MATCH($F328,폐업정보!$I$3:$I$3000,0),MATCH(K$4,폐업정보!$D$3:$R$3,0)),
"Error"))</f>
        <v>C0323</v>
      </c>
      <c r="L328" s="75" t="str">
        <f aca="false">
IF($D328="정상",INDEX(임대자산!$D$3:$R$3000,MATCH($F328,임대자산!$I$3:$I$3000,0),MATCH(L$4,임대자산!$D$3:$R$3,0)),
IF($D328="폐업",INDEX(폐업정보!$D$3:$R$3000,MATCH($F328,폐업정보!$I$3:$I$3000,0),MATCH(L$4,폐업정보!$D$3:$R$3,0)),
"Error"))</f>
        <v>D0323</v>
      </c>
      <c r="M328" s="76" t="s">
        <v>96</v>
      </c>
      <c r="N328" s="77"/>
      <c r="O328" s="78" t="s">
        <v>97</v>
      </c>
      <c r="P328" s="79" t="n">
        <f aca="false">COUNTIFS(임대자산!$I:$I,가맹점정보!F328,임대자산!$N:$N,가맹점정보!P$4)</f>
        <v>0</v>
      </c>
      <c r="Q328" s="80" t="n">
        <f aca="false">COUNTIFS(임대자산!$I:$I,가맹점정보!F328,임대자산!$N:$N,가맹점정보!Q$4)</f>
        <v>0</v>
      </c>
      <c r="R328" s="81" t="n">
        <f aca="false">COUNTIFS(임대자산!$I:$I,가맹점정보!F328,임대자산!$N:$N,가맹점정보!R$4)</f>
        <v>1</v>
      </c>
      <c r="S328" s="82" t="n">
        <v>55000</v>
      </c>
      <c r="T328" s="83" t="n">
        <v>55000</v>
      </c>
      <c r="U328" s="80" t="n">
        <f aca="false">SUM(S328:T328)</f>
        <v>110000</v>
      </c>
      <c r="V328" s="84" t="s">
        <v>12</v>
      </c>
      <c r="W328" s="80" t="e">
        <f aca="true">
IF(D328="폐업","폐업",
IF(V328="면제","면제",
IF(AND(V328="정상",COUNTIFS(OFFSET(Y328,0,COUNTA(Y328:AV328)-1,1,-4),"미납")&gt;=3),"장기미납",
IF(AND(V328="정상",OFFSET(Y328,0,COUNTA(Y328:AV328)-1)&gt;=U328),"정상",
IF(AND(V328="정상",OFFSET(Y328,0,COUNTA(Y328:AV328)-1)=0),"정상",
"계약서 미작성")))))</f>
        <v>#VALUE!</v>
      </c>
      <c r="X328" s="81" t="str">
        <f aca="true">
IF(D328="폐업","폐업",
IF(AND(V328="정상",OFFSET(Y328,0,COUNTA(Y328:AV328)-1)="미납"),"미납",
IF(AND(V328="정상",OFFSET(Y328,0,COUNTA(Y328:AV328)-1)=0),"납부 시작 전",
IF(AND(V328="정상",OFFSET(Y328,0,COUNTA(Y328:AV328)-1)&gt;=U328),"정상",
IF(AND(V328="면제",OFFSET(Y328,0,COUNTA(Y328:AV328)-1)="면제"),"면제",
IF(AND(V328="면제",OFFSET(Y328,0,COUNTA(Y328:AV328)-1)=0),"면제",
"확인요청"))))))</f>
        <v>정상</v>
      </c>
      <c r="Y328" s="93" t="n">
        <v>110000</v>
      </c>
      <c r="Z328" s="90" t="n">
        <v>110000</v>
      </c>
      <c r="AA328" s="90" t="n">
        <v>110000</v>
      </c>
      <c r="AB328" s="90" t="n">
        <v>110000</v>
      </c>
      <c r="AC328" s="90" t="n">
        <v>110000</v>
      </c>
      <c r="AD328" s="90" t="n">
        <v>110000</v>
      </c>
      <c r="AE328" s="90" t="n">
        <v>110000</v>
      </c>
      <c r="AF328" s="90" t="n">
        <v>110000</v>
      </c>
      <c r="AG328" s="90" t="n">
        <v>110000</v>
      </c>
      <c r="AH328" s="90" t="n">
        <v>110000</v>
      </c>
      <c r="AI328" s="90" t="n">
        <v>110000</v>
      </c>
      <c r="AJ328" s="91" t="n">
        <v>110000</v>
      </c>
      <c r="AK328" s="89" t="n">
        <v>110000</v>
      </c>
      <c r="AL328" s="90" t="n">
        <v>110000</v>
      </c>
      <c r="AM328" s="90"/>
      <c r="AN328" s="90"/>
      <c r="AO328" s="90"/>
      <c r="AP328" s="90"/>
      <c r="AQ328" s="90"/>
      <c r="AR328" s="90"/>
      <c r="AS328" s="90"/>
      <c r="AT328" s="90"/>
      <c r="AU328" s="90"/>
      <c r="AV328" s="91"/>
      <c r="AX328" s="92"/>
    </row>
    <row r="329" customFormat="false" ht="15.65" hidden="false" customHeight="false" outlineLevel="0" collapsed="false">
      <c r="C329" s="72" t="n">
        <f aca="false">COUNTIFS($D$6:D329,"&lt;&gt;"&amp;"")</f>
        <v>324</v>
      </c>
      <c r="D329" s="73" t="s">
        <v>12</v>
      </c>
      <c r="E329" s="76" t="str">
        <f aca="false">
IF($D329="정상",INDEX(임대자산!$D$3:$R$3000,MATCH($F329,임대자산!$I$3:$I$3000,0),MATCH(E$3,임대자산!$D$3:$R$3,0)),
IF($D329="폐업",INDEX(폐업정보!$D$3:$R$3000,MATCH($F329,폐업정보!$I$3:$I$3000,0),MATCH(E$3,폐업정보!$D$3:$R$3,0)),
"Error"))</f>
        <v>전라</v>
      </c>
      <c r="F32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B0324</v>
      </c>
      <c r="G329" s="76" t="str">
        <f aca="false">F329&amp;RANDBETWEEN(0,10)</f>
        <v>B032410</v>
      </c>
      <c r="H329" s="75" t="n">
        <f aca="false">
IF($D329="정상",INDEX(임대자산!$D$3:$R$3000,MATCH($F329,임대자산!$I$3:$I$3000,0),MATCH(H$4,임대자산!$D$3:$R$3,0)),
IF($D329="폐업",INDEX(폐업정보!$D$3:$R$3000,MATCH($F329,폐업정보!$I$3:$I$3000,0),MATCH(H$4,폐업정보!$D$3:$R$3,0)),
"Error"))</f>
        <v>45323</v>
      </c>
      <c r="I329" s="75" t="str">
        <f aca="false">
IF($D329="정상",INDEX(임대자산!$D$3:$R$3000,MATCH($F329,임대자산!$I$3:$I$3000,0),MATCH(I$4,임대자산!$D$3:$R$3,0)),
IF($D329="폐업",INDEX(폐업정보!$D$3:$R$3000,MATCH($F329,폐업정보!$I$3:$I$3000,0),MATCH(I$4,폐업정보!$D$3:$R$3,0)),
"Error"))</f>
        <v>A0324</v>
      </c>
      <c r="J329" s="75" t="str">
        <f aca="false">
IF($D329="정상",INDEX(임대자산!$D$3:$R$3000,MATCH($F329,임대자산!$I$3:$I$3000,0),MATCH(J$4,임대자산!$D$3:$R$3,0)),
IF($D329="폐업",INDEX(폐업정보!$D$3:$R$3000,MATCH($F329,폐업정보!$I$3:$I$3000,0),MATCH(J$4,폐업정보!$D$3:$R$3,0)),
"Error"))</f>
        <v>3220700000</v>
      </c>
      <c r="K329" s="75" t="str">
        <f aca="false">
IF($D329="정상",INDEX(임대자산!$D$3:$R$3000,MATCH($F329,임대자산!$I$3:$I$3000,0),MATCH(K$4,임대자산!$D$3:$R$3,0)),
IF($D329="폐업",INDEX(폐업정보!$D$3:$R$3000,MATCH($F329,폐업정보!$I$3:$I$3000,0),MATCH(K$4,폐업정보!$D$3:$R$3,0)),
"Error"))</f>
        <v>C0324</v>
      </c>
      <c r="L329" s="75" t="str">
        <f aca="false">
IF($D329="정상",INDEX(임대자산!$D$3:$R$3000,MATCH($F329,임대자산!$I$3:$I$3000,0),MATCH(L$4,임대자산!$D$3:$R$3,0)),
IF($D329="폐업",INDEX(폐업정보!$D$3:$R$3000,MATCH($F329,폐업정보!$I$3:$I$3000,0),MATCH(L$4,폐업정보!$D$3:$R$3,0)),
"Error"))</f>
        <v>D0324</v>
      </c>
      <c r="M329" s="76" t="s">
        <v>96</v>
      </c>
      <c r="N329" s="77"/>
      <c r="O329" s="78" t="s">
        <v>97</v>
      </c>
      <c r="P329" s="79" t="n">
        <f aca="false">COUNTIFS(임대자산!$I:$I,가맹점정보!F329,임대자산!$N:$N,가맹점정보!P$4)</f>
        <v>0</v>
      </c>
      <c r="Q329" s="80" t="n">
        <f aca="false">COUNTIFS(임대자산!$I:$I,가맹점정보!F329,임대자산!$N:$N,가맹점정보!Q$4)</f>
        <v>0</v>
      </c>
      <c r="R329" s="81" t="n">
        <f aca="false">COUNTIFS(임대자산!$I:$I,가맹점정보!F329,임대자산!$N:$N,가맹점정보!R$4)</f>
        <v>1</v>
      </c>
      <c r="S329" s="82" t="n">
        <v>55000</v>
      </c>
      <c r="T329" s="83" t="n">
        <v>0</v>
      </c>
      <c r="U329" s="80" t="n">
        <f aca="false">SUM(S329:T329)</f>
        <v>55000</v>
      </c>
      <c r="V329" s="84" t="s">
        <v>12</v>
      </c>
      <c r="W329" s="80" t="e">
        <f aca="true">
IF(D329="폐업","폐업",
IF(V329="면제","면제",
IF(AND(V329="정상",COUNTIFS(OFFSET(Y329,0,COUNTA(Y329:AV329)-1,1,-4),"미납")&gt;=3),"장기미납",
IF(AND(V329="정상",OFFSET(Y329,0,COUNTA(Y329:AV329)-1)&gt;=U329),"정상",
IF(AND(V329="정상",OFFSET(Y329,0,COUNTA(Y329:AV329)-1)=0),"정상",
"계약서 미작성")))))</f>
        <v>#VALUE!</v>
      </c>
      <c r="X329" s="81" t="str">
        <f aca="true">
IF(D329="폐업","폐업",
IF(AND(V329="정상",OFFSET(Y329,0,COUNTA(Y329:AV329)-1)="미납"),"미납",
IF(AND(V329="정상",OFFSET(Y329,0,COUNTA(Y329:AV329)-1)=0),"납부 시작 전",
IF(AND(V329="정상",OFFSET(Y329,0,COUNTA(Y329:AV329)-1)&gt;=U329),"정상",
IF(AND(V329="면제",OFFSET(Y329,0,COUNTA(Y329:AV329)-1)="면제"),"면제",
IF(AND(V329="면제",OFFSET(Y329,0,COUNTA(Y329:AV329)-1)=0),"면제",
"확인요청"))))))</f>
        <v>정상</v>
      </c>
      <c r="Y329" s="93" t="n">
        <v>55000</v>
      </c>
      <c r="Z329" s="90" t="n">
        <v>55000</v>
      </c>
      <c r="AA329" s="90" t="n">
        <v>55000</v>
      </c>
      <c r="AB329" s="90" t="n">
        <v>55000</v>
      </c>
      <c r="AC329" s="90" t="n">
        <v>55000</v>
      </c>
      <c r="AD329" s="90" t="n">
        <v>55000</v>
      </c>
      <c r="AE329" s="90" t="n">
        <v>55000</v>
      </c>
      <c r="AF329" s="90" t="n">
        <v>55000</v>
      </c>
      <c r="AG329" s="90" t="n">
        <v>55000</v>
      </c>
      <c r="AH329" s="90" t="n">
        <v>55000</v>
      </c>
      <c r="AI329" s="90" t="n">
        <v>55000</v>
      </c>
      <c r="AJ329" s="91" t="n">
        <v>55000</v>
      </c>
      <c r="AK329" s="89" t="n">
        <v>55000</v>
      </c>
      <c r="AL329" s="90" t="n">
        <v>55000</v>
      </c>
      <c r="AM329" s="90"/>
      <c r="AN329" s="90"/>
      <c r="AO329" s="90"/>
      <c r="AP329" s="90"/>
      <c r="AQ329" s="90"/>
      <c r="AR329" s="90"/>
      <c r="AS329" s="90"/>
      <c r="AT329" s="90"/>
      <c r="AU329" s="90"/>
      <c r="AV329" s="91"/>
      <c r="AX329" s="92"/>
    </row>
    <row r="330" customFormat="false" ht="15.65" hidden="false" customHeight="false" outlineLevel="0" collapsed="false">
      <c r="C330" s="72" t="n">
        <f aca="false">COUNTIFS($D$6:D330,"&lt;&gt;"&amp;"")</f>
        <v>325</v>
      </c>
      <c r="D330" s="73" t="s">
        <v>12</v>
      </c>
      <c r="E330" s="76" t="str">
        <f aca="false">
IF($D330="정상",INDEX(임대자산!$D$3:$R$3000,MATCH($F330,임대자산!$I$3:$I$3000,0),MATCH(E$3,임대자산!$D$3:$R$3,0)),
IF($D330="폐업",INDEX(폐업정보!$D$3:$R$3000,MATCH($F330,폐업정보!$I$3:$I$3000,0),MATCH(E$3,폐업정보!$D$3:$R$3,0)),
"Error"))</f>
        <v>전라</v>
      </c>
      <c r="F33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B0325</v>
      </c>
      <c r="G330" s="76" t="str">
        <f aca="false">F330&amp;RANDBETWEEN(0,10)</f>
        <v>B03259</v>
      </c>
      <c r="H330" s="75" t="n">
        <f aca="false">
IF($D330="정상",INDEX(임대자산!$D$3:$R$3000,MATCH($F330,임대자산!$I$3:$I$3000,0),MATCH(H$4,임대자산!$D$3:$R$3,0)),
IF($D330="폐업",INDEX(폐업정보!$D$3:$R$3000,MATCH($F330,폐업정보!$I$3:$I$3000,0),MATCH(H$4,폐업정보!$D$3:$R$3,0)),
"Error"))</f>
        <v>45323</v>
      </c>
      <c r="I330" s="75" t="str">
        <f aca="false">
IF($D330="정상",INDEX(임대자산!$D$3:$R$3000,MATCH($F330,임대자산!$I$3:$I$3000,0),MATCH(I$4,임대자산!$D$3:$R$3,0)),
IF($D330="폐업",INDEX(폐업정보!$D$3:$R$3000,MATCH($F330,폐업정보!$I$3:$I$3000,0),MATCH(I$4,폐업정보!$D$3:$R$3,0)),
"Error"))</f>
        <v>A0325</v>
      </c>
      <c r="J330" s="75" t="str">
        <f aca="false">
IF($D330="정상",INDEX(임대자산!$D$3:$R$3000,MATCH($F330,임대자산!$I$3:$I$3000,0),MATCH(J$4,임대자산!$D$3:$R$3,0)),
IF($D330="폐업",INDEX(폐업정보!$D$3:$R$3000,MATCH($F330,폐업정보!$I$3:$I$3000,0),MATCH(J$4,폐업정보!$D$3:$R$3,0)),
"Error"))</f>
        <v>9196700000</v>
      </c>
      <c r="K330" s="75" t="str">
        <f aca="false">
IF($D330="정상",INDEX(임대자산!$D$3:$R$3000,MATCH($F330,임대자산!$I$3:$I$3000,0),MATCH(K$4,임대자산!$D$3:$R$3,0)),
IF($D330="폐업",INDEX(폐업정보!$D$3:$R$3000,MATCH($F330,폐업정보!$I$3:$I$3000,0),MATCH(K$4,폐업정보!$D$3:$R$3,0)),
"Error"))</f>
        <v>C0325</v>
      </c>
      <c r="L330" s="75" t="str">
        <f aca="false">
IF($D330="정상",INDEX(임대자산!$D$3:$R$3000,MATCH($F330,임대자산!$I$3:$I$3000,0),MATCH(L$4,임대자산!$D$3:$R$3,0)),
IF($D330="폐업",INDEX(폐업정보!$D$3:$R$3000,MATCH($F330,폐업정보!$I$3:$I$3000,0),MATCH(L$4,폐업정보!$D$3:$R$3,0)),
"Error"))</f>
        <v>D0325</v>
      </c>
      <c r="M330" s="76" t="s">
        <v>96</v>
      </c>
      <c r="N330" s="77"/>
      <c r="O330" s="78" t="s">
        <v>97</v>
      </c>
      <c r="P330" s="79" t="n">
        <f aca="false">COUNTIFS(임대자산!$I:$I,가맹점정보!F330,임대자산!$N:$N,가맹점정보!P$4)</f>
        <v>0</v>
      </c>
      <c r="Q330" s="80" t="n">
        <f aca="false">COUNTIFS(임대자산!$I:$I,가맹점정보!F330,임대자산!$N:$N,가맹점정보!Q$4)</f>
        <v>0</v>
      </c>
      <c r="R330" s="81" t="n">
        <f aca="false">COUNTIFS(임대자산!$I:$I,가맹점정보!F330,임대자산!$N:$N,가맹점정보!R$4)</f>
        <v>1</v>
      </c>
      <c r="S330" s="82" t="n">
        <v>55000</v>
      </c>
      <c r="T330" s="83" t="n">
        <v>0</v>
      </c>
      <c r="U330" s="80" t="n">
        <f aca="false">SUM(S330:T330)</f>
        <v>55000</v>
      </c>
      <c r="V330" s="84" t="s">
        <v>7</v>
      </c>
      <c r="W330" s="80" t="str">
        <f aca="true">
IF(D330="폐업","폐업",
IF(V330="면제","면제",
IF(AND(V330="정상",COUNTIFS(OFFSET(Y330,0,COUNTA(Y330:AV330)-1,1,-4),"미납")&gt;=3),"장기미납",
IF(AND(V330="정상",OFFSET(Y330,0,COUNTA(Y330:AV330)-1)&gt;=U330),"정상",
IF(AND(V330="정상",OFFSET(Y330,0,COUNTA(Y330:AV330)-1)=0),"정상",
"계약서 미작성")))))</f>
        <v>면제</v>
      </c>
      <c r="X330" s="81" t="str">
        <f aca="true">
IF(D330="폐업","폐업",
IF(AND(V330="정상",OFFSET(Y330,0,COUNTA(Y330:AV330)-1)="미납"),"미납",
IF(AND(V330="정상",OFFSET(Y330,0,COUNTA(Y330:AV330)-1)=0),"납부 시작 전",
IF(AND(V330="정상",OFFSET(Y330,0,COUNTA(Y330:AV330)-1)&gt;=U330),"정상",
IF(AND(V330="면제",OFFSET(Y330,0,COUNTA(Y330:AV330)-1)="면제"),"면제",
IF(AND(V330="면제",OFFSET(Y330,0,COUNTA(Y330:AV330)-1)=0),"면제",
"확인요청"))))))</f>
        <v>면제</v>
      </c>
      <c r="Y330" s="93" t="n">
        <v>55000</v>
      </c>
      <c r="Z330" s="90" t="n">
        <v>55000</v>
      </c>
      <c r="AA330" s="90" t="n">
        <v>55000</v>
      </c>
      <c r="AB330" s="90" t="n">
        <v>55000</v>
      </c>
      <c r="AC330" s="90" t="n">
        <v>55000</v>
      </c>
      <c r="AD330" s="90" t="n">
        <v>55000</v>
      </c>
      <c r="AE330" s="90" t="n">
        <v>55000</v>
      </c>
      <c r="AF330" s="90" t="n">
        <v>55000</v>
      </c>
      <c r="AG330" s="95" t="s">
        <v>62</v>
      </c>
      <c r="AH330" s="95" t="s">
        <v>7</v>
      </c>
      <c r="AI330" s="95" t="s">
        <v>7</v>
      </c>
      <c r="AJ330" s="96" t="s">
        <v>7</v>
      </c>
      <c r="AK330" s="97" t="s">
        <v>7</v>
      </c>
      <c r="AL330" s="95" t="s">
        <v>7</v>
      </c>
      <c r="AM330" s="90"/>
      <c r="AN330" s="90"/>
      <c r="AO330" s="90"/>
      <c r="AP330" s="90"/>
      <c r="AQ330" s="90"/>
      <c r="AR330" s="90"/>
      <c r="AS330" s="90"/>
      <c r="AT330" s="90"/>
      <c r="AU330" s="90"/>
      <c r="AV330" s="91"/>
      <c r="AX330" s="92"/>
    </row>
    <row r="331" customFormat="false" ht="15.65" hidden="false" customHeight="false" outlineLevel="0" collapsed="false">
      <c r="C331" s="72" t="n">
        <f aca="false">COUNTIFS($D$6:D331,"&lt;&gt;"&amp;"")</f>
        <v>326</v>
      </c>
      <c r="D331" s="73" t="s">
        <v>12</v>
      </c>
      <c r="E331" s="76" t="str">
        <f aca="false">
IF($D331="정상",INDEX(임대자산!$D$3:$R$3000,MATCH($F331,임대자산!$I$3:$I$3000,0),MATCH(E$3,임대자산!$D$3:$R$3,0)),
IF($D331="폐업",INDEX(폐업정보!$D$3:$R$3000,MATCH($F331,폐업정보!$I$3:$I$3000,0),MATCH(E$3,폐업정보!$D$3:$R$3,0)),
"Error"))</f>
        <v>경기</v>
      </c>
      <c r="F33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B0326</v>
      </c>
      <c r="G331" s="76" t="str">
        <f aca="false">F331&amp;RANDBETWEEN(0,10)</f>
        <v>B03268</v>
      </c>
      <c r="H331" s="75" t="n">
        <f aca="false">
IF($D331="정상",INDEX(임대자산!$D$3:$R$3000,MATCH($F331,임대자산!$I$3:$I$3000,0),MATCH(H$4,임대자산!$D$3:$R$3,0)),
IF($D331="폐업",INDEX(폐업정보!$D$3:$R$3000,MATCH($F331,폐업정보!$I$3:$I$3000,0),MATCH(H$4,폐업정보!$D$3:$R$3,0)),
"Error"))</f>
        <v>45321</v>
      </c>
      <c r="I331" s="75" t="str">
        <f aca="false">
IF($D331="정상",INDEX(임대자산!$D$3:$R$3000,MATCH($F331,임대자산!$I$3:$I$3000,0),MATCH(I$4,임대자산!$D$3:$R$3,0)),
IF($D331="폐업",INDEX(폐업정보!$D$3:$R$3000,MATCH($F331,폐업정보!$I$3:$I$3000,0),MATCH(I$4,폐업정보!$D$3:$R$3,0)),
"Error"))</f>
        <v>A0326</v>
      </c>
      <c r="J331" s="75" t="str">
        <f aca="false">
IF($D331="정상",INDEX(임대자산!$D$3:$R$3000,MATCH($F331,임대자산!$I$3:$I$3000,0),MATCH(J$4,임대자산!$D$3:$R$3,0)),
IF($D331="폐업",INDEX(폐업정보!$D$3:$R$3000,MATCH($F331,폐업정보!$I$3:$I$3000,0),MATCH(J$4,폐업정보!$D$3:$R$3,0)),
"Error"))</f>
        <v>3370300000</v>
      </c>
      <c r="K331" s="75" t="str">
        <f aca="false">
IF($D331="정상",INDEX(임대자산!$D$3:$R$3000,MATCH($F331,임대자산!$I$3:$I$3000,0),MATCH(K$4,임대자산!$D$3:$R$3,0)),
IF($D331="폐업",INDEX(폐업정보!$D$3:$R$3000,MATCH($F331,폐업정보!$I$3:$I$3000,0),MATCH(K$4,폐업정보!$D$3:$R$3,0)),
"Error"))</f>
        <v>C0326</v>
      </c>
      <c r="L331" s="75" t="str">
        <f aca="false">
IF($D331="정상",INDEX(임대자산!$D$3:$R$3000,MATCH($F331,임대자산!$I$3:$I$3000,0),MATCH(L$4,임대자산!$D$3:$R$3,0)),
IF($D331="폐업",INDEX(폐업정보!$D$3:$R$3000,MATCH($F331,폐업정보!$I$3:$I$3000,0),MATCH(L$4,폐업정보!$D$3:$R$3,0)),
"Error"))</f>
        <v>D0326</v>
      </c>
      <c r="M331" s="76" t="s">
        <v>96</v>
      </c>
      <c r="N331" s="77"/>
      <c r="O331" s="78" t="s">
        <v>97</v>
      </c>
      <c r="P331" s="79" t="n">
        <f aca="false">COUNTIFS(임대자산!$I:$I,가맹점정보!F331,임대자산!$N:$N,가맹점정보!P$4)</f>
        <v>0</v>
      </c>
      <c r="Q331" s="80" t="n">
        <f aca="false">COUNTIFS(임대자산!$I:$I,가맹점정보!F331,임대자산!$N:$N,가맹점정보!Q$4)</f>
        <v>0</v>
      </c>
      <c r="R331" s="81" t="n">
        <f aca="false">COUNTIFS(임대자산!$I:$I,가맹점정보!F331,임대자산!$N:$N,가맹점정보!R$4)</f>
        <v>1</v>
      </c>
      <c r="S331" s="82" t="n">
        <v>88000</v>
      </c>
      <c r="T331" s="83" t="n">
        <v>0</v>
      </c>
      <c r="U331" s="80" t="n">
        <f aca="false">SUM(S331:T331)</f>
        <v>88000</v>
      </c>
      <c r="V331" s="84" t="s">
        <v>7</v>
      </c>
      <c r="W331" s="80" t="str">
        <f aca="true">
IF(D331="폐업","폐업",
IF(V331="면제","면제",
IF(AND(V331="정상",COUNTIFS(OFFSET(Y331,0,COUNTA(Y331:AV331)-1,1,-4),"미납")&gt;=3),"장기미납",
IF(AND(V331="정상",OFFSET(Y331,0,COUNTA(Y331:AV331)-1)&gt;=U331),"정상",
IF(AND(V331="정상",OFFSET(Y331,0,COUNTA(Y331:AV331)-1)=0),"정상",
"계약서 미작성")))))</f>
        <v>면제</v>
      </c>
      <c r="X331" s="81" t="str">
        <f aca="true">
IF(D331="폐업","폐업",
IF(AND(V331="정상",OFFSET(Y331,0,COUNTA(Y331:AV331)-1)="미납"),"미납",
IF(AND(V331="정상",OFFSET(Y331,0,COUNTA(Y331:AV331)-1)=0),"납부 시작 전",
IF(AND(V331="정상",OFFSET(Y331,0,COUNTA(Y331:AV331)-1)&gt;=U331),"정상",
IF(AND(V331="면제",OFFSET(Y331,0,COUNTA(Y331:AV331)-1)="면제"),"면제",
IF(AND(V331="면제",OFFSET(Y331,0,COUNTA(Y331:AV331)-1)=0),"면제",
"확인요청"))))))</f>
        <v>면제</v>
      </c>
      <c r="Y331" s="94" t="s">
        <v>7</v>
      </c>
      <c r="Z331" s="95" t="s">
        <v>7</v>
      </c>
      <c r="AA331" s="95" t="s">
        <v>7</v>
      </c>
      <c r="AB331" s="95" t="s">
        <v>7</v>
      </c>
      <c r="AC331" s="95" t="s">
        <v>7</v>
      </c>
      <c r="AD331" s="95" t="s">
        <v>7</v>
      </c>
      <c r="AE331" s="95" t="s">
        <v>7</v>
      </c>
      <c r="AF331" s="95" t="s">
        <v>7</v>
      </c>
      <c r="AG331" s="95" t="s">
        <v>7</v>
      </c>
      <c r="AH331" s="95" t="s">
        <v>7</v>
      </c>
      <c r="AI331" s="95" t="s">
        <v>7</v>
      </c>
      <c r="AJ331" s="96" t="s">
        <v>7</v>
      </c>
      <c r="AK331" s="97" t="s">
        <v>7</v>
      </c>
      <c r="AL331" s="95" t="s">
        <v>7</v>
      </c>
      <c r="AM331" s="90"/>
      <c r="AN331" s="90"/>
      <c r="AO331" s="90"/>
      <c r="AP331" s="90"/>
      <c r="AQ331" s="90"/>
      <c r="AR331" s="90"/>
      <c r="AS331" s="90"/>
      <c r="AT331" s="90"/>
      <c r="AU331" s="90"/>
      <c r="AV331" s="91"/>
      <c r="AX331" s="92"/>
    </row>
    <row r="332" customFormat="false" ht="15.65" hidden="false" customHeight="false" outlineLevel="0" collapsed="false">
      <c r="C332" s="72" t="n">
        <f aca="false">COUNTIFS($D$6:D332,"&lt;&gt;"&amp;"")</f>
        <v>327</v>
      </c>
      <c r="D332" s="73" t="s">
        <v>12</v>
      </c>
      <c r="E332" s="76" t="str">
        <f aca="false">
IF($D332="정상",INDEX(임대자산!$D$3:$R$3000,MATCH($F332,임대자산!$I$3:$I$3000,0),MATCH(E$3,임대자산!$D$3:$R$3,0)),
IF($D332="폐업",INDEX(폐업정보!$D$3:$R$3000,MATCH($F332,폐업정보!$I$3:$I$3000,0),MATCH(E$3,폐업정보!$D$3:$R$3,0)),
"Error"))</f>
        <v>경기</v>
      </c>
      <c r="F33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B0327</v>
      </c>
      <c r="G332" s="76" t="str">
        <f aca="false">F332&amp;RANDBETWEEN(0,10)</f>
        <v>B03274</v>
      </c>
      <c r="H332" s="75" t="n">
        <f aca="false">
IF($D332="정상",INDEX(임대자산!$D$3:$R$3000,MATCH($F332,임대자산!$I$3:$I$3000,0),MATCH(H$4,임대자산!$D$3:$R$3,0)),
IF($D332="폐업",INDEX(폐업정보!$D$3:$R$3000,MATCH($F332,폐업정보!$I$3:$I$3000,0),MATCH(H$4,폐업정보!$D$3:$R$3,0)),
"Error"))</f>
        <v>45321</v>
      </c>
      <c r="I332" s="75" t="str">
        <f aca="false">
IF($D332="정상",INDEX(임대자산!$D$3:$R$3000,MATCH($F332,임대자산!$I$3:$I$3000,0),MATCH(I$4,임대자산!$D$3:$R$3,0)),
IF($D332="폐업",INDEX(폐업정보!$D$3:$R$3000,MATCH($F332,폐업정보!$I$3:$I$3000,0),MATCH(I$4,폐업정보!$D$3:$R$3,0)),
"Error"))</f>
        <v>A0327</v>
      </c>
      <c r="J332" s="75" t="str">
        <f aca="false">
IF($D332="정상",INDEX(임대자산!$D$3:$R$3000,MATCH($F332,임대자산!$I$3:$I$3000,0),MATCH(J$4,임대자산!$D$3:$R$3,0)),
IF($D332="폐업",INDEX(폐업정보!$D$3:$R$3000,MATCH($F332,폐업정보!$I$3:$I$3000,0),MATCH(J$4,폐업정보!$D$3:$R$3,0)),
"Error"))</f>
        <v>8461600000</v>
      </c>
      <c r="K332" s="75" t="str">
        <f aca="false">
IF($D332="정상",INDEX(임대자산!$D$3:$R$3000,MATCH($F332,임대자산!$I$3:$I$3000,0),MATCH(K$4,임대자산!$D$3:$R$3,0)),
IF($D332="폐업",INDEX(폐업정보!$D$3:$R$3000,MATCH($F332,폐업정보!$I$3:$I$3000,0),MATCH(K$4,폐업정보!$D$3:$R$3,0)),
"Error"))</f>
        <v>C0327</v>
      </c>
      <c r="L332" s="75" t="str">
        <f aca="false">
IF($D332="정상",INDEX(임대자산!$D$3:$R$3000,MATCH($F332,임대자산!$I$3:$I$3000,0),MATCH(L$4,임대자산!$D$3:$R$3,0)),
IF($D332="폐업",INDEX(폐업정보!$D$3:$R$3000,MATCH($F332,폐업정보!$I$3:$I$3000,0),MATCH(L$4,폐업정보!$D$3:$R$3,0)),
"Error"))</f>
        <v>D0327</v>
      </c>
      <c r="M332" s="76" t="s">
        <v>96</v>
      </c>
      <c r="N332" s="77"/>
      <c r="O332" s="78" t="s">
        <v>97</v>
      </c>
      <c r="P332" s="79" t="n">
        <f aca="false">COUNTIFS(임대자산!$I:$I,가맹점정보!F332,임대자산!$N:$N,가맹점정보!P$4)</f>
        <v>0</v>
      </c>
      <c r="Q332" s="80" t="n">
        <f aca="false">COUNTIFS(임대자산!$I:$I,가맹점정보!F332,임대자산!$N:$N,가맹점정보!Q$4)</f>
        <v>0</v>
      </c>
      <c r="R332" s="81" t="n">
        <f aca="false">COUNTIFS(임대자산!$I:$I,가맹점정보!F332,임대자산!$N:$N,가맹점정보!R$4)</f>
        <v>1</v>
      </c>
      <c r="S332" s="82" t="n">
        <v>55000</v>
      </c>
      <c r="T332" s="83" t="n">
        <v>0</v>
      </c>
      <c r="U332" s="80" t="n">
        <f aca="false">SUM(S332:T332)</f>
        <v>55000</v>
      </c>
      <c r="V332" s="84" t="s">
        <v>12</v>
      </c>
      <c r="W332" s="80" t="e">
        <f aca="true">
IF(D332="폐업","폐업",
IF(V332="면제","면제",
IF(AND(V332="정상",COUNTIFS(OFFSET(Y332,0,COUNTA(Y332:AV332)-1,1,-4),"미납")&gt;=3),"장기미납",
IF(AND(V332="정상",OFFSET(Y332,0,COUNTA(Y332:AV332)-1)&gt;=U332),"정상",
IF(AND(V332="정상",OFFSET(Y332,0,COUNTA(Y332:AV332)-1)=0),"정상",
"계약서 미작성")))))</f>
        <v>#VALUE!</v>
      </c>
      <c r="X332" s="81" t="str">
        <f aca="true">
IF(D332="폐업","폐업",
IF(AND(V332="정상",OFFSET(Y332,0,COUNTA(Y332:AV332)-1)="미납"),"미납",
IF(AND(V332="정상",OFFSET(Y332,0,COUNTA(Y332:AV332)-1)=0),"납부 시작 전",
IF(AND(V332="정상",OFFSET(Y332,0,COUNTA(Y332:AV332)-1)&gt;=U332),"정상",
IF(AND(V332="면제",OFFSET(Y332,0,COUNTA(Y332:AV332)-1)="면제"),"면제",
IF(AND(V332="면제",OFFSET(Y332,0,COUNTA(Y332:AV332)-1)=0),"면제",
"확인요청"))))))</f>
        <v>정상</v>
      </c>
      <c r="Y332" s="93" t="n">
        <v>55000</v>
      </c>
      <c r="Z332" s="90" t="n">
        <v>55000</v>
      </c>
      <c r="AA332" s="90" t="n">
        <v>55000</v>
      </c>
      <c r="AB332" s="90" t="n">
        <v>55000</v>
      </c>
      <c r="AC332" s="90" t="n">
        <v>55000</v>
      </c>
      <c r="AD332" s="90" t="n">
        <v>55000</v>
      </c>
      <c r="AE332" s="90" t="n">
        <v>55000</v>
      </c>
      <c r="AF332" s="90" t="n">
        <v>55000</v>
      </c>
      <c r="AG332" s="90" t="n">
        <v>55000</v>
      </c>
      <c r="AH332" s="90" t="n">
        <v>55000</v>
      </c>
      <c r="AI332" s="90" t="n">
        <v>55000</v>
      </c>
      <c r="AJ332" s="91" t="n">
        <v>55000</v>
      </c>
      <c r="AK332" s="97" t="s">
        <v>62</v>
      </c>
      <c r="AL332" s="90" t="n">
        <v>55000</v>
      </c>
      <c r="AM332" s="90"/>
      <c r="AN332" s="90"/>
      <c r="AO332" s="90"/>
      <c r="AP332" s="90"/>
      <c r="AQ332" s="90"/>
      <c r="AR332" s="90"/>
      <c r="AS332" s="90"/>
      <c r="AT332" s="90"/>
      <c r="AU332" s="90"/>
      <c r="AV332" s="91"/>
      <c r="AX332" s="92"/>
    </row>
    <row r="333" customFormat="false" ht="15.65" hidden="false" customHeight="false" outlineLevel="0" collapsed="false">
      <c r="C333" s="72" t="n">
        <f aca="false">COUNTIFS($D$6:D333,"&lt;&gt;"&amp;"")</f>
        <v>328</v>
      </c>
      <c r="D333" s="73" t="s">
        <v>12</v>
      </c>
      <c r="E333" s="76" t="str">
        <f aca="false">
IF($D333="정상",INDEX(임대자산!$D$3:$R$3000,MATCH($F333,임대자산!$I$3:$I$3000,0),MATCH(E$3,임대자산!$D$3:$R$3,0)),
IF($D333="폐업",INDEX(폐업정보!$D$3:$R$3000,MATCH($F333,폐업정보!$I$3:$I$3000,0),MATCH(E$3,폐업정보!$D$3:$R$3,0)),
"Error"))</f>
        <v>경기</v>
      </c>
      <c r="F33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B0328</v>
      </c>
      <c r="G333" s="76" t="str">
        <f aca="false">F333&amp;RANDBETWEEN(0,10)</f>
        <v>B03280</v>
      </c>
      <c r="H333" s="75" t="n">
        <f aca="false">
IF($D333="정상",INDEX(임대자산!$D$3:$R$3000,MATCH($F333,임대자산!$I$3:$I$3000,0),MATCH(H$4,임대자산!$D$3:$R$3,0)),
IF($D333="폐업",INDEX(폐업정보!$D$3:$R$3000,MATCH($F333,폐업정보!$I$3:$I$3000,0),MATCH(H$4,폐업정보!$D$3:$R$3,0)),
"Error"))</f>
        <v>45342</v>
      </c>
      <c r="I333" s="75" t="str">
        <f aca="false">
IF($D333="정상",INDEX(임대자산!$D$3:$R$3000,MATCH($F333,임대자산!$I$3:$I$3000,0),MATCH(I$4,임대자산!$D$3:$R$3,0)),
IF($D333="폐업",INDEX(폐업정보!$D$3:$R$3000,MATCH($F333,폐업정보!$I$3:$I$3000,0),MATCH(I$4,폐업정보!$D$3:$R$3,0)),
"Error"))</f>
        <v>A0328</v>
      </c>
      <c r="J333" s="75" t="str">
        <f aca="false">
IF($D333="정상",INDEX(임대자산!$D$3:$R$3000,MATCH($F333,임대자산!$I$3:$I$3000,0),MATCH(J$4,임대자산!$D$3:$R$3,0)),
IF($D333="폐업",INDEX(폐업정보!$D$3:$R$3000,MATCH($F333,폐업정보!$I$3:$I$3000,0),MATCH(J$4,폐업정보!$D$3:$R$3,0)),
"Error"))</f>
        <v>8670500000</v>
      </c>
      <c r="K333" s="75" t="str">
        <f aca="false">
IF($D333="정상",INDEX(임대자산!$D$3:$R$3000,MATCH($F333,임대자산!$I$3:$I$3000,0),MATCH(K$4,임대자산!$D$3:$R$3,0)),
IF($D333="폐업",INDEX(폐업정보!$D$3:$R$3000,MATCH($F333,폐업정보!$I$3:$I$3000,0),MATCH(K$4,폐업정보!$D$3:$R$3,0)),
"Error"))</f>
        <v>C0328</v>
      </c>
      <c r="L333" s="75" t="str">
        <f aca="false">
IF($D333="정상",INDEX(임대자산!$D$3:$R$3000,MATCH($F333,임대자산!$I$3:$I$3000,0),MATCH(L$4,임대자산!$D$3:$R$3,0)),
IF($D333="폐업",INDEX(폐업정보!$D$3:$R$3000,MATCH($F333,폐업정보!$I$3:$I$3000,0),MATCH(L$4,폐업정보!$D$3:$R$3,0)),
"Error"))</f>
        <v>D0328</v>
      </c>
      <c r="M333" s="76" t="s">
        <v>96</v>
      </c>
      <c r="N333" s="77"/>
      <c r="O333" s="78" t="s">
        <v>97</v>
      </c>
      <c r="P333" s="79" t="n">
        <f aca="false">COUNTIFS(임대자산!$I:$I,가맹점정보!F333,임대자산!$N:$N,가맹점정보!P$4)</f>
        <v>0</v>
      </c>
      <c r="Q333" s="80" t="n">
        <f aca="false">COUNTIFS(임대자산!$I:$I,가맹점정보!F333,임대자산!$N:$N,가맹점정보!Q$4)</f>
        <v>0</v>
      </c>
      <c r="R333" s="81" t="n">
        <f aca="false">COUNTIFS(임대자산!$I:$I,가맹점정보!F333,임대자산!$N:$N,가맹점정보!R$4)</f>
        <v>1</v>
      </c>
      <c r="S333" s="82" t="n">
        <v>55000</v>
      </c>
      <c r="T333" s="83" t="n">
        <v>0</v>
      </c>
      <c r="U333" s="80" t="n">
        <f aca="false">SUM(S333:T333)</f>
        <v>55000</v>
      </c>
      <c r="V333" s="84" t="s">
        <v>7</v>
      </c>
      <c r="W333" s="80" t="str">
        <f aca="true">
IF(D333="폐업","폐업",
IF(V333="면제","면제",
IF(AND(V333="정상",COUNTIFS(OFFSET(Y333,0,COUNTA(Y333:AV333)-1,1,-4),"미납")&gt;=3),"장기미납",
IF(AND(V333="정상",OFFSET(Y333,0,COUNTA(Y333:AV333)-1)&gt;=U333),"정상",
IF(AND(V333="정상",OFFSET(Y333,0,COUNTA(Y333:AV333)-1)=0),"정상",
"계약서 미작성")))))</f>
        <v>면제</v>
      </c>
      <c r="X333" s="81" t="str">
        <f aca="true">
IF(D333="폐업","폐업",
IF(AND(V333="정상",OFFSET(Y333,0,COUNTA(Y333:AV333)-1)="미납"),"미납",
IF(AND(V333="정상",OFFSET(Y333,0,COUNTA(Y333:AV333)-1)=0),"납부 시작 전",
IF(AND(V333="정상",OFFSET(Y333,0,COUNTA(Y333:AV333)-1)&gt;=U333),"정상",
IF(AND(V333="면제",OFFSET(Y333,0,COUNTA(Y333:AV333)-1)="면제"),"면제",
IF(AND(V333="면제",OFFSET(Y333,0,COUNTA(Y333:AV333)-1)=0),"면제",
"확인요청"))))))</f>
        <v>면제</v>
      </c>
      <c r="Y333" s="94" t="s">
        <v>7</v>
      </c>
      <c r="Z333" s="95" t="s">
        <v>7</v>
      </c>
      <c r="AA333" s="95" t="s">
        <v>7</v>
      </c>
      <c r="AB333" s="95" t="s">
        <v>7</v>
      </c>
      <c r="AC333" s="95" t="s">
        <v>7</v>
      </c>
      <c r="AD333" s="95" t="s">
        <v>7</v>
      </c>
      <c r="AE333" s="95" t="s">
        <v>7</v>
      </c>
      <c r="AF333" s="95" t="s">
        <v>7</v>
      </c>
      <c r="AG333" s="95" t="s">
        <v>7</v>
      </c>
      <c r="AH333" s="95" t="s">
        <v>7</v>
      </c>
      <c r="AI333" s="95" t="s">
        <v>7</v>
      </c>
      <c r="AJ333" s="96" t="s">
        <v>7</v>
      </c>
      <c r="AK333" s="97" t="s">
        <v>7</v>
      </c>
      <c r="AL333" s="95" t="s">
        <v>7</v>
      </c>
      <c r="AM333" s="90"/>
      <c r="AN333" s="90"/>
      <c r="AO333" s="90"/>
      <c r="AP333" s="90"/>
      <c r="AQ333" s="90"/>
      <c r="AR333" s="90"/>
      <c r="AS333" s="90"/>
      <c r="AT333" s="90"/>
      <c r="AU333" s="90"/>
      <c r="AV333" s="91"/>
      <c r="AX333" s="92"/>
    </row>
    <row r="334" customFormat="false" ht="15.65" hidden="false" customHeight="false" outlineLevel="0" collapsed="false">
      <c r="C334" s="72" t="n">
        <f aca="false">COUNTIFS($D$6:D334,"&lt;&gt;"&amp;"")</f>
        <v>329</v>
      </c>
      <c r="D334" s="73" t="s">
        <v>12</v>
      </c>
      <c r="E334" s="76" t="str">
        <f aca="false">
IF($D334="정상",INDEX(임대자산!$D$3:$R$3000,MATCH($F334,임대자산!$I$3:$I$3000,0),MATCH(E$3,임대자산!$D$3:$R$3,0)),
IF($D334="폐업",INDEX(폐업정보!$D$3:$R$3000,MATCH($F334,폐업정보!$I$3:$I$3000,0),MATCH(E$3,폐업정보!$D$3:$R$3,0)),
"Error"))</f>
        <v>경기</v>
      </c>
      <c r="F33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B0329</v>
      </c>
      <c r="G334" s="76" t="str">
        <f aca="false">F334&amp;RANDBETWEEN(0,10)</f>
        <v>B03293</v>
      </c>
      <c r="H334" s="75" t="n">
        <f aca="false">
IF($D334="정상",INDEX(임대자산!$D$3:$R$3000,MATCH($F334,임대자산!$I$3:$I$3000,0),MATCH(H$4,임대자산!$D$3:$R$3,0)),
IF($D334="폐업",INDEX(폐업정보!$D$3:$R$3000,MATCH($F334,폐업정보!$I$3:$I$3000,0),MATCH(H$4,폐업정보!$D$3:$R$3,0)),
"Error"))</f>
        <v>45342</v>
      </c>
      <c r="I334" s="75" t="str">
        <f aca="false">
IF($D334="정상",INDEX(임대자산!$D$3:$R$3000,MATCH($F334,임대자산!$I$3:$I$3000,0),MATCH(I$4,임대자산!$D$3:$R$3,0)),
IF($D334="폐업",INDEX(폐업정보!$D$3:$R$3000,MATCH($F334,폐업정보!$I$3:$I$3000,0),MATCH(I$4,폐업정보!$D$3:$R$3,0)),
"Error"))</f>
        <v>A0329</v>
      </c>
      <c r="J334" s="75" t="str">
        <f aca="false">
IF($D334="정상",INDEX(임대자산!$D$3:$R$3000,MATCH($F334,임대자산!$I$3:$I$3000,0),MATCH(J$4,임대자산!$D$3:$R$3,0)),
IF($D334="폐업",INDEX(폐업정보!$D$3:$R$3000,MATCH($F334,폐업정보!$I$3:$I$3000,0),MATCH(J$4,폐업정보!$D$3:$R$3,0)),
"Error"))</f>
        <v>7116500000</v>
      </c>
      <c r="K334" s="75" t="str">
        <f aca="false">
IF($D334="정상",INDEX(임대자산!$D$3:$R$3000,MATCH($F334,임대자산!$I$3:$I$3000,0),MATCH(K$4,임대자산!$D$3:$R$3,0)),
IF($D334="폐업",INDEX(폐업정보!$D$3:$R$3000,MATCH($F334,폐업정보!$I$3:$I$3000,0),MATCH(K$4,폐업정보!$D$3:$R$3,0)),
"Error"))</f>
        <v>C0329</v>
      </c>
      <c r="L334" s="75" t="str">
        <f aca="false">
IF($D334="정상",INDEX(임대자산!$D$3:$R$3000,MATCH($F334,임대자산!$I$3:$I$3000,0),MATCH(L$4,임대자산!$D$3:$R$3,0)),
IF($D334="폐업",INDEX(폐업정보!$D$3:$R$3000,MATCH($F334,폐업정보!$I$3:$I$3000,0),MATCH(L$4,폐업정보!$D$3:$R$3,0)),
"Error"))</f>
        <v>D0329</v>
      </c>
      <c r="M334" s="76" t="s">
        <v>96</v>
      </c>
      <c r="N334" s="77"/>
      <c r="O334" s="78" t="s">
        <v>97</v>
      </c>
      <c r="P334" s="79" t="n">
        <f aca="false">COUNTIFS(임대자산!$I:$I,가맹점정보!F334,임대자산!$N:$N,가맹점정보!P$4)</f>
        <v>0</v>
      </c>
      <c r="Q334" s="80" t="n">
        <f aca="false">COUNTIFS(임대자산!$I:$I,가맹점정보!F334,임대자산!$N:$N,가맹점정보!Q$4)</f>
        <v>0</v>
      </c>
      <c r="R334" s="81" t="n">
        <f aca="false">COUNTIFS(임대자산!$I:$I,가맹점정보!F334,임대자산!$N:$N,가맹점정보!R$4)</f>
        <v>1</v>
      </c>
      <c r="S334" s="82" t="n">
        <v>110000</v>
      </c>
      <c r="T334" s="83" t="n">
        <v>0</v>
      </c>
      <c r="U334" s="80" t="n">
        <f aca="false">SUM(S334:T334)</f>
        <v>110000</v>
      </c>
      <c r="V334" s="84" t="s">
        <v>12</v>
      </c>
      <c r="W334" s="80" t="e">
        <f aca="true">
IF(D334="폐업","폐업",
IF(V334="면제","면제",
IF(AND(V334="정상",COUNTIFS(OFFSET(Y334,0,COUNTA(Y334:AV334)-1,1,-4),"미납")&gt;=3),"장기미납",
IF(AND(V334="정상",OFFSET(Y334,0,COUNTA(Y334:AV334)-1)&gt;=U334),"정상",
IF(AND(V334="정상",OFFSET(Y334,0,COUNTA(Y334:AV334)-1)=0),"정상",
"계약서 미작성")))))</f>
        <v>#VALUE!</v>
      </c>
      <c r="X334" s="81" t="str">
        <f aca="true">
IF(D334="폐업","폐업",
IF(AND(V334="정상",OFFSET(Y334,0,COUNTA(Y334:AV334)-1)="미납"),"미납",
IF(AND(V334="정상",OFFSET(Y334,0,COUNTA(Y334:AV334)-1)=0),"납부 시작 전",
IF(AND(V334="정상",OFFSET(Y334,0,COUNTA(Y334:AV334)-1)&gt;=U334),"정상",
IF(AND(V334="면제",OFFSET(Y334,0,COUNTA(Y334:AV334)-1)="면제"),"면제",
IF(AND(V334="면제",OFFSET(Y334,0,COUNTA(Y334:AV334)-1)=0),"면제",
"확인요청"))))))</f>
        <v>정상</v>
      </c>
      <c r="Y334" s="93" t="n">
        <v>110000</v>
      </c>
      <c r="Z334" s="90" t="n">
        <v>110000</v>
      </c>
      <c r="AA334" s="90" t="n">
        <v>110000</v>
      </c>
      <c r="AB334" s="90" t="n">
        <v>110000</v>
      </c>
      <c r="AC334" s="90" t="n">
        <v>110000</v>
      </c>
      <c r="AD334" s="90" t="n">
        <v>110000</v>
      </c>
      <c r="AE334" s="90" t="n">
        <v>110000</v>
      </c>
      <c r="AF334" s="90" t="n">
        <v>110000</v>
      </c>
      <c r="AG334" s="90" t="n">
        <v>110000</v>
      </c>
      <c r="AH334" s="90" t="n">
        <v>110000</v>
      </c>
      <c r="AI334" s="90" t="n">
        <v>110000</v>
      </c>
      <c r="AJ334" s="91" t="n">
        <v>110000</v>
      </c>
      <c r="AK334" s="89" t="n">
        <v>110000</v>
      </c>
      <c r="AL334" s="90" t="n">
        <v>110000</v>
      </c>
      <c r="AM334" s="90"/>
      <c r="AN334" s="90"/>
      <c r="AO334" s="90"/>
      <c r="AP334" s="90"/>
      <c r="AQ334" s="90"/>
      <c r="AR334" s="90"/>
      <c r="AS334" s="90"/>
      <c r="AT334" s="90"/>
      <c r="AU334" s="90"/>
      <c r="AV334" s="91"/>
      <c r="AX334" s="92"/>
    </row>
    <row r="335" customFormat="false" ht="15.65" hidden="false" customHeight="false" outlineLevel="0" collapsed="false">
      <c r="C335" s="72" t="n">
        <f aca="false">COUNTIFS($D$6:D335,"&lt;&gt;"&amp;"")</f>
        <v>330</v>
      </c>
      <c r="D335" s="73" t="s">
        <v>12</v>
      </c>
      <c r="E335" s="76" t="str">
        <f aca="false">
IF($D335="정상",INDEX(임대자산!$D$3:$R$3000,MATCH($F335,임대자산!$I$3:$I$3000,0),MATCH(E$3,임대자산!$D$3:$R$3,0)),
IF($D335="폐업",INDEX(폐업정보!$D$3:$R$3000,MATCH($F335,폐업정보!$I$3:$I$3000,0),MATCH(E$3,폐업정보!$D$3:$R$3,0)),
"Error"))</f>
        <v>경상</v>
      </c>
      <c r="F33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B0330</v>
      </c>
      <c r="G335" s="76" t="str">
        <f aca="false">F335&amp;RANDBETWEEN(0,10)</f>
        <v>B03306</v>
      </c>
      <c r="H335" s="75" t="n">
        <f aca="false">
IF($D335="정상",INDEX(임대자산!$D$3:$R$3000,MATCH($F335,임대자산!$I$3:$I$3000,0),MATCH(H$4,임대자산!$D$3:$R$3,0)),
IF($D335="폐업",INDEX(폐업정보!$D$3:$R$3000,MATCH($F335,폐업정보!$I$3:$I$3000,0),MATCH(H$4,폐업정보!$D$3:$R$3,0)),
"Error"))</f>
        <v>45337</v>
      </c>
      <c r="I335" s="75" t="str">
        <f aca="false">
IF($D335="정상",INDEX(임대자산!$D$3:$R$3000,MATCH($F335,임대자산!$I$3:$I$3000,0),MATCH(I$4,임대자산!$D$3:$R$3,0)),
IF($D335="폐업",INDEX(폐업정보!$D$3:$R$3000,MATCH($F335,폐업정보!$I$3:$I$3000,0),MATCH(I$4,폐업정보!$D$3:$R$3,0)),
"Error"))</f>
        <v>A0330</v>
      </c>
      <c r="J335" s="75" t="str">
        <f aca="false">
IF($D335="정상",INDEX(임대자산!$D$3:$R$3000,MATCH($F335,임대자산!$I$3:$I$3000,0),MATCH(J$4,임대자산!$D$3:$R$3,0)),
IF($D335="폐업",INDEX(폐업정보!$D$3:$R$3000,MATCH($F335,폐업정보!$I$3:$I$3000,0),MATCH(J$4,폐업정보!$D$3:$R$3,0)),
"Error"))</f>
        <v>5187000000</v>
      </c>
      <c r="K335" s="75" t="str">
        <f aca="false">
IF($D335="정상",INDEX(임대자산!$D$3:$R$3000,MATCH($F335,임대자산!$I$3:$I$3000,0),MATCH(K$4,임대자산!$D$3:$R$3,0)),
IF($D335="폐업",INDEX(폐업정보!$D$3:$R$3000,MATCH($F335,폐업정보!$I$3:$I$3000,0),MATCH(K$4,폐업정보!$D$3:$R$3,0)),
"Error"))</f>
        <v>C0330</v>
      </c>
      <c r="L335" s="75" t="str">
        <f aca="false">
IF($D335="정상",INDEX(임대자산!$D$3:$R$3000,MATCH($F335,임대자산!$I$3:$I$3000,0),MATCH(L$4,임대자산!$D$3:$R$3,0)),
IF($D335="폐업",INDEX(폐업정보!$D$3:$R$3000,MATCH($F335,폐업정보!$I$3:$I$3000,0),MATCH(L$4,폐업정보!$D$3:$R$3,0)),
"Error"))</f>
        <v>D0330</v>
      </c>
      <c r="M335" s="76" t="s">
        <v>96</v>
      </c>
      <c r="N335" s="77"/>
      <c r="O335" s="78" t="s">
        <v>97</v>
      </c>
      <c r="P335" s="79" t="n">
        <f aca="false">COUNTIFS(임대자산!$I:$I,가맹점정보!F335,임대자산!$N:$N,가맹점정보!P$4)</f>
        <v>0</v>
      </c>
      <c r="Q335" s="80" t="n">
        <f aca="false">COUNTIFS(임대자산!$I:$I,가맹점정보!F335,임대자산!$N:$N,가맹점정보!Q$4)</f>
        <v>0</v>
      </c>
      <c r="R335" s="81" t="n">
        <f aca="false">COUNTIFS(임대자산!$I:$I,가맹점정보!F335,임대자산!$N:$N,가맹점정보!R$4)</f>
        <v>1</v>
      </c>
      <c r="S335" s="82" t="n">
        <v>55000</v>
      </c>
      <c r="T335" s="83" t="n">
        <v>0</v>
      </c>
      <c r="U335" s="80" t="n">
        <f aca="false">SUM(S335:T335)</f>
        <v>55000</v>
      </c>
      <c r="V335" s="84" t="s">
        <v>12</v>
      </c>
      <c r="W335" s="80" t="e">
        <f aca="true">
IF(D335="폐업","폐업",
IF(V335="면제","면제",
IF(AND(V335="정상",COUNTIFS(OFFSET(Y335,0,COUNTA(Y335:AV335)-1,1,-4),"미납")&gt;=3),"장기미납",
IF(AND(V335="정상",OFFSET(Y335,0,COUNTA(Y335:AV335)-1)&gt;=U335),"정상",
IF(AND(V335="정상",OFFSET(Y335,0,COUNTA(Y335:AV335)-1)=0),"정상",
"계약서 미작성")))))</f>
        <v>#VALUE!</v>
      </c>
      <c r="X335" s="81" t="str">
        <f aca="true">
IF(D335="폐업","폐업",
IF(AND(V335="정상",OFFSET(Y335,0,COUNTA(Y335:AV335)-1)="미납"),"미납",
IF(AND(V335="정상",OFFSET(Y335,0,COUNTA(Y335:AV335)-1)=0),"납부 시작 전",
IF(AND(V335="정상",OFFSET(Y335,0,COUNTA(Y335:AV335)-1)&gt;=U335),"정상",
IF(AND(V335="면제",OFFSET(Y335,0,COUNTA(Y335:AV335)-1)="면제"),"면제",
IF(AND(V335="면제",OFFSET(Y335,0,COUNTA(Y335:AV335)-1)=0),"면제",
"확인요청"))))))</f>
        <v>미납</v>
      </c>
      <c r="Y335" s="93" t="n">
        <v>55000</v>
      </c>
      <c r="Z335" s="90" t="n">
        <v>88000</v>
      </c>
      <c r="AA335" s="90" t="n">
        <v>110000</v>
      </c>
      <c r="AB335" s="90" t="n">
        <v>110000</v>
      </c>
      <c r="AC335" s="90" t="n">
        <v>110000</v>
      </c>
      <c r="AD335" s="90" t="n">
        <v>110000</v>
      </c>
      <c r="AE335" s="90" t="n">
        <v>55000</v>
      </c>
      <c r="AF335" s="90" t="n">
        <v>55000</v>
      </c>
      <c r="AG335" s="90" t="s">
        <v>98</v>
      </c>
      <c r="AH335" s="90" t="n">
        <v>110000</v>
      </c>
      <c r="AI335" s="90" t="n">
        <v>220000</v>
      </c>
      <c r="AJ335" s="91" t="s">
        <v>101</v>
      </c>
      <c r="AK335" s="89" t="n">
        <v>165000</v>
      </c>
      <c r="AL335" s="95" t="s">
        <v>62</v>
      </c>
      <c r="AM335" s="90"/>
      <c r="AN335" s="90"/>
      <c r="AO335" s="90"/>
      <c r="AP335" s="90"/>
      <c r="AQ335" s="90"/>
      <c r="AR335" s="90"/>
      <c r="AS335" s="90"/>
      <c r="AT335" s="90"/>
      <c r="AU335" s="90"/>
      <c r="AV335" s="91"/>
      <c r="AX335" s="92"/>
    </row>
    <row r="336" customFormat="false" ht="15.65" hidden="false" customHeight="false" outlineLevel="0" collapsed="false">
      <c r="C336" s="72" t="n">
        <f aca="false">COUNTIFS($D$6:D336,"&lt;&gt;"&amp;"")</f>
        <v>331</v>
      </c>
      <c r="D336" s="73" t="s">
        <v>12</v>
      </c>
      <c r="E336" s="76" t="str">
        <f aca="false">
IF($D336="정상",INDEX(임대자산!$D$3:$R$3000,MATCH($F336,임대자산!$I$3:$I$3000,0),MATCH(E$3,임대자산!$D$3:$R$3,0)),
IF($D336="폐업",INDEX(폐업정보!$D$3:$R$3000,MATCH($F336,폐업정보!$I$3:$I$3000,0),MATCH(E$3,폐업정보!$D$3:$R$3,0)),
"Error"))</f>
        <v>경기</v>
      </c>
      <c r="F33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B0331</v>
      </c>
      <c r="G336" s="76" t="str">
        <f aca="false">F336&amp;RANDBETWEEN(0,10)</f>
        <v>B03314</v>
      </c>
      <c r="H336" s="75" t="n">
        <f aca="false">
IF($D336="정상",INDEX(임대자산!$D$3:$R$3000,MATCH($F336,임대자산!$I$3:$I$3000,0),MATCH(H$4,임대자산!$D$3:$R$3,0)),
IF($D336="폐업",INDEX(폐업정보!$D$3:$R$3000,MATCH($F336,폐업정보!$I$3:$I$3000,0),MATCH(H$4,폐업정보!$D$3:$R$3,0)),
"Error"))</f>
        <v>45789</v>
      </c>
      <c r="I336" s="75" t="str">
        <f aca="false">
IF($D336="정상",INDEX(임대자산!$D$3:$R$3000,MATCH($F336,임대자산!$I$3:$I$3000,0),MATCH(I$4,임대자산!$D$3:$R$3,0)),
IF($D336="폐업",INDEX(폐업정보!$D$3:$R$3000,MATCH($F336,폐업정보!$I$3:$I$3000,0),MATCH(I$4,폐업정보!$D$3:$R$3,0)),
"Error"))</f>
        <v>A0331</v>
      </c>
      <c r="J336" s="75" t="str">
        <f aca="false">
IF($D336="정상",INDEX(임대자산!$D$3:$R$3000,MATCH($F336,임대자산!$I$3:$I$3000,0),MATCH(J$4,임대자산!$D$3:$R$3,0)),
IF($D336="폐업",INDEX(폐업정보!$D$3:$R$3000,MATCH($F336,폐업정보!$I$3:$I$3000,0),MATCH(J$4,폐업정보!$D$3:$R$3,0)),
"Error"))</f>
        <v>1341400000</v>
      </c>
      <c r="K336" s="75" t="str">
        <f aca="false">
IF($D336="정상",INDEX(임대자산!$D$3:$R$3000,MATCH($F336,임대자산!$I$3:$I$3000,0),MATCH(K$4,임대자산!$D$3:$R$3,0)),
IF($D336="폐업",INDEX(폐업정보!$D$3:$R$3000,MATCH($F336,폐업정보!$I$3:$I$3000,0),MATCH(K$4,폐업정보!$D$3:$R$3,0)),
"Error"))</f>
        <v>C0331</v>
      </c>
      <c r="L336" s="75" t="str">
        <f aca="false">
IF($D336="정상",INDEX(임대자산!$D$3:$R$3000,MATCH($F336,임대자산!$I$3:$I$3000,0),MATCH(L$4,임대자산!$D$3:$R$3,0)),
IF($D336="폐업",INDEX(폐업정보!$D$3:$R$3000,MATCH($F336,폐업정보!$I$3:$I$3000,0),MATCH(L$4,폐업정보!$D$3:$R$3,0)),
"Error"))</f>
        <v>D0331</v>
      </c>
      <c r="M336" s="76" t="s">
        <v>96</v>
      </c>
      <c r="N336" s="77"/>
      <c r="O336" s="78" t="s">
        <v>97</v>
      </c>
      <c r="P336" s="79" t="n">
        <f aca="false">COUNTIFS(임대자산!$I:$I,가맹점정보!F336,임대자산!$N:$N,가맹점정보!P$4)</f>
        <v>0</v>
      </c>
      <c r="Q336" s="80" t="n">
        <f aca="false">COUNTIFS(임대자산!$I:$I,가맹점정보!F336,임대자산!$N:$N,가맹점정보!Q$4)</f>
        <v>0</v>
      </c>
      <c r="R336" s="81" t="n">
        <f aca="false">COUNTIFS(임대자산!$I:$I,가맹점정보!F336,임대자산!$N:$N,가맹점정보!R$4)</f>
        <v>1</v>
      </c>
      <c r="S336" s="82" t="n">
        <v>55000</v>
      </c>
      <c r="T336" s="83" t="n">
        <v>0</v>
      </c>
      <c r="U336" s="80" t="n">
        <f aca="false">SUM(S336:T336)</f>
        <v>55000</v>
      </c>
      <c r="V336" s="84" t="s">
        <v>12</v>
      </c>
      <c r="W336" s="80" t="e">
        <f aca="true">
IF(D336="폐업","폐업",
IF(V336="면제","면제",
IF(AND(V336="정상",COUNTIFS(OFFSET(Y336,0,COUNTA(Y336:AV336)-1,1,-4),"미납")&gt;=3),"장기미납",
IF(AND(V336="정상",OFFSET(Y336,0,COUNTA(Y336:AV336)-1)&gt;=U336),"정상",
IF(AND(V336="정상",OFFSET(Y336,0,COUNTA(Y336:AV336)-1)=0),"정상",
"계약서 미작성")))))</f>
        <v>#VALUE!</v>
      </c>
      <c r="X336" s="81" t="str">
        <f aca="true">
IF(D336="폐업","폐업",
IF(AND(V336="정상",OFFSET(Y336,0,COUNTA(Y336:AV336)-1)="미납"),"미납",
IF(AND(V336="정상",OFFSET(Y336,0,COUNTA(Y336:AV336)-1)=0),"납부 시작 전",
IF(AND(V336="정상",OFFSET(Y336,0,COUNTA(Y336:AV336)-1)&gt;=U336),"정상",
IF(AND(V336="면제",OFFSET(Y336,0,COUNTA(Y336:AV336)-1)="면제"),"면제",
IF(AND(V336="면제",OFFSET(Y336,0,COUNTA(Y336:AV336)-1)=0),"면제",
"확인요청"))))))</f>
        <v>정상</v>
      </c>
      <c r="Y336" s="93" t="n">
        <v>55000</v>
      </c>
      <c r="Z336" s="90" t="n">
        <v>55000</v>
      </c>
      <c r="AA336" s="90" t="n">
        <v>55000</v>
      </c>
      <c r="AB336" s="90" t="n">
        <v>55000</v>
      </c>
      <c r="AC336" s="90" t="n">
        <v>55000</v>
      </c>
      <c r="AD336" s="90" t="n">
        <v>55000</v>
      </c>
      <c r="AE336" s="90" t="n">
        <v>55000</v>
      </c>
      <c r="AF336" s="90" t="n">
        <v>55000</v>
      </c>
      <c r="AG336" s="90" t="n">
        <v>55000</v>
      </c>
      <c r="AH336" s="90" t="n">
        <v>55000</v>
      </c>
      <c r="AI336" s="90" t="n">
        <v>55000</v>
      </c>
      <c r="AJ336" s="91" t="n">
        <v>55000</v>
      </c>
      <c r="AK336" s="89" t="n">
        <v>55000</v>
      </c>
      <c r="AL336" s="90" t="n">
        <v>55000</v>
      </c>
      <c r="AM336" s="90"/>
      <c r="AN336" s="90"/>
      <c r="AO336" s="90"/>
      <c r="AP336" s="90"/>
      <c r="AQ336" s="90"/>
      <c r="AR336" s="90"/>
      <c r="AS336" s="90"/>
      <c r="AT336" s="90"/>
      <c r="AU336" s="90"/>
      <c r="AV336" s="91"/>
      <c r="AX336" s="92"/>
    </row>
    <row r="337" customFormat="false" ht="15.65" hidden="false" customHeight="false" outlineLevel="0" collapsed="false">
      <c r="C337" s="72" t="n">
        <f aca="false">COUNTIFS($D$6:D337,"&lt;&gt;"&amp;"")</f>
        <v>332</v>
      </c>
      <c r="D337" s="73" t="s">
        <v>12</v>
      </c>
      <c r="E337" s="76" t="str">
        <f aca="false">
IF($D337="정상",INDEX(임대자산!$D$3:$R$3000,MATCH($F337,임대자산!$I$3:$I$3000,0),MATCH(E$3,임대자산!$D$3:$R$3,0)),
IF($D337="폐업",INDEX(폐업정보!$D$3:$R$3000,MATCH($F337,폐업정보!$I$3:$I$3000,0),MATCH(E$3,폐업정보!$D$3:$R$3,0)),
"Error"))</f>
        <v>경기</v>
      </c>
      <c r="F33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B0332</v>
      </c>
      <c r="G337" s="76" t="str">
        <f aca="false">F337&amp;RANDBETWEEN(0,10)</f>
        <v>B03325</v>
      </c>
      <c r="H337" s="75" t="n">
        <f aca="false">
IF($D337="정상",INDEX(임대자산!$D$3:$R$3000,MATCH($F337,임대자산!$I$3:$I$3000,0),MATCH(H$4,임대자산!$D$3:$R$3,0)),
IF($D337="폐업",INDEX(폐업정보!$D$3:$R$3000,MATCH($F337,폐업정보!$I$3:$I$3000,0),MATCH(H$4,폐업정보!$D$3:$R$3,0)),
"Error"))</f>
        <v>45792</v>
      </c>
      <c r="I337" s="75" t="str">
        <f aca="false">
IF($D337="정상",INDEX(임대자산!$D$3:$R$3000,MATCH($F337,임대자산!$I$3:$I$3000,0),MATCH(I$4,임대자산!$D$3:$R$3,0)),
IF($D337="폐업",INDEX(폐업정보!$D$3:$R$3000,MATCH($F337,폐업정보!$I$3:$I$3000,0),MATCH(I$4,폐업정보!$D$3:$R$3,0)),
"Error"))</f>
        <v>A0332</v>
      </c>
      <c r="J337" s="75" t="str">
        <f aca="false">
IF($D337="정상",INDEX(임대자산!$D$3:$R$3000,MATCH($F337,임대자산!$I$3:$I$3000,0),MATCH(J$4,임대자산!$D$3:$R$3,0)),
IF($D337="폐업",INDEX(폐업정보!$D$3:$R$3000,MATCH($F337,폐업정보!$I$3:$I$3000,0),MATCH(J$4,폐업정보!$D$3:$R$3,0)),
"Error"))</f>
        <v>4081900000</v>
      </c>
      <c r="K337" s="75" t="str">
        <f aca="false">
IF($D337="정상",INDEX(임대자산!$D$3:$R$3000,MATCH($F337,임대자산!$I$3:$I$3000,0),MATCH(K$4,임대자산!$D$3:$R$3,0)),
IF($D337="폐업",INDEX(폐업정보!$D$3:$R$3000,MATCH($F337,폐업정보!$I$3:$I$3000,0),MATCH(K$4,폐업정보!$D$3:$R$3,0)),
"Error"))</f>
        <v>C0332</v>
      </c>
      <c r="L337" s="75" t="str">
        <f aca="false">
IF($D337="정상",INDEX(임대자산!$D$3:$R$3000,MATCH($F337,임대자산!$I$3:$I$3000,0),MATCH(L$4,임대자산!$D$3:$R$3,0)),
IF($D337="폐업",INDEX(폐업정보!$D$3:$R$3000,MATCH($F337,폐업정보!$I$3:$I$3000,0),MATCH(L$4,폐업정보!$D$3:$R$3,0)),
"Error"))</f>
        <v>D0332</v>
      </c>
      <c r="M337" s="76" t="s">
        <v>96</v>
      </c>
      <c r="N337" s="77"/>
      <c r="O337" s="78" t="s">
        <v>97</v>
      </c>
      <c r="P337" s="79" t="n">
        <f aca="false">COUNTIFS(임대자산!$I:$I,가맹점정보!F337,임대자산!$N:$N,가맹점정보!P$4)</f>
        <v>0</v>
      </c>
      <c r="Q337" s="80" t="n">
        <f aca="false">COUNTIFS(임대자산!$I:$I,가맹점정보!F337,임대자산!$N:$N,가맹점정보!Q$4)</f>
        <v>0</v>
      </c>
      <c r="R337" s="81" t="n">
        <f aca="false">COUNTIFS(임대자산!$I:$I,가맹점정보!F337,임대자산!$N:$N,가맹점정보!R$4)</f>
        <v>1</v>
      </c>
      <c r="S337" s="82" t="n">
        <v>55000</v>
      </c>
      <c r="T337" s="83" t="n">
        <v>0</v>
      </c>
      <c r="U337" s="80" t="n">
        <f aca="false">SUM(S337:T337)</f>
        <v>55000</v>
      </c>
      <c r="V337" s="84" t="s">
        <v>12</v>
      </c>
      <c r="W337" s="80" t="e">
        <f aca="true">
IF(D337="폐업","폐업",
IF(V337="면제","면제",
IF(AND(V337="정상",COUNTIFS(OFFSET(Y337,0,COUNTA(Y337:AV337)-1,1,-4),"미납")&gt;=3),"장기미납",
IF(AND(V337="정상",OFFSET(Y337,0,COUNTA(Y337:AV337)-1)&gt;=U337),"정상",
IF(AND(V337="정상",OFFSET(Y337,0,COUNTA(Y337:AV337)-1)=0),"정상",
"계약서 미작성")))))</f>
        <v>#VALUE!</v>
      </c>
      <c r="X337" s="81" t="str">
        <f aca="true">
IF(D337="폐업","폐업",
IF(AND(V337="정상",OFFSET(Y337,0,COUNTA(Y337:AV337)-1)="미납"),"미납",
IF(AND(V337="정상",OFFSET(Y337,0,COUNTA(Y337:AV337)-1)=0),"납부 시작 전",
IF(AND(V337="정상",OFFSET(Y337,0,COUNTA(Y337:AV337)-1)&gt;=U337),"정상",
IF(AND(V337="면제",OFFSET(Y337,0,COUNTA(Y337:AV337)-1)="면제"),"면제",
IF(AND(V337="면제",OFFSET(Y337,0,COUNTA(Y337:AV337)-1)=0),"면제",
"확인요청"))))))</f>
        <v>정상</v>
      </c>
      <c r="Y337" s="93" t="n">
        <v>55000</v>
      </c>
      <c r="Z337" s="90" t="n">
        <v>55000</v>
      </c>
      <c r="AA337" s="90" t="n">
        <v>55000</v>
      </c>
      <c r="AB337" s="90" t="n">
        <v>55000</v>
      </c>
      <c r="AC337" s="90" t="n">
        <v>55000</v>
      </c>
      <c r="AD337" s="90" t="n">
        <v>55000</v>
      </c>
      <c r="AE337" s="90" t="n">
        <v>55000</v>
      </c>
      <c r="AF337" s="90" t="n">
        <v>55000</v>
      </c>
      <c r="AG337" s="90" t="n">
        <v>55000</v>
      </c>
      <c r="AH337" s="90" t="n">
        <v>55000</v>
      </c>
      <c r="AI337" s="90" t="n">
        <v>55000</v>
      </c>
      <c r="AJ337" s="91" t="n">
        <v>55000</v>
      </c>
      <c r="AK337" s="89" t="n">
        <v>55000</v>
      </c>
      <c r="AL337" s="90" t="n">
        <v>55000</v>
      </c>
      <c r="AM337" s="90"/>
      <c r="AN337" s="90"/>
      <c r="AO337" s="90"/>
      <c r="AP337" s="90"/>
      <c r="AQ337" s="90"/>
      <c r="AR337" s="90"/>
      <c r="AS337" s="90"/>
      <c r="AT337" s="90"/>
      <c r="AU337" s="90"/>
      <c r="AV337" s="91"/>
      <c r="AX337" s="92"/>
    </row>
    <row r="338" customFormat="false" ht="15.65" hidden="false" customHeight="false" outlineLevel="0" collapsed="false">
      <c r="C338" s="72" t="n">
        <f aca="false">COUNTIFS($D$6:D338,"&lt;&gt;"&amp;"")</f>
        <v>333</v>
      </c>
      <c r="D338" s="73" t="s">
        <v>12</v>
      </c>
      <c r="E338" s="76" t="str">
        <f aca="false">
IF($D338="정상",INDEX(임대자산!$D$3:$R$3000,MATCH($F338,임대자산!$I$3:$I$3000,0),MATCH(E$3,임대자산!$D$3:$R$3,0)),
IF($D338="폐업",INDEX(폐업정보!$D$3:$R$3000,MATCH($F338,폐업정보!$I$3:$I$3000,0),MATCH(E$3,폐업정보!$D$3:$R$3,0)),
"Error"))</f>
        <v>경기</v>
      </c>
      <c r="F33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B0333</v>
      </c>
      <c r="G338" s="76" t="str">
        <f aca="false">F338&amp;RANDBETWEEN(0,10)</f>
        <v>B03337</v>
      </c>
      <c r="H338" s="75" t="n">
        <f aca="false">
IF($D338="정상",INDEX(임대자산!$D$3:$R$3000,MATCH($F338,임대자산!$I$3:$I$3000,0),MATCH(H$4,임대자산!$D$3:$R$3,0)),
IF($D338="폐업",INDEX(폐업정보!$D$3:$R$3000,MATCH($F338,폐업정보!$I$3:$I$3000,0),MATCH(H$4,폐업정보!$D$3:$R$3,0)),
"Error"))</f>
        <v>45267</v>
      </c>
      <c r="I338" s="75" t="str">
        <f aca="false">
IF($D338="정상",INDEX(임대자산!$D$3:$R$3000,MATCH($F338,임대자산!$I$3:$I$3000,0),MATCH(I$4,임대자산!$D$3:$R$3,0)),
IF($D338="폐업",INDEX(폐업정보!$D$3:$R$3000,MATCH($F338,폐업정보!$I$3:$I$3000,0),MATCH(I$4,폐업정보!$D$3:$R$3,0)),
"Error"))</f>
        <v>A0333</v>
      </c>
      <c r="J338" s="75" t="str">
        <f aca="false">
IF($D338="정상",INDEX(임대자산!$D$3:$R$3000,MATCH($F338,임대자산!$I$3:$I$3000,0),MATCH(J$4,임대자산!$D$3:$R$3,0)),
IF($D338="폐업",INDEX(폐업정보!$D$3:$R$3000,MATCH($F338,폐업정보!$I$3:$I$3000,0),MATCH(J$4,폐업정보!$D$3:$R$3,0)),
"Error"))</f>
        <v>2471300000</v>
      </c>
      <c r="K338" s="75" t="str">
        <f aca="false">
IF($D338="정상",INDEX(임대자산!$D$3:$R$3000,MATCH($F338,임대자산!$I$3:$I$3000,0),MATCH(K$4,임대자산!$D$3:$R$3,0)),
IF($D338="폐업",INDEX(폐업정보!$D$3:$R$3000,MATCH($F338,폐업정보!$I$3:$I$3000,0),MATCH(K$4,폐업정보!$D$3:$R$3,0)),
"Error"))</f>
        <v>C0333</v>
      </c>
      <c r="L338" s="75" t="str">
        <f aca="false">
IF($D338="정상",INDEX(임대자산!$D$3:$R$3000,MATCH($F338,임대자산!$I$3:$I$3000,0),MATCH(L$4,임대자산!$D$3:$R$3,0)),
IF($D338="폐업",INDEX(폐업정보!$D$3:$R$3000,MATCH($F338,폐업정보!$I$3:$I$3000,0),MATCH(L$4,폐업정보!$D$3:$R$3,0)),
"Error"))</f>
        <v>D0333</v>
      </c>
      <c r="M338" s="76" t="s">
        <v>96</v>
      </c>
      <c r="N338" s="77"/>
      <c r="O338" s="78" t="s">
        <v>97</v>
      </c>
      <c r="P338" s="79" t="n">
        <f aca="false">COUNTIFS(임대자산!$I:$I,가맹점정보!F338,임대자산!$N:$N,가맹점정보!P$4)</f>
        <v>0</v>
      </c>
      <c r="Q338" s="80" t="n">
        <f aca="false">COUNTIFS(임대자산!$I:$I,가맹점정보!F338,임대자산!$N:$N,가맹점정보!Q$4)</f>
        <v>0</v>
      </c>
      <c r="R338" s="81" t="n">
        <f aca="false">COUNTIFS(임대자산!$I:$I,가맹점정보!F338,임대자산!$N:$N,가맹점정보!R$4)</f>
        <v>1</v>
      </c>
      <c r="S338" s="82" t="n">
        <v>88000</v>
      </c>
      <c r="T338" s="83" t="n">
        <v>0</v>
      </c>
      <c r="U338" s="80" t="n">
        <f aca="false">SUM(S338:T338)</f>
        <v>88000</v>
      </c>
      <c r="V338" s="84" t="s">
        <v>7</v>
      </c>
      <c r="W338" s="80" t="str">
        <f aca="true">
IF(D338="폐업","폐업",
IF(V338="면제","면제",
IF(AND(V338="정상",COUNTIFS(OFFSET(Y338,0,COUNTA(Y338:AV338)-1,1,-4),"미납")&gt;=3),"장기미납",
IF(AND(V338="정상",OFFSET(Y338,0,COUNTA(Y338:AV338)-1)&gt;=U338),"정상",
IF(AND(V338="정상",OFFSET(Y338,0,COUNTA(Y338:AV338)-1)=0),"정상",
"계약서 미작성")))))</f>
        <v>면제</v>
      </c>
      <c r="X338" s="81" t="str">
        <f aca="true">
IF(D338="폐업","폐업",
IF(AND(V338="정상",OFFSET(Y338,0,COUNTA(Y338:AV338)-1)="미납"),"미납",
IF(AND(V338="정상",OFFSET(Y338,0,COUNTA(Y338:AV338)-1)=0),"납부 시작 전",
IF(AND(V338="정상",OFFSET(Y338,0,COUNTA(Y338:AV338)-1)&gt;=U338),"정상",
IF(AND(V338="면제",OFFSET(Y338,0,COUNTA(Y338:AV338)-1)="면제"),"면제",
IF(AND(V338="면제",OFFSET(Y338,0,COUNTA(Y338:AV338)-1)=0),"면제",
"확인요청"))))))</f>
        <v>면제</v>
      </c>
      <c r="Y338" s="94" t="s">
        <v>7</v>
      </c>
      <c r="Z338" s="95" t="s">
        <v>7</v>
      </c>
      <c r="AA338" s="95" t="s">
        <v>7</v>
      </c>
      <c r="AB338" s="95" t="s">
        <v>7</v>
      </c>
      <c r="AC338" s="95" t="s">
        <v>7</v>
      </c>
      <c r="AD338" s="95" t="s">
        <v>7</v>
      </c>
      <c r="AE338" s="95" t="s">
        <v>7</v>
      </c>
      <c r="AF338" s="95" t="s">
        <v>7</v>
      </c>
      <c r="AG338" s="95" t="s">
        <v>7</v>
      </c>
      <c r="AH338" s="95" t="s">
        <v>7</v>
      </c>
      <c r="AI338" s="95" t="s">
        <v>7</v>
      </c>
      <c r="AJ338" s="96" t="s">
        <v>7</v>
      </c>
      <c r="AK338" s="97" t="s">
        <v>7</v>
      </c>
      <c r="AL338" s="95" t="s">
        <v>7</v>
      </c>
      <c r="AM338" s="90"/>
      <c r="AN338" s="90"/>
      <c r="AO338" s="90"/>
      <c r="AP338" s="90"/>
      <c r="AQ338" s="90"/>
      <c r="AR338" s="90"/>
      <c r="AS338" s="90"/>
      <c r="AT338" s="90"/>
      <c r="AU338" s="90"/>
      <c r="AV338" s="91"/>
      <c r="AX338" s="92"/>
    </row>
    <row r="339" customFormat="false" ht="15.65" hidden="false" customHeight="false" outlineLevel="0" collapsed="false">
      <c r="C339" s="72" t="n">
        <f aca="false">COUNTIFS($D$6:D339,"&lt;&gt;"&amp;"")</f>
        <v>334</v>
      </c>
      <c r="D339" s="73" t="s">
        <v>12</v>
      </c>
      <c r="E339" s="76" t="str">
        <f aca="false">
IF($D339="정상",INDEX(임대자산!$D$3:$R$3000,MATCH($F339,임대자산!$I$3:$I$3000,0),MATCH(E$3,임대자산!$D$3:$R$3,0)),
IF($D339="폐업",INDEX(폐업정보!$D$3:$R$3000,MATCH($F339,폐업정보!$I$3:$I$3000,0),MATCH(E$3,폐업정보!$D$3:$R$3,0)),
"Error"))</f>
        <v>경기</v>
      </c>
      <c r="F33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B0334</v>
      </c>
      <c r="G339" s="76" t="str">
        <f aca="false">F339&amp;RANDBETWEEN(0,10)</f>
        <v>B033410</v>
      </c>
      <c r="H339" s="75" t="n">
        <f aca="false">
IF($D339="정상",INDEX(임대자산!$D$3:$R$3000,MATCH($F339,임대자산!$I$3:$I$3000,0),MATCH(H$4,임대자산!$D$3:$R$3,0)),
IF($D339="폐업",INDEX(폐업정보!$D$3:$R$3000,MATCH($F339,폐업정보!$I$3:$I$3000,0),MATCH(H$4,폐업정보!$D$3:$R$3,0)),
"Error"))</f>
        <v>45267</v>
      </c>
      <c r="I339" s="75" t="str">
        <f aca="false">
IF($D339="정상",INDEX(임대자산!$D$3:$R$3000,MATCH($F339,임대자산!$I$3:$I$3000,0),MATCH(I$4,임대자산!$D$3:$R$3,0)),
IF($D339="폐업",INDEX(폐업정보!$D$3:$R$3000,MATCH($F339,폐업정보!$I$3:$I$3000,0),MATCH(I$4,폐업정보!$D$3:$R$3,0)),
"Error"))</f>
        <v>A0334</v>
      </c>
      <c r="J339" s="75" t="str">
        <f aca="false">
IF($D339="정상",INDEX(임대자산!$D$3:$R$3000,MATCH($F339,임대자산!$I$3:$I$3000,0),MATCH(J$4,임대자산!$D$3:$R$3,0)),
IF($D339="폐업",INDEX(폐업정보!$D$3:$R$3000,MATCH($F339,폐업정보!$I$3:$I$3000,0),MATCH(J$4,폐업정보!$D$3:$R$3,0)),
"Error"))</f>
        <v>9707600000</v>
      </c>
      <c r="K339" s="75" t="str">
        <f aca="false">
IF($D339="정상",INDEX(임대자산!$D$3:$R$3000,MATCH($F339,임대자산!$I$3:$I$3000,0),MATCH(K$4,임대자산!$D$3:$R$3,0)),
IF($D339="폐업",INDEX(폐업정보!$D$3:$R$3000,MATCH($F339,폐업정보!$I$3:$I$3000,0),MATCH(K$4,폐업정보!$D$3:$R$3,0)),
"Error"))</f>
        <v>C0334</v>
      </c>
      <c r="L339" s="75" t="str">
        <f aca="false">
IF($D339="정상",INDEX(임대자산!$D$3:$R$3000,MATCH($F339,임대자산!$I$3:$I$3000,0),MATCH(L$4,임대자산!$D$3:$R$3,0)),
IF($D339="폐업",INDEX(폐업정보!$D$3:$R$3000,MATCH($F339,폐업정보!$I$3:$I$3000,0),MATCH(L$4,폐업정보!$D$3:$R$3,0)),
"Error"))</f>
        <v>D0334</v>
      </c>
      <c r="M339" s="76" t="s">
        <v>96</v>
      </c>
      <c r="N339" s="77"/>
      <c r="O339" s="78" t="s">
        <v>97</v>
      </c>
      <c r="P339" s="79" t="n">
        <f aca="false">COUNTIFS(임대자산!$I:$I,가맹점정보!F339,임대자산!$N:$N,가맹점정보!P$4)</f>
        <v>0</v>
      </c>
      <c r="Q339" s="80" t="n">
        <f aca="false">COUNTIFS(임대자산!$I:$I,가맹점정보!F339,임대자산!$N:$N,가맹점정보!Q$4)</f>
        <v>0</v>
      </c>
      <c r="R339" s="81" t="n">
        <f aca="false">COUNTIFS(임대자산!$I:$I,가맹점정보!F339,임대자산!$N:$N,가맹점정보!R$4)</f>
        <v>1</v>
      </c>
      <c r="S339" s="82" t="n">
        <v>55000</v>
      </c>
      <c r="T339" s="83" t="n">
        <v>0</v>
      </c>
      <c r="U339" s="80" t="n">
        <f aca="false">SUM(S339:T339)</f>
        <v>55000</v>
      </c>
      <c r="V339" s="84" t="s">
        <v>12</v>
      </c>
      <c r="W339" s="80" t="e">
        <f aca="true">
IF(D339="폐업","폐업",
IF(V339="면제","면제",
IF(AND(V339="정상",COUNTIFS(OFFSET(Y339,0,COUNTA(Y339:AV339)-1,1,-4),"미납")&gt;=3),"장기미납",
IF(AND(V339="정상",OFFSET(Y339,0,COUNTA(Y339:AV339)-1)&gt;=U339),"정상",
IF(AND(V339="정상",OFFSET(Y339,0,COUNTA(Y339:AV339)-1)=0),"정상",
"계약서 미작성")))))</f>
        <v>#VALUE!</v>
      </c>
      <c r="X339" s="81" t="str">
        <f aca="true">
IF(D339="폐업","폐업",
IF(AND(V339="정상",OFFSET(Y339,0,COUNTA(Y339:AV339)-1)="미납"),"미납",
IF(AND(V339="정상",OFFSET(Y339,0,COUNTA(Y339:AV339)-1)=0),"납부 시작 전",
IF(AND(V339="정상",OFFSET(Y339,0,COUNTA(Y339:AV339)-1)&gt;=U339),"정상",
IF(AND(V339="면제",OFFSET(Y339,0,COUNTA(Y339:AV339)-1)="면제"),"면제",
IF(AND(V339="면제",OFFSET(Y339,0,COUNTA(Y339:AV339)-1)=0),"면제",
"확인요청"))))))</f>
        <v>정상</v>
      </c>
      <c r="Y339" s="93" t="n">
        <v>55000</v>
      </c>
      <c r="Z339" s="90" t="n">
        <v>55000</v>
      </c>
      <c r="AA339" s="90" t="n">
        <v>55000</v>
      </c>
      <c r="AB339" s="90" t="n">
        <v>55000</v>
      </c>
      <c r="AC339" s="90" t="n">
        <v>55000</v>
      </c>
      <c r="AD339" s="90" t="n">
        <v>55000</v>
      </c>
      <c r="AE339" s="90" t="n">
        <v>55000</v>
      </c>
      <c r="AF339" s="90" t="n">
        <v>55000</v>
      </c>
      <c r="AG339" s="90" t="n">
        <v>55000</v>
      </c>
      <c r="AH339" s="90" t="n">
        <v>55000</v>
      </c>
      <c r="AI339" s="90" t="n">
        <v>55000</v>
      </c>
      <c r="AJ339" s="91" t="n">
        <v>55000</v>
      </c>
      <c r="AK339" s="89" t="n">
        <v>55000</v>
      </c>
      <c r="AL339" s="90" t="n">
        <v>55000</v>
      </c>
      <c r="AM339" s="90"/>
      <c r="AN339" s="90"/>
      <c r="AO339" s="90"/>
      <c r="AP339" s="90"/>
      <c r="AQ339" s="90"/>
      <c r="AR339" s="90"/>
      <c r="AS339" s="90"/>
      <c r="AT339" s="90"/>
      <c r="AU339" s="90"/>
      <c r="AV339" s="91"/>
      <c r="AX339" s="92"/>
    </row>
    <row r="340" customFormat="false" ht="15.65" hidden="false" customHeight="false" outlineLevel="0" collapsed="false">
      <c r="C340" s="72" t="n">
        <f aca="false">COUNTIFS($D$6:D340,"&lt;&gt;"&amp;"")</f>
        <v>335</v>
      </c>
      <c r="D340" s="73" t="s">
        <v>12</v>
      </c>
      <c r="E340" s="76" t="str">
        <f aca="false">
IF($D340="정상",INDEX(임대자산!$D$3:$R$3000,MATCH($F340,임대자산!$I$3:$I$3000,0),MATCH(E$3,임대자산!$D$3:$R$3,0)),
IF($D340="폐업",INDEX(폐업정보!$D$3:$R$3000,MATCH($F340,폐업정보!$I$3:$I$3000,0),MATCH(E$3,폐업정보!$D$3:$R$3,0)),
"Error"))</f>
        <v>경상</v>
      </c>
      <c r="F34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B0335</v>
      </c>
      <c r="G340" s="76" t="str">
        <f aca="false">F340&amp;RANDBETWEEN(0,10)</f>
        <v>B03353</v>
      </c>
      <c r="H340" s="75" t="n">
        <f aca="false">
IF($D340="정상",INDEX(임대자산!$D$3:$R$3000,MATCH($F340,임대자산!$I$3:$I$3000,0),MATCH(H$4,임대자산!$D$3:$R$3,0)),
IF($D340="폐업",INDEX(폐업정보!$D$3:$R$3000,MATCH($F340,폐업정보!$I$3:$I$3000,0),MATCH(H$4,폐업정보!$D$3:$R$3,0)),
"Error"))</f>
        <v>45328</v>
      </c>
      <c r="I340" s="75" t="str">
        <f aca="false">
IF($D340="정상",INDEX(임대자산!$D$3:$R$3000,MATCH($F340,임대자산!$I$3:$I$3000,0),MATCH(I$4,임대자산!$D$3:$R$3,0)),
IF($D340="폐업",INDEX(폐업정보!$D$3:$R$3000,MATCH($F340,폐업정보!$I$3:$I$3000,0),MATCH(I$4,폐업정보!$D$3:$R$3,0)),
"Error"))</f>
        <v>A0335</v>
      </c>
      <c r="J340" s="75" t="str">
        <f aca="false">
IF($D340="정상",INDEX(임대자산!$D$3:$R$3000,MATCH($F340,임대자산!$I$3:$I$3000,0),MATCH(J$4,임대자산!$D$3:$R$3,0)),
IF($D340="폐업",INDEX(폐업정보!$D$3:$R$3000,MATCH($F340,폐업정보!$I$3:$I$3000,0),MATCH(J$4,폐업정보!$D$3:$R$3,0)),
"Error"))</f>
        <v>4788000000</v>
      </c>
      <c r="K340" s="75" t="str">
        <f aca="false">
IF($D340="정상",INDEX(임대자산!$D$3:$R$3000,MATCH($F340,임대자산!$I$3:$I$3000,0),MATCH(K$4,임대자산!$D$3:$R$3,0)),
IF($D340="폐업",INDEX(폐업정보!$D$3:$R$3000,MATCH($F340,폐업정보!$I$3:$I$3000,0),MATCH(K$4,폐업정보!$D$3:$R$3,0)),
"Error"))</f>
        <v>C0335</v>
      </c>
      <c r="L340" s="75" t="str">
        <f aca="false">
IF($D340="정상",INDEX(임대자산!$D$3:$R$3000,MATCH($F340,임대자산!$I$3:$I$3000,0),MATCH(L$4,임대자산!$D$3:$R$3,0)),
IF($D340="폐업",INDEX(폐업정보!$D$3:$R$3000,MATCH($F340,폐업정보!$I$3:$I$3000,0),MATCH(L$4,폐업정보!$D$3:$R$3,0)),
"Error"))</f>
        <v>D0335</v>
      </c>
      <c r="M340" s="76" t="s">
        <v>96</v>
      </c>
      <c r="N340" s="77"/>
      <c r="O340" s="78" t="s">
        <v>97</v>
      </c>
      <c r="P340" s="79" t="n">
        <f aca="false">COUNTIFS(임대자산!$I:$I,가맹점정보!F340,임대자산!$N:$N,가맹점정보!P$4)</f>
        <v>0</v>
      </c>
      <c r="Q340" s="80" t="n">
        <f aca="false">COUNTIFS(임대자산!$I:$I,가맹점정보!F340,임대자산!$N:$N,가맹점정보!Q$4)</f>
        <v>0</v>
      </c>
      <c r="R340" s="81" t="n">
        <f aca="false">COUNTIFS(임대자산!$I:$I,가맹점정보!F340,임대자산!$N:$N,가맹점정보!R$4)</f>
        <v>1</v>
      </c>
      <c r="S340" s="82" t="n">
        <v>55000</v>
      </c>
      <c r="T340" s="83" t="n">
        <v>0</v>
      </c>
      <c r="U340" s="80" t="n">
        <f aca="false">SUM(S340:T340)</f>
        <v>55000</v>
      </c>
      <c r="V340" s="84" t="s">
        <v>7</v>
      </c>
      <c r="W340" s="80" t="str">
        <f aca="true">
IF(D340="폐업","폐업",
IF(V340="면제","면제",
IF(AND(V340="정상",COUNTIFS(OFFSET(Y340,0,COUNTA(Y340:AV340)-1,1,-4),"미납")&gt;=3),"장기미납",
IF(AND(V340="정상",OFFSET(Y340,0,COUNTA(Y340:AV340)-1)&gt;=U340),"정상",
IF(AND(V340="정상",OFFSET(Y340,0,COUNTA(Y340:AV340)-1)=0),"정상",
"계약서 미작성")))))</f>
        <v>면제</v>
      </c>
      <c r="X340" s="81" t="str">
        <f aca="true">
IF(D340="폐업","폐업",
IF(AND(V340="정상",OFFSET(Y340,0,COUNTA(Y340:AV340)-1)="미납"),"미납",
IF(AND(V340="정상",OFFSET(Y340,0,COUNTA(Y340:AV340)-1)=0),"납부 시작 전",
IF(AND(V340="정상",OFFSET(Y340,0,COUNTA(Y340:AV340)-1)&gt;=U340),"정상",
IF(AND(V340="면제",OFFSET(Y340,0,COUNTA(Y340:AV340)-1)="면제"),"면제",
IF(AND(V340="면제",OFFSET(Y340,0,COUNTA(Y340:AV340)-1)=0),"면제",
"확인요청"))))))</f>
        <v>면제</v>
      </c>
      <c r="Y340" s="94" t="s">
        <v>7</v>
      </c>
      <c r="Z340" s="95" t="s">
        <v>7</v>
      </c>
      <c r="AA340" s="95" t="s">
        <v>7</v>
      </c>
      <c r="AB340" s="95" t="s">
        <v>7</v>
      </c>
      <c r="AC340" s="95" t="s">
        <v>7</v>
      </c>
      <c r="AD340" s="95" t="s">
        <v>7</v>
      </c>
      <c r="AE340" s="95" t="s">
        <v>7</v>
      </c>
      <c r="AF340" s="95" t="s">
        <v>7</v>
      </c>
      <c r="AG340" s="95" t="s">
        <v>7</v>
      </c>
      <c r="AH340" s="95" t="s">
        <v>7</v>
      </c>
      <c r="AI340" s="95" t="s">
        <v>7</v>
      </c>
      <c r="AJ340" s="96" t="s">
        <v>7</v>
      </c>
      <c r="AK340" s="97" t="s">
        <v>7</v>
      </c>
      <c r="AL340" s="95" t="s">
        <v>7</v>
      </c>
      <c r="AM340" s="90"/>
      <c r="AN340" s="90"/>
      <c r="AO340" s="90"/>
      <c r="AP340" s="90"/>
      <c r="AQ340" s="90"/>
      <c r="AR340" s="90"/>
      <c r="AS340" s="90"/>
      <c r="AT340" s="90"/>
      <c r="AU340" s="90"/>
      <c r="AV340" s="91"/>
      <c r="AX340" s="92"/>
    </row>
    <row r="341" customFormat="false" ht="15.65" hidden="false" customHeight="false" outlineLevel="0" collapsed="false">
      <c r="C341" s="72" t="n">
        <f aca="false">COUNTIFS($D$6:D341,"&lt;&gt;"&amp;"")</f>
        <v>336</v>
      </c>
      <c r="D341" s="73" t="s">
        <v>12</v>
      </c>
      <c r="E341" s="76" t="str">
        <f aca="false">
IF($D341="정상",INDEX(임대자산!$D$3:$R$3000,MATCH($F341,임대자산!$I$3:$I$3000,0),MATCH(E$3,임대자산!$D$3:$R$3,0)),
IF($D341="폐업",INDEX(폐업정보!$D$3:$R$3000,MATCH($F341,폐업정보!$I$3:$I$3000,0),MATCH(E$3,폐업정보!$D$3:$R$3,0)),
"Error"))</f>
        <v>경상</v>
      </c>
      <c r="F34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B0336</v>
      </c>
      <c r="G341" s="76" t="str">
        <f aca="false">F341&amp;RANDBETWEEN(0,10)</f>
        <v>B03362</v>
      </c>
      <c r="H341" s="75" t="n">
        <f aca="false">
IF($D341="정상",INDEX(임대자산!$D$3:$R$3000,MATCH($F341,임대자산!$I$3:$I$3000,0),MATCH(H$4,임대자산!$D$3:$R$3,0)),
IF($D341="폐업",INDEX(폐업정보!$D$3:$R$3000,MATCH($F341,폐업정보!$I$3:$I$3000,0),MATCH(H$4,폐업정보!$D$3:$R$3,0)),
"Error"))</f>
        <v>45328</v>
      </c>
      <c r="I341" s="75" t="str">
        <f aca="false">
IF($D341="정상",INDEX(임대자산!$D$3:$R$3000,MATCH($F341,임대자산!$I$3:$I$3000,0),MATCH(I$4,임대자산!$D$3:$R$3,0)),
IF($D341="폐업",INDEX(폐업정보!$D$3:$R$3000,MATCH($F341,폐업정보!$I$3:$I$3000,0),MATCH(I$4,폐업정보!$D$3:$R$3,0)),
"Error"))</f>
        <v>A0336</v>
      </c>
      <c r="J341" s="75" t="str">
        <f aca="false">
IF($D341="정상",INDEX(임대자산!$D$3:$R$3000,MATCH($F341,임대자산!$I$3:$I$3000,0),MATCH(J$4,임대자산!$D$3:$R$3,0)),
IF($D341="폐업",INDEX(폐업정보!$D$3:$R$3000,MATCH($F341,폐업정보!$I$3:$I$3000,0),MATCH(J$4,폐업정보!$D$3:$R$3,0)),
"Error"))</f>
        <v>9231800000</v>
      </c>
      <c r="K341" s="75" t="str">
        <f aca="false">
IF($D341="정상",INDEX(임대자산!$D$3:$R$3000,MATCH($F341,임대자산!$I$3:$I$3000,0),MATCH(K$4,임대자산!$D$3:$R$3,0)),
IF($D341="폐업",INDEX(폐업정보!$D$3:$R$3000,MATCH($F341,폐업정보!$I$3:$I$3000,0),MATCH(K$4,폐업정보!$D$3:$R$3,0)),
"Error"))</f>
        <v>C0336</v>
      </c>
      <c r="L341" s="75" t="str">
        <f aca="false">
IF($D341="정상",INDEX(임대자산!$D$3:$R$3000,MATCH($F341,임대자산!$I$3:$I$3000,0),MATCH(L$4,임대자산!$D$3:$R$3,0)),
IF($D341="폐업",INDEX(폐업정보!$D$3:$R$3000,MATCH($F341,폐업정보!$I$3:$I$3000,0),MATCH(L$4,폐업정보!$D$3:$R$3,0)),
"Error"))</f>
        <v>D0336</v>
      </c>
      <c r="M341" s="76" t="s">
        <v>96</v>
      </c>
      <c r="N341" s="77"/>
      <c r="O341" s="78" t="s">
        <v>97</v>
      </c>
      <c r="P341" s="79" t="n">
        <f aca="false">COUNTIFS(임대자산!$I:$I,가맹점정보!F341,임대자산!$N:$N,가맹점정보!P$4)</f>
        <v>0</v>
      </c>
      <c r="Q341" s="80" t="n">
        <f aca="false">COUNTIFS(임대자산!$I:$I,가맹점정보!F341,임대자산!$N:$N,가맹점정보!Q$4)</f>
        <v>0</v>
      </c>
      <c r="R341" s="81" t="n">
        <f aca="false">COUNTIFS(임대자산!$I:$I,가맹점정보!F341,임대자산!$N:$N,가맹점정보!R$4)</f>
        <v>1</v>
      </c>
      <c r="S341" s="82" t="n">
        <v>55000</v>
      </c>
      <c r="T341" s="83" t="n">
        <v>0</v>
      </c>
      <c r="U341" s="80" t="n">
        <f aca="false">SUM(S341:T341)</f>
        <v>55000</v>
      </c>
      <c r="V341" s="84" t="s">
        <v>7</v>
      </c>
      <c r="W341" s="80" t="str">
        <f aca="true">
IF(D341="폐업","폐업",
IF(V341="면제","면제",
IF(AND(V341="정상",COUNTIFS(OFFSET(Y341,0,COUNTA(Y341:AV341)-1,1,-4),"미납")&gt;=3),"장기미납",
IF(AND(V341="정상",OFFSET(Y341,0,COUNTA(Y341:AV341)-1)&gt;=U341),"정상",
IF(AND(V341="정상",OFFSET(Y341,0,COUNTA(Y341:AV341)-1)=0),"정상",
"계약서 미작성")))))</f>
        <v>면제</v>
      </c>
      <c r="X341" s="81" t="str">
        <f aca="true">
IF(D341="폐업","폐업",
IF(AND(V341="정상",OFFSET(Y341,0,COUNTA(Y341:AV341)-1)="미납"),"미납",
IF(AND(V341="정상",OFFSET(Y341,0,COUNTA(Y341:AV341)-1)=0),"납부 시작 전",
IF(AND(V341="정상",OFFSET(Y341,0,COUNTA(Y341:AV341)-1)&gt;=U341),"정상",
IF(AND(V341="면제",OFFSET(Y341,0,COUNTA(Y341:AV341)-1)="면제"),"면제",
IF(AND(V341="면제",OFFSET(Y341,0,COUNTA(Y341:AV341)-1)=0),"면제",
"확인요청"))))))</f>
        <v>면제</v>
      </c>
      <c r="Y341" s="94" t="s">
        <v>7</v>
      </c>
      <c r="Z341" s="95" t="s">
        <v>7</v>
      </c>
      <c r="AA341" s="95" t="s">
        <v>7</v>
      </c>
      <c r="AB341" s="95" t="s">
        <v>7</v>
      </c>
      <c r="AC341" s="95" t="s">
        <v>7</v>
      </c>
      <c r="AD341" s="95" t="s">
        <v>7</v>
      </c>
      <c r="AE341" s="95" t="s">
        <v>7</v>
      </c>
      <c r="AF341" s="95" t="s">
        <v>7</v>
      </c>
      <c r="AG341" s="95" t="s">
        <v>7</v>
      </c>
      <c r="AH341" s="95" t="s">
        <v>7</v>
      </c>
      <c r="AI341" s="95" t="s">
        <v>7</v>
      </c>
      <c r="AJ341" s="96" t="s">
        <v>7</v>
      </c>
      <c r="AK341" s="97" t="s">
        <v>7</v>
      </c>
      <c r="AL341" s="95" t="s">
        <v>7</v>
      </c>
      <c r="AM341" s="90"/>
      <c r="AN341" s="90"/>
      <c r="AO341" s="90"/>
      <c r="AP341" s="90"/>
      <c r="AQ341" s="90"/>
      <c r="AR341" s="90"/>
      <c r="AS341" s="90"/>
      <c r="AT341" s="90"/>
      <c r="AU341" s="90"/>
      <c r="AV341" s="91"/>
      <c r="AX341" s="92"/>
    </row>
    <row r="342" customFormat="false" ht="15.65" hidden="false" customHeight="false" outlineLevel="0" collapsed="false">
      <c r="C342" s="72" t="n">
        <f aca="false">COUNTIFS($D$6:D342,"&lt;&gt;"&amp;"")</f>
        <v>337</v>
      </c>
      <c r="D342" s="73" t="s">
        <v>12</v>
      </c>
      <c r="E342" s="76" t="str">
        <f aca="false">
IF($D342="정상",INDEX(임대자산!$D$3:$R$3000,MATCH($F342,임대자산!$I$3:$I$3000,0),MATCH(E$3,임대자산!$D$3:$R$3,0)),
IF($D342="폐업",INDEX(폐업정보!$D$3:$R$3000,MATCH($F342,폐업정보!$I$3:$I$3000,0),MATCH(E$3,폐업정보!$D$3:$R$3,0)),
"Error"))</f>
        <v>경기</v>
      </c>
      <c r="F34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B0337</v>
      </c>
      <c r="G342" s="76" t="str">
        <f aca="false">F342&amp;RANDBETWEEN(0,10)</f>
        <v>B03379</v>
      </c>
      <c r="H342" s="75" t="n">
        <f aca="false">
IF($D342="정상",INDEX(임대자산!$D$3:$R$3000,MATCH($F342,임대자산!$I$3:$I$3000,0),MATCH(H$4,임대자산!$D$3:$R$3,0)),
IF($D342="폐업",INDEX(폐업정보!$D$3:$R$3000,MATCH($F342,폐업정보!$I$3:$I$3000,0),MATCH(H$4,폐업정보!$D$3:$R$3,0)),
"Error"))</f>
        <v>45758</v>
      </c>
      <c r="I342" s="75" t="str">
        <f aca="false">
IF($D342="정상",INDEX(임대자산!$D$3:$R$3000,MATCH($F342,임대자산!$I$3:$I$3000,0),MATCH(I$4,임대자산!$D$3:$R$3,0)),
IF($D342="폐업",INDEX(폐업정보!$D$3:$R$3000,MATCH($F342,폐업정보!$I$3:$I$3000,0),MATCH(I$4,폐업정보!$D$3:$R$3,0)),
"Error"))</f>
        <v>A0337</v>
      </c>
      <c r="J342" s="75" t="str">
        <f aca="false">
IF($D342="정상",INDEX(임대자산!$D$3:$R$3000,MATCH($F342,임대자산!$I$3:$I$3000,0),MATCH(J$4,임대자산!$D$3:$R$3,0)),
IF($D342="폐업",INDEX(폐업정보!$D$3:$R$3000,MATCH($F342,폐업정보!$I$3:$I$3000,0),MATCH(J$4,폐업정보!$D$3:$R$3,0)),
"Error"))</f>
        <v>6450000000</v>
      </c>
      <c r="K342" s="75" t="str">
        <f aca="false">
IF($D342="정상",INDEX(임대자산!$D$3:$R$3000,MATCH($F342,임대자산!$I$3:$I$3000,0),MATCH(K$4,임대자산!$D$3:$R$3,0)),
IF($D342="폐업",INDEX(폐업정보!$D$3:$R$3000,MATCH($F342,폐업정보!$I$3:$I$3000,0),MATCH(K$4,폐업정보!$D$3:$R$3,0)),
"Error"))</f>
        <v>C0337</v>
      </c>
      <c r="L342" s="75" t="str">
        <f aca="false">
IF($D342="정상",INDEX(임대자산!$D$3:$R$3000,MATCH($F342,임대자산!$I$3:$I$3000,0),MATCH(L$4,임대자산!$D$3:$R$3,0)),
IF($D342="폐업",INDEX(폐업정보!$D$3:$R$3000,MATCH($F342,폐업정보!$I$3:$I$3000,0),MATCH(L$4,폐업정보!$D$3:$R$3,0)),
"Error"))</f>
        <v>D0337</v>
      </c>
      <c r="M342" s="76" t="s">
        <v>96</v>
      </c>
      <c r="N342" s="77"/>
      <c r="O342" s="78" t="s">
        <v>97</v>
      </c>
      <c r="P342" s="79" t="n">
        <f aca="false">COUNTIFS(임대자산!$I:$I,가맹점정보!F342,임대자산!$N:$N,가맹점정보!P$4)</f>
        <v>0</v>
      </c>
      <c r="Q342" s="80" t="n">
        <f aca="false">COUNTIFS(임대자산!$I:$I,가맹점정보!F342,임대자산!$N:$N,가맹점정보!Q$4)</f>
        <v>0</v>
      </c>
      <c r="R342" s="81" t="n">
        <f aca="false">COUNTIFS(임대자산!$I:$I,가맹점정보!F342,임대자산!$N:$N,가맹점정보!R$4)</f>
        <v>1</v>
      </c>
      <c r="S342" s="82" t="n">
        <v>55000</v>
      </c>
      <c r="T342" s="83" t="n">
        <v>0</v>
      </c>
      <c r="U342" s="80" t="n">
        <f aca="false">SUM(S342:T342)</f>
        <v>55000</v>
      </c>
      <c r="V342" s="84" t="s">
        <v>7</v>
      </c>
      <c r="W342" s="80" t="str">
        <f aca="true">
IF(D342="폐업","폐업",
IF(V342="면제","면제",
IF(AND(V342="정상",COUNTIFS(OFFSET(Y342,0,COUNTA(Y342:AV342)-1,1,-4),"미납")&gt;=3),"장기미납",
IF(AND(V342="정상",OFFSET(Y342,0,COUNTA(Y342:AV342)-1)&gt;=U342),"정상",
IF(AND(V342="정상",OFFSET(Y342,0,COUNTA(Y342:AV342)-1)=0),"정상",
"계약서 미작성")))))</f>
        <v>면제</v>
      </c>
      <c r="X342" s="81" t="str">
        <f aca="true">
IF(D342="폐업","폐업",
IF(AND(V342="정상",OFFSET(Y342,0,COUNTA(Y342:AV342)-1)="미납"),"미납",
IF(AND(V342="정상",OFFSET(Y342,0,COUNTA(Y342:AV342)-1)=0),"납부 시작 전",
IF(AND(V342="정상",OFFSET(Y342,0,COUNTA(Y342:AV342)-1)&gt;=U342),"정상",
IF(AND(V342="면제",OFFSET(Y342,0,COUNTA(Y342:AV342)-1)="면제"),"면제",
IF(AND(V342="면제",OFFSET(Y342,0,COUNTA(Y342:AV342)-1)=0),"면제",
"확인요청"))))))</f>
        <v>면제</v>
      </c>
      <c r="Y342" s="94" t="s">
        <v>7</v>
      </c>
      <c r="Z342" s="95" t="s">
        <v>7</v>
      </c>
      <c r="AA342" s="95" t="s">
        <v>7</v>
      </c>
      <c r="AB342" s="95" t="s">
        <v>7</v>
      </c>
      <c r="AC342" s="95" t="s">
        <v>7</v>
      </c>
      <c r="AD342" s="95" t="s">
        <v>7</v>
      </c>
      <c r="AE342" s="95" t="s">
        <v>7</v>
      </c>
      <c r="AF342" s="95" t="s">
        <v>7</v>
      </c>
      <c r="AG342" s="95" t="s">
        <v>7</v>
      </c>
      <c r="AH342" s="95" t="s">
        <v>7</v>
      </c>
      <c r="AI342" s="95" t="s">
        <v>7</v>
      </c>
      <c r="AJ342" s="96" t="s">
        <v>7</v>
      </c>
      <c r="AK342" s="97" t="s">
        <v>7</v>
      </c>
      <c r="AL342" s="95" t="s">
        <v>7</v>
      </c>
      <c r="AM342" s="90"/>
      <c r="AN342" s="90"/>
      <c r="AO342" s="90"/>
      <c r="AP342" s="90"/>
      <c r="AQ342" s="90"/>
      <c r="AR342" s="90"/>
      <c r="AS342" s="90"/>
      <c r="AT342" s="90"/>
      <c r="AU342" s="90"/>
      <c r="AV342" s="91"/>
      <c r="AX342" s="92"/>
    </row>
    <row r="343" customFormat="false" ht="15.65" hidden="false" customHeight="false" outlineLevel="0" collapsed="false">
      <c r="C343" s="72" t="n">
        <f aca="false">COUNTIFS($D$6:D343,"&lt;&gt;"&amp;"")</f>
        <v>338</v>
      </c>
      <c r="D343" s="73" t="s">
        <v>12</v>
      </c>
      <c r="E343" s="76" t="str">
        <f aca="false">
IF($D343="정상",INDEX(임대자산!$D$3:$R$3000,MATCH($F343,임대자산!$I$3:$I$3000,0),MATCH(E$3,임대자산!$D$3:$R$3,0)),
IF($D343="폐업",INDEX(폐업정보!$D$3:$R$3000,MATCH($F343,폐업정보!$I$3:$I$3000,0),MATCH(E$3,폐업정보!$D$3:$R$3,0)),
"Error"))</f>
        <v>경기</v>
      </c>
      <c r="F34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B0338</v>
      </c>
      <c r="G343" s="76" t="str">
        <f aca="false">F343&amp;RANDBETWEEN(0,10)</f>
        <v>B03388</v>
      </c>
      <c r="H343" s="75" t="n">
        <f aca="false">
IF($D343="정상",INDEX(임대자산!$D$3:$R$3000,MATCH($F343,임대자산!$I$3:$I$3000,0),MATCH(H$4,임대자산!$D$3:$R$3,0)),
IF($D343="폐업",INDEX(폐업정보!$D$3:$R$3000,MATCH($F343,폐업정보!$I$3:$I$3000,0),MATCH(H$4,폐업정보!$D$3:$R$3,0)),
"Error"))</f>
        <v>45741</v>
      </c>
      <c r="I343" s="75" t="str">
        <f aca="false">
IF($D343="정상",INDEX(임대자산!$D$3:$R$3000,MATCH($F343,임대자산!$I$3:$I$3000,0),MATCH(I$4,임대자산!$D$3:$R$3,0)),
IF($D343="폐업",INDEX(폐업정보!$D$3:$R$3000,MATCH($F343,폐업정보!$I$3:$I$3000,0),MATCH(I$4,폐업정보!$D$3:$R$3,0)),
"Error"))</f>
        <v>A0338</v>
      </c>
      <c r="J343" s="75" t="str">
        <f aca="false">
IF($D343="정상",INDEX(임대자산!$D$3:$R$3000,MATCH($F343,임대자산!$I$3:$I$3000,0),MATCH(J$4,임대자산!$D$3:$R$3,0)),
IF($D343="폐업",INDEX(폐업정보!$D$3:$R$3000,MATCH($F343,폐업정보!$I$3:$I$3000,0),MATCH(J$4,폐업정보!$D$3:$R$3,0)),
"Error"))</f>
        <v>5353300000</v>
      </c>
      <c r="K343" s="75" t="str">
        <f aca="false">
IF($D343="정상",INDEX(임대자산!$D$3:$R$3000,MATCH($F343,임대자산!$I$3:$I$3000,0),MATCH(K$4,임대자산!$D$3:$R$3,0)),
IF($D343="폐업",INDEX(폐업정보!$D$3:$R$3000,MATCH($F343,폐업정보!$I$3:$I$3000,0),MATCH(K$4,폐업정보!$D$3:$R$3,0)),
"Error"))</f>
        <v>C0338</v>
      </c>
      <c r="L343" s="75" t="str">
        <f aca="false">
IF($D343="정상",INDEX(임대자산!$D$3:$R$3000,MATCH($F343,임대자산!$I$3:$I$3000,0),MATCH(L$4,임대자산!$D$3:$R$3,0)),
IF($D343="폐업",INDEX(폐업정보!$D$3:$R$3000,MATCH($F343,폐업정보!$I$3:$I$3000,0),MATCH(L$4,폐업정보!$D$3:$R$3,0)),
"Error"))</f>
        <v>D0338</v>
      </c>
      <c r="M343" s="76" t="s">
        <v>96</v>
      </c>
      <c r="N343" s="77"/>
      <c r="O343" s="78" t="s">
        <v>97</v>
      </c>
      <c r="P343" s="79" t="n">
        <f aca="false">COUNTIFS(임대자산!$I:$I,가맹점정보!F343,임대자산!$N:$N,가맹점정보!P$4)</f>
        <v>0</v>
      </c>
      <c r="Q343" s="80" t="n">
        <f aca="false">COUNTIFS(임대자산!$I:$I,가맹점정보!F343,임대자산!$N:$N,가맹점정보!Q$4)</f>
        <v>0</v>
      </c>
      <c r="R343" s="81" t="n">
        <f aca="false">COUNTIFS(임대자산!$I:$I,가맹점정보!F343,임대자산!$N:$N,가맹점정보!R$4)</f>
        <v>1</v>
      </c>
      <c r="S343" s="82" t="n">
        <v>55000</v>
      </c>
      <c r="T343" s="83" t="n">
        <v>0</v>
      </c>
      <c r="U343" s="80" t="n">
        <f aca="false">SUM(S343:T343)</f>
        <v>55000</v>
      </c>
      <c r="V343" s="84" t="s">
        <v>12</v>
      </c>
      <c r="W343" s="80" t="e">
        <f aca="true">
IF(D343="폐업","폐업",
IF(V343="면제","면제",
IF(AND(V343="정상",COUNTIFS(OFFSET(Y343,0,COUNTA(Y343:AV343)-1,1,-4),"미납")&gt;=3),"장기미납",
IF(AND(V343="정상",OFFSET(Y343,0,COUNTA(Y343:AV343)-1)&gt;=U343),"정상",
IF(AND(V343="정상",OFFSET(Y343,0,COUNTA(Y343:AV343)-1)=0),"정상",
"계약서 미작성")))))</f>
        <v>#VALUE!</v>
      </c>
      <c r="X343" s="81" t="str">
        <f aca="true">
IF(D343="폐업","폐업",
IF(AND(V343="정상",OFFSET(Y343,0,COUNTA(Y343:AV343)-1)="미납"),"미납",
IF(AND(V343="정상",OFFSET(Y343,0,COUNTA(Y343:AV343)-1)=0),"납부 시작 전",
IF(AND(V343="정상",OFFSET(Y343,0,COUNTA(Y343:AV343)-1)&gt;=U343),"정상",
IF(AND(V343="면제",OFFSET(Y343,0,COUNTA(Y343:AV343)-1)="면제"),"면제",
IF(AND(V343="면제",OFFSET(Y343,0,COUNTA(Y343:AV343)-1)=0),"면제",
"확인요청"))))))</f>
        <v>정상</v>
      </c>
      <c r="Y343" s="93" t="n">
        <v>55000</v>
      </c>
      <c r="Z343" s="90" t="n">
        <v>55000</v>
      </c>
      <c r="AA343" s="90" t="n">
        <v>55000</v>
      </c>
      <c r="AB343" s="90" t="n">
        <v>55000</v>
      </c>
      <c r="AC343" s="90" t="n">
        <v>55000</v>
      </c>
      <c r="AD343" s="90" t="n">
        <v>55000</v>
      </c>
      <c r="AE343" s="90" t="n">
        <v>55000</v>
      </c>
      <c r="AF343" s="90" t="n">
        <v>55000</v>
      </c>
      <c r="AG343" s="90" t="n">
        <v>55000</v>
      </c>
      <c r="AH343" s="90" t="n">
        <v>55000</v>
      </c>
      <c r="AI343" s="90" t="n">
        <v>55000</v>
      </c>
      <c r="AJ343" s="91" t="n">
        <v>55000</v>
      </c>
      <c r="AK343" s="89" t="n">
        <v>55000</v>
      </c>
      <c r="AL343" s="90" t="n">
        <v>55000</v>
      </c>
      <c r="AM343" s="90"/>
      <c r="AN343" s="90"/>
      <c r="AO343" s="90"/>
      <c r="AP343" s="90"/>
      <c r="AQ343" s="90"/>
      <c r="AR343" s="90"/>
      <c r="AS343" s="90"/>
      <c r="AT343" s="90"/>
      <c r="AU343" s="90"/>
      <c r="AV343" s="91"/>
      <c r="AX343" s="92"/>
    </row>
    <row r="344" customFormat="false" ht="15.65" hidden="false" customHeight="false" outlineLevel="0" collapsed="false">
      <c r="C344" s="72" t="n">
        <f aca="false">COUNTIFS($D$6:D344,"&lt;&gt;"&amp;"")</f>
        <v>339</v>
      </c>
      <c r="D344" s="73" t="s">
        <v>12</v>
      </c>
      <c r="E344" s="76" t="str">
        <f aca="false">
IF($D344="정상",INDEX(임대자산!$D$3:$R$3000,MATCH($F344,임대자산!$I$3:$I$3000,0),MATCH(E$3,임대자산!$D$3:$R$3,0)),
IF($D344="폐업",INDEX(폐업정보!$D$3:$R$3000,MATCH($F344,폐업정보!$I$3:$I$3000,0),MATCH(E$3,폐업정보!$D$3:$R$3,0)),
"Error"))</f>
        <v>경상</v>
      </c>
      <c r="F34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B0339</v>
      </c>
      <c r="G344" s="76" t="str">
        <f aca="false">F344&amp;RANDBETWEEN(0,10)</f>
        <v>B03393</v>
      </c>
      <c r="H344" s="75" t="n">
        <f aca="false">
IF($D344="정상",INDEX(임대자산!$D$3:$R$3000,MATCH($F344,임대자산!$I$3:$I$3000,0),MATCH(H$4,임대자산!$D$3:$R$3,0)),
IF($D344="폐업",INDEX(폐업정보!$D$3:$R$3000,MATCH($F344,폐업정보!$I$3:$I$3000,0),MATCH(H$4,폐업정보!$D$3:$R$3,0)),
"Error"))</f>
        <v>45317</v>
      </c>
      <c r="I344" s="75" t="str">
        <f aca="false">
IF($D344="정상",INDEX(임대자산!$D$3:$R$3000,MATCH($F344,임대자산!$I$3:$I$3000,0),MATCH(I$4,임대자산!$D$3:$R$3,0)),
IF($D344="폐업",INDEX(폐업정보!$D$3:$R$3000,MATCH($F344,폐업정보!$I$3:$I$3000,0),MATCH(I$4,폐업정보!$D$3:$R$3,0)),
"Error"))</f>
        <v>A0339</v>
      </c>
      <c r="J344" s="75" t="str">
        <f aca="false">
IF($D344="정상",INDEX(임대자산!$D$3:$R$3000,MATCH($F344,임대자산!$I$3:$I$3000,0),MATCH(J$4,임대자산!$D$3:$R$3,0)),
IF($D344="폐업",INDEX(폐업정보!$D$3:$R$3000,MATCH($F344,폐업정보!$I$3:$I$3000,0),MATCH(J$4,폐업정보!$D$3:$R$3,0)),
"Error"))</f>
        <v>9633700000</v>
      </c>
      <c r="K344" s="75" t="str">
        <f aca="false">
IF($D344="정상",INDEX(임대자산!$D$3:$R$3000,MATCH($F344,임대자산!$I$3:$I$3000,0),MATCH(K$4,임대자산!$D$3:$R$3,0)),
IF($D344="폐업",INDEX(폐업정보!$D$3:$R$3000,MATCH($F344,폐업정보!$I$3:$I$3000,0),MATCH(K$4,폐업정보!$D$3:$R$3,0)),
"Error"))</f>
        <v>C0339</v>
      </c>
      <c r="L344" s="75" t="str">
        <f aca="false">
IF($D344="정상",INDEX(임대자산!$D$3:$R$3000,MATCH($F344,임대자산!$I$3:$I$3000,0),MATCH(L$4,임대자산!$D$3:$R$3,0)),
IF($D344="폐업",INDEX(폐업정보!$D$3:$R$3000,MATCH($F344,폐업정보!$I$3:$I$3000,0),MATCH(L$4,폐업정보!$D$3:$R$3,0)),
"Error"))</f>
        <v>D0339</v>
      </c>
      <c r="M344" s="76" t="s">
        <v>96</v>
      </c>
      <c r="N344" s="77"/>
      <c r="O344" s="78" t="s">
        <v>97</v>
      </c>
      <c r="P344" s="79" t="n">
        <f aca="false">COUNTIFS(임대자산!$I:$I,가맹점정보!F344,임대자산!$N:$N,가맹점정보!P$4)</f>
        <v>0</v>
      </c>
      <c r="Q344" s="80" t="n">
        <f aca="false">COUNTIFS(임대자산!$I:$I,가맹점정보!F344,임대자산!$N:$N,가맹점정보!Q$4)</f>
        <v>0</v>
      </c>
      <c r="R344" s="81" t="n">
        <f aca="false">COUNTIFS(임대자산!$I:$I,가맹점정보!F344,임대자산!$N:$N,가맹점정보!R$4)</f>
        <v>1</v>
      </c>
      <c r="S344" s="82" t="n">
        <v>88000</v>
      </c>
      <c r="T344" s="83" t="n">
        <v>0</v>
      </c>
      <c r="U344" s="80" t="n">
        <f aca="false">SUM(S344:T344)</f>
        <v>88000</v>
      </c>
      <c r="V344" s="84" t="s">
        <v>7</v>
      </c>
      <c r="W344" s="80" t="str">
        <f aca="true">
IF(D344="폐업","폐업",
IF(V344="면제","면제",
IF(AND(V344="정상",COUNTIFS(OFFSET(Y344,0,COUNTA(Y344:AV344)-1,1,-4),"미납")&gt;=3),"장기미납",
IF(AND(V344="정상",OFFSET(Y344,0,COUNTA(Y344:AV344)-1)&gt;=U344),"정상",
IF(AND(V344="정상",OFFSET(Y344,0,COUNTA(Y344:AV344)-1)=0),"정상",
"계약서 미작성")))))</f>
        <v>면제</v>
      </c>
      <c r="X344" s="81" t="str">
        <f aca="true">
IF(D344="폐업","폐업",
IF(AND(V344="정상",OFFSET(Y344,0,COUNTA(Y344:AV344)-1)="미납"),"미납",
IF(AND(V344="정상",OFFSET(Y344,0,COUNTA(Y344:AV344)-1)=0),"납부 시작 전",
IF(AND(V344="정상",OFFSET(Y344,0,COUNTA(Y344:AV344)-1)&gt;=U344),"정상",
IF(AND(V344="면제",OFFSET(Y344,0,COUNTA(Y344:AV344)-1)="면제"),"면제",
IF(AND(V344="면제",OFFSET(Y344,0,COUNTA(Y344:AV344)-1)=0),"면제",
"확인요청"))))))</f>
        <v>면제</v>
      </c>
      <c r="Y344" s="94" t="s">
        <v>7</v>
      </c>
      <c r="Z344" s="95" t="s">
        <v>7</v>
      </c>
      <c r="AA344" s="95" t="s">
        <v>7</v>
      </c>
      <c r="AB344" s="95" t="s">
        <v>7</v>
      </c>
      <c r="AC344" s="95" t="s">
        <v>7</v>
      </c>
      <c r="AD344" s="95" t="s">
        <v>7</v>
      </c>
      <c r="AE344" s="95" t="s">
        <v>7</v>
      </c>
      <c r="AF344" s="95" t="s">
        <v>7</v>
      </c>
      <c r="AG344" s="95" t="s">
        <v>7</v>
      </c>
      <c r="AH344" s="95" t="s">
        <v>7</v>
      </c>
      <c r="AI344" s="95" t="s">
        <v>7</v>
      </c>
      <c r="AJ344" s="96" t="s">
        <v>7</v>
      </c>
      <c r="AK344" s="97" t="s">
        <v>7</v>
      </c>
      <c r="AL344" s="95" t="s">
        <v>7</v>
      </c>
      <c r="AM344" s="90"/>
      <c r="AN344" s="90"/>
      <c r="AO344" s="90"/>
      <c r="AP344" s="90"/>
      <c r="AQ344" s="90"/>
      <c r="AR344" s="90"/>
      <c r="AS344" s="90"/>
      <c r="AT344" s="90"/>
      <c r="AU344" s="90"/>
      <c r="AV344" s="91"/>
      <c r="AX344" s="92"/>
    </row>
    <row r="345" customFormat="false" ht="15.65" hidden="false" customHeight="false" outlineLevel="0" collapsed="false">
      <c r="C345" s="72" t="n">
        <f aca="false">COUNTIFS($D$6:D345,"&lt;&gt;"&amp;"")</f>
        <v>340</v>
      </c>
      <c r="D345" s="73" t="s">
        <v>12</v>
      </c>
      <c r="E345" s="76" t="str">
        <f aca="false">
IF($D345="정상",INDEX(임대자산!$D$3:$R$3000,MATCH($F345,임대자산!$I$3:$I$3000,0),MATCH(E$3,임대자산!$D$3:$R$3,0)),
IF($D345="폐업",INDEX(폐업정보!$D$3:$R$3000,MATCH($F345,폐업정보!$I$3:$I$3000,0),MATCH(E$3,폐업정보!$D$3:$R$3,0)),
"Error"))</f>
        <v>강원</v>
      </c>
      <c r="F34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B0340</v>
      </c>
      <c r="G345" s="76" t="str">
        <f aca="false">F345&amp;RANDBETWEEN(0,10)</f>
        <v>B03404</v>
      </c>
      <c r="H345" s="75" t="n">
        <f aca="false">
IF($D345="정상",INDEX(임대자산!$D$3:$R$3000,MATCH($F345,임대자산!$I$3:$I$3000,0),MATCH(H$4,임대자산!$D$3:$R$3,0)),
IF($D345="폐업",INDEX(폐업정보!$D$3:$R$3000,MATCH($F345,폐업정보!$I$3:$I$3000,0),MATCH(H$4,폐업정보!$D$3:$R$3,0)),
"Error"))</f>
        <v>45342</v>
      </c>
      <c r="I345" s="75" t="str">
        <f aca="false">
IF($D345="정상",INDEX(임대자산!$D$3:$R$3000,MATCH($F345,임대자산!$I$3:$I$3000,0),MATCH(I$4,임대자산!$D$3:$R$3,0)),
IF($D345="폐업",INDEX(폐업정보!$D$3:$R$3000,MATCH($F345,폐업정보!$I$3:$I$3000,0),MATCH(I$4,폐업정보!$D$3:$R$3,0)),
"Error"))</f>
        <v>A0340</v>
      </c>
      <c r="J345" s="75" t="str">
        <f aca="false">
IF($D345="정상",INDEX(임대자산!$D$3:$R$3000,MATCH($F345,임대자산!$I$3:$I$3000,0),MATCH(J$4,임대자산!$D$3:$R$3,0)),
IF($D345="폐업",INDEX(폐업정보!$D$3:$R$3000,MATCH($F345,폐업정보!$I$3:$I$3000,0),MATCH(J$4,폐업정보!$D$3:$R$3,0)),
"Error"))</f>
        <v>8014900000</v>
      </c>
      <c r="K345" s="75" t="str">
        <f aca="false">
IF($D345="정상",INDEX(임대자산!$D$3:$R$3000,MATCH($F345,임대자산!$I$3:$I$3000,0),MATCH(K$4,임대자산!$D$3:$R$3,0)),
IF($D345="폐업",INDEX(폐업정보!$D$3:$R$3000,MATCH($F345,폐업정보!$I$3:$I$3000,0),MATCH(K$4,폐업정보!$D$3:$R$3,0)),
"Error"))</f>
        <v>C0340</v>
      </c>
      <c r="L345" s="75" t="str">
        <f aca="false">
IF($D345="정상",INDEX(임대자산!$D$3:$R$3000,MATCH($F345,임대자산!$I$3:$I$3000,0),MATCH(L$4,임대자산!$D$3:$R$3,0)),
IF($D345="폐업",INDEX(폐업정보!$D$3:$R$3000,MATCH($F345,폐업정보!$I$3:$I$3000,0),MATCH(L$4,폐업정보!$D$3:$R$3,0)),
"Error"))</f>
        <v>D0340</v>
      </c>
      <c r="M345" s="76" t="s">
        <v>96</v>
      </c>
      <c r="N345" s="77"/>
      <c r="O345" s="78" t="s">
        <v>97</v>
      </c>
      <c r="P345" s="79" t="n">
        <f aca="false">COUNTIFS(임대자산!$I:$I,가맹점정보!F345,임대자산!$N:$N,가맹점정보!P$4)</f>
        <v>0</v>
      </c>
      <c r="Q345" s="80" t="n">
        <f aca="false">COUNTIFS(임대자산!$I:$I,가맹점정보!F345,임대자산!$N:$N,가맹점정보!Q$4)</f>
        <v>0</v>
      </c>
      <c r="R345" s="81" t="n">
        <f aca="false">COUNTIFS(임대자산!$I:$I,가맹점정보!F345,임대자산!$N:$N,가맹점정보!R$4)</f>
        <v>1</v>
      </c>
      <c r="S345" s="82" t="n">
        <v>55000</v>
      </c>
      <c r="T345" s="83" t="n">
        <v>0</v>
      </c>
      <c r="U345" s="80" t="n">
        <f aca="false">SUM(S345:T345)</f>
        <v>55000</v>
      </c>
      <c r="V345" s="84" t="s">
        <v>12</v>
      </c>
      <c r="W345" s="80" t="e">
        <f aca="true">
IF(D345="폐업","폐업",
IF(V345="면제","면제",
IF(AND(V345="정상",COUNTIFS(OFFSET(Y345,0,COUNTA(Y345:AV345)-1,1,-4),"미납")&gt;=3),"장기미납",
IF(AND(V345="정상",OFFSET(Y345,0,COUNTA(Y345:AV345)-1)&gt;=U345),"정상",
IF(AND(V345="정상",OFFSET(Y345,0,COUNTA(Y345:AV345)-1)=0),"정상",
"계약서 미작성")))))</f>
        <v>#VALUE!</v>
      </c>
      <c r="X345" s="81" t="str">
        <f aca="true">
IF(D345="폐업","폐업",
IF(AND(V345="정상",OFFSET(Y345,0,COUNTA(Y345:AV345)-1)="미납"),"미납",
IF(AND(V345="정상",OFFSET(Y345,0,COUNTA(Y345:AV345)-1)=0),"납부 시작 전",
IF(AND(V345="정상",OFFSET(Y345,0,COUNTA(Y345:AV345)-1)&gt;=U345),"정상",
IF(AND(V345="면제",OFFSET(Y345,0,COUNTA(Y345:AV345)-1)="면제"),"면제",
IF(AND(V345="면제",OFFSET(Y345,0,COUNTA(Y345:AV345)-1)=0),"면제",
"확인요청"))))))</f>
        <v>정상</v>
      </c>
      <c r="Y345" s="93" t="n">
        <v>55000</v>
      </c>
      <c r="Z345" s="90" t="n">
        <v>55000</v>
      </c>
      <c r="AA345" s="90" t="n">
        <v>55000</v>
      </c>
      <c r="AB345" s="90" t="n">
        <v>55000</v>
      </c>
      <c r="AC345" s="90" t="n">
        <v>55000</v>
      </c>
      <c r="AD345" s="90" t="n">
        <v>55000</v>
      </c>
      <c r="AE345" s="90" t="n">
        <v>55000</v>
      </c>
      <c r="AF345" s="90" t="n">
        <v>55000</v>
      </c>
      <c r="AG345" s="90" t="n">
        <v>55000</v>
      </c>
      <c r="AH345" s="90" t="n">
        <v>55000</v>
      </c>
      <c r="AI345" s="90" t="n">
        <v>55000</v>
      </c>
      <c r="AJ345" s="91" t="n">
        <v>55000</v>
      </c>
      <c r="AK345" s="89" t="n">
        <v>55000</v>
      </c>
      <c r="AL345" s="90" t="n">
        <v>55000</v>
      </c>
      <c r="AM345" s="90"/>
      <c r="AN345" s="90"/>
      <c r="AO345" s="90"/>
      <c r="AP345" s="90"/>
      <c r="AQ345" s="90"/>
      <c r="AR345" s="90"/>
      <c r="AS345" s="90"/>
      <c r="AT345" s="90"/>
      <c r="AU345" s="90"/>
      <c r="AV345" s="91"/>
      <c r="AX345" s="92"/>
    </row>
    <row r="346" customFormat="false" ht="15.65" hidden="false" customHeight="false" outlineLevel="0" collapsed="false">
      <c r="C346" s="72" t="n">
        <f aca="false">COUNTIFS($D$6:D346,"&lt;&gt;"&amp;"")</f>
        <v>341</v>
      </c>
      <c r="D346" s="73" t="s">
        <v>12</v>
      </c>
      <c r="E346" s="76" t="str">
        <f aca="false">
IF($D346="정상",INDEX(임대자산!$D$3:$R$3000,MATCH($F346,임대자산!$I$3:$I$3000,0),MATCH(E$3,임대자산!$D$3:$R$3,0)),
IF($D346="폐업",INDEX(폐업정보!$D$3:$R$3000,MATCH($F346,폐업정보!$I$3:$I$3000,0),MATCH(E$3,폐업정보!$D$3:$R$3,0)),
"Error"))</f>
        <v>서울</v>
      </c>
      <c r="F34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B0341</v>
      </c>
      <c r="G346" s="76" t="str">
        <f aca="false">F346&amp;RANDBETWEEN(0,10)</f>
        <v>B03412</v>
      </c>
      <c r="H346" s="75" t="n">
        <f aca="false">
IF($D346="정상",INDEX(임대자산!$D$3:$R$3000,MATCH($F346,임대자산!$I$3:$I$3000,0),MATCH(H$4,임대자산!$D$3:$R$3,0)),
IF($D346="폐업",INDEX(폐업정보!$D$3:$R$3000,MATCH($F346,폐업정보!$I$3:$I$3000,0),MATCH(H$4,폐업정보!$D$3:$R$3,0)),
"Error"))</f>
        <v>45363</v>
      </c>
      <c r="I346" s="75" t="str">
        <f aca="false">
IF($D346="정상",INDEX(임대자산!$D$3:$R$3000,MATCH($F346,임대자산!$I$3:$I$3000,0),MATCH(I$4,임대자산!$D$3:$R$3,0)),
IF($D346="폐업",INDEX(폐업정보!$D$3:$R$3000,MATCH($F346,폐업정보!$I$3:$I$3000,0),MATCH(I$4,폐업정보!$D$3:$R$3,0)),
"Error"))</f>
        <v>A0341</v>
      </c>
      <c r="J346" s="75" t="str">
        <f aca="false">
IF($D346="정상",INDEX(임대자산!$D$3:$R$3000,MATCH($F346,임대자산!$I$3:$I$3000,0),MATCH(J$4,임대자산!$D$3:$R$3,0)),
IF($D346="폐업",INDEX(폐업정보!$D$3:$R$3000,MATCH($F346,폐업정보!$I$3:$I$3000,0),MATCH(J$4,폐업정보!$D$3:$R$3,0)),
"Error"))</f>
        <v>7384600000</v>
      </c>
      <c r="K346" s="75" t="str">
        <f aca="false">
IF($D346="정상",INDEX(임대자산!$D$3:$R$3000,MATCH($F346,임대자산!$I$3:$I$3000,0),MATCH(K$4,임대자산!$D$3:$R$3,0)),
IF($D346="폐업",INDEX(폐업정보!$D$3:$R$3000,MATCH($F346,폐업정보!$I$3:$I$3000,0),MATCH(K$4,폐업정보!$D$3:$R$3,0)),
"Error"))</f>
        <v>C0341</v>
      </c>
      <c r="L346" s="75" t="str">
        <f aca="false">
IF($D346="정상",INDEX(임대자산!$D$3:$R$3000,MATCH($F346,임대자산!$I$3:$I$3000,0),MATCH(L$4,임대자산!$D$3:$R$3,0)),
IF($D346="폐업",INDEX(폐업정보!$D$3:$R$3000,MATCH($F346,폐업정보!$I$3:$I$3000,0),MATCH(L$4,폐업정보!$D$3:$R$3,0)),
"Error"))</f>
        <v>D0341</v>
      </c>
      <c r="M346" s="76" t="s">
        <v>96</v>
      </c>
      <c r="N346" s="77"/>
      <c r="O346" s="78" t="s">
        <v>97</v>
      </c>
      <c r="P346" s="79" t="n">
        <f aca="false">COUNTIFS(임대자산!$I:$I,가맹점정보!F346,임대자산!$N:$N,가맹점정보!P$4)</f>
        <v>0</v>
      </c>
      <c r="Q346" s="80" t="n">
        <f aca="false">COUNTIFS(임대자산!$I:$I,가맹점정보!F346,임대자산!$N:$N,가맹점정보!Q$4)</f>
        <v>0</v>
      </c>
      <c r="R346" s="81" t="n">
        <f aca="false">COUNTIFS(임대자산!$I:$I,가맹점정보!F346,임대자산!$N:$N,가맹점정보!R$4)</f>
        <v>1</v>
      </c>
      <c r="S346" s="82" t="n">
        <v>55000</v>
      </c>
      <c r="T346" s="83" t="n">
        <v>0</v>
      </c>
      <c r="U346" s="80" t="n">
        <f aca="false">SUM(S346:T346)</f>
        <v>55000</v>
      </c>
      <c r="V346" s="84" t="s">
        <v>12</v>
      </c>
      <c r="W346" s="80" t="e">
        <f aca="true">
IF(D346="폐업","폐업",
IF(V346="면제","면제",
IF(AND(V346="정상",COUNTIFS(OFFSET(Y346,0,COUNTA(Y346:AV346)-1,1,-4),"미납")&gt;=3),"장기미납",
IF(AND(V346="정상",OFFSET(Y346,0,COUNTA(Y346:AV346)-1)&gt;=U346),"정상",
IF(AND(V346="정상",OFFSET(Y346,0,COUNTA(Y346:AV346)-1)=0),"정상",
"계약서 미작성")))))</f>
        <v>#VALUE!</v>
      </c>
      <c r="X346" s="81" t="str">
        <f aca="true">
IF(D346="폐업","폐업",
IF(AND(V346="정상",OFFSET(Y346,0,COUNTA(Y346:AV346)-1)="미납"),"미납",
IF(AND(V346="정상",OFFSET(Y346,0,COUNTA(Y346:AV346)-1)=0),"납부 시작 전",
IF(AND(V346="정상",OFFSET(Y346,0,COUNTA(Y346:AV346)-1)&gt;=U346),"정상",
IF(AND(V346="면제",OFFSET(Y346,0,COUNTA(Y346:AV346)-1)="면제"),"면제",
IF(AND(V346="면제",OFFSET(Y346,0,COUNTA(Y346:AV346)-1)=0),"면제",
"확인요청"))))))</f>
        <v>정상</v>
      </c>
      <c r="Y346" s="93" t="n">
        <v>55000</v>
      </c>
      <c r="Z346" s="90" t="n">
        <v>55000</v>
      </c>
      <c r="AA346" s="90" t="n">
        <v>55000</v>
      </c>
      <c r="AB346" s="90" t="n">
        <v>55000</v>
      </c>
      <c r="AC346" s="90" t="n">
        <v>55000</v>
      </c>
      <c r="AD346" s="90" t="n">
        <v>55000</v>
      </c>
      <c r="AE346" s="90" t="n">
        <v>55000</v>
      </c>
      <c r="AF346" s="90" t="n">
        <v>55000</v>
      </c>
      <c r="AG346" s="90" t="n">
        <v>55000</v>
      </c>
      <c r="AH346" s="90" t="n">
        <v>55000</v>
      </c>
      <c r="AI346" s="90" t="n">
        <v>55000</v>
      </c>
      <c r="AJ346" s="91" t="n">
        <v>55000</v>
      </c>
      <c r="AK346" s="89" t="n">
        <v>55000</v>
      </c>
      <c r="AL346" s="90" t="n">
        <v>55000</v>
      </c>
      <c r="AM346" s="90"/>
      <c r="AN346" s="90"/>
      <c r="AO346" s="90"/>
      <c r="AP346" s="90"/>
      <c r="AQ346" s="90"/>
      <c r="AR346" s="90"/>
      <c r="AS346" s="90"/>
      <c r="AT346" s="90"/>
      <c r="AU346" s="90"/>
      <c r="AV346" s="91"/>
      <c r="AX346" s="92"/>
    </row>
    <row r="347" customFormat="false" ht="15.65" hidden="false" customHeight="false" outlineLevel="0" collapsed="false">
      <c r="C347" s="72" t="n">
        <f aca="false">COUNTIFS($D$6:D347,"&lt;&gt;"&amp;"")</f>
        <v>342</v>
      </c>
      <c r="D347" s="73" t="s">
        <v>12</v>
      </c>
      <c r="E347" s="76" t="str">
        <f aca="false">
IF($D347="정상",INDEX(임대자산!$D$3:$R$3000,MATCH($F347,임대자산!$I$3:$I$3000,0),MATCH(E$3,임대자산!$D$3:$R$3,0)),
IF($D347="폐업",INDEX(폐업정보!$D$3:$R$3000,MATCH($F347,폐업정보!$I$3:$I$3000,0),MATCH(E$3,폐업정보!$D$3:$R$3,0)),
"Error"))</f>
        <v>서울</v>
      </c>
      <c r="F34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B0342</v>
      </c>
      <c r="G347" s="76" t="str">
        <f aca="false">F347&amp;RANDBETWEEN(0,10)</f>
        <v>B03422</v>
      </c>
      <c r="H347" s="75" t="n">
        <f aca="false">
IF($D347="정상",INDEX(임대자산!$D$3:$R$3000,MATCH($F347,임대자산!$I$3:$I$3000,0),MATCH(H$4,임대자산!$D$3:$R$3,0)),
IF($D347="폐업",INDEX(폐업정보!$D$3:$R$3000,MATCH($F347,폐업정보!$I$3:$I$3000,0),MATCH(H$4,폐업정보!$D$3:$R$3,0)),
"Error"))</f>
        <v>44935</v>
      </c>
      <c r="I347" s="75" t="str">
        <f aca="false">
IF($D347="정상",INDEX(임대자산!$D$3:$R$3000,MATCH($F347,임대자산!$I$3:$I$3000,0),MATCH(I$4,임대자산!$D$3:$R$3,0)),
IF($D347="폐업",INDEX(폐업정보!$D$3:$R$3000,MATCH($F347,폐업정보!$I$3:$I$3000,0),MATCH(I$4,폐업정보!$D$3:$R$3,0)),
"Error"))</f>
        <v>A0342</v>
      </c>
      <c r="J347" s="75" t="str">
        <f aca="false">
IF($D347="정상",INDEX(임대자산!$D$3:$R$3000,MATCH($F347,임대자산!$I$3:$I$3000,0),MATCH(J$4,임대자산!$D$3:$R$3,0)),
IF($D347="폐업",INDEX(폐업정보!$D$3:$R$3000,MATCH($F347,폐업정보!$I$3:$I$3000,0),MATCH(J$4,폐업정보!$D$3:$R$3,0)),
"Error"))</f>
        <v>4055800000</v>
      </c>
      <c r="K347" s="75" t="str">
        <f aca="false">
IF($D347="정상",INDEX(임대자산!$D$3:$R$3000,MATCH($F347,임대자산!$I$3:$I$3000,0),MATCH(K$4,임대자산!$D$3:$R$3,0)),
IF($D347="폐업",INDEX(폐업정보!$D$3:$R$3000,MATCH($F347,폐업정보!$I$3:$I$3000,0),MATCH(K$4,폐업정보!$D$3:$R$3,0)),
"Error"))</f>
        <v>C0342</v>
      </c>
      <c r="L347" s="75" t="str">
        <f aca="false">
IF($D347="정상",INDEX(임대자산!$D$3:$R$3000,MATCH($F347,임대자산!$I$3:$I$3000,0),MATCH(L$4,임대자산!$D$3:$R$3,0)),
IF($D347="폐업",INDEX(폐업정보!$D$3:$R$3000,MATCH($F347,폐업정보!$I$3:$I$3000,0),MATCH(L$4,폐업정보!$D$3:$R$3,0)),
"Error"))</f>
        <v>D0342</v>
      </c>
      <c r="M347" s="76" t="s">
        <v>96</v>
      </c>
      <c r="N347" s="77"/>
      <c r="O347" s="78" t="s">
        <v>97</v>
      </c>
      <c r="P347" s="79" t="n">
        <f aca="false">COUNTIFS(임대자산!$I:$I,가맹점정보!F347,임대자산!$N:$N,가맹점정보!P$4)</f>
        <v>0</v>
      </c>
      <c r="Q347" s="80" t="n">
        <f aca="false">COUNTIFS(임대자산!$I:$I,가맹점정보!F347,임대자산!$N:$N,가맹점정보!Q$4)</f>
        <v>0</v>
      </c>
      <c r="R347" s="81" t="n">
        <f aca="false">COUNTIFS(임대자산!$I:$I,가맹점정보!F347,임대자산!$N:$N,가맹점정보!R$4)</f>
        <v>1</v>
      </c>
      <c r="S347" s="82" t="n">
        <v>88000</v>
      </c>
      <c r="T347" s="83" t="n">
        <v>0</v>
      </c>
      <c r="U347" s="80" t="n">
        <f aca="false">SUM(S347:T347)</f>
        <v>88000</v>
      </c>
      <c r="V347" s="84" t="s">
        <v>12</v>
      </c>
      <c r="W347" s="80" t="e">
        <f aca="true">
IF(D347="폐업","폐업",
IF(V347="면제","면제",
IF(AND(V347="정상",COUNTIFS(OFFSET(Y347,0,COUNTA(Y347:AV347)-1,1,-4),"미납")&gt;=3),"장기미납",
IF(AND(V347="정상",OFFSET(Y347,0,COUNTA(Y347:AV347)-1)&gt;=U347),"정상",
IF(AND(V347="정상",OFFSET(Y347,0,COUNTA(Y347:AV347)-1)=0),"정상",
"계약서 미작성")))))</f>
        <v>#VALUE!</v>
      </c>
      <c r="X347" s="81" t="str">
        <f aca="true">
IF(D347="폐업","폐업",
IF(AND(V347="정상",OFFSET(Y347,0,COUNTA(Y347:AV347)-1)="미납"),"미납",
IF(AND(V347="정상",OFFSET(Y347,0,COUNTA(Y347:AV347)-1)=0),"납부 시작 전",
IF(AND(V347="정상",OFFSET(Y347,0,COUNTA(Y347:AV347)-1)&gt;=U347),"정상",
IF(AND(V347="면제",OFFSET(Y347,0,COUNTA(Y347:AV347)-1)="면제"),"면제",
IF(AND(V347="면제",OFFSET(Y347,0,COUNTA(Y347:AV347)-1)=0),"면제",
"확인요청"))))))</f>
        <v>정상</v>
      </c>
      <c r="Y347" s="93" t="n">
        <v>88000</v>
      </c>
      <c r="Z347" s="90" t="n">
        <v>88000</v>
      </c>
      <c r="AA347" s="90" t="n">
        <v>88000</v>
      </c>
      <c r="AB347" s="90" t="n">
        <v>88000</v>
      </c>
      <c r="AC347" s="90" t="n">
        <v>88000</v>
      </c>
      <c r="AD347" s="90" t="n">
        <v>88000</v>
      </c>
      <c r="AE347" s="90" t="n">
        <v>88000</v>
      </c>
      <c r="AF347" s="90" t="n">
        <v>88000</v>
      </c>
      <c r="AG347" s="90" t="n">
        <v>88000</v>
      </c>
      <c r="AH347" s="90" t="n">
        <v>88000</v>
      </c>
      <c r="AI347" s="90" t="n">
        <v>88000</v>
      </c>
      <c r="AJ347" s="91" t="n">
        <v>88000</v>
      </c>
      <c r="AK347" s="89" t="n">
        <v>88000</v>
      </c>
      <c r="AL347" s="90" t="n">
        <v>88000</v>
      </c>
      <c r="AM347" s="90"/>
      <c r="AN347" s="90"/>
      <c r="AO347" s="90"/>
      <c r="AP347" s="90"/>
      <c r="AQ347" s="90"/>
      <c r="AR347" s="90"/>
      <c r="AS347" s="90"/>
      <c r="AT347" s="90"/>
      <c r="AU347" s="90"/>
      <c r="AV347" s="91"/>
      <c r="AX347" s="92"/>
    </row>
    <row r="348" customFormat="false" ht="15.65" hidden="false" customHeight="false" outlineLevel="0" collapsed="false">
      <c r="C348" s="72" t="n">
        <f aca="false">COUNTIFS($D$6:D348,"&lt;&gt;"&amp;"")</f>
        <v>343</v>
      </c>
      <c r="D348" s="73" t="s">
        <v>12</v>
      </c>
      <c r="E348" s="76" t="str">
        <f aca="false">
IF($D348="정상",INDEX(임대자산!$D$3:$R$3000,MATCH($F348,임대자산!$I$3:$I$3000,0),MATCH(E$3,임대자산!$D$3:$R$3,0)),
IF($D348="폐업",INDEX(폐업정보!$D$3:$R$3000,MATCH($F348,폐업정보!$I$3:$I$3000,0),MATCH(E$3,폐업정보!$D$3:$R$3,0)),
"Error"))</f>
        <v>서울</v>
      </c>
      <c r="F34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B0343</v>
      </c>
      <c r="G348" s="76" t="str">
        <f aca="false">F348&amp;RANDBETWEEN(0,10)</f>
        <v>B03433</v>
      </c>
      <c r="H348" s="75" t="n">
        <f aca="false">
IF($D348="정상",INDEX(임대자산!$D$3:$R$3000,MATCH($F348,임대자산!$I$3:$I$3000,0),MATCH(H$4,임대자산!$D$3:$R$3,0)),
IF($D348="폐업",INDEX(폐업정보!$D$3:$R$3000,MATCH($F348,폐업정보!$I$3:$I$3000,0),MATCH(H$4,폐업정보!$D$3:$R$3,0)),
"Error"))</f>
        <v>45092</v>
      </c>
      <c r="I348" s="75" t="str">
        <f aca="false">
IF($D348="정상",INDEX(임대자산!$D$3:$R$3000,MATCH($F348,임대자산!$I$3:$I$3000,0),MATCH(I$4,임대자산!$D$3:$R$3,0)),
IF($D348="폐업",INDEX(폐업정보!$D$3:$R$3000,MATCH($F348,폐업정보!$I$3:$I$3000,0),MATCH(I$4,폐업정보!$D$3:$R$3,0)),
"Error"))</f>
        <v>A0343</v>
      </c>
      <c r="J348" s="75" t="str">
        <f aca="false">
IF($D348="정상",INDEX(임대자산!$D$3:$R$3000,MATCH($F348,임대자산!$I$3:$I$3000,0),MATCH(J$4,임대자산!$D$3:$R$3,0)),
IF($D348="폐업",INDEX(폐업정보!$D$3:$R$3000,MATCH($F348,폐업정보!$I$3:$I$3000,0),MATCH(J$4,폐업정보!$D$3:$R$3,0)),
"Error"))</f>
        <v>5898200000</v>
      </c>
      <c r="K348" s="75" t="str">
        <f aca="false">
IF($D348="정상",INDEX(임대자산!$D$3:$R$3000,MATCH($F348,임대자산!$I$3:$I$3000,0),MATCH(K$4,임대자산!$D$3:$R$3,0)),
IF($D348="폐업",INDEX(폐업정보!$D$3:$R$3000,MATCH($F348,폐업정보!$I$3:$I$3000,0),MATCH(K$4,폐업정보!$D$3:$R$3,0)),
"Error"))</f>
        <v>C0343</v>
      </c>
      <c r="L348" s="75" t="str">
        <f aca="false">
IF($D348="정상",INDEX(임대자산!$D$3:$R$3000,MATCH($F348,임대자산!$I$3:$I$3000,0),MATCH(L$4,임대자산!$D$3:$R$3,0)),
IF($D348="폐업",INDEX(폐업정보!$D$3:$R$3000,MATCH($F348,폐업정보!$I$3:$I$3000,0),MATCH(L$4,폐업정보!$D$3:$R$3,0)),
"Error"))</f>
        <v>D0343</v>
      </c>
      <c r="M348" s="76" t="s">
        <v>96</v>
      </c>
      <c r="N348" s="77"/>
      <c r="O348" s="78" t="s">
        <v>97</v>
      </c>
      <c r="P348" s="79" t="n">
        <f aca="false">COUNTIFS(임대자산!$I:$I,가맹점정보!F348,임대자산!$N:$N,가맹점정보!P$4)</f>
        <v>0</v>
      </c>
      <c r="Q348" s="80" t="n">
        <f aca="false">COUNTIFS(임대자산!$I:$I,가맹점정보!F348,임대자산!$N:$N,가맹점정보!Q$4)</f>
        <v>0</v>
      </c>
      <c r="R348" s="81" t="n">
        <f aca="false">COUNTIFS(임대자산!$I:$I,가맹점정보!F348,임대자산!$N:$N,가맹점정보!R$4)</f>
        <v>1</v>
      </c>
      <c r="S348" s="82" t="n">
        <v>55000</v>
      </c>
      <c r="T348" s="83" t="n">
        <v>0</v>
      </c>
      <c r="U348" s="80" t="n">
        <f aca="false">SUM(S348:T348)</f>
        <v>55000</v>
      </c>
      <c r="V348" s="84" t="s">
        <v>12</v>
      </c>
      <c r="W348" s="80" t="e">
        <f aca="true">
IF(D348="폐업","폐업",
IF(V348="면제","면제",
IF(AND(V348="정상",COUNTIFS(OFFSET(Y348,0,COUNTA(Y348:AV348)-1,1,-4),"미납")&gt;=3),"장기미납",
IF(AND(V348="정상",OFFSET(Y348,0,COUNTA(Y348:AV348)-1)&gt;=U348),"정상",
IF(AND(V348="정상",OFFSET(Y348,0,COUNTA(Y348:AV348)-1)=0),"정상",
"계약서 미작성")))))</f>
        <v>#VALUE!</v>
      </c>
      <c r="X348" s="81" t="str">
        <f aca="true">
IF(D348="폐업","폐업",
IF(AND(V348="정상",OFFSET(Y348,0,COUNTA(Y348:AV348)-1)="미납"),"미납",
IF(AND(V348="정상",OFFSET(Y348,0,COUNTA(Y348:AV348)-1)=0),"납부 시작 전",
IF(AND(V348="정상",OFFSET(Y348,0,COUNTA(Y348:AV348)-1)&gt;=U348),"정상",
IF(AND(V348="면제",OFFSET(Y348,0,COUNTA(Y348:AV348)-1)="면제"),"면제",
IF(AND(V348="면제",OFFSET(Y348,0,COUNTA(Y348:AV348)-1)=0),"면제",
"확인요청"))))))</f>
        <v>정상</v>
      </c>
      <c r="Y348" s="93" t="n">
        <v>55000</v>
      </c>
      <c r="Z348" s="90" t="n">
        <v>55000</v>
      </c>
      <c r="AA348" s="90" t="n">
        <v>55000</v>
      </c>
      <c r="AB348" s="90" t="n">
        <v>55000</v>
      </c>
      <c r="AC348" s="90" t="n">
        <v>55000</v>
      </c>
      <c r="AD348" s="90" t="n">
        <v>55000</v>
      </c>
      <c r="AE348" s="90" t="n">
        <v>55000</v>
      </c>
      <c r="AF348" s="90" t="n">
        <v>55000</v>
      </c>
      <c r="AG348" s="90" t="n">
        <v>55000</v>
      </c>
      <c r="AH348" s="90" t="n">
        <v>55000</v>
      </c>
      <c r="AI348" s="90" t="n">
        <v>55000</v>
      </c>
      <c r="AJ348" s="91" t="n">
        <v>55000</v>
      </c>
      <c r="AK348" s="89" t="n">
        <v>55000</v>
      </c>
      <c r="AL348" s="90" t="n">
        <v>55000</v>
      </c>
      <c r="AM348" s="90"/>
      <c r="AN348" s="90"/>
      <c r="AO348" s="90"/>
      <c r="AP348" s="90"/>
      <c r="AQ348" s="90"/>
      <c r="AR348" s="90"/>
      <c r="AS348" s="90"/>
      <c r="AT348" s="90"/>
      <c r="AU348" s="90"/>
      <c r="AV348" s="91"/>
      <c r="AX348" s="92"/>
    </row>
    <row r="349" customFormat="false" ht="15.65" hidden="false" customHeight="false" outlineLevel="0" collapsed="false">
      <c r="C349" s="72" t="n">
        <f aca="false">COUNTIFS($D$6:D349,"&lt;&gt;"&amp;"")</f>
        <v>344</v>
      </c>
      <c r="D349" s="73" t="s">
        <v>5</v>
      </c>
      <c r="E349" s="76" t="str">
        <f aca="false">
IF($D349="정상",INDEX(임대자산!$D$3:$R$3000,MATCH($F349,임대자산!$I$3:$I$3000,0),MATCH(E$3,임대자산!$D$3:$R$3,0)),
IF($D349="폐업",INDEX(폐업정보!$D$3:$R$3000,MATCH($F349,폐업정보!$I$3:$I$3000,0),MATCH(E$3,폐업정보!$D$3:$R$3,0)),
"Error"))</f>
        <v>서울</v>
      </c>
      <c r="F34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B0344</v>
      </c>
      <c r="G349" s="76" t="str">
        <f aca="false">F349&amp;RANDBETWEEN(0,10)</f>
        <v>B03441</v>
      </c>
      <c r="H349" s="75" t="n">
        <f aca="false">
IF($D349="정상",INDEX(임대자산!$D$3:$R$3000,MATCH($F349,임대자산!$I$3:$I$3000,0),MATCH(H$4,임대자산!$D$3:$R$3,0)),
IF($D349="폐업",INDEX(폐업정보!$D$3:$R$3000,MATCH($F349,폐업정보!$I$3:$I$3000,0),MATCH(H$4,폐업정보!$D$3:$R$3,0)),
"Error"))</f>
        <v>45092</v>
      </c>
      <c r="I349" s="75" t="str">
        <f aca="false">
IF($D349="정상",INDEX(임대자산!$D$3:$R$3000,MATCH($F349,임대자산!$I$3:$I$3000,0),MATCH(I$4,임대자산!$D$3:$R$3,0)),
IF($D349="폐업",INDEX(폐업정보!$D$3:$R$3000,MATCH($F349,폐업정보!$I$3:$I$3000,0),MATCH(I$4,폐업정보!$D$3:$R$3,0)),
"Error"))</f>
        <v>A0344</v>
      </c>
      <c r="J349" s="75" t="str">
        <f aca="false">
IF($D349="정상",INDEX(임대자산!$D$3:$R$3000,MATCH($F349,임대자산!$I$3:$I$3000,0),MATCH(J$4,임대자산!$D$3:$R$3,0)),
IF($D349="폐업",INDEX(폐업정보!$D$3:$R$3000,MATCH($F349,폐업정보!$I$3:$I$3000,0),MATCH(J$4,폐업정보!$D$3:$R$3,0)),
"Error"))</f>
        <v>9386100000</v>
      </c>
      <c r="K349" s="75" t="str">
        <f aca="false">
IF($D349="정상",INDEX(임대자산!$D$3:$R$3000,MATCH($F349,임대자산!$I$3:$I$3000,0),MATCH(K$4,임대자산!$D$3:$R$3,0)),
IF($D349="폐업",INDEX(폐업정보!$D$3:$R$3000,MATCH($F349,폐업정보!$I$3:$I$3000,0),MATCH(K$4,폐업정보!$D$3:$R$3,0)),
"Error"))</f>
        <v>C0344</v>
      </c>
      <c r="L349" s="75" t="str">
        <f aca="false">
IF($D349="정상",INDEX(임대자산!$D$3:$R$3000,MATCH($F349,임대자산!$I$3:$I$3000,0),MATCH(L$4,임대자산!$D$3:$R$3,0)),
IF($D349="폐업",INDEX(폐업정보!$D$3:$R$3000,MATCH($F349,폐업정보!$I$3:$I$3000,0),MATCH(L$4,폐업정보!$D$3:$R$3,0)),
"Error"))</f>
        <v>D0344</v>
      </c>
      <c r="M349" s="76" t="s">
        <v>96</v>
      </c>
      <c r="N349" s="77"/>
      <c r="O349" s="78" t="s">
        <v>97</v>
      </c>
      <c r="P349" s="79" t="n">
        <f aca="false">COUNTIFS(임대자산!$I:$I,가맹점정보!F349,임대자산!$N:$N,가맹점정보!P$4)</f>
        <v>0</v>
      </c>
      <c r="Q349" s="80" t="n">
        <f aca="false">COUNTIFS(임대자산!$I:$I,가맹점정보!F349,임대자산!$N:$N,가맹점정보!Q$4)</f>
        <v>0</v>
      </c>
      <c r="R349" s="81" t="n">
        <f aca="false">COUNTIFS(임대자산!$I:$I,가맹점정보!F349,임대자산!$N:$N,가맹점정보!R$4)</f>
        <v>0</v>
      </c>
      <c r="S349" s="82" t="n">
        <v>55000</v>
      </c>
      <c r="T349" s="83" t="n">
        <v>0</v>
      </c>
      <c r="U349" s="80" t="n">
        <f aca="false">SUM(S349:T349)</f>
        <v>55000</v>
      </c>
      <c r="V349" s="84" t="s">
        <v>12</v>
      </c>
      <c r="W349" s="80" t="str">
        <f aca="true">
IF(D349="폐업","폐업",
IF(V349="면제","면제",
IF(AND(V349="정상",COUNTIFS(OFFSET(Y349,0,COUNTA(Y349:AV349)-1,1,-4),"미납")&gt;=3),"장기미납",
IF(AND(V349="정상",OFFSET(Y349,0,COUNTA(Y349:AV349)-1)&gt;=U349),"정상",
IF(AND(V349="정상",OFFSET(Y349,0,COUNTA(Y349:AV349)-1)=0),"정상",
"계약서 미작성")))))</f>
        <v>폐업</v>
      </c>
      <c r="X349" s="81" t="str">
        <f aca="true">
IF(D349="폐업","폐업",
IF(AND(V349="정상",OFFSET(Y349,0,COUNTA(Y349:AV349)-1)="미납"),"미납",
IF(AND(V349="정상",OFFSET(Y349,0,COUNTA(Y349:AV349)-1)=0),"납부 시작 전",
IF(AND(V349="정상",OFFSET(Y349,0,COUNTA(Y349:AV349)-1)&gt;=U349),"정상",
IF(AND(V349="면제",OFFSET(Y349,0,COUNTA(Y349:AV349)-1)="면제"),"면제",
IF(AND(V349="면제",OFFSET(Y349,0,COUNTA(Y349:AV349)-1)=0),"면제",
"확인요청"))))))</f>
        <v>폐업</v>
      </c>
      <c r="Y349" s="93" t="n">
        <v>55000</v>
      </c>
      <c r="Z349" s="90" t="n">
        <v>55000</v>
      </c>
      <c r="AA349" s="90" t="n">
        <v>55000</v>
      </c>
      <c r="AB349" s="90" t="n">
        <v>55000</v>
      </c>
      <c r="AC349" s="90" t="n">
        <v>55000</v>
      </c>
      <c r="AD349" s="90" t="n">
        <v>55000</v>
      </c>
      <c r="AE349" s="90" t="n">
        <v>55000</v>
      </c>
      <c r="AF349" s="90" t="n">
        <v>55000</v>
      </c>
      <c r="AG349" s="90" t="n">
        <v>55000</v>
      </c>
      <c r="AH349" s="90" t="n">
        <v>55000</v>
      </c>
      <c r="AI349" s="90" t="n">
        <v>55000</v>
      </c>
      <c r="AJ349" s="91" t="n">
        <v>55000</v>
      </c>
      <c r="AK349" s="89" t="n">
        <v>55000</v>
      </c>
      <c r="AL349" s="90" t="n">
        <v>55000</v>
      </c>
      <c r="AM349" s="90"/>
      <c r="AN349" s="90"/>
      <c r="AO349" s="90"/>
      <c r="AP349" s="90"/>
      <c r="AQ349" s="90"/>
      <c r="AR349" s="90"/>
      <c r="AS349" s="90"/>
      <c r="AT349" s="90"/>
      <c r="AU349" s="90"/>
      <c r="AV349" s="91"/>
      <c r="AX349" s="92"/>
    </row>
    <row r="350" customFormat="false" ht="15.65" hidden="false" customHeight="false" outlineLevel="0" collapsed="false">
      <c r="C350" s="72" t="n">
        <f aca="false">COUNTIFS($D$6:D350,"&lt;&gt;"&amp;"")</f>
        <v>345</v>
      </c>
      <c r="D350" s="73" t="s">
        <v>12</v>
      </c>
      <c r="E350" s="76" t="str">
        <f aca="false">
IF($D350="정상",INDEX(임대자산!$D$3:$R$3000,MATCH($F350,임대자산!$I$3:$I$3000,0),MATCH(E$3,임대자산!$D$3:$R$3,0)),
IF($D350="폐업",INDEX(폐업정보!$D$3:$R$3000,MATCH($F350,폐업정보!$I$3:$I$3000,0),MATCH(E$3,폐업정보!$D$3:$R$3,0)),
"Error"))</f>
        <v>서울</v>
      </c>
      <c r="F35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B0345</v>
      </c>
      <c r="G350" s="76" t="str">
        <f aca="false">F350&amp;RANDBETWEEN(0,10)</f>
        <v>B034510</v>
      </c>
      <c r="H350" s="75" t="n">
        <f aca="false">
IF($D350="정상",INDEX(임대자산!$D$3:$R$3000,MATCH($F350,임대자산!$I$3:$I$3000,0),MATCH(H$4,임대자산!$D$3:$R$3,0)),
IF($D350="폐업",INDEX(폐업정보!$D$3:$R$3000,MATCH($F350,폐업정보!$I$3:$I$3000,0),MATCH(H$4,폐업정보!$D$3:$R$3,0)),
"Error"))</f>
        <v>45343</v>
      </c>
      <c r="I350" s="75" t="str">
        <f aca="false">
IF($D350="정상",INDEX(임대자산!$D$3:$R$3000,MATCH($F350,임대자산!$I$3:$I$3000,0),MATCH(I$4,임대자산!$D$3:$R$3,0)),
IF($D350="폐업",INDEX(폐업정보!$D$3:$R$3000,MATCH($F350,폐업정보!$I$3:$I$3000,0),MATCH(I$4,폐업정보!$D$3:$R$3,0)),
"Error"))</f>
        <v>A0345</v>
      </c>
      <c r="J350" s="75" t="str">
        <f aca="false">
IF($D350="정상",INDEX(임대자산!$D$3:$R$3000,MATCH($F350,임대자산!$I$3:$I$3000,0),MATCH(J$4,임대자산!$D$3:$R$3,0)),
IF($D350="폐업",INDEX(폐업정보!$D$3:$R$3000,MATCH($F350,폐업정보!$I$3:$I$3000,0),MATCH(J$4,폐업정보!$D$3:$R$3,0)),
"Error"))</f>
        <v>2757700000</v>
      </c>
      <c r="K350" s="75" t="str">
        <f aca="false">
IF($D350="정상",INDEX(임대자산!$D$3:$R$3000,MATCH($F350,임대자산!$I$3:$I$3000,0),MATCH(K$4,임대자산!$D$3:$R$3,0)),
IF($D350="폐업",INDEX(폐업정보!$D$3:$R$3000,MATCH($F350,폐업정보!$I$3:$I$3000,0),MATCH(K$4,폐업정보!$D$3:$R$3,0)),
"Error"))</f>
        <v>C0345</v>
      </c>
      <c r="L350" s="75" t="str">
        <f aca="false">
IF($D350="정상",INDEX(임대자산!$D$3:$R$3000,MATCH($F350,임대자산!$I$3:$I$3000,0),MATCH(L$4,임대자산!$D$3:$R$3,0)),
IF($D350="폐업",INDEX(폐업정보!$D$3:$R$3000,MATCH($F350,폐업정보!$I$3:$I$3000,0),MATCH(L$4,폐업정보!$D$3:$R$3,0)),
"Error"))</f>
        <v>D0345</v>
      </c>
      <c r="M350" s="76" t="s">
        <v>96</v>
      </c>
      <c r="N350" s="77"/>
      <c r="O350" s="78" t="s">
        <v>97</v>
      </c>
      <c r="P350" s="79" t="n">
        <f aca="false">COUNTIFS(임대자산!$I:$I,가맹점정보!F350,임대자산!$N:$N,가맹점정보!P$4)</f>
        <v>0</v>
      </c>
      <c r="Q350" s="80" t="n">
        <f aca="false">COUNTIFS(임대자산!$I:$I,가맹점정보!F350,임대자산!$N:$N,가맹점정보!Q$4)</f>
        <v>0</v>
      </c>
      <c r="R350" s="81" t="n">
        <f aca="false">COUNTIFS(임대자산!$I:$I,가맹점정보!F350,임대자산!$N:$N,가맹점정보!R$4)</f>
        <v>1</v>
      </c>
      <c r="S350" s="82" t="n">
        <v>55000</v>
      </c>
      <c r="T350" s="83" t="n">
        <v>0</v>
      </c>
      <c r="U350" s="80" t="n">
        <f aca="false">SUM(S350:T350)</f>
        <v>55000</v>
      </c>
      <c r="V350" s="84" t="s">
        <v>12</v>
      </c>
      <c r="W350" s="80" t="e">
        <f aca="true">
IF(D350="폐업","폐업",
IF(V350="면제","면제",
IF(AND(V350="정상",COUNTIFS(OFFSET(Y350,0,COUNTA(Y350:AV350)-1,1,-4),"미납")&gt;=3),"장기미납",
IF(AND(V350="정상",OFFSET(Y350,0,COUNTA(Y350:AV350)-1)&gt;=U350),"정상",
IF(AND(V350="정상",OFFSET(Y350,0,COUNTA(Y350:AV350)-1)=0),"정상",
"계약서 미작성")))))</f>
        <v>#VALUE!</v>
      </c>
      <c r="X350" s="81" t="str">
        <f aca="true">
IF(D350="폐업","폐업",
IF(AND(V350="정상",OFFSET(Y350,0,COUNTA(Y350:AV350)-1)="미납"),"미납",
IF(AND(V350="정상",OFFSET(Y350,0,COUNTA(Y350:AV350)-1)=0),"납부 시작 전",
IF(AND(V350="정상",OFFSET(Y350,0,COUNTA(Y350:AV350)-1)&gt;=U350),"정상",
IF(AND(V350="면제",OFFSET(Y350,0,COUNTA(Y350:AV350)-1)="면제"),"면제",
IF(AND(V350="면제",OFFSET(Y350,0,COUNTA(Y350:AV350)-1)=0),"면제",
"확인요청"))))))</f>
        <v>정상</v>
      </c>
      <c r="Y350" s="93" t="n">
        <v>55000</v>
      </c>
      <c r="Z350" s="90" t="n">
        <v>55000</v>
      </c>
      <c r="AA350" s="90" t="n">
        <v>55000</v>
      </c>
      <c r="AB350" s="90" t="n">
        <v>55000</v>
      </c>
      <c r="AC350" s="90" t="n">
        <v>55000</v>
      </c>
      <c r="AD350" s="90" t="n">
        <v>55000</v>
      </c>
      <c r="AE350" s="90" t="n">
        <v>55000</v>
      </c>
      <c r="AF350" s="90" t="n">
        <v>55000</v>
      </c>
      <c r="AG350" s="90" t="n">
        <v>55000</v>
      </c>
      <c r="AH350" s="90" t="n">
        <v>55000</v>
      </c>
      <c r="AI350" s="90" t="n">
        <v>55000</v>
      </c>
      <c r="AJ350" s="91" t="n">
        <v>55000</v>
      </c>
      <c r="AK350" s="89" t="n">
        <v>55000</v>
      </c>
      <c r="AL350" s="90" t="n">
        <v>55000</v>
      </c>
      <c r="AM350" s="90"/>
      <c r="AN350" s="90"/>
      <c r="AO350" s="90"/>
      <c r="AP350" s="90"/>
      <c r="AQ350" s="90"/>
      <c r="AR350" s="90"/>
      <c r="AS350" s="90"/>
      <c r="AT350" s="90"/>
      <c r="AU350" s="90"/>
      <c r="AV350" s="91"/>
      <c r="AX350" s="92"/>
    </row>
    <row r="351" customFormat="false" ht="15.65" hidden="false" customHeight="false" outlineLevel="0" collapsed="false">
      <c r="C351" s="72" t="n">
        <f aca="false">COUNTIFS($D$6:D351,"&lt;&gt;"&amp;"")</f>
        <v>346</v>
      </c>
      <c r="D351" s="73" t="s">
        <v>12</v>
      </c>
      <c r="E351" s="76" t="str">
        <f aca="false">
IF($D351="정상",INDEX(임대자산!$D$3:$R$3000,MATCH($F351,임대자산!$I$3:$I$3000,0),MATCH(E$3,임대자산!$D$3:$R$3,0)),
IF($D351="폐업",INDEX(폐업정보!$D$3:$R$3000,MATCH($F351,폐업정보!$I$3:$I$3000,0),MATCH(E$3,폐업정보!$D$3:$R$3,0)),
"Error"))</f>
        <v>서울</v>
      </c>
      <c r="F35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B0346</v>
      </c>
      <c r="G351" s="76" t="str">
        <f aca="false">F351&amp;RANDBETWEEN(0,10)</f>
        <v>B03466</v>
      </c>
      <c r="H351" s="75" t="n">
        <f aca="false">
IF($D351="정상",INDEX(임대자산!$D$3:$R$3000,MATCH($F351,임대자산!$I$3:$I$3000,0),MATCH(H$4,임대자산!$D$3:$R$3,0)),
IF($D351="폐업",INDEX(폐업정보!$D$3:$R$3000,MATCH($F351,폐업정보!$I$3:$I$3000,0),MATCH(H$4,폐업정보!$D$3:$R$3,0)),
"Error"))</f>
        <v>45113</v>
      </c>
      <c r="I351" s="75" t="str">
        <f aca="false">
IF($D351="정상",INDEX(임대자산!$D$3:$R$3000,MATCH($F351,임대자산!$I$3:$I$3000,0),MATCH(I$4,임대자산!$D$3:$R$3,0)),
IF($D351="폐업",INDEX(폐업정보!$D$3:$R$3000,MATCH($F351,폐업정보!$I$3:$I$3000,0),MATCH(I$4,폐업정보!$D$3:$R$3,0)),
"Error"))</f>
        <v>A0346</v>
      </c>
      <c r="J351" s="75" t="str">
        <f aca="false">
IF($D351="정상",INDEX(임대자산!$D$3:$R$3000,MATCH($F351,임대자산!$I$3:$I$3000,0),MATCH(J$4,임대자산!$D$3:$R$3,0)),
IF($D351="폐업",INDEX(폐업정보!$D$3:$R$3000,MATCH($F351,폐업정보!$I$3:$I$3000,0),MATCH(J$4,폐업정보!$D$3:$R$3,0)),
"Error"))</f>
        <v>8777300000</v>
      </c>
      <c r="K351" s="75" t="str">
        <f aca="false">
IF($D351="정상",INDEX(임대자산!$D$3:$R$3000,MATCH($F351,임대자산!$I$3:$I$3000,0),MATCH(K$4,임대자산!$D$3:$R$3,0)),
IF($D351="폐업",INDEX(폐업정보!$D$3:$R$3000,MATCH($F351,폐업정보!$I$3:$I$3000,0),MATCH(K$4,폐업정보!$D$3:$R$3,0)),
"Error"))</f>
        <v>C0346</v>
      </c>
      <c r="L351" s="75" t="str">
        <f aca="false">
IF($D351="정상",INDEX(임대자산!$D$3:$R$3000,MATCH($F351,임대자산!$I$3:$I$3000,0),MATCH(L$4,임대자산!$D$3:$R$3,0)),
IF($D351="폐업",INDEX(폐업정보!$D$3:$R$3000,MATCH($F351,폐업정보!$I$3:$I$3000,0),MATCH(L$4,폐업정보!$D$3:$R$3,0)),
"Error"))</f>
        <v>D0346</v>
      </c>
      <c r="M351" s="76" t="s">
        <v>96</v>
      </c>
      <c r="N351" s="77"/>
      <c r="O351" s="78" t="s">
        <v>97</v>
      </c>
      <c r="P351" s="79" t="n">
        <f aca="false">COUNTIFS(임대자산!$I:$I,가맹점정보!F351,임대자산!$N:$N,가맹점정보!P$4)</f>
        <v>0</v>
      </c>
      <c r="Q351" s="80" t="n">
        <f aca="false">COUNTIFS(임대자산!$I:$I,가맹점정보!F351,임대자산!$N:$N,가맹점정보!Q$4)</f>
        <v>0</v>
      </c>
      <c r="R351" s="81" t="n">
        <f aca="false">COUNTIFS(임대자산!$I:$I,가맹점정보!F351,임대자산!$N:$N,가맹점정보!R$4)</f>
        <v>1</v>
      </c>
      <c r="S351" s="82" t="n">
        <v>55000</v>
      </c>
      <c r="T351" s="83" t="n">
        <v>0</v>
      </c>
      <c r="U351" s="80" t="n">
        <f aca="false">SUM(S351:T351)</f>
        <v>55000</v>
      </c>
      <c r="V351" s="84" t="s">
        <v>7</v>
      </c>
      <c r="W351" s="80" t="str">
        <f aca="true">
IF(D351="폐업","폐업",
IF(V351="면제","면제",
IF(AND(V351="정상",COUNTIFS(OFFSET(Y351,0,COUNTA(Y351:AV351)-1,1,-4),"미납")&gt;=3),"장기미납",
IF(AND(V351="정상",OFFSET(Y351,0,COUNTA(Y351:AV351)-1)&gt;=U351),"정상",
IF(AND(V351="정상",OFFSET(Y351,0,COUNTA(Y351:AV351)-1)=0),"정상",
"계약서 미작성")))))</f>
        <v>면제</v>
      </c>
      <c r="X351" s="81" t="str">
        <f aca="true">
IF(D351="폐업","폐업",
IF(AND(V351="정상",OFFSET(Y351,0,COUNTA(Y351:AV351)-1)="미납"),"미납",
IF(AND(V351="정상",OFFSET(Y351,0,COUNTA(Y351:AV351)-1)=0),"납부 시작 전",
IF(AND(V351="정상",OFFSET(Y351,0,COUNTA(Y351:AV351)-1)&gt;=U351),"정상",
IF(AND(V351="면제",OFFSET(Y351,0,COUNTA(Y351:AV351)-1)="면제"),"면제",
IF(AND(V351="면제",OFFSET(Y351,0,COUNTA(Y351:AV351)-1)=0),"면제",
"확인요청"))))))</f>
        <v>면제</v>
      </c>
      <c r="Y351" s="94" t="s">
        <v>7</v>
      </c>
      <c r="Z351" s="95" t="s">
        <v>7</v>
      </c>
      <c r="AA351" s="95" t="s">
        <v>7</v>
      </c>
      <c r="AB351" s="95" t="s">
        <v>7</v>
      </c>
      <c r="AC351" s="95" t="s">
        <v>7</v>
      </c>
      <c r="AD351" s="95" t="s">
        <v>7</v>
      </c>
      <c r="AE351" s="95" t="s">
        <v>7</v>
      </c>
      <c r="AF351" s="95" t="s">
        <v>7</v>
      </c>
      <c r="AG351" s="95" t="s">
        <v>7</v>
      </c>
      <c r="AH351" s="95" t="s">
        <v>7</v>
      </c>
      <c r="AI351" s="95" t="s">
        <v>7</v>
      </c>
      <c r="AJ351" s="96" t="s">
        <v>7</v>
      </c>
      <c r="AK351" s="97" t="s">
        <v>7</v>
      </c>
      <c r="AL351" s="95" t="s">
        <v>7</v>
      </c>
      <c r="AM351" s="90"/>
      <c r="AN351" s="90"/>
      <c r="AO351" s="90"/>
      <c r="AP351" s="90"/>
      <c r="AQ351" s="90"/>
      <c r="AR351" s="90"/>
      <c r="AS351" s="90"/>
      <c r="AT351" s="90"/>
      <c r="AU351" s="90"/>
      <c r="AV351" s="91"/>
      <c r="AX351" s="92"/>
    </row>
    <row r="352" customFormat="false" ht="15.65" hidden="false" customHeight="false" outlineLevel="0" collapsed="false">
      <c r="C352" s="72" t="n">
        <f aca="false">COUNTIFS($D$6:D352,"&lt;&gt;"&amp;"")</f>
        <v>347</v>
      </c>
      <c r="D352" s="73" t="s">
        <v>12</v>
      </c>
      <c r="E352" s="76" t="str">
        <f aca="false">
IF($D352="정상",INDEX(임대자산!$D$3:$R$3000,MATCH($F352,임대자산!$I$3:$I$3000,0),MATCH(E$3,임대자산!$D$3:$R$3,0)),
IF($D352="폐업",INDEX(폐업정보!$D$3:$R$3000,MATCH($F352,폐업정보!$I$3:$I$3000,0),MATCH(E$3,폐업정보!$D$3:$R$3,0)),
"Error"))</f>
        <v>경상</v>
      </c>
      <c r="F35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B0347</v>
      </c>
      <c r="G352" s="76" t="str">
        <f aca="false">F352&amp;RANDBETWEEN(0,10)</f>
        <v>B03477</v>
      </c>
      <c r="H352" s="75" t="n">
        <f aca="false">
IF($D352="정상",INDEX(임대자산!$D$3:$R$3000,MATCH($F352,임대자산!$I$3:$I$3000,0),MATCH(H$4,임대자산!$D$3:$R$3,0)),
IF($D352="폐업",INDEX(폐업정보!$D$3:$R$3000,MATCH($F352,폐업정보!$I$3:$I$3000,0),MATCH(H$4,폐업정보!$D$3:$R$3,0)),
"Error"))</f>
        <v>45370</v>
      </c>
      <c r="I352" s="75" t="str">
        <f aca="false">
IF($D352="정상",INDEX(임대자산!$D$3:$R$3000,MATCH($F352,임대자산!$I$3:$I$3000,0),MATCH(I$4,임대자산!$D$3:$R$3,0)),
IF($D352="폐업",INDEX(폐업정보!$D$3:$R$3000,MATCH($F352,폐업정보!$I$3:$I$3000,0),MATCH(I$4,폐업정보!$D$3:$R$3,0)),
"Error"))</f>
        <v>A0347</v>
      </c>
      <c r="J352" s="75" t="str">
        <f aca="false">
IF($D352="정상",INDEX(임대자산!$D$3:$R$3000,MATCH($F352,임대자산!$I$3:$I$3000,0),MATCH(J$4,임대자산!$D$3:$R$3,0)),
IF($D352="폐업",INDEX(폐업정보!$D$3:$R$3000,MATCH($F352,폐업정보!$I$3:$I$3000,0),MATCH(J$4,폐업정보!$D$3:$R$3,0)),
"Error"))</f>
        <v>8959700000</v>
      </c>
      <c r="K352" s="75" t="str">
        <f aca="false">
IF($D352="정상",INDEX(임대자산!$D$3:$R$3000,MATCH($F352,임대자산!$I$3:$I$3000,0),MATCH(K$4,임대자산!$D$3:$R$3,0)),
IF($D352="폐업",INDEX(폐업정보!$D$3:$R$3000,MATCH($F352,폐업정보!$I$3:$I$3000,0),MATCH(K$4,폐업정보!$D$3:$R$3,0)),
"Error"))</f>
        <v>C0347</v>
      </c>
      <c r="L352" s="75" t="str">
        <f aca="false">
IF($D352="정상",INDEX(임대자산!$D$3:$R$3000,MATCH($F352,임대자산!$I$3:$I$3000,0),MATCH(L$4,임대자산!$D$3:$R$3,0)),
IF($D352="폐업",INDEX(폐업정보!$D$3:$R$3000,MATCH($F352,폐업정보!$I$3:$I$3000,0),MATCH(L$4,폐업정보!$D$3:$R$3,0)),
"Error"))</f>
        <v>D0347</v>
      </c>
      <c r="M352" s="76" t="s">
        <v>96</v>
      </c>
      <c r="N352" s="77"/>
      <c r="O352" s="78" t="s">
        <v>97</v>
      </c>
      <c r="P352" s="79" t="n">
        <f aca="false">COUNTIFS(임대자산!$I:$I,가맹점정보!F352,임대자산!$N:$N,가맹점정보!P$4)</f>
        <v>0</v>
      </c>
      <c r="Q352" s="80" t="n">
        <f aca="false">COUNTIFS(임대자산!$I:$I,가맹점정보!F352,임대자산!$N:$N,가맹점정보!Q$4)</f>
        <v>0</v>
      </c>
      <c r="R352" s="81" t="n">
        <f aca="false">COUNTIFS(임대자산!$I:$I,가맹점정보!F352,임대자산!$N:$N,가맹점정보!R$4)</f>
        <v>1</v>
      </c>
      <c r="S352" s="82" t="n">
        <v>55000</v>
      </c>
      <c r="T352" s="83" t="n">
        <v>0</v>
      </c>
      <c r="U352" s="80" t="n">
        <f aca="false">SUM(S352:T352)</f>
        <v>55000</v>
      </c>
      <c r="V352" s="84" t="s">
        <v>7</v>
      </c>
      <c r="W352" s="80" t="str">
        <f aca="true">
IF(D352="폐업","폐업",
IF(V352="면제","면제",
IF(AND(V352="정상",COUNTIFS(OFFSET(Y352,0,COUNTA(Y352:AV352)-1,1,-4),"미납")&gt;=3),"장기미납",
IF(AND(V352="정상",OFFSET(Y352,0,COUNTA(Y352:AV352)-1)&gt;=U352),"정상",
IF(AND(V352="정상",OFFSET(Y352,0,COUNTA(Y352:AV352)-1)=0),"정상",
"계약서 미작성")))))</f>
        <v>면제</v>
      </c>
      <c r="X352" s="81" t="str">
        <f aca="true">
IF(D352="폐업","폐업",
IF(AND(V352="정상",OFFSET(Y352,0,COUNTA(Y352:AV352)-1)="미납"),"미납",
IF(AND(V352="정상",OFFSET(Y352,0,COUNTA(Y352:AV352)-1)=0),"납부 시작 전",
IF(AND(V352="정상",OFFSET(Y352,0,COUNTA(Y352:AV352)-1)&gt;=U352),"정상",
IF(AND(V352="면제",OFFSET(Y352,0,COUNTA(Y352:AV352)-1)="면제"),"면제",
IF(AND(V352="면제",OFFSET(Y352,0,COUNTA(Y352:AV352)-1)=0),"면제",
"확인요청"))))))</f>
        <v>면제</v>
      </c>
      <c r="Y352" s="93" t="n">
        <v>55000</v>
      </c>
      <c r="Z352" s="90" t="n">
        <v>55000</v>
      </c>
      <c r="AA352" s="90" t="n">
        <v>55000</v>
      </c>
      <c r="AB352" s="90" t="n">
        <v>55000</v>
      </c>
      <c r="AC352" s="90" t="n">
        <v>55000</v>
      </c>
      <c r="AD352" s="90" t="n">
        <v>55000</v>
      </c>
      <c r="AE352" s="90" t="n">
        <v>55000</v>
      </c>
      <c r="AF352" s="90" t="n">
        <v>55000</v>
      </c>
      <c r="AG352" s="90" t="n">
        <v>55000</v>
      </c>
      <c r="AH352" s="95" t="s">
        <v>62</v>
      </c>
      <c r="AI352" s="95" t="s">
        <v>62</v>
      </c>
      <c r="AJ352" s="96" t="s">
        <v>62</v>
      </c>
      <c r="AK352" s="97" t="s">
        <v>7</v>
      </c>
      <c r="AL352" s="95" t="s">
        <v>7</v>
      </c>
      <c r="AM352" s="90"/>
      <c r="AN352" s="90"/>
      <c r="AO352" s="90"/>
      <c r="AP352" s="90"/>
      <c r="AQ352" s="90"/>
      <c r="AR352" s="90"/>
      <c r="AS352" s="90"/>
      <c r="AT352" s="90"/>
      <c r="AU352" s="90"/>
      <c r="AV352" s="91"/>
      <c r="AX352" s="92"/>
    </row>
    <row r="353" customFormat="false" ht="15.65" hidden="false" customHeight="false" outlineLevel="0" collapsed="false">
      <c r="C353" s="72" t="n">
        <f aca="false">COUNTIFS($D$6:D353,"&lt;&gt;"&amp;"")</f>
        <v>348</v>
      </c>
      <c r="D353" s="73" t="s">
        <v>12</v>
      </c>
      <c r="E353" s="76" t="str">
        <f aca="false">
IF($D353="정상",INDEX(임대자산!$D$3:$R$3000,MATCH($F353,임대자산!$I$3:$I$3000,0),MATCH(E$3,임대자산!$D$3:$R$3,0)),
IF($D353="폐업",INDEX(폐업정보!$D$3:$R$3000,MATCH($F353,폐업정보!$I$3:$I$3000,0),MATCH(E$3,폐업정보!$D$3:$R$3,0)),
"Error"))</f>
        <v>서울</v>
      </c>
      <c r="F35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B0348</v>
      </c>
      <c r="G353" s="76" t="str">
        <f aca="false">F353&amp;RANDBETWEEN(0,10)</f>
        <v>B034810</v>
      </c>
      <c r="H353" s="75" t="n">
        <f aca="false">
IF($D353="정상",INDEX(임대자산!$D$3:$R$3000,MATCH($F353,임대자산!$I$3:$I$3000,0),MATCH(H$4,임대자산!$D$3:$R$3,0)),
IF($D353="폐업",INDEX(폐업정보!$D$3:$R$3000,MATCH($F353,폐업정보!$I$3:$I$3000,0),MATCH(H$4,폐업정보!$D$3:$R$3,0)),
"Error"))</f>
        <v>45356</v>
      </c>
      <c r="I353" s="75" t="str">
        <f aca="false">
IF($D353="정상",INDEX(임대자산!$D$3:$R$3000,MATCH($F353,임대자산!$I$3:$I$3000,0),MATCH(I$4,임대자산!$D$3:$R$3,0)),
IF($D353="폐업",INDEX(폐업정보!$D$3:$R$3000,MATCH($F353,폐업정보!$I$3:$I$3000,0),MATCH(I$4,폐업정보!$D$3:$R$3,0)),
"Error"))</f>
        <v>A0348</v>
      </c>
      <c r="J353" s="75" t="str">
        <f aca="false">
IF($D353="정상",INDEX(임대자산!$D$3:$R$3000,MATCH($F353,임대자산!$I$3:$I$3000,0),MATCH(J$4,임대자산!$D$3:$R$3,0)),
IF($D353="폐업",INDEX(폐업정보!$D$3:$R$3000,MATCH($F353,폐업정보!$I$3:$I$3000,0),MATCH(J$4,폐업정보!$D$3:$R$3,0)),
"Error"))</f>
        <v>9150500000</v>
      </c>
      <c r="K353" s="75" t="str">
        <f aca="false">
IF($D353="정상",INDEX(임대자산!$D$3:$R$3000,MATCH($F353,임대자산!$I$3:$I$3000,0),MATCH(K$4,임대자산!$D$3:$R$3,0)),
IF($D353="폐업",INDEX(폐업정보!$D$3:$R$3000,MATCH($F353,폐업정보!$I$3:$I$3000,0),MATCH(K$4,폐업정보!$D$3:$R$3,0)),
"Error"))</f>
        <v>C0348</v>
      </c>
      <c r="L353" s="75" t="str">
        <f aca="false">
IF($D353="정상",INDEX(임대자산!$D$3:$R$3000,MATCH($F353,임대자산!$I$3:$I$3000,0),MATCH(L$4,임대자산!$D$3:$R$3,0)),
IF($D353="폐업",INDEX(폐업정보!$D$3:$R$3000,MATCH($F353,폐업정보!$I$3:$I$3000,0),MATCH(L$4,폐업정보!$D$3:$R$3,0)),
"Error"))</f>
        <v>D0348</v>
      </c>
      <c r="M353" s="76" t="s">
        <v>96</v>
      </c>
      <c r="N353" s="77"/>
      <c r="O353" s="78" t="s">
        <v>97</v>
      </c>
      <c r="P353" s="79" t="n">
        <f aca="false">COUNTIFS(임대자산!$I:$I,가맹점정보!F353,임대자산!$N:$N,가맹점정보!P$4)</f>
        <v>0</v>
      </c>
      <c r="Q353" s="80" t="n">
        <f aca="false">COUNTIFS(임대자산!$I:$I,가맹점정보!F353,임대자산!$N:$N,가맹점정보!Q$4)</f>
        <v>0</v>
      </c>
      <c r="R353" s="81" t="n">
        <f aca="false">COUNTIFS(임대자산!$I:$I,가맹점정보!F353,임대자산!$N:$N,가맹점정보!R$4)</f>
        <v>1</v>
      </c>
      <c r="S353" s="82" t="n">
        <v>55000</v>
      </c>
      <c r="T353" s="83" t="n">
        <v>0</v>
      </c>
      <c r="U353" s="80" t="n">
        <f aca="false">SUM(S353:T353)</f>
        <v>55000</v>
      </c>
      <c r="V353" s="84" t="s">
        <v>12</v>
      </c>
      <c r="W353" s="80" t="e">
        <f aca="true">
IF(D353="폐업","폐업",
IF(V353="면제","면제",
IF(AND(V353="정상",COUNTIFS(OFFSET(Y353,0,COUNTA(Y353:AV353)-1,1,-4),"미납")&gt;=3),"장기미납",
IF(AND(V353="정상",OFFSET(Y353,0,COUNTA(Y353:AV353)-1)&gt;=U353),"정상",
IF(AND(V353="정상",OFFSET(Y353,0,COUNTA(Y353:AV353)-1)=0),"정상",
"계약서 미작성")))))</f>
        <v>#VALUE!</v>
      </c>
      <c r="X353" s="81" t="str">
        <f aca="true">
IF(D353="폐업","폐업",
IF(AND(V353="정상",OFFSET(Y353,0,COUNTA(Y353:AV353)-1)="미납"),"미납",
IF(AND(V353="정상",OFFSET(Y353,0,COUNTA(Y353:AV353)-1)=0),"납부 시작 전",
IF(AND(V353="정상",OFFSET(Y353,0,COUNTA(Y353:AV353)-1)&gt;=U353),"정상",
IF(AND(V353="면제",OFFSET(Y353,0,COUNTA(Y353:AV353)-1)="면제"),"면제",
IF(AND(V353="면제",OFFSET(Y353,0,COUNTA(Y353:AV353)-1)=0),"면제",
"확인요청"))))))</f>
        <v>정상</v>
      </c>
      <c r="Y353" s="93" t="n">
        <v>55000</v>
      </c>
      <c r="Z353" s="90" t="n">
        <v>55000</v>
      </c>
      <c r="AA353" s="90" t="n">
        <v>55000</v>
      </c>
      <c r="AB353" s="90" t="n">
        <v>55000</v>
      </c>
      <c r="AC353" s="90" t="n">
        <v>55000</v>
      </c>
      <c r="AD353" s="90" t="n">
        <v>55000</v>
      </c>
      <c r="AE353" s="90" t="n">
        <v>55000</v>
      </c>
      <c r="AF353" s="90" t="n">
        <v>55000</v>
      </c>
      <c r="AG353" s="90" t="n">
        <v>55000</v>
      </c>
      <c r="AH353" s="90" t="n">
        <v>55000</v>
      </c>
      <c r="AI353" s="90" t="n">
        <v>55000</v>
      </c>
      <c r="AJ353" s="91" t="n">
        <v>55000</v>
      </c>
      <c r="AK353" s="89" t="n">
        <v>55000</v>
      </c>
      <c r="AL353" s="90" t="n">
        <v>55000</v>
      </c>
      <c r="AM353" s="90"/>
      <c r="AN353" s="90"/>
      <c r="AO353" s="90"/>
      <c r="AP353" s="90"/>
      <c r="AQ353" s="90"/>
      <c r="AR353" s="90"/>
      <c r="AS353" s="90"/>
      <c r="AT353" s="90"/>
      <c r="AU353" s="90"/>
      <c r="AV353" s="91"/>
      <c r="AX353" s="92"/>
    </row>
    <row r="354" customFormat="false" ht="15.65" hidden="false" customHeight="false" outlineLevel="0" collapsed="false">
      <c r="C354" s="72" t="n">
        <f aca="false">COUNTIFS($D$6:D354,"&lt;&gt;"&amp;"")</f>
        <v>349</v>
      </c>
      <c r="D354" s="73" t="s">
        <v>12</v>
      </c>
      <c r="E354" s="76" t="str">
        <f aca="false">
IF($D354="정상",INDEX(임대자산!$D$3:$R$3000,MATCH($F354,임대자산!$I$3:$I$3000,0),MATCH(E$3,임대자산!$D$3:$R$3,0)),
IF($D354="폐업",INDEX(폐업정보!$D$3:$R$3000,MATCH($F354,폐업정보!$I$3:$I$3000,0),MATCH(E$3,폐업정보!$D$3:$R$3,0)),
"Error"))</f>
        <v>강원</v>
      </c>
      <c r="F35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B0349</v>
      </c>
      <c r="G354" s="76" t="str">
        <f aca="false">F354&amp;RANDBETWEEN(0,10)</f>
        <v>B03497</v>
      </c>
      <c r="H354" s="75" t="n">
        <f aca="false">
IF($D354="정상",INDEX(임대자산!$D$3:$R$3000,MATCH($F354,임대자산!$I$3:$I$3000,0),MATCH(H$4,임대자산!$D$3:$R$3,0)),
IF($D354="폐업",INDEX(폐업정보!$D$3:$R$3000,MATCH($F354,폐업정보!$I$3:$I$3000,0),MATCH(H$4,폐업정보!$D$3:$R$3,0)),
"Error"))</f>
        <v>45358</v>
      </c>
      <c r="I354" s="75" t="str">
        <f aca="false">
IF($D354="정상",INDEX(임대자산!$D$3:$R$3000,MATCH($F354,임대자산!$I$3:$I$3000,0),MATCH(I$4,임대자산!$D$3:$R$3,0)),
IF($D354="폐업",INDEX(폐업정보!$D$3:$R$3000,MATCH($F354,폐업정보!$I$3:$I$3000,0),MATCH(I$4,폐업정보!$D$3:$R$3,0)),
"Error"))</f>
        <v>A0349</v>
      </c>
      <c r="J354" s="75" t="str">
        <f aca="false">
IF($D354="정상",INDEX(임대자산!$D$3:$R$3000,MATCH($F354,임대자산!$I$3:$I$3000,0),MATCH(J$4,임대자산!$D$3:$R$3,0)),
IF($D354="폐업",INDEX(폐업정보!$D$3:$R$3000,MATCH($F354,폐업정보!$I$3:$I$3000,0),MATCH(J$4,폐업정보!$D$3:$R$3,0)),
"Error"))</f>
        <v>8402800000</v>
      </c>
      <c r="K354" s="75" t="str">
        <f aca="false">
IF($D354="정상",INDEX(임대자산!$D$3:$R$3000,MATCH($F354,임대자산!$I$3:$I$3000,0),MATCH(K$4,임대자산!$D$3:$R$3,0)),
IF($D354="폐업",INDEX(폐업정보!$D$3:$R$3000,MATCH($F354,폐업정보!$I$3:$I$3000,0),MATCH(K$4,폐업정보!$D$3:$R$3,0)),
"Error"))</f>
        <v>C0349</v>
      </c>
      <c r="L354" s="75" t="str">
        <f aca="false">
IF($D354="정상",INDEX(임대자산!$D$3:$R$3000,MATCH($F354,임대자산!$I$3:$I$3000,0),MATCH(L$4,임대자산!$D$3:$R$3,0)),
IF($D354="폐업",INDEX(폐업정보!$D$3:$R$3000,MATCH($F354,폐업정보!$I$3:$I$3000,0),MATCH(L$4,폐업정보!$D$3:$R$3,0)),
"Error"))</f>
        <v>D0349</v>
      </c>
      <c r="M354" s="76" t="s">
        <v>96</v>
      </c>
      <c r="N354" s="77"/>
      <c r="O354" s="78" t="s">
        <v>97</v>
      </c>
      <c r="P354" s="79" t="n">
        <f aca="false">COUNTIFS(임대자산!$I:$I,가맹점정보!F354,임대자산!$N:$N,가맹점정보!P$4)</f>
        <v>0</v>
      </c>
      <c r="Q354" s="80" t="n">
        <f aca="false">COUNTIFS(임대자산!$I:$I,가맹점정보!F354,임대자산!$N:$N,가맹점정보!Q$4)</f>
        <v>0</v>
      </c>
      <c r="R354" s="81" t="n">
        <f aca="false">COUNTIFS(임대자산!$I:$I,가맹점정보!F354,임대자산!$N:$N,가맹점정보!R$4)</f>
        <v>1</v>
      </c>
      <c r="S354" s="82" t="n">
        <v>55000</v>
      </c>
      <c r="T354" s="83" t="n">
        <v>0</v>
      </c>
      <c r="U354" s="80" t="n">
        <f aca="false">SUM(S354:T354)</f>
        <v>55000</v>
      </c>
      <c r="V354" s="84" t="s">
        <v>12</v>
      </c>
      <c r="W354" s="80" t="e">
        <f aca="true">
IF(D354="폐업","폐업",
IF(V354="면제","면제",
IF(AND(V354="정상",COUNTIFS(OFFSET(Y354,0,COUNTA(Y354:AV354)-1,1,-4),"미납")&gt;=3),"장기미납",
IF(AND(V354="정상",OFFSET(Y354,0,COUNTA(Y354:AV354)-1)&gt;=U354),"정상",
IF(AND(V354="정상",OFFSET(Y354,0,COUNTA(Y354:AV354)-1)=0),"정상",
"계약서 미작성")))))</f>
        <v>#VALUE!</v>
      </c>
      <c r="X354" s="81" t="str">
        <f aca="true">
IF(D354="폐업","폐업",
IF(AND(V354="정상",OFFSET(Y354,0,COUNTA(Y354:AV354)-1)="미납"),"미납",
IF(AND(V354="정상",OFFSET(Y354,0,COUNTA(Y354:AV354)-1)=0),"납부 시작 전",
IF(AND(V354="정상",OFFSET(Y354,0,COUNTA(Y354:AV354)-1)&gt;=U354),"정상",
IF(AND(V354="면제",OFFSET(Y354,0,COUNTA(Y354:AV354)-1)="면제"),"면제",
IF(AND(V354="면제",OFFSET(Y354,0,COUNTA(Y354:AV354)-1)=0),"면제",
"확인요청"))))))</f>
        <v>정상</v>
      </c>
      <c r="Y354" s="93" t="n">
        <v>55000</v>
      </c>
      <c r="Z354" s="90" t="n">
        <v>55000</v>
      </c>
      <c r="AA354" s="90" t="n">
        <v>55000</v>
      </c>
      <c r="AB354" s="90" t="n">
        <v>55000</v>
      </c>
      <c r="AC354" s="90" t="n">
        <v>55000</v>
      </c>
      <c r="AD354" s="90" t="n">
        <v>55000</v>
      </c>
      <c r="AE354" s="90" t="n">
        <v>55000</v>
      </c>
      <c r="AF354" s="90" t="n">
        <v>55000</v>
      </c>
      <c r="AG354" s="90" t="n">
        <v>55000</v>
      </c>
      <c r="AH354" s="90" t="n">
        <v>55000</v>
      </c>
      <c r="AI354" s="90" t="n">
        <v>55000</v>
      </c>
      <c r="AJ354" s="91" t="n">
        <v>55000</v>
      </c>
      <c r="AK354" s="89" t="n">
        <v>55000</v>
      </c>
      <c r="AL354" s="90" t="n">
        <v>55000</v>
      </c>
      <c r="AM354" s="90"/>
      <c r="AN354" s="90"/>
      <c r="AO354" s="90"/>
      <c r="AP354" s="90"/>
      <c r="AQ354" s="90"/>
      <c r="AR354" s="90"/>
      <c r="AS354" s="90"/>
      <c r="AT354" s="90"/>
      <c r="AU354" s="90"/>
      <c r="AV354" s="91"/>
      <c r="AX354" s="92"/>
    </row>
    <row r="355" customFormat="false" ht="15.65" hidden="false" customHeight="false" outlineLevel="0" collapsed="false">
      <c r="C355" s="72" t="n">
        <f aca="false">COUNTIFS($D$6:D355,"&lt;&gt;"&amp;"")</f>
        <v>350</v>
      </c>
      <c r="D355" s="73" t="s">
        <v>12</v>
      </c>
      <c r="E355" s="76" t="str">
        <f aca="false">
IF($D355="정상",INDEX(임대자산!$D$3:$R$3000,MATCH($F355,임대자산!$I$3:$I$3000,0),MATCH(E$3,임대자산!$D$3:$R$3,0)),
IF($D355="폐업",INDEX(폐업정보!$D$3:$R$3000,MATCH($F355,폐업정보!$I$3:$I$3000,0),MATCH(E$3,폐업정보!$D$3:$R$3,0)),
"Error"))</f>
        <v>경상</v>
      </c>
      <c r="F35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B0350</v>
      </c>
      <c r="G355" s="76" t="str">
        <f aca="false">F355&amp;RANDBETWEEN(0,10)</f>
        <v>B035010</v>
      </c>
      <c r="H355" s="75" t="n">
        <f aca="false">
IF($D355="정상",INDEX(임대자산!$D$3:$R$3000,MATCH($F355,임대자산!$I$3:$I$3000,0),MATCH(H$4,임대자산!$D$3:$R$3,0)),
IF($D355="폐업",INDEX(폐업정보!$D$3:$R$3000,MATCH($F355,폐업정보!$I$3:$I$3000,0),MATCH(H$4,폐업정보!$D$3:$R$3,0)),
"Error"))</f>
        <v>45588</v>
      </c>
      <c r="I355" s="75" t="str">
        <f aca="false">
IF($D355="정상",INDEX(임대자산!$D$3:$R$3000,MATCH($F355,임대자산!$I$3:$I$3000,0),MATCH(I$4,임대자산!$D$3:$R$3,0)),
IF($D355="폐업",INDEX(폐업정보!$D$3:$R$3000,MATCH($F355,폐업정보!$I$3:$I$3000,0),MATCH(I$4,폐업정보!$D$3:$R$3,0)),
"Error"))</f>
        <v>A0350</v>
      </c>
      <c r="J355" s="75" t="str">
        <f aca="false">
IF($D355="정상",INDEX(임대자산!$D$3:$R$3000,MATCH($F355,임대자산!$I$3:$I$3000,0),MATCH(J$4,임대자산!$D$3:$R$3,0)),
IF($D355="폐업",INDEX(폐업정보!$D$3:$R$3000,MATCH($F355,폐업정보!$I$3:$I$3000,0),MATCH(J$4,폐업정보!$D$3:$R$3,0)),
"Error"))</f>
        <v>7126400000</v>
      </c>
      <c r="K355" s="75" t="str">
        <f aca="false">
IF($D355="정상",INDEX(임대자산!$D$3:$R$3000,MATCH($F355,임대자산!$I$3:$I$3000,0),MATCH(K$4,임대자산!$D$3:$R$3,0)),
IF($D355="폐업",INDEX(폐업정보!$D$3:$R$3000,MATCH($F355,폐업정보!$I$3:$I$3000,0),MATCH(K$4,폐업정보!$D$3:$R$3,0)),
"Error"))</f>
        <v>C0350</v>
      </c>
      <c r="L355" s="75" t="str">
        <f aca="false">
IF($D355="정상",INDEX(임대자산!$D$3:$R$3000,MATCH($F355,임대자산!$I$3:$I$3000,0),MATCH(L$4,임대자산!$D$3:$R$3,0)),
IF($D355="폐업",INDEX(폐업정보!$D$3:$R$3000,MATCH($F355,폐업정보!$I$3:$I$3000,0),MATCH(L$4,폐업정보!$D$3:$R$3,0)),
"Error"))</f>
        <v>D0350</v>
      </c>
      <c r="M355" s="76" t="s">
        <v>96</v>
      </c>
      <c r="N355" s="77"/>
      <c r="O355" s="78" t="s">
        <v>97</v>
      </c>
      <c r="P355" s="79" t="n">
        <f aca="false">COUNTIFS(임대자산!$I:$I,가맹점정보!F355,임대자산!$N:$N,가맹점정보!P$4)</f>
        <v>0</v>
      </c>
      <c r="Q355" s="80" t="n">
        <f aca="false">COUNTIFS(임대자산!$I:$I,가맹점정보!F355,임대자산!$N:$N,가맹점정보!Q$4)</f>
        <v>0</v>
      </c>
      <c r="R355" s="81" t="n">
        <f aca="false">COUNTIFS(임대자산!$I:$I,가맹점정보!F355,임대자산!$N:$N,가맹점정보!R$4)</f>
        <v>1</v>
      </c>
      <c r="S355" s="82" t="n">
        <v>55000</v>
      </c>
      <c r="T355" s="83" t="n">
        <v>0</v>
      </c>
      <c r="U355" s="80" t="n">
        <f aca="false">SUM(S355:T355)</f>
        <v>55000</v>
      </c>
      <c r="V355" s="84" t="s">
        <v>12</v>
      </c>
      <c r="W355" s="80" t="e">
        <f aca="true">
IF(D355="폐업","폐업",
IF(V355="면제","면제",
IF(AND(V355="정상",COUNTIFS(OFFSET(Y355,0,COUNTA(Y355:AV355)-1,1,-4),"미납")&gt;=3),"장기미납",
IF(AND(V355="정상",OFFSET(Y355,0,COUNTA(Y355:AV355)-1)&gt;=U355),"정상",
IF(AND(V355="정상",OFFSET(Y355,0,COUNTA(Y355:AV355)-1)=0),"정상",
"계약서 미작성")))))</f>
        <v>#VALUE!</v>
      </c>
      <c r="X355" s="81" t="str">
        <f aca="true">
IF(D355="폐업","폐업",
IF(AND(V355="정상",OFFSET(Y355,0,COUNTA(Y355:AV355)-1)="미납"),"미납",
IF(AND(V355="정상",OFFSET(Y355,0,COUNTA(Y355:AV355)-1)=0),"납부 시작 전",
IF(AND(V355="정상",OFFSET(Y355,0,COUNTA(Y355:AV355)-1)&gt;=U355),"정상",
IF(AND(V355="면제",OFFSET(Y355,0,COUNTA(Y355:AV355)-1)="면제"),"면제",
IF(AND(V355="면제",OFFSET(Y355,0,COUNTA(Y355:AV355)-1)=0),"면제",
"확인요청"))))))</f>
        <v>정상</v>
      </c>
      <c r="Y355" s="93" t="n">
        <v>55000</v>
      </c>
      <c r="Z355" s="90" t="n">
        <v>55000</v>
      </c>
      <c r="AA355" s="90" t="n">
        <v>55000</v>
      </c>
      <c r="AB355" s="90" t="n">
        <v>55000</v>
      </c>
      <c r="AC355" s="90" t="n">
        <v>55000</v>
      </c>
      <c r="AD355" s="90" t="n">
        <v>55000</v>
      </c>
      <c r="AE355" s="90" t="n">
        <v>55000</v>
      </c>
      <c r="AF355" s="90" t="n">
        <v>55000</v>
      </c>
      <c r="AG355" s="90" t="n">
        <v>55000</v>
      </c>
      <c r="AH355" s="90" t="n">
        <v>55000</v>
      </c>
      <c r="AI355" s="90" t="n">
        <v>55000</v>
      </c>
      <c r="AJ355" s="91" t="n">
        <v>55000</v>
      </c>
      <c r="AK355" s="89" t="n">
        <v>55000</v>
      </c>
      <c r="AL355" s="90" t="n">
        <v>55000</v>
      </c>
      <c r="AM355" s="90"/>
      <c r="AN355" s="90"/>
      <c r="AO355" s="90"/>
      <c r="AP355" s="90"/>
      <c r="AQ355" s="90"/>
      <c r="AR355" s="90"/>
      <c r="AS355" s="90"/>
      <c r="AT355" s="90"/>
      <c r="AU355" s="90"/>
      <c r="AV355" s="91"/>
      <c r="AX355" s="92"/>
    </row>
    <row r="356" customFormat="false" ht="15.65" hidden="false" customHeight="false" outlineLevel="0" collapsed="false">
      <c r="C356" s="72" t="n">
        <f aca="false">COUNTIFS($D$6:D356,"&lt;&gt;"&amp;"")</f>
        <v>351</v>
      </c>
      <c r="D356" s="73" t="s">
        <v>12</v>
      </c>
      <c r="E356" s="76" t="str">
        <f aca="false">
IF($D356="정상",INDEX(임대자산!$D$3:$R$3000,MATCH($F356,임대자산!$I$3:$I$3000,0),MATCH(E$3,임대자산!$D$3:$R$3,0)),
IF($D356="폐업",INDEX(폐업정보!$D$3:$R$3000,MATCH($F356,폐업정보!$I$3:$I$3000,0),MATCH(E$3,폐업정보!$D$3:$R$3,0)),
"Error"))</f>
        <v>경기</v>
      </c>
      <c r="F35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B0351</v>
      </c>
      <c r="G356" s="76" t="str">
        <f aca="false">F356&amp;RANDBETWEEN(0,10)</f>
        <v>B03510</v>
      </c>
      <c r="H356" s="75" t="n">
        <f aca="false">
IF($D356="정상",INDEX(임대자산!$D$3:$R$3000,MATCH($F356,임대자산!$I$3:$I$3000,0),MATCH(H$4,임대자산!$D$3:$R$3,0)),
IF($D356="폐업",INDEX(폐업정보!$D$3:$R$3000,MATCH($F356,폐업정보!$I$3:$I$3000,0),MATCH(H$4,폐업정보!$D$3:$R$3,0)),
"Error"))</f>
        <v>45667</v>
      </c>
      <c r="I356" s="75" t="str">
        <f aca="false">
IF($D356="정상",INDEX(임대자산!$D$3:$R$3000,MATCH($F356,임대자산!$I$3:$I$3000,0),MATCH(I$4,임대자산!$D$3:$R$3,0)),
IF($D356="폐업",INDEX(폐업정보!$D$3:$R$3000,MATCH($F356,폐업정보!$I$3:$I$3000,0),MATCH(I$4,폐업정보!$D$3:$R$3,0)),
"Error"))</f>
        <v>A0351</v>
      </c>
      <c r="J356" s="75" t="str">
        <f aca="false">
IF($D356="정상",INDEX(임대자산!$D$3:$R$3000,MATCH($F356,임대자산!$I$3:$I$3000,0),MATCH(J$4,임대자산!$D$3:$R$3,0)),
IF($D356="폐업",INDEX(폐업정보!$D$3:$R$3000,MATCH($F356,폐업정보!$I$3:$I$3000,0),MATCH(J$4,폐업정보!$D$3:$R$3,0)),
"Error"))</f>
        <v>4314000000</v>
      </c>
      <c r="K356" s="75" t="str">
        <f aca="false">
IF($D356="정상",INDEX(임대자산!$D$3:$R$3000,MATCH($F356,임대자산!$I$3:$I$3000,0),MATCH(K$4,임대자산!$D$3:$R$3,0)),
IF($D356="폐업",INDEX(폐업정보!$D$3:$R$3000,MATCH($F356,폐업정보!$I$3:$I$3000,0),MATCH(K$4,폐업정보!$D$3:$R$3,0)),
"Error"))</f>
        <v>C0351</v>
      </c>
      <c r="L356" s="75" t="str">
        <f aca="false">
IF($D356="정상",INDEX(임대자산!$D$3:$R$3000,MATCH($F356,임대자산!$I$3:$I$3000,0),MATCH(L$4,임대자산!$D$3:$R$3,0)),
IF($D356="폐업",INDEX(폐업정보!$D$3:$R$3000,MATCH($F356,폐업정보!$I$3:$I$3000,0),MATCH(L$4,폐업정보!$D$3:$R$3,0)),
"Error"))</f>
        <v>D0351</v>
      </c>
      <c r="M356" s="76" t="s">
        <v>96</v>
      </c>
      <c r="N356" s="77"/>
      <c r="O356" s="78" t="s">
        <v>97</v>
      </c>
      <c r="P356" s="79" t="n">
        <f aca="false">COUNTIFS(임대자산!$I:$I,가맹점정보!F356,임대자산!$N:$N,가맹점정보!P$4)</f>
        <v>0</v>
      </c>
      <c r="Q356" s="80" t="n">
        <f aca="false">COUNTIFS(임대자산!$I:$I,가맹점정보!F356,임대자산!$N:$N,가맹점정보!Q$4)</f>
        <v>0</v>
      </c>
      <c r="R356" s="81" t="n">
        <f aca="false">COUNTIFS(임대자산!$I:$I,가맹점정보!F356,임대자산!$N:$N,가맹점정보!R$4)</f>
        <v>1</v>
      </c>
      <c r="S356" s="82" t="n">
        <v>55000</v>
      </c>
      <c r="T356" s="83" t="n">
        <v>0</v>
      </c>
      <c r="U356" s="80" t="n">
        <f aca="false">SUM(S356:T356)</f>
        <v>55000</v>
      </c>
      <c r="V356" s="84" t="s">
        <v>7</v>
      </c>
      <c r="W356" s="80" t="str">
        <f aca="true">
IF(D356="폐업","폐업",
IF(V356="면제","면제",
IF(AND(V356="정상",COUNTIFS(OFFSET(Y356,0,COUNTA(Y356:AV356)-1,1,-4),"미납")&gt;=3),"장기미납",
IF(AND(V356="정상",OFFSET(Y356,0,COUNTA(Y356:AV356)-1)&gt;=U356),"정상",
IF(AND(V356="정상",OFFSET(Y356,0,COUNTA(Y356:AV356)-1)=0),"정상",
"계약서 미작성")))))</f>
        <v>면제</v>
      </c>
      <c r="X356" s="81" t="str">
        <f aca="true">
IF(D356="폐업","폐업",
IF(AND(V356="정상",OFFSET(Y356,0,COUNTA(Y356:AV356)-1)="미납"),"미납",
IF(AND(V356="정상",OFFSET(Y356,0,COUNTA(Y356:AV356)-1)=0),"납부 시작 전",
IF(AND(V356="정상",OFFSET(Y356,0,COUNTA(Y356:AV356)-1)&gt;=U356),"정상",
IF(AND(V356="면제",OFFSET(Y356,0,COUNTA(Y356:AV356)-1)="면제"),"면제",
IF(AND(V356="면제",OFFSET(Y356,0,COUNTA(Y356:AV356)-1)=0),"면제",
"확인요청"))))))</f>
        <v>면제</v>
      </c>
      <c r="Y356" s="94" t="s">
        <v>7</v>
      </c>
      <c r="Z356" s="95" t="s">
        <v>7</v>
      </c>
      <c r="AA356" s="95" t="s">
        <v>7</v>
      </c>
      <c r="AB356" s="95" t="s">
        <v>7</v>
      </c>
      <c r="AC356" s="95" t="s">
        <v>7</v>
      </c>
      <c r="AD356" s="95" t="s">
        <v>7</v>
      </c>
      <c r="AE356" s="95" t="s">
        <v>7</v>
      </c>
      <c r="AF356" s="95" t="s">
        <v>7</v>
      </c>
      <c r="AG356" s="95" t="s">
        <v>7</v>
      </c>
      <c r="AH356" s="95" t="s">
        <v>7</v>
      </c>
      <c r="AI356" s="95" t="s">
        <v>7</v>
      </c>
      <c r="AJ356" s="96" t="s">
        <v>7</v>
      </c>
      <c r="AK356" s="97" t="s">
        <v>7</v>
      </c>
      <c r="AL356" s="95" t="s">
        <v>7</v>
      </c>
      <c r="AM356" s="90"/>
      <c r="AN356" s="90"/>
      <c r="AO356" s="90"/>
      <c r="AP356" s="90"/>
      <c r="AQ356" s="90"/>
      <c r="AR356" s="90"/>
      <c r="AS356" s="90"/>
      <c r="AT356" s="90"/>
      <c r="AU356" s="90"/>
      <c r="AV356" s="91"/>
      <c r="AX356" s="92"/>
    </row>
    <row r="357" customFormat="false" ht="15.65" hidden="false" customHeight="false" outlineLevel="0" collapsed="false">
      <c r="C357" s="72" t="n">
        <f aca="false">COUNTIFS($D$6:D357,"&lt;&gt;"&amp;"")</f>
        <v>352</v>
      </c>
      <c r="D357" s="73" t="s">
        <v>5</v>
      </c>
      <c r="E357" s="76" t="str">
        <f aca="false">
IF($D357="정상",INDEX(임대자산!$D$3:$R$3000,MATCH($F357,임대자산!$I$3:$I$3000,0),MATCH(E$3,임대자산!$D$3:$R$3,0)),
IF($D357="폐업",INDEX(폐업정보!$D$3:$R$3000,MATCH($F357,폐업정보!$I$3:$I$3000,0),MATCH(E$3,폐업정보!$D$3:$R$3,0)),
"Error"))</f>
        <v>경기</v>
      </c>
      <c r="F35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B0352</v>
      </c>
      <c r="G357" s="76" t="str">
        <f aca="false">F357&amp;RANDBETWEEN(0,10)</f>
        <v>B03529</v>
      </c>
      <c r="H357" s="75" t="n">
        <f aca="false">
IF($D357="정상",INDEX(임대자산!$D$3:$R$3000,MATCH($F357,임대자산!$I$3:$I$3000,0),MATCH(H$4,임대자산!$D$3:$R$3,0)),
IF($D357="폐업",INDEX(폐업정보!$D$3:$R$3000,MATCH($F357,폐업정보!$I$3:$I$3000,0),MATCH(H$4,폐업정보!$D$3:$R$3,0)),
"Error"))</f>
        <v>45667</v>
      </c>
      <c r="I357" s="75" t="str">
        <f aca="false">
IF($D357="정상",INDEX(임대자산!$D$3:$R$3000,MATCH($F357,임대자산!$I$3:$I$3000,0),MATCH(I$4,임대자산!$D$3:$R$3,0)),
IF($D357="폐업",INDEX(폐업정보!$D$3:$R$3000,MATCH($F357,폐업정보!$I$3:$I$3000,0),MATCH(I$4,폐업정보!$D$3:$R$3,0)),
"Error"))</f>
        <v>A0352</v>
      </c>
      <c r="J357" s="75" t="str">
        <f aca="false">
IF($D357="정상",INDEX(임대자산!$D$3:$R$3000,MATCH($F357,임대자산!$I$3:$I$3000,0),MATCH(J$4,임대자산!$D$3:$R$3,0)),
IF($D357="폐업",INDEX(폐업정보!$D$3:$R$3000,MATCH($F357,폐업정보!$I$3:$I$3000,0),MATCH(J$4,폐업정보!$D$3:$R$3,0)),
"Error"))</f>
        <v>4729000000</v>
      </c>
      <c r="K357" s="75" t="str">
        <f aca="false">
IF($D357="정상",INDEX(임대자산!$D$3:$R$3000,MATCH($F357,임대자산!$I$3:$I$3000,0),MATCH(K$4,임대자산!$D$3:$R$3,0)),
IF($D357="폐업",INDEX(폐업정보!$D$3:$R$3000,MATCH($F357,폐업정보!$I$3:$I$3000,0),MATCH(K$4,폐업정보!$D$3:$R$3,0)),
"Error"))</f>
        <v>C0352</v>
      </c>
      <c r="L357" s="75" t="str">
        <f aca="false">
IF($D357="정상",INDEX(임대자산!$D$3:$R$3000,MATCH($F357,임대자산!$I$3:$I$3000,0),MATCH(L$4,임대자산!$D$3:$R$3,0)),
IF($D357="폐업",INDEX(폐업정보!$D$3:$R$3000,MATCH($F357,폐업정보!$I$3:$I$3000,0),MATCH(L$4,폐업정보!$D$3:$R$3,0)),
"Error"))</f>
        <v>D0352</v>
      </c>
      <c r="M357" s="76" t="s">
        <v>96</v>
      </c>
      <c r="N357" s="77"/>
      <c r="O357" s="78" t="s">
        <v>97</v>
      </c>
      <c r="P357" s="79" t="n">
        <f aca="false">COUNTIFS(임대자산!$I:$I,가맹점정보!F357,임대자산!$N:$N,가맹점정보!P$4)</f>
        <v>0</v>
      </c>
      <c r="Q357" s="80" t="n">
        <f aca="false">COUNTIFS(임대자산!$I:$I,가맹점정보!F357,임대자산!$N:$N,가맹점정보!Q$4)</f>
        <v>0</v>
      </c>
      <c r="R357" s="81" t="n">
        <f aca="false">COUNTIFS(임대자산!$I:$I,가맹점정보!F357,임대자산!$N:$N,가맹점정보!R$4)</f>
        <v>0</v>
      </c>
      <c r="S357" s="82" t="n">
        <v>55000</v>
      </c>
      <c r="T357" s="83" t="n">
        <v>0</v>
      </c>
      <c r="U357" s="80" t="n">
        <f aca="false">SUM(S357:T357)</f>
        <v>55000</v>
      </c>
      <c r="V357" s="84" t="s">
        <v>12</v>
      </c>
      <c r="W357" s="80" t="str">
        <f aca="true">
IF(D357="폐업","폐업",
IF(V357="면제","면제",
IF(AND(V357="정상",COUNTIFS(OFFSET(Y357,0,COUNTA(Y357:AV357)-1,1,-4),"미납")&gt;=3),"장기미납",
IF(AND(V357="정상",OFFSET(Y357,0,COUNTA(Y357:AV357)-1)&gt;=U357),"정상",
IF(AND(V357="정상",OFFSET(Y357,0,COUNTA(Y357:AV357)-1)=0),"정상",
"계약서 미작성")))))</f>
        <v>폐업</v>
      </c>
      <c r="X357" s="81" t="str">
        <f aca="true">
IF(D357="폐업","폐업",
IF(AND(V357="정상",OFFSET(Y357,0,COUNTA(Y357:AV357)-1)="미납"),"미납",
IF(AND(V357="정상",OFFSET(Y357,0,COUNTA(Y357:AV357)-1)=0),"납부 시작 전",
IF(AND(V357="정상",OFFSET(Y357,0,COUNTA(Y357:AV357)-1)&gt;=U357),"정상",
IF(AND(V357="면제",OFFSET(Y357,0,COUNTA(Y357:AV357)-1)="면제"),"면제",
IF(AND(V357="면제",OFFSET(Y357,0,COUNTA(Y357:AV357)-1)=0),"면제",
"확인요청"))))))</f>
        <v>폐업</v>
      </c>
      <c r="Y357" s="93" t="n">
        <v>55000</v>
      </c>
      <c r="Z357" s="90" t="n">
        <v>55000</v>
      </c>
      <c r="AA357" s="90" t="n">
        <v>55000</v>
      </c>
      <c r="AB357" s="90" t="n">
        <v>55000</v>
      </c>
      <c r="AC357" s="90" t="n">
        <v>55000</v>
      </c>
      <c r="AD357" s="90" t="n">
        <v>55000</v>
      </c>
      <c r="AE357" s="90" t="n">
        <v>55000</v>
      </c>
      <c r="AF357" s="90" t="n">
        <v>55000</v>
      </c>
      <c r="AG357" s="90" t="n">
        <v>55000</v>
      </c>
      <c r="AH357" s="90" t="n">
        <v>55000</v>
      </c>
      <c r="AI357" s="90" t="n">
        <v>55000</v>
      </c>
      <c r="AJ357" s="91" t="n">
        <v>55000</v>
      </c>
      <c r="AK357" s="89" t="n">
        <v>55000</v>
      </c>
      <c r="AL357" s="90" t="n">
        <v>55000</v>
      </c>
      <c r="AM357" s="90"/>
      <c r="AN357" s="90"/>
      <c r="AO357" s="90"/>
      <c r="AP357" s="90"/>
      <c r="AQ357" s="90"/>
      <c r="AR357" s="90"/>
      <c r="AS357" s="90"/>
      <c r="AT357" s="90"/>
      <c r="AU357" s="90"/>
      <c r="AV357" s="91"/>
      <c r="AX357" s="92"/>
    </row>
    <row r="358" customFormat="false" ht="15.65" hidden="false" customHeight="false" outlineLevel="0" collapsed="false">
      <c r="C358" s="72" t="n">
        <f aca="false">COUNTIFS($D$6:D358,"&lt;&gt;"&amp;"")</f>
        <v>353</v>
      </c>
      <c r="D358" s="73" t="s">
        <v>5</v>
      </c>
      <c r="E358" s="76" t="str">
        <f aca="false">
IF($D358="정상",INDEX(임대자산!$D$3:$R$3000,MATCH($F358,임대자산!$I$3:$I$3000,0),MATCH(E$3,임대자산!$D$3:$R$3,0)),
IF($D358="폐업",INDEX(폐업정보!$D$3:$R$3000,MATCH($F358,폐업정보!$I$3:$I$3000,0),MATCH(E$3,폐업정보!$D$3:$R$3,0)),
"Error"))</f>
        <v>경기</v>
      </c>
      <c r="F35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B0353</v>
      </c>
      <c r="G358" s="76" t="str">
        <f aca="false">F358&amp;RANDBETWEEN(0,10)</f>
        <v>B03535</v>
      </c>
      <c r="H358" s="75" t="n">
        <f aca="false">
IF($D358="정상",INDEX(임대자산!$D$3:$R$3000,MATCH($F358,임대자산!$I$3:$I$3000,0),MATCH(H$4,임대자산!$D$3:$R$3,0)),
IF($D358="폐업",INDEX(폐업정보!$D$3:$R$3000,MATCH($F358,폐업정보!$I$3:$I$3000,0),MATCH(H$4,폐업정보!$D$3:$R$3,0)),
"Error"))</f>
        <v>45667</v>
      </c>
      <c r="I358" s="75" t="str">
        <f aca="false">
IF($D358="정상",INDEX(임대자산!$D$3:$R$3000,MATCH($F358,임대자산!$I$3:$I$3000,0),MATCH(I$4,임대자산!$D$3:$R$3,0)),
IF($D358="폐업",INDEX(폐업정보!$D$3:$R$3000,MATCH($F358,폐업정보!$I$3:$I$3000,0),MATCH(I$4,폐업정보!$D$3:$R$3,0)),
"Error"))</f>
        <v>A0353</v>
      </c>
      <c r="J358" s="75" t="str">
        <f aca="false">
IF($D358="정상",INDEX(임대자산!$D$3:$R$3000,MATCH($F358,임대자산!$I$3:$I$3000,0),MATCH(J$4,임대자산!$D$3:$R$3,0)),
IF($D358="폐업",INDEX(폐업정보!$D$3:$R$3000,MATCH($F358,폐업정보!$I$3:$I$3000,0),MATCH(J$4,폐업정보!$D$3:$R$3,0)),
"Error"))</f>
        <v>9591400000</v>
      </c>
      <c r="K358" s="75" t="str">
        <f aca="false">
IF($D358="정상",INDEX(임대자산!$D$3:$R$3000,MATCH($F358,임대자산!$I$3:$I$3000,0),MATCH(K$4,임대자산!$D$3:$R$3,0)),
IF($D358="폐업",INDEX(폐업정보!$D$3:$R$3000,MATCH($F358,폐업정보!$I$3:$I$3000,0),MATCH(K$4,폐업정보!$D$3:$R$3,0)),
"Error"))</f>
        <v>C0353</v>
      </c>
      <c r="L358" s="75" t="str">
        <f aca="false">
IF($D358="정상",INDEX(임대자산!$D$3:$R$3000,MATCH($F358,임대자산!$I$3:$I$3000,0),MATCH(L$4,임대자산!$D$3:$R$3,0)),
IF($D358="폐업",INDEX(폐업정보!$D$3:$R$3000,MATCH($F358,폐업정보!$I$3:$I$3000,0),MATCH(L$4,폐업정보!$D$3:$R$3,0)),
"Error"))</f>
        <v>D0353</v>
      </c>
      <c r="M358" s="76" t="s">
        <v>96</v>
      </c>
      <c r="N358" s="77"/>
      <c r="O358" s="78" t="s">
        <v>97</v>
      </c>
      <c r="P358" s="79" t="n">
        <f aca="false">COUNTIFS(임대자산!$I:$I,가맹점정보!F358,임대자산!$N:$N,가맹점정보!P$4)</f>
        <v>0</v>
      </c>
      <c r="Q358" s="80" t="n">
        <f aca="false">COUNTIFS(임대자산!$I:$I,가맹점정보!F358,임대자산!$N:$N,가맹점정보!Q$4)</f>
        <v>0</v>
      </c>
      <c r="R358" s="81" t="n">
        <f aca="false">COUNTIFS(임대자산!$I:$I,가맹점정보!F358,임대자산!$N:$N,가맹점정보!R$4)</f>
        <v>0</v>
      </c>
      <c r="S358" s="82" t="n">
        <v>55000</v>
      </c>
      <c r="T358" s="83" t="n">
        <v>0</v>
      </c>
      <c r="U358" s="80" t="n">
        <f aca="false">SUM(S358:T358)</f>
        <v>55000</v>
      </c>
      <c r="V358" s="84" t="s">
        <v>12</v>
      </c>
      <c r="W358" s="80" t="str">
        <f aca="true">
IF(D358="폐업","폐업",
IF(V358="면제","면제",
IF(AND(V358="정상",COUNTIFS(OFFSET(Y358,0,COUNTA(Y358:AV358)-1,1,-4),"미납")&gt;=3),"장기미납",
IF(AND(V358="정상",OFFSET(Y358,0,COUNTA(Y358:AV358)-1)&gt;=U358),"정상",
IF(AND(V358="정상",OFFSET(Y358,0,COUNTA(Y358:AV358)-1)=0),"정상",
"계약서 미작성")))))</f>
        <v>폐업</v>
      </c>
      <c r="X358" s="81" t="str">
        <f aca="true">
IF(D358="폐업","폐업",
IF(AND(V358="정상",OFFSET(Y358,0,COUNTA(Y358:AV358)-1)="미납"),"미납",
IF(AND(V358="정상",OFFSET(Y358,0,COUNTA(Y358:AV358)-1)=0),"납부 시작 전",
IF(AND(V358="정상",OFFSET(Y358,0,COUNTA(Y358:AV358)-1)&gt;=U358),"정상",
IF(AND(V358="면제",OFFSET(Y358,0,COUNTA(Y358:AV358)-1)="면제"),"면제",
IF(AND(V358="면제",OFFSET(Y358,0,COUNTA(Y358:AV358)-1)=0),"면제",
"확인요청"))))))</f>
        <v>폐업</v>
      </c>
      <c r="Y358" s="93" t="n">
        <v>55000</v>
      </c>
      <c r="Z358" s="90" t="n">
        <v>55000</v>
      </c>
      <c r="AA358" s="90" t="n">
        <v>55000</v>
      </c>
      <c r="AB358" s="90" t="n">
        <v>55000</v>
      </c>
      <c r="AC358" s="90" t="n">
        <v>55000</v>
      </c>
      <c r="AD358" s="90" t="n">
        <v>55000</v>
      </c>
      <c r="AE358" s="90" t="n">
        <v>55000</v>
      </c>
      <c r="AF358" s="90" t="n">
        <v>55000</v>
      </c>
      <c r="AG358" s="90" t="n">
        <v>55000</v>
      </c>
      <c r="AH358" s="90" t="n">
        <v>55000</v>
      </c>
      <c r="AI358" s="90" t="n">
        <v>55000</v>
      </c>
      <c r="AJ358" s="91" t="n">
        <v>55000</v>
      </c>
      <c r="AK358" s="89" t="n">
        <v>55000</v>
      </c>
      <c r="AL358" s="90" t="n">
        <v>55000</v>
      </c>
      <c r="AM358" s="90"/>
      <c r="AN358" s="90"/>
      <c r="AO358" s="90"/>
      <c r="AP358" s="90"/>
      <c r="AQ358" s="90"/>
      <c r="AR358" s="90"/>
      <c r="AS358" s="90"/>
      <c r="AT358" s="90"/>
      <c r="AU358" s="90"/>
      <c r="AV358" s="91"/>
      <c r="AX358" s="92"/>
    </row>
    <row r="359" customFormat="false" ht="15.65" hidden="false" customHeight="false" outlineLevel="0" collapsed="false">
      <c r="C359" s="72" t="n">
        <f aca="false">COUNTIFS($D$6:D359,"&lt;&gt;"&amp;"")</f>
        <v>354</v>
      </c>
      <c r="D359" s="73" t="s">
        <v>12</v>
      </c>
      <c r="E359" s="76" t="str">
        <f aca="false">
IF($D359="정상",INDEX(임대자산!$D$3:$R$3000,MATCH($F359,임대자산!$I$3:$I$3000,0),MATCH(E$3,임대자산!$D$3:$R$3,0)),
IF($D359="폐업",INDEX(폐업정보!$D$3:$R$3000,MATCH($F359,폐업정보!$I$3:$I$3000,0),MATCH(E$3,폐업정보!$D$3:$R$3,0)),
"Error"))</f>
        <v>서울</v>
      </c>
      <c r="F35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B0354</v>
      </c>
      <c r="G359" s="76" t="str">
        <f aca="false">F359&amp;RANDBETWEEN(0,10)</f>
        <v>B035410</v>
      </c>
      <c r="H359" s="75" t="n">
        <f aca="false">
IF($D359="정상",INDEX(임대자산!$D$3:$R$3000,MATCH($F359,임대자산!$I$3:$I$3000,0),MATCH(H$4,임대자산!$D$3:$R$3,0)),
IF($D359="폐업",INDEX(폐업정보!$D$3:$R$3000,MATCH($F359,폐업정보!$I$3:$I$3000,0),MATCH(H$4,폐업정보!$D$3:$R$3,0)),
"Error"))</f>
        <v>45356</v>
      </c>
      <c r="I359" s="75" t="str">
        <f aca="false">
IF($D359="정상",INDEX(임대자산!$D$3:$R$3000,MATCH($F359,임대자산!$I$3:$I$3000,0),MATCH(I$4,임대자산!$D$3:$R$3,0)),
IF($D359="폐업",INDEX(폐업정보!$D$3:$R$3000,MATCH($F359,폐업정보!$I$3:$I$3000,0),MATCH(I$4,폐업정보!$D$3:$R$3,0)),
"Error"))</f>
        <v>A0354</v>
      </c>
      <c r="J359" s="75" t="str">
        <f aca="false">
IF($D359="정상",INDEX(임대자산!$D$3:$R$3000,MATCH($F359,임대자산!$I$3:$I$3000,0),MATCH(J$4,임대자산!$D$3:$R$3,0)),
IF($D359="폐업",INDEX(폐업정보!$D$3:$R$3000,MATCH($F359,폐업정보!$I$3:$I$3000,0),MATCH(J$4,폐업정보!$D$3:$R$3,0)),
"Error"))</f>
        <v>9267400000</v>
      </c>
      <c r="K359" s="75" t="str">
        <f aca="false">
IF($D359="정상",INDEX(임대자산!$D$3:$R$3000,MATCH($F359,임대자산!$I$3:$I$3000,0),MATCH(K$4,임대자산!$D$3:$R$3,0)),
IF($D359="폐업",INDEX(폐업정보!$D$3:$R$3000,MATCH($F359,폐업정보!$I$3:$I$3000,0),MATCH(K$4,폐업정보!$D$3:$R$3,0)),
"Error"))</f>
        <v>C0354</v>
      </c>
      <c r="L359" s="75" t="str">
        <f aca="false">
IF($D359="정상",INDEX(임대자산!$D$3:$R$3000,MATCH($F359,임대자산!$I$3:$I$3000,0),MATCH(L$4,임대자산!$D$3:$R$3,0)),
IF($D359="폐업",INDEX(폐업정보!$D$3:$R$3000,MATCH($F359,폐업정보!$I$3:$I$3000,0),MATCH(L$4,폐업정보!$D$3:$R$3,0)),
"Error"))</f>
        <v>D0354</v>
      </c>
      <c r="M359" s="76" t="s">
        <v>96</v>
      </c>
      <c r="N359" s="77"/>
      <c r="O359" s="78" t="s">
        <v>97</v>
      </c>
      <c r="P359" s="79" t="n">
        <f aca="false">COUNTIFS(임대자산!$I:$I,가맹점정보!F359,임대자산!$N:$N,가맹점정보!P$4)</f>
        <v>0</v>
      </c>
      <c r="Q359" s="80" t="n">
        <f aca="false">COUNTIFS(임대자산!$I:$I,가맹점정보!F359,임대자산!$N:$N,가맹점정보!Q$4)</f>
        <v>0</v>
      </c>
      <c r="R359" s="81" t="n">
        <f aca="false">COUNTIFS(임대자산!$I:$I,가맹점정보!F359,임대자산!$N:$N,가맹점정보!R$4)</f>
        <v>1</v>
      </c>
      <c r="S359" s="82" t="n">
        <v>88000</v>
      </c>
      <c r="T359" s="83" t="n">
        <v>0</v>
      </c>
      <c r="U359" s="80" t="n">
        <f aca="false">SUM(S359:T359)</f>
        <v>88000</v>
      </c>
      <c r="V359" s="84" t="s">
        <v>7</v>
      </c>
      <c r="W359" s="80" t="str">
        <f aca="true">
IF(D359="폐업","폐업",
IF(V359="면제","면제",
IF(AND(V359="정상",COUNTIFS(OFFSET(Y359,0,COUNTA(Y359:AV359)-1,1,-4),"미납")&gt;=3),"장기미납",
IF(AND(V359="정상",OFFSET(Y359,0,COUNTA(Y359:AV359)-1)&gt;=U359),"정상",
IF(AND(V359="정상",OFFSET(Y359,0,COUNTA(Y359:AV359)-1)=0),"정상",
"계약서 미작성")))))</f>
        <v>면제</v>
      </c>
      <c r="X359" s="81" t="str">
        <f aca="true">
IF(D359="폐업","폐업",
IF(AND(V359="정상",OFFSET(Y359,0,COUNTA(Y359:AV359)-1)="미납"),"미납",
IF(AND(V359="정상",OFFSET(Y359,0,COUNTA(Y359:AV359)-1)=0),"납부 시작 전",
IF(AND(V359="정상",OFFSET(Y359,0,COUNTA(Y359:AV359)-1)&gt;=U359),"정상",
IF(AND(V359="면제",OFFSET(Y359,0,COUNTA(Y359:AV359)-1)="면제"),"면제",
IF(AND(V359="면제",OFFSET(Y359,0,COUNTA(Y359:AV359)-1)=0),"면제",
"확인요청"))))))</f>
        <v>면제</v>
      </c>
      <c r="Y359" s="94" t="s">
        <v>7</v>
      </c>
      <c r="Z359" s="95" t="s">
        <v>7</v>
      </c>
      <c r="AA359" s="95" t="s">
        <v>7</v>
      </c>
      <c r="AB359" s="95" t="s">
        <v>7</v>
      </c>
      <c r="AC359" s="95" t="s">
        <v>7</v>
      </c>
      <c r="AD359" s="95" t="s">
        <v>7</v>
      </c>
      <c r="AE359" s="95" t="s">
        <v>7</v>
      </c>
      <c r="AF359" s="95" t="s">
        <v>7</v>
      </c>
      <c r="AG359" s="95" t="s">
        <v>7</v>
      </c>
      <c r="AH359" s="95" t="s">
        <v>7</v>
      </c>
      <c r="AI359" s="95" t="s">
        <v>7</v>
      </c>
      <c r="AJ359" s="96" t="s">
        <v>7</v>
      </c>
      <c r="AK359" s="97" t="s">
        <v>7</v>
      </c>
      <c r="AL359" s="95" t="s">
        <v>7</v>
      </c>
      <c r="AM359" s="90"/>
      <c r="AN359" s="90"/>
      <c r="AO359" s="90"/>
      <c r="AP359" s="90"/>
      <c r="AQ359" s="90"/>
      <c r="AR359" s="90"/>
      <c r="AS359" s="90"/>
      <c r="AT359" s="90"/>
      <c r="AU359" s="90"/>
      <c r="AV359" s="91"/>
      <c r="AX359" s="92"/>
    </row>
    <row r="360" customFormat="false" ht="15.65" hidden="false" customHeight="false" outlineLevel="0" collapsed="false">
      <c r="C360" s="72" t="n">
        <f aca="false">COUNTIFS($D$6:D360,"&lt;&gt;"&amp;"")</f>
        <v>355</v>
      </c>
      <c r="D360" s="73" t="s">
        <v>12</v>
      </c>
      <c r="E360" s="76" t="str">
        <f aca="false">
IF($D360="정상",INDEX(임대자산!$D$3:$R$3000,MATCH($F360,임대자산!$I$3:$I$3000,0),MATCH(E$3,임대자산!$D$3:$R$3,0)),
IF($D360="폐업",INDEX(폐업정보!$D$3:$R$3000,MATCH($F360,폐업정보!$I$3:$I$3000,0),MATCH(E$3,폐업정보!$D$3:$R$3,0)),
"Error"))</f>
        <v>서울</v>
      </c>
      <c r="F36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B0355</v>
      </c>
      <c r="G360" s="76" t="str">
        <f aca="false">F360&amp;RANDBETWEEN(0,10)</f>
        <v>B03552</v>
      </c>
      <c r="H360" s="75" t="n">
        <f aca="false">
IF($D360="정상",INDEX(임대자산!$D$3:$R$3000,MATCH($F360,임대자산!$I$3:$I$3000,0),MATCH(H$4,임대자산!$D$3:$R$3,0)),
IF($D360="폐업",INDEX(폐업정보!$D$3:$R$3000,MATCH($F360,폐업정보!$I$3:$I$3000,0),MATCH(H$4,폐업정보!$D$3:$R$3,0)),
"Error"))</f>
        <v>45371</v>
      </c>
      <c r="I360" s="75" t="str">
        <f aca="false">
IF($D360="정상",INDEX(임대자산!$D$3:$R$3000,MATCH($F360,임대자산!$I$3:$I$3000,0),MATCH(I$4,임대자산!$D$3:$R$3,0)),
IF($D360="폐업",INDEX(폐업정보!$D$3:$R$3000,MATCH($F360,폐업정보!$I$3:$I$3000,0),MATCH(I$4,폐업정보!$D$3:$R$3,0)),
"Error"))</f>
        <v>A0355</v>
      </c>
      <c r="J360" s="75" t="str">
        <f aca="false">
IF($D360="정상",INDEX(임대자산!$D$3:$R$3000,MATCH($F360,임대자산!$I$3:$I$3000,0),MATCH(J$4,임대자산!$D$3:$R$3,0)),
IF($D360="폐업",INDEX(폐업정보!$D$3:$R$3000,MATCH($F360,폐업정보!$I$3:$I$3000,0),MATCH(J$4,폐업정보!$D$3:$R$3,0)),
"Error"))</f>
        <v>8155000000</v>
      </c>
      <c r="K360" s="75" t="str">
        <f aca="false">
IF($D360="정상",INDEX(임대자산!$D$3:$R$3000,MATCH($F360,임대자산!$I$3:$I$3000,0),MATCH(K$4,임대자산!$D$3:$R$3,0)),
IF($D360="폐업",INDEX(폐업정보!$D$3:$R$3000,MATCH($F360,폐업정보!$I$3:$I$3000,0),MATCH(K$4,폐업정보!$D$3:$R$3,0)),
"Error"))</f>
        <v>C0355</v>
      </c>
      <c r="L360" s="75" t="str">
        <f aca="false">
IF($D360="정상",INDEX(임대자산!$D$3:$R$3000,MATCH($F360,임대자산!$I$3:$I$3000,0),MATCH(L$4,임대자산!$D$3:$R$3,0)),
IF($D360="폐업",INDEX(폐업정보!$D$3:$R$3000,MATCH($F360,폐업정보!$I$3:$I$3000,0),MATCH(L$4,폐업정보!$D$3:$R$3,0)),
"Error"))</f>
        <v>D0355</v>
      </c>
      <c r="M360" s="76" t="s">
        <v>96</v>
      </c>
      <c r="N360" s="77"/>
      <c r="O360" s="78" t="s">
        <v>97</v>
      </c>
      <c r="P360" s="79" t="n">
        <f aca="false">COUNTIFS(임대자산!$I:$I,가맹점정보!F360,임대자산!$N:$N,가맹점정보!P$4)</f>
        <v>0</v>
      </c>
      <c r="Q360" s="80" t="n">
        <f aca="false">COUNTIFS(임대자산!$I:$I,가맹점정보!F360,임대자산!$N:$N,가맹점정보!Q$4)</f>
        <v>0</v>
      </c>
      <c r="R360" s="81" t="n">
        <f aca="false">COUNTIFS(임대자산!$I:$I,가맹점정보!F360,임대자산!$N:$N,가맹점정보!R$4)</f>
        <v>1</v>
      </c>
      <c r="S360" s="82" t="n">
        <v>55000</v>
      </c>
      <c r="T360" s="83" t="n">
        <v>0</v>
      </c>
      <c r="U360" s="80" t="n">
        <f aca="false">SUM(S360:T360)</f>
        <v>55000</v>
      </c>
      <c r="V360" s="84" t="s">
        <v>12</v>
      </c>
      <c r="W360" s="80" t="e">
        <f aca="true">
IF(D360="폐업","폐업",
IF(V360="면제","면제",
IF(AND(V360="정상",COUNTIFS(OFFSET(Y360,0,COUNTA(Y360:AV360)-1,1,-4),"미납")&gt;=3),"장기미납",
IF(AND(V360="정상",OFFSET(Y360,0,COUNTA(Y360:AV360)-1)&gt;=U360),"정상",
IF(AND(V360="정상",OFFSET(Y360,0,COUNTA(Y360:AV360)-1)=0),"정상",
"계약서 미작성")))))</f>
        <v>#VALUE!</v>
      </c>
      <c r="X360" s="81" t="str">
        <f aca="true">
IF(D360="폐업","폐업",
IF(AND(V360="정상",OFFSET(Y360,0,COUNTA(Y360:AV360)-1)="미납"),"미납",
IF(AND(V360="정상",OFFSET(Y360,0,COUNTA(Y360:AV360)-1)=0),"납부 시작 전",
IF(AND(V360="정상",OFFSET(Y360,0,COUNTA(Y360:AV360)-1)&gt;=U360),"정상",
IF(AND(V360="면제",OFFSET(Y360,0,COUNTA(Y360:AV360)-1)="면제"),"면제",
IF(AND(V360="면제",OFFSET(Y360,0,COUNTA(Y360:AV360)-1)=0),"면제",
"확인요청"))))))</f>
        <v>정상</v>
      </c>
      <c r="Y360" s="93" t="n">
        <v>55000</v>
      </c>
      <c r="Z360" s="90" t="n">
        <v>55000</v>
      </c>
      <c r="AA360" s="90" t="n">
        <v>55000</v>
      </c>
      <c r="AB360" s="90" t="n">
        <v>55000</v>
      </c>
      <c r="AC360" s="90" t="n">
        <v>55000</v>
      </c>
      <c r="AD360" s="90" t="n">
        <v>55000</v>
      </c>
      <c r="AE360" s="90" t="n">
        <v>55000</v>
      </c>
      <c r="AF360" s="90" t="n">
        <v>55000</v>
      </c>
      <c r="AG360" s="90" t="n">
        <v>55000</v>
      </c>
      <c r="AH360" s="90" t="n">
        <v>55000</v>
      </c>
      <c r="AI360" s="90" t="n">
        <v>55000</v>
      </c>
      <c r="AJ360" s="91" t="n">
        <v>55000</v>
      </c>
      <c r="AK360" s="89" t="n">
        <v>55000</v>
      </c>
      <c r="AL360" s="90" t="n">
        <v>55000</v>
      </c>
      <c r="AM360" s="90"/>
      <c r="AN360" s="90"/>
      <c r="AO360" s="90"/>
      <c r="AP360" s="90"/>
      <c r="AQ360" s="90"/>
      <c r="AR360" s="90"/>
      <c r="AS360" s="90"/>
      <c r="AT360" s="90"/>
      <c r="AU360" s="90"/>
      <c r="AV360" s="91"/>
      <c r="AX360" s="92"/>
    </row>
    <row r="361" customFormat="false" ht="15.65" hidden="false" customHeight="false" outlineLevel="0" collapsed="false">
      <c r="C361" s="72" t="n">
        <f aca="false">COUNTIFS($D$6:D361,"&lt;&gt;"&amp;"")</f>
        <v>356</v>
      </c>
      <c r="D361" s="73" t="s">
        <v>12</v>
      </c>
      <c r="E361" s="76" t="str">
        <f aca="false">
IF($D361="정상",INDEX(임대자산!$D$3:$R$3000,MATCH($F361,임대자산!$I$3:$I$3000,0),MATCH(E$3,임대자산!$D$3:$R$3,0)),
IF($D361="폐업",INDEX(폐업정보!$D$3:$R$3000,MATCH($F361,폐업정보!$I$3:$I$3000,0),MATCH(E$3,폐업정보!$D$3:$R$3,0)),
"Error"))</f>
        <v>서울</v>
      </c>
      <c r="F36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B0356</v>
      </c>
      <c r="G361" s="76" t="str">
        <f aca="false">F361&amp;RANDBETWEEN(0,10)</f>
        <v>B03567</v>
      </c>
      <c r="H361" s="75" t="n">
        <f aca="false">
IF($D361="정상",INDEX(임대자산!$D$3:$R$3000,MATCH($F361,임대자산!$I$3:$I$3000,0),MATCH(H$4,임대자산!$D$3:$R$3,0)),
IF($D361="폐업",INDEX(폐업정보!$D$3:$R$3000,MATCH($F361,폐업정보!$I$3:$I$3000,0),MATCH(H$4,폐업정보!$D$3:$R$3,0)),
"Error"))</f>
        <v>45371</v>
      </c>
      <c r="I361" s="75" t="str">
        <f aca="false">
IF($D361="정상",INDEX(임대자산!$D$3:$R$3000,MATCH($F361,임대자산!$I$3:$I$3000,0),MATCH(I$4,임대자산!$D$3:$R$3,0)),
IF($D361="폐업",INDEX(폐업정보!$D$3:$R$3000,MATCH($F361,폐업정보!$I$3:$I$3000,0),MATCH(I$4,폐업정보!$D$3:$R$3,0)),
"Error"))</f>
        <v>A0356</v>
      </c>
      <c r="J361" s="75" t="str">
        <f aca="false">
IF($D361="정상",INDEX(임대자산!$D$3:$R$3000,MATCH($F361,임대자산!$I$3:$I$3000,0),MATCH(J$4,임대자산!$D$3:$R$3,0)),
IF($D361="폐업",INDEX(폐업정보!$D$3:$R$3000,MATCH($F361,폐업정보!$I$3:$I$3000,0),MATCH(J$4,폐업정보!$D$3:$R$3,0)),
"Error"))</f>
        <v>9366900000</v>
      </c>
      <c r="K361" s="75" t="str">
        <f aca="false">
IF($D361="정상",INDEX(임대자산!$D$3:$R$3000,MATCH($F361,임대자산!$I$3:$I$3000,0),MATCH(K$4,임대자산!$D$3:$R$3,0)),
IF($D361="폐업",INDEX(폐업정보!$D$3:$R$3000,MATCH($F361,폐업정보!$I$3:$I$3000,0),MATCH(K$4,폐업정보!$D$3:$R$3,0)),
"Error"))</f>
        <v>C0356</v>
      </c>
      <c r="L361" s="75" t="str">
        <f aca="false">
IF($D361="정상",INDEX(임대자산!$D$3:$R$3000,MATCH($F361,임대자산!$I$3:$I$3000,0),MATCH(L$4,임대자산!$D$3:$R$3,0)),
IF($D361="폐업",INDEX(폐업정보!$D$3:$R$3000,MATCH($F361,폐업정보!$I$3:$I$3000,0),MATCH(L$4,폐업정보!$D$3:$R$3,0)),
"Error"))</f>
        <v>D0356</v>
      </c>
      <c r="M361" s="76" t="s">
        <v>96</v>
      </c>
      <c r="N361" s="77"/>
      <c r="O361" s="78" t="s">
        <v>97</v>
      </c>
      <c r="P361" s="79" t="n">
        <f aca="false">COUNTIFS(임대자산!$I:$I,가맹점정보!F361,임대자산!$N:$N,가맹점정보!P$4)</f>
        <v>0</v>
      </c>
      <c r="Q361" s="80" t="n">
        <f aca="false">COUNTIFS(임대자산!$I:$I,가맹점정보!F361,임대자산!$N:$N,가맹점정보!Q$4)</f>
        <v>0</v>
      </c>
      <c r="R361" s="81" t="n">
        <f aca="false">COUNTIFS(임대자산!$I:$I,가맹점정보!F361,임대자산!$N:$N,가맹점정보!R$4)</f>
        <v>1</v>
      </c>
      <c r="S361" s="82" t="n">
        <v>55000</v>
      </c>
      <c r="T361" s="83" t="n">
        <v>0</v>
      </c>
      <c r="U361" s="80" t="n">
        <f aca="false">SUM(S361:T361)</f>
        <v>55000</v>
      </c>
      <c r="V361" s="84" t="s">
        <v>12</v>
      </c>
      <c r="W361" s="80" t="e">
        <f aca="true">
IF(D361="폐업","폐업",
IF(V361="면제","면제",
IF(AND(V361="정상",COUNTIFS(OFFSET(Y361,0,COUNTA(Y361:AV361)-1,1,-4),"미납")&gt;=3),"장기미납",
IF(AND(V361="정상",OFFSET(Y361,0,COUNTA(Y361:AV361)-1)&gt;=U361),"정상",
IF(AND(V361="정상",OFFSET(Y361,0,COUNTA(Y361:AV361)-1)=0),"정상",
"계약서 미작성")))))</f>
        <v>#VALUE!</v>
      </c>
      <c r="X361" s="81" t="str">
        <f aca="true">
IF(D361="폐업","폐업",
IF(AND(V361="정상",OFFSET(Y361,0,COUNTA(Y361:AV361)-1)="미납"),"미납",
IF(AND(V361="정상",OFFSET(Y361,0,COUNTA(Y361:AV361)-1)=0),"납부 시작 전",
IF(AND(V361="정상",OFFSET(Y361,0,COUNTA(Y361:AV361)-1)&gt;=U361),"정상",
IF(AND(V361="면제",OFFSET(Y361,0,COUNTA(Y361:AV361)-1)="면제"),"면제",
IF(AND(V361="면제",OFFSET(Y361,0,COUNTA(Y361:AV361)-1)=0),"면제",
"확인요청"))))))</f>
        <v>정상</v>
      </c>
      <c r="Y361" s="93" t="n">
        <v>55000</v>
      </c>
      <c r="Z361" s="90" t="n">
        <v>55000</v>
      </c>
      <c r="AA361" s="90" t="n">
        <v>55000</v>
      </c>
      <c r="AB361" s="90" t="n">
        <v>55000</v>
      </c>
      <c r="AC361" s="90" t="n">
        <v>55000</v>
      </c>
      <c r="AD361" s="90" t="n">
        <v>55000</v>
      </c>
      <c r="AE361" s="90" t="n">
        <v>55000</v>
      </c>
      <c r="AF361" s="90" t="n">
        <v>55000</v>
      </c>
      <c r="AG361" s="90" t="n">
        <v>55000</v>
      </c>
      <c r="AH361" s="90" t="n">
        <v>55000</v>
      </c>
      <c r="AI361" s="90" t="n">
        <v>55000</v>
      </c>
      <c r="AJ361" s="91" t="n">
        <v>55000</v>
      </c>
      <c r="AK361" s="89" t="n">
        <v>55000</v>
      </c>
      <c r="AL361" s="90" t="n">
        <v>55000</v>
      </c>
      <c r="AM361" s="90"/>
      <c r="AN361" s="90"/>
      <c r="AO361" s="90"/>
      <c r="AP361" s="90"/>
      <c r="AQ361" s="90"/>
      <c r="AR361" s="90"/>
      <c r="AS361" s="90"/>
      <c r="AT361" s="90"/>
      <c r="AU361" s="90"/>
      <c r="AV361" s="91"/>
      <c r="AX361" s="92"/>
    </row>
    <row r="362" customFormat="false" ht="15.65" hidden="false" customHeight="false" outlineLevel="0" collapsed="false">
      <c r="C362" s="72" t="n">
        <f aca="false">COUNTIFS($D$6:D362,"&lt;&gt;"&amp;"")</f>
        <v>357</v>
      </c>
      <c r="D362" s="73" t="s">
        <v>12</v>
      </c>
      <c r="E362" s="76" t="str">
        <f aca="false">
IF($D362="정상",INDEX(임대자산!$D$3:$R$3000,MATCH($F362,임대자산!$I$3:$I$3000,0),MATCH(E$3,임대자산!$D$3:$R$3,0)),
IF($D362="폐업",INDEX(폐업정보!$D$3:$R$3000,MATCH($F362,폐업정보!$I$3:$I$3000,0),MATCH(E$3,폐업정보!$D$3:$R$3,0)),
"Error"))</f>
        <v>서울</v>
      </c>
      <c r="F36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B0357</v>
      </c>
      <c r="G362" s="76" t="str">
        <f aca="false">F362&amp;RANDBETWEEN(0,10)</f>
        <v>B03573</v>
      </c>
      <c r="H362" s="75" t="n">
        <f aca="false">
IF($D362="정상",INDEX(임대자산!$D$3:$R$3000,MATCH($F362,임대자산!$I$3:$I$3000,0),MATCH(H$4,임대자산!$D$3:$R$3,0)),
IF($D362="폐업",INDEX(폐업정보!$D$3:$R$3000,MATCH($F362,폐업정보!$I$3:$I$3000,0),MATCH(H$4,폐업정보!$D$3:$R$3,0)),
"Error"))</f>
        <v>45371</v>
      </c>
      <c r="I362" s="75" t="str">
        <f aca="false">
IF($D362="정상",INDEX(임대자산!$D$3:$R$3000,MATCH($F362,임대자산!$I$3:$I$3000,0),MATCH(I$4,임대자산!$D$3:$R$3,0)),
IF($D362="폐업",INDEX(폐업정보!$D$3:$R$3000,MATCH($F362,폐업정보!$I$3:$I$3000,0),MATCH(I$4,폐업정보!$D$3:$R$3,0)),
"Error"))</f>
        <v>A0357</v>
      </c>
      <c r="J362" s="75" t="str">
        <f aca="false">
IF($D362="정상",INDEX(임대자산!$D$3:$R$3000,MATCH($F362,임대자산!$I$3:$I$3000,0),MATCH(J$4,임대자산!$D$3:$R$3,0)),
IF($D362="폐업",INDEX(폐업정보!$D$3:$R$3000,MATCH($F362,폐업정보!$I$3:$I$3000,0),MATCH(J$4,폐업정보!$D$3:$R$3,0)),
"Error"))</f>
        <v>3707100000</v>
      </c>
      <c r="K362" s="75" t="str">
        <f aca="false">
IF($D362="정상",INDEX(임대자산!$D$3:$R$3000,MATCH($F362,임대자산!$I$3:$I$3000,0),MATCH(K$4,임대자산!$D$3:$R$3,0)),
IF($D362="폐업",INDEX(폐업정보!$D$3:$R$3000,MATCH($F362,폐업정보!$I$3:$I$3000,0),MATCH(K$4,폐업정보!$D$3:$R$3,0)),
"Error"))</f>
        <v>C0357</v>
      </c>
      <c r="L362" s="75" t="str">
        <f aca="false">
IF($D362="정상",INDEX(임대자산!$D$3:$R$3000,MATCH($F362,임대자산!$I$3:$I$3000,0),MATCH(L$4,임대자산!$D$3:$R$3,0)),
IF($D362="폐업",INDEX(폐업정보!$D$3:$R$3000,MATCH($F362,폐업정보!$I$3:$I$3000,0),MATCH(L$4,폐업정보!$D$3:$R$3,0)),
"Error"))</f>
        <v>D0357</v>
      </c>
      <c r="M362" s="76" t="s">
        <v>96</v>
      </c>
      <c r="N362" s="77"/>
      <c r="O362" s="78" t="s">
        <v>97</v>
      </c>
      <c r="P362" s="79" t="n">
        <f aca="false">COUNTIFS(임대자산!$I:$I,가맹점정보!F362,임대자산!$N:$N,가맹점정보!P$4)</f>
        <v>0</v>
      </c>
      <c r="Q362" s="80" t="n">
        <f aca="false">COUNTIFS(임대자산!$I:$I,가맹점정보!F362,임대자산!$N:$N,가맹점정보!Q$4)</f>
        <v>0</v>
      </c>
      <c r="R362" s="81" t="n">
        <f aca="false">COUNTIFS(임대자산!$I:$I,가맹점정보!F362,임대자산!$N:$N,가맹점정보!R$4)</f>
        <v>1</v>
      </c>
      <c r="S362" s="82" t="n">
        <v>88000</v>
      </c>
      <c r="T362" s="83" t="n">
        <v>0</v>
      </c>
      <c r="U362" s="80" t="n">
        <f aca="false">SUM(S362:T362)</f>
        <v>88000</v>
      </c>
      <c r="V362" s="84" t="s">
        <v>12</v>
      </c>
      <c r="W362" s="80" t="e">
        <f aca="true">
IF(D362="폐업","폐업",
IF(V362="면제","면제",
IF(AND(V362="정상",COUNTIFS(OFFSET(Y362,0,COUNTA(Y362:AV362)-1,1,-4),"미납")&gt;=3),"장기미납",
IF(AND(V362="정상",OFFSET(Y362,0,COUNTA(Y362:AV362)-1)&gt;=U362),"정상",
IF(AND(V362="정상",OFFSET(Y362,0,COUNTA(Y362:AV362)-1)=0),"정상",
"계약서 미작성")))))</f>
        <v>#VALUE!</v>
      </c>
      <c r="X362" s="81" t="str">
        <f aca="true">
IF(D362="폐업","폐업",
IF(AND(V362="정상",OFFSET(Y362,0,COUNTA(Y362:AV362)-1)="미납"),"미납",
IF(AND(V362="정상",OFFSET(Y362,0,COUNTA(Y362:AV362)-1)=0),"납부 시작 전",
IF(AND(V362="정상",OFFSET(Y362,0,COUNTA(Y362:AV362)-1)&gt;=U362),"정상",
IF(AND(V362="면제",OFFSET(Y362,0,COUNTA(Y362:AV362)-1)="면제"),"면제",
IF(AND(V362="면제",OFFSET(Y362,0,COUNTA(Y362:AV362)-1)=0),"면제",
"확인요청"))))))</f>
        <v>정상</v>
      </c>
      <c r="Y362" s="93" t="n">
        <v>88000</v>
      </c>
      <c r="Z362" s="90" t="n">
        <v>88000</v>
      </c>
      <c r="AA362" s="90" t="n">
        <v>88000</v>
      </c>
      <c r="AB362" s="90" t="n">
        <v>88000</v>
      </c>
      <c r="AC362" s="90" t="n">
        <v>88000</v>
      </c>
      <c r="AD362" s="90" t="n">
        <v>88000</v>
      </c>
      <c r="AE362" s="90" t="n">
        <v>88000</v>
      </c>
      <c r="AF362" s="90" t="n">
        <v>88000</v>
      </c>
      <c r="AG362" s="90" t="n">
        <v>88000</v>
      </c>
      <c r="AH362" s="90" t="n">
        <v>88000</v>
      </c>
      <c r="AI362" s="90" t="n">
        <v>88000</v>
      </c>
      <c r="AJ362" s="91" t="n">
        <v>88000</v>
      </c>
      <c r="AK362" s="89" t="n">
        <v>88000</v>
      </c>
      <c r="AL362" s="90" t="n">
        <v>88000</v>
      </c>
      <c r="AM362" s="90"/>
      <c r="AN362" s="90"/>
      <c r="AO362" s="90"/>
      <c r="AP362" s="90"/>
      <c r="AQ362" s="90"/>
      <c r="AR362" s="90"/>
      <c r="AS362" s="90"/>
      <c r="AT362" s="90"/>
      <c r="AU362" s="90"/>
      <c r="AV362" s="91"/>
      <c r="AX362" s="92"/>
    </row>
    <row r="363" customFormat="false" ht="15.65" hidden="false" customHeight="false" outlineLevel="0" collapsed="false">
      <c r="C363" s="72" t="n">
        <f aca="false">COUNTIFS($D$6:D363,"&lt;&gt;"&amp;"")</f>
        <v>358</v>
      </c>
      <c r="D363" s="73" t="s">
        <v>12</v>
      </c>
      <c r="E363" s="76" t="str">
        <f aca="false">
IF($D363="정상",INDEX(임대자산!$D$3:$R$3000,MATCH($F363,임대자산!$I$3:$I$3000,0),MATCH(E$3,임대자산!$D$3:$R$3,0)),
IF($D363="폐업",INDEX(폐업정보!$D$3:$R$3000,MATCH($F363,폐업정보!$I$3:$I$3000,0),MATCH(E$3,폐업정보!$D$3:$R$3,0)),
"Error"))</f>
        <v>경기</v>
      </c>
      <c r="F36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B0358</v>
      </c>
      <c r="G363" s="76" t="str">
        <f aca="false">F363&amp;RANDBETWEEN(0,10)</f>
        <v>B03589</v>
      </c>
      <c r="H363" s="75" t="n">
        <f aca="false">
IF($D363="정상",INDEX(임대자산!$D$3:$R$3000,MATCH($F363,임대자산!$I$3:$I$3000,0),MATCH(H$4,임대자산!$D$3:$R$3,0)),
IF($D363="폐업",INDEX(폐업정보!$D$3:$R$3000,MATCH($F363,폐업정보!$I$3:$I$3000,0),MATCH(H$4,폐업정보!$D$3:$R$3,0)),
"Error"))</f>
        <v>45383</v>
      </c>
      <c r="I363" s="75" t="str">
        <f aca="false">
IF($D363="정상",INDEX(임대자산!$D$3:$R$3000,MATCH($F363,임대자산!$I$3:$I$3000,0),MATCH(I$4,임대자산!$D$3:$R$3,0)),
IF($D363="폐업",INDEX(폐업정보!$D$3:$R$3000,MATCH($F363,폐업정보!$I$3:$I$3000,0),MATCH(I$4,폐업정보!$D$3:$R$3,0)),
"Error"))</f>
        <v>A0358</v>
      </c>
      <c r="J363" s="75" t="str">
        <f aca="false">
IF($D363="정상",INDEX(임대자산!$D$3:$R$3000,MATCH($F363,임대자산!$I$3:$I$3000,0),MATCH(J$4,임대자산!$D$3:$R$3,0)),
IF($D363="폐업",INDEX(폐업정보!$D$3:$R$3000,MATCH($F363,폐업정보!$I$3:$I$3000,0),MATCH(J$4,폐업정보!$D$3:$R$3,0)),
"Error"))</f>
        <v>5373500000</v>
      </c>
      <c r="K363" s="75" t="str">
        <f aca="false">
IF($D363="정상",INDEX(임대자산!$D$3:$R$3000,MATCH($F363,임대자산!$I$3:$I$3000,0),MATCH(K$4,임대자산!$D$3:$R$3,0)),
IF($D363="폐업",INDEX(폐업정보!$D$3:$R$3000,MATCH($F363,폐업정보!$I$3:$I$3000,0),MATCH(K$4,폐업정보!$D$3:$R$3,0)),
"Error"))</f>
        <v>C0358</v>
      </c>
      <c r="L363" s="75" t="str">
        <f aca="false">
IF($D363="정상",INDEX(임대자산!$D$3:$R$3000,MATCH($F363,임대자산!$I$3:$I$3000,0),MATCH(L$4,임대자산!$D$3:$R$3,0)),
IF($D363="폐업",INDEX(폐업정보!$D$3:$R$3000,MATCH($F363,폐업정보!$I$3:$I$3000,0),MATCH(L$4,폐업정보!$D$3:$R$3,0)),
"Error"))</f>
        <v>D0358</v>
      </c>
      <c r="M363" s="76" t="s">
        <v>96</v>
      </c>
      <c r="N363" s="77"/>
      <c r="O363" s="78" t="s">
        <v>97</v>
      </c>
      <c r="P363" s="79" t="n">
        <f aca="false">COUNTIFS(임대자산!$I:$I,가맹점정보!F363,임대자산!$N:$N,가맹점정보!P$4)</f>
        <v>0</v>
      </c>
      <c r="Q363" s="80" t="n">
        <f aca="false">COUNTIFS(임대자산!$I:$I,가맹점정보!F363,임대자산!$N:$N,가맹점정보!Q$4)</f>
        <v>0</v>
      </c>
      <c r="R363" s="81" t="n">
        <f aca="false">COUNTIFS(임대자산!$I:$I,가맹점정보!F363,임대자산!$N:$N,가맹점정보!R$4)</f>
        <v>1</v>
      </c>
      <c r="S363" s="82" t="n">
        <v>55000</v>
      </c>
      <c r="T363" s="83" t="n">
        <v>0</v>
      </c>
      <c r="U363" s="80" t="n">
        <f aca="false">SUM(S363:T363)</f>
        <v>55000</v>
      </c>
      <c r="V363" s="84" t="s">
        <v>7</v>
      </c>
      <c r="W363" s="80" t="str">
        <f aca="true">
IF(D363="폐업","폐업",
IF(V363="면제","면제",
IF(AND(V363="정상",COUNTIFS(OFFSET(Y363,0,COUNTA(Y363:AV363)-1,1,-4),"미납")&gt;=3),"장기미납",
IF(AND(V363="정상",OFFSET(Y363,0,COUNTA(Y363:AV363)-1)&gt;=U363),"정상",
IF(AND(V363="정상",OFFSET(Y363,0,COUNTA(Y363:AV363)-1)=0),"정상",
"계약서 미작성")))))</f>
        <v>면제</v>
      </c>
      <c r="X363" s="81" t="str">
        <f aca="true">
IF(D363="폐업","폐업",
IF(AND(V363="정상",OFFSET(Y363,0,COUNTA(Y363:AV363)-1)="미납"),"미납",
IF(AND(V363="정상",OFFSET(Y363,0,COUNTA(Y363:AV363)-1)=0),"납부 시작 전",
IF(AND(V363="정상",OFFSET(Y363,0,COUNTA(Y363:AV363)-1)&gt;=U363),"정상",
IF(AND(V363="면제",OFFSET(Y363,0,COUNTA(Y363:AV363)-1)="면제"),"면제",
IF(AND(V363="면제",OFFSET(Y363,0,COUNTA(Y363:AV363)-1)=0),"면제",
"확인요청"))))))</f>
        <v>면제</v>
      </c>
      <c r="Y363" s="94" t="s">
        <v>7</v>
      </c>
      <c r="Z363" s="95" t="s">
        <v>7</v>
      </c>
      <c r="AA363" s="95" t="s">
        <v>7</v>
      </c>
      <c r="AB363" s="95" t="s">
        <v>7</v>
      </c>
      <c r="AC363" s="95" t="s">
        <v>7</v>
      </c>
      <c r="AD363" s="95" t="s">
        <v>7</v>
      </c>
      <c r="AE363" s="95" t="s">
        <v>7</v>
      </c>
      <c r="AF363" s="95" t="s">
        <v>7</v>
      </c>
      <c r="AG363" s="95" t="s">
        <v>7</v>
      </c>
      <c r="AH363" s="95" t="s">
        <v>7</v>
      </c>
      <c r="AI363" s="95" t="s">
        <v>7</v>
      </c>
      <c r="AJ363" s="96" t="s">
        <v>7</v>
      </c>
      <c r="AK363" s="97" t="s">
        <v>7</v>
      </c>
      <c r="AL363" s="95" t="s">
        <v>7</v>
      </c>
      <c r="AM363" s="90"/>
      <c r="AN363" s="90"/>
      <c r="AO363" s="90"/>
      <c r="AP363" s="90"/>
      <c r="AQ363" s="90"/>
      <c r="AR363" s="90"/>
      <c r="AS363" s="90"/>
      <c r="AT363" s="90"/>
      <c r="AU363" s="90"/>
      <c r="AV363" s="91"/>
      <c r="AX363" s="92"/>
    </row>
    <row r="364" customFormat="false" ht="15.65" hidden="false" customHeight="false" outlineLevel="0" collapsed="false">
      <c r="C364" s="72" t="n">
        <f aca="false">COUNTIFS($D$6:D364,"&lt;&gt;"&amp;"")</f>
        <v>359</v>
      </c>
      <c r="D364" s="73" t="s">
        <v>12</v>
      </c>
      <c r="E364" s="76" t="str">
        <f aca="false">
IF($D364="정상",INDEX(임대자산!$D$3:$R$3000,MATCH($F364,임대자산!$I$3:$I$3000,0),MATCH(E$3,임대자산!$D$3:$R$3,0)),
IF($D364="폐업",INDEX(폐업정보!$D$3:$R$3000,MATCH($F364,폐업정보!$I$3:$I$3000,0),MATCH(E$3,폐업정보!$D$3:$R$3,0)),
"Error"))</f>
        <v>경상</v>
      </c>
      <c r="F36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B0359</v>
      </c>
      <c r="G364" s="76" t="str">
        <f aca="false">F364&amp;RANDBETWEEN(0,10)</f>
        <v>B035910</v>
      </c>
      <c r="H364" s="75" t="n">
        <f aca="false">
IF($D364="정상",INDEX(임대자산!$D$3:$R$3000,MATCH($F364,임대자산!$I$3:$I$3000,0),MATCH(H$4,임대자산!$D$3:$R$3,0)),
IF($D364="폐업",INDEX(폐업정보!$D$3:$R$3000,MATCH($F364,폐업정보!$I$3:$I$3000,0),MATCH(H$4,폐업정보!$D$3:$R$3,0)),
"Error"))</f>
        <v>45387</v>
      </c>
      <c r="I364" s="75" t="str">
        <f aca="false">
IF($D364="정상",INDEX(임대자산!$D$3:$R$3000,MATCH($F364,임대자산!$I$3:$I$3000,0),MATCH(I$4,임대자산!$D$3:$R$3,0)),
IF($D364="폐업",INDEX(폐업정보!$D$3:$R$3000,MATCH($F364,폐업정보!$I$3:$I$3000,0),MATCH(I$4,폐업정보!$D$3:$R$3,0)),
"Error"))</f>
        <v>A0359</v>
      </c>
      <c r="J364" s="75" t="str">
        <f aca="false">
IF($D364="정상",INDEX(임대자산!$D$3:$R$3000,MATCH($F364,임대자산!$I$3:$I$3000,0),MATCH(J$4,임대자산!$D$3:$R$3,0)),
IF($D364="폐업",INDEX(폐업정보!$D$3:$R$3000,MATCH($F364,폐업정보!$I$3:$I$3000,0),MATCH(J$4,폐업정보!$D$3:$R$3,0)),
"Error"))</f>
        <v>9533500000</v>
      </c>
      <c r="K364" s="75" t="str">
        <f aca="false">
IF($D364="정상",INDEX(임대자산!$D$3:$R$3000,MATCH($F364,임대자산!$I$3:$I$3000,0),MATCH(K$4,임대자산!$D$3:$R$3,0)),
IF($D364="폐업",INDEX(폐업정보!$D$3:$R$3000,MATCH($F364,폐업정보!$I$3:$I$3000,0),MATCH(K$4,폐업정보!$D$3:$R$3,0)),
"Error"))</f>
        <v>C0359</v>
      </c>
      <c r="L364" s="75" t="str">
        <f aca="false">
IF($D364="정상",INDEX(임대자산!$D$3:$R$3000,MATCH($F364,임대자산!$I$3:$I$3000,0),MATCH(L$4,임대자산!$D$3:$R$3,0)),
IF($D364="폐업",INDEX(폐업정보!$D$3:$R$3000,MATCH($F364,폐업정보!$I$3:$I$3000,0),MATCH(L$4,폐업정보!$D$3:$R$3,0)),
"Error"))</f>
        <v>D0359</v>
      </c>
      <c r="M364" s="76" t="s">
        <v>96</v>
      </c>
      <c r="N364" s="77"/>
      <c r="O364" s="78" t="s">
        <v>97</v>
      </c>
      <c r="P364" s="79" t="n">
        <f aca="false">COUNTIFS(임대자산!$I:$I,가맹점정보!F364,임대자산!$N:$N,가맹점정보!P$4)</f>
        <v>0</v>
      </c>
      <c r="Q364" s="80" t="n">
        <f aca="false">COUNTIFS(임대자산!$I:$I,가맹점정보!F364,임대자산!$N:$N,가맹점정보!Q$4)</f>
        <v>0</v>
      </c>
      <c r="R364" s="81" t="n">
        <f aca="false">COUNTIFS(임대자산!$I:$I,가맹점정보!F364,임대자산!$N:$N,가맹점정보!R$4)</f>
        <v>1</v>
      </c>
      <c r="S364" s="82" t="n">
        <v>55000</v>
      </c>
      <c r="T364" s="83" t="n">
        <v>0</v>
      </c>
      <c r="U364" s="80" t="n">
        <f aca="false">SUM(S364:T364)</f>
        <v>55000</v>
      </c>
      <c r="V364" s="84" t="s">
        <v>12</v>
      </c>
      <c r="W364" s="80" t="e">
        <f aca="true">
IF(D364="폐업","폐업",
IF(V364="면제","면제",
IF(AND(V364="정상",COUNTIFS(OFFSET(Y364,0,COUNTA(Y364:AV364)-1,1,-4),"미납")&gt;=3),"장기미납",
IF(AND(V364="정상",OFFSET(Y364,0,COUNTA(Y364:AV364)-1)&gt;=U364),"정상",
IF(AND(V364="정상",OFFSET(Y364,0,COUNTA(Y364:AV364)-1)=0),"정상",
"계약서 미작성")))))</f>
        <v>#VALUE!</v>
      </c>
      <c r="X364" s="81" t="str">
        <f aca="true">
IF(D364="폐업","폐업",
IF(AND(V364="정상",OFFSET(Y364,0,COUNTA(Y364:AV364)-1)="미납"),"미납",
IF(AND(V364="정상",OFFSET(Y364,0,COUNTA(Y364:AV364)-1)=0),"납부 시작 전",
IF(AND(V364="정상",OFFSET(Y364,0,COUNTA(Y364:AV364)-1)&gt;=U364),"정상",
IF(AND(V364="면제",OFFSET(Y364,0,COUNTA(Y364:AV364)-1)="면제"),"면제",
IF(AND(V364="면제",OFFSET(Y364,0,COUNTA(Y364:AV364)-1)=0),"면제",
"확인요청"))))))</f>
        <v>정상</v>
      </c>
      <c r="Y364" s="93" t="n">
        <v>55000</v>
      </c>
      <c r="Z364" s="90" t="n">
        <v>55000</v>
      </c>
      <c r="AA364" s="90" t="n">
        <v>55000</v>
      </c>
      <c r="AB364" s="90" t="n">
        <v>55000</v>
      </c>
      <c r="AC364" s="90" t="n">
        <v>55000</v>
      </c>
      <c r="AD364" s="90" t="n">
        <v>55000</v>
      </c>
      <c r="AE364" s="90" t="n">
        <v>55000</v>
      </c>
      <c r="AF364" s="90" t="n">
        <v>55000</v>
      </c>
      <c r="AG364" s="90" t="n">
        <v>55000</v>
      </c>
      <c r="AH364" s="90" t="n">
        <v>55000</v>
      </c>
      <c r="AI364" s="90" t="n">
        <v>55000</v>
      </c>
      <c r="AJ364" s="91" t="n">
        <v>55000</v>
      </c>
      <c r="AK364" s="89" t="n">
        <v>55000</v>
      </c>
      <c r="AL364" s="90" t="n">
        <v>55000</v>
      </c>
      <c r="AM364" s="90"/>
      <c r="AN364" s="90"/>
      <c r="AO364" s="90"/>
      <c r="AP364" s="90"/>
      <c r="AQ364" s="90"/>
      <c r="AR364" s="90"/>
      <c r="AS364" s="90"/>
      <c r="AT364" s="90"/>
      <c r="AU364" s="90"/>
      <c r="AV364" s="91"/>
      <c r="AX364" s="92"/>
    </row>
    <row r="365" customFormat="false" ht="15.65" hidden="false" customHeight="false" outlineLevel="0" collapsed="false">
      <c r="C365" s="72" t="n">
        <f aca="false">COUNTIFS($D$6:D365,"&lt;&gt;"&amp;"")</f>
        <v>360</v>
      </c>
      <c r="D365" s="73" t="s">
        <v>12</v>
      </c>
      <c r="E365" s="76" t="str">
        <f aca="false">
IF($D365="정상",INDEX(임대자산!$D$3:$R$3000,MATCH($F365,임대자산!$I$3:$I$3000,0),MATCH(E$3,임대자산!$D$3:$R$3,0)),
IF($D365="폐업",INDEX(폐업정보!$D$3:$R$3000,MATCH($F365,폐업정보!$I$3:$I$3000,0),MATCH(E$3,폐업정보!$D$3:$R$3,0)),
"Error"))</f>
        <v>경상</v>
      </c>
      <c r="F36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B0360</v>
      </c>
      <c r="G365" s="76" t="str">
        <f aca="false">F365&amp;RANDBETWEEN(0,10)</f>
        <v>B03601</v>
      </c>
      <c r="H365" s="75" t="n">
        <f aca="false">
IF($D365="정상",INDEX(임대자산!$D$3:$R$3000,MATCH($F365,임대자산!$I$3:$I$3000,0),MATCH(H$4,임대자산!$D$3:$R$3,0)),
IF($D365="폐업",INDEX(폐업정보!$D$3:$R$3000,MATCH($F365,폐업정보!$I$3:$I$3000,0),MATCH(H$4,폐업정보!$D$3:$R$3,0)),
"Error"))</f>
        <v>45344</v>
      </c>
      <c r="I365" s="75" t="str">
        <f aca="false">
IF($D365="정상",INDEX(임대자산!$D$3:$R$3000,MATCH($F365,임대자산!$I$3:$I$3000,0),MATCH(I$4,임대자산!$D$3:$R$3,0)),
IF($D365="폐업",INDEX(폐업정보!$D$3:$R$3000,MATCH($F365,폐업정보!$I$3:$I$3000,0),MATCH(I$4,폐업정보!$D$3:$R$3,0)),
"Error"))</f>
        <v>A0360</v>
      </c>
      <c r="J365" s="75" t="str">
        <f aca="false">
IF($D365="정상",INDEX(임대자산!$D$3:$R$3000,MATCH($F365,임대자산!$I$3:$I$3000,0),MATCH(J$4,임대자산!$D$3:$R$3,0)),
IF($D365="폐업",INDEX(폐업정보!$D$3:$R$3000,MATCH($F365,폐업정보!$I$3:$I$3000,0),MATCH(J$4,폐업정보!$D$3:$R$3,0)),
"Error"))</f>
        <v>1908900000</v>
      </c>
      <c r="K365" s="75" t="str">
        <f aca="false">
IF($D365="정상",INDEX(임대자산!$D$3:$R$3000,MATCH($F365,임대자산!$I$3:$I$3000,0),MATCH(K$4,임대자산!$D$3:$R$3,0)),
IF($D365="폐업",INDEX(폐업정보!$D$3:$R$3000,MATCH($F365,폐업정보!$I$3:$I$3000,0),MATCH(K$4,폐업정보!$D$3:$R$3,0)),
"Error"))</f>
        <v>C0360</v>
      </c>
      <c r="L365" s="75" t="str">
        <f aca="false">
IF($D365="정상",INDEX(임대자산!$D$3:$R$3000,MATCH($F365,임대자산!$I$3:$I$3000,0),MATCH(L$4,임대자산!$D$3:$R$3,0)),
IF($D365="폐업",INDEX(폐업정보!$D$3:$R$3000,MATCH($F365,폐업정보!$I$3:$I$3000,0),MATCH(L$4,폐업정보!$D$3:$R$3,0)),
"Error"))</f>
        <v>D0360</v>
      </c>
      <c r="M365" s="76" t="s">
        <v>96</v>
      </c>
      <c r="N365" s="77"/>
      <c r="O365" s="78" t="s">
        <v>97</v>
      </c>
      <c r="P365" s="79" t="n">
        <f aca="false">COUNTIFS(임대자산!$I:$I,가맹점정보!F365,임대자산!$N:$N,가맹점정보!P$4)</f>
        <v>0</v>
      </c>
      <c r="Q365" s="80" t="n">
        <f aca="false">COUNTIFS(임대자산!$I:$I,가맹점정보!F365,임대자산!$N:$N,가맹점정보!Q$4)</f>
        <v>0</v>
      </c>
      <c r="R365" s="81" t="n">
        <f aca="false">COUNTIFS(임대자산!$I:$I,가맹점정보!F365,임대자산!$N:$N,가맹점정보!R$4)</f>
        <v>1</v>
      </c>
      <c r="S365" s="82" t="n">
        <v>55000</v>
      </c>
      <c r="T365" s="83" t="n">
        <v>0</v>
      </c>
      <c r="U365" s="80" t="n">
        <f aca="false">SUM(S365:T365)</f>
        <v>55000</v>
      </c>
      <c r="V365" s="84" t="s">
        <v>12</v>
      </c>
      <c r="W365" s="80" t="e">
        <f aca="true">
IF(D365="폐업","폐업",
IF(V365="면제","면제",
IF(AND(V365="정상",COUNTIFS(OFFSET(Y365,0,COUNTA(Y365:AV365)-1,1,-4),"미납")&gt;=3),"장기미납",
IF(AND(V365="정상",OFFSET(Y365,0,COUNTA(Y365:AV365)-1)&gt;=U365),"정상",
IF(AND(V365="정상",OFFSET(Y365,0,COUNTA(Y365:AV365)-1)=0),"정상",
"계약서 미작성")))))</f>
        <v>#VALUE!</v>
      </c>
      <c r="X365" s="81" t="str">
        <f aca="true">
IF(D365="폐업","폐업",
IF(AND(V365="정상",OFFSET(Y365,0,COUNTA(Y365:AV365)-1)="미납"),"미납",
IF(AND(V365="정상",OFFSET(Y365,0,COUNTA(Y365:AV365)-1)=0),"납부 시작 전",
IF(AND(V365="정상",OFFSET(Y365,0,COUNTA(Y365:AV365)-1)&gt;=U365),"정상",
IF(AND(V365="면제",OFFSET(Y365,0,COUNTA(Y365:AV365)-1)="면제"),"면제",
IF(AND(V365="면제",OFFSET(Y365,0,COUNTA(Y365:AV365)-1)=0),"면제",
"확인요청"))))))</f>
        <v>정상</v>
      </c>
      <c r="Y365" s="93" t="n">
        <v>55000</v>
      </c>
      <c r="Z365" s="90" t="n">
        <v>55000</v>
      </c>
      <c r="AA365" s="90" t="n">
        <v>55000</v>
      </c>
      <c r="AB365" s="90" t="n">
        <v>55000</v>
      </c>
      <c r="AC365" s="90" t="n">
        <v>55000</v>
      </c>
      <c r="AD365" s="90" t="n">
        <v>55000</v>
      </c>
      <c r="AE365" s="90" t="n">
        <v>55000</v>
      </c>
      <c r="AF365" s="90" t="n">
        <v>55000</v>
      </c>
      <c r="AG365" s="90" t="n">
        <v>55000</v>
      </c>
      <c r="AH365" s="90" t="n">
        <v>55000</v>
      </c>
      <c r="AI365" s="90" t="n">
        <v>55000</v>
      </c>
      <c r="AJ365" s="91" t="n">
        <v>55000</v>
      </c>
      <c r="AK365" s="89" t="n">
        <v>55000</v>
      </c>
      <c r="AL365" s="90" t="n">
        <v>55000</v>
      </c>
      <c r="AM365" s="90"/>
      <c r="AN365" s="90"/>
      <c r="AO365" s="90"/>
      <c r="AP365" s="90"/>
      <c r="AQ365" s="90"/>
      <c r="AR365" s="90"/>
      <c r="AS365" s="90"/>
      <c r="AT365" s="90"/>
      <c r="AU365" s="90"/>
      <c r="AV365" s="91"/>
      <c r="AX365" s="92"/>
    </row>
    <row r="366" customFormat="false" ht="15.65" hidden="false" customHeight="false" outlineLevel="0" collapsed="false">
      <c r="C366" s="72" t="n">
        <f aca="false">COUNTIFS($D$6:D366,"&lt;&gt;"&amp;"")</f>
        <v>361</v>
      </c>
      <c r="D366" s="73" t="s">
        <v>12</v>
      </c>
      <c r="E366" s="76" t="str">
        <f aca="false">
IF($D366="정상",INDEX(임대자산!$D$3:$R$3000,MATCH($F366,임대자산!$I$3:$I$3000,0),MATCH(E$3,임대자산!$D$3:$R$3,0)),
IF($D366="폐업",INDEX(폐업정보!$D$3:$R$3000,MATCH($F366,폐업정보!$I$3:$I$3000,0),MATCH(E$3,폐업정보!$D$3:$R$3,0)),
"Error"))</f>
        <v>경상</v>
      </c>
      <c r="F36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B0361</v>
      </c>
      <c r="G366" s="76" t="str">
        <f aca="false">F366&amp;RANDBETWEEN(0,10)</f>
        <v>B03619</v>
      </c>
      <c r="H366" s="75" t="n">
        <f aca="false">
IF($D366="정상",INDEX(임대자산!$D$3:$R$3000,MATCH($F366,임대자산!$I$3:$I$3000,0),MATCH(H$4,임대자산!$D$3:$R$3,0)),
IF($D366="폐업",INDEX(폐업정보!$D$3:$R$3000,MATCH($F366,폐업정보!$I$3:$I$3000,0),MATCH(H$4,폐업정보!$D$3:$R$3,0)),
"Error"))</f>
        <v>45393</v>
      </c>
      <c r="I366" s="75" t="str">
        <f aca="false">
IF($D366="정상",INDEX(임대자산!$D$3:$R$3000,MATCH($F366,임대자산!$I$3:$I$3000,0),MATCH(I$4,임대자산!$D$3:$R$3,0)),
IF($D366="폐업",INDEX(폐업정보!$D$3:$R$3000,MATCH($F366,폐업정보!$I$3:$I$3000,0),MATCH(I$4,폐업정보!$D$3:$R$3,0)),
"Error"))</f>
        <v>A0361</v>
      </c>
      <c r="J366" s="75" t="str">
        <f aca="false">
IF($D366="정상",INDEX(임대자산!$D$3:$R$3000,MATCH($F366,임대자산!$I$3:$I$3000,0),MATCH(J$4,임대자산!$D$3:$R$3,0)),
IF($D366="폐업",INDEX(폐업정보!$D$3:$R$3000,MATCH($F366,폐업정보!$I$3:$I$3000,0),MATCH(J$4,폐업정보!$D$3:$R$3,0)),
"Error"))</f>
        <v>5300900000</v>
      </c>
      <c r="K366" s="75" t="str">
        <f aca="false">
IF($D366="정상",INDEX(임대자산!$D$3:$R$3000,MATCH($F366,임대자산!$I$3:$I$3000,0),MATCH(K$4,임대자산!$D$3:$R$3,0)),
IF($D366="폐업",INDEX(폐업정보!$D$3:$R$3000,MATCH($F366,폐업정보!$I$3:$I$3000,0),MATCH(K$4,폐업정보!$D$3:$R$3,0)),
"Error"))</f>
        <v>C0361</v>
      </c>
      <c r="L366" s="75" t="str">
        <f aca="false">
IF($D366="정상",INDEX(임대자산!$D$3:$R$3000,MATCH($F366,임대자산!$I$3:$I$3000,0),MATCH(L$4,임대자산!$D$3:$R$3,0)),
IF($D366="폐업",INDEX(폐업정보!$D$3:$R$3000,MATCH($F366,폐업정보!$I$3:$I$3000,0),MATCH(L$4,폐업정보!$D$3:$R$3,0)),
"Error"))</f>
        <v>D0361</v>
      </c>
      <c r="M366" s="76" t="s">
        <v>96</v>
      </c>
      <c r="N366" s="77"/>
      <c r="O366" s="78" t="s">
        <v>97</v>
      </c>
      <c r="P366" s="79" t="n">
        <f aca="false">COUNTIFS(임대자산!$I:$I,가맹점정보!F366,임대자산!$N:$N,가맹점정보!P$4)</f>
        <v>0</v>
      </c>
      <c r="Q366" s="80" t="n">
        <f aca="false">COUNTIFS(임대자산!$I:$I,가맹점정보!F366,임대자산!$N:$N,가맹점정보!Q$4)</f>
        <v>0</v>
      </c>
      <c r="R366" s="81" t="n">
        <f aca="false">COUNTIFS(임대자산!$I:$I,가맹점정보!F366,임대자산!$N:$N,가맹점정보!R$4)</f>
        <v>1</v>
      </c>
      <c r="S366" s="82" t="n">
        <v>55000</v>
      </c>
      <c r="T366" s="83" t="n">
        <v>0</v>
      </c>
      <c r="U366" s="80" t="n">
        <f aca="false">SUM(S366:T366)</f>
        <v>55000</v>
      </c>
      <c r="V366" s="84" t="s">
        <v>7</v>
      </c>
      <c r="W366" s="80" t="str">
        <f aca="true">
IF(D366="폐업","폐업",
IF(V366="면제","면제",
IF(AND(V366="정상",COUNTIFS(OFFSET(Y366,0,COUNTA(Y366:AV366)-1,1,-4),"미납")&gt;=3),"장기미납",
IF(AND(V366="정상",OFFSET(Y366,0,COUNTA(Y366:AV366)-1)&gt;=U366),"정상",
IF(AND(V366="정상",OFFSET(Y366,0,COUNTA(Y366:AV366)-1)=0),"정상",
"계약서 미작성")))))</f>
        <v>면제</v>
      </c>
      <c r="X366" s="81" t="str">
        <f aca="true">
IF(D366="폐업","폐업",
IF(AND(V366="정상",OFFSET(Y366,0,COUNTA(Y366:AV366)-1)="미납"),"미납",
IF(AND(V366="정상",OFFSET(Y366,0,COUNTA(Y366:AV366)-1)=0),"납부 시작 전",
IF(AND(V366="정상",OFFSET(Y366,0,COUNTA(Y366:AV366)-1)&gt;=U366),"정상",
IF(AND(V366="면제",OFFSET(Y366,0,COUNTA(Y366:AV366)-1)="면제"),"면제",
IF(AND(V366="면제",OFFSET(Y366,0,COUNTA(Y366:AV366)-1)=0),"면제",
"확인요청"))))))</f>
        <v>면제</v>
      </c>
      <c r="Y366" s="94" t="s">
        <v>7</v>
      </c>
      <c r="Z366" s="95" t="s">
        <v>7</v>
      </c>
      <c r="AA366" s="95" t="s">
        <v>7</v>
      </c>
      <c r="AB366" s="95" t="s">
        <v>7</v>
      </c>
      <c r="AC366" s="95" t="s">
        <v>7</v>
      </c>
      <c r="AD366" s="95" t="s">
        <v>7</v>
      </c>
      <c r="AE366" s="95" t="s">
        <v>7</v>
      </c>
      <c r="AF366" s="95" t="s">
        <v>7</v>
      </c>
      <c r="AG366" s="95" t="s">
        <v>7</v>
      </c>
      <c r="AH366" s="95" t="s">
        <v>7</v>
      </c>
      <c r="AI366" s="95" t="s">
        <v>7</v>
      </c>
      <c r="AJ366" s="96" t="s">
        <v>7</v>
      </c>
      <c r="AK366" s="97" t="s">
        <v>7</v>
      </c>
      <c r="AL366" s="95" t="s">
        <v>7</v>
      </c>
      <c r="AM366" s="90"/>
      <c r="AN366" s="90"/>
      <c r="AO366" s="90"/>
      <c r="AP366" s="90"/>
      <c r="AQ366" s="90"/>
      <c r="AR366" s="90"/>
      <c r="AS366" s="90"/>
      <c r="AT366" s="90"/>
      <c r="AU366" s="90"/>
      <c r="AV366" s="91"/>
      <c r="AX366" s="92"/>
    </row>
    <row r="367" customFormat="false" ht="15.65" hidden="false" customHeight="false" outlineLevel="0" collapsed="false">
      <c r="C367" s="72" t="n">
        <f aca="false">COUNTIFS($D$6:D367,"&lt;&gt;"&amp;"")</f>
        <v>362</v>
      </c>
      <c r="D367" s="73" t="s">
        <v>5</v>
      </c>
      <c r="E367" s="76" t="str">
        <f aca="false">
IF($D367="정상",INDEX(임대자산!$D$3:$R$3000,MATCH($F367,임대자산!$I$3:$I$3000,0),MATCH(E$3,임대자산!$D$3:$R$3,0)),
IF($D367="폐업",INDEX(폐업정보!$D$3:$R$3000,MATCH($F367,폐업정보!$I$3:$I$3000,0),MATCH(E$3,폐업정보!$D$3:$R$3,0)),
"Error"))</f>
        <v>경상</v>
      </c>
      <c r="F36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B0362</v>
      </c>
      <c r="G367" s="76" t="str">
        <f aca="false">F367&amp;RANDBETWEEN(0,10)</f>
        <v>B03623</v>
      </c>
      <c r="H367" s="75" t="n">
        <f aca="false">
IF($D367="정상",INDEX(임대자산!$D$3:$R$3000,MATCH($F367,임대자산!$I$3:$I$3000,0),MATCH(H$4,임대자산!$D$3:$R$3,0)),
IF($D367="폐업",INDEX(폐업정보!$D$3:$R$3000,MATCH($F367,폐업정보!$I$3:$I$3000,0),MATCH(H$4,폐업정보!$D$3:$R$3,0)),
"Error"))</f>
        <v>45393</v>
      </c>
      <c r="I367" s="75" t="str">
        <f aca="false">
IF($D367="정상",INDEX(임대자산!$D$3:$R$3000,MATCH($F367,임대자산!$I$3:$I$3000,0),MATCH(I$4,임대자산!$D$3:$R$3,0)),
IF($D367="폐업",INDEX(폐업정보!$D$3:$R$3000,MATCH($F367,폐업정보!$I$3:$I$3000,0),MATCH(I$4,폐업정보!$D$3:$R$3,0)),
"Error"))</f>
        <v>A0362</v>
      </c>
      <c r="J367" s="75" t="str">
        <f aca="false">
IF($D367="정상",INDEX(임대자산!$D$3:$R$3000,MATCH($F367,임대자산!$I$3:$I$3000,0),MATCH(J$4,임대자산!$D$3:$R$3,0)),
IF($D367="폐업",INDEX(폐업정보!$D$3:$R$3000,MATCH($F367,폐업정보!$I$3:$I$3000,0),MATCH(J$4,폐업정보!$D$3:$R$3,0)),
"Error"))</f>
        <v>9793700000</v>
      </c>
      <c r="K367" s="75" t="str">
        <f aca="false">
IF($D367="정상",INDEX(임대자산!$D$3:$R$3000,MATCH($F367,임대자산!$I$3:$I$3000,0),MATCH(K$4,임대자산!$D$3:$R$3,0)),
IF($D367="폐업",INDEX(폐업정보!$D$3:$R$3000,MATCH($F367,폐업정보!$I$3:$I$3000,0),MATCH(K$4,폐업정보!$D$3:$R$3,0)),
"Error"))</f>
        <v>C0362</v>
      </c>
      <c r="L367" s="75" t="str">
        <f aca="false">
IF($D367="정상",INDEX(임대자산!$D$3:$R$3000,MATCH($F367,임대자산!$I$3:$I$3000,0),MATCH(L$4,임대자산!$D$3:$R$3,0)),
IF($D367="폐업",INDEX(폐업정보!$D$3:$R$3000,MATCH($F367,폐업정보!$I$3:$I$3000,0),MATCH(L$4,폐업정보!$D$3:$R$3,0)),
"Error"))</f>
        <v>D0362</v>
      </c>
      <c r="M367" s="76" t="s">
        <v>96</v>
      </c>
      <c r="N367" s="77"/>
      <c r="O367" s="78" t="s">
        <v>97</v>
      </c>
      <c r="P367" s="79" t="n">
        <f aca="false">COUNTIFS(임대자산!$I:$I,가맹점정보!F367,임대자산!$N:$N,가맹점정보!P$4)</f>
        <v>0</v>
      </c>
      <c r="Q367" s="80" t="n">
        <f aca="false">COUNTIFS(임대자산!$I:$I,가맹점정보!F367,임대자산!$N:$N,가맹점정보!Q$4)</f>
        <v>0</v>
      </c>
      <c r="R367" s="81" t="n">
        <f aca="false">COUNTIFS(임대자산!$I:$I,가맹점정보!F367,임대자산!$N:$N,가맹점정보!R$4)</f>
        <v>0</v>
      </c>
      <c r="S367" s="82" t="n">
        <v>55000</v>
      </c>
      <c r="T367" s="83" t="n">
        <v>0</v>
      </c>
      <c r="U367" s="80" t="n">
        <f aca="false">SUM(S367:T367)</f>
        <v>55000</v>
      </c>
      <c r="V367" s="84" t="s">
        <v>12</v>
      </c>
      <c r="W367" s="80" t="str">
        <f aca="true">
IF(D367="폐업","폐업",
IF(V367="면제","면제",
IF(AND(V367="정상",COUNTIFS(OFFSET(Y367,0,COUNTA(Y367:AV367)-1,1,-4),"미납")&gt;=3),"장기미납",
IF(AND(V367="정상",OFFSET(Y367,0,COUNTA(Y367:AV367)-1)&gt;=U367),"정상",
IF(AND(V367="정상",OFFSET(Y367,0,COUNTA(Y367:AV367)-1)=0),"정상",
"계약서 미작성")))))</f>
        <v>폐업</v>
      </c>
      <c r="X367" s="81" t="str">
        <f aca="true">
IF(D367="폐업","폐업",
IF(AND(V367="정상",OFFSET(Y367,0,COUNTA(Y367:AV367)-1)="미납"),"미납",
IF(AND(V367="정상",OFFSET(Y367,0,COUNTA(Y367:AV367)-1)=0),"납부 시작 전",
IF(AND(V367="정상",OFFSET(Y367,0,COUNTA(Y367:AV367)-1)&gt;=U367),"정상",
IF(AND(V367="면제",OFFSET(Y367,0,COUNTA(Y367:AV367)-1)="면제"),"면제",
IF(AND(V367="면제",OFFSET(Y367,0,COUNTA(Y367:AV367)-1)=0),"면제",
"확인요청"))))))</f>
        <v>폐업</v>
      </c>
      <c r="Y367" s="93" t="n">
        <v>55000</v>
      </c>
      <c r="Z367" s="90" t="n">
        <v>55000</v>
      </c>
      <c r="AA367" s="90" t="n">
        <v>55000</v>
      </c>
      <c r="AB367" s="90" t="n">
        <v>55000</v>
      </c>
      <c r="AC367" s="90" t="n">
        <v>55000</v>
      </c>
      <c r="AD367" s="90" t="n">
        <v>55000</v>
      </c>
      <c r="AE367" s="90" t="n">
        <v>55000</v>
      </c>
      <c r="AF367" s="90" t="n">
        <v>55000</v>
      </c>
      <c r="AG367" s="90" t="n">
        <v>55000</v>
      </c>
      <c r="AH367" s="90" t="n">
        <v>55000</v>
      </c>
      <c r="AI367" s="90" t="n">
        <v>55000</v>
      </c>
      <c r="AJ367" s="91" t="n">
        <v>55000</v>
      </c>
      <c r="AK367" s="89" t="n">
        <v>55000</v>
      </c>
      <c r="AL367" s="90" t="n">
        <v>55000</v>
      </c>
      <c r="AM367" s="90"/>
      <c r="AN367" s="90"/>
      <c r="AO367" s="90"/>
      <c r="AP367" s="90"/>
      <c r="AQ367" s="90"/>
      <c r="AR367" s="90"/>
      <c r="AS367" s="90"/>
      <c r="AT367" s="90"/>
      <c r="AU367" s="90"/>
      <c r="AV367" s="91"/>
      <c r="AX367" s="92"/>
    </row>
    <row r="368" customFormat="false" ht="15.65" hidden="false" customHeight="false" outlineLevel="0" collapsed="false">
      <c r="C368" s="72" t="n">
        <f aca="false">COUNTIFS($D$6:D368,"&lt;&gt;"&amp;"")</f>
        <v>363</v>
      </c>
      <c r="D368" s="73" t="s">
        <v>5</v>
      </c>
      <c r="E368" s="76" t="str">
        <f aca="false">
IF($D368="정상",INDEX(임대자산!$D$3:$R$3000,MATCH($F368,임대자산!$I$3:$I$3000,0),MATCH(E$3,임대자산!$D$3:$R$3,0)),
IF($D368="폐업",INDEX(폐업정보!$D$3:$R$3000,MATCH($F368,폐업정보!$I$3:$I$3000,0),MATCH(E$3,폐업정보!$D$3:$R$3,0)),
"Error"))</f>
        <v>경상</v>
      </c>
      <c r="F36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B0363</v>
      </c>
      <c r="G368" s="76" t="str">
        <f aca="false">F368&amp;RANDBETWEEN(0,10)</f>
        <v>B03631</v>
      </c>
      <c r="H368" s="75" t="n">
        <f aca="false">
IF($D368="정상",INDEX(임대자산!$D$3:$R$3000,MATCH($F368,임대자산!$I$3:$I$3000,0),MATCH(H$4,임대자산!$D$3:$R$3,0)),
IF($D368="폐업",INDEX(폐업정보!$D$3:$R$3000,MATCH($F368,폐업정보!$I$3:$I$3000,0),MATCH(H$4,폐업정보!$D$3:$R$3,0)),
"Error"))</f>
        <v>45393</v>
      </c>
      <c r="I368" s="75" t="str">
        <f aca="false">
IF($D368="정상",INDEX(임대자산!$D$3:$R$3000,MATCH($F368,임대자산!$I$3:$I$3000,0),MATCH(I$4,임대자산!$D$3:$R$3,0)),
IF($D368="폐업",INDEX(폐업정보!$D$3:$R$3000,MATCH($F368,폐업정보!$I$3:$I$3000,0),MATCH(I$4,폐업정보!$D$3:$R$3,0)),
"Error"))</f>
        <v>A0363</v>
      </c>
      <c r="J368" s="75" t="str">
        <f aca="false">
IF($D368="정상",INDEX(임대자산!$D$3:$R$3000,MATCH($F368,임대자산!$I$3:$I$3000,0),MATCH(J$4,임대자산!$D$3:$R$3,0)),
IF($D368="폐업",INDEX(폐업정보!$D$3:$R$3000,MATCH($F368,폐업정보!$I$3:$I$3000,0),MATCH(J$4,폐업정보!$D$3:$R$3,0)),
"Error"))</f>
        <v>6846300000</v>
      </c>
      <c r="K368" s="75" t="str">
        <f aca="false">
IF($D368="정상",INDEX(임대자산!$D$3:$R$3000,MATCH($F368,임대자산!$I$3:$I$3000,0),MATCH(K$4,임대자산!$D$3:$R$3,0)),
IF($D368="폐업",INDEX(폐업정보!$D$3:$R$3000,MATCH($F368,폐업정보!$I$3:$I$3000,0),MATCH(K$4,폐업정보!$D$3:$R$3,0)),
"Error"))</f>
        <v>C0363</v>
      </c>
      <c r="L368" s="75" t="str">
        <f aca="false">
IF($D368="정상",INDEX(임대자산!$D$3:$R$3000,MATCH($F368,임대자산!$I$3:$I$3000,0),MATCH(L$4,임대자산!$D$3:$R$3,0)),
IF($D368="폐업",INDEX(폐업정보!$D$3:$R$3000,MATCH($F368,폐업정보!$I$3:$I$3000,0),MATCH(L$4,폐업정보!$D$3:$R$3,0)),
"Error"))</f>
        <v>D0363</v>
      </c>
      <c r="M368" s="76" t="s">
        <v>96</v>
      </c>
      <c r="N368" s="77"/>
      <c r="O368" s="78" t="s">
        <v>97</v>
      </c>
      <c r="P368" s="79" t="n">
        <f aca="false">COUNTIFS(임대자산!$I:$I,가맹점정보!F368,임대자산!$N:$N,가맹점정보!P$4)</f>
        <v>0</v>
      </c>
      <c r="Q368" s="80" t="n">
        <f aca="false">COUNTIFS(임대자산!$I:$I,가맹점정보!F368,임대자산!$N:$N,가맹점정보!Q$4)</f>
        <v>0</v>
      </c>
      <c r="R368" s="81" t="n">
        <f aca="false">COUNTIFS(임대자산!$I:$I,가맹점정보!F368,임대자산!$N:$N,가맹점정보!R$4)</f>
        <v>0</v>
      </c>
      <c r="S368" s="82" t="n">
        <v>55000</v>
      </c>
      <c r="T368" s="83" t="n">
        <v>0</v>
      </c>
      <c r="U368" s="80" t="n">
        <f aca="false">SUM(S368:T368)</f>
        <v>55000</v>
      </c>
      <c r="V368" s="84" t="s">
        <v>12</v>
      </c>
      <c r="W368" s="80" t="str">
        <f aca="true">
IF(D368="폐업","폐업",
IF(V368="면제","면제",
IF(AND(V368="정상",COUNTIFS(OFFSET(Y368,0,COUNTA(Y368:AV368)-1,1,-4),"미납")&gt;=3),"장기미납",
IF(AND(V368="정상",OFFSET(Y368,0,COUNTA(Y368:AV368)-1)&gt;=U368),"정상",
IF(AND(V368="정상",OFFSET(Y368,0,COUNTA(Y368:AV368)-1)=0),"정상",
"계약서 미작성")))))</f>
        <v>폐업</v>
      </c>
      <c r="X368" s="81" t="str">
        <f aca="true">
IF(D368="폐업","폐업",
IF(AND(V368="정상",OFFSET(Y368,0,COUNTA(Y368:AV368)-1)="미납"),"미납",
IF(AND(V368="정상",OFFSET(Y368,0,COUNTA(Y368:AV368)-1)=0),"납부 시작 전",
IF(AND(V368="정상",OFFSET(Y368,0,COUNTA(Y368:AV368)-1)&gt;=U368),"정상",
IF(AND(V368="면제",OFFSET(Y368,0,COUNTA(Y368:AV368)-1)="면제"),"면제",
IF(AND(V368="면제",OFFSET(Y368,0,COUNTA(Y368:AV368)-1)=0),"면제",
"확인요청"))))))</f>
        <v>폐업</v>
      </c>
      <c r="Y368" s="93" t="n">
        <v>55000</v>
      </c>
      <c r="Z368" s="90" t="n">
        <v>55000</v>
      </c>
      <c r="AA368" s="90" t="n">
        <v>55000</v>
      </c>
      <c r="AB368" s="90" t="n">
        <v>55000</v>
      </c>
      <c r="AC368" s="90" t="n">
        <v>55000</v>
      </c>
      <c r="AD368" s="90" t="n">
        <v>55000</v>
      </c>
      <c r="AE368" s="90" t="n">
        <v>55000</v>
      </c>
      <c r="AF368" s="90" t="n">
        <v>55000</v>
      </c>
      <c r="AG368" s="90" t="n">
        <v>55000</v>
      </c>
      <c r="AH368" s="90" t="n">
        <v>55000</v>
      </c>
      <c r="AI368" s="90" t="n">
        <v>55000</v>
      </c>
      <c r="AJ368" s="91" t="n">
        <v>55000</v>
      </c>
      <c r="AK368" s="89" t="n">
        <v>55000</v>
      </c>
      <c r="AL368" s="90" t="n">
        <v>55000</v>
      </c>
      <c r="AM368" s="90"/>
      <c r="AN368" s="90"/>
      <c r="AO368" s="90"/>
      <c r="AP368" s="90"/>
      <c r="AQ368" s="90"/>
      <c r="AR368" s="90"/>
      <c r="AS368" s="90"/>
      <c r="AT368" s="90"/>
      <c r="AU368" s="90"/>
      <c r="AV368" s="91"/>
      <c r="AX368" s="92"/>
    </row>
    <row r="369" customFormat="false" ht="15.65" hidden="false" customHeight="false" outlineLevel="0" collapsed="false">
      <c r="C369" s="72" t="n">
        <f aca="false">COUNTIFS($D$6:D369,"&lt;&gt;"&amp;"")</f>
        <v>364</v>
      </c>
      <c r="D369" s="73" t="s">
        <v>12</v>
      </c>
      <c r="E369" s="76" t="str">
        <f aca="false">
IF($D369="정상",INDEX(임대자산!$D$3:$R$3000,MATCH($F369,임대자산!$I$3:$I$3000,0),MATCH(E$3,임대자산!$D$3:$R$3,0)),
IF($D369="폐업",INDEX(폐업정보!$D$3:$R$3000,MATCH($F369,폐업정보!$I$3:$I$3000,0),MATCH(E$3,폐업정보!$D$3:$R$3,0)),
"Error"))</f>
        <v>경상</v>
      </c>
      <c r="F36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B0364</v>
      </c>
      <c r="G369" s="76" t="str">
        <f aca="false">F369&amp;RANDBETWEEN(0,10)</f>
        <v>B03645</v>
      </c>
      <c r="H369" s="75" t="n">
        <f aca="false">
IF($D369="정상",INDEX(임대자산!$D$3:$R$3000,MATCH($F369,임대자산!$I$3:$I$3000,0),MATCH(H$4,임대자산!$D$3:$R$3,0)),
IF($D369="폐업",INDEX(폐업정보!$D$3:$R$3000,MATCH($F369,폐업정보!$I$3:$I$3000,0),MATCH(H$4,폐업정보!$D$3:$R$3,0)),
"Error"))</f>
        <v>45383</v>
      </c>
      <c r="I369" s="75" t="str">
        <f aca="false">
IF($D369="정상",INDEX(임대자산!$D$3:$R$3000,MATCH($F369,임대자산!$I$3:$I$3000,0),MATCH(I$4,임대자산!$D$3:$R$3,0)),
IF($D369="폐업",INDEX(폐업정보!$D$3:$R$3000,MATCH($F369,폐업정보!$I$3:$I$3000,0),MATCH(I$4,폐업정보!$D$3:$R$3,0)),
"Error"))</f>
        <v>A0364</v>
      </c>
      <c r="J369" s="75" t="str">
        <f aca="false">
IF($D369="정상",INDEX(임대자산!$D$3:$R$3000,MATCH($F369,임대자산!$I$3:$I$3000,0),MATCH(J$4,임대자산!$D$3:$R$3,0)),
IF($D369="폐업",INDEX(폐업정보!$D$3:$R$3000,MATCH($F369,폐업정보!$I$3:$I$3000,0),MATCH(J$4,폐업정보!$D$3:$R$3,0)),
"Error"))</f>
        <v>4438600000</v>
      </c>
      <c r="K369" s="75" t="str">
        <f aca="false">
IF($D369="정상",INDEX(임대자산!$D$3:$R$3000,MATCH($F369,임대자산!$I$3:$I$3000,0),MATCH(K$4,임대자산!$D$3:$R$3,0)),
IF($D369="폐업",INDEX(폐업정보!$D$3:$R$3000,MATCH($F369,폐업정보!$I$3:$I$3000,0),MATCH(K$4,폐업정보!$D$3:$R$3,0)),
"Error"))</f>
        <v>C0364</v>
      </c>
      <c r="L369" s="75" t="str">
        <f aca="false">
IF($D369="정상",INDEX(임대자산!$D$3:$R$3000,MATCH($F369,임대자산!$I$3:$I$3000,0),MATCH(L$4,임대자산!$D$3:$R$3,0)),
IF($D369="폐업",INDEX(폐업정보!$D$3:$R$3000,MATCH($F369,폐업정보!$I$3:$I$3000,0),MATCH(L$4,폐업정보!$D$3:$R$3,0)),
"Error"))</f>
        <v>D0364</v>
      </c>
      <c r="M369" s="76" t="s">
        <v>96</v>
      </c>
      <c r="N369" s="77"/>
      <c r="O369" s="78" t="s">
        <v>97</v>
      </c>
      <c r="P369" s="79" t="n">
        <f aca="false">COUNTIFS(임대자산!$I:$I,가맹점정보!F369,임대자산!$N:$N,가맹점정보!P$4)</f>
        <v>0</v>
      </c>
      <c r="Q369" s="80" t="n">
        <f aca="false">COUNTIFS(임대자산!$I:$I,가맹점정보!F369,임대자산!$N:$N,가맹점정보!Q$4)</f>
        <v>0</v>
      </c>
      <c r="R369" s="81" t="n">
        <f aca="false">COUNTIFS(임대자산!$I:$I,가맹점정보!F369,임대자산!$N:$N,가맹점정보!R$4)</f>
        <v>1</v>
      </c>
      <c r="S369" s="82" t="n">
        <v>55000</v>
      </c>
      <c r="T369" s="83" t="n">
        <v>0</v>
      </c>
      <c r="U369" s="80" t="n">
        <f aca="false">SUM(S369:T369)</f>
        <v>55000</v>
      </c>
      <c r="V369" s="84" t="s">
        <v>12</v>
      </c>
      <c r="W369" s="80" t="e">
        <f aca="true">
IF(D369="폐업","폐업",
IF(V369="면제","면제",
IF(AND(V369="정상",COUNTIFS(OFFSET(Y369,0,COUNTA(Y369:AV369)-1,1,-4),"미납")&gt;=3),"장기미납",
IF(AND(V369="정상",OFFSET(Y369,0,COUNTA(Y369:AV369)-1)&gt;=U369),"정상",
IF(AND(V369="정상",OFFSET(Y369,0,COUNTA(Y369:AV369)-1)=0),"정상",
"계약서 미작성")))))</f>
        <v>#VALUE!</v>
      </c>
      <c r="X369" s="81" t="str">
        <f aca="true">
IF(D369="폐업","폐업",
IF(AND(V369="정상",OFFSET(Y369,0,COUNTA(Y369:AV369)-1)="미납"),"미납",
IF(AND(V369="정상",OFFSET(Y369,0,COUNTA(Y369:AV369)-1)=0),"납부 시작 전",
IF(AND(V369="정상",OFFSET(Y369,0,COUNTA(Y369:AV369)-1)&gt;=U369),"정상",
IF(AND(V369="면제",OFFSET(Y369,0,COUNTA(Y369:AV369)-1)="면제"),"면제",
IF(AND(V369="면제",OFFSET(Y369,0,COUNTA(Y369:AV369)-1)=0),"면제",
"확인요청"))))))</f>
        <v>정상</v>
      </c>
      <c r="Y369" s="93" t="n">
        <v>55000</v>
      </c>
      <c r="Z369" s="90" t="n">
        <v>55000</v>
      </c>
      <c r="AA369" s="90" t="n">
        <v>55000</v>
      </c>
      <c r="AB369" s="90" t="n">
        <v>55000</v>
      </c>
      <c r="AC369" s="90" t="n">
        <v>55000</v>
      </c>
      <c r="AD369" s="90" t="n">
        <v>55000</v>
      </c>
      <c r="AE369" s="90" t="n">
        <v>55000</v>
      </c>
      <c r="AF369" s="90" t="n">
        <v>55000</v>
      </c>
      <c r="AG369" s="90" t="n">
        <v>55000</v>
      </c>
      <c r="AH369" s="90" t="n">
        <v>55000</v>
      </c>
      <c r="AI369" s="90" t="n">
        <v>55000</v>
      </c>
      <c r="AJ369" s="91" t="n">
        <v>55000</v>
      </c>
      <c r="AK369" s="89" t="n">
        <v>55000</v>
      </c>
      <c r="AL369" s="90" t="n">
        <v>55000</v>
      </c>
      <c r="AM369" s="90"/>
      <c r="AN369" s="90"/>
      <c r="AO369" s="90"/>
      <c r="AP369" s="90"/>
      <c r="AQ369" s="90"/>
      <c r="AR369" s="90"/>
      <c r="AS369" s="90"/>
      <c r="AT369" s="90"/>
      <c r="AU369" s="90"/>
      <c r="AV369" s="91"/>
      <c r="AX369" s="92"/>
    </row>
    <row r="370" customFormat="false" ht="15.65" hidden="false" customHeight="false" outlineLevel="0" collapsed="false">
      <c r="C370" s="72" t="n">
        <f aca="false">COUNTIFS($D$6:D370,"&lt;&gt;"&amp;"")</f>
        <v>365</v>
      </c>
      <c r="D370" s="73" t="s">
        <v>12</v>
      </c>
      <c r="E370" s="76" t="str">
        <f aca="false">
IF($D370="정상",INDEX(임대자산!$D$3:$R$3000,MATCH($F370,임대자산!$I$3:$I$3000,0),MATCH(E$3,임대자산!$D$3:$R$3,0)),
IF($D370="폐업",INDEX(폐업정보!$D$3:$R$3000,MATCH($F370,폐업정보!$I$3:$I$3000,0),MATCH(E$3,폐업정보!$D$3:$R$3,0)),
"Error"))</f>
        <v>강원</v>
      </c>
      <c r="F37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B0365</v>
      </c>
      <c r="G370" s="76" t="str">
        <f aca="false">F370&amp;RANDBETWEEN(0,10)</f>
        <v>B03652</v>
      </c>
      <c r="H370" s="75" t="n">
        <f aca="false">
IF($D370="정상",INDEX(임대자산!$D$3:$R$3000,MATCH($F370,임대자산!$I$3:$I$3000,0),MATCH(H$4,임대자산!$D$3:$R$3,0)),
IF($D370="폐업",INDEX(폐업정보!$D$3:$R$3000,MATCH($F370,폐업정보!$I$3:$I$3000,0),MATCH(H$4,폐업정보!$D$3:$R$3,0)),
"Error"))</f>
        <v>45432</v>
      </c>
      <c r="I370" s="75" t="str">
        <f aca="false">
IF($D370="정상",INDEX(임대자산!$D$3:$R$3000,MATCH($F370,임대자산!$I$3:$I$3000,0),MATCH(I$4,임대자산!$D$3:$R$3,0)),
IF($D370="폐업",INDEX(폐업정보!$D$3:$R$3000,MATCH($F370,폐업정보!$I$3:$I$3000,0),MATCH(I$4,폐업정보!$D$3:$R$3,0)),
"Error"))</f>
        <v>A0365</v>
      </c>
      <c r="J370" s="75" t="str">
        <f aca="false">
IF($D370="정상",INDEX(임대자산!$D$3:$R$3000,MATCH($F370,임대자산!$I$3:$I$3000,0),MATCH(J$4,임대자산!$D$3:$R$3,0)),
IF($D370="폐업",INDEX(폐업정보!$D$3:$R$3000,MATCH($F370,폐업정보!$I$3:$I$3000,0),MATCH(J$4,폐업정보!$D$3:$R$3,0)),
"Error"))</f>
        <v>2466400000</v>
      </c>
      <c r="K370" s="75" t="str">
        <f aca="false">
IF($D370="정상",INDEX(임대자산!$D$3:$R$3000,MATCH($F370,임대자산!$I$3:$I$3000,0),MATCH(K$4,임대자산!$D$3:$R$3,0)),
IF($D370="폐업",INDEX(폐업정보!$D$3:$R$3000,MATCH($F370,폐업정보!$I$3:$I$3000,0),MATCH(K$4,폐업정보!$D$3:$R$3,0)),
"Error"))</f>
        <v>C0365</v>
      </c>
      <c r="L370" s="75" t="str">
        <f aca="false">
IF($D370="정상",INDEX(임대자산!$D$3:$R$3000,MATCH($F370,임대자산!$I$3:$I$3000,0),MATCH(L$4,임대자산!$D$3:$R$3,0)),
IF($D370="폐업",INDEX(폐업정보!$D$3:$R$3000,MATCH($F370,폐업정보!$I$3:$I$3000,0),MATCH(L$4,폐업정보!$D$3:$R$3,0)),
"Error"))</f>
        <v>D0365</v>
      </c>
      <c r="M370" s="76" t="s">
        <v>96</v>
      </c>
      <c r="N370" s="77"/>
      <c r="O370" s="78" t="s">
        <v>97</v>
      </c>
      <c r="P370" s="79" t="n">
        <f aca="false">COUNTIFS(임대자산!$I:$I,가맹점정보!F370,임대자산!$N:$N,가맹점정보!P$4)</f>
        <v>0</v>
      </c>
      <c r="Q370" s="80" t="n">
        <f aca="false">COUNTIFS(임대자산!$I:$I,가맹점정보!F370,임대자산!$N:$N,가맹점정보!Q$4)</f>
        <v>0</v>
      </c>
      <c r="R370" s="81" t="n">
        <f aca="false">COUNTIFS(임대자산!$I:$I,가맹점정보!F370,임대자산!$N:$N,가맹점정보!R$4)</f>
        <v>1</v>
      </c>
      <c r="S370" s="82" t="n">
        <v>55000</v>
      </c>
      <c r="T370" s="83" t="n">
        <v>55000</v>
      </c>
      <c r="U370" s="80" t="n">
        <f aca="false">SUM(S370:T370)</f>
        <v>110000</v>
      </c>
      <c r="V370" s="84" t="s">
        <v>12</v>
      </c>
      <c r="W370" s="80" t="e">
        <f aca="true">
IF(D370="폐업","폐업",
IF(V370="면제","면제",
IF(AND(V370="정상",COUNTIFS(OFFSET(Y370,0,COUNTA(Y370:AV370)-1,1,-4),"미납")&gt;=3),"장기미납",
IF(AND(V370="정상",OFFSET(Y370,0,COUNTA(Y370:AV370)-1)&gt;=U370),"정상",
IF(AND(V370="정상",OFFSET(Y370,0,COUNTA(Y370:AV370)-1)=0),"정상",
"계약서 미작성")))))</f>
        <v>#VALUE!</v>
      </c>
      <c r="X370" s="81" t="str">
        <f aca="true">
IF(D370="폐업","폐업",
IF(AND(V370="정상",OFFSET(Y370,0,COUNTA(Y370:AV370)-1)="미납"),"미납",
IF(AND(V370="정상",OFFSET(Y370,0,COUNTA(Y370:AV370)-1)=0),"납부 시작 전",
IF(AND(V370="정상",OFFSET(Y370,0,COUNTA(Y370:AV370)-1)&gt;=U370),"정상",
IF(AND(V370="면제",OFFSET(Y370,0,COUNTA(Y370:AV370)-1)="면제"),"면제",
IF(AND(V370="면제",OFFSET(Y370,0,COUNTA(Y370:AV370)-1)=0),"면제",
"확인요청"))))))</f>
        <v>정상</v>
      </c>
      <c r="Y370" s="93" t="n">
        <v>110000</v>
      </c>
      <c r="Z370" s="90" t="n">
        <v>110000</v>
      </c>
      <c r="AA370" s="90" t="n">
        <v>110000</v>
      </c>
      <c r="AB370" s="90" t="n">
        <v>110000</v>
      </c>
      <c r="AC370" s="90" t="n">
        <v>110000</v>
      </c>
      <c r="AD370" s="90" t="n">
        <v>110000</v>
      </c>
      <c r="AE370" s="90" t="n">
        <v>110000</v>
      </c>
      <c r="AF370" s="90" t="n">
        <v>110000</v>
      </c>
      <c r="AG370" s="90" t="n">
        <v>110000</v>
      </c>
      <c r="AH370" s="90" t="n">
        <v>110000</v>
      </c>
      <c r="AI370" s="90" t="n">
        <v>110000</v>
      </c>
      <c r="AJ370" s="91" t="n">
        <v>110000</v>
      </c>
      <c r="AK370" s="89" t="n">
        <v>110000</v>
      </c>
      <c r="AL370" s="90" t="n">
        <v>110000</v>
      </c>
      <c r="AM370" s="90"/>
      <c r="AN370" s="90"/>
      <c r="AO370" s="90"/>
      <c r="AP370" s="90"/>
      <c r="AQ370" s="90"/>
      <c r="AR370" s="90"/>
      <c r="AS370" s="90"/>
      <c r="AT370" s="90"/>
      <c r="AU370" s="90"/>
      <c r="AV370" s="91"/>
      <c r="AX370" s="92"/>
    </row>
    <row r="371" customFormat="false" ht="15.65" hidden="false" customHeight="false" outlineLevel="0" collapsed="false">
      <c r="C371" s="72" t="n">
        <f aca="false">COUNTIFS($D$6:D371,"&lt;&gt;"&amp;"")</f>
        <v>366</v>
      </c>
      <c r="D371" s="73" t="s">
        <v>12</v>
      </c>
      <c r="E371" s="76" t="str">
        <f aca="false">
IF($D371="정상",INDEX(임대자산!$D$3:$R$3000,MATCH($F371,임대자산!$I$3:$I$3000,0),MATCH(E$3,임대자산!$D$3:$R$3,0)),
IF($D371="폐업",INDEX(폐업정보!$D$3:$R$3000,MATCH($F371,폐업정보!$I$3:$I$3000,0),MATCH(E$3,폐업정보!$D$3:$R$3,0)),
"Error"))</f>
        <v>서울</v>
      </c>
      <c r="F37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B0366</v>
      </c>
      <c r="G371" s="76" t="str">
        <f aca="false">F371&amp;RANDBETWEEN(0,10)</f>
        <v>B036610</v>
      </c>
      <c r="H371" s="75" t="n">
        <f aca="false">
IF($D371="정상",INDEX(임대자산!$D$3:$R$3000,MATCH($F371,임대자산!$I$3:$I$3000,0),MATCH(H$4,임대자산!$D$3:$R$3,0)),
IF($D371="폐업",INDEX(폐업정보!$D$3:$R$3000,MATCH($F371,폐업정보!$I$3:$I$3000,0),MATCH(H$4,폐업정보!$D$3:$R$3,0)),
"Error"))</f>
        <v>45406</v>
      </c>
      <c r="I371" s="75" t="str">
        <f aca="false">
IF($D371="정상",INDEX(임대자산!$D$3:$R$3000,MATCH($F371,임대자산!$I$3:$I$3000,0),MATCH(I$4,임대자산!$D$3:$R$3,0)),
IF($D371="폐업",INDEX(폐업정보!$D$3:$R$3000,MATCH($F371,폐업정보!$I$3:$I$3000,0),MATCH(I$4,폐업정보!$D$3:$R$3,0)),
"Error"))</f>
        <v>A0366</v>
      </c>
      <c r="J371" s="75" t="str">
        <f aca="false">
IF($D371="정상",INDEX(임대자산!$D$3:$R$3000,MATCH($F371,임대자산!$I$3:$I$3000,0),MATCH(J$4,임대자산!$D$3:$R$3,0)),
IF($D371="폐업",INDEX(폐업정보!$D$3:$R$3000,MATCH($F371,폐업정보!$I$3:$I$3000,0),MATCH(J$4,폐업정보!$D$3:$R$3,0)),
"Error"))</f>
        <v>9416200000</v>
      </c>
      <c r="K371" s="75" t="str">
        <f aca="false">
IF($D371="정상",INDEX(임대자산!$D$3:$R$3000,MATCH($F371,임대자산!$I$3:$I$3000,0),MATCH(K$4,임대자산!$D$3:$R$3,0)),
IF($D371="폐업",INDEX(폐업정보!$D$3:$R$3000,MATCH($F371,폐업정보!$I$3:$I$3000,0),MATCH(K$4,폐업정보!$D$3:$R$3,0)),
"Error"))</f>
        <v>C0366</v>
      </c>
      <c r="L371" s="75" t="str">
        <f aca="false">
IF($D371="정상",INDEX(임대자산!$D$3:$R$3000,MATCH($F371,임대자산!$I$3:$I$3000,0),MATCH(L$4,임대자산!$D$3:$R$3,0)),
IF($D371="폐업",INDEX(폐업정보!$D$3:$R$3000,MATCH($F371,폐업정보!$I$3:$I$3000,0),MATCH(L$4,폐업정보!$D$3:$R$3,0)),
"Error"))</f>
        <v>D0366</v>
      </c>
      <c r="M371" s="76" t="s">
        <v>96</v>
      </c>
      <c r="N371" s="77"/>
      <c r="O371" s="78" t="s">
        <v>97</v>
      </c>
      <c r="P371" s="79" t="n">
        <f aca="false">COUNTIFS(임대자산!$I:$I,가맹점정보!F371,임대자산!$N:$N,가맹점정보!P$4)</f>
        <v>0</v>
      </c>
      <c r="Q371" s="80" t="n">
        <f aca="false">COUNTIFS(임대자산!$I:$I,가맹점정보!F371,임대자산!$N:$N,가맹점정보!Q$4)</f>
        <v>0</v>
      </c>
      <c r="R371" s="81" t="n">
        <f aca="false">COUNTIFS(임대자산!$I:$I,가맹점정보!F371,임대자산!$N:$N,가맹점정보!R$4)</f>
        <v>1</v>
      </c>
      <c r="S371" s="82" t="n">
        <v>55000</v>
      </c>
      <c r="T371" s="83" t="n">
        <v>0</v>
      </c>
      <c r="U371" s="80" t="n">
        <f aca="false">SUM(S371:T371)</f>
        <v>55000</v>
      </c>
      <c r="V371" s="84" t="s">
        <v>12</v>
      </c>
      <c r="W371" s="80" t="e">
        <f aca="true">
IF(D371="폐업","폐업",
IF(V371="면제","면제",
IF(AND(V371="정상",COUNTIFS(OFFSET(Y371,0,COUNTA(Y371:AV371)-1,1,-4),"미납")&gt;=3),"장기미납",
IF(AND(V371="정상",OFFSET(Y371,0,COUNTA(Y371:AV371)-1)&gt;=U371),"정상",
IF(AND(V371="정상",OFFSET(Y371,0,COUNTA(Y371:AV371)-1)=0),"정상",
"계약서 미작성")))))</f>
        <v>#VALUE!</v>
      </c>
      <c r="X371" s="81" t="str">
        <f aca="true">
IF(D371="폐업","폐업",
IF(AND(V371="정상",OFFSET(Y371,0,COUNTA(Y371:AV371)-1)="미납"),"미납",
IF(AND(V371="정상",OFFSET(Y371,0,COUNTA(Y371:AV371)-1)=0),"납부 시작 전",
IF(AND(V371="정상",OFFSET(Y371,0,COUNTA(Y371:AV371)-1)&gt;=U371),"정상",
IF(AND(V371="면제",OFFSET(Y371,0,COUNTA(Y371:AV371)-1)="면제"),"면제",
IF(AND(V371="면제",OFFSET(Y371,0,COUNTA(Y371:AV371)-1)=0),"면제",
"확인요청"))))))</f>
        <v>정상</v>
      </c>
      <c r="Y371" s="93" t="n">
        <v>55000</v>
      </c>
      <c r="Z371" s="90" t="n">
        <v>55000</v>
      </c>
      <c r="AA371" s="90" t="n">
        <v>55000</v>
      </c>
      <c r="AB371" s="90" t="n">
        <v>55000</v>
      </c>
      <c r="AC371" s="90" t="n">
        <v>55000</v>
      </c>
      <c r="AD371" s="90" t="n">
        <v>55000</v>
      </c>
      <c r="AE371" s="90" t="n">
        <v>55000</v>
      </c>
      <c r="AF371" s="90" t="n">
        <v>55000</v>
      </c>
      <c r="AG371" s="90" t="n">
        <v>55000</v>
      </c>
      <c r="AH371" s="90" t="n">
        <v>55000</v>
      </c>
      <c r="AI371" s="90" t="n">
        <v>55000</v>
      </c>
      <c r="AJ371" s="91" t="n">
        <v>55000</v>
      </c>
      <c r="AK371" s="89" t="n">
        <v>55000</v>
      </c>
      <c r="AL371" s="90" t="n">
        <v>55000</v>
      </c>
      <c r="AM371" s="90"/>
      <c r="AN371" s="90"/>
      <c r="AO371" s="90"/>
      <c r="AP371" s="90"/>
      <c r="AQ371" s="90"/>
      <c r="AR371" s="90"/>
      <c r="AS371" s="90"/>
      <c r="AT371" s="90"/>
      <c r="AU371" s="90"/>
      <c r="AV371" s="91"/>
      <c r="AX371" s="92"/>
    </row>
    <row r="372" customFormat="false" ht="15.65" hidden="false" customHeight="false" outlineLevel="0" collapsed="false">
      <c r="C372" s="72" t="n">
        <f aca="false">COUNTIFS($D$6:D372,"&lt;&gt;"&amp;"")</f>
        <v>367</v>
      </c>
      <c r="D372" s="73" t="s">
        <v>12</v>
      </c>
      <c r="E372" s="76" t="str">
        <f aca="false">
IF($D372="정상",INDEX(임대자산!$D$3:$R$3000,MATCH($F372,임대자산!$I$3:$I$3000,0),MATCH(E$3,임대자산!$D$3:$R$3,0)),
IF($D372="폐업",INDEX(폐업정보!$D$3:$R$3000,MATCH($F372,폐업정보!$I$3:$I$3000,0),MATCH(E$3,폐업정보!$D$3:$R$3,0)),
"Error"))</f>
        <v>전라</v>
      </c>
      <c r="F37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B0367</v>
      </c>
      <c r="G372" s="76" t="str">
        <f aca="false">F372&amp;RANDBETWEEN(0,10)</f>
        <v>B03670</v>
      </c>
      <c r="H372" s="75" t="n">
        <f aca="false">
IF($D372="정상",INDEX(임대자산!$D$3:$R$3000,MATCH($F372,임대자산!$I$3:$I$3000,0),MATCH(H$4,임대자산!$D$3:$R$3,0)),
IF($D372="폐업",INDEX(폐업정보!$D$3:$R$3000,MATCH($F372,폐업정보!$I$3:$I$3000,0),MATCH(H$4,폐업정보!$D$3:$R$3,0)),
"Error"))</f>
        <v>45420</v>
      </c>
      <c r="I372" s="75" t="str">
        <f aca="false">
IF($D372="정상",INDEX(임대자산!$D$3:$R$3000,MATCH($F372,임대자산!$I$3:$I$3000,0),MATCH(I$4,임대자산!$D$3:$R$3,0)),
IF($D372="폐업",INDEX(폐업정보!$D$3:$R$3000,MATCH($F372,폐업정보!$I$3:$I$3000,0),MATCH(I$4,폐업정보!$D$3:$R$3,0)),
"Error"))</f>
        <v>A0367</v>
      </c>
      <c r="J372" s="75" t="str">
        <f aca="false">
IF($D372="정상",INDEX(임대자산!$D$3:$R$3000,MATCH($F372,임대자산!$I$3:$I$3000,0),MATCH(J$4,임대자산!$D$3:$R$3,0)),
IF($D372="폐업",INDEX(폐업정보!$D$3:$R$3000,MATCH($F372,폐업정보!$I$3:$I$3000,0),MATCH(J$4,폐업정보!$D$3:$R$3,0)),
"Error"))</f>
        <v>5865200000</v>
      </c>
      <c r="K372" s="75" t="str">
        <f aca="false">
IF($D372="정상",INDEX(임대자산!$D$3:$R$3000,MATCH($F372,임대자산!$I$3:$I$3000,0),MATCH(K$4,임대자산!$D$3:$R$3,0)),
IF($D372="폐업",INDEX(폐업정보!$D$3:$R$3000,MATCH($F372,폐업정보!$I$3:$I$3000,0),MATCH(K$4,폐업정보!$D$3:$R$3,0)),
"Error"))</f>
        <v>C0367</v>
      </c>
      <c r="L372" s="75" t="str">
        <f aca="false">
IF($D372="정상",INDEX(임대자산!$D$3:$R$3000,MATCH($F372,임대자산!$I$3:$I$3000,0),MATCH(L$4,임대자산!$D$3:$R$3,0)),
IF($D372="폐업",INDEX(폐업정보!$D$3:$R$3000,MATCH($F372,폐업정보!$I$3:$I$3000,0),MATCH(L$4,폐업정보!$D$3:$R$3,0)),
"Error"))</f>
        <v>D0367</v>
      </c>
      <c r="M372" s="76" t="s">
        <v>96</v>
      </c>
      <c r="N372" s="77"/>
      <c r="O372" s="78" t="s">
        <v>97</v>
      </c>
      <c r="P372" s="79" t="n">
        <f aca="false">COUNTIFS(임대자산!$I:$I,가맹점정보!F372,임대자산!$N:$N,가맹점정보!P$4)</f>
        <v>0</v>
      </c>
      <c r="Q372" s="80" t="n">
        <f aca="false">COUNTIFS(임대자산!$I:$I,가맹점정보!F372,임대자산!$N:$N,가맹점정보!Q$4)</f>
        <v>0</v>
      </c>
      <c r="R372" s="81" t="n">
        <f aca="false">COUNTIFS(임대자산!$I:$I,가맹점정보!F372,임대자산!$N:$N,가맹점정보!R$4)</f>
        <v>1</v>
      </c>
      <c r="S372" s="82" t="n">
        <v>55000</v>
      </c>
      <c r="T372" s="83" t="n">
        <v>0</v>
      </c>
      <c r="U372" s="80" t="n">
        <f aca="false">SUM(S372:T372)</f>
        <v>55000</v>
      </c>
      <c r="V372" s="84" t="s">
        <v>12</v>
      </c>
      <c r="W372" s="80" t="e">
        <f aca="true">
IF(D372="폐업","폐업",
IF(V372="면제","면제",
IF(AND(V372="정상",COUNTIFS(OFFSET(Y372,0,COUNTA(Y372:AV372)-1,1,-4),"미납")&gt;=3),"장기미납",
IF(AND(V372="정상",OFFSET(Y372,0,COUNTA(Y372:AV372)-1)&gt;=U372),"정상",
IF(AND(V372="정상",OFFSET(Y372,0,COUNTA(Y372:AV372)-1)=0),"정상",
"계약서 미작성")))))</f>
        <v>#VALUE!</v>
      </c>
      <c r="X372" s="81" t="str">
        <f aca="true">
IF(D372="폐업","폐업",
IF(AND(V372="정상",OFFSET(Y372,0,COUNTA(Y372:AV372)-1)="미납"),"미납",
IF(AND(V372="정상",OFFSET(Y372,0,COUNTA(Y372:AV372)-1)=0),"납부 시작 전",
IF(AND(V372="정상",OFFSET(Y372,0,COUNTA(Y372:AV372)-1)&gt;=U372),"정상",
IF(AND(V372="면제",OFFSET(Y372,0,COUNTA(Y372:AV372)-1)="면제"),"면제",
IF(AND(V372="면제",OFFSET(Y372,0,COUNTA(Y372:AV372)-1)=0),"면제",
"확인요청"))))))</f>
        <v>정상</v>
      </c>
      <c r="Y372" s="93" t="n">
        <v>55000</v>
      </c>
      <c r="Z372" s="90" t="n">
        <v>55000</v>
      </c>
      <c r="AA372" s="90" t="n">
        <v>55000</v>
      </c>
      <c r="AB372" s="90" t="n">
        <v>55000</v>
      </c>
      <c r="AC372" s="90" t="n">
        <v>55000</v>
      </c>
      <c r="AD372" s="90" t="n">
        <v>55000</v>
      </c>
      <c r="AE372" s="90" t="n">
        <v>55000</v>
      </c>
      <c r="AF372" s="90" t="n">
        <v>55000</v>
      </c>
      <c r="AG372" s="90" t="n">
        <v>55000</v>
      </c>
      <c r="AH372" s="90" t="n">
        <v>55000</v>
      </c>
      <c r="AI372" s="90" t="n">
        <v>55000</v>
      </c>
      <c r="AJ372" s="91" t="n">
        <v>55000</v>
      </c>
      <c r="AK372" s="89" t="n">
        <v>55000</v>
      </c>
      <c r="AL372" s="90" t="n">
        <v>55000</v>
      </c>
      <c r="AM372" s="90"/>
      <c r="AN372" s="90"/>
      <c r="AO372" s="90"/>
      <c r="AP372" s="90"/>
      <c r="AQ372" s="90"/>
      <c r="AR372" s="90"/>
      <c r="AS372" s="90"/>
      <c r="AT372" s="90"/>
      <c r="AU372" s="90"/>
      <c r="AV372" s="91"/>
      <c r="AX372" s="92"/>
    </row>
    <row r="373" customFormat="false" ht="15.65" hidden="false" customHeight="false" outlineLevel="0" collapsed="false">
      <c r="C373" s="72" t="n">
        <f aca="false">COUNTIFS($D$6:D373,"&lt;&gt;"&amp;"")</f>
        <v>368</v>
      </c>
      <c r="D373" s="73" t="s">
        <v>12</v>
      </c>
      <c r="E373" s="76" t="str">
        <f aca="false">
IF($D373="정상",INDEX(임대자산!$D$3:$R$3000,MATCH($F373,임대자산!$I$3:$I$3000,0),MATCH(E$3,임대자산!$D$3:$R$3,0)),
IF($D373="폐업",INDEX(폐업정보!$D$3:$R$3000,MATCH($F373,폐업정보!$I$3:$I$3000,0),MATCH(E$3,폐업정보!$D$3:$R$3,0)),
"Error"))</f>
        <v>서울</v>
      </c>
      <c r="F37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B0368</v>
      </c>
      <c r="G373" s="76" t="str">
        <f aca="false">F373&amp;RANDBETWEEN(0,10)</f>
        <v>B03688</v>
      </c>
      <c r="H373" s="75" t="n">
        <f aca="false">
IF($D373="정상",INDEX(임대자산!$D$3:$R$3000,MATCH($F373,임대자산!$I$3:$I$3000,0),MATCH(H$4,임대자산!$D$3:$R$3,0)),
IF($D373="폐업",INDEX(폐업정보!$D$3:$R$3000,MATCH($F373,폐업정보!$I$3:$I$3000,0),MATCH(H$4,폐업정보!$D$3:$R$3,0)),
"Error"))</f>
        <v>45421</v>
      </c>
      <c r="I373" s="75" t="str">
        <f aca="false">
IF($D373="정상",INDEX(임대자산!$D$3:$R$3000,MATCH($F373,임대자산!$I$3:$I$3000,0),MATCH(I$4,임대자산!$D$3:$R$3,0)),
IF($D373="폐업",INDEX(폐업정보!$D$3:$R$3000,MATCH($F373,폐업정보!$I$3:$I$3000,0),MATCH(I$4,폐업정보!$D$3:$R$3,0)),
"Error"))</f>
        <v>A0368</v>
      </c>
      <c r="J373" s="75" t="str">
        <f aca="false">
IF($D373="정상",INDEX(임대자산!$D$3:$R$3000,MATCH($F373,임대자산!$I$3:$I$3000,0),MATCH(J$4,임대자산!$D$3:$R$3,0)),
IF($D373="폐업",INDEX(폐업정보!$D$3:$R$3000,MATCH($F373,폐업정보!$I$3:$I$3000,0),MATCH(J$4,폐업정보!$D$3:$R$3,0)),
"Error"))</f>
        <v>8869100000</v>
      </c>
      <c r="K373" s="75" t="str">
        <f aca="false">
IF($D373="정상",INDEX(임대자산!$D$3:$R$3000,MATCH($F373,임대자산!$I$3:$I$3000,0),MATCH(K$4,임대자산!$D$3:$R$3,0)),
IF($D373="폐업",INDEX(폐업정보!$D$3:$R$3000,MATCH($F373,폐업정보!$I$3:$I$3000,0),MATCH(K$4,폐업정보!$D$3:$R$3,0)),
"Error"))</f>
        <v>C0368</v>
      </c>
      <c r="L373" s="75" t="str">
        <f aca="false">
IF($D373="정상",INDEX(임대자산!$D$3:$R$3000,MATCH($F373,임대자산!$I$3:$I$3000,0),MATCH(L$4,임대자산!$D$3:$R$3,0)),
IF($D373="폐업",INDEX(폐업정보!$D$3:$R$3000,MATCH($F373,폐업정보!$I$3:$I$3000,0),MATCH(L$4,폐업정보!$D$3:$R$3,0)),
"Error"))</f>
        <v>D0368</v>
      </c>
      <c r="M373" s="76" t="s">
        <v>96</v>
      </c>
      <c r="N373" s="77"/>
      <c r="O373" s="78" t="s">
        <v>97</v>
      </c>
      <c r="P373" s="79" t="n">
        <f aca="false">COUNTIFS(임대자산!$I:$I,가맹점정보!F373,임대자산!$N:$N,가맹점정보!P$4)</f>
        <v>0</v>
      </c>
      <c r="Q373" s="80" t="n">
        <f aca="false">COUNTIFS(임대자산!$I:$I,가맹점정보!F373,임대자산!$N:$N,가맹점정보!Q$4)</f>
        <v>0</v>
      </c>
      <c r="R373" s="81" t="n">
        <f aca="false">COUNTIFS(임대자산!$I:$I,가맹점정보!F373,임대자산!$N:$N,가맹점정보!R$4)</f>
        <v>1</v>
      </c>
      <c r="S373" s="82" t="n">
        <v>55000</v>
      </c>
      <c r="T373" s="83" t="n">
        <v>0</v>
      </c>
      <c r="U373" s="80" t="n">
        <f aca="false">SUM(S373:T373)</f>
        <v>55000</v>
      </c>
      <c r="V373" s="84" t="s">
        <v>12</v>
      </c>
      <c r="W373" s="80" t="e">
        <f aca="true">
IF(D373="폐업","폐업",
IF(V373="면제","면제",
IF(AND(V373="정상",COUNTIFS(OFFSET(Y373,0,COUNTA(Y373:AV373)-1,1,-4),"미납")&gt;=3),"장기미납",
IF(AND(V373="정상",OFFSET(Y373,0,COUNTA(Y373:AV373)-1)&gt;=U373),"정상",
IF(AND(V373="정상",OFFSET(Y373,0,COUNTA(Y373:AV373)-1)=0),"정상",
"계약서 미작성")))))</f>
        <v>#VALUE!</v>
      </c>
      <c r="X373" s="81" t="str">
        <f aca="true">
IF(D373="폐업","폐업",
IF(AND(V373="정상",OFFSET(Y373,0,COUNTA(Y373:AV373)-1)="미납"),"미납",
IF(AND(V373="정상",OFFSET(Y373,0,COUNTA(Y373:AV373)-1)=0),"납부 시작 전",
IF(AND(V373="정상",OFFSET(Y373,0,COUNTA(Y373:AV373)-1)&gt;=U373),"정상",
IF(AND(V373="면제",OFFSET(Y373,0,COUNTA(Y373:AV373)-1)="면제"),"면제",
IF(AND(V373="면제",OFFSET(Y373,0,COUNTA(Y373:AV373)-1)=0),"면제",
"확인요청"))))))</f>
        <v>정상</v>
      </c>
      <c r="Y373" s="93" t="s">
        <v>99</v>
      </c>
      <c r="Z373" s="90" t="n">
        <v>110000</v>
      </c>
      <c r="AA373" s="90" t="n">
        <v>55000</v>
      </c>
      <c r="AB373" s="90" t="n">
        <v>55000</v>
      </c>
      <c r="AC373" s="90" t="n">
        <v>55000</v>
      </c>
      <c r="AD373" s="90" t="n">
        <v>55000</v>
      </c>
      <c r="AE373" s="90" t="n">
        <v>55000</v>
      </c>
      <c r="AF373" s="90" t="n">
        <v>55000</v>
      </c>
      <c r="AG373" s="90" t="n">
        <v>55000</v>
      </c>
      <c r="AH373" s="90" t="n">
        <v>55000</v>
      </c>
      <c r="AI373" s="90" t="n">
        <v>55000</v>
      </c>
      <c r="AJ373" s="91" t="n">
        <v>55000</v>
      </c>
      <c r="AK373" s="89" t="n">
        <v>55000</v>
      </c>
      <c r="AL373" s="90" t="n">
        <v>55000</v>
      </c>
      <c r="AM373" s="90"/>
      <c r="AN373" s="90"/>
      <c r="AO373" s="90"/>
      <c r="AP373" s="90"/>
      <c r="AQ373" s="90"/>
      <c r="AR373" s="90"/>
      <c r="AS373" s="90"/>
      <c r="AT373" s="90"/>
      <c r="AU373" s="90"/>
      <c r="AV373" s="91"/>
      <c r="AX373" s="92"/>
    </row>
    <row r="374" customFormat="false" ht="15.65" hidden="false" customHeight="false" outlineLevel="0" collapsed="false">
      <c r="C374" s="72" t="n">
        <f aca="false">COUNTIFS($D$6:D374,"&lt;&gt;"&amp;"")</f>
        <v>369</v>
      </c>
      <c r="D374" s="73" t="s">
        <v>12</v>
      </c>
      <c r="E374" s="76" t="str">
        <f aca="false">
IF($D374="정상",INDEX(임대자산!$D$3:$R$3000,MATCH($F374,임대자산!$I$3:$I$3000,0),MATCH(E$3,임대자산!$D$3:$R$3,0)),
IF($D374="폐업",INDEX(폐업정보!$D$3:$R$3000,MATCH($F374,폐업정보!$I$3:$I$3000,0),MATCH(E$3,폐업정보!$D$3:$R$3,0)),
"Error"))</f>
        <v>서울</v>
      </c>
      <c r="F37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B0369</v>
      </c>
      <c r="G374" s="76" t="str">
        <f aca="false">F374&amp;RANDBETWEEN(0,10)</f>
        <v>B03692</v>
      </c>
      <c r="H374" s="75" t="n">
        <f aca="false">
IF($D374="정상",INDEX(임대자산!$D$3:$R$3000,MATCH($F374,임대자산!$I$3:$I$3000,0),MATCH(H$4,임대자산!$D$3:$R$3,0)),
IF($D374="폐업",INDEX(폐업정보!$D$3:$R$3000,MATCH($F374,폐업정보!$I$3:$I$3000,0),MATCH(H$4,폐업정보!$D$3:$R$3,0)),
"Error"))</f>
        <v>45416</v>
      </c>
      <c r="I374" s="75" t="str">
        <f aca="false">
IF($D374="정상",INDEX(임대자산!$D$3:$R$3000,MATCH($F374,임대자산!$I$3:$I$3000,0),MATCH(I$4,임대자산!$D$3:$R$3,0)),
IF($D374="폐업",INDEX(폐업정보!$D$3:$R$3000,MATCH($F374,폐업정보!$I$3:$I$3000,0),MATCH(I$4,폐업정보!$D$3:$R$3,0)),
"Error"))</f>
        <v>A0369</v>
      </c>
      <c r="J374" s="75" t="str">
        <f aca="false">
IF($D374="정상",INDEX(임대자산!$D$3:$R$3000,MATCH($F374,임대자산!$I$3:$I$3000,0),MATCH(J$4,임대자산!$D$3:$R$3,0)),
IF($D374="폐업",INDEX(폐업정보!$D$3:$R$3000,MATCH($F374,폐업정보!$I$3:$I$3000,0),MATCH(J$4,폐업정보!$D$3:$R$3,0)),
"Error"))</f>
        <v>7132300000</v>
      </c>
      <c r="K374" s="75" t="str">
        <f aca="false">
IF($D374="정상",INDEX(임대자산!$D$3:$R$3000,MATCH($F374,임대자산!$I$3:$I$3000,0),MATCH(K$4,임대자산!$D$3:$R$3,0)),
IF($D374="폐업",INDEX(폐업정보!$D$3:$R$3000,MATCH($F374,폐업정보!$I$3:$I$3000,0),MATCH(K$4,폐업정보!$D$3:$R$3,0)),
"Error"))</f>
        <v>C0369</v>
      </c>
      <c r="L374" s="75" t="str">
        <f aca="false">
IF($D374="정상",INDEX(임대자산!$D$3:$R$3000,MATCH($F374,임대자산!$I$3:$I$3000,0),MATCH(L$4,임대자산!$D$3:$R$3,0)),
IF($D374="폐업",INDEX(폐업정보!$D$3:$R$3000,MATCH($F374,폐업정보!$I$3:$I$3000,0),MATCH(L$4,폐업정보!$D$3:$R$3,0)),
"Error"))</f>
        <v>D0369</v>
      </c>
      <c r="M374" s="76" t="s">
        <v>96</v>
      </c>
      <c r="N374" s="77"/>
      <c r="O374" s="78" t="s">
        <v>97</v>
      </c>
      <c r="P374" s="79" t="n">
        <f aca="false">COUNTIFS(임대자산!$I:$I,가맹점정보!F374,임대자산!$N:$N,가맹점정보!P$4)</f>
        <v>0</v>
      </c>
      <c r="Q374" s="80" t="n">
        <f aca="false">COUNTIFS(임대자산!$I:$I,가맹점정보!F374,임대자산!$N:$N,가맹점정보!Q$4)</f>
        <v>0</v>
      </c>
      <c r="R374" s="81" t="n">
        <f aca="false">COUNTIFS(임대자산!$I:$I,가맹점정보!F374,임대자산!$N:$N,가맹점정보!R$4)</f>
        <v>1</v>
      </c>
      <c r="S374" s="82" t="n">
        <v>55000</v>
      </c>
      <c r="T374" s="83" t="n">
        <v>0</v>
      </c>
      <c r="U374" s="80" t="n">
        <f aca="false">SUM(S374:T374)</f>
        <v>55000</v>
      </c>
      <c r="V374" s="84" t="s">
        <v>12</v>
      </c>
      <c r="W374" s="80" t="e">
        <f aca="true">
IF(D374="폐업","폐업",
IF(V374="면제","면제",
IF(AND(V374="정상",COUNTIFS(OFFSET(Y374,0,COUNTA(Y374:AV374)-1,1,-4),"미납")&gt;=3),"장기미납",
IF(AND(V374="정상",OFFSET(Y374,0,COUNTA(Y374:AV374)-1)&gt;=U374),"정상",
IF(AND(V374="정상",OFFSET(Y374,0,COUNTA(Y374:AV374)-1)=0),"정상",
"계약서 미작성")))))</f>
        <v>#VALUE!</v>
      </c>
      <c r="X374" s="81" t="str">
        <f aca="true">
IF(D374="폐업","폐업",
IF(AND(V374="정상",OFFSET(Y374,0,COUNTA(Y374:AV374)-1)="미납"),"미납",
IF(AND(V374="정상",OFFSET(Y374,0,COUNTA(Y374:AV374)-1)=0),"납부 시작 전",
IF(AND(V374="정상",OFFSET(Y374,0,COUNTA(Y374:AV374)-1)&gt;=U374),"정상",
IF(AND(V374="면제",OFFSET(Y374,0,COUNTA(Y374:AV374)-1)="면제"),"면제",
IF(AND(V374="면제",OFFSET(Y374,0,COUNTA(Y374:AV374)-1)=0),"면제",
"확인요청"))))))</f>
        <v>정상</v>
      </c>
      <c r="Y374" s="93" t="n">
        <v>55000</v>
      </c>
      <c r="Z374" s="90" t="n">
        <v>55000</v>
      </c>
      <c r="AA374" s="90" t="n">
        <v>55000</v>
      </c>
      <c r="AB374" s="90" t="n">
        <v>55000</v>
      </c>
      <c r="AC374" s="90" t="n">
        <v>55000</v>
      </c>
      <c r="AD374" s="90" t="n">
        <v>55000</v>
      </c>
      <c r="AE374" s="90" t="n">
        <v>55000</v>
      </c>
      <c r="AF374" s="90" t="n">
        <v>55000</v>
      </c>
      <c r="AG374" s="90" t="n">
        <v>55000</v>
      </c>
      <c r="AH374" s="90" t="n">
        <v>55000</v>
      </c>
      <c r="AI374" s="90" t="n">
        <v>55000</v>
      </c>
      <c r="AJ374" s="91" t="n">
        <v>55000</v>
      </c>
      <c r="AK374" s="89" t="n">
        <v>55000</v>
      </c>
      <c r="AL374" s="90" t="n">
        <v>55000</v>
      </c>
      <c r="AM374" s="90"/>
      <c r="AN374" s="90"/>
      <c r="AO374" s="90"/>
      <c r="AP374" s="90"/>
      <c r="AQ374" s="90"/>
      <c r="AR374" s="90"/>
      <c r="AS374" s="90"/>
      <c r="AT374" s="90"/>
      <c r="AU374" s="90"/>
      <c r="AV374" s="91"/>
      <c r="AX374" s="92"/>
    </row>
    <row r="375" customFormat="false" ht="15.65" hidden="false" customHeight="false" outlineLevel="0" collapsed="false">
      <c r="C375" s="72" t="n">
        <f aca="false">COUNTIFS($D$6:D375,"&lt;&gt;"&amp;"")</f>
        <v>370</v>
      </c>
      <c r="D375" s="73" t="s">
        <v>12</v>
      </c>
      <c r="E375" s="76" t="str">
        <f aca="false">
IF($D375="정상",INDEX(임대자산!$D$3:$R$3000,MATCH($F375,임대자산!$I$3:$I$3000,0),MATCH(E$3,임대자산!$D$3:$R$3,0)),
IF($D375="폐업",INDEX(폐업정보!$D$3:$R$3000,MATCH($F375,폐업정보!$I$3:$I$3000,0),MATCH(E$3,폐업정보!$D$3:$R$3,0)),
"Error"))</f>
        <v>경상</v>
      </c>
      <c r="F37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B0370</v>
      </c>
      <c r="G375" s="76" t="str">
        <f aca="false">F375&amp;RANDBETWEEN(0,10)</f>
        <v>B03700</v>
      </c>
      <c r="H375" s="75" t="n">
        <f aca="false">
IF($D375="정상",INDEX(임대자산!$D$3:$R$3000,MATCH($F375,임대자산!$I$3:$I$3000,0),MATCH(H$4,임대자산!$D$3:$R$3,0)),
IF($D375="폐업",INDEX(폐업정보!$D$3:$R$3000,MATCH($F375,폐업정보!$I$3:$I$3000,0),MATCH(H$4,폐업정보!$D$3:$R$3,0)),
"Error"))</f>
        <v>45419</v>
      </c>
      <c r="I375" s="75" t="str">
        <f aca="false">
IF($D375="정상",INDEX(임대자산!$D$3:$R$3000,MATCH($F375,임대자산!$I$3:$I$3000,0),MATCH(I$4,임대자산!$D$3:$R$3,0)),
IF($D375="폐업",INDEX(폐업정보!$D$3:$R$3000,MATCH($F375,폐업정보!$I$3:$I$3000,0),MATCH(I$4,폐업정보!$D$3:$R$3,0)),
"Error"))</f>
        <v>A0370</v>
      </c>
      <c r="J375" s="75" t="str">
        <f aca="false">
IF($D375="정상",INDEX(임대자산!$D$3:$R$3000,MATCH($F375,임대자산!$I$3:$I$3000,0),MATCH(J$4,임대자산!$D$3:$R$3,0)),
IF($D375="폐업",INDEX(폐업정보!$D$3:$R$3000,MATCH($F375,폐업정보!$I$3:$I$3000,0),MATCH(J$4,폐업정보!$D$3:$R$3,0)),
"Error"))</f>
        <v>6646400000</v>
      </c>
      <c r="K375" s="75" t="str">
        <f aca="false">
IF($D375="정상",INDEX(임대자산!$D$3:$R$3000,MATCH($F375,임대자산!$I$3:$I$3000,0),MATCH(K$4,임대자산!$D$3:$R$3,0)),
IF($D375="폐업",INDEX(폐업정보!$D$3:$R$3000,MATCH($F375,폐업정보!$I$3:$I$3000,0),MATCH(K$4,폐업정보!$D$3:$R$3,0)),
"Error"))</f>
        <v>C0370</v>
      </c>
      <c r="L375" s="75" t="str">
        <f aca="false">
IF($D375="정상",INDEX(임대자산!$D$3:$R$3000,MATCH($F375,임대자산!$I$3:$I$3000,0),MATCH(L$4,임대자산!$D$3:$R$3,0)),
IF($D375="폐업",INDEX(폐업정보!$D$3:$R$3000,MATCH($F375,폐업정보!$I$3:$I$3000,0),MATCH(L$4,폐업정보!$D$3:$R$3,0)),
"Error"))</f>
        <v>D0370</v>
      </c>
      <c r="M375" s="76" t="s">
        <v>96</v>
      </c>
      <c r="N375" s="77"/>
      <c r="O375" s="78" t="s">
        <v>97</v>
      </c>
      <c r="P375" s="79" t="n">
        <f aca="false">COUNTIFS(임대자산!$I:$I,가맹점정보!F375,임대자산!$N:$N,가맹점정보!P$4)</f>
        <v>0</v>
      </c>
      <c r="Q375" s="80" t="n">
        <f aca="false">COUNTIFS(임대자산!$I:$I,가맹점정보!F375,임대자산!$N:$N,가맹점정보!Q$4)</f>
        <v>0</v>
      </c>
      <c r="R375" s="81" t="n">
        <f aca="false">COUNTIFS(임대자산!$I:$I,가맹점정보!F375,임대자산!$N:$N,가맹점정보!R$4)</f>
        <v>1</v>
      </c>
      <c r="S375" s="82" t="n">
        <v>55000</v>
      </c>
      <c r="T375" s="83" t="n">
        <v>0</v>
      </c>
      <c r="U375" s="80" t="n">
        <f aca="false">SUM(S375:T375)</f>
        <v>55000</v>
      </c>
      <c r="V375" s="84" t="s">
        <v>12</v>
      </c>
      <c r="W375" s="80" t="e">
        <f aca="true">
IF(D375="폐업","폐업",
IF(V375="면제","면제",
IF(AND(V375="정상",COUNTIFS(OFFSET(Y375,0,COUNTA(Y375:AV375)-1,1,-4),"미납")&gt;=3),"장기미납",
IF(AND(V375="정상",OFFSET(Y375,0,COUNTA(Y375:AV375)-1)&gt;=U375),"정상",
IF(AND(V375="정상",OFFSET(Y375,0,COUNTA(Y375:AV375)-1)=0),"정상",
"계약서 미작성")))))</f>
        <v>#VALUE!</v>
      </c>
      <c r="X375" s="81" t="str">
        <f aca="true">
IF(D375="폐업","폐업",
IF(AND(V375="정상",OFFSET(Y375,0,COUNTA(Y375:AV375)-1)="미납"),"미납",
IF(AND(V375="정상",OFFSET(Y375,0,COUNTA(Y375:AV375)-1)=0),"납부 시작 전",
IF(AND(V375="정상",OFFSET(Y375,0,COUNTA(Y375:AV375)-1)&gt;=U375),"정상",
IF(AND(V375="면제",OFFSET(Y375,0,COUNTA(Y375:AV375)-1)="면제"),"면제",
IF(AND(V375="면제",OFFSET(Y375,0,COUNTA(Y375:AV375)-1)=0),"면제",
"확인요청"))))))</f>
        <v>정상</v>
      </c>
      <c r="Y375" s="93" t="n">
        <v>55000</v>
      </c>
      <c r="Z375" s="90" t="n">
        <v>55000</v>
      </c>
      <c r="AA375" s="90" t="n">
        <v>55000</v>
      </c>
      <c r="AB375" s="90" t="n">
        <v>55000</v>
      </c>
      <c r="AC375" s="90" t="n">
        <v>55000</v>
      </c>
      <c r="AD375" s="90" t="n">
        <v>55000</v>
      </c>
      <c r="AE375" s="90" t="n">
        <v>55000</v>
      </c>
      <c r="AF375" s="90" t="n">
        <v>55000</v>
      </c>
      <c r="AG375" s="90" t="n">
        <v>55000</v>
      </c>
      <c r="AH375" s="90" t="n">
        <v>55000</v>
      </c>
      <c r="AI375" s="90" t="n">
        <v>55000</v>
      </c>
      <c r="AJ375" s="91" t="n">
        <v>55000</v>
      </c>
      <c r="AK375" s="89" t="n">
        <v>55000</v>
      </c>
      <c r="AL375" s="90" t="n">
        <v>55000</v>
      </c>
      <c r="AM375" s="90"/>
      <c r="AN375" s="90"/>
      <c r="AO375" s="90"/>
      <c r="AP375" s="90"/>
      <c r="AQ375" s="90"/>
      <c r="AR375" s="90"/>
      <c r="AS375" s="90"/>
      <c r="AT375" s="90"/>
      <c r="AU375" s="90"/>
      <c r="AV375" s="91"/>
      <c r="AX375" s="92"/>
    </row>
    <row r="376" customFormat="false" ht="15.65" hidden="false" customHeight="false" outlineLevel="0" collapsed="false">
      <c r="C376" s="72" t="n">
        <f aca="false">COUNTIFS($D$6:D376,"&lt;&gt;"&amp;"")</f>
        <v>371</v>
      </c>
      <c r="D376" s="73" t="s">
        <v>12</v>
      </c>
      <c r="E376" s="76" t="str">
        <f aca="false">
IF($D376="정상",INDEX(임대자산!$D$3:$R$3000,MATCH($F376,임대자산!$I$3:$I$3000,0),MATCH(E$3,임대자산!$D$3:$R$3,0)),
IF($D376="폐업",INDEX(폐업정보!$D$3:$R$3000,MATCH($F376,폐업정보!$I$3:$I$3000,0),MATCH(E$3,폐업정보!$D$3:$R$3,0)),
"Error"))</f>
        <v>경기</v>
      </c>
      <c r="F37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B0371</v>
      </c>
      <c r="G376" s="76" t="str">
        <f aca="false">F376&amp;RANDBETWEEN(0,10)</f>
        <v>B03710</v>
      </c>
      <c r="H376" s="75" t="n">
        <f aca="false">
IF($D376="정상",INDEX(임대자산!$D$3:$R$3000,MATCH($F376,임대자산!$I$3:$I$3000,0),MATCH(H$4,임대자산!$D$3:$R$3,0)),
IF($D376="폐업",INDEX(폐업정보!$D$3:$R$3000,MATCH($F376,폐업정보!$I$3:$I$3000,0),MATCH(H$4,폐업정보!$D$3:$R$3,0)),
"Error"))</f>
        <v>45432</v>
      </c>
      <c r="I376" s="75" t="str">
        <f aca="false">
IF($D376="정상",INDEX(임대자산!$D$3:$R$3000,MATCH($F376,임대자산!$I$3:$I$3000,0),MATCH(I$4,임대자산!$D$3:$R$3,0)),
IF($D376="폐업",INDEX(폐업정보!$D$3:$R$3000,MATCH($F376,폐업정보!$I$3:$I$3000,0),MATCH(I$4,폐업정보!$D$3:$R$3,0)),
"Error"))</f>
        <v>A0371</v>
      </c>
      <c r="J376" s="75" t="str">
        <f aca="false">
IF($D376="정상",INDEX(임대자산!$D$3:$R$3000,MATCH($F376,임대자산!$I$3:$I$3000,0),MATCH(J$4,임대자산!$D$3:$R$3,0)),
IF($D376="폐업",INDEX(폐업정보!$D$3:$R$3000,MATCH($F376,폐업정보!$I$3:$I$3000,0),MATCH(J$4,폐업정보!$D$3:$R$3,0)),
"Error"))</f>
        <v>7242800000</v>
      </c>
      <c r="K376" s="75" t="str">
        <f aca="false">
IF($D376="정상",INDEX(임대자산!$D$3:$R$3000,MATCH($F376,임대자산!$I$3:$I$3000,0),MATCH(K$4,임대자산!$D$3:$R$3,0)),
IF($D376="폐업",INDEX(폐업정보!$D$3:$R$3000,MATCH($F376,폐업정보!$I$3:$I$3000,0),MATCH(K$4,폐업정보!$D$3:$R$3,0)),
"Error"))</f>
        <v>C0371</v>
      </c>
      <c r="L376" s="75" t="str">
        <f aca="false">
IF($D376="정상",INDEX(임대자산!$D$3:$R$3000,MATCH($F376,임대자산!$I$3:$I$3000,0),MATCH(L$4,임대자산!$D$3:$R$3,0)),
IF($D376="폐업",INDEX(폐업정보!$D$3:$R$3000,MATCH($F376,폐업정보!$I$3:$I$3000,0),MATCH(L$4,폐업정보!$D$3:$R$3,0)),
"Error"))</f>
        <v>D0371</v>
      </c>
      <c r="M376" s="76" t="s">
        <v>96</v>
      </c>
      <c r="N376" s="77"/>
      <c r="O376" s="78" t="s">
        <v>97</v>
      </c>
      <c r="P376" s="79" t="n">
        <f aca="false">COUNTIFS(임대자산!$I:$I,가맹점정보!F376,임대자산!$N:$N,가맹점정보!P$4)</f>
        <v>0</v>
      </c>
      <c r="Q376" s="80" t="n">
        <f aca="false">COUNTIFS(임대자산!$I:$I,가맹점정보!F376,임대자산!$N:$N,가맹점정보!Q$4)</f>
        <v>0</v>
      </c>
      <c r="R376" s="81" t="n">
        <f aca="false">COUNTIFS(임대자산!$I:$I,가맹점정보!F376,임대자산!$N:$N,가맹점정보!R$4)</f>
        <v>1</v>
      </c>
      <c r="S376" s="82" t="n">
        <v>27500</v>
      </c>
      <c r="T376" s="83" t="n">
        <v>27500</v>
      </c>
      <c r="U376" s="80" t="n">
        <f aca="false">SUM(S376:T376)</f>
        <v>55000</v>
      </c>
      <c r="V376" s="84" t="s">
        <v>12</v>
      </c>
      <c r="W376" s="80" t="e">
        <f aca="true">
IF(D376="폐업","폐업",
IF(V376="면제","면제",
IF(AND(V376="정상",COUNTIFS(OFFSET(Y376,0,COUNTA(Y376:AV376)-1,1,-4),"미납")&gt;=3),"장기미납",
IF(AND(V376="정상",OFFSET(Y376,0,COUNTA(Y376:AV376)-1)&gt;=U376),"정상",
IF(AND(V376="정상",OFFSET(Y376,0,COUNTA(Y376:AV376)-1)=0),"정상",
"계약서 미작성")))))</f>
        <v>#VALUE!</v>
      </c>
      <c r="X376" s="81" t="str">
        <f aca="true">
IF(D376="폐업","폐업",
IF(AND(V376="정상",OFFSET(Y376,0,COUNTA(Y376:AV376)-1)="미납"),"미납",
IF(AND(V376="정상",OFFSET(Y376,0,COUNTA(Y376:AV376)-1)=0),"납부 시작 전",
IF(AND(V376="정상",OFFSET(Y376,0,COUNTA(Y376:AV376)-1)&gt;=U376),"정상",
IF(AND(V376="면제",OFFSET(Y376,0,COUNTA(Y376:AV376)-1)="면제"),"면제",
IF(AND(V376="면제",OFFSET(Y376,0,COUNTA(Y376:AV376)-1)=0),"면제",
"확인요청"))))))</f>
        <v>정상</v>
      </c>
      <c r="Y376" s="93" t="n">
        <v>88000</v>
      </c>
      <c r="Z376" s="90" t="n">
        <v>88000</v>
      </c>
      <c r="AA376" s="90" t="n">
        <v>88000</v>
      </c>
      <c r="AB376" s="90" t="n">
        <v>88000</v>
      </c>
      <c r="AC376" s="90" t="n">
        <v>88000</v>
      </c>
      <c r="AD376" s="90" t="n">
        <v>55000</v>
      </c>
      <c r="AE376" s="90" t="n">
        <v>55000</v>
      </c>
      <c r="AF376" s="90" t="n">
        <v>55000</v>
      </c>
      <c r="AG376" s="90" t="n">
        <v>55000</v>
      </c>
      <c r="AH376" s="90" t="n">
        <v>55000</v>
      </c>
      <c r="AI376" s="90" t="n">
        <v>55000</v>
      </c>
      <c r="AJ376" s="91" t="n">
        <v>55000</v>
      </c>
      <c r="AK376" s="89" t="n">
        <v>55000</v>
      </c>
      <c r="AL376" s="90" t="n">
        <v>55000</v>
      </c>
      <c r="AM376" s="90"/>
      <c r="AN376" s="90"/>
      <c r="AO376" s="90"/>
      <c r="AP376" s="90"/>
      <c r="AQ376" s="90"/>
      <c r="AR376" s="90"/>
      <c r="AS376" s="90"/>
      <c r="AT376" s="90"/>
      <c r="AU376" s="90"/>
      <c r="AV376" s="91"/>
      <c r="AX376" s="92"/>
    </row>
    <row r="377" customFormat="false" ht="15.65" hidden="false" customHeight="false" outlineLevel="0" collapsed="false">
      <c r="C377" s="72" t="n">
        <f aca="false">COUNTIFS($D$6:D377,"&lt;&gt;"&amp;"")</f>
        <v>372</v>
      </c>
      <c r="D377" s="73" t="s">
        <v>12</v>
      </c>
      <c r="E377" s="76" t="str">
        <f aca="false">
IF($D377="정상",INDEX(임대자산!$D$3:$R$3000,MATCH($F377,임대자산!$I$3:$I$3000,0),MATCH(E$3,임대자산!$D$3:$R$3,0)),
IF($D377="폐업",INDEX(폐업정보!$D$3:$R$3000,MATCH($F377,폐업정보!$I$3:$I$3000,0),MATCH(E$3,폐업정보!$D$3:$R$3,0)),
"Error"))</f>
        <v>경기</v>
      </c>
      <c r="F37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B0372</v>
      </c>
      <c r="G377" s="76" t="str">
        <f aca="false">F377&amp;RANDBETWEEN(0,10)</f>
        <v>B03724</v>
      </c>
      <c r="H377" s="75" t="n">
        <f aca="false">
IF($D377="정상",INDEX(임대자산!$D$3:$R$3000,MATCH($F377,임대자산!$I$3:$I$3000,0),MATCH(H$4,임대자산!$D$3:$R$3,0)),
IF($D377="폐업",INDEX(폐업정보!$D$3:$R$3000,MATCH($F377,폐업정보!$I$3:$I$3000,0),MATCH(H$4,폐업정보!$D$3:$R$3,0)),
"Error"))</f>
        <v>45376</v>
      </c>
      <c r="I377" s="75" t="str">
        <f aca="false">
IF($D377="정상",INDEX(임대자산!$D$3:$R$3000,MATCH($F377,임대자산!$I$3:$I$3000,0),MATCH(I$4,임대자산!$D$3:$R$3,0)),
IF($D377="폐업",INDEX(폐업정보!$D$3:$R$3000,MATCH($F377,폐업정보!$I$3:$I$3000,0),MATCH(I$4,폐업정보!$D$3:$R$3,0)),
"Error"))</f>
        <v>A0372</v>
      </c>
      <c r="J377" s="75" t="str">
        <f aca="false">
IF($D377="정상",INDEX(임대자산!$D$3:$R$3000,MATCH($F377,임대자산!$I$3:$I$3000,0),MATCH(J$4,임대자산!$D$3:$R$3,0)),
IF($D377="폐업",INDEX(폐업정보!$D$3:$R$3000,MATCH($F377,폐업정보!$I$3:$I$3000,0),MATCH(J$4,폐업정보!$D$3:$R$3,0)),
"Error"))</f>
        <v>9747900000</v>
      </c>
      <c r="K377" s="75" t="str">
        <f aca="false">
IF($D377="정상",INDEX(임대자산!$D$3:$R$3000,MATCH($F377,임대자산!$I$3:$I$3000,0),MATCH(K$4,임대자산!$D$3:$R$3,0)),
IF($D377="폐업",INDEX(폐업정보!$D$3:$R$3000,MATCH($F377,폐업정보!$I$3:$I$3000,0),MATCH(K$4,폐업정보!$D$3:$R$3,0)),
"Error"))</f>
        <v>C0372</v>
      </c>
      <c r="L377" s="75" t="str">
        <f aca="false">
IF($D377="정상",INDEX(임대자산!$D$3:$R$3000,MATCH($F377,임대자산!$I$3:$I$3000,0),MATCH(L$4,임대자산!$D$3:$R$3,0)),
IF($D377="폐업",INDEX(폐업정보!$D$3:$R$3000,MATCH($F377,폐업정보!$I$3:$I$3000,0),MATCH(L$4,폐업정보!$D$3:$R$3,0)),
"Error"))</f>
        <v>D0372</v>
      </c>
      <c r="M377" s="76" t="s">
        <v>96</v>
      </c>
      <c r="N377" s="77"/>
      <c r="O377" s="78" t="s">
        <v>97</v>
      </c>
      <c r="P377" s="79" t="n">
        <f aca="false">COUNTIFS(임대자산!$I:$I,가맹점정보!F377,임대자산!$N:$N,가맹점정보!P$4)</f>
        <v>0</v>
      </c>
      <c r="Q377" s="80" t="n">
        <f aca="false">COUNTIFS(임대자산!$I:$I,가맹점정보!F377,임대자산!$N:$N,가맹점정보!Q$4)</f>
        <v>0</v>
      </c>
      <c r="R377" s="81" t="n">
        <f aca="false">COUNTIFS(임대자산!$I:$I,가맹점정보!F377,임대자산!$N:$N,가맹점정보!R$4)</f>
        <v>1</v>
      </c>
      <c r="S377" s="82" t="n">
        <v>55000</v>
      </c>
      <c r="T377" s="83" t="n">
        <v>0</v>
      </c>
      <c r="U377" s="80" t="n">
        <f aca="false">SUM(S377:T377)</f>
        <v>55000</v>
      </c>
      <c r="V377" s="84" t="s">
        <v>12</v>
      </c>
      <c r="W377" s="80" t="e">
        <f aca="true">
IF(D377="폐업","폐업",
IF(V377="면제","면제",
IF(AND(V377="정상",COUNTIFS(OFFSET(Y377,0,COUNTA(Y377:AV377)-1,1,-4),"미납")&gt;=3),"장기미납",
IF(AND(V377="정상",OFFSET(Y377,0,COUNTA(Y377:AV377)-1)&gt;=U377),"정상",
IF(AND(V377="정상",OFFSET(Y377,0,COUNTA(Y377:AV377)-1)=0),"정상",
"계약서 미작성")))))</f>
        <v>#VALUE!</v>
      </c>
      <c r="X377" s="81" t="str">
        <f aca="true">
IF(D377="폐업","폐업",
IF(AND(V377="정상",OFFSET(Y377,0,COUNTA(Y377:AV377)-1)="미납"),"미납",
IF(AND(V377="정상",OFFSET(Y377,0,COUNTA(Y377:AV377)-1)=0),"납부 시작 전",
IF(AND(V377="정상",OFFSET(Y377,0,COUNTA(Y377:AV377)-1)&gt;=U377),"정상",
IF(AND(V377="면제",OFFSET(Y377,0,COUNTA(Y377:AV377)-1)="면제"),"면제",
IF(AND(V377="면제",OFFSET(Y377,0,COUNTA(Y377:AV377)-1)=0),"면제",
"확인요청"))))))</f>
        <v>정상</v>
      </c>
      <c r="Y377" s="93" t="n">
        <v>55000</v>
      </c>
      <c r="Z377" s="90" t="n">
        <v>55000</v>
      </c>
      <c r="AA377" s="90" t="n">
        <v>55000</v>
      </c>
      <c r="AB377" s="90" t="n">
        <v>55000</v>
      </c>
      <c r="AC377" s="90" t="n">
        <v>55000</v>
      </c>
      <c r="AD377" s="90" t="n">
        <v>55000</v>
      </c>
      <c r="AE377" s="90" t="n">
        <v>55000</v>
      </c>
      <c r="AF377" s="90" t="n">
        <v>55000</v>
      </c>
      <c r="AG377" s="90" t="n">
        <v>55000</v>
      </c>
      <c r="AH377" s="90" t="n">
        <v>55000</v>
      </c>
      <c r="AI377" s="90" t="n">
        <v>55000</v>
      </c>
      <c r="AJ377" s="91" t="n">
        <v>55000</v>
      </c>
      <c r="AK377" s="89" t="n">
        <v>55000</v>
      </c>
      <c r="AL377" s="90" t="n">
        <v>55000</v>
      </c>
      <c r="AM377" s="90"/>
      <c r="AN377" s="90"/>
      <c r="AO377" s="90"/>
      <c r="AP377" s="90"/>
      <c r="AQ377" s="90"/>
      <c r="AR377" s="90"/>
      <c r="AS377" s="90"/>
      <c r="AT377" s="90"/>
      <c r="AU377" s="90"/>
      <c r="AV377" s="91"/>
      <c r="AX377" s="92"/>
    </row>
    <row r="378" customFormat="false" ht="15.65" hidden="false" customHeight="false" outlineLevel="0" collapsed="false">
      <c r="C378" s="72" t="n">
        <f aca="false">COUNTIFS($D$6:D378,"&lt;&gt;"&amp;"")</f>
        <v>373</v>
      </c>
      <c r="D378" s="73" t="s">
        <v>12</v>
      </c>
      <c r="E378" s="76" t="str">
        <f aca="false">
IF($D378="정상",INDEX(임대자산!$D$3:$R$3000,MATCH($F378,임대자산!$I$3:$I$3000,0),MATCH(E$3,임대자산!$D$3:$R$3,0)),
IF($D378="폐업",INDEX(폐업정보!$D$3:$R$3000,MATCH($F378,폐업정보!$I$3:$I$3000,0),MATCH(E$3,폐업정보!$D$3:$R$3,0)),
"Error"))</f>
        <v>서울</v>
      </c>
      <c r="F37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B0373</v>
      </c>
      <c r="G378" s="76" t="str">
        <f aca="false">F378&amp;RANDBETWEEN(0,10)</f>
        <v>B037310</v>
      </c>
      <c r="H378" s="75" t="n">
        <f aca="false">
IF($D378="정상",INDEX(임대자산!$D$3:$R$3000,MATCH($F378,임대자산!$I$3:$I$3000,0),MATCH(H$4,임대자산!$D$3:$R$3,0)),
IF($D378="폐업",INDEX(폐업정보!$D$3:$R$3000,MATCH($F378,폐업정보!$I$3:$I$3000,0),MATCH(H$4,폐업정보!$D$3:$R$3,0)),
"Error"))</f>
        <v>45405</v>
      </c>
      <c r="I378" s="75" t="str">
        <f aca="false">
IF($D378="정상",INDEX(임대자산!$D$3:$R$3000,MATCH($F378,임대자산!$I$3:$I$3000,0),MATCH(I$4,임대자산!$D$3:$R$3,0)),
IF($D378="폐업",INDEX(폐업정보!$D$3:$R$3000,MATCH($F378,폐업정보!$I$3:$I$3000,0),MATCH(I$4,폐업정보!$D$3:$R$3,0)),
"Error"))</f>
        <v>A0373</v>
      </c>
      <c r="J378" s="75" t="str">
        <f aca="false">
IF($D378="정상",INDEX(임대자산!$D$3:$R$3000,MATCH($F378,임대자산!$I$3:$I$3000,0),MATCH(J$4,임대자산!$D$3:$R$3,0)),
IF($D378="폐업",INDEX(폐업정보!$D$3:$R$3000,MATCH($F378,폐업정보!$I$3:$I$3000,0),MATCH(J$4,폐업정보!$D$3:$R$3,0)),
"Error"))</f>
        <v>7385500000</v>
      </c>
      <c r="K378" s="75" t="str">
        <f aca="false">
IF($D378="정상",INDEX(임대자산!$D$3:$R$3000,MATCH($F378,임대자산!$I$3:$I$3000,0),MATCH(K$4,임대자산!$D$3:$R$3,0)),
IF($D378="폐업",INDEX(폐업정보!$D$3:$R$3000,MATCH($F378,폐업정보!$I$3:$I$3000,0),MATCH(K$4,폐업정보!$D$3:$R$3,0)),
"Error"))</f>
        <v>C0373</v>
      </c>
      <c r="L378" s="75" t="str">
        <f aca="false">
IF($D378="정상",INDEX(임대자산!$D$3:$R$3000,MATCH($F378,임대자산!$I$3:$I$3000,0),MATCH(L$4,임대자산!$D$3:$R$3,0)),
IF($D378="폐업",INDEX(폐업정보!$D$3:$R$3000,MATCH($F378,폐업정보!$I$3:$I$3000,0),MATCH(L$4,폐업정보!$D$3:$R$3,0)),
"Error"))</f>
        <v>D0373</v>
      </c>
      <c r="M378" s="76" t="s">
        <v>96</v>
      </c>
      <c r="N378" s="77"/>
      <c r="O378" s="78" t="s">
        <v>97</v>
      </c>
      <c r="P378" s="79" t="n">
        <f aca="false">COUNTIFS(임대자산!$I:$I,가맹점정보!F378,임대자산!$N:$N,가맹점정보!P$4)</f>
        <v>0</v>
      </c>
      <c r="Q378" s="80" t="n">
        <f aca="false">COUNTIFS(임대자산!$I:$I,가맹점정보!F378,임대자산!$N:$N,가맹점정보!Q$4)</f>
        <v>0</v>
      </c>
      <c r="R378" s="81" t="n">
        <f aca="false">COUNTIFS(임대자산!$I:$I,가맹점정보!F378,임대자산!$N:$N,가맹점정보!R$4)</f>
        <v>1</v>
      </c>
      <c r="S378" s="82" t="n">
        <v>55000</v>
      </c>
      <c r="T378" s="83" t="n">
        <v>0</v>
      </c>
      <c r="U378" s="80" t="n">
        <f aca="false">SUM(S378:T378)</f>
        <v>55000</v>
      </c>
      <c r="V378" s="84" t="s">
        <v>12</v>
      </c>
      <c r="W378" s="80" t="e">
        <f aca="true">
IF(D378="폐업","폐업",
IF(V378="면제","면제",
IF(AND(V378="정상",COUNTIFS(OFFSET(Y378,0,COUNTA(Y378:AV378)-1,1,-4),"미납")&gt;=3),"장기미납",
IF(AND(V378="정상",OFFSET(Y378,0,COUNTA(Y378:AV378)-1)&gt;=U378),"정상",
IF(AND(V378="정상",OFFSET(Y378,0,COUNTA(Y378:AV378)-1)=0),"정상",
"계약서 미작성")))))</f>
        <v>#VALUE!</v>
      </c>
      <c r="X378" s="81" t="str">
        <f aca="true">
IF(D378="폐업","폐업",
IF(AND(V378="정상",OFFSET(Y378,0,COUNTA(Y378:AV378)-1)="미납"),"미납",
IF(AND(V378="정상",OFFSET(Y378,0,COUNTA(Y378:AV378)-1)=0),"납부 시작 전",
IF(AND(V378="정상",OFFSET(Y378,0,COUNTA(Y378:AV378)-1)&gt;=U378),"정상",
IF(AND(V378="면제",OFFSET(Y378,0,COUNTA(Y378:AV378)-1)="면제"),"면제",
IF(AND(V378="면제",OFFSET(Y378,0,COUNTA(Y378:AV378)-1)=0),"면제",
"확인요청"))))))</f>
        <v>정상</v>
      </c>
      <c r="Y378" s="93" t="n">
        <v>55000</v>
      </c>
      <c r="Z378" s="90" t="n">
        <v>55000</v>
      </c>
      <c r="AA378" s="90" t="n">
        <v>55000</v>
      </c>
      <c r="AB378" s="90" t="n">
        <v>55000</v>
      </c>
      <c r="AC378" s="90" t="n">
        <v>55000</v>
      </c>
      <c r="AD378" s="90" t="n">
        <v>55000</v>
      </c>
      <c r="AE378" s="90" t="n">
        <v>55000</v>
      </c>
      <c r="AF378" s="90" t="n">
        <v>55000</v>
      </c>
      <c r="AG378" s="90" t="n">
        <v>55000</v>
      </c>
      <c r="AH378" s="90" t="n">
        <v>55000</v>
      </c>
      <c r="AI378" s="90" t="n">
        <v>55000</v>
      </c>
      <c r="AJ378" s="91" t="n">
        <v>55000</v>
      </c>
      <c r="AK378" s="89" t="n">
        <v>55000</v>
      </c>
      <c r="AL378" s="90" t="n">
        <v>55000</v>
      </c>
      <c r="AM378" s="90"/>
      <c r="AN378" s="90"/>
      <c r="AO378" s="90"/>
      <c r="AP378" s="90"/>
      <c r="AQ378" s="90"/>
      <c r="AR378" s="90"/>
      <c r="AS378" s="90"/>
      <c r="AT378" s="90"/>
      <c r="AU378" s="90"/>
      <c r="AV378" s="91"/>
      <c r="AX378" s="92"/>
    </row>
    <row r="379" customFormat="false" ht="15.65" hidden="false" customHeight="false" outlineLevel="0" collapsed="false">
      <c r="C379" s="72" t="n">
        <f aca="false">COUNTIFS($D$6:D379,"&lt;&gt;"&amp;"")</f>
        <v>374</v>
      </c>
      <c r="D379" s="73" t="s">
        <v>12</v>
      </c>
      <c r="E379" s="76" t="str">
        <f aca="false">
IF($D379="정상",INDEX(임대자산!$D$3:$R$3000,MATCH($F379,임대자산!$I$3:$I$3000,0),MATCH(E$3,임대자산!$D$3:$R$3,0)),
IF($D379="폐업",INDEX(폐업정보!$D$3:$R$3000,MATCH($F379,폐업정보!$I$3:$I$3000,0),MATCH(E$3,폐업정보!$D$3:$R$3,0)),
"Error"))</f>
        <v>서울</v>
      </c>
      <c r="F37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B0374</v>
      </c>
      <c r="G379" s="76" t="str">
        <f aca="false">F379&amp;RANDBETWEEN(0,10)</f>
        <v>B03741</v>
      </c>
      <c r="H379" s="75" t="n">
        <f aca="false">
IF($D379="정상",INDEX(임대자산!$D$3:$R$3000,MATCH($F379,임대자산!$I$3:$I$3000,0),MATCH(H$4,임대자산!$D$3:$R$3,0)),
IF($D379="폐업",INDEX(폐업정보!$D$3:$R$3000,MATCH($F379,폐업정보!$I$3:$I$3000,0),MATCH(H$4,폐업정보!$D$3:$R$3,0)),
"Error"))</f>
        <v>45414</v>
      </c>
      <c r="I379" s="75" t="str">
        <f aca="false">
IF($D379="정상",INDEX(임대자산!$D$3:$R$3000,MATCH($F379,임대자산!$I$3:$I$3000,0),MATCH(I$4,임대자산!$D$3:$R$3,0)),
IF($D379="폐업",INDEX(폐업정보!$D$3:$R$3000,MATCH($F379,폐업정보!$I$3:$I$3000,0),MATCH(I$4,폐업정보!$D$3:$R$3,0)),
"Error"))</f>
        <v>A0374</v>
      </c>
      <c r="J379" s="75" t="str">
        <f aca="false">
IF($D379="정상",INDEX(임대자산!$D$3:$R$3000,MATCH($F379,임대자산!$I$3:$I$3000,0),MATCH(J$4,임대자산!$D$3:$R$3,0)),
IF($D379="폐업",INDEX(폐업정보!$D$3:$R$3000,MATCH($F379,폐업정보!$I$3:$I$3000,0),MATCH(J$4,폐업정보!$D$3:$R$3,0)),
"Error"))</f>
        <v>2675400000</v>
      </c>
      <c r="K379" s="75" t="str">
        <f aca="false">
IF($D379="정상",INDEX(임대자산!$D$3:$R$3000,MATCH($F379,임대자산!$I$3:$I$3000,0),MATCH(K$4,임대자산!$D$3:$R$3,0)),
IF($D379="폐업",INDEX(폐업정보!$D$3:$R$3000,MATCH($F379,폐업정보!$I$3:$I$3000,0),MATCH(K$4,폐업정보!$D$3:$R$3,0)),
"Error"))</f>
        <v>C0374</v>
      </c>
      <c r="L379" s="75" t="str">
        <f aca="false">
IF($D379="정상",INDEX(임대자산!$D$3:$R$3000,MATCH($F379,임대자산!$I$3:$I$3000,0),MATCH(L$4,임대자산!$D$3:$R$3,0)),
IF($D379="폐업",INDEX(폐업정보!$D$3:$R$3000,MATCH($F379,폐업정보!$I$3:$I$3000,0),MATCH(L$4,폐업정보!$D$3:$R$3,0)),
"Error"))</f>
        <v>D0374</v>
      </c>
      <c r="M379" s="76" t="s">
        <v>96</v>
      </c>
      <c r="N379" s="77"/>
      <c r="O379" s="78" t="s">
        <v>97</v>
      </c>
      <c r="P379" s="79" t="n">
        <f aca="false">COUNTIFS(임대자산!$I:$I,가맹점정보!F379,임대자산!$N:$N,가맹점정보!P$4)</f>
        <v>0</v>
      </c>
      <c r="Q379" s="80" t="n">
        <f aca="false">COUNTIFS(임대자산!$I:$I,가맹점정보!F379,임대자산!$N:$N,가맹점정보!Q$4)</f>
        <v>0</v>
      </c>
      <c r="R379" s="81" t="n">
        <f aca="false">COUNTIFS(임대자산!$I:$I,가맹점정보!F379,임대자산!$N:$N,가맹점정보!R$4)</f>
        <v>1</v>
      </c>
      <c r="S379" s="82" t="n">
        <v>55000</v>
      </c>
      <c r="T379" s="83" t="n">
        <v>0</v>
      </c>
      <c r="U379" s="80" t="n">
        <f aca="false">SUM(S379:T379)</f>
        <v>55000</v>
      </c>
      <c r="V379" s="84" t="s">
        <v>7</v>
      </c>
      <c r="W379" s="80" t="str">
        <f aca="true">
IF(D379="폐업","폐업",
IF(V379="면제","면제",
IF(AND(V379="정상",COUNTIFS(OFFSET(Y379,0,COUNTA(Y379:AV379)-1,1,-4),"미납")&gt;=3),"장기미납",
IF(AND(V379="정상",OFFSET(Y379,0,COUNTA(Y379:AV379)-1)&gt;=U379),"정상",
IF(AND(V379="정상",OFFSET(Y379,0,COUNTA(Y379:AV379)-1)=0),"정상",
"계약서 미작성")))))</f>
        <v>면제</v>
      </c>
      <c r="X379" s="81" t="str">
        <f aca="true">
IF(D379="폐업","폐업",
IF(AND(V379="정상",OFFSET(Y379,0,COUNTA(Y379:AV379)-1)="미납"),"미납",
IF(AND(V379="정상",OFFSET(Y379,0,COUNTA(Y379:AV379)-1)=0),"납부 시작 전",
IF(AND(V379="정상",OFFSET(Y379,0,COUNTA(Y379:AV379)-1)&gt;=U379),"정상",
IF(AND(V379="면제",OFFSET(Y379,0,COUNTA(Y379:AV379)-1)="면제"),"면제",
IF(AND(V379="면제",OFFSET(Y379,0,COUNTA(Y379:AV379)-1)=0),"면제",
"확인요청"))))))</f>
        <v>면제</v>
      </c>
      <c r="Y379" s="94" t="s">
        <v>7</v>
      </c>
      <c r="Z379" s="95" t="s">
        <v>7</v>
      </c>
      <c r="AA379" s="95" t="s">
        <v>7</v>
      </c>
      <c r="AB379" s="95" t="s">
        <v>7</v>
      </c>
      <c r="AC379" s="95" t="s">
        <v>7</v>
      </c>
      <c r="AD379" s="95" t="s">
        <v>7</v>
      </c>
      <c r="AE379" s="95" t="s">
        <v>7</v>
      </c>
      <c r="AF379" s="95" t="s">
        <v>7</v>
      </c>
      <c r="AG379" s="95" t="s">
        <v>7</v>
      </c>
      <c r="AH379" s="95" t="s">
        <v>7</v>
      </c>
      <c r="AI379" s="95" t="s">
        <v>7</v>
      </c>
      <c r="AJ379" s="96" t="s">
        <v>7</v>
      </c>
      <c r="AK379" s="97" t="s">
        <v>7</v>
      </c>
      <c r="AL379" s="95" t="s">
        <v>7</v>
      </c>
      <c r="AM379" s="90"/>
      <c r="AN379" s="90"/>
      <c r="AO379" s="90"/>
      <c r="AP379" s="90"/>
      <c r="AQ379" s="90"/>
      <c r="AR379" s="90"/>
      <c r="AS379" s="90"/>
      <c r="AT379" s="90"/>
      <c r="AU379" s="90"/>
      <c r="AV379" s="91"/>
      <c r="AX379" s="92"/>
    </row>
    <row r="380" customFormat="false" ht="15.65" hidden="false" customHeight="false" outlineLevel="0" collapsed="false">
      <c r="C380" s="72" t="n">
        <f aca="false">COUNTIFS($D$6:D380,"&lt;&gt;"&amp;"")</f>
        <v>375</v>
      </c>
      <c r="D380" s="73" t="s">
        <v>12</v>
      </c>
      <c r="E380" s="76" t="str">
        <f aca="false">
IF($D380="정상",INDEX(임대자산!$D$3:$R$3000,MATCH($F380,임대자산!$I$3:$I$3000,0),MATCH(E$3,임대자산!$D$3:$R$3,0)),
IF($D380="폐업",INDEX(폐업정보!$D$3:$R$3000,MATCH($F380,폐업정보!$I$3:$I$3000,0),MATCH(E$3,폐업정보!$D$3:$R$3,0)),
"Error"))</f>
        <v>경기</v>
      </c>
      <c r="F38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B0375</v>
      </c>
      <c r="G380" s="76" t="str">
        <f aca="false">F380&amp;RANDBETWEEN(0,10)</f>
        <v>B03750</v>
      </c>
      <c r="H380" s="75" t="n">
        <f aca="false">
IF($D380="정상",INDEX(임대자산!$D$3:$R$3000,MATCH($F380,임대자산!$I$3:$I$3000,0),MATCH(H$4,임대자산!$D$3:$R$3,0)),
IF($D380="폐업",INDEX(폐업정보!$D$3:$R$3000,MATCH($F380,폐업정보!$I$3:$I$3000,0),MATCH(H$4,폐업정보!$D$3:$R$3,0)),
"Error"))</f>
        <v>45454</v>
      </c>
      <c r="I380" s="75" t="str">
        <f aca="false">
IF($D380="정상",INDEX(임대자산!$D$3:$R$3000,MATCH($F380,임대자산!$I$3:$I$3000,0),MATCH(I$4,임대자산!$D$3:$R$3,0)),
IF($D380="폐업",INDEX(폐업정보!$D$3:$R$3000,MATCH($F380,폐업정보!$I$3:$I$3000,0),MATCH(I$4,폐업정보!$D$3:$R$3,0)),
"Error"))</f>
        <v>A0375</v>
      </c>
      <c r="J380" s="75" t="str">
        <f aca="false">
IF($D380="정상",INDEX(임대자산!$D$3:$R$3000,MATCH($F380,임대자산!$I$3:$I$3000,0),MATCH(J$4,임대자산!$D$3:$R$3,0)),
IF($D380="폐업",INDEX(폐업정보!$D$3:$R$3000,MATCH($F380,폐업정보!$I$3:$I$3000,0),MATCH(J$4,폐업정보!$D$3:$R$3,0)),
"Error"))</f>
        <v>3529800000</v>
      </c>
      <c r="K380" s="75" t="str">
        <f aca="false">
IF($D380="정상",INDEX(임대자산!$D$3:$R$3000,MATCH($F380,임대자산!$I$3:$I$3000,0),MATCH(K$4,임대자산!$D$3:$R$3,0)),
IF($D380="폐업",INDEX(폐업정보!$D$3:$R$3000,MATCH($F380,폐업정보!$I$3:$I$3000,0),MATCH(K$4,폐업정보!$D$3:$R$3,0)),
"Error"))</f>
        <v>C0375</v>
      </c>
      <c r="L380" s="75" t="str">
        <f aca="false">
IF($D380="정상",INDEX(임대자산!$D$3:$R$3000,MATCH($F380,임대자산!$I$3:$I$3000,0),MATCH(L$4,임대자산!$D$3:$R$3,0)),
IF($D380="폐업",INDEX(폐업정보!$D$3:$R$3000,MATCH($F380,폐업정보!$I$3:$I$3000,0),MATCH(L$4,폐업정보!$D$3:$R$3,0)),
"Error"))</f>
        <v>D0375</v>
      </c>
      <c r="M380" s="76" t="s">
        <v>96</v>
      </c>
      <c r="N380" s="77"/>
      <c r="O380" s="78" t="s">
        <v>97</v>
      </c>
      <c r="P380" s="79" t="n">
        <f aca="false">COUNTIFS(임대자산!$I:$I,가맹점정보!F380,임대자산!$N:$N,가맹점정보!P$4)</f>
        <v>0</v>
      </c>
      <c r="Q380" s="80" t="n">
        <f aca="false">COUNTIFS(임대자산!$I:$I,가맹점정보!F380,임대자산!$N:$N,가맹점정보!Q$4)</f>
        <v>0</v>
      </c>
      <c r="R380" s="81" t="n">
        <f aca="false">COUNTIFS(임대자산!$I:$I,가맹점정보!F380,임대자산!$N:$N,가맹점정보!R$4)</f>
        <v>1</v>
      </c>
      <c r="S380" s="82" t="n">
        <v>55000</v>
      </c>
      <c r="T380" s="83" t="n">
        <v>0</v>
      </c>
      <c r="U380" s="80" t="n">
        <f aca="false">SUM(S380:T380)</f>
        <v>55000</v>
      </c>
      <c r="V380" s="84" t="s">
        <v>12</v>
      </c>
      <c r="W380" s="80" t="e">
        <f aca="true">
IF(D380="폐업","폐업",
IF(V380="면제","면제",
IF(AND(V380="정상",COUNTIFS(OFFSET(Y380,0,COUNTA(Y380:AV380)-1,1,-4),"미납")&gt;=3),"장기미납",
IF(AND(V380="정상",OFFSET(Y380,0,COUNTA(Y380:AV380)-1)&gt;=U380),"정상",
IF(AND(V380="정상",OFFSET(Y380,0,COUNTA(Y380:AV380)-1)=0),"정상",
"계약서 미작성")))))</f>
        <v>#VALUE!</v>
      </c>
      <c r="X380" s="81" t="str">
        <f aca="true">
IF(D380="폐업","폐업",
IF(AND(V380="정상",OFFSET(Y380,0,COUNTA(Y380:AV380)-1)="미납"),"미납",
IF(AND(V380="정상",OFFSET(Y380,0,COUNTA(Y380:AV380)-1)=0),"납부 시작 전",
IF(AND(V380="정상",OFFSET(Y380,0,COUNTA(Y380:AV380)-1)&gt;=U380),"정상",
IF(AND(V380="면제",OFFSET(Y380,0,COUNTA(Y380:AV380)-1)="면제"),"면제",
IF(AND(V380="면제",OFFSET(Y380,0,COUNTA(Y380:AV380)-1)=0),"면제",
"확인요청"))))))</f>
        <v>정상</v>
      </c>
      <c r="Y380" s="93" t="n">
        <v>55000</v>
      </c>
      <c r="Z380" s="90" t="n">
        <v>55000</v>
      </c>
      <c r="AA380" s="90" t="n">
        <v>55000</v>
      </c>
      <c r="AB380" s="90" t="n">
        <v>55000</v>
      </c>
      <c r="AC380" s="90" t="n">
        <v>55000</v>
      </c>
      <c r="AD380" s="90" t="n">
        <v>55000</v>
      </c>
      <c r="AE380" s="90" t="n">
        <v>55000</v>
      </c>
      <c r="AF380" s="90" t="n">
        <v>55000</v>
      </c>
      <c r="AG380" s="90" t="n">
        <v>55000</v>
      </c>
      <c r="AH380" s="90" t="n">
        <v>55000</v>
      </c>
      <c r="AI380" s="90" t="n">
        <v>55000</v>
      </c>
      <c r="AJ380" s="91" t="n">
        <v>55000</v>
      </c>
      <c r="AK380" s="89" t="n">
        <v>55000</v>
      </c>
      <c r="AL380" s="90" t="n">
        <v>55000</v>
      </c>
      <c r="AM380" s="90"/>
      <c r="AN380" s="90"/>
      <c r="AO380" s="90"/>
      <c r="AP380" s="90"/>
      <c r="AQ380" s="90"/>
      <c r="AR380" s="90"/>
      <c r="AS380" s="90"/>
      <c r="AT380" s="90"/>
      <c r="AU380" s="90"/>
      <c r="AV380" s="91"/>
      <c r="AX380" s="92"/>
    </row>
    <row r="381" customFormat="false" ht="15.65" hidden="false" customHeight="false" outlineLevel="0" collapsed="false">
      <c r="C381" s="72" t="n">
        <f aca="false">COUNTIFS($D$6:D381,"&lt;&gt;"&amp;"")</f>
        <v>376</v>
      </c>
      <c r="D381" s="73" t="s">
        <v>12</v>
      </c>
      <c r="E381" s="76" t="str">
        <f aca="false">
IF($D381="정상",INDEX(임대자산!$D$3:$R$3000,MATCH($F381,임대자산!$I$3:$I$3000,0),MATCH(E$3,임대자산!$D$3:$R$3,0)),
IF($D381="폐업",INDEX(폐업정보!$D$3:$R$3000,MATCH($F381,폐업정보!$I$3:$I$3000,0),MATCH(E$3,폐업정보!$D$3:$R$3,0)),
"Error"))</f>
        <v>강원</v>
      </c>
      <c r="F38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B0376</v>
      </c>
      <c r="G381" s="76" t="str">
        <f aca="false">F381&amp;RANDBETWEEN(0,10)</f>
        <v>B03767</v>
      </c>
      <c r="H381" s="75" t="n">
        <f aca="false">
IF($D381="정상",INDEX(임대자산!$D$3:$R$3000,MATCH($F381,임대자산!$I$3:$I$3000,0),MATCH(H$4,임대자산!$D$3:$R$3,0)),
IF($D381="폐업",INDEX(폐업정보!$D$3:$R$3000,MATCH($F381,폐업정보!$I$3:$I$3000,0),MATCH(H$4,폐업정보!$D$3:$R$3,0)),
"Error"))</f>
        <v>45763</v>
      </c>
      <c r="I381" s="75" t="str">
        <f aca="false">
IF($D381="정상",INDEX(임대자산!$D$3:$R$3000,MATCH($F381,임대자산!$I$3:$I$3000,0),MATCH(I$4,임대자산!$D$3:$R$3,0)),
IF($D381="폐업",INDEX(폐업정보!$D$3:$R$3000,MATCH($F381,폐업정보!$I$3:$I$3000,0),MATCH(I$4,폐업정보!$D$3:$R$3,0)),
"Error"))</f>
        <v>A0376</v>
      </c>
      <c r="J381" s="75" t="str">
        <f aca="false">
IF($D381="정상",INDEX(임대자산!$D$3:$R$3000,MATCH($F381,임대자산!$I$3:$I$3000,0),MATCH(J$4,임대자산!$D$3:$R$3,0)),
IF($D381="폐업",INDEX(폐업정보!$D$3:$R$3000,MATCH($F381,폐업정보!$I$3:$I$3000,0),MATCH(J$4,폐업정보!$D$3:$R$3,0)),
"Error"))</f>
        <v>6908200000</v>
      </c>
      <c r="K381" s="75" t="str">
        <f aca="false">
IF($D381="정상",INDEX(임대자산!$D$3:$R$3000,MATCH($F381,임대자산!$I$3:$I$3000,0),MATCH(K$4,임대자산!$D$3:$R$3,0)),
IF($D381="폐업",INDEX(폐업정보!$D$3:$R$3000,MATCH($F381,폐업정보!$I$3:$I$3000,0),MATCH(K$4,폐업정보!$D$3:$R$3,0)),
"Error"))</f>
        <v>C0376</v>
      </c>
      <c r="L381" s="75" t="str">
        <f aca="false">
IF($D381="정상",INDEX(임대자산!$D$3:$R$3000,MATCH($F381,임대자산!$I$3:$I$3000,0),MATCH(L$4,임대자산!$D$3:$R$3,0)),
IF($D381="폐업",INDEX(폐업정보!$D$3:$R$3000,MATCH($F381,폐업정보!$I$3:$I$3000,0),MATCH(L$4,폐업정보!$D$3:$R$3,0)),
"Error"))</f>
        <v>D0376</v>
      </c>
      <c r="M381" s="76" t="s">
        <v>96</v>
      </c>
      <c r="N381" s="77"/>
      <c r="O381" s="78" t="s">
        <v>97</v>
      </c>
      <c r="P381" s="79" t="n">
        <f aca="false">COUNTIFS(임대자산!$I:$I,가맹점정보!F381,임대자산!$N:$N,가맹점정보!P$4)</f>
        <v>0</v>
      </c>
      <c r="Q381" s="80" t="n">
        <f aca="false">COUNTIFS(임대자산!$I:$I,가맹점정보!F381,임대자산!$N:$N,가맹점정보!Q$4)</f>
        <v>0</v>
      </c>
      <c r="R381" s="81" t="n">
        <f aca="false">COUNTIFS(임대자산!$I:$I,가맹점정보!F381,임대자산!$N:$N,가맹점정보!R$4)</f>
        <v>1</v>
      </c>
      <c r="S381" s="82" t="n">
        <v>55000</v>
      </c>
      <c r="T381" s="83" t="n">
        <v>0</v>
      </c>
      <c r="U381" s="80" t="n">
        <f aca="false">SUM(S381:T381)</f>
        <v>55000</v>
      </c>
      <c r="V381" s="84" t="s">
        <v>12</v>
      </c>
      <c r="W381" s="80" t="e">
        <f aca="true">
IF(D381="폐업","폐업",
IF(V381="면제","면제",
IF(AND(V381="정상",COUNTIFS(OFFSET(Y381,0,COUNTA(Y381:AV381)-1,1,-4),"미납")&gt;=3),"장기미납",
IF(AND(V381="정상",OFFSET(Y381,0,COUNTA(Y381:AV381)-1)&gt;=U381),"정상",
IF(AND(V381="정상",OFFSET(Y381,0,COUNTA(Y381:AV381)-1)=0),"정상",
"계약서 미작성")))))</f>
        <v>#VALUE!</v>
      </c>
      <c r="X381" s="81" t="str">
        <f aca="true">
IF(D381="폐업","폐업",
IF(AND(V381="정상",OFFSET(Y381,0,COUNTA(Y381:AV381)-1)="미납"),"미납",
IF(AND(V381="정상",OFFSET(Y381,0,COUNTA(Y381:AV381)-1)=0),"납부 시작 전",
IF(AND(V381="정상",OFFSET(Y381,0,COUNTA(Y381:AV381)-1)&gt;=U381),"정상",
IF(AND(V381="면제",OFFSET(Y381,0,COUNTA(Y381:AV381)-1)="면제"),"면제",
IF(AND(V381="면제",OFFSET(Y381,0,COUNTA(Y381:AV381)-1)=0),"면제",
"확인요청"))))))</f>
        <v>정상</v>
      </c>
      <c r="Y381" s="93" t="n">
        <v>55000</v>
      </c>
      <c r="Z381" s="90" t="n">
        <v>55000</v>
      </c>
      <c r="AA381" s="90" t="n">
        <v>55000</v>
      </c>
      <c r="AB381" s="90" t="n">
        <v>55000</v>
      </c>
      <c r="AC381" s="90" t="n">
        <v>55000</v>
      </c>
      <c r="AD381" s="90" t="n">
        <v>55000</v>
      </c>
      <c r="AE381" s="90" t="n">
        <v>55000</v>
      </c>
      <c r="AF381" s="90" t="n">
        <v>55000</v>
      </c>
      <c r="AG381" s="90" t="n">
        <v>55000</v>
      </c>
      <c r="AH381" s="90" t="n">
        <v>55000</v>
      </c>
      <c r="AI381" s="90" t="n">
        <v>55000</v>
      </c>
      <c r="AJ381" s="91" t="n">
        <v>55000</v>
      </c>
      <c r="AK381" s="89" t="n">
        <v>55000</v>
      </c>
      <c r="AL381" s="90" t="n">
        <v>55000</v>
      </c>
      <c r="AM381" s="90"/>
      <c r="AN381" s="90"/>
      <c r="AO381" s="90"/>
      <c r="AP381" s="90"/>
      <c r="AQ381" s="90"/>
      <c r="AR381" s="90"/>
      <c r="AS381" s="90"/>
      <c r="AT381" s="90"/>
      <c r="AU381" s="90"/>
      <c r="AV381" s="91"/>
      <c r="AX381" s="92"/>
    </row>
    <row r="382" customFormat="false" ht="15.65" hidden="false" customHeight="false" outlineLevel="0" collapsed="false">
      <c r="C382" s="72" t="n">
        <f aca="false">COUNTIFS($D$6:D382,"&lt;&gt;"&amp;"")</f>
        <v>377</v>
      </c>
      <c r="D382" s="73" t="s">
        <v>12</v>
      </c>
      <c r="E382" s="76" t="str">
        <f aca="false">
IF($D382="정상",INDEX(임대자산!$D$3:$R$3000,MATCH($F382,임대자산!$I$3:$I$3000,0),MATCH(E$3,임대자산!$D$3:$R$3,0)),
IF($D382="폐업",INDEX(폐업정보!$D$3:$R$3000,MATCH($F382,폐업정보!$I$3:$I$3000,0),MATCH(E$3,폐업정보!$D$3:$R$3,0)),
"Error"))</f>
        <v>경기</v>
      </c>
      <c r="F38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B0377</v>
      </c>
      <c r="G382" s="76" t="str">
        <f aca="false">F382&amp;RANDBETWEEN(0,10)</f>
        <v>B03777</v>
      </c>
      <c r="H382" s="75" t="n">
        <f aca="false">
IF($D382="정상",INDEX(임대자산!$D$3:$R$3000,MATCH($F382,임대자산!$I$3:$I$3000,0),MATCH(H$4,임대자산!$D$3:$R$3,0)),
IF($D382="폐업",INDEX(폐업정보!$D$3:$R$3000,MATCH($F382,폐업정보!$I$3:$I$3000,0),MATCH(H$4,폐업정보!$D$3:$R$3,0)),
"Error"))</f>
        <v>45463</v>
      </c>
      <c r="I382" s="75" t="str">
        <f aca="false">
IF($D382="정상",INDEX(임대자산!$D$3:$R$3000,MATCH($F382,임대자산!$I$3:$I$3000,0),MATCH(I$4,임대자산!$D$3:$R$3,0)),
IF($D382="폐업",INDEX(폐업정보!$D$3:$R$3000,MATCH($F382,폐업정보!$I$3:$I$3000,0),MATCH(I$4,폐업정보!$D$3:$R$3,0)),
"Error"))</f>
        <v>A0377</v>
      </c>
      <c r="J382" s="75" t="str">
        <f aca="false">
IF($D382="정상",INDEX(임대자산!$D$3:$R$3000,MATCH($F382,임대자산!$I$3:$I$3000,0),MATCH(J$4,임대자산!$D$3:$R$3,0)),
IF($D382="폐업",INDEX(폐업정보!$D$3:$R$3000,MATCH($F382,폐업정보!$I$3:$I$3000,0),MATCH(J$4,폐업정보!$D$3:$R$3,0)),
"Error"))</f>
        <v>7743800000</v>
      </c>
      <c r="K382" s="75" t="str">
        <f aca="false">
IF($D382="정상",INDEX(임대자산!$D$3:$R$3000,MATCH($F382,임대자산!$I$3:$I$3000,0),MATCH(K$4,임대자산!$D$3:$R$3,0)),
IF($D382="폐업",INDEX(폐업정보!$D$3:$R$3000,MATCH($F382,폐업정보!$I$3:$I$3000,0),MATCH(K$4,폐업정보!$D$3:$R$3,0)),
"Error"))</f>
        <v>C0377</v>
      </c>
      <c r="L382" s="75" t="str">
        <f aca="false">
IF($D382="정상",INDEX(임대자산!$D$3:$R$3000,MATCH($F382,임대자산!$I$3:$I$3000,0),MATCH(L$4,임대자산!$D$3:$R$3,0)),
IF($D382="폐업",INDEX(폐업정보!$D$3:$R$3000,MATCH($F382,폐업정보!$I$3:$I$3000,0),MATCH(L$4,폐업정보!$D$3:$R$3,0)),
"Error"))</f>
        <v>D0377</v>
      </c>
      <c r="M382" s="76" t="s">
        <v>96</v>
      </c>
      <c r="N382" s="77"/>
      <c r="O382" s="78" t="s">
        <v>97</v>
      </c>
      <c r="P382" s="79" t="n">
        <f aca="false">COUNTIFS(임대자산!$I:$I,가맹점정보!F382,임대자산!$N:$N,가맹점정보!P$4)</f>
        <v>0</v>
      </c>
      <c r="Q382" s="80" t="n">
        <f aca="false">COUNTIFS(임대자산!$I:$I,가맹점정보!F382,임대자산!$N:$N,가맹점정보!Q$4)</f>
        <v>0</v>
      </c>
      <c r="R382" s="81" t="n">
        <f aca="false">COUNTIFS(임대자산!$I:$I,가맹점정보!F382,임대자산!$N:$N,가맹점정보!R$4)</f>
        <v>1</v>
      </c>
      <c r="S382" s="82" t="n">
        <v>55000</v>
      </c>
      <c r="T382" s="83" t="n">
        <v>0</v>
      </c>
      <c r="U382" s="80" t="n">
        <f aca="false">SUM(S382:T382)</f>
        <v>55000</v>
      </c>
      <c r="V382" s="84" t="s">
        <v>12</v>
      </c>
      <c r="W382" s="80" t="e">
        <f aca="true">
IF(D382="폐업","폐업",
IF(V382="면제","면제",
IF(AND(V382="정상",COUNTIFS(OFFSET(Y382,0,COUNTA(Y382:AV382)-1,1,-4),"미납")&gt;=3),"장기미납",
IF(AND(V382="정상",OFFSET(Y382,0,COUNTA(Y382:AV382)-1)&gt;=U382),"정상",
IF(AND(V382="정상",OFFSET(Y382,0,COUNTA(Y382:AV382)-1)=0),"정상",
"계약서 미작성")))))</f>
        <v>#VALUE!</v>
      </c>
      <c r="X382" s="81" t="str">
        <f aca="true">
IF(D382="폐업","폐업",
IF(AND(V382="정상",OFFSET(Y382,0,COUNTA(Y382:AV382)-1)="미납"),"미납",
IF(AND(V382="정상",OFFSET(Y382,0,COUNTA(Y382:AV382)-1)=0),"납부 시작 전",
IF(AND(V382="정상",OFFSET(Y382,0,COUNTA(Y382:AV382)-1)&gt;=U382),"정상",
IF(AND(V382="면제",OFFSET(Y382,0,COUNTA(Y382:AV382)-1)="면제"),"면제",
IF(AND(V382="면제",OFFSET(Y382,0,COUNTA(Y382:AV382)-1)=0),"면제",
"확인요청"))))))</f>
        <v>정상</v>
      </c>
      <c r="Y382" s="93" t="n">
        <v>55000</v>
      </c>
      <c r="Z382" s="90" t="n">
        <v>55000</v>
      </c>
      <c r="AA382" s="90" t="n">
        <v>55000</v>
      </c>
      <c r="AB382" s="90" t="n">
        <v>55000</v>
      </c>
      <c r="AC382" s="90" t="n">
        <v>55000</v>
      </c>
      <c r="AD382" s="90" t="n">
        <v>55000</v>
      </c>
      <c r="AE382" s="90" t="n">
        <v>55000</v>
      </c>
      <c r="AF382" s="90" t="n">
        <v>55000</v>
      </c>
      <c r="AG382" s="90" t="n">
        <v>55000</v>
      </c>
      <c r="AH382" s="90" t="n">
        <v>55000</v>
      </c>
      <c r="AI382" s="90" t="n">
        <v>55000</v>
      </c>
      <c r="AJ382" s="91" t="n">
        <v>55000</v>
      </c>
      <c r="AK382" s="89" t="n">
        <v>55000</v>
      </c>
      <c r="AL382" s="90" t="n">
        <v>55000</v>
      </c>
      <c r="AM382" s="90"/>
      <c r="AN382" s="90"/>
      <c r="AO382" s="90"/>
      <c r="AP382" s="90"/>
      <c r="AQ382" s="90"/>
      <c r="AR382" s="90"/>
      <c r="AS382" s="90"/>
      <c r="AT382" s="90"/>
      <c r="AU382" s="90"/>
      <c r="AV382" s="91"/>
      <c r="AX382" s="92"/>
    </row>
    <row r="383" customFormat="false" ht="15.65" hidden="false" customHeight="false" outlineLevel="0" collapsed="false">
      <c r="C383" s="72" t="n">
        <f aca="false">COUNTIFS($D$6:D383,"&lt;&gt;"&amp;"")</f>
        <v>378</v>
      </c>
      <c r="D383" s="73" t="s">
        <v>12</v>
      </c>
      <c r="E383" s="76" t="str">
        <f aca="false">
IF($D383="정상",INDEX(임대자산!$D$3:$R$3000,MATCH($F383,임대자산!$I$3:$I$3000,0),MATCH(E$3,임대자산!$D$3:$R$3,0)),
IF($D383="폐업",INDEX(폐업정보!$D$3:$R$3000,MATCH($F383,폐업정보!$I$3:$I$3000,0),MATCH(E$3,폐업정보!$D$3:$R$3,0)),
"Error"))</f>
        <v>강원</v>
      </c>
      <c r="F38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B0378</v>
      </c>
      <c r="G383" s="76" t="str">
        <f aca="false">F383&amp;RANDBETWEEN(0,10)</f>
        <v>B03785</v>
      </c>
      <c r="H383" s="75" t="n">
        <f aca="false">
IF($D383="정상",INDEX(임대자산!$D$3:$R$3000,MATCH($F383,임대자산!$I$3:$I$3000,0),MATCH(H$4,임대자산!$D$3:$R$3,0)),
IF($D383="폐업",INDEX(폐업정보!$D$3:$R$3000,MATCH($F383,폐업정보!$I$3:$I$3000,0),MATCH(H$4,폐업정보!$D$3:$R$3,0)),
"Error"))</f>
        <v>46041</v>
      </c>
      <c r="I383" s="75" t="str">
        <f aca="false">
IF($D383="정상",INDEX(임대자산!$D$3:$R$3000,MATCH($F383,임대자산!$I$3:$I$3000,0),MATCH(I$4,임대자산!$D$3:$R$3,0)),
IF($D383="폐업",INDEX(폐업정보!$D$3:$R$3000,MATCH($F383,폐업정보!$I$3:$I$3000,0),MATCH(I$4,폐업정보!$D$3:$R$3,0)),
"Error"))</f>
        <v>A0378</v>
      </c>
      <c r="J383" s="75" t="str">
        <f aca="false">
IF($D383="정상",INDEX(임대자산!$D$3:$R$3000,MATCH($F383,임대자산!$I$3:$I$3000,0),MATCH(J$4,임대자산!$D$3:$R$3,0)),
IF($D383="폐업",INDEX(폐업정보!$D$3:$R$3000,MATCH($F383,폐업정보!$I$3:$I$3000,0),MATCH(J$4,폐업정보!$D$3:$R$3,0)),
"Error"))</f>
        <v>1353600000</v>
      </c>
      <c r="K383" s="75" t="str">
        <f aca="false">
IF($D383="정상",INDEX(임대자산!$D$3:$R$3000,MATCH($F383,임대자산!$I$3:$I$3000,0),MATCH(K$4,임대자산!$D$3:$R$3,0)),
IF($D383="폐업",INDEX(폐업정보!$D$3:$R$3000,MATCH($F383,폐업정보!$I$3:$I$3000,0),MATCH(K$4,폐업정보!$D$3:$R$3,0)),
"Error"))</f>
        <v>C0378</v>
      </c>
      <c r="L383" s="75" t="str">
        <f aca="false">
IF($D383="정상",INDEX(임대자산!$D$3:$R$3000,MATCH($F383,임대자산!$I$3:$I$3000,0),MATCH(L$4,임대자산!$D$3:$R$3,0)),
IF($D383="폐업",INDEX(폐업정보!$D$3:$R$3000,MATCH($F383,폐업정보!$I$3:$I$3000,0),MATCH(L$4,폐업정보!$D$3:$R$3,0)),
"Error"))</f>
        <v>D0378</v>
      </c>
      <c r="M383" s="76" t="s">
        <v>96</v>
      </c>
      <c r="N383" s="77"/>
      <c r="O383" s="78" t="s">
        <v>97</v>
      </c>
      <c r="P383" s="79" t="n">
        <f aca="false">COUNTIFS(임대자산!$I:$I,가맹점정보!F383,임대자산!$N:$N,가맹점정보!P$4)</f>
        <v>0</v>
      </c>
      <c r="Q383" s="80" t="n">
        <f aca="false">COUNTIFS(임대자산!$I:$I,가맹점정보!F383,임대자산!$N:$N,가맹점정보!Q$4)</f>
        <v>0</v>
      </c>
      <c r="R383" s="81" t="n">
        <f aca="false">COUNTIFS(임대자산!$I:$I,가맹점정보!F383,임대자산!$N:$N,가맹점정보!R$4)</f>
        <v>1</v>
      </c>
      <c r="S383" s="82" t="n">
        <v>55000</v>
      </c>
      <c r="T383" s="83" t="n">
        <v>0</v>
      </c>
      <c r="U383" s="80" t="n">
        <f aca="false">SUM(S383:T383)</f>
        <v>55000</v>
      </c>
      <c r="V383" s="84" t="s">
        <v>12</v>
      </c>
      <c r="W383" s="80" t="e">
        <f aca="true">
IF(D383="폐업","폐업",
IF(V383="면제","면제",
IF(AND(V383="정상",COUNTIFS(OFFSET(Y383,0,COUNTA(Y383:AV383)-1,1,-4),"미납")&gt;=3),"장기미납",
IF(AND(V383="정상",OFFSET(Y383,0,COUNTA(Y383:AV383)-1)&gt;=U383),"정상",
IF(AND(V383="정상",OFFSET(Y383,0,COUNTA(Y383:AV383)-1)=0),"정상",
"계약서 미작성")))))</f>
        <v>#VALUE!</v>
      </c>
      <c r="X383" s="81" t="str">
        <f aca="true">
IF(D383="폐업","폐업",
IF(AND(V383="정상",OFFSET(Y383,0,COUNTA(Y383:AV383)-1)="미납"),"미납",
IF(AND(V383="정상",OFFSET(Y383,0,COUNTA(Y383:AV383)-1)=0),"납부 시작 전",
IF(AND(V383="정상",OFFSET(Y383,0,COUNTA(Y383:AV383)-1)&gt;=U383),"정상",
IF(AND(V383="면제",OFFSET(Y383,0,COUNTA(Y383:AV383)-1)="면제"),"면제",
IF(AND(V383="면제",OFFSET(Y383,0,COUNTA(Y383:AV383)-1)=0),"면제",
"확인요청"))))))</f>
        <v>정상</v>
      </c>
      <c r="Y383" s="93" t="n">
        <v>55000</v>
      </c>
      <c r="Z383" s="90" t="n">
        <v>55000</v>
      </c>
      <c r="AA383" s="90" t="n">
        <v>55000</v>
      </c>
      <c r="AB383" s="90" t="n">
        <v>55000</v>
      </c>
      <c r="AC383" s="90" t="n">
        <v>55000</v>
      </c>
      <c r="AD383" s="90" t="n">
        <v>55000</v>
      </c>
      <c r="AE383" s="90" t="n">
        <v>55000</v>
      </c>
      <c r="AF383" s="90" t="n">
        <v>55000</v>
      </c>
      <c r="AG383" s="90" t="n">
        <v>55000</v>
      </c>
      <c r="AH383" s="90" t="n">
        <v>55000</v>
      </c>
      <c r="AI383" s="90" t="n">
        <v>55000</v>
      </c>
      <c r="AJ383" s="91" t="n">
        <v>55000</v>
      </c>
      <c r="AK383" s="89" t="n">
        <v>55000</v>
      </c>
      <c r="AL383" s="90" t="n">
        <v>55000</v>
      </c>
      <c r="AM383" s="90"/>
      <c r="AN383" s="90"/>
      <c r="AO383" s="90"/>
      <c r="AP383" s="90"/>
      <c r="AQ383" s="90"/>
      <c r="AR383" s="90"/>
      <c r="AS383" s="90"/>
      <c r="AT383" s="90"/>
      <c r="AU383" s="90"/>
      <c r="AV383" s="91"/>
      <c r="AX383" s="92"/>
    </row>
    <row r="384" customFormat="false" ht="15.65" hidden="false" customHeight="false" outlineLevel="0" collapsed="false">
      <c r="C384" s="72" t="n">
        <f aca="false">COUNTIFS($D$6:D384,"&lt;&gt;"&amp;"")</f>
        <v>379</v>
      </c>
      <c r="D384" s="73" t="s">
        <v>12</v>
      </c>
      <c r="E384" s="76" t="str">
        <f aca="false">
IF($D384="정상",INDEX(임대자산!$D$3:$R$3000,MATCH($F384,임대자산!$I$3:$I$3000,0),MATCH(E$3,임대자산!$D$3:$R$3,0)),
IF($D384="폐업",INDEX(폐업정보!$D$3:$R$3000,MATCH($F384,폐업정보!$I$3:$I$3000,0),MATCH(E$3,폐업정보!$D$3:$R$3,0)),
"Error"))</f>
        <v>전라</v>
      </c>
      <c r="F38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B0379</v>
      </c>
      <c r="G384" s="76" t="str">
        <f aca="false">F384&amp;RANDBETWEEN(0,10)</f>
        <v>B037910</v>
      </c>
      <c r="H384" s="75" t="n">
        <f aca="false">
IF($D384="정상",INDEX(임대자산!$D$3:$R$3000,MATCH($F384,임대자산!$I$3:$I$3000,0),MATCH(H$4,임대자산!$D$3:$R$3,0)),
IF($D384="폐업",INDEX(폐업정보!$D$3:$R$3000,MATCH($F384,폐업정보!$I$3:$I$3000,0),MATCH(H$4,폐업정보!$D$3:$R$3,0)),
"Error"))</f>
        <v>45441</v>
      </c>
      <c r="I384" s="75" t="str">
        <f aca="false">
IF($D384="정상",INDEX(임대자산!$D$3:$R$3000,MATCH($F384,임대자산!$I$3:$I$3000,0),MATCH(I$4,임대자산!$D$3:$R$3,0)),
IF($D384="폐업",INDEX(폐업정보!$D$3:$R$3000,MATCH($F384,폐업정보!$I$3:$I$3000,0),MATCH(I$4,폐업정보!$D$3:$R$3,0)),
"Error"))</f>
        <v>A0379</v>
      </c>
      <c r="J384" s="75" t="str">
        <f aca="false">
IF($D384="정상",INDEX(임대자산!$D$3:$R$3000,MATCH($F384,임대자산!$I$3:$I$3000,0),MATCH(J$4,임대자산!$D$3:$R$3,0)),
IF($D384="폐업",INDEX(폐업정보!$D$3:$R$3000,MATCH($F384,폐업정보!$I$3:$I$3000,0),MATCH(J$4,폐업정보!$D$3:$R$3,0)),
"Error"))</f>
        <v>5174400000</v>
      </c>
      <c r="K384" s="75" t="str">
        <f aca="false">
IF($D384="정상",INDEX(임대자산!$D$3:$R$3000,MATCH($F384,임대자산!$I$3:$I$3000,0),MATCH(K$4,임대자산!$D$3:$R$3,0)),
IF($D384="폐업",INDEX(폐업정보!$D$3:$R$3000,MATCH($F384,폐업정보!$I$3:$I$3000,0),MATCH(K$4,폐업정보!$D$3:$R$3,0)),
"Error"))</f>
        <v>C0379</v>
      </c>
      <c r="L384" s="75" t="str">
        <f aca="false">
IF($D384="정상",INDEX(임대자산!$D$3:$R$3000,MATCH($F384,임대자산!$I$3:$I$3000,0),MATCH(L$4,임대자산!$D$3:$R$3,0)),
IF($D384="폐업",INDEX(폐업정보!$D$3:$R$3000,MATCH($F384,폐업정보!$I$3:$I$3000,0),MATCH(L$4,폐업정보!$D$3:$R$3,0)),
"Error"))</f>
        <v>D0379</v>
      </c>
      <c r="M384" s="76" t="s">
        <v>96</v>
      </c>
      <c r="N384" s="77"/>
      <c r="O384" s="78" t="s">
        <v>97</v>
      </c>
      <c r="P384" s="79" t="n">
        <f aca="false">COUNTIFS(임대자산!$I:$I,가맹점정보!F384,임대자산!$N:$N,가맹점정보!P$4)</f>
        <v>0</v>
      </c>
      <c r="Q384" s="80" t="n">
        <f aca="false">COUNTIFS(임대자산!$I:$I,가맹점정보!F384,임대자산!$N:$N,가맹점정보!Q$4)</f>
        <v>0</v>
      </c>
      <c r="R384" s="81" t="n">
        <f aca="false">COUNTIFS(임대자산!$I:$I,가맹점정보!F384,임대자산!$N:$N,가맹점정보!R$4)</f>
        <v>1</v>
      </c>
      <c r="S384" s="82" t="n">
        <v>55000</v>
      </c>
      <c r="T384" s="83" t="n">
        <v>0</v>
      </c>
      <c r="U384" s="80" t="n">
        <f aca="false">SUM(S384:T384)</f>
        <v>55000</v>
      </c>
      <c r="V384" s="84" t="s">
        <v>12</v>
      </c>
      <c r="W384" s="80" t="e">
        <f aca="true">
IF(D384="폐업","폐업",
IF(V384="면제","면제",
IF(AND(V384="정상",COUNTIFS(OFFSET(Y384,0,COUNTA(Y384:AV384)-1,1,-4),"미납")&gt;=3),"장기미납",
IF(AND(V384="정상",OFFSET(Y384,0,COUNTA(Y384:AV384)-1)&gt;=U384),"정상",
IF(AND(V384="정상",OFFSET(Y384,0,COUNTA(Y384:AV384)-1)=0),"정상",
"계약서 미작성")))))</f>
        <v>#VALUE!</v>
      </c>
      <c r="X384" s="81" t="str">
        <f aca="true">
IF(D384="폐업","폐업",
IF(AND(V384="정상",OFFSET(Y384,0,COUNTA(Y384:AV384)-1)="미납"),"미납",
IF(AND(V384="정상",OFFSET(Y384,0,COUNTA(Y384:AV384)-1)=0),"납부 시작 전",
IF(AND(V384="정상",OFFSET(Y384,0,COUNTA(Y384:AV384)-1)&gt;=U384),"정상",
IF(AND(V384="면제",OFFSET(Y384,0,COUNTA(Y384:AV384)-1)="면제"),"면제",
IF(AND(V384="면제",OFFSET(Y384,0,COUNTA(Y384:AV384)-1)=0),"면제",
"확인요청"))))))</f>
        <v>정상</v>
      </c>
      <c r="Y384" s="93" t="n">
        <v>55000</v>
      </c>
      <c r="Z384" s="90" t="n">
        <v>55000</v>
      </c>
      <c r="AA384" s="90" t="n">
        <v>55000</v>
      </c>
      <c r="AB384" s="90" t="n">
        <v>55000</v>
      </c>
      <c r="AC384" s="90" t="n">
        <v>55000</v>
      </c>
      <c r="AD384" s="90" t="n">
        <v>55000</v>
      </c>
      <c r="AE384" s="90" t="n">
        <v>55000</v>
      </c>
      <c r="AF384" s="90" t="n">
        <v>55000</v>
      </c>
      <c r="AG384" s="90" t="n">
        <v>55000</v>
      </c>
      <c r="AH384" s="90" t="n">
        <v>55000</v>
      </c>
      <c r="AI384" s="90" t="n">
        <v>55000</v>
      </c>
      <c r="AJ384" s="91" t="n">
        <v>55000</v>
      </c>
      <c r="AK384" s="89" t="n">
        <v>55000</v>
      </c>
      <c r="AL384" s="90" t="n">
        <v>55000</v>
      </c>
      <c r="AM384" s="90"/>
      <c r="AN384" s="90"/>
      <c r="AO384" s="90"/>
      <c r="AP384" s="90"/>
      <c r="AQ384" s="90"/>
      <c r="AR384" s="90"/>
      <c r="AS384" s="90"/>
      <c r="AT384" s="90"/>
      <c r="AU384" s="90"/>
      <c r="AV384" s="91"/>
      <c r="AX384" s="92"/>
    </row>
    <row r="385" customFormat="false" ht="15.65" hidden="false" customHeight="false" outlineLevel="0" collapsed="false">
      <c r="C385" s="72" t="n">
        <f aca="false">COUNTIFS($D$6:D385,"&lt;&gt;"&amp;"")</f>
        <v>380</v>
      </c>
      <c r="D385" s="73" t="s">
        <v>12</v>
      </c>
      <c r="E385" s="76" t="str">
        <f aca="false">
IF($D385="정상",INDEX(임대자산!$D$3:$R$3000,MATCH($F385,임대자산!$I$3:$I$3000,0),MATCH(E$3,임대자산!$D$3:$R$3,0)),
IF($D385="폐업",INDEX(폐업정보!$D$3:$R$3000,MATCH($F385,폐업정보!$I$3:$I$3000,0),MATCH(E$3,폐업정보!$D$3:$R$3,0)),
"Error"))</f>
        <v>전라</v>
      </c>
      <c r="F38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B0380</v>
      </c>
      <c r="G385" s="76" t="str">
        <f aca="false">F385&amp;RANDBETWEEN(0,10)</f>
        <v>B03805</v>
      </c>
      <c r="H385" s="75" t="n">
        <f aca="false">
IF($D385="정상",INDEX(임대자산!$D$3:$R$3000,MATCH($F385,임대자산!$I$3:$I$3000,0),MATCH(H$4,임대자산!$D$3:$R$3,0)),
IF($D385="폐업",INDEX(폐업정보!$D$3:$R$3000,MATCH($F385,폐업정보!$I$3:$I$3000,0),MATCH(H$4,폐업정보!$D$3:$R$3,0)),
"Error"))</f>
        <v>45441</v>
      </c>
      <c r="I385" s="75" t="str">
        <f aca="false">
IF($D385="정상",INDEX(임대자산!$D$3:$R$3000,MATCH($F385,임대자산!$I$3:$I$3000,0),MATCH(I$4,임대자산!$D$3:$R$3,0)),
IF($D385="폐업",INDEX(폐업정보!$D$3:$R$3000,MATCH($F385,폐업정보!$I$3:$I$3000,0),MATCH(I$4,폐업정보!$D$3:$R$3,0)),
"Error"))</f>
        <v>A0380</v>
      </c>
      <c r="J385" s="75" t="str">
        <f aca="false">
IF($D385="정상",INDEX(임대자산!$D$3:$R$3000,MATCH($F385,임대자산!$I$3:$I$3000,0),MATCH(J$4,임대자산!$D$3:$R$3,0)),
IF($D385="폐업",INDEX(폐업정보!$D$3:$R$3000,MATCH($F385,폐업정보!$I$3:$I$3000,0),MATCH(J$4,폐업정보!$D$3:$R$3,0)),
"Error"))</f>
        <v>7435200000</v>
      </c>
      <c r="K385" s="75" t="str">
        <f aca="false">
IF($D385="정상",INDEX(임대자산!$D$3:$R$3000,MATCH($F385,임대자산!$I$3:$I$3000,0),MATCH(K$4,임대자산!$D$3:$R$3,0)),
IF($D385="폐업",INDEX(폐업정보!$D$3:$R$3000,MATCH($F385,폐업정보!$I$3:$I$3000,0),MATCH(K$4,폐업정보!$D$3:$R$3,0)),
"Error"))</f>
        <v>C0380</v>
      </c>
      <c r="L385" s="75" t="str">
        <f aca="false">
IF($D385="정상",INDEX(임대자산!$D$3:$R$3000,MATCH($F385,임대자산!$I$3:$I$3000,0),MATCH(L$4,임대자산!$D$3:$R$3,0)),
IF($D385="폐업",INDEX(폐업정보!$D$3:$R$3000,MATCH($F385,폐업정보!$I$3:$I$3000,0),MATCH(L$4,폐업정보!$D$3:$R$3,0)),
"Error"))</f>
        <v>D0380</v>
      </c>
      <c r="M385" s="76" t="s">
        <v>96</v>
      </c>
      <c r="N385" s="77"/>
      <c r="O385" s="78" t="s">
        <v>97</v>
      </c>
      <c r="P385" s="79" t="n">
        <f aca="false">COUNTIFS(임대자산!$I:$I,가맹점정보!F385,임대자산!$N:$N,가맹점정보!P$4)</f>
        <v>0</v>
      </c>
      <c r="Q385" s="80" t="n">
        <f aca="false">COUNTIFS(임대자산!$I:$I,가맹점정보!F385,임대자산!$N:$N,가맹점정보!Q$4)</f>
        <v>0</v>
      </c>
      <c r="R385" s="81" t="n">
        <f aca="false">COUNTIFS(임대자산!$I:$I,가맹점정보!F385,임대자산!$N:$N,가맹점정보!R$4)</f>
        <v>1</v>
      </c>
      <c r="S385" s="82" t="n">
        <v>55000</v>
      </c>
      <c r="T385" s="83" t="n">
        <v>0</v>
      </c>
      <c r="U385" s="80" t="n">
        <f aca="false">SUM(S385:T385)</f>
        <v>55000</v>
      </c>
      <c r="V385" s="84" t="s">
        <v>12</v>
      </c>
      <c r="W385" s="80" t="e">
        <f aca="true">
IF(D385="폐업","폐업",
IF(V385="면제","면제",
IF(AND(V385="정상",COUNTIFS(OFFSET(Y385,0,COUNTA(Y385:AV385)-1,1,-4),"미납")&gt;=3),"장기미납",
IF(AND(V385="정상",OFFSET(Y385,0,COUNTA(Y385:AV385)-1)&gt;=U385),"정상",
IF(AND(V385="정상",OFFSET(Y385,0,COUNTA(Y385:AV385)-1)=0),"정상",
"계약서 미작성")))))</f>
        <v>#VALUE!</v>
      </c>
      <c r="X385" s="81" t="str">
        <f aca="true">
IF(D385="폐업","폐업",
IF(AND(V385="정상",OFFSET(Y385,0,COUNTA(Y385:AV385)-1)="미납"),"미납",
IF(AND(V385="정상",OFFSET(Y385,0,COUNTA(Y385:AV385)-1)=0),"납부 시작 전",
IF(AND(V385="정상",OFFSET(Y385,0,COUNTA(Y385:AV385)-1)&gt;=U385),"정상",
IF(AND(V385="면제",OFFSET(Y385,0,COUNTA(Y385:AV385)-1)="면제"),"면제",
IF(AND(V385="면제",OFFSET(Y385,0,COUNTA(Y385:AV385)-1)=0),"면제",
"확인요청"))))))</f>
        <v>정상</v>
      </c>
      <c r="Y385" s="93" t="n">
        <v>55000</v>
      </c>
      <c r="Z385" s="90" t="n">
        <v>55000</v>
      </c>
      <c r="AA385" s="90" t="n">
        <v>55000</v>
      </c>
      <c r="AB385" s="90" t="n">
        <v>55000</v>
      </c>
      <c r="AC385" s="90" t="n">
        <v>55000</v>
      </c>
      <c r="AD385" s="90" t="n">
        <v>55000</v>
      </c>
      <c r="AE385" s="90" t="n">
        <v>55000</v>
      </c>
      <c r="AF385" s="90" t="n">
        <v>55000</v>
      </c>
      <c r="AG385" s="90" t="n">
        <v>55000</v>
      </c>
      <c r="AH385" s="90" t="n">
        <v>55000</v>
      </c>
      <c r="AI385" s="90" t="n">
        <v>55000</v>
      </c>
      <c r="AJ385" s="91" t="n">
        <v>55000</v>
      </c>
      <c r="AK385" s="89" t="n">
        <v>55000</v>
      </c>
      <c r="AL385" s="90" t="n">
        <v>55000</v>
      </c>
      <c r="AM385" s="90"/>
      <c r="AN385" s="90"/>
      <c r="AO385" s="90"/>
      <c r="AP385" s="90"/>
      <c r="AQ385" s="90"/>
      <c r="AR385" s="90"/>
      <c r="AS385" s="90"/>
      <c r="AT385" s="90"/>
      <c r="AU385" s="90"/>
      <c r="AV385" s="91"/>
      <c r="AX385" s="92"/>
    </row>
    <row r="386" customFormat="false" ht="15.65" hidden="false" customHeight="false" outlineLevel="0" collapsed="false">
      <c r="C386" s="72" t="n">
        <f aca="false">COUNTIFS($D$6:D386,"&lt;&gt;"&amp;"")</f>
        <v>381</v>
      </c>
      <c r="D386" s="73" t="s">
        <v>12</v>
      </c>
      <c r="E386" s="76" t="str">
        <f aca="false">
IF($D386="정상",INDEX(임대자산!$D$3:$R$3000,MATCH($F386,임대자산!$I$3:$I$3000,0),MATCH(E$3,임대자산!$D$3:$R$3,0)),
IF($D386="폐업",INDEX(폐업정보!$D$3:$R$3000,MATCH($F386,폐업정보!$I$3:$I$3000,0),MATCH(E$3,폐업정보!$D$3:$R$3,0)),
"Error"))</f>
        <v>전라</v>
      </c>
      <c r="F38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B0381</v>
      </c>
      <c r="G386" s="76" t="str">
        <f aca="false">F386&amp;RANDBETWEEN(0,10)</f>
        <v>B03815</v>
      </c>
      <c r="H386" s="75" t="n">
        <f aca="false">
IF($D386="정상",INDEX(임대자산!$D$3:$R$3000,MATCH($F386,임대자산!$I$3:$I$3000,0),MATCH(H$4,임대자산!$D$3:$R$3,0)),
IF($D386="폐업",INDEX(폐업정보!$D$3:$R$3000,MATCH($F386,폐업정보!$I$3:$I$3000,0),MATCH(H$4,폐업정보!$D$3:$R$3,0)),
"Error"))</f>
        <v>45461</v>
      </c>
      <c r="I386" s="75" t="str">
        <f aca="false">
IF($D386="정상",INDEX(임대자산!$D$3:$R$3000,MATCH($F386,임대자산!$I$3:$I$3000,0),MATCH(I$4,임대자산!$D$3:$R$3,0)),
IF($D386="폐업",INDEX(폐업정보!$D$3:$R$3000,MATCH($F386,폐업정보!$I$3:$I$3000,0),MATCH(I$4,폐업정보!$D$3:$R$3,0)),
"Error"))</f>
        <v>A0381</v>
      </c>
      <c r="J386" s="75" t="str">
        <f aca="false">
IF($D386="정상",INDEX(임대자산!$D$3:$R$3000,MATCH($F386,임대자산!$I$3:$I$3000,0),MATCH(J$4,임대자산!$D$3:$R$3,0)),
IF($D386="폐업",INDEX(폐업정보!$D$3:$R$3000,MATCH($F386,폐업정보!$I$3:$I$3000,0),MATCH(J$4,폐업정보!$D$3:$R$3,0)),
"Error"))</f>
        <v>6501700000</v>
      </c>
      <c r="K386" s="75" t="str">
        <f aca="false">
IF($D386="정상",INDEX(임대자산!$D$3:$R$3000,MATCH($F386,임대자산!$I$3:$I$3000,0),MATCH(K$4,임대자산!$D$3:$R$3,0)),
IF($D386="폐업",INDEX(폐업정보!$D$3:$R$3000,MATCH($F386,폐업정보!$I$3:$I$3000,0),MATCH(K$4,폐업정보!$D$3:$R$3,0)),
"Error"))</f>
        <v>C0381</v>
      </c>
      <c r="L386" s="75" t="str">
        <f aca="false">
IF($D386="정상",INDEX(임대자산!$D$3:$R$3000,MATCH($F386,임대자산!$I$3:$I$3000,0),MATCH(L$4,임대자산!$D$3:$R$3,0)),
IF($D386="폐업",INDEX(폐업정보!$D$3:$R$3000,MATCH($F386,폐업정보!$I$3:$I$3000,0),MATCH(L$4,폐업정보!$D$3:$R$3,0)),
"Error"))</f>
        <v>D0381</v>
      </c>
      <c r="M386" s="76" t="s">
        <v>96</v>
      </c>
      <c r="N386" s="77"/>
      <c r="O386" s="78" t="s">
        <v>97</v>
      </c>
      <c r="P386" s="79" t="n">
        <f aca="false">COUNTIFS(임대자산!$I:$I,가맹점정보!F386,임대자산!$N:$N,가맹점정보!P$4)</f>
        <v>0</v>
      </c>
      <c r="Q386" s="80" t="n">
        <f aca="false">COUNTIFS(임대자산!$I:$I,가맹점정보!F386,임대자산!$N:$N,가맹점정보!Q$4)</f>
        <v>0</v>
      </c>
      <c r="R386" s="81" t="n">
        <f aca="false">COUNTIFS(임대자산!$I:$I,가맹점정보!F386,임대자산!$N:$N,가맹점정보!R$4)</f>
        <v>1</v>
      </c>
      <c r="S386" s="82" t="n">
        <v>55000</v>
      </c>
      <c r="T386" s="83" t="n">
        <v>0</v>
      </c>
      <c r="U386" s="80" t="n">
        <f aca="false">SUM(S386:T386)</f>
        <v>55000</v>
      </c>
      <c r="V386" s="84" t="s">
        <v>12</v>
      </c>
      <c r="W386" s="80" t="e">
        <f aca="true">
IF(D386="폐업","폐업",
IF(V386="면제","면제",
IF(AND(V386="정상",COUNTIFS(OFFSET(Y386,0,COUNTA(Y386:AV386)-1,1,-4),"미납")&gt;=3),"장기미납",
IF(AND(V386="정상",OFFSET(Y386,0,COUNTA(Y386:AV386)-1)&gt;=U386),"정상",
IF(AND(V386="정상",OFFSET(Y386,0,COUNTA(Y386:AV386)-1)=0),"정상",
"계약서 미작성")))))</f>
        <v>#VALUE!</v>
      </c>
      <c r="X386" s="81" t="str">
        <f aca="true">
IF(D386="폐업","폐업",
IF(AND(V386="정상",OFFSET(Y386,0,COUNTA(Y386:AV386)-1)="미납"),"미납",
IF(AND(V386="정상",OFFSET(Y386,0,COUNTA(Y386:AV386)-1)=0),"납부 시작 전",
IF(AND(V386="정상",OFFSET(Y386,0,COUNTA(Y386:AV386)-1)&gt;=U386),"정상",
IF(AND(V386="면제",OFFSET(Y386,0,COUNTA(Y386:AV386)-1)="면제"),"면제",
IF(AND(V386="면제",OFFSET(Y386,0,COUNTA(Y386:AV386)-1)=0),"면제",
"확인요청"))))))</f>
        <v>정상</v>
      </c>
      <c r="Y386" s="93" t="n">
        <v>55000</v>
      </c>
      <c r="Z386" s="90" t="n">
        <v>55000</v>
      </c>
      <c r="AA386" s="90" t="n">
        <v>55000</v>
      </c>
      <c r="AB386" s="90" t="n">
        <v>55000</v>
      </c>
      <c r="AC386" s="90" t="n">
        <v>55000</v>
      </c>
      <c r="AD386" s="90" t="n">
        <v>55000</v>
      </c>
      <c r="AE386" s="90" t="n">
        <v>55000</v>
      </c>
      <c r="AF386" s="90" t="n">
        <v>55000</v>
      </c>
      <c r="AG386" s="90" t="n">
        <v>55000</v>
      </c>
      <c r="AH386" s="90" t="n">
        <v>55000</v>
      </c>
      <c r="AI386" s="90" t="n">
        <v>55000</v>
      </c>
      <c r="AJ386" s="91" t="n">
        <v>55000</v>
      </c>
      <c r="AK386" s="89" t="n">
        <v>55000</v>
      </c>
      <c r="AL386" s="90" t="n">
        <v>55000</v>
      </c>
      <c r="AM386" s="90"/>
      <c r="AN386" s="90"/>
      <c r="AO386" s="90"/>
      <c r="AP386" s="90"/>
      <c r="AQ386" s="90"/>
      <c r="AR386" s="90"/>
      <c r="AS386" s="90"/>
      <c r="AT386" s="90"/>
      <c r="AU386" s="90"/>
      <c r="AV386" s="91"/>
      <c r="AX386" s="92"/>
    </row>
    <row r="387" customFormat="false" ht="15.65" hidden="false" customHeight="false" outlineLevel="0" collapsed="false">
      <c r="C387" s="72" t="n">
        <f aca="false">COUNTIFS($D$6:D387,"&lt;&gt;"&amp;"")</f>
        <v>382</v>
      </c>
      <c r="D387" s="73" t="s">
        <v>12</v>
      </c>
      <c r="E387" s="76" t="str">
        <f aca="false">
IF($D387="정상",INDEX(임대자산!$D$3:$R$3000,MATCH($F387,임대자산!$I$3:$I$3000,0),MATCH(E$3,임대자산!$D$3:$R$3,0)),
IF($D387="폐업",INDEX(폐업정보!$D$3:$R$3000,MATCH($F387,폐업정보!$I$3:$I$3000,0),MATCH(E$3,폐업정보!$D$3:$R$3,0)),
"Error"))</f>
        <v>강원</v>
      </c>
      <c r="F38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B0382</v>
      </c>
      <c r="G387" s="76" t="str">
        <f aca="false">F387&amp;RANDBETWEEN(0,10)</f>
        <v>B03829</v>
      </c>
      <c r="H387" s="75" t="n">
        <f aca="false">
IF($D387="정상",INDEX(임대자산!$D$3:$R$3000,MATCH($F387,임대자산!$I$3:$I$3000,0),MATCH(H$4,임대자산!$D$3:$R$3,0)),
IF($D387="폐업",INDEX(폐업정보!$D$3:$R$3000,MATCH($F387,폐업정보!$I$3:$I$3000,0),MATCH(H$4,폐업정보!$D$3:$R$3,0)),
"Error"))</f>
        <v>45454</v>
      </c>
      <c r="I387" s="75" t="str">
        <f aca="false">
IF($D387="정상",INDEX(임대자산!$D$3:$R$3000,MATCH($F387,임대자산!$I$3:$I$3000,0),MATCH(I$4,임대자산!$D$3:$R$3,0)),
IF($D387="폐업",INDEX(폐업정보!$D$3:$R$3000,MATCH($F387,폐업정보!$I$3:$I$3000,0),MATCH(I$4,폐업정보!$D$3:$R$3,0)),
"Error"))</f>
        <v>A0382</v>
      </c>
      <c r="J387" s="75" t="str">
        <f aca="false">
IF($D387="정상",INDEX(임대자산!$D$3:$R$3000,MATCH($F387,임대자산!$I$3:$I$3000,0),MATCH(J$4,임대자산!$D$3:$R$3,0)),
IF($D387="폐업",INDEX(폐업정보!$D$3:$R$3000,MATCH($F387,폐업정보!$I$3:$I$3000,0),MATCH(J$4,폐업정보!$D$3:$R$3,0)),
"Error"))</f>
        <v>2732100000</v>
      </c>
      <c r="K387" s="75" t="str">
        <f aca="false">
IF($D387="정상",INDEX(임대자산!$D$3:$R$3000,MATCH($F387,임대자산!$I$3:$I$3000,0),MATCH(K$4,임대자산!$D$3:$R$3,0)),
IF($D387="폐업",INDEX(폐업정보!$D$3:$R$3000,MATCH($F387,폐업정보!$I$3:$I$3000,0),MATCH(K$4,폐업정보!$D$3:$R$3,0)),
"Error"))</f>
        <v>C0382</v>
      </c>
      <c r="L387" s="75" t="str">
        <f aca="false">
IF($D387="정상",INDEX(임대자산!$D$3:$R$3000,MATCH($F387,임대자산!$I$3:$I$3000,0),MATCH(L$4,임대자산!$D$3:$R$3,0)),
IF($D387="폐업",INDEX(폐업정보!$D$3:$R$3000,MATCH($F387,폐업정보!$I$3:$I$3000,0),MATCH(L$4,폐업정보!$D$3:$R$3,0)),
"Error"))</f>
        <v>D0382</v>
      </c>
      <c r="M387" s="76" t="s">
        <v>96</v>
      </c>
      <c r="N387" s="77"/>
      <c r="O387" s="78" t="s">
        <v>97</v>
      </c>
      <c r="P387" s="79" t="n">
        <f aca="false">COUNTIFS(임대자산!$I:$I,가맹점정보!F387,임대자산!$N:$N,가맹점정보!P$4)</f>
        <v>0</v>
      </c>
      <c r="Q387" s="80" t="n">
        <f aca="false">COUNTIFS(임대자산!$I:$I,가맹점정보!F387,임대자산!$N:$N,가맹점정보!Q$4)</f>
        <v>0</v>
      </c>
      <c r="R387" s="81" t="n">
        <f aca="false">COUNTIFS(임대자산!$I:$I,가맹점정보!F387,임대자산!$N:$N,가맹점정보!R$4)</f>
        <v>1</v>
      </c>
      <c r="S387" s="82" t="n">
        <v>55000</v>
      </c>
      <c r="T387" s="83" t="n">
        <v>0</v>
      </c>
      <c r="U387" s="80" t="n">
        <f aca="false">SUM(S387:T387)</f>
        <v>55000</v>
      </c>
      <c r="V387" s="84" t="s">
        <v>7</v>
      </c>
      <c r="W387" s="80" t="str">
        <f aca="true">
IF(D387="폐업","폐업",
IF(V387="면제","면제",
IF(AND(V387="정상",COUNTIFS(OFFSET(Y387,0,COUNTA(Y387:AV387)-1,1,-4),"미납")&gt;=3),"장기미납",
IF(AND(V387="정상",OFFSET(Y387,0,COUNTA(Y387:AV387)-1)&gt;=U387),"정상",
IF(AND(V387="정상",OFFSET(Y387,0,COUNTA(Y387:AV387)-1)=0),"정상",
"계약서 미작성")))))</f>
        <v>면제</v>
      </c>
      <c r="X387" s="81" t="str">
        <f aca="true">
IF(D387="폐업","폐업",
IF(AND(V387="정상",OFFSET(Y387,0,COUNTA(Y387:AV387)-1)="미납"),"미납",
IF(AND(V387="정상",OFFSET(Y387,0,COUNTA(Y387:AV387)-1)=0),"납부 시작 전",
IF(AND(V387="정상",OFFSET(Y387,0,COUNTA(Y387:AV387)-1)&gt;=U387),"정상",
IF(AND(V387="면제",OFFSET(Y387,0,COUNTA(Y387:AV387)-1)="면제"),"면제",
IF(AND(V387="면제",OFFSET(Y387,0,COUNTA(Y387:AV387)-1)=0),"면제",
"확인요청"))))))</f>
        <v>면제</v>
      </c>
      <c r="Y387" s="94" t="s">
        <v>7</v>
      </c>
      <c r="Z387" s="95" t="s">
        <v>7</v>
      </c>
      <c r="AA387" s="95" t="s">
        <v>7</v>
      </c>
      <c r="AB387" s="95" t="s">
        <v>7</v>
      </c>
      <c r="AC387" s="95" t="s">
        <v>7</v>
      </c>
      <c r="AD387" s="95" t="s">
        <v>7</v>
      </c>
      <c r="AE387" s="95" t="s">
        <v>7</v>
      </c>
      <c r="AF387" s="95" t="s">
        <v>7</v>
      </c>
      <c r="AG387" s="95" t="s">
        <v>7</v>
      </c>
      <c r="AH387" s="95" t="s">
        <v>7</v>
      </c>
      <c r="AI387" s="95" t="s">
        <v>7</v>
      </c>
      <c r="AJ387" s="96" t="s">
        <v>7</v>
      </c>
      <c r="AK387" s="97" t="s">
        <v>7</v>
      </c>
      <c r="AL387" s="95" t="s">
        <v>7</v>
      </c>
      <c r="AM387" s="90"/>
      <c r="AN387" s="90"/>
      <c r="AO387" s="90"/>
      <c r="AP387" s="90"/>
      <c r="AQ387" s="90"/>
      <c r="AR387" s="90"/>
      <c r="AS387" s="90"/>
      <c r="AT387" s="90"/>
      <c r="AU387" s="90"/>
      <c r="AV387" s="91"/>
      <c r="AX387" s="92"/>
    </row>
    <row r="388" customFormat="false" ht="15.65" hidden="false" customHeight="false" outlineLevel="0" collapsed="false">
      <c r="C388" s="72" t="n">
        <f aca="false">COUNTIFS($D$6:D388,"&lt;&gt;"&amp;"")</f>
        <v>383</v>
      </c>
      <c r="D388" s="73" t="s">
        <v>12</v>
      </c>
      <c r="E388" s="76" t="str">
        <f aca="false">
IF($D388="정상",INDEX(임대자산!$D$3:$R$3000,MATCH($F388,임대자산!$I$3:$I$3000,0),MATCH(E$3,임대자산!$D$3:$R$3,0)),
IF($D388="폐업",INDEX(폐업정보!$D$3:$R$3000,MATCH($F388,폐업정보!$I$3:$I$3000,0),MATCH(E$3,폐업정보!$D$3:$R$3,0)),
"Error"))</f>
        <v>서울</v>
      </c>
      <c r="F38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B0383</v>
      </c>
      <c r="G388" s="76" t="str">
        <f aca="false">F388&amp;RANDBETWEEN(0,10)</f>
        <v>B038310</v>
      </c>
      <c r="H388" s="75" t="n">
        <f aca="false">
IF($D388="정상",INDEX(임대자산!$D$3:$R$3000,MATCH($F388,임대자산!$I$3:$I$3000,0),MATCH(H$4,임대자산!$D$3:$R$3,0)),
IF($D388="폐업",INDEX(폐업정보!$D$3:$R$3000,MATCH($F388,폐업정보!$I$3:$I$3000,0),MATCH(H$4,폐업정보!$D$3:$R$3,0)),
"Error"))</f>
        <v>45460</v>
      </c>
      <c r="I388" s="75" t="str">
        <f aca="false">
IF($D388="정상",INDEX(임대자산!$D$3:$R$3000,MATCH($F388,임대자산!$I$3:$I$3000,0),MATCH(I$4,임대자산!$D$3:$R$3,0)),
IF($D388="폐업",INDEX(폐업정보!$D$3:$R$3000,MATCH($F388,폐업정보!$I$3:$I$3000,0),MATCH(I$4,폐업정보!$D$3:$R$3,0)),
"Error"))</f>
        <v>A0383</v>
      </c>
      <c r="J388" s="75" t="str">
        <f aca="false">
IF($D388="정상",INDEX(임대자산!$D$3:$R$3000,MATCH($F388,임대자산!$I$3:$I$3000,0),MATCH(J$4,임대자산!$D$3:$R$3,0)),
IF($D388="폐업",INDEX(폐업정보!$D$3:$R$3000,MATCH($F388,폐업정보!$I$3:$I$3000,0),MATCH(J$4,폐업정보!$D$3:$R$3,0)),
"Error"))</f>
        <v>2795700000</v>
      </c>
      <c r="K388" s="75" t="str">
        <f aca="false">
IF($D388="정상",INDEX(임대자산!$D$3:$R$3000,MATCH($F388,임대자산!$I$3:$I$3000,0),MATCH(K$4,임대자산!$D$3:$R$3,0)),
IF($D388="폐업",INDEX(폐업정보!$D$3:$R$3000,MATCH($F388,폐업정보!$I$3:$I$3000,0),MATCH(K$4,폐업정보!$D$3:$R$3,0)),
"Error"))</f>
        <v>C0383</v>
      </c>
      <c r="L388" s="75" t="str">
        <f aca="false">
IF($D388="정상",INDEX(임대자산!$D$3:$R$3000,MATCH($F388,임대자산!$I$3:$I$3000,0),MATCH(L$4,임대자산!$D$3:$R$3,0)),
IF($D388="폐업",INDEX(폐업정보!$D$3:$R$3000,MATCH($F388,폐업정보!$I$3:$I$3000,0),MATCH(L$4,폐업정보!$D$3:$R$3,0)),
"Error"))</f>
        <v>D0383</v>
      </c>
      <c r="M388" s="76" t="s">
        <v>96</v>
      </c>
      <c r="N388" s="77"/>
      <c r="O388" s="78" t="s">
        <v>97</v>
      </c>
      <c r="P388" s="79" t="n">
        <f aca="false">COUNTIFS(임대자산!$I:$I,가맹점정보!F388,임대자산!$N:$N,가맹점정보!P$4)</f>
        <v>0</v>
      </c>
      <c r="Q388" s="80" t="n">
        <f aca="false">COUNTIFS(임대자산!$I:$I,가맹점정보!F388,임대자산!$N:$N,가맹점정보!Q$4)</f>
        <v>0</v>
      </c>
      <c r="R388" s="81" t="n">
        <f aca="false">COUNTIFS(임대자산!$I:$I,가맹점정보!F388,임대자산!$N:$N,가맹점정보!R$4)</f>
        <v>1</v>
      </c>
      <c r="S388" s="82" t="n">
        <v>55000</v>
      </c>
      <c r="T388" s="83" t="n">
        <v>0</v>
      </c>
      <c r="U388" s="80" t="n">
        <f aca="false">SUM(S388:T388)</f>
        <v>55000</v>
      </c>
      <c r="V388" s="84" t="s">
        <v>12</v>
      </c>
      <c r="W388" s="80" t="e">
        <f aca="true">
IF(D388="폐업","폐업",
IF(V388="면제","면제",
IF(AND(V388="정상",COUNTIFS(OFFSET(Y388,0,COUNTA(Y388:AV388)-1,1,-4),"미납")&gt;=3),"장기미납",
IF(AND(V388="정상",OFFSET(Y388,0,COUNTA(Y388:AV388)-1)&gt;=U388),"정상",
IF(AND(V388="정상",OFFSET(Y388,0,COUNTA(Y388:AV388)-1)=0),"정상",
"계약서 미작성")))))</f>
        <v>#VALUE!</v>
      </c>
      <c r="X388" s="81" t="str">
        <f aca="true">
IF(D388="폐업","폐업",
IF(AND(V388="정상",OFFSET(Y388,0,COUNTA(Y388:AV388)-1)="미납"),"미납",
IF(AND(V388="정상",OFFSET(Y388,0,COUNTA(Y388:AV388)-1)=0),"납부 시작 전",
IF(AND(V388="정상",OFFSET(Y388,0,COUNTA(Y388:AV388)-1)&gt;=U388),"정상",
IF(AND(V388="면제",OFFSET(Y388,0,COUNTA(Y388:AV388)-1)="면제"),"면제",
IF(AND(V388="면제",OFFSET(Y388,0,COUNTA(Y388:AV388)-1)=0),"면제",
"확인요청"))))))</f>
        <v>정상</v>
      </c>
      <c r="Y388" s="93" t="n">
        <v>55000</v>
      </c>
      <c r="Z388" s="90" t="n">
        <v>55000</v>
      </c>
      <c r="AA388" s="90" t="n">
        <v>55000</v>
      </c>
      <c r="AB388" s="90" t="n">
        <v>55000</v>
      </c>
      <c r="AC388" s="90" t="n">
        <v>55000</v>
      </c>
      <c r="AD388" s="90" t="n">
        <v>55000</v>
      </c>
      <c r="AE388" s="90" t="n">
        <v>55000</v>
      </c>
      <c r="AF388" s="90" t="n">
        <v>55000</v>
      </c>
      <c r="AG388" s="90" t="n">
        <v>55000</v>
      </c>
      <c r="AH388" s="90" t="n">
        <v>55000</v>
      </c>
      <c r="AI388" s="90" t="n">
        <v>55000</v>
      </c>
      <c r="AJ388" s="91" t="n">
        <v>55000</v>
      </c>
      <c r="AK388" s="89" t="n">
        <v>55000</v>
      </c>
      <c r="AL388" s="90" t="n">
        <v>55000</v>
      </c>
      <c r="AM388" s="90"/>
      <c r="AN388" s="90"/>
      <c r="AO388" s="90"/>
      <c r="AP388" s="90"/>
      <c r="AQ388" s="90"/>
      <c r="AR388" s="90"/>
      <c r="AS388" s="90"/>
      <c r="AT388" s="90"/>
      <c r="AU388" s="90"/>
      <c r="AV388" s="91"/>
      <c r="AX388" s="92"/>
    </row>
    <row r="389" customFormat="false" ht="15.65" hidden="false" customHeight="false" outlineLevel="0" collapsed="false">
      <c r="C389" s="72" t="n">
        <f aca="false">COUNTIFS($D$6:D389,"&lt;&gt;"&amp;"")</f>
        <v>384</v>
      </c>
      <c r="D389" s="73" t="s">
        <v>12</v>
      </c>
      <c r="E389" s="76" t="str">
        <f aca="false">
IF($D389="정상",INDEX(임대자산!$D$3:$R$3000,MATCH($F389,임대자산!$I$3:$I$3000,0),MATCH(E$3,임대자산!$D$3:$R$3,0)),
IF($D389="폐업",INDEX(폐업정보!$D$3:$R$3000,MATCH($F389,폐업정보!$I$3:$I$3000,0),MATCH(E$3,폐업정보!$D$3:$R$3,0)),
"Error"))</f>
        <v>서울</v>
      </c>
      <c r="F38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B0384</v>
      </c>
      <c r="G389" s="76" t="str">
        <f aca="false">F389&amp;RANDBETWEEN(0,10)</f>
        <v>B03842</v>
      </c>
      <c r="H389" s="75" t="n">
        <f aca="false">
IF($D389="정상",INDEX(임대자산!$D$3:$R$3000,MATCH($F389,임대자산!$I$3:$I$3000,0),MATCH(H$4,임대자산!$D$3:$R$3,0)),
IF($D389="폐업",INDEX(폐업정보!$D$3:$R$3000,MATCH($F389,폐업정보!$I$3:$I$3000,0),MATCH(H$4,폐업정보!$D$3:$R$3,0)),
"Error"))</f>
        <v>45861</v>
      </c>
      <c r="I389" s="75" t="str">
        <f aca="false">
IF($D389="정상",INDEX(임대자산!$D$3:$R$3000,MATCH($F389,임대자산!$I$3:$I$3000,0),MATCH(I$4,임대자산!$D$3:$R$3,0)),
IF($D389="폐업",INDEX(폐업정보!$D$3:$R$3000,MATCH($F389,폐업정보!$I$3:$I$3000,0),MATCH(I$4,폐업정보!$D$3:$R$3,0)),
"Error"))</f>
        <v>A0384</v>
      </c>
      <c r="J389" s="75" t="str">
        <f aca="false">
IF($D389="정상",INDEX(임대자산!$D$3:$R$3000,MATCH($F389,임대자산!$I$3:$I$3000,0),MATCH(J$4,임대자산!$D$3:$R$3,0)),
IF($D389="폐업",INDEX(폐업정보!$D$3:$R$3000,MATCH($F389,폐업정보!$I$3:$I$3000,0),MATCH(J$4,폐업정보!$D$3:$R$3,0)),
"Error"))</f>
        <v>9751000000</v>
      </c>
      <c r="K389" s="75" t="str">
        <f aca="false">
IF($D389="정상",INDEX(임대자산!$D$3:$R$3000,MATCH($F389,임대자산!$I$3:$I$3000,0),MATCH(K$4,임대자산!$D$3:$R$3,0)),
IF($D389="폐업",INDEX(폐업정보!$D$3:$R$3000,MATCH($F389,폐업정보!$I$3:$I$3000,0),MATCH(K$4,폐업정보!$D$3:$R$3,0)),
"Error"))</f>
        <v>C0384</v>
      </c>
      <c r="L389" s="75" t="str">
        <f aca="false">
IF($D389="정상",INDEX(임대자산!$D$3:$R$3000,MATCH($F389,임대자산!$I$3:$I$3000,0),MATCH(L$4,임대자산!$D$3:$R$3,0)),
IF($D389="폐업",INDEX(폐업정보!$D$3:$R$3000,MATCH($F389,폐업정보!$I$3:$I$3000,0),MATCH(L$4,폐업정보!$D$3:$R$3,0)),
"Error"))</f>
        <v>D0384</v>
      </c>
      <c r="M389" s="76" t="s">
        <v>96</v>
      </c>
      <c r="N389" s="77"/>
      <c r="O389" s="78" t="s">
        <v>97</v>
      </c>
      <c r="P389" s="79" t="n">
        <f aca="false">COUNTIFS(임대자산!$I:$I,가맹점정보!F389,임대자산!$N:$N,가맹점정보!P$4)</f>
        <v>0</v>
      </c>
      <c r="Q389" s="80" t="n">
        <f aca="false">COUNTIFS(임대자산!$I:$I,가맹점정보!F389,임대자산!$N:$N,가맹점정보!Q$4)</f>
        <v>0</v>
      </c>
      <c r="R389" s="81" t="n">
        <f aca="false">COUNTIFS(임대자산!$I:$I,가맹점정보!F389,임대자산!$N:$N,가맹점정보!R$4)</f>
        <v>1</v>
      </c>
      <c r="S389" s="82" t="n">
        <v>55000</v>
      </c>
      <c r="T389" s="83" t="n">
        <v>0</v>
      </c>
      <c r="U389" s="80" t="n">
        <f aca="false">SUM(S389:T389)</f>
        <v>55000</v>
      </c>
      <c r="V389" s="84" t="s">
        <v>12</v>
      </c>
      <c r="W389" s="80" t="e">
        <f aca="true">
IF(D389="폐업","폐업",
IF(V389="면제","면제",
IF(AND(V389="정상",COUNTIFS(OFFSET(Y389,0,COUNTA(Y389:AV389)-1,1,-4),"미납")&gt;=3),"장기미납",
IF(AND(V389="정상",OFFSET(Y389,0,COUNTA(Y389:AV389)-1)&gt;=U389),"정상",
IF(AND(V389="정상",OFFSET(Y389,0,COUNTA(Y389:AV389)-1)=0),"정상",
"계약서 미작성")))))</f>
        <v>#VALUE!</v>
      </c>
      <c r="X389" s="81" t="str">
        <f aca="true">
IF(D389="폐업","폐업",
IF(AND(V389="정상",OFFSET(Y389,0,COUNTA(Y389:AV389)-1)="미납"),"미납",
IF(AND(V389="정상",OFFSET(Y389,0,COUNTA(Y389:AV389)-1)=0),"납부 시작 전",
IF(AND(V389="정상",OFFSET(Y389,0,COUNTA(Y389:AV389)-1)&gt;=U389),"정상",
IF(AND(V389="면제",OFFSET(Y389,0,COUNTA(Y389:AV389)-1)="면제"),"면제",
IF(AND(V389="면제",OFFSET(Y389,0,COUNTA(Y389:AV389)-1)=0),"면제",
"확인요청"))))))</f>
        <v>정상</v>
      </c>
      <c r="Y389" s="93" t="n">
        <v>55000</v>
      </c>
      <c r="Z389" s="90" t="n">
        <v>55000</v>
      </c>
      <c r="AA389" s="90" t="n">
        <v>55000</v>
      </c>
      <c r="AB389" s="90" t="n">
        <v>55000</v>
      </c>
      <c r="AC389" s="90" t="n">
        <v>55000</v>
      </c>
      <c r="AD389" s="90" t="n">
        <v>55000</v>
      </c>
      <c r="AE389" s="90" t="n">
        <v>55000</v>
      </c>
      <c r="AF389" s="90" t="n">
        <v>55000</v>
      </c>
      <c r="AG389" s="90" t="n">
        <v>55000</v>
      </c>
      <c r="AH389" s="90" t="n">
        <v>55000</v>
      </c>
      <c r="AI389" s="90" t="n">
        <v>55000</v>
      </c>
      <c r="AJ389" s="91" t="n">
        <v>55000</v>
      </c>
      <c r="AK389" s="89" t="n">
        <v>55000</v>
      </c>
      <c r="AL389" s="90" t="n">
        <v>55000</v>
      </c>
      <c r="AM389" s="90"/>
      <c r="AN389" s="90"/>
      <c r="AO389" s="90"/>
      <c r="AP389" s="90"/>
      <c r="AQ389" s="90"/>
      <c r="AR389" s="90"/>
      <c r="AS389" s="90"/>
      <c r="AT389" s="90"/>
      <c r="AU389" s="90"/>
      <c r="AV389" s="91"/>
      <c r="AX389" s="92"/>
    </row>
    <row r="390" customFormat="false" ht="15.65" hidden="false" customHeight="false" outlineLevel="0" collapsed="false">
      <c r="C390" s="72" t="n">
        <f aca="false">COUNTIFS($D$6:D390,"&lt;&gt;"&amp;"")</f>
        <v>385</v>
      </c>
      <c r="D390" s="73" t="s">
        <v>12</v>
      </c>
      <c r="E390" s="76" t="str">
        <f aca="false">
IF($D390="정상",INDEX(임대자산!$D$3:$R$3000,MATCH($F390,임대자산!$I$3:$I$3000,0),MATCH(E$3,임대자산!$D$3:$R$3,0)),
IF($D390="폐업",INDEX(폐업정보!$D$3:$R$3000,MATCH($F390,폐업정보!$I$3:$I$3000,0),MATCH(E$3,폐업정보!$D$3:$R$3,0)),
"Error"))</f>
        <v>경상</v>
      </c>
      <c r="F39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B0385</v>
      </c>
      <c r="G390" s="76" t="str">
        <f aca="false">F390&amp;RANDBETWEEN(0,10)</f>
        <v>B03856</v>
      </c>
      <c r="H390" s="75" t="n">
        <f aca="false">
IF($D390="정상",INDEX(임대자산!$D$3:$R$3000,MATCH($F390,임대자산!$I$3:$I$3000,0),MATCH(H$4,임대자산!$D$3:$R$3,0)),
IF($D390="폐업",INDEX(폐업정보!$D$3:$R$3000,MATCH($F390,폐업정보!$I$3:$I$3000,0),MATCH(H$4,폐업정보!$D$3:$R$3,0)),
"Error"))</f>
        <v>45469</v>
      </c>
      <c r="I390" s="75" t="str">
        <f aca="false">
IF($D390="정상",INDEX(임대자산!$D$3:$R$3000,MATCH($F390,임대자산!$I$3:$I$3000,0),MATCH(I$4,임대자산!$D$3:$R$3,0)),
IF($D390="폐업",INDEX(폐업정보!$D$3:$R$3000,MATCH($F390,폐업정보!$I$3:$I$3000,0),MATCH(I$4,폐업정보!$D$3:$R$3,0)),
"Error"))</f>
        <v>A0385</v>
      </c>
      <c r="J390" s="75" t="str">
        <f aca="false">
IF($D390="정상",INDEX(임대자산!$D$3:$R$3000,MATCH($F390,임대자산!$I$3:$I$3000,0),MATCH(J$4,임대자산!$D$3:$R$3,0)),
IF($D390="폐업",INDEX(폐업정보!$D$3:$R$3000,MATCH($F390,폐업정보!$I$3:$I$3000,0),MATCH(J$4,폐업정보!$D$3:$R$3,0)),
"Error"))</f>
        <v>5093500000</v>
      </c>
      <c r="K390" s="75" t="str">
        <f aca="false">
IF($D390="정상",INDEX(임대자산!$D$3:$R$3000,MATCH($F390,임대자산!$I$3:$I$3000,0),MATCH(K$4,임대자산!$D$3:$R$3,0)),
IF($D390="폐업",INDEX(폐업정보!$D$3:$R$3000,MATCH($F390,폐업정보!$I$3:$I$3000,0),MATCH(K$4,폐업정보!$D$3:$R$3,0)),
"Error"))</f>
        <v>C0385</v>
      </c>
      <c r="L390" s="75" t="str">
        <f aca="false">
IF($D390="정상",INDEX(임대자산!$D$3:$R$3000,MATCH($F390,임대자산!$I$3:$I$3000,0),MATCH(L$4,임대자산!$D$3:$R$3,0)),
IF($D390="폐업",INDEX(폐업정보!$D$3:$R$3000,MATCH($F390,폐업정보!$I$3:$I$3000,0),MATCH(L$4,폐업정보!$D$3:$R$3,0)),
"Error"))</f>
        <v>D0385</v>
      </c>
      <c r="M390" s="76" t="s">
        <v>96</v>
      </c>
      <c r="N390" s="77"/>
      <c r="O390" s="78" t="s">
        <v>97</v>
      </c>
      <c r="P390" s="79" t="n">
        <f aca="false">COUNTIFS(임대자산!$I:$I,가맹점정보!F390,임대자산!$N:$N,가맹점정보!P$4)</f>
        <v>0</v>
      </c>
      <c r="Q390" s="80" t="n">
        <f aca="false">COUNTIFS(임대자산!$I:$I,가맹점정보!F390,임대자산!$N:$N,가맹점정보!Q$4)</f>
        <v>0</v>
      </c>
      <c r="R390" s="81" t="n">
        <f aca="false">COUNTIFS(임대자산!$I:$I,가맹점정보!F390,임대자산!$N:$N,가맹점정보!R$4)</f>
        <v>1</v>
      </c>
      <c r="S390" s="82" t="n">
        <v>55000</v>
      </c>
      <c r="T390" s="83" t="n">
        <v>0</v>
      </c>
      <c r="U390" s="80" t="n">
        <f aca="false">SUM(S390:T390)</f>
        <v>55000</v>
      </c>
      <c r="V390" s="84" t="s">
        <v>12</v>
      </c>
      <c r="W390" s="80" t="e">
        <f aca="true">
IF(D390="폐업","폐업",
IF(V390="면제","면제",
IF(AND(V390="정상",COUNTIFS(OFFSET(Y390,0,COUNTA(Y390:AV390)-1,1,-4),"미납")&gt;=3),"장기미납",
IF(AND(V390="정상",OFFSET(Y390,0,COUNTA(Y390:AV390)-1)&gt;=U390),"정상",
IF(AND(V390="정상",OFFSET(Y390,0,COUNTA(Y390:AV390)-1)=0),"정상",
"계약서 미작성")))))</f>
        <v>#VALUE!</v>
      </c>
      <c r="X390" s="81" t="str">
        <f aca="true">
IF(D390="폐업","폐업",
IF(AND(V390="정상",OFFSET(Y390,0,COUNTA(Y390:AV390)-1)="미납"),"미납",
IF(AND(V390="정상",OFFSET(Y390,0,COUNTA(Y390:AV390)-1)=0),"납부 시작 전",
IF(AND(V390="정상",OFFSET(Y390,0,COUNTA(Y390:AV390)-1)&gt;=U390),"정상",
IF(AND(V390="면제",OFFSET(Y390,0,COUNTA(Y390:AV390)-1)="면제"),"면제",
IF(AND(V390="면제",OFFSET(Y390,0,COUNTA(Y390:AV390)-1)=0),"면제",
"확인요청"))))))</f>
        <v>정상</v>
      </c>
      <c r="Y390" s="93" t="n">
        <v>55000</v>
      </c>
      <c r="Z390" s="90" t="n">
        <v>55000</v>
      </c>
      <c r="AA390" s="90" t="n">
        <v>55000</v>
      </c>
      <c r="AB390" s="90" t="n">
        <v>55000</v>
      </c>
      <c r="AC390" s="90" t="n">
        <v>55000</v>
      </c>
      <c r="AD390" s="90" t="n">
        <v>55000</v>
      </c>
      <c r="AE390" s="90" t="n">
        <v>55000</v>
      </c>
      <c r="AF390" s="90" t="n">
        <v>55000</v>
      </c>
      <c r="AG390" s="90" t="n">
        <v>55000</v>
      </c>
      <c r="AH390" s="90" t="n">
        <v>55000</v>
      </c>
      <c r="AI390" s="90" t="n">
        <v>55000</v>
      </c>
      <c r="AJ390" s="91" t="n">
        <v>55000</v>
      </c>
      <c r="AK390" s="89" t="n">
        <v>55000</v>
      </c>
      <c r="AL390" s="90" t="n">
        <v>55000</v>
      </c>
      <c r="AM390" s="90"/>
      <c r="AN390" s="90"/>
      <c r="AO390" s="90"/>
      <c r="AP390" s="90"/>
      <c r="AQ390" s="90"/>
      <c r="AR390" s="90"/>
      <c r="AS390" s="90"/>
      <c r="AT390" s="90"/>
      <c r="AU390" s="90"/>
      <c r="AV390" s="91"/>
      <c r="AX390" s="92"/>
    </row>
    <row r="391" customFormat="false" ht="15.65" hidden="false" customHeight="false" outlineLevel="0" collapsed="false">
      <c r="C391" s="72" t="n">
        <f aca="false">COUNTIFS($D$6:D391,"&lt;&gt;"&amp;"")</f>
        <v>386</v>
      </c>
      <c r="D391" s="73" t="s">
        <v>12</v>
      </c>
      <c r="E391" s="76" t="str">
        <f aca="false">
IF($D391="정상",INDEX(임대자산!$D$3:$R$3000,MATCH($F391,임대자산!$I$3:$I$3000,0),MATCH(E$3,임대자산!$D$3:$R$3,0)),
IF($D391="폐업",INDEX(폐업정보!$D$3:$R$3000,MATCH($F391,폐업정보!$I$3:$I$3000,0),MATCH(E$3,폐업정보!$D$3:$R$3,0)),
"Error"))</f>
        <v>강원</v>
      </c>
      <c r="F39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B0386</v>
      </c>
      <c r="G391" s="76" t="str">
        <f aca="false">F391&amp;RANDBETWEEN(0,10)</f>
        <v>B038610</v>
      </c>
      <c r="H391" s="75" t="n">
        <f aca="false">
IF($D391="정상",INDEX(임대자산!$D$3:$R$3000,MATCH($F391,임대자산!$I$3:$I$3000,0),MATCH(H$4,임대자산!$D$3:$R$3,0)),
IF($D391="폐업",INDEX(폐업정보!$D$3:$R$3000,MATCH($F391,폐업정보!$I$3:$I$3000,0),MATCH(H$4,폐업정보!$D$3:$R$3,0)),
"Error"))</f>
        <v>45490</v>
      </c>
      <c r="I391" s="75" t="str">
        <f aca="false">
IF($D391="정상",INDEX(임대자산!$D$3:$R$3000,MATCH($F391,임대자산!$I$3:$I$3000,0),MATCH(I$4,임대자산!$D$3:$R$3,0)),
IF($D391="폐업",INDEX(폐업정보!$D$3:$R$3000,MATCH($F391,폐업정보!$I$3:$I$3000,0),MATCH(I$4,폐업정보!$D$3:$R$3,0)),
"Error"))</f>
        <v>A0386</v>
      </c>
      <c r="J391" s="75" t="str">
        <f aca="false">
IF($D391="정상",INDEX(임대자산!$D$3:$R$3000,MATCH($F391,임대자산!$I$3:$I$3000,0),MATCH(J$4,임대자산!$D$3:$R$3,0)),
IF($D391="폐업",INDEX(폐업정보!$D$3:$R$3000,MATCH($F391,폐업정보!$I$3:$I$3000,0),MATCH(J$4,폐업정보!$D$3:$R$3,0)),
"Error"))</f>
        <v>8727800000</v>
      </c>
      <c r="K391" s="75" t="str">
        <f aca="false">
IF($D391="정상",INDEX(임대자산!$D$3:$R$3000,MATCH($F391,임대자산!$I$3:$I$3000,0),MATCH(K$4,임대자산!$D$3:$R$3,0)),
IF($D391="폐업",INDEX(폐업정보!$D$3:$R$3000,MATCH($F391,폐업정보!$I$3:$I$3000,0),MATCH(K$4,폐업정보!$D$3:$R$3,0)),
"Error"))</f>
        <v>C0386</v>
      </c>
      <c r="L391" s="75" t="str">
        <f aca="false">
IF($D391="정상",INDEX(임대자산!$D$3:$R$3000,MATCH($F391,임대자산!$I$3:$I$3000,0),MATCH(L$4,임대자산!$D$3:$R$3,0)),
IF($D391="폐업",INDEX(폐업정보!$D$3:$R$3000,MATCH($F391,폐업정보!$I$3:$I$3000,0),MATCH(L$4,폐업정보!$D$3:$R$3,0)),
"Error"))</f>
        <v>D0386</v>
      </c>
      <c r="M391" s="76" t="s">
        <v>96</v>
      </c>
      <c r="N391" s="77"/>
      <c r="O391" s="78" t="s">
        <v>97</v>
      </c>
      <c r="P391" s="79" t="n">
        <f aca="false">COUNTIFS(임대자산!$I:$I,가맹점정보!F391,임대자산!$N:$N,가맹점정보!P$4)</f>
        <v>0</v>
      </c>
      <c r="Q391" s="80" t="n">
        <f aca="false">COUNTIFS(임대자산!$I:$I,가맹점정보!F391,임대자산!$N:$N,가맹점정보!Q$4)</f>
        <v>0</v>
      </c>
      <c r="R391" s="81" t="n">
        <f aca="false">COUNTIFS(임대자산!$I:$I,가맹점정보!F391,임대자산!$N:$N,가맹점정보!R$4)</f>
        <v>1</v>
      </c>
      <c r="S391" s="82" t="n">
        <v>0</v>
      </c>
      <c r="T391" s="83" t="n">
        <v>0</v>
      </c>
      <c r="U391" s="80" t="n">
        <f aca="false">SUM(S391:T391)</f>
        <v>0</v>
      </c>
      <c r="V391" s="84" t="s">
        <v>7</v>
      </c>
      <c r="W391" s="80" t="str">
        <f aca="true">
IF(D391="폐업","폐업",
IF(V391="면제","면제",
IF(AND(V391="정상",COUNTIFS(OFFSET(Y391,0,COUNTA(Y391:AV391)-1,1,-4),"미납")&gt;=3),"장기미납",
IF(AND(V391="정상",OFFSET(Y391,0,COUNTA(Y391:AV391)-1)&gt;=U391),"정상",
IF(AND(V391="정상",OFFSET(Y391,0,COUNTA(Y391:AV391)-1)=0),"정상",
"계약서 미작성")))))</f>
        <v>면제</v>
      </c>
      <c r="X391" s="81" t="str">
        <f aca="true">
IF(D391="폐업","폐업",
IF(AND(V391="정상",OFFSET(Y391,0,COUNTA(Y391:AV391)-1)="미납"),"미납",
IF(AND(V391="정상",OFFSET(Y391,0,COUNTA(Y391:AV391)-1)=0),"납부 시작 전",
IF(AND(V391="정상",OFFSET(Y391,0,COUNTA(Y391:AV391)-1)&gt;=U391),"정상",
IF(AND(V391="면제",OFFSET(Y391,0,COUNTA(Y391:AV391)-1)="면제"),"면제",
IF(AND(V391="면제",OFFSET(Y391,0,COUNTA(Y391:AV391)-1)=0),"면제",
"확인요청"))))))</f>
        <v>면제</v>
      </c>
      <c r="Y391" s="94" t="s">
        <v>7</v>
      </c>
      <c r="Z391" s="95" t="s">
        <v>7</v>
      </c>
      <c r="AA391" s="95" t="s">
        <v>7</v>
      </c>
      <c r="AB391" s="95" t="s">
        <v>7</v>
      </c>
      <c r="AC391" s="95" t="s">
        <v>7</v>
      </c>
      <c r="AD391" s="95" t="s">
        <v>7</v>
      </c>
      <c r="AE391" s="95" t="s">
        <v>7</v>
      </c>
      <c r="AF391" s="95" t="s">
        <v>7</v>
      </c>
      <c r="AG391" s="95" t="s">
        <v>7</v>
      </c>
      <c r="AH391" s="95" t="s">
        <v>7</v>
      </c>
      <c r="AI391" s="95" t="s">
        <v>7</v>
      </c>
      <c r="AJ391" s="96" t="s">
        <v>7</v>
      </c>
      <c r="AK391" s="97" t="s">
        <v>7</v>
      </c>
      <c r="AL391" s="95" t="s">
        <v>7</v>
      </c>
      <c r="AM391" s="90"/>
      <c r="AN391" s="90"/>
      <c r="AO391" s="90"/>
      <c r="AP391" s="90"/>
      <c r="AQ391" s="90"/>
      <c r="AR391" s="90"/>
      <c r="AS391" s="90"/>
      <c r="AT391" s="90"/>
      <c r="AU391" s="90"/>
      <c r="AV391" s="91"/>
      <c r="AX391" s="92"/>
    </row>
    <row r="392" customFormat="false" ht="15.65" hidden="false" customHeight="false" outlineLevel="0" collapsed="false">
      <c r="C392" s="72" t="n">
        <f aca="false">COUNTIFS($D$6:D392,"&lt;&gt;"&amp;"")</f>
        <v>387</v>
      </c>
      <c r="D392" s="73" t="s">
        <v>12</v>
      </c>
      <c r="E392" s="76" t="str">
        <f aca="false">
IF($D392="정상",INDEX(임대자산!$D$3:$R$3000,MATCH($F392,임대자산!$I$3:$I$3000,0),MATCH(E$3,임대자산!$D$3:$R$3,0)),
IF($D392="폐업",INDEX(폐업정보!$D$3:$R$3000,MATCH($F392,폐업정보!$I$3:$I$3000,0),MATCH(E$3,폐업정보!$D$3:$R$3,0)),
"Error"))</f>
        <v>전라</v>
      </c>
      <c r="F39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B0387</v>
      </c>
      <c r="G392" s="76" t="str">
        <f aca="false">F392&amp;RANDBETWEEN(0,10)</f>
        <v>B03872</v>
      </c>
      <c r="H392" s="75" t="n">
        <f aca="false">
IF($D392="정상",INDEX(임대자산!$D$3:$R$3000,MATCH($F392,임대자산!$I$3:$I$3000,0),MATCH(H$4,임대자산!$D$3:$R$3,0)),
IF($D392="폐업",INDEX(폐업정보!$D$3:$R$3000,MATCH($F392,폐업정보!$I$3:$I$3000,0),MATCH(H$4,폐업정보!$D$3:$R$3,0)),
"Error"))</f>
        <v>45485</v>
      </c>
      <c r="I392" s="75" t="str">
        <f aca="false">
IF($D392="정상",INDEX(임대자산!$D$3:$R$3000,MATCH($F392,임대자산!$I$3:$I$3000,0),MATCH(I$4,임대자산!$D$3:$R$3,0)),
IF($D392="폐업",INDEX(폐업정보!$D$3:$R$3000,MATCH($F392,폐업정보!$I$3:$I$3000,0),MATCH(I$4,폐업정보!$D$3:$R$3,0)),
"Error"))</f>
        <v>A0387</v>
      </c>
      <c r="J392" s="75" t="str">
        <f aca="false">
IF($D392="정상",INDEX(임대자산!$D$3:$R$3000,MATCH($F392,임대자산!$I$3:$I$3000,0),MATCH(J$4,임대자산!$D$3:$R$3,0)),
IF($D392="폐업",INDEX(폐업정보!$D$3:$R$3000,MATCH($F392,폐업정보!$I$3:$I$3000,0),MATCH(J$4,폐업정보!$D$3:$R$3,0)),
"Error"))</f>
        <v>2488000000</v>
      </c>
      <c r="K392" s="75" t="str">
        <f aca="false">
IF($D392="정상",INDEX(임대자산!$D$3:$R$3000,MATCH($F392,임대자산!$I$3:$I$3000,0),MATCH(K$4,임대자산!$D$3:$R$3,0)),
IF($D392="폐업",INDEX(폐업정보!$D$3:$R$3000,MATCH($F392,폐업정보!$I$3:$I$3000,0),MATCH(K$4,폐업정보!$D$3:$R$3,0)),
"Error"))</f>
        <v>C0387</v>
      </c>
      <c r="L392" s="75" t="str">
        <f aca="false">
IF($D392="정상",INDEX(임대자산!$D$3:$R$3000,MATCH($F392,임대자산!$I$3:$I$3000,0),MATCH(L$4,임대자산!$D$3:$R$3,0)),
IF($D392="폐업",INDEX(폐업정보!$D$3:$R$3000,MATCH($F392,폐업정보!$I$3:$I$3000,0),MATCH(L$4,폐업정보!$D$3:$R$3,0)),
"Error"))</f>
        <v>D0387</v>
      </c>
      <c r="M392" s="76" t="s">
        <v>96</v>
      </c>
      <c r="N392" s="77"/>
      <c r="O392" s="78" t="s">
        <v>97</v>
      </c>
      <c r="P392" s="79" t="n">
        <f aca="false">COUNTIFS(임대자산!$I:$I,가맹점정보!F392,임대자산!$N:$N,가맹점정보!P$4)</f>
        <v>0</v>
      </c>
      <c r="Q392" s="80" t="n">
        <f aca="false">COUNTIFS(임대자산!$I:$I,가맹점정보!F392,임대자산!$N:$N,가맹점정보!Q$4)</f>
        <v>0</v>
      </c>
      <c r="R392" s="81" t="n">
        <f aca="false">COUNTIFS(임대자산!$I:$I,가맹점정보!F392,임대자산!$N:$N,가맹점정보!R$4)</f>
        <v>1</v>
      </c>
      <c r="S392" s="82" t="n">
        <v>88000</v>
      </c>
      <c r="T392" s="83" t="n">
        <v>0</v>
      </c>
      <c r="U392" s="80" t="n">
        <f aca="false">SUM(S392:T392)</f>
        <v>88000</v>
      </c>
      <c r="V392" s="84" t="s">
        <v>7</v>
      </c>
      <c r="W392" s="80" t="str">
        <f aca="true">
IF(D392="폐업","폐업",
IF(V392="면제","면제",
IF(AND(V392="정상",COUNTIFS(OFFSET(Y392,0,COUNTA(Y392:AV392)-1,1,-4),"미납")&gt;=3),"장기미납",
IF(AND(V392="정상",OFFSET(Y392,0,COUNTA(Y392:AV392)-1)&gt;=U392),"정상",
IF(AND(V392="정상",OFFSET(Y392,0,COUNTA(Y392:AV392)-1)=0),"정상",
"계약서 미작성")))))</f>
        <v>면제</v>
      </c>
      <c r="X392" s="81" t="str">
        <f aca="true">
IF(D392="폐업","폐업",
IF(AND(V392="정상",OFFSET(Y392,0,COUNTA(Y392:AV392)-1)="미납"),"미납",
IF(AND(V392="정상",OFFSET(Y392,0,COUNTA(Y392:AV392)-1)=0),"납부 시작 전",
IF(AND(V392="정상",OFFSET(Y392,0,COUNTA(Y392:AV392)-1)&gt;=U392),"정상",
IF(AND(V392="면제",OFFSET(Y392,0,COUNTA(Y392:AV392)-1)="면제"),"면제",
IF(AND(V392="면제",OFFSET(Y392,0,COUNTA(Y392:AV392)-1)=0),"면제",
"확인요청"))))))</f>
        <v>면제</v>
      </c>
      <c r="Y392" s="94" t="s">
        <v>7</v>
      </c>
      <c r="Z392" s="95" t="s">
        <v>7</v>
      </c>
      <c r="AA392" s="95" t="s">
        <v>7</v>
      </c>
      <c r="AB392" s="95" t="s">
        <v>7</v>
      </c>
      <c r="AC392" s="95" t="s">
        <v>7</v>
      </c>
      <c r="AD392" s="95" t="s">
        <v>7</v>
      </c>
      <c r="AE392" s="95" t="s">
        <v>7</v>
      </c>
      <c r="AF392" s="95" t="s">
        <v>7</v>
      </c>
      <c r="AG392" s="95" t="s">
        <v>7</v>
      </c>
      <c r="AH392" s="95" t="s">
        <v>7</v>
      </c>
      <c r="AI392" s="95" t="s">
        <v>7</v>
      </c>
      <c r="AJ392" s="96" t="s">
        <v>7</v>
      </c>
      <c r="AK392" s="97" t="s">
        <v>7</v>
      </c>
      <c r="AL392" s="95" t="s">
        <v>7</v>
      </c>
      <c r="AM392" s="90"/>
      <c r="AN392" s="90"/>
      <c r="AO392" s="90"/>
      <c r="AP392" s="90"/>
      <c r="AQ392" s="90"/>
      <c r="AR392" s="90"/>
      <c r="AS392" s="90"/>
      <c r="AT392" s="90"/>
      <c r="AU392" s="90"/>
      <c r="AV392" s="91"/>
      <c r="AX392" s="92"/>
    </row>
    <row r="393" customFormat="false" ht="15.65" hidden="false" customHeight="false" outlineLevel="0" collapsed="false">
      <c r="C393" s="72" t="n">
        <f aca="false">COUNTIFS($D$6:D393,"&lt;&gt;"&amp;"")</f>
        <v>388</v>
      </c>
      <c r="D393" s="73" t="s">
        <v>12</v>
      </c>
      <c r="E393" s="76" t="str">
        <f aca="false">
IF($D393="정상",INDEX(임대자산!$D$3:$R$3000,MATCH($F393,임대자산!$I$3:$I$3000,0),MATCH(E$3,임대자산!$D$3:$R$3,0)),
IF($D393="폐업",INDEX(폐업정보!$D$3:$R$3000,MATCH($F393,폐업정보!$I$3:$I$3000,0),MATCH(E$3,폐업정보!$D$3:$R$3,0)),
"Error"))</f>
        <v>전라</v>
      </c>
      <c r="F39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B0388</v>
      </c>
      <c r="G393" s="76" t="str">
        <f aca="false">F393&amp;RANDBETWEEN(0,10)</f>
        <v>B03882</v>
      </c>
      <c r="H393" s="75" t="n">
        <f aca="false">
IF($D393="정상",INDEX(임대자산!$D$3:$R$3000,MATCH($F393,임대자산!$I$3:$I$3000,0),MATCH(H$4,임대자산!$D$3:$R$3,0)),
IF($D393="폐업",INDEX(폐업정보!$D$3:$R$3000,MATCH($F393,폐업정보!$I$3:$I$3000,0),MATCH(H$4,폐업정보!$D$3:$R$3,0)),
"Error"))</f>
        <v>45485</v>
      </c>
      <c r="I393" s="75" t="str">
        <f aca="false">
IF($D393="정상",INDEX(임대자산!$D$3:$R$3000,MATCH($F393,임대자산!$I$3:$I$3000,0),MATCH(I$4,임대자산!$D$3:$R$3,0)),
IF($D393="폐업",INDEX(폐업정보!$D$3:$R$3000,MATCH($F393,폐업정보!$I$3:$I$3000,0),MATCH(I$4,폐업정보!$D$3:$R$3,0)),
"Error"))</f>
        <v>A0388</v>
      </c>
      <c r="J393" s="75" t="str">
        <f aca="false">
IF($D393="정상",INDEX(임대자산!$D$3:$R$3000,MATCH($F393,임대자산!$I$3:$I$3000,0),MATCH(J$4,임대자산!$D$3:$R$3,0)),
IF($D393="폐업",INDEX(폐업정보!$D$3:$R$3000,MATCH($F393,폐업정보!$I$3:$I$3000,0),MATCH(J$4,폐업정보!$D$3:$R$3,0)),
"Error"))</f>
        <v>8632300000</v>
      </c>
      <c r="K393" s="75" t="str">
        <f aca="false">
IF($D393="정상",INDEX(임대자산!$D$3:$R$3000,MATCH($F393,임대자산!$I$3:$I$3000,0),MATCH(K$4,임대자산!$D$3:$R$3,0)),
IF($D393="폐업",INDEX(폐업정보!$D$3:$R$3000,MATCH($F393,폐업정보!$I$3:$I$3000,0),MATCH(K$4,폐업정보!$D$3:$R$3,0)),
"Error"))</f>
        <v>C0388</v>
      </c>
      <c r="L393" s="75" t="str">
        <f aca="false">
IF($D393="정상",INDEX(임대자산!$D$3:$R$3000,MATCH($F393,임대자산!$I$3:$I$3000,0),MATCH(L$4,임대자산!$D$3:$R$3,0)),
IF($D393="폐업",INDEX(폐업정보!$D$3:$R$3000,MATCH($F393,폐업정보!$I$3:$I$3000,0),MATCH(L$4,폐업정보!$D$3:$R$3,0)),
"Error"))</f>
        <v>D0388</v>
      </c>
      <c r="M393" s="76" t="s">
        <v>96</v>
      </c>
      <c r="N393" s="77"/>
      <c r="O393" s="78" t="s">
        <v>97</v>
      </c>
      <c r="P393" s="79" t="n">
        <f aca="false">COUNTIFS(임대자산!$I:$I,가맹점정보!F393,임대자산!$N:$N,가맹점정보!P$4)</f>
        <v>0</v>
      </c>
      <c r="Q393" s="80" t="n">
        <f aca="false">COUNTIFS(임대자산!$I:$I,가맹점정보!F393,임대자산!$N:$N,가맹점정보!Q$4)</f>
        <v>0</v>
      </c>
      <c r="R393" s="81" t="n">
        <f aca="false">COUNTIFS(임대자산!$I:$I,가맹점정보!F393,임대자산!$N:$N,가맹점정보!R$4)</f>
        <v>1</v>
      </c>
      <c r="S393" s="82" t="n">
        <v>88000</v>
      </c>
      <c r="T393" s="83" t="n">
        <v>0</v>
      </c>
      <c r="U393" s="80" t="n">
        <f aca="false">SUM(S393:T393)</f>
        <v>88000</v>
      </c>
      <c r="V393" s="84" t="s">
        <v>7</v>
      </c>
      <c r="W393" s="80" t="str">
        <f aca="true">
IF(D393="폐업","폐업",
IF(V393="면제","면제",
IF(AND(V393="정상",COUNTIFS(OFFSET(Y393,0,COUNTA(Y393:AV393)-1,1,-4),"미납")&gt;=3),"장기미납",
IF(AND(V393="정상",OFFSET(Y393,0,COUNTA(Y393:AV393)-1)&gt;=U393),"정상",
IF(AND(V393="정상",OFFSET(Y393,0,COUNTA(Y393:AV393)-1)=0),"정상",
"계약서 미작성")))))</f>
        <v>면제</v>
      </c>
      <c r="X393" s="81" t="str">
        <f aca="true">
IF(D393="폐업","폐업",
IF(AND(V393="정상",OFFSET(Y393,0,COUNTA(Y393:AV393)-1)="미납"),"미납",
IF(AND(V393="정상",OFFSET(Y393,0,COUNTA(Y393:AV393)-1)=0),"납부 시작 전",
IF(AND(V393="정상",OFFSET(Y393,0,COUNTA(Y393:AV393)-1)&gt;=U393),"정상",
IF(AND(V393="면제",OFFSET(Y393,0,COUNTA(Y393:AV393)-1)="면제"),"면제",
IF(AND(V393="면제",OFFSET(Y393,0,COUNTA(Y393:AV393)-1)=0),"면제",
"확인요청"))))))</f>
        <v>면제</v>
      </c>
      <c r="Y393" s="94" t="s">
        <v>7</v>
      </c>
      <c r="Z393" s="95" t="s">
        <v>7</v>
      </c>
      <c r="AA393" s="95" t="s">
        <v>7</v>
      </c>
      <c r="AB393" s="95" t="s">
        <v>7</v>
      </c>
      <c r="AC393" s="95" t="s">
        <v>7</v>
      </c>
      <c r="AD393" s="95" t="s">
        <v>7</v>
      </c>
      <c r="AE393" s="95" t="s">
        <v>7</v>
      </c>
      <c r="AF393" s="95" t="s">
        <v>7</v>
      </c>
      <c r="AG393" s="95" t="s">
        <v>7</v>
      </c>
      <c r="AH393" s="95" t="s">
        <v>7</v>
      </c>
      <c r="AI393" s="95" t="s">
        <v>7</v>
      </c>
      <c r="AJ393" s="96" t="s">
        <v>7</v>
      </c>
      <c r="AK393" s="97" t="s">
        <v>7</v>
      </c>
      <c r="AL393" s="95" t="s">
        <v>7</v>
      </c>
      <c r="AM393" s="90"/>
      <c r="AN393" s="90"/>
      <c r="AO393" s="90"/>
      <c r="AP393" s="90"/>
      <c r="AQ393" s="90"/>
      <c r="AR393" s="90"/>
      <c r="AS393" s="90"/>
      <c r="AT393" s="90"/>
      <c r="AU393" s="90"/>
      <c r="AV393" s="91"/>
      <c r="AX393" s="92"/>
    </row>
    <row r="394" customFormat="false" ht="15.65" hidden="false" customHeight="false" outlineLevel="0" collapsed="false">
      <c r="C394" s="72" t="n">
        <f aca="false">COUNTIFS($D$6:D394,"&lt;&gt;"&amp;"")</f>
        <v>389</v>
      </c>
      <c r="D394" s="73" t="s">
        <v>12</v>
      </c>
      <c r="E394" s="76" t="str">
        <f aca="false">
IF($D394="정상",INDEX(임대자산!$D$3:$R$3000,MATCH($F394,임대자산!$I$3:$I$3000,0),MATCH(E$3,임대자산!$D$3:$R$3,0)),
IF($D394="폐업",INDEX(폐업정보!$D$3:$R$3000,MATCH($F394,폐업정보!$I$3:$I$3000,0),MATCH(E$3,폐업정보!$D$3:$R$3,0)),
"Error"))</f>
        <v>전라</v>
      </c>
      <c r="F39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B0389</v>
      </c>
      <c r="G394" s="76" t="str">
        <f aca="false">F394&amp;RANDBETWEEN(0,10)</f>
        <v>B03899</v>
      </c>
      <c r="H394" s="75" t="n">
        <f aca="false">
IF($D394="정상",INDEX(임대자산!$D$3:$R$3000,MATCH($F394,임대자산!$I$3:$I$3000,0),MATCH(H$4,임대자산!$D$3:$R$3,0)),
IF($D394="폐업",INDEX(폐업정보!$D$3:$R$3000,MATCH($F394,폐업정보!$I$3:$I$3000,0),MATCH(H$4,폐업정보!$D$3:$R$3,0)),
"Error"))</f>
        <v>45932</v>
      </c>
      <c r="I394" s="75" t="str">
        <f aca="false">
IF($D394="정상",INDEX(임대자산!$D$3:$R$3000,MATCH($F394,임대자산!$I$3:$I$3000,0),MATCH(I$4,임대자산!$D$3:$R$3,0)),
IF($D394="폐업",INDEX(폐업정보!$D$3:$R$3000,MATCH($F394,폐업정보!$I$3:$I$3000,0),MATCH(I$4,폐업정보!$D$3:$R$3,0)),
"Error"))</f>
        <v>A0389</v>
      </c>
      <c r="J394" s="75" t="str">
        <f aca="false">
IF($D394="정상",INDEX(임대자산!$D$3:$R$3000,MATCH($F394,임대자산!$I$3:$I$3000,0),MATCH(J$4,임대자산!$D$3:$R$3,0)),
IF($D394="폐업",INDEX(폐업정보!$D$3:$R$3000,MATCH($F394,폐업정보!$I$3:$I$3000,0),MATCH(J$4,폐업정보!$D$3:$R$3,0)),
"Error"))</f>
        <v>8918400000</v>
      </c>
      <c r="K394" s="75" t="str">
        <f aca="false">
IF($D394="정상",INDEX(임대자산!$D$3:$R$3000,MATCH($F394,임대자산!$I$3:$I$3000,0),MATCH(K$4,임대자산!$D$3:$R$3,0)),
IF($D394="폐업",INDEX(폐업정보!$D$3:$R$3000,MATCH($F394,폐업정보!$I$3:$I$3000,0),MATCH(K$4,폐업정보!$D$3:$R$3,0)),
"Error"))</f>
        <v>C0389</v>
      </c>
      <c r="L394" s="75" t="str">
        <f aca="false">
IF($D394="정상",INDEX(임대자산!$D$3:$R$3000,MATCH($F394,임대자산!$I$3:$I$3000,0),MATCH(L$4,임대자산!$D$3:$R$3,0)),
IF($D394="폐업",INDEX(폐업정보!$D$3:$R$3000,MATCH($F394,폐업정보!$I$3:$I$3000,0),MATCH(L$4,폐업정보!$D$3:$R$3,0)),
"Error"))</f>
        <v>D0389</v>
      </c>
      <c r="M394" s="76" t="s">
        <v>96</v>
      </c>
      <c r="N394" s="77"/>
      <c r="O394" s="78" t="s">
        <v>97</v>
      </c>
      <c r="P394" s="79" t="n">
        <f aca="false">COUNTIFS(임대자산!$I:$I,가맹점정보!F394,임대자산!$N:$N,가맹점정보!P$4)</f>
        <v>0</v>
      </c>
      <c r="Q394" s="80" t="n">
        <f aca="false">COUNTIFS(임대자산!$I:$I,가맹점정보!F394,임대자산!$N:$N,가맹점정보!Q$4)</f>
        <v>0</v>
      </c>
      <c r="R394" s="81" t="n">
        <f aca="false">COUNTIFS(임대자산!$I:$I,가맹점정보!F394,임대자산!$N:$N,가맹점정보!R$4)</f>
        <v>1</v>
      </c>
      <c r="S394" s="82" t="n">
        <v>55000</v>
      </c>
      <c r="T394" s="83" t="n">
        <v>0</v>
      </c>
      <c r="U394" s="80" t="n">
        <f aca="false">SUM(S394:T394)</f>
        <v>55000</v>
      </c>
      <c r="V394" s="84" t="s">
        <v>7</v>
      </c>
      <c r="W394" s="80" t="str">
        <f aca="true">
IF(D394="폐업","폐업",
IF(V394="면제","면제",
IF(AND(V394="정상",COUNTIFS(OFFSET(Y394,0,COUNTA(Y394:AV394)-1,1,-4),"미납")&gt;=3),"장기미납",
IF(AND(V394="정상",OFFSET(Y394,0,COUNTA(Y394:AV394)-1)&gt;=U394),"정상",
IF(AND(V394="정상",OFFSET(Y394,0,COUNTA(Y394:AV394)-1)=0),"정상",
"계약서 미작성")))))</f>
        <v>면제</v>
      </c>
      <c r="X394" s="81" t="str">
        <f aca="true">
IF(D394="폐업","폐업",
IF(AND(V394="정상",OFFSET(Y394,0,COUNTA(Y394:AV394)-1)="미납"),"미납",
IF(AND(V394="정상",OFFSET(Y394,0,COUNTA(Y394:AV394)-1)=0),"납부 시작 전",
IF(AND(V394="정상",OFFSET(Y394,0,COUNTA(Y394:AV394)-1)&gt;=U394),"정상",
IF(AND(V394="면제",OFFSET(Y394,0,COUNTA(Y394:AV394)-1)="면제"),"면제",
IF(AND(V394="면제",OFFSET(Y394,0,COUNTA(Y394:AV394)-1)=0),"면제",
"확인요청"))))))</f>
        <v>면제</v>
      </c>
      <c r="Y394" s="94" t="s">
        <v>7</v>
      </c>
      <c r="Z394" s="95" t="s">
        <v>7</v>
      </c>
      <c r="AA394" s="95" t="s">
        <v>7</v>
      </c>
      <c r="AB394" s="95" t="s">
        <v>7</v>
      </c>
      <c r="AC394" s="95" t="s">
        <v>7</v>
      </c>
      <c r="AD394" s="95" t="s">
        <v>7</v>
      </c>
      <c r="AE394" s="95" t="s">
        <v>7</v>
      </c>
      <c r="AF394" s="95" t="s">
        <v>7</v>
      </c>
      <c r="AG394" s="95" t="s">
        <v>7</v>
      </c>
      <c r="AH394" s="95" t="s">
        <v>7</v>
      </c>
      <c r="AI394" s="95" t="s">
        <v>7</v>
      </c>
      <c r="AJ394" s="96" t="s">
        <v>7</v>
      </c>
      <c r="AK394" s="97" t="s">
        <v>7</v>
      </c>
      <c r="AL394" s="95" t="s">
        <v>7</v>
      </c>
      <c r="AM394" s="90"/>
      <c r="AN394" s="90"/>
      <c r="AO394" s="90"/>
      <c r="AP394" s="90"/>
      <c r="AQ394" s="90"/>
      <c r="AR394" s="90"/>
      <c r="AS394" s="90"/>
      <c r="AT394" s="90"/>
      <c r="AU394" s="90"/>
      <c r="AV394" s="91"/>
      <c r="AX394" s="92"/>
    </row>
    <row r="395" customFormat="false" ht="15.65" hidden="false" customHeight="false" outlineLevel="0" collapsed="false">
      <c r="C395" s="72" t="n">
        <f aca="false">COUNTIFS($D$6:D395,"&lt;&gt;"&amp;"")</f>
        <v>390</v>
      </c>
      <c r="D395" s="73" t="s">
        <v>12</v>
      </c>
      <c r="E395" s="76" t="str">
        <f aca="false">
IF($D395="정상",INDEX(임대자산!$D$3:$R$3000,MATCH($F395,임대자산!$I$3:$I$3000,0),MATCH(E$3,임대자산!$D$3:$R$3,0)),
IF($D395="폐업",INDEX(폐업정보!$D$3:$R$3000,MATCH($F395,폐업정보!$I$3:$I$3000,0),MATCH(E$3,폐업정보!$D$3:$R$3,0)),
"Error"))</f>
        <v>전라</v>
      </c>
      <c r="F39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B0390</v>
      </c>
      <c r="G395" s="76" t="str">
        <f aca="false">F395&amp;RANDBETWEEN(0,10)</f>
        <v>B03903</v>
      </c>
      <c r="H395" s="75" t="n">
        <f aca="false">
IF($D395="정상",INDEX(임대자산!$D$3:$R$3000,MATCH($F395,임대자산!$I$3:$I$3000,0),MATCH(H$4,임대자산!$D$3:$R$3,0)),
IF($D395="폐업",INDEX(폐업정보!$D$3:$R$3000,MATCH($F395,폐업정보!$I$3:$I$3000,0),MATCH(H$4,폐업정보!$D$3:$R$3,0)),
"Error"))</f>
        <v>45471</v>
      </c>
      <c r="I395" s="75" t="str">
        <f aca="false">
IF($D395="정상",INDEX(임대자산!$D$3:$R$3000,MATCH($F395,임대자산!$I$3:$I$3000,0),MATCH(I$4,임대자산!$D$3:$R$3,0)),
IF($D395="폐업",INDEX(폐업정보!$D$3:$R$3000,MATCH($F395,폐업정보!$I$3:$I$3000,0),MATCH(I$4,폐업정보!$D$3:$R$3,0)),
"Error"))</f>
        <v>A0390</v>
      </c>
      <c r="J395" s="75" t="str">
        <f aca="false">
IF($D395="정상",INDEX(임대자산!$D$3:$R$3000,MATCH($F395,임대자산!$I$3:$I$3000,0),MATCH(J$4,임대자산!$D$3:$R$3,0)),
IF($D395="폐업",INDEX(폐업정보!$D$3:$R$3000,MATCH($F395,폐업정보!$I$3:$I$3000,0),MATCH(J$4,폐업정보!$D$3:$R$3,0)),
"Error"))</f>
        <v>9013600000</v>
      </c>
      <c r="K395" s="75" t="str">
        <f aca="false">
IF($D395="정상",INDEX(임대자산!$D$3:$R$3000,MATCH($F395,임대자산!$I$3:$I$3000,0),MATCH(K$4,임대자산!$D$3:$R$3,0)),
IF($D395="폐업",INDEX(폐업정보!$D$3:$R$3000,MATCH($F395,폐업정보!$I$3:$I$3000,0),MATCH(K$4,폐업정보!$D$3:$R$3,0)),
"Error"))</f>
        <v>C0390</v>
      </c>
      <c r="L395" s="75" t="str">
        <f aca="false">
IF($D395="정상",INDEX(임대자산!$D$3:$R$3000,MATCH($F395,임대자산!$I$3:$I$3000,0),MATCH(L$4,임대자산!$D$3:$R$3,0)),
IF($D395="폐업",INDEX(폐업정보!$D$3:$R$3000,MATCH($F395,폐업정보!$I$3:$I$3000,0),MATCH(L$4,폐업정보!$D$3:$R$3,0)),
"Error"))</f>
        <v>D0390</v>
      </c>
      <c r="M395" s="76" t="s">
        <v>96</v>
      </c>
      <c r="N395" s="77"/>
      <c r="O395" s="78" t="s">
        <v>97</v>
      </c>
      <c r="P395" s="79" t="n">
        <f aca="false">COUNTIFS(임대자산!$I:$I,가맹점정보!F395,임대자산!$N:$N,가맹점정보!P$4)</f>
        <v>0</v>
      </c>
      <c r="Q395" s="80" t="n">
        <f aca="false">COUNTIFS(임대자산!$I:$I,가맹점정보!F395,임대자산!$N:$N,가맹점정보!Q$4)</f>
        <v>0</v>
      </c>
      <c r="R395" s="81" t="n">
        <f aca="false">COUNTIFS(임대자산!$I:$I,가맹점정보!F395,임대자산!$N:$N,가맹점정보!R$4)</f>
        <v>1</v>
      </c>
      <c r="S395" s="82" t="n">
        <v>55000</v>
      </c>
      <c r="T395" s="83" t="n">
        <v>0</v>
      </c>
      <c r="U395" s="80" t="n">
        <f aca="false">SUM(S395:T395)</f>
        <v>55000</v>
      </c>
      <c r="V395" s="84" t="s">
        <v>12</v>
      </c>
      <c r="W395" s="80" t="e">
        <f aca="true">
IF(D395="폐업","폐업",
IF(V395="면제","면제",
IF(AND(V395="정상",COUNTIFS(OFFSET(Y395,0,COUNTA(Y395:AV395)-1,1,-4),"미납")&gt;=3),"장기미납",
IF(AND(V395="정상",OFFSET(Y395,0,COUNTA(Y395:AV395)-1)&gt;=U395),"정상",
IF(AND(V395="정상",OFFSET(Y395,0,COUNTA(Y395:AV395)-1)=0),"정상",
"계약서 미작성")))))</f>
        <v>#VALUE!</v>
      </c>
      <c r="X395" s="81" t="str">
        <f aca="true">
IF(D395="폐업","폐업",
IF(AND(V395="정상",OFFSET(Y395,0,COUNTA(Y395:AV395)-1)="미납"),"미납",
IF(AND(V395="정상",OFFSET(Y395,0,COUNTA(Y395:AV395)-1)=0),"납부 시작 전",
IF(AND(V395="정상",OFFSET(Y395,0,COUNTA(Y395:AV395)-1)&gt;=U395),"정상",
IF(AND(V395="면제",OFFSET(Y395,0,COUNTA(Y395:AV395)-1)="면제"),"면제",
IF(AND(V395="면제",OFFSET(Y395,0,COUNTA(Y395:AV395)-1)=0),"면제",
"확인요청"))))))</f>
        <v>정상</v>
      </c>
      <c r="Y395" s="93" t="n">
        <v>55000</v>
      </c>
      <c r="Z395" s="90" t="n">
        <v>55000</v>
      </c>
      <c r="AA395" s="90" t="n">
        <v>55000</v>
      </c>
      <c r="AB395" s="90" t="n">
        <v>55000</v>
      </c>
      <c r="AC395" s="90" t="n">
        <v>55000</v>
      </c>
      <c r="AD395" s="90" t="n">
        <v>55000</v>
      </c>
      <c r="AE395" s="90" t="n">
        <v>55000</v>
      </c>
      <c r="AF395" s="90" t="n">
        <v>55000</v>
      </c>
      <c r="AG395" s="90" t="n">
        <v>55000</v>
      </c>
      <c r="AH395" s="90" t="n">
        <v>55000</v>
      </c>
      <c r="AI395" s="90" t="n">
        <v>55000</v>
      </c>
      <c r="AJ395" s="91" t="n">
        <v>55000</v>
      </c>
      <c r="AK395" s="89" t="n">
        <v>55000</v>
      </c>
      <c r="AL395" s="90" t="n">
        <v>55000</v>
      </c>
      <c r="AM395" s="90"/>
      <c r="AN395" s="90"/>
      <c r="AO395" s="90"/>
      <c r="AP395" s="90"/>
      <c r="AQ395" s="90"/>
      <c r="AR395" s="90"/>
      <c r="AS395" s="90"/>
      <c r="AT395" s="90"/>
      <c r="AU395" s="90"/>
      <c r="AV395" s="91"/>
      <c r="AX395" s="92"/>
    </row>
    <row r="396" customFormat="false" ht="15.65" hidden="false" customHeight="false" outlineLevel="0" collapsed="false">
      <c r="C396" s="72" t="n">
        <f aca="false">COUNTIFS($D$6:D396,"&lt;&gt;"&amp;"")</f>
        <v>391</v>
      </c>
      <c r="D396" s="73" t="s">
        <v>5</v>
      </c>
      <c r="E396" s="76" t="str">
        <f aca="false">
IF($D396="정상",INDEX(임대자산!$D$3:$R$3000,MATCH($F396,임대자산!$I$3:$I$3000,0),MATCH(E$3,임대자산!$D$3:$R$3,0)),
IF($D396="폐업",INDEX(폐업정보!$D$3:$R$3000,MATCH($F396,폐업정보!$I$3:$I$3000,0),MATCH(E$3,폐업정보!$D$3:$R$3,0)),
"Error"))</f>
        <v>전라</v>
      </c>
      <c r="F39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B0391</v>
      </c>
      <c r="G396" s="76" t="str">
        <f aca="false">F396&amp;RANDBETWEEN(0,10)</f>
        <v>B03915</v>
      </c>
      <c r="H396" s="75" t="n">
        <f aca="false">
IF($D396="정상",INDEX(임대자산!$D$3:$R$3000,MATCH($F396,임대자산!$I$3:$I$3000,0),MATCH(H$4,임대자산!$D$3:$R$3,0)),
IF($D396="폐업",INDEX(폐업정보!$D$3:$R$3000,MATCH($F396,폐업정보!$I$3:$I$3000,0),MATCH(H$4,폐업정보!$D$3:$R$3,0)),
"Error"))</f>
        <v>45471</v>
      </c>
      <c r="I396" s="75" t="str">
        <f aca="false">
IF($D396="정상",INDEX(임대자산!$D$3:$R$3000,MATCH($F396,임대자산!$I$3:$I$3000,0),MATCH(I$4,임대자산!$D$3:$R$3,0)),
IF($D396="폐업",INDEX(폐업정보!$D$3:$R$3000,MATCH($F396,폐업정보!$I$3:$I$3000,0),MATCH(I$4,폐업정보!$D$3:$R$3,0)),
"Error"))</f>
        <v>A0391</v>
      </c>
      <c r="J396" s="75" t="str">
        <f aca="false">
IF($D396="정상",INDEX(임대자산!$D$3:$R$3000,MATCH($F396,임대자산!$I$3:$I$3000,0),MATCH(J$4,임대자산!$D$3:$R$3,0)),
IF($D396="폐업",INDEX(폐업정보!$D$3:$R$3000,MATCH($F396,폐업정보!$I$3:$I$3000,0),MATCH(J$4,폐업정보!$D$3:$R$3,0)),
"Error"))</f>
        <v>9839000000</v>
      </c>
      <c r="K396" s="75" t="str">
        <f aca="false">
IF($D396="정상",INDEX(임대자산!$D$3:$R$3000,MATCH($F396,임대자산!$I$3:$I$3000,0),MATCH(K$4,임대자산!$D$3:$R$3,0)),
IF($D396="폐업",INDEX(폐업정보!$D$3:$R$3000,MATCH($F396,폐업정보!$I$3:$I$3000,0),MATCH(K$4,폐업정보!$D$3:$R$3,0)),
"Error"))</f>
        <v>C0391</v>
      </c>
      <c r="L396" s="75" t="str">
        <f aca="false">
IF($D396="정상",INDEX(임대자산!$D$3:$R$3000,MATCH($F396,임대자산!$I$3:$I$3000,0),MATCH(L$4,임대자산!$D$3:$R$3,0)),
IF($D396="폐업",INDEX(폐업정보!$D$3:$R$3000,MATCH($F396,폐업정보!$I$3:$I$3000,0),MATCH(L$4,폐업정보!$D$3:$R$3,0)),
"Error"))</f>
        <v>D0391</v>
      </c>
      <c r="M396" s="76" t="s">
        <v>96</v>
      </c>
      <c r="N396" s="77"/>
      <c r="O396" s="78" t="s">
        <v>97</v>
      </c>
      <c r="P396" s="79" t="n">
        <f aca="false">COUNTIFS(임대자산!$I:$I,가맹점정보!F396,임대자산!$N:$N,가맹점정보!P$4)</f>
        <v>0</v>
      </c>
      <c r="Q396" s="80" t="n">
        <f aca="false">COUNTIFS(임대자산!$I:$I,가맹점정보!F396,임대자산!$N:$N,가맹점정보!Q$4)</f>
        <v>0</v>
      </c>
      <c r="R396" s="81" t="n">
        <f aca="false">COUNTIFS(임대자산!$I:$I,가맹점정보!F396,임대자산!$N:$N,가맹점정보!R$4)</f>
        <v>0</v>
      </c>
      <c r="S396" s="82" t="n">
        <v>55000</v>
      </c>
      <c r="T396" s="83" t="n">
        <v>0</v>
      </c>
      <c r="U396" s="80" t="n">
        <f aca="false">SUM(S396:T396)</f>
        <v>55000</v>
      </c>
      <c r="V396" s="84" t="s">
        <v>7</v>
      </c>
      <c r="W396" s="80" t="str">
        <f aca="true">
IF(D396="폐업","폐업",
IF(V396="면제","면제",
IF(AND(V396="정상",COUNTIFS(OFFSET(Y396,0,COUNTA(Y396:AV396)-1,1,-4),"미납")&gt;=3),"장기미납",
IF(AND(V396="정상",OFFSET(Y396,0,COUNTA(Y396:AV396)-1)&gt;=U396),"정상",
IF(AND(V396="정상",OFFSET(Y396,0,COUNTA(Y396:AV396)-1)=0),"정상",
"계약서 미작성")))))</f>
        <v>폐업</v>
      </c>
      <c r="X396" s="81" t="str">
        <f aca="true">
IF(D396="폐업","폐업",
IF(AND(V396="정상",OFFSET(Y396,0,COUNTA(Y396:AV396)-1)="미납"),"미납",
IF(AND(V396="정상",OFFSET(Y396,0,COUNTA(Y396:AV396)-1)=0),"납부 시작 전",
IF(AND(V396="정상",OFFSET(Y396,0,COUNTA(Y396:AV396)-1)&gt;=U396),"정상",
IF(AND(V396="면제",OFFSET(Y396,0,COUNTA(Y396:AV396)-1)="면제"),"면제",
IF(AND(V396="면제",OFFSET(Y396,0,COUNTA(Y396:AV396)-1)=0),"면제",
"확인요청"))))))</f>
        <v>폐업</v>
      </c>
      <c r="Y396" s="94" t="s">
        <v>7</v>
      </c>
      <c r="Z396" s="95" t="s">
        <v>7</v>
      </c>
      <c r="AA396" s="95" t="s">
        <v>7</v>
      </c>
      <c r="AB396" s="95" t="s">
        <v>7</v>
      </c>
      <c r="AC396" s="95" t="s">
        <v>7</v>
      </c>
      <c r="AD396" s="95" t="s">
        <v>7</v>
      </c>
      <c r="AE396" s="95" t="s">
        <v>7</v>
      </c>
      <c r="AF396" s="95" t="s">
        <v>7</v>
      </c>
      <c r="AG396" s="95" t="s">
        <v>7</v>
      </c>
      <c r="AH396" s="95" t="s">
        <v>7</v>
      </c>
      <c r="AI396" s="95" t="s">
        <v>7</v>
      </c>
      <c r="AJ396" s="96" t="s">
        <v>7</v>
      </c>
      <c r="AK396" s="97" t="s">
        <v>7</v>
      </c>
      <c r="AL396" s="95" t="s">
        <v>7</v>
      </c>
      <c r="AM396" s="90"/>
      <c r="AN396" s="90"/>
      <c r="AO396" s="90"/>
      <c r="AP396" s="90"/>
      <c r="AQ396" s="90"/>
      <c r="AR396" s="90"/>
      <c r="AS396" s="90"/>
      <c r="AT396" s="90"/>
      <c r="AU396" s="90"/>
      <c r="AV396" s="91"/>
      <c r="AX396" s="92"/>
    </row>
    <row r="397" customFormat="false" ht="15.65" hidden="false" customHeight="false" outlineLevel="0" collapsed="false">
      <c r="C397" s="72" t="n">
        <f aca="false">COUNTIFS($D$6:D397,"&lt;&gt;"&amp;"")</f>
        <v>392</v>
      </c>
      <c r="D397" s="73" t="s">
        <v>12</v>
      </c>
      <c r="E397" s="76" t="str">
        <f aca="false">
IF($D397="정상",INDEX(임대자산!$D$3:$R$3000,MATCH($F397,임대자산!$I$3:$I$3000,0),MATCH(E$3,임대자산!$D$3:$R$3,0)),
IF($D397="폐업",INDEX(폐업정보!$D$3:$R$3000,MATCH($F397,폐업정보!$I$3:$I$3000,0),MATCH(E$3,폐업정보!$D$3:$R$3,0)),
"Error"))</f>
        <v>경기</v>
      </c>
      <c r="F39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B0392</v>
      </c>
      <c r="G397" s="76" t="str">
        <f aca="false">F397&amp;RANDBETWEEN(0,10)</f>
        <v>B039210</v>
      </c>
      <c r="H397" s="75" t="n">
        <f aca="false">
IF($D397="정상",INDEX(임대자산!$D$3:$R$3000,MATCH($F397,임대자산!$I$3:$I$3000,0),MATCH(H$4,임대자산!$D$3:$R$3,0)),
IF($D397="폐업",INDEX(폐업정보!$D$3:$R$3000,MATCH($F397,폐업정보!$I$3:$I$3000,0),MATCH(H$4,폐업정보!$D$3:$R$3,0)),
"Error"))</f>
        <v>46022</v>
      </c>
      <c r="I397" s="75" t="str">
        <f aca="false">
IF($D397="정상",INDEX(임대자산!$D$3:$R$3000,MATCH($F397,임대자산!$I$3:$I$3000,0),MATCH(I$4,임대자산!$D$3:$R$3,0)),
IF($D397="폐업",INDEX(폐업정보!$D$3:$R$3000,MATCH($F397,폐업정보!$I$3:$I$3000,0),MATCH(I$4,폐업정보!$D$3:$R$3,0)),
"Error"))</f>
        <v>A0392</v>
      </c>
      <c r="J397" s="75" t="str">
        <f aca="false">
IF($D397="정상",INDEX(임대자산!$D$3:$R$3000,MATCH($F397,임대자산!$I$3:$I$3000,0),MATCH(J$4,임대자산!$D$3:$R$3,0)),
IF($D397="폐업",INDEX(폐업정보!$D$3:$R$3000,MATCH($F397,폐업정보!$I$3:$I$3000,0),MATCH(J$4,폐업정보!$D$3:$R$3,0)),
"Error"))</f>
        <v>7161600000</v>
      </c>
      <c r="K397" s="75" t="str">
        <f aca="false">
IF($D397="정상",INDEX(임대자산!$D$3:$R$3000,MATCH($F397,임대자산!$I$3:$I$3000,0),MATCH(K$4,임대자산!$D$3:$R$3,0)),
IF($D397="폐업",INDEX(폐업정보!$D$3:$R$3000,MATCH($F397,폐업정보!$I$3:$I$3000,0),MATCH(K$4,폐업정보!$D$3:$R$3,0)),
"Error"))</f>
        <v>C0392</v>
      </c>
      <c r="L397" s="75" t="str">
        <f aca="false">
IF($D397="정상",INDEX(임대자산!$D$3:$R$3000,MATCH($F397,임대자산!$I$3:$I$3000,0),MATCH(L$4,임대자산!$D$3:$R$3,0)),
IF($D397="폐업",INDEX(폐업정보!$D$3:$R$3000,MATCH($F397,폐업정보!$I$3:$I$3000,0),MATCH(L$4,폐업정보!$D$3:$R$3,0)),
"Error"))</f>
        <v>D0392</v>
      </c>
      <c r="M397" s="76" t="s">
        <v>96</v>
      </c>
      <c r="N397" s="77"/>
      <c r="O397" s="78" t="s">
        <v>97</v>
      </c>
      <c r="P397" s="79" t="n">
        <f aca="false">COUNTIFS(임대자산!$I:$I,가맹점정보!F397,임대자산!$N:$N,가맹점정보!P$4)</f>
        <v>0</v>
      </c>
      <c r="Q397" s="80" t="n">
        <f aca="false">COUNTIFS(임대자산!$I:$I,가맹점정보!F397,임대자산!$N:$N,가맹점정보!Q$4)</f>
        <v>0</v>
      </c>
      <c r="R397" s="81" t="n">
        <f aca="false">COUNTIFS(임대자산!$I:$I,가맹점정보!F397,임대자산!$N:$N,가맹점정보!R$4)</f>
        <v>1</v>
      </c>
      <c r="S397" s="82" t="n">
        <v>55000</v>
      </c>
      <c r="T397" s="83" t="n">
        <v>0</v>
      </c>
      <c r="U397" s="80" t="n">
        <f aca="false">SUM(S397:T397)</f>
        <v>55000</v>
      </c>
      <c r="V397" s="84" t="s">
        <v>7</v>
      </c>
      <c r="W397" s="80" t="str">
        <f aca="true">
IF(D397="폐업","폐업",
IF(V397="면제","면제",
IF(AND(V397="정상",COUNTIFS(OFFSET(Y397,0,COUNTA(Y397:AV397)-1,1,-4),"미납")&gt;=3),"장기미납",
IF(AND(V397="정상",OFFSET(Y397,0,COUNTA(Y397:AV397)-1)&gt;=U397),"정상",
IF(AND(V397="정상",OFFSET(Y397,0,COUNTA(Y397:AV397)-1)=0),"정상",
"계약서 미작성")))))</f>
        <v>면제</v>
      </c>
      <c r="X397" s="81" t="str">
        <f aca="true">
IF(D397="폐업","폐업",
IF(AND(V397="정상",OFFSET(Y397,0,COUNTA(Y397:AV397)-1)="미납"),"미납",
IF(AND(V397="정상",OFFSET(Y397,0,COUNTA(Y397:AV397)-1)=0),"납부 시작 전",
IF(AND(V397="정상",OFFSET(Y397,0,COUNTA(Y397:AV397)-1)&gt;=U397),"정상",
IF(AND(V397="면제",OFFSET(Y397,0,COUNTA(Y397:AV397)-1)="면제"),"면제",
IF(AND(V397="면제",OFFSET(Y397,0,COUNTA(Y397:AV397)-1)=0),"면제",
"확인요청"))))))</f>
        <v>면제</v>
      </c>
      <c r="Y397" s="94" t="s">
        <v>7</v>
      </c>
      <c r="Z397" s="95" t="s">
        <v>7</v>
      </c>
      <c r="AA397" s="95" t="s">
        <v>7</v>
      </c>
      <c r="AB397" s="95" t="s">
        <v>7</v>
      </c>
      <c r="AC397" s="95" t="s">
        <v>7</v>
      </c>
      <c r="AD397" s="95" t="s">
        <v>7</v>
      </c>
      <c r="AE397" s="95" t="s">
        <v>7</v>
      </c>
      <c r="AF397" s="95" t="s">
        <v>7</v>
      </c>
      <c r="AG397" s="95" t="s">
        <v>7</v>
      </c>
      <c r="AH397" s="95" t="s">
        <v>7</v>
      </c>
      <c r="AI397" s="95" t="s">
        <v>7</v>
      </c>
      <c r="AJ397" s="96" t="s">
        <v>7</v>
      </c>
      <c r="AK397" s="97" t="s">
        <v>7</v>
      </c>
      <c r="AL397" s="95" t="s">
        <v>7</v>
      </c>
      <c r="AM397" s="90"/>
      <c r="AN397" s="90"/>
      <c r="AO397" s="90"/>
      <c r="AP397" s="90"/>
      <c r="AQ397" s="90"/>
      <c r="AR397" s="90"/>
      <c r="AS397" s="90"/>
      <c r="AT397" s="90"/>
      <c r="AU397" s="90"/>
      <c r="AV397" s="91"/>
      <c r="AX397" s="92"/>
    </row>
    <row r="398" customFormat="false" ht="15.65" hidden="false" customHeight="false" outlineLevel="0" collapsed="false">
      <c r="C398" s="72" t="n">
        <f aca="false">COUNTIFS($D$6:D398,"&lt;&gt;"&amp;"")</f>
        <v>393</v>
      </c>
      <c r="D398" s="73" t="s">
        <v>12</v>
      </c>
      <c r="E398" s="76" t="str">
        <f aca="false">
IF($D398="정상",INDEX(임대자산!$D$3:$R$3000,MATCH($F398,임대자산!$I$3:$I$3000,0),MATCH(E$3,임대자산!$D$3:$R$3,0)),
IF($D398="폐업",INDEX(폐업정보!$D$3:$R$3000,MATCH($F398,폐업정보!$I$3:$I$3000,0),MATCH(E$3,폐업정보!$D$3:$R$3,0)),
"Error"))</f>
        <v>강원</v>
      </c>
      <c r="F39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B0393</v>
      </c>
      <c r="G398" s="76" t="str">
        <f aca="false">F398&amp;RANDBETWEEN(0,10)</f>
        <v>B03932</v>
      </c>
      <c r="H398" s="75" t="n">
        <f aca="false">
IF($D398="정상",INDEX(임대자산!$D$3:$R$3000,MATCH($F398,임대자산!$I$3:$I$3000,0),MATCH(H$4,임대자산!$D$3:$R$3,0)),
IF($D398="폐업",INDEX(폐업정보!$D$3:$R$3000,MATCH($F398,폐업정보!$I$3:$I$3000,0),MATCH(H$4,폐업정보!$D$3:$R$3,0)),
"Error"))</f>
        <v>45468</v>
      </c>
      <c r="I398" s="75" t="str">
        <f aca="false">
IF($D398="정상",INDEX(임대자산!$D$3:$R$3000,MATCH($F398,임대자산!$I$3:$I$3000,0),MATCH(I$4,임대자산!$D$3:$R$3,0)),
IF($D398="폐업",INDEX(폐업정보!$D$3:$R$3000,MATCH($F398,폐업정보!$I$3:$I$3000,0),MATCH(I$4,폐업정보!$D$3:$R$3,0)),
"Error"))</f>
        <v>A0393</v>
      </c>
      <c r="J398" s="75" t="str">
        <f aca="false">
IF($D398="정상",INDEX(임대자산!$D$3:$R$3000,MATCH($F398,임대자산!$I$3:$I$3000,0),MATCH(J$4,임대자산!$D$3:$R$3,0)),
IF($D398="폐업",INDEX(폐업정보!$D$3:$R$3000,MATCH($F398,폐업정보!$I$3:$I$3000,0),MATCH(J$4,폐업정보!$D$3:$R$3,0)),
"Error"))</f>
        <v>3941100000</v>
      </c>
      <c r="K398" s="75" t="str">
        <f aca="false">
IF($D398="정상",INDEX(임대자산!$D$3:$R$3000,MATCH($F398,임대자산!$I$3:$I$3000,0),MATCH(K$4,임대자산!$D$3:$R$3,0)),
IF($D398="폐업",INDEX(폐업정보!$D$3:$R$3000,MATCH($F398,폐업정보!$I$3:$I$3000,0),MATCH(K$4,폐업정보!$D$3:$R$3,0)),
"Error"))</f>
        <v>C0393</v>
      </c>
      <c r="L398" s="75" t="str">
        <f aca="false">
IF($D398="정상",INDEX(임대자산!$D$3:$R$3000,MATCH($F398,임대자산!$I$3:$I$3000,0),MATCH(L$4,임대자산!$D$3:$R$3,0)),
IF($D398="폐업",INDEX(폐업정보!$D$3:$R$3000,MATCH($F398,폐업정보!$I$3:$I$3000,0),MATCH(L$4,폐업정보!$D$3:$R$3,0)),
"Error"))</f>
        <v>D0393</v>
      </c>
      <c r="M398" s="76" t="s">
        <v>96</v>
      </c>
      <c r="N398" s="77"/>
      <c r="O398" s="78" t="s">
        <v>97</v>
      </c>
      <c r="P398" s="79" t="n">
        <f aca="false">COUNTIFS(임대자산!$I:$I,가맹점정보!F398,임대자산!$N:$N,가맹점정보!P$4)</f>
        <v>0</v>
      </c>
      <c r="Q398" s="80" t="n">
        <f aca="false">COUNTIFS(임대자산!$I:$I,가맹점정보!F398,임대자산!$N:$N,가맹점정보!Q$4)</f>
        <v>0</v>
      </c>
      <c r="R398" s="81" t="n">
        <f aca="false">COUNTIFS(임대자산!$I:$I,가맹점정보!F398,임대자산!$N:$N,가맹점정보!R$4)</f>
        <v>1</v>
      </c>
      <c r="S398" s="82" t="n">
        <v>55000</v>
      </c>
      <c r="T398" s="83" t="n">
        <v>0</v>
      </c>
      <c r="U398" s="80" t="n">
        <f aca="false">SUM(S398:T398)</f>
        <v>55000</v>
      </c>
      <c r="V398" s="84" t="s">
        <v>12</v>
      </c>
      <c r="W398" s="80" t="e">
        <f aca="true">
IF(D398="폐업","폐업",
IF(V398="면제","면제",
IF(AND(V398="정상",COUNTIFS(OFFSET(Y398,0,COUNTA(Y398:AV398)-1,1,-4),"미납")&gt;=3),"장기미납",
IF(AND(V398="정상",OFFSET(Y398,0,COUNTA(Y398:AV398)-1)&gt;=U398),"정상",
IF(AND(V398="정상",OFFSET(Y398,0,COUNTA(Y398:AV398)-1)=0),"정상",
"계약서 미작성")))))</f>
        <v>#VALUE!</v>
      </c>
      <c r="X398" s="81" t="str">
        <f aca="true">
IF(D398="폐업","폐업",
IF(AND(V398="정상",OFFSET(Y398,0,COUNTA(Y398:AV398)-1)="미납"),"미납",
IF(AND(V398="정상",OFFSET(Y398,0,COUNTA(Y398:AV398)-1)=0),"납부 시작 전",
IF(AND(V398="정상",OFFSET(Y398,0,COUNTA(Y398:AV398)-1)&gt;=U398),"정상",
IF(AND(V398="면제",OFFSET(Y398,0,COUNTA(Y398:AV398)-1)="면제"),"면제",
IF(AND(V398="면제",OFFSET(Y398,0,COUNTA(Y398:AV398)-1)=0),"면제",
"확인요청"))))))</f>
        <v>정상</v>
      </c>
      <c r="Y398" s="93" t="n">
        <v>55000</v>
      </c>
      <c r="Z398" s="90" t="n">
        <v>55000</v>
      </c>
      <c r="AA398" s="90" t="n">
        <v>55000</v>
      </c>
      <c r="AB398" s="90" t="n">
        <v>55000</v>
      </c>
      <c r="AC398" s="90" t="n">
        <v>55000</v>
      </c>
      <c r="AD398" s="90" t="n">
        <v>55000</v>
      </c>
      <c r="AE398" s="90" t="n">
        <v>55000</v>
      </c>
      <c r="AF398" s="90" t="n">
        <v>55000</v>
      </c>
      <c r="AG398" s="90" t="n">
        <v>55000</v>
      </c>
      <c r="AH398" s="90" t="n">
        <v>55000</v>
      </c>
      <c r="AI398" s="90" t="n">
        <v>55000</v>
      </c>
      <c r="AJ398" s="91" t="n">
        <v>55000</v>
      </c>
      <c r="AK398" s="89" t="n">
        <v>55000</v>
      </c>
      <c r="AL398" s="90" t="n">
        <v>55000</v>
      </c>
      <c r="AM398" s="90"/>
      <c r="AN398" s="90"/>
      <c r="AO398" s="90"/>
      <c r="AP398" s="90"/>
      <c r="AQ398" s="90"/>
      <c r="AR398" s="90"/>
      <c r="AS398" s="90"/>
      <c r="AT398" s="90"/>
      <c r="AU398" s="90"/>
      <c r="AV398" s="91"/>
      <c r="AX398" s="92"/>
    </row>
    <row r="399" customFormat="false" ht="15.65" hidden="false" customHeight="false" outlineLevel="0" collapsed="false">
      <c r="C399" s="72" t="n">
        <f aca="false">COUNTIFS($D$6:D399,"&lt;&gt;"&amp;"")</f>
        <v>394</v>
      </c>
      <c r="D399" s="73" t="s">
        <v>12</v>
      </c>
      <c r="E399" s="76" t="str">
        <f aca="false">
IF($D399="정상",INDEX(임대자산!$D$3:$R$3000,MATCH($F399,임대자산!$I$3:$I$3000,0),MATCH(E$3,임대자산!$D$3:$R$3,0)),
IF($D399="폐업",INDEX(폐업정보!$D$3:$R$3000,MATCH($F399,폐업정보!$I$3:$I$3000,0),MATCH(E$3,폐업정보!$D$3:$R$3,0)),
"Error"))</f>
        <v>강원</v>
      </c>
      <c r="F39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B0394</v>
      </c>
      <c r="G399" s="76" t="str">
        <f aca="false">F399&amp;RANDBETWEEN(0,10)</f>
        <v>B03949</v>
      </c>
      <c r="H399" s="75" t="n">
        <f aca="false">
IF($D399="정상",INDEX(임대자산!$D$3:$R$3000,MATCH($F399,임대자산!$I$3:$I$3000,0),MATCH(H$4,임대자산!$D$3:$R$3,0)),
IF($D399="폐업",INDEX(폐업정보!$D$3:$R$3000,MATCH($F399,폐업정보!$I$3:$I$3000,0),MATCH(H$4,폐업정보!$D$3:$R$3,0)),
"Error"))</f>
        <v>45462</v>
      </c>
      <c r="I399" s="75" t="str">
        <f aca="false">
IF($D399="정상",INDEX(임대자산!$D$3:$R$3000,MATCH($F399,임대자산!$I$3:$I$3000,0),MATCH(I$4,임대자산!$D$3:$R$3,0)),
IF($D399="폐업",INDEX(폐업정보!$D$3:$R$3000,MATCH($F399,폐업정보!$I$3:$I$3000,0),MATCH(I$4,폐업정보!$D$3:$R$3,0)),
"Error"))</f>
        <v>A0394</v>
      </c>
      <c r="J399" s="75" t="str">
        <f aca="false">
IF($D399="정상",INDEX(임대자산!$D$3:$R$3000,MATCH($F399,임대자산!$I$3:$I$3000,0),MATCH(J$4,임대자산!$D$3:$R$3,0)),
IF($D399="폐업",INDEX(폐업정보!$D$3:$R$3000,MATCH($F399,폐업정보!$I$3:$I$3000,0),MATCH(J$4,폐업정보!$D$3:$R$3,0)),
"Error"))</f>
        <v>6449700000</v>
      </c>
      <c r="K399" s="75" t="str">
        <f aca="false">
IF($D399="정상",INDEX(임대자산!$D$3:$R$3000,MATCH($F399,임대자산!$I$3:$I$3000,0),MATCH(K$4,임대자산!$D$3:$R$3,0)),
IF($D399="폐업",INDEX(폐업정보!$D$3:$R$3000,MATCH($F399,폐업정보!$I$3:$I$3000,0),MATCH(K$4,폐업정보!$D$3:$R$3,0)),
"Error"))</f>
        <v>C0394</v>
      </c>
      <c r="L399" s="75" t="str">
        <f aca="false">
IF($D399="정상",INDEX(임대자산!$D$3:$R$3000,MATCH($F399,임대자산!$I$3:$I$3000,0),MATCH(L$4,임대자산!$D$3:$R$3,0)),
IF($D399="폐업",INDEX(폐업정보!$D$3:$R$3000,MATCH($F399,폐업정보!$I$3:$I$3000,0),MATCH(L$4,폐업정보!$D$3:$R$3,0)),
"Error"))</f>
        <v>D0394</v>
      </c>
      <c r="M399" s="76" t="s">
        <v>96</v>
      </c>
      <c r="N399" s="77"/>
      <c r="O399" s="78" t="s">
        <v>97</v>
      </c>
      <c r="P399" s="79" t="n">
        <f aca="false">COUNTIFS(임대자산!$I:$I,가맹점정보!F399,임대자산!$N:$N,가맹점정보!P$4)</f>
        <v>0</v>
      </c>
      <c r="Q399" s="80" t="n">
        <f aca="false">COUNTIFS(임대자산!$I:$I,가맹점정보!F399,임대자산!$N:$N,가맹점정보!Q$4)</f>
        <v>0</v>
      </c>
      <c r="R399" s="81" t="n">
        <f aca="false">COUNTIFS(임대자산!$I:$I,가맹점정보!F399,임대자산!$N:$N,가맹점정보!R$4)</f>
        <v>1</v>
      </c>
      <c r="S399" s="82" t="n">
        <v>55000</v>
      </c>
      <c r="T399" s="83" t="n">
        <v>0</v>
      </c>
      <c r="U399" s="80" t="n">
        <f aca="false">SUM(S399:T399)</f>
        <v>55000</v>
      </c>
      <c r="V399" s="84" t="s">
        <v>7</v>
      </c>
      <c r="W399" s="80" t="str">
        <f aca="true">
IF(D399="폐업","폐업",
IF(V399="면제","면제",
IF(AND(V399="정상",COUNTIFS(OFFSET(Y399,0,COUNTA(Y399:AV399)-1,1,-4),"미납")&gt;=3),"장기미납",
IF(AND(V399="정상",OFFSET(Y399,0,COUNTA(Y399:AV399)-1)&gt;=U399),"정상",
IF(AND(V399="정상",OFFSET(Y399,0,COUNTA(Y399:AV399)-1)=0),"정상",
"계약서 미작성")))))</f>
        <v>면제</v>
      </c>
      <c r="X399" s="81" t="str">
        <f aca="true">
IF(D399="폐업","폐업",
IF(AND(V399="정상",OFFSET(Y399,0,COUNTA(Y399:AV399)-1)="미납"),"미납",
IF(AND(V399="정상",OFFSET(Y399,0,COUNTA(Y399:AV399)-1)=0),"납부 시작 전",
IF(AND(V399="정상",OFFSET(Y399,0,COUNTA(Y399:AV399)-1)&gt;=U399),"정상",
IF(AND(V399="면제",OFFSET(Y399,0,COUNTA(Y399:AV399)-1)="면제"),"면제",
IF(AND(V399="면제",OFFSET(Y399,0,COUNTA(Y399:AV399)-1)=0),"면제",
"확인요청"))))))</f>
        <v>면제</v>
      </c>
      <c r="Y399" s="94" t="s">
        <v>7</v>
      </c>
      <c r="Z399" s="95" t="s">
        <v>7</v>
      </c>
      <c r="AA399" s="95" t="s">
        <v>7</v>
      </c>
      <c r="AB399" s="95" t="s">
        <v>7</v>
      </c>
      <c r="AC399" s="95" t="s">
        <v>7</v>
      </c>
      <c r="AD399" s="95" t="s">
        <v>7</v>
      </c>
      <c r="AE399" s="95" t="s">
        <v>7</v>
      </c>
      <c r="AF399" s="95" t="s">
        <v>7</v>
      </c>
      <c r="AG399" s="95" t="s">
        <v>7</v>
      </c>
      <c r="AH399" s="95" t="s">
        <v>7</v>
      </c>
      <c r="AI399" s="95" t="s">
        <v>7</v>
      </c>
      <c r="AJ399" s="96" t="s">
        <v>7</v>
      </c>
      <c r="AK399" s="97" t="s">
        <v>7</v>
      </c>
      <c r="AL399" s="95" t="s">
        <v>7</v>
      </c>
      <c r="AM399" s="90"/>
      <c r="AN399" s="90"/>
      <c r="AO399" s="90"/>
      <c r="AP399" s="90"/>
      <c r="AQ399" s="90"/>
      <c r="AR399" s="90"/>
      <c r="AS399" s="90"/>
      <c r="AT399" s="90"/>
      <c r="AU399" s="90"/>
      <c r="AV399" s="91"/>
      <c r="AX399" s="92"/>
    </row>
    <row r="400" customFormat="false" ht="15.65" hidden="false" customHeight="false" outlineLevel="0" collapsed="false">
      <c r="C400" s="72" t="n">
        <f aca="false">COUNTIFS($D$6:D400,"&lt;&gt;"&amp;"")</f>
        <v>395</v>
      </c>
      <c r="D400" s="73" t="s">
        <v>12</v>
      </c>
      <c r="E400" s="76" t="str">
        <f aca="false">
IF($D400="정상",INDEX(임대자산!$D$3:$R$3000,MATCH($F400,임대자산!$I$3:$I$3000,0),MATCH(E$3,임대자산!$D$3:$R$3,0)),
IF($D400="폐업",INDEX(폐업정보!$D$3:$R$3000,MATCH($F400,폐업정보!$I$3:$I$3000,0),MATCH(E$3,폐업정보!$D$3:$R$3,0)),
"Error"))</f>
        <v>강원</v>
      </c>
      <c r="F40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B0395</v>
      </c>
      <c r="G400" s="76" t="str">
        <f aca="false">F400&amp;RANDBETWEEN(0,10)</f>
        <v>B03950</v>
      </c>
      <c r="H400" s="75" t="n">
        <f aca="false">
IF($D400="정상",INDEX(임대자산!$D$3:$R$3000,MATCH($F400,임대자산!$I$3:$I$3000,0),MATCH(H$4,임대자산!$D$3:$R$3,0)),
IF($D400="폐업",INDEX(폐업정보!$D$3:$R$3000,MATCH($F400,폐업정보!$I$3:$I$3000,0),MATCH(H$4,폐업정보!$D$3:$R$3,0)),
"Error"))</f>
        <v>45916</v>
      </c>
      <c r="I400" s="75" t="str">
        <f aca="false">
IF($D400="정상",INDEX(임대자산!$D$3:$R$3000,MATCH($F400,임대자산!$I$3:$I$3000,0),MATCH(I$4,임대자산!$D$3:$R$3,0)),
IF($D400="폐업",INDEX(폐업정보!$D$3:$R$3000,MATCH($F400,폐업정보!$I$3:$I$3000,0),MATCH(I$4,폐업정보!$D$3:$R$3,0)),
"Error"))</f>
        <v>A0395</v>
      </c>
      <c r="J400" s="75" t="str">
        <f aca="false">
IF($D400="정상",INDEX(임대자산!$D$3:$R$3000,MATCH($F400,임대자산!$I$3:$I$3000,0),MATCH(J$4,임대자산!$D$3:$R$3,0)),
IF($D400="폐업",INDEX(폐업정보!$D$3:$R$3000,MATCH($F400,폐업정보!$I$3:$I$3000,0),MATCH(J$4,폐업정보!$D$3:$R$3,0)),
"Error"))</f>
        <v>3335500000</v>
      </c>
      <c r="K400" s="75" t="str">
        <f aca="false">
IF($D400="정상",INDEX(임대자산!$D$3:$R$3000,MATCH($F400,임대자산!$I$3:$I$3000,0),MATCH(K$4,임대자산!$D$3:$R$3,0)),
IF($D400="폐업",INDEX(폐업정보!$D$3:$R$3000,MATCH($F400,폐업정보!$I$3:$I$3000,0),MATCH(K$4,폐업정보!$D$3:$R$3,0)),
"Error"))</f>
        <v>C0395</v>
      </c>
      <c r="L400" s="75" t="str">
        <f aca="false">
IF($D400="정상",INDEX(임대자산!$D$3:$R$3000,MATCH($F400,임대자산!$I$3:$I$3000,0),MATCH(L$4,임대자산!$D$3:$R$3,0)),
IF($D400="폐업",INDEX(폐업정보!$D$3:$R$3000,MATCH($F400,폐업정보!$I$3:$I$3000,0),MATCH(L$4,폐업정보!$D$3:$R$3,0)),
"Error"))</f>
        <v>D0395</v>
      </c>
      <c r="M400" s="76" t="s">
        <v>96</v>
      </c>
      <c r="N400" s="77"/>
      <c r="O400" s="78" t="s">
        <v>97</v>
      </c>
      <c r="P400" s="79" t="n">
        <f aca="false">COUNTIFS(임대자산!$I:$I,가맹점정보!F400,임대자산!$N:$N,가맹점정보!P$4)</f>
        <v>0</v>
      </c>
      <c r="Q400" s="80" t="n">
        <f aca="false">COUNTIFS(임대자산!$I:$I,가맹점정보!F400,임대자산!$N:$N,가맹점정보!Q$4)</f>
        <v>0</v>
      </c>
      <c r="R400" s="81" t="n">
        <f aca="false">COUNTIFS(임대자산!$I:$I,가맹점정보!F400,임대자산!$N:$N,가맹점정보!R$4)</f>
        <v>1</v>
      </c>
      <c r="S400" s="82" t="n">
        <v>88000</v>
      </c>
      <c r="T400" s="83" t="n">
        <v>0</v>
      </c>
      <c r="U400" s="80" t="n">
        <f aca="false">SUM(S400:T400)</f>
        <v>88000</v>
      </c>
      <c r="V400" s="84" t="s">
        <v>7</v>
      </c>
      <c r="W400" s="80" t="str">
        <f aca="true">
IF(D400="폐업","폐업",
IF(V400="면제","면제",
IF(AND(V400="정상",COUNTIFS(OFFSET(Y400,0,COUNTA(Y400:AV400)-1,1,-4),"미납")&gt;=3),"장기미납",
IF(AND(V400="정상",OFFSET(Y400,0,COUNTA(Y400:AV400)-1)&gt;=U400),"정상",
IF(AND(V400="정상",OFFSET(Y400,0,COUNTA(Y400:AV400)-1)=0),"정상",
"계약서 미작성")))))</f>
        <v>면제</v>
      </c>
      <c r="X400" s="81" t="str">
        <f aca="true">
IF(D400="폐업","폐업",
IF(AND(V400="정상",OFFSET(Y400,0,COUNTA(Y400:AV400)-1)="미납"),"미납",
IF(AND(V400="정상",OFFSET(Y400,0,COUNTA(Y400:AV400)-1)=0),"납부 시작 전",
IF(AND(V400="정상",OFFSET(Y400,0,COUNTA(Y400:AV400)-1)&gt;=U400),"정상",
IF(AND(V400="면제",OFFSET(Y400,0,COUNTA(Y400:AV400)-1)="면제"),"면제",
IF(AND(V400="면제",OFFSET(Y400,0,COUNTA(Y400:AV400)-1)=0),"면제",
"확인요청"))))))</f>
        <v>면제</v>
      </c>
      <c r="Y400" s="94" t="s">
        <v>7</v>
      </c>
      <c r="Z400" s="95" t="s">
        <v>7</v>
      </c>
      <c r="AA400" s="95" t="s">
        <v>7</v>
      </c>
      <c r="AB400" s="95" t="s">
        <v>7</v>
      </c>
      <c r="AC400" s="95" t="s">
        <v>7</v>
      </c>
      <c r="AD400" s="95" t="s">
        <v>7</v>
      </c>
      <c r="AE400" s="95" t="s">
        <v>7</v>
      </c>
      <c r="AF400" s="95" t="s">
        <v>7</v>
      </c>
      <c r="AG400" s="95" t="s">
        <v>7</v>
      </c>
      <c r="AH400" s="95" t="s">
        <v>7</v>
      </c>
      <c r="AI400" s="95" t="s">
        <v>7</v>
      </c>
      <c r="AJ400" s="96" t="s">
        <v>7</v>
      </c>
      <c r="AK400" s="97" t="s">
        <v>7</v>
      </c>
      <c r="AL400" s="95" t="s">
        <v>7</v>
      </c>
      <c r="AM400" s="90"/>
      <c r="AN400" s="90"/>
      <c r="AO400" s="90"/>
      <c r="AP400" s="90"/>
      <c r="AQ400" s="90"/>
      <c r="AR400" s="90"/>
      <c r="AS400" s="90"/>
      <c r="AT400" s="90"/>
      <c r="AU400" s="90"/>
      <c r="AV400" s="91"/>
      <c r="AX400" s="92"/>
    </row>
    <row r="401" customFormat="false" ht="15.65" hidden="false" customHeight="false" outlineLevel="0" collapsed="false">
      <c r="C401" s="72" t="n">
        <f aca="false">COUNTIFS($D$6:D401,"&lt;&gt;"&amp;"")</f>
        <v>396</v>
      </c>
      <c r="D401" s="73" t="s">
        <v>12</v>
      </c>
      <c r="E401" s="76" t="str">
        <f aca="false">
IF($D401="정상",INDEX(임대자산!$D$3:$R$3000,MATCH($F401,임대자산!$I$3:$I$3000,0),MATCH(E$3,임대자산!$D$3:$R$3,0)),
IF($D401="폐업",INDEX(폐업정보!$D$3:$R$3000,MATCH($F401,폐업정보!$I$3:$I$3000,0),MATCH(E$3,폐업정보!$D$3:$R$3,0)),
"Error"))</f>
        <v>경상</v>
      </c>
      <c r="F40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B0396</v>
      </c>
      <c r="G401" s="76" t="str">
        <f aca="false">F401&amp;RANDBETWEEN(0,10)</f>
        <v>B03967</v>
      </c>
      <c r="H401" s="75" t="n">
        <f aca="false">
IF($D401="정상",INDEX(임대자산!$D$3:$R$3000,MATCH($F401,임대자산!$I$3:$I$3000,0),MATCH(H$4,임대자산!$D$3:$R$3,0)),
IF($D401="폐업",INDEX(폐업정보!$D$3:$R$3000,MATCH($F401,폐업정보!$I$3:$I$3000,0),MATCH(H$4,폐업정보!$D$3:$R$3,0)),
"Error"))</f>
        <v>45512</v>
      </c>
      <c r="I401" s="75" t="str">
        <f aca="false">
IF($D401="정상",INDEX(임대자산!$D$3:$R$3000,MATCH($F401,임대자산!$I$3:$I$3000,0),MATCH(I$4,임대자산!$D$3:$R$3,0)),
IF($D401="폐업",INDEX(폐업정보!$D$3:$R$3000,MATCH($F401,폐업정보!$I$3:$I$3000,0),MATCH(I$4,폐업정보!$D$3:$R$3,0)),
"Error"))</f>
        <v>A0396</v>
      </c>
      <c r="J401" s="75" t="str">
        <f aca="false">
IF($D401="정상",INDEX(임대자산!$D$3:$R$3000,MATCH($F401,임대자산!$I$3:$I$3000,0),MATCH(J$4,임대자산!$D$3:$R$3,0)),
IF($D401="폐업",INDEX(폐업정보!$D$3:$R$3000,MATCH($F401,폐업정보!$I$3:$I$3000,0),MATCH(J$4,폐업정보!$D$3:$R$3,0)),
"Error"))</f>
        <v>4206600000</v>
      </c>
      <c r="K401" s="75" t="str">
        <f aca="false">
IF($D401="정상",INDEX(임대자산!$D$3:$R$3000,MATCH($F401,임대자산!$I$3:$I$3000,0),MATCH(K$4,임대자산!$D$3:$R$3,0)),
IF($D401="폐업",INDEX(폐업정보!$D$3:$R$3000,MATCH($F401,폐업정보!$I$3:$I$3000,0),MATCH(K$4,폐업정보!$D$3:$R$3,0)),
"Error"))</f>
        <v>C0396</v>
      </c>
      <c r="L401" s="75" t="str">
        <f aca="false">
IF($D401="정상",INDEX(임대자산!$D$3:$R$3000,MATCH($F401,임대자산!$I$3:$I$3000,0),MATCH(L$4,임대자산!$D$3:$R$3,0)),
IF($D401="폐업",INDEX(폐업정보!$D$3:$R$3000,MATCH($F401,폐업정보!$I$3:$I$3000,0),MATCH(L$4,폐업정보!$D$3:$R$3,0)),
"Error"))</f>
        <v>D0396</v>
      </c>
      <c r="M401" s="76" t="s">
        <v>96</v>
      </c>
      <c r="N401" s="77"/>
      <c r="O401" s="78" t="s">
        <v>97</v>
      </c>
      <c r="P401" s="79" t="n">
        <f aca="false">COUNTIFS(임대자산!$I:$I,가맹점정보!F401,임대자산!$N:$N,가맹점정보!P$4)</f>
        <v>0</v>
      </c>
      <c r="Q401" s="80" t="n">
        <f aca="false">COUNTIFS(임대자산!$I:$I,가맹점정보!F401,임대자산!$N:$N,가맹점정보!Q$4)</f>
        <v>0</v>
      </c>
      <c r="R401" s="81" t="n">
        <f aca="false">COUNTIFS(임대자산!$I:$I,가맹점정보!F401,임대자산!$N:$N,가맹점정보!R$4)</f>
        <v>1</v>
      </c>
      <c r="S401" s="82" t="n">
        <v>55000</v>
      </c>
      <c r="T401" s="83" t="n">
        <v>0</v>
      </c>
      <c r="U401" s="80" t="n">
        <f aca="false">SUM(S401:T401)</f>
        <v>55000</v>
      </c>
      <c r="V401" s="84" t="s">
        <v>7</v>
      </c>
      <c r="W401" s="80" t="str">
        <f aca="true">
IF(D401="폐업","폐업",
IF(V401="면제","면제",
IF(AND(V401="정상",COUNTIFS(OFFSET(Y401,0,COUNTA(Y401:AV401)-1,1,-4),"미납")&gt;=3),"장기미납",
IF(AND(V401="정상",OFFSET(Y401,0,COUNTA(Y401:AV401)-1)&gt;=U401),"정상",
IF(AND(V401="정상",OFFSET(Y401,0,COUNTA(Y401:AV401)-1)=0),"정상",
"계약서 미작성")))))</f>
        <v>면제</v>
      </c>
      <c r="X401" s="81" t="str">
        <f aca="true">
IF(D401="폐업","폐업",
IF(AND(V401="정상",OFFSET(Y401,0,COUNTA(Y401:AV401)-1)="미납"),"미납",
IF(AND(V401="정상",OFFSET(Y401,0,COUNTA(Y401:AV401)-1)=0),"납부 시작 전",
IF(AND(V401="정상",OFFSET(Y401,0,COUNTA(Y401:AV401)-1)&gt;=U401),"정상",
IF(AND(V401="면제",OFFSET(Y401,0,COUNTA(Y401:AV401)-1)="면제"),"면제",
IF(AND(V401="면제",OFFSET(Y401,0,COUNTA(Y401:AV401)-1)=0),"면제",
"확인요청"))))))</f>
        <v>면제</v>
      </c>
      <c r="Y401" s="94" t="s">
        <v>7</v>
      </c>
      <c r="Z401" s="95" t="s">
        <v>7</v>
      </c>
      <c r="AA401" s="95" t="s">
        <v>7</v>
      </c>
      <c r="AB401" s="95" t="s">
        <v>7</v>
      </c>
      <c r="AC401" s="95" t="s">
        <v>7</v>
      </c>
      <c r="AD401" s="95" t="s">
        <v>7</v>
      </c>
      <c r="AE401" s="95" t="s">
        <v>7</v>
      </c>
      <c r="AF401" s="95" t="s">
        <v>7</v>
      </c>
      <c r="AG401" s="95" t="s">
        <v>7</v>
      </c>
      <c r="AH401" s="95" t="s">
        <v>7</v>
      </c>
      <c r="AI401" s="95" t="s">
        <v>7</v>
      </c>
      <c r="AJ401" s="96" t="s">
        <v>7</v>
      </c>
      <c r="AK401" s="97" t="s">
        <v>7</v>
      </c>
      <c r="AL401" s="95" t="s">
        <v>7</v>
      </c>
      <c r="AM401" s="90"/>
      <c r="AN401" s="90"/>
      <c r="AO401" s="90"/>
      <c r="AP401" s="90"/>
      <c r="AQ401" s="90"/>
      <c r="AR401" s="90"/>
      <c r="AS401" s="90"/>
      <c r="AT401" s="90"/>
      <c r="AU401" s="90"/>
      <c r="AV401" s="91"/>
      <c r="AX401" s="92"/>
    </row>
    <row r="402" customFormat="false" ht="15.65" hidden="false" customHeight="false" outlineLevel="0" collapsed="false">
      <c r="C402" s="72" t="n">
        <f aca="false">COUNTIFS($D$6:D402,"&lt;&gt;"&amp;"")</f>
        <v>397</v>
      </c>
      <c r="D402" s="73" t="s">
        <v>12</v>
      </c>
      <c r="E402" s="76" t="str">
        <f aca="false">
IF($D402="정상",INDEX(임대자산!$D$3:$R$3000,MATCH($F402,임대자산!$I$3:$I$3000,0),MATCH(E$3,임대자산!$D$3:$R$3,0)),
IF($D402="폐업",INDEX(폐업정보!$D$3:$R$3000,MATCH($F402,폐업정보!$I$3:$I$3000,0),MATCH(E$3,폐업정보!$D$3:$R$3,0)),
"Error"))</f>
        <v>전라</v>
      </c>
      <c r="F40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B0397</v>
      </c>
      <c r="G402" s="76" t="str">
        <f aca="false">F402&amp;RANDBETWEEN(0,10)</f>
        <v>B03975</v>
      </c>
      <c r="H402" s="75" t="n">
        <f aca="false">
IF($D402="정상",INDEX(임대자산!$D$3:$R$3000,MATCH($F402,임대자산!$I$3:$I$3000,0),MATCH(H$4,임대자산!$D$3:$R$3,0)),
IF($D402="폐업",INDEX(폐업정보!$D$3:$R$3000,MATCH($F402,폐업정보!$I$3:$I$3000,0),MATCH(H$4,폐업정보!$D$3:$R$3,0)),
"Error"))</f>
        <v>45511</v>
      </c>
      <c r="I402" s="75" t="str">
        <f aca="false">
IF($D402="정상",INDEX(임대자산!$D$3:$R$3000,MATCH($F402,임대자산!$I$3:$I$3000,0),MATCH(I$4,임대자산!$D$3:$R$3,0)),
IF($D402="폐업",INDEX(폐업정보!$D$3:$R$3000,MATCH($F402,폐업정보!$I$3:$I$3000,0),MATCH(I$4,폐업정보!$D$3:$R$3,0)),
"Error"))</f>
        <v>A0397</v>
      </c>
      <c r="J402" s="75" t="str">
        <f aca="false">
IF($D402="정상",INDEX(임대자산!$D$3:$R$3000,MATCH($F402,임대자산!$I$3:$I$3000,0),MATCH(J$4,임대자산!$D$3:$R$3,0)),
IF($D402="폐업",INDEX(폐업정보!$D$3:$R$3000,MATCH($F402,폐업정보!$I$3:$I$3000,0),MATCH(J$4,폐업정보!$D$3:$R$3,0)),
"Error"))</f>
        <v>9938900000</v>
      </c>
      <c r="K402" s="75" t="str">
        <f aca="false">
IF($D402="정상",INDEX(임대자산!$D$3:$R$3000,MATCH($F402,임대자산!$I$3:$I$3000,0),MATCH(K$4,임대자산!$D$3:$R$3,0)),
IF($D402="폐업",INDEX(폐업정보!$D$3:$R$3000,MATCH($F402,폐업정보!$I$3:$I$3000,0),MATCH(K$4,폐업정보!$D$3:$R$3,0)),
"Error"))</f>
        <v>C0397</v>
      </c>
      <c r="L402" s="75" t="str">
        <f aca="false">
IF($D402="정상",INDEX(임대자산!$D$3:$R$3000,MATCH($F402,임대자산!$I$3:$I$3000,0),MATCH(L$4,임대자산!$D$3:$R$3,0)),
IF($D402="폐업",INDEX(폐업정보!$D$3:$R$3000,MATCH($F402,폐업정보!$I$3:$I$3000,0),MATCH(L$4,폐업정보!$D$3:$R$3,0)),
"Error"))</f>
        <v>D0397</v>
      </c>
      <c r="M402" s="76" t="s">
        <v>96</v>
      </c>
      <c r="N402" s="77"/>
      <c r="O402" s="78" t="s">
        <v>97</v>
      </c>
      <c r="P402" s="79" t="n">
        <f aca="false">COUNTIFS(임대자산!$I:$I,가맹점정보!F402,임대자산!$N:$N,가맹점정보!P$4)</f>
        <v>0</v>
      </c>
      <c r="Q402" s="80" t="n">
        <f aca="false">COUNTIFS(임대자산!$I:$I,가맹점정보!F402,임대자산!$N:$N,가맹점정보!Q$4)</f>
        <v>0</v>
      </c>
      <c r="R402" s="81" t="n">
        <f aca="false">COUNTIFS(임대자산!$I:$I,가맹점정보!F402,임대자산!$N:$N,가맹점정보!R$4)</f>
        <v>1</v>
      </c>
      <c r="S402" s="82" t="n">
        <v>55000</v>
      </c>
      <c r="T402" s="83" t="n">
        <v>0</v>
      </c>
      <c r="U402" s="80" t="n">
        <f aca="false">SUM(S402:T402)</f>
        <v>55000</v>
      </c>
      <c r="V402" s="84" t="s">
        <v>12</v>
      </c>
      <c r="W402" s="80" t="e">
        <f aca="true">
IF(D402="폐업","폐업",
IF(V402="면제","면제",
IF(AND(V402="정상",COUNTIFS(OFFSET(Y402,0,COUNTA(Y402:AV402)-1,1,-4),"미납")&gt;=3),"장기미납",
IF(AND(V402="정상",OFFSET(Y402,0,COUNTA(Y402:AV402)-1)&gt;=U402),"정상",
IF(AND(V402="정상",OFFSET(Y402,0,COUNTA(Y402:AV402)-1)=0),"정상",
"계약서 미작성")))))</f>
        <v>#VALUE!</v>
      </c>
      <c r="X402" s="81" t="str">
        <f aca="true">
IF(D402="폐업","폐업",
IF(AND(V402="정상",OFFSET(Y402,0,COUNTA(Y402:AV402)-1)="미납"),"미납",
IF(AND(V402="정상",OFFSET(Y402,0,COUNTA(Y402:AV402)-1)=0),"납부 시작 전",
IF(AND(V402="정상",OFFSET(Y402,0,COUNTA(Y402:AV402)-1)&gt;=U402),"정상",
IF(AND(V402="면제",OFFSET(Y402,0,COUNTA(Y402:AV402)-1)="면제"),"면제",
IF(AND(V402="면제",OFFSET(Y402,0,COUNTA(Y402:AV402)-1)=0),"면제",
"확인요청"))))))</f>
        <v>정상</v>
      </c>
      <c r="Y402" s="93" t="n">
        <v>55000</v>
      </c>
      <c r="Z402" s="90" t="n">
        <v>55000</v>
      </c>
      <c r="AA402" s="90" t="n">
        <v>55000</v>
      </c>
      <c r="AB402" s="90" t="n">
        <v>55000</v>
      </c>
      <c r="AC402" s="90" t="n">
        <v>55000</v>
      </c>
      <c r="AD402" s="90" t="n">
        <v>55000</v>
      </c>
      <c r="AE402" s="90" t="n">
        <v>55000</v>
      </c>
      <c r="AF402" s="90" t="n">
        <v>55000</v>
      </c>
      <c r="AG402" s="90" t="n">
        <v>55000</v>
      </c>
      <c r="AH402" s="90" t="n">
        <v>55000</v>
      </c>
      <c r="AI402" s="90" t="n">
        <v>55000</v>
      </c>
      <c r="AJ402" s="91" t="n">
        <v>55000</v>
      </c>
      <c r="AK402" s="89" t="n">
        <v>55000</v>
      </c>
      <c r="AL402" s="90" t="n">
        <v>55000</v>
      </c>
      <c r="AM402" s="90"/>
      <c r="AN402" s="90"/>
      <c r="AO402" s="90"/>
      <c r="AP402" s="90"/>
      <c r="AQ402" s="90"/>
      <c r="AR402" s="90"/>
      <c r="AS402" s="90"/>
      <c r="AT402" s="90"/>
      <c r="AU402" s="90"/>
      <c r="AV402" s="91"/>
      <c r="AX402" s="92"/>
    </row>
    <row r="403" customFormat="false" ht="15.65" hidden="false" customHeight="false" outlineLevel="0" collapsed="false">
      <c r="C403" s="72" t="n">
        <f aca="false">COUNTIFS($D$6:D403,"&lt;&gt;"&amp;"")</f>
        <v>398</v>
      </c>
      <c r="D403" s="73" t="s">
        <v>12</v>
      </c>
      <c r="E403" s="76" t="str">
        <f aca="false">
IF($D403="정상",INDEX(임대자산!$D$3:$R$3000,MATCH($F403,임대자산!$I$3:$I$3000,0),MATCH(E$3,임대자산!$D$3:$R$3,0)),
IF($D403="폐업",INDEX(폐업정보!$D$3:$R$3000,MATCH($F403,폐업정보!$I$3:$I$3000,0),MATCH(E$3,폐업정보!$D$3:$R$3,0)),
"Error"))</f>
        <v>서울</v>
      </c>
      <c r="F40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B0398</v>
      </c>
      <c r="G403" s="76" t="str">
        <f aca="false">F403&amp;RANDBETWEEN(0,10)</f>
        <v>B03987</v>
      </c>
      <c r="H403" s="75" t="n">
        <f aca="false">
IF($D403="정상",INDEX(임대자산!$D$3:$R$3000,MATCH($F403,임대자산!$I$3:$I$3000,0),MATCH(H$4,임대자산!$D$3:$R$3,0)),
IF($D403="폐업",INDEX(폐업정보!$D$3:$R$3000,MATCH($F403,폐업정보!$I$3:$I$3000,0),MATCH(H$4,폐업정보!$D$3:$R$3,0)),
"Error"))</f>
        <v>45499</v>
      </c>
      <c r="I403" s="75" t="str">
        <f aca="false">
IF($D403="정상",INDEX(임대자산!$D$3:$R$3000,MATCH($F403,임대자산!$I$3:$I$3000,0),MATCH(I$4,임대자산!$D$3:$R$3,0)),
IF($D403="폐업",INDEX(폐업정보!$D$3:$R$3000,MATCH($F403,폐업정보!$I$3:$I$3000,0),MATCH(I$4,폐업정보!$D$3:$R$3,0)),
"Error"))</f>
        <v>A0398</v>
      </c>
      <c r="J403" s="75" t="str">
        <f aca="false">
IF($D403="정상",INDEX(임대자산!$D$3:$R$3000,MATCH($F403,임대자산!$I$3:$I$3000,0),MATCH(J$4,임대자산!$D$3:$R$3,0)),
IF($D403="폐업",INDEX(폐업정보!$D$3:$R$3000,MATCH($F403,폐업정보!$I$3:$I$3000,0),MATCH(J$4,폐업정보!$D$3:$R$3,0)),
"Error"))</f>
        <v>8114600000</v>
      </c>
      <c r="K403" s="75" t="str">
        <f aca="false">
IF($D403="정상",INDEX(임대자산!$D$3:$R$3000,MATCH($F403,임대자산!$I$3:$I$3000,0),MATCH(K$4,임대자산!$D$3:$R$3,0)),
IF($D403="폐업",INDEX(폐업정보!$D$3:$R$3000,MATCH($F403,폐업정보!$I$3:$I$3000,0),MATCH(K$4,폐업정보!$D$3:$R$3,0)),
"Error"))</f>
        <v>C0398</v>
      </c>
      <c r="L403" s="75" t="str">
        <f aca="false">
IF($D403="정상",INDEX(임대자산!$D$3:$R$3000,MATCH($F403,임대자산!$I$3:$I$3000,0),MATCH(L$4,임대자산!$D$3:$R$3,0)),
IF($D403="폐업",INDEX(폐업정보!$D$3:$R$3000,MATCH($F403,폐업정보!$I$3:$I$3000,0),MATCH(L$4,폐업정보!$D$3:$R$3,0)),
"Error"))</f>
        <v>D0398</v>
      </c>
      <c r="M403" s="76" t="s">
        <v>96</v>
      </c>
      <c r="N403" s="77"/>
      <c r="O403" s="78" t="s">
        <v>97</v>
      </c>
      <c r="P403" s="79" t="n">
        <f aca="false">COUNTIFS(임대자산!$I:$I,가맹점정보!F403,임대자산!$N:$N,가맹점정보!P$4)</f>
        <v>0</v>
      </c>
      <c r="Q403" s="80" t="n">
        <f aca="false">COUNTIFS(임대자산!$I:$I,가맹점정보!F403,임대자산!$N:$N,가맹점정보!Q$4)</f>
        <v>0</v>
      </c>
      <c r="R403" s="81" t="n">
        <f aca="false">COUNTIFS(임대자산!$I:$I,가맹점정보!F403,임대자산!$N:$N,가맹점정보!R$4)</f>
        <v>1</v>
      </c>
      <c r="S403" s="82" t="n">
        <v>55000</v>
      </c>
      <c r="T403" s="83" t="n">
        <v>0</v>
      </c>
      <c r="U403" s="80" t="n">
        <f aca="false">SUM(S403:T403)</f>
        <v>55000</v>
      </c>
      <c r="V403" s="84" t="s">
        <v>12</v>
      </c>
      <c r="W403" s="80" t="e">
        <f aca="true">
IF(D403="폐업","폐업",
IF(V403="면제","면제",
IF(AND(V403="정상",COUNTIFS(OFFSET(Y403,0,COUNTA(Y403:AV403)-1,1,-4),"미납")&gt;=3),"장기미납",
IF(AND(V403="정상",OFFSET(Y403,0,COUNTA(Y403:AV403)-1)&gt;=U403),"정상",
IF(AND(V403="정상",OFFSET(Y403,0,COUNTA(Y403:AV403)-1)=0),"정상",
"계약서 미작성")))))</f>
        <v>#VALUE!</v>
      </c>
      <c r="X403" s="81" t="str">
        <f aca="true">
IF(D403="폐업","폐업",
IF(AND(V403="정상",OFFSET(Y403,0,COUNTA(Y403:AV403)-1)="미납"),"미납",
IF(AND(V403="정상",OFFSET(Y403,0,COUNTA(Y403:AV403)-1)=0),"납부 시작 전",
IF(AND(V403="정상",OFFSET(Y403,0,COUNTA(Y403:AV403)-1)&gt;=U403),"정상",
IF(AND(V403="면제",OFFSET(Y403,0,COUNTA(Y403:AV403)-1)="면제"),"면제",
IF(AND(V403="면제",OFFSET(Y403,0,COUNTA(Y403:AV403)-1)=0),"면제",
"확인요청"))))))</f>
        <v>정상</v>
      </c>
      <c r="Y403" s="93" t="n">
        <v>0</v>
      </c>
      <c r="Z403" s="90" t="n">
        <v>55000</v>
      </c>
      <c r="AA403" s="90" t="n">
        <v>55000</v>
      </c>
      <c r="AB403" s="90" t="n">
        <v>55000</v>
      </c>
      <c r="AC403" s="90" t="n">
        <v>55000</v>
      </c>
      <c r="AD403" s="90" t="n">
        <v>55000</v>
      </c>
      <c r="AE403" s="90" t="n">
        <v>55000</v>
      </c>
      <c r="AF403" s="90" t="n">
        <v>55000</v>
      </c>
      <c r="AG403" s="90" t="n">
        <v>55000</v>
      </c>
      <c r="AH403" s="90" t="n">
        <v>55000</v>
      </c>
      <c r="AI403" s="90" t="n">
        <v>55000</v>
      </c>
      <c r="AJ403" s="91" t="n">
        <v>55000</v>
      </c>
      <c r="AK403" s="89" t="n">
        <v>55000</v>
      </c>
      <c r="AL403" s="90" t="n">
        <v>55000</v>
      </c>
      <c r="AM403" s="90"/>
      <c r="AN403" s="90"/>
      <c r="AO403" s="90"/>
      <c r="AP403" s="90"/>
      <c r="AQ403" s="90"/>
      <c r="AR403" s="90"/>
      <c r="AS403" s="90"/>
      <c r="AT403" s="90"/>
      <c r="AU403" s="90"/>
      <c r="AV403" s="91"/>
      <c r="AX403" s="92"/>
    </row>
    <row r="404" customFormat="false" ht="15.65" hidden="false" customHeight="false" outlineLevel="0" collapsed="false">
      <c r="C404" s="72" t="n">
        <f aca="false">COUNTIFS($D$6:D404,"&lt;&gt;"&amp;"")</f>
        <v>399</v>
      </c>
      <c r="D404" s="73" t="s">
        <v>12</v>
      </c>
      <c r="E404" s="76" t="str">
        <f aca="false">
IF($D404="정상",INDEX(임대자산!$D$3:$R$3000,MATCH($F404,임대자산!$I$3:$I$3000,0),MATCH(E$3,임대자산!$D$3:$R$3,0)),
IF($D404="폐업",INDEX(폐업정보!$D$3:$R$3000,MATCH($F404,폐업정보!$I$3:$I$3000,0),MATCH(E$3,폐업정보!$D$3:$R$3,0)),
"Error"))</f>
        <v>경상</v>
      </c>
      <c r="F40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B0399</v>
      </c>
      <c r="G404" s="76" t="str">
        <f aca="false">F404&amp;RANDBETWEEN(0,10)</f>
        <v>B03995</v>
      </c>
      <c r="H404" s="75" t="n">
        <f aca="false">
IF($D404="정상",INDEX(임대자산!$D$3:$R$3000,MATCH($F404,임대자산!$I$3:$I$3000,0),MATCH(H$4,임대자산!$D$3:$R$3,0)),
IF($D404="폐업",INDEX(폐업정보!$D$3:$R$3000,MATCH($F404,폐업정보!$I$3:$I$3000,0),MATCH(H$4,폐업정보!$D$3:$R$3,0)),
"Error"))</f>
        <v>45511</v>
      </c>
      <c r="I404" s="75" t="str">
        <f aca="false">
IF($D404="정상",INDEX(임대자산!$D$3:$R$3000,MATCH($F404,임대자산!$I$3:$I$3000,0),MATCH(I$4,임대자산!$D$3:$R$3,0)),
IF($D404="폐업",INDEX(폐업정보!$D$3:$R$3000,MATCH($F404,폐업정보!$I$3:$I$3000,0),MATCH(I$4,폐업정보!$D$3:$R$3,0)),
"Error"))</f>
        <v>A0399</v>
      </c>
      <c r="J404" s="75" t="str">
        <f aca="false">
IF($D404="정상",INDEX(임대자산!$D$3:$R$3000,MATCH($F404,임대자산!$I$3:$I$3000,0),MATCH(J$4,임대자산!$D$3:$R$3,0)),
IF($D404="폐업",INDEX(폐업정보!$D$3:$R$3000,MATCH($F404,폐업정보!$I$3:$I$3000,0),MATCH(J$4,폐업정보!$D$3:$R$3,0)),
"Error"))</f>
        <v>5695500000</v>
      </c>
      <c r="K404" s="75" t="str">
        <f aca="false">
IF($D404="정상",INDEX(임대자산!$D$3:$R$3000,MATCH($F404,임대자산!$I$3:$I$3000,0),MATCH(K$4,임대자산!$D$3:$R$3,0)),
IF($D404="폐업",INDEX(폐업정보!$D$3:$R$3000,MATCH($F404,폐업정보!$I$3:$I$3000,0),MATCH(K$4,폐업정보!$D$3:$R$3,0)),
"Error"))</f>
        <v>C0399</v>
      </c>
      <c r="L404" s="75" t="str">
        <f aca="false">
IF($D404="정상",INDEX(임대자산!$D$3:$R$3000,MATCH($F404,임대자산!$I$3:$I$3000,0),MATCH(L$4,임대자산!$D$3:$R$3,0)),
IF($D404="폐업",INDEX(폐업정보!$D$3:$R$3000,MATCH($F404,폐업정보!$I$3:$I$3000,0),MATCH(L$4,폐업정보!$D$3:$R$3,0)),
"Error"))</f>
        <v>D0399</v>
      </c>
      <c r="M404" s="76" t="s">
        <v>96</v>
      </c>
      <c r="N404" s="77"/>
      <c r="O404" s="78" t="s">
        <v>97</v>
      </c>
      <c r="P404" s="79" t="n">
        <f aca="false">COUNTIFS(임대자산!$I:$I,가맹점정보!F404,임대자산!$N:$N,가맹점정보!P$4)</f>
        <v>0</v>
      </c>
      <c r="Q404" s="80" t="n">
        <f aca="false">COUNTIFS(임대자산!$I:$I,가맹점정보!F404,임대자산!$N:$N,가맹점정보!Q$4)</f>
        <v>0</v>
      </c>
      <c r="R404" s="81" t="n">
        <f aca="false">COUNTIFS(임대자산!$I:$I,가맹점정보!F404,임대자산!$N:$N,가맹점정보!R$4)</f>
        <v>1</v>
      </c>
      <c r="S404" s="82" t="n">
        <v>132000</v>
      </c>
      <c r="T404" s="83" t="n">
        <v>0</v>
      </c>
      <c r="U404" s="80" t="n">
        <f aca="false">SUM(S404:T404)</f>
        <v>132000</v>
      </c>
      <c r="V404" s="84" t="s">
        <v>7</v>
      </c>
      <c r="W404" s="80" t="str">
        <f aca="true">
IF(D404="폐업","폐업",
IF(V404="면제","면제",
IF(AND(V404="정상",COUNTIFS(OFFSET(Y404,0,COUNTA(Y404:AV404)-1,1,-4),"미납")&gt;=3),"장기미납",
IF(AND(V404="정상",OFFSET(Y404,0,COUNTA(Y404:AV404)-1)&gt;=U404),"정상",
IF(AND(V404="정상",OFFSET(Y404,0,COUNTA(Y404:AV404)-1)=0),"정상",
"계약서 미작성")))))</f>
        <v>면제</v>
      </c>
      <c r="X404" s="81" t="str">
        <f aca="true">
IF(D404="폐업","폐업",
IF(AND(V404="정상",OFFSET(Y404,0,COUNTA(Y404:AV404)-1)="미납"),"미납",
IF(AND(V404="정상",OFFSET(Y404,0,COUNTA(Y404:AV404)-1)=0),"납부 시작 전",
IF(AND(V404="정상",OFFSET(Y404,0,COUNTA(Y404:AV404)-1)&gt;=U404),"정상",
IF(AND(V404="면제",OFFSET(Y404,0,COUNTA(Y404:AV404)-1)="면제"),"면제",
IF(AND(V404="면제",OFFSET(Y404,0,COUNTA(Y404:AV404)-1)=0),"면제",
"확인요청"))))))</f>
        <v>면제</v>
      </c>
      <c r="Y404" s="94" t="s">
        <v>7</v>
      </c>
      <c r="Z404" s="95" t="s">
        <v>7</v>
      </c>
      <c r="AA404" s="95" t="s">
        <v>7</v>
      </c>
      <c r="AB404" s="95" t="s">
        <v>7</v>
      </c>
      <c r="AC404" s="95" t="s">
        <v>7</v>
      </c>
      <c r="AD404" s="95" t="s">
        <v>7</v>
      </c>
      <c r="AE404" s="95" t="s">
        <v>7</v>
      </c>
      <c r="AF404" s="95" t="s">
        <v>7</v>
      </c>
      <c r="AG404" s="95" t="s">
        <v>7</v>
      </c>
      <c r="AH404" s="95" t="s">
        <v>7</v>
      </c>
      <c r="AI404" s="95" t="s">
        <v>7</v>
      </c>
      <c r="AJ404" s="96" t="s">
        <v>7</v>
      </c>
      <c r="AK404" s="97" t="s">
        <v>7</v>
      </c>
      <c r="AL404" s="95" t="s">
        <v>7</v>
      </c>
      <c r="AM404" s="90"/>
      <c r="AN404" s="90"/>
      <c r="AO404" s="90"/>
      <c r="AP404" s="90"/>
      <c r="AQ404" s="90"/>
      <c r="AR404" s="90"/>
      <c r="AS404" s="90"/>
      <c r="AT404" s="90"/>
      <c r="AU404" s="90"/>
      <c r="AV404" s="91"/>
      <c r="AX404" s="92"/>
    </row>
    <row r="405" customFormat="false" ht="15.65" hidden="false" customHeight="false" outlineLevel="0" collapsed="false">
      <c r="C405" s="72" t="n">
        <f aca="false">COUNTIFS($D$6:D405,"&lt;&gt;"&amp;"")</f>
        <v>400</v>
      </c>
      <c r="D405" s="73" t="s">
        <v>12</v>
      </c>
      <c r="E405" s="76" t="str">
        <f aca="false">
IF($D405="정상",INDEX(임대자산!$D$3:$R$3000,MATCH($F405,임대자산!$I$3:$I$3000,0),MATCH(E$3,임대자산!$D$3:$R$3,0)),
IF($D405="폐업",INDEX(폐업정보!$D$3:$R$3000,MATCH($F405,폐업정보!$I$3:$I$3000,0),MATCH(E$3,폐업정보!$D$3:$R$3,0)),
"Error"))</f>
        <v>강원</v>
      </c>
      <c r="F40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B0400</v>
      </c>
      <c r="G405" s="76" t="str">
        <f aca="false">F405&amp;RANDBETWEEN(0,10)</f>
        <v>B04000</v>
      </c>
      <c r="H405" s="75" t="n">
        <f aca="false">
IF($D405="정상",INDEX(임대자산!$D$3:$R$3000,MATCH($F405,임대자산!$I$3:$I$3000,0),MATCH(H$4,임대자산!$D$3:$R$3,0)),
IF($D405="폐업",INDEX(폐업정보!$D$3:$R$3000,MATCH($F405,폐업정보!$I$3:$I$3000,0),MATCH(H$4,폐업정보!$D$3:$R$3,0)),
"Error"))</f>
        <v>45852</v>
      </c>
      <c r="I405" s="75" t="str">
        <f aca="false">
IF($D405="정상",INDEX(임대자산!$D$3:$R$3000,MATCH($F405,임대자산!$I$3:$I$3000,0),MATCH(I$4,임대자산!$D$3:$R$3,0)),
IF($D405="폐업",INDEX(폐업정보!$D$3:$R$3000,MATCH($F405,폐업정보!$I$3:$I$3000,0),MATCH(I$4,폐업정보!$D$3:$R$3,0)),
"Error"))</f>
        <v>A0400</v>
      </c>
      <c r="J405" s="75" t="str">
        <f aca="false">
IF($D405="정상",INDEX(임대자산!$D$3:$R$3000,MATCH($F405,임대자산!$I$3:$I$3000,0),MATCH(J$4,임대자산!$D$3:$R$3,0)),
IF($D405="폐업",INDEX(폐업정보!$D$3:$R$3000,MATCH($F405,폐업정보!$I$3:$I$3000,0),MATCH(J$4,폐업정보!$D$3:$R$3,0)),
"Error"))</f>
        <v>6292900000</v>
      </c>
      <c r="K405" s="75" t="str">
        <f aca="false">
IF($D405="정상",INDEX(임대자산!$D$3:$R$3000,MATCH($F405,임대자산!$I$3:$I$3000,0),MATCH(K$4,임대자산!$D$3:$R$3,0)),
IF($D405="폐업",INDEX(폐업정보!$D$3:$R$3000,MATCH($F405,폐업정보!$I$3:$I$3000,0),MATCH(K$4,폐업정보!$D$3:$R$3,0)),
"Error"))</f>
        <v>C0400</v>
      </c>
      <c r="L405" s="75" t="str">
        <f aca="false">
IF($D405="정상",INDEX(임대자산!$D$3:$R$3000,MATCH($F405,임대자산!$I$3:$I$3000,0),MATCH(L$4,임대자산!$D$3:$R$3,0)),
IF($D405="폐업",INDEX(폐업정보!$D$3:$R$3000,MATCH($F405,폐업정보!$I$3:$I$3000,0),MATCH(L$4,폐업정보!$D$3:$R$3,0)),
"Error"))</f>
        <v>D0400</v>
      </c>
      <c r="M405" s="76" t="s">
        <v>96</v>
      </c>
      <c r="N405" s="77"/>
      <c r="O405" s="78" t="s">
        <v>97</v>
      </c>
      <c r="P405" s="79" t="n">
        <f aca="false">COUNTIFS(임대자산!$I:$I,가맹점정보!F405,임대자산!$N:$N,가맹점정보!P$4)</f>
        <v>0</v>
      </c>
      <c r="Q405" s="80" t="n">
        <f aca="false">COUNTIFS(임대자산!$I:$I,가맹점정보!F405,임대자산!$N:$N,가맹점정보!Q$4)</f>
        <v>0</v>
      </c>
      <c r="R405" s="81" t="n">
        <f aca="false">COUNTIFS(임대자산!$I:$I,가맹점정보!F405,임대자산!$N:$N,가맹점정보!R$4)</f>
        <v>1</v>
      </c>
      <c r="S405" s="82" t="n">
        <v>88000</v>
      </c>
      <c r="T405" s="83" t="n">
        <v>0</v>
      </c>
      <c r="U405" s="80" t="n">
        <f aca="false">SUM(S405:T405)</f>
        <v>88000</v>
      </c>
      <c r="V405" s="84" t="s">
        <v>7</v>
      </c>
      <c r="W405" s="80" t="str">
        <f aca="true">
IF(D405="폐업","폐업",
IF(V405="면제","면제",
IF(AND(V405="정상",COUNTIFS(OFFSET(Y405,0,COUNTA(Y405:AV405)-1,1,-4),"미납")&gt;=3),"장기미납",
IF(AND(V405="정상",OFFSET(Y405,0,COUNTA(Y405:AV405)-1)&gt;=U405),"정상",
IF(AND(V405="정상",OFFSET(Y405,0,COUNTA(Y405:AV405)-1)=0),"정상",
"계약서 미작성")))))</f>
        <v>면제</v>
      </c>
      <c r="X405" s="81" t="str">
        <f aca="true">
IF(D405="폐업","폐업",
IF(AND(V405="정상",OFFSET(Y405,0,COUNTA(Y405:AV405)-1)="미납"),"미납",
IF(AND(V405="정상",OFFSET(Y405,0,COUNTA(Y405:AV405)-1)=0),"납부 시작 전",
IF(AND(V405="정상",OFFSET(Y405,0,COUNTA(Y405:AV405)-1)&gt;=U405),"정상",
IF(AND(V405="면제",OFFSET(Y405,0,COUNTA(Y405:AV405)-1)="면제"),"면제",
IF(AND(V405="면제",OFFSET(Y405,0,COUNTA(Y405:AV405)-1)=0),"면제",
"확인요청"))))))</f>
        <v>면제</v>
      </c>
      <c r="Y405" s="94" t="s">
        <v>7</v>
      </c>
      <c r="Z405" s="95" t="s">
        <v>7</v>
      </c>
      <c r="AA405" s="95" t="s">
        <v>7</v>
      </c>
      <c r="AB405" s="95" t="s">
        <v>7</v>
      </c>
      <c r="AC405" s="95" t="s">
        <v>7</v>
      </c>
      <c r="AD405" s="95" t="s">
        <v>7</v>
      </c>
      <c r="AE405" s="95" t="s">
        <v>7</v>
      </c>
      <c r="AF405" s="95" t="s">
        <v>7</v>
      </c>
      <c r="AG405" s="95" t="s">
        <v>7</v>
      </c>
      <c r="AH405" s="95" t="s">
        <v>7</v>
      </c>
      <c r="AI405" s="95" t="s">
        <v>7</v>
      </c>
      <c r="AJ405" s="96" t="s">
        <v>7</v>
      </c>
      <c r="AK405" s="97" t="s">
        <v>7</v>
      </c>
      <c r="AL405" s="95" t="s">
        <v>7</v>
      </c>
      <c r="AM405" s="90"/>
      <c r="AN405" s="90"/>
      <c r="AO405" s="90"/>
      <c r="AP405" s="90"/>
      <c r="AQ405" s="90"/>
      <c r="AR405" s="90"/>
      <c r="AS405" s="90"/>
      <c r="AT405" s="90"/>
      <c r="AU405" s="90"/>
      <c r="AV405" s="91"/>
      <c r="AX405" s="92"/>
    </row>
    <row r="406" customFormat="false" ht="15.65" hidden="false" customHeight="false" outlineLevel="0" collapsed="false">
      <c r="C406" s="72" t="n">
        <f aca="false">COUNTIFS($D$6:D406,"&lt;&gt;"&amp;"")</f>
        <v>401</v>
      </c>
      <c r="D406" s="73" t="s">
        <v>12</v>
      </c>
      <c r="E406" s="76" t="str">
        <f aca="false">
IF($D406="정상",INDEX(임대자산!$D$3:$R$3000,MATCH($F406,임대자산!$I$3:$I$3000,0),MATCH(E$3,임대자산!$D$3:$R$3,0)),
IF($D406="폐업",INDEX(폐업정보!$D$3:$R$3000,MATCH($F406,폐업정보!$I$3:$I$3000,0),MATCH(E$3,폐업정보!$D$3:$R$3,0)),
"Error"))</f>
        <v>강원</v>
      </c>
      <c r="F40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B0401</v>
      </c>
      <c r="G406" s="76" t="str">
        <f aca="false">F406&amp;RANDBETWEEN(0,10)</f>
        <v>B040110</v>
      </c>
      <c r="H406" s="75" t="n">
        <f aca="false">
IF($D406="정상",INDEX(임대자산!$D$3:$R$3000,MATCH($F406,임대자산!$I$3:$I$3000,0),MATCH(H$4,임대자산!$D$3:$R$3,0)),
IF($D406="폐업",INDEX(폐업정보!$D$3:$R$3000,MATCH($F406,폐업정보!$I$3:$I$3000,0),MATCH(H$4,폐업정보!$D$3:$R$3,0)),
"Error"))</f>
        <v>45498</v>
      </c>
      <c r="I406" s="75" t="str">
        <f aca="false">
IF($D406="정상",INDEX(임대자산!$D$3:$R$3000,MATCH($F406,임대자산!$I$3:$I$3000,0),MATCH(I$4,임대자산!$D$3:$R$3,0)),
IF($D406="폐업",INDEX(폐업정보!$D$3:$R$3000,MATCH($F406,폐업정보!$I$3:$I$3000,0),MATCH(I$4,폐업정보!$D$3:$R$3,0)),
"Error"))</f>
        <v>A0401</v>
      </c>
      <c r="J406" s="75" t="str">
        <f aca="false">
IF($D406="정상",INDEX(임대자산!$D$3:$R$3000,MATCH($F406,임대자산!$I$3:$I$3000,0),MATCH(J$4,임대자산!$D$3:$R$3,0)),
IF($D406="폐업",INDEX(폐업정보!$D$3:$R$3000,MATCH($F406,폐업정보!$I$3:$I$3000,0),MATCH(J$4,폐업정보!$D$3:$R$3,0)),
"Error"))</f>
        <v>8427300000</v>
      </c>
      <c r="K406" s="75" t="str">
        <f aca="false">
IF($D406="정상",INDEX(임대자산!$D$3:$R$3000,MATCH($F406,임대자산!$I$3:$I$3000,0),MATCH(K$4,임대자산!$D$3:$R$3,0)),
IF($D406="폐업",INDEX(폐업정보!$D$3:$R$3000,MATCH($F406,폐업정보!$I$3:$I$3000,0),MATCH(K$4,폐업정보!$D$3:$R$3,0)),
"Error"))</f>
        <v>C0401</v>
      </c>
      <c r="L406" s="75" t="str">
        <f aca="false">
IF($D406="정상",INDEX(임대자산!$D$3:$R$3000,MATCH($F406,임대자산!$I$3:$I$3000,0),MATCH(L$4,임대자산!$D$3:$R$3,0)),
IF($D406="폐업",INDEX(폐업정보!$D$3:$R$3000,MATCH($F406,폐업정보!$I$3:$I$3000,0),MATCH(L$4,폐업정보!$D$3:$R$3,0)),
"Error"))</f>
        <v>D0401</v>
      </c>
      <c r="M406" s="76" t="s">
        <v>96</v>
      </c>
      <c r="N406" s="77"/>
      <c r="O406" s="78" t="s">
        <v>97</v>
      </c>
      <c r="P406" s="79" t="n">
        <f aca="false">COUNTIFS(임대자산!$I:$I,가맹점정보!F406,임대자산!$N:$N,가맹점정보!P$4)</f>
        <v>0</v>
      </c>
      <c r="Q406" s="80" t="n">
        <f aca="false">COUNTIFS(임대자산!$I:$I,가맹점정보!F406,임대자산!$N:$N,가맹점정보!Q$4)</f>
        <v>0</v>
      </c>
      <c r="R406" s="81" t="n">
        <f aca="false">COUNTIFS(임대자산!$I:$I,가맹점정보!F406,임대자산!$N:$N,가맹점정보!R$4)</f>
        <v>1</v>
      </c>
      <c r="S406" s="82" t="n">
        <v>55000</v>
      </c>
      <c r="T406" s="83" t="n">
        <v>0</v>
      </c>
      <c r="U406" s="80" t="n">
        <f aca="false">SUM(S406:T406)</f>
        <v>55000</v>
      </c>
      <c r="V406" s="84" t="s">
        <v>7</v>
      </c>
      <c r="W406" s="80" t="str">
        <f aca="true">
IF(D406="폐업","폐업",
IF(V406="면제","면제",
IF(AND(V406="정상",COUNTIFS(OFFSET(Y406,0,COUNTA(Y406:AV406)-1,1,-4),"미납")&gt;=3),"장기미납",
IF(AND(V406="정상",OFFSET(Y406,0,COUNTA(Y406:AV406)-1)&gt;=U406),"정상",
IF(AND(V406="정상",OFFSET(Y406,0,COUNTA(Y406:AV406)-1)=0),"정상",
"계약서 미작성")))))</f>
        <v>면제</v>
      </c>
      <c r="X406" s="81" t="str">
        <f aca="true">
IF(D406="폐업","폐업",
IF(AND(V406="정상",OFFSET(Y406,0,COUNTA(Y406:AV406)-1)="미납"),"미납",
IF(AND(V406="정상",OFFSET(Y406,0,COUNTA(Y406:AV406)-1)=0),"납부 시작 전",
IF(AND(V406="정상",OFFSET(Y406,0,COUNTA(Y406:AV406)-1)&gt;=U406),"정상",
IF(AND(V406="면제",OFFSET(Y406,0,COUNTA(Y406:AV406)-1)="면제"),"면제",
IF(AND(V406="면제",OFFSET(Y406,0,COUNTA(Y406:AV406)-1)=0),"면제",
"확인요청"))))))</f>
        <v>확인요청</v>
      </c>
      <c r="Y406" s="94" t="s">
        <v>7</v>
      </c>
      <c r="Z406" s="95" t="s">
        <v>7</v>
      </c>
      <c r="AA406" s="95" t="s">
        <v>7</v>
      </c>
      <c r="AB406" s="95" t="s">
        <v>7</v>
      </c>
      <c r="AC406" s="95" t="s">
        <v>7</v>
      </c>
      <c r="AD406" s="90" t="s">
        <v>103</v>
      </c>
      <c r="AE406" s="90" t="n">
        <v>110000</v>
      </c>
      <c r="AF406" s="90" t="n">
        <v>55000</v>
      </c>
      <c r="AG406" s="90" t="n">
        <v>55000</v>
      </c>
      <c r="AH406" s="90" t="n">
        <v>55000</v>
      </c>
      <c r="AI406" s="90" t="n">
        <v>55000</v>
      </c>
      <c r="AJ406" s="91" t="n">
        <v>55000</v>
      </c>
      <c r="AK406" s="89" t="n">
        <v>55000</v>
      </c>
      <c r="AL406" s="90" t="n">
        <v>55000</v>
      </c>
      <c r="AM406" s="90"/>
      <c r="AN406" s="90"/>
      <c r="AO406" s="90"/>
      <c r="AP406" s="90"/>
      <c r="AQ406" s="90"/>
      <c r="AR406" s="90"/>
      <c r="AS406" s="90"/>
      <c r="AT406" s="90"/>
      <c r="AU406" s="90"/>
      <c r="AV406" s="91"/>
      <c r="AX406" s="92"/>
    </row>
    <row r="407" customFormat="false" ht="15.65" hidden="false" customHeight="false" outlineLevel="0" collapsed="false">
      <c r="C407" s="72" t="n">
        <f aca="false">COUNTIFS($D$6:D407,"&lt;&gt;"&amp;"")</f>
        <v>402</v>
      </c>
      <c r="D407" s="73" t="s">
        <v>12</v>
      </c>
      <c r="E407" s="76" t="str">
        <f aca="false">
IF($D407="정상",INDEX(임대자산!$D$3:$R$3000,MATCH($F407,임대자산!$I$3:$I$3000,0),MATCH(E$3,임대자산!$D$3:$R$3,0)),
IF($D407="폐업",INDEX(폐업정보!$D$3:$R$3000,MATCH($F407,폐업정보!$I$3:$I$3000,0),MATCH(E$3,폐업정보!$D$3:$R$3,0)),
"Error"))</f>
        <v>전라</v>
      </c>
      <c r="F40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B0402</v>
      </c>
      <c r="G407" s="76" t="str">
        <f aca="false">F407&amp;RANDBETWEEN(0,10)</f>
        <v>B04026</v>
      </c>
      <c r="H407" s="75" t="n">
        <f aca="false">
IF($D407="정상",INDEX(임대자산!$D$3:$R$3000,MATCH($F407,임대자산!$I$3:$I$3000,0),MATCH(H$4,임대자산!$D$3:$R$3,0)),
IF($D407="폐업",INDEX(폐업정보!$D$3:$R$3000,MATCH($F407,폐업정보!$I$3:$I$3000,0),MATCH(H$4,폐업정보!$D$3:$R$3,0)),
"Error"))</f>
        <v>45541</v>
      </c>
      <c r="I407" s="75" t="str">
        <f aca="false">
IF($D407="정상",INDEX(임대자산!$D$3:$R$3000,MATCH($F407,임대자산!$I$3:$I$3000,0),MATCH(I$4,임대자산!$D$3:$R$3,0)),
IF($D407="폐업",INDEX(폐업정보!$D$3:$R$3000,MATCH($F407,폐업정보!$I$3:$I$3000,0),MATCH(I$4,폐업정보!$D$3:$R$3,0)),
"Error"))</f>
        <v>A0402</v>
      </c>
      <c r="J407" s="75" t="str">
        <f aca="false">
IF($D407="정상",INDEX(임대자산!$D$3:$R$3000,MATCH($F407,임대자산!$I$3:$I$3000,0),MATCH(J$4,임대자산!$D$3:$R$3,0)),
IF($D407="폐업",INDEX(폐업정보!$D$3:$R$3000,MATCH($F407,폐업정보!$I$3:$I$3000,0),MATCH(J$4,폐업정보!$D$3:$R$3,0)),
"Error"))</f>
        <v>7640200000</v>
      </c>
      <c r="K407" s="75" t="str">
        <f aca="false">
IF($D407="정상",INDEX(임대자산!$D$3:$R$3000,MATCH($F407,임대자산!$I$3:$I$3000,0),MATCH(K$4,임대자산!$D$3:$R$3,0)),
IF($D407="폐업",INDEX(폐업정보!$D$3:$R$3000,MATCH($F407,폐업정보!$I$3:$I$3000,0),MATCH(K$4,폐업정보!$D$3:$R$3,0)),
"Error"))</f>
        <v>C0402</v>
      </c>
      <c r="L407" s="75" t="str">
        <f aca="false">
IF($D407="정상",INDEX(임대자산!$D$3:$R$3000,MATCH($F407,임대자산!$I$3:$I$3000,0),MATCH(L$4,임대자산!$D$3:$R$3,0)),
IF($D407="폐업",INDEX(폐업정보!$D$3:$R$3000,MATCH($F407,폐업정보!$I$3:$I$3000,0),MATCH(L$4,폐업정보!$D$3:$R$3,0)),
"Error"))</f>
        <v>D0402</v>
      </c>
      <c r="M407" s="76" t="s">
        <v>96</v>
      </c>
      <c r="N407" s="77"/>
      <c r="O407" s="78" t="s">
        <v>97</v>
      </c>
      <c r="P407" s="79" t="n">
        <f aca="false">COUNTIFS(임대자산!$I:$I,가맹점정보!F407,임대자산!$N:$N,가맹점정보!P$4)</f>
        <v>0</v>
      </c>
      <c r="Q407" s="80" t="n">
        <f aca="false">COUNTIFS(임대자산!$I:$I,가맹점정보!F407,임대자산!$N:$N,가맹점정보!Q$4)</f>
        <v>0</v>
      </c>
      <c r="R407" s="81" t="n">
        <f aca="false">COUNTIFS(임대자산!$I:$I,가맹점정보!F407,임대자산!$N:$N,가맹점정보!R$4)</f>
        <v>1</v>
      </c>
      <c r="S407" s="82" t="n">
        <v>88000</v>
      </c>
      <c r="T407" s="83" t="n">
        <v>0</v>
      </c>
      <c r="U407" s="80" t="n">
        <f aca="false">SUM(S407:T407)</f>
        <v>88000</v>
      </c>
      <c r="V407" s="84" t="s">
        <v>7</v>
      </c>
      <c r="W407" s="80" t="str">
        <f aca="true">
IF(D407="폐업","폐업",
IF(V407="면제","면제",
IF(AND(V407="정상",COUNTIFS(OFFSET(Y407,0,COUNTA(Y407:AV407)-1,1,-4),"미납")&gt;=3),"장기미납",
IF(AND(V407="정상",OFFSET(Y407,0,COUNTA(Y407:AV407)-1)&gt;=U407),"정상",
IF(AND(V407="정상",OFFSET(Y407,0,COUNTA(Y407:AV407)-1)=0),"정상",
"계약서 미작성")))))</f>
        <v>면제</v>
      </c>
      <c r="X407" s="81" t="str">
        <f aca="true">
IF(D407="폐업","폐업",
IF(AND(V407="정상",OFFSET(Y407,0,COUNTA(Y407:AV407)-1)="미납"),"미납",
IF(AND(V407="정상",OFFSET(Y407,0,COUNTA(Y407:AV407)-1)=0),"납부 시작 전",
IF(AND(V407="정상",OFFSET(Y407,0,COUNTA(Y407:AV407)-1)&gt;=U407),"정상",
IF(AND(V407="면제",OFFSET(Y407,0,COUNTA(Y407:AV407)-1)="면제"),"면제",
IF(AND(V407="면제",OFFSET(Y407,0,COUNTA(Y407:AV407)-1)=0),"면제",
"확인요청"))))))</f>
        <v>면제</v>
      </c>
      <c r="Y407" s="94" t="s">
        <v>7</v>
      </c>
      <c r="Z407" s="95" t="s">
        <v>7</v>
      </c>
      <c r="AA407" s="95" t="s">
        <v>7</v>
      </c>
      <c r="AB407" s="95" t="s">
        <v>7</v>
      </c>
      <c r="AC407" s="95" t="s">
        <v>7</v>
      </c>
      <c r="AD407" s="95" t="s">
        <v>7</v>
      </c>
      <c r="AE407" s="95" t="s">
        <v>7</v>
      </c>
      <c r="AF407" s="95" t="s">
        <v>7</v>
      </c>
      <c r="AG407" s="95" t="s">
        <v>7</v>
      </c>
      <c r="AH407" s="95" t="s">
        <v>7</v>
      </c>
      <c r="AI407" s="95" t="s">
        <v>7</v>
      </c>
      <c r="AJ407" s="96" t="s">
        <v>7</v>
      </c>
      <c r="AK407" s="97" t="s">
        <v>7</v>
      </c>
      <c r="AL407" s="95" t="s">
        <v>7</v>
      </c>
      <c r="AM407" s="90"/>
      <c r="AN407" s="90"/>
      <c r="AO407" s="90"/>
      <c r="AP407" s="90"/>
      <c r="AQ407" s="90"/>
      <c r="AR407" s="90"/>
      <c r="AS407" s="90"/>
      <c r="AT407" s="90"/>
      <c r="AU407" s="90"/>
      <c r="AV407" s="91"/>
      <c r="AX407" s="92"/>
    </row>
    <row r="408" customFormat="false" ht="15.65" hidden="false" customHeight="false" outlineLevel="0" collapsed="false">
      <c r="C408" s="72" t="n">
        <f aca="false">COUNTIFS($D$6:D408,"&lt;&gt;"&amp;"")</f>
        <v>403</v>
      </c>
      <c r="D408" s="73" t="s">
        <v>12</v>
      </c>
      <c r="E408" s="76" t="str">
        <f aca="false">
IF($D408="정상",INDEX(임대자산!$D$3:$R$3000,MATCH($F408,임대자산!$I$3:$I$3000,0),MATCH(E$3,임대자산!$D$3:$R$3,0)),
IF($D408="폐업",INDEX(폐업정보!$D$3:$R$3000,MATCH($F408,폐업정보!$I$3:$I$3000,0),MATCH(E$3,폐업정보!$D$3:$R$3,0)),
"Error"))</f>
        <v>강원</v>
      </c>
      <c r="F40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B0403</v>
      </c>
      <c r="G408" s="76" t="str">
        <f aca="false">F408&amp;RANDBETWEEN(0,10)</f>
        <v>B040310</v>
      </c>
      <c r="H408" s="75" t="n">
        <f aca="false">
IF($D408="정상",INDEX(임대자산!$D$3:$R$3000,MATCH($F408,임대자산!$I$3:$I$3000,0),MATCH(H$4,임대자산!$D$3:$R$3,0)),
IF($D408="폐업",INDEX(폐업정보!$D$3:$R$3000,MATCH($F408,폐업정보!$I$3:$I$3000,0),MATCH(H$4,폐업정보!$D$3:$R$3,0)),
"Error"))</f>
        <v>46062</v>
      </c>
      <c r="I408" s="75" t="str">
        <f aca="false">
IF($D408="정상",INDEX(임대자산!$D$3:$R$3000,MATCH($F408,임대자산!$I$3:$I$3000,0),MATCH(I$4,임대자산!$D$3:$R$3,0)),
IF($D408="폐업",INDEX(폐업정보!$D$3:$R$3000,MATCH($F408,폐업정보!$I$3:$I$3000,0),MATCH(I$4,폐업정보!$D$3:$R$3,0)),
"Error"))</f>
        <v>A0403</v>
      </c>
      <c r="J408" s="75" t="str">
        <f aca="false">
IF($D408="정상",INDEX(임대자산!$D$3:$R$3000,MATCH($F408,임대자산!$I$3:$I$3000,0),MATCH(J$4,임대자산!$D$3:$R$3,0)),
IF($D408="폐업",INDEX(폐업정보!$D$3:$R$3000,MATCH($F408,폐업정보!$I$3:$I$3000,0),MATCH(J$4,폐업정보!$D$3:$R$3,0)),
"Error"))</f>
        <v>5793700000</v>
      </c>
      <c r="K408" s="75" t="str">
        <f aca="false">
IF($D408="정상",INDEX(임대자산!$D$3:$R$3000,MATCH($F408,임대자산!$I$3:$I$3000,0),MATCH(K$4,임대자산!$D$3:$R$3,0)),
IF($D408="폐업",INDEX(폐업정보!$D$3:$R$3000,MATCH($F408,폐업정보!$I$3:$I$3000,0),MATCH(K$4,폐업정보!$D$3:$R$3,0)),
"Error"))</f>
        <v>C0403</v>
      </c>
      <c r="L408" s="75" t="str">
        <f aca="false">
IF($D408="정상",INDEX(임대자산!$D$3:$R$3000,MATCH($F408,임대자산!$I$3:$I$3000,0),MATCH(L$4,임대자산!$D$3:$R$3,0)),
IF($D408="폐업",INDEX(폐업정보!$D$3:$R$3000,MATCH($F408,폐업정보!$I$3:$I$3000,0),MATCH(L$4,폐업정보!$D$3:$R$3,0)),
"Error"))</f>
        <v>D0403</v>
      </c>
      <c r="M408" s="76" t="s">
        <v>96</v>
      </c>
      <c r="N408" s="77"/>
      <c r="O408" s="78" t="s">
        <v>97</v>
      </c>
      <c r="P408" s="79" t="n">
        <f aca="false">COUNTIFS(임대자산!$I:$I,가맹점정보!F408,임대자산!$N:$N,가맹점정보!P$4)</f>
        <v>0</v>
      </c>
      <c r="Q408" s="80" t="n">
        <f aca="false">COUNTIFS(임대자산!$I:$I,가맹점정보!F408,임대자산!$N:$N,가맹점정보!Q$4)</f>
        <v>0</v>
      </c>
      <c r="R408" s="81" t="n">
        <f aca="false">COUNTIFS(임대자산!$I:$I,가맹점정보!F408,임대자산!$N:$N,가맹점정보!R$4)</f>
        <v>1</v>
      </c>
      <c r="S408" s="82" t="n">
        <v>55000</v>
      </c>
      <c r="T408" s="83" t="n">
        <v>0</v>
      </c>
      <c r="U408" s="80" t="n">
        <f aca="false">SUM(S408:T408)</f>
        <v>55000</v>
      </c>
      <c r="V408" s="84" t="s">
        <v>12</v>
      </c>
      <c r="W408" s="80" t="e">
        <f aca="true">
IF(D408="폐업","폐업",
IF(V408="면제","면제",
IF(AND(V408="정상",COUNTIFS(OFFSET(Y408,0,COUNTA(Y408:AV408)-1,1,-4),"미납")&gt;=3),"장기미납",
IF(AND(V408="정상",OFFSET(Y408,0,COUNTA(Y408:AV408)-1)&gt;=U408),"정상",
IF(AND(V408="정상",OFFSET(Y408,0,COUNTA(Y408:AV408)-1)=0),"정상",
"계약서 미작성")))))</f>
        <v>#VALUE!</v>
      </c>
      <c r="X408" s="81" t="str">
        <f aca="true">
IF(D408="폐업","폐업",
IF(AND(V408="정상",OFFSET(Y408,0,COUNTA(Y408:AV408)-1)="미납"),"미납",
IF(AND(V408="정상",OFFSET(Y408,0,COUNTA(Y408:AV408)-1)=0),"납부 시작 전",
IF(AND(V408="정상",OFFSET(Y408,0,COUNTA(Y408:AV408)-1)&gt;=U408),"정상",
IF(AND(V408="면제",OFFSET(Y408,0,COUNTA(Y408:AV408)-1)="면제"),"면제",
IF(AND(V408="면제",OFFSET(Y408,0,COUNTA(Y408:AV408)-1)=0),"면제",
"확인요청"))))))</f>
        <v>정상</v>
      </c>
      <c r="Y408" s="93" t="n">
        <v>0</v>
      </c>
      <c r="Z408" s="90" t="n">
        <v>55000</v>
      </c>
      <c r="AA408" s="90" t="n">
        <v>55000</v>
      </c>
      <c r="AB408" s="90" t="n">
        <v>55000</v>
      </c>
      <c r="AC408" s="90" t="n">
        <v>55000</v>
      </c>
      <c r="AD408" s="90" t="n">
        <v>55000</v>
      </c>
      <c r="AE408" s="90" t="n">
        <v>55000</v>
      </c>
      <c r="AF408" s="90" t="n">
        <v>55000</v>
      </c>
      <c r="AG408" s="90" t="n">
        <v>55000</v>
      </c>
      <c r="AH408" s="90" t="n">
        <v>55000</v>
      </c>
      <c r="AI408" s="90" t="n">
        <v>55000</v>
      </c>
      <c r="AJ408" s="91" t="n">
        <v>55000</v>
      </c>
      <c r="AK408" s="89" t="n">
        <v>55000</v>
      </c>
      <c r="AL408" s="90" t="n">
        <v>55000</v>
      </c>
      <c r="AM408" s="90"/>
      <c r="AN408" s="90"/>
      <c r="AO408" s="90"/>
      <c r="AP408" s="90"/>
      <c r="AQ408" s="90"/>
      <c r="AR408" s="90"/>
      <c r="AS408" s="90"/>
      <c r="AT408" s="90"/>
      <c r="AU408" s="90"/>
      <c r="AV408" s="91"/>
      <c r="AX408" s="92"/>
    </row>
    <row r="409" customFormat="false" ht="15.65" hidden="false" customHeight="false" outlineLevel="0" collapsed="false">
      <c r="C409" s="72" t="n">
        <f aca="false">COUNTIFS($D$6:D409,"&lt;&gt;"&amp;"")</f>
        <v>404</v>
      </c>
      <c r="D409" s="73" t="s">
        <v>12</v>
      </c>
      <c r="E409" s="76" t="str">
        <f aca="false">
IF($D409="정상",INDEX(임대자산!$D$3:$R$3000,MATCH($F409,임대자산!$I$3:$I$3000,0),MATCH(E$3,임대자산!$D$3:$R$3,0)),
IF($D409="폐업",INDEX(폐업정보!$D$3:$R$3000,MATCH($F409,폐업정보!$I$3:$I$3000,0),MATCH(E$3,폐업정보!$D$3:$R$3,0)),
"Error"))</f>
        <v>강원</v>
      </c>
      <c r="F40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B0404</v>
      </c>
      <c r="G409" s="76" t="str">
        <f aca="false">F409&amp;RANDBETWEEN(0,10)</f>
        <v>B04040</v>
      </c>
      <c r="H409" s="75" t="n">
        <f aca="false">
IF($D409="정상",INDEX(임대자산!$D$3:$R$3000,MATCH($F409,임대자산!$I$3:$I$3000,0),MATCH(H$4,임대자산!$D$3:$R$3,0)),
IF($D409="폐업",INDEX(폐업정보!$D$3:$R$3000,MATCH($F409,폐업정보!$I$3:$I$3000,0),MATCH(H$4,폐업정보!$D$3:$R$3,0)),
"Error"))</f>
        <v>45971</v>
      </c>
      <c r="I409" s="75" t="str">
        <f aca="false">
IF($D409="정상",INDEX(임대자산!$D$3:$R$3000,MATCH($F409,임대자산!$I$3:$I$3000,0),MATCH(I$4,임대자산!$D$3:$R$3,0)),
IF($D409="폐업",INDEX(폐업정보!$D$3:$R$3000,MATCH($F409,폐업정보!$I$3:$I$3000,0),MATCH(I$4,폐업정보!$D$3:$R$3,0)),
"Error"))</f>
        <v>A0404</v>
      </c>
      <c r="J409" s="75" t="str">
        <f aca="false">
IF($D409="정상",INDEX(임대자산!$D$3:$R$3000,MATCH($F409,임대자산!$I$3:$I$3000,0),MATCH(J$4,임대자산!$D$3:$R$3,0)),
IF($D409="폐업",INDEX(폐업정보!$D$3:$R$3000,MATCH($F409,폐업정보!$I$3:$I$3000,0),MATCH(J$4,폐업정보!$D$3:$R$3,0)),
"Error"))</f>
        <v>1954500000</v>
      </c>
      <c r="K409" s="75" t="str">
        <f aca="false">
IF($D409="정상",INDEX(임대자산!$D$3:$R$3000,MATCH($F409,임대자산!$I$3:$I$3000,0),MATCH(K$4,임대자산!$D$3:$R$3,0)),
IF($D409="폐업",INDEX(폐업정보!$D$3:$R$3000,MATCH($F409,폐업정보!$I$3:$I$3000,0),MATCH(K$4,폐업정보!$D$3:$R$3,0)),
"Error"))</f>
        <v>C0404</v>
      </c>
      <c r="L409" s="75" t="str">
        <f aca="false">
IF($D409="정상",INDEX(임대자산!$D$3:$R$3000,MATCH($F409,임대자산!$I$3:$I$3000,0),MATCH(L$4,임대자산!$D$3:$R$3,0)),
IF($D409="폐업",INDEX(폐업정보!$D$3:$R$3000,MATCH($F409,폐업정보!$I$3:$I$3000,0),MATCH(L$4,폐업정보!$D$3:$R$3,0)),
"Error"))</f>
        <v>D0404</v>
      </c>
      <c r="M409" s="76" t="s">
        <v>96</v>
      </c>
      <c r="N409" s="77"/>
      <c r="O409" s="78" t="s">
        <v>97</v>
      </c>
      <c r="P409" s="79" t="n">
        <f aca="false">COUNTIFS(임대자산!$I:$I,가맹점정보!F409,임대자산!$N:$N,가맹점정보!P$4)</f>
        <v>0</v>
      </c>
      <c r="Q409" s="80" t="n">
        <f aca="false">COUNTIFS(임대자산!$I:$I,가맹점정보!F409,임대자산!$N:$N,가맹점정보!Q$4)</f>
        <v>0</v>
      </c>
      <c r="R409" s="81" t="n">
        <f aca="false">COUNTIFS(임대자산!$I:$I,가맹점정보!F409,임대자산!$N:$N,가맹점정보!R$4)</f>
        <v>1</v>
      </c>
      <c r="S409" s="82" t="n">
        <v>55000</v>
      </c>
      <c r="T409" s="83" t="n">
        <v>0</v>
      </c>
      <c r="U409" s="80" t="n">
        <f aca="false">SUM(S409:T409)</f>
        <v>55000</v>
      </c>
      <c r="V409" s="84" t="s">
        <v>7</v>
      </c>
      <c r="W409" s="80" t="str">
        <f aca="true">
IF(D409="폐업","폐업",
IF(V409="면제","면제",
IF(AND(V409="정상",COUNTIFS(OFFSET(Y409,0,COUNTA(Y409:AV409)-1,1,-4),"미납")&gt;=3),"장기미납",
IF(AND(V409="정상",OFFSET(Y409,0,COUNTA(Y409:AV409)-1)&gt;=U409),"정상",
IF(AND(V409="정상",OFFSET(Y409,0,COUNTA(Y409:AV409)-1)=0),"정상",
"계약서 미작성")))))</f>
        <v>면제</v>
      </c>
      <c r="X409" s="81" t="str">
        <f aca="true">
IF(D409="폐업","폐업",
IF(AND(V409="정상",OFFSET(Y409,0,COUNTA(Y409:AV409)-1)="미납"),"미납",
IF(AND(V409="정상",OFFSET(Y409,0,COUNTA(Y409:AV409)-1)=0),"납부 시작 전",
IF(AND(V409="정상",OFFSET(Y409,0,COUNTA(Y409:AV409)-1)&gt;=U409),"정상",
IF(AND(V409="면제",OFFSET(Y409,0,COUNTA(Y409:AV409)-1)="면제"),"면제",
IF(AND(V409="면제",OFFSET(Y409,0,COUNTA(Y409:AV409)-1)=0),"면제",
"확인요청"))))))</f>
        <v>면제</v>
      </c>
      <c r="Y409" s="94" t="s">
        <v>7</v>
      </c>
      <c r="Z409" s="95" t="s">
        <v>7</v>
      </c>
      <c r="AA409" s="95" t="s">
        <v>7</v>
      </c>
      <c r="AB409" s="95" t="s">
        <v>7</v>
      </c>
      <c r="AC409" s="95" t="s">
        <v>7</v>
      </c>
      <c r="AD409" s="95" t="s">
        <v>7</v>
      </c>
      <c r="AE409" s="95" t="s">
        <v>7</v>
      </c>
      <c r="AF409" s="95" t="s">
        <v>7</v>
      </c>
      <c r="AG409" s="95" t="s">
        <v>7</v>
      </c>
      <c r="AH409" s="95" t="s">
        <v>7</v>
      </c>
      <c r="AI409" s="95" t="s">
        <v>7</v>
      </c>
      <c r="AJ409" s="96" t="s">
        <v>7</v>
      </c>
      <c r="AK409" s="97" t="s">
        <v>7</v>
      </c>
      <c r="AL409" s="95" t="s">
        <v>7</v>
      </c>
      <c r="AM409" s="90"/>
      <c r="AN409" s="90"/>
      <c r="AO409" s="90"/>
      <c r="AP409" s="90"/>
      <c r="AQ409" s="90"/>
      <c r="AR409" s="90"/>
      <c r="AS409" s="90"/>
      <c r="AT409" s="90"/>
      <c r="AU409" s="90"/>
      <c r="AV409" s="91"/>
      <c r="AX409" s="92"/>
    </row>
    <row r="410" customFormat="false" ht="15.65" hidden="false" customHeight="false" outlineLevel="0" collapsed="false">
      <c r="C410" s="72" t="n">
        <f aca="false">COUNTIFS($D$6:D410,"&lt;&gt;"&amp;"")</f>
        <v>405</v>
      </c>
      <c r="D410" s="73" t="s">
        <v>12</v>
      </c>
      <c r="E410" s="76" t="str">
        <f aca="false">
IF($D410="정상",INDEX(임대자산!$D$3:$R$3000,MATCH($F410,임대자산!$I$3:$I$3000,0),MATCH(E$3,임대자산!$D$3:$R$3,0)),
IF($D410="폐업",INDEX(폐업정보!$D$3:$R$3000,MATCH($F410,폐업정보!$I$3:$I$3000,0),MATCH(E$3,폐업정보!$D$3:$R$3,0)),
"Error"))</f>
        <v>경기</v>
      </c>
      <c r="F41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B0405</v>
      </c>
      <c r="G410" s="76" t="str">
        <f aca="false">F410&amp;RANDBETWEEN(0,10)</f>
        <v>B04051</v>
      </c>
      <c r="H410" s="75" t="n">
        <f aca="false">
IF($D410="정상",INDEX(임대자산!$D$3:$R$3000,MATCH($F410,임대자산!$I$3:$I$3000,0),MATCH(H$4,임대자산!$D$3:$R$3,0)),
IF($D410="폐업",INDEX(폐업정보!$D$3:$R$3000,MATCH($F410,폐업정보!$I$3:$I$3000,0),MATCH(H$4,폐업정보!$D$3:$R$3,0)),
"Error"))</f>
        <v>45720</v>
      </c>
      <c r="I410" s="75" t="str">
        <f aca="false">
IF($D410="정상",INDEX(임대자산!$D$3:$R$3000,MATCH($F410,임대자산!$I$3:$I$3000,0),MATCH(I$4,임대자산!$D$3:$R$3,0)),
IF($D410="폐업",INDEX(폐업정보!$D$3:$R$3000,MATCH($F410,폐업정보!$I$3:$I$3000,0),MATCH(I$4,폐업정보!$D$3:$R$3,0)),
"Error"))</f>
        <v>A0405</v>
      </c>
      <c r="J410" s="75" t="str">
        <f aca="false">
IF($D410="정상",INDEX(임대자산!$D$3:$R$3000,MATCH($F410,임대자산!$I$3:$I$3000,0),MATCH(J$4,임대자산!$D$3:$R$3,0)),
IF($D410="폐업",INDEX(폐업정보!$D$3:$R$3000,MATCH($F410,폐업정보!$I$3:$I$3000,0),MATCH(J$4,폐업정보!$D$3:$R$3,0)),
"Error"))</f>
        <v>9365200000</v>
      </c>
      <c r="K410" s="75" t="str">
        <f aca="false">
IF($D410="정상",INDEX(임대자산!$D$3:$R$3000,MATCH($F410,임대자산!$I$3:$I$3000,0),MATCH(K$4,임대자산!$D$3:$R$3,0)),
IF($D410="폐업",INDEX(폐업정보!$D$3:$R$3000,MATCH($F410,폐업정보!$I$3:$I$3000,0),MATCH(K$4,폐업정보!$D$3:$R$3,0)),
"Error"))</f>
        <v>C0405</v>
      </c>
      <c r="L410" s="75" t="str">
        <f aca="false">
IF($D410="정상",INDEX(임대자산!$D$3:$R$3000,MATCH($F410,임대자산!$I$3:$I$3000,0),MATCH(L$4,임대자산!$D$3:$R$3,0)),
IF($D410="폐업",INDEX(폐업정보!$D$3:$R$3000,MATCH($F410,폐업정보!$I$3:$I$3000,0),MATCH(L$4,폐업정보!$D$3:$R$3,0)),
"Error"))</f>
        <v>D0405</v>
      </c>
      <c r="M410" s="76" t="s">
        <v>96</v>
      </c>
      <c r="N410" s="77"/>
      <c r="O410" s="78" t="s">
        <v>97</v>
      </c>
      <c r="P410" s="79" t="n">
        <f aca="false">COUNTIFS(임대자산!$I:$I,가맹점정보!F410,임대자산!$N:$N,가맹점정보!P$4)</f>
        <v>0</v>
      </c>
      <c r="Q410" s="80" t="n">
        <f aca="false">COUNTIFS(임대자산!$I:$I,가맹점정보!F410,임대자산!$N:$N,가맹점정보!Q$4)</f>
        <v>0</v>
      </c>
      <c r="R410" s="81" t="n">
        <f aca="false">COUNTIFS(임대자산!$I:$I,가맹점정보!F410,임대자산!$N:$N,가맹점정보!R$4)</f>
        <v>1</v>
      </c>
      <c r="S410" s="82" t="n">
        <v>110000</v>
      </c>
      <c r="T410" s="83" t="n">
        <v>0</v>
      </c>
      <c r="U410" s="80" t="n">
        <f aca="false">SUM(S410:T410)</f>
        <v>110000</v>
      </c>
      <c r="V410" s="84" t="s">
        <v>12</v>
      </c>
      <c r="W410" s="80" t="e">
        <f aca="true">
IF(D410="폐업","폐업",
IF(V410="면제","면제",
IF(AND(V410="정상",COUNTIFS(OFFSET(Y410,0,COUNTA(Y410:AV410)-1,1,-4),"미납")&gt;=3),"장기미납",
IF(AND(V410="정상",OFFSET(Y410,0,COUNTA(Y410:AV410)-1)&gt;=U410),"정상",
IF(AND(V410="정상",OFFSET(Y410,0,COUNTA(Y410:AV410)-1)=0),"정상",
"계약서 미작성")))))</f>
        <v>#VALUE!</v>
      </c>
      <c r="X410" s="81" t="str">
        <f aca="true">
IF(D410="폐업","폐업",
IF(AND(V410="정상",OFFSET(Y410,0,COUNTA(Y410:AV410)-1)="미납"),"미납",
IF(AND(V410="정상",OFFSET(Y410,0,COUNTA(Y410:AV410)-1)=0),"납부 시작 전",
IF(AND(V410="정상",OFFSET(Y410,0,COUNTA(Y410:AV410)-1)&gt;=U410),"정상",
IF(AND(V410="면제",OFFSET(Y410,0,COUNTA(Y410:AV410)-1)="면제"),"면제",
IF(AND(V410="면제",OFFSET(Y410,0,COUNTA(Y410:AV410)-1)=0),"면제",
"확인요청"))))))</f>
        <v>정상</v>
      </c>
      <c r="Y410" s="93" t="n">
        <v>110000</v>
      </c>
      <c r="Z410" s="90" t="n">
        <v>110000</v>
      </c>
      <c r="AA410" s="90" t="n">
        <v>110000</v>
      </c>
      <c r="AB410" s="90" t="n">
        <v>110000</v>
      </c>
      <c r="AC410" s="90" t="n">
        <v>110000</v>
      </c>
      <c r="AD410" s="90" t="n">
        <v>110000</v>
      </c>
      <c r="AE410" s="90" t="n">
        <v>110000</v>
      </c>
      <c r="AF410" s="90" t="n">
        <v>110000</v>
      </c>
      <c r="AG410" s="90" t="n">
        <v>110000</v>
      </c>
      <c r="AH410" s="90" t="n">
        <v>110000</v>
      </c>
      <c r="AI410" s="90" t="n">
        <v>110000</v>
      </c>
      <c r="AJ410" s="91" t="n">
        <v>110000</v>
      </c>
      <c r="AK410" s="89" t="n">
        <v>110000</v>
      </c>
      <c r="AL410" s="90" t="n">
        <v>110000</v>
      </c>
      <c r="AM410" s="90"/>
      <c r="AN410" s="90"/>
      <c r="AO410" s="90"/>
      <c r="AP410" s="90"/>
      <c r="AQ410" s="90"/>
      <c r="AR410" s="90"/>
      <c r="AS410" s="90"/>
      <c r="AT410" s="90"/>
      <c r="AU410" s="90"/>
      <c r="AV410" s="91"/>
      <c r="AX410" s="92"/>
    </row>
    <row r="411" customFormat="false" ht="15.65" hidden="false" customHeight="false" outlineLevel="0" collapsed="false">
      <c r="C411" s="72" t="n">
        <f aca="false">COUNTIFS($D$6:D411,"&lt;&gt;"&amp;"")</f>
        <v>406</v>
      </c>
      <c r="D411" s="73" t="s">
        <v>12</v>
      </c>
      <c r="E411" s="76" t="str">
        <f aca="false">
IF($D411="정상",INDEX(임대자산!$D$3:$R$3000,MATCH($F411,임대자산!$I$3:$I$3000,0),MATCH(E$3,임대자산!$D$3:$R$3,0)),
IF($D411="폐업",INDEX(폐업정보!$D$3:$R$3000,MATCH($F411,폐업정보!$I$3:$I$3000,0),MATCH(E$3,폐업정보!$D$3:$R$3,0)),
"Error"))</f>
        <v>전라</v>
      </c>
      <c r="F41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B0406</v>
      </c>
      <c r="G411" s="76" t="str">
        <f aca="false">F411&amp;RANDBETWEEN(0,10)</f>
        <v>B04068</v>
      </c>
      <c r="H411" s="75" t="n">
        <f aca="false">
IF($D411="정상",INDEX(임대자산!$D$3:$R$3000,MATCH($F411,임대자산!$I$3:$I$3000,0),MATCH(H$4,임대자산!$D$3:$R$3,0)),
IF($D411="폐업",INDEX(폐업정보!$D$3:$R$3000,MATCH($F411,폐업정보!$I$3:$I$3000,0),MATCH(H$4,폐업정보!$D$3:$R$3,0)),
"Error"))</f>
        <v>45435</v>
      </c>
      <c r="I411" s="75" t="str">
        <f aca="false">
IF($D411="정상",INDEX(임대자산!$D$3:$R$3000,MATCH($F411,임대자산!$I$3:$I$3000,0),MATCH(I$4,임대자산!$D$3:$R$3,0)),
IF($D411="폐업",INDEX(폐업정보!$D$3:$R$3000,MATCH($F411,폐업정보!$I$3:$I$3000,0),MATCH(I$4,폐업정보!$D$3:$R$3,0)),
"Error"))</f>
        <v>A0406</v>
      </c>
      <c r="J411" s="75" t="str">
        <f aca="false">
IF($D411="정상",INDEX(임대자산!$D$3:$R$3000,MATCH($F411,임대자산!$I$3:$I$3000,0),MATCH(J$4,임대자산!$D$3:$R$3,0)),
IF($D411="폐업",INDEX(폐업정보!$D$3:$R$3000,MATCH($F411,폐업정보!$I$3:$I$3000,0),MATCH(J$4,폐업정보!$D$3:$R$3,0)),
"Error"))</f>
        <v>9053100000</v>
      </c>
      <c r="K411" s="75" t="str">
        <f aca="false">
IF($D411="정상",INDEX(임대자산!$D$3:$R$3000,MATCH($F411,임대자산!$I$3:$I$3000,0),MATCH(K$4,임대자산!$D$3:$R$3,0)),
IF($D411="폐업",INDEX(폐업정보!$D$3:$R$3000,MATCH($F411,폐업정보!$I$3:$I$3000,0),MATCH(K$4,폐업정보!$D$3:$R$3,0)),
"Error"))</f>
        <v>C0406</v>
      </c>
      <c r="L411" s="75" t="str">
        <f aca="false">
IF($D411="정상",INDEX(임대자산!$D$3:$R$3000,MATCH($F411,임대자산!$I$3:$I$3000,0),MATCH(L$4,임대자산!$D$3:$R$3,0)),
IF($D411="폐업",INDEX(폐업정보!$D$3:$R$3000,MATCH($F411,폐업정보!$I$3:$I$3000,0),MATCH(L$4,폐업정보!$D$3:$R$3,0)),
"Error"))</f>
        <v>D0406</v>
      </c>
      <c r="M411" s="76" t="s">
        <v>96</v>
      </c>
      <c r="N411" s="77"/>
      <c r="O411" s="78" t="s">
        <v>97</v>
      </c>
      <c r="P411" s="79" t="n">
        <f aca="false">COUNTIFS(임대자산!$I:$I,가맹점정보!F411,임대자산!$N:$N,가맹점정보!P$4)</f>
        <v>0</v>
      </c>
      <c r="Q411" s="80" t="n">
        <f aca="false">COUNTIFS(임대자산!$I:$I,가맹점정보!F411,임대자산!$N:$N,가맹점정보!Q$4)</f>
        <v>0</v>
      </c>
      <c r="R411" s="81" t="n">
        <f aca="false">COUNTIFS(임대자산!$I:$I,가맹점정보!F411,임대자산!$N:$N,가맹점정보!R$4)</f>
        <v>1</v>
      </c>
      <c r="S411" s="82" t="n">
        <v>55000</v>
      </c>
      <c r="T411" s="83" t="n">
        <v>0</v>
      </c>
      <c r="U411" s="80" t="n">
        <f aca="false">SUM(S411:T411)</f>
        <v>55000</v>
      </c>
      <c r="V411" s="84" t="s">
        <v>7</v>
      </c>
      <c r="W411" s="80" t="str">
        <f aca="true">
IF(D411="폐업","폐업",
IF(V411="면제","면제",
IF(AND(V411="정상",COUNTIFS(OFFSET(Y411,0,COUNTA(Y411:AV411)-1,1,-4),"미납")&gt;=3),"장기미납",
IF(AND(V411="정상",OFFSET(Y411,0,COUNTA(Y411:AV411)-1)&gt;=U411),"정상",
IF(AND(V411="정상",OFFSET(Y411,0,COUNTA(Y411:AV411)-1)=0),"정상",
"계약서 미작성")))))</f>
        <v>면제</v>
      </c>
      <c r="X411" s="81" t="str">
        <f aca="true">
IF(D411="폐업","폐업",
IF(AND(V411="정상",OFFSET(Y411,0,COUNTA(Y411:AV411)-1)="미납"),"미납",
IF(AND(V411="정상",OFFSET(Y411,0,COUNTA(Y411:AV411)-1)=0),"납부 시작 전",
IF(AND(V411="정상",OFFSET(Y411,0,COUNTA(Y411:AV411)-1)&gt;=U411),"정상",
IF(AND(V411="면제",OFFSET(Y411,0,COUNTA(Y411:AV411)-1)="면제"),"면제",
IF(AND(V411="면제",OFFSET(Y411,0,COUNTA(Y411:AV411)-1)=0),"면제",
"확인요청"))))))</f>
        <v>면제</v>
      </c>
      <c r="Y411" s="94" t="s">
        <v>7</v>
      </c>
      <c r="Z411" s="95" t="s">
        <v>7</v>
      </c>
      <c r="AA411" s="95" t="s">
        <v>7</v>
      </c>
      <c r="AB411" s="95" t="s">
        <v>7</v>
      </c>
      <c r="AC411" s="95" t="s">
        <v>7</v>
      </c>
      <c r="AD411" s="95" t="s">
        <v>7</v>
      </c>
      <c r="AE411" s="95" t="s">
        <v>7</v>
      </c>
      <c r="AF411" s="95" t="s">
        <v>7</v>
      </c>
      <c r="AG411" s="95" t="s">
        <v>7</v>
      </c>
      <c r="AH411" s="95" t="s">
        <v>7</v>
      </c>
      <c r="AI411" s="95" t="s">
        <v>7</v>
      </c>
      <c r="AJ411" s="96" t="s">
        <v>7</v>
      </c>
      <c r="AK411" s="97" t="s">
        <v>7</v>
      </c>
      <c r="AL411" s="95" t="s">
        <v>7</v>
      </c>
      <c r="AM411" s="90"/>
      <c r="AN411" s="90"/>
      <c r="AO411" s="90"/>
      <c r="AP411" s="90"/>
      <c r="AQ411" s="90"/>
      <c r="AR411" s="90"/>
      <c r="AS411" s="90"/>
      <c r="AT411" s="90"/>
      <c r="AU411" s="90"/>
      <c r="AV411" s="91"/>
      <c r="AX411" s="92"/>
    </row>
    <row r="412" customFormat="false" ht="15.65" hidden="false" customHeight="false" outlineLevel="0" collapsed="false">
      <c r="C412" s="72" t="n">
        <f aca="false">COUNTIFS($D$6:D412,"&lt;&gt;"&amp;"")</f>
        <v>407</v>
      </c>
      <c r="D412" s="73" t="s">
        <v>12</v>
      </c>
      <c r="E412" s="76" t="str">
        <f aca="false">
IF($D412="정상",INDEX(임대자산!$D$3:$R$3000,MATCH($F412,임대자산!$I$3:$I$3000,0),MATCH(E$3,임대자산!$D$3:$R$3,0)),
IF($D412="폐업",INDEX(폐업정보!$D$3:$R$3000,MATCH($F412,폐업정보!$I$3:$I$3000,0),MATCH(E$3,폐업정보!$D$3:$R$3,0)),
"Error"))</f>
        <v>서울</v>
      </c>
      <c r="F41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B0407</v>
      </c>
      <c r="G412" s="76" t="str">
        <f aca="false">F412&amp;RANDBETWEEN(0,10)</f>
        <v>B04079</v>
      </c>
      <c r="H412" s="75" t="n">
        <f aca="false">
IF($D412="정상",INDEX(임대자산!$D$3:$R$3000,MATCH($F412,임대자산!$I$3:$I$3000,0),MATCH(H$4,임대자산!$D$3:$R$3,0)),
IF($D412="폐업",INDEX(폐업정보!$D$3:$R$3000,MATCH($F412,폐업정보!$I$3:$I$3000,0),MATCH(H$4,폐업정보!$D$3:$R$3,0)),
"Error"))</f>
        <v>45558</v>
      </c>
      <c r="I412" s="75" t="str">
        <f aca="false">
IF($D412="정상",INDEX(임대자산!$D$3:$R$3000,MATCH($F412,임대자산!$I$3:$I$3000,0),MATCH(I$4,임대자산!$D$3:$R$3,0)),
IF($D412="폐업",INDEX(폐업정보!$D$3:$R$3000,MATCH($F412,폐업정보!$I$3:$I$3000,0),MATCH(I$4,폐업정보!$D$3:$R$3,0)),
"Error"))</f>
        <v>A0407</v>
      </c>
      <c r="J412" s="75" t="str">
        <f aca="false">
IF($D412="정상",INDEX(임대자산!$D$3:$R$3000,MATCH($F412,임대자산!$I$3:$I$3000,0),MATCH(J$4,임대자산!$D$3:$R$3,0)),
IF($D412="폐업",INDEX(폐업정보!$D$3:$R$3000,MATCH($F412,폐업정보!$I$3:$I$3000,0),MATCH(J$4,폐업정보!$D$3:$R$3,0)),
"Error"))</f>
        <v>2140100000</v>
      </c>
      <c r="K412" s="75" t="str">
        <f aca="false">
IF($D412="정상",INDEX(임대자산!$D$3:$R$3000,MATCH($F412,임대자산!$I$3:$I$3000,0),MATCH(K$4,임대자산!$D$3:$R$3,0)),
IF($D412="폐업",INDEX(폐업정보!$D$3:$R$3000,MATCH($F412,폐업정보!$I$3:$I$3000,0),MATCH(K$4,폐업정보!$D$3:$R$3,0)),
"Error"))</f>
        <v>C0407</v>
      </c>
      <c r="L412" s="75" t="str">
        <f aca="false">
IF($D412="정상",INDEX(임대자산!$D$3:$R$3000,MATCH($F412,임대자산!$I$3:$I$3000,0),MATCH(L$4,임대자산!$D$3:$R$3,0)),
IF($D412="폐업",INDEX(폐업정보!$D$3:$R$3000,MATCH($F412,폐업정보!$I$3:$I$3000,0),MATCH(L$4,폐업정보!$D$3:$R$3,0)),
"Error"))</f>
        <v>D0407</v>
      </c>
      <c r="M412" s="76" t="s">
        <v>96</v>
      </c>
      <c r="N412" s="77"/>
      <c r="O412" s="78" t="s">
        <v>97</v>
      </c>
      <c r="P412" s="79" t="n">
        <f aca="false">COUNTIFS(임대자산!$I:$I,가맹점정보!F412,임대자산!$N:$N,가맹점정보!P$4)</f>
        <v>0</v>
      </c>
      <c r="Q412" s="80" t="n">
        <f aca="false">COUNTIFS(임대자산!$I:$I,가맹점정보!F412,임대자산!$N:$N,가맹점정보!Q$4)</f>
        <v>0</v>
      </c>
      <c r="R412" s="81" t="n">
        <f aca="false">COUNTIFS(임대자산!$I:$I,가맹점정보!F412,임대자산!$N:$N,가맹점정보!R$4)</f>
        <v>1</v>
      </c>
      <c r="S412" s="82" t="n">
        <v>55000</v>
      </c>
      <c r="T412" s="83" t="n">
        <v>0</v>
      </c>
      <c r="U412" s="80" t="n">
        <f aca="false">SUM(S412:T412)</f>
        <v>55000</v>
      </c>
      <c r="V412" s="84" t="s">
        <v>12</v>
      </c>
      <c r="W412" s="80" t="e">
        <f aca="true">
IF(D412="폐업","폐업",
IF(V412="면제","면제",
IF(AND(V412="정상",COUNTIFS(OFFSET(Y412,0,COUNTA(Y412:AV412)-1,1,-4),"미납")&gt;=3),"장기미납",
IF(AND(V412="정상",OFFSET(Y412,0,COUNTA(Y412:AV412)-1)&gt;=U412),"정상",
IF(AND(V412="정상",OFFSET(Y412,0,COUNTA(Y412:AV412)-1)=0),"정상",
"계약서 미작성")))))</f>
        <v>#VALUE!</v>
      </c>
      <c r="X412" s="81" t="str">
        <f aca="true">
IF(D412="폐업","폐업",
IF(AND(V412="정상",OFFSET(Y412,0,COUNTA(Y412:AV412)-1)="미납"),"미납",
IF(AND(V412="정상",OFFSET(Y412,0,COUNTA(Y412:AV412)-1)=0),"납부 시작 전",
IF(AND(V412="정상",OFFSET(Y412,0,COUNTA(Y412:AV412)-1)&gt;=U412),"정상",
IF(AND(V412="면제",OFFSET(Y412,0,COUNTA(Y412:AV412)-1)="면제"),"면제",
IF(AND(V412="면제",OFFSET(Y412,0,COUNTA(Y412:AV412)-1)=0),"면제",
"확인요청"))))))</f>
        <v>정상</v>
      </c>
      <c r="Y412" s="93" t="n">
        <v>55000</v>
      </c>
      <c r="Z412" s="90" t="n">
        <v>55000</v>
      </c>
      <c r="AA412" s="90" t="n">
        <v>55000</v>
      </c>
      <c r="AB412" s="90" t="n">
        <v>55000</v>
      </c>
      <c r="AC412" s="90" t="n">
        <v>55000</v>
      </c>
      <c r="AD412" s="90" t="n">
        <v>55000</v>
      </c>
      <c r="AE412" s="90" t="n">
        <v>55000</v>
      </c>
      <c r="AF412" s="90" t="n">
        <v>55000</v>
      </c>
      <c r="AG412" s="90" t="n">
        <v>55000</v>
      </c>
      <c r="AH412" s="90" t="n">
        <v>55000</v>
      </c>
      <c r="AI412" s="90" t="n">
        <v>55000</v>
      </c>
      <c r="AJ412" s="91" t="n">
        <v>55000</v>
      </c>
      <c r="AK412" s="89" t="n">
        <v>55000</v>
      </c>
      <c r="AL412" s="90" t="n">
        <v>55000</v>
      </c>
      <c r="AM412" s="90"/>
      <c r="AN412" s="90"/>
      <c r="AO412" s="90"/>
      <c r="AP412" s="90"/>
      <c r="AQ412" s="90"/>
      <c r="AR412" s="90"/>
      <c r="AS412" s="90"/>
      <c r="AT412" s="90"/>
      <c r="AU412" s="90"/>
      <c r="AV412" s="91"/>
      <c r="AX412" s="92"/>
    </row>
    <row r="413" customFormat="false" ht="15.65" hidden="false" customHeight="false" outlineLevel="0" collapsed="false">
      <c r="C413" s="72" t="n">
        <f aca="false">COUNTIFS($D$6:D413,"&lt;&gt;"&amp;"")</f>
        <v>408</v>
      </c>
      <c r="D413" s="73" t="s">
        <v>12</v>
      </c>
      <c r="E413" s="76" t="str">
        <f aca="false">
IF($D413="정상",INDEX(임대자산!$D$3:$R$3000,MATCH($F413,임대자산!$I$3:$I$3000,0),MATCH(E$3,임대자산!$D$3:$R$3,0)),
IF($D413="폐업",INDEX(폐업정보!$D$3:$R$3000,MATCH($F413,폐업정보!$I$3:$I$3000,0),MATCH(E$3,폐업정보!$D$3:$R$3,0)),
"Error"))</f>
        <v>서울</v>
      </c>
      <c r="F41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B0408</v>
      </c>
      <c r="G413" s="76" t="str">
        <f aca="false">F413&amp;RANDBETWEEN(0,10)</f>
        <v>B04086</v>
      </c>
      <c r="H413" s="75" t="n">
        <f aca="false">
IF($D413="정상",INDEX(임대자산!$D$3:$R$3000,MATCH($F413,임대자산!$I$3:$I$3000,0),MATCH(H$4,임대자산!$D$3:$R$3,0)),
IF($D413="폐업",INDEX(폐업정보!$D$3:$R$3000,MATCH($F413,폐업정보!$I$3:$I$3000,0),MATCH(H$4,폐업정보!$D$3:$R$3,0)),
"Error"))</f>
        <v>45558</v>
      </c>
      <c r="I413" s="75" t="str">
        <f aca="false">
IF($D413="정상",INDEX(임대자산!$D$3:$R$3000,MATCH($F413,임대자산!$I$3:$I$3000,0),MATCH(I$4,임대자산!$D$3:$R$3,0)),
IF($D413="폐업",INDEX(폐업정보!$D$3:$R$3000,MATCH($F413,폐업정보!$I$3:$I$3000,0),MATCH(I$4,폐업정보!$D$3:$R$3,0)),
"Error"))</f>
        <v>A0408</v>
      </c>
      <c r="J413" s="75" t="str">
        <f aca="false">
IF($D413="정상",INDEX(임대자산!$D$3:$R$3000,MATCH($F413,임대자산!$I$3:$I$3000,0),MATCH(J$4,임대자산!$D$3:$R$3,0)),
IF($D413="폐업",INDEX(폐업정보!$D$3:$R$3000,MATCH($F413,폐업정보!$I$3:$I$3000,0),MATCH(J$4,폐업정보!$D$3:$R$3,0)),
"Error"))</f>
        <v>5103000000</v>
      </c>
      <c r="K413" s="75" t="str">
        <f aca="false">
IF($D413="정상",INDEX(임대자산!$D$3:$R$3000,MATCH($F413,임대자산!$I$3:$I$3000,0),MATCH(K$4,임대자산!$D$3:$R$3,0)),
IF($D413="폐업",INDEX(폐업정보!$D$3:$R$3000,MATCH($F413,폐업정보!$I$3:$I$3000,0),MATCH(K$4,폐업정보!$D$3:$R$3,0)),
"Error"))</f>
        <v>C0408</v>
      </c>
      <c r="L413" s="75" t="str">
        <f aca="false">
IF($D413="정상",INDEX(임대자산!$D$3:$R$3000,MATCH($F413,임대자산!$I$3:$I$3000,0),MATCH(L$4,임대자산!$D$3:$R$3,0)),
IF($D413="폐업",INDEX(폐업정보!$D$3:$R$3000,MATCH($F413,폐업정보!$I$3:$I$3000,0),MATCH(L$4,폐업정보!$D$3:$R$3,0)),
"Error"))</f>
        <v>D0408</v>
      </c>
      <c r="M413" s="76" t="s">
        <v>96</v>
      </c>
      <c r="N413" s="77"/>
      <c r="O413" s="78" t="s">
        <v>97</v>
      </c>
      <c r="P413" s="79" t="n">
        <f aca="false">COUNTIFS(임대자산!$I:$I,가맹점정보!F413,임대자산!$N:$N,가맹점정보!P$4)</f>
        <v>0</v>
      </c>
      <c r="Q413" s="80" t="n">
        <f aca="false">COUNTIFS(임대자산!$I:$I,가맹점정보!F413,임대자산!$N:$N,가맹점정보!Q$4)</f>
        <v>0</v>
      </c>
      <c r="R413" s="81" t="n">
        <f aca="false">COUNTIFS(임대자산!$I:$I,가맹점정보!F413,임대자산!$N:$N,가맹점정보!R$4)</f>
        <v>1</v>
      </c>
      <c r="S413" s="82" t="n">
        <v>55000</v>
      </c>
      <c r="T413" s="83" t="n">
        <v>0</v>
      </c>
      <c r="U413" s="80" t="n">
        <f aca="false">SUM(S413:T413)</f>
        <v>55000</v>
      </c>
      <c r="V413" s="84" t="s">
        <v>12</v>
      </c>
      <c r="W413" s="80" t="e">
        <f aca="true">
IF(D413="폐업","폐업",
IF(V413="면제","면제",
IF(AND(V413="정상",COUNTIFS(OFFSET(Y413,0,COUNTA(Y413:AV413)-1,1,-4),"미납")&gt;=3),"장기미납",
IF(AND(V413="정상",OFFSET(Y413,0,COUNTA(Y413:AV413)-1)&gt;=U413),"정상",
IF(AND(V413="정상",OFFSET(Y413,0,COUNTA(Y413:AV413)-1)=0),"정상",
"계약서 미작성")))))</f>
        <v>#VALUE!</v>
      </c>
      <c r="X413" s="81" t="str">
        <f aca="true">
IF(D413="폐업","폐업",
IF(AND(V413="정상",OFFSET(Y413,0,COUNTA(Y413:AV413)-1)="미납"),"미납",
IF(AND(V413="정상",OFFSET(Y413,0,COUNTA(Y413:AV413)-1)=0),"납부 시작 전",
IF(AND(V413="정상",OFFSET(Y413,0,COUNTA(Y413:AV413)-1)&gt;=U413),"정상",
IF(AND(V413="면제",OFFSET(Y413,0,COUNTA(Y413:AV413)-1)="면제"),"면제",
IF(AND(V413="면제",OFFSET(Y413,0,COUNTA(Y413:AV413)-1)=0),"면제",
"확인요청"))))))</f>
        <v>정상</v>
      </c>
      <c r="Y413" s="93" t="n">
        <v>55000</v>
      </c>
      <c r="Z413" s="90" t="n">
        <v>55000</v>
      </c>
      <c r="AA413" s="90" t="n">
        <v>55000</v>
      </c>
      <c r="AB413" s="90" t="n">
        <v>55000</v>
      </c>
      <c r="AC413" s="90" t="n">
        <v>55000</v>
      </c>
      <c r="AD413" s="90" t="n">
        <v>55000</v>
      </c>
      <c r="AE413" s="90" t="n">
        <v>55000</v>
      </c>
      <c r="AF413" s="90" t="n">
        <v>55000</v>
      </c>
      <c r="AG413" s="90" t="n">
        <v>55000</v>
      </c>
      <c r="AH413" s="90" t="n">
        <v>55000</v>
      </c>
      <c r="AI413" s="90" t="n">
        <v>55000</v>
      </c>
      <c r="AJ413" s="91" t="n">
        <v>55000</v>
      </c>
      <c r="AK413" s="89" t="n">
        <v>55000</v>
      </c>
      <c r="AL413" s="90" t="n">
        <v>55000</v>
      </c>
      <c r="AM413" s="90"/>
      <c r="AN413" s="90"/>
      <c r="AO413" s="90"/>
      <c r="AP413" s="90"/>
      <c r="AQ413" s="90"/>
      <c r="AR413" s="90"/>
      <c r="AS413" s="90"/>
      <c r="AT413" s="90"/>
      <c r="AU413" s="90"/>
      <c r="AV413" s="91"/>
      <c r="AX413" s="92"/>
    </row>
    <row r="414" customFormat="false" ht="15.65" hidden="false" customHeight="false" outlineLevel="0" collapsed="false">
      <c r="C414" s="72" t="n">
        <f aca="false">COUNTIFS($D$6:D414,"&lt;&gt;"&amp;"")</f>
        <v>409</v>
      </c>
      <c r="D414" s="73" t="s">
        <v>12</v>
      </c>
      <c r="E414" s="76" t="str">
        <f aca="false">
IF($D414="정상",INDEX(임대자산!$D$3:$R$3000,MATCH($F414,임대자산!$I$3:$I$3000,0),MATCH(E$3,임대자산!$D$3:$R$3,0)),
IF($D414="폐업",INDEX(폐업정보!$D$3:$R$3000,MATCH($F414,폐업정보!$I$3:$I$3000,0),MATCH(E$3,폐업정보!$D$3:$R$3,0)),
"Error"))</f>
        <v>전라</v>
      </c>
      <c r="F41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B0409</v>
      </c>
      <c r="G414" s="76" t="str">
        <f aca="false">F414&amp;RANDBETWEEN(0,10)</f>
        <v>B04092</v>
      </c>
      <c r="H414" s="75" t="n">
        <f aca="false">
IF($D414="정상",INDEX(임대자산!$D$3:$R$3000,MATCH($F414,임대자산!$I$3:$I$3000,0),MATCH(H$4,임대자산!$D$3:$R$3,0)),
IF($D414="폐업",INDEX(폐업정보!$D$3:$R$3000,MATCH($F414,폐업정보!$I$3:$I$3000,0),MATCH(H$4,폐업정보!$D$3:$R$3,0)),
"Error"))</f>
        <v>45562</v>
      </c>
      <c r="I414" s="75" t="str">
        <f aca="false">
IF($D414="정상",INDEX(임대자산!$D$3:$R$3000,MATCH($F414,임대자산!$I$3:$I$3000,0),MATCH(I$4,임대자산!$D$3:$R$3,0)),
IF($D414="폐업",INDEX(폐업정보!$D$3:$R$3000,MATCH($F414,폐업정보!$I$3:$I$3000,0),MATCH(I$4,폐업정보!$D$3:$R$3,0)),
"Error"))</f>
        <v>A0409</v>
      </c>
      <c r="J414" s="75" t="str">
        <f aca="false">
IF($D414="정상",INDEX(임대자산!$D$3:$R$3000,MATCH($F414,임대자산!$I$3:$I$3000,0),MATCH(J$4,임대자산!$D$3:$R$3,0)),
IF($D414="폐업",INDEX(폐업정보!$D$3:$R$3000,MATCH($F414,폐업정보!$I$3:$I$3000,0),MATCH(J$4,폐업정보!$D$3:$R$3,0)),
"Error"))</f>
        <v>7396000000</v>
      </c>
      <c r="K414" s="75" t="str">
        <f aca="false">
IF($D414="정상",INDEX(임대자산!$D$3:$R$3000,MATCH($F414,임대자산!$I$3:$I$3000,0),MATCH(K$4,임대자산!$D$3:$R$3,0)),
IF($D414="폐업",INDEX(폐업정보!$D$3:$R$3000,MATCH($F414,폐업정보!$I$3:$I$3000,0),MATCH(K$4,폐업정보!$D$3:$R$3,0)),
"Error"))</f>
        <v>C0409</v>
      </c>
      <c r="L414" s="75" t="str">
        <f aca="false">
IF($D414="정상",INDEX(임대자산!$D$3:$R$3000,MATCH($F414,임대자산!$I$3:$I$3000,0),MATCH(L$4,임대자산!$D$3:$R$3,0)),
IF($D414="폐업",INDEX(폐업정보!$D$3:$R$3000,MATCH($F414,폐업정보!$I$3:$I$3000,0),MATCH(L$4,폐업정보!$D$3:$R$3,0)),
"Error"))</f>
        <v>D0409</v>
      </c>
      <c r="M414" s="76" t="s">
        <v>96</v>
      </c>
      <c r="N414" s="77"/>
      <c r="O414" s="78" t="s">
        <v>97</v>
      </c>
      <c r="P414" s="79" t="n">
        <f aca="false">COUNTIFS(임대자산!$I:$I,가맹점정보!F414,임대자산!$N:$N,가맹점정보!P$4)</f>
        <v>0</v>
      </c>
      <c r="Q414" s="80" t="n">
        <f aca="false">COUNTIFS(임대자산!$I:$I,가맹점정보!F414,임대자산!$N:$N,가맹점정보!Q$4)</f>
        <v>0</v>
      </c>
      <c r="R414" s="81" t="n">
        <f aca="false">COUNTIFS(임대자산!$I:$I,가맹점정보!F414,임대자산!$N:$N,가맹점정보!R$4)</f>
        <v>1</v>
      </c>
      <c r="S414" s="82" t="n">
        <v>88000</v>
      </c>
      <c r="T414" s="83" t="n">
        <v>0</v>
      </c>
      <c r="U414" s="80" t="n">
        <f aca="false">SUM(S414:T414)</f>
        <v>88000</v>
      </c>
      <c r="V414" s="84" t="s">
        <v>7</v>
      </c>
      <c r="W414" s="80" t="str">
        <f aca="true">
IF(D414="폐업","폐업",
IF(V414="면제","면제",
IF(AND(V414="정상",COUNTIFS(OFFSET(Y414,0,COUNTA(Y414:AV414)-1,1,-4),"미납")&gt;=3),"장기미납",
IF(AND(V414="정상",OFFSET(Y414,0,COUNTA(Y414:AV414)-1)&gt;=U414),"정상",
IF(AND(V414="정상",OFFSET(Y414,0,COUNTA(Y414:AV414)-1)=0),"정상",
"계약서 미작성")))))</f>
        <v>면제</v>
      </c>
      <c r="X414" s="81" t="str">
        <f aca="true">
IF(D414="폐업","폐업",
IF(AND(V414="정상",OFFSET(Y414,0,COUNTA(Y414:AV414)-1)="미납"),"미납",
IF(AND(V414="정상",OFFSET(Y414,0,COUNTA(Y414:AV414)-1)=0),"납부 시작 전",
IF(AND(V414="정상",OFFSET(Y414,0,COUNTA(Y414:AV414)-1)&gt;=U414),"정상",
IF(AND(V414="면제",OFFSET(Y414,0,COUNTA(Y414:AV414)-1)="면제"),"면제",
IF(AND(V414="면제",OFFSET(Y414,0,COUNTA(Y414:AV414)-1)=0),"면제",
"확인요청"))))))</f>
        <v>면제</v>
      </c>
      <c r="Y414" s="94" t="s">
        <v>7</v>
      </c>
      <c r="Z414" s="95" t="s">
        <v>7</v>
      </c>
      <c r="AA414" s="95" t="s">
        <v>7</v>
      </c>
      <c r="AB414" s="95" t="s">
        <v>7</v>
      </c>
      <c r="AC414" s="95" t="s">
        <v>7</v>
      </c>
      <c r="AD414" s="95" t="s">
        <v>7</v>
      </c>
      <c r="AE414" s="95" t="s">
        <v>7</v>
      </c>
      <c r="AF414" s="95" t="s">
        <v>7</v>
      </c>
      <c r="AG414" s="95" t="s">
        <v>7</v>
      </c>
      <c r="AH414" s="95" t="s">
        <v>7</v>
      </c>
      <c r="AI414" s="95" t="s">
        <v>7</v>
      </c>
      <c r="AJ414" s="96" t="s">
        <v>7</v>
      </c>
      <c r="AK414" s="97" t="s">
        <v>7</v>
      </c>
      <c r="AL414" s="95" t="s">
        <v>7</v>
      </c>
      <c r="AM414" s="90"/>
      <c r="AN414" s="90"/>
      <c r="AO414" s="90"/>
      <c r="AP414" s="90"/>
      <c r="AQ414" s="90"/>
      <c r="AR414" s="90"/>
      <c r="AS414" s="90"/>
      <c r="AT414" s="90"/>
      <c r="AU414" s="90"/>
      <c r="AV414" s="91"/>
      <c r="AX414" s="92"/>
    </row>
    <row r="415" customFormat="false" ht="15.65" hidden="false" customHeight="false" outlineLevel="0" collapsed="false">
      <c r="C415" s="72" t="n">
        <f aca="false">COUNTIFS($D$6:D415,"&lt;&gt;"&amp;"")</f>
        <v>410</v>
      </c>
      <c r="D415" s="73" t="s">
        <v>5</v>
      </c>
      <c r="E415" s="76" t="str">
        <f aca="false">
IF($D415="정상",INDEX(임대자산!$D$3:$R$3000,MATCH($F415,임대자산!$I$3:$I$3000,0),MATCH(E$3,임대자산!$D$3:$R$3,0)),
IF($D415="폐업",INDEX(폐업정보!$D$3:$R$3000,MATCH($F415,폐업정보!$I$3:$I$3000,0),MATCH(E$3,폐업정보!$D$3:$R$3,0)),
"Error"))</f>
        <v>전라</v>
      </c>
      <c r="F41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B0410</v>
      </c>
      <c r="G415" s="76" t="str">
        <f aca="false">F415&amp;RANDBETWEEN(0,10)</f>
        <v>B04108</v>
      </c>
      <c r="H415" s="75" t="n">
        <f aca="false">
IF($D415="정상",INDEX(임대자산!$D$3:$R$3000,MATCH($F415,임대자산!$I$3:$I$3000,0),MATCH(H$4,임대자산!$D$3:$R$3,0)),
IF($D415="폐업",INDEX(폐업정보!$D$3:$R$3000,MATCH($F415,폐업정보!$I$3:$I$3000,0),MATCH(H$4,폐업정보!$D$3:$R$3,0)),
"Error"))</f>
        <v>45562</v>
      </c>
      <c r="I415" s="75" t="str">
        <f aca="false">
IF($D415="정상",INDEX(임대자산!$D$3:$R$3000,MATCH($F415,임대자산!$I$3:$I$3000,0),MATCH(I$4,임대자산!$D$3:$R$3,0)),
IF($D415="폐업",INDEX(폐업정보!$D$3:$R$3000,MATCH($F415,폐업정보!$I$3:$I$3000,0),MATCH(I$4,폐업정보!$D$3:$R$3,0)),
"Error"))</f>
        <v>A0410</v>
      </c>
      <c r="J415" s="75" t="str">
        <f aca="false">
IF($D415="정상",INDEX(임대자산!$D$3:$R$3000,MATCH($F415,임대자산!$I$3:$I$3000,0),MATCH(J$4,임대자산!$D$3:$R$3,0)),
IF($D415="폐업",INDEX(폐업정보!$D$3:$R$3000,MATCH($F415,폐업정보!$I$3:$I$3000,0),MATCH(J$4,폐업정보!$D$3:$R$3,0)),
"Error"))</f>
        <v>6817400000</v>
      </c>
      <c r="K415" s="75" t="str">
        <f aca="false">
IF($D415="정상",INDEX(임대자산!$D$3:$R$3000,MATCH($F415,임대자산!$I$3:$I$3000,0),MATCH(K$4,임대자산!$D$3:$R$3,0)),
IF($D415="폐업",INDEX(폐업정보!$D$3:$R$3000,MATCH($F415,폐업정보!$I$3:$I$3000,0),MATCH(K$4,폐업정보!$D$3:$R$3,0)),
"Error"))</f>
        <v>C0410</v>
      </c>
      <c r="L415" s="75" t="str">
        <f aca="false">
IF($D415="정상",INDEX(임대자산!$D$3:$R$3000,MATCH($F415,임대자산!$I$3:$I$3000,0),MATCH(L$4,임대자산!$D$3:$R$3,0)),
IF($D415="폐업",INDEX(폐업정보!$D$3:$R$3000,MATCH($F415,폐업정보!$I$3:$I$3000,0),MATCH(L$4,폐업정보!$D$3:$R$3,0)),
"Error"))</f>
        <v>D0410</v>
      </c>
      <c r="M415" s="76" t="s">
        <v>96</v>
      </c>
      <c r="N415" s="77"/>
      <c r="O415" s="78" t="s">
        <v>97</v>
      </c>
      <c r="P415" s="79" t="n">
        <f aca="false">COUNTIFS(임대자산!$I:$I,가맹점정보!F415,임대자산!$N:$N,가맹점정보!P$4)</f>
        <v>0</v>
      </c>
      <c r="Q415" s="80" t="n">
        <f aca="false">COUNTIFS(임대자산!$I:$I,가맹점정보!F415,임대자산!$N:$N,가맹점정보!Q$4)</f>
        <v>0</v>
      </c>
      <c r="R415" s="81" t="n">
        <f aca="false">COUNTIFS(임대자산!$I:$I,가맹점정보!F415,임대자산!$N:$N,가맹점정보!R$4)</f>
        <v>0</v>
      </c>
      <c r="S415" s="82" t="n">
        <v>55000</v>
      </c>
      <c r="T415" s="83" t="n">
        <v>0</v>
      </c>
      <c r="U415" s="80" t="n">
        <f aca="false">SUM(S415:T415)</f>
        <v>55000</v>
      </c>
      <c r="V415" s="84" t="s">
        <v>12</v>
      </c>
      <c r="W415" s="80" t="str">
        <f aca="true">
IF(D415="폐업","폐업",
IF(V415="면제","면제",
IF(AND(V415="정상",COUNTIFS(OFFSET(Y415,0,COUNTA(Y415:AV415)-1,1,-4),"미납")&gt;=3),"장기미납",
IF(AND(V415="정상",OFFSET(Y415,0,COUNTA(Y415:AV415)-1)&gt;=U415),"정상",
IF(AND(V415="정상",OFFSET(Y415,0,COUNTA(Y415:AV415)-1)=0),"정상",
"계약서 미작성")))))</f>
        <v>폐업</v>
      </c>
      <c r="X415" s="81" t="str">
        <f aca="true">
IF(D415="폐업","폐업",
IF(AND(V415="정상",OFFSET(Y415,0,COUNTA(Y415:AV415)-1)="미납"),"미납",
IF(AND(V415="정상",OFFSET(Y415,0,COUNTA(Y415:AV415)-1)=0),"납부 시작 전",
IF(AND(V415="정상",OFFSET(Y415,0,COUNTA(Y415:AV415)-1)&gt;=U415),"정상",
IF(AND(V415="면제",OFFSET(Y415,0,COUNTA(Y415:AV415)-1)="면제"),"면제",
IF(AND(V415="면제",OFFSET(Y415,0,COUNTA(Y415:AV415)-1)=0),"면제",
"확인요청"))))))</f>
        <v>폐업</v>
      </c>
      <c r="Y415" s="93" t="n">
        <v>55000</v>
      </c>
      <c r="Z415" s="90" t="n">
        <v>55000</v>
      </c>
      <c r="AA415" s="90" t="n">
        <v>55000</v>
      </c>
      <c r="AB415" s="90" t="n">
        <v>55000</v>
      </c>
      <c r="AC415" s="90" t="n">
        <v>55000</v>
      </c>
      <c r="AD415" s="90" t="n">
        <v>55000</v>
      </c>
      <c r="AE415" s="90" t="n">
        <v>55000</v>
      </c>
      <c r="AF415" s="90" t="n">
        <v>55000</v>
      </c>
      <c r="AG415" s="90" t="n">
        <v>55000</v>
      </c>
      <c r="AH415" s="90" t="n">
        <v>55000</v>
      </c>
      <c r="AI415" s="90" t="n">
        <v>55000</v>
      </c>
      <c r="AJ415" s="91" t="n">
        <v>55000</v>
      </c>
      <c r="AK415" s="89" t="n">
        <v>55000</v>
      </c>
      <c r="AL415" s="90" t="n">
        <v>55000</v>
      </c>
      <c r="AM415" s="90"/>
      <c r="AN415" s="90"/>
      <c r="AO415" s="90"/>
      <c r="AP415" s="90"/>
      <c r="AQ415" s="90"/>
      <c r="AR415" s="90"/>
      <c r="AS415" s="90"/>
      <c r="AT415" s="90"/>
      <c r="AU415" s="90"/>
      <c r="AV415" s="91"/>
      <c r="AX415" s="92"/>
    </row>
    <row r="416" customFormat="false" ht="15.65" hidden="false" customHeight="false" outlineLevel="0" collapsed="false">
      <c r="C416" s="72" t="n">
        <f aca="false">COUNTIFS($D$6:D416,"&lt;&gt;"&amp;"")</f>
        <v>411</v>
      </c>
      <c r="D416" s="73" t="s">
        <v>12</v>
      </c>
      <c r="E416" s="76" t="str">
        <f aca="false">
IF($D416="정상",INDEX(임대자산!$D$3:$R$3000,MATCH($F416,임대자산!$I$3:$I$3000,0),MATCH(E$3,임대자산!$D$3:$R$3,0)),
IF($D416="폐업",INDEX(폐업정보!$D$3:$R$3000,MATCH($F416,폐업정보!$I$3:$I$3000,0),MATCH(E$3,폐업정보!$D$3:$R$3,0)),
"Error"))</f>
        <v>경상</v>
      </c>
      <c r="F41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B0411</v>
      </c>
      <c r="G416" s="76" t="str">
        <f aca="false">F416&amp;RANDBETWEEN(0,10)</f>
        <v>B04117</v>
      </c>
      <c r="H416" s="75" t="n">
        <f aca="false">
IF($D416="정상",INDEX(임대자산!$D$3:$R$3000,MATCH($F416,임대자산!$I$3:$I$3000,0),MATCH(H$4,임대자산!$D$3:$R$3,0)),
IF($D416="폐업",INDEX(폐업정보!$D$3:$R$3000,MATCH($F416,폐업정보!$I$3:$I$3000,0),MATCH(H$4,폐업정보!$D$3:$R$3,0)),
"Error"))</f>
        <v>45604</v>
      </c>
      <c r="I416" s="75" t="str">
        <f aca="false">
IF($D416="정상",INDEX(임대자산!$D$3:$R$3000,MATCH($F416,임대자산!$I$3:$I$3000,0),MATCH(I$4,임대자산!$D$3:$R$3,0)),
IF($D416="폐업",INDEX(폐업정보!$D$3:$R$3000,MATCH($F416,폐업정보!$I$3:$I$3000,0),MATCH(I$4,폐업정보!$D$3:$R$3,0)),
"Error"))</f>
        <v>A0411</v>
      </c>
      <c r="J416" s="75" t="str">
        <f aca="false">
IF($D416="정상",INDEX(임대자산!$D$3:$R$3000,MATCH($F416,임대자산!$I$3:$I$3000,0),MATCH(J$4,임대자산!$D$3:$R$3,0)),
IF($D416="폐업",INDEX(폐업정보!$D$3:$R$3000,MATCH($F416,폐업정보!$I$3:$I$3000,0),MATCH(J$4,폐업정보!$D$3:$R$3,0)),
"Error"))</f>
        <v>6516800000</v>
      </c>
      <c r="K416" s="75" t="str">
        <f aca="false">
IF($D416="정상",INDEX(임대자산!$D$3:$R$3000,MATCH($F416,임대자산!$I$3:$I$3000,0),MATCH(K$4,임대자산!$D$3:$R$3,0)),
IF($D416="폐업",INDEX(폐업정보!$D$3:$R$3000,MATCH($F416,폐업정보!$I$3:$I$3000,0),MATCH(K$4,폐업정보!$D$3:$R$3,0)),
"Error"))</f>
        <v>C0411</v>
      </c>
      <c r="L416" s="75" t="str">
        <f aca="false">
IF($D416="정상",INDEX(임대자산!$D$3:$R$3000,MATCH($F416,임대자산!$I$3:$I$3000,0),MATCH(L$4,임대자산!$D$3:$R$3,0)),
IF($D416="폐업",INDEX(폐업정보!$D$3:$R$3000,MATCH($F416,폐업정보!$I$3:$I$3000,0),MATCH(L$4,폐업정보!$D$3:$R$3,0)),
"Error"))</f>
        <v>D0411</v>
      </c>
      <c r="M416" s="76" t="s">
        <v>96</v>
      </c>
      <c r="N416" s="77"/>
      <c r="O416" s="78" t="s">
        <v>97</v>
      </c>
      <c r="P416" s="79" t="n">
        <f aca="false">COUNTIFS(임대자산!$I:$I,가맹점정보!F416,임대자산!$N:$N,가맹점정보!P$4)</f>
        <v>0</v>
      </c>
      <c r="Q416" s="80" t="n">
        <f aca="false">COUNTIFS(임대자산!$I:$I,가맹점정보!F416,임대자산!$N:$N,가맹점정보!Q$4)</f>
        <v>0</v>
      </c>
      <c r="R416" s="81" t="n">
        <f aca="false">COUNTIFS(임대자산!$I:$I,가맹점정보!F416,임대자산!$N:$N,가맹점정보!R$4)</f>
        <v>1</v>
      </c>
      <c r="S416" s="82" t="n">
        <v>55000</v>
      </c>
      <c r="T416" s="83" t="n">
        <v>0</v>
      </c>
      <c r="U416" s="80" t="n">
        <f aca="false">SUM(S416:T416)</f>
        <v>55000</v>
      </c>
      <c r="V416" s="84" t="s">
        <v>12</v>
      </c>
      <c r="W416" s="80" t="e">
        <f aca="true">
IF(D416="폐업","폐업",
IF(V416="면제","면제",
IF(AND(V416="정상",COUNTIFS(OFFSET(Y416,0,COUNTA(Y416:AV416)-1,1,-4),"미납")&gt;=3),"장기미납",
IF(AND(V416="정상",OFFSET(Y416,0,COUNTA(Y416:AV416)-1)&gt;=U416),"정상",
IF(AND(V416="정상",OFFSET(Y416,0,COUNTA(Y416:AV416)-1)=0),"정상",
"계약서 미작성")))))</f>
        <v>#VALUE!</v>
      </c>
      <c r="X416" s="81" t="str">
        <f aca="true">
IF(D416="폐업","폐업",
IF(AND(V416="정상",OFFSET(Y416,0,COUNTA(Y416:AV416)-1)="미납"),"미납",
IF(AND(V416="정상",OFFSET(Y416,0,COUNTA(Y416:AV416)-1)=0),"납부 시작 전",
IF(AND(V416="정상",OFFSET(Y416,0,COUNTA(Y416:AV416)-1)&gt;=U416),"정상",
IF(AND(V416="면제",OFFSET(Y416,0,COUNTA(Y416:AV416)-1)="면제"),"면제",
IF(AND(V416="면제",OFFSET(Y416,0,COUNTA(Y416:AV416)-1)=0),"면제",
"확인요청"))))))</f>
        <v>정상</v>
      </c>
      <c r="Y416" s="93" t="n">
        <v>55000</v>
      </c>
      <c r="Z416" s="90" t="n">
        <v>55000</v>
      </c>
      <c r="AA416" s="90" t="n">
        <v>55000</v>
      </c>
      <c r="AB416" s="90" t="n">
        <v>55000</v>
      </c>
      <c r="AC416" s="90" t="n">
        <v>55000</v>
      </c>
      <c r="AD416" s="90" t="n">
        <v>55000</v>
      </c>
      <c r="AE416" s="90" t="n">
        <v>55000</v>
      </c>
      <c r="AF416" s="90" t="n">
        <v>55000</v>
      </c>
      <c r="AG416" s="90" t="n">
        <v>55000</v>
      </c>
      <c r="AH416" s="90" t="n">
        <v>55000</v>
      </c>
      <c r="AI416" s="90" t="n">
        <v>55000</v>
      </c>
      <c r="AJ416" s="91" t="n">
        <v>55000</v>
      </c>
      <c r="AK416" s="89" t="n">
        <v>55000</v>
      </c>
      <c r="AL416" s="90" t="n">
        <v>55000</v>
      </c>
      <c r="AM416" s="90"/>
      <c r="AN416" s="90"/>
      <c r="AO416" s="90"/>
      <c r="AP416" s="90"/>
      <c r="AQ416" s="90"/>
      <c r="AR416" s="90"/>
      <c r="AS416" s="90"/>
      <c r="AT416" s="90"/>
      <c r="AU416" s="90"/>
      <c r="AV416" s="91"/>
      <c r="AX416" s="92"/>
    </row>
    <row r="417" customFormat="false" ht="15.65" hidden="false" customHeight="false" outlineLevel="0" collapsed="false">
      <c r="C417" s="72" t="n">
        <f aca="false">COUNTIFS($D$6:D417,"&lt;&gt;"&amp;"")</f>
        <v>412</v>
      </c>
      <c r="D417" s="73" t="s">
        <v>12</v>
      </c>
      <c r="E417" s="76" t="str">
        <f aca="false">
IF($D417="정상",INDEX(임대자산!$D$3:$R$3000,MATCH($F417,임대자산!$I$3:$I$3000,0),MATCH(E$3,임대자산!$D$3:$R$3,0)),
IF($D417="폐업",INDEX(폐업정보!$D$3:$R$3000,MATCH($F417,폐업정보!$I$3:$I$3000,0),MATCH(E$3,폐업정보!$D$3:$R$3,0)),
"Error"))</f>
        <v>서울</v>
      </c>
      <c r="F41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B0412</v>
      </c>
      <c r="G417" s="76" t="str">
        <f aca="false">F417&amp;RANDBETWEEN(0,10)</f>
        <v>B04126</v>
      </c>
      <c r="H417" s="75" t="n">
        <f aca="false">
IF($D417="정상",INDEX(임대자산!$D$3:$R$3000,MATCH($F417,임대자산!$I$3:$I$3000,0),MATCH(H$4,임대자산!$D$3:$R$3,0)),
IF($D417="폐업",INDEX(폐업정보!$D$3:$R$3000,MATCH($F417,폐업정보!$I$3:$I$3000,0),MATCH(H$4,폐업정보!$D$3:$R$3,0)),
"Error"))</f>
        <v>45569</v>
      </c>
      <c r="I417" s="75" t="str">
        <f aca="false">
IF($D417="정상",INDEX(임대자산!$D$3:$R$3000,MATCH($F417,임대자산!$I$3:$I$3000,0),MATCH(I$4,임대자산!$D$3:$R$3,0)),
IF($D417="폐업",INDEX(폐업정보!$D$3:$R$3000,MATCH($F417,폐업정보!$I$3:$I$3000,0),MATCH(I$4,폐업정보!$D$3:$R$3,0)),
"Error"))</f>
        <v>A0412</v>
      </c>
      <c r="J417" s="75" t="str">
        <f aca="false">
IF($D417="정상",INDEX(임대자산!$D$3:$R$3000,MATCH($F417,임대자산!$I$3:$I$3000,0),MATCH(J$4,임대자산!$D$3:$R$3,0)),
IF($D417="폐업",INDEX(폐업정보!$D$3:$R$3000,MATCH($F417,폐업정보!$I$3:$I$3000,0),MATCH(J$4,폐업정보!$D$3:$R$3,0)),
"Error"))</f>
        <v>8773100000</v>
      </c>
      <c r="K417" s="75" t="str">
        <f aca="false">
IF($D417="정상",INDEX(임대자산!$D$3:$R$3000,MATCH($F417,임대자산!$I$3:$I$3000,0),MATCH(K$4,임대자산!$D$3:$R$3,0)),
IF($D417="폐업",INDEX(폐업정보!$D$3:$R$3000,MATCH($F417,폐업정보!$I$3:$I$3000,0),MATCH(K$4,폐업정보!$D$3:$R$3,0)),
"Error"))</f>
        <v>C0412</v>
      </c>
      <c r="L417" s="75" t="str">
        <f aca="false">
IF($D417="정상",INDEX(임대자산!$D$3:$R$3000,MATCH($F417,임대자산!$I$3:$I$3000,0),MATCH(L$4,임대자산!$D$3:$R$3,0)),
IF($D417="폐업",INDEX(폐업정보!$D$3:$R$3000,MATCH($F417,폐업정보!$I$3:$I$3000,0),MATCH(L$4,폐업정보!$D$3:$R$3,0)),
"Error"))</f>
        <v>D0412</v>
      </c>
      <c r="M417" s="76" t="s">
        <v>96</v>
      </c>
      <c r="N417" s="77"/>
      <c r="O417" s="78" t="s">
        <v>97</v>
      </c>
      <c r="P417" s="79" t="n">
        <f aca="false">COUNTIFS(임대자산!$I:$I,가맹점정보!F417,임대자산!$N:$N,가맹점정보!P$4)</f>
        <v>0</v>
      </c>
      <c r="Q417" s="80" t="n">
        <f aca="false">COUNTIFS(임대자산!$I:$I,가맹점정보!F417,임대자산!$N:$N,가맹점정보!Q$4)</f>
        <v>0</v>
      </c>
      <c r="R417" s="81" t="n">
        <f aca="false">COUNTIFS(임대자산!$I:$I,가맹점정보!F417,임대자산!$N:$N,가맹점정보!R$4)</f>
        <v>1</v>
      </c>
      <c r="S417" s="82" t="n">
        <v>55000</v>
      </c>
      <c r="T417" s="83" t="n">
        <v>0</v>
      </c>
      <c r="U417" s="80" t="n">
        <f aca="false">SUM(S417:T417)</f>
        <v>55000</v>
      </c>
      <c r="V417" s="84" t="s">
        <v>12</v>
      </c>
      <c r="W417" s="80" t="e">
        <f aca="true">
IF(D417="폐업","폐업",
IF(V417="면제","면제",
IF(AND(V417="정상",COUNTIFS(OFFSET(Y417,0,COUNTA(Y417:AV417)-1,1,-4),"미납")&gt;=3),"장기미납",
IF(AND(V417="정상",OFFSET(Y417,0,COUNTA(Y417:AV417)-1)&gt;=U417),"정상",
IF(AND(V417="정상",OFFSET(Y417,0,COUNTA(Y417:AV417)-1)=0),"정상",
"계약서 미작성")))))</f>
        <v>#VALUE!</v>
      </c>
      <c r="X417" s="81" t="str">
        <f aca="true">
IF(D417="폐업","폐업",
IF(AND(V417="정상",OFFSET(Y417,0,COUNTA(Y417:AV417)-1)="미납"),"미납",
IF(AND(V417="정상",OFFSET(Y417,0,COUNTA(Y417:AV417)-1)=0),"납부 시작 전",
IF(AND(V417="정상",OFFSET(Y417,0,COUNTA(Y417:AV417)-1)&gt;=U417),"정상",
IF(AND(V417="면제",OFFSET(Y417,0,COUNTA(Y417:AV417)-1)="면제"),"면제",
IF(AND(V417="면제",OFFSET(Y417,0,COUNTA(Y417:AV417)-1)=0),"면제",
"확인요청"))))))</f>
        <v>정상</v>
      </c>
      <c r="Y417" s="93" t="n">
        <v>55000</v>
      </c>
      <c r="Z417" s="90" t="n">
        <v>55000</v>
      </c>
      <c r="AA417" s="90" t="n">
        <v>55000</v>
      </c>
      <c r="AB417" s="90" t="n">
        <v>55000</v>
      </c>
      <c r="AC417" s="90" t="n">
        <v>55000</v>
      </c>
      <c r="AD417" s="90" t="n">
        <v>55000</v>
      </c>
      <c r="AE417" s="90" t="n">
        <v>55000</v>
      </c>
      <c r="AF417" s="90" t="n">
        <v>55000</v>
      </c>
      <c r="AG417" s="90" t="n">
        <v>55000</v>
      </c>
      <c r="AH417" s="90" t="n">
        <v>55000</v>
      </c>
      <c r="AI417" s="90" t="n">
        <v>55000</v>
      </c>
      <c r="AJ417" s="91" t="n">
        <v>55000</v>
      </c>
      <c r="AK417" s="89" t="n">
        <v>55000</v>
      </c>
      <c r="AL417" s="90" t="n">
        <v>55000</v>
      </c>
      <c r="AM417" s="90"/>
      <c r="AN417" s="90"/>
      <c r="AO417" s="90"/>
      <c r="AP417" s="90"/>
      <c r="AQ417" s="90"/>
      <c r="AR417" s="90"/>
      <c r="AS417" s="90"/>
      <c r="AT417" s="90"/>
      <c r="AU417" s="90"/>
      <c r="AV417" s="91"/>
      <c r="AX417" s="92"/>
    </row>
    <row r="418" customFormat="false" ht="15.65" hidden="false" customHeight="false" outlineLevel="0" collapsed="false">
      <c r="C418" s="72" t="n">
        <f aca="false">COUNTIFS($D$6:D418,"&lt;&gt;"&amp;"")</f>
        <v>413</v>
      </c>
      <c r="D418" s="73" t="s">
        <v>12</v>
      </c>
      <c r="E418" s="76" t="str">
        <f aca="false">
IF($D418="정상",INDEX(임대자산!$D$3:$R$3000,MATCH($F418,임대자산!$I$3:$I$3000,0),MATCH(E$3,임대자산!$D$3:$R$3,0)),
IF($D418="폐업",INDEX(폐업정보!$D$3:$R$3000,MATCH($F418,폐업정보!$I$3:$I$3000,0),MATCH(E$3,폐업정보!$D$3:$R$3,0)),
"Error"))</f>
        <v>서울</v>
      </c>
      <c r="F41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B0413</v>
      </c>
      <c r="G418" s="76" t="str">
        <f aca="false">F418&amp;RANDBETWEEN(0,10)</f>
        <v>B04138</v>
      </c>
      <c r="H418" s="75" t="n">
        <f aca="false">
IF($D418="정상",INDEX(임대자산!$D$3:$R$3000,MATCH($F418,임대자산!$I$3:$I$3000,0),MATCH(H$4,임대자산!$D$3:$R$3,0)),
IF($D418="폐업",INDEX(폐업정보!$D$3:$R$3000,MATCH($F418,폐업정보!$I$3:$I$3000,0),MATCH(H$4,폐업정보!$D$3:$R$3,0)),
"Error"))</f>
        <v>45569</v>
      </c>
      <c r="I418" s="75" t="str">
        <f aca="false">
IF($D418="정상",INDEX(임대자산!$D$3:$R$3000,MATCH($F418,임대자산!$I$3:$I$3000,0),MATCH(I$4,임대자산!$D$3:$R$3,0)),
IF($D418="폐업",INDEX(폐업정보!$D$3:$R$3000,MATCH($F418,폐업정보!$I$3:$I$3000,0),MATCH(I$4,폐업정보!$D$3:$R$3,0)),
"Error"))</f>
        <v>A0413</v>
      </c>
      <c r="J418" s="75" t="str">
        <f aca="false">
IF($D418="정상",INDEX(임대자산!$D$3:$R$3000,MATCH($F418,임대자산!$I$3:$I$3000,0),MATCH(J$4,임대자산!$D$3:$R$3,0)),
IF($D418="폐업",INDEX(폐업정보!$D$3:$R$3000,MATCH($F418,폐업정보!$I$3:$I$3000,0),MATCH(J$4,폐업정보!$D$3:$R$3,0)),
"Error"))</f>
        <v>1543700000</v>
      </c>
      <c r="K418" s="75" t="str">
        <f aca="false">
IF($D418="정상",INDEX(임대자산!$D$3:$R$3000,MATCH($F418,임대자산!$I$3:$I$3000,0),MATCH(K$4,임대자산!$D$3:$R$3,0)),
IF($D418="폐업",INDEX(폐업정보!$D$3:$R$3000,MATCH($F418,폐업정보!$I$3:$I$3000,0),MATCH(K$4,폐업정보!$D$3:$R$3,0)),
"Error"))</f>
        <v>C0413</v>
      </c>
      <c r="L418" s="75" t="str">
        <f aca="false">
IF($D418="정상",INDEX(임대자산!$D$3:$R$3000,MATCH($F418,임대자산!$I$3:$I$3000,0),MATCH(L$4,임대자산!$D$3:$R$3,0)),
IF($D418="폐업",INDEX(폐업정보!$D$3:$R$3000,MATCH($F418,폐업정보!$I$3:$I$3000,0),MATCH(L$4,폐업정보!$D$3:$R$3,0)),
"Error"))</f>
        <v>D0413</v>
      </c>
      <c r="M418" s="76" t="s">
        <v>96</v>
      </c>
      <c r="N418" s="77"/>
      <c r="O418" s="78" t="s">
        <v>97</v>
      </c>
      <c r="P418" s="79" t="n">
        <f aca="false">COUNTIFS(임대자산!$I:$I,가맹점정보!F418,임대자산!$N:$N,가맹점정보!P$4)</f>
        <v>0</v>
      </c>
      <c r="Q418" s="80" t="n">
        <f aca="false">COUNTIFS(임대자산!$I:$I,가맹점정보!F418,임대자산!$N:$N,가맹점정보!Q$4)</f>
        <v>0</v>
      </c>
      <c r="R418" s="81" t="n">
        <f aca="false">COUNTIFS(임대자산!$I:$I,가맹점정보!F418,임대자산!$N:$N,가맹점정보!R$4)</f>
        <v>1</v>
      </c>
      <c r="S418" s="82" t="n">
        <v>88000</v>
      </c>
      <c r="T418" s="83" t="n">
        <v>0</v>
      </c>
      <c r="U418" s="80" t="n">
        <f aca="false">SUM(S418:T418)</f>
        <v>88000</v>
      </c>
      <c r="V418" s="84" t="s">
        <v>7</v>
      </c>
      <c r="W418" s="80" t="str">
        <f aca="true">
IF(D418="폐업","폐업",
IF(V418="면제","면제",
IF(AND(V418="정상",COUNTIFS(OFFSET(Y418,0,COUNTA(Y418:AV418)-1,1,-4),"미납")&gt;=3),"장기미납",
IF(AND(V418="정상",OFFSET(Y418,0,COUNTA(Y418:AV418)-1)&gt;=U418),"정상",
IF(AND(V418="정상",OFFSET(Y418,0,COUNTA(Y418:AV418)-1)=0),"정상",
"계약서 미작성")))))</f>
        <v>면제</v>
      </c>
      <c r="X418" s="81" t="str">
        <f aca="true">
IF(D418="폐업","폐업",
IF(AND(V418="정상",OFFSET(Y418,0,COUNTA(Y418:AV418)-1)="미납"),"미납",
IF(AND(V418="정상",OFFSET(Y418,0,COUNTA(Y418:AV418)-1)=0),"납부 시작 전",
IF(AND(V418="정상",OFFSET(Y418,0,COUNTA(Y418:AV418)-1)&gt;=U418),"정상",
IF(AND(V418="면제",OFFSET(Y418,0,COUNTA(Y418:AV418)-1)="면제"),"면제",
IF(AND(V418="면제",OFFSET(Y418,0,COUNTA(Y418:AV418)-1)=0),"면제",
"확인요청"))))))</f>
        <v>면제</v>
      </c>
      <c r="Y418" s="94" t="s">
        <v>7</v>
      </c>
      <c r="Z418" s="95" t="s">
        <v>7</v>
      </c>
      <c r="AA418" s="95" t="s">
        <v>7</v>
      </c>
      <c r="AB418" s="95" t="s">
        <v>7</v>
      </c>
      <c r="AC418" s="95" t="s">
        <v>7</v>
      </c>
      <c r="AD418" s="95" t="s">
        <v>7</v>
      </c>
      <c r="AE418" s="95" t="s">
        <v>7</v>
      </c>
      <c r="AF418" s="95" t="s">
        <v>7</v>
      </c>
      <c r="AG418" s="95" t="s">
        <v>7</v>
      </c>
      <c r="AH418" s="95" t="s">
        <v>7</v>
      </c>
      <c r="AI418" s="95" t="s">
        <v>7</v>
      </c>
      <c r="AJ418" s="96" t="s">
        <v>7</v>
      </c>
      <c r="AK418" s="97" t="s">
        <v>7</v>
      </c>
      <c r="AL418" s="95" t="s">
        <v>7</v>
      </c>
      <c r="AM418" s="90"/>
      <c r="AN418" s="90"/>
      <c r="AO418" s="90"/>
      <c r="AP418" s="90"/>
      <c r="AQ418" s="90"/>
      <c r="AR418" s="90"/>
      <c r="AS418" s="90"/>
      <c r="AT418" s="90"/>
      <c r="AU418" s="90"/>
      <c r="AV418" s="91"/>
      <c r="AX418" s="92"/>
    </row>
    <row r="419" customFormat="false" ht="15.65" hidden="false" customHeight="false" outlineLevel="0" collapsed="false">
      <c r="C419" s="72" t="n">
        <f aca="false">COUNTIFS($D$6:D419,"&lt;&gt;"&amp;"")</f>
        <v>414</v>
      </c>
      <c r="D419" s="73" t="s">
        <v>5</v>
      </c>
      <c r="E419" s="76" t="str">
        <f aca="false">
IF($D419="정상",INDEX(임대자산!$D$3:$R$3000,MATCH($F419,임대자산!$I$3:$I$3000,0),MATCH(E$3,임대자산!$D$3:$R$3,0)),
IF($D419="폐업",INDEX(폐업정보!$D$3:$R$3000,MATCH($F419,폐업정보!$I$3:$I$3000,0),MATCH(E$3,폐업정보!$D$3:$R$3,0)),
"Error"))</f>
        <v>서울</v>
      </c>
      <c r="F41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B0414</v>
      </c>
      <c r="G419" s="76" t="str">
        <f aca="false">F419&amp;RANDBETWEEN(0,10)</f>
        <v>B041410</v>
      </c>
      <c r="H419" s="75" t="n">
        <f aca="false">
IF($D419="정상",INDEX(임대자산!$D$3:$R$3000,MATCH($F419,임대자산!$I$3:$I$3000,0),MATCH(H$4,임대자산!$D$3:$R$3,0)),
IF($D419="폐업",INDEX(폐업정보!$D$3:$R$3000,MATCH($F419,폐업정보!$I$3:$I$3000,0),MATCH(H$4,폐업정보!$D$3:$R$3,0)),
"Error"))</f>
        <v>45569</v>
      </c>
      <c r="I419" s="75" t="str">
        <f aca="false">
IF($D419="정상",INDEX(임대자산!$D$3:$R$3000,MATCH($F419,임대자산!$I$3:$I$3000,0),MATCH(I$4,임대자산!$D$3:$R$3,0)),
IF($D419="폐업",INDEX(폐업정보!$D$3:$R$3000,MATCH($F419,폐업정보!$I$3:$I$3000,0),MATCH(I$4,폐업정보!$D$3:$R$3,0)),
"Error"))</f>
        <v>A0414</v>
      </c>
      <c r="J419" s="75" t="str">
        <f aca="false">
IF($D419="정상",INDEX(임대자산!$D$3:$R$3000,MATCH($F419,임대자산!$I$3:$I$3000,0),MATCH(J$4,임대자산!$D$3:$R$3,0)),
IF($D419="폐업",INDEX(폐업정보!$D$3:$R$3000,MATCH($F419,폐업정보!$I$3:$I$3000,0),MATCH(J$4,폐업정보!$D$3:$R$3,0)),
"Error"))</f>
        <v>2751600000</v>
      </c>
      <c r="K419" s="75" t="str">
        <f aca="false">
IF($D419="정상",INDEX(임대자산!$D$3:$R$3000,MATCH($F419,임대자산!$I$3:$I$3000,0),MATCH(K$4,임대자산!$D$3:$R$3,0)),
IF($D419="폐업",INDEX(폐업정보!$D$3:$R$3000,MATCH($F419,폐업정보!$I$3:$I$3000,0),MATCH(K$4,폐업정보!$D$3:$R$3,0)),
"Error"))</f>
        <v>C0414</v>
      </c>
      <c r="L419" s="75" t="str">
        <f aca="false">
IF($D419="정상",INDEX(임대자산!$D$3:$R$3000,MATCH($F419,임대자산!$I$3:$I$3000,0),MATCH(L$4,임대자산!$D$3:$R$3,0)),
IF($D419="폐업",INDEX(폐업정보!$D$3:$R$3000,MATCH($F419,폐업정보!$I$3:$I$3000,0),MATCH(L$4,폐업정보!$D$3:$R$3,0)),
"Error"))</f>
        <v>D0414</v>
      </c>
      <c r="M419" s="76" t="s">
        <v>96</v>
      </c>
      <c r="N419" s="77"/>
      <c r="O419" s="78" t="s">
        <v>97</v>
      </c>
      <c r="P419" s="79" t="n">
        <f aca="false">COUNTIFS(임대자산!$I:$I,가맹점정보!F419,임대자산!$N:$N,가맹점정보!P$4)</f>
        <v>0</v>
      </c>
      <c r="Q419" s="80" t="n">
        <f aca="false">COUNTIFS(임대자산!$I:$I,가맹점정보!F419,임대자산!$N:$N,가맹점정보!Q$4)</f>
        <v>0</v>
      </c>
      <c r="R419" s="81" t="n">
        <f aca="false">COUNTIFS(임대자산!$I:$I,가맹점정보!F419,임대자산!$N:$N,가맹점정보!R$4)</f>
        <v>0</v>
      </c>
      <c r="S419" s="82" t="n">
        <v>55000</v>
      </c>
      <c r="T419" s="83" t="n">
        <v>0</v>
      </c>
      <c r="U419" s="80" t="n">
        <f aca="false">SUM(S419:T419)</f>
        <v>55000</v>
      </c>
      <c r="V419" s="84" t="s">
        <v>12</v>
      </c>
      <c r="W419" s="80" t="str">
        <f aca="true">
IF(D419="폐업","폐업",
IF(V419="면제","면제",
IF(AND(V419="정상",COUNTIFS(OFFSET(Y419,0,COUNTA(Y419:AV419)-1,1,-4),"미납")&gt;=3),"장기미납",
IF(AND(V419="정상",OFFSET(Y419,0,COUNTA(Y419:AV419)-1)&gt;=U419),"정상",
IF(AND(V419="정상",OFFSET(Y419,0,COUNTA(Y419:AV419)-1)=0),"정상",
"계약서 미작성")))))</f>
        <v>폐업</v>
      </c>
      <c r="X419" s="81" t="str">
        <f aca="true">
IF(D419="폐업","폐업",
IF(AND(V419="정상",OFFSET(Y419,0,COUNTA(Y419:AV419)-1)="미납"),"미납",
IF(AND(V419="정상",OFFSET(Y419,0,COUNTA(Y419:AV419)-1)=0),"납부 시작 전",
IF(AND(V419="정상",OFFSET(Y419,0,COUNTA(Y419:AV419)-1)&gt;=U419),"정상",
IF(AND(V419="면제",OFFSET(Y419,0,COUNTA(Y419:AV419)-1)="면제"),"면제",
IF(AND(V419="면제",OFFSET(Y419,0,COUNTA(Y419:AV419)-1)=0),"면제",
"확인요청"))))))</f>
        <v>폐업</v>
      </c>
      <c r="Y419" s="93" t="n">
        <v>55000</v>
      </c>
      <c r="Z419" s="90" t="n">
        <v>55000</v>
      </c>
      <c r="AA419" s="90" t="n">
        <v>55000</v>
      </c>
      <c r="AB419" s="90" t="n">
        <v>55000</v>
      </c>
      <c r="AC419" s="90" t="n">
        <v>55000</v>
      </c>
      <c r="AD419" s="90" t="n">
        <v>55000</v>
      </c>
      <c r="AE419" s="90" t="n">
        <v>55000</v>
      </c>
      <c r="AF419" s="90" t="n">
        <v>55000</v>
      </c>
      <c r="AG419" s="90" t="n">
        <v>55000</v>
      </c>
      <c r="AH419" s="90" t="n">
        <v>55000</v>
      </c>
      <c r="AI419" s="90" t="n">
        <v>55000</v>
      </c>
      <c r="AJ419" s="91" t="n">
        <v>55000</v>
      </c>
      <c r="AK419" s="89" t="n">
        <v>55000</v>
      </c>
      <c r="AL419" s="90" t="n">
        <v>55000</v>
      </c>
      <c r="AM419" s="90"/>
      <c r="AN419" s="90"/>
      <c r="AO419" s="90"/>
      <c r="AP419" s="90"/>
      <c r="AQ419" s="90"/>
      <c r="AR419" s="90"/>
      <c r="AS419" s="90"/>
      <c r="AT419" s="90"/>
      <c r="AU419" s="90"/>
      <c r="AV419" s="91"/>
      <c r="AX419" s="92"/>
    </row>
    <row r="420" customFormat="false" ht="15.65" hidden="false" customHeight="false" outlineLevel="0" collapsed="false">
      <c r="C420" s="72" t="n">
        <f aca="false">COUNTIFS($D$6:D420,"&lt;&gt;"&amp;"")</f>
        <v>415</v>
      </c>
      <c r="D420" s="73" t="s">
        <v>12</v>
      </c>
      <c r="E420" s="76" t="str">
        <f aca="false">
IF($D420="정상",INDEX(임대자산!$D$3:$R$3000,MATCH($F420,임대자산!$I$3:$I$3000,0),MATCH(E$3,임대자산!$D$3:$R$3,0)),
IF($D420="폐업",INDEX(폐업정보!$D$3:$R$3000,MATCH($F420,폐업정보!$I$3:$I$3000,0),MATCH(E$3,폐업정보!$D$3:$R$3,0)),
"Error"))</f>
        <v>서울</v>
      </c>
      <c r="F42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B0415</v>
      </c>
      <c r="G420" s="76" t="str">
        <f aca="false">F420&amp;RANDBETWEEN(0,10)</f>
        <v>B04152</v>
      </c>
      <c r="H420" s="75" t="n">
        <f aca="false">
IF($D420="정상",INDEX(임대자산!$D$3:$R$3000,MATCH($F420,임대자산!$I$3:$I$3000,0),MATCH(H$4,임대자산!$D$3:$R$3,0)),
IF($D420="폐업",INDEX(폐업정보!$D$3:$R$3000,MATCH($F420,폐업정보!$I$3:$I$3000,0),MATCH(H$4,폐업정보!$D$3:$R$3,0)),
"Error"))</f>
        <v>45562</v>
      </c>
      <c r="I420" s="75" t="str">
        <f aca="false">
IF($D420="정상",INDEX(임대자산!$D$3:$R$3000,MATCH($F420,임대자산!$I$3:$I$3000,0),MATCH(I$4,임대자산!$D$3:$R$3,0)),
IF($D420="폐업",INDEX(폐업정보!$D$3:$R$3000,MATCH($F420,폐업정보!$I$3:$I$3000,0),MATCH(I$4,폐업정보!$D$3:$R$3,0)),
"Error"))</f>
        <v>A0415</v>
      </c>
      <c r="J420" s="75" t="str">
        <f aca="false">
IF($D420="정상",INDEX(임대자산!$D$3:$R$3000,MATCH($F420,임대자산!$I$3:$I$3000,0),MATCH(J$4,임대자산!$D$3:$R$3,0)),
IF($D420="폐업",INDEX(폐업정보!$D$3:$R$3000,MATCH($F420,폐업정보!$I$3:$I$3000,0),MATCH(J$4,폐업정보!$D$3:$R$3,0)),
"Error"))</f>
        <v>4037000000</v>
      </c>
      <c r="K420" s="75" t="str">
        <f aca="false">
IF($D420="정상",INDEX(임대자산!$D$3:$R$3000,MATCH($F420,임대자산!$I$3:$I$3000,0),MATCH(K$4,임대자산!$D$3:$R$3,0)),
IF($D420="폐업",INDEX(폐업정보!$D$3:$R$3000,MATCH($F420,폐업정보!$I$3:$I$3000,0),MATCH(K$4,폐업정보!$D$3:$R$3,0)),
"Error"))</f>
        <v>C0415</v>
      </c>
      <c r="L420" s="75" t="str">
        <f aca="false">
IF($D420="정상",INDEX(임대자산!$D$3:$R$3000,MATCH($F420,임대자산!$I$3:$I$3000,0),MATCH(L$4,임대자산!$D$3:$R$3,0)),
IF($D420="폐업",INDEX(폐업정보!$D$3:$R$3000,MATCH($F420,폐업정보!$I$3:$I$3000,0),MATCH(L$4,폐업정보!$D$3:$R$3,0)),
"Error"))</f>
        <v>D0415</v>
      </c>
      <c r="M420" s="76" t="s">
        <v>96</v>
      </c>
      <c r="N420" s="77"/>
      <c r="O420" s="78" t="s">
        <v>97</v>
      </c>
      <c r="P420" s="79" t="n">
        <f aca="false">COUNTIFS(임대자산!$I:$I,가맹점정보!F420,임대자산!$N:$N,가맹점정보!P$4)</f>
        <v>0</v>
      </c>
      <c r="Q420" s="80" t="n">
        <f aca="false">COUNTIFS(임대자산!$I:$I,가맹점정보!F420,임대자산!$N:$N,가맹점정보!Q$4)</f>
        <v>0</v>
      </c>
      <c r="R420" s="81" t="n">
        <f aca="false">COUNTIFS(임대자산!$I:$I,가맹점정보!F420,임대자산!$N:$N,가맹점정보!R$4)</f>
        <v>1</v>
      </c>
      <c r="S420" s="82" t="n">
        <v>88000</v>
      </c>
      <c r="T420" s="83" t="n">
        <v>0</v>
      </c>
      <c r="U420" s="80" t="n">
        <f aca="false">SUM(S420:T420)</f>
        <v>88000</v>
      </c>
      <c r="V420" s="84" t="s">
        <v>7</v>
      </c>
      <c r="W420" s="80" t="str">
        <f aca="true">
IF(D420="폐업","폐업",
IF(V420="면제","면제",
IF(AND(V420="정상",COUNTIFS(OFFSET(Y420,0,COUNTA(Y420:AV420)-1,1,-4),"미납")&gt;=3),"장기미납",
IF(AND(V420="정상",OFFSET(Y420,0,COUNTA(Y420:AV420)-1)&gt;=U420),"정상",
IF(AND(V420="정상",OFFSET(Y420,0,COUNTA(Y420:AV420)-1)=0),"정상",
"계약서 미작성")))))</f>
        <v>면제</v>
      </c>
      <c r="X420" s="81" t="str">
        <f aca="true">
IF(D420="폐업","폐업",
IF(AND(V420="정상",OFFSET(Y420,0,COUNTA(Y420:AV420)-1)="미납"),"미납",
IF(AND(V420="정상",OFFSET(Y420,0,COUNTA(Y420:AV420)-1)=0),"납부 시작 전",
IF(AND(V420="정상",OFFSET(Y420,0,COUNTA(Y420:AV420)-1)&gt;=U420),"정상",
IF(AND(V420="면제",OFFSET(Y420,0,COUNTA(Y420:AV420)-1)="면제"),"면제",
IF(AND(V420="면제",OFFSET(Y420,0,COUNTA(Y420:AV420)-1)=0),"면제",
"확인요청"))))))</f>
        <v>면제</v>
      </c>
      <c r="Y420" s="94" t="s">
        <v>7</v>
      </c>
      <c r="Z420" s="95" t="s">
        <v>7</v>
      </c>
      <c r="AA420" s="95" t="s">
        <v>7</v>
      </c>
      <c r="AB420" s="95" t="s">
        <v>7</v>
      </c>
      <c r="AC420" s="95" t="s">
        <v>7</v>
      </c>
      <c r="AD420" s="95" t="s">
        <v>7</v>
      </c>
      <c r="AE420" s="95" t="s">
        <v>7</v>
      </c>
      <c r="AF420" s="95" t="s">
        <v>7</v>
      </c>
      <c r="AG420" s="95" t="s">
        <v>7</v>
      </c>
      <c r="AH420" s="95" t="s">
        <v>7</v>
      </c>
      <c r="AI420" s="95" t="s">
        <v>7</v>
      </c>
      <c r="AJ420" s="96" t="s">
        <v>7</v>
      </c>
      <c r="AK420" s="97" t="s">
        <v>7</v>
      </c>
      <c r="AL420" s="95" t="s">
        <v>7</v>
      </c>
      <c r="AM420" s="90"/>
      <c r="AN420" s="90"/>
      <c r="AO420" s="90"/>
      <c r="AP420" s="90"/>
      <c r="AQ420" s="90"/>
      <c r="AR420" s="90"/>
      <c r="AS420" s="90"/>
      <c r="AT420" s="90"/>
      <c r="AU420" s="90"/>
      <c r="AV420" s="91"/>
      <c r="AX420" s="92"/>
    </row>
    <row r="421" customFormat="false" ht="15.65" hidden="false" customHeight="false" outlineLevel="0" collapsed="false">
      <c r="C421" s="72" t="n">
        <f aca="false">COUNTIFS($D$6:D421,"&lt;&gt;"&amp;"")</f>
        <v>416</v>
      </c>
      <c r="D421" s="73" t="s">
        <v>12</v>
      </c>
      <c r="E421" s="76" t="str">
        <f aca="false">
IF($D421="정상",INDEX(임대자산!$D$3:$R$3000,MATCH($F421,임대자산!$I$3:$I$3000,0),MATCH(E$3,임대자산!$D$3:$R$3,0)),
IF($D421="폐업",INDEX(폐업정보!$D$3:$R$3000,MATCH($F421,폐업정보!$I$3:$I$3000,0),MATCH(E$3,폐업정보!$D$3:$R$3,0)),
"Error"))</f>
        <v>강원</v>
      </c>
      <c r="F42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B0416</v>
      </c>
      <c r="G421" s="76" t="str">
        <f aca="false">F421&amp;RANDBETWEEN(0,10)</f>
        <v>B04167</v>
      </c>
      <c r="H421" s="75" t="n">
        <f aca="false">
IF($D421="정상",INDEX(임대자산!$D$3:$R$3000,MATCH($F421,임대자산!$I$3:$I$3000,0),MATCH(H$4,임대자산!$D$3:$R$3,0)),
IF($D421="폐업",INDEX(폐업정보!$D$3:$R$3000,MATCH($F421,폐업정보!$I$3:$I$3000,0),MATCH(H$4,폐업정보!$D$3:$R$3,0)),
"Error"))</f>
        <v>45575</v>
      </c>
      <c r="I421" s="75" t="str">
        <f aca="false">
IF($D421="정상",INDEX(임대자산!$D$3:$R$3000,MATCH($F421,임대자산!$I$3:$I$3000,0),MATCH(I$4,임대자산!$D$3:$R$3,0)),
IF($D421="폐업",INDEX(폐업정보!$D$3:$R$3000,MATCH($F421,폐업정보!$I$3:$I$3000,0),MATCH(I$4,폐업정보!$D$3:$R$3,0)),
"Error"))</f>
        <v>A0416</v>
      </c>
      <c r="J421" s="75" t="str">
        <f aca="false">
IF($D421="정상",INDEX(임대자산!$D$3:$R$3000,MATCH($F421,임대자산!$I$3:$I$3000,0),MATCH(J$4,임대자산!$D$3:$R$3,0)),
IF($D421="폐업",INDEX(폐업정보!$D$3:$R$3000,MATCH($F421,폐업정보!$I$3:$I$3000,0),MATCH(J$4,폐업정보!$D$3:$R$3,0)),
"Error"))</f>
        <v>5609000000</v>
      </c>
      <c r="K421" s="75" t="str">
        <f aca="false">
IF($D421="정상",INDEX(임대자산!$D$3:$R$3000,MATCH($F421,임대자산!$I$3:$I$3000,0),MATCH(K$4,임대자산!$D$3:$R$3,0)),
IF($D421="폐업",INDEX(폐업정보!$D$3:$R$3000,MATCH($F421,폐업정보!$I$3:$I$3000,0),MATCH(K$4,폐업정보!$D$3:$R$3,0)),
"Error"))</f>
        <v>C0416</v>
      </c>
      <c r="L421" s="75" t="str">
        <f aca="false">
IF($D421="정상",INDEX(임대자산!$D$3:$R$3000,MATCH($F421,임대자산!$I$3:$I$3000,0),MATCH(L$4,임대자산!$D$3:$R$3,0)),
IF($D421="폐업",INDEX(폐업정보!$D$3:$R$3000,MATCH($F421,폐업정보!$I$3:$I$3000,0),MATCH(L$4,폐업정보!$D$3:$R$3,0)),
"Error"))</f>
        <v>D0416</v>
      </c>
      <c r="M421" s="76" t="s">
        <v>96</v>
      </c>
      <c r="N421" s="77"/>
      <c r="O421" s="78" t="s">
        <v>97</v>
      </c>
      <c r="P421" s="79" t="n">
        <f aca="false">COUNTIFS(임대자산!$I:$I,가맹점정보!F421,임대자산!$N:$N,가맹점정보!P$4)</f>
        <v>0</v>
      </c>
      <c r="Q421" s="80" t="n">
        <f aca="false">COUNTIFS(임대자산!$I:$I,가맹점정보!F421,임대자산!$N:$N,가맹점정보!Q$4)</f>
        <v>0</v>
      </c>
      <c r="R421" s="81" t="n">
        <f aca="false">COUNTIFS(임대자산!$I:$I,가맹점정보!F421,임대자산!$N:$N,가맹점정보!R$4)</f>
        <v>1</v>
      </c>
      <c r="S421" s="82" t="n">
        <v>88000</v>
      </c>
      <c r="T421" s="83" t="n">
        <v>0</v>
      </c>
      <c r="U421" s="80" t="n">
        <f aca="false">SUM(S421:T421)</f>
        <v>88000</v>
      </c>
      <c r="V421" s="84" t="s">
        <v>7</v>
      </c>
      <c r="W421" s="80" t="str">
        <f aca="true">
IF(D421="폐업","폐업",
IF(V421="면제","면제",
IF(AND(V421="정상",COUNTIFS(OFFSET(Y421,0,COUNTA(Y421:AV421)-1,1,-4),"미납")&gt;=3),"장기미납",
IF(AND(V421="정상",OFFSET(Y421,0,COUNTA(Y421:AV421)-1)&gt;=U421),"정상",
IF(AND(V421="정상",OFFSET(Y421,0,COUNTA(Y421:AV421)-1)=0),"정상",
"계약서 미작성")))))</f>
        <v>면제</v>
      </c>
      <c r="X421" s="81" t="str">
        <f aca="true">
IF(D421="폐업","폐업",
IF(AND(V421="정상",OFFSET(Y421,0,COUNTA(Y421:AV421)-1)="미납"),"미납",
IF(AND(V421="정상",OFFSET(Y421,0,COUNTA(Y421:AV421)-1)=0),"납부 시작 전",
IF(AND(V421="정상",OFFSET(Y421,0,COUNTA(Y421:AV421)-1)&gt;=U421),"정상",
IF(AND(V421="면제",OFFSET(Y421,0,COUNTA(Y421:AV421)-1)="면제"),"면제",
IF(AND(V421="면제",OFFSET(Y421,0,COUNTA(Y421:AV421)-1)=0),"면제",
"확인요청"))))))</f>
        <v>면제</v>
      </c>
      <c r="Y421" s="94" t="s">
        <v>7</v>
      </c>
      <c r="Z421" s="95" t="s">
        <v>7</v>
      </c>
      <c r="AA421" s="95" t="s">
        <v>7</v>
      </c>
      <c r="AB421" s="95" t="s">
        <v>7</v>
      </c>
      <c r="AC421" s="95" t="s">
        <v>7</v>
      </c>
      <c r="AD421" s="95" t="s">
        <v>7</v>
      </c>
      <c r="AE421" s="95" t="s">
        <v>7</v>
      </c>
      <c r="AF421" s="95" t="s">
        <v>7</v>
      </c>
      <c r="AG421" s="95" t="s">
        <v>7</v>
      </c>
      <c r="AH421" s="95" t="s">
        <v>7</v>
      </c>
      <c r="AI421" s="95" t="s">
        <v>7</v>
      </c>
      <c r="AJ421" s="96" t="s">
        <v>7</v>
      </c>
      <c r="AK421" s="97" t="s">
        <v>7</v>
      </c>
      <c r="AL421" s="95" t="s">
        <v>7</v>
      </c>
      <c r="AM421" s="90"/>
      <c r="AN421" s="90"/>
      <c r="AO421" s="90"/>
      <c r="AP421" s="90"/>
      <c r="AQ421" s="90"/>
      <c r="AR421" s="90"/>
      <c r="AS421" s="90"/>
      <c r="AT421" s="90"/>
      <c r="AU421" s="90"/>
      <c r="AV421" s="91"/>
      <c r="AX421" s="92"/>
    </row>
    <row r="422" customFormat="false" ht="15.65" hidden="false" customHeight="false" outlineLevel="0" collapsed="false">
      <c r="C422" s="72" t="n">
        <f aca="false">COUNTIFS($D$6:D422,"&lt;&gt;"&amp;"")</f>
        <v>417</v>
      </c>
      <c r="D422" s="73" t="s">
        <v>12</v>
      </c>
      <c r="E422" s="76" t="str">
        <f aca="false">
IF($D422="정상",INDEX(임대자산!$D$3:$R$3000,MATCH($F422,임대자산!$I$3:$I$3000,0),MATCH(E$3,임대자산!$D$3:$R$3,0)),
IF($D422="폐업",INDEX(폐업정보!$D$3:$R$3000,MATCH($F422,폐업정보!$I$3:$I$3000,0),MATCH(E$3,폐업정보!$D$3:$R$3,0)),
"Error"))</f>
        <v>서울</v>
      </c>
      <c r="F42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B0417</v>
      </c>
      <c r="G422" s="76" t="str">
        <f aca="false">F422&amp;RANDBETWEEN(0,10)</f>
        <v>B04177</v>
      </c>
      <c r="H422" s="75" t="n">
        <f aca="false">
IF($D422="정상",INDEX(임대자산!$D$3:$R$3000,MATCH($F422,임대자산!$I$3:$I$3000,0),MATCH(H$4,임대자산!$D$3:$R$3,0)),
IF($D422="폐업",INDEX(폐업정보!$D$3:$R$3000,MATCH($F422,폐업정보!$I$3:$I$3000,0),MATCH(H$4,폐업정보!$D$3:$R$3,0)),
"Error"))</f>
        <v>46022</v>
      </c>
      <c r="I422" s="75" t="str">
        <f aca="false">
IF($D422="정상",INDEX(임대자산!$D$3:$R$3000,MATCH($F422,임대자산!$I$3:$I$3000,0),MATCH(I$4,임대자산!$D$3:$R$3,0)),
IF($D422="폐업",INDEX(폐업정보!$D$3:$R$3000,MATCH($F422,폐업정보!$I$3:$I$3000,0),MATCH(I$4,폐업정보!$D$3:$R$3,0)),
"Error"))</f>
        <v>A0417</v>
      </c>
      <c r="J422" s="75" t="str">
        <f aca="false">
IF($D422="정상",INDEX(임대자산!$D$3:$R$3000,MATCH($F422,임대자산!$I$3:$I$3000,0),MATCH(J$4,임대자산!$D$3:$R$3,0)),
IF($D422="폐업",INDEX(폐업정보!$D$3:$R$3000,MATCH($F422,폐업정보!$I$3:$I$3000,0),MATCH(J$4,폐업정보!$D$3:$R$3,0)),
"Error"))</f>
        <v>7729100000</v>
      </c>
      <c r="K422" s="75" t="str">
        <f aca="false">
IF($D422="정상",INDEX(임대자산!$D$3:$R$3000,MATCH($F422,임대자산!$I$3:$I$3000,0),MATCH(K$4,임대자산!$D$3:$R$3,0)),
IF($D422="폐업",INDEX(폐업정보!$D$3:$R$3000,MATCH($F422,폐업정보!$I$3:$I$3000,0),MATCH(K$4,폐업정보!$D$3:$R$3,0)),
"Error"))</f>
        <v>C0417</v>
      </c>
      <c r="L422" s="75" t="str">
        <f aca="false">
IF($D422="정상",INDEX(임대자산!$D$3:$R$3000,MATCH($F422,임대자산!$I$3:$I$3000,0),MATCH(L$4,임대자산!$D$3:$R$3,0)),
IF($D422="폐업",INDEX(폐업정보!$D$3:$R$3000,MATCH($F422,폐업정보!$I$3:$I$3000,0),MATCH(L$4,폐업정보!$D$3:$R$3,0)),
"Error"))</f>
        <v>D0417</v>
      </c>
      <c r="M422" s="76" t="s">
        <v>96</v>
      </c>
      <c r="N422" s="77"/>
      <c r="O422" s="78" t="s">
        <v>97</v>
      </c>
      <c r="P422" s="79" t="n">
        <f aca="false">COUNTIFS(임대자산!$I:$I,가맹점정보!F422,임대자산!$N:$N,가맹점정보!P$4)</f>
        <v>0</v>
      </c>
      <c r="Q422" s="80" t="n">
        <f aca="false">COUNTIFS(임대자산!$I:$I,가맹점정보!F422,임대자산!$N:$N,가맹점정보!Q$4)</f>
        <v>0</v>
      </c>
      <c r="R422" s="81" t="n">
        <f aca="false">COUNTIFS(임대자산!$I:$I,가맹점정보!F422,임대자산!$N:$N,가맹점정보!R$4)</f>
        <v>1</v>
      </c>
      <c r="S422" s="82" t="n">
        <v>88000</v>
      </c>
      <c r="T422" s="83" t="n">
        <v>0</v>
      </c>
      <c r="U422" s="80" t="n">
        <f aca="false">SUM(S422:T422)</f>
        <v>88000</v>
      </c>
      <c r="V422" s="84" t="s">
        <v>7</v>
      </c>
      <c r="W422" s="80" t="str">
        <f aca="true">
IF(D422="폐업","폐업",
IF(V422="면제","면제",
IF(AND(V422="정상",COUNTIFS(OFFSET(Y422,0,COUNTA(Y422:AV422)-1,1,-4),"미납")&gt;=3),"장기미납",
IF(AND(V422="정상",OFFSET(Y422,0,COUNTA(Y422:AV422)-1)&gt;=U422),"정상",
IF(AND(V422="정상",OFFSET(Y422,0,COUNTA(Y422:AV422)-1)=0),"정상",
"계약서 미작성")))))</f>
        <v>면제</v>
      </c>
      <c r="X422" s="81" t="str">
        <f aca="true">
IF(D422="폐업","폐업",
IF(AND(V422="정상",OFFSET(Y422,0,COUNTA(Y422:AV422)-1)="미납"),"미납",
IF(AND(V422="정상",OFFSET(Y422,0,COUNTA(Y422:AV422)-1)=0),"납부 시작 전",
IF(AND(V422="정상",OFFSET(Y422,0,COUNTA(Y422:AV422)-1)&gt;=U422),"정상",
IF(AND(V422="면제",OFFSET(Y422,0,COUNTA(Y422:AV422)-1)="면제"),"면제",
IF(AND(V422="면제",OFFSET(Y422,0,COUNTA(Y422:AV422)-1)=0),"면제",
"확인요청"))))))</f>
        <v>면제</v>
      </c>
      <c r="Y422" s="94" t="s">
        <v>7</v>
      </c>
      <c r="Z422" s="95" t="s">
        <v>7</v>
      </c>
      <c r="AA422" s="95" t="s">
        <v>7</v>
      </c>
      <c r="AB422" s="95" t="s">
        <v>7</v>
      </c>
      <c r="AC422" s="95" t="s">
        <v>7</v>
      </c>
      <c r="AD422" s="95" t="s">
        <v>7</v>
      </c>
      <c r="AE422" s="95" t="s">
        <v>7</v>
      </c>
      <c r="AF422" s="95" t="s">
        <v>7</v>
      </c>
      <c r="AG422" s="95" t="s">
        <v>7</v>
      </c>
      <c r="AH422" s="95" t="s">
        <v>7</v>
      </c>
      <c r="AI422" s="95" t="s">
        <v>7</v>
      </c>
      <c r="AJ422" s="96" t="s">
        <v>7</v>
      </c>
      <c r="AK422" s="97" t="s">
        <v>7</v>
      </c>
      <c r="AL422" s="95" t="s">
        <v>7</v>
      </c>
      <c r="AM422" s="90"/>
      <c r="AN422" s="90"/>
      <c r="AO422" s="90"/>
      <c r="AP422" s="90"/>
      <c r="AQ422" s="90"/>
      <c r="AR422" s="90"/>
      <c r="AS422" s="90"/>
      <c r="AT422" s="90"/>
      <c r="AU422" s="90"/>
      <c r="AV422" s="91"/>
      <c r="AX422" s="92"/>
    </row>
    <row r="423" customFormat="false" ht="15.65" hidden="false" customHeight="false" outlineLevel="0" collapsed="false">
      <c r="C423" s="72" t="n">
        <f aca="false">COUNTIFS($D$6:D423,"&lt;&gt;"&amp;"")</f>
        <v>418</v>
      </c>
      <c r="D423" s="73" t="s">
        <v>12</v>
      </c>
      <c r="E423" s="76" t="str">
        <f aca="false">
IF($D423="정상",INDEX(임대자산!$D$3:$R$3000,MATCH($F423,임대자산!$I$3:$I$3000,0),MATCH(E$3,임대자산!$D$3:$R$3,0)),
IF($D423="폐업",INDEX(폐업정보!$D$3:$R$3000,MATCH($F423,폐업정보!$I$3:$I$3000,0),MATCH(E$3,폐업정보!$D$3:$R$3,0)),
"Error"))</f>
        <v>경기</v>
      </c>
      <c r="F42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B0418</v>
      </c>
      <c r="G423" s="76" t="str">
        <f aca="false">F423&amp;RANDBETWEEN(0,10)</f>
        <v>B04183</v>
      </c>
      <c r="H423" s="75" t="n">
        <f aca="false">
IF($D423="정상",INDEX(임대자산!$D$3:$R$3000,MATCH($F423,임대자산!$I$3:$I$3000,0),MATCH(H$4,임대자산!$D$3:$R$3,0)),
IF($D423="폐업",INDEX(폐업정보!$D$3:$R$3000,MATCH($F423,폐업정보!$I$3:$I$3000,0),MATCH(H$4,폐업정보!$D$3:$R$3,0)),
"Error"))</f>
        <v>45596</v>
      </c>
      <c r="I423" s="75" t="str">
        <f aca="false">
IF($D423="정상",INDEX(임대자산!$D$3:$R$3000,MATCH($F423,임대자산!$I$3:$I$3000,0),MATCH(I$4,임대자산!$D$3:$R$3,0)),
IF($D423="폐업",INDEX(폐업정보!$D$3:$R$3000,MATCH($F423,폐업정보!$I$3:$I$3000,0),MATCH(I$4,폐업정보!$D$3:$R$3,0)),
"Error"))</f>
        <v>A0418</v>
      </c>
      <c r="J423" s="75" t="str">
        <f aca="false">
IF($D423="정상",INDEX(임대자산!$D$3:$R$3000,MATCH($F423,임대자산!$I$3:$I$3000,0),MATCH(J$4,임대자산!$D$3:$R$3,0)),
IF($D423="폐업",INDEX(폐업정보!$D$3:$R$3000,MATCH($F423,폐업정보!$I$3:$I$3000,0),MATCH(J$4,폐업정보!$D$3:$R$3,0)),
"Error"))</f>
        <v>1787900000</v>
      </c>
      <c r="K423" s="75" t="str">
        <f aca="false">
IF($D423="정상",INDEX(임대자산!$D$3:$R$3000,MATCH($F423,임대자산!$I$3:$I$3000,0),MATCH(K$4,임대자산!$D$3:$R$3,0)),
IF($D423="폐업",INDEX(폐업정보!$D$3:$R$3000,MATCH($F423,폐업정보!$I$3:$I$3000,0),MATCH(K$4,폐업정보!$D$3:$R$3,0)),
"Error"))</f>
        <v>C0418</v>
      </c>
      <c r="L423" s="75" t="str">
        <f aca="false">
IF($D423="정상",INDEX(임대자산!$D$3:$R$3000,MATCH($F423,임대자산!$I$3:$I$3000,0),MATCH(L$4,임대자산!$D$3:$R$3,0)),
IF($D423="폐업",INDEX(폐업정보!$D$3:$R$3000,MATCH($F423,폐업정보!$I$3:$I$3000,0),MATCH(L$4,폐업정보!$D$3:$R$3,0)),
"Error"))</f>
        <v>D0418</v>
      </c>
      <c r="M423" s="76" t="s">
        <v>96</v>
      </c>
      <c r="N423" s="77"/>
      <c r="O423" s="78" t="s">
        <v>97</v>
      </c>
      <c r="P423" s="79" t="n">
        <f aca="false">COUNTIFS(임대자산!$I:$I,가맹점정보!F423,임대자산!$N:$N,가맹점정보!P$4)</f>
        <v>0</v>
      </c>
      <c r="Q423" s="80" t="n">
        <f aca="false">COUNTIFS(임대자산!$I:$I,가맹점정보!F423,임대자산!$N:$N,가맹점정보!Q$4)</f>
        <v>0</v>
      </c>
      <c r="R423" s="81" t="n">
        <f aca="false">COUNTIFS(임대자산!$I:$I,가맹점정보!F423,임대자산!$N:$N,가맹점정보!R$4)</f>
        <v>1</v>
      </c>
      <c r="S423" s="82" t="n">
        <v>55000</v>
      </c>
      <c r="T423" s="83" t="n">
        <v>0</v>
      </c>
      <c r="U423" s="80" t="n">
        <f aca="false">SUM(S423:T423)</f>
        <v>55000</v>
      </c>
      <c r="V423" s="84" t="s">
        <v>12</v>
      </c>
      <c r="W423" s="80" t="e">
        <f aca="true">
IF(D423="폐업","폐업",
IF(V423="면제","면제",
IF(AND(V423="정상",COUNTIFS(OFFSET(Y423,0,COUNTA(Y423:AV423)-1,1,-4),"미납")&gt;=3),"장기미납",
IF(AND(V423="정상",OFFSET(Y423,0,COUNTA(Y423:AV423)-1)&gt;=U423),"정상",
IF(AND(V423="정상",OFFSET(Y423,0,COUNTA(Y423:AV423)-1)=0),"정상",
"계약서 미작성")))))</f>
        <v>#VALUE!</v>
      </c>
      <c r="X423" s="81" t="str">
        <f aca="true">
IF(D423="폐업","폐업",
IF(AND(V423="정상",OFFSET(Y423,0,COUNTA(Y423:AV423)-1)="미납"),"미납",
IF(AND(V423="정상",OFFSET(Y423,0,COUNTA(Y423:AV423)-1)=0),"납부 시작 전",
IF(AND(V423="정상",OFFSET(Y423,0,COUNTA(Y423:AV423)-1)&gt;=U423),"정상",
IF(AND(V423="면제",OFFSET(Y423,0,COUNTA(Y423:AV423)-1)="면제"),"면제",
IF(AND(V423="면제",OFFSET(Y423,0,COUNTA(Y423:AV423)-1)=0),"면제",
"확인요청"))))))</f>
        <v>정상</v>
      </c>
      <c r="Y423" s="93" t="n">
        <v>55000</v>
      </c>
      <c r="Z423" s="90" t="n">
        <v>55000</v>
      </c>
      <c r="AA423" s="90" t="n">
        <v>55000</v>
      </c>
      <c r="AB423" s="90" t="n">
        <v>55000</v>
      </c>
      <c r="AC423" s="90" t="n">
        <v>55000</v>
      </c>
      <c r="AD423" s="90" t="n">
        <v>55000</v>
      </c>
      <c r="AE423" s="90" t="n">
        <v>55000</v>
      </c>
      <c r="AF423" s="90" t="n">
        <v>55000</v>
      </c>
      <c r="AG423" s="90" t="n">
        <v>55000</v>
      </c>
      <c r="AH423" s="90" t="n">
        <v>55000</v>
      </c>
      <c r="AI423" s="90" t="n">
        <v>55000</v>
      </c>
      <c r="AJ423" s="91" t="n">
        <v>55000</v>
      </c>
      <c r="AK423" s="89" t="n">
        <v>55000</v>
      </c>
      <c r="AL423" s="90" t="n">
        <v>55000</v>
      </c>
      <c r="AM423" s="90"/>
      <c r="AN423" s="90"/>
      <c r="AO423" s="90"/>
      <c r="AP423" s="90"/>
      <c r="AQ423" s="90"/>
      <c r="AR423" s="90"/>
      <c r="AS423" s="90"/>
      <c r="AT423" s="90"/>
      <c r="AU423" s="90"/>
      <c r="AV423" s="91"/>
      <c r="AX423" s="92"/>
    </row>
    <row r="424" customFormat="false" ht="15.65" hidden="false" customHeight="false" outlineLevel="0" collapsed="false">
      <c r="C424" s="72" t="n">
        <f aca="false">COUNTIFS($D$6:D424,"&lt;&gt;"&amp;"")</f>
        <v>419</v>
      </c>
      <c r="D424" s="73" t="s">
        <v>12</v>
      </c>
      <c r="E424" s="76" t="str">
        <f aca="false">
IF($D424="정상",INDEX(임대자산!$D$3:$R$3000,MATCH($F424,임대자산!$I$3:$I$3000,0),MATCH(E$3,임대자산!$D$3:$R$3,0)),
IF($D424="폐업",INDEX(폐업정보!$D$3:$R$3000,MATCH($F424,폐업정보!$I$3:$I$3000,0),MATCH(E$3,폐업정보!$D$3:$R$3,0)),
"Error"))</f>
        <v>경상</v>
      </c>
      <c r="F42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B0419</v>
      </c>
      <c r="G424" s="76" t="str">
        <f aca="false">F424&amp;RANDBETWEEN(0,10)</f>
        <v>B04195</v>
      </c>
      <c r="H424" s="75" t="n">
        <f aca="false">
IF($D424="정상",INDEX(임대자산!$D$3:$R$3000,MATCH($F424,임대자산!$I$3:$I$3000,0),MATCH(H$4,임대자산!$D$3:$R$3,0)),
IF($D424="폐업",INDEX(폐업정보!$D$3:$R$3000,MATCH($F424,폐업정보!$I$3:$I$3000,0),MATCH(H$4,폐업정보!$D$3:$R$3,0)),
"Error"))</f>
        <v>45610</v>
      </c>
      <c r="I424" s="75" t="str">
        <f aca="false">
IF($D424="정상",INDEX(임대자산!$D$3:$R$3000,MATCH($F424,임대자산!$I$3:$I$3000,0),MATCH(I$4,임대자산!$D$3:$R$3,0)),
IF($D424="폐업",INDEX(폐업정보!$D$3:$R$3000,MATCH($F424,폐업정보!$I$3:$I$3000,0),MATCH(I$4,폐업정보!$D$3:$R$3,0)),
"Error"))</f>
        <v>A0419</v>
      </c>
      <c r="J424" s="75" t="str">
        <f aca="false">
IF($D424="정상",INDEX(임대자산!$D$3:$R$3000,MATCH($F424,임대자산!$I$3:$I$3000,0),MATCH(J$4,임대자산!$D$3:$R$3,0)),
IF($D424="폐업",INDEX(폐업정보!$D$3:$R$3000,MATCH($F424,폐업정보!$I$3:$I$3000,0),MATCH(J$4,폐업정보!$D$3:$R$3,0)),
"Error"))</f>
        <v>1077700000</v>
      </c>
      <c r="K424" s="75" t="str">
        <f aca="false">
IF($D424="정상",INDEX(임대자산!$D$3:$R$3000,MATCH($F424,임대자산!$I$3:$I$3000,0),MATCH(K$4,임대자산!$D$3:$R$3,0)),
IF($D424="폐업",INDEX(폐업정보!$D$3:$R$3000,MATCH($F424,폐업정보!$I$3:$I$3000,0),MATCH(K$4,폐업정보!$D$3:$R$3,0)),
"Error"))</f>
        <v>C0419</v>
      </c>
      <c r="L424" s="75" t="str">
        <f aca="false">
IF($D424="정상",INDEX(임대자산!$D$3:$R$3000,MATCH($F424,임대자산!$I$3:$I$3000,0),MATCH(L$4,임대자산!$D$3:$R$3,0)),
IF($D424="폐업",INDEX(폐업정보!$D$3:$R$3000,MATCH($F424,폐업정보!$I$3:$I$3000,0),MATCH(L$4,폐업정보!$D$3:$R$3,0)),
"Error"))</f>
        <v>D0419</v>
      </c>
      <c r="M424" s="76" t="s">
        <v>96</v>
      </c>
      <c r="N424" s="77"/>
      <c r="O424" s="78" t="s">
        <v>97</v>
      </c>
      <c r="P424" s="79" t="n">
        <f aca="false">COUNTIFS(임대자산!$I:$I,가맹점정보!F424,임대자산!$N:$N,가맹점정보!P$4)</f>
        <v>0</v>
      </c>
      <c r="Q424" s="80" t="n">
        <f aca="false">COUNTIFS(임대자산!$I:$I,가맹점정보!F424,임대자산!$N:$N,가맹점정보!Q$4)</f>
        <v>0</v>
      </c>
      <c r="R424" s="81" t="n">
        <f aca="false">COUNTIFS(임대자산!$I:$I,가맹점정보!F424,임대자산!$N:$N,가맹점정보!R$4)</f>
        <v>1</v>
      </c>
      <c r="S424" s="82" t="n">
        <v>88000</v>
      </c>
      <c r="T424" s="83" t="n">
        <v>0</v>
      </c>
      <c r="U424" s="80" t="n">
        <f aca="false">SUM(S424:T424)</f>
        <v>88000</v>
      </c>
      <c r="V424" s="84" t="s">
        <v>12</v>
      </c>
      <c r="W424" s="80" t="e">
        <f aca="true">
IF(D424="폐업","폐업",
IF(V424="면제","면제",
IF(AND(V424="정상",COUNTIFS(OFFSET(Y424,0,COUNTA(Y424:AV424)-1,1,-4),"미납")&gt;=3),"장기미납",
IF(AND(V424="정상",OFFSET(Y424,0,COUNTA(Y424:AV424)-1)&gt;=U424),"정상",
IF(AND(V424="정상",OFFSET(Y424,0,COUNTA(Y424:AV424)-1)=0),"정상",
"계약서 미작성")))))</f>
        <v>#VALUE!</v>
      </c>
      <c r="X424" s="81" t="str">
        <f aca="true">
IF(D424="폐업","폐업",
IF(AND(V424="정상",OFFSET(Y424,0,COUNTA(Y424:AV424)-1)="미납"),"미납",
IF(AND(V424="정상",OFFSET(Y424,0,COUNTA(Y424:AV424)-1)=0),"납부 시작 전",
IF(AND(V424="정상",OFFSET(Y424,0,COUNTA(Y424:AV424)-1)&gt;=U424),"정상",
IF(AND(V424="면제",OFFSET(Y424,0,COUNTA(Y424:AV424)-1)="면제"),"면제",
IF(AND(V424="면제",OFFSET(Y424,0,COUNTA(Y424:AV424)-1)=0),"면제",
"확인요청"))))))</f>
        <v>정상</v>
      </c>
      <c r="Y424" s="93" t="n">
        <v>88000</v>
      </c>
      <c r="Z424" s="90" t="n">
        <v>88000</v>
      </c>
      <c r="AA424" s="90" t="n">
        <v>88000</v>
      </c>
      <c r="AB424" s="90" t="n">
        <v>88000</v>
      </c>
      <c r="AC424" s="90" t="n">
        <v>88000</v>
      </c>
      <c r="AD424" s="90" t="n">
        <v>88000</v>
      </c>
      <c r="AE424" s="90" t="n">
        <v>88000</v>
      </c>
      <c r="AF424" s="90" t="n">
        <v>88000</v>
      </c>
      <c r="AG424" s="90" t="n">
        <v>88000</v>
      </c>
      <c r="AH424" s="90" t="n">
        <v>88000</v>
      </c>
      <c r="AI424" s="90" t="n">
        <v>88000</v>
      </c>
      <c r="AJ424" s="91" t="n">
        <v>88000</v>
      </c>
      <c r="AK424" s="89" t="n">
        <v>88000</v>
      </c>
      <c r="AL424" s="90" t="n">
        <v>88000</v>
      </c>
      <c r="AM424" s="90"/>
      <c r="AN424" s="90"/>
      <c r="AO424" s="90"/>
      <c r="AP424" s="90"/>
      <c r="AQ424" s="90"/>
      <c r="AR424" s="90"/>
      <c r="AS424" s="90"/>
      <c r="AT424" s="90"/>
      <c r="AU424" s="90"/>
      <c r="AV424" s="91"/>
      <c r="AX424" s="92"/>
    </row>
    <row r="425" customFormat="false" ht="15.65" hidden="false" customHeight="false" outlineLevel="0" collapsed="false">
      <c r="C425" s="72" t="n">
        <f aca="false">COUNTIFS($D$6:D425,"&lt;&gt;"&amp;"")</f>
        <v>420</v>
      </c>
      <c r="D425" s="73" t="s">
        <v>12</v>
      </c>
      <c r="E425" s="76" t="str">
        <f aca="false">
IF($D425="정상",INDEX(임대자산!$D$3:$R$3000,MATCH($F425,임대자산!$I$3:$I$3000,0),MATCH(E$3,임대자산!$D$3:$R$3,0)),
IF($D425="폐업",INDEX(폐업정보!$D$3:$R$3000,MATCH($F425,폐업정보!$I$3:$I$3000,0),MATCH(E$3,폐업정보!$D$3:$R$3,0)),
"Error"))</f>
        <v>경상</v>
      </c>
      <c r="F42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B0420</v>
      </c>
      <c r="G425" s="76" t="str">
        <f aca="false">F425&amp;RANDBETWEEN(0,10)</f>
        <v>B04209</v>
      </c>
      <c r="H425" s="75" t="n">
        <f aca="false">
IF($D425="정상",INDEX(임대자산!$D$3:$R$3000,MATCH($F425,임대자산!$I$3:$I$3000,0),MATCH(H$4,임대자산!$D$3:$R$3,0)),
IF($D425="폐업",INDEX(폐업정보!$D$3:$R$3000,MATCH($F425,폐업정보!$I$3:$I$3000,0),MATCH(H$4,폐업정보!$D$3:$R$3,0)),
"Error"))</f>
        <v>45622</v>
      </c>
      <c r="I425" s="75" t="str">
        <f aca="false">
IF($D425="정상",INDEX(임대자산!$D$3:$R$3000,MATCH($F425,임대자산!$I$3:$I$3000,0),MATCH(I$4,임대자산!$D$3:$R$3,0)),
IF($D425="폐업",INDEX(폐업정보!$D$3:$R$3000,MATCH($F425,폐업정보!$I$3:$I$3000,0),MATCH(I$4,폐업정보!$D$3:$R$3,0)),
"Error"))</f>
        <v>A0420</v>
      </c>
      <c r="J425" s="75" t="str">
        <f aca="false">
IF($D425="정상",INDEX(임대자산!$D$3:$R$3000,MATCH($F425,임대자산!$I$3:$I$3000,0),MATCH(J$4,임대자산!$D$3:$R$3,0)),
IF($D425="폐업",INDEX(폐업정보!$D$3:$R$3000,MATCH($F425,폐업정보!$I$3:$I$3000,0),MATCH(J$4,폐업정보!$D$3:$R$3,0)),
"Error"))</f>
        <v>8267000000</v>
      </c>
      <c r="K425" s="75" t="str">
        <f aca="false">
IF($D425="정상",INDEX(임대자산!$D$3:$R$3000,MATCH($F425,임대자산!$I$3:$I$3000,0),MATCH(K$4,임대자산!$D$3:$R$3,0)),
IF($D425="폐업",INDEX(폐업정보!$D$3:$R$3000,MATCH($F425,폐업정보!$I$3:$I$3000,0),MATCH(K$4,폐업정보!$D$3:$R$3,0)),
"Error"))</f>
        <v>C0420</v>
      </c>
      <c r="L425" s="75" t="str">
        <f aca="false">
IF($D425="정상",INDEX(임대자산!$D$3:$R$3000,MATCH($F425,임대자산!$I$3:$I$3000,0),MATCH(L$4,임대자산!$D$3:$R$3,0)),
IF($D425="폐업",INDEX(폐업정보!$D$3:$R$3000,MATCH($F425,폐업정보!$I$3:$I$3000,0),MATCH(L$4,폐업정보!$D$3:$R$3,0)),
"Error"))</f>
        <v>D0420</v>
      </c>
      <c r="M425" s="76" t="s">
        <v>96</v>
      </c>
      <c r="N425" s="77"/>
      <c r="O425" s="78" t="s">
        <v>97</v>
      </c>
      <c r="P425" s="79" t="n">
        <f aca="false">COUNTIFS(임대자산!$I:$I,가맹점정보!F425,임대자산!$N:$N,가맹점정보!P$4)</f>
        <v>0</v>
      </c>
      <c r="Q425" s="80" t="n">
        <f aca="false">COUNTIFS(임대자산!$I:$I,가맹점정보!F425,임대자산!$N:$N,가맹점정보!Q$4)</f>
        <v>0</v>
      </c>
      <c r="R425" s="81" t="n">
        <f aca="false">COUNTIFS(임대자산!$I:$I,가맹점정보!F425,임대자산!$N:$N,가맹점정보!R$4)</f>
        <v>1</v>
      </c>
      <c r="S425" s="82" t="n">
        <v>55000</v>
      </c>
      <c r="T425" s="83" t="n">
        <v>0</v>
      </c>
      <c r="U425" s="80" t="n">
        <f aca="false">SUM(S425:T425)</f>
        <v>55000</v>
      </c>
      <c r="V425" s="84" t="s">
        <v>12</v>
      </c>
      <c r="W425" s="80" t="e">
        <f aca="true">
IF(D425="폐업","폐업",
IF(V425="면제","면제",
IF(AND(V425="정상",COUNTIFS(OFFSET(Y425,0,COUNTA(Y425:AV425)-1,1,-4),"미납")&gt;=3),"장기미납",
IF(AND(V425="정상",OFFSET(Y425,0,COUNTA(Y425:AV425)-1)&gt;=U425),"정상",
IF(AND(V425="정상",OFFSET(Y425,0,COUNTA(Y425:AV425)-1)=0),"정상",
"계약서 미작성")))))</f>
        <v>#VALUE!</v>
      </c>
      <c r="X425" s="81" t="str">
        <f aca="true">
IF(D425="폐업","폐업",
IF(AND(V425="정상",OFFSET(Y425,0,COUNTA(Y425:AV425)-1)="미납"),"미납",
IF(AND(V425="정상",OFFSET(Y425,0,COUNTA(Y425:AV425)-1)=0),"납부 시작 전",
IF(AND(V425="정상",OFFSET(Y425,0,COUNTA(Y425:AV425)-1)&gt;=U425),"정상",
IF(AND(V425="면제",OFFSET(Y425,0,COUNTA(Y425:AV425)-1)="면제"),"면제",
IF(AND(V425="면제",OFFSET(Y425,0,COUNTA(Y425:AV425)-1)=0),"면제",
"확인요청"))))))</f>
        <v>정상</v>
      </c>
      <c r="Y425" s="93" t="n">
        <v>55000</v>
      </c>
      <c r="Z425" s="90" t="n">
        <v>55000</v>
      </c>
      <c r="AA425" s="90" t="n">
        <v>55000</v>
      </c>
      <c r="AB425" s="90" t="n">
        <v>55000</v>
      </c>
      <c r="AC425" s="90" t="n">
        <v>55000</v>
      </c>
      <c r="AD425" s="90" t="n">
        <v>55000</v>
      </c>
      <c r="AE425" s="90" t="n">
        <v>55000</v>
      </c>
      <c r="AF425" s="90" t="n">
        <v>55000</v>
      </c>
      <c r="AG425" s="90" t="n">
        <v>55000</v>
      </c>
      <c r="AH425" s="90" t="n">
        <v>55000</v>
      </c>
      <c r="AI425" s="90" t="n">
        <v>55000</v>
      </c>
      <c r="AJ425" s="91" t="n">
        <v>55000</v>
      </c>
      <c r="AK425" s="89" t="n">
        <v>55000</v>
      </c>
      <c r="AL425" s="90" t="n">
        <v>55000</v>
      </c>
      <c r="AM425" s="90"/>
      <c r="AN425" s="90"/>
      <c r="AO425" s="90"/>
      <c r="AP425" s="90"/>
      <c r="AQ425" s="90"/>
      <c r="AR425" s="90"/>
      <c r="AS425" s="90"/>
      <c r="AT425" s="90"/>
      <c r="AU425" s="90"/>
      <c r="AV425" s="91"/>
      <c r="AX425" s="92"/>
    </row>
    <row r="426" customFormat="false" ht="15.65" hidden="false" customHeight="false" outlineLevel="0" collapsed="false">
      <c r="C426" s="72" t="n">
        <f aca="false">COUNTIFS($D$6:D426,"&lt;&gt;"&amp;"")</f>
        <v>421</v>
      </c>
      <c r="D426" s="73" t="s">
        <v>12</v>
      </c>
      <c r="E426" s="76" t="str">
        <f aca="false">
IF($D426="정상",INDEX(임대자산!$D$3:$R$3000,MATCH($F426,임대자산!$I$3:$I$3000,0),MATCH(E$3,임대자산!$D$3:$R$3,0)),
IF($D426="폐업",INDEX(폐업정보!$D$3:$R$3000,MATCH($F426,폐업정보!$I$3:$I$3000,0),MATCH(E$3,폐업정보!$D$3:$R$3,0)),
"Error"))</f>
        <v>경상</v>
      </c>
      <c r="F42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B0421</v>
      </c>
      <c r="G426" s="76" t="str">
        <f aca="false">F426&amp;RANDBETWEEN(0,10)</f>
        <v>B04210</v>
      </c>
      <c r="H426" s="75" t="n">
        <f aca="false">
IF($D426="정상",INDEX(임대자산!$D$3:$R$3000,MATCH($F426,임대자산!$I$3:$I$3000,0),MATCH(H$4,임대자산!$D$3:$R$3,0)),
IF($D426="폐업",INDEX(폐업정보!$D$3:$R$3000,MATCH($F426,폐업정보!$I$3:$I$3000,0),MATCH(H$4,폐업정보!$D$3:$R$3,0)),
"Error"))</f>
        <v>45622</v>
      </c>
      <c r="I426" s="75" t="str">
        <f aca="false">
IF($D426="정상",INDEX(임대자산!$D$3:$R$3000,MATCH($F426,임대자산!$I$3:$I$3000,0),MATCH(I$4,임대자산!$D$3:$R$3,0)),
IF($D426="폐업",INDEX(폐업정보!$D$3:$R$3000,MATCH($F426,폐업정보!$I$3:$I$3000,0),MATCH(I$4,폐업정보!$D$3:$R$3,0)),
"Error"))</f>
        <v>A0421</v>
      </c>
      <c r="J426" s="75" t="str">
        <f aca="false">
IF($D426="정상",INDEX(임대자산!$D$3:$R$3000,MATCH($F426,임대자산!$I$3:$I$3000,0),MATCH(J$4,임대자산!$D$3:$R$3,0)),
IF($D426="폐업",INDEX(폐업정보!$D$3:$R$3000,MATCH($F426,폐업정보!$I$3:$I$3000,0),MATCH(J$4,폐업정보!$D$3:$R$3,0)),
"Error"))</f>
        <v>4462300000</v>
      </c>
      <c r="K426" s="75" t="str">
        <f aca="false">
IF($D426="정상",INDEX(임대자산!$D$3:$R$3000,MATCH($F426,임대자산!$I$3:$I$3000,0),MATCH(K$4,임대자산!$D$3:$R$3,0)),
IF($D426="폐업",INDEX(폐업정보!$D$3:$R$3000,MATCH($F426,폐업정보!$I$3:$I$3000,0),MATCH(K$4,폐업정보!$D$3:$R$3,0)),
"Error"))</f>
        <v>C0421</v>
      </c>
      <c r="L426" s="75" t="str">
        <f aca="false">
IF($D426="정상",INDEX(임대자산!$D$3:$R$3000,MATCH($F426,임대자산!$I$3:$I$3000,0),MATCH(L$4,임대자산!$D$3:$R$3,0)),
IF($D426="폐업",INDEX(폐업정보!$D$3:$R$3000,MATCH($F426,폐업정보!$I$3:$I$3000,0),MATCH(L$4,폐업정보!$D$3:$R$3,0)),
"Error"))</f>
        <v>D0421</v>
      </c>
      <c r="M426" s="76" t="s">
        <v>96</v>
      </c>
      <c r="N426" s="77"/>
      <c r="O426" s="78" t="s">
        <v>97</v>
      </c>
      <c r="P426" s="79" t="n">
        <f aca="false">COUNTIFS(임대자산!$I:$I,가맹점정보!F426,임대자산!$N:$N,가맹점정보!P$4)</f>
        <v>0</v>
      </c>
      <c r="Q426" s="80" t="n">
        <f aca="false">COUNTIFS(임대자산!$I:$I,가맹점정보!F426,임대자산!$N:$N,가맹점정보!Q$4)</f>
        <v>0</v>
      </c>
      <c r="R426" s="81" t="n">
        <f aca="false">COUNTIFS(임대자산!$I:$I,가맹점정보!F426,임대자산!$N:$N,가맹점정보!R$4)</f>
        <v>1</v>
      </c>
      <c r="S426" s="82" t="n">
        <v>88000</v>
      </c>
      <c r="T426" s="83" t="n">
        <v>0</v>
      </c>
      <c r="U426" s="80" t="n">
        <f aca="false">SUM(S426:T426)</f>
        <v>88000</v>
      </c>
      <c r="V426" s="84" t="s">
        <v>7</v>
      </c>
      <c r="W426" s="80" t="str">
        <f aca="true">
IF(D426="폐업","폐업",
IF(V426="면제","면제",
IF(AND(V426="정상",COUNTIFS(OFFSET(Y426,0,COUNTA(Y426:AV426)-1,1,-4),"미납")&gt;=3),"장기미납",
IF(AND(V426="정상",OFFSET(Y426,0,COUNTA(Y426:AV426)-1)&gt;=U426),"정상",
IF(AND(V426="정상",OFFSET(Y426,0,COUNTA(Y426:AV426)-1)=0),"정상",
"계약서 미작성")))))</f>
        <v>면제</v>
      </c>
      <c r="X426" s="81" t="str">
        <f aca="true">
IF(D426="폐업","폐업",
IF(AND(V426="정상",OFFSET(Y426,0,COUNTA(Y426:AV426)-1)="미납"),"미납",
IF(AND(V426="정상",OFFSET(Y426,0,COUNTA(Y426:AV426)-1)=0),"납부 시작 전",
IF(AND(V426="정상",OFFSET(Y426,0,COUNTA(Y426:AV426)-1)&gt;=U426),"정상",
IF(AND(V426="면제",OFFSET(Y426,0,COUNTA(Y426:AV426)-1)="면제"),"면제",
IF(AND(V426="면제",OFFSET(Y426,0,COUNTA(Y426:AV426)-1)=0),"면제",
"확인요청"))))))</f>
        <v>면제</v>
      </c>
      <c r="Y426" s="94" t="s">
        <v>7</v>
      </c>
      <c r="Z426" s="95" t="s">
        <v>7</v>
      </c>
      <c r="AA426" s="95" t="s">
        <v>7</v>
      </c>
      <c r="AB426" s="95" t="s">
        <v>7</v>
      </c>
      <c r="AC426" s="95" t="s">
        <v>7</v>
      </c>
      <c r="AD426" s="95" t="s">
        <v>7</v>
      </c>
      <c r="AE426" s="95" t="s">
        <v>7</v>
      </c>
      <c r="AF426" s="95" t="s">
        <v>7</v>
      </c>
      <c r="AG426" s="95" t="s">
        <v>7</v>
      </c>
      <c r="AH426" s="95" t="s">
        <v>7</v>
      </c>
      <c r="AI426" s="95" t="s">
        <v>7</v>
      </c>
      <c r="AJ426" s="96" t="s">
        <v>7</v>
      </c>
      <c r="AK426" s="97" t="s">
        <v>7</v>
      </c>
      <c r="AL426" s="95" t="s">
        <v>7</v>
      </c>
      <c r="AM426" s="90"/>
      <c r="AN426" s="90"/>
      <c r="AO426" s="90"/>
      <c r="AP426" s="90"/>
      <c r="AQ426" s="90"/>
      <c r="AR426" s="90"/>
      <c r="AS426" s="90"/>
      <c r="AT426" s="90"/>
      <c r="AU426" s="90"/>
      <c r="AV426" s="91"/>
      <c r="AX426" s="92"/>
    </row>
    <row r="427" customFormat="false" ht="15.65" hidden="false" customHeight="false" outlineLevel="0" collapsed="false">
      <c r="C427" s="72" t="n">
        <f aca="false">COUNTIFS($D$6:D427,"&lt;&gt;"&amp;"")</f>
        <v>422</v>
      </c>
      <c r="D427" s="73" t="s">
        <v>5</v>
      </c>
      <c r="E427" s="76" t="str">
        <f aca="false">
IF($D427="정상",INDEX(임대자산!$D$3:$R$3000,MATCH($F427,임대자산!$I$3:$I$3000,0),MATCH(E$3,임대자산!$D$3:$R$3,0)),
IF($D427="폐업",INDEX(폐업정보!$D$3:$R$3000,MATCH($F427,폐업정보!$I$3:$I$3000,0),MATCH(E$3,폐업정보!$D$3:$R$3,0)),
"Error"))</f>
        <v>경상</v>
      </c>
      <c r="F42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B0422</v>
      </c>
      <c r="G427" s="76" t="str">
        <f aca="false">F427&amp;RANDBETWEEN(0,10)</f>
        <v>B04221</v>
      </c>
      <c r="H427" s="75" t="n">
        <f aca="false">
IF($D427="정상",INDEX(임대자산!$D$3:$R$3000,MATCH($F427,임대자산!$I$3:$I$3000,0),MATCH(H$4,임대자산!$D$3:$R$3,0)),
IF($D427="폐업",INDEX(폐업정보!$D$3:$R$3000,MATCH($F427,폐업정보!$I$3:$I$3000,0),MATCH(H$4,폐업정보!$D$3:$R$3,0)),
"Error"))</f>
        <v>45622</v>
      </c>
      <c r="I427" s="75" t="str">
        <f aca="false">
IF($D427="정상",INDEX(임대자산!$D$3:$R$3000,MATCH($F427,임대자산!$I$3:$I$3000,0),MATCH(I$4,임대자산!$D$3:$R$3,0)),
IF($D427="폐업",INDEX(폐업정보!$D$3:$R$3000,MATCH($F427,폐업정보!$I$3:$I$3000,0),MATCH(I$4,폐업정보!$D$3:$R$3,0)),
"Error"))</f>
        <v>A0422</v>
      </c>
      <c r="J427" s="75" t="str">
        <f aca="false">
IF($D427="정상",INDEX(임대자산!$D$3:$R$3000,MATCH($F427,임대자산!$I$3:$I$3000,0),MATCH(J$4,임대자산!$D$3:$R$3,0)),
IF($D427="폐업",INDEX(폐업정보!$D$3:$R$3000,MATCH($F427,폐업정보!$I$3:$I$3000,0),MATCH(J$4,폐업정보!$D$3:$R$3,0)),
"Error"))</f>
        <v>2980100000</v>
      </c>
      <c r="K427" s="75" t="str">
        <f aca="false">
IF($D427="정상",INDEX(임대자산!$D$3:$R$3000,MATCH($F427,임대자산!$I$3:$I$3000,0),MATCH(K$4,임대자산!$D$3:$R$3,0)),
IF($D427="폐업",INDEX(폐업정보!$D$3:$R$3000,MATCH($F427,폐업정보!$I$3:$I$3000,0),MATCH(K$4,폐업정보!$D$3:$R$3,0)),
"Error"))</f>
        <v>C0422</v>
      </c>
      <c r="L427" s="75" t="str">
        <f aca="false">
IF($D427="정상",INDEX(임대자산!$D$3:$R$3000,MATCH($F427,임대자산!$I$3:$I$3000,0),MATCH(L$4,임대자산!$D$3:$R$3,0)),
IF($D427="폐업",INDEX(폐업정보!$D$3:$R$3000,MATCH($F427,폐업정보!$I$3:$I$3000,0),MATCH(L$4,폐업정보!$D$3:$R$3,0)),
"Error"))</f>
        <v>D0422</v>
      </c>
      <c r="M427" s="76" t="s">
        <v>96</v>
      </c>
      <c r="N427" s="77"/>
      <c r="O427" s="78" t="s">
        <v>97</v>
      </c>
      <c r="P427" s="79" t="n">
        <f aca="false">COUNTIFS(임대자산!$I:$I,가맹점정보!F427,임대자산!$N:$N,가맹점정보!P$4)</f>
        <v>0</v>
      </c>
      <c r="Q427" s="80" t="n">
        <f aca="false">COUNTIFS(임대자산!$I:$I,가맹점정보!F427,임대자산!$N:$N,가맹점정보!Q$4)</f>
        <v>0</v>
      </c>
      <c r="R427" s="81" t="n">
        <f aca="false">COUNTIFS(임대자산!$I:$I,가맹점정보!F427,임대자산!$N:$N,가맹점정보!R$4)</f>
        <v>0</v>
      </c>
      <c r="S427" s="82" t="n">
        <v>88000</v>
      </c>
      <c r="T427" s="83" t="n">
        <v>0</v>
      </c>
      <c r="U427" s="80" t="n">
        <f aca="false">SUM(S427:T427)</f>
        <v>88000</v>
      </c>
      <c r="V427" s="84" t="s">
        <v>7</v>
      </c>
      <c r="W427" s="80" t="str">
        <f aca="true">
IF(D427="폐업","폐업",
IF(V427="면제","면제",
IF(AND(V427="정상",COUNTIFS(OFFSET(Y427,0,COUNTA(Y427:AV427)-1,1,-4),"미납")&gt;=3),"장기미납",
IF(AND(V427="정상",OFFSET(Y427,0,COUNTA(Y427:AV427)-1)&gt;=U427),"정상",
IF(AND(V427="정상",OFFSET(Y427,0,COUNTA(Y427:AV427)-1)=0),"정상",
"계약서 미작성")))))</f>
        <v>폐업</v>
      </c>
      <c r="X427" s="81" t="str">
        <f aca="true">
IF(D427="폐업","폐업",
IF(AND(V427="정상",OFFSET(Y427,0,COUNTA(Y427:AV427)-1)="미납"),"미납",
IF(AND(V427="정상",OFFSET(Y427,0,COUNTA(Y427:AV427)-1)=0),"납부 시작 전",
IF(AND(V427="정상",OFFSET(Y427,0,COUNTA(Y427:AV427)-1)&gt;=U427),"정상",
IF(AND(V427="면제",OFFSET(Y427,0,COUNTA(Y427:AV427)-1)="면제"),"면제",
IF(AND(V427="면제",OFFSET(Y427,0,COUNTA(Y427:AV427)-1)=0),"면제",
"확인요청"))))))</f>
        <v>폐업</v>
      </c>
      <c r="Y427" s="94" t="s">
        <v>7</v>
      </c>
      <c r="Z427" s="95" t="s">
        <v>7</v>
      </c>
      <c r="AA427" s="95" t="s">
        <v>7</v>
      </c>
      <c r="AB427" s="95" t="s">
        <v>7</v>
      </c>
      <c r="AC427" s="95" t="s">
        <v>7</v>
      </c>
      <c r="AD427" s="95" t="s">
        <v>7</v>
      </c>
      <c r="AE427" s="95" t="s">
        <v>7</v>
      </c>
      <c r="AF427" s="95" t="s">
        <v>7</v>
      </c>
      <c r="AG427" s="95" t="s">
        <v>7</v>
      </c>
      <c r="AH427" s="95" t="s">
        <v>7</v>
      </c>
      <c r="AI427" s="95" t="s">
        <v>7</v>
      </c>
      <c r="AJ427" s="96" t="s">
        <v>7</v>
      </c>
      <c r="AK427" s="97" t="s">
        <v>7</v>
      </c>
      <c r="AL427" s="95" t="s">
        <v>7</v>
      </c>
      <c r="AM427" s="90"/>
      <c r="AN427" s="90"/>
      <c r="AO427" s="90"/>
      <c r="AP427" s="90"/>
      <c r="AQ427" s="90"/>
      <c r="AR427" s="90"/>
      <c r="AS427" s="90"/>
      <c r="AT427" s="90"/>
      <c r="AU427" s="90"/>
      <c r="AV427" s="91"/>
      <c r="AX427" s="92"/>
    </row>
    <row r="428" customFormat="false" ht="15.65" hidden="false" customHeight="false" outlineLevel="0" collapsed="false">
      <c r="C428" s="72" t="n">
        <f aca="false">COUNTIFS($D$6:D428,"&lt;&gt;"&amp;"")</f>
        <v>423</v>
      </c>
      <c r="D428" s="73" t="s">
        <v>5</v>
      </c>
      <c r="E428" s="76" t="str">
        <f aca="false">
IF($D428="정상",INDEX(임대자산!$D$3:$R$3000,MATCH($F428,임대자산!$I$3:$I$3000,0),MATCH(E$3,임대자산!$D$3:$R$3,0)),
IF($D428="폐업",INDEX(폐업정보!$D$3:$R$3000,MATCH($F428,폐업정보!$I$3:$I$3000,0),MATCH(E$3,폐업정보!$D$3:$R$3,0)),
"Error"))</f>
        <v>경상</v>
      </c>
      <c r="F42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B0423</v>
      </c>
      <c r="G428" s="76" t="str">
        <f aca="false">F428&amp;RANDBETWEEN(0,10)</f>
        <v>B04237</v>
      </c>
      <c r="H428" s="75" t="n">
        <f aca="false">
IF($D428="정상",INDEX(임대자산!$D$3:$R$3000,MATCH($F428,임대자산!$I$3:$I$3000,0),MATCH(H$4,임대자산!$D$3:$R$3,0)),
IF($D428="폐업",INDEX(폐업정보!$D$3:$R$3000,MATCH($F428,폐업정보!$I$3:$I$3000,0),MATCH(H$4,폐업정보!$D$3:$R$3,0)),
"Error"))</f>
        <v>45622</v>
      </c>
      <c r="I428" s="75" t="str">
        <f aca="false">
IF($D428="정상",INDEX(임대자산!$D$3:$R$3000,MATCH($F428,임대자산!$I$3:$I$3000,0),MATCH(I$4,임대자산!$D$3:$R$3,0)),
IF($D428="폐업",INDEX(폐업정보!$D$3:$R$3000,MATCH($F428,폐업정보!$I$3:$I$3000,0),MATCH(I$4,폐업정보!$D$3:$R$3,0)),
"Error"))</f>
        <v>A0423</v>
      </c>
      <c r="J428" s="75" t="str">
        <f aca="false">
IF($D428="정상",INDEX(임대자산!$D$3:$R$3000,MATCH($F428,임대자산!$I$3:$I$3000,0),MATCH(J$4,임대자산!$D$3:$R$3,0)),
IF($D428="폐업",INDEX(폐업정보!$D$3:$R$3000,MATCH($F428,폐업정보!$I$3:$I$3000,0),MATCH(J$4,폐업정보!$D$3:$R$3,0)),
"Error"))</f>
        <v>6640100000</v>
      </c>
      <c r="K428" s="75" t="str">
        <f aca="false">
IF($D428="정상",INDEX(임대자산!$D$3:$R$3000,MATCH($F428,임대자산!$I$3:$I$3000,0),MATCH(K$4,임대자산!$D$3:$R$3,0)),
IF($D428="폐업",INDEX(폐업정보!$D$3:$R$3000,MATCH($F428,폐업정보!$I$3:$I$3000,0),MATCH(K$4,폐업정보!$D$3:$R$3,0)),
"Error"))</f>
        <v>C0423</v>
      </c>
      <c r="L428" s="75" t="str">
        <f aca="false">
IF($D428="정상",INDEX(임대자산!$D$3:$R$3000,MATCH($F428,임대자산!$I$3:$I$3000,0),MATCH(L$4,임대자산!$D$3:$R$3,0)),
IF($D428="폐업",INDEX(폐업정보!$D$3:$R$3000,MATCH($F428,폐업정보!$I$3:$I$3000,0),MATCH(L$4,폐업정보!$D$3:$R$3,0)),
"Error"))</f>
        <v>D0423</v>
      </c>
      <c r="M428" s="76" t="s">
        <v>96</v>
      </c>
      <c r="N428" s="77"/>
      <c r="O428" s="78" t="s">
        <v>97</v>
      </c>
      <c r="P428" s="79" t="n">
        <f aca="false">COUNTIFS(임대자산!$I:$I,가맹점정보!F428,임대자산!$N:$N,가맹점정보!P$4)</f>
        <v>0</v>
      </c>
      <c r="Q428" s="80" t="n">
        <f aca="false">COUNTIFS(임대자산!$I:$I,가맹점정보!F428,임대자산!$N:$N,가맹점정보!Q$4)</f>
        <v>0</v>
      </c>
      <c r="R428" s="81" t="n">
        <f aca="false">COUNTIFS(임대자산!$I:$I,가맹점정보!F428,임대자산!$N:$N,가맹점정보!R$4)</f>
        <v>0</v>
      </c>
      <c r="S428" s="82" t="n">
        <v>88000</v>
      </c>
      <c r="T428" s="83" t="n">
        <v>0</v>
      </c>
      <c r="U428" s="80" t="n">
        <f aca="false">SUM(S428:T428)</f>
        <v>88000</v>
      </c>
      <c r="V428" s="84" t="s">
        <v>7</v>
      </c>
      <c r="W428" s="80" t="str">
        <f aca="true">
IF(D428="폐업","폐업",
IF(V428="면제","면제",
IF(AND(V428="정상",COUNTIFS(OFFSET(Y428,0,COUNTA(Y428:AV428)-1,1,-4),"미납")&gt;=3),"장기미납",
IF(AND(V428="정상",OFFSET(Y428,0,COUNTA(Y428:AV428)-1)&gt;=U428),"정상",
IF(AND(V428="정상",OFFSET(Y428,0,COUNTA(Y428:AV428)-1)=0),"정상",
"계약서 미작성")))))</f>
        <v>폐업</v>
      </c>
      <c r="X428" s="81" t="str">
        <f aca="true">
IF(D428="폐업","폐업",
IF(AND(V428="정상",OFFSET(Y428,0,COUNTA(Y428:AV428)-1)="미납"),"미납",
IF(AND(V428="정상",OFFSET(Y428,0,COUNTA(Y428:AV428)-1)=0),"납부 시작 전",
IF(AND(V428="정상",OFFSET(Y428,0,COUNTA(Y428:AV428)-1)&gt;=U428),"정상",
IF(AND(V428="면제",OFFSET(Y428,0,COUNTA(Y428:AV428)-1)="면제"),"면제",
IF(AND(V428="면제",OFFSET(Y428,0,COUNTA(Y428:AV428)-1)=0),"면제",
"확인요청"))))))</f>
        <v>폐업</v>
      </c>
      <c r="Y428" s="94" t="s">
        <v>7</v>
      </c>
      <c r="Z428" s="95" t="s">
        <v>7</v>
      </c>
      <c r="AA428" s="95" t="s">
        <v>7</v>
      </c>
      <c r="AB428" s="95" t="s">
        <v>7</v>
      </c>
      <c r="AC428" s="95" t="s">
        <v>7</v>
      </c>
      <c r="AD428" s="95" t="s">
        <v>7</v>
      </c>
      <c r="AE428" s="95" t="s">
        <v>7</v>
      </c>
      <c r="AF428" s="95" t="s">
        <v>7</v>
      </c>
      <c r="AG428" s="95" t="s">
        <v>7</v>
      </c>
      <c r="AH428" s="95" t="s">
        <v>7</v>
      </c>
      <c r="AI428" s="95" t="s">
        <v>7</v>
      </c>
      <c r="AJ428" s="96" t="s">
        <v>7</v>
      </c>
      <c r="AK428" s="97" t="s">
        <v>7</v>
      </c>
      <c r="AL428" s="95" t="s">
        <v>7</v>
      </c>
      <c r="AM428" s="90"/>
      <c r="AN428" s="90"/>
      <c r="AO428" s="90"/>
      <c r="AP428" s="90"/>
      <c r="AQ428" s="90"/>
      <c r="AR428" s="90"/>
      <c r="AS428" s="90"/>
      <c r="AT428" s="90"/>
      <c r="AU428" s="90"/>
      <c r="AV428" s="91"/>
      <c r="AX428" s="92"/>
    </row>
    <row r="429" customFormat="false" ht="15.65" hidden="false" customHeight="false" outlineLevel="0" collapsed="false">
      <c r="C429" s="72" t="n">
        <f aca="false">COUNTIFS($D$6:D429,"&lt;&gt;"&amp;"")</f>
        <v>424</v>
      </c>
      <c r="D429" s="73" t="s">
        <v>5</v>
      </c>
      <c r="E429" s="76" t="str">
        <f aca="false">
IF($D429="정상",INDEX(임대자산!$D$3:$R$3000,MATCH($F429,임대자산!$I$3:$I$3000,0),MATCH(E$3,임대자산!$D$3:$R$3,0)),
IF($D429="폐업",INDEX(폐업정보!$D$3:$R$3000,MATCH($F429,폐업정보!$I$3:$I$3000,0),MATCH(E$3,폐업정보!$D$3:$R$3,0)),
"Error"))</f>
        <v>경상</v>
      </c>
      <c r="F42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B0424</v>
      </c>
      <c r="G429" s="76" t="str">
        <f aca="false">F429&amp;RANDBETWEEN(0,10)</f>
        <v>B04249</v>
      </c>
      <c r="H429" s="75" t="n">
        <f aca="false">
IF($D429="정상",INDEX(임대자산!$D$3:$R$3000,MATCH($F429,임대자산!$I$3:$I$3000,0),MATCH(H$4,임대자산!$D$3:$R$3,0)),
IF($D429="폐업",INDEX(폐업정보!$D$3:$R$3000,MATCH($F429,폐업정보!$I$3:$I$3000,0),MATCH(H$4,폐업정보!$D$3:$R$3,0)),
"Error"))</f>
        <v>45622</v>
      </c>
      <c r="I429" s="75" t="str">
        <f aca="false">
IF($D429="정상",INDEX(임대자산!$D$3:$R$3000,MATCH($F429,임대자산!$I$3:$I$3000,0),MATCH(I$4,임대자산!$D$3:$R$3,0)),
IF($D429="폐업",INDEX(폐업정보!$D$3:$R$3000,MATCH($F429,폐업정보!$I$3:$I$3000,0),MATCH(I$4,폐업정보!$D$3:$R$3,0)),
"Error"))</f>
        <v>A0424</v>
      </c>
      <c r="J429" s="75" t="str">
        <f aca="false">
IF($D429="정상",INDEX(임대자산!$D$3:$R$3000,MATCH($F429,임대자산!$I$3:$I$3000,0),MATCH(J$4,임대자산!$D$3:$R$3,0)),
IF($D429="폐업",INDEX(폐업정보!$D$3:$R$3000,MATCH($F429,폐업정보!$I$3:$I$3000,0),MATCH(J$4,폐업정보!$D$3:$R$3,0)),
"Error"))</f>
        <v>1225200000</v>
      </c>
      <c r="K429" s="75" t="str">
        <f aca="false">
IF($D429="정상",INDEX(임대자산!$D$3:$R$3000,MATCH($F429,임대자산!$I$3:$I$3000,0),MATCH(K$4,임대자산!$D$3:$R$3,0)),
IF($D429="폐업",INDEX(폐업정보!$D$3:$R$3000,MATCH($F429,폐업정보!$I$3:$I$3000,0),MATCH(K$4,폐업정보!$D$3:$R$3,0)),
"Error"))</f>
        <v>C0424</v>
      </c>
      <c r="L429" s="75" t="str">
        <f aca="false">
IF($D429="정상",INDEX(임대자산!$D$3:$R$3000,MATCH($F429,임대자산!$I$3:$I$3000,0),MATCH(L$4,임대자산!$D$3:$R$3,0)),
IF($D429="폐업",INDEX(폐업정보!$D$3:$R$3000,MATCH($F429,폐업정보!$I$3:$I$3000,0),MATCH(L$4,폐업정보!$D$3:$R$3,0)),
"Error"))</f>
        <v>D0424</v>
      </c>
      <c r="M429" s="76" t="s">
        <v>96</v>
      </c>
      <c r="N429" s="77"/>
      <c r="O429" s="78" t="s">
        <v>97</v>
      </c>
      <c r="P429" s="79" t="n">
        <f aca="false">COUNTIFS(임대자산!$I:$I,가맹점정보!F429,임대자산!$N:$N,가맹점정보!P$4)</f>
        <v>0</v>
      </c>
      <c r="Q429" s="80" t="n">
        <f aca="false">COUNTIFS(임대자산!$I:$I,가맹점정보!F429,임대자산!$N:$N,가맹점정보!Q$4)</f>
        <v>0</v>
      </c>
      <c r="R429" s="81" t="n">
        <f aca="false">COUNTIFS(임대자산!$I:$I,가맹점정보!F429,임대자산!$N:$N,가맹점정보!R$4)</f>
        <v>0</v>
      </c>
      <c r="S429" s="82" t="n">
        <v>55000</v>
      </c>
      <c r="T429" s="83" t="n">
        <v>0</v>
      </c>
      <c r="U429" s="80" t="n">
        <f aca="false">SUM(S429:T429)</f>
        <v>55000</v>
      </c>
      <c r="V429" s="84" t="s">
        <v>12</v>
      </c>
      <c r="W429" s="80" t="str">
        <f aca="true">
IF(D429="폐업","폐업",
IF(V429="면제","면제",
IF(AND(V429="정상",COUNTIFS(OFFSET(Y429,0,COUNTA(Y429:AV429)-1,1,-4),"미납")&gt;=3),"장기미납",
IF(AND(V429="정상",OFFSET(Y429,0,COUNTA(Y429:AV429)-1)&gt;=U429),"정상",
IF(AND(V429="정상",OFFSET(Y429,0,COUNTA(Y429:AV429)-1)=0),"정상",
"계약서 미작성")))))</f>
        <v>폐업</v>
      </c>
      <c r="X429" s="81" t="str">
        <f aca="true">
IF(D429="폐업","폐업",
IF(AND(V429="정상",OFFSET(Y429,0,COUNTA(Y429:AV429)-1)="미납"),"미납",
IF(AND(V429="정상",OFFSET(Y429,0,COUNTA(Y429:AV429)-1)=0),"납부 시작 전",
IF(AND(V429="정상",OFFSET(Y429,0,COUNTA(Y429:AV429)-1)&gt;=U429),"정상",
IF(AND(V429="면제",OFFSET(Y429,0,COUNTA(Y429:AV429)-1)="면제"),"면제",
IF(AND(V429="면제",OFFSET(Y429,0,COUNTA(Y429:AV429)-1)=0),"면제",
"확인요청"))))))</f>
        <v>폐업</v>
      </c>
      <c r="Y429" s="93" t="n">
        <v>55000</v>
      </c>
      <c r="Z429" s="90" t="n">
        <v>55000</v>
      </c>
      <c r="AA429" s="90" t="n">
        <v>55000</v>
      </c>
      <c r="AB429" s="90" t="n">
        <v>55000</v>
      </c>
      <c r="AC429" s="90" t="n">
        <v>55000</v>
      </c>
      <c r="AD429" s="90" t="n">
        <v>55000</v>
      </c>
      <c r="AE429" s="90" t="n">
        <v>55000</v>
      </c>
      <c r="AF429" s="90" t="n">
        <v>55000</v>
      </c>
      <c r="AG429" s="90" t="n">
        <v>55000</v>
      </c>
      <c r="AH429" s="90" t="n">
        <v>55000</v>
      </c>
      <c r="AI429" s="90" t="n">
        <v>55000</v>
      </c>
      <c r="AJ429" s="91" t="n">
        <v>55000</v>
      </c>
      <c r="AK429" s="89" t="n">
        <v>55000</v>
      </c>
      <c r="AL429" s="90" t="n">
        <v>55000</v>
      </c>
      <c r="AM429" s="90"/>
      <c r="AN429" s="90"/>
      <c r="AO429" s="90"/>
      <c r="AP429" s="90"/>
      <c r="AQ429" s="90"/>
      <c r="AR429" s="90"/>
      <c r="AS429" s="90"/>
      <c r="AT429" s="90"/>
      <c r="AU429" s="90"/>
      <c r="AV429" s="91"/>
      <c r="AX429" s="92"/>
    </row>
    <row r="430" customFormat="false" ht="15.65" hidden="false" customHeight="false" outlineLevel="0" collapsed="false">
      <c r="C430" s="72" t="n">
        <f aca="false">COUNTIFS($D$6:D430,"&lt;&gt;"&amp;"")</f>
        <v>425</v>
      </c>
      <c r="D430" s="73" t="s">
        <v>12</v>
      </c>
      <c r="E430" s="76" t="str">
        <f aca="false">
IF($D430="정상",INDEX(임대자산!$D$3:$R$3000,MATCH($F430,임대자산!$I$3:$I$3000,0),MATCH(E$3,임대자산!$D$3:$R$3,0)),
IF($D430="폐업",INDEX(폐업정보!$D$3:$R$3000,MATCH($F430,폐업정보!$I$3:$I$3000,0),MATCH(E$3,폐업정보!$D$3:$R$3,0)),
"Error"))</f>
        <v>강원</v>
      </c>
      <c r="F43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B0425</v>
      </c>
      <c r="G430" s="76" t="str">
        <f aca="false">F430&amp;RANDBETWEEN(0,10)</f>
        <v>B04257</v>
      </c>
      <c r="H430" s="75" t="n">
        <f aca="false">
IF($D430="정상",INDEX(임대자산!$D$3:$R$3000,MATCH($F430,임대자산!$I$3:$I$3000,0),MATCH(H$4,임대자산!$D$3:$R$3,0)),
IF($D430="폐업",INDEX(폐업정보!$D$3:$R$3000,MATCH($F430,폐업정보!$I$3:$I$3000,0),MATCH(H$4,폐업정보!$D$3:$R$3,0)),
"Error"))</f>
        <v>45929</v>
      </c>
      <c r="I430" s="75" t="str">
        <f aca="false">
IF($D430="정상",INDEX(임대자산!$D$3:$R$3000,MATCH($F430,임대자산!$I$3:$I$3000,0),MATCH(I$4,임대자산!$D$3:$R$3,0)),
IF($D430="폐업",INDEX(폐업정보!$D$3:$R$3000,MATCH($F430,폐업정보!$I$3:$I$3000,0),MATCH(I$4,폐업정보!$D$3:$R$3,0)),
"Error"))</f>
        <v>A0425</v>
      </c>
      <c r="J430" s="75" t="str">
        <f aca="false">
IF($D430="정상",INDEX(임대자산!$D$3:$R$3000,MATCH($F430,임대자산!$I$3:$I$3000,0),MATCH(J$4,임대자산!$D$3:$R$3,0)),
IF($D430="폐업",INDEX(폐업정보!$D$3:$R$3000,MATCH($F430,폐업정보!$I$3:$I$3000,0),MATCH(J$4,폐업정보!$D$3:$R$3,0)),
"Error"))</f>
        <v>8544100000</v>
      </c>
      <c r="K430" s="75" t="str">
        <f aca="false">
IF($D430="정상",INDEX(임대자산!$D$3:$R$3000,MATCH($F430,임대자산!$I$3:$I$3000,0),MATCH(K$4,임대자산!$D$3:$R$3,0)),
IF($D430="폐업",INDEX(폐업정보!$D$3:$R$3000,MATCH($F430,폐업정보!$I$3:$I$3000,0),MATCH(K$4,폐업정보!$D$3:$R$3,0)),
"Error"))</f>
        <v>C0425</v>
      </c>
      <c r="L430" s="75" t="str">
        <f aca="false">
IF($D430="정상",INDEX(임대자산!$D$3:$R$3000,MATCH($F430,임대자산!$I$3:$I$3000,0),MATCH(L$4,임대자산!$D$3:$R$3,0)),
IF($D430="폐업",INDEX(폐업정보!$D$3:$R$3000,MATCH($F430,폐업정보!$I$3:$I$3000,0),MATCH(L$4,폐업정보!$D$3:$R$3,0)),
"Error"))</f>
        <v>D0425</v>
      </c>
      <c r="M430" s="76" t="s">
        <v>96</v>
      </c>
      <c r="N430" s="77"/>
      <c r="O430" s="78" t="s">
        <v>97</v>
      </c>
      <c r="P430" s="79" t="n">
        <f aca="false">COUNTIFS(임대자산!$I:$I,가맹점정보!F430,임대자산!$N:$N,가맹점정보!P$4)</f>
        <v>0</v>
      </c>
      <c r="Q430" s="80" t="n">
        <f aca="false">COUNTIFS(임대자산!$I:$I,가맹점정보!F430,임대자산!$N:$N,가맹점정보!Q$4)</f>
        <v>0</v>
      </c>
      <c r="R430" s="81" t="n">
        <f aca="false">COUNTIFS(임대자산!$I:$I,가맹점정보!F430,임대자산!$N:$N,가맹점정보!R$4)</f>
        <v>1</v>
      </c>
      <c r="S430" s="82" t="n">
        <v>110000</v>
      </c>
      <c r="T430" s="83" t="n">
        <v>0</v>
      </c>
      <c r="U430" s="80" t="n">
        <f aca="false">SUM(S430:T430)</f>
        <v>110000</v>
      </c>
      <c r="V430" s="84" t="s">
        <v>12</v>
      </c>
      <c r="W430" s="80" t="e">
        <f aca="true">
IF(D430="폐업","폐업",
IF(V430="면제","면제",
IF(AND(V430="정상",COUNTIFS(OFFSET(Y430,0,COUNTA(Y430:AV430)-1,1,-4),"미납")&gt;=3),"장기미납",
IF(AND(V430="정상",OFFSET(Y430,0,COUNTA(Y430:AV430)-1)&gt;=U430),"정상",
IF(AND(V430="정상",OFFSET(Y430,0,COUNTA(Y430:AV430)-1)=0),"정상",
"계약서 미작성")))))</f>
        <v>#VALUE!</v>
      </c>
      <c r="X430" s="81" t="str">
        <f aca="true">
IF(D430="폐업","폐업",
IF(AND(V430="정상",OFFSET(Y430,0,COUNTA(Y430:AV430)-1)="미납"),"미납",
IF(AND(V430="정상",OFFSET(Y430,0,COUNTA(Y430:AV430)-1)=0),"납부 시작 전",
IF(AND(V430="정상",OFFSET(Y430,0,COUNTA(Y430:AV430)-1)&gt;=U430),"정상",
IF(AND(V430="면제",OFFSET(Y430,0,COUNTA(Y430:AV430)-1)="면제"),"면제",
IF(AND(V430="면제",OFFSET(Y430,0,COUNTA(Y430:AV430)-1)=0),"면제",
"확인요청"))))))</f>
        <v>정상</v>
      </c>
      <c r="Y430" s="93" t="n">
        <v>55000</v>
      </c>
      <c r="Z430" s="90" t="n">
        <v>55000</v>
      </c>
      <c r="AA430" s="90" t="n">
        <v>55000</v>
      </c>
      <c r="AB430" s="90" t="n">
        <v>55000</v>
      </c>
      <c r="AC430" s="90" t="n">
        <v>55000</v>
      </c>
      <c r="AD430" s="90" t="n">
        <v>55000</v>
      </c>
      <c r="AE430" s="90" t="n">
        <v>55000</v>
      </c>
      <c r="AF430" s="90" t="n">
        <v>55000</v>
      </c>
      <c r="AG430" s="90" t="n">
        <v>55000</v>
      </c>
      <c r="AH430" s="90" t="n">
        <v>55000</v>
      </c>
      <c r="AI430" s="90" t="n">
        <v>55000</v>
      </c>
      <c r="AJ430" s="91" t="s">
        <v>101</v>
      </c>
      <c r="AK430" s="89" t="n">
        <v>110000</v>
      </c>
      <c r="AL430" s="90" t="n">
        <v>110000</v>
      </c>
      <c r="AM430" s="90"/>
      <c r="AN430" s="90"/>
      <c r="AO430" s="90"/>
      <c r="AP430" s="90"/>
      <c r="AQ430" s="90"/>
      <c r="AR430" s="90"/>
      <c r="AS430" s="90"/>
      <c r="AT430" s="90"/>
      <c r="AU430" s="90"/>
      <c r="AV430" s="91"/>
      <c r="AX430" s="92"/>
    </row>
    <row r="431" customFormat="false" ht="15.65" hidden="false" customHeight="false" outlineLevel="0" collapsed="false">
      <c r="C431" s="72" t="n">
        <f aca="false">COUNTIFS($D$6:D431,"&lt;&gt;"&amp;"")</f>
        <v>426</v>
      </c>
      <c r="D431" s="73" t="s">
        <v>12</v>
      </c>
      <c r="E431" s="76" t="str">
        <f aca="false">
IF($D431="정상",INDEX(임대자산!$D$3:$R$3000,MATCH($F431,임대자산!$I$3:$I$3000,0),MATCH(E$3,임대자산!$D$3:$R$3,0)),
IF($D431="폐업",INDEX(폐업정보!$D$3:$R$3000,MATCH($F431,폐업정보!$I$3:$I$3000,0),MATCH(E$3,폐업정보!$D$3:$R$3,0)),
"Error"))</f>
        <v>강원</v>
      </c>
      <c r="F43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B0426</v>
      </c>
      <c r="G431" s="76" t="str">
        <f aca="false">F431&amp;RANDBETWEEN(0,10)</f>
        <v>B04267</v>
      </c>
      <c r="H431" s="75" t="n">
        <f aca="false">
IF($D431="정상",INDEX(임대자산!$D$3:$R$3000,MATCH($F431,임대자산!$I$3:$I$3000,0),MATCH(H$4,임대자산!$D$3:$R$3,0)),
IF($D431="폐업",INDEX(폐업정보!$D$3:$R$3000,MATCH($F431,폐업정보!$I$3:$I$3000,0),MATCH(H$4,폐업정보!$D$3:$R$3,0)),
"Error"))</f>
        <v>45625</v>
      </c>
      <c r="I431" s="75" t="str">
        <f aca="false">
IF($D431="정상",INDEX(임대자산!$D$3:$R$3000,MATCH($F431,임대자산!$I$3:$I$3000,0),MATCH(I$4,임대자산!$D$3:$R$3,0)),
IF($D431="폐업",INDEX(폐업정보!$D$3:$R$3000,MATCH($F431,폐업정보!$I$3:$I$3000,0),MATCH(I$4,폐업정보!$D$3:$R$3,0)),
"Error"))</f>
        <v>A0426</v>
      </c>
      <c r="J431" s="75" t="str">
        <f aca="false">
IF($D431="정상",INDEX(임대자산!$D$3:$R$3000,MATCH($F431,임대자산!$I$3:$I$3000,0),MATCH(J$4,임대자산!$D$3:$R$3,0)),
IF($D431="폐업",INDEX(폐업정보!$D$3:$R$3000,MATCH($F431,폐업정보!$I$3:$I$3000,0),MATCH(J$4,폐업정보!$D$3:$R$3,0)),
"Error"))</f>
        <v>6478100000</v>
      </c>
      <c r="K431" s="75" t="str">
        <f aca="false">
IF($D431="정상",INDEX(임대자산!$D$3:$R$3000,MATCH($F431,임대자산!$I$3:$I$3000,0),MATCH(K$4,임대자산!$D$3:$R$3,0)),
IF($D431="폐업",INDEX(폐업정보!$D$3:$R$3000,MATCH($F431,폐업정보!$I$3:$I$3000,0),MATCH(K$4,폐업정보!$D$3:$R$3,0)),
"Error"))</f>
        <v>C0426</v>
      </c>
      <c r="L431" s="75" t="str">
        <f aca="false">
IF($D431="정상",INDEX(임대자산!$D$3:$R$3000,MATCH($F431,임대자산!$I$3:$I$3000,0),MATCH(L$4,임대자산!$D$3:$R$3,0)),
IF($D431="폐업",INDEX(폐업정보!$D$3:$R$3000,MATCH($F431,폐업정보!$I$3:$I$3000,0),MATCH(L$4,폐업정보!$D$3:$R$3,0)),
"Error"))</f>
        <v>D0426</v>
      </c>
      <c r="M431" s="76" t="s">
        <v>96</v>
      </c>
      <c r="N431" s="77"/>
      <c r="O431" s="78" t="s">
        <v>97</v>
      </c>
      <c r="P431" s="79" t="n">
        <f aca="false">COUNTIFS(임대자산!$I:$I,가맹점정보!F431,임대자산!$N:$N,가맹점정보!P$4)</f>
        <v>0</v>
      </c>
      <c r="Q431" s="80" t="n">
        <f aca="false">COUNTIFS(임대자산!$I:$I,가맹점정보!F431,임대자산!$N:$N,가맹점정보!Q$4)</f>
        <v>0</v>
      </c>
      <c r="R431" s="81" t="n">
        <f aca="false">COUNTIFS(임대자산!$I:$I,가맹점정보!F431,임대자산!$N:$N,가맹점정보!R$4)</f>
        <v>1</v>
      </c>
      <c r="S431" s="82" t="n">
        <v>55000</v>
      </c>
      <c r="T431" s="83" t="n">
        <v>0</v>
      </c>
      <c r="U431" s="80" t="n">
        <f aca="false">SUM(S431:T431)</f>
        <v>55000</v>
      </c>
      <c r="V431" s="84" t="s">
        <v>12</v>
      </c>
      <c r="W431" s="80" t="e">
        <f aca="true">
IF(D431="폐업","폐업",
IF(V431="면제","면제",
IF(AND(V431="정상",COUNTIFS(OFFSET(Y431,0,COUNTA(Y431:AV431)-1,1,-4),"미납")&gt;=3),"장기미납",
IF(AND(V431="정상",OFFSET(Y431,0,COUNTA(Y431:AV431)-1)&gt;=U431),"정상",
IF(AND(V431="정상",OFFSET(Y431,0,COUNTA(Y431:AV431)-1)=0),"정상",
"계약서 미작성")))))</f>
        <v>#VALUE!</v>
      </c>
      <c r="X431" s="81" t="str">
        <f aca="true">
IF(D431="폐업","폐업",
IF(AND(V431="정상",OFFSET(Y431,0,COUNTA(Y431:AV431)-1)="미납"),"미납",
IF(AND(V431="정상",OFFSET(Y431,0,COUNTA(Y431:AV431)-1)=0),"납부 시작 전",
IF(AND(V431="정상",OFFSET(Y431,0,COUNTA(Y431:AV431)-1)&gt;=U431),"정상",
IF(AND(V431="면제",OFFSET(Y431,0,COUNTA(Y431:AV431)-1)="면제"),"면제",
IF(AND(V431="면제",OFFSET(Y431,0,COUNTA(Y431:AV431)-1)=0),"면제",
"확인요청"))))))</f>
        <v>정상</v>
      </c>
      <c r="Y431" s="93" t="n">
        <v>55000</v>
      </c>
      <c r="Z431" s="90" t="n">
        <v>55000</v>
      </c>
      <c r="AA431" s="90" t="n">
        <v>55000</v>
      </c>
      <c r="AB431" s="90" t="n">
        <v>55000</v>
      </c>
      <c r="AC431" s="90" t="n">
        <v>55000</v>
      </c>
      <c r="AD431" s="90" t="n">
        <v>55000</v>
      </c>
      <c r="AE431" s="90" t="n">
        <v>55000</v>
      </c>
      <c r="AF431" s="90" t="n">
        <v>55000</v>
      </c>
      <c r="AG431" s="90" t="n">
        <v>55000</v>
      </c>
      <c r="AH431" s="90" t="n">
        <v>55000</v>
      </c>
      <c r="AI431" s="90" t="n">
        <v>55000</v>
      </c>
      <c r="AJ431" s="91" t="n">
        <v>55000</v>
      </c>
      <c r="AK431" s="89" t="n">
        <v>55000</v>
      </c>
      <c r="AL431" s="90" t="n">
        <v>55000</v>
      </c>
      <c r="AM431" s="90"/>
      <c r="AN431" s="90"/>
      <c r="AO431" s="90"/>
      <c r="AP431" s="90"/>
      <c r="AQ431" s="90"/>
      <c r="AR431" s="90"/>
      <c r="AS431" s="90"/>
      <c r="AT431" s="90"/>
      <c r="AU431" s="90"/>
      <c r="AV431" s="91"/>
      <c r="AX431" s="92"/>
    </row>
    <row r="432" customFormat="false" ht="15.65" hidden="false" customHeight="false" outlineLevel="0" collapsed="false">
      <c r="C432" s="72" t="n">
        <f aca="false">COUNTIFS($D$6:D432,"&lt;&gt;"&amp;"")</f>
        <v>427</v>
      </c>
      <c r="D432" s="73" t="s">
        <v>12</v>
      </c>
      <c r="E432" s="76" t="str">
        <f aca="false">
IF($D432="정상",INDEX(임대자산!$D$3:$R$3000,MATCH($F432,임대자산!$I$3:$I$3000,0),MATCH(E$3,임대자산!$D$3:$R$3,0)),
IF($D432="폐업",INDEX(폐업정보!$D$3:$R$3000,MATCH($F432,폐업정보!$I$3:$I$3000,0),MATCH(E$3,폐업정보!$D$3:$R$3,0)),
"Error"))</f>
        <v>전라</v>
      </c>
      <c r="F43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B0427</v>
      </c>
      <c r="G432" s="76" t="str">
        <f aca="false">F432&amp;RANDBETWEEN(0,10)</f>
        <v>B04272</v>
      </c>
      <c r="H432" s="75" t="n">
        <f aca="false">
IF($D432="정상",INDEX(임대자산!$D$3:$R$3000,MATCH($F432,임대자산!$I$3:$I$3000,0),MATCH(H$4,임대자산!$D$3:$R$3,0)),
IF($D432="폐업",INDEX(폐업정보!$D$3:$R$3000,MATCH($F432,폐업정보!$I$3:$I$3000,0),MATCH(H$4,폐업정보!$D$3:$R$3,0)),
"Error"))</f>
        <v>45630</v>
      </c>
      <c r="I432" s="75" t="str">
        <f aca="false">
IF($D432="정상",INDEX(임대자산!$D$3:$R$3000,MATCH($F432,임대자산!$I$3:$I$3000,0),MATCH(I$4,임대자산!$D$3:$R$3,0)),
IF($D432="폐업",INDEX(폐업정보!$D$3:$R$3000,MATCH($F432,폐업정보!$I$3:$I$3000,0),MATCH(I$4,폐업정보!$D$3:$R$3,0)),
"Error"))</f>
        <v>A0427</v>
      </c>
      <c r="J432" s="75" t="str">
        <f aca="false">
IF($D432="정상",INDEX(임대자산!$D$3:$R$3000,MATCH($F432,임대자산!$I$3:$I$3000,0),MATCH(J$4,임대자산!$D$3:$R$3,0)),
IF($D432="폐업",INDEX(폐업정보!$D$3:$R$3000,MATCH($F432,폐업정보!$I$3:$I$3000,0),MATCH(J$4,폐업정보!$D$3:$R$3,0)),
"Error"))</f>
        <v>3950300000</v>
      </c>
      <c r="K432" s="75" t="str">
        <f aca="false">
IF($D432="정상",INDEX(임대자산!$D$3:$R$3000,MATCH($F432,임대자산!$I$3:$I$3000,0),MATCH(K$4,임대자산!$D$3:$R$3,0)),
IF($D432="폐업",INDEX(폐업정보!$D$3:$R$3000,MATCH($F432,폐업정보!$I$3:$I$3000,0),MATCH(K$4,폐업정보!$D$3:$R$3,0)),
"Error"))</f>
        <v>C0427</v>
      </c>
      <c r="L432" s="75" t="str">
        <f aca="false">
IF($D432="정상",INDEX(임대자산!$D$3:$R$3000,MATCH($F432,임대자산!$I$3:$I$3000,0),MATCH(L$4,임대자산!$D$3:$R$3,0)),
IF($D432="폐업",INDEX(폐업정보!$D$3:$R$3000,MATCH($F432,폐업정보!$I$3:$I$3000,0),MATCH(L$4,폐업정보!$D$3:$R$3,0)),
"Error"))</f>
        <v>D0427</v>
      </c>
      <c r="M432" s="76" t="s">
        <v>96</v>
      </c>
      <c r="N432" s="77"/>
      <c r="O432" s="78" t="s">
        <v>97</v>
      </c>
      <c r="P432" s="79" t="n">
        <f aca="false">COUNTIFS(임대자산!$I:$I,가맹점정보!F432,임대자산!$N:$N,가맹점정보!P$4)</f>
        <v>0</v>
      </c>
      <c r="Q432" s="80" t="n">
        <f aca="false">COUNTIFS(임대자산!$I:$I,가맹점정보!F432,임대자산!$N:$N,가맹점정보!Q$4)</f>
        <v>0</v>
      </c>
      <c r="R432" s="81" t="n">
        <f aca="false">COUNTIFS(임대자산!$I:$I,가맹점정보!F432,임대자산!$N:$N,가맹점정보!R$4)</f>
        <v>1</v>
      </c>
      <c r="S432" s="82" t="n">
        <v>55000</v>
      </c>
      <c r="T432" s="83" t="n">
        <v>0</v>
      </c>
      <c r="U432" s="80" t="n">
        <f aca="false">SUM(S432:T432)</f>
        <v>55000</v>
      </c>
      <c r="V432" s="84" t="s">
        <v>12</v>
      </c>
      <c r="W432" s="80" t="e">
        <f aca="true">
IF(D432="폐업","폐업",
IF(V432="면제","면제",
IF(AND(V432="정상",COUNTIFS(OFFSET(Y432,0,COUNTA(Y432:AV432)-1,1,-4),"미납")&gt;=3),"장기미납",
IF(AND(V432="정상",OFFSET(Y432,0,COUNTA(Y432:AV432)-1)&gt;=U432),"정상",
IF(AND(V432="정상",OFFSET(Y432,0,COUNTA(Y432:AV432)-1)=0),"정상",
"계약서 미작성")))))</f>
        <v>#VALUE!</v>
      </c>
      <c r="X432" s="81" t="str">
        <f aca="true">
IF(D432="폐업","폐업",
IF(AND(V432="정상",OFFSET(Y432,0,COUNTA(Y432:AV432)-1)="미납"),"미납",
IF(AND(V432="정상",OFFSET(Y432,0,COUNTA(Y432:AV432)-1)=0),"납부 시작 전",
IF(AND(V432="정상",OFFSET(Y432,0,COUNTA(Y432:AV432)-1)&gt;=U432),"정상",
IF(AND(V432="면제",OFFSET(Y432,0,COUNTA(Y432:AV432)-1)="면제"),"면제",
IF(AND(V432="면제",OFFSET(Y432,0,COUNTA(Y432:AV432)-1)=0),"면제",
"확인요청"))))))</f>
        <v>정상</v>
      </c>
      <c r="Y432" s="93" t="n">
        <v>55000</v>
      </c>
      <c r="Z432" s="90" t="n">
        <v>55000</v>
      </c>
      <c r="AA432" s="90" t="n">
        <v>55000</v>
      </c>
      <c r="AB432" s="90" t="n">
        <v>55000</v>
      </c>
      <c r="AC432" s="90" t="n">
        <v>55000</v>
      </c>
      <c r="AD432" s="90" t="n">
        <v>55000</v>
      </c>
      <c r="AE432" s="90" t="n">
        <v>55000</v>
      </c>
      <c r="AF432" s="90" t="n">
        <v>55000</v>
      </c>
      <c r="AG432" s="90" t="n">
        <v>55000</v>
      </c>
      <c r="AH432" s="90" t="n">
        <v>55000</v>
      </c>
      <c r="AI432" s="90" t="n">
        <v>55000</v>
      </c>
      <c r="AJ432" s="91" t="n">
        <v>55000</v>
      </c>
      <c r="AK432" s="89" t="n">
        <v>55000</v>
      </c>
      <c r="AL432" s="90" t="n">
        <v>55000</v>
      </c>
      <c r="AM432" s="90"/>
      <c r="AN432" s="90"/>
      <c r="AO432" s="90"/>
      <c r="AP432" s="90"/>
      <c r="AQ432" s="90"/>
      <c r="AR432" s="90"/>
      <c r="AS432" s="90"/>
      <c r="AT432" s="90"/>
      <c r="AU432" s="90"/>
      <c r="AV432" s="91"/>
      <c r="AX432" s="92"/>
    </row>
    <row r="433" customFormat="false" ht="15.65" hidden="false" customHeight="false" outlineLevel="0" collapsed="false">
      <c r="C433" s="72" t="n">
        <f aca="false">COUNTIFS($D$6:D433,"&lt;&gt;"&amp;"")</f>
        <v>428</v>
      </c>
      <c r="D433" s="73" t="s">
        <v>12</v>
      </c>
      <c r="E433" s="76" t="str">
        <f aca="false">
IF($D433="정상",INDEX(임대자산!$D$3:$R$3000,MATCH($F433,임대자산!$I$3:$I$3000,0),MATCH(E$3,임대자산!$D$3:$R$3,0)),
IF($D433="폐업",INDEX(폐업정보!$D$3:$R$3000,MATCH($F433,폐업정보!$I$3:$I$3000,0),MATCH(E$3,폐업정보!$D$3:$R$3,0)),
"Error"))</f>
        <v>경상</v>
      </c>
      <c r="F43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B0428</v>
      </c>
      <c r="G433" s="76" t="str">
        <f aca="false">F433&amp;RANDBETWEEN(0,10)</f>
        <v>B04282</v>
      </c>
      <c r="H433" s="75" t="n">
        <f aca="false">
IF($D433="정상",INDEX(임대자산!$D$3:$R$3000,MATCH($F433,임대자산!$I$3:$I$3000,0),MATCH(H$4,임대자산!$D$3:$R$3,0)),
IF($D433="폐업",INDEX(폐업정보!$D$3:$R$3000,MATCH($F433,폐업정보!$I$3:$I$3000,0),MATCH(H$4,폐업정보!$D$3:$R$3,0)),
"Error"))</f>
        <v>45845</v>
      </c>
      <c r="I433" s="75" t="str">
        <f aca="false">
IF($D433="정상",INDEX(임대자산!$D$3:$R$3000,MATCH($F433,임대자산!$I$3:$I$3000,0),MATCH(I$4,임대자산!$D$3:$R$3,0)),
IF($D433="폐업",INDEX(폐업정보!$D$3:$R$3000,MATCH($F433,폐업정보!$I$3:$I$3000,0),MATCH(I$4,폐업정보!$D$3:$R$3,0)),
"Error"))</f>
        <v>A0428</v>
      </c>
      <c r="J433" s="75" t="str">
        <f aca="false">
IF($D433="정상",INDEX(임대자산!$D$3:$R$3000,MATCH($F433,임대자산!$I$3:$I$3000,0),MATCH(J$4,임대자산!$D$3:$R$3,0)),
IF($D433="폐업",INDEX(폐업정보!$D$3:$R$3000,MATCH($F433,폐업정보!$I$3:$I$3000,0),MATCH(J$4,폐업정보!$D$3:$R$3,0)),
"Error"))</f>
        <v>5707600000</v>
      </c>
      <c r="K433" s="75" t="str">
        <f aca="false">
IF($D433="정상",INDEX(임대자산!$D$3:$R$3000,MATCH($F433,임대자산!$I$3:$I$3000,0),MATCH(K$4,임대자산!$D$3:$R$3,0)),
IF($D433="폐업",INDEX(폐업정보!$D$3:$R$3000,MATCH($F433,폐업정보!$I$3:$I$3000,0),MATCH(K$4,폐업정보!$D$3:$R$3,0)),
"Error"))</f>
        <v>C0428</v>
      </c>
      <c r="L433" s="75" t="str">
        <f aca="false">
IF($D433="정상",INDEX(임대자산!$D$3:$R$3000,MATCH($F433,임대자산!$I$3:$I$3000,0),MATCH(L$4,임대자산!$D$3:$R$3,0)),
IF($D433="폐업",INDEX(폐업정보!$D$3:$R$3000,MATCH($F433,폐업정보!$I$3:$I$3000,0),MATCH(L$4,폐업정보!$D$3:$R$3,0)),
"Error"))</f>
        <v>D0428</v>
      </c>
      <c r="M433" s="76" t="s">
        <v>96</v>
      </c>
      <c r="N433" s="77"/>
      <c r="O433" s="78" t="s">
        <v>97</v>
      </c>
      <c r="P433" s="79" t="n">
        <f aca="false">COUNTIFS(임대자산!$I:$I,가맹점정보!F433,임대자산!$N:$N,가맹점정보!P$4)</f>
        <v>0</v>
      </c>
      <c r="Q433" s="80" t="n">
        <f aca="false">COUNTIFS(임대자산!$I:$I,가맹점정보!F433,임대자산!$N:$N,가맹점정보!Q$4)</f>
        <v>0</v>
      </c>
      <c r="R433" s="81" t="n">
        <f aca="false">COUNTIFS(임대자산!$I:$I,가맹점정보!F433,임대자산!$N:$N,가맹점정보!R$4)</f>
        <v>1</v>
      </c>
      <c r="S433" s="82" t="n">
        <v>55000</v>
      </c>
      <c r="T433" s="83" t="n">
        <v>0</v>
      </c>
      <c r="U433" s="80" t="n">
        <f aca="false">SUM(S433:T433)</f>
        <v>55000</v>
      </c>
      <c r="V433" s="84" t="s">
        <v>12</v>
      </c>
      <c r="W433" s="80" t="e">
        <f aca="true">
IF(D433="폐업","폐업",
IF(V433="면제","면제",
IF(AND(V433="정상",COUNTIFS(OFFSET(Y433,0,COUNTA(Y433:AV433)-1,1,-4),"미납")&gt;=3),"장기미납",
IF(AND(V433="정상",OFFSET(Y433,0,COUNTA(Y433:AV433)-1)&gt;=U433),"정상",
IF(AND(V433="정상",OFFSET(Y433,0,COUNTA(Y433:AV433)-1)=0),"정상",
"계약서 미작성")))))</f>
        <v>#VALUE!</v>
      </c>
      <c r="X433" s="81" t="str">
        <f aca="true">
IF(D433="폐업","폐업",
IF(AND(V433="정상",OFFSET(Y433,0,COUNTA(Y433:AV433)-1)="미납"),"미납",
IF(AND(V433="정상",OFFSET(Y433,0,COUNTA(Y433:AV433)-1)=0),"납부 시작 전",
IF(AND(V433="정상",OFFSET(Y433,0,COUNTA(Y433:AV433)-1)&gt;=U433),"정상",
IF(AND(V433="면제",OFFSET(Y433,0,COUNTA(Y433:AV433)-1)="면제"),"면제",
IF(AND(V433="면제",OFFSET(Y433,0,COUNTA(Y433:AV433)-1)=0),"면제",
"확인요청"))))))</f>
        <v>정상</v>
      </c>
      <c r="Y433" s="93" t="n">
        <v>55000</v>
      </c>
      <c r="Z433" s="90" t="n">
        <v>55000</v>
      </c>
      <c r="AA433" s="90" t="n">
        <v>55000</v>
      </c>
      <c r="AB433" s="90" t="n">
        <v>55000</v>
      </c>
      <c r="AC433" s="90" t="n">
        <v>55000</v>
      </c>
      <c r="AD433" s="90" t="n">
        <v>55000</v>
      </c>
      <c r="AE433" s="90" t="n">
        <v>55000</v>
      </c>
      <c r="AF433" s="90" t="n">
        <v>55000</v>
      </c>
      <c r="AG433" s="90" t="n">
        <v>55000</v>
      </c>
      <c r="AH433" s="90" t="n">
        <v>55000</v>
      </c>
      <c r="AI433" s="90" t="n">
        <v>55000</v>
      </c>
      <c r="AJ433" s="91" t="n">
        <v>55000</v>
      </c>
      <c r="AK433" s="89" t="n">
        <v>55000</v>
      </c>
      <c r="AL433" s="90" t="n">
        <v>55000</v>
      </c>
      <c r="AM433" s="90"/>
      <c r="AN433" s="90"/>
      <c r="AO433" s="90"/>
      <c r="AP433" s="90"/>
      <c r="AQ433" s="90"/>
      <c r="AR433" s="90"/>
      <c r="AS433" s="90"/>
      <c r="AT433" s="90"/>
      <c r="AU433" s="90"/>
      <c r="AV433" s="91"/>
      <c r="AX433" s="92"/>
    </row>
    <row r="434" customFormat="false" ht="15.65" hidden="false" customHeight="false" outlineLevel="0" collapsed="false">
      <c r="C434" s="72" t="n">
        <f aca="false">COUNTIFS($D$6:D434,"&lt;&gt;"&amp;"")</f>
        <v>429</v>
      </c>
      <c r="D434" s="73" t="s">
        <v>12</v>
      </c>
      <c r="E434" s="76" t="str">
        <f aca="false">
IF($D434="정상",INDEX(임대자산!$D$3:$R$3000,MATCH($F434,임대자산!$I$3:$I$3000,0),MATCH(E$3,임대자산!$D$3:$R$3,0)),
IF($D434="폐업",INDEX(폐업정보!$D$3:$R$3000,MATCH($F434,폐업정보!$I$3:$I$3000,0),MATCH(E$3,폐업정보!$D$3:$R$3,0)),
"Error"))</f>
        <v>전라</v>
      </c>
      <c r="F43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B0429</v>
      </c>
      <c r="G434" s="76" t="str">
        <f aca="false">F434&amp;RANDBETWEEN(0,10)</f>
        <v>B04290</v>
      </c>
      <c r="H434" s="75" t="n">
        <f aca="false">
IF($D434="정상",INDEX(임대자산!$D$3:$R$3000,MATCH($F434,임대자산!$I$3:$I$3000,0),MATCH(H$4,임대자산!$D$3:$R$3,0)),
IF($D434="폐업",INDEX(폐업정보!$D$3:$R$3000,MATCH($F434,폐업정보!$I$3:$I$3000,0),MATCH(H$4,폐업정보!$D$3:$R$3,0)),
"Error"))</f>
        <v>45637</v>
      </c>
      <c r="I434" s="75" t="str">
        <f aca="false">
IF($D434="정상",INDEX(임대자산!$D$3:$R$3000,MATCH($F434,임대자산!$I$3:$I$3000,0),MATCH(I$4,임대자산!$D$3:$R$3,0)),
IF($D434="폐업",INDEX(폐업정보!$D$3:$R$3000,MATCH($F434,폐업정보!$I$3:$I$3000,0),MATCH(I$4,폐업정보!$D$3:$R$3,0)),
"Error"))</f>
        <v>A0429</v>
      </c>
      <c r="J434" s="75" t="str">
        <f aca="false">
IF($D434="정상",INDEX(임대자산!$D$3:$R$3000,MATCH($F434,임대자산!$I$3:$I$3000,0),MATCH(J$4,임대자산!$D$3:$R$3,0)),
IF($D434="폐업",INDEX(폐업정보!$D$3:$R$3000,MATCH($F434,폐업정보!$I$3:$I$3000,0),MATCH(J$4,폐업정보!$D$3:$R$3,0)),
"Error"))</f>
        <v>7222900000</v>
      </c>
      <c r="K434" s="75" t="str">
        <f aca="false">
IF($D434="정상",INDEX(임대자산!$D$3:$R$3000,MATCH($F434,임대자산!$I$3:$I$3000,0),MATCH(K$4,임대자산!$D$3:$R$3,0)),
IF($D434="폐업",INDEX(폐업정보!$D$3:$R$3000,MATCH($F434,폐업정보!$I$3:$I$3000,0),MATCH(K$4,폐업정보!$D$3:$R$3,0)),
"Error"))</f>
        <v>C0429</v>
      </c>
      <c r="L434" s="75" t="str">
        <f aca="false">
IF($D434="정상",INDEX(임대자산!$D$3:$R$3000,MATCH($F434,임대자산!$I$3:$I$3000,0),MATCH(L$4,임대자산!$D$3:$R$3,0)),
IF($D434="폐업",INDEX(폐업정보!$D$3:$R$3000,MATCH($F434,폐업정보!$I$3:$I$3000,0),MATCH(L$4,폐업정보!$D$3:$R$3,0)),
"Error"))</f>
        <v>D0429</v>
      </c>
      <c r="M434" s="76" t="s">
        <v>96</v>
      </c>
      <c r="N434" s="77"/>
      <c r="O434" s="78" t="s">
        <v>97</v>
      </c>
      <c r="P434" s="79" t="n">
        <f aca="false">COUNTIFS(임대자산!$I:$I,가맹점정보!F434,임대자산!$N:$N,가맹점정보!P$4)</f>
        <v>0</v>
      </c>
      <c r="Q434" s="80" t="n">
        <f aca="false">COUNTIFS(임대자산!$I:$I,가맹점정보!F434,임대자산!$N:$N,가맹점정보!Q$4)</f>
        <v>0</v>
      </c>
      <c r="R434" s="81" t="n">
        <f aca="false">COUNTIFS(임대자산!$I:$I,가맹점정보!F434,임대자산!$N:$N,가맹점정보!R$4)</f>
        <v>1</v>
      </c>
      <c r="S434" s="82" t="n">
        <v>55000</v>
      </c>
      <c r="T434" s="83" t="n">
        <v>0</v>
      </c>
      <c r="U434" s="80" t="n">
        <f aca="false">SUM(S434:T434)</f>
        <v>55000</v>
      </c>
      <c r="V434" s="84" t="s">
        <v>7</v>
      </c>
      <c r="W434" s="80" t="str">
        <f aca="true">
IF(D434="폐업","폐업",
IF(V434="면제","면제",
IF(AND(V434="정상",COUNTIFS(OFFSET(Y434,0,COUNTA(Y434:AV434)-1,1,-4),"미납")&gt;=3),"장기미납",
IF(AND(V434="정상",OFFSET(Y434,0,COUNTA(Y434:AV434)-1)&gt;=U434),"정상",
IF(AND(V434="정상",OFFSET(Y434,0,COUNTA(Y434:AV434)-1)=0),"정상",
"계약서 미작성")))))</f>
        <v>면제</v>
      </c>
      <c r="X434" s="81" t="str">
        <f aca="true">
IF(D434="폐업","폐업",
IF(AND(V434="정상",OFFSET(Y434,0,COUNTA(Y434:AV434)-1)="미납"),"미납",
IF(AND(V434="정상",OFFSET(Y434,0,COUNTA(Y434:AV434)-1)=0),"납부 시작 전",
IF(AND(V434="정상",OFFSET(Y434,0,COUNTA(Y434:AV434)-1)&gt;=U434),"정상",
IF(AND(V434="면제",OFFSET(Y434,0,COUNTA(Y434:AV434)-1)="면제"),"면제",
IF(AND(V434="면제",OFFSET(Y434,0,COUNTA(Y434:AV434)-1)=0),"면제",
"확인요청"))))))</f>
        <v>면제</v>
      </c>
      <c r="Y434" s="94" t="s">
        <v>7</v>
      </c>
      <c r="Z434" s="95" t="s">
        <v>7</v>
      </c>
      <c r="AA434" s="95" t="s">
        <v>7</v>
      </c>
      <c r="AB434" s="95" t="s">
        <v>7</v>
      </c>
      <c r="AC434" s="95" t="s">
        <v>7</v>
      </c>
      <c r="AD434" s="95" t="s">
        <v>7</v>
      </c>
      <c r="AE434" s="95" t="s">
        <v>7</v>
      </c>
      <c r="AF434" s="95" t="s">
        <v>7</v>
      </c>
      <c r="AG434" s="95" t="s">
        <v>7</v>
      </c>
      <c r="AH434" s="95" t="s">
        <v>7</v>
      </c>
      <c r="AI434" s="95" t="s">
        <v>7</v>
      </c>
      <c r="AJ434" s="96" t="s">
        <v>7</v>
      </c>
      <c r="AK434" s="97" t="s">
        <v>7</v>
      </c>
      <c r="AL434" s="95" t="s">
        <v>7</v>
      </c>
      <c r="AM434" s="90"/>
      <c r="AN434" s="90"/>
      <c r="AO434" s="90"/>
      <c r="AP434" s="90"/>
      <c r="AQ434" s="90"/>
      <c r="AR434" s="90"/>
      <c r="AS434" s="90"/>
      <c r="AT434" s="90"/>
      <c r="AU434" s="90"/>
      <c r="AV434" s="91"/>
      <c r="AX434" s="92"/>
    </row>
    <row r="435" customFormat="false" ht="15.65" hidden="false" customHeight="false" outlineLevel="0" collapsed="false">
      <c r="C435" s="72" t="n">
        <f aca="false">COUNTIFS($D$6:D435,"&lt;&gt;"&amp;"")</f>
        <v>430</v>
      </c>
      <c r="D435" s="73" t="s">
        <v>12</v>
      </c>
      <c r="E435" s="76" t="str">
        <f aca="false">
IF($D435="정상",INDEX(임대자산!$D$3:$R$3000,MATCH($F435,임대자산!$I$3:$I$3000,0),MATCH(E$3,임대자산!$D$3:$R$3,0)),
IF($D435="폐업",INDEX(폐업정보!$D$3:$R$3000,MATCH($F435,폐업정보!$I$3:$I$3000,0),MATCH(E$3,폐업정보!$D$3:$R$3,0)),
"Error"))</f>
        <v>경기</v>
      </c>
      <c r="F43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B0430</v>
      </c>
      <c r="G435" s="76" t="str">
        <f aca="false">F435&amp;RANDBETWEEN(0,10)</f>
        <v>B04308</v>
      </c>
      <c r="H435" s="75" t="n">
        <f aca="false">
IF($D435="정상",INDEX(임대자산!$D$3:$R$3000,MATCH($F435,임대자산!$I$3:$I$3000,0),MATCH(H$4,임대자산!$D$3:$R$3,0)),
IF($D435="폐업",INDEX(폐업정보!$D$3:$R$3000,MATCH($F435,폐업정보!$I$3:$I$3000,0),MATCH(H$4,폐업정보!$D$3:$R$3,0)),
"Error"))</f>
        <v>45649</v>
      </c>
      <c r="I435" s="75" t="str">
        <f aca="false">
IF($D435="정상",INDEX(임대자산!$D$3:$R$3000,MATCH($F435,임대자산!$I$3:$I$3000,0),MATCH(I$4,임대자산!$D$3:$R$3,0)),
IF($D435="폐업",INDEX(폐업정보!$D$3:$R$3000,MATCH($F435,폐업정보!$I$3:$I$3000,0),MATCH(I$4,폐업정보!$D$3:$R$3,0)),
"Error"))</f>
        <v>A0430</v>
      </c>
      <c r="J435" s="75" t="str">
        <f aca="false">
IF($D435="정상",INDEX(임대자산!$D$3:$R$3000,MATCH($F435,임대자산!$I$3:$I$3000,0),MATCH(J$4,임대자산!$D$3:$R$3,0)),
IF($D435="폐업",INDEX(폐업정보!$D$3:$R$3000,MATCH($F435,폐업정보!$I$3:$I$3000,0),MATCH(J$4,폐업정보!$D$3:$R$3,0)),
"Error"))</f>
        <v>6202900000</v>
      </c>
      <c r="K435" s="75" t="str">
        <f aca="false">
IF($D435="정상",INDEX(임대자산!$D$3:$R$3000,MATCH($F435,임대자산!$I$3:$I$3000,0),MATCH(K$4,임대자산!$D$3:$R$3,0)),
IF($D435="폐업",INDEX(폐업정보!$D$3:$R$3000,MATCH($F435,폐업정보!$I$3:$I$3000,0),MATCH(K$4,폐업정보!$D$3:$R$3,0)),
"Error"))</f>
        <v>C0430</v>
      </c>
      <c r="L435" s="75" t="str">
        <f aca="false">
IF($D435="정상",INDEX(임대자산!$D$3:$R$3000,MATCH($F435,임대자산!$I$3:$I$3000,0),MATCH(L$4,임대자산!$D$3:$R$3,0)),
IF($D435="폐업",INDEX(폐업정보!$D$3:$R$3000,MATCH($F435,폐업정보!$I$3:$I$3000,0),MATCH(L$4,폐업정보!$D$3:$R$3,0)),
"Error"))</f>
        <v>D0430</v>
      </c>
      <c r="M435" s="76" t="s">
        <v>96</v>
      </c>
      <c r="N435" s="77"/>
      <c r="O435" s="78" t="s">
        <v>97</v>
      </c>
      <c r="P435" s="79" t="n">
        <f aca="false">COUNTIFS(임대자산!$I:$I,가맹점정보!F435,임대자산!$N:$N,가맹점정보!P$4)</f>
        <v>0</v>
      </c>
      <c r="Q435" s="80" t="n">
        <f aca="false">COUNTIFS(임대자산!$I:$I,가맹점정보!F435,임대자산!$N:$N,가맹점정보!Q$4)</f>
        <v>0</v>
      </c>
      <c r="R435" s="81" t="n">
        <f aca="false">COUNTIFS(임대자산!$I:$I,가맹점정보!F435,임대자산!$N:$N,가맹점정보!R$4)</f>
        <v>1</v>
      </c>
      <c r="S435" s="82" t="n">
        <v>55000</v>
      </c>
      <c r="T435" s="83" t="n">
        <v>0</v>
      </c>
      <c r="U435" s="80" t="n">
        <f aca="false">SUM(S435:T435)</f>
        <v>55000</v>
      </c>
      <c r="V435" s="84" t="s">
        <v>12</v>
      </c>
      <c r="W435" s="80" t="e">
        <f aca="true">
IF(D435="폐업","폐업",
IF(V435="면제","면제",
IF(AND(V435="정상",COUNTIFS(OFFSET(Y435,0,COUNTA(Y435:AV435)-1,1,-4),"미납")&gt;=3),"장기미납",
IF(AND(V435="정상",OFFSET(Y435,0,COUNTA(Y435:AV435)-1)&gt;=U435),"정상",
IF(AND(V435="정상",OFFSET(Y435,0,COUNTA(Y435:AV435)-1)=0),"정상",
"계약서 미작성")))))</f>
        <v>#VALUE!</v>
      </c>
      <c r="X435" s="81" t="str">
        <f aca="true">
IF(D435="폐업","폐업",
IF(AND(V435="정상",OFFSET(Y435,0,COUNTA(Y435:AV435)-1)="미납"),"미납",
IF(AND(V435="정상",OFFSET(Y435,0,COUNTA(Y435:AV435)-1)=0),"납부 시작 전",
IF(AND(V435="정상",OFFSET(Y435,0,COUNTA(Y435:AV435)-1)&gt;=U435),"정상",
IF(AND(V435="면제",OFFSET(Y435,0,COUNTA(Y435:AV435)-1)="면제"),"면제",
IF(AND(V435="면제",OFFSET(Y435,0,COUNTA(Y435:AV435)-1)=0),"면제",
"확인요청"))))))</f>
        <v>정상</v>
      </c>
      <c r="Y435" s="93" t="n">
        <v>55000</v>
      </c>
      <c r="Z435" s="90" t="n">
        <v>55000</v>
      </c>
      <c r="AA435" s="90" t="n">
        <v>55000</v>
      </c>
      <c r="AB435" s="90" t="n">
        <v>55000</v>
      </c>
      <c r="AC435" s="90" t="n">
        <v>55000</v>
      </c>
      <c r="AD435" s="90" t="n">
        <v>55000</v>
      </c>
      <c r="AE435" s="90" t="n">
        <v>55000</v>
      </c>
      <c r="AF435" s="90" t="n">
        <v>55000</v>
      </c>
      <c r="AG435" s="90" t="n">
        <v>55000</v>
      </c>
      <c r="AH435" s="90" t="n">
        <v>55000</v>
      </c>
      <c r="AI435" s="90" t="n">
        <v>55000</v>
      </c>
      <c r="AJ435" s="91" t="n">
        <v>55000</v>
      </c>
      <c r="AK435" s="89" t="n">
        <v>55000</v>
      </c>
      <c r="AL435" s="90" t="n">
        <v>55000</v>
      </c>
      <c r="AM435" s="90"/>
      <c r="AN435" s="90"/>
      <c r="AO435" s="90"/>
      <c r="AP435" s="90"/>
      <c r="AQ435" s="90"/>
      <c r="AR435" s="90"/>
      <c r="AS435" s="90"/>
      <c r="AT435" s="90"/>
      <c r="AU435" s="90"/>
      <c r="AV435" s="91"/>
      <c r="AX435" s="92"/>
    </row>
    <row r="436" customFormat="false" ht="15.65" hidden="false" customHeight="false" outlineLevel="0" collapsed="false">
      <c r="C436" s="72" t="n">
        <f aca="false">COUNTIFS($D$6:D436,"&lt;&gt;"&amp;"")</f>
        <v>431</v>
      </c>
      <c r="D436" s="73" t="s">
        <v>12</v>
      </c>
      <c r="E436" s="76" t="str">
        <f aca="false">
IF($D436="정상",INDEX(임대자산!$D$3:$R$3000,MATCH($F436,임대자산!$I$3:$I$3000,0),MATCH(E$3,임대자산!$D$3:$R$3,0)),
IF($D436="폐업",INDEX(폐업정보!$D$3:$R$3000,MATCH($F436,폐업정보!$I$3:$I$3000,0),MATCH(E$3,폐업정보!$D$3:$R$3,0)),
"Error"))</f>
        <v>전라</v>
      </c>
      <c r="F43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B0431</v>
      </c>
      <c r="G436" s="76" t="str">
        <f aca="false">F436&amp;RANDBETWEEN(0,10)</f>
        <v>B04314</v>
      </c>
      <c r="H436" s="75" t="n">
        <f aca="false">
IF($D436="정상",INDEX(임대자산!$D$3:$R$3000,MATCH($F436,임대자산!$I$3:$I$3000,0),MATCH(H$4,임대자산!$D$3:$R$3,0)),
IF($D436="폐업",INDEX(폐업정보!$D$3:$R$3000,MATCH($F436,폐업정보!$I$3:$I$3000,0),MATCH(H$4,폐업정보!$D$3:$R$3,0)),
"Error"))</f>
        <v>45567</v>
      </c>
      <c r="I436" s="75" t="str">
        <f aca="false">
IF($D436="정상",INDEX(임대자산!$D$3:$R$3000,MATCH($F436,임대자산!$I$3:$I$3000,0),MATCH(I$4,임대자산!$D$3:$R$3,0)),
IF($D436="폐업",INDEX(폐업정보!$D$3:$R$3000,MATCH($F436,폐업정보!$I$3:$I$3000,0),MATCH(I$4,폐업정보!$D$3:$R$3,0)),
"Error"))</f>
        <v>A0431</v>
      </c>
      <c r="J436" s="75" t="str">
        <f aca="false">
IF($D436="정상",INDEX(임대자산!$D$3:$R$3000,MATCH($F436,임대자산!$I$3:$I$3000,0),MATCH(J$4,임대자산!$D$3:$R$3,0)),
IF($D436="폐업",INDEX(폐업정보!$D$3:$R$3000,MATCH($F436,폐업정보!$I$3:$I$3000,0),MATCH(J$4,폐업정보!$D$3:$R$3,0)),
"Error"))</f>
        <v>3380100000</v>
      </c>
      <c r="K436" s="75" t="str">
        <f aca="false">
IF($D436="정상",INDEX(임대자산!$D$3:$R$3000,MATCH($F436,임대자산!$I$3:$I$3000,0),MATCH(K$4,임대자산!$D$3:$R$3,0)),
IF($D436="폐업",INDEX(폐업정보!$D$3:$R$3000,MATCH($F436,폐업정보!$I$3:$I$3000,0),MATCH(K$4,폐업정보!$D$3:$R$3,0)),
"Error"))</f>
        <v>C0431</v>
      </c>
      <c r="L436" s="75" t="str">
        <f aca="false">
IF($D436="정상",INDEX(임대자산!$D$3:$R$3000,MATCH($F436,임대자산!$I$3:$I$3000,0),MATCH(L$4,임대자산!$D$3:$R$3,0)),
IF($D436="폐업",INDEX(폐업정보!$D$3:$R$3000,MATCH($F436,폐업정보!$I$3:$I$3000,0),MATCH(L$4,폐업정보!$D$3:$R$3,0)),
"Error"))</f>
        <v>D0431</v>
      </c>
      <c r="M436" s="76" t="s">
        <v>96</v>
      </c>
      <c r="N436" s="77"/>
      <c r="O436" s="78" t="s">
        <v>97</v>
      </c>
      <c r="P436" s="79" t="n">
        <f aca="false">COUNTIFS(임대자산!$I:$I,가맹점정보!F436,임대자산!$N:$N,가맹점정보!P$4)</f>
        <v>0</v>
      </c>
      <c r="Q436" s="80" t="n">
        <f aca="false">COUNTIFS(임대자산!$I:$I,가맹점정보!F436,임대자산!$N:$N,가맹점정보!Q$4)</f>
        <v>0</v>
      </c>
      <c r="R436" s="81" t="n">
        <f aca="false">COUNTIFS(임대자산!$I:$I,가맹점정보!F436,임대자산!$N:$N,가맹점정보!R$4)</f>
        <v>1</v>
      </c>
      <c r="S436" s="82" t="n">
        <v>88000</v>
      </c>
      <c r="T436" s="83" t="n">
        <v>0</v>
      </c>
      <c r="U436" s="80" t="n">
        <f aca="false">SUM(S436:T436)</f>
        <v>88000</v>
      </c>
      <c r="V436" s="84" t="s">
        <v>7</v>
      </c>
      <c r="W436" s="80" t="str">
        <f aca="true">
IF(D436="폐업","폐업",
IF(V436="면제","면제",
IF(AND(V436="정상",COUNTIFS(OFFSET(Y436,0,COUNTA(Y436:AV436)-1,1,-4),"미납")&gt;=3),"장기미납",
IF(AND(V436="정상",OFFSET(Y436,0,COUNTA(Y436:AV436)-1)&gt;=U436),"정상",
IF(AND(V436="정상",OFFSET(Y436,0,COUNTA(Y436:AV436)-1)=0),"정상",
"계약서 미작성")))))</f>
        <v>면제</v>
      </c>
      <c r="X436" s="81" t="str">
        <f aca="true">
IF(D436="폐업","폐업",
IF(AND(V436="정상",OFFSET(Y436,0,COUNTA(Y436:AV436)-1)="미납"),"미납",
IF(AND(V436="정상",OFFSET(Y436,0,COUNTA(Y436:AV436)-1)=0),"납부 시작 전",
IF(AND(V436="정상",OFFSET(Y436,0,COUNTA(Y436:AV436)-1)&gt;=U436),"정상",
IF(AND(V436="면제",OFFSET(Y436,0,COUNTA(Y436:AV436)-1)="면제"),"면제",
IF(AND(V436="면제",OFFSET(Y436,0,COUNTA(Y436:AV436)-1)=0),"면제",
"확인요청"))))))</f>
        <v>면제</v>
      </c>
      <c r="Y436" s="94" t="s">
        <v>7</v>
      </c>
      <c r="Z436" s="95" t="s">
        <v>7</v>
      </c>
      <c r="AA436" s="95" t="s">
        <v>7</v>
      </c>
      <c r="AB436" s="95" t="s">
        <v>7</v>
      </c>
      <c r="AC436" s="95" t="s">
        <v>7</v>
      </c>
      <c r="AD436" s="95" t="s">
        <v>7</v>
      </c>
      <c r="AE436" s="95" t="s">
        <v>7</v>
      </c>
      <c r="AF436" s="95" t="s">
        <v>7</v>
      </c>
      <c r="AG436" s="95" t="s">
        <v>7</v>
      </c>
      <c r="AH436" s="95" t="s">
        <v>7</v>
      </c>
      <c r="AI436" s="95" t="s">
        <v>7</v>
      </c>
      <c r="AJ436" s="96" t="s">
        <v>7</v>
      </c>
      <c r="AK436" s="97" t="s">
        <v>7</v>
      </c>
      <c r="AL436" s="95" t="s">
        <v>7</v>
      </c>
      <c r="AM436" s="90"/>
      <c r="AN436" s="90"/>
      <c r="AO436" s="90"/>
      <c r="AP436" s="90"/>
      <c r="AQ436" s="90"/>
      <c r="AR436" s="90"/>
      <c r="AS436" s="90"/>
      <c r="AT436" s="90"/>
      <c r="AU436" s="90"/>
      <c r="AV436" s="91"/>
      <c r="AX436" s="92"/>
    </row>
    <row r="437" customFormat="false" ht="15.65" hidden="false" customHeight="false" outlineLevel="0" collapsed="false">
      <c r="C437" s="72" t="n">
        <f aca="false">COUNTIFS($D$6:D437,"&lt;&gt;"&amp;"")</f>
        <v>432</v>
      </c>
      <c r="D437" s="73" t="s">
        <v>12</v>
      </c>
      <c r="E437" s="76" t="str">
        <f aca="false">
IF($D437="정상",INDEX(임대자산!$D$3:$R$3000,MATCH($F437,임대자산!$I$3:$I$3000,0),MATCH(E$3,임대자산!$D$3:$R$3,0)),
IF($D437="폐업",INDEX(폐업정보!$D$3:$R$3000,MATCH($F437,폐업정보!$I$3:$I$3000,0),MATCH(E$3,폐업정보!$D$3:$R$3,0)),
"Error"))</f>
        <v>전라</v>
      </c>
      <c r="F43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B0432</v>
      </c>
      <c r="G437" s="76" t="str">
        <f aca="false">F437&amp;RANDBETWEEN(0,10)</f>
        <v>B04329</v>
      </c>
      <c r="H437" s="75" t="n">
        <f aca="false">
IF($D437="정상",INDEX(임대자산!$D$3:$R$3000,MATCH($F437,임대자산!$I$3:$I$3000,0),MATCH(H$4,임대자산!$D$3:$R$3,0)),
IF($D437="폐업",INDEX(폐업정보!$D$3:$R$3000,MATCH($F437,폐업정보!$I$3:$I$3000,0),MATCH(H$4,폐업정보!$D$3:$R$3,0)),
"Error"))</f>
        <v>45567</v>
      </c>
      <c r="I437" s="75" t="str">
        <f aca="false">
IF($D437="정상",INDEX(임대자산!$D$3:$R$3000,MATCH($F437,임대자산!$I$3:$I$3000,0),MATCH(I$4,임대자산!$D$3:$R$3,0)),
IF($D437="폐업",INDEX(폐업정보!$D$3:$R$3000,MATCH($F437,폐업정보!$I$3:$I$3000,0),MATCH(I$4,폐업정보!$D$3:$R$3,0)),
"Error"))</f>
        <v>A0432</v>
      </c>
      <c r="J437" s="75" t="str">
        <f aca="false">
IF($D437="정상",INDEX(임대자산!$D$3:$R$3000,MATCH($F437,임대자산!$I$3:$I$3000,0),MATCH(J$4,임대자산!$D$3:$R$3,0)),
IF($D437="폐업",INDEX(폐업정보!$D$3:$R$3000,MATCH($F437,폐업정보!$I$3:$I$3000,0),MATCH(J$4,폐업정보!$D$3:$R$3,0)),
"Error"))</f>
        <v>5466500000</v>
      </c>
      <c r="K437" s="75" t="str">
        <f aca="false">
IF($D437="정상",INDEX(임대자산!$D$3:$R$3000,MATCH($F437,임대자산!$I$3:$I$3000,0),MATCH(K$4,임대자산!$D$3:$R$3,0)),
IF($D437="폐업",INDEX(폐업정보!$D$3:$R$3000,MATCH($F437,폐업정보!$I$3:$I$3000,0),MATCH(K$4,폐업정보!$D$3:$R$3,0)),
"Error"))</f>
        <v>C0432</v>
      </c>
      <c r="L437" s="75" t="str">
        <f aca="false">
IF($D437="정상",INDEX(임대자산!$D$3:$R$3000,MATCH($F437,임대자산!$I$3:$I$3000,0),MATCH(L$4,임대자산!$D$3:$R$3,0)),
IF($D437="폐업",INDEX(폐업정보!$D$3:$R$3000,MATCH($F437,폐업정보!$I$3:$I$3000,0),MATCH(L$4,폐업정보!$D$3:$R$3,0)),
"Error"))</f>
        <v>D0432</v>
      </c>
      <c r="M437" s="76" t="s">
        <v>96</v>
      </c>
      <c r="N437" s="77"/>
      <c r="O437" s="78" t="s">
        <v>97</v>
      </c>
      <c r="P437" s="79" t="n">
        <f aca="false">COUNTIFS(임대자산!$I:$I,가맹점정보!F437,임대자산!$N:$N,가맹점정보!P$4)</f>
        <v>0</v>
      </c>
      <c r="Q437" s="80" t="n">
        <f aca="false">COUNTIFS(임대자산!$I:$I,가맹점정보!F437,임대자산!$N:$N,가맹점정보!Q$4)</f>
        <v>0</v>
      </c>
      <c r="R437" s="81" t="n">
        <f aca="false">COUNTIFS(임대자산!$I:$I,가맹점정보!F437,임대자산!$N:$N,가맹점정보!R$4)</f>
        <v>1</v>
      </c>
      <c r="S437" s="82" t="n">
        <v>55000</v>
      </c>
      <c r="T437" s="83" t="n">
        <v>0</v>
      </c>
      <c r="U437" s="80" t="n">
        <f aca="false">SUM(S437:T437)</f>
        <v>55000</v>
      </c>
      <c r="V437" s="84" t="s">
        <v>12</v>
      </c>
      <c r="W437" s="80" t="e">
        <f aca="true">
IF(D437="폐업","폐업",
IF(V437="면제","면제",
IF(AND(V437="정상",COUNTIFS(OFFSET(Y437,0,COUNTA(Y437:AV437)-1,1,-4),"미납")&gt;=3),"장기미납",
IF(AND(V437="정상",OFFSET(Y437,0,COUNTA(Y437:AV437)-1)&gt;=U437),"정상",
IF(AND(V437="정상",OFFSET(Y437,0,COUNTA(Y437:AV437)-1)=0),"정상",
"계약서 미작성")))))</f>
        <v>#VALUE!</v>
      </c>
      <c r="X437" s="81" t="str">
        <f aca="true">
IF(D437="폐업","폐업",
IF(AND(V437="정상",OFFSET(Y437,0,COUNTA(Y437:AV437)-1)="미납"),"미납",
IF(AND(V437="정상",OFFSET(Y437,0,COUNTA(Y437:AV437)-1)=0),"납부 시작 전",
IF(AND(V437="정상",OFFSET(Y437,0,COUNTA(Y437:AV437)-1)&gt;=U437),"정상",
IF(AND(V437="면제",OFFSET(Y437,0,COUNTA(Y437:AV437)-1)="면제"),"면제",
IF(AND(V437="면제",OFFSET(Y437,0,COUNTA(Y437:AV437)-1)=0),"면제",
"확인요청"))))))</f>
        <v>정상</v>
      </c>
      <c r="Y437" s="93" t="n">
        <v>55000</v>
      </c>
      <c r="Z437" s="90" t="n">
        <v>55000</v>
      </c>
      <c r="AA437" s="90" t="n">
        <v>55000</v>
      </c>
      <c r="AB437" s="90" t="n">
        <v>55000</v>
      </c>
      <c r="AC437" s="90" t="n">
        <v>55000</v>
      </c>
      <c r="AD437" s="90" t="n">
        <v>55000</v>
      </c>
      <c r="AE437" s="90" t="n">
        <v>55000</v>
      </c>
      <c r="AF437" s="90" t="n">
        <v>55000</v>
      </c>
      <c r="AG437" s="90" t="n">
        <v>55000</v>
      </c>
      <c r="AH437" s="90" t="n">
        <v>55000</v>
      </c>
      <c r="AI437" s="90" t="n">
        <v>55000</v>
      </c>
      <c r="AJ437" s="91" t="n">
        <v>55000</v>
      </c>
      <c r="AK437" s="89" t="n">
        <v>55000</v>
      </c>
      <c r="AL437" s="90" t="n">
        <v>55000</v>
      </c>
      <c r="AM437" s="90"/>
      <c r="AN437" s="90"/>
      <c r="AO437" s="90"/>
      <c r="AP437" s="90"/>
      <c r="AQ437" s="90"/>
      <c r="AR437" s="90"/>
      <c r="AS437" s="90"/>
      <c r="AT437" s="90"/>
      <c r="AU437" s="90"/>
      <c r="AV437" s="91"/>
      <c r="AX437" s="92"/>
    </row>
    <row r="438" customFormat="false" ht="15.65" hidden="false" customHeight="false" outlineLevel="0" collapsed="false">
      <c r="C438" s="72" t="n">
        <f aca="false">COUNTIFS($D$6:D438,"&lt;&gt;"&amp;"")</f>
        <v>433</v>
      </c>
      <c r="D438" s="73" t="s">
        <v>12</v>
      </c>
      <c r="E438" s="76" t="str">
        <f aca="false">
IF($D438="정상",INDEX(임대자산!$D$3:$R$3000,MATCH($F438,임대자산!$I$3:$I$3000,0),MATCH(E$3,임대자산!$D$3:$R$3,0)),
IF($D438="폐업",INDEX(폐업정보!$D$3:$R$3000,MATCH($F438,폐업정보!$I$3:$I$3000,0),MATCH(E$3,폐업정보!$D$3:$R$3,0)),
"Error"))</f>
        <v>전라</v>
      </c>
      <c r="F43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B0433</v>
      </c>
      <c r="G438" s="76" t="str">
        <f aca="false">F438&amp;RANDBETWEEN(0,10)</f>
        <v>B04333</v>
      </c>
      <c r="H438" s="75" t="n">
        <f aca="false">
IF($D438="정상",INDEX(임대자산!$D$3:$R$3000,MATCH($F438,임대자산!$I$3:$I$3000,0),MATCH(H$4,임대자산!$D$3:$R$3,0)),
IF($D438="폐업",INDEX(폐업정보!$D$3:$R$3000,MATCH($F438,폐업정보!$I$3:$I$3000,0),MATCH(H$4,폐업정보!$D$3:$R$3,0)),
"Error"))</f>
        <v>45587</v>
      </c>
      <c r="I438" s="75" t="str">
        <f aca="false">
IF($D438="정상",INDEX(임대자산!$D$3:$R$3000,MATCH($F438,임대자산!$I$3:$I$3000,0),MATCH(I$4,임대자산!$D$3:$R$3,0)),
IF($D438="폐업",INDEX(폐업정보!$D$3:$R$3000,MATCH($F438,폐업정보!$I$3:$I$3000,0),MATCH(I$4,폐업정보!$D$3:$R$3,0)),
"Error"))</f>
        <v>A0433</v>
      </c>
      <c r="J438" s="75" t="str">
        <f aca="false">
IF($D438="정상",INDEX(임대자산!$D$3:$R$3000,MATCH($F438,임대자산!$I$3:$I$3000,0),MATCH(J$4,임대자산!$D$3:$R$3,0)),
IF($D438="폐업",INDEX(폐업정보!$D$3:$R$3000,MATCH($F438,폐업정보!$I$3:$I$3000,0),MATCH(J$4,폐업정보!$D$3:$R$3,0)),
"Error"))</f>
        <v>5401500000</v>
      </c>
      <c r="K438" s="75" t="str">
        <f aca="false">
IF($D438="정상",INDEX(임대자산!$D$3:$R$3000,MATCH($F438,임대자산!$I$3:$I$3000,0),MATCH(K$4,임대자산!$D$3:$R$3,0)),
IF($D438="폐업",INDEX(폐업정보!$D$3:$R$3000,MATCH($F438,폐업정보!$I$3:$I$3000,0),MATCH(K$4,폐업정보!$D$3:$R$3,0)),
"Error"))</f>
        <v>C0433</v>
      </c>
      <c r="L438" s="75" t="str">
        <f aca="false">
IF($D438="정상",INDEX(임대자산!$D$3:$R$3000,MATCH($F438,임대자산!$I$3:$I$3000,0),MATCH(L$4,임대자산!$D$3:$R$3,0)),
IF($D438="폐업",INDEX(폐업정보!$D$3:$R$3000,MATCH($F438,폐업정보!$I$3:$I$3000,0),MATCH(L$4,폐업정보!$D$3:$R$3,0)),
"Error"))</f>
        <v>D0433</v>
      </c>
      <c r="M438" s="76" t="s">
        <v>96</v>
      </c>
      <c r="N438" s="77"/>
      <c r="O438" s="78" t="s">
        <v>97</v>
      </c>
      <c r="P438" s="79" t="n">
        <f aca="false">COUNTIFS(임대자산!$I:$I,가맹점정보!F438,임대자산!$N:$N,가맹점정보!P$4)</f>
        <v>0</v>
      </c>
      <c r="Q438" s="80" t="n">
        <f aca="false">COUNTIFS(임대자산!$I:$I,가맹점정보!F438,임대자산!$N:$N,가맹점정보!Q$4)</f>
        <v>0</v>
      </c>
      <c r="R438" s="81" t="n">
        <f aca="false">COUNTIFS(임대자산!$I:$I,가맹점정보!F438,임대자산!$N:$N,가맹점정보!R$4)</f>
        <v>1</v>
      </c>
      <c r="S438" s="82" t="n">
        <v>55000</v>
      </c>
      <c r="T438" s="83" t="n">
        <v>0</v>
      </c>
      <c r="U438" s="80" t="n">
        <f aca="false">SUM(S438:T438)</f>
        <v>55000</v>
      </c>
      <c r="V438" s="84" t="s">
        <v>7</v>
      </c>
      <c r="W438" s="80" t="str">
        <f aca="true">
IF(D438="폐업","폐업",
IF(V438="면제","면제",
IF(AND(V438="정상",COUNTIFS(OFFSET(Y438,0,COUNTA(Y438:AV438)-1,1,-4),"미납")&gt;=3),"장기미납",
IF(AND(V438="정상",OFFSET(Y438,0,COUNTA(Y438:AV438)-1)&gt;=U438),"정상",
IF(AND(V438="정상",OFFSET(Y438,0,COUNTA(Y438:AV438)-1)=0),"정상",
"계약서 미작성")))))</f>
        <v>면제</v>
      </c>
      <c r="X438" s="81" t="str">
        <f aca="true">
IF(D438="폐업","폐업",
IF(AND(V438="정상",OFFSET(Y438,0,COUNTA(Y438:AV438)-1)="미납"),"미납",
IF(AND(V438="정상",OFFSET(Y438,0,COUNTA(Y438:AV438)-1)=0),"납부 시작 전",
IF(AND(V438="정상",OFFSET(Y438,0,COUNTA(Y438:AV438)-1)&gt;=U438),"정상",
IF(AND(V438="면제",OFFSET(Y438,0,COUNTA(Y438:AV438)-1)="면제"),"면제",
IF(AND(V438="면제",OFFSET(Y438,0,COUNTA(Y438:AV438)-1)=0),"면제",
"확인요청"))))))</f>
        <v>면제</v>
      </c>
      <c r="Y438" s="94" t="s">
        <v>7</v>
      </c>
      <c r="Z438" s="95" t="s">
        <v>7</v>
      </c>
      <c r="AA438" s="95" t="s">
        <v>7</v>
      </c>
      <c r="AB438" s="95" t="s">
        <v>7</v>
      </c>
      <c r="AC438" s="95" t="s">
        <v>7</v>
      </c>
      <c r="AD438" s="95" t="s">
        <v>7</v>
      </c>
      <c r="AE438" s="95" t="s">
        <v>7</v>
      </c>
      <c r="AF438" s="95" t="s">
        <v>7</v>
      </c>
      <c r="AG438" s="95" t="s">
        <v>7</v>
      </c>
      <c r="AH438" s="95" t="s">
        <v>7</v>
      </c>
      <c r="AI438" s="95" t="s">
        <v>7</v>
      </c>
      <c r="AJ438" s="96" t="s">
        <v>7</v>
      </c>
      <c r="AK438" s="97" t="s">
        <v>7</v>
      </c>
      <c r="AL438" s="95" t="s">
        <v>7</v>
      </c>
      <c r="AM438" s="90"/>
      <c r="AN438" s="90"/>
      <c r="AO438" s="90"/>
      <c r="AP438" s="90"/>
      <c r="AQ438" s="90"/>
      <c r="AR438" s="90"/>
      <c r="AS438" s="90"/>
      <c r="AT438" s="90"/>
      <c r="AU438" s="90"/>
      <c r="AV438" s="91"/>
      <c r="AX438" s="92"/>
    </row>
    <row r="439" customFormat="false" ht="15.65" hidden="false" customHeight="false" outlineLevel="0" collapsed="false">
      <c r="C439" s="72" t="n">
        <f aca="false">COUNTIFS($D$6:D439,"&lt;&gt;"&amp;"")</f>
        <v>434</v>
      </c>
      <c r="D439" s="73" t="s">
        <v>12</v>
      </c>
      <c r="E439" s="76" t="str">
        <f aca="false">
IF($D439="정상",INDEX(임대자산!$D$3:$R$3000,MATCH($F439,임대자산!$I$3:$I$3000,0),MATCH(E$3,임대자산!$D$3:$R$3,0)),
IF($D439="폐업",INDEX(폐업정보!$D$3:$R$3000,MATCH($F439,폐업정보!$I$3:$I$3000,0),MATCH(E$3,폐업정보!$D$3:$R$3,0)),
"Error"))</f>
        <v>전라</v>
      </c>
      <c r="F43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B0434</v>
      </c>
      <c r="G439" s="76" t="str">
        <f aca="false">F439&amp;RANDBETWEEN(0,10)</f>
        <v>B04348</v>
      </c>
      <c r="H439" s="75" t="n">
        <f aca="false">
IF($D439="정상",INDEX(임대자산!$D$3:$R$3000,MATCH($F439,임대자산!$I$3:$I$3000,0),MATCH(H$4,임대자산!$D$3:$R$3,0)),
IF($D439="폐업",INDEX(폐업정보!$D$3:$R$3000,MATCH($F439,폐업정보!$I$3:$I$3000,0),MATCH(H$4,폐업정보!$D$3:$R$3,0)),
"Error"))</f>
        <v>45607</v>
      </c>
      <c r="I439" s="75" t="str">
        <f aca="false">
IF($D439="정상",INDEX(임대자산!$D$3:$R$3000,MATCH($F439,임대자산!$I$3:$I$3000,0),MATCH(I$4,임대자산!$D$3:$R$3,0)),
IF($D439="폐업",INDEX(폐업정보!$D$3:$R$3000,MATCH($F439,폐업정보!$I$3:$I$3000,0),MATCH(I$4,폐업정보!$D$3:$R$3,0)),
"Error"))</f>
        <v>A0434</v>
      </c>
      <c r="J439" s="75" t="str">
        <f aca="false">
IF($D439="정상",INDEX(임대자산!$D$3:$R$3000,MATCH($F439,임대자산!$I$3:$I$3000,0),MATCH(J$4,임대자산!$D$3:$R$3,0)),
IF($D439="폐업",INDEX(폐업정보!$D$3:$R$3000,MATCH($F439,폐업정보!$I$3:$I$3000,0),MATCH(J$4,폐업정보!$D$3:$R$3,0)),
"Error"))</f>
        <v>9511900000</v>
      </c>
      <c r="K439" s="75" t="str">
        <f aca="false">
IF($D439="정상",INDEX(임대자산!$D$3:$R$3000,MATCH($F439,임대자산!$I$3:$I$3000,0),MATCH(K$4,임대자산!$D$3:$R$3,0)),
IF($D439="폐업",INDEX(폐업정보!$D$3:$R$3000,MATCH($F439,폐업정보!$I$3:$I$3000,0),MATCH(K$4,폐업정보!$D$3:$R$3,0)),
"Error"))</f>
        <v>C0434</v>
      </c>
      <c r="L439" s="75" t="str">
        <f aca="false">
IF($D439="정상",INDEX(임대자산!$D$3:$R$3000,MATCH($F439,임대자산!$I$3:$I$3000,0),MATCH(L$4,임대자산!$D$3:$R$3,0)),
IF($D439="폐업",INDEX(폐업정보!$D$3:$R$3000,MATCH($F439,폐업정보!$I$3:$I$3000,0),MATCH(L$4,폐업정보!$D$3:$R$3,0)),
"Error"))</f>
        <v>D0434</v>
      </c>
      <c r="M439" s="76" t="s">
        <v>96</v>
      </c>
      <c r="N439" s="77"/>
      <c r="O439" s="78" t="s">
        <v>97</v>
      </c>
      <c r="P439" s="79" t="n">
        <f aca="false">COUNTIFS(임대자산!$I:$I,가맹점정보!F439,임대자산!$N:$N,가맹점정보!P$4)</f>
        <v>0</v>
      </c>
      <c r="Q439" s="80" t="n">
        <f aca="false">COUNTIFS(임대자산!$I:$I,가맹점정보!F439,임대자산!$N:$N,가맹점정보!Q$4)</f>
        <v>0</v>
      </c>
      <c r="R439" s="81" t="n">
        <f aca="false">COUNTIFS(임대자산!$I:$I,가맹점정보!F439,임대자산!$N:$N,가맹점정보!R$4)</f>
        <v>1</v>
      </c>
      <c r="S439" s="82" t="n">
        <v>88000</v>
      </c>
      <c r="T439" s="83" t="n">
        <v>0</v>
      </c>
      <c r="U439" s="80" t="n">
        <f aca="false">SUM(S439:T439)</f>
        <v>88000</v>
      </c>
      <c r="V439" s="84" t="s">
        <v>12</v>
      </c>
      <c r="W439" s="80" t="e">
        <f aca="true">
IF(D439="폐업","폐업",
IF(V439="면제","면제",
IF(AND(V439="정상",COUNTIFS(OFFSET(Y439,0,COUNTA(Y439:AV439)-1,1,-4),"미납")&gt;=3),"장기미납",
IF(AND(V439="정상",OFFSET(Y439,0,COUNTA(Y439:AV439)-1)&gt;=U439),"정상",
IF(AND(V439="정상",OFFSET(Y439,0,COUNTA(Y439:AV439)-1)=0),"정상",
"계약서 미작성")))))</f>
        <v>#VALUE!</v>
      </c>
      <c r="X439" s="81" t="str">
        <f aca="true">
IF(D439="폐업","폐업",
IF(AND(V439="정상",OFFSET(Y439,0,COUNTA(Y439:AV439)-1)="미납"),"미납",
IF(AND(V439="정상",OFFSET(Y439,0,COUNTA(Y439:AV439)-1)=0),"납부 시작 전",
IF(AND(V439="정상",OFFSET(Y439,0,COUNTA(Y439:AV439)-1)&gt;=U439),"정상",
IF(AND(V439="면제",OFFSET(Y439,0,COUNTA(Y439:AV439)-1)="면제"),"면제",
IF(AND(V439="면제",OFFSET(Y439,0,COUNTA(Y439:AV439)-1)=0),"면제",
"확인요청"))))))</f>
        <v>정상</v>
      </c>
      <c r="Y439" s="93" t="n">
        <v>88000</v>
      </c>
      <c r="Z439" s="90" t="n">
        <v>88000</v>
      </c>
      <c r="AA439" s="90" t="n">
        <v>88000</v>
      </c>
      <c r="AB439" s="90" t="n">
        <v>88000</v>
      </c>
      <c r="AC439" s="90" t="n">
        <v>88000</v>
      </c>
      <c r="AD439" s="90" t="n">
        <v>88000</v>
      </c>
      <c r="AE439" s="90" t="n">
        <v>88000</v>
      </c>
      <c r="AF439" s="90" t="n">
        <v>88000</v>
      </c>
      <c r="AG439" s="90" t="n">
        <v>88000</v>
      </c>
      <c r="AH439" s="90" t="n">
        <v>88000</v>
      </c>
      <c r="AI439" s="90" t="n">
        <v>88000</v>
      </c>
      <c r="AJ439" s="91" t="n">
        <v>88000</v>
      </c>
      <c r="AK439" s="89" t="n">
        <v>88000</v>
      </c>
      <c r="AL439" s="90" t="n">
        <v>88000</v>
      </c>
      <c r="AM439" s="90"/>
      <c r="AN439" s="90"/>
      <c r="AO439" s="90"/>
      <c r="AP439" s="90"/>
      <c r="AQ439" s="90"/>
      <c r="AR439" s="90"/>
      <c r="AS439" s="90"/>
      <c r="AT439" s="90"/>
      <c r="AU439" s="90"/>
      <c r="AV439" s="91"/>
      <c r="AX439" s="92"/>
    </row>
    <row r="440" customFormat="false" ht="15.65" hidden="false" customHeight="false" outlineLevel="0" collapsed="false">
      <c r="C440" s="72" t="n">
        <f aca="false">COUNTIFS($D$6:D440,"&lt;&gt;"&amp;"")</f>
        <v>435</v>
      </c>
      <c r="D440" s="73" t="s">
        <v>12</v>
      </c>
      <c r="E440" s="76" t="str">
        <f aca="false">
IF($D440="정상",INDEX(임대자산!$D$3:$R$3000,MATCH($F440,임대자산!$I$3:$I$3000,0),MATCH(E$3,임대자산!$D$3:$R$3,0)),
IF($D440="폐업",INDEX(폐업정보!$D$3:$R$3000,MATCH($F440,폐업정보!$I$3:$I$3000,0),MATCH(E$3,폐업정보!$D$3:$R$3,0)),
"Error"))</f>
        <v>경상</v>
      </c>
      <c r="F44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B0435</v>
      </c>
      <c r="G440" s="76" t="str">
        <f aca="false">F440&amp;RANDBETWEEN(0,10)</f>
        <v>B04350</v>
      </c>
      <c r="H440" s="75" t="n">
        <f aca="false">
IF($D440="정상",INDEX(임대자산!$D$3:$R$3000,MATCH($F440,임대자산!$I$3:$I$3000,0),MATCH(H$4,임대자산!$D$3:$R$3,0)),
IF($D440="폐업",INDEX(폐업정보!$D$3:$R$3000,MATCH($F440,폐업정보!$I$3:$I$3000,0),MATCH(H$4,폐업정보!$D$3:$R$3,0)),
"Error"))</f>
        <v>45666</v>
      </c>
      <c r="I440" s="75" t="str">
        <f aca="false">
IF($D440="정상",INDEX(임대자산!$D$3:$R$3000,MATCH($F440,임대자산!$I$3:$I$3000,0),MATCH(I$4,임대자산!$D$3:$R$3,0)),
IF($D440="폐업",INDEX(폐업정보!$D$3:$R$3000,MATCH($F440,폐업정보!$I$3:$I$3000,0),MATCH(I$4,폐업정보!$D$3:$R$3,0)),
"Error"))</f>
        <v>A0435</v>
      </c>
      <c r="J440" s="75" t="str">
        <f aca="false">
IF($D440="정상",INDEX(임대자산!$D$3:$R$3000,MATCH($F440,임대자산!$I$3:$I$3000,0),MATCH(J$4,임대자산!$D$3:$R$3,0)),
IF($D440="폐업",INDEX(폐업정보!$D$3:$R$3000,MATCH($F440,폐업정보!$I$3:$I$3000,0),MATCH(J$4,폐업정보!$D$3:$R$3,0)),
"Error"))</f>
        <v>7942200000</v>
      </c>
      <c r="K440" s="75" t="str">
        <f aca="false">
IF($D440="정상",INDEX(임대자산!$D$3:$R$3000,MATCH($F440,임대자산!$I$3:$I$3000,0),MATCH(K$4,임대자산!$D$3:$R$3,0)),
IF($D440="폐업",INDEX(폐업정보!$D$3:$R$3000,MATCH($F440,폐업정보!$I$3:$I$3000,0),MATCH(K$4,폐업정보!$D$3:$R$3,0)),
"Error"))</f>
        <v>C0435</v>
      </c>
      <c r="L440" s="75" t="str">
        <f aca="false">
IF($D440="정상",INDEX(임대자산!$D$3:$R$3000,MATCH($F440,임대자산!$I$3:$I$3000,0),MATCH(L$4,임대자산!$D$3:$R$3,0)),
IF($D440="폐업",INDEX(폐업정보!$D$3:$R$3000,MATCH($F440,폐업정보!$I$3:$I$3000,0),MATCH(L$4,폐업정보!$D$3:$R$3,0)),
"Error"))</f>
        <v>D0435</v>
      </c>
      <c r="M440" s="76" t="s">
        <v>96</v>
      </c>
      <c r="N440" s="77"/>
      <c r="O440" s="78" t="s">
        <v>97</v>
      </c>
      <c r="P440" s="79" t="n">
        <f aca="false">COUNTIFS(임대자산!$I:$I,가맹점정보!F440,임대자산!$N:$N,가맹점정보!P$4)</f>
        <v>0</v>
      </c>
      <c r="Q440" s="80" t="n">
        <f aca="false">COUNTIFS(임대자산!$I:$I,가맹점정보!F440,임대자산!$N:$N,가맹점정보!Q$4)</f>
        <v>0</v>
      </c>
      <c r="R440" s="81" t="n">
        <f aca="false">COUNTIFS(임대자산!$I:$I,가맹점정보!F440,임대자산!$N:$N,가맹점정보!R$4)</f>
        <v>1</v>
      </c>
      <c r="S440" s="82" t="n">
        <v>88000</v>
      </c>
      <c r="T440" s="83" t="n">
        <v>0</v>
      </c>
      <c r="U440" s="80" t="n">
        <f aca="false">SUM(S440:T440)</f>
        <v>88000</v>
      </c>
      <c r="V440" s="84" t="s">
        <v>7</v>
      </c>
      <c r="W440" s="80" t="str">
        <f aca="true">
IF(D440="폐업","폐업",
IF(V440="면제","면제",
IF(AND(V440="정상",COUNTIFS(OFFSET(Y440,0,COUNTA(Y440:AV440)-1,1,-4),"미납")&gt;=3),"장기미납",
IF(AND(V440="정상",OFFSET(Y440,0,COUNTA(Y440:AV440)-1)&gt;=U440),"정상",
IF(AND(V440="정상",OFFSET(Y440,0,COUNTA(Y440:AV440)-1)=0),"정상",
"계약서 미작성")))))</f>
        <v>면제</v>
      </c>
      <c r="X440" s="81" t="str">
        <f aca="true">
IF(D440="폐업","폐업",
IF(AND(V440="정상",OFFSET(Y440,0,COUNTA(Y440:AV440)-1)="미납"),"미납",
IF(AND(V440="정상",OFFSET(Y440,0,COUNTA(Y440:AV440)-1)=0),"납부 시작 전",
IF(AND(V440="정상",OFFSET(Y440,0,COUNTA(Y440:AV440)-1)&gt;=U440),"정상",
IF(AND(V440="면제",OFFSET(Y440,0,COUNTA(Y440:AV440)-1)="면제"),"면제",
IF(AND(V440="면제",OFFSET(Y440,0,COUNTA(Y440:AV440)-1)=0),"면제",
"확인요청"))))))</f>
        <v>면제</v>
      </c>
      <c r="Y440" s="94" t="s">
        <v>7</v>
      </c>
      <c r="Z440" s="95" t="s">
        <v>7</v>
      </c>
      <c r="AA440" s="95" t="s">
        <v>7</v>
      </c>
      <c r="AB440" s="95" t="s">
        <v>7</v>
      </c>
      <c r="AC440" s="95" t="s">
        <v>7</v>
      </c>
      <c r="AD440" s="95" t="s">
        <v>7</v>
      </c>
      <c r="AE440" s="95" t="s">
        <v>7</v>
      </c>
      <c r="AF440" s="95" t="s">
        <v>7</v>
      </c>
      <c r="AG440" s="95" t="s">
        <v>7</v>
      </c>
      <c r="AH440" s="95" t="s">
        <v>7</v>
      </c>
      <c r="AI440" s="95" t="s">
        <v>7</v>
      </c>
      <c r="AJ440" s="96" t="s">
        <v>7</v>
      </c>
      <c r="AK440" s="97" t="s">
        <v>7</v>
      </c>
      <c r="AL440" s="95" t="s">
        <v>7</v>
      </c>
      <c r="AM440" s="90"/>
      <c r="AN440" s="90"/>
      <c r="AO440" s="90"/>
      <c r="AP440" s="90"/>
      <c r="AQ440" s="90"/>
      <c r="AR440" s="90"/>
      <c r="AS440" s="90"/>
      <c r="AT440" s="90"/>
      <c r="AU440" s="90"/>
      <c r="AV440" s="91"/>
      <c r="AX440" s="92"/>
    </row>
    <row r="441" customFormat="false" ht="15.65" hidden="false" customHeight="false" outlineLevel="0" collapsed="false">
      <c r="C441" s="72" t="n">
        <f aca="false">COUNTIFS($D$6:D441,"&lt;&gt;"&amp;"")</f>
        <v>436</v>
      </c>
      <c r="D441" s="73" t="s">
        <v>12</v>
      </c>
      <c r="E441" s="76" t="str">
        <f aca="false">
IF($D441="정상",INDEX(임대자산!$D$3:$R$3000,MATCH($F441,임대자산!$I$3:$I$3000,0),MATCH(E$3,임대자산!$D$3:$R$3,0)),
IF($D441="폐업",INDEX(폐업정보!$D$3:$R$3000,MATCH($F441,폐업정보!$I$3:$I$3000,0),MATCH(E$3,폐업정보!$D$3:$R$3,0)),
"Error"))</f>
        <v>경기</v>
      </c>
      <c r="F44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B0436</v>
      </c>
      <c r="G441" s="76" t="str">
        <f aca="false">F441&amp;RANDBETWEEN(0,10)</f>
        <v>B04365</v>
      </c>
      <c r="H441" s="75" t="n">
        <f aca="false">
IF($D441="정상",INDEX(임대자산!$D$3:$R$3000,MATCH($F441,임대자산!$I$3:$I$3000,0),MATCH(H$4,임대자산!$D$3:$R$3,0)),
IF($D441="폐업",INDEX(폐업정보!$D$3:$R$3000,MATCH($F441,폐업정보!$I$3:$I$3000,0),MATCH(H$4,폐업정보!$D$3:$R$3,0)),
"Error"))</f>
        <v>45667</v>
      </c>
      <c r="I441" s="75" t="str">
        <f aca="false">
IF($D441="정상",INDEX(임대자산!$D$3:$R$3000,MATCH($F441,임대자산!$I$3:$I$3000,0),MATCH(I$4,임대자산!$D$3:$R$3,0)),
IF($D441="폐업",INDEX(폐업정보!$D$3:$R$3000,MATCH($F441,폐업정보!$I$3:$I$3000,0),MATCH(I$4,폐업정보!$D$3:$R$3,0)),
"Error"))</f>
        <v>A0436</v>
      </c>
      <c r="J441" s="75" t="str">
        <f aca="false">
IF($D441="정상",INDEX(임대자산!$D$3:$R$3000,MATCH($F441,임대자산!$I$3:$I$3000,0),MATCH(J$4,임대자산!$D$3:$R$3,0)),
IF($D441="폐업",INDEX(폐업정보!$D$3:$R$3000,MATCH($F441,폐업정보!$I$3:$I$3000,0),MATCH(J$4,폐업정보!$D$3:$R$3,0)),
"Error"))</f>
        <v>5836900000</v>
      </c>
      <c r="K441" s="75" t="str">
        <f aca="false">
IF($D441="정상",INDEX(임대자산!$D$3:$R$3000,MATCH($F441,임대자산!$I$3:$I$3000,0),MATCH(K$4,임대자산!$D$3:$R$3,0)),
IF($D441="폐업",INDEX(폐업정보!$D$3:$R$3000,MATCH($F441,폐업정보!$I$3:$I$3000,0),MATCH(K$4,폐업정보!$D$3:$R$3,0)),
"Error"))</f>
        <v>C0436</v>
      </c>
      <c r="L441" s="75" t="str">
        <f aca="false">
IF($D441="정상",INDEX(임대자산!$D$3:$R$3000,MATCH($F441,임대자산!$I$3:$I$3000,0),MATCH(L$4,임대자산!$D$3:$R$3,0)),
IF($D441="폐업",INDEX(폐업정보!$D$3:$R$3000,MATCH($F441,폐업정보!$I$3:$I$3000,0),MATCH(L$4,폐업정보!$D$3:$R$3,0)),
"Error"))</f>
        <v>D0436</v>
      </c>
      <c r="M441" s="76" t="s">
        <v>96</v>
      </c>
      <c r="N441" s="77"/>
      <c r="O441" s="78" t="s">
        <v>97</v>
      </c>
      <c r="P441" s="79" t="n">
        <f aca="false">COUNTIFS(임대자산!$I:$I,가맹점정보!F441,임대자산!$N:$N,가맹점정보!P$4)</f>
        <v>0</v>
      </c>
      <c r="Q441" s="80" t="n">
        <f aca="false">COUNTIFS(임대자산!$I:$I,가맹점정보!F441,임대자산!$N:$N,가맹점정보!Q$4)</f>
        <v>0</v>
      </c>
      <c r="R441" s="81" t="n">
        <f aca="false">COUNTIFS(임대자산!$I:$I,가맹점정보!F441,임대자산!$N:$N,가맹점정보!R$4)</f>
        <v>1</v>
      </c>
      <c r="S441" s="82" t="n">
        <v>88000</v>
      </c>
      <c r="T441" s="83" t="n">
        <v>0</v>
      </c>
      <c r="U441" s="80" t="n">
        <f aca="false">SUM(S441:T441)</f>
        <v>88000</v>
      </c>
      <c r="V441" s="84" t="s">
        <v>7</v>
      </c>
      <c r="W441" s="80" t="str">
        <f aca="true">
IF(D441="폐업","폐업",
IF(V441="면제","면제",
IF(AND(V441="정상",COUNTIFS(OFFSET(Y441,0,COUNTA(Y441:AV441)-1,1,-4),"미납")&gt;=3),"장기미납",
IF(AND(V441="정상",OFFSET(Y441,0,COUNTA(Y441:AV441)-1)&gt;=U441),"정상",
IF(AND(V441="정상",OFFSET(Y441,0,COUNTA(Y441:AV441)-1)=0),"정상",
"계약서 미작성")))))</f>
        <v>면제</v>
      </c>
      <c r="X441" s="81" t="str">
        <f aca="true">
IF(D441="폐업","폐업",
IF(AND(V441="정상",OFFSET(Y441,0,COUNTA(Y441:AV441)-1)="미납"),"미납",
IF(AND(V441="정상",OFFSET(Y441,0,COUNTA(Y441:AV441)-1)=0),"납부 시작 전",
IF(AND(V441="정상",OFFSET(Y441,0,COUNTA(Y441:AV441)-1)&gt;=U441),"정상",
IF(AND(V441="면제",OFFSET(Y441,0,COUNTA(Y441:AV441)-1)="면제"),"면제",
IF(AND(V441="면제",OFFSET(Y441,0,COUNTA(Y441:AV441)-1)=0),"면제",
"확인요청"))))))</f>
        <v>면제</v>
      </c>
      <c r="Y441" s="94" t="s">
        <v>7</v>
      </c>
      <c r="Z441" s="95" t="s">
        <v>7</v>
      </c>
      <c r="AA441" s="95" t="s">
        <v>7</v>
      </c>
      <c r="AB441" s="95" t="s">
        <v>7</v>
      </c>
      <c r="AC441" s="95" t="s">
        <v>7</v>
      </c>
      <c r="AD441" s="95" t="s">
        <v>7</v>
      </c>
      <c r="AE441" s="95" t="s">
        <v>7</v>
      </c>
      <c r="AF441" s="95" t="s">
        <v>7</v>
      </c>
      <c r="AG441" s="95" t="s">
        <v>7</v>
      </c>
      <c r="AH441" s="95" t="s">
        <v>7</v>
      </c>
      <c r="AI441" s="95" t="s">
        <v>7</v>
      </c>
      <c r="AJ441" s="96" t="s">
        <v>7</v>
      </c>
      <c r="AK441" s="97" t="s">
        <v>7</v>
      </c>
      <c r="AL441" s="95" t="s">
        <v>7</v>
      </c>
      <c r="AM441" s="90"/>
      <c r="AN441" s="90"/>
      <c r="AO441" s="90"/>
      <c r="AP441" s="90"/>
      <c r="AQ441" s="90"/>
      <c r="AR441" s="90"/>
      <c r="AS441" s="90"/>
      <c r="AT441" s="90"/>
      <c r="AU441" s="90"/>
      <c r="AV441" s="91"/>
      <c r="AX441" s="92"/>
    </row>
    <row r="442" customFormat="false" ht="15.65" hidden="false" customHeight="false" outlineLevel="0" collapsed="false">
      <c r="C442" s="72" t="n">
        <f aca="false">COUNTIFS($D$6:D442,"&lt;&gt;"&amp;"")</f>
        <v>437</v>
      </c>
      <c r="D442" s="73" t="s">
        <v>12</v>
      </c>
      <c r="E442" s="76" t="str">
        <f aca="false">
IF($D442="정상",INDEX(임대자산!$D$3:$R$3000,MATCH($F442,임대자산!$I$3:$I$3000,0),MATCH(E$3,임대자산!$D$3:$R$3,0)),
IF($D442="폐업",INDEX(폐업정보!$D$3:$R$3000,MATCH($F442,폐업정보!$I$3:$I$3000,0),MATCH(E$3,폐업정보!$D$3:$R$3,0)),
"Error"))</f>
        <v>전라</v>
      </c>
      <c r="F44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B0437</v>
      </c>
      <c r="G442" s="76" t="str">
        <f aca="false">F442&amp;RANDBETWEEN(0,10)</f>
        <v>B04370</v>
      </c>
      <c r="H442" s="75" t="n">
        <f aca="false">
IF($D442="정상",INDEX(임대자산!$D$3:$R$3000,MATCH($F442,임대자산!$I$3:$I$3000,0),MATCH(H$4,임대자산!$D$3:$R$3,0)),
IF($D442="폐업",INDEX(폐업정보!$D$3:$R$3000,MATCH($F442,폐업정보!$I$3:$I$3000,0),MATCH(H$4,폐업정보!$D$3:$R$3,0)),
"Error"))</f>
        <v>45667</v>
      </c>
      <c r="I442" s="75" t="str">
        <f aca="false">
IF($D442="정상",INDEX(임대자산!$D$3:$R$3000,MATCH($F442,임대자산!$I$3:$I$3000,0),MATCH(I$4,임대자산!$D$3:$R$3,0)),
IF($D442="폐업",INDEX(폐업정보!$D$3:$R$3000,MATCH($F442,폐업정보!$I$3:$I$3000,0),MATCH(I$4,폐업정보!$D$3:$R$3,0)),
"Error"))</f>
        <v>A0437</v>
      </c>
      <c r="J442" s="75" t="str">
        <f aca="false">
IF($D442="정상",INDEX(임대자산!$D$3:$R$3000,MATCH($F442,임대자산!$I$3:$I$3000,0),MATCH(J$4,임대자산!$D$3:$R$3,0)),
IF($D442="폐업",INDEX(폐업정보!$D$3:$R$3000,MATCH($F442,폐업정보!$I$3:$I$3000,0),MATCH(J$4,폐업정보!$D$3:$R$3,0)),
"Error"))</f>
        <v>7454000000</v>
      </c>
      <c r="K442" s="75" t="str">
        <f aca="false">
IF($D442="정상",INDEX(임대자산!$D$3:$R$3000,MATCH($F442,임대자산!$I$3:$I$3000,0),MATCH(K$4,임대자산!$D$3:$R$3,0)),
IF($D442="폐업",INDEX(폐업정보!$D$3:$R$3000,MATCH($F442,폐업정보!$I$3:$I$3000,0),MATCH(K$4,폐업정보!$D$3:$R$3,0)),
"Error"))</f>
        <v>C0437</v>
      </c>
      <c r="L442" s="75" t="str">
        <f aca="false">
IF($D442="정상",INDEX(임대자산!$D$3:$R$3000,MATCH($F442,임대자산!$I$3:$I$3000,0),MATCH(L$4,임대자산!$D$3:$R$3,0)),
IF($D442="폐업",INDEX(폐업정보!$D$3:$R$3000,MATCH($F442,폐업정보!$I$3:$I$3000,0),MATCH(L$4,폐업정보!$D$3:$R$3,0)),
"Error"))</f>
        <v>D0437</v>
      </c>
      <c r="M442" s="76" t="s">
        <v>96</v>
      </c>
      <c r="N442" s="77"/>
      <c r="O442" s="78" t="s">
        <v>97</v>
      </c>
      <c r="P442" s="79" t="n">
        <f aca="false">COUNTIFS(임대자산!$I:$I,가맹점정보!F442,임대자산!$N:$N,가맹점정보!P$4)</f>
        <v>0</v>
      </c>
      <c r="Q442" s="80" t="n">
        <f aca="false">COUNTIFS(임대자산!$I:$I,가맹점정보!F442,임대자산!$N:$N,가맹점정보!Q$4)</f>
        <v>0</v>
      </c>
      <c r="R442" s="81" t="n">
        <f aca="false">COUNTIFS(임대자산!$I:$I,가맹점정보!F442,임대자산!$N:$N,가맹점정보!R$4)</f>
        <v>1</v>
      </c>
      <c r="S442" s="82" t="n">
        <v>110000</v>
      </c>
      <c r="T442" s="83" t="n">
        <v>0</v>
      </c>
      <c r="U442" s="80" t="n">
        <f aca="false">SUM(S442:T442)</f>
        <v>110000</v>
      </c>
      <c r="V442" s="84" t="s">
        <v>12</v>
      </c>
      <c r="W442" s="80" t="e">
        <f aca="true">
IF(D442="폐업","폐업",
IF(V442="면제","면제",
IF(AND(V442="정상",COUNTIFS(OFFSET(Y442,0,COUNTA(Y442:AV442)-1,1,-4),"미납")&gt;=3),"장기미납",
IF(AND(V442="정상",OFFSET(Y442,0,COUNTA(Y442:AV442)-1)&gt;=U442),"정상",
IF(AND(V442="정상",OFFSET(Y442,0,COUNTA(Y442:AV442)-1)=0),"정상",
"계약서 미작성")))))</f>
        <v>#VALUE!</v>
      </c>
      <c r="X442" s="81" t="str">
        <f aca="true">
IF(D442="폐업","폐업",
IF(AND(V442="정상",OFFSET(Y442,0,COUNTA(Y442:AV442)-1)="미납"),"미납",
IF(AND(V442="정상",OFFSET(Y442,0,COUNTA(Y442:AV442)-1)=0),"납부 시작 전",
IF(AND(V442="정상",OFFSET(Y442,0,COUNTA(Y442:AV442)-1)&gt;=U442),"정상",
IF(AND(V442="면제",OFFSET(Y442,0,COUNTA(Y442:AV442)-1)="면제"),"면제",
IF(AND(V442="면제",OFFSET(Y442,0,COUNTA(Y442:AV442)-1)=0),"면제",
"확인요청"))))))</f>
        <v>정상</v>
      </c>
      <c r="Y442" s="94" t="s">
        <v>7</v>
      </c>
      <c r="Z442" s="90" t="n">
        <v>110000</v>
      </c>
      <c r="AA442" s="90" t="n">
        <v>110000</v>
      </c>
      <c r="AB442" s="90" t="n">
        <v>110000</v>
      </c>
      <c r="AC442" s="90" t="n">
        <v>110000</v>
      </c>
      <c r="AD442" s="90" t="n">
        <v>110000</v>
      </c>
      <c r="AE442" s="90" t="n">
        <v>110000</v>
      </c>
      <c r="AF442" s="90" t="n">
        <v>110000</v>
      </c>
      <c r="AG442" s="90" t="n">
        <v>110000</v>
      </c>
      <c r="AH442" s="90" t="n">
        <v>110000</v>
      </c>
      <c r="AI442" s="90" t="n">
        <v>110000</v>
      </c>
      <c r="AJ442" s="91" t="n">
        <v>110000</v>
      </c>
      <c r="AK442" s="89" t="n">
        <v>110000</v>
      </c>
      <c r="AL442" s="90" t="n">
        <v>110000</v>
      </c>
      <c r="AM442" s="90"/>
      <c r="AN442" s="90"/>
      <c r="AO442" s="90"/>
      <c r="AP442" s="90"/>
      <c r="AQ442" s="90"/>
      <c r="AR442" s="90"/>
      <c r="AS442" s="90"/>
      <c r="AT442" s="90"/>
      <c r="AU442" s="90"/>
      <c r="AV442" s="91"/>
      <c r="AX442" s="92"/>
    </row>
    <row r="443" customFormat="false" ht="15.65" hidden="false" customHeight="false" outlineLevel="0" collapsed="false">
      <c r="C443" s="72" t="n">
        <f aca="false">COUNTIFS($D$6:D443,"&lt;&gt;"&amp;"")</f>
        <v>438</v>
      </c>
      <c r="D443" s="73" t="s">
        <v>12</v>
      </c>
      <c r="E443" s="76" t="str">
        <f aca="false">
IF($D443="정상",INDEX(임대자산!$D$3:$R$3000,MATCH($F443,임대자산!$I$3:$I$3000,0),MATCH(E$3,임대자산!$D$3:$R$3,0)),
IF($D443="폐업",INDEX(폐업정보!$D$3:$R$3000,MATCH($F443,폐업정보!$I$3:$I$3000,0),MATCH(E$3,폐업정보!$D$3:$R$3,0)),
"Error"))</f>
        <v>경상</v>
      </c>
      <c r="F44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B0438</v>
      </c>
      <c r="G443" s="76" t="str">
        <f aca="false">F443&amp;RANDBETWEEN(0,10)</f>
        <v>B043810</v>
      </c>
      <c r="H443" s="75" t="n">
        <f aca="false">
IF($D443="정상",INDEX(임대자산!$D$3:$R$3000,MATCH($F443,임대자산!$I$3:$I$3000,0),MATCH(H$4,임대자산!$D$3:$R$3,0)),
IF($D443="폐업",INDEX(폐업정보!$D$3:$R$3000,MATCH($F443,폐업정보!$I$3:$I$3000,0),MATCH(H$4,폐업정보!$D$3:$R$3,0)),
"Error"))</f>
        <v>45665</v>
      </c>
      <c r="I443" s="75" t="str">
        <f aca="false">
IF($D443="정상",INDEX(임대자산!$D$3:$R$3000,MATCH($F443,임대자산!$I$3:$I$3000,0),MATCH(I$4,임대자산!$D$3:$R$3,0)),
IF($D443="폐업",INDEX(폐업정보!$D$3:$R$3000,MATCH($F443,폐업정보!$I$3:$I$3000,0),MATCH(I$4,폐업정보!$D$3:$R$3,0)),
"Error"))</f>
        <v>A0438</v>
      </c>
      <c r="J443" s="75" t="str">
        <f aca="false">
IF($D443="정상",INDEX(임대자산!$D$3:$R$3000,MATCH($F443,임대자산!$I$3:$I$3000,0),MATCH(J$4,임대자산!$D$3:$R$3,0)),
IF($D443="폐업",INDEX(폐업정보!$D$3:$R$3000,MATCH($F443,폐업정보!$I$3:$I$3000,0),MATCH(J$4,폐업정보!$D$3:$R$3,0)),
"Error"))</f>
        <v>4658700000</v>
      </c>
      <c r="K443" s="75" t="str">
        <f aca="false">
IF($D443="정상",INDEX(임대자산!$D$3:$R$3000,MATCH($F443,임대자산!$I$3:$I$3000,0),MATCH(K$4,임대자산!$D$3:$R$3,0)),
IF($D443="폐업",INDEX(폐업정보!$D$3:$R$3000,MATCH($F443,폐업정보!$I$3:$I$3000,0),MATCH(K$4,폐업정보!$D$3:$R$3,0)),
"Error"))</f>
        <v>C0438</v>
      </c>
      <c r="L443" s="75" t="str">
        <f aca="false">
IF($D443="정상",INDEX(임대자산!$D$3:$R$3000,MATCH($F443,임대자산!$I$3:$I$3000,0),MATCH(L$4,임대자산!$D$3:$R$3,0)),
IF($D443="폐업",INDEX(폐업정보!$D$3:$R$3000,MATCH($F443,폐업정보!$I$3:$I$3000,0),MATCH(L$4,폐업정보!$D$3:$R$3,0)),
"Error"))</f>
        <v>D0438</v>
      </c>
      <c r="M443" s="76" t="s">
        <v>96</v>
      </c>
      <c r="N443" s="77"/>
      <c r="O443" s="78" t="s">
        <v>97</v>
      </c>
      <c r="P443" s="79" t="n">
        <f aca="false">COUNTIFS(임대자산!$I:$I,가맹점정보!F443,임대자산!$N:$N,가맹점정보!P$4)</f>
        <v>0</v>
      </c>
      <c r="Q443" s="80" t="n">
        <f aca="false">COUNTIFS(임대자산!$I:$I,가맹점정보!F443,임대자산!$N:$N,가맹점정보!Q$4)</f>
        <v>0</v>
      </c>
      <c r="R443" s="81" t="n">
        <f aca="false">COUNTIFS(임대자산!$I:$I,가맹점정보!F443,임대자산!$N:$N,가맹점정보!R$4)</f>
        <v>1</v>
      </c>
      <c r="S443" s="82" t="n">
        <v>55000</v>
      </c>
      <c r="T443" s="83" t="n">
        <v>0</v>
      </c>
      <c r="U443" s="80" t="n">
        <f aca="false">SUM(S443:T443)</f>
        <v>55000</v>
      </c>
      <c r="V443" s="84" t="s">
        <v>12</v>
      </c>
      <c r="W443" s="80" t="e">
        <f aca="true">
IF(D443="폐업","폐업",
IF(V443="면제","면제",
IF(AND(V443="정상",COUNTIFS(OFFSET(Y443,0,COUNTA(Y443:AV443)-1,1,-4),"미납")&gt;=3),"장기미납",
IF(AND(V443="정상",OFFSET(Y443,0,COUNTA(Y443:AV443)-1)&gt;=U443),"정상",
IF(AND(V443="정상",OFFSET(Y443,0,COUNTA(Y443:AV443)-1)=0),"정상",
"계약서 미작성")))))</f>
        <v>#VALUE!</v>
      </c>
      <c r="X443" s="81" t="str">
        <f aca="true">
IF(D443="폐업","폐업",
IF(AND(V443="정상",OFFSET(Y443,0,COUNTA(Y443:AV443)-1)="미납"),"미납",
IF(AND(V443="정상",OFFSET(Y443,0,COUNTA(Y443:AV443)-1)=0),"납부 시작 전",
IF(AND(V443="정상",OFFSET(Y443,0,COUNTA(Y443:AV443)-1)&gt;=U443),"정상",
IF(AND(V443="면제",OFFSET(Y443,0,COUNTA(Y443:AV443)-1)="면제"),"면제",
IF(AND(V443="면제",OFFSET(Y443,0,COUNTA(Y443:AV443)-1)=0),"면제",
"확인요청"))))))</f>
        <v>정상</v>
      </c>
      <c r="Y443" s="93" t="n">
        <v>55000</v>
      </c>
      <c r="Z443" s="90" t="n">
        <v>55000</v>
      </c>
      <c r="AA443" s="90" t="n">
        <v>55000</v>
      </c>
      <c r="AB443" s="90" t="n">
        <v>55000</v>
      </c>
      <c r="AC443" s="90" t="n">
        <v>55000</v>
      </c>
      <c r="AD443" s="90" t="n">
        <v>55000</v>
      </c>
      <c r="AE443" s="90" t="n">
        <v>55000</v>
      </c>
      <c r="AF443" s="90" t="n">
        <v>55000</v>
      </c>
      <c r="AG443" s="90" t="n">
        <v>55000</v>
      </c>
      <c r="AH443" s="90" t="n">
        <v>55000</v>
      </c>
      <c r="AI443" s="90" t="n">
        <v>55000</v>
      </c>
      <c r="AJ443" s="91" t="n">
        <v>55000</v>
      </c>
      <c r="AK443" s="89" t="n">
        <v>55000</v>
      </c>
      <c r="AL443" s="90" t="n">
        <v>55000</v>
      </c>
      <c r="AM443" s="90"/>
      <c r="AN443" s="90"/>
      <c r="AO443" s="90"/>
      <c r="AP443" s="90"/>
      <c r="AQ443" s="90"/>
      <c r="AR443" s="90"/>
      <c r="AS443" s="90"/>
      <c r="AT443" s="90"/>
      <c r="AU443" s="90"/>
      <c r="AV443" s="91"/>
      <c r="AX443" s="92"/>
    </row>
    <row r="444" customFormat="false" ht="15.65" hidden="false" customHeight="false" outlineLevel="0" collapsed="false">
      <c r="C444" s="72" t="n">
        <f aca="false">COUNTIFS($D$6:D444,"&lt;&gt;"&amp;"")</f>
        <v>439</v>
      </c>
      <c r="D444" s="73" t="s">
        <v>12</v>
      </c>
      <c r="E444" s="76" t="str">
        <f aca="false">
IF($D444="정상",INDEX(임대자산!$D$3:$R$3000,MATCH($F444,임대자산!$I$3:$I$3000,0),MATCH(E$3,임대자산!$D$3:$R$3,0)),
IF($D444="폐업",INDEX(폐업정보!$D$3:$R$3000,MATCH($F444,폐업정보!$I$3:$I$3000,0),MATCH(E$3,폐업정보!$D$3:$R$3,0)),
"Error"))</f>
        <v>전라</v>
      </c>
      <c r="F44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B0439</v>
      </c>
      <c r="G444" s="76" t="str">
        <f aca="false">F444&amp;RANDBETWEEN(0,10)</f>
        <v>B04397</v>
      </c>
      <c r="H444" s="75" t="n">
        <f aca="false">
IF($D444="정상",INDEX(임대자산!$D$3:$R$3000,MATCH($F444,임대자산!$I$3:$I$3000,0),MATCH(H$4,임대자산!$D$3:$R$3,0)),
IF($D444="폐업",INDEX(폐업정보!$D$3:$R$3000,MATCH($F444,폐업정보!$I$3:$I$3000,0),MATCH(H$4,폐업정보!$D$3:$R$3,0)),
"Error"))</f>
        <v>45961</v>
      </c>
      <c r="I444" s="75" t="str">
        <f aca="false">
IF($D444="정상",INDEX(임대자산!$D$3:$R$3000,MATCH($F444,임대자산!$I$3:$I$3000,0),MATCH(I$4,임대자산!$D$3:$R$3,0)),
IF($D444="폐업",INDEX(폐업정보!$D$3:$R$3000,MATCH($F444,폐업정보!$I$3:$I$3000,0),MATCH(I$4,폐업정보!$D$3:$R$3,0)),
"Error"))</f>
        <v>A0439</v>
      </c>
      <c r="J444" s="75" t="str">
        <f aca="false">
IF($D444="정상",INDEX(임대자산!$D$3:$R$3000,MATCH($F444,임대자산!$I$3:$I$3000,0),MATCH(J$4,임대자산!$D$3:$R$3,0)),
IF($D444="폐업",INDEX(폐업정보!$D$3:$R$3000,MATCH($F444,폐업정보!$I$3:$I$3000,0),MATCH(J$4,폐업정보!$D$3:$R$3,0)),
"Error"))</f>
        <v>8053100000</v>
      </c>
      <c r="K444" s="75" t="str">
        <f aca="false">
IF($D444="정상",INDEX(임대자산!$D$3:$R$3000,MATCH($F444,임대자산!$I$3:$I$3000,0),MATCH(K$4,임대자산!$D$3:$R$3,0)),
IF($D444="폐업",INDEX(폐업정보!$D$3:$R$3000,MATCH($F444,폐업정보!$I$3:$I$3000,0),MATCH(K$4,폐업정보!$D$3:$R$3,0)),
"Error"))</f>
        <v>C0439</v>
      </c>
      <c r="L444" s="75" t="str">
        <f aca="false">
IF($D444="정상",INDEX(임대자산!$D$3:$R$3000,MATCH($F444,임대자산!$I$3:$I$3000,0),MATCH(L$4,임대자산!$D$3:$R$3,0)),
IF($D444="폐업",INDEX(폐업정보!$D$3:$R$3000,MATCH($F444,폐업정보!$I$3:$I$3000,0),MATCH(L$4,폐업정보!$D$3:$R$3,0)),
"Error"))</f>
        <v>D0439</v>
      </c>
      <c r="M444" s="76" t="s">
        <v>96</v>
      </c>
      <c r="N444" s="77"/>
      <c r="O444" s="78" t="s">
        <v>97</v>
      </c>
      <c r="P444" s="79" t="n">
        <f aca="false">COUNTIFS(임대자산!$I:$I,가맹점정보!F444,임대자산!$N:$N,가맹점정보!P$4)</f>
        <v>0</v>
      </c>
      <c r="Q444" s="80" t="n">
        <f aca="false">COUNTIFS(임대자산!$I:$I,가맹점정보!F444,임대자산!$N:$N,가맹점정보!Q$4)</f>
        <v>0</v>
      </c>
      <c r="R444" s="81" t="n">
        <f aca="false">COUNTIFS(임대자산!$I:$I,가맹점정보!F444,임대자산!$N:$N,가맹점정보!R$4)</f>
        <v>1</v>
      </c>
      <c r="S444" s="82" t="n">
        <v>88000</v>
      </c>
      <c r="T444" s="83" t="n">
        <v>0</v>
      </c>
      <c r="U444" s="80" t="n">
        <f aca="false">SUM(S444:T444)</f>
        <v>88000</v>
      </c>
      <c r="V444" s="84" t="s">
        <v>7</v>
      </c>
      <c r="W444" s="80" t="str">
        <f aca="true">
IF(D444="폐업","폐업",
IF(V444="면제","면제",
IF(AND(V444="정상",COUNTIFS(OFFSET(Y444,0,COUNTA(Y444:AV444)-1,1,-4),"미납")&gt;=3),"장기미납",
IF(AND(V444="정상",OFFSET(Y444,0,COUNTA(Y444:AV444)-1)&gt;=U444),"정상",
IF(AND(V444="정상",OFFSET(Y444,0,COUNTA(Y444:AV444)-1)=0),"정상",
"계약서 미작성")))))</f>
        <v>면제</v>
      </c>
      <c r="X444" s="81" t="str">
        <f aca="true">
IF(D444="폐업","폐업",
IF(AND(V444="정상",OFFSET(Y444,0,COUNTA(Y444:AV444)-1)="미납"),"미납",
IF(AND(V444="정상",OFFSET(Y444,0,COUNTA(Y444:AV444)-1)=0),"납부 시작 전",
IF(AND(V444="정상",OFFSET(Y444,0,COUNTA(Y444:AV444)-1)&gt;=U444),"정상",
IF(AND(V444="면제",OFFSET(Y444,0,COUNTA(Y444:AV444)-1)="면제"),"면제",
IF(AND(V444="면제",OFFSET(Y444,0,COUNTA(Y444:AV444)-1)=0),"면제",
"확인요청"))))))</f>
        <v>면제</v>
      </c>
      <c r="Y444" s="94" t="s">
        <v>7</v>
      </c>
      <c r="Z444" s="95" t="s">
        <v>7</v>
      </c>
      <c r="AA444" s="95" t="s">
        <v>7</v>
      </c>
      <c r="AB444" s="95" t="s">
        <v>7</v>
      </c>
      <c r="AC444" s="95" t="s">
        <v>7</v>
      </c>
      <c r="AD444" s="95" t="s">
        <v>7</v>
      </c>
      <c r="AE444" s="95" t="s">
        <v>7</v>
      </c>
      <c r="AF444" s="95" t="s">
        <v>7</v>
      </c>
      <c r="AG444" s="95" t="s">
        <v>7</v>
      </c>
      <c r="AH444" s="95" t="s">
        <v>7</v>
      </c>
      <c r="AI444" s="95" t="s">
        <v>7</v>
      </c>
      <c r="AJ444" s="96" t="s">
        <v>7</v>
      </c>
      <c r="AK444" s="97" t="s">
        <v>7</v>
      </c>
      <c r="AL444" s="95" t="s">
        <v>7</v>
      </c>
      <c r="AM444" s="90"/>
      <c r="AN444" s="90"/>
      <c r="AO444" s="90"/>
      <c r="AP444" s="90"/>
      <c r="AQ444" s="90"/>
      <c r="AR444" s="90"/>
      <c r="AS444" s="90"/>
      <c r="AT444" s="90"/>
      <c r="AU444" s="90"/>
      <c r="AV444" s="91"/>
      <c r="AX444" s="92"/>
    </row>
    <row r="445" customFormat="false" ht="15.65" hidden="false" customHeight="false" outlineLevel="0" collapsed="false">
      <c r="C445" s="72" t="n">
        <f aca="false">COUNTIFS($D$6:D445,"&lt;&gt;"&amp;"")</f>
        <v>440</v>
      </c>
      <c r="D445" s="73" t="s">
        <v>12</v>
      </c>
      <c r="E445" s="76" t="str">
        <f aca="false">
IF($D445="정상",INDEX(임대자산!$D$3:$R$3000,MATCH($F445,임대자산!$I$3:$I$3000,0),MATCH(E$3,임대자산!$D$3:$R$3,0)),
IF($D445="폐업",INDEX(폐업정보!$D$3:$R$3000,MATCH($F445,폐업정보!$I$3:$I$3000,0),MATCH(E$3,폐업정보!$D$3:$R$3,0)),
"Error"))</f>
        <v>경기</v>
      </c>
      <c r="F44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B0440</v>
      </c>
      <c r="G445" s="76" t="str">
        <f aca="false">F445&amp;RANDBETWEEN(0,10)</f>
        <v>B04404</v>
      </c>
      <c r="H445" s="75" t="n">
        <f aca="false">
IF($D445="정상",INDEX(임대자산!$D$3:$R$3000,MATCH($F445,임대자산!$I$3:$I$3000,0),MATCH(H$4,임대자산!$D$3:$R$3,0)),
IF($D445="폐업",INDEX(폐업정보!$D$3:$R$3000,MATCH($F445,폐업정보!$I$3:$I$3000,0),MATCH(H$4,폐업정보!$D$3:$R$3,0)),
"Error"))</f>
        <v>45677</v>
      </c>
      <c r="I445" s="75" t="str">
        <f aca="false">
IF($D445="정상",INDEX(임대자산!$D$3:$R$3000,MATCH($F445,임대자산!$I$3:$I$3000,0),MATCH(I$4,임대자산!$D$3:$R$3,0)),
IF($D445="폐업",INDEX(폐업정보!$D$3:$R$3000,MATCH($F445,폐업정보!$I$3:$I$3000,0),MATCH(I$4,폐업정보!$D$3:$R$3,0)),
"Error"))</f>
        <v>A0440</v>
      </c>
      <c r="J445" s="75" t="str">
        <f aca="false">
IF($D445="정상",INDEX(임대자산!$D$3:$R$3000,MATCH($F445,임대자산!$I$3:$I$3000,0),MATCH(J$4,임대자산!$D$3:$R$3,0)),
IF($D445="폐업",INDEX(폐업정보!$D$3:$R$3000,MATCH($F445,폐업정보!$I$3:$I$3000,0),MATCH(J$4,폐업정보!$D$3:$R$3,0)),
"Error"))</f>
        <v>1397000000</v>
      </c>
      <c r="K445" s="75" t="str">
        <f aca="false">
IF($D445="정상",INDEX(임대자산!$D$3:$R$3000,MATCH($F445,임대자산!$I$3:$I$3000,0),MATCH(K$4,임대자산!$D$3:$R$3,0)),
IF($D445="폐업",INDEX(폐업정보!$D$3:$R$3000,MATCH($F445,폐업정보!$I$3:$I$3000,0),MATCH(K$4,폐업정보!$D$3:$R$3,0)),
"Error"))</f>
        <v>C0440</v>
      </c>
      <c r="L445" s="75" t="str">
        <f aca="false">
IF($D445="정상",INDEX(임대자산!$D$3:$R$3000,MATCH($F445,임대자산!$I$3:$I$3000,0),MATCH(L$4,임대자산!$D$3:$R$3,0)),
IF($D445="폐업",INDEX(폐업정보!$D$3:$R$3000,MATCH($F445,폐업정보!$I$3:$I$3000,0),MATCH(L$4,폐업정보!$D$3:$R$3,0)),
"Error"))</f>
        <v>D0440</v>
      </c>
      <c r="M445" s="76" t="s">
        <v>96</v>
      </c>
      <c r="N445" s="77"/>
      <c r="O445" s="78" t="s">
        <v>97</v>
      </c>
      <c r="P445" s="79" t="n">
        <f aca="false">COUNTIFS(임대자산!$I:$I,가맹점정보!F445,임대자산!$N:$N,가맹점정보!P$4)</f>
        <v>0</v>
      </c>
      <c r="Q445" s="80" t="n">
        <f aca="false">COUNTIFS(임대자산!$I:$I,가맹점정보!F445,임대자산!$N:$N,가맹점정보!Q$4)</f>
        <v>0</v>
      </c>
      <c r="R445" s="81" t="n">
        <f aca="false">COUNTIFS(임대자산!$I:$I,가맹점정보!F445,임대자산!$N:$N,가맹점정보!R$4)</f>
        <v>1</v>
      </c>
      <c r="S445" s="82" t="n">
        <v>88000</v>
      </c>
      <c r="T445" s="83" t="n">
        <v>0</v>
      </c>
      <c r="U445" s="80" t="n">
        <f aca="false">SUM(S445:T445)</f>
        <v>88000</v>
      </c>
      <c r="V445" s="84" t="s">
        <v>7</v>
      </c>
      <c r="W445" s="80" t="str">
        <f aca="true">
IF(D445="폐업","폐업",
IF(V445="면제","면제",
IF(AND(V445="정상",COUNTIFS(OFFSET(Y445,0,COUNTA(Y445:AV445)-1,1,-4),"미납")&gt;=3),"장기미납",
IF(AND(V445="정상",OFFSET(Y445,0,COUNTA(Y445:AV445)-1)&gt;=U445),"정상",
IF(AND(V445="정상",OFFSET(Y445,0,COUNTA(Y445:AV445)-1)=0),"정상",
"계약서 미작성")))))</f>
        <v>면제</v>
      </c>
      <c r="X445" s="81" t="str">
        <f aca="true">
IF(D445="폐업","폐업",
IF(AND(V445="정상",OFFSET(Y445,0,COUNTA(Y445:AV445)-1)="미납"),"미납",
IF(AND(V445="정상",OFFSET(Y445,0,COUNTA(Y445:AV445)-1)=0),"납부 시작 전",
IF(AND(V445="정상",OFFSET(Y445,0,COUNTA(Y445:AV445)-1)&gt;=U445),"정상",
IF(AND(V445="면제",OFFSET(Y445,0,COUNTA(Y445:AV445)-1)="면제"),"면제",
IF(AND(V445="면제",OFFSET(Y445,0,COUNTA(Y445:AV445)-1)=0),"면제",
"확인요청"))))))</f>
        <v>면제</v>
      </c>
      <c r="Y445" s="94" t="s">
        <v>7</v>
      </c>
      <c r="Z445" s="95" t="s">
        <v>7</v>
      </c>
      <c r="AA445" s="95" t="s">
        <v>7</v>
      </c>
      <c r="AB445" s="95" t="s">
        <v>7</v>
      </c>
      <c r="AC445" s="95" t="s">
        <v>7</v>
      </c>
      <c r="AD445" s="95" t="s">
        <v>7</v>
      </c>
      <c r="AE445" s="95" t="s">
        <v>7</v>
      </c>
      <c r="AF445" s="95" t="s">
        <v>7</v>
      </c>
      <c r="AG445" s="95" t="s">
        <v>7</v>
      </c>
      <c r="AH445" s="95" t="s">
        <v>7</v>
      </c>
      <c r="AI445" s="95" t="s">
        <v>7</v>
      </c>
      <c r="AJ445" s="96" t="s">
        <v>7</v>
      </c>
      <c r="AK445" s="97" t="s">
        <v>7</v>
      </c>
      <c r="AL445" s="95" t="s">
        <v>7</v>
      </c>
      <c r="AM445" s="90"/>
      <c r="AN445" s="90"/>
      <c r="AO445" s="90"/>
      <c r="AP445" s="90"/>
      <c r="AQ445" s="90"/>
      <c r="AR445" s="90"/>
      <c r="AS445" s="90"/>
      <c r="AT445" s="90"/>
      <c r="AU445" s="90"/>
      <c r="AV445" s="91"/>
      <c r="AX445" s="92"/>
    </row>
    <row r="446" customFormat="false" ht="15.65" hidden="false" customHeight="false" outlineLevel="0" collapsed="false">
      <c r="C446" s="72" t="n">
        <f aca="false">COUNTIFS($D$6:D446,"&lt;&gt;"&amp;"")</f>
        <v>441</v>
      </c>
      <c r="D446" s="73" t="s">
        <v>12</v>
      </c>
      <c r="E446" s="76" t="str">
        <f aca="false">
IF($D446="정상",INDEX(임대자산!$D$3:$R$3000,MATCH($F446,임대자산!$I$3:$I$3000,0),MATCH(E$3,임대자산!$D$3:$R$3,0)),
IF($D446="폐업",INDEX(폐업정보!$D$3:$R$3000,MATCH($F446,폐업정보!$I$3:$I$3000,0),MATCH(E$3,폐업정보!$D$3:$R$3,0)),
"Error"))</f>
        <v>서울</v>
      </c>
      <c r="F44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B0441</v>
      </c>
      <c r="G446" s="76" t="str">
        <f aca="false">F446&amp;RANDBETWEEN(0,10)</f>
        <v>B04417</v>
      </c>
      <c r="H446" s="75" t="n">
        <f aca="false">
IF($D446="정상",INDEX(임대자산!$D$3:$R$3000,MATCH($F446,임대자산!$I$3:$I$3000,0),MATCH(H$4,임대자산!$D$3:$R$3,0)),
IF($D446="폐업",INDEX(폐업정보!$D$3:$R$3000,MATCH($F446,폐업정보!$I$3:$I$3000,0),MATCH(H$4,폐업정보!$D$3:$R$3,0)),
"Error"))</f>
        <v>45678</v>
      </c>
      <c r="I446" s="75" t="str">
        <f aca="false">
IF($D446="정상",INDEX(임대자산!$D$3:$R$3000,MATCH($F446,임대자산!$I$3:$I$3000,0),MATCH(I$4,임대자산!$D$3:$R$3,0)),
IF($D446="폐업",INDEX(폐업정보!$D$3:$R$3000,MATCH($F446,폐업정보!$I$3:$I$3000,0),MATCH(I$4,폐업정보!$D$3:$R$3,0)),
"Error"))</f>
        <v>A0441</v>
      </c>
      <c r="J446" s="75" t="str">
        <f aca="false">
IF($D446="정상",INDEX(임대자산!$D$3:$R$3000,MATCH($F446,임대자산!$I$3:$I$3000,0),MATCH(J$4,임대자산!$D$3:$R$3,0)),
IF($D446="폐업",INDEX(폐업정보!$D$3:$R$3000,MATCH($F446,폐업정보!$I$3:$I$3000,0),MATCH(J$4,폐업정보!$D$3:$R$3,0)),
"Error"))</f>
        <v>6245200000</v>
      </c>
      <c r="K446" s="75" t="str">
        <f aca="false">
IF($D446="정상",INDEX(임대자산!$D$3:$R$3000,MATCH($F446,임대자산!$I$3:$I$3000,0),MATCH(K$4,임대자산!$D$3:$R$3,0)),
IF($D446="폐업",INDEX(폐업정보!$D$3:$R$3000,MATCH($F446,폐업정보!$I$3:$I$3000,0),MATCH(K$4,폐업정보!$D$3:$R$3,0)),
"Error"))</f>
        <v>C0441</v>
      </c>
      <c r="L446" s="75" t="str">
        <f aca="false">
IF($D446="정상",INDEX(임대자산!$D$3:$R$3000,MATCH($F446,임대자산!$I$3:$I$3000,0),MATCH(L$4,임대자산!$D$3:$R$3,0)),
IF($D446="폐업",INDEX(폐업정보!$D$3:$R$3000,MATCH($F446,폐업정보!$I$3:$I$3000,0),MATCH(L$4,폐업정보!$D$3:$R$3,0)),
"Error"))</f>
        <v>D0441</v>
      </c>
      <c r="M446" s="76" t="s">
        <v>96</v>
      </c>
      <c r="N446" s="77"/>
      <c r="O446" s="78" t="s">
        <v>97</v>
      </c>
      <c r="P446" s="79" t="n">
        <f aca="false">COUNTIFS(임대자산!$I:$I,가맹점정보!F446,임대자산!$N:$N,가맹점정보!P$4)</f>
        <v>0</v>
      </c>
      <c r="Q446" s="80" t="n">
        <f aca="false">COUNTIFS(임대자산!$I:$I,가맹점정보!F446,임대자산!$N:$N,가맹점정보!Q$4)</f>
        <v>0</v>
      </c>
      <c r="R446" s="81" t="n">
        <f aca="false">COUNTIFS(임대자산!$I:$I,가맹점정보!F446,임대자산!$N:$N,가맹점정보!R$4)</f>
        <v>1</v>
      </c>
      <c r="S446" s="82" t="n">
        <v>55000</v>
      </c>
      <c r="T446" s="83" t="n">
        <v>0</v>
      </c>
      <c r="U446" s="80" t="n">
        <f aca="false">SUM(S446:T446)</f>
        <v>55000</v>
      </c>
      <c r="V446" s="84" t="s">
        <v>12</v>
      </c>
      <c r="W446" s="80" t="e">
        <f aca="true">
IF(D446="폐업","폐업",
IF(V446="면제","면제",
IF(AND(V446="정상",COUNTIFS(OFFSET(Y446,0,COUNTA(Y446:AV446)-1,1,-4),"미납")&gt;=3),"장기미납",
IF(AND(V446="정상",OFFSET(Y446,0,COUNTA(Y446:AV446)-1)&gt;=U446),"정상",
IF(AND(V446="정상",OFFSET(Y446,0,COUNTA(Y446:AV446)-1)=0),"정상",
"계약서 미작성")))))</f>
        <v>#VALUE!</v>
      </c>
      <c r="X446" s="81" t="str">
        <f aca="true">
IF(D446="폐업","폐업",
IF(AND(V446="정상",OFFSET(Y446,0,COUNTA(Y446:AV446)-1)="미납"),"미납",
IF(AND(V446="정상",OFFSET(Y446,0,COUNTA(Y446:AV446)-1)=0),"납부 시작 전",
IF(AND(V446="정상",OFFSET(Y446,0,COUNTA(Y446:AV446)-1)&gt;=U446),"정상",
IF(AND(V446="면제",OFFSET(Y446,0,COUNTA(Y446:AV446)-1)="면제"),"면제",
IF(AND(V446="면제",OFFSET(Y446,0,COUNTA(Y446:AV446)-1)=0),"면제",
"확인요청"))))))</f>
        <v>정상</v>
      </c>
      <c r="Y446" s="93" t="n">
        <v>55000</v>
      </c>
      <c r="Z446" s="90" t="n">
        <v>55000</v>
      </c>
      <c r="AA446" s="90" t="n">
        <v>55000</v>
      </c>
      <c r="AB446" s="90" t="n">
        <v>55000</v>
      </c>
      <c r="AC446" s="90" t="n">
        <v>55000</v>
      </c>
      <c r="AD446" s="90" t="n">
        <v>55000</v>
      </c>
      <c r="AE446" s="90" t="n">
        <v>55000</v>
      </c>
      <c r="AF446" s="90" t="n">
        <v>55000</v>
      </c>
      <c r="AG446" s="90" t="n">
        <v>55000</v>
      </c>
      <c r="AH446" s="90" t="n">
        <v>55000</v>
      </c>
      <c r="AI446" s="90" t="n">
        <v>55000</v>
      </c>
      <c r="AJ446" s="91" t="n">
        <v>55000</v>
      </c>
      <c r="AK446" s="89" t="n">
        <v>55000</v>
      </c>
      <c r="AL446" s="90" t="n">
        <v>55000</v>
      </c>
      <c r="AM446" s="90"/>
      <c r="AN446" s="90"/>
      <c r="AO446" s="90"/>
      <c r="AP446" s="90"/>
      <c r="AQ446" s="90"/>
      <c r="AR446" s="90"/>
      <c r="AS446" s="90"/>
      <c r="AT446" s="90"/>
      <c r="AU446" s="90"/>
      <c r="AV446" s="91"/>
      <c r="AX446" s="92"/>
    </row>
    <row r="447" customFormat="false" ht="15.65" hidden="false" customHeight="false" outlineLevel="0" collapsed="false">
      <c r="C447" s="72" t="n">
        <f aca="false">COUNTIFS($D$6:D447,"&lt;&gt;"&amp;"")</f>
        <v>442</v>
      </c>
      <c r="D447" s="73" t="s">
        <v>12</v>
      </c>
      <c r="E447" s="76" t="str">
        <f aca="false">
IF($D447="정상",INDEX(임대자산!$D$3:$R$3000,MATCH($F447,임대자산!$I$3:$I$3000,0),MATCH(E$3,임대자산!$D$3:$R$3,0)),
IF($D447="폐업",INDEX(폐업정보!$D$3:$R$3000,MATCH($F447,폐업정보!$I$3:$I$3000,0),MATCH(E$3,폐업정보!$D$3:$R$3,0)),
"Error"))</f>
        <v>경상</v>
      </c>
      <c r="F44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B0442</v>
      </c>
      <c r="G447" s="76" t="str">
        <f aca="false">F447&amp;RANDBETWEEN(0,10)</f>
        <v>B04428</v>
      </c>
      <c r="H447" s="75" t="n">
        <f aca="false">
IF($D447="정상",INDEX(임대자산!$D$3:$R$3000,MATCH($F447,임대자산!$I$3:$I$3000,0),MATCH(H$4,임대자산!$D$3:$R$3,0)),
IF($D447="폐업",INDEX(폐업정보!$D$3:$R$3000,MATCH($F447,폐업정보!$I$3:$I$3000,0),MATCH(H$4,폐업정보!$D$3:$R$3,0)),
"Error"))</f>
        <v>45680</v>
      </c>
      <c r="I447" s="75" t="str">
        <f aca="false">
IF($D447="정상",INDEX(임대자산!$D$3:$R$3000,MATCH($F447,임대자산!$I$3:$I$3000,0),MATCH(I$4,임대자산!$D$3:$R$3,0)),
IF($D447="폐업",INDEX(폐업정보!$D$3:$R$3000,MATCH($F447,폐업정보!$I$3:$I$3000,0),MATCH(I$4,폐업정보!$D$3:$R$3,0)),
"Error"))</f>
        <v>A0442</v>
      </c>
      <c r="J447" s="75" t="str">
        <f aca="false">
IF($D447="정상",INDEX(임대자산!$D$3:$R$3000,MATCH($F447,임대자산!$I$3:$I$3000,0),MATCH(J$4,임대자산!$D$3:$R$3,0)),
IF($D447="폐업",INDEX(폐업정보!$D$3:$R$3000,MATCH($F447,폐업정보!$I$3:$I$3000,0),MATCH(J$4,폐업정보!$D$3:$R$3,0)),
"Error"))</f>
        <v>6952100000</v>
      </c>
      <c r="K447" s="75" t="str">
        <f aca="false">
IF($D447="정상",INDEX(임대자산!$D$3:$R$3000,MATCH($F447,임대자산!$I$3:$I$3000,0),MATCH(K$4,임대자산!$D$3:$R$3,0)),
IF($D447="폐업",INDEX(폐업정보!$D$3:$R$3000,MATCH($F447,폐업정보!$I$3:$I$3000,0),MATCH(K$4,폐업정보!$D$3:$R$3,0)),
"Error"))</f>
        <v>C0442</v>
      </c>
      <c r="L447" s="75" t="str">
        <f aca="false">
IF($D447="정상",INDEX(임대자산!$D$3:$R$3000,MATCH($F447,임대자산!$I$3:$I$3000,0),MATCH(L$4,임대자산!$D$3:$R$3,0)),
IF($D447="폐업",INDEX(폐업정보!$D$3:$R$3000,MATCH($F447,폐업정보!$I$3:$I$3000,0),MATCH(L$4,폐업정보!$D$3:$R$3,0)),
"Error"))</f>
        <v>D0442</v>
      </c>
      <c r="M447" s="76" t="s">
        <v>96</v>
      </c>
      <c r="N447" s="77"/>
      <c r="O447" s="78" t="s">
        <v>97</v>
      </c>
      <c r="P447" s="79" t="n">
        <f aca="false">COUNTIFS(임대자산!$I:$I,가맹점정보!F447,임대자산!$N:$N,가맹점정보!P$4)</f>
        <v>0</v>
      </c>
      <c r="Q447" s="80" t="n">
        <f aca="false">COUNTIFS(임대자산!$I:$I,가맹점정보!F447,임대자산!$N:$N,가맹점정보!Q$4)</f>
        <v>0</v>
      </c>
      <c r="R447" s="81" t="n">
        <f aca="false">COUNTIFS(임대자산!$I:$I,가맹점정보!F447,임대자산!$N:$N,가맹점정보!R$4)</f>
        <v>1</v>
      </c>
      <c r="S447" s="82" t="n">
        <v>55000</v>
      </c>
      <c r="T447" s="83" t="n">
        <v>0</v>
      </c>
      <c r="U447" s="80" t="n">
        <f aca="false">SUM(S447:T447)</f>
        <v>55000</v>
      </c>
      <c r="V447" s="84" t="s">
        <v>12</v>
      </c>
      <c r="W447" s="80" t="e">
        <f aca="true">
IF(D447="폐업","폐업",
IF(V447="면제","면제",
IF(AND(V447="정상",COUNTIFS(OFFSET(Y447,0,COUNTA(Y447:AV447)-1,1,-4),"미납")&gt;=3),"장기미납",
IF(AND(V447="정상",OFFSET(Y447,0,COUNTA(Y447:AV447)-1)&gt;=U447),"정상",
IF(AND(V447="정상",OFFSET(Y447,0,COUNTA(Y447:AV447)-1)=0),"정상",
"계약서 미작성")))))</f>
        <v>#VALUE!</v>
      </c>
      <c r="X447" s="81" t="str">
        <f aca="true">
IF(D447="폐업","폐업",
IF(AND(V447="정상",OFFSET(Y447,0,COUNTA(Y447:AV447)-1)="미납"),"미납",
IF(AND(V447="정상",OFFSET(Y447,0,COUNTA(Y447:AV447)-1)=0),"납부 시작 전",
IF(AND(V447="정상",OFFSET(Y447,0,COUNTA(Y447:AV447)-1)&gt;=U447),"정상",
IF(AND(V447="면제",OFFSET(Y447,0,COUNTA(Y447:AV447)-1)="면제"),"면제",
IF(AND(V447="면제",OFFSET(Y447,0,COUNTA(Y447:AV447)-1)=0),"면제",
"확인요청"))))))</f>
        <v>정상</v>
      </c>
      <c r="Y447" s="93" t="n">
        <v>55000</v>
      </c>
      <c r="Z447" s="90" t="n">
        <v>55000</v>
      </c>
      <c r="AA447" s="90" t="n">
        <v>55000</v>
      </c>
      <c r="AB447" s="90" t="n">
        <v>55000</v>
      </c>
      <c r="AC447" s="90" t="n">
        <v>55000</v>
      </c>
      <c r="AD447" s="90" t="n">
        <v>55000</v>
      </c>
      <c r="AE447" s="90" t="n">
        <v>55000</v>
      </c>
      <c r="AF447" s="90" t="n">
        <v>55000</v>
      </c>
      <c r="AG447" s="90" t="n">
        <v>55000</v>
      </c>
      <c r="AH447" s="90" t="n">
        <v>55000</v>
      </c>
      <c r="AI447" s="90" t="n">
        <v>55000</v>
      </c>
      <c r="AJ447" s="91" t="n">
        <v>55000</v>
      </c>
      <c r="AK447" s="89" t="n">
        <v>55000</v>
      </c>
      <c r="AL447" s="90" t="n">
        <v>55000</v>
      </c>
      <c r="AM447" s="90"/>
      <c r="AN447" s="90"/>
      <c r="AO447" s="90"/>
      <c r="AP447" s="90"/>
      <c r="AQ447" s="90"/>
      <c r="AR447" s="90"/>
      <c r="AS447" s="90"/>
      <c r="AT447" s="90"/>
      <c r="AU447" s="90"/>
      <c r="AV447" s="91"/>
      <c r="AX447" s="92"/>
    </row>
    <row r="448" customFormat="false" ht="15.65" hidden="false" customHeight="false" outlineLevel="0" collapsed="false">
      <c r="C448" s="72" t="n">
        <f aca="false">COUNTIFS($D$6:D448,"&lt;&gt;"&amp;"")</f>
        <v>443</v>
      </c>
      <c r="D448" s="73" t="s">
        <v>12</v>
      </c>
      <c r="E448" s="76" t="str">
        <f aca="false">
IF($D448="정상",INDEX(임대자산!$D$3:$R$3000,MATCH($F448,임대자산!$I$3:$I$3000,0),MATCH(E$3,임대자산!$D$3:$R$3,0)),
IF($D448="폐업",INDEX(폐업정보!$D$3:$R$3000,MATCH($F448,폐업정보!$I$3:$I$3000,0),MATCH(E$3,폐업정보!$D$3:$R$3,0)),
"Error"))</f>
        <v>서울</v>
      </c>
      <c r="F44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B0443</v>
      </c>
      <c r="G448" s="76" t="str">
        <f aca="false">F448&amp;RANDBETWEEN(0,10)</f>
        <v>B04439</v>
      </c>
      <c r="H448" s="75" t="n">
        <f aca="false">
IF($D448="정상",INDEX(임대자산!$D$3:$R$3000,MATCH($F448,임대자산!$I$3:$I$3000,0),MATCH(H$4,임대자산!$D$3:$R$3,0)),
IF($D448="폐업",INDEX(폐업정보!$D$3:$R$3000,MATCH($F448,폐업정보!$I$3:$I$3000,0),MATCH(H$4,폐업정보!$D$3:$R$3,0)),
"Error"))</f>
        <v>45695</v>
      </c>
      <c r="I448" s="75" t="str">
        <f aca="false">
IF($D448="정상",INDEX(임대자산!$D$3:$R$3000,MATCH($F448,임대자산!$I$3:$I$3000,0),MATCH(I$4,임대자산!$D$3:$R$3,0)),
IF($D448="폐업",INDEX(폐업정보!$D$3:$R$3000,MATCH($F448,폐업정보!$I$3:$I$3000,0),MATCH(I$4,폐업정보!$D$3:$R$3,0)),
"Error"))</f>
        <v>A0443</v>
      </c>
      <c r="J448" s="75" t="str">
        <f aca="false">
IF($D448="정상",INDEX(임대자산!$D$3:$R$3000,MATCH($F448,임대자산!$I$3:$I$3000,0),MATCH(J$4,임대자산!$D$3:$R$3,0)),
IF($D448="폐업",INDEX(폐업정보!$D$3:$R$3000,MATCH($F448,폐업정보!$I$3:$I$3000,0),MATCH(J$4,폐업정보!$D$3:$R$3,0)),
"Error"))</f>
        <v>8305900000</v>
      </c>
      <c r="K448" s="75" t="str">
        <f aca="false">
IF($D448="정상",INDEX(임대자산!$D$3:$R$3000,MATCH($F448,임대자산!$I$3:$I$3000,0),MATCH(K$4,임대자산!$D$3:$R$3,0)),
IF($D448="폐업",INDEX(폐업정보!$D$3:$R$3000,MATCH($F448,폐업정보!$I$3:$I$3000,0),MATCH(K$4,폐업정보!$D$3:$R$3,0)),
"Error"))</f>
        <v>C0443</v>
      </c>
      <c r="L448" s="75" t="str">
        <f aca="false">
IF($D448="정상",INDEX(임대자산!$D$3:$R$3000,MATCH($F448,임대자산!$I$3:$I$3000,0),MATCH(L$4,임대자산!$D$3:$R$3,0)),
IF($D448="폐업",INDEX(폐업정보!$D$3:$R$3000,MATCH($F448,폐업정보!$I$3:$I$3000,0),MATCH(L$4,폐업정보!$D$3:$R$3,0)),
"Error"))</f>
        <v>D0443</v>
      </c>
      <c r="M448" s="76" t="s">
        <v>96</v>
      </c>
      <c r="N448" s="77"/>
      <c r="O448" s="78" t="s">
        <v>97</v>
      </c>
      <c r="P448" s="79" t="n">
        <f aca="false">COUNTIFS(임대자산!$I:$I,가맹점정보!F448,임대자산!$N:$N,가맹점정보!P$4)</f>
        <v>0</v>
      </c>
      <c r="Q448" s="80" t="n">
        <f aca="false">COUNTIFS(임대자산!$I:$I,가맹점정보!F448,임대자산!$N:$N,가맹점정보!Q$4)</f>
        <v>0</v>
      </c>
      <c r="R448" s="81" t="n">
        <f aca="false">COUNTIFS(임대자산!$I:$I,가맹점정보!F448,임대자산!$N:$N,가맹점정보!R$4)</f>
        <v>1</v>
      </c>
      <c r="S448" s="82" t="n">
        <v>55000</v>
      </c>
      <c r="T448" s="83" t="n">
        <v>0</v>
      </c>
      <c r="U448" s="80" t="n">
        <f aca="false">SUM(S448:T448)</f>
        <v>55000</v>
      </c>
      <c r="V448" s="84" t="s">
        <v>7</v>
      </c>
      <c r="W448" s="80" t="str">
        <f aca="true">
IF(D448="폐업","폐업",
IF(V448="면제","면제",
IF(AND(V448="정상",COUNTIFS(OFFSET(Y448,0,COUNTA(Y448:AV448)-1,1,-4),"미납")&gt;=3),"장기미납",
IF(AND(V448="정상",OFFSET(Y448,0,COUNTA(Y448:AV448)-1)&gt;=U448),"정상",
IF(AND(V448="정상",OFFSET(Y448,0,COUNTA(Y448:AV448)-1)=0),"정상",
"계약서 미작성")))))</f>
        <v>면제</v>
      </c>
      <c r="X448" s="81" t="str">
        <f aca="true">
IF(D448="폐업","폐업",
IF(AND(V448="정상",OFFSET(Y448,0,COUNTA(Y448:AV448)-1)="미납"),"미납",
IF(AND(V448="정상",OFFSET(Y448,0,COUNTA(Y448:AV448)-1)=0),"납부 시작 전",
IF(AND(V448="정상",OFFSET(Y448,0,COUNTA(Y448:AV448)-1)&gt;=U448),"정상",
IF(AND(V448="면제",OFFSET(Y448,0,COUNTA(Y448:AV448)-1)="면제"),"면제",
IF(AND(V448="면제",OFFSET(Y448,0,COUNTA(Y448:AV448)-1)=0),"면제",
"확인요청"))))))</f>
        <v>면제</v>
      </c>
      <c r="Y448" s="94" t="s">
        <v>7</v>
      </c>
      <c r="Z448" s="95" t="s">
        <v>7</v>
      </c>
      <c r="AA448" s="95" t="s">
        <v>7</v>
      </c>
      <c r="AB448" s="95" t="s">
        <v>7</v>
      </c>
      <c r="AC448" s="95" t="s">
        <v>7</v>
      </c>
      <c r="AD448" s="95" t="s">
        <v>7</v>
      </c>
      <c r="AE448" s="95" t="s">
        <v>7</v>
      </c>
      <c r="AF448" s="95" t="s">
        <v>7</v>
      </c>
      <c r="AG448" s="95" t="s">
        <v>7</v>
      </c>
      <c r="AH448" s="95" t="s">
        <v>7</v>
      </c>
      <c r="AI448" s="95" t="s">
        <v>7</v>
      </c>
      <c r="AJ448" s="96" t="s">
        <v>7</v>
      </c>
      <c r="AK448" s="97" t="s">
        <v>7</v>
      </c>
      <c r="AL448" s="95" t="s">
        <v>7</v>
      </c>
      <c r="AM448" s="90"/>
      <c r="AN448" s="90"/>
      <c r="AO448" s="90"/>
      <c r="AP448" s="90"/>
      <c r="AQ448" s="90"/>
      <c r="AR448" s="90"/>
      <c r="AS448" s="90"/>
      <c r="AT448" s="90"/>
      <c r="AU448" s="90"/>
      <c r="AV448" s="91"/>
      <c r="AX448" s="92"/>
    </row>
    <row r="449" customFormat="false" ht="15.65" hidden="false" customHeight="false" outlineLevel="0" collapsed="false">
      <c r="C449" s="72" t="n">
        <f aca="false">COUNTIFS($D$6:D449,"&lt;&gt;"&amp;"")</f>
        <v>444</v>
      </c>
      <c r="D449" s="73" t="s">
        <v>12</v>
      </c>
      <c r="E449" s="76" t="str">
        <f aca="false">
IF($D449="정상",INDEX(임대자산!$D$3:$R$3000,MATCH($F449,임대자산!$I$3:$I$3000,0),MATCH(E$3,임대자산!$D$3:$R$3,0)),
IF($D449="폐업",INDEX(폐업정보!$D$3:$R$3000,MATCH($F449,폐업정보!$I$3:$I$3000,0),MATCH(E$3,폐업정보!$D$3:$R$3,0)),
"Error"))</f>
        <v>경상</v>
      </c>
      <c r="F44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B0444</v>
      </c>
      <c r="G449" s="76" t="str">
        <f aca="false">F449&amp;RANDBETWEEN(0,10)</f>
        <v>B04449</v>
      </c>
      <c r="H449" s="75" t="n">
        <f aca="false">
IF($D449="정상",INDEX(임대자산!$D$3:$R$3000,MATCH($F449,임대자산!$I$3:$I$3000,0),MATCH(H$4,임대자산!$D$3:$R$3,0)),
IF($D449="폐업",INDEX(폐업정보!$D$3:$R$3000,MATCH($F449,폐업정보!$I$3:$I$3000,0),MATCH(H$4,폐업정보!$D$3:$R$3,0)),
"Error"))</f>
        <v>45692</v>
      </c>
      <c r="I449" s="75" t="str">
        <f aca="false">
IF($D449="정상",INDEX(임대자산!$D$3:$R$3000,MATCH($F449,임대자산!$I$3:$I$3000,0),MATCH(I$4,임대자산!$D$3:$R$3,0)),
IF($D449="폐업",INDEX(폐업정보!$D$3:$R$3000,MATCH($F449,폐업정보!$I$3:$I$3000,0),MATCH(I$4,폐업정보!$D$3:$R$3,0)),
"Error"))</f>
        <v>A0444</v>
      </c>
      <c r="J449" s="75" t="str">
        <f aca="false">
IF($D449="정상",INDEX(임대자산!$D$3:$R$3000,MATCH($F449,임대자산!$I$3:$I$3000,0),MATCH(J$4,임대자산!$D$3:$R$3,0)),
IF($D449="폐업",INDEX(폐업정보!$D$3:$R$3000,MATCH($F449,폐업정보!$I$3:$I$3000,0),MATCH(J$4,폐업정보!$D$3:$R$3,0)),
"Error"))</f>
        <v>6815300000</v>
      </c>
      <c r="K449" s="75" t="str">
        <f aca="false">
IF($D449="정상",INDEX(임대자산!$D$3:$R$3000,MATCH($F449,임대자산!$I$3:$I$3000,0),MATCH(K$4,임대자산!$D$3:$R$3,0)),
IF($D449="폐업",INDEX(폐업정보!$D$3:$R$3000,MATCH($F449,폐업정보!$I$3:$I$3000,0),MATCH(K$4,폐업정보!$D$3:$R$3,0)),
"Error"))</f>
        <v>C0444</v>
      </c>
      <c r="L449" s="75" t="str">
        <f aca="false">
IF($D449="정상",INDEX(임대자산!$D$3:$R$3000,MATCH($F449,임대자산!$I$3:$I$3000,0),MATCH(L$4,임대자산!$D$3:$R$3,0)),
IF($D449="폐업",INDEX(폐업정보!$D$3:$R$3000,MATCH($F449,폐업정보!$I$3:$I$3000,0),MATCH(L$4,폐업정보!$D$3:$R$3,0)),
"Error"))</f>
        <v>D0444</v>
      </c>
      <c r="M449" s="76" t="s">
        <v>96</v>
      </c>
      <c r="N449" s="77"/>
      <c r="O449" s="78" t="s">
        <v>97</v>
      </c>
      <c r="P449" s="79" t="n">
        <f aca="false">COUNTIFS(임대자산!$I:$I,가맹점정보!F449,임대자산!$N:$N,가맹점정보!P$4)</f>
        <v>0</v>
      </c>
      <c r="Q449" s="80" t="n">
        <f aca="false">COUNTIFS(임대자산!$I:$I,가맹점정보!F449,임대자산!$N:$N,가맹점정보!Q$4)</f>
        <v>0</v>
      </c>
      <c r="R449" s="81" t="n">
        <f aca="false">COUNTIFS(임대자산!$I:$I,가맹점정보!F449,임대자산!$N:$N,가맹점정보!R$4)</f>
        <v>1</v>
      </c>
      <c r="S449" s="82" t="n">
        <v>55000</v>
      </c>
      <c r="T449" s="83" t="n">
        <v>0</v>
      </c>
      <c r="U449" s="80" t="n">
        <f aca="false">SUM(S449:T449)</f>
        <v>55000</v>
      </c>
      <c r="V449" s="84" t="s">
        <v>12</v>
      </c>
      <c r="W449" s="80" t="e">
        <f aca="true">
IF(D449="폐업","폐업",
IF(V449="면제","면제",
IF(AND(V449="정상",COUNTIFS(OFFSET(Y449,0,COUNTA(Y449:AV449)-1,1,-4),"미납")&gt;=3),"장기미납",
IF(AND(V449="정상",OFFSET(Y449,0,COUNTA(Y449:AV449)-1)&gt;=U449),"정상",
IF(AND(V449="정상",OFFSET(Y449,0,COUNTA(Y449:AV449)-1)=0),"정상",
"계약서 미작성")))))</f>
        <v>#VALUE!</v>
      </c>
      <c r="X449" s="81" t="str">
        <f aca="true">
IF(D449="폐업","폐업",
IF(AND(V449="정상",OFFSET(Y449,0,COUNTA(Y449:AV449)-1)="미납"),"미납",
IF(AND(V449="정상",OFFSET(Y449,0,COUNTA(Y449:AV449)-1)=0),"납부 시작 전",
IF(AND(V449="정상",OFFSET(Y449,0,COUNTA(Y449:AV449)-1)&gt;=U449),"정상",
IF(AND(V449="면제",OFFSET(Y449,0,COUNTA(Y449:AV449)-1)="면제"),"면제",
IF(AND(V449="면제",OFFSET(Y449,0,COUNTA(Y449:AV449)-1)=0),"면제",
"확인요청"))))))</f>
        <v>정상</v>
      </c>
      <c r="Y449" s="93" t="n">
        <v>55000</v>
      </c>
      <c r="Z449" s="90" t="n">
        <v>55000</v>
      </c>
      <c r="AA449" s="90" t="n">
        <v>55000</v>
      </c>
      <c r="AB449" s="90" t="n">
        <v>55000</v>
      </c>
      <c r="AC449" s="90" t="n">
        <v>55000</v>
      </c>
      <c r="AD449" s="90" t="n">
        <v>55000</v>
      </c>
      <c r="AE449" s="90" t="n">
        <v>55000</v>
      </c>
      <c r="AF449" s="90" t="n">
        <v>55000</v>
      </c>
      <c r="AG449" s="90" t="n">
        <v>55000</v>
      </c>
      <c r="AH449" s="90" t="n">
        <v>55000</v>
      </c>
      <c r="AI449" s="90" t="n">
        <v>55000</v>
      </c>
      <c r="AJ449" s="91" t="n">
        <v>55000</v>
      </c>
      <c r="AK449" s="89" t="n">
        <v>55000</v>
      </c>
      <c r="AL449" s="90" t="n">
        <v>55000</v>
      </c>
      <c r="AM449" s="90"/>
      <c r="AN449" s="90"/>
      <c r="AO449" s="90"/>
      <c r="AP449" s="90"/>
      <c r="AQ449" s="90"/>
      <c r="AR449" s="90"/>
      <c r="AS449" s="90"/>
      <c r="AT449" s="90"/>
      <c r="AU449" s="90"/>
      <c r="AV449" s="91"/>
      <c r="AX449" s="92"/>
    </row>
    <row r="450" customFormat="false" ht="15.65" hidden="false" customHeight="false" outlineLevel="0" collapsed="false">
      <c r="C450" s="72" t="n">
        <f aca="false">COUNTIFS($D$6:D450,"&lt;&gt;"&amp;"")</f>
        <v>445</v>
      </c>
      <c r="D450" s="73" t="s">
        <v>12</v>
      </c>
      <c r="E450" s="76" t="str">
        <f aca="false">
IF($D450="정상",INDEX(임대자산!$D$3:$R$3000,MATCH($F450,임대자산!$I$3:$I$3000,0),MATCH(E$3,임대자산!$D$3:$R$3,0)),
IF($D450="폐업",INDEX(폐업정보!$D$3:$R$3000,MATCH($F450,폐업정보!$I$3:$I$3000,0),MATCH(E$3,폐업정보!$D$3:$R$3,0)),
"Error"))</f>
        <v>경기</v>
      </c>
      <c r="F45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B0445</v>
      </c>
      <c r="G450" s="76" t="str">
        <f aca="false">F450&amp;RANDBETWEEN(0,10)</f>
        <v>B04453</v>
      </c>
      <c r="H450" s="75" t="n">
        <f aca="false">
IF($D450="정상",INDEX(임대자산!$D$3:$R$3000,MATCH($F450,임대자산!$I$3:$I$3000,0),MATCH(H$4,임대자산!$D$3:$R$3,0)),
IF($D450="폐업",INDEX(폐업정보!$D$3:$R$3000,MATCH($F450,폐업정보!$I$3:$I$3000,0),MATCH(H$4,폐업정보!$D$3:$R$3,0)),
"Error"))</f>
        <v>45698</v>
      </c>
      <c r="I450" s="75" t="str">
        <f aca="false">
IF($D450="정상",INDEX(임대자산!$D$3:$R$3000,MATCH($F450,임대자산!$I$3:$I$3000,0),MATCH(I$4,임대자산!$D$3:$R$3,0)),
IF($D450="폐업",INDEX(폐업정보!$D$3:$R$3000,MATCH($F450,폐업정보!$I$3:$I$3000,0),MATCH(I$4,폐업정보!$D$3:$R$3,0)),
"Error"))</f>
        <v>A0445</v>
      </c>
      <c r="J450" s="75" t="str">
        <f aca="false">
IF($D450="정상",INDEX(임대자산!$D$3:$R$3000,MATCH($F450,임대자산!$I$3:$I$3000,0),MATCH(J$4,임대자산!$D$3:$R$3,0)),
IF($D450="폐업",INDEX(폐업정보!$D$3:$R$3000,MATCH($F450,폐업정보!$I$3:$I$3000,0),MATCH(J$4,폐업정보!$D$3:$R$3,0)),
"Error"))</f>
        <v>2809100000</v>
      </c>
      <c r="K450" s="75" t="str">
        <f aca="false">
IF($D450="정상",INDEX(임대자산!$D$3:$R$3000,MATCH($F450,임대자산!$I$3:$I$3000,0),MATCH(K$4,임대자산!$D$3:$R$3,0)),
IF($D450="폐업",INDEX(폐업정보!$D$3:$R$3000,MATCH($F450,폐업정보!$I$3:$I$3000,0),MATCH(K$4,폐업정보!$D$3:$R$3,0)),
"Error"))</f>
        <v>C0445</v>
      </c>
      <c r="L450" s="75" t="str">
        <f aca="false">
IF($D450="정상",INDEX(임대자산!$D$3:$R$3000,MATCH($F450,임대자산!$I$3:$I$3000,0),MATCH(L$4,임대자산!$D$3:$R$3,0)),
IF($D450="폐업",INDEX(폐업정보!$D$3:$R$3000,MATCH($F450,폐업정보!$I$3:$I$3000,0),MATCH(L$4,폐업정보!$D$3:$R$3,0)),
"Error"))</f>
        <v>D0445</v>
      </c>
      <c r="M450" s="76" t="s">
        <v>96</v>
      </c>
      <c r="N450" s="77"/>
      <c r="O450" s="78" t="s">
        <v>97</v>
      </c>
      <c r="P450" s="79" t="n">
        <f aca="false">COUNTIFS(임대자산!$I:$I,가맹점정보!F450,임대자산!$N:$N,가맹점정보!P$4)</f>
        <v>0</v>
      </c>
      <c r="Q450" s="80" t="n">
        <f aca="false">COUNTIFS(임대자산!$I:$I,가맹점정보!F450,임대자산!$N:$N,가맹점정보!Q$4)</f>
        <v>0</v>
      </c>
      <c r="R450" s="81" t="n">
        <f aca="false">COUNTIFS(임대자산!$I:$I,가맹점정보!F450,임대자산!$N:$N,가맹점정보!R$4)</f>
        <v>1</v>
      </c>
      <c r="S450" s="82" t="n">
        <v>55000</v>
      </c>
      <c r="T450" s="83" t="n">
        <v>0</v>
      </c>
      <c r="U450" s="80" t="n">
        <f aca="false">SUM(S450:T450)</f>
        <v>55000</v>
      </c>
      <c r="V450" s="84" t="s">
        <v>12</v>
      </c>
      <c r="W450" s="80" t="e">
        <f aca="true">
IF(D450="폐업","폐업",
IF(V450="면제","면제",
IF(AND(V450="정상",COUNTIFS(OFFSET(Y450,0,COUNTA(Y450:AV450)-1,1,-4),"미납")&gt;=3),"장기미납",
IF(AND(V450="정상",OFFSET(Y450,0,COUNTA(Y450:AV450)-1)&gt;=U450),"정상",
IF(AND(V450="정상",OFFSET(Y450,0,COUNTA(Y450:AV450)-1)=0),"정상",
"계약서 미작성")))))</f>
        <v>#VALUE!</v>
      </c>
      <c r="X450" s="81" t="str">
        <f aca="true">
IF(D450="폐업","폐업",
IF(AND(V450="정상",OFFSET(Y450,0,COUNTA(Y450:AV450)-1)="미납"),"미납",
IF(AND(V450="정상",OFFSET(Y450,0,COUNTA(Y450:AV450)-1)=0),"납부 시작 전",
IF(AND(V450="정상",OFFSET(Y450,0,COUNTA(Y450:AV450)-1)&gt;=U450),"정상",
IF(AND(V450="면제",OFFSET(Y450,0,COUNTA(Y450:AV450)-1)="면제"),"면제",
IF(AND(V450="면제",OFFSET(Y450,0,COUNTA(Y450:AV450)-1)=0),"면제",
"확인요청"))))))</f>
        <v>정상</v>
      </c>
      <c r="Y450" s="93" t="n">
        <v>0</v>
      </c>
      <c r="Z450" s="90" t="n">
        <v>0</v>
      </c>
      <c r="AA450" s="90" t="n">
        <v>0</v>
      </c>
      <c r="AB450" s="90" t="n">
        <v>55000</v>
      </c>
      <c r="AC450" s="90" t="n">
        <v>55000</v>
      </c>
      <c r="AD450" s="90" t="n">
        <v>55000</v>
      </c>
      <c r="AE450" s="90" t="n">
        <v>55000</v>
      </c>
      <c r="AF450" s="90" t="n">
        <v>55000</v>
      </c>
      <c r="AG450" s="90" t="n">
        <v>55000</v>
      </c>
      <c r="AH450" s="90" t="n">
        <v>55000</v>
      </c>
      <c r="AI450" s="90" t="n">
        <v>55000</v>
      </c>
      <c r="AJ450" s="91" t="n">
        <v>55000</v>
      </c>
      <c r="AK450" s="89" t="n">
        <v>55000</v>
      </c>
      <c r="AL450" s="90" t="n">
        <v>55000</v>
      </c>
      <c r="AM450" s="90"/>
      <c r="AN450" s="90"/>
      <c r="AO450" s="90"/>
      <c r="AP450" s="90"/>
      <c r="AQ450" s="90"/>
      <c r="AR450" s="90"/>
      <c r="AS450" s="90"/>
      <c r="AT450" s="90"/>
      <c r="AU450" s="90"/>
      <c r="AV450" s="91"/>
      <c r="AX450" s="92"/>
    </row>
    <row r="451" customFormat="false" ht="15.65" hidden="false" customHeight="false" outlineLevel="0" collapsed="false">
      <c r="C451" s="72" t="n">
        <f aca="false">COUNTIFS($D$6:D451,"&lt;&gt;"&amp;"")</f>
        <v>446</v>
      </c>
      <c r="D451" s="73" t="s">
        <v>12</v>
      </c>
      <c r="E451" s="76" t="str">
        <f aca="false">
IF($D451="정상",INDEX(임대자산!$D$3:$R$3000,MATCH($F451,임대자산!$I$3:$I$3000,0),MATCH(E$3,임대자산!$D$3:$R$3,0)),
IF($D451="폐업",INDEX(폐업정보!$D$3:$R$3000,MATCH($F451,폐업정보!$I$3:$I$3000,0),MATCH(E$3,폐업정보!$D$3:$R$3,0)),
"Error"))</f>
        <v>경상</v>
      </c>
      <c r="F45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B0446</v>
      </c>
      <c r="G451" s="76" t="str">
        <f aca="false">F451&amp;RANDBETWEEN(0,10)</f>
        <v>B04468</v>
      </c>
      <c r="H451" s="75" t="n">
        <f aca="false">
IF($D451="정상",INDEX(임대자산!$D$3:$R$3000,MATCH($F451,임대자산!$I$3:$I$3000,0),MATCH(H$4,임대자산!$D$3:$R$3,0)),
IF($D451="폐업",INDEX(폐업정보!$D$3:$R$3000,MATCH($F451,폐업정보!$I$3:$I$3000,0),MATCH(H$4,폐업정보!$D$3:$R$3,0)),
"Error"))</f>
        <v>45706</v>
      </c>
      <c r="I451" s="75" t="str">
        <f aca="false">
IF($D451="정상",INDEX(임대자산!$D$3:$R$3000,MATCH($F451,임대자산!$I$3:$I$3000,0),MATCH(I$4,임대자산!$D$3:$R$3,0)),
IF($D451="폐업",INDEX(폐업정보!$D$3:$R$3000,MATCH($F451,폐업정보!$I$3:$I$3000,0),MATCH(I$4,폐업정보!$D$3:$R$3,0)),
"Error"))</f>
        <v>A0446</v>
      </c>
      <c r="J451" s="75" t="str">
        <f aca="false">
IF($D451="정상",INDEX(임대자산!$D$3:$R$3000,MATCH($F451,임대자산!$I$3:$I$3000,0),MATCH(J$4,임대자산!$D$3:$R$3,0)),
IF($D451="폐업",INDEX(폐업정보!$D$3:$R$3000,MATCH($F451,폐업정보!$I$3:$I$3000,0),MATCH(J$4,폐업정보!$D$3:$R$3,0)),
"Error"))</f>
        <v>5844200000</v>
      </c>
      <c r="K451" s="75" t="str">
        <f aca="false">
IF($D451="정상",INDEX(임대자산!$D$3:$R$3000,MATCH($F451,임대자산!$I$3:$I$3000,0),MATCH(K$4,임대자산!$D$3:$R$3,0)),
IF($D451="폐업",INDEX(폐업정보!$D$3:$R$3000,MATCH($F451,폐업정보!$I$3:$I$3000,0),MATCH(K$4,폐업정보!$D$3:$R$3,0)),
"Error"))</f>
        <v>C0446</v>
      </c>
      <c r="L451" s="75" t="str">
        <f aca="false">
IF($D451="정상",INDEX(임대자산!$D$3:$R$3000,MATCH($F451,임대자산!$I$3:$I$3000,0),MATCH(L$4,임대자산!$D$3:$R$3,0)),
IF($D451="폐업",INDEX(폐업정보!$D$3:$R$3000,MATCH($F451,폐업정보!$I$3:$I$3000,0),MATCH(L$4,폐업정보!$D$3:$R$3,0)),
"Error"))</f>
        <v>D0446</v>
      </c>
      <c r="M451" s="76" t="s">
        <v>96</v>
      </c>
      <c r="N451" s="77"/>
      <c r="O451" s="78" t="s">
        <v>97</v>
      </c>
      <c r="P451" s="79" t="n">
        <f aca="false">COUNTIFS(임대자산!$I:$I,가맹점정보!F451,임대자산!$N:$N,가맹점정보!P$4)</f>
        <v>0</v>
      </c>
      <c r="Q451" s="80" t="n">
        <f aca="false">COUNTIFS(임대자산!$I:$I,가맹점정보!F451,임대자산!$N:$N,가맹점정보!Q$4)</f>
        <v>0</v>
      </c>
      <c r="R451" s="81" t="n">
        <f aca="false">COUNTIFS(임대자산!$I:$I,가맹점정보!F451,임대자산!$N:$N,가맹점정보!R$4)</f>
        <v>1</v>
      </c>
      <c r="S451" s="82" t="n">
        <v>88000</v>
      </c>
      <c r="T451" s="83" t="n">
        <v>0</v>
      </c>
      <c r="U451" s="80" t="n">
        <f aca="false">SUM(S451:T451)</f>
        <v>88000</v>
      </c>
      <c r="V451" s="84" t="s">
        <v>7</v>
      </c>
      <c r="W451" s="80" t="str">
        <f aca="true">
IF(D451="폐업","폐업",
IF(V451="면제","면제",
IF(AND(V451="정상",COUNTIFS(OFFSET(Y451,0,COUNTA(Y451:AV451)-1,1,-4),"미납")&gt;=3),"장기미납",
IF(AND(V451="정상",OFFSET(Y451,0,COUNTA(Y451:AV451)-1)&gt;=U451),"정상",
IF(AND(V451="정상",OFFSET(Y451,0,COUNTA(Y451:AV451)-1)=0),"정상",
"계약서 미작성")))))</f>
        <v>면제</v>
      </c>
      <c r="X451" s="81" t="str">
        <f aca="true">
IF(D451="폐업","폐업",
IF(AND(V451="정상",OFFSET(Y451,0,COUNTA(Y451:AV451)-1)="미납"),"미납",
IF(AND(V451="정상",OFFSET(Y451,0,COUNTA(Y451:AV451)-1)=0),"납부 시작 전",
IF(AND(V451="정상",OFFSET(Y451,0,COUNTA(Y451:AV451)-1)&gt;=U451),"정상",
IF(AND(V451="면제",OFFSET(Y451,0,COUNTA(Y451:AV451)-1)="면제"),"면제",
IF(AND(V451="면제",OFFSET(Y451,0,COUNTA(Y451:AV451)-1)=0),"면제",
"확인요청"))))))</f>
        <v>면제</v>
      </c>
      <c r="Y451" s="94" t="s">
        <v>7</v>
      </c>
      <c r="Z451" s="95" t="s">
        <v>7</v>
      </c>
      <c r="AA451" s="95" t="s">
        <v>7</v>
      </c>
      <c r="AB451" s="95" t="s">
        <v>7</v>
      </c>
      <c r="AC451" s="95" t="s">
        <v>7</v>
      </c>
      <c r="AD451" s="95" t="s">
        <v>7</v>
      </c>
      <c r="AE451" s="95" t="s">
        <v>7</v>
      </c>
      <c r="AF451" s="95" t="s">
        <v>7</v>
      </c>
      <c r="AG451" s="95" t="s">
        <v>7</v>
      </c>
      <c r="AH451" s="95" t="s">
        <v>7</v>
      </c>
      <c r="AI451" s="95" t="s">
        <v>7</v>
      </c>
      <c r="AJ451" s="96" t="s">
        <v>7</v>
      </c>
      <c r="AK451" s="97" t="s">
        <v>7</v>
      </c>
      <c r="AL451" s="95" t="s">
        <v>7</v>
      </c>
      <c r="AM451" s="90"/>
      <c r="AN451" s="90"/>
      <c r="AO451" s="90"/>
      <c r="AP451" s="90"/>
      <c r="AQ451" s="90"/>
      <c r="AR451" s="90"/>
      <c r="AS451" s="90"/>
      <c r="AT451" s="90"/>
      <c r="AU451" s="90"/>
      <c r="AV451" s="91"/>
      <c r="AX451" s="92"/>
    </row>
    <row r="452" customFormat="false" ht="15.65" hidden="false" customHeight="false" outlineLevel="0" collapsed="false">
      <c r="C452" s="72" t="n">
        <f aca="false">COUNTIFS($D$6:D452,"&lt;&gt;"&amp;"")</f>
        <v>447</v>
      </c>
      <c r="D452" s="73" t="s">
        <v>12</v>
      </c>
      <c r="E452" s="76" t="str">
        <f aca="false">
IF($D452="정상",INDEX(임대자산!$D$3:$R$3000,MATCH($F452,임대자산!$I$3:$I$3000,0),MATCH(E$3,임대자산!$D$3:$R$3,0)),
IF($D452="폐업",INDEX(폐업정보!$D$3:$R$3000,MATCH($F452,폐업정보!$I$3:$I$3000,0),MATCH(E$3,폐업정보!$D$3:$R$3,0)),
"Error"))</f>
        <v>경상</v>
      </c>
      <c r="F45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B0447</v>
      </c>
      <c r="G452" s="76" t="str">
        <f aca="false">F452&amp;RANDBETWEEN(0,10)</f>
        <v>B04470</v>
      </c>
      <c r="H452" s="75" t="n">
        <f aca="false">
IF($D452="정상",INDEX(임대자산!$D$3:$R$3000,MATCH($F452,임대자산!$I$3:$I$3000,0),MATCH(H$4,임대자산!$D$3:$R$3,0)),
IF($D452="폐업",INDEX(폐업정보!$D$3:$R$3000,MATCH($F452,폐업정보!$I$3:$I$3000,0),MATCH(H$4,폐업정보!$D$3:$R$3,0)),
"Error"))</f>
        <v>45706</v>
      </c>
      <c r="I452" s="75" t="str">
        <f aca="false">
IF($D452="정상",INDEX(임대자산!$D$3:$R$3000,MATCH($F452,임대자산!$I$3:$I$3000,0),MATCH(I$4,임대자산!$D$3:$R$3,0)),
IF($D452="폐업",INDEX(폐업정보!$D$3:$R$3000,MATCH($F452,폐업정보!$I$3:$I$3000,0),MATCH(I$4,폐업정보!$D$3:$R$3,0)),
"Error"))</f>
        <v>A0447</v>
      </c>
      <c r="J452" s="75" t="str">
        <f aca="false">
IF($D452="정상",INDEX(임대자산!$D$3:$R$3000,MATCH($F452,임대자산!$I$3:$I$3000,0),MATCH(J$4,임대자산!$D$3:$R$3,0)),
IF($D452="폐업",INDEX(폐업정보!$D$3:$R$3000,MATCH($F452,폐업정보!$I$3:$I$3000,0),MATCH(J$4,폐업정보!$D$3:$R$3,0)),
"Error"))</f>
        <v>8848800000</v>
      </c>
      <c r="K452" s="75" t="str">
        <f aca="false">
IF($D452="정상",INDEX(임대자산!$D$3:$R$3000,MATCH($F452,임대자산!$I$3:$I$3000,0),MATCH(K$4,임대자산!$D$3:$R$3,0)),
IF($D452="폐업",INDEX(폐업정보!$D$3:$R$3000,MATCH($F452,폐업정보!$I$3:$I$3000,0),MATCH(K$4,폐업정보!$D$3:$R$3,0)),
"Error"))</f>
        <v>C0447</v>
      </c>
      <c r="L452" s="75" t="str">
        <f aca="false">
IF($D452="정상",INDEX(임대자산!$D$3:$R$3000,MATCH($F452,임대자산!$I$3:$I$3000,0),MATCH(L$4,임대자산!$D$3:$R$3,0)),
IF($D452="폐업",INDEX(폐업정보!$D$3:$R$3000,MATCH($F452,폐업정보!$I$3:$I$3000,0),MATCH(L$4,폐업정보!$D$3:$R$3,0)),
"Error"))</f>
        <v>D0447</v>
      </c>
      <c r="M452" s="76" t="s">
        <v>96</v>
      </c>
      <c r="N452" s="77"/>
      <c r="O452" s="78" t="s">
        <v>97</v>
      </c>
      <c r="P452" s="79" t="n">
        <f aca="false">COUNTIFS(임대자산!$I:$I,가맹점정보!F452,임대자산!$N:$N,가맹점정보!P$4)</f>
        <v>0</v>
      </c>
      <c r="Q452" s="80" t="n">
        <f aca="false">COUNTIFS(임대자산!$I:$I,가맹점정보!F452,임대자산!$N:$N,가맹점정보!Q$4)</f>
        <v>0</v>
      </c>
      <c r="R452" s="81" t="n">
        <f aca="false">COUNTIFS(임대자산!$I:$I,가맹점정보!F452,임대자산!$N:$N,가맹점정보!R$4)</f>
        <v>1</v>
      </c>
      <c r="S452" s="82" t="n">
        <v>55000</v>
      </c>
      <c r="T452" s="83" t="n">
        <v>0</v>
      </c>
      <c r="U452" s="80" t="n">
        <f aca="false">SUM(S452:T452)</f>
        <v>55000</v>
      </c>
      <c r="V452" s="84" t="s">
        <v>7</v>
      </c>
      <c r="W452" s="80" t="str">
        <f aca="true">
IF(D452="폐업","폐업",
IF(V452="면제","면제",
IF(AND(V452="정상",COUNTIFS(OFFSET(Y452,0,COUNTA(Y452:AV452)-1,1,-4),"미납")&gt;=3),"장기미납",
IF(AND(V452="정상",OFFSET(Y452,0,COUNTA(Y452:AV452)-1)&gt;=U452),"정상",
IF(AND(V452="정상",OFFSET(Y452,0,COUNTA(Y452:AV452)-1)=0),"정상",
"계약서 미작성")))))</f>
        <v>면제</v>
      </c>
      <c r="X452" s="81" t="str">
        <f aca="true">
IF(D452="폐업","폐업",
IF(AND(V452="정상",OFFSET(Y452,0,COUNTA(Y452:AV452)-1)="미납"),"미납",
IF(AND(V452="정상",OFFSET(Y452,0,COUNTA(Y452:AV452)-1)=0),"납부 시작 전",
IF(AND(V452="정상",OFFSET(Y452,0,COUNTA(Y452:AV452)-1)&gt;=U452),"정상",
IF(AND(V452="면제",OFFSET(Y452,0,COUNTA(Y452:AV452)-1)="면제"),"면제",
IF(AND(V452="면제",OFFSET(Y452,0,COUNTA(Y452:AV452)-1)=0),"면제",
"확인요청"))))))</f>
        <v>면제</v>
      </c>
      <c r="Y452" s="94" t="s">
        <v>7</v>
      </c>
      <c r="Z452" s="95" t="s">
        <v>7</v>
      </c>
      <c r="AA452" s="95" t="s">
        <v>7</v>
      </c>
      <c r="AB452" s="95" t="s">
        <v>7</v>
      </c>
      <c r="AC452" s="95" t="s">
        <v>7</v>
      </c>
      <c r="AD452" s="95" t="s">
        <v>7</v>
      </c>
      <c r="AE452" s="95" t="s">
        <v>7</v>
      </c>
      <c r="AF452" s="95" t="s">
        <v>7</v>
      </c>
      <c r="AG452" s="95" t="s">
        <v>7</v>
      </c>
      <c r="AH452" s="95" t="s">
        <v>7</v>
      </c>
      <c r="AI452" s="95" t="s">
        <v>7</v>
      </c>
      <c r="AJ452" s="96" t="s">
        <v>7</v>
      </c>
      <c r="AK452" s="97" t="s">
        <v>7</v>
      </c>
      <c r="AL452" s="95" t="s">
        <v>7</v>
      </c>
      <c r="AM452" s="90"/>
      <c r="AN452" s="90"/>
      <c r="AO452" s="90"/>
      <c r="AP452" s="90"/>
      <c r="AQ452" s="90"/>
      <c r="AR452" s="90"/>
      <c r="AS452" s="90"/>
      <c r="AT452" s="90"/>
      <c r="AU452" s="90"/>
      <c r="AV452" s="91"/>
      <c r="AX452" s="92"/>
    </row>
    <row r="453" customFormat="false" ht="15.65" hidden="false" customHeight="false" outlineLevel="0" collapsed="false">
      <c r="C453" s="72" t="n">
        <f aca="false">COUNTIFS($D$6:D453,"&lt;&gt;"&amp;"")</f>
        <v>448</v>
      </c>
      <c r="D453" s="73" t="s">
        <v>12</v>
      </c>
      <c r="E453" s="76" t="str">
        <f aca="false">
IF($D453="정상",INDEX(임대자산!$D$3:$R$3000,MATCH($F453,임대자산!$I$3:$I$3000,0),MATCH(E$3,임대자산!$D$3:$R$3,0)),
IF($D453="폐업",INDEX(폐업정보!$D$3:$R$3000,MATCH($F453,폐업정보!$I$3:$I$3000,0),MATCH(E$3,폐업정보!$D$3:$R$3,0)),
"Error"))</f>
        <v>경상</v>
      </c>
      <c r="F45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B0448</v>
      </c>
      <c r="G453" s="76" t="str">
        <f aca="false">F453&amp;RANDBETWEEN(0,10)</f>
        <v>B044810</v>
      </c>
      <c r="H453" s="75" t="n">
        <f aca="false">
IF($D453="정상",INDEX(임대자산!$D$3:$R$3000,MATCH($F453,임대자산!$I$3:$I$3000,0),MATCH(H$4,임대자산!$D$3:$R$3,0)),
IF($D453="폐업",INDEX(폐업정보!$D$3:$R$3000,MATCH($F453,폐업정보!$I$3:$I$3000,0),MATCH(H$4,폐업정보!$D$3:$R$3,0)),
"Error"))</f>
        <v>45707</v>
      </c>
      <c r="I453" s="75" t="str">
        <f aca="false">
IF($D453="정상",INDEX(임대자산!$D$3:$R$3000,MATCH($F453,임대자산!$I$3:$I$3000,0),MATCH(I$4,임대자산!$D$3:$R$3,0)),
IF($D453="폐업",INDEX(폐업정보!$D$3:$R$3000,MATCH($F453,폐업정보!$I$3:$I$3000,0),MATCH(I$4,폐업정보!$D$3:$R$3,0)),
"Error"))</f>
        <v>A0448</v>
      </c>
      <c r="J453" s="75" t="str">
        <f aca="false">
IF($D453="정상",INDEX(임대자산!$D$3:$R$3000,MATCH($F453,임대자산!$I$3:$I$3000,0),MATCH(J$4,임대자산!$D$3:$R$3,0)),
IF($D453="폐업",INDEX(폐업정보!$D$3:$R$3000,MATCH($F453,폐업정보!$I$3:$I$3000,0),MATCH(J$4,폐업정보!$D$3:$R$3,0)),
"Error"))</f>
        <v>2666900000</v>
      </c>
      <c r="K453" s="75" t="str">
        <f aca="false">
IF($D453="정상",INDEX(임대자산!$D$3:$R$3000,MATCH($F453,임대자산!$I$3:$I$3000,0),MATCH(K$4,임대자산!$D$3:$R$3,0)),
IF($D453="폐업",INDEX(폐업정보!$D$3:$R$3000,MATCH($F453,폐업정보!$I$3:$I$3000,0),MATCH(K$4,폐업정보!$D$3:$R$3,0)),
"Error"))</f>
        <v>C0448</v>
      </c>
      <c r="L453" s="75" t="str">
        <f aca="false">
IF($D453="정상",INDEX(임대자산!$D$3:$R$3000,MATCH($F453,임대자산!$I$3:$I$3000,0),MATCH(L$4,임대자산!$D$3:$R$3,0)),
IF($D453="폐업",INDEX(폐업정보!$D$3:$R$3000,MATCH($F453,폐업정보!$I$3:$I$3000,0),MATCH(L$4,폐업정보!$D$3:$R$3,0)),
"Error"))</f>
        <v>D0448</v>
      </c>
      <c r="M453" s="76" t="s">
        <v>96</v>
      </c>
      <c r="N453" s="77"/>
      <c r="O453" s="78" t="s">
        <v>97</v>
      </c>
      <c r="P453" s="79" t="n">
        <f aca="false">COUNTIFS(임대자산!$I:$I,가맹점정보!F453,임대자산!$N:$N,가맹점정보!P$4)</f>
        <v>0</v>
      </c>
      <c r="Q453" s="80" t="n">
        <f aca="false">COUNTIFS(임대자산!$I:$I,가맹점정보!F453,임대자산!$N:$N,가맹점정보!Q$4)</f>
        <v>0</v>
      </c>
      <c r="R453" s="81" t="n">
        <f aca="false">COUNTIFS(임대자산!$I:$I,가맹점정보!F453,임대자산!$N:$N,가맹점정보!R$4)</f>
        <v>1</v>
      </c>
      <c r="S453" s="82" t="n">
        <v>110000</v>
      </c>
      <c r="T453" s="83" t="n">
        <v>0</v>
      </c>
      <c r="U453" s="80" t="n">
        <f aca="false">SUM(S453:T453)</f>
        <v>110000</v>
      </c>
      <c r="V453" s="84" t="s">
        <v>12</v>
      </c>
      <c r="W453" s="80" t="e">
        <f aca="true">
IF(D453="폐업","폐업",
IF(V453="면제","면제",
IF(AND(V453="정상",COUNTIFS(OFFSET(Y453,0,COUNTA(Y453:AV453)-1,1,-4),"미납")&gt;=3),"장기미납",
IF(AND(V453="정상",OFFSET(Y453,0,COUNTA(Y453:AV453)-1)&gt;=U453),"정상",
IF(AND(V453="정상",OFFSET(Y453,0,COUNTA(Y453:AV453)-1)=0),"정상",
"계약서 미작성")))))</f>
        <v>#VALUE!</v>
      </c>
      <c r="X453" s="81" t="str">
        <f aca="true">
IF(D453="폐업","폐업",
IF(AND(V453="정상",OFFSET(Y453,0,COUNTA(Y453:AV453)-1)="미납"),"미납",
IF(AND(V453="정상",OFFSET(Y453,0,COUNTA(Y453:AV453)-1)=0),"납부 시작 전",
IF(AND(V453="정상",OFFSET(Y453,0,COUNTA(Y453:AV453)-1)&gt;=U453),"정상",
IF(AND(V453="면제",OFFSET(Y453,0,COUNTA(Y453:AV453)-1)="면제"),"면제",
IF(AND(V453="면제",OFFSET(Y453,0,COUNTA(Y453:AV453)-1)=0),"면제",
"확인요청"))))))</f>
        <v>정상</v>
      </c>
      <c r="Y453" s="93" t="n">
        <v>110000</v>
      </c>
      <c r="Z453" s="90" t="n">
        <v>110000</v>
      </c>
      <c r="AA453" s="90" t="n">
        <v>110000</v>
      </c>
      <c r="AB453" s="90" t="n">
        <v>110000</v>
      </c>
      <c r="AC453" s="90" t="n">
        <v>110000</v>
      </c>
      <c r="AD453" s="90" t="n">
        <v>110000</v>
      </c>
      <c r="AE453" s="90" t="n">
        <v>110000</v>
      </c>
      <c r="AF453" s="90" t="n">
        <v>110000</v>
      </c>
      <c r="AG453" s="90" t="n">
        <v>110000</v>
      </c>
      <c r="AH453" s="90" t="n">
        <v>110000</v>
      </c>
      <c r="AI453" s="90" t="n">
        <v>110000</v>
      </c>
      <c r="AJ453" s="91" t="n">
        <v>110000</v>
      </c>
      <c r="AK453" s="89" t="n">
        <v>110000</v>
      </c>
      <c r="AL453" s="90" t="n">
        <v>110000</v>
      </c>
      <c r="AM453" s="90"/>
      <c r="AN453" s="90"/>
      <c r="AO453" s="90"/>
      <c r="AP453" s="90"/>
      <c r="AQ453" s="90"/>
      <c r="AR453" s="90"/>
      <c r="AS453" s="90"/>
      <c r="AT453" s="90"/>
      <c r="AU453" s="90"/>
      <c r="AV453" s="91"/>
      <c r="AX453" s="92"/>
    </row>
    <row r="454" customFormat="false" ht="15.65" hidden="false" customHeight="false" outlineLevel="0" collapsed="false">
      <c r="C454" s="72" t="n">
        <f aca="false">COUNTIFS($D$6:D454,"&lt;&gt;"&amp;"")</f>
        <v>449</v>
      </c>
      <c r="D454" s="73" t="s">
        <v>12</v>
      </c>
      <c r="E454" s="76" t="str">
        <f aca="false">
IF($D454="정상",INDEX(임대자산!$D$3:$R$3000,MATCH($F454,임대자산!$I$3:$I$3000,0),MATCH(E$3,임대자산!$D$3:$R$3,0)),
IF($D454="폐업",INDEX(폐업정보!$D$3:$R$3000,MATCH($F454,폐업정보!$I$3:$I$3000,0),MATCH(E$3,폐업정보!$D$3:$R$3,0)),
"Error"))</f>
        <v>경상</v>
      </c>
      <c r="F45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B0449</v>
      </c>
      <c r="G454" s="76" t="str">
        <f aca="false">F454&amp;RANDBETWEEN(0,10)</f>
        <v>B04498</v>
      </c>
      <c r="H454" s="75" t="n">
        <f aca="false">
IF($D454="정상",INDEX(임대자산!$D$3:$R$3000,MATCH($F454,임대자산!$I$3:$I$3000,0),MATCH(H$4,임대자산!$D$3:$R$3,0)),
IF($D454="폐업",INDEX(폐업정보!$D$3:$R$3000,MATCH($F454,폐업정보!$I$3:$I$3000,0),MATCH(H$4,폐업정보!$D$3:$R$3,0)),
"Error"))</f>
        <v>45712</v>
      </c>
      <c r="I454" s="75" t="str">
        <f aca="false">
IF($D454="정상",INDEX(임대자산!$D$3:$R$3000,MATCH($F454,임대자산!$I$3:$I$3000,0),MATCH(I$4,임대자산!$D$3:$R$3,0)),
IF($D454="폐업",INDEX(폐업정보!$D$3:$R$3000,MATCH($F454,폐업정보!$I$3:$I$3000,0),MATCH(I$4,폐업정보!$D$3:$R$3,0)),
"Error"))</f>
        <v>A0449</v>
      </c>
      <c r="J454" s="75" t="str">
        <f aca="false">
IF($D454="정상",INDEX(임대자산!$D$3:$R$3000,MATCH($F454,임대자산!$I$3:$I$3000,0),MATCH(J$4,임대자산!$D$3:$R$3,0)),
IF($D454="폐업",INDEX(폐업정보!$D$3:$R$3000,MATCH($F454,폐업정보!$I$3:$I$3000,0),MATCH(J$4,폐업정보!$D$3:$R$3,0)),
"Error"))</f>
        <v>9208400000</v>
      </c>
      <c r="K454" s="75" t="str">
        <f aca="false">
IF($D454="정상",INDEX(임대자산!$D$3:$R$3000,MATCH($F454,임대자산!$I$3:$I$3000,0),MATCH(K$4,임대자산!$D$3:$R$3,0)),
IF($D454="폐업",INDEX(폐업정보!$D$3:$R$3000,MATCH($F454,폐업정보!$I$3:$I$3000,0),MATCH(K$4,폐업정보!$D$3:$R$3,0)),
"Error"))</f>
        <v>C0449</v>
      </c>
      <c r="L454" s="75" t="str">
        <f aca="false">
IF($D454="정상",INDEX(임대자산!$D$3:$R$3000,MATCH($F454,임대자산!$I$3:$I$3000,0),MATCH(L$4,임대자산!$D$3:$R$3,0)),
IF($D454="폐업",INDEX(폐업정보!$D$3:$R$3000,MATCH($F454,폐업정보!$I$3:$I$3000,0),MATCH(L$4,폐업정보!$D$3:$R$3,0)),
"Error"))</f>
        <v>D0449</v>
      </c>
      <c r="M454" s="76" t="s">
        <v>96</v>
      </c>
      <c r="N454" s="77"/>
      <c r="O454" s="78" t="s">
        <v>97</v>
      </c>
      <c r="P454" s="79" t="n">
        <f aca="false">COUNTIFS(임대자산!$I:$I,가맹점정보!F454,임대자산!$N:$N,가맹점정보!P$4)</f>
        <v>0</v>
      </c>
      <c r="Q454" s="80" t="n">
        <f aca="false">COUNTIFS(임대자산!$I:$I,가맹점정보!F454,임대자산!$N:$N,가맹점정보!Q$4)</f>
        <v>0</v>
      </c>
      <c r="R454" s="81" t="n">
        <f aca="false">COUNTIFS(임대자산!$I:$I,가맹점정보!F454,임대자산!$N:$N,가맹점정보!R$4)</f>
        <v>1</v>
      </c>
      <c r="S454" s="82" t="n">
        <v>88000</v>
      </c>
      <c r="T454" s="83" t="n">
        <v>0</v>
      </c>
      <c r="U454" s="80" t="n">
        <f aca="false">SUM(S454:T454)</f>
        <v>88000</v>
      </c>
      <c r="V454" s="84" t="s">
        <v>7</v>
      </c>
      <c r="W454" s="80" t="str">
        <f aca="true">
IF(D454="폐업","폐업",
IF(V454="면제","면제",
IF(AND(V454="정상",COUNTIFS(OFFSET(Y454,0,COUNTA(Y454:AV454)-1,1,-4),"미납")&gt;=3),"장기미납",
IF(AND(V454="정상",OFFSET(Y454,0,COUNTA(Y454:AV454)-1)&gt;=U454),"정상",
IF(AND(V454="정상",OFFSET(Y454,0,COUNTA(Y454:AV454)-1)=0),"정상",
"계약서 미작성")))))</f>
        <v>면제</v>
      </c>
      <c r="X454" s="81" t="str">
        <f aca="true">
IF(D454="폐업","폐업",
IF(AND(V454="정상",OFFSET(Y454,0,COUNTA(Y454:AV454)-1)="미납"),"미납",
IF(AND(V454="정상",OFFSET(Y454,0,COUNTA(Y454:AV454)-1)=0),"납부 시작 전",
IF(AND(V454="정상",OFFSET(Y454,0,COUNTA(Y454:AV454)-1)&gt;=U454),"정상",
IF(AND(V454="면제",OFFSET(Y454,0,COUNTA(Y454:AV454)-1)="면제"),"면제",
IF(AND(V454="면제",OFFSET(Y454,0,COUNTA(Y454:AV454)-1)=0),"면제",
"확인요청"))))))</f>
        <v>면제</v>
      </c>
      <c r="Y454" s="94" t="s">
        <v>7</v>
      </c>
      <c r="Z454" s="95" t="s">
        <v>7</v>
      </c>
      <c r="AA454" s="95" t="s">
        <v>7</v>
      </c>
      <c r="AB454" s="95" t="s">
        <v>7</v>
      </c>
      <c r="AC454" s="95" t="s">
        <v>7</v>
      </c>
      <c r="AD454" s="95" t="s">
        <v>7</v>
      </c>
      <c r="AE454" s="95" t="s">
        <v>7</v>
      </c>
      <c r="AF454" s="95" t="s">
        <v>7</v>
      </c>
      <c r="AG454" s="95" t="s">
        <v>7</v>
      </c>
      <c r="AH454" s="95" t="s">
        <v>7</v>
      </c>
      <c r="AI454" s="95" t="s">
        <v>7</v>
      </c>
      <c r="AJ454" s="96" t="s">
        <v>7</v>
      </c>
      <c r="AK454" s="97" t="s">
        <v>7</v>
      </c>
      <c r="AL454" s="95" t="s">
        <v>7</v>
      </c>
      <c r="AM454" s="90"/>
      <c r="AN454" s="90"/>
      <c r="AO454" s="90"/>
      <c r="AP454" s="90"/>
      <c r="AQ454" s="90"/>
      <c r="AR454" s="90"/>
      <c r="AS454" s="90"/>
      <c r="AT454" s="90"/>
      <c r="AU454" s="90"/>
      <c r="AV454" s="91"/>
      <c r="AX454" s="92"/>
    </row>
    <row r="455" customFormat="false" ht="15.65" hidden="false" customHeight="false" outlineLevel="0" collapsed="false">
      <c r="C455" s="72" t="n">
        <f aca="false">COUNTIFS($D$6:D455,"&lt;&gt;"&amp;"")</f>
        <v>450</v>
      </c>
      <c r="D455" s="73" t="s">
        <v>12</v>
      </c>
      <c r="E455" s="76" t="str">
        <f aca="false">
IF($D455="정상",INDEX(임대자산!$D$3:$R$3000,MATCH($F455,임대자산!$I$3:$I$3000,0),MATCH(E$3,임대자산!$D$3:$R$3,0)),
IF($D455="폐업",INDEX(폐업정보!$D$3:$R$3000,MATCH($F455,폐업정보!$I$3:$I$3000,0),MATCH(E$3,폐업정보!$D$3:$R$3,0)),
"Error"))</f>
        <v>서울</v>
      </c>
      <c r="F45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B0450</v>
      </c>
      <c r="G455" s="76" t="str">
        <f aca="false">F455&amp;RANDBETWEEN(0,10)</f>
        <v>B045010</v>
      </c>
      <c r="H455" s="75" t="n">
        <f aca="false">
IF($D455="정상",INDEX(임대자산!$D$3:$R$3000,MATCH($F455,임대자산!$I$3:$I$3000,0),MATCH(H$4,임대자산!$D$3:$R$3,0)),
IF($D455="폐업",INDEX(폐업정보!$D$3:$R$3000,MATCH($F455,폐업정보!$I$3:$I$3000,0),MATCH(H$4,폐업정보!$D$3:$R$3,0)),
"Error"))</f>
        <v>45610</v>
      </c>
      <c r="I455" s="75" t="str">
        <f aca="false">
IF($D455="정상",INDEX(임대자산!$D$3:$R$3000,MATCH($F455,임대자산!$I$3:$I$3000,0),MATCH(I$4,임대자산!$D$3:$R$3,0)),
IF($D455="폐업",INDEX(폐업정보!$D$3:$R$3000,MATCH($F455,폐업정보!$I$3:$I$3000,0),MATCH(I$4,폐업정보!$D$3:$R$3,0)),
"Error"))</f>
        <v>A0450</v>
      </c>
      <c r="J455" s="75" t="str">
        <f aca="false">
IF($D455="정상",INDEX(임대자산!$D$3:$R$3000,MATCH($F455,임대자산!$I$3:$I$3000,0),MATCH(J$4,임대자산!$D$3:$R$3,0)),
IF($D455="폐업",INDEX(폐업정보!$D$3:$R$3000,MATCH($F455,폐업정보!$I$3:$I$3000,0),MATCH(J$4,폐업정보!$D$3:$R$3,0)),
"Error"))</f>
        <v>8985600000</v>
      </c>
      <c r="K455" s="75" t="str">
        <f aca="false">
IF($D455="정상",INDEX(임대자산!$D$3:$R$3000,MATCH($F455,임대자산!$I$3:$I$3000,0),MATCH(K$4,임대자산!$D$3:$R$3,0)),
IF($D455="폐업",INDEX(폐업정보!$D$3:$R$3000,MATCH($F455,폐업정보!$I$3:$I$3000,0),MATCH(K$4,폐업정보!$D$3:$R$3,0)),
"Error"))</f>
        <v>C0450</v>
      </c>
      <c r="L455" s="75" t="str">
        <f aca="false">
IF($D455="정상",INDEX(임대자산!$D$3:$R$3000,MATCH($F455,임대자산!$I$3:$I$3000,0),MATCH(L$4,임대자산!$D$3:$R$3,0)),
IF($D455="폐업",INDEX(폐업정보!$D$3:$R$3000,MATCH($F455,폐업정보!$I$3:$I$3000,0),MATCH(L$4,폐업정보!$D$3:$R$3,0)),
"Error"))</f>
        <v>D0450</v>
      </c>
      <c r="M455" s="76" t="s">
        <v>96</v>
      </c>
      <c r="N455" s="77"/>
      <c r="O455" s="78" t="s">
        <v>97</v>
      </c>
      <c r="P455" s="79" t="n">
        <f aca="false">COUNTIFS(임대자산!$I:$I,가맹점정보!F455,임대자산!$N:$N,가맹점정보!P$4)</f>
        <v>0</v>
      </c>
      <c r="Q455" s="80" t="n">
        <f aca="false">COUNTIFS(임대자산!$I:$I,가맹점정보!F455,임대자산!$N:$N,가맹점정보!Q$4)</f>
        <v>0</v>
      </c>
      <c r="R455" s="81" t="n">
        <f aca="false">COUNTIFS(임대자산!$I:$I,가맹점정보!F455,임대자산!$N:$N,가맹점정보!R$4)</f>
        <v>1</v>
      </c>
      <c r="S455" s="82" t="n">
        <v>55000</v>
      </c>
      <c r="T455" s="83" t="n">
        <v>0</v>
      </c>
      <c r="U455" s="80" t="n">
        <f aca="false">SUM(S455:T455)</f>
        <v>55000</v>
      </c>
      <c r="V455" s="84" t="s">
        <v>7</v>
      </c>
      <c r="W455" s="80" t="str">
        <f aca="true">
IF(D455="폐업","폐업",
IF(V455="면제","면제",
IF(AND(V455="정상",COUNTIFS(OFFSET(Y455,0,COUNTA(Y455:AV455)-1,1,-4),"미납")&gt;=3),"장기미납",
IF(AND(V455="정상",OFFSET(Y455,0,COUNTA(Y455:AV455)-1)&gt;=U455),"정상",
IF(AND(V455="정상",OFFSET(Y455,0,COUNTA(Y455:AV455)-1)=0),"정상",
"계약서 미작성")))))</f>
        <v>면제</v>
      </c>
      <c r="X455" s="81" t="str">
        <f aca="true">
IF(D455="폐업","폐업",
IF(AND(V455="정상",OFFSET(Y455,0,COUNTA(Y455:AV455)-1)="미납"),"미납",
IF(AND(V455="정상",OFFSET(Y455,0,COUNTA(Y455:AV455)-1)=0),"납부 시작 전",
IF(AND(V455="정상",OFFSET(Y455,0,COUNTA(Y455:AV455)-1)&gt;=U455),"정상",
IF(AND(V455="면제",OFFSET(Y455,0,COUNTA(Y455:AV455)-1)="면제"),"면제",
IF(AND(V455="면제",OFFSET(Y455,0,COUNTA(Y455:AV455)-1)=0),"면제",
"확인요청"))))))</f>
        <v>면제</v>
      </c>
      <c r="Y455" s="94" t="s">
        <v>7</v>
      </c>
      <c r="Z455" s="95" t="s">
        <v>7</v>
      </c>
      <c r="AA455" s="95" t="s">
        <v>7</v>
      </c>
      <c r="AB455" s="95" t="s">
        <v>7</v>
      </c>
      <c r="AC455" s="95" t="s">
        <v>7</v>
      </c>
      <c r="AD455" s="95" t="s">
        <v>7</v>
      </c>
      <c r="AE455" s="95" t="s">
        <v>7</v>
      </c>
      <c r="AF455" s="95" t="s">
        <v>7</v>
      </c>
      <c r="AG455" s="95" t="s">
        <v>7</v>
      </c>
      <c r="AH455" s="95" t="s">
        <v>7</v>
      </c>
      <c r="AI455" s="95" t="s">
        <v>7</v>
      </c>
      <c r="AJ455" s="96" t="s">
        <v>7</v>
      </c>
      <c r="AK455" s="97" t="s">
        <v>7</v>
      </c>
      <c r="AL455" s="95" t="s">
        <v>7</v>
      </c>
      <c r="AM455" s="90"/>
      <c r="AN455" s="90"/>
      <c r="AO455" s="90"/>
      <c r="AP455" s="90"/>
      <c r="AQ455" s="90"/>
      <c r="AR455" s="90"/>
      <c r="AS455" s="90"/>
      <c r="AT455" s="90"/>
      <c r="AU455" s="90"/>
      <c r="AV455" s="91"/>
      <c r="AX455" s="92"/>
    </row>
    <row r="456" customFormat="false" ht="15.65" hidden="false" customHeight="false" outlineLevel="0" collapsed="false">
      <c r="C456" s="72" t="n">
        <f aca="false">COUNTIFS($D$6:D456,"&lt;&gt;"&amp;"")</f>
        <v>451</v>
      </c>
      <c r="D456" s="73" t="s">
        <v>12</v>
      </c>
      <c r="E456" s="76" t="str">
        <f aca="false">
IF($D456="정상",INDEX(임대자산!$D$3:$R$3000,MATCH($F456,임대자산!$I$3:$I$3000,0),MATCH(E$3,임대자산!$D$3:$R$3,0)),
IF($D456="폐업",INDEX(폐업정보!$D$3:$R$3000,MATCH($F456,폐업정보!$I$3:$I$3000,0),MATCH(E$3,폐업정보!$D$3:$R$3,0)),
"Error"))</f>
        <v>서울</v>
      </c>
      <c r="F45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B0451</v>
      </c>
      <c r="G456" s="76" t="str">
        <f aca="false">F456&amp;RANDBETWEEN(0,10)</f>
        <v>B04512</v>
      </c>
      <c r="H456" s="75" t="n">
        <f aca="false">
IF($D456="정상",INDEX(임대자산!$D$3:$R$3000,MATCH($F456,임대자산!$I$3:$I$3000,0),MATCH(H$4,임대자산!$D$3:$R$3,0)),
IF($D456="폐업",INDEX(폐업정보!$D$3:$R$3000,MATCH($F456,폐업정보!$I$3:$I$3000,0),MATCH(H$4,폐업정보!$D$3:$R$3,0)),
"Error"))</f>
        <v>45741</v>
      </c>
      <c r="I456" s="75" t="str">
        <f aca="false">
IF($D456="정상",INDEX(임대자산!$D$3:$R$3000,MATCH($F456,임대자산!$I$3:$I$3000,0),MATCH(I$4,임대자산!$D$3:$R$3,0)),
IF($D456="폐업",INDEX(폐업정보!$D$3:$R$3000,MATCH($F456,폐업정보!$I$3:$I$3000,0),MATCH(I$4,폐업정보!$D$3:$R$3,0)),
"Error"))</f>
        <v>A0451</v>
      </c>
      <c r="J456" s="75" t="str">
        <f aca="false">
IF($D456="정상",INDEX(임대자산!$D$3:$R$3000,MATCH($F456,임대자산!$I$3:$I$3000,0),MATCH(J$4,임대자산!$D$3:$R$3,0)),
IF($D456="폐업",INDEX(폐업정보!$D$3:$R$3000,MATCH($F456,폐업정보!$I$3:$I$3000,0),MATCH(J$4,폐업정보!$D$3:$R$3,0)),
"Error"))</f>
        <v>8755200000</v>
      </c>
      <c r="K456" s="75" t="str">
        <f aca="false">
IF($D456="정상",INDEX(임대자산!$D$3:$R$3000,MATCH($F456,임대자산!$I$3:$I$3000,0),MATCH(K$4,임대자산!$D$3:$R$3,0)),
IF($D456="폐업",INDEX(폐업정보!$D$3:$R$3000,MATCH($F456,폐업정보!$I$3:$I$3000,0),MATCH(K$4,폐업정보!$D$3:$R$3,0)),
"Error"))</f>
        <v>C0451</v>
      </c>
      <c r="L456" s="75" t="str">
        <f aca="false">
IF($D456="정상",INDEX(임대자산!$D$3:$R$3000,MATCH($F456,임대자산!$I$3:$I$3000,0),MATCH(L$4,임대자산!$D$3:$R$3,0)),
IF($D456="폐업",INDEX(폐업정보!$D$3:$R$3000,MATCH($F456,폐업정보!$I$3:$I$3000,0),MATCH(L$4,폐업정보!$D$3:$R$3,0)),
"Error"))</f>
        <v>D0451</v>
      </c>
      <c r="M456" s="76" t="s">
        <v>96</v>
      </c>
      <c r="N456" s="77"/>
      <c r="O456" s="78" t="s">
        <v>97</v>
      </c>
      <c r="P456" s="79" t="n">
        <f aca="false">COUNTIFS(임대자산!$I:$I,가맹점정보!F456,임대자산!$N:$N,가맹점정보!P$4)</f>
        <v>0</v>
      </c>
      <c r="Q456" s="80" t="n">
        <f aca="false">COUNTIFS(임대자산!$I:$I,가맹점정보!F456,임대자산!$N:$N,가맹점정보!Q$4)</f>
        <v>0</v>
      </c>
      <c r="R456" s="81" t="n">
        <f aca="false">COUNTIFS(임대자산!$I:$I,가맹점정보!F456,임대자산!$N:$N,가맹점정보!R$4)</f>
        <v>1</v>
      </c>
      <c r="S456" s="82" t="n">
        <v>110000</v>
      </c>
      <c r="T456" s="83" t="n">
        <v>0</v>
      </c>
      <c r="U456" s="80" t="n">
        <f aca="false">SUM(S456:T456)</f>
        <v>110000</v>
      </c>
      <c r="V456" s="84" t="s">
        <v>12</v>
      </c>
      <c r="W456" s="80" t="e">
        <f aca="true">
IF(D456="폐업","폐업",
IF(V456="면제","면제",
IF(AND(V456="정상",COUNTIFS(OFFSET(Y456,0,COUNTA(Y456:AV456)-1,1,-4),"미납")&gt;=3),"장기미납",
IF(AND(V456="정상",OFFSET(Y456,0,COUNTA(Y456:AV456)-1)&gt;=U456),"정상",
IF(AND(V456="정상",OFFSET(Y456,0,COUNTA(Y456:AV456)-1)=0),"정상",
"계약서 미작성")))))</f>
        <v>#VALUE!</v>
      </c>
      <c r="X456" s="81" t="str">
        <f aca="true">
IF(D456="폐업","폐업",
IF(AND(V456="정상",OFFSET(Y456,0,COUNTA(Y456:AV456)-1)="미납"),"미납",
IF(AND(V456="정상",OFFSET(Y456,0,COUNTA(Y456:AV456)-1)=0),"납부 시작 전",
IF(AND(V456="정상",OFFSET(Y456,0,COUNTA(Y456:AV456)-1)&gt;=U456),"정상",
IF(AND(V456="면제",OFFSET(Y456,0,COUNTA(Y456:AV456)-1)="면제"),"면제",
IF(AND(V456="면제",OFFSET(Y456,0,COUNTA(Y456:AV456)-1)=0),"면제",
"확인요청"))))))</f>
        <v>정상</v>
      </c>
      <c r="Y456" s="94" t="s">
        <v>7</v>
      </c>
      <c r="Z456" s="95" t="s">
        <v>7</v>
      </c>
      <c r="AA456" s="95" t="s">
        <v>7</v>
      </c>
      <c r="AB456" s="95" t="s">
        <v>7</v>
      </c>
      <c r="AC456" s="95" t="s">
        <v>7</v>
      </c>
      <c r="AD456" s="95" t="s">
        <v>7</v>
      </c>
      <c r="AE456" s="95" t="s">
        <v>7</v>
      </c>
      <c r="AF456" s="95" t="s">
        <v>7</v>
      </c>
      <c r="AG456" s="95" t="s">
        <v>7</v>
      </c>
      <c r="AH456" s="95" t="s">
        <v>7</v>
      </c>
      <c r="AI456" s="95" t="s">
        <v>7</v>
      </c>
      <c r="AJ456" s="96" t="s">
        <v>7</v>
      </c>
      <c r="AK456" s="97" t="s">
        <v>62</v>
      </c>
      <c r="AL456" s="90" t="n">
        <v>220000</v>
      </c>
      <c r="AM456" s="90"/>
      <c r="AN456" s="90"/>
      <c r="AO456" s="90"/>
      <c r="AP456" s="90"/>
      <c r="AQ456" s="90"/>
      <c r="AR456" s="90"/>
      <c r="AS456" s="90"/>
      <c r="AT456" s="90"/>
      <c r="AU456" s="90"/>
      <c r="AV456" s="91"/>
      <c r="AX456" s="92"/>
    </row>
    <row r="457" customFormat="false" ht="15.65" hidden="false" customHeight="false" outlineLevel="0" collapsed="false">
      <c r="C457" s="72" t="n">
        <f aca="false">COUNTIFS($D$6:D457,"&lt;&gt;"&amp;"")</f>
        <v>452</v>
      </c>
      <c r="D457" s="73" t="s">
        <v>12</v>
      </c>
      <c r="E457" s="76" t="str">
        <f aca="false">
IF($D457="정상",INDEX(임대자산!$D$3:$R$3000,MATCH($F457,임대자산!$I$3:$I$3000,0),MATCH(E$3,임대자산!$D$3:$R$3,0)),
IF($D457="폐업",INDEX(폐업정보!$D$3:$R$3000,MATCH($F457,폐업정보!$I$3:$I$3000,0),MATCH(E$3,폐업정보!$D$3:$R$3,0)),
"Error"))</f>
        <v>경상</v>
      </c>
      <c r="F45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B0452</v>
      </c>
      <c r="G457" s="76" t="str">
        <f aca="false">F457&amp;RANDBETWEEN(0,10)</f>
        <v>B04524</v>
      </c>
      <c r="H457" s="75" t="n">
        <f aca="false">
IF($D457="정상",INDEX(임대자산!$D$3:$R$3000,MATCH($F457,임대자산!$I$3:$I$3000,0),MATCH(H$4,임대자산!$D$3:$R$3,0)),
IF($D457="폐업",INDEX(폐업정보!$D$3:$R$3000,MATCH($F457,폐업정보!$I$3:$I$3000,0),MATCH(H$4,폐업정보!$D$3:$R$3,0)),
"Error"))</f>
        <v>45747</v>
      </c>
      <c r="I457" s="75" t="str">
        <f aca="false">
IF($D457="정상",INDEX(임대자산!$D$3:$R$3000,MATCH($F457,임대자산!$I$3:$I$3000,0),MATCH(I$4,임대자산!$D$3:$R$3,0)),
IF($D457="폐업",INDEX(폐업정보!$D$3:$R$3000,MATCH($F457,폐업정보!$I$3:$I$3000,0),MATCH(I$4,폐업정보!$D$3:$R$3,0)),
"Error"))</f>
        <v>A0452</v>
      </c>
      <c r="J457" s="75" t="str">
        <f aca="false">
IF($D457="정상",INDEX(임대자산!$D$3:$R$3000,MATCH($F457,임대자산!$I$3:$I$3000,0),MATCH(J$4,임대자산!$D$3:$R$3,0)),
IF($D457="폐업",INDEX(폐업정보!$D$3:$R$3000,MATCH($F457,폐업정보!$I$3:$I$3000,0),MATCH(J$4,폐업정보!$D$3:$R$3,0)),
"Error"))</f>
        <v>7420900000</v>
      </c>
      <c r="K457" s="75" t="str">
        <f aca="false">
IF($D457="정상",INDEX(임대자산!$D$3:$R$3000,MATCH($F457,임대자산!$I$3:$I$3000,0),MATCH(K$4,임대자산!$D$3:$R$3,0)),
IF($D457="폐업",INDEX(폐업정보!$D$3:$R$3000,MATCH($F457,폐업정보!$I$3:$I$3000,0),MATCH(K$4,폐업정보!$D$3:$R$3,0)),
"Error"))</f>
        <v>C0452</v>
      </c>
      <c r="L457" s="75" t="str">
        <f aca="false">
IF($D457="정상",INDEX(임대자산!$D$3:$R$3000,MATCH($F457,임대자산!$I$3:$I$3000,0),MATCH(L$4,임대자산!$D$3:$R$3,0)),
IF($D457="폐업",INDEX(폐업정보!$D$3:$R$3000,MATCH($F457,폐업정보!$I$3:$I$3000,0),MATCH(L$4,폐업정보!$D$3:$R$3,0)),
"Error"))</f>
        <v>D0452</v>
      </c>
      <c r="M457" s="76" t="s">
        <v>96</v>
      </c>
      <c r="N457" s="77"/>
      <c r="O457" s="78" t="s">
        <v>97</v>
      </c>
      <c r="P457" s="79" t="n">
        <f aca="false">COUNTIFS(임대자산!$I:$I,가맹점정보!F457,임대자산!$N:$N,가맹점정보!P$4)</f>
        <v>0</v>
      </c>
      <c r="Q457" s="80" t="n">
        <f aca="false">COUNTIFS(임대자산!$I:$I,가맹점정보!F457,임대자산!$N:$N,가맹점정보!Q$4)</f>
        <v>0</v>
      </c>
      <c r="R457" s="81" t="n">
        <f aca="false">COUNTIFS(임대자산!$I:$I,가맹점정보!F457,임대자산!$N:$N,가맹점정보!R$4)</f>
        <v>1</v>
      </c>
      <c r="S457" s="82" t="n">
        <v>55000</v>
      </c>
      <c r="T457" s="83" t="n">
        <v>0</v>
      </c>
      <c r="U457" s="80" t="n">
        <f aca="false">SUM(S457:T457)</f>
        <v>55000</v>
      </c>
      <c r="V457" s="84" t="s">
        <v>12</v>
      </c>
      <c r="W457" s="80" t="e">
        <f aca="true">
IF(D457="폐업","폐업",
IF(V457="면제","면제",
IF(AND(V457="정상",COUNTIFS(OFFSET(Y457,0,COUNTA(Y457:AV457)-1,1,-4),"미납")&gt;=3),"장기미납",
IF(AND(V457="정상",OFFSET(Y457,0,COUNTA(Y457:AV457)-1)&gt;=U457),"정상",
IF(AND(V457="정상",OFFSET(Y457,0,COUNTA(Y457:AV457)-1)=0),"정상",
"계약서 미작성")))))</f>
        <v>#VALUE!</v>
      </c>
      <c r="X457" s="81" t="str">
        <f aca="true">
IF(D457="폐업","폐업",
IF(AND(V457="정상",OFFSET(Y457,0,COUNTA(Y457:AV457)-1)="미납"),"미납",
IF(AND(V457="정상",OFFSET(Y457,0,COUNTA(Y457:AV457)-1)=0),"납부 시작 전",
IF(AND(V457="정상",OFFSET(Y457,0,COUNTA(Y457:AV457)-1)&gt;=U457),"정상",
IF(AND(V457="면제",OFFSET(Y457,0,COUNTA(Y457:AV457)-1)="면제"),"면제",
IF(AND(V457="면제",OFFSET(Y457,0,COUNTA(Y457:AV457)-1)=0),"면제",
"확인요청"))))))</f>
        <v>정상</v>
      </c>
      <c r="Y457" s="93" t="n">
        <v>55000</v>
      </c>
      <c r="Z457" s="90" t="n">
        <v>55000</v>
      </c>
      <c r="AA457" s="90" t="n">
        <v>55000</v>
      </c>
      <c r="AB457" s="90" t="n">
        <v>55000</v>
      </c>
      <c r="AC457" s="90" t="n">
        <v>55000</v>
      </c>
      <c r="AD457" s="90" t="n">
        <v>55000</v>
      </c>
      <c r="AE457" s="90" t="n">
        <v>55000</v>
      </c>
      <c r="AF457" s="90" t="n">
        <v>55000</v>
      </c>
      <c r="AG457" s="90" t="n">
        <v>55000</v>
      </c>
      <c r="AH457" s="90" t="n">
        <v>55000</v>
      </c>
      <c r="AI457" s="90" t="n">
        <v>55000</v>
      </c>
      <c r="AJ457" s="91" t="n">
        <v>55000</v>
      </c>
      <c r="AK457" s="89" t="n">
        <v>55000</v>
      </c>
      <c r="AL457" s="90" t="n">
        <v>55000</v>
      </c>
      <c r="AM457" s="90"/>
      <c r="AN457" s="90"/>
      <c r="AO457" s="90"/>
      <c r="AP457" s="90"/>
      <c r="AQ457" s="90"/>
      <c r="AR457" s="90"/>
      <c r="AS457" s="90"/>
      <c r="AT457" s="90"/>
      <c r="AU457" s="90"/>
      <c r="AV457" s="91"/>
      <c r="AX457" s="92"/>
    </row>
    <row r="458" customFormat="false" ht="15.65" hidden="false" customHeight="false" outlineLevel="0" collapsed="false">
      <c r="C458" s="72" t="n">
        <f aca="false">COUNTIFS($D$6:D458,"&lt;&gt;"&amp;"")</f>
        <v>453</v>
      </c>
      <c r="D458" s="73" t="s">
        <v>12</v>
      </c>
      <c r="E458" s="76" t="str">
        <f aca="false">
IF($D458="정상",INDEX(임대자산!$D$3:$R$3000,MATCH($F458,임대자산!$I$3:$I$3000,0),MATCH(E$3,임대자산!$D$3:$R$3,0)),
IF($D458="폐업",INDEX(폐업정보!$D$3:$R$3000,MATCH($F458,폐업정보!$I$3:$I$3000,0),MATCH(E$3,폐업정보!$D$3:$R$3,0)),
"Error"))</f>
        <v>경상</v>
      </c>
      <c r="F45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B0453</v>
      </c>
      <c r="G458" s="76" t="str">
        <f aca="false">F458&amp;RANDBETWEEN(0,10)</f>
        <v>B04534</v>
      </c>
      <c r="H458" s="75" t="n">
        <f aca="false">
IF($D458="정상",INDEX(임대자산!$D$3:$R$3000,MATCH($F458,임대자산!$I$3:$I$3000,0),MATCH(H$4,임대자산!$D$3:$R$3,0)),
IF($D458="폐업",INDEX(폐업정보!$D$3:$R$3000,MATCH($F458,폐업정보!$I$3:$I$3000,0),MATCH(H$4,폐업정보!$D$3:$R$3,0)),
"Error"))</f>
        <v>45747</v>
      </c>
      <c r="I458" s="75" t="str">
        <f aca="false">
IF($D458="정상",INDEX(임대자산!$D$3:$R$3000,MATCH($F458,임대자산!$I$3:$I$3000,0),MATCH(I$4,임대자산!$D$3:$R$3,0)),
IF($D458="폐업",INDEX(폐업정보!$D$3:$R$3000,MATCH($F458,폐업정보!$I$3:$I$3000,0),MATCH(I$4,폐업정보!$D$3:$R$3,0)),
"Error"))</f>
        <v>A0453</v>
      </c>
      <c r="J458" s="75" t="str">
        <f aca="false">
IF($D458="정상",INDEX(임대자산!$D$3:$R$3000,MATCH($F458,임대자산!$I$3:$I$3000,0),MATCH(J$4,임대자산!$D$3:$R$3,0)),
IF($D458="폐업",INDEX(폐업정보!$D$3:$R$3000,MATCH($F458,폐업정보!$I$3:$I$3000,0),MATCH(J$4,폐업정보!$D$3:$R$3,0)),
"Error"))</f>
        <v>7469600000</v>
      </c>
      <c r="K458" s="75" t="str">
        <f aca="false">
IF($D458="정상",INDEX(임대자산!$D$3:$R$3000,MATCH($F458,임대자산!$I$3:$I$3000,0),MATCH(K$4,임대자산!$D$3:$R$3,0)),
IF($D458="폐업",INDEX(폐업정보!$D$3:$R$3000,MATCH($F458,폐업정보!$I$3:$I$3000,0),MATCH(K$4,폐업정보!$D$3:$R$3,0)),
"Error"))</f>
        <v>C0453</v>
      </c>
      <c r="L458" s="75" t="str">
        <f aca="false">
IF($D458="정상",INDEX(임대자산!$D$3:$R$3000,MATCH($F458,임대자산!$I$3:$I$3000,0),MATCH(L$4,임대자산!$D$3:$R$3,0)),
IF($D458="폐업",INDEX(폐업정보!$D$3:$R$3000,MATCH($F458,폐업정보!$I$3:$I$3000,0),MATCH(L$4,폐업정보!$D$3:$R$3,0)),
"Error"))</f>
        <v>D0453</v>
      </c>
      <c r="M458" s="76" t="s">
        <v>96</v>
      </c>
      <c r="N458" s="77"/>
      <c r="O458" s="78" t="s">
        <v>97</v>
      </c>
      <c r="P458" s="79" t="n">
        <f aca="false">COUNTIFS(임대자산!$I:$I,가맹점정보!F458,임대자산!$N:$N,가맹점정보!P$4)</f>
        <v>0</v>
      </c>
      <c r="Q458" s="80" t="n">
        <f aca="false">COUNTIFS(임대자산!$I:$I,가맹점정보!F458,임대자산!$N:$N,가맹점정보!Q$4)</f>
        <v>0</v>
      </c>
      <c r="R458" s="81" t="n">
        <f aca="false">COUNTIFS(임대자산!$I:$I,가맹점정보!F458,임대자산!$N:$N,가맹점정보!R$4)</f>
        <v>1</v>
      </c>
      <c r="S458" s="82" t="n">
        <v>88000</v>
      </c>
      <c r="T458" s="83" t="n">
        <v>0</v>
      </c>
      <c r="U458" s="80" t="n">
        <f aca="false">SUM(S458:T458)</f>
        <v>88000</v>
      </c>
      <c r="V458" s="84" t="s">
        <v>7</v>
      </c>
      <c r="W458" s="80" t="str">
        <f aca="true">
IF(D458="폐업","폐업",
IF(V458="면제","면제",
IF(AND(V458="정상",COUNTIFS(OFFSET(Y458,0,COUNTA(Y458:AV458)-1,1,-4),"미납")&gt;=3),"장기미납",
IF(AND(V458="정상",OFFSET(Y458,0,COUNTA(Y458:AV458)-1)&gt;=U458),"정상",
IF(AND(V458="정상",OFFSET(Y458,0,COUNTA(Y458:AV458)-1)=0),"정상",
"계약서 미작성")))))</f>
        <v>면제</v>
      </c>
      <c r="X458" s="81" t="str">
        <f aca="true">
IF(D458="폐업","폐업",
IF(AND(V458="정상",OFFSET(Y458,0,COUNTA(Y458:AV458)-1)="미납"),"미납",
IF(AND(V458="정상",OFFSET(Y458,0,COUNTA(Y458:AV458)-1)=0),"납부 시작 전",
IF(AND(V458="정상",OFFSET(Y458,0,COUNTA(Y458:AV458)-1)&gt;=U458),"정상",
IF(AND(V458="면제",OFFSET(Y458,0,COUNTA(Y458:AV458)-1)="면제"),"면제",
IF(AND(V458="면제",OFFSET(Y458,0,COUNTA(Y458:AV458)-1)=0),"면제",
"확인요청"))))))</f>
        <v>면제</v>
      </c>
      <c r="Y458" s="94" t="s">
        <v>7</v>
      </c>
      <c r="Z458" s="95" t="s">
        <v>7</v>
      </c>
      <c r="AA458" s="95" t="s">
        <v>7</v>
      </c>
      <c r="AB458" s="95" t="s">
        <v>7</v>
      </c>
      <c r="AC458" s="95" t="s">
        <v>7</v>
      </c>
      <c r="AD458" s="95" t="s">
        <v>7</v>
      </c>
      <c r="AE458" s="95" t="s">
        <v>7</v>
      </c>
      <c r="AF458" s="95" t="s">
        <v>7</v>
      </c>
      <c r="AG458" s="95" t="s">
        <v>7</v>
      </c>
      <c r="AH458" s="95" t="s">
        <v>7</v>
      </c>
      <c r="AI458" s="95" t="s">
        <v>7</v>
      </c>
      <c r="AJ458" s="96" t="s">
        <v>7</v>
      </c>
      <c r="AK458" s="97" t="s">
        <v>7</v>
      </c>
      <c r="AL458" s="95" t="s">
        <v>7</v>
      </c>
      <c r="AM458" s="90"/>
      <c r="AN458" s="90"/>
      <c r="AO458" s="90"/>
      <c r="AP458" s="90"/>
      <c r="AQ458" s="90"/>
      <c r="AR458" s="90"/>
      <c r="AS458" s="90"/>
      <c r="AT458" s="90"/>
      <c r="AU458" s="90"/>
      <c r="AV458" s="91"/>
      <c r="AX458" s="92"/>
    </row>
    <row r="459" customFormat="false" ht="15.65" hidden="false" customHeight="false" outlineLevel="0" collapsed="false">
      <c r="C459" s="72" t="n">
        <f aca="false">COUNTIFS($D$6:D459,"&lt;&gt;"&amp;"")</f>
        <v>454</v>
      </c>
      <c r="D459" s="73" t="s">
        <v>12</v>
      </c>
      <c r="E459" s="76" t="str">
        <f aca="false">
IF($D459="정상",INDEX(임대자산!$D$3:$R$3000,MATCH($F459,임대자산!$I$3:$I$3000,0),MATCH(E$3,임대자산!$D$3:$R$3,0)),
IF($D459="폐업",INDEX(폐업정보!$D$3:$R$3000,MATCH($F459,폐업정보!$I$3:$I$3000,0),MATCH(E$3,폐업정보!$D$3:$R$3,0)),
"Error"))</f>
        <v>전라</v>
      </c>
      <c r="F45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B0454</v>
      </c>
      <c r="G459" s="76" t="str">
        <f aca="false">F459&amp;RANDBETWEEN(0,10)</f>
        <v>B045410</v>
      </c>
      <c r="H459" s="75" t="n">
        <f aca="false">
IF($D459="정상",INDEX(임대자산!$D$3:$R$3000,MATCH($F459,임대자산!$I$3:$I$3000,0),MATCH(H$4,임대자산!$D$3:$R$3,0)),
IF($D459="폐업",INDEX(폐업정보!$D$3:$R$3000,MATCH($F459,폐업정보!$I$3:$I$3000,0),MATCH(H$4,폐업정보!$D$3:$R$3,0)),
"Error"))</f>
        <v>45756</v>
      </c>
      <c r="I459" s="75" t="str">
        <f aca="false">
IF($D459="정상",INDEX(임대자산!$D$3:$R$3000,MATCH($F459,임대자산!$I$3:$I$3000,0),MATCH(I$4,임대자산!$D$3:$R$3,0)),
IF($D459="폐업",INDEX(폐업정보!$D$3:$R$3000,MATCH($F459,폐업정보!$I$3:$I$3000,0),MATCH(I$4,폐업정보!$D$3:$R$3,0)),
"Error"))</f>
        <v>A0454</v>
      </c>
      <c r="J459" s="75" t="str">
        <f aca="false">
IF($D459="정상",INDEX(임대자산!$D$3:$R$3000,MATCH($F459,임대자산!$I$3:$I$3000,0),MATCH(J$4,임대자산!$D$3:$R$3,0)),
IF($D459="폐업",INDEX(폐업정보!$D$3:$R$3000,MATCH($F459,폐업정보!$I$3:$I$3000,0),MATCH(J$4,폐업정보!$D$3:$R$3,0)),
"Error"))</f>
        <v>7986300000</v>
      </c>
      <c r="K459" s="75" t="str">
        <f aca="false">
IF($D459="정상",INDEX(임대자산!$D$3:$R$3000,MATCH($F459,임대자산!$I$3:$I$3000,0),MATCH(K$4,임대자산!$D$3:$R$3,0)),
IF($D459="폐업",INDEX(폐업정보!$D$3:$R$3000,MATCH($F459,폐업정보!$I$3:$I$3000,0),MATCH(K$4,폐업정보!$D$3:$R$3,0)),
"Error"))</f>
        <v>C0454</v>
      </c>
      <c r="L459" s="75" t="str">
        <f aca="false">
IF($D459="정상",INDEX(임대자산!$D$3:$R$3000,MATCH($F459,임대자산!$I$3:$I$3000,0),MATCH(L$4,임대자산!$D$3:$R$3,0)),
IF($D459="폐업",INDEX(폐업정보!$D$3:$R$3000,MATCH($F459,폐업정보!$I$3:$I$3000,0),MATCH(L$4,폐업정보!$D$3:$R$3,0)),
"Error"))</f>
        <v>D0454</v>
      </c>
      <c r="M459" s="76" t="s">
        <v>96</v>
      </c>
      <c r="N459" s="77"/>
      <c r="O459" s="78" t="s">
        <v>97</v>
      </c>
      <c r="P459" s="79" t="n">
        <f aca="false">COUNTIFS(임대자산!$I:$I,가맹점정보!F459,임대자산!$N:$N,가맹점정보!P$4)</f>
        <v>0</v>
      </c>
      <c r="Q459" s="80" t="n">
        <f aca="false">COUNTIFS(임대자산!$I:$I,가맹점정보!F459,임대자산!$N:$N,가맹점정보!Q$4)</f>
        <v>0</v>
      </c>
      <c r="R459" s="81" t="n">
        <f aca="false">COUNTIFS(임대자산!$I:$I,가맹점정보!F459,임대자산!$N:$N,가맹점정보!R$4)</f>
        <v>1</v>
      </c>
      <c r="S459" s="82" t="n">
        <v>88000</v>
      </c>
      <c r="T459" s="83" t="n">
        <v>0</v>
      </c>
      <c r="U459" s="80" t="n">
        <f aca="false">SUM(S459:T459)</f>
        <v>88000</v>
      </c>
      <c r="V459" s="84" t="s">
        <v>12</v>
      </c>
      <c r="W459" s="80" t="e">
        <f aca="true">
IF(D459="폐업","폐업",
IF(V459="면제","면제",
IF(AND(V459="정상",COUNTIFS(OFFSET(Y459,0,COUNTA(Y459:AV459)-1,1,-4),"미납")&gt;=3),"장기미납",
IF(AND(V459="정상",OFFSET(Y459,0,COUNTA(Y459:AV459)-1)&gt;=U459),"정상",
IF(AND(V459="정상",OFFSET(Y459,0,COUNTA(Y459:AV459)-1)=0),"정상",
"계약서 미작성")))))</f>
        <v>#VALUE!</v>
      </c>
      <c r="X459" s="81" t="str">
        <f aca="true">
IF(D459="폐업","폐업",
IF(AND(V459="정상",OFFSET(Y459,0,COUNTA(Y459:AV459)-1)="미납"),"미납",
IF(AND(V459="정상",OFFSET(Y459,0,COUNTA(Y459:AV459)-1)=0),"납부 시작 전",
IF(AND(V459="정상",OFFSET(Y459,0,COUNTA(Y459:AV459)-1)&gt;=U459),"정상",
IF(AND(V459="면제",OFFSET(Y459,0,COUNTA(Y459:AV459)-1)="면제"),"면제",
IF(AND(V459="면제",OFFSET(Y459,0,COUNTA(Y459:AV459)-1)=0),"면제",
"확인요청"))))))</f>
        <v>정상</v>
      </c>
      <c r="Y459" s="93" t="n">
        <v>88000</v>
      </c>
      <c r="Z459" s="90" t="n">
        <v>88000</v>
      </c>
      <c r="AA459" s="90" t="n">
        <v>88000</v>
      </c>
      <c r="AB459" s="90" t="n">
        <v>88000</v>
      </c>
      <c r="AC459" s="90" t="n">
        <v>88000</v>
      </c>
      <c r="AD459" s="90" t="n">
        <v>88000</v>
      </c>
      <c r="AE459" s="90" t="n">
        <v>88000</v>
      </c>
      <c r="AF459" s="90" t="n">
        <v>88000</v>
      </c>
      <c r="AG459" s="90" t="n">
        <v>88000</v>
      </c>
      <c r="AH459" s="90" t="n">
        <v>88000</v>
      </c>
      <c r="AI459" s="90" t="n">
        <v>88000</v>
      </c>
      <c r="AJ459" s="91" t="n">
        <v>88000</v>
      </c>
      <c r="AK459" s="89" t="n">
        <v>88000</v>
      </c>
      <c r="AL459" s="90" t="n">
        <v>88000</v>
      </c>
      <c r="AM459" s="90"/>
      <c r="AN459" s="90"/>
      <c r="AO459" s="90"/>
      <c r="AP459" s="90"/>
      <c r="AQ459" s="90"/>
      <c r="AR459" s="90"/>
      <c r="AS459" s="90"/>
      <c r="AT459" s="90"/>
      <c r="AU459" s="90"/>
      <c r="AV459" s="91"/>
      <c r="AX459" s="92"/>
    </row>
    <row r="460" customFormat="false" ht="15.65" hidden="false" customHeight="false" outlineLevel="0" collapsed="false">
      <c r="C460" s="72" t="n">
        <f aca="false">COUNTIFS($D$6:D460,"&lt;&gt;"&amp;"")</f>
        <v>455</v>
      </c>
      <c r="D460" s="73" t="s">
        <v>12</v>
      </c>
      <c r="E460" s="76" t="str">
        <f aca="false">
IF($D460="정상",INDEX(임대자산!$D$3:$R$3000,MATCH($F460,임대자산!$I$3:$I$3000,0),MATCH(E$3,임대자산!$D$3:$R$3,0)),
IF($D460="폐업",INDEX(폐업정보!$D$3:$R$3000,MATCH($F460,폐업정보!$I$3:$I$3000,0),MATCH(E$3,폐업정보!$D$3:$R$3,0)),
"Error"))</f>
        <v>전라</v>
      </c>
      <c r="F46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B0455</v>
      </c>
      <c r="G460" s="76" t="str">
        <f aca="false">F460&amp;RANDBETWEEN(0,10)</f>
        <v>B04559</v>
      </c>
      <c r="H460" s="75" t="n">
        <f aca="false">
IF($D460="정상",INDEX(임대자산!$D$3:$R$3000,MATCH($F460,임대자산!$I$3:$I$3000,0),MATCH(H$4,임대자산!$D$3:$R$3,0)),
IF($D460="폐업",INDEX(폐업정보!$D$3:$R$3000,MATCH($F460,폐업정보!$I$3:$I$3000,0),MATCH(H$4,폐업정보!$D$3:$R$3,0)),
"Error"))</f>
        <v>45756</v>
      </c>
      <c r="I460" s="75" t="str">
        <f aca="false">
IF($D460="정상",INDEX(임대자산!$D$3:$R$3000,MATCH($F460,임대자산!$I$3:$I$3000,0),MATCH(I$4,임대자산!$D$3:$R$3,0)),
IF($D460="폐업",INDEX(폐업정보!$D$3:$R$3000,MATCH($F460,폐업정보!$I$3:$I$3000,0),MATCH(I$4,폐업정보!$D$3:$R$3,0)),
"Error"))</f>
        <v>A0455</v>
      </c>
      <c r="J460" s="75" t="str">
        <f aca="false">
IF($D460="정상",INDEX(임대자산!$D$3:$R$3000,MATCH($F460,임대자산!$I$3:$I$3000,0),MATCH(J$4,임대자산!$D$3:$R$3,0)),
IF($D460="폐업",INDEX(폐업정보!$D$3:$R$3000,MATCH($F460,폐업정보!$I$3:$I$3000,0),MATCH(J$4,폐업정보!$D$3:$R$3,0)),
"Error"))</f>
        <v>3994600000</v>
      </c>
      <c r="K460" s="75" t="str">
        <f aca="false">
IF($D460="정상",INDEX(임대자산!$D$3:$R$3000,MATCH($F460,임대자산!$I$3:$I$3000,0),MATCH(K$4,임대자산!$D$3:$R$3,0)),
IF($D460="폐업",INDEX(폐업정보!$D$3:$R$3000,MATCH($F460,폐업정보!$I$3:$I$3000,0),MATCH(K$4,폐업정보!$D$3:$R$3,0)),
"Error"))</f>
        <v>C0455</v>
      </c>
      <c r="L460" s="75" t="str">
        <f aca="false">
IF($D460="정상",INDEX(임대자산!$D$3:$R$3000,MATCH($F460,임대자산!$I$3:$I$3000,0),MATCH(L$4,임대자산!$D$3:$R$3,0)),
IF($D460="폐업",INDEX(폐업정보!$D$3:$R$3000,MATCH($F460,폐업정보!$I$3:$I$3000,0),MATCH(L$4,폐업정보!$D$3:$R$3,0)),
"Error"))</f>
        <v>D0455</v>
      </c>
      <c r="M460" s="76" t="s">
        <v>96</v>
      </c>
      <c r="N460" s="77"/>
      <c r="O460" s="78" t="s">
        <v>97</v>
      </c>
      <c r="P460" s="79" t="n">
        <f aca="false">COUNTIFS(임대자산!$I:$I,가맹점정보!F460,임대자산!$N:$N,가맹점정보!P$4)</f>
        <v>0</v>
      </c>
      <c r="Q460" s="80" t="n">
        <f aca="false">COUNTIFS(임대자산!$I:$I,가맹점정보!F460,임대자산!$N:$N,가맹점정보!Q$4)</f>
        <v>0</v>
      </c>
      <c r="R460" s="81" t="n">
        <f aca="false">COUNTIFS(임대자산!$I:$I,가맹점정보!F460,임대자산!$N:$N,가맹점정보!R$4)</f>
        <v>1</v>
      </c>
      <c r="S460" s="82" t="n">
        <v>88000</v>
      </c>
      <c r="T460" s="83" t="n">
        <v>0</v>
      </c>
      <c r="U460" s="80" t="n">
        <f aca="false">SUM(S460:T460)</f>
        <v>88000</v>
      </c>
      <c r="V460" s="84" t="s">
        <v>12</v>
      </c>
      <c r="W460" s="80" t="e">
        <f aca="true">
IF(D460="폐업","폐업",
IF(V460="면제","면제",
IF(AND(V460="정상",COUNTIFS(OFFSET(Y460,0,COUNTA(Y460:AV460)-1,1,-4),"미납")&gt;=3),"장기미납",
IF(AND(V460="정상",OFFSET(Y460,0,COUNTA(Y460:AV460)-1)&gt;=U460),"정상",
IF(AND(V460="정상",OFFSET(Y460,0,COUNTA(Y460:AV460)-1)=0),"정상",
"계약서 미작성")))))</f>
        <v>#VALUE!</v>
      </c>
      <c r="X460" s="81" t="str">
        <f aca="true">
IF(D460="폐업","폐업",
IF(AND(V460="정상",OFFSET(Y460,0,COUNTA(Y460:AV460)-1)="미납"),"미납",
IF(AND(V460="정상",OFFSET(Y460,0,COUNTA(Y460:AV460)-1)=0),"납부 시작 전",
IF(AND(V460="정상",OFFSET(Y460,0,COUNTA(Y460:AV460)-1)&gt;=U460),"정상",
IF(AND(V460="면제",OFFSET(Y460,0,COUNTA(Y460:AV460)-1)="면제"),"면제",
IF(AND(V460="면제",OFFSET(Y460,0,COUNTA(Y460:AV460)-1)=0),"면제",
"확인요청"))))))</f>
        <v>정상</v>
      </c>
      <c r="Y460" s="93" t="n">
        <v>88000</v>
      </c>
      <c r="Z460" s="90" t="n">
        <v>88000</v>
      </c>
      <c r="AA460" s="90" t="n">
        <v>88000</v>
      </c>
      <c r="AB460" s="90" t="n">
        <v>88000</v>
      </c>
      <c r="AC460" s="90" t="n">
        <v>88000</v>
      </c>
      <c r="AD460" s="90" t="n">
        <v>88000</v>
      </c>
      <c r="AE460" s="90" t="n">
        <v>88000</v>
      </c>
      <c r="AF460" s="90" t="n">
        <v>88000</v>
      </c>
      <c r="AG460" s="90" t="n">
        <v>88000</v>
      </c>
      <c r="AH460" s="90" t="n">
        <v>88000</v>
      </c>
      <c r="AI460" s="90" t="n">
        <v>88000</v>
      </c>
      <c r="AJ460" s="91" t="n">
        <v>88000</v>
      </c>
      <c r="AK460" s="89" t="n">
        <v>88000</v>
      </c>
      <c r="AL460" s="90" t="n">
        <v>88000</v>
      </c>
      <c r="AM460" s="90"/>
      <c r="AN460" s="90"/>
      <c r="AO460" s="90"/>
      <c r="AP460" s="90"/>
      <c r="AQ460" s="90"/>
      <c r="AR460" s="90"/>
      <c r="AS460" s="90"/>
      <c r="AT460" s="90"/>
      <c r="AU460" s="90"/>
      <c r="AV460" s="91"/>
      <c r="AX460" s="92"/>
    </row>
    <row r="461" customFormat="false" ht="15.65" hidden="false" customHeight="false" outlineLevel="0" collapsed="false">
      <c r="C461" s="72" t="n">
        <f aca="false">COUNTIFS($D$6:D461,"&lt;&gt;"&amp;"")</f>
        <v>456</v>
      </c>
      <c r="D461" s="73" t="s">
        <v>12</v>
      </c>
      <c r="E461" s="76" t="str">
        <f aca="false">
IF($D461="정상",INDEX(임대자산!$D$3:$R$3000,MATCH($F461,임대자산!$I$3:$I$3000,0),MATCH(E$3,임대자산!$D$3:$R$3,0)),
IF($D461="폐업",INDEX(폐업정보!$D$3:$R$3000,MATCH($F461,폐업정보!$I$3:$I$3000,0),MATCH(E$3,폐업정보!$D$3:$R$3,0)),
"Error"))</f>
        <v>경상</v>
      </c>
      <c r="F46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B0456</v>
      </c>
      <c r="G461" s="76" t="str">
        <f aca="false">F461&amp;RANDBETWEEN(0,10)</f>
        <v>B04566</v>
      </c>
      <c r="H461" s="75" t="n">
        <f aca="false">
IF($D461="정상",INDEX(임대자산!$D$3:$R$3000,MATCH($F461,임대자산!$I$3:$I$3000,0),MATCH(H$4,임대자산!$D$3:$R$3,0)),
IF($D461="폐업",INDEX(폐업정보!$D$3:$R$3000,MATCH($F461,폐업정보!$I$3:$I$3000,0),MATCH(H$4,폐업정보!$D$3:$R$3,0)),
"Error"))</f>
        <v>45756</v>
      </c>
      <c r="I461" s="75" t="str">
        <f aca="false">
IF($D461="정상",INDEX(임대자산!$D$3:$R$3000,MATCH($F461,임대자산!$I$3:$I$3000,0),MATCH(I$4,임대자산!$D$3:$R$3,0)),
IF($D461="폐업",INDEX(폐업정보!$D$3:$R$3000,MATCH($F461,폐업정보!$I$3:$I$3000,0),MATCH(I$4,폐업정보!$D$3:$R$3,0)),
"Error"))</f>
        <v>A0456</v>
      </c>
      <c r="J461" s="75" t="str">
        <f aca="false">
IF($D461="정상",INDEX(임대자산!$D$3:$R$3000,MATCH($F461,임대자산!$I$3:$I$3000,0),MATCH(J$4,임대자산!$D$3:$R$3,0)),
IF($D461="폐업",INDEX(폐업정보!$D$3:$R$3000,MATCH($F461,폐업정보!$I$3:$I$3000,0),MATCH(J$4,폐업정보!$D$3:$R$3,0)),
"Error"))</f>
        <v>6786500000</v>
      </c>
      <c r="K461" s="75" t="str">
        <f aca="false">
IF($D461="정상",INDEX(임대자산!$D$3:$R$3000,MATCH($F461,임대자산!$I$3:$I$3000,0),MATCH(K$4,임대자산!$D$3:$R$3,0)),
IF($D461="폐업",INDEX(폐업정보!$D$3:$R$3000,MATCH($F461,폐업정보!$I$3:$I$3000,0),MATCH(K$4,폐업정보!$D$3:$R$3,0)),
"Error"))</f>
        <v>C0456</v>
      </c>
      <c r="L461" s="75" t="str">
        <f aca="false">
IF($D461="정상",INDEX(임대자산!$D$3:$R$3000,MATCH($F461,임대자산!$I$3:$I$3000,0),MATCH(L$4,임대자산!$D$3:$R$3,0)),
IF($D461="폐업",INDEX(폐업정보!$D$3:$R$3000,MATCH($F461,폐업정보!$I$3:$I$3000,0),MATCH(L$4,폐업정보!$D$3:$R$3,0)),
"Error"))</f>
        <v>D0456</v>
      </c>
      <c r="M461" s="76" t="s">
        <v>96</v>
      </c>
      <c r="N461" s="77"/>
      <c r="O461" s="78" t="s">
        <v>97</v>
      </c>
      <c r="P461" s="79" t="n">
        <f aca="false">COUNTIFS(임대자산!$I:$I,가맹점정보!F461,임대자산!$N:$N,가맹점정보!P$4)</f>
        <v>0</v>
      </c>
      <c r="Q461" s="80" t="n">
        <f aca="false">COUNTIFS(임대자산!$I:$I,가맹점정보!F461,임대자산!$N:$N,가맹점정보!Q$4)</f>
        <v>0</v>
      </c>
      <c r="R461" s="81" t="n">
        <f aca="false">COUNTIFS(임대자산!$I:$I,가맹점정보!F461,임대자산!$N:$N,가맹점정보!R$4)</f>
        <v>1</v>
      </c>
      <c r="S461" s="82" t="n">
        <v>55000</v>
      </c>
      <c r="T461" s="83" t="n">
        <v>0</v>
      </c>
      <c r="U461" s="80" t="n">
        <f aca="false">SUM(S461:T461)</f>
        <v>55000</v>
      </c>
      <c r="V461" s="84" t="s">
        <v>12</v>
      </c>
      <c r="W461" s="80" t="e">
        <f aca="true">
IF(D461="폐업","폐업",
IF(V461="면제","면제",
IF(AND(V461="정상",COUNTIFS(OFFSET(Y461,0,COUNTA(Y461:AV461)-1,1,-4),"미납")&gt;=3),"장기미납",
IF(AND(V461="정상",OFFSET(Y461,0,COUNTA(Y461:AV461)-1)&gt;=U461),"정상",
IF(AND(V461="정상",OFFSET(Y461,0,COUNTA(Y461:AV461)-1)=0),"정상",
"계약서 미작성")))))</f>
        <v>#VALUE!</v>
      </c>
      <c r="X461" s="81" t="str">
        <f aca="true">
IF(D461="폐업","폐업",
IF(AND(V461="정상",OFFSET(Y461,0,COUNTA(Y461:AV461)-1)="미납"),"미납",
IF(AND(V461="정상",OFFSET(Y461,0,COUNTA(Y461:AV461)-1)=0),"납부 시작 전",
IF(AND(V461="정상",OFFSET(Y461,0,COUNTA(Y461:AV461)-1)&gt;=U461),"정상",
IF(AND(V461="면제",OFFSET(Y461,0,COUNTA(Y461:AV461)-1)="면제"),"면제",
IF(AND(V461="면제",OFFSET(Y461,0,COUNTA(Y461:AV461)-1)=0),"면제",
"확인요청"))))))</f>
        <v>정상</v>
      </c>
      <c r="Y461" s="93" t="n">
        <v>55000</v>
      </c>
      <c r="Z461" s="90" t="n">
        <v>55000</v>
      </c>
      <c r="AA461" s="90" t="n">
        <v>55000</v>
      </c>
      <c r="AB461" s="90" t="n">
        <v>55000</v>
      </c>
      <c r="AC461" s="90" t="n">
        <v>55000</v>
      </c>
      <c r="AD461" s="90" t="n">
        <v>55000</v>
      </c>
      <c r="AE461" s="90" t="n">
        <v>55000</v>
      </c>
      <c r="AF461" s="90" t="n">
        <v>55000</v>
      </c>
      <c r="AG461" s="90" t="s">
        <v>98</v>
      </c>
      <c r="AH461" s="90" t="s">
        <v>98</v>
      </c>
      <c r="AI461" s="90" t="n">
        <v>165000</v>
      </c>
      <c r="AJ461" s="91" t="n">
        <v>55000</v>
      </c>
      <c r="AK461" s="89" t="n">
        <v>55000</v>
      </c>
      <c r="AL461" s="90" t="n">
        <v>55000</v>
      </c>
      <c r="AM461" s="90"/>
      <c r="AN461" s="90"/>
      <c r="AO461" s="90"/>
      <c r="AP461" s="90"/>
      <c r="AQ461" s="90"/>
      <c r="AR461" s="90"/>
      <c r="AS461" s="90"/>
      <c r="AT461" s="90"/>
      <c r="AU461" s="90"/>
      <c r="AV461" s="91"/>
      <c r="AX461" s="92"/>
    </row>
    <row r="462" customFormat="false" ht="15.65" hidden="false" customHeight="false" outlineLevel="0" collapsed="false">
      <c r="C462" s="72" t="n">
        <f aca="false">COUNTIFS($D$6:D462,"&lt;&gt;"&amp;"")</f>
        <v>457</v>
      </c>
      <c r="D462" s="73" t="s">
        <v>12</v>
      </c>
      <c r="E462" s="76" t="str">
        <f aca="false">
IF($D462="정상",INDEX(임대자산!$D$3:$R$3000,MATCH($F462,임대자산!$I$3:$I$3000,0),MATCH(E$3,임대자산!$D$3:$R$3,0)),
IF($D462="폐업",INDEX(폐업정보!$D$3:$R$3000,MATCH($F462,폐업정보!$I$3:$I$3000,0),MATCH(E$3,폐업정보!$D$3:$R$3,0)),
"Error"))</f>
        <v>경상</v>
      </c>
      <c r="F46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B0457</v>
      </c>
      <c r="G462" s="76" t="str">
        <f aca="false">F462&amp;RANDBETWEEN(0,10)</f>
        <v>B04578</v>
      </c>
      <c r="H462" s="75" t="n">
        <f aca="false">
IF($D462="정상",INDEX(임대자산!$D$3:$R$3000,MATCH($F462,임대자산!$I$3:$I$3000,0),MATCH(H$4,임대자산!$D$3:$R$3,0)),
IF($D462="폐업",INDEX(폐업정보!$D$3:$R$3000,MATCH($F462,폐업정보!$I$3:$I$3000,0),MATCH(H$4,폐업정보!$D$3:$R$3,0)),
"Error"))</f>
        <v>45758</v>
      </c>
      <c r="I462" s="75" t="str">
        <f aca="false">
IF($D462="정상",INDEX(임대자산!$D$3:$R$3000,MATCH($F462,임대자산!$I$3:$I$3000,0),MATCH(I$4,임대자산!$D$3:$R$3,0)),
IF($D462="폐업",INDEX(폐업정보!$D$3:$R$3000,MATCH($F462,폐업정보!$I$3:$I$3000,0),MATCH(I$4,폐업정보!$D$3:$R$3,0)),
"Error"))</f>
        <v>A0457</v>
      </c>
      <c r="J462" s="75" t="str">
        <f aca="false">
IF($D462="정상",INDEX(임대자산!$D$3:$R$3000,MATCH($F462,임대자산!$I$3:$I$3000,0),MATCH(J$4,임대자산!$D$3:$R$3,0)),
IF($D462="폐업",INDEX(폐업정보!$D$3:$R$3000,MATCH($F462,폐업정보!$I$3:$I$3000,0),MATCH(J$4,폐업정보!$D$3:$R$3,0)),
"Error"))</f>
        <v>3154300000</v>
      </c>
      <c r="K462" s="75" t="str">
        <f aca="false">
IF($D462="정상",INDEX(임대자산!$D$3:$R$3000,MATCH($F462,임대자산!$I$3:$I$3000,0),MATCH(K$4,임대자산!$D$3:$R$3,0)),
IF($D462="폐업",INDEX(폐업정보!$D$3:$R$3000,MATCH($F462,폐업정보!$I$3:$I$3000,0),MATCH(K$4,폐업정보!$D$3:$R$3,0)),
"Error"))</f>
        <v>C0457</v>
      </c>
      <c r="L462" s="75" t="str">
        <f aca="false">
IF($D462="정상",INDEX(임대자산!$D$3:$R$3000,MATCH($F462,임대자산!$I$3:$I$3000,0),MATCH(L$4,임대자산!$D$3:$R$3,0)),
IF($D462="폐업",INDEX(폐업정보!$D$3:$R$3000,MATCH($F462,폐업정보!$I$3:$I$3000,0),MATCH(L$4,폐업정보!$D$3:$R$3,0)),
"Error"))</f>
        <v>D0457</v>
      </c>
      <c r="M462" s="76" t="s">
        <v>96</v>
      </c>
      <c r="N462" s="77"/>
      <c r="O462" s="78" t="s">
        <v>97</v>
      </c>
      <c r="P462" s="79" t="n">
        <f aca="false">COUNTIFS(임대자산!$I:$I,가맹점정보!F462,임대자산!$N:$N,가맹점정보!P$4)</f>
        <v>0</v>
      </c>
      <c r="Q462" s="80" t="n">
        <f aca="false">COUNTIFS(임대자산!$I:$I,가맹점정보!F462,임대자산!$N:$N,가맹점정보!Q$4)</f>
        <v>0</v>
      </c>
      <c r="R462" s="81" t="n">
        <f aca="false">COUNTIFS(임대자산!$I:$I,가맹점정보!F462,임대자산!$N:$N,가맹점정보!R$4)</f>
        <v>1</v>
      </c>
      <c r="S462" s="82" t="n">
        <v>55000</v>
      </c>
      <c r="T462" s="83" t="n">
        <v>0</v>
      </c>
      <c r="U462" s="80" t="n">
        <f aca="false">SUM(S462:T462)</f>
        <v>55000</v>
      </c>
      <c r="V462" s="84" t="s">
        <v>7</v>
      </c>
      <c r="W462" s="80" t="str">
        <f aca="true">
IF(D462="폐업","폐업",
IF(V462="면제","면제",
IF(AND(V462="정상",COUNTIFS(OFFSET(Y462,0,COUNTA(Y462:AV462)-1,1,-4),"미납")&gt;=3),"장기미납",
IF(AND(V462="정상",OFFSET(Y462,0,COUNTA(Y462:AV462)-1)&gt;=U462),"정상",
IF(AND(V462="정상",OFFSET(Y462,0,COUNTA(Y462:AV462)-1)=0),"정상",
"계약서 미작성")))))</f>
        <v>면제</v>
      </c>
      <c r="X462" s="81" t="str">
        <f aca="true">
IF(D462="폐업","폐업",
IF(AND(V462="정상",OFFSET(Y462,0,COUNTA(Y462:AV462)-1)="미납"),"미납",
IF(AND(V462="정상",OFFSET(Y462,0,COUNTA(Y462:AV462)-1)=0),"납부 시작 전",
IF(AND(V462="정상",OFFSET(Y462,0,COUNTA(Y462:AV462)-1)&gt;=U462),"정상",
IF(AND(V462="면제",OFFSET(Y462,0,COUNTA(Y462:AV462)-1)="면제"),"면제",
IF(AND(V462="면제",OFFSET(Y462,0,COUNTA(Y462:AV462)-1)=0),"면제",
"확인요청"))))))</f>
        <v>면제</v>
      </c>
      <c r="Y462" s="94" t="s">
        <v>7</v>
      </c>
      <c r="Z462" s="95" t="s">
        <v>7</v>
      </c>
      <c r="AA462" s="95" t="s">
        <v>7</v>
      </c>
      <c r="AB462" s="95" t="s">
        <v>7</v>
      </c>
      <c r="AC462" s="95" t="s">
        <v>7</v>
      </c>
      <c r="AD462" s="95" t="s">
        <v>7</v>
      </c>
      <c r="AE462" s="95" t="s">
        <v>7</v>
      </c>
      <c r="AF462" s="95" t="s">
        <v>7</v>
      </c>
      <c r="AG462" s="95" t="s">
        <v>7</v>
      </c>
      <c r="AH462" s="95" t="s">
        <v>7</v>
      </c>
      <c r="AI462" s="95" t="s">
        <v>7</v>
      </c>
      <c r="AJ462" s="96" t="s">
        <v>7</v>
      </c>
      <c r="AK462" s="97" t="s">
        <v>7</v>
      </c>
      <c r="AL462" s="95" t="s">
        <v>7</v>
      </c>
      <c r="AM462" s="90"/>
      <c r="AN462" s="90"/>
      <c r="AO462" s="90"/>
      <c r="AP462" s="90"/>
      <c r="AQ462" s="90"/>
      <c r="AR462" s="90"/>
      <c r="AS462" s="90"/>
      <c r="AT462" s="90"/>
      <c r="AU462" s="90"/>
      <c r="AV462" s="91"/>
      <c r="AX462" s="92"/>
    </row>
    <row r="463" customFormat="false" ht="15.65" hidden="false" customHeight="false" outlineLevel="0" collapsed="false">
      <c r="C463" s="72" t="n">
        <f aca="false">COUNTIFS($D$6:D463,"&lt;&gt;"&amp;"")</f>
        <v>458</v>
      </c>
      <c r="D463" s="73" t="s">
        <v>12</v>
      </c>
      <c r="E463" s="76" t="str">
        <f aca="false">
IF($D463="정상",INDEX(임대자산!$D$3:$R$3000,MATCH($F463,임대자산!$I$3:$I$3000,0),MATCH(E$3,임대자산!$D$3:$R$3,0)),
IF($D463="폐업",INDEX(폐업정보!$D$3:$R$3000,MATCH($F463,폐업정보!$I$3:$I$3000,0),MATCH(E$3,폐업정보!$D$3:$R$3,0)),
"Error"))</f>
        <v>경상</v>
      </c>
      <c r="F46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B0458</v>
      </c>
      <c r="G463" s="76" t="str">
        <f aca="false">F463&amp;RANDBETWEEN(0,10)</f>
        <v>B04585</v>
      </c>
      <c r="H463" s="75" t="n">
        <f aca="false">
IF($D463="정상",INDEX(임대자산!$D$3:$R$3000,MATCH($F463,임대자산!$I$3:$I$3000,0),MATCH(H$4,임대자산!$D$3:$R$3,0)),
IF($D463="폐업",INDEX(폐업정보!$D$3:$R$3000,MATCH($F463,폐업정보!$I$3:$I$3000,0),MATCH(H$4,폐업정보!$D$3:$R$3,0)),
"Error"))</f>
        <v>45758</v>
      </c>
      <c r="I463" s="75" t="str">
        <f aca="false">
IF($D463="정상",INDEX(임대자산!$D$3:$R$3000,MATCH($F463,임대자산!$I$3:$I$3000,0),MATCH(I$4,임대자산!$D$3:$R$3,0)),
IF($D463="폐업",INDEX(폐업정보!$D$3:$R$3000,MATCH($F463,폐업정보!$I$3:$I$3000,0),MATCH(I$4,폐업정보!$D$3:$R$3,0)),
"Error"))</f>
        <v>A0458</v>
      </c>
      <c r="J463" s="75" t="str">
        <f aca="false">
IF($D463="정상",INDEX(임대자산!$D$3:$R$3000,MATCH($F463,임대자산!$I$3:$I$3000,0),MATCH(J$4,임대자산!$D$3:$R$3,0)),
IF($D463="폐업",INDEX(폐업정보!$D$3:$R$3000,MATCH($F463,폐업정보!$I$3:$I$3000,0),MATCH(J$4,폐업정보!$D$3:$R$3,0)),
"Error"))</f>
        <v>6921100000</v>
      </c>
      <c r="K463" s="75" t="str">
        <f aca="false">
IF($D463="정상",INDEX(임대자산!$D$3:$R$3000,MATCH($F463,임대자산!$I$3:$I$3000,0),MATCH(K$4,임대자산!$D$3:$R$3,0)),
IF($D463="폐업",INDEX(폐업정보!$D$3:$R$3000,MATCH($F463,폐업정보!$I$3:$I$3000,0),MATCH(K$4,폐업정보!$D$3:$R$3,0)),
"Error"))</f>
        <v>C0458</v>
      </c>
      <c r="L463" s="75" t="str">
        <f aca="false">
IF($D463="정상",INDEX(임대자산!$D$3:$R$3000,MATCH($F463,임대자산!$I$3:$I$3000,0),MATCH(L$4,임대자산!$D$3:$R$3,0)),
IF($D463="폐업",INDEX(폐업정보!$D$3:$R$3000,MATCH($F463,폐업정보!$I$3:$I$3000,0),MATCH(L$4,폐업정보!$D$3:$R$3,0)),
"Error"))</f>
        <v>D0458</v>
      </c>
      <c r="M463" s="76" t="s">
        <v>96</v>
      </c>
      <c r="N463" s="77"/>
      <c r="O463" s="78" t="s">
        <v>97</v>
      </c>
      <c r="P463" s="79" t="n">
        <f aca="false">COUNTIFS(임대자산!$I:$I,가맹점정보!F463,임대자산!$N:$N,가맹점정보!P$4)</f>
        <v>0</v>
      </c>
      <c r="Q463" s="80" t="n">
        <f aca="false">COUNTIFS(임대자산!$I:$I,가맹점정보!F463,임대자산!$N:$N,가맹점정보!Q$4)</f>
        <v>0</v>
      </c>
      <c r="R463" s="81" t="n">
        <f aca="false">COUNTIFS(임대자산!$I:$I,가맹점정보!F463,임대자산!$N:$N,가맹점정보!R$4)</f>
        <v>1</v>
      </c>
      <c r="S463" s="82" t="n">
        <v>88000</v>
      </c>
      <c r="T463" s="83" t="n">
        <v>0</v>
      </c>
      <c r="U463" s="80" t="n">
        <f aca="false">SUM(S463:T463)</f>
        <v>88000</v>
      </c>
      <c r="V463" s="84" t="s">
        <v>12</v>
      </c>
      <c r="W463" s="80" t="e">
        <f aca="true">
IF(D463="폐업","폐업",
IF(V463="면제","면제",
IF(AND(V463="정상",COUNTIFS(OFFSET(Y463,0,COUNTA(Y463:AV463)-1,1,-4),"미납")&gt;=3),"장기미납",
IF(AND(V463="정상",OFFSET(Y463,0,COUNTA(Y463:AV463)-1)&gt;=U463),"정상",
IF(AND(V463="정상",OFFSET(Y463,0,COUNTA(Y463:AV463)-1)=0),"정상",
"계약서 미작성")))))</f>
        <v>#VALUE!</v>
      </c>
      <c r="X463" s="81" t="str">
        <f aca="true">
IF(D463="폐업","폐업",
IF(AND(V463="정상",OFFSET(Y463,0,COUNTA(Y463:AV463)-1)="미납"),"미납",
IF(AND(V463="정상",OFFSET(Y463,0,COUNTA(Y463:AV463)-1)=0),"납부 시작 전",
IF(AND(V463="정상",OFFSET(Y463,0,COUNTA(Y463:AV463)-1)&gt;=U463),"정상",
IF(AND(V463="면제",OFFSET(Y463,0,COUNTA(Y463:AV463)-1)="면제"),"면제",
IF(AND(V463="면제",OFFSET(Y463,0,COUNTA(Y463:AV463)-1)=0),"면제",
"확인요청"))))))</f>
        <v>정상</v>
      </c>
      <c r="Y463" s="93" t="n">
        <v>88000</v>
      </c>
      <c r="Z463" s="90" t="n">
        <v>88000</v>
      </c>
      <c r="AA463" s="90" t="n">
        <v>88000</v>
      </c>
      <c r="AB463" s="90" t="n">
        <v>88000</v>
      </c>
      <c r="AC463" s="90" t="n">
        <v>88000</v>
      </c>
      <c r="AD463" s="90" t="n">
        <v>88000</v>
      </c>
      <c r="AE463" s="90" t="n">
        <v>88000</v>
      </c>
      <c r="AF463" s="90" t="n">
        <v>88000</v>
      </c>
      <c r="AG463" s="90" t="n">
        <v>88000</v>
      </c>
      <c r="AH463" s="90" t="n">
        <v>88000</v>
      </c>
      <c r="AI463" s="90" t="n">
        <v>88000</v>
      </c>
      <c r="AJ463" s="91" t="n">
        <v>88000</v>
      </c>
      <c r="AK463" s="89" t="n">
        <v>88000</v>
      </c>
      <c r="AL463" s="90" t="n">
        <v>88000</v>
      </c>
      <c r="AM463" s="90"/>
      <c r="AN463" s="90"/>
      <c r="AO463" s="90"/>
      <c r="AP463" s="90"/>
      <c r="AQ463" s="90"/>
      <c r="AR463" s="90"/>
      <c r="AS463" s="90"/>
      <c r="AT463" s="90"/>
      <c r="AU463" s="90"/>
      <c r="AV463" s="91"/>
      <c r="AX463" s="92"/>
    </row>
    <row r="464" customFormat="false" ht="15.65" hidden="false" customHeight="false" outlineLevel="0" collapsed="false">
      <c r="C464" s="72" t="n">
        <f aca="false">COUNTIFS($D$6:D464,"&lt;&gt;"&amp;"")</f>
        <v>459</v>
      </c>
      <c r="D464" s="73" t="s">
        <v>12</v>
      </c>
      <c r="E464" s="76" t="str">
        <f aca="false">
IF($D464="정상",INDEX(임대자산!$D$3:$R$3000,MATCH($F464,임대자산!$I$3:$I$3000,0),MATCH(E$3,임대자산!$D$3:$R$3,0)),
IF($D464="폐업",INDEX(폐업정보!$D$3:$R$3000,MATCH($F464,폐업정보!$I$3:$I$3000,0),MATCH(E$3,폐업정보!$D$3:$R$3,0)),
"Error"))</f>
        <v>경상</v>
      </c>
      <c r="F46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B0459</v>
      </c>
      <c r="G464" s="76" t="str">
        <f aca="false">F464&amp;RANDBETWEEN(0,10)</f>
        <v>B04593</v>
      </c>
      <c r="H464" s="75" t="n">
        <f aca="false">
IF($D464="정상",INDEX(임대자산!$D$3:$R$3000,MATCH($F464,임대자산!$I$3:$I$3000,0),MATCH(H$4,임대자산!$D$3:$R$3,0)),
IF($D464="폐업",INDEX(폐업정보!$D$3:$R$3000,MATCH($F464,폐업정보!$I$3:$I$3000,0),MATCH(H$4,폐업정보!$D$3:$R$3,0)),
"Error"))</f>
        <v>45758</v>
      </c>
      <c r="I464" s="75" t="str">
        <f aca="false">
IF($D464="정상",INDEX(임대자산!$D$3:$R$3000,MATCH($F464,임대자산!$I$3:$I$3000,0),MATCH(I$4,임대자산!$D$3:$R$3,0)),
IF($D464="폐업",INDEX(폐업정보!$D$3:$R$3000,MATCH($F464,폐업정보!$I$3:$I$3000,0),MATCH(I$4,폐업정보!$D$3:$R$3,0)),
"Error"))</f>
        <v>A0459</v>
      </c>
      <c r="J464" s="75" t="str">
        <f aca="false">
IF($D464="정상",INDEX(임대자산!$D$3:$R$3000,MATCH($F464,임대자산!$I$3:$I$3000,0),MATCH(J$4,임대자산!$D$3:$R$3,0)),
IF($D464="폐업",INDEX(폐업정보!$D$3:$R$3000,MATCH($F464,폐업정보!$I$3:$I$3000,0),MATCH(J$4,폐업정보!$D$3:$R$3,0)),
"Error"))</f>
        <v>1365900000</v>
      </c>
      <c r="K464" s="75" t="str">
        <f aca="false">
IF($D464="정상",INDEX(임대자산!$D$3:$R$3000,MATCH($F464,임대자산!$I$3:$I$3000,0),MATCH(K$4,임대자산!$D$3:$R$3,0)),
IF($D464="폐업",INDEX(폐업정보!$D$3:$R$3000,MATCH($F464,폐업정보!$I$3:$I$3000,0),MATCH(K$4,폐업정보!$D$3:$R$3,0)),
"Error"))</f>
        <v>C0459</v>
      </c>
      <c r="L464" s="75" t="str">
        <f aca="false">
IF($D464="정상",INDEX(임대자산!$D$3:$R$3000,MATCH($F464,임대자산!$I$3:$I$3000,0),MATCH(L$4,임대자산!$D$3:$R$3,0)),
IF($D464="폐업",INDEX(폐업정보!$D$3:$R$3000,MATCH($F464,폐업정보!$I$3:$I$3000,0),MATCH(L$4,폐업정보!$D$3:$R$3,0)),
"Error"))</f>
        <v>D0459</v>
      </c>
      <c r="M464" s="76" t="s">
        <v>96</v>
      </c>
      <c r="N464" s="77"/>
      <c r="O464" s="78" t="s">
        <v>97</v>
      </c>
      <c r="P464" s="79" t="n">
        <f aca="false">COUNTIFS(임대자산!$I:$I,가맹점정보!F464,임대자산!$N:$N,가맹점정보!P$4)</f>
        <v>0</v>
      </c>
      <c r="Q464" s="80" t="n">
        <f aca="false">COUNTIFS(임대자산!$I:$I,가맹점정보!F464,임대자산!$N:$N,가맹점정보!Q$4)</f>
        <v>0</v>
      </c>
      <c r="R464" s="81" t="n">
        <f aca="false">COUNTIFS(임대자산!$I:$I,가맹점정보!F464,임대자산!$N:$N,가맹점정보!R$4)</f>
        <v>1</v>
      </c>
      <c r="S464" s="82" t="n">
        <v>55000</v>
      </c>
      <c r="T464" s="83" t="n">
        <v>0</v>
      </c>
      <c r="U464" s="80" t="n">
        <f aca="false">SUM(S464:T464)</f>
        <v>55000</v>
      </c>
      <c r="V464" s="84" t="s">
        <v>7</v>
      </c>
      <c r="W464" s="80" t="str">
        <f aca="true">
IF(D464="폐업","폐업",
IF(V464="면제","면제",
IF(AND(V464="정상",COUNTIFS(OFFSET(Y464,0,COUNTA(Y464:AV464)-1,1,-4),"미납")&gt;=3),"장기미납",
IF(AND(V464="정상",OFFSET(Y464,0,COUNTA(Y464:AV464)-1)&gt;=U464),"정상",
IF(AND(V464="정상",OFFSET(Y464,0,COUNTA(Y464:AV464)-1)=0),"정상",
"계약서 미작성")))))</f>
        <v>면제</v>
      </c>
      <c r="X464" s="81" t="str">
        <f aca="true">
IF(D464="폐업","폐업",
IF(AND(V464="정상",OFFSET(Y464,0,COUNTA(Y464:AV464)-1)="미납"),"미납",
IF(AND(V464="정상",OFFSET(Y464,0,COUNTA(Y464:AV464)-1)=0),"납부 시작 전",
IF(AND(V464="정상",OFFSET(Y464,0,COUNTA(Y464:AV464)-1)&gt;=U464),"정상",
IF(AND(V464="면제",OFFSET(Y464,0,COUNTA(Y464:AV464)-1)="면제"),"면제",
IF(AND(V464="면제",OFFSET(Y464,0,COUNTA(Y464:AV464)-1)=0),"면제",
"확인요청"))))))</f>
        <v>면제</v>
      </c>
      <c r="Y464" s="94" t="s">
        <v>7</v>
      </c>
      <c r="Z464" s="95" t="s">
        <v>7</v>
      </c>
      <c r="AA464" s="95" t="s">
        <v>7</v>
      </c>
      <c r="AB464" s="95" t="s">
        <v>7</v>
      </c>
      <c r="AC464" s="95" t="s">
        <v>7</v>
      </c>
      <c r="AD464" s="95" t="s">
        <v>7</v>
      </c>
      <c r="AE464" s="95" t="s">
        <v>7</v>
      </c>
      <c r="AF464" s="95" t="s">
        <v>7</v>
      </c>
      <c r="AG464" s="95" t="s">
        <v>7</v>
      </c>
      <c r="AH464" s="95" t="s">
        <v>7</v>
      </c>
      <c r="AI464" s="95" t="s">
        <v>7</v>
      </c>
      <c r="AJ464" s="96" t="s">
        <v>7</v>
      </c>
      <c r="AK464" s="97" t="s">
        <v>7</v>
      </c>
      <c r="AL464" s="95" t="s">
        <v>7</v>
      </c>
      <c r="AM464" s="90"/>
      <c r="AN464" s="90"/>
      <c r="AO464" s="90"/>
      <c r="AP464" s="90"/>
      <c r="AQ464" s="90"/>
      <c r="AR464" s="90"/>
      <c r="AS464" s="90"/>
      <c r="AT464" s="90"/>
      <c r="AU464" s="90"/>
      <c r="AV464" s="91"/>
      <c r="AX464" s="92"/>
    </row>
    <row r="465" customFormat="false" ht="15.65" hidden="false" customHeight="false" outlineLevel="0" collapsed="false">
      <c r="C465" s="72" t="n">
        <f aca="false">COUNTIFS($D$6:D465,"&lt;&gt;"&amp;"")</f>
        <v>460</v>
      </c>
      <c r="D465" s="73" t="s">
        <v>12</v>
      </c>
      <c r="E465" s="76" t="str">
        <f aca="false">
IF($D465="정상",INDEX(임대자산!$D$3:$R$3000,MATCH($F465,임대자산!$I$3:$I$3000,0),MATCH(E$3,임대자산!$D$3:$R$3,0)),
IF($D465="폐업",INDEX(폐업정보!$D$3:$R$3000,MATCH($F465,폐업정보!$I$3:$I$3000,0),MATCH(E$3,폐업정보!$D$3:$R$3,0)),
"Error"))</f>
        <v>경상</v>
      </c>
      <c r="F46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B0460</v>
      </c>
      <c r="G465" s="76" t="str">
        <f aca="false">F465&amp;RANDBETWEEN(0,10)</f>
        <v>B04603</v>
      </c>
      <c r="H465" s="75" t="n">
        <f aca="false">
IF($D465="정상",INDEX(임대자산!$D$3:$R$3000,MATCH($F465,임대자산!$I$3:$I$3000,0),MATCH(H$4,임대자산!$D$3:$R$3,0)),
IF($D465="폐업",INDEX(폐업정보!$D$3:$R$3000,MATCH($F465,폐업정보!$I$3:$I$3000,0),MATCH(H$4,폐업정보!$D$3:$R$3,0)),
"Error"))</f>
        <v>45749</v>
      </c>
      <c r="I465" s="75" t="str">
        <f aca="false">
IF($D465="정상",INDEX(임대자산!$D$3:$R$3000,MATCH($F465,임대자산!$I$3:$I$3000,0),MATCH(I$4,임대자산!$D$3:$R$3,0)),
IF($D465="폐업",INDEX(폐업정보!$D$3:$R$3000,MATCH($F465,폐업정보!$I$3:$I$3000,0),MATCH(I$4,폐업정보!$D$3:$R$3,0)),
"Error"))</f>
        <v>A0460</v>
      </c>
      <c r="J465" s="75" t="str">
        <f aca="false">
IF($D465="정상",INDEX(임대자산!$D$3:$R$3000,MATCH($F465,임대자산!$I$3:$I$3000,0),MATCH(J$4,임대자산!$D$3:$R$3,0)),
IF($D465="폐업",INDEX(폐업정보!$D$3:$R$3000,MATCH($F465,폐업정보!$I$3:$I$3000,0),MATCH(J$4,폐업정보!$D$3:$R$3,0)),
"Error"))</f>
        <v>2109500000</v>
      </c>
      <c r="K465" s="75" t="str">
        <f aca="false">
IF($D465="정상",INDEX(임대자산!$D$3:$R$3000,MATCH($F465,임대자산!$I$3:$I$3000,0),MATCH(K$4,임대자산!$D$3:$R$3,0)),
IF($D465="폐업",INDEX(폐업정보!$D$3:$R$3000,MATCH($F465,폐업정보!$I$3:$I$3000,0),MATCH(K$4,폐업정보!$D$3:$R$3,0)),
"Error"))</f>
        <v>C0460</v>
      </c>
      <c r="L465" s="75" t="str">
        <f aca="false">
IF($D465="정상",INDEX(임대자산!$D$3:$R$3000,MATCH($F465,임대자산!$I$3:$I$3000,0),MATCH(L$4,임대자산!$D$3:$R$3,0)),
IF($D465="폐업",INDEX(폐업정보!$D$3:$R$3000,MATCH($F465,폐업정보!$I$3:$I$3000,0),MATCH(L$4,폐업정보!$D$3:$R$3,0)),
"Error"))</f>
        <v>D0460</v>
      </c>
      <c r="M465" s="76" t="s">
        <v>96</v>
      </c>
      <c r="N465" s="77"/>
      <c r="O465" s="78" t="s">
        <v>97</v>
      </c>
      <c r="P465" s="79" t="n">
        <f aca="false">COUNTIFS(임대자산!$I:$I,가맹점정보!F465,임대자산!$N:$N,가맹점정보!P$4)</f>
        <v>0</v>
      </c>
      <c r="Q465" s="80" t="n">
        <f aca="false">COUNTIFS(임대자산!$I:$I,가맹점정보!F465,임대자산!$N:$N,가맹점정보!Q$4)</f>
        <v>0</v>
      </c>
      <c r="R465" s="81" t="n">
        <f aca="false">COUNTIFS(임대자산!$I:$I,가맹점정보!F465,임대자산!$N:$N,가맹점정보!R$4)</f>
        <v>1</v>
      </c>
      <c r="S465" s="82" t="n">
        <v>88000</v>
      </c>
      <c r="T465" s="83" t="n">
        <v>0</v>
      </c>
      <c r="U465" s="80" t="n">
        <f aca="false">SUM(S465:T465)</f>
        <v>88000</v>
      </c>
      <c r="V465" s="84" t="s">
        <v>7</v>
      </c>
      <c r="W465" s="80" t="str">
        <f aca="true">
IF(D465="폐업","폐업",
IF(V465="면제","면제",
IF(AND(V465="정상",COUNTIFS(OFFSET(Y465,0,COUNTA(Y465:AV465)-1,1,-4),"미납")&gt;=3),"장기미납",
IF(AND(V465="정상",OFFSET(Y465,0,COUNTA(Y465:AV465)-1)&gt;=U465),"정상",
IF(AND(V465="정상",OFFSET(Y465,0,COUNTA(Y465:AV465)-1)=0),"정상",
"계약서 미작성")))))</f>
        <v>면제</v>
      </c>
      <c r="X465" s="81" t="str">
        <f aca="true">
IF(D465="폐업","폐업",
IF(AND(V465="정상",OFFSET(Y465,0,COUNTA(Y465:AV465)-1)="미납"),"미납",
IF(AND(V465="정상",OFFSET(Y465,0,COUNTA(Y465:AV465)-1)=0),"납부 시작 전",
IF(AND(V465="정상",OFFSET(Y465,0,COUNTA(Y465:AV465)-1)&gt;=U465),"정상",
IF(AND(V465="면제",OFFSET(Y465,0,COUNTA(Y465:AV465)-1)="면제"),"면제",
IF(AND(V465="면제",OFFSET(Y465,0,COUNTA(Y465:AV465)-1)=0),"면제",
"확인요청"))))))</f>
        <v>면제</v>
      </c>
      <c r="Y465" s="94" t="s">
        <v>7</v>
      </c>
      <c r="Z465" s="95" t="s">
        <v>7</v>
      </c>
      <c r="AA465" s="95" t="s">
        <v>7</v>
      </c>
      <c r="AB465" s="95" t="s">
        <v>7</v>
      </c>
      <c r="AC465" s="95" t="s">
        <v>7</v>
      </c>
      <c r="AD465" s="95" t="s">
        <v>7</v>
      </c>
      <c r="AE465" s="95" t="s">
        <v>7</v>
      </c>
      <c r="AF465" s="95" t="s">
        <v>7</v>
      </c>
      <c r="AG465" s="95" t="s">
        <v>7</v>
      </c>
      <c r="AH465" s="95" t="s">
        <v>7</v>
      </c>
      <c r="AI465" s="95" t="s">
        <v>7</v>
      </c>
      <c r="AJ465" s="96" t="s">
        <v>7</v>
      </c>
      <c r="AK465" s="97" t="s">
        <v>7</v>
      </c>
      <c r="AL465" s="95" t="s">
        <v>7</v>
      </c>
      <c r="AM465" s="90"/>
      <c r="AN465" s="90"/>
      <c r="AO465" s="90"/>
      <c r="AP465" s="90"/>
      <c r="AQ465" s="90"/>
      <c r="AR465" s="90"/>
      <c r="AS465" s="90"/>
      <c r="AT465" s="90"/>
      <c r="AU465" s="90"/>
      <c r="AV465" s="91"/>
      <c r="AX465" s="92"/>
    </row>
    <row r="466" customFormat="false" ht="15.65" hidden="false" customHeight="false" outlineLevel="0" collapsed="false">
      <c r="C466" s="72" t="n">
        <f aca="false">COUNTIFS($D$6:D466,"&lt;&gt;"&amp;"")</f>
        <v>461</v>
      </c>
      <c r="D466" s="73" t="s">
        <v>12</v>
      </c>
      <c r="E466" s="76" t="str">
        <f aca="false">
IF($D466="정상",INDEX(임대자산!$D$3:$R$3000,MATCH($F466,임대자산!$I$3:$I$3000,0),MATCH(E$3,임대자산!$D$3:$R$3,0)),
IF($D466="폐업",INDEX(폐업정보!$D$3:$R$3000,MATCH($F466,폐업정보!$I$3:$I$3000,0),MATCH(E$3,폐업정보!$D$3:$R$3,0)),
"Error"))</f>
        <v>경상</v>
      </c>
      <c r="F46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B0461</v>
      </c>
      <c r="G466" s="76" t="str">
        <f aca="false">F466&amp;RANDBETWEEN(0,10)</f>
        <v>B04615</v>
      </c>
      <c r="H466" s="75" t="n">
        <f aca="false">
IF($D466="정상",INDEX(임대자산!$D$3:$R$3000,MATCH($F466,임대자산!$I$3:$I$3000,0),MATCH(H$4,임대자산!$D$3:$R$3,0)),
IF($D466="폐업",INDEX(폐업정보!$D$3:$R$3000,MATCH($F466,폐업정보!$I$3:$I$3000,0),MATCH(H$4,폐업정보!$D$3:$R$3,0)),
"Error"))</f>
        <v>45769</v>
      </c>
      <c r="I466" s="75" t="str">
        <f aca="false">
IF($D466="정상",INDEX(임대자산!$D$3:$R$3000,MATCH($F466,임대자산!$I$3:$I$3000,0),MATCH(I$4,임대자산!$D$3:$R$3,0)),
IF($D466="폐업",INDEX(폐업정보!$D$3:$R$3000,MATCH($F466,폐업정보!$I$3:$I$3000,0),MATCH(I$4,폐업정보!$D$3:$R$3,0)),
"Error"))</f>
        <v>A0461</v>
      </c>
      <c r="J466" s="75" t="str">
        <f aca="false">
IF($D466="정상",INDEX(임대자산!$D$3:$R$3000,MATCH($F466,임대자산!$I$3:$I$3000,0),MATCH(J$4,임대자산!$D$3:$R$3,0)),
IF($D466="폐업",INDEX(폐업정보!$D$3:$R$3000,MATCH($F466,폐업정보!$I$3:$I$3000,0),MATCH(J$4,폐업정보!$D$3:$R$3,0)),
"Error"))</f>
        <v>4584700000</v>
      </c>
      <c r="K466" s="75" t="str">
        <f aca="false">
IF($D466="정상",INDEX(임대자산!$D$3:$R$3000,MATCH($F466,임대자산!$I$3:$I$3000,0),MATCH(K$4,임대자산!$D$3:$R$3,0)),
IF($D466="폐업",INDEX(폐업정보!$D$3:$R$3000,MATCH($F466,폐업정보!$I$3:$I$3000,0),MATCH(K$4,폐업정보!$D$3:$R$3,0)),
"Error"))</f>
        <v>C0461</v>
      </c>
      <c r="L466" s="75" t="str">
        <f aca="false">
IF($D466="정상",INDEX(임대자산!$D$3:$R$3000,MATCH($F466,임대자산!$I$3:$I$3000,0),MATCH(L$4,임대자산!$D$3:$R$3,0)),
IF($D466="폐업",INDEX(폐업정보!$D$3:$R$3000,MATCH($F466,폐업정보!$I$3:$I$3000,0),MATCH(L$4,폐업정보!$D$3:$R$3,0)),
"Error"))</f>
        <v>D0461</v>
      </c>
      <c r="M466" s="76" t="s">
        <v>96</v>
      </c>
      <c r="N466" s="77"/>
      <c r="O466" s="78" t="s">
        <v>97</v>
      </c>
      <c r="P466" s="79" t="n">
        <f aca="false">COUNTIFS(임대자산!$I:$I,가맹점정보!F466,임대자산!$N:$N,가맹점정보!P$4)</f>
        <v>0</v>
      </c>
      <c r="Q466" s="80" t="n">
        <f aca="false">COUNTIFS(임대자산!$I:$I,가맹점정보!F466,임대자산!$N:$N,가맹점정보!Q$4)</f>
        <v>0</v>
      </c>
      <c r="R466" s="81" t="n">
        <f aca="false">COUNTIFS(임대자산!$I:$I,가맹점정보!F466,임대자산!$N:$N,가맹점정보!R$4)</f>
        <v>1</v>
      </c>
      <c r="S466" s="82" t="n">
        <v>132000</v>
      </c>
      <c r="T466" s="83" t="n">
        <v>0</v>
      </c>
      <c r="U466" s="80" t="n">
        <f aca="false">SUM(S466:T466)</f>
        <v>132000</v>
      </c>
      <c r="V466" s="84" t="s">
        <v>7</v>
      </c>
      <c r="W466" s="80" t="str">
        <f aca="true">
IF(D466="폐업","폐업",
IF(V466="면제","면제",
IF(AND(V466="정상",COUNTIFS(OFFSET(Y466,0,COUNTA(Y466:AV466)-1,1,-4),"미납")&gt;=3),"장기미납",
IF(AND(V466="정상",OFFSET(Y466,0,COUNTA(Y466:AV466)-1)&gt;=U466),"정상",
IF(AND(V466="정상",OFFSET(Y466,0,COUNTA(Y466:AV466)-1)=0),"정상",
"계약서 미작성")))))</f>
        <v>면제</v>
      </c>
      <c r="X466" s="81" t="str">
        <f aca="true">
IF(D466="폐업","폐업",
IF(AND(V466="정상",OFFSET(Y466,0,COUNTA(Y466:AV466)-1)="미납"),"미납",
IF(AND(V466="정상",OFFSET(Y466,0,COUNTA(Y466:AV466)-1)=0),"납부 시작 전",
IF(AND(V466="정상",OFFSET(Y466,0,COUNTA(Y466:AV466)-1)&gt;=U466),"정상",
IF(AND(V466="면제",OFFSET(Y466,0,COUNTA(Y466:AV466)-1)="면제"),"면제",
IF(AND(V466="면제",OFFSET(Y466,0,COUNTA(Y466:AV466)-1)=0),"면제",
"확인요청"))))))</f>
        <v>면제</v>
      </c>
      <c r="Y466" s="94" t="s">
        <v>7</v>
      </c>
      <c r="Z466" s="95" t="s">
        <v>7</v>
      </c>
      <c r="AA466" s="95" t="s">
        <v>7</v>
      </c>
      <c r="AB466" s="95" t="s">
        <v>7</v>
      </c>
      <c r="AC466" s="95" t="s">
        <v>7</v>
      </c>
      <c r="AD466" s="95" t="s">
        <v>7</v>
      </c>
      <c r="AE466" s="95" t="s">
        <v>7</v>
      </c>
      <c r="AF466" s="95" t="s">
        <v>7</v>
      </c>
      <c r="AG466" s="95" t="s">
        <v>7</v>
      </c>
      <c r="AH466" s="95" t="s">
        <v>7</v>
      </c>
      <c r="AI466" s="95" t="s">
        <v>7</v>
      </c>
      <c r="AJ466" s="96" t="s">
        <v>7</v>
      </c>
      <c r="AK466" s="97" t="s">
        <v>7</v>
      </c>
      <c r="AL466" s="95" t="s">
        <v>7</v>
      </c>
      <c r="AM466" s="90"/>
      <c r="AN466" s="90"/>
      <c r="AO466" s="90"/>
      <c r="AP466" s="90"/>
      <c r="AQ466" s="90"/>
      <c r="AR466" s="90"/>
      <c r="AS466" s="90"/>
      <c r="AT466" s="90"/>
      <c r="AU466" s="90"/>
      <c r="AV466" s="91"/>
      <c r="AX466" s="92"/>
    </row>
    <row r="467" customFormat="false" ht="15.65" hidden="false" customHeight="false" outlineLevel="0" collapsed="false">
      <c r="C467" s="72" t="n">
        <f aca="false">COUNTIFS($D$6:D467,"&lt;&gt;"&amp;"")</f>
        <v>462</v>
      </c>
      <c r="D467" s="73" t="s">
        <v>12</v>
      </c>
      <c r="E467" s="76" t="str">
        <f aca="false">
IF($D467="정상",INDEX(임대자산!$D$3:$R$3000,MATCH($F467,임대자산!$I$3:$I$3000,0),MATCH(E$3,임대자산!$D$3:$R$3,0)),
IF($D467="폐업",INDEX(폐업정보!$D$3:$R$3000,MATCH($F467,폐업정보!$I$3:$I$3000,0),MATCH(E$3,폐업정보!$D$3:$R$3,0)),
"Error"))</f>
        <v>전라</v>
      </c>
      <c r="F46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B0462</v>
      </c>
      <c r="G467" s="76" t="str">
        <f aca="false">F467&amp;RANDBETWEEN(0,10)</f>
        <v>B04625</v>
      </c>
      <c r="H467" s="75" t="n">
        <f aca="false">
IF($D467="정상",INDEX(임대자산!$D$3:$R$3000,MATCH($F467,임대자산!$I$3:$I$3000,0),MATCH(H$4,임대자산!$D$3:$R$3,0)),
IF($D467="폐업",INDEX(폐업정보!$D$3:$R$3000,MATCH($F467,폐업정보!$I$3:$I$3000,0),MATCH(H$4,폐업정보!$D$3:$R$3,0)),
"Error"))</f>
        <v>45768</v>
      </c>
      <c r="I467" s="75" t="str">
        <f aca="false">
IF($D467="정상",INDEX(임대자산!$D$3:$R$3000,MATCH($F467,임대자산!$I$3:$I$3000,0),MATCH(I$4,임대자산!$D$3:$R$3,0)),
IF($D467="폐업",INDEX(폐업정보!$D$3:$R$3000,MATCH($F467,폐업정보!$I$3:$I$3000,0),MATCH(I$4,폐업정보!$D$3:$R$3,0)),
"Error"))</f>
        <v>A0462</v>
      </c>
      <c r="J467" s="75" t="str">
        <f aca="false">
IF($D467="정상",INDEX(임대자산!$D$3:$R$3000,MATCH($F467,임대자산!$I$3:$I$3000,0),MATCH(J$4,임대자산!$D$3:$R$3,0)),
IF($D467="폐업",INDEX(폐업정보!$D$3:$R$3000,MATCH($F467,폐업정보!$I$3:$I$3000,0),MATCH(J$4,폐업정보!$D$3:$R$3,0)),
"Error"))</f>
        <v>4413800000</v>
      </c>
      <c r="K467" s="75" t="str">
        <f aca="false">
IF($D467="정상",INDEX(임대자산!$D$3:$R$3000,MATCH($F467,임대자산!$I$3:$I$3000,0),MATCH(K$4,임대자산!$D$3:$R$3,0)),
IF($D467="폐업",INDEX(폐업정보!$D$3:$R$3000,MATCH($F467,폐업정보!$I$3:$I$3000,0),MATCH(K$4,폐업정보!$D$3:$R$3,0)),
"Error"))</f>
        <v>C0462</v>
      </c>
      <c r="L467" s="75" t="str">
        <f aca="false">
IF($D467="정상",INDEX(임대자산!$D$3:$R$3000,MATCH($F467,임대자산!$I$3:$I$3000,0),MATCH(L$4,임대자산!$D$3:$R$3,0)),
IF($D467="폐업",INDEX(폐업정보!$D$3:$R$3000,MATCH($F467,폐업정보!$I$3:$I$3000,0),MATCH(L$4,폐업정보!$D$3:$R$3,0)),
"Error"))</f>
        <v>D0462</v>
      </c>
      <c r="M467" s="76" t="s">
        <v>96</v>
      </c>
      <c r="N467" s="77"/>
      <c r="O467" s="78" t="s">
        <v>97</v>
      </c>
      <c r="P467" s="79" t="n">
        <f aca="false">COUNTIFS(임대자산!$I:$I,가맹점정보!F467,임대자산!$N:$N,가맹점정보!P$4)</f>
        <v>0</v>
      </c>
      <c r="Q467" s="80" t="n">
        <f aca="false">COUNTIFS(임대자산!$I:$I,가맹점정보!F467,임대자산!$N:$N,가맹점정보!Q$4)</f>
        <v>0</v>
      </c>
      <c r="R467" s="81" t="n">
        <f aca="false">COUNTIFS(임대자산!$I:$I,가맹점정보!F467,임대자산!$N:$N,가맹점정보!R$4)</f>
        <v>1</v>
      </c>
      <c r="S467" s="82" t="n">
        <v>88000</v>
      </c>
      <c r="T467" s="83" t="n">
        <v>0</v>
      </c>
      <c r="U467" s="80" t="n">
        <f aca="false">SUM(S467:T467)</f>
        <v>88000</v>
      </c>
      <c r="V467" s="84" t="s">
        <v>12</v>
      </c>
      <c r="W467" s="80" t="e">
        <f aca="true">
IF(D467="폐업","폐업",
IF(V467="면제","면제",
IF(AND(V467="정상",COUNTIFS(OFFSET(Y467,0,COUNTA(Y467:AV467)-1,1,-4),"미납")&gt;=3),"장기미납",
IF(AND(V467="정상",OFFSET(Y467,0,COUNTA(Y467:AV467)-1)&gt;=U467),"정상",
IF(AND(V467="정상",OFFSET(Y467,0,COUNTA(Y467:AV467)-1)=0),"정상",
"계약서 미작성")))))</f>
        <v>#VALUE!</v>
      </c>
      <c r="X467" s="81" t="str">
        <f aca="true">
IF(D467="폐업","폐업",
IF(AND(V467="정상",OFFSET(Y467,0,COUNTA(Y467:AV467)-1)="미납"),"미납",
IF(AND(V467="정상",OFFSET(Y467,0,COUNTA(Y467:AV467)-1)=0),"납부 시작 전",
IF(AND(V467="정상",OFFSET(Y467,0,COUNTA(Y467:AV467)-1)&gt;=U467),"정상",
IF(AND(V467="면제",OFFSET(Y467,0,COUNTA(Y467:AV467)-1)="면제"),"면제",
IF(AND(V467="면제",OFFSET(Y467,0,COUNTA(Y467:AV467)-1)=0),"면제",
"확인요청"))))))</f>
        <v>미납</v>
      </c>
      <c r="Y467" s="93" t="n">
        <v>88000</v>
      </c>
      <c r="Z467" s="90" t="n">
        <v>88000</v>
      </c>
      <c r="AA467" s="90" t="n">
        <v>88000</v>
      </c>
      <c r="AB467" s="90" t="n">
        <v>88000</v>
      </c>
      <c r="AC467" s="90" t="n">
        <v>88000</v>
      </c>
      <c r="AD467" s="90" t="n">
        <v>88000</v>
      </c>
      <c r="AE467" s="95" t="s">
        <v>104</v>
      </c>
      <c r="AF467" s="95" t="s">
        <v>104</v>
      </c>
      <c r="AG467" s="95" t="s">
        <v>104</v>
      </c>
      <c r="AH467" s="95" t="s">
        <v>104</v>
      </c>
      <c r="AI467" s="95" t="s">
        <v>62</v>
      </c>
      <c r="AJ467" s="96" t="s">
        <v>62</v>
      </c>
      <c r="AK467" s="97" t="s">
        <v>62</v>
      </c>
      <c r="AL467" s="95" t="s">
        <v>62</v>
      </c>
      <c r="AM467" s="90"/>
      <c r="AN467" s="90"/>
      <c r="AO467" s="90"/>
      <c r="AP467" s="90"/>
      <c r="AQ467" s="90"/>
      <c r="AR467" s="90"/>
      <c r="AS467" s="90"/>
      <c r="AT467" s="90"/>
      <c r="AU467" s="90"/>
      <c r="AV467" s="91"/>
      <c r="AX467" s="92"/>
    </row>
    <row r="468" customFormat="false" ht="15.65" hidden="false" customHeight="false" outlineLevel="0" collapsed="false">
      <c r="C468" s="72" t="n">
        <f aca="false">COUNTIFS($D$6:D468,"&lt;&gt;"&amp;"")</f>
        <v>463</v>
      </c>
      <c r="D468" s="73" t="s">
        <v>12</v>
      </c>
      <c r="E468" s="76" t="str">
        <f aca="false">
IF($D468="정상",INDEX(임대자산!$D$3:$R$3000,MATCH($F468,임대자산!$I$3:$I$3000,0),MATCH(E$3,임대자산!$D$3:$R$3,0)),
IF($D468="폐업",INDEX(폐업정보!$D$3:$R$3000,MATCH($F468,폐업정보!$I$3:$I$3000,0),MATCH(E$3,폐업정보!$D$3:$R$3,0)),
"Error"))</f>
        <v>경기</v>
      </c>
      <c r="F46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B0463</v>
      </c>
      <c r="G468" s="76" t="str">
        <f aca="false">F468&amp;RANDBETWEEN(0,10)</f>
        <v>B04635</v>
      </c>
      <c r="H468" s="75" t="n">
        <f aca="false">
IF($D468="정상",INDEX(임대자산!$D$3:$R$3000,MATCH($F468,임대자산!$I$3:$I$3000,0),MATCH(H$4,임대자산!$D$3:$R$3,0)),
IF($D468="폐업",INDEX(폐업정보!$D$3:$R$3000,MATCH($F468,폐업정보!$I$3:$I$3000,0),MATCH(H$4,폐업정보!$D$3:$R$3,0)),
"Error"))</f>
        <v>45776</v>
      </c>
      <c r="I468" s="75" t="str">
        <f aca="false">
IF($D468="정상",INDEX(임대자산!$D$3:$R$3000,MATCH($F468,임대자산!$I$3:$I$3000,0),MATCH(I$4,임대자산!$D$3:$R$3,0)),
IF($D468="폐업",INDEX(폐업정보!$D$3:$R$3000,MATCH($F468,폐업정보!$I$3:$I$3000,0),MATCH(I$4,폐업정보!$D$3:$R$3,0)),
"Error"))</f>
        <v>A0463</v>
      </c>
      <c r="J468" s="75" t="str">
        <f aca="false">
IF($D468="정상",INDEX(임대자산!$D$3:$R$3000,MATCH($F468,임대자산!$I$3:$I$3000,0),MATCH(J$4,임대자산!$D$3:$R$3,0)),
IF($D468="폐업",INDEX(폐업정보!$D$3:$R$3000,MATCH($F468,폐업정보!$I$3:$I$3000,0),MATCH(J$4,폐업정보!$D$3:$R$3,0)),
"Error"))</f>
        <v>2106500000</v>
      </c>
      <c r="K468" s="75" t="str">
        <f aca="false">
IF($D468="정상",INDEX(임대자산!$D$3:$R$3000,MATCH($F468,임대자산!$I$3:$I$3000,0),MATCH(K$4,임대자산!$D$3:$R$3,0)),
IF($D468="폐업",INDEX(폐업정보!$D$3:$R$3000,MATCH($F468,폐업정보!$I$3:$I$3000,0),MATCH(K$4,폐업정보!$D$3:$R$3,0)),
"Error"))</f>
        <v>C0463</v>
      </c>
      <c r="L468" s="75" t="str">
        <f aca="false">
IF($D468="정상",INDEX(임대자산!$D$3:$R$3000,MATCH($F468,임대자산!$I$3:$I$3000,0),MATCH(L$4,임대자산!$D$3:$R$3,0)),
IF($D468="폐업",INDEX(폐업정보!$D$3:$R$3000,MATCH($F468,폐업정보!$I$3:$I$3000,0),MATCH(L$4,폐업정보!$D$3:$R$3,0)),
"Error"))</f>
        <v>D0463</v>
      </c>
      <c r="M468" s="76" t="s">
        <v>96</v>
      </c>
      <c r="N468" s="77"/>
      <c r="O468" s="78" t="s">
        <v>97</v>
      </c>
      <c r="P468" s="79" t="n">
        <f aca="false">COUNTIFS(임대자산!$I:$I,가맹점정보!F468,임대자산!$N:$N,가맹점정보!P$4)</f>
        <v>0</v>
      </c>
      <c r="Q468" s="80" t="n">
        <f aca="false">COUNTIFS(임대자산!$I:$I,가맹점정보!F468,임대자산!$N:$N,가맹점정보!Q$4)</f>
        <v>0</v>
      </c>
      <c r="R468" s="81" t="n">
        <f aca="false">COUNTIFS(임대자산!$I:$I,가맹점정보!F468,임대자산!$N:$N,가맹점정보!R$4)</f>
        <v>1</v>
      </c>
      <c r="S468" s="82" t="n">
        <v>55000</v>
      </c>
      <c r="T468" s="83" t="n">
        <v>0</v>
      </c>
      <c r="U468" s="80" t="n">
        <f aca="false">SUM(S468:T468)</f>
        <v>55000</v>
      </c>
      <c r="V468" s="84" t="s">
        <v>12</v>
      </c>
      <c r="W468" s="80" t="e">
        <f aca="true">
IF(D468="폐업","폐업",
IF(V468="면제","면제",
IF(AND(V468="정상",COUNTIFS(OFFSET(Y468,0,COUNTA(Y468:AV468)-1,1,-4),"미납")&gt;=3),"장기미납",
IF(AND(V468="정상",OFFSET(Y468,0,COUNTA(Y468:AV468)-1)&gt;=U468),"정상",
IF(AND(V468="정상",OFFSET(Y468,0,COUNTA(Y468:AV468)-1)=0),"정상",
"계약서 미작성")))))</f>
        <v>#VALUE!</v>
      </c>
      <c r="X468" s="81" t="str">
        <f aca="true">
IF(D468="폐업","폐업",
IF(AND(V468="정상",OFFSET(Y468,0,COUNTA(Y468:AV468)-1)="미납"),"미납",
IF(AND(V468="정상",OFFSET(Y468,0,COUNTA(Y468:AV468)-1)=0),"납부 시작 전",
IF(AND(V468="정상",OFFSET(Y468,0,COUNTA(Y468:AV468)-1)&gt;=U468),"정상",
IF(AND(V468="면제",OFFSET(Y468,0,COUNTA(Y468:AV468)-1)="면제"),"면제",
IF(AND(V468="면제",OFFSET(Y468,0,COUNTA(Y468:AV468)-1)=0),"면제",
"확인요청"))))))</f>
        <v>정상</v>
      </c>
      <c r="Y468" s="94" t="s">
        <v>7</v>
      </c>
      <c r="Z468" s="95" t="s">
        <v>7</v>
      </c>
      <c r="AA468" s="95" t="s">
        <v>7</v>
      </c>
      <c r="AB468" s="95" t="s">
        <v>7</v>
      </c>
      <c r="AC468" s="95" t="s">
        <v>7</v>
      </c>
      <c r="AD468" s="95" t="s">
        <v>7</v>
      </c>
      <c r="AE468" s="95" t="s">
        <v>7</v>
      </c>
      <c r="AF468" s="95" t="s">
        <v>7</v>
      </c>
      <c r="AG468" s="90" t="n">
        <v>55000</v>
      </c>
      <c r="AH468" s="95" t="s">
        <v>7</v>
      </c>
      <c r="AI468" s="95" t="s">
        <v>7</v>
      </c>
      <c r="AJ468" s="96" t="s">
        <v>7</v>
      </c>
      <c r="AK468" s="89" t="n">
        <v>55000</v>
      </c>
      <c r="AL468" s="90" t="n">
        <v>55000</v>
      </c>
      <c r="AM468" s="90"/>
      <c r="AN468" s="90"/>
      <c r="AO468" s="90"/>
      <c r="AP468" s="90"/>
      <c r="AQ468" s="90"/>
      <c r="AR468" s="90"/>
      <c r="AS468" s="90"/>
      <c r="AT468" s="90"/>
      <c r="AU468" s="90"/>
      <c r="AV468" s="91"/>
      <c r="AX468" s="92"/>
    </row>
    <row r="469" customFormat="false" ht="15.65" hidden="false" customHeight="false" outlineLevel="0" collapsed="false">
      <c r="C469" s="72" t="n">
        <f aca="false">COUNTIFS($D$6:D469,"&lt;&gt;"&amp;"")</f>
        <v>464</v>
      </c>
      <c r="D469" s="73" t="s">
        <v>12</v>
      </c>
      <c r="E469" s="76" t="str">
        <f aca="false">
IF($D469="정상",INDEX(임대자산!$D$3:$R$3000,MATCH($F469,임대자산!$I$3:$I$3000,0),MATCH(E$3,임대자산!$D$3:$R$3,0)),
IF($D469="폐업",INDEX(폐업정보!$D$3:$R$3000,MATCH($F469,폐업정보!$I$3:$I$3000,0),MATCH(E$3,폐업정보!$D$3:$R$3,0)),
"Error"))</f>
        <v>전라</v>
      </c>
      <c r="F46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B0464</v>
      </c>
      <c r="G469" s="76" t="str">
        <f aca="false">F469&amp;RANDBETWEEN(0,10)</f>
        <v>B04649</v>
      </c>
      <c r="H469" s="75" t="n">
        <f aca="false">
IF($D469="정상",INDEX(임대자산!$D$3:$R$3000,MATCH($F469,임대자산!$I$3:$I$3000,0),MATCH(H$4,임대자산!$D$3:$R$3,0)),
IF($D469="폐업",INDEX(폐업정보!$D$3:$R$3000,MATCH($F469,폐업정보!$I$3:$I$3000,0),MATCH(H$4,폐업정보!$D$3:$R$3,0)),
"Error"))</f>
        <v>45761</v>
      </c>
      <c r="I469" s="75" t="str">
        <f aca="false">
IF($D469="정상",INDEX(임대자산!$D$3:$R$3000,MATCH($F469,임대자산!$I$3:$I$3000,0),MATCH(I$4,임대자산!$D$3:$R$3,0)),
IF($D469="폐업",INDEX(폐업정보!$D$3:$R$3000,MATCH($F469,폐업정보!$I$3:$I$3000,0),MATCH(I$4,폐업정보!$D$3:$R$3,0)),
"Error"))</f>
        <v>A0464</v>
      </c>
      <c r="J469" s="75" t="str">
        <f aca="false">
IF($D469="정상",INDEX(임대자산!$D$3:$R$3000,MATCH($F469,임대자산!$I$3:$I$3000,0),MATCH(J$4,임대자산!$D$3:$R$3,0)),
IF($D469="폐업",INDEX(폐업정보!$D$3:$R$3000,MATCH($F469,폐업정보!$I$3:$I$3000,0),MATCH(J$4,폐업정보!$D$3:$R$3,0)),
"Error"))</f>
        <v>6822800000</v>
      </c>
      <c r="K469" s="75" t="str">
        <f aca="false">
IF($D469="정상",INDEX(임대자산!$D$3:$R$3000,MATCH($F469,임대자산!$I$3:$I$3000,0),MATCH(K$4,임대자산!$D$3:$R$3,0)),
IF($D469="폐업",INDEX(폐업정보!$D$3:$R$3000,MATCH($F469,폐업정보!$I$3:$I$3000,0),MATCH(K$4,폐업정보!$D$3:$R$3,0)),
"Error"))</f>
        <v>C0464</v>
      </c>
      <c r="L469" s="75" t="str">
        <f aca="false">
IF($D469="정상",INDEX(임대자산!$D$3:$R$3000,MATCH($F469,임대자산!$I$3:$I$3000,0),MATCH(L$4,임대자산!$D$3:$R$3,0)),
IF($D469="폐업",INDEX(폐업정보!$D$3:$R$3000,MATCH($F469,폐업정보!$I$3:$I$3000,0),MATCH(L$4,폐업정보!$D$3:$R$3,0)),
"Error"))</f>
        <v>D0464</v>
      </c>
      <c r="M469" s="76" t="s">
        <v>96</v>
      </c>
      <c r="N469" s="77"/>
      <c r="O469" s="78" t="s">
        <v>97</v>
      </c>
      <c r="P469" s="79" t="n">
        <f aca="false">COUNTIFS(임대자산!$I:$I,가맹점정보!F469,임대자산!$N:$N,가맹점정보!P$4)</f>
        <v>0</v>
      </c>
      <c r="Q469" s="80" t="n">
        <f aca="false">COUNTIFS(임대자산!$I:$I,가맹점정보!F469,임대자산!$N:$N,가맹점정보!Q$4)</f>
        <v>0</v>
      </c>
      <c r="R469" s="81" t="n">
        <f aca="false">COUNTIFS(임대자산!$I:$I,가맹점정보!F469,임대자산!$N:$N,가맹점정보!R$4)</f>
        <v>1</v>
      </c>
      <c r="S469" s="82" t="n">
        <v>55000</v>
      </c>
      <c r="T469" s="83" t="n">
        <v>0</v>
      </c>
      <c r="U469" s="80" t="n">
        <f aca="false">SUM(S469:T469)</f>
        <v>55000</v>
      </c>
      <c r="V469" s="84" t="s">
        <v>12</v>
      </c>
      <c r="W469" s="80" t="e">
        <f aca="true">
IF(D469="폐업","폐업",
IF(V469="면제","면제",
IF(AND(V469="정상",COUNTIFS(OFFSET(Y469,0,COUNTA(Y469:AV469)-1,1,-4),"미납")&gt;=3),"장기미납",
IF(AND(V469="정상",OFFSET(Y469,0,COUNTA(Y469:AV469)-1)&gt;=U469),"정상",
IF(AND(V469="정상",OFFSET(Y469,0,COUNTA(Y469:AV469)-1)=0),"정상",
"계약서 미작성")))))</f>
        <v>#VALUE!</v>
      </c>
      <c r="X469" s="81" t="str">
        <f aca="true">
IF(D469="폐업","폐업",
IF(AND(V469="정상",OFFSET(Y469,0,COUNTA(Y469:AV469)-1)="미납"),"미납",
IF(AND(V469="정상",OFFSET(Y469,0,COUNTA(Y469:AV469)-1)=0),"납부 시작 전",
IF(AND(V469="정상",OFFSET(Y469,0,COUNTA(Y469:AV469)-1)&gt;=U469),"정상",
IF(AND(V469="면제",OFFSET(Y469,0,COUNTA(Y469:AV469)-1)="면제"),"면제",
IF(AND(V469="면제",OFFSET(Y469,0,COUNTA(Y469:AV469)-1)=0),"면제",
"확인요청"))))))</f>
        <v>정상</v>
      </c>
      <c r="Y469" s="93" t="n">
        <v>55000</v>
      </c>
      <c r="Z469" s="90" t="n">
        <v>55000</v>
      </c>
      <c r="AA469" s="90" t="n">
        <v>55000</v>
      </c>
      <c r="AB469" s="90" t="n">
        <v>55000</v>
      </c>
      <c r="AC469" s="90" t="n">
        <v>55000</v>
      </c>
      <c r="AD469" s="90" t="n">
        <v>55000</v>
      </c>
      <c r="AE469" s="90" t="n">
        <v>55000</v>
      </c>
      <c r="AF469" s="90" t="n">
        <v>55000</v>
      </c>
      <c r="AG469" s="90" t="n">
        <v>55000</v>
      </c>
      <c r="AH469" s="90" t="n">
        <v>55000</v>
      </c>
      <c r="AI469" s="90" t="n">
        <v>55000</v>
      </c>
      <c r="AJ469" s="91" t="n">
        <v>55000</v>
      </c>
      <c r="AK469" s="89" t="n">
        <v>55000</v>
      </c>
      <c r="AL469" s="90" t="n">
        <v>55000</v>
      </c>
      <c r="AM469" s="90"/>
      <c r="AN469" s="90"/>
      <c r="AO469" s="90"/>
      <c r="AP469" s="90"/>
      <c r="AQ469" s="90"/>
      <c r="AR469" s="90"/>
      <c r="AS469" s="90"/>
      <c r="AT469" s="90"/>
      <c r="AU469" s="90"/>
      <c r="AV469" s="91"/>
      <c r="AX469" s="92"/>
    </row>
    <row r="470" customFormat="false" ht="15.65" hidden="false" customHeight="false" outlineLevel="0" collapsed="false">
      <c r="C470" s="72" t="n">
        <f aca="false">COUNTIFS($D$6:D470,"&lt;&gt;"&amp;"")</f>
        <v>465</v>
      </c>
      <c r="D470" s="73" t="s">
        <v>12</v>
      </c>
      <c r="E470" s="76" t="str">
        <f aca="false">
IF($D470="정상",INDEX(임대자산!$D$3:$R$3000,MATCH($F470,임대자산!$I$3:$I$3000,0),MATCH(E$3,임대자산!$D$3:$R$3,0)),
IF($D470="폐업",INDEX(폐업정보!$D$3:$R$3000,MATCH($F470,폐업정보!$I$3:$I$3000,0),MATCH(E$3,폐업정보!$D$3:$R$3,0)),
"Error"))</f>
        <v>경상</v>
      </c>
      <c r="F47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B0465</v>
      </c>
      <c r="G470" s="76" t="str">
        <f aca="false">F470&amp;RANDBETWEEN(0,10)</f>
        <v>B04654</v>
      </c>
      <c r="H470" s="75" t="n">
        <f aca="false">
IF($D470="정상",INDEX(임대자산!$D$3:$R$3000,MATCH($F470,임대자산!$I$3:$I$3000,0),MATCH(H$4,임대자산!$D$3:$R$3,0)),
IF($D470="폐업",INDEX(폐업정보!$D$3:$R$3000,MATCH($F470,폐업정보!$I$3:$I$3000,0),MATCH(H$4,폐업정보!$D$3:$R$3,0)),
"Error"))</f>
        <v>45054</v>
      </c>
      <c r="I470" s="75" t="str">
        <f aca="false">
IF($D470="정상",INDEX(임대자산!$D$3:$R$3000,MATCH($F470,임대자산!$I$3:$I$3000,0),MATCH(I$4,임대자산!$D$3:$R$3,0)),
IF($D470="폐업",INDEX(폐업정보!$D$3:$R$3000,MATCH($F470,폐업정보!$I$3:$I$3000,0),MATCH(I$4,폐업정보!$D$3:$R$3,0)),
"Error"))</f>
        <v>A0465</v>
      </c>
      <c r="J470" s="75" t="str">
        <f aca="false">
IF($D470="정상",INDEX(임대자산!$D$3:$R$3000,MATCH($F470,임대자산!$I$3:$I$3000,0),MATCH(J$4,임대자산!$D$3:$R$3,0)),
IF($D470="폐업",INDEX(폐업정보!$D$3:$R$3000,MATCH($F470,폐업정보!$I$3:$I$3000,0),MATCH(J$4,폐업정보!$D$3:$R$3,0)),
"Error"))</f>
        <v>3663200000</v>
      </c>
      <c r="K470" s="75" t="str">
        <f aca="false">
IF($D470="정상",INDEX(임대자산!$D$3:$R$3000,MATCH($F470,임대자산!$I$3:$I$3000,0),MATCH(K$4,임대자산!$D$3:$R$3,0)),
IF($D470="폐업",INDEX(폐업정보!$D$3:$R$3000,MATCH($F470,폐업정보!$I$3:$I$3000,0),MATCH(K$4,폐업정보!$D$3:$R$3,0)),
"Error"))</f>
        <v>C0465</v>
      </c>
      <c r="L470" s="75" t="str">
        <f aca="false">
IF($D470="정상",INDEX(임대자산!$D$3:$R$3000,MATCH($F470,임대자산!$I$3:$I$3000,0),MATCH(L$4,임대자산!$D$3:$R$3,0)),
IF($D470="폐업",INDEX(폐업정보!$D$3:$R$3000,MATCH($F470,폐업정보!$I$3:$I$3000,0),MATCH(L$4,폐업정보!$D$3:$R$3,0)),
"Error"))</f>
        <v>D0465</v>
      </c>
      <c r="M470" s="76" t="s">
        <v>96</v>
      </c>
      <c r="N470" s="77"/>
      <c r="O470" s="78" t="s">
        <v>97</v>
      </c>
      <c r="P470" s="79" t="n">
        <f aca="false">COUNTIFS(임대자산!$I:$I,가맹점정보!F470,임대자산!$N:$N,가맹점정보!P$4)</f>
        <v>0</v>
      </c>
      <c r="Q470" s="80" t="n">
        <f aca="false">COUNTIFS(임대자산!$I:$I,가맹점정보!F470,임대자산!$N:$N,가맹점정보!Q$4)</f>
        <v>0</v>
      </c>
      <c r="R470" s="81" t="n">
        <f aca="false">COUNTIFS(임대자산!$I:$I,가맹점정보!F470,임대자산!$N:$N,가맹점정보!R$4)</f>
        <v>1</v>
      </c>
      <c r="S470" s="82" t="n">
        <v>55000</v>
      </c>
      <c r="T470" s="83" t="n">
        <v>0</v>
      </c>
      <c r="U470" s="80" t="n">
        <f aca="false">SUM(S470:T470)</f>
        <v>55000</v>
      </c>
      <c r="V470" s="84" t="s">
        <v>12</v>
      </c>
      <c r="W470" s="80" t="e">
        <f aca="true">
IF(D470="폐업","폐업",
IF(V470="면제","면제",
IF(AND(V470="정상",COUNTIFS(OFFSET(Y470,0,COUNTA(Y470:AV470)-1,1,-4),"미납")&gt;=3),"장기미납",
IF(AND(V470="정상",OFFSET(Y470,0,COUNTA(Y470:AV470)-1)&gt;=U470),"정상",
IF(AND(V470="정상",OFFSET(Y470,0,COUNTA(Y470:AV470)-1)=0),"정상",
"계약서 미작성")))))</f>
        <v>#VALUE!</v>
      </c>
      <c r="X470" s="81" t="str">
        <f aca="true">
IF(D470="폐업","폐업",
IF(AND(V470="정상",OFFSET(Y470,0,COUNTA(Y470:AV470)-1)="미납"),"미납",
IF(AND(V470="정상",OFFSET(Y470,0,COUNTA(Y470:AV470)-1)=0),"납부 시작 전",
IF(AND(V470="정상",OFFSET(Y470,0,COUNTA(Y470:AV470)-1)&gt;=U470),"정상",
IF(AND(V470="면제",OFFSET(Y470,0,COUNTA(Y470:AV470)-1)="면제"),"면제",
IF(AND(V470="면제",OFFSET(Y470,0,COUNTA(Y470:AV470)-1)=0),"면제",
"확인요청"))))))</f>
        <v>정상</v>
      </c>
      <c r="Y470" s="93" t="n">
        <v>55000</v>
      </c>
      <c r="Z470" s="90" t="n">
        <v>55000</v>
      </c>
      <c r="AA470" s="90" t="n">
        <v>55000</v>
      </c>
      <c r="AB470" s="90" t="n">
        <v>55000</v>
      </c>
      <c r="AC470" s="90" t="n">
        <v>55000</v>
      </c>
      <c r="AD470" s="90" t="n">
        <v>55000</v>
      </c>
      <c r="AE470" s="90" t="n">
        <v>55000</v>
      </c>
      <c r="AF470" s="90" t="n">
        <v>55000</v>
      </c>
      <c r="AG470" s="90" t="n">
        <v>55000</v>
      </c>
      <c r="AH470" s="90" t="n">
        <v>55000</v>
      </c>
      <c r="AI470" s="90" t="n">
        <v>55000</v>
      </c>
      <c r="AJ470" s="91" t="n">
        <v>55000</v>
      </c>
      <c r="AK470" s="89" t="n">
        <v>55000</v>
      </c>
      <c r="AL470" s="90" t="n">
        <v>55000</v>
      </c>
      <c r="AM470" s="90"/>
      <c r="AN470" s="90"/>
      <c r="AO470" s="90"/>
      <c r="AP470" s="90"/>
      <c r="AQ470" s="90"/>
      <c r="AR470" s="90"/>
      <c r="AS470" s="90"/>
      <c r="AT470" s="90"/>
      <c r="AU470" s="90"/>
      <c r="AV470" s="91"/>
      <c r="AX470" s="92"/>
    </row>
    <row r="471" customFormat="false" ht="15.65" hidden="false" customHeight="false" outlineLevel="0" collapsed="false">
      <c r="C471" s="72" t="n">
        <f aca="false">COUNTIFS($D$6:D471,"&lt;&gt;"&amp;"")</f>
        <v>466</v>
      </c>
      <c r="D471" s="73" t="s">
        <v>12</v>
      </c>
      <c r="E471" s="76" t="str">
        <f aca="false">
IF($D471="정상",INDEX(임대자산!$D$3:$R$3000,MATCH($F471,임대자산!$I$3:$I$3000,0),MATCH(E$3,임대자산!$D$3:$R$3,0)),
IF($D471="폐업",INDEX(폐업정보!$D$3:$R$3000,MATCH($F471,폐업정보!$I$3:$I$3000,0),MATCH(E$3,폐업정보!$D$3:$R$3,0)),
"Error"))</f>
        <v>경상</v>
      </c>
      <c r="F47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B0466</v>
      </c>
      <c r="G471" s="76" t="str">
        <f aca="false">F471&amp;RANDBETWEEN(0,10)</f>
        <v>B04664</v>
      </c>
      <c r="H471" s="75" t="n">
        <f aca="false">
IF($D471="정상",INDEX(임대자산!$D$3:$R$3000,MATCH($F471,임대자산!$I$3:$I$3000,0),MATCH(H$4,임대자산!$D$3:$R$3,0)),
IF($D471="폐업",INDEX(폐업정보!$D$3:$R$3000,MATCH($F471,폐업정보!$I$3:$I$3000,0),MATCH(H$4,폐업정보!$D$3:$R$3,0)),
"Error"))</f>
        <v>45279</v>
      </c>
      <c r="I471" s="75" t="str">
        <f aca="false">
IF($D471="정상",INDEX(임대자산!$D$3:$R$3000,MATCH($F471,임대자산!$I$3:$I$3000,0),MATCH(I$4,임대자산!$D$3:$R$3,0)),
IF($D471="폐업",INDEX(폐업정보!$D$3:$R$3000,MATCH($F471,폐업정보!$I$3:$I$3000,0),MATCH(I$4,폐업정보!$D$3:$R$3,0)),
"Error"))</f>
        <v>A0466</v>
      </c>
      <c r="J471" s="75" t="str">
        <f aca="false">
IF($D471="정상",INDEX(임대자산!$D$3:$R$3000,MATCH($F471,임대자산!$I$3:$I$3000,0),MATCH(J$4,임대자산!$D$3:$R$3,0)),
IF($D471="폐업",INDEX(폐업정보!$D$3:$R$3000,MATCH($F471,폐업정보!$I$3:$I$3000,0),MATCH(J$4,폐업정보!$D$3:$R$3,0)),
"Error"))</f>
        <v>3757500000</v>
      </c>
      <c r="K471" s="75" t="str">
        <f aca="false">
IF($D471="정상",INDEX(임대자산!$D$3:$R$3000,MATCH($F471,임대자산!$I$3:$I$3000,0),MATCH(K$4,임대자산!$D$3:$R$3,0)),
IF($D471="폐업",INDEX(폐업정보!$D$3:$R$3000,MATCH($F471,폐업정보!$I$3:$I$3000,0),MATCH(K$4,폐업정보!$D$3:$R$3,0)),
"Error"))</f>
        <v>C0466</v>
      </c>
      <c r="L471" s="75" t="str">
        <f aca="false">
IF($D471="정상",INDEX(임대자산!$D$3:$R$3000,MATCH($F471,임대자산!$I$3:$I$3000,0),MATCH(L$4,임대자산!$D$3:$R$3,0)),
IF($D471="폐업",INDEX(폐업정보!$D$3:$R$3000,MATCH($F471,폐업정보!$I$3:$I$3000,0),MATCH(L$4,폐업정보!$D$3:$R$3,0)),
"Error"))</f>
        <v>D0466</v>
      </c>
      <c r="M471" s="76" t="s">
        <v>96</v>
      </c>
      <c r="N471" s="77"/>
      <c r="O471" s="78" t="s">
        <v>97</v>
      </c>
      <c r="P471" s="79" t="n">
        <f aca="false">COUNTIFS(임대자산!$I:$I,가맹점정보!F471,임대자산!$N:$N,가맹점정보!P$4)</f>
        <v>0</v>
      </c>
      <c r="Q471" s="80" t="n">
        <f aca="false">COUNTIFS(임대자산!$I:$I,가맹점정보!F471,임대자산!$N:$N,가맹점정보!Q$4)</f>
        <v>0</v>
      </c>
      <c r="R471" s="81" t="n">
        <f aca="false">COUNTIFS(임대자산!$I:$I,가맹점정보!F471,임대자산!$N:$N,가맹점정보!R$4)</f>
        <v>1</v>
      </c>
      <c r="S471" s="82" t="n">
        <v>55000</v>
      </c>
      <c r="T471" s="83" t="n">
        <v>0</v>
      </c>
      <c r="U471" s="80" t="n">
        <f aca="false">SUM(S471:T471)</f>
        <v>55000</v>
      </c>
      <c r="V471" s="84" t="s">
        <v>7</v>
      </c>
      <c r="W471" s="80" t="str">
        <f aca="true">
IF(D471="폐업","폐업",
IF(V471="면제","면제",
IF(AND(V471="정상",COUNTIFS(OFFSET(Y471,0,COUNTA(Y471:AV471)-1,1,-4),"미납")&gt;=3),"장기미납",
IF(AND(V471="정상",OFFSET(Y471,0,COUNTA(Y471:AV471)-1)&gt;=U471),"정상",
IF(AND(V471="정상",OFFSET(Y471,0,COUNTA(Y471:AV471)-1)=0),"정상",
"계약서 미작성")))))</f>
        <v>면제</v>
      </c>
      <c r="X471" s="81" t="str">
        <f aca="true">
IF(D471="폐업","폐업",
IF(AND(V471="정상",OFFSET(Y471,0,COUNTA(Y471:AV471)-1)="미납"),"미납",
IF(AND(V471="정상",OFFSET(Y471,0,COUNTA(Y471:AV471)-1)=0),"납부 시작 전",
IF(AND(V471="정상",OFFSET(Y471,0,COUNTA(Y471:AV471)-1)&gt;=U471),"정상",
IF(AND(V471="면제",OFFSET(Y471,0,COUNTA(Y471:AV471)-1)="면제"),"면제",
IF(AND(V471="면제",OFFSET(Y471,0,COUNTA(Y471:AV471)-1)=0),"면제",
"확인요청"))))))</f>
        <v>면제</v>
      </c>
      <c r="Y471" s="94" t="s">
        <v>7</v>
      </c>
      <c r="Z471" s="95" t="s">
        <v>7</v>
      </c>
      <c r="AA471" s="95" t="s">
        <v>7</v>
      </c>
      <c r="AB471" s="95" t="s">
        <v>7</v>
      </c>
      <c r="AC471" s="95" t="s">
        <v>7</v>
      </c>
      <c r="AD471" s="95" t="s">
        <v>7</v>
      </c>
      <c r="AE471" s="95" t="s">
        <v>7</v>
      </c>
      <c r="AF471" s="95" t="s">
        <v>7</v>
      </c>
      <c r="AG471" s="95" t="s">
        <v>7</v>
      </c>
      <c r="AH471" s="95" t="s">
        <v>7</v>
      </c>
      <c r="AI471" s="95" t="s">
        <v>7</v>
      </c>
      <c r="AJ471" s="96" t="s">
        <v>7</v>
      </c>
      <c r="AK471" s="97" t="s">
        <v>7</v>
      </c>
      <c r="AL471" s="95" t="s">
        <v>7</v>
      </c>
      <c r="AM471" s="90"/>
      <c r="AN471" s="90"/>
      <c r="AO471" s="90"/>
      <c r="AP471" s="90"/>
      <c r="AQ471" s="90"/>
      <c r="AR471" s="90"/>
      <c r="AS471" s="90"/>
      <c r="AT471" s="90"/>
      <c r="AU471" s="90"/>
      <c r="AV471" s="91"/>
      <c r="AX471" s="92"/>
    </row>
    <row r="472" customFormat="false" ht="15.65" hidden="false" customHeight="false" outlineLevel="0" collapsed="false">
      <c r="C472" s="72" t="n">
        <f aca="false">COUNTIFS($D$6:D472,"&lt;&gt;"&amp;"")</f>
        <v>467</v>
      </c>
      <c r="D472" s="73" t="s">
        <v>12</v>
      </c>
      <c r="E472" s="76" t="str">
        <f aca="false">
IF($D472="정상",INDEX(임대자산!$D$3:$R$3000,MATCH($F472,임대자산!$I$3:$I$3000,0),MATCH(E$3,임대자산!$D$3:$R$3,0)),
IF($D472="폐업",INDEX(폐업정보!$D$3:$R$3000,MATCH($F472,폐업정보!$I$3:$I$3000,0),MATCH(E$3,폐업정보!$D$3:$R$3,0)),
"Error"))</f>
        <v>전라</v>
      </c>
      <c r="F47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B0467</v>
      </c>
      <c r="G472" s="76" t="str">
        <f aca="false">F472&amp;RANDBETWEEN(0,10)</f>
        <v>B04671</v>
      </c>
      <c r="H472" s="75" t="n">
        <f aca="false">
IF($D472="정상",INDEX(임대자산!$D$3:$R$3000,MATCH($F472,임대자산!$I$3:$I$3000,0),MATCH(H$4,임대자산!$D$3:$R$3,0)),
IF($D472="폐업",INDEX(폐업정보!$D$3:$R$3000,MATCH($F472,폐업정보!$I$3:$I$3000,0),MATCH(H$4,폐업정보!$D$3:$R$3,0)),
"Error"))</f>
        <v>45041</v>
      </c>
      <c r="I472" s="75" t="str">
        <f aca="false">
IF($D472="정상",INDEX(임대자산!$D$3:$R$3000,MATCH($F472,임대자산!$I$3:$I$3000,0),MATCH(I$4,임대자산!$D$3:$R$3,0)),
IF($D472="폐업",INDEX(폐업정보!$D$3:$R$3000,MATCH($F472,폐업정보!$I$3:$I$3000,0),MATCH(I$4,폐업정보!$D$3:$R$3,0)),
"Error"))</f>
        <v>A0467</v>
      </c>
      <c r="J472" s="75" t="str">
        <f aca="false">
IF($D472="정상",INDEX(임대자산!$D$3:$R$3000,MATCH($F472,임대자산!$I$3:$I$3000,0),MATCH(J$4,임대자산!$D$3:$R$3,0)),
IF($D472="폐업",INDEX(폐업정보!$D$3:$R$3000,MATCH($F472,폐업정보!$I$3:$I$3000,0),MATCH(J$4,폐업정보!$D$3:$R$3,0)),
"Error"))</f>
        <v>1826200000</v>
      </c>
      <c r="K472" s="75" t="str">
        <f aca="false">
IF($D472="정상",INDEX(임대자산!$D$3:$R$3000,MATCH($F472,임대자산!$I$3:$I$3000,0),MATCH(K$4,임대자산!$D$3:$R$3,0)),
IF($D472="폐업",INDEX(폐업정보!$D$3:$R$3000,MATCH($F472,폐업정보!$I$3:$I$3000,0),MATCH(K$4,폐업정보!$D$3:$R$3,0)),
"Error"))</f>
        <v>C0467</v>
      </c>
      <c r="L472" s="75" t="str">
        <f aca="false">
IF($D472="정상",INDEX(임대자산!$D$3:$R$3000,MATCH($F472,임대자산!$I$3:$I$3000,0),MATCH(L$4,임대자산!$D$3:$R$3,0)),
IF($D472="폐업",INDEX(폐업정보!$D$3:$R$3000,MATCH($F472,폐업정보!$I$3:$I$3000,0),MATCH(L$4,폐업정보!$D$3:$R$3,0)),
"Error"))</f>
        <v>D0467</v>
      </c>
      <c r="M472" s="76" t="s">
        <v>96</v>
      </c>
      <c r="N472" s="77"/>
      <c r="O472" s="78" t="s">
        <v>97</v>
      </c>
      <c r="P472" s="79" t="n">
        <f aca="false">COUNTIFS(임대자산!$I:$I,가맹점정보!F472,임대자산!$N:$N,가맹점정보!P$4)</f>
        <v>0</v>
      </c>
      <c r="Q472" s="80" t="n">
        <f aca="false">COUNTIFS(임대자산!$I:$I,가맹점정보!F472,임대자산!$N:$N,가맹점정보!Q$4)</f>
        <v>0</v>
      </c>
      <c r="R472" s="81" t="n">
        <f aca="false">COUNTIFS(임대자산!$I:$I,가맹점정보!F472,임대자산!$N:$N,가맹점정보!R$4)</f>
        <v>1</v>
      </c>
      <c r="S472" s="82" t="n">
        <v>110000</v>
      </c>
      <c r="T472" s="83" t="n">
        <v>0</v>
      </c>
      <c r="U472" s="80" t="n">
        <f aca="false">SUM(S472:T472)</f>
        <v>110000</v>
      </c>
      <c r="V472" s="84" t="s">
        <v>12</v>
      </c>
      <c r="W472" s="80" t="e">
        <f aca="true">
IF(D472="폐업","폐업",
IF(V472="면제","면제",
IF(AND(V472="정상",COUNTIFS(OFFSET(Y472,0,COUNTA(Y472:AV472)-1,1,-4),"미납")&gt;=3),"장기미납",
IF(AND(V472="정상",OFFSET(Y472,0,COUNTA(Y472:AV472)-1)&gt;=U472),"정상",
IF(AND(V472="정상",OFFSET(Y472,0,COUNTA(Y472:AV472)-1)=0),"정상",
"계약서 미작성")))))</f>
        <v>#VALUE!</v>
      </c>
      <c r="X472" s="81" t="str">
        <f aca="true">
IF(D472="폐업","폐업",
IF(AND(V472="정상",OFFSET(Y472,0,COUNTA(Y472:AV472)-1)="미납"),"미납",
IF(AND(V472="정상",OFFSET(Y472,0,COUNTA(Y472:AV472)-1)=0),"납부 시작 전",
IF(AND(V472="정상",OFFSET(Y472,0,COUNTA(Y472:AV472)-1)&gt;=U472),"정상",
IF(AND(V472="면제",OFFSET(Y472,0,COUNTA(Y472:AV472)-1)="면제"),"면제",
IF(AND(V472="면제",OFFSET(Y472,0,COUNTA(Y472:AV472)-1)=0),"면제",
"확인요청"))))))</f>
        <v>정상</v>
      </c>
      <c r="Y472" s="93" t="n">
        <v>110000</v>
      </c>
      <c r="Z472" s="90" t="n">
        <v>110000</v>
      </c>
      <c r="AA472" s="90" t="n">
        <v>110000</v>
      </c>
      <c r="AB472" s="90" t="n">
        <v>110000</v>
      </c>
      <c r="AC472" s="90" t="n">
        <v>110000</v>
      </c>
      <c r="AD472" s="90" t="n">
        <v>110000</v>
      </c>
      <c r="AE472" s="90" t="n">
        <v>110000</v>
      </c>
      <c r="AF472" s="90" t="n">
        <v>110000</v>
      </c>
      <c r="AG472" s="90" t="s">
        <v>100</v>
      </c>
      <c r="AH472" s="90" t="n">
        <v>220000</v>
      </c>
      <c r="AI472" s="90" t="n">
        <v>110000</v>
      </c>
      <c r="AJ472" s="91" t="n">
        <v>110000</v>
      </c>
      <c r="AK472" s="89" t="n">
        <v>110000</v>
      </c>
      <c r="AL472" s="90" t="n">
        <v>110000</v>
      </c>
      <c r="AM472" s="90"/>
      <c r="AN472" s="90"/>
      <c r="AO472" s="90"/>
      <c r="AP472" s="90"/>
      <c r="AQ472" s="90"/>
      <c r="AR472" s="90"/>
      <c r="AS472" s="90"/>
      <c r="AT472" s="90"/>
      <c r="AU472" s="90"/>
      <c r="AV472" s="91"/>
      <c r="AX472" s="92"/>
    </row>
    <row r="473" customFormat="false" ht="15.65" hidden="false" customHeight="false" outlineLevel="0" collapsed="false">
      <c r="C473" s="72" t="n">
        <f aca="false">COUNTIFS($D$6:D473,"&lt;&gt;"&amp;"")</f>
        <v>468</v>
      </c>
      <c r="D473" s="73" t="s">
        <v>12</v>
      </c>
      <c r="E473" s="76" t="str">
        <f aca="false">
IF($D473="정상",INDEX(임대자산!$D$3:$R$3000,MATCH($F473,임대자산!$I$3:$I$3000,0),MATCH(E$3,임대자산!$D$3:$R$3,0)),
IF($D473="폐업",INDEX(폐업정보!$D$3:$R$3000,MATCH($F473,폐업정보!$I$3:$I$3000,0),MATCH(E$3,폐업정보!$D$3:$R$3,0)),
"Error"))</f>
        <v>전라</v>
      </c>
      <c r="F47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B0468</v>
      </c>
      <c r="G473" s="76" t="str">
        <f aca="false">F473&amp;RANDBETWEEN(0,10)</f>
        <v>B04683</v>
      </c>
      <c r="H473" s="75" t="n">
        <f aca="false">
IF($D473="정상",INDEX(임대자산!$D$3:$R$3000,MATCH($F473,임대자산!$I$3:$I$3000,0),MATCH(H$4,임대자산!$D$3:$R$3,0)),
IF($D473="폐업",INDEX(폐업정보!$D$3:$R$3000,MATCH($F473,폐업정보!$I$3:$I$3000,0),MATCH(H$4,폐업정보!$D$3:$R$3,0)),
"Error"))</f>
        <v>45546</v>
      </c>
      <c r="I473" s="75" t="str">
        <f aca="false">
IF($D473="정상",INDEX(임대자산!$D$3:$R$3000,MATCH($F473,임대자산!$I$3:$I$3000,0),MATCH(I$4,임대자산!$D$3:$R$3,0)),
IF($D473="폐업",INDEX(폐업정보!$D$3:$R$3000,MATCH($F473,폐업정보!$I$3:$I$3000,0),MATCH(I$4,폐업정보!$D$3:$R$3,0)),
"Error"))</f>
        <v>A0468</v>
      </c>
      <c r="J473" s="75" t="str">
        <f aca="false">
IF($D473="정상",INDEX(임대자산!$D$3:$R$3000,MATCH($F473,임대자산!$I$3:$I$3000,0),MATCH(J$4,임대자산!$D$3:$R$3,0)),
IF($D473="폐업",INDEX(폐업정보!$D$3:$R$3000,MATCH($F473,폐업정보!$I$3:$I$3000,0),MATCH(J$4,폐업정보!$D$3:$R$3,0)),
"Error"))</f>
        <v>8223700000</v>
      </c>
      <c r="K473" s="75" t="str">
        <f aca="false">
IF($D473="정상",INDEX(임대자산!$D$3:$R$3000,MATCH($F473,임대자산!$I$3:$I$3000,0),MATCH(K$4,임대자산!$D$3:$R$3,0)),
IF($D473="폐업",INDEX(폐업정보!$D$3:$R$3000,MATCH($F473,폐업정보!$I$3:$I$3000,0),MATCH(K$4,폐업정보!$D$3:$R$3,0)),
"Error"))</f>
        <v>C0468</v>
      </c>
      <c r="L473" s="75" t="str">
        <f aca="false">
IF($D473="정상",INDEX(임대자산!$D$3:$R$3000,MATCH($F473,임대자산!$I$3:$I$3000,0),MATCH(L$4,임대자산!$D$3:$R$3,0)),
IF($D473="폐업",INDEX(폐업정보!$D$3:$R$3000,MATCH($F473,폐업정보!$I$3:$I$3000,0),MATCH(L$4,폐업정보!$D$3:$R$3,0)),
"Error"))</f>
        <v>D0468</v>
      </c>
      <c r="M473" s="76" t="s">
        <v>96</v>
      </c>
      <c r="N473" s="77"/>
      <c r="O473" s="78" t="s">
        <v>97</v>
      </c>
      <c r="P473" s="79" t="n">
        <f aca="false">COUNTIFS(임대자산!$I:$I,가맹점정보!F473,임대자산!$N:$N,가맹점정보!P$4)</f>
        <v>0</v>
      </c>
      <c r="Q473" s="80" t="n">
        <f aca="false">COUNTIFS(임대자산!$I:$I,가맹점정보!F473,임대자산!$N:$N,가맹점정보!Q$4)</f>
        <v>0</v>
      </c>
      <c r="R473" s="81" t="n">
        <f aca="false">COUNTIFS(임대자산!$I:$I,가맹점정보!F473,임대자산!$N:$N,가맹점정보!R$4)</f>
        <v>1</v>
      </c>
      <c r="S473" s="82" t="n">
        <v>55000</v>
      </c>
      <c r="T473" s="83" t="n">
        <v>0</v>
      </c>
      <c r="U473" s="80" t="n">
        <f aca="false">SUM(S473:T473)</f>
        <v>55000</v>
      </c>
      <c r="V473" s="84" t="s">
        <v>12</v>
      </c>
      <c r="W473" s="80" t="e">
        <f aca="true">
IF(D473="폐업","폐업",
IF(V473="면제","면제",
IF(AND(V473="정상",COUNTIFS(OFFSET(Y473,0,COUNTA(Y473:AV473)-1,1,-4),"미납")&gt;=3),"장기미납",
IF(AND(V473="정상",OFFSET(Y473,0,COUNTA(Y473:AV473)-1)&gt;=U473),"정상",
IF(AND(V473="정상",OFFSET(Y473,0,COUNTA(Y473:AV473)-1)=0),"정상",
"계약서 미작성")))))</f>
        <v>#VALUE!</v>
      </c>
      <c r="X473" s="81" t="str">
        <f aca="true">
IF(D473="폐업","폐업",
IF(AND(V473="정상",OFFSET(Y473,0,COUNTA(Y473:AV473)-1)="미납"),"미납",
IF(AND(V473="정상",OFFSET(Y473,0,COUNTA(Y473:AV473)-1)=0),"납부 시작 전",
IF(AND(V473="정상",OFFSET(Y473,0,COUNTA(Y473:AV473)-1)&gt;=U473),"정상",
IF(AND(V473="면제",OFFSET(Y473,0,COUNTA(Y473:AV473)-1)="면제"),"면제",
IF(AND(V473="면제",OFFSET(Y473,0,COUNTA(Y473:AV473)-1)=0),"면제",
"확인요청"))))))</f>
        <v>정상</v>
      </c>
      <c r="Y473" s="93" t="n">
        <v>55000</v>
      </c>
      <c r="Z473" s="90" t="n">
        <v>110000</v>
      </c>
      <c r="AA473" s="90" t="n">
        <v>110000</v>
      </c>
      <c r="AB473" s="90" t="n">
        <v>110000</v>
      </c>
      <c r="AC473" s="90" t="n">
        <v>110000</v>
      </c>
      <c r="AD473" s="90" t="n">
        <v>110000</v>
      </c>
      <c r="AE473" s="90" t="n">
        <v>110000</v>
      </c>
      <c r="AF473" s="90" t="n">
        <v>55000</v>
      </c>
      <c r="AG473" s="90" t="n">
        <v>55000</v>
      </c>
      <c r="AH473" s="90" t="n">
        <v>55000</v>
      </c>
      <c r="AI473" s="90" t="n">
        <v>55000</v>
      </c>
      <c r="AJ473" s="91" t="n">
        <v>55000</v>
      </c>
      <c r="AK473" s="89" t="n">
        <v>55000</v>
      </c>
      <c r="AL473" s="90" t="n">
        <v>55000</v>
      </c>
      <c r="AM473" s="90"/>
      <c r="AN473" s="90"/>
      <c r="AO473" s="90"/>
      <c r="AP473" s="90"/>
      <c r="AQ473" s="90"/>
      <c r="AR473" s="90"/>
      <c r="AS473" s="90"/>
      <c r="AT473" s="90"/>
      <c r="AU473" s="90"/>
      <c r="AV473" s="91"/>
      <c r="AX473" s="92"/>
    </row>
    <row r="474" customFormat="false" ht="15.65" hidden="false" customHeight="false" outlineLevel="0" collapsed="false">
      <c r="C474" s="72" t="n">
        <f aca="false">COUNTIFS($D$6:D474,"&lt;&gt;"&amp;"")</f>
        <v>469</v>
      </c>
      <c r="D474" s="73" t="s">
        <v>12</v>
      </c>
      <c r="E474" s="76" t="str">
        <f aca="false">
IF($D474="정상",INDEX(임대자산!$D$3:$R$3000,MATCH($F474,임대자산!$I$3:$I$3000,0),MATCH(E$3,임대자산!$D$3:$R$3,0)),
IF($D474="폐업",INDEX(폐업정보!$D$3:$R$3000,MATCH($F474,폐업정보!$I$3:$I$3000,0),MATCH(E$3,폐업정보!$D$3:$R$3,0)),
"Error"))</f>
        <v>경기</v>
      </c>
      <c r="F47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B0469</v>
      </c>
      <c r="G474" s="76" t="str">
        <f aca="false">F474&amp;RANDBETWEEN(0,10)</f>
        <v>B04697</v>
      </c>
      <c r="H474" s="75" t="n">
        <f aca="false">
IF($D474="정상",INDEX(임대자산!$D$3:$R$3000,MATCH($F474,임대자산!$I$3:$I$3000,0),MATCH(H$4,임대자산!$D$3:$R$3,0)),
IF($D474="폐업",INDEX(폐업정보!$D$3:$R$3000,MATCH($F474,폐업정보!$I$3:$I$3000,0),MATCH(H$4,폐업정보!$D$3:$R$3,0)),
"Error"))</f>
        <v>45173</v>
      </c>
      <c r="I474" s="75" t="str">
        <f aca="false">
IF($D474="정상",INDEX(임대자산!$D$3:$R$3000,MATCH($F474,임대자산!$I$3:$I$3000,0),MATCH(I$4,임대자산!$D$3:$R$3,0)),
IF($D474="폐업",INDEX(폐업정보!$D$3:$R$3000,MATCH($F474,폐업정보!$I$3:$I$3000,0),MATCH(I$4,폐업정보!$D$3:$R$3,0)),
"Error"))</f>
        <v>A0469</v>
      </c>
      <c r="J474" s="75" t="str">
        <f aca="false">
IF($D474="정상",INDEX(임대자산!$D$3:$R$3000,MATCH($F474,임대자산!$I$3:$I$3000,0),MATCH(J$4,임대자산!$D$3:$R$3,0)),
IF($D474="폐업",INDEX(폐업정보!$D$3:$R$3000,MATCH($F474,폐업정보!$I$3:$I$3000,0),MATCH(J$4,폐업정보!$D$3:$R$3,0)),
"Error"))</f>
        <v>6600700000</v>
      </c>
      <c r="K474" s="75" t="str">
        <f aca="false">
IF($D474="정상",INDEX(임대자산!$D$3:$R$3000,MATCH($F474,임대자산!$I$3:$I$3000,0),MATCH(K$4,임대자산!$D$3:$R$3,0)),
IF($D474="폐업",INDEX(폐업정보!$D$3:$R$3000,MATCH($F474,폐업정보!$I$3:$I$3000,0),MATCH(K$4,폐업정보!$D$3:$R$3,0)),
"Error"))</f>
        <v>C0469</v>
      </c>
      <c r="L474" s="75" t="str">
        <f aca="false">
IF($D474="정상",INDEX(임대자산!$D$3:$R$3000,MATCH($F474,임대자산!$I$3:$I$3000,0),MATCH(L$4,임대자산!$D$3:$R$3,0)),
IF($D474="폐업",INDEX(폐업정보!$D$3:$R$3000,MATCH($F474,폐업정보!$I$3:$I$3000,0),MATCH(L$4,폐업정보!$D$3:$R$3,0)),
"Error"))</f>
        <v>D0469</v>
      </c>
      <c r="M474" s="76" t="s">
        <v>96</v>
      </c>
      <c r="N474" s="77"/>
      <c r="O474" s="78" t="s">
        <v>97</v>
      </c>
      <c r="P474" s="79" t="n">
        <f aca="false">COUNTIFS(임대자산!$I:$I,가맹점정보!F474,임대자산!$N:$N,가맹점정보!P$4)</f>
        <v>0</v>
      </c>
      <c r="Q474" s="80" t="n">
        <f aca="false">COUNTIFS(임대자산!$I:$I,가맹점정보!F474,임대자산!$N:$N,가맹점정보!Q$4)</f>
        <v>0</v>
      </c>
      <c r="R474" s="81" t="n">
        <f aca="false">COUNTIFS(임대자산!$I:$I,가맹점정보!F474,임대자산!$N:$N,가맹점정보!R$4)</f>
        <v>1</v>
      </c>
      <c r="S474" s="82" t="n">
        <v>110000</v>
      </c>
      <c r="T474" s="83" t="n">
        <v>0</v>
      </c>
      <c r="U474" s="80" t="n">
        <f aca="false">SUM(S474:T474)</f>
        <v>110000</v>
      </c>
      <c r="V474" s="84" t="s">
        <v>12</v>
      </c>
      <c r="W474" s="80" t="e">
        <f aca="true">
IF(D474="폐업","폐업",
IF(V474="면제","면제",
IF(AND(V474="정상",COUNTIFS(OFFSET(Y474,0,COUNTA(Y474:AV474)-1,1,-4),"미납")&gt;=3),"장기미납",
IF(AND(V474="정상",OFFSET(Y474,0,COUNTA(Y474:AV474)-1)&gt;=U474),"정상",
IF(AND(V474="정상",OFFSET(Y474,0,COUNTA(Y474:AV474)-1)=0),"정상",
"계약서 미작성")))))</f>
        <v>#VALUE!</v>
      </c>
      <c r="X474" s="81" t="str">
        <f aca="true">
IF(D474="폐업","폐업",
IF(AND(V474="정상",OFFSET(Y474,0,COUNTA(Y474:AV474)-1)="미납"),"미납",
IF(AND(V474="정상",OFFSET(Y474,0,COUNTA(Y474:AV474)-1)=0),"납부 시작 전",
IF(AND(V474="정상",OFFSET(Y474,0,COUNTA(Y474:AV474)-1)&gt;=U474),"정상",
IF(AND(V474="면제",OFFSET(Y474,0,COUNTA(Y474:AV474)-1)="면제"),"면제",
IF(AND(V474="면제",OFFSET(Y474,0,COUNTA(Y474:AV474)-1)=0),"면제",
"확인요청"))))))</f>
        <v>정상</v>
      </c>
      <c r="Y474" s="93" t="n">
        <v>110000</v>
      </c>
      <c r="Z474" s="90" t="n">
        <v>110000</v>
      </c>
      <c r="AA474" s="90" t="n">
        <v>110000</v>
      </c>
      <c r="AB474" s="90" t="n">
        <v>110000</v>
      </c>
      <c r="AC474" s="90" t="n">
        <v>110000</v>
      </c>
      <c r="AD474" s="90" t="n">
        <v>110000</v>
      </c>
      <c r="AE474" s="90" t="n">
        <v>110000</v>
      </c>
      <c r="AF474" s="90" t="n">
        <v>110000</v>
      </c>
      <c r="AG474" s="90" t="n">
        <v>110000</v>
      </c>
      <c r="AH474" s="90" t="n">
        <v>110000</v>
      </c>
      <c r="AI474" s="90" t="n">
        <v>110000</v>
      </c>
      <c r="AJ474" s="91" t="n">
        <v>110000</v>
      </c>
      <c r="AK474" s="89" t="n">
        <v>110000</v>
      </c>
      <c r="AL474" s="90" t="n">
        <v>110000</v>
      </c>
      <c r="AM474" s="90"/>
      <c r="AN474" s="90"/>
      <c r="AO474" s="90"/>
      <c r="AP474" s="90"/>
      <c r="AQ474" s="90"/>
      <c r="AR474" s="90"/>
      <c r="AS474" s="90"/>
      <c r="AT474" s="90"/>
      <c r="AU474" s="90"/>
      <c r="AV474" s="91"/>
      <c r="AX474" s="92"/>
    </row>
    <row r="475" customFormat="false" ht="15.65" hidden="false" customHeight="false" outlineLevel="0" collapsed="false">
      <c r="C475" s="72" t="n">
        <f aca="false">COUNTIFS($D$6:D475,"&lt;&gt;"&amp;"")</f>
        <v>470</v>
      </c>
      <c r="D475" s="73" t="s">
        <v>12</v>
      </c>
      <c r="E475" s="76" t="str">
        <f aca="false">
IF($D475="정상",INDEX(임대자산!$D$3:$R$3000,MATCH($F475,임대자산!$I$3:$I$3000,0),MATCH(E$3,임대자산!$D$3:$R$3,0)),
IF($D475="폐업",INDEX(폐업정보!$D$3:$R$3000,MATCH($F475,폐업정보!$I$3:$I$3000,0),MATCH(E$3,폐업정보!$D$3:$R$3,0)),
"Error"))</f>
        <v>서울</v>
      </c>
      <c r="F47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B0470</v>
      </c>
      <c r="G475" s="76" t="str">
        <f aca="false">F475&amp;RANDBETWEEN(0,10)</f>
        <v>B04708</v>
      </c>
      <c r="H475" s="75" t="n">
        <f aca="false">
IF($D475="정상",INDEX(임대자산!$D$3:$R$3000,MATCH($F475,임대자산!$I$3:$I$3000,0),MATCH(H$4,임대자산!$D$3:$R$3,0)),
IF($D475="폐업",INDEX(폐업정보!$D$3:$R$3000,MATCH($F475,폐업정보!$I$3:$I$3000,0),MATCH(H$4,폐업정보!$D$3:$R$3,0)),
"Error"))</f>
        <v>45097</v>
      </c>
      <c r="I475" s="75" t="str">
        <f aca="false">
IF($D475="정상",INDEX(임대자산!$D$3:$R$3000,MATCH($F475,임대자산!$I$3:$I$3000,0),MATCH(I$4,임대자산!$D$3:$R$3,0)),
IF($D475="폐업",INDEX(폐업정보!$D$3:$R$3000,MATCH($F475,폐업정보!$I$3:$I$3000,0),MATCH(I$4,폐업정보!$D$3:$R$3,0)),
"Error"))</f>
        <v>A0470</v>
      </c>
      <c r="J475" s="75" t="str">
        <f aca="false">
IF($D475="정상",INDEX(임대자산!$D$3:$R$3000,MATCH($F475,임대자산!$I$3:$I$3000,0),MATCH(J$4,임대자산!$D$3:$R$3,0)),
IF($D475="폐업",INDEX(폐업정보!$D$3:$R$3000,MATCH($F475,폐업정보!$I$3:$I$3000,0),MATCH(J$4,폐업정보!$D$3:$R$3,0)),
"Error"))</f>
        <v>2000500000</v>
      </c>
      <c r="K475" s="75" t="str">
        <f aca="false">
IF($D475="정상",INDEX(임대자산!$D$3:$R$3000,MATCH($F475,임대자산!$I$3:$I$3000,0),MATCH(K$4,임대자산!$D$3:$R$3,0)),
IF($D475="폐업",INDEX(폐업정보!$D$3:$R$3000,MATCH($F475,폐업정보!$I$3:$I$3000,0),MATCH(K$4,폐업정보!$D$3:$R$3,0)),
"Error"))</f>
        <v>C0470</v>
      </c>
      <c r="L475" s="75" t="str">
        <f aca="false">
IF($D475="정상",INDEX(임대자산!$D$3:$R$3000,MATCH($F475,임대자산!$I$3:$I$3000,0),MATCH(L$4,임대자산!$D$3:$R$3,0)),
IF($D475="폐업",INDEX(폐업정보!$D$3:$R$3000,MATCH($F475,폐업정보!$I$3:$I$3000,0),MATCH(L$4,폐업정보!$D$3:$R$3,0)),
"Error"))</f>
        <v>D0470</v>
      </c>
      <c r="M475" s="76" t="s">
        <v>96</v>
      </c>
      <c r="N475" s="77"/>
      <c r="O475" s="78" t="s">
        <v>97</v>
      </c>
      <c r="P475" s="79" t="n">
        <f aca="false">COUNTIFS(임대자산!$I:$I,가맹점정보!F475,임대자산!$N:$N,가맹점정보!P$4)</f>
        <v>0</v>
      </c>
      <c r="Q475" s="80" t="n">
        <f aca="false">COUNTIFS(임대자산!$I:$I,가맹점정보!F475,임대자산!$N:$N,가맹점정보!Q$4)</f>
        <v>0</v>
      </c>
      <c r="R475" s="81" t="n">
        <f aca="false">COUNTIFS(임대자산!$I:$I,가맹점정보!F475,임대자산!$N:$N,가맹점정보!R$4)</f>
        <v>1</v>
      </c>
      <c r="S475" s="82" t="n">
        <v>66000</v>
      </c>
      <c r="T475" s="83" t="n">
        <v>0</v>
      </c>
      <c r="U475" s="80" t="n">
        <f aca="false">SUM(S475:T475)</f>
        <v>66000</v>
      </c>
      <c r="V475" s="84" t="s">
        <v>12</v>
      </c>
      <c r="W475" s="80" t="e">
        <f aca="true">
IF(D475="폐업","폐업",
IF(V475="면제","면제",
IF(AND(V475="정상",COUNTIFS(OFFSET(Y475,0,COUNTA(Y475:AV475)-1,1,-4),"미납")&gt;=3),"장기미납",
IF(AND(V475="정상",OFFSET(Y475,0,COUNTA(Y475:AV475)-1)&gt;=U475),"정상",
IF(AND(V475="정상",OFFSET(Y475,0,COUNTA(Y475:AV475)-1)=0),"정상",
"계약서 미작성")))))</f>
        <v>#VALUE!</v>
      </c>
      <c r="X475" s="81" t="str">
        <f aca="true">
IF(D475="폐업","폐업",
IF(AND(V475="정상",OFFSET(Y475,0,COUNTA(Y475:AV475)-1)="미납"),"미납",
IF(AND(V475="정상",OFFSET(Y475,0,COUNTA(Y475:AV475)-1)=0),"납부 시작 전",
IF(AND(V475="정상",OFFSET(Y475,0,COUNTA(Y475:AV475)-1)&gt;=U475),"정상",
IF(AND(V475="면제",OFFSET(Y475,0,COUNTA(Y475:AV475)-1)="면제"),"면제",
IF(AND(V475="면제",OFFSET(Y475,0,COUNTA(Y475:AV475)-1)=0),"면제",
"확인요청"))))))</f>
        <v>정상</v>
      </c>
      <c r="Y475" s="93" t="n">
        <v>66000</v>
      </c>
      <c r="Z475" s="90" t="n">
        <v>66000</v>
      </c>
      <c r="AA475" s="90" t="n">
        <v>66000</v>
      </c>
      <c r="AB475" s="90" t="n">
        <v>66000</v>
      </c>
      <c r="AC475" s="90" t="n">
        <v>66000</v>
      </c>
      <c r="AD475" s="90" t="n">
        <v>66000</v>
      </c>
      <c r="AE475" s="90" t="n">
        <v>66000</v>
      </c>
      <c r="AF475" s="90" t="n">
        <v>66000</v>
      </c>
      <c r="AG475" s="90" t="n">
        <v>66000</v>
      </c>
      <c r="AH475" s="90" t="n">
        <v>66000</v>
      </c>
      <c r="AI475" s="90" t="n">
        <v>66000</v>
      </c>
      <c r="AJ475" s="91" t="n">
        <v>66000</v>
      </c>
      <c r="AK475" s="89" t="n">
        <v>66000</v>
      </c>
      <c r="AL475" s="90" t="n">
        <v>66000</v>
      </c>
      <c r="AM475" s="90"/>
      <c r="AN475" s="90"/>
      <c r="AO475" s="90"/>
      <c r="AP475" s="90"/>
      <c r="AQ475" s="90"/>
      <c r="AR475" s="90"/>
      <c r="AS475" s="90"/>
      <c r="AT475" s="90"/>
      <c r="AU475" s="90"/>
      <c r="AV475" s="91"/>
      <c r="AX475" s="92"/>
    </row>
    <row r="476" customFormat="false" ht="15.65" hidden="false" customHeight="false" outlineLevel="0" collapsed="false">
      <c r="C476" s="72" t="n">
        <f aca="false">COUNTIFS($D$6:D476,"&lt;&gt;"&amp;"")</f>
        <v>471</v>
      </c>
      <c r="D476" s="73" t="s">
        <v>12</v>
      </c>
      <c r="E476" s="76" t="str">
        <f aca="false">
IF($D476="정상",INDEX(임대자산!$D$3:$R$3000,MATCH($F476,임대자산!$I$3:$I$3000,0),MATCH(E$3,임대자산!$D$3:$R$3,0)),
IF($D476="폐업",INDEX(폐업정보!$D$3:$R$3000,MATCH($F476,폐업정보!$I$3:$I$3000,0),MATCH(E$3,폐업정보!$D$3:$R$3,0)),
"Error"))</f>
        <v>서울</v>
      </c>
      <c r="F47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B0471</v>
      </c>
      <c r="G476" s="76" t="str">
        <f aca="false">F476&amp;RANDBETWEEN(0,10)</f>
        <v>B047110</v>
      </c>
      <c r="H476" s="75" t="n">
        <f aca="false">
IF($D476="정상",INDEX(임대자산!$D$3:$R$3000,MATCH($F476,임대자산!$I$3:$I$3000,0),MATCH(H$4,임대자산!$D$3:$R$3,0)),
IF($D476="폐업",INDEX(폐업정보!$D$3:$R$3000,MATCH($F476,폐업정보!$I$3:$I$3000,0),MATCH(H$4,폐업정보!$D$3:$R$3,0)),
"Error"))</f>
        <v>44971</v>
      </c>
      <c r="I476" s="75" t="str">
        <f aca="false">
IF($D476="정상",INDEX(임대자산!$D$3:$R$3000,MATCH($F476,임대자산!$I$3:$I$3000,0),MATCH(I$4,임대자산!$D$3:$R$3,0)),
IF($D476="폐업",INDEX(폐업정보!$D$3:$R$3000,MATCH($F476,폐업정보!$I$3:$I$3000,0),MATCH(I$4,폐업정보!$D$3:$R$3,0)),
"Error"))</f>
        <v>A0471</v>
      </c>
      <c r="J476" s="75" t="str">
        <f aca="false">
IF($D476="정상",INDEX(임대자산!$D$3:$R$3000,MATCH($F476,임대자산!$I$3:$I$3000,0),MATCH(J$4,임대자산!$D$3:$R$3,0)),
IF($D476="폐업",INDEX(폐업정보!$D$3:$R$3000,MATCH($F476,폐업정보!$I$3:$I$3000,0),MATCH(J$4,폐업정보!$D$3:$R$3,0)),
"Error"))</f>
        <v>4169100000</v>
      </c>
      <c r="K476" s="75" t="str">
        <f aca="false">
IF($D476="정상",INDEX(임대자산!$D$3:$R$3000,MATCH($F476,임대자산!$I$3:$I$3000,0),MATCH(K$4,임대자산!$D$3:$R$3,0)),
IF($D476="폐업",INDEX(폐업정보!$D$3:$R$3000,MATCH($F476,폐업정보!$I$3:$I$3000,0),MATCH(K$4,폐업정보!$D$3:$R$3,0)),
"Error"))</f>
        <v>C0471</v>
      </c>
      <c r="L476" s="75" t="str">
        <f aca="false">
IF($D476="정상",INDEX(임대자산!$D$3:$R$3000,MATCH($F476,임대자산!$I$3:$I$3000,0),MATCH(L$4,임대자산!$D$3:$R$3,0)),
IF($D476="폐업",INDEX(폐업정보!$D$3:$R$3000,MATCH($F476,폐업정보!$I$3:$I$3000,0),MATCH(L$4,폐업정보!$D$3:$R$3,0)),
"Error"))</f>
        <v>D0471</v>
      </c>
      <c r="M476" s="76" t="s">
        <v>96</v>
      </c>
      <c r="N476" s="77"/>
      <c r="O476" s="78" t="s">
        <v>97</v>
      </c>
      <c r="P476" s="79" t="n">
        <f aca="false">COUNTIFS(임대자산!$I:$I,가맹점정보!F476,임대자산!$N:$N,가맹점정보!P$4)</f>
        <v>0</v>
      </c>
      <c r="Q476" s="80" t="n">
        <f aca="false">COUNTIFS(임대자산!$I:$I,가맹점정보!F476,임대자산!$N:$N,가맹점정보!Q$4)</f>
        <v>0</v>
      </c>
      <c r="R476" s="81" t="n">
        <f aca="false">COUNTIFS(임대자산!$I:$I,가맹점정보!F476,임대자산!$N:$N,가맹점정보!R$4)</f>
        <v>1</v>
      </c>
      <c r="S476" s="82" t="n">
        <v>55000</v>
      </c>
      <c r="T476" s="83" t="n">
        <v>0</v>
      </c>
      <c r="U476" s="80" t="n">
        <f aca="false">SUM(S476:T476)</f>
        <v>55000</v>
      </c>
      <c r="V476" s="84" t="s">
        <v>12</v>
      </c>
      <c r="W476" s="80" t="e">
        <f aca="true">
IF(D476="폐업","폐업",
IF(V476="면제","면제",
IF(AND(V476="정상",COUNTIFS(OFFSET(Y476,0,COUNTA(Y476:AV476)-1,1,-4),"미납")&gt;=3),"장기미납",
IF(AND(V476="정상",OFFSET(Y476,0,COUNTA(Y476:AV476)-1)&gt;=U476),"정상",
IF(AND(V476="정상",OFFSET(Y476,0,COUNTA(Y476:AV476)-1)=0),"정상",
"계약서 미작성")))))</f>
        <v>#VALUE!</v>
      </c>
      <c r="X476" s="81" t="str">
        <f aca="true">
IF(D476="폐업","폐업",
IF(AND(V476="정상",OFFSET(Y476,0,COUNTA(Y476:AV476)-1)="미납"),"미납",
IF(AND(V476="정상",OFFSET(Y476,0,COUNTA(Y476:AV476)-1)=0),"납부 시작 전",
IF(AND(V476="정상",OFFSET(Y476,0,COUNTA(Y476:AV476)-1)&gt;=U476),"정상",
IF(AND(V476="면제",OFFSET(Y476,0,COUNTA(Y476:AV476)-1)="면제"),"면제",
IF(AND(V476="면제",OFFSET(Y476,0,COUNTA(Y476:AV476)-1)=0),"면제",
"확인요청"))))))</f>
        <v>정상</v>
      </c>
      <c r="Y476" s="93" t="n">
        <v>55000</v>
      </c>
      <c r="Z476" s="90" t="n">
        <v>55000</v>
      </c>
      <c r="AA476" s="90" t="n">
        <v>55000</v>
      </c>
      <c r="AB476" s="90" t="n">
        <v>55000</v>
      </c>
      <c r="AC476" s="90" t="n">
        <v>55000</v>
      </c>
      <c r="AD476" s="90" t="n">
        <v>55000</v>
      </c>
      <c r="AE476" s="90" t="n">
        <v>55000</v>
      </c>
      <c r="AF476" s="90" t="n">
        <v>55000</v>
      </c>
      <c r="AG476" s="90" t="n">
        <v>55000</v>
      </c>
      <c r="AH476" s="90" t="n">
        <v>55000</v>
      </c>
      <c r="AI476" s="90" t="n">
        <v>55000</v>
      </c>
      <c r="AJ476" s="91" t="n">
        <v>55000</v>
      </c>
      <c r="AK476" s="89" t="n">
        <v>55000</v>
      </c>
      <c r="AL476" s="90" t="n">
        <v>55000</v>
      </c>
      <c r="AM476" s="90"/>
      <c r="AN476" s="90"/>
      <c r="AO476" s="90"/>
      <c r="AP476" s="90"/>
      <c r="AQ476" s="90"/>
      <c r="AR476" s="90"/>
      <c r="AS476" s="90"/>
      <c r="AT476" s="90"/>
      <c r="AU476" s="90"/>
      <c r="AV476" s="91"/>
      <c r="AX476" s="92"/>
    </row>
    <row r="477" customFormat="false" ht="15.65" hidden="false" customHeight="false" outlineLevel="0" collapsed="false">
      <c r="C477" s="72" t="n">
        <f aca="false">COUNTIFS($D$6:D477,"&lt;&gt;"&amp;"")</f>
        <v>472</v>
      </c>
      <c r="D477" s="73" t="s">
        <v>12</v>
      </c>
      <c r="E477" s="76" t="str">
        <f aca="false">
IF($D477="정상",INDEX(임대자산!$D$3:$R$3000,MATCH($F477,임대자산!$I$3:$I$3000,0),MATCH(E$3,임대자산!$D$3:$R$3,0)),
IF($D477="폐업",INDEX(폐업정보!$D$3:$R$3000,MATCH($F477,폐업정보!$I$3:$I$3000,0),MATCH(E$3,폐업정보!$D$3:$R$3,0)),
"Error"))</f>
        <v>서울</v>
      </c>
      <c r="F47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B0472</v>
      </c>
      <c r="G477" s="76" t="str">
        <f aca="false">F477&amp;RANDBETWEEN(0,10)</f>
        <v>B04728</v>
      </c>
      <c r="H477" s="75" t="n">
        <f aca="false">
IF($D477="정상",INDEX(임대자산!$D$3:$R$3000,MATCH($F477,임대자산!$I$3:$I$3000,0),MATCH(H$4,임대자산!$D$3:$R$3,0)),
IF($D477="폐업",INDEX(폐업정보!$D$3:$R$3000,MATCH($F477,폐업정보!$I$3:$I$3000,0),MATCH(H$4,폐업정보!$D$3:$R$3,0)),
"Error"))</f>
        <v>45250</v>
      </c>
      <c r="I477" s="75" t="str">
        <f aca="false">
IF($D477="정상",INDEX(임대자산!$D$3:$R$3000,MATCH($F477,임대자산!$I$3:$I$3000,0),MATCH(I$4,임대자산!$D$3:$R$3,0)),
IF($D477="폐업",INDEX(폐업정보!$D$3:$R$3000,MATCH($F477,폐업정보!$I$3:$I$3000,0),MATCH(I$4,폐업정보!$D$3:$R$3,0)),
"Error"))</f>
        <v>A0472</v>
      </c>
      <c r="J477" s="75" t="str">
        <f aca="false">
IF($D477="정상",INDEX(임대자산!$D$3:$R$3000,MATCH($F477,임대자산!$I$3:$I$3000,0),MATCH(J$4,임대자산!$D$3:$R$3,0)),
IF($D477="폐업",INDEX(폐업정보!$D$3:$R$3000,MATCH($F477,폐업정보!$I$3:$I$3000,0),MATCH(J$4,폐업정보!$D$3:$R$3,0)),
"Error"))</f>
        <v>2601300000</v>
      </c>
      <c r="K477" s="75" t="str">
        <f aca="false">
IF($D477="정상",INDEX(임대자산!$D$3:$R$3000,MATCH($F477,임대자산!$I$3:$I$3000,0),MATCH(K$4,임대자산!$D$3:$R$3,0)),
IF($D477="폐업",INDEX(폐업정보!$D$3:$R$3000,MATCH($F477,폐업정보!$I$3:$I$3000,0),MATCH(K$4,폐업정보!$D$3:$R$3,0)),
"Error"))</f>
        <v>C0472</v>
      </c>
      <c r="L477" s="75" t="str">
        <f aca="false">
IF($D477="정상",INDEX(임대자산!$D$3:$R$3000,MATCH($F477,임대자산!$I$3:$I$3000,0),MATCH(L$4,임대자산!$D$3:$R$3,0)),
IF($D477="폐업",INDEX(폐업정보!$D$3:$R$3000,MATCH($F477,폐업정보!$I$3:$I$3000,0),MATCH(L$4,폐업정보!$D$3:$R$3,0)),
"Error"))</f>
        <v>D0472</v>
      </c>
      <c r="M477" s="76" t="s">
        <v>96</v>
      </c>
      <c r="N477" s="77"/>
      <c r="O477" s="78" t="s">
        <v>97</v>
      </c>
      <c r="P477" s="79" t="n">
        <f aca="false">COUNTIFS(임대자산!$I:$I,가맹점정보!F477,임대자산!$N:$N,가맹점정보!P$4)</f>
        <v>0</v>
      </c>
      <c r="Q477" s="80" t="n">
        <f aca="false">COUNTIFS(임대자산!$I:$I,가맹점정보!F477,임대자산!$N:$N,가맹점정보!Q$4)</f>
        <v>0</v>
      </c>
      <c r="R477" s="81" t="n">
        <f aca="false">COUNTIFS(임대자산!$I:$I,가맹점정보!F477,임대자산!$N:$N,가맹점정보!R$4)</f>
        <v>1</v>
      </c>
      <c r="S477" s="82" t="n">
        <v>55000</v>
      </c>
      <c r="T477" s="83" t="n">
        <v>0</v>
      </c>
      <c r="U477" s="80" t="n">
        <f aca="false">SUM(S477:T477)</f>
        <v>55000</v>
      </c>
      <c r="V477" s="84" t="s">
        <v>12</v>
      </c>
      <c r="W477" s="80" t="e">
        <f aca="true">
IF(D477="폐업","폐업",
IF(V477="면제","면제",
IF(AND(V477="정상",COUNTIFS(OFFSET(Y477,0,COUNTA(Y477:AV477)-1,1,-4),"미납")&gt;=3),"장기미납",
IF(AND(V477="정상",OFFSET(Y477,0,COUNTA(Y477:AV477)-1)&gt;=U477),"정상",
IF(AND(V477="정상",OFFSET(Y477,0,COUNTA(Y477:AV477)-1)=0),"정상",
"계약서 미작성")))))</f>
        <v>#VALUE!</v>
      </c>
      <c r="X477" s="81" t="str">
        <f aca="true">
IF(D477="폐업","폐업",
IF(AND(V477="정상",OFFSET(Y477,0,COUNTA(Y477:AV477)-1)="미납"),"미납",
IF(AND(V477="정상",OFFSET(Y477,0,COUNTA(Y477:AV477)-1)=0),"납부 시작 전",
IF(AND(V477="정상",OFFSET(Y477,0,COUNTA(Y477:AV477)-1)&gt;=U477),"정상",
IF(AND(V477="면제",OFFSET(Y477,0,COUNTA(Y477:AV477)-1)="면제"),"면제",
IF(AND(V477="면제",OFFSET(Y477,0,COUNTA(Y477:AV477)-1)=0),"면제",
"확인요청"))))))</f>
        <v>정상</v>
      </c>
      <c r="Y477" s="93" t="n">
        <v>55000</v>
      </c>
      <c r="Z477" s="90" t="n">
        <v>55000</v>
      </c>
      <c r="AA477" s="90" t="n">
        <v>55000</v>
      </c>
      <c r="AB477" s="90" t="n">
        <v>55000</v>
      </c>
      <c r="AC477" s="90" t="n">
        <v>55000</v>
      </c>
      <c r="AD477" s="90" t="n">
        <v>55000</v>
      </c>
      <c r="AE477" s="90" t="n">
        <v>55000</v>
      </c>
      <c r="AF477" s="90" t="n">
        <v>55000</v>
      </c>
      <c r="AG477" s="90" t="n">
        <v>55000</v>
      </c>
      <c r="AH477" s="90" t="n">
        <v>55000</v>
      </c>
      <c r="AI477" s="90" t="n">
        <v>55000</v>
      </c>
      <c r="AJ477" s="91" t="n">
        <v>55000</v>
      </c>
      <c r="AK477" s="89" t="n">
        <v>55000</v>
      </c>
      <c r="AL477" s="90" t="n">
        <v>55000</v>
      </c>
      <c r="AM477" s="90"/>
      <c r="AN477" s="90"/>
      <c r="AO477" s="90"/>
      <c r="AP477" s="90"/>
      <c r="AQ477" s="90"/>
      <c r="AR477" s="90"/>
      <c r="AS477" s="90"/>
      <c r="AT477" s="90"/>
      <c r="AU477" s="90"/>
      <c r="AV477" s="91"/>
      <c r="AX477" s="92"/>
    </row>
    <row r="478" customFormat="false" ht="15.65" hidden="false" customHeight="false" outlineLevel="0" collapsed="false">
      <c r="C478" s="72" t="n">
        <f aca="false">COUNTIFS($D$6:D478,"&lt;&gt;"&amp;"")</f>
        <v>473</v>
      </c>
      <c r="D478" s="73" t="s">
        <v>12</v>
      </c>
      <c r="E478" s="76" t="str">
        <f aca="false">
IF($D478="정상",INDEX(임대자산!$D$3:$R$3000,MATCH($F478,임대자산!$I$3:$I$3000,0),MATCH(E$3,임대자산!$D$3:$R$3,0)),
IF($D478="폐업",INDEX(폐업정보!$D$3:$R$3000,MATCH($F478,폐업정보!$I$3:$I$3000,0),MATCH(E$3,폐업정보!$D$3:$R$3,0)),
"Error"))</f>
        <v>서울</v>
      </c>
      <c r="F47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B0473</v>
      </c>
      <c r="G478" s="76" t="str">
        <f aca="false">F478&amp;RANDBETWEEN(0,10)</f>
        <v>B04731</v>
      </c>
      <c r="H478" s="75" t="n">
        <f aca="false">
IF($D478="정상",INDEX(임대자산!$D$3:$R$3000,MATCH($F478,임대자산!$I$3:$I$3000,0),MATCH(H$4,임대자산!$D$3:$R$3,0)),
IF($D478="폐업",INDEX(폐업정보!$D$3:$R$3000,MATCH($F478,폐업정보!$I$3:$I$3000,0),MATCH(H$4,폐업정보!$D$3:$R$3,0)),
"Error"))</f>
        <v>45184</v>
      </c>
      <c r="I478" s="75" t="str">
        <f aca="false">
IF($D478="정상",INDEX(임대자산!$D$3:$R$3000,MATCH($F478,임대자산!$I$3:$I$3000,0),MATCH(I$4,임대자산!$D$3:$R$3,0)),
IF($D478="폐업",INDEX(폐업정보!$D$3:$R$3000,MATCH($F478,폐업정보!$I$3:$I$3000,0),MATCH(I$4,폐업정보!$D$3:$R$3,0)),
"Error"))</f>
        <v>A0473</v>
      </c>
      <c r="J478" s="75" t="str">
        <f aca="false">
IF($D478="정상",INDEX(임대자산!$D$3:$R$3000,MATCH($F478,임대자산!$I$3:$I$3000,0),MATCH(J$4,임대자산!$D$3:$R$3,0)),
IF($D478="폐업",INDEX(폐업정보!$D$3:$R$3000,MATCH($F478,폐업정보!$I$3:$I$3000,0),MATCH(J$4,폐업정보!$D$3:$R$3,0)),
"Error"))</f>
        <v>2945500000</v>
      </c>
      <c r="K478" s="75" t="str">
        <f aca="false">
IF($D478="정상",INDEX(임대자산!$D$3:$R$3000,MATCH($F478,임대자산!$I$3:$I$3000,0),MATCH(K$4,임대자산!$D$3:$R$3,0)),
IF($D478="폐업",INDEX(폐업정보!$D$3:$R$3000,MATCH($F478,폐업정보!$I$3:$I$3000,0),MATCH(K$4,폐업정보!$D$3:$R$3,0)),
"Error"))</f>
        <v>C0473</v>
      </c>
      <c r="L478" s="75" t="str">
        <f aca="false">
IF($D478="정상",INDEX(임대자산!$D$3:$R$3000,MATCH($F478,임대자산!$I$3:$I$3000,0),MATCH(L$4,임대자산!$D$3:$R$3,0)),
IF($D478="폐업",INDEX(폐업정보!$D$3:$R$3000,MATCH($F478,폐업정보!$I$3:$I$3000,0),MATCH(L$4,폐업정보!$D$3:$R$3,0)),
"Error"))</f>
        <v>D0473</v>
      </c>
      <c r="M478" s="76" t="s">
        <v>96</v>
      </c>
      <c r="N478" s="77"/>
      <c r="O478" s="78" t="s">
        <v>97</v>
      </c>
      <c r="P478" s="79" t="n">
        <f aca="false">COUNTIFS(임대자산!$I:$I,가맹점정보!F478,임대자산!$N:$N,가맹점정보!P$4)</f>
        <v>0</v>
      </c>
      <c r="Q478" s="80" t="n">
        <f aca="false">COUNTIFS(임대자산!$I:$I,가맹점정보!F478,임대자산!$N:$N,가맹점정보!Q$4)</f>
        <v>0</v>
      </c>
      <c r="R478" s="81" t="n">
        <f aca="false">COUNTIFS(임대자산!$I:$I,가맹점정보!F478,임대자산!$N:$N,가맹점정보!R$4)</f>
        <v>1</v>
      </c>
      <c r="S478" s="82" t="n">
        <v>110000</v>
      </c>
      <c r="T478" s="83" t="n">
        <v>0</v>
      </c>
      <c r="U478" s="80" t="n">
        <f aca="false">SUM(S478:T478)</f>
        <v>110000</v>
      </c>
      <c r="V478" s="84" t="s">
        <v>12</v>
      </c>
      <c r="W478" s="80" t="e">
        <f aca="true">
IF(D478="폐업","폐업",
IF(V478="면제","면제",
IF(AND(V478="정상",COUNTIFS(OFFSET(Y478,0,COUNTA(Y478:AV478)-1,1,-4),"미납")&gt;=3),"장기미납",
IF(AND(V478="정상",OFFSET(Y478,0,COUNTA(Y478:AV478)-1)&gt;=U478),"정상",
IF(AND(V478="정상",OFFSET(Y478,0,COUNTA(Y478:AV478)-1)=0),"정상",
"계약서 미작성")))))</f>
        <v>#VALUE!</v>
      </c>
      <c r="X478" s="81" t="str">
        <f aca="true">
IF(D478="폐업","폐업",
IF(AND(V478="정상",OFFSET(Y478,0,COUNTA(Y478:AV478)-1)="미납"),"미납",
IF(AND(V478="정상",OFFSET(Y478,0,COUNTA(Y478:AV478)-1)=0),"납부 시작 전",
IF(AND(V478="정상",OFFSET(Y478,0,COUNTA(Y478:AV478)-1)&gt;=U478),"정상",
IF(AND(V478="면제",OFFSET(Y478,0,COUNTA(Y478:AV478)-1)="면제"),"면제",
IF(AND(V478="면제",OFFSET(Y478,0,COUNTA(Y478:AV478)-1)=0),"면제",
"확인요청"))))))</f>
        <v>정상</v>
      </c>
      <c r="Y478" s="93" t="n">
        <v>110000</v>
      </c>
      <c r="Z478" s="90" t="n">
        <v>110000</v>
      </c>
      <c r="AA478" s="90" t="n">
        <v>110000</v>
      </c>
      <c r="AB478" s="90" t="n">
        <v>110000</v>
      </c>
      <c r="AC478" s="90" t="n">
        <v>110000</v>
      </c>
      <c r="AD478" s="90" t="n">
        <v>110000</v>
      </c>
      <c r="AE478" s="90" t="n">
        <v>110000</v>
      </c>
      <c r="AF478" s="90" t="n">
        <v>110000</v>
      </c>
      <c r="AG478" s="90" t="n">
        <v>110000</v>
      </c>
      <c r="AH478" s="90" t="n">
        <v>110000</v>
      </c>
      <c r="AI478" s="90" t="n">
        <v>110000</v>
      </c>
      <c r="AJ478" s="91" t="n">
        <v>110000</v>
      </c>
      <c r="AK478" s="89" t="n">
        <v>110000</v>
      </c>
      <c r="AL478" s="90" t="n">
        <v>110000</v>
      </c>
      <c r="AM478" s="90"/>
      <c r="AN478" s="90"/>
      <c r="AO478" s="90"/>
      <c r="AP478" s="90"/>
      <c r="AQ478" s="90"/>
      <c r="AR478" s="90"/>
      <c r="AS478" s="90"/>
      <c r="AT478" s="90"/>
      <c r="AU478" s="90"/>
      <c r="AV478" s="91"/>
      <c r="AX478" s="92"/>
    </row>
    <row r="479" customFormat="false" ht="15.65" hidden="false" customHeight="false" outlineLevel="0" collapsed="false">
      <c r="C479" s="72" t="n">
        <f aca="false">COUNTIFS($D$6:D479,"&lt;&gt;"&amp;"")</f>
        <v>474</v>
      </c>
      <c r="D479" s="73" t="s">
        <v>12</v>
      </c>
      <c r="E479" s="76" t="str">
        <f aca="false">
IF($D479="정상",INDEX(임대자산!$D$3:$R$3000,MATCH($F479,임대자산!$I$3:$I$3000,0),MATCH(E$3,임대자산!$D$3:$R$3,0)),
IF($D479="폐업",INDEX(폐업정보!$D$3:$R$3000,MATCH($F479,폐업정보!$I$3:$I$3000,0),MATCH(E$3,폐업정보!$D$3:$R$3,0)),
"Error"))</f>
        <v>서울</v>
      </c>
      <c r="F47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B0474</v>
      </c>
      <c r="G479" s="76" t="str">
        <f aca="false">F479&amp;RANDBETWEEN(0,10)</f>
        <v>B04740</v>
      </c>
      <c r="H479" s="75" t="n">
        <f aca="false">
IF($D479="정상",INDEX(임대자산!$D$3:$R$3000,MATCH($F479,임대자산!$I$3:$I$3000,0),MATCH(H$4,임대자산!$D$3:$R$3,0)),
IF($D479="폐업",INDEX(폐업정보!$D$3:$R$3000,MATCH($F479,폐업정보!$I$3:$I$3000,0),MATCH(H$4,폐업정보!$D$3:$R$3,0)),
"Error"))</f>
        <v>44964</v>
      </c>
      <c r="I479" s="75" t="str">
        <f aca="false">
IF($D479="정상",INDEX(임대자산!$D$3:$R$3000,MATCH($F479,임대자산!$I$3:$I$3000,0),MATCH(I$4,임대자산!$D$3:$R$3,0)),
IF($D479="폐업",INDEX(폐업정보!$D$3:$R$3000,MATCH($F479,폐업정보!$I$3:$I$3000,0),MATCH(I$4,폐업정보!$D$3:$R$3,0)),
"Error"))</f>
        <v>A0474</v>
      </c>
      <c r="J479" s="75" t="str">
        <f aca="false">
IF($D479="정상",INDEX(임대자산!$D$3:$R$3000,MATCH($F479,임대자산!$I$3:$I$3000,0),MATCH(J$4,임대자산!$D$3:$R$3,0)),
IF($D479="폐업",INDEX(폐업정보!$D$3:$R$3000,MATCH($F479,폐업정보!$I$3:$I$3000,0),MATCH(J$4,폐업정보!$D$3:$R$3,0)),
"Error"))</f>
        <v>7731900000</v>
      </c>
      <c r="K479" s="75" t="str">
        <f aca="false">
IF($D479="정상",INDEX(임대자산!$D$3:$R$3000,MATCH($F479,임대자산!$I$3:$I$3000,0),MATCH(K$4,임대자산!$D$3:$R$3,0)),
IF($D479="폐업",INDEX(폐업정보!$D$3:$R$3000,MATCH($F479,폐업정보!$I$3:$I$3000,0),MATCH(K$4,폐업정보!$D$3:$R$3,0)),
"Error"))</f>
        <v>C0474</v>
      </c>
      <c r="L479" s="75" t="str">
        <f aca="false">
IF($D479="정상",INDEX(임대자산!$D$3:$R$3000,MATCH($F479,임대자산!$I$3:$I$3000,0),MATCH(L$4,임대자산!$D$3:$R$3,0)),
IF($D479="폐업",INDEX(폐업정보!$D$3:$R$3000,MATCH($F479,폐업정보!$I$3:$I$3000,0),MATCH(L$4,폐업정보!$D$3:$R$3,0)),
"Error"))</f>
        <v>D0474</v>
      </c>
      <c r="M479" s="76" t="s">
        <v>96</v>
      </c>
      <c r="N479" s="77"/>
      <c r="O479" s="78" t="s">
        <v>97</v>
      </c>
      <c r="P479" s="79" t="n">
        <f aca="false">COUNTIFS(임대자산!$I:$I,가맹점정보!F479,임대자산!$N:$N,가맹점정보!P$4)</f>
        <v>0</v>
      </c>
      <c r="Q479" s="80" t="n">
        <f aca="false">COUNTIFS(임대자산!$I:$I,가맹점정보!F479,임대자산!$N:$N,가맹점정보!Q$4)</f>
        <v>0</v>
      </c>
      <c r="R479" s="81" t="n">
        <f aca="false">COUNTIFS(임대자산!$I:$I,가맹점정보!F479,임대자산!$N:$N,가맹점정보!R$4)</f>
        <v>1</v>
      </c>
      <c r="S479" s="82" t="n">
        <v>55000</v>
      </c>
      <c r="T479" s="83" t="n">
        <v>0</v>
      </c>
      <c r="U479" s="80" t="n">
        <f aca="false">SUM(S479:T479)</f>
        <v>55000</v>
      </c>
      <c r="V479" s="84" t="s">
        <v>12</v>
      </c>
      <c r="W479" s="80" t="e">
        <f aca="true">
IF(D479="폐업","폐업",
IF(V479="면제","면제",
IF(AND(V479="정상",COUNTIFS(OFFSET(Y479,0,COUNTA(Y479:AV479)-1,1,-4),"미납")&gt;=3),"장기미납",
IF(AND(V479="정상",OFFSET(Y479,0,COUNTA(Y479:AV479)-1)&gt;=U479),"정상",
IF(AND(V479="정상",OFFSET(Y479,0,COUNTA(Y479:AV479)-1)=0),"정상",
"계약서 미작성")))))</f>
        <v>#VALUE!</v>
      </c>
      <c r="X479" s="81" t="str">
        <f aca="true">
IF(D479="폐업","폐업",
IF(AND(V479="정상",OFFSET(Y479,0,COUNTA(Y479:AV479)-1)="미납"),"미납",
IF(AND(V479="정상",OFFSET(Y479,0,COUNTA(Y479:AV479)-1)=0),"납부 시작 전",
IF(AND(V479="정상",OFFSET(Y479,0,COUNTA(Y479:AV479)-1)&gt;=U479),"정상",
IF(AND(V479="면제",OFFSET(Y479,0,COUNTA(Y479:AV479)-1)="면제"),"면제",
IF(AND(V479="면제",OFFSET(Y479,0,COUNTA(Y479:AV479)-1)=0),"면제",
"확인요청"))))))</f>
        <v>정상</v>
      </c>
      <c r="Y479" s="93" t="n">
        <v>55000</v>
      </c>
      <c r="Z479" s="90" t="n">
        <v>55000</v>
      </c>
      <c r="AA479" s="90" t="n">
        <v>55000</v>
      </c>
      <c r="AB479" s="90" t="n">
        <v>55000</v>
      </c>
      <c r="AC479" s="90" t="n">
        <v>55000</v>
      </c>
      <c r="AD479" s="90" t="n">
        <v>55000</v>
      </c>
      <c r="AE479" s="90" t="n">
        <v>55000</v>
      </c>
      <c r="AF479" s="90" t="n">
        <v>55000</v>
      </c>
      <c r="AG479" s="90" t="n">
        <v>55000</v>
      </c>
      <c r="AH479" s="90" t="n">
        <v>55000</v>
      </c>
      <c r="AI479" s="90" t="n">
        <v>55000</v>
      </c>
      <c r="AJ479" s="91" t="n">
        <v>55000</v>
      </c>
      <c r="AK479" s="89" t="n">
        <v>55000</v>
      </c>
      <c r="AL479" s="90" t="n">
        <v>55000</v>
      </c>
      <c r="AM479" s="90"/>
      <c r="AN479" s="90"/>
      <c r="AO479" s="90"/>
      <c r="AP479" s="90"/>
      <c r="AQ479" s="90"/>
      <c r="AR479" s="90"/>
      <c r="AS479" s="90"/>
      <c r="AT479" s="90"/>
      <c r="AU479" s="90"/>
      <c r="AV479" s="91"/>
      <c r="AX479" s="92"/>
    </row>
    <row r="480" customFormat="false" ht="15.65" hidden="false" customHeight="false" outlineLevel="0" collapsed="false">
      <c r="C480" s="72" t="n">
        <f aca="false">COUNTIFS($D$6:D480,"&lt;&gt;"&amp;"")</f>
        <v>475</v>
      </c>
      <c r="D480" s="73" t="s">
        <v>12</v>
      </c>
      <c r="E480" s="76" t="str">
        <f aca="false">
IF($D480="정상",INDEX(임대자산!$D$3:$R$3000,MATCH($F480,임대자산!$I$3:$I$3000,0),MATCH(E$3,임대자산!$D$3:$R$3,0)),
IF($D480="폐업",INDEX(폐업정보!$D$3:$R$3000,MATCH($F480,폐업정보!$I$3:$I$3000,0),MATCH(E$3,폐업정보!$D$3:$R$3,0)),
"Error"))</f>
        <v>서울</v>
      </c>
      <c r="F48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B0475</v>
      </c>
      <c r="G480" s="76" t="str">
        <f aca="false">F480&amp;RANDBETWEEN(0,10)</f>
        <v>B04751</v>
      </c>
      <c r="H480" s="75" t="n">
        <f aca="false">
IF($D480="정상",INDEX(임대자산!$D$3:$R$3000,MATCH($F480,임대자산!$I$3:$I$3000,0),MATCH(H$4,임대자산!$D$3:$R$3,0)),
IF($D480="폐업",INDEX(폐업정보!$D$3:$R$3000,MATCH($F480,폐업정보!$I$3:$I$3000,0),MATCH(H$4,폐업정보!$D$3:$R$3,0)),
"Error"))</f>
        <v>45236</v>
      </c>
      <c r="I480" s="75" t="str">
        <f aca="false">
IF($D480="정상",INDEX(임대자산!$D$3:$R$3000,MATCH($F480,임대자산!$I$3:$I$3000,0),MATCH(I$4,임대자산!$D$3:$R$3,0)),
IF($D480="폐업",INDEX(폐업정보!$D$3:$R$3000,MATCH($F480,폐업정보!$I$3:$I$3000,0),MATCH(I$4,폐업정보!$D$3:$R$3,0)),
"Error"))</f>
        <v>A0475</v>
      </c>
      <c r="J480" s="75" t="str">
        <f aca="false">
IF($D480="정상",INDEX(임대자산!$D$3:$R$3000,MATCH($F480,임대자산!$I$3:$I$3000,0),MATCH(J$4,임대자산!$D$3:$R$3,0)),
IF($D480="폐업",INDEX(폐업정보!$D$3:$R$3000,MATCH($F480,폐업정보!$I$3:$I$3000,0),MATCH(J$4,폐업정보!$D$3:$R$3,0)),
"Error"))</f>
        <v>2981800000</v>
      </c>
      <c r="K480" s="75" t="str">
        <f aca="false">
IF($D480="정상",INDEX(임대자산!$D$3:$R$3000,MATCH($F480,임대자산!$I$3:$I$3000,0),MATCH(K$4,임대자산!$D$3:$R$3,0)),
IF($D480="폐업",INDEX(폐업정보!$D$3:$R$3000,MATCH($F480,폐업정보!$I$3:$I$3000,0),MATCH(K$4,폐업정보!$D$3:$R$3,0)),
"Error"))</f>
        <v>C0475</v>
      </c>
      <c r="L480" s="75" t="str">
        <f aca="false">
IF($D480="정상",INDEX(임대자산!$D$3:$R$3000,MATCH($F480,임대자산!$I$3:$I$3000,0),MATCH(L$4,임대자산!$D$3:$R$3,0)),
IF($D480="폐업",INDEX(폐업정보!$D$3:$R$3000,MATCH($F480,폐업정보!$I$3:$I$3000,0),MATCH(L$4,폐업정보!$D$3:$R$3,0)),
"Error"))</f>
        <v>D0475</v>
      </c>
      <c r="M480" s="76" t="s">
        <v>96</v>
      </c>
      <c r="N480" s="77"/>
      <c r="O480" s="78" t="s">
        <v>97</v>
      </c>
      <c r="P480" s="79" t="n">
        <f aca="false">COUNTIFS(임대자산!$I:$I,가맹점정보!F480,임대자산!$N:$N,가맹점정보!P$4)</f>
        <v>0</v>
      </c>
      <c r="Q480" s="80" t="n">
        <f aca="false">COUNTIFS(임대자산!$I:$I,가맹점정보!F480,임대자산!$N:$N,가맹점정보!Q$4)</f>
        <v>0</v>
      </c>
      <c r="R480" s="81" t="n">
        <f aca="false">COUNTIFS(임대자산!$I:$I,가맹점정보!F480,임대자산!$N:$N,가맹점정보!R$4)</f>
        <v>1</v>
      </c>
      <c r="S480" s="82" t="n">
        <v>55000</v>
      </c>
      <c r="T480" s="83" t="n">
        <v>0</v>
      </c>
      <c r="U480" s="80" t="n">
        <f aca="false">SUM(S480:T480)</f>
        <v>55000</v>
      </c>
      <c r="V480" s="84" t="s">
        <v>12</v>
      </c>
      <c r="W480" s="80" t="e">
        <f aca="true">
IF(D480="폐업","폐업",
IF(V480="면제","면제",
IF(AND(V480="정상",COUNTIFS(OFFSET(Y480,0,COUNTA(Y480:AV480)-1,1,-4),"미납")&gt;=3),"장기미납",
IF(AND(V480="정상",OFFSET(Y480,0,COUNTA(Y480:AV480)-1)&gt;=U480),"정상",
IF(AND(V480="정상",OFFSET(Y480,0,COUNTA(Y480:AV480)-1)=0),"정상",
"계약서 미작성")))))</f>
        <v>#VALUE!</v>
      </c>
      <c r="X480" s="81" t="str">
        <f aca="true">
IF(D480="폐업","폐업",
IF(AND(V480="정상",OFFSET(Y480,0,COUNTA(Y480:AV480)-1)="미납"),"미납",
IF(AND(V480="정상",OFFSET(Y480,0,COUNTA(Y480:AV480)-1)=0),"납부 시작 전",
IF(AND(V480="정상",OFFSET(Y480,0,COUNTA(Y480:AV480)-1)&gt;=U480),"정상",
IF(AND(V480="면제",OFFSET(Y480,0,COUNTA(Y480:AV480)-1)="면제"),"면제",
IF(AND(V480="면제",OFFSET(Y480,0,COUNTA(Y480:AV480)-1)=0),"면제",
"확인요청"))))))</f>
        <v>정상</v>
      </c>
      <c r="Y480" s="93" t="n">
        <v>55000</v>
      </c>
      <c r="Z480" s="90" t="n">
        <v>55000</v>
      </c>
      <c r="AA480" s="90" t="n">
        <v>55000</v>
      </c>
      <c r="AB480" s="90" t="n">
        <v>55000</v>
      </c>
      <c r="AC480" s="90" t="n">
        <v>55000</v>
      </c>
      <c r="AD480" s="90" t="n">
        <v>55000</v>
      </c>
      <c r="AE480" s="90" t="n">
        <v>55000</v>
      </c>
      <c r="AF480" s="90" t="n">
        <v>55000</v>
      </c>
      <c r="AG480" s="90" t="n">
        <v>55000</v>
      </c>
      <c r="AH480" s="90" t="n">
        <v>55000</v>
      </c>
      <c r="AI480" s="90" t="n">
        <v>55000</v>
      </c>
      <c r="AJ480" s="91" t="n">
        <v>55000</v>
      </c>
      <c r="AK480" s="89" t="n">
        <v>55000</v>
      </c>
      <c r="AL480" s="90" t="n">
        <v>55000</v>
      </c>
      <c r="AM480" s="90"/>
      <c r="AN480" s="90"/>
      <c r="AO480" s="90"/>
      <c r="AP480" s="90"/>
      <c r="AQ480" s="90"/>
      <c r="AR480" s="90"/>
      <c r="AS480" s="90"/>
      <c r="AT480" s="90"/>
      <c r="AU480" s="90"/>
      <c r="AV480" s="91"/>
      <c r="AX480" s="92"/>
    </row>
    <row r="481" customFormat="false" ht="15.65" hidden="false" customHeight="false" outlineLevel="0" collapsed="false">
      <c r="C481" s="72" t="n">
        <f aca="false">COUNTIFS($D$6:D481,"&lt;&gt;"&amp;"")</f>
        <v>476</v>
      </c>
      <c r="D481" s="73" t="s">
        <v>12</v>
      </c>
      <c r="E481" s="76" t="str">
        <f aca="false">
IF($D481="정상",INDEX(임대자산!$D$3:$R$3000,MATCH($F481,임대자산!$I$3:$I$3000,0),MATCH(E$3,임대자산!$D$3:$R$3,0)),
IF($D481="폐업",INDEX(폐업정보!$D$3:$R$3000,MATCH($F481,폐업정보!$I$3:$I$3000,0),MATCH(E$3,폐업정보!$D$3:$R$3,0)),
"Error"))</f>
        <v>서울</v>
      </c>
      <c r="F48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B0476</v>
      </c>
      <c r="G481" s="76" t="str">
        <f aca="false">F481&amp;RANDBETWEEN(0,10)</f>
        <v>B04768</v>
      </c>
      <c r="H481" s="75" t="n">
        <f aca="false">
IF($D481="정상",INDEX(임대자산!$D$3:$R$3000,MATCH($F481,임대자산!$I$3:$I$3000,0),MATCH(H$4,임대자산!$D$3:$R$3,0)),
IF($D481="폐업",INDEX(폐업정보!$D$3:$R$3000,MATCH($F481,폐업정보!$I$3:$I$3000,0),MATCH(H$4,폐업정보!$D$3:$R$3,0)),
"Error"))</f>
        <v>45229</v>
      </c>
      <c r="I481" s="75" t="str">
        <f aca="false">
IF($D481="정상",INDEX(임대자산!$D$3:$R$3000,MATCH($F481,임대자산!$I$3:$I$3000,0),MATCH(I$4,임대자산!$D$3:$R$3,0)),
IF($D481="폐업",INDEX(폐업정보!$D$3:$R$3000,MATCH($F481,폐업정보!$I$3:$I$3000,0),MATCH(I$4,폐업정보!$D$3:$R$3,0)),
"Error"))</f>
        <v>A0476</v>
      </c>
      <c r="J481" s="75" t="str">
        <f aca="false">
IF($D481="정상",INDEX(임대자산!$D$3:$R$3000,MATCH($F481,임대자산!$I$3:$I$3000,0),MATCH(J$4,임대자산!$D$3:$R$3,0)),
IF($D481="폐업",INDEX(폐업정보!$D$3:$R$3000,MATCH($F481,폐업정보!$I$3:$I$3000,0),MATCH(J$4,폐업정보!$D$3:$R$3,0)),
"Error"))</f>
        <v>6265900000</v>
      </c>
      <c r="K481" s="75" t="str">
        <f aca="false">
IF($D481="정상",INDEX(임대자산!$D$3:$R$3000,MATCH($F481,임대자산!$I$3:$I$3000,0),MATCH(K$4,임대자산!$D$3:$R$3,0)),
IF($D481="폐업",INDEX(폐업정보!$D$3:$R$3000,MATCH($F481,폐업정보!$I$3:$I$3000,0),MATCH(K$4,폐업정보!$D$3:$R$3,0)),
"Error"))</f>
        <v>C0476</v>
      </c>
      <c r="L481" s="75" t="str">
        <f aca="false">
IF($D481="정상",INDEX(임대자산!$D$3:$R$3000,MATCH($F481,임대자산!$I$3:$I$3000,0),MATCH(L$4,임대자산!$D$3:$R$3,0)),
IF($D481="폐업",INDEX(폐업정보!$D$3:$R$3000,MATCH($F481,폐업정보!$I$3:$I$3000,0),MATCH(L$4,폐업정보!$D$3:$R$3,0)),
"Error"))</f>
        <v>D0476</v>
      </c>
      <c r="M481" s="76" t="s">
        <v>96</v>
      </c>
      <c r="N481" s="77"/>
      <c r="O481" s="78" t="s">
        <v>97</v>
      </c>
      <c r="P481" s="79" t="n">
        <f aca="false">COUNTIFS(임대자산!$I:$I,가맹점정보!F481,임대자산!$N:$N,가맹점정보!P$4)</f>
        <v>0</v>
      </c>
      <c r="Q481" s="80" t="n">
        <f aca="false">COUNTIFS(임대자산!$I:$I,가맹점정보!F481,임대자산!$N:$N,가맹점정보!Q$4)</f>
        <v>0</v>
      </c>
      <c r="R481" s="81" t="n">
        <f aca="false">COUNTIFS(임대자산!$I:$I,가맹점정보!F481,임대자산!$N:$N,가맹점정보!R$4)</f>
        <v>1</v>
      </c>
      <c r="S481" s="82" t="n">
        <v>88000</v>
      </c>
      <c r="T481" s="83" t="n">
        <v>0</v>
      </c>
      <c r="U481" s="80" t="n">
        <f aca="false">SUM(S481:T481)</f>
        <v>88000</v>
      </c>
      <c r="V481" s="84" t="s">
        <v>7</v>
      </c>
      <c r="W481" s="80" t="str">
        <f aca="true">
IF(D481="폐업","폐업",
IF(V481="면제","면제",
IF(AND(V481="정상",COUNTIFS(OFFSET(Y481,0,COUNTA(Y481:AV481)-1,1,-4),"미납")&gt;=3),"장기미납",
IF(AND(V481="정상",OFFSET(Y481,0,COUNTA(Y481:AV481)-1)&gt;=U481),"정상",
IF(AND(V481="정상",OFFSET(Y481,0,COUNTA(Y481:AV481)-1)=0),"정상",
"계약서 미작성")))))</f>
        <v>면제</v>
      </c>
      <c r="X481" s="81" t="str">
        <f aca="true">
IF(D481="폐업","폐업",
IF(AND(V481="정상",OFFSET(Y481,0,COUNTA(Y481:AV481)-1)="미납"),"미납",
IF(AND(V481="정상",OFFSET(Y481,0,COUNTA(Y481:AV481)-1)=0),"납부 시작 전",
IF(AND(V481="정상",OFFSET(Y481,0,COUNTA(Y481:AV481)-1)&gt;=U481),"정상",
IF(AND(V481="면제",OFFSET(Y481,0,COUNTA(Y481:AV481)-1)="면제"),"면제",
IF(AND(V481="면제",OFFSET(Y481,0,COUNTA(Y481:AV481)-1)=0),"면제",
"확인요청"))))))</f>
        <v>면제</v>
      </c>
      <c r="Y481" s="94" t="s">
        <v>7</v>
      </c>
      <c r="Z481" s="95" t="s">
        <v>7</v>
      </c>
      <c r="AA481" s="95" t="s">
        <v>7</v>
      </c>
      <c r="AB481" s="95" t="s">
        <v>7</v>
      </c>
      <c r="AC481" s="95" t="s">
        <v>7</v>
      </c>
      <c r="AD481" s="95" t="s">
        <v>7</v>
      </c>
      <c r="AE481" s="95" t="s">
        <v>7</v>
      </c>
      <c r="AF481" s="95" t="s">
        <v>7</v>
      </c>
      <c r="AG481" s="95" t="s">
        <v>7</v>
      </c>
      <c r="AH481" s="95" t="s">
        <v>7</v>
      </c>
      <c r="AI481" s="95" t="s">
        <v>7</v>
      </c>
      <c r="AJ481" s="96" t="s">
        <v>7</v>
      </c>
      <c r="AK481" s="97" t="s">
        <v>7</v>
      </c>
      <c r="AL481" s="95" t="s">
        <v>7</v>
      </c>
      <c r="AM481" s="90"/>
      <c r="AN481" s="90"/>
      <c r="AO481" s="90"/>
      <c r="AP481" s="90"/>
      <c r="AQ481" s="90"/>
      <c r="AR481" s="90"/>
      <c r="AS481" s="90"/>
      <c r="AT481" s="90"/>
      <c r="AU481" s="90"/>
      <c r="AV481" s="91"/>
      <c r="AX481" s="92"/>
    </row>
    <row r="482" customFormat="false" ht="15.65" hidden="false" customHeight="false" outlineLevel="0" collapsed="false">
      <c r="C482" s="72" t="n">
        <f aca="false">COUNTIFS($D$6:D482,"&lt;&gt;"&amp;"")</f>
        <v>477</v>
      </c>
      <c r="D482" s="73" t="s">
        <v>12</v>
      </c>
      <c r="E482" s="76" t="str">
        <f aca="false">
IF($D482="정상",INDEX(임대자산!$D$3:$R$3000,MATCH($F482,임대자산!$I$3:$I$3000,0),MATCH(E$3,임대자산!$D$3:$R$3,0)),
IF($D482="폐업",INDEX(폐업정보!$D$3:$R$3000,MATCH($F482,폐업정보!$I$3:$I$3000,0),MATCH(E$3,폐업정보!$D$3:$R$3,0)),
"Error"))</f>
        <v>서울</v>
      </c>
      <c r="F48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B0477</v>
      </c>
      <c r="G482" s="76" t="str">
        <f aca="false">F482&amp;RANDBETWEEN(0,10)</f>
        <v>B04772</v>
      </c>
      <c r="H482" s="75" t="n">
        <f aca="false">
IF($D482="정상",INDEX(임대자산!$D$3:$R$3000,MATCH($F482,임대자산!$I$3:$I$3000,0),MATCH(H$4,임대자산!$D$3:$R$3,0)),
IF($D482="폐업",INDEX(폐업정보!$D$3:$R$3000,MATCH($F482,폐업정보!$I$3:$I$3000,0),MATCH(H$4,폐업정보!$D$3:$R$3,0)),
"Error"))</f>
        <v>45309</v>
      </c>
      <c r="I482" s="75" t="str">
        <f aca="false">
IF($D482="정상",INDEX(임대자산!$D$3:$R$3000,MATCH($F482,임대자산!$I$3:$I$3000,0),MATCH(I$4,임대자산!$D$3:$R$3,0)),
IF($D482="폐업",INDEX(폐업정보!$D$3:$R$3000,MATCH($F482,폐업정보!$I$3:$I$3000,0),MATCH(I$4,폐업정보!$D$3:$R$3,0)),
"Error"))</f>
        <v>A0477</v>
      </c>
      <c r="J482" s="75" t="str">
        <f aca="false">
IF($D482="정상",INDEX(임대자산!$D$3:$R$3000,MATCH($F482,임대자산!$I$3:$I$3000,0),MATCH(J$4,임대자산!$D$3:$R$3,0)),
IF($D482="폐업",INDEX(폐업정보!$D$3:$R$3000,MATCH($F482,폐업정보!$I$3:$I$3000,0),MATCH(J$4,폐업정보!$D$3:$R$3,0)),
"Error"))</f>
        <v>4499000000</v>
      </c>
      <c r="K482" s="75" t="str">
        <f aca="false">
IF($D482="정상",INDEX(임대자산!$D$3:$R$3000,MATCH($F482,임대자산!$I$3:$I$3000,0),MATCH(K$4,임대자산!$D$3:$R$3,0)),
IF($D482="폐업",INDEX(폐업정보!$D$3:$R$3000,MATCH($F482,폐업정보!$I$3:$I$3000,0),MATCH(K$4,폐업정보!$D$3:$R$3,0)),
"Error"))</f>
        <v>C0477</v>
      </c>
      <c r="L482" s="75" t="str">
        <f aca="false">
IF($D482="정상",INDEX(임대자산!$D$3:$R$3000,MATCH($F482,임대자산!$I$3:$I$3000,0),MATCH(L$4,임대자산!$D$3:$R$3,0)),
IF($D482="폐업",INDEX(폐업정보!$D$3:$R$3000,MATCH($F482,폐업정보!$I$3:$I$3000,0),MATCH(L$4,폐업정보!$D$3:$R$3,0)),
"Error"))</f>
        <v>D0477</v>
      </c>
      <c r="M482" s="76" t="s">
        <v>96</v>
      </c>
      <c r="N482" s="77"/>
      <c r="O482" s="78" t="s">
        <v>97</v>
      </c>
      <c r="P482" s="79" t="n">
        <f aca="false">COUNTIFS(임대자산!$I:$I,가맹점정보!F482,임대자산!$N:$N,가맹점정보!P$4)</f>
        <v>0</v>
      </c>
      <c r="Q482" s="80" t="n">
        <f aca="false">COUNTIFS(임대자산!$I:$I,가맹점정보!F482,임대자산!$N:$N,가맹점정보!Q$4)</f>
        <v>0</v>
      </c>
      <c r="R482" s="81" t="n">
        <f aca="false">COUNTIFS(임대자산!$I:$I,가맹점정보!F482,임대자산!$N:$N,가맹점정보!R$4)</f>
        <v>1</v>
      </c>
      <c r="S482" s="82" t="n">
        <v>55000</v>
      </c>
      <c r="T482" s="83" t="n">
        <v>0</v>
      </c>
      <c r="U482" s="80" t="n">
        <f aca="false">SUM(S482:T482)</f>
        <v>55000</v>
      </c>
      <c r="V482" s="84" t="s">
        <v>12</v>
      </c>
      <c r="W482" s="80" t="e">
        <f aca="true">
IF(D482="폐업","폐업",
IF(V482="면제","면제",
IF(AND(V482="정상",COUNTIFS(OFFSET(Y482,0,COUNTA(Y482:AV482)-1,1,-4),"미납")&gt;=3),"장기미납",
IF(AND(V482="정상",OFFSET(Y482,0,COUNTA(Y482:AV482)-1)&gt;=U482),"정상",
IF(AND(V482="정상",OFFSET(Y482,0,COUNTA(Y482:AV482)-1)=0),"정상",
"계약서 미작성")))))</f>
        <v>#VALUE!</v>
      </c>
      <c r="X482" s="81" t="str">
        <f aca="true">
IF(D482="폐업","폐업",
IF(AND(V482="정상",OFFSET(Y482,0,COUNTA(Y482:AV482)-1)="미납"),"미납",
IF(AND(V482="정상",OFFSET(Y482,0,COUNTA(Y482:AV482)-1)=0),"납부 시작 전",
IF(AND(V482="정상",OFFSET(Y482,0,COUNTA(Y482:AV482)-1)&gt;=U482),"정상",
IF(AND(V482="면제",OFFSET(Y482,0,COUNTA(Y482:AV482)-1)="면제"),"면제",
IF(AND(V482="면제",OFFSET(Y482,0,COUNTA(Y482:AV482)-1)=0),"면제",
"확인요청"))))))</f>
        <v>정상</v>
      </c>
      <c r="Y482" s="93" t="n">
        <v>55000</v>
      </c>
      <c r="Z482" s="90" t="n">
        <v>55000</v>
      </c>
      <c r="AA482" s="90" t="n">
        <v>55000</v>
      </c>
      <c r="AB482" s="90" t="n">
        <v>55000</v>
      </c>
      <c r="AC482" s="90" t="n">
        <v>55000</v>
      </c>
      <c r="AD482" s="90" t="n">
        <v>55000</v>
      </c>
      <c r="AE482" s="90" t="n">
        <v>55000</v>
      </c>
      <c r="AF482" s="90" t="n">
        <v>55000</v>
      </c>
      <c r="AG482" s="90" t="n">
        <v>55000</v>
      </c>
      <c r="AH482" s="90" t="n">
        <v>55000</v>
      </c>
      <c r="AI482" s="90" t="n">
        <v>55000</v>
      </c>
      <c r="AJ482" s="91" t="n">
        <v>55000</v>
      </c>
      <c r="AK482" s="89" t="n">
        <v>55000</v>
      </c>
      <c r="AL482" s="90" t="n">
        <v>55000</v>
      </c>
      <c r="AM482" s="90"/>
      <c r="AN482" s="90"/>
      <c r="AO482" s="90"/>
      <c r="AP482" s="90"/>
      <c r="AQ482" s="90"/>
      <c r="AR482" s="90"/>
      <c r="AS482" s="90"/>
      <c r="AT482" s="90"/>
      <c r="AU482" s="90"/>
      <c r="AV482" s="91"/>
      <c r="AX482" s="92"/>
    </row>
    <row r="483" customFormat="false" ht="15.65" hidden="false" customHeight="false" outlineLevel="0" collapsed="false">
      <c r="C483" s="72" t="n">
        <f aca="false">COUNTIFS($D$6:D483,"&lt;&gt;"&amp;"")</f>
        <v>478</v>
      </c>
      <c r="D483" s="73" t="s">
        <v>12</v>
      </c>
      <c r="E483" s="76" t="str">
        <f aca="false">
IF($D483="정상",INDEX(임대자산!$D$3:$R$3000,MATCH($F483,임대자산!$I$3:$I$3000,0),MATCH(E$3,임대자산!$D$3:$R$3,0)),
IF($D483="폐업",INDEX(폐업정보!$D$3:$R$3000,MATCH($F483,폐업정보!$I$3:$I$3000,0),MATCH(E$3,폐업정보!$D$3:$R$3,0)),
"Error"))</f>
        <v>경기</v>
      </c>
      <c r="F48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B0478</v>
      </c>
      <c r="G483" s="76" t="str">
        <f aca="false">F483&amp;RANDBETWEEN(0,10)</f>
        <v>B04782</v>
      </c>
      <c r="H483" s="75" t="n">
        <f aca="false">
IF($D483="정상",INDEX(임대자산!$D$3:$R$3000,MATCH($F483,임대자산!$I$3:$I$3000,0),MATCH(H$4,임대자산!$D$3:$R$3,0)),
IF($D483="폐업",INDEX(폐업정보!$D$3:$R$3000,MATCH($F483,폐업정보!$I$3:$I$3000,0),MATCH(H$4,폐업정보!$D$3:$R$3,0)),
"Error"))</f>
        <v>45904</v>
      </c>
      <c r="I483" s="75" t="str">
        <f aca="false">
IF($D483="정상",INDEX(임대자산!$D$3:$R$3000,MATCH($F483,임대자산!$I$3:$I$3000,0),MATCH(I$4,임대자산!$D$3:$R$3,0)),
IF($D483="폐업",INDEX(폐업정보!$D$3:$R$3000,MATCH($F483,폐업정보!$I$3:$I$3000,0),MATCH(I$4,폐업정보!$D$3:$R$3,0)),
"Error"))</f>
        <v>A0478</v>
      </c>
      <c r="J483" s="75" t="str">
        <f aca="false">
IF($D483="정상",INDEX(임대자산!$D$3:$R$3000,MATCH($F483,임대자산!$I$3:$I$3000,0),MATCH(J$4,임대자산!$D$3:$R$3,0)),
IF($D483="폐업",INDEX(폐업정보!$D$3:$R$3000,MATCH($F483,폐업정보!$I$3:$I$3000,0),MATCH(J$4,폐업정보!$D$3:$R$3,0)),
"Error"))</f>
        <v>2333100000</v>
      </c>
      <c r="K483" s="75" t="str">
        <f aca="false">
IF($D483="정상",INDEX(임대자산!$D$3:$R$3000,MATCH($F483,임대자산!$I$3:$I$3000,0),MATCH(K$4,임대자산!$D$3:$R$3,0)),
IF($D483="폐업",INDEX(폐업정보!$D$3:$R$3000,MATCH($F483,폐업정보!$I$3:$I$3000,0),MATCH(K$4,폐업정보!$D$3:$R$3,0)),
"Error"))</f>
        <v>C0478</v>
      </c>
      <c r="L483" s="75" t="str">
        <f aca="false">
IF($D483="정상",INDEX(임대자산!$D$3:$R$3000,MATCH($F483,임대자산!$I$3:$I$3000,0),MATCH(L$4,임대자산!$D$3:$R$3,0)),
IF($D483="폐업",INDEX(폐업정보!$D$3:$R$3000,MATCH($F483,폐업정보!$I$3:$I$3000,0),MATCH(L$4,폐업정보!$D$3:$R$3,0)),
"Error"))</f>
        <v>D0478</v>
      </c>
      <c r="M483" s="76" t="s">
        <v>96</v>
      </c>
      <c r="N483" s="77"/>
      <c r="O483" s="78" t="s">
        <v>97</v>
      </c>
      <c r="P483" s="79" t="n">
        <f aca="false">COUNTIFS(임대자산!$I:$I,가맹점정보!F483,임대자산!$N:$N,가맹점정보!P$4)</f>
        <v>0</v>
      </c>
      <c r="Q483" s="80" t="n">
        <f aca="false">COUNTIFS(임대자산!$I:$I,가맹점정보!F483,임대자산!$N:$N,가맹점정보!Q$4)</f>
        <v>0</v>
      </c>
      <c r="R483" s="81" t="n">
        <f aca="false">COUNTIFS(임대자산!$I:$I,가맹점정보!F483,임대자산!$N:$N,가맹점정보!R$4)</f>
        <v>1</v>
      </c>
      <c r="S483" s="82" t="n">
        <v>55000</v>
      </c>
      <c r="T483" s="83" t="n">
        <v>0</v>
      </c>
      <c r="U483" s="80" t="n">
        <f aca="false">SUM(S483:T483)</f>
        <v>55000</v>
      </c>
      <c r="V483" s="84" t="s">
        <v>12</v>
      </c>
      <c r="W483" s="80" t="e">
        <f aca="true">
IF(D483="폐업","폐업",
IF(V483="면제","면제",
IF(AND(V483="정상",COUNTIFS(OFFSET(Y483,0,COUNTA(Y483:AV483)-1,1,-4),"미납")&gt;=3),"장기미납",
IF(AND(V483="정상",OFFSET(Y483,0,COUNTA(Y483:AV483)-1)&gt;=U483),"정상",
IF(AND(V483="정상",OFFSET(Y483,0,COUNTA(Y483:AV483)-1)=0),"정상",
"계약서 미작성")))))</f>
        <v>#VALUE!</v>
      </c>
      <c r="X483" s="81" t="str">
        <f aca="true">
IF(D483="폐업","폐업",
IF(AND(V483="정상",OFFSET(Y483,0,COUNTA(Y483:AV483)-1)="미납"),"미납",
IF(AND(V483="정상",OFFSET(Y483,0,COUNTA(Y483:AV483)-1)=0),"납부 시작 전",
IF(AND(V483="정상",OFFSET(Y483,0,COUNTA(Y483:AV483)-1)&gt;=U483),"정상",
IF(AND(V483="면제",OFFSET(Y483,0,COUNTA(Y483:AV483)-1)="면제"),"면제",
IF(AND(V483="면제",OFFSET(Y483,0,COUNTA(Y483:AV483)-1)=0),"면제",
"확인요청"))))))</f>
        <v>정상</v>
      </c>
      <c r="Y483" s="93" t="n">
        <v>55000</v>
      </c>
      <c r="Z483" s="90" t="n">
        <v>55000</v>
      </c>
      <c r="AA483" s="90" t="n">
        <v>55000</v>
      </c>
      <c r="AB483" s="90" t="n">
        <v>55000</v>
      </c>
      <c r="AC483" s="90" t="n">
        <v>55000</v>
      </c>
      <c r="AD483" s="90" t="n">
        <v>55000</v>
      </c>
      <c r="AE483" s="90" t="n">
        <v>55000</v>
      </c>
      <c r="AF483" s="90" t="n">
        <v>55000</v>
      </c>
      <c r="AG483" s="90" t="n">
        <v>55000</v>
      </c>
      <c r="AH483" s="90" t="n">
        <v>55000</v>
      </c>
      <c r="AI483" s="90" t="n">
        <v>55000</v>
      </c>
      <c r="AJ483" s="91" t="n">
        <v>55000</v>
      </c>
      <c r="AK483" s="89" t="n">
        <v>55000</v>
      </c>
      <c r="AL483" s="90" t="n">
        <v>55000</v>
      </c>
      <c r="AM483" s="90"/>
      <c r="AN483" s="90"/>
      <c r="AO483" s="90"/>
      <c r="AP483" s="90"/>
      <c r="AQ483" s="90"/>
      <c r="AR483" s="90"/>
      <c r="AS483" s="90"/>
      <c r="AT483" s="90"/>
      <c r="AU483" s="90"/>
      <c r="AV483" s="91"/>
      <c r="AX483" s="92"/>
    </row>
    <row r="484" customFormat="false" ht="15.65" hidden="false" customHeight="false" outlineLevel="0" collapsed="false">
      <c r="C484" s="72" t="n">
        <f aca="false">COUNTIFS($D$6:D484,"&lt;&gt;"&amp;"")</f>
        <v>479</v>
      </c>
      <c r="D484" s="73" t="s">
        <v>12</v>
      </c>
      <c r="E484" s="76" t="str">
        <f aca="false">
IF($D484="정상",INDEX(임대자산!$D$3:$R$3000,MATCH($F484,임대자산!$I$3:$I$3000,0),MATCH(E$3,임대자산!$D$3:$R$3,0)),
IF($D484="폐업",INDEX(폐업정보!$D$3:$R$3000,MATCH($F484,폐업정보!$I$3:$I$3000,0),MATCH(E$3,폐업정보!$D$3:$R$3,0)),
"Error"))</f>
        <v>경상</v>
      </c>
      <c r="F48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B0479</v>
      </c>
      <c r="G484" s="76" t="str">
        <f aca="false">F484&amp;RANDBETWEEN(0,10)</f>
        <v>B04792</v>
      </c>
      <c r="H484" s="75" t="n">
        <f aca="false">
IF($D484="정상",INDEX(임대자산!$D$3:$R$3000,MATCH($F484,임대자산!$I$3:$I$3000,0),MATCH(H$4,임대자산!$D$3:$R$3,0)),
IF($D484="폐업",INDEX(폐업정보!$D$3:$R$3000,MATCH($F484,폐업정보!$I$3:$I$3000,0),MATCH(H$4,폐업정보!$D$3:$R$3,0)),
"Error"))</f>
        <v>45805</v>
      </c>
      <c r="I484" s="75" t="str">
        <f aca="false">
IF($D484="정상",INDEX(임대자산!$D$3:$R$3000,MATCH($F484,임대자산!$I$3:$I$3000,0),MATCH(I$4,임대자산!$D$3:$R$3,0)),
IF($D484="폐업",INDEX(폐업정보!$D$3:$R$3000,MATCH($F484,폐업정보!$I$3:$I$3000,0),MATCH(I$4,폐업정보!$D$3:$R$3,0)),
"Error"))</f>
        <v>A0479</v>
      </c>
      <c r="J484" s="75" t="str">
        <f aca="false">
IF($D484="정상",INDEX(임대자산!$D$3:$R$3000,MATCH($F484,임대자산!$I$3:$I$3000,0),MATCH(J$4,임대자산!$D$3:$R$3,0)),
IF($D484="폐업",INDEX(폐업정보!$D$3:$R$3000,MATCH($F484,폐업정보!$I$3:$I$3000,0),MATCH(J$4,폐업정보!$D$3:$R$3,0)),
"Error"))</f>
        <v>7092500000</v>
      </c>
      <c r="K484" s="75" t="str">
        <f aca="false">
IF($D484="정상",INDEX(임대자산!$D$3:$R$3000,MATCH($F484,임대자산!$I$3:$I$3000,0),MATCH(K$4,임대자산!$D$3:$R$3,0)),
IF($D484="폐업",INDEX(폐업정보!$D$3:$R$3000,MATCH($F484,폐업정보!$I$3:$I$3000,0),MATCH(K$4,폐업정보!$D$3:$R$3,0)),
"Error"))</f>
        <v>C0479</v>
      </c>
      <c r="L484" s="75" t="str">
        <f aca="false">
IF($D484="정상",INDEX(임대자산!$D$3:$R$3000,MATCH($F484,임대자산!$I$3:$I$3000,0),MATCH(L$4,임대자산!$D$3:$R$3,0)),
IF($D484="폐업",INDEX(폐업정보!$D$3:$R$3000,MATCH($F484,폐업정보!$I$3:$I$3000,0),MATCH(L$4,폐업정보!$D$3:$R$3,0)),
"Error"))</f>
        <v>D0479</v>
      </c>
      <c r="M484" s="76" t="s">
        <v>96</v>
      </c>
      <c r="N484" s="77"/>
      <c r="O484" s="78" t="s">
        <v>97</v>
      </c>
      <c r="P484" s="79" t="n">
        <f aca="false">COUNTIFS(임대자산!$I:$I,가맹점정보!F484,임대자산!$N:$N,가맹점정보!P$4)</f>
        <v>0</v>
      </c>
      <c r="Q484" s="80" t="n">
        <f aca="false">COUNTIFS(임대자산!$I:$I,가맹점정보!F484,임대자산!$N:$N,가맹점정보!Q$4)</f>
        <v>0</v>
      </c>
      <c r="R484" s="81" t="n">
        <f aca="false">COUNTIFS(임대자산!$I:$I,가맹점정보!F484,임대자산!$N:$N,가맹점정보!R$4)</f>
        <v>1</v>
      </c>
      <c r="S484" s="82" t="n">
        <v>110000</v>
      </c>
      <c r="T484" s="83" t="n">
        <v>0</v>
      </c>
      <c r="U484" s="80" t="n">
        <f aca="false">SUM(S484:T484)</f>
        <v>110000</v>
      </c>
      <c r="V484" s="84" t="s">
        <v>12</v>
      </c>
      <c r="W484" s="80" t="e">
        <f aca="true">
IF(D484="폐업","폐업",
IF(V484="면제","면제",
IF(AND(V484="정상",COUNTIFS(OFFSET(Y484,0,COUNTA(Y484:AV484)-1,1,-4),"미납")&gt;=3),"장기미납",
IF(AND(V484="정상",OFFSET(Y484,0,COUNTA(Y484:AV484)-1)&gt;=U484),"정상",
IF(AND(V484="정상",OFFSET(Y484,0,COUNTA(Y484:AV484)-1)=0),"정상",
"계약서 미작성")))))</f>
        <v>#VALUE!</v>
      </c>
      <c r="X484" s="81" t="str">
        <f aca="true">
IF(D484="폐업","폐업",
IF(AND(V484="정상",OFFSET(Y484,0,COUNTA(Y484:AV484)-1)="미납"),"미납",
IF(AND(V484="정상",OFFSET(Y484,0,COUNTA(Y484:AV484)-1)=0),"납부 시작 전",
IF(AND(V484="정상",OFFSET(Y484,0,COUNTA(Y484:AV484)-1)&gt;=U484),"정상",
IF(AND(V484="면제",OFFSET(Y484,0,COUNTA(Y484:AV484)-1)="면제"),"면제",
IF(AND(V484="면제",OFFSET(Y484,0,COUNTA(Y484:AV484)-1)=0),"면제",
"확인요청"))))))</f>
        <v>정상</v>
      </c>
      <c r="Y484" s="93" t="n">
        <v>110000</v>
      </c>
      <c r="Z484" s="90" t="n">
        <v>110000</v>
      </c>
      <c r="AA484" s="90" t="n">
        <v>110000</v>
      </c>
      <c r="AB484" s="90" t="n">
        <v>110000</v>
      </c>
      <c r="AC484" s="90" t="n">
        <v>110000</v>
      </c>
      <c r="AD484" s="90" t="n">
        <v>110000</v>
      </c>
      <c r="AE484" s="90" t="n">
        <v>110000</v>
      </c>
      <c r="AF484" s="90" t="n">
        <v>110000</v>
      </c>
      <c r="AG484" s="90" t="n">
        <v>110000</v>
      </c>
      <c r="AH484" s="90" t="n">
        <v>110000</v>
      </c>
      <c r="AI484" s="90" t="n">
        <v>110000</v>
      </c>
      <c r="AJ484" s="91" t="n">
        <v>110000</v>
      </c>
      <c r="AK484" s="89" t="n">
        <v>110000</v>
      </c>
      <c r="AL484" s="90" t="n">
        <v>110000</v>
      </c>
      <c r="AM484" s="90"/>
      <c r="AN484" s="90"/>
      <c r="AO484" s="90"/>
      <c r="AP484" s="90"/>
      <c r="AQ484" s="90"/>
      <c r="AR484" s="90"/>
      <c r="AS484" s="90"/>
      <c r="AT484" s="90"/>
      <c r="AU484" s="90"/>
      <c r="AV484" s="91"/>
      <c r="AX484" s="92"/>
    </row>
    <row r="485" customFormat="false" ht="15.65" hidden="false" customHeight="false" outlineLevel="0" collapsed="false">
      <c r="C485" s="72" t="n">
        <f aca="false">COUNTIFS($D$6:D485,"&lt;&gt;"&amp;"")</f>
        <v>480</v>
      </c>
      <c r="D485" s="73" t="s">
        <v>12</v>
      </c>
      <c r="E485" s="76" t="str">
        <f aca="false">
IF($D485="정상",INDEX(임대자산!$D$3:$R$3000,MATCH($F485,임대자산!$I$3:$I$3000,0),MATCH(E$3,임대자산!$D$3:$R$3,0)),
IF($D485="폐업",INDEX(폐업정보!$D$3:$R$3000,MATCH($F485,폐업정보!$I$3:$I$3000,0),MATCH(E$3,폐업정보!$D$3:$R$3,0)),
"Error"))</f>
        <v>강원</v>
      </c>
      <c r="F48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B0480</v>
      </c>
      <c r="G485" s="76" t="str">
        <f aca="false">F485&amp;RANDBETWEEN(0,10)</f>
        <v>B04801</v>
      </c>
      <c r="H485" s="75" t="n">
        <f aca="false">
IF($D485="정상",INDEX(임대자산!$D$3:$R$3000,MATCH($F485,임대자산!$I$3:$I$3000,0),MATCH(H$4,임대자산!$D$3:$R$3,0)),
IF($D485="폐업",INDEX(폐업정보!$D$3:$R$3000,MATCH($F485,폐업정보!$I$3:$I$3000,0),MATCH(H$4,폐업정보!$D$3:$R$3,0)),
"Error"))</f>
        <v>45258</v>
      </c>
      <c r="I485" s="75" t="str">
        <f aca="false">
IF($D485="정상",INDEX(임대자산!$D$3:$R$3000,MATCH($F485,임대자산!$I$3:$I$3000,0),MATCH(I$4,임대자산!$D$3:$R$3,0)),
IF($D485="폐업",INDEX(폐업정보!$D$3:$R$3000,MATCH($F485,폐업정보!$I$3:$I$3000,0),MATCH(I$4,폐업정보!$D$3:$R$3,0)),
"Error"))</f>
        <v>A0480</v>
      </c>
      <c r="J485" s="75" t="str">
        <f aca="false">
IF($D485="정상",INDEX(임대자산!$D$3:$R$3000,MATCH($F485,임대자산!$I$3:$I$3000,0),MATCH(J$4,임대자산!$D$3:$R$3,0)),
IF($D485="폐업",INDEX(폐업정보!$D$3:$R$3000,MATCH($F485,폐업정보!$I$3:$I$3000,0),MATCH(J$4,폐업정보!$D$3:$R$3,0)),
"Error"))</f>
        <v>8665200000</v>
      </c>
      <c r="K485" s="75" t="str">
        <f aca="false">
IF($D485="정상",INDEX(임대자산!$D$3:$R$3000,MATCH($F485,임대자산!$I$3:$I$3000,0),MATCH(K$4,임대자산!$D$3:$R$3,0)),
IF($D485="폐업",INDEX(폐업정보!$D$3:$R$3000,MATCH($F485,폐업정보!$I$3:$I$3000,0),MATCH(K$4,폐업정보!$D$3:$R$3,0)),
"Error"))</f>
        <v>C0480</v>
      </c>
      <c r="L485" s="75" t="str">
        <f aca="false">
IF($D485="정상",INDEX(임대자산!$D$3:$R$3000,MATCH($F485,임대자산!$I$3:$I$3000,0),MATCH(L$4,임대자산!$D$3:$R$3,0)),
IF($D485="폐업",INDEX(폐업정보!$D$3:$R$3000,MATCH($F485,폐업정보!$I$3:$I$3000,0),MATCH(L$4,폐업정보!$D$3:$R$3,0)),
"Error"))</f>
        <v>D0480</v>
      </c>
      <c r="M485" s="76" t="s">
        <v>96</v>
      </c>
      <c r="N485" s="77"/>
      <c r="O485" s="78" t="s">
        <v>97</v>
      </c>
      <c r="P485" s="79" t="n">
        <f aca="false">COUNTIFS(임대자산!$I:$I,가맹점정보!F485,임대자산!$N:$N,가맹점정보!P$4)</f>
        <v>0</v>
      </c>
      <c r="Q485" s="80" t="n">
        <f aca="false">COUNTIFS(임대자산!$I:$I,가맹점정보!F485,임대자산!$N:$N,가맹점정보!Q$4)</f>
        <v>0</v>
      </c>
      <c r="R485" s="81" t="n">
        <f aca="false">COUNTIFS(임대자산!$I:$I,가맹점정보!F485,임대자산!$N:$N,가맹점정보!R$4)</f>
        <v>1</v>
      </c>
      <c r="S485" s="82" t="n">
        <v>55000</v>
      </c>
      <c r="T485" s="83" t="n">
        <v>0</v>
      </c>
      <c r="U485" s="80" t="n">
        <f aca="false">SUM(S485:T485)</f>
        <v>55000</v>
      </c>
      <c r="V485" s="84" t="s">
        <v>12</v>
      </c>
      <c r="W485" s="80" t="e">
        <f aca="true">
IF(D485="폐업","폐업",
IF(V485="면제","면제",
IF(AND(V485="정상",COUNTIFS(OFFSET(Y485,0,COUNTA(Y485:AV485)-1,1,-4),"미납")&gt;=3),"장기미납",
IF(AND(V485="정상",OFFSET(Y485,0,COUNTA(Y485:AV485)-1)&gt;=U485),"정상",
IF(AND(V485="정상",OFFSET(Y485,0,COUNTA(Y485:AV485)-1)=0),"정상",
"계약서 미작성")))))</f>
        <v>#VALUE!</v>
      </c>
      <c r="X485" s="81" t="str">
        <f aca="true">
IF(D485="폐업","폐업",
IF(AND(V485="정상",OFFSET(Y485,0,COUNTA(Y485:AV485)-1)="미납"),"미납",
IF(AND(V485="정상",OFFSET(Y485,0,COUNTA(Y485:AV485)-1)=0),"납부 시작 전",
IF(AND(V485="정상",OFFSET(Y485,0,COUNTA(Y485:AV485)-1)&gt;=U485),"정상",
IF(AND(V485="면제",OFFSET(Y485,0,COUNTA(Y485:AV485)-1)="면제"),"면제",
IF(AND(V485="면제",OFFSET(Y485,0,COUNTA(Y485:AV485)-1)=0),"면제",
"확인요청"))))))</f>
        <v>정상</v>
      </c>
      <c r="Y485" s="93" t="n">
        <v>55000</v>
      </c>
      <c r="Z485" s="90" t="n">
        <v>55000</v>
      </c>
      <c r="AA485" s="90" t="n">
        <v>55000</v>
      </c>
      <c r="AB485" s="90" t="n">
        <v>55000</v>
      </c>
      <c r="AC485" s="90" t="n">
        <v>55000</v>
      </c>
      <c r="AD485" s="90" t="n">
        <v>55000</v>
      </c>
      <c r="AE485" s="90" t="n">
        <v>55000</v>
      </c>
      <c r="AF485" s="90" t="n">
        <v>55000</v>
      </c>
      <c r="AG485" s="90" t="n">
        <v>55000</v>
      </c>
      <c r="AH485" s="90" t="n">
        <v>55000</v>
      </c>
      <c r="AI485" s="90" t="n">
        <v>55000</v>
      </c>
      <c r="AJ485" s="91" t="n">
        <v>55000</v>
      </c>
      <c r="AK485" s="89" t="n">
        <v>55000</v>
      </c>
      <c r="AL485" s="90" t="n">
        <v>55000</v>
      </c>
      <c r="AM485" s="90"/>
      <c r="AN485" s="90"/>
      <c r="AO485" s="90"/>
      <c r="AP485" s="90"/>
      <c r="AQ485" s="90"/>
      <c r="AR485" s="90"/>
      <c r="AS485" s="90"/>
      <c r="AT485" s="90"/>
      <c r="AU485" s="90"/>
      <c r="AV485" s="91"/>
      <c r="AX485" s="92"/>
    </row>
    <row r="486" customFormat="false" ht="15.65" hidden="false" customHeight="false" outlineLevel="0" collapsed="false">
      <c r="C486" s="72" t="n">
        <f aca="false">COUNTIFS($D$6:D486,"&lt;&gt;"&amp;"")</f>
        <v>481</v>
      </c>
      <c r="D486" s="73" t="s">
        <v>12</v>
      </c>
      <c r="E486" s="76" t="str">
        <f aca="false">
IF($D486="정상",INDEX(임대자산!$D$3:$R$3000,MATCH($F486,임대자산!$I$3:$I$3000,0),MATCH(E$3,임대자산!$D$3:$R$3,0)),
IF($D486="폐업",INDEX(폐업정보!$D$3:$R$3000,MATCH($F486,폐업정보!$I$3:$I$3000,0),MATCH(E$3,폐업정보!$D$3:$R$3,0)),
"Error"))</f>
        <v>강원</v>
      </c>
      <c r="F48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B0481</v>
      </c>
      <c r="G486" s="76" t="str">
        <f aca="false">F486&amp;RANDBETWEEN(0,10)</f>
        <v>B04816</v>
      </c>
      <c r="H486" s="75" t="n">
        <f aca="false">
IF($D486="정상",INDEX(임대자산!$D$3:$R$3000,MATCH($F486,임대자산!$I$3:$I$3000,0),MATCH(H$4,임대자산!$D$3:$R$3,0)),
IF($D486="폐업",INDEX(폐업정보!$D$3:$R$3000,MATCH($F486,폐업정보!$I$3:$I$3000,0),MATCH(H$4,폐업정보!$D$3:$R$3,0)),
"Error"))</f>
        <v>45443</v>
      </c>
      <c r="I486" s="75" t="str">
        <f aca="false">
IF($D486="정상",INDEX(임대자산!$D$3:$R$3000,MATCH($F486,임대자산!$I$3:$I$3000,0),MATCH(I$4,임대자산!$D$3:$R$3,0)),
IF($D486="폐업",INDEX(폐업정보!$D$3:$R$3000,MATCH($F486,폐업정보!$I$3:$I$3000,0),MATCH(I$4,폐업정보!$D$3:$R$3,0)),
"Error"))</f>
        <v>A0481</v>
      </c>
      <c r="J486" s="75" t="str">
        <f aca="false">
IF($D486="정상",INDEX(임대자산!$D$3:$R$3000,MATCH($F486,임대자산!$I$3:$I$3000,0),MATCH(J$4,임대자산!$D$3:$R$3,0)),
IF($D486="폐업",INDEX(폐업정보!$D$3:$R$3000,MATCH($F486,폐업정보!$I$3:$I$3000,0),MATCH(J$4,폐업정보!$D$3:$R$3,0)),
"Error"))</f>
        <v>9885400000</v>
      </c>
      <c r="K486" s="75" t="str">
        <f aca="false">
IF($D486="정상",INDEX(임대자산!$D$3:$R$3000,MATCH($F486,임대자산!$I$3:$I$3000,0),MATCH(K$4,임대자산!$D$3:$R$3,0)),
IF($D486="폐업",INDEX(폐업정보!$D$3:$R$3000,MATCH($F486,폐업정보!$I$3:$I$3000,0),MATCH(K$4,폐업정보!$D$3:$R$3,0)),
"Error"))</f>
        <v>C0481</v>
      </c>
      <c r="L486" s="75" t="str">
        <f aca="false">
IF($D486="정상",INDEX(임대자산!$D$3:$R$3000,MATCH($F486,임대자산!$I$3:$I$3000,0),MATCH(L$4,임대자산!$D$3:$R$3,0)),
IF($D486="폐업",INDEX(폐업정보!$D$3:$R$3000,MATCH($F486,폐업정보!$I$3:$I$3000,0),MATCH(L$4,폐업정보!$D$3:$R$3,0)),
"Error"))</f>
        <v>D0481</v>
      </c>
      <c r="M486" s="76" t="s">
        <v>96</v>
      </c>
      <c r="N486" s="77"/>
      <c r="O486" s="78" t="s">
        <v>97</v>
      </c>
      <c r="P486" s="79" t="n">
        <f aca="false">COUNTIFS(임대자산!$I:$I,가맹점정보!F486,임대자산!$N:$N,가맹점정보!P$4)</f>
        <v>0</v>
      </c>
      <c r="Q486" s="80" t="n">
        <f aca="false">COUNTIFS(임대자산!$I:$I,가맹점정보!F486,임대자산!$N:$N,가맹점정보!Q$4)</f>
        <v>0</v>
      </c>
      <c r="R486" s="81" t="n">
        <f aca="false">COUNTIFS(임대자산!$I:$I,가맹점정보!F486,임대자산!$N:$N,가맹점정보!R$4)</f>
        <v>1</v>
      </c>
      <c r="S486" s="82" t="n">
        <v>55000</v>
      </c>
      <c r="T486" s="83" t="n">
        <v>0</v>
      </c>
      <c r="U486" s="80" t="n">
        <f aca="false">SUM(S486:T486)</f>
        <v>55000</v>
      </c>
      <c r="V486" s="84" t="s">
        <v>12</v>
      </c>
      <c r="W486" s="80" t="e">
        <f aca="true">
IF(D486="폐업","폐업",
IF(V486="면제","면제",
IF(AND(V486="정상",COUNTIFS(OFFSET(Y486,0,COUNTA(Y486:AV486)-1,1,-4),"미납")&gt;=3),"장기미납",
IF(AND(V486="정상",OFFSET(Y486,0,COUNTA(Y486:AV486)-1)&gt;=U486),"정상",
IF(AND(V486="정상",OFFSET(Y486,0,COUNTA(Y486:AV486)-1)=0),"정상",
"계약서 미작성")))))</f>
        <v>#VALUE!</v>
      </c>
      <c r="X486" s="81" t="str">
        <f aca="true">
IF(D486="폐업","폐업",
IF(AND(V486="정상",OFFSET(Y486,0,COUNTA(Y486:AV486)-1)="미납"),"미납",
IF(AND(V486="정상",OFFSET(Y486,0,COUNTA(Y486:AV486)-1)=0),"납부 시작 전",
IF(AND(V486="정상",OFFSET(Y486,0,COUNTA(Y486:AV486)-1)&gt;=U486),"정상",
IF(AND(V486="면제",OFFSET(Y486,0,COUNTA(Y486:AV486)-1)="면제"),"면제",
IF(AND(V486="면제",OFFSET(Y486,0,COUNTA(Y486:AV486)-1)=0),"면제",
"확인요청"))))))</f>
        <v>정상</v>
      </c>
      <c r="Y486" s="93" t="n">
        <v>55000</v>
      </c>
      <c r="Z486" s="90" t="n">
        <v>55000</v>
      </c>
      <c r="AA486" s="90" t="n">
        <v>55000</v>
      </c>
      <c r="AB486" s="90" t="n">
        <v>55000</v>
      </c>
      <c r="AC486" s="90" t="n">
        <v>55000</v>
      </c>
      <c r="AD486" s="90" t="n">
        <v>55000</v>
      </c>
      <c r="AE486" s="90" t="n">
        <v>55000</v>
      </c>
      <c r="AF486" s="90" t="n">
        <v>55000</v>
      </c>
      <c r="AG486" s="90" t="n">
        <v>55000</v>
      </c>
      <c r="AH486" s="90" t="n">
        <v>55000</v>
      </c>
      <c r="AI486" s="90" t="n">
        <v>55000</v>
      </c>
      <c r="AJ486" s="91" t="n">
        <v>55000</v>
      </c>
      <c r="AK486" s="89" t="n">
        <v>55000</v>
      </c>
      <c r="AL486" s="90" t="n">
        <v>55000</v>
      </c>
      <c r="AM486" s="90"/>
      <c r="AN486" s="90"/>
      <c r="AO486" s="90"/>
      <c r="AP486" s="90"/>
      <c r="AQ486" s="90"/>
      <c r="AR486" s="90"/>
      <c r="AS486" s="90"/>
      <c r="AT486" s="90"/>
      <c r="AU486" s="90"/>
      <c r="AV486" s="91"/>
      <c r="AX486" s="92"/>
    </row>
    <row r="487" customFormat="false" ht="15.65" hidden="false" customHeight="false" outlineLevel="0" collapsed="false">
      <c r="C487" s="72" t="n">
        <f aca="false">COUNTIFS($D$6:D487,"&lt;&gt;"&amp;"")</f>
        <v>482</v>
      </c>
      <c r="D487" s="73" t="s">
        <v>12</v>
      </c>
      <c r="E487" s="76" t="str">
        <f aca="false">
IF($D487="정상",INDEX(임대자산!$D$3:$R$3000,MATCH($F487,임대자산!$I$3:$I$3000,0),MATCH(E$3,임대자산!$D$3:$R$3,0)),
IF($D487="폐업",INDEX(폐업정보!$D$3:$R$3000,MATCH($F487,폐업정보!$I$3:$I$3000,0),MATCH(E$3,폐업정보!$D$3:$R$3,0)),
"Error"))</f>
        <v>강원</v>
      </c>
      <c r="F48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B0482</v>
      </c>
      <c r="G487" s="76" t="str">
        <f aca="false">F487&amp;RANDBETWEEN(0,10)</f>
        <v>B04822</v>
      </c>
      <c r="H487" s="75" t="n">
        <f aca="false">
IF($D487="정상",INDEX(임대자산!$D$3:$R$3000,MATCH($F487,임대자산!$I$3:$I$3000,0),MATCH(H$4,임대자산!$D$3:$R$3,0)),
IF($D487="폐업",INDEX(폐업정보!$D$3:$R$3000,MATCH($F487,폐업정보!$I$3:$I$3000,0),MATCH(H$4,폐업정보!$D$3:$R$3,0)),
"Error"))</f>
        <v>45497</v>
      </c>
      <c r="I487" s="75" t="str">
        <f aca="false">
IF($D487="정상",INDEX(임대자산!$D$3:$R$3000,MATCH($F487,임대자산!$I$3:$I$3000,0),MATCH(I$4,임대자산!$D$3:$R$3,0)),
IF($D487="폐업",INDEX(폐업정보!$D$3:$R$3000,MATCH($F487,폐업정보!$I$3:$I$3000,0),MATCH(I$4,폐업정보!$D$3:$R$3,0)),
"Error"))</f>
        <v>A0482</v>
      </c>
      <c r="J487" s="75" t="str">
        <f aca="false">
IF($D487="정상",INDEX(임대자산!$D$3:$R$3000,MATCH($F487,임대자산!$I$3:$I$3000,0),MATCH(J$4,임대자산!$D$3:$R$3,0)),
IF($D487="폐업",INDEX(폐업정보!$D$3:$R$3000,MATCH($F487,폐업정보!$I$3:$I$3000,0),MATCH(J$4,폐업정보!$D$3:$R$3,0)),
"Error"))</f>
        <v>1388100000</v>
      </c>
      <c r="K487" s="75" t="str">
        <f aca="false">
IF($D487="정상",INDEX(임대자산!$D$3:$R$3000,MATCH($F487,임대자산!$I$3:$I$3000,0),MATCH(K$4,임대자산!$D$3:$R$3,0)),
IF($D487="폐업",INDEX(폐업정보!$D$3:$R$3000,MATCH($F487,폐업정보!$I$3:$I$3000,0),MATCH(K$4,폐업정보!$D$3:$R$3,0)),
"Error"))</f>
        <v>C0482</v>
      </c>
      <c r="L487" s="75" t="str">
        <f aca="false">
IF($D487="정상",INDEX(임대자산!$D$3:$R$3000,MATCH($F487,임대자산!$I$3:$I$3000,0),MATCH(L$4,임대자산!$D$3:$R$3,0)),
IF($D487="폐업",INDEX(폐업정보!$D$3:$R$3000,MATCH($F487,폐업정보!$I$3:$I$3000,0),MATCH(L$4,폐업정보!$D$3:$R$3,0)),
"Error"))</f>
        <v>D0482</v>
      </c>
      <c r="M487" s="76" t="s">
        <v>96</v>
      </c>
      <c r="N487" s="77"/>
      <c r="O487" s="78" t="s">
        <v>97</v>
      </c>
      <c r="P487" s="79" t="n">
        <f aca="false">COUNTIFS(임대자산!$I:$I,가맹점정보!F487,임대자산!$N:$N,가맹점정보!P$4)</f>
        <v>0</v>
      </c>
      <c r="Q487" s="80" t="n">
        <f aca="false">COUNTIFS(임대자산!$I:$I,가맹점정보!F487,임대자산!$N:$N,가맹점정보!Q$4)</f>
        <v>0</v>
      </c>
      <c r="R487" s="81" t="n">
        <f aca="false">COUNTIFS(임대자산!$I:$I,가맹점정보!F487,임대자산!$N:$N,가맹점정보!R$4)</f>
        <v>1</v>
      </c>
      <c r="S487" s="82" t="n">
        <v>55000</v>
      </c>
      <c r="T487" s="83" t="n">
        <v>0</v>
      </c>
      <c r="U487" s="80" t="n">
        <f aca="false">SUM(S487:T487)</f>
        <v>55000</v>
      </c>
      <c r="V487" s="84" t="s">
        <v>12</v>
      </c>
      <c r="W487" s="80" t="e">
        <f aca="true">
IF(D487="폐업","폐업",
IF(V487="면제","면제",
IF(AND(V487="정상",COUNTIFS(OFFSET(Y487,0,COUNTA(Y487:AV487)-1,1,-4),"미납")&gt;=3),"장기미납",
IF(AND(V487="정상",OFFSET(Y487,0,COUNTA(Y487:AV487)-1)&gt;=U487),"정상",
IF(AND(V487="정상",OFFSET(Y487,0,COUNTA(Y487:AV487)-1)=0),"정상",
"계약서 미작성")))))</f>
        <v>#VALUE!</v>
      </c>
      <c r="X487" s="81" t="str">
        <f aca="true">
IF(D487="폐업","폐업",
IF(AND(V487="정상",OFFSET(Y487,0,COUNTA(Y487:AV487)-1)="미납"),"미납",
IF(AND(V487="정상",OFFSET(Y487,0,COUNTA(Y487:AV487)-1)=0),"납부 시작 전",
IF(AND(V487="정상",OFFSET(Y487,0,COUNTA(Y487:AV487)-1)&gt;=U487),"정상",
IF(AND(V487="면제",OFFSET(Y487,0,COUNTA(Y487:AV487)-1)="면제"),"면제",
IF(AND(V487="면제",OFFSET(Y487,0,COUNTA(Y487:AV487)-1)=0),"면제",
"확인요청"))))))</f>
        <v>정상</v>
      </c>
      <c r="Y487" s="93" t="n">
        <v>55000</v>
      </c>
      <c r="Z487" s="90" t="n">
        <v>55000</v>
      </c>
      <c r="AA487" s="90" t="n">
        <v>55000</v>
      </c>
      <c r="AB487" s="90" t="n">
        <v>55000</v>
      </c>
      <c r="AC487" s="90" t="n">
        <v>55000</v>
      </c>
      <c r="AD487" s="90" t="n">
        <v>55000</v>
      </c>
      <c r="AE487" s="90" t="n">
        <v>55000</v>
      </c>
      <c r="AF487" s="90" t="n">
        <v>55000</v>
      </c>
      <c r="AG487" s="90" t="n">
        <v>55000</v>
      </c>
      <c r="AH487" s="90" t="n">
        <v>55000</v>
      </c>
      <c r="AI487" s="90" t="n">
        <v>55000</v>
      </c>
      <c r="AJ487" s="91" t="n">
        <v>55000</v>
      </c>
      <c r="AK487" s="89" t="n">
        <v>55000</v>
      </c>
      <c r="AL487" s="90" t="n">
        <v>55000</v>
      </c>
      <c r="AM487" s="90"/>
      <c r="AN487" s="90"/>
      <c r="AO487" s="90"/>
      <c r="AP487" s="90"/>
      <c r="AQ487" s="90"/>
      <c r="AR487" s="90"/>
      <c r="AS487" s="90"/>
      <c r="AT487" s="90"/>
      <c r="AU487" s="90"/>
      <c r="AV487" s="91"/>
      <c r="AX487" s="92"/>
    </row>
    <row r="488" customFormat="false" ht="15.65" hidden="false" customHeight="false" outlineLevel="0" collapsed="false">
      <c r="C488" s="72" t="n">
        <f aca="false">COUNTIFS($D$6:D488,"&lt;&gt;"&amp;"")</f>
        <v>483</v>
      </c>
      <c r="D488" s="73" t="s">
        <v>12</v>
      </c>
      <c r="E488" s="76" t="str">
        <f aca="false">
IF($D488="정상",INDEX(임대자산!$D$3:$R$3000,MATCH($F488,임대자산!$I$3:$I$3000,0),MATCH(E$3,임대자산!$D$3:$R$3,0)),
IF($D488="폐업",INDEX(폐업정보!$D$3:$R$3000,MATCH($F488,폐업정보!$I$3:$I$3000,0),MATCH(E$3,폐업정보!$D$3:$R$3,0)),
"Error"))</f>
        <v>경기</v>
      </c>
      <c r="F48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B0483</v>
      </c>
      <c r="G488" s="76" t="str">
        <f aca="false">F488&amp;RANDBETWEEN(0,10)</f>
        <v>B04837</v>
      </c>
      <c r="H488" s="75" t="n">
        <f aca="false">
IF($D488="정상",INDEX(임대자산!$D$3:$R$3000,MATCH($F488,임대자산!$I$3:$I$3000,0),MATCH(H$4,임대자산!$D$3:$R$3,0)),
IF($D488="폐업",INDEX(폐업정보!$D$3:$R$3000,MATCH($F488,폐업정보!$I$3:$I$3000,0),MATCH(H$4,폐업정보!$D$3:$R$3,0)),
"Error"))</f>
        <v>45810</v>
      </c>
      <c r="I488" s="75" t="str">
        <f aca="false">
IF($D488="정상",INDEX(임대자산!$D$3:$R$3000,MATCH($F488,임대자산!$I$3:$I$3000,0),MATCH(I$4,임대자산!$D$3:$R$3,0)),
IF($D488="폐업",INDEX(폐업정보!$D$3:$R$3000,MATCH($F488,폐업정보!$I$3:$I$3000,0),MATCH(I$4,폐업정보!$D$3:$R$3,0)),
"Error"))</f>
        <v>A0483</v>
      </c>
      <c r="J488" s="75" t="str">
        <f aca="false">
IF($D488="정상",INDEX(임대자산!$D$3:$R$3000,MATCH($F488,임대자산!$I$3:$I$3000,0),MATCH(J$4,임대자산!$D$3:$R$3,0)),
IF($D488="폐업",INDEX(폐업정보!$D$3:$R$3000,MATCH($F488,폐업정보!$I$3:$I$3000,0),MATCH(J$4,폐업정보!$D$3:$R$3,0)),
"Error"))</f>
        <v>6035400000</v>
      </c>
      <c r="K488" s="75" t="str">
        <f aca="false">
IF($D488="정상",INDEX(임대자산!$D$3:$R$3000,MATCH($F488,임대자산!$I$3:$I$3000,0),MATCH(K$4,임대자산!$D$3:$R$3,0)),
IF($D488="폐업",INDEX(폐업정보!$D$3:$R$3000,MATCH($F488,폐업정보!$I$3:$I$3000,0),MATCH(K$4,폐업정보!$D$3:$R$3,0)),
"Error"))</f>
        <v>C0483</v>
      </c>
      <c r="L488" s="75" t="str">
        <f aca="false">
IF($D488="정상",INDEX(임대자산!$D$3:$R$3000,MATCH($F488,임대자산!$I$3:$I$3000,0),MATCH(L$4,임대자산!$D$3:$R$3,0)),
IF($D488="폐업",INDEX(폐업정보!$D$3:$R$3000,MATCH($F488,폐업정보!$I$3:$I$3000,0),MATCH(L$4,폐업정보!$D$3:$R$3,0)),
"Error"))</f>
        <v>D0483</v>
      </c>
      <c r="M488" s="76" t="s">
        <v>96</v>
      </c>
      <c r="N488" s="77"/>
      <c r="O488" s="78" t="s">
        <v>97</v>
      </c>
      <c r="P488" s="79" t="n">
        <f aca="false">COUNTIFS(임대자산!$I:$I,가맹점정보!F488,임대자산!$N:$N,가맹점정보!P$4)</f>
        <v>0</v>
      </c>
      <c r="Q488" s="80" t="n">
        <f aca="false">COUNTIFS(임대자산!$I:$I,가맹점정보!F488,임대자산!$N:$N,가맹점정보!Q$4)</f>
        <v>0</v>
      </c>
      <c r="R488" s="81" t="n">
        <f aca="false">COUNTIFS(임대자산!$I:$I,가맹점정보!F488,임대자산!$N:$N,가맹점정보!R$4)</f>
        <v>1</v>
      </c>
      <c r="S488" s="82" t="n">
        <v>55000</v>
      </c>
      <c r="T488" s="83" t="n">
        <v>0</v>
      </c>
      <c r="U488" s="80" t="n">
        <f aca="false">SUM(S488:T488)</f>
        <v>55000</v>
      </c>
      <c r="V488" s="84" t="s">
        <v>12</v>
      </c>
      <c r="W488" s="80" t="e">
        <f aca="true">
IF(D488="폐업","폐업",
IF(V488="면제","면제",
IF(AND(V488="정상",COUNTIFS(OFFSET(Y488,0,COUNTA(Y488:AV488)-1,1,-4),"미납")&gt;=3),"장기미납",
IF(AND(V488="정상",OFFSET(Y488,0,COUNTA(Y488:AV488)-1)&gt;=U488),"정상",
IF(AND(V488="정상",OFFSET(Y488,0,COUNTA(Y488:AV488)-1)=0),"정상",
"계약서 미작성")))))</f>
        <v>#VALUE!</v>
      </c>
      <c r="X488" s="81" t="str">
        <f aca="true">
IF(D488="폐업","폐업",
IF(AND(V488="정상",OFFSET(Y488,0,COUNTA(Y488:AV488)-1)="미납"),"미납",
IF(AND(V488="정상",OFFSET(Y488,0,COUNTA(Y488:AV488)-1)=0),"납부 시작 전",
IF(AND(V488="정상",OFFSET(Y488,0,COUNTA(Y488:AV488)-1)&gt;=U488),"정상",
IF(AND(V488="면제",OFFSET(Y488,0,COUNTA(Y488:AV488)-1)="면제"),"면제",
IF(AND(V488="면제",OFFSET(Y488,0,COUNTA(Y488:AV488)-1)=0),"면제",
"확인요청"))))))</f>
        <v>정상</v>
      </c>
      <c r="Y488" s="93" t="n">
        <v>55000</v>
      </c>
      <c r="Z488" s="90" t="n">
        <v>55000</v>
      </c>
      <c r="AA488" s="90" t="n">
        <v>55000</v>
      </c>
      <c r="AB488" s="90" t="n">
        <v>55000</v>
      </c>
      <c r="AC488" s="90" t="n">
        <v>55000</v>
      </c>
      <c r="AD488" s="90" t="n">
        <v>55000</v>
      </c>
      <c r="AE488" s="90" t="n">
        <v>55000</v>
      </c>
      <c r="AF488" s="90" t="n">
        <v>55000</v>
      </c>
      <c r="AG488" s="90" t="n">
        <v>55000</v>
      </c>
      <c r="AH488" s="90" t="n">
        <v>55000</v>
      </c>
      <c r="AI488" s="90" t="n">
        <v>55000</v>
      </c>
      <c r="AJ488" s="91" t="n">
        <v>55000</v>
      </c>
      <c r="AK488" s="89" t="n">
        <v>55000</v>
      </c>
      <c r="AL488" s="90" t="n">
        <v>55000</v>
      </c>
      <c r="AM488" s="90"/>
      <c r="AN488" s="90"/>
      <c r="AO488" s="90"/>
      <c r="AP488" s="90"/>
      <c r="AQ488" s="90"/>
      <c r="AR488" s="90"/>
      <c r="AS488" s="90"/>
      <c r="AT488" s="90"/>
      <c r="AU488" s="90"/>
      <c r="AV488" s="91"/>
      <c r="AX488" s="92"/>
    </row>
    <row r="489" customFormat="false" ht="15.65" hidden="false" customHeight="false" outlineLevel="0" collapsed="false">
      <c r="C489" s="72" t="n">
        <f aca="false">COUNTIFS($D$6:D489,"&lt;&gt;"&amp;"")</f>
        <v>484</v>
      </c>
      <c r="D489" s="73" t="s">
        <v>12</v>
      </c>
      <c r="E489" s="76" t="str">
        <f aca="false">
IF($D489="정상",INDEX(임대자산!$D$3:$R$3000,MATCH($F489,임대자산!$I$3:$I$3000,0),MATCH(E$3,임대자산!$D$3:$R$3,0)),
IF($D489="폐업",INDEX(폐업정보!$D$3:$R$3000,MATCH($F489,폐업정보!$I$3:$I$3000,0),MATCH(E$3,폐업정보!$D$3:$R$3,0)),
"Error"))</f>
        <v>경기</v>
      </c>
      <c r="F48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B0484</v>
      </c>
      <c r="G489" s="76" t="str">
        <f aca="false">F489&amp;RANDBETWEEN(0,10)</f>
        <v>B04847</v>
      </c>
      <c r="H489" s="75" t="n">
        <f aca="false">
IF($D489="정상",INDEX(임대자산!$D$3:$R$3000,MATCH($F489,임대자산!$I$3:$I$3000,0),MATCH(H$4,임대자산!$D$3:$R$3,0)),
IF($D489="폐업",INDEX(폐업정보!$D$3:$R$3000,MATCH($F489,폐업정보!$I$3:$I$3000,0),MATCH(H$4,폐업정보!$D$3:$R$3,0)),
"Error"))</f>
        <v>45810</v>
      </c>
      <c r="I489" s="75" t="str">
        <f aca="false">
IF($D489="정상",INDEX(임대자산!$D$3:$R$3000,MATCH($F489,임대자산!$I$3:$I$3000,0),MATCH(I$4,임대자산!$D$3:$R$3,0)),
IF($D489="폐업",INDEX(폐업정보!$D$3:$R$3000,MATCH($F489,폐업정보!$I$3:$I$3000,0),MATCH(I$4,폐업정보!$D$3:$R$3,0)),
"Error"))</f>
        <v>A0484</v>
      </c>
      <c r="J489" s="75" t="str">
        <f aca="false">
IF($D489="정상",INDEX(임대자산!$D$3:$R$3000,MATCH($F489,임대자산!$I$3:$I$3000,0),MATCH(J$4,임대자산!$D$3:$R$3,0)),
IF($D489="폐업",INDEX(폐업정보!$D$3:$R$3000,MATCH($F489,폐업정보!$I$3:$I$3000,0),MATCH(J$4,폐업정보!$D$3:$R$3,0)),
"Error"))</f>
        <v>5088900000</v>
      </c>
      <c r="K489" s="75" t="str">
        <f aca="false">
IF($D489="정상",INDEX(임대자산!$D$3:$R$3000,MATCH($F489,임대자산!$I$3:$I$3000,0),MATCH(K$4,임대자산!$D$3:$R$3,0)),
IF($D489="폐업",INDEX(폐업정보!$D$3:$R$3000,MATCH($F489,폐업정보!$I$3:$I$3000,0),MATCH(K$4,폐업정보!$D$3:$R$3,0)),
"Error"))</f>
        <v>C0484</v>
      </c>
      <c r="L489" s="75" t="str">
        <f aca="false">
IF($D489="정상",INDEX(임대자산!$D$3:$R$3000,MATCH($F489,임대자산!$I$3:$I$3000,0),MATCH(L$4,임대자산!$D$3:$R$3,0)),
IF($D489="폐업",INDEX(폐업정보!$D$3:$R$3000,MATCH($F489,폐업정보!$I$3:$I$3000,0),MATCH(L$4,폐업정보!$D$3:$R$3,0)),
"Error"))</f>
        <v>D0484</v>
      </c>
      <c r="M489" s="76" t="s">
        <v>96</v>
      </c>
      <c r="N489" s="77"/>
      <c r="O489" s="78" t="s">
        <v>97</v>
      </c>
      <c r="P489" s="79" t="n">
        <f aca="false">COUNTIFS(임대자산!$I:$I,가맹점정보!F489,임대자산!$N:$N,가맹점정보!P$4)</f>
        <v>0</v>
      </c>
      <c r="Q489" s="80" t="n">
        <f aca="false">COUNTIFS(임대자산!$I:$I,가맹점정보!F489,임대자산!$N:$N,가맹점정보!Q$4)</f>
        <v>0</v>
      </c>
      <c r="R489" s="81" t="n">
        <f aca="false">COUNTIFS(임대자산!$I:$I,가맹점정보!F489,임대자산!$N:$N,가맹점정보!R$4)</f>
        <v>1</v>
      </c>
      <c r="S489" s="82" t="n">
        <v>55000</v>
      </c>
      <c r="T489" s="83" t="n">
        <v>0</v>
      </c>
      <c r="U489" s="80" t="n">
        <f aca="false">SUM(S489:T489)</f>
        <v>55000</v>
      </c>
      <c r="V489" s="84" t="s">
        <v>12</v>
      </c>
      <c r="W489" s="80" t="e">
        <f aca="true">
IF(D489="폐업","폐업",
IF(V489="면제","면제",
IF(AND(V489="정상",COUNTIFS(OFFSET(Y489,0,COUNTA(Y489:AV489)-1,1,-4),"미납")&gt;=3),"장기미납",
IF(AND(V489="정상",OFFSET(Y489,0,COUNTA(Y489:AV489)-1)&gt;=U489),"정상",
IF(AND(V489="정상",OFFSET(Y489,0,COUNTA(Y489:AV489)-1)=0),"정상",
"계약서 미작성")))))</f>
        <v>#VALUE!</v>
      </c>
      <c r="X489" s="81" t="str">
        <f aca="true">
IF(D489="폐업","폐업",
IF(AND(V489="정상",OFFSET(Y489,0,COUNTA(Y489:AV489)-1)="미납"),"미납",
IF(AND(V489="정상",OFFSET(Y489,0,COUNTA(Y489:AV489)-1)=0),"납부 시작 전",
IF(AND(V489="정상",OFFSET(Y489,0,COUNTA(Y489:AV489)-1)&gt;=U489),"정상",
IF(AND(V489="면제",OFFSET(Y489,0,COUNTA(Y489:AV489)-1)="면제"),"면제",
IF(AND(V489="면제",OFFSET(Y489,0,COUNTA(Y489:AV489)-1)=0),"면제",
"확인요청"))))))</f>
        <v>정상</v>
      </c>
      <c r="Y489" s="93" t="n">
        <v>55000</v>
      </c>
      <c r="Z489" s="90" t="n">
        <v>55000</v>
      </c>
      <c r="AA489" s="90" t="n">
        <v>55000</v>
      </c>
      <c r="AB489" s="90" t="n">
        <v>55000</v>
      </c>
      <c r="AC489" s="90" t="n">
        <v>55000</v>
      </c>
      <c r="AD489" s="90" t="n">
        <v>55000</v>
      </c>
      <c r="AE489" s="90" t="n">
        <v>55000</v>
      </c>
      <c r="AF489" s="90" t="n">
        <v>55000</v>
      </c>
      <c r="AG489" s="90" t="n">
        <v>55000</v>
      </c>
      <c r="AH489" s="90" t="n">
        <v>55000</v>
      </c>
      <c r="AI489" s="90" t="n">
        <v>55000</v>
      </c>
      <c r="AJ489" s="91" t="n">
        <v>55000</v>
      </c>
      <c r="AK489" s="89" t="n">
        <v>55000</v>
      </c>
      <c r="AL489" s="90" t="n">
        <v>55000</v>
      </c>
      <c r="AM489" s="90"/>
      <c r="AN489" s="90"/>
      <c r="AO489" s="90"/>
      <c r="AP489" s="90"/>
      <c r="AQ489" s="90"/>
      <c r="AR489" s="90"/>
      <c r="AS489" s="90"/>
      <c r="AT489" s="90"/>
      <c r="AU489" s="90"/>
      <c r="AV489" s="91"/>
      <c r="AX489" s="92"/>
    </row>
    <row r="490" customFormat="false" ht="15.65" hidden="false" customHeight="false" outlineLevel="0" collapsed="false">
      <c r="C490" s="72" t="n">
        <f aca="false">COUNTIFS($D$6:D490,"&lt;&gt;"&amp;"")</f>
        <v>485</v>
      </c>
      <c r="D490" s="73" t="s">
        <v>12</v>
      </c>
      <c r="E490" s="76" t="str">
        <f aca="false">
IF($D490="정상",INDEX(임대자산!$D$3:$R$3000,MATCH($F490,임대자산!$I$3:$I$3000,0),MATCH(E$3,임대자산!$D$3:$R$3,0)),
IF($D490="폐업",INDEX(폐업정보!$D$3:$R$3000,MATCH($F490,폐업정보!$I$3:$I$3000,0),MATCH(E$3,폐업정보!$D$3:$R$3,0)),
"Error"))</f>
        <v>서울</v>
      </c>
      <c r="F49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B0485</v>
      </c>
      <c r="G490" s="76" t="str">
        <f aca="false">F490&amp;RANDBETWEEN(0,10)</f>
        <v>B04857</v>
      </c>
      <c r="H490" s="75" t="n">
        <f aca="false">
IF($D490="정상",INDEX(임대자산!$D$3:$R$3000,MATCH($F490,임대자산!$I$3:$I$3000,0),MATCH(H$4,임대자산!$D$3:$R$3,0)),
IF($D490="폐업",INDEX(폐업정보!$D$3:$R$3000,MATCH($F490,폐업정보!$I$3:$I$3000,0),MATCH(H$4,폐업정보!$D$3:$R$3,0)),
"Error"))</f>
        <v>45610</v>
      </c>
      <c r="I490" s="75" t="str">
        <f aca="false">
IF($D490="정상",INDEX(임대자산!$D$3:$R$3000,MATCH($F490,임대자산!$I$3:$I$3000,0),MATCH(I$4,임대자산!$D$3:$R$3,0)),
IF($D490="폐업",INDEX(폐업정보!$D$3:$R$3000,MATCH($F490,폐업정보!$I$3:$I$3000,0),MATCH(I$4,폐업정보!$D$3:$R$3,0)),
"Error"))</f>
        <v>A0485</v>
      </c>
      <c r="J490" s="75" t="str">
        <f aca="false">
IF($D490="정상",INDEX(임대자산!$D$3:$R$3000,MATCH($F490,임대자산!$I$3:$I$3000,0),MATCH(J$4,임대자산!$D$3:$R$3,0)),
IF($D490="폐업",INDEX(폐업정보!$D$3:$R$3000,MATCH($F490,폐업정보!$I$3:$I$3000,0),MATCH(J$4,폐업정보!$D$3:$R$3,0)),
"Error"))</f>
        <v>7931400000</v>
      </c>
      <c r="K490" s="75" t="str">
        <f aca="false">
IF($D490="정상",INDEX(임대자산!$D$3:$R$3000,MATCH($F490,임대자산!$I$3:$I$3000,0),MATCH(K$4,임대자산!$D$3:$R$3,0)),
IF($D490="폐업",INDEX(폐업정보!$D$3:$R$3000,MATCH($F490,폐업정보!$I$3:$I$3000,0),MATCH(K$4,폐업정보!$D$3:$R$3,0)),
"Error"))</f>
        <v>C0485</v>
      </c>
      <c r="L490" s="75" t="str">
        <f aca="false">
IF($D490="정상",INDEX(임대자산!$D$3:$R$3000,MATCH($F490,임대자산!$I$3:$I$3000,0),MATCH(L$4,임대자산!$D$3:$R$3,0)),
IF($D490="폐업",INDEX(폐업정보!$D$3:$R$3000,MATCH($F490,폐업정보!$I$3:$I$3000,0),MATCH(L$4,폐업정보!$D$3:$R$3,0)),
"Error"))</f>
        <v>D0485</v>
      </c>
      <c r="M490" s="76" t="s">
        <v>96</v>
      </c>
      <c r="N490" s="77"/>
      <c r="O490" s="78" t="s">
        <v>97</v>
      </c>
      <c r="P490" s="79" t="n">
        <f aca="false">COUNTIFS(임대자산!$I:$I,가맹점정보!F490,임대자산!$N:$N,가맹점정보!P$4)</f>
        <v>0</v>
      </c>
      <c r="Q490" s="80" t="n">
        <f aca="false">COUNTIFS(임대자산!$I:$I,가맹점정보!F490,임대자산!$N:$N,가맹점정보!Q$4)</f>
        <v>0</v>
      </c>
      <c r="R490" s="81" t="n">
        <f aca="false">COUNTIFS(임대자산!$I:$I,가맹점정보!F490,임대자산!$N:$N,가맹점정보!R$4)</f>
        <v>1</v>
      </c>
      <c r="S490" s="82" t="n">
        <v>110000</v>
      </c>
      <c r="T490" s="83" t="n">
        <v>0</v>
      </c>
      <c r="U490" s="80" t="n">
        <f aca="false">SUM(S490:T490)</f>
        <v>110000</v>
      </c>
      <c r="V490" s="84" t="s">
        <v>12</v>
      </c>
      <c r="W490" s="80" t="e">
        <f aca="true">
IF(D490="폐업","폐업",
IF(V490="면제","면제",
IF(AND(V490="정상",COUNTIFS(OFFSET(Y490,0,COUNTA(Y490:AV490)-1,1,-4),"미납")&gt;=3),"장기미납",
IF(AND(V490="정상",OFFSET(Y490,0,COUNTA(Y490:AV490)-1)&gt;=U490),"정상",
IF(AND(V490="정상",OFFSET(Y490,0,COUNTA(Y490:AV490)-1)=0),"정상",
"계약서 미작성")))))</f>
        <v>#VALUE!</v>
      </c>
      <c r="X490" s="81" t="str">
        <f aca="true">
IF(D490="폐업","폐업",
IF(AND(V490="정상",OFFSET(Y490,0,COUNTA(Y490:AV490)-1)="미납"),"미납",
IF(AND(V490="정상",OFFSET(Y490,0,COUNTA(Y490:AV490)-1)=0),"납부 시작 전",
IF(AND(V490="정상",OFFSET(Y490,0,COUNTA(Y490:AV490)-1)&gt;=U490),"정상",
IF(AND(V490="면제",OFFSET(Y490,0,COUNTA(Y490:AV490)-1)="면제"),"면제",
IF(AND(V490="면제",OFFSET(Y490,0,COUNTA(Y490:AV490)-1)=0),"면제",
"확인요청"))))))</f>
        <v>정상</v>
      </c>
      <c r="Y490" s="93" t="n">
        <v>110000</v>
      </c>
      <c r="Z490" s="90" t="n">
        <v>110000</v>
      </c>
      <c r="AA490" s="90" t="n">
        <v>110000</v>
      </c>
      <c r="AB490" s="90" t="n">
        <v>110000</v>
      </c>
      <c r="AC490" s="90" t="n">
        <v>110000</v>
      </c>
      <c r="AD490" s="90" t="n">
        <v>110000</v>
      </c>
      <c r="AE490" s="90" t="n">
        <v>110000</v>
      </c>
      <c r="AF490" s="90" t="n">
        <v>110000</v>
      </c>
      <c r="AG490" s="90" t="n">
        <v>110000</v>
      </c>
      <c r="AH490" s="90" t="n">
        <v>110000</v>
      </c>
      <c r="AI490" s="90" t="n">
        <v>110000</v>
      </c>
      <c r="AJ490" s="91" t="n">
        <v>110000</v>
      </c>
      <c r="AK490" s="89" t="n">
        <v>110000</v>
      </c>
      <c r="AL490" s="90" t="n">
        <v>110000</v>
      </c>
      <c r="AM490" s="90"/>
      <c r="AN490" s="90"/>
      <c r="AO490" s="90"/>
      <c r="AP490" s="90"/>
      <c r="AQ490" s="90"/>
      <c r="AR490" s="90"/>
      <c r="AS490" s="90"/>
      <c r="AT490" s="90"/>
      <c r="AU490" s="90"/>
      <c r="AV490" s="91"/>
      <c r="AX490" s="92"/>
    </row>
    <row r="491" customFormat="false" ht="15.65" hidden="false" customHeight="false" outlineLevel="0" collapsed="false">
      <c r="C491" s="72" t="n">
        <f aca="false">COUNTIFS($D$6:D491,"&lt;&gt;"&amp;"")</f>
        <v>486</v>
      </c>
      <c r="D491" s="73" t="s">
        <v>12</v>
      </c>
      <c r="E491" s="76" t="str">
        <f aca="false">
IF($D491="정상",INDEX(임대자산!$D$3:$R$3000,MATCH($F491,임대자산!$I$3:$I$3000,0),MATCH(E$3,임대자산!$D$3:$R$3,0)),
IF($D491="폐업",INDEX(폐업정보!$D$3:$R$3000,MATCH($F491,폐업정보!$I$3:$I$3000,0),MATCH(E$3,폐업정보!$D$3:$R$3,0)),
"Error"))</f>
        <v>서울</v>
      </c>
      <c r="F49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B0486</v>
      </c>
      <c r="G491" s="76" t="str">
        <f aca="false">F491&amp;RANDBETWEEN(0,10)</f>
        <v>B04864</v>
      </c>
      <c r="H491" s="75" t="n">
        <f aca="false">
IF($D491="정상",INDEX(임대자산!$D$3:$R$3000,MATCH($F491,임대자산!$I$3:$I$3000,0),MATCH(H$4,임대자산!$D$3:$R$3,0)),
IF($D491="폐업",INDEX(폐업정보!$D$3:$R$3000,MATCH($F491,폐업정보!$I$3:$I$3000,0),MATCH(H$4,폐업정보!$D$3:$R$3,0)),
"Error"))</f>
        <v>45582</v>
      </c>
      <c r="I491" s="75" t="str">
        <f aca="false">
IF($D491="정상",INDEX(임대자산!$D$3:$R$3000,MATCH($F491,임대자산!$I$3:$I$3000,0),MATCH(I$4,임대자산!$D$3:$R$3,0)),
IF($D491="폐업",INDEX(폐업정보!$D$3:$R$3000,MATCH($F491,폐업정보!$I$3:$I$3000,0),MATCH(I$4,폐업정보!$D$3:$R$3,0)),
"Error"))</f>
        <v>A0486</v>
      </c>
      <c r="J491" s="75" t="str">
        <f aca="false">
IF($D491="정상",INDEX(임대자산!$D$3:$R$3000,MATCH($F491,임대자산!$I$3:$I$3000,0),MATCH(J$4,임대자산!$D$3:$R$3,0)),
IF($D491="폐업",INDEX(폐업정보!$D$3:$R$3000,MATCH($F491,폐업정보!$I$3:$I$3000,0),MATCH(J$4,폐업정보!$D$3:$R$3,0)),
"Error"))</f>
        <v>2646300000</v>
      </c>
      <c r="K491" s="75" t="str">
        <f aca="false">
IF($D491="정상",INDEX(임대자산!$D$3:$R$3000,MATCH($F491,임대자산!$I$3:$I$3000,0),MATCH(K$4,임대자산!$D$3:$R$3,0)),
IF($D491="폐업",INDEX(폐업정보!$D$3:$R$3000,MATCH($F491,폐업정보!$I$3:$I$3000,0),MATCH(K$4,폐업정보!$D$3:$R$3,0)),
"Error"))</f>
        <v>C0486</v>
      </c>
      <c r="L491" s="75" t="str">
        <f aca="false">
IF($D491="정상",INDEX(임대자산!$D$3:$R$3000,MATCH($F491,임대자산!$I$3:$I$3000,0),MATCH(L$4,임대자산!$D$3:$R$3,0)),
IF($D491="폐업",INDEX(폐업정보!$D$3:$R$3000,MATCH($F491,폐업정보!$I$3:$I$3000,0),MATCH(L$4,폐업정보!$D$3:$R$3,0)),
"Error"))</f>
        <v>D0486</v>
      </c>
      <c r="M491" s="76" t="s">
        <v>96</v>
      </c>
      <c r="N491" s="77"/>
      <c r="O491" s="78" t="s">
        <v>97</v>
      </c>
      <c r="P491" s="79" t="n">
        <f aca="false">COUNTIFS(임대자산!$I:$I,가맹점정보!F491,임대자산!$N:$N,가맹점정보!P$4)</f>
        <v>0</v>
      </c>
      <c r="Q491" s="80" t="n">
        <f aca="false">COUNTIFS(임대자산!$I:$I,가맹점정보!F491,임대자산!$N:$N,가맹점정보!Q$4)</f>
        <v>0</v>
      </c>
      <c r="R491" s="81" t="n">
        <f aca="false">COUNTIFS(임대자산!$I:$I,가맹점정보!F491,임대자산!$N:$N,가맹점정보!R$4)</f>
        <v>1</v>
      </c>
      <c r="S491" s="82" t="n">
        <v>55000</v>
      </c>
      <c r="T491" s="83" t="n">
        <v>0</v>
      </c>
      <c r="U491" s="80" t="n">
        <f aca="false">SUM(S491:T491)</f>
        <v>55000</v>
      </c>
      <c r="V491" s="84" t="s">
        <v>12</v>
      </c>
      <c r="W491" s="80" t="e">
        <f aca="true">
IF(D491="폐업","폐업",
IF(V491="면제","면제",
IF(AND(V491="정상",COUNTIFS(OFFSET(Y491,0,COUNTA(Y491:AV491)-1,1,-4),"미납")&gt;=3),"장기미납",
IF(AND(V491="정상",OFFSET(Y491,0,COUNTA(Y491:AV491)-1)&gt;=U491),"정상",
IF(AND(V491="정상",OFFSET(Y491,0,COUNTA(Y491:AV491)-1)=0),"정상",
"계약서 미작성")))))</f>
        <v>#VALUE!</v>
      </c>
      <c r="X491" s="81" t="str">
        <f aca="true">
IF(D491="폐업","폐업",
IF(AND(V491="정상",OFFSET(Y491,0,COUNTA(Y491:AV491)-1)="미납"),"미납",
IF(AND(V491="정상",OFFSET(Y491,0,COUNTA(Y491:AV491)-1)=0),"납부 시작 전",
IF(AND(V491="정상",OFFSET(Y491,0,COUNTA(Y491:AV491)-1)&gt;=U491),"정상",
IF(AND(V491="면제",OFFSET(Y491,0,COUNTA(Y491:AV491)-1)="면제"),"면제",
IF(AND(V491="면제",OFFSET(Y491,0,COUNTA(Y491:AV491)-1)=0),"면제",
"확인요청"))))))</f>
        <v>정상</v>
      </c>
      <c r="Y491" s="93" t="n">
        <v>55000</v>
      </c>
      <c r="Z491" s="90" t="n">
        <v>55000</v>
      </c>
      <c r="AA491" s="90" t="n">
        <v>55000</v>
      </c>
      <c r="AB491" s="90" t="n">
        <v>55000</v>
      </c>
      <c r="AC491" s="90" t="n">
        <v>55000</v>
      </c>
      <c r="AD491" s="90" t="n">
        <v>55000</v>
      </c>
      <c r="AE491" s="90" t="n">
        <v>55000</v>
      </c>
      <c r="AF491" s="90" t="n">
        <v>55000</v>
      </c>
      <c r="AG491" s="90" t="n">
        <v>55000</v>
      </c>
      <c r="AH491" s="90" t="n">
        <v>55000</v>
      </c>
      <c r="AI491" s="90" t="n">
        <v>55000</v>
      </c>
      <c r="AJ491" s="91" t="n">
        <v>55000</v>
      </c>
      <c r="AK491" s="89" t="n">
        <v>55000</v>
      </c>
      <c r="AL491" s="90" t="n">
        <v>55000</v>
      </c>
      <c r="AM491" s="90"/>
      <c r="AN491" s="90"/>
      <c r="AO491" s="90"/>
      <c r="AP491" s="90"/>
      <c r="AQ491" s="90"/>
      <c r="AR491" s="90"/>
      <c r="AS491" s="90"/>
      <c r="AT491" s="90"/>
      <c r="AU491" s="90"/>
      <c r="AV491" s="91"/>
      <c r="AX491" s="92"/>
    </row>
    <row r="492" customFormat="false" ht="15.65" hidden="false" customHeight="false" outlineLevel="0" collapsed="false">
      <c r="C492" s="72" t="n">
        <f aca="false">COUNTIFS($D$6:D492,"&lt;&gt;"&amp;"")</f>
        <v>487</v>
      </c>
      <c r="D492" s="73" t="s">
        <v>12</v>
      </c>
      <c r="E492" s="76" t="str">
        <f aca="false">
IF($D492="정상",INDEX(임대자산!$D$3:$R$3000,MATCH($F492,임대자산!$I$3:$I$3000,0),MATCH(E$3,임대자산!$D$3:$R$3,0)),
IF($D492="폐업",INDEX(폐업정보!$D$3:$R$3000,MATCH($F492,폐업정보!$I$3:$I$3000,0),MATCH(E$3,폐업정보!$D$3:$R$3,0)),
"Error"))</f>
        <v>서울</v>
      </c>
      <c r="F49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B0487</v>
      </c>
      <c r="G492" s="76" t="str">
        <f aca="false">F492&amp;RANDBETWEEN(0,10)</f>
        <v>B04878</v>
      </c>
      <c r="H492" s="75" t="n">
        <f aca="false">
IF($D492="정상",INDEX(임대자산!$D$3:$R$3000,MATCH($F492,임대자산!$I$3:$I$3000,0),MATCH(H$4,임대자산!$D$3:$R$3,0)),
IF($D492="폐업",INDEX(폐업정보!$D$3:$R$3000,MATCH($F492,폐업정보!$I$3:$I$3000,0),MATCH(H$4,폐업정보!$D$3:$R$3,0)),
"Error"))</f>
        <v>45663</v>
      </c>
      <c r="I492" s="75" t="str">
        <f aca="false">
IF($D492="정상",INDEX(임대자산!$D$3:$R$3000,MATCH($F492,임대자산!$I$3:$I$3000,0),MATCH(I$4,임대자산!$D$3:$R$3,0)),
IF($D492="폐업",INDEX(폐업정보!$D$3:$R$3000,MATCH($F492,폐업정보!$I$3:$I$3000,0),MATCH(I$4,폐업정보!$D$3:$R$3,0)),
"Error"))</f>
        <v>A0487</v>
      </c>
      <c r="J492" s="75" t="str">
        <f aca="false">
IF($D492="정상",INDEX(임대자산!$D$3:$R$3000,MATCH($F492,임대자산!$I$3:$I$3000,0),MATCH(J$4,임대자산!$D$3:$R$3,0)),
IF($D492="폐업",INDEX(폐업정보!$D$3:$R$3000,MATCH($F492,폐업정보!$I$3:$I$3000,0),MATCH(J$4,폐업정보!$D$3:$R$3,0)),
"Error"))</f>
        <v>4898500000</v>
      </c>
      <c r="K492" s="75" t="str">
        <f aca="false">
IF($D492="정상",INDEX(임대자산!$D$3:$R$3000,MATCH($F492,임대자산!$I$3:$I$3000,0),MATCH(K$4,임대자산!$D$3:$R$3,0)),
IF($D492="폐업",INDEX(폐업정보!$D$3:$R$3000,MATCH($F492,폐업정보!$I$3:$I$3000,0),MATCH(K$4,폐업정보!$D$3:$R$3,0)),
"Error"))</f>
        <v>C0487</v>
      </c>
      <c r="L492" s="75" t="str">
        <f aca="false">
IF($D492="정상",INDEX(임대자산!$D$3:$R$3000,MATCH($F492,임대자산!$I$3:$I$3000,0),MATCH(L$4,임대자산!$D$3:$R$3,0)),
IF($D492="폐업",INDEX(폐업정보!$D$3:$R$3000,MATCH($F492,폐업정보!$I$3:$I$3000,0),MATCH(L$4,폐업정보!$D$3:$R$3,0)),
"Error"))</f>
        <v>D0487</v>
      </c>
      <c r="M492" s="76" t="s">
        <v>96</v>
      </c>
      <c r="N492" s="77"/>
      <c r="O492" s="78" t="s">
        <v>97</v>
      </c>
      <c r="P492" s="79" t="n">
        <f aca="false">COUNTIFS(임대자산!$I:$I,가맹점정보!F492,임대자산!$N:$N,가맹점정보!P$4)</f>
        <v>0</v>
      </c>
      <c r="Q492" s="80" t="n">
        <f aca="false">COUNTIFS(임대자산!$I:$I,가맹점정보!F492,임대자산!$N:$N,가맹점정보!Q$4)</f>
        <v>0</v>
      </c>
      <c r="R492" s="81" t="n">
        <f aca="false">COUNTIFS(임대자산!$I:$I,가맹점정보!F492,임대자산!$N:$N,가맹점정보!R$4)</f>
        <v>1</v>
      </c>
      <c r="S492" s="82" t="n">
        <v>55000</v>
      </c>
      <c r="T492" s="83" t="n">
        <v>0</v>
      </c>
      <c r="U492" s="80" t="n">
        <f aca="false">SUM(S492:T492)</f>
        <v>55000</v>
      </c>
      <c r="V492" s="84" t="s">
        <v>7</v>
      </c>
      <c r="W492" s="80" t="str">
        <f aca="true">
IF(D492="폐업","폐업",
IF(V492="면제","면제",
IF(AND(V492="정상",COUNTIFS(OFFSET(Y492,0,COUNTA(Y492:AV492)-1,1,-4),"미납")&gt;=3),"장기미납",
IF(AND(V492="정상",OFFSET(Y492,0,COUNTA(Y492:AV492)-1)&gt;=U492),"정상",
IF(AND(V492="정상",OFFSET(Y492,0,COUNTA(Y492:AV492)-1)=0),"정상",
"계약서 미작성")))))</f>
        <v>면제</v>
      </c>
      <c r="X492" s="81" t="str">
        <f aca="true">
IF(D492="폐업","폐업",
IF(AND(V492="정상",OFFSET(Y492,0,COUNTA(Y492:AV492)-1)="미납"),"미납",
IF(AND(V492="정상",OFFSET(Y492,0,COUNTA(Y492:AV492)-1)=0),"납부 시작 전",
IF(AND(V492="정상",OFFSET(Y492,0,COUNTA(Y492:AV492)-1)&gt;=U492),"정상",
IF(AND(V492="면제",OFFSET(Y492,0,COUNTA(Y492:AV492)-1)="면제"),"면제",
IF(AND(V492="면제",OFFSET(Y492,0,COUNTA(Y492:AV492)-1)=0),"면제",
"확인요청"))))))</f>
        <v>면제</v>
      </c>
      <c r="Y492" s="94" t="s">
        <v>7</v>
      </c>
      <c r="Z492" s="95" t="s">
        <v>7</v>
      </c>
      <c r="AA492" s="95" t="s">
        <v>7</v>
      </c>
      <c r="AB492" s="95" t="s">
        <v>7</v>
      </c>
      <c r="AC492" s="95" t="s">
        <v>7</v>
      </c>
      <c r="AD492" s="95" t="s">
        <v>7</v>
      </c>
      <c r="AE492" s="95" t="s">
        <v>7</v>
      </c>
      <c r="AF492" s="95" t="s">
        <v>7</v>
      </c>
      <c r="AG492" s="95" t="s">
        <v>7</v>
      </c>
      <c r="AH492" s="95" t="s">
        <v>7</v>
      </c>
      <c r="AI492" s="95" t="s">
        <v>7</v>
      </c>
      <c r="AJ492" s="96" t="s">
        <v>7</v>
      </c>
      <c r="AK492" s="97" t="s">
        <v>7</v>
      </c>
      <c r="AL492" s="95" t="s">
        <v>7</v>
      </c>
      <c r="AM492" s="90"/>
      <c r="AN492" s="90"/>
      <c r="AO492" s="90"/>
      <c r="AP492" s="90"/>
      <c r="AQ492" s="90"/>
      <c r="AR492" s="90"/>
      <c r="AS492" s="90"/>
      <c r="AT492" s="90"/>
      <c r="AU492" s="90"/>
      <c r="AV492" s="91"/>
      <c r="AX492" s="92"/>
    </row>
    <row r="493" customFormat="false" ht="15.65" hidden="false" customHeight="false" outlineLevel="0" collapsed="false">
      <c r="C493" s="72" t="n">
        <f aca="false">COUNTIFS($D$6:D493,"&lt;&gt;"&amp;"")</f>
        <v>488</v>
      </c>
      <c r="D493" s="73" t="s">
        <v>12</v>
      </c>
      <c r="E493" s="76" t="str">
        <f aca="false">
IF($D493="정상",INDEX(임대자산!$D$3:$R$3000,MATCH($F493,임대자산!$I$3:$I$3000,0),MATCH(E$3,임대자산!$D$3:$R$3,0)),
IF($D493="폐업",INDEX(폐업정보!$D$3:$R$3000,MATCH($F493,폐업정보!$I$3:$I$3000,0),MATCH(E$3,폐업정보!$D$3:$R$3,0)),
"Error"))</f>
        <v>경상</v>
      </c>
      <c r="F49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B0488</v>
      </c>
      <c r="G493" s="76" t="str">
        <f aca="false">F493&amp;RANDBETWEEN(0,10)</f>
        <v>B04887</v>
      </c>
      <c r="H493" s="75" t="n">
        <f aca="false">
IF($D493="정상",INDEX(임대자산!$D$3:$R$3000,MATCH($F493,임대자산!$I$3:$I$3000,0),MATCH(H$4,임대자산!$D$3:$R$3,0)),
IF($D493="폐업",INDEX(폐업정보!$D$3:$R$3000,MATCH($F493,폐업정보!$I$3:$I$3000,0),MATCH(H$4,폐업정보!$D$3:$R$3,0)),
"Error"))</f>
        <v>45833</v>
      </c>
      <c r="I493" s="75" t="str">
        <f aca="false">
IF($D493="정상",INDEX(임대자산!$D$3:$R$3000,MATCH($F493,임대자산!$I$3:$I$3000,0),MATCH(I$4,임대자산!$D$3:$R$3,0)),
IF($D493="폐업",INDEX(폐업정보!$D$3:$R$3000,MATCH($F493,폐업정보!$I$3:$I$3000,0),MATCH(I$4,폐업정보!$D$3:$R$3,0)),
"Error"))</f>
        <v>A0488</v>
      </c>
      <c r="J493" s="75" t="str">
        <f aca="false">
IF($D493="정상",INDEX(임대자산!$D$3:$R$3000,MATCH($F493,임대자산!$I$3:$I$3000,0),MATCH(J$4,임대자산!$D$3:$R$3,0)),
IF($D493="폐업",INDEX(폐업정보!$D$3:$R$3000,MATCH($F493,폐업정보!$I$3:$I$3000,0),MATCH(J$4,폐업정보!$D$3:$R$3,0)),
"Error"))</f>
        <v>6003200000</v>
      </c>
      <c r="K493" s="75" t="str">
        <f aca="false">
IF($D493="정상",INDEX(임대자산!$D$3:$R$3000,MATCH($F493,임대자산!$I$3:$I$3000,0),MATCH(K$4,임대자산!$D$3:$R$3,0)),
IF($D493="폐업",INDEX(폐업정보!$D$3:$R$3000,MATCH($F493,폐업정보!$I$3:$I$3000,0),MATCH(K$4,폐업정보!$D$3:$R$3,0)),
"Error"))</f>
        <v>C0488</v>
      </c>
      <c r="L493" s="75" t="str">
        <f aca="false">
IF($D493="정상",INDEX(임대자산!$D$3:$R$3000,MATCH($F493,임대자산!$I$3:$I$3000,0),MATCH(L$4,임대자산!$D$3:$R$3,0)),
IF($D493="폐업",INDEX(폐업정보!$D$3:$R$3000,MATCH($F493,폐업정보!$I$3:$I$3000,0),MATCH(L$4,폐업정보!$D$3:$R$3,0)),
"Error"))</f>
        <v>D0488</v>
      </c>
      <c r="M493" s="76" t="s">
        <v>96</v>
      </c>
      <c r="N493" s="77"/>
      <c r="O493" s="78" t="s">
        <v>97</v>
      </c>
      <c r="P493" s="79" t="n">
        <f aca="false">COUNTIFS(임대자산!$I:$I,가맹점정보!F493,임대자산!$N:$N,가맹점정보!P$4)</f>
        <v>0</v>
      </c>
      <c r="Q493" s="80" t="n">
        <f aca="false">COUNTIFS(임대자산!$I:$I,가맹점정보!F493,임대자산!$N:$N,가맹점정보!Q$4)</f>
        <v>0</v>
      </c>
      <c r="R493" s="81" t="n">
        <f aca="false">COUNTIFS(임대자산!$I:$I,가맹점정보!F493,임대자산!$N:$N,가맹점정보!R$4)</f>
        <v>1</v>
      </c>
      <c r="S493" s="82" t="n">
        <v>110000</v>
      </c>
      <c r="T493" s="83" t="n">
        <v>0</v>
      </c>
      <c r="U493" s="80" t="n">
        <f aca="false">SUM(S493:T493)</f>
        <v>110000</v>
      </c>
      <c r="V493" s="84" t="s">
        <v>12</v>
      </c>
      <c r="W493" s="80" t="e">
        <f aca="true">
IF(D493="폐업","폐업",
IF(V493="면제","면제",
IF(AND(V493="정상",COUNTIFS(OFFSET(Y493,0,COUNTA(Y493:AV493)-1,1,-4),"미납")&gt;=3),"장기미납",
IF(AND(V493="정상",OFFSET(Y493,0,COUNTA(Y493:AV493)-1)&gt;=U493),"정상",
IF(AND(V493="정상",OFFSET(Y493,0,COUNTA(Y493:AV493)-1)=0),"정상",
"계약서 미작성")))))</f>
        <v>#VALUE!</v>
      </c>
      <c r="X493" s="81" t="str">
        <f aca="true">
IF(D493="폐업","폐업",
IF(AND(V493="정상",OFFSET(Y493,0,COUNTA(Y493:AV493)-1)="미납"),"미납",
IF(AND(V493="정상",OFFSET(Y493,0,COUNTA(Y493:AV493)-1)=0),"납부 시작 전",
IF(AND(V493="정상",OFFSET(Y493,0,COUNTA(Y493:AV493)-1)&gt;=U493),"정상",
IF(AND(V493="면제",OFFSET(Y493,0,COUNTA(Y493:AV493)-1)="면제"),"면제",
IF(AND(V493="면제",OFFSET(Y493,0,COUNTA(Y493:AV493)-1)=0),"면제",
"확인요청"))))))</f>
        <v>정상</v>
      </c>
      <c r="Y493" s="93" t="n">
        <v>110000</v>
      </c>
      <c r="Z493" s="90" t="n">
        <v>110000</v>
      </c>
      <c r="AA493" s="90" t="n">
        <v>110000</v>
      </c>
      <c r="AB493" s="90" t="n">
        <v>110000</v>
      </c>
      <c r="AC493" s="90" t="n">
        <v>110000</v>
      </c>
      <c r="AD493" s="90" t="n">
        <v>110000</v>
      </c>
      <c r="AE493" s="90" t="n">
        <v>110000</v>
      </c>
      <c r="AF493" s="90" t="n">
        <v>110000</v>
      </c>
      <c r="AG493" s="90" t="n">
        <v>110000</v>
      </c>
      <c r="AH493" s="90" t="n">
        <v>110000</v>
      </c>
      <c r="AI493" s="90" t="n">
        <v>110000</v>
      </c>
      <c r="AJ493" s="91" t="n">
        <v>110000</v>
      </c>
      <c r="AK493" s="89" t="n">
        <v>110000</v>
      </c>
      <c r="AL493" s="90" t="n">
        <v>110000</v>
      </c>
      <c r="AM493" s="90"/>
      <c r="AN493" s="90"/>
      <c r="AO493" s="90"/>
      <c r="AP493" s="90"/>
      <c r="AQ493" s="90"/>
      <c r="AR493" s="90"/>
      <c r="AS493" s="90"/>
      <c r="AT493" s="90"/>
      <c r="AU493" s="90"/>
      <c r="AV493" s="91"/>
      <c r="AX493" s="92"/>
    </row>
    <row r="494" customFormat="false" ht="15.65" hidden="false" customHeight="false" outlineLevel="0" collapsed="false">
      <c r="C494" s="72" t="n">
        <f aca="false">COUNTIFS($D$6:D494,"&lt;&gt;"&amp;"")</f>
        <v>489</v>
      </c>
      <c r="D494" s="73" t="s">
        <v>12</v>
      </c>
      <c r="E494" s="76" t="str">
        <f aca="false">
IF($D494="정상",INDEX(임대자산!$D$3:$R$3000,MATCH($F494,임대자산!$I$3:$I$3000,0),MATCH(E$3,임대자산!$D$3:$R$3,0)),
IF($D494="폐업",INDEX(폐업정보!$D$3:$R$3000,MATCH($F494,폐업정보!$I$3:$I$3000,0),MATCH(E$3,폐업정보!$D$3:$R$3,0)),
"Error"))</f>
        <v>서울</v>
      </c>
      <c r="F49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B0489</v>
      </c>
      <c r="G494" s="76" t="str">
        <f aca="false">F494&amp;RANDBETWEEN(0,10)</f>
        <v>B04899</v>
      </c>
      <c r="H494" s="75" t="n">
        <f aca="false">
IF($D494="정상",INDEX(임대자산!$D$3:$R$3000,MATCH($F494,임대자산!$I$3:$I$3000,0),MATCH(H$4,임대자산!$D$3:$R$3,0)),
IF($D494="폐업",INDEX(폐업정보!$D$3:$R$3000,MATCH($F494,폐업정보!$I$3:$I$3000,0),MATCH(H$4,폐업정보!$D$3:$R$3,0)),
"Error"))</f>
        <v>45833</v>
      </c>
      <c r="I494" s="75" t="str">
        <f aca="false">
IF($D494="정상",INDEX(임대자산!$D$3:$R$3000,MATCH($F494,임대자산!$I$3:$I$3000,0),MATCH(I$4,임대자산!$D$3:$R$3,0)),
IF($D494="폐업",INDEX(폐업정보!$D$3:$R$3000,MATCH($F494,폐업정보!$I$3:$I$3000,0),MATCH(I$4,폐업정보!$D$3:$R$3,0)),
"Error"))</f>
        <v>A0489</v>
      </c>
      <c r="J494" s="75" t="str">
        <f aca="false">
IF($D494="정상",INDEX(임대자산!$D$3:$R$3000,MATCH($F494,임대자산!$I$3:$I$3000,0),MATCH(J$4,임대자산!$D$3:$R$3,0)),
IF($D494="폐업",INDEX(폐업정보!$D$3:$R$3000,MATCH($F494,폐업정보!$I$3:$I$3000,0),MATCH(J$4,폐업정보!$D$3:$R$3,0)),
"Error"))</f>
        <v>5112400000</v>
      </c>
      <c r="K494" s="75" t="str">
        <f aca="false">
IF($D494="정상",INDEX(임대자산!$D$3:$R$3000,MATCH($F494,임대자산!$I$3:$I$3000,0),MATCH(K$4,임대자산!$D$3:$R$3,0)),
IF($D494="폐업",INDEX(폐업정보!$D$3:$R$3000,MATCH($F494,폐업정보!$I$3:$I$3000,0),MATCH(K$4,폐업정보!$D$3:$R$3,0)),
"Error"))</f>
        <v>C0489</v>
      </c>
      <c r="L494" s="75" t="str">
        <f aca="false">
IF($D494="정상",INDEX(임대자산!$D$3:$R$3000,MATCH($F494,임대자산!$I$3:$I$3000,0),MATCH(L$4,임대자산!$D$3:$R$3,0)),
IF($D494="폐업",INDEX(폐업정보!$D$3:$R$3000,MATCH($F494,폐업정보!$I$3:$I$3000,0),MATCH(L$4,폐업정보!$D$3:$R$3,0)),
"Error"))</f>
        <v>D0489</v>
      </c>
      <c r="M494" s="76" t="s">
        <v>96</v>
      </c>
      <c r="N494" s="77"/>
      <c r="O494" s="78" t="s">
        <v>97</v>
      </c>
      <c r="P494" s="79" t="n">
        <f aca="false">COUNTIFS(임대자산!$I:$I,가맹점정보!F494,임대자산!$N:$N,가맹점정보!P$4)</f>
        <v>0</v>
      </c>
      <c r="Q494" s="80" t="n">
        <f aca="false">COUNTIFS(임대자산!$I:$I,가맹점정보!F494,임대자산!$N:$N,가맹점정보!Q$4)</f>
        <v>0</v>
      </c>
      <c r="R494" s="81" t="n">
        <f aca="false">COUNTIFS(임대자산!$I:$I,가맹점정보!F494,임대자산!$N:$N,가맹점정보!R$4)</f>
        <v>1</v>
      </c>
      <c r="S494" s="82" t="n">
        <v>55000</v>
      </c>
      <c r="T494" s="83" t="n">
        <v>0</v>
      </c>
      <c r="U494" s="80" t="n">
        <f aca="false">SUM(S494:T494)</f>
        <v>55000</v>
      </c>
      <c r="V494" s="84" t="s">
        <v>12</v>
      </c>
      <c r="W494" s="80" t="e">
        <f aca="true">
IF(D494="폐업","폐업",
IF(V494="면제","면제",
IF(AND(V494="정상",COUNTIFS(OFFSET(Y494,0,COUNTA(Y494:AV494)-1,1,-4),"미납")&gt;=3),"장기미납",
IF(AND(V494="정상",OFFSET(Y494,0,COUNTA(Y494:AV494)-1)&gt;=U494),"정상",
IF(AND(V494="정상",OFFSET(Y494,0,COUNTA(Y494:AV494)-1)=0),"정상",
"계약서 미작성")))))</f>
        <v>#VALUE!</v>
      </c>
      <c r="X494" s="81" t="str">
        <f aca="true">
IF(D494="폐업","폐업",
IF(AND(V494="정상",OFFSET(Y494,0,COUNTA(Y494:AV494)-1)="미납"),"미납",
IF(AND(V494="정상",OFFSET(Y494,0,COUNTA(Y494:AV494)-1)=0),"납부 시작 전",
IF(AND(V494="정상",OFFSET(Y494,0,COUNTA(Y494:AV494)-1)&gt;=U494),"정상",
IF(AND(V494="면제",OFFSET(Y494,0,COUNTA(Y494:AV494)-1)="면제"),"면제",
IF(AND(V494="면제",OFFSET(Y494,0,COUNTA(Y494:AV494)-1)=0),"면제",
"확인요청"))))))</f>
        <v>정상</v>
      </c>
      <c r="Y494" s="93" t="n">
        <v>55000</v>
      </c>
      <c r="Z494" s="90" t="n">
        <v>55000</v>
      </c>
      <c r="AA494" s="90" t="n">
        <v>55000</v>
      </c>
      <c r="AB494" s="90" t="n">
        <v>55000</v>
      </c>
      <c r="AC494" s="90" t="n">
        <v>55000</v>
      </c>
      <c r="AD494" s="90" t="n">
        <v>55000</v>
      </c>
      <c r="AE494" s="90" t="n">
        <v>55000</v>
      </c>
      <c r="AF494" s="90" t="n">
        <v>55000</v>
      </c>
      <c r="AG494" s="90" t="n">
        <v>55000</v>
      </c>
      <c r="AH494" s="90" t="n">
        <v>55000</v>
      </c>
      <c r="AI494" s="90" t="n">
        <v>55000</v>
      </c>
      <c r="AJ494" s="91" t="n">
        <v>55000</v>
      </c>
      <c r="AK494" s="89" t="n">
        <v>55000</v>
      </c>
      <c r="AL494" s="90" t="n">
        <v>55000</v>
      </c>
      <c r="AM494" s="90"/>
      <c r="AN494" s="90"/>
      <c r="AO494" s="90"/>
      <c r="AP494" s="90"/>
      <c r="AQ494" s="90"/>
      <c r="AR494" s="90"/>
      <c r="AS494" s="90"/>
      <c r="AT494" s="90"/>
      <c r="AU494" s="90"/>
      <c r="AV494" s="91"/>
      <c r="AX494" s="92"/>
    </row>
    <row r="495" customFormat="false" ht="15.65" hidden="false" customHeight="false" outlineLevel="0" collapsed="false">
      <c r="C495" s="72" t="n">
        <f aca="false">COUNTIFS($D$6:D495,"&lt;&gt;"&amp;"")</f>
        <v>490</v>
      </c>
      <c r="D495" s="73" t="s">
        <v>12</v>
      </c>
      <c r="E495" s="76" t="str">
        <f aca="false">
IF($D495="정상",INDEX(임대자산!$D$3:$R$3000,MATCH($F495,임대자산!$I$3:$I$3000,0),MATCH(E$3,임대자산!$D$3:$R$3,0)),
IF($D495="폐업",INDEX(폐업정보!$D$3:$R$3000,MATCH($F495,폐업정보!$I$3:$I$3000,0),MATCH(E$3,폐업정보!$D$3:$R$3,0)),
"Error"))</f>
        <v>전라</v>
      </c>
      <c r="F49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B0490</v>
      </c>
      <c r="G495" s="76" t="str">
        <f aca="false">F495&amp;RANDBETWEEN(0,10)</f>
        <v>B04904</v>
      </c>
      <c r="H495" s="75" t="n">
        <f aca="false">
IF($D495="정상",INDEX(임대자산!$D$3:$R$3000,MATCH($F495,임대자산!$I$3:$I$3000,0),MATCH(H$4,임대자산!$D$3:$R$3,0)),
IF($D495="폐업",INDEX(폐업정보!$D$3:$R$3000,MATCH($F495,폐업정보!$I$3:$I$3000,0),MATCH(H$4,폐업정보!$D$3:$R$3,0)),
"Error"))</f>
        <v>45439</v>
      </c>
      <c r="I495" s="75" t="str">
        <f aca="false">
IF($D495="정상",INDEX(임대자산!$D$3:$R$3000,MATCH($F495,임대자산!$I$3:$I$3000,0),MATCH(I$4,임대자산!$D$3:$R$3,0)),
IF($D495="폐업",INDEX(폐업정보!$D$3:$R$3000,MATCH($F495,폐업정보!$I$3:$I$3000,0),MATCH(I$4,폐업정보!$D$3:$R$3,0)),
"Error"))</f>
        <v>A0490</v>
      </c>
      <c r="J495" s="75" t="str">
        <f aca="false">
IF($D495="정상",INDEX(임대자산!$D$3:$R$3000,MATCH($F495,임대자산!$I$3:$I$3000,0),MATCH(J$4,임대자산!$D$3:$R$3,0)),
IF($D495="폐업",INDEX(폐업정보!$D$3:$R$3000,MATCH($F495,폐업정보!$I$3:$I$3000,0),MATCH(J$4,폐업정보!$D$3:$R$3,0)),
"Error"))</f>
        <v>3946500000</v>
      </c>
      <c r="K495" s="75" t="str">
        <f aca="false">
IF($D495="정상",INDEX(임대자산!$D$3:$R$3000,MATCH($F495,임대자산!$I$3:$I$3000,0),MATCH(K$4,임대자산!$D$3:$R$3,0)),
IF($D495="폐업",INDEX(폐업정보!$D$3:$R$3000,MATCH($F495,폐업정보!$I$3:$I$3000,0),MATCH(K$4,폐업정보!$D$3:$R$3,0)),
"Error"))</f>
        <v>C0490</v>
      </c>
      <c r="L495" s="75" t="str">
        <f aca="false">
IF($D495="정상",INDEX(임대자산!$D$3:$R$3000,MATCH($F495,임대자산!$I$3:$I$3000,0),MATCH(L$4,임대자산!$D$3:$R$3,0)),
IF($D495="폐업",INDEX(폐업정보!$D$3:$R$3000,MATCH($F495,폐업정보!$I$3:$I$3000,0),MATCH(L$4,폐업정보!$D$3:$R$3,0)),
"Error"))</f>
        <v>D0490</v>
      </c>
      <c r="M495" s="76" t="s">
        <v>96</v>
      </c>
      <c r="N495" s="77"/>
      <c r="O495" s="78" t="s">
        <v>97</v>
      </c>
      <c r="P495" s="79" t="n">
        <f aca="false">COUNTIFS(임대자산!$I:$I,가맹점정보!F495,임대자산!$N:$N,가맹점정보!P$4)</f>
        <v>0</v>
      </c>
      <c r="Q495" s="80" t="n">
        <f aca="false">COUNTIFS(임대자산!$I:$I,가맹점정보!F495,임대자산!$N:$N,가맹점정보!Q$4)</f>
        <v>0</v>
      </c>
      <c r="R495" s="81" t="n">
        <f aca="false">COUNTIFS(임대자산!$I:$I,가맹점정보!F495,임대자산!$N:$N,가맹점정보!R$4)</f>
        <v>1</v>
      </c>
      <c r="S495" s="82" t="n">
        <v>55000</v>
      </c>
      <c r="T495" s="83" t="n">
        <v>0</v>
      </c>
      <c r="U495" s="80" t="n">
        <f aca="false">SUM(S495:T495)</f>
        <v>55000</v>
      </c>
      <c r="V495" s="84" t="s">
        <v>12</v>
      </c>
      <c r="W495" s="80" t="e">
        <f aca="true">
IF(D495="폐업","폐업",
IF(V495="면제","면제",
IF(AND(V495="정상",COUNTIFS(OFFSET(Y495,0,COUNTA(Y495:AV495)-1,1,-4),"미납")&gt;=3),"장기미납",
IF(AND(V495="정상",OFFSET(Y495,0,COUNTA(Y495:AV495)-1)&gt;=U495),"정상",
IF(AND(V495="정상",OFFSET(Y495,0,COUNTA(Y495:AV495)-1)=0),"정상",
"계약서 미작성")))))</f>
        <v>#VALUE!</v>
      </c>
      <c r="X495" s="81" t="str">
        <f aca="true">
IF(D495="폐업","폐업",
IF(AND(V495="정상",OFFSET(Y495,0,COUNTA(Y495:AV495)-1)="미납"),"미납",
IF(AND(V495="정상",OFFSET(Y495,0,COUNTA(Y495:AV495)-1)=0),"납부 시작 전",
IF(AND(V495="정상",OFFSET(Y495,0,COUNTA(Y495:AV495)-1)&gt;=U495),"정상",
IF(AND(V495="면제",OFFSET(Y495,0,COUNTA(Y495:AV495)-1)="면제"),"면제",
IF(AND(V495="면제",OFFSET(Y495,0,COUNTA(Y495:AV495)-1)=0),"면제",
"확인요청"))))))</f>
        <v>정상</v>
      </c>
      <c r="Y495" s="93" t="n">
        <v>55000</v>
      </c>
      <c r="Z495" s="90" t="n">
        <v>55000</v>
      </c>
      <c r="AA495" s="90" t="n">
        <v>55000</v>
      </c>
      <c r="AB495" s="90" t="n">
        <v>55000</v>
      </c>
      <c r="AC495" s="90" t="n">
        <v>55000</v>
      </c>
      <c r="AD495" s="90" t="n">
        <v>55000</v>
      </c>
      <c r="AE495" s="90" t="n">
        <v>55000</v>
      </c>
      <c r="AF495" s="90" t="n">
        <v>55000</v>
      </c>
      <c r="AG495" s="90" t="n">
        <v>55000</v>
      </c>
      <c r="AH495" s="90" t="n">
        <v>55000</v>
      </c>
      <c r="AI495" s="90" t="n">
        <v>55000</v>
      </c>
      <c r="AJ495" s="91" t="n">
        <v>55000</v>
      </c>
      <c r="AK495" s="89" t="n">
        <v>55000</v>
      </c>
      <c r="AL495" s="90" t="n">
        <v>55000</v>
      </c>
      <c r="AM495" s="90"/>
      <c r="AN495" s="90"/>
      <c r="AO495" s="90"/>
      <c r="AP495" s="90"/>
      <c r="AQ495" s="90"/>
      <c r="AR495" s="90"/>
      <c r="AS495" s="90"/>
      <c r="AT495" s="90"/>
      <c r="AU495" s="90"/>
      <c r="AV495" s="91"/>
      <c r="AX495" s="92"/>
    </row>
    <row r="496" customFormat="false" ht="15.65" hidden="false" customHeight="false" outlineLevel="0" collapsed="false">
      <c r="C496" s="72" t="n">
        <f aca="false">COUNTIFS($D$6:D496,"&lt;&gt;"&amp;"")</f>
        <v>491</v>
      </c>
      <c r="D496" s="73" t="s">
        <v>12</v>
      </c>
      <c r="E496" s="76" t="str">
        <f aca="false">
IF($D496="정상",INDEX(임대자산!$D$3:$R$3000,MATCH($F496,임대자산!$I$3:$I$3000,0),MATCH(E$3,임대자산!$D$3:$R$3,0)),
IF($D496="폐업",INDEX(폐업정보!$D$3:$R$3000,MATCH($F496,폐업정보!$I$3:$I$3000,0),MATCH(E$3,폐업정보!$D$3:$R$3,0)),
"Error"))</f>
        <v>전라</v>
      </c>
      <c r="F49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B0491</v>
      </c>
      <c r="G496" s="76" t="str">
        <f aca="false">F496&amp;RANDBETWEEN(0,10)</f>
        <v>B04911</v>
      </c>
      <c r="H496" s="75" t="n">
        <f aca="false">
IF($D496="정상",INDEX(임대자산!$D$3:$R$3000,MATCH($F496,임대자산!$I$3:$I$3000,0),MATCH(H$4,임대자산!$D$3:$R$3,0)),
IF($D496="폐업",INDEX(폐업정보!$D$3:$R$3000,MATCH($F496,폐업정보!$I$3:$I$3000,0),MATCH(H$4,폐업정보!$D$3:$R$3,0)),
"Error"))</f>
        <v>45831</v>
      </c>
      <c r="I496" s="75" t="str">
        <f aca="false">
IF($D496="정상",INDEX(임대자산!$D$3:$R$3000,MATCH($F496,임대자산!$I$3:$I$3000,0),MATCH(I$4,임대자산!$D$3:$R$3,0)),
IF($D496="폐업",INDEX(폐업정보!$D$3:$R$3000,MATCH($F496,폐업정보!$I$3:$I$3000,0),MATCH(I$4,폐업정보!$D$3:$R$3,0)),
"Error"))</f>
        <v>A0491</v>
      </c>
      <c r="J496" s="75" t="str">
        <f aca="false">
IF($D496="정상",INDEX(임대자산!$D$3:$R$3000,MATCH($F496,임대자산!$I$3:$I$3000,0),MATCH(J$4,임대자산!$D$3:$R$3,0)),
IF($D496="폐업",INDEX(폐업정보!$D$3:$R$3000,MATCH($F496,폐업정보!$I$3:$I$3000,0),MATCH(J$4,폐업정보!$D$3:$R$3,0)),
"Error"))</f>
        <v>3769100000</v>
      </c>
      <c r="K496" s="75" t="str">
        <f aca="false">
IF($D496="정상",INDEX(임대자산!$D$3:$R$3000,MATCH($F496,임대자산!$I$3:$I$3000,0),MATCH(K$4,임대자산!$D$3:$R$3,0)),
IF($D496="폐업",INDEX(폐업정보!$D$3:$R$3000,MATCH($F496,폐업정보!$I$3:$I$3000,0),MATCH(K$4,폐업정보!$D$3:$R$3,0)),
"Error"))</f>
        <v>C0491</v>
      </c>
      <c r="L496" s="75" t="str">
        <f aca="false">
IF($D496="정상",INDEX(임대자산!$D$3:$R$3000,MATCH($F496,임대자산!$I$3:$I$3000,0),MATCH(L$4,임대자산!$D$3:$R$3,0)),
IF($D496="폐업",INDEX(폐업정보!$D$3:$R$3000,MATCH($F496,폐업정보!$I$3:$I$3000,0),MATCH(L$4,폐업정보!$D$3:$R$3,0)),
"Error"))</f>
        <v>D0491</v>
      </c>
      <c r="M496" s="76" t="s">
        <v>96</v>
      </c>
      <c r="N496" s="77"/>
      <c r="O496" s="78" t="s">
        <v>97</v>
      </c>
      <c r="P496" s="79" t="n">
        <f aca="false">COUNTIFS(임대자산!$I:$I,가맹점정보!F496,임대자산!$N:$N,가맹점정보!P$4)</f>
        <v>0</v>
      </c>
      <c r="Q496" s="80" t="n">
        <f aca="false">COUNTIFS(임대자산!$I:$I,가맹점정보!F496,임대자산!$N:$N,가맹점정보!Q$4)</f>
        <v>0</v>
      </c>
      <c r="R496" s="81" t="n">
        <f aca="false">COUNTIFS(임대자산!$I:$I,가맹점정보!F496,임대자산!$N:$N,가맹점정보!R$4)</f>
        <v>1</v>
      </c>
      <c r="S496" s="82" t="n">
        <v>55000</v>
      </c>
      <c r="T496" s="83" t="n">
        <v>0</v>
      </c>
      <c r="U496" s="80" t="n">
        <f aca="false">SUM(S496:T496)</f>
        <v>55000</v>
      </c>
      <c r="V496" s="84" t="s">
        <v>12</v>
      </c>
      <c r="W496" s="80" t="e">
        <f aca="true">
IF(D496="폐업","폐업",
IF(V496="면제","면제",
IF(AND(V496="정상",COUNTIFS(OFFSET(Y496,0,COUNTA(Y496:AV496)-1,1,-4),"미납")&gt;=3),"장기미납",
IF(AND(V496="정상",OFFSET(Y496,0,COUNTA(Y496:AV496)-1)&gt;=U496),"정상",
IF(AND(V496="정상",OFFSET(Y496,0,COUNTA(Y496:AV496)-1)=0),"정상",
"계약서 미작성")))))</f>
        <v>#VALUE!</v>
      </c>
      <c r="X496" s="81" t="str">
        <f aca="true">
IF(D496="폐업","폐업",
IF(AND(V496="정상",OFFSET(Y496,0,COUNTA(Y496:AV496)-1)="미납"),"미납",
IF(AND(V496="정상",OFFSET(Y496,0,COUNTA(Y496:AV496)-1)=0),"납부 시작 전",
IF(AND(V496="정상",OFFSET(Y496,0,COUNTA(Y496:AV496)-1)&gt;=U496),"정상",
IF(AND(V496="면제",OFFSET(Y496,0,COUNTA(Y496:AV496)-1)="면제"),"면제",
IF(AND(V496="면제",OFFSET(Y496,0,COUNTA(Y496:AV496)-1)=0),"면제",
"확인요청"))))))</f>
        <v>정상</v>
      </c>
      <c r="Y496" s="93" t="n">
        <v>55000</v>
      </c>
      <c r="Z496" s="90" t="n">
        <v>55000</v>
      </c>
      <c r="AA496" s="90" t="n">
        <v>55000</v>
      </c>
      <c r="AB496" s="90" t="n">
        <v>55000</v>
      </c>
      <c r="AC496" s="90" t="n">
        <v>55000</v>
      </c>
      <c r="AD496" s="90" t="n">
        <v>55000</v>
      </c>
      <c r="AE496" s="90" t="n">
        <v>55000</v>
      </c>
      <c r="AF496" s="90" t="n">
        <v>55000</v>
      </c>
      <c r="AG496" s="90" t="n">
        <v>55000</v>
      </c>
      <c r="AH496" s="90" t="n">
        <v>55000</v>
      </c>
      <c r="AI496" s="90" t="n">
        <v>55000</v>
      </c>
      <c r="AJ496" s="91" t="n">
        <v>55000</v>
      </c>
      <c r="AK496" s="89" t="n">
        <v>55000</v>
      </c>
      <c r="AL496" s="90" t="n">
        <v>55000</v>
      </c>
      <c r="AM496" s="90"/>
      <c r="AN496" s="90"/>
      <c r="AO496" s="90"/>
      <c r="AP496" s="90"/>
      <c r="AQ496" s="90"/>
      <c r="AR496" s="90"/>
      <c r="AS496" s="90"/>
      <c r="AT496" s="90"/>
      <c r="AU496" s="90"/>
      <c r="AV496" s="91"/>
      <c r="AX496" s="92"/>
    </row>
    <row r="497" customFormat="false" ht="15.65" hidden="false" customHeight="false" outlineLevel="0" collapsed="false">
      <c r="C497" s="72" t="n">
        <f aca="false">COUNTIFS($D$6:D497,"&lt;&gt;"&amp;"")</f>
        <v>492</v>
      </c>
      <c r="D497" s="73" t="s">
        <v>12</v>
      </c>
      <c r="E497" s="76" t="str">
        <f aca="false">
IF($D497="정상",INDEX(임대자산!$D$3:$R$3000,MATCH($F497,임대자산!$I$3:$I$3000,0),MATCH(E$3,임대자산!$D$3:$R$3,0)),
IF($D497="폐업",INDEX(폐업정보!$D$3:$R$3000,MATCH($F497,폐업정보!$I$3:$I$3000,0),MATCH(E$3,폐업정보!$D$3:$R$3,0)),
"Error"))</f>
        <v>서울</v>
      </c>
      <c r="F49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B0492</v>
      </c>
      <c r="G497" s="76" t="str">
        <f aca="false">F497&amp;RANDBETWEEN(0,10)</f>
        <v>B04925</v>
      </c>
      <c r="H497" s="75" t="n">
        <f aca="false">
IF($D497="정상",INDEX(임대자산!$D$3:$R$3000,MATCH($F497,임대자산!$I$3:$I$3000,0),MATCH(H$4,임대자산!$D$3:$R$3,0)),
IF($D497="폐업",INDEX(폐업정보!$D$3:$R$3000,MATCH($F497,폐업정보!$I$3:$I$3000,0),MATCH(H$4,폐업정보!$D$3:$R$3,0)),
"Error"))</f>
        <v>45744</v>
      </c>
      <c r="I497" s="75" t="str">
        <f aca="false">
IF($D497="정상",INDEX(임대자산!$D$3:$R$3000,MATCH($F497,임대자산!$I$3:$I$3000,0),MATCH(I$4,임대자산!$D$3:$R$3,0)),
IF($D497="폐업",INDEX(폐업정보!$D$3:$R$3000,MATCH($F497,폐업정보!$I$3:$I$3000,0),MATCH(I$4,폐업정보!$D$3:$R$3,0)),
"Error"))</f>
        <v>A0492</v>
      </c>
      <c r="J497" s="75" t="str">
        <f aca="false">
IF($D497="정상",INDEX(임대자산!$D$3:$R$3000,MATCH($F497,임대자산!$I$3:$I$3000,0),MATCH(J$4,임대자산!$D$3:$R$3,0)),
IF($D497="폐업",INDEX(폐업정보!$D$3:$R$3000,MATCH($F497,폐업정보!$I$3:$I$3000,0),MATCH(J$4,폐업정보!$D$3:$R$3,0)),
"Error"))</f>
        <v>6563400000</v>
      </c>
      <c r="K497" s="75" t="str">
        <f aca="false">
IF($D497="정상",INDEX(임대자산!$D$3:$R$3000,MATCH($F497,임대자산!$I$3:$I$3000,0),MATCH(K$4,임대자산!$D$3:$R$3,0)),
IF($D497="폐업",INDEX(폐업정보!$D$3:$R$3000,MATCH($F497,폐업정보!$I$3:$I$3000,0),MATCH(K$4,폐업정보!$D$3:$R$3,0)),
"Error"))</f>
        <v>C0492</v>
      </c>
      <c r="L497" s="75" t="str">
        <f aca="false">
IF($D497="정상",INDEX(임대자산!$D$3:$R$3000,MATCH($F497,임대자산!$I$3:$I$3000,0),MATCH(L$4,임대자산!$D$3:$R$3,0)),
IF($D497="폐업",INDEX(폐업정보!$D$3:$R$3000,MATCH($F497,폐업정보!$I$3:$I$3000,0),MATCH(L$4,폐업정보!$D$3:$R$3,0)),
"Error"))</f>
        <v>D0492</v>
      </c>
      <c r="M497" s="76" t="s">
        <v>96</v>
      </c>
      <c r="N497" s="77"/>
      <c r="O497" s="78" t="s">
        <v>97</v>
      </c>
      <c r="P497" s="79" t="n">
        <f aca="false">COUNTIFS(임대자산!$I:$I,가맹점정보!F497,임대자산!$N:$N,가맹점정보!P$4)</f>
        <v>0</v>
      </c>
      <c r="Q497" s="80" t="n">
        <f aca="false">COUNTIFS(임대자산!$I:$I,가맹점정보!F497,임대자산!$N:$N,가맹점정보!Q$4)</f>
        <v>0</v>
      </c>
      <c r="R497" s="81" t="n">
        <f aca="false">COUNTIFS(임대자산!$I:$I,가맹점정보!F497,임대자산!$N:$N,가맹점정보!R$4)</f>
        <v>1</v>
      </c>
      <c r="S497" s="82" t="n">
        <v>55000</v>
      </c>
      <c r="T497" s="83" t="n">
        <v>0</v>
      </c>
      <c r="U497" s="80" t="n">
        <f aca="false">SUM(S497:T497)</f>
        <v>55000</v>
      </c>
      <c r="V497" s="84" t="s">
        <v>12</v>
      </c>
      <c r="W497" s="80" t="e">
        <f aca="true">
IF(D497="폐업","폐업",
IF(V497="면제","면제",
IF(AND(V497="정상",COUNTIFS(OFFSET(Y497,0,COUNTA(Y497:AV497)-1,1,-4),"미납")&gt;=3),"장기미납",
IF(AND(V497="정상",OFFSET(Y497,0,COUNTA(Y497:AV497)-1)&gt;=U497),"정상",
IF(AND(V497="정상",OFFSET(Y497,0,COUNTA(Y497:AV497)-1)=0),"정상",
"계약서 미작성")))))</f>
        <v>#VALUE!</v>
      </c>
      <c r="X497" s="81" t="str">
        <f aca="true">
IF(D497="폐업","폐업",
IF(AND(V497="정상",OFFSET(Y497,0,COUNTA(Y497:AV497)-1)="미납"),"미납",
IF(AND(V497="정상",OFFSET(Y497,0,COUNTA(Y497:AV497)-1)=0),"납부 시작 전",
IF(AND(V497="정상",OFFSET(Y497,0,COUNTA(Y497:AV497)-1)&gt;=U497),"정상",
IF(AND(V497="면제",OFFSET(Y497,0,COUNTA(Y497:AV497)-1)="면제"),"면제",
IF(AND(V497="면제",OFFSET(Y497,0,COUNTA(Y497:AV497)-1)=0),"면제",
"확인요청"))))))</f>
        <v>정상</v>
      </c>
      <c r="Y497" s="93" t="n">
        <v>55000</v>
      </c>
      <c r="Z497" s="90" t="n">
        <v>55000</v>
      </c>
      <c r="AA497" s="90" t="n">
        <v>55000</v>
      </c>
      <c r="AB497" s="90" t="n">
        <v>55000</v>
      </c>
      <c r="AC497" s="90" t="n">
        <v>55000</v>
      </c>
      <c r="AD497" s="90" t="n">
        <v>55000</v>
      </c>
      <c r="AE497" s="90" t="n">
        <v>55000</v>
      </c>
      <c r="AF497" s="90" t="n">
        <v>55000</v>
      </c>
      <c r="AG497" s="90" t="n">
        <v>55000</v>
      </c>
      <c r="AH497" s="90" t="n">
        <v>55000</v>
      </c>
      <c r="AI497" s="90" t="n">
        <v>55000</v>
      </c>
      <c r="AJ497" s="91" t="n">
        <v>55000</v>
      </c>
      <c r="AK497" s="89" t="n">
        <v>55000</v>
      </c>
      <c r="AL497" s="90" t="n">
        <v>55000</v>
      </c>
      <c r="AM497" s="90"/>
      <c r="AN497" s="90"/>
      <c r="AO497" s="90"/>
      <c r="AP497" s="90"/>
      <c r="AQ497" s="90"/>
      <c r="AR497" s="90"/>
      <c r="AS497" s="90"/>
      <c r="AT497" s="90"/>
      <c r="AU497" s="90"/>
      <c r="AV497" s="91"/>
      <c r="AX497" s="92"/>
    </row>
    <row r="498" customFormat="false" ht="15.65" hidden="false" customHeight="false" outlineLevel="0" collapsed="false">
      <c r="C498" s="72" t="n">
        <f aca="false">COUNTIFS($D$6:D498,"&lt;&gt;"&amp;"")</f>
        <v>493</v>
      </c>
      <c r="D498" s="73" t="s">
        <v>12</v>
      </c>
      <c r="E498" s="76" t="str">
        <f aca="false">
IF($D498="정상",INDEX(임대자산!$D$3:$R$3000,MATCH($F498,임대자산!$I$3:$I$3000,0),MATCH(E$3,임대자산!$D$3:$R$3,0)),
IF($D498="폐업",INDEX(폐업정보!$D$3:$R$3000,MATCH($F498,폐업정보!$I$3:$I$3000,0),MATCH(E$3,폐업정보!$D$3:$R$3,0)),
"Error"))</f>
        <v>강원</v>
      </c>
      <c r="F49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B0493</v>
      </c>
      <c r="G498" s="76" t="str">
        <f aca="false">F498&amp;RANDBETWEEN(0,10)</f>
        <v>B04933</v>
      </c>
      <c r="H498" s="75" t="n">
        <f aca="false">
IF($D498="정상",INDEX(임대자산!$D$3:$R$3000,MATCH($F498,임대자산!$I$3:$I$3000,0),MATCH(H$4,임대자산!$D$3:$R$3,0)),
IF($D498="폐업",INDEX(폐업정보!$D$3:$R$3000,MATCH($F498,폐업정보!$I$3:$I$3000,0),MATCH(H$4,폐업정보!$D$3:$R$3,0)),
"Error"))</f>
        <v>45833</v>
      </c>
      <c r="I498" s="75" t="str">
        <f aca="false">
IF($D498="정상",INDEX(임대자산!$D$3:$R$3000,MATCH($F498,임대자산!$I$3:$I$3000,0),MATCH(I$4,임대자산!$D$3:$R$3,0)),
IF($D498="폐업",INDEX(폐업정보!$D$3:$R$3000,MATCH($F498,폐업정보!$I$3:$I$3000,0),MATCH(I$4,폐업정보!$D$3:$R$3,0)),
"Error"))</f>
        <v>A0493</v>
      </c>
      <c r="J498" s="75" t="str">
        <f aca="false">
IF($D498="정상",INDEX(임대자산!$D$3:$R$3000,MATCH($F498,임대자산!$I$3:$I$3000,0),MATCH(J$4,임대자산!$D$3:$R$3,0)),
IF($D498="폐업",INDEX(폐업정보!$D$3:$R$3000,MATCH($F498,폐업정보!$I$3:$I$3000,0),MATCH(J$4,폐업정보!$D$3:$R$3,0)),
"Error"))</f>
        <v>9696200000</v>
      </c>
      <c r="K498" s="75" t="str">
        <f aca="false">
IF($D498="정상",INDEX(임대자산!$D$3:$R$3000,MATCH($F498,임대자산!$I$3:$I$3000,0),MATCH(K$4,임대자산!$D$3:$R$3,0)),
IF($D498="폐업",INDEX(폐업정보!$D$3:$R$3000,MATCH($F498,폐업정보!$I$3:$I$3000,0),MATCH(K$4,폐업정보!$D$3:$R$3,0)),
"Error"))</f>
        <v>C0493</v>
      </c>
      <c r="L498" s="75" t="str">
        <f aca="false">
IF($D498="정상",INDEX(임대자산!$D$3:$R$3000,MATCH($F498,임대자산!$I$3:$I$3000,0),MATCH(L$4,임대자산!$D$3:$R$3,0)),
IF($D498="폐업",INDEX(폐업정보!$D$3:$R$3000,MATCH($F498,폐업정보!$I$3:$I$3000,0),MATCH(L$4,폐업정보!$D$3:$R$3,0)),
"Error"))</f>
        <v>D0493</v>
      </c>
      <c r="M498" s="76" t="s">
        <v>96</v>
      </c>
      <c r="N498" s="77"/>
      <c r="O498" s="78" t="s">
        <v>97</v>
      </c>
      <c r="P498" s="79" t="n">
        <f aca="false">COUNTIFS(임대자산!$I:$I,가맹점정보!F498,임대자산!$N:$N,가맹점정보!P$4)</f>
        <v>0</v>
      </c>
      <c r="Q498" s="80" t="n">
        <f aca="false">COUNTIFS(임대자산!$I:$I,가맹점정보!F498,임대자산!$N:$N,가맹점정보!Q$4)</f>
        <v>0</v>
      </c>
      <c r="R498" s="81" t="n">
        <f aca="false">COUNTIFS(임대자산!$I:$I,가맹점정보!F498,임대자산!$N:$N,가맹점정보!R$4)</f>
        <v>1</v>
      </c>
      <c r="S498" s="82" t="n">
        <v>55000</v>
      </c>
      <c r="T498" s="83" t="n">
        <v>0</v>
      </c>
      <c r="U498" s="80" t="n">
        <f aca="false">SUM(S498:T498)</f>
        <v>55000</v>
      </c>
      <c r="V498" s="84" t="s">
        <v>7</v>
      </c>
      <c r="W498" s="80" t="str">
        <f aca="true">
IF(D498="폐업","폐업",
IF(V498="면제","면제",
IF(AND(V498="정상",COUNTIFS(OFFSET(Y498,0,COUNTA(Y498:AV498)-1,1,-4),"미납")&gt;=3),"장기미납",
IF(AND(V498="정상",OFFSET(Y498,0,COUNTA(Y498:AV498)-1)&gt;=U498),"정상",
IF(AND(V498="정상",OFFSET(Y498,0,COUNTA(Y498:AV498)-1)=0),"정상",
"계약서 미작성")))))</f>
        <v>면제</v>
      </c>
      <c r="X498" s="81" t="str">
        <f aca="true">
IF(D498="폐업","폐업",
IF(AND(V498="정상",OFFSET(Y498,0,COUNTA(Y498:AV498)-1)="미납"),"미납",
IF(AND(V498="정상",OFFSET(Y498,0,COUNTA(Y498:AV498)-1)=0),"납부 시작 전",
IF(AND(V498="정상",OFFSET(Y498,0,COUNTA(Y498:AV498)-1)&gt;=U498),"정상",
IF(AND(V498="면제",OFFSET(Y498,0,COUNTA(Y498:AV498)-1)="면제"),"면제",
IF(AND(V498="면제",OFFSET(Y498,0,COUNTA(Y498:AV498)-1)=0),"면제",
"확인요청"))))))</f>
        <v>면제</v>
      </c>
      <c r="Y498" s="94" t="s">
        <v>7</v>
      </c>
      <c r="Z498" s="95" t="s">
        <v>7</v>
      </c>
      <c r="AA498" s="95" t="s">
        <v>7</v>
      </c>
      <c r="AB498" s="95" t="s">
        <v>7</v>
      </c>
      <c r="AC498" s="95" t="s">
        <v>7</v>
      </c>
      <c r="AD498" s="95" t="s">
        <v>7</v>
      </c>
      <c r="AE498" s="95" t="s">
        <v>7</v>
      </c>
      <c r="AF498" s="95" t="s">
        <v>7</v>
      </c>
      <c r="AG498" s="95" t="s">
        <v>7</v>
      </c>
      <c r="AH498" s="95" t="s">
        <v>7</v>
      </c>
      <c r="AI498" s="95" t="s">
        <v>7</v>
      </c>
      <c r="AJ498" s="96" t="s">
        <v>7</v>
      </c>
      <c r="AK498" s="97" t="s">
        <v>7</v>
      </c>
      <c r="AL498" s="95" t="s">
        <v>7</v>
      </c>
      <c r="AM498" s="90"/>
      <c r="AN498" s="90"/>
      <c r="AO498" s="90"/>
      <c r="AP498" s="90"/>
      <c r="AQ498" s="90"/>
      <c r="AR498" s="90"/>
      <c r="AS498" s="90"/>
      <c r="AT498" s="90"/>
      <c r="AU498" s="90"/>
      <c r="AV498" s="91"/>
      <c r="AX498" s="92"/>
    </row>
    <row r="499" customFormat="false" ht="15.65" hidden="false" customHeight="false" outlineLevel="0" collapsed="false">
      <c r="C499" s="72" t="n">
        <f aca="false">COUNTIFS($D$6:D499,"&lt;&gt;"&amp;"")</f>
        <v>494</v>
      </c>
      <c r="D499" s="73" t="s">
        <v>12</v>
      </c>
      <c r="E499" s="76" t="str">
        <f aca="false">
IF($D499="정상",INDEX(임대자산!$D$3:$R$3000,MATCH($F499,임대자산!$I$3:$I$3000,0),MATCH(E$3,임대자산!$D$3:$R$3,0)),
IF($D499="폐업",INDEX(폐업정보!$D$3:$R$3000,MATCH($F499,폐업정보!$I$3:$I$3000,0),MATCH(E$3,폐업정보!$D$3:$R$3,0)),
"Error"))</f>
        <v>강원</v>
      </c>
      <c r="F49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B0494</v>
      </c>
      <c r="G499" s="76" t="str">
        <f aca="false">F499&amp;RANDBETWEEN(0,10)</f>
        <v>B04943</v>
      </c>
      <c r="H499" s="75" t="n">
        <f aca="false">
IF($D499="정상",INDEX(임대자산!$D$3:$R$3000,MATCH($F499,임대자산!$I$3:$I$3000,0),MATCH(H$4,임대자산!$D$3:$R$3,0)),
IF($D499="폐업",INDEX(폐업정보!$D$3:$R$3000,MATCH($F499,폐업정보!$I$3:$I$3000,0),MATCH(H$4,폐업정보!$D$3:$R$3,0)),
"Error"))</f>
        <v>45859</v>
      </c>
      <c r="I499" s="75" t="str">
        <f aca="false">
IF($D499="정상",INDEX(임대자산!$D$3:$R$3000,MATCH($F499,임대자산!$I$3:$I$3000,0),MATCH(I$4,임대자산!$D$3:$R$3,0)),
IF($D499="폐업",INDEX(폐업정보!$D$3:$R$3000,MATCH($F499,폐업정보!$I$3:$I$3000,0),MATCH(I$4,폐업정보!$D$3:$R$3,0)),
"Error"))</f>
        <v>A0494</v>
      </c>
      <c r="J499" s="75" t="str">
        <f aca="false">
IF($D499="정상",INDEX(임대자산!$D$3:$R$3000,MATCH($F499,임대자산!$I$3:$I$3000,0),MATCH(J$4,임대자산!$D$3:$R$3,0)),
IF($D499="폐업",INDEX(폐업정보!$D$3:$R$3000,MATCH($F499,폐업정보!$I$3:$I$3000,0),MATCH(J$4,폐업정보!$D$3:$R$3,0)),
"Error"))</f>
        <v>1480700000</v>
      </c>
      <c r="K499" s="75" t="str">
        <f aca="false">
IF($D499="정상",INDEX(임대자산!$D$3:$R$3000,MATCH($F499,임대자산!$I$3:$I$3000,0),MATCH(K$4,임대자산!$D$3:$R$3,0)),
IF($D499="폐업",INDEX(폐업정보!$D$3:$R$3000,MATCH($F499,폐업정보!$I$3:$I$3000,0),MATCH(K$4,폐업정보!$D$3:$R$3,0)),
"Error"))</f>
        <v>C0494</v>
      </c>
      <c r="L499" s="75" t="str">
        <f aca="false">
IF($D499="정상",INDEX(임대자산!$D$3:$R$3000,MATCH($F499,임대자산!$I$3:$I$3000,0),MATCH(L$4,임대자산!$D$3:$R$3,0)),
IF($D499="폐업",INDEX(폐업정보!$D$3:$R$3000,MATCH($F499,폐업정보!$I$3:$I$3000,0),MATCH(L$4,폐업정보!$D$3:$R$3,0)),
"Error"))</f>
        <v>D0494</v>
      </c>
      <c r="M499" s="76" t="s">
        <v>96</v>
      </c>
      <c r="N499" s="77"/>
      <c r="O499" s="78" t="s">
        <v>97</v>
      </c>
      <c r="P499" s="79" t="n">
        <f aca="false">COUNTIFS(임대자산!$I:$I,가맹점정보!F499,임대자산!$N:$N,가맹점정보!P$4)</f>
        <v>0</v>
      </c>
      <c r="Q499" s="80" t="n">
        <f aca="false">COUNTIFS(임대자산!$I:$I,가맹점정보!F499,임대자산!$N:$N,가맹점정보!Q$4)</f>
        <v>0</v>
      </c>
      <c r="R499" s="81" t="n">
        <f aca="false">COUNTIFS(임대자산!$I:$I,가맹점정보!F499,임대자산!$N:$N,가맹점정보!R$4)</f>
        <v>1</v>
      </c>
      <c r="S499" s="82" t="n">
        <v>55000</v>
      </c>
      <c r="T499" s="83" t="n">
        <v>0</v>
      </c>
      <c r="U499" s="80" t="n">
        <f aca="false">SUM(S499:T499)</f>
        <v>55000</v>
      </c>
      <c r="V499" s="84" t="s">
        <v>12</v>
      </c>
      <c r="W499" s="80" t="e">
        <f aca="true">
IF(D499="폐업","폐업",
IF(V499="면제","면제",
IF(AND(V499="정상",COUNTIFS(OFFSET(Y499,0,COUNTA(Y499:AV499)-1,1,-4),"미납")&gt;=3),"장기미납",
IF(AND(V499="정상",OFFSET(Y499,0,COUNTA(Y499:AV499)-1)&gt;=U499),"정상",
IF(AND(V499="정상",OFFSET(Y499,0,COUNTA(Y499:AV499)-1)=0),"정상",
"계약서 미작성")))))</f>
        <v>#VALUE!</v>
      </c>
      <c r="X499" s="81" t="str">
        <f aca="true">
IF(D499="폐업","폐업",
IF(AND(V499="정상",OFFSET(Y499,0,COUNTA(Y499:AV499)-1)="미납"),"미납",
IF(AND(V499="정상",OFFSET(Y499,0,COUNTA(Y499:AV499)-1)=0),"납부 시작 전",
IF(AND(V499="정상",OFFSET(Y499,0,COUNTA(Y499:AV499)-1)&gt;=U499),"정상",
IF(AND(V499="면제",OFFSET(Y499,0,COUNTA(Y499:AV499)-1)="면제"),"면제",
IF(AND(V499="면제",OFFSET(Y499,0,COUNTA(Y499:AV499)-1)=0),"면제",
"확인요청"))))))</f>
        <v>정상</v>
      </c>
      <c r="Y499" s="93" t="n">
        <v>55000</v>
      </c>
      <c r="Z499" s="90" t="n">
        <v>55000</v>
      </c>
      <c r="AA499" s="90" t="n">
        <v>55000</v>
      </c>
      <c r="AB499" s="90" t="n">
        <v>55000</v>
      </c>
      <c r="AC499" s="90" t="n">
        <v>55000</v>
      </c>
      <c r="AD499" s="90" t="n">
        <v>55000</v>
      </c>
      <c r="AE499" s="90" t="n">
        <v>55000</v>
      </c>
      <c r="AF499" s="90" t="n">
        <v>55000</v>
      </c>
      <c r="AG499" s="90" t="n">
        <v>55000</v>
      </c>
      <c r="AH499" s="90" t="n">
        <v>55000</v>
      </c>
      <c r="AI499" s="90" t="n">
        <v>55000</v>
      </c>
      <c r="AJ499" s="91" t="n">
        <v>55000</v>
      </c>
      <c r="AK499" s="89" t="n">
        <v>55000</v>
      </c>
      <c r="AL499" s="90" t="n">
        <v>55000</v>
      </c>
      <c r="AM499" s="90"/>
      <c r="AN499" s="90"/>
      <c r="AO499" s="90"/>
      <c r="AP499" s="90"/>
      <c r="AQ499" s="90"/>
      <c r="AR499" s="90"/>
      <c r="AS499" s="90"/>
      <c r="AT499" s="90"/>
      <c r="AU499" s="90"/>
      <c r="AV499" s="91"/>
      <c r="AX499" s="92"/>
    </row>
    <row r="500" customFormat="false" ht="15.65" hidden="false" customHeight="false" outlineLevel="0" collapsed="false">
      <c r="C500" s="72" t="n">
        <f aca="false">COUNTIFS($D$6:D500,"&lt;&gt;"&amp;"")</f>
        <v>495</v>
      </c>
      <c r="D500" s="73" t="s">
        <v>12</v>
      </c>
      <c r="E500" s="76" t="str">
        <f aca="false">
IF($D500="정상",INDEX(임대자산!$D$3:$R$3000,MATCH($F500,임대자산!$I$3:$I$3000,0),MATCH(E$3,임대자산!$D$3:$R$3,0)),
IF($D500="폐업",INDEX(폐업정보!$D$3:$R$3000,MATCH($F500,폐업정보!$I$3:$I$3000,0),MATCH(E$3,폐업정보!$D$3:$R$3,0)),
"Error"))</f>
        <v>강원</v>
      </c>
      <c r="F50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B0495</v>
      </c>
      <c r="G500" s="76" t="str">
        <f aca="false">F500&amp;RANDBETWEEN(0,10)</f>
        <v>B04952</v>
      </c>
      <c r="H500" s="75" t="n">
        <f aca="false">
IF($D500="정상",INDEX(임대자산!$D$3:$R$3000,MATCH($F500,임대자산!$I$3:$I$3000,0),MATCH(H$4,임대자산!$D$3:$R$3,0)),
IF($D500="폐업",INDEX(폐업정보!$D$3:$R$3000,MATCH($F500,폐업정보!$I$3:$I$3000,0),MATCH(H$4,폐업정보!$D$3:$R$3,0)),
"Error"))</f>
        <v>45868</v>
      </c>
      <c r="I500" s="75" t="str">
        <f aca="false">
IF($D500="정상",INDEX(임대자산!$D$3:$R$3000,MATCH($F500,임대자산!$I$3:$I$3000,0),MATCH(I$4,임대자산!$D$3:$R$3,0)),
IF($D500="폐업",INDEX(폐업정보!$D$3:$R$3000,MATCH($F500,폐업정보!$I$3:$I$3000,0),MATCH(I$4,폐업정보!$D$3:$R$3,0)),
"Error"))</f>
        <v>A0495</v>
      </c>
      <c r="J500" s="75" t="str">
        <f aca="false">
IF($D500="정상",INDEX(임대자산!$D$3:$R$3000,MATCH($F500,임대자산!$I$3:$I$3000,0),MATCH(J$4,임대자산!$D$3:$R$3,0)),
IF($D500="폐업",INDEX(폐업정보!$D$3:$R$3000,MATCH($F500,폐업정보!$I$3:$I$3000,0),MATCH(J$4,폐업정보!$D$3:$R$3,0)),
"Error"))</f>
        <v>6277300000</v>
      </c>
      <c r="K500" s="75" t="str">
        <f aca="false">
IF($D500="정상",INDEX(임대자산!$D$3:$R$3000,MATCH($F500,임대자산!$I$3:$I$3000,0),MATCH(K$4,임대자산!$D$3:$R$3,0)),
IF($D500="폐업",INDEX(폐업정보!$D$3:$R$3000,MATCH($F500,폐업정보!$I$3:$I$3000,0),MATCH(K$4,폐업정보!$D$3:$R$3,0)),
"Error"))</f>
        <v>C0495</v>
      </c>
      <c r="L500" s="75" t="str">
        <f aca="false">
IF($D500="정상",INDEX(임대자산!$D$3:$R$3000,MATCH($F500,임대자산!$I$3:$I$3000,0),MATCH(L$4,임대자산!$D$3:$R$3,0)),
IF($D500="폐업",INDEX(폐업정보!$D$3:$R$3000,MATCH($F500,폐업정보!$I$3:$I$3000,0),MATCH(L$4,폐업정보!$D$3:$R$3,0)),
"Error"))</f>
        <v>D0495</v>
      </c>
      <c r="M500" s="76" t="s">
        <v>96</v>
      </c>
      <c r="N500" s="77"/>
      <c r="O500" s="78" t="s">
        <v>97</v>
      </c>
      <c r="P500" s="79" t="n">
        <f aca="false">COUNTIFS(임대자산!$I:$I,가맹점정보!F500,임대자산!$N:$N,가맹점정보!P$4)</f>
        <v>0</v>
      </c>
      <c r="Q500" s="80" t="n">
        <f aca="false">COUNTIFS(임대자산!$I:$I,가맹점정보!F500,임대자산!$N:$N,가맹점정보!Q$4)</f>
        <v>0</v>
      </c>
      <c r="R500" s="81" t="n">
        <f aca="false">COUNTIFS(임대자산!$I:$I,가맹점정보!F500,임대자산!$N:$N,가맹점정보!R$4)</f>
        <v>1</v>
      </c>
      <c r="S500" s="82" t="n">
        <v>55000</v>
      </c>
      <c r="T500" s="83" t="n">
        <v>0</v>
      </c>
      <c r="U500" s="80" t="n">
        <f aca="false">SUM(S500:T500)</f>
        <v>55000</v>
      </c>
      <c r="V500" s="84" t="s">
        <v>12</v>
      </c>
      <c r="W500" s="80" t="e">
        <f aca="true">
IF(D500="폐업","폐업",
IF(V500="면제","면제",
IF(AND(V500="정상",COUNTIFS(OFFSET(Y500,0,COUNTA(Y500:AV500)-1,1,-4),"미납")&gt;=3),"장기미납",
IF(AND(V500="정상",OFFSET(Y500,0,COUNTA(Y500:AV500)-1)&gt;=U500),"정상",
IF(AND(V500="정상",OFFSET(Y500,0,COUNTA(Y500:AV500)-1)=0),"정상",
"계약서 미작성")))))</f>
        <v>#VALUE!</v>
      </c>
      <c r="X500" s="81" t="str">
        <f aca="true">
IF(D500="폐업","폐업",
IF(AND(V500="정상",OFFSET(Y500,0,COUNTA(Y500:AV500)-1)="미납"),"미납",
IF(AND(V500="정상",OFFSET(Y500,0,COUNTA(Y500:AV500)-1)=0),"납부 시작 전",
IF(AND(V500="정상",OFFSET(Y500,0,COUNTA(Y500:AV500)-1)&gt;=U500),"정상",
IF(AND(V500="면제",OFFSET(Y500,0,COUNTA(Y500:AV500)-1)="면제"),"면제",
IF(AND(V500="면제",OFFSET(Y500,0,COUNTA(Y500:AV500)-1)=0),"면제",
"확인요청"))))))</f>
        <v>정상</v>
      </c>
      <c r="Y500" s="93" t="n">
        <v>55000</v>
      </c>
      <c r="Z500" s="90" t="n">
        <v>55000</v>
      </c>
      <c r="AA500" s="90" t="n">
        <v>55000</v>
      </c>
      <c r="AB500" s="90" t="n">
        <v>55000</v>
      </c>
      <c r="AC500" s="90" t="n">
        <v>55000</v>
      </c>
      <c r="AD500" s="90" t="n">
        <v>55000</v>
      </c>
      <c r="AE500" s="90" t="n">
        <v>55000</v>
      </c>
      <c r="AF500" s="90" t="n">
        <v>55000</v>
      </c>
      <c r="AG500" s="90" t="n">
        <v>55000</v>
      </c>
      <c r="AH500" s="90" t="n">
        <v>55000</v>
      </c>
      <c r="AI500" s="90" t="n">
        <v>55000</v>
      </c>
      <c r="AJ500" s="91" t="n">
        <v>55000</v>
      </c>
      <c r="AK500" s="89" t="n">
        <v>55000</v>
      </c>
      <c r="AL500" s="90" t="n">
        <v>55000</v>
      </c>
      <c r="AM500" s="90"/>
      <c r="AN500" s="90"/>
      <c r="AO500" s="90"/>
      <c r="AP500" s="90"/>
      <c r="AQ500" s="90"/>
      <c r="AR500" s="90"/>
      <c r="AS500" s="90"/>
      <c r="AT500" s="90"/>
      <c r="AU500" s="90"/>
      <c r="AV500" s="91"/>
      <c r="AX500" s="92"/>
    </row>
    <row r="501" customFormat="false" ht="15.65" hidden="false" customHeight="false" outlineLevel="0" collapsed="false">
      <c r="C501" s="72" t="n">
        <f aca="false">COUNTIFS($D$6:D501,"&lt;&gt;"&amp;"")</f>
        <v>496</v>
      </c>
      <c r="D501" s="73" t="s">
        <v>12</v>
      </c>
      <c r="E501" s="76" t="str">
        <f aca="false">
IF($D501="정상",INDEX(임대자산!$D$3:$R$3000,MATCH($F501,임대자산!$I$3:$I$3000,0),MATCH(E$3,임대자산!$D$3:$R$3,0)),
IF($D501="폐업",INDEX(폐업정보!$D$3:$R$3000,MATCH($F501,폐업정보!$I$3:$I$3000,0),MATCH(E$3,폐업정보!$D$3:$R$3,0)),
"Error"))</f>
        <v>강원</v>
      </c>
      <c r="F50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B0496</v>
      </c>
      <c r="G501" s="76" t="str">
        <f aca="false">F501&amp;RANDBETWEEN(0,10)</f>
        <v>B04963</v>
      </c>
      <c r="H501" s="75" t="n">
        <f aca="false">
IF($D501="정상",INDEX(임대자산!$D$3:$R$3000,MATCH($F501,임대자산!$I$3:$I$3000,0),MATCH(H$4,임대자산!$D$3:$R$3,0)),
IF($D501="폐업",INDEX(폐업정보!$D$3:$R$3000,MATCH($F501,폐업정보!$I$3:$I$3000,0),MATCH(H$4,폐업정보!$D$3:$R$3,0)),
"Error"))</f>
        <v>45868</v>
      </c>
      <c r="I501" s="75" t="str">
        <f aca="false">
IF($D501="정상",INDEX(임대자산!$D$3:$R$3000,MATCH($F501,임대자산!$I$3:$I$3000,0),MATCH(I$4,임대자산!$D$3:$R$3,0)),
IF($D501="폐업",INDEX(폐업정보!$D$3:$R$3000,MATCH($F501,폐업정보!$I$3:$I$3000,0),MATCH(I$4,폐업정보!$D$3:$R$3,0)),
"Error"))</f>
        <v>A0496</v>
      </c>
      <c r="J501" s="75" t="str">
        <f aca="false">
IF($D501="정상",INDEX(임대자산!$D$3:$R$3000,MATCH($F501,임대자산!$I$3:$I$3000,0),MATCH(J$4,임대자산!$D$3:$R$3,0)),
IF($D501="폐업",INDEX(폐업정보!$D$3:$R$3000,MATCH($F501,폐업정보!$I$3:$I$3000,0),MATCH(J$4,폐업정보!$D$3:$R$3,0)),
"Error"))</f>
        <v>9494700000</v>
      </c>
      <c r="K501" s="75" t="str">
        <f aca="false">
IF($D501="정상",INDEX(임대자산!$D$3:$R$3000,MATCH($F501,임대자산!$I$3:$I$3000,0),MATCH(K$4,임대자산!$D$3:$R$3,0)),
IF($D501="폐업",INDEX(폐업정보!$D$3:$R$3000,MATCH($F501,폐업정보!$I$3:$I$3000,0),MATCH(K$4,폐업정보!$D$3:$R$3,0)),
"Error"))</f>
        <v>C0496</v>
      </c>
      <c r="L501" s="75" t="str">
        <f aca="false">
IF($D501="정상",INDEX(임대자산!$D$3:$R$3000,MATCH($F501,임대자산!$I$3:$I$3000,0),MATCH(L$4,임대자산!$D$3:$R$3,0)),
IF($D501="폐업",INDEX(폐업정보!$D$3:$R$3000,MATCH($F501,폐업정보!$I$3:$I$3000,0),MATCH(L$4,폐업정보!$D$3:$R$3,0)),
"Error"))</f>
        <v>D0496</v>
      </c>
      <c r="M501" s="76" t="s">
        <v>96</v>
      </c>
      <c r="N501" s="77"/>
      <c r="O501" s="78" t="s">
        <v>97</v>
      </c>
      <c r="P501" s="79" t="n">
        <f aca="false">COUNTIFS(임대자산!$I:$I,가맹점정보!F501,임대자산!$N:$N,가맹점정보!P$4)</f>
        <v>0</v>
      </c>
      <c r="Q501" s="80" t="n">
        <f aca="false">COUNTIFS(임대자산!$I:$I,가맹점정보!F501,임대자산!$N:$N,가맹점정보!Q$4)</f>
        <v>0</v>
      </c>
      <c r="R501" s="81" t="n">
        <f aca="false">COUNTIFS(임대자산!$I:$I,가맹점정보!F501,임대자산!$N:$N,가맹점정보!R$4)</f>
        <v>1</v>
      </c>
      <c r="S501" s="82" t="n">
        <v>55000</v>
      </c>
      <c r="T501" s="83" t="n">
        <v>0</v>
      </c>
      <c r="U501" s="80" t="n">
        <f aca="false">SUM(S501:T501)</f>
        <v>55000</v>
      </c>
      <c r="V501" s="84" t="s">
        <v>12</v>
      </c>
      <c r="W501" s="80" t="e">
        <f aca="true">
IF(D501="폐업","폐업",
IF(V501="면제","면제",
IF(AND(V501="정상",COUNTIFS(OFFSET(Y501,0,COUNTA(Y501:AV501)-1,1,-4),"미납")&gt;=3),"장기미납",
IF(AND(V501="정상",OFFSET(Y501,0,COUNTA(Y501:AV501)-1)&gt;=U501),"정상",
IF(AND(V501="정상",OFFSET(Y501,0,COUNTA(Y501:AV501)-1)=0),"정상",
"계약서 미작성")))))</f>
        <v>#VALUE!</v>
      </c>
      <c r="X501" s="81" t="str">
        <f aca="true">
IF(D501="폐업","폐업",
IF(AND(V501="정상",OFFSET(Y501,0,COUNTA(Y501:AV501)-1)="미납"),"미납",
IF(AND(V501="정상",OFFSET(Y501,0,COUNTA(Y501:AV501)-1)=0),"납부 시작 전",
IF(AND(V501="정상",OFFSET(Y501,0,COUNTA(Y501:AV501)-1)&gt;=U501),"정상",
IF(AND(V501="면제",OFFSET(Y501,0,COUNTA(Y501:AV501)-1)="면제"),"면제",
IF(AND(V501="면제",OFFSET(Y501,0,COUNTA(Y501:AV501)-1)=0),"면제",
"확인요청"))))))</f>
        <v>정상</v>
      </c>
      <c r="Y501" s="93" t="n">
        <v>55000</v>
      </c>
      <c r="Z501" s="90" t="n">
        <v>55000</v>
      </c>
      <c r="AA501" s="90" t="n">
        <v>55000</v>
      </c>
      <c r="AB501" s="90" t="n">
        <v>55000</v>
      </c>
      <c r="AC501" s="90" t="n">
        <v>55000</v>
      </c>
      <c r="AD501" s="90" t="n">
        <v>55000</v>
      </c>
      <c r="AE501" s="90" t="n">
        <v>55000</v>
      </c>
      <c r="AF501" s="90" t="n">
        <v>55000</v>
      </c>
      <c r="AG501" s="90" t="n">
        <v>55000</v>
      </c>
      <c r="AH501" s="90" t="n">
        <v>55000</v>
      </c>
      <c r="AI501" s="90" t="n">
        <v>55000</v>
      </c>
      <c r="AJ501" s="91" t="n">
        <v>55000</v>
      </c>
      <c r="AK501" s="89" t="n">
        <v>55000</v>
      </c>
      <c r="AL501" s="90" t="n">
        <v>55000</v>
      </c>
      <c r="AM501" s="90"/>
      <c r="AN501" s="90"/>
      <c r="AO501" s="90"/>
      <c r="AP501" s="90"/>
      <c r="AQ501" s="90"/>
      <c r="AR501" s="90"/>
      <c r="AS501" s="90"/>
      <c r="AT501" s="90"/>
      <c r="AU501" s="90"/>
      <c r="AV501" s="91"/>
      <c r="AX501" s="92"/>
    </row>
    <row r="502" customFormat="false" ht="15.65" hidden="false" customHeight="false" outlineLevel="0" collapsed="false">
      <c r="C502" s="72" t="n">
        <f aca="false">COUNTIFS($D$6:D502,"&lt;&gt;"&amp;"")</f>
        <v>497</v>
      </c>
      <c r="D502" s="73" t="s">
        <v>12</v>
      </c>
      <c r="E502" s="76" t="str">
        <f aca="false">
IF($D502="정상",INDEX(임대자산!$D$3:$R$3000,MATCH($F502,임대자산!$I$3:$I$3000,0),MATCH(E$3,임대자산!$D$3:$R$3,0)),
IF($D502="폐업",INDEX(폐업정보!$D$3:$R$3000,MATCH($F502,폐업정보!$I$3:$I$3000,0),MATCH(E$3,폐업정보!$D$3:$R$3,0)),
"Error"))</f>
        <v>전라</v>
      </c>
      <c r="F50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B0497</v>
      </c>
      <c r="G502" s="76" t="str">
        <f aca="false">F502&amp;RANDBETWEEN(0,10)</f>
        <v>B04972</v>
      </c>
      <c r="H502" s="75" t="n">
        <f aca="false">
IF($D502="정상",INDEX(임대자산!$D$3:$R$3000,MATCH($F502,임대자산!$I$3:$I$3000,0),MATCH(H$4,임대자산!$D$3:$R$3,0)),
IF($D502="폐업",INDEX(폐업정보!$D$3:$R$3000,MATCH($F502,폐업정보!$I$3:$I$3000,0),MATCH(H$4,폐업정보!$D$3:$R$3,0)),
"Error"))</f>
        <v>45863</v>
      </c>
      <c r="I502" s="75" t="str">
        <f aca="false">
IF($D502="정상",INDEX(임대자산!$D$3:$R$3000,MATCH($F502,임대자산!$I$3:$I$3000,0),MATCH(I$4,임대자산!$D$3:$R$3,0)),
IF($D502="폐업",INDEX(폐업정보!$D$3:$R$3000,MATCH($F502,폐업정보!$I$3:$I$3000,0),MATCH(I$4,폐업정보!$D$3:$R$3,0)),
"Error"))</f>
        <v>A0497</v>
      </c>
      <c r="J502" s="75" t="str">
        <f aca="false">
IF($D502="정상",INDEX(임대자산!$D$3:$R$3000,MATCH($F502,임대자산!$I$3:$I$3000,0),MATCH(J$4,임대자산!$D$3:$R$3,0)),
IF($D502="폐업",INDEX(폐업정보!$D$3:$R$3000,MATCH($F502,폐업정보!$I$3:$I$3000,0),MATCH(J$4,폐업정보!$D$3:$R$3,0)),
"Error"))</f>
        <v>8487400000</v>
      </c>
      <c r="K502" s="75" t="str">
        <f aca="false">
IF($D502="정상",INDEX(임대자산!$D$3:$R$3000,MATCH($F502,임대자산!$I$3:$I$3000,0),MATCH(K$4,임대자산!$D$3:$R$3,0)),
IF($D502="폐업",INDEX(폐업정보!$D$3:$R$3000,MATCH($F502,폐업정보!$I$3:$I$3000,0),MATCH(K$4,폐업정보!$D$3:$R$3,0)),
"Error"))</f>
        <v>C0497</v>
      </c>
      <c r="L502" s="75" t="str">
        <f aca="false">
IF($D502="정상",INDEX(임대자산!$D$3:$R$3000,MATCH($F502,임대자산!$I$3:$I$3000,0),MATCH(L$4,임대자산!$D$3:$R$3,0)),
IF($D502="폐업",INDEX(폐업정보!$D$3:$R$3000,MATCH($F502,폐업정보!$I$3:$I$3000,0),MATCH(L$4,폐업정보!$D$3:$R$3,0)),
"Error"))</f>
        <v>D0497</v>
      </c>
      <c r="M502" s="76" t="s">
        <v>96</v>
      </c>
      <c r="N502" s="77"/>
      <c r="O502" s="78" t="s">
        <v>97</v>
      </c>
      <c r="P502" s="79" t="n">
        <f aca="false">COUNTIFS(임대자산!$I:$I,가맹점정보!F502,임대자산!$N:$N,가맹점정보!P$4)</f>
        <v>0</v>
      </c>
      <c r="Q502" s="80" t="n">
        <f aca="false">COUNTIFS(임대자산!$I:$I,가맹점정보!F502,임대자산!$N:$N,가맹점정보!Q$4)</f>
        <v>0</v>
      </c>
      <c r="R502" s="81" t="n">
        <f aca="false">COUNTIFS(임대자산!$I:$I,가맹점정보!F502,임대자산!$N:$N,가맹점정보!R$4)</f>
        <v>1</v>
      </c>
      <c r="S502" s="82" t="n">
        <v>110000</v>
      </c>
      <c r="T502" s="83" t="n">
        <v>0</v>
      </c>
      <c r="U502" s="80" t="n">
        <f aca="false">SUM(S502:T502)</f>
        <v>110000</v>
      </c>
      <c r="V502" s="84" t="s">
        <v>12</v>
      </c>
      <c r="W502" s="80" t="e">
        <f aca="true">
IF(D502="폐업","폐업",
IF(V502="면제","면제",
IF(AND(V502="정상",COUNTIFS(OFFSET(Y502,0,COUNTA(Y502:AV502)-1,1,-4),"미납")&gt;=3),"장기미납",
IF(AND(V502="정상",OFFSET(Y502,0,COUNTA(Y502:AV502)-1)&gt;=U502),"정상",
IF(AND(V502="정상",OFFSET(Y502,0,COUNTA(Y502:AV502)-1)=0),"정상",
"계약서 미작성")))))</f>
        <v>#VALUE!</v>
      </c>
      <c r="X502" s="81" t="str">
        <f aca="true">
IF(D502="폐업","폐업",
IF(AND(V502="정상",OFFSET(Y502,0,COUNTA(Y502:AV502)-1)="미납"),"미납",
IF(AND(V502="정상",OFFSET(Y502,0,COUNTA(Y502:AV502)-1)=0),"납부 시작 전",
IF(AND(V502="정상",OFFSET(Y502,0,COUNTA(Y502:AV502)-1)&gt;=U502),"정상",
IF(AND(V502="면제",OFFSET(Y502,0,COUNTA(Y502:AV502)-1)="면제"),"면제",
IF(AND(V502="면제",OFFSET(Y502,0,COUNTA(Y502:AV502)-1)=0),"면제",
"확인요청"))))))</f>
        <v>정상</v>
      </c>
      <c r="Y502" s="93" t="n">
        <v>110000</v>
      </c>
      <c r="Z502" s="90" t="n">
        <v>110000</v>
      </c>
      <c r="AA502" s="90" t="n">
        <v>110000</v>
      </c>
      <c r="AB502" s="90" t="n">
        <v>110000</v>
      </c>
      <c r="AC502" s="90" t="n">
        <v>110000</v>
      </c>
      <c r="AD502" s="90" t="n">
        <v>110000</v>
      </c>
      <c r="AE502" s="90" t="n">
        <v>110000</v>
      </c>
      <c r="AF502" s="90" t="n">
        <v>110000</v>
      </c>
      <c r="AG502" s="90" t="n">
        <v>110000</v>
      </c>
      <c r="AH502" s="90" t="n">
        <v>110000</v>
      </c>
      <c r="AI502" s="90" t="n">
        <v>110000</v>
      </c>
      <c r="AJ502" s="91" t="n">
        <v>110000</v>
      </c>
      <c r="AK502" s="89" t="n">
        <v>110000</v>
      </c>
      <c r="AL502" s="90" t="n">
        <v>110000</v>
      </c>
      <c r="AM502" s="90"/>
      <c r="AN502" s="90"/>
      <c r="AO502" s="90"/>
      <c r="AP502" s="90"/>
      <c r="AQ502" s="90"/>
      <c r="AR502" s="90"/>
      <c r="AS502" s="90"/>
      <c r="AT502" s="90"/>
      <c r="AU502" s="90"/>
      <c r="AV502" s="91"/>
      <c r="AX502" s="92"/>
    </row>
    <row r="503" customFormat="false" ht="15.65" hidden="false" customHeight="false" outlineLevel="0" collapsed="false">
      <c r="C503" s="72" t="n">
        <f aca="false">COUNTIFS($D$6:D503,"&lt;&gt;"&amp;"")</f>
        <v>498</v>
      </c>
      <c r="D503" s="73" t="s">
        <v>12</v>
      </c>
      <c r="E503" s="76" t="str">
        <f aca="false">
IF($D503="정상",INDEX(임대자산!$D$3:$R$3000,MATCH($F503,임대자산!$I$3:$I$3000,0),MATCH(E$3,임대자산!$D$3:$R$3,0)),
IF($D503="폐업",INDEX(폐업정보!$D$3:$R$3000,MATCH($F503,폐업정보!$I$3:$I$3000,0),MATCH(E$3,폐업정보!$D$3:$R$3,0)),
"Error"))</f>
        <v>경상</v>
      </c>
      <c r="F50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B0498</v>
      </c>
      <c r="G503" s="76" t="str">
        <f aca="false">F503&amp;RANDBETWEEN(0,10)</f>
        <v>B049810</v>
      </c>
      <c r="H503" s="75" t="n">
        <f aca="false">
IF($D503="정상",INDEX(임대자산!$D$3:$R$3000,MATCH($F503,임대자산!$I$3:$I$3000,0),MATCH(H$4,임대자산!$D$3:$R$3,0)),
IF($D503="폐업",INDEX(폐업정보!$D$3:$R$3000,MATCH($F503,폐업정보!$I$3:$I$3000,0),MATCH(H$4,폐업정보!$D$3:$R$3,0)),
"Error"))</f>
        <v>45866</v>
      </c>
      <c r="I503" s="75" t="str">
        <f aca="false">
IF($D503="정상",INDEX(임대자산!$D$3:$R$3000,MATCH($F503,임대자산!$I$3:$I$3000,0),MATCH(I$4,임대자산!$D$3:$R$3,0)),
IF($D503="폐업",INDEX(폐업정보!$D$3:$R$3000,MATCH($F503,폐업정보!$I$3:$I$3000,0),MATCH(I$4,폐업정보!$D$3:$R$3,0)),
"Error"))</f>
        <v>A0498</v>
      </c>
      <c r="J503" s="75" t="str">
        <f aca="false">
IF($D503="정상",INDEX(임대자산!$D$3:$R$3000,MATCH($F503,임대자산!$I$3:$I$3000,0),MATCH(J$4,임대자산!$D$3:$R$3,0)),
IF($D503="폐업",INDEX(폐업정보!$D$3:$R$3000,MATCH($F503,폐업정보!$I$3:$I$3000,0),MATCH(J$4,폐업정보!$D$3:$R$3,0)),
"Error"))</f>
        <v>3446100000</v>
      </c>
      <c r="K503" s="75" t="str">
        <f aca="false">
IF($D503="정상",INDEX(임대자산!$D$3:$R$3000,MATCH($F503,임대자산!$I$3:$I$3000,0),MATCH(K$4,임대자산!$D$3:$R$3,0)),
IF($D503="폐업",INDEX(폐업정보!$D$3:$R$3000,MATCH($F503,폐업정보!$I$3:$I$3000,0),MATCH(K$4,폐업정보!$D$3:$R$3,0)),
"Error"))</f>
        <v>C0498</v>
      </c>
      <c r="L503" s="75" t="str">
        <f aca="false">
IF($D503="정상",INDEX(임대자산!$D$3:$R$3000,MATCH($F503,임대자산!$I$3:$I$3000,0),MATCH(L$4,임대자산!$D$3:$R$3,0)),
IF($D503="폐업",INDEX(폐업정보!$D$3:$R$3000,MATCH($F503,폐업정보!$I$3:$I$3000,0),MATCH(L$4,폐업정보!$D$3:$R$3,0)),
"Error"))</f>
        <v>D0498</v>
      </c>
      <c r="M503" s="76" t="s">
        <v>96</v>
      </c>
      <c r="N503" s="77"/>
      <c r="O503" s="78" t="s">
        <v>97</v>
      </c>
      <c r="P503" s="79" t="n">
        <f aca="false">COUNTIFS(임대자산!$I:$I,가맹점정보!F503,임대자산!$N:$N,가맹점정보!P$4)</f>
        <v>0</v>
      </c>
      <c r="Q503" s="80" t="n">
        <f aca="false">COUNTIFS(임대자산!$I:$I,가맹점정보!F503,임대자산!$N:$N,가맹점정보!Q$4)</f>
        <v>0</v>
      </c>
      <c r="R503" s="81" t="n">
        <f aca="false">COUNTIFS(임대자산!$I:$I,가맹점정보!F503,임대자산!$N:$N,가맹점정보!R$4)</f>
        <v>1</v>
      </c>
      <c r="S503" s="82" t="n">
        <v>55000</v>
      </c>
      <c r="T503" s="83" t="n">
        <v>0</v>
      </c>
      <c r="U503" s="80" t="n">
        <f aca="false">SUM(S503:T503)</f>
        <v>55000</v>
      </c>
      <c r="V503" s="84" t="s">
        <v>7</v>
      </c>
      <c r="W503" s="80" t="str">
        <f aca="true">
IF(D503="폐업","폐업",
IF(V503="면제","면제",
IF(AND(V503="정상",COUNTIFS(OFFSET(Y503,0,COUNTA(Y503:AV503)-1,1,-4),"미납")&gt;=3),"장기미납",
IF(AND(V503="정상",OFFSET(Y503,0,COUNTA(Y503:AV503)-1)&gt;=U503),"정상",
IF(AND(V503="정상",OFFSET(Y503,0,COUNTA(Y503:AV503)-1)=0),"정상",
"계약서 미작성")))))</f>
        <v>면제</v>
      </c>
      <c r="X503" s="81" t="str">
        <f aca="true">
IF(D503="폐업","폐업",
IF(AND(V503="정상",OFFSET(Y503,0,COUNTA(Y503:AV503)-1)="미납"),"미납",
IF(AND(V503="정상",OFFSET(Y503,0,COUNTA(Y503:AV503)-1)=0),"납부 시작 전",
IF(AND(V503="정상",OFFSET(Y503,0,COUNTA(Y503:AV503)-1)&gt;=U503),"정상",
IF(AND(V503="면제",OFFSET(Y503,0,COUNTA(Y503:AV503)-1)="면제"),"면제",
IF(AND(V503="면제",OFFSET(Y503,0,COUNTA(Y503:AV503)-1)=0),"면제",
"확인요청"))))))</f>
        <v>면제</v>
      </c>
      <c r="Y503" s="94" t="s">
        <v>7</v>
      </c>
      <c r="Z503" s="95" t="s">
        <v>7</v>
      </c>
      <c r="AA503" s="95" t="s">
        <v>7</v>
      </c>
      <c r="AB503" s="95" t="s">
        <v>7</v>
      </c>
      <c r="AC503" s="95" t="s">
        <v>7</v>
      </c>
      <c r="AD503" s="95" t="s">
        <v>7</v>
      </c>
      <c r="AE503" s="95" t="s">
        <v>7</v>
      </c>
      <c r="AF503" s="95" t="s">
        <v>7</v>
      </c>
      <c r="AG503" s="95" t="s">
        <v>7</v>
      </c>
      <c r="AH503" s="95" t="s">
        <v>7</v>
      </c>
      <c r="AI503" s="95" t="s">
        <v>7</v>
      </c>
      <c r="AJ503" s="96" t="s">
        <v>7</v>
      </c>
      <c r="AK503" s="97" t="s">
        <v>7</v>
      </c>
      <c r="AL503" s="95" t="s">
        <v>7</v>
      </c>
      <c r="AM503" s="90"/>
      <c r="AN503" s="90"/>
      <c r="AO503" s="90"/>
      <c r="AP503" s="90"/>
      <c r="AQ503" s="90"/>
      <c r="AR503" s="90"/>
      <c r="AS503" s="90"/>
      <c r="AT503" s="90"/>
      <c r="AU503" s="90"/>
      <c r="AV503" s="91"/>
      <c r="AX503" s="92"/>
    </row>
    <row r="504" customFormat="false" ht="15.65" hidden="false" customHeight="false" outlineLevel="0" collapsed="false">
      <c r="C504" s="72" t="n">
        <f aca="false">COUNTIFS($D$6:D504,"&lt;&gt;"&amp;"")</f>
        <v>499</v>
      </c>
      <c r="D504" s="73" t="s">
        <v>12</v>
      </c>
      <c r="E504" s="76" t="str">
        <f aca="false">
IF($D504="정상",INDEX(임대자산!$D$3:$R$3000,MATCH($F504,임대자산!$I$3:$I$3000,0),MATCH(E$3,임대자산!$D$3:$R$3,0)),
IF($D504="폐업",INDEX(폐업정보!$D$3:$R$3000,MATCH($F504,폐업정보!$I$3:$I$3000,0),MATCH(E$3,폐업정보!$D$3:$R$3,0)),
"Error"))</f>
        <v>서울</v>
      </c>
      <c r="F50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B0499</v>
      </c>
      <c r="G504" s="76" t="str">
        <f aca="false">F504&amp;RANDBETWEEN(0,10)</f>
        <v>B04994</v>
      </c>
      <c r="H504" s="75" t="n">
        <f aca="false">
IF($D504="정상",INDEX(임대자산!$D$3:$R$3000,MATCH($F504,임대자산!$I$3:$I$3000,0),MATCH(H$4,임대자산!$D$3:$R$3,0)),
IF($D504="폐업",INDEX(폐업정보!$D$3:$R$3000,MATCH($F504,폐업정보!$I$3:$I$3000,0),MATCH(H$4,폐업정보!$D$3:$R$3,0)),
"Error"))</f>
        <v>45341</v>
      </c>
      <c r="I504" s="75" t="str">
        <f aca="false">
IF($D504="정상",INDEX(임대자산!$D$3:$R$3000,MATCH($F504,임대자산!$I$3:$I$3000,0),MATCH(I$4,임대자산!$D$3:$R$3,0)),
IF($D504="폐업",INDEX(폐업정보!$D$3:$R$3000,MATCH($F504,폐업정보!$I$3:$I$3000,0),MATCH(I$4,폐업정보!$D$3:$R$3,0)),
"Error"))</f>
        <v>A0499</v>
      </c>
      <c r="J504" s="75" t="str">
        <f aca="false">
IF($D504="정상",INDEX(임대자산!$D$3:$R$3000,MATCH($F504,임대자산!$I$3:$I$3000,0),MATCH(J$4,임대자산!$D$3:$R$3,0)),
IF($D504="폐업",INDEX(폐업정보!$D$3:$R$3000,MATCH($F504,폐업정보!$I$3:$I$3000,0),MATCH(J$4,폐업정보!$D$3:$R$3,0)),
"Error"))</f>
        <v>9410100000</v>
      </c>
      <c r="K504" s="75" t="str">
        <f aca="false">
IF($D504="정상",INDEX(임대자산!$D$3:$R$3000,MATCH($F504,임대자산!$I$3:$I$3000,0),MATCH(K$4,임대자산!$D$3:$R$3,0)),
IF($D504="폐업",INDEX(폐업정보!$D$3:$R$3000,MATCH($F504,폐업정보!$I$3:$I$3000,0),MATCH(K$4,폐업정보!$D$3:$R$3,0)),
"Error"))</f>
        <v>C0499</v>
      </c>
      <c r="L504" s="75" t="str">
        <f aca="false">
IF($D504="정상",INDEX(임대자산!$D$3:$R$3000,MATCH($F504,임대자산!$I$3:$I$3000,0),MATCH(L$4,임대자산!$D$3:$R$3,0)),
IF($D504="폐업",INDEX(폐업정보!$D$3:$R$3000,MATCH($F504,폐업정보!$I$3:$I$3000,0),MATCH(L$4,폐업정보!$D$3:$R$3,0)),
"Error"))</f>
        <v>D0499</v>
      </c>
      <c r="M504" s="76" t="s">
        <v>96</v>
      </c>
      <c r="N504" s="77"/>
      <c r="O504" s="78" t="s">
        <v>97</v>
      </c>
      <c r="P504" s="79" t="n">
        <f aca="false">COUNTIFS(임대자산!$I:$I,가맹점정보!F504,임대자산!$N:$N,가맹점정보!P$4)</f>
        <v>0</v>
      </c>
      <c r="Q504" s="80" t="n">
        <f aca="false">COUNTIFS(임대자산!$I:$I,가맹점정보!F504,임대자산!$N:$N,가맹점정보!Q$4)</f>
        <v>0</v>
      </c>
      <c r="R504" s="81" t="n">
        <f aca="false">COUNTIFS(임대자산!$I:$I,가맹점정보!F504,임대자산!$N:$N,가맹점정보!R$4)</f>
        <v>1</v>
      </c>
      <c r="S504" s="82" t="n">
        <v>55000</v>
      </c>
      <c r="T504" s="83" t="n">
        <v>0</v>
      </c>
      <c r="U504" s="80" t="n">
        <f aca="false">SUM(S504:T504)</f>
        <v>55000</v>
      </c>
      <c r="V504" s="84" t="s">
        <v>12</v>
      </c>
      <c r="W504" s="80" t="e">
        <f aca="true">
IF(D504="폐업","폐업",
IF(V504="면제","면제",
IF(AND(V504="정상",COUNTIFS(OFFSET(Y504,0,COUNTA(Y504:AV504)-1,1,-4),"미납")&gt;=3),"장기미납",
IF(AND(V504="정상",OFFSET(Y504,0,COUNTA(Y504:AV504)-1)&gt;=U504),"정상",
IF(AND(V504="정상",OFFSET(Y504,0,COUNTA(Y504:AV504)-1)=0),"정상",
"계약서 미작성")))))</f>
        <v>#VALUE!</v>
      </c>
      <c r="X504" s="81" t="str">
        <f aca="true">
IF(D504="폐업","폐업",
IF(AND(V504="정상",OFFSET(Y504,0,COUNTA(Y504:AV504)-1)="미납"),"미납",
IF(AND(V504="정상",OFFSET(Y504,0,COUNTA(Y504:AV504)-1)=0),"납부 시작 전",
IF(AND(V504="정상",OFFSET(Y504,0,COUNTA(Y504:AV504)-1)&gt;=U504),"정상",
IF(AND(V504="면제",OFFSET(Y504,0,COUNTA(Y504:AV504)-1)="면제"),"면제",
IF(AND(V504="면제",OFFSET(Y504,0,COUNTA(Y504:AV504)-1)=0),"면제",
"확인요청"))))))</f>
        <v>정상</v>
      </c>
      <c r="Y504" s="93" t="n">
        <v>55000</v>
      </c>
      <c r="Z504" s="90" t="n">
        <v>55000</v>
      </c>
      <c r="AA504" s="90" t="n">
        <v>55000</v>
      </c>
      <c r="AB504" s="90" t="n">
        <v>55000</v>
      </c>
      <c r="AC504" s="90" t="n">
        <v>55000</v>
      </c>
      <c r="AD504" s="90" t="n">
        <v>55000</v>
      </c>
      <c r="AE504" s="90" t="n">
        <v>55000</v>
      </c>
      <c r="AF504" s="90" t="n">
        <v>55000</v>
      </c>
      <c r="AG504" s="90" t="n">
        <v>55000</v>
      </c>
      <c r="AH504" s="90" t="n">
        <v>55000</v>
      </c>
      <c r="AI504" s="90" t="n">
        <v>55000</v>
      </c>
      <c r="AJ504" s="91" t="n">
        <v>55000</v>
      </c>
      <c r="AK504" s="89" t="n">
        <v>55000</v>
      </c>
      <c r="AL504" s="90" t="n">
        <v>55000</v>
      </c>
      <c r="AM504" s="90"/>
      <c r="AN504" s="90"/>
      <c r="AO504" s="90"/>
      <c r="AP504" s="90"/>
      <c r="AQ504" s="90"/>
      <c r="AR504" s="90"/>
      <c r="AS504" s="90"/>
      <c r="AT504" s="90"/>
      <c r="AU504" s="90"/>
      <c r="AV504" s="91"/>
      <c r="AX504" s="92"/>
    </row>
    <row r="505" customFormat="false" ht="15.65" hidden="false" customHeight="false" outlineLevel="0" collapsed="false">
      <c r="C505" s="72" t="n">
        <f aca="false">COUNTIFS($D$6:D505,"&lt;&gt;"&amp;"")</f>
        <v>500</v>
      </c>
      <c r="D505" s="73" t="s">
        <v>12</v>
      </c>
      <c r="E505" s="76" t="str">
        <f aca="false">
IF($D505="정상",INDEX(임대자산!$D$3:$R$3000,MATCH($F505,임대자산!$I$3:$I$3000,0),MATCH(E$3,임대자산!$D$3:$R$3,0)),
IF($D505="폐업",INDEX(폐업정보!$D$3:$R$3000,MATCH($F505,폐업정보!$I$3:$I$3000,0),MATCH(E$3,폐업정보!$D$3:$R$3,0)),
"Error"))</f>
        <v>서울</v>
      </c>
      <c r="F50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B0500</v>
      </c>
      <c r="G505" s="76" t="str">
        <f aca="false">F505&amp;RANDBETWEEN(0,10)</f>
        <v>B05004</v>
      </c>
      <c r="H505" s="75" t="n">
        <f aca="false">
IF($D505="정상",INDEX(임대자산!$D$3:$R$3000,MATCH($F505,임대자산!$I$3:$I$3000,0),MATCH(H$4,임대자산!$D$3:$R$3,0)),
IF($D505="폐업",INDEX(폐업정보!$D$3:$R$3000,MATCH($F505,폐업정보!$I$3:$I$3000,0),MATCH(H$4,폐업정보!$D$3:$R$3,0)),
"Error"))</f>
        <v>45714</v>
      </c>
      <c r="I505" s="75" t="str">
        <f aca="false">
IF($D505="정상",INDEX(임대자산!$D$3:$R$3000,MATCH($F505,임대자산!$I$3:$I$3000,0),MATCH(I$4,임대자산!$D$3:$R$3,0)),
IF($D505="폐업",INDEX(폐업정보!$D$3:$R$3000,MATCH($F505,폐업정보!$I$3:$I$3000,0),MATCH(I$4,폐업정보!$D$3:$R$3,0)),
"Error"))</f>
        <v>A0500</v>
      </c>
      <c r="J505" s="75" t="str">
        <f aca="false">
IF($D505="정상",INDEX(임대자산!$D$3:$R$3000,MATCH($F505,임대자산!$I$3:$I$3000,0),MATCH(J$4,임대자산!$D$3:$R$3,0)),
IF($D505="폐업",INDEX(폐업정보!$D$3:$R$3000,MATCH($F505,폐업정보!$I$3:$I$3000,0),MATCH(J$4,폐업정보!$D$3:$R$3,0)),
"Error"))</f>
        <v>7107800000</v>
      </c>
      <c r="K505" s="75" t="str">
        <f aca="false">
IF($D505="정상",INDEX(임대자산!$D$3:$R$3000,MATCH($F505,임대자산!$I$3:$I$3000,0),MATCH(K$4,임대자산!$D$3:$R$3,0)),
IF($D505="폐업",INDEX(폐업정보!$D$3:$R$3000,MATCH($F505,폐업정보!$I$3:$I$3000,0),MATCH(K$4,폐업정보!$D$3:$R$3,0)),
"Error"))</f>
        <v>C0500</v>
      </c>
      <c r="L505" s="75" t="str">
        <f aca="false">
IF($D505="정상",INDEX(임대자산!$D$3:$R$3000,MATCH($F505,임대자산!$I$3:$I$3000,0),MATCH(L$4,임대자산!$D$3:$R$3,0)),
IF($D505="폐업",INDEX(폐업정보!$D$3:$R$3000,MATCH($F505,폐업정보!$I$3:$I$3000,0),MATCH(L$4,폐업정보!$D$3:$R$3,0)),
"Error"))</f>
        <v>D0500</v>
      </c>
      <c r="M505" s="76" t="s">
        <v>96</v>
      </c>
      <c r="N505" s="77"/>
      <c r="O505" s="78" t="s">
        <v>97</v>
      </c>
      <c r="P505" s="79" t="n">
        <f aca="false">COUNTIFS(임대자산!$I:$I,가맹점정보!F505,임대자산!$N:$N,가맹점정보!P$4)</f>
        <v>0</v>
      </c>
      <c r="Q505" s="80" t="n">
        <f aca="false">COUNTIFS(임대자산!$I:$I,가맹점정보!F505,임대자산!$N:$N,가맹점정보!Q$4)</f>
        <v>0</v>
      </c>
      <c r="R505" s="81" t="n">
        <f aca="false">COUNTIFS(임대자산!$I:$I,가맹점정보!F505,임대자산!$N:$N,가맹점정보!R$4)</f>
        <v>1</v>
      </c>
      <c r="S505" s="82" t="n">
        <v>55000</v>
      </c>
      <c r="T505" s="83" t="n">
        <v>0</v>
      </c>
      <c r="U505" s="80" t="n">
        <f aca="false">SUM(S505:T505)</f>
        <v>55000</v>
      </c>
      <c r="V505" s="84" t="s">
        <v>12</v>
      </c>
      <c r="W505" s="80" t="e">
        <f aca="true">
IF(D505="폐업","폐업",
IF(V505="면제","면제",
IF(AND(V505="정상",COUNTIFS(OFFSET(Y505,0,COUNTA(Y505:AV505)-1,1,-4),"미납")&gt;=3),"장기미납",
IF(AND(V505="정상",OFFSET(Y505,0,COUNTA(Y505:AV505)-1)&gt;=U505),"정상",
IF(AND(V505="정상",OFFSET(Y505,0,COUNTA(Y505:AV505)-1)=0),"정상",
"계약서 미작성")))))</f>
        <v>#VALUE!</v>
      </c>
      <c r="X505" s="81" t="str">
        <f aca="true">
IF(D505="폐업","폐업",
IF(AND(V505="정상",OFFSET(Y505,0,COUNTA(Y505:AV505)-1)="미납"),"미납",
IF(AND(V505="정상",OFFSET(Y505,0,COUNTA(Y505:AV505)-1)=0),"납부 시작 전",
IF(AND(V505="정상",OFFSET(Y505,0,COUNTA(Y505:AV505)-1)&gt;=U505),"정상",
IF(AND(V505="면제",OFFSET(Y505,0,COUNTA(Y505:AV505)-1)="면제"),"면제",
IF(AND(V505="면제",OFFSET(Y505,0,COUNTA(Y505:AV505)-1)=0),"면제",
"확인요청"))))))</f>
        <v>정상</v>
      </c>
      <c r="Y505" s="93" t="n">
        <v>55000</v>
      </c>
      <c r="Z505" s="90" t="n">
        <v>55000</v>
      </c>
      <c r="AA505" s="90" t="n">
        <v>55000</v>
      </c>
      <c r="AB505" s="90" t="n">
        <v>55000</v>
      </c>
      <c r="AC505" s="90" t="n">
        <v>55000</v>
      </c>
      <c r="AD505" s="90" t="n">
        <v>55000</v>
      </c>
      <c r="AE505" s="90" t="n">
        <v>55000</v>
      </c>
      <c r="AF505" s="90" t="n">
        <v>55000</v>
      </c>
      <c r="AG505" s="90" t="n">
        <v>55000</v>
      </c>
      <c r="AH505" s="90" t="n">
        <v>55000</v>
      </c>
      <c r="AI505" s="90" t="n">
        <v>55000</v>
      </c>
      <c r="AJ505" s="91" t="n">
        <v>55000</v>
      </c>
      <c r="AK505" s="89" t="n">
        <v>55000</v>
      </c>
      <c r="AL505" s="90" t="n">
        <v>55000</v>
      </c>
      <c r="AM505" s="90"/>
      <c r="AN505" s="90"/>
      <c r="AO505" s="90"/>
      <c r="AP505" s="90"/>
      <c r="AQ505" s="90"/>
      <c r="AR505" s="90"/>
      <c r="AS505" s="90"/>
      <c r="AT505" s="90"/>
      <c r="AU505" s="90"/>
      <c r="AV505" s="91"/>
      <c r="AX505" s="92"/>
    </row>
    <row r="506" customFormat="false" ht="15.65" hidden="false" customHeight="false" outlineLevel="0" collapsed="false">
      <c r="C506" s="72" t="n">
        <f aca="false">COUNTIFS($D$6:D506,"&lt;&gt;"&amp;"")</f>
        <v>501</v>
      </c>
      <c r="D506" s="73" t="s">
        <v>12</v>
      </c>
      <c r="E506" s="76" t="str">
        <f aca="false">
IF($D506="정상",INDEX(임대자산!$D$3:$R$3000,MATCH($F506,임대자산!$I$3:$I$3000,0),MATCH(E$3,임대자산!$D$3:$R$3,0)),
IF($D506="폐업",INDEX(폐업정보!$D$3:$R$3000,MATCH($F506,폐업정보!$I$3:$I$3000,0),MATCH(E$3,폐업정보!$D$3:$R$3,0)),
"Error"))</f>
        <v>서울</v>
      </c>
      <c r="F50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B0501</v>
      </c>
      <c r="G506" s="76" t="str">
        <f aca="false">F506&amp;RANDBETWEEN(0,10)</f>
        <v>B05015</v>
      </c>
      <c r="H506" s="75" t="n">
        <f aca="false">
IF($D506="정상",INDEX(임대자산!$D$3:$R$3000,MATCH($F506,임대자산!$I$3:$I$3000,0),MATCH(H$4,임대자산!$D$3:$R$3,0)),
IF($D506="폐업",INDEX(폐업정보!$D$3:$R$3000,MATCH($F506,폐업정보!$I$3:$I$3000,0),MATCH(H$4,폐업정보!$D$3:$R$3,0)),
"Error"))</f>
        <v>45393</v>
      </c>
      <c r="I506" s="75" t="str">
        <f aca="false">
IF($D506="정상",INDEX(임대자산!$D$3:$R$3000,MATCH($F506,임대자산!$I$3:$I$3000,0),MATCH(I$4,임대자산!$D$3:$R$3,0)),
IF($D506="폐업",INDEX(폐업정보!$D$3:$R$3000,MATCH($F506,폐업정보!$I$3:$I$3000,0),MATCH(I$4,폐업정보!$D$3:$R$3,0)),
"Error"))</f>
        <v>A0501</v>
      </c>
      <c r="J506" s="75" t="str">
        <f aca="false">
IF($D506="정상",INDEX(임대자산!$D$3:$R$3000,MATCH($F506,임대자산!$I$3:$I$3000,0),MATCH(J$4,임대자산!$D$3:$R$3,0)),
IF($D506="폐업",INDEX(폐업정보!$D$3:$R$3000,MATCH($F506,폐업정보!$I$3:$I$3000,0),MATCH(J$4,폐업정보!$D$3:$R$3,0)),
"Error"))</f>
        <v>3316500000</v>
      </c>
      <c r="K506" s="75" t="str">
        <f aca="false">
IF($D506="정상",INDEX(임대자산!$D$3:$R$3000,MATCH($F506,임대자산!$I$3:$I$3000,0),MATCH(K$4,임대자산!$D$3:$R$3,0)),
IF($D506="폐업",INDEX(폐업정보!$D$3:$R$3000,MATCH($F506,폐업정보!$I$3:$I$3000,0),MATCH(K$4,폐업정보!$D$3:$R$3,0)),
"Error"))</f>
        <v>C0501</v>
      </c>
      <c r="L506" s="75" t="str">
        <f aca="false">
IF($D506="정상",INDEX(임대자산!$D$3:$R$3000,MATCH($F506,임대자산!$I$3:$I$3000,0),MATCH(L$4,임대자산!$D$3:$R$3,0)),
IF($D506="폐업",INDEX(폐업정보!$D$3:$R$3000,MATCH($F506,폐업정보!$I$3:$I$3000,0),MATCH(L$4,폐업정보!$D$3:$R$3,0)),
"Error"))</f>
        <v>D0501</v>
      </c>
      <c r="M506" s="76" t="s">
        <v>96</v>
      </c>
      <c r="N506" s="77"/>
      <c r="O506" s="78" t="s">
        <v>97</v>
      </c>
      <c r="P506" s="79" t="n">
        <f aca="false">COUNTIFS(임대자산!$I:$I,가맹점정보!F506,임대자산!$N:$N,가맹점정보!P$4)</f>
        <v>0</v>
      </c>
      <c r="Q506" s="80" t="n">
        <f aca="false">COUNTIFS(임대자산!$I:$I,가맹점정보!F506,임대자산!$N:$N,가맹점정보!Q$4)</f>
        <v>0</v>
      </c>
      <c r="R506" s="81" t="n">
        <f aca="false">COUNTIFS(임대자산!$I:$I,가맹점정보!F506,임대자산!$N:$N,가맹점정보!R$4)</f>
        <v>1</v>
      </c>
      <c r="S506" s="82" t="n">
        <v>110000</v>
      </c>
      <c r="T506" s="83" t="n">
        <v>0</v>
      </c>
      <c r="U506" s="80" t="n">
        <f aca="false">SUM(S506:T506)</f>
        <v>110000</v>
      </c>
      <c r="V506" s="84" t="s">
        <v>12</v>
      </c>
      <c r="W506" s="80" t="e">
        <f aca="true">
IF(D506="폐업","폐업",
IF(V506="면제","면제",
IF(AND(V506="정상",COUNTIFS(OFFSET(Y506,0,COUNTA(Y506:AV506)-1,1,-4),"미납")&gt;=3),"장기미납",
IF(AND(V506="정상",OFFSET(Y506,0,COUNTA(Y506:AV506)-1)&gt;=U506),"정상",
IF(AND(V506="정상",OFFSET(Y506,0,COUNTA(Y506:AV506)-1)=0),"정상",
"계약서 미작성")))))</f>
        <v>#VALUE!</v>
      </c>
      <c r="X506" s="81" t="str">
        <f aca="true">
IF(D506="폐업","폐업",
IF(AND(V506="정상",OFFSET(Y506,0,COUNTA(Y506:AV506)-1)="미납"),"미납",
IF(AND(V506="정상",OFFSET(Y506,0,COUNTA(Y506:AV506)-1)=0),"납부 시작 전",
IF(AND(V506="정상",OFFSET(Y506,0,COUNTA(Y506:AV506)-1)&gt;=U506),"정상",
IF(AND(V506="면제",OFFSET(Y506,0,COUNTA(Y506:AV506)-1)="면제"),"면제",
IF(AND(V506="면제",OFFSET(Y506,0,COUNTA(Y506:AV506)-1)=0),"면제",
"확인요청"))))))</f>
        <v>정상</v>
      </c>
      <c r="Y506" s="93" t="n">
        <v>110000</v>
      </c>
      <c r="Z506" s="90" t="n">
        <v>110000</v>
      </c>
      <c r="AA506" s="90" t="n">
        <v>110000</v>
      </c>
      <c r="AB506" s="90" t="n">
        <v>110000</v>
      </c>
      <c r="AC506" s="90" t="n">
        <v>110000</v>
      </c>
      <c r="AD506" s="90" t="n">
        <v>110000</v>
      </c>
      <c r="AE506" s="90" t="n">
        <v>110000</v>
      </c>
      <c r="AF506" s="90" t="n">
        <v>110000</v>
      </c>
      <c r="AG506" s="90" t="n">
        <v>110000</v>
      </c>
      <c r="AH506" s="90" t="n">
        <v>110000</v>
      </c>
      <c r="AI506" s="90" t="n">
        <v>110000</v>
      </c>
      <c r="AJ506" s="91" t="n">
        <v>110000</v>
      </c>
      <c r="AK506" s="89" t="n">
        <v>110000</v>
      </c>
      <c r="AL506" s="90" t="n">
        <v>110000</v>
      </c>
      <c r="AM506" s="90"/>
      <c r="AN506" s="90"/>
      <c r="AO506" s="90"/>
      <c r="AP506" s="90"/>
      <c r="AQ506" s="90"/>
      <c r="AR506" s="90"/>
      <c r="AS506" s="90"/>
      <c r="AT506" s="90"/>
      <c r="AU506" s="90"/>
      <c r="AV506" s="91"/>
      <c r="AX506" s="92"/>
    </row>
    <row r="507" customFormat="false" ht="15.65" hidden="false" customHeight="false" outlineLevel="0" collapsed="false">
      <c r="C507" s="72" t="n">
        <f aca="false">COUNTIFS($D$6:D507,"&lt;&gt;"&amp;"")</f>
        <v>502</v>
      </c>
      <c r="D507" s="73" t="s">
        <v>12</v>
      </c>
      <c r="E507" s="76" t="str">
        <f aca="false">
IF($D507="정상",INDEX(임대자산!$D$3:$R$3000,MATCH($F507,임대자산!$I$3:$I$3000,0),MATCH(E$3,임대자산!$D$3:$R$3,0)),
IF($D507="폐업",INDEX(폐업정보!$D$3:$R$3000,MATCH($F507,폐업정보!$I$3:$I$3000,0),MATCH(E$3,폐업정보!$D$3:$R$3,0)),
"Error"))</f>
        <v>강원</v>
      </c>
      <c r="F50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B0502</v>
      </c>
      <c r="G507" s="76" t="str">
        <f aca="false">F507&amp;RANDBETWEEN(0,10)</f>
        <v>B05023</v>
      </c>
      <c r="H507" s="75" t="n">
        <f aca="false">
IF($D507="정상",INDEX(임대자산!$D$3:$R$3000,MATCH($F507,임대자산!$I$3:$I$3000,0),MATCH(H$4,임대자산!$D$3:$R$3,0)),
IF($D507="폐업",INDEX(폐업정보!$D$3:$R$3000,MATCH($F507,폐업정보!$I$3:$I$3000,0),MATCH(H$4,폐업정보!$D$3:$R$3,0)),
"Error"))</f>
        <v>45842</v>
      </c>
      <c r="I507" s="75" t="str">
        <f aca="false">
IF($D507="정상",INDEX(임대자산!$D$3:$R$3000,MATCH($F507,임대자산!$I$3:$I$3000,0),MATCH(I$4,임대자산!$D$3:$R$3,0)),
IF($D507="폐업",INDEX(폐업정보!$D$3:$R$3000,MATCH($F507,폐업정보!$I$3:$I$3000,0),MATCH(I$4,폐업정보!$D$3:$R$3,0)),
"Error"))</f>
        <v>A0502</v>
      </c>
      <c r="J507" s="75" t="str">
        <f aca="false">
IF($D507="정상",INDEX(임대자산!$D$3:$R$3000,MATCH($F507,임대자산!$I$3:$I$3000,0),MATCH(J$4,임대자산!$D$3:$R$3,0)),
IF($D507="폐업",INDEX(폐업정보!$D$3:$R$3000,MATCH($F507,폐업정보!$I$3:$I$3000,0),MATCH(J$4,폐업정보!$D$3:$R$3,0)),
"Error"))</f>
        <v>7998800000</v>
      </c>
      <c r="K507" s="75" t="str">
        <f aca="false">
IF($D507="정상",INDEX(임대자산!$D$3:$R$3000,MATCH($F507,임대자산!$I$3:$I$3000,0),MATCH(K$4,임대자산!$D$3:$R$3,0)),
IF($D507="폐업",INDEX(폐업정보!$D$3:$R$3000,MATCH($F507,폐업정보!$I$3:$I$3000,0),MATCH(K$4,폐업정보!$D$3:$R$3,0)),
"Error"))</f>
        <v>C0502</v>
      </c>
      <c r="L507" s="75" t="str">
        <f aca="false">
IF($D507="정상",INDEX(임대자산!$D$3:$R$3000,MATCH($F507,임대자산!$I$3:$I$3000,0),MATCH(L$4,임대자산!$D$3:$R$3,0)),
IF($D507="폐업",INDEX(폐업정보!$D$3:$R$3000,MATCH($F507,폐업정보!$I$3:$I$3000,0),MATCH(L$4,폐업정보!$D$3:$R$3,0)),
"Error"))</f>
        <v>D0502</v>
      </c>
      <c r="M507" s="76" t="s">
        <v>96</v>
      </c>
      <c r="N507" s="77"/>
      <c r="O507" s="78" t="s">
        <v>97</v>
      </c>
      <c r="P507" s="79" t="n">
        <f aca="false">COUNTIFS(임대자산!$I:$I,가맹점정보!F507,임대자산!$N:$N,가맹점정보!P$4)</f>
        <v>0</v>
      </c>
      <c r="Q507" s="80" t="n">
        <f aca="false">COUNTIFS(임대자산!$I:$I,가맹점정보!F507,임대자산!$N:$N,가맹점정보!Q$4)</f>
        <v>0</v>
      </c>
      <c r="R507" s="81" t="n">
        <f aca="false">COUNTIFS(임대자산!$I:$I,가맹점정보!F507,임대자산!$N:$N,가맹점정보!R$4)</f>
        <v>1</v>
      </c>
      <c r="S507" s="82" t="n">
        <v>55000</v>
      </c>
      <c r="T507" s="83" t="n">
        <v>0</v>
      </c>
      <c r="U507" s="80" t="n">
        <f aca="false">SUM(S507:T507)</f>
        <v>55000</v>
      </c>
      <c r="V507" s="84" t="s">
        <v>12</v>
      </c>
      <c r="W507" s="80" t="e">
        <f aca="true">
IF(D507="폐업","폐업",
IF(V507="면제","면제",
IF(AND(V507="정상",COUNTIFS(OFFSET(Y507,0,COUNTA(Y507:AV507)-1,1,-4),"미납")&gt;=3),"장기미납",
IF(AND(V507="정상",OFFSET(Y507,0,COUNTA(Y507:AV507)-1)&gt;=U507),"정상",
IF(AND(V507="정상",OFFSET(Y507,0,COUNTA(Y507:AV507)-1)=0),"정상",
"계약서 미작성")))))</f>
        <v>#VALUE!</v>
      </c>
      <c r="X507" s="81" t="str">
        <f aca="true">
IF(D507="폐업","폐업",
IF(AND(V507="정상",OFFSET(Y507,0,COUNTA(Y507:AV507)-1)="미납"),"미납",
IF(AND(V507="정상",OFFSET(Y507,0,COUNTA(Y507:AV507)-1)=0),"납부 시작 전",
IF(AND(V507="정상",OFFSET(Y507,0,COUNTA(Y507:AV507)-1)&gt;=U507),"정상",
IF(AND(V507="면제",OFFSET(Y507,0,COUNTA(Y507:AV507)-1)="면제"),"면제",
IF(AND(V507="면제",OFFSET(Y507,0,COUNTA(Y507:AV507)-1)=0),"면제",
"확인요청"))))))</f>
        <v>정상</v>
      </c>
      <c r="Y507" s="93" t="n">
        <v>55000</v>
      </c>
      <c r="Z507" s="90" t="n">
        <v>55000</v>
      </c>
      <c r="AA507" s="90" t="n">
        <v>55000</v>
      </c>
      <c r="AB507" s="90" t="n">
        <v>55000</v>
      </c>
      <c r="AC507" s="90" t="n">
        <v>55000</v>
      </c>
      <c r="AD507" s="90" t="n">
        <v>55000</v>
      </c>
      <c r="AE507" s="90" t="n">
        <v>55000</v>
      </c>
      <c r="AF507" s="90" t="n">
        <v>55000</v>
      </c>
      <c r="AG507" s="90" t="n">
        <v>55000</v>
      </c>
      <c r="AH507" s="90" t="n">
        <v>55000</v>
      </c>
      <c r="AI507" s="90" t="n">
        <v>55000</v>
      </c>
      <c r="AJ507" s="91" t="n">
        <v>55000</v>
      </c>
      <c r="AK507" s="89" t="n">
        <v>55000</v>
      </c>
      <c r="AL507" s="90" t="n">
        <v>55000</v>
      </c>
      <c r="AM507" s="90"/>
      <c r="AN507" s="90"/>
      <c r="AO507" s="90"/>
      <c r="AP507" s="90"/>
      <c r="AQ507" s="90"/>
      <c r="AR507" s="90"/>
      <c r="AS507" s="90"/>
      <c r="AT507" s="90"/>
      <c r="AU507" s="90"/>
      <c r="AV507" s="91"/>
      <c r="AX507" s="92"/>
    </row>
    <row r="508" customFormat="false" ht="15.65" hidden="false" customHeight="false" outlineLevel="0" collapsed="false">
      <c r="C508" s="72" t="n">
        <f aca="false">COUNTIFS($D$6:D508,"&lt;&gt;"&amp;"")</f>
        <v>503</v>
      </c>
      <c r="D508" s="73" t="s">
        <v>12</v>
      </c>
      <c r="E508" s="76" t="str">
        <f aca="false">
IF($D508="정상",INDEX(임대자산!$D$3:$R$3000,MATCH($F508,임대자산!$I$3:$I$3000,0),MATCH(E$3,임대자산!$D$3:$R$3,0)),
IF($D508="폐업",INDEX(폐업정보!$D$3:$R$3000,MATCH($F508,폐업정보!$I$3:$I$3000,0),MATCH(E$3,폐업정보!$D$3:$R$3,0)),
"Error"))</f>
        <v>전라</v>
      </c>
      <c r="F50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B0503</v>
      </c>
      <c r="G508" s="76" t="str">
        <f aca="false">F508&amp;RANDBETWEEN(0,10)</f>
        <v>B05030</v>
      </c>
      <c r="H508" s="75" t="n">
        <f aca="false">
IF($D508="정상",INDEX(임대자산!$D$3:$R$3000,MATCH($F508,임대자산!$I$3:$I$3000,0),MATCH(H$4,임대자산!$D$3:$R$3,0)),
IF($D508="폐업",INDEX(폐업정보!$D$3:$R$3000,MATCH($F508,폐업정보!$I$3:$I$3000,0),MATCH(H$4,폐업정보!$D$3:$R$3,0)),
"Error"))</f>
        <v>45889</v>
      </c>
      <c r="I508" s="75" t="str">
        <f aca="false">
IF($D508="정상",INDEX(임대자산!$D$3:$R$3000,MATCH($F508,임대자산!$I$3:$I$3000,0),MATCH(I$4,임대자산!$D$3:$R$3,0)),
IF($D508="폐업",INDEX(폐업정보!$D$3:$R$3000,MATCH($F508,폐업정보!$I$3:$I$3000,0),MATCH(I$4,폐업정보!$D$3:$R$3,0)),
"Error"))</f>
        <v>A0503</v>
      </c>
      <c r="J508" s="75" t="str">
        <f aca="false">
IF($D508="정상",INDEX(임대자산!$D$3:$R$3000,MATCH($F508,임대자산!$I$3:$I$3000,0),MATCH(J$4,임대자산!$D$3:$R$3,0)),
IF($D508="폐업",INDEX(폐업정보!$D$3:$R$3000,MATCH($F508,폐업정보!$I$3:$I$3000,0),MATCH(J$4,폐업정보!$D$3:$R$3,0)),
"Error"))</f>
        <v>6162900000</v>
      </c>
      <c r="K508" s="75" t="str">
        <f aca="false">
IF($D508="정상",INDEX(임대자산!$D$3:$R$3000,MATCH($F508,임대자산!$I$3:$I$3000,0),MATCH(K$4,임대자산!$D$3:$R$3,0)),
IF($D508="폐업",INDEX(폐업정보!$D$3:$R$3000,MATCH($F508,폐업정보!$I$3:$I$3000,0),MATCH(K$4,폐업정보!$D$3:$R$3,0)),
"Error"))</f>
        <v>C0503</v>
      </c>
      <c r="L508" s="75" t="str">
        <f aca="false">
IF($D508="정상",INDEX(임대자산!$D$3:$R$3000,MATCH($F508,임대자산!$I$3:$I$3000,0),MATCH(L$4,임대자산!$D$3:$R$3,0)),
IF($D508="폐업",INDEX(폐업정보!$D$3:$R$3000,MATCH($F508,폐업정보!$I$3:$I$3000,0),MATCH(L$4,폐업정보!$D$3:$R$3,0)),
"Error"))</f>
        <v>D0503</v>
      </c>
      <c r="M508" s="76" t="s">
        <v>96</v>
      </c>
      <c r="N508" s="77"/>
      <c r="O508" s="78" t="s">
        <v>97</v>
      </c>
      <c r="P508" s="79" t="n">
        <f aca="false">COUNTIFS(임대자산!$I:$I,가맹점정보!F508,임대자산!$N:$N,가맹점정보!P$4)</f>
        <v>0</v>
      </c>
      <c r="Q508" s="80" t="n">
        <f aca="false">COUNTIFS(임대자산!$I:$I,가맹점정보!F508,임대자산!$N:$N,가맹점정보!Q$4)</f>
        <v>0</v>
      </c>
      <c r="R508" s="81" t="n">
        <f aca="false">COUNTIFS(임대자산!$I:$I,가맹점정보!F508,임대자산!$N:$N,가맹점정보!R$4)</f>
        <v>1</v>
      </c>
      <c r="S508" s="82" t="n">
        <v>110000</v>
      </c>
      <c r="T508" s="83" t="n">
        <v>0</v>
      </c>
      <c r="U508" s="80" t="n">
        <f aca="false">SUM(S508:T508)</f>
        <v>110000</v>
      </c>
      <c r="V508" s="84" t="s">
        <v>12</v>
      </c>
      <c r="W508" s="80" t="e">
        <f aca="true">
IF(D508="폐업","폐업",
IF(V508="면제","면제",
IF(AND(V508="정상",COUNTIFS(OFFSET(Y508,0,COUNTA(Y508:AV508)-1,1,-4),"미납")&gt;=3),"장기미납",
IF(AND(V508="정상",OFFSET(Y508,0,COUNTA(Y508:AV508)-1)&gt;=U508),"정상",
IF(AND(V508="정상",OFFSET(Y508,0,COUNTA(Y508:AV508)-1)=0),"정상",
"계약서 미작성")))))</f>
        <v>#VALUE!</v>
      </c>
      <c r="X508" s="81" t="str">
        <f aca="true">
IF(D508="폐업","폐업",
IF(AND(V508="정상",OFFSET(Y508,0,COUNTA(Y508:AV508)-1)="미납"),"미납",
IF(AND(V508="정상",OFFSET(Y508,0,COUNTA(Y508:AV508)-1)=0),"납부 시작 전",
IF(AND(V508="정상",OFFSET(Y508,0,COUNTA(Y508:AV508)-1)&gt;=U508),"정상",
IF(AND(V508="면제",OFFSET(Y508,0,COUNTA(Y508:AV508)-1)="면제"),"면제",
IF(AND(V508="면제",OFFSET(Y508,0,COUNTA(Y508:AV508)-1)=0),"면제",
"확인요청"))))))</f>
        <v>정상</v>
      </c>
      <c r="Y508" s="93" t="n">
        <v>110000</v>
      </c>
      <c r="Z508" s="90" t="n">
        <v>110000</v>
      </c>
      <c r="AA508" s="90" t="n">
        <v>110000</v>
      </c>
      <c r="AB508" s="90" t="n">
        <v>110000</v>
      </c>
      <c r="AC508" s="90" t="n">
        <v>110000</v>
      </c>
      <c r="AD508" s="90" t="n">
        <v>110000</v>
      </c>
      <c r="AE508" s="90" t="n">
        <v>110000</v>
      </c>
      <c r="AF508" s="90" t="n">
        <v>110000</v>
      </c>
      <c r="AG508" s="90" t="n">
        <v>110000</v>
      </c>
      <c r="AH508" s="90" t="n">
        <v>110000</v>
      </c>
      <c r="AI508" s="90" t="n">
        <v>110000</v>
      </c>
      <c r="AJ508" s="91" t="n">
        <v>110000</v>
      </c>
      <c r="AK508" s="89" t="n">
        <v>110000</v>
      </c>
      <c r="AL508" s="90" t="n">
        <v>110000</v>
      </c>
      <c r="AM508" s="90"/>
      <c r="AN508" s="90"/>
      <c r="AO508" s="90"/>
      <c r="AP508" s="90"/>
      <c r="AQ508" s="90"/>
      <c r="AR508" s="90"/>
      <c r="AS508" s="90"/>
      <c r="AT508" s="90"/>
      <c r="AU508" s="90"/>
      <c r="AV508" s="91"/>
      <c r="AX508" s="92"/>
    </row>
    <row r="509" customFormat="false" ht="15.65" hidden="false" customHeight="false" outlineLevel="0" collapsed="false">
      <c r="C509" s="72" t="n">
        <f aca="false">COUNTIFS($D$6:D509,"&lt;&gt;"&amp;"")</f>
        <v>504</v>
      </c>
      <c r="D509" s="73" t="s">
        <v>12</v>
      </c>
      <c r="E509" s="76" t="str">
        <f aca="false">
IF($D509="정상",INDEX(임대자산!$D$3:$R$3000,MATCH($F509,임대자산!$I$3:$I$3000,0),MATCH(E$3,임대자산!$D$3:$R$3,0)),
IF($D509="폐업",INDEX(폐업정보!$D$3:$R$3000,MATCH($F509,폐업정보!$I$3:$I$3000,0),MATCH(E$3,폐업정보!$D$3:$R$3,0)),
"Error"))</f>
        <v>경기</v>
      </c>
      <c r="F50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B0504</v>
      </c>
      <c r="G509" s="76" t="str">
        <f aca="false">F509&amp;RANDBETWEEN(0,10)</f>
        <v>B05046</v>
      </c>
      <c r="H509" s="75" t="n">
        <f aca="false">
IF($D509="정상",INDEX(임대자산!$D$3:$R$3000,MATCH($F509,임대자산!$I$3:$I$3000,0),MATCH(H$4,임대자산!$D$3:$R$3,0)),
IF($D509="폐업",INDEX(폐업정보!$D$3:$R$3000,MATCH($F509,폐업정보!$I$3:$I$3000,0),MATCH(H$4,폐업정보!$D$3:$R$3,0)),
"Error"))</f>
        <v>45883</v>
      </c>
      <c r="I509" s="75" t="str">
        <f aca="false">
IF($D509="정상",INDEX(임대자산!$D$3:$R$3000,MATCH($F509,임대자산!$I$3:$I$3000,0),MATCH(I$4,임대자산!$D$3:$R$3,0)),
IF($D509="폐업",INDEX(폐업정보!$D$3:$R$3000,MATCH($F509,폐업정보!$I$3:$I$3000,0),MATCH(I$4,폐업정보!$D$3:$R$3,0)),
"Error"))</f>
        <v>A0504</v>
      </c>
      <c r="J509" s="75" t="str">
        <f aca="false">
IF($D509="정상",INDEX(임대자산!$D$3:$R$3000,MATCH($F509,임대자산!$I$3:$I$3000,0),MATCH(J$4,임대자산!$D$3:$R$3,0)),
IF($D509="폐업",INDEX(폐업정보!$D$3:$R$3000,MATCH($F509,폐업정보!$I$3:$I$3000,0),MATCH(J$4,폐업정보!$D$3:$R$3,0)),
"Error"))</f>
        <v>4814400000</v>
      </c>
      <c r="K509" s="75" t="str">
        <f aca="false">
IF($D509="정상",INDEX(임대자산!$D$3:$R$3000,MATCH($F509,임대자산!$I$3:$I$3000,0),MATCH(K$4,임대자산!$D$3:$R$3,0)),
IF($D509="폐업",INDEX(폐업정보!$D$3:$R$3000,MATCH($F509,폐업정보!$I$3:$I$3000,0),MATCH(K$4,폐업정보!$D$3:$R$3,0)),
"Error"))</f>
        <v>C0504</v>
      </c>
      <c r="L509" s="75" t="str">
        <f aca="false">
IF($D509="정상",INDEX(임대자산!$D$3:$R$3000,MATCH($F509,임대자산!$I$3:$I$3000,0),MATCH(L$4,임대자산!$D$3:$R$3,0)),
IF($D509="폐업",INDEX(폐업정보!$D$3:$R$3000,MATCH($F509,폐업정보!$I$3:$I$3000,0),MATCH(L$4,폐업정보!$D$3:$R$3,0)),
"Error"))</f>
        <v>D0504</v>
      </c>
      <c r="M509" s="76" t="s">
        <v>96</v>
      </c>
      <c r="N509" s="77"/>
      <c r="O509" s="78" t="s">
        <v>97</v>
      </c>
      <c r="P509" s="79" t="n">
        <f aca="false">COUNTIFS(임대자산!$I:$I,가맹점정보!F509,임대자산!$N:$N,가맹점정보!P$4)</f>
        <v>0</v>
      </c>
      <c r="Q509" s="80" t="n">
        <f aca="false">COUNTIFS(임대자산!$I:$I,가맹점정보!F509,임대자산!$N:$N,가맹점정보!Q$4)</f>
        <v>0</v>
      </c>
      <c r="R509" s="81" t="n">
        <f aca="false">COUNTIFS(임대자산!$I:$I,가맹점정보!F509,임대자산!$N:$N,가맹점정보!R$4)</f>
        <v>1</v>
      </c>
      <c r="S509" s="82" t="n">
        <v>55000</v>
      </c>
      <c r="T509" s="83" t="n">
        <v>0</v>
      </c>
      <c r="U509" s="80" t="n">
        <f aca="false">SUM(S509:T509)</f>
        <v>55000</v>
      </c>
      <c r="V509" s="84" t="s">
        <v>12</v>
      </c>
      <c r="W509" s="80" t="e">
        <f aca="true">
IF(D509="폐업","폐업",
IF(V509="면제","면제",
IF(AND(V509="정상",COUNTIFS(OFFSET(Y509,0,COUNTA(Y509:AV509)-1,1,-4),"미납")&gt;=3),"장기미납",
IF(AND(V509="정상",OFFSET(Y509,0,COUNTA(Y509:AV509)-1)&gt;=U509),"정상",
IF(AND(V509="정상",OFFSET(Y509,0,COUNTA(Y509:AV509)-1)=0),"정상",
"계약서 미작성")))))</f>
        <v>#VALUE!</v>
      </c>
      <c r="X509" s="81" t="str">
        <f aca="true">
IF(D509="폐업","폐업",
IF(AND(V509="정상",OFFSET(Y509,0,COUNTA(Y509:AV509)-1)="미납"),"미납",
IF(AND(V509="정상",OFFSET(Y509,0,COUNTA(Y509:AV509)-1)=0),"납부 시작 전",
IF(AND(V509="정상",OFFSET(Y509,0,COUNTA(Y509:AV509)-1)&gt;=U509),"정상",
IF(AND(V509="면제",OFFSET(Y509,0,COUNTA(Y509:AV509)-1)="면제"),"면제",
IF(AND(V509="면제",OFFSET(Y509,0,COUNTA(Y509:AV509)-1)=0),"면제",
"확인요청"))))))</f>
        <v>정상</v>
      </c>
      <c r="Y509" s="93" t="n">
        <v>55000</v>
      </c>
      <c r="Z509" s="90" t="n">
        <v>55000</v>
      </c>
      <c r="AA509" s="90" t="n">
        <v>55000</v>
      </c>
      <c r="AB509" s="90" t="n">
        <v>55000</v>
      </c>
      <c r="AC509" s="90" t="n">
        <v>55000</v>
      </c>
      <c r="AD509" s="90" t="n">
        <v>55000</v>
      </c>
      <c r="AE509" s="90" t="n">
        <v>55000</v>
      </c>
      <c r="AF509" s="90" t="n">
        <v>55000</v>
      </c>
      <c r="AG509" s="90" t="n">
        <v>55000</v>
      </c>
      <c r="AH509" s="90" t="n">
        <v>55000</v>
      </c>
      <c r="AI509" s="90" t="n">
        <v>55000</v>
      </c>
      <c r="AJ509" s="91" t="n">
        <v>55000</v>
      </c>
      <c r="AK509" s="89" t="n">
        <v>55000</v>
      </c>
      <c r="AL509" s="90" t="n">
        <v>55000</v>
      </c>
      <c r="AM509" s="90"/>
      <c r="AN509" s="90"/>
      <c r="AO509" s="90"/>
      <c r="AP509" s="90"/>
      <c r="AQ509" s="90"/>
      <c r="AR509" s="90"/>
      <c r="AS509" s="90"/>
      <c r="AT509" s="90"/>
      <c r="AU509" s="90"/>
      <c r="AV509" s="91"/>
      <c r="AX509" s="92"/>
    </row>
    <row r="510" customFormat="false" ht="15.65" hidden="false" customHeight="false" outlineLevel="0" collapsed="false">
      <c r="C510" s="72" t="n">
        <f aca="false">COUNTIFS($D$6:D510,"&lt;&gt;"&amp;"")</f>
        <v>505</v>
      </c>
      <c r="D510" s="73" t="s">
        <v>12</v>
      </c>
      <c r="E510" s="76" t="str">
        <f aca="false">
IF($D510="정상",INDEX(임대자산!$D$3:$R$3000,MATCH($F510,임대자산!$I$3:$I$3000,0),MATCH(E$3,임대자산!$D$3:$R$3,0)),
IF($D510="폐업",INDEX(폐업정보!$D$3:$R$3000,MATCH($F510,폐업정보!$I$3:$I$3000,0),MATCH(E$3,폐업정보!$D$3:$R$3,0)),
"Error"))</f>
        <v>전라</v>
      </c>
      <c r="F51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B0505</v>
      </c>
      <c r="G510" s="76" t="str">
        <f aca="false">F510&amp;RANDBETWEEN(0,10)</f>
        <v>B050510</v>
      </c>
      <c r="H510" s="75" t="n">
        <f aca="false">
IF($D510="정상",INDEX(임대자산!$D$3:$R$3000,MATCH($F510,임대자산!$I$3:$I$3000,0),MATCH(H$4,임대자산!$D$3:$R$3,0)),
IF($D510="폐업",INDEX(폐업정보!$D$3:$R$3000,MATCH($F510,폐업정보!$I$3:$I$3000,0),MATCH(H$4,폐업정보!$D$3:$R$3,0)),
"Error"))</f>
        <v>45868</v>
      </c>
      <c r="I510" s="75" t="str">
        <f aca="false">
IF($D510="정상",INDEX(임대자산!$D$3:$R$3000,MATCH($F510,임대자산!$I$3:$I$3000,0),MATCH(I$4,임대자산!$D$3:$R$3,0)),
IF($D510="폐업",INDEX(폐업정보!$D$3:$R$3000,MATCH($F510,폐업정보!$I$3:$I$3000,0),MATCH(I$4,폐업정보!$D$3:$R$3,0)),
"Error"))</f>
        <v>A0505</v>
      </c>
      <c r="J510" s="75" t="str">
        <f aca="false">
IF($D510="정상",INDEX(임대자산!$D$3:$R$3000,MATCH($F510,임대자산!$I$3:$I$3000,0),MATCH(J$4,임대자산!$D$3:$R$3,0)),
IF($D510="폐업",INDEX(폐업정보!$D$3:$R$3000,MATCH($F510,폐업정보!$I$3:$I$3000,0),MATCH(J$4,폐업정보!$D$3:$R$3,0)),
"Error"))</f>
        <v>7476000000</v>
      </c>
      <c r="K510" s="75" t="str">
        <f aca="false">
IF($D510="정상",INDEX(임대자산!$D$3:$R$3000,MATCH($F510,임대자산!$I$3:$I$3000,0),MATCH(K$4,임대자산!$D$3:$R$3,0)),
IF($D510="폐업",INDEX(폐업정보!$D$3:$R$3000,MATCH($F510,폐업정보!$I$3:$I$3000,0),MATCH(K$4,폐업정보!$D$3:$R$3,0)),
"Error"))</f>
        <v>C0505</v>
      </c>
      <c r="L510" s="75" t="str">
        <f aca="false">
IF($D510="정상",INDEX(임대자산!$D$3:$R$3000,MATCH($F510,임대자산!$I$3:$I$3000,0),MATCH(L$4,임대자산!$D$3:$R$3,0)),
IF($D510="폐업",INDEX(폐업정보!$D$3:$R$3000,MATCH($F510,폐업정보!$I$3:$I$3000,0),MATCH(L$4,폐업정보!$D$3:$R$3,0)),
"Error"))</f>
        <v>D0505</v>
      </c>
      <c r="M510" s="76" t="s">
        <v>96</v>
      </c>
      <c r="N510" s="77"/>
      <c r="O510" s="78" t="s">
        <v>97</v>
      </c>
      <c r="P510" s="79" t="n">
        <f aca="false">COUNTIFS(임대자산!$I:$I,가맹점정보!F510,임대자산!$N:$N,가맹점정보!P$4)</f>
        <v>0</v>
      </c>
      <c r="Q510" s="80" t="n">
        <f aca="false">COUNTIFS(임대자산!$I:$I,가맹점정보!F510,임대자산!$N:$N,가맹점정보!Q$4)</f>
        <v>0</v>
      </c>
      <c r="R510" s="81" t="n">
        <f aca="false">COUNTIFS(임대자산!$I:$I,가맹점정보!F510,임대자산!$N:$N,가맹점정보!R$4)</f>
        <v>1</v>
      </c>
      <c r="S510" s="82" t="n">
        <v>55000</v>
      </c>
      <c r="T510" s="83" t="n">
        <v>0</v>
      </c>
      <c r="U510" s="80" t="n">
        <f aca="false">SUM(S510:T510)</f>
        <v>55000</v>
      </c>
      <c r="V510" s="84" t="s">
        <v>12</v>
      </c>
      <c r="W510" s="80" t="e">
        <f aca="true">
IF(D510="폐업","폐업",
IF(V510="면제","면제",
IF(AND(V510="정상",COUNTIFS(OFFSET(Y510,0,COUNTA(Y510:AV510)-1,1,-4),"미납")&gt;=3),"장기미납",
IF(AND(V510="정상",OFFSET(Y510,0,COUNTA(Y510:AV510)-1)&gt;=U510),"정상",
IF(AND(V510="정상",OFFSET(Y510,0,COUNTA(Y510:AV510)-1)=0),"정상",
"계약서 미작성")))))</f>
        <v>#VALUE!</v>
      </c>
      <c r="X510" s="81" t="str">
        <f aca="true">
IF(D510="폐업","폐업",
IF(AND(V510="정상",OFFSET(Y510,0,COUNTA(Y510:AV510)-1)="미납"),"미납",
IF(AND(V510="정상",OFFSET(Y510,0,COUNTA(Y510:AV510)-1)=0),"납부 시작 전",
IF(AND(V510="정상",OFFSET(Y510,0,COUNTA(Y510:AV510)-1)&gt;=U510),"정상",
IF(AND(V510="면제",OFFSET(Y510,0,COUNTA(Y510:AV510)-1)="면제"),"면제",
IF(AND(V510="면제",OFFSET(Y510,0,COUNTA(Y510:AV510)-1)=0),"면제",
"확인요청"))))))</f>
        <v>정상</v>
      </c>
      <c r="Y510" s="93" t="n">
        <v>55000</v>
      </c>
      <c r="Z510" s="90" t="n">
        <v>55000</v>
      </c>
      <c r="AA510" s="90" t="n">
        <v>55000</v>
      </c>
      <c r="AB510" s="90" t="n">
        <v>55000</v>
      </c>
      <c r="AC510" s="90" t="n">
        <v>55000</v>
      </c>
      <c r="AD510" s="90" t="n">
        <v>55000</v>
      </c>
      <c r="AE510" s="90" t="n">
        <v>55000</v>
      </c>
      <c r="AF510" s="90" t="n">
        <v>55000</v>
      </c>
      <c r="AG510" s="90" t="n">
        <v>55000</v>
      </c>
      <c r="AH510" s="90" t="n">
        <v>55000</v>
      </c>
      <c r="AI510" s="90" t="n">
        <v>55000</v>
      </c>
      <c r="AJ510" s="91" t="n">
        <v>55000</v>
      </c>
      <c r="AK510" s="89" t="n">
        <v>55000</v>
      </c>
      <c r="AL510" s="90" t="n">
        <v>55000</v>
      </c>
      <c r="AM510" s="90"/>
      <c r="AN510" s="90"/>
      <c r="AO510" s="90"/>
      <c r="AP510" s="90"/>
      <c r="AQ510" s="90"/>
      <c r="AR510" s="90"/>
      <c r="AS510" s="90"/>
      <c r="AT510" s="90"/>
      <c r="AU510" s="90"/>
      <c r="AV510" s="91"/>
      <c r="AX510" s="92"/>
    </row>
    <row r="511" customFormat="false" ht="15.65" hidden="false" customHeight="false" outlineLevel="0" collapsed="false">
      <c r="C511" s="72" t="n">
        <f aca="false">COUNTIFS($D$6:D511,"&lt;&gt;"&amp;"")</f>
        <v>506</v>
      </c>
      <c r="D511" s="73" t="s">
        <v>12</v>
      </c>
      <c r="E511" s="76" t="str">
        <f aca="false">
IF($D511="정상",INDEX(임대자산!$D$3:$R$3000,MATCH($F511,임대자산!$I$3:$I$3000,0),MATCH(E$3,임대자산!$D$3:$R$3,0)),
IF($D511="폐업",INDEX(폐업정보!$D$3:$R$3000,MATCH($F511,폐업정보!$I$3:$I$3000,0),MATCH(E$3,폐업정보!$D$3:$R$3,0)),
"Error"))</f>
        <v>강원</v>
      </c>
      <c r="F51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B0506</v>
      </c>
      <c r="G511" s="76" t="str">
        <f aca="false">F511&amp;RANDBETWEEN(0,10)</f>
        <v>B05062</v>
      </c>
      <c r="H511" s="75" t="n">
        <f aca="false">
IF($D511="정상",INDEX(임대자산!$D$3:$R$3000,MATCH($F511,임대자산!$I$3:$I$3000,0),MATCH(H$4,임대자산!$D$3:$R$3,0)),
IF($D511="폐업",INDEX(폐업정보!$D$3:$R$3000,MATCH($F511,폐업정보!$I$3:$I$3000,0),MATCH(H$4,폐업정보!$D$3:$R$3,0)),
"Error"))</f>
        <v>45875</v>
      </c>
      <c r="I511" s="75" t="str">
        <f aca="false">
IF($D511="정상",INDEX(임대자산!$D$3:$R$3000,MATCH($F511,임대자산!$I$3:$I$3000,0),MATCH(I$4,임대자산!$D$3:$R$3,0)),
IF($D511="폐업",INDEX(폐업정보!$D$3:$R$3000,MATCH($F511,폐업정보!$I$3:$I$3000,0),MATCH(I$4,폐업정보!$D$3:$R$3,0)),
"Error"))</f>
        <v>A0506</v>
      </c>
      <c r="J511" s="75" t="str">
        <f aca="false">
IF($D511="정상",INDEX(임대자산!$D$3:$R$3000,MATCH($F511,임대자산!$I$3:$I$3000,0),MATCH(J$4,임대자산!$D$3:$R$3,0)),
IF($D511="폐업",INDEX(폐업정보!$D$3:$R$3000,MATCH($F511,폐업정보!$I$3:$I$3000,0),MATCH(J$4,폐업정보!$D$3:$R$3,0)),
"Error"))</f>
        <v>7979600000</v>
      </c>
      <c r="K511" s="75" t="str">
        <f aca="false">
IF($D511="정상",INDEX(임대자산!$D$3:$R$3000,MATCH($F511,임대자산!$I$3:$I$3000,0),MATCH(K$4,임대자산!$D$3:$R$3,0)),
IF($D511="폐업",INDEX(폐업정보!$D$3:$R$3000,MATCH($F511,폐업정보!$I$3:$I$3000,0),MATCH(K$4,폐업정보!$D$3:$R$3,0)),
"Error"))</f>
        <v>C0506</v>
      </c>
      <c r="L511" s="75" t="str">
        <f aca="false">
IF($D511="정상",INDEX(임대자산!$D$3:$R$3000,MATCH($F511,임대자산!$I$3:$I$3000,0),MATCH(L$4,임대자산!$D$3:$R$3,0)),
IF($D511="폐업",INDEX(폐업정보!$D$3:$R$3000,MATCH($F511,폐업정보!$I$3:$I$3000,0),MATCH(L$4,폐업정보!$D$3:$R$3,0)),
"Error"))</f>
        <v>D0506</v>
      </c>
      <c r="M511" s="76" t="s">
        <v>96</v>
      </c>
      <c r="N511" s="77"/>
      <c r="O511" s="78" t="s">
        <v>97</v>
      </c>
      <c r="P511" s="79" t="n">
        <f aca="false">COUNTIFS(임대자산!$I:$I,가맹점정보!F511,임대자산!$N:$N,가맹점정보!P$4)</f>
        <v>0</v>
      </c>
      <c r="Q511" s="80" t="n">
        <f aca="false">COUNTIFS(임대자산!$I:$I,가맹점정보!F511,임대자산!$N:$N,가맹점정보!Q$4)</f>
        <v>0</v>
      </c>
      <c r="R511" s="81" t="n">
        <f aca="false">COUNTIFS(임대자산!$I:$I,가맹점정보!F511,임대자산!$N:$N,가맹점정보!R$4)</f>
        <v>1</v>
      </c>
      <c r="S511" s="82" t="n">
        <v>110000</v>
      </c>
      <c r="T511" s="83" t="n">
        <v>0</v>
      </c>
      <c r="U511" s="80" t="n">
        <f aca="false">SUM(S511:T511)</f>
        <v>110000</v>
      </c>
      <c r="V511" s="84" t="s">
        <v>12</v>
      </c>
      <c r="W511" s="80" t="e">
        <f aca="true">
IF(D511="폐업","폐업",
IF(V511="면제","면제",
IF(AND(V511="정상",COUNTIFS(OFFSET(Y511,0,COUNTA(Y511:AV511)-1,1,-4),"미납")&gt;=3),"장기미납",
IF(AND(V511="정상",OFFSET(Y511,0,COUNTA(Y511:AV511)-1)&gt;=U511),"정상",
IF(AND(V511="정상",OFFSET(Y511,0,COUNTA(Y511:AV511)-1)=0),"정상",
"계약서 미작성")))))</f>
        <v>#VALUE!</v>
      </c>
      <c r="X511" s="81" t="str">
        <f aca="true">
IF(D511="폐업","폐업",
IF(AND(V511="정상",OFFSET(Y511,0,COUNTA(Y511:AV511)-1)="미납"),"미납",
IF(AND(V511="정상",OFFSET(Y511,0,COUNTA(Y511:AV511)-1)=0),"납부 시작 전",
IF(AND(V511="정상",OFFSET(Y511,0,COUNTA(Y511:AV511)-1)&gt;=U511),"정상",
IF(AND(V511="면제",OFFSET(Y511,0,COUNTA(Y511:AV511)-1)="면제"),"면제",
IF(AND(V511="면제",OFFSET(Y511,0,COUNTA(Y511:AV511)-1)=0),"면제",
"확인요청"))))))</f>
        <v>정상</v>
      </c>
      <c r="Y511" s="93" t="n">
        <v>110000</v>
      </c>
      <c r="Z511" s="90" t="n">
        <v>110000</v>
      </c>
      <c r="AA511" s="90" t="n">
        <v>110000</v>
      </c>
      <c r="AB511" s="90" t="n">
        <v>110000</v>
      </c>
      <c r="AC511" s="90" t="n">
        <v>110000</v>
      </c>
      <c r="AD511" s="90" t="n">
        <v>110000</v>
      </c>
      <c r="AE511" s="90" t="n">
        <v>110000</v>
      </c>
      <c r="AF511" s="90" t="n">
        <v>110000</v>
      </c>
      <c r="AG511" s="90" t="n">
        <v>110000</v>
      </c>
      <c r="AH511" s="90" t="n">
        <v>110000</v>
      </c>
      <c r="AI511" s="90" t="n">
        <v>110000</v>
      </c>
      <c r="AJ511" s="91" t="n">
        <v>110000</v>
      </c>
      <c r="AK511" s="89" t="n">
        <v>110000</v>
      </c>
      <c r="AL511" s="90" t="n">
        <v>110000</v>
      </c>
      <c r="AM511" s="90"/>
      <c r="AN511" s="90"/>
      <c r="AO511" s="90"/>
      <c r="AP511" s="90"/>
      <c r="AQ511" s="90"/>
      <c r="AR511" s="90"/>
      <c r="AS511" s="90"/>
      <c r="AT511" s="90"/>
      <c r="AU511" s="90"/>
      <c r="AV511" s="91"/>
      <c r="AX511" s="92"/>
    </row>
    <row r="512" customFormat="false" ht="15.65" hidden="false" customHeight="false" outlineLevel="0" collapsed="false">
      <c r="C512" s="72" t="n">
        <f aca="false">COUNTIFS($D$6:D512,"&lt;&gt;"&amp;"")</f>
        <v>507</v>
      </c>
      <c r="D512" s="73" t="s">
        <v>12</v>
      </c>
      <c r="E512" s="76" t="str">
        <f aca="false">
IF($D512="정상",INDEX(임대자산!$D$3:$R$3000,MATCH($F512,임대자산!$I$3:$I$3000,0),MATCH(E$3,임대자산!$D$3:$R$3,0)),
IF($D512="폐업",INDEX(폐업정보!$D$3:$R$3000,MATCH($F512,폐업정보!$I$3:$I$3000,0),MATCH(E$3,폐업정보!$D$3:$R$3,0)),
"Error"))</f>
        <v>전라</v>
      </c>
      <c r="F51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B0507</v>
      </c>
      <c r="G512" s="76" t="str">
        <f aca="false">F512&amp;RANDBETWEEN(0,10)</f>
        <v>B05078</v>
      </c>
      <c r="H512" s="75" t="n">
        <f aca="false">
IF($D512="정상",INDEX(임대자산!$D$3:$R$3000,MATCH($F512,임대자산!$I$3:$I$3000,0),MATCH(H$4,임대자산!$D$3:$R$3,0)),
IF($D512="폐업",INDEX(폐업정보!$D$3:$R$3000,MATCH($F512,폐업정보!$I$3:$I$3000,0),MATCH(H$4,폐업정보!$D$3:$R$3,0)),
"Error"))</f>
        <v>45896</v>
      </c>
      <c r="I512" s="75" t="str">
        <f aca="false">
IF($D512="정상",INDEX(임대자산!$D$3:$R$3000,MATCH($F512,임대자산!$I$3:$I$3000,0),MATCH(I$4,임대자산!$D$3:$R$3,0)),
IF($D512="폐업",INDEX(폐업정보!$D$3:$R$3000,MATCH($F512,폐업정보!$I$3:$I$3000,0),MATCH(I$4,폐업정보!$D$3:$R$3,0)),
"Error"))</f>
        <v>A0507</v>
      </c>
      <c r="J512" s="75" t="str">
        <f aca="false">
IF($D512="정상",INDEX(임대자산!$D$3:$R$3000,MATCH($F512,임대자산!$I$3:$I$3000,0),MATCH(J$4,임대자산!$D$3:$R$3,0)),
IF($D512="폐업",INDEX(폐업정보!$D$3:$R$3000,MATCH($F512,폐업정보!$I$3:$I$3000,0),MATCH(J$4,폐업정보!$D$3:$R$3,0)),
"Error"))</f>
        <v>7937300000</v>
      </c>
      <c r="K512" s="75" t="str">
        <f aca="false">
IF($D512="정상",INDEX(임대자산!$D$3:$R$3000,MATCH($F512,임대자산!$I$3:$I$3000,0),MATCH(K$4,임대자산!$D$3:$R$3,0)),
IF($D512="폐업",INDEX(폐업정보!$D$3:$R$3000,MATCH($F512,폐업정보!$I$3:$I$3000,0),MATCH(K$4,폐업정보!$D$3:$R$3,0)),
"Error"))</f>
        <v>C0507</v>
      </c>
      <c r="L512" s="75" t="str">
        <f aca="false">
IF($D512="정상",INDEX(임대자산!$D$3:$R$3000,MATCH($F512,임대자산!$I$3:$I$3000,0),MATCH(L$4,임대자산!$D$3:$R$3,0)),
IF($D512="폐업",INDEX(폐업정보!$D$3:$R$3000,MATCH($F512,폐업정보!$I$3:$I$3000,0),MATCH(L$4,폐업정보!$D$3:$R$3,0)),
"Error"))</f>
        <v>D0507</v>
      </c>
      <c r="M512" s="76" t="s">
        <v>96</v>
      </c>
      <c r="N512" s="77"/>
      <c r="O512" s="78" t="s">
        <v>97</v>
      </c>
      <c r="P512" s="79" t="n">
        <f aca="false">COUNTIFS(임대자산!$I:$I,가맹점정보!F512,임대자산!$N:$N,가맹점정보!P$4)</f>
        <v>0</v>
      </c>
      <c r="Q512" s="80" t="n">
        <f aca="false">COUNTIFS(임대자산!$I:$I,가맹점정보!F512,임대자산!$N:$N,가맹점정보!Q$4)</f>
        <v>0</v>
      </c>
      <c r="R512" s="81" t="n">
        <f aca="false">COUNTIFS(임대자산!$I:$I,가맹점정보!F512,임대자산!$N:$N,가맹점정보!R$4)</f>
        <v>1</v>
      </c>
      <c r="S512" s="82" t="n">
        <v>110000</v>
      </c>
      <c r="T512" s="83" t="n">
        <v>0</v>
      </c>
      <c r="U512" s="80" t="n">
        <f aca="false">SUM(S512:T512)</f>
        <v>110000</v>
      </c>
      <c r="V512" s="84" t="s">
        <v>12</v>
      </c>
      <c r="W512" s="80" t="e">
        <f aca="true">
IF(D512="폐업","폐업",
IF(V512="면제","면제",
IF(AND(V512="정상",COUNTIFS(OFFSET(Y512,0,COUNTA(Y512:AV512)-1,1,-4),"미납")&gt;=3),"장기미납",
IF(AND(V512="정상",OFFSET(Y512,0,COUNTA(Y512:AV512)-1)&gt;=U512),"정상",
IF(AND(V512="정상",OFFSET(Y512,0,COUNTA(Y512:AV512)-1)=0),"정상",
"계약서 미작성")))))</f>
        <v>#VALUE!</v>
      </c>
      <c r="X512" s="81" t="str">
        <f aca="true">
IF(D512="폐업","폐업",
IF(AND(V512="정상",OFFSET(Y512,0,COUNTA(Y512:AV512)-1)="미납"),"미납",
IF(AND(V512="정상",OFFSET(Y512,0,COUNTA(Y512:AV512)-1)=0),"납부 시작 전",
IF(AND(V512="정상",OFFSET(Y512,0,COUNTA(Y512:AV512)-1)&gt;=U512),"정상",
IF(AND(V512="면제",OFFSET(Y512,0,COUNTA(Y512:AV512)-1)="면제"),"면제",
IF(AND(V512="면제",OFFSET(Y512,0,COUNTA(Y512:AV512)-1)=0),"면제",
"확인요청"))))))</f>
        <v>정상</v>
      </c>
      <c r="Y512" s="93" t="n">
        <v>110000</v>
      </c>
      <c r="Z512" s="90" t="n">
        <v>110000</v>
      </c>
      <c r="AA512" s="90" t="n">
        <v>110000</v>
      </c>
      <c r="AB512" s="90" t="n">
        <v>110000</v>
      </c>
      <c r="AC512" s="90" t="n">
        <v>110000</v>
      </c>
      <c r="AD512" s="90" t="n">
        <v>110000</v>
      </c>
      <c r="AE512" s="90" t="n">
        <v>110000</v>
      </c>
      <c r="AF512" s="90" t="n">
        <v>110000</v>
      </c>
      <c r="AG512" s="90" t="n">
        <v>110000</v>
      </c>
      <c r="AH512" s="90" t="n">
        <v>110000</v>
      </c>
      <c r="AI512" s="90" t="n">
        <v>110000</v>
      </c>
      <c r="AJ512" s="91" t="n">
        <v>110000</v>
      </c>
      <c r="AK512" s="89" t="n">
        <v>110000</v>
      </c>
      <c r="AL512" s="90" t="n">
        <v>110000</v>
      </c>
      <c r="AM512" s="90"/>
      <c r="AN512" s="90"/>
      <c r="AO512" s="90"/>
      <c r="AP512" s="90"/>
      <c r="AQ512" s="90"/>
      <c r="AR512" s="90"/>
      <c r="AS512" s="90"/>
      <c r="AT512" s="90"/>
      <c r="AU512" s="90"/>
      <c r="AV512" s="91"/>
      <c r="AX512" s="92"/>
    </row>
    <row r="513" customFormat="false" ht="15.65" hidden="false" customHeight="false" outlineLevel="0" collapsed="false">
      <c r="C513" s="72" t="n">
        <f aca="false">COUNTIFS($D$6:D513,"&lt;&gt;"&amp;"")</f>
        <v>508</v>
      </c>
      <c r="D513" s="73" t="s">
        <v>12</v>
      </c>
      <c r="E513" s="76" t="str">
        <f aca="false">
IF($D513="정상",INDEX(임대자산!$D$3:$R$3000,MATCH($F513,임대자산!$I$3:$I$3000,0),MATCH(E$3,임대자산!$D$3:$R$3,0)),
IF($D513="폐업",INDEX(폐업정보!$D$3:$R$3000,MATCH($F513,폐업정보!$I$3:$I$3000,0),MATCH(E$3,폐업정보!$D$3:$R$3,0)),
"Error"))</f>
        <v>전라</v>
      </c>
      <c r="F51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B0508</v>
      </c>
      <c r="G513" s="76" t="str">
        <f aca="false">F513&amp;RANDBETWEEN(0,10)</f>
        <v>B05089</v>
      </c>
      <c r="H513" s="75" t="n">
        <f aca="false">
IF($D513="정상",INDEX(임대자산!$D$3:$R$3000,MATCH($F513,임대자산!$I$3:$I$3000,0),MATCH(H$4,임대자산!$D$3:$R$3,0)),
IF($D513="폐업",INDEX(폐업정보!$D$3:$R$3000,MATCH($F513,폐업정보!$I$3:$I$3000,0),MATCH(H$4,폐업정보!$D$3:$R$3,0)),
"Error"))</f>
        <v>45896</v>
      </c>
      <c r="I513" s="75" t="str">
        <f aca="false">
IF($D513="정상",INDEX(임대자산!$D$3:$R$3000,MATCH($F513,임대자산!$I$3:$I$3000,0),MATCH(I$4,임대자산!$D$3:$R$3,0)),
IF($D513="폐업",INDEX(폐업정보!$D$3:$R$3000,MATCH($F513,폐업정보!$I$3:$I$3000,0),MATCH(I$4,폐업정보!$D$3:$R$3,0)),
"Error"))</f>
        <v>A0508</v>
      </c>
      <c r="J513" s="75" t="str">
        <f aca="false">
IF($D513="정상",INDEX(임대자산!$D$3:$R$3000,MATCH($F513,임대자산!$I$3:$I$3000,0),MATCH(J$4,임대자산!$D$3:$R$3,0)),
IF($D513="폐업",INDEX(폐업정보!$D$3:$R$3000,MATCH($F513,폐업정보!$I$3:$I$3000,0),MATCH(J$4,폐업정보!$D$3:$R$3,0)),
"Error"))</f>
        <v>6147700000</v>
      </c>
      <c r="K513" s="75" t="str">
        <f aca="false">
IF($D513="정상",INDEX(임대자산!$D$3:$R$3000,MATCH($F513,임대자산!$I$3:$I$3000,0),MATCH(K$4,임대자산!$D$3:$R$3,0)),
IF($D513="폐업",INDEX(폐업정보!$D$3:$R$3000,MATCH($F513,폐업정보!$I$3:$I$3000,0),MATCH(K$4,폐업정보!$D$3:$R$3,0)),
"Error"))</f>
        <v>C0508</v>
      </c>
      <c r="L513" s="75" t="str">
        <f aca="false">
IF($D513="정상",INDEX(임대자산!$D$3:$R$3000,MATCH($F513,임대자산!$I$3:$I$3000,0),MATCH(L$4,임대자산!$D$3:$R$3,0)),
IF($D513="폐업",INDEX(폐업정보!$D$3:$R$3000,MATCH($F513,폐업정보!$I$3:$I$3000,0),MATCH(L$4,폐업정보!$D$3:$R$3,0)),
"Error"))</f>
        <v>D0508</v>
      </c>
      <c r="M513" s="76" t="s">
        <v>96</v>
      </c>
      <c r="N513" s="77"/>
      <c r="O513" s="78" t="s">
        <v>97</v>
      </c>
      <c r="P513" s="79" t="n">
        <f aca="false">COUNTIFS(임대자산!$I:$I,가맹점정보!F513,임대자산!$N:$N,가맹점정보!P$4)</f>
        <v>0</v>
      </c>
      <c r="Q513" s="80" t="n">
        <f aca="false">COUNTIFS(임대자산!$I:$I,가맹점정보!F513,임대자산!$N:$N,가맹점정보!Q$4)</f>
        <v>0</v>
      </c>
      <c r="R513" s="81" t="n">
        <f aca="false">COUNTIFS(임대자산!$I:$I,가맹점정보!F513,임대자산!$N:$N,가맹점정보!R$4)</f>
        <v>1</v>
      </c>
      <c r="S513" s="82" t="n">
        <v>55000</v>
      </c>
      <c r="T513" s="83" t="n">
        <v>0</v>
      </c>
      <c r="U513" s="80" t="n">
        <f aca="false">SUM(S513:T513)</f>
        <v>55000</v>
      </c>
      <c r="V513" s="84" t="s">
        <v>12</v>
      </c>
      <c r="W513" s="80" t="e">
        <f aca="true">
IF(D513="폐업","폐업",
IF(V513="면제","면제",
IF(AND(V513="정상",COUNTIFS(OFFSET(Y513,0,COUNTA(Y513:AV513)-1,1,-4),"미납")&gt;=3),"장기미납",
IF(AND(V513="정상",OFFSET(Y513,0,COUNTA(Y513:AV513)-1)&gt;=U513),"정상",
IF(AND(V513="정상",OFFSET(Y513,0,COUNTA(Y513:AV513)-1)=0),"정상",
"계약서 미작성")))))</f>
        <v>#VALUE!</v>
      </c>
      <c r="X513" s="81" t="str">
        <f aca="true">
IF(D513="폐업","폐업",
IF(AND(V513="정상",OFFSET(Y513,0,COUNTA(Y513:AV513)-1)="미납"),"미납",
IF(AND(V513="정상",OFFSET(Y513,0,COUNTA(Y513:AV513)-1)=0),"납부 시작 전",
IF(AND(V513="정상",OFFSET(Y513,0,COUNTA(Y513:AV513)-1)&gt;=U513),"정상",
IF(AND(V513="면제",OFFSET(Y513,0,COUNTA(Y513:AV513)-1)="면제"),"면제",
IF(AND(V513="면제",OFFSET(Y513,0,COUNTA(Y513:AV513)-1)=0),"면제",
"확인요청"))))))</f>
        <v>정상</v>
      </c>
      <c r="Y513" s="93" t="n">
        <v>55000</v>
      </c>
      <c r="Z513" s="90" t="n">
        <v>55000</v>
      </c>
      <c r="AA513" s="90" t="n">
        <v>55000</v>
      </c>
      <c r="AB513" s="90" t="n">
        <v>55000</v>
      </c>
      <c r="AC513" s="90" t="n">
        <v>55000</v>
      </c>
      <c r="AD513" s="90" t="n">
        <v>55000</v>
      </c>
      <c r="AE513" s="90" t="n">
        <v>55000</v>
      </c>
      <c r="AF513" s="90" t="n">
        <v>55000</v>
      </c>
      <c r="AG513" s="90" t="n">
        <v>55000</v>
      </c>
      <c r="AH513" s="90" t="n">
        <v>55000</v>
      </c>
      <c r="AI513" s="90" t="n">
        <v>55000</v>
      </c>
      <c r="AJ513" s="91" t="n">
        <v>55000</v>
      </c>
      <c r="AK513" s="89" t="n">
        <v>55000</v>
      </c>
      <c r="AL513" s="90" t="n">
        <v>55000</v>
      </c>
      <c r="AM513" s="90"/>
      <c r="AN513" s="90"/>
      <c r="AO513" s="90"/>
      <c r="AP513" s="90"/>
      <c r="AQ513" s="90"/>
      <c r="AR513" s="90"/>
      <c r="AS513" s="90"/>
      <c r="AT513" s="90"/>
      <c r="AU513" s="90"/>
      <c r="AV513" s="91"/>
      <c r="AX513" s="92"/>
    </row>
    <row r="514" customFormat="false" ht="15.65" hidden="false" customHeight="false" outlineLevel="0" collapsed="false">
      <c r="C514" s="72" t="n">
        <f aca="false">COUNTIFS($D$6:D514,"&lt;&gt;"&amp;"")</f>
        <v>509</v>
      </c>
      <c r="D514" s="73" t="s">
        <v>12</v>
      </c>
      <c r="E514" s="76" t="str">
        <f aca="false">
IF($D514="정상",INDEX(임대자산!$D$3:$R$3000,MATCH($F514,임대자산!$I$3:$I$3000,0),MATCH(E$3,임대자산!$D$3:$R$3,0)),
IF($D514="폐업",INDEX(폐업정보!$D$3:$R$3000,MATCH($F514,폐업정보!$I$3:$I$3000,0),MATCH(E$3,폐업정보!$D$3:$R$3,0)),
"Error"))</f>
        <v>경상</v>
      </c>
      <c r="F51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B0509</v>
      </c>
      <c r="G514" s="76" t="str">
        <f aca="false">F514&amp;RANDBETWEEN(0,10)</f>
        <v>B05090</v>
      </c>
      <c r="H514" s="75" t="n">
        <f aca="false">
IF($D514="정상",INDEX(임대자산!$D$3:$R$3000,MATCH($F514,임대자산!$I$3:$I$3000,0),MATCH(H$4,임대자산!$D$3:$R$3,0)),
IF($D514="폐업",INDEX(폐업정보!$D$3:$R$3000,MATCH($F514,폐업정보!$I$3:$I$3000,0),MATCH(H$4,폐업정보!$D$3:$R$3,0)),
"Error"))</f>
        <v>45924</v>
      </c>
      <c r="I514" s="75" t="str">
        <f aca="false">
IF($D514="정상",INDEX(임대자산!$D$3:$R$3000,MATCH($F514,임대자산!$I$3:$I$3000,0),MATCH(I$4,임대자산!$D$3:$R$3,0)),
IF($D514="폐업",INDEX(폐업정보!$D$3:$R$3000,MATCH($F514,폐업정보!$I$3:$I$3000,0),MATCH(I$4,폐업정보!$D$3:$R$3,0)),
"Error"))</f>
        <v>A0509</v>
      </c>
      <c r="J514" s="75" t="str">
        <f aca="false">
IF($D514="정상",INDEX(임대자산!$D$3:$R$3000,MATCH($F514,임대자산!$I$3:$I$3000,0),MATCH(J$4,임대자산!$D$3:$R$3,0)),
IF($D514="폐업",INDEX(폐업정보!$D$3:$R$3000,MATCH($F514,폐업정보!$I$3:$I$3000,0),MATCH(J$4,폐업정보!$D$3:$R$3,0)),
"Error"))</f>
        <v>6959800000</v>
      </c>
      <c r="K514" s="75" t="str">
        <f aca="false">
IF($D514="정상",INDEX(임대자산!$D$3:$R$3000,MATCH($F514,임대자산!$I$3:$I$3000,0),MATCH(K$4,임대자산!$D$3:$R$3,0)),
IF($D514="폐업",INDEX(폐업정보!$D$3:$R$3000,MATCH($F514,폐업정보!$I$3:$I$3000,0),MATCH(K$4,폐업정보!$D$3:$R$3,0)),
"Error"))</f>
        <v>C0509</v>
      </c>
      <c r="L514" s="75" t="str">
        <f aca="false">
IF($D514="정상",INDEX(임대자산!$D$3:$R$3000,MATCH($F514,임대자산!$I$3:$I$3000,0),MATCH(L$4,임대자산!$D$3:$R$3,0)),
IF($D514="폐업",INDEX(폐업정보!$D$3:$R$3000,MATCH($F514,폐업정보!$I$3:$I$3000,0),MATCH(L$4,폐업정보!$D$3:$R$3,0)),
"Error"))</f>
        <v>D0509</v>
      </c>
      <c r="M514" s="76" t="s">
        <v>96</v>
      </c>
      <c r="N514" s="77"/>
      <c r="O514" s="78" t="s">
        <v>97</v>
      </c>
      <c r="P514" s="79" t="n">
        <f aca="false">COUNTIFS(임대자산!$I:$I,가맹점정보!F514,임대자산!$N:$N,가맹점정보!P$4)</f>
        <v>0</v>
      </c>
      <c r="Q514" s="80" t="n">
        <f aca="false">COUNTIFS(임대자산!$I:$I,가맹점정보!F514,임대자산!$N:$N,가맹점정보!Q$4)</f>
        <v>0</v>
      </c>
      <c r="R514" s="81" t="n">
        <f aca="false">COUNTIFS(임대자산!$I:$I,가맹점정보!F514,임대자산!$N:$N,가맹점정보!R$4)</f>
        <v>1</v>
      </c>
      <c r="S514" s="82" t="n">
        <v>55000</v>
      </c>
      <c r="T514" s="83" t="n">
        <v>0</v>
      </c>
      <c r="U514" s="80" t="n">
        <f aca="false">SUM(S514:T514)</f>
        <v>55000</v>
      </c>
      <c r="V514" s="84" t="s">
        <v>12</v>
      </c>
      <c r="W514" s="80" t="e">
        <f aca="true">
IF(D514="폐업","폐업",
IF(V514="면제","면제",
IF(AND(V514="정상",COUNTIFS(OFFSET(Y514,0,COUNTA(Y514:AV514)-1,1,-4),"미납")&gt;=3),"장기미납",
IF(AND(V514="정상",OFFSET(Y514,0,COUNTA(Y514:AV514)-1)&gt;=U514),"정상",
IF(AND(V514="정상",OFFSET(Y514,0,COUNTA(Y514:AV514)-1)=0),"정상",
"계약서 미작성")))))</f>
        <v>#VALUE!</v>
      </c>
      <c r="X514" s="81" t="str">
        <f aca="true">
IF(D514="폐업","폐업",
IF(AND(V514="정상",OFFSET(Y514,0,COUNTA(Y514:AV514)-1)="미납"),"미납",
IF(AND(V514="정상",OFFSET(Y514,0,COUNTA(Y514:AV514)-1)=0),"납부 시작 전",
IF(AND(V514="정상",OFFSET(Y514,0,COUNTA(Y514:AV514)-1)&gt;=U514),"정상",
IF(AND(V514="면제",OFFSET(Y514,0,COUNTA(Y514:AV514)-1)="면제"),"면제",
IF(AND(V514="면제",OFFSET(Y514,0,COUNTA(Y514:AV514)-1)=0),"면제",
"확인요청"))))))</f>
        <v>정상</v>
      </c>
      <c r="Y514" s="93" t="n">
        <v>55000</v>
      </c>
      <c r="Z514" s="90" t="n">
        <v>55000</v>
      </c>
      <c r="AA514" s="90" t="n">
        <v>55000</v>
      </c>
      <c r="AB514" s="90" t="n">
        <v>55000</v>
      </c>
      <c r="AC514" s="90" t="n">
        <v>55000</v>
      </c>
      <c r="AD514" s="90" t="n">
        <v>55000</v>
      </c>
      <c r="AE514" s="90" t="n">
        <v>55000</v>
      </c>
      <c r="AF514" s="90" t="n">
        <v>55000</v>
      </c>
      <c r="AG514" s="90" t="n">
        <v>55000</v>
      </c>
      <c r="AH514" s="90" t="n">
        <v>55000</v>
      </c>
      <c r="AI514" s="90" t="n">
        <v>55000</v>
      </c>
      <c r="AJ514" s="91" t="n">
        <v>55000</v>
      </c>
      <c r="AK514" s="89" t="n">
        <v>55000</v>
      </c>
      <c r="AL514" s="90" t="n">
        <v>55000</v>
      </c>
      <c r="AM514" s="90"/>
      <c r="AN514" s="90"/>
      <c r="AO514" s="90"/>
      <c r="AP514" s="90"/>
      <c r="AQ514" s="90"/>
      <c r="AR514" s="90"/>
      <c r="AS514" s="90"/>
      <c r="AT514" s="90"/>
      <c r="AU514" s="90"/>
      <c r="AV514" s="91"/>
      <c r="AX514" s="92"/>
    </row>
    <row r="515" customFormat="false" ht="15.65" hidden="false" customHeight="false" outlineLevel="0" collapsed="false">
      <c r="C515" s="72" t="n">
        <f aca="false">COUNTIFS($D$6:D515,"&lt;&gt;"&amp;"")</f>
        <v>510</v>
      </c>
      <c r="D515" s="73" t="s">
        <v>12</v>
      </c>
      <c r="E515" s="76" t="str">
        <f aca="false">
IF($D515="정상",INDEX(임대자산!$D$3:$R$3000,MATCH($F515,임대자산!$I$3:$I$3000,0),MATCH(E$3,임대자산!$D$3:$R$3,0)),
IF($D515="폐업",INDEX(폐업정보!$D$3:$R$3000,MATCH($F515,폐업정보!$I$3:$I$3000,0),MATCH(E$3,폐업정보!$D$3:$R$3,0)),
"Error"))</f>
        <v>경상</v>
      </c>
      <c r="F51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B0510</v>
      </c>
      <c r="G515" s="76" t="str">
        <f aca="false">F515&amp;RANDBETWEEN(0,10)</f>
        <v>B05106</v>
      </c>
      <c r="H515" s="75" t="n">
        <f aca="false">
IF($D515="정상",INDEX(임대자산!$D$3:$R$3000,MATCH($F515,임대자산!$I$3:$I$3000,0),MATCH(H$4,임대자산!$D$3:$R$3,0)),
IF($D515="폐업",INDEX(폐업정보!$D$3:$R$3000,MATCH($F515,폐업정보!$I$3:$I$3000,0),MATCH(H$4,폐업정보!$D$3:$R$3,0)),
"Error"))</f>
        <v>45919</v>
      </c>
      <c r="I515" s="75" t="str">
        <f aca="false">
IF($D515="정상",INDEX(임대자산!$D$3:$R$3000,MATCH($F515,임대자산!$I$3:$I$3000,0),MATCH(I$4,임대자산!$D$3:$R$3,0)),
IF($D515="폐업",INDEX(폐업정보!$D$3:$R$3000,MATCH($F515,폐업정보!$I$3:$I$3000,0),MATCH(I$4,폐업정보!$D$3:$R$3,0)),
"Error"))</f>
        <v>A0510</v>
      </c>
      <c r="J515" s="75" t="str">
        <f aca="false">
IF($D515="정상",INDEX(임대자산!$D$3:$R$3000,MATCH($F515,임대자산!$I$3:$I$3000,0),MATCH(J$4,임대자산!$D$3:$R$3,0)),
IF($D515="폐업",INDEX(폐업정보!$D$3:$R$3000,MATCH($F515,폐업정보!$I$3:$I$3000,0),MATCH(J$4,폐업정보!$D$3:$R$3,0)),
"Error"))</f>
        <v>7880000000</v>
      </c>
      <c r="K515" s="75" t="str">
        <f aca="false">
IF($D515="정상",INDEX(임대자산!$D$3:$R$3000,MATCH($F515,임대자산!$I$3:$I$3000,0),MATCH(K$4,임대자산!$D$3:$R$3,0)),
IF($D515="폐업",INDEX(폐업정보!$D$3:$R$3000,MATCH($F515,폐업정보!$I$3:$I$3000,0),MATCH(K$4,폐업정보!$D$3:$R$3,0)),
"Error"))</f>
        <v>C0510</v>
      </c>
      <c r="L515" s="75" t="str">
        <f aca="false">
IF($D515="정상",INDEX(임대자산!$D$3:$R$3000,MATCH($F515,임대자산!$I$3:$I$3000,0),MATCH(L$4,임대자산!$D$3:$R$3,0)),
IF($D515="폐업",INDEX(폐업정보!$D$3:$R$3000,MATCH($F515,폐업정보!$I$3:$I$3000,0),MATCH(L$4,폐업정보!$D$3:$R$3,0)),
"Error"))</f>
        <v>D0510</v>
      </c>
      <c r="M515" s="76" t="s">
        <v>96</v>
      </c>
      <c r="N515" s="77"/>
      <c r="O515" s="78" t="s">
        <v>97</v>
      </c>
      <c r="P515" s="79" t="n">
        <f aca="false">COUNTIFS(임대자산!$I:$I,가맹점정보!F515,임대자산!$N:$N,가맹점정보!P$4)</f>
        <v>0</v>
      </c>
      <c r="Q515" s="80" t="n">
        <f aca="false">COUNTIFS(임대자산!$I:$I,가맹점정보!F515,임대자산!$N:$N,가맹점정보!Q$4)</f>
        <v>0</v>
      </c>
      <c r="R515" s="81" t="n">
        <f aca="false">COUNTIFS(임대자산!$I:$I,가맹점정보!F515,임대자산!$N:$N,가맹점정보!R$4)</f>
        <v>1</v>
      </c>
      <c r="S515" s="82" t="n">
        <v>110000</v>
      </c>
      <c r="T515" s="83" t="n">
        <v>0</v>
      </c>
      <c r="U515" s="80" t="n">
        <f aca="false">SUM(S515:T515)</f>
        <v>110000</v>
      </c>
      <c r="V515" s="84" t="s">
        <v>12</v>
      </c>
      <c r="W515" s="80" t="e">
        <f aca="true">
IF(D515="폐업","폐업",
IF(V515="면제","면제",
IF(AND(V515="정상",COUNTIFS(OFFSET(Y515,0,COUNTA(Y515:AV515)-1,1,-4),"미납")&gt;=3),"장기미납",
IF(AND(V515="정상",OFFSET(Y515,0,COUNTA(Y515:AV515)-1)&gt;=U515),"정상",
IF(AND(V515="정상",OFFSET(Y515,0,COUNTA(Y515:AV515)-1)=0),"정상",
"계약서 미작성")))))</f>
        <v>#VALUE!</v>
      </c>
      <c r="X515" s="81" t="str">
        <f aca="true">
IF(D515="폐업","폐업",
IF(AND(V515="정상",OFFSET(Y515,0,COUNTA(Y515:AV515)-1)="미납"),"미납",
IF(AND(V515="정상",OFFSET(Y515,0,COUNTA(Y515:AV515)-1)=0),"납부 시작 전",
IF(AND(V515="정상",OFFSET(Y515,0,COUNTA(Y515:AV515)-1)&gt;=U515),"정상",
IF(AND(V515="면제",OFFSET(Y515,0,COUNTA(Y515:AV515)-1)="면제"),"면제",
IF(AND(V515="면제",OFFSET(Y515,0,COUNTA(Y515:AV515)-1)=0),"면제",
"확인요청"))))))</f>
        <v>정상</v>
      </c>
      <c r="Y515" s="93" t="n">
        <v>110000</v>
      </c>
      <c r="Z515" s="90" t="n">
        <v>110000</v>
      </c>
      <c r="AA515" s="90" t="n">
        <v>110000</v>
      </c>
      <c r="AB515" s="90" t="n">
        <v>110000</v>
      </c>
      <c r="AC515" s="90" t="n">
        <v>110000</v>
      </c>
      <c r="AD515" s="90" t="n">
        <v>110000</v>
      </c>
      <c r="AE515" s="90" t="n">
        <v>110000</v>
      </c>
      <c r="AF515" s="90" t="n">
        <v>110000</v>
      </c>
      <c r="AG515" s="90" t="n">
        <v>110000</v>
      </c>
      <c r="AH515" s="90" t="n">
        <v>110000</v>
      </c>
      <c r="AI515" s="90" t="n">
        <v>110000</v>
      </c>
      <c r="AJ515" s="91" t="n">
        <v>110000</v>
      </c>
      <c r="AK515" s="89" t="n">
        <v>110000</v>
      </c>
      <c r="AL515" s="90" t="n">
        <v>110000</v>
      </c>
      <c r="AM515" s="90"/>
      <c r="AN515" s="90"/>
      <c r="AO515" s="90"/>
      <c r="AP515" s="90"/>
      <c r="AQ515" s="90"/>
      <c r="AR515" s="90"/>
      <c r="AS515" s="90"/>
      <c r="AT515" s="90"/>
      <c r="AU515" s="90"/>
      <c r="AV515" s="91"/>
      <c r="AX515" s="92"/>
    </row>
    <row r="516" customFormat="false" ht="15.65" hidden="false" customHeight="false" outlineLevel="0" collapsed="false">
      <c r="C516" s="72" t="n">
        <f aca="false">COUNTIFS($D$6:D516,"&lt;&gt;"&amp;"")</f>
        <v>511</v>
      </c>
      <c r="D516" s="73" t="s">
        <v>12</v>
      </c>
      <c r="E516" s="76" t="str">
        <f aca="false">
IF($D516="정상",INDEX(임대자산!$D$3:$R$3000,MATCH($F516,임대자산!$I$3:$I$3000,0),MATCH(E$3,임대자산!$D$3:$R$3,0)),
IF($D516="폐업",INDEX(폐업정보!$D$3:$R$3000,MATCH($F516,폐업정보!$I$3:$I$3000,0),MATCH(E$3,폐업정보!$D$3:$R$3,0)),
"Error"))</f>
        <v>강원</v>
      </c>
      <c r="F51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B0511</v>
      </c>
      <c r="G516" s="76" t="str">
        <f aca="false">F516&amp;RANDBETWEEN(0,10)</f>
        <v>B051110</v>
      </c>
      <c r="H516" s="75" t="n">
        <f aca="false">
IF($D516="정상",INDEX(임대자산!$D$3:$R$3000,MATCH($F516,임대자산!$I$3:$I$3000,0),MATCH(H$4,임대자산!$D$3:$R$3,0)),
IF($D516="폐업",INDEX(폐업정보!$D$3:$R$3000,MATCH($F516,폐업정보!$I$3:$I$3000,0),MATCH(H$4,폐업정보!$D$3:$R$3,0)),
"Error"))</f>
        <v>45926</v>
      </c>
      <c r="I516" s="75" t="str">
        <f aca="false">
IF($D516="정상",INDEX(임대자산!$D$3:$R$3000,MATCH($F516,임대자산!$I$3:$I$3000,0),MATCH(I$4,임대자산!$D$3:$R$3,0)),
IF($D516="폐업",INDEX(폐업정보!$D$3:$R$3000,MATCH($F516,폐업정보!$I$3:$I$3000,0),MATCH(I$4,폐업정보!$D$3:$R$3,0)),
"Error"))</f>
        <v>A0511</v>
      </c>
      <c r="J516" s="75" t="str">
        <f aca="false">
IF($D516="정상",INDEX(임대자산!$D$3:$R$3000,MATCH($F516,임대자산!$I$3:$I$3000,0),MATCH(J$4,임대자산!$D$3:$R$3,0)),
IF($D516="폐업",INDEX(폐업정보!$D$3:$R$3000,MATCH($F516,폐업정보!$I$3:$I$3000,0),MATCH(J$4,폐업정보!$D$3:$R$3,0)),
"Error"))</f>
        <v>2020200000</v>
      </c>
      <c r="K516" s="75" t="str">
        <f aca="false">
IF($D516="정상",INDEX(임대자산!$D$3:$R$3000,MATCH($F516,임대자산!$I$3:$I$3000,0),MATCH(K$4,임대자산!$D$3:$R$3,0)),
IF($D516="폐업",INDEX(폐업정보!$D$3:$R$3000,MATCH($F516,폐업정보!$I$3:$I$3000,0),MATCH(K$4,폐업정보!$D$3:$R$3,0)),
"Error"))</f>
        <v>C0511</v>
      </c>
      <c r="L516" s="75" t="str">
        <f aca="false">
IF($D516="정상",INDEX(임대자산!$D$3:$R$3000,MATCH($F516,임대자산!$I$3:$I$3000,0),MATCH(L$4,임대자산!$D$3:$R$3,0)),
IF($D516="폐업",INDEX(폐업정보!$D$3:$R$3000,MATCH($F516,폐업정보!$I$3:$I$3000,0),MATCH(L$4,폐업정보!$D$3:$R$3,0)),
"Error"))</f>
        <v>D0511</v>
      </c>
      <c r="M516" s="76" t="s">
        <v>96</v>
      </c>
      <c r="N516" s="77"/>
      <c r="O516" s="78" t="s">
        <v>97</v>
      </c>
      <c r="P516" s="79" t="n">
        <f aca="false">COUNTIFS(임대자산!$I:$I,가맹점정보!F516,임대자산!$N:$N,가맹점정보!P$4)</f>
        <v>0</v>
      </c>
      <c r="Q516" s="80" t="n">
        <f aca="false">COUNTIFS(임대자산!$I:$I,가맹점정보!F516,임대자산!$N:$N,가맹점정보!Q$4)</f>
        <v>0</v>
      </c>
      <c r="R516" s="81" t="n">
        <f aca="false">COUNTIFS(임대자산!$I:$I,가맹점정보!F516,임대자산!$N:$N,가맹점정보!R$4)</f>
        <v>1</v>
      </c>
      <c r="S516" s="82" t="n">
        <v>110000</v>
      </c>
      <c r="T516" s="83" t="n">
        <v>0</v>
      </c>
      <c r="U516" s="80" t="n">
        <f aca="false">SUM(S516:T516)</f>
        <v>110000</v>
      </c>
      <c r="V516" s="84" t="s">
        <v>12</v>
      </c>
      <c r="W516" s="80" t="e">
        <f aca="true">
IF(D516="폐업","폐업",
IF(V516="면제","면제",
IF(AND(V516="정상",COUNTIFS(OFFSET(Y516,0,COUNTA(Y516:AV516)-1,1,-4),"미납")&gt;=3),"장기미납",
IF(AND(V516="정상",OFFSET(Y516,0,COUNTA(Y516:AV516)-1)&gt;=U516),"정상",
IF(AND(V516="정상",OFFSET(Y516,0,COUNTA(Y516:AV516)-1)=0),"정상",
"계약서 미작성")))))</f>
        <v>#VALUE!</v>
      </c>
      <c r="X516" s="81" t="str">
        <f aca="true">
IF(D516="폐업","폐업",
IF(AND(V516="정상",OFFSET(Y516,0,COUNTA(Y516:AV516)-1)="미납"),"미납",
IF(AND(V516="정상",OFFSET(Y516,0,COUNTA(Y516:AV516)-1)=0),"납부 시작 전",
IF(AND(V516="정상",OFFSET(Y516,0,COUNTA(Y516:AV516)-1)&gt;=U516),"정상",
IF(AND(V516="면제",OFFSET(Y516,0,COUNTA(Y516:AV516)-1)="면제"),"면제",
IF(AND(V516="면제",OFFSET(Y516,0,COUNTA(Y516:AV516)-1)=0),"면제",
"확인요청"))))))</f>
        <v>정상</v>
      </c>
      <c r="Y516" s="93" t="n">
        <v>110000</v>
      </c>
      <c r="Z516" s="90" t="n">
        <v>110000</v>
      </c>
      <c r="AA516" s="90" t="n">
        <v>110000</v>
      </c>
      <c r="AB516" s="90" t="n">
        <v>110000</v>
      </c>
      <c r="AC516" s="90" t="n">
        <v>110000</v>
      </c>
      <c r="AD516" s="90" t="n">
        <v>110000</v>
      </c>
      <c r="AE516" s="90" t="n">
        <v>110000</v>
      </c>
      <c r="AF516" s="90" t="n">
        <v>110000</v>
      </c>
      <c r="AG516" s="90" t="n">
        <v>110000</v>
      </c>
      <c r="AH516" s="90" t="n">
        <v>110000</v>
      </c>
      <c r="AI516" s="90" t="n">
        <v>110000</v>
      </c>
      <c r="AJ516" s="91" t="n">
        <v>110000</v>
      </c>
      <c r="AK516" s="89" t="n">
        <v>110000</v>
      </c>
      <c r="AL516" s="90" t="n">
        <v>110000</v>
      </c>
      <c r="AM516" s="90"/>
      <c r="AN516" s="90"/>
      <c r="AO516" s="90"/>
      <c r="AP516" s="90"/>
      <c r="AQ516" s="90"/>
      <c r="AR516" s="90"/>
      <c r="AS516" s="90"/>
      <c r="AT516" s="90"/>
      <c r="AU516" s="90"/>
      <c r="AV516" s="91"/>
      <c r="AX516" s="92"/>
    </row>
    <row r="517" customFormat="false" ht="15.65" hidden="false" customHeight="false" outlineLevel="0" collapsed="false">
      <c r="C517" s="72" t="n">
        <f aca="false">COUNTIFS($D$6:D517,"&lt;&gt;"&amp;"")</f>
        <v>512</v>
      </c>
      <c r="D517" s="73" t="s">
        <v>12</v>
      </c>
      <c r="E517" s="76" t="str">
        <f aca="false">
IF($D517="정상",INDEX(임대자산!$D$3:$R$3000,MATCH($F517,임대자산!$I$3:$I$3000,0),MATCH(E$3,임대자산!$D$3:$R$3,0)),
IF($D517="폐업",INDEX(폐업정보!$D$3:$R$3000,MATCH($F517,폐업정보!$I$3:$I$3000,0),MATCH(E$3,폐업정보!$D$3:$R$3,0)),
"Error"))</f>
        <v>전라</v>
      </c>
      <c r="F51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B0512</v>
      </c>
      <c r="G517" s="76" t="str">
        <f aca="false">F517&amp;RANDBETWEEN(0,10)</f>
        <v>B05121</v>
      </c>
      <c r="H517" s="75" t="n">
        <f aca="false">
IF($D517="정상",INDEX(임대자산!$D$3:$R$3000,MATCH($F517,임대자산!$I$3:$I$3000,0),MATCH(H$4,임대자산!$D$3:$R$3,0)),
IF($D517="폐업",INDEX(폐업정보!$D$3:$R$3000,MATCH($F517,폐업정보!$I$3:$I$3000,0),MATCH(H$4,폐업정보!$D$3:$R$3,0)),
"Error"))</f>
        <v>45917</v>
      </c>
      <c r="I517" s="75" t="str">
        <f aca="false">
IF($D517="정상",INDEX(임대자산!$D$3:$R$3000,MATCH($F517,임대자산!$I$3:$I$3000,0),MATCH(I$4,임대자산!$D$3:$R$3,0)),
IF($D517="폐업",INDEX(폐업정보!$D$3:$R$3000,MATCH($F517,폐업정보!$I$3:$I$3000,0),MATCH(I$4,폐업정보!$D$3:$R$3,0)),
"Error"))</f>
        <v>A0512</v>
      </c>
      <c r="J517" s="75" t="str">
        <f aca="false">
IF($D517="정상",INDEX(임대자산!$D$3:$R$3000,MATCH($F517,임대자산!$I$3:$I$3000,0),MATCH(J$4,임대자산!$D$3:$R$3,0)),
IF($D517="폐업",INDEX(폐업정보!$D$3:$R$3000,MATCH($F517,폐업정보!$I$3:$I$3000,0),MATCH(J$4,폐업정보!$D$3:$R$3,0)),
"Error"))</f>
        <v>7857000000</v>
      </c>
      <c r="K517" s="75" t="str">
        <f aca="false">
IF($D517="정상",INDEX(임대자산!$D$3:$R$3000,MATCH($F517,임대자산!$I$3:$I$3000,0),MATCH(K$4,임대자산!$D$3:$R$3,0)),
IF($D517="폐업",INDEX(폐업정보!$D$3:$R$3000,MATCH($F517,폐업정보!$I$3:$I$3000,0),MATCH(K$4,폐업정보!$D$3:$R$3,0)),
"Error"))</f>
        <v>C0512</v>
      </c>
      <c r="L517" s="75" t="str">
        <f aca="false">
IF($D517="정상",INDEX(임대자산!$D$3:$R$3000,MATCH($F517,임대자산!$I$3:$I$3000,0),MATCH(L$4,임대자산!$D$3:$R$3,0)),
IF($D517="폐업",INDEX(폐업정보!$D$3:$R$3000,MATCH($F517,폐업정보!$I$3:$I$3000,0),MATCH(L$4,폐업정보!$D$3:$R$3,0)),
"Error"))</f>
        <v>D0512</v>
      </c>
      <c r="M517" s="76" t="s">
        <v>96</v>
      </c>
      <c r="N517" s="77"/>
      <c r="O517" s="78" t="s">
        <v>97</v>
      </c>
      <c r="P517" s="79" t="n">
        <f aca="false">COUNTIFS(임대자산!$I:$I,가맹점정보!F517,임대자산!$N:$N,가맹점정보!P$4)</f>
        <v>0</v>
      </c>
      <c r="Q517" s="80" t="n">
        <f aca="false">COUNTIFS(임대자산!$I:$I,가맹점정보!F517,임대자산!$N:$N,가맹점정보!Q$4)</f>
        <v>0</v>
      </c>
      <c r="R517" s="81" t="n">
        <f aca="false">COUNTIFS(임대자산!$I:$I,가맹점정보!F517,임대자산!$N:$N,가맹점정보!R$4)</f>
        <v>1</v>
      </c>
      <c r="S517" s="82" t="n">
        <v>55000</v>
      </c>
      <c r="T517" s="83" t="n">
        <v>0</v>
      </c>
      <c r="U517" s="80" t="n">
        <f aca="false">SUM(S517:T517)</f>
        <v>55000</v>
      </c>
      <c r="V517" s="84" t="s">
        <v>12</v>
      </c>
      <c r="W517" s="80" t="e">
        <f aca="true">
IF(D517="폐업","폐업",
IF(V517="면제","면제",
IF(AND(V517="정상",COUNTIFS(OFFSET(Y517,0,COUNTA(Y517:AV517)-1,1,-4),"미납")&gt;=3),"장기미납",
IF(AND(V517="정상",OFFSET(Y517,0,COUNTA(Y517:AV517)-1)&gt;=U517),"정상",
IF(AND(V517="정상",OFFSET(Y517,0,COUNTA(Y517:AV517)-1)=0),"정상",
"계약서 미작성")))))</f>
        <v>#VALUE!</v>
      </c>
      <c r="X517" s="81" t="str">
        <f aca="true">
IF(D517="폐업","폐업",
IF(AND(V517="정상",OFFSET(Y517,0,COUNTA(Y517:AV517)-1)="미납"),"미납",
IF(AND(V517="정상",OFFSET(Y517,0,COUNTA(Y517:AV517)-1)=0),"납부 시작 전",
IF(AND(V517="정상",OFFSET(Y517,0,COUNTA(Y517:AV517)-1)&gt;=U517),"정상",
IF(AND(V517="면제",OFFSET(Y517,0,COUNTA(Y517:AV517)-1)="면제"),"면제",
IF(AND(V517="면제",OFFSET(Y517,0,COUNTA(Y517:AV517)-1)=0),"면제",
"확인요청"))))))</f>
        <v>정상</v>
      </c>
      <c r="Y517" s="93" t="n">
        <v>55000</v>
      </c>
      <c r="Z517" s="90" t="n">
        <v>55000</v>
      </c>
      <c r="AA517" s="90" t="n">
        <v>55000</v>
      </c>
      <c r="AB517" s="90" t="n">
        <v>55000</v>
      </c>
      <c r="AC517" s="90" t="n">
        <v>55000</v>
      </c>
      <c r="AD517" s="90" t="n">
        <v>55000</v>
      </c>
      <c r="AE517" s="90" t="n">
        <v>55000</v>
      </c>
      <c r="AF517" s="90" t="n">
        <v>55000</v>
      </c>
      <c r="AG517" s="90" t="n">
        <v>55000</v>
      </c>
      <c r="AH517" s="90" t="n">
        <v>55000</v>
      </c>
      <c r="AI517" s="90" t="n">
        <v>55000</v>
      </c>
      <c r="AJ517" s="91" t="n">
        <v>55000</v>
      </c>
      <c r="AK517" s="89" t="n">
        <v>55000</v>
      </c>
      <c r="AL517" s="90" t="n">
        <v>55000</v>
      </c>
      <c r="AM517" s="90"/>
      <c r="AN517" s="90"/>
      <c r="AO517" s="90"/>
      <c r="AP517" s="90"/>
      <c r="AQ517" s="90"/>
      <c r="AR517" s="90"/>
      <c r="AS517" s="90"/>
      <c r="AT517" s="90"/>
      <c r="AU517" s="90"/>
      <c r="AV517" s="91"/>
      <c r="AX517" s="92"/>
    </row>
    <row r="518" customFormat="false" ht="15.65" hidden="false" customHeight="false" outlineLevel="0" collapsed="false">
      <c r="C518" s="72" t="n">
        <f aca="false">COUNTIFS($D$6:D518,"&lt;&gt;"&amp;"")</f>
        <v>513</v>
      </c>
      <c r="D518" s="73" t="s">
        <v>12</v>
      </c>
      <c r="E518" s="76" t="str">
        <f aca="false">
IF($D518="정상",INDEX(임대자산!$D$3:$R$3000,MATCH($F518,임대자산!$I$3:$I$3000,0),MATCH(E$3,임대자산!$D$3:$R$3,0)),
IF($D518="폐업",INDEX(폐업정보!$D$3:$R$3000,MATCH($F518,폐업정보!$I$3:$I$3000,0),MATCH(E$3,폐업정보!$D$3:$R$3,0)),
"Error"))</f>
        <v>강원</v>
      </c>
      <c r="F51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B0513</v>
      </c>
      <c r="G518" s="76" t="str">
        <f aca="false">F518&amp;RANDBETWEEN(0,10)</f>
        <v>B05134</v>
      </c>
      <c r="H518" s="75" t="n">
        <f aca="false">
IF($D518="정상",INDEX(임대자산!$D$3:$R$3000,MATCH($F518,임대자산!$I$3:$I$3000,0),MATCH(H$4,임대자산!$D$3:$R$3,0)),
IF($D518="폐업",INDEX(폐업정보!$D$3:$R$3000,MATCH($F518,폐업정보!$I$3:$I$3000,0),MATCH(H$4,폐업정보!$D$3:$R$3,0)),
"Error"))</f>
        <v>45925</v>
      </c>
      <c r="I518" s="75" t="str">
        <f aca="false">
IF($D518="정상",INDEX(임대자산!$D$3:$R$3000,MATCH($F518,임대자산!$I$3:$I$3000,0),MATCH(I$4,임대자산!$D$3:$R$3,0)),
IF($D518="폐업",INDEX(폐업정보!$D$3:$R$3000,MATCH($F518,폐업정보!$I$3:$I$3000,0),MATCH(I$4,폐업정보!$D$3:$R$3,0)),
"Error"))</f>
        <v>A0513</v>
      </c>
      <c r="J518" s="75" t="str">
        <f aca="false">
IF($D518="정상",INDEX(임대자산!$D$3:$R$3000,MATCH($F518,임대자산!$I$3:$I$3000,0),MATCH(J$4,임대자산!$D$3:$R$3,0)),
IF($D518="폐업",INDEX(폐업정보!$D$3:$R$3000,MATCH($F518,폐업정보!$I$3:$I$3000,0),MATCH(J$4,폐업정보!$D$3:$R$3,0)),
"Error"))</f>
        <v>1965100000</v>
      </c>
      <c r="K518" s="75" t="str">
        <f aca="false">
IF($D518="정상",INDEX(임대자산!$D$3:$R$3000,MATCH($F518,임대자산!$I$3:$I$3000,0),MATCH(K$4,임대자산!$D$3:$R$3,0)),
IF($D518="폐업",INDEX(폐업정보!$D$3:$R$3000,MATCH($F518,폐업정보!$I$3:$I$3000,0),MATCH(K$4,폐업정보!$D$3:$R$3,0)),
"Error"))</f>
        <v>C0513</v>
      </c>
      <c r="L518" s="75" t="str">
        <f aca="false">
IF($D518="정상",INDEX(임대자산!$D$3:$R$3000,MATCH($F518,임대자산!$I$3:$I$3000,0),MATCH(L$4,임대자산!$D$3:$R$3,0)),
IF($D518="폐업",INDEX(폐업정보!$D$3:$R$3000,MATCH($F518,폐업정보!$I$3:$I$3000,0),MATCH(L$4,폐업정보!$D$3:$R$3,0)),
"Error"))</f>
        <v>D0513</v>
      </c>
      <c r="M518" s="76" t="s">
        <v>96</v>
      </c>
      <c r="N518" s="77"/>
      <c r="O518" s="78" t="s">
        <v>97</v>
      </c>
      <c r="P518" s="79" t="n">
        <f aca="false">COUNTIFS(임대자산!$I:$I,가맹점정보!F518,임대자산!$N:$N,가맹점정보!P$4)</f>
        <v>0</v>
      </c>
      <c r="Q518" s="80" t="n">
        <f aca="false">COUNTIFS(임대자산!$I:$I,가맹점정보!F518,임대자산!$N:$N,가맹점정보!Q$4)</f>
        <v>0</v>
      </c>
      <c r="R518" s="81" t="n">
        <f aca="false">COUNTIFS(임대자산!$I:$I,가맹점정보!F518,임대자산!$N:$N,가맹점정보!R$4)</f>
        <v>1</v>
      </c>
      <c r="S518" s="82" t="n">
        <v>55000</v>
      </c>
      <c r="T518" s="83" t="n">
        <v>0</v>
      </c>
      <c r="U518" s="80" t="n">
        <f aca="false">SUM(S518:T518)</f>
        <v>55000</v>
      </c>
      <c r="V518" s="84" t="s">
        <v>12</v>
      </c>
      <c r="W518" s="80" t="e">
        <f aca="true">
IF(D518="폐업","폐업",
IF(V518="면제","면제",
IF(AND(V518="정상",COUNTIFS(OFFSET(Y518,0,COUNTA(Y518:AV518)-1,1,-4),"미납")&gt;=3),"장기미납",
IF(AND(V518="정상",OFFSET(Y518,0,COUNTA(Y518:AV518)-1)&gt;=U518),"정상",
IF(AND(V518="정상",OFFSET(Y518,0,COUNTA(Y518:AV518)-1)=0),"정상",
"계약서 미작성")))))</f>
        <v>#VALUE!</v>
      </c>
      <c r="X518" s="81" t="str">
        <f aca="true">
IF(D518="폐업","폐업",
IF(AND(V518="정상",OFFSET(Y518,0,COUNTA(Y518:AV518)-1)="미납"),"미납",
IF(AND(V518="정상",OFFSET(Y518,0,COUNTA(Y518:AV518)-1)=0),"납부 시작 전",
IF(AND(V518="정상",OFFSET(Y518,0,COUNTA(Y518:AV518)-1)&gt;=U518),"정상",
IF(AND(V518="면제",OFFSET(Y518,0,COUNTA(Y518:AV518)-1)="면제"),"면제",
IF(AND(V518="면제",OFFSET(Y518,0,COUNTA(Y518:AV518)-1)=0),"면제",
"확인요청"))))))</f>
        <v>미납</v>
      </c>
      <c r="Y518" s="93" t="n">
        <v>55000</v>
      </c>
      <c r="Z518" s="90" t="n">
        <v>0</v>
      </c>
      <c r="AA518" s="90" t="n">
        <v>0</v>
      </c>
      <c r="AB518" s="90" t="n">
        <v>0</v>
      </c>
      <c r="AC518" s="90" t="n">
        <v>0</v>
      </c>
      <c r="AD518" s="95" t="s">
        <v>7</v>
      </c>
      <c r="AE518" s="95" t="s">
        <v>7</v>
      </c>
      <c r="AF518" s="90" t="n">
        <v>55000</v>
      </c>
      <c r="AG518" s="90" t="n">
        <v>55000</v>
      </c>
      <c r="AH518" s="90" t="n">
        <v>55000</v>
      </c>
      <c r="AI518" s="90" t="n">
        <v>55000</v>
      </c>
      <c r="AJ518" s="91" t="n">
        <v>55000</v>
      </c>
      <c r="AK518" s="97" t="s">
        <v>62</v>
      </c>
      <c r="AL518" s="95" t="s">
        <v>62</v>
      </c>
      <c r="AM518" s="90"/>
      <c r="AN518" s="90"/>
      <c r="AO518" s="90"/>
      <c r="AP518" s="90"/>
      <c r="AQ518" s="90"/>
      <c r="AR518" s="90"/>
      <c r="AS518" s="90"/>
      <c r="AT518" s="90"/>
      <c r="AU518" s="90"/>
      <c r="AV518" s="91"/>
      <c r="AX518" s="92"/>
    </row>
    <row r="519" customFormat="false" ht="15.65" hidden="false" customHeight="false" outlineLevel="0" collapsed="false">
      <c r="C519" s="72" t="n">
        <f aca="false">COUNTIFS($D$6:D519,"&lt;&gt;"&amp;"")</f>
        <v>514</v>
      </c>
      <c r="D519" s="73" t="s">
        <v>12</v>
      </c>
      <c r="E519" s="76" t="str">
        <f aca="false">
IF($D519="정상",INDEX(임대자산!$D$3:$R$3000,MATCH($F519,임대자산!$I$3:$I$3000,0),MATCH(E$3,임대자산!$D$3:$R$3,0)),
IF($D519="폐업",INDEX(폐업정보!$D$3:$R$3000,MATCH($F519,폐업정보!$I$3:$I$3000,0),MATCH(E$3,폐업정보!$D$3:$R$3,0)),
"Error"))</f>
        <v>경상</v>
      </c>
      <c r="F51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B0514</v>
      </c>
      <c r="G519" s="76" t="str">
        <f aca="false">F519&amp;RANDBETWEEN(0,10)</f>
        <v>B05140</v>
      </c>
      <c r="H519" s="75" t="n">
        <f aca="false">
IF($D519="정상",INDEX(임대자산!$D$3:$R$3000,MATCH($F519,임대자산!$I$3:$I$3000,0),MATCH(H$4,임대자산!$D$3:$R$3,0)),
IF($D519="폐업",INDEX(폐업정보!$D$3:$R$3000,MATCH($F519,폐업정보!$I$3:$I$3000,0),MATCH(H$4,폐업정보!$D$3:$R$3,0)),
"Error"))</f>
        <v>45926</v>
      </c>
      <c r="I519" s="75" t="str">
        <f aca="false">
IF($D519="정상",INDEX(임대자산!$D$3:$R$3000,MATCH($F519,임대자산!$I$3:$I$3000,0),MATCH(I$4,임대자산!$D$3:$R$3,0)),
IF($D519="폐업",INDEX(폐업정보!$D$3:$R$3000,MATCH($F519,폐업정보!$I$3:$I$3000,0),MATCH(I$4,폐업정보!$D$3:$R$3,0)),
"Error"))</f>
        <v>A0514</v>
      </c>
      <c r="J519" s="75" t="str">
        <f aca="false">
IF($D519="정상",INDEX(임대자산!$D$3:$R$3000,MATCH($F519,임대자산!$I$3:$I$3000,0),MATCH(J$4,임대자산!$D$3:$R$3,0)),
IF($D519="폐업",INDEX(폐업정보!$D$3:$R$3000,MATCH($F519,폐업정보!$I$3:$I$3000,0),MATCH(J$4,폐업정보!$D$3:$R$3,0)),
"Error"))</f>
        <v>5607000000</v>
      </c>
      <c r="K519" s="75" t="str">
        <f aca="false">
IF($D519="정상",INDEX(임대자산!$D$3:$R$3000,MATCH($F519,임대자산!$I$3:$I$3000,0),MATCH(K$4,임대자산!$D$3:$R$3,0)),
IF($D519="폐업",INDEX(폐업정보!$D$3:$R$3000,MATCH($F519,폐업정보!$I$3:$I$3000,0),MATCH(K$4,폐업정보!$D$3:$R$3,0)),
"Error"))</f>
        <v>C0514</v>
      </c>
      <c r="L519" s="75" t="str">
        <f aca="false">
IF($D519="정상",INDEX(임대자산!$D$3:$R$3000,MATCH($F519,임대자산!$I$3:$I$3000,0),MATCH(L$4,임대자산!$D$3:$R$3,0)),
IF($D519="폐업",INDEX(폐업정보!$D$3:$R$3000,MATCH($F519,폐업정보!$I$3:$I$3000,0),MATCH(L$4,폐업정보!$D$3:$R$3,0)),
"Error"))</f>
        <v>D0514</v>
      </c>
      <c r="M519" s="76" t="s">
        <v>96</v>
      </c>
      <c r="N519" s="77"/>
      <c r="O519" s="78" t="s">
        <v>97</v>
      </c>
      <c r="P519" s="79" t="n">
        <f aca="false">COUNTIFS(임대자산!$I:$I,가맹점정보!F519,임대자산!$N:$N,가맹점정보!P$4)</f>
        <v>0</v>
      </c>
      <c r="Q519" s="80" t="n">
        <f aca="false">COUNTIFS(임대자산!$I:$I,가맹점정보!F519,임대자산!$N:$N,가맹점정보!Q$4)</f>
        <v>0</v>
      </c>
      <c r="R519" s="81" t="n">
        <f aca="false">COUNTIFS(임대자산!$I:$I,가맹점정보!F519,임대자산!$N:$N,가맹점정보!R$4)</f>
        <v>1</v>
      </c>
      <c r="S519" s="82" t="n">
        <v>88000</v>
      </c>
      <c r="T519" s="83" t="n">
        <v>0</v>
      </c>
      <c r="U519" s="80" t="n">
        <f aca="false">SUM(S519:T519)</f>
        <v>88000</v>
      </c>
      <c r="V519" s="84" t="s">
        <v>7</v>
      </c>
      <c r="W519" s="80" t="str">
        <f aca="true">
IF(D519="폐업","폐업",
IF(V519="면제","면제",
IF(AND(V519="정상",COUNTIFS(OFFSET(Y519,0,COUNTA(Y519:AV519)-1,1,-4),"미납")&gt;=3),"장기미납",
IF(AND(V519="정상",OFFSET(Y519,0,COUNTA(Y519:AV519)-1)&gt;=U519),"정상",
IF(AND(V519="정상",OFFSET(Y519,0,COUNTA(Y519:AV519)-1)=0),"정상",
"계약서 미작성")))))</f>
        <v>면제</v>
      </c>
      <c r="X519" s="81" t="str">
        <f aca="true">
IF(D519="폐업","폐업",
IF(AND(V519="정상",OFFSET(Y519,0,COUNTA(Y519:AV519)-1)="미납"),"미납",
IF(AND(V519="정상",OFFSET(Y519,0,COUNTA(Y519:AV519)-1)=0),"납부 시작 전",
IF(AND(V519="정상",OFFSET(Y519,0,COUNTA(Y519:AV519)-1)&gt;=U519),"정상",
IF(AND(V519="면제",OFFSET(Y519,0,COUNTA(Y519:AV519)-1)="면제"),"면제",
IF(AND(V519="면제",OFFSET(Y519,0,COUNTA(Y519:AV519)-1)=0),"면제",
"확인요청"))))))</f>
        <v>면제</v>
      </c>
      <c r="Y519" s="94" t="s">
        <v>7</v>
      </c>
      <c r="Z519" s="95" t="s">
        <v>7</v>
      </c>
      <c r="AA519" s="95" t="s">
        <v>7</v>
      </c>
      <c r="AB519" s="95" t="s">
        <v>7</v>
      </c>
      <c r="AC519" s="95" t="s">
        <v>7</v>
      </c>
      <c r="AD519" s="95" t="s">
        <v>7</v>
      </c>
      <c r="AE519" s="95" t="s">
        <v>7</v>
      </c>
      <c r="AF519" s="95" t="s">
        <v>7</v>
      </c>
      <c r="AG519" s="95" t="s">
        <v>7</v>
      </c>
      <c r="AH519" s="95" t="s">
        <v>7</v>
      </c>
      <c r="AI519" s="95" t="s">
        <v>7</v>
      </c>
      <c r="AJ519" s="96" t="s">
        <v>7</v>
      </c>
      <c r="AK519" s="97" t="s">
        <v>7</v>
      </c>
      <c r="AL519" s="95" t="s">
        <v>7</v>
      </c>
      <c r="AM519" s="90"/>
      <c r="AN519" s="90"/>
      <c r="AO519" s="90"/>
      <c r="AP519" s="90"/>
      <c r="AQ519" s="90"/>
      <c r="AR519" s="90"/>
      <c r="AS519" s="90"/>
      <c r="AT519" s="90"/>
      <c r="AU519" s="90"/>
      <c r="AV519" s="91"/>
      <c r="AX519" s="92"/>
    </row>
    <row r="520" customFormat="false" ht="15.65" hidden="false" customHeight="false" outlineLevel="0" collapsed="false">
      <c r="C520" s="72" t="n">
        <f aca="false">COUNTIFS($D$6:D520,"&lt;&gt;"&amp;"")</f>
        <v>515</v>
      </c>
      <c r="D520" s="73" t="s">
        <v>12</v>
      </c>
      <c r="E520" s="76" t="str">
        <f aca="false">
IF($D520="정상",INDEX(임대자산!$D$3:$R$3000,MATCH($F520,임대자산!$I$3:$I$3000,0),MATCH(E$3,임대자산!$D$3:$R$3,0)),
IF($D520="폐업",INDEX(폐업정보!$D$3:$R$3000,MATCH($F520,폐업정보!$I$3:$I$3000,0),MATCH(E$3,폐업정보!$D$3:$R$3,0)),
"Error"))</f>
        <v>강원</v>
      </c>
      <c r="F52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B0515</v>
      </c>
      <c r="G520" s="76" t="str">
        <f aca="false">F520&amp;RANDBETWEEN(0,10)</f>
        <v>B05156</v>
      </c>
      <c r="H520" s="75" t="n">
        <f aca="false">
IF($D520="정상",INDEX(임대자산!$D$3:$R$3000,MATCH($F520,임대자산!$I$3:$I$3000,0),MATCH(H$4,임대자산!$D$3:$R$3,0)),
IF($D520="폐업",INDEX(폐업정보!$D$3:$R$3000,MATCH($F520,폐업정보!$I$3:$I$3000,0),MATCH(H$4,폐업정보!$D$3:$R$3,0)),
"Error"))</f>
        <v>45922</v>
      </c>
      <c r="I520" s="75" t="str">
        <f aca="false">
IF($D520="정상",INDEX(임대자산!$D$3:$R$3000,MATCH($F520,임대자산!$I$3:$I$3000,0),MATCH(I$4,임대자산!$D$3:$R$3,0)),
IF($D520="폐업",INDEX(폐업정보!$D$3:$R$3000,MATCH($F520,폐업정보!$I$3:$I$3000,0),MATCH(I$4,폐업정보!$D$3:$R$3,0)),
"Error"))</f>
        <v>A0515</v>
      </c>
      <c r="J520" s="75" t="str">
        <f aca="false">
IF($D520="정상",INDEX(임대자산!$D$3:$R$3000,MATCH($F520,임대자산!$I$3:$I$3000,0),MATCH(J$4,임대자산!$D$3:$R$3,0)),
IF($D520="폐업",INDEX(폐업정보!$D$3:$R$3000,MATCH($F520,폐업정보!$I$3:$I$3000,0),MATCH(J$4,폐업정보!$D$3:$R$3,0)),
"Error"))</f>
        <v>5871400000</v>
      </c>
      <c r="K520" s="75" t="str">
        <f aca="false">
IF($D520="정상",INDEX(임대자산!$D$3:$R$3000,MATCH($F520,임대자산!$I$3:$I$3000,0),MATCH(K$4,임대자산!$D$3:$R$3,0)),
IF($D520="폐업",INDEX(폐업정보!$D$3:$R$3000,MATCH($F520,폐업정보!$I$3:$I$3000,0),MATCH(K$4,폐업정보!$D$3:$R$3,0)),
"Error"))</f>
        <v>C0515</v>
      </c>
      <c r="L520" s="75" t="str">
        <f aca="false">
IF($D520="정상",INDEX(임대자산!$D$3:$R$3000,MATCH($F520,임대자산!$I$3:$I$3000,0),MATCH(L$4,임대자산!$D$3:$R$3,0)),
IF($D520="폐업",INDEX(폐업정보!$D$3:$R$3000,MATCH($F520,폐업정보!$I$3:$I$3000,0),MATCH(L$4,폐업정보!$D$3:$R$3,0)),
"Error"))</f>
        <v>D0515</v>
      </c>
      <c r="M520" s="76" t="s">
        <v>96</v>
      </c>
      <c r="N520" s="77"/>
      <c r="O520" s="78" t="s">
        <v>97</v>
      </c>
      <c r="P520" s="79" t="n">
        <f aca="false">COUNTIFS(임대자산!$I:$I,가맹점정보!F520,임대자산!$N:$N,가맹점정보!P$4)</f>
        <v>0</v>
      </c>
      <c r="Q520" s="80" t="n">
        <f aca="false">COUNTIFS(임대자산!$I:$I,가맹점정보!F520,임대자산!$N:$N,가맹점정보!Q$4)</f>
        <v>0</v>
      </c>
      <c r="R520" s="81" t="n">
        <f aca="false">COUNTIFS(임대자산!$I:$I,가맹점정보!F520,임대자산!$N:$N,가맹점정보!R$4)</f>
        <v>1</v>
      </c>
      <c r="S520" s="82" t="n">
        <v>55000</v>
      </c>
      <c r="T520" s="83" t="n">
        <v>0</v>
      </c>
      <c r="U520" s="80" t="n">
        <f aca="false">SUM(S520:T520)</f>
        <v>55000</v>
      </c>
      <c r="V520" s="84" t="s">
        <v>12</v>
      </c>
      <c r="W520" s="80" t="e">
        <f aca="true">
IF(D520="폐업","폐업",
IF(V520="면제","면제",
IF(AND(V520="정상",COUNTIFS(OFFSET(Y520,0,COUNTA(Y520:AV520)-1,1,-4),"미납")&gt;=3),"장기미납",
IF(AND(V520="정상",OFFSET(Y520,0,COUNTA(Y520:AV520)-1)&gt;=U520),"정상",
IF(AND(V520="정상",OFFSET(Y520,0,COUNTA(Y520:AV520)-1)=0),"정상",
"계약서 미작성")))))</f>
        <v>#VALUE!</v>
      </c>
      <c r="X520" s="81" t="str">
        <f aca="true">
IF(D520="폐업","폐업",
IF(AND(V520="정상",OFFSET(Y520,0,COUNTA(Y520:AV520)-1)="미납"),"미납",
IF(AND(V520="정상",OFFSET(Y520,0,COUNTA(Y520:AV520)-1)=0),"납부 시작 전",
IF(AND(V520="정상",OFFSET(Y520,0,COUNTA(Y520:AV520)-1)&gt;=U520),"정상",
IF(AND(V520="면제",OFFSET(Y520,0,COUNTA(Y520:AV520)-1)="면제"),"면제",
IF(AND(V520="면제",OFFSET(Y520,0,COUNTA(Y520:AV520)-1)=0),"면제",
"확인요청"))))))</f>
        <v>정상</v>
      </c>
      <c r="Y520" s="93" t="n">
        <v>55000</v>
      </c>
      <c r="Z520" s="90" t="n">
        <v>55000</v>
      </c>
      <c r="AA520" s="90" t="n">
        <v>55000</v>
      </c>
      <c r="AB520" s="90" t="n">
        <v>55000</v>
      </c>
      <c r="AC520" s="90" t="n">
        <v>55000</v>
      </c>
      <c r="AD520" s="90" t="n">
        <v>55000</v>
      </c>
      <c r="AE520" s="90" t="n">
        <v>55000</v>
      </c>
      <c r="AF520" s="90" t="n">
        <v>55000</v>
      </c>
      <c r="AG520" s="90" t="n">
        <v>55000</v>
      </c>
      <c r="AH520" s="90" t="n">
        <v>55000</v>
      </c>
      <c r="AI520" s="90" t="n">
        <v>55000</v>
      </c>
      <c r="AJ520" s="91" t="n">
        <v>55000</v>
      </c>
      <c r="AK520" s="89" t="n">
        <v>55000</v>
      </c>
      <c r="AL520" s="90" t="n">
        <v>55000</v>
      </c>
      <c r="AM520" s="90"/>
      <c r="AN520" s="90"/>
      <c r="AO520" s="90"/>
      <c r="AP520" s="90"/>
      <c r="AQ520" s="90"/>
      <c r="AR520" s="90"/>
      <c r="AS520" s="90"/>
      <c r="AT520" s="90"/>
      <c r="AU520" s="90"/>
      <c r="AV520" s="91"/>
      <c r="AX520" s="92"/>
    </row>
    <row r="521" customFormat="false" ht="15.65" hidden="false" customHeight="false" outlineLevel="0" collapsed="false">
      <c r="C521" s="72" t="n">
        <f aca="false">COUNTIFS($D$6:D521,"&lt;&gt;"&amp;"")</f>
        <v>516</v>
      </c>
      <c r="D521" s="73" t="s">
        <v>12</v>
      </c>
      <c r="E521" s="76" t="str">
        <f aca="false">
IF($D521="정상",INDEX(임대자산!$D$3:$R$3000,MATCH($F521,임대자산!$I$3:$I$3000,0),MATCH(E$3,임대자산!$D$3:$R$3,0)),
IF($D521="폐업",INDEX(폐업정보!$D$3:$R$3000,MATCH($F521,폐업정보!$I$3:$I$3000,0),MATCH(E$3,폐업정보!$D$3:$R$3,0)),
"Error"))</f>
        <v>강원</v>
      </c>
      <c r="F52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B0516</v>
      </c>
      <c r="G521" s="76" t="str">
        <f aca="false">F521&amp;RANDBETWEEN(0,10)</f>
        <v>B05167</v>
      </c>
      <c r="H521" s="75" t="n">
        <f aca="false">
IF($D521="정상",INDEX(임대자산!$D$3:$R$3000,MATCH($F521,임대자산!$I$3:$I$3000,0),MATCH(H$4,임대자산!$D$3:$R$3,0)),
IF($D521="폐업",INDEX(폐업정보!$D$3:$R$3000,MATCH($F521,폐업정보!$I$3:$I$3000,0),MATCH(H$4,폐업정보!$D$3:$R$3,0)),
"Error"))</f>
        <v>45945</v>
      </c>
      <c r="I521" s="75" t="str">
        <f aca="false">
IF($D521="정상",INDEX(임대자산!$D$3:$R$3000,MATCH($F521,임대자산!$I$3:$I$3000,0),MATCH(I$4,임대자산!$D$3:$R$3,0)),
IF($D521="폐업",INDEX(폐업정보!$D$3:$R$3000,MATCH($F521,폐업정보!$I$3:$I$3000,0),MATCH(I$4,폐업정보!$D$3:$R$3,0)),
"Error"))</f>
        <v>A0516</v>
      </c>
      <c r="J521" s="75" t="str">
        <f aca="false">
IF($D521="정상",INDEX(임대자산!$D$3:$R$3000,MATCH($F521,임대자산!$I$3:$I$3000,0),MATCH(J$4,임대자산!$D$3:$R$3,0)),
IF($D521="폐업",INDEX(폐업정보!$D$3:$R$3000,MATCH($F521,폐업정보!$I$3:$I$3000,0),MATCH(J$4,폐업정보!$D$3:$R$3,0)),
"Error"))</f>
        <v>7123500000</v>
      </c>
      <c r="K521" s="75" t="str">
        <f aca="false">
IF($D521="정상",INDEX(임대자산!$D$3:$R$3000,MATCH($F521,임대자산!$I$3:$I$3000,0),MATCH(K$4,임대자산!$D$3:$R$3,0)),
IF($D521="폐업",INDEX(폐업정보!$D$3:$R$3000,MATCH($F521,폐업정보!$I$3:$I$3000,0),MATCH(K$4,폐업정보!$D$3:$R$3,0)),
"Error"))</f>
        <v>C0516</v>
      </c>
      <c r="L521" s="75" t="str">
        <f aca="false">
IF($D521="정상",INDEX(임대자산!$D$3:$R$3000,MATCH($F521,임대자산!$I$3:$I$3000,0),MATCH(L$4,임대자산!$D$3:$R$3,0)),
IF($D521="폐업",INDEX(폐업정보!$D$3:$R$3000,MATCH($F521,폐업정보!$I$3:$I$3000,0),MATCH(L$4,폐업정보!$D$3:$R$3,0)),
"Error"))</f>
        <v>D0516</v>
      </c>
      <c r="M521" s="76" t="s">
        <v>96</v>
      </c>
      <c r="N521" s="77"/>
      <c r="O521" s="78" t="s">
        <v>97</v>
      </c>
      <c r="P521" s="79" t="n">
        <f aca="false">COUNTIFS(임대자산!$I:$I,가맹점정보!F521,임대자산!$N:$N,가맹점정보!P$4)</f>
        <v>0</v>
      </c>
      <c r="Q521" s="80" t="n">
        <f aca="false">COUNTIFS(임대자산!$I:$I,가맹점정보!F521,임대자산!$N:$N,가맹점정보!Q$4)</f>
        <v>0</v>
      </c>
      <c r="R521" s="81" t="n">
        <f aca="false">COUNTIFS(임대자산!$I:$I,가맹점정보!F521,임대자산!$N:$N,가맹점정보!R$4)</f>
        <v>1</v>
      </c>
      <c r="S521" s="82" t="n">
        <v>55000</v>
      </c>
      <c r="T521" s="83" t="n">
        <v>0</v>
      </c>
      <c r="U521" s="80" t="n">
        <f aca="false">SUM(S521:T521)</f>
        <v>55000</v>
      </c>
      <c r="V521" s="84" t="s">
        <v>12</v>
      </c>
      <c r="W521" s="80" t="e">
        <f aca="true">
IF(D521="폐업","폐업",
IF(V521="면제","면제",
IF(AND(V521="정상",COUNTIFS(OFFSET(Y521,0,COUNTA(Y521:AV521)-1,1,-4),"미납")&gt;=3),"장기미납",
IF(AND(V521="정상",OFFSET(Y521,0,COUNTA(Y521:AV521)-1)&gt;=U521),"정상",
IF(AND(V521="정상",OFFSET(Y521,0,COUNTA(Y521:AV521)-1)=0),"정상",
"계약서 미작성")))))</f>
        <v>#VALUE!</v>
      </c>
      <c r="X521" s="81" t="str">
        <f aca="true">
IF(D521="폐업","폐업",
IF(AND(V521="정상",OFFSET(Y521,0,COUNTA(Y521:AV521)-1)="미납"),"미납",
IF(AND(V521="정상",OFFSET(Y521,0,COUNTA(Y521:AV521)-1)=0),"납부 시작 전",
IF(AND(V521="정상",OFFSET(Y521,0,COUNTA(Y521:AV521)-1)&gt;=U521),"정상",
IF(AND(V521="면제",OFFSET(Y521,0,COUNTA(Y521:AV521)-1)="면제"),"면제",
IF(AND(V521="면제",OFFSET(Y521,0,COUNTA(Y521:AV521)-1)=0),"면제",
"확인요청"))))))</f>
        <v>정상</v>
      </c>
      <c r="Y521" s="93" t="n">
        <v>55000</v>
      </c>
      <c r="Z521" s="90" t="n">
        <v>55000</v>
      </c>
      <c r="AA521" s="90" t="n">
        <v>55000</v>
      </c>
      <c r="AB521" s="90" t="n">
        <v>55000</v>
      </c>
      <c r="AC521" s="90" t="n">
        <v>55000</v>
      </c>
      <c r="AD521" s="90" t="n">
        <v>55000</v>
      </c>
      <c r="AE521" s="90" t="n">
        <v>55000</v>
      </c>
      <c r="AF521" s="90" t="n">
        <v>55000</v>
      </c>
      <c r="AG521" s="90" t="n">
        <v>55000</v>
      </c>
      <c r="AH521" s="90" t="n">
        <v>55000</v>
      </c>
      <c r="AI521" s="90" t="n">
        <v>55000</v>
      </c>
      <c r="AJ521" s="91" t="n">
        <v>55000</v>
      </c>
      <c r="AK521" s="89" t="n">
        <v>55000</v>
      </c>
      <c r="AL521" s="90" t="n">
        <v>55000</v>
      </c>
      <c r="AM521" s="90"/>
      <c r="AN521" s="90"/>
      <c r="AO521" s="90"/>
      <c r="AP521" s="90"/>
      <c r="AQ521" s="90"/>
      <c r="AR521" s="90"/>
      <c r="AS521" s="90"/>
      <c r="AT521" s="90"/>
      <c r="AU521" s="90"/>
      <c r="AV521" s="91"/>
      <c r="AX521" s="92"/>
    </row>
    <row r="522" customFormat="false" ht="15.65" hidden="false" customHeight="false" outlineLevel="0" collapsed="false">
      <c r="C522" s="72" t="n">
        <f aca="false">COUNTIFS($D$6:D522,"&lt;&gt;"&amp;"")</f>
        <v>517</v>
      </c>
      <c r="D522" s="73" t="s">
        <v>12</v>
      </c>
      <c r="E522" s="76" t="str">
        <f aca="false">
IF($D522="정상",INDEX(임대자산!$D$3:$R$3000,MATCH($F522,임대자산!$I$3:$I$3000,0),MATCH(E$3,임대자산!$D$3:$R$3,0)),
IF($D522="폐업",INDEX(폐업정보!$D$3:$R$3000,MATCH($F522,폐업정보!$I$3:$I$3000,0),MATCH(E$3,폐업정보!$D$3:$R$3,0)),
"Error"))</f>
        <v>강원</v>
      </c>
      <c r="F52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B0517</v>
      </c>
      <c r="G522" s="76" t="str">
        <f aca="false">F522&amp;RANDBETWEEN(0,10)</f>
        <v>B05178</v>
      </c>
      <c r="H522" s="75" t="n">
        <f aca="false">
IF($D522="정상",INDEX(임대자산!$D$3:$R$3000,MATCH($F522,임대자산!$I$3:$I$3000,0),MATCH(H$4,임대자산!$D$3:$R$3,0)),
IF($D522="폐업",INDEX(폐업정보!$D$3:$R$3000,MATCH($F522,폐업정보!$I$3:$I$3000,0),MATCH(H$4,폐업정보!$D$3:$R$3,0)),
"Error"))</f>
        <v>45929</v>
      </c>
      <c r="I522" s="75" t="str">
        <f aca="false">
IF($D522="정상",INDEX(임대자산!$D$3:$R$3000,MATCH($F522,임대자산!$I$3:$I$3000,0),MATCH(I$4,임대자산!$D$3:$R$3,0)),
IF($D522="폐업",INDEX(폐업정보!$D$3:$R$3000,MATCH($F522,폐업정보!$I$3:$I$3000,0),MATCH(I$4,폐업정보!$D$3:$R$3,0)),
"Error"))</f>
        <v>A0517</v>
      </c>
      <c r="J522" s="75" t="str">
        <f aca="false">
IF($D522="정상",INDEX(임대자산!$D$3:$R$3000,MATCH($F522,임대자산!$I$3:$I$3000,0),MATCH(J$4,임대자산!$D$3:$R$3,0)),
IF($D522="폐업",INDEX(폐업정보!$D$3:$R$3000,MATCH($F522,폐업정보!$I$3:$I$3000,0),MATCH(J$4,폐업정보!$D$3:$R$3,0)),
"Error"))</f>
        <v>3591300000</v>
      </c>
      <c r="K522" s="75" t="str">
        <f aca="false">
IF($D522="정상",INDEX(임대자산!$D$3:$R$3000,MATCH($F522,임대자산!$I$3:$I$3000,0),MATCH(K$4,임대자산!$D$3:$R$3,0)),
IF($D522="폐업",INDEX(폐업정보!$D$3:$R$3000,MATCH($F522,폐업정보!$I$3:$I$3000,0),MATCH(K$4,폐업정보!$D$3:$R$3,0)),
"Error"))</f>
        <v>C0517</v>
      </c>
      <c r="L522" s="75" t="str">
        <f aca="false">
IF($D522="정상",INDEX(임대자산!$D$3:$R$3000,MATCH($F522,임대자산!$I$3:$I$3000,0),MATCH(L$4,임대자산!$D$3:$R$3,0)),
IF($D522="폐업",INDEX(폐업정보!$D$3:$R$3000,MATCH($F522,폐업정보!$I$3:$I$3000,0),MATCH(L$4,폐업정보!$D$3:$R$3,0)),
"Error"))</f>
        <v>D0517</v>
      </c>
      <c r="M522" s="76" t="s">
        <v>96</v>
      </c>
      <c r="N522" s="77"/>
      <c r="O522" s="78" t="s">
        <v>97</v>
      </c>
      <c r="P522" s="79" t="n">
        <f aca="false">COUNTIFS(임대자산!$I:$I,가맹점정보!F522,임대자산!$N:$N,가맹점정보!P$4)</f>
        <v>0</v>
      </c>
      <c r="Q522" s="80" t="n">
        <f aca="false">COUNTIFS(임대자산!$I:$I,가맹점정보!F522,임대자산!$N:$N,가맹점정보!Q$4)</f>
        <v>0</v>
      </c>
      <c r="R522" s="81" t="n">
        <f aca="false">COUNTIFS(임대자산!$I:$I,가맹점정보!F522,임대자산!$N:$N,가맹점정보!R$4)</f>
        <v>1</v>
      </c>
      <c r="S522" s="82" t="n">
        <v>55000</v>
      </c>
      <c r="T522" s="83" t="n">
        <v>0</v>
      </c>
      <c r="U522" s="80" t="n">
        <f aca="false">SUM(S522:T522)</f>
        <v>55000</v>
      </c>
      <c r="V522" s="84" t="s">
        <v>12</v>
      </c>
      <c r="W522" s="80" t="e">
        <f aca="true">
IF(D522="폐업","폐업",
IF(V522="면제","면제",
IF(AND(V522="정상",COUNTIFS(OFFSET(Y522,0,COUNTA(Y522:AV522)-1,1,-4),"미납")&gt;=3),"장기미납",
IF(AND(V522="정상",OFFSET(Y522,0,COUNTA(Y522:AV522)-1)&gt;=U522),"정상",
IF(AND(V522="정상",OFFSET(Y522,0,COUNTA(Y522:AV522)-1)=0),"정상",
"계약서 미작성")))))</f>
        <v>#VALUE!</v>
      </c>
      <c r="X522" s="81" t="str">
        <f aca="true">
IF(D522="폐업","폐업",
IF(AND(V522="정상",OFFSET(Y522,0,COUNTA(Y522:AV522)-1)="미납"),"미납",
IF(AND(V522="정상",OFFSET(Y522,0,COUNTA(Y522:AV522)-1)=0),"납부 시작 전",
IF(AND(V522="정상",OFFSET(Y522,0,COUNTA(Y522:AV522)-1)&gt;=U522),"정상",
IF(AND(V522="면제",OFFSET(Y522,0,COUNTA(Y522:AV522)-1)="면제"),"면제",
IF(AND(V522="면제",OFFSET(Y522,0,COUNTA(Y522:AV522)-1)=0),"면제",
"확인요청"))))))</f>
        <v>정상</v>
      </c>
      <c r="Y522" s="93" t="n">
        <v>55000</v>
      </c>
      <c r="Z522" s="90" t="n">
        <v>55000</v>
      </c>
      <c r="AA522" s="90" t="n">
        <v>55000</v>
      </c>
      <c r="AB522" s="90" t="n">
        <v>55000</v>
      </c>
      <c r="AC522" s="90" t="n">
        <v>55000</v>
      </c>
      <c r="AD522" s="90" t="n">
        <v>55000</v>
      </c>
      <c r="AE522" s="90" t="n">
        <v>55000</v>
      </c>
      <c r="AF522" s="90" t="n">
        <v>55000</v>
      </c>
      <c r="AG522" s="90" t="n">
        <v>55000</v>
      </c>
      <c r="AH522" s="90" t="n">
        <v>55000</v>
      </c>
      <c r="AI522" s="90" t="n">
        <v>55000</v>
      </c>
      <c r="AJ522" s="91" t="n">
        <v>55000</v>
      </c>
      <c r="AK522" s="89" t="n">
        <v>55000</v>
      </c>
      <c r="AL522" s="90" t="n">
        <v>55000</v>
      </c>
      <c r="AM522" s="90"/>
      <c r="AN522" s="90"/>
      <c r="AO522" s="90"/>
      <c r="AP522" s="90"/>
      <c r="AQ522" s="90"/>
      <c r="AR522" s="90"/>
      <c r="AS522" s="90"/>
      <c r="AT522" s="90"/>
      <c r="AU522" s="90"/>
      <c r="AV522" s="91"/>
      <c r="AX522" s="92"/>
    </row>
    <row r="523" customFormat="false" ht="15.65" hidden="false" customHeight="false" outlineLevel="0" collapsed="false">
      <c r="C523" s="72" t="n">
        <f aca="false">COUNTIFS($D$6:D523,"&lt;&gt;"&amp;"")</f>
        <v>518</v>
      </c>
      <c r="D523" s="73" t="s">
        <v>12</v>
      </c>
      <c r="E523" s="76" t="str">
        <f aca="false">
IF($D523="정상",INDEX(임대자산!$D$3:$R$3000,MATCH($F523,임대자산!$I$3:$I$3000,0),MATCH(E$3,임대자산!$D$3:$R$3,0)),
IF($D523="폐업",INDEX(폐업정보!$D$3:$R$3000,MATCH($F523,폐업정보!$I$3:$I$3000,0),MATCH(E$3,폐업정보!$D$3:$R$3,0)),
"Error"))</f>
        <v>전라</v>
      </c>
      <c r="F52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B0518</v>
      </c>
      <c r="G523" s="76" t="str">
        <f aca="false">F523&amp;RANDBETWEEN(0,10)</f>
        <v>B05180</v>
      </c>
      <c r="H523" s="75" t="n">
        <f aca="false">
IF($D523="정상",INDEX(임대자산!$D$3:$R$3000,MATCH($F523,임대자산!$I$3:$I$3000,0),MATCH(H$4,임대자산!$D$3:$R$3,0)),
IF($D523="폐업",INDEX(폐업정보!$D$3:$R$3000,MATCH($F523,폐업정보!$I$3:$I$3000,0),MATCH(H$4,폐업정보!$D$3:$R$3,0)),
"Error"))</f>
        <v>45918</v>
      </c>
      <c r="I523" s="75" t="str">
        <f aca="false">
IF($D523="정상",INDEX(임대자산!$D$3:$R$3000,MATCH($F523,임대자산!$I$3:$I$3000,0),MATCH(I$4,임대자산!$D$3:$R$3,0)),
IF($D523="폐업",INDEX(폐업정보!$D$3:$R$3000,MATCH($F523,폐업정보!$I$3:$I$3000,0),MATCH(I$4,폐업정보!$D$3:$R$3,0)),
"Error"))</f>
        <v>A0518</v>
      </c>
      <c r="J523" s="75" t="str">
        <f aca="false">
IF($D523="정상",INDEX(임대자산!$D$3:$R$3000,MATCH($F523,임대자산!$I$3:$I$3000,0),MATCH(J$4,임대자산!$D$3:$R$3,0)),
IF($D523="폐업",INDEX(폐업정보!$D$3:$R$3000,MATCH($F523,폐업정보!$I$3:$I$3000,0),MATCH(J$4,폐업정보!$D$3:$R$3,0)),
"Error"))</f>
        <v>2581300000</v>
      </c>
      <c r="K523" s="75" t="str">
        <f aca="false">
IF($D523="정상",INDEX(임대자산!$D$3:$R$3000,MATCH($F523,임대자산!$I$3:$I$3000,0),MATCH(K$4,임대자산!$D$3:$R$3,0)),
IF($D523="폐업",INDEX(폐업정보!$D$3:$R$3000,MATCH($F523,폐업정보!$I$3:$I$3000,0),MATCH(K$4,폐업정보!$D$3:$R$3,0)),
"Error"))</f>
        <v>C0518</v>
      </c>
      <c r="L523" s="75" t="str">
        <f aca="false">
IF($D523="정상",INDEX(임대자산!$D$3:$R$3000,MATCH($F523,임대자산!$I$3:$I$3000,0),MATCH(L$4,임대자산!$D$3:$R$3,0)),
IF($D523="폐업",INDEX(폐업정보!$D$3:$R$3000,MATCH($F523,폐업정보!$I$3:$I$3000,0),MATCH(L$4,폐업정보!$D$3:$R$3,0)),
"Error"))</f>
        <v>D0518</v>
      </c>
      <c r="M523" s="76" t="s">
        <v>96</v>
      </c>
      <c r="N523" s="77"/>
      <c r="O523" s="78" t="s">
        <v>97</v>
      </c>
      <c r="P523" s="79" t="n">
        <f aca="false">COUNTIFS(임대자산!$I:$I,가맹점정보!F523,임대자산!$N:$N,가맹점정보!P$4)</f>
        <v>0</v>
      </c>
      <c r="Q523" s="80" t="n">
        <f aca="false">COUNTIFS(임대자산!$I:$I,가맹점정보!F523,임대자산!$N:$N,가맹점정보!Q$4)</f>
        <v>0</v>
      </c>
      <c r="R523" s="81" t="n">
        <f aca="false">COUNTIFS(임대자산!$I:$I,가맹점정보!F523,임대자산!$N:$N,가맹점정보!R$4)</f>
        <v>1</v>
      </c>
      <c r="S523" s="82" t="n">
        <v>55000</v>
      </c>
      <c r="T523" s="83" t="n">
        <v>0</v>
      </c>
      <c r="U523" s="80" t="n">
        <f aca="false">SUM(S523:T523)</f>
        <v>55000</v>
      </c>
      <c r="V523" s="84" t="s">
        <v>12</v>
      </c>
      <c r="W523" s="80" t="e">
        <f aca="true">
IF(D523="폐업","폐업",
IF(V523="면제","면제",
IF(AND(V523="정상",COUNTIFS(OFFSET(Y523,0,COUNTA(Y523:AV523)-1,1,-4),"미납")&gt;=3),"장기미납",
IF(AND(V523="정상",OFFSET(Y523,0,COUNTA(Y523:AV523)-1)&gt;=U523),"정상",
IF(AND(V523="정상",OFFSET(Y523,0,COUNTA(Y523:AV523)-1)=0),"정상",
"계약서 미작성")))))</f>
        <v>#VALUE!</v>
      </c>
      <c r="X523" s="81" t="str">
        <f aca="true">
IF(D523="폐업","폐업",
IF(AND(V523="정상",OFFSET(Y523,0,COUNTA(Y523:AV523)-1)="미납"),"미납",
IF(AND(V523="정상",OFFSET(Y523,0,COUNTA(Y523:AV523)-1)=0),"납부 시작 전",
IF(AND(V523="정상",OFFSET(Y523,0,COUNTA(Y523:AV523)-1)&gt;=U523),"정상",
IF(AND(V523="면제",OFFSET(Y523,0,COUNTA(Y523:AV523)-1)="면제"),"면제",
IF(AND(V523="면제",OFFSET(Y523,0,COUNTA(Y523:AV523)-1)=0),"면제",
"확인요청"))))))</f>
        <v>정상</v>
      </c>
      <c r="Y523" s="93" t="n">
        <v>55000</v>
      </c>
      <c r="Z523" s="90" t="n">
        <v>55000</v>
      </c>
      <c r="AA523" s="90" t="n">
        <v>55000</v>
      </c>
      <c r="AB523" s="90" t="n">
        <v>55000</v>
      </c>
      <c r="AC523" s="90" t="n">
        <v>55000</v>
      </c>
      <c r="AD523" s="90" t="n">
        <v>55000</v>
      </c>
      <c r="AE523" s="90" t="n">
        <v>55000</v>
      </c>
      <c r="AF523" s="90" t="n">
        <v>55000</v>
      </c>
      <c r="AG523" s="90" t="n">
        <v>55000</v>
      </c>
      <c r="AH523" s="90" t="n">
        <v>55000</v>
      </c>
      <c r="AI523" s="90" t="n">
        <v>55000</v>
      </c>
      <c r="AJ523" s="91" t="n">
        <v>55000</v>
      </c>
      <c r="AK523" s="89" t="n">
        <v>55000</v>
      </c>
      <c r="AL523" s="90" t="n">
        <v>55000</v>
      </c>
      <c r="AM523" s="90"/>
      <c r="AN523" s="90"/>
      <c r="AO523" s="90"/>
      <c r="AP523" s="90"/>
      <c r="AQ523" s="90"/>
      <c r="AR523" s="90"/>
      <c r="AS523" s="90"/>
      <c r="AT523" s="90"/>
      <c r="AU523" s="90"/>
      <c r="AV523" s="91"/>
      <c r="AX523" s="92"/>
    </row>
    <row r="524" customFormat="false" ht="15.65" hidden="false" customHeight="false" outlineLevel="0" collapsed="false">
      <c r="C524" s="72" t="n">
        <f aca="false">COUNTIFS($D$6:D524,"&lt;&gt;"&amp;"")</f>
        <v>519</v>
      </c>
      <c r="D524" s="73" t="s">
        <v>12</v>
      </c>
      <c r="E524" s="76" t="str">
        <f aca="false">
IF($D524="정상",INDEX(임대자산!$D$3:$R$3000,MATCH($F524,임대자산!$I$3:$I$3000,0),MATCH(E$3,임대자산!$D$3:$R$3,0)),
IF($D524="폐업",INDEX(폐업정보!$D$3:$R$3000,MATCH($F524,폐업정보!$I$3:$I$3000,0),MATCH(E$3,폐업정보!$D$3:$R$3,0)),
"Error"))</f>
        <v>강원</v>
      </c>
      <c r="F52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B0519</v>
      </c>
      <c r="G524" s="76" t="str">
        <f aca="false">F524&amp;RANDBETWEEN(0,10)</f>
        <v>B051910</v>
      </c>
      <c r="H524" s="75" t="n">
        <f aca="false">
IF($D524="정상",INDEX(임대자산!$D$3:$R$3000,MATCH($F524,임대자산!$I$3:$I$3000,0),MATCH(H$4,임대자산!$D$3:$R$3,0)),
IF($D524="폐업",INDEX(폐업정보!$D$3:$R$3000,MATCH($F524,폐업정보!$I$3:$I$3000,0),MATCH(H$4,폐업정보!$D$3:$R$3,0)),
"Error"))</f>
        <v>45917</v>
      </c>
      <c r="I524" s="75" t="str">
        <f aca="false">
IF($D524="정상",INDEX(임대자산!$D$3:$R$3000,MATCH($F524,임대자산!$I$3:$I$3000,0),MATCH(I$4,임대자산!$D$3:$R$3,0)),
IF($D524="폐업",INDEX(폐업정보!$D$3:$R$3000,MATCH($F524,폐업정보!$I$3:$I$3000,0),MATCH(I$4,폐업정보!$D$3:$R$3,0)),
"Error"))</f>
        <v>A0519</v>
      </c>
      <c r="J524" s="75" t="str">
        <f aca="false">
IF($D524="정상",INDEX(임대자산!$D$3:$R$3000,MATCH($F524,임대자산!$I$3:$I$3000,0),MATCH(J$4,임대자산!$D$3:$R$3,0)),
IF($D524="폐업",INDEX(폐업정보!$D$3:$R$3000,MATCH($F524,폐업정보!$I$3:$I$3000,0),MATCH(J$4,폐업정보!$D$3:$R$3,0)),
"Error"))</f>
        <v>2708400000</v>
      </c>
      <c r="K524" s="75" t="str">
        <f aca="false">
IF($D524="정상",INDEX(임대자산!$D$3:$R$3000,MATCH($F524,임대자산!$I$3:$I$3000,0),MATCH(K$4,임대자산!$D$3:$R$3,0)),
IF($D524="폐업",INDEX(폐업정보!$D$3:$R$3000,MATCH($F524,폐업정보!$I$3:$I$3000,0),MATCH(K$4,폐업정보!$D$3:$R$3,0)),
"Error"))</f>
        <v>C0519</v>
      </c>
      <c r="L524" s="75" t="str">
        <f aca="false">
IF($D524="정상",INDEX(임대자산!$D$3:$R$3000,MATCH($F524,임대자산!$I$3:$I$3000,0),MATCH(L$4,임대자산!$D$3:$R$3,0)),
IF($D524="폐업",INDEX(폐업정보!$D$3:$R$3000,MATCH($F524,폐업정보!$I$3:$I$3000,0),MATCH(L$4,폐업정보!$D$3:$R$3,0)),
"Error"))</f>
        <v>D0519</v>
      </c>
      <c r="M524" s="76" t="s">
        <v>96</v>
      </c>
      <c r="N524" s="77"/>
      <c r="O524" s="78" t="s">
        <v>97</v>
      </c>
      <c r="P524" s="79" t="n">
        <f aca="false">COUNTIFS(임대자산!$I:$I,가맹점정보!F524,임대자산!$N:$N,가맹점정보!P$4)</f>
        <v>0</v>
      </c>
      <c r="Q524" s="80" t="n">
        <f aca="false">COUNTIFS(임대자산!$I:$I,가맹점정보!F524,임대자산!$N:$N,가맹점정보!Q$4)</f>
        <v>0</v>
      </c>
      <c r="R524" s="81" t="n">
        <f aca="false">COUNTIFS(임대자산!$I:$I,가맹점정보!F524,임대자산!$N:$N,가맹점정보!R$4)</f>
        <v>1</v>
      </c>
      <c r="S524" s="82" t="n">
        <v>55000</v>
      </c>
      <c r="T524" s="83" t="n">
        <v>0</v>
      </c>
      <c r="U524" s="80" t="n">
        <f aca="false">SUM(S524:T524)</f>
        <v>55000</v>
      </c>
      <c r="V524" s="84" t="s">
        <v>12</v>
      </c>
      <c r="W524" s="80" t="e">
        <f aca="true">
IF(D524="폐업","폐업",
IF(V524="면제","면제",
IF(AND(V524="정상",COUNTIFS(OFFSET(Y524,0,COUNTA(Y524:AV524)-1,1,-4),"미납")&gt;=3),"장기미납",
IF(AND(V524="정상",OFFSET(Y524,0,COUNTA(Y524:AV524)-1)&gt;=U524),"정상",
IF(AND(V524="정상",OFFSET(Y524,0,COUNTA(Y524:AV524)-1)=0),"정상",
"계약서 미작성")))))</f>
        <v>#VALUE!</v>
      </c>
      <c r="X524" s="81" t="str">
        <f aca="true">
IF(D524="폐업","폐업",
IF(AND(V524="정상",OFFSET(Y524,0,COUNTA(Y524:AV524)-1)="미납"),"미납",
IF(AND(V524="정상",OFFSET(Y524,0,COUNTA(Y524:AV524)-1)=0),"납부 시작 전",
IF(AND(V524="정상",OFFSET(Y524,0,COUNTA(Y524:AV524)-1)&gt;=U524),"정상",
IF(AND(V524="면제",OFFSET(Y524,0,COUNTA(Y524:AV524)-1)="면제"),"면제",
IF(AND(V524="면제",OFFSET(Y524,0,COUNTA(Y524:AV524)-1)=0),"면제",
"확인요청"))))))</f>
        <v>정상</v>
      </c>
      <c r="Y524" s="93" t="n">
        <v>55000</v>
      </c>
      <c r="Z524" s="90" t="n">
        <v>55000</v>
      </c>
      <c r="AA524" s="90" t="n">
        <v>55000</v>
      </c>
      <c r="AB524" s="90" t="n">
        <v>55000</v>
      </c>
      <c r="AC524" s="90" t="n">
        <v>55000</v>
      </c>
      <c r="AD524" s="90" t="n">
        <v>55000</v>
      </c>
      <c r="AE524" s="90" t="n">
        <v>55000</v>
      </c>
      <c r="AF524" s="90" t="n">
        <v>55000</v>
      </c>
      <c r="AG524" s="90" t="n">
        <v>55000</v>
      </c>
      <c r="AH524" s="90" t="n">
        <v>55000</v>
      </c>
      <c r="AI524" s="90" t="n">
        <v>55000</v>
      </c>
      <c r="AJ524" s="91" t="n">
        <v>55000</v>
      </c>
      <c r="AK524" s="89" t="n">
        <v>55000</v>
      </c>
      <c r="AL524" s="90" t="n">
        <v>55000</v>
      </c>
      <c r="AM524" s="90"/>
      <c r="AN524" s="90"/>
      <c r="AO524" s="90"/>
      <c r="AP524" s="90"/>
      <c r="AQ524" s="90"/>
      <c r="AR524" s="90"/>
      <c r="AS524" s="90"/>
      <c r="AT524" s="90"/>
      <c r="AU524" s="90"/>
      <c r="AV524" s="91"/>
      <c r="AX524" s="92"/>
    </row>
    <row r="525" customFormat="false" ht="15.65" hidden="false" customHeight="false" outlineLevel="0" collapsed="false">
      <c r="C525" s="72" t="n">
        <f aca="false">COUNTIFS($D$6:D525,"&lt;&gt;"&amp;"")</f>
        <v>520</v>
      </c>
      <c r="D525" s="73" t="s">
        <v>12</v>
      </c>
      <c r="E525" s="76" t="str">
        <f aca="false">
IF($D525="정상",INDEX(임대자산!$D$3:$R$3000,MATCH($F525,임대자산!$I$3:$I$3000,0),MATCH(E$3,임대자산!$D$3:$R$3,0)),
IF($D525="폐업",INDEX(폐업정보!$D$3:$R$3000,MATCH($F525,폐업정보!$I$3:$I$3000,0),MATCH(E$3,폐업정보!$D$3:$R$3,0)),
"Error"))</f>
        <v>전라</v>
      </c>
      <c r="F52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B0520</v>
      </c>
      <c r="G525" s="76" t="str">
        <f aca="false">F525&amp;RANDBETWEEN(0,10)</f>
        <v>B05206</v>
      </c>
      <c r="H525" s="75" t="n">
        <f aca="false">
IF($D525="정상",INDEX(임대자산!$D$3:$R$3000,MATCH($F525,임대자산!$I$3:$I$3000,0),MATCH(H$4,임대자산!$D$3:$R$3,0)),
IF($D525="폐업",INDEX(폐업정보!$D$3:$R$3000,MATCH($F525,폐업정보!$I$3:$I$3000,0),MATCH(H$4,폐업정보!$D$3:$R$3,0)),
"Error"))</f>
        <v>45945</v>
      </c>
      <c r="I525" s="75" t="str">
        <f aca="false">
IF($D525="정상",INDEX(임대자산!$D$3:$R$3000,MATCH($F525,임대자산!$I$3:$I$3000,0),MATCH(I$4,임대자산!$D$3:$R$3,0)),
IF($D525="폐업",INDEX(폐업정보!$D$3:$R$3000,MATCH($F525,폐업정보!$I$3:$I$3000,0),MATCH(I$4,폐업정보!$D$3:$R$3,0)),
"Error"))</f>
        <v>A0520</v>
      </c>
      <c r="J525" s="75" t="str">
        <f aca="false">
IF($D525="정상",INDEX(임대자산!$D$3:$R$3000,MATCH($F525,임대자산!$I$3:$I$3000,0),MATCH(J$4,임대자산!$D$3:$R$3,0)),
IF($D525="폐업",INDEX(폐업정보!$D$3:$R$3000,MATCH($F525,폐업정보!$I$3:$I$3000,0),MATCH(J$4,폐업정보!$D$3:$R$3,0)),
"Error"))</f>
        <v>2875500000</v>
      </c>
      <c r="K525" s="75" t="str">
        <f aca="false">
IF($D525="정상",INDEX(임대자산!$D$3:$R$3000,MATCH($F525,임대자산!$I$3:$I$3000,0),MATCH(K$4,임대자산!$D$3:$R$3,0)),
IF($D525="폐업",INDEX(폐업정보!$D$3:$R$3000,MATCH($F525,폐업정보!$I$3:$I$3000,0),MATCH(K$4,폐업정보!$D$3:$R$3,0)),
"Error"))</f>
        <v>C0520</v>
      </c>
      <c r="L525" s="75" t="str">
        <f aca="false">
IF($D525="정상",INDEX(임대자산!$D$3:$R$3000,MATCH($F525,임대자산!$I$3:$I$3000,0),MATCH(L$4,임대자산!$D$3:$R$3,0)),
IF($D525="폐업",INDEX(폐업정보!$D$3:$R$3000,MATCH($F525,폐업정보!$I$3:$I$3000,0),MATCH(L$4,폐업정보!$D$3:$R$3,0)),
"Error"))</f>
        <v>D0520</v>
      </c>
      <c r="M525" s="76" t="s">
        <v>96</v>
      </c>
      <c r="N525" s="77"/>
      <c r="O525" s="78" t="s">
        <v>97</v>
      </c>
      <c r="P525" s="79" t="n">
        <f aca="false">COUNTIFS(임대자산!$I:$I,가맹점정보!F525,임대자산!$N:$N,가맹점정보!P$4)</f>
        <v>0</v>
      </c>
      <c r="Q525" s="80" t="n">
        <f aca="false">COUNTIFS(임대자산!$I:$I,가맹점정보!F525,임대자산!$N:$N,가맹점정보!Q$4)</f>
        <v>0</v>
      </c>
      <c r="R525" s="81" t="n">
        <f aca="false">COUNTIFS(임대자산!$I:$I,가맹점정보!F525,임대자산!$N:$N,가맹점정보!R$4)</f>
        <v>1</v>
      </c>
      <c r="S525" s="82" t="n">
        <v>55000</v>
      </c>
      <c r="T525" s="83" t="n">
        <v>0</v>
      </c>
      <c r="U525" s="80" t="n">
        <f aca="false">SUM(S525:T525)</f>
        <v>55000</v>
      </c>
      <c r="V525" s="84" t="s">
        <v>12</v>
      </c>
      <c r="W525" s="80" t="e">
        <f aca="true">
IF(D525="폐업","폐업",
IF(V525="면제","면제",
IF(AND(V525="정상",COUNTIFS(OFFSET(Y525,0,COUNTA(Y525:AV525)-1,1,-4),"미납")&gt;=3),"장기미납",
IF(AND(V525="정상",OFFSET(Y525,0,COUNTA(Y525:AV525)-1)&gt;=U525),"정상",
IF(AND(V525="정상",OFFSET(Y525,0,COUNTA(Y525:AV525)-1)=0),"정상",
"계약서 미작성")))))</f>
        <v>#VALUE!</v>
      </c>
      <c r="X525" s="81" t="str">
        <f aca="true">
IF(D525="폐업","폐업",
IF(AND(V525="정상",OFFSET(Y525,0,COUNTA(Y525:AV525)-1)="미납"),"미납",
IF(AND(V525="정상",OFFSET(Y525,0,COUNTA(Y525:AV525)-1)=0),"납부 시작 전",
IF(AND(V525="정상",OFFSET(Y525,0,COUNTA(Y525:AV525)-1)&gt;=U525),"정상",
IF(AND(V525="면제",OFFSET(Y525,0,COUNTA(Y525:AV525)-1)="면제"),"면제",
IF(AND(V525="면제",OFFSET(Y525,0,COUNTA(Y525:AV525)-1)=0),"면제",
"확인요청"))))))</f>
        <v>정상</v>
      </c>
      <c r="Y525" s="93" t="n">
        <v>55000</v>
      </c>
      <c r="Z525" s="90" t="n">
        <v>55000</v>
      </c>
      <c r="AA525" s="90" t="n">
        <v>55000</v>
      </c>
      <c r="AB525" s="90" t="n">
        <v>55000</v>
      </c>
      <c r="AC525" s="90" t="n">
        <v>55000</v>
      </c>
      <c r="AD525" s="90" t="n">
        <v>55000</v>
      </c>
      <c r="AE525" s="90" t="n">
        <v>55000</v>
      </c>
      <c r="AF525" s="90" t="n">
        <v>55000</v>
      </c>
      <c r="AG525" s="90" t="n">
        <v>55000</v>
      </c>
      <c r="AH525" s="90" t="n">
        <v>55000</v>
      </c>
      <c r="AI525" s="90" t="n">
        <v>55000</v>
      </c>
      <c r="AJ525" s="91" t="n">
        <v>55000</v>
      </c>
      <c r="AK525" s="89" t="n">
        <v>55000</v>
      </c>
      <c r="AL525" s="90" t="n">
        <v>55000</v>
      </c>
      <c r="AM525" s="90"/>
      <c r="AN525" s="90"/>
      <c r="AO525" s="90"/>
      <c r="AP525" s="90"/>
      <c r="AQ525" s="90"/>
      <c r="AR525" s="90"/>
      <c r="AS525" s="90"/>
      <c r="AT525" s="90"/>
      <c r="AU525" s="90"/>
      <c r="AV525" s="91"/>
      <c r="AX525" s="92"/>
    </row>
    <row r="526" customFormat="false" ht="15.65" hidden="false" customHeight="false" outlineLevel="0" collapsed="false">
      <c r="C526" s="72" t="n">
        <f aca="false">COUNTIFS($D$6:D526,"&lt;&gt;"&amp;"")</f>
        <v>521</v>
      </c>
      <c r="D526" s="73" t="s">
        <v>12</v>
      </c>
      <c r="E526" s="76" t="str">
        <f aca="false">
IF($D526="정상",INDEX(임대자산!$D$3:$R$3000,MATCH($F526,임대자산!$I$3:$I$3000,0),MATCH(E$3,임대자산!$D$3:$R$3,0)),
IF($D526="폐업",INDEX(폐업정보!$D$3:$R$3000,MATCH($F526,폐업정보!$I$3:$I$3000,0),MATCH(E$3,폐업정보!$D$3:$R$3,0)),
"Error"))</f>
        <v>전라</v>
      </c>
      <c r="F52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B0521</v>
      </c>
      <c r="G526" s="76" t="str">
        <f aca="false">F526&amp;RANDBETWEEN(0,10)</f>
        <v>B05216</v>
      </c>
      <c r="H526" s="75" t="n">
        <f aca="false">
IF($D526="정상",INDEX(임대자산!$D$3:$R$3000,MATCH($F526,임대자산!$I$3:$I$3000,0),MATCH(H$4,임대자산!$D$3:$R$3,0)),
IF($D526="폐업",INDEX(폐업정보!$D$3:$R$3000,MATCH($F526,폐업정보!$I$3:$I$3000,0),MATCH(H$4,폐업정보!$D$3:$R$3,0)),
"Error"))</f>
        <v>45931</v>
      </c>
      <c r="I526" s="75" t="str">
        <f aca="false">
IF($D526="정상",INDEX(임대자산!$D$3:$R$3000,MATCH($F526,임대자산!$I$3:$I$3000,0),MATCH(I$4,임대자산!$D$3:$R$3,0)),
IF($D526="폐업",INDEX(폐업정보!$D$3:$R$3000,MATCH($F526,폐업정보!$I$3:$I$3000,0),MATCH(I$4,폐업정보!$D$3:$R$3,0)),
"Error"))</f>
        <v>A0521</v>
      </c>
      <c r="J526" s="75" t="str">
        <f aca="false">
IF($D526="정상",INDEX(임대자산!$D$3:$R$3000,MATCH($F526,임대자산!$I$3:$I$3000,0),MATCH(J$4,임대자산!$D$3:$R$3,0)),
IF($D526="폐업",INDEX(폐업정보!$D$3:$R$3000,MATCH($F526,폐업정보!$I$3:$I$3000,0),MATCH(J$4,폐업정보!$D$3:$R$3,0)),
"Error"))</f>
        <v>2251800000</v>
      </c>
      <c r="K526" s="75" t="str">
        <f aca="false">
IF($D526="정상",INDEX(임대자산!$D$3:$R$3000,MATCH($F526,임대자산!$I$3:$I$3000,0),MATCH(K$4,임대자산!$D$3:$R$3,0)),
IF($D526="폐업",INDEX(폐업정보!$D$3:$R$3000,MATCH($F526,폐업정보!$I$3:$I$3000,0),MATCH(K$4,폐업정보!$D$3:$R$3,0)),
"Error"))</f>
        <v>C0521</v>
      </c>
      <c r="L526" s="75" t="str">
        <f aca="false">
IF($D526="정상",INDEX(임대자산!$D$3:$R$3000,MATCH($F526,임대자산!$I$3:$I$3000,0),MATCH(L$4,임대자산!$D$3:$R$3,0)),
IF($D526="폐업",INDEX(폐업정보!$D$3:$R$3000,MATCH($F526,폐업정보!$I$3:$I$3000,0),MATCH(L$4,폐업정보!$D$3:$R$3,0)),
"Error"))</f>
        <v>D0521</v>
      </c>
      <c r="M526" s="76" t="s">
        <v>96</v>
      </c>
      <c r="N526" s="77"/>
      <c r="O526" s="78" t="s">
        <v>97</v>
      </c>
      <c r="P526" s="79" t="n">
        <f aca="false">COUNTIFS(임대자산!$I:$I,가맹점정보!F526,임대자산!$N:$N,가맹점정보!P$4)</f>
        <v>0</v>
      </c>
      <c r="Q526" s="80" t="n">
        <f aca="false">COUNTIFS(임대자산!$I:$I,가맹점정보!F526,임대자산!$N:$N,가맹점정보!Q$4)</f>
        <v>0</v>
      </c>
      <c r="R526" s="81" t="n">
        <f aca="false">COUNTIFS(임대자산!$I:$I,가맹점정보!F526,임대자산!$N:$N,가맹점정보!R$4)</f>
        <v>1</v>
      </c>
      <c r="S526" s="82" t="n">
        <v>110000</v>
      </c>
      <c r="T526" s="83" t="n">
        <v>0</v>
      </c>
      <c r="U526" s="80" t="n">
        <f aca="false">SUM(S526:T526)</f>
        <v>110000</v>
      </c>
      <c r="V526" s="84" t="s">
        <v>12</v>
      </c>
      <c r="W526" s="80" t="e">
        <f aca="true">
IF(D526="폐업","폐업",
IF(V526="면제","면제",
IF(AND(V526="정상",COUNTIFS(OFFSET(Y526,0,COUNTA(Y526:AV526)-1,1,-4),"미납")&gt;=3),"장기미납",
IF(AND(V526="정상",OFFSET(Y526,0,COUNTA(Y526:AV526)-1)&gt;=U526),"정상",
IF(AND(V526="정상",OFFSET(Y526,0,COUNTA(Y526:AV526)-1)=0),"정상",
"계약서 미작성")))))</f>
        <v>#VALUE!</v>
      </c>
      <c r="X526" s="81" t="str">
        <f aca="true">
IF(D526="폐업","폐업",
IF(AND(V526="정상",OFFSET(Y526,0,COUNTA(Y526:AV526)-1)="미납"),"미납",
IF(AND(V526="정상",OFFSET(Y526,0,COUNTA(Y526:AV526)-1)=0),"납부 시작 전",
IF(AND(V526="정상",OFFSET(Y526,0,COUNTA(Y526:AV526)-1)&gt;=U526),"정상",
IF(AND(V526="면제",OFFSET(Y526,0,COUNTA(Y526:AV526)-1)="면제"),"면제",
IF(AND(V526="면제",OFFSET(Y526,0,COUNTA(Y526:AV526)-1)=0),"면제",
"확인요청"))))))</f>
        <v>정상</v>
      </c>
      <c r="Y526" s="93" t="n">
        <v>110000</v>
      </c>
      <c r="Z526" s="90" t="n">
        <v>110000</v>
      </c>
      <c r="AA526" s="90" t="n">
        <v>110000</v>
      </c>
      <c r="AB526" s="90" t="n">
        <v>110000</v>
      </c>
      <c r="AC526" s="90" t="n">
        <v>110000</v>
      </c>
      <c r="AD526" s="90" t="n">
        <v>110000</v>
      </c>
      <c r="AE526" s="90" t="n">
        <v>110000</v>
      </c>
      <c r="AF526" s="90" t="n">
        <v>110000</v>
      </c>
      <c r="AG526" s="90" t="n">
        <v>110000</v>
      </c>
      <c r="AH526" s="90" t="n">
        <v>110000</v>
      </c>
      <c r="AI526" s="90" t="n">
        <v>110000</v>
      </c>
      <c r="AJ526" s="91" t="n">
        <v>110000</v>
      </c>
      <c r="AK526" s="89" t="n">
        <v>110000</v>
      </c>
      <c r="AL526" s="90" t="n">
        <v>110000</v>
      </c>
      <c r="AM526" s="90"/>
      <c r="AN526" s="90"/>
      <c r="AO526" s="90"/>
      <c r="AP526" s="90"/>
      <c r="AQ526" s="90"/>
      <c r="AR526" s="90"/>
      <c r="AS526" s="90"/>
      <c r="AT526" s="90"/>
      <c r="AU526" s="90"/>
      <c r="AV526" s="91"/>
      <c r="AX526" s="92"/>
    </row>
    <row r="527" customFormat="false" ht="15.65" hidden="false" customHeight="false" outlineLevel="0" collapsed="false">
      <c r="C527" s="72" t="n">
        <f aca="false">COUNTIFS($D$6:D527,"&lt;&gt;"&amp;"")</f>
        <v>522</v>
      </c>
      <c r="D527" s="73" t="s">
        <v>12</v>
      </c>
      <c r="E527" s="76" t="str">
        <f aca="false">
IF($D527="정상",INDEX(임대자산!$D$3:$R$3000,MATCH($F527,임대자산!$I$3:$I$3000,0),MATCH(E$3,임대자산!$D$3:$R$3,0)),
IF($D527="폐업",INDEX(폐업정보!$D$3:$R$3000,MATCH($F527,폐업정보!$I$3:$I$3000,0),MATCH(E$3,폐업정보!$D$3:$R$3,0)),
"Error"))</f>
        <v>경상</v>
      </c>
      <c r="F52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B0522</v>
      </c>
      <c r="G527" s="76" t="str">
        <f aca="false">F527&amp;RANDBETWEEN(0,10)</f>
        <v>B05228</v>
      </c>
      <c r="H527" s="75" t="n">
        <f aca="false">
IF($D527="정상",INDEX(임대자산!$D$3:$R$3000,MATCH($F527,임대자산!$I$3:$I$3000,0),MATCH(H$4,임대자산!$D$3:$R$3,0)),
IF($D527="폐업",INDEX(폐업정보!$D$3:$R$3000,MATCH($F527,폐업정보!$I$3:$I$3000,0),MATCH(H$4,폐업정보!$D$3:$R$3,0)),
"Error"))</f>
        <v>45946</v>
      </c>
      <c r="I527" s="75" t="str">
        <f aca="false">
IF($D527="정상",INDEX(임대자산!$D$3:$R$3000,MATCH($F527,임대자산!$I$3:$I$3000,0),MATCH(I$4,임대자산!$D$3:$R$3,0)),
IF($D527="폐업",INDEX(폐업정보!$D$3:$R$3000,MATCH($F527,폐업정보!$I$3:$I$3000,0),MATCH(I$4,폐업정보!$D$3:$R$3,0)),
"Error"))</f>
        <v>A0522</v>
      </c>
      <c r="J527" s="75" t="str">
        <f aca="false">
IF($D527="정상",INDEX(임대자산!$D$3:$R$3000,MATCH($F527,임대자산!$I$3:$I$3000,0),MATCH(J$4,임대자산!$D$3:$R$3,0)),
IF($D527="폐업",INDEX(폐업정보!$D$3:$R$3000,MATCH($F527,폐업정보!$I$3:$I$3000,0),MATCH(J$4,폐업정보!$D$3:$R$3,0)),
"Error"))</f>
        <v>4335300000</v>
      </c>
      <c r="K527" s="75" t="str">
        <f aca="false">
IF($D527="정상",INDEX(임대자산!$D$3:$R$3000,MATCH($F527,임대자산!$I$3:$I$3000,0),MATCH(K$4,임대자산!$D$3:$R$3,0)),
IF($D527="폐업",INDEX(폐업정보!$D$3:$R$3000,MATCH($F527,폐업정보!$I$3:$I$3000,0),MATCH(K$4,폐업정보!$D$3:$R$3,0)),
"Error"))</f>
        <v>C0522</v>
      </c>
      <c r="L527" s="75" t="str">
        <f aca="false">
IF($D527="정상",INDEX(임대자산!$D$3:$R$3000,MATCH($F527,임대자산!$I$3:$I$3000,0),MATCH(L$4,임대자산!$D$3:$R$3,0)),
IF($D527="폐업",INDEX(폐업정보!$D$3:$R$3000,MATCH($F527,폐업정보!$I$3:$I$3000,0),MATCH(L$4,폐업정보!$D$3:$R$3,0)),
"Error"))</f>
        <v>D0522</v>
      </c>
      <c r="M527" s="76" t="s">
        <v>96</v>
      </c>
      <c r="N527" s="77"/>
      <c r="O527" s="78" t="s">
        <v>97</v>
      </c>
      <c r="P527" s="79" t="n">
        <f aca="false">COUNTIFS(임대자산!$I:$I,가맹점정보!F527,임대자산!$N:$N,가맹점정보!P$4)</f>
        <v>0</v>
      </c>
      <c r="Q527" s="80" t="n">
        <f aca="false">COUNTIFS(임대자산!$I:$I,가맹점정보!F527,임대자산!$N:$N,가맹점정보!Q$4)</f>
        <v>0</v>
      </c>
      <c r="R527" s="81" t="n">
        <f aca="false">COUNTIFS(임대자산!$I:$I,가맹점정보!F527,임대자산!$N:$N,가맹점정보!R$4)</f>
        <v>1</v>
      </c>
      <c r="S527" s="82" t="n">
        <v>55000</v>
      </c>
      <c r="T527" s="83" t="n">
        <v>0</v>
      </c>
      <c r="U527" s="80" t="n">
        <f aca="false">SUM(S527:T527)</f>
        <v>55000</v>
      </c>
      <c r="V527" s="84" t="s">
        <v>7</v>
      </c>
      <c r="W527" s="80" t="str">
        <f aca="true">
IF(D527="폐업","폐업",
IF(V527="면제","면제",
IF(AND(V527="정상",COUNTIFS(OFFSET(Y527,0,COUNTA(Y527:AV527)-1,1,-4),"미납")&gt;=3),"장기미납",
IF(AND(V527="정상",OFFSET(Y527,0,COUNTA(Y527:AV527)-1)&gt;=U527),"정상",
IF(AND(V527="정상",OFFSET(Y527,0,COUNTA(Y527:AV527)-1)=0),"정상",
"계약서 미작성")))))</f>
        <v>면제</v>
      </c>
      <c r="X527" s="81" t="str">
        <f aca="true">
IF(D527="폐업","폐업",
IF(AND(V527="정상",OFFSET(Y527,0,COUNTA(Y527:AV527)-1)="미납"),"미납",
IF(AND(V527="정상",OFFSET(Y527,0,COUNTA(Y527:AV527)-1)=0),"납부 시작 전",
IF(AND(V527="정상",OFFSET(Y527,0,COUNTA(Y527:AV527)-1)&gt;=U527),"정상",
IF(AND(V527="면제",OFFSET(Y527,0,COUNTA(Y527:AV527)-1)="면제"),"면제",
IF(AND(V527="면제",OFFSET(Y527,0,COUNTA(Y527:AV527)-1)=0),"면제",
"확인요청"))))))</f>
        <v>면제</v>
      </c>
      <c r="Y527" s="94" t="s">
        <v>7</v>
      </c>
      <c r="Z527" s="95" t="s">
        <v>7</v>
      </c>
      <c r="AA527" s="95" t="s">
        <v>7</v>
      </c>
      <c r="AB527" s="95" t="s">
        <v>7</v>
      </c>
      <c r="AC527" s="95" t="s">
        <v>7</v>
      </c>
      <c r="AD527" s="95" t="s">
        <v>7</v>
      </c>
      <c r="AE527" s="95" t="s">
        <v>7</v>
      </c>
      <c r="AF527" s="95" t="s">
        <v>7</v>
      </c>
      <c r="AG527" s="95" t="s">
        <v>7</v>
      </c>
      <c r="AH527" s="95" t="s">
        <v>7</v>
      </c>
      <c r="AI527" s="95" t="s">
        <v>7</v>
      </c>
      <c r="AJ527" s="96" t="s">
        <v>7</v>
      </c>
      <c r="AK527" s="97" t="s">
        <v>7</v>
      </c>
      <c r="AL527" s="95" t="s">
        <v>7</v>
      </c>
      <c r="AM527" s="90"/>
      <c r="AN527" s="90"/>
      <c r="AO527" s="90"/>
      <c r="AP527" s="90"/>
      <c r="AQ527" s="90"/>
      <c r="AR527" s="90"/>
      <c r="AS527" s="90"/>
      <c r="AT527" s="90"/>
      <c r="AU527" s="90"/>
      <c r="AV527" s="91"/>
      <c r="AX527" s="92"/>
    </row>
    <row r="528" customFormat="false" ht="15.65" hidden="false" customHeight="false" outlineLevel="0" collapsed="false">
      <c r="C528" s="72" t="n">
        <f aca="false">COUNTIFS($D$6:D528,"&lt;&gt;"&amp;"")</f>
        <v>523</v>
      </c>
      <c r="D528" s="73" t="s">
        <v>12</v>
      </c>
      <c r="E528" s="76" t="str">
        <f aca="false">
IF($D528="정상",INDEX(임대자산!$D$3:$R$3000,MATCH($F528,임대자산!$I$3:$I$3000,0),MATCH(E$3,임대자산!$D$3:$R$3,0)),
IF($D528="폐업",INDEX(폐업정보!$D$3:$R$3000,MATCH($F528,폐업정보!$I$3:$I$3000,0),MATCH(E$3,폐업정보!$D$3:$R$3,0)),
"Error"))</f>
        <v>경상</v>
      </c>
      <c r="F52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B0523</v>
      </c>
      <c r="G528" s="76" t="str">
        <f aca="false">F528&amp;RANDBETWEEN(0,10)</f>
        <v>B05234</v>
      </c>
      <c r="H528" s="75" t="n">
        <f aca="false">
IF($D528="정상",INDEX(임대자산!$D$3:$R$3000,MATCH($F528,임대자산!$I$3:$I$3000,0),MATCH(H$4,임대자산!$D$3:$R$3,0)),
IF($D528="폐업",INDEX(폐업정보!$D$3:$R$3000,MATCH($F528,폐업정보!$I$3:$I$3000,0),MATCH(H$4,폐업정보!$D$3:$R$3,0)),
"Error"))</f>
        <v>45960</v>
      </c>
      <c r="I528" s="75" t="str">
        <f aca="false">
IF($D528="정상",INDEX(임대자산!$D$3:$R$3000,MATCH($F528,임대자산!$I$3:$I$3000,0),MATCH(I$4,임대자산!$D$3:$R$3,0)),
IF($D528="폐업",INDEX(폐업정보!$D$3:$R$3000,MATCH($F528,폐업정보!$I$3:$I$3000,0),MATCH(I$4,폐업정보!$D$3:$R$3,0)),
"Error"))</f>
        <v>A0523</v>
      </c>
      <c r="J528" s="75" t="str">
        <f aca="false">
IF($D528="정상",INDEX(임대자산!$D$3:$R$3000,MATCH($F528,임대자산!$I$3:$I$3000,0),MATCH(J$4,임대자산!$D$3:$R$3,0)),
IF($D528="폐업",INDEX(폐업정보!$D$3:$R$3000,MATCH($F528,폐업정보!$I$3:$I$3000,0),MATCH(J$4,폐업정보!$D$3:$R$3,0)),
"Error"))</f>
        <v>7104400000</v>
      </c>
      <c r="K528" s="75" t="str">
        <f aca="false">
IF($D528="정상",INDEX(임대자산!$D$3:$R$3000,MATCH($F528,임대자산!$I$3:$I$3000,0),MATCH(K$4,임대자산!$D$3:$R$3,0)),
IF($D528="폐업",INDEX(폐업정보!$D$3:$R$3000,MATCH($F528,폐업정보!$I$3:$I$3000,0),MATCH(K$4,폐업정보!$D$3:$R$3,0)),
"Error"))</f>
        <v>C0523</v>
      </c>
      <c r="L528" s="75" t="str">
        <f aca="false">
IF($D528="정상",INDEX(임대자산!$D$3:$R$3000,MATCH($F528,임대자산!$I$3:$I$3000,0),MATCH(L$4,임대자산!$D$3:$R$3,0)),
IF($D528="폐업",INDEX(폐업정보!$D$3:$R$3000,MATCH($F528,폐업정보!$I$3:$I$3000,0),MATCH(L$4,폐업정보!$D$3:$R$3,0)),
"Error"))</f>
        <v>D0523</v>
      </c>
      <c r="M528" s="76" t="s">
        <v>96</v>
      </c>
      <c r="N528" s="77"/>
      <c r="O528" s="78" t="s">
        <v>97</v>
      </c>
      <c r="P528" s="79" t="n">
        <f aca="false">COUNTIFS(임대자산!$I:$I,가맹점정보!F528,임대자산!$N:$N,가맹점정보!P$4)</f>
        <v>0</v>
      </c>
      <c r="Q528" s="80" t="n">
        <f aca="false">COUNTIFS(임대자산!$I:$I,가맹점정보!F528,임대자산!$N:$N,가맹점정보!Q$4)</f>
        <v>0</v>
      </c>
      <c r="R528" s="81" t="n">
        <f aca="false">COUNTIFS(임대자산!$I:$I,가맹점정보!F528,임대자산!$N:$N,가맹점정보!R$4)</f>
        <v>1</v>
      </c>
      <c r="S528" s="82" t="n">
        <v>55000</v>
      </c>
      <c r="T528" s="83" t="n">
        <v>0</v>
      </c>
      <c r="U528" s="80" t="n">
        <f aca="false">SUM(S528:T528)</f>
        <v>55000</v>
      </c>
      <c r="V528" s="84" t="s">
        <v>7</v>
      </c>
      <c r="W528" s="80" t="str">
        <f aca="true">
IF(D528="폐업","폐업",
IF(V528="면제","면제",
IF(AND(V528="정상",COUNTIFS(OFFSET(Y528,0,COUNTA(Y528:AV528)-1,1,-4),"미납")&gt;=3),"장기미납",
IF(AND(V528="정상",OFFSET(Y528,0,COUNTA(Y528:AV528)-1)&gt;=U528),"정상",
IF(AND(V528="정상",OFFSET(Y528,0,COUNTA(Y528:AV528)-1)=0),"정상",
"계약서 미작성")))))</f>
        <v>면제</v>
      </c>
      <c r="X528" s="81" t="str">
        <f aca="true">
IF(D528="폐업","폐업",
IF(AND(V528="정상",OFFSET(Y528,0,COUNTA(Y528:AV528)-1)="미납"),"미납",
IF(AND(V528="정상",OFFSET(Y528,0,COUNTA(Y528:AV528)-1)=0),"납부 시작 전",
IF(AND(V528="정상",OFFSET(Y528,0,COUNTA(Y528:AV528)-1)&gt;=U528),"정상",
IF(AND(V528="면제",OFFSET(Y528,0,COUNTA(Y528:AV528)-1)="면제"),"면제",
IF(AND(V528="면제",OFFSET(Y528,0,COUNTA(Y528:AV528)-1)=0),"면제",
"확인요청"))))))</f>
        <v>면제</v>
      </c>
      <c r="Y528" s="94" t="s">
        <v>7</v>
      </c>
      <c r="Z528" s="95" t="s">
        <v>7</v>
      </c>
      <c r="AA528" s="95" t="s">
        <v>7</v>
      </c>
      <c r="AB528" s="95" t="s">
        <v>7</v>
      </c>
      <c r="AC528" s="95" t="s">
        <v>7</v>
      </c>
      <c r="AD528" s="95" t="s">
        <v>7</v>
      </c>
      <c r="AE528" s="95" t="s">
        <v>7</v>
      </c>
      <c r="AF528" s="95" t="s">
        <v>7</v>
      </c>
      <c r="AG528" s="95" t="s">
        <v>7</v>
      </c>
      <c r="AH528" s="95" t="s">
        <v>7</v>
      </c>
      <c r="AI528" s="95" t="s">
        <v>7</v>
      </c>
      <c r="AJ528" s="96" t="s">
        <v>7</v>
      </c>
      <c r="AK528" s="97" t="s">
        <v>7</v>
      </c>
      <c r="AL528" s="95" t="s">
        <v>7</v>
      </c>
      <c r="AM528" s="90"/>
      <c r="AN528" s="90"/>
      <c r="AO528" s="90"/>
      <c r="AP528" s="90"/>
      <c r="AQ528" s="90"/>
      <c r="AR528" s="90"/>
      <c r="AS528" s="90"/>
      <c r="AT528" s="90"/>
      <c r="AU528" s="90"/>
      <c r="AV528" s="91"/>
      <c r="AX528" s="92"/>
    </row>
    <row r="529" customFormat="false" ht="15.65" hidden="false" customHeight="false" outlineLevel="0" collapsed="false">
      <c r="C529" s="72" t="n">
        <f aca="false">COUNTIFS($D$6:D529,"&lt;&gt;"&amp;"")</f>
        <v>524</v>
      </c>
      <c r="D529" s="73" t="s">
        <v>12</v>
      </c>
      <c r="E529" s="76" t="str">
        <f aca="false">
IF($D529="정상",INDEX(임대자산!$D$3:$R$3000,MATCH($F529,임대자산!$I$3:$I$3000,0),MATCH(E$3,임대자산!$D$3:$R$3,0)),
IF($D529="폐업",INDEX(폐업정보!$D$3:$R$3000,MATCH($F529,폐업정보!$I$3:$I$3000,0),MATCH(E$3,폐업정보!$D$3:$R$3,0)),
"Error"))</f>
        <v>전라</v>
      </c>
      <c r="F52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B0524</v>
      </c>
      <c r="G529" s="76" t="str">
        <f aca="false">F529&amp;RANDBETWEEN(0,10)</f>
        <v>B05242</v>
      </c>
      <c r="H529" s="75" t="n">
        <f aca="false">
IF($D529="정상",INDEX(임대자산!$D$3:$R$3000,MATCH($F529,임대자산!$I$3:$I$3000,0),MATCH(H$4,임대자산!$D$3:$R$3,0)),
IF($D529="폐업",INDEX(폐업정보!$D$3:$R$3000,MATCH($F529,폐업정보!$I$3:$I$3000,0),MATCH(H$4,폐업정보!$D$3:$R$3,0)),
"Error"))</f>
        <v>45971</v>
      </c>
      <c r="I529" s="75" t="str">
        <f aca="false">
IF($D529="정상",INDEX(임대자산!$D$3:$R$3000,MATCH($F529,임대자산!$I$3:$I$3000,0),MATCH(I$4,임대자산!$D$3:$R$3,0)),
IF($D529="폐업",INDEX(폐업정보!$D$3:$R$3000,MATCH($F529,폐업정보!$I$3:$I$3000,0),MATCH(I$4,폐업정보!$D$3:$R$3,0)),
"Error"))</f>
        <v>A0524</v>
      </c>
      <c r="J529" s="75" t="str">
        <f aca="false">
IF($D529="정상",INDEX(임대자산!$D$3:$R$3000,MATCH($F529,임대자산!$I$3:$I$3000,0),MATCH(J$4,임대자산!$D$3:$R$3,0)),
IF($D529="폐업",INDEX(폐업정보!$D$3:$R$3000,MATCH($F529,폐업정보!$I$3:$I$3000,0),MATCH(J$4,폐업정보!$D$3:$R$3,0)),
"Error"))</f>
        <v>4193500000</v>
      </c>
      <c r="K529" s="75" t="str">
        <f aca="false">
IF($D529="정상",INDEX(임대자산!$D$3:$R$3000,MATCH($F529,임대자산!$I$3:$I$3000,0),MATCH(K$4,임대자산!$D$3:$R$3,0)),
IF($D529="폐업",INDEX(폐업정보!$D$3:$R$3000,MATCH($F529,폐업정보!$I$3:$I$3000,0),MATCH(K$4,폐업정보!$D$3:$R$3,0)),
"Error"))</f>
        <v>C0524</v>
      </c>
      <c r="L529" s="75" t="str">
        <f aca="false">
IF($D529="정상",INDEX(임대자산!$D$3:$R$3000,MATCH($F529,임대자산!$I$3:$I$3000,0),MATCH(L$4,임대자산!$D$3:$R$3,0)),
IF($D529="폐업",INDEX(폐업정보!$D$3:$R$3000,MATCH($F529,폐업정보!$I$3:$I$3000,0),MATCH(L$4,폐업정보!$D$3:$R$3,0)),
"Error"))</f>
        <v>D0524</v>
      </c>
      <c r="M529" s="76" t="s">
        <v>96</v>
      </c>
      <c r="N529" s="77"/>
      <c r="O529" s="78" t="s">
        <v>97</v>
      </c>
      <c r="P529" s="79" t="n">
        <f aca="false">COUNTIFS(임대자산!$I:$I,가맹점정보!F529,임대자산!$N:$N,가맹점정보!P$4)</f>
        <v>0</v>
      </c>
      <c r="Q529" s="80" t="n">
        <f aca="false">COUNTIFS(임대자산!$I:$I,가맹점정보!F529,임대자산!$N:$N,가맹점정보!Q$4)</f>
        <v>0</v>
      </c>
      <c r="R529" s="81" t="n">
        <f aca="false">COUNTIFS(임대자산!$I:$I,가맹점정보!F529,임대자산!$N:$N,가맹점정보!R$4)</f>
        <v>1</v>
      </c>
      <c r="S529" s="82" t="n">
        <v>55000</v>
      </c>
      <c r="T529" s="83" t="n">
        <v>0</v>
      </c>
      <c r="U529" s="80" t="n">
        <f aca="false">SUM(S529:T529)</f>
        <v>55000</v>
      </c>
      <c r="V529" s="84" t="s">
        <v>12</v>
      </c>
      <c r="W529" s="80" t="e">
        <f aca="true">
IF(D529="폐업","폐업",
IF(V529="면제","면제",
IF(AND(V529="정상",COUNTIFS(OFFSET(Y529,0,COUNTA(Y529:AV529)-1,1,-4),"미납")&gt;=3),"장기미납",
IF(AND(V529="정상",OFFSET(Y529,0,COUNTA(Y529:AV529)-1)&gt;=U529),"정상",
IF(AND(V529="정상",OFFSET(Y529,0,COUNTA(Y529:AV529)-1)=0),"정상",
"계약서 미작성")))))</f>
        <v>#VALUE!</v>
      </c>
      <c r="X529" s="81" t="str">
        <f aca="true">
IF(D529="폐업","폐업",
IF(AND(V529="정상",OFFSET(Y529,0,COUNTA(Y529:AV529)-1)="미납"),"미납",
IF(AND(V529="정상",OFFSET(Y529,0,COUNTA(Y529:AV529)-1)=0),"납부 시작 전",
IF(AND(V529="정상",OFFSET(Y529,0,COUNTA(Y529:AV529)-1)&gt;=U529),"정상",
IF(AND(V529="면제",OFFSET(Y529,0,COUNTA(Y529:AV529)-1)="면제"),"면제",
IF(AND(V529="면제",OFFSET(Y529,0,COUNTA(Y529:AV529)-1)=0),"면제",
"확인요청"))))))</f>
        <v>정상</v>
      </c>
      <c r="Y529" s="93" t="n">
        <v>55000</v>
      </c>
      <c r="Z529" s="90" t="n">
        <v>55000</v>
      </c>
      <c r="AA529" s="90" t="n">
        <v>55000</v>
      </c>
      <c r="AB529" s="90" t="n">
        <v>55000</v>
      </c>
      <c r="AC529" s="90" t="n">
        <v>55000</v>
      </c>
      <c r="AD529" s="90" t="n">
        <v>55000</v>
      </c>
      <c r="AE529" s="90" t="n">
        <v>55000</v>
      </c>
      <c r="AF529" s="90" t="n">
        <v>55000</v>
      </c>
      <c r="AG529" s="90" t="n">
        <v>55000</v>
      </c>
      <c r="AH529" s="90" t="n">
        <v>55000</v>
      </c>
      <c r="AI529" s="90" t="n">
        <v>55000</v>
      </c>
      <c r="AJ529" s="91" t="n">
        <v>55000</v>
      </c>
      <c r="AK529" s="89" t="n">
        <v>55000</v>
      </c>
      <c r="AL529" s="90" t="n">
        <v>55000</v>
      </c>
      <c r="AM529" s="90"/>
      <c r="AN529" s="90"/>
      <c r="AO529" s="90"/>
      <c r="AP529" s="90"/>
      <c r="AQ529" s="90"/>
      <c r="AR529" s="90"/>
      <c r="AS529" s="90"/>
      <c r="AT529" s="90"/>
      <c r="AU529" s="90"/>
      <c r="AV529" s="91"/>
      <c r="AX529" s="92"/>
    </row>
    <row r="530" customFormat="false" ht="15.65" hidden="false" customHeight="false" outlineLevel="0" collapsed="false">
      <c r="C530" s="72" t="n">
        <f aca="false">COUNTIFS($D$6:D530,"&lt;&gt;"&amp;"")</f>
        <v>525</v>
      </c>
      <c r="D530" s="73" t="s">
        <v>12</v>
      </c>
      <c r="E530" s="76" t="str">
        <f aca="false">
IF($D530="정상",INDEX(임대자산!$D$3:$R$3000,MATCH($F530,임대자산!$I$3:$I$3000,0),MATCH(E$3,임대자산!$D$3:$R$3,0)),
IF($D530="폐업",INDEX(폐업정보!$D$3:$R$3000,MATCH($F530,폐업정보!$I$3:$I$3000,0),MATCH(E$3,폐업정보!$D$3:$R$3,0)),
"Error"))</f>
        <v>전라</v>
      </c>
      <c r="F53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B0525</v>
      </c>
      <c r="G530" s="76" t="str">
        <f aca="false">F530&amp;RANDBETWEEN(0,10)</f>
        <v>B05257</v>
      </c>
      <c r="H530" s="75" t="n">
        <f aca="false">
IF($D530="정상",INDEX(임대자산!$D$3:$R$3000,MATCH($F530,임대자산!$I$3:$I$3000,0),MATCH(H$4,임대자산!$D$3:$R$3,0)),
IF($D530="폐업",INDEX(폐업정보!$D$3:$R$3000,MATCH($F530,폐업정보!$I$3:$I$3000,0),MATCH(H$4,폐업정보!$D$3:$R$3,0)),
"Error"))</f>
        <v>45971</v>
      </c>
      <c r="I530" s="75" t="str">
        <f aca="false">
IF($D530="정상",INDEX(임대자산!$D$3:$R$3000,MATCH($F530,임대자산!$I$3:$I$3000,0),MATCH(I$4,임대자산!$D$3:$R$3,0)),
IF($D530="폐업",INDEX(폐업정보!$D$3:$R$3000,MATCH($F530,폐업정보!$I$3:$I$3000,0),MATCH(I$4,폐업정보!$D$3:$R$3,0)),
"Error"))</f>
        <v>A0525</v>
      </c>
      <c r="J530" s="75" t="str">
        <f aca="false">
IF($D530="정상",INDEX(임대자산!$D$3:$R$3000,MATCH($F530,임대자산!$I$3:$I$3000,0),MATCH(J$4,임대자산!$D$3:$R$3,0)),
IF($D530="폐업",INDEX(폐업정보!$D$3:$R$3000,MATCH($F530,폐업정보!$I$3:$I$3000,0),MATCH(J$4,폐업정보!$D$3:$R$3,0)),
"Error"))</f>
        <v>6295800000</v>
      </c>
      <c r="K530" s="75" t="str">
        <f aca="false">
IF($D530="정상",INDEX(임대자산!$D$3:$R$3000,MATCH($F530,임대자산!$I$3:$I$3000,0),MATCH(K$4,임대자산!$D$3:$R$3,0)),
IF($D530="폐업",INDEX(폐업정보!$D$3:$R$3000,MATCH($F530,폐업정보!$I$3:$I$3000,0),MATCH(K$4,폐업정보!$D$3:$R$3,0)),
"Error"))</f>
        <v>C0525</v>
      </c>
      <c r="L530" s="75" t="str">
        <f aca="false">
IF($D530="정상",INDEX(임대자산!$D$3:$R$3000,MATCH($F530,임대자산!$I$3:$I$3000,0),MATCH(L$4,임대자산!$D$3:$R$3,0)),
IF($D530="폐업",INDEX(폐업정보!$D$3:$R$3000,MATCH($F530,폐업정보!$I$3:$I$3000,0),MATCH(L$4,폐업정보!$D$3:$R$3,0)),
"Error"))</f>
        <v>D0525</v>
      </c>
      <c r="M530" s="76" t="s">
        <v>96</v>
      </c>
      <c r="N530" s="77"/>
      <c r="O530" s="78" t="s">
        <v>97</v>
      </c>
      <c r="P530" s="79" t="n">
        <f aca="false">COUNTIFS(임대자산!$I:$I,가맹점정보!F530,임대자산!$N:$N,가맹점정보!P$4)</f>
        <v>0</v>
      </c>
      <c r="Q530" s="80" t="n">
        <f aca="false">COUNTIFS(임대자산!$I:$I,가맹점정보!F530,임대자산!$N:$N,가맹점정보!Q$4)</f>
        <v>0</v>
      </c>
      <c r="R530" s="81" t="n">
        <f aca="false">COUNTIFS(임대자산!$I:$I,가맹점정보!F530,임대자산!$N:$N,가맹점정보!R$4)</f>
        <v>1</v>
      </c>
      <c r="S530" s="82" t="n">
        <v>55000</v>
      </c>
      <c r="T530" s="83" t="n">
        <v>0</v>
      </c>
      <c r="U530" s="80" t="n">
        <f aca="false">SUM(S530:T530)</f>
        <v>55000</v>
      </c>
      <c r="V530" s="84" t="s">
        <v>12</v>
      </c>
      <c r="W530" s="80" t="e">
        <f aca="true">
IF(D530="폐업","폐업",
IF(V530="면제","면제",
IF(AND(V530="정상",COUNTIFS(OFFSET(Y530,0,COUNTA(Y530:AV530)-1,1,-4),"미납")&gt;=3),"장기미납",
IF(AND(V530="정상",OFFSET(Y530,0,COUNTA(Y530:AV530)-1)&gt;=U530),"정상",
IF(AND(V530="정상",OFFSET(Y530,0,COUNTA(Y530:AV530)-1)=0),"정상",
"계약서 미작성")))))</f>
        <v>#VALUE!</v>
      </c>
      <c r="X530" s="81" t="str">
        <f aca="true">
IF(D530="폐업","폐업",
IF(AND(V530="정상",OFFSET(Y530,0,COUNTA(Y530:AV530)-1)="미납"),"미납",
IF(AND(V530="정상",OFFSET(Y530,0,COUNTA(Y530:AV530)-1)=0),"납부 시작 전",
IF(AND(V530="정상",OFFSET(Y530,0,COUNTA(Y530:AV530)-1)&gt;=U530),"정상",
IF(AND(V530="면제",OFFSET(Y530,0,COUNTA(Y530:AV530)-1)="면제"),"면제",
IF(AND(V530="면제",OFFSET(Y530,0,COUNTA(Y530:AV530)-1)=0),"면제",
"확인요청"))))))</f>
        <v>정상</v>
      </c>
      <c r="Y530" s="93" t="n">
        <v>55000</v>
      </c>
      <c r="Z530" s="90" t="n">
        <v>55000</v>
      </c>
      <c r="AA530" s="90" t="n">
        <v>55000</v>
      </c>
      <c r="AB530" s="90" t="n">
        <v>55000</v>
      </c>
      <c r="AC530" s="90" t="n">
        <v>55000</v>
      </c>
      <c r="AD530" s="90" t="n">
        <v>55000</v>
      </c>
      <c r="AE530" s="90" t="n">
        <v>55000</v>
      </c>
      <c r="AF530" s="90" t="n">
        <v>55000</v>
      </c>
      <c r="AG530" s="90" t="n">
        <v>55000</v>
      </c>
      <c r="AH530" s="90" t="n">
        <v>55000</v>
      </c>
      <c r="AI530" s="90" t="n">
        <v>55000</v>
      </c>
      <c r="AJ530" s="91" t="n">
        <v>55000</v>
      </c>
      <c r="AK530" s="89" t="n">
        <v>55000</v>
      </c>
      <c r="AL530" s="90" t="n">
        <v>55000</v>
      </c>
      <c r="AM530" s="90"/>
      <c r="AN530" s="90"/>
      <c r="AO530" s="90"/>
      <c r="AP530" s="90"/>
      <c r="AQ530" s="90"/>
      <c r="AR530" s="90"/>
      <c r="AS530" s="90"/>
      <c r="AT530" s="90"/>
      <c r="AU530" s="90"/>
      <c r="AV530" s="91"/>
      <c r="AX530" s="92"/>
    </row>
    <row r="531" customFormat="false" ht="15.65" hidden="false" customHeight="false" outlineLevel="0" collapsed="false">
      <c r="C531" s="72" t="n">
        <f aca="false">COUNTIFS($D$6:D531,"&lt;&gt;"&amp;"")</f>
        <v>526</v>
      </c>
      <c r="D531" s="73" t="s">
        <v>12</v>
      </c>
      <c r="E531" s="76" t="str">
        <f aca="false">
IF($D531="정상",INDEX(임대자산!$D$3:$R$3000,MATCH($F531,임대자산!$I$3:$I$3000,0),MATCH(E$3,임대자산!$D$3:$R$3,0)),
IF($D531="폐업",INDEX(폐업정보!$D$3:$R$3000,MATCH($F531,폐업정보!$I$3:$I$3000,0),MATCH(E$3,폐업정보!$D$3:$R$3,0)),
"Error"))</f>
        <v>경기</v>
      </c>
      <c r="F53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B0526</v>
      </c>
      <c r="G531" s="76" t="str">
        <f aca="false">F531&amp;RANDBETWEEN(0,10)</f>
        <v>B05266</v>
      </c>
      <c r="H531" s="75" t="n">
        <f aca="false">
IF($D531="정상",INDEX(임대자산!$D$3:$R$3000,MATCH($F531,임대자산!$I$3:$I$3000,0),MATCH(H$4,임대자산!$D$3:$R$3,0)),
IF($D531="폐업",INDEX(폐업정보!$D$3:$R$3000,MATCH($F531,폐업정보!$I$3:$I$3000,0),MATCH(H$4,폐업정보!$D$3:$R$3,0)),
"Error"))</f>
        <v>45974</v>
      </c>
      <c r="I531" s="75" t="str">
        <f aca="false">
IF($D531="정상",INDEX(임대자산!$D$3:$R$3000,MATCH($F531,임대자산!$I$3:$I$3000,0),MATCH(I$4,임대자산!$D$3:$R$3,0)),
IF($D531="폐업",INDEX(폐업정보!$D$3:$R$3000,MATCH($F531,폐업정보!$I$3:$I$3000,0),MATCH(I$4,폐업정보!$D$3:$R$3,0)),
"Error"))</f>
        <v>A0526</v>
      </c>
      <c r="J531" s="75" t="str">
        <f aca="false">
IF($D531="정상",INDEX(임대자산!$D$3:$R$3000,MATCH($F531,임대자산!$I$3:$I$3000,0),MATCH(J$4,임대자산!$D$3:$R$3,0)),
IF($D531="폐업",INDEX(폐업정보!$D$3:$R$3000,MATCH($F531,폐업정보!$I$3:$I$3000,0),MATCH(J$4,폐업정보!$D$3:$R$3,0)),
"Error"))</f>
        <v>3753500000</v>
      </c>
      <c r="K531" s="75" t="str">
        <f aca="false">
IF($D531="정상",INDEX(임대자산!$D$3:$R$3000,MATCH($F531,임대자산!$I$3:$I$3000,0),MATCH(K$4,임대자산!$D$3:$R$3,0)),
IF($D531="폐업",INDEX(폐업정보!$D$3:$R$3000,MATCH($F531,폐업정보!$I$3:$I$3000,0),MATCH(K$4,폐업정보!$D$3:$R$3,0)),
"Error"))</f>
        <v>C0526</v>
      </c>
      <c r="L531" s="75" t="str">
        <f aca="false">
IF($D531="정상",INDEX(임대자산!$D$3:$R$3000,MATCH($F531,임대자산!$I$3:$I$3000,0),MATCH(L$4,임대자산!$D$3:$R$3,0)),
IF($D531="폐업",INDEX(폐업정보!$D$3:$R$3000,MATCH($F531,폐업정보!$I$3:$I$3000,0),MATCH(L$4,폐업정보!$D$3:$R$3,0)),
"Error"))</f>
        <v>D0526</v>
      </c>
      <c r="M531" s="76" t="s">
        <v>96</v>
      </c>
      <c r="N531" s="77"/>
      <c r="O531" s="78" t="s">
        <v>97</v>
      </c>
      <c r="P531" s="79" t="n">
        <f aca="false">COUNTIFS(임대자산!$I:$I,가맹점정보!F531,임대자산!$N:$N,가맹점정보!P$4)</f>
        <v>0</v>
      </c>
      <c r="Q531" s="80" t="n">
        <f aca="false">COUNTIFS(임대자산!$I:$I,가맹점정보!F531,임대자산!$N:$N,가맹점정보!Q$4)</f>
        <v>0</v>
      </c>
      <c r="R531" s="81" t="n">
        <f aca="false">COUNTIFS(임대자산!$I:$I,가맹점정보!F531,임대자산!$N:$N,가맹점정보!R$4)</f>
        <v>1</v>
      </c>
      <c r="S531" s="82" t="n">
        <v>55000</v>
      </c>
      <c r="T531" s="83" t="n">
        <v>0</v>
      </c>
      <c r="U531" s="80" t="n">
        <f aca="false">SUM(S531:T531)</f>
        <v>55000</v>
      </c>
      <c r="V531" s="84" t="s">
        <v>12</v>
      </c>
      <c r="W531" s="80" t="e">
        <f aca="true">
IF(D531="폐업","폐업",
IF(V531="면제","면제",
IF(AND(V531="정상",COUNTIFS(OFFSET(Y531,0,COUNTA(Y531:AV531)-1,1,-4),"미납")&gt;=3),"장기미납",
IF(AND(V531="정상",OFFSET(Y531,0,COUNTA(Y531:AV531)-1)&gt;=U531),"정상",
IF(AND(V531="정상",OFFSET(Y531,0,COUNTA(Y531:AV531)-1)=0),"정상",
"계약서 미작성")))))</f>
        <v>#VALUE!</v>
      </c>
      <c r="X531" s="81" t="str">
        <f aca="true">
IF(D531="폐업","폐업",
IF(AND(V531="정상",OFFSET(Y531,0,COUNTA(Y531:AV531)-1)="미납"),"미납",
IF(AND(V531="정상",OFFSET(Y531,0,COUNTA(Y531:AV531)-1)=0),"납부 시작 전",
IF(AND(V531="정상",OFFSET(Y531,0,COUNTA(Y531:AV531)-1)&gt;=U531),"정상",
IF(AND(V531="면제",OFFSET(Y531,0,COUNTA(Y531:AV531)-1)="면제"),"면제",
IF(AND(V531="면제",OFFSET(Y531,0,COUNTA(Y531:AV531)-1)=0),"면제",
"확인요청"))))))</f>
        <v>정상</v>
      </c>
      <c r="Y531" s="93" t="n">
        <v>55000</v>
      </c>
      <c r="Z531" s="90" t="n">
        <v>55000</v>
      </c>
      <c r="AA531" s="90" t="n">
        <v>55000</v>
      </c>
      <c r="AB531" s="90" t="n">
        <v>55000</v>
      </c>
      <c r="AC531" s="90" t="n">
        <v>55000</v>
      </c>
      <c r="AD531" s="90" t="n">
        <v>55000</v>
      </c>
      <c r="AE531" s="90" t="n">
        <v>55000</v>
      </c>
      <c r="AF531" s="90" t="n">
        <v>55000</v>
      </c>
      <c r="AG531" s="90" t="n">
        <v>55000</v>
      </c>
      <c r="AH531" s="90" t="n">
        <v>55000</v>
      </c>
      <c r="AI531" s="90" t="n">
        <v>55000</v>
      </c>
      <c r="AJ531" s="91" t="n">
        <v>55000</v>
      </c>
      <c r="AK531" s="89" t="n">
        <v>55000</v>
      </c>
      <c r="AL531" s="90" t="n">
        <v>55000</v>
      </c>
      <c r="AM531" s="90"/>
      <c r="AN531" s="90"/>
      <c r="AO531" s="90"/>
      <c r="AP531" s="90"/>
      <c r="AQ531" s="90"/>
      <c r="AR531" s="90"/>
      <c r="AS531" s="90"/>
      <c r="AT531" s="90"/>
      <c r="AU531" s="90"/>
      <c r="AV531" s="91"/>
      <c r="AX531" s="92"/>
    </row>
    <row r="532" customFormat="false" ht="15.65" hidden="false" customHeight="false" outlineLevel="0" collapsed="false">
      <c r="C532" s="72" t="n">
        <f aca="false">COUNTIFS($D$6:D532,"&lt;&gt;"&amp;"")</f>
        <v>527</v>
      </c>
      <c r="D532" s="73" t="s">
        <v>12</v>
      </c>
      <c r="E532" s="76" t="str">
        <f aca="false">
IF($D532="정상",INDEX(임대자산!$D$3:$R$3000,MATCH($F532,임대자산!$I$3:$I$3000,0),MATCH(E$3,임대자산!$D$3:$R$3,0)),
IF($D532="폐업",INDEX(폐업정보!$D$3:$R$3000,MATCH($F532,폐업정보!$I$3:$I$3000,0),MATCH(E$3,폐업정보!$D$3:$R$3,0)),
"Error"))</f>
        <v>경상</v>
      </c>
      <c r="F53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B0527</v>
      </c>
      <c r="G532" s="76" t="str">
        <f aca="false">F532&amp;RANDBETWEEN(0,10)</f>
        <v>B05279</v>
      </c>
      <c r="H532" s="75" t="n">
        <f aca="false">
IF($D532="정상",INDEX(임대자산!$D$3:$R$3000,MATCH($F532,임대자산!$I$3:$I$3000,0),MATCH(H$4,임대자산!$D$3:$R$3,0)),
IF($D532="폐업",INDEX(폐업정보!$D$3:$R$3000,MATCH($F532,폐업정보!$I$3:$I$3000,0),MATCH(H$4,폐업정보!$D$3:$R$3,0)),
"Error"))</f>
        <v>45979</v>
      </c>
      <c r="I532" s="75" t="str">
        <f aca="false">
IF($D532="정상",INDEX(임대자산!$D$3:$R$3000,MATCH($F532,임대자산!$I$3:$I$3000,0),MATCH(I$4,임대자산!$D$3:$R$3,0)),
IF($D532="폐업",INDEX(폐업정보!$D$3:$R$3000,MATCH($F532,폐업정보!$I$3:$I$3000,0),MATCH(I$4,폐업정보!$D$3:$R$3,0)),
"Error"))</f>
        <v>A0527</v>
      </c>
      <c r="J532" s="75" t="str">
        <f aca="false">
IF($D532="정상",INDEX(임대자산!$D$3:$R$3000,MATCH($F532,임대자산!$I$3:$I$3000,0),MATCH(J$4,임대자산!$D$3:$R$3,0)),
IF($D532="폐업",INDEX(폐업정보!$D$3:$R$3000,MATCH($F532,폐업정보!$I$3:$I$3000,0),MATCH(J$4,폐업정보!$D$3:$R$3,0)),
"Error"))</f>
        <v>3296700000</v>
      </c>
      <c r="K532" s="75" t="str">
        <f aca="false">
IF($D532="정상",INDEX(임대자산!$D$3:$R$3000,MATCH($F532,임대자산!$I$3:$I$3000,0),MATCH(K$4,임대자산!$D$3:$R$3,0)),
IF($D532="폐업",INDEX(폐업정보!$D$3:$R$3000,MATCH($F532,폐업정보!$I$3:$I$3000,0),MATCH(K$4,폐업정보!$D$3:$R$3,0)),
"Error"))</f>
        <v>C0527</v>
      </c>
      <c r="L532" s="75" t="str">
        <f aca="false">
IF($D532="정상",INDEX(임대자산!$D$3:$R$3000,MATCH($F532,임대자산!$I$3:$I$3000,0),MATCH(L$4,임대자산!$D$3:$R$3,0)),
IF($D532="폐업",INDEX(폐업정보!$D$3:$R$3000,MATCH($F532,폐업정보!$I$3:$I$3000,0),MATCH(L$4,폐업정보!$D$3:$R$3,0)),
"Error"))</f>
        <v>D0527</v>
      </c>
      <c r="M532" s="76" t="s">
        <v>96</v>
      </c>
      <c r="N532" s="77"/>
      <c r="O532" s="78" t="s">
        <v>97</v>
      </c>
      <c r="P532" s="79" t="n">
        <f aca="false">COUNTIFS(임대자산!$I:$I,가맹점정보!F532,임대자산!$N:$N,가맹점정보!P$4)</f>
        <v>0</v>
      </c>
      <c r="Q532" s="80" t="n">
        <f aca="false">COUNTIFS(임대자산!$I:$I,가맹점정보!F532,임대자산!$N:$N,가맹점정보!Q$4)</f>
        <v>0</v>
      </c>
      <c r="R532" s="81" t="n">
        <f aca="false">COUNTIFS(임대자산!$I:$I,가맹점정보!F532,임대자산!$N:$N,가맹점정보!R$4)</f>
        <v>1</v>
      </c>
      <c r="S532" s="82" t="n">
        <v>88000</v>
      </c>
      <c r="T532" s="83" t="n">
        <v>0</v>
      </c>
      <c r="U532" s="80" t="n">
        <f aca="false">SUM(S532:T532)</f>
        <v>88000</v>
      </c>
      <c r="V532" s="84" t="s">
        <v>12</v>
      </c>
      <c r="W532" s="80" t="e">
        <f aca="true">
IF(D532="폐업","폐업",
IF(V532="면제","면제",
IF(AND(V532="정상",COUNTIFS(OFFSET(Y532,0,COUNTA(Y532:AV532)-1,1,-4),"미납")&gt;=3),"장기미납",
IF(AND(V532="정상",OFFSET(Y532,0,COUNTA(Y532:AV532)-1)&gt;=U532),"정상",
IF(AND(V532="정상",OFFSET(Y532,0,COUNTA(Y532:AV532)-1)=0),"정상",
"계약서 미작성")))))</f>
        <v>#VALUE!</v>
      </c>
      <c r="X532" s="81" t="str">
        <f aca="true">
IF(D532="폐업","폐업",
IF(AND(V532="정상",OFFSET(Y532,0,COUNTA(Y532:AV532)-1)="미납"),"미납",
IF(AND(V532="정상",OFFSET(Y532,0,COUNTA(Y532:AV532)-1)=0),"납부 시작 전",
IF(AND(V532="정상",OFFSET(Y532,0,COUNTA(Y532:AV532)-1)&gt;=U532),"정상",
IF(AND(V532="면제",OFFSET(Y532,0,COUNTA(Y532:AV532)-1)="면제"),"면제",
IF(AND(V532="면제",OFFSET(Y532,0,COUNTA(Y532:AV532)-1)=0),"면제",
"확인요청"))))))</f>
        <v>정상</v>
      </c>
      <c r="Y532" s="93" t="n">
        <v>88000</v>
      </c>
      <c r="Z532" s="90" t="n">
        <v>88000</v>
      </c>
      <c r="AA532" s="90" t="n">
        <v>88000</v>
      </c>
      <c r="AB532" s="90" t="n">
        <v>88000</v>
      </c>
      <c r="AC532" s="90" t="n">
        <v>88000</v>
      </c>
      <c r="AD532" s="90" t="n">
        <v>88000</v>
      </c>
      <c r="AE532" s="90" t="n">
        <v>88000</v>
      </c>
      <c r="AF532" s="90" t="n">
        <v>88000</v>
      </c>
      <c r="AG532" s="90" t="n">
        <v>88000</v>
      </c>
      <c r="AH532" s="90" t="n">
        <v>88000</v>
      </c>
      <c r="AI532" s="90" t="n">
        <v>88000</v>
      </c>
      <c r="AJ532" s="91" t="n">
        <v>88000</v>
      </c>
      <c r="AK532" s="89" t="n">
        <v>88000</v>
      </c>
      <c r="AL532" s="90" t="n">
        <v>88000</v>
      </c>
      <c r="AM532" s="90"/>
      <c r="AN532" s="90"/>
      <c r="AO532" s="90"/>
      <c r="AP532" s="90"/>
      <c r="AQ532" s="90"/>
      <c r="AR532" s="90"/>
      <c r="AS532" s="90"/>
      <c r="AT532" s="90"/>
      <c r="AU532" s="90"/>
      <c r="AV532" s="91"/>
      <c r="AX532" s="92"/>
    </row>
    <row r="533" customFormat="false" ht="15.65" hidden="false" customHeight="false" outlineLevel="0" collapsed="false">
      <c r="C533" s="72" t="n">
        <f aca="false">COUNTIFS($D$6:D533,"&lt;&gt;"&amp;"")</f>
        <v>528</v>
      </c>
      <c r="D533" s="73" t="s">
        <v>12</v>
      </c>
      <c r="E533" s="76" t="str">
        <f aca="false">
IF($D533="정상",INDEX(임대자산!$D$3:$R$3000,MATCH($F533,임대자산!$I$3:$I$3000,0),MATCH(E$3,임대자산!$D$3:$R$3,0)),
IF($D533="폐업",INDEX(폐업정보!$D$3:$R$3000,MATCH($F533,폐업정보!$I$3:$I$3000,0),MATCH(E$3,폐업정보!$D$3:$R$3,0)),
"Error"))</f>
        <v>경상</v>
      </c>
      <c r="F53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B0528</v>
      </c>
      <c r="G533" s="76" t="str">
        <f aca="false">F533&amp;RANDBETWEEN(0,10)</f>
        <v>B05287</v>
      </c>
      <c r="H533" s="75" t="n">
        <f aca="false">
IF($D533="정상",INDEX(임대자산!$D$3:$R$3000,MATCH($F533,임대자산!$I$3:$I$3000,0),MATCH(H$4,임대자산!$D$3:$R$3,0)),
IF($D533="폐업",INDEX(폐업정보!$D$3:$R$3000,MATCH($F533,폐업정보!$I$3:$I$3000,0),MATCH(H$4,폐업정보!$D$3:$R$3,0)),
"Error"))</f>
        <v>45979</v>
      </c>
      <c r="I533" s="75" t="str">
        <f aca="false">
IF($D533="정상",INDEX(임대자산!$D$3:$R$3000,MATCH($F533,임대자산!$I$3:$I$3000,0),MATCH(I$4,임대자산!$D$3:$R$3,0)),
IF($D533="폐업",INDEX(폐업정보!$D$3:$R$3000,MATCH($F533,폐업정보!$I$3:$I$3000,0),MATCH(I$4,폐업정보!$D$3:$R$3,0)),
"Error"))</f>
        <v>A0528</v>
      </c>
      <c r="J533" s="75" t="str">
        <f aca="false">
IF($D533="정상",INDEX(임대자산!$D$3:$R$3000,MATCH($F533,임대자산!$I$3:$I$3000,0),MATCH(J$4,임대자산!$D$3:$R$3,0)),
IF($D533="폐업",INDEX(폐업정보!$D$3:$R$3000,MATCH($F533,폐업정보!$I$3:$I$3000,0),MATCH(J$4,폐업정보!$D$3:$R$3,0)),
"Error"))</f>
        <v>6307900000</v>
      </c>
      <c r="K533" s="75" t="str">
        <f aca="false">
IF($D533="정상",INDEX(임대자산!$D$3:$R$3000,MATCH($F533,임대자산!$I$3:$I$3000,0),MATCH(K$4,임대자산!$D$3:$R$3,0)),
IF($D533="폐업",INDEX(폐업정보!$D$3:$R$3000,MATCH($F533,폐업정보!$I$3:$I$3000,0),MATCH(K$4,폐업정보!$D$3:$R$3,0)),
"Error"))</f>
        <v>C0528</v>
      </c>
      <c r="L533" s="75" t="str">
        <f aca="false">
IF($D533="정상",INDEX(임대자산!$D$3:$R$3000,MATCH($F533,임대자산!$I$3:$I$3000,0),MATCH(L$4,임대자산!$D$3:$R$3,0)),
IF($D533="폐업",INDEX(폐업정보!$D$3:$R$3000,MATCH($F533,폐업정보!$I$3:$I$3000,0),MATCH(L$4,폐업정보!$D$3:$R$3,0)),
"Error"))</f>
        <v>D0528</v>
      </c>
      <c r="M533" s="76" t="s">
        <v>96</v>
      </c>
      <c r="N533" s="77"/>
      <c r="O533" s="78" t="s">
        <v>97</v>
      </c>
      <c r="P533" s="79" t="n">
        <f aca="false">COUNTIFS(임대자산!$I:$I,가맹점정보!F533,임대자산!$N:$N,가맹점정보!P$4)</f>
        <v>0</v>
      </c>
      <c r="Q533" s="80" t="n">
        <f aca="false">COUNTIFS(임대자산!$I:$I,가맹점정보!F533,임대자산!$N:$N,가맹점정보!Q$4)</f>
        <v>0</v>
      </c>
      <c r="R533" s="81" t="n">
        <f aca="false">COUNTIFS(임대자산!$I:$I,가맹점정보!F533,임대자산!$N:$N,가맹점정보!R$4)</f>
        <v>1</v>
      </c>
      <c r="S533" s="82" t="n">
        <v>55000</v>
      </c>
      <c r="T533" s="83" t="n">
        <v>0</v>
      </c>
      <c r="U533" s="80" t="n">
        <f aca="false">SUM(S533:T533)</f>
        <v>55000</v>
      </c>
      <c r="V533" s="84" t="s">
        <v>12</v>
      </c>
      <c r="W533" s="80" t="e">
        <f aca="true">
IF(D533="폐업","폐업",
IF(V533="면제","면제",
IF(AND(V533="정상",COUNTIFS(OFFSET(Y533,0,COUNTA(Y533:AV533)-1,1,-4),"미납")&gt;=3),"장기미납",
IF(AND(V533="정상",OFFSET(Y533,0,COUNTA(Y533:AV533)-1)&gt;=U533),"정상",
IF(AND(V533="정상",OFFSET(Y533,0,COUNTA(Y533:AV533)-1)=0),"정상",
"계약서 미작성")))))</f>
        <v>#VALUE!</v>
      </c>
      <c r="X533" s="81" t="str">
        <f aca="true">
IF(D533="폐업","폐업",
IF(AND(V533="정상",OFFSET(Y533,0,COUNTA(Y533:AV533)-1)="미납"),"미납",
IF(AND(V533="정상",OFFSET(Y533,0,COUNTA(Y533:AV533)-1)=0),"납부 시작 전",
IF(AND(V533="정상",OFFSET(Y533,0,COUNTA(Y533:AV533)-1)&gt;=U533),"정상",
IF(AND(V533="면제",OFFSET(Y533,0,COUNTA(Y533:AV533)-1)="면제"),"면제",
IF(AND(V533="면제",OFFSET(Y533,0,COUNTA(Y533:AV533)-1)=0),"면제",
"확인요청"))))))</f>
        <v>미납</v>
      </c>
      <c r="Y533" s="93" t="n">
        <v>55000</v>
      </c>
      <c r="Z533" s="90" t="n">
        <v>55000</v>
      </c>
      <c r="AA533" s="90" t="n">
        <v>55000</v>
      </c>
      <c r="AB533" s="90" t="n">
        <v>55000</v>
      </c>
      <c r="AC533" s="90" t="n">
        <v>55000</v>
      </c>
      <c r="AD533" s="90" t="n">
        <v>55000</v>
      </c>
      <c r="AE533" s="90" t="n">
        <v>55000</v>
      </c>
      <c r="AF533" s="90" t="n">
        <v>55000</v>
      </c>
      <c r="AG533" s="90" t="n">
        <v>55000</v>
      </c>
      <c r="AH533" s="90" t="n">
        <v>55000</v>
      </c>
      <c r="AI533" s="90" t="n">
        <v>55000</v>
      </c>
      <c r="AJ533" s="91" t="n">
        <v>55000</v>
      </c>
      <c r="AK533" s="89" t="n">
        <v>55000</v>
      </c>
      <c r="AL533" s="95" t="s">
        <v>62</v>
      </c>
      <c r="AM533" s="90"/>
      <c r="AN533" s="90"/>
      <c r="AO533" s="90"/>
      <c r="AP533" s="90"/>
      <c r="AQ533" s="90"/>
      <c r="AR533" s="90"/>
      <c r="AS533" s="90"/>
      <c r="AT533" s="90"/>
      <c r="AU533" s="90"/>
      <c r="AV533" s="91"/>
      <c r="AX533" s="92"/>
    </row>
    <row r="534" customFormat="false" ht="15.65" hidden="false" customHeight="false" outlineLevel="0" collapsed="false">
      <c r="C534" s="72" t="n">
        <f aca="false">COUNTIFS($D$6:D534,"&lt;&gt;"&amp;"")</f>
        <v>529</v>
      </c>
      <c r="D534" s="73" t="s">
        <v>12</v>
      </c>
      <c r="E534" s="76" t="str">
        <f aca="false">
IF($D534="정상",INDEX(임대자산!$D$3:$R$3000,MATCH($F534,임대자산!$I$3:$I$3000,0),MATCH(E$3,임대자산!$D$3:$R$3,0)),
IF($D534="폐업",INDEX(폐업정보!$D$3:$R$3000,MATCH($F534,폐업정보!$I$3:$I$3000,0),MATCH(E$3,폐업정보!$D$3:$R$3,0)),
"Error"))</f>
        <v>경상</v>
      </c>
      <c r="F53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B0529</v>
      </c>
      <c r="G534" s="76" t="str">
        <f aca="false">F534&amp;RANDBETWEEN(0,10)</f>
        <v>B05297</v>
      </c>
      <c r="H534" s="75" t="n">
        <f aca="false">
IF($D534="정상",INDEX(임대자산!$D$3:$R$3000,MATCH($F534,임대자산!$I$3:$I$3000,0),MATCH(H$4,임대자산!$D$3:$R$3,0)),
IF($D534="폐업",INDEX(폐업정보!$D$3:$R$3000,MATCH($F534,폐업정보!$I$3:$I$3000,0),MATCH(H$4,폐업정보!$D$3:$R$3,0)),
"Error"))</f>
        <v>45978</v>
      </c>
      <c r="I534" s="75" t="str">
        <f aca="false">
IF($D534="정상",INDEX(임대자산!$D$3:$R$3000,MATCH($F534,임대자산!$I$3:$I$3000,0),MATCH(I$4,임대자산!$D$3:$R$3,0)),
IF($D534="폐업",INDEX(폐업정보!$D$3:$R$3000,MATCH($F534,폐업정보!$I$3:$I$3000,0),MATCH(I$4,폐업정보!$D$3:$R$3,0)),
"Error"))</f>
        <v>A0529</v>
      </c>
      <c r="J534" s="75" t="str">
        <f aca="false">
IF($D534="정상",INDEX(임대자산!$D$3:$R$3000,MATCH($F534,임대자산!$I$3:$I$3000,0),MATCH(J$4,임대자산!$D$3:$R$3,0)),
IF($D534="폐업",INDEX(폐업정보!$D$3:$R$3000,MATCH($F534,폐업정보!$I$3:$I$3000,0),MATCH(J$4,폐업정보!$D$3:$R$3,0)),
"Error"))</f>
        <v>6760000000</v>
      </c>
      <c r="K534" s="75" t="str">
        <f aca="false">
IF($D534="정상",INDEX(임대자산!$D$3:$R$3000,MATCH($F534,임대자산!$I$3:$I$3000,0),MATCH(K$4,임대자산!$D$3:$R$3,0)),
IF($D534="폐업",INDEX(폐업정보!$D$3:$R$3000,MATCH($F534,폐업정보!$I$3:$I$3000,0),MATCH(K$4,폐업정보!$D$3:$R$3,0)),
"Error"))</f>
        <v>C0529</v>
      </c>
      <c r="L534" s="75" t="str">
        <f aca="false">
IF($D534="정상",INDEX(임대자산!$D$3:$R$3000,MATCH($F534,임대자산!$I$3:$I$3000,0),MATCH(L$4,임대자산!$D$3:$R$3,0)),
IF($D534="폐업",INDEX(폐업정보!$D$3:$R$3000,MATCH($F534,폐업정보!$I$3:$I$3000,0),MATCH(L$4,폐업정보!$D$3:$R$3,0)),
"Error"))</f>
        <v>D0529</v>
      </c>
      <c r="M534" s="76" t="s">
        <v>96</v>
      </c>
      <c r="N534" s="77"/>
      <c r="O534" s="78" t="s">
        <v>97</v>
      </c>
      <c r="P534" s="79" t="n">
        <f aca="false">COUNTIFS(임대자산!$I:$I,가맹점정보!F534,임대자산!$N:$N,가맹점정보!P$4)</f>
        <v>0</v>
      </c>
      <c r="Q534" s="80" t="n">
        <f aca="false">COUNTIFS(임대자산!$I:$I,가맹점정보!F534,임대자산!$N:$N,가맹점정보!Q$4)</f>
        <v>0</v>
      </c>
      <c r="R534" s="81" t="n">
        <f aca="false">COUNTIFS(임대자산!$I:$I,가맹점정보!F534,임대자산!$N:$N,가맹점정보!R$4)</f>
        <v>1</v>
      </c>
      <c r="S534" s="82" t="n">
        <v>55000</v>
      </c>
      <c r="T534" s="83" t="n">
        <v>0</v>
      </c>
      <c r="U534" s="80" t="n">
        <f aca="false">SUM(S534:T534)</f>
        <v>55000</v>
      </c>
      <c r="V534" s="84" t="s">
        <v>12</v>
      </c>
      <c r="W534" s="80" t="e">
        <f aca="true">
IF(D534="폐업","폐업",
IF(V534="면제","면제",
IF(AND(V534="정상",COUNTIFS(OFFSET(Y534,0,COUNTA(Y534:AV534)-1,1,-4),"미납")&gt;=3),"장기미납",
IF(AND(V534="정상",OFFSET(Y534,0,COUNTA(Y534:AV534)-1)&gt;=U534),"정상",
IF(AND(V534="정상",OFFSET(Y534,0,COUNTA(Y534:AV534)-1)=0),"정상",
"계약서 미작성")))))</f>
        <v>#VALUE!</v>
      </c>
      <c r="X534" s="81" t="str">
        <f aca="true">
IF(D534="폐업","폐업",
IF(AND(V534="정상",OFFSET(Y534,0,COUNTA(Y534:AV534)-1)="미납"),"미납",
IF(AND(V534="정상",OFFSET(Y534,0,COUNTA(Y534:AV534)-1)=0),"납부 시작 전",
IF(AND(V534="정상",OFFSET(Y534,0,COUNTA(Y534:AV534)-1)&gt;=U534),"정상",
IF(AND(V534="면제",OFFSET(Y534,0,COUNTA(Y534:AV534)-1)="면제"),"면제",
IF(AND(V534="면제",OFFSET(Y534,0,COUNTA(Y534:AV534)-1)=0),"면제",
"확인요청"))))))</f>
        <v>정상</v>
      </c>
      <c r="Y534" s="93" t="n">
        <v>55000</v>
      </c>
      <c r="Z534" s="90" t="n">
        <v>55000</v>
      </c>
      <c r="AA534" s="90" t="n">
        <v>55000</v>
      </c>
      <c r="AB534" s="90" t="n">
        <v>55000</v>
      </c>
      <c r="AC534" s="90" t="n">
        <v>55000</v>
      </c>
      <c r="AD534" s="90" t="n">
        <v>55000</v>
      </c>
      <c r="AE534" s="90" t="n">
        <v>55000</v>
      </c>
      <c r="AF534" s="90" t="n">
        <v>55000</v>
      </c>
      <c r="AG534" s="90" t="n">
        <v>55000</v>
      </c>
      <c r="AH534" s="90" t="n">
        <v>55000</v>
      </c>
      <c r="AI534" s="90" t="n">
        <v>55000</v>
      </c>
      <c r="AJ534" s="91" t="n">
        <v>55000</v>
      </c>
      <c r="AK534" s="89" t="n">
        <v>55000</v>
      </c>
      <c r="AL534" s="90" t="n">
        <v>55000</v>
      </c>
      <c r="AM534" s="90"/>
      <c r="AN534" s="90"/>
      <c r="AO534" s="90"/>
      <c r="AP534" s="90"/>
      <c r="AQ534" s="90"/>
      <c r="AR534" s="90"/>
      <c r="AS534" s="90"/>
      <c r="AT534" s="90"/>
      <c r="AU534" s="90"/>
      <c r="AV534" s="91"/>
      <c r="AX534" s="92"/>
    </row>
    <row r="535" customFormat="false" ht="15.65" hidden="false" customHeight="false" outlineLevel="0" collapsed="false">
      <c r="C535" s="72" t="n">
        <f aca="false">COUNTIFS($D$6:D535,"&lt;&gt;"&amp;"")</f>
        <v>530</v>
      </c>
      <c r="D535" s="73" t="s">
        <v>12</v>
      </c>
      <c r="E535" s="76" t="str">
        <f aca="false">
IF($D535="정상",INDEX(임대자산!$D$3:$R$3000,MATCH($F535,임대자산!$I$3:$I$3000,0),MATCH(E$3,임대자산!$D$3:$R$3,0)),
IF($D535="폐업",INDEX(폐업정보!$D$3:$R$3000,MATCH($F535,폐업정보!$I$3:$I$3000,0),MATCH(E$3,폐업정보!$D$3:$R$3,0)),
"Error"))</f>
        <v>서울</v>
      </c>
      <c r="F53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B0530</v>
      </c>
      <c r="G535" s="76" t="str">
        <f aca="false">F535&amp;RANDBETWEEN(0,10)</f>
        <v>B05304</v>
      </c>
      <c r="H535" s="75" t="n">
        <f aca="false">
IF($D535="정상",INDEX(임대자산!$D$3:$R$3000,MATCH($F535,임대자산!$I$3:$I$3000,0),MATCH(H$4,임대자산!$D$3:$R$3,0)),
IF($D535="폐업",INDEX(폐업정보!$D$3:$R$3000,MATCH($F535,폐업정보!$I$3:$I$3000,0),MATCH(H$4,폐업정보!$D$3:$R$3,0)),
"Error"))</f>
        <v>45834</v>
      </c>
      <c r="I535" s="75" t="str">
        <f aca="false">
IF($D535="정상",INDEX(임대자산!$D$3:$R$3000,MATCH($F535,임대자산!$I$3:$I$3000,0),MATCH(I$4,임대자산!$D$3:$R$3,0)),
IF($D535="폐업",INDEX(폐업정보!$D$3:$R$3000,MATCH($F535,폐업정보!$I$3:$I$3000,0),MATCH(I$4,폐업정보!$D$3:$R$3,0)),
"Error"))</f>
        <v>A0530</v>
      </c>
      <c r="J535" s="75" t="str">
        <f aca="false">
IF($D535="정상",INDEX(임대자산!$D$3:$R$3000,MATCH($F535,임대자산!$I$3:$I$3000,0),MATCH(J$4,임대자산!$D$3:$R$3,0)),
IF($D535="폐업",INDEX(폐업정보!$D$3:$R$3000,MATCH($F535,폐업정보!$I$3:$I$3000,0),MATCH(J$4,폐업정보!$D$3:$R$3,0)),
"Error"))</f>
        <v>3714800000</v>
      </c>
      <c r="K535" s="75" t="str">
        <f aca="false">
IF($D535="정상",INDEX(임대자산!$D$3:$R$3000,MATCH($F535,임대자산!$I$3:$I$3000,0),MATCH(K$4,임대자산!$D$3:$R$3,0)),
IF($D535="폐업",INDEX(폐업정보!$D$3:$R$3000,MATCH($F535,폐업정보!$I$3:$I$3000,0),MATCH(K$4,폐업정보!$D$3:$R$3,0)),
"Error"))</f>
        <v>C0530</v>
      </c>
      <c r="L535" s="75" t="str">
        <f aca="false">
IF($D535="정상",INDEX(임대자산!$D$3:$R$3000,MATCH($F535,임대자산!$I$3:$I$3000,0),MATCH(L$4,임대자산!$D$3:$R$3,0)),
IF($D535="폐업",INDEX(폐업정보!$D$3:$R$3000,MATCH($F535,폐업정보!$I$3:$I$3000,0),MATCH(L$4,폐업정보!$D$3:$R$3,0)),
"Error"))</f>
        <v>D0530</v>
      </c>
      <c r="M535" s="76" t="s">
        <v>96</v>
      </c>
      <c r="N535" s="77"/>
      <c r="O535" s="78" t="s">
        <v>97</v>
      </c>
      <c r="P535" s="79" t="n">
        <f aca="false">COUNTIFS(임대자산!$I:$I,가맹점정보!F535,임대자산!$N:$N,가맹점정보!P$4)</f>
        <v>0</v>
      </c>
      <c r="Q535" s="80" t="n">
        <f aca="false">COUNTIFS(임대자산!$I:$I,가맹점정보!F535,임대자산!$N:$N,가맹점정보!Q$4)</f>
        <v>0</v>
      </c>
      <c r="R535" s="81" t="n">
        <f aca="false">COUNTIFS(임대자산!$I:$I,가맹점정보!F535,임대자산!$N:$N,가맹점정보!R$4)</f>
        <v>1</v>
      </c>
      <c r="S535" s="82" t="n">
        <v>55000</v>
      </c>
      <c r="T535" s="83" t="n">
        <v>0</v>
      </c>
      <c r="U535" s="80" t="n">
        <f aca="false">SUM(S535:T535)</f>
        <v>55000</v>
      </c>
      <c r="V535" s="84" t="s">
        <v>7</v>
      </c>
      <c r="W535" s="80" t="str">
        <f aca="true">
IF(D535="폐업","폐업",
IF(V535="면제","면제",
IF(AND(V535="정상",COUNTIFS(OFFSET(Y535,0,COUNTA(Y535:AV535)-1,1,-4),"미납")&gt;=3),"장기미납",
IF(AND(V535="정상",OFFSET(Y535,0,COUNTA(Y535:AV535)-1)&gt;=U535),"정상",
IF(AND(V535="정상",OFFSET(Y535,0,COUNTA(Y535:AV535)-1)=0),"정상",
"계약서 미작성")))))</f>
        <v>면제</v>
      </c>
      <c r="X535" s="81" t="str">
        <f aca="true">
IF(D535="폐업","폐업",
IF(AND(V535="정상",OFFSET(Y535,0,COUNTA(Y535:AV535)-1)="미납"),"미납",
IF(AND(V535="정상",OFFSET(Y535,0,COUNTA(Y535:AV535)-1)=0),"납부 시작 전",
IF(AND(V535="정상",OFFSET(Y535,0,COUNTA(Y535:AV535)-1)&gt;=U535),"정상",
IF(AND(V535="면제",OFFSET(Y535,0,COUNTA(Y535:AV535)-1)="면제"),"면제",
IF(AND(V535="면제",OFFSET(Y535,0,COUNTA(Y535:AV535)-1)=0),"면제",
"확인요청"))))))</f>
        <v>면제</v>
      </c>
      <c r="Y535" s="93" t="n">
        <v>55000</v>
      </c>
      <c r="Z535" s="90" t="n">
        <v>55000</v>
      </c>
      <c r="AA535" s="90" t="n">
        <v>55000</v>
      </c>
      <c r="AB535" s="90" t="n">
        <v>55000</v>
      </c>
      <c r="AC535" s="90" t="n">
        <v>55000</v>
      </c>
      <c r="AD535" s="90" t="n">
        <v>55000</v>
      </c>
      <c r="AE535" s="90" t="n">
        <v>55000</v>
      </c>
      <c r="AF535" s="95" t="s">
        <v>7</v>
      </c>
      <c r="AG535" s="95" t="s">
        <v>7</v>
      </c>
      <c r="AH535" s="95" t="s">
        <v>7</v>
      </c>
      <c r="AI535" s="95" t="s">
        <v>7</v>
      </c>
      <c r="AJ535" s="96" t="s">
        <v>7</v>
      </c>
      <c r="AK535" s="97" t="s">
        <v>7</v>
      </c>
      <c r="AL535" s="95" t="s">
        <v>7</v>
      </c>
      <c r="AM535" s="90"/>
      <c r="AN535" s="90"/>
      <c r="AO535" s="90"/>
      <c r="AP535" s="90"/>
      <c r="AQ535" s="90"/>
      <c r="AR535" s="90"/>
      <c r="AS535" s="90"/>
      <c r="AT535" s="90"/>
      <c r="AU535" s="90"/>
      <c r="AV535" s="91"/>
      <c r="AX535" s="92"/>
    </row>
    <row r="536" customFormat="false" ht="15.65" hidden="false" customHeight="false" outlineLevel="0" collapsed="false">
      <c r="C536" s="72" t="n">
        <f aca="false">COUNTIFS($D$6:D536,"&lt;&gt;"&amp;"")</f>
        <v>531</v>
      </c>
      <c r="D536" s="73" t="s">
        <v>12</v>
      </c>
      <c r="E536" s="76" t="str">
        <f aca="false">
IF($D536="정상",INDEX(임대자산!$D$3:$R$3000,MATCH($F536,임대자산!$I$3:$I$3000,0),MATCH(E$3,임대자산!$D$3:$R$3,0)),
IF($D536="폐업",INDEX(폐업정보!$D$3:$R$3000,MATCH($F536,폐업정보!$I$3:$I$3000,0),MATCH(E$3,폐업정보!$D$3:$R$3,0)),
"Error"))</f>
        <v>서울</v>
      </c>
      <c r="F53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B0531</v>
      </c>
      <c r="G536" s="76" t="str">
        <f aca="false">F536&amp;RANDBETWEEN(0,10)</f>
        <v>B05314</v>
      </c>
      <c r="H536" s="75" t="n">
        <f aca="false">
IF($D536="정상",INDEX(임대자산!$D$3:$R$3000,MATCH($F536,임대자산!$I$3:$I$3000,0),MATCH(H$4,임대자산!$D$3:$R$3,0)),
IF($D536="폐업",INDEX(폐업정보!$D$3:$R$3000,MATCH($F536,폐업정보!$I$3:$I$3000,0),MATCH(H$4,폐업정보!$D$3:$R$3,0)),
"Error"))</f>
        <v>45988</v>
      </c>
      <c r="I536" s="75" t="str">
        <f aca="false">
IF($D536="정상",INDEX(임대자산!$D$3:$R$3000,MATCH($F536,임대자산!$I$3:$I$3000,0),MATCH(I$4,임대자산!$D$3:$R$3,0)),
IF($D536="폐업",INDEX(폐업정보!$D$3:$R$3000,MATCH($F536,폐업정보!$I$3:$I$3000,0),MATCH(I$4,폐업정보!$D$3:$R$3,0)),
"Error"))</f>
        <v>A0531</v>
      </c>
      <c r="J536" s="75" t="str">
        <f aca="false">
IF($D536="정상",INDEX(임대자산!$D$3:$R$3000,MATCH($F536,임대자산!$I$3:$I$3000,0),MATCH(J$4,임대자산!$D$3:$R$3,0)),
IF($D536="폐업",INDEX(폐업정보!$D$3:$R$3000,MATCH($F536,폐업정보!$I$3:$I$3000,0),MATCH(J$4,폐업정보!$D$3:$R$3,0)),
"Error"))</f>
        <v>2921800000</v>
      </c>
      <c r="K536" s="75" t="str">
        <f aca="false">
IF($D536="정상",INDEX(임대자산!$D$3:$R$3000,MATCH($F536,임대자산!$I$3:$I$3000,0),MATCH(K$4,임대자산!$D$3:$R$3,0)),
IF($D536="폐업",INDEX(폐업정보!$D$3:$R$3000,MATCH($F536,폐업정보!$I$3:$I$3000,0),MATCH(K$4,폐업정보!$D$3:$R$3,0)),
"Error"))</f>
        <v>C0531</v>
      </c>
      <c r="L536" s="75" t="str">
        <f aca="false">
IF($D536="정상",INDEX(임대자산!$D$3:$R$3000,MATCH($F536,임대자산!$I$3:$I$3000,0),MATCH(L$4,임대자산!$D$3:$R$3,0)),
IF($D536="폐업",INDEX(폐업정보!$D$3:$R$3000,MATCH($F536,폐업정보!$I$3:$I$3000,0),MATCH(L$4,폐업정보!$D$3:$R$3,0)),
"Error"))</f>
        <v>D0531</v>
      </c>
      <c r="M536" s="76" t="s">
        <v>96</v>
      </c>
      <c r="N536" s="77"/>
      <c r="O536" s="78" t="s">
        <v>97</v>
      </c>
      <c r="P536" s="79" t="n">
        <f aca="false">COUNTIFS(임대자산!$I:$I,가맹점정보!F536,임대자산!$N:$N,가맹점정보!P$4)</f>
        <v>0</v>
      </c>
      <c r="Q536" s="80" t="n">
        <f aca="false">COUNTIFS(임대자산!$I:$I,가맹점정보!F536,임대자산!$N:$N,가맹점정보!Q$4)</f>
        <v>0</v>
      </c>
      <c r="R536" s="81" t="n">
        <f aca="false">COUNTIFS(임대자산!$I:$I,가맹점정보!F536,임대자산!$N:$N,가맹점정보!R$4)</f>
        <v>1</v>
      </c>
      <c r="S536" s="82" t="n">
        <v>88000</v>
      </c>
      <c r="T536" s="83" t="n">
        <v>0</v>
      </c>
      <c r="U536" s="80" t="n">
        <f aca="false">SUM(S536:T536)</f>
        <v>88000</v>
      </c>
      <c r="V536" s="84" t="s">
        <v>12</v>
      </c>
      <c r="W536" s="80" t="e">
        <f aca="true">
IF(D536="폐업","폐업",
IF(V536="면제","면제",
IF(AND(V536="정상",COUNTIFS(OFFSET(Y536,0,COUNTA(Y536:AV536)-1,1,-4),"미납")&gt;=3),"장기미납",
IF(AND(V536="정상",OFFSET(Y536,0,COUNTA(Y536:AV536)-1)&gt;=U536),"정상",
IF(AND(V536="정상",OFFSET(Y536,0,COUNTA(Y536:AV536)-1)=0),"정상",
"계약서 미작성")))))</f>
        <v>#VALUE!</v>
      </c>
      <c r="X536" s="81" t="str">
        <f aca="true">
IF(D536="폐업","폐업",
IF(AND(V536="정상",OFFSET(Y536,0,COUNTA(Y536:AV536)-1)="미납"),"미납",
IF(AND(V536="정상",OFFSET(Y536,0,COUNTA(Y536:AV536)-1)=0),"납부 시작 전",
IF(AND(V536="정상",OFFSET(Y536,0,COUNTA(Y536:AV536)-1)&gt;=U536),"정상",
IF(AND(V536="면제",OFFSET(Y536,0,COUNTA(Y536:AV536)-1)="면제"),"면제",
IF(AND(V536="면제",OFFSET(Y536,0,COUNTA(Y536:AV536)-1)=0),"면제",
"확인요청"))))))</f>
        <v>정상</v>
      </c>
      <c r="Y536" s="93" t="n">
        <v>88000</v>
      </c>
      <c r="Z536" s="90" t="n">
        <v>88000</v>
      </c>
      <c r="AA536" s="90" t="n">
        <v>88000</v>
      </c>
      <c r="AB536" s="90" t="n">
        <v>88000</v>
      </c>
      <c r="AC536" s="90" t="n">
        <v>88000</v>
      </c>
      <c r="AD536" s="90" t="n">
        <v>88000</v>
      </c>
      <c r="AE536" s="90" t="n">
        <v>88000</v>
      </c>
      <c r="AF536" s="90" t="n">
        <v>88000</v>
      </c>
      <c r="AG536" s="90" t="n">
        <v>88000</v>
      </c>
      <c r="AH536" s="90" t="n">
        <v>88000</v>
      </c>
      <c r="AI536" s="90" t="n">
        <v>88000</v>
      </c>
      <c r="AJ536" s="91" t="n">
        <v>88000</v>
      </c>
      <c r="AK536" s="89" t="n">
        <v>88000</v>
      </c>
      <c r="AL536" s="90" t="n">
        <v>88000</v>
      </c>
      <c r="AM536" s="90"/>
      <c r="AN536" s="90"/>
      <c r="AO536" s="90"/>
      <c r="AP536" s="90"/>
      <c r="AQ536" s="90"/>
      <c r="AR536" s="90"/>
      <c r="AS536" s="90"/>
      <c r="AT536" s="90"/>
      <c r="AU536" s="90"/>
      <c r="AV536" s="91"/>
      <c r="AX536" s="92"/>
    </row>
    <row r="537" customFormat="false" ht="15.65" hidden="false" customHeight="false" outlineLevel="0" collapsed="false">
      <c r="C537" s="72" t="n">
        <f aca="false">COUNTIFS($D$6:D537,"&lt;&gt;"&amp;"")</f>
        <v>532</v>
      </c>
      <c r="D537" s="73" t="s">
        <v>12</v>
      </c>
      <c r="E537" s="76" t="str">
        <f aca="false">
IF($D537="정상",INDEX(임대자산!$D$3:$R$3000,MATCH($F537,임대자산!$I$3:$I$3000,0),MATCH(E$3,임대자산!$D$3:$R$3,0)),
IF($D537="폐업",INDEX(폐업정보!$D$3:$R$3000,MATCH($F537,폐업정보!$I$3:$I$3000,0),MATCH(E$3,폐업정보!$D$3:$R$3,0)),
"Error"))</f>
        <v>경상</v>
      </c>
      <c r="F53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B0532</v>
      </c>
      <c r="G537" s="76" t="str">
        <f aca="false">F537&amp;RANDBETWEEN(0,10)</f>
        <v>B05322</v>
      </c>
      <c r="H537" s="75" t="n">
        <f aca="false">
IF($D537="정상",INDEX(임대자산!$D$3:$R$3000,MATCH($F537,임대자산!$I$3:$I$3000,0),MATCH(H$4,임대자산!$D$3:$R$3,0)),
IF($D537="폐업",INDEX(폐업정보!$D$3:$R$3000,MATCH($F537,폐업정보!$I$3:$I$3000,0),MATCH(H$4,폐업정보!$D$3:$R$3,0)),
"Error"))</f>
        <v>45985</v>
      </c>
      <c r="I537" s="75" t="str">
        <f aca="false">
IF($D537="정상",INDEX(임대자산!$D$3:$R$3000,MATCH($F537,임대자산!$I$3:$I$3000,0),MATCH(I$4,임대자산!$D$3:$R$3,0)),
IF($D537="폐업",INDEX(폐업정보!$D$3:$R$3000,MATCH($F537,폐업정보!$I$3:$I$3000,0),MATCH(I$4,폐업정보!$D$3:$R$3,0)),
"Error"))</f>
        <v>A0532</v>
      </c>
      <c r="J537" s="75" t="str">
        <f aca="false">
IF($D537="정상",INDEX(임대자산!$D$3:$R$3000,MATCH($F537,임대자산!$I$3:$I$3000,0),MATCH(J$4,임대자산!$D$3:$R$3,0)),
IF($D537="폐업",INDEX(폐업정보!$D$3:$R$3000,MATCH($F537,폐업정보!$I$3:$I$3000,0),MATCH(J$4,폐업정보!$D$3:$R$3,0)),
"Error"))</f>
        <v>1659900000</v>
      </c>
      <c r="K537" s="75" t="str">
        <f aca="false">
IF($D537="정상",INDEX(임대자산!$D$3:$R$3000,MATCH($F537,임대자산!$I$3:$I$3000,0),MATCH(K$4,임대자산!$D$3:$R$3,0)),
IF($D537="폐업",INDEX(폐업정보!$D$3:$R$3000,MATCH($F537,폐업정보!$I$3:$I$3000,0),MATCH(K$4,폐업정보!$D$3:$R$3,0)),
"Error"))</f>
        <v>C0532</v>
      </c>
      <c r="L537" s="75" t="str">
        <f aca="false">
IF($D537="정상",INDEX(임대자산!$D$3:$R$3000,MATCH($F537,임대자산!$I$3:$I$3000,0),MATCH(L$4,임대자산!$D$3:$R$3,0)),
IF($D537="폐업",INDEX(폐업정보!$D$3:$R$3000,MATCH($F537,폐업정보!$I$3:$I$3000,0),MATCH(L$4,폐업정보!$D$3:$R$3,0)),
"Error"))</f>
        <v>D0532</v>
      </c>
      <c r="M537" s="76" t="s">
        <v>96</v>
      </c>
      <c r="N537" s="77"/>
      <c r="O537" s="78" t="s">
        <v>97</v>
      </c>
      <c r="P537" s="79" t="n">
        <f aca="false">COUNTIFS(임대자산!$I:$I,가맹점정보!F537,임대자산!$N:$N,가맹점정보!P$4)</f>
        <v>0</v>
      </c>
      <c r="Q537" s="80" t="n">
        <f aca="false">COUNTIFS(임대자산!$I:$I,가맹점정보!F537,임대자산!$N:$N,가맹점정보!Q$4)</f>
        <v>0</v>
      </c>
      <c r="R537" s="81" t="n">
        <f aca="false">COUNTIFS(임대자산!$I:$I,가맹점정보!F537,임대자산!$N:$N,가맹점정보!R$4)</f>
        <v>1</v>
      </c>
      <c r="S537" s="82" t="n">
        <v>55000</v>
      </c>
      <c r="T537" s="83" t="n">
        <v>0</v>
      </c>
      <c r="U537" s="80" t="n">
        <f aca="false">SUM(S537:T537)</f>
        <v>55000</v>
      </c>
      <c r="V537" s="84" t="s">
        <v>12</v>
      </c>
      <c r="W537" s="80" t="e">
        <f aca="true">
IF(D537="폐업","폐업",
IF(V537="면제","면제",
IF(AND(V537="정상",COUNTIFS(OFFSET(Y537,0,COUNTA(Y537:AV537)-1,1,-4),"미납")&gt;=3),"장기미납",
IF(AND(V537="정상",OFFSET(Y537,0,COUNTA(Y537:AV537)-1)&gt;=U537),"정상",
IF(AND(V537="정상",OFFSET(Y537,0,COUNTA(Y537:AV537)-1)=0),"정상",
"계약서 미작성")))))</f>
        <v>#VALUE!</v>
      </c>
      <c r="X537" s="81" t="str">
        <f aca="true">
IF(D537="폐업","폐업",
IF(AND(V537="정상",OFFSET(Y537,0,COUNTA(Y537:AV537)-1)="미납"),"미납",
IF(AND(V537="정상",OFFSET(Y537,0,COUNTA(Y537:AV537)-1)=0),"납부 시작 전",
IF(AND(V537="정상",OFFSET(Y537,0,COUNTA(Y537:AV537)-1)&gt;=U537),"정상",
IF(AND(V537="면제",OFFSET(Y537,0,COUNTA(Y537:AV537)-1)="면제"),"면제",
IF(AND(V537="면제",OFFSET(Y537,0,COUNTA(Y537:AV537)-1)=0),"면제",
"확인요청"))))))</f>
        <v>정상</v>
      </c>
      <c r="Y537" s="93" t="n">
        <v>55000</v>
      </c>
      <c r="Z537" s="90" t="n">
        <v>55000</v>
      </c>
      <c r="AA537" s="90" t="n">
        <v>55000</v>
      </c>
      <c r="AB537" s="90" t="n">
        <v>55000</v>
      </c>
      <c r="AC537" s="90" t="n">
        <v>55000</v>
      </c>
      <c r="AD537" s="90" t="n">
        <v>55000</v>
      </c>
      <c r="AE537" s="90" t="n">
        <v>55000</v>
      </c>
      <c r="AF537" s="90" t="n">
        <v>55000</v>
      </c>
      <c r="AG537" s="90" t="n">
        <v>55000</v>
      </c>
      <c r="AH537" s="90" t="n">
        <v>55000</v>
      </c>
      <c r="AI537" s="90" t="n">
        <v>55000</v>
      </c>
      <c r="AJ537" s="91" t="n">
        <v>55000</v>
      </c>
      <c r="AK537" s="89" t="n">
        <v>55000</v>
      </c>
      <c r="AL537" s="90" t="n">
        <v>55000</v>
      </c>
      <c r="AM537" s="90"/>
      <c r="AN537" s="90"/>
      <c r="AO537" s="90"/>
      <c r="AP537" s="90"/>
      <c r="AQ537" s="90"/>
      <c r="AR537" s="90"/>
      <c r="AS537" s="90"/>
      <c r="AT537" s="90"/>
      <c r="AU537" s="90"/>
      <c r="AV537" s="91"/>
      <c r="AX537" s="92"/>
    </row>
    <row r="538" customFormat="false" ht="15.65" hidden="false" customHeight="false" outlineLevel="0" collapsed="false">
      <c r="C538" s="72" t="n">
        <f aca="false">COUNTIFS($D$6:D538,"&lt;&gt;"&amp;"")</f>
        <v>533</v>
      </c>
      <c r="D538" s="73" t="s">
        <v>12</v>
      </c>
      <c r="E538" s="76" t="str">
        <f aca="false">
IF($D538="정상",INDEX(임대자산!$D$3:$R$3000,MATCH($F538,임대자산!$I$3:$I$3000,0),MATCH(E$3,임대자산!$D$3:$R$3,0)),
IF($D538="폐업",INDEX(폐업정보!$D$3:$R$3000,MATCH($F538,폐업정보!$I$3:$I$3000,0),MATCH(E$3,폐업정보!$D$3:$R$3,0)),
"Error"))</f>
        <v>강원</v>
      </c>
      <c r="F53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B0533</v>
      </c>
      <c r="G538" s="76" t="str">
        <f aca="false">F538&amp;RANDBETWEEN(0,10)</f>
        <v>B05330</v>
      </c>
      <c r="H538" s="75" t="n">
        <f aca="false">
IF($D538="정상",INDEX(임대자산!$D$3:$R$3000,MATCH($F538,임대자산!$I$3:$I$3000,0),MATCH(H$4,임대자산!$D$3:$R$3,0)),
IF($D538="폐업",INDEX(폐업정보!$D$3:$R$3000,MATCH($F538,폐업정보!$I$3:$I$3000,0),MATCH(H$4,폐업정보!$D$3:$R$3,0)),
"Error"))</f>
        <v>45987</v>
      </c>
      <c r="I538" s="75" t="str">
        <f aca="false">
IF($D538="정상",INDEX(임대자산!$D$3:$R$3000,MATCH($F538,임대자산!$I$3:$I$3000,0),MATCH(I$4,임대자산!$D$3:$R$3,0)),
IF($D538="폐업",INDEX(폐업정보!$D$3:$R$3000,MATCH($F538,폐업정보!$I$3:$I$3000,0),MATCH(I$4,폐업정보!$D$3:$R$3,0)),
"Error"))</f>
        <v>A0533</v>
      </c>
      <c r="J538" s="75" t="str">
        <f aca="false">
IF($D538="정상",INDEX(임대자산!$D$3:$R$3000,MATCH($F538,임대자산!$I$3:$I$3000,0),MATCH(J$4,임대자산!$D$3:$R$3,0)),
IF($D538="폐업",INDEX(폐업정보!$D$3:$R$3000,MATCH($F538,폐업정보!$I$3:$I$3000,0),MATCH(J$4,폐업정보!$D$3:$R$3,0)),
"Error"))</f>
        <v>7784000000</v>
      </c>
      <c r="K538" s="75" t="str">
        <f aca="false">
IF($D538="정상",INDEX(임대자산!$D$3:$R$3000,MATCH($F538,임대자산!$I$3:$I$3000,0),MATCH(K$4,임대자산!$D$3:$R$3,0)),
IF($D538="폐업",INDEX(폐업정보!$D$3:$R$3000,MATCH($F538,폐업정보!$I$3:$I$3000,0),MATCH(K$4,폐업정보!$D$3:$R$3,0)),
"Error"))</f>
        <v>C0533</v>
      </c>
      <c r="L538" s="75" t="str">
        <f aca="false">
IF($D538="정상",INDEX(임대자산!$D$3:$R$3000,MATCH($F538,임대자산!$I$3:$I$3000,0),MATCH(L$4,임대자산!$D$3:$R$3,0)),
IF($D538="폐업",INDEX(폐업정보!$D$3:$R$3000,MATCH($F538,폐업정보!$I$3:$I$3000,0),MATCH(L$4,폐업정보!$D$3:$R$3,0)),
"Error"))</f>
        <v>D0533</v>
      </c>
      <c r="M538" s="76" t="s">
        <v>96</v>
      </c>
      <c r="N538" s="77"/>
      <c r="O538" s="78" t="s">
        <v>97</v>
      </c>
      <c r="P538" s="79" t="n">
        <f aca="false">COUNTIFS(임대자산!$I:$I,가맹점정보!F538,임대자산!$N:$N,가맹점정보!P$4)</f>
        <v>0</v>
      </c>
      <c r="Q538" s="80" t="n">
        <f aca="false">COUNTIFS(임대자산!$I:$I,가맹점정보!F538,임대자산!$N:$N,가맹점정보!Q$4)</f>
        <v>0</v>
      </c>
      <c r="R538" s="81" t="n">
        <f aca="false">COUNTIFS(임대자산!$I:$I,가맹점정보!F538,임대자산!$N:$N,가맹점정보!R$4)</f>
        <v>1</v>
      </c>
      <c r="S538" s="82" t="n">
        <v>55000</v>
      </c>
      <c r="T538" s="83" t="n">
        <v>0</v>
      </c>
      <c r="U538" s="80" t="n">
        <f aca="false">SUM(S538:T538)</f>
        <v>55000</v>
      </c>
      <c r="V538" s="84" t="s">
        <v>12</v>
      </c>
      <c r="W538" s="80" t="e">
        <f aca="true">
IF(D538="폐업","폐업",
IF(V538="면제","면제",
IF(AND(V538="정상",COUNTIFS(OFFSET(Y538,0,COUNTA(Y538:AV538)-1,1,-4),"미납")&gt;=3),"장기미납",
IF(AND(V538="정상",OFFSET(Y538,0,COUNTA(Y538:AV538)-1)&gt;=U538),"정상",
IF(AND(V538="정상",OFFSET(Y538,0,COUNTA(Y538:AV538)-1)=0),"정상",
"계약서 미작성")))))</f>
        <v>#VALUE!</v>
      </c>
      <c r="X538" s="81" t="str">
        <f aca="true">
IF(D538="폐업","폐업",
IF(AND(V538="정상",OFFSET(Y538,0,COUNTA(Y538:AV538)-1)="미납"),"미납",
IF(AND(V538="정상",OFFSET(Y538,0,COUNTA(Y538:AV538)-1)=0),"납부 시작 전",
IF(AND(V538="정상",OFFSET(Y538,0,COUNTA(Y538:AV538)-1)&gt;=U538),"정상",
IF(AND(V538="면제",OFFSET(Y538,0,COUNTA(Y538:AV538)-1)="면제"),"면제",
IF(AND(V538="면제",OFFSET(Y538,0,COUNTA(Y538:AV538)-1)=0),"면제",
"확인요청"))))))</f>
        <v>정상</v>
      </c>
      <c r="Y538" s="93" t="n">
        <v>55000</v>
      </c>
      <c r="Z538" s="90" t="n">
        <v>55000</v>
      </c>
      <c r="AA538" s="90" t="n">
        <v>55000</v>
      </c>
      <c r="AB538" s="90" t="n">
        <v>55000</v>
      </c>
      <c r="AC538" s="90" t="n">
        <v>55000</v>
      </c>
      <c r="AD538" s="90" t="n">
        <v>55000</v>
      </c>
      <c r="AE538" s="90" t="n">
        <v>55000</v>
      </c>
      <c r="AF538" s="90" t="n">
        <v>55000</v>
      </c>
      <c r="AG538" s="90" t="n">
        <v>55000</v>
      </c>
      <c r="AH538" s="90" t="n">
        <v>55000</v>
      </c>
      <c r="AI538" s="90" t="n">
        <v>55000</v>
      </c>
      <c r="AJ538" s="91" t="n">
        <v>55000</v>
      </c>
      <c r="AK538" s="89" t="n">
        <v>55000</v>
      </c>
      <c r="AL538" s="90" t="n">
        <v>55000</v>
      </c>
      <c r="AM538" s="90"/>
      <c r="AN538" s="90"/>
      <c r="AO538" s="90"/>
      <c r="AP538" s="90"/>
      <c r="AQ538" s="90"/>
      <c r="AR538" s="90"/>
      <c r="AS538" s="90"/>
      <c r="AT538" s="90"/>
      <c r="AU538" s="90"/>
      <c r="AV538" s="91"/>
      <c r="AX538" s="92"/>
    </row>
    <row r="539" customFormat="false" ht="15.65" hidden="false" customHeight="false" outlineLevel="0" collapsed="false">
      <c r="C539" s="72" t="n">
        <f aca="false">COUNTIFS($D$6:D539,"&lt;&gt;"&amp;"")</f>
        <v>534</v>
      </c>
      <c r="D539" s="73" t="s">
        <v>12</v>
      </c>
      <c r="E539" s="76" t="str">
        <f aca="false">
IF($D539="정상",INDEX(임대자산!$D$3:$R$3000,MATCH($F539,임대자산!$I$3:$I$3000,0),MATCH(E$3,임대자산!$D$3:$R$3,0)),
IF($D539="폐업",INDEX(폐업정보!$D$3:$R$3000,MATCH($F539,폐업정보!$I$3:$I$3000,0),MATCH(E$3,폐업정보!$D$3:$R$3,0)),
"Error"))</f>
        <v>경상</v>
      </c>
      <c r="F53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B0534</v>
      </c>
      <c r="G539" s="76" t="str">
        <f aca="false">F539&amp;RANDBETWEEN(0,10)</f>
        <v>B05344</v>
      </c>
      <c r="H539" s="75" t="n">
        <f aca="false">
IF($D539="정상",INDEX(임대자산!$D$3:$R$3000,MATCH($F539,임대자산!$I$3:$I$3000,0),MATCH(H$4,임대자산!$D$3:$R$3,0)),
IF($D539="폐업",INDEX(폐업정보!$D$3:$R$3000,MATCH($F539,폐업정보!$I$3:$I$3000,0),MATCH(H$4,폐업정보!$D$3:$R$3,0)),
"Error"))</f>
        <v>45988</v>
      </c>
      <c r="I539" s="75" t="str">
        <f aca="false">
IF($D539="정상",INDEX(임대자산!$D$3:$R$3000,MATCH($F539,임대자산!$I$3:$I$3000,0),MATCH(I$4,임대자산!$D$3:$R$3,0)),
IF($D539="폐업",INDEX(폐업정보!$D$3:$R$3000,MATCH($F539,폐업정보!$I$3:$I$3000,0),MATCH(I$4,폐업정보!$D$3:$R$3,0)),
"Error"))</f>
        <v>A0534</v>
      </c>
      <c r="J539" s="75" t="str">
        <f aca="false">
IF($D539="정상",INDEX(임대자산!$D$3:$R$3000,MATCH($F539,임대자산!$I$3:$I$3000,0),MATCH(J$4,임대자산!$D$3:$R$3,0)),
IF($D539="폐업",INDEX(폐업정보!$D$3:$R$3000,MATCH($F539,폐업정보!$I$3:$I$3000,0),MATCH(J$4,폐업정보!$D$3:$R$3,0)),
"Error"))</f>
        <v>3025700000</v>
      </c>
      <c r="K539" s="75" t="str">
        <f aca="false">
IF($D539="정상",INDEX(임대자산!$D$3:$R$3000,MATCH($F539,임대자산!$I$3:$I$3000,0),MATCH(K$4,임대자산!$D$3:$R$3,0)),
IF($D539="폐업",INDEX(폐업정보!$D$3:$R$3000,MATCH($F539,폐업정보!$I$3:$I$3000,0),MATCH(K$4,폐업정보!$D$3:$R$3,0)),
"Error"))</f>
        <v>C0534</v>
      </c>
      <c r="L539" s="75" t="str">
        <f aca="false">
IF($D539="정상",INDEX(임대자산!$D$3:$R$3000,MATCH($F539,임대자산!$I$3:$I$3000,0),MATCH(L$4,임대자산!$D$3:$R$3,0)),
IF($D539="폐업",INDEX(폐업정보!$D$3:$R$3000,MATCH($F539,폐업정보!$I$3:$I$3000,0),MATCH(L$4,폐업정보!$D$3:$R$3,0)),
"Error"))</f>
        <v>D0534</v>
      </c>
      <c r="M539" s="76" t="s">
        <v>96</v>
      </c>
      <c r="N539" s="77"/>
      <c r="O539" s="78" t="s">
        <v>97</v>
      </c>
      <c r="P539" s="79" t="n">
        <f aca="false">COUNTIFS(임대자산!$I:$I,가맹점정보!F539,임대자산!$N:$N,가맹점정보!P$4)</f>
        <v>0</v>
      </c>
      <c r="Q539" s="80" t="n">
        <f aca="false">COUNTIFS(임대자산!$I:$I,가맹점정보!F539,임대자산!$N:$N,가맹점정보!Q$4)</f>
        <v>0</v>
      </c>
      <c r="R539" s="81" t="n">
        <f aca="false">COUNTIFS(임대자산!$I:$I,가맹점정보!F539,임대자산!$N:$N,가맹점정보!R$4)</f>
        <v>1</v>
      </c>
      <c r="S539" s="82" t="n">
        <v>55000</v>
      </c>
      <c r="T539" s="83" t="n">
        <v>0</v>
      </c>
      <c r="U539" s="80" t="n">
        <f aca="false">SUM(S539:T539)</f>
        <v>55000</v>
      </c>
      <c r="V539" s="84" t="s">
        <v>12</v>
      </c>
      <c r="W539" s="80" t="e">
        <f aca="true">
IF(D539="폐업","폐업",
IF(V539="면제","면제",
IF(AND(V539="정상",COUNTIFS(OFFSET(Y539,0,COUNTA(Y539:AV539)-1,1,-4),"미납")&gt;=3),"장기미납",
IF(AND(V539="정상",OFFSET(Y539,0,COUNTA(Y539:AV539)-1)&gt;=U539),"정상",
IF(AND(V539="정상",OFFSET(Y539,0,COUNTA(Y539:AV539)-1)=0),"정상",
"계약서 미작성")))))</f>
        <v>#VALUE!</v>
      </c>
      <c r="X539" s="81" t="str">
        <f aca="true">
IF(D539="폐업","폐업",
IF(AND(V539="정상",OFFSET(Y539,0,COUNTA(Y539:AV539)-1)="미납"),"미납",
IF(AND(V539="정상",OFFSET(Y539,0,COUNTA(Y539:AV539)-1)=0),"납부 시작 전",
IF(AND(V539="정상",OFFSET(Y539,0,COUNTA(Y539:AV539)-1)&gt;=U539),"정상",
IF(AND(V539="면제",OFFSET(Y539,0,COUNTA(Y539:AV539)-1)="면제"),"면제",
IF(AND(V539="면제",OFFSET(Y539,0,COUNTA(Y539:AV539)-1)=0),"면제",
"확인요청"))))))</f>
        <v>정상</v>
      </c>
      <c r="Y539" s="93" t="n">
        <v>55000</v>
      </c>
      <c r="Z539" s="90" t="n">
        <v>55000</v>
      </c>
      <c r="AA539" s="90" t="n">
        <v>55000</v>
      </c>
      <c r="AB539" s="90" t="n">
        <v>55000</v>
      </c>
      <c r="AC539" s="90" t="n">
        <v>55000</v>
      </c>
      <c r="AD539" s="90" t="n">
        <v>55000</v>
      </c>
      <c r="AE539" s="90" t="n">
        <v>55000</v>
      </c>
      <c r="AF539" s="90" t="n">
        <v>55000</v>
      </c>
      <c r="AG539" s="90" t="n">
        <v>55000</v>
      </c>
      <c r="AH539" s="90" t="n">
        <v>55000</v>
      </c>
      <c r="AI539" s="90" t="n">
        <v>55000</v>
      </c>
      <c r="AJ539" s="91" t="n">
        <v>55000</v>
      </c>
      <c r="AK539" s="89" t="n">
        <v>55000</v>
      </c>
      <c r="AL539" s="90" t="n">
        <v>55000</v>
      </c>
      <c r="AM539" s="90"/>
      <c r="AN539" s="90"/>
      <c r="AO539" s="90"/>
      <c r="AP539" s="90"/>
      <c r="AQ539" s="90"/>
      <c r="AR539" s="90"/>
      <c r="AS539" s="90"/>
      <c r="AT539" s="90"/>
      <c r="AU539" s="90"/>
      <c r="AV539" s="91"/>
      <c r="AX539" s="92"/>
    </row>
    <row r="540" customFormat="false" ht="15.65" hidden="false" customHeight="false" outlineLevel="0" collapsed="false">
      <c r="C540" s="72" t="n">
        <f aca="false">COUNTIFS($D$6:D540,"&lt;&gt;"&amp;"")</f>
        <v>535</v>
      </c>
      <c r="D540" s="73" t="s">
        <v>12</v>
      </c>
      <c r="E540" s="76" t="str">
        <f aca="false">
IF($D540="정상",INDEX(임대자산!$D$3:$R$3000,MATCH($F540,임대자산!$I$3:$I$3000,0),MATCH(E$3,임대자산!$D$3:$R$3,0)),
IF($D540="폐업",INDEX(폐업정보!$D$3:$R$3000,MATCH($F540,폐업정보!$I$3:$I$3000,0),MATCH(E$3,폐업정보!$D$3:$R$3,0)),
"Error"))</f>
        <v>전라</v>
      </c>
      <c r="F54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B0535</v>
      </c>
      <c r="G540" s="76" t="str">
        <f aca="false">F540&amp;RANDBETWEEN(0,10)</f>
        <v>B05359</v>
      </c>
      <c r="H540" s="75" t="n">
        <f aca="false">
IF($D540="정상",INDEX(임대자산!$D$3:$R$3000,MATCH($F540,임대자산!$I$3:$I$3000,0),MATCH(H$4,임대자산!$D$3:$R$3,0)),
IF($D540="폐업",INDEX(폐업정보!$D$3:$R$3000,MATCH($F540,폐업정보!$I$3:$I$3000,0),MATCH(H$4,폐업정보!$D$3:$R$3,0)),
"Error"))</f>
        <v>45979</v>
      </c>
      <c r="I540" s="75" t="str">
        <f aca="false">
IF($D540="정상",INDEX(임대자산!$D$3:$R$3000,MATCH($F540,임대자산!$I$3:$I$3000,0),MATCH(I$4,임대자산!$D$3:$R$3,0)),
IF($D540="폐업",INDEX(폐업정보!$D$3:$R$3000,MATCH($F540,폐업정보!$I$3:$I$3000,0),MATCH(I$4,폐업정보!$D$3:$R$3,0)),
"Error"))</f>
        <v>A0535</v>
      </c>
      <c r="J540" s="75" t="str">
        <f aca="false">
IF($D540="정상",INDEX(임대자산!$D$3:$R$3000,MATCH($F540,임대자산!$I$3:$I$3000,0),MATCH(J$4,임대자산!$D$3:$R$3,0)),
IF($D540="폐업",INDEX(폐업정보!$D$3:$R$3000,MATCH($F540,폐업정보!$I$3:$I$3000,0),MATCH(J$4,폐업정보!$D$3:$R$3,0)),
"Error"))</f>
        <v>9969100000</v>
      </c>
      <c r="K540" s="75" t="str">
        <f aca="false">
IF($D540="정상",INDEX(임대자산!$D$3:$R$3000,MATCH($F540,임대자산!$I$3:$I$3000,0),MATCH(K$4,임대자산!$D$3:$R$3,0)),
IF($D540="폐업",INDEX(폐업정보!$D$3:$R$3000,MATCH($F540,폐업정보!$I$3:$I$3000,0),MATCH(K$4,폐업정보!$D$3:$R$3,0)),
"Error"))</f>
        <v>C0535</v>
      </c>
      <c r="L540" s="75" t="str">
        <f aca="false">
IF($D540="정상",INDEX(임대자산!$D$3:$R$3000,MATCH($F540,임대자산!$I$3:$I$3000,0),MATCH(L$4,임대자산!$D$3:$R$3,0)),
IF($D540="폐업",INDEX(폐업정보!$D$3:$R$3000,MATCH($F540,폐업정보!$I$3:$I$3000,0),MATCH(L$4,폐업정보!$D$3:$R$3,0)),
"Error"))</f>
        <v>D0535</v>
      </c>
      <c r="M540" s="76" t="s">
        <v>96</v>
      </c>
      <c r="N540" s="77"/>
      <c r="O540" s="78" t="s">
        <v>97</v>
      </c>
      <c r="P540" s="79" t="n">
        <f aca="false">COUNTIFS(임대자산!$I:$I,가맹점정보!F540,임대자산!$N:$N,가맹점정보!P$4)</f>
        <v>0</v>
      </c>
      <c r="Q540" s="80" t="n">
        <f aca="false">COUNTIFS(임대자산!$I:$I,가맹점정보!F540,임대자산!$N:$N,가맹점정보!Q$4)</f>
        <v>0</v>
      </c>
      <c r="R540" s="81" t="n">
        <f aca="false">COUNTIFS(임대자산!$I:$I,가맹점정보!F540,임대자산!$N:$N,가맹점정보!R$4)</f>
        <v>1</v>
      </c>
      <c r="S540" s="82" t="n">
        <v>55000</v>
      </c>
      <c r="T540" s="83" t="n">
        <v>0</v>
      </c>
      <c r="U540" s="80" t="n">
        <f aca="false">SUM(S540:T540)</f>
        <v>55000</v>
      </c>
      <c r="V540" s="84" t="s">
        <v>12</v>
      </c>
      <c r="W540" s="80" t="e">
        <f aca="true">
IF(D540="폐업","폐업",
IF(V540="면제","면제",
IF(AND(V540="정상",COUNTIFS(OFFSET(Y540,0,COUNTA(Y540:AV540)-1,1,-4),"미납")&gt;=3),"장기미납",
IF(AND(V540="정상",OFFSET(Y540,0,COUNTA(Y540:AV540)-1)&gt;=U540),"정상",
IF(AND(V540="정상",OFFSET(Y540,0,COUNTA(Y540:AV540)-1)=0),"정상",
"계약서 미작성")))))</f>
        <v>#VALUE!</v>
      </c>
      <c r="X540" s="81" t="str">
        <f aca="true">
IF(D540="폐업","폐업",
IF(AND(V540="정상",OFFSET(Y540,0,COUNTA(Y540:AV540)-1)="미납"),"미납",
IF(AND(V540="정상",OFFSET(Y540,0,COUNTA(Y540:AV540)-1)=0),"납부 시작 전",
IF(AND(V540="정상",OFFSET(Y540,0,COUNTA(Y540:AV540)-1)&gt;=U540),"정상",
IF(AND(V540="면제",OFFSET(Y540,0,COUNTA(Y540:AV540)-1)="면제"),"면제",
IF(AND(V540="면제",OFFSET(Y540,0,COUNTA(Y540:AV540)-1)=0),"면제",
"확인요청"))))))</f>
        <v>정상</v>
      </c>
      <c r="Y540" s="93" t="n">
        <v>55000</v>
      </c>
      <c r="Z540" s="90" t="n">
        <v>55000</v>
      </c>
      <c r="AA540" s="90" t="n">
        <v>55000</v>
      </c>
      <c r="AB540" s="90" t="n">
        <v>55000</v>
      </c>
      <c r="AC540" s="90" t="n">
        <v>55000</v>
      </c>
      <c r="AD540" s="90" t="n">
        <v>55000</v>
      </c>
      <c r="AE540" s="90" t="n">
        <v>55000</v>
      </c>
      <c r="AF540" s="90" t="n">
        <v>55000</v>
      </c>
      <c r="AG540" s="90" t="n">
        <v>55000</v>
      </c>
      <c r="AH540" s="90" t="n">
        <v>55000</v>
      </c>
      <c r="AI540" s="90" t="n">
        <v>55000</v>
      </c>
      <c r="AJ540" s="91" t="n">
        <v>55000</v>
      </c>
      <c r="AK540" s="89" t="n">
        <v>55000</v>
      </c>
      <c r="AL540" s="90" t="n">
        <v>55000</v>
      </c>
      <c r="AM540" s="90"/>
      <c r="AN540" s="90"/>
      <c r="AO540" s="90"/>
      <c r="AP540" s="90"/>
      <c r="AQ540" s="90"/>
      <c r="AR540" s="90"/>
      <c r="AS540" s="90"/>
      <c r="AT540" s="90"/>
      <c r="AU540" s="90"/>
      <c r="AV540" s="91"/>
      <c r="AX540" s="92"/>
    </row>
    <row r="541" customFormat="false" ht="15.65" hidden="false" customHeight="false" outlineLevel="0" collapsed="false">
      <c r="C541" s="72" t="n">
        <f aca="false">COUNTIFS($D$6:D541,"&lt;&gt;"&amp;"")</f>
        <v>536</v>
      </c>
      <c r="D541" s="73" t="s">
        <v>12</v>
      </c>
      <c r="E541" s="76" t="str">
        <f aca="false">
IF($D541="정상",INDEX(임대자산!$D$3:$R$3000,MATCH($F541,임대자산!$I$3:$I$3000,0),MATCH(E$3,임대자산!$D$3:$R$3,0)),
IF($D541="폐업",INDEX(폐업정보!$D$3:$R$3000,MATCH($F541,폐업정보!$I$3:$I$3000,0),MATCH(E$3,폐업정보!$D$3:$R$3,0)),
"Error"))</f>
        <v>서울</v>
      </c>
      <c r="F54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B0536</v>
      </c>
      <c r="G541" s="76" t="str">
        <f aca="false">F541&amp;RANDBETWEEN(0,10)</f>
        <v>B05362</v>
      </c>
      <c r="H541" s="75" t="n">
        <f aca="false">
IF($D541="정상",INDEX(임대자산!$D$3:$R$3000,MATCH($F541,임대자산!$I$3:$I$3000,0),MATCH(H$4,임대자산!$D$3:$R$3,0)),
IF($D541="폐업",INDEX(폐업정보!$D$3:$R$3000,MATCH($F541,폐업정보!$I$3:$I$3000,0),MATCH(H$4,폐업정보!$D$3:$R$3,0)),
"Error"))</f>
        <v>45993</v>
      </c>
      <c r="I541" s="75" t="str">
        <f aca="false">
IF($D541="정상",INDEX(임대자산!$D$3:$R$3000,MATCH($F541,임대자산!$I$3:$I$3000,0),MATCH(I$4,임대자산!$D$3:$R$3,0)),
IF($D541="폐업",INDEX(폐업정보!$D$3:$R$3000,MATCH($F541,폐업정보!$I$3:$I$3000,0),MATCH(I$4,폐업정보!$D$3:$R$3,0)),
"Error"))</f>
        <v>A0536</v>
      </c>
      <c r="J541" s="75" t="str">
        <f aca="false">
IF($D541="정상",INDEX(임대자산!$D$3:$R$3000,MATCH($F541,임대자산!$I$3:$I$3000,0),MATCH(J$4,임대자산!$D$3:$R$3,0)),
IF($D541="폐업",INDEX(폐업정보!$D$3:$R$3000,MATCH($F541,폐업정보!$I$3:$I$3000,0),MATCH(J$4,폐업정보!$D$3:$R$3,0)),
"Error"))</f>
        <v>7014900000</v>
      </c>
      <c r="K541" s="75" t="str">
        <f aca="false">
IF($D541="정상",INDEX(임대자산!$D$3:$R$3000,MATCH($F541,임대자산!$I$3:$I$3000,0),MATCH(K$4,임대자산!$D$3:$R$3,0)),
IF($D541="폐업",INDEX(폐업정보!$D$3:$R$3000,MATCH($F541,폐업정보!$I$3:$I$3000,0),MATCH(K$4,폐업정보!$D$3:$R$3,0)),
"Error"))</f>
        <v>C0536</v>
      </c>
      <c r="L541" s="75" t="str">
        <f aca="false">
IF($D541="정상",INDEX(임대자산!$D$3:$R$3000,MATCH($F541,임대자산!$I$3:$I$3000,0),MATCH(L$4,임대자산!$D$3:$R$3,0)),
IF($D541="폐업",INDEX(폐업정보!$D$3:$R$3000,MATCH($F541,폐업정보!$I$3:$I$3000,0),MATCH(L$4,폐업정보!$D$3:$R$3,0)),
"Error"))</f>
        <v>D0536</v>
      </c>
      <c r="M541" s="76" t="s">
        <v>96</v>
      </c>
      <c r="N541" s="77"/>
      <c r="O541" s="78" t="s">
        <v>97</v>
      </c>
      <c r="P541" s="79" t="n">
        <f aca="false">COUNTIFS(임대자산!$I:$I,가맹점정보!F541,임대자산!$N:$N,가맹점정보!P$4)</f>
        <v>0</v>
      </c>
      <c r="Q541" s="80" t="n">
        <f aca="false">COUNTIFS(임대자산!$I:$I,가맹점정보!F541,임대자산!$N:$N,가맹점정보!Q$4)</f>
        <v>0</v>
      </c>
      <c r="R541" s="81" t="n">
        <f aca="false">COUNTIFS(임대자산!$I:$I,가맹점정보!F541,임대자산!$N:$N,가맹점정보!R$4)</f>
        <v>1</v>
      </c>
      <c r="S541" s="82" t="n">
        <v>88000</v>
      </c>
      <c r="T541" s="83" t="n">
        <v>0</v>
      </c>
      <c r="U541" s="80" t="n">
        <f aca="false">SUM(S541:T541)</f>
        <v>88000</v>
      </c>
      <c r="V541" s="84" t="s">
        <v>12</v>
      </c>
      <c r="W541" s="80" t="e">
        <f aca="true">
IF(D541="폐업","폐업",
IF(V541="면제","면제",
IF(AND(V541="정상",COUNTIFS(OFFSET(Y541,0,COUNTA(Y541:AV541)-1,1,-4),"미납")&gt;=3),"장기미납",
IF(AND(V541="정상",OFFSET(Y541,0,COUNTA(Y541:AV541)-1)&gt;=U541),"정상",
IF(AND(V541="정상",OFFSET(Y541,0,COUNTA(Y541:AV541)-1)=0),"정상",
"계약서 미작성")))))</f>
        <v>#VALUE!</v>
      </c>
      <c r="X541" s="81" t="str">
        <f aca="true">
IF(D541="폐업","폐업",
IF(AND(V541="정상",OFFSET(Y541,0,COUNTA(Y541:AV541)-1)="미납"),"미납",
IF(AND(V541="정상",OFFSET(Y541,0,COUNTA(Y541:AV541)-1)=0),"납부 시작 전",
IF(AND(V541="정상",OFFSET(Y541,0,COUNTA(Y541:AV541)-1)&gt;=U541),"정상",
IF(AND(V541="면제",OFFSET(Y541,0,COUNTA(Y541:AV541)-1)="면제"),"면제",
IF(AND(V541="면제",OFFSET(Y541,0,COUNTA(Y541:AV541)-1)=0),"면제",
"확인요청"))))))</f>
        <v>정상</v>
      </c>
      <c r="Y541" s="93" t="n">
        <v>88000</v>
      </c>
      <c r="Z541" s="90" t="n">
        <v>88000</v>
      </c>
      <c r="AA541" s="90" t="n">
        <v>88000</v>
      </c>
      <c r="AB541" s="90" t="n">
        <v>88000</v>
      </c>
      <c r="AC541" s="90" t="n">
        <v>88000</v>
      </c>
      <c r="AD541" s="90" t="n">
        <v>88000</v>
      </c>
      <c r="AE541" s="90" t="n">
        <v>88000</v>
      </c>
      <c r="AF541" s="90" t="s">
        <v>105</v>
      </c>
      <c r="AG541" s="90" t="n">
        <v>176000</v>
      </c>
      <c r="AH541" s="90" t="n">
        <v>88000</v>
      </c>
      <c r="AI541" s="90" t="n">
        <v>88000</v>
      </c>
      <c r="AJ541" s="91" t="n">
        <v>88000</v>
      </c>
      <c r="AK541" s="89" t="n">
        <v>88000</v>
      </c>
      <c r="AL541" s="90" t="n">
        <v>88000</v>
      </c>
      <c r="AM541" s="90"/>
      <c r="AN541" s="90"/>
      <c r="AO541" s="90"/>
      <c r="AP541" s="90"/>
      <c r="AQ541" s="90"/>
      <c r="AR541" s="90"/>
      <c r="AS541" s="90"/>
      <c r="AT541" s="90"/>
      <c r="AU541" s="90"/>
      <c r="AV541" s="91"/>
      <c r="AX541" s="92"/>
    </row>
    <row r="542" customFormat="false" ht="15.65" hidden="false" customHeight="false" outlineLevel="0" collapsed="false">
      <c r="C542" s="72" t="n">
        <f aca="false">COUNTIFS($D$6:D542,"&lt;&gt;"&amp;"")</f>
        <v>537</v>
      </c>
      <c r="D542" s="73" t="s">
        <v>12</v>
      </c>
      <c r="E542" s="76" t="str">
        <f aca="false">
IF($D542="정상",INDEX(임대자산!$D$3:$R$3000,MATCH($F542,임대자산!$I$3:$I$3000,0),MATCH(E$3,임대자산!$D$3:$R$3,0)),
IF($D542="폐업",INDEX(폐업정보!$D$3:$R$3000,MATCH($F542,폐업정보!$I$3:$I$3000,0),MATCH(E$3,폐업정보!$D$3:$R$3,0)),
"Error"))</f>
        <v>서울</v>
      </c>
      <c r="F54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B0537</v>
      </c>
      <c r="G542" s="76" t="str">
        <f aca="false">F542&amp;RANDBETWEEN(0,10)</f>
        <v>B05370</v>
      </c>
      <c r="H542" s="75" t="n">
        <f aca="false">
IF($D542="정상",INDEX(임대자산!$D$3:$R$3000,MATCH($F542,임대자산!$I$3:$I$3000,0),MATCH(H$4,임대자산!$D$3:$R$3,0)),
IF($D542="폐업",INDEX(폐업정보!$D$3:$R$3000,MATCH($F542,폐업정보!$I$3:$I$3000,0),MATCH(H$4,폐업정보!$D$3:$R$3,0)),
"Error"))</f>
        <v>45993</v>
      </c>
      <c r="I542" s="75" t="str">
        <f aca="false">
IF($D542="정상",INDEX(임대자산!$D$3:$R$3000,MATCH($F542,임대자산!$I$3:$I$3000,0),MATCH(I$4,임대자산!$D$3:$R$3,0)),
IF($D542="폐업",INDEX(폐업정보!$D$3:$R$3000,MATCH($F542,폐업정보!$I$3:$I$3000,0),MATCH(I$4,폐업정보!$D$3:$R$3,0)),
"Error"))</f>
        <v>A0537</v>
      </c>
      <c r="J542" s="75" t="str">
        <f aca="false">
IF($D542="정상",INDEX(임대자산!$D$3:$R$3000,MATCH($F542,임대자산!$I$3:$I$3000,0),MATCH(J$4,임대자산!$D$3:$R$3,0)),
IF($D542="폐업",INDEX(폐업정보!$D$3:$R$3000,MATCH($F542,폐업정보!$I$3:$I$3000,0),MATCH(J$4,폐업정보!$D$3:$R$3,0)),
"Error"))</f>
        <v>6697200000</v>
      </c>
      <c r="K542" s="75" t="str">
        <f aca="false">
IF($D542="정상",INDEX(임대자산!$D$3:$R$3000,MATCH($F542,임대자산!$I$3:$I$3000,0),MATCH(K$4,임대자산!$D$3:$R$3,0)),
IF($D542="폐업",INDEX(폐업정보!$D$3:$R$3000,MATCH($F542,폐업정보!$I$3:$I$3000,0),MATCH(K$4,폐업정보!$D$3:$R$3,0)),
"Error"))</f>
        <v>C0537</v>
      </c>
      <c r="L542" s="75" t="str">
        <f aca="false">
IF($D542="정상",INDEX(임대자산!$D$3:$R$3000,MATCH($F542,임대자산!$I$3:$I$3000,0),MATCH(L$4,임대자산!$D$3:$R$3,0)),
IF($D542="폐업",INDEX(폐업정보!$D$3:$R$3000,MATCH($F542,폐업정보!$I$3:$I$3000,0),MATCH(L$4,폐업정보!$D$3:$R$3,0)),
"Error"))</f>
        <v>D0537</v>
      </c>
      <c r="M542" s="76" t="s">
        <v>96</v>
      </c>
      <c r="N542" s="77"/>
      <c r="O542" s="78" t="s">
        <v>97</v>
      </c>
      <c r="P542" s="79" t="n">
        <f aca="false">COUNTIFS(임대자산!$I:$I,가맹점정보!F542,임대자산!$N:$N,가맹점정보!P$4)</f>
        <v>0</v>
      </c>
      <c r="Q542" s="80" t="n">
        <f aca="false">COUNTIFS(임대자산!$I:$I,가맹점정보!F542,임대자산!$N:$N,가맹점정보!Q$4)</f>
        <v>0</v>
      </c>
      <c r="R542" s="81" t="n">
        <f aca="false">COUNTIFS(임대자산!$I:$I,가맹점정보!F542,임대자산!$N:$N,가맹점정보!R$4)</f>
        <v>1</v>
      </c>
      <c r="S542" s="82" t="n">
        <v>55000</v>
      </c>
      <c r="T542" s="83" t="n">
        <v>0</v>
      </c>
      <c r="U542" s="80" t="n">
        <f aca="false">SUM(S542:T542)</f>
        <v>55000</v>
      </c>
      <c r="V542" s="84" t="s">
        <v>12</v>
      </c>
      <c r="W542" s="80" t="e">
        <f aca="true">
IF(D542="폐업","폐업",
IF(V542="면제","면제",
IF(AND(V542="정상",COUNTIFS(OFFSET(Y542,0,COUNTA(Y542:AV542)-1,1,-4),"미납")&gt;=3),"장기미납",
IF(AND(V542="정상",OFFSET(Y542,0,COUNTA(Y542:AV542)-1)&gt;=U542),"정상",
IF(AND(V542="정상",OFFSET(Y542,0,COUNTA(Y542:AV542)-1)=0),"정상",
"계약서 미작성")))))</f>
        <v>#VALUE!</v>
      </c>
      <c r="X542" s="81" t="str">
        <f aca="true">
IF(D542="폐업","폐업",
IF(AND(V542="정상",OFFSET(Y542,0,COUNTA(Y542:AV542)-1)="미납"),"미납",
IF(AND(V542="정상",OFFSET(Y542,0,COUNTA(Y542:AV542)-1)=0),"납부 시작 전",
IF(AND(V542="정상",OFFSET(Y542,0,COUNTA(Y542:AV542)-1)&gt;=U542),"정상",
IF(AND(V542="면제",OFFSET(Y542,0,COUNTA(Y542:AV542)-1)="면제"),"면제",
IF(AND(V542="면제",OFFSET(Y542,0,COUNTA(Y542:AV542)-1)=0),"면제",
"확인요청"))))))</f>
        <v>정상</v>
      </c>
      <c r="Y542" s="93" t="n">
        <v>55000</v>
      </c>
      <c r="Z542" s="90" t="n">
        <v>55000</v>
      </c>
      <c r="AA542" s="90" t="n">
        <v>55000</v>
      </c>
      <c r="AB542" s="90" t="n">
        <v>55000</v>
      </c>
      <c r="AC542" s="90" t="n">
        <v>55000</v>
      </c>
      <c r="AD542" s="90" t="n">
        <v>55000</v>
      </c>
      <c r="AE542" s="90" t="n">
        <v>55000</v>
      </c>
      <c r="AF542" s="90" t="n">
        <v>55000</v>
      </c>
      <c r="AG542" s="90" t="n">
        <v>55000</v>
      </c>
      <c r="AH542" s="90" t="n">
        <v>55000</v>
      </c>
      <c r="AI542" s="90" t="n">
        <v>55000</v>
      </c>
      <c r="AJ542" s="91" t="n">
        <v>55000</v>
      </c>
      <c r="AK542" s="89" t="n">
        <v>55000</v>
      </c>
      <c r="AL542" s="90" t="n">
        <v>55000</v>
      </c>
      <c r="AM542" s="90"/>
      <c r="AN542" s="90"/>
      <c r="AO542" s="90"/>
      <c r="AP542" s="90"/>
      <c r="AQ542" s="90"/>
      <c r="AR542" s="90"/>
      <c r="AS542" s="90"/>
      <c r="AT542" s="90"/>
      <c r="AU542" s="90"/>
      <c r="AV542" s="91"/>
      <c r="AX542" s="92"/>
    </row>
    <row r="543" customFormat="false" ht="15.65" hidden="false" customHeight="false" outlineLevel="0" collapsed="false">
      <c r="C543" s="72" t="n">
        <f aca="false">COUNTIFS($D$6:D543,"&lt;&gt;"&amp;"")</f>
        <v>538</v>
      </c>
      <c r="D543" s="73" t="s">
        <v>12</v>
      </c>
      <c r="E543" s="76" t="str">
        <f aca="false">
IF($D543="정상",INDEX(임대자산!$D$3:$R$3000,MATCH($F543,임대자산!$I$3:$I$3000,0),MATCH(E$3,임대자산!$D$3:$R$3,0)),
IF($D543="폐업",INDEX(폐업정보!$D$3:$R$3000,MATCH($F543,폐업정보!$I$3:$I$3000,0),MATCH(E$3,폐업정보!$D$3:$R$3,0)),
"Error"))</f>
        <v>전라</v>
      </c>
      <c r="F54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B0538</v>
      </c>
      <c r="G543" s="76" t="str">
        <f aca="false">F543&amp;RANDBETWEEN(0,10)</f>
        <v>B05380</v>
      </c>
      <c r="H543" s="75" t="n">
        <f aca="false">
IF($D543="정상",INDEX(임대자산!$D$3:$R$3000,MATCH($F543,임대자산!$I$3:$I$3000,0),MATCH(H$4,임대자산!$D$3:$R$3,0)),
IF($D543="폐업",INDEX(폐업정보!$D$3:$R$3000,MATCH($F543,폐업정보!$I$3:$I$3000,0),MATCH(H$4,폐업정보!$D$3:$R$3,0)),
"Error"))</f>
        <v>45999</v>
      </c>
      <c r="I543" s="75" t="str">
        <f aca="false">
IF($D543="정상",INDEX(임대자산!$D$3:$R$3000,MATCH($F543,임대자산!$I$3:$I$3000,0),MATCH(I$4,임대자산!$D$3:$R$3,0)),
IF($D543="폐업",INDEX(폐업정보!$D$3:$R$3000,MATCH($F543,폐업정보!$I$3:$I$3000,0),MATCH(I$4,폐업정보!$D$3:$R$3,0)),
"Error"))</f>
        <v>A0538</v>
      </c>
      <c r="J543" s="75" t="str">
        <f aca="false">
IF($D543="정상",INDEX(임대자산!$D$3:$R$3000,MATCH($F543,임대자산!$I$3:$I$3000,0),MATCH(J$4,임대자산!$D$3:$R$3,0)),
IF($D543="폐업",INDEX(폐업정보!$D$3:$R$3000,MATCH($F543,폐업정보!$I$3:$I$3000,0),MATCH(J$4,폐업정보!$D$3:$R$3,0)),
"Error"))</f>
        <v>3417100000</v>
      </c>
      <c r="K543" s="75" t="str">
        <f aca="false">
IF($D543="정상",INDEX(임대자산!$D$3:$R$3000,MATCH($F543,임대자산!$I$3:$I$3000,0),MATCH(K$4,임대자산!$D$3:$R$3,0)),
IF($D543="폐업",INDEX(폐업정보!$D$3:$R$3000,MATCH($F543,폐업정보!$I$3:$I$3000,0),MATCH(K$4,폐업정보!$D$3:$R$3,0)),
"Error"))</f>
        <v>C0538</v>
      </c>
      <c r="L543" s="75" t="str">
        <f aca="false">
IF($D543="정상",INDEX(임대자산!$D$3:$R$3000,MATCH($F543,임대자산!$I$3:$I$3000,0),MATCH(L$4,임대자산!$D$3:$R$3,0)),
IF($D543="폐업",INDEX(폐업정보!$D$3:$R$3000,MATCH($F543,폐업정보!$I$3:$I$3000,0),MATCH(L$4,폐업정보!$D$3:$R$3,0)),
"Error"))</f>
        <v>D0538</v>
      </c>
      <c r="M543" s="76" t="s">
        <v>96</v>
      </c>
      <c r="N543" s="77"/>
      <c r="O543" s="78" t="s">
        <v>97</v>
      </c>
      <c r="P543" s="79" t="n">
        <f aca="false">COUNTIFS(임대자산!$I:$I,가맹점정보!F543,임대자산!$N:$N,가맹점정보!P$4)</f>
        <v>0</v>
      </c>
      <c r="Q543" s="80" t="n">
        <f aca="false">COUNTIFS(임대자산!$I:$I,가맹점정보!F543,임대자산!$N:$N,가맹점정보!Q$4)</f>
        <v>0</v>
      </c>
      <c r="R543" s="81" t="n">
        <f aca="false">COUNTIFS(임대자산!$I:$I,가맹점정보!F543,임대자산!$N:$N,가맹점정보!R$4)</f>
        <v>1</v>
      </c>
      <c r="S543" s="82" t="n">
        <v>88000</v>
      </c>
      <c r="T543" s="83" t="n">
        <v>0</v>
      </c>
      <c r="U543" s="80" t="n">
        <f aca="false">SUM(S543:T543)</f>
        <v>88000</v>
      </c>
      <c r="V543" s="84" t="s">
        <v>7</v>
      </c>
      <c r="W543" s="80" t="str">
        <f aca="true">
IF(D543="폐업","폐업",
IF(V543="면제","면제",
IF(AND(V543="정상",COUNTIFS(OFFSET(Y543,0,COUNTA(Y543:AV543)-1,1,-4),"미납")&gt;=3),"장기미납",
IF(AND(V543="정상",OFFSET(Y543,0,COUNTA(Y543:AV543)-1)&gt;=U543),"정상",
IF(AND(V543="정상",OFFSET(Y543,0,COUNTA(Y543:AV543)-1)=0),"정상",
"계약서 미작성")))))</f>
        <v>면제</v>
      </c>
      <c r="X543" s="81" t="str">
        <f aca="true">
IF(D543="폐업","폐업",
IF(AND(V543="정상",OFFSET(Y543,0,COUNTA(Y543:AV543)-1)="미납"),"미납",
IF(AND(V543="정상",OFFSET(Y543,0,COUNTA(Y543:AV543)-1)=0),"납부 시작 전",
IF(AND(V543="정상",OFFSET(Y543,0,COUNTA(Y543:AV543)-1)&gt;=U543),"정상",
IF(AND(V543="면제",OFFSET(Y543,0,COUNTA(Y543:AV543)-1)="면제"),"면제",
IF(AND(V543="면제",OFFSET(Y543,0,COUNTA(Y543:AV543)-1)=0),"면제",
"확인요청"))))))</f>
        <v>면제</v>
      </c>
      <c r="Y543" s="94" t="s">
        <v>7</v>
      </c>
      <c r="Z543" s="95" t="s">
        <v>7</v>
      </c>
      <c r="AA543" s="95" t="s">
        <v>7</v>
      </c>
      <c r="AB543" s="95" t="s">
        <v>7</v>
      </c>
      <c r="AC543" s="95" t="s">
        <v>7</v>
      </c>
      <c r="AD543" s="95" t="s">
        <v>7</v>
      </c>
      <c r="AE543" s="95" t="s">
        <v>7</v>
      </c>
      <c r="AF543" s="95" t="s">
        <v>7</v>
      </c>
      <c r="AG543" s="95" t="s">
        <v>7</v>
      </c>
      <c r="AH543" s="95" t="s">
        <v>7</v>
      </c>
      <c r="AI543" s="95" t="s">
        <v>7</v>
      </c>
      <c r="AJ543" s="96" t="s">
        <v>7</v>
      </c>
      <c r="AK543" s="97" t="s">
        <v>7</v>
      </c>
      <c r="AL543" s="95" t="s">
        <v>7</v>
      </c>
      <c r="AM543" s="90"/>
      <c r="AN543" s="90"/>
      <c r="AO543" s="90"/>
      <c r="AP543" s="90"/>
      <c r="AQ543" s="90"/>
      <c r="AR543" s="90"/>
      <c r="AS543" s="90"/>
      <c r="AT543" s="90"/>
      <c r="AU543" s="90"/>
      <c r="AV543" s="91"/>
      <c r="AX543" s="92"/>
    </row>
    <row r="544" customFormat="false" ht="15.65" hidden="false" customHeight="false" outlineLevel="0" collapsed="false">
      <c r="C544" s="72" t="n">
        <f aca="false">COUNTIFS($D$6:D544,"&lt;&gt;"&amp;"")</f>
        <v>539</v>
      </c>
      <c r="D544" s="73" t="s">
        <v>12</v>
      </c>
      <c r="E544" s="76" t="str">
        <f aca="false">
IF($D544="정상",INDEX(임대자산!$D$3:$R$3000,MATCH($F544,임대자산!$I$3:$I$3000,0),MATCH(E$3,임대자산!$D$3:$R$3,0)),
IF($D544="폐업",INDEX(폐업정보!$D$3:$R$3000,MATCH($F544,폐업정보!$I$3:$I$3000,0),MATCH(E$3,폐업정보!$D$3:$R$3,0)),
"Error"))</f>
        <v>서울</v>
      </c>
      <c r="F54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B0539</v>
      </c>
      <c r="G544" s="76" t="str">
        <f aca="false">F544&amp;RANDBETWEEN(0,10)</f>
        <v>B053910</v>
      </c>
      <c r="H544" s="75" t="n">
        <f aca="false">
IF($D544="정상",INDEX(임대자산!$D$3:$R$3000,MATCH($F544,임대자산!$I$3:$I$3000,0),MATCH(H$4,임대자산!$D$3:$R$3,0)),
IF($D544="폐업",INDEX(폐업정보!$D$3:$R$3000,MATCH($F544,폐업정보!$I$3:$I$3000,0),MATCH(H$4,폐업정보!$D$3:$R$3,0)),
"Error"))</f>
        <v>46003</v>
      </c>
      <c r="I544" s="75" t="str">
        <f aca="false">
IF($D544="정상",INDEX(임대자산!$D$3:$R$3000,MATCH($F544,임대자산!$I$3:$I$3000,0),MATCH(I$4,임대자산!$D$3:$R$3,0)),
IF($D544="폐업",INDEX(폐업정보!$D$3:$R$3000,MATCH($F544,폐업정보!$I$3:$I$3000,0),MATCH(I$4,폐업정보!$D$3:$R$3,0)),
"Error"))</f>
        <v>A0539</v>
      </c>
      <c r="J544" s="75" t="str">
        <f aca="false">
IF($D544="정상",INDEX(임대자산!$D$3:$R$3000,MATCH($F544,임대자산!$I$3:$I$3000,0),MATCH(J$4,임대자산!$D$3:$R$3,0)),
IF($D544="폐업",INDEX(폐업정보!$D$3:$R$3000,MATCH($F544,폐업정보!$I$3:$I$3000,0),MATCH(J$4,폐업정보!$D$3:$R$3,0)),
"Error"))</f>
        <v>9989200000</v>
      </c>
      <c r="K544" s="75" t="str">
        <f aca="false">
IF($D544="정상",INDEX(임대자산!$D$3:$R$3000,MATCH($F544,임대자산!$I$3:$I$3000,0),MATCH(K$4,임대자산!$D$3:$R$3,0)),
IF($D544="폐업",INDEX(폐업정보!$D$3:$R$3000,MATCH($F544,폐업정보!$I$3:$I$3000,0),MATCH(K$4,폐업정보!$D$3:$R$3,0)),
"Error"))</f>
        <v>C0539</v>
      </c>
      <c r="L544" s="75" t="str">
        <f aca="false">
IF($D544="정상",INDEX(임대자산!$D$3:$R$3000,MATCH($F544,임대자산!$I$3:$I$3000,0),MATCH(L$4,임대자산!$D$3:$R$3,0)),
IF($D544="폐업",INDEX(폐업정보!$D$3:$R$3000,MATCH($F544,폐업정보!$I$3:$I$3000,0),MATCH(L$4,폐업정보!$D$3:$R$3,0)),
"Error"))</f>
        <v>D0539</v>
      </c>
      <c r="M544" s="76" t="s">
        <v>96</v>
      </c>
      <c r="N544" s="77"/>
      <c r="O544" s="78" t="s">
        <v>97</v>
      </c>
      <c r="P544" s="79" t="n">
        <f aca="false">COUNTIFS(임대자산!$I:$I,가맹점정보!F544,임대자산!$N:$N,가맹점정보!P$4)</f>
        <v>0</v>
      </c>
      <c r="Q544" s="80" t="n">
        <f aca="false">COUNTIFS(임대자산!$I:$I,가맹점정보!F544,임대자산!$N:$N,가맹점정보!Q$4)</f>
        <v>0</v>
      </c>
      <c r="R544" s="81" t="n">
        <f aca="false">COUNTIFS(임대자산!$I:$I,가맹점정보!F544,임대자산!$N:$N,가맹점정보!R$4)</f>
        <v>1</v>
      </c>
      <c r="S544" s="82" t="n">
        <v>55000</v>
      </c>
      <c r="T544" s="83" t="n">
        <v>0</v>
      </c>
      <c r="U544" s="80" t="n">
        <f aca="false">SUM(S544:T544)</f>
        <v>55000</v>
      </c>
      <c r="V544" s="84" t="s">
        <v>12</v>
      </c>
      <c r="W544" s="80" t="e">
        <f aca="true">
IF(D544="폐업","폐업",
IF(V544="면제","면제",
IF(AND(V544="정상",COUNTIFS(OFFSET(Y544,0,COUNTA(Y544:AV544)-1,1,-4),"미납")&gt;=3),"장기미납",
IF(AND(V544="정상",OFFSET(Y544,0,COUNTA(Y544:AV544)-1)&gt;=U544),"정상",
IF(AND(V544="정상",OFFSET(Y544,0,COUNTA(Y544:AV544)-1)=0),"정상",
"계약서 미작성")))))</f>
        <v>#VALUE!</v>
      </c>
      <c r="X544" s="81" t="str">
        <f aca="true">
IF(D544="폐업","폐업",
IF(AND(V544="정상",OFFSET(Y544,0,COUNTA(Y544:AV544)-1)="미납"),"미납",
IF(AND(V544="정상",OFFSET(Y544,0,COUNTA(Y544:AV544)-1)=0),"납부 시작 전",
IF(AND(V544="정상",OFFSET(Y544,0,COUNTA(Y544:AV544)-1)&gt;=U544),"정상",
IF(AND(V544="면제",OFFSET(Y544,0,COUNTA(Y544:AV544)-1)="면제"),"면제",
IF(AND(V544="면제",OFFSET(Y544,0,COUNTA(Y544:AV544)-1)=0),"면제",
"확인요청"))))))</f>
        <v>정상</v>
      </c>
      <c r="Y544" s="93" t="n">
        <v>55000</v>
      </c>
      <c r="Z544" s="90" t="n">
        <v>55000</v>
      </c>
      <c r="AA544" s="90" t="n">
        <v>55000</v>
      </c>
      <c r="AB544" s="90" t="n">
        <v>55000</v>
      </c>
      <c r="AC544" s="90" t="n">
        <v>55000</v>
      </c>
      <c r="AD544" s="90" t="n">
        <v>55000</v>
      </c>
      <c r="AE544" s="90" t="n">
        <v>55000</v>
      </c>
      <c r="AF544" s="90" t="n">
        <v>55000</v>
      </c>
      <c r="AG544" s="90" t="n">
        <v>55000</v>
      </c>
      <c r="AH544" s="90" t="n">
        <v>55000</v>
      </c>
      <c r="AI544" s="90" t="n">
        <v>55000</v>
      </c>
      <c r="AJ544" s="91" t="n">
        <v>55000</v>
      </c>
      <c r="AK544" s="89" t="n">
        <v>55000</v>
      </c>
      <c r="AL544" s="90" t="n">
        <v>55000</v>
      </c>
      <c r="AM544" s="90"/>
      <c r="AN544" s="90"/>
      <c r="AO544" s="90"/>
      <c r="AP544" s="90"/>
      <c r="AQ544" s="90"/>
      <c r="AR544" s="90"/>
      <c r="AS544" s="90"/>
      <c r="AT544" s="90"/>
      <c r="AU544" s="90"/>
      <c r="AV544" s="91"/>
      <c r="AX544" s="92"/>
    </row>
    <row r="545" customFormat="false" ht="15.65" hidden="false" customHeight="false" outlineLevel="0" collapsed="false">
      <c r="C545" s="72" t="n">
        <f aca="false">COUNTIFS($D$6:D545,"&lt;&gt;"&amp;"")</f>
        <v>540</v>
      </c>
      <c r="D545" s="73" t="s">
        <v>12</v>
      </c>
      <c r="E545" s="76" t="str">
        <f aca="false">
IF($D545="정상",INDEX(임대자산!$D$3:$R$3000,MATCH($F545,임대자산!$I$3:$I$3000,0),MATCH(E$3,임대자산!$D$3:$R$3,0)),
IF($D545="폐업",INDEX(폐업정보!$D$3:$R$3000,MATCH($F545,폐업정보!$I$3:$I$3000,0),MATCH(E$3,폐업정보!$D$3:$R$3,0)),
"Error"))</f>
        <v>서울</v>
      </c>
      <c r="F54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B0540</v>
      </c>
      <c r="G545" s="76" t="str">
        <f aca="false">F545&amp;RANDBETWEEN(0,10)</f>
        <v>B05403</v>
      </c>
      <c r="H545" s="75" t="n">
        <f aca="false">
IF($D545="정상",INDEX(임대자산!$D$3:$R$3000,MATCH($F545,임대자산!$I$3:$I$3000,0),MATCH(H$4,임대자산!$D$3:$R$3,0)),
IF($D545="폐업",INDEX(폐업정보!$D$3:$R$3000,MATCH($F545,폐업정보!$I$3:$I$3000,0),MATCH(H$4,폐업정보!$D$3:$R$3,0)),
"Error"))</f>
        <v>46003</v>
      </c>
      <c r="I545" s="75" t="str">
        <f aca="false">
IF($D545="정상",INDEX(임대자산!$D$3:$R$3000,MATCH($F545,임대자산!$I$3:$I$3000,0),MATCH(I$4,임대자산!$D$3:$R$3,0)),
IF($D545="폐업",INDEX(폐업정보!$D$3:$R$3000,MATCH($F545,폐업정보!$I$3:$I$3000,0),MATCH(I$4,폐업정보!$D$3:$R$3,0)),
"Error"))</f>
        <v>A0540</v>
      </c>
      <c r="J545" s="75" t="str">
        <f aca="false">
IF($D545="정상",INDEX(임대자산!$D$3:$R$3000,MATCH($F545,임대자산!$I$3:$I$3000,0),MATCH(J$4,임대자산!$D$3:$R$3,0)),
IF($D545="폐업",INDEX(폐업정보!$D$3:$R$3000,MATCH($F545,폐업정보!$I$3:$I$3000,0),MATCH(J$4,폐업정보!$D$3:$R$3,0)),
"Error"))</f>
        <v>7405500000</v>
      </c>
      <c r="K545" s="75" t="str">
        <f aca="false">
IF($D545="정상",INDEX(임대자산!$D$3:$R$3000,MATCH($F545,임대자산!$I$3:$I$3000,0),MATCH(K$4,임대자산!$D$3:$R$3,0)),
IF($D545="폐업",INDEX(폐업정보!$D$3:$R$3000,MATCH($F545,폐업정보!$I$3:$I$3000,0),MATCH(K$4,폐업정보!$D$3:$R$3,0)),
"Error"))</f>
        <v>C0540</v>
      </c>
      <c r="L545" s="75" t="str">
        <f aca="false">
IF($D545="정상",INDEX(임대자산!$D$3:$R$3000,MATCH($F545,임대자산!$I$3:$I$3000,0),MATCH(L$4,임대자산!$D$3:$R$3,0)),
IF($D545="폐업",INDEX(폐업정보!$D$3:$R$3000,MATCH($F545,폐업정보!$I$3:$I$3000,0),MATCH(L$4,폐업정보!$D$3:$R$3,0)),
"Error"))</f>
        <v>D0540</v>
      </c>
      <c r="M545" s="76" t="s">
        <v>96</v>
      </c>
      <c r="N545" s="77"/>
      <c r="O545" s="78" t="s">
        <v>97</v>
      </c>
      <c r="P545" s="79" t="n">
        <f aca="false">COUNTIFS(임대자산!$I:$I,가맹점정보!F545,임대자산!$N:$N,가맹점정보!P$4)</f>
        <v>0</v>
      </c>
      <c r="Q545" s="80" t="n">
        <f aca="false">COUNTIFS(임대자산!$I:$I,가맹점정보!F545,임대자산!$N:$N,가맹점정보!Q$4)</f>
        <v>0</v>
      </c>
      <c r="R545" s="81" t="n">
        <f aca="false">COUNTIFS(임대자산!$I:$I,가맹점정보!F545,임대자산!$N:$N,가맹점정보!R$4)</f>
        <v>1</v>
      </c>
      <c r="S545" s="82" t="n">
        <v>55000</v>
      </c>
      <c r="T545" s="83" t="n">
        <v>0</v>
      </c>
      <c r="U545" s="80" t="n">
        <f aca="false">SUM(S545:T545)</f>
        <v>55000</v>
      </c>
      <c r="V545" s="84" t="s">
        <v>7</v>
      </c>
      <c r="W545" s="80" t="str">
        <f aca="true">
IF(D545="폐업","폐업",
IF(V545="면제","면제",
IF(AND(V545="정상",COUNTIFS(OFFSET(Y545,0,COUNTA(Y545:AV545)-1,1,-4),"미납")&gt;=3),"장기미납",
IF(AND(V545="정상",OFFSET(Y545,0,COUNTA(Y545:AV545)-1)&gt;=U545),"정상",
IF(AND(V545="정상",OFFSET(Y545,0,COUNTA(Y545:AV545)-1)=0),"정상",
"계약서 미작성")))))</f>
        <v>면제</v>
      </c>
      <c r="X545" s="81" t="str">
        <f aca="true">
IF(D545="폐업","폐업",
IF(AND(V545="정상",OFFSET(Y545,0,COUNTA(Y545:AV545)-1)="미납"),"미납",
IF(AND(V545="정상",OFFSET(Y545,0,COUNTA(Y545:AV545)-1)=0),"납부 시작 전",
IF(AND(V545="정상",OFFSET(Y545,0,COUNTA(Y545:AV545)-1)&gt;=U545),"정상",
IF(AND(V545="면제",OFFSET(Y545,0,COUNTA(Y545:AV545)-1)="면제"),"면제",
IF(AND(V545="면제",OFFSET(Y545,0,COUNTA(Y545:AV545)-1)=0),"면제",
"확인요청"))))))</f>
        <v>면제</v>
      </c>
      <c r="Y545" s="93" t="n">
        <v>55000</v>
      </c>
      <c r="Z545" s="90" t="n">
        <v>55000</v>
      </c>
      <c r="AA545" s="90" t="n">
        <v>55000</v>
      </c>
      <c r="AB545" s="90" t="n">
        <v>55000</v>
      </c>
      <c r="AC545" s="90" t="n">
        <v>55000</v>
      </c>
      <c r="AD545" s="90" t="n">
        <v>55000</v>
      </c>
      <c r="AE545" s="90" t="n">
        <v>55000</v>
      </c>
      <c r="AF545" s="90" t="n">
        <v>55000</v>
      </c>
      <c r="AG545" s="90" t="n">
        <v>55000</v>
      </c>
      <c r="AH545" s="90" t="n">
        <v>55000</v>
      </c>
      <c r="AI545" s="90" t="n">
        <v>55000</v>
      </c>
      <c r="AJ545" s="91" t="n">
        <v>55000</v>
      </c>
      <c r="AK545" s="89" t="n">
        <v>-55000</v>
      </c>
      <c r="AL545" s="95" t="s">
        <v>7</v>
      </c>
      <c r="AM545" s="90"/>
      <c r="AN545" s="90"/>
      <c r="AO545" s="90"/>
      <c r="AP545" s="90"/>
      <c r="AQ545" s="90"/>
      <c r="AR545" s="90"/>
      <c r="AS545" s="90"/>
      <c r="AT545" s="90"/>
      <c r="AU545" s="90"/>
      <c r="AV545" s="91"/>
      <c r="AX545" s="92"/>
    </row>
    <row r="546" customFormat="false" ht="15.65" hidden="false" customHeight="false" outlineLevel="0" collapsed="false">
      <c r="C546" s="72" t="n">
        <f aca="false">COUNTIFS($D$6:D546,"&lt;&gt;"&amp;"")</f>
        <v>541</v>
      </c>
      <c r="D546" s="73" t="s">
        <v>12</v>
      </c>
      <c r="E546" s="76" t="str">
        <f aca="false">
IF($D546="정상",INDEX(임대자산!$D$3:$R$3000,MATCH($F546,임대자산!$I$3:$I$3000,0),MATCH(E$3,임대자산!$D$3:$R$3,0)),
IF($D546="폐업",INDEX(폐업정보!$D$3:$R$3000,MATCH($F546,폐업정보!$I$3:$I$3000,0),MATCH(E$3,폐업정보!$D$3:$R$3,0)),
"Error"))</f>
        <v>경상</v>
      </c>
      <c r="F54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B0541</v>
      </c>
      <c r="G546" s="76" t="str">
        <f aca="false">F546&amp;RANDBETWEEN(0,10)</f>
        <v>B05417</v>
      </c>
      <c r="H546" s="75" t="n">
        <f aca="false">
IF($D546="정상",INDEX(임대자산!$D$3:$R$3000,MATCH($F546,임대자산!$I$3:$I$3000,0),MATCH(H$4,임대자산!$D$3:$R$3,0)),
IF($D546="폐업",INDEX(폐업정보!$D$3:$R$3000,MATCH($F546,폐업정보!$I$3:$I$3000,0),MATCH(H$4,폐업정보!$D$3:$R$3,0)),
"Error"))</f>
        <v>46013</v>
      </c>
      <c r="I546" s="75" t="str">
        <f aca="false">
IF($D546="정상",INDEX(임대자산!$D$3:$R$3000,MATCH($F546,임대자산!$I$3:$I$3000,0),MATCH(I$4,임대자산!$D$3:$R$3,0)),
IF($D546="폐업",INDEX(폐업정보!$D$3:$R$3000,MATCH($F546,폐업정보!$I$3:$I$3000,0),MATCH(I$4,폐업정보!$D$3:$R$3,0)),
"Error"))</f>
        <v>A0541</v>
      </c>
      <c r="J546" s="75" t="str">
        <f aca="false">
IF($D546="정상",INDEX(임대자산!$D$3:$R$3000,MATCH($F546,임대자산!$I$3:$I$3000,0),MATCH(J$4,임대자산!$D$3:$R$3,0)),
IF($D546="폐업",INDEX(폐업정보!$D$3:$R$3000,MATCH($F546,폐업정보!$I$3:$I$3000,0),MATCH(J$4,폐업정보!$D$3:$R$3,0)),
"Error"))</f>
        <v>7088000000</v>
      </c>
      <c r="K546" s="75" t="str">
        <f aca="false">
IF($D546="정상",INDEX(임대자산!$D$3:$R$3000,MATCH($F546,임대자산!$I$3:$I$3000,0),MATCH(K$4,임대자산!$D$3:$R$3,0)),
IF($D546="폐업",INDEX(폐업정보!$D$3:$R$3000,MATCH($F546,폐업정보!$I$3:$I$3000,0),MATCH(K$4,폐업정보!$D$3:$R$3,0)),
"Error"))</f>
        <v>C0541</v>
      </c>
      <c r="L546" s="75" t="str">
        <f aca="false">
IF($D546="정상",INDEX(임대자산!$D$3:$R$3000,MATCH($F546,임대자산!$I$3:$I$3000,0),MATCH(L$4,임대자산!$D$3:$R$3,0)),
IF($D546="폐업",INDEX(폐업정보!$D$3:$R$3000,MATCH($F546,폐업정보!$I$3:$I$3000,0),MATCH(L$4,폐업정보!$D$3:$R$3,0)),
"Error"))</f>
        <v>D0541</v>
      </c>
      <c r="M546" s="76" t="s">
        <v>96</v>
      </c>
      <c r="N546" s="77"/>
      <c r="O546" s="78" t="s">
        <v>97</v>
      </c>
      <c r="P546" s="79" t="n">
        <f aca="false">COUNTIFS(임대자산!$I:$I,가맹점정보!F546,임대자산!$N:$N,가맹점정보!P$4)</f>
        <v>0</v>
      </c>
      <c r="Q546" s="80" t="n">
        <f aca="false">COUNTIFS(임대자산!$I:$I,가맹점정보!F546,임대자산!$N:$N,가맹점정보!Q$4)</f>
        <v>0</v>
      </c>
      <c r="R546" s="81" t="n">
        <f aca="false">COUNTIFS(임대자산!$I:$I,가맹점정보!F546,임대자산!$N:$N,가맹점정보!R$4)</f>
        <v>1</v>
      </c>
      <c r="S546" s="82" t="n">
        <v>55000</v>
      </c>
      <c r="T546" s="83" t="n">
        <v>0</v>
      </c>
      <c r="U546" s="80" t="n">
        <f aca="false">SUM(S546:T546)</f>
        <v>55000</v>
      </c>
      <c r="V546" s="84" t="s">
        <v>12</v>
      </c>
      <c r="W546" s="80" t="e">
        <f aca="true">
IF(D546="폐업","폐업",
IF(V546="면제","면제",
IF(AND(V546="정상",COUNTIFS(OFFSET(Y546,0,COUNTA(Y546:AV546)-1,1,-4),"미납")&gt;=3),"장기미납",
IF(AND(V546="정상",OFFSET(Y546,0,COUNTA(Y546:AV546)-1)&gt;=U546),"정상",
IF(AND(V546="정상",OFFSET(Y546,0,COUNTA(Y546:AV546)-1)=0),"정상",
"계약서 미작성")))))</f>
        <v>#VALUE!</v>
      </c>
      <c r="X546" s="81" t="str">
        <f aca="true">
IF(D546="폐업","폐업",
IF(AND(V546="정상",OFFSET(Y546,0,COUNTA(Y546:AV546)-1)="미납"),"미납",
IF(AND(V546="정상",OFFSET(Y546,0,COUNTA(Y546:AV546)-1)=0),"납부 시작 전",
IF(AND(V546="정상",OFFSET(Y546,0,COUNTA(Y546:AV546)-1)&gt;=U546),"정상",
IF(AND(V546="면제",OFFSET(Y546,0,COUNTA(Y546:AV546)-1)="면제"),"면제",
IF(AND(V546="면제",OFFSET(Y546,0,COUNTA(Y546:AV546)-1)=0),"면제",
"확인요청"))))))</f>
        <v>정상</v>
      </c>
      <c r="Y546" s="93" t="n">
        <v>55000</v>
      </c>
      <c r="Z546" s="90" t="n">
        <v>55000</v>
      </c>
      <c r="AA546" s="90" t="n">
        <v>55000</v>
      </c>
      <c r="AB546" s="90" t="n">
        <v>55000</v>
      </c>
      <c r="AC546" s="90" t="n">
        <v>55000</v>
      </c>
      <c r="AD546" s="90" t="n">
        <v>55000</v>
      </c>
      <c r="AE546" s="90" t="n">
        <v>55000</v>
      </c>
      <c r="AF546" s="90" t="n">
        <v>55000</v>
      </c>
      <c r="AG546" s="90" t="n">
        <v>55000</v>
      </c>
      <c r="AH546" s="90" t="n">
        <v>55000</v>
      </c>
      <c r="AI546" s="90" t="n">
        <v>55000</v>
      </c>
      <c r="AJ546" s="91" t="n">
        <v>55000</v>
      </c>
      <c r="AK546" s="89" t="n">
        <v>55000</v>
      </c>
      <c r="AL546" s="90" t="n">
        <v>55000</v>
      </c>
      <c r="AM546" s="90"/>
      <c r="AN546" s="90"/>
      <c r="AO546" s="90"/>
      <c r="AP546" s="90"/>
      <c r="AQ546" s="90"/>
      <c r="AR546" s="90"/>
      <c r="AS546" s="90"/>
      <c r="AT546" s="90"/>
      <c r="AU546" s="90"/>
      <c r="AV546" s="91"/>
      <c r="AX546" s="92"/>
    </row>
    <row r="547" customFormat="false" ht="15.65" hidden="false" customHeight="false" outlineLevel="0" collapsed="false">
      <c r="C547" s="72" t="n">
        <f aca="false">COUNTIFS($D$6:D547,"&lt;&gt;"&amp;"")</f>
        <v>542</v>
      </c>
      <c r="D547" s="73" t="s">
        <v>12</v>
      </c>
      <c r="E547" s="76" t="str">
        <f aca="false">
IF($D547="정상",INDEX(임대자산!$D$3:$R$3000,MATCH($F547,임대자산!$I$3:$I$3000,0),MATCH(E$3,임대자산!$D$3:$R$3,0)),
IF($D547="폐업",INDEX(폐업정보!$D$3:$R$3000,MATCH($F547,폐업정보!$I$3:$I$3000,0),MATCH(E$3,폐업정보!$D$3:$R$3,0)),
"Error"))</f>
        <v>경상</v>
      </c>
      <c r="F54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B0542</v>
      </c>
      <c r="G547" s="76" t="str">
        <f aca="false">F547&amp;RANDBETWEEN(0,10)</f>
        <v>B05429</v>
      </c>
      <c r="H547" s="75" t="n">
        <f aca="false">
IF($D547="정상",INDEX(임대자산!$D$3:$R$3000,MATCH($F547,임대자산!$I$3:$I$3000,0),MATCH(H$4,임대자산!$D$3:$R$3,0)),
IF($D547="폐업",INDEX(폐업정보!$D$3:$R$3000,MATCH($F547,폐업정보!$I$3:$I$3000,0),MATCH(H$4,폐업정보!$D$3:$R$3,0)),
"Error"))</f>
        <v>46015</v>
      </c>
      <c r="I547" s="75" t="str">
        <f aca="false">
IF($D547="정상",INDEX(임대자산!$D$3:$R$3000,MATCH($F547,임대자산!$I$3:$I$3000,0),MATCH(I$4,임대자산!$D$3:$R$3,0)),
IF($D547="폐업",INDEX(폐업정보!$D$3:$R$3000,MATCH($F547,폐업정보!$I$3:$I$3000,0),MATCH(I$4,폐업정보!$D$3:$R$3,0)),
"Error"))</f>
        <v>A0542</v>
      </c>
      <c r="J547" s="75" t="str">
        <f aca="false">
IF($D547="정상",INDEX(임대자산!$D$3:$R$3000,MATCH($F547,임대자산!$I$3:$I$3000,0),MATCH(J$4,임대자산!$D$3:$R$3,0)),
IF($D547="폐업",INDEX(폐업정보!$D$3:$R$3000,MATCH($F547,폐업정보!$I$3:$I$3000,0),MATCH(J$4,폐업정보!$D$3:$R$3,0)),
"Error"))</f>
        <v>3606600000</v>
      </c>
      <c r="K547" s="75" t="str">
        <f aca="false">
IF($D547="정상",INDEX(임대자산!$D$3:$R$3000,MATCH($F547,임대자산!$I$3:$I$3000,0),MATCH(K$4,임대자산!$D$3:$R$3,0)),
IF($D547="폐업",INDEX(폐업정보!$D$3:$R$3000,MATCH($F547,폐업정보!$I$3:$I$3000,0),MATCH(K$4,폐업정보!$D$3:$R$3,0)),
"Error"))</f>
        <v>C0542</v>
      </c>
      <c r="L547" s="75" t="str">
        <f aca="false">
IF($D547="정상",INDEX(임대자산!$D$3:$R$3000,MATCH($F547,임대자산!$I$3:$I$3000,0),MATCH(L$4,임대자산!$D$3:$R$3,0)),
IF($D547="폐업",INDEX(폐업정보!$D$3:$R$3000,MATCH($F547,폐업정보!$I$3:$I$3000,0),MATCH(L$4,폐업정보!$D$3:$R$3,0)),
"Error"))</f>
        <v>D0542</v>
      </c>
      <c r="M547" s="76" t="s">
        <v>96</v>
      </c>
      <c r="N547" s="77"/>
      <c r="O547" s="78" t="s">
        <v>97</v>
      </c>
      <c r="P547" s="79" t="n">
        <f aca="false">COUNTIFS(임대자산!$I:$I,가맹점정보!F547,임대자산!$N:$N,가맹점정보!P$4)</f>
        <v>0</v>
      </c>
      <c r="Q547" s="80" t="n">
        <f aca="false">COUNTIFS(임대자산!$I:$I,가맹점정보!F547,임대자산!$N:$N,가맹점정보!Q$4)</f>
        <v>0</v>
      </c>
      <c r="R547" s="81" t="n">
        <f aca="false">COUNTIFS(임대자산!$I:$I,가맹점정보!F547,임대자산!$N:$N,가맹점정보!R$4)</f>
        <v>1</v>
      </c>
      <c r="S547" s="82" t="n">
        <v>55000</v>
      </c>
      <c r="T547" s="83" t="n">
        <v>0</v>
      </c>
      <c r="U547" s="80" t="n">
        <f aca="false">SUM(S547:T547)</f>
        <v>55000</v>
      </c>
      <c r="V547" s="84" t="s">
        <v>12</v>
      </c>
      <c r="W547" s="80" t="e">
        <f aca="true">
IF(D547="폐업","폐업",
IF(V547="면제","면제",
IF(AND(V547="정상",COUNTIFS(OFFSET(Y547,0,COUNTA(Y547:AV547)-1,1,-4),"미납")&gt;=3),"장기미납",
IF(AND(V547="정상",OFFSET(Y547,0,COUNTA(Y547:AV547)-1)&gt;=U547),"정상",
IF(AND(V547="정상",OFFSET(Y547,0,COUNTA(Y547:AV547)-1)=0),"정상",
"계약서 미작성")))))</f>
        <v>#VALUE!</v>
      </c>
      <c r="X547" s="81" t="str">
        <f aca="true">
IF(D547="폐업","폐업",
IF(AND(V547="정상",OFFSET(Y547,0,COUNTA(Y547:AV547)-1)="미납"),"미납",
IF(AND(V547="정상",OFFSET(Y547,0,COUNTA(Y547:AV547)-1)=0),"납부 시작 전",
IF(AND(V547="정상",OFFSET(Y547,0,COUNTA(Y547:AV547)-1)&gt;=U547),"정상",
IF(AND(V547="면제",OFFSET(Y547,0,COUNTA(Y547:AV547)-1)="면제"),"면제",
IF(AND(V547="면제",OFFSET(Y547,0,COUNTA(Y547:AV547)-1)=0),"면제",
"확인요청"))))))</f>
        <v>정상</v>
      </c>
      <c r="Y547" s="93" t="n">
        <v>55000</v>
      </c>
      <c r="Z547" s="90" t="n">
        <v>55000</v>
      </c>
      <c r="AA547" s="90" t="n">
        <v>55000</v>
      </c>
      <c r="AB547" s="90" t="n">
        <v>55000</v>
      </c>
      <c r="AC547" s="90" t="n">
        <v>55000</v>
      </c>
      <c r="AD547" s="90" t="n">
        <v>55000</v>
      </c>
      <c r="AE547" s="90" t="n">
        <v>55000</v>
      </c>
      <c r="AF547" s="90" t="n">
        <v>55000</v>
      </c>
      <c r="AG547" s="90" t="n">
        <v>55000</v>
      </c>
      <c r="AH547" s="90" t="n">
        <v>55000</v>
      </c>
      <c r="AI547" s="90" t="n">
        <v>55000</v>
      </c>
      <c r="AJ547" s="91" t="n">
        <v>55000</v>
      </c>
      <c r="AK547" s="89" t="n">
        <v>55000</v>
      </c>
      <c r="AL547" s="90" t="n">
        <v>55000</v>
      </c>
      <c r="AM547" s="90"/>
      <c r="AN547" s="90"/>
      <c r="AO547" s="90"/>
      <c r="AP547" s="90"/>
      <c r="AQ547" s="90"/>
      <c r="AR547" s="90"/>
      <c r="AS547" s="90"/>
      <c r="AT547" s="90"/>
      <c r="AU547" s="90"/>
      <c r="AV547" s="91"/>
      <c r="AX547" s="92"/>
    </row>
    <row r="548" customFormat="false" ht="15.65" hidden="false" customHeight="false" outlineLevel="0" collapsed="false">
      <c r="C548" s="72" t="n">
        <f aca="false">COUNTIFS($D$6:D548,"&lt;&gt;"&amp;"")</f>
        <v>543</v>
      </c>
      <c r="D548" s="73" t="s">
        <v>12</v>
      </c>
      <c r="E548" s="76" t="str">
        <f aca="false">
IF($D548="정상",INDEX(임대자산!$D$3:$R$3000,MATCH($F548,임대자산!$I$3:$I$3000,0),MATCH(E$3,임대자산!$D$3:$R$3,0)),
IF($D548="폐업",INDEX(폐업정보!$D$3:$R$3000,MATCH($F548,폐업정보!$I$3:$I$3000,0),MATCH(E$3,폐업정보!$D$3:$R$3,0)),
"Error"))</f>
        <v>경상</v>
      </c>
      <c r="F54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B0543</v>
      </c>
      <c r="G548" s="76" t="str">
        <f aca="false">F548&amp;RANDBETWEEN(0,10)</f>
        <v>B05432</v>
      </c>
      <c r="H548" s="75" t="n">
        <f aca="false">
IF($D548="정상",INDEX(임대자산!$D$3:$R$3000,MATCH($F548,임대자산!$I$3:$I$3000,0),MATCH(H$4,임대자산!$D$3:$R$3,0)),
IF($D548="폐업",INDEX(폐업정보!$D$3:$R$3000,MATCH($F548,폐업정보!$I$3:$I$3000,0),MATCH(H$4,폐업정보!$D$3:$R$3,0)),
"Error"))</f>
        <v>46015</v>
      </c>
      <c r="I548" s="75" t="str">
        <f aca="false">
IF($D548="정상",INDEX(임대자산!$D$3:$R$3000,MATCH($F548,임대자산!$I$3:$I$3000,0),MATCH(I$4,임대자산!$D$3:$R$3,0)),
IF($D548="폐업",INDEX(폐업정보!$D$3:$R$3000,MATCH($F548,폐업정보!$I$3:$I$3000,0),MATCH(I$4,폐업정보!$D$3:$R$3,0)),
"Error"))</f>
        <v>A0543</v>
      </c>
      <c r="J548" s="75" t="str">
        <f aca="false">
IF($D548="정상",INDEX(임대자산!$D$3:$R$3000,MATCH($F548,임대자산!$I$3:$I$3000,0),MATCH(J$4,임대자산!$D$3:$R$3,0)),
IF($D548="폐업",INDEX(폐업정보!$D$3:$R$3000,MATCH($F548,폐업정보!$I$3:$I$3000,0),MATCH(J$4,폐업정보!$D$3:$R$3,0)),
"Error"))</f>
        <v>5266300000</v>
      </c>
      <c r="K548" s="75" t="str">
        <f aca="false">
IF($D548="정상",INDEX(임대자산!$D$3:$R$3000,MATCH($F548,임대자산!$I$3:$I$3000,0),MATCH(K$4,임대자산!$D$3:$R$3,0)),
IF($D548="폐업",INDEX(폐업정보!$D$3:$R$3000,MATCH($F548,폐업정보!$I$3:$I$3000,0),MATCH(K$4,폐업정보!$D$3:$R$3,0)),
"Error"))</f>
        <v>C0543</v>
      </c>
      <c r="L548" s="75" t="str">
        <f aca="false">
IF($D548="정상",INDEX(임대자산!$D$3:$R$3000,MATCH($F548,임대자산!$I$3:$I$3000,0),MATCH(L$4,임대자산!$D$3:$R$3,0)),
IF($D548="폐업",INDEX(폐업정보!$D$3:$R$3000,MATCH($F548,폐업정보!$I$3:$I$3000,0),MATCH(L$4,폐업정보!$D$3:$R$3,0)),
"Error"))</f>
        <v>D0543</v>
      </c>
      <c r="M548" s="76" t="s">
        <v>96</v>
      </c>
      <c r="N548" s="77"/>
      <c r="O548" s="78" t="s">
        <v>97</v>
      </c>
      <c r="P548" s="79" t="n">
        <f aca="false">COUNTIFS(임대자산!$I:$I,가맹점정보!F548,임대자산!$N:$N,가맹점정보!P$4)</f>
        <v>0</v>
      </c>
      <c r="Q548" s="80" t="n">
        <f aca="false">COUNTIFS(임대자산!$I:$I,가맹점정보!F548,임대자산!$N:$N,가맹점정보!Q$4)</f>
        <v>0</v>
      </c>
      <c r="R548" s="81" t="n">
        <f aca="false">COUNTIFS(임대자산!$I:$I,가맹점정보!F548,임대자산!$N:$N,가맹점정보!R$4)</f>
        <v>1</v>
      </c>
      <c r="S548" s="82" t="n">
        <v>55000</v>
      </c>
      <c r="T548" s="83" t="n">
        <v>0</v>
      </c>
      <c r="U548" s="80" t="n">
        <f aca="false">SUM(S548:T548)</f>
        <v>55000</v>
      </c>
      <c r="V548" s="84" t="s">
        <v>12</v>
      </c>
      <c r="W548" s="80" t="e">
        <f aca="true">
IF(D548="폐업","폐업",
IF(V548="면제","면제",
IF(AND(V548="정상",COUNTIFS(OFFSET(Y548,0,COUNTA(Y548:AV548)-1,1,-4),"미납")&gt;=3),"장기미납",
IF(AND(V548="정상",OFFSET(Y548,0,COUNTA(Y548:AV548)-1)&gt;=U548),"정상",
IF(AND(V548="정상",OFFSET(Y548,0,COUNTA(Y548:AV548)-1)=0),"정상",
"계약서 미작성")))))</f>
        <v>#VALUE!</v>
      </c>
      <c r="X548" s="81" t="str">
        <f aca="true">
IF(D548="폐업","폐업",
IF(AND(V548="정상",OFFSET(Y548,0,COUNTA(Y548:AV548)-1)="미납"),"미납",
IF(AND(V548="정상",OFFSET(Y548,0,COUNTA(Y548:AV548)-1)=0),"납부 시작 전",
IF(AND(V548="정상",OFFSET(Y548,0,COUNTA(Y548:AV548)-1)&gt;=U548),"정상",
IF(AND(V548="면제",OFFSET(Y548,0,COUNTA(Y548:AV548)-1)="면제"),"면제",
IF(AND(V548="면제",OFFSET(Y548,0,COUNTA(Y548:AV548)-1)=0),"면제",
"확인요청"))))))</f>
        <v>정상</v>
      </c>
      <c r="Y548" s="93" t="n">
        <v>55000</v>
      </c>
      <c r="Z548" s="90" t="n">
        <v>55000</v>
      </c>
      <c r="AA548" s="90" t="n">
        <v>55000</v>
      </c>
      <c r="AB548" s="90" t="n">
        <v>55000</v>
      </c>
      <c r="AC548" s="90" t="n">
        <v>55000</v>
      </c>
      <c r="AD548" s="90" t="n">
        <v>55000</v>
      </c>
      <c r="AE548" s="90" t="n">
        <v>55000</v>
      </c>
      <c r="AF548" s="90" t="n">
        <v>55000</v>
      </c>
      <c r="AG548" s="90" t="n">
        <v>55000</v>
      </c>
      <c r="AH548" s="90" t="n">
        <v>55000</v>
      </c>
      <c r="AI548" s="90" t="n">
        <v>55000</v>
      </c>
      <c r="AJ548" s="91" t="n">
        <v>55000</v>
      </c>
      <c r="AK548" s="89" t="n">
        <v>55000</v>
      </c>
      <c r="AL548" s="90" t="n">
        <v>55000</v>
      </c>
      <c r="AM548" s="90"/>
      <c r="AN548" s="90"/>
      <c r="AO548" s="90"/>
      <c r="AP548" s="90"/>
      <c r="AQ548" s="90"/>
      <c r="AR548" s="90"/>
      <c r="AS548" s="90"/>
      <c r="AT548" s="90"/>
      <c r="AU548" s="90"/>
      <c r="AV548" s="91"/>
      <c r="AX548" s="92"/>
    </row>
    <row r="549" customFormat="false" ht="15.65" hidden="false" customHeight="false" outlineLevel="0" collapsed="false">
      <c r="C549" s="72" t="n">
        <f aca="false">COUNTIFS($D$6:D549,"&lt;&gt;"&amp;"")</f>
        <v>544</v>
      </c>
      <c r="D549" s="73" t="s">
        <v>12</v>
      </c>
      <c r="E549" s="76" t="str">
        <f aca="false">
IF($D549="정상",INDEX(임대자산!$D$3:$R$3000,MATCH($F549,임대자산!$I$3:$I$3000,0),MATCH(E$3,임대자산!$D$3:$R$3,0)),
IF($D549="폐업",INDEX(폐업정보!$D$3:$R$3000,MATCH($F549,폐업정보!$I$3:$I$3000,0),MATCH(E$3,폐업정보!$D$3:$R$3,0)),
"Error"))</f>
        <v>경상</v>
      </c>
      <c r="F54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B0544</v>
      </c>
      <c r="G549" s="76" t="str">
        <f aca="false">F549&amp;RANDBETWEEN(0,10)</f>
        <v>B05444</v>
      </c>
      <c r="H549" s="75" t="n">
        <f aca="false">
IF($D549="정상",INDEX(임대자산!$D$3:$R$3000,MATCH($F549,임대자산!$I$3:$I$3000,0),MATCH(H$4,임대자산!$D$3:$R$3,0)),
IF($D549="폐업",INDEX(폐업정보!$D$3:$R$3000,MATCH($F549,폐업정보!$I$3:$I$3000,0),MATCH(H$4,폐업정보!$D$3:$R$3,0)),
"Error"))</f>
        <v>46031</v>
      </c>
      <c r="I549" s="75" t="str">
        <f aca="false">
IF($D549="정상",INDEX(임대자산!$D$3:$R$3000,MATCH($F549,임대자산!$I$3:$I$3000,0),MATCH(I$4,임대자산!$D$3:$R$3,0)),
IF($D549="폐업",INDEX(폐업정보!$D$3:$R$3000,MATCH($F549,폐업정보!$I$3:$I$3000,0),MATCH(I$4,폐업정보!$D$3:$R$3,0)),
"Error"))</f>
        <v>A0544</v>
      </c>
      <c r="J549" s="75" t="str">
        <f aca="false">
IF($D549="정상",INDEX(임대자산!$D$3:$R$3000,MATCH($F549,임대자산!$I$3:$I$3000,0),MATCH(J$4,임대자산!$D$3:$R$3,0)),
IF($D549="폐업",INDEX(폐업정보!$D$3:$R$3000,MATCH($F549,폐업정보!$I$3:$I$3000,0),MATCH(J$4,폐업정보!$D$3:$R$3,0)),
"Error"))</f>
        <v>9384800000</v>
      </c>
      <c r="K549" s="75" t="str">
        <f aca="false">
IF($D549="정상",INDEX(임대자산!$D$3:$R$3000,MATCH($F549,임대자산!$I$3:$I$3000,0),MATCH(K$4,임대자산!$D$3:$R$3,0)),
IF($D549="폐업",INDEX(폐업정보!$D$3:$R$3000,MATCH($F549,폐업정보!$I$3:$I$3000,0),MATCH(K$4,폐업정보!$D$3:$R$3,0)),
"Error"))</f>
        <v>C0544</v>
      </c>
      <c r="L549" s="75" t="str">
        <f aca="false">
IF($D549="정상",INDEX(임대자산!$D$3:$R$3000,MATCH($F549,임대자산!$I$3:$I$3000,0),MATCH(L$4,임대자산!$D$3:$R$3,0)),
IF($D549="폐업",INDEX(폐업정보!$D$3:$R$3000,MATCH($F549,폐업정보!$I$3:$I$3000,0),MATCH(L$4,폐업정보!$D$3:$R$3,0)),
"Error"))</f>
        <v>D0544</v>
      </c>
      <c r="M549" s="76" t="s">
        <v>96</v>
      </c>
      <c r="N549" s="77"/>
      <c r="O549" s="78" t="s">
        <v>97</v>
      </c>
      <c r="P549" s="79" t="n">
        <f aca="false">COUNTIFS(임대자산!$I:$I,가맹점정보!F549,임대자산!$N:$N,가맹점정보!P$4)</f>
        <v>0</v>
      </c>
      <c r="Q549" s="80" t="n">
        <f aca="false">COUNTIFS(임대자산!$I:$I,가맹점정보!F549,임대자산!$N:$N,가맹점정보!Q$4)</f>
        <v>0</v>
      </c>
      <c r="R549" s="81" t="n">
        <f aca="false">COUNTIFS(임대자산!$I:$I,가맹점정보!F549,임대자산!$N:$N,가맹점정보!R$4)</f>
        <v>1</v>
      </c>
      <c r="S549" s="82" t="n">
        <v>55000</v>
      </c>
      <c r="T549" s="83" t="n">
        <v>0</v>
      </c>
      <c r="U549" s="80" t="n">
        <f aca="false">SUM(S549:T549)</f>
        <v>55000</v>
      </c>
      <c r="V549" s="84" t="s">
        <v>12</v>
      </c>
      <c r="W549" s="80" t="e">
        <f aca="true">
IF(D549="폐업","폐업",
IF(V549="면제","면제",
IF(AND(V549="정상",COUNTIFS(OFFSET(Y549,0,COUNTA(Y549:AV549)-1,1,-4),"미납")&gt;=3),"장기미납",
IF(AND(V549="정상",OFFSET(Y549,0,COUNTA(Y549:AV549)-1)&gt;=U549),"정상",
IF(AND(V549="정상",OFFSET(Y549,0,COUNTA(Y549:AV549)-1)=0),"정상",
"계약서 미작성")))))</f>
        <v>#VALUE!</v>
      </c>
      <c r="X549" s="81" t="str">
        <f aca="true">
IF(D549="폐업","폐업",
IF(AND(V549="정상",OFFSET(Y549,0,COUNTA(Y549:AV549)-1)="미납"),"미납",
IF(AND(V549="정상",OFFSET(Y549,0,COUNTA(Y549:AV549)-1)=0),"납부 시작 전",
IF(AND(V549="정상",OFFSET(Y549,0,COUNTA(Y549:AV549)-1)&gt;=U549),"정상",
IF(AND(V549="면제",OFFSET(Y549,0,COUNTA(Y549:AV549)-1)="면제"),"면제",
IF(AND(V549="면제",OFFSET(Y549,0,COUNTA(Y549:AV549)-1)=0),"면제",
"확인요청"))))))</f>
        <v>정상</v>
      </c>
      <c r="Y549" s="93" t="n">
        <v>55000</v>
      </c>
      <c r="Z549" s="90" t="n">
        <v>55000</v>
      </c>
      <c r="AA549" s="90" t="n">
        <v>55000</v>
      </c>
      <c r="AB549" s="90" t="n">
        <v>55000</v>
      </c>
      <c r="AC549" s="90" t="n">
        <v>55000</v>
      </c>
      <c r="AD549" s="90" t="n">
        <v>55000</v>
      </c>
      <c r="AE549" s="90" t="n">
        <v>55000</v>
      </c>
      <c r="AF549" s="90" t="n">
        <v>55000</v>
      </c>
      <c r="AG549" s="90" t="n">
        <v>55000</v>
      </c>
      <c r="AH549" s="90" t="n">
        <v>55000</v>
      </c>
      <c r="AI549" s="90" t="n">
        <v>55000</v>
      </c>
      <c r="AJ549" s="91" t="n">
        <v>55000</v>
      </c>
      <c r="AK549" s="89" t="n">
        <v>55000</v>
      </c>
      <c r="AL549" s="90" t="n">
        <v>55000</v>
      </c>
      <c r="AM549" s="90"/>
      <c r="AN549" s="90"/>
      <c r="AO549" s="90"/>
      <c r="AP549" s="90"/>
      <c r="AQ549" s="90"/>
      <c r="AR549" s="90"/>
      <c r="AS549" s="90"/>
      <c r="AT549" s="90"/>
      <c r="AU549" s="90"/>
      <c r="AV549" s="91"/>
      <c r="AX549" s="92"/>
    </row>
    <row r="550" customFormat="false" ht="15.65" hidden="false" customHeight="false" outlineLevel="0" collapsed="false">
      <c r="C550" s="72" t="n">
        <f aca="false">COUNTIFS($D$6:D550,"&lt;&gt;"&amp;"")</f>
        <v>545</v>
      </c>
      <c r="D550" s="73" t="s">
        <v>12</v>
      </c>
      <c r="E550" s="76" t="str">
        <f aca="false">
IF($D550="정상",INDEX(임대자산!$D$3:$R$3000,MATCH($F550,임대자산!$I$3:$I$3000,0),MATCH(E$3,임대자산!$D$3:$R$3,0)),
IF($D550="폐업",INDEX(폐업정보!$D$3:$R$3000,MATCH($F550,폐업정보!$I$3:$I$3000,0),MATCH(E$3,폐업정보!$D$3:$R$3,0)),
"Error"))</f>
        <v>경기</v>
      </c>
      <c r="F55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B0545</v>
      </c>
      <c r="G550" s="76" t="str">
        <f aca="false">F550&amp;RANDBETWEEN(0,10)</f>
        <v>B05451</v>
      </c>
      <c r="H550" s="75" t="n">
        <f aca="false">
IF($D550="정상",INDEX(임대자산!$D$3:$R$3000,MATCH($F550,임대자산!$I$3:$I$3000,0),MATCH(H$4,임대자산!$D$3:$R$3,0)),
IF($D550="폐업",INDEX(폐업정보!$D$3:$R$3000,MATCH($F550,폐업정보!$I$3:$I$3000,0),MATCH(H$4,폐업정보!$D$3:$R$3,0)),
"Error"))</f>
        <v>46038</v>
      </c>
      <c r="I550" s="75" t="str">
        <f aca="false">
IF($D550="정상",INDEX(임대자산!$D$3:$R$3000,MATCH($F550,임대자산!$I$3:$I$3000,0),MATCH(I$4,임대자산!$D$3:$R$3,0)),
IF($D550="폐업",INDEX(폐업정보!$D$3:$R$3000,MATCH($F550,폐업정보!$I$3:$I$3000,0),MATCH(I$4,폐업정보!$D$3:$R$3,0)),
"Error"))</f>
        <v>A0545</v>
      </c>
      <c r="J550" s="75" t="str">
        <f aca="false">
IF($D550="정상",INDEX(임대자산!$D$3:$R$3000,MATCH($F550,임대자산!$I$3:$I$3000,0),MATCH(J$4,임대자산!$D$3:$R$3,0)),
IF($D550="폐업",INDEX(폐업정보!$D$3:$R$3000,MATCH($F550,폐업정보!$I$3:$I$3000,0),MATCH(J$4,폐업정보!$D$3:$R$3,0)),
"Error"))</f>
        <v>7780100000</v>
      </c>
      <c r="K550" s="75" t="str">
        <f aca="false">
IF($D550="정상",INDEX(임대자산!$D$3:$R$3000,MATCH($F550,임대자산!$I$3:$I$3000,0),MATCH(K$4,임대자산!$D$3:$R$3,0)),
IF($D550="폐업",INDEX(폐업정보!$D$3:$R$3000,MATCH($F550,폐업정보!$I$3:$I$3000,0),MATCH(K$4,폐업정보!$D$3:$R$3,0)),
"Error"))</f>
        <v>C0545</v>
      </c>
      <c r="L550" s="75" t="str">
        <f aca="false">
IF($D550="정상",INDEX(임대자산!$D$3:$R$3000,MATCH($F550,임대자산!$I$3:$I$3000,0),MATCH(L$4,임대자산!$D$3:$R$3,0)),
IF($D550="폐업",INDEX(폐업정보!$D$3:$R$3000,MATCH($F550,폐업정보!$I$3:$I$3000,0),MATCH(L$4,폐업정보!$D$3:$R$3,0)),
"Error"))</f>
        <v>D0545</v>
      </c>
      <c r="M550" s="76" t="s">
        <v>96</v>
      </c>
      <c r="N550" s="77"/>
      <c r="O550" s="78" t="s">
        <v>97</v>
      </c>
      <c r="P550" s="79" t="n">
        <f aca="false">COUNTIFS(임대자산!$I:$I,가맹점정보!F550,임대자산!$N:$N,가맹점정보!P$4)</f>
        <v>0</v>
      </c>
      <c r="Q550" s="80" t="n">
        <f aca="false">COUNTIFS(임대자산!$I:$I,가맹점정보!F550,임대자산!$N:$N,가맹점정보!Q$4)</f>
        <v>0</v>
      </c>
      <c r="R550" s="81" t="n">
        <f aca="false">COUNTIFS(임대자산!$I:$I,가맹점정보!F550,임대자산!$N:$N,가맹점정보!R$4)</f>
        <v>1</v>
      </c>
      <c r="S550" s="82" t="n">
        <v>55000</v>
      </c>
      <c r="T550" s="83" t="n">
        <v>0</v>
      </c>
      <c r="U550" s="80" t="n">
        <f aca="false">SUM(S550:T550)</f>
        <v>55000</v>
      </c>
      <c r="V550" s="84" t="s">
        <v>12</v>
      </c>
      <c r="W550" s="80" t="e">
        <f aca="true">
IF(D550="폐업","폐업",
IF(V550="면제","면제",
IF(AND(V550="정상",COUNTIFS(OFFSET(Y550,0,COUNTA(Y550:AV550)-1,1,-4),"미납")&gt;=3),"장기미납",
IF(AND(V550="정상",OFFSET(Y550,0,COUNTA(Y550:AV550)-1)&gt;=U550),"정상",
IF(AND(V550="정상",OFFSET(Y550,0,COUNTA(Y550:AV550)-1)=0),"정상",
"계약서 미작성")))))</f>
        <v>#VALUE!</v>
      </c>
      <c r="X550" s="81" t="str">
        <f aca="true">
IF(D550="폐업","폐업",
IF(AND(V550="정상",OFFSET(Y550,0,COUNTA(Y550:AV550)-1)="미납"),"미납",
IF(AND(V550="정상",OFFSET(Y550,0,COUNTA(Y550:AV550)-1)=0),"납부 시작 전",
IF(AND(V550="정상",OFFSET(Y550,0,COUNTA(Y550:AV550)-1)&gt;=U550),"정상",
IF(AND(V550="면제",OFFSET(Y550,0,COUNTA(Y550:AV550)-1)="면제"),"면제",
IF(AND(V550="면제",OFFSET(Y550,0,COUNTA(Y550:AV550)-1)=0),"면제",
"확인요청"))))))</f>
        <v>정상</v>
      </c>
      <c r="Y550" s="93" t="n">
        <v>55000</v>
      </c>
      <c r="Z550" s="90" t="n">
        <v>55000</v>
      </c>
      <c r="AA550" s="90" t="n">
        <v>55000</v>
      </c>
      <c r="AB550" s="90" t="n">
        <v>55000</v>
      </c>
      <c r="AC550" s="90" t="n">
        <v>55000</v>
      </c>
      <c r="AD550" s="90" t="n">
        <v>55000</v>
      </c>
      <c r="AE550" s="90" t="n">
        <v>55000</v>
      </c>
      <c r="AF550" s="90" t="n">
        <v>55000</v>
      </c>
      <c r="AG550" s="90" t="n">
        <v>55000</v>
      </c>
      <c r="AH550" s="90" t="n">
        <v>55000</v>
      </c>
      <c r="AI550" s="90" t="n">
        <v>55000</v>
      </c>
      <c r="AJ550" s="91" t="n">
        <v>55000</v>
      </c>
      <c r="AK550" s="89" t="n">
        <v>55000</v>
      </c>
      <c r="AL550" s="90" t="n">
        <v>55000</v>
      </c>
      <c r="AM550" s="90"/>
      <c r="AN550" s="90"/>
      <c r="AO550" s="90"/>
      <c r="AP550" s="90"/>
      <c r="AQ550" s="90"/>
      <c r="AR550" s="90"/>
      <c r="AS550" s="90"/>
      <c r="AT550" s="90"/>
      <c r="AU550" s="90"/>
      <c r="AV550" s="91"/>
      <c r="AX550" s="92"/>
    </row>
    <row r="551" customFormat="false" ht="15.65" hidden="false" customHeight="false" outlineLevel="0" collapsed="false">
      <c r="C551" s="72" t="n">
        <f aca="false">COUNTIFS($D$6:D551,"&lt;&gt;"&amp;"")</f>
        <v>546</v>
      </c>
      <c r="D551" s="73" t="s">
        <v>12</v>
      </c>
      <c r="E551" s="76" t="str">
        <f aca="false">
IF($D551="정상",INDEX(임대자산!$D$3:$R$3000,MATCH($F551,임대자산!$I$3:$I$3000,0),MATCH(E$3,임대자산!$D$3:$R$3,0)),
IF($D551="폐업",INDEX(폐업정보!$D$3:$R$3000,MATCH($F551,폐업정보!$I$3:$I$3000,0),MATCH(E$3,폐업정보!$D$3:$R$3,0)),
"Error"))</f>
        <v>경상</v>
      </c>
      <c r="F55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B0546</v>
      </c>
      <c r="G551" s="76" t="str">
        <f aca="false">F551&amp;RANDBETWEEN(0,10)</f>
        <v>B05461</v>
      </c>
      <c r="H551" s="75" t="n">
        <f aca="false">
IF($D551="정상",INDEX(임대자산!$D$3:$R$3000,MATCH($F551,임대자산!$I$3:$I$3000,0),MATCH(H$4,임대자산!$D$3:$R$3,0)),
IF($D551="폐업",INDEX(폐업정보!$D$3:$R$3000,MATCH($F551,폐업정보!$I$3:$I$3000,0),MATCH(H$4,폐업정보!$D$3:$R$3,0)),
"Error"))</f>
        <v>46034</v>
      </c>
      <c r="I551" s="75" t="str">
        <f aca="false">
IF($D551="정상",INDEX(임대자산!$D$3:$R$3000,MATCH($F551,임대자산!$I$3:$I$3000,0),MATCH(I$4,임대자산!$D$3:$R$3,0)),
IF($D551="폐업",INDEX(폐업정보!$D$3:$R$3000,MATCH($F551,폐업정보!$I$3:$I$3000,0),MATCH(I$4,폐업정보!$D$3:$R$3,0)),
"Error"))</f>
        <v>A0546</v>
      </c>
      <c r="J551" s="75" t="str">
        <f aca="false">
IF($D551="정상",INDEX(임대자산!$D$3:$R$3000,MATCH($F551,임대자산!$I$3:$I$3000,0),MATCH(J$4,임대자산!$D$3:$R$3,0)),
IF($D551="폐업",INDEX(폐업정보!$D$3:$R$3000,MATCH($F551,폐업정보!$I$3:$I$3000,0),MATCH(J$4,폐업정보!$D$3:$R$3,0)),
"Error"))</f>
        <v>6780400000</v>
      </c>
      <c r="K551" s="75" t="str">
        <f aca="false">
IF($D551="정상",INDEX(임대자산!$D$3:$R$3000,MATCH($F551,임대자산!$I$3:$I$3000,0),MATCH(K$4,임대자산!$D$3:$R$3,0)),
IF($D551="폐업",INDEX(폐업정보!$D$3:$R$3000,MATCH($F551,폐업정보!$I$3:$I$3000,0),MATCH(K$4,폐업정보!$D$3:$R$3,0)),
"Error"))</f>
        <v>C0546</v>
      </c>
      <c r="L551" s="75" t="str">
        <f aca="false">
IF($D551="정상",INDEX(임대자산!$D$3:$R$3000,MATCH($F551,임대자산!$I$3:$I$3000,0),MATCH(L$4,임대자산!$D$3:$R$3,0)),
IF($D551="폐업",INDEX(폐업정보!$D$3:$R$3000,MATCH($F551,폐업정보!$I$3:$I$3000,0),MATCH(L$4,폐업정보!$D$3:$R$3,0)),
"Error"))</f>
        <v>D0546</v>
      </c>
      <c r="M551" s="76" t="s">
        <v>96</v>
      </c>
      <c r="N551" s="77"/>
      <c r="O551" s="78" t="s">
        <v>97</v>
      </c>
      <c r="P551" s="79" t="n">
        <f aca="false">COUNTIFS(임대자산!$I:$I,가맹점정보!F551,임대자산!$N:$N,가맹점정보!P$4)</f>
        <v>0</v>
      </c>
      <c r="Q551" s="80" t="n">
        <f aca="false">COUNTIFS(임대자산!$I:$I,가맹점정보!F551,임대자산!$N:$N,가맹점정보!Q$4)</f>
        <v>0</v>
      </c>
      <c r="R551" s="81" t="n">
        <f aca="false">COUNTIFS(임대자산!$I:$I,가맹점정보!F551,임대자산!$N:$N,가맹점정보!R$4)</f>
        <v>1</v>
      </c>
      <c r="S551" s="82" t="n">
        <v>55000</v>
      </c>
      <c r="T551" s="83" t="n">
        <v>0</v>
      </c>
      <c r="U551" s="80" t="n">
        <f aca="false">SUM(S551:T551)</f>
        <v>55000</v>
      </c>
      <c r="V551" s="84" t="s">
        <v>12</v>
      </c>
      <c r="W551" s="80" t="e">
        <f aca="true">
IF(D551="폐업","폐업",
IF(V551="면제","면제",
IF(AND(V551="정상",COUNTIFS(OFFSET(Y551,0,COUNTA(Y551:AV551)-1,1,-4),"미납")&gt;=3),"장기미납",
IF(AND(V551="정상",OFFSET(Y551,0,COUNTA(Y551:AV551)-1)&gt;=U551),"정상",
IF(AND(V551="정상",OFFSET(Y551,0,COUNTA(Y551:AV551)-1)=0),"정상",
"계약서 미작성")))))</f>
        <v>#VALUE!</v>
      </c>
      <c r="X551" s="81" t="str">
        <f aca="true">
IF(D551="폐업","폐업",
IF(AND(V551="정상",OFFSET(Y551,0,COUNTA(Y551:AV551)-1)="미납"),"미납",
IF(AND(V551="정상",OFFSET(Y551,0,COUNTA(Y551:AV551)-1)=0),"납부 시작 전",
IF(AND(V551="정상",OFFSET(Y551,0,COUNTA(Y551:AV551)-1)&gt;=U551),"정상",
IF(AND(V551="면제",OFFSET(Y551,0,COUNTA(Y551:AV551)-1)="면제"),"면제",
IF(AND(V551="면제",OFFSET(Y551,0,COUNTA(Y551:AV551)-1)=0),"면제",
"확인요청"))))))</f>
        <v>정상</v>
      </c>
      <c r="Y551" s="93" t="n">
        <v>55000</v>
      </c>
      <c r="Z551" s="90" t="n">
        <v>55000</v>
      </c>
      <c r="AA551" s="90" t="n">
        <v>55000</v>
      </c>
      <c r="AB551" s="90" t="n">
        <v>55000</v>
      </c>
      <c r="AC551" s="90" t="n">
        <v>55000</v>
      </c>
      <c r="AD551" s="90" t="n">
        <v>55000</v>
      </c>
      <c r="AE551" s="90" t="n">
        <v>55000</v>
      </c>
      <c r="AF551" s="90" t="n">
        <v>55000</v>
      </c>
      <c r="AG551" s="90" t="n">
        <v>55000</v>
      </c>
      <c r="AH551" s="90" t="n">
        <v>55000</v>
      </c>
      <c r="AI551" s="90" t="n">
        <v>55000</v>
      </c>
      <c r="AJ551" s="91" t="n">
        <v>55000</v>
      </c>
      <c r="AK551" s="89" t="n">
        <v>55000</v>
      </c>
      <c r="AL551" s="90" t="n">
        <v>55000</v>
      </c>
      <c r="AM551" s="90"/>
      <c r="AN551" s="90"/>
      <c r="AO551" s="90"/>
      <c r="AP551" s="90"/>
      <c r="AQ551" s="90"/>
      <c r="AR551" s="90"/>
      <c r="AS551" s="90"/>
      <c r="AT551" s="90"/>
      <c r="AU551" s="90"/>
      <c r="AV551" s="91"/>
      <c r="AX551" s="92"/>
    </row>
    <row r="552" customFormat="false" ht="15.65" hidden="false" customHeight="false" outlineLevel="0" collapsed="false">
      <c r="C552" s="72" t="n">
        <f aca="false">COUNTIFS($D$6:D552,"&lt;&gt;"&amp;"")</f>
        <v>547</v>
      </c>
      <c r="D552" s="73" t="s">
        <v>12</v>
      </c>
      <c r="E552" s="76" t="str">
        <f aca="false">
IF($D552="정상",INDEX(임대자산!$D$3:$R$3000,MATCH($F552,임대자산!$I$3:$I$3000,0),MATCH(E$3,임대자산!$D$3:$R$3,0)),
IF($D552="폐업",INDEX(폐업정보!$D$3:$R$3000,MATCH($F552,폐업정보!$I$3:$I$3000,0),MATCH(E$3,폐업정보!$D$3:$R$3,0)),
"Error"))</f>
        <v>전라</v>
      </c>
      <c r="F55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B0547</v>
      </c>
      <c r="G552" s="76" t="str">
        <f aca="false">F552&amp;RANDBETWEEN(0,10)</f>
        <v>B05474</v>
      </c>
      <c r="H552" s="75" t="n">
        <f aca="false">
IF($D552="정상",INDEX(임대자산!$D$3:$R$3000,MATCH($F552,임대자산!$I$3:$I$3000,0),MATCH(H$4,임대자산!$D$3:$R$3,0)),
IF($D552="폐업",INDEX(폐업정보!$D$3:$R$3000,MATCH($F552,폐업정보!$I$3:$I$3000,0),MATCH(H$4,폐업정보!$D$3:$R$3,0)),
"Error"))</f>
        <v>46050</v>
      </c>
      <c r="I552" s="75" t="str">
        <f aca="false">
IF($D552="정상",INDEX(임대자산!$D$3:$R$3000,MATCH($F552,임대자산!$I$3:$I$3000,0),MATCH(I$4,임대자산!$D$3:$R$3,0)),
IF($D552="폐업",INDEX(폐업정보!$D$3:$R$3000,MATCH($F552,폐업정보!$I$3:$I$3000,0),MATCH(I$4,폐업정보!$D$3:$R$3,0)),
"Error"))</f>
        <v>A0547</v>
      </c>
      <c r="J552" s="75" t="str">
        <f aca="false">
IF($D552="정상",INDEX(임대자산!$D$3:$R$3000,MATCH($F552,임대자산!$I$3:$I$3000,0),MATCH(J$4,임대자산!$D$3:$R$3,0)),
IF($D552="폐업",INDEX(폐업정보!$D$3:$R$3000,MATCH($F552,폐업정보!$I$3:$I$3000,0),MATCH(J$4,폐업정보!$D$3:$R$3,0)),
"Error"))</f>
        <v>3522500000</v>
      </c>
      <c r="K552" s="75" t="str">
        <f aca="false">
IF($D552="정상",INDEX(임대자산!$D$3:$R$3000,MATCH($F552,임대자산!$I$3:$I$3000,0),MATCH(K$4,임대자산!$D$3:$R$3,0)),
IF($D552="폐업",INDEX(폐업정보!$D$3:$R$3000,MATCH($F552,폐업정보!$I$3:$I$3000,0),MATCH(K$4,폐업정보!$D$3:$R$3,0)),
"Error"))</f>
        <v>C0547</v>
      </c>
      <c r="L552" s="75" t="str">
        <f aca="false">
IF($D552="정상",INDEX(임대자산!$D$3:$R$3000,MATCH($F552,임대자산!$I$3:$I$3000,0),MATCH(L$4,임대자산!$D$3:$R$3,0)),
IF($D552="폐업",INDEX(폐업정보!$D$3:$R$3000,MATCH($F552,폐업정보!$I$3:$I$3000,0),MATCH(L$4,폐업정보!$D$3:$R$3,0)),
"Error"))</f>
        <v>D0547</v>
      </c>
      <c r="M552" s="76" t="s">
        <v>96</v>
      </c>
      <c r="N552" s="77"/>
      <c r="O552" s="78" t="s">
        <v>97</v>
      </c>
      <c r="P552" s="79" t="n">
        <f aca="false">COUNTIFS(임대자산!$I:$I,가맹점정보!F552,임대자산!$N:$N,가맹점정보!P$4)</f>
        <v>0</v>
      </c>
      <c r="Q552" s="80" t="n">
        <f aca="false">COUNTIFS(임대자산!$I:$I,가맹점정보!F552,임대자산!$N:$N,가맹점정보!Q$4)</f>
        <v>0</v>
      </c>
      <c r="R552" s="81" t="n">
        <f aca="false">COUNTIFS(임대자산!$I:$I,가맹점정보!F552,임대자산!$N:$N,가맹점정보!R$4)</f>
        <v>1</v>
      </c>
      <c r="S552" s="82" t="n">
        <v>55000</v>
      </c>
      <c r="T552" s="83" t="n">
        <v>0</v>
      </c>
      <c r="U552" s="80" t="n">
        <f aca="false">SUM(S552:T552)</f>
        <v>55000</v>
      </c>
      <c r="V552" s="84" t="s">
        <v>12</v>
      </c>
      <c r="W552" s="80" t="e">
        <f aca="true">
IF(D552="폐업","폐업",
IF(V552="면제","면제",
IF(AND(V552="정상",COUNTIFS(OFFSET(Y552,0,COUNTA(Y552:AV552)-1,1,-4),"미납")&gt;=3),"장기미납",
IF(AND(V552="정상",OFFSET(Y552,0,COUNTA(Y552:AV552)-1)&gt;=U552),"정상",
IF(AND(V552="정상",OFFSET(Y552,0,COUNTA(Y552:AV552)-1)=0),"정상",
"계약서 미작성")))))</f>
        <v>#VALUE!</v>
      </c>
      <c r="X552" s="81" t="str">
        <f aca="true">
IF(D552="폐업","폐업",
IF(AND(V552="정상",OFFSET(Y552,0,COUNTA(Y552:AV552)-1)="미납"),"미납",
IF(AND(V552="정상",OFFSET(Y552,0,COUNTA(Y552:AV552)-1)=0),"납부 시작 전",
IF(AND(V552="정상",OFFSET(Y552,0,COUNTA(Y552:AV552)-1)&gt;=U552),"정상",
IF(AND(V552="면제",OFFSET(Y552,0,COUNTA(Y552:AV552)-1)="면제"),"면제",
IF(AND(V552="면제",OFFSET(Y552,0,COUNTA(Y552:AV552)-1)=0),"면제",
"확인요청"))))))</f>
        <v>정상</v>
      </c>
      <c r="Y552" s="93" t="n">
        <v>55000</v>
      </c>
      <c r="Z552" s="90" t="n">
        <v>55000</v>
      </c>
      <c r="AA552" s="90" t="n">
        <v>0</v>
      </c>
      <c r="AB552" s="90" t="n">
        <v>0</v>
      </c>
      <c r="AC552" s="90" t="n">
        <v>0</v>
      </c>
      <c r="AD552" s="95" t="s">
        <v>7</v>
      </c>
      <c r="AE552" s="95" t="s">
        <v>7</v>
      </c>
      <c r="AF552" s="95" t="s">
        <v>7</v>
      </c>
      <c r="AG552" s="90" t="n">
        <v>55000</v>
      </c>
      <c r="AH552" s="90" t="n">
        <v>55000</v>
      </c>
      <c r="AI552" s="90" t="n">
        <v>55000</v>
      </c>
      <c r="AJ552" s="91" t="n">
        <v>55000</v>
      </c>
      <c r="AK552" s="89" t="n">
        <v>55000</v>
      </c>
      <c r="AL552" s="90" t="n">
        <v>55000</v>
      </c>
      <c r="AM552" s="90"/>
      <c r="AN552" s="90"/>
      <c r="AO552" s="90"/>
      <c r="AP552" s="90"/>
      <c r="AQ552" s="90"/>
      <c r="AR552" s="90"/>
      <c r="AS552" s="90"/>
      <c r="AT552" s="90"/>
      <c r="AU552" s="90"/>
      <c r="AV552" s="91"/>
      <c r="AX552" s="92"/>
    </row>
    <row r="553" customFormat="false" ht="15.65" hidden="false" customHeight="false" outlineLevel="0" collapsed="false">
      <c r="C553" s="72" t="n">
        <f aca="false">COUNTIFS($D$6:D553,"&lt;&gt;"&amp;"")</f>
        <v>548</v>
      </c>
      <c r="D553" s="73" t="s">
        <v>12</v>
      </c>
      <c r="E553" s="76" t="str">
        <f aca="false">
IF($D553="정상",INDEX(임대자산!$D$3:$R$3000,MATCH($F553,임대자산!$I$3:$I$3000,0),MATCH(E$3,임대자산!$D$3:$R$3,0)),
IF($D553="폐업",INDEX(폐업정보!$D$3:$R$3000,MATCH($F553,폐업정보!$I$3:$I$3000,0),MATCH(E$3,폐업정보!$D$3:$R$3,0)),
"Error"))</f>
        <v>전라</v>
      </c>
      <c r="F55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B0548</v>
      </c>
      <c r="G553" s="76" t="str">
        <f aca="false">F553&amp;RANDBETWEEN(0,10)</f>
        <v>B05485</v>
      </c>
      <c r="H553" s="75" t="n">
        <f aca="false">
IF($D553="정상",INDEX(임대자산!$D$3:$R$3000,MATCH($F553,임대자산!$I$3:$I$3000,0),MATCH(H$4,임대자산!$D$3:$R$3,0)),
IF($D553="폐업",INDEX(폐업정보!$D$3:$R$3000,MATCH($F553,폐업정보!$I$3:$I$3000,0),MATCH(H$4,폐업정보!$D$3:$R$3,0)),
"Error"))</f>
        <v>46050</v>
      </c>
      <c r="I553" s="75" t="str">
        <f aca="false">
IF($D553="정상",INDEX(임대자산!$D$3:$R$3000,MATCH($F553,임대자산!$I$3:$I$3000,0),MATCH(I$4,임대자산!$D$3:$R$3,0)),
IF($D553="폐업",INDEX(폐업정보!$D$3:$R$3000,MATCH($F553,폐업정보!$I$3:$I$3000,0),MATCH(I$4,폐업정보!$D$3:$R$3,0)),
"Error"))</f>
        <v>A0548</v>
      </c>
      <c r="J553" s="75" t="str">
        <f aca="false">
IF($D553="정상",INDEX(임대자산!$D$3:$R$3000,MATCH($F553,임대자산!$I$3:$I$3000,0),MATCH(J$4,임대자산!$D$3:$R$3,0)),
IF($D553="폐업",INDEX(폐업정보!$D$3:$R$3000,MATCH($F553,폐업정보!$I$3:$I$3000,0),MATCH(J$4,폐업정보!$D$3:$R$3,0)),
"Error"))</f>
        <v>1408100000</v>
      </c>
      <c r="K553" s="75" t="str">
        <f aca="false">
IF($D553="정상",INDEX(임대자산!$D$3:$R$3000,MATCH($F553,임대자산!$I$3:$I$3000,0),MATCH(K$4,임대자산!$D$3:$R$3,0)),
IF($D553="폐업",INDEX(폐업정보!$D$3:$R$3000,MATCH($F553,폐업정보!$I$3:$I$3000,0),MATCH(K$4,폐업정보!$D$3:$R$3,0)),
"Error"))</f>
        <v>C0548</v>
      </c>
      <c r="L553" s="75" t="str">
        <f aca="false">
IF($D553="정상",INDEX(임대자산!$D$3:$R$3000,MATCH($F553,임대자산!$I$3:$I$3000,0),MATCH(L$4,임대자산!$D$3:$R$3,0)),
IF($D553="폐업",INDEX(폐업정보!$D$3:$R$3000,MATCH($F553,폐업정보!$I$3:$I$3000,0),MATCH(L$4,폐업정보!$D$3:$R$3,0)),
"Error"))</f>
        <v>D0548</v>
      </c>
      <c r="M553" s="76" t="s">
        <v>96</v>
      </c>
      <c r="N553" s="77"/>
      <c r="O553" s="78" t="s">
        <v>97</v>
      </c>
      <c r="P553" s="79" t="n">
        <f aca="false">COUNTIFS(임대자산!$I:$I,가맹점정보!F553,임대자산!$N:$N,가맹점정보!P$4)</f>
        <v>0</v>
      </c>
      <c r="Q553" s="80" t="n">
        <f aca="false">COUNTIFS(임대자산!$I:$I,가맹점정보!F553,임대자산!$N:$N,가맹점정보!Q$4)</f>
        <v>0</v>
      </c>
      <c r="R553" s="81" t="n">
        <f aca="false">COUNTIFS(임대자산!$I:$I,가맹점정보!F553,임대자산!$N:$N,가맹점정보!R$4)</f>
        <v>1</v>
      </c>
      <c r="S553" s="82" t="n">
        <v>55000</v>
      </c>
      <c r="T553" s="83" t="n">
        <v>0</v>
      </c>
      <c r="U553" s="80" t="n">
        <f aca="false">SUM(S553:T553)</f>
        <v>55000</v>
      </c>
      <c r="V553" s="84" t="s">
        <v>12</v>
      </c>
      <c r="W553" s="80" t="e">
        <f aca="true">
IF(D553="폐업","폐업",
IF(V553="면제","면제",
IF(AND(V553="정상",COUNTIFS(OFFSET(Y553,0,COUNTA(Y553:AV553)-1,1,-4),"미납")&gt;=3),"장기미납",
IF(AND(V553="정상",OFFSET(Y553,0,COUNTA(Y553:AV553)-1)&gt;=U553),"정상",
IF(AND(V553="정상",OFFSET(Y553,0,COUNTA(Y553:AV553)-1)=0),"정상",
"계약서 미작성")))))</f>
        <v>#VALUE!</v>
      </c>
      <c r="X553" s="81" t="str">
        <f aca="true">
IF(D553="폐업","폐업",
IF(AND(V553="정상",OFFSET(Y553,0,COUNTA(Y553:AV553)-1)="미납"),"미납",
IF(AND(V553="정상",OFFSET(Y553,0,COUNTA(Y553:AV553)-1)=0),"납부 시작 전",
IF(AND(V553="정상",OFFSET(Y553,0,COUNTA(Y553:AV553)-1)&gt;=U553),"정상",
IF(AND(V553="면제",OFFSET(Y553,0,COUNTA(Y553:AV553)-1)="면제"),"면제",
IF(AND(V553="면제",OFFSET(Y553,0,COUNTA(Y553:AV553)-1)=0),"면제",
"확인요청"))))))</f>
        <v>정상</v>
      </c>
      <c r="Y553" s="93" t="n">
        <v>55000</v>
      </c>
      <c r="Z553" s="90" t="n">
        <v>55000</v>
      </c>
      <c r="AA553" s="90" t="n">
        <v>55000</v>
      </c>
      <c r="AB553" s="90" t="n">
        <v>55000</v>
      </c>
      <c r="AC553" s="90" t="n">
        <v>55000</v>
      </c>
      <c r="AD553" s="90" t="n">
        <v>55000</v>
      </c>
      <c r="AE553" s="90" t="n">
        <v>55000</v>
      </c>
      <c r="AF553" s="90" t="n">
        <v>55000</v>
      </c>
      <c r="AG553" s="90" t="n">
        <v>55000</v>
      </c>
      <c r="AH553" s="90" t="n">
        <v>55000</v>
      </c>
      <c r="AI553" s="90" t="n">
        <v>55000</v>
      </c>
      <c r="AJ553" s="91" t="n">
        <v>55000</v>
      </c>
      <c r="AK553" s="89" t="n">
        <v>55000</v>
      </c>
      <c r="AL553" s="90" t="n">
        <v>55000</v>
      </c>
      <c r="AM553" s="90"/>
      <c r="AN553" s="90"/>
      <c r="AO553" s="90"/>
      <c r="AP553" s="90"/>
      <c r="AQ553" s="90"/>
      <c r="AR553" s="90"/>
      <c r="AS553" s="90"/>
      <c r="AT553" s="90"/>
      <c r="AU553" s="90"/>
      <c r="AV553" s="91"/>
      <c r="AX553" s="92"/>
    </row>
    <row r="554" customFormat="false" ht="15.65" hidden="false" customHeight="false" outlineLevel="0" collapsed="false">
      <c r="C554" s="72" t="n">
        <f aca="false">COUNTIFS($D$6:D554,"&lt;&gt;"&amp;"")</f>
        <v>549</v>
      </c>
      <c r="D554" s="73" t="s">
        <v>12</v>
      </c>
      <c r="E554" s="76" t="str">
        <f aca="false">
IF($D554="정상",INDEX(임대자산!$D$3:$R$3000,MATCH($F554,임대자산!$I$3:$I$3000,0),MATCH(E$3,임대자산!$D$3:$R$3,0)),
IF($D554="폐업",INDEX(폐업정보!$D$3:$R$3000,MATCH($F554,폐업정보!$I$3:$I$3000,0),MATCH(E$3,폐업정보!$D$3:$R$3,0)),
"Error"))</f>
        <v>경상</v>
      </c>
      <c r="F55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B0549</v>
      </c>
      <c r="G554" s="76" t="str">
        <f aca="false">F554&amp;RANDBETWEEN(0,10)</f>
        <v>B054910</v>
      </c>
      <c r="H554" s="75" t="n">
        <f aca="false">
IF($D554="정상",INDEX(임대자산!$D$3:$R$3000,MATCH($F554,임대자산!$I$3:$I$3000,0),MATCH(H$4,임대자산!$D$3:$R$3,0)),
IF($D554="폐업",INDEX(폐업정보!$D$3:$R$3000,MATCH($F554,폐업정보!$I$3:$I$3000,0),MATCH(H$4,폐업정보!$D$3:$R$3,0)),
"Error"))</f>
        <v>46038</v>
      </c>
      <c r="I554" s="75" t="str">
        <f aca="false">
IF($D554="정상",INDEX(임대자산!$D$3:$R$3000,MATCH($F554,임대자산!$I$3:$I$3000,0),MATCH(I$4,임대자산!$D$3:$R$3,0)),
IF($D554="폐업",INDEX(폐업정보!$D$3:$R$3000,MATCH($F554,폐업정보!$I$3:$I$3000,0),MATCH(I$4,폐업정보!$D$3:$R$3,0)),
"Error"))</f>
        <v>A0549</v>
      </c>
      <c r="J554" s="75" t="str">
        <f aca="false">
IF($D554="정상",INDEX(임대자산!$D$3:$R$3000,MATCH($F554,임대자산!$I$3:$I$3000,0),MATCH(J$4,임대자산!$D$3:$R$3,0)),
IF($D554="폐업",INDEX(폐업정보!$D$3:$R$3000,MATCH($F554,폐업정보!$I$3:$I$3000,0),MATCH(J$4,폐업정보!$D$3:$R$3,0)),
"Error"))</f>
        <v>7650500000</v>
      </c>
      <c r="K554" s="75" t="str">
        <f aca="false">
IF($D554="정상",INDEX(임대자산!$D$3:$R$3000,MATCH($F554,임대자산!$I$3:$I$3000,0),MATCH(K$4,임대자산!$D$3:$R$3,0)),
IF($D554="폐업",INDEX(폐업정보!$D$3:$R$3000,MATCH($F554,폐업정보!$I$3:$I$3000,0),MATCH(K$4,폐업정보!$D$3:$R$3,0)),
"Error"))</f>
        <v>C0549</v>
      </c>
      <c r="L554" s="75" t="str">
        <f aca="false">
IF($D554="정상",INDEX(임대자산!$D$3:$R$3000,MATCH($F554,임대자산!$I$3:$I$3000,0),MATCH(L$4,임대자산!$D$3:$R$3,0)),
IF($D554="폐업",INDEX(폐업정보!$D$3:$R$3000,MATCH($F554,폐업정보!$I$3:$I$3000,0),MATCH(L$4,폐업정보!$D$3:$R$3,0)),
"Error"))</f>
        <v>D0549</v>
      </c>
      <c r="M554" s="76" t="s">
        <v>96</v>
      </c>
      <c r="N554" s="77"/>
      <c r="O554" s="78" t="s">
        <v>97</v>
      </c>
      <c r="P554" s="79" t="n">
        <f aca="false">COUNTIFS(임대자산!$I:$I,가맹점정보!F554,임대자산!$N:$N,가맹점정보!P$4)</f>
        <v>0</v>
      </c>
      <c r="Q554" s="80" t="n">
        <f aca="false">COUNTIFS(임대자산!$I:$I,가맹점정보!F554,임대자산!$N:$N,가맹점정보!Q$4)</f>
        <v>0</v>
      </c>
      <c r="R554" s="81" t="n">
        <f aca="false">COUNTIFS(임대자산!$I:$I,가맹점정보!F554,임대자산!$N:$N,가맹점정보!R$4)</f>
        <v>1</v>
      </c>
      <c r="S554" s="82" t="n">
        <v>55000</v>
      </c>
      <c r="T554" s="83" t="n">
        <v>0</v>
      </c>
      <c r="U554" s="80" t="n">
        <f aca="false">SUM(S554:T554)</f>
        <v>55000</v>
      </c>
      <c r="V554" s="84" t="s">
        <v>12</v>
      </c>
      <c r="W554" s="80" t="e">
        <f aca="true">
IF(D554="폐업","폐업",
IF(V554="면제","면제",
IF(AND(V554="정상",COUNTIFS(OFFSET(Y554,0,COUNTA(Y554:AV554)-1,1,-4),"미납")&gt;=3),"장기미납",
IF(AND(V554="정상",OFFSET(Y554,0,COUNTA(Y554:AV554)-1)&gt;=U554),"정상",
IF(AND(V554="정상",OFFSET(Y554,0,COUNTA(Y554:AV554)-1)=0),"정상",
"계약서 미작성")))))</f>
        <v>#VALUE!</v>
      </c>
      <c r="X554" s="81" t="str">
        <f aca="true">
IF(D554="폐업","폐업",
IF(AND(V554="정상",OFFSET(Y554,0,COUNTA(Y554:AV554)-1)="미납"),"미납",
IF(AND(V554="정상",OFFSET(Y554,0,COUNTA(Y554:AV554)-1)=0),"납부 시작 전",
IF(AND(V554="정상",OFFSET(Y554,0,COUNTA(Y554:AV554)-1)&gt;=U554),"정상",
IF(AND(V554="면제",OFFSET(Y554,0,COUNTA(Y554:AV554)-1)="면제"),"면제",
IF(AND(V554="면제",OFFSET(Y554,0,COUNTA(Y554:AV554)-1)=0),"면제",
"확인요청"))))))</f>
        <v>정상</v>
      </c>
      <c r="Y554" s="93" t="n">
        <v>55000</v>
      </c>
      <c r="Z554" s="90" t="s">
        <v>106</v>
      </c>
      <c r="AA554" s="90" t="n">
        <v>110000</v>
      </c>
      <c r="AB554" s="90" t="n">
        <v>55000</v>
      </c>
      <c r="AC554" s="90" t="n">
        <v>55000</v>
      </c>
      <c r="AD554" s="90" t="n">
        <v>55000</v>
      </c>
      <c r="AE554" s="90" t="n">
        <v>55000</v>
      </c>
      <c r="AF554" s="90" t="n">
        <v>55000</v>
      </c>
      <c r="AG554" s="90" t="n">
        <v>55000</v>
      </c>
      <c r="AH554" s="90" t="n">
        <v>55000</v>
      </c>
      <c r="AI554" s="90" t="n">
        <v>55000</v>
      </c>
      <c r="AJ554" s="91" t="n">
        <v>55000</v>
      </c>
      <c r="AK554" s="89" t="n">
        <v>55000</v>
      </c>
      <c r="AL554" s="90" t="n">
        <v>55000</v>
      </c>
      <c r="AM554" s="90"/>
      <c r="AN554" s="90"/>
      <c r="AO554" s="90"/>
      <c r="AP554" s="90"/>
      <c r="AQ554" s="90"/>
      <c r="AR554" s="90"/>
      <c r="AS554" s="90"/>
      <c r="AT554" s="90"/>
      <c r="AU554" s="90"/>
      <c r="AV554" s="91"/>
      <c r="AX554" s="92"/>
    </row>
    <row r="555" customFormat="false" ht="15.65" hidden="false" customHeight="false" outlineLevel="0" collapsed="false">
      <c r="C555" s="72" t="n">
        <f aca="false">COUNTIFS($D$6:D555,"&lt;&gt;"&amp;"")</f>
        <v>550</v>
      </c>
      <c r="D555" s="73" t="s">
        <v>12</v>
      </c>
      <c r="E555" s="76" t="str">
        <f aca="false">
IF($D555="정상",INDEX(임대자산!$D$3:$R$3000,MATCH($F555,임대자산!$I$3:$I$3000,0),MATCH(E$3,임대자산!$D$3:$R$3,0)),
IF($D555="폐업",INDEX(폐업정보!$D$3:$R$3000,MATCH($F555,폐업정보!$I$3:$I$3000,0),MATCH(E$3,폐업정보!$D$3:$R$3,0)),
"Error"))</f>
        <v>경상</v>
      </c>
      <c r="F55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B0550</v>
      </c>
      <c r="G555" s="76" t="str">
        <f aca="false">F555&amp;RANDBETWEEN(0,10)</f>
        <v>B05508</v>
      </c>
      <c r="H555" s="75" t="n">
        <f aca="false">
IF($D555="정상",INDEX(임대자산!$D$3:$R$3000,MATCH($F555,임대자산!$I$3:$I$3000,0),MATCH(H$4,임대자산!$D$3:$R$3,0)),
IF($D555="폐업",INDEX(폐업정보!$D$3:$R$3000,MATCH($F555,폐업정보!$I$3:$I$3000,0),MATCH(H$4,폐업정보!$D$3:$R$3,0)),
"Error"))</f>
        <v>46035</v>
      </c>
      <c r="I555" s="75" t="str">
        <f aca="false">
IF($D555="정상",INDEX(임대자산!$D$3:$R$3000,MATCH($F555,임대자산!$I$3:$I$3000,0),MATCH(I$4,임대자산!$D$3:$R$3,0)),
IF($D555="폐업",INDEX(폐업정보!$D$3:$R$3000,MATCH($F555,폐업정보!$I$3:$I$3000,0),MATCH(I$4,폐업정보!$D$3:$R$3,0)),
"Error"))</f>
        <v>A0550</v>
      </c>
      <c r="J555" s="75" t="str">
        <f aca="false">
IF($D555="정상",INDEX(임대자산!$D$3:$R$3000,MATCH($F555,임대자산!$I$3:$I$3000,0),MATCH(J$4,임대자산!$D$3:$R$3,0)),
IF($D555="폐업",INDEX(폐업정보!$D$3:$R$3000,MATCH($F555,폐업정보!$I$3:$I$3000,0),MATCH(J$4,폐업정보!$D$3:$R$3,0)),
"Error"))</f>
        <v>1981900000</v>
      </c>
      <c r="K555" s="75" t="str">
        <f aca="false">
IF($D555="정상",INDEX(임대자산!$D$3:$R$3000,MATCH($F555,임대자산!$I$3:$I$3000,0),MATCH(K$4,임대자산!$D$3:$R$3,0)),
IF($D555="폐업",INDEX(폐업정보!$D$3:$R$3000,MATCH($F555,폐업정보!$I$3:$I$3000,0),MATCH(K$4,폐업정보!$D$3:$R$3,0)),
"Error"))</f>
        <v>C0550</v>
      </c>
      <c r="L555" s="75" t="str">
        <f aca="false">
IF($D555="정상",INDEX(임대자산!$D$3:$R$3000,MATCH($F555,임대자산!$I$3:$I$3000,0),MATCH(L$4,임대자산!$D$3:$R$3,0)),
IF($D555="폐업",INDEX(폐업정보!$D$3:$R$3000,MATCH($F555,폐업정보!$I$3:$I$3000,0),MATCH(L$4,폐업정보!$D$3:$R$3,0)),
"Error"))</f>
        <v>D0550</v>
      </c>
      <c r="M555" s="76" t="s">
        <v>96</v>
      </c>
      <c r="N555" s="77"/>
      <c r="O555" s="78" t="s">
        <v>97</v>
      </c>
      <c r="P555" s="79" t="n">
        <f aca="false">COUNTIFS(임대자산!$I:$I,가맹점정보!F555,임대자산!$N:$N,가맹점정보!P$4)</f>
        <v>0</v>
      </c>
      <c r="Q555" s="80" t="n">
        <f aca="false">COUNTIFS(임대자산!$I:$I,가맹점정보!F555,임대자산!$N:$N,가맹점정보!Q$4)</f>
        <v>0</v>
      </c>
      <c r="R555" s="81" t="n">
        <f aca="false">COUNTIFS(임대자산!$I:$I,가맹점정보!F555,임대자산!$N:$N,가맹점정보!R$4)</f>
        <v>1</v>
      </c>
      <c r="S555" s="82" t="n">
        <v>55000</v>
      </c>
      <c r="T555" s="83" t="n">
        <v>0</v>
      </c>
      <c r="U555" s="80" t="n">
        <f aca="false">SUM(S555:T555)</f>
        <v>55000</v>
      </c>
      <c r="V555" s="84" t="s">
        <v>12</v>
      </c>
      <c r="W555" s="80" t="e">
        <f aca="true">
IF(D555="폐업","폐업",
IF(V555="면제","면제",
IF(AND(V555="정상",COUNTIFS(OFFSET(Y555,0,COUNTA(Y555:AV555)-1,1,-4),"미납")&gt;=3),"장기미납",
IF(AND(V555="정상",OFFSET(Y555,0,COUNTA(Y555:AV555)-1)&gt;=U555),"정상",
IF(AND(V555="정상",OFFSET(Y555,0,COUNTA(Y555:AV555)-1)=0),"정상",
"계약서 미작성")))))</f>
        <v>#VALUE!</v>
      </c>
      <c r="X555" s="81" t="str">
        <f aca="true">
IF(D555="폐업","폐업",
IF(AND(V555="정상",OFFSET(Y555,0,COUNTA(Y555:AV555)-1)="미납"),"미납",
IF(AND(V555="정상",OFFSET(Y555,0,COUNTA(Y555:AV555)-1)=0),"납부 시작 전",
IF(AND(V555="정상",OFFSET(Y555,0,COUNTA(Y555:AV555)-1)&gt;=U555),"정상",
IF(AND(V555="면제",OFFSET(Y555,0,COUNTA(Y555:AV555)-1)="면제"),"면제",
IF(AND(V555="면제",OFFSET(Y555,0,COUNTA(Y555:AV555)-1)=0),"면제",
"확인요청"))))))</f>
        <v>미납</v>
      </c>
      <c r="Y555" s="93" t="n">
        <v>55000</v>
      </c>
      <c r="Z555" s="90" t="n">
        <v>55000</v>
      </c>
      <c r="AA555" s="90" t="n">
        <v>55000</v>
      </c>
      <c r="AB555" s="90" t="n">
        <v>55000</v>
      </c>
      <c r="AC555" s="90" t="n">
        <v>55000</v>
      </c>
      <c r="AD555" s="90" t="n">
        <v>55000</v>
      </c>
      <c r="AE555" s="90" t="n">
        <v>55000</v>
      </c>
      <c r="AF555" s="90" t="n">
        <v>55000</v>
      </c>
      <c r="AG555" s="90" t="n">
        <v>55000</v>
      </c>
      <c r="AH555" s="90" t="n">
        <v>55000</v>
      </c>
      <c r="AI555" s="90" t="n">
        <v>55000</v>
      </c>
      <c r="AJ555" s="91" t="n">
        <v>55000</v>
      </c>
      <c r="AK555" s="89" t="n">
        <v>55000</v>
      </c>
      <c r="AL555" s="95" t="s">
        <v>62</v>
      </c>
      <c r="AM555" s="90"/>
      <c r="AN555" s="90"/>
      <c r="AO555" s="90"/>
      <c r="AP555" s="90"/>
      <c r="AQ555" s="90"/>
      <c r="AR555" s="90"/>
      <c r="AS555" s="90"/>
      <c r="AT555" s="90"/>
      <c r="AU555" s="90"/>
      <c r="AV555" s="91"/>
      <c r="AX555" s="92"/>
    </row>
    <row r="556" customFormat="false" ht="15.65" hidden="false" customHeight="false" outlineLevel="0" collapsed="false">
      <c r="C556" s="72" t="n">
        <f aca="false">COUNTIFS($D$6:D556,"&lt;&gt;"&amp;"")</f>
        <v>551</v>
      </c>
      <c r="D556" s="73" t="s">
        <v>12</v>
      </c>
      <c r="E556" s="76" t="str">
        <f aca="false">
IF($D556="정상",INDEX(임대자산!$D$3:$R$3000,MATCH($F556,임대자산!$I$3:$I$3000,0),MATCH(E$3,임대자산!$D$3:$R$3,0)),
IF($D556="폐업",INDEX(폐업정보!$D$3:$R$3000,MATCH($F556,폐업정보!$I$3:$I$3000,0),MATCH(E$3,폐업정보!$D$3:$R$3,0)),
"Error"))</f>
        <v>전라</v>
      </c>
      <c r="F55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B0551</v>
      </c>
      <c r="G556" s="76" t="str">
        <f aca="false">F556&amp;RANDBETWEEN(0,10)</f>
        <v>B05517</v>
      </c>
      <c r="H556" s="75" t="n">
        <f aca="false">
IF($D556="정상",INDEX(임대자산!$D$3:$R$3000,MATCH($F556,임대자산!$I$3:$I$3000,0),MATCH(H$4,임대자산!$D$3:$R$3,0)),
IF($D556="폐업",INDEX(폐업정보!$D$3:$R$3000,MATCH($F556,폐업정보!$I$3:$I$3000,0),MATCH(H$4,폐업정보!$D$3:$R$3,0)),
"Error"))</f>
        <v>46049</v>
      </c>
      <c r="I556" s="75" t="str">
        <f aca="false">
IF($D556="정상",INDEX(임대자산!$D$3:$R$3000,MATCH($F556,임대자산!$I$3:$I$3000,0),MATCH(I$4,임대자산!$D$3:$R$3,0)),
IF($D556="폐업",INDEX(폐업정보!$D$3:$R$3000,MATCH($F556,폐업정보!$I$3:$I$3000,0),MATCH(I$4,폐업정보!$D$3:$R$3,0)),
"Error"))</f>
        <v>A0551</v>
      </c>
      <c r="J556" s="75" t="str">
        <f aca="false">
IF($D556="정상",INDEX(임대자산!$D$3:$R$3000,MATCH($F556,임대자산!$I$3:$I$3000,0),MATCH(J$4,임대자산!$D$3:$R$3,0)),
IF($D556="폐업",INDEX(폐업정보!$D$3:$R$3000,MATCH($F556,폐업정보!$I$3:$I$3000,0),MATCH(J$4,폐업정보!$D$3:$R$3,0)),
"Error"))</f>
        <v>7083500000</v>
      </c>
      <c r="K556" s="75" t="str">
        <f aca="false">
IF($D556="정상",INDEX(임대자산!$D$3:$R$3000,MATCH($F556,임대자산!$I$3:$I$3000,0),MATCH(K$4,임대자산!$D$3:$R$3,0)),
IF($D556="폐업",INDEX(폐업정보!$D$3:$R$3000,MATCH($F556,폐업정보!$I$3:$I$3000,0),MATCH(K$4,폐업정보!$D$3:$R$3,0)),
"Error"))</f>
        <v>C0551</v>
      </c>
      <c r="L556" s="75" t="str">
        <f aca="false">
IF($D556="정상",INDEX(임대자산!$D$3:$R$3000,MATCH($F556,임대자산!$I$3:$I$3000,0),MATCH(L$4,임대자산!$D$3:$R$3,0)),
IF($D556="폐업",INDEX(폐업정보!$D$3:$R$3000,MATCH($F556,폐업정보!$I$3:$I$3000,0),MATCH(L$4,폐업정보!$D$3:$R$3,0)),
"Error"))</f>
        <v>D0551</v>
      </c>
      <c r="M556" s="76" t="s">
        <v>96</v>
      </c>
      <c r="N556" s="77"/>
      <c r="O556" s="78" t="s">
        <v>97</v>
      </c>
      <c r="P556" s="79" t="n">
        <f aca="false">COUNTIFS(임대자산!$I:$I,가맹점정보!F556,임대자산!$N:$N,가맹점정보!P$4)</f>
        <v>0</v>
      </c>
      <c r="Q556" s="80" t="n">
        <f aca="false">COUNTIFS(임대자산!$I:$I,가맹점정보!F556,임대자산!$N:$N,가맹점정보!Q$4)</f>
        <v>0</v>
      </c>
      <c r="R556" s="81" t="n">
        <f aca="false">COUNTIFS(임대자산!$I:$I,가맹점정보!F556,임대자산!$N:$N,가맹점정보!R$4)</f>
        <v>1</v>
      </c>
      <c r="S556" s="82" t="n">
        <v>88000</v>
      </c>
      <c r="T556" s="83" t="n">
        <v>0</v>
      </c>
      <c r="U556" s="80" t="n">
        <f aca="false">SUM(S556:T556)</f>
        <v>88000</v>
      </c>
      <c r="V556" s="84" t="s">
        <v>12</v>
      </c>
      <c r="W556" s="80" t="e">
        <f aca="true">
IF(D556="폐업","폐업",
IF(V556="면제","면제",
IF(AND(V556="정상",COUNTIFS(OFFSET(Y556,0,COUNTA(Y556:AV556)-1,1,-4),"미납")&gt;=3),"장기미납",
IF(AND(V556="정상",OFFSET(Y556,0,COUNTA(Y556:AV556)-1)&gt;=U556),"정상",
IF(AND(V556="정상",OFFSET(Y556,0,COUNTA(Y556:AV556)-1)=0),"정상",
"계약서 미작성")))))</f>
        <v>#VALUE!</v>
      </c>
      <c r="X556" s="81" t="str">
        <f aca="true">
IF(D556="폐업","폐업",
IF(AND(V556="정상",OFFSET(Y556,0,COUNTA(Y556:AV556)-1)="미납"),"미납",
IF(AND(V556="정상",OFFSET(Y556,0,COUNTA(Y556:AV556)-1)=0),"납부 시작 전",
IF(AND(V556="정상",OFFSET(Y556,0,COUNTA(Y556:AV556)-1)&gt;=U556),"정상",
IF(AND(V556="면제",OFFSET(Y556,0,COUNTA(Y556:AV556)-1)="면제"),"면제",
IF(AND(V556="면제",OFFSET(Y556,0,COUNTA(Y556:AV556)-1)=0),"면제",
"확인요청"))))))</f>
        <v>정상</v>
      </c>
      <c r="Y556" s="93" t="n">
        <v>88000</v>
      </c>
      <c r="Z556" s="90" t="n">
        <v>88000</v>
      </c>
      <c r="AA556" s="90" t="n">
        <v>88000</v>
      </c>
      <c r="AB556" s="90" t="n">
        <v>88000</v>
      </c>
      <c r="AC556" s="90" t="n">
        <v>88000</v>
      </c>
      <c r="AD556" s="90" t="n">
        <v>88000</v>
      </c>
      <c r="AE556" s="90" t="n">
        <v>88000</v>
      </c>
      <c r="AF556" s="90" t="n">
        <v>88000</v>
      </c>
      <c r="AG556" s="90" t="n">
        <v>88000</v>
      </c>
      <c r="AH556" s="90" t="n">
        <v>88000</v>
      </c>
      <c r="AI556" s="90" t="n">
        <v>88000</v>
      </c>
      <c r="AJ556" s="91" t="n">
        <v>88000</v>
      </c>
      <c r="AK556" s="89" t="n">
        <v>88000</v>
      </c>
      <c r="AL556" s="90" t="n">
        <v>88000</v>
      </c>
      <c r="AM556" s="90"/>
      <c r="AN556" s="90"/>
      <c r="AO556" s="90"/>
      <c r="AP556" s="90"/>
      <c r="AQ556" s="90"/>
      <c r="AR556" s="90"/>
      <c r="AS556" s="90"/>
      <c r="AT556" s="90"/>
      <c r="AU556" s="90"/>
      <c r="AV556" s="91"/>
      <c r="AX556" s="92"/>
    </row>
    <row r="557" customFormat="false" ht="15.65" hidden="false" customHeight="false" outlineLevel="0" collapsed="false">
      <c r="C557" s="72" t="n">
        <f aca="false">COUNTIFS($D$6:D557,"&lt;&gt;"&amp;"")</f>
        <v>552</v>
      </c>
      <c r="D557" s="73" t="s">
        <v>12</v>
      </c>
      <c r="E557" s="76" t="str">
        <f aca="false">
IF($D557="정상",INDEX(임대자산!$D$3:$R$3000,MATCH($F557,임대자산!$I$3:$I$3000,0),MATCH(E$3,임대자산!$D$3:$R$3,0)),
IF($D557="폐업",INDEX(폐업정보!$D$3:$R$3000,MATCH($F557,폐업정보!$I$3:$I$3000,0),MATCH(E$3,폐업정보!$D$3:$R$3,0)),
"Error"))</f>
        <v>경상</v>
      </c>
      <c r="F55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B0552</v>
      </c>
      <c r="G557" s="76" t="str">
        <f aca="false">F557&amp;RANDBETWEEN(0,10)</f>
        <v>B05521</v>
      </c>
      <c r="H557" s="75" t="n">
        <f aca="false">
IF($D557="정상",INDEX(임대자산!$D$3:$R$3000,MATCH($F557,임대자산!$I$3:$I$3000,0),MATCH(H$4,임대자산!$D$3:$R$3,0)),
IF($D557="폐업",INDEX(폐업정보!$D$3:$R$3000,MATCH($F557,폐업정보!$I$3:$I$3000,0),MATCH(H$4,폐업정보!$D$3:$R$3,0)),
"Error"))</f>
        <v>46062</v>
      </c>
      <c r="I557" s="75" t="str">
        <f aca="false">
IF($D557="정상",INDEX(임대자산!$D$3:$R$3000,MATCH($F557,임대자산!$I$3:$I$3000,0),MATCH(I$4,임대자산!$D$3:$R$3,0)),
IF($D557="폐업",INDEX(폐업정보!$D$3:$R$3000,MATCH($F557,폐업정보!$I$3:$I$3000,0),MATCH(I$4,폐업정보!$D$3:$R$3,0)),
"Error"))</f>
        <v>A0552</v>
      </c>
      <c r="J557" s="75" t="str">
        <f aca="false">
IF($D557="정상",INDEX(임대자산!$D$3:$R$3000,MATCH($F557,임대자산!$I$3:$I$3000,0),MATCH(J$4,임대자산!$D$3:$R$3,0)),
IF($D557="폐업",INDEX(폐업정보!$D$3:$R$3000,MATCH($F557,폐업정보!$I$3:$I$3000,0),MATCH(J$4,폐업정보!$D$3:$R$3,0)),
"Error"))</f>
        <v>7865700000</v>
      </c>
      <c r="K557" s="75" t="str">
        <f aca="false">
IF($D557="정상",INDEX(임대자산!$D$3:$R$3000,MATCH($F557,임대자산!$I$3:$I$3000,0),MATCH(K$4,임대자산!$D$3:$R$3,0)),
IF($D557="폐업",INDEX(폐업정보!$D$3:$R$3000,MATCH($F557,폐업정보!$I$3:$I$3000,0),MATCH(K$4,폐업정보!$D$3:$R$3,0)),
"Error"))</f>
        <v>C0552</v>
      </c>
      <c r="L557" s="75" t="str">
        <f aca="false">
IF($D557="정상",INDEX(임대자산!$D$3:$R$3000,MATCH($F557,임대자산!$I$3:$I$3000,0),MATCH(L$4,임대자산!$D$3:$R$3,0)),
IF($D557="폐업",INDEX(폐업정보!$D$3:$R$3000,MATCH($F557,폐업정보!$I$3:$I$3000,0),MATCH(L$4,폐업정보!$D$3:$R$3,0)),
"Error"))</f>
        <v>D0552</v>
      </c>
      <c r="M557" s="76" t="s">
        <v>96</v>
      </c>
      <c r="N557" s="77"/>
      <c r="O557" s="78" t="s">
        <v>97</v>
      </c>
      <c r="P557" s="79" t="n">
        <f aca="false">COUNTIFS(임대자산!$I:$I,가맹점정보!F557,임대자산!$N:$N,가맹점정보!P$4)</f>
        <v>0</v>
      </c>
      <c r="Q557" s="80" t="n">
        <f aca="false">COUNTIFS(임대자산!$I:$I,가맹점정보!F557,임대자산!$N:$N,가맹점정보!Q$4)</f>
        <v>0</v>
      </c>
      <c r="R557" s="81" t="n">
        <f aca="false">COUNTIFS(임대자산!$I:$I,가맹점정보!F557,임대자산!$N:$N,가맹점정보!R$4)</f>
        <v>1</v>
      </c>
      <c r="S557" s="82" t="n">
        <v>55000</v>
      </c>
      <c r="T557" s="83" t="n">
        <v>0</v>
      </c>
      <c r="U557" s="80" t="n">
        <f aca="false">SUM(S557:T557)</f>
        <v>55000</v>
      </c>
      <c r="V557" s="84" t="s">
        <v>12</v>
      </c>
      <c r="W557" s="80" t="e">
        <f aca="true">
IF(D557="폐업","폐업",
IF(V557="면제","면제",
IF(AND(V557="정상",COUNTIFS(OFFSET(Y557,0,COUNTA(Y557:AV557)-1,1,-4),"미납")&gt;=3),"장기미납",
IF(AND(V557="정상",OFFSET(Y557,0,COUNTA(Y557:AV557)-1)&gt;=U557),"정상",
IF(AND(V557="정상",OFFSET(Y557,0,COUNTA(Y557:AV557)-1)=0),"정상",
"계약서 미작성")))))</f>
        <v>#VALUE!</v>
      </c>
      <c r="X557" s="81" t="str">
        <f aca="true">
IF(D557="폐업","폐업",
IF(AND(V557="정상",OFFSET(Y557,0,COUNTA(Y557:AV557)-1)="미납"),"미납",
IF(AND(V557="정상",OFFSET(Y557,0,COUNTA(Y557:AV557)-1)=0),"납부 시작 전",
IF(AND(V557="정상",OFFSET(Y557,0,COUNTA(Y557:AV557)-1)&gt;=U557),"정상",
IF(AND(V557="면제",OFFSET(Y557,0,COUNTA(Y557:AV557)-1)="면제"),"면제",
IF(AND(V557="면제",OFFSET(Y557,0,COUNTA(Y557:AV557)-1)=0),"면제",
"확인요청"))))))</f>
        <v>정상</v>
      </c>
      <c r="Y557" s="93" t="n">
        <v>55000</v>
      </c>
      <c r="Z557" s="90" t="n">
        <v>55000</v>
      </c>
      <c r="AA557" s="90" t="n">
        <v>55000</v>
      </c>
      <c r="AB557" s="90" t="n">
        <v>55000</v>
      </c>
      <c r="AC557" s="90" t="n">
        <v>55000</v>
      </c>
      <c r="AD557" s="90" t="n">
        <v>55000</v>
      </c>
      <c r="AE557" s="90" t="n">
        <v>55000</v>
      </c>
      <c r="AF557" s="90" t="n">
        <v>55000</v>
      </c>
      <c r="AG557" s="90" t="n">
        <v>55000</v>
      </c>
      <c r="AH557" s="90" t="n">
        <v>55000</v>
      </c>
      <c r="AI557" s="90" t="n">
        <v>55000</v>
      </c>
      <c r="AJ557" s="91" t="n">
        <v>55000</v>
      </c>
      <c r="AK557" s="89" t="n">
        <v>55000</v>
      </c>
      <c r="AL557" s="90" t="n">
        <v>55000</v>
      </c>
      <c r="AM557" s="90"/>
      <c r="AN557" s="90"/>
      <c r="AO557" s="90"/>
      <c r="AP557" s="90"/>
      <c r="AQ557" s="90"/>
      <c r="AR557" s="90"/>
      <c r="AS557" s="90"/>
      <c r="AT557" s="90"/>
      <c r="AU557" s="90"/>
      <c r="AV557" s="91"/>
      <c r="AX557" s="92"/>
    </row>
    <row r="558" customFormat="false" ht="15.65" hidden="false" customHeight="false" outlineLevel="0" collapsed="false">
      <c r="C558" s="72" t="n">
        <f aca="false">COUNTIFS($D$6:D558,"&lt;&gt;"&amp;"")</f>
        <v>553</v>
      </c>
      <c r="D558" s="73" t="s">
        <v>12</v>
      </c>
      <c r="E558" s="76" t="str">
        <f aca="false">
IF($D558="정상",INDEX(임대자산!$D$3:$R$3000,MATCH($F558,임대자산!$I$3:$I$3000,0),MATCH(E$3,임대자산!$D$3:$R$3,0)),
IF($D558="폐업",INDEX(폐업정보!$D$3:$R$3000,MATCH($F558,폐업정보!$I$3:$I$3000,0),MATCH(E$3,폐업정보!$D$3:$R$3,0)),
"Error"))</f>
        <v>전라</v>
      </c>
      <c r="F55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B0553</v>
      </c>
      <c r="G558" s="76" t="str">
        <f aca="false">F558&amp;RANDBETWEEN(0,10)</f>
        <v>B05536</v>
      </c>
      <c r="H558" s="75" t="n">
        <f aca="false">
IF($D558="정상",INDEX(임대자산!$D$3:$R$3000,MATCH($F558,임대자산!$I$3:$I$3000,0),MATCH(H$4,임대자산!$D$3:$R$3,0)),
IF($D558="폐업",INDEX(폐업정보!$D$3:$R$3000,MATCH($F558,폐업정보!$I$3:$I$3000,0),MATCH(H$4,폐업정보!$D$3:$R$3,0)),
"Error"))</f>
        <v>46062</v>
      </c>
      <c r="I558" s="75" t="str">
        <f aca="false">
IF($D558="정상",INDEX(임대자산!$D$3:$R$3000,MATCH($F558,임대자산!$I$3:$I$3000,0),MATCH(I$4,임대자산!$D$3:$R$3,0)),
IF($D558="폐업",INDEX(폐업정보!$D$3:$R$3000,MATCH($F558,폐업정보!$I$3:$I$3000,0),MATCH(I$4,폐업정보!$D$3:$R$3,0)),
"Error"))</f>
        <v>A0553</v>
      </c>
      <c r="J558" s="75" t="str">
        <f aca="false">
IF($D558="정상",INDEX(임대자산!$D$3:$R$3000,MATCH($F558,임대자산!$I$3:$I$3000,0),MATCH(J$4,임대자산!$D$3:$R$3,0)),
IF($D558="폐업",INDEX(폐업정보!$D$3:$R$3000,MATCH($F558,폐업정보!$I$3:$I$3000,0),MATCH(J$4,폐업정보!$D$3:$R$3,0)),
"Error"))</f>
        <v>2888300000</v>
      </c>
      <c r="K558" s="75" t="str">
        <f aca="false">
IF($D558="정상",INDEX(임대자산!$D$3:$R$3000,MATCH($F558,임대자산!$I$3:$I$3000,0),MATCH(K$4,임대자산!$D$3:$R$3,0)),
IF($D558="폐업",INDEX(폐업정보!$D$3:$R$3000,MATCH($F558,폐업정보!$I$3:$I$3000,0),MATCH(K$4,폐업정보!$D$3:$R$3,0)),
"Error"))</f>
        <v>C0553</v>
      </c>
      <c r="L558" s="75" t="str">
        <f aca="false">
IF($D558="정상",INDEX(임대자산!$D$3:$R$3000,MATCH($F558,임대자산!$I$3:$I$3000,0),MATCH(L$4,임대자산!$D$3:$R$3,0)),
IF($D558="폐업",INDEX(폐업정보!$D$3:$R$3000,MATCH($F558,폐업정보!$I$3:$I$3000,0),MATCH(L$4,폐업정보!$D$3:$R$3,0)),
"Error"))</f>
        <v>D0553</v>
      </c>
      <c r="M558" s="76" t="s">
        <v>96</v>
      </c>
      <c r="N558" s="77"/>
      <c r="O558" s="78" t="s">
        <v>97</v>
      </c>
      <c r="P558" s="79" t="n">
        <f aca="false">COUNTIFS(임대자산!$I:$I,가맹점정보!F558,임대자산!$N:$N,가맹점정보!P$4)</f>
        <v>0</v>
      </c>
      <c r="Q558" s="80" t="n">
        <f aca="false">COUNTIFS(임대자산!$I:$I,가맹점정보!F558,임대자산!$N:$N,가맹점정보!Q$4)</f>
        <v>0</v>
      </c>
      <c r="R558" s="81" t="n">
        <f aca="false">COUNTIFS(임대자산!$I:$I,가맹점정보!F558,임대자산!$N:$N,가맹점정보!R$4)</f>
        <v>1</v>
      </c>
      <c r="S558" s="82" t="n">
        <v>55000</v>
      </c>
      <c r="T558" s="83" t="n">
        <v>0</v>
      </c>
      <c r="U558" s="80" t="n">
        <f aca="false">SUM(S558:T558)</f>
        <v>55000</v>
      </c>
      <c r="V558" s="84" t="s">
        <v>12</v>
      </c>
      <c r="W558" s="80" t="e">
        <f aca="true">
IF(D558="폐업","폐업",
IF(V558="면제","면제",
IF(AND(V558="정상",COUNTIFS(OFFSET(Y558,0,COUNTA(Y558:AV558)-1,1,-4),"미납")&gt;=3),"장기미납",
IF(AND(V558="정상",OFFSET(Y558,0,COUNTA(Y558:AV558)-1)&gt;=U558),"정상",
IF(AND(V558="정상",OFFSET(Y558,0,COUNTA(Y558:AV558)-1)=0),"정상",
"계약서 미작성")))))</f>
        <v>#VALUE!</v>
      </c>
      <c r="X558" s="81" t="str">
        <f aca="true">
IF(D558="폐업","폐업",
IF(AND(V558="정상",OFFSET(Y558,0,COUNTA(Y558:AV558)-1)="미납"),"미납",
IF(AND(V558="정상",OFFSET(Y558,0,COUNTA(Y558:AV558)-1)=0),"납부 시작 전",
IF(AND(V558="정상",OFFSET(Y558,0,COUNTA(Y558:AV558)-1)&gt;=U558),"정상",
IF(AND(V558="면제",OFFSET(Y558,0,COUNTA(Y558:AV558)-1)="면제"),"면제",
IF(AND(V558="면제",OFFSET(Y558,0,COUNTA(Y558:AV558)-1)=0),"면제",
"확인요청"))))))</f>
        <v>정상</v>
      </c>
      <c r="Y558" s="93" t="n">
        <v>55000</v>
      </c>
      <c r="Z558" s="90" t="n">
        <v>55000</v>
      </c>
      <c r="AA558" s="90" t="n">
        <v>55000</v>
      </c>
      <c r="AB558" s="90" t="n">
        <v>55000</v>
      </c>
      <c r="AC558" s="90" t="n">
        <v>55000</v>
      </c>
      <c r="AD558" s="90" t="n">
        <v>55000</v>
      </c>
      <c r="AE558" s="90" t="n">
        <v>55000</v>
      </c>
      <c r="AF558" s="90" t="n">
        <v>55000</v>
      </c>
      <c r="AG558" s="90" t="n">
        <v>55000</v>
      </c>
      <c r="AH558" s="90" t="n">
        <v>55000</v>
      </c>
      <c r="AI558" s="90" t="n">
        <v>55000</v>
      </c>
      <c r="AJ558" s="91" t="n">
        <v>55000</v>
      </c>
      <c r="AK558" s="89" t="n">
        <v>55000</v>
      </c>
      <c r="AL558" s="90" t="n">
        <v>55000</v>
      </c>
      <c r="AM558" s="90"/>
      <c r="AN558" s="90"/>
      <c r="AO558" s="90"/>
      <c r="AP558" s="90"/>
      <c r="AQ558" s="90"/>
      <c r="AR558" s="90"/>
      <c r="AS558" s="90"/>
      <c r="AT558" s="90"/>
      <c r="AU558" s="90"/>
      <c r="AV558" s="91"/>
      <c r="AX558" s="92"/>
    </row>
    <row r="559" customFormat="false" ht="15.65" hidden="false" customHeight="false" outlineLevel="0" collapsed="false">
      <c r="C559" s="72" t="n">
        <f aca="false">COUNTIFS($D$6:D559,"&lt;&gt;"&amp;"")</f>
        <v>554</v>
      </c>
      <c r="D559" s="73" t="s">
        <v>12</v>
      </c>
      <c r="E559" s="76" t="str">
        <f aca="false">
IF($D559="정상",INDEX(임대자산!$D$3:$R$3000,MATCH($F559,임대자산!$I$3:$I$3000,0),MATCH(E$3,임대자산!$D$3:$R$3,0)),
IF($D559="폐업",INDEX(폐업정보!$D$3:$R$3000,MATCH($F559,폐업정보!$I$3:$I$3000,0),MATCH(E$3,폐업정보!$D$3:$R$3,0)),
"Error"))</f>
        <v>경기</v>
      </c>
      <c r="F55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B0554</v>
      </c>
      <c r="G559" s="76" t="str">
        <f aca="false">F559&amp;RANDBETWEEN(0,10)</f>
        <v>B05540</v>
      </c>
      <c r="H559" s="75" t="n">
        <f aca="false">
IF($D559="정상",INDEX(임대자산!$D$3:$R$3000,MATCH($F559,임대자산!$I$3:$I$3000,0),MATCH(H$4,임대자산!$D$3:$R$3,0)),
IF($D559="폐업",INDEX(폐업정보!$D$3:$R$3000,MATCH($F559,폐업정보!$I$3:$I$3000,0),MATCH(H$4,폐업정보!$D$3:$R$3,0)),
"Error"))</f>
        <v>46052</v>
      </c>
      <c r="I559" s="75" t="str">
        <f aca="false">
IF($D559="정상",INDEX(임대자산!$D$3:$R$3000,MATCH($F559,임대자산!$I$3:$I$3000,0),MATCH(I$4,임대자산!$D$3:$R$3,0)),
IF($D559="폐업",INDEX(폐업정보!$D$3:$R$3000,MATCH($F559,폐업정보!$I$3:$I$3000,0),MATCH(I$4,폐업정보!$D$3:$R$3,0)),
"Error"))</f>
        <v>A0554</v>
      </c>
      <c r="J559" s="75" t="str">
        <f aca="false">
IF($D559="정상",INDEX(임대자산!$D$3:$R$3000,MATCH($F559,임대자산!$I$3:$I$3000,0),MATCH(J$4,임대자산!$D$3:$R$3,0)),
IF($D559="폐업",INDEX(폐업정보!$D$3:$R$3000,MATCH($F559,폐업정보!$I$3:$I$3000,0),MATCH(J$4,폐업정보!$D$3:$R$3,0)),
"Error"))</f>
        <v>3433900000</v>
      </c>
      <c r="K559" s="75" t="str">
        <f aca="false">
IF($D559="정상",INDEX(임대자산!$D$3:$R$3000,MATCH($F559,임대자산!$I$3:$I$3000,0),MATCH(K$4,임대자산!$D$3:$R$3,0)),
IF($D559="폐업",INDEX(폐업정보!$D$3:$R$3000,MATCH($F559,폐업정보!$I$3:$I$3000,0),MATCH(K$4,폐업정보!$D$3:$R$3,0)),
"Error"))</f>
        <v>C0554</v>
      </c>
      <c r="L559" s="75" t="str">
        <f aca="false">
IF($D559="정상",INDEX(임대자산!$D$3:$R$3000,MATCH($F559,임대자산!$I$3:$I$3000,0),MATCH(L$4,임대자산!$D$3:$R$3,0)),
IF($D559="폐업",INDEX(폐업정보!$D$3:$R$3000,MATCH($F559,폐업정보!$I$3:$I$3000,0),MATCH(L$4,폐업정보!$D$3:$R$3,0)),
"Error"))</f>
        <v>D0554</v>
      </c>
      <c r="M559" s="76" t="s">
        <v>96</v>
      </c>
      <c r="N559" s="77"/>
      <c r="O559" s="78" t="s">
        <v>97</v>
      </c>
      <c r="P559" s="79" t="n">
        <f aca="false">COUNTIFS(임대자산!$I:$I,가맹점정보!F559,임대자산!$N:$N,가맹점정보!P$4)</f>
        <v>0</v>
      </c>
      <c r="Q559" s="80" t="n">
        <f aca="false">COUNTIFS(임대자산!$I:$I,가맹점정보!F559,임대자산!$N:$N,가맹점정보!Q$4)</f>
        <v>0</v>
      </c>
      <c r="R559" s="81" t="n">
        <f aca="false">COUNTIFS(임대자산!$I:$I,가맹점정보!F559,임대자산!$N:$N,가맹점정보!R$4)</f>
        <v>1</v>
      </c>
      <c r="S559" s="82" t="n">
        <v>55000</v>
      </c>
      <c r="T559" s="83" t="n">
        <v>0</v>
      </c>
      <c r="U559" s="80" t="n">
        <f aca="false">SUM(S559:T559)</f>
        <v>55000</v>
      </c>
      <c r="V559" s="84" t="s">
        <v>12</v>
      </c>
      <c r="W559" s="80" t="e">
        <f aca="true">
IF(D559="폐업","폐업",
IF(V559="면제","면제",
IF(AND(V559="정상",COUNTIFS(OFFSET(Y559,0,COUNTA(Y559:AV559)-1,1,-4),"미납")&gt;=3),"장기미납",
IF(AND(V559="정상",OFFSET(Y559,0,COUNTA(Y559:AV559)-1)&gt;=U559),"정상",
IF(AND(V559="정상",OFFSET(Y559,0,COUNTA(Y559:AV559)-1)=0),"정상",
"계약서 미작성")))))</f>
        <v>#VALUE!</v>
      </c>
      <c r="X559" s="81" t="str">
        <f aca="true">
IF(D559="폐업","폐업",
IF(AND(V559="정상",OFFSET(Y559,0,COUNTA(Y559:AV559)-1)="미납"),"미납",
IF(AND(V559="정상",OFFSET(Y559,0,COUNTA(Y559:AV559)-1)=0),"납부 시작 전",
IF(AND(V559="정상",OFFSET(Y559,0,COUNTA(Y559:AV559)-1)&gt;=U559),"정상",
IF(AND(V559="면제",OFFSET(Y559,0,COUNTA(Y559:AV559)-1)="면제"),"면제",
IF(AND(V559="면제",OFFSET(Y559,0,COUNTA(Y559:AV559)-1)=0),"면제",
"확인요청"))))))</f>
        <v>정상</v>
      </c>
      <c r="Y559" s="93" t="n">
        <v>55000</v>
      </c>
      <c r="Z559" s="90" t="n">
        <v>55000</v>
      </c>
      <c r="AA559" s="90" t="n">
        <v>55000</v>
      </c>
      <c r="AB559" s="90" t="n">
        <v>55000</v>
      </c>
      <c r="AC559" s="90" t="n">
        <v>55000</v>
      </c>
      <c r="AD559" s="90" t="n">
        <v>55000</v>
      </c>
      <c r="AE559" s="90" t="n">
        <v>55000</v>
      </c>
      <c r="AF559" s="90" t="n">
        <v>55000</v>
      </c>
      <c r="AG559" s="90" t="n">
        <v>55000</v>
      </c>
      <c r="AH559" s="90" t="n">
        <v>55000</v>
      </c>
      <c r="AI559" s="90" t="n">
        <v>55000</v>
      </c>
      <c r="AJ559" s="91" t="n">
        <v>55000</v>
      </c>
      <c r="AK559" s="89" t="n">
        <v>55000</v>
      </c>
      <c r="AL559" s="90" t="n">
        <v>55000</v>
      </c>
      <c r="AM559" s="90"/>
      <c r="AN559" s="90"/>
      <c r="AO559" s="90"/>
      <c r="AP559" s="90"/>
      <c r="AQ559" s="90"/>
      <c r="AR559" s="90"/>
      <c r="AS559" s="90"/>
      <c r="AT559" s="90"/>
      <c r="AU559" s="90"/>
      <c r="AV559" s="91"/>
      <c r="AX559" s="92"/>
    </row>
    <row r="560" customFormat="false" ht="15.65" hidden="false" customHeight="false" outlineLevel="0" collapsed="false">
      <c r="C560" s="72" t="n">
        <f aca="false">COUNTIFS($D$6:D560,"&lt;&gt;"&amp;"")</f>
        <v>555</v>
      </c>
      <c r="D560" s="73" t="s">
        <v>12</v>
      </c>
      <c r="E560" s="76" t="str">
        <f aca="false">
IF($D560="정상",INDEX(임대자산!$D$3:$R$3000,MATCH($F560,임대자산!$I$3:$I$3000,0),MATCH(E$3,임대자산!$D$3:$R$3,0)),
IF($D560="폐업",INDEX(폐업정보!$D$3:$R$3000,MATCH($F560,폐업정보!$I$3:$I$3000,0),MATCH(E$3,폐업정보!$D$3:$R$3,0)),
"Error"))</f>
        <v>강원</v>
      </c>
      <c r="F56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B0555</v>
      </c>
      <c r="G560" s="76" t="str">
        <f aca="false">F560&amp;RANDBETWEEN(0,10)</f>
        <v>B05553</v>
      </c>
      <c r="H560" s="75" t="n">
        <f aca="false">
IF($D560="정상",INDEX(임대자산!$D$3:$R$3000,MATCH($F560,임대자산!$I$3:$I$3000,0),MATCH(H$4,임대자산!$D$3:$R$3,0)),
IF($D560="폐업",INDEX(폐업정보!$D$3:$R$3000,MATCH($F560,폐업정보!$I$3:$I$3000,0),MATCH(H$4,폐업정보!$D$3:$R$3,0)),
"Error"))</f>
        <v>46062</v>
      </c>
      <c r="I560" s="75" t="str">
        <f aca="false">
IF($D560="정상",INDEX(임대자산!$D$3:$R$3000,MATCH($F560,임대자산!$I$3:$I$3000,0),MATCH(I$4,임대자산!$D$3:$R$3,0)),
IF($D560="폐업",INDEX(폐업정보!$D$3:$R$3000,MATCH($F560,폐업정보!$I$3:$I$3000,0),MATCH(I$4,폐업정보!$D$3:$R$3,0)),
"Error"))</f>
        <v>A0555</v>
      </c>
      <c r="J560" s="75" t="str">
        <f aca="false">
IF($D560="정상",INDEX(임대자산!$D$3:$R$3000,MATCH($F560,임대자산!$I$3:$I$3000,0),MATCH(J$4,임대자산!$D$3:$R$3,0)),
IF($D560="폐업",INDEX(폐업정보!$D$3:$R$3000,MATCH($F560,폐업정보!$I$3:$I$3000,0),MATCH(J$4,폐업정보!$D$3:$R$3,0)),
"Error"))</f>
        <v>5956800000</v>
      </c>
      <c r="K560" s="75" t="str">
        <f aca="false">
IF($D560="정상",INDEX(임대자산!$D$3:$R$3000,MATCH($F560,임대자산!$I$3:$I$3000,0),MATCH(K$4,임대자산!$D$3:$R$3,0)),
IF($D560="폐업",INDEX(폐업정보!$D$3:$R$3000,MATCH($F560,폐업정보!$I$3:$I$3000,0),MATCH(K$4,폐업정보!$D$3:$R$3,0)),
"Error"))</f>
        <v>C0555</v>
      </c>
      <c r="L560" s="75" t="str">
        <f aca="false">
IF($D560="정상",INDEX(임대자산!$D$3:$R$3000,MATCH($F560,임대자산!$I$3:$I$3000,0),MATCH(L$4,임대자산!$D$3:$R$3,0)),
IF($D560="폐업",INDEX(폐업정보!$D$3:$R$3000,MATCH($F560,폐업정보!$I$3:$I$3000,0),MATCH(L$4,폐업정보!$D$3:$R$3,0)),
"Error"))</f>
        <v>D0555</v>
      </c>
      <c r="M560" s="76" t="s">
        <v>96</v>
      </c>
      <c r="N560" s="77"/>
      <c r="O560" s="78" t="s">
        <v>97</v>
      </c>
      <c r="P560" s="79" t="n">
        <f aca="false">COUNTIFS(임대자산!$I:$I,가맹점정보!F560,임대자산!$N:$N,가맹점정보!P$4)</f>
        <v>0</v>
      </c>
      <c r="Q560" s="80" t="n">
        <f aca="false">COUNTIFS(임대자산!$I:$I,가맹점정보!F560,임대자산!$N:$N,가맹점정보!Q$4)</f>
        <v>0</v>
      </c>
      <c r="R560" s="81" t="n">
        <f aca="false">COUNTIFS(임대자산!$I:$I,가맹점정보!F560,임대자산!$N:$N,가맹점정보!R$4)</f>
        <v>1</v>
      </c>
      <c r="S560" s="82" t="n">
        <v>88000</v>
      </c>
      <c r="T560" s="83" t="n">
        <v>0</v>
      </c>
      <c r="U560" s="80" t="n">
        <f aca="false">SUM(S560:T560)</f>
        <v>88000</v>
      </c>
      <c r="V560" s="84" t="s">
        <v>12</v>
      </c>
      <c r="W560" s="80" t="e">
        <f aca="true">
IF(D560="폐업","폐업",
IF(V560="면제","면제",
IF(AND(V560="정상",COUNTIFS(OFFSET(Y560,0,COUNTA(Y560:AV560)-1,1,-4),"미납")&gt;=3),"장기미납",
IF(AND(V560="정상",OFFSET(Y560,0,COUNTA(Y560:AV560)-1)&gt;=U560),"정상",
IF(AND(V560="정상",OFFSET(Y560,0,COUNTA(Y560:AV560)-1)=0),"정상",
"계약서 미작성")))))</f>
        <v>#VALUE!</v>
      </c>
      <c r="X560" s="81" t="str">
        <f aca="true">
IF(D560="폐업","폐업",
IF(AND(V560="정상",OFFSET(Y560,0,COUNTA(Y560:AV560)-1)="미납"),"미납",
IF(AND(V560="정상",OFFSET(Y560,0,COUNTA(Y560:AV560)-1)=0),"납부 시작 전",
IF(AND(V560="정상",OFFSET(Y560,0,COUNTA(Y560:AV560)-1)&gt;=U560),"정상",
IF(AND(V560="면제",OFFSET(Y560,0,COUNTA(Y560:AV560)-1)="면제"),"면제",
IF(AND(V560="면제",OFFSET(Y560,0,COUNTA(Y560:AV560)-1)=0),"면제",
"확인요청"))))))</f>
        <v>정상</v>
      </c>
      <c r="Y560" s="93" t="n">
        <v>88000</v>
      </c>
      <c r="Z560" s="90" t="n">
        <v>88000</v>
      </c>
      <c r="AA560" s="90" t="n">
        <v>88000</v>
      </c>
      <c r="AB560" s="90" t="n">
        <v>88000</v>
      </c>
      <c r="AC560" s="90" t="n">
        <v>88000</v>
      </c>
      <c r="AD560" s="90" t="n">
        <v>88000</v>
      </c>
      <c r="AE560" s="90" t="n">
        <v>88000</v>
      </c>
      <c r="AF560" s="90" t="n">
        <v>88000</v>
      </c>
      <c r="AG560" s="90" t="n">
        <v>88000</v>
      </c>
      <c r="AH560" s="90" t="n">
        <v>88000</v>
      </c>
      <c r="AI560" s="90" t="n">
        <v>88000</v>
      </c>
      <c r="AJ560" s="91" t="n">
        <v>88000</v>
      </c>
      <c r="AK560" s="89" t="n">
        <v>88000</v>
      </c>
      <c r="AL560" s="90" t="n">
        <v>88000</v>
      </c>
      <c r="AM560" s="90"/>
      <c r="AN560" s="90"/>
      <c r="AO560" s="90"/>
      <c r="AP560" s="90"/>
      <c r="AQ560" s="90"/>
      <c r="AR560" s="90"/>
      <c r="AS560" s="90"/>
      <c r="AT560" s="90"/>
      <c r="AU560" s="90"/>
      <c r="AV560" s="91"/>
      <c r="AX560" s="92"/>
    </row>
    <row r="561" customFormat="false" ht="15.65" hidden="false" customHeight="false" outlineLevel="0" collapsed="false">
      <c r="C561" s="72" t="n">
        <f aca="false">COUNTIFS($D$6:D561,"&lt;&gt;"&amp;"")</f>
        <v>556</v>
      </c>
      <c r="D561" s="73" t="s">
        <v>12</v>
      </c>
      <c r="E561" s="76" t="str">
        <f aca="false">
IF($D561="정상",INDEX(임대자산!$D$3:$R$3000,MATCH($F561,임대자산!$I$3:$I$3000,0),MATCH(E$3,임대자산!$D$3:$R$3,0)),
IF($D561="폐업",INDEX(폐업정보!$D$3:$R$3000,MATCH($F561,폐업정보!$I$3:$I$3000,0),MATCH(E$3,폐업정보!$D$3:$R$3,0)),
"Error"))</f>
        <v>강원</v>
      </c>
      <c r="F56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B0556</v>
      </c>
      <c r="G561" s="76" t="str">
        <f aca="false">F561&amp;RANDBETWEEN(0,10)</f>
        <v>B05563</v>
      </c>
      <c r="H561" s="75" t="n">
        <f aca="false">
IF($D561="정상",INDEX(임대자산!$D$3:$R$3000,MATCH($F561,임대자산!$I$3:$I$3000,0),MATCH(H$4,임대자산!$D$3:$R$3,0)),
IF($D561="폐업",INDEX(폐업정보!$D$3:$R$3000,MATCH($F561,폐업정보!$I$3:$I$3000,0),MATCH(H$4,폐업정보!$D$3:$R$3,0)),
"Error"))</f>
        <v>43782</v>
      </c>
      <c r="I561" s="75" t="str">
        <f aca="false">
IF($D561="정상",INDEX(임대자산!$D$3:$R$3000,MATCH($F561,임대자산!$I$3:$I$3000,0),MATCH(I$4,임대자산!$D$3:$R$3,0)),
IF($D561="폐업",INDEX(폐업정보!$D$3:$R$3000,MATCH($F561,폐업정보!$I$3:$I$3000,0),MATCH(I$4,폐업정보!$D$3:$R$3,0)),
"Error"))</f>
        <v>A0556</v>
      </c>
      <c r="J561" s="75" t="str">
        <f aca="false">
IF($D561="정상",INDEX(임대자산!$D$3:$R$3000,MATCH($F561,임대자산!$I$3:$I$3000,0),MATCH(J$4,임대자산!$D$3:$R$3,0)),
IF($D561="폐업",INDEX(폐업정보!$D$3:$R$3000,MATCH($F561,폐업정보!$I$3:$I$3000,0),MATCH(J$4,폐업정보!$D$3:$R$3,0)),
"Error"))</f>
        <v>5287200000</v>
      </c>
      <c r="K561" s="75" t="str">
        <f aca="false">
IF($D561="정상",INDEX(임대자산!$D$3:$R$3000,MATCH($F561,임대자산!$I$3:$I$3000,0),MATCH(K$4,임대자산!$D$3:$R$3,0)),
IF($D561="폐업",INDEX(폐업정보!$D$3:$R$3000,MATCH($F561,폐업정보!$I$3:$I$3000,0),MATCH(K$4,폐업정보!$D$3:$R$3,0)),
"Error"))</f>
        <v>C0556</v>
      </c>
      <c r="L561" s="75" t="str">
        <f aca="false">
IF($D561="정상",INDEX(임대자산!$D$3:$R$3000,MATCH($F561,임대자산!$I$3:$I$3000,0),MATCH(L$4,임대자산!$D$3:$R$3,0)),
IF($D561="폐업",INDEX(폐업정보!$D$3:$R$3000,MATCH($F561,폐업정보!$I$3:$I$3000,0),MATCH(L$4,폐업정보!$D$3:$R$3,0)),
"Error"))</f>
        <v>D0556</v>
      </c>
      <c r="M561" s="76" t="s">
        <v>96</v>
      </c>
      <c r="N561" s="77"/>
      <c r="O561" s="78" t="s">
        <v>97</v>
      </c>
      <c r="P561" s="79" t="n">
        <f aca="false">COUNTIFS(임대자산!$I:$I,가맹점정보!F561,임대자산!$N:$N,가맹점정보!P$4)</f>
        <v>0</v>
      </c>
      <c r="Q561" s="80" t="n">
        <f aca="false">COUNTIFS(임대자산!$I:$I,가맹점정보!F561,임대자산!$N:$N,가맹점정보!Q$4)</f>
        <v>1</v>
      </c>
      <c r="R561" s="81" t="n">
        <f aca="false">COUNTIFS(임대자산!$I:$I,가맹점정보!F561,임대자산!$N:$N,가맹점정보!R$4)</f>
        <v>0</v>
      </c>
      <c r="S561" s="82" t="n">
        <v>88000</v>
      </c>
      <c r="T561" s="83" t="n">
        <v>0</v>
      </c>
      <c r="U561" s="80" t="n">
        <f aca="false">SUM(S561:T561)</f>
        <v>88000</v>
      </c>
      <c r="V561" s="84" t="s">
        <v>12</v>
      </c>
      <c r="W561" s="80" t="e">
        <f aca="true">
IF(D561="폐업","폐업",
IF(V561="면제","면제",
IF(AND(V561="정상",COUNTIFS(OFFSET(Y561,0,COUNTA(Y561:AV561)-1,1,-4),"미납")&gt;=3),"장기미납",
IF(AND(V561="정상",OFFSET(Y561,0,COUNTA(Y561:AV561)-1)&gt;=U561),"정상",
IF(AND(V561="정상",OFFSET(Y561,0,COUNTA(Y561:AV561)-1)=0),"정상",
"계약서 미작성")))))</f>
        <v>#VALUE!</v>
      </c>
      <c r="X561" s="81" t="str">
        <f aca="true">
IF(D561="폐업","폐업",
IF(AND(V561="정상",OFFSET(Y561,0,COUNTA(Y561:AV561)-1)="미납"),"미납",
IF(AND(V561="정상",OFFSET(Y561,0,COUNTA(Y561:AV561)-1)=0),"납부 시작 전",
IF(AND(V561="정상",OFFSET(Y561,0,COUNTA(Y561:AV561)-1)&gt;=U561),"정상",
IF(AND(V561="면제",OFFSET(Y561,0,COUNTA(Y561:AV561)-1)="면제"),"면제",
IF(AND(V561="면제",OFFSET(Y561,0,COUNTA(Y561:AV561)-1)=0),"면제",
"확인요청"))))))</f>
        <v>정상</v>
      </c>
      <c r="Y561" s="93" t="n">
        <v>88000</v>
      </c>
      <c r="Z561" s="90" t="n">
        <v>88000</v>
      </c>
      <c r="AA561" s="90" t="n">
        <v>88000</v>
      </c>
      <c r="AB561" s="90" t="n">
        <v>88000</v>
      </c>
      <c r="AC561" s="90" t="n">
        <v>88000</v>
      </c>
      <c r="AD561" s="90" t="n">
        <v>88000</v>
      </c>
      <c r="AE561" s="90" t="n">
        <v>88000</v>
      </c>
      <c r="AF561" s="90" t="n">
        <v>88000</v>
      </c>
      <c r="AG561" s="90" t="n">
        <v>88000</v>
      </c>
      <c r="AH561" s="90" t="n">
        <v>88000</v>
      </c>
      <c r="AI561" s="90" t="n">
        <v>88000</v>
      </c>
      <c r="AJ561" s="91" t="n">
        <v>88000</v>
      </c>
      <c r="AK561" s="89" t="n">
        <v>88000</v>
      </c>
      <c r="AL561" s="90" t="n">
        <v>88000</v>
      </c>
      <c r="AM561" s="90"/>
      <c r="AN561" s="90"/>
      <c r="AO561" s="90"/>
      <c r="AP561" s="90"/>
      <c r="AQ561" s="90"/>
      <c r="AR561" s="90"/>
      <c r="AS561" s="90"/>
      <c r="AT561" s="90"/>
      <c r="AU561" s="90"/>
      <c r="AV561" s="91"/>
      <c r="AX561" s="92"/>
    </row>
    <row r="562" customFormat="false" ht="15.65" hidden="false" customHeight="false" outlineLevel="0" collapsed="false">
      <c r="C562" s="72" t="n">
        <f aca="false">COUNTIFS($D$6:D562,"&lt;&gt;"&amp;"")</f>
        <v>557</v>
      </c>
      <c r="D562" s="73" t="s">
        <v>12</v>
      </c>
      <c r="E562" s="76" t="str">
        <f aca="false">
IF($D562="정상",INDEX(임대자산!$D$3:$R$3000,MATCH($F562,임대자산!$I$3:$I$3000,0),MATCH(E$3,임대자산!$D$3:$R$3,0)),
IF($D562="폐업",INDEX(폐업정보!$D$3:$R$3000,MATCH($F562,폐업정보!$I$3:$I$3000,0),MATCH(E$3,폐업정보!$D$3:$R$3,0)),
"Error"))</f>
        <v>서울</v>
      </c>
      <c r="F56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B0557</v>
      </c>
      <c r="G562" s="76" t="str">
        <f aca="false">F562&amp;RANDBETWEEN(0,10)</f>
        <v>B055710</v>
      </c>
      <c r="H562" s="75" t="n">
        <f aca="false">
IF($D562="정상",INDEX(임대자산!$D$3:$R$3000,MATCH($F562,임대자산!$I$3:$I$3000,0),MATCH(H$4,임대자산!$D$3:$R$3,0)),
IF($D562="폐업",INDEX(폐업정보!$D$3:$R$3000,MATCH($F562,폐업정보!$I$3:$I$3000,0),MATCH(H$4,폐업정보!$D$3:$R$3,0)),
"Error"))</f>
        <v>45071</v>
      </c>
      <c r="I562" s="75" t="str">
        <f aca="false">
IF($D562="정상",INDEX(임대자산!$D$3:$R$3000,MATCH($F562,임대자산!$I$3:$I$3000,0),MATCH(I$4,임대자산!$D$3:$R$3,0)),
IF($D562="폐업",INDEX(폐업정보!$D$3:$R$3000,MATCH($F562,폐업정보!$I$3:$I$3000,0),MATCH(I$4,폐업정보!$D$3:$R$3,0)),
"Error"))</f>
        <v>A0557</v>
      </c>
      <c r="J562" s="75" t="str">
        <f aca="false">
IF($D562="정상",INDEX(임대자산!$D$3:$R$3000,MATCH($F562,임대자산!$I$3:$I$3000,0),MATCH(J$4,임대자산!$D$3:$R$3,0)),
IF($D562="폐업",INDEX(폐업정보!$D$3:$R$3000,MATCH($F562,폐업정보!$I$3:$I$3000,0),MATCH(J$4,폐업정보!$D$3:$R$3,0)),
"Error"))</f>
        <v>1050600000</v>
      </c>
      <c r="K562" s="75" t="str">
        <f aca="false">
IF($D562="정상",INDEX(임대자산!$D$3:$R$3000,MATCH($F562,임대자산!$I$3:$I$3000,0),MATCH(K$4,임대자산!$D$3:$R$3,0)),
IF($D562="폐업",INDEX(폐업정보!$D$3:$R$3000,MATCH($F562,폐업정보!$I$3:$I$3000,0),MATCH(K$4,폐업정보!$D$3:$R$3,0)),
"Error"))</f>
        <v>C0557</v>
      </c>
      <c r="L562" s="75" t="str">
        <f aca="false">
IF($D562="정상",INDEX(임대자산!$D$3:$R$3000,MATCH($F562,임대자산!$I$3:$I$3000,0),MATCH(L$4,임대자산!$D$3:$R$3,0)),
IF($D562="폐업",INDEX(폐업정보!$D$3:$R$3000,MATCH($F562,폐업정보!$I$3:$I$3000,0),MATCH(L$4,폐업정보!$D$3:$R$3,0)),
"Error"))</f>
        <v>D0557</v>
      </c>
      <c r="M562" s="76" t="s">
        <v>96</v>
      </c>
      <c r="N562" s="77"/>
      <c r="O562" s="78" t="s">
        <v>97</v>
      </c>
      <c r="P562" s="79" t="n">
        <f aca="false">COUNTIFS(임대자산!$I:$I,가맹점정보!F562,임대자산!$N:$N,가맹점정보!P$4)</f>
        <v>0</v>
      </c>
      <c r="Q562" s="80" t="n">
        <f aca="false">COUNTIFS(임대자산!$I:$I,가맹점정보!F562,임대자산!$N:$N,가맹점정보!Q$4)</f>
        <v>1</v>
      </c>
      <c r="R562" s="81" t="n">
        <f aca="false">COUNTIFS(임대자산!$I:$I,가맹점정보!F562,임대자산!$N:$N,가맹점정보!R$4)</f>
        <v>0</v>
      </c>
      <c r="S562" s="82" t="n">
        <v>55000</v>
      </c>
      <c r="T562" s="83" t="n">
        <v>0</v>
      </c>
      <c r="U562" s="80" t="n">
        <f aca="false">SUM(S562:T562)</f>
        <v>55000</v>
      </c>
      <c r="V562" s="84" t="s">
        <v>12</v>
      </c>
      <c r="W562" s="80" t="e">
        <f aca="true">
IF(D562="폐업","폐업",
IF(V562="면제","면제",
IF(AND(V562="정상",COUNTIFS(OFFSET(Y562,0,COUNTA(Y562:AV562)-1,1,-4),"미납")&gt;=3),"장기미납",
IF(AND(V562="정상",OFFSET(Y562,0,COUNTA(Y562:AV562)-1)&gt;=U562),"정상",
IF(AND(V562="정상",OFFSET(Y562,0,COUNTA(Y562:AV562)-1)=0),"정상",
"계약서 미작성")))))</f>
        <v>#VALUE!</v>
      </c>
      <c r="X562" s="81" t="str">
        <f aca="true">
IF(D562="폐업","폐업",
IF(AND(V562="정상",OFFSET(Y562,0,COUNTA(Y562:AV562)-1)="미납"),"미납",
IF(AND(V562="정상",OFFSET(Y562,0,COUNTA(Y562:AV562)-1)=0),"납부 시작 전",
IF(AND(V562="정상",OFFSET(Y562,0,COUNTA(Y562:AV562)-1)&gt;=U562),"정상",
IF(AND(V562="면제",OFFSET(Y562,0,COUNTA(Y562:AV562)-1)="면제"),"면제",
IF(AND(V562="면제",OFFSET(Y562,0,COUNTA(Y562:AV562)-1)=0),"면제",
"확인요청"))))))</f>
        <v>정상</v>
      </c>
      <c r="Y562" s="93" t="n">
        <v>55000</v>
      </c>
      <c r="Z562" s="90" t="n">
        <v>55000</v>
      </c>
      <c r="AA562" s="90" t="n">
        <v>55000</v>
      </c>
      <c r="AB562" s="90" t="n">
        <v>55000</v>
      </c>
      <c r="AC562" s="90" t="n">
        <v>55000</v>
      </c>
      <c r="AD562" s="90" t="n">
        <v>55000</v>
      </c>
      <c r="AE562" s="90" t="n">
        <v>55000</v>
      </c>
      <c r="AF562" s="90" t="n">
        <v>55000</v>
      </c>
      <c r="AG562" s="90" t="n">
        <v>55000</v>
      </c>
      <c r="AH562" s="90" t="n">
        <v>55000</v>
      </c>
      <c r="AI562" s="90" t="n">
        <v>55000</v>
      </c>
      <c r="AJ562" s="91" t="n">
        <v>55000</v>
      </c>
      <c r="AK562" s="89" t="n">
        <v>55000</v>
      </c>
      <c r="AL562" s="90" t="n">
        <v>55000</v>
      </c>
      <c r="AM562" s="90"/>
      <c r="AN562" s="90"/>
      <c r="AO562" s="90"/>
      <c r="AP562" s="90"/>
      <c r="AQ562" s="90"/>
      <c r="AR562" s="90"/>
      <c r="AS562" s="90"/>
      <c r="AT562" s="90"/>
      <c r="AU562" s="90"/>
      <c r="AV562" s="91"/>
      <c r="AX562" s="92"/>
    </row>
    <row r="563" customFormat="false" ht="15.65" hidden="false" customHeight="false" outlineLevel="0" collapsed="false">
      <c r="C563" s="72" t="n">
        <f aca="false">COUNTIFS($D$6:D563,"&lt;&gt;"&amp;"")</f>
        <v>558</v>
      </c>
      <c r="D563" s="73" t="s">
        <v>12</v>
      </c>
      <c r="E563" s="76" t="str">
        <f aca="false">
IF($D563="정상",INDEX(임대자산!$D$3:$R$3000,MATCH($F563,임대자산!$I$3:$I$3000,0),MATCH(E$3,임대자산!$D$3:$R$3,0)),
IF($D563="폐업",INDEX(폐업정보!$D$3:$R$3000,MATCH($F563,폐업정보!$I$3:$I$3000,0),MATCH(E$3,폐업정보!$D$3:$R$3,0)),
"Error"))</f>
        <v>경기</v>
      </c>
      <c r="F56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B0558</v>
      </c>
      <c r="G563" s="76" t="str">
        <f aca="false">F563&amp;RANDBETWEEN(0,10)</f>
        <v>B05581</v>
      </c>
      <c r="H563" s="75" t="n">
        <f aca="false">
IF($D563="정상",INDEX(임대자산!$D$3:$R$3000,MATCH($F563,임대자산!$I$3:$I$3000,0),MATCH(H$4,임대자산!$D$3:$R$3,0)),
IF($D563="폐업",INDEX(폐업정보!$D$3:$R$3000,MATCH($F563,폐업정보!$I$3:$I$3000,0),MATCH(H$4,폐업정보!$D$3:$R$3,0)),
"Error"))</f>
        <v>44510</v>
      </c>
      <c r="I563" s="75" t="str">
        <f aca="false">
IF($D563="정상",INDEX(임대자산!$D$3:$R$3000,MATCH($F563,임대자산!$I$3:$I$3000,0),MATCH(I$4,임대자산!$D$3:$R$3,0)),
IF($D563="폐업",INDEX(폐업정보!$D$3:$R$3000,MATCH($F563,폐업정보!$I$3:$I$3000,0),MATCH(I$4,폐업정보!$D$3:$R$3,0)),
"Error"))</f>
        <v>A0558</v>
      </c>
      <c r="J563" s="75" t="str">
        <f aca="false">
IF($D563="정상",INDEX(임대자산!$D$3:$R$3000,MATCH($F563,임대자산!$I$3:$I$3000,0),MATCH(J$4,임대자산!$D$3:$R$3,0)),
IF($D563="폐업",INDEX(폐업정보!$D$3:$R$3000,MATCH($F563,폐업정보!$I$3:$I$3000,0),MATCH(J$4,폐업정보!$D$3:$R$3,0)),
"Error"))</f>
        <v>9590000000</v>
      </c>
      <c r="K563" s="75" t="str">
        <f aca="false">
IF($D563="정상",INDEX(임대자산!$D$3:$R$3000,MATCH($F563,임대자산!$I$3:$I$3000,0),MATCH(K$4,임대자산!$D$3:$R$3,0)),
IF($D563="폐업",INDEX(폐업정보!$D$3:$R$3000,MATCH($F563,폐업정보!$I$3:$I$3000,0),MATCH(K$4,폐업정보!$D$3:$R$3,0)),
"Error"))</f>
        <v>C0558</v>
      </c>
      <c r="L563" s="75" t="str">
        <f aca="false">
IF($D563="정상",INDEX(임대자산!$D$3:$R$3000,MATCH($F563,임대자산!$I$3:$I$3000,0),MATCH(L$4,임대자산!$D$3:$R$3,0)),
IF($D563="폐업",INDEX(폐업정보!$D$3:$R$3000,MATCH($F563,폐업정보!$I$3:$I$3000,0),MATCH(L$4,폐업정보!$D$3:$R$3,0)),
"Error"))</f>
        <v>D0558</v>
      </c>
      <c r="M563" s="76" t="s">
        <v>96</v>
      </c>
      <c r="N563" s="77"/>
      <c r="O563" s="78" t="s">
        <v>97</v>
      </c>
      <c r="P563" s="79" t="n">
        <f aca="false">COUNTIFS(임대자산!$I:$I,가맹점정보!F563,임대자산!$N:$N,가맹점정보!P$4)</f>
        <v>0</v>
      </c>
      <c r="Q563" s="80" t="n">
        <f aca="false">COUNTIFS(임대자산!$I:$I,가맹점정보!F563,임대자산!$N:$N,가맹점정보!Q$4)</f>
        <v>1</v>
      </c>
      <c r="R563" s="81" t="n">
        <f aca="false">COUNTIFS(임대자산!$I:$I,가맹점정보!F563,임대자산!$N:$N,가맹점정보!R$4)</f>
        <v>0</v>
      </c>
      <c r="S563" s="82" t="n">
        <v>55000</v>
      </c>
      <c r="T563" s="83" t="n">
        <v>0</v>
      </c>
      <c r="U563" s="80" t="n">
        <f aca="false">SUM(S563:T563)</f>
        <v>55000</v>
      </c>
      <c r="V563" s="84" t="s">
        <v>12</v>
      </c>
      <c r="W563" s="80" t="e">
        <f aca="true">
IF(D563="폐업","폐업",
IF(V563="면제","면제",
IF(AND(V563="정상",COUNTIFS(OFFSET(Y563,0,COUNTA(Y563:AV563)-1,1,-4),"미납")&gt;=3),"장기미납",
IF(AND(V563="정상",OFFSET(Y563,0,COUNTA(Y563:AV563)-1)&gt;=U563),"정상",
IF(AND(V563="정상",OFFSET(Y563,0,COUNTA(Y563:AV563)-1)=0),"정상",
"계약서 미작성")))))</f>
        <v>#VALUE!</v>
      </c>
      <c r="X563" s="81" t="str">
        <f aca="true">
IF(D563="폐업","폐업",
IF(AND(V563="정상",OFFSET(Y563,0,COUNTA(Y563:AV563)-1)="미납"),"미납",
IF(AND(V563="정상",OFFSET(Y563,0,COUNTA(Y563:AV563)-1)=0),"납부 시작 전",
IF(AND(V563="정상",OFFSET(Y563,0,COUNTA(Y563:AV563)-1)&gt;=U563),"정상",
IF(AND(V563="면제",OFFSET(Y563,0,COUNTA(Y563:AV563)-1)="면제"),"면제",
IF(AND(V563="면제",OFFSET(Y563,0,COUNTA(Y563:AV563)-1)=0),"면제",
"확인요청"))))))</f>
        <v>정상</v>
      </c>
      <c r="Y563" s="93" t="n">
        <v>55000</v>
      </c>
      <c r="Z563" s="90" t="n">
        <v>55000</v>
      </c>
      <c r="AA563" s="90" t="n">
        <v>55000</v>
      </c>
      <c r="AB563" s="90" t="n">
        <v>55000</v>
      </c>
      <c r="AC563" s="90" t="n">
        <v>55000</v>
      </c>
      <c r="AD563" s="90" t="n">
        <v>55000</v>
      </c>
      <c r="AE563" s="90" t="n">
        <v>55000</v>
      </c>
      <c r="AF563" s="90" t="n">
        <v>55000</v>
      </c>
      <c r="AG563" s="90" t="n">
        <v>55000</v>
      </c>
      <c r="AH563" s="90" t="n">
        <v>55000</v>
      </c>
      <c r="AI563" s="90" t="n">
        <v>55000</v>
      </c>
      <c r="AJ563" s="91" t="n">
        <v>55000</v>
      </c>
      <c r="AK563" s="89" t="n">
        <v>55000</v>
      </c>
      <c r="AL563" s="90" t="n">
        <v>55000</v>
      </c>
      <c r="AM563" s="90"/>
      <c r="AN563" s="90"/>
      <c r="AO563" s="90"/>
      <c r="AP563" s="90"/>
      <c r="AQ563" s="90"/>
      <c r="AR563" s="90"/>
      <c r="AS563" s="90"/>
      <c r="AT563" s="90"/>
      <c r="AU563" s="90"/>
      <c r="AV563" s="91"/>
      <c r="AX563" s="92"/>
    </row>
    <row r="564" customFormat="false" ht="15.65" hidden="false" customHeight="false" outlineLevel="0" collapsed="false">
      <c r="C564" s="72" t="n">
        <f aca="false">COUNTIFS($D$6:D564,"&lt;&gt;"&amp;"")</f>
        <v>559</v>
      </c>
      <c r="D564" s="73" t="s">
        <v>12</v>
      </c>
      <c r="E564" s="76" t="str">
        <f aca="false">
IF($D564="정상",INDEX(임대자산!$D$3:$R$3000,MATCH($F564,임대자산!$I$3:$I$3000,0),MATCH(E$3,임대자산!$D$3:$R$3,0)),
IF($D564="폐업",INDEX(폐업정보!$D$3:$R$3000,MATCH($F564,폐업정보!$I$3:$I$3000,0),MATCH(E$3,폐업정보!$D$3:$R$3,0)),
"Error"))</f>
        <v>서울</v>
      </c>
      <c r="F56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B0559</v>
      </c>
      <c r="G564" s="76" t="str">
        <f aca="false">F564&amp;RANDBETWEEN(0,10)</f>
        <v>B05595</v>
      </c>
      <c r="H564" s="75" t="n">
        <f aca="false">
IF($D564="정상",INDEX(임대자산!$D$3:$R$3000,MATCH($F564,임대자산!$I$3:$I$3000,0),MATCH(H$4,임대자산!$D$3:$R$3,0)),
IF($D564="폐업",INDEX(폐업정보!$D$3:$R$3000,MATCH($F564,폐업정보!$I$3:$I$3000,0),MATCH(H$4,폐업정보!$D$3:$R$3,0)),
"Error"))</f>
        <v>43868</v>
      </c>
      <c r="I564" s="75" t="str">
        <f aca="false">
IF($D564="정상",INDEX(임대자산!$D$3:$R$3000,MATCH($F564,임대자산!$I$3:$I$3000,0),MATCH(I$4,임대자산!$D$3:$R$3,0)),
IF($D564="폐업",INDEX(폐업정보!$D$3:$R$3000,MATCH($F564,폐업정보!$I$3:$I$3000,0),MATCH(I$4,폐업정보!$D$3:$R$3,0)),
"Error"))</f>
        <v>A0559</v>
      </c>
      <c r="J564" s="75" t="str">
        <f aca="false">
IF($D564="정상",INDEX(임대자산!$D$3:$R$3000,MATCH($F564,임대자산!$I$3:$I$3000,0),MATCH(J$4,임대자산!$D$3:$R$3,0)),
IF($D564="폐업",INDEX(폐업정보!$D$3:$R$3000,MATCH($F564,폐업정보!$I$3:$I$3000,0),MATCH(J$4,폐업정보!$D$3:$R$3,0)),
"Error"))</f>
        <v>9030700000</v>
      </c>
      <c r="K564" s="75" t="str">
        <f aca="false">
IF($D564="정상",INDEX(임대자산!$D$3:$R$3000,MATCH($F564,임대자산!$I$3:$I$3000,0),MATCH(K$4,임대자산!$D$3:$R$3,0)),
IF($D564="폐업",INDEX(폐업정보!$D$3:$R$3000,MATCH($F564,폐업정보!$I$3:$I$3000,0),MATCH(K$4,폐업정보!$D$3:$R$3,0)),
"Error"))</f>
        <v>C0559</v>
      </c>
      <c r="L564" s="75" t="str">
        <f aca="false">
IF($D564="정상",INDEX(임대자산!$D$3:$R$3000,MATCH($F564,임대자산!$I$3:$I$3000,0),MATCH(L$4,임대자산!$D$3:$R$3,0)),
IF($D564="폐업",INDEX(폐업정보!$D$3:$R$3000,MATCH($F564,폐업정보!$I$3:$I$3000,0),MATCH(L$4,폐업정보!$D$3:$R$3,0)),
"Error"))</f>
        <v>D0559</v>
      </c>
      <c r="M564" s="76" t="s">
        <v>96</v>
      </c>
      <c r="N564" s="77"/>
      <c r="O564" s="78" t="s">
        <v>97</v>
      </c>
      <c r="P564" s="79" t="n">
        <f aca="false">COUNTIFS(임대자산!$I:$I,가맹점정보!F564,임대자산!$N:$N,가맹점정보!P$4)</f>
        <v>0</v>
      </c>
      <c r="Q564" s="80" t="n">
        <f aca="false">COUNTIFS(임대자산!$I:$I,가맹점정보!F564,임대자산!$N:$N,가맹점정보!Q$4)</f>
        <v>1</v>
      </c>
      <c r="R564" s="81" t="n">
        <f aca="false">COUNTIFS(임대자산!$I:$I,가맹점정보!F564,임대자산!$N:$N,가맹점정보!R$4)</f>
        <v>0</v>
      </c>
      <c r="S564" s="82" t="n">
        <v>88000</v>
      </c>
      <c r="T564" s="83" t="n">
        <v>0</v>
      </c>
      <c r="U564" s="80" t="n">
        <f aca="false">SUM(S564:T564)</f>
        <v>88000</v>
      </c>
      <c r="V564" s="84" t="s">
        <v>12</v>
      </c>
      <c r="W564" s="80" t="e">
        <f aca="true">
IF(D564="폐업","폐업",
IF(V564="면제","면제",
IF(AND(V564="정상",COUNTIFS(OFFSET(Y564,0,COUNTA(Y564:AV564)-1,1,-4),"미납")&gt;=3),"장기미납",
IF(AND(V564="정상",OFFSET(Y564,0,COUNTA(Y564:AV564)-1)&gt;=U564),"정상",
IF(AND(V564="정상",OFFSET(Y564,0,COUNTA(Y564:AV564)-1)=0),"정상",
"계약서 미작성")))))</f>
        <v>#VALUE!</v>
      </c>
      <c r="X564" s="81" t="str">
        <f aca="true">
IF(D564="폐업","폐업",
IF(AND(V564="정상",OFFSET(Y564,0,COUNTA(Y564:AV564)-1)="미납"),"미납",
IF(AND(V564="정상",OFFSET(Y564,0,COUNTA(Y564:AV564)-1)=0),"납부 시작 전",
IF(AND(V564="정상",OFFSET(Y564,0,COUNTA(Y564:AV564)-1)&gt;=U564),"정상",
IF(AND(V564="면제",OFFSET(Y564,0,COUNTA(Y564:AV564)-1)="면제"),"면제",
IF(AND(V564="면제",OFFSET(Y564,0,COUNTA(Y564:AV564)-1)=0),"면제",
"확인요청"))))))</f>
        <v>정상</v>
      </c>
      <c r="Y564" s="93" t="n">
        <v>88000</v>
      </c>
      <c r="Z564" s="90" t="n">
        <v>88000</v>
      </c>
      <c r="AA564" s="90" t="n">
        <v>88000</v>
      </c>
      <c r="AB564" s="90" t="n">
        <v>88000</v>
      </c>
      <c r="AC564" s="90" t="n">
        <v>88000</v>
      </c>
      <c r="AD564" s="90" t="n">
        <v>88000</v>
      </c>
      <c r="AE564" s="90" t="n">
        <v>88000</v>
      </c>
      <c r="AF564" s="90" t="n">
        <v>88000</v>
      </c>
      <c r="AG564" s="90" t="n">
        <v>88000</v>
      </c>
      <c r="AH564" s="90" t="n">
        <v>88000</v>
      </c>
      <c r="AI564" s="90" t="n">
        <v>88000</v>
      </c>
      <c r="AJ564" s="91" t="n">
        <v>88000</v>
      </c>
      <c r="AK564" s="89" t="n">
        <v>88000</v>
      </c>
      <c r="AL564" s="90" t="n">
        <v>88000</v>
      </c>
      <c r="AM564" s="90"/>
      <c r="AN564" s="90"/>
      <c r="AO564" s="90"/>
      <c r="AP564" s="90"/>
      <c r="AQ564" s="90"/>
      <c r="AR564" s="90"/>
      <c r="AS564" s="90"/>
      <c r="AT564" s="90"/>
      <c r="AU564" s="90"/>
      <c r="AV564" s="91"/>
      <c r="AX564" s="92"/>
    </row>
    <row r="565" customFormat="false" ht="15.65" hidden="false" customHeight="false" outlineLevel="0" collapsed="false">
      <c r="C565" s="72" t="n">
        <f aca="false">COUNTIFS($D$6:D565,"&lt;&gt;"&amp;"")</f>
        <v>560</v>
      </c>
      <c r="D565" s="73" t="s">
        <v>12</v>
      </c>
      <c r="E565" s="76" t="str">
        <f aca="false">
IF($D565="정상",INDEX(임대자산!$D$3:$R$3000,MATCH($F565,임대자산!$I$3:$I$3000,0),MATCH(E$3,임대자산!$D$3:$R$3,0)),
IF($D565="폐업",INDEX(폐업정보!$D$3:$R$3000,MATCH($F565,폐업정보!$I$3:$I$3000,0),MATCH(E$3,폐업정보!$D$3:$R$3,0)),
"Error"))</f>
        <v>서울</v>
      </c>
      <c r="F56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B0560</v>
      </c>
      <c r="G565" s="76" t="str">
        <f aca="false">F565&amp;RANDBETWEEN(0,10)</f>
        <v>B05607</v>
      </c>
      <c r="H565" s="75" t="n">
        <f aca="false">
IF($D565="정상",INDEX(임대자산!$D$3:$R$3000,MATCH($F565,임대자산!$I$3:$I$3000,0),MATCH(H$4,임대자산!$D$3:$R$3,0)),
IF($D565="폐업",INDEX(폐업정보!$D$3:$R$3000,MATCH($F565,폐업정보!$I$3:$I$3000,0),MATCH(H$4,폐업정보!$D$3:$R$3,0)),
"Error"))</f>
        <v>46001</v>
      </c>
      <c r="I565" s="75" t="str">
        <f aca="false">
IF($D565="정상",INDEX(임대자산!$D$3:$R$3000,MATCH($F565,임대자산!$I$3:$I$3000,0),MATCH(I$4,임대자산!$D$3:$R$3,0)),
IF($D565="폐업",INDEX(폐업정보!$D$3:$R$3000,MATCH($F565,폐업정보!$I$3:$I$3000,0),MATCH(I$4,폐업정보!$D$3:$R$3,0)),
"Error"))</f>
        <v>A0560</v>
      </c>
      <c r="J565" s="75" t="str">
        <f aca="false">
IF($D565="정상",INDEX(임대자산!$D$3:$R$3000,MATCH($F565,임대자산!$I$3:$I$3000,0),MATCH(J$4,임대자산!$D$3:$R$3,0)),
IF($D565="폐업",INDEX(폐업정보!$D$3:$R$3000,MATCH($F565,폐업정보!$I$3:$I$3000,0),MATCH(J$4,폐업정보!$D$3:$R$3,0)),
"Error"))</f>
        <v>7679400000</v>
      </c>
      <c r="K565" s="75" t="str">
        <f aca="false">
IF($D565="정상",INDEX(임대자산!$D$3:$R$3000,MATCH($F565,임대자산!$I$3:$I$3000,0),MATCH(K$4,임대자산!$D$3:$R$3,0)),
IF($D565="폐업",INDEX(폐업정보!$D$3:$R$3000,MATCH($F565,폐업정보!$I$3:$I$3000,0),MATCH(K$4,폐업정보!$D$3:$R$3,0)),
"Error"))</f>
        <v>C0560</v>
      </c>
      <c r="L565" s="75" t="str">
        <f aca="false">
IF($D565="정상",INDEX(임대자산!$D$3:$R$3000,MATCH($F565,임대자산!$I$3:$I$3000,0),MATCH(L$4,임대자산!$D$3:$R$3,0)),
IF($D565="폐업",INDEX(폐업정보!$D$3:$R$3000,MATCH($F565,폐업정보!$I$3:$I$3000,0),MATCH(L$4,폐업정보!$D$3:$R$3,0)),
"Error"))</f>
        <v>D0560</v>
      </c>
      <c r="M565" s="76" t="s">
        <v>96</v>
      </c>
      <c r="N565" s="77"/>
      <c r="O565" s="78" t="s">
        <v>97</v>
      </c>
      <c r="P565" s="79" t="n">
        <f aca="false">COUNTIFS(임대자산!$I:$I,가맹점정보!F565,임대자산!$N:$N,가맹점정보!P$4)</f>
        <v>0</v>
      </c>
      <c r="Q565" s="80" t="n">
        <f aca="false">COUNTIFS(임대자산!$I:$I,가맹점정보!F565,임대자산!$N:$N,가맹점정보!Q$4)</f>
        <v>1</v>
      </c>
      <c r="R565" s="81" t="n">
        <f aca="false">COUNTIFS(임대자산!$I:$I,가맹점정보!F565,임대자산!$N:$N,가맹점정보!R$4)</f>
        <v>0</v>
      </c>
      <c r="S565" s="82" t="n">
        <v>55000</v>
      </c>
      <c r="T565" s="83" t="n">
        <v>0</v>
      </c>
      <c r="U565" s="80" t="n">
        <f aca="false">SUM(S565:T565)</f>
        <v>55000</v>
      </c>
      <c r="V565" s="84" t="s">
        <v>12</v>
      </c>
      <c r="W565" s="80" t="e">
        <f aca="true">
IF(D565="폐업","폐업",
IF(V565="면제","면제",
IF(AND(V565="정상",COUNTIFS(OFFSET(Y565,0,COUNTA(Y565:AV565)-1,1,-4),"미납")&gt;=3),"장기미납",
IF(AND(V565="정상",OFFSET(Y565,0,COUNTA(Y565:AV565)-1)&gt;=U565),"정상",
IF(AND(V565="정상",OFFSET(Y565,0,COUNTA(Y565:AV565)-1)=0),"정상",
"계약서 미작성")))))</f>
        <v>#VALUE!</v>
      </c>
      <c r="X565" s="81" t="str">
        <f aca="true">
IF(D565="폐업","폐업",
IF(AND(V565="정상",OFFSET(Y565,0,COUNTA(Y565:AV565)-1)="미납"),"미납",
IF(AND(V565="정상",OFFSET(Y565,0,COUNTA(Y565:AV565)-1)=0),"납부 시작 전",
IF(AND(V565="정상",OFFSET(Y565,0,COUNTA(Y565:AV565)-1)&gt;=U565),"정상",
IF(AND(V565="면제",OFFSET(Y565,0,COUNTA(Y565:AV565)-1)="면제"),"면제",
IF(AND(V565="면제",OFFSET(Y565,0,COUNTA(Y565:AV565)-1)=0),"면제",
"확인요청"))))))</f>
        <v>정상</v>
      </c>
      <c r="Y565" s="93" t="n">
        <v>55000</v>
      </c>
      <c r="Z565" s="90" t="n">
        <v>55000</v>
      </c>
      <c r="AA565" s="90" t="n">
        <v>55000</v>
      </c>
      <c r="AB565" s="90" t="n">
        <v>55000</v>
      </c>
      <c r="AC565" s="90" t="n">
        <v>55000</v>
      </c>
      <c r="AD565" s="90" t="n">
        <v>55000</v>
      </c>
      <c r="AE565" s="90" t="n">
        <v>55000</v>
      </c>
      <c r="AF565" s="90" t="n">
        <v>55000</v>
      </c>
      <c r="AG565" s="90" t="n">
        <v>55000</v>
      </c>
      <c r="AH565" s="90" t="n">
        <v>55000</v>
      </c>
      <c r="AI565" s="90" t="n">
        <v>55000</v>
      </c>
      <c r="AJ565" s="91" t="n">
        <v>55000</v>
      </c>
      <c r="AK565" s="89" t="n">
        <v>55000</v>
      </c>
      <c r="AL565" s="90" t="n">
        <v>55000</v>
      </c>
      <c r="AM565" s="90"/>
      <c r="AN565" s="90"/>
      <c r="AO565" s="90"/>
      <c r="AP565" s="90"/>
      <c r="AQ565" s="90"/>
      <c r="AR565" s="90"/>
      <c r="AS565" s="90"/>
      <c r="AT565" s="90"/>
      <c r="AU565" s="90"/>
      <c r="AV565" s="91"/>
      <c r="AX565" s="92"/>
    </row>
    <row r="566" customFormat="false" ht="15.65" hidden="false" customHeight="false" outlineLevel="0" collapsed="false">
      <c r="C566" s="72" t="n">
        <f aca="false">COUNTIFS($D$6:D566,"&lt;&gt;"&amp;"")</f>
        <v>561</v>
      </c>
      <c r="D566" s="73" t="s">
        <v>12</v>
      </c>
      <c r="E566" s="76" t="str">
        <f aca="false">
IF($D566="정상",INDEX(임대자산!$D$3:$R$3000,MATCH($F566,임대자산!$I$3:$I$3000,0),MATCH(E$3,임대자산!$D$3:$R$3,0)),
IF($D566="폐업",INDEX(폐업정보!$D$3:$R$3000,MATCH($F566,폐업정보!$I$3:$I$3000,0),MATCH(E$3,폐업정보!$D$3:$R$3,0)),
"Error"))</f>
        <v>강원</v>
      </c>
      <c r="F56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B0561</v>
      </c>
      <c r="G566" s="76" t="str">
        <f aca="false">F566&amp;RANDBETWEEN(0,10)</f>
        <v>B05611</v>
      </c>
      <c r="H566" s="75" t="n">
        <f aca="false">
IF($D566="정상",INDEX(임대자산!$D$3:$R$3000,MATCH($F566,임대자산!$I$3:$I$3000,0),MATCH(H$4,임대자산!$D$3:$R$3,0)),
IF($D566="폐업",INDEX(폐업정보!$D$3:$R$3000,MATCH($F566,폐업정보!$I$3:$I$3000,0),MATCH(H$4,폐업정보!$D$3:$R$3,0)),
"Error"))</f>
        <v>43256</v>
      </c>
      <c r="I566" s="75" t="str">
        <f aca="false">
IF($D566="정상",INDEX(임대자산!$D$3:$R$3000,MATCH($F566,임대자산!$I$3:$I$3000,0),MATCH(I$4,임대자산!$D$3:$R$3,0)),
IF($D566="폐업",INDEX(폐업정보!$D$3:$R$3000,MATCH($F566,폐업정보!$I$3:$I$3000,0),MATCH(I$4,폐업정보!$D$3:$R$3,0)),
"Error"))</f>
        <v>A0561</v>
      </c>
      <c r="J566" s="75" t="str">
        <f aca="false">
IF($D566="정상",INDEX(임대자산!$D$3:$R$3000,MATCH($F566,임대자산!$I$3:$I$3000,0),MATCH(J$4,임대자산!$D$3:$R$3,0)),
IF($D566="폐업",INDEX(폐업정보!$D$3:$R$3000,MATCH($F566,폐업정보!$I$3:$I$3000,0),MATCH(J$4,폐업정보!$D$3:$R$3,0)),
"Error"))</f>
        <v>9585400000</v>
      </c>
      <c r="K566" s="75" t="str">
        <f aca="false">
IF($D566="정상",INDEX(임대자산!$D$3:$R$3000,MATCH($F566,임대자산!$I$3:$I$3000,0),MATCH(K$4,임대자산!$D$3:$R$3,0)),
IF($D566="폐업",INDEX(폐업정보!$D$3:$R$3000,MATCH($F566,폐업정보!$I$3:$I$3000,0),MATCH(K$4,폐업정보!$D$3:$R$3,0)),
"Error"))</f>
        <v>C0561</v>
      </c>
      <c r="L566" s="75" t="str">
        <f aca="false">
IF($D566="정상",INDEX(임대자산!$D$3:$R$3000,MATCH($F566,임대자산!$I$3:$I$3000,0),MATCH(L$4,임대자산!$D$3:$R$3,0)),
IF($D566="폐업",INDEX(폐업정보!$D$3:$R$3000,MATCH($F566,폐업정보!$I$3:$I$3000,0),MATCH(L$4,폐업정보!$D$3:$R$3,0)),
"Error"))</f>
        <v>D0561</v>
      </c>
      <c r="M566" s="76" t="s">
        <v>96</v>
      </c>
      <c r="N566" s="77"/>
      <c r="O566" s="78" t="s">
        <v>97</v>
      </c>
      <c r="P566" s="79" t="n">
        <f aca="false">COUNTIFS(임대자산!$I:$I,가맹점정보!F566,임대자산!$N:$N,가맹점정보!P$4)</f>
        <v>0</v>
      </c>
      <c r="Q566" s="80" t="n">
        <f aca="false">COUNTIFS(임대자산!$I:$I,가맹점정보!F566,임대자산!$N:$N,가맹점정보!Q$4)</f>
        <v>1</v>
      </c>
      <c r="R566" s="81" t="n">
        <f aca="false">COUNTIFS(임대자산!$I:$I,가맹점정보!F566,임대자산!$N:$N,가맹점정보!R$4)</f>
        <v>0</v>
      </c>
      <c r="S566" s="82" t="n">
        <v>55000</v>
      </c>
      <c r="T566" s="83" t="n">
        <v>0</v>
      </c>
      <c r="U566" s="80" t="n">
        <f aca="false">SUM(S566:T566)</f>
        <v>55000</v>
      </c>
      <c r="V566" s="84" t="s">
        <v>12</v>
      </c>
      <c r="W566" s="80" t="e">
        <f aca="true">
IF(D566="폐업","폐업",
IF(V566="면제","면제",
IF(AND(V566="정상",COUNTIFS(OFFSET(Y566,0,COUNTA(Y566:AV566)-1,1,-4),"미납")&gt;=3),"장기미납",
IF(AND(V566="정상",OFFSET(Y566,0,COUNTA(Y566:AV566)-1)&gt;=U566),"정상",
IF(AND(V566="정상",OFFSET(Y566,0,COUNTA(Y566:AV566)-1)=0),"정상",
"계약서 미작성")))))</f>
        <v>#VALUE!</v>
      </c>
      <c r="X566" s="81" t="str">
        <f aca="true">
IF(D566="폐업","폐업",
IF(AND(V566="정상",OFFSET(Y566,0,COUNTA(Y566:AV566)-1)="미납"),"미납",
IF(AND(V566="정상",OFFSET(Y566,0,COUNTA(Y566:AV566)-1)=0),"납부 시작 전",
IF(AND(V566="정상",OFFSET(Y566,0,COUNTA(Y566:AV566)-1)&gt;=U566),"정상",
IF(AND(V566="면제",OFFSET(Y566,0,COUNTA(Y566:AV566)-1)="면제"),"면제",
IF(AND(V566="면제",OFFSET(Y566,0,COUNTA(Y566:AV566)-1)=0),"면제",
"확인요청"))))))</f>
        <v>정상</v>
      </c>
      <c r="Y566" s="93" t="n">
        <v>55000</v>
      </c>
      <c r="Z566" s="90" t="n">
        <v>55000</v>
      </c>
      <c r="AA566" s="90" t="n">
        <v>55000</v>
      </c>
      <c r="AB566" s="90" t="n">
        <v>55000</v>
      </c>
      <c r="AC566" s="90" t="n">
        <v>55000</v>
      </c>
      <c r="AD566" s="90" t="n">
        <v>55000</v>
      </c>
      <c r="AE566" s="90" t="n">
        <v>55000</v>
      </c>
      <c r="AF566" s="90" t="n">
        <v>55000</v>
      </c>
      <c r="AG566" s="90" t="n">
        <v>55000</v>
      </c>
      <c r="AH566" s="90" t="n">
        <v>55000</v>
      </c>
      <c r="AI566" s="90" t="n">
        <v>55000</v>
      </c>
      <c r="AJ566" s="91" t="n">
        <v>55000</v>
      </c>
      <c r="AK566" s="89" t="n">
        <v>55000</v>
      </c>
      <c r="AL566" s="90" t="n">
        <v>55000</v>
      </c>
      <c r="AM566" s="90"/>
      <c r="AN566" s="90"/>
      <c r="AO566" s="90"/>
      <c r="AP566" s="90"/>
      <c r="AQ566" s="90"/>
      <c r="AR566" s="90"/>
      <c r="AS566" s="90"/>
      <c r="AT566" s="90"/>
      <c r="AU566" s="90"/>
      <c r="AV566" s="91"/>
      <c r="AX566" s="92"/>
    </row>
    <row r="567" customFormat="false" ht="15.65" hidden="false" customHeight="false" outlineLevel="0" collapsed="false">
      <c r="C567" s="72" t="n">
        <f aca="false">COUNTIFS($D$6:D567,"&lt;&gt;"&amp;"")</f>
        <v>562</v>
      </c>
      <c r="D567" s="73" t="s">
        <v>12</v>
      </c>
      <c r="E567" s="76" t="str">
        <f aca="false">
IF($D567="정상",INDEX(임대자산!$D$3:$R$3000,MATCH($F567,임대자산!$I$3:$I$3000,0),MATCH(E$3,임대자산!$D$3:$R$3,0)),
IF($D567="폐업",INDEX(폐업정보!$D$3:$R$3000,MATCH($F567,폐업정보!$I$3:$I$3000,0),MATCH(E$3,폐업정보!$D$3:$R$3,0)),
"Error"))</f>
        <v>서울</v>
      </c>
      <c r="F56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B0562</v>
      </c>
      <c r="G567" s="76" t="str">
        <f aca="false">F567&amp;RANDBETWEEN(0,10)</f>
        <v>B05627</v>
      </c>
      <c r="H567" s="75" t="n">
        <f aca="false">
IF($D567="정상",INDEX(임대자산!$D$3:$R$3000,MATCH($F567,임대자산!$I$3:$I$3000,0),MATCH(H$4,임대자산!$D$3:$R$3,0)),
IF($D567="폐업",INDEX(폐업정보!$D$3:$R$3000,MATCH($F567,폐업정보!$I$3:$I$3000,0),MATCH(H$4,폐업정보!$D$3:$R$3,0)),
"Error"))</f>
        <v>45104</v>
      </c>
      <c r="I567" s="75" t="str">
        <f aca="false">
IF($D567="정상",INDEX(임대자산!$D$3:$R$3000,MATCH($F567,임대자산!$I$3:$I$3000,0),MATCH(I$4,임대자산!$D$3:$R$3,0)),
IF($D567="폐업",INDEX(폐업정보!$D$3:$R$3000,MATCH($F567,폐업정보!$I$3:$I$3000,0),MATCH(I$4,폐업정보!$D$3:$R$3,0)),
"Error"))</f>
        <v>A0562</v>
      </c>
      <c r="J567" s="75" t="str">
        <f aca="false">
IF($D567="정상",INDEX(임대자산!$D$3:$R$3000,MATCH($F567,임대자산!$I$3:$I$3000,0),MATCH(J$4,임대자산!$D$3:$R$3,0)),
IF($D567="폐업",INDEX(폐업정보!$D$3:$R$3000,MATCH($F567,폐업정보!$I$3:$I$3000,0),MATCH(J$4,폐업정보!$D$3:$R$3,0)),
"Error"))</f>
        <v>4848800000</v>
      </c>
      <c r="K567" s="75" t="str">
        <f aca="false">
IF($D567="정상",INDEX(임대자산!$D$3:$R$3000,MATCH($F567,임대자산!$I$3:$I$3000,0),MATCH(K$4,임대자산!$D$3:$R$3,0)),
IF($D567="폐업",INDEX(폐업정보!$D$3:$R$3000,MATCH($F567,폐업정보!$I$3:$I$3000,0),MATCH(K$4,폐업정보!$D$3:$R$3,0)),
"Error"))</f>
        <v>C0562</v>
      </c>
      <c r="L567" s="75" t="str">
        <f aca="false">
IF($D567="정상",INDEX(임대자산!$D$3:$R$3000,MATCH($F567,임대자산!$I$3:$I$3000,0),MATCH(L$4,임대자산!$D$3:$R$3,0)),
IF($D567="폐업",INDEX(폐업정보!$D$3:$R$3000,MATCH($F567,폐업정보!$I$3:$I$3000,0),MATCH(L$4,폐업정보!$D$3:$R$3,0)),
"Error"))</f>
        <v>D0562</v>
      </c>
      <c r="M567" s="76" t="s">
        <v>96</v>
      </c>
      <c r="N567" s="77"/>
      <c r="O567" s="78" t="s">
        <v>97</v>
      </c>
      <c r="P567" s="79" t="n">
        <f aca="false">COUNTIFS(임대자산!$I:$I,가맹점정보!F567,임대자산!$N:$N,가맹점정보!P$4)</f>
        <v>0</v>
      </c>
      <c r="Q567" s="80" t="n">
        <f aca="false">COUNTIFS(임대자산!$I:$I,가맹점정보!F567,임대자산!$N:$N,가맹점정보!Q$4)</f>
        <v>1</v>
      </c>
      <c r="R567" s="81" t="n">
        <f aca="false">COUNTIFS(임대자산!$I:$I,가맹점정보!F567,임대자산!$N:$N,가맹점정보!R$4)</f>
        <v>0</v>
      </c>
      <c r="S567" s="82" t="n">
        <v>55000</v>
      </c>
      <c r="T567" s="83" t="n">
        <v>0</v>
      </c>
      <c r="U567" s="80" t="n">
        <f aca="false">SUM(S567:T567)</f>
        <v>55000</v>
      </c>
      <c r="V567" s="84" t="s">
        <v>12</v>
      </c>
      <c r="W567" s="80" t="e">
        <f aca="true">
IF(D567="폐업","폐업",
IF(V567="면제","면제",
IF(AND(V567="정상",COUNTIFS(OFFSET(Y567,0,COUNTA(Y567:AV567)-1,1,-4),"미납")&gt;=3),"장기미납",
IF(AND(V567="정상",OFFSET(Y567,0,COUNTA(Y567:AV567)-1)&gt;=U567),"정상",
IF(AND(V567="정상",OFFSET(Y567,0,COUNTA(Y567:AV567)-1)=0),"정상",
"계약서 미작성")))))</f>
        <v>#VALUE!</v>
      </c>
      <c r="X567" s="81" t="str">
        <f aca="true">
IF(D567="폐업","폐업",
IF(AND(V567="정상",OFFSET(Y567,0,COUNTA(Y567:AV567)-1)="미납"),"미납",
IF(AND(V567="정상",OFFSET(Y567,0,COUNTA(Y567:AV567)-1)=0),"납부 시작 전",
IF(AND(V567="정상",OFFSET(Y567,0,COUNTA(Y567:AV567)-1)&gt;=U567),"정상",
IF(AND(V567="면제",OFFSET(Y567,0,COUNTA(Y567:AV567)-1)="면제"),"면제",
IF(AND(V567="면제",OFFSET(Y567,0,COUNTA(Y567:AV567)-1)=0),"면제",
"확인요청"))))))</f>
        <v>정상</v>
      </c>
      <c r="Y567" s="93" t="n">
        <v>55000</v>
      </c>
      <c r="Z567" s="90" t="n">
        <v>55000</v>
      </c>
      <c r="AA567" s="90" t="n">
        <v>55000</v>
      </c>
      <c r="AB567" s="90" t="n">
        <v>55000</v>
      </c>
      <c r="AC567" s="90" t="n">
        <v>55000</v>
      </c>
      <c r="AD567" s="90" t="n">
        <v>55000</v>
      </c>
      <c r="AE567" s="90" t="n">
        <v>55000</v>
      </c>
      <c r="AF567" s="90" t="n">
        <v>55000</v>
      </c>
      <c r="AG567" s="90" t="n">
        <v>55000</v>
      </c>
      <c r="AH567" s="90" t="n">
        <v>55000</v>
      </c>
      <c r="AI567" s="90" t="n">
        <v>55000</v>
      </c>
      <c r="AJ567" s="91" t="n">
        <v>55000</v>
      </c>
      <c r="AK567" s="89" t="n">
        <v>55000</v>
      </c>
      <c r="AL567" s="90" t="n">
        <v>55000</v>
      </c>
      <c r="AM567" s="90"/>
      <c r="AN567" s="90"/>
      <c r="AO567" s="90"/>
      <c r="AP567" s="90"/>
      <c r="AQ567" s="90"/>
      <c r="AR567" s="90"/>
      <c r="AS567" s="90"/>
      <c r="AT567" s="90"/>
      <c r="AU567" s="90"/>
      <c r="AV567" s="91"/>
      <c r="AX567" s="92"/>
    </row>
    <row r="568" customFormat="false" ht="15.65" hidden="false" customHeight="false" outlineLevel="0" collapsed="false">
      <c r="C568" s="72" t="n">
        <f aca="false">COUNTIFS($D$6:D568,"&lt;&gt;"&amp;"")</f>
        <v>563</v>
      </c>
      <c r="D568" s="73" t="s">
        <v>12</v>
      </c>
      <c r="E568" s="76" t="str">
        <f aca="false">
IF($D568="정상",INDEX(임대자산!$D$3:$R$3000,MATCH($F568,임대자산!$I$3:$I$3000,0),MATCH(E$3,임대자산!$D$3:$R$3,0)),
IF($D568="폐업",INDEX(폐업정보!$D$3:$R$3000,MATCH($F568,폐업정보!$I$3:$I$3000,0),MATCH(E$3,폐업정보!$D$3:$R$3,0)),
"Error"))</f>
        <v>경기</v>
      </c>
      <c r="F56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B0563</v>
      </c>
      <c r="G568" s="76" t="str">
        <f aca="false">F568&amp;RANDBETWEEN(0,10)</f>
        <v>B05639</v>
      </c>
      <c r="H568" s="75" t="n">
        <f aca="false">
IF($D568="정상",INDEX(임대자산!$D$3:$R$3000,MATCH($F568,임대자산!$I$3:$I$3000,0),MATCH(H$4,임대자산!$D$3:$R$3,0)),
IF($D568="폐업",INDEX(폐업정보!$D$3:$R$3000,MATCH($F568,폐업정보!$I$3:$I$3000,0),MATCH(H$4,폐업정보!$D$3:$R$3,0)),
"Error"))</f>
        <v>45264</v>
      </c>
      <c r="I568" s="75" t="str">
        <f aca="false">
IF($D568="정상",INDEX(임대자산!$D$3:$R$3000,MATCH($F568,임대자산!$I$3:$I$3000,0),MATCH(I$4,임대자산!$D$3:$R$3,0)),
IF($D568="폐업",INDEX(폐업정보!$D$3:$R$3000,MATCH($F568,폐업정보!$I$3:$I$3000,0),MATCH(I$4,폐업정보!$D$3:$R$3,0)),
"Error"))</f>
        <v>A0563</v>
      </c>
      <c r="J568" s="75" t="str">
        <f aca="false">
IF($D568="정상",INDEX(임대자산!$D$3:$R$3000,MATCH($F568,임대자산!$I$3:$I$3000,0),MATCH(J$4,임대자산!$D$3:$R$3,0)),
IF($D568="폐업",INDEX(폐업정보!$D$3:$R$3000,MATCH($F568,폐업정보!$I$3:$I$3000,0),MATCH(J$4,폐업정보!$D$3:$R$3,0)),
"Error"))</f>
        <v>7247200000</v>
      </c>
      <c r="K568" s="75" t="str">
        <f aca="false">
IF($D568="정상",INDEX(임대자산!$D$3:$R$3000,MATCH($F568,임대자산!$I$3:$I$3000,0),MATCH(K$4,임대자산!$D$3:$R$3,0)),
IF($D568="폐업",INDEX(폐업정보!$D$3:$R$3000,MATCH($F568,폐업정보!$I$3:$I$3000,0),MATCH(K$4,폐업정보!$D$3:$R$3,0)),
"Error"))</f>
        <v>C0563</v>
      </c>
      <c r="L568" s="75" t="str">
        <f aca="false">
IF($D568="정상",INDEX(임대자산!$D$3:$R$3000,MATCH($F568,임대자산!$I$3:$I$3000,0),MATCH(L$4,임대자산!$D$3:$R$3,0)),
IF($D568="폐업",INDEX(폐업정보!$D$3:$R$3000,MATCH($F568,폐업정보!$I$3:$I$3000,0),MATCH(L$4,폐업정보!$D$3:$R$3,0)),
"Error"))</f>
        <v>D0563</v>
      </c>
      <c r="M568" s="76" t="s">
        <v>96</v>
      </c>
      <c r="N568" s="77"/>
      <c r="O568" s="78" t="s">
        <v>97</v>
      </c>
      <c r="P568" s="79" t="n">
        <f aca="false">COUNTIFS(임대자산!$I:$I,가맹점정보!F568,임대자산!$N:$N,가맹점정보!P$4)</f>
        <v>0</v>
      </c>
      <c r="Q568" s="80" t="n">
        <f aca="false">COUNTIFS(임대자산!$I:$I,가맹점정보!F568,임대자산!$N:$N,가맹점정보!Q$4)</f>
        <v>1</v>
      </c>
      <c r="R568" s="81" t="n">
        <f aca="false">COUNTIFS(임대자산!$I:$I,가맹점정보!F568,임대자산!$N:$N,가맹점정보!R$4)</f>
        <v>0</v>
      </c>
      <c r="S568" s="82" t="n">
        <v>55000</v>
      </c>
      <c r="T568" s="83" t="n">
        <v>0</v>
      </c>
      <c r="U568" s="80" t="n">
        <f aca="false">SUM(S568:T568)</f>
        <v>55000</v>
      </c>
      <c r="V568" s="84" t="s">
        <v>12</v>
      </c>
      <c r="W568" s="80" t="e">
        <f aca="true">
IF(D568="폐업","폐업",
IF(V568="면제","면제",
IF(AND(V568="정상",COUNTIFS(OFFSET(Y568,0,COUNTA(Y568:AV568)-1,1,-4),"미납")&gt;=3),"장기미납",
IF(AND(V568="정상",OFFSET(Y568,0,COUNTA(Y568:AV568)-1)&gt;=U568),"정상",
IF(AND(V568="정상",OFFSET(Y568,0,COUNTA(Y568:AV568)-1)=0),"정상",
"계약서 미작성")))))</f>
        <v>#VALUE!</v>
      </c>
      <c r="X568" s="81" t="str">
        <f aca="true">
IF(D568="폐업","폐업",
IF(AND(V568="정상",OFFSET(Y568,0,COUNTA(Y568:AV568)-1)="미납"),"미납",
IF(AND(V568="정상",OFFSET(Y568,0,COUNTA(Y568:AV568)-1)=0),"납부 시작 전",
IF(AND(V568="정상",OFFSET(Y568,0,COUNTA(Y568:AV568)-1)&gt;=U568),"정상",
IF(AND(V568="면제",OFFSET(Y568,0,COUNTA(Y568:AV568)-1)="면제"),"면제",
IF(AND(V568="면제",OFFSET(Y568,0,COUNTA(Y568:AV568)-1)=0),"면제",
"확인요청"))))))</f>
        <v>정상</v>
      </c>
      <c r="Y568" s="93" t="n">
        <v>0</v>
      </c>
      <c r="Z568" s="90" t="n">
        <v>0</v>
      </c>
      <c r="AA568" s="90" t="n">
        <v>0</v>
      </c>
      <c r="AB568" s="90" t="n">
        <v>0</v>
      </c>
      <c r="AC568" s="90" t="n">
        <v>55000</v>
      </c>
      <c r="AD568" s="90" t="n">
        <v>55000</v>
      </c>
      <c r="AE568" s="90" t="n">
        <v>55000</v>
      </c>
      <c r="AF568" s="90" t="n">
        <v>55000</v>
      </c>
      <c r="AG568" s="90" t="n">
        <v>55000</v>
      </c>
      <c r="AH568" s="90" t="n">
        <v>55000</v>
      </c>
      <c r="AI568" s="90" t="n">
        <v>55000</v>
      </c>
      <c r="AJ568" s="91" t="n">
        <v>55000</v>
      </c>
      <c r="AK568" s="89" t="n">
        <v>55000</v>
      </c>
      <c r="AL568" s="90" t="n">
        <v>55000</v>
      </c>
      <c r="AM568" s="90"/>
      <c r="AN568" s="90"/>
      <c r="AO568" s="90"/>
      <c r="AP568" s="90"/>
      <c r="AQ568" s="90"/>
      <c r="AR568" s="90"/>
      <c r="AS568" s="90"/>
      <c r="AT568" s="90"/>
      <c r="AU568" s="90"/>
      <c r="AV568" s="91"/>
      <c r="AX568" s="92"/>
    </row>
    <row r="569" customFormat="false" ht="15.65" hidden="false" customHeight="false" outlineLevel="0" collapsed="false">
      <c r="C569" s="72" t="n">
        <f aca="false">COUNTIFS($D$6:D569,"&lt;&gt;"&amp;"")</f>
        <v>564</v>
      </c>
      <c r="D569" s="73" t="s">
        <v>12</v>
      </c>
      <c r="E569" s="76" t="str">
        <f aca="false">
IF($D569="정상",INDEX(임대자산!$D$3:$R$3000,MATCH($F569,임대자산!$I$3:$I$3000,0),MATCH(E$3,임대자산!$D$3:$R$3,0)),
IF($D569="폐업",INDEX(폐업정보!$D$3:$R$3000,MATCH($F569,폐업정보!$I$3:$I$3000,0),MATCH(E$3,폐업정보!$D$3:$R$3,0)),
"Error"))</f>
        <v>강원</v>
      </c>
      <c r="F56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B0564</v>
      </c>
      <c r="G569" s="76" t="str">
        <f aca="false">F569&amp;RANDBETWEEN(0,10)</f>
        <v>B05642</v>
      </c>
      <c r="H569" s="75" t="n">
        <f aca="false">
IF($D569="정상",INDEX(임대자산!$D$3:$R$3000,MATCH($F569,임대자산!$I$3:$I$3000,0),MATCH(H$4,임대자산!$D$3:$R$3,0)),
IF($D569="폐업",INDEX(폐업정보!$D$3:$R$3000,MATCH($F569,폐업정보!$I$3:$I$3000,0),MATCH(H$4,폐업정보!$D$3:$R$3,0)),
"Error"))</f>
        <v>43319</v>
      </c>
      <c r="I569" s="75" t="str">
        <f aca="false">
IF($D569="정상",INDEX(임대자산!$D$3:$R$3000,MATCH($F569,임대자산!$I$3:$I$3000,0),MATCH(I$4,임대자산!$D$3:$R$3,0)),
IF($D569="폐업",INDEX(폐업정보!$D$3:$R$3000,MATCH($F569,폐업정보!$I$3:$I$3000,0),MATCH(I$4,폐업정보!$D$3:$R$3,0)),
"Error"))</f>
        <v>A0564</v>
      </c>
      <c r="J569" s="75" t="str">
        <f aca="false">
IF($D569="정상",INDEX(임대자산!$D$3:$R$3000,MATCH($F569,임대자산!$I$3:$I$3000,0),MATCH(J$4,임대자산!$D$3:$R$3,0)),
IF($D569="폐업",INDEX(폐업정보!$D$3:$R$3000,MATCH($F569,폐업정보!$I$3:$I$3000,0),MATCH(J$4,폐업정보!$D$3:$R$3,0)),
"Error"))</f>
        <v>7290800000</v>
      </c>
      <c r="K569" s="75" t="str">
        <f aca="false">
IF($D569="정상",INDEX(임대자산!$D$3:$R$3000,MATCH($F569,임대자산!$I$3:$I$3000,0),MATCH(K$4,임대자산!$D$3:$R$3,0)),
IF($D569="폐업",INDEX(폐업정보!$D$3:$R$3000,MATCH($F569,폐업정보!$I$3:$I$3000,0),MATCH(K$4,폐업정보!$D$3:$R$3,0)),
"Error"))</f>
        <v>C0564</v>
      </c>
      <c r="L569" s="75" t="str">
        <f aca="false">
IF($D569="정상",INDEX(임대자산!$D$3:$R$3000,MATCH($F569,임대자산!$I$3:$I$3000,0),MATCH(L$4,임대자산!$D$3:$R$3,0)),
IF($D569="폐업",INDEX(폐업정보!$D$3:$R$3000,MATCH($F569,폐업정보!$I$3:$I$3000,0),MATCH(L$4,폐업정보!$D$3:$R$3,0)),
"Error"))</f>
        <v>D0564</v>
      </c>
      <c r="M569" s="76" t="s">
        <v>96</v>
      </c>
      <c r="N569" s="77"/>
      <c r="O569" s="78" t="s">
        <v>97</v>
      </c>
      <c r="P569" s="79" t="n">
        <f aca="false">COUNTIFS(임대자산!$I:$I,가맹점정보!F569,임대자산!$N:$N,가맹점정보!P$4)</f>
        <v>0</v>
      </c>
      <c r="Q569" s="80" t="n">
        <f aca="false">COUNTIFS(임대자산!$I:$I,가맹점정보!F569,임대자산!$N:$N,가맹점정보!Q$4)</f>
        <v>1</v>
      </c>
      <c r="R569" s="81" t="n">
        <f aca="false">COUNTIFS(임대자산!$I:$I,가맹점정보!F569,임대자산!$N:$N,가맹점정보!R$4)</f>
        <v>0</v>
      </c>
      <c r="S569" s="82" t="n">
        <v>55000</v>
      </c>
      <c r="T569" s="83" t="n">
        <v>0</v>
      </c>
      <c r="U569" s="80" t="n">
        <f aca="false">SUM(S569:T569)</f>
        <v>55000</v>
      </c>
      <c r="V569" s="84" t="s">
        <v>12</v>
      </c>
      <c r="W569" s="80" t="e">
        <f aca="true">
IF(D569="폐업","폐업",
IF(V569="면제","면제",
IF(AND(V569="정상",COUNTIFS(OFFSET(Y569,0,COUNTA(Y569:AV569)-1,1,-4),"미납")&gt;=3),"장기미납",
IF(AND(V569="정상",OFFSET(Y569,0,COUNTA(Y569:AV569)-1)&gt;=U569),"정상",
IF(AND(V569="정상",OFFSET(Y569,0,COUNTA(Y569:AV569)-1)=0),"정상",
"계약서 미작성")))))</f>
        <v>#VALUE!</v>
      </c>
      <c r="X569" s="81" t="str">
        <f aca="true">
IF(D569="폐업","폐업",
IF(AND(V569="정상",OFFSET(Y569,0,COUNTA(Y569:AV569)-1)="미납"),"미납",
IF(AND(V569="정상",OFFSET(Y569,0,COUNTA(Y569:AV569)-1)=0),"납부 시작 전",
IF(AND(V569="정상",OFFSET(Y569,0,COUNTA(Y569:AV569)-1)&gt;=U569),"정상",
IF(AND(V569="면제",OFFSET(Y569,0,COUNTA(Y569:AV569)-1)="면제"),"면제",
IF(AND(V569="면제",OFFSET(Y569,0,COUNTA(Y569:AV569)-1)=0),"면제",
"확인요청"))))))</f>
        <v>정상</v>
      </c>
      <c r="Y569" s="93" t="n">
        <v>55000</v>
      </c>
      <c r="Z569" s="90" t="n">
        <v>55000</v>
      </c>
      <c r="AA569" s="90" t="n">
        <v>55000</v>
      </c>
      <c r="AB569" s="90" t="n">
        <v>55000</v>
      </c>
      <c r="AC569" s="90" t="n">
        <v>55000</v>
      </c>
      <c r="AD569" s="90" t="n">
        <v>55000</v>
      </c>
      <c r="AE569" s="90" t="n">
        <v>55000</v>
      </c>
      <c r="AF569" s="90" t="n">
        <v>55000</v>
      </c>
      <c r="AG569" s="90" t="n">
        <v>55000</v>
      </c>
      <c r="AH569" s="90" t="n">
        <v>55000</v>
      </c>
      <c r="AI569" s="90" t="n">
        <v>55000</v>
      </c>
      <c r="AJ569" s="91" t="n">
        <v>55000</v>
      </c>
      <c r="AK569" s="89" t="n">
        <v>55000</v>
      </c>
      <c r="AL569" s="90" t="n">
        <v>55000</v>
      </c>
      <c r="AM569" s="90"/>
      <c r="AN569" s="90"/>
      <c r="AO569" s="90"/>
      <c r="AP569" s="90"/>
      <c r="AQ569" s="90"/>
      <c r="AR569" s="90"/>
      <c r="AS569" s="90"/>
      <c r="AT569" s="90"/>
      <c r="AU569" s="90"/>
      <c r="AV569" s="91"/>
      <c r="AX569" s="92"/>
    </row>
    <row r="570" customFormat="false" ht="15.65" hidden="false" customHeight="false" outlineLevel="0" collapsed="false">
      <c r="C570" s="72" t="n">
        <f aca="false">COUNTIFS($D$6:D570,"&lt;&gt;"&amp;"")</f>
        <v>565</v>
      </c>
      <c r="D570" s="73" t="s">
        <v>12</v>
      </c>
      <c r="E570" s="76" t="str">
        <f aca="false">
IF($D570="정상",INDEX(임대자산!$D$3:$R$3000,MATCH($F570,임대자산!$I$3:$I$3000,0),MATCH(E$3,임대자산!$D$3:$R$3,0)),
IF($D570="폐업",INDEX(폐업정보!$D$3:$R$3000,MATCH($F570,폐업정보!$I$3:$I$3000,0),MATCH(E$3,폐업정보!$D$3:$R$3,0)),
"Error"))</f>
        <v>강원</v>
      </c>
      <c r="F57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B0565</v>
      </c>
      <c r="G570" s="76" t="str">
        <f aca="false">F570&amp;RANDBETWEEN(0,10)</f>
        <v>B05652</v>
      </c>
      <c r="H570" s="75" t="n">
        <f aca="false">
IF($D570="정상",INDEX(임대자산!$D$3:$R$3000,MATCH($F570,임대자산!$I$3:$I$3000,0),MATCH(H$4,임대자산!$D$3:$R$3,0)),
IF($D570="폐업",INDEX(폐업정보!$D$3:$R$3000,MATCH($F570,폐업정보!$I$3:$I$3000,0),MATCH(H$4,폐업정보!$D$3:$R$3,0)),
"Error"))</f>
        <v>43333</v>
      </c>
      <c r="I570" s="75" t="str">
        <f aca="false">
IF($D570="정상",INDEX(임대자산!$D$3:$R$3000,MATCH($F570,임대자산!$I$3:$I$3000,0),MATCH(I$4,임대자산!$D$3:$R$3,0)),
IF($D570="폐업",INDEX(폐업정보!$D$3:$R$3000,MATCH($F570,폐업정보!$I$3:$I$3000,0),MATCH(I$4,폐업정보!$D$3:$R$3,0)),
"Error"))</f>
        <v>A0565</v>
      </c>
      <c r="J570" s="75" t="str">
        <f aca="false">
IF($D570="정상",INDEX(임대자산!$D$3:$R$3000,MATCH($F570,임대자산!$I$3:$I$3000,0),MATCH(J$4,임대자산!$D$3:$R$3,0)),
IF($D570="폐업",INDEX(폐업정보!$D$3:$R$3000,MATCH($F570,폐업정보!$I$3:$I$3000,0),MATCH(J$4,폐업정보!$D$3:$R$3,0)),
"Error"))</f>
        <v>9102100000</v>
      </c>
      <c r="K570" s="75" t="str">
        <f aca="false">
IF($D570="정상",INDEX(임대자산!$D$3:$R$3000,MATCH($F570,임대자산!$I$3:$I$3000,0),MATCH(K$4,임대자산!$D$3:$R$3,0)),
IF($D570="폐업",INDEX(폐업정보!$D$3:$R$3000,MATCH($F570,폐업정보!$I$3:$I$3000,0),MATCH(K$4,폐업정보!$D$3:$R$3,0)),
"Error"))</f>
        <v>C0565</v>
      </c>
      <c r="L570" s="75" t="str">
        <f aca="false">
IF($D570="정상",INDEX(임대자산!$D$3:$R$3000,MATCH($F570,임대자산!$I$3:$I$3000,0),MATCH(L$4,임대자산!$D$3:$R$3,0)),
IF($D570="폐업",INDEX(폐업정보!$D$3:$R$3000,MATCH($F570,폐업정보!$I$3:$I$3000,0),MATCH(L$4,폐업정보!$D$3:$R$3,0)),
"Error"))</f>
        <v>D0565</v>
      </c>
      <c r="M570" s="76" t="s">
        <v>96</v>
      </c>
      <c r="N570" s="77"/>
      <c r="O570" s="78" t="s">
        <v>97</v>
      </c>
      <c r="P570" s="79" t="n">
        <f aca="false">COUNTIFS(임대자산!$I:$I,가맹점정보!F570,임대자산!$N:$N,가맹점정보!P$4)</f>
        <v>0</v>
      </c>
      <c r="Q570" s="80" t="n">
        <f aca="false">COUNTIFS(임대자산!$I:$I,가맹점정보!F570,임대자산!$N:$N,가맹점정보!Q$4)</f>
        <v>1</v>
      </c>
      <c r="R570" s="81" t="n">
        <f aca="false">COUNTIFS(임대자산!$I:$I,가맹점정보!F570,임대자산!$N:$N,가맹점정보!R$4)</f>
        <v>0</v>
      </c>
      <c r="S570" s="82" t="n">
        <v>55000</v>
      </c>
      <c r="T570" s="83" t="n">
        <v>0</v>
      </c>
      <c r="U570" s="80" t="n">
        <f aca="false">SUM(S570:T570)</f>
        <v>55000</v>
      </c>
      <c r="V570" s="84" t="s">
        <v>12</v>
      </c>
      <c r="W570" s="80" t="e">
        <f aca="true">
IF(D570="폐업","폐업",
IF(V570="면제","면제",
IF(AND(V570="정상",COUNTIFS(OFFSET(Y570,0,COUNTA(Y570:AV570)-1,1,-4),"미납")&gt;=3),"장기미납",
IF(AND(V570="정상",OFFSET(Y570,0,COUNTA(Y570:AV570)-1)&gt;=U570),"정상",
IF(AND(V570="정상",OFFSET(Y570,0,COUNTA(Y570:AV570)-1)=0),"정상",
"계약서 미작성")))))</f>
        <v>#VALUE!</v>
      </c>
      <c r="X570" s="81" t="str">
        <f aca="true">
IF(D570="폐업","폐업",
IF(AND(V570="정상",OFFSET(Y570,0,COUNTA(Y570:AV570)-1)="미납"),"미납",
IF(AND(V570="정상",OFFSET(Y570,0,COUNTA(Y570:AV570)-1)=0),"납부 시작 전",
IF(AND(V570="정상",OFFSET(Y570,0,COUNTA(Y570:AV570)-1)&gt;=U570),"정상",
IF(AND(V570="면제",OFFSET(Y570,0,COUNTA(Y570:AV570)-1)="면제"),"면제",
IF(AND(V570="면제",OFFSET(Y570,0,COUNTA(Y570:AV570)-1)=0),"면제",
"확인요청"))))))</f>
        <v>정상</v>
      </c>
      <c r="Y570" s="93" t="n">
        <v>55000</v>
      </c>
      <c r="Z570" s="90" t="n">
        <v>55000</v>
      </c>
      <c r="AA570" s="90" t="n">
        <v>55000</v>
      </c>
      <c r="AB570" s="90" t="n">
        <v>55000</v>
      </c>
      <c r="AC570" s="90" t="n">
        <v>55000</v>
      </c>
      <c r="AD570" s="90" t="n">
        <v>55000</v>
      </c>
      <c r="AE570" s="90" t="n">
        <v>55000</v>
      </c>
      <c r="AF570" s="90" t="n">
        <v>55000</v>
      </c>
      <c r="AG570" s="90" t="n">
        <v>55000</v>
      </c>
      <c r="AH570" s="90" t="n">
        <v>55000</v>
      </c>
      <c r="AI570" s="90" t="n">
        <v>55000</v>
      </c>
      <c r="AJ570" s="91" t="n">
        <v>55000</v>
      </c>
      <c r="AK570" s="97" t="s">
        <v>62</v>
      </c>
      <c r="AL570" s="90" t="n">
        <v>110000</v>
      </c>
      <c r="AM570" s="90"/>
      <c r="AN570" s="90"/>
      <c r="AO570" s="90"/>
      <c r="AP570" s="90"/>
      <c r="AQ570" s="90"/>
      <c r="AR570" s="90"/>
      <c r="AS570" s="90"/>
      <c r="AT570" s="90"/>
      <c r="AU570" s="90"/>
      <c r="AV570" s="91"/>
      <c r="AX570" s="92"/>
    </row>
    <row r="571" customFormat="false" ht="15.65" hidden="false" customHeight="false" outlineLevel="0" collapsed="false">
      <c r="C571" s="72" t="n">
        <f aca="false">COUNTIFS($D$6:D571,"&lt;&gt;"&amp;"")</f>
        <v>566</v>
      </c>
      <c r="D571" s="73" t="s">
        <v>12</v>
      </c>
      <c r="E571" s="76" t="str">
        <f aca="false">
IF($D571="정상",INDEX(임대자산!$D$3:$R$3000,MATCH($F571,임대자산!$I$3:$I$3000,0),MATCH(E$3,임대자산!$D$3:$R$3,0)),
IF($D571="폐업",INDEX(폐업정보!$D$3:$R$3000,MATCH($F571,폐업정보!$I$3:$I$3000,0),MATCH(E$3,폐업정보!$D$3:$R$3,0)),
"Error"))</f>
        <v>경기</v>
      </c>
      <c r="F57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B0566</v>
      </c>
      <c r="G571" s="76" t="str">
        <f aca="false">F571&amp;RANDBETWEEN(0,10)</f>
        <v>B05662</v>
      </c>
      <c r="H571" s="75" t="n">
        <f aca="false">
IF($D571="정상",INDEX(임대자산!$D$3:$R$3000,MATCH($F571,임대자산!$I$3:$I$3000,0),MATCH(H$4,임대자산!$D$3:$R$3,0)),
IF($D571="폐업",INDEX(폐업정보!$D$3:$R$3000,MATCH($F571,폐업정보!$I$3:$I$3000,0),MATCH(H$4,폐업정보!$D$3:$R$3,0)),
"Error"))</f>
        <v>43389</v>
      </c>
      <c r="I571" s="75" t="str">
        <f aca="false">
IF($D571="정상",INDEX(임대자산!$D$3:$R$3000,MATCH($F571,임대자산!$I$3:$I$3000,0),MATCH(I$4,임대자산!$D$3:$R$3,0)),
IF($D571="폐업",INDEX(폐업정보!$D$3:$R$3000,MATCH($F571,폐업정보!$I$3:$I$3000,0),MATCH(I$4,폐업정보!$D$3:$R$3,0)),
"Error"))</f>
        <v>A0566</v>
      </c>
      <c r="J571" s="75" t="str">
        <f aca="false">
IF($D571="정상",INDEX(임대자산!$D$3:$R$3000,MATCH($F571,임대자산!$I$3:$I$3000,0),MATCH(J$4,임대자산!$D$3:$R$3,0)),
IF($D571="폐업",INDEX(폐업정보!$D$3:$R$3000,MATCH($F571,폐업정보!$I$3:$I$3000,0),MATCH(J$4,폐업정보!$D$3:$R$3,0)),
"Error"))</f>
        <v>4556400000</v>
      </c>
      <c r="K571" s="75" t="str">
        <f aca="false">
IF($D571="정상",INDEX(임대자산!$D$3:$R$3000,MATCH($F571,임대자산!$I$3:$I$3000,0),MATCH(K$4,임대자산!$D$3:$R$3,0)),
IF($D571="폐업",INDEX(폐업정보!$D$3:$R$3000,MATCH($F571,폐업정보!$I$3:$I$3000,0),MATCH(K$4,폐업정보!$D$3:$R$3,0)),
"Error"))</f>
        <v>C0566</v>
      </c>
      <c r="L571" s="75" t="str">
        <f aca="false">
IF($D571="정상",INDEX(임대자산!$D$3:$R$3000,MATCH($F571,임대자산!$I$3:$I$3000,0),MATCH(L$4,임대자산!$D$3:$R$3,0)),
IF($D571="폐업",INDEX(폐업정보!$D$3:$R$3000,MATCH($F571,폐업정보!$I$3:$I$3000,0),MATCH(L$4,폐업정보!$D$3:$R$3,0)),
"Error"))</f>
        <v>D0566</v>
      </c>
      <c r="M571" s="76" t="s">
        <v>96</v>
      </c>
      <c r="N571" s="77"/>
      <c r="O571" s="78" t="s">
        <v>97</v>
      </c>
      <c r="P571" s="79" t="n">
        <f aca="false">COUNTIFS(임대자산!$I:$I,가맹점정보!F571,임대자산!$N:$N,가맹점정보!P$4)</f>
        <v>0</v>
      </c>
      <c r="Q571" s="80" t="n">
        <f aca="false">COUNTIFS(임대자산!$I:$I,가맹점정보!F571,임대자산!$N:$N,가맹점정보!Q$4)</f>
        <v>1</v>
      </c>
      <c r="R571" s="81" t="n">
        <f aca="false">COUNTIFS(임대자산!$I:$I,가맹점정보!F571,임대자산!$N:$N,가맹점정보!R$4)</f>
        <v>0</v>
      </c>
      <c r="S571" s="82" t="n">
        <v>55000</v>
      </c>
      <c r="T571" s="83" t="n">
        <v>0</v>
      </c>
      <c r="U571" s="80" t="n">
        <f aca="false">SUM(S571:T571)</f>
        <v>55000</v>
      </c>
      <c r="V571" s="84" t="s">
        <v>12</v>
      </c>
      <c r="W571" s="80" t="e">
        <f aca="true">
IF(D571="폐업","폐업",
IF(V571="면제","면제",
IF(AND(V571="정상",COUNTIFS(OFFSET(Y571,0,COUNTA(Y571:AV571)-1,1,-4),"미납")&gt;=3),"장기미납",
IF(AND(V571="정상",OFFSET(Y571,0,COUNTA(Y571:AV571)-1)&gt;=U571),"정상",
IF(AND(V571="정상",OFFSET(Y571,0,COUNTA(Y571:AV571)-1)=0),"정상",
"계약서 미작성")))))</f>
        <v>#VALUE!</v>
      </c>
      <c r="X571" s="81" t="str">
        <f aca="true">
IF(D571="폐업","폐업",
IF(AND(V571="정상",OFFSET(Y571,0,COUNTA(Y571:AV571)-1)="미납"),"미납",
IF(AND(V571="정상",OFFSET(Y571,0,COUNTA(Y571:AV571)-1)=0),"납부 시작 전",
IF(AND(V571="정상",OFFSET(Y571,0,COUNTA(Y571:AV571)-1)&gt;=U571),"정상",
IF(AND(V571="면제",OFFSET(Y571,0,COUNTA(Y571:AV571)-1)="면제"),"면제",
IF(AND(V571="면제",OFFSET(Y571,0,COUNTA(Y571:AV571)-1)=0),"면제",
"확인요청"))))))</f>
        <v>정상</v>
      </c>
      <c r="Y571" s="93" t="n">
        <v>55000</v>
      </c>
      <c r="Z571" s="90" t="n">
        <v>55000</v>
      </c>
      <c r="AA571" s="90" t="n">
        <v>55000</v>
      </c>
      <c r="AB571" s="90" t="n">
        <v>55000</v>
      </c>
      <c r="AC571" s="90" t="n">
        <v>55000</v>
      </c>
      <c r="AD571" s="90" t="n">
        <v>55000</v>
      </c>
      <c r="AE571" s="90" t="n">
        <v>55000</v>
      </c>
      <c r="AF571" s="90" t="n">
        <v>55000</v>
      </c>
      <c r="AG571" s="90" t="n">
        <v>55000</v>
      </c>
      <c r="AH571" s="90" t="n">
        <v>55000</v>
      </c>
      <c r="AI571" s="90" t="n">
        <v>55000</v>
      </c>
      <c r="AJ571" s="91" t="n">
        <v>55000</v>
      </c>
      <c r="AK571" s="89" t="n">
        <v>55000</v>
      </c>
      <c r="AL571" s="90" t="n">
        <v>55000</v>
      </c>
      <c r="AM571" s="90"/>
      <c r="AN571" s="90"/>
      <c r="AO571" s="90"/>
      <c r="AP571" s="90"/>
      <c r="AQ571" s="90"/>
      <c r="AR571" s="90"/>
      <c r="AS571" s="90"/>
      <c r="AT571" s="90"/>
      <c r="AU571" s="90"/>
      <c r="AV571" s="91"/>
      <c r="AX571" s="92"/>
    </row>
    <row r="572" customFormat="false" ht="15.65" hidden="false" customHeight="false" outlineLevel="0" collapsed="false">
      <c r="C572" s="72" t="n">
        <f aca="false">COUNTIFS($D$6:D572,"&lt;&gt;"&amp;"")</f>
        <v>567</v>
      </c>
      <c r="D572" s="73" t="s">
        <v>12</v>
      </c>
      <c r="E572" s="76" t="str">
        <f aca="false">
IF($D572="정상",INDEX(임대자산!$D$3:$R$3000,MATCH($F572,임대자산!$I$3:$I$3000,0),MATCH(E$3,임대자산!$D$3:$R$3,0)),
IF($D572="폐업",INDEX(폐업정보!$D$3:$R$3000,MATCH($F572,폐업정보!$I$3:$I$3000,0),MATCH(E$3,폐업정보!$D$3:$R$3,0)),
"Error"))</f>
        <v>강원</v>
      </c>
      <c r="F57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B0567</v>
      </c>
      <c r="G572" s="76" t="str">
        <f aca="false">F572&amp;RANDBETWEEN(0,10)</f>
        <v>B056710</v>
      </c>
      <c r="H572" s="75" t="n">
        <f aca="false">
IF($D572="정상",INDEX(임대자산!$D$3:$R$3000,MATCH($F572,임대자산!$I$3:$I$3000,0),MATCH(H$4,임대자산!$D$3:$R$3,0)),
IF($D572="폐업",INDEX(폐업정보!$D$3:$R$3000,MATCH($F572,폐업정보!$I$3:$I$3000,0),MATCH(H$4,폐업정보!$D$3:$R$3,0)),
"Error"))</f>
        <v>43389</v>
      </c>
      <c r="I572" s="75" t="str">
        <f aca="false">
IF($D572="정상",INDEX(임대자산!$D$3:$R$3000,MATCH($F572,임대자산!$I$3:$I$3000,0),MATCH(I$4,임대자산!$D$3:$R$3,0)),
IF($D572="폐업",INDEX(폐업정보!$D$3:$R$3000,MATCH($F572,폐업정보!$I$3:$I$3000,0),MATCH(I$4,폐업정보!$D$3:$R$3,0)),
"Error"))</f>
        <v>A0567</v>
      </c>
      <c r="J572" s="75" t="str">
        <f aca="false">
IF($D572="정상",INDEX(임대자산!$D$3:$R$3000,MATCH($F572,임대자산!$I$3:$I$3000,0),MATCH(J$4,임대자산!$D$3:$R$3,0)),
IF($D572="폐업",INDEX(폐업정보!$D$3:$R$3000,MATCH($F572,폐업정보!$I$3:$I$3000,0),MATCH(J$4,폐업정보!$D$3:$R$3,0)),
"Error"))</f>
        <v>6235700000</v>
      </c>
      <c r="K572" s="75" t="str">
        <f aca="false">
IF($D572="정상",INDEX(임대자산!$D$3:$R$3000,MATCH($F572,임대자산!$I$3:$I$3000,0),MATCH(K$4,임대자산!$D$3:$R$3,0)),
IF($D572="폐업",INDEX(폐업정보!$D$3:$R$3000,MATCH($F572,폐업정보!$I$3:$I$3000,0),MATCH(K$4,폐업정보!$D$3:$R$3,0)),
"Error"))</f>
        <v>C0567</v>
      </c>
      <c r="L572" s="75" t="str">
        <f aca="false">
IF($D572="정상",INDEX(임대자산!$D$3:$R$3000,MATCH($F572,임대자산!$I$3:$I$3000,0),MATCH(L$4,임대자산!$D$3:$R$3,0)),
IF($D572="폐업",INDEX(폐업정보!$D$3:$R$3000,MATCH($F572,폐업정보!$I$3:$I$3000,0),MATCH(L$4,폐업정보!$D$3:$R$3,0)),
"Error"))</f>
        <v>D0567</v>
      </c>
      <c r="M572" s="76" t="s">
        <v>96</v>
      </c>
      <c r="N572" s="77"/>
      <c r="O572" s="78" t="s">
        <v>97</v>
      </c>
      <c r="P572" s="79" t="n">
        <f aca="false">COUNTIFS(임대자산!$I:$I,가맹점정보!F572,임대자산!$N:$N,가맹점정보!P$4)</f>
        <v>0</v>
      </c>
      <c r="Q572" s="80" t="n">
        <f aca="false">COUNTIFS(임대자산!$I:$I,가맹점정보!F572,임대자산!$N:$N,가맹점정보!Q$4)</f>
        <v>1</v>
      </c>
      <c r="R572" s="81" t="n">
        <f aca="false">COUNTIFS(임대자산!$I:$I,가맹점정보!F572,임대자산!$N:$N,가맹점정보!R$4)</f>
        <v>0</v>
      </c>
      <c r="S572" s="82" t="n">
        <v>55000</v>
      </c>
      <c r="T572" s="83" t="n">
        <v>0</v>
      </c>
      <c r="U572" s="80" t="n">
        <f aca="false">SUM(S572:T572)</f>
        <v>55000</v>
      </c>
      <c r="V572" s="84" t="s">
        <v>12</v>
      </c>
      <c r="W572" s="80" t="e">
        <f aca="true">
IF(D572="폐업","폐업",
IF(V572="면제","면제",
IF(AND(V572="정상",COUNTIFS(OFFSET(Y572,0,COUNTA(Y572:AV572)-1,1,-4),"미납")&gt;=3),"장기미납",
IF(AND(V572="정상",OFFSET(Y572,0,COUNTA(Y572:AV572)-1)&gt;=U572),"정상",
IF(AND(V572="정상",OFFSET(Y572,0,COUNTA(Y572:AV572)-1)=0),"정상",
"계약서 미작성")))))</f>
        <v>#VALUE!</v>
      </c>
      <c r="X572" s="81" t="str">
        <f aca="true">
IF(D572="폐업","폐업",
IF(AND(V572="정상",OFFSET(Y572,0,COUNTA(Y572:AV572)-1)="미납"),"미납",
IF(AND(V572="정상",OFFSET(Y572,0,COUNTA(Y572:AV572)-1)=0),"납부 시작 전",
IF(AND(V572="정상",OFFSET(Y572,0,COUNTA(Y572:AV572)-1)&gt;=U572),"정상",
IF(AND(V572="면제",OFFSET(Y572,0,COUNTA(Y572:AV572)-1)="면제"),"면제",
IF(AND(V572="면제",OFFSET(Y572,0,COUNTA(Y572:AV572)-1)=0),"면제",
"확인요청"))))))</f>
        <v>정상</v>
      </c>
      <c r="Y572" s="93" t="n">
        <v>55000</v>
      </c>
      <c r="Z572" s="90" t="n">
        <v>55000</v>
      </c>
      <c r="AA572" s="90" t="n">
        <v>55000</v>
      </c>
      <c r="AB572" s="90" t="n">
        <v>55000</v>
      </c>
      <c r="AC572" s="90" t="n">
        <v>55000</v>
      </c>
      <c r="AD572" s="90" t="n">
        <v>55000</v>
      </c>
      <c r="AE572" s="90" t="n">
        <v>55000</v>
      </c>
      <c r="AF572" s="90" t="n">
        <v>55000</v>
      </c>
      <c r="AG572" s="90" t="n">
        <v>55000</v>
      </c>
      <c r="AH572" s="90" t="n">
        <v>55000</v>
      </c>
      <c r="AI572" s="90" t="n">
        <v>55000</v>
      </c>
      <c r="AJ572" s="91" t="n">
        <v>55000</v>
      </c>
      <c r="AK572" s="89" t="n">
        <v>55000</v>
      </c>
      <c r="AL572" s="90" t="n">
        <v>55000</v>
      </c>
      <c r="AM572" s="90"/>
      <c r="AN572" s="90"/>
      <c r="AO572" s="90"/>
      <c r="AP572" s="90"/>
      <c r="AQ572" s="90"/>
      <c r="AR572" s="90"/>
      <c r="AS572" s="90"/>
      <c r="AT572" s="90"/>
      <c r="AU572" s="90"/>
      <c r="AV572" s="91"/>
      <c r="AX572" s="92"/>
    </row>
    <row r="573" customFormat="false" ht="15.65" hidden="false" customHeight="false" outlineLevel="0" collapsed="false">
      <c r="C573" s="72" t="n">
        <f aca="false">COUNTIFS($D$6:D573,"&lt;&gt;"&amp;"")</f>
        <v>568</v>
      </c>
      <c r="D573" s="73" t="s">
        <v>12</v>
      </c>
      <c r="E573" s="76" t="str">
        <f aca="false">
IF($D573="정상",INDEX(임대자산!$D$3:$R$3000,MATCH($F573,임대자산!$I$3:$I$3000,0),MATCH(E$3,임대자산!$D$3:$R$3,0)),
IF($D573="폐업",INDEX(폐업정보!$D$3:$R$3000,MATCH($F573,폐업정보!$I$3:$I$3000,0),MATCH(E$3,폐업정보!$D$3:$R$3,0)),
"Error"))</f>
        <v>서울</v>
      </c>
      <c r="F57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B0568</v>
      </c>
      <c r="G573" s="76" t="str">
        <f aca="false">F573&amp;RANDBETWEEN(0,10)</f>
        <v>B05684</v>
      </c>
      <c r="H573" s="75" t="n">
        <f aca="false">
IF($D573="정상",INDEX(임대자산!$D$3:$R$3000,MATCH($F573,임대자산!$I$3:$I$3000,0),MATCH(H$4,임대자산!$D$3:$R$3,0)),
IF($D573="폐업",INDEX(폐업정보!$D$3:$R$3000,MATCH($F573,폐업정보!$I$3:$I$3000,0),MATCH(H$4,폐업정보!$D$3:$R$3,0)),
"Error"))</f>
        <v>43390</v>
      </c>
      <c r="I573" s="75" t="str">
        <f aca="false">
IF($D573="정상",INDEX(임대자산!$D$3:$R$3000,MATCH($F573,임대자산!$I$3:$I$3000,0),MATCH(I$4,임대자산!$D$3:$R$3,0)),
IF($D573="폐업",INDEX(폐업정보!$D$3:$R$3000,MATCH($F573,폐업정보!$I$3:$I$3000,0),MATCH(I$4,폐업정보!$D$3:$R$3,0)),
"Error"))</f>
        <v>A0568</v>
      </c>
      <c r="J573" s="75" t="str">
        <f aca="false">
IF($D573="정상",INDEX(임대자산!$D$3:$R$3000,MATCH($F573,임대자산!$I$3:$I$3000,0),MATCH(J$4,임대자산!$D$3:$R$3,0)),
IF($D573="폐업",INDEX(폐업정보!$D$3:$R$3000,MATCH($F573,폐업정보!$I$3:$I$3000,0),MATCH(J$4,폐업정보!$D$3:$R$3,0)),
"Error"))</f>
        <v>9465000000</v>
      </c>
      <c r="K573" s="75" t="str">
        <f aca="false">
IF($D573="정상",INDEX(임대자산!$D$3:$R$3000,MATCH($F573,임대자산!$I$3:$I$3000,0),MATCH(K$4,임대자산!$D$3:$R$3,0)),
IF($D573="폐업",INDEX(폐업정보!$D$3:$R$3000,MATCH($F573,폐업정보!$I$3:$I$3000,0),MATCH(K$4,폐업정보!$D$3:$R$3,0)),
"Error"))</f>
        <v>C0568</v>
      </c>
      <c r="L573" s="75" t="str">
        <f aca="false">
IF($D573="정상",INDEX(임대자산!$D$3:$R$3000,MATCH($F573,임대자산!$I$3:$I$3000,0),MATCH(L$4,임대자산!$D$3:$R$3,0)),
IF($D573="폐업",INDEX(폐업정보!$D$3:$R$3000,MATCH($F573,폐업정보!$I$3:$I$3000,0),MATCH(L$4,폐업정보!$D$3:$R$3,0)),
"Error"))</f>
        <v>D0568</v>
      </c>
      <c r="M573" s="76" t="s">
        <v>96</v>
      </c>
      <c r="N573" s="77"/>
      <c r="O573" s="78" t="s">
        <v>97</v>
      </c>
      <c r="P573" s="79" t="n">
        <f aca="false">COUNTIFS(임대자산!$I:$I,가맹점정보!F573,임대자산!$N:$N,가맹점정보!P$4)</f>
        <v>0</v>
      </c>
      <c r="Q573" s="80" t="n">
        <f aca="false">COUNTIFS(임대자산!$I:$I,가맹점정보!F573,임대자산!$N:$N,가맹점정보!Q$4)</f>
        <v>1</v>
      </c>
      <c r="R573" s="81" t="n">
        <f aca="false">COUNTIFS(임대자산!$I:$I,가맹점정보!F573,임대자산!$N:$N,가맹점정보!R$4)</f>
        <v>0</v>
      </c>
      <c r="S573" s="82" t="n">
        <v>55000</v>
      </c>
      <c r="T573" s="83" t="n">
        <v>0</v>
      </c>
      <c r="U573" s="80" t="n">
        <f aca="false">SUM(S573:T573)</f>
        <v>55000</v>
      </c>
      <c r="V573" s="84" t="s">
        <v>7</v>
      </c>
      <c r="W573" s="80" t="str">
        <f aca="true">
IF(D573="폐업","폐업",
IF(V573="면제","면제",
IF(AND(V573="정상",COUNTIFS(OFFSET(Y573,0,COUNTA(Y573:AV573)-1,1,-4),"미납")&gt;=3),"장기미납",
IF(AND(V573="정상",OFFSET(Y573,0,COUNTA(Y573:AV573)-1)&gt;=U573),"정상",
IF(AND(V573="정상",OFFSET(Y573,0,COUNTA(Y573:AV573)-1)=0),"정상",
"계약서 미작성")))))</f>
        <v>면제</v>
      </c>
      <c r="X573" s="81" t="str">
        <f aca="true">
IF(D573="폐업","폐업",
IF(AND(V573="정상",OFFSET(Y573,0,COUNTA(Y573:AV573)-1)="미납"),"미납",
IF(AND(V573="정상",OFFSET(Y573,0,COUNTA(Y573:AV573)-1)=0),"납부 시작 전",
IF(AND(V573="정상",OFFSET(Y573,0,COUNTA(Y573:AV573)-1)&gt;=U573),"정상",
IF(AND(V573="면제",OFFSET(Y573,0,COUNTA(Y573:AV573)-1)="면제"),"면제",
IF(AND(V573="면제",OFFSET(Y573,0,COUNTA(Y573:AV573)-1)=0),"면제",
"확인요청"))))))</f>
        <v>면제</v>
      </c>
      <c r="Y573" s="94" t="s">
        <v>7</v>
      </c>
      <c r="Z573" s="95" t="s">
        <v>7</v>
      </c>
      <c r="AA573" s="95" t="s">
        <v>7</v>
      </c>
      <c r="AB573" s="95" t="s">
        <v>7</v>
      </c>
      <c r="AC573" s="95" t="s">
        <v>7</v>
      </c>
      <c r="AD573" s="95" t="s">
        <v>7</v>
      </c>
      <c r="AE573" s="95" t="s">
        <v>7</v>
      </c>
      <c r="AF573" s="95" t="s">
        <v>7</v>
      </c>
      <c r="AG573" s="95" t="s">
        <v>7</v>
      </c>
      <c r="AH573" s="95" t="s">
        <v>7</v>
      </c>
      <c r="AI573" s="95" t="s">
        <v>7</v>
      </c>
      <c r="AJ573" s="96" t="s">
        <v>7</v>
      </c>
      <c r="AK573" s="97" t="s">
        <v>7</v>
      </c>
      <c r="AL573" s="95" t="s">
        <v>7</v>
      </c>
      <c r="AM573" s="90"/>
      <c r="AN573" s="90"/>
      <c r="AO573" s="90"/>
      <c r="AP573" s="90"/>
      <c r="AQ573" s="90"/>
      <c r="AR573" s="90"/>
      <c r="AS573" s="90"/>
      <c r="AT573" s="90"/>
      <c r="AU573" s="90"/>
      <c r="AV573" s="91"/>
      <c r="AX573" s="92"/>
    </row>
    <row r="574" customFormat="false" ht="15.65" hidden="false" customHeight="false" outlineLevel="0" collapsed="false">
      <c r="C574" s="72" t="n">
        <f aca="false">COUNTIFS($D$6:D574,"&lt;&gt;"&amp;"")</f>
        <v>569</v>
      </c>
      <c r="D574" s="73" t="s">
        <v>12</v>
      </c>
      <c r="E574" s="76" t="str">
        <f aca="false">
IF($D574="정상",INDEX(임대자산!$D$3:$R$3000,MATCH($F574,임대자산!$I$3:$I$3000,0),MATCH(E$3,임대자산!$D$3:$R$3,0)),
IF($D574="폐업",INDEX(폐업정보!$D$3:$R$3000,MATCH($F574,폐업정보!$I$3:$I$3000,0),MATCH(E$3,폐업정보!$D$3:$R$3,0)),
"Error"))</f>
        <v>강원</v>
      </c>
      <c r="F57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B0569</v>
      </c>
      <c r="G574" s="76" t="str">
        <f aca="false">F574&amp;RANDBETWEEN(0,10)</f>
        <v>B05699</v>
      </c>
      <c r="H574" s="75" t="n">
        <f aca="false">
IF($D574="정상",INDEX(임대자산!$D$3:$R$3000,MATCH($F574,임대자산!$I$3:$I$3000,0),MATCH(H$4,임대자산!$D$3:$R$3,0)),
IF($D574="폐업",INDEX(폐업정보!$D$3:$R$3000,MATCH($F574,폐업정보!$I$3:$I$3000,0),MATCH(H$4,폐업정보!$D$3:$R$3,0)),
"Error"))</f>
        <v>43395</v>
      </c>
      <c r="I574" s="75" t="str">
        <f aca="false">
IF($D574="정상",INDEX(임대자산!$D$3:$R$3000,MATCH($F574,임대자산!$I$3:$I$3000,0),MATCH(I$4,임대자산!$D$3:$R$3,0)),
IF($D574="폐업",INDEX(폐업정보!$D$3:$R$3000,MATCH($F574,폐업정보!$I$3:$I$3000,0),MATCH(I$4,폐업정보!$D$3:$R$3,0)),
"Error"))</f>
        <v>A0569</v>
      </c>
      <c r="J574" s="75" t="str">
        <f aca="false">
IF($D574="정상",INDEX(임대자산!$D$3:$R$3000,MATCH($F574,임대자산!$I$3:$I$3000,0),MATCH(J$4,임대자산!$D$3:$R$3,0)),
IF($D574="폐업",INDEX(폐업정보!$D$3:$R$3000,MATCH($F574,폐업정보!$I$3:$I$3000,0),MATCH(J$4,폐업정보!$D$3:$R$3,0)),
"Error"))</f>
        <v>7468100000</v>
      </c>
      <c r="K574" s="75" t="str">
        <f aca="false">
IF($D574="정상",INDEX(임대자산!$D$3:$R$3000,MATCH($F574,임대자산!$I$3:$I$3000,0),MATCH(K$4,임대자산!$D$3:$R$3,0)),
IF($D574="폐업",INDEX(폐업정보!$D$3:$R$3000,MATCH($F574,폐업정보!$I$3:$I$3000,0),MATCH(K$4,폐업정보!$D$3:$R$3,0)),
"Error"))</f>
        <v>C0569</v>
      </c>
      <c r="L574" s="75" t="str">
        <f aca="false">
IF($D574="정상",INDEX(임대자산!$D$3:$R$3000,MATCH($F574,임대자산!$I$3:$I$3000,0),MATCH(L$4,임대자산!$D$3:$R$3,0)),
IF($D574="폐업",INDEX(폐업정보!$D$3:$R$3000,MATCH($F574,폐업정보!$I$3:$I$3000,0),MATCH(L$4,폐업정보!$D$3:$R$3,0)),
"Error"))</f>
        <v>D0569</v>
      </c>
      <c r="M574" s="76" t="s">
        <v>96</v>
      </c>
      <c r="N574" s="77"/>
      <c r="O574" s="78" t="s">
        <v>97</v>
      </c>
      <c r="P574" s="79" t="n">
        <f aca="false">COUNTIFS(임대자산!$I:$I,가맹점정보!F574,임대자산!$N:$N,가맹점정보!P$4)</f>
        <v>0</v>
      </c>
      <c r="Q574" s="80" t="n">
        <f aca="false">COUNTIFS(임대자산!$I:$I,가맹점정보!F574,임대자산!$N:$N,가맹점정보!Q$4)</f>
        <v>1</v>
      </c>
      <c r="R574" s="81" t="n">
        <f aca="false">COUNTIFS(임대자산!$I:$I,가맹점정보!F574,임대자산!$N:$N,가맹점정보!R$4)</f>
        <v>0</v>
      </c>
      <c r="S574" s="82" t="n">
        <v>55000</v>
      </c>
      <c r="T574" s="83" t="n">
        <v>0</v>
      </c>
      <c r="U574" s="80" t="n">
        <f aca="false">SUM(S574:T574)</f>
        <v>55000</v>
      </c>
      <c r="V574" s="84" t="s">
        <v>7</v>
      </c>
      <c r="W574" s="80" t="str">
        <f aca="true">
IF(D574="폐업","폐업",
IF(V574="면제","면제",
IF(AND(V574="정상",COUNTIFS(OFFSET(Y574,0,COUNTA(Y574:AV574)-1,1,-4),"미납")&gt;=3),"장기미납",
IF(AND(V574="정상",OFFSET(Y574,0,COUNTA(Y574:AV574)-1)&gt;=U574),"정상",
IF(AND(V574="정상",OFFSET(Y574,0,COUNTA(Y574:AV574)-1)=0),"정상",
"계약서 미작성")))))</f>
        <v>면제</v>
      </c>
      <c r="X574" s="81" t="str">
        <f aca="true">
IF(D574="폐업","폐업",
IF(AND(V574="정상",OFFSET(Y574,0,COUNTA(Y574:AV574)-1)="미납"),"미납",
IF(AND(V574="정상",OFFSET(Y574,0,COUNTA(Y574:AV574)-1)=0),"납부 시작 전",
IF(AND(V574="정상",OFFSET(Y574,0,COUNTA(Y574:AV574)-1)&gt;=U574),"정상",
IF(AND(V574="면제",OFFSET(Y574,0,COUNTA(Y574:AV574)-1)="면제"),"면제",
IF(AND(V574="면제",OFFSET(Y574,0,COUNTA(Y574:AV574)-1)=0),"면제",
"확인요청"))))))</f>
        <v>면제</v>
      </c>
      <c r="Y574" s="94" t="s">
        <v>7</v>
      </c>
      <c r="Z574" s="95" t="s">
        <v>7</v>
      </c>
      <c r="AA574" s="95" t="s">
        <v>7</v>
      </c>
      <c r="AB574" s="95" t="s">
        <v>7</v>
      </c>
      <c r="AC574" s="95" t="s">
        <v>7</v>
      </c>
      <c r="AD574" s="95" t="s">
        <v>7</v>
      </c>
      <c r="AE574" s="95" t="s">
        <v>7</v>
      </c>
      <c r="AF574" s="95" t="s">
        <v>7</v>
      </c>
      <c r="AG574" s="95" t="s">
        <v>7</v>
      </c>
      <c r="AH574" s="95" t="s">
        <v>7</v>
      </c>
      <c r="AI574" s="95" t="s">
        <v>7</v>
      </c>
      <c r="AJ574" s="96" t="s">
        <v>7</v>
      </c>
      <c r="AK574" s="97" t="s">
        <v>7</v>
      </c>
      <c r="AL574" s="95" t="s">
        <v>7</v>
      </c>
      <c r="AM574" s="90"/>
      <c r="AN574" s="90"/>
      <c r="AO574" s="90"/>
      <c r="AP574" s="90"/>
      <c r="AQ574" s="90"/>
      <c r="AR574" s="90"/>
      <c r="AS574" s="90"/>
      <c r="AT574" s="90"/>
      <c r="AU574" s="90"/>
      <c r="AV574" s="91"/>
      <c r="AX574" s="92"/>
    </row>
    <row r="575" customFormat="false" ht="15.65" hidden="false" customHeight="false" outlineLevel="0" collapsed="false">
      <c r="C575" s="72" t="n">
        <f aca="false">COUNTIFS($D$6:D575,"&lt;&gt;"&amp;"")</f>
        <v>570</v>
      </c>
      <c r="D575" s="73" t="s">
        <v>12</v>
      </c>
      <c r="E575" s="76" t="str">
        <f aca="false">
IF($D575="정상",INDEX(임대자산!$D$3:$R$3000,MATCH($F575,임대자산!$I$3:$I$3000,0),MATCH(E$3,임대자산!$D$3:$R$3,0)),
IF($D575="폐업",INDEX(폐업정보!$D$3:$R$3000,MATCH($F575,폐업정보!$I$3:$I$3000,0),MATCH(E$3,폐업정보!$D$3:$R$3,0)),
"Error"))</f>
        <v>서울</v>
      </c>
      <c r="F57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B0570</v>
      </c>
      <c r="G575" s="76" t="str">
        <f aca="false">F575&amp;RANDBETWEEN(0,10)</f>
        <v>B05707</v>
      </c>
      <c r="H575" s="75" t="n">
        <f aca="false">
IF($D575="정상",INDEX(임대자산!$D$3:$R$3000,MATCH($F575,임대자산!$I$3:$I$3000,0),MATCH(H$4,임대자산!$D$3:$R$3,0)),
IF($D575="폐업",INDEX(폐업정보!$D$3:$R$3000,MATCH($F575,폐업정보!$I$3:$I$3000,0),MATCH(H$4,폐업정보!$D$3:$R$3,0)),
"Error"))</f>
        <v>43417</v>
      </c>
      <c r="I575" s="75" t="str">
        <f aca="false">
IF($D575="정상",INDEX(임대자산!$D$3:$R$3000,MATCH($F575,임대자산!$I$3:$I$3000,0),MATCH(I$4,임대자산!$D$3:$R$3,0)),
IF($D575="폐업",INDEX(폐업정보!$D$3:$R$3000,MATCH($F575,폐업정보!$I$3:$I$3000,0),MATCH(I$4,폐업정보!$D$3:$R$3,0)),
"Error"))</f>
        <v>A0570</v>
      </c>
      <c r="J575" s="75" t="str">
        <f aca="false">
IF($D575="정상",INDEX(임대자산!$D$3:$R$3000,MATCH($F575,임대자산!$I$3:$I$3000,0),MATCH(J$4,임대자산!$D$3:$R$3,0)),
IF($D575="폐업",INDEX(폐업정보!$D$3:$R$3000,MATCH($F575,폐업정보!$I$3:$I$3000,0),MATCH(J$4,폐업정보!$D$3:$R$3,0)),
"Error"))</f>
        <v>6583400000</v>
      </c>
      <c r="K575" s="75" t="str">
        <f aca="false">
IF($D575="정상",INDEX(임대자산!$D$3:$R$3000,MATCH($F575,임대자산!$I$3:$I$3000,0),MATCH(K$4,임대자산!$D$3:$R$3,0)),
IF($D575="폐업",INDEX(폐업정보!$D$3:$R$3000,MATCH($F575,폐업정보!$I$3:$I$3000,0),MATCH(K$4,폐업정보!$D$3:$R$3,0)),
"Error"))</f>
        <v>C0570</v>
      </c>
      <c r="L575" s="75" t="str">
        <f aca="false">
IF($D575="정상",INDEX(임대자산!$D$3:$R$3000,MATCH($F575,임대자산!$I$3:$I$3000,0),MATCH(L$4,임대자산!$D$3:$R$3,0)),
IF($D575="폐업",INDEX(폐업정보!$D$3:$R$3000,MATCH($F575,폐업정보!$I$3:$I$3000,0),MATCH(L$4,폐업정보!$D$3:$R$3,0)),
"Error"))</f>
        <v>D0570</v>
      </c>
      <c r="M575" s="76" t="s">
        <v>96</v>
      </c>
      <c r="N575" s="77"/>
      <c r="O575" s="78" t="s">
        <v>97</v>
      </c>
      <c r="P575" s="79" t="n">
        <f aca="false">COUNTIFS(임대자산!$I:$I,가맹점정보!F575,임대자산!$N:$N,가맹점정보!P$4)</f>
        <v>0</v>
      </c>
      <c r="Q575" s="80" t="n">
        <f aca="false">COUNTIFS(임대자산!$I:$I,가맹점정보!F575,임대자산!$N:$N,가맹점정보!Q$4)</f>
        <v>1</v>
      </c>
      <c r="R575" s="81" t="n">
        <f aca="false">COUNTIFS(임대자산!$I:$I,가맹점정보!F575,임대자산!$N:$N,가맹점정보!R$4)</f>
        <v>0</v>
      </c>
      <c r="S575" s="82" t="n">
        <v>88000</v>
      </c>
      <c r="T575" s="83" t="n">
        <v>0</v>
      </c>
      <c r="U575" s="80" t="n">
        <f aca="false">SUM(S575:T575)</f>
        <v>88000</v>
      </c>
      <c r="V575" s="84" t="s">
        <v>12</v>
      </c>
      <c r="W575" s="80" t="e">
        <f aca="true">
IF(D575="폐업","폐업",
IF(V575="면제","면제",
IF(AND(V575="정상",COUNTIFS(OFFSET(Y575,0,COUNTA(Y575:AV575)-1,1,-4),"미납")&gt;=3),"장기미납",
IF(AND(V575="정상",OFFSET(Y575,0,COUNTA(Y575:AV575)-1)&gt;=U575),"정상",
IF(AND(V575="정상",OFFSET(Y575,0,COUNTA(Y575:AV575)-1)=0),"정상",
"계약서 미작성")))))</f>
        <v>#VALUE!</v>
      </c>
      <c r="X575" s="81" t="str">
        <f aca="true">
IF(D575="폐업","폐업",
IF(AND(V575="정상",OFFSET(Y575,0,COUNTA(Y575:AV575)-1)="미납"),"미납",
IF(AND(V575="정상",OFFSET(Y575,0,COUNTA(Y575:AV575)-1)=0),"납부 시작 전",
IF(AND(V575="정상",OFFSET(Y575,0,COUNTA(Y575:AV575)-1)&gt;=U575),"정상",
IF(AND(V575="면제",OFFSET(Y575,0,COUNTA(Y575:AV575)-1)="면제"),"면제",
IF(AND(V575="면제",OFFSET(Y575,0,COUNTA(Y575:AV575)-1)=0),"면제",
"확인요청"))))))</f>
        <v>정상</v>
      </c>
      <c r="Y575" s="93" t="n">
        <v>88000</v>
      </c>
      <c r="Z575" s="90" t="n">
        <v>88000</v>
      </c>
      <c r="AA575" s="90" t="n">
        <v>88000</v>
      </c>
      <c r="AB575" s="90" t="n">
        <v>88000</v>
      </c>
      <c r="AC575" s="90" t="n">
        <v>88000</v>
      </c>
      <c r="AD575" s="90" t="n">
        <v>88000</v>
      </c>
      <c r="AE575" s="90" t="n">
        <v>88000</v>
      </c>
      <c r="AF575" s="90" t="n">
        <v>88000</v>
      </c>
      <c r="AG575" s="90" t="n">
        <v>88000</v>
      </c>
      <c r="AH575" s="90" t="n">
        <v>88000</v>
      </c>
      <c r="AI575" s="90" t="n">
        <v>88000</v>
      </c>
      <c r="AJ575" s="91" t="n">
        <v>88000</v>
      </c>
      <c r="AK575" s="89" t="n">
        <v>88000</v>
      </c>
      <c r="AL575" s="90" t="n">
        <v>88000</v>
      </c>
      <c r="AM575" s="90"/>
      <c r="AN575" s="90"/>
      <c r="AO575" s="90"/>
      <c r="AP575" s="90"/>
      <c r="AQ575" s="90"/>
      <c r="AR575" s="90"/>
      <c r="AS575" s="90"/>
      <c r="AT575" s="90"/>
      <c r="AU575" s="90"/>
      <c r="AV575" s="91"/>
      <c r="AX575" s="92"/>
    </row>
    <row r="576" customFormat="false" ht="15.65" hidden="false" customHeight="false" outlineLevel="0" collapsed="false">
      <c r="C576" s="72" t="n">
        <f aca="false">COUNTIFS($D$6:D576,"&lt;&gt;"&amp;"")</f>
        <v>571</v>
      </c>
      <c r="D576" s="73" t="s">
        <v>12</v>
      </c>
      <c r="E576" s="76" t="str">
        <f aca="false">
IF($D576="정상",INDEX(임대자산!$D$3:$R$3000,MATCH($F576,임대자산!$I$3:$I$3000,0),MATCH(E$3,임대자산!$D$3:$R$3,0)),
IF($D576="폐업",INDEX(폐업정보!$D$3:$R$3000,MATCH($F576,폐업정보!$I$3:$I$3000,0),MATCH(E$3,폐업정보!$D$3:$R$3,0)),
"Error"))</f>
        <v>강원</v>
      </c>
      <c r="F57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B0571</v>
      </c>
      <c r="G576" s="76" t="str">
        <f aca="false">F576&amp;RANDBETWEEN(0,10)</f>
        <v>B057110</v>
      </c>
      <c r="H576" s="75" t="n">
        <f aca="false">
IF($D576="정상",INDEX(임대자산!$D$3:$R$3000,MATCH($F576,임대자산!$I$3:$I$3000,0),MATCH(H$4,임대자산!$D$3:$R$3,0)),
IF($D576="폐업",INDEX(폐업정보!$D$3:$R$3000,MATCH($F576,폐업정보!$I$3:$I$3000,0),MATCH(H$4,폐업정보!$D$3:$R$3,0)),
"Error"))</f>
        <v>44361</v>
      </c>
      <c r="I576" s="75" t="str">
        <f aca="false">
IF($D576="정상",INDEX(임대자산!$D$3:$R$3000,MATCH($F576,임대자산!$I$3:$I$3000,0),MATCH(I$4,임대자산!$D$3:$R$3,0)),
IF($D576="폐업",INDEX(폐업정보!$D$3:$R$3000,MATCH($F576,폐업정보!$I$3:$I$3000,0),MATCH(I$4,폐업정보!$D$3:$R$3,0)),
"Error"))</f>
        <v>A0571</v>
      </c>
      <c r="J576" s="75" t="str">
        <f aca="false">
IF($D576="정상",INDEX(임대자산!$D$3:$R$3000,MATCH($F576,임대자산!$I$3:$I$3000,0),MATCH(J$4,임대자산!$D$3:$R$3,0)),
IF($D576="폐업",INDEX(폐업정보!$D$3:$R$3000,MATCH($F576,폐업정보!$I$3:$I$3000,0),MATCH(J$4,폐업정보!$D$3:$R$3,0)),
"Error"))</f>
        <v>7432700000</v>
      </c>
      <c r="K576" s="75" t="str">
        <f aca="false">
IF($D576="정상",INDEX(임대자산!$D$3:$R$3000,MATCH($F576,임대자산!$I$3:$I$3000,0),MATCH(K$4,임대자산!$D$3:$R$3,0)),
IF($D576="폐업",INDEX(폐업정보!$D$3:$R$3000,MATCH($F576,폐업정보!$I$3:$I$3000,0),MATCH(K$4,폐업정보!$D$3:$R$3,0)),
"Error"))</f>
        <v>C0571</v>
      </c>
      <c r="L576" s="75" t="str">
        <f aca="false">
IF($D576="정상",INDEX(임대자산!$D$3:$R$3000,MATCH($F576,임대자산!$I$3:$I$3000,0),MATCH(L$4,임대자산!$D$3:$R$3,0)),
IF($D576="폐업",INDEX(폐업정보!$D$3:$R$3000,MATCH($F576,폐업정보!$I$3:$I$3000,0),MATCH(L$4,폐업정보!$D$3:$R$3,0)),
"Error"))</f>
        <v>D0571</v>
      </c>
      <c r="M576" s="76" t="s">
        <v>96</v>
      </c>
      <c r="N576" s="77"/>
      <c r="O576" s="78" t="s">
        <v>97</v>
      </c>
      <c r="P576" s="79" t="n">
        <f aca="false">COUNTIFS(임대자산!$I:$I,가맹점정보!F576,임대자산!$N:$N,가맹점정보!P$4)</f>
        <v>0</v>
      </c>
      <c r="Q576" s="80" t="n">
        <f aca="false">COUNTIFS(임대자산!$I:$I,가맹점정보!F576,임대자산!$N:$N,가맹점정보!Q$4)</f>
        <v>1</v>
      </c>
      <c r="R576" s="81" t="n">
        <f aca="false">COUNTIFS(임대자산!$I:$I,가맹점정보!F576,임대자산!$N:$N,가맹점정보!R$4)</f>
        <v>0</v>
      </c>
      <c r="S576" s="82" t="n">
        <v>88000</v>
      </c>
      <c r="T576" s="83" t="n">
        <v>0</v>
      </c>
      <c r="U576" s="80" t="n">
        <f aca="false">SUM(S576:T576)</f>
        <v>88000</v>
      </c>
      <c r="V576" s="84" t="s">
        <v>12</v>
      </c>
      <c r="W576" s="80" t="e">
        <f aca="true">
IF(D576="폐업","폐업",
IF(V576="면제","면제",
IF(AND(V576="정상",COUNTIFS(OFFSET(Y576,0,COUNTA(Y576:AV576)-1,1,-4),"미납")&gt;=3),"장기미납",
IF(AND(V576="정상",OFFSET(Y576,0,COUNTA(Y576:AV576)-1)&gt;=U576),"정상",
IF(AND(V576="정상",OFFSET(Y576,0,COUNTA(Y576:AV576)-1)=0),"정상",
"계약서 미작성")))))</f>
        <v>#VALUE!</v>
      </c>
      <c r="X576" s="81" t="str">
        <f aca="true">
IF(D576="폐업","폐업",
IF(AND(V576="정상",OFFSET(Y576,0,COUNTA(Y576:AV576)-1)="미납"),"미납",
IF(AND(V576="정상",OFFSET(Y576,0,COUNTA(Y576:AV576)-1)=0),"납부 시작 전",
IF(AND(V576="정상",OFFSET(Y576,0,COUNTA(Y576:AV576)-1)&gt;=U576),"정상",
IF(AND(V576="면제",OFFSET(Y576,0,COUNTA(Y576:AV576)-1)="면제"),"면제",
IF(AND(V576="면제",OFFSET(Y576,0,COUNTA(Y576:AV576)-1)=0),"면제",
"확인요청"))))))</f>
        <v>미납</v>
      </c>
      <c r="Y576" s="93" t="n">
        <v>88000</v>
      </c>
      <c r="Z576" s="90" t="n">
        <v>88000</v>
      </c>
      <c r="AA576" s="90" t="n">
        <v>88000</v>
      </c>
      <c r="AB576" s="90" t="n">
        <v>88000</v>
      </c>
      <c r="AC576" s="90" t="n">
        <v>88000</v>
      </c>
      <c r="AD576" s="90" t="n">
        <v>88000</v>
      </c>
      <c r="AE576" s="90" t="n">
        <v>88000</v>
      </c>
      <c r="AF576" s="90" t="n">
        <v>88000</v>
      </c>
      <c r="AG576" s="90" t="n">
        <v>88000</v>
      </c>
      <c r="AH576" s="90" t="n">
        <v>88000</v>
      </c>
      <c r="AI576" s="90" t="n">
        <v>88000</v>
      </c>
      <c r="AJ576" s="91" t="n">
        <v>88000</v>
      </c>
      <c r="AK576" s="89" t="n">
        <v>88000</v>
      </c>
      <c r="AL576" s="95" t="s">
        <v>62</v>
      </c>
      <c r="AM576" s="90"/>
      <c r="AN576" s="90"/>
      <c r="AO576" s="90"/>
      <c r="AP576" s="90"/>
      <c r="AQ576" s="90"/>
      <c r="AR576" s="90"/>
      <c r="AS576" s="90"/>
      <c r="AT576" s="90"/>
      <c r="AU576" s="90"/>
      <c r="AV576" s="91"/>
      <c r="AX576" s="92"/>
    </row>
    <row r="577" customFormat="false" ht="15.65" hidden="false" customHeight="false" outlineLevel="0" collapsed="false">
      <c r="C577" s="72" t="n">
        <f aca="false">COUNTIFS($D$6:D577,"&lt;&gt;"&amp;"")</f>
        <v>572</v>
      </c>
      <c r="D577" s="73" t="s">
        <v>12</v>
      </c>
      <c r="E577" s="76" t="str">
        <f aca="false">
IF($D577="정상",INDEX(임대자산!$D$3:$R$3000,MATCH($F577,임대자산!$I$3:$I$3000,0),MATCH(E$3,임대자산!$D$3:$R$3,0)),
IF($D577="폐업",INDEX(폐업정보!$D$3:$R$3000,MATCH($F577,폐업정보!$I$3:$I$3000,0),MATCH(E$3,폐업정보!$D$3:$R$3,0)),
"Error"))</f>
        <v>경상</v>
      </c>
      <c r="F57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B0572</v>
      </c>
      <c r="G577" s="76" t="str">
        <f aca="false">F577&amp;RANDBETWEEN(0,10)</f>
        <v>B05729</v>
      </c>
      <c r="H577" s="75" t="n">
        <f aca="false">
IF($D577="정상",INDEX(임대자산!$D$3:$R$3000,MATCH($F577,임대자산!$I$3:$I$3000,0),MATCH(H$4,임대자산!$D$3:$R$3,0)),
IF($D577="폐업",INDEX(폐업정보!$D$3:$R$3000,MATCH($F577,폐업정보!$I$3:$I$3000,0),MATCH(H$4,폐업정보!$D$3:$R$3,0)),
"Error"))</f>
        <v>43444</v>
      </c>
      <c r="I577" s="75" t="str">
        <f aca="false">
IF($D577="정상",INDEX(임대자산!$D$3:$R$3000,MATCH($F577,임대자산!$I$3:$I$3000,0),MATCH(I$4,임대자산!$D$3:$R$3,0)),
IF($D577="폐업",INDEX(폐업정보!$D$3:$R$3000,MATCH($F577,폐업정보!$I$3:$I$3000,0),MATCH(I$4,폐업정보!$D$3:$R$3,0)),
"Error"))</f>
        <v>A0572</v>
      </c>
      <c r="J577" s="75" t="str">
        <f aca="false">
IF($D577="정상",INDEX(임대자산!$D$3:$R$3000,MATCH($F577,임대자산!$I$3:$I$3000,0),MATCH(J$4,임대자산!$D$3:$R$3,0)),
IF($D577="폐업",INDEX(폐업정보!$D$3:$R$3000,MATCH($F577,폐업정보!$I$3:$I$3000,0),MATCH(J$4,폐업정보!$D$3:$R$3,0)),
"Error"))</f>
        <v>5773600000</v>
      </c>
      <c r="K577" s="75" t="str">
        <f aca="false">
IF($D577="정상",INDEX(임대자산!$D$3:$R$3000,MATCH($F577,임대자산!$I$3:$I$3000,0),MATCH(K$4,임대자산!$D$3:$R$3,0)),
IF($D577="폐업",INDEX(폐업정보!$D$3:$R$3000,MATCH($F577,폐업정보!$I$3:$I$3000,0),MATCH(K$4,폐업정보!$D$3:$R$3,0)),
"Error"))</f>
        <v>C0572</v>
      </c>
      <c r="L577" s="75" t="str">
        <f aca="false">
IF($D577="정상",INDEX(임대자산!$D$3:$R$3000,MATCH($F577,임대자산!$I$3:$I$3000,0),MATCH(L$4,임대자산!$D$3:$R$3,0)),
IF($D577="폐업",INDEX(폐업정보!$D$3:$R$3000,MATCH($F577,폐업정보!$I$3:$I$3000,0),MATCH(L$4,폐업정보!$D$3:$R$3,0)),
"Error"))</f>
        <v>D0572</v>
      </c>
      <c r="M577" s="76" t="s">
        <v>96</v>
      </c>
      <c r="N577" s="77"/>
      <c r="O577" s="78" t="s">
        <v>97</v>
      </c>
      <c r="P577" s="79" t="n">
        <f aca="false">COUNTIFS(임대자산!$I:$I,가맹점정보!F577,임대자산!$N:$N,가맹점정보!P$4)</f>
        <v>0</v>
      </c>
      <c r="Q577" s="80" t="n">
        <f aca="false">COUNTIFS(임대자산!$I:$I,가맹점정보!F577,임대자산!$N:$N,가맹점정보!Q$4)</f>
        <v>1</v>
      </c>
      <c r="R577" s="81" t="n">
        <f aca="false">COUNTIFS(임대자산!$I:$I,가맹점정보!F577,임대자산!$N:$N,가맹점정보!R$4)</f>
        <v>0</v>
      </c>
      <c r="S577" s="82" t="n">
        <v>55000</v>
      </c>
      <c r="T577" s="83" t="n">
        <v>0</v>
      </c>
      <c r="U577" s="80" t="n">
        <f aca="false">SUM(S577:T577)</f>
        <v>55000</v>
      </c>
      <c r="V577" s="84" t="s">
        <v>12</v>
      </c>
      <c r="W577" s="80" t="e">
        <f aca="true">
IF(D577="폐업","폐업",
IF(V577="면제","면제",
IF(AND(V577="정상",COUNTIFS(OFFSET(Y577,0,COUNTA(Y577:AV577)-1,1,-4),"미납")&gt;=3),"장기미납",
IF(AND(V577="정상",OFFSET(Y577,0,COUNTA(Y577:AV577)-1)&gt;=U577),"정상",
IF(AND(V577="정상",OFFSET(Y577,0,COUNTA(Y577:AV577)-1)=0),"정상",
"계약서 미작성")))))</f>
        <v>#VALUE!</v>
      </c>
      <c r="X577" s="81" t="str">
        <f aca="true">
IF(D577="폐업","폐업",
IF(AND(V577="정상",OFFSET(Y577,0,COUNTA(Y577:AV577)-1)="미납"),"미납",
IF(AND(V577="정상",OFFSET(Y577,0,COUNTA(Y577:AV577)-1)=0),"납부 시작 전",
IF(AND(V577="정상",OFFSET(Y577,0,COUNTA(Y577:AV577)-1)&gt;=U577),"정상",
IF(AND(V577="면제",OFFSET(Y577,0,COUNTA(Y577:AV577)-1)="면제"),"면제",
IF(AND(V577="면제",OFFSET(Y577,0,COUNTA(Y577:AV577)-1)=0),"면제",
"확인요청"))))))</f>
        <v>정상</v>
      </c>
      <c r="Y577" s="93" t="n">
        <v>55000</v>
      </c>
      <c r="Z577" s="90" t="n">
        <v>55000</v>
      </c>
      <c r="AA577" s="90" t="n">
        <v>55000</v>
      </c>
      <c r="AB577" s="90" t="n">
        <v>55000</v>
      </c>
      <c r="AC577" s="90" t="n">
        <v>55000</v>
      </c>
      <c r="AD577" s="90" t="n">
        <v>55000</v>
      </c>
      <c r="AE577" s="90" t="n">
        <v>55000</v>
      </c>
      <c r="AF577" s="90" t="n">
        <v>55000</v>
      </c>
      <c r="AG577" s="90" t="n">
        <v>55000</v>
      </c>
      <c r="AH577" s="90" t="n">
        <v>55000</v>
      </c>
      <c r="AI577" s="90" t="n">
        <v>55000</v>
      </c>
      <c r="AJ577" s="91" t="n">
        <v>55000</v>
      </c>
      <c r="AK577" s="89" t="n">
        <v>55000</v>
      </c>
      <c r="AL577" s="90" t="n">
        <v>55000</v>
      </c>
      <c r="AM577" s="90"/>
      <c r="AN577" s="90"/>
      <c r="AO577" s="90"/>
      <c r="AP577" s="90"/>
      <c r="AQ577" s="90"/>
      <c r="AR577" s="90"/>
      <c r="AS577" s="90"/>
      <c r="AT577" s="90"/>
      <c r="AU577" s="90"/>
      <c r="AV577" s="91"/>
      <c r="AX577" s="92"/>
    </row>
    <row r="578" customFormat="false" ht="15.65" hidden="false" customHeight="false" outlineLevel="0" collapsed="false">
      <c r="C578" s="72" t="n">
        <f aca="false">COUNTIFS($D$6:D578,"&lt;&gt;"&amp;"")</f>
        <v>573</v>
      </c>
      <c r="D578" s="73" t="s">
        <v>12</v>
      </c>
      <c r="E578" s="76" t="str">
        <f aca="false">
IF($D578="정상",INDEX(임대자산!$D$3:$R$3000,MATCH($F578,임대자산!$I$3:$I$3000,0),MATCH(E$3,임대자산!$D$3:$R$3,0)),
IF($D578="폐업",INDEX(폐업정보!$D$3:$R$3000,MATCH($F578,폐업정보!$I$3:$I$3000,0),MATCH(E$3,폐업정보!$D$3:$R$3,0)),
"Error"))</f>
        <v>경상</v>
      </c>
      <c r="F57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B0573</v>
      </c>
      <c r="G578" s="76" t="str">
        <f aca="false">F578&amp;RANDBETWEEN(0,10)</f>
        <v>B05733</v>
      </c>
      <c r="H578" s="75" t="n">
        <f aca="false">
IF($D578="정상",INDEX(임대자산!$D$3:$R$3000,MATCH($F578,임대자산!$I$3:$I$3000,0),MATCH(H$4,임대자산!$D$3:$R$3,0)),
IF($D578="폐업",INDEX(폐업정보!$D$3:$R$3000,MATCH($F578,폐업정보!$I$3:$I$3000,0),MATCH(H$4,폐업정보!$D$3:$R$3,0)),
"Error"))</f>
        <v>45250</v>
      </c>
      <c r="I578" s="75" t="str">
        <f aca="false">
IF($D578="정상",INDEX(임대자산!$D$3:$R$3000,MATCH($F578,임대자산!$I$3:$I$3000,0),MATCH(I$4,임대자산!$D$3:$R$3,0)),
IF($D578="폐업",INDEX(폐업정보!$D$3:$R$3000,MATCH($F578,폐업정보!$I$3:$I$3000,0),MATCH(I$4,폐업정보!$D$3:$R$3,0)),
"Error"))</f>
        <v>A0573</v>
      </c>
      <c r="J578" s="75" t="str">
        <f aca="false">
IF($D578="정상",INDEX(임대자산!$D$3:$R$3000,MATCH($F578,임대자산!$I$3:$I$3000,0),MATCH(J$4,임대자산!$D$3:$R$3,0)),
IF($D578="폐업",INDEX(폐업정보!$D$3:$R$3000,MATCH($F578,폐업정보!$I$3:$I$3000,0),MATCH(J$4,폐업정보!$D$3:$R$3,0)),
"Error"))</f>
        <v>4993300000</v>
      </c>
      <c r="K578" s="75" t="str">
        <f aca="false">
IF($D578="정상",INDEX(임대자산!$D$3:$R$3000,MATCH($F578,임대자산!$I$3:$I$3000,0),MATCH(K$4,임대자산!$D$3:$R$3,0)),
IF($D578="폐업",INDEX(폐업정보!$D$3:$R$3000,MATCH($F578,폐업정보!$I$3:$I$3000,0),MATCH(K$4,폐업정보!$D$3:$R$3,0)),
"Error"))</f>
        <v>C0573</v>
      </c>
      <c r="L578" s="75" t="str">
        <f aca="false">
IF($D578="정상",INDEX(임대자산!$D$3:$R$3000,MATCH($F578,임대자산!$I$3:$I$3000,0),MATCH(L$4,임대자산!$D$3:$R$3,0)),
IF($D578="폐업",INDEX(폐업정보!$D$3:$R$3000,MATCH($F578,폐업정보!$I$3:$I$3000,0),MATCH(L$4,폐업정보!$D$3:$R$3,0)),
"Error"))</f>
        <v>D0573</v>
      </c>
      <c r="M578" s="76" t="s">
        <v>96</v>
      </c>
      <c r="N578" s="77"/>
      <c r="O578" s="78" t="s">
        <v>97</v>
      </c>
      <c r="P578" s="79" t="n">
        <f aca="false">COUNTIFS(임대자산!$I:$I,가맹점정보!F578,임대자산!$N:$N,가맹점정보!P$4)</f>
        <v>0</v>
      </c>
      <c r="Q578" s="80" t="n">
        <f aca="false">COUNTIFS(임대자산!$I:$I,가맹점정보!F578,임대자산!$N:$N,가맹점정보!Q$4)</f>
        <v>1</v>
      </c>
      <c r="R578" s="81" t="n">
        <f aca="false">COUNTIFS(임대자산!$I:$I,가맹점정보!F578,임대자산!$N:$N,가맹점정보!R$4)</f>
        <v>0</v>
      </c>
      <c r="S578" s="82" t="n">
        <v>55000</v>
      </c>
      <c r="T578" s="83" t="n">
        <v>0</v>
      </c>
      <c r="U578" s="80" t="n">
        <f aca="false">SUM(S578:T578)</f>
        <v>55000</v>
      </c>
      <c r="V578" s="84" t="s">
        <v>12</v>
      </c>
      <c r="W578" s="80" t="e">
        <f aca="true">
IF(D578="폐업","폐업",
IF(V578="면제","면제",
IF(AND(V578="정상",COUNTIFS(OFFSET(Y578,0,COUNTA(Y578:AV578)-1,1,-4),"미납")&gt;=3),"장기미납",
IF(AND(V578="정상",OFFSET(Y578,0,COUNTA(Y578:AV578)-1)&gt;=U578),"정상",
IF(AND(V578="정상",OFFSET(Y578,0,COUNTA(Y578:AV578)-1)=0),"정상",
"계약서 미작성")))))</f>
        <v>#VALUE!</v>
      </c>
      <c r="X578" s="81" t="str">
        <f aca="true">
IF(D578="폐업","폐업",
IF(AND(V578="정상",OFFSET(Y578,0,COUNTA(Y578:AV578)-1)="미납"),"미납",
IF(AND(V578="정상",OFFSET(Y578,0,COUNTA(Y578:AV578)-1)=0),"납부 시작 전",
IF(AND(V578="정상",OFFSET(Y578,0,COUNTA(Y578:AV578)-1)&gt;=U578),"정상",
IF(AND(V578="면제",OFFSET(Y578,0,COUNTA(Y578:AV578)-1)="면제"),"면제",
IF(AND(V578="면제",OFFSET(Y578,0,COUNTA(Y578:AV578)-1)=0),"면제",
"확인요청"))))))</f>
        <v>정상</v>
      </c>
      <c r="Y578" s="93" t="n">
        <v>55000</v>
      </c>
      <c r="Z578" s="90" t="n">
        <v>55000</v>
      </c>
      <c r="AA578" s="90" t="n">
        <v>55000</v>
      </c>
      <c r="AB578" s="90" t="n">
        <v>55000</v>
      </c>
      <c r="AC578" s="90" t="n">
        <v>55000</v>
      </c>
      <c r="AD578" s="90" t="n">
        <v>55000</v>
      </c>
      <c r="AE578" s="90" t="n">
        <v>55000</v>
      </c>
      <c r="AF578" s="90" t="n">
        <v>55000</v>
      </c>
      <c r="AG578" s="90" t="n">
        <v>55000</v>
      </c>
      <c r="AH578" s="90" t="n">
        <v>55000</v>
      </c>
      <c r="AI578" s="90" t="n">
        <v>55000</v>
      </c>
      <c r="AJ578" s="91" t="n">
        <v>55000</v>
      </c>
      <c r="AK578" s="89" t="n">
        <v>55000</v>
      </c>
      <c r="AL578" s="90" t="n">
        <v>55000</v>
      </c>
      <c r="AM578" s="90"/>
      <c r="AN578" s="90"/>
      <c r="AO578" s="90"/>
      <c r="AP578" s="90"/>
      <c r="AQ578" s="90"/>
      <c r="AR578" s="90"/>
      <c r="AS578" s="90"/>
      <c r="AT578" s="90"/>
      <c r="AU578" s="90"/>
      <c r="AV578" s="91"/>
      <c r="AX578" s="92"/>
    </row>
    <row r="579" customFormat="false" ht="15.65" hidden="false" customHeight="false" outlineLevel="0" collapsed="false">
      <c r="C579" s="72" t="n">
        <f aca="false">COUNTIFS($D$6:D579,"&lt;&gt;"&amp;"")</f>
        <v>574</v>
      </c>
      <c r="D579" s="73" t="s">
        <v>12</v>
      </c>
      <c r="E579" s="76" t="str">
        <f aca="false">
IF($D579="정상",INDEX(임대자산!$D$3:$R$3000,MATCH($F579,임대자산!$I$3:$I$3000,0),MATCH(E$3,임대자산!$D$3:$R$3,0)),
IF($D579="폐업",INDEX(폐업정보!$D$3:$R$3000,MATCH($F579,폐업정보!$I$3:$I$3000,0),MATCH(E$3,폐업정보!$D$3:$R$3,0)),
"Error"))</f>
        <v>서울</v>
      </c>
      <c r="F57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B0574</v>
      </c>
      <c r="G579" s="76" t="str">
        <f aca="false">F579&amp;RANDBETWEEN(0,10)</f>
        <v>B05742</v>
      </c>
      <c r="H579" s="75" t="n">
        <f aca="false">
IF($D579="정상",INDEX(임대자산!$D$3:$R$3000,MATCH($F579,임대자산!$I$3:$I$3000,0),MATCH(H$4,임대자산!$D$3:$R$3,0)),
IF($D579="폐업",INDEX(폐업정보!$D$3:$R$3000,MATCH($F579,폐업정보!$I$3:$I$3000,0),MATCH(H$4,폐업정보!$D$3:$R$3,0)),
"Error"))</f>
        <v>43446</v>
      </c>
      <c r="I579" s="75" t="str">
        <f aca="false">
IF($D579="정상",INDEX(임대자산!$D$3:$R$3000,MATCH($F579,임대자산!$I$3:$I$3000,0),MATCH(I$4,임대자산!$D$3:$R$3,0)),
IF($D579="폐업",INDEX(폐업정보!$D$3:$R$3000,MATCH($F579,폐업정보!$I$3:$I$3000,0),MATCH(I$4,폐업정보!$D$3:$R$3,0)),
"Error"))</f>
        <v>A0574</v>
      </c>
      <c r="J579" s="75" t="str">
        <f aca="false">
IF($D579="정상",INDEX(임대자산!$D$3:$R$3000,MATCH($F579,임대자산!$I$3:$I$3000,0),MATCH(J$4,임대자산!$D$3:$R$3,0)),
IF($D579="폐업",INDEX(폐업정보!$D$3:$R$3000,MATCH($F579,폐업정보!$I$3:$I$3000,0),MATCH(J$4,폐업정보!$D$3:$R$3,0)),
"Error"))</f>
        <v>6306700000</v>
      </c>
      <c r="K579" s="75" t="str">
        <f aca="false">
IF($D579="정상",INDEX(임대자산!$D$3:$R$3000,MATCH($F579,임대자산!$I$3:$I$3000,0),MATCH(K$4,임대자산!$D$3:$R$3,0)),
IF($D579="폐업",INDEX(폐업정보!$D$3:$R$3000,MATCH($F579,폐업정보!$I$3:$I$3000,0),MATCH(K$4,폐업정보!$D$3:$R$3,0)),
"Error"))</f>
        <v>C0574</v>
      </c>
      <c r="L579" s="75" t="str">
        <f aca="false">
IF($D579="정상",INDEX(임대자산!$D$3:$R$3000,MATCH($F579,임대자산!$I$3:$I$3000,0),MATCH(L$4,임대자산!$D$3:$R$3,0)),
IF($D579="폐업",INDEX(폐업정보!$D$3:$R$3000,MATCH($F579,폐업정보!$I$3:$I$3000,0),MATCH(L$4,폐업정보!$D$3:$R$3,0)),
"Error"))</f>
        <v>D0574</v>
      </c>
      <c r="M579" s="76" t="s">
        <v>96</v>
      </c>
      <c r="N579" s="77"/>
      <c r="O579" s="78" t="s">
        <v>97</v>
      </c>
      <c r="P579" s="79" t="n">
        <f aca="false">COUNTIFS(임대자산!$I:$I,가맹점정보!F579,임대자산!$N:$N,가맹점정보!P$4)</f>
        <v>0</v>
      </c>
      <c r="Q579" s="80" t="n">
        <f aca="false">COUNTIFS(임대자산!$I:$I,가맹점정보!F579,임대자산!$N:$N,가맹점정보!Q$4)</f>
        <v>1</v>
      </c>
      <c r="R579" s="81" t="n">
        <f aca="false">COUNTIFS(임대자산!$I:$I,가맹점정보!F579,임대자산!$N:$N,가맹점정보!R$4)</f>
        <v>0</v>
      </c>
      <c r="S579" s="82" t="n">
        <v>33000</v>
      </c>
      <c r="T579" s="83" t="n">
        <v>0</v>
      </c>
      <c r="U579" s="80" t="n">
        <f aca="false">SUM(S579:T579)</f>
        <v>33000</v>
      </c>
      <c r="V579" s="84" t="s">
        <v>12</v>
      </c>
      <c r="W579" s="80" t="e">
        <f aca="true">
IF(D579="폐업","폐업",
IF(V579="면제","면제",
IF(AND(V579="정상",COUNTIFS(OFFSET(Y579,0,COUNTA(Y579:AV579)-1,1,-4),"미납")&gt;=3),"장기미납",
IF(AND(V579="정상",OFFSET(Y579,0,COUNTA(Y579:AV579)-1)&gt;=U579),"정상",
IF(AND(V579="정상",OFFSET(Y579,0,COUNTA(Y579:AV579)-1)=0),"정상",
"계약서 미작성")))))</f>
        <v>#VALUE!</v>
      </c>
      <c r="X579" s="81" t="str">
        <f aca="true">
IF(D579="폐업","폐업",
IF(AND(V579="정상",OFFSET(Y579,0,COUNTA(Y579:AV579)-1)="미납"),"미납",
IF(AND(V579="정상",OFFSET(Y579,0,COUNTA(Y579:AV579)-1)=0),"납부 시작 전",
IF(AND(V579="정상",OFFSET(Y579,0,COUNTA(Y579:AV579)-1)&gt;=U579),"정상",
IF(AND(V579="면제",OFFSET(Y579,0,COUNTA(Y579:AV579)-1)="면제"),"면제",
IF(AND(V579="면제",OFFSET(Y579,0,COUNTA(Y579:AV579)-1)=0),"면제",
"확인요청"))))))</f>
        <v>정상</v>
      </c>
      <c r="Y579" s="93" t="n">
        <v>33000</v>
      </c>
      <c r="Z579" s="90" t="n">
        <v>33000</v>
      </c>
      <c r="AA579" s="90" t="n">
        <v>33000</v>
      </c>
      <c r="AB579" s="90" t="n">
        <v>33000</v>
      </c>
      <c r="AC579" s="90" t="n">
        <v>33000</v>
      </c>
      <c r="AD579" s="90" t="n">
        <v>33000</v>
      </c>
      <c r="AE579" s="90" t="n">
        <v>33000</v>
      </c>
      <c r="AF579" s="90" t="n">
        <v>33000</v>
      </c>
      <c r="AG579" s="90" t="n">
        <v>33000</v>
      </c>
      <c r="AH579" s="90" t="n">
        <v>33000</v>
      </c>
      <c r="AI579" s="90" t="n">
        <v>33000</v>
      </c>
      <c r="AJ579" s="91" t="n">
        <v>33000</v>
      </c>
      <c r="AK579" s="89" t="n">
        <v>33000</v>
      </c>
      <c r="AL579" s="90" t="n">
        <v>33000</v>
      </c>
      <c r="AM579" s="90"/>
      <c r="AN579" s="90"/>
      <c r="AO579" s="90"/>
      <c r="AP579" s="90"/>
      <c r="AQ579" s="90"/>
      <c r="AR579" s="90"/>
      <c r="AS579" s="90"/>
      <c r="AT579" s="90"/>
      <c r="AU579" s="90"/>
      <c r="AV579" s="91"/>
      <c r="AX579" s="92"/>
    </row>
    <row r="580" customFormat="false" ht="15.65" hidden="false" customHeight="false" outlineLevel="0" collapsed="false">
      <c r="C580" s="72" t="n">
        <f aca="false">COUNTIFS($D$6:D580,"&lt;&gt;"&amp;"")</f>
        <v>575</v>
      </c>
      <c r="D580" s="73" t="s">
        <v>12</v>
      </c>
      <c r="E580" s="76" t="str">
        <f aca="false">
IF($D580="정상",INDEX(임대자산!$D$3:$R$3000,MATCH($F580,임대자산!$I$3:$I$3000,0),MATCH(E$3,임대자산!$D$3:$R$3,0)),
IF($D580="폐업",INDEX(폐업정보!$D$3:$R$3000,MATCH($F580,폐업정보!$I$3:$I$3000,0),MATCH(E$3,폐업정보!$D$3:$R$3,0)),
"Error"))</f>
        <v>강원</v>
      </c>
      <c r="F58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B0575</v>
      </c>
      <c r="G580" s="76" t="str">
        <f aca="false">F580&amp;RANDBETWEEN(0,10)</f>
        <v>B05758</v>
      </c>
      <c r="H580" s="75" t="n">
        <f aca="false">
IF($D580="정상",INDEX(임대자산!$D$3:$R$3000,MATCH($F580,임대자산!$I$3:$I$3000,0),MATCH(H$4,임대자산!$D$3:$R$3,0)),
IF($D580="폐업",INDEX(폐업정보!$D$3:$R$3000,MATCH($F580,폐업정보!$I$3:$I$3000,0),MATCH(H$4,폐업정보!$D$3:$R$3,0)),
"Error"))</f>
        <v>43451</v>
      </c>
      <c r="I580" s="75" t="str">
        <f aca="false">
IF($D580="정상",INDEX(임대자산!$D$3:$R$3000,MATCH($F580,임대자산!$I$3:$I$3000,0),MATCH(I$4,임대자산!$D$3:$R$3,0)),
IF($D580="폐업",INDEX(폐업정보!$D$3:$R$3000,MATCH($F580,폐업정보!$I$3:$I$3000,0),MATCH(I$4,폐업정보!$D$3:$R$3,0)),
"Error"))</f>
        <v>A0575</v>
      </c>
      <c r="J580" s="75" t="str">
        <f aca="false">
IF($D580="정상",INDEX(임대자산!$D$3:$R$3000,MATCH($F580,임대자산!$I$3:$I$3000,0),MATCH(J$4,임대자산!$D$3:$R$3,0)),
IF($D580="폐업",INDEX(폐업정보!$D$3:$R$3000,MATCH($F580,폐업정보!$I$3:$I$3000,0),MATCH(J$4,폐업정보!$D$3:$R$3,0)),
"Error"))</f>
        <v>8869100000</v>
      </c>
      <c r="K580" s="75" t="str">
        <f aca="false">
IF($D580="정상",INDEX(임대자산!$D$3:$R$3000,MATCH($F580,임대자산!$I$3:$I$3000,0),MATCH(K$4,임대자산!$D$3:$R$3,0)),
IF($D580="폐업",INDEX(폐업정보!$D$3:$R$3000,MATCH($F580,폐업정보!$I$3:$I$3000,0),MATCH(K$4,폐업정보!$D$3:$R$3,0)),
"Error"))</f>
        <v>C0575</v>
      </c>
      <c r="L580" s="75" t="str">
        <f aca="false">
IF($D580="정상",INDEX(임대자산!$D$3:$R$3000,MATCH($F580,임대자산!$I$3:$I$3000,0),MATCH(L$4,임대자산!$D$3:$R$3,0)),
IF($D580="폐업",INDEX(폐업정보!$D$3:$R$3000,MATCH($F580,폐업정보!$I$3:$I$3000,0),MATCH(L$4,폐업정보!$D$3:$R$3,0)),
"Error"))</f>
        <v>D0575</v>
      </c>
      <c r="M580" s="76" t="s">
        <v>96</v>
      </c>
      <c r="N580" s="77"/>
      <c r="O580" s="78" t="s">
        <v>97</v>
      </c>
      <c r="P580" s="79" t="n">
        <f aca="false">COUNTIFS(임대자산!$I:$I,가맹점정보!F580,임대자산!$N:$N,가맹점정보!P$4)</f>
        <v>0</v>
      </c>
      <c r="Q580" s="80" t="n">
        <f aca="false">COUNTIFS(임대자산!$I:$I,가맹점정보!F580,임대자산!$N:$N,가맹점정보!Q$4)</f>
        <v>1</v>
      </c>
      <c r="R580" s="81" t="n">
        <f aca="false">COUNTIFS(임대자산!$I:$I,가맹점정보!F580,임대자산!$N:$N,가맹점정보!R$4)</f>
        <v>0</v>
      </c>
      <c r="S580" s="82" t="n">
        <v>55000</v>
      </c>
      <c r="T580" s="83" t="n">
        <v>0</v>
      </c>
      <c r="U580" s="80" t="n">
        <f aca="false">SUM(S580:T580)</f>
        <v>55000</v>
      </c>
      <c r="V580" s="84" t="s">
        <v>12</v>
      </c>
      <c r="W580" s="80" t="e">
        <f aca="true">
IF(D580="폐업","폐업",
IF(V580="면제","면제",
IF(AND(V580="정상",COUNTIFS(OFFSET(Y580,0,COUNTA(Y580:AV580)-1,1,-4),"미납")&gt;=3),"장기미납",
IF(AND(V580="정상",OFFSET(Y580,0,COUNTA(Y580:AV580)-1)&gt;=U580),"정상",
IF(AND(V580="정상",OFFSET(Y580,0,COUNTA(Y580:AV580)-1)=0),"정상",
"계약서 미작성")))))</f>
        <v>#VALUE!</v>
      </c>
      <c r="X580" s="81" t="str">
        <f aca="true">
IF(D580="폐업","폐업",
IF(AND(V580="정상",OFFSET(Y580,0,COUNTA(Y580:AV580)-1)="미납"),"미납",
IF(AND(V580="정상",OFFSET(Y580,0,COUNTA(Y580:AV580)-1)=0),"납부 시작 전",
IF(AND(V580="정상",OFFSET(Y580,0,COUNTA(Y580:AV580)-1)&gt;=U580),"정상",
IF(AND(V580="면제",OFFSET(Y580,0,COUNTA(Y580:AV580)-1)="면제"),"면제",
IF(AND(V580="면제",OFFSET(Y580,0,COUNTA(Y580:AV580)-1)=0),"면제",
"확인요청"))))))</f>
        <v>정상</v>
      </c>
      <c r="Y580" s="93" t="n">
        <v>55000</v>
      </c>
      <c r="Z580" s="90" t="n">
        <v>55000</v>
      </c>
      <c r="AA580" s="90" t="n">
        <v>55000</v>
      </c>
      <c r="AB580" s="90" t="n">
        <v>55000</v>
      </c>
      <c r="AC580" s="90" t="n">
        <v>55000</v>
      </c>
      <c r="AD580" s="90" t="n">
        <v>55000</v>
      </c>
      <c r="AE580" s="90" t="n">
        <v>55000</v>
      </c>
      <c r="AF580" s="90" t="n">
        <v>55000</v>
      </c>
      <c r="AG580" s="90" t="n">
        <v>55000</v>
      </c>
      <c r="AH580" s="90" t="n">
        <v>55000</v>
      </c>
      <c r="AI580" s="90" t="n">
        <v>55000</v>
      </c>
      <c r="AJ580" s="91" t="n">
        <v>55000</v>
      </c>
      <c r="AK580" s="89" t="n">
        <v>55000</v>
      </c>
      <c r="AL580" s="90" t="n">
        <v>55000</v>
      </c>
      <c r="AM580" s="90"/>
      <c r="AN580" s="90"/>
      <c r="AO580" s="90"/>
      <c r="AP580" s="90"/>
      <c r="AQ580" s="90"/>
      <c r="AR580" s="90"/>
      <c r="AS580" s="90"/>
      <c r="AT580" s="90"/>
      <c r="AU580" s="90"/>
      <c r="AV580" s="91"/>
      <c r="AX580" s="92"/>
    </row>
    <row r="581" customFormat="false" ht="15.65" hidden="false" customHeight="false" outlineLevel="0" collapsed="false">
      <c r="C581" s="72" t="n">
        <f aca="false">COUNTIFS($D$6:D581,"&lt;&gt;"&amp;"")</f>
        <v>576</v>
      </c>
      <c r="D581" s="73" t="s">
        <v>12</v>
      </c>
      <c r="E581" s="76" t="str">
        <f aca="false">
IF($D581="정상",INDEX(임대자산!$D$3:$R$3000,MATCH($F581,임대자산!$I$3:$I$3000,0),MATCH(E$3,임대자산!$D$3:$R$3,0)),
IF($D581="폐업",INDEX(폐업정보!$D$3:$R$3000,MATCH($F581,폐업정보!$I$3:$I$3000,0),MATCH(E$3,폐업정보!$D$3:$R$3,0)),
"Error"))</f>
        <v>경기</v>
      </c>
      <c r="F58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B0576</v>
      </c>
      <c r="G581" s="76" t="str">
        <f aca="false">F581&amp;RANDBETWEEN(0,10)</f>
        <v>B05767</v>
      </c>
      <c r="H581" s="75" t="n">
        <f aca="false">
IF($D581="정상",INDEX(임대자산!$D$3:$R$3000,MATCH($F581,임대자산!$I$3:$I$3000,0),MATCH(H$4,임대자산!$D$3:$R$3,0)),
IF($D581="폐업",INDEX(폐업정보!$D$3:$R$3000,MATCH($F581,폐업정보!$I$3:$I$3000,0),MATCH(H$4,폐업정보!$D$3:$R$3,0)),
"Error"))</f>
        <v>43556</v>
      </c>
      <c r="I581" s="75" t="str">
        <f aca="false">
IF($D581="정상",INDEX(임대자산!$D$3:$R$3000,MATCH($F581,임대자산!$I$3:$I$3000,0),MATCH(I$4,임대자산!$D$3:$R$3,0)),
IF($D581="폐업",INDEX(폐업정보!$D$3:$R$3000,MATCH($F581,폐업정보!$I$3:$I$3000,0),MATCH(I$4,폐업정보!$D$3:$R$3,0)),
"Error"))</f>
        <v>A0576</v>
      </c>
      <c r="J581" s="75" t="str">
        <f aca="false">
IF($D581="정상",INDEX(임대자산!$D$3:$R$3000,MATCH($F581,임대자산!$I$3:$I$3000,0),MATCH(J$4,임대자산!$D$3:$R$3,0)),
IF($D581="폐업",INDEX(폐업정보!$D$3:$R$3000,MATCH($F581,폐업정보!$I$3:$I$3000,0),MATCH(J$4,폐업정보!$D$3:$R$3,0)),
"Error"))</f>
        <v>5928900000</v>
      </c>
      <c r="K581" s="75" t="str">
        <f aca="false">
IF($D581="정상",INDEX(임대자산!$D$3:$R$3000,MATCH($F581,임대자산!$I$3:$I$3000,0),MATCH(K$4,임대자산!$D$3:$R$3,0)),
IF($D581="폐업",INDEX(폐업정보!$D$3:$R$3000,MATCH($F581,폐업정보!$I$3:$I$3000,0),MATCH(K$4,폐업정보!$D$3:$R$3,0)),
"Error"))</f>
        <v>C0576</v>
      </c>
      <c r="L581" s="75" t="str">
        <f aca="false">
IF($D581="정상",INDEX(임대자산!$D$3:$R$3000,MATCH($F581,임대자산!$I$3:$I$3000,0),MATCH(L$4,임대자산!$D$3:$R$3,0)),
IF($D581="폐업",INDEX(폐업정보!$D$3:$R$3000,MATCH($F581,폐업정보!$I$3:$I$3000,0),MATCH(L$4,폐업정보!$D$3:$R$3,0)),
"Error"))</f>
        <v>D0576</v>
      </c>
      <c r="M581" s="76" t="s">
        <v>96</v>
      </c>
      <c r="N581" s="77"/>
      <c r="O581" s="78" t="s">
        <v>97</v>
      </c>
      <c r="P581" s="79" t="n">
        <f aca="false">COUNTIFS(임대자산!$I:$I,가맹점정보!F581,임대자산!$N:$N,가맹점정보!P$4)</f>
        <v>0</v>
      </c>
      <c r="Q581" s="80" t="n">
        <f aca="false">COUNTIFS(임대자산!$I:$I,가맹점정보!F581,임대자산!$N:$N,가맹점정보!Q$4)</f>
        <v>1</v>
      </c>
      <c r="R581" s="81" t="n">
        <f aca="false">COUNTIFS(임대자산!$I:$I,가맹점정보!F581,임대자산!$N:$N,가맹점정보!R$4)</f>
        <v>0</v>
      </c>
      <c r="S581" s="82" t="n">
        <v>55000</v>
      </c>
      <c r="T581" s="83" t="n">
        <v>0</v>
      </c>
      <c r="U581" s="80" t="n">
        <f aca="false">SUM(S581:T581)</f>
        <v>55000</v>
      </c>
      <c r="V581" s="84" t="s">
        <v>12</v>
      </c>
      <c r="W581" s="80" t="e">
        <f aca="true">
IF(D581="폐업","폐업",
IF(V581="면제","면제",
IF(AND(V581="정상",COUNTIFS(OFFSET(Y581,0,COUNTA(Y581:AV581)-1,1,-4),"미납")&gt;=3),"장기미납",
IF(AND(V581="정상",OFFSET(Y581,0,COUNTA(Y581:AV581)-1)&gt;=U581),"정상",
IF(AND(V581="정상",OFFSET(Y581,0,COUNTA(Y581:AV581)-1)=0),"정상",
"계약서 미작성")))))</f>
        <v>#VALUE!</v>
      </c>
      <c r="X581" s="81" t="str">
        <f aca="true">
IF(D581="폐업","폐업",
IF(AND(V581="정상",OFFSET(Y581,0,COUNTA(Y581:AV581)-1)="미납"),"미납",
IF(AND(V581="정상",OFFSET(Y581,0,COUNTA(Y581:AV581)-1)=0),"납부 시작 전",
IF(AND(V581="정상",OFFSET(Y581,0,COUNTA(Y581:AV581)-1)&gt;=U581),"정상",
IF(AND(V581="면제",OFFSET(Y581,0,COUNTA(Y581:AV581)-1)="면제"),"면제",
IF(AND(V581="면제",OFFSET(Y581,0,COUNTA(Y581:AV581)-1)=0),"면제",
"확인요청"))))))</f>
        <v>정상</v>
      </c>
      <c r="Y581" s="93" t="n">
        <v>55000</v>
      </c>
      <c r="Z581" s="90" t="n">
        <v>55000</v>
      </c>
      <c r="AA581" s="90" t="n">
        <v>55000</v>
      </c>
      <c r="AB581" s="90" t="n">
        <v>55000</v>
      </c>
      <c r="AC581" s="90" t="n">
        <v>55000</v>
      </c>
      <c r="AD581" s="90" t="n">
        <v>55000</v>
      </c>
      <c r="AE581" s="90" t="n">
        <v>55000</v>
      </c>
      <c r="AF581" s="90" t="n">
        <v>55000</v>
      </c>
      <c r="AG581" s="90" t="n">
        <v>55000</v>
      </c>
      <c r="AH581" s="90" t="n">
        <v>55000</v>
      </c>
      <c r="AI581" s="90" t="n">
        <v>55000</v>
      </c>
      <c r="AJ581" s="91" t="n">
        <v>55000</v>
      </c>
      <c r="AK581" s="89" t="n">
        <v>55000</v>
      </c>
      <c r="AL581" s="90" t="n">
        <v>55000</v>
      </c>
      <c r="AM581" s="90"/>
      <c r="AN581" s="90"/>
      <c r="AO581" s="90"/>
      <c r="AP581" s="90"/>
      <c r="AQ581" s="90"/>
      <c r="AR581" s="90"/>
      <c r="AS581" s="90"/>
      <c r="AT581" s="90"/>
      <c r="AU581" s="90"/>
      <c r="AV581" s="91"/>
      <c r="AX581" s="92"/>
    </row>
    <row r="582" customFormat="false" ht="15.65" hidden="false" customHeight="false" outlineLevel="0" collapsed="false">
      <c r="C582" s="72" t="n">
        <f aca="false">COUNTIFS($D$6:D582,"&lt;&gt;"&amp;"")</f>
        <v>577</v>
      </c>
      <c r="D582" s="73" t="s">
        <v>12</v>
      </c>
      <c r="E582" s="76" t="str">
        <f aca="false">
IF($D582="정상",INDEX(임대자산!$D$3:$R$3000,MATCH($F582,임대자산!$I$3:$I$3000,0),MATCH(E$3,임대자산!$D$3:$R$3,0)),
IF($D582="폐업",INDEX(폐업정보!$D$3:$R$3000,MATCH($F582,폐업정보!$I$3:$I$3000,0),MATCH(E$3,폐업정보!$D$3:$R$3,0)),
"Error"))</f>
        <v>경기</v>
      </c>
      <c r="F58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B0577</v>
      </c>
      <c r="G582" s="76" t="str">
        <f aca="false">F582&amp;RANDBETWEEN(0,10)</f>
        <v>B05775</v>
      </c>
      <c r="H582" s="75" t="n">
        <f aca="false">
IF($D582="정상",INDEX(임대자산!$D$3:$R$3000,MATCH($F582,임대자산!$I$3:$I$3000,0),MATCH(H$4,임대자산!$D$3:$R$3,0)),
IF($D582="폐업",INDEX(폐업정보!$D$3:$R$3000,MATCH($F582,폐업정보!$I$3:$I$3000,0),MATCH(H$4,폐업정보!$D$3:$R$3,0)),
"Error"))</f>
        <v>43517</v>
      </c>
      <c r="I582" s="75" t="str">
        <f aca="false">
IF($D582="정상",INDEX(임대자산!$D$3:$R$3000,MATCH($F582,임대자산!$I$3:$I$3000,0),MATCH(I$4,임대자산!$D$3:$R$3,0)),
IF($D582="폐업",INDEX(폐업정보!$D$3:$R$3000,MATCH($F582,폐업정보!$I$3:$I$3000,0),MATCH(I$4,폐업정보!$D$3:$R$3,0)),
"Error"))</f>
        <v>A0577</v>
      </c>
      <c r="J582" s="75" t="str">
        <f aca="false">
IF($D582="정상",INDEX(임대자산!$D$3:$R$3000,MATCH($F582,임대자산!$I$3:$I$3000,0),MATCH(J$4,임대자산!$D$3:$R$3,0)),
IF($D582="폐업",INDEX(폐업정보!$D$3:$R$3000,MATCH($F582,폐업정보!$I$3:$I$3000,0),MATCH(J$4,폐업정보!$D$3:$R$3,0)),
"Error"))</f>
        <v>2394800000</v>
      </c>
      <c r="K582" s="75" t="str">
        <f aca="false">
IF($D582="정상",INDEX(임대자산!$D$3:$R$3000,MATCH($F582,임대자산!$I$3:$I$3000,0),MATCH(K$4,임대자산!$D$3:$R$3,0)),
IF($D582="폐업",INDEX(폐업정보!$D$3:$R$3000,MATCH($F582,폐업정보!$I$3:$I$3000,0),MATCH(K$4,폐업정보!$D$3:$R$3,0)),
"Error"))</f>
        <v>C0577</v>
      </c>
      <c r="L582" s="75" t="str">
        <f aca="false">
IF($D582="정상",INDEX(임대자산!$D$3:$R$3000,MATCH($F582,임대자산!$I$3:$I$3000,0),MATCH(L$4,임대자산!$D$3:$R$3,0)),
IF($D582="폐업",INDEX(폐업정보!$D$3:$R$3000,MATCH($F582,폐업정보!$I$3:$I$3000,0),MATCH(L$4,폐업정보!$D$3:$R$3,0)),
"Error"))</f>
        <v>D0577</v>
      </c>
      <c r="M582" s="76" t="s">
        <v>96</v>
      </c>
      <c r="N582" s="77"/>
      <c r="O582" s="78" t="s">
        <v>97</v>
      </c>
      <c r="P582" s="79" t="n">
        <f aca="false">COUNTIFS(임대자산!$I:$I,가맹점정보!F582,임대자산!$N:$N,가맹점정보!P$4)</f>
        <v>0</v>
      </c>
      <c r="Q582" s="80" t="n">
        <f aca="false">COUNTIFS(임대자산!$I:$I,가맹점정보!F582,임대자산!$N:$N,가맹점정보!Q$4)</f>
        <v>1</v>
      </c>
      <c r="R582" s="81" t="n">
        <f aca="false">COUNTIFS(임대자산!$I:$I,가맹점정보!F582,임대자산!$N:$N,가맹점정보!R$4)</f>
        <v>0</v>
      </c>
      <c r="S582" s="82" t="n">
        <v>88000</v>
      </c>
      <c r="T582" s="83" t="n">
        <v>0</v>
      </c>
      <c r="U582" s="80" t="n">
        <f aca="false">SUM(S582:T582)</f>
        <v>88000</v>
      </c>
      <c r="V582" s="84" t="s">
        <v>12</v>
      </c>
      <c r="W582" s="80" t="e">
        <f aca="true">
IF(D582="폐업","폐업",
IF(V582="면제","면제",
IF(AND(V582="정상",COUNTIFS(OFFSET(Y582,0,COUNTA(Y582:AV582)-1,1,-4),"미납")&gt;=3),"장기미납",
IF(AND(V582="정상",OFFSET(Y582,0,COUNTA(Y582:AV582)-1)&gt;=U582),"정상",
IF(AND(V582="정상",OFFSET(Y582,0,COUNTA(Y582:AV582)-1)=0),"정상",
"계약서 미작성")))))</f>
        <v>#VALUE!</v>
      </c>
      <c r="X582" s="81" t="str">
        <f aca="true">
IF(D582="폐업","폐업",
IF(AND(V582="정상",OFFSET(Y582,0,COUNTA(Y582:AV582)-1)="미납"),"미납",
IF(AND(V582="정상",OFFSET(Y582,0,COUNTA(Y582:AV582)-1)=0),"납부 시작 전",
IF(AND(V582="정상",OFFSET(Y582,0,COUNTA(Y582:AV582)-1)&gt;=U582),"정상",
IF(AND(V582="면제",OFFSET(Y582,0,COUNTA(Y582:AV582)-1)="면제"),"면제",
IF(AND(V582="면제",OFFSET(Y582,0,COUNTA(Y582:AV582)-1)=0),"면제",
"확인요청"))))))</f>
        <v>정상</v>
      </c>
      <c r="Y582" s="93" t="n">
        <v>88000</v>
      </c>
      <c r="Z582" s="90" t="n">
        <v>88000</v>
      </c>
      <c r="AA582" s="90" t="n">
        <v>88000</v>
      </c>
      <c r="AB582" s="90" t="n">
        <v>88000</v>
      </c>
      <c r="AC582" s="90" t="n">
        <v>88000</v>
      </c>
      <c r="AD582" s="90" t="n">
        <v>88000</v>
      </c>
      <c r="AE582" s="90" t="n">
        <v>88000</v>
      </c>
      <c r="AF582" s="90" t="n">
        <v>88000</v>
      </c>
      <c r="AG582" s="90" t="n">
        <v>88000</v>
      </c>
      <c r="AH582" s="90" t="n">
        <v>88000</v>
      </c>
      <c r="AI582" s="90" t="n">
        <v>88000</v>
      </c>
      <c r="AJ582" s="91" t="n">
        <v>88000</v>
      </c>
      <c r="AK582" s="89" t="n">
        <v>88000</v>
      </c>
      <c r="AL582" s="90" t="n">
        <v>88000</v>
      </c>
      <c r="AM582" s="90"/>
      <c r="AN582" s="90"/>
      <c r="AO582" s="90"/>
      <c r="AP582" s="90"/>
      <c r="AQ582" s="90"/>
      <c r="AR582" s="90"/>
      <c r="AS582" s="90"/>
      <c r="AT582" s="90"/>
      <c r="AU582" s="90"/>
      <c r="AV582" s="91"/>
      <c r="AX582" s="92"/>
    </row>
    <row r="583" customFormat="false" ht="15.65" hidden="false" customHeight="false" outlineLevel="0" collapsed="false">
      <c r="C583" s="72" t="n">
        <f aca="false">COUNTIFS($D$6:D583,"&lt;&gt;"&amp;"")</f>
        <v>578</v>
      </c>
      <c r="D583" s="73" t="s">
        <v>12</v>
      </c>
      <c r="E583" s="76" t="str">
        <f aca="false">
IF($D583="정상",INDEX(임대자산!$D$3:$R$3000,MATCH($F583,임대자산!$I$3:$I$3000,0),MATCH(E$3,임대자산!$D$3:$R$3,0)),
IF($D583="폐업",INDEX(폐업정보!$D$3:$R$3000,MATCH($F583,폐업정보!$I$3:$I$3000,0),MATCH(E$3,폐업정보!$D$3:$R$3,0)),
"Error"))</f>
        <v>경상</v>
      </c>
      <c r="F58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B0578</v>
      </c>
      <c r="G583" s="76" t="str">
        <f aca="false">F583&amp;RANDBETWEEN(0,10)</f>
        <v>B05788</v>
      </c>
      <c r="H583" s="75" t="n">
        <f aca="false">
IF($D583="정상",INDEX(임대자산!$D$3:$R$3000,MATCH($F583,임대자산!$I$3:$I$3000,0),MATCH(H$4,임대자산!$D$3:$R$3,0)),
IF($D583="폐업",INDEX(폐업정보!$D$3:$R$3000,MATCH($F583,폐업정보!$I$3:$I$3000,0),MATCH(H$4,폐업정보!$D$3:$R$3,0)),
"Error"))</f>
        <v>44532</v>
      </c>
      <c r="I583" s="75" t="str">
        <f aca="false">
IF($D583="정상",INDEX(임대자산!$D$3:$R$3000,MATCH($F583,임대자산!$I$3:$I$3000,0),MATCH(I$4,임대자산!$D$3:$R$3,0)),
IF($D583="폐업",INDEX(폐업정보!$D$3:$R$3000,MATCH($F583,폐업정보!$I$3:$I$3000,0),MATCH(I$4,폐업정보!$D$3:$R$3,0)),
"Error"))</f>
        <v>A0578</v>
      </c>
      <c r="J583" s="75" t="str">
        <f aca="false">
IF($D583="정상",INDEX(임대자산!$D$3:$R$3000,MATCH($F583,임대자산!$I$3:$I$3000,0),MATCH(J$4,임대자산!$D$3:$R$3,0)),
IF($D583="폐업",INDEX(폐업정보!$D$3:$R$3000,MATCH($F583,폐업정보!$I$3:$I$3000,0),MATCH(J$4,폐업정보!$D$3:$R$3,0)),
"Error"))</f>
        <v>1938300000</v>
      </c>
      <c r="K583" s="75" t="str">
        <f aca="false">
IF($D583="정상",INDEX(임대자산!$D$3:$R$3000,MATCH($F583,임대자산!$I$3:$I$3000,0),MATCH(K$4,임대자산!$D$3:$R$3,0)),
IF($D583="폐업",INDEX(폐업정보!$D$3:$R$3000,MATCH($F583,폐업정보!$I$3:$I$3000,0),MATCH(K$4,폐업정보!$D$3:$R$3,0)),
"Error"))</f>
        <v>C0578</v>
      </c>
      <c r="L583" s="75" t="str">
        <f aca="false">
IF($D583="정상",INDEX(임대자산!$D$3:$R$3000,MATCH($F583,임대자산!$I$3:$I$3000,0),MATCH(L$4,임대자산!$D$3:$R$3,0)),
IF($D583="폐업",INDEX(폐업정보!$D$3:$R$3000,MATCH($F583,폐업정보!$I$3:$I$3000,0),MATCH(L$4,폐업정보!$D$3:$R$3,0)),
"Error"))</f>
        <v>D0578</v>
      </c>
      <c r="M583" s="76" t="s">
        <v>96</v>
      </c>
      <c r="N583" s="77"/>
      <c r="O583" s="78" t="s">
        <v>97</v>
      </c>
      <c r="P583" s="79" t="n">
        <f aca="false">COUNTIFS(임대자산!$I:$I,가맹점정보!F583,임대자산!$N:$N,가맹점정보!P$4)</f>
        <v>0</v>
      </c>
      <c r="Q583" s="80" t="n">
        <f aca="false">COUNTIFS(임대자산!$I:$I,가맹점정보!F583,임대자산!$N:$N,가맹점정보!Q$4)</f>
        <v>1</v>
      </c>
      <c r="R583" s="81" t="n">
        <f aca="false">COUNTIFS(임대자산!$I:$I,가맹점정보!F583,임대자산!$N:$N,가맹점정보!R$4)</f>
        <v>0</v>
      </c>
      <c r="S583" s="82" t="n">
        <v>55000</v>
      </c>
      <c r="T583" s="83" t="n">
        <v>0</v>
      </c>
      <c r="U583" s="80" t="n">
        <f aca="false">SUM(S583:T583)</f>
        <v>55000</v>
      </c>
      <c r="V583" s="84" t="s">
        <v>12</v>
      </c>
      <c r="W583" s="80" t="e">
        <f aca="true">
IF(D583="폐업","폐업",
IF(V583="면제","면제",
IF(AND(V583="정상",COUNTIFS(OFFSET(Y583,0,COUNTA(Y583:AV583)-1,1,-4),"미납")&gt;=3),"장기미납",
IF(AND(V583="정상",OFFSET(Y583,0,COUNTA(Y583:AV583)-1)&gt;=U583),"정상",
IF(AND(V583="정상",OFFSET(Y583,0,COUNTA(Y583:AV583)-1)=0),"정상",
"계약서 미작성")))))</f>
        <v>#VALUE!</v>
      </c>
      <c r="X583" s="81" t="str">
        <f aca="true">
IF(D583="폐업","폐업",
IF(AND(V583="정상",OFFSET(Y583,0,COUNTA(Y583:AV583)-1)="미납"),"미납",
IF(AND(V583="정상",OFFSET(Y583,0,COUNTA(Y583:AV583)-1)=0),"납부 시작 전",
IF(AND(V583="정상",OFFSET(Y583,0,COUNTA(Y583:AV583)-1)&gt;=U583),"정상",
IF(AND(V583="면제",OFFSET(Y583,0,COUNTA(Y583:AV583)-1)="면제"),"면제",
IF(AND(V583="면제",OFFSET(Y583,0,COUNTA(Y583:AV583)-1)=0),"면제",
"확인요청"))))))</f>
        <v>정상</v>
      </c>
      <c r="Y583" s="93" t="n">
        <v>55000</v>
      </c>
      <c r="Z583" s="90" t="n">
        <v>55000</v>
      </c>
      <c r="AA583" s="90" t="n">
        <v>55000</v>
      </c>
      <c r="AB583" s="90" t="n">
        <v>55000</v>
      </c>
      <c r="AC583" s="90" t="n">
        <v>55000</v>
      </c>
      <c r="AD583" s="90" t="n">
        <v>55000</v>
      </c>
      <c r="AE583" s="90" t="n">
        <v>55000</v>
      </c>
      <c r="AF583" s="90" t="n">
        <v>55000</v>
      </c>
      <c r="AG583" s="90" t="n">
        <v>55000</v>
      </c>
      <c r="AH583" s="90" t="n">
        <v>55000</v>
      </c>
      <c r="AI583" s="90" t="n">
        <v>55000</v>
      </c>
      <c r="AJ583" s="91" t="n">
        <v>55000</v>
      </c>
      <c r="AK583" s="89" t="n">
        <v>55000</v>
      </c>
      <c r="AL583" s="90" t="n">
        <v>55000</v>
      </c>
      <c r="AM583" s="90"/>
      <c r="AN583" s="90"/>
      <c r="AO583" s="90"/>
      <c r="AP583" s="90"/>
      <c r="AQ583" s="90"/>
      <c r="AR583" s="90"/>
      <c r="AS583" s="90"/>
      <c r="AT583" s="90"/>
      <c r="AU583" s="90"/>
      <c r="AV583" s="91"/>
      <c r="AX583" s="92"/>
    </row>
    <row r="584" customFormat="false" ht="15.65" hidden="false" customHeight="false" outlineLevel="0" collapsed="false">
      <c r="C584" s="72" t="n">
        <f aca="false">COUNTIFS($D$6:D584,"&lt;&gt;"&amp;"")</f>
        <v>579</v>
      </c>
      <c r="D584" s="73" t="s">
        <v>12</v>
      </c>
      <c r="E584" s="76" t="str">
        <f aca="false">
IF($D584="정상",INDEX(임대자산!$D$3:$R$3000,MATCH($F584,임대자산!$I$3:$I$3000,0),MATCH(E$3,임대자산!$D$3:$R$3,0)),
IF($D584="폐업",INDEX(폐업정보!$D$3:$R$3000,MATCH($F584,폐업정보!$I$3:$I$3000,0),MATCH(E$3,폐업정보!$D$3:$R$3,0)),
"Error"))</f>
        <v>경기</v>
      </c>
      <c r="F58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B0579</v>
      </c>
      <c r="G584" s="76" t="str">
        <f aca="false">F584&amp;RANDBETWEEN(0,10)</f>
        <v>B05796</v>
      </c>
      <c r="H584" s="75" t="n">
        <f aca="false">
IF($D584="정상",INDEX(임대자산!$D$3:$R$3000,MATCH($F584,임대자산!$I$3:$I$3000,0),MATCH(H$4,임대자산!$D$3:$R$3,0)),
IF($D584="폐업",INDEX(폐업정보!$D$3:$R$3000,MATCH($F584,폐업정보!$I$3:$I$3000,0),MATCH(H$4,폐업정보!$D$3:$R$3,0)),
"Error"))</f>
        <v>43556</v>
      </c>
      <c r="I584" s="75" t="str">
        <f aca="false">
IF($D584="정상",INDEX(임대자산!$D$3:$R$3000,MATCH($F584,임대자산!$I$3:$I$3000,0),MATCH(I$4,임대자산!$D$3:$R$3,0)),
IF($D584="폐업",INDEX(폐업정보!$D$3:$R$3000,MATCH($F584,폐업정보!$I$3:$I$3000,0),MATCH(I$4,폐업정보!$D$3:$R$3,0)),
"Error"))</f>
        <v>A0579</v>
      </c>
      <c r="J584" s="75" t="str">
        <f aca="false">
IF($D584="정상",INDEX(임대자산!$D$3:$R$3000,MATCH($F584,임대자산!$I$3:$I$3000,0),MATCH(J$4,임대자산!$D$3:$R$3,0)),
IF($D584="폐업",INDEX(폐업정보!$D$3:$R$3000,MATCH($F584,폐업정보!$I$3:$I$3000,0),MATCH(J$4,폐업정보!$D$3:$R$3,0)),
"Error"))</f>
        <v>8971000000</v>
      </c>
      <c r="K584" s="75" t="str">
        <f aca="false">
IF($D584="정상",INDEX(임대자산!$D$3:$R$3000,MATCH($F584,임대자산!$I$3:$I$3000,0),MATCH(K$4,임대자산!$D$3:$R$3,0)),
IF($D584="폐업",INDEX(폐업정보!$D$3:$R$3000,MATCH($F584,폐업정보!$I$3:$I$3000,0),MATCH(K$4,폐업정보!$D$3:$R$3,0)),
"Error"))</f>
        <v>C0579</v>
      </c>
      <c r="L584" s="75" t="str">
        <f aca="false">
IF($D584="정상",INDEX(임대자산!$D$3:$R$3000,MATCH($F584,임대자산!$I$3:$I$3000,0),MATCH(L$4,임대자산!$D$3:$R$3,0)),
IF($D584="폐업",INDEX(폐업정보!$D$3:$R$3000,MATCH($F584,폐업정보!$I$3:$I$3000,0),MATCH(L$4,폐업정보!$D$3:$R$3,0)),
"Error"))</f>
        <v>D0579</v>
      </c>
      <c r="M584" s="76" t="s">
        <v>96</v>
      </c>
      <c r="N584" s="77"/>
      <c r="O584" s="78" t="s">
        <v>97</v>
      </c>
      <c r="P584" s="79" t="n">
        <f aca="false">COUNTIFS(임대자산!$I:$I,가맹점정보!F584,임대자산!$N:$N,가맹점정보!P$4)</f>
        <v>0</v>
      </c>
      <c r="Q584" s="80" t="n">
        <f aca="false">COUNTIFS(임대자산!$I:$I,가맹점정보!F584,임대자산!$N:$N,가맹점정보!Q$4)</f>
        <v>1</v>
      </c>
      <c r="R584" s="81" t="n">
        <f aca="false">COUNTIFS(임대자산!$I:$I,가맹점정보!F584,임대자산!$N:$N,가맹점정보!R$4)</f>
        <v>0</v>
      </c>
      <c r="S584" s="82" t="n">
        <v>55000</v>
      </c>
      <c r="T584" s="83" t="n">
        <v>0</v>
      </c>
      <c r="U584" s="80" t="n">
        <f aca="false">SUM(S584:T584)</f>
        <v>55000</v>
      </c>
      <c r="V584" s="84" t="s">
        <v>12</v>
      </c>
      <c r="W584" s="80" t="e">
        <f aca="true">
IF(D584="폐업","폐업",
IF(V584="면제","면제",
IF(AND(V584="정상",COUNTIFS(OFFSET(Y584,0,COUNTA(Y584:AV584)-1,1,-4),"미납")&gt;=3),"장기미납",
IF(AND(V584="정상",OFFSET(Y584,0,COUNTA(Y584:AV584)-1)&gt;=U584),"정상",
IF(AND(V584="정상",OFFSET(Y584,0,COUNTA(Y584:AV584)-1)=0),"정상",
"계약서 미작성")))))</f>
        <v>#VALUE!</v>
      </c>
      <c r="X584" s="81" t="str">
        <f aca="true">
IF(D584="폐업","폐업",
IF(AND(V584="정상",OFFSET(Y584,0,COUNTA(Y584:AV584)-1)="미납"),"미납",
IF(AND(V584="정상",OFFSET(Y584,0,COUNTA(Y584:AV584)-1)=0),"납부 시작 전",
IF(AND(V584="정상",OFFSET(Y584,0,COUNTA(Y584:AV584)-1)&gt;=U584),"정상",
IF(AND(V584="면제",OFFSET(Y584,0,COUNTA(Y584:AV584)-1)="면제"),"면제",
IF(AND(V584="면제",OFFSET(Y584,0,COUNTA(Y584:AV584)-1)=0),"면제",
"확인요청"))))))</f>
        <v>정상</v>
      </c>
      <c r="Y584" s="93" t="n">
        <v>55000</v>
      </c>
      <c r="Z584" s="90" t="n">
        <v>55000</v>
      </c>
      <c r="AA584" s="90" t="n">
        <v>55000</v>
      </c>
      <c r="AB584" s="90" t="n">
        <v>55000</v>
      </c>
      <c r="AC584" s="90" t="n">
        <v>55000</v>
      </c>
      <c r="AD584" s="90" t="n">
        <v>55000</v>
      </c>
      <c r="AE584" s="90" t="n">
        <v>55000</v>
      </c>
      <c r="AF584" s="90" t="n">
        <v>55000</v>
      </c>
      <c r="AG584" s="90" t="n">
        <v>55000</v>
      </c>
      <c r="AH584" s="90" t="n">
        <v>55000</v>
      </c>
      <c r="AI584" s="90" t="n">
        <v>55000</v>
      </c>
      <c r="AJ584" s="91" t="n">
        <v>55000</v>
      </c>
      <c r="AK584" s="89" t="n">
        <v>55000</v>
      </c>
      <c r="AL584" s="90" t="n">
        <v>55000</v>
      </c>
      <c r="AM584" s="90"/>
      <c r="AN584" s="90"/>
      <c r="AO584" s="90"/>
      <c r="AP584" s="90"/>
      <c r="AQ584" s="90"/>
      <c r="AR584" s="90"/>
      <c r="AS584" s="90"/>
      <c r="AT584" s="90"/>
      <c r="AU584" s="90"/>
      <c r="AV584" s="91"/>
      <c r="AX584" s="92"/>
    </row>
    <row r="585" customFormat="false" ht="15.65" hidden="false" customHeight="false" outlineLevel="0" collapsed="false">
      <c r="C585" s="72" t="n">
        <f aca="false">COUNTIFS($D$6:D585,"&lt;&gt;"&amp;"")</f>
        <v>580</v>
      </c>
      <c r="D585" s="73" t="s">
        <v>12</v>
      </c>
      <c r="E585" s="76" t="str">
        <f aca="false">
IF($D585="정상",INDEX(임대자산!$D$3:$R$3000,MATCH($F585,임대자산!$I$3:$I$3000,0),MATCH(E$3,임대자산!$D$3:$R$3,0)),
IF($D585="폐업",INDEX(폐업정보!$D$3:$R$3000,MATCH($F585,폐업정보!$I$3:$I$3000,0),MATCH(E$3,폐업정보!$D$3:$R$3,0)),
"Error"))</f>
        <v>경상</v>
      </c>
      <c r="F58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B0580</v>
      </c>
      <c r="G585" s="76" t="str">
        <f aca="false">F585&amp;RANDBETWEEN(0,10)</f>
        <v>B05803</v>
      </c>
      <c r="H585" s="75" t="n">
        <f aca="false">
IF($D585="정상",INDEX(임대자산!$D$3:$R$3000,MATCH($F585,임대자산!$I$3:$I$3000,0),MATCH(H$4,임대자산!$D$3:$R$3,0)),
IF($D585="폐업",INDEX(폐업정보!$D$3:$R$3000,MATCH($F585,폐업정보!$I$3:$I$3000,0),MATCH(H$4,폐업정보!$D$3:$R$3,0)),
"Error"))</f>
        <v>43558</v>
      </c>
      <c r="I585" s="75" t="str">
        <f aca="false">
IF($D585="정상",INDEX(임대자산!$D$3:$R$3000,MATCH($F585,임대자산!$I$3:$I$3000,0),MATCH(I$4,임대자산!$D$3:$R$3,0)),
IF($D585="폐업",INDEX(폐업정보!$D$3:$R$3000,MATCH($F585,폐업정보!$I$3:$I$3000,0),MATCH(I$4,폐업정보!$D$3:$R$3,0)),
"Error"))</f>
        <v>A0580</v>
      </c>
      <c r="J585" s="75" t="str">
        <f aca="false">
IF($D585="정상",INDEX(임대자산!$D$3:$R$3000,MATCH($F585,임대자산!$I$3:$I$3000,0),MATCH(J$4,임대자산!$D$3:$R$3,0)),
IF($D585="폐업",INDEX(폐업정보!$D$3:$R$3000,MATCH($F585,폐업정보!$I$3:$I$3000,0),MATCH(J$4,폐업정보!$D$3:$R$3,0)),
"Error"))</f>
        <v>5490500000</v>
      </c>
      <c r="K585" s="75" t="str">
        <f aca="false">
IF($D585="정상",INDEX(임대자산!$D$3:$R$3000,MATCH($F585,임대자산!$I$3:$I$3000,0),MATCH(K$4,임대자산!$D$3:$R$3,0)),
IF($D585="폐업",INDEX(폐업정보!$D$3:$R$3000,MATCH($F585,폐업정보!$I$3:$I$3000,0),MATCH(K$4,폐업정보!$D$3:$R$3,0)),
"Error"))</f>
        <v>C0580</v>
      </c>
      <c r="L585" s="75" t="str">
        <f aca="false">
IF($D585="정상",INDEX(임대자산!$D$3:$R$3000,MATCH($F585,임대자산!$I$3:$I$3000,0),MATCH(L$4,임대자산!$D$3:$R$3,0)),
IF($D585="폐업",INDEX(폐업정보!$D$3:$R$3000,MATCH($F585,폐업정보!$I$3:$I$3000,0),MATCH(L$4,폐업정보!$D$3:$R$3,0)),
"Error"))</f>
        <v>D0580</v>
      </c>
      <c r="M585" s="76" t="s">
        <v>96</v>
      </c>
      <c r="N585" s="77"/>
      <c r="O585" s="78" t="s">
        <v>97</v>
      </c>
      <c r="P585" s="79" t="n">
        <f aca="false">COUNTIFS(임대자산!$I:$I,가맹점정보!F585,임대자산!$N:$N,가맹점정보!P$4)</f>
        <v>0</v>
      </c>
      <c r="Q585" s="80" t="n">
        <f aca="false">COUNTIFS(임대자산!$I:$I,가맹점정보!F585,임대자산!$N:$N,가맹점정보!Q$4)</f>
        <v>1</v>
      </c>
      <c r="R585" s="81" t="n">
        <f aca="false">COUNTIFS(임대자산!$I:$I,가맹점정보!F585,임대자산!$N:$N,가맹점정보!R$4)</f>
        <v>0</v>
      </c>
      <c r="S585" s="82" t="n">
        <v>55000</v>
      </c>
      <c r="T585" s="83" t="n">
        <v>0</v>
      </c>
      <c r="U585" s="80" t="n">
        <f aca="false">SUM(S585:T585)</f>
        <v>55000</v>
      </c>
      <c r="V585" s="84" t="s">
        <v>12</v>
      </c>
      <c r="W585" s="80" t="e">
        <f aca="true">
IF(D585="폐업","폐업",
IF(V585="면제","면제",
IF(AND(V585="정상",COUNTIFS(OFFSET(Y585,0,COUNTA(Y585:AV585)-1,1,-4),"미납")&gt;=3),"장기미납",
IF(AND(V585="정상",OFFSET(Y585,0,COUNTA(Y585:AV585)-1)&gt;=U585),"정상",
IF(AND(V585="정상",OFFSET(Y585,0,COUNTA(Y585:AV585)-1)=0),"정상",
"계약서 미작성")))))</f>
        <v>#VALUE!</v>
      </c>
      <c r="X585" s="81" t="str">
        <f aca="true">
IF(D585="폐업","폐업",
IF(AND(V585="정상",OFFSET(Y585,0,COUNTA(Y585:AV585)-1)="미납"),"미납",
IF(AND(V585="정상",OFFSET(Y585,0,COUNTA(Y585:AV585)-1)=0),"납부 시작 전",
IF(AND(V585="정상",OFFSET(Y585,0,COUNTA(Y585:AV585)-1)&gt;=U585),"정상",
IF(AND(V585="면제",OFFSET(Y585,0,COUNTA(Y585:AV585)-1)="면제"),"면제",
IF(AND(V585="면제",OFFSET(Y585,0,COUNTA(Y585:AV585)-1)=0),"면제",
"확인요청"))))))</f>
        <v>정상</v>
      </c>
      <c r="Y585" s="93" t="n">
        <v>55000</v>
      </c>
      <c r="Z585" s="90" t="n">
        <v>55000</v>
      </c>
      <c r="AA585" s="90" t="n">
        <v>55000</v>
      </c>
      <c r="AB585" s="90" t="n">
        <v>55000</v>
      </c>
      <c r="AC585" s="90" t="n">
        <v>55000</v>
      </c>
      <c r="AD585" s="90" t="n">
        <v>55000</v>
      </c>
      <c r="AE585" s="90" t="n">
        <v>55000</v>
      </c>
      <c r="AF585" s="90" t="n">
        <v>55000</v>
      </c>
      <c r="AG585" s="90" t="n">
        <v>55000</v>
      </c>
      <c r="AH585" s="90" t="n">
        <v>55000</v>
      </c>
      <c r="AI585" s="90" t="n">
        <v>55000</v>
      </c>
      <c r="AJ585" s="91" t="n">
        <v>55000</v>
      </c>
      <c r="AK585" s="89" t="n">
        <v>55000</v>
      </c>
      <c r="AL585" s="90" t="n">
        <v>55000</v>
      </c>
      <c r="AM585" s="90"/>
      <c r="AN585" s="90"/>
      <c r="AO585" s="90"/>
      <c r="AP585" s="90"/>
      <c r="AQ585" s="90"/>
      <c r="AR585" s="90"/>
      <c r="AS585" s="90"/>
      <c r="AT585" s="90"/>
      <c r="AU585" s="90"/>
      <c r="AV585" s="91"/>
      <c r="AX585" s="92"/>
    </row>
    <row r="586" customFormat="false" ht="15.65" hidden="false" customHeight="false" outlineLevel="0" collapsed="false">
      <c r="C586" s="72" t="n">
        <f aca="false">COUNTIFS($D$6:D586,"&lt;&gt;"&amp;"")</f>
        <v>581</v>
      </c>
      <c r="D586" s="73" t="s">
        <v>12</v>
      </c>
      <c r="E586" s="76" t="str">
        <f aca="false">
IF($D586="정상",INDEX(임대자산!$D$3:$R$3000,MATCH($F586,임대자산!$I$3:$I$3000,0),MATCH(E$3,임대자산!$D$3:$R$3,0)),
IF($D586="폐업",INDEX(폐업정보!$D$3:$R$3000,MATCH($F586,폐업정보!$I$3:$I$3000,0),MATCH(E$3,폐업정보!$D$3:$R$3,0)),
"Error"))</f>
        <v>강원</v>
      </c>
      <c r="F58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B0581</v>
      </c>
      <c r="G586" s="76" t="str">
        <f aca="false">F586&amp;RANDBETWEEN(0,10)</f>
        <v>B05816</v>
      </c>
      <c r="H586" s="75" t="n">
        <f aca="false">
IF($D586="정상",INDEX(임대자산!$D$3:$R$3000,MATCH($F586,임대자산!$I$3:$I$3000,0),MATCH(H$4,임대자산!$D$3:$R$3,0)),
IF($D586="폐업",INDEX(폐업정보!$D$3:$R$3000,MATCH($F586,폐업정보!$I$3:$I$3000,0),MATCH(H$4,폐업정보!$D$3:$R$3,0)),
"Error"))</f>
        <v>43588</v>
      </c>
      <c r="I586" s="75" t="str">
        <f aca="false">
IF($D586="정상",INDEX(임대자산!$D$3:$R$3000,MATCH($F586,임대자산!$I$3:$I$3000,0),MATCH(I$4,임대자산!$D$3:$R$3,0)),
IF($D586="폐업",INDEX(폐업정보!$D$3:$R$3000,MATCH($F586,폐업정보!$I$3:$I$3000,0),MATCH(I$4,폐업정보!$D$3:$R$3,0)),
"Error"))</f>
        <v>A0581</v>
      </c>
      <c r="J586" s="75" t="str">
        <f aca="false">
IF($D586="정상",INDEX(임대자산!$D$3:$R$3000,MATCH($F586,임대자산!$I$3:$I$3000,0),MATCH(J$4,임대자산!$D$3:$R$3,0)),
IF($D586="폐업",INDEX(폐업정보!$D$3:$R$3000,MATCH($F586,폐업정보!$I$3:$I$3000,0),MATCH(J$4,폐업정보!$D$3:$R$3,0)),
"Error"))</f>
        <v>4093500000</v>
      </c>
      <c r="K586" s="75" t="str">
        <f aca="false">
IF($D586="정상",INDEX(임대자산!$D$3:$R$3000,MATCH($F586,임대자산!$I$3:$I$3000,0),MATCH(K$4,임대자산!$D$3:$R$3,0)),
IF($D586="폐업",INDEX(폐업정보!$D$3:$R$3000,MATCH($F586,폐업정보!$I$3:$I$3000,0),MATCH(K$4,폐업정보!$D$3:$R$3,0)),
"Error"))</f>
        <v>C0581</v>
      </c>
      <c r="L586" s="75" t="str">
        <f aca="false">
IF($D586="정상",INDEX(임대자산!$D$3:$R$3000,MATCH($F586,임대자산!$I$3:$I$3000,0),MATCH(L$4,임대자산!$D$3:$R$3,0)),
IF($D586="폐업",INDEX(폐업정보!$D$3:$R$3000,MATCH($F586,폐업정보!$I$3:$I$3000,0),MATCH(L$4,폐업정보!$D$3:$R$3,0)),
"Error"))</f>
        <v>D0581</v>
      </c>
      <c r="M586" s="76" t="s">
        <v>96</v>
      </c>
      <c r="N586" s="77"/>
      <c r="O586" s="78" t="s">
        <v>97</v>
      </c>
      <c r="P586" s="79" t="n">
        <f aca="false">COUNTIFS(임대자산!$I:$I,가맹점정보!F586,임대자산!$N:$N,가맹점정보!P$4)</f>
        <v>0</v>
      </c>
      <c r="Q586" s="80" t="n">
        <f aca="false">COUNTIFS(임대자산!$I:$I,가맹점정보!F586,임대자산!$N:$N,가맹점정보!Q$4)</f>
        <v>1</v>
      </c>
      <c r="R586" s="81" t="n">
        <f aca="false">COUNTIFS(임대자산!$I:$I,가맹점정보!F586,임대자산!$N:$N,가맹점정보!R$4)</f>
        <v>0</v>
      </c>
      <c r="S586" s="82" t="n">
        <v>55000</v>
      </c>
      <c r="T586" s="83" t="n">
        <v>0</v>
      </c>
      <c r="U586" s="80" t="n">
        <f aca="false">SUM(S586:T586)</f>
        <v>55000</v>
      </c>
      <c r="V586" s="84" t="s">
        <v>12</v>
      </c>
      <c r="W586" s="80" t="e">
        <f aca="true">
IF(D586="폐업","폐업",
IF(V586="면제","면제",
IF(AND(V586="정상",COUNTIFS(OFFSET(Y586,0,COUNTA(Y586:AV586)-1,1,-4),"미납")&gt;=3),"장기미납",
IF(AND(V586="정상",OFFSET(Y586,0,COUNTA(Y586:AV586)-1)&gt;=U586),"정상",
IF(AND(V586="정상",OFFSET(Y586,0,COUNTA(Y586:AV586)-1)=0),"정상",
"계약서 미작성")))))</f>
        <v>#VALUE!</v>
      </c>
      <c r="X586" s="81" t="str">
        <f aca="true">
IF(D586="폐업","폐업",
IF(AND(V586="정상",OFFSET(Y586,0,COUNTA(Y586:AV586)-1)="미납"),"미납",
IF(AND(V586="정상",OFFSET(Y586,0,COUNTA(Y586:AV586)-1)=0),"납부 시작 전",
IF(AND(V586="정상",OFFSET(Y586,0,COUNTA(Y586:AV586)-1)&gt;=U586),"정상",
IF(AND(V586="면제",OFFSET(Y586,0,COUNTA(Y586:AV586)-1)="면제"),"면제",
IF(AND(V586="면제",OFFSET(Y586,0,COUNTA(Y586:AV586)-1)=0),"면제",
"확인요청"))))))</f>
        <v>정상</v>
      </c>
      <c r="Y586" s="93" t="n">
        <v>55000</v>
      </c>
      <c r="Z586" s="90" t="n">
        <v>55000</v>
      </c>
      <c r="AA586" s="90" t="n">
        <v>55000</v>
      </c>
      <c r="AB586" s="90" t="n">
        <v>55000</v>
      </c>
      <c r="AC586" s="90" t="n">
        <v>55000</v>
      </c>
      <c r="AD586" s="90" t="n">
        <v>55000</v>
      </c>
      <c r="AE586" s="90" t="n">
        <v>55000</v>
      </c>
      <c r="AF586" s="90" t="n">
        <v>55000</v>
      </c>
      <c r="AG586" s="90" t="n">
        <v>55000</v>
      </c>
      <c r="AH586" s="90" t="n">
        <v>55000</v>
      </c>
      <c r="AI586" s="90" t="n">
        <v>55000</v>
      </c>
      <c r="AJ586" s="91" t="n">
        <v>55000</v>
      </c>
      <c r="AK586" s="89" t="n">
        <v>55000</v>
      </c>
      <c r="AL586" s="90" t="n">
        <v>55000</v>
      </c>
      <c r="AM586" s="90"/>
      <c r="AN586" s="90"/>
      <c r="AO586" s="90"/>
      <c r="AP586" s="90"/>
      <c r="AQ586" s="90"/>
      <c r="AR586" s="90"/>
      <c r="AS586" s="90"/>
      <c r="AT586" s="90"/>
      <c r="AU586" s="90"/>
      <c r="AV586" s="91"/>
      <c r="AX586" s="92"/>
    </row>
    <row r="587" customFormat="false" ht="15.65" hidden="false" customHeight="false" outlineLevel="0" collapsed="false">
      <c r="C587" s="72" t="n">
        <f aca="false">COUNTIFS($D$6:D587,"&lt;&gt;"&amp;"")</f>
        <v>582</v>
      </c>
      <c r="D587" s="73" t="s">
        <v>12</v>
      </c>
      <c r="E587" s="76" t="str">
        <f aca="false">
IF($D587="정상",INDEX(임대자산!$D$3:$R$3000,MATCH($F587,임대자산!$I$3:$I$3000,0),MATCH(E$3,임대자산!$D$3:$R$3,0)),
IF($D587="폐업",INDEX(폐업정보!$D$3:$R$3000,MATCH($F587,폐업정보!$I$3:$I$3000,0),MATCH(E$3,폐업정보!$D$3:$R$3,0)),
"Error"))</f>
        <v>서울</v>
      </c>
      <c r="F58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B0582</v>
      </c>
      <c r="G587" s="76" t="str">
        <f aca="false">F587&amp;RANDBETWEEN(0,10)</f>
        <v>B05828</v>
      </c>
      <c r="H587" s="75" t="n">
        <f aca="false">
IF($D587="정상",INDEX(임대자산!$D$3:$R$3000,MATCH($F587,임대자산!$I$3:$I$3000,0),MATCH(H$4,임대자산!$D$3:$R$3,0)),
IF($D587="폐업",INDEX(폐업정보!$D$3:$R$3000,MATCH($F587,폐업정보!$I$3:$I$3000,0),MATCH(H$4,폐업정보!$D$3:$R$3,0)),
"Error"))</f>
        <v>43613</v>
      </c>
      <c r="I587" s="75" t="str">
        <f aca="false">
IF($D587="정상",INDEX(임대자산!$D$3:$R$3000,MATCH($F587,임대자산!$I$3:$I$3000,0),MATCH(I$4,임대자산!$D$3:$R$3,0)),
IF($D587="폐업",INDEX(폐업정보!$D$3:$R$3000,MATCH($F587,폐업정보!$I$3:$I$3000,0),MATCH(I$4,폐업정보!$D$3:$R$3,0)),
"Error"))</f>
        <v>A0582</v>
      </c>
      <c r="J587" s="75" t="str">
        <f aca="false">
IF($D587="정상",INDEX(임대자산!$D$3:$R$3000,MATCH($F587,임대자산!$I$3:$I$3000,0),MATCH(J$4,임대자산!$D$3:$R$3,0)),
IF($D587="폐업",INDEX(폐업정보!$D$3:$R$3000,MATCH($F587,폐업정보!$I$3:$I$3000,0),MATCH(J$4,폐업정보!$D$3:$R$3,0)),
"Error"))</f>
        <v>1368500000</v>
      </c>
      <c r="K587" s="75" t="str">
        <f aca="false">
IF($D587="정상",INDEX(임대자산!$D$3:$R$3000,MATCH($F587,임대자산!$I$3:$I$3000,0),MATCH(K$4,임대자산!$D$3:$R$3,0)),
IF($D587="폐업",INDEX(폐업정보!$D$3:$R$3000,MATCH($F587,폐업정보!$I$3:$I$3000,0),MATCH(K$4,폐업정보!$D$3:$R$3,0)),
"Error"))</f>
        <v>C0582</v>
      </c>
      <c r="L587" s="75" t="str">
        <f aca="false">
IF($D587="정상",INDEX(임대자산!$D$3:$R$3000,MATCH($F587,임대자산!$I$3:$I$3000,0),MATCH(L$4,임대자산!$D$3:$R$3,0)),
IF($D587="폐업",INDEX(폐업정보!$D$3:$R$3000,MATCH($F587,폐업정보!$I$3:$I$3000,0),MATCH(L$4,폐업정보!$D$3:$R$3,0)),
"Error"))</f>
        <v>D0582</v>
      </c>
      <c r="M587" s="76" t="s">
        <v>96</v>
      </c>
      <c r="N587" s="77"/>
      <c r="O587" s="78" t="s">
        <v>97</v>
      </c>
      <c r="P587" s="79" t="n">
        <f aca="false">COUNTIFS(임대자산!$I:$I,가맹점정보!F587,임대자산!$N:$N,가맹점정보!P$4)</f>
        <v>0</v>
      </c>
      <c r="Q587" s="80" t="n">
        <f aca="false">COUNTIFS(임대자산!$I:$I,가맹점정보!F587,임대자산!$N:$N,가맹점정보!Q$4)</f>
        <v>1</v>
      </c>
      <c r="R587" s="81" t="n">
        <f aca="false">COUNTIFS(임대자산!$I:$I,가맹점정보!F587,임대자산!$N:$N,가맹점정보!R$4)</f>
        <v>0</v>
      </c>
      <c r="S587" s="82" t="n">
        <v>88000</v>
      </c>
      <c r="T587" s="83" t="n">
        <v>0</v>
      </c>
      <c r="U587" s="80" t="n">
        <f aca="false">SUM(S587:T587)</f>
        <v>88000</v>
      </c>
      <c r="V587" s="84" t="s">
        <v>12</v>
      </c>
      <c r="W587" s="80" t="e">
        <f aca="true">
IF(D587="폐업","폐업",
IF(V587="면제","면제",
IF(AND(V587="정상",COUNTIFS(OFFSET(Y587,0,COUNTA(Y587:AV587)-1,1,-4),"미납")&gt;=3),"장기미납",
IF(AND(V587="정상",OFFSET(Y587,0,COUNTA(Y587:AV587)-1)&gt;=U587),"정상",
IF(AND(V587="정상",OFFSET(Y587,0,COUNTA(Y587:AV587)-1)=0),"정상",
"계약서 미작성")))))</f>
        <v>#VALUE!</v>
      </c>
      <c r="X587" s="81" t="str">
        <f aca="true">
IF(D587="폐업","폐업",
IF(AND(V587="정상",OFFSET(Y587,0,COUNTA(Y587:AV587)-1)="미납"),"미납",
IF(AND(V587="정상",OFFSET(Y587,0,COUNTA(Y587:AV587)-1)=0),"납부 시작 전",
IF(AND(V587="정상",OFFSET(Y587,0,COUNTA(Y587:AV587)-1)&gt;=U587),"정상",
IF(AND(V587="면제",OFFSET(Y587,0,COUNTA(Y587:AV587)-1)="면제"),"면제",
IF(AND(V587="면제",OFFSET(Y587,0,COUNTA(Y587:AV587)-1)=0),"면제",
"확인요청"))))))</f>
        <v>정상</v>
      </c>
      <c r="Y587" s="93" t="n">
        <v>88000</v>
      </c>
      <c r="Z587" s="90" t="n">
        <v>88000</v>
      </c>
      <c r="AA587" s="90" t="n">
        <v>88000</v>
      </c>
      <c r="AB587" s="90" t="n">
        <v>88000</v>
      </c>
      <c r="AC587" s="90" t="n">
        <v>88000</v>
      </c>
      <c r="AD587" s="90" t="n">
        <v>88000</v>
      </c>
      <c r="AE587" s="90" t="n">
        <v>88000</v>
      </c>
      <c r="AF587" s="90" t="n">
        <v>88000</v>
      </c>
      <c r="AG587" s="90" t="n">
        <v>88000</v>
      </c>
      <c r="AH587" s="90" t="n">
        <v>88000</v>
      </c>
      <c r="AI587" s="90" t="n">
        <v>88000</v>
      </c>
      <c r="AJ587" s="91" t="n">
        <v>88000</v>
      </c>
      <c r="AK587" s="89" t="n">
        <v>88000</v>
      </c>
      <c r="AL587" s="90" t="n">
        <v>88000</v>
      </c>
      <c r="AM587" s="90"/>
      <c r="AN587" s="90"/>
      <c r="AO587" s="90"/>
      <c r="AP587" s="90"/>
      <c r="AQ587" s="90"/>
      <c r="AR587" s="90"/>
      <c r="AS587" s="90"/>
      <c r="AT587" s="90"/>
      <c r="AU587" s="90"/>
      <c r="AV587" s="91"/>
      <c r="AX587" s="92"/>
    </row>
    <row r="588" customFormat="false" ht="15.65" hidden="false" customHeight="false" outlineLevel="0" collapsed="false">
      <c r="C588" s="72" t="n">
        <f aca="false">COUNTIFS($D$6:D588,"&lt;&gt;"&amp;"")</f>
        <v>583</v>
      </c>
      <c r="D588" s="73" t="s">
        <v>12</v>
      </c>
      <c r="E588" s="76" t="str">
        <f aca="false">
IF($D588="정상",INDEX(임대자산!$D$3:$R$3000,MATCH($F588,임대자산!$I$3:$I$3000,0),MATCH(E$3,임대자산!$D$3:$R$3,0)),
IF($D588="폐업",INDEX(폐업정보!$D$3:$R$3000,MATCH($F588,폐업정보!$I$3:$I$3000,0),MATCH(E$3,폐업정보!$D$3:$R$3,0)),
"Error"))</f>
        <v>강원</v>
      </c>
      <c r="F58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B0583</v>
      </c>
      <c r="G588" s="76" t="str">
        <f aca="false">F588&amp;RANDBETWEEN(0,10)</f>
        <v>B05839</v>
      </c>
      <c r="H588" s="75" t="n">
        <f aca="false">
IF($D588="정상",INDEX(임대자산!$D$3:$R$3000,MATCH($F588,임대자산!$I$3:$I$3000,0),MATCH(H$4,임대자산!$D$3:$R$3,0)),
IF($D588="폐업",INDEX(폐업정보!$D$3:$R$3000,MATCH($F588,폐업정보!$I$3:$I$3000,0),MATCH(H$4,폐업정보!$D$3:$R$3,0)),
"Error"))</f>
        <v>43627</v>
      </c>
      <c r="I588" s="75" t="str">
        <f aca="false">
IF($D588="정상",INDEX(임대자산!$D$3:$R$3000,MATCH($F588,임대자산!$I$3:$I$3000,0),MATCH(I$4,임대자산!$D$3:$R$3,0)),
IF($D588="폐업",INDEX(폐업정보!$D$3:$R$3000,MATCH($F588,폐업정보!$I$3:$I$3000,0),MATCH(I$4,폐업정보!$D$3:$R$3,0)),
"Error"))</f>
        <v>A0583</v>
      </c>
      <c r="J588" s="75" t="str">
        <f aca="false">
IF($D588="정상",INDEX(임대자산!$D$3:$R$3000,MATCH($F588,임대자산!$I$3:$I$3000,0),MATCH(J$4,임대자산!$D$3:$R$3,0)),
IF($D588="폐업",INDEX(폐업정보!$D$3:$R$3000,MATCH($F588,폐업정보!$I$3:$I$3000,0),MATCH(J$4,폐업정보!$D$3:$R$3,0)),
"Error"))</f>
        <v>8011600000</v>
      </c>
      <c r="K588" s="75" t="str">
        <f aca="false">
IF($D588="정상",INDEX(임대자산!$D$3:$R$3000,MATCH($F588,임대자산!$I$3:$I$3000,0),MATCH(K$4,임대자산!$D$3:$R$3,0)),
IF($D588="폐업",INDEX(폐업정보!$D$3:$R$3000,MATCH($F588,폐업정보!$I$3:$I$3000,0),MATCH(K$4,폐업정보!$D$3:$R$3,0)),
"Error"))</f>
        <v>C0583</v>
      </c>
      <c r="L588" s="75" t="str">
        <f aca="false">
IF($D588="정상",INDEX(임대자산!$D$3:$R$3000,MATCH($F588,임대자산!$I$3:$I$3000,0),MATCH(L$4,임대자산!$D$3:$R$3,0)),
IF($D588="폐업",INDEX(폐업정보!$D$3:$R$3000,MATCH($F588,폐업정보!$I$3:$I$3000,0),MATCH(L$4,폐업정보!$D$3:$R$3,0)),
"Error"))</f>
        <v>D0583</v>
      </c>
      <c r="M588" s="76" t="s">
        <v>96</v>
      </c>
      <c r="N588" s="77"/>
      <c r="O588" s="78" t="s">
        <v>97</v>
      </c>
      <c r="P588" s="79" t="n">
        <f aca="false">COUNTIFS(임대자산!$I:$I,가맹점정보!F588,임대자산!$N:$N,가맹점정보!P$4)</f>
        <v>0</v>
      </c>
      <c r="Q588" s="80" t="n">
        <f aca="false">COUNTIFS(임대자산!$I:$I,가맹점정보!F588,임대자산!$N:$N,가맹점정보!Q$4)</f>
        <v>1</v>
      </c>
      <c r="R588" s="81" t="n">
        <f aca="false">COUNTIFS(임대자산!$I:$I,가맹점정보!F588,임대자산!$N:$N,가맹점정보!R$4)</f>
        <v>0</v>
      </c>
      <c r="S588" s="82" t="n">
        <v>55000</v>
      </c>
      <c r="T588" s="83" t="n">
        <v>0</v>
      </c>
      <c r="U588" s="80" t="n">
        <f aca="false">SUM(S588:T588)</f>
        <v>55000</v>
      </c>
      <c r="V588" s="84" t="s">
        <v>12</v>
      </c>
      <c r="W588" s="80" t="e">
        <f aca="true">
IF(D588="폐업","폐업",
IF(V588="면제","면제",
IF(AND(V588="정상",COUNTIFS(OFFSET(Y588,0,COUNTA(Y588:AV588)-1,1,-4),"미납")&gt;=3),"장기미납",
IF(AND(V588="정상",OFFSET(Y588,0,COUNTA(Y588:AV588)-1)&gt;=U588),"정상",
IF(AND(V588="정상",OFFSET(Y588,0,COUNTA(Y588:AV588)-1)=0),"정상",
"계약서 미작성")))))</f>
        <v>#VALUE!</v>
      </c>
      <c r="X588" s="81" t="str">
        <f aca="true">
IF(D588="폐업","폐업",
IF(AND(V588="정상",OFFSET(Y588,0,COUNTA(Y588:AV588)-1)="미납"),"미납",
IF(AND(V588="정상",OFFSET(Y588,0,COUNTA(Y588:AV588)-1)=0),"납부 시작 전",
IF(AND(V588="정상",OFFSET(Y588,0,COUNTA(Y588:AV588)-1)&gt;=U588),"정상",
IF(AND(V588="면제",OFFSET(Y588,0,COUNTA(Y588:AV588)-1)="면제"),"면제",
IF(AND(V588="면제",OFFSET(Y588,0,COUNTA(Y588:AV588)-1)=0),"면제",
"확인요청"))))))</f>
        <v>정상</v>
      </c>
      <c r="Y588" s="93" t="n">
        <v>55000</v>
      </c>
      <c r="Z588" s="90" t="n">
        <v>55000</v>
      </c>
      <c r="AA588" s="90" t="n">
        <v>55000</v>
      </c>
      <c r="AB588" s="90" t="n">
        <v>55000</v>
      </c>
      <c r="AC588" s="90" t="n">
        <v>55000</v>
      </c>
      <c r="AD588" s="90" t="n">
        <v>55000</v>
      </c>
      <c r="AE588" s="90" t="n">
        <v>55000</v>
      </c>
      <c r="AF588" s="90" t="n">
        <v>55000</v>
      </c>
      <c r="AG588" s="90" t="n">
        <v>55000</v>
      </c>
      <c r="AH588" s="90" t="n">
        <v>55000</v>
      </c>
      <c r="AI588" s="90" t="n">
        <v>55000</v>
      </c>
      <c r="AJ588" s="91" t="n">
        <v>55000</v>
      </c>
      <c r="AK588" s="89" t="n">
        <v>55000</v>
      </c>
      <c r="AL588" s="90" t="n">
        <v>55000</v>
      </c>
      <c r="AM588" s="90"/>
      <c r="AN588" s="90"/>
      <c r="AO588" s="90"/>
      <c r="AP588" s="90"/>
      <c r="AQ588" s="90"/>
      <c r="AR588" s="90"/>
      <c r="AS588" s="90"/>
      <c r="AT588" s="90"/>
      <c r="AU588" s="90"/>
      <c r="AV588" s="91"/>
      <c r="AX588" s="92"/>
    </row>
    <row r="589" customFormat="false" ht="15.65" hidden="false" customHeight="false" outlineLevel="0" collapsed="false">
      <c r="C589" s="72" t="n">
        <f aca="false">COUNTIFS($D$6:D589,"&lt;&gt;"&amp;"")</f>
        <v>584</v>
      </c>
      <c r="D589" s="73" t="s">
        <v>12</v>
      </c>
      <c r="E589" s="76" t="str">
        <f aca="false">
IF($D589="정상",INDEX(임대자산!$D$3:$R$3000,MATCH($F589,임대자산!$I$3:$I$3000,0),MATCH(E$3,임대자산!$D$3:$R$3,0)),
IF($D589="폐업",INDEX(폐업정보!$D$3:$R$3000,MATCH($F589,폐업정보!$I$3:$I$3000,0),MATCH(E$3,폐업정보!$D$3:$R$3,0)),
"Error"))</f>
        <v>경상</v>
      </c>
      <c r="F58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B0584</v>
      </c>
      <c r="G589" s="76" t="str">
        <f aca="false">F589&amp;RANDBETWEEN(0,10)</f>
        <v>B05841</v>
      </c>
      <c r="H589" s="75" t="n">
        <f aca="false">
IF($D589="정상",INDEX(임대자산!$D$3:$R$3000,MATCH($F589,임대자산!$I$3:$I$3000,0),MATCH(H$4,임대자산!$D$3:$R$3,0)),
IF($D589="폐업",INDEX(폐업정보!$D$3:$R$3000,MATCH($F589,폐업정보!$I$3:$I$3000,0),MATCH(H$4,폐업정보!$D$3:$R$3,0)),
"Error"))</f>
        <v>43628</v>
      </c>
      <c r="I589" s="75" t="str">
        <f aca="false">
IF($D589="정상",INDEX(임대자산!$D$3:$R$3000,MATCH($F589,임대자산!$I$3:$I$3000,0),MATCH(I$4,임대자산!$D$3:$R$3,0)),
IF($D589="폐업",INDEX(폐업정보!$D$3:$R$3000,MATCH($F589,폐업정보!$I$3:$I$3000,0),MATCH(I$4,폐업정보!$D$3:$R$3,0)),
"Error"))</f>
        <v>A0584</v>
      </c>
      <c r="J589" s="75" t="str">
        <f aca="false">
IF($D589="정상",INDEX(임대자산!$D$3:$R$3000,MATCH($F589,임대자산!$I$3:$I$3000,0),MATCH(J$4,임대자산!$D$3:$R$3,0)),
IF($D589="폐업",INDEX(폐업정보!$D$3:$R$3000,MATCH($F589,폐업정보!$I$3:$I$3000,0),MATCH(J$4,폐업정보!$D$3:$R$3,0)),
"Error"))</f>
        <v>2874100000</v>
      </c>
      <c r="K589" s="75" t="str">
        <f aca="false">
IF($D589="정상",INDEX(임대자산!$D$3:$R$3000,MATCH($F589,임대자산!$I$3:$I$3000,0),MATCH(K$4,임대자산!$D$3:$R$3,0)),
IF($D589="폐업",INDEX(폐업정보!$D$3:$R$3000,MATCH($F589,폐업정보!$I$3:$I$3000,0),MATCH(K$4,폐업정보!$D$3:$R$3,0)),
"Error"))</f>
        <v>C0584</v>
      </c>
      <c r="L589" s="75" t="str">
        <f aca="false">
IF($D589="정상",INDEX(임대자산!$D$3:$R$3000,MATCH($F589,임대자산!$I$3:$I$3000,0),MATCH(L$4,임대자산!$D$3:$R$3,0)),
IF($D589="폐업",INDEX(폐업정보!$D$3:$R$3000,MATCH($F589,폐업정보!$I$3:$I$3000,0),MATCH(L$4,폐업정보!$D$3:$R$3,0)),
"Error"))</f>
        <v>D0584</v>
      </c>
      <c r="M589" s="76" t="s">
        <v>96</v>
      </c>
      <c r="N589" s="77"/>
      <c r="O589" s="78" t="s">
        <v>97</v>
      </c>
      <c r="P589" s="79" t="n">
        <f aca="false">COUNTIFS(임대자산!$I:$I,가맹점정보!F589,임대자산!$N:$N,가맹점정보!P$4)</f>
        <v>0</v>
      </c>
      <c r="Q589" s="80" t="n">
        <f aca="false">COUNTIFS(임대자산!$I:$I,가맹점정보!F589,임대자산!$N:$N,가맹점정보!Q$4)</f>
        <v>1</v>
      </c>
      <c r="R589" s="81" t="n">
        <f aca="false">COUNTIFS(임대자산!$I:$I,가맹점정보!F589,임대자산!$N:$N,가맹점정보!R$4)</f>
        <v>0</v>
      </c>
      <c r="S589" s="82" t="n">
        <v>55000</v>
      </c>
      <c r="T589" s="83" t="n">
        <v>0</v>
      </c>
      <c r="U589" s="80" t="n">
        <f aca="false">SUM(S589:T589)</f>
        <v>55000</v>
      </c>
      <c r="V589" s="84" t="s">
        <v>12</v>
      </c>
      <c r="W589" s="80" t="e">
        <f aca="true">
IF(D589="폐업","폐업",
IF(V589="면제","면제",
IF(AND(V589="정상",COUNTIFS(OFFSET(Y589,0,COUNTA(Y589:AV589)-1,1,-4),"미납")&gt;=3),"장기미납",
IF(AND(V589="정상",OFFSET(Y589,0,COUNTA(Y589:AV589)-1)&gt;=U589),"정상",
IF(AND(V589="정상",OFFSET(Y589,0,COUNTA(Y589:AV589)-1)=0),"정상",
"계약서 미작성")))))</f>
        <v>#VALUE!</v>
      </c>
      <c r="X589" s="81" t="str">
        <f aca="true">
IF(D589="폐업","폐업",
IF(AND(V589="정상",OFFSET(Y589,0,COUNTA(Y589:AV589)-1)="미납"),"미납",
IF(AND(V589="정상",OFFSET(Y589,0,COUNTA(Y589:AV589)-1)=0),"납부 시작 전",
IF(AND(V589="정상",OFFSET(Y589,0,COUNTA(Y589:AV589)-1)&gt;=U589),"정상",
IF(AND(V589="면제",OFFSET(Y589,0,COUNTA(Y589:AV589)-1)="면제"),"면제",
IF(AND(V589="면제",OFFSET(Y589,0,COUNTA(Y589:AV589)-1)=0),"면제",
"확인요청"))))))</f>
        <v>정상</v>
      </c>
      <c r="Y589" s="93" t="n">
        <v>55000</v>
      </c>
      <c r="Z589" s="90" t="n">
        <v>55000</v>
      </c>
      <c r="AA589" s="90" t="n">
        <v>55000</v>
      </c>
      <c r="AB589" s="90" t="n">
        <v>55000</v>
      </c>
      <c r="AC589" s="90" t="n">
        <v>55000</v>
      </c>
      <c r="AD589" s="90" t="n">
        <v>55000</v>
      </c>
      <c r="AE589" s="90" t="n">
        <v>55000</v>
      </c>
      <c r="AF589" s="90" t="n">
        <v>55000</v>
      </c>
      <c r="AG589" s="90" t="n">
        <v>55000</v>
      </c>
      <c r="AH589" s="90" t="n">
        <v>55000</v>
      </c>
      <c r="AI589" s="90" t="n">
        <v>55000</v>
      </c>
      <c r="AJ589" s="91" t="n">
        <v>55000</v>
      </c>
      <c r="AK589" s="89" t="n">
        <v>55000</v>
      </c>
      <c r="AL589" s="90" t="n">
        <v>55000</v>
      </c>
      <c r="AM589" s="90"/>
      <c r="AN589" s="90"/>
      <c r="AO589" s="90"/>
      <c r="AP589" s="90"/>
      <c r="AQ589" s="90"/>
      <c r="AR589" s="90"/>
      <c r="AS589" s="90"/>
      <c r="AT589" s="90"/>
      <c r="AU589" s="90"/>
      <c r="AV589" s="91"/>
      <c r="AX589" s="92"/>
    </row>
    <row r="590" customFormat="false" ht="15.65" hidden="false" customHeight="false" outlineLevel="0" collapsed="false">
      <c r="C590" s="72" t="n">
        <f aca="false">COUNTIFS($D$6:D590,"&lt;&gt;"&amp;"")</f>
        <v>585</v>
      </c>
      <c r="D590" s="73" t="s">
        <v>12</v>
      </c>
      <c r="E590" s="76" t="str">
        <f aca="false">
IF($D590="정상",INDEX(임대자산!$D$3:$R$3000,MATCH($F590,임대자산!$I$3:$I$3000,0),MATCH(E$3,임대자산!$D$3:$R$3,0)),
IF($D590="폐업",INDEX(폐업정보!$D$3:$R$3000,MATCH($F590,폐업정보!$I$3:$I$3000,0),MATCH(E$3,폐업정보!$D$3:$R$3,0)),
"Error"))</f>
        <v>강원</v>
      </c>
      <c r="F59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B0585</v>
      </c>
      <c r="G590" s="76" t="str">
        <f aca="false">F590&amp;RANDBETWEEN(0,10)</f>
        <v>B05850</v>
      </c>
      <c r="H590" s="75" t="n">
        <f aca="false">
IF($D590="정상",INDEX(임대자산!$D$3:$R$3000,MATCH($F590,임대자산!$I$3:$I$3000,0),MATCH(H$4,임대자산!$D$3:$R$3,0)),
IF($D590="폐업",INDEX(폐업정보!$D$3:$R$3000,MATCH($F590,폐업정보!$I$3:$I$3000,0),MATCH(H$4,폐업정보!$D$3:$R$3,0)),
"Error"))</f>
        <v>43643</v>
      </c>
      <c r="I590" s="75" t="str">
        <f aca="false">
IF($D590="정상",INDEX(임대자산!$D$3:$R$3000,MATCH($F590,임대자산!$I$3:$I$3000,0),MATCH(I$4,임대자산!$D$3:$R$3,0)),
IF($D590="폐업",INDEX(폐업정보!$D$3:$R$3000,MATCH($F590,폐업정보!$I$3:$I$3000,0),MATCH(I$4,폐업정보!$D$3:$R$3,0)),
"Error"))</f>
        <v>A0585</v>
      </c>
      <c r="J590" s="75" t="str">
        <f aca="false">
IF($D590="정상",INDEX(임대자산!$D$3:$R$3000,MATCH($F590,임대자산!$I$3:$I$3000,0),MATCH(J$4,임대자산!$D$3:$R$3,0)),
IF($D590="폐업",INDEX(폐업정보!$D$3:$R$3000,MATCH($F590,폐업정보!$I$3:$I$3000,0),MATCH(J$4,폐업정보!$D$3:$R$3,0)),
"Error"))</f>
        <v>2717700000</v>
      </c>
      <c r="K590" s="75" t="str">
        <f aca="false">
IF($D590="정상",INDEX(임대자산!$D$3:$R$3000,MATCH($F590,임대자산!$I$3:$I$3000,0),MATCH(K$4,임대자산!$D$3:$R$3,0)),
IF($D590="폐업",INDEX(폐업정보!$D$3:$R$3000,MATCH($F590,폐업정보!$I$3:$I$3000,0),MATCH(K$4,폐업정보!$D$3:$R$3,0)),
"Error"))</f>
        <v>C0585</v>
      </c>
      <c r="L590" s="75" t="str">
        <f aca="false">
IF($D590="정상",INDEX(임대자산!$D$3:$R$3000,MATCH($F590,임대자산!$I$3:$I$3000,0),MATCH(L$4,임대자산!$D$3:$R$3,0)),
IF($D590="폐업",INDEX(폐업정보!$D$3:$R$3000,MATCH($F590,폐업정보!$I$3:$I$3000,0),MATCH(L$4,폐업정보!$D$3:$R$3,0)),
"Error"))</f>
        <v>D0585</v>
      </c>
      <c r="M590" s="76" t="s">
        <v>96</v>
      </c>
      <c r="N590" s="77"/>
      <c r="O590" s="78" t="s">
        <v>97</v>
      </c>
      <c r="P590" s="79" t="n">
        <f aca="false">COUNTIFS(임대자산!$I:$I,가맹점정보!F590,임대자산!$N:$N,가맹점정보!P$4)</f>
        <v>0</v>
      </c>
      <c r="Q590" s="80" t="n">
        <f aca="false">COUNTIFS(임대자산!$I:$I,가맹점정보!F590,임대자산!$N:$N,가맹점정보!Q$4)</f>
        <v>1</v>
      </c>
      <c r="R590" s="81" t="n">
        <f aca="false">COUNTIFS(임대자산!$I:$I,가맹점정보!F590,임대자산!$N:$N,가맹점정보!R$4)</f>
        <v>0</v>
      </c>
      <c r="S590" s="82" t="n">
        <v>143000</v>
      </c>
      <c r="T590" s="83" t="n">
        <v>0</v>
      </c>
      <c r="U590" s="80" t="n">
        <f aca="false">SUM(S590:T590)</f>
        <v>143000</v>
      </c>
      <c r="V590" s="84" t="s">
        <v>12</v>
      </c>
      <c r="W590" s="80" t="e">
        <f aca="true">
IF(D590="폐업","폐업",
IF(V590="면제","면제",
IF(AND(V590="정상",COUNTIFS(OFFSET(Y590,0,COUNTA(Y590:AV590)-1,1,-4),"미납")&gt;=3),"장기미납",
IF(AND(V590="정상",OFFSET(Y590,0,COUNTA(Y590:AV590)-1)&gt;=U590),"정상",
IF(AND(V590="정상",OFFSET(Y590,0,COUNTA(Y590:AV590)-1)=0),"정상",
"계약서 미작성")))))</f>
        <v>#VALUE!</v>
      </c>
      <c r="X590" s="81" t="str">
        <f aca="true">
IF(D590="폐업","폐업",
IF(AND(V590="정상",OFFSET(Y590,0,COUNTA(Y590:AV590)-1)="미납"),"미납",
IF(AND(V590="정상",OFFSET(Y590,0,COUNTA(Y590:AV590)-1)=0),"납부 시작 전",
IF(AND(V590="정상",OFFSET(Y590,0,COUNTA(Y590:AV590)-1)&gt;=U590),"정상",
IF(AND(V590="면제",OFFSET(Y590,0,COUNTA(Y590:AV590)-1)="면제"),"면제",
IF(AND(V590="면제",OFFSET(Y590,0,COUNTA(Y590:AV590)-1)=0),"면제",
"확인요청"))))))</f>
        <v>미납</v>
      </c>
      <c r="Y590" s="93" t="n">
        <v>143000</v>
      </c>
      <c r="Z590" s="90" t="n">
        <v>143000</v>
      </c>
      <c r="AA590" s="90" t="n">
        <v>143000</v>
      </c>
      <c r="AB590" s="90" t="n">
        <v>143000</v>
      </c>
      <c r="AC590" s="90" t="n">
        <v>286000</v>
      </c>
      <c r="AD590" s="90" t="s">
        <v>103</v>
      </c>
      <c r="AE590" s="90" t="n">
        <v>286000</v>
      </c>
      <c r="AF590" s="90" t="n">
        <v>143000</v>
      </c>
      <c r="AG590" s="90" t="n">
        <v>143000</v>
      </c>
      <c r="AH590" s="90" t="n">
        <v>143000</v>
      </c>
      <c r="AI590" s="90" t="n">
        <v>143000</v>
      </c>
      <c r="AJ590" s="91" t="n">
        <v>143000</v>
      </c>
      <c r="AK590" s="89" t="n">
        <v>143000</v>
      </c>
      <c r="AL590" s="95" t="s">
        <v>62</v>
      </c>
      <c r="AM590" s="90"/>
      <c r="AN590" s="90"/>
      <c r="AO590" s="90"/>
      <c r="AP590" s="90"/>
      <c r="AQ590" s="90"/>
      <c r="AR590" s="90"/>
      <c r="AS590" s="90"/>
      <c r="AT590" s="90"/>
      <c r="AU590" s="90"/>
      <c r="AV590" s="91"/>
      <c r="AX590" s="92"/>
    </row>
    <row r="591" customFormat="false" ht="15.65" hidden="false" customHeight="false" outlineLevel="0" collapsed="false">
      <c r="C591" s="72" t="n">
        <f aca="false">COUNTIFS($D$6:D591,"&lt;&gt;"&amp;"")</f>
        <v>586</v>
      </c>
      <c r="D591" s="73" t="s">
        <v>12</v>
      </c>
      <c r="E591" s="76" t="str">
        <f aca="false">
IF($D591="정상",INDEX(임대자산!$D$3:$R$3000,MATCH($F591,임대자산!$I$3:$I$3000,0),MATCH(E$3,임대자산!$D$3:$R$3,0)),
IF($D591="폐업",INDEX(폐업정보!$D$3:$R$3000,MATCH($F591,폐업정보!$I$3:$I$3000,0),MATCH(E$3,폐업정보!$D$3:$R$3,0)),
"Error"))</f>
        <v>강원</v>
      </c>
      <c r="F59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B0586</v>
      </c>
      <c r="G591" s="76" t="str">
        <f aca="false">F591&amp;RANDBETWEEN(0,10)</f>
        <v>B05861</v>
      </c>
      <c r="H591" s="75" t="n">
        <f aca="false">
IF($D591="정상",INDEX(임대자산!$D$3:$R$3000,MATCH($F591,임대자산!$I$3:$I$3000,0),MATCH(H$4,임대자산!$D$3:$R$3,0)),
IF($D591="폐업",INDEX(폐업정보!$D$3:$R$3000,MATCH($F591,폐업정보!$I$3:$I$3000,0),MATCH(H$4,폐업정보!$D$3:$R$3,0)),
"Error"))</f>
        <v>43647</v>
      </c>
      <c r="I591" s="75" t="str">
        <f aca="false">
IF($D591="정상",INDEX(임대자산!$D$3:$R$3000,MATCH($F591,임대자산!$I$3:$I$3000,0),MATCH(I$4,임대자산!$D$3:$R$3,0)),
IF($D591="폐업",INDEX(폐업정보!$D$3:$R$3000,MATCH($F591,폐업정보!$I$3:$I$3000,0),MATCH(I$4,폐업정보!$D$3:$R$3,0)),
"Error"))</f>
        <v>A0586</v>
      </c>
      <c r="J591" s="75" t="str">
        <f aca="false">
IF($D591="정상",INDEX(임대자산!$D$3:$R$3000,MATCH($F591,임대자산!$I$3:$I$3000,0),MATCH(J$4,임대자산!$D$3:$R$3,0)),
IF($D591="폐업",INDEX(폐업정보!$D$3:$R$3000,MATCH($F591,폐업정보!$I$3:$I$3000,0),MATCH(J$4,폐업정보!$D$3:$R$3,0)),
"Error"))</f>
        <v>4194400000</v>
      </c>
      <c r="K591" s="75" t="str">
        <f aca="false">
IF($D591="정상",INDEX(임대자산!$D$3:$R$3000,MATCH($F591,임대자산!$I$3:$I$3000,0),MATCH(K$4,임대자산!$D$3:$R$3,0)),
IF($D591="폐업",INDEX(폐업정보!$D$3:$R$3000,MATCH($F591,폐업정보!$I$3:$I$3000,0),MATCH(K$4,폐업정보!$D$3:$R$3,0)),
"Error"))</f>
        <v>C0586</v>
      </c>
      <c r="L591" s="75" t="str">
        <f aca="false">
IF($D591="정상",INDEX(임대자산!$D$3:$R$3000,MATCH($F591,임대자산!$I$3:$I$3000,0),MATCH(L$4,임대자산!$D$3:$R$3,0)),
IF($D591="폐업",INDEX(폐업정보!$D$3:$R$3000,MATCH($F591,폐업정보!$I$3:$I$3000,0),MATCH(L$4,폐업정보!$D$3:$R$3,0)),
"Error"))</f>
        <v>D0586</v>
      </c>
      <c r="M591" s="76" t="s">
        <v>96</v>
      </c>
      <c r="N591" s="77"/>
      <c r="O591" s="78" t="s">
        <v>97</v>
      </c>
      <c r="P591" s="79" t="n">
        <f aca="false">COUNTIFS(임대자산!$I:$I,가맹점정보!F591,임대자산!$N:$N,가맹점정보!P$4)</f>
        <v>0</v>
      </c>
      <c r="Q591" s="80" t="n">
        <f aca="false">COUNTIFS(임대자산!$I:$I,가맹점정보!F591,임대자산!$N:$N,가맹점정보!Q$4)</f>
        <v>1</v>
      </c>
      <c r="R591" s="81" t="n">
        <f aca="false">COUNTIFS(임대자산!$I:$I,가맹점정보!F591,임대자산!$N:$N,가맹점정보!R$4)</f>
        <v>0</v>
      </c>
      <c r="S591" s="82" t="n">
        <v>55000</v>
      </c>
      <c r="T591" s="83" t="n">
        <v>0</v>
      </c>
      <c r="U591" s="80" t="n">
        <f aca="false">SUM(S591:T591)</f>
        <v>55000</v>
      </c>
      <c r="V591" s="84" t="s">
        <v>12</v>
      </c>
      <c r="W591" s="80" t="e">
        <f aca="true">
IF(D591="폐업","폐업",
IF(V591="면제","면제",
IF(AND(V591="정상",COUNTIFS(OFFSET(Y591,0,COUNTA(Y591:AV591)-1,1,-4),"미납")&gt;=3),"장기미납",
IF(AND(V591="정상",OFFSET(Y591,0,COUNTA(Y591:AV591)-1)&gt;=U591),"정상",
IF(AND(V591="정상",OFFSET(Y591,0,COUNTA(Y591:AV591)-1)=0),"정상",
"계약서 미작성")))))</f>
        <v>#VALUE!</v>
      </c>
      <c r="X591" s="81" t="str">
        <f aca="true">
IF(D591="폐업","폐업",
IF(AND(V591="정상",OFFSET(Y591,0,COUNTA(Y591:AV591)-1)="미납"),"미납",
IF(AND(V591="정상",OFFSET(Y591,0,COUNTA(Y591:AV591)-1)=0),"납부 시작 전",
IF(AND(V591="정상",OFFSET(Y591,0,COUNTA(Y591:AV591)-1)&gt;=U591),"정상",
IF(AND(V591="면제",OFFSET(Y591,0,COUNTA(Y591:AV591)-1)="면제"),"면제",
IF(AND(V591="면제",OFFSET(Y591,0,COUNTA(Y591:AV591)-1)=0),"면제",
"확인요청"))))))</f>
        <v>정상</v>
      </c>
      <c r="Y591" s="93" t="n">
        <v>55000</v>
      </c>
      <c r="Z591" s="90" t="n">
        <v>55000</v>
      </c>
      <c r="AA591" s="90" t="n">
        <v>55000</v>
      </c>
      <c r="AB591" s="90" t="n">
        <v>55000</v>
      </c>
      <c r="AC591" s="90" t="n">
        <v>55000</v>
      </c>
      <c r="AD591" s="90" t="n">
        <v>55000</v>
      </c>
      <c r="AE591" s="90" t="n">
        <v>55000</v>
      </c>
      <c r="AF591" s="90" t="n">
        <v>55000</v>
      </c>
      <c r="AG591" s="90" t="n">
        <v>55000</v>
      </c>
      <c r="AH591" s="90" t="n">
        <v>55000</v>
      </c>
      <c r="AI591" s="90" t="n">
        <v>55000</v>
      </c>
      <c r="AJ591" s="91" t="n">
        <v>55000</v>
      </c>
      <c r="AK591" s="89" t="n">
        <v>55000</v>
      </c>
      <c r="AL591" s="90" t="n">
        <v>55000</v>
      </c>
      <c r="AM591" s="90"/>
      <c r="AN591" s="90"/>
      <c r="AO591" s="90"/>
      <c r="AP591" s="90"/>
      <c r="AQ591" s="90"/>
      <c r="AR591" s="90"/>
      <c r="AS591" s="90"/>
      <c r="AT591" s="90"/>
      <c r="AU591" s="90"/>
      <c r="AV591" s="91"/>
      <c r="AX591" s="92"/>
    </row>
    <row r="592" customFormat="false" ht="15.65" hidden="false" customHeight="false" outlineLevel="0" collapsed="false">
      <c r="C592" s="72" t="n">
        <f aca="false">COUNTIFS($D$6:D592,"&lt;&gt;"&amp;"")</f>
        <v>587</v>
      </c>
      <c r="D592" s="73" t="s">
        <v>12</v>
      </c>
      <c r="E592" s="76" t="str">
        <f aca="false">
IF($D592="정상",INDEX(임대자산!$D$3:$R$3000,MATCH($F592,임대자산!$I$3:$I$3000,0),MATCH(E$3,임대자산!$D$3:$R$3,0)),
IF($D592="폐업",INDEX(폐업정보!$D$3:$R$3000,MATCH($F592,폐업정보!$I$3:$I$3000,0),MATCH(E$3,폐업정보!$D$3:$R$3,0)),
"Error"))</f>
        <v>경상</v>
      </c>
      <c r="F59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B0587</v>
      </c>
      <c r="G592" s="76" t="str">
        <f aca="false">F592&amp;RANDBETWEEN(0,10)</f>
        <v>B05878</v>
      </c>
      <c r="H592" s="75" t="n">
        <f aca="false">
IF($D592="정상",INDEX(임대자산!$D$3:$R$3000,MATCH($F592,임대자산!$I$3:$I$3000,0),MATCH(H$4,임대자산!$D$3:$R$3,0)),
IF($D592="폐업",INDEX(폐업정보!$D$3:$R$3000,MATCH($F592,폐업정보!$I$3:$I$3000,0),MATCH(H$4,폐업정보!$D$3:$R$3,0)),
"Error"))</f>
        <v>43657</v>
      </c>
      <c r="I592" s="75" t="str">
        <f aca="false">
IF($D592="정상",INDEX(임대자산!$D$3:$R$3000,MATCH($F592,임대자산!$I$3:$I$3000,0),MATCH(I$4,임대자산!$D$3:$R$3,0)),
IF($D592="폐업",INDEX(폐업정보!$D$3:$R$3000,MATCH($F592,폐업정보!$I$3:$I$3000,0),MATCH(I$4,폐업정보!$D$3:$R$3,0)),
"Error"))</f>
        <v>A0587</v>
      </c>
      <c r="J592" s="75" t="str">
        <f aca="false">
IF($D592="정상",INDEX(임대자산!$D$3:$R$3000,MATCH($F592,임대자산!$I$3:$I$3000,0),MATCH(J$4,임대자산!$D$3:$R$3,0)),
IF($D592="폐업",INDEX(폐업정보!$D$3:$R$3000,MATCH($F592,폐업정보!$I$3:$I$3000,0),MATCH(J$4,폐업정보!$D$3:$R$3,0)),
"Error"))</f>
        <v>3570800000</v>
      </c>
      <c r="K592" s="75" t="str">
        <f aca="false">
IF($D592="정상",INDEX(임대자산!$D$3:$R$3000,MATCH($F592,임대자산!$I$3:$I$3000,0),MATCH(K$4,임대자산!$D$3:$R$3,0)),
IF($D592="폐업",INDEX(폐업정보!$D$3:$R$3000,MATCH($F592,폐업정보!$I$3:$I$3000,0),MATCH(K$4,폐업정보!$D$3:$R$3,0)),
"Error"))</f>
        <v>C0587</v>
      </c>
      <c r="L592" s="75" t="str">
        <f aca="false">
IF($D592="정상",INDEX(임대자산!$D$3:$R$3000,MATCH($F592,임대자산!$I$3:$I$3000,0),MATCH(L$4,임대자산!$D$3:$R$3,0)),
IF($D592="폐업",INDEX(폐업정보!$D$3:$R$3000,MATCH($F592,폐업정보!$I$3:$I$3000,0),MATCH(L$4,폐업정보!$D$3:$R$3,0)),
"Error"))</f>
        <v>D0587</v>
      </c>
      <c r="M592" s="76" t="s">
        <v>96</v>
      </c>
      <c r="N592" s="77"/>
      <c r="O592" s="78" t="s">
        <v>97</v>
      </c>
      <c r="P592" s="79" t="n">
        <f aca="false">COUNTIFS(임대자산!$I:$I,가맹점정보!F592,임대자산!$N:$N,가맹점정보!P$4)</f>
        <v>0</v>
      </c>
      <c r="Q592" s="80" t="n">
        <f aca="false">COUNTIFS(임대자산!$I:$I,가맹점정보!F592,임대자산!$N:$N,가맹점정보!Q$4)</f>
        <v>1</v>
      </c>
      <c r="R592" s="81" t="n">
        <f aca="false">COUNTIFS(임대자산!$I:$I,가맹점정보!F592,임대자산!$N:$N,가맹점정보!R$4)</f>
        <v>0</v>
      </c>
      <c r="S592" s="82" t="n">
        <v>88000</v>
      </c>
      <c r="T592" s="83" t="n">
        <v>0</v>
      </c>
      <c r="U592" s="80" t="n">
        <f aca="false">SUM(S592:T592)</f>
        <v>88000</v>
      </c>
      <c r="V592" s="84" t="s">
        <v>12</v>
      </c>
      <c r="W592" s="80" t="e">
        <f aca="true">
IF(D592="폐업","폐업",
IF(V592="면제","면제",
IF(AND(V592="정상",COUNTIFS(OFFSET(Y592,0,COUNTA(Y592:AV592)-1,1,-4),"미납")&gt;=3),"장기미납",
IF(AND(V592="정상",OFFSET(Y592,0,COUNTA(Y592:AV592)-1)&gt;=U592),"정상",
IF(AND(V592="정상",OFFSET(Y592,0,COUNTA(Y592:AV592)-1)=0),"정상",
"계약서 미작성")))))</f>
        <v>#VALUE!</v>
      </c>
      <c r="X592" s="81" t="str">
        <f aca="true">
IF(D592="폐업","폐업",
IF(AND(V592="정상",OFFSET(Y592,0,COUNTA(Y592:AV592)-1)="미납"),"미납",
IF(AND(V592="정상",OFFSET(Y592,0,COUNTA(Y592:AV592)-1)=0),"납부 시작 전",
IF(AND(V592="정상",OFFSET(Y592,0,COUNTA(Y592:AV592)-1)&gt;=U592),"정상",
IF(AND(V592="면제",OFFSET(Y592,0,COUNTA(Y592:AV592)-1)="면제"),"면제",
IF(AND(V592="면제",OFFSET(Y592,0,COUNTA(Y592:AV592)-1)=0),"면제",
"확인요청"))))))</f>
        <v>정상</v>
      </c>
      <c r="Y592" s="93" t="n">
        <v>88000</v>
      </c>
      <c r="Z592" s="90" t="n">
        <v>88000</v>
      </c>
      <c r="AA592" s="90" t="n">
        <v>88000</v>
      </c>
      <c r="AB592" s="90" t="n">
        <v>88000</v>
      </c>
      <c r="AC592" s="90" t="n">
        <v>88000</v>
      </c>
      <c r="AD592" s="90" t="n">
        <v>88000</v>
      </c>
      <c r="AE592" s="90" t="n">
        <v>88000</v>
      </c>
      <c r="AF592" s="90" t="n">
        <v>88000</v>
      </c>
      <c r="AG592" s="90" t="n">
        <v>88000</v>
      </c>
      <c r="AH592" s="90" t="n">
        <v>88000</v>
      </c>
      <c r="AI592" s="90" t="n">
        <v>88000</v>
      </c>
      <c r="AJ592" s="91" t="n">
        <v>88000</v>
      </c>
      <c r="AK592" s="89" t="n">
        <v>88000</v>
      </c>
      <c r="AL592" s="90" t="n">
        <v>88000</v>
      </c>
      <c r="AM592" s="90"/>
      <c r="AN592" s="90"/>
      <c r="AO592" s="90"/>
      <c r="AP592" s="90"/>
      <c r="AQ592" s="90"/>
      <c r="AR592" s="90"/>
      <c r="AS592" s="90"/>
      <c r="AT592" s="90"/>
      <c r="AU592" s="90"/>
      <c r="AV592" s="91"/>
      <c r="AX592" s="92"/>
    </row>
    <row r="593" customFormat="false" ht="15.65" hidden="false" customHeight="false" outlineLevel="0" collapsed="false">
      <c r="C593" s="72" t="n">
        <f aca="false">COUNTIFS($D$6:D593,"&lt;&gt;"&amp;"")</f>
        <v>588</v>
      </c>
      <c r="D593" s="73" t="s">
        <v>12</v>
      </c>
      <c r="E593" s="76" t="str">
        <f aca="false">
IF($D593="정상",INDEX(임대자산!$D$3:$R$3000,MATCH($F593,임대자산!$I$3:$I$3000,0),MATCH(E$3,임대자산!$D$3:$R$3,0)),
IF($D593="폐업",INDEX(폐업정보!$D$3:$R$3000,MATCH($F593,폐업정보!$I$3:$I$3000,0),MATCH(E$3,폐업정보!$D$3:$R$3,0)),
"Error"))</f>
        <v>경상</v>
      </c>
      <c r="F59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B0588</v>
      </c>
      <c r="G593" s="76" t="str">
        <f aca="false">F593&amp;RANDBETWEEN(0,10)</f>
        <v>B05881</v>
      </c>
      <c r="H593" s="75" t="n">
        <f aca="false">
IF($D593="정상",INDEX(임대자산!$D$3:$R$3000,MATCH($F593,임대자산!$I$3:$I$3000,0),MATCH(H$4,임대자산!$D$3:$R$3,0)),
IF($D593="폐업",INDEX(폐업정보!$D$3:$R$3000,MATCH($F593,폐업정보!$I$3:$I$3000,0),MATCH(H$4,폐업정보!$D$3:$R$3,0)),
"Error"))</f>
        <v>43670</v>
      </c>
      <c r="I593" s="75" t="str">
        <f aca="false">
IF($D593="정상",INDEX(임대자산!$D$3:$R$3000,MATCH($F593,임대자산!$I$3:$I$3000,0),MATCH(I$4,임대자산!$D$3:$R$3,0)),
IF($D593="폐업",INDEX(폐업정보!$D$3:$R$3000,MATCH($F593,폐업정보!$I$3:$I$3000,0),MATCH(I$4,폐업정보!$D$3:$R$3,0)),
"Error"))</f>
        <v>A0588</v>
      </c>
      <c r="J593" s="75" t="str">
        <f aca="false">
IF($D593="정상",INDEX(임대자산!$D$3:$R$3000,MATCH($F593,임대자산!$I$3:$I$3000,0),MATCH(J$4,임대자산!$D$3:$R$3,0)),
IF($D593="폐업",INDEX(폐업정보!$D$3:$R$3000,MATCH($F593,폐업정보!$I$3:$I$3000,0),MATCH(J$4,폐업정보!$D$3:$R$3,0)),
"Error"))</f>
        <v>6749300000</v>
      </c>
      <c r="K593" s="75" t="str">
        <f aca="false">
IF($D593="정상",INDEX(임대자산!$D$3:$R$3000,MATCH($F593,임대자산!$I$3:$I$3000,0),MATCH(K$4,임대자산!$D$3:$R$3,0)),
IF($D593="폐업",INDEX(폐업정보!$D$3:$R$3000,MATCH($F593,폐업정보!$I$3:$I$3000,0),MATCH(K$4,폐업정보!$D$3:$R$3,0)),
"Error"))</f>
        <v>C0588</v>
      </c>
      <c r="L593" s="75" t="str">
        <f aca="false">
IF($D593="정상",INDEX(임대자산!$D$3:$R$3000,MATCH($F593,임대자산!$I$3:$I$3000,0),MATCH(L$4,임대자산!$D$3:$R$3,0)),
IF($D593="폐업",INDEX(폐업정보!$D$3:$R$3000,MATCH($F593,폐업정보!$I$3:$I$3000,0),MATCH(L$4,폐업정보!$D$3:$R$3,0)),
"Error"))</f>
        <v>D0588</v>
      </c>
      <c r="M593" s="76" t="s">
        <v>96</v>
      </c>
      <c r="N593" s="77"/>
      <c r="O593" s="78" t="s">
        <v>97</v>
      </c>
      <c r="P593" s="79" t="n">
        <f aca="false">COUNTIFS(임대자산!$I:$I,가맹점정보!F593,임대자산!$N:$N,가맹점정보!P$4)</f>
        <v>0</v>
      </c>
      <c r="Q593" s="80" t="n">
        <f aca="false">COUNTIFS(임대자산!$I:$I,가맹점정보!F593,임대자산!$N:$N,가맹점정보!Q$4)</f>
        <v>1</v>
      </c>
      <c r="R593" s="81" t="n">
        <f aca="false">COUNTIFS(임대자산!$I:$I,가맹점정보!F593,임대자산!$N:$N,가맹점정보!R$4)</f>
        <v>0</v>
      </c>
      <c r="S593" s="82" t="n">
        <v>88000</v>
      </c>
      <c r="T593" s="83" t="n">
        <v>0</v>
      </c>
      <c r="U593" s="80" t="n">
        <f aca="false">SUM(S593:T593)</f>
        <v>88000</v>
      </c>
      <c r="V593" s="84" t="s">
        <v>12</v>
      </c>
      <c r="W593" s="80" t="e">
        <f aca="true">
IF(D593="폐업","폐업",
IF(V593="면제","면제",
IF(AND(V593="정상",COUNTIFS(OFFSET(Y593,0,COUNTA(Y593:AV593)-1,1,-4),"미납")&gt;=3),"장기미납",
IF(AND(V593="정상",OFFSET(Y593,0,COUNTA(Y593:AV593)-1)&gt;=U593),"정상",
IF(AND(V593="정상",OFFSET(Y593,0,COUNTA(Y593:AV593)-1)=0),"정상",
"계약서 미작성")))))</f>
        <v>#VALUE!</v>
      </c>
      <c r="X593" s="81" t="str">
        <f aca="true">
IF(D593="폐업","폐업",
IF(AND(V593="정상",OFFSET(Y593,0,COUNTA(Y593:AV593)-1)="미납"),"미납",
IF(AND(V593="정상",OFFSET(Y593,0,COUNTA(Y593:AV593)-1)=0),"납부 시작 전",
IF(AND(V593="정상",OFFSET(Y593,0,COUNTA(Y593:AV593)-1)&gt;=U593),"정상",
IF(AND(V593="면제",OFFSET(Y593,0,COUNTA(Y593:AV593)-1)="면제"),"면제",
IF(AND(V593="면제",OFFSET(Y593,0,COUNTA(Y593:AV593)-1)=0),"면제",
"확인요청"))))))</f>
        <v>정상</v>
      </c>
      <c r="Y593" s="93" t="n">
        <v>88000</v>
      </c>
      <c r="Z593" s="90" t="n">
        <v>88000</v>
      </c>
      <c r="AA593" s="90" t="n">
        <v>88000</v>
      </c>
      <c r="AB593" s="90" t="n">
        <v>88000</v>
      </c>
      <c r="AC593" s="90" t="n">
        <v>88000</v>
      </c>
      <c r="AD593" s="90" t="n">
        <v>88000</v>
      </c>
      <c r="AE593" s="90" t="n">
        <v>88000</v>
      </c>
      <c r="AF593" s="90" t="n">
        <v>88000</v>
      </c>
      <c r="AG593" s="90" t="n">
        <v>88000</v>
      </c>
      <c r="AH593" s="90" t="n">
        <v>88000</v>
      </c>
      <c r="AI593" s="90" t="n">
        <v>88000</v>
      </c>
      <c r="AJ593" s="91" t="n">
        <v>88000</v>
      </c>
      <c r="AK593" s="89" t="n">
        <v>88000</v>
      </c>
      <c r="AL593" s="90" t="n">
        <v>88000</v>
      </c>
      <c r="AM593" s="90"/>
      <c r="AN593" s="90"/>
      <c r="AO593" s="90"/>
      <c r="AP593" s="90"/>
      <c r="AQ593" s="90"/>
      <c r="AR593" s="90"/>
      <c r="AS593" s="90"/>
      <c r="AT593" s="90"/>
      <c r="AU593" s="90"/>
      <c r="AV593" s="91"/>
      <c r="AX593" s="92"/>
    </row>
    <row r="594" customFormat="false" ht="15.65" hidden="false" customHeight="false" outlineLevel="0" collapsed="false">
      <c r="C594" s="72" t="n">
        <f aca="false">COUNTIFS($D$6:D594,"&lt;&gt;"&amp;"")</f>
        <v>589</v>
      </c>
      <c r="D594" s="73" t="s">
        <v>12</v>
      </c>
      <c r="E594" s="76" t="str">
        <f aca="false">
IF($D594="정상",INDEX(임대자산!$D$3:$R$3000,MATCH($F594,임대자산!$I$3:$I$3000,0),MATCH(E$3,임대자산!$D$3:$R$3,0)),
IF($D594="폐업",INDEX(폐업정보!$D$3:$R$3000,MATCH($F594,폐업정보!$I$3:$I$3000,0),MATCH(E$3,폐업정보!$D$3:$R$3,0)),
"Error"))</f>
        <v>강원</v>
      </c>
      <c r="F59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B0589</v>
      </c>
      <c r="G594" s="76" t="str">
        <f aca="false">F594&amp;RANDBETWEEN(0,10)</f>
        <v>B05892</v>
      </c>
      <c r="H594" s="75" t="n">
        <f aca="false">
IF($D594="정상",INDEX(임대자산!$D$3:$R$3000,MATCH($F594,임대자산!$I$3:$I$3000,0),MATCH(H$4,임대자산!$D$3:$R$3,0)),
IF($D594="폐업",INDEX(폐업정보!$D$3:$R$3000,MATCH($F594,폐업정보!$I$3:$I$3000,0),MATCH(H$4,폐업정보!$D$3:$R$3,0)),
"Error"))</f>
        <v>43676</v>
      </c>
      <c r="I594" s="75" t="str">
        <f aca="false">
IF($D594="정상",INDEX(임대자산!$D$3:$R$3000,MATCH($F594,임대자산!$I$3:$I$3000,0),MATCH(I$4,임대자산!$D$3:$R$3,0)),
IF($D594="폐업",INDEX(폐업정보!$D$3:$R$3000,MATCH($F594,폐업정보!$I$3:$I$3000,0),MATCH(I$4,폐업정보!$D$3:$R$3,0)),
"Error"))</f>
        <v>A0589</v>
      </c>
      <c r="J594" s="75" t="str">
        <f aca="false">
IF($D594="정상",INDEX(임대자산!$D$3:$R$3000,MATCH($F594,임대자산!$I$3:$I$3000,0),MATCH(J$4,임대자산!$D$3:$R$3,0)),
IF($D594="폐업",INDEX(폐업정보!$D$3:$R$3000,MATCH($F594,폐업정보!$I$3:$I$3000,0),MATCH(J$4,폐업정보!$D$3:$R$3,0)),
"Error"))</f>
        <v>5672200000</v>
      </c>
      <c r="K594" s="75" t="str">
        <f aca="false">
IF($D594="정상",INDEX(임대자산!$D$3:$R$3000,MATCH($F594,임대자산!$I$3:$I$3000,0),MATCH(K$4,임대자산!$D$3:$R$3,0)),
IF($D594="폐업",INDEX(폐업정보!$D$3:$R$3000,MATCH($F594,폐업정보!$I$3:$I$3000,0),MATCH(K$4,폐업정보!$D$3:$R$3,0)),
"Error"))</f>
        <v>C0589</v>
      </c>
      <c r="L594" s="75" t="str">
        <f aca="false">
IF($D594="정상",INDEX(임대자산!$D$3:$R$3000,MATCH($F594,임대자산!$I$3:$I$3000,0),MATCH(L$4,임대자산!$D$3:$R$3,0)),
IF($D594="폐업",INDEX(폐업정보!$D$3:$R$3000,MATCH($F594,폐업정보!$I$3:$I$3000,0),MATCH(L$4,폐업정보!$D$3:$R$3,0)),
"Error"))</f>
        <v>D0589</v>
      </c>
      <c r="M594" s="76" t="s">
        <v>96</v>
      </c>
      <c r="N594" s="77"/>
      <c r="O594" s="78" t="s">
        <v>97</v>
      </c>
      <c r="P594" s="79" t="n">
        <f aca="false">COUNTIFS(임대자산!$I:$I,가맹점정보!F594,임대자산!$N:$N,가맹점정보!P$4)</f>
        <v>0</v>
      </c>
      <c r="Q594" s="80" t="n">
        <f aca="false">COUNTIFS(임대자산!$I:$I,가맹점정보!F594,임대자산!$N:$N,가맹점정보!Q$4)</f>
        <v>1</v>
      </c>
      <c r="R594" s="81" t="n">
        <f aca="false">COUNTIFS(임대자산!$I:$I,가맹점정보!F594,임대자산!$N:$N,가맹점정보!R$4)</f>
        <v>0</v>
      </c>
      <c r="S594" s="82" t="n">
        <v>55000</v>
      </c>
      <c r="T594" s="83" t="n">
        <v>0</v>
      </c>
      <c r="U594" s="80" t="n">
        <f aca="false">SUM(S594:T594)</f>
        <v>55000</v>
      </c>
      <c r="V594" s="84" t="s">
        <v>12</v>
      </c>
      <c r="W594" s="80" t="e">
        <f aca="true">
IF(D594="폐업","폐업",
IF(V594="면제","면제",
IF(AND(V594="정상",COUNTIFS(OFFSET(Y594,0,COUNTA(Y594:AV594)-1,1,-4),"미납")&gt;=3),"장기미납",
IF(AND(V594="정상",OFFSET(Y594,0,COUNTA(Y594:AV594)-1)&gt;=U594),"정상",
IF(AND(V594="정상",OFFSET(Y594,0,COUNTA(Y594:AV594)-1)=0),"정상",
"계약서 미작성")))))</f>
        <v>#VALUE!</v>
      </c>
      <c r="X594" s="81" t="str">
        <f aca="true">
IF(D594="폐업","폐업",
IF(AND(V594="정상",OFFSET(Y594,0,COUNTA(Y594:AV594)-1)="미납"),"미납",
IF(AND(V594="정상",OFFSET(Y594,0,COUNTA(Y594:AV594)-1)=0),"납부 시작 전",
IF(AND(V594="정상",OFFSET(Y594,0,COUNTA(Y594:AV594)-1)&gt;=U594),"정상",
IF(AND(V594="면제",OFFSET(Y594,0,COUNTA(Y594:AV594)-1)="면제"),"면제",
IF(AND(V594="면제",OFFSET(Y594,0,COUNTA(Y594:AV594)-1)=0),"면제",
"확인요청"))))))</f>
        <v>정상</v>
      </c>
      <c r="Y594" s="93" t="n">
        <v>55000</v>
      </c>
      <c r="Z594" s="90" t="n">
        <v>55000</v>
      </c>
      <c r="AA594" s="90" t="n">
        <v>55000</v>
      </c>
      <c r="AB594" s="90" t="n">
        <v>55000</v>
      </c>
      <c r="AC594" s="90" t="n">
        <v>55000</v>
      </c>
      <c r="AD594" s="90" t="n">
        <v>55000</v>
      </c>
      <c r="AE594" s="90" t="n">
        <v>55000</v>
      </c>
      <c r="AF594" s="90" t="n">
        <v>55000</v>
      </c>
      <c r="AG594" s="90" t="n">
        <v>55000</v>
      </c>
      <c r="AH594" s="90" t="n">
        <v>55000</v>
      </c>
      <c r="AI594" s="90" t="n">
        <v>55000</v>
      </c>
      <c r="AJ594" s="91" t="n">
        <v>55000</v>
      </c>
      <c r="AK594" s="89" t="n">
        <v>55000</v>
      </c>
      <c r="AL594" s="90" t="n">
        <v>55000</v>
      </c>
      <c r="AM594" s="90"/>
      <c r="AN594" s="90"/>
      <c r="AO594" s="90"/>
      <c r="AP594" s="90"/>
      <c r="AQ594" s="90"/>
      <c r="AR594" s="90"/>
      <c r="AS594" s="90"/>
      <c r="AT594" s="90"/>
      <c r="AU594" s="90"/>
      <c r="AV594" s="91"/>
      <c r="AX594" s="92"/>
    </row>
    <row r="595" customFormat="false" ht="15.65" hidden="false" customHeight="false" outlineLevel="0" collapsed="false">
      <c r="C595" s="72" t="n">
        <f aca="false">COUNTIFS($D$6:D595,"&lt;&gt;"&amp;"")</f>
        <v>590</v>
      </c>
      <c r="D595" s="73" t="s">
        <v>12</v>
      </c>
      <c r="E595" s="76" t="str">
        <f aca="false">
IF($D595="정상",INDEX(임대자산!$D$3:$R$3000,MATCH($F595,임대자산!$I$3:$I$3000,0),MATCH(E$3,임대자산!$D$3:$R$3,0)),
IF($D595="폐업",INDEX(폐업정보!$D$3:$R$3000,MATCH($F595,폐업정보!$I$3:$I$3000,0),MATCH(E$3,폐업정보!$D$3:$R$3,0)),
"Error"))</f>
        <v>경기</v>
      </c>
      <c r="F59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B0590</v>
      </c>
      <c r="G595" s="76" t="str">
        <f aca="false">F595&amp;RANDBETWEEN(0,10)</f>
        <v>B05908</v>
      </c>
      <c r="H595" s="75" t="n">
        <f aca="false">
IF($D595="정상",INDEX(임대자산!$D$3:$R$3000,MATCH($F595,임대자산!$I$3:$I$3000,0),MATCH(H$4,임대자산!$D$3:$R$3,0)),
IF($D595="폐업",INDEX(폐업정보!$D$3:$R$3000,MATCH($F595,폐업정보!$I$3:$I$3000,0),MATCH(H$4,폐업정보!$D$3:$R$3,0)),
"Error"))</f>
        <v>43698</v>
      </c>
      <c r="I595" s="75" t="str">
        <f aca="false">
IF($D595="정상",INDEX(임대자산!$D$3:$R$3000,MATCH($F595,임대자산!$I$3:$I$3000,0),MATCH(I$4,임대자산!$D$3:$R$3,0)),
IF($D595="폐업",INDEX(폐업정보!$D$3:$R$3000,MATCH($F595,폐업정보!$I$3:$I$3000,0),MATCH(I$4,폐업정보!$D$3:$R$3,0)),
"Error"))</f>
        <v>A0590</v>
      </c>
      <c r="J595" s="75" t="str">
        <f aca="false">
IF($D595="정상",INDEX(임대자산!$D$3:$R$3000,MATCH($F595,임대자산!$I$3:$I$3000,0),MATCH(J$4,임대자산!$D$3:$R$3,0)),
IF($D595="폐업",INDEX(폐업정보!$D$3:$R$3000,MATCH($F595,폐업정보!$I$3:$I$3000,0),MATCH(J$4,폐업정보!$D$3:$R$3,0)),
"Error"))</f>
        <v>1829500000</v>
      </c>
      <c r="K595" s="75" t="str">
        <f aca="false">
IF($D595="정상",INDEX(임대자산!$D$3:$R$3000,MATCH($F595,임대자산!$I$3:$I$3000,0),MATCH(K$4,임대자산!$D$3:$R$3,0)),
IF($D595="폐업",INDEX(폐업정보!$D$3:$R$3000,MATCH($F595,폐업정보!$I$3:$I$3000,0),MATCH(K$4,폐업정보!$D$3:$R$3,0)),
"Error"))</f>
        <v>C0590</v>
      </c>
      <c r="L595" s="75" t="str">
        <f aca="false">
IF($D595="정상",INDEX(임대자산!$D$3:$R$3000,MATCH($F595,임대자산!$I$3:$I$3000,0),MATCH(L$4,임대자산!$D$3:$R$3,0)),
IF($D595="폐업",INDEX(폐업정보!$D$3:$R$3000,MATCH($F595,폐업정보!$I$3:$I$3000,0),MATCH(L$4,폐업정보!$D$3:$R$3,0)),
"Error"))</f>
        <v>D0590</v>
      </c>
      <c r="M595" s="76" t="s">
        <v>96</v>
      </c>
      <c r="N595" s="77"/>
      <c r="O595" s="78" t="s">
        <v>97</v>
      </c>
      <c r="P595" s="79" t="n">
        <f aca="false">COUNTIFS(임대자산!$I:$I,가맹점정보!F595,임대자산!$N:$N,가맹점정보!P$4)</f>
        <v>0</v>
      </c>
      <c r="Q595" s="80" t="n">
        <f aca="false">COUNTIFS(임대자산!$I:$I,가맹점정보!F595,임대자산!$N:$N,가맹점정보!Q$4)</f>
        <v>1</v>
      </c>
      <c r="R595" s="81" t="n">
        <f aca="false">COUNTIFS(임대자산!$I:$I,가맹점정보!F595,임대자산!$N:$N,가맹점정보!R$4)</f>
        <v>0</v>
      </c>
      <c r="S595" s="82" t="n">
        <v>55000</v>
      </c>
      <c r="T595" s="83" t="n">
        <v>0</v>
      </c>
      <c r="U595" s="80" t="n">
        <f aca="false">SUM(S595:T595)</f>
        <v>55000</v>
      </c>
      <c r="V595" s="84" t="s">
        <v>12</v>
      </c>
      <c r="W595" s="80" t="e">
        <f aca="true">
IF(D595="폐업","폐업",
IF(V595="면제","면제",
IF(AND(V595="정상",COUNTIFS(OFFSET(Y595,0,COUNTA(Y595:AV595)-1,1,-4),"미납")&gt;=3),"장기미납",
IF(AND(V595="정상",OFFSET(Y595,0,COUNTA(Y595:AV595)-1)&gt;=U595),"정상",
IF(AND(V595="정상",OFFSET(Y595,0,COUNTA(Y595:AV595)-1)=0),"정상",
"계약서 미작성")))))</f>
        <v>#VALUE!</v>
      </c>
      <c r="X595" s="81" t="str">
        <f aca="true">
IF(D595="폐업","폐업",
IF(AND(V595="정상",OFFSET(Y595,0,COUNTA(Y595:AV595)-1)="미납"),"미납",
IF(AND(V595="정상",OFFSET(Y595,0,COUNTA(Y595:AV595)-1)=0),"납부 시작 전",
IF(AND(V595="정상",OFFSET(Y595,0,COUNTA(Y595:AV595)-1)&gt;=U595),"정상",
IF(AND(V595="면제",OFFSET(Y595,0,COUNTA(Y595:AV595)-1)="면제"),"면제",
IF(AND(V595="면제",OFFSET(Y595,0,COUNTA(Y595:AV595)-1)=0),"면제",
"확인요청"))))))</f>
        <v>정상</v>
      </c>
      <c r="Y595" s="93" t="n">
        <v>55000</v>
      </c>
      <c r="Z595" s="90" t="n">
        <v>55000</v>
      </c>
      <c r="AA595" s="90" t="n">
        <v>55000</v>
      </c>
      <c r="AB595" s="90" t="n">
        <v>55000</v>
      </c>
      <c r="AC595" s="90" t="n">
        <v>0</v>
      </c>
      <c r="AD595" s="95" t="s">
        <v>7</v>
      </c>
      <c r="AE595" s="95" t="s">
        <v>7</v>
      </c>
      <c r="AF595" s="90" t="n">
        <v>55000</v>
      </c>
      <c r="AG595" s="90" t="n">
        <v>55000</v>
      </c>
      <c r="AH595" s="90" t="n">
        <v>55000</v>
      </c>
      <c r="AI595" s="90" t="n">
        <v>55000</v>
      </c>
      <c r="AJ595" s="91" t="n">
        <v>55000</v>
      </c>
      <c r="AK595" s="89" t="n">
        <v>55000</v>
      </c>
      <c r="AL595" s="90" t="n">
        <v>55000</v>
      </c>
      <c r="AM595" s="90"/>
      <c r="AN595" s="90"/>
      <c r="AO595" s="90"/>
      <c r="AP595" s="90"/>
      <c r="AQ595" s="90"/>
      <c r="AR595" s="90"/>
      <c r="AS595" s="90"/>
      <c r="AT595" s="90"/>
      <c r="AU595" s="90"/>
      <c r="AV595" s="91"/>
      <c r="AX595" s="92"/>
    </row>
    <row r="596" customFormat="false" ht="15.65" hidden="false" customHeight="false" outlineLevel="0" collapsed="false">
      <c r="C596" s="72" t="n">
        <f aca="false">COUNTIFS($D$6:D596,"&lt;&gt;"&amp;"")</f>
        <v>591</v>
      </c>
      <c r="D596" s="73" t="s">
        <v>12</v>
      </c>
      <c r="E596" s="76" t="str">
        <f aca="false">
IF($D596="정상",INDEX(임대자산!$D$3:$R$3000,MATCH($F596,임대자산!$I$3:$I$3000,0),MATCH(E$3,임대자산!$D$3:$R$3,0)),
IF($D596="폐업",INDEX(폐업정보!$D$3:$R$3000,MATCH($F596,폐업정보!$I$3:$I$3000,0),MATCH(E$3,폐업정보!$D$3:$R$3,0)),
"Error"))</f>
        <v>서울</v>
      </c>
      <c r="F59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B0591</v>
      </c>
      <c r="G596" s="76" t="str">
        <f aca="false">F596&amp;RANDBETWEEN(0,10)</f>
        <v>B05917</v>
      </c>
      <c r="H596" s="75" t="n">
        <f aca="false">
IF($D596="정상",INDEX(임대자산!$D$3:$R$3000,MATCH($F596,임대자산!$I$3:$I$3000,0),MATCH(H$4,임대자산!$D$3:$R$3,0)),
IF($D596="폐업",INDEX(폐업정보!$D$3:$R$3000,MATCH($F596,폐업정보!$I$3:$I$3000,0),MATCH(H$4,폐업정보!$D$3:$R$3,0)),
"Error"))</f>
        <v>45236</v>
      </c>
      <c r="I596" s="75" t="str">
        <f aca="false">
IF($D596="정상",INDEX(임대자산!$D$3:$R$3000,MATCH($F596,임대자산!$I$3:$I$3000,0),MATCH(I$4,임대자산!$D$3:$R$3,0)),
IF($D596="폐업",INDEX(폐업정보!$D$3:$R$3000,MATCH($F596,폐업정보!$I$3:$I$3000,0),MATCH(I$4,폐업정보!$D$3:$R$3,0)),
"Error"))</f>
        <v>A0591</v>
      </c>
      <c r="J596" s="75" t="str">
        <f aca="false">
IF($D596="정상",INDEX(임대자산!$D$3:$R$3000,MATCH($F596,임대자산!$I$3:$I$3000,0),MATCH(J$4,임대자산!$D$3:$R$3,0)),
IF($D596="폐업",INDEX(폐업정보!$D$3:$R$3000,MATCH($F596,폐업정보!$I$3:$I$3000,0),MATCH(J$4,폐업정보!$D$3:$R$3,0)),
"Error"))</f>
        <v>2715500000</v>
      </c>
      <c r="K596" s="75" t="str">
        <f aca="false">
IF($D596="정상",INDEX(임대자산!$D$3:$R$3000,MATCH($F596,임대자산!$I$3:$I$3000,0),MATCH(K$4,임대자산!$D$3:$R$3,0)),
IF($D596="폐업",INDEX(폐업정보!$D$3:$R$3000,MATCH($F596,폐업정보!$I$3:$I$3000,0),MATCH(K$4,폐업정보!$D$3:$R$3,0)),
"Error"))</f>
        <v>C0591</v>
      </c>
      <c r="L596" s="75" t="str">
        <f aca="false">
IF($D596="정상",INDEX(임대자산!$D$3:$R$3000,MATCH($F596,임대자산!$I$3:$I$3000,0),MATCH(L$4,임대자산!$D$3:$R$3,0)),
IF($D596="폐업",INDEX(폐업정보!$D$3:$R$3000,MATCH($F596,폐업정보!$I$3:$I$3000,0),MATCH(L$4,폐업정보!$D$3:$R$3,0)),
"Error"))</f>
        <v>D0591</v>
      </c>
      <c r="M596" s="76" t="s">
        <v>96</v>
      </c>
      <c r="N596" s="77"/>
      <c r="O596" s="78" t="s">
        <v>97</v>
      </c>
      <c r="P596" s="79" t="n">
        <f aca="false">COUNTIFS(임대자산!$I:$I,가맹점정보!F596,임대자산!$N:$N,가맹점정보!P$4)</f>
        <v>0</v>
      </c>
      <c r="Q596" s="80" t="n">
        <f aca="false">COUNTIFS(임대자산!$I:$I,가맹점정보!F596,임대자산!$N:$N,가맹점정보!Q$4)</f>
        <v>1</v>
      </c>
      <c r="R596" s="81" t="n">
        <f aca="false">COUNTIFS(임대자산!$I:$I,가맹점정보!F596,임대자산!$N:$N,가맹점정보!R$4)</f>
        <v>0</v>
      </c>
      <c r="S596" s="82" t="n">
        <v>55000</v>
      </c>
      <c r="T596" s="83" t="n">
        <v>0</v>
      </c>
      <c r="U596" s="80" t="n">
        <f aca="false">SUM(S596:T596)</f>
        <v>55000</v>
      </c>
      <c r="V596" s="84" t="s">
        <v>12</v>
      </c>
      <c r="W596" s="80" t="e">
        <f aca="true">
IF(D596="폐업","폐업",
IF(V596="면제","면제",
IF(AND(V596="정상",COUNTIFS(OFFSET(Y596,0,COUNTA(Y596:AV596)-1,1,-4),"미납")&gt;=3),"장기미납",
IF(AND(V596="정상",OFFSET(Y596,0,COUNTA(Y596:AV596)-1)&gt;=U596),"정상",
IF(AND(V596="정상",OFFSET(Y596,0,COUNTA(Y596:AV596)-1)=0),"정상",
"계약서 미작성")))))</f>
        <v>#VALUE!</v>
      </c>
      <c r="X596" s="81" t="str">
        <f aca="true">
IF(D596="폐업","폐업",
IF(AND(V596="정상",OFFSET(Y596,0,COUNTA(Y596:AV596)-1)="미납"),"미납",
IF(AND(V596="정상",OFFSET(Y596,0,COUNTA(Y596:AV596)-1)=0),"납부 시작 전",
IF(AND(V596="정상",OFFSET(Y596,0,COUNTA(Y596:AV596)-1)&gt;=U596),"정상",
IF(AND(V596="면제",OFFSET(Y596,0,COUNTA(Y596:AV596)-1)="면제"),"면제",
IF(AND(V596="면제",OFFSET(Y596,0,COUNTA(Y596:AV596)-1)=0),"면제",
"확인요청"))))))</f>
        <v>미납</v>
      </c>
      <c r="Y596" s="93" t="n">
        <v>55000</v>
      </c>
      <c r="Z596" s="90" t="n">
        <v>55000</v>
      </c>
      <c r="AA596" s="90" t="n">
        <v>55000</v>
      </c>
      <c r="AB596" s="90" t="n">
        <v>55000</v>
      </c>
      <c r="AC596" s="90" t="n">
        <v>55000</v>
      </c>
      <c r="AD596" s="90" t="n">
        <v>55000</v>
      </c>
      <c r="AE596" s="90" t="s">
        <v>102</v>
      </c>
      <c r="AF596" s="90" t="n">
        <v>110000</v>
      </c>
      <c r="AG596" s="90" t="n">
        <v>55000</v>
      </c>
      <c r="AH596" s="90" t="n">
        <v>55000</v>
      </c>
      <c r="AI596" s="90" t="n">
        <v>55000</v>
      </c>
      <c r="AJ596" s="91" t="n">
        <v>55000</v>
      </c>
      <c r="AK596" s="89" t="n">
        <v>55000</v>
      </c>
      <c r="AL596" s="95" t="s">
        <v>62</v>
      </c>
      <c r="AM596" s="90"/>
      <c r="AN596" s="90"/>
      <c r="AO596" s="90"/>
      <c r="AP596" s="90"/>
      <c r="AQ596" s="90"/>
      <c r="AR596" s="90"/>
      <c r="AS596" s="90"/>
      <c r="AT596" s="90"/>
      <c r="AU596" s="90"/>
      <c r="AV596" s="91"/>
      <c r="AX596" s="92"/>
    </row>
    <row r="597" customFormat="false" ht="15.65" hidden="false" customHeight="false" outlineLevel="0" collapsed="false">
      <c r="C597" s="72" t="n">
        <f aca="false">COUNTIFS($D$6:D597,"&lt;&gt;"&amp;"")</f>
        <v>592</v>
      </c>
      <c r="D597" s="73" t="s">
        <v>12</v>
      </c>
      <c r="E597" s="76" t="str">
        <f aca="false">
IF($D597="정상",INDEX(임대자산!$D$3:$R$3000,MATCH($F597,임대자산!$I$3:$I$3000,0),MATCH(E$3,임대자산!$D$3:$R$3,0)),
IF($D597="폐업",INDEX(폐업정보!$D$3:$R$3000,MATCH($F597,폐업정보!$I$3:$I$3000,0),MATCH(E$3,폐업정보!$D$3:$R$3,0)),
"Error"))</f>
        <v>강원</v>
      </c>
      <c r="F59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B0592</v>
      </c>
      <c r="G597" s="76" t="str">
        <f aca="false">F597&amp;RANDBETWEEN(0,10)</f>
        <v>B05923</v>
      </c>
      <c r="H597" s="75" t="n">
        <f aca="false">
IF($D597="정상",INDEX(임대자산!$D$3:$R$3000,MATCH($F597,임대자산!$I$3:$I$3000,0),MATCH(H$4,임대자산!$D$3:$R$3,0)),
IF($D597="폐업",INDEX(폐업정보!$D$3:$R$3000,MATCH($F597,폐업정보!$I$3:$I$3000,0),MATCH(H$4,폐업정보!$D$3:$R$3,0)),
"Error"))</f>
        <v>43705</v>
      </c>
      <c r="I597" s="75" t="str">
        <f aca="false">
IF($D597="정상",INDEX(임대자산!$D$3:$R$3000,MATCH($F597,임대자산!$I$3:$I$3000,0),MATCH(I$4,임대자산!$D$3:$R$3,0)),
IF($D597="폐업",INDEX(폐업정보!$D$3:$R$3000,MATCH($F597,폐업정보!$I$3:$I$3000,0),MATCH(I$4,폐업정보!$D$3:$R$3,0)),
"Error"))</f>
        <v>A0592</v>
      </c>
      <c r="J597" s="75" t="str">
        <f aca="false">
IF($D597="정상",INDEX(임대자산!$D$3:$R$3000,MATCH($F597,임대자산!$I$3:$I$3000,0),MATCH(J$4,임대자산!$D$3:$R$3,0)),
IF($D597="폐업",INDEX(폐업정보!$D$3:$R$3000,MATCH($F597,폐업정보!$I$3:$I$3000,0),MATCH(J$4,폐업정보!$D$3:$R$3,0)),
"Error"))</f>
        <v>4858900000</v>
      </c>
      <c r="K597" s="75" t="str">
        <f aca="false">
IF($D597="정상",INDEX(임대자산!$D$3:$R$3000,MATCH($F597,임대자산!$I$3:$I$3000,0),MATCH(K$4,임대자산!$D$3:$R$3,0)),
IF($D597="폐업",INDEX(폐업정보!$D$3:$R$3000,MATCH($F597,폐업정보!$I$3:$I$3000,0),MATCH(K$4,폐업정보!$D$3:$R$3,0)),
"Error"))</f>
        <v>C0592</v>
      </c>
      <c r="L597" s="75" t="str">
        <f aca="false">
IF($D597="정상",INDEX(임대자산!$D$3:$R$3000,MATCH($F597,임대자산!$I$3:$I$3000,0),MATCH(L$4,임대자산!$D$3:$R$3,0)),
IF($D597="폐업",INDEX(폐업정보!$D$3:$R$3000,MATCH($F597,폐업정보!$I$3:$I$3000,0),MATCH(L$4,폐업정보!$D$3:$R$3,0)),
"Error"))</f>
        <v>D0592</v>
      </c>
      <c r="M597" s="76" t="s">
        <v>96</v>
      </c>
      <c r="N597" s="77"/>
      <c r="O597" s="78" t="s">
        <v>97</v>
      </c>
      <c r="P597" s="79" t="n">
        <f aca="false">COUNTIFS(임대자산!$I:$I,가맹점정보!F597,임대자산!$N:$N,가맹점정보!P$4)</f>
        <v>0</v>
      </c>
      <c r="Q597" s="80" t="n">
        <f aca="false">COUNTIFS(임대자산!$I:$I,가맹점정보!F597,임대자산!$N:$N,가맹점정보!Q$4)</f>
        <v>1</v>
      </c>
      <c r="R597" s="81" t="n">
        <f aca="false">COUNTIFS(임대자산!$I:$I,가맹점정보!F597,임대자산!$N:$N,가맹점정보!R$4)</f>
        <v>0</v>
      </c>
      <c r="S597" s="82" t="n">
        <v>55000</v>
      </c>
      <c r="T597" s="83" t="n">
        <v>0</v>
      </c>
      <c r="U597" s="80" t="n">
        <f aca="false">SUM(S597:T597)</f>
        <v>55000</v>
      </c>
      <c r="V597" s="84" t="s">
        <v>12</v>
      </c>
      <c r="W597" s="80" t="e">
        <f aca="true">
IF(D597="폐업","폐업",
IF(V597="면제","면제",
IF(AND(V597="정상",COUNTIFS(OFFSET(Y597,0,COUNTA(Y597:AV597)-1,1,-4),"미납")&gt;=3),"장기미납",
IF(AND(V597="정상",OFFSET(Y597,0,COUNTA(Y597:AV597)-1)&gt;=U597),"정상",
IF(AND(V597="정상",OFFSET(Y597,0,COUNTA(Y597:AV597)-1)=0),"정상",
"계약서 미작성")))))</f>
        <v>#VALUE!</v>
      </c>
      <c r="X597" s="81" t="str">
        <f aca="true">
IF(D597="폐업","폐업",
IF(AND(V597="정상",OFFSET(Y597,0,COUNTA(Y597:AV597)-1)="미납"),"미납",
IF(AND(V597="정상",OFFSET(Y597,0,COUNTA(Y597:AV597)-1)=0),"납부 시작 전",
IF(AND(V597="정상",OFFSET(Y597,0,COUNTA(Y597:AV597)-1)&gt;=U597),"정상",
IF(AND(V597="면제",OFFSET(Y597,0,COUNTA(Y597:AV597)-1)="면제"),"면제",
IF(AND(V597="면제",OFFSET(Y597,0,COUNTA(Y597:AV597)-1)=0),"면제",
"확인요청"))))))</f>
        <v>정상</v>
      </c>
      <c r="Y597" s="93" t="n">
        <v>55000</v>
      </c>
      <c r="Z597" s="90" t="n">
        <v>55000</v>
      </c>
      <c r="AA597" s="90" t="n">
        <v>55000</v>
      </c>
      <c r="AB597" s="90" t="n">
        <v>55000</v>
      </c>
      <c r="AC597" s="90" t="n">
        <v>55000</v>
      </c>
      <c r="AD597" s="90" t="n">
        <v>55000</v>
      </c>
      <c r="AE597" s="90" t="n">
        <v>55000</v>
      </c>
      <c r="AF597" s="90" t="n">
        <v>55000</v>
      </c>
      <c r="AG597" s="90" t="n">
        <v>55000</v>
      </c>
      <c r="AH597" s="90" t="n">
        <v>55000</v>
      </c>
      <c r="AI597" s="90" t="n">
        <v>55000</v>
      </c>
      <c r="AJ597" s="91" t="n">
        <v>55000</v>
      </c>
      <c r="AK597" s="89" t="n">
        <v>55000</v>
      </c>
      <c r="AL597" s="90" t="n">
        <v>55000</v>
      </c>
      <c r="AM597" s="90"/>
      <c r="AN597" s="90"/>
      <c r="AO597" s="90"/>
      <c r="AP597" s="90"/>
      <c r="AQ597" s="90"/>
      <c r="AR597" s="90"/>
      <c r="AS597" s="90"/>
      <c r="AT597" s="90"/>
      <c r="AU597" s="90"/>
      <c r="AV597" s="91"/>
      <c r="AX597" s="92"/>
    </row>
    <row r="598" customFormat="false" ht="15.65" hidden="false" customHeight="false" outlineLevel="0" collapsed="false">
      <c r="C598" s="72" t="n">
        <f aca="false">COUNTIFS($D$6:D598,"&lt;&gt;"&amp;"")</f>
        <v>593</v>
      </c>
      <c r="D598" s="73" t="s">
        <v>12</v>
      </c>
      <c r="E598" s="76" t="str">
        <f aca="false">
IF($D598="정상",INDEX(임대자산!$D$3:$R$3000,MATCH($F598,임대자산!$I$3:$I$3000,0),MATCH(E$3,임대자산!$D$3:$R$3,0)),
IF($D598="폐업",INDEX(폐업정보!$D$3:$R$3000,MATCH($F598,폐업정보!$I$3:$I$3000,0),MATCH(E$3,폐업정보!$D$3:$R$3,0)),
"Error"))</f>
        <v>서울</v>
      </c>
      <c r="F59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B0593</v>
      </c>
      <c r="G598" s="76" t="str">
        <f aca="false">F598&amp;RANDBETWEEN(0,10)</f>
        <v>B05932</v>
      </c>
      <c r="H598" s="75" t="n">
        <f aca="false">
IF($D598="정상",INDEX(임대자산!$D$3:$R$3000,MATCH($F598,임대자산!$I$3:$I$3000,0),MATCH(H$4,임대자산!$D$3:$R$3,0)),
IF($D598="폐업",INDEX(폐업정보!$D$3:$R$3000,MATCH($F598,폐업정보!$I$3:$I$3000,0),MATCH(H$4,폐업정보!$D$3:$R$3,0)),
"Error"))</f>
        <v>43753</v>
      </c>
      <c r="I598" s="75" t="str">
        <f aca="false">
IF($D598="정상",INDEX(임대자산!$D$3:$R$3000,MATCH($F598,임대자산!$I$3:$I$3000,0),MATCH(I$4,임대자산!$D$3:$R$3,0)),
IF($D598="폐업",INDEX(폐업정보!$D$3:$R$3000,MATCH($F598,폐업정보!$I$3:$I$3000,0),MATCH(I$4,폐업정보!$D$3:$R$3,0)),
"Error"))</f>
        <v>A0593</v>
      </c>
      <c r="J598" s="75" t="str">
        <f aca="false">
IF($D598="정상",INDEX(임대자산!$D$3:$R$3000,MATCH($F598,임대자산!$I$3:$I$3000,0),MATCH(J$4,임대자산!$D$3:$R$3,0)),
IF($D598="폐업",INDEX(폐업정보!$D$3:$R$3000,MATCH($F598,폐업정보!$I$3:$I$3000,0),MATCH(J$4,폐업정보!$D$3:$R$3,0)),
"Error"))</f>
        <v>4400300000</v>
      </c>
      <c r="K598" s="75" t="str">
        <f aca="false">
IF($D598="정상",INDEX(임대자산!$D$3:$R$3000,MATCH($F598,임대자산!$I$3:$I$3000,0),MATCH(K$4,임대자산!$D$3:$R$3,0)),
IF($D598="폐업",INDEX(폐업정보!$D$3:$R$3000,MATCH($F598,폐업정보!$I$3:$I$3000,0),MATCH(K$4,폐업정보!$D$3:$R$3,0)),
"Error"))</f>
        <v>C0593</v>
      </c>
      <c r="L598" s="75" t="str">
        <f aca="false">
IF($D598="정상",INDEX(임대자산!$D$3:$R$3000,MATCH($F598,임대자산!$I$3:$I$3000,0),MATCH(L$4,임대자산!$D$3:$R$3,0)),
IF($D598="폐업",INDEX(폐업정보!$D$3:$R$3000,MATCH($F598,폐업정보!$I$3:$I$3000,0),MATCH(L$4,폐업정보!$D$3:$R$3,0)),
"Error"))</f>
        <v>D0593</v>
      </c>
      <c r="M598" s="76" t="s">
        <v>96</v>
      </c>
      <c r="N598" s="77"/>
      <c r="O598" s="78" t="s">
        <v>97</v>
      </c>
      <c r="P598" s="79" t="n">
        <f aca="false">COUNTIFS(임대자산!$I:$I,가맹점정보!F598,임대자산!$N:$N,가맹점정보!P$4)</f>
        <v>0</v>
      </c>
      <c r="Q598" s="80" t="n">
        <f aca="false">COUNTIFS(임대자산!$I:$I,가맹점정보!F598,임대자산!$N:$N,가맹점정보!Q$4)</f>
        <v>1</v>
      </c>
      <c r="R598" s="81" t="n">
        <f aca="false">COUNTIFS(임대자산!$I:$I,가맹점정보!F598,임대자산!$N:$N,가맹점정보!R$4)</f>
        <v>0</v>
      </c>
      <c r="S598" s="82" t="n">
        <v>55000</v>
      </c>
      <c r="T598" s="83" t="n">
        <v>0</v>
      </c>
      <c r="U598" s="80" t="n">
        <f aca="false">SUM(S598:T598)</f>
        <v>55000</v>
      </c>
      <c r="V598" s="84" t="s">
        <v>12</v>
      </c>
      <c r="W598" s="80" t="e">
        <f aca="true">
IF(D598="폐업","폐업",
IF(V598="면제","면제",
IF(AND(V598="정상",COUNTIFS(OFFSET(Y598,0,COUNTA(Y598:AV598)-1,1,-4),"미납")&gt;=3),"장기미납",
IF(AND(V598="정상",OFFSET(Y598,0,COUNTA(Y598:AV598)-1)&gt;=U598),"정상",
IF(AND(V598="정상",OFFSET(Y598,0,COUNTA(Y598:AV598)-1)=0),"정상",
"계약서 미작성")))))</f>
        <v>#VALUE!</v>
      </c>
      <c r="X598" s="81" t="str">
        <f aca="true">
IF(D598="폐업","폐업",
IF(AND(V598="정상",OFFSET(Y598,0,COUNTA(Y598:AV598)-1)="미납"),"미납",
IF(AND(V598="정상",OFFSET(Y598,0,COUNTA(Y598:AV598)-1)=0),"납부 시작 전",
IF(AND(V598="정상",OFFSET(Y598,0,COUNTA(Y598:AV598)-1)&gt;=U598),"정상",
IF(AND(V598="면제",OFFSET(Y598,0,COUNTA(Y598:AV598)-1)="면제"),"면제",
IF(AND(V598="면제",OFFSET(Y598,0,COUNTA(Y598:AV598)-1)=0),"면제",
"확인요청"))))))</f>
        <v>정상</v>
      </c>
      <c r="Y598" s="93" t="n">
        <v>55000</v>
      </c>
      <c r="Z598" s="90" t="n">
        <v>55000</v>
      </c>
      <c r="AA598" s="90" t="n">
        <v>55000</v>
      </c>
      <c r="AB598" s="90" t="n">
        <v>55000</v>
      </c>
      <c r="AC598" s="90" t="n">
        <v>55000</v>
      </c>
      <c r="AD598" s="90" t="n">
        <v>55000</v>
      </c>
      <c r="AE598" s="90" t="n">
        <v>55000</v>
      </c>
      <c r="AF598" s="90" t="n">
        <v>55000</v>
      </c>
      <c r="AG598" s="90" t="n">
        <v>55000</v>
      </c>
      <c r="AH598" s="90" t="n">
        <v>55000</v>
      </c>
      <c r="AI598" s="90" t="n">
        <v>55000</v>
      </c>
      <c r="AJ598" s="91" t="n">
        <v>55000</v>
      </c>
      <c r="AK598" s="89" t="n">
        <v>55000</v>
      </c>
      <c r="AL598" s="90" t="n">
        <v>55000</v>
      </c>
      <c r="AM598" s="90"/>
      <c r="AN598" s="90"/>
      <c r="AO598" s="90"/>
      <c r="AP598" s="90"/>
      <c r="AQ598" s="90"/>
      <c r="AR598" s="90"/>
      <c r="AS598" s="90"/>
      <c r="AT598" s="90"/>
      <c r="AU598" s="90"/>
      <c r="AV598" s="91"/>
      <c r="AX598" s="92"/>
    </row>
    <row r="599" customFormat="false" ht="15.65" hidden="false" customHeight="false" outlineLevel="0" collapsed="false">
      <c r="C599" s="72" t="n">
        <f aca="false">COUNTIFS($D$6:D599,"&lt;&gt;"&amp;"")</f>
        <v>594</v>
      </c>
      <c r="D599" s="73" t="s">
        <v>12</v>
      </c>
      <c r="E599" s="76" t="str">
        <f aca="false">
IF($D599="정상",INDEX(임대자산!$D$3:$R$3000,MATCH($F599,임대자산!$I$3:$I$3000,0),MATCH(E$3,임대자산!$D$3:$R$3,0)),
IF($D599="폐업",INDEX(폐업정보!$D$3:$R$3000,MATCH($F599,폐업정보!$I$3:$I$3000,0),MATCH(E$3,폐업정보!$D$3:$R$3,0)),
"Error"))</f>
        <v>서울</v>
      </c>
      <c r="F59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B0594</v>
      </c>
      <c r="G599" s="76" t="str">
        <f aca="false">F599&amp;RANDBETWEEN(0,10)</f>
        <v>B05946</v>
      </c>
      <c r="H599" s="75" t="n">
        <f aca="false">
IF($D599="정상",INDEX(임대자산!$D$3:$R$3000,MATCH($F599,임대자산!$I$3:$I$3000,0),MATCH(H$4,임대자산!$D$3:$R$3,0)),
IF($D599="폐업",INDEX(폐업정보!$D$3:$R$3000,MATCH($F599,폐업정보!$I$3:$I$3000,0),MATCH(H$4,폐업정보!$D$3:$R$3,0)),
"Error"))</f>
        <v>44880</v>
      </c>
      <c r="I599" s="75" t="str">
        <f aca="false">
IF($D599="정상",INDEX(임대자산!$D$3:$R$3000,MATCH($F599,임대자산!$I$3:$I$3000,0),MATCH(I$4,임대자산!$D$3:$R$3,0)),
IF($D599="폐업",INDEX(폐업정보!$D$3:$R$3000,MATCH($F599,폐업정보!$I$3:$I$3000,0),MATCH(I$4,폐업정보!$D$3:$R$3,0)),
"Error"))</f>
        <v>A0594</v>
      </c>
      <c r="J599" s="75" t="str">
        <f aca="false">
IF($D599="정상",INDEX(임대자산!$D$3:$R$3000,MATCH($F599,임대자산!$I$3:$I$3000,0),MATCH(J$4,임대자산!$D$3:$R$3,0)),
IF($D599="폐업",INDEX(폐업정보!$D$3:$R$3000,MATCH($F599,폐업정보!$I$3:$I$3000,0),MATCH(J$4,폐업정보!$D$3:$R$3,0)),
"Error"))</f>
        <v>4324500000</v>
      </c>
      <c r="K599" s="75" t="str">
        <f aca="false">
IF($D599="정상",INDEX(임대자산!$D$3:$R$3000,MATCH($F599,임대자산!$I$3:$I$3000,0),MATCH(K$4,임대자산!$D$3:$R$3,0)),
IF($D599="폐업",INDEX(폐업정보!$D$3:$R$3000,MATCH($F599,폐업정보!$I$3:$I$3000,0),MATCH(K$4,폐업정보!$D$3:$R$3,0)),
"Error"))</f>
        <v>C0594</v>
      </c>
      <c r="L599" s="75" t="str">
        <f aca="false">
IF($D599="정상",INDEX(임대자산!$D$3:$R$3000,MATCH($F599,임대자산!$I$3:$I$3000,0),MATCH(L$4,임대자산!$D$3:$R$3,0)),
IF($D599="폐업",INDEX(폐업정보!$D$3:$R$3000,MATCH($F599,폐업정보!$I$3:$I$3000,0),MATCH(L$4,폐업정보!$D$3:$R$3,0)),
"Error"))</f>
        <v>D0594</v>
      </c>
      <c r="M599" s="76" t="s">
        <v>96</v>
      </c>
      <c r="N599" s="77"/>
      <c r="O599" s="78" t="s">
        <v>97</v>
      </c>
      <c r="P599" s="79" t="n">
        <f aca="false">COUNTIFS(임대자산!$I:$I,가맹점정보!F599,임대자산!$N:$N,가맹점정보!P$4)</f>
        <v>0</v>
      </c>
      <c r="Q599" s="80" t="n">
        <f aca="false">COUNTIFS(임대자산!$I:$I,가맹점정보!F599,임대자산!$N:$N,가맹점정보!Q$4)</f>
        <v>1</v>
      </c>
      <c r="R599" s="81" t="n">
        <f aca="false">COUNTIFS(임대자산!$I:$I,가맹점정보!F599,임대자산!$N:$N,가맹점정보!R$4)</f>
        <v>0</v>
      </c>
      <c r="S599" s="82" t="n">
        <v>55000</v>
      </c>
      <c r="T599" s="83" t="n">
        <v>0</v>
      </c>
      <c r="U599" s="80" t="n">
        <f aca="false">SUM(S599:T599)</f>
        <v>55000</v>
      </c>
      <c r="V599" s="84" t="s">
        <v>12</v>
      </c>
      <c r="W599" s="80" t="e">
        <f aca="true">
IF(D599="폐업","폐업",
IF(V599="면제","면제",
IF(AND(V599="정상",COUNTIFS(OFFSET(Y599,0,COUNTA(Y599:AV599)-1,1,-4),"미납")&gt;=3),"장기미납",
IF(AND(V599="정상",OFFSET(Y599,0,COUNTA(Y599:AV599)-1)&gt;=U599),"정상",
IF(AND(V599="정상",OFFSET(Y599,0,COUNTA(Y599:AV599)-1)=0),"정상",
"계약서 미작성")))))</f>
        <v>#VALUE!</v>
      </c>
      <c r="X599" s="81" t="str">
        <f aca="true">
IF(D599="폐업","폐업",
IF(AND(V599="정상",OFFSET(Y599,0,COUNTA(Y599:AV599)-1)="미납"),"미납",
IF(AND(V599="정상",OFFSET(Y599,0,COUNTA(Y599:AV599)-1)=0),"납부 시작 전",
IF(AND(V599="정상",OFFSET(Y599,0,COUNTA(Y599:AV599)-1)&gt;=U599),"정상",
IF(AND(V599="면제",OFFSET(Y599,0,COUNTA(Y599:AV599)-1)="면제"),"면제",
IF(AND(V599="면제",OFFSET(Y599,0,COUNTA(Y599:AV599)-1)=0),"면제",
"확인요청"))))))</f>
        <v>정상</v>
      </c>
      <c r="Y599" s="93" t="n">
        <v>55000</v>
      </c>
      <c r="Z599" s="90" t="n">
        <v>55000</v>
      </c>
      <c r="AA599" s="90" t="n">
        <v>55000</v>
      </c>
      <c r="AB599" s="90" t="n">
        <v>55000</v>
      </c>
      <c r="AC599" s="90" t="n">
        <v>55000</v>
      </c>
      <c r="AD599" s="90" t="n">
        <v>55000</v>
      </c>
      <c r="AE599" s="90" t="n">
        <v>55000</v>
      </c>
      <c r="AF599" s="90" t="n">
        <v>55000</v>
      </c>
      <c r="AG599" s="90" t="n">
        <v>55000</v>
      </c>
      <c r="AH599" s="90" t="n">
        <v>55000</v>
      </c>
      <c r="AI599" s="90" t="n">
        <v>55000</v>
      </c>
      <c r="AJ599" s="91" t="n">
        <v>55000</v>
      </c>
      <c r="AK599" s="89" t="n">
        <v>55000</v>
      </c>
      <c r="AL599" s="90" t="n">
        <v>55000</v>
      </c>
      <c r="AM599" s="90"/>
      <c r="AN599" s="90"/>
      <c r="AO599" s="90"/>
      <c r="AP599" s="90"/>
      <c r="AQ599" s="90"/>
      <c r="AR599" s="90"/>
      <c r="AS599" s="90"/>
      <c r="AT599" s="90"/>
      <c r="AU599" s="90"/>
      <c r="AV599" s="91"/>
      <c r="AX599" s="92"/>
    </row>
    <row r="600" customFormat="false" ht="15.65" hidden="false" customHeight="false" outlineLevel="0" collapsed="false">
      <c r="C600" s="72" t="n">
        <f aca="false">COUNTIFS($D$6:D600,"&lt;&gt;"&amp;"")</f>
        <v>595</v>
      </c>
      <c r="D600" s="73" t="s">
        <v>12</v>
      </c>
      <c r="E600" s="76" t="str">
        <f aca="false">
IF($D600="정상",INDEX(임대자산!$D$3:$R$3000,MATCH($F600,임대자산!$I$3:$I$3000,0),MATCH(E$3,임대자산!$D$3:$R$3,0)),
IF($D600="폐업",INDEX(폐업정보!$D$3:$R$3000,MATCH($F600,폐업정보!$I$3:$I$3000,0),MATCH(E$3,폐업정보!$D$3:$R$3,0)),
"Error"))</f>
        <v>서울</v>
      </c>
      <c r="F60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B0595</v>
      </c>
      <c r="G600" s="76" t="str">
        <f aca="false">F600&amp;RANDBETWEEN(0,10)</f>
        <v>B05952</v>
      </c>
      <c r="H600" s="75" t="n">
        <f aca="false">
IF($D600="정상",INDEX(임대자산!$D$3:$R$3000,MATCH($F600,임대자산!$I$3:$I$3000,0),MATCH(H$4,임대자산!$D$3:$R$3,0)),
IF($D600="폐업",INDEX(폐업정보!$D$3:$R$3000,MATCH($F600,폐업정보!$I$3:$I$3000,0),MATCH(H$4,폐업정보!$D$3:$R$3,0)),
"Error"))</f>
        <v>45441</v>
      </c>
      <c r="I600" s="75" t="str">
        <f aca="false">
IF($D600="정상",INDEX(임대자산!$D$3:$R$3000,MATCH($F600,임대자산!$I$3:$I$3000,0),MATCH(I$4,임대자산!$D$3:$R$3,0)),
IF($D600="폐업",INDEX(폐업정보!$D$3:$R$3000,MATCH($F600,폐업정보!$I$3:$I$3000,0),MATCH(I$4,폐업정보!$D$3:$R$3,0)),
"Error"))</f>
        <v>A0595</v>
      </c>
      <c r="J600" s="75" t="str">
        <f aca="false">
IF($D600="정상",INDEX(임대자산!$D$3:$R$3000,MATCH($F600,임대자산!$I$3:$I$3000,0),MATCH(J$4,임대자산!$D$3:$R$3,0)),
IF($D600="폐업",INDEX(폐업정보!$D$3:$R$3000,MATCH($F600,폐업정보!$I$3:$I$3000,0),MATCH(J$4,폐업정보!$D$3:$R$3,0)),
"Error"))</f>
        <v>4797800000</v>
      </c>
      <c r="K600" s="75" t="str">
        <f aca="false">
IF($D600="정상",INDEX(임대자산!$D$3:$R$3000,MATCH($F600,임대자산!$I$3:$I$3000,0),MATCH(K$4,임대자산!$D$3:$R$3,0)),
IF($D600="폐업",INDEX(폐업정보!$D$3:$R$3000,MATCH($F600,폐업정보!$I$3:$I$3000,0),MATCH(K$4,폐업정보!$D$3:$R$3,0)),
"Error"))</f>
        <v>C0595</v>
      </c>
      <c r="L600" s="75" t="str">
        <f aca="false">
IF($D600="정상",INDEX(임대자산!$D$3:$R$3000,MATCH($F600,임대자산!$I$3:$I$3000,0),MATCH(L$4,임대자산!$D$3:$R$3,0)),
IF($D600="폐업",INDEX(폐업정보!$D$3:$R$3000,MATCH($F600,폐업정보!$I$3:$I$3000,0),MATCH(L$4,폐업정보!$D$3:$R$3,0)),
"Error"))</f>
        <v>D0595</v>
      </c>
      <c r="M600" s="76" t="s">
        <v>96</v>
      </c>
      <c r="N600" s="77"/>
      <c r="O600" s="78" t="s">
        <v>97</v>
      </c>
      <c r="P600" s="79" t="n">
        <f aca="false">COUNTIFS(임대자산!$I:$I,가맹점정보!F600,임대자산!$N:$N,가맹점정보!P$4)</f>
        <v>0</v>
      </c>
      <c r="Q600" s="80" t="n">
        <f aca="false">COUNTIFS(임대자산!$I:$I,가맹점정보!F600,임대자산!$N:$N,가맹점정보!Q$4)</f>
        <v>1</v>
      </c>
      <c r="R600" s="81" t="n">
        <f aca="false">COUNTIFS(임대자산!$I:$I,가맹점정보!F600,임대자산!$N:$N,가맹점정보!R$4)</f>
        <v>0</v>
      </c>
      <c r="S600" s="82" t="n">
        <v>55000</v>
      </c>
      <c r="T600" s="83" t="n">
        <v>0</v>
      </c>
      <c r="U600" s="80" t="n">
        <f aca="false">SUM(S600:T600)</f>
        <v>55000</v>
      </c>
      <c r="V600" s="84" t="s">
        <v>12</v>
      </c>
      <c r="W600" s="80" t="e">
        <f aca="true">
IF(D600="폐업","폐업",
IF(V600="면제","면제",
IF(AND(V600="정상",COUNTIFS(OFFSET(Y600,0,COUNTA(Y600:AV600)-1,1,-4),"미납")&gt;=3),"장기미납",
IF(AND(V600="정상",OFFSET(Y600,0,COUNTA(Y600:AV600)-1)&gt;=U600),"정상",
IF(AND(V600="정상",OFFSET(Y600,0,COUNTA(Y600:AV600)-1)=0),"정상",
"계약서 미작성")))))</f>
        <v>#VALUE!</v>
      </c>
      <c r="X600" s="81" t="str">
        <f aca="true">
IF(D600="폐업","폐업",
IF(AND(V600="정상",OFFSET(Y600,0,COUNTA(Y600:AV600)-1)="미납"),"미납",
IF(AND(V600="정상",OFFSET(Y600,0,COUNTA(Y600:AV600)-1)=0),"납부 시작 전",
IF(AND(V600="정상",OFFSET(Y600,0,COUNTA(Y600:AV600)-1)&gt;=U600),"정상",
IF(AND(V600="면제",OFFSET(Y600,0,COUNTA(Y600:AV600)-1)="면제"),"면제",
IF(AND(V600="면제",OFFSET(Y600,0,COUNTA(Y600:AV600)-1)=0),"면제",
"확인요청"))))))</f>
        <v>정상</v>
      </c>
      <c r="Y600" s="93" t="n">
        <v>55000</v>
      </c>
      <c r="Z600" s="90" t="n">
        <v>55000</v>
      </c>
      <c r="AA600" s="90" t="n">
        <v>55000</v>
      </c>
      <c r="AB600" s="90" t="n">
        <v>55000</v>
      </c>
      <c r="AC600" s="90" t="n">
        <v>55000</v>
      </c>
      <c r="AD600" s="90" t="n">
        <v>55000</v>
      </c>
      <c r="AE600" s="90" t="n">
        <v>55000</v>
      </c>
      <c r="AF600" s="90" t="n">
        <v>55000</v>
      </c>
      <c r="AG600" s="90" t="n">
        <v>55000</v>
      </c>
      <c r="AH600" s="90" t="n">
        <v>55000</v>
      </c>
      <c r="AI600" s="90" t="n">
        <v>55000</v>
      </c>
      <c r="AJ600" s="91" t="n">
        <v>55000</v>
      </c>
      <c r="AK600" s="89" t="n">
        <v>55000</v>
      </c>
      <c r="AL600" s="90" t="n">
        <v>55000</v>
      </c>
      <c r="AM600" s="90"/>
      <c r="AN600" s="90"/>
      <c r="AO600" s="90"/>
      <c r="AP600" s="90"/>
      <c r="AQ600" s="90"/>
      <c r="AR600" s="90"/>
      <c r="AS600" s="90"/>
      <c r="AT600" s="90"/>
      <c r="AU600" s="90"/>
      <c r="AV600" s="91"/>
      <c r="AX600" s="92"/>
    </row>
    <row r="601" customFormat="false" ht="15.65" hidden="false" customHeight="false" outlineLevel="0" collapsed="false">
      <c r="C601" s="72" t="n">
        <f aca="false">COUNTIFS($D$6:D601,"&lt;&gt;"&amp;"")</f>
        <v>596</v>
      </c>
      <c r="D601" s="73" t="s">
        <v>12</v>
      </c>
      <c r="E601" s="76" t="str">
        <f aca="false">
IF($D601="정상",INDEX(임대자산!$D$3:$R$3000,MATCH($F601,임대자산!$I$3:$I$3000,0),MATCH(E$3,임대자산!$D$3:$R$3,0)),
IF($D601="폐업",INDEX(폐업정보!$D$3:$R$3000,MATCH($F601,폐업정보!$I$3:$I$3000,0),MATCH(E$3,폐업정보!$D$3:$R$3,0)),
"Error"))</f>
        <v>전라</v>
      </c>
      <c r="F60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B0596</v>
      </c>
      <c r="G601" s="76" t="str">
        <f aca="false">F601&amp;RANDBETWEEN(0,10)</f>
        <v>B05964</v>
      </c>
      <c r="H601" s="75" t="n">
        <f aca="false">
IF($D601="정상",INDEX(임대자산!$D$3:$R$3000,MATCH($F601,임대자산!$I$3:$I$3000,0),MATCH(H$4,임대자산!$D$3:$R$3,0)),
IF($D601="폐업",INDEX(폐업정보!$D$3:$R$3000,MATCH($F601,폐업정보!$I$3:$I$3000,0),MATCH(H$4,폐업정보!$D$3:$R$3,0)),
"Error"))</f>
        <v>43776</v>
      </c>
      <c r="I601" s="75" t="str">
        <f aca="false">
IF($D601="정상",INDEX(임대자산!$D$3:$R$3000,MATCH($F601,임대자산!$I$3:$I$3000,0),MATCH(I$4,임대자산!$D$3:$R$3,0)),
IF($D601="폐업",INDEX(폐업정보!$D$3:$R$3000,MATCH($F601,폐업정보!$I$3:$I$3000,0),MATCH(I$4,폐업정보!$D$3:$R$3,0)),
"Error"))</f>
        <v>A0596</v>
      </c>
      <c r="J601" s="75" t="str">
        <f aca="false">
IF($D601="정상",INDEX(임대자산!$D$3:$R$3000,MATCH($F601,임대자산!$I$3:$I$3000,0),MATCH(J$4,임대자산!$D$3:$R$3,0)),
IF($D601="폐업",INDEX(폐업정보!$D$3:$R$3000,MATCH($F601,폐업정보!$I$3:$I$3000,0),MATCH(J$4,폐업정보!$D$3:$R$3,0)),
"Error"))</f>
        <v>4506900000</v>
      </c>
      <c r="K601" s="75" t="str">
        <f aca="false">
IF($D601="정상",INDEX(임대자산!$D$3:$R$3000,MATCH($F601,임대자산!$I$3:$I$3000,0),MATCH(K$4,임대자산!$D$3:$R$3,0)),
IF($D601="폐업",INDEX(폐업정보!$D$3:$R$3000,MATCH($F601,폐업정보!$I$3:$I$3000,0),MATCH(K$4,폐업정보!$D$3:$R$3,0)),
"Error"))</f>
        <v>C0596</v>
      </c>
      <c r="L601" s="75" t="str">
        <f aca="false">
IF($D601="정상",INDEX(임대자산!$D$3:$R$3000,MATCH($F601,임대자산!$I$3:$I$3000,0),MATCH(L$4,임대자산!$D$3:$R$3,0)),
IF($D601="폐업",INDEX(폐업정보!$D$3:$R$3000,MATCH($F601,폐업정보!$I$3:$I$3000,0),MATCH(L$4,폐업정보!$D$3:$R$3,0)),
"Error"))</f>
        <v>D0596</v>
      </c>
      <c r="M601" s="76" t="s">
        <v>96</v>
      </c>
      <c r="N601" s="77"/>
      <c r="O601" s="78" t="s">
        <v>97</v>
      </c>
      <c r="P601" s="79" t="n">
        <f aca="false">COUNTIFS(임대자산!$I:$I,가맹점정보!F601,임대자산!$N:$N,가맹점정보!P$4)</f>
        <v>0</v>
      </c>
      <c r="Q601" s="80" t="n">
        <f aca="false">COUNTIFS(임대자산!$I:$I,가맹점정보!F601,임대자산!$N:$N,가맹점정보!Q$4)</f>
        <v>1</v>
      </c>
      <c r="R601" s="81" t="n">
        <f aca="false">COUNTIFS(임대자산!$I:$I,가맹점정보!F601,임대자산!$N:$N,가맹점정보!R$4)</f>
        <v>0</v>
      </c>
      <c r="S601" s="82" t="n">
        <v>55000</v>
      </c>
      <c r="T601" s="83" t="n">
        <v>0</v>
      </c>
      <c r="U601" s="80" t="n">
        <f aca="false">SUM(S601:T601)</f>
        <v>55000</v>
      </c>
      <c r="V601" s="84" t="s">
        <v>12</v>
      </c>
      <c r="W601" s="80" t="e">
        <f aca="true">
IF(D601="폐업","폐업",
IF(V601="면제","면제",
IF(AND(V601="정상",COUNTIFS(OFFSET(Y601,0,COUNTA(Y601:AV601)-1,1,-4),"미납")&gt;=3),"장기미납",
IF(AND(V601="정상",OFFSET(Y601,0,COUNTA(Y601:AV601)-1)&gt;=U601),"정상",
IF(AND(V601="정상",OFFSET(Y601,0,COUNTA(Y601:AV601)-1)=0),"정상",
"계약서 미작성")))))</f>
        <v>#VALUE!</v>
      </c>
      <c r="X601" s="81" t="str">
        <f aca="true">
IF(D601="폐업","폐업",
IF(AND(V601="정상",OFFSET(Y601,0,COUNTA(Y601:AV601)-1)="미납"),"미납",
IF(AND(V601="정상",OFFSET(Y601,0,COUNTA(Y601:AV601)-1)=0),"납부 시작 전",
IF(AND(V601="정상",OFFSET(Y601,0,COUNTA(Y601:AV601)-1)&gt;=U601),"정상",
IF(AND(V601="면제",OFFSET(Y601,0,COUNTA(Y601:AV601)-1)="면제"),"면제",
IF(AND(V601="면제",OFFSET(Y601,0,COUNTA(Y601:AV601)-1)=0),"면제",
"확인요청"))))))</f>
        <v>정상</v>
      </c>
      <c r="Y601" s="93" t="n">
        <v>55000</v>
      </c>
      <c r="Z601" s="90" t="n">
        <v>55000</v>
      </c>
      <c r="AA601" s="90" t="n">
        <v>55000</v>
      </c>
      <c r="AB601" s="90" t="n">
        <v>55000</v>
      </c>
      <c r="AC601" s="90" t="n">
        <v>55000</v>
      </c>
      <c r="AD601" s="90" t="n">
        <v>55000</v>
      </c>
      <c r="AE601" s="90" t="n">
        <v>55000</v>
      </c>
      <c r="AF601" s="90" t="n">
        <v>55000</v>
      </c>
      <c r="AG601" s="90" t="n">
        <v>55000</v>
      </c>
      <c r="AH601" s="90" t="n">
        <v>55000</v>
      </c>
      <c r="AI601" s="90" t="n">
        <v>55000</v>
      </c>
      <c r="AJ601" s="91" t="n">
        <v>55000</v>
      </c>
      <c r="AK601" s="89" t="n">
        <v>55000</v>
      </c>
      <c r="AL601" s="90" t="n">
        <v>55000</v>
      </c>
      <c r="AM601" s="90"/>
      <c r="AN601" s="90"/>
      <c r="AO601" s="90"/>
      <c r="AP601" s="90"/>
      <c r="AQ601" s="90"/>
      <c r="AR601" s="90"/>
      <c r="AS601" s="90"/>
      <c r="AT601" s="90"/>
      <c r="AU601" s="90"/>
      <c r="AV601" s="91"/>
      <c r="AX601" s="92"/>
    </row>
    <row r="602" customFormat="false" ht="15.65" hidden="false" customHeight="false" outlineLevel="0" collapsed="false">
      <c r="C602" s="72" t="n">
        <f aca="false">COUNTIFS($D$6:D602,"&lt;&gt;"&amp;"")</f>
        <v>597</v>
      </c>
      <c r="D602" s="73" t="s">
        <v>12</v>
      </c>
      <c r="E602" s="76" t="str">
        <f aca="false">
IF($D602="정상",INDEX(임대자산!$D$3:$R$3000,MATCH($F602,임대자산!$I$3:$I$3000,0),MATCH(E$3,임대자산!$D$3:$R$3,0)),
IF($D602="폐업",INDEX(폐업정보!$D$3:$R$3000,MATCH($F602,폐업정보!$I$3:$I$3000,0),MATCH(E$3,폐업정보!$D$3:$R$3,0)),
"Error"))</f>
        <v>서울</v>
      </c>
      <c r="F60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B0597</v>
      </c>
      <c r="G602" s="76" t="str">
        <f aca="false">F602&amp;RANDBETWEEN(0,10)</f>
        <v>B05975</v>
      </c>
      <c r="H602" s="75" t="n">
        <f aca="false">
IF($D602="정상",INDEX(임대자산!$D$3:$R$3000,MATCH($F602,임대자산!$I$3:$I$3000,0),MATCH(H$4,임대자산!$D$3:$R$3,0)),
IF($D602="폐업",INDEX(폐업정보!$D$3:$R$3000,MATCH($F602,폐업정보!$I$3:$I$3000,0),MATCH(H$4,폐업정보!$D$3:$R$3,0)),
"Error"))</f>
        <v>43706</v>
      </c>
      <c r="I602" s="75" t="str">
        <f aca="false">
IF($D602="정상",INDEX(임대자산!$D$3:$R$3000,MATCH($F602,임대자산!$I$3:$I$3000,0),MATCH(I$4,임대자산!$D$3:$R$3,0)),
IF($D602="폐업",INDEX(폐업정보!$D$3:$R$3000,MATCH($F602,폐업정보!$I$3:$I$3000,0),MATCH(I$4,폐업정보!$D$3:$R$3,0)),
"Error"))</f>
        <v>A0597</v>
      </c>
      <c r="J602" s="75" t="str">
        <f aca="false">
IF($D602="정상",INDEX(임대자산!$D$3:$R$3000,MATCH($F602,임대자산!$I$3:$I$3000,0),MATCH(J$4,임대자산!$D$3:$R$3,0)),
IF($D602="폐업",INDEX(폐업정보!$D$3:$R$3000,MATCH($F602,폐업정보!$I$3:$I$3000,0),MATCH(J$4,폐업정보!$D$3:$R$3,0)),
"Error"))</f>
        <v>6646500000</v>
      </c>
      <c r="K602" s="75" t="str">
        <f aca="false">
IF($D602="정상",INDEX(임대자산!$D$3:$R$3000,MATCH($F602,임대자산!$I$3:$I$3000,0),MATCH(K$4,임대자산!$D$3:$R$3,0)),
IF($D602="폐업",INDEX(폐업정보!$D$3:$R$3000,MATCH($F602,폐업정보!$I$3:$I$3000,0),MATCH(K$4,폐업정보!$D$3:$R$3,0)),
"Error"))</f>
        <v>C0597</v>
      </c>
      <c r="L602" s="75" t="str">
        <f aca="false">
IF($D602="정상",INDEX(임대자산!$D$3:$R$3000,MATCH($F602,임대자산!$I$3:$I$3000,0),MATCH(L$4,임대자산!$D$3:$R$3,0)),
IF($D602="폐업",INDEX(폐업정보!$D$3:$R$3000,MATCH($F602,폐업정보!$I$3:$I$3000,0),MATCH(L$4,폐업정보!$D$3:$R$3,0)),
"Error"))</f>
        <v>D0597</v>
      </c>
      <c r="M602" s="76" t="s">
        <v>96</v>
      </c>
      <c r="N602" s="77"/>
      <c r="O602" s="78" t="s">
        <v>97</v>
      </c>
      <c r="P602" s="79" t="n">
        <f aca="false">COUNTIFS(임대자산!$I:$I,가맹점정보!F602,임대자산!$N:$N,가맹점정보!P$4)</f>
        <v>0</v>
      </c>
      <c r="Q602" s="80" t="n">
        <f aca="false">COUNTIFS(임대자산!$I:$I,가맹점정보!F602,임대자산!$N:$N,가맹점정보!Q$4)</f>
        <v>1</v>
      </c>
      <c r="R602" s="81" t="n">
        <f aca="false">COUNTIFS(임대자산!$I:$I,가맹점정보!F602,임대자산!$N:$N,가맹점정보!R$4)</f>
        <v>0</v>
      </c>
      <c r="S602" s="82" t="n">
        <v>55000</v>
      </c>
      <c r="T602" s="83" t="n">
        <v>0</v>
      </c>
      <c r="U602" s="80" t="n">
        <f aca="false">SUM(S602:T602)</f>
        <v>55000</v>
      </c>
      <c r="V602" s="84" t="s">
        <v>12</v>
      </c>
      <c r="W602" s="80" t="e">
        <f aca="true">
IF(D602="폐업","폐업",
IF(V602="면제","면제",
IF(AND(V602="정상",COUNTIFS(OFFSET(Y602,0,COUNTA(Y602:AV602)-1,1,-4),"미납")&gt;=3),"장기미납",
IF(AND(V602="정상",OFFSET(Y602,0,COUNTA(Y602:AV602)-1)&gt;=U602),"정상",
IF(AND(V602="정상",OFFSET(Y602,0,COUNTA(Y602:AV602)-1)=0),"정상",
"계약서 미작성")))))</f>
        <v>#VALUE!</v>
      </c>
      <c r="X602" s="81" t="str">
        <f aca="true">
IF(D602="폐업","폐업",
IF(AND(V602="정상",OFFSET(Y602,0,COUNTA(Y602:AV602)-1)="미납"),"미납",
IF(AND(V602="정상",OFFSET(Y602,0,COUNTA(Y602:AV602)-1)=0),"납부 시작 전",
IF(AND(V602="정상",OFFSET(Y602,0,COUNTA(Y602:AV602)-1)&gt;=U602),"정상",
IF(AND(V602="면제",OFFSET(Y602,0,COUNTA(Y602:AV602)-1)="면제"),"면제",
IF(AND(V602="면제",OFFSET(Y602,0,COUNTA(Y602:AV602)-1)=0),"면제",
"확인요청"))))))</f>
        <v>정상</v>
      </c>
      <c r="Y602" s="93" t="n">
        <v>55000</v>
      </c>
      <c r="Z602" s="90" t="n">
        <v>55000</v>
      </c>
      <c r="AA602" s="90" t="n">
        <v>55000</v>
      </c>
      <c r="AB602" s="90" t="n">
        <v>55000</v>
      </c>
      <c r="AC602" s="90" t="n">
        <v>55000</v>
      </c>
      <c r="AD602" s="90" t="n">
        <v>55000</v>
      </c>
      <c r="AE602" s="90" t="n">
        <v>55000</v>
      </c>
      <c r="AF602" s="90" t="n">
        <v>55000</v>
      </c>
      <c r="AG602" s="90" t="n">
        <v>55000</v>
      </c>
      <c r="AH602" s="90" t="n">
        <v>55000</v>
      </c>
      <c r="AI602" s="90" t="n">
        <v>55000</v>
      </c>
      <c r="AJ602" s="91" t="n">
        <v>55000</v>
      </c>
      <c r="AK602" s="89" t="n">
        <v>55000</v>
      </c>
      <c r="AL602" s="90" t="n">
        <v>55000</v>
      </c>
      <c r="AM602" s="90"/>
      <c r="AN602" s="90"/>
      <c r="AO602" s="90"/>
      <c r="AP602" s="90"/>
      <c r="AQ602" s="90"/>
      <c r="AR602" s="90"/>
      <c r="AS602" s="90"/>
      <c r="AT602" s="90"/>
      <c r="AU602" s="90"/>
      <c r="AV602" s="91"/>
      <c r="AX602" s="92"/>
    </row>
    <row r="603" customFormat="false" ht="15.65" hidden="false" customHeight="false" outlineLevel="0" collapsed="false">
      <c r="C603" s="72" t="n">
        <f aca="false">COUNTIFS($D$6:D603,"&lt;&gt;"&amp;"")</f>
        <v>598</v>
      </c>
      <c r="D603" s="73" t="s">
        <v>12</v>
      </c>
      <c r="E603" s="76" t="str">
        <f aca="false">
IF($D603="정상",INDEX(임대자산!$D$3:$R$3000,MATCH($F603,임대자산!$I$3:$I$3000,0),MATCH(E$3,임대자산!$D$3:$R$3,0)),
IF($D603="폐업",INDEX(폐업정보!$D$3:$R$3000,MATCH($F603,폐업정보!$I$3:$I$3000,0),MATCH(E$3,폐업정보!$D$3:$R$3,0)),
"Error"))</f>
        <v>경상</v>
      </c>
      <c r="F60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B0598</v>
      </c>
      <c r="G603" s="76" t="str">
        <f aca="false">F603&amp;RANDBETWEEN(0,10)</f>
        <v>B05984</v>
      </c>
      <c r="H603" s="75" t="n">
        <f aca="false">
IF($D603="정상",INDEX(임대자산!$D$3:$R$3000,MATCH($F603,임대자산!$I$3:$I$3000,0),MATCH(H$4,임대자산!$D$3:$R$3,0)),
IF($D603="폐업",INDEX(폐업정보!$D$3:$R$3000,MATCH($F603,폐업정보!$I$3:$I$3000,0),MATCH(H$4,폐업정보!$D$3:$R$3,0)),
"Error"))</f>
        <v>45793</v>
      </c>
      <c r="I603" s="75" t="str">
        <f aca="false">
IF($D603="정상",INDEX(임대자산!$D$3:$R$3000,MATCH($F603,임대자산!$I$3:$I$3000,0),MATCH(I$4,임대자산!$D$3:$R$3,0)),
IF($D603="폐업",INDEX(폐업정보!$D$3:$R$3000,MATCH($F603,폐업정보!$I$3:$I$3000,0),MATCH(I$4,폐업정보!$D$3:$R$3,0)),
"Error"))</f>
        <v>A0598</v>
      </c>
      <c r="J603" s="75" t="str">
        <f aca="false">
IF($D603="정상",INDEX(임대자산!$D$3:$R$3000,MATCH($F603,임대자산!$I$3:$I$3000,0),MATCH(J$4,임대자산!$D$3:$R$3,0)),
IF($D603="폐업",INDEX(폐업정보!$D$3:$R$3000,MATCH($F603,폐업정보!$I$3:$I$3000,0),MATCH(J$4,폐업정보!$D$3:$R$3,0)),
"Error"))</f>
        <v>3106100000</v>
      </c>
      <c r="K603" s="75" t="str">
        <f aca="false">
IF($D603="정상",INDEX(임대자산!$D$3:$R$3000,MATCH($F603,임대자산!$I$3:$I$3000,0),MATCH(K$4,임대자산!$D$3:$R$3,0)),
IF($D603="폐업",INDEX(폐업정보!$D$3:$R$3000,MATCH($F603,폐업정보!$I$3:$I$3000,0),MATCH(K$4,폐업정보!$D$3:$R$3,0)),
"Error"))</f>
        <v>C0598</v>
      </c>
      <c r="L603" s="75" t="str">
        <f aca="false">
IF($D603="정상",INDEX(임대자산!$D$3:$R$3000,MATCH($F603,임대자산!$I$3:$I$3000,0),MATCH(L$4,임대자산!$D$3:$R$3,0)),
IF($D603="폐업",INDEX(폐업정보!$D$3:$R$3000,MATCH($F603,폐업정보!$I$3:$I$3000,0),MATCH(L$4,폐업정보!$D$3:$R$3,0)),
"Error"))</f>
        <v>D0598</v>
      </c>
      <c r="M603" s="76" t="s">
        <v>96</v>
      </c>
      <c r="N603" s="77"/>
      <c r="O603" s="78" t="s">
        <v>97</v>
      </c>
      <c r="P603" s="79" t="n">
        <f aca="false">COUNTIFS(임대자산!$I:$I,가맹점정보!F603,임대자산!$N:$N,가맹점정보!P$4)</f>
        <v>0</v>
      </c>
      <c r="Q603" s="80" t="n">
        <f aca="false">COUNTIFS(임대자산!$I:$I,가맹점정보!F603,임대자산!$N:$N,가맹점정보!Q$4)</f>
        <v>1</v>
      </c>
      <c r="R603" s="81" t="n">
        <f aca="false">COUNTIFS(임대자산!$I:$I,가맹점정보!F603,임대자산!$N:$N,가맹점정보!R$4)</f>
        <v>0</v>
      </c>
      <c r="S603" s="82" t="n">
        <v>55000</v>
      </c>
      <c r="T603" s="83" t="n">
        <v>0</v>
      </c>
      <c r="U603" s="80" t="n">
        <f aca="false">SUM(S603:T603)</f>
        <v>55000</v>
      </c>
      <c r="V603" s="84" t="s">
        <v>12</v>
      </c>
      <c r="W603" s="80" t="e">
        <f aca="true">
IF(D603="폐업","폐업",
IF(V603="면제","면제",
IF(AND(V603="정상",COUNTIFS(OFFSET(Y603,0,COUNTA(Y603:AV603)-1,1,-4),"미납")&gt;=3),"장기미납",
IF(AND(V603="정상",OFFSET(Y603,0,COUNTA(Y603:AV603)-1)&gt;=U603),"정상",
IF(AND(V603="정상",OFFSET(Y603,0,COUNTA(Y603:AV603)-1)=0),"정상",
"계약서 미작성")))))</f>
        <v>#VALUE!</v>
      </c>
      <c r="X603" s="81" t="str">
        <f aca="true">
IF(D603="폐업","폐업",
IF(AND(V603="정상",OFFSET(Y603,0,COUNTA(Y603:AV603)-1)="미납"),"미납",
IF(AND(V603="정상",OFFSET(Y603,0,COUNTA(Y603:AV603)-1)=0),"납부 시작 전",
IF(AND(V603="정상",OFFSET(Y603,0,COUNTA(Y603:AV603)-1)&gt;=U603),"정상",
IF(AND(V603="면제",OFFSET(Y603,0,COUNTA(Y603:AV603)-1)="면제"),"면제",
IF(AND(V603="면제",OFFSET(Y603,0,COUNTA(Y603:AV603)-1)=0),"면제",
"확인요청"))))))</f>
        <v>정상</v>
      </c>
      <c r="Y603" s="93" t="n">
        <v>55000</v>
      </c>
      <c r="Z603" s="90" t="n">
        <v>55000</v>
      </c>
      <c r="AA603" s="90" t="n">
        <v>55000</v>
      </c>
      <c r="AB603" s="90" t="n">
        <v>55000</v>
      </c>
      <c r="AC603" s="90" t="n">
        <v>55000</v>
      </c>
      <c r="AD603" s="90" t="n">
        <v>55000</v>
      </c>
      <c r="AE603" s="90" t="n">
        <v>55000</v>
      </c>
      <c r="AF603" s="90" t="n">
        <v>55000</v>
      </c>
      <c r="AG603" s="95" t="s">
        <v>104</v>
      </c>
      <c r="AH603" s="90" t="n">
        <v>55000</v>
      </c>
      <c r="AI603" s="90" t="n">
        <v>55000</v>
      </c>
      <c r="AJ603" s="91" t="n">
        <v>55000</v>
      </c>
      <c r="AK603" s="89" t="n">
        <v>55000</v>
      </c>
      <c r="AL603" s="90" t="n">
        <v>55000</v>
      </c>
      <c r="AM603" s="90"/>
      <c r="AN603" s="90"/>
      <c r="AO603" s="90"/>
      <c r="AP603" s="90"/>
      <c r="AQ603" s="90"/>
      <c r="AR603" s="90"/>
      <c r="AS603" s="90"/>
      <c r="AT603" s="90"/>
      <c r="AU603" s="90"/>
      <c r="AV603" s="91"/>
      <c r="AX603" s="92"/>
    </row>
    <row r="604" customFormat="false" ht="15.65" hidden="false" customHeight="false" outlineLevel="0" collapsed="false">
      <c r="C604" s="72" t="n">
        <f aca="false">COUNTIFS($D$6:D604,"&lt;&gt;"&amp;"")</f>
        <v>599</v>
      </c>
      <c r="D604" s="73" t="s">
        <v>12</v>
      </c>
      <c r="E604" s="76" t="str">
        <f aca="false">
IF($D604="정상",INDEX(임대자산!$D$3:$R$3000,MATCH($F604,임대자산!$I$3:$I$3000,0),MATCH(E$3,임대자산!$D$3:$R$3,0)),
IF($D604="폐업",INDEX(폐업정보!$D$3:$R$3000,MATCH($F604,폐업정보!$I$3:$I$3000,0),MATCH(E$3,폐업정보!$D$3:$R$3,0)),
"Error"))</f>
        <v>경기</v>
      </c>
      <c r="F60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B0599</v>
      </c>
      <c r="G604" s="76" t="str">
        <f aca="false">F604&amp;RANDBETWEEN(0,10)</f>
        <v>B05993</v>
      </c>
      <c r="H604" s="75" t="n">
        <f aca="false">
IF($D604="정상",INDEX(임대자산!$D$3:$R$3000,MATCH($F604,임대자산!$I$3:$I$3000,0),MATCH(H$4,임대자산!$D$3:$R$3,0)),
IF($D604="폐업",INDEX(폐업정보!$D$3:$R$3000,MATCH($F604,폐업정보!$I$3:$I$3000,0),MATCH(H$4,폐업정보!$D$3:$R$3,0)),
"Error"))</f>
        <v>44811</v>
      </c>
      <c r="I604" s="75" t="str">
        <f aca="false">
IF($D604="정상",INDEX(임대자산!$D$3:$R$3000,MATCH($F604,임대자산!$I$3:$I$3000,0),MATCH(I$4,임대자산!$D$3:$R$3,0)),
IF($D604="폐업",INDEX(폐업정보!$D$3:$R$3000,MATCH($F604,폐업정보!$I$3:$I$3000,0),MATCH(I$4,폐업정보!$D$3:$R$3,0)),
"Error"))</f>
        <v>A0599</v>
      </c>
      <c r="J604" s="75" t="str">
        <f aca="false">
IF($D604="정상",INDEX(임대자산!$D$3:$R$3000,MATCH($F604,임대자산!$I$3:$I$3000,0),MATCH(J$4,임대자산!$D$3:$R$3,0)),
IF($D604="폐업",INDEX(폐업정보!$D$3:$R$3000,MATCH($F604,폐업정보!$I$3:$I$3000,0),MATCH(J$4,폐업정보!$D$3:$R$3,0)),
"Error"))</f>
        <v>1678600000</v>
      </c>
      <c r="K604" s="75" t="str">
        <f aca="false">
IF($D604="정상",INDEX(임대자산!$D$3:$R$3000,MATCH($F604,임대자산!$I$3:$I$3000,0),MATCH(K$4,임대자산!$D$3:$R$3,0)),
IF($D604="폐업",INDEX(폐업정보!$D$3:$R$3000,MATCH($F604,폐업정보!$I$3:$I$3000,0),MATCH(K$4,폐업정보!$D$3:$R$3,0)),
"Error"))</f>
        <v>C0599</v>
      </c>
      <c r="L604" s="75" t="str">
        <f aca="false">
IF($D604="정상",INDEX(임대자산!$D$3:$R$3000,MATCH($F604,임대자산!$I$3:$I$3000,0),MATCH(L$4,임대자산!$D$3:$R$3,0)),
IF($D604="폐업",INDEX(폐업정보!$D$3:$R$3000,MATCH($F604,폐업정보!$I$3:$I$3000,0),MATCH(L$4,폐업정보!$D$3:$R$3,0)),
"Error"))</f>
        <v>D0599</v>
      </c>
      <c r="M604" s="76" t="s">
        <v>96</v>
      </c>
      <c r="N604" s="77"/>
      <c r="O604" s="78" t="s">
        <v>97</v>
      </c>
      <c r="P604" s="79" t="n">
        <f aca="false">COUNTIFS(임대자산!$I:$I,가맹점정보!F604,임대자산!$N:$N,가맹점정보!P$4)</f>
        <v>0</v>
      </c>
      <c r="Q604" s="80" t="n">
        <f aca="false">COUNTIFS(임대자산!$I:$I,가맹점정보!F604,임대자산!$N:$N,가맹점정보!Q$4)</f>
        <v>1</v>
      </c>
      <c r="R604" s="81" t="n">
        <f aca="false">COUNTIFS(임대자산!$I:$I,가맹점정보!F604,임대자산!$N:$N,가맹점정보!R$4)</f>
        <v>0</v>
      </c>
      <c r="S604" s="82" t="n">
        <v>55000</v>
      </c>
      <c r="T604" s="83" t="n">
        <v>0</v>
      </c>
      <c r="U604" s="80" t="n">
        <f aca="false">SUM(S604:T604)</f>
        <v>55000</v>
      </c>
      <c r="V604" s="84" t="s">
        <v>12</v>
      </c>
      <c r="W604" s="80" t="e">
        <f aca="true">
IF(D604="폐업","폐업",
IF(V604="면제","면제",
IF(AND(V604="정상",COUNTIFS(OFFSET(Y604,0,COUNTA(Y604:AV604)-1,1,-4),"미납")&gt;=3),"장기미납",
IF(AND(V604="정상",OFFSET(Y604,0,COUNTA(Y604:AV604)-1)&gt;=U604),"정상",
IF(AND(V604="정상",OFFSET(Y604,0,COUNTA(Y604:AV604)-1)=0),"정상",
"계약서 미작성")))))</f>
        <v>#VALUE!</v>
      </c>
      <c r="X604" s="81" t="str">
        <f aca="true">
IF(D604="폐업","폐업",
IF(AND(V604="정상",OFFSET(Y604,0,COUNTA(Y604:AV604)-1)="미납"),"미납",
IF(AND(V604="정상",OFFSET(Y604,0,COUNTA(Y604:AV604)-1)=0),"납부 시작 전",
IF(AND(V604="정상",OFFSET(Y604,0,COUNTA(Y604:AV604)-1)&gt;=U604),"정상",
IF(AND(V604="면제",OFFSET(Y604,0,COUNTA(Y604:AV604)-1)="면제"),"면제",
IF(AND(V604="면제",OFFSET(Y604,0,COUNTA(Y604:AV604)-1)=0),"면제",
"확인요청"))))))</f>
        <v>정상</v>
      </c>
      <c r="Y604" s="93" t="n">
        <v>55000</v>
      </c>
      <c r="Z604" s="90" t="n">
        <v>55000</v>
      </c>
      <c r="AA604" s="90" t="n">
        <v>55000</v>
      </c>
      <c r="AB604" s="90" t="n">
        <v>55000</v>
      </c>
      <c r="AC604" s="90" t="n">
        <v>55000</v>
      </c>
      <c r="AD604" s="90" t="n">
        <v>55000</v>
      </c>
      <c r="AE604" s="90" t="n">
        <v>55000</v>
      </c>
      <c r="AF604" s="90" t="n">
        <v>55000</v>
      </c>
      <c r="AG604" s="90" t="n">
        <v>55000</v>
      </c>
      <c r="AH604" s="90" t="n">
        <v>55000</v>
      </c>
      <c r="AI604" s="90" t="n">
        <v>55000</v>
      </c>
      <c r="AJ604" s="91" t="n">
        <v>55000</v>
      </c>
      <c r="AK604" s="89" t="n">
        <v>55000</v>
      </c>
      <c r="AL604" s="90" t="n">
        <v>55000</v>
      </c>
      <c r="AM604" s="90"/>
      <c r="AN604" s="90"/>
      <c r="AO604" s="90"/>
      <c r="AP604" s="90"/>
      <c r="AQ604" s="90"/>
      <c r="AR604" s="90"/>
      <c r="AS604" s="90"/>
      <c r="AT604" s="90"/>
      <c r="AU604" s="90"/>
      <c r="AV604" s="91"/>
      <c r="AX604" s="92"/>
    </row>
    <row r="605" customFormat="false" ht="15.65" hidden="false" customHeight="false" outlineLevel="0" collapsed="false">
      <c r="C605" s="72" t="n">
        <f aca="false">COUNTIFS($D$6:D605,"&lt;&gt;"&amp;"")</f>
        <v>600</v>
      </c>
      <c r="D605" s="73" t="s">
        <v>12</v>
      </c>
      <c r="E605" s="76" t="str">
        <f aca="false">
IF($D605="정상",INDEX(임대자산!$D$3:$R$3000,MATCH($F605,임대자산!$I$3:$I$3000,0),MATCH(E$3,임대자산!$D$3:$R$3,0)),
IF($D605="폐업",INDEX(폐업정보!$D$3:$R$3000,MATCH($F605,폐업정보!$I$3:$I$3000,0),MATCH(E$3,폐업정보!$D$3:$R$3,0)),
"Error"))</f>
        <v>경상</v>
      </c>
      <c r="F60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B0600</v>
      </c>
      <c r="G605" s="76" t="str">
        <f aca="false">F605&amp;RANDBETWEEN(0,10)</f>
        <v>B06002</v>
      </c>
      <c r="H605" s="75" t="n">
        <f aca="false">
IF($D605="정상",INDEX(임대자산!$D$3:$R$3000,MATCH($F605,임대자산!$I$3:$I$3000,0),MATCH(H$4,임대자산!$D$3:$R$3,0)),
IF($D605="폐업",INDEX(폐업정보!$D$3:$R$3000,MATCH($F605,폐업정보!$I$3:$I$3000,0),MATCH(H$4,폐업정보!$D$3:$R$3,0)),
"Error"))</f>
        <v>43794</v>
      </c>
      <c r="I605" s="75" t="str">
        <f aca="false">
IF($D605="정상",INDEX(임대자산!$D$3:$R$3000,MATCH($F605,임대자산!$I$3:$I$3000,0),MATCH(I$4,임대자산!$D$3:$R$3,0)),
IF($D605="폐업",INDEX(폐업정보!$D$3:$R$3000,MATCH($F605,폐업정보!$I$3:$I$3000,0),MATCH(I$4,폐업정보!$D$3:$R$3,0)),
"Error"))</f>
        <v>A0600</v>
      </c>
      <c r="J605" s="75" t="str">
        <f aca="false">
IF($D605="정상",INDEX(임대자산!$D$3:$R$3000,MATCH($F605,임대자산!$I$3:$I$3000,0),MATCH(J$4,임대자산!$D$3:$R$3,0)),
IF($D605="폐업",INDEX(폐업정보!$D$3:$R$3000,MATCH($F605,폐업정보!$I$3:$I$3000,0),MATCH(J$4,폐업정보!$D$3:$R$3,0)),
"Error"))</f>
        <v>1384300000</v>
      </c>
      <c r="K605" s="75" t="str">
        <f aca="false">
IF($D605="정상",INDEX(임대자산!$D$3:$R$3000,MATCH($F605,임대자산!$I$3:$I$3000,0),MATCH(K$4,임대자산!$D$3:$R$3,0)),
IF($D605="폐업",INDEX(폐업정보!$D$3:$R$3000,MATCH($F605,폐업정보!$I$3:$I$3000,0),MATCH(K$4,폐업정보!$D$3:$R$3,0)),
"Error"))</f>
        <v>C0600</v>
      </c>
      <c r="L605" s="75" t="str">
        <f aca="false">
IF($D605="정상",INDEX(임대자산!$D$3:$R$3000,MATCH($F605,임대자산!$I$3:$I$3000,0),MATCH(L$4,임대자산!$D$3:$R$3,0)),
IF($D605="폐업",INDEX(폐업정보!$D$3:$R$3000,MATCH($F605,폐업정보!$I$3:$I$3000,0),MATCH(L$4,폐업정보!$D$3:$R$3,0)),
"Error"))</f>
        <v>D0600</v>
      </c>
      <c r="M605" s="76" t="s">
        <v>96</v>
      </c>
      <c r="N605" s="77"/>
      <c r="O605" s="78" t="s">
        <v>97</v>
      </c>
      <c r="P605" s="79" t="n">
        <f aca="false">COUNTIFS(임대자산!$I:$I,가맹점정보!F605,임대자산!$N:$N,가맹점정보!P$4)</f>
        <v>0</v>
      </c>
      <c r="Q605" s="80" t="n">
        <f aca="false">COUNTIFS(임대자산!$I:$I,가맹점정보!F605,임대자산!$N:$N,가맹점정보!Q$4)</f>
        <v>1</v>
      </c>
      <c r="R605" s="81" t="n">
        <f aca="false">COUNTIFS(임대자산!$I:$I,가맹점정보!F605,임대자산!$N:$N,가맹점정보!R$4)</f>
        <v>0</v>
      </c>
      <c r="S605" s="82" t="n">
        <v>55000</v>
      </c>
      <c r="T605" s="83" t="n">
        <v>0</v>
      </c>
      <c r="U605" s="80" t="n">
        <f aca="false">SUM(S605:T605)</f>
        <v>55000</v>
      </c>
      <c r="V605" s="84" t="s">
        <v>12</v>
      </c>
      <c r="W605" s="80" t="e">
        <f aca="true">
IF(D605="폐업","폐업",
IF(V605="면제","면제",
IF(AND(V605="정상",COUNTIFS(OFFSET(Y605,0,COUNTA(Y605:AV605)-1,1,-4),"미납")&gt;=3),"장기미납",
IF(AND(V605="정상",OFFSET(Y605,0,COUNTA(Y605:AV605)-1)&gt;=U605),"정상",
IF(AND(V605="정상",OFFSET(Y605,0,COUNTA(Y605:AV605)-1)=0),"정상",
"계약서 미작성")))))</f>
        <v>#VALUE!</v>
      </c>
      <c r="X605" s="81" t="str">
        <f aca="true">
IF(D605="폐업","폐업",
IF(AND(V605="정상",OFFSET(Y605,0,COUNTA(Y605:AV605)-1)="미납"),"미납",
IF(AND(V605="정상",OFFSET(Y605,0,COUNTA(Y605:AV605)-1)=0),"납부 시작 전",
IF(AND(V605="정상",OFFSET(Y605,0,COUNTA(Y605:AV605)-1)&gt;=U605),"정상",
IF(AND(V605="면제",OFFSET(Y605,0,COUNTA(Y605:AV605)-1)="면제"),"면제",
IF(AND(V605="면제",OFFSET(Y605,0,COUNTA(Y605:AV605)-1)=0),"면제",
"확인요청"))))))</f>
        <v>정상</v>
      </c>
      <c r="Y605" s="93" t="n">
        <v>55000</v>
      </c>
      <c r="Z605" s="90" t="n">
        <v>55000</v>
      </c>
      <c r="AA605" s="90" t="n">
        <v>55000</v>
      </c>
      <c r="AB605" s="90" t="n">
        <v>55000</v>
      </c>
      <c r="AC605" s="90" t="n">
        <v>55000</v>
      </c>
      <c r="AD605" s="90" t="n">
        <v>55000</v>
      </c>
      <c r="AE605" s="90" t="n">
        <v>55000</v>
      </c>
      <c r="AF605" s="90" t="n">
        <v>55000</v>
      </c>
      <c r="AG605" s="90" t="n">
        <v>55000</v>
      </c>
      <c r="AH605" s="90" t="n">
        <v>55000</v>
      </c>
      <c r="AI605" s="90" t="n">
        <v>55000</v>
      </c>
      <c r="AJ605" s="91" t="n">
        <v>55000</v>
      </c>
      <c r="AK605" s="89" t="n">
        <v>55000</v>
      </c>
      <c r="AL605" s="90" t="n">
        <v>55000</v>
      </c>
      <c r="AM605" s="90"/>
      <c r="AN605" s="90"/>
      <c r="AO605" s="90"/>
      <c r="AP605" s="90"/>
      <c r="AQ605" s="90"/>
      <c r="AR605" s="90"/>
      <c r="AS605" s="90"/>
      <c r="AT605" s="90"/>
      <c r="AU605" s="90"/>
      <c r="AV605" s="91"/>
      <c r="AX605" s="92"/>
    </row>
    <row r="606" customFormat="false" ht="15.65" hidden="false" customHeight="false" outlineLevel="0" collapsed="false">
      <c r="C606" s="72" t="n">
        <f aca="false">COUNTIFS($D$6:D606,"&lt;&gt;"&amp;"")</f>
        <v>601</v>
      </c>
      <c r="D606" s="73" t="s">
        <v>12</v>
      </c>
      <c r="E606" s="76" t="str">
        <f aca="false">
IF($D606="정상",INDEX(임대자산!$D$3:$R$3000,MATCH($F606,임대자산!$I$3:$I$3000,0),MATCH(E$3,임대자산!$D$3:$R$3,0)),
IF($D606="폐업",INDEX(폐업정보!$D$3:$R$3000,MATCH($F606,폐업정보!$I$3:$I$3000,0),MATCH(E$3,폐업정보!$D$3:$R$3,0)),
"Error"))</f>
        <v>서울</v>
      </c>
      <c r="F60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B0601</v>
      </c>
      <c r="G606" s="76" t="str">
        <f aca="false">F606&amp;RANDBETWEEN(0,10)</f>
        <v>B06015</v>
      </c>
      <c r="H606" s="75" t="n">
        <f aca="false">
IF($D606="정상",INDEX(임대자산!$D$3:$R$3000,MATCH($F606,임대자산!$I$3:$I$3000,0),MATCH(H$4,임대자산!$D$3:$R$3,0)),
IF($D606="폐업",INDEX(폐업정보!$D$3:$R$3000,MATCH($F606,폐업정보!$I$3:$I$3000,0),MATCH(H$4,폐업정보!$D$3:$R$3,0)),
"Error"))</f>
        <v>43795</v>
      </c>
      <c r="I606" s="75" t="str">
        <f aca="false">
IF($D606="정상",INDEX(임대자산!$D$3:$R$3000,MATCH($F606,임대자산!$I$3:$I$3000,0),MATCH(I$4,임대자산!$D$3:$R$3,0)),
IF($D606="폐업",INDEX(폐업정보!$D$3:$R$3000,MATCH($F606,폐업정보!$I$3:$I$3000,0),MATCH(I$4,폐업정보!$D$3:$R$3,0)),
"Error"))</f>
        <v>A0601</v>
      </c>
      <c r="J606" s="75" t="str">
        <f aca="false">
IF($D606="정상",INDEX(임대자산!$D$3:$R$3000,MATCH($F606,임대자산!$I$3:$I$3000,0),MATCH(J$4,임대자산!$D$3:$R$3,0)),
IF($D606="폐업",INDEX(폐업정보!$D$3:$R$3000,MATCH($F606,폐업정보!$I$3:$I$3000,0),MATCH(J$4,폐업정보!$D$3:$R$3,0)),
"Error"))</f>
        <v>5728600000</v>
      </c>
      <c r="K606" s="75" t="str">
        <f aca="false">
IF($D606="정상",INDEX(임대자산!$D$3:$R$3000,MATCH($F606,임대자산!$I$3:$I$3000,0),MATCH(K$4,임대자산!$D$3:$R$3,0)),
IF($D606="폐업",INDEX(폐업정보!$D$3:$R$3000,MATCH($F606,폐업정보!$I$3:$I$3000,0),MATCH(K$4,폐업정보!$D$3:$R$3,0)),
"Error"))</f>
        <v>C0601</v>
      </c>
      <c r="L606" s="75" t="str">
        <f aca="false">
IF($D606="정상",INDEX(임대자산!$D$3:$R$3000,MATCH($F606,임대자산!$I$3:$I$3000,0),MATCH(L$4,임대자산!$D$3:$R$3,0)),
IF($D606="폐업",INDEX(폐업정보!$D$3:$R$3000,MATCH($F606,폐업정보!$I$3:$I$3000,0),MATCH(L$4,폐업정보!$D$3:$R$3,0)),
"Error"))</f>
        <v>D0601</v>
      </c>
      <c r="M606" s="76" t="s">
        <v>96</v>
      </c>
      <c r="N606" s="77"/>
      <c r="O606" s="78" t="s">
        <v>97</v>
      </c>
      <c r="P606" s="79" t="n">
        <f aca="false">COUNTIFS(임대자산!$I:$I,가맹점정보!F606,임대자산!$N:$N,가맹점정보!P$4)</f>
        <v>0</v>
      </c>
      <c r="Q606" s="80" t="n">
        <f aca="false">COUNTIFS(임대자산!$I:$I,가맹점정보!F606,임대자산!$N:$N,가맹점정보!Q$4)</f>
        <v>1</v>
      </c>
      <c r="R606" s="81" t="n">
        <f aca="false">COUNTIFS(임대자산!$I:$I,가맹점정보!F606,임대자산!$N:$N,가맹점정보!R$4)</f>
        <v>0</v>
      </c>
      <c r="S606" s="82" t="n">
        <v>88000</v>
      </c>
      <c r="T606" s="83" t="n">
        <v>0</v>
      </c>
      <c r="U606" s="80" t="n">
        <f aca="false">SUM(S606:T606)</f>
        <v>88000</v>
      </c>
      <c r="V606" s="84" t="s">
        <v>7</v>
      </c>
      <c r="W606" s="80" t="str">
        <f aca="true">
IF(D606="폐업","폐업",
IF(V606="면제","면제",
IF(AND(V606="정상",COUNTIFS(OFFSET(Y606,0,COUNTA(Y606:AV606)-1,1,-4),"미납")&gt;=3),"장기미납",
IF(AND(V606="정상",OFFSET(Y606,0,COUNTA(Y606:AV606)-1)&gt;=U606),"정상",
IF(AND(V606="정상",OFFSET(Y606,0,COUNTA(Y606:AV606)-1)=0),"정상",
"계약서 미작성")))))</f>
        <v>면제</v>
      </c>
      <c r="X606" s="81" t="str">
        <f aca="true">
IF(D606="폐업","폐업",
IF(AND(V606="정상",OFFSET(Y606,0,COUNTA(Y606:AV606)-1)="미납"),"미납",
IF(AND(V606="정상",OFFSET(Y606,0,COUNTA(Y606:AV606)-1)=0),"납부 시작 전",
IF(AND(V606="정상",OFFSET(Y606,0,COUNTA(Y606:AV606)-1)&gt;=U606),"정상",
IF(AND(V606="면제",OFFSET(Y606,0,COUNTA(Y606:AV606)-1)="면제"),"면제",
IF(AND(V606="면제",OFFSET(Y606,0,COUNTA(Y606:AV606)-1)=0),"면제",
"확인요청"))))))</f>
        <v>면제</v>
      </c>
      <c r="Y606" s="93" t="n">
        <v>88000</v>
      </c>
      <c r="Z606" s="90" t="n">
        <v>88000</v>
      </c>
      <c r="AA606" s="90" t="n">
        <v>0</v>
      </c>
      <c r="AB606" s="90" t="n">
        <v>0</v>
      </c>
      <c r="AC606" s="90" t="n">
        <v>0</v>
      </c>
      <c r="AD606" s="95" t="s">
        <v>7</v>
      </c>
      <c r="AE606" s="95" t="s">
        <v>7</v>
      </c>
      <c r="AF606" s="95" t="s">
        <v>7</v>
      </c>
      <c r="AG606" s="95" t="s">
        <v>7</v>
      </c>
      <c r="AH606" s="95" t="s">
        <v>7</v>
      </c>
      <c r="AI606" s="95" t="s">
        <v>7</v>
      </c>
      <c r="AJ606" s="96" t="s">
        <v>7</v>
      </c>
      <c r="AK606" s="97" t="s">
        <v>7</v>
      </c>
      <c r="AL606" s="95" t="s">
        <v>7</v>
      </c>
      <c r="AM606" s="90"/>
      <c r="AN606" s="90"/>
      <c r="AO606" s="90"/>
      <c r="AP606" s="90"/>
      <c r="AQ606" s="90"/>
      <c r="AR606" s="90"/>
      <c r="AS606" s="90"/>
      <c r="AT606" s="90"/>
      <c r="AU606" s="90"/>
      <c r="AV606" s="91"/>
      <c r="AX606" s="92"/>
    </row>
    <row r="607" customFormat="false" ht="15.65" hidden="false" customHeight="false" outlineLevel="0" collapsed="false">
      <c r="C607" s="72" t="n">
        <f aca="false">COUNTIFS($D$6:D607,"&lt;&gt;"&amp;"")</f>
        <v>602</v>
      </c>
      <c r="D607" s="73" t="s">
        <v>12</v>
      </c>
      <c r="E607" s="76" t="str">
        <f aca="false">
IF($D607="정상",INDEX(임대자산!$D$3:$R$3000,MATCH($F607,임대자산!$I$3:$I$3000,0),MATCH(E$3,임대자산!$D$3:$R$3,0)),
IF($D607="폐업",INDEX(폐업정보!$D$3:$R$3000,MATCH($F607,폐업정보!$I$3:$I$3000,0),MATCH(E$3,폐업정보!$D$3:$R$3,0)),
"Error"))</f>
        <v>경기</v>
      </c>
      <c r="F60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B0602</v>
      </c>
      <c r="G607" s="76" t="str">
        <f aca="false">F607&amp;RANDBETWEEN(0,10)</f>
        <v>B06027</v>
      </c>
      <c r="H607" s="75" t="n">
        <f aca="false">
IF($D607="정상",INDEX(임대자산!$D$3:$R$3000,MATCH($F607,임대자산!$I$3:$I$3000,0),MATCH(H$4,임대자산!$D$3:$R$3,0)),
IF($D607="폐업",INDEX(폐업정보!$D$3:$R$3000,MATCH($F607,폐업정보!$I$3:$I$3000,0),MATCH(H$4,폐업정보!$D$3:$R$3,0)),
"Error"))</f>
        <v>43833</v>
      </c>
      <c r="I607" s="75" t="str">
        <f aca="false">
IF($D607="정상",INDEX(임대자산!$D$3:$R$3000,MATCH($F607,임대자산!$I$3:$I$3000,0),MATCH(I$4,임대자산!$D$3:$R$3,0)),
IF($D607="폐업",INDEX(폐업정보!$D$3:$R$3000,MATCH($F607,폐업정보!$I$3:$I$3000,0),MATCH(I$4,폐업정보!$D$3:$R$3,0)),
"Error"))</f>
        <v>A0602</v>
      </c>
      <c r="J607" s="75" t="str">
        <f aca="false">
IF($D607="정상",INDEX(임대자산!$D$3:$R$3000,MATCH($F607,임대자산!$I$3:$I$3000,0),MATCH(J$4,임대자산!$D$3:$R$3,0)),
IF($D607="폐업",INDEX(폐업정보!$D$3:$R$3000,MATCH($F607,폐업정보!$I$3:$I$3000,0),MATCH(J$4,폐업정보!$D$3:$R$3,0)),
"Error"))</f>
        <v>9786000000</v>
      </c>
      <c r="K607" s="75" t="str">
        <f aca="false">
IF($D607="정상",INDEX(임대자산!$D$3:$R$3000,MATCH($F607,임대자산!$I$3:$I$3000,0),MATCH(K$4,임대자산!$D$3:$R$3,0)),
IF($D607="폐업",INDEX(폐업정보!$D$3:$R$3000,MATCH($F607,폐업정보!$I$3:$I$3000,0),MATCH(K$4,폐업정보!$D$3:$R$3,0)),
"Error"))</f>
        <v>C0602</v>
      </c>
      <c r="L607" s="75" t="str">
        <f aca="false">
IF($D607="정상",INDEX(임대자산!$D$3:$R$3000,MATCH($F607,임대자산!$I$3:$I$3000,0),MATCH(L$4,임대자산!$D$3:$R$3,0)),
IF($D607="폐업",INDEX(폐업정보!$D$3:$R$3000,MATCH($F607,폐업정보!$I$3:$I$3000,0),MATCH(L$4,폐업정보!$D$3:$R$3,0)),
"Error"))</f>
        <v>D0602</v>
      </c>
      <c r="M607" s="76" t="s">
        <v>96</v>
      </c>
      <c r="N607" s="77"/>
      <c r="O607" s="78" t="s">
        <v>97</v>
      </c>
      <c r="P607" s="79" t="n">
        <f aca="false">COUNTIFS(임대자산!$I:$I,가맹점정보!F607,임대자산!$N:$N,가맹점정보!P$4)</f>
        <v>0</v>
      </c>
      <c r="Q607" s="80" t="n">
        <f aca="false">COUNTIFS(임대자산!$I:$I,가맹점정보!F607,임대자산!$N:$N,가맹점정보!Q$4)</f>
        <v>1</v>
      </c>
      <c r="R607" s="81" t="n">
        <f aca="false">COUNTIFS(임대자산!$I:$I,가맹점정보!F607,임대자산!$N:$N,가맹점정보!R$4)</f>
        <v>0</v>
      </c>
      <c r="S607" s="82" t="n">
        <v>55000</v>
      </c>
      <c r="T607" s="83" t="n">
        <v>0</v>
      </c>
      <c r="U607" s="80" t="n">
        <f aca="false">SUM(S607:T607)</f>
        <v>55000</v>
      </c>
      <c r="V607" s="84" t="s">
        <v>12</v>
      </c>
      <c r="W607" s="80" t="e">
        <f aca="true">
IF(D607="폐업","폐업",
IF(V607="면제","면제",
IF(AND(V607="정상",COUNTIFS(OFFSET(Y607,0,COUNTA(Y607:AV607)-1,1,-4),"미납")&gt;=3),"장기미납",
IF(AND(V607="정상",OFFSET(Y607,0,COUNTA(Y607:AV607)-1)&gt;=U607),"정상",
IF(AND(V607="정상",OFFSET(Y607,0,COUNTA(Y607:AV607)-1)=0),"정상",
"계약서 미작성")))))</f>
        <v>#VALUE!</v>
      </c>
      <c r="X607" s="81" t="str">
        <f aca="true">
IF(D607="폐업","폐업",
IF(AND(V607="정상",OFFSET(Y607,0,COUNTA(Y607:AV607)-1)="미납"),"미납",
IF(AND(V607="정상",OFFSET(Y607,0,COUNTA(Y607:AV607)-1)=0),"납부 시작 전",
IF(AND(V607="정상",OFFSET(Y607,0,COUNTA(Y607:AV607)-1)&gt;=U607),"정상",
IF(AND(V607="면제",OFFSET(Y607,0,COUNTA(Y607:AV607)-1)="면제"),"면제",
IF(AND(V607="면제",OFFSET(Y607,0,COUNTA(Y607:AV607)-1)=0),"면제",
"확인요청"))))))</f>
        <v>정상</v>
      </c>
      <c r="Y607" s="93" t="n">
        <v>55000</v>
      </c>
      <c r="Z607" s="90" t="n">
        <v>55000</v>
      </c>
      <c r="AA607" s="90" t="n">
        <v>55000</v>
      </c>
      <c r="AB607" s="90" t="n">
        <v>55000</v>
      </c>
      <c r="AC607" s="90" t="n">
        <v>55000</v>
      </c>
      <c r="AD607" s="90" t="n">
        <v>55000</v>
      </c>
      <c r="AE607" s="90" t="n">
        <v>55000</v>
      </c>
      <c r="AF607" s="90" t="n">
        <v>55000</v>
      </c>
      <c r="AG607" s="90" t="n">
        <v>55000</v>
      </c>
      <c r="AH607" s="90" t="n">
        <v>55000</v>
      </c>
      <c r="AI607" s="90" t="n">
        <v>55000</v>
      </c>
      <c r="AJ607" s="91" t="n">
        <v>55000</v>
      </c>
      <c r="AK607" s="89" t="n">
        <v>55000</v>
      </c>
      <c r="AL607" s="90" t="n">
        <v>55000</v>
      </c>
      <c r="AM607" s="90"/>
      <c r="AN607" s="90"/>
      <c r="AO607" s="90"/>
      <c r="AP607" s="90"/>
      <c r="AQ607" s="90"/>
      <c r="AR607" s="90"/>
      <c r="AS607" s="90"/>
      <c r="AT607" s="90"/>
      <c r="AU607" s="90"/>
      <c r="AV607" s="91"/>
      <c r="AX607" s="92"/>
    </row>
    <row r="608" customFormat="false" ht="15.65" hidden="false" customHeight="false" outlineLevel="0" collapsed="false">
      <c r="C608" s="72" t="n">
        <f aca="false">COUNTIFS($D$6:D608,"&lt;&gt;"&amp;"")</f>
        <v>603</v>
      </c>
      <c r="D608" s="73" t="s">
        <v>12</v>
      </c>
      <c r="E608" s="76" t="str">
        <f aca="false">
IF($D608="정상",INDEX(임대자산!$D$3:$R$3000,MATCH($F608,임대자산!$I$3:$I$3000,0),MATCH(E$3,임대자산!$D$3:$R$3,0)),
IF($D608="폐업",INDEX(폐업정보!$D$3:$R$3000,MATCH($F608,폐업정보!$I$3:$I$3000,0),MATCH(E$3,폐업정보!$D$3:$R$3,0)),
"Error"))</f>
        <v>경기</v>
      </c>
      <c r="F60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B0603</v>
      </c>
      <c r="G608" s="76" t="str">
        <f aca="false">F608&amp;RANDBETWEEN(0,10)</f>
        <v>B06033</v>
      </c>
      <c r="H608" s="75" t="n">
        <f aca="false">
IF($D608="정상",INDEX(임대자산!$D$3:$R$3000,MATCH($F608,임대자산!$I$3:$I$3000,0),MATCH(H$4,임대자산!$D$3:$R$3,0)),
IF($D608="폐업",INDEX(폐업정보!$D$3:$R$3000,MATCH($F608,폐업정보!$I$3:$I$3000,0),MATCH(H$4,폐업정보!$D$3:$R$3,0)),
"Error"))</f>
        <v>43837</v>
      </c>
      <c r="I608" s="75" t="str">
        <f aca="false">
IF($D608="정상",INDEX(임대자산!$D$3:$R$3000,MATCH($F608,임대자산!$I$3:$I$3000,0),MATCH(I$4,임대자산!$D$3:$R$3,0)),
IF($D608="폐업",INDEX(폐업정보!$D$3:$R$3000,MATCH($F608,폐업정보!$I$3:$I$3000,0),MATCH(I$4,폐업정보!$D$3:$R$3,0)),
"Error"))</f>
        <v>A0603</v>
      </c>
      <c r="J608" s="75" t="str">
        <f aca="false">
IF($D608="정상",INDEX(임대자산!$D$3:$R$3000,MATCH($F608,임대자산!$I$3:$I$3000,0),MATCH(J$4,임대자산!$D$3:$R$3,0)),
IF($D608="폐업",INDEX(폐업정보!$D$3:$R$3000,MATCH($F608,폐업정보!$I$3:$I$3000,0),MATCH(J$4,폐업정보!$D$3:$R$3,0)),
"Error"))</f>
        <v>3489900000</v>
      </c>
      <c r="K608" s="75" t="str">
        <f aca="false">
IF($D608="정상",INDEX(임대자산!$D$3:$R$3000,MATCH($F608,임대자산!$I$3:$I$3000,0),MATCH(K$4,임대자산!$D$3:$R$3,0)),
IF($D608="폐업",INDEX(폐업정보!$D$3:$R$3000,MATCH($F608,폐업정보!$I$3:$I$3000,0),MATCH(K$4,폐업정보!$D$3:$R$3,0)),
"Error"))</f>
        <v>C0603</v>
      </c>
      <c r="L608" s="75" t="str">
        <f aca="false">
IF($D608="정상",INDEX(임대자산!$D$3:$R$3000,MATCH($F608,임대자산!$I$3:$I$3000,0),MATCH(L$4,임대자산!$D$3:$R$3,0)),
IF($D608="폐업",INDEX(폐업정보!$D$3:$R$3000,MATCH($F608,폐업정보!$I$3:$I$3000,0),MATCH(L$4,폐업정보!$D$3:$R$3,0)),
"Error"))</f>
        <v>D0603</v>
      </c>
      <c r="M608" s="76" t="s">
        <v>96</v>
      </c>
      <c r="N608" s="77"/>
      <c r="O608" s="78" t="s">
        <v>97</v>
      </c>
      <c r="P608" s="79" t="n">
        <f aca="false">COUNTIFS(임대자산!$I:$I,가맹점정보!F608,임대자산!$N:$N,가맹점정보!P$4)</f>
        <v>0</v>
      </c>
      <c r="Q608" s="80" t="n">
        <f aca="false">COUNTIFS(임대자산!$I:$I,가맹점정보!F608,임대자산!$N:$N,가맹점정보!Q$4)</f>
        <v>1</v>
      </c>
      <c r="R608" s="81" t="n">
        <f aca="false">COUNTIFS(임대자산!$I:$I,가맹점정보!F608,임대자산!$N:$N,가맹점정보!R$4)</f>
        <v>0</v>
      </c>
      <c r="S608" s="82" t="n">
        <v>55000</v>
      </c>
      <c r="T608" s="83" t="n">
        <v>0</v>
      </c>
      <c r="U608" s="80" t="n">
        <f aca="false">SUM(S608:T608)</f>
        <v>55000</v>
      </c>
      <c r="V608" s="84" t="s">
        <v>12</v>
      </c>
      <c r="W608" s="80" t="e">
        <f aca="true">
IF(D608="폐업","폐업",
IF(V608="면제","면제",
IF(AND(V608="정상",COUNTIFS(OFFSET(Y608,0,COUNTA(Y608:AV608)-1,1,-4),"미납")&gt;=3),"장기미납",
IF(AND(V608="정상",OFFSET(Y608,0,COUNTA(Y608:AV608)-1)&gt;=U608),"정상",
IF(AND(V608="정상",OFFSET(Y608,0,COUNTA(Y608:AV608)-1)=0),"정상",
"계약서 미작성")))))</f>
        <v>#VALUE!</v>
      </c>
      <c r="X608" s="81" t="str">
        <f aca="true">
IF(D608="폐업","폐업",
IF(AND(V608="정상",OFFSET(Y608,0,COUNTA(Y608:AV608)-1)="미납"),"미납",
IF(AND(V608="정상",OFFSET(Y608,0,COUNTA(Y608:AV608)-1)=0),"납부 시작 전",
IF(AND(V608="정상",OFFSET(Y608,0,COUNTA(Y608:AV608)-1)&gt;=U608),"정상",
IF(AND(V608="면제",OFFSET(Y608,0,COUNTA(Y608:AV608)-1)="면제"),"면제",
IF(AND(V608="면제",OFFSET(Y608,0,COUNTA(Y608:AV608)-1)=0),"면제",
"확인요청"))))))</f>
        <v>정상</v>
      </c>
      <c r="Y608" s="93" t="n">
        <v>55000</v>
      </c>
      <c r="Z608" s="90" t="n">
        <v>55000</v>
      </c>
      <c r="AA608" s="90" t="n">
        <v>55000</v>
      </c>
      <c r="AB608" s="90" t="n">
        <v>55000</v>
      </c>
      <c r="AC608" s="90" t="n">
        <v>55000</v>
      </c>
      <c r="AD608" s="90" t="n">
        <v>55000</v>
      </c>
      <c r="AE608" s="90" t="n">
        <v>55000</v>
      </c>
      <c r="AF608" s="90" t="n">
        <v>55000</v>
      </c>
      <c r="AG608" s="90" t="n">
        <v>55000</v>
      </c>
      <c r="AH608" s="90" t="n">
        <v>55000</v>
      </c>
      <c r="AI608" s="90" t="n">
        <v>55000</v>
      </c>
      <c r="AJ608" s="91" t="n">
        <v>55000</v>
      </c>
      <c r="AK608" s="89" t="n">
        <v>55000</v>
      </c>
      <c r="AL608" s="90" t="n">
        <v>55000</v>
      </c>
      <c r="AM608" s="90"/>
      <c r="AN608" s="90"/>
      <c r="AO608" s="90"/>
      <c r="AP608" s="90"/>
      <c r="AQ608" s="90"/>
      <c r="AR608" s="90"/>
      <c r="AS608" s="90"/>
      <c r="AT608" s="90"/>
      <c r="AU608" s="90"/>
      <c r="AV608" s="91"/>
      <c r="AX608" s="92"/>
    </row>
    <row r="609" customFormat="false" ht="15.65" hidden="false" customHeight="false" outlineLevel="0" collapsed="false">
      <c r="C609" s="72" t="n">
        <f aca="false">COUNTIFS($D$6:D609,"&lt;&gt;"&amp;"")</f>
        <v>604</v>
      </c>
      <c r="D609" s="73" t="s">
        <v>12</v>
      </c>
      <c r="E609" s="76" t="str">
        <f aca="false">
IF($D609="정상",INDEX(임대자산!$D$3:$R$3000,MATCH($F609,임대자산!$I$3:$I$3000,0),MATCH(E$3,임대자산!$D$3:$R$3,0)),
IF($D609="폐업",INDEX(폐업정보!$D$3:$R$3000,MATCH($F609,폐업정보!$I$3:$I$3000,0),MATCH(E$3,폐업정보!$D$3:$R$3,0)),
"Error"))</f>
        <v>경기</v>
      </c>
      <c r="F60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B0604</v>
      </c>
      <c r="G609" s="76" t="str">
        <f aca="false">F609&amp;RANDBETWEEN(0,10)</f>
        <v>B06049</v>
      </c>
      <c r="H609" s="75" t="n">
        <f aca="false">
IF($D609="정상",INDEX(임대자산!$D$3:$R$3000,MATCH($F609,임대자산!$I$3:$I$3000,0),MATCH(H$4,임대자산!$D$3:$R$3,0)),
IF($D609="폐업",INDEX(폐업정보!$D$3:$R$3000,MATCH($F609,폐업정보!$I$3:$I$3000,0),MATCH(H$4,폐업정보!$D$3:$R$3,0)),
"Error"))</f>
        <v>46062</v>
      </c>
      <c r="I609" s="75" t="str">
        <f aca="false">
IF($D609="정상",INDEX(임대자산!$D$3:$R$3000,MATCH($F609,임대자산!$I$3:$I$3000,0),MATCH(I$4,임대자산!$D$3:$R$3,0)),
IF($D609="폐업",INDEX(폐업정보!$D$3:$R$3000,MATCH($F609,폐업정보!$I$3:$I$3000,0),MATCH(I$4,폐업정보!$D$3:$R$3,0)),
"Error"))</f>
        <v>A0604</v>
      </c>
      <c r="J609" s="75" t="str">
        <f aca="false">
IF($D609="정상",INDEX(임대자산!$D$3:$R$3000,MATCH($F609,임대자산!$I$3:$I$3000,0),MATCH(J$4,임대자산!$D$3:$R$3,0)),
IF($D609="폐업",INDEX(폐업정보!$D$3:$R$3000,MATCH($F609,폐업정보!$I$3:$I$3000,0),MATCH(J$4,폐업정보!$D$3:$R$3,0)),
"Error"))</f>
        <v>5952900000</v>
      </c>
      <c r="K609" s="75" t="str">
        <f aca="false">
IF($D609="정상",INDEX(임대자산!$D$3:$R$3000,MATCH($F609,임대자산!$I$3:$I$3000,0),MATCH(K$4,임대자산!$D$3:$R$3,0)),
IF($D609="폐업",INDEX(폐업정보!$D$3:$R$3000,MATCH($F609,폐업정보!$I$3:$I$3000,0),MATCH(K$4,폐업정보!$D$3:$R$3,0)),
"Error"))</f>
        <v>C0604</v>
      </c>
      <c r="L609" s="75" t="str">
        <f aca="false">
IF($D609="정상",INDEX(임대자산!$D$3:$R$3000,MATCH($F609,임대자산!$I$3:$I$3000,0),MATCH(L$4,임대자산!$D$3:$R$3,0)),
IF($D609="폐업",INDEX(폐업정보!$D$3:$R$3000,MATCH($F609,폐업정보!$I$3:$I$3000,0),MATCH(L$4,폐업정보!$D$3:$R$3,0)),
"Error"))</f>
        <v>D0604</v>
      </c>
      <c r="M609" s="76" t="s">
        <v>96</v>
      </c>
      <c r="N609" s="77"/>
      <c r="O609" s="78" t="s">
        <v>97</v>
      </c>
      <c r="P609" s="79" t="n">
        <f aca="false">COUNTIFS(임대자산!$I:$I,가맹점정보!F609,임대자산!$N:$N,가맹점정보!P$4)</f>
        <v>0</v>
      </c>
      <c r="Q609" s="80" t="n">
        <f aca="false">COUNTIFS(임대자산!$I:$I,가맹점정보!F609,임대자산!$N:$N,가맹점정보!Q$4)</f>
        <v>1</v>
      </c>
      <c r="R609" s="81" t="n">
        <f aca="false">COUNTIFS(임대자산!$I:$I,가맹점정보!F609,임대자산!$N:$N,가맹점정보!R$4)</f>
        <v>0</v>
      </c>
      <c r="S609" s="82" t="n">
        <v>55000</v>
      </c>
      <c r="T609" s="83" t="n">
        <v>0</v>
      </c>
      <c r="U609" s="80" t="n">
        <f aca="false">SUM(S609:T609)</f>
        <v>55000</v>
      </c>
      <c r="V609" s="84" t="s">
        <v>12</v>
      </c>
      <c r="W609" s="80" t="e">
        <f aca="true">
IF(D609="폐업","폐업",
IF(V609="면제","면제",
IF(AND(V609="정상",COUNTIFS(OFFSET(Y609,0,COUNTA(Y609:AV609)-1,1,-4),"미납")&gt;=3),"장기미납",
IF(AND(V609="정상",OFFSET(Y609,0,COUNTA(Y609:AV609)-1)&gt;=U609),"정상",
IF(AND(V609="정상",OFFSET(Y609,0,COUNTA(Y609:AV609)-1)=0),"정상",
"계약서 미작성")))))</f>
        <v>#VALUE!</v>
      </c>
      <c r="X609" s="81" t="str">
        <f aca="true">
IF(D609="폐업","폐업",
IF(AND(V609="정상",OFFSET(Y609,0,COUNTA(Y609:AV609)-1)="미납"),"미납",
IF(AND(V609="정상",OFFSET(Y609,0,COUNTA(Y609:AV609)-1)=0),"납부 시작 전",
IF(AND(V609="정상",OFFSET(Y609,0,COUNTA(Y609:AV609)-1)&gt;=U609),"정상",
IF(AND(V609="면제",OFFSET(Y609,0,COUNTA(Y609:AV609)-1)="면제"),"면제",
IF(AND(V609="면제",OFFSET(Y609,0,COUNTA(Y609:AV609)-1)=0),"면제",
"확인요청"))))))</f>
        <v>정상</v>
      </c>
      <c r="Y609" s="93" t="n">
        <v>55000</v>
      </c>
      <c r="Z609" s="90" t="n">
        <v>55000</v>
      </c>
      <c r="AA609" s="90" t="n">
        <v>55000</v>
      </c>
      <c r="AB609" s="90" t="n">
        <v>55000</v>
      </c>
      <c r="AC609" s="90" t="n">
        <v>55000</v>
      </c>
      <c r="AD609" s="90" t="n">
        <v>55000</v>
      </c>
      <c r="AE609" s="90" t="n">
        <v>55000</v>
      </c>
      <c r="AF609" s="90" t="n">
        <v>55000</v>
      </c>
      <c r="AG609" s="90" t="n">
        <v>55000</v>
      </c>
      <c r="AH609" s="90" t="n">
        <v>55000</v>
      </c>
      <c r="AI609" s="90" t="n">
        <v>55000</v>
      </c>
      <c r="AJ609" s="91" t="n">
        <v>55000</v>
      </c>
      <c r="AK609" s="89" t="n">
        <v>55000</v>
      </c>
      <c r="AL609" s="90" t="n">
        <v>55000</v>
      </c>
      <c r="AM609" s="90"/>
      <c r="AN609" s="90"/>
      <c r="AO609" s="90"/>
      <c r="AP609" s="90"/>
      <c r="AQ609" s="90"/>
      <c r="AR609" s="90"/>
      <c r="AS609" s="90"/>
      <c r="AT609" s="90"/>
      <c r="AU609" s="90"/>
      <c r="AV609" s="91"/>
      <c r="AX609" s="92"/>
    </row>
    <row r="610" customFormat="false" ht="15.65" hidden="false" customHeight="false" outlineLevel="0" collapsed="false">
      <c r="C610" s="72" t="n">
        <f aca="false">COUNTIFS($D$6:D610,"&lt;&gt;"&amp;"")</f>
        <v>605</v>
      </c>
      <c r="D610" s="73" t="s">
        <v>12</v>
      </c>
      <c r="E610" s="76" t="str">
        <f aca="false">
IF($D610="정상",INDEX(임대자산!$D$3:$R$3000,MATCH($F610,임대자산!$I$3:$I$3000,0),MATCH(E$3,임대자산!$D$3:$R$3,0)),
IF($D610="폐업",INDEX(폐업정보!$D$3:$R$3000,MATCH($F610,폐업정보!$I$3:$I$3000,0),MATCH(E$3,폐업정보!$D$3:$R$3,0)),
"Error"))</f>
        <v>서울</v>
      </c>
      <c r="F61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B0605</v>
      </c>
      <c r="G610" s="76" t="str">
        <f aca="false">F610&amp;RANDBETWEEN(0,10)</f>
        <v>B06058</v>
      </c>
      <c r="H610" s="75" t="n">
        <f aca="false">
IF($D610="정상",INDEX(임대자산!$D$3:$R$3000,MATCH($F610,임대자산!$I$3:$I$3000,0),MATCH(H$4,임대자산!$D$3:$R$3,0)),
IF($D610="폐업",INDEX(폐업정보!$D$3:$R$3000,MATCH($F610,폐업정보!$I$3:$I$3000,0),MATCH(H$4,폐업정보!$D$3:$R$3,0)),
"Error"))</f>
        <v>45289</v>
      </c>
      <c r="I610" s="75" t="str">
        <f aca="false">
IF($D610="정상",INDEX(임대자산!$D$3:$R$3000,MATCH($F610,임대자산!$I$3:$I$3000,0),MATCH(I$4,임대자산!$D$3:$R$3,0)),
IF($D610="폐업",INDEX(폐업정보!$D$3:$R$3000,MATCH($F610,폐업정보!$I$3:$I$3000,0),MATCH(I$4,폐업정보!$D$3:$R$3,0)),
"Error"))</f>
        <v>A0605</v>
      </c>
      <c r="J610" s="75" t="str">
        <f aca="false">
IF($D610="정상",INDEX(임대자산!$D$3:$R$3000,MATCH($F610,임대자산!$I$3:$I$3000,0),MATCH(J$4,임대자산!$D$3:$R$3,0)),
IF($D610="폐업",INDEX(폐업정보!$D$3:$R$3000,MATCH($F610,폐업정보!$I$3:$I$3000,0),MATCH(J$4,폐업정보!$D$3:$R$3,0)),
"Error"))</f>
        <v>7089000000</v>
      </c>
      <c r="K610" s="75" t="str">
        <f aca="false">
IF($D610="정상",INDEX(임대자산!$D$3:$R$3000,MATCH($F610,임대자산!$I$3:$I$3000,0),MATCH(K$4,임대자산!$D$3:$R$3,0)),
IF($D610="폐업",INDEX(폐업정보!$D$3:$R$3000,MATCH($F610,폐업정보!$I$3:$I$3000,0),MATCH(K$4,폐업정보!$D$3:$R$3,0)),
"Error"))</f>
        <v>C0605</v>
      </c>
      <c r="L610" s="75" t="str">
        <f aca="false">
IF($D610="정상",INDEX(임대자산!$D$3:$R$3000,MATCH($F610,임대자산!$I$3:$I$3000,0),MATCH(L$4,임대자산!$D$3:$R$3,0)),
IF($D610="폐업",INDEX(폐업정보!$D$3:$R$3000,MATCH($F610,폐업정보!$I$3:$I$3000,0),MATCH(L$4,폐업정보!$D$3:$R$3,0)),
"Error"))</f>
        <v>D0605</v>
      </c>
      <c r="M610" s="76" t="s">
        <v>96</v>
      </c>
      <c r="N610" s="77"/>
      <c r="O610" s="78" t="s">
        <v>97</v>
      </c>
      <c r="P610" s="79" t="n">
        <f aca="false">COUNTIFS(임대자산!$I:$I,가맹점정보!F610,임대자산!$N:$N,가맹점정보!P$4)</f>
        <v>0</v>
      </c>
      <c r="Q610" s="80" t="n">
        <f aca="false">COUNTIFS(임대자산!$I:$I,가맹점정보!F610,임대자산!$N:$N,가맹점정보!Q$4)</f>
        <v>1</v>
      </c>
      <c r="R610" s="81" t="n">
        <f aca="false">COUNTIFS(임대자산!$I:$I,가맹점정보!F610,임대자산!$N:$N,가맹점정보!R$4)</f>
        <v>0</v>
      </c>
      <c r="S610" s="82" t="n">
        <v>55000</v>
      </c>
      <c r="T610" s="83" t="n">
        <v>0</v>
      </c>
      <c r="U610" s="80" t="n">
        <f aca="false">SUM(S610:T610)</f>
        <v>55000</v>
      </c>
      <c r="V610" s="84" t="s">
        <v>7</v>
      </c>
      <c r="W610" s="80" t="str">
        <f aca="true">
IF(D610="폐업","폐업",
IF(V610="면제","면제",
IF(AND(V610="정상",COUNTIFS(OFFSET(Y610,0,COUNTA(Y610:AV610)-1,1,-4),"미납")&gt;=3),"장기미납",
IF(AND(V610="정상",OFFSET(Y610,0,COUNTA(Y610:AV610)-1)&gt;=U610),"정상",
IF(AND(V610="정상",OFFSET(Y610,0,COUNTA(Y610:AV610)-1)=0),"정상",
"계약서 미작성")))))</f>
        <v>면제</v>
      </c>
      <c r="X610" s="81" t="str">
        <f aca="true">
IF(D610="폐업","폐업",
IF(AND(V610="정상",OFFSET(Y610,0,COUNTA(Y610:AV610)-1)="미납"),"미납",
IF(AND(V610="정상",OFFSET(Y610,0,COUNTA(Y610:AV610)-1)=0),"납부 시작 전",
IF(AND(V610="정상",OFFSET(Y610,0,COUNTA(Y610:AV610)-1)&gt;=U610),"정상",
IF(AND(V610="면제",OFFSET(Y610,0,COUNTA(Y610:AV610)-1)="면제"),"면제",
IF(AND(V610="면제",OFFSET(Y610,0,COUNTA(Y610:AV610)-1)=0),"면제",
"확인요청"))))))</f>
        <v>면제</v>
      </c>
      <c r="Y610" s="94" t="s">
        <v>7</v>
      </c>
      <c r="Z610" s="95" t="s">
        <v>7</v>
      </c>
      <c r="AA610" s="95" t="s">
        <v>7</v>
      </c>
      <c r="AB610" s="95" t="s">
        <v>7</v>
      </c>
      <c r="AC610" s="95" t="s">
        <v>7</v>
      </c>
      <c r="AD610" s="95" t="s">
        <v>7</v>
      </c>
      <c r="AE610" s="95" t="s">
        <v>7</v>
      </c>
      <c r="AF610" s="95" t="s">
        <v>7</v>
      </c>
      <c r="AG610" s="95" t="s">
        <v>7</v>
      </c>
      <c r="AH610" s="95" t="s">
        <v>7</v>
      </c>
      <c r="AI610" s="95" t="s">
        <v>7</v>
      </c>
      <c r="AJ610" s="96" t="s">
        <v>7</v>
      </c>
      <c r="AK610" s="97" t="s">
        <v>7</v>
      </c>
      <c r="AL610" s="95" t="s">
        <v>7</v>
      </c>
      <c r="AM610" s="90"/>
      <c r="AN610" s="90"/>
      <c r="AO610" s="90"/>
      <c r="AP610" s="90"/>
      <c r="AQ610" s="90"/>
      <c r="AR610" s="90"/>
      <c r="AS610" s="90"/>
      <c r="AT610" s="90"/>
      <c r="AU610" s="90"/>
      <c r="AV610" s="91"/>
      <c r="AX610" s="92"/>
    </row>
    <row r="611" customFormat="false" ht="15.65" hidden="false" customHeight="false" outlineLevel="0" collapsed="false">
      <c r="C611" s="72" t="n">
        <f aca="false">COUNTIFS($D$6:D611,"&lt;&gt;"&amp;"")</f>
        <v>606</v>
      </c>
      <c r="D611" s="73" t="s">
        <v>12</v>
      </c>
      <c r="E611" s="76" t="str">
        <f aca="false">
IF($D611="정상",INDEX(임대자산!$D$3:$R$3000,MATCH($F611,임대자산!$I$3:$I$3000,0),MATCH(E$3,임대자산!$D$3:$R$3,0)),
IF($D611="폐업",INDEX(폐업정보!$D$3:$R$3000,MATCH($F611,폐업정보!$I$3:$I$3000,0),MATCH(E$3,폐업정보!$D$3:$R$3,0)),
"Error"))</f>
        <v>경상</v>
      </c>
      <c r="F61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B0606</v>
      </c>
      <c r="G611" s="76" t="str">
        <f aca="false">F611&amp;RANDBETWEEN(0,10)</f>
        <v>B06060</v>
      </c>
      <c r="H611" s="75" t="n">
        <f aca="false">
IF($D611="정상",INDEX(임대자산!$D$3:$R$3000,MATCH($F611,임대자산!$I$3:$I$3000,0),MATCH(H$4,임대자산!$D$3:$R$3,0)),
IF($D611="폐업",INDEX(폐업정보!$D$3:$R$3000,MATCH($F611,폐업정보!$I$3:$I$3000,0),MATCH(H$4,폐업정보!$D$3:$R$3,0)),
"Error"))</f>
        <v>45177</v>
      </c>
      <c r="I611" s="75" t="str">
        <f aca="false">
IF($D611="정상",INDEX(임대자산!$D$3:$R$3000,MATCH($F611,임대자산!$I$3:$I$3000,0),MATCH(I$4,임대자산!$D$3:$R$3,0)),
IF($D611="폐업",INDEX(폐업정보!$D$3:$R$3000,MATCH($F611,폐업정보!$I$3:$I$3000,0),MATCH(I$4,폐업정보!$D$3:$R$3,0)),
"Error"))</f>
        <v>A0606</v>
      </c>
      <c r="J611" s="75" t="str">
        <f aca="false">
IF($D611="정상",INDEX(임대자산!$D$3:$R$3000,MATCH($F611,임대자산!$I$3:$I$3000,0),MATCH(J$4,임대자산!$D$3:$R$3,0)),
IF($D611="폐업",INDEX(폐업정보!$D$3:$R$3000,MATCH($F611,폐업정보!$I$3:$I$3000,0),MATCH(J$4,폐업정보!$D$3:$R$3,0)),
"Error"))</f>
        <v>1997200000</v>
      </c>
      <c r="K611" s="75" t="str">
        <f aca="false">
IF($D611="정상",INDEX(임대자산!$D$3:$R$3000,MATCH($F611,임대자산!$I$3:$I$3000,0),MATCH(K$4,임대자산!$D$3:$R$3,0)),
IF($D611="폐업",INDEX(폐업정보!$D$3:$R$3000,MATCH($F611,폐업정보!$I$3:$I$3000,0),MATCH(K$4,폐업정보!$D$3:$R$3,0)),
"Error"))</f>
        <v>C0606</v>
      </c>
      <c r="L611" s="75" t="str">
        <f aca="false">
IF($D611="정상",INDEX(임대자산!$D$3:$R$3000,MATCH($F611,임대자산!$I$3:$I$3000,0),MATCH(L$4,임대자산!$D$3:$R$3,0)),
IF($D611="폐업",INDEX(폐업정보!$D$3:$R$3000,MATCH($F611,폐업정보!$I$3:$I$3000,0),MATCH(L$4,폐업정보!$D$3:$R$3,0)),
"Error"))</f>
        <v>D0606</v>
      </c>
      <c r="M611" s="76" t="s">
        <v>96</v>
      </c>
      <c r="N611" s="77"/>
      <c r="O611" s="78" t="s">
        <v>97</v>
      </c>
      <c r="P611" s="79" t="n">
        <f aca="false">COUNTIFS(임대자산!$I:$I,가맹점정보!F611,임대자산!$N:$N,가맹점정보!P$4)</f>
        <v>0</v>
      </c>
      <c r="Q611" s="80" t="n">
        <f aca="false">COUNTIFS(임대자산!$I:$I,가맹점정보!F611,임대자산!$N:$N,가맹점정보!Q$4)</f>
        <v>1</v>
      </c>
      <c r="R611" s="81" t="n">
        <f aca="false">COUNTIFS(임대자산!$I:$I,가맹점정보!F611,임대자산!$N:$N,가맹점정보!R$4)</f>
        <v>0</v>
      </c>
      <c r="S611" s="82" t="n">
        <v>55000</v>
      </c>
      <c r="T611" s="83" t="n">
        <v>0</v>
      </c>
      <c r="U611" s="80" t="n">
        <f aca="false">SUM(S611:T611)</f>
        <v>55000</v>
      </c>
      <c r="V611" s="84" t="s">
        <v>12</v>
      </c>
      <c r="W611" s="80" t="e">
        <f aca="true">
IF(D611="폐업","폐업",
IF(V611="면제","면제",
IF(AND(V611="정상",COUNTIFS(OFFSET(Y611,0,COUNTA(Y611:AV611)-1,1,-4),"미납")&gt;=3),"장기미납",
IF(AND(V611="정상",OFFSET(Y611,0,COUNTA(Y611:AV611)-1)&gt;=U611),"정상",
IF(AND(V611="정상",OFFSET(Y611,0,COUNTA(Y611:AV611)-1)=0),"정상",
"계약서 미작성")))))</f>
        <v>#VALUE!</v>
      </c>
      <c r="X611" s="81" t="str">
        <f aca="true">
IF(D611="폐업","폐업",
IF(AND(V611="정상",OFFSET(Y611,0,COUNTA(Y611:AV611)-1)="미납"),"미납",
IF(AND(V611="정상",OFFSET(Y611,0,COUNTA(Y611:AV611)-1)=0),"납부 시작 전",
IF(AND(V611="정상",OFFSET(Y611,0,COUNTA(Y611:AV611)-1)&gt;=U611),"정상",
IF(AND(V611="면제",OFFSET(Y611,0,COUNTA(Y611:AV611)-1)="면제"),"면제",
IF(AND(V611="면제",OFFSET(Y611,0,COUNTA(Y611:AV611)-1)=0),"면제",
"확인요청"))))))</f>
        <v>정상</v>
      </c>
      <c r="Y611" s="93" t="n">
        <v>55000</v>
      </c>
      <c r="Z611" s="90" t="n">
        <v>55000</v>
      </c>
      <c r="AA611" s="90" t="n">
        <v>55000</v>
      </c>
      <c r="AB611" s="90" t="n">
        <v>55000</v>
      </c>
      <c r="AC611" s="90" t="n">
        <v>55000</v>
      </c>
      <c r="AD611" s="90" t="n">
        <v>55000</v>
      </c>
      <c r="AE611" s="90" t="n">
        <v>55000</v>
      </c>
      <c r="AF611" s="90" t="n">
        <v>55000</v>
      </c>
      <c r="AG611" s="90" t="n">
        <v>55000</v>
      </c>
      <c r="AH611" s="90" t="n">
        <v>55000</v>
      </c>
      <c r="AI611" s="90" t="n">
        <v>55000</v>
      </c>
      <c r="AJ611" s="91" t="n">
        <v>55000</v>
      </c>
      <c r="AK611" s="89" t="n">
        <v>55000</v>
      </c>
      <c r="AL611" s="90" t="n">
        <v>55000</v>
      </c>
      <c r="AM611" s="90"/>
      <c r="AN611" s="90"/>
      <c r="AO611" s="90"/>
      <c r="AP611" s="90"/>
      <c r="AQ611" s="90"/>
      <c r="AR611" s="90"/>
      <c r="AS611" s="90"/>
      <c r="AT611" s="90"/>
      <c r="AU611" s="90"/>
      <c r="AV611" s="91"/>
      <c r="AX611" s="92"/>
    </row>
    <row r="612" customFormat="false" ht="15.65" hidden="false" customHeight="false" outlineLevel="0" collapsed="false">
      <c r="C612" s="72" t="n">
        <f aca="false">COUNTIFS($D$6:D612,"&lt;&gt;"&amp;"")</f>
        <v>607</v>
      </c>
      <c r="D612" s="73" t="s">
        <v>12</v>
      </c>
      <c r="E612" s="76" t="str">
        <f aca="false">
IF($D612="정상",INDEX(임대자산!$D$3:$R$3000,MATCH($F612,임대자산!$I$3:$I$3000,0),MATCH(E$3,임대자산!$D$3:$R$3,0)),
IF($D612="폐업",INDEX(폐업정보!$D$3:$R$3000,MATCH($F612,폐업정보!$I$3:$I$3000,0),MATCH(E$3,폐업정보!$D$3:$R$3,0)),
"Error"))</f>
        <v>강원</v>
      </c>
      <c r="F61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B0607</v>
      </c>
      <c r="G612" s="76" t="str">
        <f aca="false">F612&amp;RANDBETWEEN(0,10)</f>
        <v>B06070</v>
      </c>
      <c r="H612" s="75" t="n">
        <f aca="false">
IF($D612="정상",INDEX(임대자산!$D$3:$R$3000,MATCH($F612,임대자산!$I$3:$I$3000,0),MATCH(H$4,임대자산!$D$3:$R$3,0)),
IF($D612="폐업",INDEX(폐업정보!$D$3:$R$3000,MATCH($F612,폐업정보!$I$3:$I$3000,0),MATCH(H$4,폐업정보!$D$3:$R$3,0)),
"Error"))</f>
        <v>44145</v>
      </c>
      <c r="I612" s="75" t="str">
        <f aca="false">
IF($D612="정상",INDEX(임대자산!$D$3:$R$3000,MATCH($F612,임대자산!$I$3:$I$3000,0),MATCH(I$4,임대자산!$D$3:$R$3,0)),
IF($D612="폐업",INDEX(폐업정보!$D$3:$R$3000,MATCH($F612,폐업정보!$I$3:$I$3000,0),MATCH(I$4,폐업정보!$D$3:$R$3,0)),
"Error"))</f>
        <v>A0607</v>
      </c>
      <c r="J612" s="75" t="str">
        <f aca="false">
IF($D612="정상",INDEX(임대자산!$D$3:$R$3000,MATCH($F612,임대자산!$I$3:$I$3000,0),MATCH(J$4,임대자산!$D$3:$R$3,0)),
IF($D612="폐업",INDEX(폐업정보!$D$3:$R$3000,MATCH($F612,폐업정보!$I$3:$I$3000,0),MATCH(J$4,폐업정보!$D$3:$R$3,0)),
"Error"))</f>
        <v>7605400000</v>
      </c>
      <c r="K612" s="75" t="str">
        <f aca="false">
IF($D612="정상",INDEX(임대자산!$D$3:$R$3000,MATCH($F612,임대자산!$I$3:$I$3000,0),MATCH(K$4,임대자산!$D$3:$R$3,0)),
IF($D612="폐업",INDEX(폐업정보!$D$3:$R$3000,MATCH($F612,폐업정보!$I$3:$I$3000,0),MATCH(K$4,폐업정보!$D$3:$R$3,0)),
"Error"))</f>
        <v>C0607</v>
      </c>
      <c r="L612" s="75" t="str">
        <f aca="false">
IF($D612="정상",INDEX(임대자산!$D$3:$R$3000,MATCH($F612,임대자산!$I$3:$I$3000,0),MATCH(L$4,임대자산!$D$3:$R$3,0)),
IF($D612="폐업",INDEX(폐업정보!$D$3:$R$3000,MATCH($F612,폐업정보!$I$3:$I$3000,0),MATCH(L$4,폐업정보!$D$3:$R$3,0)),
"Error"))</f>
        <v>D0607</v>
      </c>
      <c r="M612" s="76" t="s">
        <v>96</v>
      </c>
      <c r="N612" s="77"/>
      <c r="O612" s="78" t="s">
        <v>97</v>
      </c>
      <c r="P612" s="79" t="n">
        <f aca="false">COUNTIFS(임대자산!$I:$I,가맹점정보!F612,임대자산!$N:$N,가맹점정보!P$4)</f>
        <v>0</v>
      </c>
      <c r="Q612" s="80" t="n">
        <f aca="false">COUNTIFS(임대자산!$I:$I,가맹점정보!F612,임대자산!$N:$N,가맹점정보!Q$4)</f>
        <v>1</v>
      </c>
      <c r="R612" s="81" t="n">
        <f aca="false">COUNTIFS(임대자산!$I:$I,가맹점정보!F612,임대자산!$N:$N,가맹점정보!R$4)</f>
        <v>0</v>
      </c>
      <c r="S612" s="82" t="n">
        <v>55000</v>
      </c>
      <c r="T612" s="83" t="n">
        <v>0</v>
      </c>
      <c r="U612" s="80" t="n">
        <f aca="false">SUM(S612:T612)</f>
        <v>55000</v>
      </c>
      <c r="V612" s="84" t="s">
        <v>12</v>
      </c>
      <c r="W612" s="80" t="e">
        <f aca="true">
IF(D612="폐업","폐업",
IF(V612="면제","면제",
IF(AND(V612="정상",COUNTIFS(OFFSET(Y612,0,COUNTA(Y612:AV612)-1,1,-4),"미납")&gt;=3),"장기미납",
IF(AND(V612="정상",OFFSET(Y612,0,COUNTA(Y612:AV612)-1)&gt;=U612),"정상",
IF(AND(V612="정상",OFFSET(Y612,0,COUNTA(Y612:AV612)-1)=0),"정상",
"계약서 미작성")))))</f>
        <v>#VALUE!</v>
      </c>
      <c r="X612" s="81" t="str">
        <f aca="true">
IF(D612="폐업","폐업",
IF(AND(V612="정상",OFFSET(Y612,0,COUNTA(Y612:AV612)-1)="미납"),"미납",
IF(AND(V612="정상",OFFSET(Y612,0,COUNTA(Y612:AV612)-1)=0),"납부 시작 전",
IF(AND(V612="정상",OFFSET(Y612,0,COUNTA(Y612:AV612)-1)&gt;=U612),"정상",
IF(AND(V612="면제",OFFSET(Y612,0,COUNTA(Y612:AV612)-1)="면제"),"면제",
IF(AND(V612="면제",OFFSET(Y612,0,COUNTA(Y612:AV612)-1)=0),"면제",
"확인요청"))))))</f>
        <v>정상</v>
      </c>
      <c r="Y612" s="93" t="n">
        <v>55000</v>
      </c>
      <c r="Z612" s="90" t="n">
        <v>55000</v>
      </c>
      <c r="AA612" s="90" t="n">
        <v>55000</v>
      </c>
      <c r="AB612" s="90" t="n">
        <v>55000</v>
      </c>
      <c r="AC612" s="90" t="n">
        <v>55000</v>
      </c>
      <c r="AD612" s="90" t="n">
        <v>55000</v>
      </c>
      <c r="AE612" s="90" t="n">
        <v>55000</v>
      </c>
      <c r="AF612" s="90" t="n">
        <v>55000</v>
      </c>
      <c r="AG612" s="90" t="n">
        <v>55000</v>
      </c>
      <c r="AH612" s="90" t="n">
        <v>55000</v>
      </c>
      <c r="AI612" s="90" t="n">
        <v>55000</v>
      </c>
      <c r="AJ612" s="91" t="n">
        <v>55000</v>
      </c>
      <c r="AK612" s="89" t="n">
        <v>55000</v>
      </c>
      <c r="AL612" s="90" t="n">
        <v>55000</v>
      </c>
      <c r="AM612" s="90"/>
      <c r="AN612" s="90"/>
      <c r="AO612" s="90"/>
      <c r="AP612" s="90"/>
      <c r="AQ612" s="90"/>
      <c r="AR612" s="90"/>
      <c r="AS612" s="90"/>
      <c r="AT612" s="90"/>
      <c r="AU612" s="90"/>
      <c r="AV612" s="91"/>
      <c r="AX612" s="92"/>
    </row>
    <row r="613" customFormat="false" ht="15.65" hidden="false" customHeight="false" outlineLevel="0" collapsed="false">
      <c r="C613" s="72" t="n">
        <f aca="false">COUNTIFS($D$6:D613,"&lt;&gt;"&amp;"")</f>
        <v>608</v>
      </c>
      <c r="D613" s="73" t="s">
        <v>12</v>
      </c>
      <c r="E613" s="76" t="str">
        <f aca="false">
IF($D613="정상",INDEX(임대자산!$D$3:$R$3000,MATCH($F613,임대자산!$I$3:$I$3000,0),MATCH(E$3,임대자산!$D$3:$R$3,0)),
IF($D613="폐업",INDEX(폐업정보!$D$3:$R$3000,MATCH($F613,폐업정보!$I$3:$I$3000,0),MATCH(E$3,폐업정보!$D$3:$R$3,0)),
"Error"))</f>
        <v>강원</v>
      </c>
      <c r="F61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B0608</v>
      </c>
      <c r="G613" s="76" t="str">
        <f aca="false">F613&amp;RANDBETWEEN(0,10)</f>
        <v>B06085</v>
      </c>
      <c r="H613" s="75" t="n">
        <f aca="false">
IF($D613="정상",INDEX(임대자산!$D$3:$R$3000,MATCH($F613,임대자산!$I$3:$I$3000,0),MATCH(H$4,임대자산!$D$3:$R$3,0)),
IF($D613="폐업",INDEX(폐업정보!$D$3:$R$3000,MATCH($F613,폐업정보!$I$3:$I$3000,0),MATCH(H$4,폐업정보!$D$3:$R$3,0)),
"Error"))</f>
        <v>45196</v>
      </c>
      <c r="I613" s="75" t="str">
        <f aca="false">
IF($D613="정상",INDEX(임대자산!$D$3:$R$3000,MATCH($F613,임대자산!$I$3:$I$3000,0),MATCH(I$4,임대자산!$D$3:$R$3,0)),
IF($D613="폐업",INDEX(폐업정보!$D$3:$R$3000,MATCH($F613,폐업정보!$I$3:$I$3000,0),MATCH(I$4,폐업정보!$D$3:$R$3,0)),
"Error"))</f>
        <v>A0608</v>
      </c>
      <c r="J613" s="75" t="str">
        <f aca="false">
IF($D613="정상",INDEX(임대자산!$D$3:$R$3000,MATCH($F613,임대자산!$I$3:$I$3000,0),MATCH(J$4,임대자산!$D$3:$R$3,0)),
IF($D613="폐업",INDEX(폐업정보!$D$3:$R$3000,MATCH($F613,폐업정보!$I$3:$I$3000,0),MATCH(J$4,폐업정보!$D$3:$R$3,0)),
"Error"))</f>
        <v>3521600000</v>
      </c>
      <c r="K613" s="75" t="str">
        <f aca="false">
IF($D613="정상",INDEX(임대자산!$D$3:$R$3000,MATCH($F613,임대자산!$I$3:$I$3000,0),MATCH(K$4,임대자산!$D$3:$R$3,0)),
IF($D613="폐업",INDEX(폐업정보!$D$3:$R$3000,MATCH($F613,폐업정보!$I$3:$I$3000,0),MATCH(K$4,폐업정보!$D$3:$R$3,0)),
"Error"))</f>
        <v>C0608</v>
      </c>
      <c r="L613" s="75" t="str">
        <f aca="false">
IF($D613="정상",INDEX(임대자산!$D$3:$R$3000,MATCH($F613,임대자산!$I$3:$I$3000,0),MATCH(L$4,임대자산!$D$3:$R$3,0)),
IF($D613="폐업",INDEX(폐업정보!$D$3:$R$3000,MATCH($F613,폐업정보!$I$3:$I$3000,0),MATCH(L$4,폐업정보!$D$3:$R$3,0)),
"Error"))</f>
        <v>D0608</v>
      </c>
      <c r="M613" s="76" t="s">
        <v>96</v>
      </c>
      <c r="N613" s="77"/>
      <c r="O613" s="78" t="s">
        <v>97</v>
      </c>
      <c r="P613" s="79" t="n">
        <f aca="false">COUNTIFS(임대자산!$I:$I,가맹점정보!F613,임대자산!$N:$N,가맹점정보!P$4)</f>
        <v>0</v>
      </c>
      <c r="Q613" s="80" t="n">
        <f aca="false">COUNTIFS(임대자산!$I:$I,가맹점정보!F613,임대자산!$N:$N,가맹점정보!Q$4)</f>
        <v>1</v>
      </c>
      <c r="R613" s="81" t="n">
        <f aca="false">COUNTIFS(임대자산!$I:$I,가맹점정보!F613,임대자산!$N:$N,가맹점정보!R$4)</f>
        <v>0</v>
      </c>
      <c r="S613" s="82" t="n">
        <v>55000</v>
      </c>
      <c r="T613" s="83" t="n">
        <v>0</v>
      </c>
      <c r="U613" s="80" t="n">
        <f aca="false">SUM(S613:T613)</f>
        <v>55000</v>
      </c>
      <c r="V613" s="84" t="s">
        <v>12</v>
      </c>
      <c r="W613" s="80" t="e">
        <f aca="true">
IF(D613="폐업","폐업",
IF(V613="면제","면제",
IF(AND(V613="정상",COUNTIFS(OFFSET(Y613,0,COUNTA(Y613:AV613)-1,1,-4),"미납")&gt;=3),"장기미납",
IF(AND(V613="정상",OFFSET(Y613,0,COUNTA(Y613:AV613)-1)&gt;=U613),"정상",
IF(AND(V613="정상",OFFSET(Y613,0,COUNTA(Y613:AV613)-1)=0),"정상",
"계약서 미작성")))))</f>
        <v>#VALUE!</v>
      </c>
      <c r="X613" s="81" t="str">
        <f aca="true">
IF(D613="폐업","폐업",
IF(AND(V613="정상",OFFSET(Y613,0,COUNTA(Y613:AV613)-1)="미납"),"미납",
IF(AND(V613="정상",OFFSET(Y613,0,COUNTA(Y613:AV613)-1)=0),"납부 시작 전",
IF(AND(V613="정상",OFFSET(Y613,0,COUNTA(Y613:AV613)-1)&gt;=U613),"정상",
IF(AND(V613="면제",OFFSET(Y613,0,COUNTA(Y613:AV613)-1)="면제"),"면제",
IF(AND(V613="면제",OFFSET(Y613,0,COUNTA(Y613:AV613)-1)=0),"면제",
"확인요청"))))))</f>
        <v>정상</v>
      </c>
      <c r="Y613" s="93" t="n">
        <v>55000</v>
      </c>
      <c r="Z613" s="90" t="n">
        <v>55000</v>
      </c>
      <c r="AA613" s="90" t="n">
        <v>55000</v>
      </c>
      <c r="AB613" s="90" t="n">
        <v>55000</v>
      </c>
      <c r="AC613" s="90" t="n">
        <v>55000</v>
      </c>
      <c r="AD613" s="90" t="n">
        <v>55000</v>
      </c>
      <c r="AE613" s="90" t="n">
        <v>55000</v>
      </c>
      <c r="AF613" s="90" t="n">
        <v>55000</v>
      </c>
      <c r="AG613" s="90" t="n">
        <v>55000</v>
      </c>
      <c r="AH613" s="90" t="n">
        <v>55000</v>
      </c>
      <c r="AI613" s="90" t="n">
        <v>55000</v>
      </c>
      <c r="AJ613" s="91" t="n">
        <v>55000</v>
      </c>
      <c r="AK613" s="89" t="n">
        <v>55000</v>
      </c>
      <c r="AL613" s="90" t="n">
        <v>55000</v>
      </c>
      <c r="AM613" s="90"/>
      <c r="AN613" s="90"/>
      <c r="AO613" s="90"/>
      <c r="AP613" s="90"/>
      <c r="AQ613" s="90"/>
      <c r="AR613" s="90"/>
      <c r="AS613" s="90"/>
      <c r="AT613" s="90"/>
      <c r="AU613" s="90"/>
      <c r="AV613" s="91"/>
      <c r="AX613" s="92"/>
    </row>
    <row r="614" customFormat="false" ht="15.65" hidden="false" customHeight="false" outlineLevel="0" collapsed="false">
      <c r="C614" s="72" t="n">
        <f aca="false">COUNTIFS($D$6:D614,"&lt;&gt;"&amp;"")</f>
        <v>609</v>
      </c>
      <c r="D614" s="73" t="s">
        <v>12</v>
      </c>
      <c r="E614" s="76" t="str">
        <f aca="false">
IF($D614="정상",INDEX(임대자산!$D$3:$R$3000,MATCH($F614,임대자산!$I$3:$I$3000,0),MATCH(E$3,임대자산!$D$3:$R$3,0)),
IF($D614="폐업",INDEX(폐업정보!$D$3:$R$3000,MATCH($F614,폐업정보!$I$3:$I$3000,0),MATCH(E$3,폐업정보!$D$3:$R$3,0)),
"Error"))</f>
        <v>서울</v>
      </c>
      <c r="F61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B0609</v>
      </c>
      <c r="G614" s="76" t="str">
        <f aca="false">F614&amp;RANDBETWEEN(0,10)</f>
        <v>B06093</v>
      </c>
      <c r="H614" s="75" t="n">
        <f aca="false">
IF($D614="정상",INDEX(임대자산!$D$3:$R$3000,MATCH($F614,임대자산!$I$3:$I$3000,0),MATCH(H$4,임대자산!$D$3:$R$3,0)),
IF($D614="폐업",INDEX(폐업정보!$D$3:$R$3000,MATCH($F614,폐업정보!$I$3:$I$3000,0),MATCH(H$4,폐업정보!$D$3:$R$3,0)),
"Error"))</f>
        <v>43942</v>
      </c>
      <c r="I614" s="75" t="str">
        <f aca="false">
IF($D614="정상",INDEX(임대자산!$D$3:$R$3000,MATCH($F614,임대자산!$I$3:$I$3000,0),MATCH(I$4,임대자산!$D$3:$R$3,0)),
IF($D614="폐업",INDEX(폐업정보!$D$3:$R$3000,MATCH($F614,폐업정보!$I$3:$I$3000,0),MATCH(I$4,폐업정보!$D$3:$R$3,0)),
"Error"))</f>
        <v>A0609</v>
      </c>
      <c r="J614" s="75" t="str">
        <f aca="false">
IF($D614="정상",INDEX(임대자산!$D$3:$R$3000,MATCH($F614,임대자산!$I$3:$I$3000,0),MATCH(J$4,임대자산!$D$3:$R$3,0)),
IF($D614="폐업",INDEX(폐업정보!$D$3:$R$3000,MATCH($F614,폐업정보!$I$3:$I$3000,0),MATCH(J$4,폐업정보!$D$3:$R$3,0)),
"Error"))</f>
        <v>8643400000</v>
      </c>
      <c r="K614" s="75" t="str">
        <f aca="false">
IF($D614="정상",INDEX(임대자산!$D$3:$R$3000,MATCH($F614,임대자산!$I$3:$I$3000,0),MATCH(K$4,임대자산!$D$3:$R$3,0)),
IF($D614="폐업",INDEX(폐업정보!$D$3:$R$3000,MATCH($F614,폐업정보!$I$3:$I$3000,0),MATCH(K$4,폐업정보!$D$3:$R$3,0)),
"Error"))</f>
        <v>C0609</v>
      </c>
      <c r="L614" s="75" t="str">
        <f aca="false">
IF($D614="정상",INDEX(임대자산!$D$3:$R$3000,MATCH($F614,임대자산!$I$3:$I$3000,0),MATCH(L$4,임대자산!$D$3:$R$3,0)),
IF($D614="폐업",INDEX(폐업정보!$D$3:$R$3000,MATCH($F614,폐업정보!$I$3:$I$3000,0),MATCH(L$4,폐업정보!$D$3:$R$3,0)),
"Error"))</f>
        <v>D0609</v>
      </c>
      <c r="M614" s="76" t="s">
        <v>96</v>
      </c>
      <c r="N614" s="77"/>
      <c r="O614" s="78" t="s">
        <v>97</v>
      </c>
      <c r="P614" s="79" t="n">
        <f aca="false">COUNTIFS(임대자산!$I:$I,가맹점정보!F614,임대자산!$N:$N,가맹점정보!P$4)</f>
        <v>0</v>
      </c>
      <c r="Q614" s="80" t="n">
        <f aca="false">COUNTIFS(임대자산!$I:$I,가맹점정보!F614,임대자산!$N:$N,가맹점정보!Q$4)</f>
        <v>1</v>
      </c>
      <c r="R614" s="81" t="n">
        <f aca="false">COUNTIFS(임대자산!$I:$I,가맹점정보!F614,임대자산!$N:$N,가맹점정보!R$4)</f>
        <v>0</v>
      </c>
      <c r="S614" s="82" t="n">
        <v>55000</v>
      </c>
      <c r="T614" s="83" t="n">
        <v>0</v>
      </c>
      <c r="U614" s="80" t="n">
        <f aca="false">SUM(S614:T614)</f>
        <v>55000</v>
      </c>
      <c r="V614" s="84" t="s">
        <v>12</v>
      </c>
      <c r="W614" s="80" t="e">
        <f aca="true">
IF(D614="폐업","폐업",
IF(V614="면제","면제",
IF(AND(V614="정상",COUNTIFS(OFFSET(Y614,0,COUNTA(Y614:AV614)-1,1,-4),"미납")&gt;=3),"장기미납",
IF(AND(V614="정상",OFFSET(Y614,0,COUNTA(Y614:AV614)-1)&gt;=U614),"정상",
IF(AND(V614="정상",OFFSET(Y614,0,COUNTA(Y614:AV614)-1)=0),"정상",
"계약서 미작성")))))</f>
        <v>#VALUE!</v>
      </c>
      <c r="X614" s="81" t="str">
        <f aca="true">
IF(D614="폐업","폐업",
IF(AND(V614="정상",OFFSET(Y614,0,COUNTA(Y614:AV614)-1)="미납"),"미납",
IF(AND(V614="정상",OFFSET(Y614,0,COUNTA(Y614:AV614)-1)=0),"납부 시작 전",
IF(AND(V614="정상",OFFSET(Y614,0,COUNTA(Y614:AV614)-1)&gt;=U614),"정상",
IF(AND(V614="면제",OFFSET(Y614,0,COUNTA(Y614:AV614)-1)="면제"),"면제",
IF(AND(V614="면제",OFFSET(Y614,0,COUNTA(Y614:AV614)-1)=0),"면제",
"확인요청"))))))</f>
        <v>미납</v>
      </c>
      <c r="Y614" s="93" t="n">
        <v>55000</v>
      </c>
      <c r="Z614" s="90" t="n">
        <v>55000</v>
      </c>
      <c r="AA614" s="90" t="n">
        <v>55000</v>
      </c>
      <c r="AB614" s="90" t="n">
        <v>55000</v>
      </c>
      <c r="AC614" s="90" t="n">
        <v>55000</v>
      </c>
      <c r="AD614" s="90" t="n">
        <v>55000</v>
      </c>
      <c r="AE614" s="90" t="n">
        <v>55000</v>
      </c>
      <c r="AF614" s="90" t="n">
        <v>55000</v>
      </c>
      <c r="AG614" s="90" t="n">
        <v>55000</v>
      </c>
      <c r="AH614" s="90" t="n">
        <v>55000</v>
      </c>
      <c r="AI614" s="90" t="n">
        <v>55000</v>
      </c>
      <c r="AJ614" s="91" t="n">
        <v>55000</v>
      </c>
      <c r="AK614" s="89" t="n">
        <v>55000</v>
      </c>
      <c r="AL614" s="95" t="s">
        <v>62</v>
      </c>
      <c r="AM614" s="90"/>
      <c r="AN614" s="90"/>
      <c r="AO614" s="90"/>
      <c r="AP614" s="90"/>
      <c r="AQ614" s="90"/>
      <c r="AR614" s="90"/>
      <c r="AS614" s="90"/>
      <c r="AT614" s="90"/>
      <c r="AU614" s="90"/>
      <c r="AV614" s="91"/>
      <c r="AX614" s="92"/>
    </row>
    <row r="615" customFormat="false" ht="15.65" hidden="false" customHeight="false" outlineLevel="0" collapsed="false">
      <c r="C615" s="72" t="n">
        <f aca="false">COUNTIFS($D$6:D615,"&lt;&gt;"&amp;"")</f>
        <v>610</v>
      </c>
      <c r="D615" s="73" t="s">
        <v>12</v>
      </c>
      <c r="E615" s="76" t="str">
        <f aca="false">
IF($D615="정상",INDEX(임대자산!$D$3:$R$3000,MATCH($F615,임대자산!$I$3:$I$3000,0),MATCH(E$3,임대자산!$D$3:$R$3,0)),
IF($D615="폐업",INDEX(폐업정보!$D$3:$R$3000,MATCH($F615,폐업정보!$I$3:$I$3000,0),MATCH(E$3,폐업정보!$D$3:$R$3,0)),
"Error"))</f>
        <v>경기</v>
      </c>
      <c r="F61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B0610</v>
      </c>
      <c r="G615" s="76" t="str">
        <f aca="false">F615&amp;RANDBETWEEN(0,10)</f>
        <v>B06105</v>
      </c>
      <c r="H615" s="75" t="n">
        <f aca="false">
IF($D615="정상",INDEX(임대자산!$D$3:$R$3000,MATCH($F615,임대자산!$I$3:$I$3000,0),MATCH(H$4,임대자산!$D$3:$R$3,0)),
IF($D615="폐업",INDEX(폐업정보!$D$3:$R$3000,MATCH($F615,폐업정보!$I$3:$I$3000,0),MATCH(H$4,폐업정보!$D$3:$R$3,0)),
"Error"))</f>
        <v>43468</v>
      </c>
      <c r="I615" s="75" t="str">
        <f aca="false">
IF($D615="정상",INDEX(임대자산!$D$3:$R$3000,MATCH($F615,임대자산!$I$3:$I$3000,0),MATCH(I$4,임대자산!$D$3:$R$3,0)),
IF($D615="폐업",INDEX(폐업정보!$D$3:$R$3000,MATCH($F615,폐업정보!$I$3:$I$3000,0),MATCH(I$4,폐업정보!$D$3:$R$3,0)),
"Error"))</f>
        <v>A0610</v>
      </c>
      <c r="J615" s="75" t="str">
        <f aca="false">
IF($D615="정상",INDEX(임대자산!$D$3:$R$3000,MATCH($F615,임대자산!$I$3:$I$3000,0),MATCH(J$4,임대자산!$D$3:$R$3,0)),
IF($D615="폐업",INDEX(폐업정보!$D$3:$R$3000,MATCH($F615,폐업정보!$I$3:$I$3000,0),MATCH(J$4,폐업정보!$D$3:$R$3,0)),
"Error"))</f>
        <v>9280600000</v>
      </c>
      <c r="K615" s="75" t="str">
        <f aca="false">
IF($D615="정상",INDEX(임대자산!$D$3:$R$3000,MATCH($F615,임대자산!$I$3:$I$3000,0),MATCH(K$4,임대자산!$D$3:$R$3,0)),
IF($D615="폐업",INDEX(폐업정보!$D$3:$R$3000,MATCH($F615,폐업정보!$I$3:$I$3000,0),MATCH(K$4,폐업정보!$D$3:$R$3,0)),
"Error"))</f>
        <v>C0610</v>
      </c>
      <c r="L615" s="75" t="str">
        <f aca="false">
IF($D615="정상",INDEX(임대자산!$D$3:$R$3000,MATCH($F615,임대자산!$I$3:$I$3000,0),MATCH(L$4,임대자산!$D$3:$R$3,0)),
IF($D615="폐업",INDEX(폐업정보!$D$3:$R$3000,MATCH($F615,폐업정보!$I$3:$I$3000,0),MATCH(L$4,폐업정보!$D$3:$R$3,0)),
"Error"))</f>
        <v>D0610</v>
      </c>
      <c r="M615" s="76" t="s">
        <v>96</v>
      </c>
      <c r="N615" s="77"/>
      <c r="O615" s="78" t="s">
        <v>97</v>
      </c>
      <c r="P615" s="79" t="n">
        <f aca="false">COUNTIFS(임대자산!$I:$I,가맹점정보!F615,임대자산!$N:$N,가맹점정보!P$4)</f>
        <v>0</v>
      </c>
      <c r="Q615" s="80" t="n">
        <f aca="false">COUNTIFS(임대자산!$I:$I,가맹점정보!F615,임대자산!$N:$N,가맹점정보!Q$4)</f>
        <v>1</v>
      </c>
      <c r="R615" s="81" t="n">
        <f aca="false">COUNTIFS(임대자산!$I:$I,가맹점정보!F615,임대자산!$N:$N,가맹점정보!R$4)</f>
        <v>0</v>
      </c>
      <c r="S615" s="82" t="n">
        <v>55000</v>
      </c>
      <c r="T615" s="83" t="n">
        <v>0</v>
      </c>
      <c r="U615" s="80" t="n">
        <f aca="false">SUM(S615:T615)</f>
        <v>55000</v>
      </c>
      <c r="V615" s="84" t="s">
        <v>12</v>
      </c>
      <c r="W615" s="80" t="e">
        <f aca="true">
IF(D615="폐업","폐업",
IF(V615="면제","면제",
IF(AND(V615="정상",COUNTIFS(OFFSET(Y615,0,COUNTA(Y615:AV615)-1,1,-4),"미납")&gt;=3),"장기미납",
IF(AND(V615="정상",OFFSET(Y615,0,COUNTA(Y615:AV615)-1)&gt;=U615),"정상",
IF(AND(V615="정상",OFFSET(Y615,0,COUNTA(Y615:AV615)-1)=0),"정상",
"계약서 미작성")))))</f>
        <v>#VALUE!</v>
      </c>
      <c r="X615" s="81" t="str">
        <f aca="true">
IF(D615="폐업","폐업",
IF(AND(V615="정상",OFFSET(Y615,0,COUNTA(Y615:AV615)-1)="미납"),"미납",
IF(AND(V615="정상",OFFSET(Y615,0,COUNTA(Y615:AV615)-1)=0),"납부 시작 전",
IF(AND(V615="정상",OFFSET(Y615,0,COUNTA(Y615:AV615)-1)&gt;=U615),"정상",
IF(AND(V615="면제",OFFSET(Y615,0,COUNTA(Y615:AV615)-1)="면제"),"면제",
IF(AND(V615="면제",OFFSET(Y615,0,COUNTA(Y615:AV615)-1)=0),"면제",
"확인요청"))))))</f>
        <v>정상</v>
      </c>
      <c r="Y615" s="93" t="n">
        <v>55000</v>
      </c>
      <c r="Z615" s="90" t="n">
        <v>55000</v>
      </c>
      <c r="AA615" s="90" t="n">
        <v>55000</v>
      </c>
      <c r="AB615" s="90" t="n">
        <v>55000</v>
      </c>
      <c r="AC615" s="90" t="n">
        <v>55000</v>
      </c>
      <c r="AD615" s="90" t="n">
        <v>55000</v>
      </c>
      <c r="AE615" s="90" t="n">
        <v>55000</v>
      </c>
      <c r="AF615" s="90" t="n">
        <v>55000</v>
      </c>
      <c r="AG615" s="90" t="n">
        <v>55000</v>
      </c>
      <c r="AH615" s="90" t="n">
        <v>55000</v>
      </c>
      <c r="AI615" s="90" t="n">
        <v>55000</v>
      </c>
      <c r="AJ615" s="91" t="n">
        <v>55000</v>
      </c>
      <c r="AK615" s="89" t="n">
        <v>55000</v>
      </c>
      <c r="AL615" s="90" t="n">
        <v>55000</v>
      </c>
      <c r="AM615" s="90"/>
      <c r="AN615" s="90"/>
      <c r="AO615" s="90"/>
      <c r="AP615" s="90"/>
      <c r="AQ615" s="90"/>
      <c r="AR615" s="90"/>
      <c r="AS615" s="90"/>
      <c r="AT615" s="90"/>
      <c r="AU615" s="90"/>
      <c r="AV615" s="91"/>
      <c r="AX615" s="92"/>
    </row>
    <row r="616" customFormat="false" ht="15.65" hidden="false" customHeight="false" outlineLevel="0" collapsed="false">
      <c r="C616" s="72" t="n">
        <f aca="false">COUNTIFS($D$6:D616,"&lt;&gt;"&amp;"")</f>
        <v>611</v>
      </c>
      <c r="D616" s="73" t="s">
        <v>12</v>
      </c>
      <c r="E616" s="76" t="str">
        <f aca="false">
IF($D616="정상",INDEX(임대자산!$D$3:$R$3000,MATCH($F616,임대자산!$I$3:$I$3000,0),MATCH(E$3,임대자산!$D$3:$R$3,0)),
IF($D616="폐업",INDEX(폐업정보!$D$3:$R$3000,MATCH($F616,폐업정보!$I$3:$I$3000,0),MATCH(E$3,폐업정보!$D$3:$R$3,0)),
"Error"))</f>
        <v>경기</v>
      </c>
      <c r="F61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B0611</v>
      </c>
      <c r="G616" s="76" t="str">
        <f aca="false">F616&amp;RANDBETWEEN(0,10)</f>
        <v>B06116</v>
      </c>
      <c r="H616" s="75" t="n">
        <f aca="false">
IF($D616="정상",INDEX(임대자산!$D$3:$R$3000,MATCH($F616,임대자산!$I$3:$I$3000,0),MATCH(H$4,임대자산!$D$3:$R$3,0)),
IF($D616="폐업",INDEX(폐업정보!$D$3:$R$3000,MATCH($F616,폐업정보!$I$3:$I$3000,0),MATCH(H$4,폐업정보!$D$3:$R$3,0)),
"Error"))</f>
        <v>43950</v>
      </c>
      <c r="I616" s="75" t="str">
        <f aca="false">
IF($D616="정상",INDEX(임대자산!$D$3:$R$3000,MATCH($F616,임대자산!$I$3:$I$3000,0),MATCH(I$4,임대자산!$D$3:$R$3,0)),
IF($D616="폐업",INDEX(폐업정보!$D$3:$R$3000,MATCH($F616,폐업정보!$I$3:$I$3000,0),MATCH(I$4,폐업정보!$D$3:$R$3,0)),
"Error"))</f>
        <v>A0611</v>
      </c>
      <c r="J616" s="75" t="str">
        <f aca="false">
IF($D616="정상",INDEX(임대자산!$D$3:$R$3000,MATCH($F616,임대자산!$I$3:$I$3000,0),MATCH(J$4,임대자산!$D$3:$R$3,0)),
IF($D616="폐업",INDEX(폐업정보!$D$3:$R$3000,MATCH($F616,폐업정보!$I$3:$I$3000,0),MATCH(J$4,폐업정보!$D$3:$R$3,0)),
"Error"))</f>
        <v>8883400000</v>
      </c>
      <c r="K616" s="75" t="str">
        <f aca="false">
IF($D616="정상",INDEX(임대자산!$D$3:$R$3000,MATCH($F616,임대자산!$I$3:$I$3000,0),MATCH(K$4,임대자산!$D$3:$R$3,0)),
IF($D616="폐업",INDEX(폐업정보!$D$3:$R$3000,MATCH($F616,폐업정보!$I$3:$I$3000,0),MATCH(K$4,폐업정보!$D$3:$R$3,0)),
"Error"))</f>
        <v>C0611</v>
      </c>
      <c r="L616" s="75" t="str">
        <f aca="false">
IF($D616="정상",INDEX(임대자산!$D$3:$R$3000,MATCH($F616,임대자산!$I$3:$I$3000,0),MATCH(L$4,임대자산!$D$3:$R$3,0)),
IF($D616="폐업",INDEX(폐업정보!$D$3:$R$3000,MATCH($F616,폐업정보!$I$3:$I$3000,0),MATCH(L$4,폐업정보!$D$3:$R$3,0)),
"Error"))</f>
        <v>D0611</v>
      </c>
      <c r="M616" s="76" t="s">
        <v>96</v>
      </c>
      <c r="N616" s="77"/>
      <c r="O616" s="78" t="s">
        <v>97</v>
      </c>
      <c r="P616" s="79" t="n">
        <f aca="false">COUNTIFS(임대자산!$I:$I,가맹점정보!F616,임대자산!$N:$N,가맹점정보!P$4)</f>
        <v>0</v>
      </c>
      <c r="Q616" s="80" t="n">
        <f aca="false">COUNTIFS(임대자산!$I:$I,가맹점정보!F616,임대자산!$N:$N,가맹점정보!Q$4)</f>
        <v>1</v>
      </c>
      <c r="R616" s="81" t="n">
        <f aca="false">COUNTIFS(임대자산!$I:$I,가맹점정보!F616,임대자산!$N:$N,가맹점정보!R$4)</f>
        <v>0</v>
      </c>
      <c r="S616" s="82" t="n">
        <v>55000</v>
      </c>
      <c r="T616" s="83" t="n">
        <v>0</v>
      </c>
      <c r="U616" s="80" t="n">
        <f aca="false">SUM(S616:T616)</f>
        <v>55000</v>
      </c>
      <c r="V616" s="84" t="s">
        <v>12</v>
      </c>
      <c r="W616" s="80" t="e">
        <f aca="true">
IF(D616="폐업","폐업",
IF(V616="면제","면제",
IF(AND(V616="정상",COUNTIFS(OFFSET(Y616,0,COUNTA(Y616:AV616)-1,1,-4),"미납")&gt;=3),"장기미납",
IF(AND(V616="정상",OFFSET(Y616,0,COUNTA(Y616:AV616)-1)&gt;=U616),"정상",
IF(AND(V616="정상",OFFSET(Y616,0,COUNTA(Y616:AV616)-1)=0),"정상",
"계약서 미작성")))))</f>
        <v>#VALUE!</v>
      </c>
      <c r="X616" s="81" t="str">
        <f aca="true">
IF(D616="폐업","폐업",
IF(AND(V616="정상",OFFSET(Y616,0,COUNTA(Y616:AV616)-1)="미납"),"미납",
IF(AND(V616="정상",OFFSET(Y616,0,COUNTA(Y616:AV616)-1)=0),"납부 시작 전",
IF(AND(V616="정상",OFFSET(Y616,0,COUNTA(Y616:AV616)-1)&gt;=U616),"정상",
IF(AND(V616="면제",OFFSET(Y616,0,COUNTA(Y616:AV616)-1)="면제"),"면제",
IF(AND(V616="면제",OFFSET(Y616,0,COUNTA(Y616:AV616)-1)=0),"면제",
"확인요청"))))))</f>
        <v>정상</v>
      </c>
      <c r="Y616" s="93" t="n">
        <v>55000</v>
      </c>
      <c r="Z616" s="90" t="n">
        <v>55000</v>
      </c>
      <c r="AA616" s="90" t="n">
        <v>55000</v>
      </c>
      <c r="AB616" s="90" t="n">
        <v>55000</v>
      </c>
      <c r="AC616" s="90" t="n">
        <v>55000</v>
      </c>
      <c r="AD616" s="90" t="n">
        <v>55000</v>
      </c>
      <c r="AE616" s="90" t="n">
        <v>55000</v>
      </c>
      <c r="AF616" s="90" t="n">
        <v>55000</v>
      </c>
      <c r="AG616" s="90" t="n">
        <v>55000</v>
      </c>
      <c r="AH616" s="90" t="n">
        <v>55000</v>
      </c>
      <c r="AI616" s="90" t="n">
        <v>55000</v>
      </c>
      <c r="AJ616" s="91" t="n">
        <v>55000</v>
      </c>
      <c r="AK616" s="89" t="n">
        <v>55000</v>
      </c>
      <c r="AL616" s="90" t="n">
        <v>55000</v>
      </c>
      <c r="AM616" s="90"/>
      <c r="AN616" s="90"/>
      <c r="AO616" s="90"/>
      <c r="AP616" s="90"/>
      <c r="AQ616" s="90"/>
      <c r="AR616" s="90"/>
      <c r="AS616" s="90"/>
      <c r="AT616" s="90"/>
      <c r="AU616" s="90"/>
      <c r="AV616" s="91"/>
      <c r="AX616" s="92"/>
    </row>
    <row r="617" customFormat="false" ht="15.65" hidden="false" customHeight="false" outlineLevel="0" collapsed="false">
      <c r="C617" s="72" t="n">
        <f aca="false">COUNTIFS($D$6:D617,"&lt;&gt;"&amp;"")</f>
        <v>612</v>
      </c>
      <c r="D617" s="73" t="s">
        <v>5</v>
      </c>
      <c r="E617" s="76" t="str">
        <f aca="false">
IF($D617="정상",INDEX(임대자산!$D$3:$R$3000,MATCH($F617,임대자산!$I$3:$I$3000,0),MATCH(E$3,임대자산!$D$3:$R$3,0)),
IF($D617="폐업",INDEX(폐업정보!$D$3:$R$3000,MATCH($F617,폐업정보!$I$3:$I$3000,0),MATCH(E$3,폐업정보!$D$3:$R$3,0)),
"Error"))</f>
        <v>경기</v>
      </c>
      <c r="F61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B0612</v>
      </c>
      <c r="G617" s="76" t="str">
        <f aca="false">F617&amp;RANDBETWEEN(0,10)</f>
        <v>B06121</v>
      </c>
      <c r="H617" s="75" t="n">
        <f aca="false">
IF($D617="정상",INDEX(임대자산!$D$3:$R$3000,MATCH($F617,임대자산!$I$3:$I$3000,0),MATCH(H$4,임대자산!$D$3:$R$3,0)),
IF($D617="폐업",INDEX(폐업정보!$D$3:$R$3000,MATCH($F617,폐업정보!$I$3:$I$3000,0),MATCH(H$4,폐업정보!$D$3:$R$3,0)),
"Error"))</f>
        <v>43950</v>
      </c>
      <c r="I617" s="75" t="str">
        <f aca="false">
IF($D617="정상",INDEX(임대자산!$D$3:$R$3000,MATCH($F617,임대자산!$I$3:$I$3000,0),MATCH(I$4,임대자산!$D$3:$R$3,0)),
IF($D617="폐업",INDEX(폐업정보!$D$3:$R$3000,MATCH($F617,폐업정보!$I$3:$I$3000,0),MATCH(I$4,폐업정보!$D$3:$R$3,0)),
"Error"))</f>
        <v>A0612</v>
      </c>
      <c r="J617" s="75" t="str">
        <f aca="false">
IF($D617="정상",INDEX(임대자산!$D$3:$R$3000,MATCH($F617,임대자산!$I$3:$I$3000,0),MATCH(J$4,임대자산!$D$3:$R$3,0)),
IF($D617="폐업",INDEX(폐업정보!$D$3:$R$3000,MATCH($F617,폐업정보!$I$3:$I$3000,0),MATCH(J$4,폐업정보!$D$3:$R$3,0)),
"Error"))</f>
        <v>7649900000</v>
      </c>
      <c r="K617" s="75" t="str">
        <f aca="false">
IF($D617="정상",INDEX(임대자산!$D$3:$R$3000,MATCH($F617,임대자산!$I$3:$I$3000,0),MATCH(K$4,임대자산!$D$3:$R$3,0)),
IF($D617="폐업",INDEX(폐업정보!$D$3:$R$3000,MATCH($F617,폐업정보!$I$3:$I$3000,0),MATCH(K$4,폐업정보!$D$3:$R$3,0)),
"Error"))</f>
        <v>C0612</v>
      </c>
      <c r="L617" s="75" t="str">
        <f aca="false">
IF($D617="정상",INDEX(임대자산!$D$3:$R$3000,MATCH($F617,임대자산!$I$3:$I$3000,0),MATCH(L$4,임대자산!$D$3:$R$3,0)),
IF($D617="폐업",INDEX(폐업정보!$D$3:$R$3000,MATCH($F617,폐업정보!$I$3:$I$3000,0),MATCH(L$4,폐업정보!$D$3:$R$3,0)),
"Error"))</f>
        <v>D0612</v>
      </c>
      <c r="M617" s="76" t="s">
        <v>96</v>
      </c>
      <c r="N617" s="77"/>
      <c r="O617" s="78" t="s">
        <v>97</v>
      </c>
      <c r="P617" s="79" t="n">
        <f aca="false">COUNTIFS(임대자산!$I:$I,가맹점정보!F617,임대자산!$N:$N,가맹점정보!P$4)</f>
        <v>0</v>
      </c>
      <c r="Q617" s="80" t="n">
        <f aca="false">COUNTIFS(임대자산!$I:$I,가맹점정보!F617,임대자산!$N:$N,가맹점정보!Q$4)</f>
        <v>0</v>
      </c>
      <c r="R617" s="81" t="n">
        <f aca="false">COUNTIFS(임대자산!$I:$I,가맹점정보!F617,임대자산!$N:$N,가맹점정보!R$4)</f>
        <v>0</v>
      </c>
      <c r="S617" s="82" t="n">
        <v>55000</v>
      </c>
      <c r="T617" s="83" t="n">
        <v>0</v>
      </c>
      <c r="U617" s="80" t="n">
        <f aca="false">SUM(S617:T617)</f>
        <v>55000</v>
      </c>
      <c r="V617" s="84" t="s">
        <v>12</v>
      </c>
      <c r="W617" s="80" t="str">
        <f aca="true">
IF(D617="폐업","폐업",
IF(V617="면제","면제",
IF(AND(V617="정상",COUNTIFS(OFFSET(Y617,0,COUNTA(Y617:AV617)-1,1,-4),"미납")&gt;=3),"장기미납",
IF(AND(V617="정상",OFFSET(Y617,0,COUNTA(Y617:AV617)-1)&gt;=U617),"정상",
IF(AND(V617="정상",OFFSET(Y617,0,COUNTA(Y617:AV617)-1)=0),"정상",
"계약서 미작성")))))</f>
        <v>폐업</v>
      </c>
      <c r="X617" s="81" t="str">
        <f aca="true">
IF(D617="폐업","폐업",
IF(AND(V617="정상",OFFSET(Y617,0,COUNTA(Y617:AV617)-1)="미납"),"미납",
IF(AND(V617="정상",OFFSET(Y617,0,COUNTA(Y617:AV617)-1)=0),"납부 시작 전",
IF(AND(V617="정상",OFFSET(Y617,0,COUNTA(Y617:AV617)-1)&gt;=U617),"정상",
IF(AND(V617="면제",OFFSET(Y617,0,COUNTA(Y617:AV617)-1)="면제"),"면제",
IF(AND(V617="면제",OFFSET(Y617,0,COUNTA(Y617:AV617)-1)=0),"면제",
"확인요청"))))))</f>
        <v>폐업</v>
      </c>
      <c r="Y617" s="93" t="n">
        <v>55000</v>
      </c>
      <c r="Z617" s="90" t="n">
        <v>55000</v>
      </c>
      <c r="AA617" s="90" t="n">
        <v>55000</v>
      </c>
      <c r="AB617" s="90" t="n">
        <v>55000</v>
      </c>
      <c r="AC617" s="90" t="n">
        <v>55000</v>
      </c>
      <c r="AD617" s="90" t="n">
        <v>55000</v>
      </c>
      <c r="AE617" s="90" t="n">
        <v>55000</v>
      </c>
      <c r="AF617" s="90" t="n">
        <v>55000</v>
      </c>
      <c r="AG617" s="90" t="n">
        <v>55000</v>
      </c>
      <c r="AH617" s="90" t="n">
        <v>55000</v>
      </c>
      <c r="AI617" s="90" t="n">
        <v>55000</v>
      </c>
      <c r="AJ617" s="91" t="n">
        <v>55000</v>
      </c>
      <c r="AK617" s="89" t="n">
        <v>55000</v>
      </c>
      <c r="AL617" s="90" t="n">
        <v>55000</v>
      </c>
      <c r="AM617" s="90"/>
      <c r="AN617" s="90"/>
      <c r="AO617" s="90"/>
      <c r="AP617" s="90"/>
      <c r="AQ617" s="90"/>
      <c r="AR617" s="90"/>
      <c r="AS617" s="90"/>
      <c r="AT617" s="90"/>
      <c r="AU617" s="90"/>
      <c r="AV617" s="91"/>
      <c r="AX617" s="92"/>
    </row>
    <row r="618" customFormat="false" ht="15.65" hidden="false" customHeight="false" outlineLevel="0" collapsed="false">
      <c r="C618" s="72" t="n">
        <f aca="false">COUNTIFS($D$6:D618,"&lt;&gt;"&amp;"")</f>
        <v>613</v>
      </c>
      <c r="D618" s="73" t="s">
        <v>12</v>
      </c>
      <c r="E618" s="76" t="str">
        <f aca="false">
IF($D618="정상",INDEX(임대자산!$D$3:$R$3000,MATCH($F618,임대자산!$I$3:$I$3000,0),MATCH(E$3,임대자산!$D$3:$R$3,0)),
IF($D618="폐업",INDEX(폐업정보!$D$3:$R$3000,MATCH($F618,폐업정보!$I$3:$I$3000,0),MATCH(E$3,폐업정보!$D$3:$R$3,0)),
"Error"))</f>
        <v>강원</v>
      </c>
      <c r="F61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B0613</v>
      </c>
      <c r="G618" s="76" t="str">
        <f aca="false">F618&amp;RANDBETWEEN(0,10)</f>
        <v>B06130</v>
      </c>
      <c r="H618" s="75" t="n">
        <f aca="false">
IF($D618="정상",INDEX(임대자산!$D$3:$R$3000,MATCH($F618,임대자산!$I$3:$I$3000,0),MATCH(H$4,임대자산!$D$3:$R$3,0)),
IF($D618="폐업",INDEX(폐업정보!$D$3:$R$3000,MATCH($F618,폐업정보!$I$3:$I$3000,0),MATCH(H$4,폐업정보!$D$3:$R$3,0)),
"Error"))</f>
        <v>45869</v>
      </c>
      <c r="I618" s="75" t="str">
        <f aca="false">
IF($D618="정상",INDEX(임대자산!$D$3:$R$3000,MATCH($F618,임대자산!$I$3:$I$3000,0),MATCH(I$4,임대자산!$D$3:$R$3,0)),
IF($D618="폐업",INDEX(폐업정보!$D$3:$R$3000,MATCH($F618,폐업정보!$I$3:$I$3000,0),MATCH(I$4,폐업정보!$D$3:$R$3,0)),
"Error"))</f>
        <v>A0613</v>
      </c>
      <c r="J618" s="75" t="str">
        <f aca="false">
IF($D618="정상",INDEX(임대자산!$D$3:$R$3000,MATCH($F618,임대자산!$I$3:$I$3000,0),MATCH(J$4,임대자산!$D$3:$R$3,0)),
IF($D618="폐업",INDEX(폐업정보!$D$3:$R$3000,MATCH($F618,폐업정보!$I$3:$I$3000,0),MATCH(J$4,폐업정보!$D$3:$R$3,0)),
"Error"))</f>
        <v>2527500000</v>
      </c>
      <c r="K618" s="75" t="str">
        <f aca="false">
IF($D618="정상",INDEX(임대자산!$D$3:$R$3000,MATCH($F618,임대자산!$I$3:$I$3000,0),MATCH(K$4,임대자산!$D$3:$R$3,0)),
IF($D618="폐업",INDEX(폐업정보!$D$3:$R$3000,MATCH($F618,폐업정보!$I$3:$I$3000,0),MATCH(K$4,폐업정보!$D$3:$R$3,0)),
"Error"))</f>
        <v>C0613</v>
      </c>
      <c r="L618" s="75" t="str">
        <f aca="false">
IF($D618="정상",INDEX(임대자산!$D$3:$R$3000,MATCH($F618,임대자산!$I$3:$I$3000,0),MATCH(L$4,임대자산!$D$3:$R$3,0)),
IF($D618="폐업",INDEX(폐업정보!$D$3:$R$3000,MATCH($F618,폐업정보!$I$3:$I$3000,0),MATCH(L$4,폐업정보!$D$3:$R$3,0)),
"Error"))</f>
        <v>D0613</v>
      </c>
      <c r="M618" s="76" t="s">
        <v>96</v>
      </c>
      <c r="N618" s="77"/>
      <c r="O618" s="78" t="s">
        <v>97</v>
      </c>
      <c r="P618" s="79" t="n">
        <f aca="false">COUNTIFS(임대자산!$I:$I,가맹점정보!F618,임대자산!$N:$N,가맹점정보!P$4)</f>
        <v>0</v>
      </c>
      <c r="Q618" s="80" t="n">
        <f aca="false">COUNTIFS(임대자산!$I:$I,가맹점정보!F618,임대자산!$N:$N,가맹점정보!Q$4)</f>
        <v>1</v>
      </c>
      <c r="R618" s="81" t="n">
        <f aca="false">COUNTIFS(임대자산!$I:$I,가맹점정보!F618,임대자산!$N:$N,가맹점정보!R$4)</f>
        <v>0</v>
      </c>
      <c r="S618" s="82" t="n">
        <v>55000</v>
      </c>
      <c r="T618" s="83" t="n">
        <v>0</v>
      </c>
      <c r="U618" s="80" t="n">
        <f aca="false">SUM(S618:T618)</f>
        <v>55000</v>
      </c>
      <c r="V618" s="84" t="s">
        <v>12</v>
      </c>
      <c r="W618" s="80" t="e">
        <f aca="true">
IF(D618="폐업","폐업",
IF(V618="면제","면제",
IF(AND(V618="정상",COUNTIFS(OFFSET(Y618,0,COUNTA(Y618:AV618)-1,1,-4),"미납")&gt;=3),"장기미납",
IF(AND(V618="정상",OFFSET(Y618,0,COUNTA(Y618:AV618)-1)&gt;=U618),"정상",
IF(AND(V618="정상",OFFSET(Y618,0,COUNTA(Y618:AV618)-1)=0),"정상",
"계약서 미작성")))))</f>
        <v>#VALUE!</v>
      </c>
      <c r="X618" s="81" t="str">
        <f aca="true">
IF(D618="폐업","폐업",
IF(AND(V618="정상",OFFSET(Y618,0,COUNTA(Y618:AV618)-1)="미납"),"미납",
IF(AND(V618="정상",OFFSET(Y618,0,COUNTA(Y618:AV618)-1)=0),"납부 시작 전",
IF(AND(V618="정상",OFFSET(Y618,0,COUNTA(Y618:AV618)-1)&gt;=U618),"정상",
IF(AND(V618="면제",OFFSET(Y618,0,COUNTA(Y618:AV618)-1)="면제"),"면제",
IF(AND(V618="면제",OFFSET(Y618,0,COUNTA(Y618:AV618)-1)=0),"면제",
"확인요청"))))))</f>
        <v>정상</v>
      </c>
      <c r="Y618" s="93" t="n">
        <v>55000</v>
      </c>
      <c r="Z618" s="90" t="n">
        <v>55000</v>
      </c>
      <c r="AA618" s="90" t="n">
        <v>55000</v>
      </c>
      <c r="AB618" s="90" t="n">
        <v>55000</v>
      </c>
      <c r="AC618" s="90" t="n">
        <v>55000</v>
      </c>
      <c r="AD618" s="90" t="n">
        <v>55000</v>
      </c>
      <c r="AE618" s="90" t="n">
        <v>55000</v>
      </c>
      <c r="AF618" s="90" t="n">
        <v>55000</v>
      </c>
      <c r="AG618" s="90" t="n">
        <v>55000</v>
      </c>
      <c r="AH618" s="90" t="n">
        <v>55000</v>
      </c>
      <c r="AI618" s="90" t="n">
        <v>55000</v>
      </c>
      <c r="AJ618" s="91" t="n">
        <v>55000</v>
      </c>
      <c r="AK618" s="89" t="n">
        <v>55000</v>
      </c>
      <c r="AL618" s="90" t="n">
        <v>55000</v>
      </c>
      <c r="AM618" s="90"/>
      <c r="AN618" s="90"/>
      <c r="AO618" s="90"/>
      <c r="AP618" s="90"/>
      <c r="AQ618" s="90"/>
      <c r="AR618" s="90"/>
      <c r="AS618" s="90"/>
      <c r="AT618" s="90"/>
      <c r="AU618" s="90"/>
      <c r="AV618" s="91"/>
      <c r="AX618" s="92"/>
    </row>
    <row r="619" customFormat="false" ht="15.65" hidden="false" customHeight="false" outlineLevel="0" collapsed="false">
      <c r="C619" s="72" t="n">
        <f aca="false">COUNTIFS($D$6:D619,"&lt;&gt;"&amp;"")</f>
        <v>614</v>
      </c>
      <c r="D619" s="73" t="s">
        <v>12</v>
      </c>
      <c r="E619" s="76" t="str">
        <f aca="false">
IF($D619="정상",INDEX(임대자산!$D$3:$R$3000,MATCH($F619,임대자산!$I$3:$I$3000,0),MATCH(E$3,임대자산!$D$3:$R$3,0)),
IF($D619="폐업",INDEX(폐업정보!$D$3:$R$3000,MATCH($F619,폐업정보!$I$3:$I$3000,0),MATCH(E$3,폐업정보!$D$3:$R$3,0)),
"Error"))</f>
        <v>강원</v>
      </c>
      <c r="F61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B0614</v>
      </c>
      <c r="G619" s="76" t="str">
        <f aca="false">F619&amp;RANDBETWEEN(0,10)</f>
        <v>B06143</v>
      </c>
      <c r="H619" s="75" t="n">
        <f aca="false">
IF($D619="정상",INDEX(임대자산!$D$3:$R$3000,MATCH($F619,임대자산!$I$3:$I$3000,0),MATCH(H$4,임대자산!$D$3:$R$3,0)),
IF($D619="폐업",INDEX(폐업정보!$D$3:$R$3000,MATCH($F619,폐업정보!$I$3:$I$3000,0),MATCH(H$4,폐업정보!$D$3:$R$3,0)),
"Error"))</f>
        <v>43984</v>
      </c>
      <c r="I619" s="75" t="str">
        <f aca="false">
IF($D619="정상",INDEX(임대자산!$D$3:$R$3000,MATCH($F619,임대자산!$I$3:$I$3000,0),MATCH(I$4,임대자산!$D$3:$R$3,0)),
IF($D619="폐업",INDEX(폐업정보!$D$3:$R$3000,MATCH($F619,폐업정보!$I$3:$I$3000,0),MATCH(I$4,폐업정보!$D$3:$R$3,0)),
"Error"))</f>
        <v>A0614</v>
      </c>
      <c r="J619" s="75" t="str">
        <f aca="false">
IF($D619="정상",INDEX(임대자산!$D$3:$R$3000,MATCH($F619,임대자산!$I$3:$I$3000,0),MATCH(J$4,임대자산!$D$3:$R$3,0)),
IF($D619="폐업",INDEX(폐업정보!$D$3:$R$3000,MATCH($F619,폐업정보!$I$3:$I$3000,0),MATCH(J$4,폐업정보!$D$3:$R$3,0)),
"Error"))</f>
        <v>7563600000</v>
      </c>
      <c r="K619" s="75" t="str">
        <f aca="false">
IF($D619="정상",INDEX(임대자산!$D$3:$R$3000,MATCH($F619,임대자산!$I$3:$I$3000,0),MATCH(K$4,임대자산!$D$3:$R$3,0)),
IF($D619="폐업",INDEX(폐업정보!$D$3:$R$3000,MATCH($F619,폐업정보!$I$3:$I$3000,0),MATCH(K$4,폐업정보!$D$3:$R$3,0)),
"Error"))</f>
        <v>C0614</v>
      </c>
      <c r="L619" s="75" t="str">
        <f aca="false">
IF($D619="정상",INDEX(임대자산!$D$3:$R$3000,MATCH($F619,임대자산!$I$3:$I$3000,0),MATCH(L$4,임대자산!$D$3:$R$3,0)),
IF($D619="폐업",INDEX(폐업정보!$D$3:$R$3000,MATCH($F619,폐업정보!$I$3:$I$3000,0),MATCH(L$4,폐업정보!$D$3:$R$3,0)),
"Error"))</f>
        <v>D0614</v>
      </c>
      <c r="M619" s="76" t="s">
        <v>96</v>
      </c>
      <c r="N619" s="77"/>
      <c r="O619" s="78" t="s">
        <v>97</v>
      </c>
      <c r="P619" s="79" t="n">
        <f aca="false">COUNTIFS(임대자산!$I:$I,가맹점정보!F619,임대자산!$N:$N,가맹점정보!P$4)</f>
        <v>0</v>
      </c>
      <c r="Q619" s="80" t="n">
        <f aca="false">COUNTIFS(임대자산!$I:$I,가맹점정보!F619,임대자산!$N:$N,가맹점정보!Q$4)</f>
        <v>1</v>
      </c>
      <c r="R619" s="81" t="n">
        <f aca="false">COUNTIFS(임대자산!$I:$I,가맹점정보!F619,임대자산!$N:$N,가맹점정보!R$4)</f>
        <v>0</v>
      </c>
      <c r="S619" s="82" t="n">
        <v>55000</v>
      </c>
      <c r="T619" s="83" t="n">
        <v>0</v>
      </c>
      <c r="U619" s="80" t="n">
        <f aca="false">SUM(S619:T619)</f>
        <v>55000</v>
      </c>
      <c r="V619" s="84" t="s">
        <v>12</v>
      </c>
      <c r="W619" s="80" t="e">
        <f aca="true">
IF(D619="폐업","폐업",
IF(V619="면제","면제",
IF(AND(V619="정상",COUNTIFS(OFFSET(Y619,0,COUNTA(Y619:AV619)-1,1,-4),"미납")&gt;=3),"장기미납",
IF(AND(V619="정상",OFFSET(Y619,0,COUNTA(Y619:AV619)-1)&gt;=U619),"정상",
IF(AND(V619="정상",OFFSET(Y619,0,COUNTA(Y619:AV619)-1)=0),"정상",
"계약서 미작성")))))</f>
        <v>#VALUE!</v>
      </c>
      <c r="X619" s="81" t="str">
        <f aca="true">
IF(D619="폐업","폐업",
IF(AND(V619="정상",OFFSET(Y619,0,COUNTA(Y619:AV619)-1)="미납"),"미납",
IF(AND(V619="정상",OFFSET(Y619,0,COUNTA(Y619:AV619)-1)=0),"납부 시작 전",
IF(AND(V619="정상",OFFSET(Y619,0,COUNTA(Y619:AV619)-1)&gt;=U619),"정상",
IF(AND(V619="면제",OFFSET(Y619,0,COUNTA(Y619:AV619)-1)="면제"),"면제",
IF(AND(V619="면제",OFFSET(Y619,0,COUNTA(Y619:AV619)-1)=0),"면제",
"확인요청"))))))</f>
        <v>미납</v>
      </c>
      <c r="Y619" s="93" t="n">
        <v>55000</v>
      </c>
      <c r="Z619" s="90" t="n">
        <v>55000</v>
      </c>
      <c r="AA619" s="90" t="n">
        <v>55000</v>
      </c>
      <c r="AB619" s="90" t="n">
        <v>55000</v>
      </c>
      <c r="AC619" s="90" t="n">
        <v>55000</v>
      </c>
      <c r="AD619" s="90" t="n">
        <v>55000</v>
      </c>
      <c r="AE619" s="90" t="n">
        <v>55000</v>
      </c>
      <c r="AF619" s="90" t="n">
        <v>55000</v>
      </c>
      <c r="AG619" s="90" t="n">
        <v>55000</v>
      </c>
      <c r="AH619" s="90" t="n">
        <v>55000</v>
      </c>
      <c r="AI619" s="90" t="n">
        <v>55000</v>
      </c>
      <c r="AJ619" s="91" t="n">
        <v>55000</v>
      </c>
      <c r="AK619" s="89" t="n">
        <v>55000</v>
      </c>
      <c r="AL619" s="95" t="s">
        <v>62</v>
      </c>
      <c r="AM619" s="90"/>
      <c r="AN619" s="90"/>
      <c r="AO619" s="90"/>
      <c r="AP619" s="90"/>
      <c r="AQ619" s="90"/>
      <c r="AR619" s="90"/>
      <c r="AS619" s="90"/>
      <c r="AT619" s="90"/>
      <c r="AU619" s="90"/>
      <c r="AV619" s="91"/>
      <c r="AX619" s="92"/>
    </row>
    <row r="620" customFormat="false" ht="15.65" hidden="false" customHeight="false" outlineLevel="0" collapsed="false">
      <c r="C620" s="72" t="n">
        <f aca="false">COUNTIFS($D$6:D620,"&lt;&gt;"&amp;"")</f>
        <v>615</v>
      </c>
      <c r="D620" s="73" t="s">
        <v>12</v>
      </c>
      <c r="E620" s="76" t="str">
        <f aca="false">
IF($D620="정상",INDEX(임대자산!$D$3:$R$3000,MATCH($F620,임대자산!$I$3:$I$3000,0),MATCH(E$3,임대자산!$D$3:$R$3,0)),
IF($D620="폐업",INDEX(폐업정보!$D$3:$R$3000,MATCH($F620,폐업정보!$I$3:$I$3000,0),MATCH(E$3,폐업정보!$D$3:$R$3,0)),
"Error"))</f>
        <v>서울</v>
      </c>
      <c r="F62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B0615</v>
      </c>
      <c r="G620" s="76" t="str">
        <f aca="false">F620&amp;RANDBETWEEN(0,10)</f>
        <v>B06150</v>
      </c>
      <c r="H620" s="75" t="n">
        <f aca="false">
IF($D620="정상",INDEX(임대자산!$D$3:$R$3000,MATCH($F620,임대자산!$I$3:$I$3000,0),MATCH(H$4,임대자산!$D$3:$R$3,0)),
IF($D620="폐업",INDEX(폐업정보!$D$3:$R$3000,MATCH($F620,폐업정보!$I$3:$I$3000,0),MATCH(H$4,폐업정보!$D$3:$R$3,0)),
"Error"))</f>
        <v>43999</v>
      </c>
      <c r="I620" s="75" t="str">
        <f aca="false">
IF($D620="정상",INDEX(임대자산!$D$3:$R$3000,MATCH($F620,임대자산!$I$3:$I$3000,0),MATCH(I$4,임대자산!$D$3:$R$3,0)),
IF($D620="폐업",INDEX(폐업정보!$D$3:$R$3000,MATCH($F620,폐업정보!$I$3:$I$3000,0),MATCH(I$4,폐업정보!$D$3:$R$3,0)),
"Error"))</f>
        <v>A0615</v>
      </c>
      <c r="J620" s="75" t="str">
        <f aca="false">
IF($D620="정상",INDEX(임대자산!$D$3:$R$3000,MATCH($F620,임대자산!$I$3:$I$3000,0),MATCH(J$4,임대자산!$D$3:$R$3,0)),
IF($D620="폐업",INDEX(폐업정보!$D$3:$R$3000,MATCH($F620,폐업정보!$I$3:$I$3000,0),MATCH(J$4,폐업정보!$D$3:$R$3,0)),
"Error"))</f>
        <v>6683500000</v>
      </c>
      <c r="K620" s="75" t="str">
        <f aca="false">
IF($D620="정상",INDEX(임대자산!$D$3:$R$3000,MATCH($F620,임대자산!$I$3:$I$3000,0),MATCH(K$4,임대자산!$D$3:$R$3,0)),
IF($D620="폐업",INDEX(폐업정보!$D$3:$R$3000,MATCH($F620,폐업정보!$I$3:$I$3000,0),MATCH(K$4,폐업정보!$D$3:$R$3,0)),
"Error"))</f>
        <v>C0615</v>
      </c>
      <c r="L620" s="75" t="str">
        <f aca="false">
IF($D620="정상",INDEX(임대자산!$D$3:$R$3000,MATCH($F620,임대자산!$I$3:$I$3000,0),MATCH(L$4,임대자산!$D$3:$R$3,0)),
IF($D620="폐업",INDEX(폐업정보!$D$3:$R$3000,MATCH($F620,폐업정보!$I$3:$I$3000,0),MATCH(L$4,폐업정보!$D$3:$R$3,0)),
"Error"))</f>
        <v>D0615</v>
      </c>
      <c r="M620" s="76" t="s">
        <v>96</v>
      </c>
      <c r="N620" s="77"/>
      <c r="O620" s="78" t="s">
        <v>97</v>
      </c>
      <c r="P620" s="79" t="n">
        <f aca="false">COUNTIFS(임대자산!$I:$I,가맹점정보!F620,임대자산!$N:$N,가맹점정보!P$4)</f>
        <v>0</v>
      </c>
      <c r="Q620" s="80" t="n">
        <f aca="false">COUNTIFS(임대자산!$I:$I,가맹점정보!F620,임대자산!$N:$N,가맹점정보!Q$4)</f>
        <v>1</v>
      </c>
      <c r="R620" s="81" t="n">
        <f aca="false">COUNTIFS(임대자산!$I:$I,가맹점정보!F620,임대자산!$N:$N,가맹점정보!R$4)</f>
        <v>0</v>
      </c>
      <c r="S620" s="82" t="n">
        <v>55000</v>
      </c>
      <c r="T620" s="83" t="n">
        <v>0</v>
      </c>
      <c r="U620" s="80" t="n">
        <f aca="false">SUM(S620:T620)</f>
        <v>55000</v>
      </c>
      <c r="V620" s="84" t="s">
        <v>12</v>
      </c>
      <c r="W620" s="80" t="e">
        <f aca="true">
IF(D620="폐업","폐업",
IF(V620="면제","면제",
IF(AND(V620="정상",COUNTIFS(OFFSET(Y620,0,COUNTA(Y620:AV620)-1,1,-4),"미납")&gt;=3),"장기미납",
IF(AND(V620="정상",OFFSET(Y620,0,COUNTA(Y620:AV620)-1)&gt;=U620),"정상",
IF(AND(V620="정상",OFFSET(Y620,0,COUNTA(Y620:AV620)-1)=0),"정상",
"계약서 미작성")))))</f>
        <v>#VALUE!</v>
      </c>
      <c r="X620" s="81" t="str">
        <f aca="true">
IF(D620="폐업","폐업",
IF(AND(V620="정상",OFFSET(Y620,0,COUNTA(Y620:AV620)-1)="미납"),"미납",
IF(AND(V620="정상",OFFSET(Y620,0,COUNTA(Y620:AV620)-1)=0),"납부 시작 전",
IF(AND(V620="정상",OFFSET(Y620,0,COUNTA(Y620:AV620)-1)&gt;=U620),"정상",
IF(AND(V620="면제",OFFSET(Y620,0,COUNTA(Y620:AV620)-1)="면제"),"면제",
IF(AND(V620="면제",OFFSET(Y620,0,COUNTA(Y620:AV620)-1)=0),"면제",
"확인요청"))))))</f>
        <v>정상</v>
      </c>
      <c r="Y620" s="93" t="n">
        <v>55000</v>
      </c>
      <c r="Z620" s="90" t="n">
        <v>55000</v>
      </c>
      <c r="AA620" s="90" t="n">
        <v>55000</v>
      </c>
      <c r="AB620" s="90" t="n">
        <v>55000</v>
      </c>
      <c r="AC620" s="90" t="n">
        <v>55000</v>
      </c>
      <c r="AD620" s="90" t="n">
        <v>55000</v>
      </c>
      <c r="AE620" s="90" t="n">
        <v>55000</v>
      </c>
      <c r="AF620" s="90" t="n">
        <v>55000</v>
      </c>
      <c r="AG620" s="90" t="n">
        <v>55000</v>
      </c>
      <c r="AH620" s="90" t="n">
        <v>55000</v>
      </c>
      <c r="AI620" s="90" t="n">
        <v>55000</v>
      </c>
      <c r="AJ620" s="91" t="n">
        <v>55000</v>
      </c>
      <c r="AK620" s="89" t="n">
        <v>55000</v>
      </c>
      <c r="AL620" s="90" t="n">
        <v>55000</v>
      </c>
      <c r="AM620" s="90"/>
      <c r="AN620" s="90"/>
      <c r="AO620" s="90"/>
      <c r="AP620" s="90"/>
      <c r="AQ620" s="90"/>
      <c r="AR620" s="90"/>
      <c r="AS620" s="90"/>
      <c r="AT620" s="90"/>
      <c r="AU620" s="90"/>
      <c r="AV620" s="91"/>
      <c r="AX620" s="92"/>
    </row>
    <row r="621" customFormat="false" ht="15.65" hidden="false" customHeight="false" outlineLevel="0" collapsed="false">
      <c r="C621" s="72" t="n">
        <f aca="false">COUNTIFS($D$6:D621,"&lt;&gt;"&amp;"")</f>
        <v>616</v>
      </c>
      <c r="D621" s="73" t="s">
        <v>12</v>
      </c>
      <c r="E621" s="76" t="str">
        <f aca="false">
IF($D621="정상",INDEX(임대자산!$D$3:$R$3000,MATCH($F621,임대자산!$I$3:$I$3000,0),MATCH(E$3,임대자산!$D$3:$R$3,0)),
IF($D621="폐업",INDEX(폐업정보!$D$3:$R$3000,MATCH($F621,폐업정보!$I$3:$I$3000,0),MATCH(E$3,폐업정보!$D$3:$R$3,0)),
"Error"))</f>
        <v>경기</v>
      </c>
      <c r="F62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B0616</v>
      </c>
      <c r="G621" s="76" t="str">
        <f aca="false">F621&amp;RANDBETWEEN(0,10)</f>
        <v>B06165</v>
      </c>
      <c r="H621" s="75" t="n">
        <f aca="false">
IF($D621="정상",INDEX(임대자산!$D$3:$R$3000,MATCH($F621,임대자산!$I$3:$I$3000,0),MATCH(H$4,임대자산!$D$3:$R$3,0)),
IF($D621="폐업",INDEX(폐업정보!$D$3:$R$3000,MATCH($F621,폐업정보!$I$3:$I$3000,0),MATCH(H$4,폐업정보!$D$3:$R$3,0)),
"Error"))</f>
        <v>44000</v>
      </c>
      <c r="I621" s="75" t="str">
        <f aca="false">
IF($D621="정상",INDEX(임대자산!$D$3:$R$3000,MATCH($F621,임대자산!$I$3:$I$3000,0),MATCH(I$4,임대자산!$D$3:$R$3,0)),
IF($D621="폐업",INDEX(폐업정보!$D$3:$R$3000,MATCH($F621,폐업정보!$I$3:$I$3000,0),MATCH(I$4,폐업정보!$D$3:$R$3,0)),
"Error"))</f>
        <v>A0616</v>
      </c>
      <c r="J621" s="75" t="str">
        <f aca="false">
IF($D621="정상",INDEX(임대자산!$D$3:$R$3000,MATCH($F621,임대자산!$I$3:$I$3000,0),MATCH(J$4,임대자산!$D$3:$R$3,0)),
IF($D621="폐업",INDEX(폐업정보!$D$3:$R$3000,MATCH($F621,폐업정보!$I$3:$I$3000,0),MATCH(J$4,폐업정보!$D$3:$R$3,0)),
"Error"))</f>
        <v>2143200000</v>
      </c>
      <c r="K621" s="75" t="str">
        <f aca="false">
IF($D621="정상",INDEX(임대자산!$D$3:$R$3000,MATCH($F621,임대자산!$I$3:$I$3000,0),MATCH(K$4,임대자산!$D$3:$R$3,0)),
IF($D621="폐업",INDEX(폐업정보!$D$3:$R$3000,MATCH($F621,폐업정보!$I$3:$I$3000,0),MATCH(K$4,폐업정보!$D$3:$R$3,0)),
"Error"))</f>
        <v>C0616</v>
      </c>
      <c r="L621" s="75" t="str">
        <f aca="false">
IF($D621="정상",INDEX(임대자산!$D$3:$R$3000,MATCH($F621,임대자산!$I$3:$I$3000,0),MATCH(L$4,임대자산!$D$3:$R$3,0)),
IF($D621="폐업",INDEX(폐업정보!$D$3:$R$3000,MATCH($F621,폐업정보!$I$3:$I$3000,0),MATCH(L$4,폐업정보!$D$3:$R$3,0)),
"Error"))</f>
        <v>D0616</v>
      </c>
      <c r="M621" s="76" t="s">
        <v>96</v>
      </c>
      <c r="N621" s="77"/>
      <c r="O621" s="78" t="s">
        <v>97</v>
      </c>
      <c r="P621" s="79" t="n">
        <f aca="false">COUNTIFS(임대자산!$I:$I,가맹점정보!F621,임대자산!$N:$N,가맹점정보!P$4)</f>
        <v>0</v>
      </c>
      <c r="Q621" s="80" t="n">
        <f aca="false">COUNTIFS(임대자산!$I:$I,가맹점정보!F621,임대자산!$N:$N,가맹점정보!Q$4)</f>
        <v>1</v>
      </c>
      <c r="R621" s="81" t="n">
        <f aca="false">COUNTIFS(임대자산!$I:$I,가맹점정보!F621,임대자산!$N:$N,가맹점정보!R$4)</f>
        <v>0</v>
      </c>
      <c r="S621" s="82" t="n">
        <v>55000</v>
      </c>
      <c r="T621" s="83" t="n">
        <v>0</v>
      </c>
      <c r="U621" s="80" t="n">
        <f aca="false">SUM(S621:T621)</f>
        <v>55000</v>
      </c>
      <c r="V621" s="84" t="s">
        <v>12</v>
      </c>
      <c r="W621" s="80" t="e">
        <f aca="true">
IF(D621="폐업","폐업",
IF(V621="면제","면제",
IF(AND(V621="정상",COUNTIFS(OFFSET(Y621,0,COUNTA(Y621:AV621)-1,1,-4),"미납")&gt;=3),"장기미납",
IF(AND(V621="정상",OFFSET(Y621,0,COUNTA(Y621:AV621)-1)&gt;=U621),"정상",
IF(AND(V621="정상",OFFSET(Y621,0,COUNTA(Y621:AV621)-1)=0),"정상",
"계약서 미작성")))))</f>
        <v>#VALUE!</v>
      </c>
      <c r="X621" s="81" t="str">
        <f aca="true">
IF(D621="폐업","폐업",
IF(AND(V621="정상",OFFSET(Y621,0,COUNTA(Y621:AV621)-1)="미납"),"미납",
IF(AND(V621="정상",OFFSET(Y621,0,COUNTA(Y621:AV621)-1)=0),"납부 시작 전",
IF(AND(V621="정상",OFFSET(Y621,0,COUNTA(Y621:AV621)-1)&gt;=U621),"정상",
IF(AND(V621="면제",OFFSET(Y621,0,COUNTA(Y621:AV621)-1)="면제"),"면제",
IF(AND(V621="면제",OFFSET(Y621,0,COUNTA(Y621:AV621)-1)=0),"면제",
"확인요청"))))))</f>
        <v>정상</v>
      </c>
      <c r="Y621" s="93" t="n">
        <v>55000</v>
      </c>
      <c r="Z621" s="90" t="n">
        <v>55000</v>
      </c>
      <c r="AA621" s="90" t="n">
        <v>55000</v>
      </c>
      <c r="AB621" s="90" t="n">
        <v>55000</v>
      </c>
      <c r="AC621" s="90" t="n">
        <v>55000</v>
      </c>
      <c r="AD621" s="90" t="n">
        <v>55000</v>
      </c>
      <c r="AE621" s="90" t="n">
        <v>55000</v>
      </c>
      <c r="AF621" s="90" t="n">
        <v>55000</v>
      </c>
      <c r="AG621" s="90" t="n">
        <v>55000</v>
      </c>
      <c r="AH621" s="90" t="n">
        <v>55000</v>
      </c>
      <c r="AI621" s="90" t="n">
        <v>55000</v>
      </c>
      <c r="AJ621" s="91" t="n">
        <v>55000</v>
      </c>
      <c r="AK621" s="89" t="n">
        <v>55000</v>
      </c>
      <c r="AL621" s="90" t="n">
        <v>55000</v>
      </c>
      <c r="AM621" s="90"/>
      <c r="AN621" s="90"/>
      <c r="AO621" s="90"/>
      <c r="AP621" s="90"/>
      <c r="AQ621" s="90"/>
      <c r="AR621" s="90"/>
      <c r="AS621" s="90"/>
      <c r="AT621" s="90"/>
      <c r="AU621" s="90"/>
      <c r="AV621" s="91"/>
      <c r="AX621" s="92"/>
    </row>
    <row r="622" customFormat="false" ht="15.65" hidden="false" customHeight="false" outlineLevel="0" collapsed="false">
      <c r="C622" s="72" t="n">
        <f aca="false">COUNTIFS($D$6:D622,"&lt;&gt;"&amp;"")</f>
        <v>617</v>
      </c>
      <c r="D622" s="73" t="s">
        <v>12</v>
      </c>
      <c r="E622" s="76" t="str">
        <f aca="false">
IF($D622="정상",INDEX(임대자산!$D$3:$R$3000,MATCH($F622,임대자산!$I$3:$I$3000,0),MATCH(E$3,임대자산!$D$3:$R$3,0)),
IF($D622="폐업",INDEX(폐업정보!$D$3:$R$3000,MATCH($F622,폐업정보!$I$3:$I$3000,0),MATCH(E$3,폐업정보!$D$3:$R$3,0)),
"Error"))</f>
        <v>경상</v>
      </c>
      <c r="F62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B0617</v>
      </c>
      <c r="G622" s="76" t="str">
        <f aca="false">F622&amp;RANDBETWEEN(0,10)</f>
        <v>B06172</v>
      </c>
      <c r="H622" s="75" t="n">
        <f aca="false">
IF($D622="정상",INDEX(임대자산!$D$3:$R$3000,MATCH($F622,임대자산!$I$3:$I$3000,0),MATCH(H$4,임대자산!$D$3:$R$3,0)),
IF($D622="폐업",INDEX(폐업정보!$D$3:$R$3000,MATCH($F622,폐업정보!$I$3:$I$3000,0),MATCH(H$4,폐업정보!$D$3:$R$3,0)),
"Error"))</f>
        <v>44014</v>
      </c>
      <c r="I622" s="75" t="str">
        <f aca="false">
IF($D622="정상",INDEX(임대자산!$D$3:$R$3000,MATCH($F622,임대자산!$I$3:$I$3000,0),MATCH(I$4,임대자산!$D$3:$R$3,0)),
IF($D622="폐업",INDEX(폐업정보!$D$3:$R$3000,MATCH($F622,폐업정보!$I$3:$I$3000,0),MATCH(I$4,폐업정보!$D$3:$R$3,0)),
"Error"))</f>
        <v>A0617</v>
      </c>
      <c r="J622" s="75" t="str">
        <f aca="false">
IF($D622="정상",INDEX(임대자산!$D$3:$R$3000,MATCH($F622,임대자산!$I$3:$I$3000,0),MATCH(J$4,임대자산!$D$3:$R$3,0)),
IF($D622="폐업",INDEX(폐업정보!$D$3:$R$3000,MATCH($F622,폐업정보!$I$3:$I$3000,0),MATCH(J$4,폐업정보!$D$3:$R$3,0)),
"Error"))</f>
        <v>9560800000</v>
      </c>
      <c r="K622" s="75" t="str">
        <f aca="false">
IF($D622="정상",INDEX(임대자산!$D$3:$R$3000,MATCH($F622,임대자산!$I$3:$I$3000,0),MATCH(K$4,임대자산!$D$3:$R$3,0)),
IF($D622="폐업",INDEX(폐업정보!$D$3:$R$3000,MATCH($F622,폐업정보!$I$3:$I$3000,0),MATCH(K$4,폐업정보!$D$3:$R$3,0)),
"Error"))</f>
        <v>C0617</v>
      </c>
      <c r="L622" s="75" t="str">
        <f aca="false">
IF($D622="정상",INDEX(임대자산!$D$3:$R$3000,MATCH($F622,임대자산!$I$3:$I$3000,0),MATCH(L$4,임대자산!$D$3:$R$3,0)),
IF($D622="폐업",INDEX(폐업정보!$D$3:$R$3000,MATCH($F622,폐업정보!$I$3:$I$3000,0),MATCH(L$4,폐업정보!$D$3:$R$3,0)),
"Error"))</f>
        <v>D0617</v>
      </c>
      <c r="M622" s="76" t="s">
        <v>96</v>
      </c>
      <c r="N622" s="77"/>
      <c r="O622" s="78" t="s">
        <v>97</v>
      </c>
      <c r="P622" s="79" t="n">
        <f aca="false">COUNTIFS(임대자산!$I:$I,가맹점정보!F622,임대자산!$N:$N,가맹점정보!P$4)</f>
        <v>0</v>
      </c>
      <c r="Q622" s="80" t="n">
        <f aca="false">COUNTIFS(임대자산!$I:$I,가맹점정보!F622,임대자산!$N:$N,가맹점정보!Q$4)</f>
        <v>1</v>
      </c>
      <c r="R622" s="81" t="n">
        <f aca="false">COUNTIFS(임대자산!$I:$I,가맹점정보!F622,임대자산!$N:$N,가맹점정보!R$4)</f>
        <v>0</v>
      </c>
      <c r="S622" s="82" t="n">
        <v>55000</v>
      </c>
      <c r="T622" s="83" t="n">
        <v>0</v>
      </c>
      <c r="U622" s="80" t="n">
        <f aca="false">SUM(S622:T622)</f>
        <v>55000</v>
      </c>
      <c r="V622" s="84" t="s">
        <v>12</v>
      </c>
      <c r="W622" s="80" t="e">
        <f aca="true">
IF(D622="폐업","폐업",
IF(V622="면제","면제",
IF(AND(V622="정상",COUNTIFS(OFFSET(Y622,0,COUNTA(Y622:AV622)-1,1,-4),"미납")&gt;=3),"장기미납",
IF(AND(V622="정상",OFFSET(Y622,0,COUNTA(Y622:AV622)-1)&gt;=U622),"정상",
IF(AND(V622="정상",OFFSET(Y622,0,COUNTA(Y622:AV622)-1)=0),"정상",
"계약서 미작성")))))</f>
        <v>#VALUE!</v>
      </c>
      <c r="X622" s="81" t="str">
        <f aca="true">
IF(D622="폐업","폐업",
IF(AND(V622="정상",OFFSET(Y622,0,COUNTA(Y622:AV622)-1)="미납"),"미납",
IF(AND(V622="정상",OFFSET(Y622,0,COUNTA(Y622:AV622)-1)=0),"납부 시작 전",
IF(AND(V622="정상",OFFSET(Y622,0,COUNTA(Y622:AV622)-1)&gt;=U622),"정상",
IF(AND(V622="면제",OFFSET(Y622,0,COUNTA(Y622:AV622)-1)="면제"),"면제",
IF(AND(V622="면제",OFFSET(Y622,0,COUNTA(Y622:AV622)-1)=0),"면제",
"확인요청"))))))</f>
        <v>정상</v>
      </c>
      <c r="Y622" s="93" t="n">
        <v>55000</v>
      </c>
      <c r="Z622" s="90" t="n">
        <v>55000</v>
      </c>
      <c r="AA622" s="90" t="n">
        <v>55000</v>
      </c>
      <c r="AB622" s="90" t="n">
        <v>55000</v>
      </c>
      <c r="AC622" s="90" t="n">
        <v>55000</v>
      </c>
      <c r="AD622" s="90" t="n">
        <v>55000</v>
      </c>
      <c r="AE622" s="90" t="n">
        <v>55000</v>
      </c>
      <c r="AF622" s="90" t="n">
        <v>55000</v>
      </c>
      <c r="AG622" s="90" t="n">
        <v>55000</v>
      </c>
      <c r="AH622" s="90" t="n">
        <v>55000</v>
      </c>
      <c r="AI622" s="90" t="n">
        <v>55000</v>
      </c>
      <c r="AJ622" s="91" t="n">
        <v>55000</v>
      </c>
      <c r="AK622" s="89" t="n">
        <v>55000</v>
      </c>
      <c r="AL622" s="90" t="n">
        <v>55000</v>
      </c>
      <c r="AM622" s="90"/>
      <c r="AN622" s="90"/>
      <c r="AO622" s="90"/>
      <c r="AP622" s="90"/>
      <c r="AQ622" s="90"/>
      <c r="AR622" s="90"/>
      <c r="AS622" s="90"/>
      <c r="AT622" s="90"/>
      <c r="AU622" s="90"/>
      <c r="AV622" s="91"/>
      <c r="AX622" s="92"/>
    </row>
    <row r="623" customFormat="false" ht="15.65" hidden="false" customHeight="false" outlineLevel="0" collapsed="false">
      <c r="C623" s="72" t="n">
        <f aca="false">COUNTIFS($D$6:D623,"&lt;&gt;"&amp;"")</f>
        <v>618</v>
      </c>
      <c r="D623" s="73" t="s">
        <v>12</v>
      </c>
      <c r="E623" s="76" t="str">
        <f aca="false">
IF($D623="정상",INDEX(임대자산!$D$3:$R$3000,MATCH($F623,임대자산!$I$3:$I$3000,0),MATCH(E$3,임대자산!$D$3:$R$3,0)),
IF($D623="폐업",INDEX(폐업정보!$D$3:$R$3000,MATCH($F623,폐업정보!$I$3:$I$3000,0),MATCH(E$3,폐업정보!$D$3:$R$3,0)),
"Error"))</f>
        <v>경상</v>
      </c>
      <c r="F62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B0618</v>
      </c>
      <c r="G623" s="76" t="str">
        <f aca="false">F623&amp;RANDBETWEEN(0,10)</f>
        <v>B06187</v>
      </c>
      <c r="H623" s="75" t="n">
        <f aca="false">
IF($D623="정상",INDEX(임대자산!$D$3:$R$3000,MATCH($F623,임대자산!$I$3:$I$3000,0),MATCH(H$4,임대자산!$D$3:$R$3,0)),
IF($D623="폐업",INDEX(폐업정보!$D$3:$R$3000,MATCH($F623,폐업정보!$I$3:$I$3000,0),MATCH(H$4,폐업정보!$D$3:$R$3,0)),
"Error"))</f>
        <v>44027</v>
      </c>
      <c r="I623" s="75" t="str">
        <f aca="false">
IF($D623="정상",INDEX(임대자산!$D$3:$R$3000,MATCH($F623,임대자산!$I$3:$I$3000,0),MATCH(I$4,임대자산!$D$3:$R$3,0)),
IF($D623="폐업",INDEX(폐업정보!$D$3:$R$3000,MATCH($F623,폐업정보!$I$3:$I$3000,0),MATCH(I$4,폐업정보!$D$3:$R$3,0)),
"Error"))</f>
        <v>A0618</v>
      </c>
      <c r="J623" s="75" t="str">
        <f aca="false">
IF($D623="정상",INDEX(임대자산!$D$3:$R$3000,MATCH($F623,임대자산!$I$3:$I$3000,0),MATCH(J$4,임대자산!$D$3:$R$3,0)),
IF($D623="폐업",INDEX(폐업정보!$D$3:$R$3000,MATCH($F623,폐업정보!$I$3:$I$3000,0),MATCH(J$4,폐업정보!$D$3:$R$3,0)),
"Error"))</f>
        <v>1062200000</v>
      </c>
      <c r="K623" s="75" t="str">
        <f aca="false">
IF($D623="정상",INDEX(임대자산!$D$3:$R$3000,MATCH($F623,임대자산!$I$3:$I$3000,0),MATCH(K$4,임대자산!$D$3:$R$3,0)),
IF($D623="폐업",INDEX(폐업정보!$D$3:$R$3000,MATCH($F623,폐업정보!$I$3:$I$3000,0),MATCH(K$4,폐업정보!$D$3:$R$3,0)),
"Error"))</f>
        <v>C0618</v>
      </c>
      <c r="L623" s="75" t="str">
        <f aca="false">
IF($D623="정상",INDEX(임대자산!$D$3:$R$3000,MATCH($F623,임대자산!$I$3:$I$3000,0),MATCH(L$4,임대자산!$D$3:$R$3,0)),
IF($D623="폐업",INDEX(폐업정보!$D$3:$R$3000,MATCH($F623,폐업정보!$I$3:$I$3000,0),MATCH(L$4,폐업정보!$D$3:$R$3,0)),
"Error"))</f>
        <v>D0618</v>
      </c>
      <c r="M623" s="76" t="s">
        <v>96</v>
      </c>
      <c r="N623" s="77"/>
      <c r="O623" s="78" t="s">
        <v>97</v>
      </c>
      <c r="P623" s="79" t="n">
        <f aca="false">COUNTIFS(임대자산!$I:$I,가맹점정보!F623,임대자산!$N:$N,가맹점정보!P$4)</f>
        <v>0</v>
      </c>
      <c r="Q623" s="80" t="n">
        <f aca="false">COUNTIFS(임대자산!$I:$I,가맹점정보!F623,임대자산!$N:$N,가맹점정보!Q$4)</f>
        <v>1</v>
      </c>
      <c r="R623" s="81" t="n">
        <f aca="false">COUNTIFS(임대자산!$I:$I,가맹점정보!F623,임대자산!$N:$N,가맹점정보!R$4)</f>
        <v>0</v>
      </c>
      <c r="S623" s="82" t="n">
        <v>88000</v>
      </c>
      <c r="T623" s="83" t="n">
        <v>0</v>
      </c>
      <c r="U623" s="80" t="n">
        <f aca="false">SUM(S623:T623)</f>
        <v>88000</v>
      </c>
      <c r="V623" s="84" t="s">
        <v>7</v>
      </c>
      <c r="W623" s="80" t="str">
        <f aca="true">
IF(D623="폐업","폐업",
IF(V623="면제","면제",
IF(AND(V623="정상",COUNTIFS(OFFSET(Y623,0,COUNTA(Y623:AV623)-1,1,-4),"미납")&gt;=3),"장기미납",
IF(AND(V623="정상",OFFSET(Y623,0,COUNTA(Y623:AV623)-1)&gt;=U623),"정상",
IF(AND(V623="정상",OFFSET(Y623,0,COUNTA(Y623:AV623)-1)=0),"정상",
"계약서 미작성")))))</f>
        <v>면제</v>
      </c>
      <c r="X623" s="81" t="str">
        <f aca="true">
IF(D623="폐업","폐업",
IF(AND(V623="정상",OFFSET(Y623,0,COUNTA(Y623:AV623)-1)="미납"),"미납",
IF(AND(V623="정상",OFFSET(Y623,0,COUNTA(Y623:AV623)-1)=0),"납부 시작 전",
IF(AND(V623="정상",OFFSET(Y623,0,COUNTA(Y623:AV623)-1)&gt;=U623),"정상",
IF(AND(V623="면제",OFFSET(Y623,0,COUNTA(Y623:AV623)-1)="면제"),"면제",
IF(AND(V623="면제",OFFSET(Y623,0,COUNTA(Y623:AV623)-1)=0),"면제",
"확인요청"))))))</f>
        <v>면제</v>
      </c>
      <c r="Y623" s="94" t="s">
        <v>7</v>
      </c>
      <c r="Z623" s="95" t="s">
        <v>7</v>
      </c>
      <c r="AA623" s="95" t="s">
        <v>7</v>
      </c>
      <c r="AB623" s="95" t="s">
        <v>7</v>
      </c>
      <c r="AC623" s="95" t="s">
        <v>7</v>
      </c>
      <c r="AD623" s="95" t="s">
        <v>7</v>
      </c>
      <c r="AE623" s="95" t="s">
        <v>7</v>
      </c>
      <c r="AF623" s="95" t="s">
        <v>7</v>
      </c>
      <c r="AG623" s="95" t="s">
        <v>7</v>
      </c>
      <c r="AH623" s="95" t="s">
        <v>7</v>
      </c>
      <c r="AI623" s="95" t="s">
        <v>7</v>
      </c>
      <c r="AJ623" s="96" t="s">
        <v>7</v>
      </c>
      <c r="AK623" s="97" t="s">
        <v>7</v>
      </c>
      <c r="AL623" s="95" t="s">
        <v>7</v>
      </c>
      <c r="AM623" s="90"/>
      <c r="AN623" s="90"/>
      <c r="AO623" s="90"/>
      <c r="AP623" s="90"/>
      <c r="AQ623" s="90"/>
      <c r="AR623" s="90"/>
      <c r="AS623" s="90"/>
      <c r="AT623" s="90"/>
      <c r="AU623" s="90"/>
      <c r="AV623" s="91"/>
      <c r="AX623" s="92"/>
    </row>
    <row r="624" customFormat="false" ht="15.65" hidden="false" customHeight="false" outlineLevel="0" collapsed="false">
      <c r="C624" s="72" t="n">
        <f aca="false">COUNTIFS($D$6:D624,"&lt;&gt;"&amp;"")</f>
        <v>619</v>
      </c>
      <c r="D624" s="73" t="s">
        <v>12</v>
      </c>
      <c r="E624" s="76" t="str">
        <f aca="false">
IF($D624="정상",INDEX(임대자산!$D$3:$R$3000,MATCH($F624,임대자산!$I$3:$I$3000,0),MATCH(E$3,임대자산!$D$3:$R$3,0)),
IF($D624="폐업",INDEX(폐업정보!$D$3:$R$3000,MATCH($F624,폐업정보!$I$3:$I$3000,0),MATCH(E$3,폐업정보!$D$3:$R$3,0)),
"Error"))</f>
        <v>서울</v>
      </c>
      <c r="F62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B0619</v>
      </c>
      <c r="G624" s="76" t="str">
        <f aca="false">F624&amp;RANDBETWEEN(0,10)</f>
        <v>B06195</v>
      </c>
      <c r="H624" s="75" t="n">
        <f aca="false">
IF($D624="정상",INDEX(임대자산!$D$3:$R$3000,MATCH($F624,임대자산!$I$3:$I$3000,0),MATCH(H$4,임대자산!$D$3:$R$3,0)),
IF($D624="폐업",INDEX(폐업정보!$D$3:$R$3000,MATCH($F624,폐업정보!$I$3:$I$3000,0),MATCH(H$4,폐업정보!$D$3:$R$3,0)),
"Error"))</f>
        <v>45162</v>
      </c>
      <c r="I624" s="75" t="str">
        <f aca="false">
IF($D624="정상",INDEX(임대자산!$D$3:$R$3000,MATCH($F624,임대자산!$I$3:$I$3000,0),MATCH(I$4,임대자산!$D$3:$R$3,0)),
IF($D624="폐업",INDEX(폐업정보!$D$3:$R$3000,MATCH($F624,폐업정보!$I$3:$I$3000,0),MATCH(I$4,폐업정보!$D$3:$R$3,0)),
"Error"))</f>
        <v>A0619</v>
      </c>
      <c r="J624" s="75" t="str">
        <f aca="false">
IF($D624="정상",INDEX(임대자산!$D$3:$R$3000,MATCH($F624,임대자산!$I$3:$I$3000,0),MATCH(J$4,임대자산!$D$3:$R$3,0)),
IF($D624="폐업",INDEX(폐업정보!$D$3:$R$3000,MATCH($F624,폐업정보!$I$3:$I$3000,0),MATCH(J$4,폐업정보!$D$3:$R$3,0)),
"Error"))</f>
        <v>9576300000</v>
      </c>
      <c r="K624" s="75" t="str">
        <f aca="false">
IF($D624="정상",INDEX(임대자산!$D$3:$R$3000,MATCH($F624,임대자산!$I$3:$I$3000,0),MATCH(K$4,임대자산!$D$3:$R$3,0)),
IF($D624="폐업",INDEX(폐업정보!$D$3:$R$3000,MATCH($F624,폐업정보!$I$3:$I$3000,0),MATCH(K$4,폐업정보!$D$3:$R$3,0)),
"Error"))</f>
        <v>C0619</v>
      </c>
      <c r="L624" s="75" t="str">
        <f aca="false">
IF($D624="정상",INDEX(임대자산!$D$3:$R$3000,MATCH($F624,임대자산!$I$3:$I$3000,0),MATCH(L$4,임대자산!$D$3:$R$3,0)),
IF($D624="폐업",INDEX(폐업정보!$D$3:$R$3000,MATCH($F624,폐업정보!$I$3:$I$3000,0),MATCH(L$4,폐업정보!$D$3:$R$3,0)),
"Error"))</f>
        <v>D0619</v>
      </c>
      <c r="M624" s="76" t="s">
        <v>96</v>
      </c>
      <c r="N624" s="77"/>
      <c r="O624" s="78" t="s">
        <v>97</v>
      </c>
      <c r="P624" s="79" t="n">
        <f aca="false">COUNTIFS(임대자산!$I:$I,가맹점정보!F624,임대자산!$N:$N,가맹점정보!P$4)</f>
        <v>0</v>
      </c>
      <c r="Q624" s="80" t="n">
        <f aca="false">COUNTIFS(임대자산!$I:$I,가맹점정보!F624,임대자산!$N:$N,가맹점정보!Q$4)</f>
        <v>1</v>
      </c>
      <c r="R624" s="81" t="n">
        <f aca="false">COUNTIFS(임대자산!$I:$I,가맹점정보!F624,임대자산!$N:$N,가맹점정보!R$4)</f>
        <v>0</v>
      </c>
      <c r="S624" s="82" t="n">
        <v>55000</v>
      </c>
      <c r="T624" s="83" t="n">
        <v>0</v>
      </c>
      <c r="U624" s="80" t="n">
        <f aca="false">SUM(S624:T624)</f>
        <v>55000</v>
      </c>
      <c r="V624" s="84" t="s">
        <v>12</v>
      </c>
      <c r="W624" s="80" t="e">
        <f aca="true">
IF(D624="폐업","폐업",
IF(V624="면제","면제",
IF(AND(V624="정상",COUNTIFS(OFFSET(Y624,0,COUNTA(Y624:AV624)-1,1,-4),"미납")&gt;=3),"장기미납",
IF(AND(V624="정상",OFFSET(Y624,0,COUNTA(Y624:AV624)-1)&gt;=U624),"정상",
IF(AND(V624="정상",OFFSET(Y624,0,COUNTA(Y624:AV624)-1)=0),"정상",
"계약서 미작성")))))</f>
        <v>#VALUE!</v>
      </c>
      <c r="X624" s="81" t="str">
        <f aca="true">
IF(D624="폐업","폐업",
IF(AND(V624="정상",OFFSET(Y624,0,COUNTA(Y624:AV624)-1)="미납"),"미납",
IF(AND(V624="정상",OFFSET(Y624,0,COUNTA(Y624:AV624)-1)=0),"납부 시작 전",
IF(AND(V624="정상",OFFSET(Y624,0,COUNTA(Y624:AV624)-1)&gt;=U624),"정상",
IF(AND(V624="면제",OFFSET(Y624,0,COUNTA(Y624:AV624)-1)="면제"),"면제",
IF(AND(V624="면제",OFFSET(Y624,0,COUNTA(Y624:AV624)-1)=0),"면제",
"확인요청"))))))</f>
        <v>정상</v>
      </c>
      <c r="Y624" s="93" t="n">
        <v>55000</v>
      </c>
      <c r="Z624" s="90" t="n">
        <v>55000</v>
      </c>
      <c r="AA624" s="90" t="n">
        <v>55000</v>
      </c>
      <c r="AB624" s="90" t="n">
        <v>55000</v>
      </c>
      <c r="AC624" s="90" t="n">
        <v>55000</v>
      </c>
      <c r="AD624" s="90" t="n">
        <v>55000</v>
      </c>
      <c r="AE624" s="90" t="n">
        <v>55000</v>
      </c>
      <c r="AF624" s="90" t="n">
        <v>55000</v>
      </c>
      <c r="AG624" s="90" t="n">
        <v>55000</v>
      </c>
      <c r="AH624" s="90" t="n">
        <v>55000</v>
      </c>
      <c r="AI624" s="90" t="n">
        <v>55000</v>
      </c>
      <c r="AJ624" s="91" t="n">
        <v>55000</v>
      </c>
      <c r="AK624" s="89" t="n">
        <v>55000</v>
      </c>
      <c r="AL624" s="90" t="n">
        <v>55000</v>
      </c>
      <c r="AM624" s="90"/>
      <c r="AN624" s="90"/>
      <c r="AO624" s="90"/>
      <c r="AP624" s="90"/>
      <c r="AQ624" s="90"/>
      <c r="AR624" s="90"/>
      <c r="AS624" s="90"/>
      <c r="AT624" s="90"/>
      <c r="AU624" s="90"/>
      <c r="AV624" s="91"/>
      <c r="AX624" s="92"/>
    </row>
    <row r="625" customFormat="false" ht="15.65" hidden="false" customHeight="false" outlineLevel="0" collapsed="false">
      <c r="C625" s="72" t="n">
        <f aca="false">COUNTIFS($D$6:D625,"&lt;&gt;"&amp;"")</f>
        <v>620</v>
      </c>
      <c r="D625" s="73" t="s">
        <v>12</v>
      </c>
      <c r="E625" s="76" t="str">
        <f aca="false">
IF($D625="정상",INDEX(임대자산!$D$3:$R$3000,MATCH($F625,임대자산!$I$3:$I$3000,0),MATCH(E$3,임대자산!$D$3:$R$3,0)),
IF($D625="폐업",INDEX(폐업정보!$D$3:$R$3000,MATCH($F625,폐업정보!$I$3:$I$3000,0),MATCH(E$3,폐업정보!$D$3:$R$3,0)),
"Error"))</f>
        <v>서울</v>
      </c>
      <c r="F62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B0620</v>
      </c>
      <c r="G625" s="76" t="str">
        <f aca="false">F625&amp;RANDBETWEEN(0,10)</f>
        <v>B06208</v>
      </c>
      <c r="H625" s="75" t="n">
        <f aca="false">
IF($D625="정상",INDEX(임대자산!$D$3:$R$3000,MATCH($F625,임대자산!$I$3:$I$3000,0),MATCH(H$4,임대자산!$D$3:$R$3,0)),
IF($D625="폐업",INDEX(폐업정보!$D$3:$R$3000,MATCH($F625,폐업정보!$I$3:$I$3000,0),MATCH(H$4,폐업정보!$D$3:$R$3,0)),
"Error"))</f>
        <v>44096</v>
      </c>
      <c r="I625" s="75" t="str">
        <f aca="false">
IF($D625="정상",INDEX(임대자산!$D$3:$R$3000,MATCH($F625,임대자산!$I$3:$I$3000,0),MATCH(I$4,임대자산!$D$3:$R$3,0)),
IF($D625="폐업",INDEX(폐업정보!$D$3:$R$3000,MATCH($F625,폐업정보!$I$3:$I$3000,0),MATCH(I$4,폐업정보!$D$3:$R$3,0)),
"Error"))</f>
        <v>A0620</v>
      </c>
      <c r="J625" s="75" t="str">
        <f aca="false">
IF($D625="정상",INDEX(임대자산!$D$3:$R$3000,MATCH($F625,임대자산!$I$3:$I$3000,0),MATCH(J$4,임대자산!$D$3:$R$3,0)),
IF($D625="폐업",INDEX(폐업정보!$D$3:$R$3000,MATCH($F625,폐업정보!$I$3:$I$3000,0),MATCH(J$4,폐업정보!$D$3:$R$3,0)),
"Error"))</f>
        <v>6521400000</v>
      </c>
      <c r="K625" s="75" t="str">
        <f aca="false">
IF($D625="정상",INDEX(임대자산!$D$3:$R$3000,MATCH($F625,임대자산!$I$3:$I$3000,0),MATCH(K$4,임대자산!$D$3:$R$3,0)),
IF($D625="폐업",INDEX(폐업정보!$D$3:$R$3000,MATCH($F625,폐업정보!$I$3:$I$3000,0),MATCH(K$4,폐업정보!$D$3:$R$3,0)),
"Error"))</f>
        <v>C0620</v>
      </c>
      <c r="L625" s="75" t="str">
        <f aca="false">
IF($D625="정상",INDEX(임대자산!$D$3:$R$3000,MATCH($F625,임대자산!$I$3:$I$3000,0),MATCH(L$4,임대자산!$D$3:$R$3,0)),
IF($D625="폐업",INDEX(폐업정보!$D$3:$R$3000,MATCH($F625,폐업정보!$I$3:$I$3000,0),MATCH(L$4,폐업정보!$D$3:$R$3,0)),
"Error"))</f>
        <v>D0620</v>
      </c>
      <c r="M625" s="76" t="s">
        <v>96</v>
      </c>
      <c r="N625" s="77"/>
      <c r="O625" s="78" t="s">
        <v>97</v>
      </c>
      <c r="P625" s="79" t="n">
        <f aca="false">COUNTIFS(임대자산!$I:$I,가맹점정보!F625,임대자산!$N:$N,가맹점정보!P$4)</f>
        <v>0</v>
      </c>
      <c r="Q625" s="80" t="n">
        <f aca="false">COUNTIFS(임대자산!$I:$I,가맹점정보!F625,임대자산!$N:$N,가맹점정보!Q$4)</f>
        <v>1</v>
      </c>
      <c r="R625" s="81" t="n">
        <f aca="false">COUNTIFS(임대자산!$I:$I,가맹점정보!F625,임대자산!$N:$N,가맹점정보!R$4)</f>
        <v>0</v>
      </c>
      <c r="S625" s="82" t="n">
        <v>88000</v>
      </c>
      <c r="T625" s="83" t="n">
        <v>0</v>
      </c>
      <c r="U625" s="80" t="n">
        <f aca="false">SUM(S625:T625)</f>
        <v>88000</v>
      </c>
      <c r="V625" s="84" t="s">
        <v>12</v>
      </c>
      <c r="W625" s="80" t="e">
        <f aca="true">
IF(D625="폐업","폐업",
IF(V625="면제","면제",
IF(AND(V625="정상",COUNTIFS(OFFSET(Y625,0,COUNTA(Y625:AV625)-1,1,-4),"미납")&gt;=3),"장기미납",
IF(AND(V625="정상",OFFSET(Y625,0,COUNTA(Y625:AV625)-1)&gt;=U625),"정상",
IF(AND(V625="정상",OFFSET(Y625,0,COUNTA(Y625:AV625)-1)=0),"정상",
"계약서 미작성")))))</f>
        <v>#VALUE!</v>
      </c>
      <c r="X625" s="81" t="str">
        <f aca="true">
IF(D625="폐업","폐업",
IF(AND(V625="정상",OFFSET(Y625,0,COUNTA(Y625:AV625)-1)="미납"),"미납",
IF(AND(V625="정상",OFFSET(Y625,0,COUNTA(Y625:AV625)-1)=0),"납부 시작 전",
IF(AND(V625="정상",OFFSET(Y625,0,COUNTA(Y625:AV625)-1)&gt;=U625),"정상",
IF(AND(V625="면제",OFFSET(Y625,0,COUNTA(Y625:AV625)-1)="면제"),"면제",
IF(AND(V625="면제",OFFSET(Y625,0,COUNTA(Y625:AV625)-1)=0),"면제",
"확인요청"))))))</f>
        <v>정상</v>
      </c>
      <c r="Y625" s="93" t="n">
        <v>88000</v>
      </c>
      <c r="Z625" s="90" t="n">
        <v>88000</v>
      </c>
      <c r="AA625" s="90" t="n">
        <v>88000</v>
      </c>
      <c r="AB625" s="90" t="n">
        <v>88000</v>
      </c>
      <c r="AC625" s="90" t="n">
        <v>88000</v>
      </c>
      <c r="AD625" s="90" t="n">
        <v>88000</v>
      </c>
      <c r="AE625" s="90" t="n">
        <v>88000</v>
      </c>
      <c r="AF625" s="90" t="n">
        <v>88000</v>
      </c>
      <c r="AG625" s="90" t="n">
        <v>88000</v>
      </c>
      <c r="AH625" s="90" t="n">
        <v>88000</v>
      </c>
      <c r="AI625" s="90" t="n">
        <v>88000</v>
      </c>
      <c r="AJ625" s="91" t="n">
        <v>88000</v>
      </c>
      <c r="AK625" s="89" t="n">
        <v>88000</v>
      </c>
      <c r="AL625" s="90" t="n">
        <v>88000</v>
      </c>
      <c r="AM625" s="90"/>
      <c r="AN625" s="90"/>
      <c r="AO625" s="90"/>
      <c r="AP625" s="90"/>
      <c r="AQ625" s="90"/>
      <c r="AR625" s="90"/>
      <c r="AS625" s="90"/>
      <c r="AT625" s="90"/>
      <c r="AU625" s="90"/>
      <c r="AV625" s="91"/>
      <c r="AX625" s="92"/>
    </row>
    <row r="626" customFormat="false" ht="15.65" hidden="false" customHeight="false" outlineLevel="0" collapsed="false">
      <c r="C626" s="72" t="n">
        <f aca="false">COUNTIFS($D$6:D626,"&lt;&gt;"&amp;"")</f>
        <v>621</v>
      </c>
      <c r="D626" s="73" t="s">
        <v>12</v>
      </c>
      <c r="E626" s="76" t="str">
        <f aca="false">
IF($D626="정상",INDEX(임대자산!$D$3:$R$3000,MATCH($F626,임대자산!$I$3:$I$3000,0),MATCH(E$3,임대자산!$D$3:$R$3,0)),
IF($D626="폐업",INDEX(폐업정보!$D$3:$R$3000,MATCH($F626,폐업정보!$I$3:$I$3000,0),MATCH(E$3,폐업정보!$D$3:$R$3,0)),
"Error"))</f>
        <v>강원</v>
      </c>
      <c r="F62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B0621</v>
      </c>
      <c r="G626" s="76" t="str">
        <f aca="false">F626&amp;RANDBETWEEN(0,10)</f>
        <v>B06217</v>
      </c>
      <c r="H626" s="75" t="n">
        <f aca="false">
IF($D626="정상",INDEX(임대자산!$D$3:$R$3000,MATCH($F626,임대자산!$I$3:$I$3000,0),MATCH(H$4,임대자산!$D$3:$R$3,0)),
IF($D626="폐업",INDEX(폐업정보!$D$3:$R$3000,MATCH($F626,폐업정보!$I$3:$I$3000,0),MATCH(H$4,폐업정보!$D$3:$R$3,0)),
"Error"))</f>
        <v>44664</v>
      </c>
      <c r="I626" s="75" t="str">
        <f aca="false">
IF($D626="정상",INDEX(임대자산!$D$3:$R$3000,MATCH($F626,임대자산!$I$3:$I$3000,0),MATCH(I$4,임대자산!$D$3:$R$3,0)),
IF($D626="폐업",INDEX(폐업정보!$D$3:$R$3000,MATCH($F626,폐업정보!$I$3:$I$3000,0),MATCH(I$4,폐업정보!$D$3:$R$3,0)),
"Error"))</f>
        <v>A0621</v>
      </c>
      <c r="J626" s="75" t="str">
        <f aca="false">
IF($D626="정상",INDEX(임대자산!$D$3:$R$3000,MATCH($F626,임대자산!$I$3:$I$3000,0),MATCH(J$4,임대자산!$D$3:$R$3,0)),
IF($D626="폐업",INDEX(폐업정보!$D$3:$R$3000,MATCH($F626,폐업정보!$I$3:$I$3000,0),MATCH(J$4,폐업정보!$D$3:$R$3,0)),
"Error"))</f>
        <v>2568700000</v>
      </c>
      <c r="K626" s="75" t="str">
        <f aca="false">
IF($D626="정상",INDEX(임대자산!$D$3:$R$3000,MATCH($F626,임대자산!$I$3:$I$3000,0),MATCH(K$4,임대자산!$D$3:$R$3,0)),
IF($D626="폐업",INDEX(폐업정보!$D$3:$R$3000,MATCH($F626,폐업정보!$I$3:$I$3000,0),MATCH(K$4,폐업정보!$D$3:$R$3,0)),
"Error"))</f>
        <v>C0621</v>
      </c>
      <c r="L626" s="75" t="str">
        <f aca="false">
IF($D626="정상",INDEX(임대자산!$D$3:$R$3000,MATCH($F626,임대자산!$I$3:$I$3000,0),MATCH(L$4,임대자산!$D$3:$R$3,0)),
IF($D626="폐업",INDEX(폐업정보!$D$3:$R$3000,MATCH($F626,폐업정보!$I$3:$I$3000,0),MATCH(L$4,폐업정보!$D$3:$R$3,0)),
"Error"))</f>
        <v>D0621</v>
      </c>
      <c r="M626" s="76" t="s">
        <v>96</v>
      </c>
      <c r="N626" s="77"/>
      <c r="O626" s="78" t="s">
        <v>97</v>
      </c>
      <c r="P626" s="79" t="n">
        <f aca="false">COUNTIFS(임대자산!$I:$I,가맹점정보!F626,임대자산!$N:$N,가맹점정보!P$4)</f>
        <v>0</v>
      </c>
      <c r="Q626" s="80" t="n">
        <f aca="false">COUNTIFS(임대자산!$I:$I,가맹점정보!F626,임대자산!$N:$N,가맹점정보!Q$4)</f>
        <v>1</v>
      </c>
      <c r="R626" s="81" t="n">
        <f aca="false">COUNTIFS(임대자산!$I:$I,가맹점정보!F626,임대자산!$N:$N,가맹점정보!R$4)</f>
        <v>0</v>
      </c>
      <c r="S626" s="82" t="n">
        <v>55000</v>
      </c>
      <c r="T626" s="83" t="n">
        <v>0</v>
      </c>
      <c r="U626" s="80" t="n">
        <f aca="false">SUM(S626:T626)</f>
        <v>55000</v>
      </c>
      <c r="V626" s="84" t="s">
        <v>12</v>
      </c>
      <c r="W626" s="80" t="e">
        <f aca="true">
IF(D626="폐업","폐업",
IF(V626="면제","면제",
IF(AND(V626="정상",COUNTIFS(OFFSET(Y626,0,COUNTA(Y626:AV626)-1,1,-4),"미납")&gt;=3),"장기미납",
IF(AND(V626="정상",OFFSET(Y626,0,COUNTA(Y626:AV626)-1)&gt;=U626),"정상",
IF(AND(V626="정상",OFFSET(Y626,0,COUNTA(Y626:AV626)-1)=0),"정상",
"계약서 미작성")))))</f>
        <v>#VALUE!</v>
      </c>
      <c r="X626" s="81" t="str">
        <f aca="true">
IF(D626="폐업","폐업",
IF(AND(V626="정상",OFFSET(Y626,0,COUNTA(Y626:AV626)-1)="미납"),"미납",
IF(AND(V626="정상",OFFSET(Y626,0,COUNTA(Y626:AV626)-1)=0),"납부 시작 전",
IF(AND(V626="정상",OFFSET(Y626,0,COUNTA(Y626:AV626)-1)&gt;=U626),"정상",
IF(AND(V626="면제",OFFSET(Y626,0,COUNTA(Y626:AV626)-1)="면제"),"면제",
IF(AND(V626="면제",OFFSET(Y626,0,COUNTA(Y626:AV626)-1)=0),"면제",
"확인요청"))))))</f>
        <v>정상</v>
      </c>
      <c r="Y626" s="93" t="n">
        <v>55000</v>
      </c>
      <c r="Z626" s="90" t="n">
        <v>55000</v>
      </c>
      <c r="AA626" s="90" t="n">
        <v>55000</v>
      </c>
      <c r="AB626" s="90" t="n">
        <v>55000</v>
      </c>
      <c r="AC626" s="90" t="n">
        <v>55000</v>
      </c>
      <c r="AD626" s="90" t="n">
        <v>55000</v>
      </c>
      <c r="AE626" s="90" t="n">
        <v>55000</v>
      </c>
      <c r="AF626" s="90" t="n">
        <v>55000</v>
      </c>
      <c r="AG626" s="90" t="n">
        <v>55000</v>
      </c>
      <c r="AH626" s="90" t="n">
        <v>55000</v>
      </c>
      <c r="AI626" s="90" t="n">
        <v>55000</v>
      </c>
      <c r="AJ626" s="91" t="n">
        <v>55000</v>
      </c>
      <c r="AK626" s="89" t="n">
        <v>55000</v>
      </c>
      <c r="AL626" s="90" t="n">
        <v>55000</v>
      </c>
      <c r="AM626" s="90"/>
      <c r="AN626" s="90"/>
      <c r="AO626" s="90"/>
      <c r="AP626" s="90"/>
      <c r="AQ626" s="90"/>
      <c r="AR626" s="90"/>
      <c r="AS626" s="90"/>
      <c r="AT626" s="90"/>
      <c r="AU626" s="90"/>
      <c r="AV626" s="91"/>
      <c r="AX626" s="92"/>
    </row>
    <row r="627" customFormat="false" ht="15.65" hidden="false" customHeight="false" outlineLevel="0" collapsed="false">
      <c r="C627" s="72" t="n">
        <f aca="false">COUNTIFS($D$6:D627,"&lt;&gt;"&amp;"")</f>
        <v>622</v>
      </c>
      <c r="D627" s="73" t="s">
        <v>12</v>
      </c>
      <c r="E627" s="76" t="str">
        <f aca="false">
IF($D627="정상",INDEX(임대자산!$D$3:$R$3000,MATCH($F627,임대자산!$I$3:$I$3000,0),MATCH(E$3,임대자산!$D$3:$R$3,0)),
IF($D627="폐업",INDEX(폐업정보!$D$3:$R$3000,MATCH($F627,폐업정보!$I$3:$I$3000,0),MATCH(E$3,폐업정보!$D$3:$R$3,0)),
"Error"))</f>
        <v>경상</v>
      </c>
      <c r="F62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B0622</v>
      </c>
      <c r="G627" s="76" t="str">
        <f aca="false">F627&amp;RANDBETWEEN(0,10)</f>
        <v>B06225</v>
      </c>
      <c r="H627" s="75" t="n">
        <f aca="false">
IF($D627="정상",INDEX(임대자산!$D$3:$R$3000,MATCH($F627,임대자산!$I$3:$I$3000,0),MATCH(H$4,임대자산!$D$3:$R$3,0)),
IF($D627="폐업",INDEX(폐업정보!$D$3:$R$3000,MATCH($F627,폐업정보!$I$3:$I$3000,0),MATCH(H$4,폐업정보!$D$3:$R$3,0)),
"Error"))</f>
        <v>44187</v>
      </c>
      <c r="I627" s="75" t="str">
        <f aca="false">
IF($D627="정상",INDEX(임대자산!$D$3:$R$3000,MATCH($F627,임대자산!$I$3:$I$3000,0),MATCH(I$4,임대자산!$D$3:$R$3,0)),
IF($D627="폐업",INDEX(폐업정보!$D$3:$R$3000,MATCH($F627,폐업정보!$I$3:$I$3000,0),MATCH(I$4,폐업정보!$D$3:$R$3,0)),
"Error"))</f>
        <v>A0622</v>
      </c>
      <c r="J627" s="75" t="str">
        <f aca="false">
IF($D627="정상",INDEX(임대자산!$D$3:$R$3000,MATCH($F627,임대자산!$I$3:$I$3000,0),MATCH(J$4,임대자산!$D$3:$R$3,0)),
IF($D627="폐업",INDEX(폐업정보!$D$3:$R$3000,MATCH($F627,폐업정보!$I$3:$I$3000,0),MATCH(J$4,폐업정보!$D$3:$R$3,0)),
"Error"))</f>
        <v>3051800000</v>
      </c>
      <c r="K627" s="75" t="str">
        <f aca="false">
IF($D627="정상",INDEX(임대자산!$D$3:$R$3000,MATCH($F627,임대자산!$I$3:$I$3000,0),MATCH(K$4,임대자산!$D$3:$R$3,0)),
IF($D627="폐업",INDEX(폐업정보!$D$3:$R$3000,MATCH($F627,폐업정보!$I$3:$I$3000,0),MATCH(K$4,폐업정보!$D$3:$R$3,0)),
"Error"))</f>
        <v>C0622</v>
      </c>
      <c r="L627" s="75" t="str">
        <f aca="false">
IF($D627="정상",INDEX(임대자산!$D$3:$R$3000,MATCH($F627,임대자산!$I$3:$I$3000,0),MATCH(L$4,임대자산!$D$3:$R$3,0)),
IF($D627="폐업",INDEX(폐업정보!$D$3:$R$3000,MATCH($F627,폐업정보!$I$3:$I$3000,0),MATCH(L$4,폐업정보!$D$3:$R$3,0)),
"Error"))</f>
        <v>D0622</v>
      </c>
      <c r="M627" s="76" t="s">
        <v>96</v>
      </c>
      <c r="N627" s="77"/>
      <c r="O627" s="78" t="s">
        <v>97</v>
      </c>
      <c r="P627" s="79" t="n">
        <f aca="false">COUNTIFS(임대자산!$I:$I,가맹점정보!F627,임대자산!$N:$N,가맹점정보!P$4)</f>
        <v>0</v>
      </c>
      <c r="Q627" s="80" t="n">
        <f aca="false">COUNTIFS(임대자산!$I:$I,가맹점정보!F627,임대자산!$N:$N,가맹점정보!Q$4)</f>
        <v>1</v>
      </c>
      <c r="R627" s="81" t="n">
        <f aca="false">COUNTIFS(임대자산!$I:$I,가맹점정보!F627,임대자산!$N:$N,가맹점정보!R$4)</f>
        <v>0</v>
      </c>
      <c r="S627" s="82" t="n">
        <v>88000</v>
      </c>
      <c r="T627" s="83" t="n">
        <v>0</v>
      </c>
      <c r="U627" s="80" t="n">
        <f aca="false">SUM(S627:T627)</f>
        <v>88000</v>
      </c>
      <c r="V627" s="84" t="s">
        <v>12</v>
      </c>
      <c r="W627" s="80" t="e">
        <f aca="true">
IF(D627="폐업","폐업",
IF(V627="면제","면제",
IF(AND(V627="정상",COUNTIFS(OFFSET(Y627,0,COUNTA(Y627:AV627)-1,1,-4),"미납")&gt;=3),"장기미납",
IF(AND(V627="정상",OFFSET(Y627,0,COUNTA(Y627:AV627)-1)&gt;=U627),"정상",
IF(AND(V627="정상",OFFSET(Y627,0,COUNTA(Y627:AV627)-1)=0),"정상",
"계약서 미작성")))))</f>
        <v>#VALUE!</v>
      </c>
      <c r="X627" s="81" t="str">
        <f aca="true">
IF(D627="폐업","폐업",
IF(AND(V627="정상",OFFSET(Y627,0,COUNTA(Y627:AV627)-1)="미납"),"미납",
IF(AND(V627="정상",OFFSET(Y627,0,COUNTA(Y627:AV627)-1)=0),"납부 시작 전",
IF(AND(V627="정상",OFFSET(Y627,0,COUNTA(Y627:AV627)-1)&gt;=U627),"정상",
IF(AND(V627="면제",OFFSET(Y627,0,COUNTA(Y627:AV627)-1)="면제"),"면제",
IF(AND(V627="면제",OFFSET(Y627,0,COUNTA(Y627:AV627)-1)=0),"면제",
"확인요청"))))))</f>
        <v>정상</v>
      </c>
      <c r="Y627" s="93" t="n">
        <v>88000</v>
      </c>
      <c r="Z627" s="90" t="n">
        <v>88000</v>
      </c>
      <c r="AA627" s="90" t="n">
        <v>88000</v>
      </c>
      <c r="AB627" s="90" t="n">
        <v>88000</v>
      </c>
      <c r="AC627" s="90" t="n">
        <v>88000</v>
      </c>
      <c r="AD627" s="90" t="n">
        <v>88000</v>
      </c>
      <c r="AE627" s="90" t="n">
        <v>88000</v>
      </c>
      <c r="AF627" s="90" t="n">
        <v>88000</v>
      </c>
      <c r="AG627" s="90" t="n">
        <v>88000</v>
      </c>
      <c r="AH627" s="90" t="n">
        <v>88000</v>
      </c>
      <c r="AI627" s="95" t="s">
        <v>62</v>
      </c>
      <c r="AJ627" s="91" t="n">
        <v>88000</v>
      </c>
      <c r="AK627" s="89" t="n">
        <v>88000</v>
      </c>
      <c r="AL627" s="90" t="n">
        <v>88000</v>
      </c>
      <c r="AM627" s="90"/>
      <c r="AN627" s="90"/>
      <c r="AO627" s="90"/>
      <c r="AP627" s="90"/>
      <c r="AQ627" s="90"/>
      <c r="AR627" s="90"/>
      <c r="AS627" s="90"/>
      <c r="AT627" s="90"/>
      <c r="AU627" s="90"/>
      <c r="AV627" s="91"/>
      <c r="AX627" s="92"/>
    </row>
    <row r="628" customFormat="false" ht="15.65" hidden="false" customHeight="false" outlineLevel="0" collapsed="false">
      <c r="C628" s="72" t="n">
        <f aca="false">COUNTIFS($D$6:D628,"&lt;&gt;"&amp;"")</f>
        <v>623</v>
      </c>
      <c r="D628" s="73" t="s">
        <v>12</v>
      </c>
      <c r="E628" s="76" t="str">
        <f aca="false">
IF($D628="정상",INDEX(임대자산!$D$3:$R$3000,MATCH($F628,임대자산!$I$3:$I$3000,0),MATCH(E$3,임대자산!$D$3:$R$3,0)),
IF($D628="폐업",INDEX(폐업정보!$D$3:$R$3000,MATCH($F628,폐업정보!$I$3:$I$3000,0),MATCH(E$3,폐업정보!$D$3:$R$3,0)),
"Error"))</f>
        <v>서울</v>
      </c>
      <c r="F62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B0623</v>
      </c>
      <c r="G628" s="76" t="str">
        <f aca="false">F628&amp;RANDBETWEEN(0,10)</f>
        <v>B06236</v>
      </c>
      <c r="H628" s="75" t="n">
        <f aca="false">
IF($D628="정상",INDEX(임대자산!$D$3:$R$3000,MATCH($F628,임대자산!$I$3:$I$3000,0),MATCH(H$4,임대자산!$D$3:$R$3,0)),
IF($D628="폐업",INDEX(폐업정보!$D$3:$R$3000,MATCH($F628,폐업정보!$I$3:$I$3000,0),MATCH(H$4,폐업정보!$D$3:$R$3,0)),
"Error"))</f>
        <v>44286</v>
      </c>
      <c r="I628" s="75" t="str">
        <f aca="false">
IF($D628="정상",INDEX(임대자산!$D$3:$R$3000,MATCH($F628,임대자산!$I$3:$I$3000,0),MATCH(I$4,임대자산!$D$3:$R$3,0)),
IF($D628="폐업",INDEX(폐업정보!$D$3:$R$3000,MATCH($F628,폐업정보!$I$3:$I$3000,0),MATCH(I$4,폐업정보!$D$3:$R$3,0)),
"Error"))</f>
        <v>A0623</v>
      </c>
      <c r="J628" s="75" t="str">
        <f aca="false">
IF($D628="정상",INDEX(임대자산!$D$3:$R$3000,MATCH($F628,임대자산!$I$3:$I$3000,0),MATCH(J$4,임대자산!$D$3:$R$3,0)),
IF($D628="폐업",INDEX(폐업정보!$D$3:$R$3000,MATCH($F628,폐업정보!$I$3:$I$3000,0),MATCH(J$4,폐업정보!$D$3:$R$3,0)),
"Error"))</f>
        <v>1214600000</v>
      </c>
      <c r="K628" s="75" t="str">
        <f aca="false">
IF($D628="정상",INDEX(임대자산!$D$3:$R$3000,MATCH($F628,임대자산!$I$3:$I$3000,0),MATCH(K$4,임대자산!$D$3:$R$3,0)),
IF($D628="폐업",INDEX(폐업정보!$D$3:$R$3000,MATCH($F628,폐업정보!$I$3:$I$3000,0),MATCH(K$4,폐업정보!$D$3:$R$3,0)),
"Error"))</f>
        <v>C0623</v>
      </c>
      <c r="L628" s="75" t="str">
        <f aca="false">
IF($D628="정상",INDEX(임대자산!$D$3:$R$3000,MATCH($F628,임대자산!$I$3:$I$3000,0),MATCH(L$4,임대자산!$D$3:$R$3,0)),
IF($D628="폐업",INDEX(폐업정보!$D$3:$R$3000,MATCH($F628,폐업정보!$I$3:$I$3000,0),MATCH(L$4,폐업정보!$D$3:$R$3,0)),
"Error"))</f>
        <v>D0623</v>
      </c>
      <c r="M628" s="76" t="s">
        <v>96</v>
      </c>
      <c r="N628" s="77"/>
      <c r="O628" s="78" t="s">
        <v>97</v>
      </c>
      <c r="P628" s="79" t="n">
        <f aca="false">COUNTIFS(임대자산!$I:$I,가맹점정보!F628,임대자산!$N:$N,가맹점정보!P$4)</f>
        <v>0</v>
      </c>
      <c r="Q628" s="80" t="n">
        <f aca="false">COUNTIFS(임대자산!$I:$I,가맹점정보!F628,임대자산!$N:$N,가맹점정보!Q$4)</f>
        <v>1</v>
      </c>
      <c r="R628" s="81" t="n">
        <f aca="false">COUNTIFS(임대자산!$I:$I,가맹점정보!F628,임대자산!$N:$N,가맹점정보!R$4)</f>
        <v>0</v>
      </c>
      <c r="S628" s="82" t="n">
        <v>55000</v>
      </c>
      <c r="T628" s="83" t="n">
        <v>0</v>
      </c>
      <c r="U628" s="80" t="n">
        <f aca="false">SUM(S628:T628)</f>
        <v>55000</v>
      </c>
      <c r="V628" s="84" t="s">
        <v>12</v>
      </c>
      <c r="W628" s="80" t="e">
        <f aca="true">
IF(D628="폐업","폐업",
IF(V628="면제","면제",
IF(AND(V628="정상",COUNTIFS(OFFSET(Y628,0,COUNTA(Y628:AV628)-1,1,-4),"미납")&gt;=3),"장기미납",
IF(AND(V628="정상",OFFSET(Y628,0,COUNTA(Y628:AV628)-1)&gt;=U628),"정상",
IF(AND(V628="정상",OFFSET(Y628,0,COUNTA(Y628:AV628)-1)=0),"정상",
"계약서 미작성")))))</f>
        <v>#VALUE!</v>
      </c>
      <c r="X628" s="81" t="str">
        <f aca="true">
IF(D628="폐업","폐업",
IF(AND(V628="정상",OFFSET(Y628,0,COUNTA(Y628:AV628)-1)="미납"),"미납",
IF(AND(V628="정상",OFFSET(Y628,0,COUNTA(Y628:AV628)-1)=0),"납부 시작 전",
IF(AND(V628="정상",OFFSET(Y628,0,COUNTA(Y628:AV628)-1)&gt;=U628),"정상",
IF(AND(V628="면제",OFFSET(Y628,0,COUNTA(Y628:AV628)-1)="면제"),"면제",
IF(AND(V628="면제",OFFSET(Y628,0,COUNTA(Y628:AV628)-1)=0),"면제",
"확인요청"))))))</f>
        <v>정상</v>
      </c>
      <c r="Y628" s="93" t="n">
        <v>55000</v>
      </c>
      <c r="Z628" s="90" t="n">
        <v>55000</v>
      </c>
      <c r="AA628" s="90" t="n">
        <v>55000</v>
      </c>
      <c r="AB628" s="90" t="n">
        <v>55000</v>
      </c>
      <c r="AC628" s="90" t="n">
        <v>55000</v>
      </c>
      <c r="AD628" s="90" t="n">
        <v>55000</v>
      </c>
      <c r="AE628" s="90" t="n">
        <v>55000</v>
      </c>
      <c r="AF628" s="90" t="n">
        <v>55000</v>
      </c>
      <c r="AG628" s="90" t="n">
        <v>55000</v>
      </c>
      <c r="AH628" s="90" t="n">
        <v>55000</v>
      </c>
      <c r="AI628" s="90" t="n">
        <v>55000</v>
      </c>
      <c r="AJ628" s="91" t="n">
        <v>55000</v>
      </c>
      <c r="AK628" s="89" t="n">
        <v>55000</v>
      </c>
      <c r="AL628" s="90" t="n">
        <v>55000</v>
      </c>
      <c r="AM628" s="90"/>
      <c r="AN628" s="90"/>
      <c r="AO628" s="90"/>
      <c r="AP628" s="90"/>
      <c r="AQ628" s="90"/>
      <c r="AR628" s="90"/>
      <c r="AS628" s="90"/>
      <c r="AT628" s="90"/>
      <c r="AU628" s="90"/>
      <c r="AV628" s="91"/>
      <c r="AX628" s="92"/>
    </row>
    <row r="629" customFormat="false" ht="15.65" hidden="false" customHeight="false" outlineLevel="0" collapsed="false">
      <c r="C629" s="72" t="n">
        <f aca="false">COUNTIFS($D$6:D629,"&lt;&gt;"&amp;"")</f>
        <v>624</v>
      </c>
      <c r="D629" s="73" t="s">
        <v>12</v>
      </c>
      <c r="E629" s="76" t="str">
        <f aca="false">
IF($D629="정상",INDEX(임대자산!$D$3:$R$3000,MATCH($F629,임대자산!$I$3:$I$3000,0),MATCH(E$3,임대자산!$D$3:$R$3,0)),
IF($D629="폐업",INDEX(폐업정보!$D$3:$R$3000,MATCH($F629,폐업정보!$I$3:$I$3000,0),MATCH(E$3,폐업정보!$D$3:$R$3,0)),
"Error"))</f>
        <v>경상</v>
      </c>
      <c r="F62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B0624</v>
      </c>
      <c r="G629" s="76" t="str">
        <f aca="false">F629&amp;RANDBETWEEN(0,10)</f>
        <v>B06240</v>
      </c>
      <c r="H629" s="75" t="n">
        <f aca="false">
IF($D629="정상",INDEX(임대자산!$D$3:$R$3000,MATCH($F629,임대자산!$I$3:$I$3000,0),MATCH(H$4,임대자산!$D$3:$R$3,0)),
IF($D629="폐업",INDEX(폐업정보!$D$3:$R$3000,MATCH($F629,폐업정보!$I$3:$I$3000,0),MATCH(H$4,폐업정보!$D$3:$R$3,0)),
"Error"))</f>
        <v>44293</v>
      </c>
      <c r="I629" s="75" t="str">
        <f aca="false">
IF($D629="정상",INDEX(임대자산!$D$3:$R$3000,MATCH($F629,임대자산!$I$3:$I$3000,0),MATCH(I$4,임대자산!$D$3:$R$3,0)),
IF($D629="폐업",INDEX(폐업정보!$D$3:$R$3000,MATCH($F629,폐업정보!$I$3:$I$3000,0),MATCH(I$4,폐업정보!$D$3:$R$3,0)),
"Error"))</f>
        <v>A0624</v>
      </c>
      <c r="J629" s="75" t="str">
        <f aca="false">
IF($D629="정상",INDEX(임대자산!$D$3:$R$3000,MATCH($F629,임대자산!$I$3:$I$3000,0),MATCH(J$4,임대자산!$D$3:$R$3,0)),
IF($D629="폐업",INDEX(폐업정보!$D$3:$R$3000,MATCH($F629,폐업정보!$I$3:$I$3000,0),MATCH(J$4,폐업정보!$D$3:$R$3,0)),
"Error"))</f>
        <v>4451500000</v>
      </c>
      <c r="K629" s="75" t="str">
        <f aca="false">
IF($D629="정상",INDEX(임대자산!$D$3:$R$3000,MATCH($F629,임대자산!$I$3:$I$3000,0),MATCH(K$4,임대자산!$D$3:$R$3,0)),
IF($D629="폐업",INDEX(폐업정보!$D$3:$R$3000,MATCH($F629,폐업정보!$I$3:$I$3000,0),MATCH(K$4,폐업정보!$D$3:$R$3,0)),
"Error"))</f>
        <v>C0624</v>
      </c>
      <c r="L629" s="75" t="str">
        <f aca="false">
IF($D629="정상",INDEX(임대자산!$D$3:$R$3000,MATCH($F629,임대자산!$I$3:$I$3000,0),MATCH(L$4,임대자산!$D$3:$R$3,0)),
IF($D629="폐업",INDEX(폐업정보!$D$3:$R$3000,MATCH($F629,폐업정보!$I$3:$I$3000,0),MATCH(L$4,폐업정보!$D$3:$R$3,0)),
"Error"))</f>
        <v>D0624</v>
      </c>
      <c r="M629" s="76" t="s">
        <v>96</v>
      </c>
      <c r="N629" s="77"/>
      <c r="O629" s="78" t="s">
        <v>97</v>
      </c>
      <c r="P629" s="79" t="n">
        <f aca="false">COUNTIFS(임대자산!$I:$I,가맹점정보!F629,임대자산!$N:$N,가맹점정보!P$4)</f>
        <v>0</v>
      </c>
      <c r="Q629" s="80" t="n">
        <f aca="false">COUNTIFS(임대자산!$I:$I,가맹점정보!F629,임대자산!$N:$N,가맹점정보!Q$4)</f>
        <v>1</v>
      </c>
      <c r="R629" s="81" t="n">
        <f aca="false">COUNTIFS(임대자산!$I:$I,가맹점정보!F629,임대자산!$N:$N,가맹점정보!R$4)</f>
        <v>0</v>
      </c>
      <c r="S629" s="82" t="n">
        <v>55000</v>
      </c>
      <c r="T629" s="83" t="n">
        <v>0</v>
      </c>
      <c r="U629" s="80" t="n">
        <f aca="false">SUM(S629:T629)</f>
        <v>55000</v>
      </c>
      <c r="V629" s="84" t="s">
        <v>12</v>
      </c>
      <c r="W629" s="80" t="e">
        <f aca="true">
IF(D629="폐업","폐업",
IF(V629="면제","면제",
IF(AND(V629="정상",COUNTIFS(OFFSET(Y629,0,COUNTA(Y629:AV629)-1,1,-4),"미납")&gt;=3),"장기미납",
IF(AND(V629="정상",OFFSET(Y629,0,COUNTA(Y629:AV629)-1)&gt;=U629),"정상",
IF(AND(V629="정상",OFFSET(Y629,0,COUNTA(Y629:AV629)-1)=0),"정상",
"계약서 미작성")))))</f>
        <v>#VALUE!</v>
      </c>
      <c r="X629" s="81" t="str">
        <f aca="true">
IF(D629="폐업","폐업",
IF(AND(V629="정상",OFFSET(Y629,0,COUNTA(Y629:AV629)-1)="미납"),"미납",
IF(AND(V629="정상",OFFSET(Y629,0,COUNTA(Y629:AV629)-1)=0),"납부 시작 전",
IF(AND(V629="정상",OFFSET(Y629,0,COUNTA(Y629:AV629)-1)&gt;=U629),"정상",
IF(AND(V629="면제",OFFSET(Y629,0,COUNTA(Y629:AV629)-1)="면제"),"면제",
IF(AND(V629="면제",OFFSET(Y629,0,COUNTA(Y629:AV629)-1)=0),"면제",
"확인요청"))))))</f>
        <v>정상</v>
      </c>
      <c r="Y629" s="93" t="n">
        <v>55000</v>
      </c>
      <c r="Z629" s="90" t="n">
        <v>55000</v>
      </c>
      <c r="AA629" s="90" t="n">
        <v>55000</v>
      </c>
      <c r="AB629" s="90" t="n">
        <v>55000</v>
      </c>
      <c r="AC629" s="90" t="n">
        <v>55000</v>
      </c>
      <c r="AD629" s="90" t="n">
        <v>55000</v>
      </c>
      <c r="AE629" s="90" t="n">
        <v>55000</v>
      </c>
      <c r="AF629" s="90" t="n">
        <v>55000</v>
      </c>
      <c r="AG629" s="90" t="n">
        <v>55000</v>
      </c>
      <c r="AH629" s="90" t="n">
        <v>55000</v>
      </c>
      <c r="AI629" s="90" t="n">
        <v>55000</v>
      </c>
      <c r="AJ629" s="91" t="n">
        <v>55000</v>
      </c>
      <c r="AK629" s="89" t="n">
        <v>55000</v>
      </c>
      <c r="AL629" s="90" t="n">
        <v>55000</v>
      </c>
      <c r="AM629" s="90"/>
      <c r="AN629" s="90"/>
      <c r="AO629" s="90"/>
      <c r="AP629" s="90"/>
      <c r="AQ629" s="90"/>
      <c r="AR629" s="90"/>
      <c r="AS629" s="90"/>
      <c r="AT629" s="90"/>
      <c r="AU629" s="90"/>
      <c r="AV629" s="91"/>
      <c r="AX629" s="92"/>
    </row>
    <row r="630" customFormat="false" ht="15.65" hidden="false" customHeight="false" outlineLevel="0" collapsed="false">
      <c r="C630" s="72" t="n">
        <f aca="false">COUNTIFS($D$6:D630,"&lt;&gt;"&amp;"")</f>
        <v>625</v>
      </c>
      <c r="D630" s="73" t="s">
        <v>12</v>
      </c>
      <c r="E630" s="76" t="str">
        <f aca="false">
IF($D630="정상",INDEX(임대자산!$D$3:$R$3000,MATCH($F630,임대자산!$I$3:$I$3000,0),MATCH(E$3,임대자산!$D$3:$R$3,0)),
IF($D630="폐업",INDEX(폐업정보!$D$3:$R$3000,MATCH($F630,폐업정보!$I$3:$I$3000,0),MATCH(E$3,폐업정보!$D$3:$R$3,0)),
"Error"))</f>
        <v>경기</v>
      </c>
      <c r="F63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B0625</v>
      </c>
      <c r="G630" s="76" t="str">
        <f aca="false">F630&amp;RANDBETWEEN(0,10)</f>
        <v>B06250</v>
      </c>
      <c r="H630" s="75" t="n">
        <f aca="false">
IF($D630="정상",INDEX(임대자산!$D$3:$R$3000,MATCH($F630,임대자산!$I$3:$I$3000,0),MATCH(H$4,임대자산!$D$3:$R$3,0)),
IF($D630="폐업",INDEX(폐업정보!$D$3:$R$3000,MATCH($F630,폐업정보!$I$3:$I$3000,0),MATCH(H$4,폐업정보!$D$3:$R$3,0)),
"Error"))</f>
        <v>44559</v>
      </c>
      <c r="I630" s="75" t="str">
        <f aca="false">
IF($D630="정상",INDEX(임대자산!$D$3:$R$3000,MATCH($F630,임대자산!$I$3:$I$3000,0),MATCH(I$4,임대자산!$D$3:$R$3,0)),
IF($D630="폐업",INDEX(폐업정보!$D$3:$R$3000,MATCH($F630,폐업정보!$I$3:$I$3000,0),MATCH(I$4,폐업정보!$D$3:$R$3,0)),
"Error"))</f>
        <v>A0625</v>
      </c>
      <c r="J630" s="75" t="str">
        <f aca="false">
IF($D630="정상",INDEX(임대자산!$D$3:$R$3000,MATCH($F630,임대자산!$I$3:$I$3000,0),MATCH(J$4,임대자산!$D$3:$R$3,0)),
IF($D630="폐업",INDEX(폐업정보!$D$3:$R$3000,MATCH($F630,폐업정보!$I$3:$I$3000,0),MATCH(J$4,폐업정보!$D$3:$R$3,0)),
"Error"))</f>
        <v>4990800000</v>
      </c>
      <c r="K630" s="75" t="str">
        <f aca="false">
IF($D630="정상",INDEX(임대자산!$D$3:$R$3000,MATCH($F630,임대자산!$I$3:$I$3000,0),MATCH(K$4,임대자산!$D$3:$R$3,0)),
IF($D630="폐업",INDEX(폐업정보!$D$3:$R$3000,MATCH($F630,폐업정보!$I$3:$I$3000,0),MATCH(K$4,폐업정보!$D$3:$R$3,0)),
"Error"))</f>
        <v>C0625</v>
      </c>
      <c r="L630" s="75" t="str">
        <f aca="false">
IF($D630="정상",INDEX(임대자산!$D$3:$R$3000,MATCH($F630,임대자산!$I$3:$I$3000,0),MATCH(L$4,임대자산!$D$3:$R$3,0)),
IF($D630="폐업",INDEX(폐업정보!$D$3:$R$3000,MATCH($F630,폐업정보!$I$3:$I$3000,0),MATCH(L$4,폐업정보!$D$3:$R$3,0)),
"Error"))</f>
        <v>D0625</v>
      </c>
      <c r="M630" s="76" t="s">
        <v>96</v>
      </c>
      <c r="N630" s="77"/>
      <c r="O630" s="78" t="s">
        <v>97</v>
      </c>
      <c r="P630" s="79" t="n">
        <f aca="false">COUNTIFS(임대자산!$I:$I,가맹점정보!F630,임대자산!$N:$N,가맹점정보!P$4)</f>
        <v>0</v>
      </c>
      <c r="Q630" s="80" t="n">
        <f aca="false">COUNTIFS(임대자산!$I:$I,가맹점정보!F630,임대자산!$N:$N,가맹점정보!Q$4)</f>
        <v>1</v>
      </c>
      <c r="R630" s="81" t="n">
        <f aca="false">COUNTIFS(임대자산!$I:$I,가맹점정보!F630,임대자산!$N:$N,가맹점정보!R$4)</f>
        <v>0</v>
      </c>
      <c r="S630" s="82" t="n">
        <v>110000</v>
      </c>
      <c r="T630" s="83" t="n">
        <v>0</v>
      </c>
      <c r="U630" s="80" t="n">
        <f aca="false">SUM(S630:T630)</f>
        <v>110000</v>
      </c>
      <c r="V630" s="84" t="s">
        <v>12</v>
      </c>
      <c r="W630" s="80" t="e">
        <f aca="true">
IF(D630="폐업","폐업",
IF(V630="면제","면제",
IF(AND(V630="정상",COUNTIFS(OFFSET(Y630,0,COUNTA(Y630:AV630)-1,1,-4),"미납")&gt;=3),"장기미납",
IF(AND(V630="정상",OFFSET(Y630,0,COUNTA(Y630:AV630)-1)&gt;=U630),"정상",
IF(AND(V630="정상",OFFSET(Y630,0,COUNTA(Y630:AV630)-1)=0),"정상",
"계약서 미작성")))))</f>
        <v>#VALUE!</v>
      </c>
      <c r="X630" s="81" t="str">
        <f aca="true">
IF(D630="폐업","폐업",
IF(AND(V630="정상",OFFSET(Y630,0,COUNTA(Y630:AV630)-1)="미납"),"미납",
IF(AND(V630="정상",OFFSET(Y630,0,COUNTA(Y630:AV630)-1)=0),"납부 시작 전",
IF(AND(V630="정상",OFFSET(Y630,0,COUNTA(Y630:AV630)-1)&gt;=U630),"정상",
IF(AND(V630="면제",OFFSET(Y630,0,COUNTA(Y630:AV630)-1)="면제"),"면제",
IF(AND(V630="면제",OFFSET(Y630,0,COUNTA(Y630:AV630)-1)=0),"면제",
"확인요청"))))))</f>
        <v>정상</v>
      </c>
      <c r="Y630" s="93" t="n">
        <v>110000</v>
      </c>
      <c r="Z630" s="90" t="n">
        <v>110000</v>
      </c>
      <c r="AA630" s="90" t="n">
        <v>110000</v>
      </c>
      <c r="AB630" s="90" t="n">
        <v>110000</v>
      </c>
      <c r="AC630" s="90" t="n">
        <v>110000</v>
      </c>
      <c r="AD630" s="90" t="n">
        <v>110000</v>
      </c>
      <c r="AE630" s="90" t="n">
        <v>110000</v>
      </c>
      <c r="AF630" s="90" t="n">
        <v>110000</v>
      </c>
      <c r="AG630" s="90" t="n">
        <v>110000</v>
      </c>
      <c r="AH630" s="90" t="n">
        <v>110000</v>
      </c>
      <c r="AI630" s="90" t="n">
        <v>110000</v>
      </c>
      <c r="AJ630" s="91" t="n">
        <v>110000</v>
      </c>
      <c r="AK630" s="89" t="n">
        <v>110000</v>
      </c>
      <c r="AL630" s="90" t="n">
        <v>110000</v>
      </c>
      <c r="AM630" s="90"/>
      <c r="AN630" s="90"/>
      <c r="AO630" s="90"/>
      <c r="AP630" s="90"/>
      <c r="AQ630" s="90"/>
      <c r="AR630" s="90"/>
      <c r="AS630" s="90"/>
      <c r="AT630" s="90"/>
      <c r="AU630" s="90"/>
      <c r="AV630" s="91"/>
      <c r="AX630" s="92"/>
    </row>
    <row r="631" customFormat="false" ht="15.65" hidden="false" customHeight="false" outlineLevel="0" collapsed="false">
      <c r="C631" s="72" t="n">
        <f aca="false">COUNTIFS($D$6:D631,"&lt;&gt;"&amp;"")</f>
        <v>626</v>
      </c>
      <c r="D631" s="73" t="s">
        <v>12</v>
      </c>
      <c r="E631" s="76" t="str">
        <f aca="false">
IF($D631="정상",INDEX(임대자산!$D$3:$R$3000,MATCH($F631,임대자산!$I$3:$I$3000,0),MATCH(E$3,임대자산!$D$3:$R$3,0)),
IF($D631="폐업",INDEX(폐업정보!$D$3:$R$3000,MATCH($F631,폐업정보!$I$3:$I$3000,0),MATCH(E$3,폐업정보!$D$3:$R$3,0)),
"Error"))</f>
        <v>경기</v>
      </c>
      <c r="F63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B0626</v>
      </c>
      <c r="G631" s="76" t="str">
        <f aca="false">F631&amp;RANDBETWEEN(0,10)</f>
        <v>B06266</v>
      </c>
      <c r="H631" s="75" t="n">
        <f aca="false">
IF($D631="정상",INDEX(임대자산!$D$3:$R$3000,MATCH($F631,임대자산!$I$3:$I$3000,0),MATCH(H$4,임대자산!$D$3:$R$3,0)),
IF($D631="폐업",INDEX(폐업정보!$D$3:$R$3000,MATCH($F631,폐업정보!$I$3:$I$3000,0),MATCH(H$4,폐업정보!$D$3:$R$3,0)),
"Error"))</f>
        <v>44326</v>
      </c>
      <c r="I631" s="75" t="str">
        <f aca="false">
IF($D631="정상",INDEX(임대자산!$D$3:$R$3000,MATCH($F631,임대자산!$I$3:$I$3000,0),MATCH(I$4,임대자산!$D$3:$R$3,0)),
IF($D631="폐업",INDEX(폐업정보!$D$3:$R$3000,MATCH($F631,폐업정보!$I$3:$I$3000,0),MATCH(I$4,폐업정보!$D$3:$R$3,0)),
"Error"))</f>
        <v>A0626</v>
      </c>
      <c r="J631" s="75" t="str">
        <f aca="false">
IF($D631="정상",INDEX(임대자산!$D$3:$R$3000,MATCH($F631,임대자산!$I$3:$I$3000,0),MATCH(J$4,임대자산!$D$3:$R$3,0)),
IF($D631="폐업",INDEX(폐업정보!$D$3:$R$3000,MATCH($F631,폐업정보!$I$3:$I$3000,0),MATCH(J$4,폐업정보!$D$3:$R$3,0)),
"Error"))</f>
        <v>7238400000</v>
      </c>
      <c r="K631" s="75" t="str">
        <f aca="false">
IF($D631="정상",INDEX(임대자산!$D$3:$R$3000,MATCH($F631,임대자산!$I$3:$I$3000,0),MATCH(K$4,임대자산!$D$3:$R$3,0)),
IF($D631="폐업",INDEX(폐업정보!$D$3:$R$3000,MATCH($F631,폐업정보!$I$3:$I$3000,0),MATCH(K$4,폐업정보!$D$3:$R$3,0)),
"Error"))</f>
        <v>C0626</v>
      </c>
      <c r="L631" s="75" t="str">
        <f aca="false">
IF($D631="정상",INDEX(임대자산!$D$3:$R$3000,MATCH($F631,임대자산!$I$3:$I$3000,0),MATCH(L$4,임대자산!$D$3:$R$3,0)),
IF($D631="폐업",INDEX(폐업정보!$D$3:$R$3000,MATCH($F631,폐업정보!$I$3:$I$3000,0),MATCH(L$4,폐업정보!$D$3:$R$3,0)),
"Error"))</f>
        <v>D0626</v>
      </c>
      <c r="M631" s="76" t="s">
        <v>96</v>
      </c>
      <c r="N631" s="77"/>
      <c r="O631" s="78" t="s">
        <v>97</v>
      </c>
      <c r="P631" s="79" t="n">
        <f aca="false">COUNTIFS(임대자산!$I:$I,가맹점정보!F631,임대자산!$N:$N,가맹점정보!P$4)</f>
        <v>0</v>
      </c>
      <c r="Q631" s="80" t="n">
        <f aca="false">COUNTIFS(임대자산!$I:$I,가맹점정보!F631,임대자산!$N:$N,가맹점정보!Q$4)</f>
        <v>1</v>
      </c>
      <c r="R631" s="81" t="n">
        <f aca="false">COUNTIFS(임대자산!$I:$I,가맹점정보!F631,임대자산!$N:$N,가맹점정보!R$4)</f>
        <v>0</v>
      </c>
      <c r="S631" s="82" t="n">
        <v>88000</v>
      </c>
      <c r="T631" s="83" t="n">
        <v>0</v>
      </c>
      <c r="U631" s="80" t="n">
        <f aca="false">SUM(S631:T631)</f>
        <v>88000</v>
      </c>
      <c r="V631" s="84" t="s">
        <v>12</v>
      </c>
      <c r="W631" s="80" t="e">
        <f aca="true">
IF(D631="폐업","폐업",
IF(V631="면제","면제",
IF(AND(V631="정상",COUNTIFS(OFFSET(Y631,0,COUNTA(Y631:AV631)-1,1,-4),"미납")&gt;=3),"장기미납",
IF(AND(V631="정상",OFFSET(Y631,0,COUNTA(Y631:AV631)-1)&gt;=U631),"정상",
IF(AND(V631="정상",OFFSET(Y631,0,COUNTA(Y631:AV631)-1)=0),"정상",
"계약서 미작성")))))</f>
        <v>#VALUE!</v>
      </c>
      <c r="X631" s="81" t="str">
        <f aca="true">
IF(D631="폐업","폐업",
IF(AND(V631="정상",OFFSET(Y631,0,COUNTA(Y631:AV631)-1)="미납"),"미납",
IF(AND(V631="정상",OFFSET(Y631,0,COUNTA(Y631:AV631)-1)=0),"납부 시작 전",
IF(AND(V631="정상",OFFSET(Y631,0,COUNTA(Y631:AV631)-1)&gt;=U631),"정상",
IF(AND(V631="면제",OFFSET(Y631,0,COUNTA(Y631:AV631)-1)="면제"),"면제",
IF(AND(V631="면제",OFFSET(Y631,0,COUNTA(Y631:AV631)-1)=0),"면제",
"확인요청"))))))</f>
        <v>정상</v>
      </c>
      <c r="Y631" s="93" t="n">
        <v>88000</v>
      </c>
      <c r="Z631" s="90" t="n">
        <v>88000</v>
      </c>
      <c r="AA631" s="90" t="n">
        <v>88000</v>
      </c>
      <c r="AB631" s="90" t="n">
        <v>88000</v>
      </c>
      <c r="AC631" s="90" t="n">
        <v>88000</v>
      </c>
      <c r="AD631" s="90" t="n">
        <v>88000</v>
      </c>
      <c r="AE631" s="90" t="n">
        <v>88000</v>
      </c>
      <c r="AF631" s="90" t="n">
        <v>88000</v>
      </c>
      <c r="AG631" s="90" t="n">
        <v>88000</v>
      </c>
      <c r="AH631" s="90" t="n">
        <v>88000</v>
      </c>
      <c r="AI631" s="90" t="n">
        <v>88000</v>
      </c>
      <c r="AJ631" s="91" t="n">
        <v>88000</v>
      </c>
      <c r="AK631" s="89" t="n">
        <v>88000</v>
      </c>
      <c r="AL631" s="90" t="n">
        <v>88000</v>
      </c>
      <c r="AM631" s="90"/>
      <c r="AN631" s="90"/>
      <c r="AO631" s="90"/>
      <c r="AP631" s="90"/>
      <c r="AQ631" s="90"/>
      <c r="AR631" s="90"/>
      <c r="AS631" s="90"/>
      <c r="AT631" s="90"/>
      <c r="AU631" s="90"/>
      <c r="AV631" s="91"/>
      <c r="AX631" s="92"/>
    </row>
    <row r="632" customFormat="false" ht="15.65" hidden="false" customHeight="false" outlineLevel="0" collapsed="false">
      <c r="C632" s="72" t="n">
        <f aca="false">COUNTIFS($D$6:D632,"&lt;&gt;"&amp;"")</f>
        <v>627</v>
      </c>
      <c r="D632" s="73" t="s">
        <v>12</v>
      </c>
      <c r="E632" s="76" t="str">
        <f aca="false">
IF($D632="정상",INDEX(임대자산!$D$3:$R$3000,MATCH($F632,임대자산!$I$3:$I$3000,0),MATCH(E$3,임대자산!$D$3:$R$3,0)),
IF($D632="폐업",INDEX(폐업정보!$D$3:$R$3000,MATCH($F632,폐업정보!$I$3:$I$3000,0),MATCH(E$3,폐업정보!$D$3:$R$3,0)),
"Error"))</f>
        <v>서울</v>
      </c>
      <c r="F63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B0627</v>
      </c>
      <c r="G632" s="76" t="str">
        <f aca="false">F632&amp;RANDBETWEEN(0,10)</f>
        <v>B06274</v>
      </c>
      <c r="H632" s="75" t="n">
        <f aca="false">
IF($D632="정상",INDEX(임대자산!$D$3:$R$3000,MATCH($F632,임대자산!$I$3:$I$3000,0),MATCH(H$4,임대자산!$D$3:$R$3,0)),
IF($D632="폐업",INDEX(폐업정보!$D$3:$R$3000,MATCH($F632,폐업정보!$I$3:$I$3000,0),MATCH(H$4,폐업정보!$D$3:$R$3,0)),
"Error"))</f>
        <v>44326</v>
      </c>
      <c r="I632" s="75" t="str">
        <f aca="false">
IF($D632="정상",INDEX(임대자산!$D$3:$R$3000,MATCH($F632,임대자산!$I$3:$I$3000,0),MATCH(I$4,임대자산!$D$3:$R$3,0)),
IF($D632="폐업",INDEX(폐업정보!$D$3:$R$3000,MATCH($F632,폐업정보!$I$3:$I$3000,0),MATCH(I$4,폐업정보!$D$3:$R$3,0)),
"Error"))</f>
        <v>A0627</v>
      </c>
      <c r="J632" s="75" t="str">
        <f aca="false">
IF($D632="정상",INDEX(임대자산!$D$3:$R$3000,MATCH($F632,임대자산!$I$3:$I$3000,0),MATCH(J$4,임대자산!$D$3:$R$3,0)),
IF($D632="폐업",INDEX(폐업정보!$D$3:$R$3000,MATCH($F632,폐업정보!$I$3:$I$3000,0),MATCH(J$4,폐업정보!$D$3:$R$3,0)),
"Error"))</f>
        <v>5585400000</v>
      </c>
      <c r="K632" s="75" t="str">
        <f aca="false">
IF($D632="정상",INDEX(임대자산!$D$3:$R$3000,MATCH($F632,임대자산!$I$3:$I$3000,0),MATCH(K$4,임대자산!$D$3:$R$3,0)),
IF($D632="폐업",INDEX(폐업정보!$D$3:$R$3000,MATCH($F632,폐업정보!$I$3:$I$3000,0),MATCH(K$4,폐업정보!$D$3:$R$3,0)),
"Error"))</f>
        <v>C0627</v>
      </c>
      <c r="L632" s="75" t="str">
        <f aca="false">
IF($D632="정상",INDEX(임대자산!$D$3:$R$3000,MATCH($F632,임대자산!$I$3:$I$3000,0),MATCH(L$4,임대자산!$D$3:$R$3,0)),
IF($D632="폐업",INDEX(폐업정보!$D$3:$R$3000,MATCH($F632,폐업정보!$I$3:$I$3000,0),MATCH(L$4,폐업정보!$D$3:$R$3,0)),
"Error"))</f>
        <v>D0627</v>
      </c>
      <c r="M632" s="76" t="s">
        <v>96</v>
      </c>
      <c r="N632" s="77"/>
      <c r="O632" s="78" t="s">
        <v>97</v>
      </c>
      <c r="P632" s="79" t="n">
        <f aca="false">COUNTIFS(임대자산!$I:$I,가맹점정보!F632,임대자산!$N:$N,가맹점정보!P$4)</f>
        <v>0</v>
      </c>
      <c r="Q632" s="80" t="n">
        <f aca="false">COUNTIFS(임대자산!$I:$I,가맹점정보!F632,임대자산!$N:$N,가맹점정보!Q$4)</f>
        <v>1</v>
      </c>
      <c r="R632" s="81" t="n">
        <f aca="false">COUNTIFS(임대자산!$I:$I,가맹점정보!F632,임대자산!$N:$N,가맹점정보!R$4)</f>
        <v>0</v>
      </c>
      <c r="S632" s="82" t="n">
        <v>55000</v>
      </c>
      <c r="T632" s="83" t="n">
        <v>0</v>
      </c>
      <c r="U632" s="80" t="n">
        <f aca="false">SUM(S632:T632)</f>
        <v>55000</v>
      </c>
      <c r="V632" s="84" t="s">
        <v>12</v>
      </c>
      <c r="W632" s="80" t="e">
        <f aca="true">
IF(D632="폐업","폐업",
IF(V632="면제","면제",
IF(AND(V632="정상",COUNTIFS(OFFSET(Y632,0,COUNTA(Y632:AV632)-1,1,-4),"미납")&gt;=3),"장기미납",
IF(AND(V632="정상",OFFSET(Y632,0,COUNTA(Y632:AV632)-1)&gt;=U632),"정상",
IF(AND(V632="정상",OFFSET(Y632,0,COUNTA(Y632:AV632)-1)=0),"정상",
"계약서 미작성")))))</f>
        <v>#VALUE!</v>
      </c>
      <c r="X632" s="81" t="str">
        <f aca="true">
IF(D632="폐업","폐업",
IF(AND(V632="정상",OFFSET(Y632,0,COUNTA(Y632:AV632)-1)="미납"),"미납",
IF(AND(V632="정상",OFFSET(Y632,0,COUNTA(Y632:AV632)-1)=0),"납부 시작 전",
IF(AND(V632="정상",OFFSET(Y632,0,COUNTA(Y632:AV632)-1)&gt;=U632),"정상",
IF(AND(V632="면제",OFFSET(Y632,0,COUNTA(Y632:AV632)-1)="면제"),"면제",
IF(AND(V632="면제",OFFSET(Y632,0,COUNTA(Y632:AV632)-1)=0),"면제",
"확인요청"))))))</f>
        <v>정상</v>
      </c>
      <c r="Y632" s="93" t="n">
        <v>55000</v>
      </c>
      <c r="Z632" s="90" t="n">
        <v>55000</v>
      </c>
      <c r="AA632" s="90" t="n">
        <v>55000</v>
      </c>
      <c r="AB632" s="90" t="n">
        <v>55000</v>
      </c>
      <c r="AC632" s="90" t="n">
        <v>55000</v>
      </c>
      <c r="AD632" s="90" t="n">
        <v>55000</v>
      </c>
      <c r="AE632" s="90" t="n">
        <v>55000</v>
      </c>
      <c r="AF632" s="90" t="n">
        <v>55000</v>
      </c>
      <c r="AG632" s="90" t="n">
        <v>55000</v>
      </c>
      <c r="AH632" s="90" t="n">
        <v>55000</v>
      </c>
      <c r="AI632" s="90" t="n">
        <v>55000</v>
      </c>
      <c r="AJ632" s="91" t="n">
        <v>55000</v>
      </c>
      <c r="AK632" s="89" t="n">
        <v>55000</v>
      </c>
      <c r="AL632" s="90" t="n">
        <v>55000</v>
      </c>
      <c r="AM632" s="90"/>
      <c r="AN632" s="90"/>
      <c r="AO632" s="90"/>
      <c r="AP632" s="90"/>
      <c r="AQ632" s="90"/>
      <c r="AR632" s="90"/>
      <c r="AS632" s="90"/>
      <c r="AT632" s="90"/>
      <c r="AU632" s="90"/>
      <c r="AV632" s="91"/>
      <c r="AX632" s="92"/>
    </row>
    <row r="633" customFormat="false" ht="15.65" hidden="false" customHeight="false" outlineLevel="0" collapsed="false">
      <c r="C633" s="72" t="n">
        <f aca="false">COUNTIFS($D$6:D633,"&lt;&gt;"&amp;"")</f>
        <v>628</v>
      </c>
      <c r="D633" s="73" t="s">
        <v>12</v>
      </c>
      <c r="E633" s="76" t="str">
        <f aca="false">
IF($D633="정상",INDEX(임대자산!$D$3:$R$3000,MATCH($F633,임대자산!$I$3:$I$3000,0),MATCH(E$3,임대자산!$D$3:$R$3,0)),
IF($D633="폐업",INDEX(폐업정보!$D$3:$R$3000,MATCH($F633,폐업정보!$I$3:$I$3000,0),MATCH(E$3,폐업정보!$D$3:$R$3,0)),
"Error"))</f>
        <v>경상</v>
      </c>
      <c r="F63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B0628</v>
      </c>
      <c r="G633" s="76" t="str">
        <f aca="false">F633&amp;RANDBETWEEN(0,10)</f>
        <v>B06285</v>
      </c>
      <c r="H633" s="75" t="n">
        <f aca="false">
IF($D633="정상",INDEX(임대자산!$D$3:$R$3000,MATCH($F633,임대자산!$I$3:$I$3000,0),MATCH(H$4,임대자산!$D$3:$R$3,0)),
IF($D633="폐업",INDEX(폐업정보!$D$3:$R$3000,MATCH($F633,폐업정보!$I$3:$I$3000,0),MATCH(H$4,폐업정보!$D$3:$R$3,0)),
"Error"))</f>
        <v>44567</v>
      </c>
      <c r="I633" s="75" t="str">
        <f aca="false">
IF($D633="정상",INDEX(임대자산!$D$3:$R$3000,MATCH($F633,임대자산!$I$3:$I$3000,0),MATCH(I$4,임대자산!$D$3:$R$3,0)),
IF($D633="폐업",INDEX(폐업정보!$D$3:$R$3000,MATCH($F633,폐업정보!$I$3:$I$3000,0),MATCH(I$4,폐업정보!$D$3:$R$3,0)),
"Error"))</f>
        <v>A0628</v>
      </c>
      <c r="J633" s="75" t="str">
        <f aca="false">
IF($D633="정상",INDEX(임대자산!$D$3:$R$3000,MATCH($F633,임대자산!$I$3:$I$3000,0),MATCH(J$4,임대자산!$D$3:$R$3,0)),
IF($D633="폐업",INDEX(폐업정보!$D$3:$R$3000,MATCH($F633,폐업정보!$I$3:$I$3000,0),MATCH(J$4,폐업정보!$D$3:$R$3,0)),
"Error"))</f>
        <v>4095800000</v>
      </c>
      <c r="K633" s="75" t="str">
        <f aca="false">
IF($D633="정상",INDEX(임대자산!$D$3:$R$3000,MATCH($F633,임대자산!$I$3:$I$3000,0),MATCH(K$4,임대자산!$D$3:$R$3,0)),
IF($D633="폐업",INDEX(폐업정보!$D$3:$R$3000,MATCH($F633,폐업정보!$I$3:$I$3000,0),MATCH(K$4,폐업정보!$D$3:$R$3,0)),
"Error"))</f>
        <v>C0628</v>
      </c>
      <c r="L633" s="75" t="str">
        <f aca="false">
IF($D633="정상",INDEX(임대자산!$D$3:$R$3000,MATCH($F633,임대자산!$I$3:$I$3000,0),MATCH(L$4,임대자산!$D$3:$R$3,0)),
IF($D633="폐업",INDEX(폐업정보!$D$3:$R$3000,MATCH($F633,폐업정보!$I$3:$I$3000,0),MATCH(L$4,폐업정보!$D$3:$R$3,0)),
"Error"))</f>
        <v>D0628</v>
      </c>
      <c r="M633" s="76" t="s">
        <v>96</v>
      </c>
      <c r="N633" s="77"/>
      <c r="O633" s="78" t="s">
        <v>97</v>
      </c>
      <c r="P633" s="79" t="n">
        <f aca="false">COUNTIFS(임대자산!$I:$I,가맹점정보!F633,임대자산!$N:$N,가맹점정보!P$4)</f>
        <v>0</v>
      </c>
      <c r="Q633" s="80" t="n">
        <f aca="false">COUNTIFS(임대자산!$I:$I,가맹점정보!F633,임대자산!$N:$N,가맹점정보!Q$4)</f>
        <v>1</v>
      </c>
      <c r="R633" s="81" t="n">
        <f aca="false">COUNTIFS(임대자산!$I:$I,가맹점정보!F633,임대자산!$N:$N,가맹점정보!R$4)</f>
        <v>0</v>
      </c>
      <c r="S633" s="82" t="n">
        <v>55000</v>
      </c>
      <c r="T633" s="83" t="n">
        <v>0</v>
      </c>
      <c r="U633" s="80" t="n">
        <f aca="false">SUM(S633:T633)</f>
        <v>55000</v>
      </c>
      <c r="V633" s="84" t="s">
        <v>7</v>
      </c>
      <c r="W633" s="80" t="str">
        <f aca="true">
IF(D633="폐업","폐업",
IF(V633="면제","면제",
IF(AND(V633="정상",COUNTIFS(OFFSET(Y633,0,COUNTA(Y633:AV633)-1,1,-4),"미납")&gt;=3),"장기미납",
IF(AND(V633="정상",OFFSET(Y633,0,COUNTA(Y633:AV633)-1)&gt;=U633),"정상",
IF(AND(V633="정상",OFFSET(Y633,0,COUNTA(Y633:AV633)-1)=0),"정상",
"계약서 미작성")))))</f>
        <v>면제</v>
      </c>
      <c r="X633" s="81" t="str">
        <f aca="true">
IF(D633="폐업","폐업",
IF(AND(V633="정상",OFFSET(Y633,0,COUNTA(Y633:AV633)-1)="미납"),"미납",
IF(AND(V633="정상",OFFSET(Y633,0,COUNTA(Y633:AV633)-1)=0),"납부 시작 전",
IF(AND(V633="정상",OFFSET(Y633,0,COUNTA(Y633:AV633)-1)&gt;=U633),"정상",
IF(AND(V633="면제",OFFSET(Y633,0,COUNTA(Y633:AV633)-1)="면제"),"면제",
IF(AND(V633="면제",OFFSET(Y633,0,COUNTA(Y633:AV633)-1)=0),"면제",
"확인요청"))))))</f>
        <v>면제</v>
      </c>
      <c r="Y633" s="94" t="s">
        <v>7</v>
      </c>
      <c r="Z633" s="95" t="s">
        <v>7</v>
      </c>
      <c r="AA633" s="95" t="s">
        <v>7</v>
      </c>
      <c r="AB633" s="95" t="s">
        <v>7</v>
      </c>
      <c r="AC633" s="95" t="s">
        <v>7</v>
      </c>
      <c r="AD633" s="95" t="s">
        <v>7</v>
      </c>
      <c r="AE633" s="95" t="s">
        <v>7</v>
      </c>
      <c r="AF633" s="95" t="s">
        <v>7</v>
      </c>
      <c r="AG633" s="95" t="s">
        <v>7</v>
      </c>
      <c r="AH633" s="95" t="s">
        <v>7</v>
      </c>
      <c r="AI633" s="95" t="s">
        <v>7</v>
      </c>
      <c r="AJ633" s="96" t="s">
        <v>7</v>
      </c>
      <c r="AK633" s="97" t="s">
        <v>7</v>
      </c>
      <c r="AL633" s="95" t="s">
        <v>7</v>
      </c>
      <c r="AM633" s="90"/>
      <c r="AN633" s="90"/>
      <c r="AO633" s="90"/>
      <c r="AP633" s="90"/>
      <c r="AQ633" s="90"/>
      <c r="AR633" s="90"/>
      <c r="AS633" s="90"/>
      <c r="AT633" s="90"/>
      <c r="AU633" s="90"/>
      <c r="AV633" s="91"/>
      <c r="AX633" s="92"/>
    </row>
    <row r="634" customFormat="false" ht="15.65" hidden="false" customHeight="false" outlineLevel="0" collapsed="false">
      <c r="C634" s="72" t="n">
        <f aca="false">COUNTIFS($D$6:D634,"&lt;&gt;"&amp;"")</f>
        <v>629</v>
      </c>
      <c r="D634" s="73" t="s">
        <v>12</v>
      </c>
      <c r="E634" s="76" t="str">
        <f aca="false">
IF($D634="정상",INDEX(임대자산!$D$3:$R$3000,MATCH($F634,임대자산!$I$3:$I$3000,0),MATCH(E$3,임대자산!$D$3:$R$3,0)),
IF($D634="폐업",INDEX(폐업정보!$D$3:$R$3000,MATCH($F634,폐업정보!$I$3:$I$3000,0),MATCH(E$3,폐업정보!$D$3:$R$3,0)),
"Error"))</f>
        <v>강원</v>
      </c>
      <c r="F63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B0629</v>
      </c>
      <c r="G634" s="76" t="str">
        <f aca="false">F634&amp;RANDBETWEEN(0,10)</f>
        <v>B06298</v>
      </c>
      <c r="H634" s="75" t="n">
        <f aca="false">
IF($D634="정상",INDEX(임대자산!$D$3:$R$3000,MATCH($F634,임대자산!$I$3:$I$3000,0),MATCH(H$4,임대자산!$D$3:$R$3,0)),
IF($D634="폐업",INDEX(폐업정보!$D$3:$R$3000,MATCH($F634,폐업정보!$I$3:$I$3000,0),MATCH(H$4,폐업정보!$D$3:$R$3,0)),
"Error"))</f>
        <v>44385</v>
      </c>
      <c r="I634" s="75" t="str">
        <f aca="false">
IF($D634="정상",INDEX(임대자산!$D$3:$R$3000,MATCH($F634,임대자산!$I$3:$I$3000,0),MATCH(I$4,임대자산!$D$3:$R$3,0)),
IF($D634="폐업",INDEX(폐업정보!$D$3:$R$3000,MATCH($F634,폐업정보!$I$3:$I$3000,0),MATCH(I$4,폐업정보!$D$3:$R$3,0)),
"Error"))</f>
        <v>A0629</v>
      </c>
      <c r="J634" s="75" t="str">
        <f aca="false">
IF($D634="정상",INDEX(임대자산!$D$3:$R$3000,MATCH($F634,임대자산!$I$3:$I$3000,0),MATCH(J$4,임대자산!$D$3:$R$3,0)),
IF($D634="폐업",INDEX(폐업정보!$D$3:$R$3000,MATCH($F634,폐업정보!$I$3:$I$3000,0),MATCH(J$4,폐업정보!$D$3:$R$3,0)),
"Error"))</f>
        <v>7954700000</v>
      </c>
      <c r="K634" s="75" t="str">
        <f aca="false">
IF($D634="정상",INDEX(임대자산!$D$3:$R$3000,MATCH($F634,임대자산!$I$3:$I$3000,0),MATCH(K$4,임대자산!$D$3:$R$3,0)),
IF($D634="폐업",INDEX(폐업정보!$D$3:$R$3000,MATCH($F634,폐업정보!$I$3:$I$3000,0),MATCH(K$4,폐업정보!$D$3:$R$3,0)),
"Error"))</f>
        <v>C0629</v>
      </c>
      <c r="L634" s="75" t="str">
        <f aca="false">
IF($D634="정상",INDEX(임대자산!$D$3:$R$3000,MATCH($F634,임대자산!$I$3:$I$3000,0),MATCH(L$4,임대자산!$D$3:$R$3,0)),
IF($D634="폐업",INDEX(폐업정보!$D$3:$R$3000,MATCH($F634,폐업정보!$I$3:$I$3000,0),MATCH(L$4,폐업정보!$D$3:$R$3,0)),
"Error"))</f>
        <v>D0629</v>
      </c>
      <c r="M634" s="76" t="s">
        <v>96</v>
      </c>
      <c r="N634" s="77"/>
      <c r="O634" s="78" t="s">
        <v>97</v>
      </c>
      <c r="P634" s="79" t="n">
        <f aca="false">COUNTIFS(임대자산!$I:$I,가맹점정보!F634,임대자산!$N:$N,가맹점정보!P$4)</f>
        <v>0</v>
      </c>
      <c r="Q634" s="80" t="n">
        <f aca="false">COUNTIFS(임대자산!$I:$I,가맹점정보!F634,임대자산!$N:$N,가맹점정보!Q$4)</f>
        <v>1</v>
      </c>
      <c r="R634" s="81" t="n">
        <f aca="false">COUNTIFS(임대자산!$I:$I,가맹점정보!F634,임대자산!$N:$N,가맹점정보!R$4)</f>
        <v>0</v>
      </c>
      <c r="S634" s="82" t="n">
        <v>55000</v>
      </c>
      <c r="T634" s="83" t="n">
        <v>0</v>
      </c>
      <c r="U634" s="80" t="n">
        <f aca="false">SUM(S634:T634)</f>
        <v>55000</v>
      </c>
      <c r="V634" s="84" t="s">
        <v>12</v>
      </c>
      <c r="W634" s="80" t="e">
        <f aca="true">
IF(D634="폐업","폐업",
IF(V634="면제","면제",
IF(AND(V634="정상",COUNTIFS(OFFSET(Y634,0,COUNTA(Y634:AV634)-1,1,-4),"미납")&gt;=3),"장기미납",
IF(AND(V634="정상",OFFSET(Y634,0,COUNTA(Y634:AV634)-1)&gt;=U634),"정상",
IF(AND(V634="정상",OFFSET(Y634,0,COUNTA(Y634:AV634)-1)=0),"정상",
"계약서 미작성")))))</f>
        <v>#VALUE!</v>
      </c>
      <c r="X634" s="81" t="str">
        <f aca="true">
IF(D634="폐업","폐업",
IF(AND(V634="정상",OFFSET(Y634,0,COUNTA(Y634:AV634)-1)="미납"),"미납",
IF(AND(V634="정상",OFFSET(Y634,0,COUNTA(Y634:AV634)-1)=0),"납부 시작 전",
IF(AND(V634="정상",OFFSET(Y634,0,COUNTA(Y634:AV634)-1)&gt;=U634),"정상",
IF(AND(V634="면제",OFFSET(Y634,0,COUNTA(Y634:AV634)-1)="면제"),"면제",
IF(AND(V634="면제",OFFSET(Y634,0,COUNTA(Y634:AV634)-1)=0),"면제",
"확인요청"))))))</f>
        <v>정상</v>
      </c>
      <c r="Y634" s="93" t="n">
        <v>55000</v>
      </c>
      <c r="Z634" s="90" t="n">
        <v>55000</v>
      </c>
      <c r="AA634" s="90" t="n">
        <v>55000</v>
      </c>
      <c r="AB634" s="90" t="n">
        <v>55000</v>
      </c>
      <c r="AC634" s="90" t="n">
        <v>55000</v>
      </c>
      <c r="AD634" s="90" t="n">
        <v>55000</v>
      </c>
      <c r="AE634" s="90" t="n">
        <v>55000</v>
      </c>
      <c r="AF634" s="90" t="n">
        <v>55000</v>
      </c>
      <c r="AG634" s="90" t="n">
        <v>55000</v>
      </c>
      <c r="AH634" s="90" t="n">
        <v>55000</v>
      </c>
      <c r="AI634" s="90" t="n">
        <v>55000</v>
      </c>
      <c r="AJ634" s="91" t="n">
        <v>55000</v>
      </c>
      <c r="AK634" s="89" t="n">
        <v>55000</v>
      </c>
      <c r="AL634" s="90" t="n">
        <v>55000</v>
      </c>
      <c r="AM634" s="90"/>
      <c r="AN634" s="90"/>
      <c r="AO634" s="90"/>
      <c r="AP634" s="90"/>
      <c r="AQ634" s="90"/>
      <c r="AR634" s="90"/>
      <c r="AS634" s="90"/>
      <c r="AT634" s="90"/>
      <c r="AU634" s="90"/>
      <c r="AV634" s="91"/>
      <c r="AX634" s="92"/>
    </row>
    <row r="635" customFormat="false" ht="15.65" hidden="false" customHeight="false" outlineLevel="0" collapsed="false">
      <c r="C635" s="72" t="n">
        <f aca="false">COUNTIFS($D$6:D635,"&lt;&gt;"&amp;"")</f>
        <v>630</v>
      </c>
      <c r="D635" s="73" t="s">
        <v>12</v>
      </c>
      <c r="E635" s="76" t="str">
        <f aca="false">
IF($D635="정상",INDEX(임대자산!$D$3:$R$3000,MATCH($F635,임대자산!$I$3:$I$3000,0),MATCH(E$3,임대자산!$D$3:$R$3,0)),
IF($D635="폐업",INDEX(폐업정보!$D$3:$R$3000,MATCH($F635,폐업정보!$I$3:$I$3000,0),MATCH(E$3,폐업정보!$D$3:$R$3,0)),
"Error"))</f>
        <v>강원</v>
      </c>
      <c r="F63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B0630</v>
      </c>
      <c r="G635" s="76" t="str">
        <f aca="false">F635&amp;RANDBETWEEN(0,10)</f>
        <v>B06307</v>
      </c>
      <c r="H635" s="75" t="n">
        <f aca="false">
IF($D635="정상",INDEX(임대자산!$D$3:$R$3000,MATCH($F635,임대자산!$I$3:$I$3000,0),MATCH(H$4,임대자산!$D$3:$R$3,0)),
IF($D635="폐업",INDEX(폐업정보!$D$3:$R$3000,MATCH($F635,폐업정보!$I$3:$I$3000,0),MATCH(H$4,폐업정보!$D$3:$R$3,0)),
"Error"))</f>
        <v>44386</v>
      </c>
      <c r="I635" s="75" t="str">
        <f aca="false">
IF($D635="정상",INDEX(임대자산!$D$3:$R$3000,MATCH($F635,임대자산!$I$3:$I$3000,0),MATCH(I$4,임대자산!$D$3:$R$3,0)),
IF($D635="폐업",INDEX(폐업정보!$D$3:$R$3000,MATCH($F635,폐업정보!$I$3:$I$3000,0),MATCH(I$4,폐업정보!$D$3:$R$3,0)),
"Error"))</f>
        <v>A0630</v>
      </c>
      <c r="J635" s="75" t="str">
        <f aca="false">
IF($D635="정상",INDEX(임대자산!$D$3:$R$3000,MATCH($F635,임대자산!$I$3:$I$3000,0),MATCH(J$4,임대자산!$D$3:$R$3,0)),
IF($D635="폐업",INDEX(폐업정보!$D$3:$R$3000,MATCH($F635,폐업정보!$I$3:$I$3000,0),MATCH(J$4,폐업정보!$D$3:$R$3,0)),
"Error"))</f>
        <v>5030400000</v>
      </c>
      <c r="K635" s="75" t="str">
        <f aca="false">
IF($D635="정상",INDEX(임대자산!$D$3:$R$3000,MATCH($F635,임대자산!$I$3:$I$3000,0),MATCH(K$4,임대자산!$D$3:$R$3,0)),
IF($D635="폐업",INDEX(폐업정보!$D$3:$R$3000,MATCH($F635,폐업정보!$I$3:$I$3000,0),MATCH(K$4,폐업정보!$D$3:$R$3,0)),
"Error"))</f>
        <v>C0630</v>
      </c>
      <c r="L635" s="75" t="str">
        <f aca="false">
IF($D635="정상",INDEX(임대자산!$D$3:$R$3000,MATCH($F635,임대자산!$I$3:$I$3000,0),MATCH(L$4,임대자산!$D$3:$R$3,0)),
IF($D635="폐업",INDEX(폐업정보!$D$3:$R$3000,MATCH($F635,폐업정보!$I$3:$I$3000,0),MATCH(L$4,폐업정보!$D$3:$R$3,0)),
"Error"))</f>
        <v>D0630</v>
      </c>
      <c r="M635" s="76" t="s">
        <v>96</v>
      </c>
      <c r="N635" s="77"/>
      <c r="O635" s="78" t="s">
        <v>97</v>
      </c>
      <c r="P635" s="79" t="n">
        <f aca="false">COUNTIFS(임대자산!$I:$I,가맹점정보!F635,임대자산!$N:$N,가맹점정보!P$4)</f>
        <v>0</v>
      </c>
      <c r="Q635" s="80" t="n">
        <f aca="false">COUNTIFS(임대자산!$I:$I,가맹점정보!F635,임대자산!$N:$N,가맹점정보!Q$4)</f>
        <v>1</v>
      </c>
      <c r="R635" s="81" t="n">
        <f aca="false">COUNTIFS(임대자산!$I:$I,가맹점정보!F635,임대자산!$N:$N,가맹점정보!R$4)</f>
        <v>0</v>
      </c>
      <c r="S635" s="82" t="n">
        <v>55000</v>
      </c>
      <c r="T635" s="83" t="n">
        <v>0</v>
      </c>
      <c r="U635" s="80" t="n">
        <f aca="false">SUM(S635:T635)</f>
        <v>55000</v>
      </c>
      <c r="V635" s="84" t="s">
        <v>12</v>
      </c>
      <c r="W635" s="80" t="e">
        <f aca="true">
IF(D635="폐업","폐업",
IF(V635="면제","면제",
IF(AND(V635="정상",COUNTIFS(OFFSET(Y635,0,COUNTA(Y635:AV635)-1,1,-4),"미납")&gt;=3),"장기미납",
IF(AND(V635="정상",OFFSET(Y635,0,COUNTA(Y635:AV635)-1)&gt;=U635),"정상",
IF(AND(V635="정상",OFFSET(Y635,0,COUNTA(Y635:AV635)-1)=0),"정상",
"계약서 미작성")))))</f>
        <v>#VALUE!</v>
      </c>
      <c r="X635" s="81" t="str">
        <f aca="true">
IF(D635="폐업","폐업",
IF(AND(V635="정상",OFFSET(Y635,0,COUNTA(Y635:AV635)-1)="미납"),"미납",
IF(AND(V635="정상",OFFSET(Y635,0,COUNTA(Y635:AV635)-1)=0),"납부 시작 전",
IF(AND(V635="정상",OFFSET(Y635,0,COUNTA(Y635:AV635)-1)&gt;=U635),"정상",
IF(AND(V635="면제",OFFSET(Y635,0,COUNTA(Y635:AV635)-1)="면제"),"면제",
IF(AND(V635="면제",OFFSET(Y635,0,COUNTA(Y635:AV635)-1)=0),"면제",
"확인요청"))))))</f>
        <v>정상</v>
      </c>
      <c r="Y635" s="93" t="n">
        <v>55000</v>
      </c>
      <c r="Z635" s="90" t="n">
        <v>55000</v>
      </c>
      <c r="AA635" s="90" t="n">
        <v>55000</v>
      </c>
      <c r="AB635" s="90" t="n">
        <v>55000</v>
      </c>
      <c r="AC635" s="90" t="n">
        <v>55000</v>
      </c>
      <c r="AD635" s="90" t="n">
        <v>55000</v>
      </c>
      <c r="AE635" s="90" t="n">
        <v>55000</v>
      </c>
      <c r="AF635" s="90" t="n">
        <v>55000</v>
      </c>
      <c r="AG635" s="90" t="n">
        <v>55000</v>
      </c>
      <c r="AH635" s="90" t="n">
        <v>55000</v>
      </c>
      <c r="AI635" s="90" t="n">
        <v>55000</v>
      </c>
      <c r="AJ635" s="91" t="n">
        <v>55000</v>
      </c>
      <c r="AK635" s="89" t="n">
        <v>55000</v>
      </c>
      <c r="AL635" s="90" t="n">
        <v>55000</v>
      </c>
      <c r="AM635" s="90"/>
      <c r="AN635" s="90"/>
      <c r="AO635" s="90"/>
      <c r="AP635" s="90"/>
      <c r="AQ635" s="90"/>
      <c r="AR635" s="90"/>
      <c r="AS635" s="90"/>
      <c r="AT635" s="90"/>
      <c r="AU635" s="90"/>
      <c r="AV635" s="91"/>
      <c r="AX635" s="92"/>
    </row>
    <row r="636" customFormat="false" ht="15.65" hidden="false" customHeight="false" outlineLevel="0" collapsed="false">
      <c r="C636" s="72" t="n">
        <f aca="false">COUNTIFS($D$6:D636,"&lt;&gt;"&amp;"")</f>
        <v>631</v>
      </c>
      <c r="D636" s="73" t="s">
        <v>12</v>
      </c>
      <c r="E636" s="76" t="str">
        <f aca="false">
IF($D636="정상",INDEX(임대자산!$D$3:$R$3000,MATCH($F636,임대자산!$I$3:$I$3000,0),MATCH(E$3,임대자산!$D$3:$R$3,0)),
IF($D636="폐업",INDEX(폐업정보!$D$3:$R$3000,MATCH($F636,폐업정보!$I$3:$I$3000,0),MATCH(E$3,폐업정보!$D$3:$R$3,0)),
"Error"))</f>
        <v>서울</v>
      </c>
      <c r="F63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B0631</v>
      </c>
      <c r="G636" s="76" t="str">
        <f aca="false">F636&amp;RANDBETWEEN(0,10)</f>
        <v>B06318</v>
      </c>
      <c r="H636" s="75" t="n">
        <f aca="false">
IF($D636="정상",INDEX(임대자산!$D$3:$R$3000,MATCH($F636,임대자산!$I$3:$I$3000,0),MATCH(H$4,임대자산!$D$3:$R$3,0)),
IF($D636="폐업",INDEX(폐업정보!$D$3:$R$3000,MATCH($F636,폐업정보!$I$3:$I$3000,0),MATCH(H$4,폐업정보!$D$3:$R$3,0)),
"Error"))</f>
        <v>44393</v>
      </c>
      <c r="I636" s="75" t="str">
        <f aca="false">
IF($D636="정상",INDEX(임대자산!$D$3:$R$3000,MATCH($F636,임대자산!$I$3:$I$3000,0),MATCH(I$4,임대자산!$D$3:$R$3,0)),
IF($D636="폐업",INDEX(폐업정보!$D$3:$R$3000,MATCH($F636,폐업정보!$I$3:$I$3000,0),MATCH(I$4,폐업정보!$D$3:$R$3,0)),
"Error"))</f>
        <v>A0631</v>
      </c>
      <c r="J636" s="75" t="str">
        <f aca="false">
IF($D636="정상",INDEX(임대자산!$D$3:$R$3000,MATCH($F636,임대자산!$I$3:$I$3000,0),MATCH(J$4,임대자산!$D$3:$R$3,0)),
IF($D636="폐업",INDEX(폐업정보!$D$3:$R$3000,MATCH($F636,폐업정보!$I$3:$I$3000,0),MATCH(J$4,폐업정보!$D$3:$R$3,0)),
"Error"))</f>
        <v>2162800000</v>
      </c>
      <c r="K636" s="75" t="str">
        <f aca="false">
IF($D636="정상",INDEX(임대자산!$D$3:$R$3000,MATCH($F636,임대자산!$I$3:$I$3000,0),MATCH(K$4,임대자산!$D$3:$R$3,0)),
IF($D636="폐업",INDEX(폐업정보!$D$3:$R$3000,MATCH($F636,폐업정보!$I$3:$I$3000,0),MATCH(K$4,폐업정보!$D$3:$R$3,0)),
"Error"))</f>
        <v>C0631</v>
      </c>
      <c r="L636" s="75" t="str">
        <f aca="false">
IF($D636="정상",INDEX(임대자산!$D$3:$R$3000,MATCH($F636,임대자산!$I$3:$I$3000,0),MATCH(L$4,임대자산!$D$3:$R$3,0)),
IF($D636="폐업",INDEX(폐업정보!$D$3:$R$3000,MATCH($F636,폐업정보!$I$3:$I$3000,0),MATCH(L$4,폐업정보!$D$3:$R$3,0)),
"Error"))</f>
        <v>D0631</v>
      </c>
      <c r="M636" s="76" t="s">
        <v>96</v>
      </c>
      <c r="N636" s="77"/>
      <c r="O636" s="78" t="s">
        <v>97</v>
      </c>
      <c r="P636" s="79" t="n">
        <f aca="false">COUNTIFS(임대자산!$I:$I,가맹점정보!F636,임대자산!$N:$N,가맹점정보!P$4)</f>
        <v>0</v>
      </c>
      <c r="Q636" s="80" t="n">
        <f aca="false">COUNTIFS(임대자산!$I:$I,가맹점정보!F636,임대자산!$N:$N,가맹점정보!Q$4)</f>
        <v>1</v>
      </c>
      <c r="R636" s="81" t="n">
        <f aca="false">COUNTIFS(임대자산!$I:$I,가맹점정보!F636,임대자산!$N:$N,가맹점정보!R$4)</f>
        <v>0</v>
      </c>
      <c r="S636" s="82" t="n">
        <v>55000</v>
      </c>
      <c r="T636" s="83" t="n">
        <v>0</v>
      </c>
      <c r="U636" s="80" t="n">
        <f aca="false">SUM(S636:T636)</f>
        <v>55000</v>
      </c>
      <c r="V636" s="84" t="s">
        <v>12</v>
      </c>
      <c r="W636" s="80" t="e">
        <f aca="true">
IF(D636="폐업","폐업",
IF(V636="면제","면제",
IF(AND(V636="정상",COUNTIFS(OFFSET(Y636,0,COUNTA(Y636:AV636)-1,1,-4),"미납")&gt;=3),"장기미납",
IF(AND(V636="정상",OFFSET(Y636,0,COUNTA(Y636:AV636)-1)&gt;=U636),"정상",
IF(AND(V636="정상",OFFSET(Y636,0,COUNTA(Y636:AV636)-1)=0),"정상",
"계약서 미작성")))))</f>
        <v>#VALUE!</v>
      </c>
      <c r="X636" s="81" t="str">
        <f aca="true">
IF(D636="폐업","폐업",
IF(AND(V636="정상",OFFSET(Y636,0,COUNTA(Y636:AV636)-1)="미납"),"미납",
IF(AND(V636="정상",OFFSET(Y636,0,COUNTA(Y636:AV636)-1)=0),"납부 시작 전",
IF(AND(V636="정상",OFFSET(Y636,0,COUNTA(Y636:AV636)-1)&gt;=U636),"정상",
IF(AND(V636="면제",OFFSET(Y636,0,COUNTA(Y636:AV636)-1)="면제"),"면제",
IF(AND(V636="면제",OFFSET(Y636,0,COUNTA(Y636:AV636)-1)=0),"면제",
"확인요청"))))))</f>
        <v>정상</v>
      </c>
      <c r="Y636" s="93" t="n">
        <v>55000</v>
      </c>
      <c r="Z636" s="90" t="n">
        <v>55000</v>
      </c>
      <c r="AA636" s="90" t="n">
        <v>55000</v>
      </c>
      <c r="AB636" s="90" t="n">
        <v>55000</v>
      </c>
      <c r="AC636" s="90" t="n">
        <v>55000</v>
      </c>
      <c r="AD636" s="90" t="n">
        <v>55000</v>
      </c>
      <c r="AE636" s="90" t="n">
        <v>55000</v>
      </c>
      <c r="AF636" s="90" t="n">
        <v>55000</v>
      </c>
      <c r="AG636" s="90" t="n">
        <v>55000</v>
      </c>
      <c r="AH636" s="90" t="n">
        <v>55000</v>
      </c>
      <c r="AI636" s="90" t="n">
        <v>55000</v>
      </c>
      <c r="AJ636" s="91" t="n">
        <v>55000</v>
      </c>
      <c r="AK636" s="89" t="n">
        <v>55000</v>
      </c>
      <c r="AL636" s="90" t="n">
        <v>55000</v>
      </c>
      <c r="AM636" s="90"/>
      <c r="AN636" s="90"/>
      <c r="AO636" s="90"/>
      <c r="AP636" s="90"/>
      <c r="AQ636" s="90"/>
      <c r="AR636" s="90"/>
      <c r="AS636" s="90"/>
      <c r="AT636" s="90"/>
      <c r="AU636" s="90"/>
      <c r="AV636" s="91"/>
      <c r="AX636" s="92"/>
    </row>
    <row r="637" customFormat="false" ht="15.65" hidden="false" customHeight="false" outlineLevel="0" collapsed="false">
      <c r="C637" s="72" t="n">
        <f aca="false">COUNTIFS($D$6:D637,"&lt;&gt;"&amp;"")</f>
        <v>632</v>
      </c>
      <c r="D637" s="73" t="s">
        <v>12</v>
      </c>
      <c r="E637" s="76" t="str">
        <f aca="false">
IF($D637="정상",INDEX(임대자산!$D$3:$R$3000,MATCH($F637,임대자산!$I$3:$I$3000,0),MATCH(E$3,임대자산!$D$3:$R$3,0)),
IF($D637="폐업",INDEX(폐업정보!$D$3:$R$3000,MATCH($F637,폐업정보!$I$3:$I$3000,0),MATCH(E$3,폐업정보!$D$3:$R$3,0)),
"Error"))</f>
        <v>서울</v>
      </c>
      <c r="F63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B0632</v>
      </c>
      <c r="G637" s="76" t="str">
        <f aca="false">F637&amp;RANDBETWEEN(0,10)</f>
        <v>B06323</v>
      </c>
      <c r="H637" s="75" t="n">
        <f aca="false">
IF($D637="정상",INDEX(임대자산!$D$3:$R$3000,MATCH($F637,임대자산!$I$3:$I$3000,0),MATCH(H$4,임대자산!$D$3:$R$3,0)),
IF($D637="폐업",INDEX(폐업정보!$D$3:$R$3000,MATCH($F637,폐업정보!$I$3:$I$3000,0),MATCH(H$4,폐업정보!$D$3:$R$3,0)),
"Error"))</f>
        <v>44407</v>
      </c>
      <c r="I637" s="75" t="str">
        <f aca="false">
IF($D637="정상",INDEX(임대자산!$D$3:$R$3000,MATCH($F637,임대자산!$I$3:$I$3000,0),MATCH(I$4,임대자산!$D$3:$R$3,0)),
IF($D637="폐업",INDEX(폐업정보!$D$3:$R$3000,MATCH($F637,폐업정보!$I$3:$I$3000,0),MATCH(I$4,폐업정보!$D$3:$R$3,0)),
"Error"))</f>
        <v>A0632</v>
      </c>
      <c r="J637" s="75" t="str">
        <f aca="false">
IF($D637="정상",INDEX(임대자산!$D$3:$R$3000,MATCH($F637,임대자산!$I$3:$I$3000,0),MATCH(J$4,임대자산!$D$3:$R$3,0)),
IF($D637="폐업",INDEX(폐업정보!$D$3:$R$3000,MATCH($F637,폐업정보!$I$3:$I$3000,0),MATCH(J$4,폐업정보!$D$3:$R$3,0)),
"Error"))</f>
        <v>1173300000</v>
      </c>
      <c r="K637" s="75" t="str">
        <f aca="false">
IF($D637="정상",INDEX(임대자산!$D$3:$R$3000,MATCH($F637,임대자산!$I$3:$I$3000,0),MATCH(K$4,임대자산!$D$3:$R$3,0)),
IF($D637="폐업",INDEX(폐업정보!$D$3:$R$3000,MATCH($F637,폐업정보!$I$3:$I$3000,0),MATCH(K$4,폐업정보!$D$3:$R$3,0)),
"Error"))</f>
        <v>C0632</v>
      </c>
      <c r="L637" s="75" t="str">
        <f aca="false">
IF($D637="정상",INDEX(임대자산!$D$3:$R$3000,MATCH($F637,임대자산!$I$3:$I$3000,0),MATCH(L$4,임대자산!$D$3:$R$3,0)),
IF($D637="폐업",INDEX(폐업정보!$D$3:$R$3000,MATCH($F637,폐업정보!$I$3:$I$3000,0),MATCH(L$4,폐업정보!$D$3:$R$3,0)),
"Error"))</f>
        <v>D0632</v>
      </c>
      <c r="M637" s="76" t="s">
        <v>96</v>
      </c>
      <c r="N637" s="77"/>
      <c r="O637" s="78" t="s">
        <v>97</v>
      </c>
      <c r="P637" s="79" t="n">
        <f aca="false">COUNTIFS(임대자산!$I:$I,가맹점정보!F637,임대자산!$N:$N,가맹점정보!P$4)</f>
        <v>0</v>
      </c>
      <c r="Q637" s="80" t="n">
        <f aca="false">COUNTIFS(임대자산!$I:$I,가맹점정보!F637,임대자산!$N:$N,가맹점정보!Q$4)</f>
        <v>1</v>
      </c>
      <c r="R637" s="81" t="n">
        <f aca="false">COUNTIFS(임대자산!$I:$I,가맹점정보!F637,임대자산!$N:$N,가맹점정보!R$4)</f>
        <v>0</v>
      </c>
      <c r="S637" s="82" t="n">
        <v>55000</v>
      </c>
      <c r="T637" s="83" t="n">
        <v>0</v>
      </c>
      <c r="U637" s="80" t="n">
        <f aca="false">SUM(S637:T637)</f>
        <v>55000</v>
      </c>
      <c r="V637" s="84" t="s">
        <v>7</v>
      </c>
      <c r="W637" s="80" t="str">
        <f aca="true">
IF(D637="폐업","폐업",
IF(V637="면제","면제",
IF(AND(V637="정상",COUNTIFS(OFFSET(Y637,0,COUNTA(Y637:AV637)-1,1,-4),"미납")&gt;=3),"장기미납",
IF(AND(V637="정상",OFFSET(Y637,0,COUNTA(Y637:AV637)-1)&gt;=U637),"정상",
IF(AND(V637="정상",OFFSET(Y637,0,COUNTA(Y637:AV637)-1)=0),"정상",
"계약서 미작성")))))</f>
        <v>면제</v>
      </c>
      <c r="X637" s="81" t="str">
        <f aca="true">
IF(D637="폐업","폐업",
IF(AND(V637="정상",OFFSET(Y637,0,COUNTA(Y637:AV637)-1)="미납"),"미납",
IF(AND(V637="정상",OFFSET(Y637,0,COUNTA(Y637:AV637)-1)=0),"납부 시작 전",
IF(AND(V637="정상",OFFSET(Y637,0,COUNTA(Y637:AV637)-1)&gt;=U637),"정상",
IF(AND(V637="면제",OFFSET(Y637,0,COUNTA(Y637:AV637)-1)="면제"),"면제",
IF(AND(V637="면제",OFFSET(Y637,0,COUNTA(Y637:AV637)-1)=0),"면제",
"확인요청"))))))</f>
        <v>면제</v>
      </c>
      <c r="Y637" s="93" t="n">
        <v>55000</v>
      </c>
      <c r="Z637" s="90" t="n">
        <v>55000</v>
      </c>
      <c r="AA637" s="90" t="n">
        <v>55000</v>
      </c>
      <c r="AB637" s="90" t="n">
        <v>55000</v>
      </c>
      <c r="AC637" s="90" t="n">
        <v>55000</v>
      </c>
      <c r="AD637" s="90" t="n">
        <v>55000</v>
      </c>
      <c r="AE637" s="95" t="s">
        <v>7</v>
      </c>
      <c r="AF637" s="95" t="s">
        <v>7</v>
      </c>
      <c r="AG637" s="95" t="s">
        <v>7</v>
      </c>
      <c r="AH637" s="95" t="s">
        <v>7</v>
      </c>
      <c r="AI637" s="95" t="s">
        <v>7</v>
      </c>
      <c r="AJ637" s="96" t="s">
        <v>7</v>
      </c>
      <c r="AK637" s="97" t="s">
        <v>7</v>
      </c>
      <c r="AL637" s="95" t="s">
        <v>7</v>
      </c>
      <c r="AM637" s="90"/>
      <c r="AN637" s="90"/>
      <c r="AO637" s="90"/>
      <c r="AP637" s="90"/>
      <c r="AQ637" s="90"/>
      <c r="AR637" s="90"/>
      <c r="AS637" s="90"/>
      <c r="AT637" s="90"/>
      <c r="AU637" s="90"/>
      <c r="AV637" s="91"/>
      <c r="AX637" s="92"/>
    </row>
    <row r="638" customFormat="false" ht="15.65" hidden="false" customHeight="false" outlineLevel="0" collapsed="false">
      <c r="C638" s="72" t="n">
        <f aca="false">COUNTIFS($D$6:D638,"&lt;&gt;"&amp;"")</f>
        <v>633</v>
      </c>
      <c r="D638" s="73" t="s">
        <v>12</v>
      </c>
      <c r="E638" s="76" t="str">
        <f aca="false">
IF($D638="정상",INDEX(임대자산!$D$3:$R$3000,MATCH($F638,임대자산!$I$3:$I$3000,0),MATCH(E$3,임대자산!$D$3:$R$3,0)),
IF($D638="폐업",INDEX(폐업정보!$D$3:$R$3000,MATCH($F638,폐업정보!$I$3:$I$3000,0),MATCH(E$3,폐업정보!$D$3:$R$3,0)),
"Error"))</f>
        <v>서울</v>
      </c>
      <c r="F63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B0633</v>
      </c>
      <c r="G638" s="76" t="str">
        <f aca="false">F638&amp;RANDBETWEEN(0,10)</f>
        <v>B063310</v>
      </c>
      <c r="H638" s="75" t="n">
        <f aca="false">
IF($D638="정상",INDEX(임대자산!$D$3:$R$3000,MATCH($F638,임대자산!$I$3:$I$3000,0),MATCH(H$4,임대자산!$D$3:$R$3,0)),
IF($D638="폐업",INDEX(폐업정보!$D$3:$R$3000,MATCH($F638,폐업정보!$I$3:$I$3000,0),MATCH(H$4,폐업정보!$D$3:$R$3,0)),
"Error"))</f>
        <v>43424</v>
      </c>
      <c r="I638" s="75" t="str">
        <f aca="false">
IF($D638="정상",INDEX(임대자산!$D$3:$R$3000,MATCH($F638,임대자산!$I$3:$I$3000,0),MATCH(I$4,임대자산!$D$3:$R$3,0)),
IF($D638="폐업",INDEX(폐업정보!$D$3:$R$3000,MATCH($F638,폐업정보!$I$3:$I$3000,0),MATCH(I$4,폐업정보!$D$3:$R$3,0)),
"Error"))</f>
        <v>A0633</v>
      </c>
      <c r="J638" s="75" t="str">
        <f aca="false">
IF($D638="정상",INDEX(임대자산!$D$3:$R$3000,MATCH($F638,임대자산!$I$3:$I$3000,0),MATCH(J$4,임대자산!$D$3:$R$3,0)),
IF($D638="폐업",INDEX(폐업정보!$D$3:$R$3000,MATCH($F638,폐업정보!$I$3:$I$3000,0),MATCH(J$4,폐업정보!$D$3:$R$3,0)),
"Error"))</f>
        <v>1183600000</v>
      </c>
      <c r="K638" s="75" t="str">
        <f aca="false">
IF($D638="정상",INDEX(임대자산!$D$3:$R$3000,MATCH($F638,임대자산!$I$3:$I$3000,0),MATCH(K$4,임대자산!$D$3:$R$3,0)),
IF($D638="폐업",INDEX(폐업정보!$D$3:$R$3000,MATCH($F638,폐업정보!$I$3:$I$3000,0),MATCH(K$4,폐업정보!$D$3:$R$3,0)),
"Error"))</f>
        <v>C0633</v>
      </c>
      <c r="L638" s="75" t="str">
        <f aca="false">
IF($D638="정상",INDEX(임대자산!$D$3:$R$3000,MATCH($F638,임대자산!$I$3:$I$3000,0),MATCH(L$4,임대자산!$D$3:$R$3,0)),
IF($D638="폐업",INDEX(폐업정보!$D$3:$R$3000,MATCH($F638,폐업정보!$I$3:$I$3000,0),MATCH(L$4,폐업정보!$D$3:$R$3,0)),
"Error"))</f>
        <v>D0633</v>
      </c>
      <c r="M638" s="76" t="s">
        <v>96</v>
      </c>
      <c r="N638" s="77"/>
      <c r="O638" s="78" t="s">
        <v>97</v>
      </c>
      <c r="P638" s="79" t="n">
        <f aca="false">COUNTIFS(임대자산!$I:$I,가맹점정보!F638,임대자산!$N:$N,가맹점정보!P$4)</f>
        <v>0</v>
      </c>
      <c r="Q638" s="80" t="n">
        <f aca="false">COUNTIFS(임대자산!$I:$I,가맹점정보!F638,임대자산!$N:$N,가맹점정보!Q$4)</f>
        <v>1</v>
      </c>
      <c r="R638" s="81" t="n">
        <f aca="false">COUNTIFS(임대자산!$I:$I,가맹점정보!F638,임대자산!$N:$N,가맹점정보!R$4)</f>
        <v>0</v>
      </c>
      <c r="S638" s="82" t="n">
        <v>55000</v>
      </c>
      <c r="T638" s="83" t="n">
        <v>0</v>
      </c>
      <c r="U638" s="80" t="n">
        <f aca="false">SUM(S638:T638)</f>
        <v>55000</v>
      </c>
      <c r="V638" s="84" t="s">
        <v>12</v>
      </c>
      <c r="W638" s="80" t="e">
        <f aca="true">
IF(D638="폐업","폐업",
IF(V638="면제","면제",
IF(AND(V638="정상",COUNTIFS(OFFSET(Y638,0,COUNTA(Y638:AV638)-1,1,-4),"미납")&gt;=3),"장기미납",
IF(AND(V638="정상",OFFSET(Y638,0,COUNTA(Y638:AV638)-1)&gt;=U638),"정상",
IF(AND(V638="정상",OFFSET(Y638,0,COUNTA(Y638:AV638)-1)=0),"정상",
"계약서 미작성")))))</f>
        <v>#VALUE!</v>
      </c>
      <c r="X638" s="81" t="str">
        <f aca="true">
IF(D638="폐업","폐업",
IF(AND(V638="정상",OFFSET(Y638,0,COUNTA(Y638:AV638)-1)="미납"),"미납",
IF(AND(V638="정상",OFFSET(Y638,0,COUNTA(Y638:AV638)-1)=0),"납부 시작 전",
IF(AND(V638="정상",OFFSET(Y638,0,COUNTA(Y638:AV638)-1)&gt;=U638),"정상",
IF(AND(V638="면제",OFFSET(Y638,0,COUNTA(Y638:AV638)-1)="면제"),"면제",
IF(AND(V638="면제",OFFSET(Y638,0,COUNTA(Y638:AV638)-1)=0),"면제",
"확인요청"))))))</f>
        <v>정상</v>
      </c>
      <c r="Y638" s="93" t="n">
        <v>55000</v>
      </c>
      <c r="Z638" s="90" t="n">
        <v>55000</v>
      </c>
      <c r="AA638" s="90" t="n">
        <v>55000</v>
      </c>
      <c r="AB638" s="90" t="n">
        <v>55000</v>
      </c>
      <c r="AC638" s="90" t="n">
        <v>55000</v>
      </c>
      <c r="AD638" s="90" t="n">
        <v>55000</v>
      </c>
      <c r="AE638" s="90" t="n">
        <v>55000</v>
      </c>
      <c r="AF638" s="90" t="n">
        <v>55000</v>
      </c>
      <c r="AG638" s="90" t="n">
        <v>55000</v>
      </c>
      <c r="AH638" s="90" t="n">
        <v>55000</v>
      </c>
      <c r="AI638" s="90" t="n">
        <v>55000</v>
      </c>
      <c r="AJ638" s="91" t="n">
        <v>55000</v>
      </c>
      <c r="AK638" s="89" t="n">
        <v>55000</v>
      </c>
      <c r="AL638" s="90" t="n">
        <v>55000</v>
      </c>
      <c r="AM638" s="90"/>
      <c r="AN638" s="90"/>
      <c r="AO638" s="90"/>
      <c r="AP638" s="90"/>
      <c r="AQ638" s="90"/>
      <c r="AR638" s="90"/>
      <c r="AS638" s="90"/>
      <c r="AT638" s="90"/>
      <c r="AU638" s="90"/>
      <c r="AV638" s="91"/>
      <c r="AX638" s="92"/>
    </row>
    <row r="639" customFormat="false" ht="15.65" hidden="false" customHeight="false" outlineLevel="0" collapsed="false">
      <c r="C639" s="72" t="n">
        <f aca="false">COUNTIFS($D$6:D639,"&lt;&gt;"&amp;"")</f>
        <v>634</v>
      </c>
      <c r="D639" s="73" t="s">
        <v>12</v>
      </c>
      <c r="E639" s="76" t="str">
        <f aca="false">
IF($D639="정상",INDEX(임대자산!$D$3:$R$3000,MATCH($F639,임대자산!$I$3:$I$3000,0),MATCH(E$3,임대자산!$D$3:$R$3,0)),
IF($D639="폐업",INDEX(폐업정보!$D$3:$R$3000,MATCH($F639,폐업정보!$I$3:$I$3000,0),MATCH(E$3,폐업정보!$D$3:$R$3,0)),
"Error"))</f>
        <v>강원</v>
      </c>
      <c r="F63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B0634</v>
      </c>
      <c r="G639" s="76" t="str">
        <f aca="false">F639&amp;RANDBETWEEN(0,10)</f>
        <v>B06341</v>
      </c>
      <c r="H639" s="75" t="n">
        <f aca="false">
IF($D639="정상",INDEX(임대자산!$D$3:$R$3000,MATCH($F639,임대자산!$I$3:$I$3000,0),MATCH(H$4,임대자산!$D$3:$R$3,0)),
IF($D639="폐업",INDEX(폐업정보!$D$3:$R$3000,MATCH($F639,폐업정보!$I$3:$I$3000,0),MATCH(H$4,폐업정보!$D$3:$R$3,0)),
"Error"))</f>
        <v>44426</v>
      </c>
      <c r="I639" s="75" t="str">
        <f aca="false">
IF($D639="정상",INDEX(임대자산!$D$3:$R$3000,MATCH($F639,임대자산!$I$3:$I$3000,0),MATCH(I$4,임대자산!$D$3:$R$3,0)),
IF($D639="폐업",INDEX(폐업정보!$D$3:$R$3000,MATCH($F639,폐업정보!$I$3:$I$3000,0),MATCH(I$4,폐업정보!$D$3:$R$3,0)),
"Error"))</f>
        <v>A0634</v>
      </c>
      <c r="J639" s="75" t="str">
        <f aca="false">
IF($D639="정상",INDEX(임대자산!$D$3:$R$3000,MATCH($F639,임대자산!$I$3:$I$3000,0),MATCH(J$4,임대자산!$D$3:$R$3,0)),
IF($D639="폐업",INDEX(폐업정보!$D$3:$R$3000,MATCH($F639,폐업정보!$I$3:$I$3000,0),MATCH(J$4,폐업정보!$D$3:$R$3,0)),
"Error"))</f>
        <v>8244600000</v>
      </c>
      <c r="K639" s="75" t="str">
        <f aca="false">
IF($D639="정상",INDEX(임대자산!$D$3:$R$3000,MATCH($F639,임대자산!$I$3:$I$3000,0),MATCH(K$4,임대자산!$D$3:$R$3,0)),
IF($D639="폐업",INDEX(폐업정보!$D$3:$R$3000,MATCH($F639,폐업정보!$I$3:$I$3000,0),MATCH(K$4,폐업정보!$D$3:$R$3,0)),
"Error"))</f>
        <v>C0634</v>
      </c>
      <c r="L639" s="75" t="str">
        <f aca="false">
IF($D639="정상",INDEX(임대자산!$D$3:$R$3000,MATCH($F639,임대자산!$I$3:$I$3000,0),MATCH(L$4,임대자산!$D$3:$R$3,0)),
IF($D639="폐업",INDEX(폐업정보!$D$3:$R$3000,MATCH($F639,폐업정보!$I$3:$I$3000,0),MATCH(L$4,폐업정보!$D$3:$R$3,0)),
"Error"))</f>
        <v>D0634</v>
      </c>
      <c r="M639" s="76" t="s">
        <v>96</v>
      </c>
      <c r="N639" s="77"/>
      <c r="O639" s="78" t="s">
        <v>97</v>
      </c>
      <c r="P639" s="79" t="n">
        <f aca="false">COUNTIFS(임대자산!$I:$I,가맹점정보!F639,임대자산!$N:$N,가맹점정보!P$4)</f>
        <v>0</v>
      </c>
      <c r="Q639" s="80" t="n">
        <f aca="false">COUNTIFS(임대자산!$I:$I,가맹점정보!F639,임대자산!$N:$N,가맹점정보!Q$4)</f>
        <v>1</v>
      </c>
      <c r="R639" s="81" t="n">
        <f aca="false">COUNTIFS(임대자산!$I:$I,가맹점정보!F639,임대자산!$N:$N,가맹점정보!R$4)</f>
        <v>0</v>
      </c>
      <c r="S639" s="82" t="n">
        <v>55000</v>
      </c>
      <c r="T639" s="83" t="n">
        <v>0</v>
      </c>
      <c r="U639" s="80" t="n">
        <f aca="false">SUM(S639:T639)</f>
        <v>55000</v>
      </c>
      <c r="V639" s="84" t="s">
        <v>12</v>
      </c>
      <c r="W639" s="80" t="e">
        <f aca="true">
IF(D639="폐업","폐업",
IF(V639="면제","면제",
IF(AND(V639="정상",COUNTIFS(OFFSET(Y639,0,COUNTA(Y639:AV639)-1,1,-4),"미납")&gt;=3),"장기미납",
IF(AND(V639="정상",OFFSET(Y639,0,COUNTA(Y639:AV639)-1)&gt;=U639),"정상",
IF(AND(V639="정상",OFFSET(Y639,0,COUNTA(Y639:AV639)-1)=0),"정상",
"계약서 미작성")))))</f>
        <v>#VALUE!</v>
      </c>
      <c r="X639" s="81" t="str">
        <f aca="true">
IF(D639="폐업","폐업",
IF(AND(V639="정상",OFFSET(Y639,0,COUNTA(Y639:AV639)-1)="미납"),"미납",
IF(AND(V639="정상",OFFSET(Y639,0,COUNTA(Y639:AV639)-1)=0),"납부 시작 전",
IF(AND(V639="정상",OFFSET(Y639,0,COUNTA(Y639:AV639)-1)&gt;=U639),"정상",
IF(AND(V639="면제",OFFSET(Y639,0,COUNTA(Y639:AV639)-1)="면제"),"면제",
IF(AND(V639="면제",OFFSET(Y639,0,COUNTA(Y639:AV639)-1)=0),"면제",
"확인요청"))))))</f>
        <v>정상</v>
      </c>
      <c r="Y639" s="93" t="n">
        <v>55000</v>
      </c>
      <c r="Z639" s="90" t="n">
        <v>55000</v>
      </c>
      <c r="AA639" s="90" t="n">
        <v>55000</v>
      </c>
      <c r="AB639" s="90" t="n">
        <v>55000</v>
      </c>
      <c r="AC639" s="90" t="n">
        <v>55000</v>
      </c>
      <c r="AD639" s="90" t="n">
        <v>55000</v>
      </c>
      <c r="AE639" s="90" t="n">
        <v>55000</v>
      </c>
      <c r="AF639" s="90" t="n">
        <v>55000</v>
      </c>
      <c r="AG639" s="90" t="n">
        <v>55000</v>
      </c>
      <c r="AH639" s="90" t="n">
        <v>55000</v>
      </c>
      <c r="AI639" s="90" t="n">
        <v>55000</v>
      </c>
      <c r="AJ639" s="91" t="n">
        <v>55000</v>
      </c>
      <c r="AK639" s="89" t="n">
        <v>55000</v>
      </c>
      <c r="AL639" s="90" t="n">
        <v>55000</v>
      </c>
      <c r="AM639" s="90"/>
      <c r="AN639" s="90"/>
      <c r="AO639" s="90"/>
      <c r="AP639" s="90"/>
      <c r="AQ639" s="90"/>
      <c r="AR639" s="90"/>
      <c r="AS639" s="90"/>
      <c r="AT639" s="90"/>
      <c r="AU639" s="90"/>
      <c r="AV639" s="91"/>
      <c r="AX639" s="92"/>
    </row>
    <row r="640" customFormat="false" ht="15.65" hidden="false" customHeight="false" outlineLevel="0" collapsed="false">
      <c r="C640" s="72" t="n">
        <f aca="false">COUNTIFS($D$6:D640,"&lt;&gt;"&amp;"")</f>
        <v>635</v>
      </c>
      <c r="D640" s="73" t="s">
        <v>12</v>
      </c>
      <c r="E640" s="76" t="str">
        <f aca="false">
IF($D640="정상",INDEX(임대자산!$D$3:$R$3000,MATCH($F640,임대자산!$I$3:$I$3000,0),MATCH(E$3,임대자산!$D$3:$R$3,0)),
IF($D640="폐업",INDEX(폐업정보!$D$3:$R$3000,MATCH($F640,폐업정보!$I$3:$I$3000,0),MATCH(E$3,폐업정보!$D$3:$R$3,0)),
"Error"))</f>
        <v>강원</v>
      </c>
      <c r="F64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B0635</v>
      </c>
      <c r="G640" s="76" t="str">
        <f aca="false">F640&amp;RANDBETWEEN(0,10)</f>
        <v>B063510</v>
      </c>
      <c r="H640" s="75" t="n">
        <f aca="false">
IF($D640="정상",INDEX(임대자산!$D$3:$R$3000,MATCH($F640,임대자산!$I$3:$I$3000,0),MATCH(H$4,임대자산!$D$3:$R$3,0)),
IF($D640="폐업",INDEX(폐업정보!$D$3:$R$3000,MATCH($F640,폐업정보!$I$3:$I$3000,0),MATCH(H$4,폐업정보!$D$3:$R$3,0)),
"Error"))</f>
        <v>44790</v>
      </c>
      <c r="I640" s="75" t="str">
        <f aca="false">
IF($D640="정상",INDEX(임대자산!$D$3:$R$3000,MATCH($F640,임대자산!$I$3:$I$3000,0),MATCH(I$4,임대자산!$D$3:$R$3,0)),
IF($D640="폐업",INDEX(폐업정보!$D$3:$R$3000,MATCH($F640,폐업정보!$I$3:$I$3000,0),MATCH(I$4,폐업정보!$D$3:$R$3,0)),
"Error"))</f>
        <v>A0635</v>
      </c>
      <c r="J640" s="75" t="str">
        <f aca="false">
IF($D640="정상",INDEX(임대자산!$D$3:$R$3000,MATCH($F640,임대자산!$I$3:$I$3000,0),MATCH(J$4,임대자산!$D$3:$R$3,0)),
IF($D640="폐업",INDEX(폐업정보!$D$3:$R$3000,MATCH($F640,폐업정보!$I$3:$I$3000,0),MATCH(J$4,폐업정보!$D$3:$R$3,0)),
"Error"))</f>
        <v>2628200000</v>
      </c>
      <c r="K640" s="75" t="str">
        <f aca="false">
IF($D640="정상",INDEX(임대자산!$D$3:$R$3000,MATCH($F640,임대자산!$I$3:$I$3000,0),MATCH(K$4,임대자산!$D$3:$R$3,0)),
IF($D640="폐업",INDEX(폐업정보!$D$3:$R$3000,MATCH($F640,폐업정보!$I$3:$I$3000,0),MATCH(K$4,폐업정보!$D$3:$R$3,0)),
"Error"))</f>
        <v>C0635</v>
      </c>
      <c r="L640" s="75" t="str">
        <f aca="false">
IF($D640="정상",INDEX(임대자산!$D$3:$R$3000,MATCH($F640,임대자산!$I$3:$I$3000,0),MATCH(L$4,임대자산!$D$3:$R$3,0)),
IF($D640="폐업",INDEX(폐업정보!$D$3:$R$3000,MATCH($F640,폐업정보!$I$3:$I$3000,0),MATCH(L$4,폐업정보!$D$3:$R$3,0)),
"Error"))</f>
        <v>D0635</v>
      </c>
      <c r="M640" s="76" t="s">
        <v>96</v>
      </c>
      <c r="N640" s="77"/>
      <c r="O640" s="78" t="s">
        <v>97</v>
      </c>
      <c r="P640" s="79" t="n">
        <f aca="false">COUNTIFS(임대자산!$I:$I,가맹점정보!F640,임대자산!$N:$N,가맹점정보!P$4)</f>
        <v>0</v>
      </c>
      <c r="Q640" s="80" t="n">
        <f aca="false">COUNTIFS(임대자산!$I:$I,가맹점정보!F640,임대자산!$N:$N,가맹점정보!Q$4)</f>
        <v>1</v>
      </c>
      <c r="R640" s="81" t="n">
        <f aca="false">COUNTIFS(임대자산!$I:$I,가맹점정보!F640,임대자산!$N:$N,가맹점정보!R$4)</f>
        <v>0</v>
      </c>
      <c r="S640" s="82" t="n">
        <v>55000</v>
      </c>
      <c r="T640" s="83" t="n">
        <v>0</v>
      </c>
      <c r="U640" s="80" t="n">
        <f aca="false">SUM(S640:T640)</f>
        <v>55000</v>
      </c>
      <c r="V640" s="84" t="s">
        <v>12</v>
      </c>
      <c r="W640" s="80" t="e">
        <f aca="true">
IF(D640="폐업","폐업",
IF(V640="면제","면제",
IF(AND(V640="정상",COUNTIFS(OFFSET(Y640,0,COUNTA(Y640:AV640)-1,1,-4),"미납")&gt;=3),"장기미납",
IF(AND(V640="정상",OFFSET(Y640,0,COUNTA(Y640:AV640)-1)&gt;=U640),"정상",
IF(AND(V640="정상",OFFSET(Y640,0,COUNTA(Y640:AV640)-1)=0),"정상",
"계약서 미작성")))))</f>
        <v>#VALUE!</v>
      </c>
      <c r="X640" s="81" t="str">
        <f aca="true">
IF(D640="폐업","폐업",
IF(AND(V640="정상",OFFSET(Y640,0,COUNTA(Y640:AV640)-1)="미납"),"미납",
IF(AND(V640="정상",OFFSET(Y640,0,COUNTA(Y640:AV640)-1)=0),"납부 시작 전",
IF(AND(V640="정상",OFFSET(Y640,0,COUNTA(Y640:AV640)-1)&gt;=U640),"정상",
IF(AND(V640="면제",OFFSET(Y640,0,COUNTA(Y640:AV640)-1)="면제"),"면제",
IF(AND(V640="면제",OFFSET(Y640,0,COUNTA(Y640:AV640)-1)=0),"면제",
"확인요청"))))))</f>
        <v>정상</v>
      </c>
      <c r="Y640" s="93" t="n">
        <v>55000</v>
      </c>
      <c r="Z640" s="90" t="n">
        <v>55000</v>
      </c>
      <c r="AA640" s="90" t="n">
        <v>55000</v>
      </c>
      <c r="AB640" s="90" t="n">
        <v>55000</v>
      </c>
      <c r="AC640" s="90" t="n">
        <v>55000</v>
      </c>
      <c r="AD640" s="90" t="n">
        <v>55000</v>
      </c>
      <c r="AE640" s="90" t="n">
        <v>55000</v>
      </c>
      <c r="AF640" s="90" t="n">
        <v>55000</v>
      </c>
      <c r="AG640" s="90" t="n">
        <v>55000</v>
      </c>
      <c r="AH640" s="90" t="n">
        <v>55000</v>
      </c>
      <c r="AI640" s="90" t="n">
        <v>55000</v>
      </c>
      <c r="AJ640" s="91" t="n">
        <v>55000</v>
      </c>
      <c r="AK640" s="89" t="n">
        <v>55000</v>
      </c>
      <c r="AL640" s="90" t="n">
        <v>55000</v>
      </c>
      <c r="AM640" s="90"/>
      <c r="AN640" s="90"/>
      <c r="AO640" s="90"/>
      <c r="AP640" s="90"/>
      <c r="AQ640" s="90"/>
      <c r="AR640" s="90"/>
      <c r="AS640" s="90"/>
      <c r="AT640" s="90"/>
      <c r="AU640" s="90"/>
      <c r="AV640" s="91"/>
      <c r="AX640" s="92"/>
    </row>
    <row r="641" customFormat="false" ht="15.65" hidden="false" customHeight="false" outlineLevel="0" collapsed="false">
      <c r="C641" s="72" t="n">
        <f aca="false">COUNTIFS($D$6:D641,"&lt;&gt;"&amp;"")</f>
        <v>636</v>
      </c>
      <c r="D641" s="73" t="s">
        <v>12</v>
      </c>
      <c r="E641" s="76" t="str">
        <f aca="false">
IF($D641="정상",INDEX(임대자산!$D$3:$R$3000,MATCH($F641,임대자산!$I$3:$I$3000,0),MATCH(E$3,임대자산!$D$3:$R$3,0)),
IF($D641="폐업",INDEX(폐업정보!$D$3:$R$3000,MATCH($F641,폐업정보!$I$3:$I$3000,0),MATCH(E$3,폐업정보!$D$3:$R$3,0)),
"Error"))</f>
        <v>경상</v>
      </c>
      <c r="F64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B0636</v>
      </c>
      <c r="G641" s="76" t="str">
        <f aca="false">F641&amp;RANDBETWEEN(0,10)</f>
        <v>B06360</v>
      </c>
      <c r="H641" s="75" t="n">
        <f aca="false">
IF($D641="정상",INDEX(임대자산!$D$3:$R$3000,MATCH($F641,임대자산!$I$3:$I$3000,0),MATCH(H$4,임대자산!$D$3:$R$3,0)),
IF($D641="폐업",INDEX(폐업정보!$D$3:$R$3000,MATCH($F641,폐업정보!$I$3:$I$3000,0),MATCH(H$4,폐업정보!$D$3:$R$3,0)),
"Error"))</f>
        <v>44446</v>
      </c>
      <c r="I641" s="75" t="str">
        <f aca="false">
IF($D641="정상",INDEX(임대자산!$D$3:$R$3000,MATCH($F641,임대자산!$I$3:$I$3000,0),MATCH(I$4,임대자산!$D$3:$R$3,0)),
IF($D641="폐업",INDEX(폐업정보!$D$3:$R$3000,MATCH($F641,폐업정보!$I$3:$I$3000,0),MATCH(I$4,폐업정보!$D$3:$R$3,0)),
"Error"))</f>
        <v>A0636</v>
      </c>
      <c r="J641" s="75" t="str">
        <f aca="false">
IF($D641="정상",INDEX(임대자산!$D$3:$R$3000,MATCH($F641,임대자산!$I$3:$I$3000,0),MATCH(J$4,임대자산!$D$3:$R$3,0)),
IF($D641="폐업",INDEX(폐업정보!$D$3:$R$3000,MATCH($F641,폐업정보!$I$3:$I$3000,0),MATCH(J$4,폐업정보!$D$3:$R$3,0)),
"Error"))</f>
        <v>7756900000</v>
      </c>
      <c r="K641" s="75" t="str">
        <f aca="false">
IF($D641="정상",INDEX(임대자산!$D$3:$R$3000,MATCH($F641,임대자산!$I$3:$I$3000,0),MATCH(K$4,임대자산!$D$3:$R$3,0)),
IF($D641="폐업",INDEX(폐업정보!$D$3:$R$3000,MATCH($F641,폐업정보!$I$3:$I$3000,0),MATCH(K$4,폐업정보!$D$3:$R$3,0)),
"Error"))</f>
        <v>C0636</v>
      </c>
      <c r="L641" s="75" t="str">
        <f aca="false">
IF($D641="정상",INDEX(임대자산!$D$3:$R$3000,MATCH($F641,임대자산!$I$3:$I$3000,0),MATCH(L$4,임대자산!$D$3:$R$3,0)),
IF($D641="폐업",INDEX(폐업정보!$D$3:$R$3000,MATCH($F641,폐업정보!$I$3:$I$3000,0),MATCH(L$4,폐업정보!$D$3:$R$3,0)),
"Error"))</f>
        <v>D0636</v>
      </c>
      <c r="M641" s="76" t="s">
        <v>96</v>
      </c>
      <c r="N641" s="77"/>
      <c r="O641" s="78" t="s">
        <v>97</v>
      </c>
      <c r="P641" s="79" t="n">
        <f aca="false">COUNTIFS(임대자산!$I:$I,가맹점정보!F641,임대자산!$N:$N,가맹점정보!P$4)</f>
        <v>0</v>
      </c>
      <c r="Q641" s="80" t="n">
        <f aca="false">COUNTIFS(임대자산!$I:$I,가맹점정보!F641,임대자산!$N:$N,가맹점정보!Q$4)</f>
        <v>1</v>
      </c>
      <c r="R641" s="81" t="n">
        <f aca="false">COUNTIFS(임대자산!$I:$I,가맹점정보!F641,임대자산!$N:$N,가맹점정보!R$4)</f>
        <v>0</v>
      </c>
      <c r="S641" s="82" t="n">
        <v>55000</v>
      </c>
      <c r="T641" s="83" t="n">
        <v>0</v>
      </c>
      <c r="U641" s="80" t="n">
        <f aca="false">SUM(S641:T641)</f>
        <v>55000</v>
      </c>
      <c r="V641" s="84" t="s">
        <v>12</v>
      </c>
      <c r="W641" s="80" t="e">
        <f aca="true">
IF(D641="폐업","폐업",
IF(V641="면제","면제",
IF(AND(V641="정상",COUNTIFS(OFFSET(Y641,0,COUNTA(Y641:AV641)-1,1,-4),"미납")&gt;=3),"장기미납",
IF(AND(V641="정상",OFFSET(Y641,0,COUNTA(Y641:AV641)-1)&gt;=U641),"정상",
IF(AND(V641="정상",OFFSET(Y641,0,COUNTA(Y641:AV641)-1)=0),"정상",
"계약서 미작성")))))</f>
        <v>#VALUE!</v>
      </c>
      <c r="X641" s="81" t="str">
        <f aca="true">
IF(D641="폐업","폐업",
IF(AND(V641="정상",OFFSET(Y641,0,COUNTA(Y641:AV641)-1)="미납"),"미납",
IF(AND(V641="정상",OFFSET(Y641,0,COUNTA(Y641:AV641)-1)=0),"납부 시작 전",
IF(AND(V641="정상",OFFSET(Y641,0,COUNTA(Y641:AV641)-1)&gt;=U641),"정상",
IF(AND(V641="면제",OFFSET(Y641,0,COUNTA(Y641:AV641)-1)="면제"),"면제",
IF(AND(V641="면제",OFFSET(Y641,0,COUNTA(Y641:AV641)-1)=0),"면제",
"확인요청"))))))</f>
        <v>정상</v>
      </c>
      <c r="Y641" s="93" t="n">
        <v>55000</v>
      </c>
      <c r="Z641" s="90" t="n">
        <v>55000</v>
      </c>
      <c r="AA641" s="90" t="n">
        <v>55000</v>
      </c>
      <c r="AB641" s="90" t="n">
        <v>55000</v>
      </c>
      <c r="AC641" s="90" t="n">
        <v>55000</v>
      </c>
      <c r="AD641" s="90" t="n">
        <v>55000</v>
      </c>
      <c r="AE641" s="90" t="n">
        <v>55000</v>
      </c>
      <c r="AF641" s="90" t="n">
        <v>55000</v>
      </c>
      <c r="AG641" s="90" t="n">
        <v>55000</v>
      </c>
      <c r="AH641" s="90" t="n">
        <v>55000</v>
      </c>
      <c r="AI641" s="90" t="n">
        <v>55000</v>
      </c>
      <c r="AJ641" s="91" t="n">
        <v>55000</v>
      </c>
      <c r="AK641" s="89" t="n">
        <v>55000</v>
      </c>
      <c r="AL641" s="90" t="n">
        <v>55000</v>
      </c>
      <c r="AM641" s="90"/>
      <c r="AN641" s="90"/>
      <c r="AO641" s="90"/>
      <c r="AP641" s="90"/>
      <c r="AQ641" s="90"/>
      <c r="AR641" s="90"/>
      <c r="AS641" s="90"/>
      <c r="AT641" s="90"/>
      <c r="AU641" s="90"/>
      <c r="AV641" s="91"/>
      <c r="AX641" s="92"/>
    </row>
    <row r="642" customFormat="false" ht="15.65" hidden="false" customHeight="false" outlineLevel="0" collapsed="false">
      <c r="C642" s="72" t="n">
        <f aca="false">COUNTIFS($D$6:D642,"&lt;&gt;"&amp;"")</f>
        <v>637</v>
      </c>
      <c r="D642" s="73" t="s">
        <v>5</v>
      </c>
      <c r="E642" s="76" t="str">
        <f aca="false">
IF($D642="정상",INDEX(임대자산!$D$3:$R$3000,MATCH($F642,임대자산!$I$3:$I$3000,0),MATCH(E$3,임대자산!$D$3:$R$3,0)),
IF($D642="폐업",INDEX(폐업정보!$D$3:$R$3000,MATCH($F642,폐업정보!$I$3:$I$3000,0),MATCH(E$3,폐업정보!$D$3:$R$3,0)),
"Error"))</f>
        <v>경상</v>
      </c>
      <c r="F64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B0637</v>
      </c>
      <c r="G642" s="76" t="str">
        <f aca="false">F642&amp;RANDBETWEEN(0,10)</f>
        <v>B06379</v>
      </c>
      <c r="H642" s="75" t="n">
        <f aca="false">
IF($D642="정상",INDEX(임대자산!$D$3:$R$3000,MATCH($F642,임대자산!$I$3:$I$3000,0),MATCH(H$4,임대자산!$D$3:$R$3,0)),
IF($D642="폐업",INDEX(폐업정보!$D$3:$R$3000,MATCH($F642,폐업정보!$I$3:$I$3000,0),MATCH(H$4,폐업정보!$D$3:$R$3,0)),
"Error"))</f>
        <v>44446</v>
      </c>
      <c r="I642" s="75" t="str">
        <f aca="false">
IF($D642="정상",INDEX(임대자산!$D$3:$R$3000,MATCH($F642,임대자산!$I$3:$I$3000,0),MATCH(I$4,임대자산!$D$3:$R$3,0)),
IF($D642="폐업",INDEX(폐업정보!$D$3:$R$3000,MATCH($F642,폐업정보!$I$3:$I$3000,0),MATCH(I$4,폐업정보!$D$3:$R$3,0)),
"Error"))</f>
        <v>A0637</v>
      </c>
      <c r="J642" s="75" t="str">
        <f aca="false">
IF($D642="정상",INDEX(임대자산!$D$3:$R$3000,MATCH($F642,임대자산!$I$3:$I$3000,0),MATCH(J$4,임대자산!$D$3:$R$3,0)),
IF($D642="폐업",INDEX(폐업정보!$D$3:$R$3000,MATCH($F642,폐업정보!$I$3:$I$3000,0),MATCH(J$4,폐업정보!$D$3:$R$3,0)),
"Error"))</f>
        <v>2767000000</v>
      </c>
      <c r="K642" s="75" t="str">
        <f aca="false">
IF($D642="정상",INDEX(임대자산!$D$3:$R$3000,MATCH($F642,임대자산!$I$3:$I$3000,0),MATCH(K$4,임대자산!$D$3:$R$3,0)),
IF($D642="폐업",INDEX(폐업정보!$D$3:$R$3000,MATCH($F642,폐업정보!$I$3:$I$3000,0),MATCH(K$4,폐업정보!$D$3:$R$3,0)),
"Error"))</f>
        <v>C0637</v>
      </c>
      <c r="L642" s="75" t="str">
        <f aca="false">
IF($D642="정상",INDEX(임대자산!$D$3:$R$3000,MATCH($F642,임대자산!$I$3:$I$3000,0),MATCH(L$4,임대자산!$D$3:$R$3,0)),
IF($D642="폐업",INDEX(폐업정보!$D$3:$R$3000,MATCH($F642,폐업정보!$I$3:$I$3000,0),MATCH(L$4,폐업정보!$D$3:$R$3,0)),
"Error"))</f>
        <v>D0637</v>
      </c>
      <c r="M642" s="76" t="s">
        <v>96</v>
      </c>
      <c r="N642" s="77"/>
      <c r="O642" s="78" t="s">
        <v>97</v>
      </c>
      <c r="P642" s="79" t="n">
        <f aca="false">COUNTIFS(임대자산!$I:$I,가맹점정보!F642,임대자산!$N:$N,가맹점정보!P$4)</f>
        <v>0</v>
      </c>
      <c r="Q642" s="80" t="n">
        <f aca="false">COUNTIFS(임대자산!$I:$I,가맹점정보!F642,임대자산!$N:$N,가맹점정보!Q$4)</f>
        <v>0</v>
      </c>
      <c r="R642" s="81" t="n">
        <f aca="false">COUNTIFS(임대자산!$I:$I,가맹점정보!F642,임대자산!$N:$N,가맹점정보!R$4)</f>
        <v>0</v>
      </c>
      <c r="S642" s="82" t="n">
        <v>55000</v>
      </c>
      <c r="T642" s="83" t="n">
        <v>0</v>
      </c>
      <c r="U642" s="80" t="n">
        <f aca="false">SUM(S642:T642)</f>
        <v>55000</v>
      </c>
      <c r="V642" s="84" t="s">
        <v>12</v>
      </c>
      <c r="W642" s="80" t="str">
        <f aca="true">
IF(D642="폐업","폐업",
IF(V642="면제","면제",
IF(AND(V642="정상",COUNTIFS(OFFSET(Y642,0,COUNTA(Y642:AV642)-1,1,-4),"미납")&gt;=3),"장기미납",
IF(AND(V642="정상",OFFSET(Y642,0,COUNTA(Y642:AV642)-1)&gt;=U642),"정상",
IF(AND(V642="정상",OFFSET(Y642,0,COUNTA(Y642:AV642)-1)=0),"정상",
"계약서 미작성")))))</f>
        <v>폐업</v>
      </c>
      <c r="X642" s="81" t="str">
        <f aca="true">
IF(D642="폐업","폐업",
IF(AND(V642="정상",OFFSET(Y642,0,COUNTA(Y642:AV642)-1)="미납"),"미납",
IF(AND(V642="정상",OFFSET(Y642,0,COUNTA(Y642:AV642)-1)=0),"납부 시작 전",
IF(AND(V642="정상",OFFSET(Y642,0,COUNTA(Y642:AV642)-1)&gt;=U642),"정상",
IF(AND(V642="면제",OFFSET(Y642,0,COUNTA(Y642:AV642)-1)="면제"),"면제",
IF(AND(V642="면제",OFFSET(Y642,0,COUNTA(Y642:AV642)-1)=0),"면제",
"확인요청"))))))</f>
        <v>폐업</v>
      </c>
      <c r="Y642" s="93" t="n">
        <v>55000</v>
      </c>
      <c r="Z642" s="90" t="n">
        <v>55000</v>
      </c>
      <c r="AA642" s="90" t="n">
        <v>55000</v>
      </c>
      <c r="AB642" s="90" t="n">
        <v>55000</v>
      </c>
      <c r="AC642" s="90" t="n">
        <v>55000</v>
      </c>
      <c r="AD642" s="90" t="n">
        <v>55000</v>
      </c>
      <c r="AE642" s="90" t="n">
        <v>55000</v>
      </c>
      <c r="AF642" s="90" t="n">
        <v>55000</v>
      </c>
      <c r="AG642" s="90" t="n">
        <v>55000</v>
      </c>
      <c r="AH642" s="90" t="n">
        <v>55000</v>
      </c>
      <c r="AI642" s="90" t="n">
        <v>55000</v>
      </c>
      <c r="AJ642" s="91" t="n">
        <v>55000</v>
      </c>
      <c r="AK642" s="89" t="n">
        <v>55000</v>
      </c>
      <c r="AL642" s="90" t="n">
        <v>55000</v>
      </c>
      <c r="AM642" s="90"/>
      <c r="AN642" s="90"/>
      <c r="AO642" s="90"/>
      <c r="AP642" s="90"/>
      <c r="AQ642" s="90"/>
      <c r="AR642" s="90"/>
      <c r="AS642" s="90"/>
      <c r="AT642" s="90"/>
      <c r="AU642" s="90"/>
      <c r="AV642" s="91"/>
      <c r="AX642" s="92"/>
    </row>
    <row r="643" customFormat="false" ht="15.65" hidden="false" customHeight="false" outlineLevel="0" collapsed="false">
      <c r="C643" s="72" t="n">
        <f aca="false">COUNTIFS($D$6:D643,"&lt;&gt;"&amp;"")</f>
        <v>638</v>
      </c>
      <c r="D643" s="73" t="s">
        <v>12</v>
      </c>
      <c r="E643" s="76" t="str">
        <f aca="false">
IF($D643="정상",INDEX(임대자산!$D$3:$R$3000,MATCH($F643,임대자산!$I$3:$I$3000,0),MATCH(E$3,임대자산!$D$3:$R$3,0)),
IF($D643="폐업",INDEX(폐업정보!$D$3:$R$3000,MATCH($F643,폐업정보!$I$3:$I$3000,0),MATCH(E$3,폐업정보!$D$3:$R$3,0)),
"Error"))</f>
        <v>경기</v>
      </c>
      <c r="F64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B0638</v>
      </c>
      <c r="G643" s="76" t="str">
        <f aca="false">F643&amp;RANDBETWEEN(0,10)</f>
        <v>B063810</v>
      </c>
      <c r="H643" s="75" t="n">
        <f aca="false">
IF($D643="정상",INDEX(임대자산!$D$3:$R$3000,MATCH($F643,임대자산!$I$3:$I$3000,0),MATCH(H$4,임대자산!$D$3:$R$3,0)),
IF($D643="폐업",INDEX(폐업정보!$D$3:$R$3000,MATCH($F643,폐업정보!$I$3:$I$3000,0),MATCH(H$4,폐업정보!$D$3:$R$3,0)),
"Error"))</f>
        <v>44008</v>
      </c>
      <c r="I643" s="75" t="str">
        <f aca="false">
IF($D643="정상",INDEX(임대자산!$D$3:$R$3000,MATCH($F643,임대자산!$I$3:$I$3000,0),MATCH(I$4,임대자산!$D$3:$R$3,0)),
IF($D643="폐업",INDEX(폐업정보!$D$3:$R$3000,MATCH($F643,폐업정보!$I$3:$I$3000,0),MATCH(I$4,폐업정보!$D$3:$R$3,0)),
"Error"))</f>
        <v>A0638</v>
      </c>
      <c r="J643" s="75" t="str">
        <f aca="false">
IF($D643="정상",INDEX(임대자산!$D$3:$R$3000,MATCH($F643,임대자산!$I$3:$I$3000,0),MATCH(J$4,임대자산!$D$3:$R$3,0)),
IF($D643="폐업",INDEX(폐업정보!$D$3:$R$3000,MATCH($F643,폐업정보!$I$3:$I$3000,0),MATCH(J$4,폐업정보!$D$3:$R$3,0)),
"Error"))</f>
        <v>1100500000</v>
      </c>
      <c r="K643" s="75" t="str">
        <f aca="false">
IF($D643="정상",INDEX(임대자산!$D$3:$R$3000,MATCH($F643,임대자산!$I$3:$I$3000,0),MATCH(K$4,임대자산!$D$3:$R$3,0)),
IF($D643="폐업",INDEX(폐업정보!$D$3:$R$3000,MATCH($F643,폐업정보!$I$3:$I$3000,0),MATCH(K$4,폐업정보!$D$3:$R$3,0)),
"Error"))</f>
        <v>C0638</v>
      </c>
      <c r="L643" s="75" t="str">
        <f aca="false">
IF($D643="정상",INDEX(임대자산!$D$3:$R$3000,MATCH($F643,임대자산!$I$3:$I$3000,0),MATCH(L$4,임대자산!$D$3:$R$3,0)),
IF($D643="폐업",INDEX(폐업정보!$D$3:$R$3000,MATCH($F643,폐업정보!$I$3:$I$3000,0),MATCH(L$4,폐업정보!$D$3:$R$3,0)),
"Error"))</f>
        <v>D0638</v>
      </c>
      <c r="M643" s="76" t="s">
        <v>96</v>
      </c>
      <c r="N643" s="77"/>
      <c r="O643" s="78" t="s">
        <v>97</v>
      </c>
      <c r="P643" s="79" t="n">
        <f aca="false">COUNTIFS(임대자산!$I:$I,가맹점정보!F643,임대자산!$N:$N,가맹점정보!P$4)</f>
        <v>0</v>
      </c>
      <c r="Q643" s="80" t="n">
        <f aca="false">COUNTIFS(임대자산!$I:$I,가맹점정보!F643,임대자산!$N:$N,가맹점정보!Q$4)</f>
        <v>1</v>
      </c>
      <c r="R643" s="81" t="n">
        <f aca="false">COUNTIFS(임대자산!$I:$I,가맹점정보!F643,임대자산!$N:$N,가맹점정보!R$4)</f>
        <v>0</v>
      </c>
      <c r="S643" s="82" t="n">
        <v>55000</v>
      </c>
      <c r="T643" s="83" t="n">
        <v>0</v>
      </c>
      <c r="U643" s="80" t="n">
        <f aca="false">SUM(S643:T643)</f>
        <v>55000</v>
      </c>
      <c r="V643" s="84" t="s">
        <v>12</v>
      </c>
      <c r="W643" s="80" t="e">
        <f aca="true">
IF(D643="폐업","폐업",
IF(V643="면제","면제",
IF(AND(V643="정상",COUNTIFS(OFFSET(Y643,0,COUNTA(Y643:AV643)-1,1,-4),"미납")&gt;=3),"장기미납",
IF(AND(V643="정상",OFFSET(Y643,0,COUNTA(Y643:AV643)-1)&gt;=U643),"정상",
IF(AND(V643="정상",OFFSET(Y643,0,COUNTA(Y643:AV643)-1)=0),"정상",
"계약서 미작성")))))</f>
        <v>#VALUE!</v>
      </c>
      <c r="X643" s="81" t="str">
        <f aca="true">
IF(D643="폐업","폐업",
IF(AND(V643="정상",OFFSET(Y643,0,COUNTA(Y643:AV643)-1)="미납"),"미납",
IF(AND(V643="정상",OFFSET(Y643,0,COUNTA(Y643:AV643)-1)=0),"납부 시작 전",
IF(AND(V643="정상",OFFSET(Y643,0,COUNTA(Y643:AV643)-1)&gt;=U643),"정상",
IF(AND(V643="면제",OFFSET(Y643,0,COUNTA(Y643:AV643)-1)="면제"),"면제",
IF(AND(V643="면제",OFFSET(Y643,0,COUNTA(Y643:AV643)-1)=0),"면제",
"확인요청"))))))</f>
        <v>정상</v>
      </c>
      <c r="Y643" s="93" t="n">
        <v>55000</v>
      </c>
      <c r="Z643" s="90" t="n">
        <v>55000</v>
      </c>
      <c r="AA643" s="90" t="n">
        <v>55000</v>
      </c>
      <c r="AB643" s="90" t="n">
        <v>55000</v>
      </c>
      <c r="AC643" s="90" t="n">
        <v>55000</v>
      </c>
      <c r="AD643" s="90" t="n">
        <v>55000</v>
      </c>
      <c r="AE643" s="90" t="n">
        <v>55000</v>
      </c>
      <c r="AF643" s="90" t="n">
        <v>55000</v>
      </c>
      <c r="AG643" s="90" t="n">
        <v>55000</v>
      </c>
      <c r="AH643" s="90" t="n">
        <v>55000</v>
      </c>
      <c r="AI643" s="90" t="n">
        <v>55000</v>
      </c>
      <c r="AJ643" s="91" t="n">
        <v>55000</v>
      </c>
      <c r="AK643" s="89" t="n">
        <v>55000</v>
      </c>
      <c r="AL643" s="90" t="n">
        <v>55000</v>
      </c>
      <c r="AM643" s="90"/>
      <c r="AN643" s="90"/>
      <c r="AO643" s="90"/>
      <c r="AP643" s="90"/>
      <c r="AQ643" s="90"/>
      <c r="AR643" s="90"/>
      <c r="AS643" s="90"/>
      <c r="AT643" s="90"/>
      <c r="AU643" s="90"/>
      <c r="AV643" s="91"/>
      <c r="AX643" s="92"/>
    </row>
    <row r="644" customFormat="false" ht="15.65" hidden="false" customHeight="false" outlineLevel="0" collapsed="false">
      <c r="C644" s="72" t="n">
        <f aca="false">COUNTIFS($D$6:D644,"&lt;&gt;"&amp;"")</f>
        <v>639</v>
      </c>
      <c r="D644" s="73" t="s">
        <v>12</v>
      </c>
      <c r="E644" s="76" t="str">
        <f aca="false">
IF($D644="정상",INDEX(임대자산!$D$3:$R$3000,MATCH($F644,임대자산!$I$3:$I$3000,0),MATCH(E$3,임대자산!$D$3:$R$3,0)),
IF($D644="폐업",INDEX(폐업정보!$D$3:$R$3000,MATCH($F644,폐업정보!$I$3:$I$3000,0),MATCH(E$3,폐업정보!$D$3:$R$3,0)),
"Error"))</f>
        <v>경상</v>
      </c>
      <c r="F64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B0639</v>
      </c>
      <c r="G644" s="76" t="str">
        <f aca="false">F644&amp;RANDBETWEEN(0,10)</f>
        <v>B06399</v>
      </c>
      <c r="H644" s="75" t="n">
        <f aca="false">
IF($D644="정상",INDEX(임대자산!$D$3:$R$3000,MATCH($F644,임대자산!$I$3:$I$3000,0),MATCH(H$4,임대자산!$D$3:$R$3,0)),
IF($D644="폐업",INDEX(폐업정보!$D$3:$R$3000,MATCH($F644,폐업정보!$I$3:$I$3000,0),MATCH(H$4,폐업정보!$D$3:$R$3,0)),
"Error"))</f>
        <v>45056</v>
      </c>
      <c r="I644" s="75" t="str">
        <f aca="false">
IF($D644="정상",INDEX(임대자산!$D$3:$R$3000,MATCH($F644,임대자산!$I$3:$I$3000,0),MATCH(I$4,임대자산!$D$3:$R$3,0)),
IF($D644="폐업",INDEX(폐업정보!$D$3:$R$3000,MATCH($F644,폐업정보!$I$3:$I$3000,0),MATCH(I$4,폐업정보!$D$3:$R$3,0)),
"Error"))</f>
        <v>A0639</v>
      </c>
      <c r="J644" s="75" t="str">
        <f aca="false">
IF($D644="정상",INDEX(임대자산!$D$3:$R$3000,MATCH($F644,임대자산!$I$3:$I$3000,0),MATCH(J$4,임대자산!$D$3:$R$3,0)),
IF($D644="폐업",INDEX(폐업정보!$D$3:$R$3000,MATCH($F644,폐업정보!$I$3:$I$3000,0),MATCH(J$4,폐업정보!$D$3:$R$3,0)),
"Error"))</f>
        <v>7641700000</v>
      </c>
      <c r="K644" s="75" t="str">
        <f aca="false">
IF($D644="정상",INDEX(임대자산!$D$3:$R$3000,MATCH($F644,임대자산!$I$3:$I$3000,0),MATCH(K$4,임대자산!$D$3:$R$3,0)),
IF($D644="폐업",INDEX(폐업정보!$D$3:$R$3000,MATCH($F644,폐업정보!$I$3:$I$3000,0),MATCH(K$4,폐업정보!$D$3:$R$3,0)),
"Error"))</f>
        <v>C0639</v>
      </c>
      <c r="L644" s="75" t="str">
        <f aca="false">
IF($D644="정상",INDEX(임대자산!$D$3:$R$3000,MATCH($F644,임대자산!$I$3:$I$3000,0),MATCH(L$4,임대자산!$D$3:$R$3,0)),
IF($D644="폐업",INDEX(폐업정보!$D$3:$R$3000,MATCH($F644,폐업정보!$I$3:$I$3000,0),MATCH(L$4,폐업정보!$D$3:$R$3,0)),
"Error"))</f>
        <v>D0639</v>
      </c>
      <c r="M644" s="76" t="s">
        <v>96</v>
      </c>
      <c r="N644" s="77"/>
      <c r="O644" s="78" t="s">
        <v>97</v>
      </c>
      <c r="P644" s="79" t="n">
        <f aca="false">COUNTIFS(임대자산!$I:$I,가맹점정보!F644,임대자산!$N:$N,가맹점정보!P$4)</f>
        <v>0</v>
      </c>
      <c r="Q644" s="80" t="n">
        <f aca="false">COUNTIFS(임대자산!$I:$I,가맹점정보!F644,임대자산!$N:$N,가맹점정보!Q$4)</f>
        <v>1</v>
      </c>
      <c r="R644" s="81" t="n">
        <f aca="false">COUNTIFS(임대자산!$I:$I,가맹점정보!F644,임대자산!$N:$N,가맹점정보!R$4)</f>
        <v>0</v>
      </c>
      <c r="S644" s="82" t="n">
        <v>55000</v>
      </c>
      <c r="T644" s="83" t="n">
        <v>0</v>
      </c>
      <c r="U644" s="80" t="n">
        <f aca="false">SUM(S644:T644)</f>
        <v>55000</v>
      </c>
      <c r="V644" s="84" t="s">
        <v>12</v>
      </c>
      <c r="W644" s="80" t="e">
        <f aca="true">
IF(D644="폐업","폐업",
IF(V644="면제","면제",
IF(AND(V644="정상",COUNTIFS(OFFSET(Y644,0,COUNTA(Y644:AV644)-1,1,-4),"미납")&gt;=3),"장기미납",
IF(AND(V644="정상",OFFSET(Y644,0,COUNTA(Y644:AV644)-1)&gt;=U644),"정상",
IF(AND(V644="정상",OFFSET(Y644,0,COUNTA(Y644:AV644)-1)=0),"정상",
"계약서 미작성")))))</f>
        <v>#VALUE!</v>
      </c>
      <c r="X644" s="81" t="str">
        <f aca="true">
IF(D644="폐업","폐업",
IF(AND(V644="정상",OFFSET(Y644,0,COUNTA(Y644:AV644)-1)="미납"),"미납",
IF(AND(V644="정상",OFFSET(Y644,0,COUNTA(Y644:AV644)-1)=0),"납부 시작 전",
IF(AND(V644="정상",OFFSET(Y644,0,COUNTA(Y644:AV644)-1)&gt;=U644),"정상",
IF(AND(V644="면제",OFFSET(Y644,0,COUNTA(Y644:AV644)-1)="면제"),"면제",
IF(AND(V644="면제",OFFSET(Y644,0,COUNTA(Y644:AV644)-1)=0),"면제",
"확인요청"))))))</f>
        <v>정상</v>
      </c>
      <c r="Y644" s="93" t="n">
        <v>55000</v>
      </c>
      <c r="Z644" s="90" t="n">
        <v>55000</v>
      </c>
      <c r="AA644" s="90" t="n">
        <v>55000</v>
      </c>
      <c r="AB644" s="90" t="n">
        <v>55000</v>
      </c>
      <c r="AC644" s="90" t="n">
        <v>55000</v>
      </c>
      <c r="AD644" s="90" t="n">
        <v>55000</v>
      </c>
      <c r="AE644" s="90" t="n">
        <v>55000</v>
      </c>
      <c r="AF644" s="90" t="n">
        <v>55000</v>
      </c>
      <c r="AG644" s="90" t="n">
        <v>55000</v>
      </c>
      <c r="AH644" s="90" t="n">
        <v>55000</v>
      </c>
      <c r="AI644" s="90" t="s">
        <v>107</v>
      </c>
      <c r="AJ644" s="91" t="n">
        <v>110000</v>
      </c>
      <c r="AK644" s="97" t="s">
        <v>62</v>
      </c>
      <c r="AL644" s="90" t="n">
        <v>110000</v>
      </c>
      <c r="AM644" s="90"/>
      <c r="AN644" s="90"/>
      <c r="AO644" s="90"/>
      <c r="AP644" s="90"/>
      <c r="AQ644" s="90"/>
      <c r="AR644" s="90"/>
      <c r="AS644" s="90"/>
      <c r="AT644" s="90"/>
      <c r="AU644" s="90"/>
      <c r="AV644" s="91"/>
      <c r="AX644" s="92"/>
    </row>
    <row r="645" customFormat="false" ht="15.65" hidden="false" customHeight="false" outlineLevel="0" collapsed="false">
      <c r="C645" s="72" t="n">
        <f aca="false">COUNTIFS($D$6:D645,"&lt;&gt;"&amp;"")</f>
        <v>640</v>
      </c>
      <c r="D645" s="73" t="s">
        <v>12</v>
      </c>
      <c r="E645" s="76" t="str">
        <f aca="false">
IF($D645="정상",INDEX(임대자산!$D$3:$R$3000,MATCH($F645,임대자산!$I$3:$I$3000,0),MATCH(E$3,임대자산!$D$3:$R$3,0)),
IF($D645="폐업",INDEX(폐업정보!$D$3:$R$3000,MATCH($F645,폐업정보!$I$3:$I$3000,0),MATCH(E$3,폐업정보!$D$3:$R$3,0)),
"Error"))</f>
        <v>경상</v>
      </c>
      <c r="F64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B0640</v>
      </c>
      <c r="G645" s="76" t="str">
        <f aca="false">F645&amp;RANDBETWEEN(0,10)</f>
        <v>B064010</v>
      </c>
      <c r="H645" s="75" t="n">
        <f aca="false">
IF($D645="정상",INDEX(임대자산!$D$3:$R$3000,MATCH($F645,임대자산!$I$3:$I$3000,0),MATCH(H$4,임대자산!$D$3:$R$3,0)),
IF($D645="폐업",INDEX(폐업정보!$D$3:$R$3000,MATCH($F645,폐업정보!$I$3:$I$3000,0),MATCH(H$4,폐업정보!$D$3:$R$3,0)),
"Error"))</f>
        <v>45238</v>
      </c>
      <c r="I645" s="75" t="str">
        <f aca="false">
IF($D645="정상",INDEX(임대자산!$D$3:$R$3000,MATCH($F645,임대자산!$I$3:$I$3000,0),MATCH(I$4,임대자산!$D$3:$R$3,0)),
IF($D645="폐업",INDEX(폐업정보!$D$3:$R$3000,MATCH($F645,폐업정보!$I$3:$I$3000,0),MATCH(I$4,폐업정보!$D$3:$R$3,0)),
"Error"))</f>
        <v>A0640</v>
      </c>
      <c r="J645" s="75" t="str">
        <f aca="false">
IF($D645="정상",INDEX(임대자산!$D$3:$R$3000,MATCH($F645,임대자산!$I$3:$I$3000,0),MATCH(J$4,임대자산!$D$3:$R$3,0)),
IF($D645="폐업",INDEX(폐업정보!$D$3:$R$3000,MATCH($F645,폐업정보!$I$3:$I$3000,0),MATCH(J$4,폐업정보!$D$3:$R$3,0)),
"Error"))</f>
        <v>4442000000</v>
      </c>
      <c r="K645" s="75" t="str">
        <f aca="false">
IF($D645="정상",INDEX(임대자산!$D$3:$R$3000,MATCH($F645,임대자산!$I$3:$I$3000,0),MATCH(K$4,임대자산!$D$3:$R$3,0)),
IF($D645="폐업",INDEX(폐업정보!$D$3:$R$3000,MATCH($F645,폐업정보!$I$3:$I$3000,0),MATCH(K$4,폐업정보!$D$3:$R$3,0)),
"Error"))</f>
        <v>C0640</v>
      </c>
      <c r="L645" s="75" t="str">
        <f aca="false">
IF($D645="정상",INDEX(임대자산!$D$3:$R$3000,MATCH($F645,임대자산!$I$3:$I$3000,0),MATCH(L$4,임대자산!$D$3:$R$3,0)),
IF($D645="폐업",INDEX(폐업정보!$D$3:$R$3000,MATCH($F645,폐업정보!$I$3:$I$3000,0),MATCH(L$4,폐업정보!$D$3:$R$3,0)),
"Error"))</f>
        <v>D0640</v>
      </c>
      <c r="M645" s="76" t="s">
        <v>96</v>
      </c>
      <c r="N645" s="77"/>
      <c r="O645" s="78" t="s">
        <v>97</v>
      </c>
      <c r="P645" s="79" t="n">
        <f aca="false">COUNTIFS(임대자산!$I:$I,가맹점정보!F645,임대자산!$N:$N,가맹점정보!P$4)</f>
        <v>0</v>
      </c>
      <c r="Q645" s="80" t="n">
        <f aca="false">COUNTIFS(임대자산!$I:$I,가맹점정보!F645,임대자산!$N:$N,가맹점정보!Q$4)</f>
        <v>1</v>
      </c>
      <c r="R645" s="81" t="n">
        <f aca="false">COUNTIFS(임대자산!$I:$I,가맹점정보!F645,임대자산!$N:$N,가맹점정보!R$4)</f>
        <v>0</v>
      </c>
      <c r="S645" s="82" t="n">
        <v>88000</v>
      </c>
      <c r="T645" s="83" t="n">
        <v>0</v>
      </c>
      <c r="U645" s="80" t="n">
        <f aca="false">SUM(S645:T645)</f>
        <v>88000</v>
      </c>
      <c r="V645" s="84" t="s">
        <v>7</v>
      </c>
      <c r="W645" s="80" t="str">
        <f aca="true">
IF(D645="폐업","폐업",
IF(V645="면제","면제",
IF(AND(V645="정상",COUNTIFS(OFFSET(Y645,0,COUNTA(Y645:AV645)-1,1,-4),"미납")&gt;=3),"장기미납",
IF(AND(V645="정상",OFFSET(Y645,0,COUNTA(Y645:AV645)-1)&gt;=U645),"정상",
IF(AND(V645="정상",OFFSET(Y645,0,COUNTA(Y645:AV645)-1)=0),"정상",
"계약서 미작성")))))</f>
        <v>면제</v>
      </c>
      <c r="X645" s="81" t="str">
        <f aca="true">
IF(D645="폐업","폐업",
IF(AND(V645="정상",OFFSET(Y645,0,COUNTA(Y645:AV645)-1)="미납"),"미납",
IF(AND(V645="정상",OFFSET(Y645,0,COUNTA(Y645:AV645)-1)=0),"납부 시작 전",
IF(AND(V645="정상",OFFSET(Y645,0,COUNTA(Y645:AV645)-1)&gt;=U645),"정상",
IF(AND(V645="면제",OFFSET(Y645,0,COUNTA(Y645:AV645)-1)="면제"),"면제",
IF(AND(V645="면제",OFFSET(Y645,0,COUNTA(Y645:AV645)-1)=0),"면제",
"확인요청"))))))</f>
        <v>면제</v>
      </c>
      <c r="Y645" s="94" t="s">
        <v>7</v>
      </c>
      <c r="Z645" s="95" t="s">
        <v>7</v>
      </c>
      <c r="AA645" s="95" t="s">
        <v>7</v>
      </c>
      <c r="AB645" s="95" t="s">
        <v>7</v>
      </c>
      <c r="AC645" s="95" t="s">
        <v>7</v>
      </c>
      <c r="AD645" s="95" t="s">
        <v>7</v>
      </c>
      <c r="AE645" s="95" t="s">
        <v>7</v>
      </c>
      <c r="AF645" s="95" t="s">
        <v>7</v>
      </c>
      <c r="AG645" s="95" t="s">
        <v>7</v>
      </c>
      <c r="AH645" s="95" t="s">
        <v>7</v>
      </c>
      <c r="AI645" s="95" t="s">
        <v>7</v>
      </c>
      <c r="AJ645" s="96" t="s">
        <v>7</v>
      </c>
      <c r="AK645" s="97" t="s">
        <v>7</v>
      </c>
      <c r="AL645" s="95" t="s">
        <v>7</v>
      </c>
      <c r="AM645" s="90"/>
      <c r="AN645" s="90"/>
      <c r="AO645" s="90"/>
      <c r="AP645" s="90"/>
      <c r="AQ645" s="90"/>
      <c r="AR645" s="90"/>
      <c r="AS645" s="90"/>
      <c r="AT645" s="90"/>
      <c r="AU645" s="90"/>
      <c r="AV645" s="91"/>
      <c r="AX645" s="92"/>
    </row>
    <row r="646" customFormat="false" ht="15.65" hidden="false" customHeight="false" outlineLevel="0" collapsed="false">
      <c r="C646" s="72" t="n">
        <f aca="false">COUNTIFS($D$6:D646,"&lt;&gt;"&amp;"")</f>
        <v>641</v>
      </c>
      <c r="D646" s="73" t="s">
        <v>12</v>
      </c>
      <c r="E646" s="76" t="str">
        <f aca="false">
IF($D646="정상",INDEX(임대자산!$D$3:$R$3000,MATCH($F646,임대자산!$I$3:$I$3000,0),MATCH(E$3,임대자산!$D$3:$R$3,0)),
IF($D646="폐업",INDEX(폐업정보!$D$3:$R$3000,MATCH($F646,폐업정보!$I$3:$I$3000,0),MATCH(E$3,폐업정보!$D$3:$R$3,0)),
"Error"))</f>
        <v>서울</v>
      </c>
      <c r="F64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B0641</v>
      </c>
      <c r="G646" s="76" t="str">
        <f aca="false">F646&amp;RANDBETWEEN(0,10)</f>
        <v>B06413</v>
      </c>
      <c r="H646" s="75" t="n">
        <f aca="false">
IF($D646="정상",INDEX(임대자산!$D$3:$R$3000,MATCH($F646,임대자산!$I$3:$I$3000,0),MATCH(H$4,임대자산!$D$3:$R$3,0)),
IF($D646="폐업",INDEX(폐업정보!$D$3:$R$3000,MATCH($F646,폐업정보!$I$3:$I$3000,0),MATCH(H$4,폐업정보!$D$3:$R$3,0)),
"Error"))</f>
        <v>44560</v>
      </c>
      <c r="I646" s="75" t="str">
        <f aca="false">
IF($D646="정상",INDEX(임대자산!$D$3:$R$3000,MATCH($F646,임대자산!$I$3:$I$3000,0),MATCH(I$4,임대자산!$D$3:$R$3,0)),
IF($D646="폐업",INDEX(폐업정보!$D$3:$R$3000,MATCH($F646,폐업정보!$I$3:$I$3000,0),MATCH(I$4,폐업정보!$D$3:$R$3,0)),
"Error"))</f>
        <v>A0641</v>
      </c>
      <c r="J646" s="75" t="str">
        <f aca="false">
IF($D646="정상",INDEX(임대자산!$D$3:$R$3000,MATCH($F646,임대자산!$I$3:$I$3000,0),MATCH(J$4,임대자산!$D$3:$R$3,0)),
IF($D646="폐업",INDEX(폐업정보!$D$3:$R$3000,MATCH($F646,폐업정보!$I$3:$I$3000,0),MATCH(J$4,폐업정보!$D$3:$R$3,0)),
"Error"))</f>
        <v>7153300000</v>
      </c>
      <c r="K646" s="75" t="str">
        <f aca="false">
IF($D646="정상",INDEX(임대자산!$D$3:$R$3000,MATCH($F646,임대자산!$I$3:$I$3000,0),MATCH(K$4,임대자산!$D$3:$R$3,0)),
IF($D646="폐업",INDEX(폐업정보!$D$3:$R$3000,MATCH($F646,폐업정보!$I$3:$I$3000,0),MATCH(K$4,폐업정보!$D$3:$R$3,0)),
"Error"))</f>
        <v>C0641</v>
      </c>
      <c r="L646" s="75" t="str">
        <f aca="false">
IF($D646="정상",INDEX(임대자산!$D$3:$R$3000,MATCH($F646,임대자산!$I$3:$I$3000,0),MATCH(L$4,임대자산!$D$3:$R$3,0)),
IF($D646="폐업",INDEX(폐업정보!$D$3:$R$3000,MATCH($F646,폐업정보!$I$3:$I$3000,0),MATCH(L$4,폐업정보!$D$3:$R$3,0)),
"Error"))</f>
        <v>D0641</v>
      </c>
      <c r="M646" s="76" t="s">
        <v>96</v>
      </c>
      <c r="N646" s="77"/>
      <c r="O646" s="78" t="s">
        <v>97</v>
      </c>
      <c r="P646" s="79" t="n">
        <f aca="false">COUNTIFS(임대자산!$I:$I,가맹점정보!F646,임대자산!$N:$N,가맹점정보!P$4)</f>
        <v>0</v>
      </c>
      <c r="Q646" s="80" t="n">
        <f aca="false">COUNTIFS(임대자산!$I:$I,가맹점정보!F646,임대자산!$N:$N,가맹점정보!Q$4)</f>
        <v>1</v>
      </c>
      <c r="R646" s="81" t="n">
        <f aca="false">COUNTIFS(임대자산!$I:$I,가맹점정보!F646,임대자산!$N:$N,가맹점정보!R$4)</f>
        <v>0</v>
      </c>
      <c r="S646" s="82" t="n">
        <v>88000</v>
      </c>
      <c r="T646" s="83" t="n">
        <v>0</v>
      </c>
      <c r="U646" s="80" t="n">
        <f aca="false">SUM(S646:T646)</f>
        <v>88000</v>
      </c>
      <c r="V646" s="84" t="s">
        <v>12</v>
      </c>
      <c r="W646" s="80" t="e">
        <f aca="true">
IF(D646="폐업","폐업",
IF(V646="면제","면제",
IF(AND(V646="정상",COUNTIFS(OFFSET(Y646,0,COUNTA(Y646:AV646)-1,1,-4),"미납")&gt;=3),"장기미납",
IF(AND(V646="정상",OFFSET(Y646,0,COUNTA(Y646:AV646)-1)&gt;=U646),"정상",
IF(AND(V646="정상",OFFSET(Y646,0,COUNTA(Y646:AV646)-1)=0),"정상",
"계약서 미작성")))))</f>
        <v>#VALUE!</v>
      </c>
      <c r="X646" s="81" t="str">
        <f aca="true">
IF(D646="폐업","폐업",
IF(AND(V646="정상",OFFSET(Y646,0,COUNTA(Y646:AV646)-1)="미납"),"미납",
IF(AND(V646="정상",OFFSET(Y646,0,COUNTA(Y646:AV646)-1)=0),"납부 시작 전",
IF(AND(V646="정상",OFFSET(Y646,0,COUNTA(Y646:AV646)-1)&gt;=U646),"정상",
IF(AND(V646="면제",OFFSET(Y646,0,COUNTA(Y646:AV646)-1)="면제"),"면제",
IF(AND(V646="면제",OFFSET(Y646,0,COUNTA(Y646:AV646)-1)=0),"면제",
"확인요청"))))))</f>
        <v>정상</v>
      </c>
      <c r="Y646" s="93" t="n">
        <v>88000</v>
      </c>
      <c r="Z646" s="90" t="n">
        <v>88000</v>
      </c>
      <c r="AA646" s="90" t="n">
        <v>88000</v>
      </c>
      <c r="AB646" s="90" t="n">
        <v>88000</v>
      </c>
      <c r="AC646" s="90" t="n">
        <v>88000</v>
      </c>
      <c r="AD646" s="90" t="n">
        <v>88000</v>
      </c>
      <c r="AE646" s="90" t="n">
        <v>88000</v>
      </c>
      <c r="AF646" s="90" t="n">
        <v>88000</v>
      </c>
      <c r="AG646" s="90" t="n">
        <v>88000</v>
      </c>
      <c r="AH646" s="90" t="n">
        <v>88000</v>
      </c>
      <c r="AI646" s="90" t="n">
        <v>88000</v>
      </c>
      <c r="AJ646" s="91" t="n">
        <v>88000</v>
      </c>
      <c r="AK646" s="89" t="n">
        <v>88000</v>
      </c>
      <c r="AL646" s="90" t="n">
        <v>88000</v>
      </c>
      <c r="AM646" s="90"/>
      <c r="AN646" s="90"/>
      <c r="AO646" s="90"/>
      <c r="AP646" s="90"/>
      <c r="AQ646" s="90"/>
      <c r="AR646" s="90"/>
      <c r="AS646" s="90"/>
      <c r="AT646" s="90"/>
      <c r="AU646" s="90"/>
      <c r="AV646" s="91"/>
      <c r="AX646" s="92"/>
    </row>
    <row r="647" customFormat="false" ht="15.65" hidden="false" customHeight="false" outlineLevel="0" collapsed="false">
      <c r="C647" s="72" t="n">
        <f aca="false">COUNTIFS($D$6:D647,"&lt;&gt;"&amp;"")</f>
        <v>642</v>
      </c>
      <c r="D647" s="73" t="s">
        <v>5</v>
      </c>
      <c r="E647" s="76" t="str">
        <f aca="false">
IF($D647="정상",INDEX(임대자산!$D$3:$R$3000,MATCH($F647,임대자산!$I$3:$I$3000,0),MATCH(E$3,임대자산!$D$3:$R$3,0)),
IF($D647="폐업",INDEX(폐업정보!$D$3:$R$3000,MATCH($F647,폐업정보!$I$3:$I$3000,0),MATCH(E$3,폐업정보!$D$3:$R$3,0)),
"Error"))</f>
        <v>서울</v>
      </c>
      <c r="F64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B0642</v>
      </c>
      <c r="G647" s="76" t="str">
        <f aca="false">F647&amp;RANDBETWEEN(0,10)</f>
        <v>B06422</v>
      </c>
      <c r="H647" s="75" t="n">
        <f aca="false">
IF($D647="정상",INDEX(임대자산!$D$3:$R$3000,MATCH($F647,임대자산!$I$3:$I$3000,0),MATCH(H$4,임대자산!$D$3:$R$3,0)),
IF($D647="폐업",INDEX(폐업정보!$D$3:$R$3000,MATCH($F647,폐업정보!$I$3:$I$3000,0),MATCH(H$4,폐업정보!$D$3:$R$3,0)),
"Error"))</f>
        <v>44560</v>
      </c>
      <c r="I647" s="75" t="str">
        <f aca="false">
IF($D647="정상",INDEX(임대자산!$D$3:$R$3000,MATCH($F647,임대자산!$I$3:$I$3000,0),MATCH(I$4,임대자산!$D$3:$R$3,0)),
IF($D647="폐업",INDEX(폐업정보!$D$3:$R$3000,MATCH($F647,폐업정보!$I$3:$I$3000,0),MATCH(I$4,폐업정보!$D$3:$R$3,0)),
"Error"))</f>
        <v>A0642</v>
      </c>
      <c r="J647" s="75" t="str">
        <f aca="false">
IF($D647="정상",INDEX(임대자산!$D$3:$R$3000,MATCH($F647,임대자산!$I$3:$I$3000,0),MATCH(J$4,임대자산!$D$3:$R$3,0)),
IF($D647="폐업",INDEX(폐업정보!$D$3:$R$3000,MATCH($F647,폐업정보!$I$3:$I$3000,0),MATCH(J$4,폐업정보!$D$3:$R$3,0)),
"Error"))</f>
        <v>8509500000</v>
      </c>
      <c r="K647" s="75" t="str">
        <f aca="false">
IF($D647="정상",INDEX(임대자산!$D$3:$R$3000,MATCH($F647,임대자산!$I$3:$I$3000,0),MATCH(K$4,임대자산!$D$3:$R$3,0)),
IF($D647="폐업",INDEX(폐업정보!$D$3:$R$3000,MATCH($F647,폐업정보!$I$3:$I$3000,0),MATCH(K$4,폐업정보!$D$3:$R$3,0)),
"Error"))</f>
        <v>C0642</v>
      </c>
      <c r="L647" s="75" t="str">
        <f aca="false">
IF($D647="정상",INDEX(임대자산!$D$3:$R$3000,MATCH($F647,임대자산!$I$3:$I$3000,0),MATCH(L$4,임대자산!$D$3:$R$3,0)),
IF($D647="폐업",INDEX(폐업정보!$D$3:$R$3000,MATCH($F647,폐업정보!$I$3:$I$3000,0),MATCH(L$4,폐업정보!$D$3:$R$3,0)),
"Error"))</f>
        <v>D0642</v>
      </c>
      <c r="M647" s="76" t="s">
        <v>96</v>
      </c>
      <c r="N647" s="77"/>
      <c r="O647" s="78" t="s">
        <v>97</v>
      </c>
      <c r="P647" s="79" t="n">
        <f aca="false">COUNTIFS(임대자산!$I:$I,가맹점정보!F647,임대자산!$N:$N,가맹점정보!P$4)</f>
        <v>0</v>
      </c>
      <c r="Q647" s="80" t="n">
        <f aca="false">COUNTIFS(임대자산!$I:$I,가맹점정보!F647,임대자산!$N:$N,가맹점정보!Q$4)</f>
        <v>0</v>
      </c>
      <c r="R647" s="81" t="n">
        <f aca="false">COUNTIFS(임대자산!$I:$I,가맹점정보!F647,임대자산!$N:$N,가맹점정보!R$4)</f>
        <v>0</v>
      </c>
      <c r="S647" s="82" t="n">
        <v>55000</v>
      </c>
      <c r="T647" s="83" t="n">
        <v>0</v>
      </c>
      <c r="U647" s="80" t="n">
        <f aca="false">SUM(S647:T647)</f>
        <v>55000</v>
      </c>
      <c r="V647" s="84" t="s">
        <v>12</v>
      </c>
      <c r="W647" s="80" t="str">
        <f aca="true">
IF(D647="폐업","폐업",
IF(V647="면제","면제",
IF(AND(V647="정상",COUNTIFS(OFFSET(Y647,0,COUNTA(Y647:AV647)-1,1,-4),"미납")&gt;=3),"장기미납",
IF(AND(V647="정상",OFFSET(Y647,0,COUNTA(Y647:AV647)-1)&gt;=U647),"정상",
IF(AND(V647="정상",OFFSET(Y647,0,COUNTA(Y647:AV647)-1)=0),"정상",
"계약서 미작성")))))</f>
        <v>폐업</v>
      </c>
      <c r="X647" s="81" t="str">
        <f aca="true">
IF(D647="폐업","폐업",
IF(AND(V647="정상",OFFSET(Y647,0,COUNTA(Y647:AV647)-1)="미납"),"미납",
IF(AND(V647="정상",OFFSET(Y647,0,COUNTA(Y647:AV647)-1)=0),"납부 시작 전",
IF(AND(V647="정상",OFFSET(Y647,0,COUNTA(Y647:AV647)-1)&gt;=U647),"정상",
IF(AND(V647="면제",OFFSET(Y647,0,COUNTA(Y647:AV647)-1)="면제"),"면제",
IF(AND(V647="면제",OFFSET(Y647,0,COUNTA(Y647:AV647)-1)=0),"면제",
"확인요청"))))))</f>
        <v>폐업</v>
      </c>
      <c r="Y647" s="93" t="n">
        <v>55000</v>
      </c>
      <c r="Z647" s="90" t="n">
        <v>55000</v>
      </c>
      <c r="AA647" s="90" t="n">
        <v>55000</v>
      </c>
      <c r="AB647" s="90" t="n">
        <v>55000</v>
      </c>
      <c r="AC647" s="90" t="n">
        <v>55000</v>
      </c>
      <c r="AD647" s="90" t="n">
        <v>55000</v>
      </c>
      <c r="AE647" s="90" t="n">
        <v>55000</v>
      </c>
      <c r="AF647" s="90" t="n">
        <v>55000</v>
      </c>
      <c r="AG647" s="90" t="n">
        <v>55000</v>
      </c>
      <c r="AH647" s="90" t="n">
        <v>55000</v>
      </c>
      <c r="AI647" s="90" t="n">
        <v>55000</v>
      </c>
      <c r="AJ647" s="91" t="n">
        <v>55000</v>
      </c>
      <c r="AK647" s="89" t="n">
        <v>55000</v>
      </c>
      <c r="AL647" s="90" t="n">
        <v>55000</v>
      </c>
      <c r="AM647" s="90"/>
      <c r="AN647" s="90"/>
      <c r="AO647" s="90"/>
      <c r="AP647" s="90"/>
      <c r="AQ647" s="90"/>
      <c r="AR647" s="90"/>
      <c r="AS647" s="90"/>
      <c r="AT647" s="90"/>
      <c r="AU647" s="90"/>
      <c r="AV647" s="91"/>
      <c r="AX647" s="92"/>
    </row>
    <row r="648" customFormat="false" ht="15.65" hidden="false" customHeight="false" outlineLevel="0" collapsed="false">
      <c r="C648" s="72" t="n">
        <f aca="false">COUNTIFS($D$6:D648,"&lt;&gt;"&amp;"")</f>
        <v>643</v>
      </c>
      <c r="D648" s="73" t="s">
        <v>12</v>
      </c>
      <c r="E648" s="76" t="str">
        <f aca="false">
IF($D648="정상",INDEX(임대자산!$D$3:$R$3000,MATCH($F648,임대자산!$I$3:$I$3000,0),MATCH(E$3,임대자산!$D$3:$R$3,0)),
IF($D648="폐업",INDEX(폐업정보!$D$3:$R$3000,MATCH($F648,폐업정보!$I$3:$I$3000,0),MATCH(E$3,폐업정보!$D$3:$R$3,0)),
"Error"))</f>
        <v>서울</v>
      </c>
      <c r="F64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B0643</v>
      </c>
      <c r="G648" s="76" t="str">
        <f aca="false">F648&amp;RANDBETWEEN(0,10)</f>
        <v>B06436</v>
      </c>
      <c r="H648" s="75" t="n">
        <f aca="false">
IF($D648="정상",INDEX(임대자산!$D$3:$R$3000,MATCH($F648,임대자산!$I$3:$I$3000,0),MATCH(H$4,임대자산!$D$3:$R$3,0)),
IF($D648="폐업",INDEX(폐업정보!$D$3:$R$3000,MATCH($F648,폐업정보!$I$3:$I$3000,0),MATCH(H$4,폐업정보!$D$3:$R$3,0)),
"Error"))</f>
        <v>44020</v>
      </c>
      <c r="I648" s="75" t="str">
        <f aca="false">
IF($D648="정상",INDEX(임대자산!$D$3:$R$3000,MATCH($F648,임대자산!$I$3:$I$3000,0),MATCH(I$4,임대자산!$D$3:$R$3,0)),
IF($D648="폐업",INDEX(폐업정보!$D$3:$R$3000,MATCH($F648,폐업정보!$I$3:$I$3000,0),MATCH(I$4,폐업정보!$D$3:$R$3,0)),
"Error"))</f>
        <v>A0643</v>
      </c>
      <c r="J648" s="75" t="str">
        <f aca="false">
IF($D648="정상",INDEX(임대자산!$D$3:$R$3000,MATCH($F648,임대자산!$I$3:$I$3000,0),MATCH(J$4,임대자산!$D$3:$R$3,0)),
IF($D648="폐업",INDEX(폐업정보!$D$3:$R$3000,MATCH($F648,폐업정보!$I$3:$I$3000,0),MATCH(J$4,폐업정보!$D$3:$R$3,0)),
"Error"))</f>
        <v>6652600000</v>
      </c>
      <c r="K648" s="75" t="str">
        <f aca="false">
IF($D648="정상",INDEX(임대자산!$D$3:$R$3000,MATCH($F648,임대자산!$I$3:$I$3000,0),MATCH(K$4,임대자산!$D$3:$R$3,0)),
IF($D648="폐업",INDEX(폐업정보!$D$3:$R$3000,MATCH($F648,폐업정보!$I$3:$I$3000,0),MATCH(K$4,폐업정보!$D$3:$R$3,0)),
"Error"))</f>
        <v>C0643</v>
      </c>
      <c r="L648" s="75" t="str">
        <f aca="false">
IF($D648="정상",INDEX(임대자산!$D$3:$R$3000,MATCH($F648,임대자산!$I$3:$I$3000,0),MATCH(L$4,임대자산!$D$3:$R$3,0)),
IF($D648="폐업",INDEX(폐업정보!$D$3:$R$3000,MATCH($F648,폐업정보!$I$3:$I$3000,0),MATCH(L$4,폐업정보!$D$3:$R$3,0)),
"Error"))</f>
        <v>D0643</v>
      </c>
      <c r="M648" s="76" t="s">
        <v>96</v>
      </c>
      <c r="N648" s="77"/>
      <c r="O648" s="78" t="s">
        <v>97</v>
      </c>
      <c r="P648" s="79" t="n">
        <f aca="false">COUNTIFS(임대자산!$I:$I,가맹점정보!F648,임대자산!$N:$N,가맹점정보!P$4)</f>
        <v>0</v>
      </c>
      <c r="Q648" s="80" t="n">
        <f aca="false">COUNTIFS(임대자산!$I:$I,가맹점정보!F648,임대자산!$N:$N,가맹점정보!Q$4)</f>
        <v>1</v>
      </c>
      <c r="R648" s="81" t="n">
        <f aca="false">COUNTIFS(임대자산!$I:$I,가맹점정보!F648,임대자산!$N:$N,가맹점정보!R$4)</f>
        <v>0</v>
      </c>
      <c r="S648" s="82" t="n">
        <v>88000</v>
      </c>
      <c r="T648" s="83" t="n">
        <v>0</v>
      </c>
      <c r="U648" s="80" t="n">
        <f aca="false">SUM(S648:T648)</f>
        <v>88000</v>
      </c>
      <c r="V648" s="84" t="s">
        <v>12</v>
      </c>
      <c r="W648" s="80" t="e">
        <f aca="true">
IF(D648="폐업","폐업",
IF(V648="면제","면제",
IF(AND(V648="정상",COUNTIFS(OFFSET(Y648,0,COUNTA(Y648:AV648)-1,1,-4),"미납")&gt;=3),"장기미납",
IF(AND(V648="정상",OFFSET(Y648,0,COUNTA(Y648:AV648)-1)&gt;=U648),"정상",
IF(AND(V648="정상",OFFSET(Y648,0,COUNTA(Y648:AV648)-1)=0),"정상",
"계약서 미작성")))))</f>
        <v>#VALUE!</v>
      </c>
      <c r="X648" s="81" t="str">
        <f aca="true">
IF(D648="폐업","폐업",
IF(AND(V648="정상",OFFSET(Y648,0,COUNTA(Y648:AV648)-1)="미납"),"미납",
IF(AND(V648="정상",OFFSET(Y648,0,COUNTA(Y648:AV648)-1)=0),"납부 시작 전",
IF(AND(V648="정상",OFFSET(Y648,0,COUNTA(Y648:AV648)-1)&gt;=U648),"정상",
IF(AND(V648="면제",OFFSET(Y648,0,COUNTA(Y648:AV648)-1)="면제"),"면제",
IF(AND(V648="면제",OFFSET(Y648,0,COUNTA(Y648:AV648)-1)=0),"면제",
"확인요청"))))))</f>
        <v>정상</v>
      </c>
      <c r="Y648" s="93" t="n">
        <v>88000</v>
      </c>
      <c r="Z648" s="90" t="n">
        <v>88000</v>
      </c>
      <c r="AA648" s="90" t="n">
        <v>88000</v>
      </c>
      <c r="AB648" s="90" t="n">
        <v>88000</v>
      </c>
      <c r="AC648" s="90" t="n">
        <v>88000</v>
      </c>
      <c r="AD648" s="90" t="n">
        <v>88000</v>
      </c>
      <c r="AE648" s="90" t="n">
        <v>88000</v>
      </c>
      <c r="AF648" s="90" t="n">
        <v>88000</v>
      </c>
      <c r="AG648" s="90" t="n">
        <v>88000</v>
      </c>
      <c r="AH648" s="90" t="n">
        <v>88000</v>
      </c>
      <c r="AI648" s="90" t="n">
        <v>88000</v>
      </c>
      <c r="AJ648" s="91" t="n">
        <v>88000</v>
      </c>
      <c r="AK648" s="89" t="n">
        <v>88000</v>
      </c>
      <c r="AL648" s="90" t="n">
        <v>88000</v>
      </c>
      <c r="AM648" s="90"/>
      <c r="AN648" s="90"/>
      <c r="AO648" s="90"/>
      <c r="AP648" s="90"/>
      <c r="AQ648" s="90"/>
      <c r="AR648" s="90"/>
      <c r="AS648" s="90"/>
      <c r="AT648" s="90"/>
      <c r="AU648" s="90"/>
      <c r="AV648" s="91"/>
      <c r="AX648" s="92"/>
    </row>
    <row r="649" customFormat="false" ht="15.65" hidden="false" customHeight="false" outlineLevel="0" collapsed="false">
      <c r="C649" s="72" t="n">
        <f aca="false">COUNTIFS($D$6:D649,"&lt;&gt;"&amp;"")</f>
        <v>644</v>
      </c>
      <c r="D649" s="73" t="s">
        <v>12</v>
      </c>
      <c r="E649" s="76" t="str">
        <f aca="false">
IF($D649="정상",INDEX(임대자산!$D$3:$R$3000,MATCH($F649,임대자산!$I$3:$I$3000,0),MATCH(E$3,임대자산!$D$3:$R$3,0)),
IF($D649="폐업",INDEX(폐업정보!$D$3:$R$3000,MATCH($F649,폐업정보!$I$3:$I$3000,0),MATCH(E$3,폐업정보!$D$3:$R$3,0)),
"Error"))</f>
        <v>서울</v>
      </c>
      <c r="F64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B0644</v>
      </c>
      <c r="G649" s="76" t="str">
        <f aca="false">F649&amp;RANDBETWEEN(0,10)</f>
        <v>B06444</v>
      </c>
      <c r="H649" s="75" t="n">
        <f aca="false">
IF($D649="정상",INDEX(임대자산!$D$3:$R$3000,MATCH($F649,임대자산!$I$3:$I$3000,0),MATCH(H$4,임대자산!$D$3:$R$3,0)),
IF($D649="폐업",INDEX(폐업정보!$D$3:$R$3000,MATCH($F649,폐업정보!$I$3:$I$3000,0),MATCH(H$4,폐업정보!$D$3:$R$3,0)),
"Error"))</f>
        <v>44062</v>
      </c>
      <c r="I649" s="75" t="str">
        <f aca="false">
IF($D649="정상",INDEX(임대자산!$D$3:$R$3000,MATCH($F649,임대자산!$I$3:$I$3000,0),MATCH(I$4,임대자산!$D$3:$R$3,0)),
IF($D649="폐업",INDEX(폐업정보!$D$3:$R$3000,MATCH($F649,폐업정보!$I$3:$I$3000,0),MATCH(I$4,폐업정보!$D$3:$R$3,0)),
"Error"))</f>
        <v>A0644</v>
      </c>
      <c r="J649" s="75" t="str">
        <f aca="false">
IF($D649="정상",INDEX(임대자산!$D$3:$R$3000,MATCH($F649,임대자산!$I$3:$I$3000,0),MATCH(J$4,임대자산!$D$3:$R$3,0)),
IF($D649="폐업",INDEX(폐업정보!$D$3:$R$3000,MATCH($F649,폐업정보!$I$3:$I$3000,0),MATCH(J$4,폐업정보!$D$3:$R$3,0)),
"Error"))</f>
        <v>3563700000</v>
      </c>
      <c r="K649" s="75" t="str">
        <f aca="false">
IF($D649="정상",INDEX(임대자산!$D$3:$R$3000,MATCH($F649,임대자산!$I$3:$I$3000,0),MATCH(K$4,임대자산!$D$3:$R$3,0)),
IF($D649="폐업",INDEX(폐업정보!$D$3:$R$3000,MATCH($F649,폐업정보!$I$3:$I$3000,0),MATCH(K$4,폐업정보!$D$3:$R$3,0)),
"Error"))</f>
        <v>C0644</v>
      </c>
      <c r="L649" s="75" t="str">
        <f aca="false">
IF($D649="정상",INDEX(임대자산!$D$3:$R$3000,MATCH($F649,임대자산!$I$3:$I$3000,0),MATCH(L$4,임대자산!$D$3:$R$3,0)),
IF($D649="폐업",INDEX(폐업정보!$D$3:$R$3000,MATCH($F649,폐업정보!$I$3:$I$3000,0),MATCH(L$4,폐업정보!$D$3:$R$3,0)),
"Error"))</f>
        <v>D0644</v>
      </c>
      <c r="M649" s="76" t="s">
        <v>96</v>
      </c>
      <c r="N649" s="77"/>
      <c r="O649" s="78" t="s">
        <v>97</v>
      </c>
      <c r="P649" s="79" t="n">
        <f aca="false">COUNTIFS(임대자산!$I:$I,가맹점정보!F649,임대자산!$N:$N,가맹점정보!P$4)</f>
        <v>0</v>
      </c>
      <c r="Q649" s="80" t="n">
        <f aca="false">COUNTIFS(임대자산!$I:$I,가맹점정보!F649,임대자산!$N:$N,가맹점정보!Q$4)</f>
        <v>1</v>
      </c>
      <c r="R649" s="81" t="n">
        <f aca="false">COUNTIFS(임대자산!$I:$I,가맹점정보!F649,임대자산!$N:$N,가맹점정보!R$4)</f>
        <v>0</v>
      </c>
      <c r="S649" s="82" t="n">
        <v>88000</v>
      </c>
      <c r="T649" s="83" t="n">
        <v>0</v>
      </c>
      <c r="U649" s="80" t="n">
        <f aca="false">SUM(S649:T649)</f>
        <v>88000</v>
      </c>
      <c r="V649" s="84" t="s">
        <v>12</v>
      </c>
      <c r="W649" s="80" t="e">
        <f aca="true">
IF(D649="폐업","폐업",
IF(V649="면제","면제",
IF(AND(V649="정상",COUNTIFS(OFFSET(Y649,0,COUNTA(Y649:AV649)-1,1,-4),"미납")&gt;=3),"장기미납",
IF(AND(V649="정상",OFFSET(Y649,0,COUNTA(Y649:AV649)-1)&gt;=U649),"정상",
IF(AND(V649="정상",OFFSET(Y649,0,COUNTA(Y649:AV649)-1)=0),"정상",
"계약서 미작성")))))</f>
        <v>#VALUE!</v>
      </c>
      <c r="X649" s="81" t="str">
        <f aca="true">
IF(D649="폐업","폐업",
IF(AND(V649="정상",OFFSET(Y649,0,COUNTA(Y649:AV649)-1)="미납"),"미납",
IF(AND(V649="정상",OFFSET(Y649,0,COUNTA(Y649:AV649)-1)=0),"납부 시작 전",
IF(AND(V649="정상",OFFSET(Y649,0,COUNTA(Y649:AV649)-1)&gt;=U649),"정상",
IF(AND(V649="면제",OFFSET(Y649,0,COUNTA(Y649:AV649)-1)="면제"),"면제",
IF(AND(V649="면제",OFFSET(Y649,0,COUNTA(Y649:AV649)-1)=0),"면제",
"확인요청"))))))</f>
        <v>정상</v>
      </c>
      <c r="Y649" s="93" t="n">
        <v>88000</v>
      </c>
      <c r="Z649" s="90" t="n">
        <v>88000</v>
      </c>
      <c r="AA649" s="90" t="n">
        <v>88000</v>
      </c>
      <c r="AB649" s="90" t="n">
        <v>88000</v>
      </c>
      <c r="AC649" s="90" t="n">
        <v>88000</v>
      </c>
      <c r="AD649" s="90" t="n">
        <v>88000</v>
      </c>
      <c r="AE649" s="90" t="n">
        <v>88000</v>
      </c>
      <c r="AF649" s="90" t="n">
        <v>88000</v>
      </c>
      <c r="AG649" s="90" t="n">
        <v>88000</v>
      </c>
      <c r="AH649" s="90" t="n">
        <v>88000</v>
      </c>
      <c r="AI649" s="90" t="n">
        <v>88000</v>
      </c>
      <c r="AJ649" s="91" t="n">
        <v>88000</v>
      </c>
      <c r="AK649" s="89" t="n">
        <v>88000</v>
      </c>
      <c r="AL649" s="90" t="n">
        <v>88000</v>
      </c>
      <c r="AM649" s="90"/>
      <c r="AN649" s="90"/>
      <c r="AO649" s="90"/>
      <c r="AP649" s="90"/>
      <c r="AQ649" s="90"/>
      <c r="AR649" s="90"/>
      <c r="AS649" s="90"/>
      <c r="AT649" s="90"/>
      <c r="AU649" s="90"/>
      <c r="AV649" s="91"/>
      <c r="AX649" s="92"/>
    </row>
    <row r="650" customFormat="false" ht="15.65" hidden="false" customHeight="false" outlineLevel="0" collapsed="false">
      <c r="C650" s="72" t="n">
        <f aca="false">COUNTIFS($D$6:D650,"&lt;&gt;"&amp;"")</f>
        <v>645</v>
      </c>
      <c r="D650" s="73" t="s">
        <v>12</v>
      </c>
      <c r="E650" s="76" t="str">
        <f aca="false">
IF($D650="정상",INDEX(임대자산!$D$3:$R$3000,MATCH($F650,임대자산!$I$3:$I$3000,0),MATCH(E$3,임대자산!$D$3:$R$3,0)),
IF($D650="폐업",INDEX(폐업정보!$D$3:$R$3000,MATCH($F650,폐업정보!$I$3:$I$3000,0),MATCH(E$3,폐업정보!$D$3:$R$3,0)),
"Error"))</f>
        <v>강원</v>
      </c>
      <c r="F65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B0645</v>
      </c>
      <c r="G650" s="76" t="str">
        <f aca="false">F650&amp;RANDBETWEEN(0,10)</f>
        <v>B06458</v>
      </c>
      <c r="H650" s="75" t="n">
        <f aca="false">
IF($D650="정상",INDEX(임대자산!$D$3:$R$3000,MATCH($F650,임대자산!$I$3:$I$3000,0),MATCH(H$4,임대자산!$D$3:$R$3,0)),
IF($D650="폐업",INDEX(폐업정보!$D$3:$R$3000,MATCH($F650,폐업정보!$I$3:$I$3000,0),MATCH(H$4,폐업정보!$D$3:$R$3,0)),
"Error"))</f>
        <v>45323</v>
      </c>
      <c r="I650" s="75" t="str">
        <f aca="false">
IF($D650="정상",INDEX(임대자산!$D$3:$R$3000,MATCH($F650,임대자산!$I$3:$I$3000,0),MATCH(I$4,임대자산!$D$3:$R$3,0)),
IF($D650="폐업",INDEX(폐업정보!$D$3:$R$3000,MATCH($F650,폐업정보!$I$3:$I$3000,0),MATCH(I$4,폐업정보!$D$3:$R$3,0)),
"Error"))</f>
        <v>A0645</v>
      </c>
      <c r="J650" s="75" t="str">
        <f aca="false">
IF($D650="정상",INDEX(임대자산!$D$3:$R$3000,MATCH($F650,임대자산!$I$3:$I$3000,0),MATCH(J$4,임대자산!$D$3:$R$3,0)),
IF($D650="폐업",INDEX(폐업정보!$D$3:$R$3000,MATCH($F650,폐업정보!$I$3:$I$3000,0),MATCH(J$4,폐업정보!$D$3:$R$3,0)),
"Error"))</f>
        <v>4888400000</v>
      </c>
      <c r="K650" s="75" t="str">
        <f aca="false">
IF($D650="정상",INDEX(임대자산!$D$3:$R$3000,MATCH($F650,임대자산!$I$3:$I$3000,0),MATCH(K$4,임대자산!$D$3:$R$3,0)),
IF($D650="폐업",INDEX(폐업정보!$D$3:$R$3000,MATCH($F650,폐업정보!$I$3:$I$3000,0),MATCH(K$4,폐업정보!$D$3:$R$3,0)),
"Error"))</f>
        <v>C0645</v>
      </c>
      <c r="L650" s="75" t="str">
        <f aca="false">
IF($D650="정상",INDEX(임대자산!$D$3:$R$3000,MATCH($F650,임대자산!$I$3:$I$3000,0),MATCH(L$4,임대자산!$D$3:$R$3,0)),
IF($D650="폐업",INDEX(폐업정보!$D$3:$R$3000,MATCH($F650,폐업정보!$I$3:$I$3000,0),MATCH(L$4,폐업정보!$D$3:$R$3,0)),
"Error"))</f>
        <v>D0645</v>
      </c>
      <c r="M650" s="76" t="s">
        <v>96</v>
      </c>
      <c r="N650" s="77"/>
      <c r="O650" s="78" t="s">
        <v>97</v>
      </c>
      <c r="P650" s="79" t="n">
        <f aca="false">COUNTIFS(임대자산!$I:$I,가맹점정보!F650,임대자산!$N:$N,가맹점정보!P$4)</f>
        <v>0</v>
      </c>
      <c r="Q650" s="80" t="n">
        <f aca="false">COUNTIFS(임대자산!$I:$I,가맹점정보!F650,임대자산!$N:$N,가맹점정보!Q$4)</f>
        <v>1</v>
      </c>
      <c r="R650" s="81" t="n">
        <f aca="false">COUNTIFS(임대자산!$I:$I,가맹점정보!F650,임대자산!$N:$N,가맹점정보!R$4)</f>
        <v>0</v>
      </c>
      <c r="S650" s="82" t="n">
        <v>55000</v>
      </c>
      <c r="T650" s="83" t="n">
        <v>0</v>
      </c>
      <c r="U650" s="80" t="n">
        <f aca="false">SUM(S650:T650)</f>
        <v>55000</v>
      </c>
      <c r="V650" s="84" t="s">
        <v>12</v>
      </c>
      <c r="W650" s="80" t="e">
        <f aca="true">
IF(D650="폐업","폐업",
IF(V650="면제","면제",
IF(AND(V650="정상",COUNTIFS(OFFSET(Y650,0,COUNTA(Y650:AV650)-1,1,-4),"미납")&gt;=3),"장기미납",
IF(AND(V650="정상",OFFSET(Y650,0,COUNTA(Y650:AV650)-1)&gt;=U650),"정상",
IF(AND(V650="정상",OFFSET(Y650,0,COUNTA(Y650:AV650)-1)=0),"정상",
"계약서 미작성")))))</f>
        <v>#VALUE!</v>
      </c>
      <c r="X650" s="81" t="str">
        <f aca="true">
IF(D650="폐업","폐업",
IF(AND(V650="정상",OFFSET(Y650,0,COUNTA(Y650:AV650)-1)="미납"),"미납",
IF(AND(V650="정상",OFFSET(Y650,0,COUNTA(Y650:AV650)-1)=0),"납부 시작 전",
IF(AND(V650="정상",OFFSET(Y650,0,COUNTA(Y650:AV650)-1)&gt;=U650),"정상",
IF(AND(V650="면제",OFFSET(Y650,0,COUNTA(Y650:AV650)-1)="면제"),"면제",
IF(AND(V650="면제",OFFSET(Y650,0,COUNTA(Y650:AV650)-1)=0),"면제",
"확인요청"))))))</f>
        <v>정상</v>
      </c>
      <c r="Y650" s="93" t="n">
        <v>55000</v>
      </c>
      <c r="Z650" s="90" t="n">
        <v>55000</v>
      </c>
      <c r="AA650" s="90" t="n">
        <v>55000</v>
      </c>
      <c r="AB650" s="90" t="n">
        <v>55000</v>
      </c>
      <c r="AC650" s="90" t="n">
        <v>55000</v>
      </c>
      <c r="AD650" s="90" t="n">
        <v>55000</v>
      </c>
      <c r="AE650" s="90" t="n">
        <v>55000</v>
      </c>
      <c r="AF650" s="90" t="n">
        <v>55000</v>
      </c>
      <c r="AG650" s="90" t="n">
        <v>55000</v>
      </c>
      <c r="AH650" s="90" t="n">
        <v>55000</v>
      </c>
      <c r="AI650" s="90" t="n">
        <v>55000</v>
      </c>
      <c r="AJ650" s="91" t="n">
        <v>55000</v>
      </c>
      <c r="AK650" s="89" t="n">
        <v>55000</v>
      </c>
      <c r="AL650" s="90" t="n">
        <v>55000</v>
      </c>
      <c r="AM650" s="90"/>
      <c r="AN650" s="90"/>
      <c r="AO650" s="90"/>
      <c r="AP650" s="90"/>
      <c r="AQ650" s="90"/>
      <c r="AR650" s="90"/>
      <c r="AS650" s="90"/>
      <c r="AT650" s="90"/>
      <c r="AU650" s="90"/>
      <c r="AV650" s="91"/>
      <c r="AX650" s="92"/>
    </row>
    <row r="651" customFormat="false" ht="15.65" hidden="false" customHeight="false" outlineLevel="0" collapsed="false">
      <c r="C651" s="72" t="n">
        <f aca="false">COUNTIFS($D$6:D651,"&lt;&gt;"&amp;"")</f>
        <v>646</v>
      </c>
      <c r="D651" s="73" t="s">
        <v>12</v>
      </c>
      <c r="E651" s="76" t="str">
        <f aca="false">
IF($D651="정상",INDEX(임대자산!$D$3:$R$3000,MATCH($F651,임대자산!$I$3:$I$3000,0),MATCH(E$3,임대자산!$D$3:$R$3,0)),
IF($D651="폐업",INDEX(폐업정보!$D$3:$R$3000,MATCH($F651,폐업정보!$I$3:$I$3000,0),MATCH(E$3,폐업정보!$D$3:$R$3,0)),
"Error"))</f>
        <v>서울</v>
      </c>
      <c r="F65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B0646</v>
      </c>
      <c r="G651" s="76" t="str">
        <f aca="false">F651&amp;RANDBETWEEN(0,10)</f>
        <v>B06467</v>
      </c>
      <c r="H651" s="75" t="n">
        <f aca="false">
IF($D651="정상",INDEX(임대자산!$D$3:$R$3000,MATCH($F651,임대자산!$I$3:$I$3000,0),MATCH(H$4,임대자산!$D$3:$R$3,0)),
IF($D651="폐업",INDEX(폐업정보!$D$3:$R$3000,MATCH($F651,폐업정보!$I$3:$I$3000,0),MATCH(H$4,폐업정보!$D$3:$R$3,0)),
"Error"))</f>
        <v>44271</v>
      </c>
      <c r="I651" s="75" t="str">
        <f aca="false">
IF($D651="정상",INDEX(임대자산!$D$3:$R$3000,MATCH($F651,임대자산!$I$3:$I$3000,0),MATCH(I$4,임대자산!$D$3:$R$3,0)),
IF($D651="폐업",INDEX(폐업정보!$D$3:$R$3000,MATCH($F651,폐업정보!$I$3:$I$3000,0),MATCH(I$4,폐업정보!$D$3:$R$3,0)),
"Error"))</f>
        <v>A0646</v>
      </c>
      <c r="J651" s="75" t="str">
        <f aca="false">
IF($D651="정상",INDEX(임대자산!$D$3:$R$3000,MATCH($F651,임대자산!$I$3:$I$3000,0),MATCH(J$4,임대자산!$D$3:$R$3,0)),
IF($D651="폐업",INDEX(폐업정보!$D$3:$R$3000,MATCH($F651,폐업정보!$I$3:$I$3000,0),MATCH(J$4,폐업정보!$D$3:$R$3,0)),
"Error"))</f>
        <v>6106400000</v>
      </c>
      <c r="K651" s="75" t="str">
        <f aca="false">
IF($D651="정상",INDEX(임대자산!$D$3:$R$3000,MATCH($F651,임대자산!$I$3:$I$3000,0),MATCH(K$4,임대자산!$D$3:$R$3,0)),
IF($D651="폐업",INDEX(폐업정보!$D$3:$R$3000,MATCH($F651,폐업정보!$I$3:$I$3000,0),MATCH(K$4,폐업정보!$D$3:$R$3,0)),
"Error"))</f>
        <v>C0646</v>
      </c>
      <c r="L651" s="75" t="str">
        <f aca="false">
IF($D651="정상",INDEX(임대자산!$D$3:$R$3000,MATCH($F651,임대자산!$I$3:$I$3000,0),MATCH(L$4,임대자산!$D$3:$R$3,0)),
IF($D651="폐업",INDEX(폐업정보!$D$3:$R$3000,MATCH($F651,폐업정보!$I$3:$I$3000,0),MATCH(L$4,폐업정보!$D$3:$R$3,0)),
"Error"))</f>
        <v>D0646</v>
      </c>
      <c r="M651" s="76" t="s">
        <v>96</v>
      </c>
      <c r="N651" s="77"/>
      <c r="O651" s="78" t="s">
        <v>97</v>
      </c>
      <c r="P651" s="79" t="n">
        <f aca="false">COUNTIFS(임대자산!$I:$I,가맹점정보!F651,임대자산!$N:$N,가맹점정보!P$4)</f>
        <v>0</v>
      </c>
      <c r="Q651" s="80" t="n">
        <f aca="false">COUNTIFS(임대자산!$I:$I,가맹점정보!F651,임대자산!$N:$N,가맹점정보!Q$4)</f>
        <v>1</v>
      </c>
      <c r="R651" s="81" t="n">
        <f aca="false">COUNTIFS(임대자산!$I:$I,가맹점정보!F651,임대자산!$N:$N,가맹점정보!R$4)</f>
        <v>0</v>
      </c>
      <c r="S651" s="82" t="n">
        <v>55000</v>
      </c>
      <c r="T651" s="83" t="n">
        <v>0</v>
      </c>
      <c r="U651" s="80" t="n">
        <f aca="false">SUM(S651:T651)</f>
        <v>55000</v>
      </c>
      <c r="V651" s="84" t="s">
        <v>12</v>
      </c>
      <c r="W651" s="80" t="e">
        <f aca="true">
IF(D651="폐업","폐업",
IF(V651="면제","면제",
IF(AND(V651="정상",COUNTIFS(OFFSET(Y651,0,COUNTA(Y651:AV651)-1,1,-4),"미납")&gt;=3),"장기미납",
IF(AND(V651="정상",OFFSET(Y651,0,COUNTA(Y651:AV651)-1)&gt;=U651),"정상",
IF(AND(V651="정상",OFFSET(Y651,0,COUNTA(Y651:AV651)-1)=0),"정상",
"계약서 미작성")))))</f>
        <v>#VALUE!</v>
      </c>
      <c r="X651" s="81" t="str">
        <f aca="true">
IF(D651="폐업","폐업",
IF(AND(V651="정상",OFFSET(Y651,0,COUNTA(Y651:AV651)-1)="미납"),"미납",
IF(AND(V651="정상",OFFSET(Y651,0,COUNTA(Y651:AV651)-1)=0),"납부 시작 전",
IF(AND(V651="정상",OFFSET(Y651,0,COUNTA(Y651:AV651)-1)&gt;=U651),"정상",
IF(AND(V651="면제",OFFSET(Y651,0,COUNTA(Y651:AV651)-1)="면제"),"면제",
IF(AND(V651="면제",OFFSET(Y651,0,COUNTA(Y651:AV651)-1)=0),"면제",
"확인요청"))))))</f>
        <v>정상</v>
      </c>
      <c r="Y651" s="93" t="n">
        <v>55000</v>
      </c>
      <c r="Z651" s="90" t="n">
        <v>55000</v>
      </c>
      <c r="AA651" s="90" t="n">
        <v>55000</v>
      </c>
      <c r="AB651" s="90" t="n">
        <v>55000</v>
      </c>
      <c r="AC651" s="90" t="n">
        <v>55000</v>
      </c>
      <c r="AD651" s="90" t="n">
        <v>55000</v>
      </c>
      <c r="AE651" s="90" t="n">
        <v>55000</v>
      </c>
      <c r="AF651" s="90" t="n">
        <v>55000</v>
      </c>
      <c r="AG651" s="90" t="n">
        <v>55000</v>
      </c>
      <c r="AH651" s="90" t="n">
        <v>55000</v>
      </c>
      <c r="AI651" s="90" t="n">
        <v>55000</v>
      </c>
      <c r="AJ651" s="91" t="n">
        <v>55000</v>
      </c>
      <c r="AK651" s="89" t="n">
        <v>55000</v>
      </c>
      <c r="AL651" s="90" t="n">
        <v>55000</v>
      </c>
      <c r="AM651" s="90"/>
      <c r="AN651" s="90"/>
      <c r="AO651" s="90"/>
      <c r="AP651" s="90"/>
      <c r="AQ651" s="90"/>
      <c r="AR651" s="90"/>
      <c r="AS651" s="90"/>
      <c r="AT651" s="90"/>
      <c r="AU651" s="90"/>
      <c r="AV651" s="91"/>
      <c r="AX651" s="92"/>
    </row>
    <row r="652" customFormat="false" ht="15.65" hidden="false" customHeight="false" outlineLevel="0" collapsed="false">
      <c r="C652" s="72" t="n">
        <f aca="false">COUNTIFS($D$6:D652,"&lt;&gt;"&amp;"")</f>
        <v>647</v>
      </c>
      <c r="D652" s="73" t="s">
        <v>5</v>
      </c>
      <c r="E652" s="76" t="str">
        <f aca="false">
IF($D652="정상",INDEX(임대자산!$D$3:$R$3000,MATCH($F652,임대자산!$I$3:$I$3000,0),MATCH(E$3,임대자산!$D$3:$R$3,0)),
IF($D652="폐업",INDEX(폐업정보!$D$3:$R$3000,MATCH($F652,폐업정보!$I$3:$I$3000,0),MATCH(E$3,폐업정보!$D$3:$R$3,0)),
"Error"))</f>
        <v>서울</v>
      </c>
      <c r="F65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B0647</v>
      </c>
      <c r="G652" s="76" t="str">
        <f aca="false">F652&amp;RANDBETWEEN(0,10)</f>
        <v>B06474</v>
      </c>
      <c r="H652" s="75" t="n">
        <f aca="false">
IF($D652="정상",INDEX(임대자산!$D$3:$R$3000,MATCH($F652,임대자산!$I$3:$I$3000,0),MATCH(H$4,임대자산!$D$3:$R$3,0)),
IF($D652="폐업",INDEX(폐업정보!$D$3:$R$3000,MATCH($F652,폐업정보!$I$3:$I$3000,0),MATCH(H$4,폐업정보!$D$3:$R$3,0)),
"Error"))</f>
        <v>44271</v>
      </c>
      <c r="I652" s="75" t="str">
        <f aca="false">
IF($D652="정상",INDEX(임대자산!$D$3:$R$3000,MATCH($F652,임대자산!$I$3:$I$3000,0),MATCH(I$4,임대자산!$D$3:$R$3,0)),
IF($D652="폐업",INDEX(폐업정보!$D$3:$R$3000,MATCH($F652,폐업정보!$I$3:$I$3000,0),MATCH(I$4,폐업정보!$D$3:$R$3,0)),
"Error"))</f>
        <v>A0647</v>
      </c>
      <c r="J652" s="75" t="str">
        <f aca="false">
IF($D652="정상",INDEX(임대자산!$D$3:$R$3000,MATCH($F652,임대자산!$I$3:$I$3000,0),MATCH(J$4,임대자산!$D$3:$R$3,0)),
IF($D652="폐업",INDEX(폐업정보!$D$3:$R$3000,MATCH($F652,폐업정보!$I$3:$I$3000,0),MATCH(J$4,폐업정보!$D$3:$R$3,0)),
"Error"))</f>
        <v>1150100000</v>
      </c>
      <c r="K652" s="75" t="str">
        <f aca="false">
IF($D652="정상",INDEX(임대자산!$D$3:$R$3000,MATCH($F652,임대자산!$I$3:$I$3000,0),MATCH(K$4,임대자산!$D$3:$R$3,0)),
IF($D652="폐업",INDEX(폐업정보!$D$3:$R$3000,MATCH($F652,폐업정보!$I$3:$I$3000,0),MATCH(K$4,폐업정보!$D$3:$R$3,0)),
"Error"))</f>
        <v>C0647</v>
      </c>
      <c r="L652" s="75" t="str">
        <f aca="false">
IF($D652="정상",INDEX(임대자산!$D$3:$R$3000,MATCH($F652,임대자산!$I$3:$I$3000,0),MATCH(L$4,임대자산!$D$3:$R$3,0)),
IF($D652="폐업",INDEX(폐업정보!$D$3:$R$3000,MATCH($F652,폐업정보!$I$3:$I$3000,0),MATCH(L$4,폐업정보!$D$3:$R$3,0)),
"Error"))</f>
        <v>D0647</v>
      </c>
      <c r="M652" s="76" t="s">
        <v>96</v>
      </c>
      <c r="N652" s="77"/>
      <c r="O652" s="78" t="s">
        <v>97</v>
      </c>
      <c r="P652" s="79" t="n">
        <f aca="false">COUNTIFS(임대자산!$I:$I,가맹점정보!F652,임대자산!$N:$N,가맹점정보!P$4)</f>
        <v>0</v>
      </c>
      <c r="Q652" s="80" t="n">
        <f aca="false">COUNTIFS(임대자산!$I:$I,가맹점정보!F652,임대자산!$N:$N,가맹점정보!Q$4)</f>
        <v>0</v>
      </c>
      <c r="R652" s="81" t="n">
        <f aca="false">COUNTIFS(임대자산!$I:$I,가맹점정보!F652,임대자산!$N:$N,가맹점정보!R$4)</f>
        <v>0</v>
      </c>
      <c r="S652" s="82" t="n">
        <v>88000</v>
      </c>
      <c r="T652" s="83" t="n">
        <v>0</v>
      </c>
      <c r="U652" s="80" t="n">
        <f aca="false">SUM(S652:T652)</f>
        <v>88000</v>
      </c>
      <c r="V652" s="84" t="s">
        <v>12</v>
      </c>
      <c r="W652" s="80" t="str">
        <f aca="true">
IF(D652="폐업","폐업",
IF(V652="면제","면제",
IF(AND(V652="정상",COUNTIFS(OFFSET(Y652,0,COUNTA(Y652:AV652)-1,1,-4),"미납")&gt;=3),"장기미납",
IF(AND(V652="정상",OFFSET(Y652,0,COUNTA(Y652:AV652)-1)&gt;=U652),"정상",
IF(AND(V652="정상",OFFSET(Y652,0,COUNTA(Y652:AV652)-1)=0),"정상",
"계약서 미작성")))))</f>
        <v>폐업</v>
      </c>
      <c r="X652" s="81" t="str">
        <f aca="true">
IF(D652="폐업","폐업",
IF(AND(V652="정상",OFFSET(Y652,0,COUNTA(Y652:AV652)-1)="미납"),"미납",
IF(AND(V652="정상",OFFSET(Y652,0,COUNTA(Y652:AV652)-1)=0),"납부 시작 전",
IF(AND(V652="정상",OFFSET(Y652,0,COUNTA(Y652:AV652)-1)&gt;=U652),"정상",
IF(AND(V652="면제",OFFSET(Y652,0,COUNTA(Y652:AV652)-1)="면제"),"면제",
IF(AND(V652="면제",OFFSET(Y652,0,COUNTA(Y652:AV652)-1)=0),"면제",
"확인요청"))))))</f>
        <v>폐업</v>
      </c>
      <c r="Y652" s="93" t="n">
        <v>88000</v>
      </c>
      <c r="Z652" s="90" t="n">
        <v>88000</v>
      </c>
      <c r="AA652" s="90" t="n">
        <v>88000</v>
      </c>
      <c r="AB652" s="90" t="n">
        <v>88000</v>
      </c>
      <c r="AC652" s="90" t="n">
        <v>88000</v>
      </c>
      <c r="AD652" s="90" t="n">
        <v>88000</v>
      </c>
      <c r="AE652" s="90" t="n">
        <v>88000</v>
      </c>
      <c r="AF652" s="90" t="n">
        <v>88000</v>
      </c>
      <c r="AG652" s="90" t="n">
        <v>88000</v>
      </c>
      <c r="AH652" s="90" t="n">
        <v>88000</v>
      </c>
      <c r="AI652" s="90" t="n">
        <v>88000</v>
      </c>
      <c r="AJ652" s="91" t="n">
        <v>88000</v>
      </c>
      <c r="AK652" s="89" t="n">
        <v>88000</v>
      </c>
      <c r="AL652" s="90" t="n">
        <v>88000</v>
      </c>
      <c r="AM652" s="90"/>
      <c r="AN652" s="90"/>
      <c r="AO652" s="90"/>
      <c r="AP652" s="90"/>
      <c r="AQ652" s="90"/>
      <c r="AR652" s="90"/>
      <c r="AS652" s="90"/>
      <c r="AT652" s="90"/>
      <c r="AU652" s="90"/>
      <c r="AV652" s="91"/>
      <c r="AX652" s="92"/>
    </row>
    <row r="653" customFormat="false" ht="15.65" hidden="false" customHeight="false" outlineLevel="0" collapsed="false">
      <c r="C653" s="72" t="n">
        <f aca="false">COUNTIFS($D$6:D653,"&lt;&gt;"&amp;"")</f>
        <v>648</v>
      </c>
      <c r="D653" s="73" t="s">
        <v>5</v>
      </c>
      <c r="E653" s="76" t="str">
        <f aca="false">
IF($D653="정상",INDEX(임대자산!$D$3:$R$3000,MATCH($F653,임대자산!$I$3:$I$3000,0),MATCH(E$3,임대자산!$D$3:$R$3,0)),
IF($D653="폐업",INDEX(폐업정보!$D$3:$R$3000,MATCH($F653,폐업정보!$I$3:$I$3000,0),MATCH(E$3,폐업정보!$D$3:$R$3,0)),
"Error"))</f>
        <v>서울</v>
      </c>
      <c r="F65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B0648</v>
      </c>
      <c r="G653" s="76" t="str">
        <f aca="false">F653&amp;RANDBETWEEN(0,10)</f>
        <v>B06483</v>
      </c>
      <c r="H653" s="75" t="n">
        <f aca="false">
IF($D653="정상",INDEX(임대자산!$D$3:$R$3000,MATCH($F653,임대자산!$I$3:$I$3000,0),MATCH(H$4,임대자산!$D$3:$R$3,0)),
IF($D653="폐업",INDEX(폐업정보!$D$3:$R$3000,MATCH($F653,폐업정보!$I$3:$I$3000,0),MATCH(H$4,폐업정보!$D$3:$R$3,0)),
"Error"))</f>
        <v>44271</v>
      </c>
      <c r="I653" s="75" t="str">
        <f aca="false">
IF($D653="정상",INDEX(임대자산!$D$3:$R$3000,MATCH($F653,임대자산!$I$3:$I$3000,0),MATCH(I$4,임대자산!$D$3:$R$3,0)),
IF($D653="폐업",INDEX(폐업정보!$D$3:$R$3000,MATCH($F653,폐업정보!$I$3:$I$3000,0),MATCH(I$4,폐업정보!$D$3:$R$3,0)),
"Error"))</f>
        <v>A0648</v>
      </c>
      <c r="J653" s="75" t="str">
        <f aca="false">
IF($D653="정상",INDEX(임대자산!$D$3:$R$3000,MATCH($F653,임대자산!$I$3:$I$3000,0),MATCH(J$4,임대자산!$D$3:$R$3,0)),
IF($D653="폐업",INDEX(폐업정보!$D$3:$R$3000,MATCH($F653,폐업정보!$I$3:$I$3000,0),MATCH(J$4,폐업정보!$D$3:$R$3,0)),
"Error"))</f>
        <v>9350500000</v>
      </c>
      <c r="K653" s="75" t="str">
        <f aca="false">
IF($D653="정상",INDEX(임대자산!$D$3:$R$3000,MATCH($F653,임대자산!$I$3:$I$3000,0),MATCH(K$4,임대자산!$D$3:$R$3,0)),
IF($D653="폐업",INDEX(폐업정보!$D$3:$R$3000,MATCH($F653,폐업정보!$I$3:$I$3000,0),MATCH(K$4,폐업정보!$D$3:$R$3,0)),
"Error"))</f>
        <v>C0648</v>
      </c>
      <c r="L653" s="75" t="str">
        <f aca="false">
IF($D653="정상",INDEX(임대자산!$D$3:$R$3000,MATCH($F653,임대자산!$I$3:$I$3000,0),MATCH(L$4,임대자산!$D$3:$R$3,0)),
IF($D653="폐업",INDEX(폐업정보!$D$3:$R$3000,MATCH($F653,폐업정보!$I$3:$I$3000,0),MATCH(L$4,폐업정보!$D$3:$R$3,0)),
"Error"))</f>
        <v>D0648</v>
      </c>
      <c r="M653" s="76" t="s">
        <v>96</v>
      </c>
      <c r="N653" s="77"/>
      <c r="O653" s="78" t="s">
        <v>97</v>
      </c>
      <c r="P653" s="79" t="n">
        <f aca="false">COUNTIFS(임대자산!$I:$I,가맹점정보!F653,임대자산!$N:$N,가맹점정보!P$4)</f>
        <v>0</v>
      </c>
      <c r="Q653" s="80" t="n">
        <f aca="false">COUNTIFS(임대자산!$I:$I,가맹점정보!F653,임대자산!$N:$N,가맹점정보!Q$4)</f>
        <v>0</v>
      </c>
      <c r="R653" s="81" t="n">
        <f aca="false">COUNTIFS(임대자산!$I:$I,가맹점정보!F653,임대자산!$N:$N,가맹점정보!R$4)</f>
        <v>0</v>
      </c>
      <c r="S653" s="82" t="n">
        <v>55000</v>
      </c>
      <c r="T653" s="83" t="n">
        <v>0</v>
      </c>
      <c r="U653" s="80" t="n">
        <f aca="false">SUM(S653:T653)</f>
        <v>55000</v>
      </c>
      <c r="V653" s="84" t="s">
        <v>12</v>
      </c>
      <c r="W653" s="80" t="str">
        <f aca="true">
IF(D653="폐업","폐업",
IF(V653="면제","면제",
IF(AND(V653="정상",COUNTIFS(OFFSET(Y653,0,COUNTA(Y653:AV653)-1,1,-4),"미납")&gt;=3),"장기미납",
IF(AND(V653="정상",OFFSET(Y653,0,COUNTA(Y653:AV653)-1)&gt;=U653),"정상",
IF(AND(V653="정상",OFFSET(Y653,0,COUNTA(Y653:AV653)-1)=0),"정상",
"계약서 미작성")))))</f>
        <v>폐업</v>
      </c>
      <c r="X653" s="81" t="str">
        <f aca="true">
IF(D653="폐업","폐업",
IF(AND(V653="정상",OFFSET(Y653,0,COUNTA(Y653:AV653)-1)="미납"),"미납",
IF(AND(V653="정상",OFFSET(Y653,0,COUNTA(Y653:AV653)-1)=0),"납부 시작 전",
IF(AND(V653="정상",OFFSET(Y653,0,COUNTA(Y653:AV653)-1)&gt;=U653),"정상",
IF(AND(V653="면제",OFFSET(Y653,0,COUNTA(Y653:AV653)-1)="면제"),"면제",
IF(AND(V653="면제",OFFSET(Y653,0,COUNTA(Y653:AV653)-1)=0),"면제",
"확인요청"))))))</f>
        <v>폐업</v>
      </c>
      <c r="Y653" s="93" t="n">
        <v>55000</v>
      </c>
      <c r="Z653" s="90" t="n">
        <v>55000</v>
      </c>
      <c r="AA653" s="90" t="n">
        <v>55000</v>
      </c>
      <c r="AB653" s="90" t="n">
        <v>55000</v>
      </c>
      <c r="AC653" s="90" t="n">
        <v>55000</v>
      </c>
      <c r="AD653" s="90" t="n">
        <v>55000</v>
      </c>
      <c r="AE653" s="90" t="n">
        <v>55000</v>
      </c>
      <c r="AF653" s="90" t="n">
        <v>55000</v>
      </c>
      <c r="AG653" s="90" t="n">
        <v>55000</v>
      </c>
      <c r="AH653" s="90" t="n">
        <v>55000</v>
      </c>
      <c r="AI653" s="90" t="n">
        <v>55000</v>
      </c>
      <c r="AJ653" s="91" t="n">
        <v>55000</v>
      </c>
      <c r="AK653" s="89" t="n">
        <v>55000</v>
      </c>
      <c r="AL653" s="90" t="n">
        <v>55000</v>
      </c>
      <c r="AM653" s="90"/>
      <c r="AN653" s="90"/>
      <c r="AO653" s="90"/>
      <c r="AP653" s="90"/>
      <c r="AQ653" s="90"/>
      <c r="AR653" s="90"/>
      <c r="AS653" s="90"/>
      <c r="AT653" s="90"/>
      <c r="AU653" s="90"/>
      <c r="AV653" s="91"/>
      <c r="AX653" s="92"/>
    </row>
    <row r="654" customFormat="false" ht="15.65" hidden="false" customHeight="false" outlineLevel="0" collapsed="false">
      <c r="C654" s="72" t="n">
        <f aca="false">COUNTIFS($D$6:D654,"&lt;&gt;"&amp;"")</f>
        <v>649</v>
      </c>
      <c r="D654" s="73" t="s">
        <v>12</v>
      </c>
      <c r="E654" s="76" t="str">
        <f aca="false">
IF($D654="정상",INDEX(임대자산!$D$3:$R$3000,MATCH($F654,임대자산!$I$3:$I$3000,0),MATCH(E$3,임대자산!$D$3:$R$3,0)),
IF($D654="폐업",INDEX(폐업정보!$D$3:$R$3000,MATCH($F654,폐업정보!$I$3:$I$3000,0),MATCH(E$3,폐업정보!$D$3:$R$3,0)),
"Error"))</f>
        <v>경기</v>
      </c>
      <c r="F65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B0649</v>
      </c>
      <c r="G654" s="76" t="str">
        <f aca="false">F654&amp;RANDBETWEEN(0,10)</f>
        <v>B06496</v>
      </c>
      <c r="H654" s="75" t="n">
        <f aca="false">
IF($D654="정상",INDEX(임대자산!$D$3:$R$3000,MATCH($F654,임대자산!$I$3:$I$3000,0),MATCH(H$4,임대자산!$D$3:$R$3,0)),
IF($D654="폐업",INDEX(폐업정보!$D$3:$R$3000,MATCH($F654,폐업정보!$I$3:$I$3000,0),MATCH(H$4,폐업정보!$D$3:$R$3,0)),
"Error"))</f>
        <v>45359</v>
      </c>
      <c r="I654" s="75" t="str">
        <f aca="false">
IF($D654="정상",INDEX(임대자산!$D$3:$R$3000,MATCH($F654,임대자산!$I$3:$I$3000,0),MATCH(I$4,임대자산!$D$3:$R$3,0)),
IF($D654="폐업",INDEX(폐업정보!$D$3:$R$3000,MATCH($F654,폐업정보!$I$3:$I$3000,0),MATCH(I$4,폐업정보!$D$3:$R$3,0)),
"Error"))</f>
        <v>A0649</v>
      </c>
      <c r="J654" s="75" t="str">
        <f aca="false">
IF($D654="정상",INDEX(임대자산!$D$3:$R$3000,MATCH($F654,임대자산!$I$3:$I$3000,0),MATCH(J$4,임대자산!$D$3:$R$3,0)),
IF($D654="폐업",INDEX(폐업정보!$D$3:$R$3000,MATCH($F654,폐업정보!$I$3:$I$3000,0),MATCH(J$4,폐업정보!$D$3:$R$3,0)),
"Error"))</f>
        <v>9655000000</v>
      </c>
      <c r="K654" s="75" t="str">
        <f aca="false">
IF($D654="정상",INDEX(임대자산!$D$3:$R$3000,MATCH($F654,임대자산!$I$3:$I$3000,0),MATCH(K$4,임대자산!$D$3:$R$3,0)),
IF($D654="폐업",INDEX(폐업정보!$D$3:$R$3000,MATCH($F654,폐업정보!$I$3:$I$3000,0),MATCH(K$4,폐업정보!$D$3:$R$3,0)),
"Error"))</f>
        <v>C0649</v>
      </c>
      <c r="L654" s="75" t="str">
        <f aca="false">
IF($D654="정상",INDEX(임대자산!$D$3:$R$3000,MATCH($F654,임대자산!$I$3:$I$3000,0),MATCH(L$4,임대자산!$D$3:$R$3,0)),
IF($D654="폐업",INDEX(폐업정보!$D$3:$R$3000,MATCH($F654,폐업정보!$I$3:$I$3000,0),MATCH(L$4,폐업정보!$D$3:$R$3,0)),
"Error"))</f>
        <v>D0649</v>
      </c>
      <c r="M654" s="76" t="s">
        <v>96</v>
      </c>
      <c r="N654" s="77"/>
      <c r="O654" s="78" t="s">
        <v>97</v>
      </c>
      <c r="P654" s="79" t="n">
        <f aca="false">COUNTIFS(임대자산!$I:$I,가맹점정보!F654,임대자산!$N:$N,가맹점정보!P$4)</f>
        <v>0</v>
      </c>
      <c r="Q654" s="80" t="n">
        <f aca="false">COUNTIFS(임대자산!$I:$I,가맹점정보!F654,임대자산!$N:$N,가맹점정보!Q$4)</f>
        <v>1</v>
      </c>
      <c r="R654" s="81" t="n">
        <f aca="false">COUNTIFS(임대자산!$I:$I,가맹점정보!F654,임대자산!$N:$N,가맹점정보!R$4)</f>
        <v>0</v>
      </c>
      <c r="S654" s="82" t="n">
        <v>55000</v>
      </c>
      <c r="T654" s="83" t="n">
        <v>0</v>
      </c>
      <c r="U654" s="80" t="n">
        <f aca="false">SUM(S654:T654)</f>
        <v>55000</v>
      </c>
      <c r="V654" s="84" t="s">
        <v>12</v>
      </c>
      <c r="W654" s="80" t="e">
        <f aca="true">
IF(D654="폐업","폐업",
IF(V654="면제","면제",
IF(AND(V654="정상",COUNTIFS(OFFSET(Y654,0,COUNTA(Y654:AV654)-1,1,-4),"미납")&gt;=3),"장기미납",
IF(AND(V654="정상",OFFSET(Y654,0,COUNTA(Y654:AV654)-1)&gt;=U654),"정상",
IF(AND(V654="정상",OFFSET(Y654,0,COUNTA(Y654:AV654)-1)=0),"정상",
"계약서 미작성")))))</f>
        <v>#VALUE!</v>
      </c>
      <c r="X654" s="81" t="str">
        <f aca="true">
IF(D654="폐업","폐업",
IF(AND(V654="정상",OFFSET(Y654,0,COUNTA(Y654:AV654)-1)="미납"),"미납",
IF(AND(V654="정상",OFFSET(Y654,0,COUNTA(Y654:AV654)-1)=0),"납부 시작 전",
IF(AND(V654="정상",OFFSET(Y654,0,COUNTA(Y654:AV654)-1)&gt;=U654),"정상",
IF(AND(V654="면제",OFFSET(Y654,0,COUNTA(Y654:AV654)-1)="면제"),"면제",
IF(AND(V654="면제",OFFSET(Y654,0,COUNTA(Y654:AV654)-1)=0),"면제",
"확인요청"))))))</f>
        <v>정상</v>
      </c>
      <c r="Y654" s="93" t="n">
        <v>55000</v>
      </c>
      <c r="Z654" s="90" t="n">
        <v>55000</v>
      </c>
      <c r="AA654" s="90" t="n">
        <v>55000</v>
      </c>
      <c r="AB654" s="90" t="n">
        <v>55000</v>
      </c>
      <c r="AC654" s="90" t="n">
        <v>55000</v>
      </c>
      <c r="AD654" s="90" t="n">
        <v>55000</v>
      </c>
      <c r="AE654" s="90" t="n">
        <v>55000</v>
      </c>
      <c r="AF654" s="90" t="n">
        <v>55000</v>
      </c>
      <c r="AG654" s="90" t="n">
        <v>55000</v>
      </c>
      <c r="AH654" s="90" t="n">
        <v>55000</v>
      </c>
      <c r="AI654" s="90" t="n">
        <v>55000</v>
      </c>
      <c r="AJ654" s="91" t="n">
        <v>55000</v>
      </c>
      <c r="AK654" s="89" t="n">
        <v>55000</v>
      </c>
      <c r="AL654" s="90" t="n">
        <v>55000</v>
      </c>
      <c r="AM654" s="90"/>
      <c r="AN654" s="90"/>
      <c r="AO654" s="90"/>
      <c r="AP654" s="90"/>
      <c r="AQ654" s="90"/>
      <c r="AR654" s="90"/>
      <c r="AS654" s="90"/>
      <c r="AT654" s="90"/>
      <c r="AU654" s="90"/>
      <c r="AV654" s="91"/>
      <c r="AX654" s="92"/>
    </row>
    <row r="655" customFormat="false" ht="15.65" hidden="false" customHeight="false" outlineLevel="0" collapsed="false">
      <c r="C655" s="72" t="n">
        <f aca="false">COUNTIFS($D$6:D655,"&lt;&gt;"&amp;"")</f>
        <v>650</v>
      </c>
      <c r="D655" s="73" t="s">
        <v>12</v>
      </c>
      <c r="E655" s="76" t="str">
        <f aca="false">
IF($D655="정상",INDEX(임대자산!$D$3:$R$3000,MATCH($F655,임대자산!$I$3:$I$3000,0),MATCH(E$3,임대자산!$D$3:$R$3,0)),
IF($D655="폐업",INDEX(폐업정보!$D$3:$R$3000,MATCH($F655,폐업정보!$I$3:$I$3000,0),MATCH(E$3,폐업정보!$D$3:$R$3,0)),
"Error"))</f>
        <v>강원</v>
      </c>
      <c r="F65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B0650</v>
      </c>
      <c r="G655" s="76" t="str">
        <f aca="false">F655&amp;RANDBETWEEN(0,10)</f>
        <v>B06502</v>
      </c>
      <c r="H655" s="75" t="n">
        <f aca="false">
IF($D655="정상",INDEX(임대자산!$D$3:$R$3000,MATCH($F655,임대자산!$I$3:$I$3000,0),MATCH(H$4,임대자산!$D$3:$R$3,0)),
IF($D655="폐업",INDEX(폐업정보!$D$3:$R$3000,MATCH($F655,폐업정보!$I$3:$I$3000,0),MATCH(H$4,폐업정보!$D$3:$R$3,0)),
"Error"))</f>
        <v>44235</v>
      </c>
      <c r="I655" s="75" t="str">
        <f aca="false">
IF($D655="정상",INDEX(임대자산!$D$3:$R$3000,MATCH($F655,임대자산!$I$3:$I$3000,0),MATCH(I$4,임대자산!$D$3:$R$3,0)),
IF($D655="폐업",INDEX(폐업정보!$D$3:$R$3000,MATCH($F655,폐업정보!$I$3:$I$3000,0),MATCH(I$4,폐업정보!$D$3:$R$3,0)),
"Error"))</f>
        <v>A0650</v>
      </c>
      <c r="J655" s="75" t="str">
        <f aca="false">
IF($D655="정상",INDEX(임대자산!$D$3:$R$3000,MATCH($F655,임대자산!$I$3:$I$3000,0),MATCH(J$4,임대자산!$D$3:$R$3,0)),
IF($D655="폐업",INDEX(폐업정보!$D$3:$R$3000,MATCH($F655,폐업정보!$I$3:$I$3000,0),MATCH(J$4,폐업정보!$D$3:$R$3,0)),
"Error"))</f>
        <v>6542300000</v>
      </c>
      <c r="K655" s="75" t="str">
        <f aca="false">
IF($D655="정상",INDEX(임대자산!$D$3:$R$3000,MATCH($F655,임대자산!$I$3:$I$3000,0),MATCH(K$4,임대자산!$D$3:$R$3,0)),
IF($D655="폐업",INDEX(폐업정보!$D$3:$R$3000,MATCH($F655,폐업정보!$I$3:$I$3000,0),MATCH(K$4,폐업정보!$D$3:$R$3,0)),
"Error"))</f>
        <v>C0650</v>
      </c>
      <c r="L655" s="75" t="str">
        <f aca="false">
IF($D655="정상",INDEX(임대자산!$D$3:$R$3000,MATCH($F655,임대자산!$I$3:$I$3000,0),MATCH(L$4,임대자산!$D$3:$R$3,0)),
IF($D655="폐업",INDEX(폐업정보!$D$3:$R$3000,MATCH($F655,폐업정보!$I$3:$I$3000,0),MATCH(L$4,폐업정보!$D$3:$R$3,0)),
"Error"))</f>
        <v>D0650</v>
      </c>
      <c r="M655" s="76" t="s">
        <v>96</v>
      </c>
      <c r="N655" s="77"/>
      <c r="O655" s="78" t="s">
        <v>97</v>
      </c>
      <c r="P655" s="79" t="n">
        <f aca="false">COUNTIFS(임대자산!$I:$I,가맹점정보!F655,임대자산!$N:$N,가맹점정보!P$4)</f>
        <v>0</v>
      </c>
      <c r="Q655" s="80" t="n">
        <f aca="false">COUNTIFS(임대자산!$I:$I,가맹점정보!F655,임대자산!$N:$N,가맹점정보!Q$4)</f>
        <v>1</v>
      </c>
      <c r="R655" s="81" t="n">
        <f aca="false">COUNTIFS(임대자산!$I:$I,가맹점정보!F655,임대자산!$N:$N,가맹점정보!R$4)</f>
        <v>0</v>
      </c>
      <c r="S655" s="82" t="n">
        <v>55000</v>
      </c>
      <c r="T655" s="83" t="n">
        <v>0</v>
      </c>
      <c r="U655" s="80" t="n">
        <f aca="false">SUM(S655:T655)</f>
        <v>55000</v>
      </c>
      <c r="V655" s="84" t="s">
        <v>12</v>
      </c>
      <c r="W655" s="80" t="e">
        <f aca="true">
IF(D655="폐업","폐업",
IF(V655="면제","면제",
IF(AND(V655="정상",COUNTIFS(OFFSET(Y655,0,COUNTA(Y655:AV655)-1,1,-4),"미납")&gt;=3),"장기미납",
IF(AND(V655="정상",OFFSET(Y655,0,COUNTA(Y655:AV655)-1)&gt;=U655),"정상",
IF(AND(V655="정상",OFFSET(Y655,0,COUNTA(Y655:AV655)-1)=0),"정상",
"계약서 미작성")))))</f>
        <v>#VALUE!</v>
      </c>
      <c r="X655" s="81" t="str">
        <f aca="true">
IF(D655="폐업","폐업",
IF(AND(V655="정상",OFFSET(Y655,0,COUNTA(Y655:AV655)-1)="미납"),"미납",
IF(AND(V655="정상",OFFSET(Y655,0,COUNTA(Y655:AV655)-1)=0),"납부 시작 전",
IF(AND(V655="정상",OFFSET(Y655,0,COUNTA(Y655:AV655)-1)&gt;=U655),"정상",
IF(AND(V655="면제",OFFSET(Y655,0,COUNTA(Y655:AV655)-1)="면제"),"면제",
IF(AND(V655="면제",OFFSET(Y655,0,COUNTA(Y655:AV655)-1)=0),"면제",
"확인요청"))))))</f>
        <v>정상</v>
      </c>
      <c r="Y655" s="93" t="n">
        <v>55000</v>
      </c>
      <c r="Z655" s="90" t="n">
        <v>55000</v>
      </c>
      <c r="AA655" s="90" t="n">
        <v>55000</v>
      </c>
      <c r="AB655" s="90" t="n">
        <v>55000</v>
      </c>
      <c r="AC655" s="90" t="n">
        <v>55000</v>
      </c>
      <c r="AD655" s="90" t="n">
        <v>55000</v>
      </c>
      <c r="AE655" s="90" t="n">
        <v>55000</v>
      </c>
      <c r="AF655" s="90" t="n">
        <v>55000</v>
      </c>
      <c r="AG655" s="90" t="n">
        <v>55000</v>
      </c>
      <c r="AH655" s="90" t="n">
        <v>55000</v>
      </c>
      <c r="AI655" s="90" t="n">
        <v>55000</v>
      </c>
      <c r="AJ655" s="91" t="n">
        <v>55000</v>
      </c>
      <c r="AK655" s="89" t="n">
        <v>55000</v>
      </c>
      <c r="AL655" s="90" t="n">
        <v>55000</v>
      </c>
      <c r="AM655" s="90"/>
      <c r="AN655" s="90"/>
      <c r="AO655" s="90"/>
      <c r="AP655" s="90"/>
      <c r="AQ655" s="90"/>
      <c r="AR655" s="90"/>
      <c r="AS655" s="90"/>
      <c r="AT655" s="90"/>
      <c r="AU655" s="90"/>
      <c r="AV655" s="91"/>
      <c r="AX655" s="92"/>
    </row>
    <row r="656" customFormat="false" ht="15.65" hidden="false" customHeight="false" outlineLevel="0" collapsed="false">
      <c r="C656" s="72" t="n">
        <f aca="false">COUNTIFS($D$6:D656,"&lt;&gt;"&amp;"")</f>
        <v>651</v>
      </c>
      <c r="D656" s="73" t="s">
        <v>12</v>
      </c>
      <c r="E656" s="76" t="str">
        <f aca="false">
IF($D656="정상",INDEX(임대자산!$D$3:$R$3000,MATCH($F656,임대자산!$I$3:$I$3000,0),MATCH(E$3,임대자산!$D$3:$R$3,0)),
IF($D656="폐업",INDEX(폐업정보!$D$3:$R$3000,MATCH($F656,폐업정보!$I$3:$I$3000,0),MATCH(E$3,폐업정보!$D$3:$R$3,0)),
"Error"))</f>
        <v>서울</v>
      </c>
      <c r="F65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B0651</v>
      </c>
      <c r="G656" s="76" t="str">
        <f aca="false">F656&amp;RANDBETWEEN(0,10)</f>
        <v>B06516</v>
      </c>
      <c r="H656" s="75" t="n">
        <f aca="false">
IF($D656="정상",INDEX(임대자산!$D$3:$R$3000,MATCH($F656,임대자산!$I$3:$I$3000,0),MATCH(H$4,임대자산!$D$3:$R$3,0)),
IF($D656="폐업",INDEX(폐업정보!$D$3:$R$3000,MATCH($F656,폐업정보!$I$3:$I$3000,0),MATCH(H$4,폐업정보!$D$3:$R$3,0)),
"Error"))</f>
        <v>43909</v>
      </c>
      <c r="I656" s="75" t="str">
        <f aca="false">
IF($D656="정상",INDEX(임대자산!$D$3:$R$3000,MATCH($F656,임대자산!$I$3:$I$3000,0),MATCH(I$4,임대자산!$D$3:$R$3,0)),
IF($D656="폐업",INDEX(폐업정보!$D$3:$R$3000,MATCH($F656,폐업정보!$I$3:$I$3000,0),MATCH(I$4,폐업정보!$D$3:$R$3,0)),
"Error"))</f>
        <v>A0651</v>
      </c>
      <c r="J656" s="75" t="str">
        <f aca="false">
IF($D656="정상",INDEX(임대자산!$D$3:$R$3000,MATCH($F656,임대자산!$I$3:$I$3000,0),MATCH(J$4,임대자산!$D$3:$R$3,0)),
IF($D656="폐업",INDEX(폐업정보!$D$3:$R$3000,MATCH($F656,폐업정보!$I$3:$I$3000,0),MATCH(J$4,폐업정보!$D$3:$R$3,0)),
"Error"))</f>
        <v>4392400000</v>
      </c>
      <c r="K656" s="75" t="str">
        <f aca="false">
IF($D656="정상",INDEX(임대자산!$D$3:$R$3000,MATCH($F656,임대자산!$I$3:$I$3000,0),MATCH(K$4,임대자산!$D$3:$R$3,0)),
IF($D656="폐업",INDEX(폐업정보!$D$3:$R$3000,MATCH($F656,폐업정보!$I$3:$I$3000,0),MATCH(K$4,폐업정보!$D$3:$R$3,0)),
"Error"))</f>
        <v>C0651</v>
      </c>
      <c r="L656" s="75" t="str">
        <f aca="false">
IF($D656="정상",INDEX(임대자산!$D$3:$R$3000,MATCH($F656,임대자산!$I$3:$I$3000,0),MATCH(L$4,임대자산!$D$3:$R$3,0)),
IF($D656="폐업",INDEX(폐업정보!$D$3:$R$3000,MATCH($F656,폐업정보!$I$3:$I$3000,0),MATCH(L$4,폐업정보!$D$3:$R$3,0)),
"Error"))</f>
        <v>D0651</v>
      </c>
      <c r="M656" s="76" t="s">
        <v>96</v>
      </c>
      <c r="N656" s="77"/>
      <c r="O656" s="78" t="s">
        <v>97</v>
      </c>
      <c r="P656" s="79" t="n">
        <f aca="false">COUNTIFS(임대자산!$I:$I,가맹점정보!F656,임대자산!$N:$N,가맹점정보!P$4)</f>
        <v>0</v>
      </c>
      <c r="Q656" s="80" t="n">
        <f aca="false">COUNTIFS(임대자산!$I:$I,가맹점정보!F656,임대자산!$N:$N,가맹점정보!Q$4)</f>
        <v>1</v>
      </c>
      <c r="R656" s="81" t="n">
        <f aca="false">COUNTIFS(임대자산!$I:$I,가맹점정보!F656,임대자산!$N:$N,가맹점정보!R$4)</f>
        <v>0</v>
      </c>
      <c r="S656" s="82" t="n">
        <v>88000</v>
      </c>
      <c r="T656" s="83" t="n">
        <v>0</v>
      </c>
      <c r="U656" s="80" t="n">
        <f aca="false">SUM(S656:T656)</f>
        <v>88000</v>
      </c>
      <c r="V656" s="84" t="s">
        <v>12</v>
      </c>
      <c r="W656" s="80" t="e">
        <f aca="true">
IF(D656="폐업","폐업",
IF(V656="면제","면제",
IF(AND(V656="정상",COUNTIFS(OFFSET(Y656,0,COUNTA(Y656:AV656)-1,1,-4),"미납")&gt;=3),"장기미납",
IF(AND(V656="정상",OFFSET(Y656,0,COUNTA(Y656:AV656)-1)&gt;=U656),"정상",
IF(AND(V656="정상",OFFSET(Y656,0,COUNTA(Y656:AV656)-1)=0),"정상",
"계약서 미작성")))))</f>
        <v>#VALUE!</v>
      </c>
      <c r="X656" s="81" t="str">
        <f aca="true">
IF(D656="폐업","폐업",
IF(AND(V656="정상",OFFSET(Y656,0,COUNTA(Y656:AV656)-1)="미납"),"미납",
IF(AND(V656="정상",OFFSET(Y656,0,COUNTA(Y656:AV656)-1)=0),"납부 시작 전",
IF(AND(V656="정상",OFFSET(Y656,0,COUNTA(Y656:AV656)-1)&gt;=U656),"정상",
IF(AND(V656="면제",OFFSET(Y656,0,COUNTA(Y656:AV656)-1)="면제"),"면제",
IF(AND(V656="면제",OFFSET(Y656,0,COUNTA(Y656:AV656)-1)=0),"면제",
"확인요청"))))))</f>
        <v>정상</v>
      </c>
      <c r="Y656" s="93" t="n">
        <v>88000</v>
      </c>
      <c r="Z656" s="90" t="n">
        <v>88000</v>
      </c>
      <c r="AA656" s="90" t="n">
        <v>88000</v>
      </c>
      <c r="AB656" s="90" t="n">
        <v>88000</v>
      </c>
      <c r="AC656" s="90" t="n">
        <v>88000</v>
      </c>
      <c r="AD656" s="90" t="n">
        <v>88000</v>
      </c>
      <c r="AE656" s="90" t="n">
        <v>88000</v>
      </c>
      <c r="AF656" s="90" t="n">
        <v>88000</v>
      </c>
      <c r="AG656" s="90" t="n">
        <v>88000</v>
      </c>
      <c r="AH656" s="90" t="n">
        <v>88000</v>
      </c>
      <c r="AI656" s="90" t="n">
        <v>88000</v>
      </c>
      <c r="AJ656" s="91" t="n">
        <v>88000</v>
      </c>
      <c r="AK656" s="89" t="n">
        <v>88000</v>
      </c>
      <c r="AL656" s="90" t="n">
        <v>88000</v>
      </c>
      <c r="AM656" s="90"/>
      <c r="AN656" s="90"/>
      <c r="AO656" s="90"/>
      <c r="AP656" s="90"/>
      <c r="AQ656" s="90"/>
      <c r="AR656" s="90"/>
      <c r="AS656" s="90"/>
      <c r="AT656" s="90"/>
      <c r="AU656" s="90"/>
      <c r="AV656" s="91"/>
      <c r="AX656" s="92"/>
    </row>
    <row r="657" customFormat="false" ht="15.65" hidden="false" customHeight="false" outlineLevel="0" collapsed="false">
      <c r="C657" s="72" t="n">
        <f aca="false">COUNTIFS($D$6:D657,"&lt;&gt;"&amp;"")</f>
        <v>652</v>
      </c>
      <c r="D657" s="73" t="s">
        <v>12</v>
      </c>
      <c r="E657" s="76" t="str">
        <f aca="false">
IF($D657="정상",INDEX(임대자산!$D$3:$R$3000,MATCH($F657,임대자산!$I$3:$I$3000,0),MATCH(E$3,임대자산!$D$3:$R$3,0)),
IF($D657="폐업",INDEX(폐업정보!$D$3:$R$3000,MATCH($F657,폐업정보!$I$3:$I$3000,0),MATCH(E$3,폐업정보!$D$3:$R$3,0)),
"Error"))</f>
        <v>강원</v>
      </c>
      <c r="F65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B0652</v>
      </c>
      <c r="G657" s="76" t="str">
        <f aca="false">F657&amp;RANDBETWEEN(0,10)</f>
        <v>B06526</v>
      </c>
      <c r="H657" s="75" t="n">
        <f aca="false">
IF($D657="정상",INDEX(임대자산!$D$3:$R$3000,MATCH($F657,임대자산!$I$3:$I$3000,0),MATCH(H$4,임대자산!$D$3:$R$3,0)),
IF($D657="폐업",INDEX(폐업정보!$D$3:$R$3000,MATCH($F657,폐업정보!$I$3:$I$3000,0),MATCH(H$4,폐업정보!$D$3:$R$3,0)),
"Error"))</f>
        <v>45827</v>
      </c>
      <c r="I657" s="75" t="str">
        <f aca="false">
IF($D657="정상",INDEX(임대자산!$D$3:$R$3000,MATCH($F657,임대자산!$I$3:$I$3000,0),MATCH(I$4,임대자산!$D$3:$R$3,0)),
IF($D657="폐업",INDEX(폐업정보!$D$3:$R$3000,MATCH($F657,폐업정보!$I$3:$I$3000,0),MATCH(I$4,폐업정보!$D$3:$R$3,0)),
"Error"))</f>
        <v>A0652</v>
      </c>
      <c r="J657" s="75" t="str">
        <f aca="false">
IF($D657="정상",INDEX(임대자산!$D$3:$R$3000,MATCH($F657,임대자산!$I$3:$I$3000,0),MATCH(J$4,임대자산!$D$3:$R$3,0)),
IF($D657="폐업",INDEX(폐업정보!$D$3:$R$3000,MATCH($F657,폐업정보!$I$3:$I$3000,0),MATCH(J$4,폐업정보!$D$3:$R$3,0)),
"Error"))</f>
        <v>7020500000</v>
      </c>
      <c r="K657" s="75" t="str">
        <f aca="false">
IF($D657="정상",INDEX(임대자산!$D$3:$R$3000,MATCH($F657,임대자산!$I$3:$I$3000,0),MATCH(K$4,임대자산!$D$3:$R$3,0)),
IF($D657="폐업",INDEX(폐업정보!$D$3:$R$3000,MATCH($F657,폐업정보!$I$3:$I$3000,0),MATCH(K$4,폐업정보!$D$3:$R$3,0)),
"Error"))</f>
        <v>C0652</v>
      </c>
      <c r="L657" s="75" t="str">
        <f aca="false">
IF($D657="정상",INDEX(임대자산!$D$3:$R$3000,MATCH($F657,임대자산!$I$3:$I$3000,0),MATCH(L$4,임대자산!$D$3:$R$3,0)),
IF($D657="폐업",INDEX(폐업정보!$D$3:$R$3000,MATCH($F657,폐업정보!$I$3:$I$3000,0),MATCH(L$4,폐업정보!$D$3:$R$3,0)),
"Error"))</f>
        <v>D0652</v>
      </c>
      <c r="M657" s="76" t="s">
        <v>96</v>
      </c>
      <c r="N657" s="77"/>
      <c r="O657" s="78" t="s">
        <v>97</v>
      </c>
      <c r="P657" s="79" t="n">
        <f aca="false">COUNTIFS(임대자산!$I:$I,가맹점정보!F657,임대자산!$N:$N,가맹점정보!P$4)</f>
        <v>0</v>
      </c>
      <c r="Q657" s="80" t="n">
        <f aca="false">COUNTIFS(임대자산!$I:$I,가맹점정보!F657,임대자산!$N:$N,가맹점정보!Q$4)</f>
        <v>1</v>
      </c>
      <c r="R657" s="81" t="n">
        <f aca="false">COUNTIFS(임대자산!$I:$I,가맹점정보!F657,임대자산!$N:$N,가맹점정보!R$4)</f>
        <v>0</v>
      </c>
      <c r="S657" s="82" t="n">
        <v>55000</v>
      </c>
      <c r="T657" s="83" t="n">
        <v>0</v>
      </c>
      <c r="U657" s="80" t="n">
        <f aca="false">SUM(S657:T657)</f>
        <v>55000</v>
      </c>
      <c r="V657" s="84" t="s">
        <v>12</v>
      </c>
      <c r="W657" s="80" t="e">
        <f aca="true">
IF(D657="폐업","폐업",
IF(V657="면제","면제",
IF(AND(V657="정상",COUNTIFS(OFFSET(Y657,0,COUNTA(Y657:AV657)-1,1,-4),"미납")&gt;=3),"장기미납",
IF(AND(V657="정상",OFFSET(Y657,0,COUNTA(Y657:AV657)-1)&gt;=U657),"정상",
IF(AND(V657="정상",OFFSET(Y657,0,COUNTA(Y657:AV657)-1)=0),"정상",
"계약서 미작성")))))</f>
        <v>#VALUE!</v>
      </c>
      <c r="X657" s="81" t="str">
        <f aca="true">
IF(D657="폐업","폐업",
IF(AND(V657="정상",OFFSET(Y657,0,COUNTA(Y657:AV657)-1)="미납"),"미납",
IF(AND(V657="정상",OFFSET(Y657,0,COUNTA(Y657:AV657)-1)=0),"납부 시작 전",
IF(AND(V657="정상",OFFSET(Y657,0,COUNTA(Y657:AV657)-1)&gt;=U657),"정상",
IF(AND(V657="면제",OFFSET(Y657,0,COUNTA(Y657:AV657)-1)="면제"),"면제",
IF(AND(V657="면제",OFFSET(Y657,0,COUNTA(Y657:AV657)-1)=0),"면제",
"확인요청"))))))</f>
        <v>정상</v>
      </c>
      <c r="Y657" s="93" t="n">
        <v>55000</v>
      </c>
      <c r="Z657" s="90" t="n">
        <v>55000</v>
      </c>
      <c r="AA657" s="90" t="n">
        <v>55000</v>
      </c>
      <c r="AB657" s="90" t="n">
        <v>55000</v>
      </c>
      <c r="AC657" s="90" t="n">
        <v>55000</v>
      </c>
      <c r="AD657" s="90" t="n">
        <v>55000</v>
      </c>
      <c r="AE657" s="90" t="n">
        <v>55000</v>
      </c>
      <c r="AF657" s="90" t="n">
        <v>55000</v>
      </c>
      <c r="AG657" s="90" t="n">
        <v>55000</v>
      </c>
      <c r="AH657" s="90" t="n">
        <v>55000</v>
      </c>
      <c r="AI657" s="90" t="n">
        <v>55000</v>
      </c>
      <c r="AJ657" s="91" t="n">
        <v>55000</v>
      </c>
      <c r="AK657" s="89" t="n">
        <v>55000</v>
      </c>
      <c r="AL657" s="90" t="n">
        <v>55000</v>
      </c>
      <c r="AM657" s="90"/>
      <c r="AN657" s="90"/>
      <c r="AO657" s="90"/>
      <c r="AP657" s="90"/>
      <c r="AQ657" s="90"/>
      <c r="AR657" s="90"/>
      <c r="AS657" s="90"/>
      <c r="AT657" s="90"/>
      <c r="AU657" s="90"/>
      <c r="AV657" s="91"/>
      <c r="AX657" s="92"/>
    </row>
    <row r="658" customFormat="false" ht="15.65" hidden="false" customHeight="false" outlineLevel="0" collapsed="false">
      <c r="C658" s="72" t="n">
        <f aca="false">COUNTIFS($D$6:D658,"&lt;&gt;"&amp;"")</f>
        <v>653</v>
      </c>
      <c r="D658" s="73" t="s">
        <v>12</v>
      </c>
      <c r="E658" s="76" t="str">
        <f aca="false">
IF($D658="정상",INDEX(임대자산!$D$3:$R$3000,MATCH($F658,임대자산!$I$3:$I$3000,0),MATCH(E$3,임대자산!$D$3:$R$3,0)),
IF($D658="폐업",INDEX(폐업정보!$D$3:$R$3000,MATCH($F658,폐업정보!$I$3:$I$3000,0),MATCH(E$3,폐업정보!$D$3:$R$3,0)),
"Error"))</f>
        <v>경상</v>
      </c>
      <c r="F65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B0653</v>
      </c>
      <c r="G658" s="76" t="str">
        <f aca="false">F658&amp;RANDBETWEEN(0,10)</f>
        <v>B06535</v>
      </c>
      <c r="H658" s="75" t="n">
        <f aca="false">
IF($D658="정상",INDEX(임대자산!$D$3:$R$3000,MATCH($F658,임대자산!$I$3:$I$3000,0),MATCH(H$4,임대자산!$D$3:$R$3,0)),
IF($D658="폐업",INDEX(폐업정보!$D$3:$R$3000,MATCH($F658,폐업정보!$I$3:$I$3000,0),MATCH(H$4,폐업정보!$D$3:$R$3,0)),
"Error"))</f>
        <v>44655</v>
      </c>
      <c r="I658" s="75" t="str">
        <f aca="false">
IF($D658="정상",INDEX(임대자산!$D$3:$R$3000,MATCH($F658,임대자산!$I$3:$I$3000,0),MATCH(I$4,임대자산!$D$3:$R$3,0)),
IF($D658="폐업",INDEX(폐업정보!$D$3:$R$3000,MATCH($F658,폐업정보!$I$3:$I$3000,0),MATCH(I$4,폐업정보!$D$3:$R$3,0)),
"Error"))</f>
        <v>A0653</v>
      </c>
      <c r="J658" s="75" t="str">
        <f aca="false">
IF($D658="정상",INDEX(임대자산!$D$3:$R$3000,MATCH($F658,임대자산!$I$3:$I$3000,0),MATCH(J$4,임대자산!$D$3:$R$3,0)),
IF($D658="폐업",INDEX(폐업정보!$D$3:$R$3000,MATCH($F658,폐업정보!$I$3:$I$3000,0),MATCH(J$4,폐업정보!$D$3:$R$3,0)),
"Error"))</f>
        <v>6690100000</v>
      </c>
      <c r="K658" s="75" t="str">
        <f aca="false">
IF($D658="정상",INDEX(임대자산!$D$3:$R$3000,MATCH($F658,임대자산!$I$3:$I$3000,0),MATCH(K$4,임대자산!$D$3:$R$3,0)),
IF($D658="폐업",INDEX(폐업정보!$D$3:$R$3000,MATCH($F658,폐업정보!$I$3:$I$3000,0),MATCH(K$4,폐업정보!$D$3:$R$3,0)),
"Error"))</f>
        <v>C0653</v>
      </c>
      <c r="L658" s="75" t="str">
        <f aca="false">
IF($D658="정상",INDEX(임대자산!$D$3:$R$3000,MATCH($F658,임대자산!$I$3:$I$3000,0),MATCH(L$4,임대자산!$D$3:$R$3,0)),
IF($D658="폐업",INDEX(폐업정보!$D$3:$R$3000,MATCH($F658,폐업정보!$I$3:$I$3000,0),MATCH(L$4,폐업정보!$D$3:$R$3,0)),
"Error"))</f>
        <v>D0653</v>
      </c>
      <c r="M658" s="76" t="s">
        <v>96</v>
      </c>
      <c r="N658" s="77"/>
      <c r="O658" s="78" t="s">
        <v>97</v>
      </c>
      <c r="P658" s="79" t="n">
        <f aca="false">COUNTIFS(임대자산!$I:$I,가맹점정보!F658,임대자산!$N:$N,가맹점정보!P$4)</f>
        <v>0</v>
      </c>
      <c r="Q658" s="80" t="n">
        <f aca="false">COUNTIFS(임대자산!$I:$I,가맹점정보!F658,임대자산!$N:$N,가맹점정보!Q$4)</f>
        <v>1</v>
      </c>
      <c r="R658" s="81" t="n">
        <f aca="false">COUNTIFS(임대자산!$I:$I,가맹점정보!F658,임대자산!$N:$N,가맹점정보!R$4)</f>
        <v>0</v>
      </c>
      <c r="S658" s="82" t="n">
        <v>55000</v>
      </c>
      <c r="T658" s="83" t="n">
        <v>0</v>
      </c>
      <c r="U658" s="80" t="n">
        <f aca="false">SUM(S658:T658)</f>
        <v>55000</v>
      </c>
      <c r="V658" s="84" t="s">
        <v>12</v>
      </c>
      <c r="W658" s="80" t="e">
        <f aca="true">
IF(D658="폐업","폐업",
IF(V658="면제","면제",
IF(AND(V658="정상",COUNTIFS(OFFSET(Y658,0,COUNTA(Y658:AV658)-1,1,-4),"미납")&gt;=3),"장기미납",
IF(AND(V658="정상",OFFSET(Y658,0,COUNTA(Y658:AV658)-1)&gt;=U658),"정상",
IF(AND(V658="정상",OFFSET(Y658,0,COUNTA(Y658:AV658)-1)=0),"정상",
"계약서 미작성")))))</f>
        <v>#VALUE!</v>
      </c>
      <c r="X658" s="81" t="str">
        <f aca="true">
IF(D658="폐업","폐업",
IF(AND(V658="정상",OFFSET(Y658,0,COUNTA(Y658:AV658)-1)="미납"),"미납",
IF(AND(V658="정상",OFFSET(Y658,0,COUNTA(Y658:AV658)-1)=0),"납부 시작 전",
IF(AND(V658="정상",OFFSET(Y658,0,COUNTA(Y658:AV658)-1)&gt;=U658),"정상",
IF(AND(V658="면제",OFFSET(Y658,0,COUNTA(Y658:AV658)-1)="면제"),"면제",
IF(AND(V658="면제",OFFSET(Y658,0,COUNTA(Y658:AV658)-1)=0),"면제",
"확인요청"))))))</f>
        <v>정상</v>
      </c>
      <c r="Y658" s="93" t="n">
        <v>55000</v>
      </c>
      <c r="Z658" s="90" t="n">
        <v>55000</v>
      </c>
      <c r="AA658" s="90" t="n">
        <v>55000</v>
      </c>
      <c r="AB658" s="90" t="n">
        <v>55000</v>
      </c>
      <c r="AC658" s="90" t="n">
        <v>55000</v>
      </c>
      <c r="AD658" s="90" t="n">
        <v>55000</v>
      </c>
      <c r="AE658" s="90" t="n">
        <v>55000</v>
      </c>
      <c r="AF658" s="90" t="n">
        <v>55000</v>
      </c>
      <c r="AG658" s="90" t="n">
        <v>55000</v>
      </c>
      <c r="AH658" s="90" t="n">
        <v>55000</v>
      </c>
      <c r="AI658" s="90" t="n">
        <v>55000</v>
      </c>
      <c r="AJ658" s="91" t="n">
        <v>55000</v>
      </c>
      <c r="AK658" s="89" t="n">
        <v>55000</v>
      </c>
      <c r="AL658" s="90" t="n">
        <v>55000</v>
      </c>
      <c r="AM658" s="90"/>
      <c r="AN658" s="90"/>
      <c r="AO658" s="90"/>
      <c r="AP658" s="90"/>
      <c r="AQ658" s="90"/>
      <c r="AR658" s="90"/>
      <c r="AS658" s="90"/>
      <c r="AT658" s="90"/>
      <c r="AU658" s="90"/>
      <c r="AV658" s="91"/>
      <c r="AX658" s="92"/>
    </row>
    <row r="659" customFormat="false" ht="15.65" hidden="false" customHeight="false" outlineLevel="0" collapsed="false">
      <c r="C659" s="72" t="n">
        <f aca="false">COUNTIFS($D$6:D659,"&lt;&gt;"&amp;"")</f>
        <v>654</v>
      </c>
      <c r="D659" s="73" t="s">
        <v>12</v>
      </c>
      <c r="E659" s="76" t="str">
        <f aca="false">
IF($D659="정상",INDEX(임대자산!$D$3:$R$3000,MATCH($F659,임대자산!$I$3:$I$3000,0),MATCH(E$3,임대자산!$D$3:$R$3,0)),
IF($D659="폐업",INDEX(폐업정보!$D$3:$R$3000,MATCH($F659,폐업정보!$I$3:$I$3000,0),MATCH(E$3,폐업정보!$D$3:$R$3,0)),
"Error"))</f>
        <v>전라</v>
      </c>
      <c r="F65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B0654</v>
      </c>
      <c r="G659" s="76" t="str">
        <f aca="false">F659&amp;RANDBETWEEN(0,10)</f>
        <v>B06540</v>
      </c>
      <c r="H659" s="75" t="n">
        <f aca="false">
IF($D659="정상",INDEX(임대자산!$D$3:$R$3000,MATCH($F659,임대자산!$I$3:$I$3000,0),MATCH(H$4,임대자산!$D$3:$R$3,0)),
IF($D659="폐업",INDEX(폐업정보!$D$3:$R$3000,MATCH($F659,폐업정보!$I$3:$I$3000,0),MATCH(H$4,폐업정보!$D$3:$R$3,0)),
"Error"))</f>
        <v>45538</v>
      </c>
      <c r="I659" s="75" t="str">
        <f aca="false">
IF($D659="정상",INDEX(임대자산!$D$3:$R$3000,MATCH($F659,임대자산!$I$3:$I$3000,0),MATCH(I$4,임대자산!$D$3:$R$3,0)),
IF($D659="폐업",INDEX(폐업정보!$D$3:$R$3000,MATCH($F659,폐업정보!$I$3:$I$3000,0),MATCH(I$4,폐업정보!$D$3:$R$3,0)),
"Error"))</f>
        <v>A0654</v>
      </c>
      <c r="J659" s="75" t="str">
        <f aca="false">
IF($D659="정상",INDEX(임대자산!$D$3:$R$3000,MATCH($F659,임대자산!$I$3:$I$3000,0),MATCH(J$4,임대자산!$D$3:$R$3,0)),
IF($D659="폐업",INDEX(폐업정보!$D$3:$R$3000,MATCH($F659,폐업정보!$I$3:$I$3000,0),MATCH(J$4,폐업정보!$D$3:$R$3,0)),
"Error"))</f>
        <v>7980300000</v>
      </c>
      <c r="K659" s="75" t="str">
        <f aca="false">
IF($D659="정상",INDEX(임대자산!$D$3:$R$3000,MATCH($F659,임대자산!$I$3:$I$3000,0),MATCH(K$4,임대자산!$D$3:$R$3,0)),
IF($D659="폐업",INDEX(폐업정보!$D$3:$R$3000,MATCH($F659,폐업정보!$I$3:$I$3000,0),MATCH(K$4,폐업정보!$D$3:$R$3,0)),
"Error"))</f>
        <v>C0654</v>
      </c>
      <c r="L659" s="75" t="str">
        <f aca="false">
IF($D659="정상",INDEX(임대자산!$D$3:$R$3000,MATCH($F659,임대자산!$I$3:$I$3000,0),MATCH(L$4,임대자산!$D$3:$R$3,0)),
IF($D659="폐업",INDEX(폐업정보!$D$3:$R$3000,MATCH($F659,폐업정보!$I$3:$I$3000,0),MATCH(L$4,폐업정보!$D$3:$R$3,0)),
"Error"))</f>
        <v>D0654</v>
      </c>
      <c r="M659" s="76" t="s">
        <v>96</v>
      </c>
      <c r="N659" s="77"/>
      <c r="O659" s="78" t="s">
        <v>97</v>
      </c>
      <c r="P659" s="79" t="n">
        <f aca="false">COUNTIFS(임대자산!$I:$I,가맹점정보!F659,임대자산!$N:$N,가맹점정보!P$4)</f>
        <v>0</v>
      </c>
      <c r="Q659" s="80" t="n">
        <f aca="false">COUNTIFS(임대자산!$I:$I,가맹점정보!F659,임대자산!$N:$N,가맹점정보!Q$4)</f>
        <v>1</v>
      </c>
      <c r="R659" s="81" t="n">
        <f aca="false">COUNTIFS(임대자산!$I:$I,가맹점정보!F659,임대자산!$N:$N,가맹점정보!R$4)</f>
        <v>0</v>
      </c>
      <c r="S659" s="82" t="n">
        <v>88000</v>
      </c>
      <c r="T659" s="83" t="n">
        <v>0</v>
      </c>
      <c r="U659" s="80" t="n">
        <f aca="false">SUM(S659:T659)</f>
        <v>88000</v>
      </c>
      <c r="V659" s="84" t="s">
        <v>12</v>
      </c>
      <c r="W659" s="80" t="e">
        <f aca="true">
IF(D659="폐업","폐업",
IF(V659="면제","면제",
IF(AND(V659="정상",COUNTIFS(OFFSET(Y659,0,COUNTA(Y659:AV659)-1,1,-4),"미납")&gt;=3),"장기미납",
IF(AND(V659="정상",OFFSET(Y659,0,COUNTA(Y659:AV659)-1)&gt;=U659),"정상",
IF(AND(V659="정상",OFFSET(Y659,0,COUNTA(Y659:AV659)-1)=0),"정상",
"계약서 미작성")))))</f>
        <v>#VALUE!</v>
      </c>
      <c r="X659" s="81" t="str">
        <f aca="true">
IF(D659="폐업","폐업",
IF(AND(V659="정상",OFFSET(Y659,0,COUNTA(Y659:AV659)-1)="미납"),"미납",
IF(AND(V659="정상",OFFSET(Y659,0,COUNTA(Y659:AV659)-1)=0),"납부 시작 전",
IF(AND(V659="정상",OFFSET(Y659,0,COUNTA(Y659:AV659)-1)&gt;=U659),"정상",
IF(AND(V659="면제",OFFSET(Y659,0,COUNTA(Y659:AV659)-1)="면제"),"면제",
IF(AND(V659="면제",OFFSET(Y659,0,COUNTA(Y659:AV659)-1)=0),"면제",
"확인요청"))))))</f>
        <v>정상</v>
      </c>
      <c r="Y659" s="93" t="n">
        <v>88000</v>
      </c>
      <c r="Z659" s="90" t="n">
        <v>88000</v>
      </c>
      <c r="AA659" s="90" t="n">
        <v>88000</v>
      </c>
      <c r="AB659" s="90" t="n">
        <v>88000</v>
      </c>
      <c r="AC659" s="90" t="n">
        <v>88000</v>
      </c>
      <c r="AD659" s="90" t="n">
        <v>88000</v>
      </c>
      <c r="AE659" s="90" t="n">
        <v>88000</v>
      </c>
      <c r="AF659" s="90" t="n">
        <v>88000</v>
      </c>
      <c r="AG659" s="90" t="n">
        <v>88000</v>
      </c>
      <c r="AH659" s="90" t="n">
        <v>88000</v>
      </c>
      <c r="AI659" s="90" t="n">
        <v>88000</v>
      </c>
      <c r="AJ659" s="91" t="n">
        <v>88000</v>
      </c>
      <c r="AK659" s="89" t="n">
        <v>88000</v>
      </c>
      <c r="AL659" s="90" t="n">
        <v>88000</v>
      </c>
      <c r="AM659" s="90"/>
      <c r="AN659" s="90"/>
      <c r="AO659" s="90"/>
      <c r="AP659" s="90"/>
      <c r="AQ659" s="90"/>
      <c r="AR659" s="90"/>
      <c r="AS659" s="90"/>
      <c r="AT659" s="90"/>
      <c r="AU659" s="90"/>
      <c r="AV659" s="91"/>
      <c r="AX659" s="92"/>
    </row>
    <row r="660" customFormat="false" ht="15.65" hidden="false" customHeight="false" outlineLevel="0" collapsed="false">
      <c r="C660" s="72" t="n">
        <f aca="false">COUNTIFS($D$6:D660,"&lt;&gt;"&amp;"")</f>
        <v>655</v>
      </c>
      <c r="D660" s="73" t="s">
        <v>12</v>
      </c>
      <c r="E660" s="76" t="str">
        <f aca="false">
IF($D660="정상",INDEX(임대자산!$D$3:$R$3000,MATCH($F660,임대자산!$I$3:$I$3000,0),MATCH(E$3,임대자산!$D$3:$R$3,0)),
IF($D660="폐업",INDEX(폐업정보!$D$3:$R$3000,MATCH($F660,폐업정보!$I$3:$I$3000,0),MATCH(E$3,폐업정보!$D$3:$R$3,0)),
"Error"))</f>
        <v>서울</v>
      </c>
      <c r="F66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B0655</v>
      </c>
      <c r="G660" s="76" t="str">
        <f aca="false">F660&amp;RANDBETWEEN(0,10)</f>
        <v>B06559</v>
      </c>
      <c r="H660" s="75" t="n">
        <f aca="false">
IF($D660="정상",INDEX(임대자산!$D$3:$R$3000,MATCH($F660,임대자산!$I$3:$I$3000,0),MATCH(H$4,임대자산!$D$3:$R$3,0)),
IF($D660="폐업",INDEX(폐업정보!$D$3:$R$3000,MATCH($F660,폐업정보!$I$3:$I$3000,0),MATCH(H$4,폐업정보!$D$3:$R$3,0)),
"Error"))</f>
        <v>44664</v>
      </c>
      <c r="I660" s="75" t="str">
        <f aca="false">
IF($D660="정상",INDEX(임대자산!$D$3:$R$3000,MATCH($F660,임대자산!$I$3:$I$3000,0),MATCH(I$4,임대자산!$D$3:$R$3,0)),
IF($D660="폐업",INDEX(폐업정보!$D$3:$R$3000,MATCH($F660,폐업정보!$I$3:$I$3000,0),MATCH(I$4,폐업정보!$D$3:$R$3,0)),
"Error"))</f>
        <v>A0655</v>
      </c>
      <c r="J660" s="75" t="str">
        <f aca="false">
IF($D660="정상",INDEX(임대자산!$D$3:$R$3000,MATCH($F660,임대자산!$I$3:$I$3000,0),MATCH(J$4,임대자산!$D$3:$R$3,0)),
IF($D660="폐업",INDEX(폐업정보!$D$3:$R$3000,MATCH($F660,폐업정보!$I$3:$I$3000,0),MATCH(J$4,폐업정보!$D$3:$R$3,0)),
"Error"))</f>
        <v>5424700000</v>
      </c>
      <c r="K660" s="75" t="str">
        <f aca="false">
IF($D660="정상",INDEX(임대자산!$D$3:$R$3000,MATCH($F660,임대자산!$I$3:$I$3000,0),MATCH(K$4,임대자산!$D$3:$R$3,0)),
IF($D660="폐업",INDEX(폐업정보!$D$3:$R$3000,MATCH($F660,폐업정보!$I$3:$I$3000,0),MATCH(K$4,폐업정보!$D$3:$R$3,0)),
"Error"))</f>
        <v>C0655</v>
      </c>
      <c r="L660" s="75" t="str">
        <f aca="false">
IF($D660="정상",INDEX(임대자산!$D$3:$R$3000,MATCH($F660,임대자산!$I$3:$I$3000,0),MATCH(L$4,임대자산!$D$3:$R$3,0)),
IF($D660="폐업",INDEX(폐업정보!$D$3:$R$3000,MATCH($F660,폐업정보!$I$3:$I$3000,0),MATCH(L$4,폐업정보!$D$3:$R$3,0)),
"Error"))</f>
        <v>D0655</v>
      </c>
      <c r="M660" s="76" t="s">
        <v>96</v>
      </c>
      <c r="N660" s="77"/>
      <c r="O660" s="78" t="s">
        <v>97</v>
      </c>
      <c r="P660" s="79" t="n">
        <f aca="false">COUNTIFS(임대자산!$I:$I,가맹점정보!F660,임대자산!$N:$N,가맹점정보!P$4)</f>
        <v>0</v>
      </c>
      <c r="Q660" s="80" t="n">
        <f aca="false">COUNTIFS(임대자산!$I:$I,가맹점정보!F660,임대자산!$N:$N,가맹점정보!Q$4)</f>
        <v>1</v>
      </c>
      <c r="R660" s="81" t="n">
        <f aca="false">COUNTIFS(임대자산!$I:$I,가맹점정보!F660,임대자산!$N:$N,가맹점정보!R$4)</f>
        <v>0</v>
      </c>
      <c r="S660" s="82" t="n">
        <v>55000</v>
      </c>
      <c r="T660" s="83" t="n">
        <v>0</v>
      </c>
      <c r="U660" s="80" t="n">
        <f aca="false">SUM(S660:T660)</f>
        <v>55000</v>
      </c>
      <c r="V660" s="84" t="s">
        <v>12</v>
      </c>
      <c r="W660" s="80" t="e">
        <f aca="true">
IF(D660="폐업","폐업",
IF(V660="면제","면제",
IF(AND(V660="정상",COUNTIFS(OFFSET(Y660,0,COUNTA(Y660:AV660)-1,1,-4),"미납")&gt;=3),"장기미납",
IF(AND(V660="정상",OFFSET(Y660,0,COUNTA(Y660:AV660)-1)&gt;=U660),"정상",
IF(AND(V660="정상",OFFSET(Y660,0,COUNTA(Y660:AV660)-1)=0),"정상",
"계약서 미작성")))))</f>
        <v>#VALUE!</v>
      </c>
      <c r="X660" s="81" t="str">
        <f aca="true">
IF(D660="폐업","폐업",
IF(AND(V660="정상",OFFSET(Y660,0,COUNTA(Y660:AV660)-1)="미납"),"미납",
IF(AND(V660="정상",OFFSET(Y660,0,COUNTA(Y660:AV660)-1)=0),"납부 시작 전",
IF(AND(V660="정상",OFFSET(Y660,0,COUNTA(Y660:AV660)-1)&gt;=U660),"정상",
IF(AND(V660="면제",OFFSET(Y660,0,COUNTA(Y660:AV660)-1)="면제"),"면제",
IF(AND(V660="면제",OFFSET(Y660,0,COUNTA(Y660:AV660)-1)=0),"면제",
"확인요청"))))))</f>
        <v>정상</v>
      </c>
      <c r="Y660" s="93" t="n">
        <v>55000</v>
      </c>
      <c r="Z660" s="90" t="n">
        <v>55000</v>
      </c>
      <c r="AA660" s="90" t="n">
        <v>55000</v>
      </c>
      <c r="AB660" s="90" t="n">
        <v>55000</v>
      </c>
      <c r="AC660" s="90" t="n">
        <v>55000</v>
      </c>
      <c r="AD660" s="90" t="n">
        <v>55000</v>
      </c>
      <c r="AE660" s="90" t="n">
        <v>55000</v>
      </c>
      <c r="AF660" s="90" t="n">
        <v>55000</v>
      </c>
      <c r="AG660" s="90" t="n">
        <v>55000</v>
      </c>
      <c r="AH660" s="90" t="n">
        <v>55000</v>
      </c>
      <c r="AI660" s="90" t="n">
        <v>55000</v>
      </c>
      <c r="AJ660" s="91" t="n">
        <v>55000</v>
      </c>
      <c r="AK660" s="89" t="n">
        <v>55000</v>
      </c>
      <c r="AL660" s="90" t="n">
        <v>55000</v>
      </c>
      <c r="AM660" s="90"/>
      <c r="AN660" s="90"/>
      <c r="AO660" s="90"/>
      <c r="AP660" s="90"/>
      <c r="AQ660" s="90"/>
      <c r="AR660" s="90"/>
      <c r="AS660" s="90"/>
      <c r="AT660" s="90"/>
      <c r="AU660" s="90"/>
      <c r="AV660" s="91"/>
      <c r="AX660" s="92"/>
    </row>
    <row r="661" customFormat="false" ht="15.65" hidden="false" customHeight="false" outlineLevel="0" collapsed="false">
      <c r="C661" s="72" t="n">
        <f aca="false">COUNTIFS($D$6:D661,"&lt;&gt;"&amp;"")</f>
        <v>656</v>
      </c>
      <c r="D661" s="73" t="s">
        <v>12</v>
      </c>
      <c r="E661" s="76" t="str">
        <f aca="false">
IF($D661="정상",INDEX(임대자산!$D$3:$R$3000,MATCH($F661,임대자산!$I$3:$I$3000,0),MATCH(E$3,임대자산!$D$3:$R$3,0)),
IF($D661="폐업",INDEX(폐업정보!$D$3:$R$3000,MATCH($F661,폐업정보!$I$3:$I$3000,0),MATCH(E$3,폐업정보!$D$3:$R$3,0)),
"Error"))</f>
        <v>경상</v>
      </c>
      <c r="F66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B0656</v>
      </c>
      <c r="G661" s="76" t="str">
        <f aca="false">F661&amp;RANDBETWEEN(0,10)</f>
        <v>B06569</v>
      </c>
      <c r="H661" s="75" t="n">
        <f aca="false">
IF($D661="정상",INDEX(임대자산!$D$3:$R$3000,MATCH($F661,임대자산!$I$3:$I$3000,0),MATCH(H$4,임대자산!$D$3:$R$3,0)),
IF($D661="폐업",INDEX(폐업정보!$D$3:$R$3000,MATCH($F661,폐업정보!$I$3:$I$3000,0),MATCH(H$4,폐업정보!$D$3:$R$3,0)),
"Error"))</f>
        <v>44665</v>
      </c>
      <c r="I661" s="75" t="str">
        <f aca="false">
IF($D661="정상",INDEX(임대자산!$D$3:$R$3000,MATCH($F661,임대자산!$I$3:$I$3000,0),MATCH(I$4,임대자산!$D$3:$R$3,0)),
IF($D661="폐업",INDEX(폐업정보!$D$3:$R$3000,MATCH($F661,폐업정보!$I$3:$I$3000,0),MATCH(I$4,폐업정보!$D$3:$R$3,0)),
"Error"))</f>
        <v>A0656</v>
      </c>
      <c r="J661" s="75" t="str">
        <f aca="false">
IF($D661="정상",INDEX(임대자산!$D$3:$R$3000,MATCH($F661,임대자산!$I$3:$I$3000,0),MATCH(J$4,임대자산!$D$3:$R$3,0)),
IF($D661="폐업",INDEX(폐업정보!$D$3:$R$3000,MATCH($F661,폐업정보!$I$3:$I$3000,0),MATCH(J$4,폐업정보!$D$3:$R$3,0)),
"Error"))</f>
        <v>7118700000</v>
      </c>
      <c r="K661" s="75" t="str">
        <f aca="false">
IF($D661="정상",INDEX(임대자산!$D$3:$R$3000,MATCH($F661,임대자산!$I$3:$I$3000,0),MATCH(K$4,임대자산!$D$3:$R$3,0)),
IF($D661="폐업",INDEX(폐업정보!$D$3:$R$3000,MATCH($F661,폐업정보!$I$3:$I$3000,0),MATCH(K$4,폐업정보!$D$3:$R$3,0)),
"Error"))</f>
        <v>C0656</v>
      </c>
      <c r="L661" s="75" t="str">
        <f aca="false">
IF($D661="정상",INDEX(임대자산!$D$3:$R$3000,MATCH($F661,임대자산!$I$3:$I$3000,0),MATCH(L$4,임대자산!$D$3:$R$3,0)),
IF($D661="폐업",INDEX(폐업정보!$D$3:$R$3000,MATCH($F661,폐업정보!$I$3:$I$3000,0),MATCH(L$4,폐업정보!$D$3:$R$3,0)),
"Error"))</f>
        <v>D0656</v>
      </c>
      <c r="M661" s="76" t="s">
        <v>96</v>
      </c>
      <c r="N661" s="77"/>
      <c r="O661" s="78" t="s">
        <v>97</v>
      </c>
      <c r="P661" s="79" t="n">
        <f aca="false">COUNTIFS(임대자산!$I:$I,가맹점정보!F661,임대자산!$N:$N,가맹점정보!P$4)</f>
        <v>0</v>
      </c>
      <c r="Q661" s="80" t="n">
        <f aca="false">COUNTIFS(임대자산!$I:$I,가맹점정보!F661,임대자산!$N:$N,가맹점정보!Q$4)</f>
        <v>1</v>
      </c>
      <c r="R661" s="81" t="n">
        <f aca="false">COUNTIFS(임대자산!$I:$I,가맹점정보!F661,임대자산!$N:$N,가맹점정보!R$4)</f>
        <v>0</v>
      </c>
      <c r="S661" s="82" t="n">
        <v>55000</v>
      </c>
      <c r="T661" s="83" t="n">
        <v>0</v>
      </c>
      <c r="U661" s="80" t="n">
        <f aca="false">SUM(S661:T661)</f>
        <v>55000</v>
      </c>
      <c r="V661" s="84" t="s">
        <v>12</v>
      </c>
      <c r="W661" s="80" t="e">
        <f aca="true">
IF(D661="폐업","폐업",
IF(V661="면제","면제",
IF(AND(V661="정상",COUNTIFS(OFFSET(Y661,0,COUNTA(Y661:AV661)-1,1,-4),"미납")&gt;=3),"장기미납",
IF(AND(V661="정상",OFFSET(Y661,0,COUNTA(Y661:AV661)-1)&gt;=U661),"정상",
IF(AND(V661="정상",OFFSET(Y661,0,COUNTA(Y661:AV661)-1)=0),"정상",
"계약서 미작성")))))</f>
        <v>#VALUE!</v>
      </c>
      <c r="X661" s="81" t="str">
        <f aca="true">
IF(D661="폐업","폐업",
IF(AND(V661="정상",OFFSET(Y661,0,COUNTA(Y661:AV661)-1)="미납"),"미납",
IF(AND(V661="정상",OFFSET(Y661,0,COUNTA(Y661:AV661)-1)=0),"납부 시작 전",
IF(AND(V661="정상",OFFSET(Y661,0,COUNTA(Y661:AV661)-1)&gt;=U661),"정상",
IF(AND(V661="면제",OFFSET(Y661,0,COUNTA(Y661:AV661)-1)="면제"),"면제",
IF(AND(V661="면제",OFFSET(Y661,0,COUNTA(Y661:AV661)-1)=0),"면제",
"확인요청"))))))</f>
        <v>미납</v>
      </c>
      <c r="Y661" s="93" t="n">
        <v>55000</v>
      </c>
      <c r="Z661" s="90" t="n">
        <v>55000</v>
      </c>
      <c r="AA661" s="90" t="n">
        <v>55000</v>
      </c>
      <c r="AB661" s="90" t="n">
        <v>55000</v>
      </c>
      <c r="AC661" s="90" t="n">
        <v>55000</v>
      </c>
      <c r="AD661" s="90" t="n">
        <v>55000</v>
      </c>
      <c r="AE661" s="90" t="n">
        <v>55000</v>
      </c>
      <c r="AF661" s="90" t="n">
        <v>55000</v>
      </c>
      <c r="AG661" s="90" t="n">
        <v>55000</v>
      </c>
      <c r="AH661" s="90" t="n">
        <v>55000</v>
      </c>
      <c r="AI661" s="90" t="n">
        <v>55000</v>
      </c>
      <c r="AJ661" s="91" t="n">
        <v>55000</v>
      </c>
      <c r="AK661" s="89" t="n">
        <v>55000</v>
      </c>
      <c r="AL661" s="95" t="s">
        <v>62</v>
      </c>
      <c r="AM661" s="90"/>
      <c r="AN661" s="90"/>
      <c r="AO661" s="90"/>
      <c r="AP661" s="90"/>
      <c r="AQ661" s="90"/>
      <c r="AR661" s="90"/>
      <c r="AS661" s="90"/>
      <c r="AT661" s="90"/>
      <c r="AU661" s="90"/>
      <c r="AV661" s="91"/>
      <c r="AX661" s="92"/>
    </row>
    <row r="662" customFormat="false" ht="15.65" hidden="false" customHeight="false" outlineLevel="0" collapsed="false">
      <c r="C662" s="72" t="n">
        <f aca="false">COUNTIFS($D$6:D662,"&lt;&gt;"&amp;"")</f>
        <v>657</v>
      </c>
      <c r="D662" s="73" t="s">
        <v>12</v>
      </c>
      <c r="E662" s="76" t="str">
        <f aca="false">
IF($D662="정상",INDEX(임대자산!$D$3:$R$3000,MATCH($F662,임대자산!$I$3:$I$3000,0),MATCH(E$3,임대자산!$D$3:$R$3,0)),
IF($D662="폐업",INDEX(폐업정보!$D$3:$R$3000,MATCH($F662,폐업정보!$I$3:$I$3000,0),MATCH(E$3,폐업정보!$D$3:$R$3,0)),
"Error"))</f>
        <v>경상</v>
      </c>
      <c r="F66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B0657</v>
      </c>
      <c r="G662" s="76" t="str">
        <f aca="false">F662&amp;RANDBETWEEN(0,10)</f>
        <v>B06577</v>
      </c>
      <c r="H662" s="75" t="n">
        <f aca="false">
IF($D662="정상",INDEX(임대자산!$D$3:$R$3000,MATCH($F662,임대자산!$I$3:$I$3000,0),MATCH(H$4,임대자산!$D$3:$R$3,0)),
IF($D662="폐업",INDEX(폐업정보!$D$3:$R$3000,MATCH($F662,폐업정보!$I$3:$I$3000,0),MATCH(H$4,폐업정보!$D$3:$R$3,0)),
"Error"))</f>
        <v>45419</v>
      </c>
      <c r="I662" s="75" t="str">
        <f aca="false">
IF($D662="정상",INDEX(임대자산!$D$3:$R$3000,MATCH($F662,임대자산!$I$3:$I$3000,0),MATCH(I$4,임대자산!$D$3:$R$3,0)),
IF($D662="폐업",INDEX(폐업정보!$D$3:$R$3000,MATCH($F662,폐업정보!$I$3:$I$3000,0),MATCH(I$4,폐업정보!$D$3:$R$3,0)),
"Error"))</f>
        <v>A0657</v>
      </c>
      <c r="J662" s="75" t="str">
        <f aca="false">
IF($D662="정상",INDEX(임대자산!$D$3:$R$3000,MATCH($F662,임대자산!$I$3:$I$3000,0),MATCH(J$4,임대자산!$D$3:$R$3,0)),
IF($D662="폐업",INDEX(폐업정보!$D$3:$R$3000,MATCH($F662,폐업정보!$I$3:$I$3000,0),MATCH(J$4,폐업정보!$D$3:$R$3,0)),
"Error"))</f>
        <v>5583300000</v>
      </c>
      <c r="K662" s="75" t="str">
        <f aca="false">
IF($D662="정상",INDEX(임대자산!$D$3:$R$3000,MATCH($F662,임대자산!$I$3:$I$3000,0),MATCH(K$4,임대자산!$D$3:$R$3,0)),
IF($D662="폐업",INDEX(폐업정보!$D$3:$R$3000,MATCH($F662,폐업정보!$I$3:$I$3000,0),MATCH(K$4,폐업정보!$D$3:$R$3,0)),
"Error"))</f>
        <v>C0657</v>
      </c>
      <c r="L662" s="75" t="str">
        <f aca="false">
IF($D662="정상",INDEX(임대자산!$D$3:$R$3000,MATCH($F662,임대자산!$I$3:$I$3000,0),MATCH(L$4,임대자산!$D$3:$R$3,0)),
IF($D662="폐업",INDEX(폐업정보!$D$3:$R$3000,MATCH($F662,폐업정보!$I$3:$I$3000,0),MATCH(L$4,폐업정보!$D$3:$R$3,0)),
"Error"))</f>
        <v>D0657</v>
      </c>
      <c r="M662" s="76" t="s">
        <v>96</v>
      </c>
      <c r="N662" s="77"/>
      <c r="O662" s="78" t="s">
        <v>97</v>
      </c>
      <c r="P662" s="79" t="n">
        <f aca="false">COUNTIFS(임대자산!$I:$I,가맹점정보!F662,임대자산!$N:$N,가맹점정보!P$4)</f>
        <v>0</v>
      </c>
      <c r="Q662" s="80" t="n">
        <f aca="false">COUNTIFS(임대자산!$I:$I,가맹점정보!F662,임대자산!$N:$N,가맹점정보!Q$4)</f>
        <v>1</v>
      </c>
      <c r="R662" s="81" t="n">
        <f aca="false">COUNTIFS(임대자산!$I:$I,가맹점정보!F662,임대자산!$N:$N,가맹점정보!R$4)</f>
        <v>0</v>
      </c>
      <c r="S662" s="82" t="n">
        <v>55000</v>
      </c>
      <c r="T662" s="83" t="n">
        <v>0</v>
      </c>
      <c r="U662" s="80" t="n">
        <f aca="false">SUM(S662:T662)</f>
        <v>55000</v>
      </c>
      <c r="V662" s="84" t="s">
        <v>12</v>
      </c>
      <c r="W662" s="80" t="e">
        <f aca="true">
IF(D662="폐업","폐업",
IF(V662="면제","면제",
IF(AND(V662="정상",COUNTIFS(OFFSET(Y662,0,COUNTA(Y662:AV662)-1,1,-4),"미납")&gt;=3),"장기미납",
IF(AND(V662="정상",OFFSET(Y662,0,COUNTA(Y662:AV662)-1)&gt;=U662),"정상",
IF(AND(V662="정상",OFFSET(Y662,0,COUNTA(Y662:AV662)-1)=0),"정상",
"계약서 미작성")))))</f>
        <v>#VALUE!</v>
      </c>
      <c r="X662" s="81" t="str">
        <f aca="true">
IF(D662="폐업","폐업",
IF(AND(V662="정상",OFFSET(Y662,0,COUNTA(Y662:AV662)-1)="미납"),"미납",
IF(AND(V662="정상",OFFSET(Y662,0,COUNTA(Y662:AV662)-1)=0),"납부 시작 전",
IF(AND(V662="정상",OFFSET(Y662,0,COUNTA(Y662:AV662)-1)&gt;=U662),"정상",
IF(AND(V662="면제",OFFSET(Y662,0,COUNTA(Y662:AV662)-1)="면제"),"면제",
IF(AND(V662="면제",OFFSET(Y662,0,COUNTA(Y662:AV662)-1)=0),"면제",
"확인요청"))))))</f>
        <v>정상</v>
      </c>
      <c r="Y662" s="93" t="n">
        <v>55000</v>
      </c>
      <c r="Z662" s="90" t="n">
        <v>55000</v>
      </c>
      <c r="AA662" s="90" t="n">
        <v>55000</v>
      </c>
      <c r="AB662" s="90" t="n">
        <v>55000</v>
      </c>
      <c r="AC662" s="90" t="n">
        <v>55000</v>
      </c>
      <c r="AD662" s="90" t="n">
        <v>55000</v>
      </c>
      <c r="AE662" s="90" t="n">
        <v>55000</v>
      </c>
      <c r="AF662" s="90" t="n">
        <v>55000</v>
      </c>
      <c r="AG662" s="90" t="n">
        <v>55000</v>
      </c>
      <c r="AH662" s="90" t="n">
        <v>55000</v>
      </c>
      <c r="AI662" s="90" t="n">
        <v>55000</v>
      </c>
      <c r="AJ662" s="91" t="n">
        <v>55000</v>
      </c>
      <c r="AK662" s="89" t="n">
        <v>55000</v>
      </c>
      <c r="AL662" s="90" t="n">
        <v>55000</v>
      </c>
      <c r="AM662" s="90"/>
      <c r="AN662" s="90"/>
      <c r="AO662" s="90"/>
      <c r="AP662" s="90"/>
      <c r="AQ662" s="90"/>
      <c r="AR662" s="90"/>
      <c r="AS662" s="90"/>
      <c r="AT662" s="90"/>
      <c r="AU662" s="90"/>
      <c r="AV662" s="91"/>
      <c r="AX662" s="92"/>
    </row>
    <row r="663" customFormat="false" ht="15.65" hidden="false" customHeight="false" outlineLevel="0" collapsed="false">
      <c r="C663" s="72" t="n">
        <f aca="false">COUNTIFS($D$6:D663,"&lt;&gt;"&amp;"")</f>
        <v>658</v>
      </c>
      <c r="D663" s="73" t="s">
        <v>12</v>
      </c>
      <c r="E663" s="76" t="str">
        <f aca="false">
IF($D663="정상",INDEX(임대자산!$D$3:$R$3000,MATCH($F663,임대자산!$I$3:$I$3000,0),MATCH(E$3,임대자산!$D$3:$R$3,0)),
IF($D663="폐업",INDEX(폐업정보!$D$3:$R$3000,MATCH($F663,폐업정보!$I$3:$I$3000,0),MATCH(E$3,폐업정보!$D$3:$R$3,0)),
"Error"))</f>
        <v>강원</v>
      </c>
      <c r="F66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B0658</v>
      </c>
      <c r="G663" s="76" t="str">
        <f aca="false">F663&amp;RANDBETWEEN(0,10)</f>
        <v>B06582</v>
      </c>
      <c r="H663" s="75" t="n">
        <f aca="false">
IF($D663="정상",INDEX(임대자산!$D$3:$R$3000,MATCH($F663,임대자산!$I$3:$I$3000,0),MATCH(H$4,임대자산!$D$3:$R$3,0)),
IF($D663="폐업",INDEX(폐업정보!$D$3:$R$3000,MATCH($F663,폐업정보!$I$3:$I$3000,0),MATCH(H$4,폐업정보!$D$3:$R$3,0)),
"Error"))</f>
        <v>43343</v>
      </c>
      <c r="I663" s="75" t="str">
        <f aca="false">
IF($D663="정상",INDEX(임대자산!$D$3:$R$3000,MATCH($F663,임대자산!$I$3:$I$3000,0),MATCH(I$4,임대자산!$D$3:$R$3,0)),
IF($D663="폐업",INDEX(폐업정보!$D$3:$R$3000,MATCH($F663,폐업정보!$I$3:$I$3000,0),MATCH(I$4,폐업정보!$D$3:$R$3,0)),
"Error"))</f>
        <v>A0658</v>
      </c>
      <c r="J663" s="75" t="str">
        <f aca="false">
IF($D663="정상",INDEX(임대자산!$D$3:$R$3000,MATCH($F663,임대자산!$I$3:$I$3000,0),MATCH(J$4,임대자산!$D$3:$R$3,0)),
IF($D663="폐업",INDEX(폐업정보!$D$3:$R$3000,MATCH($F663,폐업정보!$I$3:$I$3000,0),MATCH(J$4,폐업정보!$D$3:$R$3,0)),
"Error"))</f>
        <v>5118400000</v>
      </c>
      <c r="K663" s="75" t="str">
        <f aca="false">
IF($D663="정상",INDEX(임대자산!$D$3:$R$3000,MATCH($F663,임대자산!$I$3:$I$3000,0),MATCH(K$4,임대자산!$D$3:$R$3,0)),
IF($D663="폐업",INDEX(폐업정보!$D$3:$R$3000,MATCH($F663,폐업정보!$I$3:$I$3000,0),MATCH(K$4,폐업정보!$D$3:$R$3,0)),
"Error"))</f>
        <v>C0658</v>
      </c>
      <c r="L663" s="75" t="str">
        <f aca="false">
IF($D663="정상",INDEX(임대자산!$D$3:$R$3000,MATCH($F663,임대자산!$I$3:$I$3000,0),MATCH(L$4,임대자산!$D$3:$R$3,0)),
IF($D663="폐업",INDEX(폐업정보!$D$3:$R$3000,MATCH($F663,폐업정보!$I$3:$I$3000,0),MATCH(L$4,폐업정보!$D$3:$R$3,0)),
"Error"))</f>
        <v>D0658</v>
      </c>
      <c r="M663" s="76" t="s">
        <v>96</v>
      </c>
      <c r="N663" s="77"/>
      <c r="O663" s="78" t="s">
        <v>97</v>
      </c>
      <c r="P663" s="79" t="n">
        <f aca="false">COUNTIFS(임대자산!$I:$I,가맹점정보!F663,임대자산!$N:$N,가맹점정보!P$4)</f>
        <v>0</v>
      </c>
      <c r="Q663" s="80" t="n">
        <f aca="false">COUNTIFS(임대자산!$I:$I,가맹점정보!F663,임대자산!$N:$N,가맹점정보!Q$4)</f>
        <v>1</v>
      </c>
      <c r="R663" s="81" t="n">
        <f aca="false">COUNTIFS(임대자산!$I:$I,가맹점정보!F663,임대자산!$N:$N,가맹점정보!R$4)</f>
        <v>0</v>
      </c>
      <c r="S663" s="82" t="n">
        <v>55000</v>
      </c>
      <c r="T663" s="83" t="n">
        <v>0</v>
      </c>
      <c r="U663" s="80" t="n">
        <f aca="false">SUM(S663:T663)</f>
        <v>55000</v>
      </c>
      <c r="V663" s="84" t="s">
        <v>12</v>
      </c>
      <c r="W663" s="80" t="e">
        <f aca="true">
IF(D663="폐업","폐업",
IF(V663="면제","면제",
IF(AND(V663="정상",COUNTIFS(OFFSET(Y663,0,COUNTA(Y663:AV663)-1,1,-4),"미납")&gt;=3),"장기미납",
IF(AND(V663="정상",OFFSET(Y663,0,COUNTA(Y663:AV663)-1)&gt;=U663),"정상",
IF(AND(V663="정상",OFFSET(Y663,0,COUNTA(Y663:AV663)-1)=0),"정상",
"계약서 미작성")))))</f>
        <v>#VALUE!</v>
      </c>
      <c r="X663" s="81" t="str">
        <f aca="true">
IF(D663="폐업","폐업",
IF(AND(V663="정상",OFFSET(Y663,0,COUNTA(Y663:AV663)-1)="미납"),"미납",
IF(AND(V663="정상",OFFSET(Y663,0,COUNTA(Y663:AV663)-1)=0),"납부 시작 전",
IF(AND(V663="정상",OFFSET(Y663,0,COUNTA(Y663:AV663)-1)&gt;=U663),"정상",
IF(AND(V663="면제",OFFSET(Y663,0,COUNTA(Y663:AV663)-1)="면제"),"면제",
IF(AND(V663="면제",OFFSET(Y663,0,COUNTA(Y663:AV663)-1)=0),"면제",
"확인요청"))))))</f>
        <v>정상</v>
      </c>
      <c r="Y663" s="93" t="n">
        <v>55000</v>
      </c>
      <c r="Z663" s="90" t="n">
        <v>55000</v>
      </c>
      <c r="AA663" s="90" t="n">
        <v>55000</v>
      </c>
      <c r="AB663" s="90" t="n">
        <v>55000</v>
      </c>
      <c r="AC663" s="90" t="n">
        <v>55000</v>
      </c>
      <c r="AD663" s="90" t="n">
        <v>55000</v>
      </c>
      <c r="AE663" s="90" t="n">
        <v>55000</v>
      </c>
      <c r="AF663" s="95" t="s">
        <v>62</v>
      </c>
      <c r="AG663" s="95" t="s">
        <v>62</v>
      </c>
      <c r="AH663" s="90" t="n">
        <v>55000</v>
      </c>
      <c r="AI663" s="90" t="n">
        <v>55000</v>
      </c>
      <c r="AJ663" s="91" t="n">
        <v>55000</v>
      </c>
      <c r="AK663" s="89" t="n">
        <v>55000</v>
      </c>
      <c r="AL663" s="90" t="n">
        <v>55000</v>
      </c>
      <c r="AM663" s="90"/>
      <c r="AN663" s="90"/>
      <c r="AO663" s="90"/>
      <c r="AP663" s="90"/>
      <c r="AQ663" s="90"/>
      <c r="AR663" s="90"/>
      <c r="AS663" s="90"/>
      <c r="AT663" s="90"/>
      <c r="AU663" s="90"/>
      <c r="AV663" s="91"/>
      <c r="AX663" s="92"/>
    </row>
    <row r="664" customFormat="false" ht="15.65" hidden="false" customHeight="false" outlineLevel="0" collapsed="false">
      <c r="C664" s="72" t="n">
        <f aca="false">COUNTIFS($D$6:D664,"&lt;&gt;"&amp;"")</f>
        <v>659</v>
      </c>
      <c r="D664" s="73" t="s">
        <v>12</v>
      </c>
      <c r="E664" s="76" t="str">
        <f aca="false">
IF($D664="정상",INDEX(임대자산!$D$3:$R$3000,MATCH($F664,임대자산!$I$3:$I$3000,0),MATCH(E$3,임대자산!$D$3:$R$3,0)),
IF($D664="폐업",INDEX(폐업정보!$D$3:$R$3000,MATCH($F664,폐업정보!$I$3:$I$3000,0),MATCH(E$3,폐업정보!$D$3:$R$3,0)),
"Error"))</f>
        <v>서울</v>
      </c>
      <c r="F66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B0659</v>
      </c>
      <c r="G664" s="76" t="str">
        <f aca="false">F664&amp;RANDBETWEEN(0,10)</f>
        <v>B06599</v>
      </c>
      <c r="H664" s="75" t="n">
        <f aca="false">
IF($D664="정상",INDEX(임대자산!$D$3:$R$3000,MATCH($F664,임대자산!$I$3:$I$3000,0),MATCH(H$4,임대자산!$D$3:$R$3,0)),
IF($D664="폐업",INDEX(폐업정보!$D$3:$R$3000,MATCH($F664,폐업정보!$I$3:$I$3000,0),MATCH(H$4,폐업정보!$D$3:$R$3,0)),
"Error"))</f>
        <v>45894</v>
      </c>
      <c r="I664" s="75" t="str">
        <f aca="false">
IF($D664="정상",INDEX(임대자산!$D$3:$R$3000,MATCH($F664,임대자산!$I$3:$I$3000,0),MATCH(I$4,임대자산!$D$3:$R$3,0)),
IF($D664="폐업",INDEX(폐업정보!$D$3:$R$3000,MATCH($F664,폐업정보!$I$3:$I$3000,0),MATCH(I$4,폐업정보!$D$3:$R$3,0)),
"Error"))</f>
        <v>A0659</v>
      </c>
      <c r="J664" s="75" t="str">
        <f aca="false">
IF($D664="정상",INDEX(임대자산!$D$3:$R$3000,MATCH($F664,임대자산!$I$3:$I$3000,0),MATCH(J$4,임대자산!$D$3:$R$3,0)),
IF($D664="폐업",INDEX(폐업정보!$D$3:$R$3000,MATCH($F664,폐업정보!$I$3:$I$3000,0),MATCH(J$4,폐업정보!$D$3:$R$3,0)),
"Error"))</f>
        <v>8158900000</v>
      </c>
      <c r="K664" s="75" t="str">
        <f aca="false">
IF($D664="정상",INDEX(임대자산!$D$3:$R$3000,MATCH($F664,임대자산!$I$3:$I$3000,0),MATCH(K$4,임대자산!$D$3:$R$3,0)),
IF($D664="폐업",INDEX(폐업정보!$D$3:$R$3000,MATCH($F664,폐업정보!$I$3:$I$3000,0),MATCH(K$4,폐업정보!$D$3:$R$3,0)),
"Error"))</f>
        <v>C0659</v>
      </c>
      <c r="L664" s="75" t="str">
        <f aca="false">
IF($D664="정상",INDEX(임대자산!$D$3:$R$3000,MATCH($F664,임대자산!$I$3:$I$3000,0),MATCH(L$4,임대자산!$D$3:$R$3,0)),
IF($D664="폐업",INDEX(폐업정보!$D$3:$R$3000,MATCH($F664,폐업정보!$I$3:$I$3000,0),MATCH(L$4,폐업정보!$D$3:$R$3,0)),
"Error"))</f>
        <v>D0659</v>
      </c>
      <c r="M664" s="76" t="s">
        <v>96</v>
      </c>
      <c r="N664" s="77"/>
      <c r="O664" s="78" t="s">
        <v>97</v>
      </c>
      <c r="P664" s="79" t="n">
        <f aca="false">COUNTIFS(임대자산!$I:$I,가맹점정보!F664,임대자산!$N:$N,가맹점정보!P$4)</f>
        <v>0</v>
      </c>
      <c r="Q664" s="80" t="n">
        <f aca="false">COUNTIFS(임대자산!$I:$I,가맹점정보!F664,임대자산!$N:$N,가맹점정보!Q$4)</f>
        <v>1</v>
      </c>
      <c r="R664" s="81" t="n">
        <f aca="false">COUNTIFS(임대자산!$I:$I,가맹점정보!F664,임대자산!$N:$N,가맹점정보!R$4)</f>
        <v>0</v>
      </c>
      <c r="S664" s="82" t="n">
        <v>55000</v>
      </c>
      <c r="T664" s="83" t="n">
        <v>0</v>
      </c>
      <c r="U664" s="80" t="n">
        <f aca="false">SUM(S664:T664)</f>
        <v>55000</v>
      </c>
      <c r="V664" s="84" t="s">
        <v>12</v>
      </c>
      <c r="W664" s="80" t="e">
        <f aca="true">
IF(D664="폐업","폐업",
IF(V664="면제","면제",
IF(AND(V664="정상",COUNTIFS(OFFSET(Y664,0,COUNTA(Y664:AV664)-1,1,-4),"미납")&gt;=3),"장기미납",
IF(AND(V664="정상",OFFSET(Y664,0,COUNTA(Y664:AV664)-1)&gt;=U664),"정상",
IF(AND(V664="정상",OFFSET(Y664,0,COUNTA(Y664:AV664)-1)=0),"정상",
"계약서 미작성")))))</f>
        <v>#VALUE!</v>
      </c>
      <c r="X664" s="81" t="str">
        <f aca="true">
IF(D664="폐업","폐업",
IF(AND(V664="정상",OFFSET(Y664,0,COUNTA(Y664:AV664)-1)="미납"),"미납",
IF(AND(V664="정상",OFFSET(Y664,0,COUNTA(Y664:AV664)-1)=0),"납부 시작 전",
IF(AND(V664="정상",OFFSET(Y664,0,COUNTA(Y664:AV664)-1)&gt;=U664),"정상",
IF(AND(V664="면제",OFFSET(Y664,0,COUNTA(Y664:AV664)-1)="면제"),"면제",
IF(AND(V664="면제",OFFSET(Y664,0,COUNTA(Y664:AV664)-1)=0),"면제",
"확인요청"))))))</f>
        <v>정상</v>
      </c>
      <c r="Y664" s="93" t="n">
        <v>55000</v>
      </c>
      <c r="Z664" s="90" t="n">
        <v>55000</v>
      </c>
      <c r="AA664" s="90" t="n">
        <v>55000</v>
      </c>
      <c r="AB664" s="90" t="n">
        <v>55000</v>
      </c>
      <c r="AC664" s="90" t="n">
        <v>55000</v>
      </c>
      <c r="AD664" s="90" t="n">
        <v>55000</v>
      </c>
      <c r="AE664" s="90" t="n">
        <v>55000</v>
      </c>
      <c r="AF664" s="90" t="n">
        <v>55000</v>
      </c>
      <c r="AG664" s="90" t="n">
        <v>55000</v>
      </c>
      <c r="AH664" s="90" t="n">
        <v>55000</v>
      </c>
      <c r="AI664" s="90" t="n">
        <v>55000</v>
      </c>
      <c r="AJ664" s="91" t="n">
        <v>55000</v>
      </c>
      <c r="AK664" s="89" t="n">
        <v>55000</v>
      </c>
      <c r="AL664" s="90" t="n">
        <v>55000</v>
      </c>
      <c r="AM664" s="90"/>
      <c r="AN664" s="90"/>
      <c r="AO664" s="90"/>
      <c r="AP664" s="90"/>
      <c r="AQ664" s="90"/>
      <c r="AR664" s="90"/>
      <c r="AS664" s="90"/>
      <c r="AT664" s="90"/>
      <c r="AU664" s="90"/>
      <c r="AV664" s="91"/>
      <c r="AX664" s="92"/>
    </row>
    <row r="665" customFormat="false" ht="15.65" hidden="false" customHeight="false" outlineLevel="0" collapsed="false">
      <c r="C665" s="72" t="n">
        <f aca="false">COUNTIFS($D$6:D665,"&lt;&gt;"&amp;"")</f>
        <v>660</v>
      </c>
      <c r="D665" s="73" t="s">
        <v>12</v>
      </c>
      <c r="E665" s="76" t="str">
        <f aca="false">
IF($D665="정상",INDEX(임대자산!$D$3:$R$3000,MATCH($F665,임대자산!$I$3:$I$3000,0),MATCH(E$3,임대자산!$D$3:$R$3,0)),
IF($D665="폐업",INDEX(폐업정보!$D$3:$R$3000,MATCH($F665,폐업정보!$I$3:$I$3000,0),MATCH(E$3,폐업정보!$D$3:$R$3,0)),
"Error"))</f>
        <v>강원</v>
      </c>
      <c r="F66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B0660</v>
      </c>
      <c r="G665" s="76" t="str">
        <f aca="false">F665&amp;RANDBETWEEN(0,10)</f>
        <v>B06609</v>
      </c>
      <c r="H665" s="75" t="n">
        <f aca="false">
IF($D665="정상",INDEX(임대자산!$D$3:$R$3000,MATCH($F665,임대자산!$I$3:$I$3000,0),MATCH(H$4,임대자산!$D$3:$R$3,0)),
IF($D665="폐업",INDEX(폐업정보!$D$3:$R$3000,MATCH($F665,폐업정보!$I$3:$I$3000,0),MATCH(H$4,폐업정보!$D$3:$R$3,0)),
"Error"))</f>
        <v>45797</v>
      </c>
      <c r="I665" s="75" t="str">
        <f aca="false">
IF($D665="정상",INDEX(임대자산!$D$3:$R$3000,MATCH($F665,임대자산!$I$3:$I$3000,0),MATCH(I$4,임대자산!$D$3:$R$3,0)),
IF($D665="폐업",INDEX(폐업정보!$D$3:$R$3000,MATCH($F665,폐업정보!$I$3:$I$3000,0),MATCH(I$4,폐업정보!$D$3:$R$3,0)),
"Error"))</f>
        <v>A0660</v>
      </c>
      <c r="J665" s="75" t="str">
        <f aca="false">
IF($D665="정상",INDEX(임대자산!$D$3:$R$3000,MATCH($F665,임대자산!$I$3:$I$3000,0),MATCH(J$4,임대자산!$D$3:$R$3,0)),
IF($D665="폐업",INDEX(폐업정보!$D$3:$R$3000,MATCH($F665,폐업정보!$I$3:$I$3000,0),MATCH(J$4,폐업정보!$D$3:$R$3,0)),
"Error"))</f>
        <v>7179400000</v>
      </c>
      <c r="K665" s="75" t="str">
        <f aca="false">
IF($D665="정상",INDEX(임대자산!$D$3:$R$3000,MATCH($F665,임대자산!$I$3:$I$3000,0),MATCH(K$4,임대자산!$D$3:$R$3,0)),
IF($D665="폐업",INDEX(폐업정보!$D$3:$R$3000,MATCH($F665,폐업정보!$I$3:$I$3000,0),MATCH(K$4,폐업정보!$D$3:$R$3,0)),
"Error"))</f>
        <v>C0660</v>
      </c>
      <c r="L665" s="75" t="str">
        <f aca="false">
IF($D665="정상",INDEX(임대자산!$D$3:$R$3000,MATCH($F665,임대자산!$I$3:$I$3000,0),MATCH(L$4,임대자산!$D$3:$R$3,0)),
IF($D665="폐업",INDEX(폐업정보!$D$3:$R$3000,MATCH($F665,폐업정보!$I$3:$I$3000,0),MATCH(L$4,폐업정보!$D$3:$R$3,0)),
"Error"))</f>
        <v>D0660</v>
      </c>
      <c r="M665" s="76" t="s">
        <v>96</v>
      </c>
      <c r="N665" s="77"/>
      <c r="O665" s="78" t="s">
        <v>97</v>
      </c>
      <c r="P665" s="79" t="n">
        <f aca="false">COUNTIFS(임대자산!$I:$I,가맹점정보!F665,임대자산!$N:$N,가맹점정보!P$4)</f>
        <v>0</v>
      </c>
      <c r="Q665" s="80" t="n">
        <f aca="false">COUNTIFS(임대자산!$I:$I,가맹점정보!F665,임대자산!$N:$N,가맹점정보!Q$4)</f>
        <v>1</v>
      </c>
      <c r="R665" s="81" t="n">
        <f aca="false">COUNTIFS(임대자산!$I:$I,가맹점정보!F665,임대자산!$N:$N,가맹점정보!R$4)</f>
        <v>0</v>
      </c>
      <c r="S665" s="82" t="n">
        <v>55000</v>
      </c>
      <c r="T665" s="83" t="n">
        <v>0</v>
      </c>
      <c r="U665" s="80" t="n">
        <f aca="false">SUM(S665:T665)</f>
        <v>55000</v>
      </c>
      <c r="V665" s="84" t="s">
        <v>12</v>
      </c>
      <c r="W665" s="80" t="e">
        <f aca="true">
IF(D665="폐업","폐업",
IF(V665="면제","면제",
IF(AND(V665="정상",COUNTIFS(OFFSET(Y665,0,COUNTA(Y665:AV665)-1,1,-4),"미납")&gt;=3),"장기미납",
IF(AND(V665="정상",OFFSET(Y665,0,COUNTA(Y665:AV665)-1)&gt;=U665),"정상",
IF(AND(V665="정상",OFFSET(Y665,0,COUNTA(Y665:AV665)-1)=0),"정상",
"계약서 미작성")))))</f>
        <v>#VALUE!</v>
      </c>
      <c r="X665" s="81" t="str">
        <f aca="true">
IF(D665="폐업","폐업",
IF(AND(V665="정상",OFFSET(Y665,0,COUNTA(Y665:AV665)-1)="미납"),"미납",
IF(AND(V665="정상",OFFSET(Y665,0,COUNTA(Y665:AV665)-1)=0),"납부 시작 전",
IF(AND(V665="정상",OFFSET(Y665,0,COUNTA(Y665:AV665)-1)&gt;=U665),"정상",
IF(AND(V665="면제",OFFSET(Y665,0,COUNTA(Y665:AV665)-1)="면제"),"면제",
IF(AND(V665="면제",OFFSET(Y665,0,COUNTA(Y665:AV665)-1)=0),"면제",
"확인요청"))))))</f>
        <v>정상</v>
      </c>
      <c r="Y665" s="93" t="n">
        <v>55000</v>
      </c>
      <c r="Z665" s="90" t="n">
        <v>55000</v>
      </c>
      <c r="AA665" s="90" t="n">
        <v>55000</v>
      </c>
      <c r="AB665" s="90" t="n">
        <v>55000</v>
      </c>
      <c r="AC665" s="90" t="n">
        <v>55000</v>
      </c>
      <c r="AD665" s="90" t="n">
        <v>55000</v>
      </c>
      <c r="AE665" s="90" t="n">
        <v>55000</v>
      </c>
      <c r="AF665" s="90" t="n">
        <v>55000</v>
      </c>
      <c r="AG665" s="90" t="n">
        <v>55000</v>
      </c>
      <c r="AH665" s="90" t="n">
        <v>55000</v>
      </c>
      <c r="AI665" s="90" t="n">
        <v>55000</v>
      </c>
      <c r="AJ665" s="91" t="n">
        <v>55000</v>
      </c>
      <c r="AK665" s="89" t="n">
        <v>55000</v>
      </c>
      <c r="AL665" s="90" t="n">
        <v>55000</v>
      </c>
      <c r="AM665" s="90"/>
      <c r="AN665" s="90"/>
      <c r="AO665" s="90"/>
      <c r="AP665" s="90"/>
      <c r="AQ665" s="90"/>
      <c r="AR665" s="90"/>
      <c r="AS665" s="90"/>
      <c r="AT665" s="90"/>
      <c r="AU665" s="90"/>
      <c r="AV665" s="91"/>
      <c r="AX665" s="92"/>
    </row>
    <row r="666" customFormat="false" ht="15.65" hidden="false" customHeight="false" outlineLevel="0" collapsed="false">
      <c r="C666" s="72" t="n">
        <f aca="false">COUNTIFS($D$6:D666,"&lt;&gt;"&amp;"")</f>
        <v>661</v>
      </c>
      <c r="D666" s="73" t="s">
        <v>12</v>
      </c>
      <c r="E666" s="76" t="str">
        <f aca="false">
IF($D666="정상",INDEX(임대자산!$D$3:$R$3000,MATCH($F666,임대자산!$I$3:$I$3000,0),MATCH(E$3,임대자산!$D$3:$R$3,0)),
IF($D666="폐업",INDEX(폐업정보!$D$3:$R$3000,MATCH($F666,폐업정보!$I$3:$I$3000,0),MATCH(E$3,폐업정보!$D$3:$R$3,0)),
"Error"))</f>
        <v>경상</v>
      </c>
      <c r="F66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B0661</v>
      </c>
      <c r="G666" s="76" t="str">
        <f aca="false">F666&amp;RANDBETWEEN(0,10)</f>
        <v>B06617</v>
      </c>
      <c r="H666" s="75" t="n">
        <f aca="false">
IF($D666="정상",INDEX(임대자산!$D$3:$R$3000,MATCH($F666,임대자산!$I$3:$I$3000,0),MATCH(H$4,임대자산!$D$3:$R$3,0)),
IF($D666="폐업",INDEX(폐업정보!$D$3:$R$3000,MATCH($F666,폐업정보!$I$3:$I$3000,0),MATCH(H$4,폐업정보!$D$3:$R$3,0)),
"Error"))</f>
        <v>44676</v>
      </c>
      <c r="I666" s="75" t="str">
        <f aca="false">
IF($D666="정상",INDEX(임대자산!$D$3:$R$3000,MATCH($F666,임대자산!$I$3:$I$3000,0),MATCH(I$4,임대자산!$D$3:$R$3,0)),
IF($D666="폐업",INDEX(폐업정보!$D$3:$R$3000,MATCH($F666,폐업정보!$I$3:$I$3000,0),MATCH(I$4,폐업정보!$D$3:$R$3,0)),
"Error"))</f>
        <v>A0661</v>
      </c>
      <c r="J666" s="75" t="str">
        <f aca="false">
IF($D666="정상",INDEX(임대자산!$D$3:$R$3000,MATCH($F666,임대자산!$I$3:$I$3000,0),MATCH(J$4,임대자산!$D$3:$R$3,0)),
IF($D666="폐업",INDEX(폐업정보!$D$3:$R$3000,MATCH($F666,폐업정보!$I$3:$I$3000,0),MATCH(J$4,폐업정보!$D$3:$R$3,0)),
"Error"))</f>
        <v>2712500000</v>
      </c>
      <c r="K666" s="75" t="str">
        <f aca="false">
IF($D666="정상",INDEX(임대자산!$D$3:$R$3000,MATCH($F666,임대자산!$I$3:$I$3000,0),MATCH(K$4,임대자산!$D$3:$R$3,0)),
IF($D666="폐업",INDEX(폐업정보!$D$3:$R$3000,MATCH($F666,폐업정보!$I$3:$I$3000,0),MATCH(K$4,폐업정보!$D$3:$R$3,0)),
"Error"))</f>
        <v>C0661</v>
      </c>
      <c r="L666" s="75" t="str">
        <f aca="false">
IF($D666="정상",INDEX(임대자산!$D$3:$R$3000,MATCH($F666,임대자산!$I$3:$I$3000,0),MATCH(L$4,임대자산!$D$3:$R$3,0)),
IF($D666="폐업",INDEX(폐업정보!$D$3:$R$3000,MATCH($F666,폐업정보!$I$3:$I$3000,0),MATCH(L$4,폐업정보!$D$3:$R$3,0)),
"Error"))</f>
        <v>D0661</v>
      </c>
      <c r="M666" s="76" t="s">
        <v>96</v>
      </c>
      <c r="N666" s="77"/>
      <c r="O666" s="78" t="s">
        <v>97</v>
      </c>
      <c r="P666" s="79" t="n">
        <f aca="false">COUNTIFS(임대자산!$I:$I,가맹점정보!F666,임대자산!$N:$N,가맹점정보!P$4)</f>
        <v>0</v>
      </c>
      <c r="Q666" s="80" t="n">
        <f aca="false">COUNTIFS(임대자산!$I:$I,가맹점정보!F666,임대자산!$N:$N,가맹점정보!Q$4)</f>
        <v>1</v>
      </c>
      <c r="R666" s="81" t="n">
        <f aca="false">COUNTIFS(임대자산!$I:$I,가맹점정보!F666,임대자산!$N:$N,가맹점정보!R$4)</f>
        <v>0</v>
      </c>
      <c r="S666" s="82" t="n">
        <v>55000</v>
      </c>
      <c r="T666" s="83" t="n">
        <v>0</v>
      </c>
      <c r="U666" s="80" t="n">
        <f aca="false">SUM(S666:T666)</f>
        <v>55000</v>
      </c>
      <c r="V666" s="84" t="s">
        <v>12</v>
      </c>
      <c r="W666" s="80" t="e">
        <f aca="true">
IF(D666="폐업","폐업",
IF(V666="면제","면제",
IF(AND(V666="정상",COUNTIFS(OFFSET(Y666,0,COUNTA(Y666:AV666)-1,1,-4),"미납")&gt;=3),"장기미납",
IF(AND(V666="정상",OFFSET(Y666,0,COUNTA(Y666:AV666)-1)&gt;=U666),"정상",
IF(AND(V666="정상",OFFSET(Y666,0,COUNTA(Y666:AV666)-1)=0),"정상",
"계약서 미작성")))))</f>
        <v>#VALUE!</v>
      </c>
      <c r="X666" s="81" t="str">
        <f aca="true">
IF(D666="폐업","폐업",
IF(AND(V666="정상",OFFSET(Y666,0,COUNTA(Y666:AV666)-1)="미납"),"미납",
IF(AND(V666="정상",OFFSET(Y666,0,COUNTA(Y666:AV666)-1)=0),"납부 시작 전",
IF(AND(V666="정상",OFFSET(Y666,0,COUNTA(Y666:AV666)-1)&gt;=U666),"정상",
IF(AND(V666="면제",OFFSET(Y666,0,COUNTA(Y666:AV666)-1)="면제"),"면제",
IF(AND(V666="면제",OFFSET(Y666,0,COUNTA(Y666:AV666)-1)=0),"면제",
"확인요청"))))))</f>
        <v>정상</v>
      </c>
      <c r="Y666" s="93" t="n">
        <v>55000</v>
      </c>
      <c r="Z666" s="90" t="n">
        <v>55000</v>
      </c>
      <c r="AA666" s="90" t="n">
        <v>55000</v>
      </c>
      <c r="AB666" s="90" t="n">
        <v>55000</v>
      </c>
      <c r="AC666" s="90" t="n">
        <v>55000</v>
      </c>
      <c r="AD666" s="90" t="n">
        <v>55000</v>
      </c>
      <c r="AE666" s="90" t="n">
        <v>55000</v>
      </c>
      <c r="AF666" s="90" t="n">
        <v>55000</v>
      </c>
      <c r="AG666" s="90" t="n">
        <v>55000</v>
      </c>
      <c r="AH666" s="90" t="n">
        <v>55000</v>
      </c>
      <c r="AI666" s="90" t="n">
        <v>55000</v>
      </c>
      <c r="AJ666" s="91" t="n">
        <v>55000</v>
      </c>
      <c r="AK666" s="89" t="n">
        <v>55000</v>
      </c>
      <c r="AL666" s="90" t="n">
        <v>55000</v>
      </c>
      <c r="AM666" s="90"/>
      <c r="AN666" s="90"/>
      <c r="AO666" s="90"/>
      <c r="AP666" s="90"/>
      <c r="AQ666" s="90"/>
      <c r="AR666" s="90"/>
      <c r="AS666" s="90"/>
      <c r="AT666" s="90"/>
      <c r="AU666" s="90"/>
      <c r="AV666" s="91"/>
      <c r="AX666" s="92"/>
    </row>
    <row r="667" customFormat="false" ht="15.65" hidden="false" customHeight="false" outlineLevel="0" collapsed="false">
      <c r="C667" s="72" t="n">
        <f aca="false">COUNTIFS($D$6:D667,"&lt;&gt;"&amp;"")</f>
        <v>662</v>
      </c>
      <c r="D667" s="73" t="s">
        <v>12</v>
      </c>
      <c r="E667" s="76" t="str">
        <f aca="false">
IF($D667="정상",INDEX(임대자산!$D$3:$R$3000,MATCH($F667,임대자산!$I$3:$I$3000,0),MATCH(E$3,임대자산!$D$3:$R$3,0)),
IF($D667="폐업",INDEX(폐업정보!$D$3:$R$3000,MATCH($F667,폐업정보!$I$3:$I$3000,0),MATCH(E$3,폐업정보!$D$3:$R$3,0)),
"Error"))</f>
        <v>경기</v>
      </c>
      <c r="F66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B0662</v>
      </c>
      <c r="G667" s="76" t="str">
        <f aca="false">F667&amp;RANDBETWEEN(0,10)</f>
        <v>B066210</v>
      </c>
      <c r="H667" s="75" t="n">
        <f aca="false">
IF($D667="정상",INDEX(임대자산!$D$3:$R$3000,MATCH($F667,임대자산!$I$3:$I$3000,0),MATCH(H$4,임대자산!$D$3:$R$3,0)),
IF($D667="폐업",INDEX(폐업정보!$D$3:$R$3000,MATCH($F667,폐업정보!$I$3:$I$3000,0),MATCH(H$4,폐업정보!$D$3:$R$3,0)),
"Error"))</f>
        <v>45993</v>
      </c>
      <c r="I667" s="75" t="str">
        <f aca="false">
IF($D667="정상",INDEX(임대자산!$D$3:$R$3000,MATCH($F667,임대자산!$I$3:$I$3000,0),MATCH(I$4,임대자산!$D$3:$R$3,0)),
IF($D667="폐업",INDEX(폐업정보!$D$3:$R$3000,MATCH($F667,폐업정보!$I$3:$I$3000,0),MATCH(I$4,폐업정보!$D$3:$R$3,0)),
"Error"))</f>
        <v>A0662</v>
      </c>
      <c r="J667" s="75" t="str">
        <f aca="false">
IF($D667="정상",INDEX(임대자산!$D$3:$R$3000,MATCH($F667,임대자산!$I$3:$I$3000,0),MATCH(J$4,임대자산!$D$3:$R$3,0)),
IF($D667="폐업",INDEX(폐업정보!$D$3:$R$3000,MATCH($F667,폐업정보!$I$3:$I$3000,0),MATCH(J$4,폐업정보!$D$3:$R$3,0)),
"Error"))</f>
        <v>5219900000</v>
      </c>
      <c r="K667" s="75" t="str">
        <f aca="false">
IF($D667="정상",INDEX(임대자산!$D$3:$R$3000,MATCH($F667,임대자산!$I$3:$I$3000,0),MATCH(K$4,임대자산!$D$3:$R$3,0)),
IF($D667="폐업",INDEX(폐업정보!$D$3:$R$3000,MATCH($F667,폐업정보!$I$3:$I$3000,0),MATCH(K$4,폐업정보!$D$3:$R$3,0)),
"Error"))</f>
        <v>C0662</v>
      </c>
      <c r="L667" s="75" t="str">
        <f aca="false">
IF($D667="정상",INDEX(임대자산!$D$3:$R$3000,MATCH($F667,임대자산!$I$3:$I$3000,0),MATCH(L$4,임대자산!$D$3:$R$3,0)),
IF($D667="폐업",INDEX(폐업정보!$D$3:$R$3000,MATCH($F667,폐업정보!$I$3:$I$3000,0),MATCH(L$4,폐업정보!$D$3:$R$3,0)),
"Error"))</f>
        <v>D0662</v>
      </c>
      <c r="M667" s="76" t="s">
        <v>96</v>
      </c>
      <c r="N667" s="77"/>
      <c r="O667" s="78" t="s">
        <v>97</v>
      </c>
      <c r="P667" s="79" t="n">
        <f aca="false">COUNTIFS(임대자산!$I:$I,가맹점정보!F667,임대자산!$N:$N,가맹점정보!P$4)</f>
        <v>0</v>
      </c>
      <c r="Q667" s="80" t="n">
        <f aca="false">COUNTIFS(임대자산!$I:$I,가맹점정보!F667,임대자산!$N:$N,가맹점정보!Q$4)</f>
        <v>1</v>
      </c>
      <c r="R667" s="81" t="n">
        <f aca="false">COUNTIFS(임대자산!$I:$I,가맹점정보!F667,임대자산!$N:$N,가맹점정보!R$4)</f>
        <v>0</v>
      </c>
      <c r="S667" s="82" t="n">
        <v>88000</v>
      </c>
      <c r="T667" s="83" t="n">
        <v>0</v>
      </c>
      <c r="U667" s="80" t="n">
        <f aca="false">SUM(S667:T667)</f>
        <v>88000</v>
      </c>
      <c r="V667" s="84" t="s">
        <v>7</v>
      </c>
      <c r="W667" s="80" t="str">
        <f aca="true">
IF(D667="폐업","폐업",
IF(V667="면제","면제",
IF(AND(V667="정상",COUNTIFS(OFFSET(Y667,0,COUNTA(Y667:AV667)-1,1,-4),"미납")&gt;=3),"장기미납",
IF(AND(V667="정상",OFFSET(Y667,0,COUNTA(Y667:AV667)-1)&gt;=U667),"정상",
IF(AND(V667="정상",OFFSET(Y667,0,COUNTA(Y667:AV667)-1)=0),"정상",
"계약서 미작성")))))</f>
        <v>면제</v>
      </c>
      <c r="X667" s="81" t="str">
        <f aca="true">
IF(D667="폐업","폐업",
IF(AND(V667="정상",OFFSET(Y667,0,COUNTA(Y667:AV667)-1)="미납"),"미납",
IF(AND(V667="정상",OFFSET(Y667,0,COUNTA(Y667:AV667)-1)=0),"납부 시작 전",
IF(AND(V667="정상",OFFSET(Y667,0,COUNTA(Y667:AV667)-1)&gt;=U667),"정상",
IF(AND(V667="면제",OFFSET(Y667,0,COUNTA(Y667:AV667)-1)="면제"),"면제",
IF(AND(V667="면제",OFFSET(Y667,0,COUNTA(Y667:AV667)-1)=0),"면제",
"확인요청"))))))</f>
        <v>면제</v>
      </c>
      <c r="Y667" s="93" t="n">
        <v>88000</v>
      </c>
      <c r="Z667" s="90" t="n">
        <v>88000</v>
      </c>
      <c r="AA667" s="90" t="n">
        <v>88000</v>
      </c>
      <c r="AB667" s="90" t="n">
        <v>88000</v>
      </c>
      <c r="AC667" s="90" t="n">
        <v>88000</v>
      </c>
      <c r="AD667" s="90" t="n">
        <v>88000</v>
      </c>
      <c r="AE667" s="90" t="n">
        <v>88000</v>
      </c>
      <c r="AF667" s="90" t="n">
        <v>88000</v>
      </c>
      <c r="AG667" s="95" t="s">
        <v>7</v>
      </c>
      <c r="AH667" s="95" t="s">
        <v>7</v>
      </c>
      <c r="AI667" s="95" t="s">
        <v>7</v>
      </c>
      <c r="AJ667" s="96" t="s">
        <v>7</v>
      </c>
      <c r="AK667" s="97" t="s">
        <v>7</v>
      </c>
      <c r="AL667" s="95" t="s">
        <v>7</v>
      </c>
      <c r="AM667" s="90"/>
      <c r="AN667" s="90"/>
      <c r="AO667" s="90"/>
      <c r="AP667" s="90"/>
      <c r="AQ667" s="90"/>
      <c r="AR667" s="90"/>
      <c r="AS667" s="90"/>
      <c r="AT667" s="90"/>
      <c r="AU667" s="90"/>
      <c r="AV667" s="91"/>
      <c r="AX667" s="92"/>
    </row>
    <row r="668" customFormat="false" ht="15.65" hidden="false" customHeight="false" outlineLevel="0" collapsed="false">
      <c r="C668" s="72" t="n">
        <f aca="false">COUNTIFS($D$6:D668,"&lt;&gt;"&amp;"")</f>
        <v>663</v>
      </c>
      <c r="D668" s="73" t="s">
        <v>12</v>
      </c>
      <c r="E668" s="76" t="str">
        <f aca="false">
IF($D668="정상",INDEX(임대자산!$D$3:$R$3000,MATCH($F668,임대자산!$I$3:$I$3000,0),MATCH(E$3,임대자산!$D$3:$R$3,0)),
IF($D668="폐업",INDEX(폐업정보!$D$3:$R$3000,MATCH($F668,폐업정보!$I$3:$I$3000,0),MATCH(E$3,폐업정보!$D$3:$R$3,0)),
"Error"))</f>
        <v>경상</v>
      </c>
      <c r="F66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B0663</v>
      </c>
      <c r="G668" s="76" t="str">
        <f aca="false">F668&amp;RANDBETWEEN(0,10)</f>
        <v>B06633</v>
      </c>
      <c r="H668" s="75" t="n">
        <f aca="false">
IF($D668="정상",INDEX(임대자산!$D$3:$R$3000,MATCH($F668,임대자산!$I$3:$I$3000,0),MATCH(H$4,임대자산!$D$3:$R$3,0)),
IF($D668="폐업",INDEX(폐업정보!$D$3:$R$3000,MATCH($F668,폐업정보!$I$3:$I$3000,0),MATCH(H$4,폐업정보!$D$3:$R$3,0)),
"Error"))</f>
        <v>44701</v>
      </c>
      <c r="I668" s="75" t="str">
        <f aca="false">
IF($D668="정상",INDEX(임대자산!$D$3:$R$3000,MATCH($F668,임대자산!$I$3:$I$3000,0),MATCH(I$4,임대자산!$D$3:$R$3,0)),
IF($D668="폐업",INDEX(폐업정보!$D$3:$R$3000,MATCH($F668,폐업정보!$I$3:$I$3000,0),MATCH(I$4,폐업정보!$D$3:$R$3,0)),
"Error"))</f>
        <v>A0663</v>
      </c>
      <c r="J668" s="75" t="str">
        <f aca="false">
IF($D668="정상",INDEX(임대자산!$D$3:$R$3000,MATCH($F668,임대자산!$I$3:$I$3000,0),MATCH(J$4,임대자산!$D$3:$R$3,0)),
IF($D668="폐업",INDEX(폐업정보!$D$3:$R$3000,MATCH($F668,폐업정보!$I$3:$I$3000,0),MATCH(J$4,폐업정보!$D$3:$R$3,0)),
"Error"))</f>
        <v>3669200000</v>
      </c>
      <c r="K668" s="75" t="str">
        <f aca="false">
IF($D668="정상",INDEX(임대자산!$D$3:$R$3000,MATCH($F668,임대자산!$I$3:$I$3000,0),MATCH(K$4,임대자산!$D$3:$R$3,0)),
IF($D668="폐업",INDEX(폐업정보!$D$3:$R$3000,MATCH($F668,폐업정보!$I$3:$I$3000,0),MATCH(K$4,폐업정보!$D$3:$R$3,0)),
"Error"))</f>
        <v>C0663</v>
      </c>
      <c r="L668" s="75" t="str">
        <f aca="false">
IF($D668="정상",INDEX(임대자산!$D$3:$R$3000,MATCH($F668,임대자산!$I$3:$I$3000,0),MATCH(L$4,임대자산!$D$3:$R$3,0)),
IF($D668="폐업",INDEX(폐업정보!$D$3:$R$3000,MATCH($F668,폐업정보!$I$3:$I$3000,0),MATCH(L$4,폐업정보!$D$3:$R$3,0)),
"Error"))</f>
        <v>D0663</v>
      </c>
      <c r="M668" s="76" t="s">
        <v>96</v>
      </c>
      <c r="N668" s="77"/>
      <c r="O668" s="78" t="s">
        <v>97</v>
      </c>
      <c r="P668" s="79" t="n">
        <f aca="false">COUNTIFS(임대자산!$I:$I,가맹점정보!F668,임대자산!$N:$N,가맹점정보!P$4)</f>
        <v>0</v>
      </c>
      <c r="Q668" s="80" t="n">
        <f aca="false">COUNTIFS(임대자산!$I:$I,가맹점정보!F668,임대자산!$N:$N,가맹점정보!Q$4)</f>
        <v>1</v>
      </c>
      <c r="R668" s="81" t="n">
        <f aca="false">COUNTIFS(임대자산!$I:$I,가맹점정보!F668,임대자산!$N:$N,가맹점정보!R$4)</f>
        <v>0</v>
      </c>
      <c r="S668" s="82" t="n">
        <v>55000</v>
      </c>
      <c r="T668" s="83" t="n">
        <v>0</v>
      </c>
      <c r="U668" s="80" t="n">
        <f aca="false">SUM(S668:T668)</f>
        <v>55000</v>
      </c>
      <c r="V668" s="84" t="s">
        <v>12</v>
      </c>
      <c r="W668" s="80" t="e">
        <f aca="true">
IF(D668="폐업","폐업",
IF(V668="면제","면제",
IF(AND(V668="정상",COUNTIFS(OFFSET(Y668,0,COUNTA(Y668:AV668)-1,1,-4),"미납")&gt;=3),"장기미납",
IF(AND(V668="정상",OFFSET(Y668,0,COUNTA(Y668:AV668)-1)&gt;=U668),"정상",
IF(AND(V668="정상",OFFSET(Y668,0,COUNTA(Y668:AV668)-1)=0),"정상",
"계약서 미작성")))))</f>
        <v>#VALUE!</v>
      </c>
      <c r="X668" s="81" t="str">
        <f aca="true">
IF(D668="폐업","폐업",
IF(AND(V668="정상",OFFSET(Y668,0,COUNTA(Y668:AV668)-1)="미납"),"미납",
IF(AND(V668="정상",OFFSET(Y668,0,COUNTA(Y668:AV668)-1)=0),"납부 시작 전",
IF(AND(V668="정상",OFFSET(Y668,0,COUNTA(Y668:AV668)-1)&gt;=U668),"정상",
IF(AND(V668="면제",OFFSET(Y668,0,COUNTA(Y668:AV668)-1)="면제"),"면제",
IF(AND(V668="면제",OFFSET(Y668,0,COUNTA(Y668:AV668)-1)=0),"면제",
"확인요청"))))))</f>
        <v>정상</v>
      </c>
      <c r="Y668" s="93" t="n">
        <v>55000</v>
      </c>
      <c r="Z668" s="90" t="n">
        <v>55000</v>
      </c>
      <c r="AA668" s="90" t="n">
        <v>55000</v>
      </c>
      <c r="AB668" s="90" t="n">
        <v>55000</v>
      </c>
      <c r="AC668" s="90" t="n">
        <v>55000</v>
      </c>
      <c r="AD668" s="90" t="n">
        <v>55000</v>
      </c>
      <c r="AE668" s="90" t="n">
        <v>55000</v>
      </c>
      <c r="AF668" s="90" t="n">
        <v>55000</v>
      </c>
      <c r="AG668" s="90" t="n">
        <v>55000</v>
      </c>
      <c r="AH668" s="90" t="n">
        <v>55000</v>
      </c>
      <c r="AI668" s="90" t="n">
        <v>55000</v>
      </c>
      <c r="AJ668" s="91" t="n">
        <v>55000</v>
      </c>
      <c r="AK668" s="89" t="n">
        <v>55000</v>
      </c>
      <c r="AL668" s="90" t="n">
        <v>55000</v>
      </c>
      <c r="AM668" s="90"/>
      <c r="AN668" s="90"/>
      <c r="AO668" s="90"/>
      <c r="AP668" s="90"/>
      <c r="AQ668" s="90"/>
      <c r="AR668" s="90"/>
      <c r="AS668" s="90"/>
      <c r="AT668" s="90"/>
      <c r="AU668" s="90"/>
      <c r="AV668" s="91"/>
      <c r="AX668" s="92"/>
    </row>
    <row r="669" customFormat="false" ht="15.65" hidden="false" customHeight="false" outlineLevel="0" collapsed="false">
      <c r="C669" s="72" t="n">
        <f aca="false">COUNTIFS($D$6:D669,"&lt;&gt;"&amp;"")</f>
        <v>664</v>
      </c>
      <c r="D669" s="73" t="s">
        <v>12</v>
      </c>
      <c r="E669" s="76" t="str">
        <f aca="false">
IF($D669="정상",INDEX(임대자산!$D$3:$R$3000,MATCH($F669,임대자산!$I$3:$I$3000,0),MATCH(E$3,임대자산!$D$3:$R$3,0)),
IF($D669="폐업",INDEX(폐업정보!$D$3:$R$3000,MATCH($F669,폐업정보!$I$3:$I$3000,0),MATCH(E$3,폐업정보!$D$3:$R$3,0)),
"Error"))</f>
        <v>강원</v>
      </c>
      <c r="F66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B0664</v>
      </c>
      <c r="G669" s="76" t="str">
        <f aca="false">F669&amp;RANDBETWEEN(0,10)</f>
        <v>B06641</v>
      </c>
      <c r="H669" s="75" t="n">
        <f aca="false">
IF($D669="정상",INDEX(임대자산!$D$3:$R$3000,MATCH($F669,임대자산!$I$3:$I$3000,0),MATCH(H$4,임대자산!$D$3:$R$3,0)),
IF($D669="폐업",INDEX(폐업정보!$D$3:$R$3000,MATCH($F669,폐업정보!$I$3:$I$3000,0),MATCH(H$4,폐업정보!$D$3:$R$3,0)),
"Error"))</f>
        <v>43984</v>
      </c>
      <c r="I669" s="75" t="str">
        <f aca="false">
IF($D669="정상",INDEX(임대자산!$D$3:$R$3000,MATCH($F669,임대자산!$I$3:$I$3000,0),MATCH(I$4,임대자산!$D$3:$R$3,0)),
IF($D669="폐업",INDEX(폐업정보!$D$3:$R$3000,MATCH($F669,폐업정보!$I$3:$I$3000,0),MATCH(I$4,폐업정보!$D$3:$R$3,0)),
"Error"))</f>
        <v>A0664</v>
      </c>
      <c r="J669" s="75" t="str">
        <f aca="false">
IF($D669="정상",INDEX(임대자산!$D$3:$R$3000,MATCH($F669,임대자산!$I$3:$I$3000,0),MATCH(J$4,임대자산!$D$3:$R$3,0)),
IF($D669="폐업",INDEX(폐업정보!$D$3:$R$3000,MATCH($F669,폐업정보!$I$3:$I$3000,0),MATCH(J$4,폐업정보!$D$3:$R$3,0)),
"Error"))</f>
        <v>2842900000</v>
      </c>
      <c r="K669" s="75" t="str">
        <f aca="false">
IF($D669="정상",INDEX(임대자산!$D$3:$R$3000,MATCH($F669,임대자산!$I$3:$I$3000,0),MATCH(K$4,임대자산!$D$3:$R$3,0)),
IF($D669="폐업",INDEX(폐업정보!$D$3:$R$3000,MATCH($F669,폐업정보!$I$3:$I$3000,0),MATCH(K$4,폐업정보!$D$3:$R$3,0)),
"Error"))</f>
        <v>C0664</v>
      </c>
      <c r="L669" s="75" t="str">
        <f aca="false">
IF($D669="정상",INDEX(임대자산!$D$3:$R$3000,MATCH($F669,임대자산!$I$3:$I$3000,0),MATCH(L$4,임대자산!$D$3:$R$3,0)),
IF($D669="폐업",INDEX(폐업정보!$D$3:$R$3000,MATCH($F669,폐업정보!$I$3:$I$3000,0),MATCH(L$4,폐업정보!$D$3:$R$3,0)),
"Error"))</f>
        <v>D0664</v>
      </c>
      <c r="M669" s="76" t="s">
        <v>96</v>
      </c>
      <c r="N669" s="77"/>
      <c r="O669" s="78" t="s">
        <v>97</v>
      </c>
      <c r="P669" s="79" t="n">
        <f aca="false">COUNTIFS(임대자산!$I:$I,가맹점정보!F669,임대자산!$N:$N,가맹점정보!P$4)</f>
        <v>0</v>
      </c>
      <c r="Q669" s="80" t="n">
        <f aca="false">COUNTIFS(임대자산!$I:$I,가맹점정보!F669,임대자산!$N:$N,가맹점정보!Q$4)</f>
        <v>1</v>
      </c>
      <c r="R669" s="81" t="n">
        <f aca="false">COUNTIFS(임대자산!$I:$I,가맹점정보!F669,임대자산!$N:$N,가맹점정보!R$4)</f>
        <v>0</v>
      </c>
      <c r="S669" s="82" t="n">
        <v>55000</v>
      </c>
      <c r="T669" s="83" t="n">
        <v>0</v>
      </c>
      <c r="U669" s="80" t="n">
        <f aca="false">SUM(S669:T669)</f>
        <v>55000</v>
      </c>
      <c r="V669" s="84" t="s">
        <v>12</v>
      </c>
      <c r="W669" s="80" t="e">
        <f aca="true">
IF(D669="폐업","폐업",
IF(V669="면제","면제",
IF(AND(V669="정상",COUNTIFS(OFFSET(Y669,0,COUNTA(Y669:AV669)-1,1,-4),"미납")&gt;=3),"장기미납",
IF(AND(V669="정상",OFFSET(Y669,0,COUNTA(Y669:AV669)-1)&gt;=U669),"정상",
IF(AND(V669="정상",OFFSET(Y669,0,COUNTA(Y669:AV669)-1)=0),"정상",
"계약서 미작성")))))</f>
        <v>#VALUE!</v>
      </c>
      <c r="X669" s="81" t="str">
        <f aca="true">
IF(D669="폐업","폐업",
IF(AND(V669="정상",OFFSET(Y669,0,COUNTA(Y669:AV669)-1)="미납"),"미납",
IF(AND(V669="정상",OFFSET(Y669,0,COUNTA(Y669:AV669)-1)=0),"납부 시작 전",
IF(AND(V669="정상",OFFSET(Y669,0,COUNTA(Y669:AV669)-1)&gt;=U669),"정상",
IF(AND(V669="면제",OFFSET(Y669,0,COUNTA(Y669:AV669)-1)="면제"),"면제",
IF(AND(V669="면제",OFFSET(Y669,0,COUNTA(Y669:AV669)-1)=0),"면제",
"확인요청"))))))</f>
        <v>정상</v>
      </c>
      <c r="Y669" s="93" t="n">
        <v>55000</v>
      </c>
      <c r="Z669" s="90" t="n">
        <v>55000</v>
      </c>
      <c r="AA669" s="90" t="n">
        <v>55000</v>
      </c>
      <c r="AB669" s="90" t="n">
        <v>55000</v>
      </c>
      <c r="AC669" s="90" t="n">
        <v>55000</v>
      </c>
      <c r="AD669" s="90" t="n">
        <v>55000</v>
      </c>
      <c r="AE669" s="90" t="n">
        <v>55000</v>
      </c>
      <c r="AF669" s="90" t="n">
        <v>55000</v>
      </c>
      <c r="AG669" s="90" t="n">
        <v>55000</v>
      </c>
      <c r="AH669" s="90" t="n">
        <v>55000</v>
      </c>
      <c r="AI669" s="90" t="n">
        <v>55000</v>
      </c>
      <c r="AJ669" s="91" t="n">
        <v>55000</v>
      </c>
      <c r="AK669" s="89" t="n">
        <v>55000</v>
      </c>
      <c r="AL669" s="90" t="n">
        <v>55000</v>
      </c>
      <c r="AM669" s="90"/>
      <c r="AN669" s="90"/>
      <c r="AO669" s="90"/>
      <c r="AP669" s="90"/>
      <c r="AQ669" s="90"/>
      <c r="AR669" s="90"/>
      <c r="AS669" s="90"/>
      <c r="AT669" s="90"/>
      <c r="AU669" s="90"/>
      <c r="AV669" s="91"/>
      <c r="AX669" s="92"/>
    </row>
    <row r="670" customFormat="false" ht="15.65" hidden="false" customHeight="false" outlineLevel="0" collapsed="false">
      <c r="C670" s="72" t="n">
        <f aca="false">COUNTIFS($D$6:D670,"&lt;&gt;"&amp;"")</f>
        <v>665</v>
      </c>
      <c r="D670" s="73" t="s">
        <v>12</v>
      </c>
      <c r="E670" s="76" t="str">
        <f aca="false">
IF($D670="정상",INDEX(임대자산!$D$3:$R$3000,MATCH($F670,임대자산!$I$3:$I$3000,0),MATCH(E$3,임대자산!$D$3:$R$3,0)),
IF($D670="폐업",INDEX(폐업정보!$D$3:$R$3000,MATCH($F670,폐업정보!$I$3:$I$3000,0),MATCH(E$3,폐업정보!$D$3:$R$3,0)),
"Error"))</f>
        <v>강원</v>
      </c>
      <c r="F67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B0665</v>
      </c>
      <c r="G670" s="76" t="str">
        <f aca="false">F670&amp;RANDBETWEEN(0,10)</f>
        <v>B06657</v>
      </c>
      <c r="H670" s="75" t="n">
        <f aca="false">
IF($D670="정상",INDEX(임대자산!$D$3:$R$3000,MATCH($F670,임대자산!$I$3:$I$3000,0),MATCH(H$4,임대자산!$D$3:$R$3,0)),
IF($D670="폐업",INDEX(폐업정보!$D$3:$R$3000,MATCH($F670,폐업정보!$I$3:$I$3000,0),MATCH(H$4,폐업정보!$D$3:$R$3,0)),
"Error"))</f>
        <v>45120</v>
      </c>
      <c r="I670" s="75" t="str">
        <f aca="false">
IF($D670="정상",INDEX(임대자산!$D$3:$R$3000,MATCH($F670,임대자산!$I$3:$I$3000,0),MATCH(I$4,임대자산!$D$3:$R$3,0)),
IF($D670="폐업",INDEX(폐업정보!$D$3:$R$3000,MATCH($F670,폐업정보!$I$3:$I$3000,0),MATCH(I$4,폐업정보!$D$3:$R$3,0)),
"Error"))</f>
        <v>A0665</v>
      </c>
      <c r="J670" s="75" t="str">
        <f aca="false">
IF($D670="정상",INDEX(임대자산!$D$3:$R$3000,MATCH($F670,임대자산!$I$3:$I$3000,0),MATCH(J$4,임대자산!$D$3:$R$3,0)),
IF($D670="폐업",INDEX(폐업정보!$D$3:$R$3000,MATCH($F670,폐업정보!$I$3:$I$3000,0),MATCH(J$4,폐업정보!$D$3:$R$3,0)),
"Error"))</f>
        <v>1681300000</v>
      </c>
      <c r="K670" s="75" t="str">
        <f aca="false">
IF($D670="정상",INDEX(임대자산!$D$3:$R$3000,MATCH($F670,임대자산!$I$3:$I$3000,0),MATCH(K$4,임대자산!$D$3:$R$3,0)),
IF($D670="폐업",INDEX(폐업정보!$D$3:$R$3000,MATCH($F670,폐업정보!$I$3:$I$3000,0),MATCH(K$4,폐업정보!$D$3:$R$3,0)),
"Error"))</f>
        <v>C0665</v>
      </c>
      <c r="L670" s="75" t="str">
        <f aca="false">
IF($D670="정상",INDEX(임대자산!$D$3:$R$3000,MATCH($F670,임대자산!$I$3:$I$3000,0),MATCH(L$4,임대자산!$D$3:$R$3,0)),
IF($D670="폐업",INDEX(폐업정보!$D$3:$R$3000,MATCH($F670,폐업정보!$I$3:$I$3000,0),MATCH(L$4,폐업정보!$D$3:$R$3,0)),
"Error"))</f>
        <v>D0665</v>
      </c>
      <c r="M670" s="76" t="s">
        <v>96</v>
      </c>
      <c r="N670" s="77"/>
      <c r="O670" s="78" t="s">
        <v>97</v>
      </c>
      <c r="P670" s="79" t="n">
        <f aca="false">COUNTIFS(임대자산!$I:$I,가맹점정보!F670,임대자산!$N:$N,가맹점정보!P$4)</f>
        <v>0</v>
      </c>
      <c r="Q670" s="80" t="n">
        <f aca="false">COUNTIFS(임대자산!$I:$I,가맹점정보!F670,임대자산!$N:$N,가맹점정보!Q$4)</f>
        <v>1</v>
      </c>
      <c r="R670" s="81" t="n">
        <f aca="false">COUNTIFS(임대자산!$I:$I,가맹점정보!F670,임대자산!$N:$N,가맹점정보!R$4)</f>
        <v>0</v>
      </c>
      <c r="S670" s="82" t="n">
        <v>55000</v>
      </c>
      <c r="T670" s="83" t="n">
        <v>0</v>
      </c>
      <c r="U670" s="80" t="n">
        <f aca="false">SUM(S670:T670)</f>
        <v>55000</v>
      </c>
      <c r="V670" s="84" t="s">
        <v>12</v>
      </c>
      <c r="W670" s="80" t="e">
        <f aca="true">
IF(D670="폐업","폐업",
IF(V670="면제","면제",
IF(AND(V670="정상",COUNTIFS(OFFSET(Y670,0,COUNTA(Y670:AV670)-1,1,-4),"미납")&gt;=3),"장기미납",
IF(AND(V670="정상",OFFSET(Y670,0,COUNTA(Y670:AV670)-1)&gt;=U670),"정상",
IF(AND(V670="정상",OFFSET(Y670,0,COUNTA(Y670:AV670)-1)=0),"정상",
"계약서 미작성")))))</f>
        <v>#VALUE!</v>
      </c>
      <c r="X670" s="81" t="str">
        <f aca="true">
IF(D670="폐업","폐업",
IF(AND(V670="정상",OFFSET(Y670,0,COUNTA(Y670:AV670)-1)="미납"),"미납",
IF(AND(V670="정상",OFFSET(Y670,0,COUNTA(Y670:AV670)-1)=0),"납부 시작 전",
IF(AND(V670="정상",OFFSET(Y670,0,COUNTA(Y670:AV670)-1)&gt;=U670),"정상",
IF(AND(V670="면제",OFFSET(Y670,0,COUNTA(Y670:AV670)-1)="면제"),"면제",
IF(AND(V670="면제",OFFSET(Y670,0,COUNTA(Y670:AV670)-1)=0),"면제",
"확인요청"))))))</f>
        <v>정상</v>
      </c>
      <c r="Y670" s="93" t="n">
        <v>55000</v>
      </c>
      <c r="Z670" s="90" t="n">
        <v>55000</v>
      </c>
      <c r="AA670" s="90" t="n">
        <v>55000</v>
      </c>
      <c r="AB670" s="90" t="n">
        <v>55000</v>
      </c>
      <c r="AC670" s="90" t="n">
        <v>55000</v>
      </c>
      <c r="AD670" s="90" t="n">
        <v>55000</v>
      </c>
      <c r="AE670" s="90" t="n">
        <v>55000</v>
      </c>
      <c r="AF670" s="90" t="n">
        <v>55000</v>
      </c>
      <c r="AG670" s="90" t="s">
        <v>100</v>
      </c>
      <c r="AH670" s="90" t="n">
        <v>110000</v>
      </c>
      <c r="AI670" s="90" t="n">
        <v>55000</v>
      </c>
      <c r="AJ670" s="91" t="n">
        <v>55000</v>
      </c>
      <c r="AK670" s="89" t="n">
        <v>55000</v>
      </c>
      <c r="AL670" s="90" t="n">
        <v>55000</v>
      </c>
      <c r="AM670" s="90"/>
      <c r="AN670" s="90"/>
      <c r="AO670" s="90"/>
      <c r="AP670" s="90"/>
      <c r="AQ670" s="90"/>
      <c r="AR670" s="90"/>
      <c r="AS670" s="90"/>
      <c r="AT670" s="90"/>
      <c r="AU670" s="90"/>
      <c r="AV670" s="91"/>
      <c r="AX670" s="92"/>
    </row>
    <row r="671" customFormat="false" ht="15.65" hidden="false" customHeight="false" outlineLevel="0" collapsed="false">
      <c r="C671" s="72" t="n">
        <f aca="false">COUNTIFS($D$6:D671,"&lt;&gt;"&amp;"")</f>
        <v>666</v>
      </c>
      <c r="D671" s="73" t="s">
        <v>5</v>
      </c>
      <c r="E671" s="76" t="str">
        <f aca="false">
IF($D671="정상",INDEX(임대자산!$D$3:$R$3000,MATCH($F671,임대자산!$I$3:$I$3000,0),MATCH(E$3,임대자산!$D$3:$R$3,0)),
IF($D671="폐업",INDEX(폐업정보!$D$3:$R$3000,MATCH($F671,폐업정보!$I$3:$I$3000,0),MATCH(E$3,폐업정보!$D$3:$R$3,0)),
"Error"))</f>
        <v>강원</v>
      </c>
      <c r="F67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B0666</v>
      </c>
      <c r="G671" s="76" t="str">
        <f aca="false">F671&amp;RANDBETWEEN(0,10)</f>
        <v>B06661</v>
      </c>
      <c r="H671" s="75" t="n">
        <f aca="false">
IF($D671="정상",INDEX(임대자산!$D$3:$R$3000,MATCH($F671,임대자산!$I$3:$I$3000,0),MATCH(H$4,임대자산!$D$3:$R$3,0)),
IF($D671="폐업",INDEX(폐업정보!$D$3:$R$3000,MATCH($F671,폐업정보!$I$3:$I$3000,0),MATCH(H$4,폐업정보!$D$3:$R$3,0)),
"Error"))</f>
        <v>45120</v>
      </c>
      <c r="I671" s="75" t="str">
        <f aca="false">
IF($D671="정상",INDEX(임대자산!$D$3:$R$3000,MATCH($F671,임대자산!$I$3:$I$3000,0),MATCH(I$4,임대자산!$D$3:$R$3,0)),
IF($D671="폐업",INDEX(폐업정보!$D$3:$R$3000,MATCH($F671,폐업정보!$I$3:$I$3000,0),MATCH(I$4,폐업정보!$D$3:$R$3,0)),
"Error"))</f>
        <v>A0666</v>
      </c>
      <c r="J671" s="75" t="str">
        <f aca="false">
IF($D671="정상",INDEX(임대자산!$D$3:$R$3000,MATCH($F671,임대자산!$I$3:$I$3000,0),MATCH(J$4,임대자산!$D$3:$R$3,0)),
IF($D671="폐업",INDEX(폐업정보!$D$3:$R$3000,MATCH($F671,폐업정보!$I$3:$I$3000,0),MATCH(J$4,폐업정보!$D$3:$R$3,0)),
"Error"))</f>
        <v>7687500000</v>
      </c>
      <c r="K671" s="75" t="str">
        <f aca="false">
IF($D671="정상",INDEX(임대자산!$D$3:$R$3000,MATCH($F671,임대자산!$I$3:$I$3000,0),MATCH(K$4,임대자산!$D$3:$R$3,0)),
IF($D671="폐업",INDEX(폐업정보!$D$3:$R$3000,MATCH($F671,폐업정보!$I$3:$I$3000,0),MATCH(K$4,폐업정보!$D$3:$R$3,0)),
"Error"))</f>
        <v>C0666</v>
      </c>
      <c r="L671" s="75" t="str">
        <f aca="false">
IF($D671="정상",INDEX(임대자산!$D$3:$R$3000,MATCH($F671,임대자산!$I$3:$I$3000,0),MATCH(L$4,임대자산!$D$3:$R$3,0)),
IF($D671="폐업",INDEX(폐업정보!$D$3:$R$3000,MATCH($F671,폐업정보!$I$3:$I$3000,0),MATCH(L$4,폐업정보!$D$3:$R$3,0)),
"Error"))</f>
        <v>D0666</v>
      </c>
      <c r="M671" s="76" t="s">
        <v>96</v>
      </c>
      <c r="N671" s="77"/>
      <c r="O671" s="78" t="s">
        <v>97</v>
      </c>
      <c r="P671" s="79" t="n">
        <f aca="false">COUNTIFS(임대자산!$I:$I,가맹점정보!F671,임대자산!$N:$N,가맹점정보!P$4)</f>
        <v>0</v>
      </c>
      <c r="Q671" s="80" t="n">
        <f aca="false">COUNTIFS(임대자산!$I:$I,가맹점정보!F671,임대자산!$N:$N,가맹점정보!Q$4)</f>
        <v>0</v>
      </c>
      <c r="R671" s="81" t="n">
        <f aca="false">COUNTIFS(임대자산!$I:$I,가맹점정보!F671,임대자산!$N:$N,가맹점정보!R$4)</f>
        <v>0</v>
      </c>
      <c r="S671" s="82" t="n">
        <v>55000</v>
      </c>
      <c r="T671" s="83" t="n">
        <v>0</v>
      </c>
      <c r="U671" s="80" t="n">
        <f aca="false">SUM(S671:T671)</f>
        <v>55000</v>
      </c>
      <c r="V671" s="84" t="s">
        <v>12</v>
      </c>
      <c r="W671" s="80" t="str">
        <f aca="true">
IF(D671="폐업","폐업",
IF(V671="면제","면제",
IF(AND(V671="정상",COUNTIFS(OFFSET(Y671,0,COUNTA(Y671:AV671)-1,1,-4),"미납")&gt;=3),"장기미납",
IF(AND(V671="정상",OFFSET(Y671,0,COUNTA(Y671:AV671)-1)&gt;=U671),"정상",
IF(AND(V671="정상",OFFSET(Y671,0,COUNTA(Y671:AV671)-1)=0),"정상",
"계약서 미작성")))))</f>
        <v>폐업</v>
      </c>
      <c r="X671" s="81" t="str">
        <f aca="true">
IF(D671="폐업","폐업",
IF(AND(V671="정상",OFFSET(Y671,0,COUNTA(Y671:AV671)-1)="미납"),"미납",
IF(AND(V671="정상",OFFSET(Y671,0,COUNTA(Y671:AV671)-1)=0),"납부 시작 전",
IF(AND(V671="정상",OFFSET(Y671,0,COUNTA(Y671:AV671)-1)&gt;=U671),"정상",
IF(AND(V671="면제",OFFSET(Y671,0,COUNTA(Y671:AV671)-1)="면제"),"면제",
IF(AND(V671="면제",OFFSET(Y671,0,COUNTA(Y671:AV671)-1)=0),"면제",
"확인요청"))))))</f>
        <v>폐업</v>
      </c>
      <c r="Y671" s="93" t="n">
        <v>55000</v>
      </c>
      <c r="Z671" s="90" t="n">
        <v>55000</v>
      </c>
      <c r="AA671" s="90" t="n">
        <v>55000</v>
      </c>
      <c r="AB671" s="90" t="n">
        <v>55000</v>
      </c>
      <c r="AC671" s="90" t="n">
        <v>55000</v>
      </c>
      <c r="AD671" s="90" t="n">
        <v>55000</v>
      </c>
      <c r="AE671" s="90" t="n">
        <v>55000</v>
      </c>
      <c r="AF671" s="90" t="n">
        <v>55000</v>
      </c>
      <c r="AG671" s="90" t="n">
        <v>55000</v>
      </c>
      <c r="AH671" s="90" t="n">
        <v>55000</v>
      </c>
      <c r="AI671" s="90" t="n">
        <v>55000</v>
      </c>
      <c r="AJ671" s="91" t="n">
        <v>55000</v>
      </c>
      <c r="AK671" s="89" t="n">
        <v>55000</v>
      </c>
      <c r="AL671" s="90" t="n">
        <v>55000</v>
      </c>
      <c r="AM671" s="90"/>
      <c r="AN671" s="90"/>
      <c r="AO671" s="90"/>
      <c r="AP671" s="90"/>
      <c r="AQ671" s="90"/>
      <c r="AR671" s="90"/>
      <c r="AS671" s="90"/>
      <c r="AT671" s="90"/>
      <c r="AU671" s="90"/>
      <c r="AV671" s="91"/>
      <c r="AX671" s="92"/>
    </row>
    <row r="672" customFormat="false" ht="15.65" hidden="false" customHeight="false" outlineLevel="0" collapsed="false">
      <c r="C672" s="72" t="n">
        <f aca="false">COUNTIFS($D$6:D672,"&lt;&gt;"&amp;"")</f>
        <v>667</v>
      </c>
      <c r="D672" s="73" t="s">
        <v>12</v>
      </c>
      <c r="E672" s="76" t="str">
        <f aca="false">
IF($D672="정상",INDEX(임대자산!$D$3:$R$3000,MATCH($F672,임대자산!$I$3:$I$3000,0),MATCH(E$3,임대자산!$D$3:$R$3,0)),
IF($D672="폐업",INDEX(폐업정보!$D$3:$R$3000,MATCH($F672,폐업정보!$I$3:$I$3000,0),MATCH(E$3,폐업정보!$D$3:$R$3,0)),
"Error"))</f>
        <v>강원</v>
      </c>
      <c r="F67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B0667</v>
      </c>
      <c r="G672" s="76" t="str">
        <f aca="false">F672&amp;RANDBETWEEN(0,10)</f>
        <v>B06678</v>
      </c>
      <c r="H672" s="75" t="n">
        <f aca="false">
IF($D672="정상",INDEX(임대자산!$D$3:$R$3000,MATCH($F672,임대자산!$I$3:$I$3000,0),MATCH(H$4,임대자산!$D$3:$R$3,0)),
IF($D672="폐업",INDEX(폐업정보!$D$3:$R$3000,MATCH($F672,폐업정보!$I$3:$I$3000,0),MATCH(H$4,폐업정보!$D$3:$R$3,0)),
"Error"))</f>
        <v>46022</v>
      </c>
      <c r="I672" s="75" t="str">
        <f aca="false">
IF($D672="정상",INDEX(임대자산!$D$3:$R$3000,MATCH($F672,임대자산!$I$3:$I$3000,0),MATCH(I$4,임대자산!$D$3:$R$3,0)),
IF($D672="폐업",INDEX(폐업정보!$D$3:$R$3000,MATCH($F672,폐업정보!$I$3:$I$3000,0),MATCH(I$4,폐업정보!$D$3:$R$3,0)),
"Error"))</f>
        <v>A0667</v>
      </c>
      <c r="J672" s="75" t="str">
        <f aca="false">
IF($D672="정상",INDEX(임대자산!$D$3:$R$3000,MATCH($F672,임대자산!$I$3:$I$3000,0),MATCH(J$4,임대자산!$D$3:$R$3,0)),
IF($D672="폐업",INDEX(폐업정보!$D$3:$R$3000,MATCH($F672,폐업정보!$I$3:$I$3000,0),MATCH(J$4,폐업정보!$D$3:$R$3,0)),
"Error"))</f>
        <v>3474100000</v>
      </c>
      <c r="K672" s="75" t="str">
        <f aca="false">
IF($D672="정상",INDEX(임대자산!$D$3:$R$3000,MATCH($F672,임대자산!$I$3:$I$3000,0),MATCH(K$4,임대자산!$D$3:$R$3,0)),
IF($D672="폐업",INDEX(폐업정보!$D$3:$R$3000,MATCH($F672,폐업정보!$I$3:$I$3000,0),MATCH(K$4,폐업정보!$D$3:$R$3,0)),
"Error"))</f>
        <v>C0667</v>
      </c>
      <c r="L672" s="75" t="str">
        <f aca="false">
IF($D672="정상",INDEX(임대자산!$D$3:$R$3000,MATCH($F672,임대자산!$I$3:$I$3000,0),MATCH(L$4,임대자산!$D$3:$R$3,0)),
IF($D672="폐업",INDEX(폐업정보!$D$3:$R$3000,MATCH($F672,폐업정보!$I$3:$I$3000,0),MATCH(L$4,폐업정보!$D$3:$R$3,0)),
"Error"))</f>
        <v>D0667</v>
      </c>
      <c r="M672" s="76" t="s">
        <v>96</v>
      </c>
      <c r="N672" s="77"/>
      <c r="O672" s="78" t="s">
        <v>97</v>
      </c>
      <c r="P672" s="79" t="n">
        <f aca="false">COUNTIFS(임대자산!$I:$I,가맹점정보!F672,임대자산!$N:$N,가맹점정보!P$4)</f>
        <v>0</v>
      </c>
      <c r="Q672" s="80" t="n">
        <f aca="false">COUNTIFS(임대자산!$I:$I,가맹점정보!F672,임대자산!$N:$N,가맹점정보!Q$4)</f>
        <v>1</v>
      </c>
      <c r="R672" s="81" t="n">
        <f aca="false">COUNTIFS(임대자산!$I:$I,가맹점정보!F672,임대자산!$N:$N,가맹점정보!R$4)</f>
        <v>0</v>
      </c>
      <c r="S672" s="82" t="n">
        <v>55000</v>
      </c>
      <c r="T672" s="83" t="n">
        <v>0</v>
      </c>
      <c r="U672" s="80" t="n">
        <f aca="false">SUM(S672:T672)</f>
        <v>55000</v>
      </c>
      <c r="V672" s="84" t="s">
        <v>12</v>
      </c>
      <c r="W672" s="80" t="e">
        <f aca="true">
IF(D672="폐업","폐업",
IF(V672="면제","면제",
IF(AND(V672="정상",COUNTIFS(OFFSET(Y672,0,COUNTA(Y672:AV672)-1,1,-4),"미납")&gt;=3),"장기미납",
IF(AND(V672="정상",OFFSET(Y672,0,COUNTA(Y672:AV672)-1)&gt;=U672),"정상",
IF(AND(V672="정상",OFFSET(Y672,0,COUNTA(Y672:AV672)-1)=0),"정상",
"계약서 미작성")))))</f>
        <v>#VALUE!</v>
      </c>
      <c r="X672" s="81" t="str">
        <f aca="true">
IF(D672="폐업","폐업",
IF(AND(V672="정상",OFFSET(Y672,0,COUNTA(Y672:AV672)-1)="미납"),"미납",
IF(AND(V672="정상",OFFSET(Y672,0,COUNTA(Y672:AV672)-1)=0),"납부 시작 전",
IF(AND(V672="정상",OFFSET(Y672,0,COUNTA(Y672:AV672)-1)&gt;=U672),"정상",
IF(AND(V672="면제",OFFSET(Y672,0,COUNTA(Y672:AV672)-1)="면제"),"면제",
IF(AND(V672="면제",OFFSET(Y672,0,COUNTA(Y672:AV672)-1)=0),"면제",
"확인요청"))))))</f>
        <v>정상</v>
      </c>
      <c r="Y672" s="93" t="n">
        <v>55000</v>
      </c>
      <c r="Z672" s="90" t="n">
        <v>55000</v>
      </c>
      <c r="AA672" s="90" t="n">
        <v>55000</v>
      </c>
      <c r="AB672" s="90" t="n">
        <v>55000</v>
      </c>
      <c r="AC672" s="90" t="n">
        <v>55000</v>
      </c>
      <c r="AD672" s="90" t="n">
        <v>55000</v>
      </c>
      <c r="AE672" s="90" t="n">
        <v>55000</v>
      </c>
      <c r="AF672" s="90" t="s">
        <v>105</v>
      </c>
      <c r="AG672" s="90" t="n">
        <v>110000</v>
      </c>
      <c r="AH672" s="90" t="n">
        <v>55000</v>
      </c>
      <c r="AI672" s="90" t="n">
        <v>55000</v>
      </c>
      <c r="AJ672" s="91" t="n">
        <v>55000</v>
      </c>
      <c r="AK672" s="89" t="n">
        <v>55000</v>
      </c>
      <c r="AL672" s="90" t="n">
        <v>55000</v>
      </c>
      <c r="AM672" s="90"/>
      <c r="AN672" s="90"/>
      <c r="AO672" s="90"/>
      <c r="AP672" s="90"/>
      <c r="AQ672" s="90"/>
      <c r="AR672" s="90"/>
      <c r="AS672" s="90"/>
      <c r="AT672" s="90"/>
      <c r="AU672" s="90"/>
      <c r="AV672" s="91"/>
      <c r="AX672" s="92"/>
    </row>
    <row r="673" customFormat="false" ht="15.65" hidden="false" customHeight="false" outlineLevel="0" collapsed="false">
      <c r="C673" s="72" t="n">
        <f aca="false">COUNTIFS($D$6:D673,"&lt;&gt;"&amp;"")</f>
        <v>668</v>
      </c>
      <c r="D673" s="73" t="s">
        <v>12</v>
      </c>
      <c r="E673" s="76" t="str">
        <f aca="false">
IF($D673="정상",INDEX(임대자산!$D$3:$R$3000,MATCH($F673,임대자산!$I$3:$I$3000,0),MATCH(E$3,임대자산!$D$3:$R$3,0)),
IF($D673="폐업",INDEX(폐업정보!$D$3:$R$3000,MATCH($F673,폐업정보!$I$3:$I$3000,0),MATCH(E$3,폐업정보!$D$3:$R$3,0)),
"Error"))</f>
        <v>서울</v>
      </c>
      <c r="F67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B0668</v>
      </c>
      <c r="G673" s="76" t="str">
        <f aca="false">F673&amp;RANDBETWEEN(0,10)</f>
        <v>B06687</v>
      </c>
      <c r="H673" s="75" t="n">
        <f aca="false">
IF($D673="정상",INDEX(임대자산!$D$3:$R$3000,MATCH($F673,임대자산!$I$3:$I$3000,0),MATCH(H$4,임대자산!$D$3:$R$3,0)),
IF($D673="폐업",INDEX(폐업정보!$D$3:$R$3000,MATCH($F673,폐업정보!$I$3:$I$3000,0),MATCH(H$4,폐업정보!$D$3:$R$3,0)),
"Error"))</f>
        <v>46062</v>
      </c>
      <c r="I673" s="75" t="str">
        <f aca="false">
IF($D673="정상",INDEX(임대자산!$D$3:$R$3000,MATCH($F673,임대자산!$I$3:$I$3000,0),MATCH(I$4,임대자산!$D$3:$R$3,0)),
IF($D673="폐업",INDEX(폐업정보!$D$3:$R$3000,MATCH($F673,폐업정보!$I$3:$I$3000,0),MATCH(I$4,폐업정보!$D$3:$R$3,0)),
"Error"))</f>
        <v>A0668</v>
      </c>
      <c r="J673" s="75" t="str">
        <f aca="false">
IF($D673="정상",INDEX(임대자산!$D$3:$R$3000,MATCH($F673,임대자산!$I$3:$I$3000,0),MATCH(J$4,임대자산!$D$3:$R$3,0)),
IF($D673="폐업",INDEX(폐업정보!$D$3:$R$3000,MATCH($F673,폐업정보!$I$3:$I$3000,0),MATCH(J$4,폐업정보!$D$3:$R$3,0)),
"Error"))</f>
        <v>5108300000</v>
      </c>
      <c r="K673" s="75" t="str">
        <f aca="false">
IF($D673="정상",INDEX(임대자산!$D$3:$R$3000,MATCH($F673,임대자산!$I$3:$I$3000,0),MATCH(K$4,임대자산!$D$3:$R$3,0)),
IF($D673="폐업",INDEX(폐업정보!$D$3:$R$3000,MATCH($F673,폐업정보!$I$3:$I$3000,0),MATCH(K$4,폐업정보!$D$3:$R$3,0)),
"Error"))</f>
        <v>C0668</v>
      </c>
      <c r="L673" s="75" t="str">
        <f aca="false">
IF($D673="정상",INDEX(임대자산!$D$3:$R$3000,MATCH($F673,임대자산!$I$3:$I$3000,0),MATCH(L$4,임대자산!$D$3:$R$3,0)),
IF($D673="폐업",INDEX(폐업정보!$D$3:$R$3000,MATCH($F673,폐업정보!$I$3:$I$3000,0),MATCH(L$4,폐업정보!$D$3:$R$3,0)),
"Error"))</f>
        <v>D0668</v>
      </c>
      <c r="M673" s="76" t="s">
        <v>96</v>
      </c>
      <c r="N673" s="77"/>
      <c r="O673" s="78" t="s">
        <v>97</v>
      </c>
      <c r="P673" s="79" t="n">
        <f aca="false">COUNTIFS(임대자산!$I:$I,가맹점정보!F673,임대자산!$N:$N,가맹점정보!P$4)</f>
        <v>0</v>
      </c>
      <c r="Q673" s="80" t="n">
        <f aca="false">COUNTIFS(임대자산!$I:$I,가맹점정보!F673,임대자산!$N:$N,가맹점정보!Q$4)</f>
        <v>1</v>
      </c>
      <c r="R673" s="81" t="n">
        <f aca="false">COUNTIFS(임대자산!$I:$I,가맹점정보!F673,임대자산!$N:$N,가맹점정보!R$4)</f>
        <v>0</v>
      </c>
      <c r="S673" s="82" t="n">
        <v>88000</v>
      </c>
      <c r="T673" s="83" t="n">
        <v>0</v>
      </c>
      <c r="U673" s="80" t="n">
        <f aca="false">SUM(S673:T673)</f>
        <v>88000</v>
      </c>
      <c r="V673" s="84" t="s">
        <v>12</v>
      </c>
      <c r="W673" s="80" t="e">
        <f aca="true">
IF(D673="폐업","폐업",
IF(V673="면제","면제",
IF(AND(V673="정상",COUNTIFS(OFFSET(Y673,0,COUNTA(Y673:AV673)-1,1,-4),"미납")&gt;=3),"장기미납",
IF(AND(V673="정상",OFFSET(Y673,0,COUNTA(Y673:AV673)-1)&gt;=U673),"정상",
IF(AND(V673="정상",OFFSET(Y673,0,COUNTA(Y673:AV673)-1)=0),"정상",
"계약서 미작성")))))</f>
        <v>#VALUE!</v>
      </c>
      <c r="X673" s="81" t="str">
        <f aca="true">
IF(D673="폐업","폐업",
IF(AND(V673="정상",OFFSET(Y673,0,COUNTA(Y673:AV673)-1)="미납"),"미납",
IF(AND(V673="정상",OFFSET(Y673,0,COUNTA(Y673:AV673)-1)=0),"납부 시작 전",
IF(AND(V673="정상",OFFSET(Y673,0,COUNTA(Y673:AV673)-1)&gt;=U673),"정상",
IF(AND(V673="면제",OFFSET(Y673,0,COUNTA(Y673:AV673)-1)="면제"),"면제",
IF(AND(V673="면제",OFFSET(Y673,0,COUNTA(Y673:AV673)-1)=0),"면제",
"확인요청"))))))</f>
        <v>정상</v>
      </c>
      <c r="Y673" s="93" t="n">
        <v>88000</v>
      </c>
      <c r="Z673" s="90" t="n">
        <v>88000</v>
      </c>
      <c r="AA673" s="90" t="n">
        <v>88000</v>
      </c>
      <c r="AB673" s="90" t="n">
        <v>88000</v>
      </c>
      <c r="AC673" s="90" t="n">
        <v>88000</v>
      </c>
      <c r="AD673" s="90" t="n">
        <v>88000</v>
      </c>
      <c r="AE673" s="90" t="n">
        <v>88000</v>
      </c>
      <c r="AF673" s="90" t="n">
        <v>88000</v>
      </c>
      <c r="AG673" s="90" t="n">
        <v>88000</v>
      </c>
      <c r="AH673" s="90" t="n">
        <v>88000</v>
      </c>
      <c r="AI673" s="90" t="n">
        <v>88000</v>
      </c>
      <c r="AJ673" s="91" t="n">
        <v>88000</v>
      </c>
      <c r="AK673" s="89" t="n">
        <v>88000</v>
      </c>
      <c r="AL673" s="90" t="n">
        <v>88000</v>
      </c>
      <c r="AM673" s="90"/>
      <c r="AN673" s="90"/>
      <c r="AO673" s="90"/>
      <c r="AP673" s="90"/>
      <c r="AQ673" s="90"/>
      <c r="AR673" s="90"/>
      <c r="AS673" s="90"/>
      <c r="AT673" s="90"/>
      <c r="AU673" s="90"/>
      <c r="AV673" s="91"/>
      <c r="AX673" s="92"/>
    </row>
    <row r="674" customFormat="false" ht="15.65" hidden="false" customHeight="false" outlineLevel="0" collapsed="false">
      <c r="C674" s="72" t="n">
        <f aca="false">COUNTIFS($D$6:D674,"&lt;&gt;"&amp;"")</f>
        <v>669</v>
      </c>
      <c r="D674" s="73" t="s">
        <v>12</v>
      </c>
      <c r="E674" s="76" t="str">
        <f aca="false">
IF($D674="정상",INDEX(임대자산!$D$3:$R$3000,MATCH($F674,임대자산!$I$3:$I$3000,0),MATCH(E$3,임대자산!$D$3:$R$3,0)),
IF($D674="폐업",INDEX(폐업정보!$D$3:$R$3000,MATCH($F674,폐업정보!$I$3:$I$3000,0),MATCH(E$3,폐업정보!$D$3:$R$3,0)),
"Error"))</f>
        <v>강원</v>
      </c>
      <c r="F67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B0669</v>
      </c>
      <c r="G674" s="76" t="str">
        <f aca="false">F674&amp;RANDBETWEEN(0,10)</f>
        <v>B06698</v>
      </c>
      <c r="H674" s="75" t="n">
        <f aca="false">
IF($D674="정상",INDEX(임대자산!$D$3:$R$3000,MATCH($F674,임대자산!$I$3:$I$3000,0),MATCH(H$4,임대자산!$D$3:$R$3,0)),
IF($D674="폐업",INDEX(폐업정보!$D$3:$R$3000,MATCH($F674,폐업정보!$I$3:$I$3000,0),MATCH(H$4,폐업정보!$D$3:$R$3,0)),
"Error"))</f>
        <v>44216</v>
      </c>
      <c r="I674" s="75" t="str">
        <f aca="false">
IF($D674="정상",INDEX(임대자산!$D$3:$R$3000,MATCH($F674,임대자산!$I$3:$I$3000,0),MATCH(I$4,임대자산!$D$3:$R$3,0)),
IF($D674="폐업",INDEX(폐업정보!$D$3:$R$3000,MATCH($F674,폐업정보!$I$3:$I$3000,0),MATCH(I$4,폐업정보!$D$3:$R$3,0)),
"Error"))</f>
        <v>A0669</v>
      </c>
      <c r="J674" s="75" t="str">
        <f aca="false">
IF($D674="정상",INDEX(임대자산!$D$3:$R$3000,MATCH($F674,임대자산!$I$3:$I$3000,0),MATCH(J$4,임대자산!$D$3:$R$3,0)),
IF($D674="폐업",INDEX(폐업정보!$D$3:$R$3000,MATCH($F674,폐업정보!$I$3:$I$3000,0),MATCH(J$4,폐업정보!$D$3:$R$3,0)),
"Error"))</f>
        <v>4871400000</v>
      </c>
      <c r="K674" s="75" t="str">
        <f aca="false">
IF($D674="정상",INDEX(임대자산!$D$3:$R$3000,MATCH($F674,임대자산!$I$3:$I$3000,0),MATCH(K$4,임대자산!$D$3:$R$3,0)),
IF($D674="폐업",INDEX(폐업정보!$D$3:$R$3000,MATCH($F674,폐업정보!$I$3:$I$3000,0),MATCH(K$4,폐업정보!$D$3:$R$3,0)),
"Error"))</f>
        <v>C0669</v>
      </c>
      <c r="L674" s="75" t="str">
        <f aca="false">
IF($D674="정상",INDEX(임대자산!$D$3:$R$3000,MATCH($F674,임대자산!$I$3:$I$3000,0),MATCH(L$4,임대자산!$D$3:$R$3,0)),
IF($D674="폐업",INDEX(폐업정보!$D$3:$R$3000,MATCH($F674,폐업정보!$I$3:$I$3000,0),MATCH(L$4,폐업정보!$D$3:$R$3,0)),
"Error"))</f>
        <v>D0669</v>
      </c>
      <c r="M674" s="76" t="s">
        <v>96</v>
      </c>
      <c r="N674" s="77"/>
      <c r="O674" s="78" t="s">
        <v>97</v>
      </c>
      <c r="P674" s="79" t="n">
        <f aca="false">COUNTIFS(임대자산!$I:$I,가맹점정보!F674,임대자산!$N:$N,가맹점정보!P$4)</f>
        <v>0</v>
      </c>
      <c r="Q674" s="80" t="n">
        <f aca="false">COUNTIFS(임대자산!$I:$I,가맹점정보!F674,임대자산!$N:$N,가맹점정보!Q$4)</f>
        <v>1</v>
      </c>
      <c r="R674" s="81" t="n">
        <f aca="false">COUNTIFS(임대자산!$I:$I,가맹점정보!F674,임대자산!$N:$N,가맹점정보!R$4)</f>
        <v>0</v>
      </c>
      <c r="S674" s="82" t="n">
        <v>88000</v>
      </c>
      <c r="T674" s="83" t="n">
        <v>0</v>
      </c>
      <c r="U674" s="80" t="n">
        <f aca="false">SUM(S674:T674)</f>
        <v>88000</v>
      </c>
      <c r="V674" s="84" t="s">
        <v>12</v>
      </c>
      <c r="W674" s="80" t="e">
        <f aca="true">
IF(D674="폐업","폐업",
IF(V674="면제","면제",
IF(AND(V674="정상",COUNTIFS(OFFSET(Y674,0,COUNTA(Y674:AV674)-1,1,-4),"미납")&gt;=3),"장기미납",
IF(AND(V674="정상",OFFSET(Y674,0,COUNTA(Y674:AV674)-1)&gt;=U674),"정상",
IF(AND(V674="정상",OFFSET(Y674,0,COUNTA(Y674:AV674)-1)=0),"정상",
"계약서 미작성")))))</f>
        <v>#VALUE!</v>
      </c>
      <c r="X674" s="81" t="str">
        <f aca="true">
IF(D674="폐업","폐업",
IF(AND(V674="정상",OFFSET(Y674,0,COUNTA(Y674:AV674)-1)="미납"),"미납",
IF(AND(V674="정상",OFFSET(Y674,0,COUNTA(Y674:AV674)-1)=0),"납부 시작 전",
IF(AND(V674="정상",OFFSET(Y674,0,COUNTA(Y674:AV674)-1)&gt;=U674),"정상",
IF(AND(V674="면제",OFFSET(Y674,0,COUNTA(Y674:AV674)-1)="면제"),"면제",
IF(AND(V674="면제",OFFSET(Y674,0,COUNTA(Y674:AV674)-1)=0),"면제",
"확인요청"))))))</f>
        <v>정상</v>
      </c>
      <c r="Y674" s="93" t="n">
        <v>88000</v>
      </c>
      <c r="Z674" s="90" t="n">
        <v>88000</v>
      </c>
      <c r="AA674" s="90" t="n">
        <v>88000</v>
      </c>
      <c r="AB674" s="90" t="n">
        <v>88000</v>
      </c>
      <c r="AC674" s="90" t="n">
        <v>88000</v>
      </c>
      <c r="AD674" s="90" t="n">
        <v>88000</v>
      </c>
      <c r="AE674" s="90" t="n">
        <v>88000</v>
      </c>
      <c r="AF674" s="90" t="n">
        <v>88000</v>
      </c>
      <c r="AG674" s="90" t="n">
        <v>88000</v>
      </c>
      <c r="AH674" s="90" t="n">
        <v>88000</v>
      </c>
      <c r="AI674" s="90" t="n">
        <v>88000</v>
      </c>
      <c r="AJ674" s="91" t="n">
        <v>88000</v>
      </c>
      <c r="AK674" s="89" t="n">
        <v>88000</v>
      </c>
      <c r="AL674" s="90" t="n">
        <v>88000</v>
      </c>
      <c r="AM674" s="90"/>
      <c r="AN674" s="90"/>
      <c r="AO674" s="90"/>
      <c r="AP674" s="90"/>
      <c r="AQ674" s="90"/>
      <c r="AR674" s="90"/>
      <c r="AS674" s="90"/>
      <c r="AT674" s="90"/>
      <c r="AU674" s="90"/>
      <c r="AV674" s="91"/>
      <c r="AX674" s="92"/>
    </row>
    <row r="675" customFormat="false" ht="15.65" hidden="false" customHeight="false" outlineLevel="0" collapsed="false">
      <c r="C675" s="72" t="n">
        <f aca="false">COUNTIFS($D$6:D675,"&lt;&gt;"&amp;"")</f>
        <v>670</v>
      </c>
      <c r="D675" s="73" t="s">
        <v>12</v>
      </c>
      <c r="E675" s="76" t="str">
        <f aca="false">
IF($D675="정상",INDEX(임대자산!$D$3:$R$3000,MATCH($F675,임대자산!$I$3:$I$3000,0),MATCH(E$3,임대자산!$D$3:$R$3,0)),
IF($D675="폐업",INDEX(폐업정보!$D$3:$R$3000,MATCH($F675,폐업정보!$I$3:$I$3000,0),MATCH(E$3,폐업정보!$D$3:$R$3,0)),
"Error"))</f>
        <v>강원</v>
      </c>
      <c r="F67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B0670</v>
      </c>
      <c r="G675" s="76" t="str">
        <f aca="false">F675&amp;RANDBETWEEN(0,10)</f>
        <v>B06707</v>
      </c>
      <c r="H675" s="75" t="n">
        <f aca="false">
IF($D675="정상",INDEX(임대자산!$D$3:$R$3000,MATCH($F675,임대자산!$I$3:$I$3000,0),MATCH(H$4,임대자산!$D$3:$R$3,0)),
IF($D675="폐업",INDEX(폐업정보!$D$3:$R$3000,MATCH($F675,폐업정보!$I$3:$I$3000,0),MATCH(H$4,폐업정보!$D$3:$R$3,0)),
"Error"))</f>
        <v>44243</v>
      </c>
      <c r="I675" s="75" t="str">
        <f aca="false">
IF($D675="정상",INDEX(임대자산!$D$3:$R$3000,MATCH($F675,임대자산!$I$3:$I$3000,0),MATCH(I$4,임대자산!$D$3:$R$3,0)),
IF($D675="폐업",INDEX(폐업정보!$D$3:$R$3000,MATCH($F675,폐업정보!$I$3:$I$3000,0),MATCH(I$4,폐업정보!$D$3:$R$3,0)),
"Error"))</f>
        <v>A0670</v>
      </c>
      <c r="J675" s="75" t="str">
        <f aca="false">
IF($D675="정상",INDEX(임대자산!$D$3:$R$3000,MATCH($F675,임대자산!$I$3:$I$3000,0),MATCH(J$4,임대자산!$D$3:$R$3,0)),
IF($D675="폐업",INDEX(폐업정보!$D$3:$R$3000,MATCH($F675,폐업정보!$I$3:$I$3000,0),MATCH(J$4,폐업정보!$D$3:$R$3,0)),
"Error"))</f>
        <v>2024500000</v>
      </c>
      <c r="K675" s="75" t="str">
        <f aca="false">
IF($D675="정상",INDEX(임대자산!$D$3:$R$3000,MATCH($F675,임대자산!$I$3:$I$3000,0),MATCH(K$4,임대자산!$D$3:$R$3,0)),
IF($D675="폐업",INDEX(폐업정보!$D$3:$R$3000,MATCH($F675,폐업정보!$I$3:$I$3000,0),MATCH(K$4,폐업정보!$D$3:$R$3,0)),
"Error"))</f>
        <v>C0670</v>
      </c>
      <c r="L675" s="75" t="str">
        <f aca="false">
IF($D675="정상",INDEX(임대자산!$D$3:$R$3000,MATCH($F675,임대자산!$I$3:$I$3000,0),MATCH(L$4,임대자산!$D$3:$R$3,0)),
IF($D675="폐업",INDEX(폐업정보!$D$3:$R$3000,MATCH($F675,폐업정보!$I$3:$I$3000,0),MATCH(L$4,폐업정보!$D$3:$R$3,0)),
"Error"))</f>
        <v>D0670</v>
      </c>
      <c r="M675" s="76" t="s">
        <v>96</v>
      </c>
      <c r="N675" s="77"/>
      <c r="O675" s="78" t="s">
        <v>97</v>
      </c>
      <c r="P675" s="79" t="n">
        <f aca="false">COUNTIFS(임대자산!$I:$I,가맹점정보!F675,임대자산!$N:$N,가맹점정보!P$4)</f>
        <v>0</v>
      </c>
      <c r="Q675" s="80" t="n">
        <f aca="false">COUNTIFS(임대자산!$I:$I,가맹점정보!F675,임대자산!$N:$N,가맹점정보!Q$4)</f>
        <v>1</v>
      </c>
      <c r="R675" s="81" t="n">
        <f aca="false">COUNTIFS(임대자산!$I:$I,가맹점정보!F675,임대자산!$N:$N,가맹점정보!R$4)</f>
        <v>0</v>
      </c>
      <c r="S675" s="82" t="n">
        <v>55000</v>
      </c>
      <c r="T675" s="83" t="n">
        <v>0</v>
      </c>
      <c r="U675" s="80" t="n">
        <f aca="false">SUM(S675:T675)</f>
        <v>55000</v>
      </c>
      <c r="V675" s="84" t="s">
        <v>12</v>
      </c>
      <c r="W675" s="80" t="e">
        <f aca="true">
IF(D675="폐업","폐업",
IF(V675="면제","면제",
IF(AND(V675="정상",COUNTIFS(OFFSET(Y675,0,COUNTA(Y675:AV675)-1,1,-4),"미납")&gt;=3),"장기미납",
IF(AND(V675="정상",OFFSET(Y675,0,COUNTA(Y675:AV675)-1)&gt;=U675),"정상",
IF(AND(V675="정상",OFFSET(Y675,0,COUNTA(Y675:AV675)-1)=0),"정상",
"계약서 미작성")))))</f>
        <v>#VALUE!</v>
      </c>
      <c r="X675" s="81" t="str">
        <f aca="true">
IF(D675="폐업","폐업",
IF(AND(V675="정상",OFFSET(Y675,0,COUNTA(Y675:AV675)-1)="미납"),"미납",
IF(AND(V675="정상",OFFSET(Y675,0,COUNTA(Y675:AV675)-1)=0),"납부 시작 전",
IF(AND(V675="정상",OFFSET(Y675,0,COUNTA(Y675:AV675)-1)&gt;=U675),"정상",
IF(AND(V675="면제",OFFSET(Y675,0,COUNTA(Y675:AV675)-1)="면제"),"면제",
IF(AND(V675="면제",OFFSET(Y675,0,COUNTA(Y675:AV675)-1)=0),"면제",
"확인요청"))))))</f>
        <v>정상</v>
      </c>
      <c r="Y675" s="93" t="n">
        <v>55000</v>
      </c>
      <c r="Z675" s="90" t="n">
        <v>55000</v>
      </c>
      <c r="AA675" s="90" t="n">
        <v>55000</v>
      </c>
      <c r="AB675" s="90" t="n">
        <v>55000</v>
      </c>
      <c r="AC675" s="90" t="n">
        <v>55000</v>
      </c>
      <c r="AD675" s="90" t="n">
        <v>55000</v>
      </c>
      <c r="AE675" s="90" t="n">
        <v>55000</v>
      </c>
      <c r="AF675" s="90" t="n">
        <v>55000</v>
      </c>
      <c r="AG675" s="90" t="s">
        <v>100</v>
      </c>
      <c r="AH675" s="90" t="n">
        <v>110000</v>
      </c>
      <c r="AI675" s="90" t="n">
        <v>55000</v>
      </c>
      <c r="AJ675" s="91" t="n">
        <v>55000</v>
      </c>
      <c r="AK675" s="89" t="n">
        <v>55000</v>
      </c>
      <c r="AL675" s="90" t="n">
        <v>55000</v>
      </c>
      <c r="AM675" s="90"/>
      <c r="AN675" s="90"/>
      <c r="AO675" s="90"/>
      <c r="AP675" s="90"/>
      <c r="AQ675" s="90"/>
      <c r="AR675" s="90"/>
      <c r="AS675" s="90"/>
      <c r="AT675" s="90"/>
      <c r="AU675" s="90"/>
      <c r="AV675" s="91"/>
      <c r="AX675" s="92"/>
    </row>
    <row r="676" customFormat="false" ht="15.65" hidden="false" customHeight="false" outlineLevel="0" collapsed="false">
      <c r="C676" s="72" t="n">
        <f aca="false">COUNTIFS($D$6:D676,"&lt;&gt;"&amp;"")</f>
        <v>671</v>
      </c>
      <c r="D676" s="73" t="s">
        <v>12</v>
      </c>
      <c r="E676" s="76" t="str">
        <f aca="false">
IF($D676="정상",INDEX(임대자산!$D$3:$R$3000,MATCH($F676,임대자산!$I$3:$I$3000,0),MATCH(E$3,임대자산!$D$3:$R$3,0)),
IF($D676="폐업",INDEX(폐업정보!$D$3:$R$3000,MATCH($F676,폐업정보!$I$3:$I$3000,0),MATCH(E$3,폐업정보!$D$3:$R$3,0)),
"Error"))</f>
        <v>강원</v>
      </c>
      <c r="F67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B0671</v>
      </c>
      <c r="G676" s="76" t="str">
        <f aca="false">F676&amp;RANDBETWEEN(0,10)</f>
        <v>B06713</v>
      </c>
      <c r="H676" s="75" t="n">
        <f aca="false">
IF($D676="정상",INDEX(임대자산!$D$3:$R$3000,MATCH($F676,임대자산!$I$3:$I$3000,0),MATCH(H$4,임대자산!$D$3:$R$3,0)),
IF($D676="폐업",INDEX(폐업정보!$D$3:$R$3000,MATCH($F676,폐업정보!$I$3:$I$3000,0),MATCH(H$4,폐업정보!$D$3:$R$3,0)),
"Error"))</f>
        <v>44259</v>
      </c>
      <c r="I676" s="75" t="str">
        <f aca="false">
IF($D676="정상",INDEX(임대자산!$D$3:$R$3000,MATCH($F676,임대자산!$I$3:$I$3000,0),MATCH(I$4,임대자산!$D$3:$R$3,0)),
IF($D676="폐업",INDEX(폐업정보!$D$3:$R$3000,MATCH($F676,폐업정보!$I$3:$I$3000,0),MATCH(I$4,폐업정보!$D$3:$R$3,0)),
"Error"))</f>
        <v>A0671</v>
      </c>
      <c r="J676" s="75" t="str">
        <f aca="false">
IF($D676="정상",INDEX(임대자산!$D$3:$R$3000,MATCH($F676,임대자산!$I$3:$I$3000,0),MATCH(J$4,임대자산!$D$3:$R$3,0)),
IF($D676="폐업",INDEX(폐업정보!$D$3:$R$3000,MATCH($F676,폐업정보!$I$3:$I$3000,0),MATCH(J$4,폐업정보!$D$3:$R$3,0)),
"Error"))</f>
        <v>4172000000</v>
      </c>
      <c r="K676" s="75" t="str">
        <f aca="false">
IF($D676="정상",INDEX(임대자산!$D$3:$R$3000,MATCH($F676,임대자산!$I$3:$I$3000,0),MATCH(K$4,임대자산!$D$3:$R$3,0)),
IF($D676="폐업",INDEX(폐업정보!$D$3:$R$3000,MATCH($F676,폐업정보!$I$3:$I$3000,0),MATCH(K$4,폐업정보!$D$3:$R$3,0)),
"Error"))</f>
        <v>C0671</v>
      </c>
      <c r="L676" s="75" t="str">
        <f aca="false">
IF($D676="정상",INDEX(임대자산!$D$3:$R$3000,MATCH($F676,임대자산!$I$3:$I$3000,0),MATCH(L$4,임대자산!$D$3:$R$3,0)),
IF($D676="폐업",INDEX(폐업정보!$D$3:$R$3000,MATCH($F676,폐업정보!$I$3:$I$3000,0),MATCH(L$4,폐업정보!$D$3:$R$3,0)),
"Error"))</f>
        <v>D0671</v>
      </c>
      <c r="M676" s="76" t="s">
        <v>96</v>
      </c>
      <c r="N676" s="77"/>
      <c r="O676" s="78" t="s">
        <v>97</v>
      </c>
      <c r="P676" s="79" t="n">
        <f aca="false">COUNTIFS(임대자산!$I:$I,가맹점정보!F676,임대자산!$N:$N,가맹점정보!P$4)</f>
        <v>0</v>
      </c>
      <c r="Q676" s="80" t="n">
        <f aca="false">COUNTIFS(임대자산!$I:$I,가맹점정보!F676,임대자산!$N:$N,가맹점정보!Q$4)</f>
        <v>1</v>
      </c>
      <c r="R676" s="81" t="n">
        <f aca="false">COUNTIFS(임대자산!$I:$I,가맹점정보!F676,임대자산!$N:$N,가맹점정보!R$4)</f>
        <v>0</v>
      </c>
      <c r="S676" s="82" t="n">
        <v>55000</v>
      </c>
      <c r="T676" s="83" t="n">
        <v>0</v>
      </c>
      <c r="U676" s="80" t="n">
        <f aca="false">SUM(S676:T676)</f>
        <v>55000</v>
      </c>
      <c r="V676" s="84" t="s">
        <v>12</v>
      </c>
      <c r="W676" s="80" t="e">
        <f aca="true">
IF(D676="폐업","폐업",
IF(V676="면제","면제",
IF(AND(V676="정상",COUNTIFS(OFFSET(Y676,0,COUNTA(Y676:AV676)-1,1,-4),"미납")&gt;=3),"장기미납",
IF(AND(V676="정상",OFFSET(Y676,0,COUNTA(Y676:AV676)-1)&gt;=U676),"정상",
IF(AND(V676="정상",OFFSET(Y676,0,COUNTA(Y676:AV676)-1)=0),"정상",
"계약서 미작성")))))</f>
        <v>#VALUE!</v>
      </c>
      <c r="X676" s="81" t="str">
        <f aca="true">
IF(D676="폐업","폐업",
IF(AND(V676="정상",OFFSET(Y676,0,COUNTA(Y676:AV676)-1)="미납"),"미납",
IF(AND(V676="정상",OFFSET(Y676,0,COUNTA(Y676:AV676)-1)=0),"납부 시작 전",
IF(AND(V676="정상",OFFSET(Y676,0,COUNTA(Y676:AV676)-1)&gt;=U676),"정상",
IF(AND(V676="면제",OFFSET(Y676,0,COUNTA(Y676:AV676)-1)="면제"),"면제",
IF(AND(V676="면제",OFFSET(Y676,0,COUNTA(Y676:AV676)-1)=0),"면제",
"확인요청"))))))</f>
        <v>정상</v>
      </c>
      <c r="Y676" s="94" t="s">
        <v>7</v>
      </c>
      <c r="Z676" s="95" t="s">
        <v>7</v>
      </c>
      <c r="AA676" s="95" t="s">
        <v>7</v>
      </c>
      <c r="AB676" s="95" t="s">
        <v>7</v>
      </c>
      <c r="AC676" s="95" t="s">
        <v>7</v>
      </c>
      <c r="AD676" s="95" t="s">
        <v>7</v>
      </c>
      <c r="AE676" s="95" t="s">
        <v>7</v>
      </c>
      <c r="AF676" s="95" t="s">
        <v>7</v>
      </c>
      <c r="AG676" s="95" t="s">
        <v>7</v>
      </c>
      <c r="AH676" s="95" t="s">
        <v>7</v>
      </c>
      <c r="AI676" s="95" t="s">
        <v>7</v>
      </c>
      <c r="AJ676" s="96" t="s">
        <v>7</v>
      </c>
      <c r="AK676" s="89" t="n">
        <v>55000</v>
      </c>
      <c r="AL676" s="90" t="n">
        <v>55000</v>
      </c>
      <c r="AM676" s="90"/>
      <c r="AN676" s="90"/>
      <c r="AO676" s="90"/>
      <c r="AP676" s="90"/>
      <c r="AQ676" s="90"/>
      <c r="AR676" s="90"/>
      <c r="AS676" s="90"/>
      <c r="AT676" s="90"/>
      <c r="AU676" s="90"/>
      <c r="AV676" s="91"/>
      <c r="AX676" s="92"/>
    </row>
    <row r="677" customFormat="false" ht="15.65" hidden="false" customHeight="false" outlineLevel="0" collapsed="false">
      <c r="C677" s="72" t="n">
        <f aca="false">COUNTIFS($D$6:D677,"&lt;&gt;"&amp;"")</f>
        <v>672</v>
      </c>
      <c r="D677" s="73" t="s">
        <v>12</v>
      </c>
      <c r="E677" s="76" t="str">
        <f aca="false">
IF($D677="정상",INDEX(임대자산!$D$3:$R$3000,MATCH($F677,임대자산!$I$3:$I$3000,0),MATCH(E$3,임대자산!$D$3:$R$3,0)),
IF($D677="폐업",INDEX(폐업정보!$D$3:$R$3000,MATCH($F677,폐업정보!$I$3:$I$3000,0),MATCH(E$3,폐업정보!$D$3:$R$3,0)),
"Error"))</f>
        <v>강원</v>
      </c>
      <c r="F67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B0672</v>
      </c>
      <c r="G677" s="76" t="str">
        <f aca="false">F677&amp;RANDBETWEEN(0,10)</f>
        <v>B06722</v>
      </c>
      <c r="H677" s="75" t="n">
        <f aca="false">
IF($D677="정상",INDEX(임대자산!$D$3:$R$3000,MATCH($F677,임대자산!$I$3:$I$3000,0),MATCH(H$4,임대자산!$D$3:$R$3,0)),
IF($D677="폐업",INDEX(폐업정보!$D$3:$R$3000,MATCH($F677,폐업정보!$I$3:$I$3000,0),MATCH(H$4,폐업정보!$D$3:$R$3,0)),
"Error"))</f>
        <v>44259</v>
      </c>
      <c r="I677" s="75" t="str">
        <f aca="false">
IF($D677="정상",INDEX(임대자산!$D$3:$R$3000,MATCH($F677,임대자산!$I$3:$I$3000,0),MATCH(I$4,임대자산!$D$3:$R$3,0)),
IF($D677="폐업",INDEX(폐업정보!$D$3:$R$3000,MATCH($F677,폐업정보!$I$3:$I$3000,0),MATCH(I$4,폐업정보!$D$3:$R$3,0)),
"Error"))</f>
        <v>A0672</v>
      </c>
      <c r="J677" s="75" t="str">
        <f aca="false">
IF($D677="정상",INDEX(임대자산!$D$3:$R$3000,MATCH($F677,임대자산!$I$3:$I$3000,0),MATCH(J$4,임대자산!$D$3:$R$3,0)),
IF($D677="폐업",INDEX(폐업정보!$D$3:$R$3000,MATCH($F677,폐업정보!$I$3:$I$3000,0),MATCH(J$4,폐업정보!$D$3:$R$3,0)),
"Error"))</f>
        <v>2980800000</v>
      </c>
      <c r="K677" s="75" t="str">
        <f aca="false">
IF($D677="정상",INDEX(임대자산!$D$3:$R$3000,MATCH($F677,임대자산!$I$3:$I$3000,0),MATCH(K$4,임대자산!$D$3:$R$3,0)),
IF($D677="폐업",INDEX(폐업정보!$D$3:$R$3000,MATCH($F677,폐업정보!$I$3:$I$3000,0),MATCH(K$4,폐업정보!$D$3:$R$3,0)),
"Error"))</f>
        <v>C0672</v>
      </c>
      <c r="L677" s="75" t="str">
        <f aca="false">
IF($D677="정상",INDEX(임대자산!$D$3:$R$3000,MATCH($F677,임대자산!$I$3:$I$3000,0),MATCH(L$4,임대자산!$D$3:$R$3,0)),
IF($D677="폐업",INDEX(폐업정보!$D$3:$R$3000,MATCH($F677,폐업정보!$I$3:$I$3000,0),MATCH(L$4,폐업정보!$D$3:$R$3,0)),
"Error"))</f>
        <v>D0672</v>
      </c>
      <c r="M677" s="76" t="s">
        <v>96</v>
      </c>
      <c r="N677" s="77"/>
      <c r="O677" s="78" t="s">
        <v>97</v>
      </c>
      <c r="P677" s="79" t="n">
        <f aca="false">COUNTIFS(임대자산!$I:$I,가맹점정보!F677,임대자산!$N:$N,가맹점정보!P$4)</f>
        <v>0</v>
      </c>
      <c r="Q677" s="80" t="n">
        <f aca="false">COUNTIFS(임대자산!$I:$I,가맹점정보!F677,임대자산!$N:$N,가맹점정보!Q$4)</f>
        <v>1</v>
      </c>
      <c r="R677" s="81" t="n">
        <f aca="false">COUNTIFS(임대자산!$I:$I,가맹점정보!F677,임대자산!$N:$N,가맹점정보!R$4)</f>
        <v>0</v>
      </c>
      <c r="S677" s="82" t="n">
        <v>55000</v>
      </c>
      <c r="T677" s="83" t="n">
        <v>0</v>
      </c>
      <c r="U677" s="80" t="n">
        <f aca="false">SUM(S677:T677)</f>
        <v>55000</v>
      </c>
      <c r="V677" s="84" t="s">
        <v>7</v>
      </c>
      <c r="W677" s="80" t="str">
        <f aca="true">
IF(D677="폐업","폐업",
IF(V677="면제","면제",
IF(AND(V677="정상",COUNTIFS(OFFSET(Y677,0,COUNTA(Y677:AV677)-1,1,-4),"미납")&gt;=3),"장기미납",
IF(AND(V677="정상",OFFSET(Y677,0,COUNTA(Y677:AV677)-1)&gt;=U677),"정상",
IF(AND(V677="정상",OFFSET(Y677,0,COUNTA(Y677:AV677)-1)=0),"정상",
"계약서 미작성")))))</f>
        <v>면제</v>
      </c>
      <c r="X677" s="81" t="str">
        <f aca="true">
IF(D677="폐업","폐업",
IF(AND(V677="정상",OFFSET(Y677,0,COUNTA(Y677:AV677)-1)="미납"),"미납",
IF(AND(V677="정상",OFFSET(Y677,0,COUNTA(Y677:AV677)-1)=0),"납부 시작 전",
IF(AND(V677="정상",OFFSET(Y677,0,COUNTA(Y677:AV677)-1)&gt;=U677),"정상",
IF(AND(V677="면제",OFFSET(Y677,0,COUNTA(Y677:AV677)-1)="면제"),"면제",
IF(AND(V677="면제",OFFSET(Y677,0,COUNTA(Y677:AV677)-1)=0),"면제",
"확인요청"))))))</f>
        <v>면제</v>
      </c>
      <c r="Y677" s="94" t="s">
        <v>7</v>
      </c>
      <c r="Z677" s="95" t="s">
        <v>7</v>
      </c>
      <c r="AA677" s="95" t="s">
        <v>7</v>
      </c>
      <c r="AB677" s="95" t="s">
        <v>7</v>
      </c>
      <c r="AC677" s="95" t="s">
        <v>7</v>
      </c>
      <c r="AD677" s="95" t="s">
        <v>7</v>
      </c>
      <c r="AE677" s="95" t="s">
        <v>7</v>
      </c>
      <c r="AF677" s="95" t="s">
        <v>7</v>
      </c>
      <c r="AG677" s="95" t="s">
        <v>7</v>
      </c>
      <c r="AH677" s="95" t="s">
        <v>7</v>
      </c>
      <c r="AI677" s="95" t="s">
        <v>7</v>
      </c>
      <c r="AJ677" s="96" t="s">
        <v>7</v>
      </c>
      <c r="AK677" s="97" t="s">
        <v>7</v>
      </c>
      <c r="AL677" s="95" t="s">
        <v>7</v>
      </c>
      <c r="AM677" s="90"/>
      <c r="AN677" s="90"/>
      <c r="AO677" s="90"/>
      <c r="AP677" s="90"/>
      <c r="AQ677" s="90"/>
      <c r="AR677" s="90"/>
      <c r="AS677" s="90"/>
      <c r="AT677" s="90"/>
      <c r="AU677" s="90"/>
      <c r="AV677" s="91"/>
      <c r="AX677" s="92"/>
    </row>
    <row r="678" customFormat="false" ht="15.65" hidden="false" customHeight="false" outlineLevel="0" collapsed="false">
      <c r="C678" s="72" t="n">
        <f aca="false">COUNTIFS($D$6:D678,"&lt;&gt;"&amp;"")</f>
        <v>673</v>
      </c>
      <c r="D678" s="73" t="s">
        <v>12</v>
      </c>
      <c r="E678" s="76" t="str">
        <f aca="false">
IF($D678="정상",INDEX(임대자산!$D$3:$R$3000,MATCH($F678,임대자산!$I$3:$I$3000,0),MATCH(E$3,임대자산!$D$3:$R$3,0)),
IF($D678="폐업",INDEX(폐업정보!$D$3:$R$3000,MATCH($F678,폐업정보!$I$3:$I$3000,0),MATCH(E$3,폐업정보!$D$3:$R$3,0)),
"Error"))</f>
        <v>전라</v>
      </c>
      <c r="F67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B0673</v>
      </c>
      <c r="G678" s="76" t="str">
        <f aca="false">F678&amp;RANDBETWEEN(0,10)</f>
        <v>B06739</v>
      </c>
      <c r="H678" s="75" t="n">
        <f aca="false">
IF($D678="정상",INDEX(임대자산!$D$3:$R$3000,MATCH($F678,임대자산!$I$3:$I$3000,0),MATCH(H$4,임대자산!$D$3:$R$3,0)),
IF($D678="폐업",INDEX(폐업정보!$D$3:$R$3000,MATCH($F678,폐업정보!$I$3:$I$3000,0),MATCH(H$4,폐업정보!$D$3:$R$3,0)),
"Error"))</f>
        <v>43243</v>
      </c>
      <c r="I678" s="75" t="str">
        <f aca="false">
IF($D678="정상",INDEX(임대자산!$D$3:$R$3000,MATCH($F678,임대자산!$I$3:$I$3000,0),MATCH(I$4,임대자산!$D$3:$R$3,0)),
IF($D678="폐업",INDEX(폐업정보!$D$3:$R$3000,MATCH($F678,폐업정보!$I$3:$I$3000,0),MATCH(I$4,폐업정보!$D$3:$R$3,0)),
"Error"))</f>
        <v>A0673</v>
      </c>
      <c r="J678" s="75" t="str">
        <f aca="false">
IF($D678="정상",INDEX(임대자산!$D$3:$R$3000,MATCH($F678,임대자산!$I$3:$I$3000,0),MATCH(J$4,임대자산!$D$3:$R$3,0)),
IF($D678="폐업",INDEX(폐업정보!$D$3:$R$3000,MATCH($F678,폐업정보!$I$3:$I$3000,0),MATCH(J$4,폐업정보!$D$3:$R$3,0)),
"Error"))</f>
        <v>2199200000</v>
      </c>
      <c r="K678" s="75" t="str">
        <f aca="false">
IF($D678="정상",INDEX(임대자산!$D$3:$R$3000,MATCH($F678,임대자산!$I$3:$I$3000,0),MATCH(K$4,임대자산!$D$3:$R$3,0)),
IF($D678="폐업",INDEX(폐업정보!$D$3:$R$3000,MATCH($F678,폐업정보!$I$3:$I$3000,0),MATCH(K$4,폐업정보!$D$3:$R$3,0)),
"Error"))</f>
        <v>C0673</v>
      </c>
      <c r="L678" s="75" t="str">
        <f aca="false">
IF($D678="정상",INDEX(임대자산!$D$3:$R$3000,MATCH($F678,임대자산!$I$3:$I$3000,0),MATCH(L$4,임대자산!$D$3:$R$3,0)),
IF($D678="폐업",INDEX(폐업정보!$D$3:$R$3000,MATCH($F678,폐업정보!$I$3:$I$3000,0),MATCH(L$4,폐업정보!$D$3:$R$3,0)),
"Error"))</f>
        <v>D0673</v>
      </c>
      <c r="M678" s="76" t="s">
        <v>96</v>
      </c>
      <c r="N678" s="77"/>
      <c r="O678" s="78" t="s">
        <v>97</v>
      </c>
      <c r="P678" s="79" t="n">
        <f aca="false">COUNTIFS(임대자산!$I:$I,가맹점정보!F678,임대자산!$N:$N,가맹점정보!P$4)</f>
        <v>0</v>
      </c>
      <c r="Q678" s="80" t="n">
        <f aca="false">COUNTIFS(임대자산!$I:$I,가맹점정보!F678,임대자산!$N:$N,가맹점정보!Q$4)</f>
        <v>1</v>
      </c>
      <c r="R678" s="81" t="n">
        <f aca="false">COUNTIFS(임대자산!$I:$I,가맹점정보!F678,임대자산!$N:$N,가맹점정보!R$4)</f>
        <v>0</v>
      </c>
      <c r="S678" s="82" t="n">
        <v>55000</v>
      </c>
      <c r="T678" s="83" t="n">
        <v>0</v>
      </c>
      <c r="U678" s="80" t="n">
        <f aca="false">SUM(S678:T678)</f>
        <v>55000</v>
      </c>
      <c r="V678" s="84" t="s">
        <v>12</v>
      </c>
      <c r="W678" s="80" t="e">
        <f aca="true">
IF(D678="폐업","폐업",
IF(V678="면제","면제",
IF(AND(V678="정상",COUNTIFS(OFFSET(Y678,0,COUNTA(Y678:AV678)-1,1,-4),"미납")&gt;=3),"장기미납",
IF(AND(V678="정상",OFFSET(Y678,0,COUNTA(Y678:AV678)-1)&gt;=U678),"정상",
IF(AND(V678="정상",OFFSET(Y678,0,COUNTA(Y678:AV678)-1)=0),"정상",
"계약서 미작성")))))</f>
        <v>#VALUE!</v>
      </c>
      <c r="X678" s="81" t="str">
        <f aca="true">
IF(D678="폐업","폐업",
IF(AND(V678="정상",OFFSET(Y678,0,COUNTA(Y678:AV678)-1)="미납"),"미납",
IF(AND(V678="정상",OFFSET(Y678,0,COUNTA(Y678:AV678)-1)=0),"납부 시작 전",
IF(AND(V678="정상",OFFSET(Y678,0,COUNTA(Y678:AV678)-1)&gt;=U678),"정상",
IF(AND(V678="면제",OFFSET(Y678,0,COUNTA(Y678:AV678)-1)="면제"),"면제",
IF(AND(V678="면제",OFFSET(Y678,0,COUNTA(Y678:AV678)-1)=0),"면제",
"확인요청"))))))</f>
        <v>정상</v>
      </c>
      <c r="Y678" s="93" t="n">
        <v>110000</v>
      </c>
      <c r="Z678" s="90" t="n">
        <v>55000</v>
      </c>
      <c r="AA678" s="90" t="n">
        <v>55000</v>
      </c>
      <c r="AB678" s="90" t="n">
        <v>55000</v>
      </c>
      <c r="AC678" s="90" t="n">
        <v>55000</v>
      </c>
      <c r="AD678" s="90" t="n">
        <v>55000</v>
      </c>
      <c r="AE678" s="90" t="n">
        <v>55000</v>
      </c>
      <c r="AF678" s="90" t="n">
        <v>55000</v>
      </c>
      <c r="AG678" s="90" t="n">
        <v>55000</v>
      </c>
      <c r="AH678" s="90" t="n">
        <v>55000</v>
      </c>
      <c r="AI678" s="90" t="n">
        <v>55000</v>
      </c>
      <c r="AJ678" s="91" t="n">
        <v>55000</v>
      </c>
      <c r="AK678" s="89" t="n">
        <v>55000</v>
      </c>
      <c r="AL678" s="90" t="n">
        <v>55000</v>
      </c>
      <c r="AM678" s="90"/>
      <c r="AN678" s="90"/>
      <c r="AO678" s="90"/>
      <c r="AP678" s="90"/>
      <c r="AQ678" s="90"/>
      <c r="AR678" s="90"/>
      <c r="AS678" s="90"/>
      <c r="AT678" s="90"/>
      <c r="AU678" s="90"/>
      <c r="AV678" s="91"/>
      <c r="AX678" s="92"/>
    </row>
    <row r="679" customFormat="false" ht="15.65" hidden="false" customHeight="false" outlineLevel="0" collapsed="false">
      <c r="C679" s="72" t="n">
        <f aca="false">COUNTIFS($D$6:D679,"&lt;&gt;"&amp;"")</f>
        <v>674</v>
      </c>
      <c r="D679" s="73" t="s">
        <v>5</v>
      </c>
      <c r="E679" s="76" t="str">
        <f aca="false">
IF($D679="정상",INDEX(임대자산!$D$3:$R$3000,MATCH($F679,임대자산!$I$3:$I$3000,0),MATCH(E$3,임대자산!$D$3:$R$3,0)),
IF($D679="폐업",INDEX(폐업정보!$D$3:$R$3000,MATCH($F679,폐업정보!$I$3:$I$3000,0),MATCH(E$3,폐업정보!$D$3:$R$3,0)),
"Error"))</f>
        <v>전라</v>
      </c>
      <c r="F67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B0674</v>
      </c>
      <c r="G679" s="76" t="str">
        <f aca="false">F679&amp;RANDBETWEEN(0,10)</f>
        <v>B06744</v>
      </c>
      <c r="H679" s="75" t="n">
        <f aca="false">
IF($D679="정상",INDEX(임대자산!$D$3:$R$3000,MATCH($F679,임대자산!$I$3:$I$3000,0),MATCH(H$4,임대자산!$D$3:$R$3,0)),
IF($D679="폐업",INDEX(폐업정보!$D$3:$R$3000,MATCH($F679,폐업정보!$I$3:$I$3000,0),MATCH(H$4,폐업정보!$D$3:$R$3,0)),
"Error"))</f>
        <v>43243</v>
      </c>
      <c r="I679" s="75" t="str">
        <f aca="false">
IF($D679="정상",INDEX(임대자산!$D$3:$R$3000,MATCH($F679,임대자산!$I$3:$I$3000,0),MATCH(I$4,임대자산!$D$3:$R$3,0)),
IF($D679="폐업",INDEX(폐업정보!$D$3:$R$3000,MATCH($F679,폐업정보!$I$3:$I$3000,0),MATCH(I$4,폐업정보!$D$3:$R$3,0)),
"Error"))</f>
        <v>A0674</v>
      </c>
      <c r="J679" s="75" t="str">
        <f aca="false">
IF($D679="정상",INDEX(임대자산!$D$3:$R$3000,MATCH($F679,임대자산!$I$3:$I$3000,0),MATCH(J$4,임대자산!$D$3:$R$3,0)),
IF($D679="폐업",INDEX(폐업정보!$D$3:$R$3000,MATCH($F679,폐업정보!$I$3:$I$3000,0),MATCH(J$4,폐업정보!$D$3:$R$3,0)),
"Error"))</f>
        <v>2848800000</v>
      </c>
      <c r="K679" s="75" t="str">
        <f aca="false">
IF($D679="정상",INDEX(임대자산!$D$3:$R$3000,MATCH($F679,임대자산!$I$3:$I$3000,0),MATCH(K$4,임대자산!$D$3:$R$3,0)),
IF($D679="폐업",INDEX(폐업정보!$D$3:$R$3000,MATCH($F679,폐업정보!$I$3:$I$3000,0),MATCH(K$4,폐업정보!$D$3:$R$3,0)),
"Error"))</f>
        <v>C0674</v>
      </c>
      <c r="L679" s="75" t="str">
        <f aca="false">
IF($D679="정상",INDEX(임대자산!$D$3:$R$3000,MATCH($F679,임대자산!$I$3:$I$3000,0),MATCH(L$4,임대자산!$D$3:$R$3,0)),
IF($D679="폐업",INDEX(폐업정보!$D$3:$R$3000,MATCH($F679,폐업정보!$I$3:$I$3000,0),MATCH(L$4,폐업정보!$D$3:$R$3,0)),
"Error"))</f>
        <v>D0674</v>
      </c>
      <c r="M679" s="76" t="s">
        <v>96</v>
      </c>
      <c r="N679" s="77"/>
      <c r="O679" s="78" t="s">
        <v>97</v>
      </c>
      <c r="P679" s="79" t="n">
        <f aca="false">COUNTIFS(임대자산!$I:$I,가맹점정보!F679,임대자산!$N:$N,가맹점정보!P$4)</f>
        <v>0</v>
      </c>
      <c r="Q679" s="80" t="n">
        <f aca="false">COUNTIFS(임대자산!$I:$I,가맹점정보!F679,임대자산!$N:$N,가맹점정보!Q$4)</f>
        <v>0</v>
      </c>
      <c r="R679" s="81" t="n">
        <f aca="false">COUNTIFS(임대자산!$I:$I,가맹점정보!F679,임대자산!$N:$N,가맹점정보!R$4)</f>
        <v>0</v>
      </c>
      <c r="S679" s="82" t="n">
        <v>55000</v>
      </c>
      <c r="T679" s="83" t="n">
        <v>0</v>
      </c>
      <c r="U679" s="80" t="n">
        <f aca="false">SUM(S679:T679)</f>
        <v>55000</v>
      </c>
      <c r="V679" s="84" t="s">
        <v>12</v>
      </c>
      <c r="W679" s="80" t="str">
        <f aca="true">
IF(D679="폐업","폐업",
IF(V679="면제","면제",
IF(AND(V679="정상",COUNTIFS(OFFSET(Y679,0,COUNTA(Y679:AV679)-1,1,-4),"미납")&gt;=3),"장기미납",
IF(AND(V679="정상",OFFSET(Y679,0,COUNTA(Y679:AV679)-1)&gt;=U679),"정상",
IF(AND(V679="정상",OFFSET(Y679,0,COUNTA(Y679:AV679)-1)=0),"정상",
"계약서 미작성")))))</f>
        <v>폐업</v>
      </c>
      <c r="X679" s="81" t="str">
        <f aca="true">
IF(D679="폐업","폐업",
IF(AND(V679="정상",OFFSET(Y679,0,COUNTA(Y679:AV679)-1)="미납"),"미납",
IF(AND(V679="정상",OFFSET(Y679,0,COUNTA(Y679:AV679)-1)=0),"납부 시작 전",
IF(AND(V679="정상",OFFSET(Y679,0,COUNTA(Y679:AV679)-1)&gt;=U679),"정상",
IF(AND(V679="면제",OFFSET(Y679,0,COUNTA(Y679:AV679)-1)="면제"),"면제",
IF(AND(V679="면제",OFFSET(Y679,0,COUNTA(Y679:AV679)-1)=0),"면제",
"확인요청"))))))</f>
        <v>폐업</v>
      </c>
      <c r="Y679" s="93" t="n">
        <v>55000</v>
      </c>
      <c r="Z679" s="90" t="n">
        <v>55000</v>
      </c>
      <c r="AA679" s="90" t="n">
        <v>55000</v>
      </c>
      <c r="AB679" s="90" t="n">
        <v>55000</v>
      </c>
      <c r="AC679" s="90" t="n">
        <v>55000</v>
      </c>
      <c r="AD679" s="90" t="n">
        <v>55000</v>
      </c>
      <c r="AE679" s="90" t="n">
        <v>55000</v>
      </c>
      <c r="AF679" s="90" t="n">
        <v>55000</v>
      </c>
      <c r="AG679" s="90" t="n">
        <v>55000</v>
      </c>
      <c r="AH679" s="90" t="n">
        <v>55000</v>
      </c>
      <c r="AI679" s="90" t="n">
        <v>55000</v>
      </c>
      <c r="AJ679" s="91" t="n">
        <v>55000</v>
      </c>
      <c r="AK679" s="89" t="n">
        <v>55000</v>
      </c>
      <c r="AL679" s="90" t="n">
        <v>55000</v>
      </c>
      <c r="AM679" s="90"/>
      <c r="AN679" s="90"/>
      <c r="AO679" s="90"/>
      <c r="AP679" s="90"/>
      <c r="AQ679" s="90"/>
      <c r="AR679" s="90"/>
      <c r="AS679" s="90"/>
      <c r="AT679" s="90"/>
      <c r="AU679" s="90"/>
      <c r="AV679" s="91"/>
      <c r="AX679" s="92"/>
    </row>
    <row r="680" customFormat="false" ht="15.65" hidden="false" customHeight="false" outlineLevel="0" collapsed="false">
      <c r="C680" s="72" t="n">
        <f aca="false">COUNTIFS($D$6:D680,"&lt;&gt;"&amp;"")</f>
        <v>675</v>
      </c>
      <c r="D680" s="73" t="s">
        <v>12</v>
      </c>
      <c r="E680" s="76" t="str">
        <f aca="false">
IF($D680="정상",INDEX(임대자산!$D$3:$R$3000,MATCH($F680,임대자산!$I$3:$I$3000,0),MATCH(E$3,임대자산!$D$3:$R$3,0)),
IF($D680="폐업",INDEX(폐업정보!$D$3:$R$3000,MATCH($F680,폐업정보!$I$3:$I$3000,0),MATCH(E$3,폐업정보!$D$3:$R$3,0)),
"Error"))</f>
        <v>강원</v>
      </c>
      <c r="F68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B0675</v>
      </c>
      <c r="G680" s="76" t="str">
        <f aca="false">F680&amp;RANDBETWEEN(0,10)</f>
        <v>B06754</v>
      </c>
      <c r="H680" s="75" t="n">
        <f aca="false">
IF($D680="정상",INDEX(임대자산!$D$3:$R$3000,MATCH($F680,임대자산!$I$3:$I$3000,0),MATCH(H$4,임대자산!$D$3:$R$3,0)),
IF($D680="폐업",INDEX(폐업정보!$D$3:$R$3000,MATCH($F680,폐업정보!$I$3:$I$3000,0),MATCH(H$4,폐업정보!$D$3:$R$3,0)),
"Error"))</f>
        <v>45660</v>
      </c>
      <c r="I680" s="75" t="str">
        <f aca="false">
IF($D680="정상",INDEX(임대자산!$D$3:$R$3000,MATCH($F680,임대자산!$I$3:$I$3000,0),MATCH(I$4,임대자산!$D$3:$R$3,0)),
IF($D680="폐업",INDEX(폐업정보!$D$3:$R$3000,MATCH($F680,폐업정보!$I$3:$I$3000,0),MATCH(I$4,폐업정보!$D$3:$R$3,0)),
"Error"))</f>
        <v>A0675</v>
      </c>
      <c r="J680" s="75" t="str">
        <f aca="false">
IF($D680="정상",INDEX(임대자산!$D$3:$R$3000,MATCH($F680,임대자산!$I$3:$I$3000,0),MATCH(J$4,임대자산!$D$3:$R$3,0)),
IF($D680="폐업",INDEX(폐업정보!$D$3:$R$3000,MATCH($F680,폐업정보!$I$3:$I$3000,0),MATCH(J$4,폐업정보!$D$3:$R$3,0)),
"Error"))</f>
        <v>9361500000</v>
      </c>
      <c r="K680" s="75" t="str">
        <f aca="false">
IF($D680="정상",INDEX(임대자산!$D$3:$R$3000,MATCH($F680,임대자산!$I$3:$I$3000,0),MATCH(K$4,임대자산!$D$3:$R$3,0)),
IF($D680="폐업",INDEX(폐업정보!$D$3:$R$3000,MATCH($F680,폐업정보!$I$3:$I$3000,0),MATCH(K$4,폐업정보!$D$3:$R$3,0)),
"Error"))</f>
        <v>C0675</v>
      </c>
      <c r="L680" s="75" t="str">
        <f aca="false">
IF($D680="정상",INDEX(임대자산!$D$3:$R$3000,MATCH($F680,임대자산!$I$3:$I$3000,0),MATCH(L$4,임대자산!$D$3:$R$3,0)),
IF($D680="폐업",INDEX(폐업정보!$D$3:$R$3000,MATCH($F680,폐업정보!$I$3:$I$3000,0),MATCH(L$4,폐업정보!$D$3:$R$3,0)),
"Error"))</f>
        <v>D0675</v>
      </c>
      <c r="M680" s="76" t="s">
        <v>96</v>
      </c>
      <c r="N680" s="77"/>
      <c r="O680" s="78" t="s">
        <v>97</v>
      </c>
      <c r="P680" s="79" t="n">
        <f aca="false">COUNTIFS(임대자산!$I:$I,가맹점정보!F680,임대자산!$N:$N,가맹점정보!P$4)</f>
        <v>0</v>
      </c>
      <c r="Q680" s="80" t="n">
        <f aca="false">COUNTIFS(임대자산!$I:$I,가맹점정보!F680,임대자산!$N:$N,가맹점정보!Q$4)</f>
        <v>1</v>
      </c>
      <c r="R680" s="81" t="n">
        <f aca="false">COUNTIFS(임대자산!$I:$I,가맹점정보!F680,임대자산!$N:$N,가맹점정보!R$4)</f>
        <v>0</v>
      </c>
      <c r="S680" s="82" t="n">
        <v>55000</v>
      </c>
      <c r="T680" s="83" t="n">
        <v>0</v>
      </c>
      <c r="U680" s="80" t="n">
        <f aca="false">SUM(S680:T680)</f>
        <v>55000</v>
      </c>
      <c r="V680" s="84" t="s">
        <v>12</v>
      </c>
      <c r="W680" s="80" t="e">
        <f aca="true">
IF(D680="폐업","폐업",
IF(V680="면제","면제",
IF(AND(V680="정상",COUNTIFS(OFFSET(Y680,0,COUNTA(Y680:AV680)-1,1,-4),"미납")&gt;=3),"장기미납",
IF(AND(V680="정상",OFFSET(Y680,0,COUNTA(Y680:AV680)-1)&gt;=U680),"정상",
IF(AND(V680="정상",OFFSET(Y680,0,COUNTA(Y680:AV680)-1)=0),"정상",
"계약서 미작성")))))</f>
        <v>#VALUE!</v>
      </c>
      <c r="X680" s="81" t="str">
        <f aca="true">
IF(D680="폐업","폐업",
IF(AND(V680="정상",OFFSET(Y680,0,COUNTA(Y680:AV680)-1)="미납"),"미납",
IF(AND(V680="정상",OFFSET(Y680,0,COUNTA(Y680:AV680)-1)=0),"납부 시작 전",
IF(AND(V680="정상",OFFSET(Y680,0,COUNTA(Y680:AV680)-1)&gt;=U680),"정상",
IF(AND(V680="면제",OFFSET(Y680,0,COUNTA(Y680:AV680)-1)="면제"),"면제",
IF(AND(V680="면제",OFFSET(Y680,0,COUNTA(Y680:AV680)-1)=0),"면제",
"확인요청"))))))</f>
        <v>정상</v>
      </c>
      <c r="Y680" s="93" t="n">
        <v>55000</v>
      </c>
      <c r="Z680" s="90" t="n">
        <v>55000</v>
      </c>
      <c r="AA680" s="90" t="n">
        <v>55000</v>
      </c>
      <c r="AB680" s="90" t="n">
        <v>55000</v>
      </c>
      <c r="AC680" s="90" t="n">
        <v>55000</v>
      </c>
      <c r="AD680" s="90" t="n">
        <v>55000</v>
      </c>
      <c r="AE680" s="90" t="n">
        <v>55000</v>
      </c>
      <c r="AF680" s="90" t="n">
        <v>55000</v>
      </c>
      <c r="AG680" s="90" t="n">
        <v>55000</v>
      </c>
      <c r="AH680" s="90" t="n">
        <v>55000</v>
      </c>
      <c r="AI680" s="90" t="n">
        <v>55000</v>
      </c>
      <c r="AJ680" s="91" t="n">
        <v>55000</v>
      </c>
      <c r="AK680" s="89" t="n">
        <v>55000</v>
      </c>
      <c r="AL680" s="90" t="n">
        <v>55000</v>
      </c>
      <c r="AM680" s="90"/>
      <c r="AN680" s="90"/>
      <c r="AO680" s="90"/>
      <c r="AP680" s="90"/>
      <c r="AQ680" s="90"/>
      <c r="AR680" s="90"/>
      <c r="AS680" s="90"/>
      <c r="AT680" s="90"/>
      <c r="AU680" s="90"/>
      <c r="AV680" s="91"/>
      <c r="AX680" s="92"/>
    </row>
    <row r="681" customFormat="false" ht="15.65" hidden="false" customHeight="false" outlineLevel="0" collapsed="false">
      <c r="C681" s="72" t="n">
        <f aca="false">COUNTIFS($D$6:D681,"&lt;&gt;"&amp;"")</f>
        <v>676</v>
      </c>
      <c r="D681" s="73" t="s">
        <v>12</v>
      </c>
      <c r="E681" s="76" t="str">
        <f aca="false">
IF($D681="정상",INDEX(임대자산!$D$3:$R$3000,MATCH($F681,임대자산!$I$3:$I$3000,0),MATCH(E$3,임대자산!$D$3:$R$3,0)),
IF($D681="폐업",INDEX(폐업정보!$D$3:$R$3000,MATCH($F681,폐업정보!$I$3:$I$3000,0),MATCH(E$3,폐업정보!$D$3:$R$3,0)),
"Error"))</f>
        <v>강원</v>
      </c>
      <c r="F68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B0676</v>
      </c>
      <c r="G681" s="76" t="str">
        <f aca="false">F681&amp;RANDBETWEEN(0,10)</f>
        <v>B06764</v>
      </c>
      <c r="H681" s="75" t="n">
        <f aca="false">
IF($D681="정상",INDEX(임대자산!$D$3:$R$3000,MATCH($F681,임대자산!$I$3:$I$3000,0),MATCH(H$4,임대자산!$D$3:$R$3,0)),
IF($D681="폐업",INDEX(폐업정보!$D$3:$R$3000,MATCH($F681,폐업정보!$I$3:$I$3000,0),MATCH(H$4,폐업정보!$D$3:$R$3,0)),
"Error"))</f>
        <v>44350</v>
      </c>
      <c r="I681" s="75" t="str">
        <f aca="false">
IF($D681="정상",INDEX(임대자산!$D$3:$R$3000,MATCH($F681,임대자산!$I$3:$I$3000,0),MATCH(I$4,임대자산!$D$3:$R$3,0)),
IF($D681="폐업",INDEX(폐업정보!$D$3:$R$3000,MATCH($F681,폐업정보!$I$3:$I$3000,0),MATCH(I$4,폐업정보!$D$3:$R$3,0)),
"Error"))</f>
        <v>A0676</v>
      </c>
      <c r="J681" s="75" t="str">
        <f aca="false">
IF($D681="정상",INDEX(임대자산!$D$3:$R$3000,MATCH($F681,임대자산!$I$3:$I$3000,0),MATCH(J$4,임대자산!$D$3:$R$3,0)),
IF($D681="폐업",INDEX(폐업정보!$D$3:$R$3000,MATCH($F681,폐업정보!$I$3:$I$3000,0),MATCH(J$4,폐업정보!$D$3:$R$3,0)),
"Error"))</f>
        <v>3176900000</v>
      </c>
      <c r="K681" s="75" t="str">
        <f aca="false">
IF($D681="정상",INDEX(임대자산!$D$3:$R$3000,MATCH($F681,임대자산!$I$3:$I$3000,0),MATCH(K$4,임대자산!$D$3:$R$3,0)),
IF($D681="폐업",INDEX(폐업정보!$D$3:$R$3000,MATCH($F681,폐업정보!$I$3:$I$3000,0),MATCH(K$4,폐업정보!$D$3:$R$3,0)),
"Error"))</f>
        <v>C0676</v>
      </c>
      <c r="L681" s="75" t="str">
        <f aca="false">
IF($D681="정상",INDEX(임대자산!$D$3:$R$3000,MATCH($F681,임대자산!$I$3:$I$3000,0),MATCH(L$4,임대자산!$D$3:$R$3,0)),
IF($D681="폐업",INDEX(폐업정보!$D$3:$R$3000,MATCH($F681,폐업정보!$I$3:$I$3000,0),MATCH(L$4,폐업정보!$D$3:$R$3,0)),
"Error"))</f>
        <v>D0676</v>
      </c>
      <c r="M681" s="76" t="s">
        <v>96</v>
      </c>
      <c r="N681" s="77"/>
      <c r="O681" s="78" t="s">
        <v>97</v>
      </c>
      <c r="P681" s="79" t="n">
        <f aca="false">COUNTIFS(임대자산!$I:$I,가맹점정보!F681,임대자산!$N:$N,가맹점정보!P$4)</f>
        <v>0</v>
      </c>
      <c r="Q681" s="80" t="n">
        <f aca="false">COUNTIFS(임대자산!$I:$I,가맹점정보!F681,임대자산!$N:$N,가맹점정보!Q$4)</f>
        <v>1</v>
      </c>
      <c r="R681" s="81" t="n">
        <f aca="false">COUNTIFS(임대자산!$I:$I,가맹점정보!F681,임대자산!$N:$N,가맹점정보!R$4)</f>
        <v>0</v>
      </c>
      <c r="S681" s="82" t="n">
        <v>55000</v>
      </c>
      <c r="T681" s="83" t="n">
        <v>0</v>
      </c>
      <c r="U681" s="80" t="n">
        <f aca="false">SUM(S681:T681)</f>
        <v>55000</v>
      </c>
      <c r="V681" s="84" t="s">
        <v>7</v>
      </c>
      <c r="W681" s="80" t="str">
        <f aca="true">
IF(D681="폐업","폐업",
IF(V681="면제","면제",
IF(AND(V681="정상",COUNTIFS(OFFSET(Y681,0,COUNTA(Y681:AV681)-1,1,-4),"미납")&gt;=3),"장기미납",
IF(AND(V681="정상",OFFSET(Y681,0,COUNTA(Y681:AV681)-1)&gt;=U681),"정상",
IF(AND(V681="정상",OFFSET(Y681,0,COUNTA(Y681:AV681)-1)=0),"정상",
"계약서 미작성")))))</f>
        <v>면제</v>
      </c>
      <c r="X681" s="81" t="str">
        <f aca="true">
IF(D681="폐업","폐업",
IF(AND(V681="정상",OFFSET(Y681,0,COUNTA(Y681:AV681)-1)="미납"),"미납",
IF(AND(V681="정상",OFFSET(Y681,0,COUNTA(Y681:AV681)-1)=0),"납부 시작 전",
IF(AND(V681="정상",OFFSET(Y681,0,COUNTA(Y681:AV681)-1)&gt;=U681),"정상",
IF(AND(V681="면제",OFFSET(Y681,0,COUNTA(Y681:AV681)-1)="면제"),"면제",
IF(AND(V681="면제",OFFSET(Y681,0,COUNTA(Y681:AV681)-1)=0),"면제",
"확인요청"))))))</f>
        <v>면제</v>
      </c>
      <c r="Y681" s="94" t="s">
        <v>7</v>
      </c>
      <c r="Z681" s="95" t="s">
        <v>7</v>
      </c>
      <c r="AA681" s="95" t="s">
        <v>7</v>
      </c>
      <c r="AB681" s="95" t="s">
        <v>7</v>
      </c>
      <c r="AC681" s="95" t="s">
        <v>7</v>
      </c>
      <c r="AD681" s="95" t="s">
        <v>7</v>
      </c>
      <c r="AE681" s="95" t="s">
        <v>7</v>
      </c>
      <c r="AF681" s="95" t="s">
        <v>7</v>
      </c>
      <c r="AG681" s="95" t="s">
        <v>7</v>
      </c>
      <c r="AH681" s="95" t="s">
        <v>7</v>
      </c>
      <c r="AI681" s="95" t="s">
        <v>7</v>
      </c>
      <c r="AJ681" s="96" t="s">
        <v>7</v>
      </c>
      <c r="AK681" s="97" t="s">
        <v>7</v>
      </c>
      <c r="AL681" s="95" t="s">
        <v>7</v>
      </c>
      <c r="AM681" s="90"/>
      <c r="AN681" s="90"/>
      <c r="AO681" s="90"/>
      <c r="AP681" s="90"/>
      <c r="AQ681" s="90"/>
      <c r="AR681" s="90"/>
      <c r="AS681" s="90"/>
      <c r="AT681" s="90"/>
      <c r="AU681" s="90"/>
      <c r="AV681" s="91"/>
      <c r="AX681" s="92"/>
    </row>
    <row r="682" customFormat="false" ht="15.65" hidden="false" customHeight="false" outlineLevel="0" collapsed="false">
      <c r="C682" s="72" t="n">
        <f aca="false">COUNTIFS($D$6:D682,"&lt;&gt;"&amp;"")</f>
        <v>677</v>
      </c>
      <c r="D682" s="73" t="s">
        <v>12</v>
      </c>
      <c r="E682" s="76" t="str">
        <f aca="false">
IF($D682="정상",INDEX(임대자산!$D$3:$R$3000,MATCH($F682,임대자산!$I$3:$I$3000,0),MATCH(E$3,임대자산!$D$3:$R$3,0)),
IF($D682="폐업",INDEX(폐업정보!$D$3:$R$3000,MATCH($F682,폐업정보!$I$3:$I$3000,0),MATCH(E$3,폐업정보!$D$3:$R$3,0)),
"Error"))</f>
        <v>강원</v>
      </c>
      <c r="F68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B0677</v>
      </c>
      <c r="G682" s="76" t="str">
        <f aca="false">F682&amp;RANDBETWEEN(0,10)</f>
        <v>B06775</v>
      </c>
      <c r="H682" s="75" t="n">
        <f aca="false">
IF($D682="정상",INDEX(임대자산!$D$3:$R$3000,MATCH($F682,임대자산!$I$3:$I$3000,0),MATCH(H$4,임대자산!$D$3:$R$3,0)),
IF($D682="폐업",INDEX(폐업정보!$D$3:$R$3000,MATCH($F682,폐업정보!$I$3:$I$3000,0),MATCH(H$4,폐업정보!$D$3:$R$3,0)),
"Error"))</f>
        <v>44350</v>
      </c>
      <c r="I682" s="75" t="str">
        <f aca="false">
IF($D682="정상",INDEX(임대자산!$D$3:$R$3000,MATCH($F682,임대자산!$I$3:$I$3000,0),MATCH(I$4,임대자산!$D$3:$R$3,0)),
IF($D682="폐업",INDEX(폐업정보!$D$3:$R$3000,MATCH($F682,폐업정보!$I$3:$I$3000,0),MATCH(I$4,폐업정보!$D$3:$R$3,0)),
"Error"))</f>
        <v>A0677</v>
      </c>
      <c r="J682" s="75" t="str">
        <f aca="false">
IF($D682="정상",INDEX(임대자산!$D$3:$R$3000,MATCH($F682,임대자산!$I$3:$I$3000,0),MATCH(J$4,임대자산!$D$3:$R$3,0)),
IF($D682="폐업",INDEX(폐업정보!$D$3:$R$3000,MATCH($F682,폐업정보!$I$3:$I$3000,0),MATCH(J$4,폐업정보!$D$3:$R$3,0)),
"Error"))</f>
        <v>6151000000</v>
      </c>
      <c r="K682" s="75" t="str">
        <f aca="false">
IF($D682="정상",INDEX(임대자산!$D$3:$R$3000,MATCH($F682,임대자산!$I$3:$I$3000,0),MATCH(K$4,임대자산!$D$3:$R$3,0)),
IF($D682="폐업",INDEX(폐업정보!$D$3:$R$3000,MATCH($F682,폐업정보!$I$3:$I$3000,0),MATCH(K$4,폐업정보!$D$3:$R$3,0)),
"Error"))</f>
        <v>C0677</v>
      </c>
      <c r="L682" s="75" t="str">
        <f aca="false">
IF($D682="정상",INDEX(임대자산!$D$3:$R$3000,MATCH($F682,임대자산!$I$3:$I$3000,0),MATCH(L$4,임대자산!$D$3:$R$3,0)),
IF($D682="폐업",INDEX(폐업정보!$D$3:$R$3000,MATCH($F682,폐업정보!$I$3:$I$3000,0),MATCH(L$4,폐업정보!$D$3:$R$3,0)),
"Error"))</f>
        <v>D0677</v>
      </c>
      <c r="M682" s="76" t="s">
        <v>96</v>
      </c>
      <c r="N682" s="77"/>
      <c r="O682" s="78" t="s">
        <v>97</v>
      </c>
      <c r="P682" s="79" t="n">
        <f aca="false">COUNTIFS(임대자산!$I:$I,가맹점정보!F682,임대자산!$N:$N,가맹점정보!P$4)</f>
        <v>0</v>
      </c>
      <c r="Q682" s="80" t="n">
        <f aca="false">COUNTIFS(임대자산!$I:$I,가맹점정보!F682,임대자산!$N:$N,가맹점정보!Q$4)</f>
        <v>1</v>
      </c>
      <c r="R682" s="81" t="n">
        <f aca="false">COUNTIFS(임대자산!$I:$I,가맹점정보!F682,임대자산!$N:$N,가맹점정보!R$4)</f>
        <v>0</v>
      </c>
      <c r="S682" s="82" t="n">
        <v>88000</v>
      </c>
      <c r="T682" s="83" t="n">
        <v>0</v>
      </c>
      <c r="U682" s="80" t="n">
        <f aca="false">SUM(S682:T682)</f>
        <v>88000</v>
      </c>
      <c r="V682" s="84" t="s">
        <v>7</v>
      </c>
      <c r="W682" s="80" t="str">
        <f aca="true">
IF(D682="폐업","폐업",
IF(V682="면제","면제",
IF(AND(V682="정상",COUNTIFS(OFFSET(Y682,0,COUNTA(Y682:AV682)-1,1,-4),"미납")&gt;=3),"장기미납",
IF(AND(V682="정상",OFFSET(Y682,0,COUNTA(Y682:AV682)-1)&gt;=U682),"정상",
IF(AND(V682="정상",OFFSET(Y682,0,COUNTA(Y682:AV682)-1)=0),"정상",
"계약서 미작성")))))</f>
        <v>면제</v>
      </c>
      <c r="X682" s="81" t="str">
        <f aca="true">
IF(D682="폐업","폐업",
IF(AND(V682="정상",OFFSET(Y682,0,COUNTA(Y682:AV682)-1)="미납"),"미납",
IF(AND(V682="정상",OFFSET(Y682,0,COUNTA(Y682:AV682)-1)=0),"납부 시작 전",
IF(AND(V682="정상",OFFSET(Y682,0,COUNTA(Y682:AV682)-1)&gt;=U682),"정상",
IF(AND(V682="면제",OFFSET(Y682,0,COUNTA(Y682:AV682)-1)="면제"),"면제",
IF(AND(V682="면제",OFFSET(Y682,0,COUNTA(Y682:AV682)-1)=0),"면제",
"확인요청"))))))</f>
        <v>면제</v>
      </c>
      <c r="Y682" s="94" t="s">
        <v>7</v>
      </c>
      <c r="Z682" s="95" t="s">
        <v>7</v>
      </c>
      <c r="AA682" s="95" t="s">
        <v>7</v>
      </c>
      <c r="AB682" s="95" t="s">
        <v>7</v>
      </c>
      <c r="AC682" s="95" t="s">
        <v>7</v>
      </c>
      <c r="AD682" s="95" t="s">
        <v>7</v>
      </c>
      <c r="AE682" s="95" t="s">
        <v>7</v>
      </c>
      <c r="AF682" s="95" t="s">
        <v>7</v>
      </c>
      <c r="AG682" s="95" t="s">
        <v>7</v>
      </c>
      <c r="AH682" s="95" t="s">
        <v>7</v>
      </c>
      <c r="AI682" s="95" t="s">
        <v>7</v>
      </c>
      <c r="AJ682" s="96" t="s">
        <v>7</v>
      </c>
      <c r="AK682" s="97" t="s">
        <v>7</v>
      </c>
      <c r="AL682" s="95" t="s">
        <v>7</v>
      </c>
      <c r="AM682" s="90"/>
      <c r="AN682" s="90"/>
      <c r="AO682" s="90"/>
      <c r="AP682" s="90"/>
      <c r="AQ682" s="90"/>
      <c r="AR682" s="90"/>
      <c r="AS682" s="90"/>
      <c r="AT682" s="90"/>
      <c r="AU682" s="90"/>
      <c r="AV682" s="91"/>
      <c r="AX682" s="92"/>
    </row>
    <row r="683" customFormat="false" ht="15.65" hidden="false" customHeight="false" outlineLevel="0" collapsed="false">
      <c r="C683" s="72" t="n">
        <f aca="false">COUNTIFS($D$6:D683,"&lt;&gt;"&amp;"")</f>
        <v>678</v>
      </c>
      <c r="D683" s="73" t="s">
        <v>12</v>
      </c>
      <c r="E683" s="76" t="str">
        <f aca="false">
IF($D683="정상",INDEX(임대자산!$D$3:$R$3000,MATCH($F683,임대자산!$I$3:$I$3000,0),MATCH(E$3,임대자산!$D$3:$R$3,0)),
IF($D683="폐업",INDEX(폐업정보!$D$3:$R$3000,MATCH($F683,폐업정보!$I$3:$I$3000,0),MATCH(E$3,폐업정보!$D$3:$R$3,0)),
"Error"))</f>
        <v>경기</v>
      </c>
      <c r="F68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B0678</v>
      </c>
      <c r="G683" s="76" t="str">
        <f aca="false">F683&amp;RANDBETWEEN(0,10)</f>
        <v>B06782</v>
      </c>
      <c r="H683" s="75" t="n">
        <f aca="false">
IF($D683="정상",INDEX(임대자산!$D$3:$R$3000,MATCH($F683,임대자산!$I$3:$I$3000,0),MATCH(H$4,임대자산!$D$3:$R$3,0)),
IF($D683="폐업",INDEX(폐업정보!$D$3:$R$3000,MATCH($F683,폐업정보!$I$3:$I$3000,0),MATCH(H$4,폐업정보!$D$3:$R$3,0)),
"Error"))</f>
        <v>44568</v>
      </c>
      <c r="I683" s="75" t="str">
        <f aca="false">
IF($D683="정상",INDEX(임대자산!$D$3:$R$3000,MATCH($F683,임대자산!$I$3:$I$3000,0),MATCH(I$4,임대자산!$D$3:$R$3,0)),
IF($D683="폐업",INDEX(폐업정보!$D$3:$R$3000,MATCH($F683,폐업정보!$I$3:$I$3000,0),MATCH(I$4,폐업정보!$D$3:$R$3,0)),
"Error"))</f>
        <v>A0678</v>
      </c>
      <c r="J683" s="75" t="str">
        <f aca="false">
IF($D683="정상",INDEX(임대자산!$D$3:$R$3000,MATCH($F683,임대자산!$I$3:$I$3000,0),MATCH(J$4,임대자산!$D$3:$R$3,0)),
IF($D683="폐업",INDEX(폐업정보!$D$3:$R$3000,MATCH($F683,폐업정보!$I$3:$I$3000,0),MATCH(J$4,폐업정보!$D$3:$R$3,0)),
"Error"))</f>
        <v>8375800000</v>
      </c>
      <c r="K683" s="75" t="str">
        <f aca="false">
IF($D683="정상",INDEX(임대자산!$D$3:$R$3000,MATCH($F683,임대자산!$I$3:$I$3000,0),MATCH(K$4,임대자산!$D$3:$R$3,0)),
IF($D683="폐업",INDEX(폐업정보!$D$3:$R$3000,MATCH($F683,폐업정보!$I$3:$I$3000,0),MATCH(K$4,폐업정보!$D$3:$R$3,0)),
"Error"))</f>
        <v>C0678</v>
      </c>
      <c r="L683" s="75" t="str">
        <f aca="false">
IF($D683="정상",INDEX(임대자산!$D$3:$R$3000,MATCH($F683,임대자산!$I$3:$I$3000,0),MATCH(L$4,임대자산!$D$3:$R$3,0)),
IF($D683="폐업",INDEX(폐업정보!$D$3:$R$3000,MATCH($F683,폐업정보!$I$3:$I$3000,0),MATCH(L$4,폐업정보!$D$3:$R$3,0)),
"Error"))</f>
        <v>D0678</v>
      </c>
      <c r="M683" s="76" t="s">
        <v>96</v>
      </c>
      <c r="N683" s="77"/>
      <c r="O683" s="78" t="s">
        <v>97</v>
      </c>
      <c r="P683" s="79" t="n">
        <f aca="false">COUNTIFS(임대자산!$I:$I,가맹점정보!F683,임대자산!$N:$N,가맹점정보!P$4)</f>
        <v>0</v>
      </c>
      <c r="Q683" s="80" t="n">
        <f aca="false">COUNTIFS(임대자산!$I:$I,가맹점정보!F683,임대자산!$N:$N,가맹점정보!Q$4)</f>
        <v>1</v>
      </c>
      <c r="R683" s="81" t="n">
        <f aca="false">COUNTIFS(임대자산!$I:$I,가맹점정보!F683,임대자산!$N:$N,가맹점정보!R$4)</f>
        <v>0</v>
      </c>
      <c r="S683" s="82" t="n">
        <v>55000</v>
      </c>
      <c r="T683" s="83" t="n">
        <v>0</v>
      </c>
      <c r="U683" s="80" t="n">
        <f aca="false">SUM(S683:T683)</f>
        <v>55000</v>
      </c>
      <c r="V683" s="84" t="s">
        <v>7</v>
      </c>
      <c r="W683" s="80" t="str">
        <f aca="true">
IF(D683="폐업","폐업",
IF(V683="면제","면제",
IF(AND(V683="정상",COUNTIFS(OFFSET(Y683,0,COUNTA(Y683:AV683)-1,1,-4),"미납")&gt;=3),"장기미납",
IF(AND(V683="정상",OFFSET(Y683,0,COUNTA(Y683:AV683)-1)&gt;=U683),"정상",
IF(AND(V683="정상",OFFSET(Y683,0,COUNTA(Y683:AV683)-1)=0),"정상",
"계약서 미작성")))))</f>
        <v>면제</v>
      </c>
      <c r="X683" s="81" t="str">
        <f aca="true">
IF(D683="폐업","폐업",
IF(AND(V683="정상",OFFSET(Y683,0,COUNTA(Y683:AV683)-1)="미납"),"미납",
IF(AND(V683="정상",OFFSET(Y683,0,COUNTA(Y683:AV683)-1)=0),"납부 시작 전",
IF(AND(V683="정상",OFFSET(Y683,0,COUNTA(Y683:AV683)-1)&gt;=U683),"정상",
IF(AND(V683="면제",OFFSET(Y683,0,COUNTA(Y683:AV683)-1)="면제"),"면제",
IF(AND(V683="면제",OFFSET(Y683,0,COUNTA(Y683:AV683)-1)=0),"면제",
"확인요청"))))))</f>
        <v>면제</v>
      </c>
      <c r="Y683" s="94" t="s">
        <v>7</v>
      </c>
      <c r="Z683" s="95" t="s">
        <v>7</v>
      </c>
      <c r="AA683" s="95" t="s">
        <v>7</v>
      </c>
      <c r="AB683" s="95" t="s">
        <v>7</v>
      </c>
      <c r="AC683" s="95" t="s">
        <v>7</v>
      </c>
      <c r="AD683" s="95" t="s">
        <v>7</v>
      </c>
      <c r="AE683" s="95" t="s">
        <v>7</v>
      </c>
      <c r="AF683" s="95" t="s">
        <v>7</v>
      </c>
      <c r="AG683" s="95" t="s">
        <v>7</v>
      </c>
      <c r="AH683" s="95" t="s">
        <v>7</v>
      </c>
      <c r="AI683" s="95" t="s">
        <v>7</v>
      </c>
      <c r="AJ683" s="96" t="s">
        <v>7</v>
      </c>
      <c r="AK683" s="97" t="s">
        <v>7</v>
      </c>
      <c r="AL683" s="95" t="s">
        <v>7</v>
      </c>
      <c r="AM683" s="90"/>
      <c r="AN683" s="90"/>
      <c r="AO683" s="90"/>
      <c r="AP683" s="90"/>
      <c r="AQ683" s="90"/>
      <c r="AR683" s="90"/>
      <c r="AS683" s="90"/>
      <c r="AT683" s="90"/>
      <c r="AU683" s="90"/>
      <c r="AV683" s="91"/>
      <c r="AX683" s="92"/>
    </row>
    <row r="684" customFormat="false" ht="15.65" hidden="false" customHeight="false" outlineLevel="0" collapsed="false">
      <c r="C684" s="72" t="n">
        <f aca="false">COUNTIFS($D$6:D684,"&lt;&gt;"&amp;"")</f>
        <v>679</v>
      </c>
      <c r="D684" s="73" t="s">
        <v>12</v>
      </c>
      <c r="E684" s="76" t="str">
        <f aca="false">
IF($D684="정상",INDEX(임대자산!$D$3:$R$3000,MATCH($F684,임대자산!$I$3:$I$3000,0),MATCH(E$3,임대자산!$D$3:$R$3,0)),
IF($D684="폐업",INDEX(폐업정보!$D$3:$R$3000,MATCH($F684,폐업정보!$I$3:$I$3000,0),MATCH(E$3,폐업정보!$D$3:$R$3,0)),
"Error"))</f>
        <v>전라</v>
      </c>
      <c r="F68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B0679</v>
      </c>
      <c r="G684" s="76" t="str">
        <f aca="false">F684&amp;RANDBETWEEN(0,10)</f>
        <v>B06798</v>
      </c>
      <c r="H684" s="75" t="n">
        <f aca="false">
IF($D684="정상",INDEX(임대자산!$D$3:$R$3000,MATCH($F684,임대자산!$I$3:$I$3000,0),MATCH(H$4,임대자산!$D$3:$R$3,0)),
IF($D684="폐업",INDEX(폐업정보!$D$3:$R$3000,MATCH($F684,폐업정보!$I$3:$I$3000,0),MATCH(H$4,폐업정보!$D$3:$R$3,0)),
"Error"))</f>
        <v>44862</v>
      </c>
      <c r="I684" s="75" t="str">
        <f aca="false">
IF($D684="정상",INDEX(임대자산!$D$3:$R$3000,MATCH($F684,임대자산!$I$3:$I$3000,0),MATCH(I$4,임대자산!$D$3:$R$3,0)),
IF($D684="폐업",INDEX(폐업정보!$D$3:$R$3000,MATCH($F684,폐업정보!$I$3:$I$3000,0),MATCH(I$4,폐업정보!$D$3:$R$3,0)),
"Error"))</f>
        <v>A0679</v>
      </c>
      <c r="J684" s="75" t="str">
        <f aca="false">
IF($D684="정상",INDEX(임대자산!$D$3:$R$3000,MATCH($F684,임대자산!$I$3:$I$3000,0),MATCH(J$4,임대자산!$D$3:$R$3,0)),
IF($D684="폐업",INDEX(폐업정보!$D$3:$R$3000,MATCH($F684,폐업정보!$I$3:$I$3000,0),MATCH(J$4,폐업정보!$D$3:$R$3,0)),
"Error"))</f>
        <v>9691200000</v>
      </c>
      <c r="K684" s="75" t="str">
        <f aca="false">
IF($D684="정상",INDEX(임대자산!$D$3:$R$3000,MATCH($F684,임대자산!$I$3:$I$3000,0),MATCH(K$4,임대자산!$D$3:$R$3,0)),
IF($D684="폐업",INDEX(폐업정보!$D$3:$R$3000,MATCH($F684,폐업정보!$I$3:$I$3000,0),MATCH(K$4,폐업정보!$D$3:$R$3,0)),
"Error"))</f>
        <v>C0679</v>
      </c>
      <c r="L684" s="75" t="str">
        <f aca="false">
IF($D684="정상",INDEX(임대자산!$D$3:$R$3000,MATCH($F684,임대자산!$I$3:$I$3000,0),MATCH(L$4,임대자산!$D$3:$R$3,0)),
IF($D684="폐업",INDEX(폐업정보!$D$3:$R$3000,MATCH($F684,폐업정보!$I$3:$I$3000,0),MATCH(L$4,폐업정보!$D$3:$R$3,0)),
"Error"))</f>
        <v>D0679</v>
      </c>
      <c r="M684" s="76" t="s">
        <v>96</v>
      </c>
      <c r="N684" s="77"/>
      <c r="O684" s="78" t="s">
        <v>97</v>
      </c>
      <c r="P684" s="79" t="n">
        <f aca="false">COUNTIFS(임대자산!$I:$I,가맹점정보!F684,임대자산!$N:$N,가맹점정보!P$4)</f>
        <v>0</v>
      </c>
      <c r="Q684" s="80" t="n">
        <f aca="false">COUNTIFS(임대자산!$I:$I,가맹점정보!F684,임대자산!$N:$N,가맹점정보!Q$4)</f>
        <v>1</v>
      </c>
      <c r="R684" s="81" t="n">
        <f aca="false">COUNTIFS(임대자산!$I:$I,가맹점정보!F684,임대자산!$N:$N,가맹점정보!R$4)</f>
        <v>0</v>
      </c>
      <c r="S684" s="82" t="n">
        <v>55000</v>
      </c>
      <c r="T684" s="83" t="n">
        <v>0</v>
      </c>
      <c r="U684" s="80" t="n">
        <f aca="false">SUM(S684:T684)</f>
        <v>55000</v>
      </c>
      <c r="V684" s="84" t="s">
        <v>12</v>
      </c>
      <c r="W684" s="80" t="e">
        <f aca="true">
IF(D684="폐업","폐업",
IF(V684="면제","면제",
IF(AND(V684="정상",COUNTIFS(OFFSET(Y684,0,COUNTA(Y684:AV684)-1,1,-4),"미납")&gt;=3),"장기미납",
IF(AND(V684="정상",OFFSET(Y684,0,COUNTA(Y684:AV684)-1)&gt;=U684),"정상",
IF(AND(V684="정상",OFFSET(Y684,0,COUNTA(Y684:AV684)-1)=0),"정상",
"계약서 미작성")))))</f>
        <v>#VALUE!</v>
      </c>
      <c r="X684" s="81" t="str">
        <f aca="true">
IF(D684="폐업","폐업",
IF(AND(V684="정상",OFFSET(Y684,0,COUNTA(Y684:AV684)-1)="미납"),"미납",
IF(AND(V684="정상",OFFSET(Y684,0,COUNTA(Y684:AV684)-1)=0),"납부 시작 전",
IF(AND(V684="정상",OFFSET(Y684,0,COUNTA(Y684:AV684)-1)&gt;=U684),"정상",
IF(AND(V684="면제",OFFSET(Y684,0,COUNTA(Y684:AV684)-1)="면제"),"면제",
IF(AND(V684="면제",OFFSET(Y684,0,COUNTA(Y684:AV684)-1)=0),"면제",
"확인요청"))))))</f>
        <v>정상</v>
      </c>
      <c r="Y684" s="93" t="n">
        <v>55000</v>
      </c>
      <c r="Z684" s="90" t="n">
        <v>55000</v>
      </c>
      <c r="AA684" s="90" t="n">
        <v>55000</v>
      </c>
      <c r="AB684" s="90" t="n">
        <v>55000</v>
      </c>
      <c r="AC684" s="90" t="n">
        <v>55000</v>
      </c>
      <c r="AD684" s="90" t="n">
        <v>55000</v>
      </c>
      <c r="AE684" s="90" t="n">
        <v>55000</v>
      </c>
      <c r="AF684" s="90" t="n">
        <v>55000</v>
      </c>
      <c r="AG684" s="90" t="n">
        <v>55000</v>
      </c>
      <c r="AH684" s="90" t="n">
        <v>55000</v>
      </c>
      <c r="AI684" s="90" t="n">
        <v>55000</v>
      </c>
      <c r="AJ684" s="91" t="n">
        <v>55000</v>
      </c>
      <c r="AK684" s="89" t="n">
        <v>55000</v>
      </c>
      <c r="AL684" s="90" t="n">
        <v>55000</v>
      </c>
      <c r="AM684" s="90"/>
      <c r="AN684" s="90"/>
      <c r="AO684" s="90"/>
      <c r="AP684" s="90"/>
      <c r="AQ684" s="90"/>
      <c r="AR684" s="90"/>
      <c r="AS684" s="90"/>
      <c r="AT684" s="90"/>
      <c r="AU684" s="90"/>
      <c r="AV684" s="91"/>
      <c r="AX684" s="92"/>
    </row>
    <row r="685" customFormat="false" ht="15.65" hidden="false" customHeight="false" outlineLevel="0" collapsed="false">
      <c r="C685" s="72" t="n">
        <f aca="false">COUNTIFS($D$6:D685,"&lt;&gt;"&amp;"")</f>
        <v>680</v>
      </c>
      <c r="D685" s="73" t="s">
        <v>12</v>
      </c>
      <c r="E685" s="76" t="str">
        <f aca="false">
IF($D685="정상",INDEX(임대자산!$D$3:$R$3000,MATCH($F685,임대자산!$I$3:$I$3000,0),MATCH(E$3,임대자산!$D$3:$R$3,0)),
IF($D685="폐업",INDEX(폐업정보!$D$3:$R$3000,MATCH($F685,폐업정보!$I$3:$I$3000,0),MATCH(E$3,폐업정보!$D$3:$R$3,0)),
"Error"))</f>
        <v>경기</v>
      </c>
      <c r="F68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B0680</v>
      </c>
      <c r="G685" s="76" t="str">
        <f aca="false">F685&amp;RANDBETWEEN(0,10)</f>
        <v>B06809</v>
      </c>
      <c r="H685" s="75" t="n">
        <f aca="false">
IF($D685="정상",INDEX(임대자산!$D$3:$R$3000,MATCH($F685,임대자산!$I$3:$I$3000,0),MATCH(H$4,임대자산!$D$3:$R$3,0)),
IF($D685="폐업",INDEX(폐업정보!$D$3:$R$3000,MATCH($F685,폐업정보!$I$3:$I$3000,0),MATCH(H$4,폐업정보!$D$3:$R$3,0)),
"Error"))</f>
        <v>44984</v>
      </c>
      <c r="I685" s="75" t="str">
        <f aca="false">
IF($D685="정상",INDEX(임대자산!$D$3:$R$3000,MATCH($F685,임대자산!$I$3:$I$3000,0),MATCH(I$4,임대자산!$D$3:$R$3,0)),
IF($D685="폐업",INDEX(폐업정보!$D$3:$R$3000,MATCH($F685,폐업정보!$I$3:$I$3000,0),MATCH(I$4,폐업정보!$D$3:$R$3,0)),
"Error"))</f>
        <v>A0680</v>
      </c>
      <c r="J685" s="75" t="str">
        <f aca="false">
IF($D685="정상",INDEX(임대자산!$D$3:$R$3000,MATCH($F685,임대자산!$I$3:$I$3000,0),MATCH(J$4,임대자산!$D$3:$R$3,0)),
IF($D685="폐업",INDEX(폐업정보!$D$3:$R$3000,MATCH($F685,폐업정보!$I$3:$I$3000,0),MATCH(J$4,폐업정보!$D$3:$R$3,0)),
"Error"))</f>
        <v>3492900000</v>
      </c>
      <c r="K685" s="75" t="str">
        <f aca="false">
IF($D685="정상",INDEX(임대자산!$D$3:$R$3000,MATCH($F685,임대자산!$I$3:$I$3000,0),MATCH(K$4,임대자산!$D$3:$R$3,0)),
IF($D685="폐업",INDEX(폐업정보!$D$3:$R$3000,MATCH($F685,폐업정보!$I$3:$I$3000,0),MATCH(K$4,폐업정보!$D$3:$R$3,0)),
"Error"))</f>
        <v>C0680</v>
      </c>
      <c r="L685" s="75" t="str">
        <f aca="false">
IF($D685="정상",INDEX(임대자산!$D$3:$R$3000,MATCH($F685,임대자산!$I$3:$I$3000,0),MATCH(L$4,임대자산!$D$3:$R$3,0)),
IF($D685="폐업",INDEX(폐업정보!$D$3:$R$3000,MATCH($F685,폐업정보!$I$3:$I$3000,0),MATCH(L$4,폐업정보!$D$3:$R$3,0)),
"Error"))</f>
        <v>D0680</v>
      </c>
      <c r="M685" s="76" t="s">
        <v>96</v>
      </c>
      <c r="N685" s="77"/>
      <c r="O685" s="78" t="s">
        <v>97</v>
      </c>
      <c r="P685" s="79" t="n">
        <f aca="false">COUNTIFS(임대자산!$I:$I,가맹점정보!F685,임대자산!$N:$N,가맹점정보!P$4)</f>
        <v>0</v>
      </c>
      <c r="Q685" s="80" t="n">
        <f aca="false">COUNTIFS(임대자산!$I:$I,가맹점정보!F685,임대자산!$N:$N,가맹점정보!Q$4)</f>
        <v>1</v>
      </c>
      <c r="R685" s="81" t="n">
        <f aca="false">COUNTIFS(임대자산!$I:$I,가맹점정보!F685,임대자산!$N:$N,가맹점정보!R$4)</f>
        <v>0</v>
      </c>
      <c r="S685" s="82" t="n">
        <v>55000</v>
      </c>
      <c r="T685" s="83" t="n">
        <v>0</v>
      </c>
      <c r="U685" s="80" t="n">
        <f aca="false">SUM(S685:T685)</f>
        <v>55000</v>
      </c>
      <c r="V685" s="84" t="s">
        <v>12</v>
      </c>
      <c r="W685" s="80" t="e">
        <f aca="true">
IF(D685="폐업","폐업",
IF(V685="면제","면제",
IF(AND(V685="정상",COUNTIFS(OFFSET(Y685,0,COUNTA(Y685:AV685)-1,1,-4),"미납")&gt;=3),"장기미납",
IF(AND(V685="정상",OFFSET(Y685,0,COUNTA(Y685:AV685)-1)&gt;=U685),"정상",
IF(AND(V685="정상",OFFSET(Y685,0,COUNTA(Y685:AV685)-1)=0),"정상",
"계약서 미작성")))))</f>
        <v>#VALUE!</v>
      </c>
      <c r="X685" s="81" t="str">
        <f aca="true">
IF(D685="폐업","폐업",
IF(AND(V685="정상",OFFSET(Y685,0,COUNTA(Y685:AV685)-1)="미납"),"미납",
IF(AND(V685="정상",OFFSET(Y685,0,COUNTA(Y685:AV685)-1)=0),"납부 시작 전",
IF(AND(V685="정상",OFFSET(Y685,0,COUNTA(Y685:AV685)-1)&gt;=U685),"정상",
IF(AND(V685="면제",OFFSET(Y685,0,COUNTA(Y685:AV685)-1)="면제"),"면제",
IF(AND(V685="면제",OFFSET(Y685,0,COUNTA(Y685:AV685)-1)=0),"면제",
"확인요청"))))))</f>
        <v>정상</v>
      </c>
      <c r="Y685" s="93" t="n">
        <v>55000</v>
      </c>
      <c r="Z685" s="90" t="n">
        <v>55000</v>
      </c>
      <c r="AA685" s="90" t="n">
        <v>55000</v>
      </c>
      <c r="AB685" s="90" t="n">
        <v>55000</v>
      </c>
      <c r="AC685" s="90" t="n">
        <v>55000</v>
      </c>
      <c r="AD685" s="90" t="n">
        <v>55000</v>
      </c>
      <c r="AE685" s="90" t="n">
        <v>55000</v>
      </c>
      <c r="AF685" s="90" t="n">
        <v>55000</v>
      </c>
      <c r="AG685" s="90" t="n">
        <v>55000</v>
      </c>
      <c r="AH685" s="90" t="n">
        <v>55000</v>
      </c>
      <c r="AI685" s="90" t="n">
        <v>55000</v>
      </c>
      <c r="AJ685" s="91" t="n">
        <v>55000</v>
      </c>
      <c r="AK685" s="89" t="n">
        <v>55000</v>
      </c>
      <c r="AL685" s="90" t="n">
        <v>55000</v>
      </c>
      <c r="AM685" s="90"/>
      <c r="AN685" s="90"/>
      <c r="AO685" s="90"/>
      <c r="AP685" s="90"/>
      <c r="AQ685" s="90"/>
      <c r="AR685" s="90"/>
      <c r="AS685" s="90"/>
      <c r="AT685" s="90"/>
      <c r="AU685" s="90"/>
      <c r="AV685" s="91"/>
      <c r="AX685" s="92"/>
    </row>
    <row r="686" customFormat="false" ht="15.65" hidden="false" customHeight="false" outlineLevel="0" collapsed="false">
      <c r="C686" s="72" t="n">
        <f aca="false">COUNTIFS($D$6:D686,"&lt;&gt;"&amp;"")</f>
        <v>681</v>
      </c>
      <c r="D686" s="73" t="s">
        <v>12</v>
      </c>
      <c r="E686" s="76" t="str">
        <f aca="false">
IF($D686="정상",INDEX(임대자산!$D$3:$R$3000,MATCH($F686,임대자산!$I$3:$I$3000,0),MATCH(E$3,임대자산!$D$3:$R$3,0)),
IF($D686="폐업",INDEX(폐업정보!$D$3:$R$3000,MATCH($F686,폐업정보!$I$3:$I$3000,0),MATCH(E$3,폐업정보!$D$3:$R$3,0)),
"Error"))</f>
        <v>경기</v>
      </c>
      <c r="F68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B0681</v>
      </c>
      <c r="G686" s="76" t="str">
        <f aca="false">F686&amp;RANDBETWEEN(0,10)</f>
        <v>B06813</v>
      </c>
      <c r="H686" s="75" t="n">
        <f aca="false">
IF($D686="정상",INDEX(임대자산!$D$3:$R$3000,MATCH($F686,임대자산!$I$3:$I$3000,0),MATCH(H$4,임대자산!$D$3:$R$3,0)),
IF($D686="폐업",INDEX(폐업정보!$D$3:$R$3000,MATCH($F686,폐업정보!$I$3:$I$3000,0),MATCH(H$4,폐업정보!$D$3:$R$3,0)),
"Error"))</f>
        <v>46015</v>
      </c>
      <c r="I686" s="75" t="str">
        <f aca="false">
IF($D686="정상",INDEX(임대자산!$D$3:$R$3000,MATCH($F686,임대자산!$I$3:$I$3000,0),MATCH(I$4,임대자산!$D$3:$R$3,0)),
IF($D686="폐업",INDEX(폐업정보!$D$3:$R$3000,MATCH($F686,폐업정보!$I$3:$I$3000,0),MATCH(I$4,폐업정보!$D$3:$R$3,0)),
"Error"))</f>
        <v>A0681</v>
      </c>
      <c r="J686" s="75" t="str">
        <f aca="false">
IF($D686="정상",INDEX(임대자산!$D$3:$R$3000,MATCH($F686,임대자산!$I$3:$I$3000,0),MATCH(J$4,임대자산!$D$3:$R$3,0)),
IF($D686="폐업",INDEX(폐업정보!$D$3:$R$3000,MATCH($F686,폐업정보!$I$3:$I$3000,0),MATCH(J$4,폐업정보!$D$3:$R$3,0)),
"Error"))</f>
        <v>8283400000</v>
      </c>
      <c r="K686" s="75" t="str">
        <f aca="false">
IF($D686="정상",INDEX(임대자산!$D$3:$R$3000,MATCH($F686,임대자산!$I$3:$I$3000,0),MATCH(K$4,임대자산!$D$3:$R$3,0)),
IF($D686="폐업",INDEX(폐업정보!$D$3:$R$3000,MATCH($F686,폐업정보!$I$3:$I$3000,0),MATCH(K$4,폐업정보!$D$3:$R$3,0)),
"Error"))</f>
        <v>C0681</v>
      </c>
      <c r="L686" s="75" t="str">
        <f aca="false">
IF($D686="정상",INDEX(임대자산!$D$3:$R$3000,MATCH($F686,임대자산!$I$3:$I$3000,0),MATCH(L$4,임대자산!$D$3:$R$3,0)),
IF($D686="폐업",INDEX(폐업정보!$D$3:$R$3000,MATCH($F686,폐업정보!$I$3:$I$3000,0),MATCH(L$4,폐업정보!$D$3:$R$3,0)),
"Error"))</f>
        <v>D0681</v>
      </c>
      <c r="M686" s="76" t="s">
        <v>96</v>
      </c>
      <c r="N686" s="77"/>
      <c r="O686" s="78" t="s">
        <v>97</v>
      </c>
      <c r="P686" s="79" t="n">
        <f aca="false">COUNTIFS(임대자산!$I:$I,가맹점정보!F686,임대자산!$N:$N,가맹점정보!P$4)</f>
        <v>0</v>
      </c>
      <c r="Q686" s="80" t="n">
        <f aca="false">COUNTIFS(임대자산!$I:$I,가맹점정보!F686,임대자산!$N:$N,가맹점정보!Q$4)</f>
        <v>1</v>
      </c>
      <c r="R686" s="81" t="n">
        <f aca="false">COUNTIFS(임대자산!$I:$I,가맹점정보!F686,임대자산!$N:$N,가맹점정보!R$4)</f>
        <v>0</v>
      </c>
      <c r="S686" s="82" t="n">
        <v>55000</v>
      </c>
      <c r="T686" s="83" t="n">
        <v>0</v>
      </c>
      <c r="U686" s="80" t="n">
        <f aca="false">SUM(S686:T686)</f>
        <v>55000</v>
      </c>
      <c r="V686" s="84" t="s">
        <v>7</v>
      </c>
      <c r="W686" s="80" t="str">
        <f aca="true">
IF(D686="폐업","폐업",
IF(V686="면제","면제",
IF(AND(V686="정상",COUNTIFS(OFFSET(Y686,0,COUNTA(Y686:AV686)-1,1,-4),"미납")&gt;=3),"장기미납",
IF(AND(V686="정상",OFFSET(Y686,0,COUNTA(Y686:AV686)-1)&gt;=U686),"정상",
IF(AND(V686="정상",OFFSET(Y686,0,COUNTA(Y686:AV686)-1)=0),"정상",
"계약서 미작성")))))</f>
        <v>면제</v>
      </c>
      <c r="X686" s="81" t="str">
        <f aca="true">
IF(D686="폐업","폐업",
IF(AND(V686="정상",OFFSET(Y686,0,COUNTA(Y686:AV686)-1)="미납"),"미납",
IF(AND(V686="정상",OFFSET(Y686,0,COUNTA(Y686:AV686)-1)=0),"납부 시작 전",
IF(AND(V686="정상",OFFSET(Y686,0,COUNTA(Y686:AV686)-1)&gt;=U686),"정상",
IF(AND(V686="면제",OFFSET(Y686,0,COUNTA(Y686:AV686)-1)="면제"),"면제",
IF(AND(V686="면제",OFFSET(Y686,0,COUNTA(Y686:AV686)-1)=0),"면제",
"확인요청"))))))</f>
        <v>면제</v>
      </c>
      <c r="Y686" s="94" t="s">
        <v>7</v>
      </c>
      <c r="Z686" s="95" t="s">
        <v>7</v>
      </c>
      <c r="AA686" s="95" t="s">
        <v>7</v>
      </c>
      <c r="AB686" s="95" t="s">
        <v>7</v>
      </c>
      <c r="AC686" s="95" t="s">
        <v>7</v>
      </c>
      <c r="AD686" s="95" t="s">
        <v>7</v>
      </c>
      <c r="AE686" s="95" t="s">
        <v>7</v>
      </c>
      <c r="AF686" s="95" t="s">
        <v>7</v>
      </c>
      <c r="AG686" s="95" t="s">
        <v>7</v>
      </c>
      <c r="AH686" s="95" t="s">
        <v>7</v>
      </c>
      <c r="AI686" s="95" t="s">
        <v>7</v>
      </c>
      <c r="AJ686" s="96" t="s">
        <v>7</v>
      </c>
      <c r="AK686" s="97" t="s">
        <v>7</v>
      </c>
      <c r="AL686" s="95" t="s">
        <v>7</v>
      </c>
      <c r="AM686" s="90"/>
      <c r="AN686" s="90"/>
      <c r="AO686" s="90"/>
      <c r="AP686" s="90"/>
      <c r="AQ686" s="90"/>
      <c r="AR686" s="90"/>
      <c r="AS686" s="90"/>
      <c r="AT686" s="90"/>
      <c r="AU686" s="90"/>
      <c r="AV686" s="91"/>
      <c r="AX686" s="92"/>
    </row>
    <row r="687" customFormat="false" ht="15.65" hidden="false" customHeight="false" outlineLevel="0" collapsed="false">
      <c r="C687" s="72" t="n">
        <f aca="false">COUNTIFS($D$6:D687,"&lt;&gt;"&amp;"")</f>
        <v>682</v>
      </c>
      <c r="D687" s="73" t="s">
        <v>12</v>
      </c>
      <c r="E687" s="76" t="str">
        <f aca="false">
IF($D687="정상",INDEX(임대자산!$D$3:$R$3000,MATCH($F687,임대자산!$I$3:$I$3000,0),MATCH(E$3,임대자산!$D$3:$R$3,0)),
IF($D687="폐업",INDEX(폐업정보!$D$3:$R$3000,MATCH($F687,폐업정보!$I$3:$I$3000,0),MATCH(E$3,폐업정보!$D$3:$R$3,0)),
"Error"))</f>
        <v>강원</v>
      </c>
      <c r="F68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B0682</v>
      </c>
      <c r="G687" s="76" t="str">
        <f aca="false">F687&amp;RANDBETWEEN(0,10)</f>
        <v>B06826</v>
      </c>
      <c r="H687" s="75" t="n">
        <f aca="false">
IF($D687="정상",INDEX(임대자산!$D$3:$R$3000,MATCH($F687,임대자산!$I$3:$I$3000,0),MATCH(H$4,임대자산!$D$3:$R$3,0)),
IF($D687="폐업",INDEX(폐업정보!$D$3:$R$3000,MATCH($F687,폐업정보!$I$3:$I$3000,0),MATCH(H$4,폐업정보!$D$3:$R$3,0)),
"Error"))</f>
        <v>45373</v>
      </c>
      <c r="I687" s="75" t="str">
        <f aca="false">
IF($D687="정상",INDEX(임대자산!$D$3:$R$3000,MATCH($F687,임대자산!$I$3:$I$3000,0),MATCH(I$4,임대자산!$D$3:$R$3,0)),
IF($D687="폐업",INDEX(폐업정보!$D$3:$R$3000,MATCH($F687,폐업정보!$I$3:$I$3000,0),MATCH(I$4,폐업정보!$D$3:$R$3,0)),
"Error"))</f>
        <v>A0682</v>
      </c>
      <c r="J687" s="75" t="str">
        <f aca="false">
IF($D687="정상",INDEX(임대자산!$D$3:$R$3000,MATCH($F687,임대자산!$I$3:$I$3000,0),MATCH(J$4,임대자산!$D$3:$R$3,0)),
IF($D687="폐업",INDEX(폐업정보!$D$3:$R$3000,MATCH($F687,폐업정보!$I$3:$I$3000,0),MATCH(J$4,폐업정보!$D$3:$R$3,0)),
"Error"))</f>
        <v>2015300000</v>
      </c>
      <c r="K687" s="75" t="str">
        <f aca="false">
IF($D687="정상",INDEX(임대자산!$D$3:$R$3000,MATCH($F687,임대자산!$I$3:$I$3000,0),MATCH(K$4,임대자산!$D$3:$R$3,0)),
IF($D687="폐업",INDEX(폐업정보!$D$3:$R$3000,MATCH($F687,폐업정보!$I$3:$I$3000,0),MATCH(K$4,폐업정보!$D$3:$R$3,0)),
"Error"))</f>
        <v>C0682</v>
      </c>
      <c r="L687" s="75" t="str">
        <f aca="false">
IF($D687="정상",INDEX(임대자산!$D$3:$R$3000,MATCH($F687,임대자산!$I$3:$I$3000,0),MATCH(L$4,임대자산!$D$3:$R$3,0)),
IF($D687="폐업",INDEX(폐업정보!$D$3:$R$3000,MATCH($F687,폐업정보!$I$3:$I$3000,0),MATCH(L$4,폐업정보!$D$3:$R$3,0)),
"Error"))</f>
        <v>D0682</v>
      </c>
      <c r="M687" s="76" t="s">
        <v>96</v>
      </c>
      <c r="N687" s="77"/>
      <c r="O687" s="78" t="s">
        <v>97</v>
      </c>
      <c r="P687" s="79" t="n">
        <f aca="false">COUNTIFS(임대자산!$I:$I,가맹점정보!F687,임대자산!$N:$N,가맹점정보!P$4)</f>
        <v>0</v>
      </c>
      <c r="Q687" s="80" t="n">
        <f aca="false">COUNTIFS(임대자산!$I:$I,가맹점정보!F687,임대자산!$N:$N,가맹점정보!Q$4)</f>
        <v>1</v>
      </c>
      <c r="R687" s="81" t="n">
        <f aca="false">COUNTIFS(임대자산!$I:$I,가맹점정보!F687,임대자산!$N:$N,가맹점정보!R$4)</f>
        <v>0</v>
      </c>
      <c r="S687" s="82" t="n">
        <v>88000</v>
      </c>
      <c r="T687" s="83" t="n">
        <v>0</v>
      </c>
      <c r="U687" s="80" t="n">
        <f aca="false">SUM(S687:T687)</f>
        <v>88000</v>
      </c>
      <c r="V687" s="84" t="s">
        <v>7</v>
      </c>
      <c r="W687" s="80" t="str">
        <f aca="true">
IF(D687="폐업","폐업",
IF(V687="면제","면제",
IF(AND(V687="정상",COUNTIFS(OFFSET(Y687,0,COUNTA(Y687:AV687)-1,1,-4),"미납")&gt;=3),"장기미납",
IF(AND(V687="정상",OFFSET(Y687,0,COUNTA(Y687:AV687)-1)&gt;=U687),"정상",
IF(AND(V687="정상",OFFSET(Y687,0,COUNTA(Y687:AV687)-1)=0),"정상",
"계약서 미작성")))))</f>
        <v>면제</v>
      </c>
      <c r="X687" s="81" t="str">
        <f aca="true">
IF(D687="폐업","폐업",
IF(AND(V687="정상",OFFSET(Y687,0,COUNTA(Y687:AV687)-1)="미납"),"미납",
IF(AND(V687="정상",OFFSET(Y687,0,COUNTA(Y687:AV687)-1)=0),"납부 시작 전",
IF(AND(V687="정상",OFFSET(Y687,0,COUNTA(Y687:AV687)-1)&gt;=U687),"정상",
IF(AND(V687="면제",OFFSET(Y687,0,COUNTA(Y687:AV687)-1)="면제"),"면제",
IF(AND(V687="면제",OFFSET(Y687,0,COUNTA(Y687:AV687)-1)=0),"면제",
"확인요청"))))))</f>
        <v>면제</v>
      </c>
      <c r="Y687" s="94" t="s">
        <v>7</v>
      </c>
      <c r="Z687" s="95" t="s">
        <v>7</v>
      </c>
      <c r="AA687" s="95" t="s">
        <v>7</v>
      </c>
      <c r="AB687" s="95" t="s">
        <v>7</v>
      </c>
      <c r="AC687" s="95" t="s">
        <v>7</v>
      </c>
      <c r="AD687" s="95" t="s">
        <v>7</v>
      </c>
      <c r="AE687" s="95" t="s">
        <v>7</v>
      </c>
      <c r="AF687" s="95" t="s">
        <v>7</v>
      </c>
      <c r="AG687" s="95" t="s">
        <v>7</v>
      </c>
      <c r="AH687" s="95" t="s">
        <v>7</v>
      </c>
      <c r="AI687" s="95" t="s">
        <v>7</v>
      </c>
      <c r="AJ687" s="96" t="s">
        <v>7</v>
      </c>
      <c r="AK687" s="97" t="s">
        <v>7</v>
      </c>
      <c r="AL687" s="95" t="s">
        <v>7</v>
      </c>
      <c r="AM687" s="90"/>
      <c r="AN687" s="90"/>
      <c r="AO687" s="90"/>
      <c r="AP687" s="90"/>
      <c r="AQ687" s="90"/>
      <c r="AR687" s="90"/>
      <c r="AS687" s="90"/>
      <c r="AT687" s="90"/>
      <c r="AU687" s="90"/>
      <c r="AV687" s="91"/>
      <c r="AX687" s="92"/>
    </row>
    <row r="688" customFormat="false" ht="15.65" hidden="false" customHeight="false" outlineLevel="0" collapsed="false">
      <c r="C688" s="72" t="n">
        <f aca="false">COUNTIFS($D$6:D688,"&lt;&gt;"&amp;"")</f>
        <v>683</v>
      </c>
      <c r="D688" s="73" t="s">
        <v>12</v>
      </c>
      <c r="E688" s="76" t="str">
        <f aca="false">
IF($D688="정상",INDEX(임대자산!$D$3:$R$3000,MATCH($F688,임대자산!$I$3:$I$3000,0),MATCH(E$3,임대자산!$D$3:$R$3,0)),
IF($D688="폐업",INDEX(폐업정보!$D$3:$R$3000,MATCH($F688,폐업정보!$I$3:$I$3000,0),MATCH(E$3,폐업정보!$D$3:$R$3,0)),
"Error"))</f>
        <v>서울</v>
      </c>
      <c r="F68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B0683</v>
      </c>
      <c r="G688" s="76" t="str">
        <f aca="false">F688&amp;RANDBETWEEN(0,10)</f>
        <v>B06839</v>
      </c>
      <c r="H688" s="75" t="n">
        <f aca="false">
IF($D688="정상",INDEX(임대자산!$D$3:$R$3000,MATCH($F688,임대자산!$I$3:$I$3000,0),MATCH(H$4,임대자산!$D$3:$R$3,0)),
IF($D688="폐업",INDEX(폐업정보!$D$3:$R$3000,MATCH($F688,폐업정보!$I$3:$I$3000,0),MATCH(H$4,폐업정보!$D$3:$R$3,0)),
"Error"))</f>
        <v>44608</v>
      </c>
      <c r="I688" s="75" t="str">
        <f aca="false">
IF($D688="정상",INDEX(임대자산!$D$3:$R$3000,MATCH($F688,임대자산!$I$3:$I$3000,0),MATCH(I$4,임대자산!$D$3:$R$3,0)),
IF($D688="폐업",INDEX(폐업정보!$D$3:$R$3000,MATCH($F688,폐업정보!$I$3:$I$3000,0),MATCH(I$4,폐업정보!$D$3:$R$3,0)),
"Error"))</f>
        <v>A0683</v>
      </c>
      <c r="J688" s="75" t="str">
        <f aca="false">
IF($D688="정상",INDEX(임대자산!$D$3:$R$3000,MATCH($F688,임대자산!$I$3:$I$3000,0),MATCH(J$4,임대자산!$D$3:$R$3,0)),
IF($D688="폐업",INDEX(폐업정보!$D$3:$R$3000,MATCH($F688,폐업정보!$I$3:$I$3000,0),MATCH(J$4,폐업정보!$D$3:$R$3,0)),
"Error"))</f>
        <v>6503200000</v>
      </c>
      <c r="K688" s="75" t="str">
        <f aca="false">
IF($D688="정상",INDEX(임대자산!$D$3:$R$3000,MATCH($F688,임대자산!$I$3:$I$3000,0),MATCH(K$4,임대자산!$D$3:$R$3,0)),
IF($D688="폐업",INDEX(폐업정보!$D$3:$R$3000,MATCH($F688,폐업정보!$I$3:$I$3000,0),MATCH(K$4,폐업정보!$D$3:$R$3,0)),
"Error"))</f>
        <v>C0683</v>
      </c>
      <c r="L688" s="75" t="str">
        <f aca="false">
IF($D688="정상",INDEX(임대자산!$D$3:$R$3000,MATCH($F688,임대자산!$I$3:$I$3000,0),MATCH(L$4,임대자산!$D$3:$R$3,0)),
IF($D688="폐업",INDEX(폐업정보!$D$3:$R$3000,MATCH($F688,폐업정보!$I$3:$I$3000,0),MATCH(L$4,폐업정보!$D$3:$R$3,0)),
"Error"))</f>
        <v>D0683</v>
      </c>
      <c r="M688" s="76" t="s">
        <v>96</v>
      </c>
      <c r="N688" s="77"/>
      <c r="O688" s="78" t="s">
        <v>97</v>
      </c>
      <c r="P688" s="79" t="n">
        <f aca="false">COUNTIFS(임대자산!$I:$I,가맹점정보!F688,임대자산!$N:$N,가맹점정보!P$4)</f>
        <v>0</v>
      </c>
      <c r="Q688" s="80" t="n">
        <f aca="false">COUNTIFS(임대자산!$I:$I,가맹점정보!F688,임대자산!$N:$N,가맹점정보!Q$4)</f>
        <v>1</v>
      </c>
      <c r="R688" s="81" t="n">
        <f aca="false">COUNTIFS(임대자산!$I:$I,가맹점정보!F688,임대자산!$N:$N,가맹점정보!R$4)</f>
        <v>0</v>
      </c>
      <c r="S688" s="82" t="n">
        <v>55000</v>
      </c>
      <c r="T688" s="83" t="n">
        <v>0</v>
      </c>
      <c r="U688" s="80" t="n">
        <f aca="false">SUM(S688:T688)</f>
        <v>55000</v>
      </c>
      <c r="V688" s="84" t="s">
        <v>12</v>
      </c>
      <c r="W688" s="80" t="e">
        <f aca="true">
IF(D688="폐업","폐업",
IF(V688="면제","면제",
IF(AND(V688="정상",COUNTIFS(OFFSET(Y688,0,COUNTA(Y688:AV688)-1,1,-4),"미납")&gt;=3),"장기미납",
IF(AND(V688="정상",OFFSET(Y688,0,COUNTA(Y688:AV688)-1)&gt;=U688),"정상",
IF(AND(V688="정상",OFFSET(Y688,0,COUNTA(Y688:AV688)-1)=0),"정상",
"계약서 미작성")))))</f>
        <v>#VALUE!</v>
      </c>
      <c r="X688" s="81" t="str">
        <f aca="true">
IF(D688="폐업","폐업",
IF(AND(V688="정상",OFFSET(Y688,0,COUNTA(Y688:AV688)-1)="미납"),"미납",
IF(AND(V688="정상",OFFSET(Y688,0,COUNTA(Y688:AV688)-1)=0),"납부 시작 전",
IF(AND(V688="정상",OFFSET(Y688,0,COUNTA(Y688:AV688)-1)&gt;=U688),"정상",
IF(AND(V688="면제",OFFSET(Y688,0,COUNTA(Y688:AV688)-1)="면제"),"면제",
IF(AND(V688="면제",OFFSET(Y688,0,COUNTA(Y688:AV688)-1)=0),"면제",
"확인요청"))))))</f>
        <v>정상</v>
      </c>
      <c r="Y688" s="93" t="n">
        <v>55000</v>
      </c>
      <c r="Z688" s="90" t="n">
        <v>55000</v>
      </c>
      <c r="AA688" s="90" t="n">
        <v>55000</v>
      </c>
      <c r="AB688" s="90" t="n">
        <v>55000</v>
      </c>
      <c r="AC688" s="90" t="n">
        <v>55000</v>
      </c>
      <c r="AD688" s="90" t="n">
        <v>55000</v>
      </c>
      <c r="AE688" s="90" t="n">
        <v>55000</v>
      </c>
      <c r="AF688" s="90" t="n">
        <v>55000</v>
      </c>
      <c r="AG688" s="90" t="n">
        <v>55000</v>
      </c>
      <c r="AH688" s="90" t="n">
        <v>55000</v>
      </c>
      <c r="AI688" s="90" t="n">
        <v>55000</v>
      </c>
      <c r="AJ688" s="91" t="n">
        <v>55000</v>
      </c>
      <c r="AK688" s="89" t="n">
        <v>55000</v>
      </c>
      <c r="AL688" s="90" t="n">
        <v>55000</v>
      </c>
      <c r="AM688" s="90"/>
      <c r="AN688" s="90"/>
      <c r="AO688" s="90"/>
      <c r="AP688" s="90"/>
      <c r="AQ688" s="90"/>
      <c r="AR688" s="90"/>
      <c r="AS688" s="90"/>
      <c r="AT688" s="90"/>
      <c r="AU688" s="90"/>
      <c r="AV688" s="91"/>
      <c r="AX688" s="92"/>
    </row>
    <row r="689" customFormat="false" ht="15.65" hidden="false" customHeight="false" outlineLevel="0" collapsed="false">
      <c r="C689" s="72" t="n">
        <f aca="false">COUNTIFS($D$6:D689,"&lt;&gt;"&amp;"")</f>
        <v>684</v>
      </c>
      <c r="D689" s="73" t="s">
        <v>12</v>
      </c>
      <c r="E689" s="76" t="str">
        <f aca="false">
IF($D689="정상",INDEX(임대자산!$D$3:$R$3000,MATCH($F689,임대자산!$I$3:$I$3000,0),MATCH(E$3,임대자산!$D$3:$R$3,0)),
IF($D689="폐업",INDEX(폐업정보!$D$3:$R$3000,MATCH($F689,폐업정보!$I$3:$I$3000,0),MATCH(E$3,폐업정보!$D$3:$R$3,0)),
"Error"))</f>
        <v>강원</v>
      </c>
      <c r="F68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B0684</v>
      </c>
      <c r="G689" s="76" t="str">
        <f aca="false">F689&amp;RANDBETWEEN(0,10)</f>
        <v>B06846</v>
      </c>
      <c r="H689" s="75" t="n">
        <f aca="false">
IF($D689="정상",INDEX(임대자산!$D$3:$R$3000,MATCH($F689,임대자산!$I$3:$I$3000,0),MATCH(H$4,임대자산!$D$3:$R$3,0)),
IF($D689="폐업",INDEX(폐업정보!$D$3:$R$3000,MATCH($F689,폐업정보!$I$3:$I$3000,0),MATCH(H$4,폐업정보!$D$3:$R$3,0)),
"Error"))</f>
        <v>44608</v>
      </c>
      <c r="I689" s="75" t="str">
        <f aca="false">
IF($D689="정상",INDEX(임대자산!$D$3:$R$3000,MATCH($F689,임대자산!$I$3:$I$3000,0),MATCH(I$4,임대자산!$D$3:$R$3,0)),
IF($D689="폐업",INDEX(폐업정보!$D$3:$R$3000,MATCH($F689,폐업정보!$I$3:$I$3000,0),MATCH(I$4,폐업정보!$D$3:$R$3,0)),
"Error"))</f>
        <v>A0684</v>
      </c>
      <c r="J689" s="75" t="str">
        <f aca="false">
IF($D689="정상",INDEX(임대자산!$D$3:$R$3000,MATCH($F689,임대자산!$I$3:$I$3000,0),MATCH(J$4,임대자산!$D$3:$R$3,0)),
IF($D689="폐업",INDEX(폐업정보!$D$3:$R$3000,MATCH($F689,폐업정보!$I$3:$I$3000,0),MATCH(J$4,폐업정보!$D$3:$R$3,0)),
"Error"))</f>
        <v>5758500000</v>
      </c>
      <c r="K689" s="75" t="str">
        <f aca="false">
IF($D689="정상",INDEX(임대자산!$D$3:$R$3000,MATCH($F689,임대자산!$I$3:$I$3000,0),MATCH(K$4,임대자산!$D$3:$R$3,0)),
IF($D689="폐업",INDEX(폐업정보!$D$3:$R$3000,MATCH($F689,폐업정보!$I$3:$I$3000,0),MATCH(K$4,폐업정보!$D$3:$R$3,0)),
"Error"))</f>
        <v>C0684</v>
      </c>
      <c r="L689" s="75" t="str">
        <f aca="false">
IF($D689="정상",INDEX(임대자산!$D$3:$R$3000,MATCH($F689,임대자산!$I$3:$I$3000,0),MATCH(L$4,임대자산!$D$3:$R$3,0)),
IF($D689="폐업",INDEX(폐업정보!$D$3:$R$3000,MATCH($F689,폐업정보!$I$3:$I$3000,0),MATCH(L$4,폐업정보!$D$3:$R$3,0)),
"Error"))</f>
        <v>D0684</v>
      </c>
      <c r="M689" s="76" t="s">
        <v>96</v>
      </c>
      <c r="N689" s="77"/>
      <c r="O689" s="78" t="s">
        <v>97</v>
      </c>
      <c r="P689" s="79" t="n">
        <f aca="false">COUNTIFS(임대자산!$I:$I,가맹점정보!F689,임대자산!$N:$N,가맹점정보!P$4)</f>
        <v>0</v>
      </c>
      <c r="Q689" s="80" t="n">
        <f aca="false">COUNTIFS(임대자산!$I:$I,가맹점정보!F689,임대자산!$N:$N,가맹점정보!Q$4)</f>
        <v>1</v>
      </c>
      <c r="R689" s="81" t="n">
        <f aca="false">COUNTIFS(임대자산!$I:$I,가맹점정보!F689,임대자산!$N:$N,가맹점정보!R$4)</f>
        <v>0</v>
      </c>
      <c r="S689" s="82" t="n">
        <v>55000</v>
      </c>
      <c r="T689" s="83" t="n">
        <v>0</v>
      </c>
      <c r="U689" s="80" t="n">
        <f aca="false">SUM(S689:T689)</f>
        <v>55000</v>
      </c>
      <c r="V689" s="84" t="s">
        <v>12</v>
      </c>
      <c r="W689" s="80" t="e">
        <f aca="true">
IF(D689="폐업","폐업",
IF(V689="면제","면제",
IF(AND(V689="정상",COUNTIFS(OFFSET(Y689,0,COUNTA(Y689:AV689)-1,1,-4),"미납")&gt;=3),"장기미납",
IF(AND(V689="정상",OFFSET(Y689,0,COUNTA(Y689:AV689)-1)&gt;=U689),"정상",
IF(AND(V689="정상",OFFSET(Y689,0,COUNTA(Y689:AV689)-1)=0),"정상",
"계약서 미작성")))))</f>
        <v>#VALUE!</v>
      </c>
      <c r="X689" s="81" t="str">
        <f aca="true">
IF(D689="폐업","폐업",
IF(AND(V689="정상",OFFSET(Y689,0,COUNTA(Y689:AV689)-1)="미납"),"미납",
IF(AND(V689="정상",OFFSET(Y689,0,COUNTA(Y689:AV689)-1)=0),"납부 시작 전",
IF(AND(V689="정상",OFFSET(Y689,0,COUNTA(Y689:AV689)-1)&gt;=U689),"정상",
IF(AND(V689="면제",OFFSET(Y689,0,COUNTA(Y689:AV689)-1)="면제"),"면제",
IF(AND(V689="면제",OFFSET(Y689,0,COUNTA(Y689:AV689)-1)=0),"면제",
"확인요청"))))))</f>
        <v>정상</v>
      </c>
      <c r="Y689" s="93" t="n">
        <v>55000</v>
      </c>
      <c r="Z689" s="90" t="n">
        <v>55000</v>
      </c>
      <c r="AA689" s="90" t="n">
        <v>55000</v>
      </c>
      <c r="AB689" s="90" t="n">
        <v>55000</v>
      </c>
      <c r="AC689" s="90" t="n">
        <v>55000</v>
      </c>
      <c r="AD689" s="90" t="n">
        <v>55000</v>
      </c>
      <c r="AE689" s="90" t="n">
        <v>55000</v>
      </c>
      <c r="AF689" s="90" t="n">
        <v>55000</v>
      </c>
      <c r="AG689" s="90" t="n">
        <v>55000</v>
      </c>
      <c r="AH689" s="90" t="n">
        <v>55000</v>
      </c>
      <c r="AI689" s="90" t="n">
        <v>55000</v>
      </c>
      <c r="AJ689" s="91" t="n">
        <v>55000</v>
      </c>
      <c r="AK689" s="89" t="n">
        <v>55000</v>
      </c>
      <c r="AL689" s="90" t="n">
        <v>55000</v>
      </c>
      <c r="AM689" s="90"/>
      <c r="AN689" s="90"/>
      <c r="AO689" s="90"/>
      <c r="AP689" s="90"/>
      <c r="AQ689" s="90"/>
      <c r="AR689" s="90"/>
      <c r="AS689" s="90"/>
      <c r="AT689" s="90"/>
      <c r="AU689" s="90"/>
      <c r="AV689" s="91"/>
      <c r="AX689" s="92"/>
    </row>
    <row r="690" customFormat="false" ht="15.65" hidden="false" customHeight="false" outlineLevel="0" collapsed="false">
      <c r="C690" s="72" t="n">
        <f aca="false">COUNTIFS($D$6:D690,"&lt;&gt;"&amp;"")</f>
        <v>685</v>
      </c>
      <c r="D690" s="73" t="s">
        <v>12</v>
      </c>
      <c r="E690" s="76" t="str">
        <f aca="false">
IF($D690="정상",INDEX(임대자산!$D$3:$R$3000,MATCH($F690,임대자산!$I$3:$I$3000,0),MATCH(E$3,임대자산!$D$3:$R$3,0)),
IF($D690="폐업",INDEX(폐업정보!$D$3:$R$3000,MATCH($F690,폐업정보!$I$3:$I$3000,0),MATCH(E$3,폐업정보!$D$3:$R$3,0)),
"Error"))</f>
        <v>강원</v>
      </c>
      <c r="F69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B0685</v>
      </c>
      <c r="G690" s="76" t="str">
        <f aca="false">F690&amp;RANDBETWEEN(0,10)</f>
        <v>B06855</v>
      </c>
      <c r="H690" s="75" t="n">
        <f aca="false">
IF($D690="정상",INDEX(임대자산!$D$3:$R$3000,MATCH($F690,임대자산!$I$3:$I$3000,0),MATCH(H$4,임대자산!$D$3:$R$3,0)),
IF($D690="폐업",INDEX(폐업정보!$D$3:$R$3000,MATCH($F690,폐업정보!$I$3:$I$3000,0),MATCH(H$4,폐업정보!$D$3:$R$3,0)),
"Error"))</f>
        <v>45849</v>
      </c>
      <c r="I690" s="75" t="str">
        <f aca="false">
IF($D690="정상",INDEX(임대자산!$D$3:$R$3000,MATCH($F690,임대자산!$I$3:$I$3000,0),MATCH(I$4,임대자산!$D$3:$R$3,0)),
IF($D690="폐업",INDEX(폐업정보!$D$3:$R$3000,MATCH($F690,폐업정보!$I$3:$I$3000,0),MATCH(I$4,폐업정보!$D$3:$R$3,0)),
"Error"))</f>
        <v>A0685</v>
      </c>
      <c r="J690" s="75" t="str">
        <f aca="false">
IF($D690="정상",INDEX(임대자산!$D$3:$R$3000,MATCH($F690,임대자산!$I$3:$I$3000,0),MATCH(J$4,임대자산!$D$3:$R$3,0)),
IF($D690="폐업",INDEX(폐업정보!$D$3:$R$3000,MATCH($F690,폐업정보!$I$3:$I$3000,0),MATCH(J$4,폐업정보!$D$3:$R$3,0)),
"Error"))</f>
        <v>5836100000</v>
      </c>
      <c r="K690" s="75" t="str">
        <f aca="false">
IF($D690="정상",INDEX(임대자산!$D$3:$R$3000,MATCH($F690,임대자산!$I$3:$I$3000,0),MATCH(K$4,임대자산!$D$3:$R$3,0)),
IF($D690="폐업",INDEX(폐업정보!$D$3:$R$3000,MATCH($F690,폐업정보!$I$3:$I$3000,0),MATCH(K$4,폐업정보!$D$3:$R$3,0)),
"Error"))</f>
        <v>C0685</v>
      </c>
      <c r="L690" s="75" t="str">
        <f aca="false">
IF($D690="정상",INDEX(임대자산!$D$3:$R$3000,MATCH($F690,임대자산!$I$3:$I$3000,0),MATCH(L$4,임대자산!$D$3:$R$3,0)),
IF($D690="폐업",INDEX(폐업정보!$D$3:$R$3000,MATCH($F690,폐업정보!$I$3:$I$3000,0),MATCH(L$4,폐업정보!$D$3:$R$3,0)),
"Error"))</f>
        <v>D0685</v>
      </c>
      <c r="M690" s="76" t="s">
        <v>96</v>
      </c>
      <c r="N690" s="77"/>
      <c r="O690" s="78" t="s">
        <v>97</v>
      </c>
      <c r="P690" s="79" t="n">
        <f aca="false">COUNTIFS(임대자산!$I:$I,가맹점정보!F690,임대자산!$N:$N,가맹점정보!P$4)</f>
        <v>0</v>
      </c>
      <c r="Q690" s="80" t="n">
        <f aca="false">COUNTIFS(임대자산!$I:$I,가맹점정보!F690,임대자산!$N:$N,가맹점정보!Q$4)</f>
        <v>1</v>
      </c>
      <c r="R690" s="81" t="n">
        <f aca="false">COUNTIFS(임대자산!$I:$I,가맹점정보!F690,임대자산!$N:$N,가맹점정보!R$4)</f>
        <v>0</v>
      </c>
      <c r="S690" s="82" t="n">
        <v>55000</v>
      </c>
      <c r="T690" s="83" t="n">
        <v>0</v>
      </c>
      <c r="U690" s="80" t="n">
        <f aca="false">SUM(S690:T690)</f>
        <v>55000</v>
      </c>
      <c r="V690" s="84" t="s">
        <v>12</v>
      </c>
      <c r="W690" s="80" t="e">
        <f aca="true">
IF(D690="폐업","폐업",
IF(V690="면제","면제",
IF(AND(V690="정상",COUNTIFS(OFFSET(Y690,0,COUNTA(Y690:AV690)-1,1,-4),"미납")&gt;=3),"장기미납",
IF(AND(V690="정상",OFFSET(Y690,0,COUNTA(Y690:AV690)-1)&gt;=U690),"정상",
IF(AND(V690="정상",OFFSET(Y690,0,COUNTA(Y690:AV690)-1)=0),"정상",
"계약서 미작성")))))</f>
        <v>#VALUE!</v>
      </c>
      <c r="X690" s="81" t="str">
        <f aca="true">
IF(D690="폐업","폐업",
IF(AND(V690="정상",OFFSET(Y690,0,COUNTA(Y690:AV690)-1)="미납"),"미납",
IF(AND(V690="정상",OFFSET(Y690,0,COUNTA(Y690:AV690)-1)=0),"납부 시작 전",
IF(AND(V690="정상",OFFSET(Y690,0,COUNTA(Y690:AV690)-1)&gt;=U690),"정상",
IF(AND(V690="면제",OFFSET(Y690,0,COUNTA(Y690:AV690)-1)="면제"),"면제",
IF(AND(V690="면제",OFFSET(Y690,0,COUNTA(Y690:AV690)-1)=0),"면제",
"확인요청"))))))</f>
        <v>정상</v>
      </c>
      <c r="Y690" s="93" t="n">
        <v>55000</v>
      </c>
      <c r="Z690" s="90" t="n">
        <v>55000</v>
      </c>
      <c r="AA690" s="90" t="n">
        <v>55000</v>
      </c>
      <c r="AB690" s="90" t="n">
        <v>55000</v>
      </c>
      <c r="AC690" s="90" t="n">
        <v>55000</v>
      </c>
      <c r="AD690" s="90" t="n">
        <v>55000</v>
      </c>
      <c r="AE690" s="90" t="n">
        <v>55000</v>
      </c>
      <c r="AF690" s="90" t="n">
        <v>55000</v>
      </c>
      <c r="AG690" s="90" t="n">
        <v>55000</v>
      </c>
      <c r="AH690" s="90" t="n">
        <v>55000</v>
      </c>
      <c r="AI690" s="90" t="n">
        <v>55000</v>
      </c>
      <c r="AJ690" s="91" t="n">
        <v>55000</v>
      </c>
      <c r="AK690" s="89" t="n">
        <v>55000</v>
      </c>
      <c r="AL690" s="90" t="n">
        <v>55000</v>
      </c>
      <c r="AM690" s="90"/>
      <c r="AN690" s="90"/>
      <c r="AO690" s="90"/>
      <c r="AP690" s="90"/>
      <c r="AQ690" s="90"/>
      <c r="AR690" s="90"/>
      <c r="AS690" s="90"/>
      <c r="AT690" s="90"/>
      <c r="AU690" s="90"/>
      <c r="AV690" s="91"/>
      <c r="AX690" s="92"/>
    </row>
    <row r="691" customFormat="false" ht="15.65" hidden="false" customHeight="false" outlineLevel="0" collapsed="false">
      <c r="C691" s="72" t="n">
        <f aca="false">COUNTIFS($D$6:D691,"&lt;&gt;"&amp;"")</f>
        <v>686</v>
      </c>
      <c r="D691" s="73" t="s">
        <v>12</v>
      </c>
      <c r="E691" s="76" t="str">
        <f aca="false">
IF($D691="정상",INDEX(임대자산!$D$3:$R$3000,MATCH($F691,임대자산!$I$3:$I$3000,0),MATCH(E$3,임대자산!$D$3:$R$3,0)),
IF($D691="폐업",INDEX(폐업정보!$D$3:$R$3000,MATCH($F691,폐업정보!$I$3:$I$3000,0),MATCH(E$3,폐업정보!$D$3:$R$3,0)),
"Error"))</f>
        <v>경기</v>
      </c>
      <c r="F69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B0686</v>
      </c>
      <c r="G691" s="76" t="str">
        <f aca="false">F691&amp;RANDBETWEEN(0,10)</f>
        <v>B06868</v>
      </c>
      <c r="H691" s="75" t="n">
        <f aca="false">
IF($D691="정상",INDEX(임대자산!$D$3:$R$3000,MATCH($F691,임대자산!$I$3:$I$3000,0),MATCH(H$4,임대자산!$D$3:$R$3,0)),
IF($D691="폐업",INDEX(폐업정보!$D$3:$R$3000,MATCH($F691,폐업정보!$I$3:$I$3000,0),MATCH(H$4,폐업정보!$D$3:$R$3,0)),
"Error"))</f>
        <v>44799</v>
      </c>
      <c r="I691" s="75" t="str">
        <f aca="false">
IF($D691="정상",INDEX(임대자산!$D$3:$R$3000,MATCH($F691,임대자산!$I$3:$I$3000,0),MATCH(I$4,임대자산!$D$3:$R$3,0)),
IF($D691="폐업",INDEX(폐업정보!$D$3:$R$3000,MATCH($F691,폐업정보!$I$3:$I$3000,0),MATCH(I$4,폐업정보!$D$3:$R$3,0)),
"Error"))</f>
        <v>A0686</v>
      </c>
      <c r="J691" s="75" t="str">
        <f aca="false">
IF($D691="정상",INDEX(임대자산!$D$3:$R$3000,MATCH($F691,임대자산!$I$3:$I$3000,0),MATCH(J$4,임대자산!$D$3:$R$3,0)),
IF($D691="폐업",INDEX(폐업정보!$D$3:$R$3000,MATCH($F691,폐업정보!$I$3:$I$3000,0),MATCH(J$4,폐업정보!$D$3:$R$3,0)),
"Error"))</f>
        <v>3639100000</v>
      </c>
      <c r="K691" s="75" t="str">
        <f aca="false">
IF($D691="정상",INDEX(임대자산!$D$3:$R$3000,MATCH($F691,임대자산!$I$3:$I$3000,0),MATCH(K$4,임대자산!$D$3:$R$3,0)),
IF($D691="폐업",INDEX(폐업정보!$D$3:$R$3000,MATCH($F691,폐업정보!$I$3:$I$3000,0),MATCH(K$4,폐업정보!$D$3:$R$3,0)),
"Error"))</f>
        <v>C0686</v>
      </c>
      <c r="L691" s="75" t="str">
        <f aca="false">
IF($D691="정상",INDEX(임대자산!$D$3:$R$3000,MATCH($F691,임대자산!$I$3:$I$3000,0),MATCH(L$4,임대자산!$D$3:$R$3,0)),
IF($D691="폐업",INDEX(폐업정보!$D$3:$R$3000,MATCH($F691,폐업정보!$I$3:$I$3000,0),MATCH(L$4,폐업정보!$D$3:$R$3,0)),
"Error"))</f>
        <v>D0686</v>
      </c>
      <c r="M691" s="76" t="s">
        <v>96</v>
      </c>
      <c r="N691" s="77"/>
      <c r="O691" s="78" t="s">
        <v>97</v>
      </c>
      <c r="P691" s="79" t="n">
        <f aca="false">COUNTIFS(임대자산!$I:$I,가맹점정보!F691,임대자산!$N:$N,가맹점정보!P$4)</f>
        <v>0</v>
      </c>
      <c r="Q691" s="80" t="n">
        <f aca="false">COUNTIFS(임대자산!$I:$I,가맹점정보!F691,임대자산!$N:$N,가맹점정보!Q$4)</f>
        <v>1</v>
      </c>
      <c r="R691" s="81" t="n">
        <f aca="false">COUNTIFS(임대자산!$I:$I,가맹점정보!F691,임대자산!$N:$N,가맹점정보!R$4)</f>
        <v>0</v>
      </c>
      <c r="S691" s="82" t="n">
        <v>55000</v>
      </c>
      <c r="T691" s="83" t="n">
        <v>0</v>
      </c>
      <c r="U691" s="80" t="n">
        <f aca="false">SUM(S691:T691)</f>
        <v>55000</v>
      </c>
      <c r="V691" s="84" t="s">
        <v>7</v>
      </c>
      <c r="W691" s="80" t="str">
        <f aca="true">
IF(D691="폐업","폐업",
IF(V691="면제","면제",
IF(AND(V691="정상",COUNTIFS(OFFSET(Y691,0,COUNTA(Y691:AV691)-1,1,-4),"미납")&gt;=3),"장기미납",
IF(AND(V691="정상",OFFSET(Y691,0,COUNTA(Y691:AV691)-1)&gt;=U691),"정상",
IF(AND(V691="정상",OFFSET(Y691,0,COUNTA(Y691:AV691)-1)=0),"정상",
"계약서 미작성")))))</f>
        <v>면제</v>
      </c>
      <c r="X691" s="81" t="str">
        <f aca="true">
IF(D691="폐업","폐업",
IF(AND(V691="정상",OFFSET(Y691,0,COUNTA(Y691:AV691)-1)="미납"),"미납",
IF(AND(V691="정상",OFFSET(Y691,0,COUNTA(Y691:AV691)-1)=0),"납부 시작 전",
IF(AND(V691="정상",OFFSET(Y691,0,COUNTA(Y691:AV691)-1)&gt;=U691),"정상",
IF(AND(V691="면제",OFFSET(Y691,0,COUNTA(Y691:AV691)-1)="면제"),"면제",
IF(AND(V691="면제",OFFSET(Y691,0,COUNTA(Y691:AV691)-1)=0),"면제",
"확인요청"))))))</f>
        <v>면제</v>
      </c>
      <c r="Y691" s="94" t="s">
        <v>7</v>
      </c>
      <c r="Z691" s="95" t="s">
        <v>7</v>
      </c>
      <c r="AA691" s="95" t="s">
        <v>7</v>
      </c>
      <c r="AB691" s="95" t="s">
        <v>7</v>
      </c>
      <c r="AC691" s="95" t="s">
        <v>7</v>
      </c>
      <c r="AD691" s="95" t="s">
        <v>7</v>
      </c>
      <c r="AE691" s="95" t="s">
        <v>7</v>
      </c>
      <c r="AF691" s="95" t="s">
        <v>7</v>
      </c>
      <c r="AG691" s="95" t="s">
        <v>7</v>
      </c>
      <c r="AH691" s="95" t="s">
        <v>7</v>
      </c>
      <c r="AI691" s="95" t="s">
        <v>7</v>
      </c>
      <c r="AJ691" s="96" t="s">
        <v>7</v>
      </c>
      <c r="AK691" s="97" t="s">
        <v>7</v>
      </c>
      <c r="AL691" s="95" t="s">
        <v>7</v>
      </c>
      <c r="AM691" s="90"/>
      <c r="AN691" s="90"/>
      <c r="AO691" s="90"/>
      <c r="AP691" s="90"/>
      <c r="AQ691" s="90"/>
      <c r="AR691" s="90"/>
      <c r="AS691" s="90"/>
      <c r="AT691" s="90"/>
      <c r="AU691" s="90"/>
      <c r="AV691" s="91"/>
      <c r="AX691" s="92"/>
    </row>
    <row r="692" customFormat="false" ht="15.65" hidden="false" customHeight="false" outlineLevel="0" collapsed="false">
      <c r="C692" s="72" t="n">
        <f aca="false">COUNTIFS($D$6:D692,"&lt;&gt;"&amp;"")</f>
        <v>687</v>
      </c>
      <c r="D692" s="73" t="s">
        <v>12</v>
      </c>
      <c r="E692" s="76" t="str">
        <f aca="false">
IF($D692="정상",INDEX(임대자산!$D$3:$R$3000,MATCH($F692,임대자산!$I$3:$I$3000,0),MATCH(E$3,임대자산!$D$3:$R$3,0)),
IF($D692="폐업",INDEX(폐업정보!$D$3:$R$3000,MATCH($F692,폐업정보!$I$3:$I$3000,0),MATCH(E$3,폐업정보!$D$3:$R$3,0)),
"Error"))</f>
        <v>전라</v>
      </c>
      <c r="F69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B0687</v>
      </c>
      <c r="G692" s="76" t="str">
        <f aca="false">F692&amp;RANDBETWEEN(0,10)</f>
        <v>B06879</v>
      </c>
      <c r="H692" s="75" t="n">
        <f aca="false">
IF($D692="정상",INDEX(임대자산!$D$3:$R$3000,MATCH($F692,임대자산!$I$3:$I$3000,0),MATCH(H$4,임대자산!$D$3:$R$3,0)),
IF($D692="폐업",INDEX(폐업정보!$D$3:$R$3000,MATCH($F692,폐업정보!$I$3:$I$3000,0),MATCH(H$4,폐업정보!$D$3:$R$3,0)),
"Error"))</f>
        <v>43432</v>
      </c>
      <c r="I692" s="75" t="str">
        <f aca="false">
IF($D692="정상",INDEX(임대자산!$D$3:$R$3000,MATCH($F692,임대자산!$I$3:$I$3000,0),MATCH(I$4,임대자산!$D$3:$R$3,0)),
IF($D692="폐업",INDEX(폐업정보!$D$3:$R$3000,MATCH($F692,폐업정보!$I$3:$I$3000,0),MATCH(I$4,폐업정보!$D$3:$R$3,0)),
"Error"))</f>
        <v>A0687</v>
      </c>
      <c r="J692" s="75" t="str">
        <f aca="false">
IF($D692="정상",INDEX(임대자산!$D$3:$R$3000,MATCH($F692,임대자산!$I$3:$I$3000,0),MATCH(J$4,임대자산!$D$3:$R$3,0)),
IF($D692="폐업",INDEX(폐업정보!$D$3:$R$3000,MATCH($F692,폐업정보!$I$3:$I$3000,0),MATCH(J$4,폐업정보!$D$3:$R$3,0)),
"Error"))</f>
        <v>2483400000</v>
      </c>
      <c r="K692" s="75" t="str">
        <f aca="false">
IF($D692="정상",INDEX(임대자산!$D$3:$R$3000,MATCH($F692,임대자산!$I$3:$I$3000,0),MATCH(K$4,임대자산!$D$3:$R$3,0)),
IF($D692="폐업",INDEX(폐업정보!$D$3:$R$3000,MATCH($F692,폐업정보!$I$3:$I$3000,0),MATCH(K$4,폐업정보!$D$3:$R$3,0)),
"Error"))</f>
        <v>C0687</v>
      </c>
      <c r="L692" s="75" t="str">
        <f aca="false">
IF($D692="정상",INDEX(임대자산!$D$3:$R$3000,MATCH($F692,임대자산!$I$3:$I$3000,0),MATCH(L$4,임대자산!$D$3:$R$3,0)),
IF($D692="폐업",INDEX(폐업정보!$D$3:$R$3000,MATCH($F692,폐업정보!$I$3:$I$3000,0),MATCH(L$4,폐업정보!$D$3:$R$3,0)),
"Error"))</f>
        <v>D0687</v>
      </c>
      <c r="M692" s="76" t="s">
        <v>96</v>
      </c>
      <c r="N692" s="77"/>
      <c r="O692" s="78" t="s">
        <v>97</v>
      </c>
      <c r="P692" s="79" t="n">
        <f aca="false">COUNTIFS(임대자산!$I:$I,가맹점정보!F692,임대자산!$N:$N,가맹점정보!P$4)</f>
        <v>0</v>
      </c>
      <c r="Q692" s="80" t="n">
        <f aca="false">COUNTIFS(임대자산!$I:$I,가맹점정보!F692,임대자산!$N:$N,가맹점정보!Q$4)</f>
        <v>1</v>
      </c>
      <c r="R692" s="81" t="n">
        <f aca="false">COUNTIFS(임대자산!$I:$I,가맹점정보!F692,임대자산!$N:$N,가맹점정보!R$4)</f>
        <v>0</v>
      </c>
      <c r="S692" s="82" t="n">
        <v>55000</v>
      </c>
      <c r="T692" s="83" t="n">
        <v>0</v>
      </c>
      <c r="U692" s="80" t="n">
        <f aca="false">SUM(S692:T692)</f>
        <v>55000</v>
      </c>
      <c r="V692" s="84" t="s">
        <v>12</v>
      </c>
      <c r="W692" s="80" t="e">
        <f aca="true">
IF(D692="폐업","폐업",
IF(V692="면제","면제",
IF(AND(V692="정상",COUNTIFS(OFFSET(Y692,0,COUNTA(Y692:AV692)-1,1,-4),"미납")&gt;=3),"장기미납",
IF(AND(V692="정상",OFFSET(Y692,0,COUNTA(Y692:AV692)-1)&gt;=U692),"정상",
IF(AND(V692="정상",OFFSET(Y692,0,COUNTA(Y692:AV692)-1)=0),"정상",
"계약서 미작성")))))</f>
        <v>#VALUE!</v>
      </c>
      <c r="X692" s="81" t="str">
        <f aca="true">
IF(D692="폐업","폐업",
IF(AND(V692="정상",OFFSET(Y692,0,COUNTA(Y692:AV692)-1)="미납"),"미납",
IF(AND(V692="정상",OFFSET(Y692,0,COUNTA(Y692:AV692)-1)=0),"납부 시작 전",
IF(AND(V692="정상",OFFSET(Y692,0,COUNTA(Y692:AV692)-1)&gt;=U692),"정상",
IF(AND(V692="면제",OFFSET(Y692,0,COUNTA(Y692:AV692)-1)="면제"),"면제",
IF(AND(V692="면제",OFFSET(Y692,0,COUNTA(Y692:AV692)-1)=0),"면제",
"확인요청"))))))</f>
        <v>정상</v>
      </c>
      <c r="Y692" s="93" t="n">
        <v>55000</v>
      </c>
      <c r="Z692" s="90" t="n">
        <v>55000</v>
      </c>
      <c r="AA692" s="90" t="n">
        <v>55000</v>
      </c>
      <c r="AB692" s="90" t="n">
        <v>55000</v>
      </c>
      <c r="AC692" s="90" t="n">
        <v>55000</v>
      </c>
      <c r="AD692" s="90" t="n">
        <v>55000</v>
      </c>
      <c r="AE692" s="90" t="n">
        <v>55000</v>
      </c>
      <c r="AF692" s="90" t="n">
        <v>55000</v>
      </c>
      <c r="AG692" s="90" t="n">
        <v>55000</v>
      </c>
      <c r="AH692" s="90" t="n">
        <v>55000</v>
      </c>
      <c r="AI692" s="90" t="n">
        <v>55000</v>
      </c>
      <c r="AJ692" s="91" t="n">
        <v>55000</v>
      </c>
      <c r="AK692" s="89" t="n">
        <v>55000</v>
      </c>
      <c r="AL692" s="90" t="n">
        <v>55000</v>
      </c>
      <c r="AM692" s="90"/>
      <c r="AN692" s="90"/>
      <c r="AO692" s="90"/>
      <c r="AP692" s="90"/>
      <c r="AQ692" s="90"/>
      <c r="AR692" s="90"/>
      <c r="AS692" s="90"/>
      <c r="AT692" s="90"/>
      <c r="AU692" s="90"/>
      <c r="AV692" s="91"/>
      <c r="AX692" s="92"/>
    </row>
    <row r="693" customFormat="false" ht="15.65" hidden="false" customHeight="false" outlineLevel="0" collapsed="false">
      <c r="C693" s="72" t="n">
        <f aca="false">COUNTIFS($D$6:D693,"&lt;&gt;"&amp;"")</f>
        <v>688</v>
      </c>
      <c r="D693" s="73" t="s">
        <v>12</v>
      </c>
      <c r="E693" s="76" t="str">
        <f aca="false">
IF($D693="정상",INDEX(임대자산!$D$3:$R$3000,MATCH($F693,임대자산!$I$3:$I$3000,0),MATCH(E$3,임대자산!$D$3:$R$3,0)),
IF($D693="폐업",INDEX(폐업정보!$D$3:$R$3000,MATCH($F693,폐업정보!$I$3:$I$3000,0),MATCH(E$3,폐업정보!$D$3:$R$3,0)),
"Error"))</f>
        <v>강원</v>
      </c>
      <c r="F69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B0688</v>
      </c>
      <c r="G693" s="76" t="str">
        <f aca="false">F693&amp;RANDBETWEEN(0,10)</f>
        <v>B06889</v>
      </c>
      <c r="H693" s="75" t="n">
        <f aca="false">
IF($D693="정상",INDEX(임대자산!$D$3:$R$3000,MATCH($F693,임대자산!$I$3:$I$3000,0),MATCH(H$4,임대자산!$D$3:$R$3,0)),
IF($D693="폐업",INDEX(폐업정보!$D$3:$R$3000,MATCH($F693,폐업정보!$I$3:$I$3000,0),MATCH(H$4,폐업정보!$D$3:$R$3,0)),
"Error"))</f>
        <v>43277</v>
      </c>
      <c r="I693" s="75" t="str">
        <f aca="false">
IF($D693="정상",INDEX(임대자산!$D$3:$R$3000,MATCH($F693,임대자산!$I$3:$I$3000,0),MATCH(I$4,임대자산!$D$3:$R$3,0)),
IF($D693="폐업",INDEX(폐업정보!$D$3:$R$3000,MATCH($F693,폐업정보!$I$3:$I$3000,0),MATCH(I$4,폐업정보!$D$3:$R$3,0)),
"Error"))</f>
        <v>A0688</v>
      </c>
      <c r="J693" s="75" t="str">
        <f aca="false">
IF($D693="정상",INDEX(임대자산!$D$3:$R$3000,MATCH($F693,임대자산!$I$3:$I$3000,0),MATCH(J$4,임대자산!$D$3:$R$3,0)),
IF($D693="폐업",INDEX(폐업정보!$D$3:$R$3000,MATCH($F693,폐업정보!$I$3:$I$3000,0),MATCH(J$4,폐업정보!$D$3:$R$3,0)),
"Error"))</f>
        <v>8690100000</v>
      </c>
      <c r="K693" s="75" t="str">
        <f aca="false">
IF($D693="정상",INDEX(임대자산!$D$3:$R$3000,MATCH($F693,임대자산!$I$3:$I$3000,0),MATCH(K$4,임대자산!$D$3:$R$3,0)),
IF($D693="폐업",INDEX(폐업정보!$D$3:$R$3000,MATCH($F693,폐업정보!$I$3:$I$3000,0),MATCH(K$4,폐업정보!$D$3:$R$3,0)),
"Error"))</f>
        <v>C0688</v>
      </c>
      <c r="L693" s="75" t="str">
        <f aca="false">
IF($D693="정상",INDEX(임대자산!$D$3:$R$3000,MATCH($F693,임대자산!$I$3:$I$3000,0),MATCH(L$4,임대자산!$D$3:$R$3,0)),
IF($D693="폐업",INDEX(폐업정보!$D$3:$R$3000,MATCH($F693,폐업정보!$I$3:$I$3000,0),MATCH(L$4,폐업정보!$D$3:$R$3,0)),
"Error"))</f>
        <v>D0688</v>
      </c>
      <c r="M693" s="76" t="s">
        <v>96</v>
      </c>
      <c r="N693" s="77"/>
      <c r="O693" s="78" t="s">
        <v>97</v>
      </c>
      <c r="P693" s="79" t="n">
        <f aca="false">COUNTIFS(임대자산!$I:$I,가맹점정보!F693,임대자산!$N:$N,가맹점정보!P$4)</f>
        <v>0</v>
      </c>
      <c r="Q693" s="80" t="n">
        <f aca="false">COUNTIFS(임대자산!$I:$I,가맹점정보!F693,임대자산!$N:$N,가맹점정보!Q$4)</f>
        <v>1</v>
      </c>
      <c r="R693" s="81" t="n">
        <f aca="false">COUNTIFS(임대자산!$I:$I,가맹점정보!F693,임대자산!$N:$N,가맹점정보!R$4)</f>
        <v>0</v>
      </c>
      <c r="S693" s="82" t="n">
        <v>55000</v>
      </c>
      <c r="T693" s="83" t="n">
        <v>0</v>
      </c>
      <c r="U693" s="80" t="n">
        <f aca="false">SUM(S693:T693)</f>
        <v>55000</v>
      </c>
      <c r="V693" s="84" t="s">
        <v>7</v>
      </c>
      <c r="W693" s="80" t="str">
        <f aca="true">
IF(D693="폐업","폐업",
IF(V693="면제","면제",
IF(AND(V693="정상",COUNTIFS(OFFSET(Y693,0,COUNTA(Y693:AV693)-1,1,-4),"미납")&gt;=3),"장기미납",
IF(AND(V693="정상",OFFSET(Y693,0,COUNTA(Y693:AV693)-1)&gt;=U693),"정상",
IF(AND(V693="정상",OFFSET(Y693,0,COUNTA(Y693:AV693)-1)=0),"정상",
"계약서 미작성")))))</f>
        <v>면제</v>
      </c>
      <c r="X693" s="81" t="str">
        <f aca="true">
IF(D693="폐업","폐업",
IF(AND(V693="정상",OFFSET(Y693,0,COUNTA(Y693:AV693)-1)="미납"),"미납",
IF(AND(V693="정상",OFFSET(Y693,0,COUNTA(Y693:AV693)-1)=0),"납부 시작 전",
IF(AND(V693="정상",OFFSET(Y693,0,COUNTA(Y693:AV693)-1)&gt;=U693),"정상",
IF(AND(V693="면제",OFFSET(Y693,0,COUNTA(Y693:AV693)-1)="면제"),"면제",
IF(AND(V693="면제",OFFSET(Y693,0,COUNTA(Y693:AV693)-1)=0),"면제",
"확인요청"))))))</f>
        <v>면제</v>
      </c>
      <c r="Y693" s="93" t="n">
        <v>55000</v>
      </c>
      <c r="Z693" s="90" t="n">
        <v>55000</v>
      </c>
      <c r="AA693" s="90" t="n">
        <v>55000</v>
      </c>
      <c r="AB693" s="90" t="n">
        <v>55000</v>
      </c>
      <c r="AC693" s="90" t="n">
        <v>55000</v>
      </c>
      <c r="AD693" s="90" t="n">
        <v>55000</v>
      </c>
      <c r="AE693" s="90" t="n">
        <v>55000</v>
      </c>
      <c r="AF693" s="90" t="n">
        <v>55000</v>
      </c>
      <c r="AG693" s="95" t="s">
        <v>7</v>
      </c>
      <c r="AH693" s="95" t="s">
        <v>7</v>
      </c>
      <c r="AI693" s="95" t="s">
        <v>7</v>
      </c>
      <c r="AJ693" s="96" t="s">
        <v>7</v>
      </c>
      <c r="AK693" s="97" t="s">
        <v>7</v>
      </c>
      <c r="AL693" s="95" t="s">
        <v>7</v>
      </c>
      <c r="AM693" s="90"/>
      <c r="AN693" s="90"/>
      <c r="AO693" s="90"/>
      <c r="AP693" s="90"/>
      <c r="AQ693" s="90"/>
      <c r="AR693" s="90"/>
      <c r="AS693" s="90"/>
      <c r="AT693" s="90"/>
      <c r="AU693" s="90"/>
      <c r="AV693" s="91"/>
      <c r="AX693" s="92"/>
    </row>
    <row r="694" customFormat="false" ht="15.65" hidden="false" customHeight="false" outlineLevel="0" collapsed="false">
      <c r="C694" s="72" t="n">
        <f aca="false">COUNTIFS($D$6:D694,"&lt;&gt;"&amp;"")</f>
        <v>689</v>
      </c>
      <c r="D694" s="73" t="s">
        <v>12</v>
      </c>
      <c r="E694" s="76" t="str">
        <f aca="false">
IF($D694="정상",INDEX(임대자산!$D$3:$R$3000,MATCH($F694,임대자산!$I$3:$I$3000,0),MATCH(E$3,임대자산!$D$3:$R$3,0)),
IF($D694="폐업",INDEX(폐업정보!$D$3:$R$3000,MATCH($F694,폐업정보!$I$3:$I$3000,0),MATCH(E$3,폐업정보!$D$3:$R$3,0)),
"Error"))</f>
        <v>경상</v>
      </c>
      <c r="F69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B0689</v>
      </c>
      <c r="G694" s="76" t="str">
        <f aca="false">F694&amp;RANDBETWEEN(0,10)</f>
        <v>B06893</v>
      </c>
      <c r="H694" s="75" t="n">
        <f aca="false">
IF($D694="정상",INDEX(임대자산!$D$3:$R$3000,MATCH($F694,임대자산!$I$3:$I$3000,0),MATCH(H$4,임대자산!$D$3:$R$3,0)),
IF($D694="폐업",INDEX(폐업정보!$D$3:$R$3000,MATCH($F694,폐업정보!$I$3:$I$3000,0),MATCH(H$4,폐업정보!$D$3:$R$3,0)),
"Error"))</f>
        <v>45770</v>
      </c>
      <c r="I694" s="75" t="str">
        <f aca="false">
IF($D694="정상",INDEX(임대자산!$D$3:$R$3000,MATCH($F694,임대자산!$I$3:$I$3000,0),MATCH(I$4,임대자산!$D$3:$R$3,0)),
IF($D694="폐업",INDEX(폐업정보!$D$3:$R$3000,MATCH($F694,폐업정보!$I$3:$I$3000,0),MATCH(I$4,폐업정보!$D$3:$R$3,0)),
"Error"))</f>
        <v>A0689</v>
      </c>
      <c r="J694" s="75" t="str">
        <f aca="false">
IF($D694="정상",INDEX(임대자산!$D$3:$R$3000,MATCH($F694,임대자산!$I$3:$I$3000,0),MATCH(J$4,임대자산!$D$3:$R$3,0)),
IF($D694="폐업",INDEX(폐업정보!$D$3:$R$3000,MATCH($F694,폐업정보!$I$3:$I$3000,0),MATCH(J$4,폐업정보!$D$3:$R$3,0)),
"Error"))</f>
        <v>3182600000</v>
      </c>
      <c r="K694" s="75" t="str">
        <f aca="false">
IF($D694="정상",INDEX(임대자산!$D$3:$R$3000,MATCH($F694,임대자산!$I$3:$I$3000,0),MATCH(K$4,임대자산!$D$3:$R$3,0)),
IF($D694="폐업",INDEX(폐업정보!$D$3:$R$3000,MATCH($F694,폐업정보!$I$3:$I$3000,0),MATCH(K$4,폐업정보!$D$3:$R$3,0)),
"Error"))</f>
        <v>C0689</v>
      </c>
      <c r="L694" s="75" t="str">
        <f aca="false">
IF($D694="정상",INDEX(임대자산!$D$3:$R$3000,MATCH($F694,임대자산!$I$3:$I$3000,0),MATCH(L$4,임대자산!$D$3:$R$3,0)),
IF($D694="폐업",INDEX(폐업정보!$D$3:$R$3000,MATCH($F694,폐업정보!$I$3:$I$3000,0),MATCH(L$4,폐업정보!$D$3:$R$3,0)),
"Error"))</f>
        <v>D0689</v>
      </c>
      <c r="M694" s="76" t="s">
        <v>96</v>
      </c>
      <c r="N694" s="77"/>
      <c r="O694" s="78" t="s">
        <v>97</v>
      </c>
      <c r="P694" s="79" t="n">
        <f aca="false">COUNTIFS(임대자산!$I:$I,가맹점정보!F694,임대자산!$N:$N,가맹점정보!P$4)</f>
        <v>0</v>
      </c>
      <c r="Q694" s="80" t="n">
        <f aca="false">COUNTIFS(임대자산!$I:$I,가맹점정보!F694,임대자산!$N:$N,가맹점정보!Q$4)</f>
        <v>1</v>
      </c>
      <c r="R694" s="81" t="n">
        <f aca="false">COUNTIFS(임대자산!$I:$I,가맹점정보!F694,임대자산!$N:$N,가맹점정보!R$4)</f>
        <v>0</v>
      </c>
      <c r="S694" s="82" t="n">
        <v>55000</v>
      </c>
      <c r="T694" s="83" t="n">
        <v>0</v>
      </c>
      <c r="U694" s="80" t="n">
        <f aca="false">SUM(S694:T694)</f>
        <v>55000</v>
      </c>
      <c r="V694" s="84" t="s">
        <v>12</v>
      </c>
      <c r="W694" s="80" t="e">
        <f aca="true">
IF(D694="폐업","폐업",
IF(V694="면제","면제",
IF(AND(V694="정상",COUNTIFS(OFFSET(Y694,0,COUNTA(Y694:AV694)-1,1,-4),"미납")&gt;=3),"장기미납",
IF(AND(V694="정상",OFFSET(Y694,0,COUNTA(Y694:AV694)-1)&gt;=U694),"정상",
IF(AND(V694="정상",OFFSET(Y694,0,COUNTA(Y694:AV694)-1)=0),"정상",
"계약서 미작성")))))</f>
        <v>#VALUE!</v>
      </c>
      <c r="X694" s="81" t="str">
        <f aca="true">
IF(D694="폐업","폐업",
IF(AND(V694="정상",OFFSET(Y694,0,COUNTA(Y694:AV694)-1)="미납"),"미납",
IF(AND(V694="정상",OFFSET(Y694,0,COUNTA(Y694:AV694)-1)=0),"납부 시작 전",
IF(AND(V694="정상",OFFSET(Y694,0,COUNTA(Y694:AV694)-1)&gt;=U694),"정상",
IF(AND(V694="면제",OFFSET(Y694,0,COUNTA(Y694:AV694)-1)="면제"),"면제",
IF(AND(V694="면제",OFFSET(Y694,0,COUNTA(Y694:AV694)-1)=0),"면제",
"확인요청"))))))</f>
        <v>정상</v>
      </c>
      <c r="Y694" s="93" t="n">
        <v>55000</v>
      </c>
      <c r="Z694" s="90" t="n">
        <v>55000</v>
      </c>
      <c r="AA694" s="90" t="n">
        <v>55000</v>
      </c>
      <c r="AB694" s="90" t="n">
        <v>55000</v>
      </c>
      <c r="AC694" s="90" t="n">
        <v>55000</v>
      </c>
      <c r="AD694" s="90" t="n">
        <v>55000</v>
      </c>
      <c r="AE694" s="90" t="n">
        <v>55000</v>
      </c>
      <c r="AF694" s="90" t="n">
        <v>55000</v>
      </c>
      <c r="AG694" s="90" t="n">
        <v>55000</v>
      </c>
      <c r="AH694" s="90" t="n">
        <v>55000</v>
      </c>
      <c r="AI694" s="90" t="n">
        <v>55000</v>
      </c>
      <c r="AJ694" s="91" t="n">
        <v>55000</v>
      </c>
      <c r="AK694" s="89" t="n">
        <v>55000</v>
      </c>
      <c r="AL694" s="90" t="n">
        <v>55000</v>
      </c>
      <c r="AM694" s="90"/>
      <c r="AN694" s="90"/>
      <c r="AO694" s="90"/>
      <c r="AP694" s="90"/>
      <c r="AQ694" s="90"/>
      <c r="AR694" s="90"/>
      <c r="AS694" s="90"/>
      <c r="AT694" s="90"/>
      <c r="AU694" s="90"/>
      <c r="AV694" s="91"/>
      <c r="AX694" s="92"/>
    </row>
    <row r="695" customFormat="false" ht="15.65" hidden="false" customHeight="false" outlineLevel="0" collapsed="false">
      <c r="C695" s="72" t="n">
        <f aca="false">COUNTIFS($D$6:D695,"&lt;&gt;"&amp;"")</f>
        <v>690</v>
      </c>
      <c r="D695" s="73" t="s">
        <v>12</v>
      </c>
      <c r="E695" s="76" t="str">
        <f aca="false">
IF($D695="정상",INDEX(임대자산!$D$3:$R$3000,MATCH($F695,임대자산!$I$3:$I$3000,0),MATCH(E$3,임대자산!$D$3:$R$3,0)),
IF($D695="폐업",INDEX(폐업정보!$D$3:$R$3000,MATCH($F695,폐업정보!$I$3:$I$3000,0),MATCH(E$3,폐업정보!$D$3:$R$3,0)),
"Error"))</f>
        <v>강원</v>
      </c>
      <c r="F69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B0690</v>
      </c>
      <c r="G695" s="76" t="str">
        <f aca="false">F695&amp;RANDBETWEEN(0,10)</f>
        <v>B06905</v>
      </c>
      <c r="H695" s="75" t="n">
        <f aca="false">
IF($D695="정상",INDEX(임대자산!$D$3:$R$3000,MATCH($F695,임대자산!$I$3:$I$3000,0),MATCH(H$4,임대자산!$D$3:$R$3,0)),
IF($D695="폐업",INDEX(폐업정보!$D$3:$R$3000,MATCH($F695,폐업정보!$I$3:$I$3000,0),MATCH(H$4,폐업정보!$D$3:$R$3,0)),
"Error"))</f>
        <v>44615</v>
      </c>
      <c r="I695" s="75" t="str">
        <f aca="false">
IF($D695="정상",INDEX(임대자산!$D$3:$R$3000,MATCH($F695,임대자산!$I$3:$I$3000,0),MATCH(I$4,임대자산!$D$3:$R$3,0)),
IF($D695="폐업",INDEX(폐업정보!$D$3:$R$3000,MATCH($F695,폐업정보!$I$3:$I$3000,0),MATCH(I$4,폐업정보!$D$3:$R$3,0)),
"Error"))</f>
        <v>A0690</v>
      </c>
      <c r="J695" s="75" t="str">
        <f aca="false">
IF($D695="정상",INDEX(임대자산!$D$3:$R$3000,MATCH($F695,임대자산!$I$3:$I$3000,0),MATCH(J$4,임대자산!$D$3:$R$3,0)),
IF($D695="폐업",INDEX(폐업정보!$D$3:$R$3000,MATCH($F695,폐업정보!$I$3:$I$3000,0),MATCH(J$4,폐업정보!$D$3:$R$3,0)),
"Error"))</f>
        <v>5078900000</v>
      </c>
      <c r="K695" s="75" t="str">
        <f aca="false">
IF($D695="정상",INDEX(임대자산!$D$3:$R$3000,MATCH($F695,임대자산!$I$3:$I$3000,0),MATCH(K$4,임대자산!$D$3:$R$3,0)),
IF($D695="폐업",INDEX(폐업정보!$D$3:$R$3000,MATCH($F695,폐업정보!$I$3:$I$3000,0),MATCH(K$4,폐업정보!$D$3:$R$3,0)),
"Error"))</f>
        <v>C0690</v>
      </c>
      <c r="L695" s="75" t="str">
        <f aca="false">
IF($D695="정상",INDEX(임대자산!$D$3:$R$3000,MATCH($F695,임대자산!$I$3:$I$3000,0),MATCH(L$4,임대자산!$D$3:$R$3,0)),
IF($D695="폐업",INDEX(폐업정보!$D$3:$R$3000,MATCH($F695,폐업정보!$I$3:$I$3000,0),MATCH(L$4,폐업정보!$D$3:$R$3,0)),
"Error"))</f>
        <v>D0690</v>
      </c>
      <c r="M695" s="76" t="s">
        <v>96</v>
      </c>
      <c r="N695" s="77"/>
      <c r="O695" s="78" t="s">
        <v>97</v>
      </c>
      <c r="P695" s="79" t="n">
        <f aca="false">COUNTIFS(임대자산!$I:$I,가맹점정보!F695,임대자산!$N:$N,가맹점정보!P$4)</f>
        <v>0</v>
      </c>
      <c r="Q695" s="80" t="n">
        <f aca="false">COUNTIFS(임대자산!$I:$I,가맹점정보!F695,임대자산!$N:$N,가맹점정보!Q$4)</f>
        <v>1</v>
      </c>
      <c r="R695" s="81" t="n">
        <f aca="false">COUNTIFS(임대자산!$I:$I,가맹점정보!F695,임대자산!$N:$N,가맹점정보!R$4)</f>
        <v>0</v>
      </c>
      <c r="S695" s="82" t="n">
        <v>88000</v>
      </c>
      <c r="T695" s="83" t="n">
        <v>0</v>
      </c>
      <c r="U695" s="80" t="n">
        <f aca="false">SUM(S695:T695)</f>
        <v>88000</v>
      </c>
      <c r="V695" s="84" t="s">
        <v>7</v>
      </c>
      <c r="W695" s="80" t="str">
        <f aca="true">
IF(D695="폐업","폐업",
IF(V695="면제","면제",
IF(AND(V695="정상",COUNTIFS(OFFSET(Y695,0,COUNTA(Y695:AV695)-1,1,-4),"미납")&gt;=3),"장기미납",
IF(AND(V695="정상",OFFSET(Y695,0,COUNTA(Y695:AV695)-1)&gt;=U695),"정상",
IF(AND(V695="정상",OFFSET(Y695,0,COUNTA(Y695:AV695)-1)=0),"정상",
"계약서 미작성")))))</f>
        <v>면제</v>
      </c>
      <c r="X695" s="81" t="str">
        <f aca="true">
IF(D695="폐업","폐업",
IF(AND(V695="정상",OFFSET(Y695,0,COUNTA(Y695:AV695)-1)="미납"),"미납",
IF(AND(V695="정상",OFFSET(Y695,0,COUNTA(Y695:AV695)-1)=0),"납부 시작 전",
IF(AND(V695="정상",OFFSET(Y695,0,COUNTA(Y695:AV695)-1)&gt;=U695),"정상",
IF(AND(V695="면제",OFFSET(Y695,0,COUNTA(Y695:AV695)-1)="면제"),"면제",
IF(AND(V695="면제",OFFSET(Y695,0,COUNTA(Y695:AV695)-1)=0),"면제",
"확인요청"))))))</f>
        <v>면제</v>
      </c>
      <c r="Y695" s="94" t="s">
        <v>7</v>
      </c>
      <c r="Z695" s="95" t="s">
        <v>7</v>
      </c>
      <c r="AA695" s="95" t="s">
        <v>7</v>
      </c>
      <c r="AB695" s="95" t="s">
        <v>7</v>
      </c>
      <c r="AC695" s="95" t="s">
        <v>7</v>
      </c>
      <c r="AD695" s="95" t="s">
        <v>7</v>
      </c>
      <c r="AE695" s="95" t="s">
        <v>7</v>
      </c>
      <c r="AF695" s="95" t="s">
        <v>7</v>
      </c>
      <c r="AG695" s="95" t="s">
        <v>7</v>
      </c>
      <c r="AH695" s="95" t="s">
        <v>7</v>
      </c>
      <c r="AI695" s="95" t="s">
        <v>7</v>
      </c>
      <c r="AJ695" s="96" t="s">
        <v>7</v>
      </c>
      <c r="AK695" s="97" t="s">
        <v>7</v>
      </c>
      <c r="AL695" s="95" t="s">
        <v>7</v>
      </c>
      <c r="AM695" s="90"/>
      <c r="AN695" s="90"/>
      <c r="AO695" s="90"/>
      <c r="AP695" s="90"/>
      <c r="AQ695" s="90"/>
      <c r="AR695" s="90"/>
      <c r="AS695" s="90"/>
      <c r="AT695" s="90"/>
      <c r="AU695" s="90"/>
      <c r="AV695" s="91"/>
      <c r="AX695" s="92"/>
    </row>
    <row r="696" customFormat="false" ht="15.65" hidden="false" customHeight="false" outlineLevel="0" collapsed="false">
      <c r="C696" s="72" t="n">
        <f aca="false">COUNTIFS($D$6:D696,"&lt;&gt;"&amp;"")</f>
        <v>691</v>
      </c>
      <c r="D696" s="73" t="s">
        <v>12</v>
      </c>
      <c r="E696" s="76" t="str">
        <f aca="false">
IF($D696="정상",INDEX(임대자산!$D$3:$R$3000,MATCH($F696,임대자산!$I$3:$I$3000,0),MATCH(E$3,임대자산!$D$3:$R$3,0)),
IF($D696="폐업",INDEX(폐업정보!$D$3:$R$3000,MATCH($F696,폐업정보!$I$3:$I$3000,0),MATCH(E$3,폐업정보!$D$3:$R$3,0)),
"Error"))</f>
        <v>강원</v>
      </c>
      <c r="F69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B0691</v>
      </c>
      <c r="G696" s="76" t="str">
        <f aca="false">F696&amp;RANDBETWEEN(0,10)</f>
        <v>B06918</v>
      </c>
      <c r="H696" s="75" t="n">
        <f aca="false">
IF($D696="정상",INDEX(임대자산!$D$3:$R$3000,MATCH($F696,임대자산!$I$3:$I$3000,0),MATCH(H$4,임대자산!$D$3:$R$3,0)),
IF($D696="폐업",INDEX(폐업정보!$D$3:$R$3000,MATCH($F696,폐업정보!$I$3:$I$3000,0),MATCH(H$4,폐업정보!$D$3:$R$3,0)),
"Error"))</f>
        <v>44622</v>
      </c>
      <c r="I696" s="75" t="str">
        <f aca="false">
IF($D696="정상",INDEX(임대자산!$D$3:$R$3000,MATCH($F696,임대자산!$I$3:$I$3000,0),MATCH(I$4,임대자산!$D$3:$R$3,0)),
IF($D696="폐업",INDEX(폐업정보!$D$3:$R$3000,MATCH($F696,폐업정보!$I$3:$I$3000,0),MATCH(I$4,폐업정보!$D$3:$R$3,0)),
"Error"))</f>
        <v>A0691</v>
      </c>
      <c r="J696" s="75" t="str">
        <f aca="false">
IF($D696="정상",INDEX(임대자산!$D$3:$R$3000,MATCH($F696,임대자산!$I$3:$I$3000,0),MATCH(J$4,임대자산!$D$3:$R$3,0)),
IF($D696="폐업",INDEX(폐업정보!$D$3:$R$3000,MATCH($F696,폐업정보!$I$3:$I$3000,0),MATCH(J$4,폐업정보!$D$3:$R$3,0)),
"Error"))</f>
        <v>8973200000</v>
      </c>
      <c r="K696" s="75" t="str">
        <f aca="false">
IF($D696="정상",INDEX(임대자산!$D$3:$R$3000,MATCH($F696,임대자산!$I$3:$I$3000,0),MATCH(K$4,임대자산!$D$3:$R$3,0)),
IF($D696="폐업",INDEX(폐업정보!$D$3:$R$3000,MATCH($F696,폐업정보!$I$3:$I$3000,0),MATCH(K$4,폐업정보!$D$3:$R$3,0)),
"Error"))</f>
        <v>C0691</v>
      </c>
      <c r="L696" s="75" t="str">
        <f aca="false">
IF($D696="정상",INDEX(임대자산!$D$3:$R$3000,MATCH($F696,임대자산!$I$3:$I$3000,0),MATCH(L$4,임대자산!$D$3:$R$3,0)),
IF($D696="폐업",INDEX(폐업정보!$D$3:$R$3000,MATCH($F696,폐업정보!$I$3:$I$3000,0),MATCH(L$4,폐업정보!$D$3:$R$3,0)),
"Error"))</f>
        <v>D0691</v>
      </c>
      <c r="M696" s="76" t="s">
        <v>96</v>
      </c>
      <c r="N696" s="77"/>
      <c r="O696" s="78" t="s">
        <v>97</v>
      </c>
      <c r="P696" s="79" t="n">
        <f aca="false">COUNTIFS(임대자산!$I:$I,가맹점정보!F696,임대자산!$N:$N,가맹점정보!P$4)</f>
        <v>0</v>
      </c>
      <c r="Q696" s="80" t="n">
        <f aca="false">COUNTIFS(임대자산!$I:$I,가맹점정보!F696,임대자산!$N:$N,가맹점정보!Q$4)</f>
        <v>1</v>
      </c>
      <c r="R696" s="81" t="n">
        <f aca="false">COUNTIFS(임대자산!$I:$I,가맹점정보!F696,임대자산!$N:$N,가맹점정보!R$4)</f>
        <v>0</v>
      </c>
      <c r="S696" s="82" t="n">
        <v>88000</v>
      </c>
      <c r="T696" s="83" t="n">
        <v>0</v>
      </c>
      <c r="U696" s="80" t="n">
        <f aca="false">SUM(S696:T696)</f>
        <v>88000</v>
      </c>
      <c r="V696" s="84" t="s">
        <v>7</v>
      </c>
      <c r="W696" s="80" t="str">
        <f aca="true">
IF(D696="폐업","폐업",
IF(V696="면제","면제",
IF(AND(V696="정상",COUNTIFS(OFFSET(Y696,0,COUNTA(Y696:AV696)-1,1,-4),"미납")&gt;=3),"장기미납",
IF(AND(V696="정상",OFFSET(Y696,0,COUNTA(Y696:AV696)-1)&gt;=U696),"정상",
IF(AND(V696="정상",OFFSET(Y696,0,COUNTA(Y696:AV696)-1)=0),"정상",
"계약서 미작성")))))</f>
        <v>면제</v>
      </c>
      <c r="X696" s="81" t="str">
        <f aca="true">
IF(D696="폐업","폐업",
IF(AND(V696="정상",OFFSET(Y696,0,COUNTA(Y696:AV696)-1)="미납"),"미납",
IF(AND(V696="정상",OFFSET(Y696,0,COUNTA(Y696:AV696)-1)=0),"납부 시작 전",
IF(AND(V696="정상",OFFSET(Y696,0,COUNTA(Y696:AV696)-1)&gt;=U696),"정상",
IF(AND(V696="면제",OFFSET(Y696,0,COUNTA(Y696:AV696)-1)="면제"),"면제",
IF(AND(V696="면제",OFFSET(Y696,0,COUNTA(Y696:AV696)-1)=0),"면제",
"확인요청"))))))</f>
        <v>면제</v>
      </c>
      <c r="Y696" s="94" t="s">
        <v>7</v>
      </c>
      <c r="Z696" s="95" t="s">
        <v>7</v>
      </c>
      <c r="AA696" s="95" t="s">
        <v>7</v>
      </c>
      <c r="AB696" s="95" t="s">
        <v>7</v>
      </c>
      <c r="AC696" s="95" t="s">
        <v>7</v>
      </c>
      <c r="AD696" s="95" t="s">
        <v>7</v>
      </c>
      <c r="AE696" s="95" t="s">
        <v>7</v>
      </c>
      <c r="AF696" s="95" t="s">
        <v>7</v>
      </c>
      <c r="AG696" s="95" t="s">
        <v>7</v>
      </c>
      <c r="AH696" s="95" t="s">
        <v>7</v>
      </c>
      <c r="AI696" s="95" t="s">
        <v>7</v>
      </c>
      <c r="AJ696" s="96" t="s">
        <v>7</v>
      </c>
      <c r="AK696" s="97" t="s">
        <v>7</v>
      </c>
      <c r="AL696" s="95" t="s">
        <v>7</v>
      </c>
      <c r="AM696" s="90"/>
      <c r="AN696" s="90"/>
      <c r="AO696" s="90"/>
      <c r="AP696" s="90"/>
      <c r="AQ696" s="90"/>
      <c r="AR696" s="90"/>
      <c r="AS696" s="90"/>
      <c r="AT696" s="90"/>
      <c r="AU696" s="90"/>
      <c r="AV696" s="91"/>
      <c r="AX696" s="92"/>
    </row>
    <row r="697" customFormat="false" ht="15.65" hidden="false" customHeight="false" outlineLevel="0" collapsed="false">
      <c r="C697" s="72" t="n">
        <f aca="false">COUNTIFS($D$6:D697,"&lt;&gt;"&amp;"")</f>
        <v>692</v>
      </c>
      <c r="D697" s="73" t="s">
        <v>12</v>
      </c>
      <c r="E697" s="76" t="str">
        <f aca="false">
IF($D697="정상",INDEX(임대자산!$D$3:$R$3000,MATCH($F697,임대자산!$I$3:$I$3000,0),MATCH(E$3,임대자산!$D$3:$R$3,0)),
IF($D697="폐업",INDEX(폐업정보!$D$3:$R$3000,MATCH($F697,폐업정보!$I$3:$I$3000,0),MATCH(E$3,폐업정보!$D$3:$R$3,0)),
"Error"))</f>
        <v>경기</v>
      </c>
      <c r="F69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B0692</v>
      </c>
      <c r="G697" s="76" t="str">
        <f aca="false">F697&amp;RANDBETWEEN(0,10)</f>
        <v>B06928</v>
      </c>
      <c r="H697" s="75" t="n">
        <f aca="false">
IF($D697="정상",INDEX(임대자산!$D$3:$R$3000,MATCH($F697,임대자산!$I$3:$I$3000,0),MATCH(H$4,임대자산!$D$3:$R$3,0)),
IF($D697="폐업",INDEX(폐업정보!$D$3:$R$3000,MATCH($F697,폐업정보!$I$3:$I$3000,0),MATCH(H$4,폐업정보!$D$3:$R$3,0)),
"Error"))</f>
        <v>43297</v>
      </c>
      <c r="I697" s="75" t="str">
        <f aca="false">
IF($D697="정상",INDEX(임대자산!$D$3:$R$3000,MATCH($F697,임대자산!$I$3:$I$3000,0),MATCH(I$4,임대자산!$D$3:$R$3,0)),
IF($D697="폐업",INDEX(폐업정보!$D$3:$R$3000,MATCH($F697,폐업정보!$I$3:$I$3000,0),MATCH(I$4,폐업정보!$D$3:$R$3,0)),
"Error"))</f>
        <v>A0692</v>
      </c>
      <c r="J697" s="75" t="str">
        <f aca="false">
IF($D697="정상",INDEX(임대자산!$D$3:$R$3000,MATCH($F697,임대자산!$I$3:$I$3000,0),MATCH(J$4,임대자산!$D$3:$R$3,0)),
IF($D697="폐업",INDEX(폐업정보!$D$3:$R$3000,MATCH($F697,폐업정보!$I$3:$I$3000,0),MATCH(J$4,폐업정보!$D$3:$R$3,0)),
"Error"))</f>
        <v>3296300000</v>
      </c>
      <c r="K697" s="75" t="str">
        <f aca="false">
IF($D697="정상",INDEX(임대자산!$D$3:$R$3000,MATCH($F697,임대자산!$I$3:$I$3000,0),MATCH(K$4,임대자산!$D$3:$R$3,0)),
IF($D697="폐업",INDEX(폐업정보!$D$3:$R$3000,MATCH($F697,폐업정보!$I$3:$I$3000,0),MATCH(K$4,폐업정보!$D$3:$R$3,0)),
"Error"))</f>
        <v>C0692</v>
      </c>
      <c r="L697" s="75" t="str">
        <f aca="false">
IF($D697="정상",INDEX(임대자산!$D$3:$R$3000,MATCH($F697,임대자산!$I$3:$I$3000,0),MATCH(L$4,임대자산!$D$3:$R$3,0)),
IF($D697="폐업",INDEX(폐업정보!$D$3:$R$3000,MATCH($F697,폐업정보!$I$3:$I$3000,0),MATCH(L$4,폐업정보!$D$3:$R$3,0)),
"Error"))</f>
        <v>D0692</v>
      </c>
      <c r="M697" s="76" t="s">
        <v>96</v>
      </c>
      <c r="N697" s="77"/>
      <c r="O697" s="78" t="s">
        <v>97</v>
      </c>
      <c r="P697" s="79" t="n">
        <f aca="false">COUNTIFS(임대자산!$I:$I,가맹점정보!F697,임대자산!$N:$N,가맹점정보!P$4)</f>
        <v>0</v>
      </c>
      <c r="Q697" s="80" t="n">
        <f aca="false">COUNTIFS(임대자산!$I:$I,가맹점정보!F697,임대자산!$N:$N,가맹점정보!Q$4)</f>
        <v>1</v>
      </c>
      <c r="R697" s="81" t="n">
        <f aca="false">COUNTIFS(임대자산!$I:$I,가맹점정보!F697,임대자산!$N:$N,가맹점정보!R$4)</f>
        <v>0</v>
      </c>
      <c r="S697" s="82" t="n">
        <v>55000</v>
      </c>
      <c r="T697" s="83" t="n">
        <v>0</v>
      </c>
      <c r="U697" s="80" t="n">
        <f aca="false">SUM(S697:T697)</f>
        <v>55000</v>
      </c>
      <c r="V697" s="84" t="s">
        <v>12</v>
      </c>
      <c r="W697" s="80" t="e">
        <f aca="true">
IF(D697="폐업","폐업",
IF(V697="면제","면제",
IF(AND(V697="정상",COUNTIFS(OFFSET(Y697,0,COUNTA(Y697:AV697)-1,1,-4),"미납")&gt;=3),"장기미납",
IF(AND(V697="정상",OFFSET(Y697,0,COUNTA(Y697:AV697)-1)&gt;=U697),"정상",
IF(AND(V697="정상",OFFSET(Y697,0,COUNTA(Y697:AV697)-1)=0),"정상",
"계약서 미작성")))))</f>
        <v>#VALUE!</v>
      </c>
      <c r="X697" s="81" t="str">
        <f aca="true">
IF(D697="폐업","폐업",
IF(AND(V697="정상",OFFSET(Y697,0,COUNTA(Y697:AV697)-1)="미납"),"미납",
IF(AND(V697="정상",OFFSET(Y697,0,COUNTA(Y697:AV697)-1)=0),"납부 시작 전",
IF(AND(V697="정상",OFFSET(Y697,0,COUNTA(Y697:AV697)-1)&gt;=U697),"정상",
IF(AND(V697="면제",OFFSET(Y697,0,COUNTA(Y697:AV697)-1)="면제"),"면제",
IF(AND(V697="면제",OFFSET(Y697,0,COUNTA(Y697:AV697)-1)=0),"면제",
"확인요청"))))))</f>
        <v>정상</v>
      </c>
      <c r="Y697" s="93" t="n">
        <v>0</v>
      </c>
      <c r="Z697" s="90" t="n">
        <v>0</v>
      </c>
      <c r="AA697" s="90" t="n">
        <v>55000</v>
      </c>
      <c r="AB697" s="90" t="n">
        <v>55000</v>
      </c>
      <c r="AC697" s="90" t="n">
        <v>55000</v>
      </c>
      <c r="AD697" s="90" t="n">
        <v>55000</v>
      </c>
      <c r="AE697" s="90" t="n">
        <v>55000</v>
      </c>
      <c r="AF697" s="90" t="n">
        <v>55000</v>
      </c>
      <c r="AG697" s="90" t="n">
        <v>55000</v>
      </c>
      <c r="AH697" s="90" t="n">
        <v>55000</v>
      </c>
      <c r="AI697" s="90" t="n">
        <v>55000</v>
      </c>
      <c r="AJ697" s="91" t="n">
        <v>55000</v>
      </c>
      <c r="AK697" s="97" t="s">
        <v>62</v>
      </c>
      <c r="AL697" s="90" t="n">
        <v>55000</v>
      </c>
      <c r="AM697" s="90"/>
      <c r="AN697" s="90"/>
      <c r="AO697" s="90"/>
      <c r="AP697" s="90"/>
      <c r="AQ697" s="90"/>
      <c r="AR697" s="90"/>
      <c r="AS697" s="90"/>
      <c r="AT697" s="90"/>
      <c r="AU697" s="90"/>
      <c r="AV697" s="91"/>
      <c r="AX697" s="92"/>
    </row>
    <row r="698" customFormat="false" ht="15.65" hidden="false" customHeight="false" outlineLevel="0" collapsed="false">
      <c r="C698" s="72" t="n">
        <f aca="false">COUNTIFS($D$6:D698,"&lt;&gt;"&amp;"")</f>
        <v>693</v>
      </c>
      <c r="D698" s="73" t="s">
        <v>12</v>
      </c>
      <c r="E698" s="76" t="str">
        <f aca="false">
IF($D698="정상",INDEX(임대자산!$D$3:$R$3000,MATCH($F698,임대자산!$I$3:$I$3000,0),MATCH(E$3,임대자산!$D$3:$R$3,0)),
IF($D698="폐업",INDEX(폐업정보!$D$3:$R$3000,MATCH($F698,폐업정보!$I$3:$I$3000,0),MATCH(E$3,폐업정보!$D$3:$R$3,0)),
"Error"))</f>
        <v>경기</v>
      </c>
      <c r="F69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B0693</v>
      </c>
      <c r="G698" s="76" t="str">
        <f aca="false">F698&amp;RANDBETWEEN(0,10)</f>
        <v>B06937</v>
      </c>
      <c r="H698" s="75" t="n">
        <f aca="false">
IF($D698="정상",INDEX(임대자산!$D$3:$R$3000,MATCH($F698,임대자산!$I$3:$I$3000,0),MATCH(H$4,임대자산!$D$3:$R$3,0)),
IF($D698="폐업",INDEX(폐업정보!$D$3:$R$3000,MATCH($F698,폐업정보!$I$3:$I$3000,0),MATCH(H$4,폐업정보!$D$3:$R$3,0)),
"Error"))</f>
        <v>44799</v>
      </c>
      <c r="I698" s="75" t="str">
        <f aca="false">
IF($D698="정상",INDEX(임대자산!$D$3:$R$3000,MATCH($F698,임대자산!$I$3:$I$3000,0),MATCH(I$4,임대자산!$D$3:$R$3,0)),
IF($D698="폐업",INDEX(폐업정보!$D$3:$R$3000,MATCH($F698,폐업정보!$I$3:$I$3000,0),MATCH(I$4,폐업정보!$D$3:$R$3,0)),
"Error"))</f>
        <v>A0693</v>
      </c>
      <c r="J698" s="75" t="str">
        <f aca="false">
IF($D698="정상",INDEX(임대자산!$D$3:$R$3000,MATCH($F698,임대자산!$I$3:$I$3000,0),MATCH(J$4,임대자산!$D$3:$R$3,0)),
IF($D698="폐업",INDEX(폐업정보!$D$3:$R$3000,MATCH($F698,폐업정보!$I$3:$I$3000,0),MATCH(J$4,폐업정보!$D$3:$R$3,0)),
"Error"))</f>
        <v>2058000000</v>
      </c>
      <c r="K698" s="75" t="str">
        <f aca="false">
IF($D698="정상",INDEX(임대자산!$D$3:$R$3000,MATCH($F698,임대자산!$I$3:$I$3000,0),MATCH(K$4,임대자산!$D$3:$R$3,0)),
IF($D698="폐업",INDEX(폐업정보!$D$3:$R$3000,MATCH($F698,폐업정보!$I$3:$I$3000,0),MATCH(K$4,폐업정보!$D$3:$R$3,0)),
"Error"))</f>
        <v>C0693</v>
      </c>
      <c r="L698" s="75" t="str">
        <f aca="false">
IF($D698="정상",INDEX(임대자산!$D$3:$R$3000,MATCH($F698,임대자산!$I$3:$I$3000,0),MATCH(L$4,임대자산!$D$3:$R$3,0)),
IF($D698="폐업",INDEX(폐업정보!$D$3:$R$3000,MATCH($F698,폐업정보!$I$3:$I$3000,0),MATCH(L$4,폐업정보!$D$3:$R$3,0)),
"Error"))</f>
        <v>D0693</v>
      </c>
      <c r="M698" s="76" t="s">
        <v>96</v>
      </c>
      <c r="N698" s="77"/>
      <c r="O698" s="78" t="s">
        <v>97</v>
      </c>
      <c r="P698" s="79" t="n">
        <f aca="false">COUNTIFS(임대자산!$I:$I,가맹점정보!F698,임대자산!$N:$N,가맹점정보!P$4)</f>
        <v>0</v>
      </c>
      <c r="Q698" s="80" t="n">
        <f aca="false">COUNTIFS(임대자산!$I:$I,가맹점정보!F698,임대자산!$N:$N,가맹점정보!Q$4)</f>
        <v>1</v>
      </c>
      <c r="R698" s="81" t="n">
        <f aca="false">COUNTIFS(임대자산!$I:$I,가맹점정보!F698,임대자산!$N:$N,가맹점정보!R$4)</f>
        <v>0</v>
      </c>
      <c r="S698" s="82" t="n">
        <v>55000</v>
      </c>
      <c r="T698" s="83" t="n">
        <v>0</v>
      </c>
      <c r="U698" s="80" t="n">
        <f aca="false">SUM(S698:T698)</f>
        <v>55000</v>
      </c>
      <c r="V698" s="84" t="s">
        <v>12</v>
      </c>
      <c r="W698" s="80" t="e">
        <f aca="true">
IF(D698="폐업","폐업",
IF(V698="면제","면제",
IF(AND(V698="정상",COUNTIFS(OFFSET(Y698,0,COUNTA(Y698:AV698)-1,1,-4),"미납")&gt;=3),"장기미납",
IF(AND(V698="정상",OFFSET(Y698,0,COUNTA(Y698:AV698)-1)&gt;=U698),"정상",
IF(AND(V698="정상",OFFSET(Y698,0,COUNTA(Y698:AV698)-1)=0),"정상",
"계약서 미작성")))))</f>
        <v>#VALUE!</v>
      </c>
      <c r="X698" s="81" t="str">
        <f aca="true">
IF(D698="폐업","폐업",
IF(AND(V698="정상",OFFSET(Y698,0,COUNTA(Y698:AV698)-1)="미납"),"미납",
IF(AND(V698="정상",OFFSET(Y698,0,COUNTA(Y698:AV698)-1)=0),"납부 시작 전",
IF(AND(V698="정상",OFFSET(Y698,0,COUNTA(Y698:AV698)-1)&gt;=U698),"정상",
IF(AND(V698="면제",OFFSET(Y698,0,COUNTA(Y698:AV698)-1)="면제"),"면제",
IF(AND(V698="면제",OFFSET(Y698,0,COUNTA(Y698:AV698)-1)=0),"면제",
"확인요청"))))))</f>
        <v>정상</v>
      </c>
      <c r="Y698" s="93" t="n">
        <v>55000</v>
      </c>
      <c r="Z698" s="90" t="n">
        <v>55000</v>
      </c>
      <c r="AA698" s="90" t="n">
        <v>55000</v>
      </c>
      <c r="AB698" s="90" t="n">
        <v>55000</v>
      </c>
      <c r="AC698" s="90" t="n">
        <v>55000</v>
      </c>
      <c r="AD698" s="90" t="n">
        <v>55000</v>
      </c>
      <c r="AE698" s="90" t="n">
        <v>55000</v>
      </c>
      <c r="AF698" s="90" t="n">
        <v>55000</v>
      </c>
      <c r="AG698" s="90" t="n">
        <v>55000</v>
      </c>
      <c r="AH698" s="90" t="n">
        <v>55000</v>
      </c>
      <c r="AI698" s="90" t="n">
        <v>55000</v>
      </c>
      <c r="AJ698" s="91" t="n">
        <v>55000</v>
      </c>
      <c r="AK698" s="89" t="n">
        <v>55000</v>
      </c>
      <c r="AL698" s="90" t="n">
        <v>55000</v>
      </c>
      <c r="AM698" s="90"/>
      <c r="AN698" s="90"/>
      <c r="AO698" s="90"/>
      <c r="AP698" s="90"/>
      <c r="AQ698" s="90"/>
      <c r="AR698" s="90"/>
      <c r="AS698" s="90"/>
      <c r="AT698" s="90"/>
      <c r="AU698" s="90"/>
      <c r="AV698" s="91"/>
      <c r="AX698" s="92"/>
    </row>
    <row r="699" customFormat="false" ht="15.65" hidden="false" customHeight="false" outlineLevel="0" collapsed="false">
      <c r="C699" s="72" t="n">
        <f aca="false">COUNTIFS($D$6:D699,"&lt;&gt;"&amp;"")</f>
        <v>694</v>
      </c>
      <c r="D699" s="73" t="s">
        <v>12</v>
      </c>
      <c r="E699" s="76" t="str">
        <f aca="false">
IF($D699="정상",INDEX(임대자산!$D$3:$R$3000,MATCH($F699,임대자산!$I$3:$I$3000,0),MATCH(E$3,임대자산!$D$3:$R$3,0)),
IF($D699="폐업",INDEX(폐업정보!$D$3:$R$3000,MATCH($F699,폐업정보!$I$3:$I$3000,0),MATCH(E$3,폐업정보!$D$3:$R$3,0)),
"Error"))</f>
        <v>강원</v>
      </c>
      <c r="F69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B0694</v>
      </c>
      <c r="G699" s="76" t="str">
        <f aca="false">F699&amp;RANDBETWEEN(0,10)</f>
        <v>B06947</v>
      </c>
      <c r="H699" s="75" t="n">
        <f aca="false">
IF($D699="정상",INDEX(임대자산!$D$3:$R$3000,MATCH($F699,임대자산!$I$3:$I$3000,0),MATCH(H$4,임대자산!$D$3:$R$3,0)),
IF($D699="폐업",INDEX(폐업정보!$D$3:$R$3000,MATCH($F699,폐업정보!$I$3:$I$3000,0),MATCH(H$4,폐업정보!$D$3:$R$3,0)),
"Error"))</f>
        <v>44637</v>
      </c>
      <c r="I699" s="75" t="str">
        <f aca="false">
IF($D699="정상",INDEX(임대자산!$D$3:$R$3000,MATCH($F699,임대자산!$I$3:$I$3000,0),MATCH(I$4,임대자산!$D$3:$R$3,0)),
IF($D699="폐업",INDEX(폐업정보!$D$3:$R$3000,MATCH($F699,폐업정보!$I$3:$I$3000,0),MATCH(I$4,폐업정보!$D$3:$R$3,0)),
"Error"))</f>
        <v>A0694</v>
      </c>
      <c r="J699" s="75" t="str">
        <f aca="false">
IF($D699="정상",INDEX(임대자산!$D$3:$R$3000,MATCH($F699,임대자산!$I$3:$I$3000,0),MATCH(J$4,임대자산!$D$3:$R$3,0)),
IF($D699="폐업",INDEX(폐업정보!$D$3:$R$3000,MATCH($F699,폐업정보!$I$3:$I$3000,0),MATCH(J$4,폐업정보!$D$3:$R$3,0)),
"Error"))</f>
        <v>1005000000</v>
      </c>
      <c r="K699" s="75" t="str">
        <f aca="false">
IF($D699="정상",INDEX(임대자산!$D$3:$R$3000,MATCH($F699,임대자산!$I$3:$I$3000,0),MATCH(K$4,임대자산!$D$3:$R$3,0)),
IF($D699="폐업",INDEX(폐업정보!$D$3:$R$3000,MATCH($F699,폐업정보!$I$3:$I$3000,0),MATCH(K$4,폐업정보!$D$3:$R$3,0)),
"Error"))</f>
        <v>C0694</v>
      </c>
      <c r="L699" s="75" t="str">
        <f aca="false">
IF($D699="정상",INDEX(임대자산!$D$3:$R$3000,MATCH($F699,임대자산!$I$3:$I$3000,0),MATCH(L$4,임대자산!$D$3:$R$3,0)),
IF($D699="폐업",INDEX(폐업정보!$D$3:$R$3000,MATCH($F699,폐업정보!$I$3:$I$3000,0),MATCH(L$4,폐업정보!$D$3:$R$3,0)),
"Error"))</f>
        <v>D0694</v>
      </c>
      <c r="M699" s="76" t="s">
        <v>96</v>
      </c>
      <c r="N699" s="77"/>
      <c r="O699" s="78" t="s">
        <v>97</v>
      </c>
      <c r="P699" s="79" t="n">
        <f aca="false">COUNTIFS(임대자산!$I:$I,가맹점정보!F699,임대자산!$N:$N,가맹점정보!P$4)</f>
        <v>0</v>
      </c>
      <c r="Q699" s="80" t="n">
        <f aca="false">COUNTIFS(임대자산!$I:$I,가맹점정보!F699,임대자산!$N:$N,가맹점정보!Q$4)</f>
        <v>1</v>
      </c>
      <c r="R699" s="81" t="n">
        <f aca="false">COUNTIFS(임대자산!$I:$I,가맹점정보!F699,임대자산!$N:$N,가맹점정보!R$4)</f>
        <v>0</v>
      </c>
      <c r="S699" s="82" t="n">
        <v>88000</v>
      </c>
      <c r="T699" s="83" t="n">
        <v>0</v>
      </c>
      <c r="U699" s="80" t="n">
        <f aca="false">SUM(S699:T699)</f>
        <v>88000</v>
      </c>
      <c r="V699" s="84" t="s">
        <v>12</v>
      </c>
      <c r="W699" s="80" t="e">
        <f aca="true">
IF(D699="폐업","폐업",
IF(V699="면제","면제",
IF(AND(V699="정상",COUNTIFS(OFFSET(Y699,0,COUNTA(Y699:AV699)-1,1,-4),"미납")&gt;=3),"장기미납",
IF(AND(V699="정상",OFFSET(Y699,0,COUNTA(Y699:AV699)-1)&gt;=U699),"정상",
IF(AND(V699="정상",OFFSET(Y699,0,COUNTA(Y699:AV699)-1)=0),"정상",
"계약서 미작성")))))</f>
        <v>#VALUE!</v>
      </c>
      <c r="X699" s="81" t="str">
        <f aca="true">
IF(D699="폐업","폐업",
IF(AND(V699="정상",OFFSET(Y699,0,COUNTA(Y699:AV699)-1)="미납"),"미납",
IF(AND(V699="정상",OFFSET(Y699,0,COUNTA(Y699:AV699)-1)=0),"납부 시작 전",
IF(AND(V699="정상",OFFSET(Y699,0,COUNTA(Y699:AV699)-1)&gt;=U699),"정상",
IF(AND(V699="면제",OFFSET(Y699,0,COUNTA(Y699:AV699)-1)="면제"),"면제",
IF(AND(V699="면제",OFFSET(Y699,0,COUNTA(Y699:AV699)-1)=0),"면제",
"확인요청"))))))</f>
        <v>정상</v>
      </c>
      <c r="Y699" s="93" t="n">
        <v>88000</v>
      </c>
      <c r="Z699" s="90" t="n">
        <v>88000</v>
      </c>
      <c r="AA699" s="90" t="n">
        <v>88000</v>
      </c>
      <c r="AB699" s="90" t="n">
        <v>88000</v>
      </c>
      <c r="AC699" s="90" t="n">
        <v>88000</v>
      </c>
      <c r="AD699" s="90" t="n">
        <v>88000</v>
      </c>
      <c r="AE699" s="90" t="n">
        <v>88000</v>
      </c>
      <c r="AF699" s="90" t="n">
        <v>88000</v>
      </c>
      <c r="AG699" s="90" t="n">
        <v>88000</v>
      </c>
      <c r="AH699" s="90" t="n">
        <v>88000</v>
      </c>
      <c r="AI699" s="90" t="n">
        <v>88000</v>
      </c>
      <c r="AJ699" s="91" t="n">
        <v>88000</v>
      </c>
      <c r="AK699" s="89" t="n">
        <v>88000</v>
      </c>
      <c r="AL699" s="90" t="n">
        <v>88000</v>
      </c>
      <c r="AM699" s="90"/>
      <c r="AN699" s="90"/>
      <c r="AO699" s="90"/>
      <c r="AP699" s="90"/>
      <c r="AQ699" s="90"/>
      <c r="AR699" s="90"/>
      <c r="AS699" s="90"/>
      <c r="AT699" s="90"/>
      <c r="AU699" s="90"/>
      <c r="AV699" s="91"/>
      <c r="AX699" s="92"/>
    </row>
    <row r="700" customFormat="false" ht="15.65" hidden="false" customHeight="false" outlineLevel="0" collapsed="false">
      <c r="C700" s="72" t="n">
        <f aca="false">COUNTIFS($D$6:D700,"&lt;&gt;"&amp;"")</f>
        <v>695</v>
      </c>
      <c r="D700" s="73" t="s">
        <v>12</v>
      </c>
      <c r="E700" s="76" t="str">
        <f aca="false">
IF($D700="정상",INDEX(임대자산!$D$3:$R$3000,MATCH($F700,임대자산!$I$3:$I$3000,0),MATCH(E$3,임대자산!$D$3:$R$3,0)),
IF($D700="폐업",INDEX(폐업정보!$D$3:$R$3000,MATCH($F700,폐업정보!$I$3:$I$3000,0),MATCH(E$3,폐업정보!$D$3:$R$3,0)),
"Error"))</f>
        <v>경상</v>
      </c>
      <c r="F70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B0695</v>
      </c>
      <c r="G700" s="76" t="str">
        <f aca="false">F700&amp;RANDBETWEEN(0,10)</f>
        <v>B06955</v>
      </c>
      <c r="H700" s="75" t="n">
        <f aca="false">
IF($D700="정상",INDEX(임대자산!$D$3:$R$3000,MATCH($F700,임대자산!$I$3:$I$3000,0),MATCH(H$4,임대자산!$D$3:$R$3,0)),
IF($D700="폐업",INDEX(폐업정보!$D$3:$R$3000,MATCH($F700,폐업정보!$I$3:$I$3000,0),MATCH(H$4,폐업정보!$D$3:$R$3,0)),
"Error"))</f>
        <v>44644</v>
      </c>
      <c r="I700" s="75" t="str">
        <f aca="false">
IF($D700="정상",INDEX(임대자산!$D$3:$R$3000,MATCH($F700,임대자산!$I$3:$I$3000,0),MATCH(I$4,임대자산!$D$3:$R$3,0)),
IF($D700="폐업",INDEX(폐업정보!$D$3:$R$3000,MATCH($F700,폐업정보!$I$3:$I$3000,0),MATCH(I$4,폐업정보!$D$3:$R$3,0)),
"Error"))</f>
        <v>A0695</v>
      </c>
      <c r="J700" s="75" t="str">
        <f aca="false">
IF($D700="정상",INDEX(임대자산!$D$3:$R$3000,MATCH($F700,임대자산!$I$3:$I$3000,0),MATCH(J$4,임대자산!$D$3:$R$3,0)),
IF($D700="폐업",INDEX(폐업정보!$D$3:$R$3000,MATCH($F700,폐업정보!$I$3:$I$3000,0),MATCH(J$4,폐업정보!$D$3:$R$3,0)),
"Error"))</f>
        <v>5129300000</v>
      </c>
      <c r="K700" s="75" t="str">
        <f aca="false">
IF($D700="정상",INDEX(임대자산!$D$3:$R$3000,MATCH($F700,임대자산!$I$3:$I$3000,0),MATCH(K$4,임대자산!$D$3:$R$3,0)),
IF($D700="폐업",INDEX(폐업정보!$D$3:$R$3000,MATCH($F700,폐업정보!$I$3:$I$3000,0),MATCH(K$4,폐업정보!$D$3:$R$3,0)),
"Error"))</f>
        <v>C0695</v>
      </c>
      <c r="L700" s="75" t="str">
        <f aca="false">
IF($D700="정상",INDEX(임대자산!$D$3:$R$3000,MATCH($F700,임대자산!$I$3:$I$3000,0),MATCH(L$4,임대자산!$D$3:$R$3,0)),
IF($D700="폐업",INDEX(폐업정보!$D$3:$R$3000,MATCH($F700,폐업정보!$I$3:$I$3000,0),MATCH(L$4,폐업정보!$D$3:$R$3,0)),
"Error"))</f>
        <v>D0695</v>
      </c>
      <c r="M700" s="76" t="s">
        <v>96</v>
      </c>
      <c r="N700" s="77"/>
      <c r="O700" s="78" t="s">
        <v>97</v>
      </c>
      <c r="P700" s="79" t="n">
        <f aca="false">COUNTIFS(임대자산!$I:$I,가맹점정보!F700,임대자산!$N:$N,가맹점정보!P$4)</f>
        <v>0</v>
      </c>
      <c r="Q700" s="80" t="n">
        <f aca="false">COUNTIFS(임대자산!$I:$I,가맹점정보!F700,임대자산!$N:$N,가맹점정보!Q$4)</f>
        <v>1</v>
      </c>
      <c r="R700" s="81" t="n">
        <f aca="false">COUNTIFS(임대자산!$I:$I,가맹점정보!F700,임대자산!$N:$N,가맹점정보!R$4)</f>
        <v>0</v>
      </c>
      <c r="S700" s="82" t="n">
        <v>55000</v>
      </c>
      <c r="T700" s="83" t="n">
        <v>0</v>
      </c>
      <c r="U700" s="80" t="n">
        <f aca="false">SUM(S700:T700)</f>
        <v>55000</v>
      </c>
      <c r="V700" s="84" t="s">
        <v>12</v>
      </c>
      <c r="W700" s="80" t="e">
        <f aca="true">
IF(D700="폐업","폐업",
IF(V700="면제","면제",
IF(AND(V700="정상",COUNTIFS(OFFSET(Y700,0,COUNTA(Y700:AV700)-1,1,-4),"미납")&gt;=3),"장기미납",
IF(AND(V700="정상",OFFSET(Y700,0,COUNTA(Y700:AV700)-1)&gt;=U700),"정상",
IF(AND(V700="정상",OFFSET(Y700,0,COUNTA(Y700:AV700)-1)=0),"정상",
"계약서 미작성")))))</f>
        <v>#VALUE!</v>
      </c>
      <c r="X700" s="81" t="str">
        <f aca="true">
IF(D700="폐업","폐업",
IF(AND(V700="정상",OFFSET(Y700,0,COUNTA(Y700:AV700)-1)="미납"),"미납",
IF(AND(V700="정상",OFFSET(Y700,0,COUNTA(Y700:AV700)-1)=0),"납부 시작 전",
IF(AND(V700="정상",OFFSET(Y700,0,COUNTA(Y700:AV700)-1)&gt;=U700),"정상",
IF(AND(V700="면제",OFFSET(Y700,0,COUNTA(Y700:AV700)-1)="면제"),"면제",
IF(AND(V700="면제",OFFSET(Y700,0,COUNTA(Y700:AV700)-1)=0),"면제",
"확인요청"))))))</f>
        <v>정상</v>
      </c>
      <c r="Y700" s="93" t="n">
        <v>55000</v>
      </c>
      <c r="Z700" s="90" t="n">
        <v>55000</v>
      </c>
      <c r="AA700" s="90" t="n">
        <v>55000</v>
      </c>
      <c r="AB700" s="90" t="n">
        <v>55000</v>
      </c>
      <c r="AC700" s="90" t="n">
        <v>55000</v>
      </c>
      <c r="AD700" s="90" t="n">
        <v>55000</v>
      </c>
      <c r="AE700" s="90" t="n">
        <v>55000</v>
      </c>
      <c r="AF700" s="90" t="n">
        <v>55000</v>
      </c>
      <c r="AG700" s="90" t="n">
        <v>55000</v>
      </c>
      <c r="AH700" s="90" t="n">
        <v>55000</v>
      </c>
      <c r="AI700" s="90" t="n">
        <v>55000</v>
      </c>
      <c r="AJ700" s="91" t="n">
        <v>55000</v>
      </c>
      <c r="AK700" s="89" t="n">
        <v>55000</v>
      </c>
      <c r="AL700" s="90" t="n">
        <v>55000</v>
      </c>
      <c r="AM700" s="90"/>
      <c r="AN700" s="90"/>
      <c r="AO700" s="90"/>
      <c r="AP700" s="90"/>
      <c r="AQ700" s="90"/>
      <c r="AR700" s="90"/>
      <c r="AS700" s="90"/>
      <c r="AT700" s="90"/>
      <c r="AU700" s="90"/>
      <c r="AV700" s="91"/>
      <c r="AX700" s="92"/>
    </row>
    <row r="701" customFormat="false" ht="15.65" hidden="false" customHeight="false" outlineLevel="0" collapsed="false">
      <c r="C701" s="72" t="n">
        <f aca="false">COUNTIFS($D$6:D701,"&lt;&gt;"&amp;"")</f>
        <v>696</v>
      </c>
      <c r="D701" s="73" t="s">
        <v>12</v>
      </c>
      <c r="E701" s="76" t="str">
        <f aca="false">
IF($D701="정상",INDEX(임대자산!$D$3:$R$3000,MATCH($F701,임대자산!$I$3:$I$3000,0),MATCH(E$3,임대자산!$D$3:$R$3,0)),
IF($D701="폐업",INDEX(폐업정보!$D$3:$R$3000,MATCH($F701,폐업정보!$I$3:$I$3000,0),MATCH(E$3,폐업정보!$D$3:$R$3,0)),
"Error"))</f>
        <v>서울</v>
      </c>
      <c r="F70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B0696</v>
      </c>
      <c r="G701" s="76" t="str">
        <f aca="false">F701&amp;RANDBETWEEN(0,10)</f>
        <v>B069610</v>
      </c>
      <c r="H701" s="75" t="n">
        <f aca="false">
IF($D701="정상",INDEX(임대자산!$D$3:$R$3000,MATCH($F701,임대자산!$I$3:$I$3000,0),MATCH(H$4,임대자산!$D$3:$R$3,0)),
IF($D701="폐업",INDEX(폐업정보!$D$3:$R$3000,MATCH($F701,폐업정보!$I$3:$I$3000,0),MATCH(H$4,폐업정보!$D$3:$R$3,0)),
"Error"))</f>
        <v>44692</v>
      </c>
      <c r="I701" s="75" t="str">
        <f aca="false">
IF($D701="정상",INDEX(임대자산!$D$3:$R$3000,MATCH($F701,임대자산!$I$3:$I$3000,0),MATCH(I$4,임대자산!$D$3:$R$3,0)),
IF($D701="폐업",INDEX(폐업정보!$D$3:$R$3000,MATCH($F701,폐업정보!$I$3:$I$3000,0),MATCH(I$4,폐업정보!$D$3:$R$3,0)),
"Error"))</f>
        <v>A0696</v>
      </c>
      <c r="J701" s="75" t="str">
        <f aca="false">
IF($D701="정상",INDEX(임대자산!$D$3:$R$3000,MATCH($F701,임대자산!$I$3:$I$3000,0),MATCH(J$4,임대자산!$D$3:$R$3,0)),
IF($D701="폐업",INDEX(폐업정보!$D$3:$R$3000,MATCH($F701,폐업정보!$I$3:$I$3000,0),MATCH(J$4,폐업정보!$D$3:$R$3,0)),
"Error"))</f>
        <v>8028700000</v>
      </c>
      <c r="K701" s="75" t="str">
        <f aca="false">
IF($D701="정상",INDEX(임대자산!$D$3:$R$3000,MATCH($F701,임대자산!$I$3:$I$3000,0),MATCH(K$4,임대자산!$D$3:$R$3,0)),
IF($D701="폐업",INDEX(폐업정보!$D$3:$R$3000,MATCH($F701,폐업정보!$I$3:$I$3000,0),MATCH(K$4,폐업정보!$D$3:$R$3,0)),
"Error"))</f>
        <v>C0696</v>
      </c>
      <c r="L701" s="75" t="str">
        <f aca="false">
IF($D701="정상",INDEX(임대자산!$D$3:$R$3000,MATCH($F701,임대자산!$I$3:$I$3000,0),MATCH(L$4,임대자산!$D$3:$R$3,0)),
IF($D701="폐업",INDEX(폐업정보!$D$3:$R$3000,MATCH($F701,폐업정보!$I$3:$I$3000,0),MATCH(L$4,폐업정보!$D$3:$R$3,0)),
"Error"))</f>
        <v>D0696</v>
      </c>
      <c r="M701" s="76" t="s">
        <v>96</v>
      </c>
      <c r="N701" s="77"/>
      <c r="O701" s="78" t="s">
        <v>97</v>
      </c>
      <c r="P701" s="79" t="n">
        <f aca="false">COUNTIFS(임대자산!$I:$I,가맹점정보!F701,임대자산!$N:$N,가맹점정보!P$4)</f>
        <v>0</v>
      </c>
      <c r="Q701" s="80" t="n">
        <f aca="false">COUNTIFS(임대자산!$I:$I,가맹점정보!F701,임대자산!$N:$N,가맹점정보!Q$4)</f>
        <v>1</v>
      </c>
      <c r="R701" s="81" t="n">
        <f aca="false">COUNTIFS(임대자산!$I:$I,가맹점정보!F701,임대자산!$N:$N,가맹점정보!R$4)</f>
        <v>0</v>
      </c>
      <c r="S701" s="82" t="n">
        <v>55000</v>
      </c>
      <c r="T701" s="83" t="n">
        <v>0</v>
      </c>
      <c r="U701" s="80" t="n">
        <f aca="false">SUM(S701:T701)</f>
        <v>55000</v>
      </c>
      <c r="V701" s="84" t="s">
        <v>12</v>
      </c>
      <c r="W701" s="80" t="e">
        <f aca="true">
IF(D701="폐업","폐업",
IF(V701="면제","면제",
IF(AND(V701="정상",COUNTIFS(OFFSET(Y701,0,COUNTA(Y701:AV701)-1,1,-4),"미납")&gt;=3),"장기미납",
IF(AND(V701="정상",OFFSET(Y701,0,COUNTA(Y701:AV701)-1)&gt;=U701),"정상",
IF(AND(V701="정상",OFFSET(Y701,0,COUNTA(Y701:AV701)-1)=0),"정상",
"계약서 미작성")))))</f>
        <v>#VALUE!</v>
      </c>
      <c r="X701" s="81" t="str">
        <f aca="true">
IF(D701="폐업","폐업",
IF(AND(V701="정상",OFFSET(Y701,0,COUNTA(Y701:AV701)-1)="미납"),"미납",
IF(AND(V701="정상",OFFSET(Y701,0,COUNTA(Y701:AV701)-1)=0),"납부 시작 전",
IF(AND(V701="정상",OFFSET(Y701,0,COUNTA(Y701:AV701)-1)&gt;=U701),"정상",
IF(AND(V701="면제",OFFSET(Y701,0,COUNTA(Y701:AV701)-1)="면제"),"면제",
IF(AND(V701="면제",OFFSET(Y701,0,COUNTA(Y701:AV701)-1)=0),"면제",
"확인요청"))))))</f>
        <v>정상</v>
      </c>
      <c r="Y701" s="93" t="n">
        <v>55000</v>
      </c>
      <c r="Z701" s="90" t="n">
        <v>55000</v>
      </c>
      <c r="AA701" s="90" t="n">
        <v>55000</v>
      </c>
      <c r="AB701" s="90" t="n">
        <v>55000</v>
      </c>
      <c r="AC701" s="90" t="n">
        <v>55000</v>
      </c>
      <c r="AD701" s="90" t="n">
        <v>55000</v>
      </c>
      <c r="AE701" s="90" t="n">
        <v>55000</v>
      </c>
      <c r="AF701" s="90" t="n">
        <v>55000</v>
      </c>
      <c r="AG701" s="90" t="n">
        <v>55000</v>
      </c>
      <c r="AH701" s="90" t="n">
        <v>55000</v>
      </c>
      <c r="AI701" s="90" t="n">
        <v>55000</v>
      </c>
      <c r="AJ701" s="91" t="n">
        <v>55000</v>
      </c>
      <c r="AK701" s="89" t="n">
        <v>55000</v>
      </c>
      <c r="AL701" s="90" t="n">
        <v>55000</v>
      </c>
      <c r="AM701" s="90"/>
      <c r="AN701" s="90"/>
      <c r="AO701" s="90"/>
      <c r="AP701" s="90"/>
      <c r="AQ701" s="90"/>
      <c r="AR701" s="90"/>
      <c r="AS701" s="90"/>
      <c r="AT701" s="90"/>
      <c r="AU701" s="90"/>
      <c r="AV701" s="91"/>
      <c r="AX701" s="92"/>
    </row>
    <row r="702" customFormat="false" ht="15.65" hidden="false" customHeight="false" outlineLevel="0" collapsed="false">
      <c r="C702" s="72" t="n">
        <f aca="false">COUNTIFS($D$6:D702,"&lt;&gt;"&amp;"")</f>
        <v>697</v>
      </c>
      <c r="D702" s="73" t="s">
        <v>12</v>
      </c>
      <c r="E702" s="76" t="str">
        <f aca="false">
IF($D702="정상",INDEX(임대자산!$D$3:$R$3000,MATCH($F702,임대자산!$I$3:$I$3000,0),MATCH(E$3,임대자산!$D$3:$R$3,0)),
IF($D702="폐업",INDEX(폐업정보!$D$3:$R$3000,MATCH($F702,폐업정보!$I$3:$I$3000,0),MATCH(E$3,폐업정보!$D$3:$R$3,0)),
"Error"))</f>
        <v>강원</v>
      </c>
      <c r="F70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B0697</v>
      </c>
      <c r="G702" s="76" t="str">
        <f aca="false">F702&amp;RANDBETWEEN(0,10)</f>
        <v>B06970</v>
      </c>
      <c r="H702" s="75" t="n">
        <f aca="false">
IF($D702="정상",INDEX(임대자산!$D$3:$R$3000,MATCH($F702,임대자산!$I$3:$I$3000,0),MATCH(H$4,임대자산!$D$3:$R$3,0)),
IF($D702="폐업",INDEX(폐업정보!$D$3:$R$3000,MATCH($F702,폐업정보!$I$3:$I$3000,0),MATCH(H$4,폐업정보!$D$3:$R$3,0)),
"Error"))</f>
        <v>44715</v>
      </c>
      <c r="I702" s="75" t="str">
        <f aca="false">
IF($D702="정상",INDEX(임대자산!$D$3:$R$3000,MATCH($F702,임대자산!$I$3:$I$3000,0),MATCH(I$4,임대자산!$D$3:$R$3,0)),
IF($D702="폐업",INDEX(폐업정보!$D$3:$R$3000,MATCH($F702,폐업정보!$I$3:$I$3000,0),MATCH(I$4,폐업정보!$D$3:$R$3,0)),
"Error"))</f>
        <v>A0697</v>
      </c>
      <c r="J702" s="75" t="str">
        <f aca="false">
IF($D702="정상",INDEX(임대자산!$D$3:$R$3000,MATCH($F702,임대자산!$I$3:$I$3000,0),MATCH(J$4,임대자산!$D$3:$R$3,0)),
IF($D702="폐업",INDEX(폐업정보!$D$3:$R$3000,MATCH($F702,폐업정보!$I$3:$I$3000,0),MATCH(J$4,폐업정보!$D$3:$R$3,0)),
"Error"))</f>
        <v>3930500000</v>
      </c>
      <c r="K702" s="75" t="str">
        <f aca="false">
IF($D702="정상",INDEX(임대자산!$D$3:$R$3000,MATCH($F702,임대자산!$I$3:$I$3000,0),MATCH(K$4,임대자산!$D$3:$R$3,0)),
IF($D702="폐업",INDEX(폐업정보!$D$3:$R$3000,MATCH($F702,폐업정보!$I$3:$I$3000,0),MATCH(K$4,폐업정보!$D$3:$R$3,0)),
"Error"))</f>
        <v>C0697</v>
      </c>
      <c r="L702" s="75" t="str">
        <f aca="false">
IF($D702="정상",INDEX(임대자산!$D$3:$R$3000,MATCH($F702,임대자산!$I$3:$I$3000,0),MATCH(L$4,임대자산!$D$3:$R$3,0)),
IF($D702="폐업",INDEX(폐업정보!$D$3:$R$3000,MATCH($F702,폐업정보!$I$3:$I$3000,0),MATCH(L$4,폐업정보!$D$3:$R$3,0)),
"Error"))</f>
        <v>D0697</v>
      </c>
      <c r="M702" s="76" t="s">
        <v>96</v>
      </c>
      <c r="N702" s="77"/>
      <c r="O702" s="78" t="s">
        <v>97</v>
      </c>
      <c r="P702" s="79" t="n">
        <f aca="false">COUNTIFS(임대자산!$I:$I,가맹점정보!F702,임대자산!$N:$N,가맹점정보!P$4)</f>
        <v>0</v>
      </c>
      <c r="Q702" s="80" t="n">
        <f aca="false">COUNTIFS(임대자산!$I:$I,가맹점정보!F702,임대자산!$N:$N,가맹점정보!Q$4)</f>
        <v>1</v>
      </c>
      <c r="R702" s="81" t="n">
        <f aca="false">COUNTIFS(임대자산!$I:$I,가맹점정보!F702,임대자산!$N:$N,가맹점정보!R$4)</f>
        <v>0</v>
      </c>
      <c r="S702" s="82" t="n">
        <v>55000</v>
      </c>
      <c r="T702" s="83" t="n">
        <v>0</v>
      </c>
      <c r="U702" s="80" t="n">
        <f aca="false">SUM(S702:T702)</f>
        <v>55000</v>
      </c>
      <c r="V702" s="84" t="s">
        <v>12</v>
      </c>
      <c r="W702" s="80" t="e">
        <f aca="true">
IF(D702="폐업","폐업",
IF(V702="면제","면제",
IF(AND(V702="정상",COUNTIFS(OFFSET(Y702,0,COUNTA(Y702:AV702)-1,1,-4),"미납")&gt;=3),"장기미납",
IF(AND(V702="정상",OFFSET(Y702,0,COUNTA(Y702:AV702)-1)&gt;=U702),"정상",
IF(AND(V702="정상",OFFSET(Y702,0,COUNTA(Y702:AV702)-1)=0),"정상",
"계약서 미작성")))))</f>
        <v>#VALUE!</v>
      </c>
      <c r="X702" s="81" t="str">
        <f aca="true">
IF(D702="폐업","폐업",
IF(AND(V702="정상",OFFSET(Y702,0,COUNTA(Y702:AV702)-1)="미납"),"미납",
IF(AND(V702="정상",OFFSET(Y702,0,COUNTA(Y702:AV702)-1)=0),"납부 시작 전",
IF(AND(V702="정상",OFFSET(Y702,0,COUNTA(Y702:AV702)-1)&gt;=U702),"정상",
IF(AND(V702="면제",OFFSET(Y702,0,COUNTA(Y702:AV702)-1)="면제"),"면제",
IF(AND(V702="면제",OFFSET(Y702,0,COUNTA(Y702:AV702)-1)=0),"면제",
"확인요청"))))))</f>
        <v>정상</v>
      </c>
      <c r="Y702" s="93" t="n">
        <v>55000</v>
      </c>
      <c r="Z702" s="90" t="n">
        <v>55000</v>
      </c>
      <c r="AA702" s="90" t="n">
        <v>55000</v>
      </c>
      <c r="AB702" s="90" t="n">
        <v>55000</v>
      </c>
      <c r="AC702" s="90" t="n">
        <v>55000</v>
      </c>
      <c r="AD702" s="90" t="n">
        <v>55000</v>
      </c>
      <c r="AE702" s="90" t="n">
        <v>55000</v>
      </c>
      <c r="AF702" s="90" t="n">
        <v>55000</v>
      </c>
      <c r="AG702" s="90" t="n">
        <v>55000</v>
      </c>
      <c r="AH702" s="90" t="n">
        <v>55000</v>
      </c>
      <c r="AI702" s="90" t="n">
        <v>55000</v>
      </c>
      <c r="AJ702" s="91" t="n">
        <v>55000</v>
      </c>
      <c r="AK702" s="89" t="n">
        <v>55000</v>
      </c>
      <c r="AL702" s="90" t="n">
        <v>55000</v>
      </c>
      <c r="AM702" s="90"/>
      <c r="AN702" s="90"/>
      <c r="AO702" s="90"/>
      <c r="AP702" s="90"/>
      <c r="AQ702" s="90"/>
      <c r="AR702" s="90"/>
      <c r="AS702" s="90"/>
      <c r="AT702" s="90"/>
      <c r="AU702" s="90"/>
      <c r="AV702" s="91"/>
      <c r="AX702" s="92"/>
    </row>
    <row r="703" customFormat="false" ht="15.65" hidden="false" customHeight="false" outlineLevel="0" collapsed="false">
      <c r="C703" s="72" t="n">
        <f aca="false">COUNTIFS($D$6:D703,"&lt;&gt;"&amp;"")</f>
        <v>698</v>
      </c>
      <c r="D703" s="73" t="s">
        <v>12</v>
      </c>
      <c r="E703" s="76" t="str">
        <f aca="false">
IF($D703="정상",INDEX(임대자산!$D$3:$R$3000,MATCH($F703,임대자산!$I$3:$I$3000,0),MATCH(E$3,임대자산!$D$3:$R$3,0)),
IF($D703="폐업",INDEX(폐업정보!$D$3:$R$3000,MATCH($F703,폐업정보!$I$3:$I$3000,0),MATCH(E$3,폐업정보!$D$3:$R$3,0)),
"Error"))</f>
        <v>서울</v>
      </c>
      <c r="F70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B0698</v>
      </c>
      <c r="G703" s="76" t="str">
        <f aca="false">F703&amp;RANDBETWEEN(0,10)</f>
        <v>B06986</v>
      </c>
      <c r="H703" s="75" t="n">
        <f aca="false">
IF($D703="정상",INDEX(임대자산!$D$3:$R$3000,MATCH($F703,임대자산!$I$3:$I$3000,0),MATCH(H$4,임대자산!$D$3:$R$3,0)),
IF($D703="폐업",INDEX(폐업정보!$D$3:$R$3000,MATCH($F703,폐업정보!$I$3:$I$3000,0),MATCH(H$4,폐업정보!$D$3:$R$3,0)),
"Error"))</f>
        <v>45996</v>
      </c>
      <c r="I703" s="75" t="str">
        <f aca="false">
IF($D703="정상",INDEX(임대자산!$D$3:$R$3000,MATCH($F703,임대자산!$I$3:$I$3000,0),MATCH(I$4,임대자산!$D$3:$R$3,0)),
IF($D703="폐업",INDEX(폐업정보!$D$3:$R$3000,MATCH($F703,폐업정보!$I$3:$I$3000,0),MATCH(I$4,폐업정보!$D$3:$R$3,0)),
"Error"))</f>
        <v>A0698</v>
      </c>
      <c r="J703" s="75" t="str">
        <f aca="false">
IF($D703="정상",INDEX(임대자산!$D$3:$R$3000,MATCH($F703,임대자산!$I$3:$I$3000,0),MATCH(J$4,임대자산!$D$3:$R$3,0)),
IF($D703="폐업",INDEX(폐업정보!$D$3:$R$3000,MATCH($F703,폐업정보!$I$3:$I$3000,0),MATCH(J$4,폐업정보!$D$3:$R$3,0)),
"Error"))</f>
        <v>1942400000</v>
      </c>
      <c r="K703" s="75" t="str">
        <f aca="false">
IF($D703="정상",INDEX(임대자산!$D$3:$R$3000,MATCH($F703,임대자산!$I$3:$I$3000,0),MATCH(K$4,임대자산!$D$3:$R$3,0)),
IF($D703="폐업",INDEX(폐업정보!$D$3:$R$3000,MATCH($F703,폐업정보!$I$3:$I$3000,0),MATCH(K$4,폐업정보!$D$3:$R$3,0)),
"Error"))</f>
        <v>C0698</v>
      </c>
      <c r="L703" s="75" t="str">
        <f aca="false">
IF($D703="정상",INDEX(임대자산!$D$3:$R$3000,MATCH($F703,임대자산!$I$3:$I$3000,0),MATCH(L$4,임대자산!$D$3:$R$3,0)),
IF($D703="폐업",INDEX(폐업정보!$D$3:$R$3000,MATCH($F703,폐업정보!$I$3:$I$3000,0),MATCH(L$4,폐업정보!$D$3:$R$3,0)),
"Error"))</f>
        <v>D0698</v>
      </c>
      <c r="M703" s="76" t="s">
        <v>96</v>
      </c>
      <c r="N703" s="77"/>
      <c r="O703" s="78" t="s">
        <v>97</v>
      </c>
      <c r="P703" s="79" t="n">
        <f aca="false">COUNTIFS(임대자산!$I:$I,가맹점정보!F703,임대자산!$N:$N,가맹점정보!P$4)</f>
        <v>0</v>
      </c>
      <c r="Q703" s="80" t="n">
        <f aca="false">COUNTIFS(임대자산!$I:$I,가맹점정보!F703,임대자산!$N:$N,가맹점정보!Q$4)</f>
        <v>1</v>
      </c>
      <c r="R703" s="81" t="n">
        <f aca="false">COUNTIFS(임대자산!$I:$I,가맹점정보!F703,임대자산!$N:$N,가맹점정보!R$4)</f>
        <v>0</v>
      </c>
      <c r="S703" s="82" t="n">
        <v>55000</v>
      </c>
      <c r="T703" s="83" t="n">
        <v>0</v>
      </c>
      <c r="U703" s="80" t="n">
        <f aca="false">SUM(S703:T703)</f>
        <v>55000</v>
      </c>
      <c r="V703" s="84" t="s">
        <v>12</v>
      </c>
      <c r="W703" s="80" t="e">
        <f aca="true">
IF(D703="폐업","폐업",
IF(V703="면제","면제",
IF(AND(V703="정상",COUNTIFS(OFFSET(Y703,0,COUNTA(Y703:AV703)-1,1,-4),"미납")&gt;=3),"장기미납",
IF(AND(V703="정상",OFFSET(Y703,0,COUNTA(Y703:AV703)-1)&gt;=U703),"정상",
IF(AND(V703="정상",OFFSET(Y703,0,COUNTA(Y703:AV703)-1)=0),"정상",
"계약서 미작성")))))</f>
        <v>#VALUE!</v>
      </c>
      <c r="X703" s="81" t="str">
        <f aca="true">
IF(D703="폐업","폐업",
IF(AND(V703="정상",OFFSET(Y703,0,COUNTA(Y703:AV703)-1)="미납"),"미납",
IF(AND(V703="정상",OFFSET(Y703,0,COUNTA(Y703:AV703)-1)=0),"납부 시작 전",
IF(AND(V703="정상",OFFSET(Y703,0,COUNTA(Y703:AV703)-1)&gt;=U703),"정상",
IF(AND(V703="면제",OFFSET(Y703,0,COUNTA(Y703:AV703)-1)="면제"),"면제",
IF(AND(V703="면제",OFFSET(Y703,0,COUNTA(Y703:AV703)-1)=0),"면제",
"확인요청"))))))</f>
        <v>정상</v>
      </c>
      <c r="Y703" s="93" t="n">
        <v>55000</v>
      </c>
      <c r="Z703" s="90" t="n">
        <v>55000</v>
      </c>
      <c r="AA703" s="90" t="n">
        <v>55000</v>
      </c>
      <c r="AB703" s="90" t="n">
        <v>55000</v>
      </c>
      <c r="AC703" s="90" t="n">
        <v>55000</v>
      </c>
      <c r="AD703" s="90" t="n">
        <v>55000</v>
      </c>
      <c r="AE703" s="90" t="n">
        <v>55000</v>
      </c>
      <c r="AF703" s="90" t="n">
        <v>55000</v>
      </c>
      <c r="AG703" s="90" t="n">
        <v>55000</v>
      </c>
      <c r="AH703" s="90" t="n">
        <v>55000</v>
      </c>
      <c r="AI703" s="90" t="n">
        <v>55000</v>
      </c>
      <c r="AJ703" s="91" t="n">
        <v>55000</v>
      </c>
      <c r="AK703" s="89" t="n">
        <v>55000</v>
      </c>
      <c r="AL703" s="90" t="n">
        <v>55000</v>
      </c>
      <c r="AM703" s="90"/>
      <c r="AN703" s="90"/>
      <c r="AO703" s="90"/>
      <c r="AP703" s="90"/>
      <c r="AQ703" s="90"/>
      <c r="AR703" s="90"/>
      <c r="AS703" s="90"/>
      <c r="AT703" s="90"/>
      <c r="AU703" s="90"/>
      <c r="AV703" s="91"/>
      <c r="AX703" s="92"/>
    </row>
    <row r="704" customFormat="false" ht="15.65" hidden="false" customHeight="false" outlineLevel="0" collapsed="false">
      <c r="C704" s="72" t="n">
        <f aca="false">COUNTIFS($D$6:D704,"&lt;&gt;"&amp;"")</f>
        <v>699</v>
      </c>
      <c r="D704" s="73" t="s">
        <v>12</v>
      </c>
      <c r="E704" s="76" t="str">
        <f aca="false">
IF($D704="정상",INDEX(임대자산!$D$3:$R$3000,MATCH($F704,임대자산!$I$3:$I$3000,0),MATCH(E$3,임대자산!$D$3:$R$3,0)),
IF($D704="폐업",INDEX(폐업정보!$D$3:$R$3000,MATCH($F704,폐업정보!$I$3:$I$3000,0),MATCH(E$3,폐업정보!$D$3:$R$3,0)),
"Error"))</f>
        <v>경기</v>
      </c>
      <c r="F70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B0699</v>
      </c>
      <c r="G704" s="76" t="str">
        <f aca="false">F704&amp;RANDBETWEEN(0,10)</f>
        <v>B06999</v>
      </c>
      <c r="H704" s="75" t="n">
        <f aca="false">
IF($D704="정상",INDEX(임대자산!$D$3:$R$3000,MATCH($F704,임대자산!$I$3:$I$3000,0),MATCH(H$4,임대자산!$D$3:$R$3,0)),
IF($D704="폐업",INDEX(폐업정보!$D$3:$R$3000,MATCH($F704,폐업정보!$I$3:$I$3000,0),MATCH(H$4,폐업정보!$D$3:$R$3,0)),
"Error"))</f>
        <v>44728</v>
      </c>
      <c r="I704" s="75" t="str">
        <f aca="false">
IF($D704="정상",INDEX(임대자산!$D$3:$R$3000,MATCH($F704,임대자산!$I$3:$I$3000,0),MATCH(I$4,임대자산!$D$3:$R$3,0)),
IF($D704="폐업",INDEX(폐업정보!$D$3:$R$3000,MATCH($F704,폐업정보!$I$3:$I$3000,0),MATCH(I$4,폐업정보!$D$3:$R$3,0)),
"Error"))</f>
        <v>A0699</v>
      </c>
      <c r="J704" s="75" t="str">
        <f aca="false">
IF($D704="정상",INDEX(임대자산!$D$3:$R$3000,MATCH($F704,임대자산!$I$3:$I$3000,0),MATCH(J$4,임대자산!$D$3:$R$3,0)),
IF($D704="폐업",INDEX(폐업정보!$D$3:$R$3000,MATCH($F704,폐업정보!$I$3:$I$3000,0),MATCH(J$4,폐업정보!$D$3:$R$3,0)),
"Error"))</f>
        <v>6543600000</v>
      </c>
      <c r="K704" s="75" t="str">
        <f aca="false">
IF($D704="정상",INDEX(임대자산!$D$3:$R$3000,MATCH($F704,임대자산!$I$3:$I$3000,0),MATCH(K$4,임대자산!$D$3:$R$3,0)),
IF($D704="폐업",INDEX(폐업정보!$D$3:$R$3000,MATCH($F704,폐업정보!$I$3:$I$3000,0),MATCH(K$4,폐업정보!$D$3:$R$3,0)),
"Error"))</f>
        <v>C0699</v>
      </c>
      <c r="L704" s="75" t="str">
        <f aca="false">
IF($D704="정상",INDEX(임대자산!$D$3:$R$3000,MATCH($F704,임대자산!$I$3:$I$3000,0),MATCH(L$4,임대자산!$D$3:$R$3,0)),
IF($D704="폐업",INDEX(폐업정보!$D$3:$R$3000,MATCH($F704,폐업정보!$I$3:$I$3000,0),MATCH(L$4,폐업정보!$D$3:$R$3,0)),
"Error"))</f>
        <v>D0699</v>
      </c>
      <c r="M704" s="76" t="s">
        <v>96</v>
      </c>
      <c r="N704" s="77"/>
      <c r="O704" s="78" t="s">
        <v>97</v>
      </c>
      <c r="P704" s="79" t="n">
        <f aca="false">COUNTIFS(임대자산!$I:$I,가맹점정보!F704,임대자산!$N:$N,가맹점정보!P$4)</f>
        <v>0</v>
      </c>
      <c r="Q704" s="80" t="n">
        <f aca="false">COUNTIFS(임대자산!$I:$I,가맹점정보!F704,임대자산!$N:$N,가맹점정보!Q$4)</f>
        <v>1</v>
      </c>
      <c r="R704" s="81" t="n">
        <f aca="false">COUNTIFS(임대자산!$I:$I,가맹점정보!F704,임대자산!$N:$N,가맹점정보!R$4)</f>
        <v>0</v>
      </c>
      <c r="S704" s="82" t="n">
        <v>55000</v>
      </c>
      <c r="T704" s="83" t="n">
        <v>0</v>
      </c>
      <c r="U704" s="80" t="n">
        <f aca="false">SUM(S704:T704)</f>
        <v>55000</v>
      </c>
      <c r="V704" s="84" t="s">
        <v>12</v>
      </c>
      <c r="W704" s="80" t="e">
        <f aca="true">
IF(D704="폐업","폐업",
IF(V704="면제","면제",
IF(AND(V704="정상",COUNTIFS(OFFSET(Y704,0,COUNTA(Y704:AV704)-1,1,-4),"미납")&gt;=3),"장기미납",
IF(AND(V704="정상",OFFSET(Y704,0,COUNTA(Y704:AV704)-1)&gt;=U704),"정상",
IF(AND(V704="정상",OFFSET(Y704,0,COUNTA(Y704:AV704)-1)=0),"정상",
"계약서 미작성")))))</f>
        <v>#VALUE!</v>
      </c>
      <c r="X704" s="81" t="str">
        <f aca="true">
IF(D704="폐업","폐업",
IF(AND(V704="정상",OFFSET(Y704,0,COUNTA(Y704:AV704)-1)="미납"),"미납",
IF(AND(V704="정상",OFFSET(Y704,0,COUNTA(Y704:AV704)-1)=0),"납부 시작 전",
IF(AND(V704="정상",OFFSET(Y704,0,COUNTA(Y704:AV704)-1)&gt;=U704),"정상",
IF(AND(V704="면제",OFFSET(Y704,0,COUNTA(Y704:AV704)-1)="면제"),"면제",
IF(AND(V704="면제",OFFSET(Y704,0,COUNTA(Y704:AV704)-1)=0),"면제",
"확인요청"))))))</f>
        <v>정상</v>
      </c>
      <c r="Y704" s="94" t="s">
        <v>62</v>
      </c>
      <c r="Z704" s="90" t="n">
        <v>55000</v>
      </c>
      <c r="AA704" s="90" t="n">
        <v>55000</v>
      </c>
      <c r="AB704" s="90" t="n">
        <v>55000</v>
      </c>
      <c r="AC704" s="90" t="n">
        <v>55000</v>
      </c>
      <c r="AD704" s="90" t="n">
        <v>55000</v>
      </c>
      <c r="AE704" s="90" t="n">
        <v>55000</v>
      </c>
      <c r="AF704" s="90" t="n">
        <v>55000</v>
      </c>
      <c r="AG704" s="90" t="n">
        <v>55000</v>
      </c>
      <c r="AH704" s="90" t="n">
        <v>55000</v>
      </c>
      <c r="AI704" s="90" t="n">
        <v>55000</v>
      </c>
      <c r="AJ704" s="91" t="n">
        <v>55000</v>
      </c>
      <c r="AK704" s="89" t="n">
        <v>55000</v>
      </c>
      <c r="AL704" s="90" t="n">
        <v>55000</v>
      </c>
      <c r="AM704" s="90"/>
      <c r="AN704" s="90"/>
      <c r="AO704" s="90"/>
      <c r="AP704" s="90"/>
      <c r="AQ704" s="90"/>
      <c r="AR704" s="90"/>
      <c r="AS704" s="90"/>
      <c r="AT704" s="90"/>
      <c r="AU704" s="90"/>
      <c r="AV704" s="91"/>
      <c r="AX704" s="92"/>
    </row>
    <row r="705" customFormat="false" ht="15.65" hidden="false" customHeight="false" outlineLevel="0" collapsed="false">
      <c r="C705" s="72" t="n">
        <f aca="false">COUNTIFS($D$6:D705,"&lt;&gt;"&amp;"")</f>
        <v>700</v>
      </c>
      <c r="D705" s="73" t="s">
        <v>12</v>
      </c>
      <c r="E705" s="76" t="str">
        <f aca="false">
IF($D705="정상",INDEX(임대자산!$D$3:$R$3000,MATCH($F705,임대자산!$I$3:$I$3000,0),MATCH(E$3,임대자산!$D$3:$R$3,0)),
IF($D705="폐업",INDEX(폐업정보!$D$3:$R$3000,MATCH($F705,폐업정보!$I$3:$I$3000,0),MATCH(E$3,폐업정보!$D$3:$R$3,0)),
"Error"))</f>
        <v>경기</v>
      </c>
      <c r="F70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B0700</v>
      </c>
      <c r="G705" s="76" t="str">
        <f aca="false">F705&amp;RANDBETWEEN(0,10)</f>
        <v>B07007</v>
      </c>
      <c r="H705" s="75" t="n">
        <f aca="false">
IF($D705="정상",INDEX(임대자산!$D$3:$R$3000,MATCH($F705,임대자산!$I$3:$I$3000,0),MATCH(H$4,임대자산!$D$3:$R$3,0)),
IF($D705="폐업",INDEX(폐업정보!$D$3:$R$3000,MATCH($F705,폐업정보!$I$3:$I$3000,0),MATCH(H$4,폐업정보!$D$3:$R$3,0)),
"Error"))</f>
        <v>44736</v>
      </c>
      <c r="I705" s="75" t="str">
        <f aca="false">
IF($D705="정상",INDEX(임대자산!$D$3:$R$3000,MATCH($F705,임대자산!$I$3:$I$3000,0),MATCH(I$4,임대자산!$D$3:$R$3,0)),
IF($D705="폐업",INDEX(폐업정보!$D$3:$R$3000,MATCH($F705,폐업정보!$I$3:$I$3000,0),MATCH(I$4,폐업정보!$D$3:$R$3,0)),
"Error"))</f>
        <v>A0700</v>
      </c>
      <c r="J705" s="75" t="str">
        <f aca="false">
IF($D705="정상",INDEX(임대자산!$D$3:$R$3000,MATCH($F705,임대자산!$I$3:$I$3000,0),MATCH(J$4,임대자산!$D$3:$R$3,0)),
IF($D705="폐업",INDEX(폐업정보!$D$3:$R$3000,MATCH($F705,폐업정보!$I$3:$I$3000,0),MATCH(J$4,폐업정보!$D$3:$R$3,0)),
"Error"))</f>
        <v>5153600000</v>
      </c>
      <c r="K705" s="75" t="str">
        <f aca="false">
IF($D705="정상",INDEX(임대자산!$D$3:$R$3000,MATCH($F705,임대자산!$I$3:$I$3000,0),MATCH(K$4,임대자산!$D$3:$R$3,0)),
IF($D705="폐업",INDEX(폐업정보!$D$3:$R$3000,MATCH($F705,폐업정보!$I$3:$I$3000,0),MATCH(K$4,폐업정보!$D$3:$R$3,0)),
"Error"))</f>
        <v>C0700</v>
      </c>
      <c r="L705" s="75" t="str">
        <f aca="false">
IF($D705="정상",INDEX(임대자산!$D$3:$R$3000,MATCH($F705,임대자산!$I$3:$I$3000,0),MATCH(L$4,임대자산!$D$3:$R$3,0)),
IF($D705="폐업",INDEX(폐업정보!$D$3:$R$3000,MATCH($F705,폐업정보!$I$3:$I$3000,0),MATCH(L$4,폐업정보!$D$3:$R$3,0)),
"Error"))</f>
        <v>D0700</v>
      </c>
      <c r="M705" s="76" t="s">
        <v>96</v>
      </c>
      <c r="N705" s="77"/>
      <c r="O705" s="78" t="s">
        <v>97</v>
      </c>
      <c r="P705" s="79" t="n">
        <f aca="false">COUNTIFS(임대자산!$I:$I,가맹점정보!F705,임대자산!$N:$N,가맹점정보!P$4)</f>
        <v>0</v>
      </c>
      <c r="Q705" s="80" t="n">
        <f aca="false">COUNTIFS(임대자산!$I:$I,가맹점정보!F705,임대자산!$N:$N,가맹점정보!Q$4)</f>
        <v>1</v>
      </c>
      <c r="R705" s="81" t="n">
        <f aca="false">COUNTIFS(임대자산!$I:$I,가맹점정보!F705,임대자산!$N:$N,가맹점정보!R$4)</f>
        <v>0</v>
      </c>
      <c r="S705" s="82" t="n">
        <v>55000</v>
      </c>
      <c r="T705" s="83" t="n">
        <v>0</v>
      </c>
      <c r="U705" s="80" t="n">
        <f aca="false">SUM(S705:T705)</f>
        <v>55000</v>
      </c>
      <c r="V705" s="84" t="s">
        <v>12</v>
      </c>
      <c r="W705" s="80" t="e">
        <f aca="true">
IF(D705="폐업","폐업",
IF(V705="면제","면제",
IF(AND(V705="정상",COUNTIFS(OFFSET(Y705,0,COUNTA(Y705:AV705)-1,1,-4),"미납")&gt;=3),"장기미납",
IF(AND(V705="정상",OFFSET(Y705,0,COUNTA(Y705:AV705)-1)&gt;=U705),"정상",
IF(AND(V705="정상",OFFSET(Y705,0,COUNTA(Y705:AV705)-1)=0),"정상",
"계약서 미작성")))))</f>
        <v>#VALUE!</v>
      </c>
      <c r="X705" s="81" t="str">
        <f aca="true">
IF(D705="폐업","폐업",
IF(AND(V705="정상",OFFSET(Y705,0,COUNTA(Y705:AV705)-1)="미납"),"미납",
IF(AND(V705="정상",OFFSET(Y705,0,COUNTA(Y705:AV705)-1)=0),"납부 시작 전",
IF(AND(V705="정상",OFFSET(Y705,0,COUNTA(Y705:AV705)-1)&gt;=U705),"정상",
IF(AND(V705="면제",OFFSET(Y705,0,COUNTA(Y705:AV705)-1)="면제"),"면제",
IF(AND(V705="면제",OFFSET(Y705,0,COUNTA(Y705:AV705)-1)=0),"면제",
"확인요청"))))))</f>
        <v>정상</v>
      </c>
      <c r="Y705" s="93" t="n">
        <v>55000</v>
      </c>
      <c r="Z705" s="90" t="n">
        <v>55000</v>
      </c>
      <c r="AA705" s="90" t="n">
        <v>55000</v>
      </c>
      <c r="AB705" s="90" t="n">
        <v>55000</v>
      </c>
      <c r="AC705" s="90" t="n">
        <v>55000</v>
      </c>
      <c r="AD705" s="90" t="n">
        <v>55000</v>
      </c>
      <c r="AE705" s="90" t="n">
        <v>55000</v>
      </c>
      <c r="AF705" s="90" t="s">
        <v>105</v>
      </c>
      <c r="AG705" s="90" t="n">
        <v>110000</v>
      </c>
      <c r="AH705" s="90" t="n">
        <v>55000</v>
      </c>
      <c r="AI705" s="90" t="n">
        <v>55000</v>
      </c>
      <c r="AJ705" s="91" t="n">
        <v>55000</v>
      </c>
      <c r="AK705" s="89" t="n">
        <v>55000</v>
      </c>
      <c r="AL705" s="90" t="n">
        <v>55000</v>
      </c>
      <c r="AM705" s="90"/>
      <c r="AN705" s="90"/>
      <c r="AO705" s="90"/>
      <c r="AP705" s="90"/>
      <c r="AQ705" s="90"/>
      <c r="AR705" s="90"/>
      <c r="AS705" s="90"/>
      <c r="AT705" s="90"/>
      <c r="AU705" s="90"/>
      <c r="AV705" s="91"/>
      <c r="AX705" s="92"/>
    </row>
    <row r="706" customFormat="false" ht="15.65" hidden="false" customHeight="false" outlineLevel="0" collapsed="false">
      <c r="C706" s="72" t="n">
        <f aca="false">COUNTIFS($D$6:D706,"&lt;&gt;"&amp;"")</f>
        <v>701</v>
      </c>
      <c r="D706" s="73" t="s">
        <v>12</v>
      </c>
      <c r="E706" s="76" t="str">
        <f aca="false">
IF($D706="정상",INDEX(임대자산!$D$3:$R$3000,MATCH($F706,임대자산!$I$3:$I$3000,0),MATCH(E$3,임대자산!$D$3:$R$3,0)),
IF($D706="폐업",INDEX(폐업정보!$D$3:$R$3000,MATCH($F706,폐업정보!$I$3:$I$3000,0),MATCH(E$3,폐업정보!$D$3:$R$3,0)),
"Error"))</f>
        <v>경기</v>
      </c>
      <c r="F70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B0701</v>
      </c>
      <c r="G706" s="76" t="str">
        <f aca="false">F706&amp;RANDBETWEEN(0,10)</f>
        <v>B07014</v>
      </c>
      <c r="H706" s="75" t="n">
        <f aca="false">
IF($D706="정상",INDEX(임대자산!$D$3:$R$3000,MATCH($F706,임대자산!$I$3:$I$3000,0),MATCH(H$4,임대자산!$D$3:$R$3,0)),
IF($D706="폐업",INDEX(폐업정보!$D$3:$R$3000,MATCH($F706,폐업정보!$I$3:$I$3000,0),MATCH(H$4,폐업정보!$D$3:$R$3,0)),
"Error"))</f>
        <v>44736</v>
      </c>
      <c r="I706" s="75" t="str">
        <f aca="false">
IF($D706="정상",INDEX(임대자산!$D$3:$R$3000,MATCH($F706,임대자산!$I$3:$I$3000,0),MATCH(I$4,임대자산!$D$3:$R$3,0)),
IF($D706="폐업",INDEX(폐업정보!$D$3:$R$3000,MATCH($F706,폐업정보!$I$3:$I$3000,0),MATCH(I$4,폐업정보!$D$3:$R$3,0)),
"Error"))</f>
        <v>A0701</v>
      </c>
      <c r="J706" s="75" t="str">
        <f aca="false">
IF($D706="정상",INDEX(임대자산!$D$3:$R$3000,MATCH($F706,임대자산!$I$3:$I$3000,0),MATCH(J$4,임대자산!$D$3:$R$3,0)),
IF($D706="폐업",INDEX(폐업정보!$D$3:$R$3000,MATCH($F706,폐업정보!$I$3:$I$3000,0),MATCH(J$4,폐업정보!$D$3:$R$3,0)),
"Error"))</f>
        <v>5282200000</v>
      </c>
      <c r="K706" s="75" t="str">
        <f aca="false">
IF($D706="정상",INDEX(임대자산!$D$3:$R$3000,MATCH($F706,임대자산!$I$3:$I$3000,0),MATCH(K$4,임대자산!$D$3:$R$3,0)),
IF($D706="폐업",INDEX(폐업정보!$D$3:$R$3000,MATCH($F706,폐업정보!$I$3:$I$3000,0),MATCH(K$4,폐업정보!$D$3:$R$3,0)),
"Error"))</f>
        <v>C0701</v>
      </c>
      <c r="L706" s="75" t="str">
        <f aca="false">
IF($D706="정상",INDEX(임대자산!$D$3:$R$3000,MATCH($F706,임대자산!$I$3:$I$3000,0),MATCH(L$4,임대자산!$D$3:$R$3,0)),
IF($D706="폐업",INDEX(폐업정보!$D$3:$R$3000,MATCH($F706,폐업정보!$I$3:$I$3000,0),MATCH(L$4,폐업정보!$D$3:$R$3,0)),
"Error"))</f>
        <v>D0701</v>
      </c>
      <c r="M706" s="76" t="s">
        <v>96</v>
      </c>
      <c r="N706" s="77"/>
      <c r="O706" s="78" t="s">
        <v>97</v>
      </c>
      <c r="P706" s="79" t="n">
        <f aca="false">COUNTIFS(임대자산!$I:$I,가맹점정보!F706,임대자산!$N:$N,가맹점정보!P$4)</f>
        <v>0</v>
      </c>
      <c r="Q706" s="80" t="n">
        <f aca="false">COUNTIFS(임대자산!$I:$I,가맹점정보!F706,임대자산!$N:$N,가맹점정보!Q$4)</f>
        <v>1</v>
      </c>
      <c r="R706" s="81" t="n">
        <f aca="false">COUNTIFS(임대자산!$I:$I,가맹점정보!F706,임대자산!$N:$N,가맹점정보!R$4)</f>
        <v>0</v>
      </c>
      <c r="S706" s="82" t="n">
        <v>55000</v>
      </c>
      <c r="T706" s="83" t="n">
        <v>0</v>
      </c>
      <c r="U706" s="80" t="n">
        <f aca="false">SUM(S706:T706)</f>
        <v>55000</v>
      </c>
      <c r="V706" s="84" t="s">
        <v>7</v>
      </c>
      <c r="W706" s="80" t="str">
        <f aca="true">
IF(D706="폐업","폐업",
IF(V706="면제","면제",
IF(AND(V706="정상",COUNTIFS(OFFSET(Y706,0,COUNTA(Y706:AV706)-1,1,-4),"미납")&gt;=3),"장기미납",
IF(AND(V706="정상",OFFSET(Y706,0,COUNTA(Y706:AV706)-1)&gt;=U706),"정상",
IF(AND(V706="정상",OFFSET(Y706,0,COUNTA(Y706:AV706)-1)=0),"정상",
"계약서 미작성")))))</f>
        <v>면제</v>
      </c>
      <c r="X706" s="81" t="str">
        <f aca="true">
IF(D706="폐업","폐업",
IF(AND(V706="정상",OFFSET(Y706,0,COUNTA(Y706:AV706)-1)="미납"),"미납",
IF(AND(V706="정상",OFFSET(Y706,0,COUNTA(Y706:AV706)-1)=0),"납부 시작 전",
IF(AND(V706="정상",OFFSET(Y706,0,COUNTA(Y706:AV706)-1)&gt;=U706),"정상",
IF(AND(V706="면제",OFFSET(Y706,0,COUNTA(Y706:AV706)-1)="면제"),"면제",
IF(AND(V706="면제",OFFSET(Y706,0,COUNTA(Y706:AV706)-1)=0),"면제",
"확인요청"))))))</f>
        <v>면제</v>
      </c>
      <c r="Y706" s="94" t="s">
        <v>7</v>
      </c>
      <c r="Z706" s="95" t="s">
        <v>7</v>
      </c>
      <c r="AA706" s="95" t="s">
        <v>7</v>
      </c>
      <c r="AB706" s="95" t="s">
        <v>7</v>
      </c>
      <c r="AC706" s="95" t="s">
        <v>7</v>
      </c>
      <c r="AD706" s="95" t="s">
        <v>7</v>
      </c>
      <c r="AE706" s="95" t="s">
        <v>7</v>
      </c>
      <c r="AF706" s="95" t="s">
        <v>7</v>
      </c>
      <c r="AG706" s="95" t="s">
        <v>7</v>
      </c>
      <c r="AH706" s="95" t="s">
        <v>7</v>
      </c>
      <c r="AI706" s="95" t="s">
        <v>7</v>
      </c>
      <c r="AJ706" s="96" t="s">
        <v>7</v>
      </c>
      <c r="AK706" s="97" t="s">
        <v>7</v>
      </c>
      <c r="AL706" s="95" t="s">
        <v>7</v>
      </c>
      <c r="AM706" s="90"/>
      <c r="AN706" s="90"/>
      <c r="AO706" s="90"/>
      <c r="AP706" s="90"/>
      <c r="AQ706" s="90"/>
      <c r="AR706" s="90"/>
      <c r="AS706" s="90"/>
      <c r="AT706" s="90"/>
      <c r="AU706" s="90"/>
      <c r="AV706" s="91"/>
      <c r="AX706" s="92"/>
    </row>
    <row r="707" customFormat="false" ht="15.65" hidden="false" customHeight="false" outlineLevel="0" collapsed="false">
      <c r="C707" s="72" t="n">
        <f aca="false">COUNTIFS($D$6:D707,"&lt;&gt;"&amp;"")</f>
        <v>702</v>
      </c>
      <c r="D707" s="73" t="s">
        <v>12</v>
      </c>
      <c r="E707" s="76" t="str">
        <f aca="false">
IF($D707="정상",INDEX(임대자산!$D$3:$R$3000,MATCH($F707,임대자산!$I$3:$I$3000,0),MATCH(E$3,임대자산!$D$3:$R$3,0)),
IF($D707="폐업",INDEX(폐업정보!$D$3:$R$3000,MATCH($F707,폐업정보!$I$3:$I$3000,0),MATCH(E$3,폐업정보!$D$3:$R$3,0)),
"Error"))</f>
        <v>강원</v>
      </c>
      <c r="F70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B0702</v>
      </c>
      <c r="G707" s="76" t="str">
        <f aca="false">F707&amp;RANDBETWEEN(0,10)</f>
        <v>B07024</v>
      </c>
      <c r="H707" s="75" t="n">
        <f aca="false">
IF($D707="정상",INDEX(임대자산!$D$3:$R$3000,MATCH($F707,임대자산!$I$3:$I$3000,0),MATCH(H$4,임대자산!$D$3:$R$3,0)),
IF($D707="폐업",INDEX(폐업정보!$D$3:$R$3000,MATCH($F707,폐업정보!$I$3:$I$3000,0),MATCH(H$4,폐업정보!$D$3:$R$3,0)),
"Error"))</f>
        <v>44742</v>
      </c>
      <c r="I707" s="75" t="str">
        <f aca="false">
IF($D707="정상",INDEX(임대자산!$D$3:$R$3000,MATCH($F707,임대자산!$I$3:$I$3000,0),MATCH(I$4,임대자산!$D$3:$R$3,0)),
IF($D707="폐업",INDEX(폐업정보!$D$3:$R$3000,MATCH($F707,폐업정보!$I$3:$I$3000,0),MATCH(I$4,폐업정보!$D$3:$R$3,0)),
"Error"))</f>
        <v>A0702</v>
      </c>
      <c r="J707" s="75" t="str">
        <f aca="false">
IF($D707="정상",INDEX(임대자산!$D$3:$R$3000,MATCH($F707,임대자산!$I$3:$I$3000,0),MATCH(J$4,임대자산!$D$3:$R$3,0)),
IF($D707="폐업",INDEX(폐업정보!$D$3:$R$3000,MATCH($F707,폐업정보!$I$3:$I$3000,0),MATCH(J$4,폐업정보!$D$3:$R$3,0)),
"Error"))</f>
        <v>2963200000</v>
      </c>
      <c r="K707" s="75" t="str">
        <f aca="false">
IF($D707="정상",INDEX(임대자산!$D$3:$R$3000,MATCH($F707,임대자산!$I$3:$I$3000,0),MATCH(K$4,임대자산!$D$3:$R$3,0)),
IF($D707="폐업",INDEX(폐업정보!$D$3:$R$3000,MATCH($F707,폐업정보!$I$3:$I$3000,0),MATCH(K$4,폐업정보!$D$3:$R$3,0)),
"Error"))</f>
        <v>C0702</v>
      </c>
      <c r="L707" s="75" t="str">
        <f aca="false">
IF($D707="정상",INDEX(임대자산!$D$3:$R$3000,MATCH($F707,임대자산!$I$3:$I$3000,0),MATCH(L$4,임대자산!$D$3:$R$3,0)),
IF($D707="폐업",INDEX(폐업정보!$D$3:$R$3000,MATCH($F707,폐업정보!$I$3:$I$3000,0),MATCH(L$4,폐업정보!$D$3:$R$3,0)),
"Error"))</f>
        <v>D0702</v>
      </c>
      <c r="M707" s="76" t="s">
        <v>96</v>
      </c>
      <c r="N707" s="77"/>
      <c r="O707" s="78" t="s">
        <v>97</v>
      </c>
      <c r="P707" s="79" t="n">
        <f aca="false">COUNTIFS(임대자산!$I:$I,가맹점정보!F707,임대자산!$N:$N,가맹점정보!P$4)</f>
        <v>0</v>
      </c>
      <c r="Q707" s="80" t="n">
        <f aca="false">COUNTIFS(임대자산!$I:$I,가맹점정보!F707,임대자산!$N:$N,가맹점정보!Q$4)</f>
        <v>1</v>
      </c>
      <c r="R707" s="81" t="n">
        <f aca="false">COUNTIFS(임대자산!$I:$I,가맹점정보!F707,임대자산!$N:$N,가맹점정보!R$4)</f>
        <v>0</v>
      </c>
      <c r="S707" s="82" t="n">
        <v>88000</v>
      </c>
      <c r="T707" s="83" t="n">
        <v>0</v>
      </c>
      <c r="U707" s="80" t="n">
        <f aca="false">SUM(S707:T707)</f>
        <v>88000</v>
      </c>
      <c r="V707" s="84" t="s">
        <v>12</v>
      </c>
      <c r="W707" s="80" t="e">
        <f aca="true">
IF(D707="폐업","폐업",
IF(V707="면제","면제",
IF(AND(V707="정상",COUNTIFS(OFFSET(Y707,0,COUNTA(Y707:AV707)-1,1,-4),"미납")&gt;=3),"장기미납",
IF(AND(V707="정상",OFFSET(Y707,0,COUNTA(Y707:AV707)-1)&gt;=U707),"정상",
IF(AND(V707="정상",OFFSET(Y707,0,COUNTA(Y707:AV707)-1)=0),"정상",
"계약서 미작성")))))</f>
        <v>#VALUE!</v>
      </c>
      <c r="X707" s="81" t="str">
        <f aca="true">
IF(D707="폐업","폐업",
IF(AND(V707="정상",OFFSET(Y707,0,COUNTA(Y707:AV707)-1)="미납"),"미납",
IF(AND(V707="정상",OFFSET(Y707,0,COUNTA(Y707:AV707)-1)=0),"납부 시작 전",
IF(AND(V707="정상",OFFSET(Y707,0,COUNTA(Y707:AV707)-1)&gt;=U707),"정상",
IF(AND(V707="면제",OFFSET(Y707,0,COUNTA(Y707:AV707)-1)="면제"),"면제",
IF(AND(V707="면제",OFFSET(Y707,0,COUNTA(Y707:AV707)-1)=0),"면제",
"확인요청"))))))</f>
        <v>정상</v>
      </c>
      <c r="Y707" s="93" t="n">
        <v>88000</v>
      </c>
      <c r="Z707" s="90" t="n">
        <v>88000</v>
      </c>
      <c r="AA707" s="90" t="n">
        <v>88000</v>
      </c>
      <c r="AB707" s="90" t="n">
        <v>88000</v>
      </c>
      <c r="AC707" s="90" t="n">
        <v>88000</v>
      </c>
      <c r="AD707" s="90" t="n">
        <v>88000</v>
      </c>
      <c r="AE707" s="90" t="n">
        <v>88000</v>
      </c>
      <c r="AF707" s="90" t="n">
        <v>88000</v>
      </c>
      <c r="AG707" s="90" t="n">
        <v>88000</v>
      </c>
      <c r="AH707" s="90" t="n">
        <v>88000</v>
      </c>
      <c r="AI707" s="90" t="n">
        <v>88000</v>
      </c>
      <c r="AJ707" s="91" t="n">
        <v>88000</v>
      </c>
      <c r="AK707" s="89" t="n">
        <v>88000</v>
      </c>
      <c r="AL707" s="90" t="n">
        <v>88000</v>
      </c>
      <c r="AM707" s="90"/>
      <c r="AN707" s="90"/>
      <c r="AO707" s="90"/>
      <c r="AP707" s="90"/>
      <c r="AQ707" s="90"/>
      <c r="AR707" s="90"/>
      <c r="AS707" s="90"/>
      <c r="AT707" s="90"/>
      <c r="AU707" s="90"/>
      <c r="AV707" s="91"/>
      <c r="AX707" s="92"/>
    </row>
    <row r="708" customFormat="false" ht="15.65" hidden="false" customHeight="false" outlineLevel="0" collapsed="false">
      <c r="C708" s="72" t="n">
        <f aca="false">COUNTIFS($D$6:D708,"&lt;&gt;"&amp;"")</f>
        <v>703</v>
      </c>
      <c r="D708" s="73" t="s">
        <v>12</v>
      </c>
      <c r="E708" s="76" t="str">
        <f aca="false">
IF($D708="정상",INDEX(임대자산!$D$3:$R$3000,MATCH($F708,임대자산!$I$3:$I$3000,0),MATCH(E$3,임대자산!$D$3:$R$3,0)),
IF($D708="폐업",INDEX(폐업정보!$D$3:$R$3000,MATCH($F708,폐업정보!$I$3:$I$3000,0),MATCH(E$3,폐업정보!$D$3:$R$3,0)),
"Error"))</f>
        <v>서울</v>
      </c>
      <c r="F70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B0703</v>
      </c>
      <c r="G708" s="76" t="str">
        <f aca="false">F708&amp;RANDBETWEEN(0,10)</f>
        <v>B07032</v>
      </c>
      <c r="H708" s="75" t="n">
        <f aca="false">
IF($D708="정상",INDEX(임대자산!$D$3:$R$3000,MATCH($F708,임대자산!$I$3:$I$3000,0),MATCH(H$4,임대자산!$D$3:$R$3,0)),
IF($D708="폐업",INDEX(폐업정보!$D$3:$R$3000,MATCH($F708,폐업정보!$I$3:$I$3000,0),MATCH(H$4,폐업정보!$D$3:$R$3,0)),
"Error"))</f>
        <v>44743</v>
      </c>
      <c r="I708" s="75" t="str">
        <f aca="false">
IF($D708="정상",INDEX(임대자산!$D$3:$R$3000,MATCH($F708,임대자산!$I$3:$I$3000,0),MATCH(I$4,임대자산!$D$3:$R$3,0)),
IF($D708="폐업",INDEX(폐업정보!$D$3:$R$3000,MATCH($F708,폐업정보!$I$3:$I$3000,0),MATCH(I$4,폐업정보!$D$3:$R$3,0)),
"Error"))</f>
        <v>A0703</v>
      </c>
      <c r="J708" s="75" t="str">
        <f aca="false">
IF($D708="정상",INDEX(임대자산!$D$3:$R$3000,MATCH($F708,임대자산!$I$3:$I$3000,0),MATCH(J$4,임대자산!$D$3:$R$3,0)),
IF($D708="폐업",INDEX(폐업정보!$D$3:$R$3000,MATCH($F708,폐업정보!$I$3:$I$3000,0),MATCH(J$4,폐업정보!$D$3:$R$3,0)),
"Error"))</f>
        <v>3107400000</v>
      </c>
      <c r="K708" s="75" t="str">
        <f aca="false">
IF($D708="정상",INDEX(임대자산!$D$3:$R$3000,MATCH($F708,임대자산!$I$3:$I$3000,0),MATCH(K$4,임대자산!$D$3:$R$3,0)),
IF($D708="폐업",INDEX(폐업정보!$D$3:$R$3000,MATCH($F708,폐업정보!$I$3:$I$3000,0),MATCH(K$4,폐업정보!$D$3:$R$3,0)),
"Error"))</f>
        <v>C0703</v>
      </c>
      <c r="L708" s="75" t="str">
        <f aca="false">
IF($D708="정상",INDEX(임대자산!$D$3:$R$3000,MATCH($F708,임대자산!$I$3:$I$3000,0),MATCH(L$4,임대자산!$D$3:$R$3,0)),
IF($D708="폐업",INDEX(폐업정보!$D$3:$R$3000,MATCH($F708,폐업정보!$I$3:$I$3000,0),MATCH(L$4,폐업정보!$D$3:$R$3,0)),
"Error"))</f>
        <v>D0703</v>
      </c>
      <c r="M708" s="76" t="s">
        <v>96</v>
      </c>
      <c r="N708" s="77"/>
      <c r="O708" s="78" t="s">
        <v>97</v>
      </c>
      <c r="P708" s="79" t="n">
        <f aca="false">COUNTIFS(임대자산!$I:$I,가맹점정보!F708,임대자산!$N:$N,가맹점정보!P$4)</f>
        <v>0</v>
      </c>
      <c r="Q708" s="80" t="n">
        <f aca="false">COUNTIFS(임대자산!$I:$I,가맹점정보!F708,임대자산!$N:$N,가맹점정보!Q$4)</f>
        <v>1</v>
      </c>
      <c r="R708" s="81" t="n">
        <f aca="false">COUNTIFS(임대자산!$I:$I,가맹점정보!F708,임대자산!$N:$N,가맹점정보!R$4)</f>
        <v>0</v>
      </c>
      <c r="S708" s="82" t="n">
        <v>88000</v>
      </c>
      <c r="T708" s="83" t="n">
        <v>0</v>
      </c>
      <c r="U708" s="80" t="n">
        <f aca="false">SUM(S708:T708)</f>
        <v>88000</v>
      </c>
      <c r="V708" s="84" t="s">
        <v>7</v>
      </c>
      <c r="W708" s="80" t="str">
        <f aca="true">
IF(D708="폐업","폐업",
IF(V708="면제","면제",
IF(AND(V708="정상",COUNTIFS(OFFSET(Y708,0,COUNTA(Y708:AV708)-1,1,-4),"미납")&gt;=3),"장기미납",
IF(AND(V708="정상",OFFSET(Y708,0,COUNTA(Y708:AV708)-1)&gt;=U708),"정상",
IF(AND(V708="정상",OFFSET(Y708,0,COUNTA(Y708:AV708)-1)=0),"정상",
"계약서 미작성")))))</f>
        <v>면제</v>
      </c>
      <c r="X708" s="81" t="str">
        <f aca="true">
IF(D708="폐업","폐업",
IF(AND(V708="정상",OFFSET(Y708,0,COUNTA(Y708:AV708)-1)="미납"),"미납",
IF(AND(V708="정상",OFFSET(Y708,0,COUNTA(Y708:AV708)-1)=0),"납부 시작 전",
IF(AND(V708="정상",OFFSET(Y708,0,COUNTA(Y708:AV708)-1)&gt;=U708),"정상",
IF(AND(V708="면제",OFFSET(Y708,0,COUNTA(Y708:AV708)-1)="면제"),"면제",
IF(AND(V708="면제",OFFSET(Y708,0,COUNTA(Y708:AV708)-1)=0),"면제",
"확인요청"))))))</f>
        <v>면제</v>
      </c>
      <c r="Y708" s="93" t="n">
        <v>88000</v>
      </c>
      <c r="Z708" s="90" t="n">
        <v>88000</v>
      </c>
      <c r="AA708" s="90" t="n">
        <v>88000</v>
      </c>
      <c r="AB708" s="90" t="n">
        <v>88000</v>
      </c>
      <c r="AC708" s="90" t="n">
        <v>88000</v>
      </c>
      <c r="AD708" s="90" t="n">
        <v>88000</v>
      </c>
      <c r="AE708" s="95" t="s">
        <v>62</v>
      </c>
      <c r="AF708" s="95" t="s">
        <v>62</v>
      </c>
      <c r="AG708" s="95" t="s">
        <v>7</v>
      </c>
      <c r="AH708" s="95" t="s">
        <v>7</v>
      </c>
      <c r="AI708" s="95" t="s">
        <v>7</v>
      </c>
      <c r="AJ708" s="96" t="s">
        <v>7</v>
      </c>
      <c r="AK708" s="97" t="s">
        <v>7</v>
      </c>
      <c r="AL708" s="95" t="s">
        <v>7</v>
      </c>
      <c r="AM708" s="90"/>
      <c r="AN708" s="90"/>
      <c r="AO708" s="90"/>
      <c r="AP708" s="90"/>
      <c r="AQ708" s="90"/>
      <c r="AR708" s="90"/>
      <c r="AS708" s="90"/>
      <c r="AT708" s="90"/>
      <c r="AU708" s="90"/>
      <c r="AV708" s="91"/>
      <c r="AX708" s="92"/>
    </row>
    <row r="709" customFormat="false" ht="15.65" hidden="false" customHeight="false" outlineLevel="0" collapsed="false">
      <c r="C709" s="72" t="n">
        <f aca="false">COUNTIFS($D$6:D709,"&lt;&gt;"&amp;"")</f>
        <v>704</v>
      </c>
      <c r="D709" s="73" t="s">
        <v>12</v>
      </c>
      <c r="E709" s="76" t="str">
        <f aca="false">
IF($D709="정상",INDEX(임대자산!$D$3:$R$3000,MATCH($F709,임대자산!$I$3:$I$3000,0),MATCH(E$3,임대자산!$D$3:$R$3,0)),
IF($D709="폐업",INDEX(폐업정보!$D$3:$R$3000,MATCH($F709,폐업정보!$I$3:$I$3000,0),MATCH(E$3,폐업정보!$D$3:$R$3,0)),
"Error"))</f>
        <v>서울</v>
      </c>
      <c r="F70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B0704</v>
      </c>
      <c r="G709" s="76" t="str">
        <f aca="false">F709&amp;RANDBETWEEN(0,10)</f>
        <v>B07042</v>
      </c>
      <c r="H709" s="75" t="n">
        <f aca="false">
IF($D709="정상",INDEX(임대자산!$D$3:$R$3000,MATCH($F709,임대자산!$I$3:$I$3000,0),MATCH(H$4,임대자산!$D$3:$R$3,0)),
IF($D709="폐업",INDEX(폐업정보!$D$3:$R$3000,MATCH($F709,폐업정보!$I$3:$I$3000,0),MATCH(H$4,폐업정보!$D$3:$R$3,0)),
"Error"))</f>
        <v>44743</v>
      </c>
      <c r="I709" s="75" t="str">
        <f aca="false">
IF($D709="정상",INDEX(임대자산!$D$3:$R$3000,MATCH($F709,임대자산!$I$3:$I$3000,0),MATCH(I$4,임대자산!$D$3:$R$3,0)),
IF($D709="폐업",INDEX(폐업정보!$D$3:$R$3000,MATCH($F709,폐업정보!$I$3:$I$3000,0),MATCH(I$4,폐업정보!$D$3:$R$3,0)),
"Error"))</f>
        <v>A0704</v>
      </c>
      <c r="J709" s="75" t="str">
        <f aca="false">
IF($D709="정상",INDEX(임대자산!$D$3:$R$3000,MATCH($F709,임대자산!$I$3:$I$3000,0),MATCH(J$4,임대자산!$D$3:$R$3,0)),
IF($D709="폐업",INDEX(폐업정보!$D$3:$R$3000,MATCH($F709,폐업정보!$I$3:$I$3000,0),MATCH(J$4,폐업정보!$D$3:$R$3,0)),
"Error"))</f>
        <v>2688800000</v>
      </c>
      <c r="K709" s="75" t="str">
        <f aca="false">
IF($D709="정상",INDEX(임대자산!$D$3:$R$3000,MATCH($F709,임대자산!$I$3:$I$3000,0),MATCH(K$4,임대자산!$D$3:$R$3,0)),
IF($D709="폐업",INDEX(폐업정보!$D$3:$R$3000,MATCH($F709,폐업정보!$I$3:$I$3000,0),MATCH(K$4,폐업정보!$D$3:$R$3,0)),
"Error"))</f>
        <v>C0704</v>
      </c>
      <c r="L709" s="75" t="str">
        <f aca="false">
IF($D709="정상",INDEX(임대자산!$D$3:$R$3000,MATCH($F709,임대자산!$I$3:$I$3000,0),MATCH(L$4,임대자산!$D$3:$R$3,0)),
IF($D709="폐업",INDEX(폐업정보!$D$3:$R$3000,MATCH($F709,폐업정보!$I$3:$I$3000,0),MATCH(L$4,폐업정보!$D$3:$R$3,0)),
"Error"))</f>
        <v>D0704</v>
      </c>
      <c r="M709" s="76" t="s">
        <v>96</v>
      </c>
      <c r="N709" s="77"/>
      <c r="O709" s="78" t="s">
        <v>97</v>
      </c>
      <c r="P709" s="79" t="n">
        <f aca="false">COUNTIFS(임대자산!$I:$I,가맹점정보!F709,임대자산!$N:$N,가맹점정보!P$4)</f>
        <v>0</v>
      </c>
      <c r="Q709" s="80" t="n">
        <f aca="false">COUNTIFS(임대자산!$I:$I,가맹점정보!F709,임대자산!$N:$N,가맹점정보!Q$4)</f>
        <v>1</v>
      </c>
      <c r="R709" s="81" t="n">
        <f aca="false">COUNTIFS(임대자산!$I:$I,가맹점정보!F709,임대자산!$N:$N,가맹점정보!R$4)</f>
        <v>0</v>
      </c>
      <c r="S709" s="82" t="n">
        <v>55000</v>
      </c>
      <c r="T709" s="83" t="n">
        <v>0</v>
      </c>
      <c r="U709" s="80" t="n">
        <f aca="false">SUM(S709:T709)</f>
        <v>55000</v>
      </c>
      <c r="V709" s="84" t="s">
        <v>12</v>
      </c>
      <c r="W709" s="80" t="e">
        <f aca="true">
IF(D709="폐업","폐업",
IF(V709="면제","면제",
IF(AND(V709="정상",COUNTIFS(OFFSET(Y709,0,COUNTA(Y709:AV709)-1,1,-4),"미납")&gt;=3),"장기미납",
IF(AND(V709="정상",OFFSET(Y709,0,COUNTA(Y709:AV709)-1)&gt;=U709),"정상",
IF(AND(V709="정상",OFFSET(Y709,0,COUNTA(Y709:AV709)-1)=0),"정상",
"계약서 미작성")))))</f>
        <v>#VALUE!</v>
      </c>
      <c r="X709" s="81" t="str">
        <f aca="true">
IF(D709="폐업","폐업",
IF(AND(V709="정상",OFFSET(Y709,0,COUNTA(Y709:AV709)-1)="미납"),"미납",
IF(AND(V709="정상",OFFSET(Y709,0,COUNTA(Y709:AV709)-1)=0),"납부 시작 전",
IF(AND(V709="정상",OFFSET(Y709,0,COUNTA(Y709:AV709)-1)&gt;=U709),"정상",
IF(AND(V709="면제",OFFSET(Y709,0,COUNTA(Y709:AV709)-1)="면제"),"면제",
IF(AND(V709="면제",OFFSET(Y709,0,COUNTA(Y709:AV709)-1)=0),"면제",
"확인요청"))))))</f>
        <v>정상</v>
      </c>
      <c r="Y709" s="93" t="n">
        <v>55000</v>
      </c>
      <c r="Z709" s="90" t="n">
        <v>55000</v>
      </c>
      <c r="AA709" s="90" t="n">
        <v>55000</v>
      </c>
      <c r="AB709" s="90" t="n">
        <v>55000</v>
      </c>
      <c r="AC709" s="90" t="n">
        <v>55000</v>
      </c>
      <c r="AD709" s="90" t="n">
        <v>55000</v>
      </c>
      <c r="AE709" s="90" t="n">
        <v>55000</v>
      </c>
      <c r="AF709" s="90" t="n">
        <v>55000</v>
      </c>
      <c r="AG709" s="90" t="n">
        <v>55000</v>
      </c>
      <c r="AH709" s="90" t="n">
        <v>55000</v>
      </c>
      <c r="AI709" s="90" t="n">
        <v>55000</v>
      </c>
      <c r="AJ709" s="91" t="n">
        <v>55000</v>
      </c>
      <c r="AK709" s="89" t="n">
        <v>55000</v>
      </c>
      <c r="AL709" s="90" t="n">
        <v>55000</v>
      </c>
      <c r="AM709" s="90"/>
      <c r="AN709" s="90"/>
      <c r="AO709" s="90"/>
      <c r="AP709" s="90"/>
      <c r="AQ709" s="90"/>
      <c r="AR709" s="90"/>
      <c r="AS709" s="90"/>
      <c r="AT709" s="90"/>
      <c r="AU709" s="90"/>
      <c r="AV709" s="91"/>
      <c r="AX709" s="92"/>
    </row>
    <row r="710" customFormat="false" ht="15.65" hidden="false" customHeight="false" outlineLevel="0" collapsed="false">
      <c r="C710" s="72" t="n">
        <f aca="false">COUNTIFS($D$6:D710,"&lt;&gt;"&amp;"")</f>
        <v>705</v>
      </c>
      <c r="D710" s="73" t="s">
        <v>12</v>
      </c>
      <c r="E710" s="76" t="str">
        <f aca="false">
IF($D710="정상",INDEX(임대자산!$D$3:$R$3000,MATCH($F710,임대자산!$I$3:$I$3000,0),MATCH(E$3,임대자산!$D$3:$R$3,0)),
IF($D710="폐업",INDEX(폐업정보!$D$3:$R$3000,MATCH($F710,폐업정보!$I$3:$I$3000,0),MATCH(E$3,폐업정보!$D$3:$R$3,0)),
"Error"))</f>
        <v>경상</v>
      </c>
      <c r="F71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B0705</v>
      </c>
      <c r="G710" s="76" t="str">
        <f aca="false">F710&amp;RANDBETWEEN(0,10)</f>
        <v>B07055</v>
      </c>
      <c r="H710" s="75" t="n">
        <f aca="false">
IF($D710="정상",INDEX(임대자산!$D$3:$R$3000,MATCH($F710,임대자산!$I$3:$I$3000,0),MATCH(H$4,임대자산!$D$3:$R$3,0)),
IF($D710="폐업",INDEX(폐업정보!$D$3:$R$3000,MATCH($F710,폐업정보!$I$3:$I$3000,0),MATCH(H$4,폐업정보!$D$3:$R$3,0)),
"Error"))</f>
        <v>44523</v>
      </c>
      <c r="I710" s="75" t="str">
        <f aca="false">
IF($D710="정상",INDEX(임대자산!$D$3:$R$3000,MATCH($F710,임대자산!$I$3:$I$3000,0),MATCH(I$4,임대자산!$D$3:$R$3,0)),
IF($D710="폐업",INDEX(폐업정보!$D$3:$R$3000,MATCH($F710,폐업정보!$I$3:$I$3000,0),MATCH(I$4,폐업정보!$D$3:$R$3,0)),
"Error"))</f>
        <v>A0705</v>
      </c>
      <c r="J710" s="75" t="str">
        <f aca="false">
IF($D710="정상",INDEX(임대자산!$D$3:$R$3000,MATCH($F710,임대자산!$I$3:$I$3000,0),MATCH(J$4,임대자산!$D$3:$R$3,0)),
IF($D710="폐업",INDEX(폐업정보!$D$3:$R$3000,MATCH($F710,폐업정보!$I$3:$I$3000,0),MATCH(J$4,폐업정보!$D$3:$R$3,0)),
"Error"))</f>
        <v>5021700000</v>
      </c>
      <c r="K710" s="75" t="str">
        <f aca="false">
IF($D710="정상",INDEX(임대자산!$D$3:$R$3000,MATCH($F710,임대자산!$I$3:$I$3000,0),MATCH(K$4,임대자산!$D$3:$R$3,0)),
IF($D710="폐업",INDEX(폐업정보!$D$3:$R$3000,MATCH($F710,폐업정보!$I$3:$I$3000,0),MATCH(K$4,폐업정보!$D$3:$R$3,0)),
"Error"))</f>
        <v>C0705</v>
      </c>
      <c r="L710" s="75" t="str">
        <f aca="false">
IF($D710="정상",INDEX(임대자산!$D$3:$R$3000,MATCH($F710,임대자산!$I$3:$I$3000,0),MATCH(L$4,임대자산!$D$3:$R$3,0)),
IF($D710="폐업",INDEX(폐업정보!$D$3:$R$3000,MATCH($F710,폐업정보!$I$3:$I$3000,0),MATCH(L$4,폐업정보!$D$3:$R$3,0)),
"Error"))</f>
        <v>D0705</v>
      </c>
      <c r="M710" s="76" t="s">
        <v>96</v>
      </c>
      <c r="N710" s="77"/>
      <c r="O710" s="78" t="s">
        <v>97</v>
      </c>
      <c r="P710" s="79" t="n">
        <f aca="false">COUNTIFS(임대자산!$I:$I,가맹점정보!F710,임대자산!$N:$N,가맹점정보!P$4)</f>
        <v>0</v>
      </c>
      <c r="Q710" s="80" t="n">
        <f aca="false">COUNTIFS(임대자산!$I:$I,가맹점정보!F710,임대자산!$N:$N,가맹점정보!Q$4)</f>
        <v>1</v>
      </c>
      <c r="R710" s="81" t="n">
        <f aca="false">COUNTIFS(임대자산!$I:$I,가맹점정보!F710,임대자산!$N:$N,가맹점정보!R$4)</f>
        <v>0</v>
      </c>
      <c r="S710" s="82" t="n">
        <v>55000</v>
      </c>
      <c r="T710" s="83" t="n">
        <v>0</v>
      </c>
      <c r="U710" s="80" t="n">
        <f aca="false">SUM(S710:T710)</f>
        <v>55000</v>
      </c>
      <c r="V710" s="84" t="s">
        <v>12</v>
      </c>
      <c r="W710" s="80" t="e">
        <f aca="true">
IF(D710="폐업","폐업",
IF(V710="면제","면제",
IF(AND(V710="정상",COUNTIFS(OFFSET(Y710,0,COUNTA(Y710:AV710)-1,1,-4),"미납")&gt;=3),"장기미납",
IF(AND(V710="정상",OFFSET(Y710,0,COUNTA(Y710:AV710)-1)&gt;=U710),"정상",
IF(AND(V710="정상",OFFSET(Y710,0,COUNTA(Y710:AV710)-1)=0),"정상",
"계약서 미작성")))))</f>
        <v>#VALUE!</v>
      </c>
      <c r="X710" s="81" t="str">
        <f aca="true">
IF(D710="폐업","폐업",
IF(AND(V710="정상",OFFSET(Y710,0,COUNTA(Y710:AV710)-1)="미납"),"미납",
IF(AND(V710="정상",OFFSET(Y710,0,COUNTA(Y710:AV710)-1)=0),"납부 시작 전",
IF(AND(V710="정상",OFFSET(Y710,0,COUNTA(Y710:AV710)-1)&gt;=U710),"정상",
IF(AND(V710="면제",OFFSET(Y710,0,COUNTA(Y710:AV710)-1)="면제"),"면제",
IF(AND(V710="면제",OFFSET(Y710,0,COUNTA(Y710:AV710)-1)=0),"면제",
"확인요청"))))))</f>
        <v>정상</v>
      </c>
      <c r="Y710" s="93" t="n">
        <v>55000</v>
      </c>
      <c r="Z710" s="90" t="n">
        <v>55000</v>
      </c>
      <c r="AA710" s="90" t="n">
        <v>55000</v>
      </c>
      <c r="AB710" s="90" t="n">
        <v>55000</v>
      </c>
      <c r="AC710" s="90" t="n">
        <v>55000</v>
      </c>
      <c r="AD710" s="90" t="n">
        <v>55000</v>
      </c>
      <c r="AE710" s="90" t="n">
        <v>55000</v>
      </c>
      <c r="AF710" s="90" t="n">
        <v>55000</v>
      </c>
      <c r="AG710" s="90" t="n">
        <v>55000</v>
      </c>
      <c r="AH710" s="90" t="n">
        <v>55000</v>
      </c>
      <c r="AI710" s="90" t="n">
        <v>55000</v>
      </c>
      <c r="AJ710" s="91" t="n">
        <v>55000</v>
      </c>
      <c r="AK710" s="89" t="n">
        <v>55000</v>
      </c>
      <c r="AL710" s="90" t="n">
        <v>55000</v>
      </c>
      <c r="AM710" s="90"/>
      <c r="AN710" s="90"/>
      <c r="AO710" s="90"/>
      <c r="AP710" s="90"/>
      <c r="AQ710" s="90"/>
      <c r="AR710" s="90"/>
      <c r="AS710" s="90"/>
      <c r="AT710" s="90"/>
      <c r="AU710" s="90"/>
      <c r="AV710" s="91"/>
      <c r="AX710" s="92"/>
    </row>
    <row r="711" customFormat="false" ht="15.65" hidden="false" customHeight="false" outlineLevel="0" collapsed="false">
      <c r="C711" s="72" t="n">
        <f aca="false">COUNTIFS($D$6:D711,"&lt;&gt;"&amp;"")</f>
        <v>706</v>
      </c>
      <c r="D711" s="73" t="s">
        <v>12</v>
      </c>
      <c r="E711" s="76" t="str">
        <f aca="false">
IF($D711="정상",INDEX(임대자산!$D$3:$R$3000,MATCH($F711,임대자산!$I$3:$I$3000,0),MATCH(E$3,임대자산!$D$3:$R$3,0)),
IF($D711="폐업",INDEX(폐업정보!$D$3:$R$3000,MATCH($F711,폐업정보!$I$3:$I$3000,0),MATCH(E$3,폐업정보!$D$3:$R$3,0)),
"Error"))</f>
        <v>강원</v>
      </c>
      <c r="F71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B0706</v>
      </c>
      <c r="G711" s="76" t="str">
        <f aca="false">F711&amp;RANDBETWEEN(0,10)</f>
        <v>B07068</v>
      </c>
      <c r="H711" s="75" t="n">
        <f aca="false">
IF($D711="정상",INDEX(임대자산!$D$3:$R$3000,MATCH($F711,임대자산!$I$3:$I$3000,0),MATCH(H$4,임대자산!$D$3:$R$3,0)),
IF($D711="폐업",INDEX(폐업정보!$D$3:$R$3000,MATCH($F711,폐업정보!$I$3:$I$3000,0),MATCH(H$4,폐업정보!$D$3:$R$3,0)),
"Error"))</f>
        <v>44755</v>
      </c>
      <c r="I711" s="75" t="str">
        <f aca="false">
IF($D711="정상",INDEX(임대자산!$D$3:$R$3000,MATCH($F711,임대자산!$I$3:$I$3000,0),MATCH(I$4,임대자산!$D$3:$R$3,0)),
IF($D711="폐업",INDEX(폐업정보!$D$3:$R$3000,MATCH($F711,폐업정보!$I$3:$I$3000,0),MATCH(I$4,폐업정보!$D$3:$R$3,0)),
"Error"))</f>
        <v>A0706</v>
      </c>
      <c r="J711" s="75" t="str">
        <f aca="false">
IF($D711="정상",INDEX(임대자산!$D$3:$R$3000,MATCH($F711,임대자산!$I$3:$I$3000,0),MATCH(J$4,임대자산!$D$3:$R$3,0)),
IF($D711="폐업",INDEX(폐업정보!$D$3:$R$3000,MATCH($F711,폐업정보!$I$3:$I$3000,0),MATCH(J$4,폐업정보!$D$3:$R$3,0)),
"Error"))</f>
        <v>2386700000</v>
      </c>
      <c r="K711" s="75" t="str">
        <f aca="false">
IF($D711="정상",INDEX(임대자산!$D$3:$R$3000,MATCH($F711,임대자산!$I$3:$I$3000,0),MATCH(K$4,임대자산!$D$3:$R$3,0)),
IF($D711="폐업",INDEX(폐업정보!$D$3:$R$3000,MATCH($F711,폐업정보!$I$3:$I$3000,0),MATCH(K$4,폐업정보!$D$3:$R$3,0)),
"Error"))</f>
        <v>C0706</v>
      </c>
      <c r="L711" s="75" t="str">
        <f aca="false">
IF($D711="정상",INDEX(임대자산!$D$3:$R$3000,MATCH($F711,임대자산!$I$3:$I$3000,0),MATCH(L$4,임대자산!$D$3:$R$3,0)),
IF($D711="폐업",INDEX(폐업정보!$D$3:$R$3000,MATCH($F711,폐업정보!$I$3:$I$3000,0),MATCH(L$4,폐업정보!$D$3:$R$3,0)),
"Error"))</f>
        <v>D0706</v>
      </c>
      <c r="M711" s="76" t="s">
        <v>96</v>
      </c>
      <c r="N711" s="77"/>
      <c r="O711" s="78" t="s">
        <v>97</v>
      </c>
      <c r="P711" s="79" t="n">
        <f aca="false">COUNTIFS(임대자산!$I:$I,가맹점정보!F711,임대자산!$N:$N,가맹점정보!P$4)</f>
        <v>0</v>
      </c>
      <c r="Q711" s="80" t="n">
        <f aca="false">COUNTIFS(임대자산!$I:$I,가맹점정보!F711,임대자산!$N:$N,가맹점정보!Q$4)</f>
        <v>1</v>
      </c>
      <c r="R711" s="81" t="n">
        <f aca="false">COUNTIFS(임대자산!$I:$I,가맹점정보!F711,임대자산!$N:$N,가맹점정보!R$4)</f>
        <v>0</v>
      </c>
      <c r="S711" s="82" t="n">
        <v>55000</v>
      </c>
      <c r="T711" s="83" t="n">
        <v>0</v>
      </c>
      <c r="U711" s="80" t="n">
        <f aca="false">SUM(S711:T711)</f>
        <v>55000</v>
      </c>
      <c r="V711" s="84" t="s">
        <v>12</v>
      </c>
      <c r="W711" s="80" t="e">
        <f aca="true">
IF(D711="폐업","폐업",
IF(V711="면제","면제",
IF(AND(V711="정상",COUNTIFS(OFFSET(Y711,0,COUNTA(Y711:AV711)-1,1,-4),"미납")&gt;=3),"장기미납",
IF(AND(V711="정상",OFFSET(Y711,0,COUNTA(Y711:AV711)-1)&gt;=U711),"정상",
IF(AND(V711="정상",OFFSET(Y711,0,COUNTA(Y711:AV711)-1)=0),"정상",
"계약서 미작성")))))</f>
        <v>#VALUE!</v>
      </c>
      <c r="X711" s="81" t="str">
        <f aca="true">
IF(D711="폐업","폐업",
IF(AND(V711="정상",OFFSET(Y711,0,COUNTA(Y711:AV711)-1)="미납"),"미납",
IF(AND(V711="정상",OFFSET(Y711,0,COUNTA(Y711:AV711)-1)=0),"납부 시작 전",
IF(AND(V711="정상",OFFSET(Y711,0,COUNTA(Y711:AV711)-1)&gt;=U711),"정상",
IF(AND(V711="면제",OFFSET(Y711,0,COUNTA(Y711:AV711)-1)="면제"),"면제",
IF(AND(V711="면제",OFFSET(Y711,0,COUNTA(Y711:AV711)-1)=0),"면제",
"확인요청"))))))</f>
        <v>정상</v>
      </c>
      <c r="Y711" s="93" t="n">
        <v>55000</v>
      </c>
      <c r="Z711" s="90" t="n">
        <v>55000</v>
      </c>
      <c r="AA711" s="90" t="n">
        <v>55000</v>
      </c>
      <c r="AB711" s="90" t="n">
        <v>55000</v>
      </c>
      <c r="AC711" s="90" t="n">
        <v>55000</v>
      </c>
      <c r="AD711" s="90" t="n">
        <v>55000</v>
      </c>
      <c r="AE711" s="90" t="n">
        <v>55000</v>
      </c>
      <c r="AF711" s="90" t="n">
        <v>55000</v>
      </c>
      <c r="AG711" s="90" t="n">
        <v>55000</v>
      </c>
      <c r="AH711" s="90" t="n">
        <v>55000</v>
      </c>
      <c r="AI711" s="90" t="n">
        <v>55000</v>
      </c>
      <c r="AJ711" s="91" t="n">
        <v>55000</v>
      </c>
      <c r="AK711" s="89" t="n">
        <v>55000</v>
      </c>
      <c r="AL711" s="90" t="n">
        <v>55000</v>
      </c>
      <c r="AM711" s="90"/>
      <c r="AN711" s="90"/>
      <c r="AO711" s="90"/>
      <c r="AP711" s="90"/>
      <c r="AQ711" s="90"/>
      <c r="AR711" s="90"/>
      <c r="AS711" s="90"/>
      <c r="AT711" s="90"/>
      <c r="AU711" s="90"/>
      <c r="AV711" s="91"/>
      <c r="AX711" s="92"/>
    </row>
    <row r="712" customFormat="false" ht="15.65" hidden="false" customHeight="false" outlineLevel="0" collapsed="false">
      <c r="C712" s="72" t="n">
        <f aca="false">COUNTIFS($D$6:D712,"&lt;&gt;"&amp;"")</f>
        <v>707</v>
      </c>
      <c r="D712" s="73" t="s">
        <v>12</v>
      </c>
      <c r="E712" s="76" t="str">
        <f aca="false">
IF($D712="정상",INDEX(임대자산!$D$3:$R$3000,MATCH($F712,임대자산!$I$3:$I$3000,0),MATCH(E$3,임대자산!$D$3:$R$3,0)),
IF($D712="폐업",INDEX(폐업정보!$D$3:$R$3000,MATCH($F712,폐업정보!$I$3:$I$3000,0),MATCH(E$3,폐업정보!$D$3:$R$3,0)),
"Error"))</f>
        <v>강원</v>
      </c>
      <c r="F71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B0707</v>
      </c>
      <c r="G712" s="76" t="str">
        <f aca="false">F712&amp;RANDBETWEEN(0,10)</f>
        <v>B07075</v>
      </c>
      <c r="H712" s="75" t="n">
        <f aca="false">
IF($D712="정상",INDEX(임대자산!$D$3:$R$3000,MATCH($F712,임대자산!$I$3:$I$3000,0),MATCH(H$4,임대자산!$D$3:$R$3,0)),
IF($D712="폐업",INDEX(폐업정보!$D$3:$R$3000,MATCH($F712,폐업정보!$I$3:$I$3000,0),MATCH(H$4,폐업정보!$D$3:$R$3,0)),
"Error"))</f>
        <v>44760</v>
      </c>
      <c r="I712" s="75" t="str">
        <f aca="false">
IF($D712="정상",INDEX(임대자산!$D$3:$R$3000,MATCH($F712,임대자산!$I$3:$I$3000,0),MATCH(I$4,임대자산!$D$3:$R$3,0)),
IF($D712="폐업",INDEX(폐업정보!$D$3:$R$3000,MATCH($F712,폐업정보!$I$3:$I$3000,0),MATCH(I$4,폐업정보!$D$3:$R$3,0)),
"Error"))</f>
        <v>A0707</v>
      </c>
      <c r="J712" s="75" t="str">
        <f aca="false">
IF($D712="정상",INDEX(임대자산!$D$3:$R$3000,MATCH($F712,임대자산!$I$3:$I$3000,0),MATCH(J$4,임대자산!$D$3:$R$3,0)),
IF($D712="폐업",INDEX(폐업정보!$D$3:$R$3000,MATCH($F712,폐업정보!$I$3:$I$3000,0),MATCH(J$4,폐업정보!$D$3:$R$3,0)),
"Error"))</f>
        <v>5998400000</v>
      </c>
      <c r="K712" s="75" t="str">
        <f aca="false">
IF($D712="정상",INDEX(임대자산!$D$3:$R$3000,MATCH($F712,임대자산!$I$3:$I$3000,0),MATCH(K$4,임대자산!$D$3:$R$3,0)),
IF($D712="폐업",INDEX(폐업정보!$D$3:$R$3000,MATCH($F712,폐업정보!$I$3:$I$3000,0),MATCH(K$4,폐업정보!$D$3:$R$3,0)),
"Error"))</f>
        <v>C0707</v>
      </c>
      <c r="L712" s="75" t="str">
        <f aca="false">
IF($D712="정상",INDEX(임대자산!$D$3:$R$3000,MATCH($F712,임대자산!$I$3:$I$3000,0),MATCH(L$4,임대자산!$D$3:$R$3,0)),
IF($D712="폐업",INDEX(폐업정보!$D$3:$R$3000,MATCH($F712,폐업정보!$I$3:$I$3000,0),MATCH(L$4,폐업정보!$D$3:$R$3,0)),
"Error"))</f>
        <v>D0707</v>
      </c>
      <c r="M712" s="76" t="s">
        <v>96</v>
      </c>
      <c r="N712" s="77"/>
      <c r="O712" s="78" t="s">
        <v>97</v>
      </c>
      <c r="P712" s="79" t="n">
        <f aca="false">COUNTIFS(임대자산!$I:$I,가맹점정보!F712,임대자산!$N:$N,가맹점정보!P$4)</f>
        <v>0</v>
      </c>
      <c r="Q712" s="80" t="n">
        <f aca="false">COUNTIFS(임대자산!$I:$I,가맹점정보!F712,임대자산!$N:$N,가맹점정보!Q$4)</f>
        <v>1</v>
      </c>
      <c r="R712" s="81" t="n">
        <f aca="false">COUNTIFS(임대자산!$I:$I,가맹점정보!F712,임대자산!$N:$N,가맹점정보!R$4)</f>
        <v>0</v>
      </c>
      <c r="S712" s="82" t="n">
        <v>88000</v>
      </c>
      <c r="T712" s="83" t="n">
        <v>0</v>
      </c>
      <c r="U712" s="80" t="n">
        <f aca="false">SUM(S712:T712)</f>
        <v>88000</v>
      </c>
      <c r="V712" s="84" t="s">
        <v>12</v>
      </c>
      <c r="W712" s="80" t="e">
        <f aca="true">
IF(D712="폐업","폐업",
IF(V712="면제","면제",
IF(AND(V712="정상",COUNTIFS(OFFSET(Y712,0,COUNTA(Y712:AV712)-1,1,-4),"미납")&gt;=3),"장기미납",
IF(AND(V712="정상",OFFSET(Y712,0,COUNTA(Y712:AV712)-1)&gt;=U712),"정상",
IF(AND(V712="정상",OFFSET(Y712,0,COUNTA(Y712:AV712)-1)=0),"정상",
"계약서 미작성")))))</f>
        <v>#VALUE!</v>
      </c>
      <c r="X712" s="81" t="str">
        <f aca="true">
IF(D712="폐업","폐업",
IF(AND(V712="정상",OFFSET(Y712,0,COUNTA(Y712:AV712)-1)="미납"),"미납",
IF(AND(V712="정상",OFFSET(Y712,0,COUNTA(Y712:AV712)-1)=0),"납부 시작 전",
IF(AND(V712="정상",OFFSET(Y712,0,COUNTA(Y712:AV712)-1)&gt;=U712),"정상",
IF(AND(V712="면제",OFFSET(Y712,0,COUNTA(Y712:AV712)-1)="면제"),"면제",
IF(AND(V712="면제",OFFSET(Y712,0,COUNTA(Y712:AV712)-1)=0),"면제",
"확인요청"))))))</f>
        <v>정상</v>
      </c>
      <c r="Y712" s="93" t="n">
        <v>88000</v>
      </c>
      <c r="Z712" s="90" t="n">
        <v>88000</v>
      </c>
      <c r="AA712" s="90" t="n">
        <v>88000</v>
      </c>
      <c r="AB712" s="90" t="n">
        <v>88000</v>
      </c>
      <c r="AC712" s="90" t="n">
        <v>88000</v>
      </c>
      <c r="AD712" s="90" t="n">
        <v>88000</v>
      </c>
      <c r="AE712" s="90" t="n">
        <v>88000</v>
      </c>
      <c r="AF712" s="90" t="s">
        <v>105</v>
      </c>
      <c r="AG712" s="90" t="n">
        <v>176000</v>
      </c>
      <c r="AH712" s="90" t="n">
        <v>88000</v>
      </c>
      <c r="AI712" s="90" t="n">
        <v>88000</v>
      </c>
      <c r="AJ712" s="91" t="n">
        <v>88000</v>
      </c>
      <c r="AK712" s="89" t="n">
        <v>88000</v>
      </c>
      <c r="AL712" s="90" t="n">
        <v>88000</v>
      </c>
      <c r="AM712" s="90"/>
      <c r="AN712" s="90"/>
      <c r="AO712" s="90"/>
      <c r="AP712" s="90"/>
      <c r="AQ712" s="90"/>
      <c r="AR712" s="90"/>
      <c r="AS712" s="90"/>
      <c r="AT712" s="90"/>
      <c r="AU712" s="90"/>
      <c r="AV712" s="91"/>
      <c r="AX712" s="92"/>
    </row>
    <row r="713" customFormat="false" ht="15.65" hidden="false" customHeight="false" outlineLevel="0" collapsed="false">
      <c r="C713" s="72" t="n">
        <f aca="false">COUNTIFS($D$6:D713,"&lt;&gt;"&amp;"")</f>
        <v>708</v>
      </c>
      <c r="D713" s="73" t="s">
        <v>12</v>
      </c>
      <c r="E713" s="76" t="str">
        <f aca="false">
IF($D713="정상",INDEX(임대자산!$D$3:$R$3000,MATCH($F713,임대자산!$I$3:$I$3000,0),MATCH(E$3,임대자산!$D$3:$R$3,0)),
IF($D713="폐업",INDEX(폐업정보!$D$3:$R$3000,MATCH($F713,폐업정보!$I$3:$I$3000,0),MATCH(E$3,폐업정보!$D$3:$R$3,0)),
"Error"))</f>
        <v>강원</v>
      </c>
      <c r="F71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B0708</v>
      </c>
      <c r="G713" s="76" t="str">
        <f aca="false">F713&amp;RANDBETWEEN(0,10)</f>
        <v>B07083</v>
      </c>
      <c r="H713" s="75" t="n">
        <f aca="false">
IF($D713="정상",INDEX(임대자산!$D$3:$R$3000,MATCH($F713,임대자산!$I$3:$I$3000,0),MATCH(H$4,임대자산!$D$3:$R$3,0)),
IF($D713="폐업",INDEX(폐업정보!$D$3:$R$3000,MATCH($F713,폐업정보!$I$3:$I$3000,0),MATCH(H$4,폐업정보!$D$3:$R$3,0)),
"Error"))</f>
        <v>45476</v>
      </c>
      <c r="I713" s="75" t="str">
        <f aca="false">
IF($D713="정상",INDEX(임대자산!$D$3:$R$3000,MATCH($F713,임대자산!$I$3:$I$3000,0),MATCH(I$4,임대자산!$D$3:$R$3,0)),
IF($D713="폐업",INDEX(폐업정보!$D$3:$R$3000,MATCH($F713,폐업정보!$I$3:$I$3000,0),MATCH(I$4,폐업정보!$D$3:$R$3,0)),
"Error"))</f>
        <v>A0708</v>
      </c>
      <c r="J713" s="75" t="str">
        <f aca="false">
IF($D713="정상",INDEX(임대자산!$D$3:$R$3000,MATCH($F713,임대자산!$I$3:$I$3000,0),MATCH(J$4,임대자산!$D$3:$R$3,0)),
IF($D713="폐업",INDEX(폐업정보!$D$3:$R$3000,MATCH($F713,폐업정보!$I$3:$I$3000,0),MATCH(J$4,폐업정보!$D$3:$R$3,0)),
"Error"))</f>
        <v>3195600000</v>
      </c>
      <c r="K713" s="75" t="str">
        <f aca="false">
IF($D713="정상",INDEX(임대자산!$D$3:$R$3000,MATCH($F713,임대자산!$I$3:$I$3000,0),MATCH(K$4,임대자산!$D$3:$R$3,0)),
IF($D713="폐업",INDEX(폐업정보!$D$3:$R$3000,MATCH($F713,폐업정보!$I$3:$I$3000,0),MATCH(K$4,폐업정보!$D$3:$R$3,0)),
"Error"))</f>
        <v>C0708</v>
      </c>
      <c r="L713" s="75" t="str">
        <f aca="false">
IF($D713="정상",INDEX(임대자산!$D$3:$R$3000,MATCH($F713,임대자산!$I$3:$I$3000,0),MATCH(L$4,임대자산!$D$3:$R$3,0)),
IF($D713="폐업",INDEX(폐업정보!$D$3:$R$3000,MATCH($F713,폐업정보!$I$3:$I$3000,0),MATCH(L$4,폐업정보!$D$3:$R$3,0)),
"Error"))</f>
        <v>D0708</v>
      </c>
      <c r="M713" s="76" t="s">
        <v>96</v>
      </c>
      <c r="N713" s="77"/>
      <c r="O713" s="78" t="s">
        <v>97</v>
      </c>
      <c r="P713" s="79" t="n">
        <f aca="false">COUNTIFS(임대자산!$I:$I,가맹점정보!F713,임대자산!$N:$N,가맹점정보!P$4)</f>
        <v>0</v>
      </c>
      <c r="Q713" s="80" t="n">
        <f aca="false">COUNTIFS(임대자산!$I:$I,가맹점정보!F713,임대자산!$N:$N,가맹점정보!Q$4)</f>
        <v>1</v>
      </c>
      <c r="R713" s="81" t="n">
        <f aca="false">COUNTIFS(임대자산!$I:$I,가맹점정보!F713,임대자산!$N:$N,가맹점정보!R$4)</f>
        <v>0</v>
      </c>
      <c r="S713" s="82" t="n">
        <v>55000</v>
      </c>
      <c r="T713" s="83" t="n">
        <v>0</v>
      </c>
      <c r="U713" s="80" t="n">
        <f aca="false">SUM(S713:T713)</f>
        <v>55000</v>
      </c>
      <c r="V713" s="84" t="s">
        <v>12</v>
      </c>
      <c r="W713" s="80" t="e">
        <f aca="true">
IF(D713="폐업","폐업",
IF(V713="면제","면제",
IF(AND(V713="정상",COUNTIFS(OFFSET(Y713,0,COUNTA(Y713:AV713)-1,1,-4),"미납")&gt;=3),"장기미납",
IF(AND(V713="정상",OFFSET(Y713,0,COUNTA(Y713:AV713)-1)&gt;=U713),"정상",
IF(AND(V713="정상",OFFSET(Y713,0,COUNTA(Y713:AV713)-1)=0),"정상",
"계약서 미작성")))))</f>
        <v>#VALUE!</v>
      </c>
      <c r="X713" s="81" t="str">
        <f aca="true">
IF(D713="폐업","폐업",
IF(AND(V713="정상",OFFSET(Y713,0,COUNTA(Y713:AV713)-1)="미납"),"미납",
IF(AND(V713="정상",OFFSET(Y713,0,COUNTA(Y713:AV713)-1)=0),"납부 시작 전",
IF(AND(V713="정상",OFFSET(Y713,0,COUNTA(Y713:AV713)-1)&gt;=U713),"정상",
IF(AND(V713="면제",OFFSET(Y713,0,COUNTA(Y713:AV713)-1)="면제"),"면제",
IF(AND(V713="면제",OFFSET(Y713,0,COUNTA(Y713:AV713)-1)=0),"면제",
"확인요청"))))))</f>
        <v>정상</v>
      </c>
      <c r="Y713" s="93" t="n">
        <v>55000</v>
      </c>
      <c r="Z713" s="90" t="n">
        <v>55000</v>
      </c>
      <c r="AA713" s="90" t="n">
        <v>55000</v>
      </c>
      <c r="AB713" s="90" t="n">
        <v>55000</v>
      </c>
      <c r="AC713" s="90" t="n">
        <v>55000</v>
      </c>
      <c r="AD713" s="90" t="n">
        <v>55000</v>
      </c>
      <c r="AE713" s="90" t="n">
        <v>55000</v>
      </c>
      <c r="AF713" s="90" t="n">
        <v>55000</v>
      </c>
      <c r="AG713" s="90" t="n">
        <v>55000</v>
      </c>
      <c r="AH713" s="90" t="n">
        <v>55000</v>
      </c>
      <c r="AI713" s="90" t="n">
        <v>55000</v>
      </c>
      <c r="AJ713" s="91" t="n">
        <v>55000</v>
      </c>
      <c r="AK713" s="89" t="n">
        <v>55000</v>
      </c>
      <c r="AL713" s="90" t="n">
        <v>55000</v>
      </c>
      <c r="AM713" s="90"/>
      <c r="AN713" s="90"/>
      <c r="AO713" s="90"/>
      <c r="AP713" s="90"/>
      <c r="AQ713" s="90"/>
      <c r="AR713" s="90"/>
      <c r="AS713" s="90"/>
      <c r="AT713" s="90"/>
      <c r="AU713" s="90"/>
      <c r="AV713" s="91"/>
      <c r="AX713" s="92"/>
    </row>
    <row r="714" customFormat="false" ht="15.65" hidden="false" customHeight="false" outlineLevel="0" collapsed="false">
      <c r="C714" s="72" t="n">
        <f aca="false">COUNTIFS($D$6:D714,"&lt;&gt;"&amp;"")</f>
        <v>709</v>
      </c>
      <c r="D714" s="73" t="s">
        <v>12</v>
      </c>
      <c r="E714" s="76" t="str">
        <f aca="false">
IF($D714="정상",INDEX(임대자산!$D$3:$R$3000,MATCH($F714,임대자산!$I$3:$I$3000,0),MATCH(E$3,임대자산!$D$3:$R$3,0)),
IF($D714="폐업",INDEX(폐업정보!$D$3:$R$3000,MATCH($F714,폐업정보!$I$3:$I$3000,0),MATCH(E$3,폐업정보!$D$3:$R$3,0)),
"Error"))</f>
        <v>강원</v>
      </c>
      <c r="F71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B0709</v>
      </c>
      <c r="G714" s="76" t="str">
        <f aca="false">F714&amp;RANDBETWEEN(0,10)</f>
        <v>B07091</v>
      </c>
      <c r="H714" s="75" t="n">
        <f aca="false">
IF($D714="정상",INDEX(임대자산!$D$3:$R$3000,MATCH($F714,임대자산!$I$3:$I$3000,0),MATCH(H$4,임대자산!$D$3:$R$3,0)),
IF($D714="폐업",INDEX(폐업정보!$D$3:$R$3000,MATCH($F714,폐업정보!$I$3:$I$3000,0),MATCH(H$4,폐업정보!$D$3:$R$3,0)),
"Error"))</f>
        <v>45656</v>
      </c>
      <c r="I714" s="75" t="str">
        <f aca="false">
IF($D714="정상",INDEX(임대자산!$D$3:$R$3000,MATCH($F714,임대자산!$I$3:$I$3000,0),MATCH(I$4,임대자산!$D$3:$R$3,0)),
IF($D714="폐업",INDEX(폐업정보!$D$3:$R$3000,MATCH($F714,폐업정보!$I$3:$I$3000,0),MATCH(I$4,폐업정보!$D$3:$R$3,0)),
"Error"))</f>
        <v>A0709</v>
      </c>
      <c r="J714" s="75" t="str">
        <f aca="false">
IF($D714="정상",INDEX(임대자산!$D$3:$R$3000,MATCH($F714,임대자산!$I$3:$I$3000,0),MATCH(J$4,임대자산!$D$3:$R$3,0)),
IF($D714="폐업",INDEX(폐업정보!$D$3:$R$3000,MATCH($F714,폐업정보!$I$3:$I$3000,0),MATCH(J$4,폐업정보!$D$3:$R$3,0)),
"Error"))</f>
        <v>3306700000</v>
      </c>
      <c r="K714" s="75" t="str">
        <f aca="false">
IF($D714="정상",INDEX(임대자산!$D$3:$R$3000,MATCH($F714,임대자산!$I$3:$I$3000,0),MATCH(K$4,임대자산!$D$3:$R$3,0)),
IF($D714="폐업",INDEX(폐업정보!$D$3:$R$3000,MATCH($F714,폐업정보!$I$3:$I$3000,0),MATCH(K$4,폐업정보!$D$3:$R$3,0)),
"Error"))</f>
        <v>C0709</v>
      </c>
      <c r="L714" s="75" t="str">
        <f aca="false">
IF($D714="정상",INDEX(임대자산!$D$3:$R$3000,MATCH($F714,임대자산!$I$3:$I$3000,0),MATCH(L$4,임대자산!$D$3:$R$3,0)),
IF($D714="폐업",INDEX(폐업정보!$D$3:$R$3000,MATCH($F714,폐업정보!$I$3:$I$3000,0),MATCH(L$4,폐업정보!$D$3:$R$3,0)),
"Error"))</f>
        <v>D0709</v>
      </c>
      <c r="M714" s="76" t="s">
        <v>96</v>
      </c>
      <c r="N714" s="77"/>
      <c r="O714" s="78" t="s">
        <v>97</v>
      </c>
      <c r="P714" s="79" t="n">
        <f aca="false">COUNTIFS(임대자산!$I:$I,가맹점정보!F714,임대자산!$N:$N,가맹점정보!P$4)</f>
        <v>0</v>
      </c>
      <c r="Q714" s="80" t="n">
        <f aca="false">COUNTIFS(임대자산!$I:$I,가맹점정보!F714,임대자산!$N:$N,가맹점정보!Q$4)</f>
        <v>1</v>
      </c>
      <c r="R714" s="81" t="n">
        <f aca="false">COUNTIFS(임대자산!$I:$I,가맹점정보!F714,임대자산!$N:$N,가맹점정보!R$4)</f>
        <v>0</v>
      </c>
      <c r="S714" s="82" t="n">
        <v>55000</v>
      </c>
      <c r="T714" s="83" t="n">
        <v>0</v>
      </c>
      <c r="U714" s="80" t="n">
        <f aca="false">SUM(S714:T714)</f>
        <v>55000</v>
      </c>
      <c r="V714" s="84" t="s">
        <v>7</v>
      </c>
      <c r="W714" s="80" t="str">
        <f aca="true">
IF(D714="폐업","폐업",
IF(V714="면제","면제",
IF(AND(V714="정상",COUNTIFS(OFFSET(Y714,0,COUNTA(Y714:AV714)-1,1,-4),"미납")&gt;=3),"장기미납",
IF(AND(V714="정상",OFFSET(Y714,0,COUNTA(Y714:AV714)-1)&gt;=U714),"정상",
IF(AND(V714="정상",OFFSET(Y714,0,COUNTA(Y714:AV714)-1)=0),"정상",
"계약서 미작성")))))</f>
        <v>면제</v>
      </c>
      <c r="X714" s="81" t="str">
        <f aca="true">
IF(D714="폐업","폐업",
IF(AND(V714="정상",OFFSET(Y714,0,COUNTA(Y714:AV714)-1)="미납"),"미납",
IF(AND(V714="정상",OFFSET(Y714,0,COUNTA(Y714:AV714)-1)=0),"납부 시작 전",
IF(AND(V714="정상",OFFSET(Y714,0,COUNTA(Y714:AV714)-1)&gt;=U714),"정상",
IF(AND(V714="면제",OFFSET(Y714,0,COUNTA(Y714:AV714)-1)="면제"),"면제",
IF(AND(V714="면제",OFFSET(Y714,0,COUNTA(Y714:AV714)-1)=0),"면제",
"확인요청"))))))</f>
        <v>면제</v>
      </c>
      <c r="Y714" s="94" t="s">
        <v>7</v>
      </c>
      <c r="Z714" s="95" t="s">
        <v>7</v>
      </c>
      <c r="AA714" s="95" t="s">
        <v>7</v>
      </c>
      <c r="AB714" s="95" t="s">
        <v>7</v>
      </c>
      <c r="AC714" s="95" t="s">
        <v>7</v>
      </c>
      <c r="AD714" s="95" t="s">
        <v>7</v>
      </c>
      <c r="AE714" s="95" t="s">
        <v>7</v>
      </c>
      <c r="AF714" s="95" t="s">
        <v>7</v>
      </c>
      <c r="AG714" s="95" t="s">
        <v>7</v>
      </c>
      <c r="AH714" s="95" t="s">
        <v>7</v>
      </c>
      <c r="AI714" s="95" t="s">
        <v>7</v>
      </c>
      <c r="AJ714" s="96" t="s">
        <v>7</v>
      </c>
      <c r="AK714" s="97" t="s">
        <v>7</v>
      </c>
      <c r="AL714" s="95" t="s">
        <v>7</v>
      </c>
      <c r="AM714" s="90"/>
      <c r="AN714" s="90"/>
      <c r="AO714" s="90"/>
      <c r="AP714" s="90"/>
      <c r="AQ714" s="90"/>
      <c r="AR714" s="90"/>
      <c r="AS714" s="90"/>
      <c r="AT714" s="90"/>
      <c r="AU714" s="90"/>
      <c r="AV714" s="91"/>
      <c r="AX714" s="92"/>
    </row>
    <row r="715" customFormat="false" ht="15.65" hidden="false" customHeight="false" outlineLevel="0" collapsed="false">
      <c r="C715" s="72" t="n">
        <f aca="false">COUNTIFS($D$6:D715,"&lt;&gt;"&amp;"")</f>
        <v>710</v>
      </c>
      <c r="D715" s="73" t="s">
        <v>12</v>
      </c>
      <c r="E715" s="76" t="str">
        <f aca="false">
IF($D715="정상",INDEX(임대자산!$D$3:$R$3000,MATCH($F715,임대자산!$I$3:$I$3000,0),MATCH(E$3,임대자산!$D$3:$R$3,0)),
IF($D715="폐업",INDEX(폐업정보!$D$3:$R$3000,MATCH($F715,폐업정보!$I$3:$I$3000,0),MATCH(E$3,폐업정보!$D$3:$R$3,0)),
"Error"))</f>
        <v>서울</v>
      </c>
      <c r="F71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B0710</v>
      </c>
      <c r="G715" s="76" t="str">
        <f aca="false">F715&amp;RANDBETWEEN(0,10)</f>
        <v>B07109</v>
      </c>
      <c r="H715" s="75" t="n">
        <f aca="false">
IF($D715="정상",INDEX(임대자산!$D$3:$R$3000,MATCH($F715,임대자산!$I$3:$I$3000,0),MATCH(H$4,임대자산!$D$3:$R$3,0)),
IF($D715="폐업",INDEX(폐업정보!$D$3:$R$3000,MATCH($F715,폐업정보!$I$3:$I$3000,0),MATCH(H$4,폐업정보!$D$3:$R$3,0)),
"Error"))</f>
        <v>45910</v>
      </c>
      <c r="I715" s="75" t="str">
        <f aca="false">
IF($D715="정상",INDEX(임대자산!$D$3:$R$3000,MATCH($F715,임대자산!$I$3:$I$3000,0),MATCH(I$4,임대자산!$D$3:$R$3,0)),
IF($D715="폐업",INDEX(폐업정보!$D$3:$R$3000,MATCH($F715,폐업정보!$I$3:$I$3000,0),MATCH(I$4,폐업정보!$D$3:$R$3,0)),
"Error"))</f>
        <v>A0710</v>
      </c>
      <c r="J715" s="75" t="str">
        <f aca="false">
IF($D715="정상",INDEX(임대자산!$D$3:$R$3000,MATCH($F715,임대자산!$I$3:$I$3000,0),MATCH(J$4,임대자산!$D$3:$R$3,0)),
IF($D715="폐업",INDEX(폐업정보!$D$3:$R$3000,MATCH($F715,폐업정보!$I$3:$I$3000,0),MATCH(J$4,폐업정보!$D$3:$R$3,0)),
"Error"))</f>
        <v>4687700000</v>
      </c>
      <c r="K715" s="75" t="str">
        <f aca="false">
IF($D715="정상",INDEX(임대자산!$D$3:$R$3000,MATCH($F715,임대자산!$I$3:$I$3000,0),MATCH(K$4,임대자산!$D$3:$R$3,0)),
IF($D715="폐업",INDEX(폐업정보!$D$3:$R$3000,MATCH($F715,폐업정보!$I$3:$I$3000,0),MATCH(K$4,폐업정보!$D$3:$R$3,0)),
"Error"))</f>
        <v>C0710</v>
      </c>
      <c r="L715" s="75" t="str">
        <f aca="false">
IF($D715="정상",INDEX(임대자산!$D$3:$R$3000,MATCH($F715,임대자산!$I$3:$I$3000,0),MATCH(L$4,임대자산!$D$3:$R$3,0)),
IF($D715="폐업",INDEX(폐업정보!$D$3:$R$3000,MATCH($F715,폐업정보!$I$3:$I$3000,0),MATCH(L$4,폐업정보!$D$3:$R$3,0)),
"Error"))</f>
        <v>D0710</v>
      </c>
      <c r="M715" s="76" t="s">
        <v>96</v>
      </c>
      <c r="N715" s="77"/>
      <c r="O715" s="78" t="s">
        <v>97</v>
      </c>
      <c r="P715" s="79" t="n">
        <f aca="false">COUNTIFS(임대자산!$I:$I,가맹점정보!F715,임대자산!$N:$N,가맹점정보!P$4)</f>
        <v>0</v>
      </c>
      <c r="Q715" s="80" t="n">
        <f aca="false">COUNTIFS(임대자산!$I:$I,가맹점정보!F715,임대자산!$N:$N,가맹점정보!Q$4)</f>
        <v>1</v>
      </c>
      <c r="R715" s="81" t="n">
        <f aca="false">COUNTIFS(임대자산!$I:$I,가맹점정보!F715,임대자산!$N:$N,가맹점정보!R$4)</f>
        <v>0</v>
      </c>
      <c r="S715" s="82" t="n">
        <v>55000</v>
      </c>
      <c r="T715" s="83" t="n">
        <v>0</v>
      </c>
      <c r="U715" s="80" t="n">
        <f aca="false">SUM(S715:T715)</f>
        <v>55000</v>
      </c>
      <c r="V715" s="84" t="s">
        <v>12</v>
      </c>
      <c r="W715" s="80" t="e">
        <f aca="true">
IF(D715="폐업","폐업",
IF(V715="면제","면제",
IF(AND(V715="정상",COUNTIFS(OFFSET(Y715,0,COUNTA(Y715:AV715)-1,1,-4),"미납")&gt;=3),"장기미납",
IF(AND(V715="정상",OFFSET(Y715,0,COUNTA(Y715:AV715)-1)&gt;=U715),"정상",
IF(AND(V715="정상",OFFSET(Y715,0,COUNTA(Y715:AV715)-1)=0),"정상",
"계약서 미작성")))))</f>
        <v>#VALUE!</v>
      </c>
      <c r="X715" s="81" t="str">
        <f aca="true">
IF(D715="폐업","폐업",
IF(AND(V715="정상",OFFSET(Y715,0,COUNTA(Y715:AV715)-1)="미납"),"미납",
IF(AND(V715="정상",OFFSET(Y715,0,COUNTA(Y715:AV715)-1)=0),"납부 시작 전",
IF(AND(V715="정상",OFFSET(Y715,0,COUNTA(Y715:AV715)-1)&gt;=U715),"정상",
IF(AND(V715="면제",OFFSET(Y715,0,COUNTA(Y715:AV715)-1)="면제"),"면제",
IF(AND(V715="면제",OFFSET(Y715,0,COUNTA(Y715:AV715)-1)=0),"면제",
"확인요청"))))))</f>
        <v>정상</v>
      </c>
      <c r="Y715" s="93" t="n">
        <v>55000</v>
      </c>
      <c r="Z715" s="90" t="n">
        <v>55000</v>
      </c>
      <c r="AA715" s="90" t="n">
        <v>55000</v>
      </c>
      <c r="AB715" s="90" t="n">
        <v>55000</v>
      </c>
      <c r="AC715" s="90" t="n">
        <v>55000</v>
      </c>
      <c r="AD715" s="90" t="n">
        <v>55000</v>
      </c>
      <c r="AE715" s="90" t="n">
        <v>55000</v>
      </c>
      <c r="AF715" s="90" t="n">
        <v>55000</v>
      </c>
      <c r="AG715" s="90" t="n">
        <v>55000</v>
      </c>
      <c r="AH715" s="90" t="n">
        <v>55000</v>
      </c>
      <c r="AI715" s="90" t="n">
        <v>55000</v>
      </c>
      <c r="AJ715" s="91" t="n">
        <v>55000</v>
      </c>
      <c r="AK715" s="89" t="n">
        <v>55000</v>
      </c>
      <c r="AL715" s="90" t="n">
        <v>55000</v>
      </c>
      <c r="AM715" s="90"/>
      <c r="AN715" s="90"/>
      <c r="AO715" s="90"/>
      <c r="AP715" s="90"/>
      <c r="AQ715" s="90"/>
      <c r="AR715" s="90"/>
      <c r="AS715" s="90"/>
      <c r="AT715" s="90"/>
      <c r="AU715" s="90"/>
      <c r="AV715" s="91"/>
      <c r="AX715" s="92"/>
    </row>
    <row r="716" customFormat="false" ht="15.65" hidden="false" customHeight="false" outlineLevel="0" collapsed="false">
      <c r="C716" s="72" t="n">
        <f aca="false">COUNTIFS($D$6:D716,"&lt;&gt;"&amp;"")</f>
        <v>711</v>
      </c>
      <c r="D716" s="73" t="s">
        <v>12</v>
      </c>
      <c r="E716" s="76" t="str">
        <f aca="false">
IF($D716="정상",INDEX(임대자산!$D$3:$R$3000,MATCH($F716,임대자산!$I$3:$I$3000,0),MATCH(E$3,임대자산!$D$3:$R$3,0)),
IF($D716="폐업",INDEX(폐업정보!$D$3:$R$3000,MATCH($F716,폐업정보!$I$3:$I$3000,0),MATCH(E$3,폐업정보!$D$3:$R$3,0)),
"Error"))</f>
        <v>서울</v>
      </c>
      <c r="F71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B0711</v>
      </c>
      <c r="G716" s="76" t="str">
        <f aca="false">F716&amp;RANDBETWEEN(0,10)</f>
        <v>B07116</v>
      </c>
      <c r="H716" s="75" t="n">
        <f aca="false">
IF($D716="정상",INDEX(임대자산!$D$3:$R$3000,MATCH($F716,임대자산!$I$3:$I$3000,0),MATCH(H$4,임대자산!$D$3:$R$3,0)),
IF($D716="폐업",INDEX(폐업정보!$D$3:$R$3000,MATCH($F716,폐업정보!$I$3:$I$3000,0),MATCH(H$4,폐업정보!$D$3:$R$3,0)),
"Error"))</f>
        <v>44831</v>
      </c>
      <c r="I716" s="75" t="str">
        <f aca="false">
IF($D716="정상",INDEX(임대자산!$D$3:$R$3000,MATCH($F716,임대자산!$I$3:$I$3000,0),MATCH(I$4,임대자산!$D$3:$R$3,0)),
IF($D716="폐업",INDEX(폐업정보!$D$3:$R$3000,MATCH($F716,폐업정보!$I$3:$I$3000,0),MATCH(I$4,폐업정보!$D$3:$R$3,0)),
"Error"))</f>
        <v>A0711</v>
      </c>
      <c r="J716" s="75" t="str">
        <f aca="false">
IF($D716="정상",INDEX(임대자산!$D$3:$R$3000,MATCH($F716,임대자산!$I$3:$I$3000,0),MATCH(J$4,임대자산!$D$3:$R$3,0)),
IF($D716="폐업",INDEX(폐업정보!$D$3:$R$3000,MATCH($F716,폐업정보!$I$3:$I$3000,0),MATCH(J$4,폐업정보!$D$3:$R$3,0)),
"Error"))</f>
        <v>3003900000</v>
      </c>
      <c r="K716" s="75" t="str">
        <f aca="false">
IF($D716="정상",INDEX(임대자산!$D$3:$R$3000,MATCH($F716,임대자산!$I$3:$I$3000,0),MATCH(K$4,임대자산!$D$3:$R$3,0)),
IF($D716="폐업",INDEX(폐업정보!$D$3:$R$3000,MATCH($F716,폐업정보!$I$3:$I$3000,0),MATCH(K$4,폐업정보!$D$3:$R$3,0)),
"Error"))</f>
        <v>C0711</v>
      </c>
      <c r="L716" s="75" t="str">
        <f aca="false">
IF($D716="정상",INDEX(임대자산!$D$3:$R$3000,MATCH($F716,임대자산!$I$3:$I$3000,0),MATCH(L$4,임대자산!$D$3:$R$3,0)),
IF($D716="폐업",INDEX(폐업정보!$D$3:$R$3000,MATCH($F716,폐업정보!$I$3:$I$3000,0),MATCH(L$4,폐업정보!$D$3:$R$3,0)),
"Error"))</f>
        <v>D0711</v>
      </c>
      <c r="M716" s="76" t="s">
        <v>96</v>
      </c>
      <c r="N716" s="77"/>
      <c r="O716" s="78" t="s">
        <v>97</v>
      </c>
      <c r="P716" s="79" t="n">
        <f aca="false">COUNTIFS(임대자산!$I:$I,가맹점정보!F716,임대자산!$N:$N,가맹점정보!P$4)</f>
        <v>0</v>
      </c>
      <c r="Q716" s="80" t="n">
        <f aca="false">COUNTIFS(임대자산!$I:$I,가맹점정보!F716,임대자산!$N:$N,가맹점정보!Q$4)</f>
        <v>1</v>
      </c>
      <c r="R716" s="81" t="n">
        <f aca="false">COUNTIFS(임대자산!$I:$I,가맹점정보!F716,임대자산!$N:$N,가맹점정보!R$4)</f>
        <v>0</v>
      </c>
      <c r="S716" s="82" t="n">
        <v>55000</v>
      </c>
      <c r="T716" s="83" t="n">
        <v>0</v>
      </c>
      <c r="U716" s="80" t="n">
        <f aca="false">SUM(S716:T716)</f>
        <v>55000</v>
      </c>
      <c r="V716" s="84" t="s">
        <v>12</v>
      </c>
      <c r="W716" s="80" t="e">
        <f aca="true">
IF(D716="폐업","폐업",
IF(V716="면제","면제",
IF(AND(V716="정상",COUNTIFS(OFFSET(Y716,0,COUNTA(Y716:AV716)-1,1,-4),"미납")&gt;=3),"장기미납",
IF(AND(V716="정상",OFFSET(Y716,0,COUNTA(Y716:AV716)-1)&gt;=U716),"정상",
IF(AND(V716="정상",OFFSET(Y716,0,COUNTA(Y716:AV716)-1)=0),"정상",
"계약서 미작성")))))</f>
        <v>#VALUE!</v>
      </c>
      <c r="X716" s="81" t="str">
        <f aca="true">
IF(D716="폐업","폐업",
IF(AND(V716="정상",OFFSET(Y716,0,COUNTA(Y716:AV716)-1)="미납"),"미납",
IF(AND(V716="정상",OFFSET(Y716,0,COUNTA(Y716:AV716)-1)=0),"납부 시작 전",
IF(AND(V716="정상",OFFSET(Y716,0,COUNTA(Y716:AV716)-1)&gt;=U716),"정상",
IF(AND(V716="면제",OFFSET(Y716,0,COUNTA(Y716:AV716)-1)="면제"),"면제",
IF(AND(V716="면제",OFFSET(Y716,0,COUNTA(Y716:AV716)-1)=0),"면제",
"확인요청"))))))</f>
        <v>정상</v>
      </c>
      <c r="Y716" s="93" t="n">
        <v>55000</v>
      </c>
      <c r="Z716" s="90" t="n">
        <v>55000</v>
      </c>
      <c r="AA716" s="90" t="n">
        <v>55000</v>
      </c>
      <c r="AB716" s="90" t="n">
        <v>55000</v>
      </c>
      <c r="AC716" s="90" t="n">
        <v>55000</v>
      </c>
      <c r="AD716" s="90" t="n">
        <v>55000</v>
      </c>
      <c r="AE716" s="90" t="n">
        <v>55000</v>
      </c>
      <c r="AF716" s="90" t="n">
        <v>55000</v>
      </c>
      <c r="AG716" s="90" t="n">
        <v>55000</v>
      </c>
      <c r="AH716" s="90" t="n">
        <v>55000</v>
      </c>
      <c r="AI716" s="90" t="n">
        <v>55000</v>
      </c>
      <c r="AJ716" s="91" t="n">
        <v>55000</v>
      </c>
      <c r="AK716" s="89" t="n">
        <v>55000</v>
      </c>
      <c r="AL716" s="90" t="n">
        <v>55000</v>
      </c>
      <c r="AM716" s="90"/>
      <c r="AN716" s="90"/>
      <c r="AO716" s="90"/>
      <c r="AP716" s="90"/>
      <c r="AQ716" s="90"/>
      <c r="AR716" s="90"/>
      <c r="AS716" s="90"/>
      <c r="AT716" s="90"/>
      <c r="AU716" s="90"/>
      <c r="AV716" s="91"/>
      <c r="AX716" s="92"/>
    </row>
    <row r="717" customFormat="false" ht="15.65" hidden="false" customHeight="false" outlineLevel="0" collapsed="false">
      <c r="C717" s="72" t="n">
        <f aca="false">COUNTIFS($D$6:D717,"&lt;&gt;"&amp;"")</f>
        <v>712</v>
      </c>
      <c r="D717" s="73" t="s">
        <v>12</v>
      </c>
      <c r="E717" s="76" t="str">
        <f aca="false">
IF($D717="정상",INDEX(임대자산!$D$3:$R$3000,MATCH($F717,임대자산!$I$3:$I$3000,0),MATCH(E$3,임대자산!$D$3:$R$3,0)),
IF($D717="폐업",INDEX(폐업정보!$D$3:$R$3000,MATCH($F717,폐업정보!$I$3:$I$3000,0),MATCH(E$3,폐업정보!$D$3:$R$3,0)),
"Error"))</f>
        <v>서울</v>
      </c>
      <c r="F71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B0712</v>
      </c>
      <c r="G717" s="76" t="str">
        <f aca="false">F717&amp;RANDBETWEEN(0,10)</f>
        <v>B071210</v>
      </c>
      <c r="H717" s="75" t="n">
        <f aca="false">
IF($D717="정상",INDEX(임대자산!$D$3:$R$3000,MATCH($F717,임대자산!$I$3:$I$3000,0),MATCH(H$4,임대자산!$D$3:$R$3,0)),
IF($D717="폐업",INDEX(폐업정보!$D$3:$R$3000,MATCH($F717,폐업정보!$I$3:$I$3000,0),MATCH(H$4,폐업정보!$D$3:$R$3,0)),
"Error"))</f>
        <v>44834</v>
      </c>
      <c r="I717" s="75" t="str">
        <f aca="false">
IF($D717="정상",INDEX(임대자산!$D$3:$R$3000,MATCH($F717,임대자산!$I$3:$I$3000,0),MATCH(I$4,임대자산!$D$3:$R$3,0)),
IF($D717="폐업",INDEX(폐업정보!$D$3:$R$3000,MATCH($F717,폐업정보!$I$3:$I$3000,0),MATCH(I$4,폐업정보!$D$3:$R$3,0)),
"Error"))</f>
        <v>A0712</v>
      </c>
      <c r="J717" s="75" t="str">
        <f aca="false">
IF($D717="정상",INDEX(임대자산!$D$3:$R$3000,MATCH($F717,임대자산!$I$3:$I$3000,0),MATCH(J$4,임대자산!$D$3:$R$3,0)),
IF($D717="폐업",INDEX(폐업정보!$D$3:$R$3000,MATCH($F717,폐업정보!$I$3:$I$3000,0),MATCH(J$4,폐업정보!$D$3:$R$3,0)),
"Error"))</f>
        <v>7577500000</v>
      </c>
      <c r="K717" s="75" t="str">
        <f aca="false">
IF($D717="정상",INDEX(임대자산!$D$3:$R$3000,MATCH($F717,임대자산!$I$3:$I$3000,0),MATCH(K$4,임대자산!$D$3:$R$3,0)),
IF($D717="폐업",INDEX(폐업정보!$D$3:$R$3000,MATCH($F717,폐업정보!$I$3:$I$3000,0),MATCH(K$4,폐업정보!$D$3:$R$3,0)),
"Error"))</f>
        <v>C0712</v>
      </c>
      <c r="L717" s="75" t="str">
        <f aca="false">
IF($D717="정상",INDEX(임대자산!$D$3:$R$3000,MATCH($F717,임대자산!$I$3:$I$3000,0),MATCH(L$4,임대자산!$D$3:$R$3,0)),
IF($D717="폐업",INDEX(폐업정보!$D$3:$R$3000,MATCH($F717,폐업정보!$I$3:$I$3000,0),MATCH(L$4,폐업정보!$D$3:$R$3,0)),
"Error"))</f>
        <v>D0712</v>
      </c>
      <c r="M717" s="76" t="s">
        <v>96</v>
      </c>
      <c r="N717" s="77"/>
      <c r="O717" s="78" t="s">
        <v>97</v>
      </c>
      <c r="P717" s="79" t="n">
        <f aca="false">COUNTIFS(임대자산!$I:$I,가맹점정보!F717,임대자산!$N:$N,가맹점정보!P$4)</f>
        <v>0</v>
      </c>
      <c r="Q717" s="80" t="n">
        <f aca="false">COUNTIFS(임대자산!$I:$I,가맹점정보!F717,임대자산!$N:$N,가맹점정보!Q$4)</f>
        <v>1</v>
      </c>
      <c r="R717" s="81" t="n">
        <f aca="false">COUNTIFS(임대자산!$I:$I,가맹점정보!F717,임대자산!$N:$N,가맹점정보!R$4)</f>
        <v>0</v>
      </c>
      <c r="S717" s="82" t="n">
        <v>33000</v>
      </c>
      <c r="T717" s="83" t="n">
        <v>0</v>
      </c>
      <c r="U717" s="80" t="n">
        <f aca="false">SUM(S717:T717)</f>
        <v>33000</v>
      </c>
      <c r="V717" s="84" t="s">
        <v>12</v>
      </c>
      <c r="W717" s="80" t="e">
        <f aca="true">
IF(D717="폐업","폐업",
IF(V717="면제","면제",
IF(AND(V717="정상",COUNTIFS(OFFSET(Y717,0,COUNTA(Y717:AV717)-1,1,-4),"미납")&gt;=3),"장기미납",
IF(AND(V717="정상",OFFSET(Y717,0,COUNTA(Y717:AV717)-1)&gt;=U717),"정상",
IF(AND(V717="정상",OFFSET(Y717,0,COUNTA(Y717:AV717)-1)=0),"정상",
"계약서 미작성")))))</f>
        <v>#VALUE!</v>
      </c>
      <c r="X717" s="81" t="str">
        <f aca="true">
IF(D717="폐업","폐업",
IF(AND(V717="정상",OFFSET(Y717,0,COUNTA(Y717:AV717)-1)="미납"),"미납",
IF(AND(V717="정상",OFFSET(Y717,0,COUNTA(Y717:AV717)-1)=0),"납부 시작 전",
IF(AND(V717="정상",OFFSET(Y717,0,COUNTA(Y717:AV717)-1)&gt;=U717),"정상",
IF(AND(V717="면제",OFFSET(Y717,0,COUNTA(Y717:AV717)-1)="면제"),"면제",
IF(AND(V717="면제",OFFSET(Y717,0,COUNTA(Y717:AV717)-1)=0),"면제",
"확인요청"))))))</f>
        <v>정상</v>
      </c>
      <c r="Y717" s="93" t="n">
        <v>33000</v>
      </c>
      <c r="Z717" s="90" t="n">
        <v>33000</v>
      </c>
      <c r="AA717" s="90" t="n">
        <v>33000</v>
      </c>
      <c r="AB717" s="90" t="n">
        <v>33000</v>
      </c>
      <c r="AC717" s="90" t="n">
        <v>33000</v>
      </c>
      <c r="AD717" s="90" t="n">
        <v>33000</v>
      </c>
      <c r="AE717" s="90" t="n">
        <v>33000</v>
      </c>
      <c r="AF717" s="90" t="n">
        <v>33000</v>
      </c>
      <c r="AG717" s="90" t="n">
        <v>33000</v>
      </c>
      <c r="AH717" s="90" t="n">
        <v>33000</v>
      </c>
      <c r="AI717" s="90" t="n">
        <v>33000</v>
      </c>
      <c r="AJ717" s="91" t="n">
        <v>33000</v>
      </c>
      <c r="AK717" s="89" t="n">
        <v>33000</v>
      </c>
      <c r="AL717" s="90" t="n">
        <v>33000</v>
      </c>
      <c r="AM717" s="90"/>
      <c r="AN717" s="90"/>
      <c r="AO717" s="90"/>
      <c r="AP717" s="90"/>
      <c r="AQ717" s="90"/>
      <c r="AR717" s="90"/>
      <c r="AS717" s="90"/>
      <c r="AT717" s="90"/>
      <c r="AU717" s="90"/>
      <c r="AV717" s="91"/>
      <c r="AX717" s="92"/>
    </row>
    <row r="718" customFormat="false" ht="15.65" hidden="false" customHeight="false" outlineLevel="0" collapsed="false">
      <c r="C718" s="72" t="n">
        <f aca="false">COUNTIFS($D$6:D718,"&lt;&gt;"&amp;"")</f>
        <v>713</v>
      </c>
      <c r="D718" s="73" t="s">
        <v>12</v>
      </c>
      <c r="E718" s="76" t="str">
        <f aca="false">
IF($D718="정상",INDEX(임대자산!$D$3:$R$3000,MATCH($F718,임대자산!$I$3:$I$3000,0),MATCH(E$3,임대자산!$D$3:$R$3,0)),
IF($D718="폐업",INDEX(폐업정보!$D$3:$R$3000,MATCH($F718,폐업정보!$I$3:$I$3000,0),MATCH(E$3,폐업정보!$D$3:$R$3,0)),
"Error"))</f>
        <v>서울</v>
      </c>
      <c r="F71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B0713</v>
      </c>
      <c r="G718" s="76" t="str">
        <f aca="false">F718&amp;RANDBETWEEN(0,10)</f>
        <v>B07139</v>
      </c>
      <c r="H718" s="75" t="n">
        <f aca="false">
IF($D718="정상",INDEX(임대자산!$D$3:$R$3000,MATCH($F718,임대자산!$I$3:$I$3000,0),MATCH(H$4,임대자산!$D$3:$R$3,0)),
IF($D718="폐업",INDEX(폐업정보!$D$3:$R$3000,MATCH($F718,폐업정보!$I$3:$I$3000,0),MATCH(H$4,폐업정보!$D$3:$R$3,0)),
"Error"))</f>
        <v>44838</v>
      </c>
      <c r="I718" s="75" t="str">
        <f aca="false">
IF($D718="정상",INDEX(임대자산!$D$3:$R$3000,MATCH($F718,임대자산!$I$3:$I$3000,0),MATCH(I$4,임대자산!$D$3:$R$3,0)),
IF($D718="폐업",INDEX(폐업정보!$D$3:$R$3000,MATCH($F718,폐업정보!$I$3:$I$3000,0),MATCH(I$4,폐업정보!$D$3:$R$3,0)),
"Error"))</f>
        <v>A0713</v>
      </c>
      <c r="J718" s="75" t="str">
        <f aca="false">
IF($D718="정상",INDEX(임대자산!$D$3:$R$3000,MATCH($F718,임대자산!$I$3:$I$3000,0),MATCH(J$4,임대자산!$D$3:$R$3,0)),
IF($D718="폐업",INDEX(폐업정보!$D$3:$R$3000,MATCH($F718,폐업정보!$I$3:$I$3000,0),MATCH(J$4,폐업정보!$D$3:$R$3,0)),
"Error"))</f>
        <v>6967700000</v>
      </c>
      <c r="K718" s="75" t="str">
        <f aca="false">
IF($D718="정상",INDEX(임대자산!$D$3:$R$3000,MATCH($F718,임대자산!$I$3:$I$3000,0),MATCH(K$4,임대자산!$D$3:$R$3,0)),
IF($D718="폐업",INDEX(폐업정보!$D$3:$R$3000,MATCH($F718,폐업정보!$I$3:$I$3000,0),MATCH(K$4,폐업정보!$D$3:$R$3,0)),
"Error"))</f>
        <v>C0713</v>
      </c>
      <c r="L718" s="75" t="str">
        <f aca="false">
IF($D718="정상",INDEX(임대자산!$D$3:$R$3000,MATCH($F718,임대자산!$I$3:$I$3000,0),MATCH(L$4,임대자산!$D$3:$R$3,0)),
IF($D718="폐업",INDEX(폐업정보!$D$3:$R$3000,MATCH($F718,폐업정보!$I$3:$I$3000,0),MATCH(L$4,폐업정보!$D$3:$R$3,0)),
"Error"))</f>
        <v>D0713</v>
      </c>
      <c r="M718" s="76" t="s">
        <v>96</v>
      </c>
      <c r="N718" s="77"/>
      <c r="O718" s="78" t="s">
        <v>97</v>
      </c>
      <c r="P718" s="79" t="n">
        <f aca="false">COUNTIFS(임대자산!$I:$I,가맹점정보!F718,임대자산!$N:$N,가맹점정보!P$4)</f>
        <v>0</v>
      </c>
      <c r="Q718" s="80" t="n">
        <f aca="false">COUNTIFS(임대자산!$I:$I,가맹점정보!F718,임대자산!$N:$N,가맹점정보!Q$4)</f>
        <v>1</v>
      </c>
      <c r="R718" s="81" t="n">
        <f aca="false">COUNTIFS(임대자산!$I:$I,가맹점정보!F718,임대자산!$N:$N,가맹점정보!R$4)</f>
        <v>0</v>
      </c>
      <c r="S718" s="82" t="n">
        <v>55000</v>
      </c>
      <c r="T718" s="83" t="n">
        <v>0</v>
      </c>
      <c r="U718" s="80" t="n">
        <f aca="false">SUM(S718:T718)</f>
        <v>55000</v>
      </c>
      <c r="V718" s="84" t="s">
        <v>12</v>
      </c>
      <c r="W718" s="80" t="e">
        <f aca="true">
IF(D718="폐업","폐업",
IF(V718="면제","면제",
IF(AND(V718="정상",COUNTIFS(OFFSET(Y718,0,COUNTA(Y718:AV718)-1,1,-4),"미납")&gt;=3),"장기미납",
IF(AND(V718="정상",OFFSET(Y718,0,COUNTA(Y718:AV718)-1)&gt;=U718),"정상",
IF(AND(V718="정상",OFFSET(Y718,0,COUNTA(Y718:AV718)-1)=0),"정상",
"계약서 미작성")))))</f>
        <v>#VALUE!</v>
      </c>
      <c r="X718" s="81" t="str">
        <f aca="true">
IF(D718="폐업","폐업",
IF(AND(V718="정상",OFFSET(Y718,0,COUNTA(Y718:AV718)-1)="미납"),"미납",
IF(AND(V718="정상",OFFSET(Y718,0,COUNTA(Y718:AV718)-1)=0),"납부 시작 전",
IF(AND(V718="정상",OFFSET(Y718,0,COUNTA(Y718:AV718)-1)&gt;=U718),"정상",
IF(AND(V718="면제",OFFSET(Y718,0,COUNTA(Y718:AV718)-1)="면제"),"면제",
IF(AND(V718="면제",OFFSET(Y718,0,COUNTA(Y718:AV718)-1)=0),"면제",
"확인요청"))))))</f>
        <v>정상</v>
      </c>
      <c r="Y718" s="93" t="n">
        <v>55000</v>
      </c>
      <c r="Z718" s="90" t="n">
        <v>55000</v>
      </c>
      <c r="AA718" s="90" t="n">
        <v>55000</v>
      </c>
      <c r="AB718" s="90" t="n">
        <v>55000</v>
      </c>
      <c r="AC718" s="90" t="n">
        <v>55000</v>
      </c>
      <c r="AD718" s="90" t="n">
        <v>55000</v>
      </c>
      <c r="AE718" s="90" t="n">
        <v>55000</v>
      </c>
      <c r="AF718" s="90" t="n">
        <v>55000</v>
      </c>
      <c r="AG718" s="90" t="n">
        <v>55000</v>
      </c>
      <c r="AH718" s="90" t="n">
        <v>55000</v>
      </c>
      <c r="AI718" s="90" t="n">
        <v>55000</v>
      </c>
      <c r="AJ718" s="91" t="n">
        <v>55000</v>
      </c>
      <c r="AK718" s="89" t="n">
        <v>55000</v>
      </c>
      <c r="AL718" s="90" t="n">
        <v>55000</v>
      </c>
      <c r="AM718" s="90"/>
      <c r="AN718" s="90"/>
      <c r="AO718" s="90"/>
      <c r="AP718" s="90"/>
      <c r="AQ718" s="90"/>
      <c r="AR718" s="90"/>
      <c r="AS718" s="90"/>
      <c r="AT718" s="90"/>
      <c r="AU718" s="90"/>
      <c r="AV718" s="91"/>
      <c r="AX718" s="92"/>
    </row>
    <row r="719" customFormat="false" ht="15.65" hidden="false" customHeight="false" outlineLevel="0" collapsed="false">
      <c r="C719" s="72" t="n">
        <f aca="false">COUNTIFS($D$6:D719,"&lt;&gt;"&amp;"")</f>
        <v>714</v>
      </c>
      <c r="D719" s="73" t="s">
        <v>12</v>
      </c>
      <c r="E719" s="76" t="str">
        <f aca="false">
IF($D719="정상",INDEX(임대자산!$D$3:$R$3000,MATCH($F719,임대자산!$I$3:$I$3000,0),MATCH(E$3,임대자산!$D$3:$R$3,0)),
IF($D719="폐업",INDEX(폐업정보!$D$3:$R$3000,MATCH($F719,폐업정보!$I$3:$I$3000,0),MATCH(E$3,폐업정보!$D$3:$R$3,0)),
"Error"))</f>
        <v>경상</v>
      </c>
      <c r="F71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B0714</v>
      </c>
      <c r="G719" s="76" t="str">
        <f aca="false">F719&amp;RANDBETWEEN(0,10)</f>
        <v>B07140</v>
      </c>
      <c r="H719" s="75" t="n">
        <f aca="false">
IF($D719="정상",INDEX(임대자산!$D$3:$R$3000,MATCH($F719,임대자산!$I$3:$I$3000,0),MATCH(H$4,임대자산!$D$3:$R$3,0)),
IF($D719="폐업",INDEX(폐업정보!$D$3:$R$3000,MATCH($F719,폐업정보!$I$3:$I$3000,0),MATCH(H$4,폐업정보!$D$3:$R$3,0)),
"Error"))</f>
        <v>44847</v>
      </c>
      <c r="I719" s="75" t="str">
        <f aca="false">
IF($D719="정상",INDEX(임대자산!$D$3:$R$3000,MATCH($F719,임대자산!$I$3:$I$3000,0),MATCH(I$4,임대자산!$D$3:$R$3,0)),
IF($D719="폐업",INDEX(폐업정보!$D$3:$R$3000,MATCH($F719,폐업정보!$I$3:$I$3000,0),MATCH(I$4,폐업정보!$D$3:$R$3,0)),
"Error"))</f>
        <v>A0714</v>
      </c>
      <c r="J719" s="75" t="str">
        <f aca="false">
IF($D719="정상",INDEX(임대자산!$D$3:$R$3000,MATCH($F719,임대자산!$I$3:$I$3000,0),MATCH(J$4,임대자산!$D$3:$R$3,0)),
IF($D719="폐업",INDEX(폐업정보!$D$3:$R$3000,MATCH($F719,폐업정보!$I$3:$I$3000,0),MATCH(J$4,폐업정보!$D$3:$R$3,0)),
"Error"))</f>
        <v>3668500000</v>
      </c>
      <c r="K719" s="75" t="str">
        <f aca="false">
IF($D719="정상",INDEX(임대자산!$D$3:$R$3000,MATCH($F719,임대자산!$I$3:$I$3000,0),MATCH(K$4,임대자산!$D$3:$R$3,0)),
IF($D719="폐업",INDEX(폐업정보!$D$3:$R$3000,MATCH($F719,폐업정보!$I$3:$I$3000,0),MATCH(K$4,폐업정보!$D$3:$R$3,0)),
"Error"))</f>
        <v>C0714</v>
      </c>
      <c r="L719" s="75" t="str">
        <f aca="false">
IF($D719="정상",INDEX(임대자산!$D$3:$R$3000,MATCH($F719,임대자산!$I$3:$I$3000,0),MATCH(L$4,임대자산!$D$3:$R$3,0)),
IF($D719="폐업",INDEX(폐업정보!$D$3:$R$3000,MATCH($F719,폐업정보!$I$3:$I$3000,0),MATCH(L$4,폐업정보!$D$3:$R$3,0)),
"Error"))</f>
        <v>D0714</v>
      </c>
      <c r="M719" s="76" t="s">
        <v>96</v>
      </c>
      <c r="N719" s="77"/>
      <c r="O719" s="78" t="s">
        <v>97</v>
      </c>
      <c r="P719" s="79" t="n">
        <f aca="false">COUNTIFS(임대자산!$I:$I,가맹점정보!F719,임대자산!$N:$N,가맹점정보!P$4)</f>
        <v>0</v>
      </c>
      <c r="Q719" s="80" t="n">
        <f aca="false">COUNTIFS(임대자산!$I:$I,가맹점정보!F719,임대자산!$N:$N,가맹점정보!Q$4)</f>
        <v>1</v>
      </c>
      <c r="R719" s="81" t="n">
        <f aca="false">COUNTIFS(임대자산!$I:$I,가맹점정보!F719,임대자산!$N:$N,가맹점정보!R$4)</f>
        <v>0</v>
      </c>
      <c r="S719" s="82" t="n">
        <v>55000</v>
      </c>
      <c r="T719" s="83" t="n">
        <v>0</v>
      </c>
      <c r="U719" s="80" t="n">
        <f aca="false">SUM(S719:T719)</f>
        <v>55000</v>
      </c>
      <c r="V719" s="84" t="s">
        <v>12</v>
      </c>
      <c r="W719" s="80" t="e">
        <f aca="true">
IF(D719="폐업","폐업",
IF(V719="면제","면제",
IF(AND(V719="정상",COUNTIFS(OFFSET(Y719,0,COUNTA(Y719:AV719)-1,1,-4),"미납")&gt;=3),"장기미납",
IF(AND(V719="정상",OFFSET(Y719,0,COUNTA(Y719:AV719)-1)&gt;=U719),"정상",
IF(AND(V719="정상",OFFSET(Y719,0,COUNTA(Y719:AV719)-1)=0),"정상",
"계약서 미작성")))))</f>
        <v>#VALUE!</v>
      </c>
      <c r="X719" s="81" t="str">
        <f aca="true">
IF(D719="폐업","폐업",
IF(AND(V719="정상",OFFSET(Y719,0,COUNTA(Y719:AV719)-1)="미납"),"미납",
IF(AND(V719="정상",OFFSET(Y719,0,COUNTA(Y719:AV719)-1)=0),"납부 시작 전",
IF(AND(V719="정상",OFFSET(Y719,0,COUNTA(Y719:AV719)-1)&gt;=U719),"정상",
IF(AND(V719="면제",OFFSET(Y719,0,COUNTA(Y719:AV719)-1)="면제"),"면제",
IF(AND(V719="면제",OFFSET(Y719,0,COUNTA(Y719:AV719)-1)=0),"면제",
"확인요청"))))))</f>
        <v>정상</v>
      </c>
      <c r="Y719" s="93" t="n">
        <v>55000</v>
      </c>
      <c r="Z719" s="90" t="n">
        <v>55000</v>
      </c>
      <c r="AA719" s="90" t="n">
        <v>55000</v>
      </c>
      <c r="AB719" s="90" t="n">
        <v>55000</v>
      </c>
      <c r="AC719" s="90" t="n">
        <v>55000</v>
      </c>
      <c r="AD719" s="90" t="n">
        <v>55000</v>
      </c>
      <c r="AE719" s="90" t="n">
        <v>55000</v>
      </c>
      <c r="AF719" s="90" t="n">
        <v>55000</v>
      </c>
      <c r="AG719" s="90" t="n">
        <v>55000</v>
      </c>
      <c r="AH719" s="90" t="n">
        <v>55000</v>
      </c>
      <c r="AI719" s="90" t="n">
        <v>55000</v>
      </c>
      <c r="AJ719" s="91" t="s">
        <v>101</v>
      </c>
      <c r="AK719" s="89" t="n">
        <v>110000</v>
      </c>
      <c r="AL719" s="90" t="n">
        <v>55000</v>
      </c>
      <c r="AM719" s="90"/>
      <c r="AN719" s="90"/>
      <c r="AO719" s="90"/>
      <c r="AP719" s="90"/>
      <c r="AQ719" s="90"/>
      <c r="AR719" s="90"/>
      <c r="AS719" s="90"/>
      <c r="AT719" s="90"/>
      <c r="AU719" s="90"/>
      <c r="AV719" s="91"/>
      <c r="AX719" s="92"/>
    </row>
    <row r="720" customFormat="false" ht="15.65" hidden="false" customHeight="false" outlineLevel="0" collapsed="false">
      <c r="C720" s="72" t="n">
        <f aca="false">COUNTIFS($D$6:D720,"&lt;&gt;"&amp;"")</f>
        <v>715</v>
      </c>
      <c r="D720" s="73" t="s">
        <v>12</v>
      </c>
      <c r="E720" s="76" t="str">
        <f aca="false">
IF($D720="정상",INDEX(임대자산!$D$3:$R$3000,MATCH($F720,임대자산!$I$3:$I$3000,0),MATCH(E$3,임대자산!$D$3:$R$3,0)),
IF($D720="폐업",INDEX(폐업정보!$D$3:$R$3000,MATCH($F720,폐업정보!$I$3:$I$3000,0),MATCH(E$3,폐업정보!$D$3:$R$3,0)),
"Error"))</f>
        <v>경상</v>
      </c>
      <c r="F72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B0715</v>
      </c>
      <c r="G720" s="76" t="str">
        <f aca="false">F720&amp;RANDBETWEEN(0,10)</f>
        <v>B07152</v>
      </c>
      <c r="H720" s="75" t="n">
        <f aca="false">
IF($D720="정상",INDEX(임대자산!$D$3:$R$3000,MATCH($F720,임대자산!$I$3:$I$3000,0),MATCH(H$4,임대자산!$D$3:$R$3,0)),
IF($D720="폐업",INDEX(폐업정보!$D$3:$R$3000,MATCH($F720,폐업정보!$I$3:$I$3000,0),MATCH(H$4,폐업정보!$D$3:$R$3,0)),
"Error"))</f>
        <v>44847</v>
      </c>
      <c r="I720" s="75" t="str">
        <f aca="false">
IF($D720="정상",INDEX(임대자산!$D$3:$R$3000,MATCH($F720,임대자산!$I$3:$I$3000,0),MATCH(I$4,임대자산!$D$3:$R$3,0)),
IF($D720="폐업",INDEX(폐업정보!$D$3:$R$3000,MATCH($F720,폐업정보!$I$3:$I$3000,0),MATCH(I$4,폐업정보!$D$3:$R$3,0)),
"Error"))</f>
        <v>A0715</v>
      </c>
      <c r="J720" s="75" t="str">
        <f aca="false">
IF($D720="정상",INDEX(임대자산!$D$3:$R$3000,MATCH($F720,임대자산!$I$3:$I$3000,0),MATCH(J$4,임대자산!$D$3:$R$3,0)),
IF($D720="폐업",INDEX(폐업정보!$D$3:$R$3000,MATCH($F720,폐업정보!$I$3:$I$3000,0),MATCH(J$4,폐업정보!$D$3:$R$3,0)),
"Error"))</f>
        <v>8624400000</v>
      </c>
      <c r="K720" s="75" t="str">
        <f aca="false">
IF($D720="정상",INDEX(임대자산!$D$3:$R$3000,MATCH($F720,임대자산!$I$3:$I$3000,0),MATCH(K$4,임대자산!$D$3:$R$3,0)),
IF($D720="폐업",INDEX(폐업정보!$D$3:$R$3000,MATCH($F720,폐업정보!$I$3:$I$3000,0),MATCH(K$4,폐업정보!$D$3:$R$3,0)),
"Error"))</f>
        <v>C0715</v>
      </c>
      <c r="L720" s="75" t="str">
        <f aca="false">
IF($D720="정상",INDEX(임대자산!$D$3:$R$3000,MATCH($F720,임대자산!$I$3:$I$3000,0),MATCH(L$4,임대자산!$D$3:$R$3,0)),
IF($D720="폐업",INDEX(폐업정보!$D$3:$R$3000,MATCH($F720,폐업정보!$I$3:$I$3000,0),MATCH(L$4,폐업정보!$D$3:$R$3,0)),
"Error"))</f>
        <v>D0715</v>
      </c>
      <c r="M720" s="76" t="s">
        <v>96</v>
      </c>
      <c r="N720" s="77"/>
      <c r="O720" s="78" t="s">
        <v>97</v>
      </c>
      <c r="P720" s="79" t="n">
        <f aca="false">COUNTIFS(임대자산!$I:$I,가맹점정보!F720,임대자산!$N:$N,가맹점정보!P$4)</f>
        <v>0</v>
      </c>
      <c r="Q720" s="80" t="n">
        <f aca="false">COUNTIFS(임대자산!$I:$I,가맹점정보!F720,임대자산!$N:$N,가맹점정보!Q$4)</f>
        <v>1</v>
      </c>
      <c r="R720" s="81" t="n">
        <f aca="false">COUNTIFS(임대자산!$I:$I,가맹점정보!F720,임대자산!$N:$N,가맹점정보!R$4)</f>
        <v>0</v>
      </c>
      <c r="S720" s="82" t="n">
        <v>88000</v>
      </c>
      <c r="T720" s="83" t="n">
        <v>0</v>
      </c>
      <c r="U720" s="80" t="n">
        <f aca="false">SUM(S720:T720)</f>
        <v>88000</v>
      </c>
      <c r="V720" s="84" t="s">
        <v>12</v>
      </c>
      <c r="W720" s="80" t="e">
        <f aca="true">
IF(D720="폐업","폐업",
IF(V720="면제","면제",
IF(AND(V720="정상",COUNTIFS(OFFSET(Y720,0,COUNTA(Y720:AV720)-1,1,-4),"미납")&gt;=3),"장기미납",
IF(AND(V720="정상",OFFSET(Y720,0,COUNTA(Y720:AV720)-1)&gt;=U720),"정상",
IF(AND(V720="정상",OFFSET(Y720,0,COUNTA(Y720:AV720)-1)=0),"정상",
"계약서 미작성")))))</f>
        <v>#VALUE!</v>
      </c>
      <c r="X720" s="81" t="str">
        <f aca="true">
IF(D720="폐업","폐업",
IF(AND(V720="정상",OFFSET(Y720,0,COUNTA(Y720:AV720)-1)="미납"),"미납",
IF(AND(V720="정상",OFFSET(Y720,0,COUNTA(Y720:AV720)-1)=0),"납부 시작 전",
IF(AND(V720="정상",OFFSET(Y720,0,COUNTA(Y720:AV720)-1)&gt;=U720),"정상",
IF(AND(V720="면제",OFFSET(Y720,0,COUNTA(Y720:AV720)-1)="면제"),"면제",
IF(AND(V720="면제",OFFSET(Y720,0,COUNTA(Y720:AV720)-1)=0),"면제",
"확인요청"))))))</f>
        <v>정상</v>
      </c>
      <c r="Y720" s="93" t="n">
        <v>88000</v>
      </c>
      <c r="Z720" s="90" t="n">
        <v>88000</v>
      </c>
      <c r="AA720" s="90" t="n">
        <v>88000</v>
      </c>
      <c r="AB720" s="90" t="n">
        <v>88000</v>
      </c>
      <c r="AC720" s="90" t="n">
        <v>88000</v>
      </c>
      <c r="AD720" s="90" t="n">
        <v>88000</v>
      </c>
      <c r="AE720" s="90" t="n">
        <v>88000</v>
      </c>
      <c r="AF720" s="90" t="n">
        <v>88000</v>
      </c>
      <c r="AG720" s="90" t="n">
        <v>88000</v>
      </c>
      <c r="AH720" s="90" t="n">
        <v>88000</v>
      </c>
      <c r="AI720" s="90" t="n">
        <v>88000</v>
      </c>
      <c r="AJ720" s="91" t="n">
        <v>88000</v>
      </c>
      <c r="AK720" s="89" t="n">
        <v>88000</v>
      </c>
      <c r="AL720" s="90" t="n">
        <v>88000</v>
      </c>
      <c r="AM720" s="90"/>
      <c r="AN720" s="90"/>
      <c r="AO720" s="90"/>
      <c r="AP720" s="90"/>
      <c r="AQ720" s="90"/>
      <c r="AR720" s="90"/>
      <c r="AS720" s="90"/>
      <c r="AT720" s="90"/>
      <c r="AU720" s="90"/>
      <c r="AV720" s="91"/>
      <c r="AX720" s="92"/>
    </row>
    <row r="721" customFormat="false" ht="15.65" hidden="false" customHeight="false" outlineLevel="0" collapsed="false">
      <c r="C721" s="72" t="n">
        <f aca="false">COUNTIFS($D$6:D721,"&lt;&gt;"&amp;"")</f>
        <v>716</v>
      </c>
      <c r="D721" s="73" t="s">
        <v>12</v>
      </c>
      <c r="E721" s="76" t="str">
        <f aca="false">
IF($D721="정상",INDEX(임대자산!$D$3:$R$3000,MATCH($F721,임대자산!$I$3:$I$3000,0),MATCH(E$3,임대자산!$D$3:$R$3,0)),
IF($D721="폐업",INDEX(폐업정보!$D$3:$R$3000,MATCH($F721,폐업정보!$I$3:$I$3000,0),MATCH(E$3,폐업정보!$D$3:$R$3,0)),
"Error"))</f>
        <v>서울</v>
      </c>
      <c r="F72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B0716</v>
      </c>
      <c r="G721" s="76" t="str">
        <f aca="false">F721&amp;RANDBETWEEN(0,10)</f>
        <v>B07163</v>
      </c>
      <c r="H721" s="75" t="n">
        <f aca="false">
IF($D721="정상",INDEX(임대자산!$D$3:$R$3000,MATCH($F721,임대자산!$I$3:$I$3000,0),MATCH(H$4,임대자산!$D$3:$R$3,0)),
IF($D721="폐업",INDEX(폐업정보!$D$3:$R$3000,MATCH($F721,폐업정보!$I$3:$I$3000,0),MATCH(H$4,폐업정보!$D$3:$R$3,0)),
"Error"))</f>
        <v>44854</v>
      </c>
      <c r="I721" s="75" t="str">
        <f aca="false">
IF($D721="정상",INDEX(임대자산!$D$3:$R$3000,MATCH($F721,임대자산!$I$3:$I$3000,0),MATCH(I$4,임대자산!$D$3:$R$3,0)),
IF($D721="폐업",INDEX(폐업정보!$D$3:$R$3000,MATCH($F721,폐업정보!$I$3:$I$3000,0),MATCH(I$4,폐업정보!$D$3:$R$3,0)),
"Error"))</f>
        <v>A0716</v>
      </c>
      <c r="J721" s="75" t="str">
        <f aca="false">
IF($D721="정상",INDEX(임대자산!$D$3:$R$3000,MATCH($F721,임대자산!$I$3:$I$3000,0),MATCH(J$4,임대자산!$D$3:$R$3,0)),
IF($D721="폐업",INDEX(폐업정보!$D$3:$R$3000,MATCH($F721,폐업정보!$I$3:$I$3000,0),MATCH(J$4,폐업정보!$D$3:$R$3,0)),
"Error"))</f>
        <v>1218800000</v>
      </c>
      <c r="K721" s="75" t="str">
        <f aca="false">
IF($D721="정상",INDEX(임대자산!$D$3:$R$3000,MATCH($F721,임대자산!$I$3:$I$3000,0),MATCH(K$4,임대자산!$D$3:$R$3,0)),
IF($D721="폐업",INDEX(폐업정보!$D$3:$R$3000,MATCH($F721,폐업정보!$I$3:$I$3000,0),MATCH(K$4,폐업정보!$D$3:$R$3,0)),
"Error"))</f>
        <v>C0716</v>
      </c>
      <c r="L721" s="75" t="str">
        <f aca="false">
IF($D721="정상",INDEX(임대자산!$D$3:$R$3000,MATCH($F721,임대자산!$I$3:$I$3000,0),MATCH(L$4,임대자산!$D$3:$R$3,0)),
IF($D721="폐업",INDEX(폐업정보!$D$3:$R$3000,MATCH($F721,폐업정보!$I$3:$I$3000,0),MATCH(L$4,폐업정보!$D$3:$R$3,0)),
"Error"))</f>
        <v>D0716</v>
      </c>
      <c r="M721" s="76" t="s">
        <v>96</v>
      </c>
      <c r="N721" s="77"/>
      <c r="O721" s="78" t="s">
        <v>97</v>
      </c>
      <c r="P721" s="79" t="n">
        <f aca="false">COUNTIFS(임대자산!$I:$I,가맹점정보!F721,임대자산!$N:$N,가맹점정보!P$4)</f>
        <v>0</v>
      </c>
      <c r="Q721" s="80" t="n">
        <f aca="false">COUNTIFS(임대자산!$I:$I,가맹점정보!F721,임대자산!$N:$N,가맹점정보!Q$4)</f>
        <v>1</v>
      </c>
      <c r="R721" s="81" t="n">
        <f aca="false">COUNTIFS(임대자산!$I:$I,가맹점정보!F721,임대자산!$N:$N,가맹점정보!R$4)</f>
        <v>0</v>
      </c>
      <c r="S721" s="82" t="n">
        <v>55000</v>
      </c>
      <c r="T721" s="83" t="n">
        <v>0</v>
      </c>
      <c r="U721" s="80" t="n">
        <f aca="false">SUM(S721:T721)</f>
        <v>55000</v>
      </c>
      <c r="V721" s="84" t="s">
        <v>12</v>
      </c>
      <c r="W721" s="80" t="e">
        <f aca="true">
IF(D721="폐업","폐업",
IF(V721="면제","면제",
IF(AND(V721="정상",COUNTIFS(OFFSET(Y721,0,COUNTA(Y721:AV721)-1,1,-4),"미납")&gt;=3),"장기미납",
IF(AND(V721="정상",OFFSET(Y721,0,COUNTA(Y721:AV721)-1)&gt;=U721),"정상",
IF(AND(V721="정상",OFFSET(Y721,0,COUNTA(Y721:AV721)-1)=0),"정상",
"계약서 미작성")))))</f>
        <v>#VALUE!</v>
      </c>
      <c r="X721" s="81" t="str">
        <f aca="true">
IF(D721="폐업","폐업",
IF(AND(V721="정상",OFFSET(Y721,0,COUNTA(Y721:AV721)-1)="미납"),"미납",
IF(AND(V721="정상",OFFSET(Y721,0,COUNTA(Y721:AV721)-1)=0),"납부 시작 전",
IF(AND(V721="정상",OFFSET(Y721,0,COUNTA(Y721:AV721)-1)&gt;=U721),"정상",
IF(AND(V721="면제",OFFSET(Y721,0,COUNTA(Y721:AV721)-1)="면제"),"면제",
IF(AND(V721="면제",OFFSET(Y721,0,COUNTA(Y721:AV721)-1)=0),"면제",
"확인요청"))))))</f>
        <v>정상</v>
      </c>
      <c r="Y721" s="93" t="n">
        <v>55000</v>
      </c>
      <c r="Z721" s="90" t="n">
        <v>55000</v>
      </c>
      <c r="AA721" s="90" t="n">
        <v>55000</v>
      </c>
      <c r="AB721" s="90" t="n">
        <v>55000</v>
      </c>
      <c r="AC721" s="90" t="n">
        <v>55000</v>
      </c>
      <c r="AD721" s="90" t="n">
        <v>55000</v>
      </c>
      <c r="AE721" s="90" t="n">
        <v>55000</v>
      </c>
      <c r="AF721" s="90" t="n">
        <v>55000</v>
      </c>
      <c r="AG721" s="90" t="n">
        <v>55000</v>
      </c>
      <c r="AH721" s="90" t="n">
        <v>55000</v>
      </c>
      <c r="AI721" s="90" t="n">
        <v>55000</v>
      </c>
      <c r="AJ721" s="91" t="n">
        <v>55000</v>
      </c>
      <c r="AK721" s="89" t="n">
        <v>55000</v>
      </c>
      <c r="AL721" s="90" t="n">
        <v>55000</v>
      </c>
      <c r="AM721" s="90"/>
      <c r="AN721" s="90"/>
      <c r="AO721" s="90"/>
      <c r="AP721" s="90"/>
      <c r="AQ721" s="90"/>
      <c r="AR721" s="90"/>
      <c r="AS721" s="90"/>
      <c r="AT721" s="90"/>
      <c r="AU721" s="90"/>
      <c r="AV721" s="91"/>
      <c r="AX721" s="92"/>
    </row>
    <row r="722" customFormat="false" ht="15.65" hidden="false" customHeight="false" outlineLevel="0" collapsed="false">
      <c r="C722" s="72" t="n">
        <f aca="false">COUNTIFS($D$6:D722,"&lt;&gt;"&amp;"")</f>
        <v>717</v>
      </c>
      <c r="D722" s="73" t="s">
        <v>12</v>
      </c>
      <c r="E722" s="76" t="str">
        <f aca="false">
IF($D722="정상",INDEX(임대자산!$D$3:$R$3000,MATCH($F722,임대자산!$I$3:$I$3000,0),MATCH(E$3,임대자산!$D$3:$R$3,0)),
IF($D722="폐업",INDEX(폐업정보!$D$3:$R$3000,MATCH($F722,폐업정보!$I$3:$I$3000,0),MATCH(E$3,폐업정보!$D$3:$R$3,0)),
"Error"))</f>
        <v>서울</v>
      </c>
      <c r="F72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B0717</v>
      </c>
      <c r="G722" s="76" t="str">
        <f aca="false">F722&amp;RANDBETWEEN(0,10)</f>
        <v>B07175</v>
      </c>
      <c r="H722" s="75" t="n">
        <f aca="false">
IF($D722="정상",INDEX(임대자산!$D$3:$R$3000,MATCH($F722,임대자산!$I$3:$I$3000,0),MATCH(H$4,임대자산!$D$3:$R$3,0)),
IF($D722="폐업",INDEX(폐업정보!$D$3:$R$3000,MATCH($F722,폐업정보!$I$3:$I$3000,0),MATCH(H$4,폐업정보!$D$3:$R$3,0)),
"Error"))</f>
        <v>43993</v>
      </c>
      <c r="I722" s="75" t="str">
        <f aca="false">
IF($D722="정상",INDEX(임대자산!$D$3:$R$3000,MATCH($F722,임대자산!$I$3:$I$3000,0),MATCH(I$4,임대자산!$D$3:$R$3,0)),
IF($D722="폐업",INDEX(폐업정보!$D$3:$R$3000,MATCH($F722,폐업정보!$I$3:$I$3000,0),MATCH(I$4,폐업정보!$D$3:$R$3,0)),
"Error"))</f>
        <v>A0717</v>
      </c>
      <c r="J722" s="75" t="str">
        <f aca="false">
IF($D722="정상",INDEX(임대자산!$D$3:$R$3000,MATCH($F722,임대자산!$I$3:$I$3000,0),MATCH(J$4,임대자산!$D$3:$R$3,0)),
IF($D722="폐업",INDEX(폐업정보!$D$3:$R$3000,MATCH($F722,폐업정보!$I$3:$I$3000,0),MATCH(J$4,폐업정보!$D$3:$R$3,0)),
"Error"))</f>
        <v>9288200000</v>
      </c>
      <c r="K722" s="75" t="str">
        <f aca="false">
IF($D722="정상",INDEX(임대자산!$D$3:$R$3000,MATCH($F722,임대자산!$I$3:$I$3000,0),MATCH(K$4,임대자산!$D$3:$R$3,0)),
IF($D722="폐업",INDEX(폐업정보!$D$3:$R$3000,MATCH($F722,폐업정보!$I$3:$I$3000,0),MATCH(K$4,폐업정보!$D$3:$R$3,0)),
"Error"))</f>
        <v>C0717</v>
      </c>
      <c r="L722" s="75" t="str">
        <f aca="false">
IF($D722="정상",INDEX(임대자산!$D$3:$R$3000,MATCH($F722,임대자산!$I$3:$I$3000,0),MATCH(L$4,임대자산!$D$3:$R$3,0)),
IF($D722="폐업",INDEX(폐업정보!$D$3:$R$3000,MATCH($F722,폐업정보!$I$3:$I$3000,0),MATCH(L$4,폐업정보!$D$3:$R$3,0)),
"Error"))</f>
        <v>D0717</v>
      </c>
      <c r="M722" s="76" t="s">
        <v>96</v>
      </c>
      <c r="N722" s="77"/>
      <c r="O722" s="78" t="s">
        <v>97</v>
      </c>
      <c r="P722" s="79" t="n">
        <f aca="false">COUNTIFS(임대자산!$I:$I,가맹점정보!F722,임대자산!$N:$N,가맹점정보!P$4)</f>
        <v>0</v>
      </c>
      <c r="Q722" s="80" t="n">
        <f aca="false">COUNTIFS(임대자산!$I:$I,가맹점정보!F722,임대자산!$N:$N,가맹점정보!Q$4)</f>
        <v>1</v>
      </c>
      <c r="R722" s="81" t="n">
        <f aca="false">COUNTIFS(임대자산!$I:$I,가맹점정보!F722,임대자산!$N:$N,가맹점정보!R$4)</f>
        <v>0</v>
      </c>
      <c r="S722" s="82" t="n">
        <v>55000</v>
      </c>
      <c r="T722" s="83" t="n">
        <v>0</v>
      </c>
      <c r="U722" s="80" t="n">
        <f aca="false">SUM(S722:T722)</f>
        <v>55000</v>
      </c>
      <c r="V722" s="84" t="s">
        <v>12</v>
      </c>
      <c r="W722" s="80" t="e">
        <f aca="true">
IF(D722="폐업","폐업",
IF(V722="면제","면제",
IF(AND(V722="정상",COUNTIFS(OFFSET(Y722,0,COUNTA(Y722:AV722)-1,1,-4),"미납")&gt;=3),"장기미납",
IF(AND(V722="정상",OFFSET(Y722,0,COUNTA(Y722:AV722)-1)&gt;=U722),"정상",
IF(AND(V722="정상",OFFSET(Y722,0,COUNTA(Y722:AV722)-1)=0),"정상",
"계약서 미작성")))))</f>
        <v>#VALUE!</v>
      </c>
      <c r="X722" s="81" t="str">
        <f aca="true">
IF(D722="폐업","폐업",
IF(AND(V722="정상",OFFSET(Y722,0,COUNTA(Y722:AV722)-1)="미납"),"미납",
IF(AND(V722="정상",OFFSET(Y722,0,COUNTA(Y722:AV722)-1)=0),"납부 시작 전",
IF(AND(V722="정상",OFFSET(Y722,0,COUNTA(Y722:AV722)-1)&gt;=U722),"정상",
IF(AND(V722="면제",OFFSET(Y722,0,COUNTA(Y722:AV722)-1)="면제"),"면제",
IF(AND(V722="면제",OFFSET(Y722,0,COUNTA(Y722:AV722)-1)=0),"면제",
"확인요청"))))))</f>
        <v>정상</v>
      </c>
      <c r="Y722" s="93" t="n">
        <v>55000</v>
      </c>
      <c r="Z722" s="90" t="n">
        <v>55000</v>
      </c>
      <c r="AA722" s="90" t="n">
        <v>55000</v>
      </c>
      <c r="AB722" s="90" t="n">
        <v>55000</v>
      </c>
      <c r="AC722" s="90" t="n">
        <v>55000</v>
      </c>
      <c r="AD722" s="90" t="n">
        <v>55000</v>
      </c>
      <c r="AE722" s="90" t="n">
        <v>55000</v>
      </c>
      <c r="AF722" s="90" t="n">
        <v>55000</v>
      </c>
      <c r="AG722" s="90" t="n">
        <v>55000</v>
      </c>
      <c r="AH722" s="90" t="n">
        <v>55000</v>
      </c>
      <c r="AI722" s="90" t="n">
        <v>55000</v>
      </c>
      <c r="AJ722" s="91" t="n">
        <v>55000</v>
      </c>
      <c r="AK722" s="89" t="n">
        <v>55000</v>
      </c>
      <c r="AL722" s="90" t="n">
        <v>55000</v>
      </c>
      <c r="AM722" s="90"/>
      <c r="AN722" s="90"/>
      <c r="AO722" s="90"/>
      <c r="AP722" s="90"/>
      <c r="AQ722" s="90"/>
      <c r="AR722" s="90"/>
      <c r="AS722" s="90"/>
      <c r="AT722" s="90"/>
      <c r="AU722" s="90"/>
      <c r="AV722" s="91"/>
      <c r="AX722" s="92"/>
    </row>
    <row r="723" customFormat="false" ht="15.65" hidden="false" customHeight="false" outlineLevel="0" collapsed="false">
      <c r="C723" s="72" t="n">
        <f aca="false">COUNTIFS($D$6:D723,"&lt;&gt;"&amp;"")</f>
        <v>718</v>
      </c>
      <c r="D723" s="73" t="s">
        <v>12</v>
      </c>
      <c r="E723" s="76" t="str">
        <f aca="false">
IF($D723="정상",INDEX(임대자산!$D$3:$R$3000,MATCH($F723,임대자산!$I$3:$I$3000,0),MATCH(E$3,임대자산!$D$3:$R$3,0)),
IF($D723="폐업",INDEX(폐업정보!$D$3:$R$3000,MATCH($F723,폐업정보!$I$3:$I$3000,0),MATCH(E$3,폐업정보!$D$3:$R$3,0)),
"Error"))</f>
        <v>경상</v>
      </c>
      <c r="F72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B0718</v>
      </c>
      <c r="G723" s="76" t="str">
        <f aca="false">F723&amp;RANDBETWEEN(0,10)</f>
        <v>B07189</v>
      </c>
      <c r="H723" s="75" t="n">
        <f aca="false">
IF($D723="정상",INDEX(임대자산!$D$3:$R$3000,MATCH($F723,임대자산!$I$3:$I$3000,0),MATCH(H$4,임대자산!$D$3:$R$3,0)),
IF($D723="폐업",INDEX(폐업정보!$D$3:$R$3000,MATCH($F723,폐업정보!$I$3:$I$3000,0),MATCH(H$4,폐업정보!$D$3:$R$3,0)),
"Error"))</f>
        <v>44869</v>
      </c>
      <c r="I723" s="75" t="str">
        <f aca="false">
IF($D723="정상",INDEX(임대자산!$D$3:$R$3000,MATCH($F723,임대자산!$I$3:$I$3000,0),MATCH(I$4,임대자산!$D$3:$R$3,0)),
IF($D723="폐업",INDEX(폐업정보!$D$3:$R$3000,MATCH($F723,폐업정보!$I$3:$I$3000,0),MATCH(I$4,폐업정보!$D$3:$R$3,0)),
"Error"))</f>
        <v>A0718</v>
      </c>
      <c r="J723" s="75" t="str">
        <f aca="false">
IF($D723="정상",INDEX(임대자산!$D$3:$R$3000,MATCH($F723,임대자산!$I$3:$I$3000,0),MATCH(J$4,임대자산!$D$3:$R$3,0)),
IF($D723="폐업",INDEX(폐업정보!$D$3:$R$3000,MATCH($F723,폐업정보!$I$3:$I$3000,0),MATCH(J$4,폐업정보!$D$3:$R$3,0)),
"Error"))</f>
        <v>1517200000</v>
      </c>
      <c r="K723" s="75" t="str">
        <f aca="false">
IF($D723="정상",INDEX(임대자산!$D$3:$R$3000,MATCH($F723,임대자산!$I$3:$I$3000,0),MATCH(K$4,임대자산!$D$3:$R$3,0)),
IF($D723="폐업",INDEX(폐업정보!$D$3:$R$3000,MATCH($F723,폐업정보!$I$3:$I$3000,0),MATCH(K$4,폐업정보!$D$3:$R$3,0)),
"Error"))</f>
        <v>C0718</v>
      </c>
      <c r="L723" s="75" t="str">
        <f aca="false">
IF($D723="정상",INDEX(임대자산!$D$3:$R$3000,MATCH($F723,임대자산!$I$3:$I$3000,0),MATCH(L$4,임대자산!$D$3:$R$3,0)),
IF($D723="폐업",INDEX(폐업정보!$D$3:$R$3000,MATCH($F723,폐업정보!$I$3:$I$3000,0),MATCH(L$4,폐업정보!$D$3:$R$3,0)),
"Error"))</f>
        <v>D0718</v>
      </c>
      <c r="M723" s="76" t="s">
        <v>96</v>
      </c>
      <c r="N723" s="77"/>
      <c r="O723" s="78" t="s">
        <v>97</v>
      </c>
      <c r="P723" s="79" t="n">
        <f aca="false">COUNTIFS(임대자산!$I:$I,가맹점정보!F723,임대자산!$N:$N,가맹점정보!P$4)</f>
        <v>0</v>
      </c>
      <c r="Q723" s="80" t="n">
        <f aca="false">COUNTIFS(임대자산!$I:$I,가맹점정보!F723,임대자산!$N:$N,가맹점정보!Q$4)</f>
        <v>1</v>
      </c>
      <c r="R723" s="81" t="n">
        <f aca="false">COUNTIFS(임대자산!$I:$I,가맹점정보!F723,임대자산!$N:$N,가맹점정보!R$4)</f>
        <v>0</v>
      </c>
      <c r="S723" s="82" t="n">
        <v>88000</v>
      </c>
      <c r="T723" s="83" t="n">
        <v>0</v>
      </c>
      <c r="U723" s="80" t="n">
        <f aca="false">SUM(S723:T723)</f>
        <v>88000</v>
      </c>
      <c r="V723" s="84" t="s">
        <v>7</v>
      </c>
      <c r="W723" s="80" t="str">
        <f aca="true">
IF(D723="폐업","폐업",
IF(V723="면제","면제",
IF(AND(V723="정상",COUNTIFS(OFFSET(Y723,0,COUNTA(Y723:AV723)-1,1,-4),"미납")&gt;=3),"장기미납",
IF(AND(V723="정상",OFFSET(Y723,0,COUNTA(Y723:AV723)-1)&gt;=U723),"정상",
IF(AND(V723="정상",OFFSET(Y723,0,COUNTA(Y723:AV723)-1)=0),"정상",
"계약서 미작성")))))</f>
        <v>면제</v>
      </c>
      <c r="X723" s="81" t="str">
        <f aca="true">
IF(D723="폐업","폐업",
IF(AND(V723="정상",OFFSET(Y723,0,COUNTA(Y723:AV723)-1)="미납"),"미납",
IF(AND(V723="정상",OFFSET(Y723,0,COUNTA(Y723:AV723)-1)=0),"납부 시작 전",
IF(AND(V723="정상",OFFSET(Y723,0,COUNTA(Y723:AV723)-1)&gt;=U723),"정상",
IF(AND(V723="면제",OFFSET(Y723,0,COUNTA(Y723:AV723)-1)="면제"),"면제",
IF(AND(V723="면제",OFFSET(Y723,0,COUNTA(Y723:AV723)-1)=0),"면제",
"확인요청"))))))</f>
        <v>면제</v>
      </c>
      <c r="Y723" s="94" t="s">
        <v>7</v>
      </c>
      <c r="Z723" s="95" t="s">
        <v>7</v>
      </c>
      <c r="AA723" s="95" t="s">
        <v>7</v>
      </c>
      <c r="AB723" s="95" t="s">
        <v>7</v>
      </c>
      <c r="AC723" s="95" t="s">
        <v>7</v>
      </c>
      <c r="AD723" s="95" t="s">
        <v>7</v>
      </c>
      <c r="AE723" s="95" t="s">
        <v>7</v>
      </c>
      <c r="AF723" s="95" t="s">
        <v>7</v>
      </c>
      <c r="AG723" s="95" t="s">
        <v>7</v>
      </c>
      <c r="AH723" s="95" t="s">
        <v>7</v>
      </c>
      <c r="AI723" s="95" t="s">
        <v>7</v>
      </c>
      <c r="AJ723" s="96" t="s">
        <v>7</v>
      </c>
      <c r="AK723" s="97" t="s">
        <v>7</v>
      </c>
      <c r="AL723" s="95" t="s">
        <v>7</v>
      </c>
      <c r="AM723" s="90"/>
      <c r="AN723" s="90"/>
      <c r="AO723" s="90"/>
      <c r="AP723" s="90"/>
      <c r="AQ723" s="90"/>
      <c r="AR723" s="90"/>
      <c r="AS723" s="90"/>
      <c r="AT723" s="90"/>
      <c r="AU723" s="90"/>
      <c r="AV723" s="91"/>
      <c r="AX723" s="92"/>
    </row>
    <row r="724" customFormat="false" ht="15.65" hidden="false" customHeight="false" outlineLevel="0" collapsed="false">
      <c r="C724" s="72" t="n">
        <f aca="false">COUNTIFS($D$6:D724,"&lt;&gt;"&amp;"")</f>
        <v>719</v>
      </c>
      <c r="D724" s="73" t="s">
        <v>12</v>
      </c>
      <c r="E724" s="76" t="str">
        <f aca="false">
IF($D724="정상",INDEX(임대자산!$D$3:$R$3000,MATCH($F724,임대자산!$I$3:$I$3000,0),MATCH(E$3,임대자산!$D$3:$R$3,0)),
IF($D724="폐업",INDEX(폐업정보!$D$3:$R$3000,MATCH($F724,폐업정보!$I$3:$I$3000,0),MATCH(E$3,폐업정보!$D$3:$R$3,0)),
"Error"))</f>
        <v>경기</v>
      </c>
      <c r="F72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B0719</v>
      </c>
      <c r="G724" s="76" t="str">
        <f aca="false">F724&amp;RANDBETWEEN(0,10)</f>
        <v>B07194</v>
      </c>
      <c r="H724" s="75" t="n">
        <f aca="false">
IF($D724="정상",INDEX(임대자산!$D$3:$R$3000,MATCH($F724,임대자산!$I$3:$I$3000,0),MATCH(H$4,임대자산!$D$3:$R$3,0)),
IF($D724="폐업",INDEX(폐업정보!$D$3:$R$3000,MATCH($F724,폐업정보!$I$3:$I$3000,0),MATCH(H$4,폐업정보!$D$3:$R$3,0)),
"Error"))</f>
        <v>44881</v>
      </c>
      <c r="I724" s="75" t="str">
        <f aca="false">
IF($D724="정상",INDEX(임대자산!$D$3:$R$3000,MATCH($F724,임대자산!$I$3:$I$3000,0),MATCH(I$4,임대자산!$D$3:$R$3,0)),
IF($D724="폐업",INDEX(폐업정보!$D$3:$R$3000,MATCH($F724,폐업정보!$I$3:$I$3000,0),MATCH(I$4,폐업정보!$D$3:$R$3,0)),
"Error"))</f>
        <v>A0719</v>
      </c>
      <c r="J724" s="75" t="str">
        <f aca="false">
IF($D724="정상",INDEX(임대자산!$D$3:$R$3000,MATCH($F724,임대자산!$I$3:$I$3000,0),MATCH(J$4,임대자산!$D$3:$R$3,0)),
IF($D724="폐업",INDEX(폐업정보!$D$3:$R$3000,MATCH($F724,폐업정보!$I$3:$I$3000,0),MATCH(J$4,폐업정보!$D$3:$R$3,0)),
"Error"))</f>
        <v>2260700000</v>
      </c>
      <c r="K724" s="75" t="str">
        <f aca="false">
IF($D724="정상",INDEX(임대자산!$D$3:$R$3000,MATCH($F724,임대자산!$I$3:$I$3000,0),MATCH(K$4,임대자산!$D$3:$R$3,0)),
IF($D724="폐업",INDEX(폐업정보!$D$3:$R$3000,MATCH($F724,폐업정보!$I$3:$I$3000,0),MATCH(K$4,폐업정보!$D$3:$R$3,0)),
"Error"))</f>
        <v>C0719</v>
      </c>
      <c r="L724" s="75" t="str">
        <f aca="false">
IF($D724="정상",INDEX(임대자산!$D$3:$R$3000,MATCH($F724,임대자산!$I$3:$I$3000,0),MATCH(L$4,임대자산!$D$3:$R$3,0)),
IF($D724="폐업",INDEX(폐업정보!$D$3:$R$3000,MATCH($F724,폐업정보!$I$3:$I$3000,0),MATCH(L$4,폐업정보!$D$3:$R$3,0)),
"Error"))</f>
        <v>D0719</v>
      </c>
      <c r="M724" s="76" t="s">
        <v>96</v>
      </c>
      <c r="N724" s="77"/>
      <c r="O724" s="78" t="s">
        <v>97</v>
      </c>
      <c r="P724" s="79" t="n">
        <f aca="false">COUNTIFS(임대자산!$I:$I,가맹점정보!F724,임대자산!$N:$N,가맹점정보!P$4)</f>
        <v>0</v>
      </c>
      <c r="Q724" s="80" t="n">
        <f aca="false">COUNTIFS(임대자산!$I:$I,가맹점정보!F724,임대자산!$N:$N,가맹점정보!Q$4)</f>
        <v>1</v>
      </c>
      <c r="R724" s="81" t="n">
        <f aca="false">COUNTIFS(임대자산!$I:$I,가맹점정보!F724,임대자산!$N:$N,가맹점정보!R$4)</f>
        <v>0</v>
      </c>
      <c r="S724" s="82" t="n">
        <v>55000</v>
      </c>
      <c r="T724" s="83" t="n">
        <v>0</v>
      </c>
      <c r="U724" s="80" t="n">
        <f aca="false">SUM(S724:T724)</f>
        <v>55000</v>
      </c>
      <c r="V724" s="84" t="s">
        <v>7</v>
      </c>
      <c r="W724" s="80" t="str">
        <f aca="true">
IF(D724="폐업","폐업",
IF(V724="면제","면제",
IF(AND(V724="정상",COUNTIFS(OFFSET(Y724,0,COUNTA(Y724:AV724)-1,1,-4),"미납")&gt;=3),"장기미납",
IF(AND(V724="정상",OFFSET(Y724,0,COUNTA(Y724:AV724)-1)&gt;=U724),"정상",
IF(AND(V724="정상",OFFSET(Y724,0,COUNTA(Y724:AV724)-1)=0),"정상",
"계약서 미작성")))))</f>
        <v>면제</v>
      </c>
      <c r="X724" s="81" t="str">
        <f aca="true">
IF(D724="폐업","폐업",
IF(AND(V724="정상",OFFSET(Y724,0,COUNTA(Y724:AV724)-1)="미납"),"미납",
IF(AND(V724="정상",OFFSET(Y724,0,COUNTA(Y724:AV724)-1)=0),"납부 시작 전",
IF(AND(V724="정상",OFFSET(Y724,0,COUNTA(Y724:AV724)-1)&gt;=U724),"정상",
IF(AND(V724="면제",OFFSET(Y724,0,COUNTA(Y724:AV724)-1)="면제"),"면제",
IF(AND(V724="면제",OFFSET(Y724,0,COUNTA(Y724:AV724)-1)=0),"면제",
"확인요청"))))))</f>
        <v>면제</v>
      </c>
      <c r="Y724" s="94" t="s">
        <v>7</v>
      </c>
      <c r="Z724" s="95" t="s">
        <v>7</v>
      </c>
      <c r="AA724" s="95" t="s">
        <v>7</v>
      </c>
      <c r="AB724" s="95" t="s">
        <v>7</v>
      </c>
      <c r="AC724" s="95" t="s">
        <v>7</v>
      </c>
      <c r="AD724" s="95" t="s">
        <v>7</v>
      </c>
      <c r="AE724" s="95" t="s">
        <v>7</v>
      </c>
      <c r="AF724" s="95" t="s">
        <v>7</v>
      </c>
      <c r="AG724" s="95" t="s">
        <v>7</v>
      </c>
      <c r="AH724" s="95" t="s">
        <v>7</v>
      </c>
      <c r="AI724" s="95" t="s">
        <v>7</v>
      </c>
      <c r="AJ724" s="96" t="s">
        <v>7</v>
      </c>
      <c r="AK724" s="97" t="s">
        <v>7</v>
      </c>
      <c r="AL724" s="95" t="s">
        <v>7</v>
      </c>
      <c r="AM724" s="90"/>
      <c r="AN724" s="90"/>
      <c r="AO724" s="90"/>
      <c r="AP724" s="90"/>
      <c r="AQ724" s="90"/>
      <c r="AR724" s="90"/>
      <c r="AS724" s="90"/>
      <c r="AT724" s="90"/>
      <c r="AU724" s="90"/>
      <c r="AV724" s="91"/>
      <c r="AX724" s="92"/>
    </row>
    <row r="725" customFormat="false" ht="15.65" hidden="false" customHeight="false" outlineLevel="0" collapsed="false">
      <c r="C725" s="72" t="n">
        <f aca="false">COUNTIFS($D$6:D725,"&lt;&gt;"&amp;"")</f>
        <v>720</v>
      </c>
      <c r="D725" s="73" t="s">
        <v>12</v>
      </c>
      <c r="E725" s="76" t="str">
        <f aca="false">
IF($D725="정상",INDEX(임대자산!$D$3:$R$3000,MATCH($F725,임대자산!$I$3:$I$3000,0),MATCH(E$3,임대자산!$D$3:$R$3,0)),
IF($D725="폐업",INDEX(폐업정보!$D$3:$R$3000,MATCH($F725,폐업정보!$I$3:$I$3000,0),MATCH(E$3,폐업정보!$D$3:$R$3,0)),
"Error"))</f>
        <v>강원</v>
      </c>
      <c r="F72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B0720</v>
      </c>
      <c r="G725" s="76" t="str">
        <f aca="false">F725&amp;RANDBETWEEN(0,10)</f>
        <v>B07208</v>
      </c>
      <c r="H725" s="75" t="n">
        <f aca="false">
IF($D725="정상",INDEX(임대자산!$D$3:$R$3000,MATCH($F725,임대자산!$I$3:$I$3000,0),MATCH(H$4,임대자산!$D$3:$R$3,0)),
IF($D725="폐업",INDEX(폐업정보!$D$3:$R$3000,MATCH($F725,폐업정보!$I$3:$I$3000,0),MATCH(H$4,폐업정보!$D$3:$R$3,0)),
"Error"))</f>
        <v>46062</v>
      </c>
      <c r="I725" s="75" t="str">
        <f aca="false">
IF($D725="정상",INDEX(임대자산!$D$3:$R$3000,MATCH($F725,임대자산!$I$3:$I$3000,0),MATCH(I$4,임대자산!$D$3:$R$3,0)),
IF($D725="폐업",INDEX(폐업정보!$D$3:$R$3000,MATCH($F725,폐업정보!$I$3:$I$3000,0),MATCH(I$4,폐업정보!$D$3:$R$3,0)),
"Error"))</f>
        <v>A0720</v>
      </c>
      <c r="J725" s="75" t="str">
        <f aca="false">
IF($D725="정상",INDEX(임대자산!$D$3:$R$3000,MATCH($F725,임대자산!$I$3:$I$3000,0),MATCH(J$4,임대자산!$D$3:$R$3,0)),
IF($D725="폐업",INDEX(폐업정보!$D$3:$R$3000,MATCH($F725,폐업정보!$I$3:$I$3000,0),MATCH(J$4,폐업정보!$D$3:$R$3,0)),
"Error"))</f>
        <v>9556400000</v>
      </c>
      <c r="K725" s="75" t="str">
        <f aca="false">
IF($D725="정상",INDEX(임대자산!$D$3:$R$3000,MATCH($F725,임대자산!$I$3:$I$3000,0),MATCH(K$4,임대자산!$D$3:$R$3,0)),
IF($D725="폐업",INDEX(폐업정보!$D$3:$R$3000,MATCH($F725,폐업정보!$I$3:$I$3000,0),MATCH(K$4,폐업정보!$D$3:$R$3,0)),
"Error"))</f>
        <v>C0720</v>
      </c>
      <c r="L725" s="75" t="str">
        <f aca="false">
IF($D725="정상",INDEX(임대자산!$D$3:$R$3000,MATCH($F725,임대자산!$I$3:$I$3000,0),MATCH(L$4,임대자산!$D$3:$R$3,0)),
IF($D725="폐업",INDEX(폐업정보!$D$3:$R$3000,MATCH($F725,폐업정보!$I$3:$I$3000,0),MATCH(L$4,폐업정보!$D$3:$R$3,0)),
"Error"))</f>
        <v>D0720</v>
      </c>
      <c r="M725" s="76" t="s">
        <v>96</v>
      </c>
      <c r="N725" s="77"/>
      <c r="O725" s="78" t="s">
        <v>97</v>
      </c>
      <c r="P725" s="79" t="n">
        <f aca="false">COUNTIFS(임대자산!$I:$I,가맹점정보!F725,임대자산!$N:$N,가맹점정보!P$4)</f>
        <v>0</v>
      </c>
      <c r="Q725" s="80" t="n">
        <f aca="false">COUNTIFS(임대자산!$I:$I,가맹점정보!F725,임대자산!$N:$N,가맹점정보!Q$4)</f>
        <v>1</v>
      </c>
      <c r="R725" s="81" t="n">
        <f aca="false">COUNTIFS(임대자산!$I:$I,가맹점정보!F725,임대자산!$N:$N,가맹점정보!R$4)</f>
        <v>0</v>
      </c>
      <c r="S725" s="82" t="n">
        <v>88000</v>
      </c>
      <c r="T725" s="83" t="n">
        <v>0</v>
      </c>
      <c r="U725" s="80" t="n">
        <f aca="false">SUM(S725:T725)</f>
        <v>88000</v>
      </c>
      <c r="V725" s="84" t="s">
        <v>7</v>
      </c>
      <c r="W725" s="80" t="str">
        <f aca="true">
IF(D725="폐업","폐업",
IF(V725="면제","면제",
IF(AND(V725="정상",COUNTIFS(OFFSET(Y725,0,COUNTA(Y725:AV725)-1,1,-4),"미납")&gt;=3),"장기미납",
IF(AND(V725="정상",OFFSET(Y725,0,COUNTA(Y725:AV725)-1)&gt;=U725),"정상",
IF(AND(V725="정상",OFFSET(Y725,0,COUNTA(Y725:AV725)-1)=0),"정상",
"계약서 미작성")))))</f>
        <v>면제</v>
      </c>
      <c r="X725" s="81" t="str">
        <f aca="true">
IF(D725="폐업","폐업",
IF(AND(V725="정상",OFFSET(Y725,0,COUNTA(Y725:AV725)-1)="미납"),"미납",
IF(AND(V725="정상",OFFSET(Y725,0,COUNTA(Y725:AV725)-1)=0),"납부 시작 전",
IF(AND(V725="정상",OFFSET(Y725,0,COUNTA(Y725:AV725)-1)&gt;=U725),"정상",
IF(AND(V725="면제",OFFSET(Y725,0,COUNTA(Y725:AV725)-1)="면제"),"면제",
IF(AND(V725="면제",OFFSET(Y725,0,COUNTA(Y725:AV725)-1)=0),"면제",
"확인요청"))))))</f>
        <v>면제</v>
      </c>
      <c r="Y725" s="93" t="s">
        <v>99</v>
      </c>
      <c r="Z725" s="90" t="n">
        <v>176000</v>
      </c>
      <c r="AA725" s="90" t="n">
        <v>88000</v>
      </c>
      <c r="AB725" s="90" t="s">
        <v>108</v>
      </c>
      <c r="AC725" s="90" t="n">
        <v>88000</v>
      </c>
      <c r="AD725" s="90" t="n">
        <v>176000</v>
      </c>
      <c r="AE725" s="90" t="n">
        <v>88000</v>
      </c>
      <c r="AF725" s="95" t="s">
        <v>62</v>
      </c>
      <c r="AG725" s="90" t="n">
        <v>88000</v>
      </c>
      <c r="AH725" s="95" t="s">
        <v>62</v>
      </c>
      <c r="AI725" s="95" t="s">
        <v>7</v>
      </c>
      <c r="AJ725" s="96" t="s">
        <v>7</v>
      </c>
      <c r="AK725" s="97" t="s">
        <v>7</v>
      </c>
      <c r="AL725" s="95" t="s">
        <v>7</v>
      </c>
      <c r="AM725" s="90"/>
      <c r="AN725" s="90"/>
      <c r="AO725" s="90"/>
      <c r="AP725" s="90"/>
      <c r="AQ725" s="90"/>
      <c r="AR725" s="90"/>
      <c r="AS725" s="90"/>
      <c r="AT725" s="90"/>
      <c r="AU725" s="90"/>
      <c r="AV725" s="91"/>
      <c r="AX725" s="92"/>
    </row>
    <row r="726" customFormat="false" ht="15.65" hidden="false" customHeight="false" outlineLevel="0" collapsed="false">
      <c r="C726" s="72" t="n">
        <f aca="false">COUNTIFS($D$6:D726,"&lt;&gt;"&amp;"")</f>
        <v>721</v>
      </c>
      <c r="D726" s="73" t="s">
        <v>12</v>
      </c>
      <c r="E726" s="76" t="str">
        <f aca="false">
IF($D726="정상",INDEX(임대자산!$D$3:$R$3000,MATCH($F726,임대자산!$I$3:$I$3000,0),MATCH(E$3,임대자산!$D$3:$R$3,0)),
IF($D726="폐업",INDEX(폐업정보!$D$3:$R$3000,MATCH($F726,폐업정보!$I$3:$I$3000,0),MATCH(E$3,폐업정보!$D$3:$R$3,0)),
"Error"))</f>
        <v>경상</v>
      </c>
      <c r="F72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B0721</v>
      </c>
      <c r="G726" s="76" t="str">
        <f aca="false">F726&amp;RANDBETWEEN(0,10)</f>
        <v>B07215</v>
      </c>
      <c r="H726" s="75" t="n">
        <f aca="false">
IF($D726="정상",INDEX(임대자산!$D$3:$R$3000,MATCH($F726,임대자산!$I$3:$I$3000,0),MATCH(H$4,임대자산!$D$3:$R$3,0)),
IF($D726="폐업",INDEX(폐업정보!$D$3:$R$3000,MATCH($F726,폐업정보!$I$3:$I$3000,0),MATCH(H$4,폐업정보!$D$3:$R$3,0)),
"Error"))</f>
        <v>45652</v>
      </c>
      <c r="I726" s="75" t="str">
        <f aca="false">
IF($D726="정상",INDEX(임대자산!$D$3:$R$3000,MATCH($F726,임대자산!$I$3:$I$3000,0),MATCH(I$4,임대자산!$D$3:$R$3,0)),
IF($D726="폐업",INDEX(폐업정보!$D$3:$R$3000,MATCH($F726,폐업정보!$I$3:$I$3000,0),MATCH(I$4,폐업정보!$D$3:$R$3,0)),
"Error"))</f>
        <v>A0721</v>
      </c>
      <c r="J726" s="75" t="str">
        <f aca="false">
IF($D726="정상",INDEX(임대자산!$D$3:$R$3000,MATCH($F726,임대자산!$I$3:$I$3000,0),MATCH(J$4,임대자산!$D$3:$R$3,0)),
IF($D726="폐업",INDEX(폐업정보!$D$3:$R$3000,MATCH($F726,폐업정보!$I$3:$I$3000,0),MATCH(J$4,폐업정보!$D$3:$R$3,0)),
"Error"))</f>
        <v>5772900000</v>
      </c>
      <c r="K726" s="75" t="str">
        <f aca="false">
IF($D726="정상",INDEX(임대자산!$D$3:$R$3000,MATCH($F726,임대자산!$I$3:$I$3000,0),MATCH(K$4,임대자산!$D$3:$R$3,0)),
IF($D726="폐업",INDEX(폐업정보!$D$3:$R$3000,MATCH($F726,폐업정보!$I$3:$I$3000,0),MATCH(K$4,폐업정보!$D$3:$R$3,0)),
"Error"))</f>
        <v>C0721</v>
      </c>
      <c r="L726" s="75" t="str">
        <f aca="false">
IF($D726="정상",INDEX(임대자산!$D$3:$R$3000,MATCH($F726,임대자산!$I$3:$I$3000,0),MATCH(L$4,임대자산!$D$3:$R$3,0)),
IF($D726="폐업",INDEX(폐업정보!$D$3:$R$3000,MATCH($F726,폐업정보!$I$3:$I$3000,0),MATCH(L$4,폐업정보!$D$3:$R$3,0)),
"Error"))</f>
        <v>D0721</v>
      </c>
      <c r="M726" s="76" t="s">
        <v>96</v>
      </c>
      <c r="N726" s="77"/>
      <c r="O726" s="78" t="s">
        <v>97</v>
      </c>
      <c r="P726" s="79" t="n">
        <f aca="false">COUNTIFS(임대자산!$I:$I,가맹점정보!F726,임대자산!$N:$N,가맹점정보!P$4)</f>
        <v>0</v>
      </c>
      <c r="Q726" s="80" t="n">
        <f aca="false">COUNTIFS(임대자산!$I:$I,가맹점정보!F726,임대자산!$N:$N,가맹점정보!Q$4)</f>
        <v>1</v>
      </c>
      <c r="R726" s="81" t="n">
        <f aca="false">COUNTIFS(임대자산!$I:$I,가맹점정보!F726,임대자산!$N:$N,가맹점정보!R$4)</f>
        <v>0</v>
      </c>
      <c r="S726" s="82" t="n">
        <v>88000</v>
      </c>
      <c r="T726" s="83" t="n">
        <v>0</v>
      </c>
      <c r="U726" s="80" t="n">
        <f aca="false">SUM(S726:T726)</f>
        <v>88000</v>
      </c>
      <c r="V726" s="84" t="s">
        <v>7</v>
      </c>
      <c r="W726" s="80" t="str">
        <f aca="true">
IF(D726="폐업","폐업",
IF(V726="면제","면제",
IF(AND(V726="정상",COUNTIFS(OFFSET(Y726,0,COUNTA(Y726:AV726)-1,1,-4),"미납")&gt;=3),"장기미납",
IF(AND(V726="정상",OFFSET(Y726,0,COUNTA(Y726:AV726)-1)&gt;=U726),"정상",
IF(AND(V726="정상",OFFSET(Y726,0,COUNTA(Y726:AV726)-1)=0),"정상",
"계약서 미작성")))))</f>
        <v>면제</v>
      </c>
      <c r="X726" s="81" t="str">
        <f aca="true">
IF(D726="폐업","폐업",
IF(AND(V726="정상",OFFSET(Y726,0,COUNTA(Y726:AV726)-1)="미납"),"미납",
IF(AND(V726="정상",OFFSET(Y726,0,COUNTA(Y726:AV726)-1)=0),"납부 시작 전",
IF(AND(V726="정상",OFFSET(Y726,0,COUNTA(Y726:AV726)-1)&gt;=U726),"정상",
IF(AND(V726="면제",OFFSET(Y726,0,COUNTA(Y726:AV726)-1)="면제"),"면제",
IF(AND(V726="면제",OFFSET(Y726,0,COUNTA(Y726:AV726)-1)=0),"면제",
"확인요청"))))))</f>
        <v>면제</v>
      </c>
      <c r="Y726" s="93" t="s">
        <v>99</v>
      </c>
      <c r="Z726" s="90" t="n">
        <v>176000</v>
      </c>
      <c r="AA726" s="90" t="n">
        <v>88000</v>
      </c>
      <c r="AB726" s="90" t="s">
        <v>108</v>
      </c>
      <c r="AC726" s="90" t="n">
        <v>88000</v>
      </c>
      <c r="AD726" s="90" t="n">
        <v>176000</v>
      </c>
      <c r="AE726" s="90" t="n">
        <v>88000</v>
      </c>
      <c r="AF726" s="95" t="s">
        <v>62</v>
      </c>
      <c r="AG726" s="90" t="n">
        <v>88000</v>
      </c>
      <c r="AH726" s="95" t="s">
        <v>62</v>
      </c>
      <c r="AI726" s="95" t="s">
        <v>7</v>
      </c>
      <c r="AJ726" s="96" t="s">
        <v>7</v>
      </c>
      <c r="AK726" s="97" t="s">
        <v>7</v>
      </c>
      <c r="AL726" s="95" t="s">
        <v>7</v>
      </c>
      <c r="AM726" s="90"/>
      <c r="AN726" s="90"/>
      <c r="AO726" s="90"/>
      <c r="AP726" s="90"/>
      <c r="AQ726" s="90"/>
      <c r="AR726" s="90"/>
      <c r="AS726" s="90"/>
      <c r="AT726" s="90"/>
      <c r="AU726" s="90"/>
      <c r="AV726" s="91"/>
      <c r="AX726" s="92"/>
    </row>
    <row r="727" customFormat="false" ht="15.65" hidden="false" customHeight="false" outlineLevel="0" collapsed="false">
      <c r="C727" s="72" t="n">
        <f aca="false">COUNTIFS($D$6:D727,"&lt;&gt;"&amp;"")</f>
        <v>722</v>
      </c>
      <c r="D727" s="73" t="s">
        <v>12</v>
      </c>
      <c r="E727" s="76" t="str">
        <f aca="false">
IF($D727="정상",INDEX(임대자산!$D$3:$R$3000,MATCH($F727,임대자산!$I$3:$I$3000,0),MATCH(E$3,임대자산!$D$3:$R$3,0)),
IF($D727="폐업",INDEX(폐업정보!$D$3:$R$3000,MATCH($F727,폐업정보!$I$3:$I$3000,0),MATCH(E$3,폐업정보!$D$3:$R$3,0)),
"Error"))</f>
        <v>경기</v>
      </c>
      <c r="F72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B0722</v>
      </c>
      <c r="G727" s="76" t="str">
        <f aca="false">F727&amp;RANDBETWEEN(0,10)</f>
        <v>B07226</v>
      </c>
      <c r="H727" s="75" t="n">
        <f aca="false">
IF($D727="정상",INDEX(임대자산!$D$3:$R$3000,MATCH($F727,임대자산!$I$3:$I$3000,0),MATCH(H$4,임대자산!$D$3:$R$3,0)),
IF($D727="폐업",INDEX(폐업정보!$D$3:$R$3000,MATCH($F727,폐업정보!$I$3:$I$3000,0),MATCH(H$4,폐업정보!$D$3:$R$3,0)),
"Error"))</f>
        <v>44904</v>
      </c>
      <c r="I727" s="75" t="str">
        <f aca="false">
IF($D727="정상",INDEX(임대자산!$D$3:$R$3000,MATCH($F727,임대자산!$I$3:$I$3000,0),MATCH(I$4,임대자산!$D$3:$R$3,0)),
IF($D727="폐업",INDEX(폐업정보!$D$3:$R$3000,MATCH($F727,폐업정보!$I$3:$I$3000,0),MATCH(I$4,폐업정보!$D$3:$R$3,0)),
"Error"))</f>
        <v>A0722</v>
      </c>
      <c r="J727" s="75" t="str">
        <f aca="false">
IF($D727="정상",INDEX(임대자산!$D$3:$R$3000,MATCH($F727,임대자산!$I$3:$I$3000,0),MATCH(J$4,임대자산!$D$3:$R$3,0)),
IF($D727="폐업",INDEX(폐업정보!$D$3:$R$3000,MATCH($F727,폐업정보!$I$3:$I$3000,0),MATCH(J$4,폐업정보!$D$3:$R$3,0)),
"Error"))</f>
        <v>2589700000</v>
      </c>
      <c r="K727" s="75" t="str">
        <f aca="false">
IF($D727="정상",INDEX(임대자산!$D$3:$R$3000,MATCH($F727,임대자산!$I$3:$I$3000,0),MATCH(K$4,임대자산!$D$3:$R$3,0)),
IF($D727="폐업",INDEX(폐업정보!$D$3:$R$3000,MATCH($F727,폐업정보!$I$3:$I$3000,0),MATCH(K$4,폐업정보!$D$3:$R$3,0)),
"Error"))</f>
        <v>C0722</v>
      </c>
      <c r="L727" s="75" t="str">
        <f aca="false">
IF($D727="정상",INDEX(임대자산!$D$3:$R$3000,MATCH($F727,임대자산!$I$3:$I$3000,0),MATCH(L$4,임대자산!$D$3:$R$3,0)),
IF($D727="폐업",INDEX(폐업정보!$D$3:$R$3000,MATCH($F727,폐업정보!$I$3:$I$3000,0),MATCH(L$4,폐업정보!$D$3:$R$3,0)),
"Error"))</f>
        <v>D0722</v>
      </c>
      <c r="M727" s="76" t="s">
        <v>96</v>
      </c>
      <c r="N727" s="77"/>
      <c r="O727" s="78" t="s">
        <v>97</v>
      </c>
      <c r="P727" s="79" t="n">
        <f aca="false">COUNTIFS(임대자산!$I:$I,가맹점정보!F727,임대자산!$N:$N,가맹점정보!P$4)</f>
        <v>0</v>
      </c>
      <c r="Q727" s="80" t="n">
        <f aca="false">COUNTIFS(임대자산!$I:$I,가맹점정보!F727,임대자산!$N:$N,가맹점정보!Q$4)</f>
        <v>1</v>
      </c>
      <c r="R727" s="81" t="n">
        <f aca="false">COUNTIFS(임대자산!$I:$I,가맹점정보!F727,임대자산!$N:$N,가맹점정보!R$4)</f>
        <v>0</v>
      </c>
      <c r="S727" s="82" t="n">
        <v>88000</v>
      </c>
      <c r="T727" s="83" t="n">
        <v>0</v>
      </c>
      <c r="U727" s="80" t="n">
        <f aca="false">SUM(S727:T727)</f>
        <v>88000</v>
      </c>
      <c r="V727" s="84" t="s">
        <v>7</v>
      </c>
      <c r="W727" s="80" t="str">
        <f aca="true">
IF(D727="폐업","폐업",
IF(V727="면제","면제",
IF(AND(V727="정상",COUNTIFS(OFFSET(Y727,0,COUNTA(Y727:AV727)-1,1,-4),"미납")&gt;=3),"장기미납",
IF(AND(V727="정상",OFFSET(Y727,0,COUNTA(Y727:AV727)-1)&gt;=U727),"정상",
IF(AND(V727="정상",OFFSET(Y727,0,COUNTA(Y727:AV727)-1)=0),"정상",
"계약서 미작성")))))</f>
        <v>면제</v>
      </c>
      <c r="X727" s="81" t="str">
        <f aca="true">
IF(D727="폐업","폐업",
IF(AND(V727="정상",OFFSET(Y727,0,COUNTA(Y727:AV727)-1)="미납"),"미납",
IF(AND(V727="정상",OFFSET(Y727,0,COUNTA(Y727:AV727)-1)=0),"납부 시작 전",
IF(AND(V727="정상",OFFSET(Y727,0,COUNTA(Y727:AV727)-1)&gt;=U727),"정상",
IF(AND(V727="면제",OFFSET(Y727,0,COUNTA(Y727:AV727)-1)="면제"),"면제",
IF(AND(V727="면제",OFFSET(Y727,0,COUNTA(Y727:AV727)-1)=0),"면제",
"확인요청"))))))</f>
        <v>면제</v>
      </c>
      <c r="Y727" s="93" t="s">
        <v>99</v>
      </c>
      <c r="Z727" s="90" t="n">
        <v>176000</v>
      </c>
      <c r="AA727" s="90" t="n">
        <v>88000</v>
      </c>
      <c r="AB727" s="90" t="s">
        <v>108</v>
      </c>
      <c r="AC727" s="90" t="n">
        <v>88000</v>
      </c>
      <c r="AD727" s="90" t="n">
        <v>176000</v>
      </c>
      <c r="AE727" s="95" t="s">
        <v>62</v>
      </c>
      <c r="AF727" s="95" t="s">
        <v>62</v>
      </c>
      <c r="AG727" s="95" t="s">
        <v>62</v>
      </c>
      <c r="AH727" s="95" t="s">
        <v>7</v>
      </c>
      <c r="AI727" s="95" t="s">
        <v>7</v>
      </c>
      <c r="AJ727" s="96" t="s">
        <v>7</v>
      </c>
      <c r="AK727" s="97" t="s">
        <v>7</v>
      </c>
      <c r="AL727" s="95" t="s">
        <v>7</v>
      </c>
      <c r="AM727" s="90"/>
      <c r="AN727" s="90"/>
      <c r="AO727" s="90"/>
      <c r="AP727" s="90"/>
      <c r="AQ727" s="90"/>
      <c r="AR727" s="90"/>
      <c r="AS727" s="90"/>
      <c r="AT727" s="90"/>
      <c r="AU727" s="90"/>
      <c r="AV727" s="91"/>
      <c r="AX727" s="92"/>
    </row>
    <row r="728" customFormat="false" ht="15.65" hidden="false" customHeight="false" outlineLevel="0" collapsed="false">
      <c r="C728" s="72" t="n">
        <f aca="false">COUNTIFS($D$6:D728,"&lt;&gt;"&amp;"")</f>
        <v>723</v>
      </c>
      <c r="D728" s="73" t="s">
        <v>12</v>
      </c>
      <c r="E728" s="76" t="str">
        <f aca="false">
IF($D728="정상",INDEX(임대자산!$D$3:$R$3000,MATCH($F728,임대자산!$I$3:$I$3000,0),MATCH(E$3,임대자산!$D$3:$R$3,0)),
IF($D728="폐업",INDEX(폐업정보!$D$3:$R$3000,MATCH($F728,폐업정보!$I$3:$I$3000,0),MATCH(E$3,폐업정보!$D$3:$R$3,0)),
"Error"))</f>
        <v>경기</v>
      </c>
      <c r="F72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B0723</v>
      </c>
      <c r="G728" s="76" t="str">
        <f aca="false">F728&amp;RANDBETWEEN(0,10)</f>
        <v>B07237</v>
      </c>
      <c r="H728" s="75" t="n">
        <f aca="false">
IF($D728="정상",INDEX(임대자산!$D$3:$R$3000,MATCH($F728,임대자산!$I$3:$I$3000,0),MATCH(H$4,임대자산!$D$3:$R$3,0)),
IF($D728="폐업",INDEX(폐업정보!$D$3:$R$3000,MATCH($F728,폐업정보!$I$3:$I$3000,0),MATCH(H$4,폐업정보!$D$3:$R$3,0)),
"Error"))</f>
        <v>44923</v>
      </c>
      <c r="I728" s="75" t="str">
        <f aca="false">
IF($D728="정상",INDEX(임대자산!$D$3:$R$3000,MATCH($F728,임대자산!$I$3:$I$3000,0),MATCH(I$4,임대자산!$D$3:$R$3,0)),
IF($D728="폐업",INDEX(폐업정보!$D$3:$R$3000,MATCH($F728,폐업정보!$I$3:$I$3000,0),MATCH(I$4,폐업정보!$D$3:$R$3,0)),
"Error"))</f>
        <v>A0723</v>
      </c>
      <c r="J728" s="75" t="str">
        <f aca="false">
IF($D728="정상",INDEX(임대자산!$D$3:$R$3000,MATCH($F728,임대자산!$I$3:$I$3000,0),MATCH(J$4,임대자산!$D$3:$R$3,0)),
IF($D728="폐업",INDEX(폐업정보!$D$3:$R$3000,MATCH($F728,폐업정보!$I$3:$I$3000,0),MATCH(J$4,폐업정보!$D$3:$R$3,0)),
"Error"))</f>
        <v>5735600000</v>
      </c>
      <c r="K728" s="75" t="str">
        <f aca="false">
IF($D728="정상",INDEX(임대자산!$D$3:$R$3000,MATCH($F728,임대자산!$I$3:$I$3000,0),MATCH(K$4,임대자산!$D$3:$R$3,0)),
IF($D728="폐업",INDEX(폐업정보!$D$3:$R$3000,MATCH($F728,폐업정보!$I$3:$I$3000,0),MATCH(K$4,폐업정보!$D$3:$R$3,0)),
"Error"))</f>
        <v>C0723</v>
      </c>
      <c r="L728" s="75" t="str">
        <f aca="false">
IF($D728="정상",INDEX(임대자산!$D$3:$R$3000,MATCH($F728,임대자산!$I$3:$I$3000,0),MATCH(L$4,임대자산!$D$3:$R$3,0)),
IF($D728="폐업",INDEX(폐업정보!$D$3:$R$3000,MATCH($F728,폐업정보!$I$3:$I$3000,0),MATCH(L$4,폐업정보!$D$3:$R$3,0)),
"Error"))</f>
        <v>D0723</v>
      </c>
      <c r="M728" s="76" t="s">
        <v>96</v>
      </c>
      <c r="N728" s="77"/>
      <c r="O728" s="78" t="s">
        <v>97</v>
      </c>
      <c r="P728" s="79" t="n">
        <f aca="false">COUNTIFS(임대자산!$I:$I,가맹점정보!F728,임대자산!$N:$N,가맹점정보!P$4)</f>
        <v>0</v>
      </c>
      <c r="Q728" s="80" t="n">
        <f aca="false">COUNTIFS(임대자산!$I:$I,가맹점정보!F728,임대자산!$N:$N,가맹점정보!Q$4)</f>
        <v>1</v>
      </c>
      <c r="R728" s="81" t="n">
        <f aca="false">COUNTIFS(임대자산!$I:$I,가맹점정보!F728,임대자산!$N:$N,가맹점정보!R$4)</f>
        <v>0</v>
      </c>
      <c r="S728" s="82" t="n">
        <v>88000</v>
      </c>
      <c r="T728" s="83" t="n">
        <v>0</v>
      </c>
      <c r="U728" s="80" t="n">
        <f aca="false">SUM(S728:T728)</f>
        <v>88000</v>
      </c>
      <c r="V728" s="84" t="s">
        <v>12</v>
      </c>
      <c r="W728" s="80" t="e">
        <f aca="true">
IF(D728="폐업","폐업",
IF(V728="면제","면제",
IF(AND(V728="정상",COUNTIFS(OFFSET(Y728,0,COUNTA(Y728:AV728)-1,1,-4),"미납")&gt;=3),"장기미납",
IF(AND(V728="정상",OFFSET(Y728,0,COUNTA(Y728:AV728)-1)&gt;=U728),"정상",
IF(AND(V728="정상",OFFSET(Y728,0,COUNTA(Y728:AV728)-1)=0),"정상",
"계약서 미작성")))))</f>
        <v>#VALUE!</v>
      </c>
      <c r="X728" s="81" t="str">
        <f aca="true">
IF(D728="폐업","폐업",
IF(AND(V728="정상",OFFSET(Y728,0,COUNTA(Y728:AV728)-1)="미납"),"미납",
IF(AND(V728="정상",OFFSET(Y728,0,COUNTA(Y728:AV728)-1)=0),"납부 시작 전",
IF(AND(V728="정상",OFFSET(Y728,0,COUNTA(Y728:AV728)-1)&gt;=U728),"정상",
IF(AND(V728="면제",OFFSET(Y728,0,COUNTA(Y728:AV728)-1)="면제"),"면제",
IF(AND(V728="면제",OFFSET(Y728,0,COUNTA(Y728:AV728)-1)=0),"면제",
"확인요청"))))))</f>
        <v>정상</v>
      </c>
      <c r="Y728" s="94" t="s">
        <v>62</v>
      </c>
      <c r="Z728" s="90" t="n">
        <v>88000</v>
      </c>
      <c r="AA728" s="90" t="n">
        <v>88000</v>
      </c>
      <c r="AB728" s="90" t="n">
        <v>88000</v>
      </c>
      <c r="AC728" s="90" t="n">
        <v>88000</v>
      </c>
      <c r="AD728" s="90" t="n">
        <v>88000</v>
      </c>
      <c r="AE728" s="90" t="n">
        <v>88000</v>
      </c>
      <c r="AF728" s="90" t="n">
        <v>88000</v>
      </c>
      <c r="AG728" s="90" t="n">
        <v>88000</v>
      </c>
      <c r="AH728" s="90" t="n">
        <v>88000</v>
      </c>
      <c r="AI728" s="90" t="n">
        <v>88000</v>
      </c>
      <c r="AJ728" s="91" t="n">
        <v>88000</v>
      </c>
      <c r="AK728" s="89" t="n">
        <v>88000</v>
      </c>
      <c r="AL728" s="90" t="n">
        <v>88000</v>
      </c>
      <c r="AM728" s="90"/>
      <c r="AN728" s="90"/>
      <c r="AO728" s="90"/>
      <c r="AP728" s="90"/>
      <c r="AQ728" s="90"/>
      <c r="AR728" s="90"/>
      <c r="AS728" s="90"/>
      <c r="AT728" s="90"/>
      <c r="AU728" s="90"/>
      <c r="AV728" s="91"/>
      <c r="AX728" s="92"/>
    </row>
    <row r="729" customFormat="false" ht="15.65" hidden="false" customHeight="false" outlineLevel="0" collapsed="false">
      <c r="C729" s="72" t="n">
        <f aca="false">COUNTIFS($D$6:D729,"&lt;&gt;"&amp;"")</f>
        <v>724</v>
      </c>
      <c r="D729" s="73" t="s">
        <v>12</v>
      </c>
      <c r="E729" s="76" t="str">
        <f aca="false">
IF($D729="정상",INDEX(임대자산!$D$3:$R$3000,MATCH($F729,임대자산!$I$3:$I$3000,0),MATCH(E$3,임대자산!$D$3:$R$3,0)),
IF($D729="폐업",INDEX(폐업정보!$D$3:$R$3000,MATCH($F729,폐업정보!$I$3:$I$3000,0),MATCH(E$3,폐업정보!$D$3:$R$3,0)),
"Error"))</f>
        <v>경상</v>
      </c>
      <c r="F72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B0724</v>
      </c>
      <c r="G729" s="76" t="str">
        <f aca="false">F729&amp;RANDBETWEEN(0,10)</f>
        <v>B07243</v>
      </c>
      <c r="H729" s="75" t="n">
        <f aca="false">
IF($D729="정상",INDEX(임대자산!$D$3:$R$3000,MATCH($F729,임대자산!$I$3:$I$3000,0),MATCH(H$4,임대자산!$D$3:$R$3,0)),
IF($D729="폐업",INDEX(폐업정보!$D$3:$R$3000,MATCH($F729,폐업정보!$I$3:$I$3000,0),MATCH(H$4,폐업정보!$D$3:$R$3,0)),
"Error"))</f>
        <v>44964</v>
      </c>
      <c r="I729" s="75" t="str">
        <f aca="false">
IF($D729="정상",INDEX(임대자산!$D$3:$R$3000,MATCH($F729,임대자산!$I$3:$I$3000,0),MATCH(I$4,임대자산!$D$3:$R$3,0)),
IF($D729="폐업",INDEX(폐업정보!$D$3:$R$3000,MATCH($F729,폐업정보!$I$3:$I$3000,0),MATCH(I$4,폐업정보!$D$3:$R$3,0)),
"Error"))</f>
        <v>A0724</v>
      </c>
      <c r="J729" s="75" t="str">
        <f aca="false">
IF($D729="정상",INDEX(임대자산!$D$3:$R$3000,MATCH($F729,임대자산!$I$3:$I$3000,0),MATCH(J$4,임대자산!$D$3:$R$3,0)),
IF($D729="폐업",INDEX(폐업정보!$D$3:$R$3000,MATCH($F729,폐업정보!$I$3:$I$3000,0),MATCH(J$4,폐업정보!$D$3:$R$3,0)),
"Error"))</f>
        <v>8790200000</v>
      </c>
      <c r="K729" s="75" t="str">
        <f aca="false">
IF($D729="정상",INDEX(임대자산!$D$3:$R$3000,MATCH($F729,임대자산!$I$3:$I$3000,0),MATCH(K$4,임대자산!$D$3:$R$3,0)),
IF($D729="폐업",INDEX(폐업정보!$D$3:$R$3000,MATCH($F729,폐업정보!$I$3:$I$3000,0),MATCH(K$4,폐업정보!$D$3:$R$3,0)),
"Error"))</f>
        <v>C0724</v>
      </c>
      <c r="L729" s="75" t="str">
        <f aca="false">
IF($D729="정상",INDEX(임대자산!$D$3:$R$3000,MATCH($F729,임대자산!$I$3:$I$3000,0),MATCH(L$4,임대자산!$D$3:$R$3,0)),
IF($D729="폐업",INDEX(폐업정보!$D$3:$R$3000,MATCH($F729,폐업정보!$I$3:$I$3000,0),MATCH(L$4,폐업정보!$D$3:$R$3,0)),
"Error"))</f>
        <v>D0724</v>
      </c>
      <c r="M729" s="76" t="s">
        <v>96</v>
      </c>
      <c r="N729" s="77"/>
      <c r="O729" s="78" t="s">
        <v>97</v>
      </c>
      <c r="P729" s="79" t="n">
        <f aca="false">COUNTIFS(임대자산!$I:$I,가맹점정보!F729,임대자산!$N:$N,가맹점정보!P$4)</f>
        <v>0</v>
      </c>
      <c r="Q729" s="80" t="n">
        <f aca="false">COUNTIFS(임대자산!$I:$I,가맹점정보!F729,임대자산!$N:$N,가맹점정보!Q$4)</f>
        <v>1</v>
      </c>
      <c r="R729" s="81" t="n">
        <f aca="false">COUNTIFS(임대자산!$I:$I,가맹점정보!F729,임대자산!$N:$N,가맹점정보!R$4)</f>
        <v>0</v>
      </c>
      <c r="S729" s="82" t="n">
        <v>55000</v>
      </c>
      <c r="T729" s="83" t="n">
        <v>0</v>
      </c>
      <c r="U729" s="80" t="n">
        <f aca="false">SUM(S729:T729)</f>
        <v>55000</v>
      </c>
      <c r="V729" s="84" t="s">
        <v>12</v>
      </c>
      <c r="W729" s="80" t="e">
        <f aca="true">
IF(D729="폐업","폐업",
IF(V729="면제","면제",
IF(AND(V729="정상",COUNTIFS(OFFSET(Y729,0,COUNTA(Y729:AV729)-1,1,-4),"미납")&gt;=3),"장기미납",
IF(AND(V729="정상",OFFSET(Y729,0,COUNTA(Y729:AV729)-1)&gt;=U729),"정상",
IF(AND(V729="정상",OFFSET(Y729,0,COUNTA(Y729:AV729)-1)=0),"정상",
"계약서 미작성")))))</f>
        <v>#VALUE!</v>
      </c>
      <c r="X729" s="81" t="str">
        <f aca="true">
IF(D729="폐업","폐업",
IF(AND(V729="정상",OFFSET(Y729,0,COUNTA(Y729:AV729)-1)="미납"),"미납",
IF(AND(V729="정상",OFFSET(Y729,0,COUNTA(Y729:AV729)-1)=0),"납부 시작 전",
IF(AND(V729="정상",OFFSET(Y729,0,COUNTA(Y729:AV729)-1)&gt;=U729),"정상",
IF(AND(V729="면제",OFFSET(Y729,0,COUNTA(Y729:AV729)-1)="면제"),"면제",
IF(AND(V729="면제",OFFSET(Y729,0,COUNTA(Y729:AV729)-1)=0),"면제",
"확인요청"))))))</f>
        <v>정상</v>
      </c>
      <c r="Y729" s="94" t="s">
        <v>62</v>
      </c>
      <c r="Z729" s="90" t="n">
        <v>55000</v>
      </c>
      <c r="AA729" s="90" t="n">
        <v>55000</v>
      </c>
      <c r="AB729" s="90" t="n">
        <v>55000</v>
      </c>
      <c r="AC729" s="90" t="n">
        <v>55000</v>
      </c>
      <c r="AD729" s="90" t="n">
        <v>55000</v>
      </c>
      <c r="AE729" s="90" t="n">
        <v>55000</v>
      </c>
      <c r="AF729" s="90" t="n">
        <v>55000</v>
      </c>
      <c r="AG729" s="90" t="n">
        <v>55000</v>
      </c>
      <c r="AH729" s="90" t="n">
        <v>55000</v>
      </c>
      <c r="AI729" s="90" t="n">
        <v>55000</v>
      </c>
      <c r="AJ729" s="91" t="n">
        <v>55000</v>
      </c>
      <c r="AK729" s="89" t="n">
        <v>55000</v>
      </c>
      <c r="AL729" s="90" t="n">
        <v>55000</v>
      </c>
      <c r="AM729" s="90"/>
      <c r="AN729" s="90"/>
      <c r="AO729" s="90"/>
      <c r="AP729" s="90"/>
      <c r="AQ729" s="90"/>
      <c r="AR729" s="90"/>
      <c r="AS729" s="90"/>
      <c r="AT729" s="90"/>
      <c r="AU729" s="90"/>
      <c r="AV729" s="91"/>
      <c r="AX729" s="92"/>
    </row>
    <row r="730" customFormat="false" ht="15.65" hidden="false" customHeight="false" outlineLevel="0" collapsed="false">
      <c r="C730" s="72" t="n">
        <f aca="false">COUNTIFS($D$6:D730,"&lt;&gt;"&amp;"")</f>
        <v>725</v>
      </c>
      <c r="D730" s="73" t="s">
        <v>12</v>
      </c>
      <c r="E730" s="76" t="str">
        <f aca="false">
IF($D730="정상",INDEX(임대자산!$D$3:$R$3000,MATCH($F730,임대자산!$I$3:$I$3000,0),MATCH(E$3,임대자산!$D$3:$R$3,0)),
IF($D730="폐업",INDEX(폐업정보!$D$3:$R$3000,MATCH($F730,폐업정보!$I$3:$I$3000,0),MATCH(E$3,폐업정보!$D$3:$R$3,0)),
"Error"))</f>
        <v>경기</v>
      </c>
      <c r="F73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B0725</v>
      </c>
      <c r="G730" s="76" t="str">
        <f aca="false">F730&amp;RANDBETWEEN(0,10)</f>
        <v>B07255</v>
      </c>
      <c r="H730" s="75" t="n">
        <f aca="false">
IF($D730="정상",INDEX(임대자산!$D$3:$R$3000,MATCH($F730,임대자산!$I$3:$I$3000,0),MATCH(H$4,임대자산!$D$3:$R$3,0)),
IF($D730="폐업",INDEX(폐업정보!$D$3:$R$3000,MATCH($F730,폐업정보!$I$3:$I$3000,0),MATCH(H$4,폐업정보!$D$3:$R$3,0)),
"Error"))</f>
        <v>44965</v>
      </c>
      <c r="I730" s="75" t="str">
        <f aca="false">
IF($D730="정상",INDEX(임대자산!$D$3:$R$3000,MATCH($F730,임대자산!$I$3:$I$3000,0),MATCH(I$4,임대자산!$D$3:$R$3,0)),
IF($D730="폐업",INDEX(폐업정보!$D$3:$R$3000,MATCH($F730,폐업정보!$I$3:$I$3000,0),MATCH(I$4,폐업정보!$D$3:$R$3,0)),
"Error"))</f>
        <v>A0725</v>
      </c>
      <c r="J730" s="75" t="str">
        <f aca="false">
IF($D730="정상",INDEX(임대자산!$D$3:$R$3000,MATCH($F730,임대자산!$I$3:$I$3000,0),MATCH(J$4,임대자산!$D$3:$R$3,0)),
IF($D730="폐업",INDEX(폐업정보!$D$3:$R$3000,MATCH($F730,폐업정보!$I$3:$I$3000,0),MATCH(J$4,폐업정보!$D$3:$R$3,0)),
"Error"))</f>
        <v>6688000000</v>
      </c>
      <c r="K730" s="75" t="str">
        <f aca="false">
IF($D730="정상",INDEX(임대자산!$D$3:$R$3000,MATCH($F730,임대자산!$I$3:$I$3000,0),MATCH(K$4,임대자산!$D$3:$R$3,0)),
IF($D730="폐업",INDEX(폐업정보!$D$3:$R$3000,MATCH($F730,폐업정보!$I$3:$I$3000,0),MATCH(K$4,폐업정보!$D$3:$R$3,0)),
"Error"))</f>
        <v>C0725</v>
      </c>
      <c r="L730" s="75" t="str">
        <f aca="false">
IF($D730="정상",INDEX(임대자산!$D$3:$R$3000,MATCH($F730,임대자산!$I$3:$I$3000,0),MATCH(L$4,임대자산!$D$3:$R$3,0)),
IF($D730="폐업",INDEX(폐업정보!$D$3:$R$3000,MATCH($F730,폐업정보!$I$3:$I$3000,0),MATCH(L$4,폐업정보!$D$3:$R$3,0)),
"Error"))</f>
        <v>D0725</v>
      </c>
      <c r="M730" s="76" t="s">
        <v>96</v>
      </c>
      <c r="N730" s="77"/>
      <c r="O730" s="78" t="s">
        <v>97</v>
      </c>
      <c r="P730" s="79" t="n">
        <f aca="false">COUNTIFS(임대자산!$I:$I,가맹점정보!F730,임대자산!$N:$N,가맹점정보!P$4)</f>
        <v>0</v>
      </c>
      <c r="Q730" s="80" t="n">
        <f aca="false">COUNTIFS(임대자산!$I:$I,가맹점정보!F730,임대자산!$N:$N,가맹점정보!Q$4)</f>
        <v>1</v>
      </c>
      <c r="R730" s="81" t="n">
        <f aca="false">COUNTIFS(임대자산!$I:$I,가맹점정보!F730,임대자산!$N:$N,가맹점정보!R$4)</f>
        <v>0</v>
      </c>
      <c r="S730" s="82" t="n">
        <v>88000</v>
      </c>
      <c r="T730" s="83" t="n">
        <v>0</v>
      </c>
      <c r="U730" s="80" t="n">
        <f aca="false">SUM(S730:T730)</f>
        <v>88000</v>
      </c>
      <c r="V730" s="84" t="s">
        <v>7</v>
      </c>
      <c r="W730" s="80" t="str">
        <f aca="true">
IF(D730="폐업","폐업",
IF(V730="면제","면제",
IF(AND(V730="정상",COUNTIFS(OFFSET(Y730,0,COUNTA(Y730:AV730)-1,1,-4),"미납")&gt;=3),"장기미납",
IF(AND(V730="정상",OFFSET(Y730,0,COUNTA(Y730:AV730)-1)&gt;=U730),"정상",
IF(AND(V730="정상",OFFSET(Y730,0,COUNTA(Y730:AV730)-1)=0),"정상",
"계약서 미작성")))))</f>
        <v>면제</v>
      </c>
      <c r="X730" s="81" t="str">
        <f aca="true">
IF(D730="폐업","폐업",
IF(AND(V730="정상",OFFSET(Y730,0,COUNTA(Y730:AV730)-1)="미납"),"미납",
IF(AND(V730="정상",OFFSET(Y730,0,COUNTA(Y730:AV730)-1)=0),"납부 시작 전",
IF(AND(V730="정상",OFFSET(Y730,0,COUNTA(Y730:AV730)-1)&gt;=U730),"정상",
IF(AND(V730="면제",OFFSET(Y730,0,COUNTA(Y730:AV730)-1)="면제"),"면제",
IF(AND(V730="면제",OFFSET(Y730,0,COUNTA(Y730:AV730)-1)=0),"면제",
"확인요청"))))))</f>
        <v>면제</v>
      </c>
      <c r="Y730" s="94" t="s">
        <v>7</v>
      </c>
      <c r="Z730" s="95" t="s">
        <v>7</v>
      </c>
      <c r="AA730" s="95" t="s">
        <v>7</v>
      </c>
      <c r="AB730" s="95" t="s">
        <v>7</v>
      </c>
      <c r="AC730" s="95" t="s">
        <v>7</v>
      </c>
      <c r="AD730" s="95" t="s">
        <v>7</v>
      </c>
      <c r="AE730" s="95" t="s">
        <v>7</v>
      </c>
      <c r="AF730" s="95" t="s">
        <v>7</v>
      </c>
      <c r="AG730" s="95" t="s">
        <v>7</v>
      </c>
      <c r="AH730" s="95" t="s">
        <v>7</v>
      </c>
      <c r="AI730" s="95" t="s">
        <v>7</v>
      </c>
      <c r="AJ730" s="96" t="s">
        <v>7</v>
      </c>
      <c r="AK730" s="97" t="s">
        <v>7</v>
      </c>
      <c r="AL730" s="95" t="s">
        <v>7</v>
      </c>
      <c r="AM730" s="90"/>
      <c r="AN730" s="90"/>
      <c r="AO730" s="90"/>
      <c r="AP730" s="90"/>
      <c r="AQ730" s="90"/>
      <c r="AR730" s="90"/>
      <c r="AS730" s="90"/>
      <c r="AT730" s="90"/>
      <c r="AU730" s="90"/>
      <c r="AV730" s="91"/>
      <c r="AX730" s="92"/>
    </row>
    <row r="731" customFormat="false" ht="15.65" hidden="false" customHeight="false" outlineLevel="0" collapsed="false">
      <c r="C731" s="72" t="n">
        <f aca="false">COUNTIFS($D$6:D731,"&lt;&gt;"&amp;"")</f>
        <v>726</v>
      </c>
      <c r="D731" s="73" t="s">
        <v>12</v>
      </c>
      <c r="E731" s="76" t="str">
        <f aca="false">
IF($D731="정상",INDEX(임대자산!$D$3:$R$3000,MATCH($F731,임대자산!$I$3:$I$3000,0),MATCH(E$3,임대자산!$D$3:$R$3,0)),
IF($D731="폐업",INDEX(폐업정보!$D$3:$R$3000,MATCH($F731,폐업정보!$I$3:$I$3000,0),MATCH(E$3,폐업정보!$D$3:$R$3,0)),
"Error"))</f>
        <v>서울</v>
      </c>
      <c r="F73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B0726</v>
      </c>
      <c r="G731" s="76" t="str">
        <f aca="false">F731&amp;RANDBETWEEN(0,10)</f>
        <v>B07260</v>
      </c>
      <c r="H731" s="75" t="n">
        <f aca="false">
IF($D731="정상",INDEX(임대자산!$D$3:$R$3000,MATCH($F731,임대자산!$I$3:$I$3000,0),MATCH(H$4,임대자산!$D$3:$R$3,0)),
IF($D731="폐업",INDEX(폐업정보!$D$3:$R$3000,MATCH($F731,폐업정보!$I$3:$I$3000,0),MATCH(H$4,폐업정보!$D$3:$R$3,0)),
"Error"))</f>
        <v>43711</v>
      </c>
      <c r="I731" s="75" t="str">
        <f aca="false">
IF($D731="정상",INDEX(임대자산!$D$3:$R$3000,MATCH($F731,임대자산!$I$3:$I$3000,0),MATCH(I$4,임대자산!$D$3:$R$3,0)),
IF($D731="폐업",INDEX(폐업정보!$D$3:$R$3000,MATCH($F731,폐업정보!$I$3:$I$3000,0),MATCH(I$4,폐업정보!$D$3:$R$3,0)),
"Error"))</f>
        <v>A0726</v>
      </c>
      <c r="J731" s="75" t="str">
        <f aca="false">
IF($D731="정상",INDEX(임대자산!$D$3:$R$3000,MATCH($F731,임대자산!$I$3:$I$3000,0),MATCH(J$4,임대자산!$D$3:$R$3,0)),
IF($D731="폐업",INDEX(폐업정보!$D$3:$R$3000,MATCH($F731,폐업정보!$I$3:$I$3000,0),MATCH(J$4,폐업정보!$D$3:$R$3,0)),
"Error"))</f>
        <v>3726600000</v>
      </c>
      <c r="K731" s="75" t="str">
        <f aca="false">
IF($D731="정상",INDEX(임대자산!$D$3:$R$3000,MATCH($F731,임대자산!$I$3:$I$3000,0),MATCH(K$4,임대자산!$D$3:$R$3,0)),
IF($D731="폐업",INDEX(폐업정보!$D$3:$R$3000,MATCH($F731,폐업정보!$I$3:$I$3000,0),MATCH(K$4,폐업정보!$D$3:$R$3,0)),
"Error"))</f>
        <v>C0726</v>
      </c>
      <c r="L731" s="75" t="str">
        <f aca="false">
IF($D731="정상",INDEX(임대자산!$D$3:$R$3000,MATCH($F731,임대자산!$I$3:$I$3000,0),MATCH(L$4,임대자산!$D$3:$R$3,0)),
IF($D731="폐업",INDEX(폐업정보!$D$3:$R$3000,MATCH($F731,폐업정보!$I$3:$I$3000,0),MATCH(L$4,폐업정보!$D$3:$R$3,0)),
"Error"))</f>
        <v>D0726</v>
      </c>
      <c r="M731" s="76" t="s">
        <v>96</v>
      </c>
      <c r="N731" s="77"/>
      <c r="O731" s="78" t="s">
        <v>97</v>
      </c>
      <c r="P731" s="79" t="n">
        <f aca="false">COUNTIFS(임대자산!$I:$I,가맹점정보!F731,임대자산!$N:$N,가맹점정보!P$4)</f>
        <v>0</v>
      </c>
      <c r="Q731" s="80" t="n">
        <f aca="false">COUNTIFS(임대자산!$I:$I,가맹점정보!F731,임대자산!$N:$N,가맹점정보!Q$4)</f>
        <v>1</v>
      </c>
      <c r="R731" s="81" t="n">
        <f aca="false">COUNTIFS(임대자산!$I:$I,가맹점정보!F731,임대자산!$N:$N,가맹점정보!R$4)</f>
        <v>0</v>
      </c>
      <c r="S731" s="82" t="n">
        <v>55000</v>
      </c>
      <c r="T731" s="83" t="n">
        <v>0</v>
      </c>
      <c r="U731" s="80" t="n">
        <f aca="false">SUM(S731:T731)</f>
        <v>55000</v>
      </c>
      <c r="V731" s="84" t="s">
        <v>12</v>
      </c>
      <c r="W731" s="80" t="e">
        <f aca="true">
IF(D731="폐업","폐업",
IF(V731="면제","면제",
IF(AND(V731="정상",COUNTIFS(OFFSET(Y731,0,COUNTA(Y731:AV731)-1,1,-4),"미납")&gt;=3),"장기미납",
IF(AND(V731="정상",OFFSET(Y731,0,COUNTA(Y731:AV731)-1)&gt;=U731),"정상",
IF(AND(V731="정상",OFFSET(Y731,0,COUNTA(Y731:AV731)-1)=0),"정상",
"계약서 미작성")))))</f>
        <v>#VALUE!</v>
      </c>
      <c r="X731" s="81" t="str">
        <f aca="true">
IF(D731="폐업","폐업",
IF(AND(V731="정상",OFFSET(Y731,0,COUNTA(Y731:AV731)-1)="미납"),"미납",
IF(AND(V731="정상",OFFSET(Y731,0,COUNTA(Y731:AV731)-1)=0),"납부 시작 전",
IF(AND(V731="정상",OFFSET(Y731,0,COUNTA(Y731:AV731)-1)&gt;=U731),"정상",
IF(AND(V731="면제",OFFSET(Y731,0,COUNTA(Y731:AV731)-1)="면제"),"면제",
IF(AND(V731="면제",OFFSET(Y731,0,COUNTA(Y731:AV731)-1)=0),"면제",
"확인요청"))))))</f>
        <v>정상</v>
      </c>
      <c r="Y731" s="94" t="s">
        <v>62</v>
      </c>
      <c r="Z731" s="90" t="n">
        <v>55000</v>
      </c>
      <c r="AA731" s="90" t="n">
        <v>55000</v>
      </c>
      <c r="AB731" s="90" t="n">
        <v>55000</v>
      </c>
      <c r="AC731" s="90" t="n">
        <v>55000</v>
      </c>
      <c r="AD731" s="90" t="n">
        <v>55000</v>
      </c>
      <c r="AE731" s="90" t="n">
        <v>55000</v>
      </c>
      <c r="AF731" s="90" t="n">
        <v>55000</v>
      </c>
      <c r="AG731" s="90" t="s">
        <v>100</v>
      </c>
      <c r="AH731" s="90" t="n">
        <v>110000</v>
      </c>
      <c r="AI731" s="90" t="n">
        <v>55000</v>
      </c>
      <c r="AJ731" s="91" t="n">
        <v>55000</v>
      </c>
      <c r="AK731" s="89" t="n">
        <v>55000</v>
      </c>
      <c r="AL731" s="90" t="n">
        <v>55000</v>
      </c>
      <c r="AM731" s="90"/>
      <c r="AN731" s="90"/>
      <c r="AO731" s="90"/>
      <c r="AP731" s="90"/>
      <c r="AQ731" s="90"/>
      <c r="AR731" s="90"/>
      <c r="AS731" s="90"/>
      <c r="AT731" s="90"/>
      <c r="AU731" s="90"/>
      <c r="AV731" s="91"/>
      <c r="AX731" s="92"/>
    </row>
    <row r="732" customFormat="false" ht="15.65" hidden="false" customHeight="false" outlineLevel="0" collapsed="false">
      <c r="C732" s="72" t="n">
        <f aca="false">COUNTIFS($D$6:D732,"&lt;&gt;"&amp;"")</f>
        <v>727</v>
      </c>
      <c r="D732" s="73" t="s">
        <v>12</v>
      </c>
      <c r="E732" s="76" t="str">
        <f aca="false">
IF($D732="정상",INDEX(임대자산!$D$3:$R$3000,MATCH($F732,임대자산!$I$3:$I$3000,0),MATCH(E$3,임대자산!$D$3:$R$3,0)),
IF($D732="폐업",INDEX(폐업정보!$D$3:$R$3000,MATCH($F732,폐업정보!$I$3:$I$3000,0),MATCH(E$3,폐업정보!$D$3:$R$3,0)),
"Error"))</f>
        <v>경기</v>
      </c>
      <c r="F73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B0727</v>
      </c>
      <c r="G732" s="76" t="str">
        <f aca="false">F732&amp;RANDBETWEEN(0,10)</f>
        <v>B07277</v>
      </c>
      <c r="H732" s="75" t="n">
        <f aca="false">
IF($D732="정상",INDEX(임대자산!$D$3:$R$3000,MATCH($F732,임대자산!$I$3:$I$3000,0),MATCH(H$4,임대자산!$D$3:$R$3,0)),
IF($D732="폐업",INDEX(폐업정보!$D$3:$R$3000,MATCH($F732,폐업정보!$I$3:$I$3000,0),MATCH(H$4,폐업정보!$D$3:$R$3,0)),
"Error"))</f>
        <v>44979</v>
      </c>
      <c r="I732" s="75" t="str">
        <f aca="false">
IF($D732="정상",INDEX(임대자산!$D$3:$R$3000,MATCH($F732,임대자산!$I$3:$I$3000,0),MATCH(I$4,임대자산!$D$3:$R$3,0)),
IF($D732="폐업",INDEX(폐업정보!$D$3:$R$3000,MATCH($F732,폐업정보!$I$3:$I$3000,0),MATCH(I$4,폐업정보!$D$3:$R$3,0)),
"Error"))</f>
        <v>A0727</v>
      </c>
      <c r="J732" s="75" t="str">
        <f aca="false">
IF($D732="정상",INDEX(임대자산!$D$3:$R$3000,MATCH($F732,임대자산!$I$3:$I$3000,0),MATCH(J$4,임대자산!$D$3:$R$3,0)),
IF($D732="폐업",INDEX(폐업정보!$D$3:$R$3000,MATCH($F732,폐업정보!$I$3:$I$3000,0),MATCH(J$4,폐업정보!$D$3:$R$3,0)),
"Error"))</f>
        <v>4459600000</v>
      </c>
      <c r="K732" s="75" t="str">
        <f aca="false">
IF($D732="정상",INDEX(임대자산!$D$3:$R$3000,MATCH($F732,임대자산!$I$3:$I$3000,0),MATCH(K$4,임대자산!$D$3:$R$3,0)),
IF($D732="폐업",INDEX(폐업정보!$D$3:$R$3000,MATCH($F732,폐업정보!$I$3:$I$3000,0),MATCH(K$4,폐업정보!$D$3:$R$3,0)),
"Error"))</f>
        <v>C0727</v>
      </c>
      <c r="L732" s="75" t="str">
        <f aca="false">
IF($D732="정상",INDEX(임대자산!$D$3:$R$3000,MATCH($F732,임대자산!$I$3:$I$3000,0),MATCH(L$4,임대자산!$D$3:$R$3,0)),
IF($D732="폐업",INDEX(폐업정보!$D$3:$R$3000,MATCH($F732,폐업정보!$I$3:$I$3000,0),MATCH(L$4,폐업정보!$D$3:$R$3,0)),
"Error"))</f>
        <v>D0727</v>
      </c>
      <c r="M732" s="76" t="s">
        <v>96</v>
      </c>
      <c r="N732" s="77"/>
      <c r="O732" s="78" t="s">
        <v>97</v>
      </c>
      <c r="P732" s="79" t="n">
        <f aca="false">COUNTIFS(임대자산!$I:$I,가맹점정보!F732,임대자산!$N:$N,가맹점정보!P$4)</f>
        <v>0</v>
      </c>
      <c r="Q732" s="80" t="n">
        <f aca="false">COUNTIFS(임대자산!$I:$I,가맹점정보!F732,임대자산!$N:$N,가맹점정보!Q$4)</f>
        <v>1</v>
      </c>
      <c r="R732" s="81" t="n">
        <f aca="false">COUNTIFS(임대자산!$I:$I,가맹점정보!F732,임대자산!$N:$N,가맹점정보!R$4)</f>
        <v>0</v>
      </c>
      <c r="S732" s="82" t="n">
        <v>88000</v>
      </c>
      <c r="T732" s="83" t="n">
        <v>0</v>
      </c>
      <c r="U732" s="80" t="n">
        <f aca="false">SUM(S732:T732)</f>
        <v>88000</v>
      </c>
      <c r="V732" s="84" t="s">
        <v>12</v>
      </c>
      <c r="W732" s="80" t="e">
        <f aca="true">
IF(D732="폐업","폐업",
IF(V732="면제","면제",
IF(AND(V732="정상",COUNTIFS(OFFSET(Y732,0,COUNTA(Y732:AV732)-1,1,-4),"미납")&gt;=3),"장기미납",
IF(AND(V732="정상",OFFSET(Y732,0,COUNTA(Y732:AV732)-1)&gt;=U732),"정상",
IF(AND(V732="정상",OFFSET(Y732,0,COUNTA(Y732:AV732)-1)=0),"정상",
"계약서 미작성")))))</f>
        <v>#VALUE!</v>
      </c>
      <c r="X732" s="81" t="str">
        <f aca="true">
IF(D732="폐업","폐업",
IF(AND(V732="정상",OFFSET(Y732,0,COUNTA(Y732:AV732)-1)="미납"),"미납",
IF(AND(V732="정상",OFFSET(Y732,0,COUNTA(Y732:AV732)-1)=0),"납부 시작 전",
IF(AND(V732="정상",OFFSET(Y732,0,COUNTA(Y732:AV732)-1)&gt;=U732),"정상",
IF(AND(V732="면제",OFFSET(Y732,0,COUNTA(Y732:AV732)-1)="면제"),"면제",
IF(AND(V732="면제",OFFSET(Y732,0,COUNTA(Y732:AV732)-1)=0),"면제",
"확인요청"))))))</f>
        <v>정상</v>
      </c>
      <c r="Y732" s="94" t="s">
        <v>62</v>
      </c>
      <c r="Z732" s="90" t="n">
        <v>88000</v>
      </c>
      <c r="AA732" s="90" t="n">
        <v>88000</v>
      </c>
      <c r="AB732" s="90" t="n">
        <v>88000</v>
      </c>
      <c r="AC732" s="90" t="n">
        <v>88000</v>
      </c>
      <c r="AD732" s="90" t="s">
        <v>103</v>
      </c>
      <c r="AE732" s="90" t="n">
        <v>176000</v>
      </c>
      <c r="AF732" s="90" t="s">
        <v>105</v>
      </c>
      <c r="AG732" s="90" t="n">
        <v>176000</v>
      </c>
      <c r="AH732" s="90" t="n">
        <v>88000</v>
      </c>
      <c r="AI732" s="90" t="n">
        <v>88000</v>
      </c>
      <c r="AJ732" s="91" t="n">
        <v>88000</v>
      </c>
      <c r="AK732" s="89" t="n">
        <v>88000</v>
      </c>
      <c r="AL732" s="90" t="n">
        <v>88000</v>
      </c>
      <c r="AM732" s="90"/>
      <c r="AN732" s="90"/>
      <c r="AO732" s="90"/>
      <c r="AP732" s="90"/>
      <c r="AQ732" s="90"/>
      <c r="AR732" s="90"/>
      <c r="AS732" s="90"/>
      <c r="AT732" s="90"/>
      <c r="AU732" s="90"/>
      <c r="AV732" s="91"/>
      <c r="AX732" s="92"/>
    </row>
    <row r="733" customFormat="false" ht="15.65" hidden="false" customHeight="false" outlineLevel="0" collapsed="false">
      <c r="C733" s="72" t="n">
        <f aca="false">COUNTIFS($D$6:D733,"&lt;&gt;"&amp;"")</f>
        <v>728</v>
      </c>
      <c r="D733" s="73" t="s">
        <v>12</v>
      </c>
      <c r="E733" s="76" t="str">
        <f aca="false">
IF($D733="정상",INDEX(임대자산!$D$3:$R$3000,MATCH($F733,임대자산!$I$3:$I$3000,0),MATCH(E$3,임대자산!$D$3:$R$3,0)),
IF($D733="폐업",INDEX(폐업정보!$D$3:$R$3000,MATCH($F733,폐업정보!$I$3:$I$3000,0),MATCH(E$3,폐업정보!$D$3:$R$3,0)),
"Error"))</f>
        <v>경기</v>
      </c>
      <c r="F73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B0728</v>
      </c>
      <c r="G733" s="76" t="str">
        <f aca="false">F733&amp;RANDBETWEEN(0,10)</f>
        <v>B07281</v>
      </c>
      <c r="H733" s="75" t="n">
        <f aca="false">
IF($D733="정상",INDEX(임대자산!$D$3:$R$3000,MATCH($F733,임대자산!$I$3:$I$3000,0),MATCH(H$4,임대자산!$D$3:$R$3,0)),
IF($D733="폐업",INDEX(폐업정보!$D$3:$R$3000,MATCH($F733,폐업정보!$I$3:$I$3000,0),MATCH(H$4,폐업정보!$D$3:$R$3,0)),
"Error"))</f>
        <v>44993</v>
      </c>
      <c r="I733" s="75" t="str">
        <f aca="false">
IF($D733="정상",INDEX(임대자산!$D$3:$R$3000,MATCH($F733,임대자산!$I$3:$I$3000,0),MATCH(I$4,임대자산!$D$3:$R$3,0)),
IF($D733="폐업",INDEX(폐업정보!$D$3:$R$3000,MATCH($F733,폐업정보!$I$3:$I$3000,0),MATCH(I$4,폐업정보!$D$3:$R$3,0)),
"Error"))</f>
        <v>A0728</v>
      </c>
      <c r="J733" s="75" t="str">
        <f aca="false">
IF($D733="정상",INDEX(임대자산!$D$3:$R$3000,MATCH($F733,임대자산!$I$3:$I$3000,0),MATCH(J$4,임대자산!$D$3:$R$3,0)),
IF($D733="폐업",INDEX(폐업정보!$D$3:$R$3000,MATCH($F733,폐업정보!$I$3:$I$3000,0),MATCH(J$4,폐업정보!$D$3:$R$3,0)),
"Error"))</f>
        <v>2555300000</v>
      </c>
      <c r="K733" s="75" t="str">
        <f aca="false">
IF($D733="정상",INDEX(임대자산!$D$3:$R$3000,MATCH($F733,임대자산!$I$3:$I$3000,0),MATCH(K$4,임대자산!$D$3:$R$3,0)),
IF($D733="폐업",INDEX(폐업정보!$D$3:$R$3000,MATCH($F733,폐업정보!$I$3:$I$3000,0),MATCH(K$4,폐업정보!$D$3:$R$3,0)),
"Error"))</f>
        <v>C0728</v>
      </c>
      <c r="L733" s="75" t="str">
        <f aca="false">
IF($D733="정상",INDEX(임대자산!$D$3:$R$3000,MATCH($F733,임대자산!$I$3:$I$3000,0),MATCH(L$4,임대자산!$D$3:$R$3,0)),
IF($D733="폐업",INDEX(폐업정보!$D$3:$R$3000,MATCH($F733,폐업정보!$I$3:$I$3000,0),MATCH(L$4,폐업정보!$D$3:$R$3,0)),
"Error"))</f>
        <v>D0728</v>
      </c>
      <c r="M733" s="76" t="s">
        <v>96</v>
      </c>
      <c r="N733" s="77"/>
      <c r="O733" s="78" t="s">
        <v>97</v>
      </c>
      <c r="P733" s="79" t="n">
        <f aca="false">COUNTIFS(임대자산!$I:$I,가맹점정보!F733,임대자산!$N:$N,가맹점정보!P$4)</f>
        <v>0</v>
      </c>
      <c r="Q733" s="80" t="n">
        <f aca="false">COUNTIFS(임대자산!$I:$I,가맹점정보!F733,임대자산!$N:$N,가맹점정보!Q$4)</f>
        <v>1</v>
      </c>
      <c r="R733" s="81" t="n">
        <f aca="false">COUNTIFS(임대자산!$I:$I,가맹점정보!F733,임대자산!$N:$N,가맹점정보!R$4)</f>
        <v>0</v>
      </c>
      <c r="S733" s="82" t="n">
        <v>55000</v>
      </c>
      <c r="T733" s="83" t="n">
        <v>0</v>
      </c>
      <c r="U733" s="80" t="n">
        <f aca="false">SUM(S733:T733)</f>
        <v>55000</v>
      </c>
      <c r="V733" s="84" t="s">
        <v>7</v>
      </c>
      <c r="W733" s="80" t="str">
        <f aca="true">
IF(D733="폐업","폐업",
IF(V733="면제","면제",
IF(AND(V733="정상",COUNTIFS(OFFSET(Y733,0,COUNTA(Y733:AV733)-1,1,-4),"미납")&gt;=3),"장기미납",
IF(AND(V733="정상",OFFSET(Y733,0,COUNTA(Y733:AV733)-1)&gt;=U733),"정상",
IF(AND(V733="정상",OFFSET(Y733,0,COUNTA(Y733:AV733)-1)=0),"정상",
"계약서 미작성")))))</f>
        <v>면제</v>
      </c>
      <c r="X733" s="81" t="str">
        <f aca="true">
IF(D733="폐업","폐업",
IF(AND(V733="정상",OFFSET(Y733,0,COUNTA(Y733:AV733)-1)="미납"),"미납",
IF(AND(V733="정상",OFFSET(Y733,0,COUNTA(Y733:AV733)-1)=0),"납부 시작 전",
IF(AND(V733="정상",OFFSET(Y733,0,COUNTA(Y733:AV733)-1)&gt;=U733),"정상",
IF(AND(V733="면제",OFFSET(Y733,0,COUNTA(Y733:AV733)-1)="면제"),"면제",
IF(AND(V733="면제",OFFSET(Y733,0,COUNTA(Y733:AV733)-1)=0),"면제",
"확인요청"))))))</f>
        <v>면제</v>
      </c>
      <c r="Y733" s="94" t="s">
        <v>7</v>
      </c>
      <c r="Z733" s="95" t="s">
        <v>7</v>
      </c>
      <c r="AA733" s="95" t="s">
        <v>7</v>
      </c>
      <c r="AB733" s="95" t="s">
        <v>7</v>
      </c>
      <c r="AC733" s="95" t="s">
        <v>7</v>
      </c>
      <c r="AD733" s="95" t="s">
        <v>7</v>
      </c>
      <c r="AE733" s="95" t="s">
        <v>7</v>
      </c>
      <c r="AF733" s="95" t="s">
        <v>7</v>
      </c>
      <c r="AG733" s="95" t="s">
        <v>7</v>
      </c>
      <c r="AH733" s="95" t="s">
        <v>7</v>
      </c>
      <c r="AI733" s="95" t="s">
        <v>7</v>
      </c>
      <c r="AJ733" s="96" t="s">
        <v>7</v>
      </c>
      <c r="AK733" s="97" t="s">
        <v>7</v>
      </c>
      <c r="AL733" s="95" t="s">
        <v>7</v>
      </c>
      <c r="AM733" s="90"/>
      <c r="AN733" s="90"/>
      <c r="AO733" s="90"/>
      <c r="AP733" s="90"/>
      <c r="AQ733" s="90"/>
      <c r="AR733" s="90"/>
      <c r="AS733" s="90"/>
      <c r="AT733" s="90"/>
      <c r="AU733" s="90"/>
      <c r="AV733" s="91"/>
      <c r="AX733" s="92"/>
    </row>
    <row r="734" customFormat="false" ht="15.65" hidden="false" customHeight="false" outlineLevel="0" collapsed="false">
      <c r="C734" s="72" t="n">
        <f aca="false">COUNTIFS($D$6:D734,"&lt;&gt;"&amp;"")</f>
        <v>729</v>
      </c>
      <c r="D734" s="73" t="s">
        <v>12</v>
      </c>
      <c r="E734" s="76" t="str">
        <f aca="false">
IF($D734="정상",INDEX(임대자산!$D$3:$R$3000,MATCH($F734,임대자산!$I$3:$I$3000,0),MATCH(E$3,임대자산!$D$3:$R$3,0)),
IF($D734="폐업",INDEX(폐업정보!$D$3:$R$3000,MATCH($F734,폐업정보!$I$3:$I$3000,0),MATCH(E$3,폐업정보!$D$3:$R$3,0)),
"Error"))</f>
        <v>경기</v>
      </c>
      <c r="F73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B0729</v>
      </c>
      <c r="G734" s="76" t="str">
        <f aca="false">F734&amp;RANDBETWEEN(0,10)</f>
        <v>B07292</v>
      </c>
      <c r="H734" s="75" t="n">
        <f aca="false">
IF($D734="정상",INDEX(임대자산!$D$3:$R$3000,MATCH($F734,임대자산!$I$3:$I$3000,0),MATCH(H$4,임대자산!$D$3:$R$3,0)),
IF($D734="폐업",INDEX(폐업정보!$D$3:$R$3000,MATCH($F734,폐업정보!$I$3:$I$3000,0),MATCH(H$4,폐업정보!$D$3:$R$3,0)),
"Error"))</f>
        <v>45034</v>
      </c>
      <c r="I734" s="75" t="str">
        <f aca="false">
IF($D734="정상",INDEX(임대자산!$D$3:$R$3000,MATCH($F734,임대자산!$I$3:$I$3000,0),MATCH(I$4,임대자산!$D$3:$R$3,0)),
IF($D734="폐업",INDEX(폐업정보!$D$3:$R$3000,MATCH($F734,폐업정보!$I$3:$I$3000,0),MATCH(I$4,폐업정보!$D$3:$R$3,0)),
"Error"))</f>
        <v>A0729</v>
      </c>
      <c r="J734" s="75" t="str">
        <f aca="false">
IF($D734="정상",INDEX(임대자산!$D$3:$R$3000,MATCH($F734,임대자산!$I$3:$I$3000,0),MATCH(J$4,임대자산!$D$3:$R$3,0)),
IF($D734="폐업",INDEX(폐업정보!$D$3:$R$3000,MATCH($F734,폐업정보!$I$3:$I$3000,0),MATCH(J$4,폐업정보!$D$3:$R$3,0)),
"Error"))</f>
        <v>8060100000</v>
      </c>
      <c r="K734" s="75" t="str">
        <f aca="false">
IF($D734="정상",INDEX(임대자산!$D$3:$R$3000,MATCH($F734,임대자산!$I$3:$I$3000,0),MATCH(K$4,임대자산!$D$3:$R$3,0)),
IF($D734="폐업",INDEX(폐업정보!$D$3:$R$3000,MATCH($F734,폐업정보!$I$3:$I$3000,0),MATCH(K$4,폐업정보!$D$3:$R$3,0)),
"Error"))</f>
        <v>C0729</v>
      </c>
      <c r="L734" s="75" t="str">
        <f aca="false">
IF($D734="정상",INDEX(임대자산!$D$3:$R$3000,MATCH($F734,임대자산!$I$3:$I$3000,0),MATCH(L$4,임대자산!$D$3:$R$3,0)),
IF($D734="폐업",INDEX(폐업정보!$D$3:$R$3000,MATCH($F734,폐업정보!$I$3:$I$3000,0),MATCH(L$4,폐업정보!$D$3:$R$3,0)),
"Error"))</f>
        <v>D0729</v>
      </c>
      <c r="M734" s="76" t="s">
        <v>96</v>
      </c>
      <c r="N734" s="77"/>
      <c r="O734" s="78" t="s">
        <v>97</v>
      </c>
      <c r="P734" s="79" t="n">
        <f aca="false">COUNTIFS(임대자산!$I:$I,가맹점정보!F734,임대자산!$N:$N,가맹점정보!P$4)</f>
        <v>0</v>
      </c>
      <c r="Q734" s="80" t="n">
        <f aca="false">COUNTIFS(임대자산!$I:$I,가맹점정보!F734,임대자산!$N:$N,가맹점정보!Q$4)</f>
        <v>1</v>
      </c>
      <c r="R734" s="81" t="n">
        <f aca="false">COUNTIFS(임대자산!$I:$I,가맹점정보!F734,임대자산!$N:$N,가맹점정보!R$4)</f>
        <v>0</v>
      </c>
      <c r="S734" s="82" t="n">
        <v>55000</v>
      </c>
      <c r="T734" s="83" t="n">
        <v>0</v>
      </c>
      <c r="U734" s="80" t="n">
        <f aca="false">SUM(S734:T734)</f>
        <v>55000</v>
      </c>
      <c r="V734" s="84" t="s">
        <v>12</v>
      </c>
      <c r="W734" s="80" t="e">
        <f aca="true">
IF(D734="폐업","폐업",
IF(V734="면제","면제",
IF(AND(V734="정상",COUNTIFS(OFFSET(Y734,0,COUNTA(Y734:AV734)-1,1,-4),"미납")&gt;=3),"장기미납",
IF(AND(V734="정상",OFFSET(Y734,0,COUNTA(Y734:AV734)-1)&gt;=U734),"정상",
IF(AND(V734="정상",OFFSET(Y734,0,COUNTA(Y734:AV734)-1)=0),"정상",
"계약서 미작성")))))</f>
        <v>#VALUE!</v>
      </c>
      <c r="X734" s="81" t="str">
        <f aca="true">
IF(D734="폐업","폐업",
IF(AND(V734="정상",OFFSET(Y734,0,COUNTA(Y734:AV734)-1)="미납"),"미납",
IF(AND(V734="정상",OFFSET(Y734,0,COUNTA(Y734:AV734)-1)=0),"납부 시작 전",
IF(AND(V734="정상",OFFSET(Y734,0,COUNTA(Y734:AV734)-1)&gt;=U734),"정상",
IF(AND(V734="면제",OFFSET(Y734,0,COUNTA(Y734:AV734)-1)="면제"),"면제",
IF(AND(V734="면제",OFFSET(Y734,0,COUNTA(Y734:AV734)-1)=0),"면제",
"확인요청"))))))</f>
        <v>정상</v>
      </c>
      <c r="Y734" s="94" t="s">
        <v>62</v>
      </c>
      <c r="Z734" s="90" t="n">
        <v>55000</v>
      </c>
      <c r="AA734" s="90" t="n">
        <v>55000</v>
      </c>
      <c r="AB734" s="90" t="n">
        <v>55000</v>
      </c>
      <c r="AC734" s="90" t="n">
        <v>55000</v>
      </c>
      <c r="AD734" s="90" t="n">
        <v>55000</v>
      </c>
      <c r="AE734" s="90" t="n">
        <v>55000</v>
      </c>
      <c r="AF734" s="90" t="n">
        <v>55000</v>
      </c>
      <c r="AG734" s="90" t="n">
        <v>55000</v>
      </c>
      <c r="AH734" s="90" t="n">
        <v>55000</v>
      </c>
      <c r="AI734" s="90" t="n">
        <v>55000</v>
      </c>
      <c r="AJ734" s="91" t="n">
        <v>55000</v>
      </c>
      <c r="AK734" s="89" t="n">
        <v>55000</v>
      </c>
      <c r="AL734" s="90" t="n">
        <v>55000</v>
      </c>
      <c r="AM734" s="90"/>
      <c r="AN734" s="90"/>
      <c r="AO734" s="90"/>
      <c r="AP734" s="90"/>
      <c r="AQ734" s="90"/>
      <c r="AR734" s="90"/>
      <c r="AS734" s="90"/>
      <c r="AT734" s="90"/>
      <c r="AU734" s="90"/>
      <c r="AV734" s="91"/>
      <c r="AX734" s="92"/>
    </row>
    <row r="735" customFormat="false" ht="15.65" hidden="false" customHeight="false" outlineLevel="0" collapsed="false">
      <c r="C735" s="72" t="n">
        <f aca="false">COUNTIFS($D$6:D735,"&lt;&gt;"&amp;"")</f>
        <v>730</v>
      </c>
      <c r="D735" s="73" t="s">
        <v>12</v>
      </c>
      <c r="E735" s="76" t="str">
        <f aca="false">
IF($D735="정상",INDEX(임대자산!$D$3:$R$3000,MATCH($F735,임대자산!$I$3:$I$3000,0),MATCH(E$3,임대자산!$D$3:$R$3,0)),
IF($D735="폐업",INDEX(폐업정보!$D$3:$R$3000,MATCH($F735,폐업정보!$I$3:$I$3000,0),MATCH(E$3,폐업정보!$D$3:$R$3,0)),
"Error"))</f>
        <v>경상</v>
      </c>
      <c r="F73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B0730</v>
      </c>
      <c r="G735" s="76" t="str">
        <f aca="false">F735&amp;RANDBETWEEN(0,10)</f>
        <v>B07300</v>
      </c>
      <c r="H735" s="75" t="n">
        <f aca="false">
IF($D735="정상",INDEX(임대자산!$D$3:$R$3000,MATCH($F735,임대자산!$I$3:$I$3000,0),MATCH(H$4,임대자산!$D$3:$R$3,0)),
IF($D735="폐업",INDEX(폐업정보!$D$3:$R$3000,MATCH($F735,폐업정보!$I$3:$I$3000,0),MATCH(H$4,폐업정보!$D$3:$R$3,0)),
"Error"))</f>
        <v>45035</v>
      </c>
      <c r="I735" s="75" t="str">
        <f aca="false">
IF($D735="정상",INDEX(임대자산!$D$3:$R$3000,MATCH($F735,임대자산!$I$3:$I$3000,0),MATCH(I$4,임대자산!$D$3:$R$3,0)),
IF($D735="폐업",INDEX(폐업정보!$D$3:$R$3000,MATCH($F735,폐업정보!$I$3:$I$3000,0),MATCH(I$4,폐업정보!$D$3:$R$3,0)),
"Error"))</f>
        <v>A0730</v>
      </c>
      <c r="J735" s="75" t="str">
        <f aca="false">
IF($D735="정상",INDEX(임대자산!$D$3:$R$3000,MATCH($F735,임대자산!$I$3:$I$3000,0),MATCH(J$4,임대자산!$D$3:$R$3,0)),
IF($D735="폐업",INDEX(폐업정보!$D$3:$R$3000,MATCH($F735,폐업정보!$I$3:$I$3000,0),MATCH(J$4,폐업정보!$D$3:$R$3,0)),
"Error"))</f>
        <v>3609700000</v>
      </c>
      <c r="K735" s="75" t="str">
        <f aca="false">
IF($D735="정상",INDEX(임대자산!$D$3:$R$3000,MATCH($F735,임대자산!$I$3:$I$3000,0),MATCH(K$4,임대자산!$D$3:$R$3,0)),
IF($D735="폐업",INDEX(폐업정보!$D$3:$R$3000,MATCH($F735,폐업정보!$I$3:$I$3000,0),MATCH(K$4,폐업정보!$D$3:$R$3,0)),
"Error"))</f>
        <v>C0730</v>
      </c>
      <c r="L735" s="75" t="str">
        <f aca="false">
IF($D735="정상",INDEX(임대자산!$D$3:$R$3000,MATCH($F735,임대자산!$I$3:$I$3000,0),MATCH(L$4,임대자산!$D$3:$R$3,0)),
IF($D735="폐업",INDEX(폐업정보!$D$3:$R$3000,MATCH($F735,폐업정보!$I$3:$I$3000,0),MATCH(L$4,폐업정보!$D$3:$R$3,0)),
"Error"))</f>
        <v>D0730</v>
      </c>
      <c r="M735" s="76" t="s">
        <v>96</v>
      </c>
      <c r="N735" s="77"/>
      <c r="O735" s="78" t="s">
        <v>97</v>
      </c>
      <c r="P735" s="79" t="n">
        <f aca="false">COUNTIFS(임대자산!$I:$I,가맹점정보!F735,임대자산!$N:$N,가맹점정보!P$4)</f>
        <v>0</v>
      </c>
      <c r="Q735" s="80" t="n">
        <f aca="false">COUNTIFS(임대자산!$I:$I,가맹점정보!F735,임대자산!$N:$N,가맹점정보!Q$4)</f>
        <v>1</v>
      </c>
      <c r="R735" s="81" t="n">
        <f aca="false">COUNTIFS(임대자산!$I:$I,가맹점정보!F735,임대자산!$N:$N,가맹점정보!R$4)</f>
        <v>0</v>
      </c>
      <c r="S735" s="82" t="n">
        <v>55000</v>
      </c>
      <c r="T735" s="83" t="n">
        <v>0</v>
      </c>
      <c r="U735" s="80" t="n">
        <f aca="false">SUM(S735:T735)</f>
        <v>55000</v>
      </c>
      <c r="V735" s="84" t="s">
        <v>12</v>
      </c>
      <c r="W735" s="80" t="e">
        <f aca="true">
IF(D735="폐업","폐업",
IF(V735="면제","면제",
IF(AND(V735="정상",COUNTIFS(OFFSET(Y735,0,COUNTA(Y735:AV735)-1,1,-4),"미납")&gt;=3),"장기미납",
IF(AND(V735="정상",OFFSET(Y735,0,COUNTA(Y735:AV735)-1)&gt;=U735),"정상",
IF(AND(V735="정상",OFFSET(Y735,0,COUNTA(Y735:AV735)-1)=0),"정상",
"계약서 미작성")))))</f>
        <v>#VALUE!</v>
      </c>
      <c r="X735" s="81" t="str">
        <f aca="true">
IF(D735="폐업","폐업",
IF(AND(V735="정상",OFFSET(Y735,0,COUNTA(Y735:AV735)-1)="미납"),"미납",
IF(AND(V735="정상",OFFSET(Y735,0,COUNTA(Y735:AV735)-1)=0),"납부 시작 전",
IF(AND(V735="정상",OFFSET(Y735,0,COUNTA(Y735:AV735)-1)&gt;=U735),"정상",
IF(AND(V735="면제",OFFSET(Y735,0,COUNTA(Y735:AV735)-1)="면제"),"면제",
IF(AND(V735="면제",OFFSET(Y735,0,COUNTA(Y735:AV735)-1)=0),"면제",
"확인요청"))))))</f>
        <v>정상</v>
      </c>
      <c r="Y735" s="94" t="s">
        <v>62</v>
      </c>
      <c r="Z735" s="90" t="n">
        <v>55000</v>
      </c>
      <c r="AA735" s="90" t="n">
        <v>55000</v>
      </c>
      <c r="AB735" s="90" t="n">
        <v>55000</v>
      </c>
      <c r="AC735" s="90" t="n">
        <v>55000</v>
      </c>
      <c r="AD735" s="90" t="n">
        <v>55000</v>
      </c>
      <c r="AE735" s="90" t="n">
        <v>55000</v>
      </c>
      <c r="AF735" s="90" t="n">
        <v>55000</v>
      </c>
      <c r="AG735" s="90" t="n">
        <v>55000</v>
      </c>
      <c r="AH735" s="90" t="n">
        <v>55000</v>
      </c>
      <c r="AI735" s="90" t="n">
        <v>55000</v>
      </c>
      <c r="AJ735" s="91" t="n">
        <v>55000</v>
      </c>
      <c r="AK735" s="89" t="n">
        <v>55000</v>
      </c>
      <c r="AL735" s="90" t="n">
        <v>55000</v>
      </c>
      <c r="AM735" s="90"/>
      <c r="AN735" s="90"/>
      <c r="AO735" s="90"/>
      <c r="AP735" s="90"/>
      <c r="AQ735" s="90"/>
      <c r="AR735" s="90"/>
      <c r="AS735" s="90"/>
      <c r="AT735" s="90"/>
      <c r="AU735" s="90"/>
      <c r="AV735" s="91"/>
      <c r="AX735" s="92"/>
    </row>
    <row r="736" customFormat="false" ht="15.65" hidden="false" customHeight="false" outlineLevel="0" collapsed="false">
      <c r="C736" s="72" t="n">
        <f aca="false">COUNTIFS($D$6:D736,"&lt;&gt;"&amp;"")</f>
        <v>731</v>
      </c>
      <c r="D736" s="73" t="s">
        <v>12</v>
      </c>
      <c r="E736" s="76" t="str">
        <f aca="false">
IF($D736="정상",INDEX(임대자산!$D$3:$R$3000,MATCH($F736,임대자산!$I$3:$I$3000,0),MATCH(E$3,임대자산!$D$3:$R$3,0)),
IF($D736="폐업",INDEX(폐업정보!$D$3:$R$3000,MATCH($F736,폐업정보!$I$3:$I$3000,0),MATCH(E$3,폐업정보!$D$3:$R$3,0)),
"Error"))</f>
        <v>강원</v>
      </c>
      <c r="F73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B0731</v>
      </c>
      <c r="G736" s="76" t="str">
        <f aca="false">F736&amp;RANDBETWEEN(0,10)</f>
        <v>B07318</v>
      </c>
      <c r="H736" s="75" t="n">
        <f aca="false">
IF($D736="정상",INDEX(임대자산!$D$3:$R$3000,MATCH($F736,임대자산!$I$3:$I$3000,0),MATCH(H$4,임대자산!$D$3:$R$3,0)),
IF($D736="폐업",INDEX(폐업정보!$D$3:$R$3000,MATCH($F736,폐업정보!$I$3:$I$3000,0),MATCH(H$4,폐업정보!$D$3:$R$3,0)),
"Error"))</f>
        <v>45048</v>
      </c>
      <c r="I736" s="75" t="str">
        <f aca="false">
IF($D736="정상",INDEX(임대자산!$D$3:$R$3000,MATCH($F736,임대자산!$I$3:$I$3000,0),MATCH(I$4,임대자산!$D$3:$R$3,0)),
IF($D736="폐업",INDEX(폐업정보!$D$3:$R$3000,MATCH($F736,폐업정보!$I$3:$I$3000,0),MATCH(I$4,폐업정보!$D$3:$R$3,0)),
"Error"))</f>
        <v>A0731</v>
      </c>
      <c r="J736" s="75" t="str">
        <f aca="false">
IF($D736="정상",INDEX(임대자산!$D$3:$R$3000,MATCH($F736,임대자산!$I$3:$I$3000,0),MATCH(J$4,임대자산!$D$3:$R$3,0)),
IF($D736="폐업",INDEX(폐업정보!$D$3:$R$3000,MATCH($F736,폐업정보!$I$3:$I$3000,0),MATCH(J$4,폐업정보!$D$3:$R$3,0)),
"Error"))</f>
        <v>6197500000</v>
      </c>
      <c r="K736" s="75" t="str">
        <f aca="false">
IF($D736="정상",INDEX(임대자산!$D$3:$R$3000,MATCH($F736,임대자산!$I$3:$I$3000,0),MATCH(K$4,임대자산!$D$3:$R$3,0)),
IF($D736="폐업",INDEX(폐업정보!$D$3:$R$3000,MATCH($F736,폐업정보!$I$3:$I$3000,0),MATCH(K$4,폐업정보!$D$3:$R$3,0)),
"Error"))</f>
        <v>C0731</v>
      </c>
      <c r="L736" s="75" t="str">
        <f aca="false">
IF($D736="정상",INDEX(임대자산!$D$3:$R$3000,MATCH($F736,임대자산!$I$3:$I$3000,0),MATCH(L$4,임대자산!$D$3:$R$3,0)),
IF($D736="폐업",INDEX(폐업정보!$D$3:$R$3000,MATCH($F736,폐업정보!$I$3:$I$3000,0),MATCH(L$4,폐업정보!$D$3:$R$3,0)),
"Error"))</f>
        <v>D0731</v>
      </c>
      <c r="M736" s="76" t="s">
        <v>96</v>
      </c>
      <c r="N736" s="77"/>
      <c r="O736" s="78" t="s">
        <v>97</v>
      </c>
      <c r="P736" s="79" t="n">
        <f aca="false">COUNTIFS(임대자산!$I:$I,가맹점정보!F736,임대자산!$N:$N,가맹점정보!P$4)</f>
        <v>0</v>
      </c>
      <c r="Q736" s="80" t="n">
        <f aca="false">COUNTIFS(임대자산!$I:$I,가맹점정보!F736,임대자산!$N:$N,가맹점정보!Q$4)</f>
        <v>1</v>
      </c>
      <c r="R736" s="81" t="n">
        <f aca="false">COUNTIFS(임대자산!$I:$I,가맹점정보!F736,임대자산!$N:$N,가맹점정보!R$4)</f>
        <v>0</v>
      </c>
      <c r="S736" s="82" t="n">
        <v>55000</v>
      </c>
      <c r="T736" s="83" t="n">
        <v>0</v>
      </c>
      <c r="U736" s="80" t="n">
        <f aca="false">SUM(S736:T736)</f>
        <v>55000</v>
      </c>
      <c r="V736" s="84" t="s">
        <v>12</v>
      </c>
      <c r="W736" s="80" t="e">
        <f aca="true">
IF(D736="폐업","폐업",
IF(V736="면제","면제",
IF(AND(V736="정상",COUNTIFS(OFFSET(Y736,0,COUNTA(Y736:AV736)-1,1,-4),"미납")&gt;=3),"장기미납",
IF(AND(V736="정상",OFFSET(Y736,0,COUNTA(Y736:AV736)-1)&gt;=U736),"정상",
IF(AND(V736="정상",OFFSET(Y736,0,COUNTA(Y736:AV736)-1)=0),"정상",
"계약서 미작성")))))</f>
        <v>#VALUE!</v>
      </c>
      <c r="X736" s="81" t="str">
        <f aca="true">
IF(D736="폐업","폐업",
IF(AND(V736="정상",OFFSET(Y736,0,COUNTA(Y736:AV736)-1)="미납"),"미납",
IF(AND(V736="정상",OFFSET(Y736,0,COUNTA(Y736:AV736)-1)=0),"납부 시작 전",
IF(AND(V736="정상",OFFSET(Y736,0,COUNTA(Y736:AV736)-1)&gt;=U736),"정상",
IF(AND(V736="면제",OFFSET(Y736,0,COUNTA(Y736:AV736)-1)="면제"),"면제",
IF(AND(V736="면제",OFFSET(Y736,0,COUNTA(Y736:AV736)-1)=0),"면제",
"확인요청"))))))</f>
        <v>정상</v>
      </c>
      <c r="Y736" s="94" t="s">
        <v>62</v>
      </c>
      <c r="Z736" s="90" t="n">
        <v>55000</v>
      </c>
      <c r="AA736" s="90" t="n">
        <v>55000</v>
      </c>
      <c r="AB736" s="90" t="n">
        <v>55000</v>
      </c>
      <c r="AC736" s="90" t="n">
        <v>55000</v>
      </c>
      <c r="AD736" s="90" t="n">
        <v>55000</v>
      </c>
      <c r="AE736" s="90" t="n">
        <v>55000</v>
      </c>
      <c r="AF736" s="90" t="n">
        <v>55000</v>
      </c>
      <c r="AG736" s="90" t="n">
        <v>55000</v>
      </c>
      <c r="AH736" s="90" t="n">
        <v>55000</v>
      </c>
      <c r="AI736" s="90" t="n">
        <v>55000</v>
      </c>
      <c r="AJ736" s="91" t="n">
        <v>55000</v>
      </c>
      <c r="AK736" s="89" t="n">
        <v>55000</v>
      </c>
      <c r="AL736" s="90" t="n">
        <v>55000</v>
      </c>
      <c r="AM736" s="90"/>
      <c r="AN736" s="90"/>
      <c r="AO736" s="90"/>
      <c r="AP736" s="90"/>
      <c r="AQ736" s="90"/>
      <c r="AR736" s="90"/>
      <c r="AS736" s="90"/>
      <c r="AT736" s="90"/>
      <c r="AU736" s="90"/>
      <c r="AV736" s="91"/>
      <c r="AX736" s="92"/>
    </row>
    <row r="737" customFormat="false" ht="15.65" hidden="false" customHeight="false" outlineLevel="0" collapsed="false">
      <c r="C737" s="72" t="n">
        <f aca="false">COUNTIFS($D$6:D737,"&lt;&gt;"&amp;"")</f>
        <v>732</v>
      </c>
      <c r="D737" s="73" t="s">
        <v>12</v>
      </c>
      <c r="E737" s="76" t="str">
        <f aca="false">
IF($D737="정상",INDEX(임대자산!$D$3:$R$3000,MATCH($F737,임대자산!$I$3:$I$3000,0),MATCH(E$3,임대자산!$D$3:$R$3,0)),
IF($D737="폐업",INDEX(폐업정보!$D$3:$R$3000,MATCH($F737,폐업정보!$I$3:$I$3000,0),MATCH(E$3,폐업정보!$D$3:$R$3,0)),
"Error"))</f>
        <v>강원</v>
      </c>
      <c r="F73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B0732</v>
      </c>
      <c r="G737" s="76" t="str">
        <f aca="false">F737&amp;RANDBETWEEN(0,10)</f>
        <v>B07322</v>
      </c>
      <c r="H737" s="75" t="n">
        <f aca="false">
IF($D737="정상",INDEX(임대자산!$D$3:$R$3000,MATCH($F737,임대자산!$I$3:$I$3000,0),MATCH(H$4,임대자산!$D$3:$R$3,0)),
IF($D737="폐업",INDEX(폐업정보!$D$3:$R$3000,MATCH($F737,폐업정보!$I$3:$I$3000,0),MATCH(H$4,폐업정보!$D$3:$R$3,0)),
"Error"))</f>
        <v>45050</v>
      </c>
      <c r="I737" s="75" t="str">
        <f aca="false">
IF($D737="정상",INDEX(임대자산!$D$3:$R$3000,MATCH($F737,임대자산!$I$3:$I$3000,0),MATCH(I$4,임대자산!$D$3:$R$3,0)),
IF($D737="폐업",INDEX(폐업정보!$D$3:$R$3000,MATCH($F737,폐업정보!$I$3:$I$3000,0),MATCH(I$4,폐업정보!$D$3:$R$3,0)),
"Error"))</f>
        <v>A0732</v>
      </c>
      <c r="J737" s="75" t="str">
        <f aca="false">
IF($D737="정상",INDEX(임대자산!$D$3:$R$3000,MATCH($F737,임대자산!$I$3:$I$3000,0),MATCH(J$4,임대자산!$D$3:$R$3,0)),
IF($D737="폐업",INDEX(폐업정보!$D$3:$R$3000,MATCH($F737,폐업정보!$I$3:$I$3000,0),MATCH(J$4,폐업정보!$D$3:$R$3,0)),
"Error"))</f>
        <v>9736900000</v>
      </c>
      <c r="K737" s="75" t="str">
        <f aca="false">
IF($D737="정상",INDEX(임대자산!$D$3:$R$3000,MATCH($F737,임대자산!$I$3:$I$3000,0),MATCH(K$4,임대자산!$D$3:$R$3,0)),
IF($D737="폐업",INDEX(폐업정보!$D$3:$R$3000,MATCH($F737,폐업정보!$I$3:$I$3000,0),MATCH(K$4,폐업정보!$D$3:$R$3,0)),
"Error"))</f>
        <v>C0732</v>
      </c>
      <c r="L737" s="75" t="str">
        <f aca="false">
IF($D737="정상",INDEX(임대자산!$D$3:$R$3000,MATCH($F737,임대자산!$I$3:$I$3000,0),MATCH(L$4,임대자산!$D$3:$R$3,0)),
IF($D737="폐업",INDEX(폐업정보!$D$3:$R$3000,MATCH($F737,폐업정보!$I$3:$I$3000,0),MATCH(L$4,폐업정보!$D$3:$R$3,0)),
"Error"))</f>
        <v>D0732</v>
      </c>
      <c r="M737" s="76" t="s">
        <v>96</v>
      </c>
      <c r="N737" s="77"/>
      <c r="O737" s="78" t="s">
        <v>97</v>
      </c>
      <c r="P737" s="79" t="n">
        <f aca="false">COUNTIFS(임대자산!$I:$I,가맹점정보!F737,임대자산!$N:$N,가맹점정보!P$4)</f>
        <v>0</v>
      </c>
      <c r="Q737" s="80" t="n">
        <f aca="false">COUNTIFS(임대자산!$I:$I,가맹점정보!F737,임대자산!$N:$N,가맹점정보!Q$4)</f>
        <v>1</v>
      </c>
      <c r="R737" s="81" t="n">
        <f aca="false">COUNTIFS(임대자산!$I:$I,가맹점정보!F737,임대자산!$N:$N,가맹점정보!R$4)</f>
        <v>0</v>
      </c>
      <c r="S737" s="82" t="n">
        <v>55000</v>
      </c>
      <c r="T737" s="83" t="n">
        <v>0</v>
      </c>
      <c r="U737" s="80" t="n">
        <f aca="false">SUM(S737:T737)</f>
        <v>55000</v>
      </c>
      <c r="V737" s="84" t="s">
        <v>7</v>
      </c>
      <c r="W737" s="80" t="str">
        <f aca="true">
IF(D737="폐업","폐업",
IF(V737="면제","면제",
IF(AND(V737="정상",COUNTIFS(OFFSET(Y737,0,COUNTA(Y737:AV737)-1,1,-4),"미납")&gt;=3),"장기미납",
IF(AND(V737="정상",OFFSET(Y737,0,COUNTA(Y737:AV737)-1)&gt;=U737),"정상",
IF(AND(V737="정상",OFFSET(Y737,0,COUNTA(Y737:AV737)-1)=0),"정상",
"계약서 미작성")))))</f>
        <v>면제</v>
      </c>
      <c r="X737" s="81" t="str">
        <f aca="true">
IF(D737="폐업","폐업",
IF(AND(V737="정상",OFFSET(Y737,0,COUNTA(Y737:AV737)-1)="미납"),"미납",
IF(AND(V737="정상",OFFSET(Y737,0,COUNTA(Y737:AV737)-1)=0),"납부 시작 전",
IF(AND(V737="정상",OFFSET(Y737,0,COUNTA(Y737:AV737)-1)&gt;=U737),"정상",
IF(AND(V737="면제",OFFSET(Y737,0,COUNTA(Y737:AV737)-1)="면제"),"면제",
IF(AND(V737="면제",OFFSET(Y737,0,COUNTA(Y737:AV737)-1)=0),"면제",
"확인요청"))))))</f>
        <v>면제</v>
      </c>
      <c r="Y737" s="94" t="s">
        <v>7</v>
      </c>
      <c r="Z737" s="95" t="s">
        <v>7</v>
      </c>
      <c r="AA737" s="95" t="s">
        <v>7</v>
      </c>
      <c r="AB737" s="95" t="s">
        <v>7</v>
      </c>
      <c r="AC737" s="95" t="s">
        <v>7</v>
      </c>
      <c r="AD737" s="95" t="s">
        <v>7</v>
      </c>
      <c r="AE737" s="95" t="s">
        <v>7</v>
      </c>
      <c r="AF737" s="95" t="s">
        <v>7</v>
      </c>
      <c r="AG737" s="95" t="s">
        <v>7</v>
      </c>
      <c r="AH737" s="95" t="s">
        <v>7</v>
      </c>
      <c r="AI737" s="95" t="s">
        <v>7</v>
      </c>
      <c r="AJ737" s="96" t="s">
        <v>7</v>
      </c>
      <c r="AK737" s="97" t="s">
        <v>7</v>
      </c>
      <c r="AL737" s="95" t="s">
        <v>7</v>
      </c>
      <c r="AM737" s="90"/>
      <c r="AN737" s="90"/>
      <c r="AO737" s="90"/>
      <c r="AP737" s="90"/>
      <c r="AQ737" s="90"/>
      <c r="AR737" s="90"/>
      <c r="AS737" s="90"/>
      <c r="AT737" s="90"/>
      <c r="AU737" s="90"/>
      <c r="AV737" s="91"/>
      <c r="AX737" s="92"/>
    </row>
    <row r="738" customFormat="false" ht="15.65" hidden="false" customHeight="false" outlineLevel="0" collapsed="false">
      <c r="C738" s="72" t="n">
        <f aca="false">COUNTIFS($D$6:D738,"&lt;&gt;"&amp;"")</f>
        <v>733</v>
      </c>
      <c r="D738" s="73" t="s">
        <v>12</v>
      </c>
      <c r="E738" s="76" t="str">
        <f aca="false">
IF($D738="정상",INDEX(임대자산!$D$3:$R$3000,MATCH($F738,임대자산!$I$3:$I$3000,0),MATCH(E$3,임대자산!$D$3:$R$3,0)),
IF($D738="폐업",INDEX(폐업정보!$D$3:$R$3000,MATCH($F738,폐업정보!$I$3:$I$3000,0),MATCH(E$3,폐업정보!$D$3:$R$3,0)),
"Error"))</f>
        <v>강원</v>
      </c>
      <c r="F73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B0733</v>
      </c>
      <c r="G738" s="76" t="str">
        <f aca="false">F738&amp;RANDBETWEEN(0,10)</f>
        <v>B073310</v>
      </c>
      <c r="H738" s="75" t="n">
        <f aca="false">
IF($D738="정상",INDEX(임대자산!$D$3:$R$3000,MATCH($F738,임대자산!$I$3:$I$3000,0),MATCH(H$4,임대자산!$D$3:$R$3,0)),
IF($D738="폐업",INDEX(폐업정보!$D$3:$R$3000,MATCH($F738,폐업정보!$I$3:$I$3000,0),MATCH(H$4,폐업정보!$D$3:$R$3,0)),
"Error"))</f>
        <v>45058</v>
      </c>
      <c r="I738" s="75" t="str">
        <f aca="false">
IF($D738="정상",INDEX(임대자산!$D$3:$R$3000,MATCH($F738,임대자산!$I$3:$I$3000,0),MATCH(I$4,임대자산!$D$3:$R$3,0)),
IF($D738="폐업",INDEX(폐업정보!$D$3:$R$3000,MATCH($F738,폐업정보!$I$3:$I$3000,0),MATCH(I$4,폐업정보!$D$3:$R$3,0)),
"Error"))</f>
        <v>A0733</v>
      </c>
      <c r="J738" s="75" t="str">
        <f aca="false">
IF($D738="정상",INDEX(임대자산!$D$3:$R$3000,MATCH($F738,임대자산!$I$3:$I$3000,0),MATCH(J$4,임대자산!$D$3:$R$3,0)),
IF($D738="폐업",INDEX(폐업정보!$D$3:$R$3000,MATCH($F738,폐업정보!$I$3:$I$3000,0),MATCH(J$4,폐업정보!$D$3:$R$3,0)),
"Error"))</f>
        <v>4852300000</v>
      </c>
      <c r="K738" s="75" t="str">
        <f aca="false">
IF($D738="정상",INDEX(임대자산!$D$3:$R$3000,MATCH($F738,임대자산!$I$3:$I$3000,0),MATCH(K$4,임대자산!$D$3:$R$3,0)),
IF($D738="폐업",INDEX(폐업정보!$D$3:$R$3000,MATCH($F738,폐업정보!$I$3:$I$3000,0),MATCH(K$4,폐업정보!$D$3:$R$3,0)),
"Error"))</f>
        <v>C0733</v>
      </c>
      <c r="L738" s="75" t="str">
        <f aca="false">
IF($D738="정상",INDEX(임대자산!$D$3:$R$3000,MATCH($F738,임대자산!$I$3:$I$3000,0),MATCH(L$4,임대자산!$D$3:$R$3,0)),
IF($D738="폐업",INDEX(폐업정보!$D$3:$R$3000,MATCH($F738,폐업정보!$I$3:$I$3000,0),MATCH(L$4,폐업정보!$D$3:$R$3,0)),
"Error"))</f>
        <v>D0733</v>
      </c>
      <c r="M738" s="76" t="s">
        <v>96</v>
      </c>
      <c r="N738" s="77"/>
      <c r="O738" s="78" t="s">
        <v>97</v>
      </c>
      <c r="P738" s="79" t="n">
        <f aca="false">COUNTIFS(임대자산!$I:$I,가맹점정보!F738,임대자산!$N:$N,가맹점정보!P$4)</f>
        <v>0</v>
      </c>
      <c r="Q738" s="80" t="n">
        <f aca="false">COUNTIFS(임대자산!$I:$I,가맹점정보!F738,임대자산!$N:$N,가맹점정보!Q$4)</f>
        <v>1</v>
      </c>
      <c r="R738" s="81" t="n">
        <f aca="false">COUNTIFS(임대자산!$I:$I,가맹점정보!F738,임대자산!$N:$N,가맹점정보!R$4)</f>
        <v>0</v>
      </c>
      <c r="S738" s="82" t="n">
        <v>55000</v>
      </c>
      <c r="T738" s="83" t="n">
        <v>0</v>
      </c>
      <c r="U738" s="80" t="n">
        <f aca="false">SUM(S738:T738)</f>
        <v>55000</v>
      </c>
      <c r="V738" s="84" t="s">
        <v>12</v>
      </c>
      <c r="W738" s="80" t="e">
        <f aca="true">
IF(D738="폐업","폐업",
IF(V738="면제","면제",
IF(AND(V738="정상",COUNTIFS(OFFSET(Y738,0,COUNTA(Y738:AV738)-1,1,-4),"미납")&gt;=3),"장기미납",
IF(AND(V738="정상",OFFSET(Y738,0,COUNTA(Y738:AV738)-1)&gt;=U738),"정상",
IF(AND(V738="정상",OFFSET(Y738,0,COUNTA(Y738:AV738)-1)=0),"정상",
"계약서 미작성")))))</f>
        <v>#VALUE!</v>
      </c>
      <c r="X738" s="81" t="str">
        <f aca="true">
IF(D738="폐업","폐업",
IF(AND(V738="정상",OFFSET(Y738,0,COUNTA(Y738:AV738)-1)="미납"),"미납",
IF(AND(V738="정상",OFFSET(Y738,0,COUNTA(Y738:AV738)-1)=0),"납부 시작 전",
IF(AND(V738="정상",OFFSET(Y738,0,COUNTA(Y738:AV738)-1)&gt;=U738),"정상",
IF(AND(V738="면제",OFFSET(Y738,0,COUNTA(Y738:AV738)-1)="면제"),"면제",
IF(AND(V738="면제",OFFSET(Y738,0,COUNTA(Y738:AV738)-1)=0),"면제",
"확인요청"))))))</f>
        <v>정상</v>
      </c>
      <c r="Y738" s="94" t="s">
        <v>62</v>
      </c>
      <c r="Z738" s="90" t="n">
        <v>55000</v>
      </c>
      <c r="AA738" s="90" t="n">
        <v>55000</v>
      </c>
      <c r="AB738" s="90" t="n">
        <v>55000</v>
      </c>
      <c r="AC738" s="90" t="n">
        <v>55000</v>
      </c>
      <c r="AD738" s="90" t="n">
        <v>55000</v>
      </c>
      <c r="AE738" s="90" t="n">
        <v>55000</v>
      </c>
      <c r="AF738" s="90" t="n">
        <v>55000</v>
      </c>
      <c r="AG738" s="90" t="n">
        <v>55000</v>
      </c>
      <c r="AH738" s="90" t="n">
        <v>55000</v>
      </c>
      <c r="AI738" s="90" t="n">
        <v>55000</v>
      </c>
      <c r="AJ738" s="91" t="n">
        <v>55000</v>
      </c>
      <c r="AK738" s="89" t="n">
        <v>55000</v>
      </c>
      <c r="AL738" s="90" t="n">
        <v>55000</v>
      </c>
      <c r="AM738" s="90"/>
      <c r="AN738" s="90"/>
      <c r="AO738" s="90"/>
      <c r="AP738" s="90"/>
      <c r="AQ738" s="90"/>
      <c r="AR738" s="90"/>
      <c r="AS738" s="90"/>
      <c r="AT738" s="90"/>
      <c r="AU738" s="90"/>
      <c r="AV738" s="91"/>
      <c r="AX738" s="92"/>
    </row>
    <row r="739" customFormat="false" ht="15.65" hidden="false" customHeight="false" outlineLevel="0" collapsed="false">
      <c r="C739" s="72" t="n">
        <f aca="false">COUNTIFS($D$6:D739,"&lt;&gt;"&amp;"")</f>
        <v>734</v>
      </c>
      <c r="D739" s="73" t="s">
        <v>12</v>
      </c>
      <c r="E739" s="76" t="str">
        <f aca="false">
IF($D739="정상",INDEX(임대자산!$D$3:$R$3000,MATCH($F739,임대자산!$I$3:$I$3000,0),MATCH(E$3,임대자산!$D$3:$R$3,0)),
IF($D739="폐업",INDEX(폐업정보!$D$3:$R$3000,MATCH($F739,폐업정보!$I$3:$I$3000,0),MATCH(E$3,폐업정보!$D$3:$R$3,0)),
"Error"))</f>
        <v>강원</v>
      </c>
      <c r="F73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B0734</v>
      </c>
      <c r="G739" s="76" t="str">
        <f aca="false">F739&amp;RANDBETWEEN(0,10)</f>
        <v>B07342</v>
      </c>
      <c r="H739" s="75" t="n">
        <f aca="false">
IF($D739="정상",INDEX(임대자산!$D$3:$R$3000,MATCH($F739,임대자산!$I$3:$I$3000,0),MATCH(H$4,임대자산!$D$3:$R$3,0)),
IF($D739="폐업",INDEX(폐업정보!$D$3:$R$3000,MATCH($F739,폐업정보!$I$3:$I$3000,0),MATCH(H$4,폐업정보!$D$3:$R$3,0)),
"Error"))</f>
        <v>45063</v>
      </c>
      <c r="I739" s="75" t="str">
        <f aca="false">
IF($D739="정상",INDEX(임대자산!$D$3:$R$3000,MATCH($F739,임대자산!$I$3:$I$3000,0),MATCH(I$4,임대자산!$D$3:$R$3,0)),
IF($D739="폐업",INDEX(폐업정보!$D$3:$R$3000,MATCH($F739,폐업정보!$I$3:$I$3000,0),MATCH(I$4,폐업정보!$D$3:$R$3,0)),
"Error"))</f>
        <v>A0734</v>
      </c>
      <c r="J739" s="75" t="str">
        <f aca="false">
IF($D739="정상",INDEX(임대자산!$D$3:$R$3000,MATCH($F739,임대자산!$I$3:$I$3000,0),MATCH(J$4,임대자산!$D$3:$R$3,0)),
IF($D739="폐업",INDEX(폐업정보!$D$3:$R$3000,MATCH($F739,폐업정보!$I$3:$I$3000,0),MATCH(J$4,폐업정보!$D$3:$R$3,0)),
"Error"))</f>
        <v>1129600000</v>
      </c>
      <c r="K739" s="75" t="str">
        <f aca="false">
IF($D739="정상",INDEX(임대자산!$D$3:$R$3000,MATCH($F739,임대자산!$I$3:$I$3000,0),MATCH(K$4,임대자산!$D$3:$R$3,0)),
IF($D739="폐업",INDEX(폐업정보!$D$3:$R$3000,MATCH($F739,폐업정보!$I$3:$I$3000,0),MATCH(K$4,폐업정보!$D$3:$R$3,0)),
"Error"))</f>
        <v>C0734</v>
      </c>
      <c r="L739" s="75" t="str">
        <f aca="false">
IF($D739="정상",INDEX(임대자산!$D$3:$R$3000,MATCH($F739,임대자산!$I$3:$I$3000,0),MATCH(L$4,임대자산!$D$3:$R$3,0)),
IF($D739="폐업",INDEX(폐업정보!$D$3:$R$3000,MATCH($F739,폐업정보!$I$3:$I$3000,0),MATCH(L$4,폐업정보!$D$3:$R$3,0)),
"Error"))</f>
        <v>D0734</v>
      </c>
      <c r="M739" s="76" t="s">
        <v>96</v>
      </c>
      <c r="N739" s="77"/>
      <c r="O739" s="78" t="s">
        <v>97</v>
      </c>
      <c r="P739" s="79" t="n">
        <f aca="false">COUNTIFS(임대자산!$I:$I,가맹점정보!F739,임대자산!$N:$N,가맹점정보!P$4)</f>
        <v>0</v>
      </c>
      <c r="Q739" s="80" t="n">
        <f aca="false">COUNTIFS(임대자산!$I:$I,가맹점정보!F739,임대자산!$N:$N,가맹점정보!Q$4)</f>
        <v>1</v>
      </c>
      <c r="R739" s="81" t="n">
        <f aca="false">COUNTIFS(임대자산!$I:$I,가맹점정보!F739,임대자산!$N:$N,가맹점정보!R$4)</f>
        <v>0</v>
      </c>
      <c r="S739" s="82" t="n">
        <v>132000</v>
      </c>
      <c r="T739" s="83" t="n">
        <v>0</v>
      </c>
      <c r="U739" s="80" t="n">
        <f aca="false">SUM(S739:T739)</f>
        <v>132000</v>
      </c>
      <c r="V739" s="84" t="s">
        <v>7</v>
      </c>
      <c r="W739" s="80" t="str">
        <f aca="true">
IF(D739="폐업","폐업",
IF(V739="면제","면제",
IF(AND(V739="정상",COUNTIFS(OFFSET(Y739,0,COUNTA(Y739:AV739)-1,1,-4),"미납")&gt;=3),"장기미납",
IF(AND(V739="정상",OFFSET(Y739,0,COUNTA(Y739:AV739)-1)&gt;=U739),"정상",
IF(AND(V739="정상",OFFSET(Y739,0,COUNTA(Y739:AV739)-1)=0),"정상",
"계약서 미작성")))))</f>
        <v>면제</v>
      </c>
      <c r="X739" s="81" t="str">
        <f aca="true">
IF(D739="폐업","폐업",
IF(AND(V739="정상",OFFSET(Y739,0,COUNTA(Y739:AV739)-1)="미납"),"미납",
IF(AND(V739="정상",OFFSET(Y739,0,COUNTA(Y739:AV739)-1)=0),"납부 시작 전",
IF(AND(V739="정상",OFFSET(Y739,0,COUNTA(Y739:AV739)-1)&gt;=U739),"정상",
IF(AND(V739="면제",OFFSET(Y739,0,COUNTA(Y739:AV739)-1)="면제"),"면제",
IF(AND(V739="면제",OFFSET(Y739,0,COUNTA(Y739:AV739)-1)=0),"면제",
"확인요청"))))))</f>
        <v>면제</v>
      </c>
      <c r="Y739" s="93" t="s">
        <v>99</v>
      </c>
      <c r="Z739" s="90" t="n">
        <v>264000</v>
      </c>
      <c r="AA739" s="90" t="n">
        <v>132000</v>
      </c>
      <c r="AB739" s="90" t="s">
        <v>108</v>
      </c>
      <c r="AC739" s="90" t="n">
        <v>132000</v>
      </c>
      <c r="AD739" s="90" t="n">
        <v>264000</v>
      </c>
      <c r="AE739" s="90" t="n">
        <v>132000</v>
      </c>
      <c r="AF739" s="95" t="s">
        <v>62</v>
      </c>
      <c r="AG739" s="90" t="n">
        <v>132000</v>
      </c>
      <c r="AH739" s="95" t="s">
        <v>62</v>
      </c>
      <c r="AI739" s="95" t="s">
        <v>62</v>
      </c>
      <c r="AJ739" s="96" t="s">
        <v>62</v>
      </c>
      <c r="AK739" s="97" t="s">
        <v>7</v>
      </c>
      <c r="AL739" s="95" t="s">
        <v>7</v>
      </c>
      <c r="AM739" s="90"/>
      <c r="AN739" s="90"/>
      <c r="AO739" s="90"/>
      <c r="AP739" s="90"/>
      <c r="AQ739" s="90"/>
      <c r="AR739" s="90"/>
      <c r="AS739" s="90"/>
      <c r="AT739" s="90"/>
      <c r="AU739" s="90"/>
      <c r="AV739" s="91"/>
      <c r="AX739" s="92"/>
    </row>
    <row r="740" customFormat="false" ht="15.65" hidden="false" customHeight="false" outlineLevel="0" collapsed="false">
      <c r="C740" s="72" t="n">
        <f aca="false">COUNTIFS($D$6:D740,"&lt;&gt;"&amp;"")</f>
        <v>735</v>
      </c>
      <c r="D740" s="73" t="s">
        <v>12</v>
      </c>
      <c r="E740" s="76" t="str">
        <f aca="false">
IF($D740="정상",INDEX(임대자산!$D$3:$R$3000,MATCH($F740,임대자산!$I$3:$I$3000,0),MATCH(E$3,임대자산!$D$3:$R$3,0)),
IF($D740="폐업",INDEX(폐업정보!$D$3:$R$3000,MATCH($F740,폐업정보!$I$3:$I$3000,0),MATCH(E$3,폐업정보!$D$3:$R$3,0)),
"Error"))</f>
        <v>강원</v>
      </c>
      <c r="F74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B0735</v>
      </c>
      <c r="G740" s="76" t="str">
        <f aca="false">F740&amp;RANDBETWEEN(0,10)</f>
        <v>B07353</v>
      </c>
      <c r="H740" s="75" t="n">
        <f aca="false">
IF($D740="정상",INDEX(임대자산!$D$3:$R$3000,MATCH($F740,임대자산!$I$3:$I$3000,0),MATCH(H$4,임대자산!$D$3:$R$3,0)),
IF($D740="폐업",INDEX(폐업정보!$D$3:$R$3000,MATCH($F740,폐업정보!$I$3:$I$3000,0),MATCH(H$4,폐업정보!$D$3:$R$3,0)),
"Error"))</f>
        <v>45065</v>
      </c>
      <c r="I740" s="75" t="str">
        <f aca="false">
IF($D740="정상",INDEX(임대자산!$D$3:$R$3000,MATCH($F740,임대자산!$I$3:$I$3000,0),MATCH(I$4,임대자산!$D$3:$R$3,0)),
IF($D740="폐업",INDEX(폐업정보!$D$3:$R$3000,MATCH($F740,폐업정보!$I$3:$I$3000,0),MATCH(I$4,폐업정보!$D$3:$R$3,0)),
"Error"))</f>
        <v>A0735</v>
      </c>
      <c r="J740" s="75" t="str">
        <f aca="false">
IF($D740="정상",INDEX(임대자산!$D$3:$R$3000,MATCH($F740,임대자산!$I$3:$I$3000,0),MATCH(J$4,임대자산!$D$3:$R$3,0)),
IF($D740="폐업",INDEX(폐업정보!$D$3:$R$3000,MATCH($F740,폐업정보!$I$3:$I$3000,0),MATCH(J$4,폐업정보!$D$3:$R$3,0)),
"Error"))</f>
        <v>4558600000</v>
      </c>
      <c r="K740" s="75" t="str">
        <f aca="false">
IF($D740="정상",INDEX(임대자산!$D$3:$R$3000,MATCH($F740,임대자산!$I$3:$I$3000,0),MATCH(K$4,임대자산!$D$3:$R$3,0)),
IF($D740="폐업",INDEX(폐업정보!$D$3:$R$3000,MATCH($F740,폐업정보!$I$3:$I$3000,0),MATCH(K$4,폐업정보!$D$3:$R$3,0)),
"Error"))</f>
        <v>C0735</v>
      </c>
      <c r="L740" s="75" t="str">
        <f aca="false">
IF($D740="정상",INDEX(임대자산!$D$3:$R$3000,MATCH($F740,임대자산!$I$3:$I$3000,0),MATCH(L$4,임대자산!$D$3:$R$3,0)),
IF($D740="폐업",INDEX(폐업정보!$D$3:$R$3000,MATCH($F740,폐업정보!$I$3:$I$3000,0),MATCH(L$4,폐업정보!$D$3:$R$3,0)),
"Error"))</f>
        <v>D0735</v>
      </c>
      <c r="M740" s="76" t="s">
        <v>96</v>
      </c>
      <c r="N740" s="77"/>
      <c r="O740" s="78" t="s">
        <v>97</v>
      </c>
      <c r="P740" s="79" t="n">
        <f aca="false">COUNTIFS(임대자산!$I:$I,가맹점정보!F740,임대자산!$N:$N,가맹점정보!P$4)</f>
        <v>0</v>
      </c>
      <c r="Q740" s="80" t="n">
        <f aca="false">COUNTIFS(임대자산!$I:$I,가맹점정보!F740,임대자산!$N:$N,가맹점정보!Q$4)</f>
        <v>1</v>
      </c>
      <c r="R740" s="81" t="n">
        <f aca="false">COUNTIFS(임대자산!$I:$I,가맹점정보!F740,임대자산!$N:$N,가맹점정보!R$4)</f>
        <v>0</v>
      </c>
      <c r="S740" s="82" t="n">
        <v>88000</v>
      </c>
      <c r="T740" s="83" t="n">
        <v>0</v>
      </c>
      <c r="U740" s="80" t="n">
        <f aca="false">SUM(S740:T740)</f>
        <v>88000</v>
      </c>
      <c r="V740" s="84" t="s">
        <v>7</v>
      </c>
      <c r="W740" s="80" t="str">
        <f aca="true">
IF(D740="폐업","폐업",
IF(V740="면제","면제",
IF(AND(V740="정상",COUNTIFS(OFFSET(Y740,0,COUNTA(Y740:AV740)-1,1,-4),"미납")&gt;=3),"장기미납",
IF(AND(V740="정상",OFFSET(Y740,0,COUNTA(Y740:AV740)-1)&gt;=U740),"정상",
IF(AND(V740="정상",OFFSET(Y740,0,COUNTA(Y740:AV740)-1)=0),"정상",
"계약서 미작성")))))</f>
        <v>면제</v>
      </c>
      <c r="X740" s="81" t="str">
        <f aca="true">
IF(D740="폐업","폐업",
IF(AND(V740="정상",OFFSET(Y740,0,COUNTA(Y740:AV740)-1)="미납"),"미납",
IF(AND(V740="정상",OFFSET(Y740,0,COUNTA(Y740:AV740)-1)=0),"납부 시작 전",
IF(AND(V740="정상",OFFSET(Y740,0,COUNTA(Y740:AV740)-1)&gt;=U740),"정상",
IF(AND(V740="면제",OFFSET(Y740,0,COUNTA(Y740:AV740)-1)="면제"),"면제",
IF(AND(V740="면제",OFFSET(Y740,0,COUNTA(Y740:AV740)-1)=0),"면제",
"확인요청"))))))</f>
        <v>면제</v>
      </c>
      <c r="Y740" s="94" t="s">
        <v>62</v>
      </c>
      <c r="Z740" s="90" t="n">
        <v>0</v>
      </c>
      <c r="AA740" s="90" t="n">
        <v>0</v>
      </c>
      <c r="AB740" s="90" t="n">
        <v>0</v>
      </c>
      <c r="AC740" s="90" t="n">
        <v>0</v>
      </c>
      <c r="AD740" s="95" t="s">
        <v>7</v>
      </c>
      <c r="AE740" s="95" t="s">
        <v>7</v>
      </c>
      <c r="AF740" s="95" t="s">
        <v>7</v>
      </c>
      <c r="AG740" s="95" t="s">
        <v>7</v>
      </c>
      <c r="AH740" s="95" t="s">
        <v>7</v>
      </c>
      <c r="AI740" s="95" t="s">
        <v>7</v>
      </c>
      <c r="AJ740" s="96" t="s">
        <v>7</v>
      </c>
      <c r="AK740" s="97" t="s">
        <v>7</v>
      </c>
      <c r="AL740" s="95" t="s">
        <v>7</v>
      </c>
      <c r="AM740" s="90"/>
      <c r="AN740" s="90"/>
      <c r="AO740" s="90"/>
      <c r="AP740" s="90"/>
      <c r="AQ740" s="90"/>
      <c r="AR740" s="90"/>
      <c r="AS740" s="90"/>
      <c r="AT740" s="90"/>
      <c r="AU740" s="90"/>
      <c r="AV740" s="91"/>
      <c r="AX740" s="92"/>
    </row>
    <row r="741" customFormat="false" ht="15.65" hidden="false" customHeight="false" outlineLevel="0" collapsed="false">
      <c r="C741" s="72" t="n">
        <f aca="false">COUNTIFS($D$6:D741,"&lt;&gt;"&amp;"")</f>
        <v>736</v>
      </c>
      <c r="D741" s="73" t="s">
        <v>12</v>
      </c>
      <c r="E741" s="76" t="str">
        <f aca="false">
IF($D741="정상",INDEX(임대자산!$D$3:$R$3000,MATCH($F741,임대자산!$I$3:$I$3000,0),MATCH(E$3,임대자산!$D$3:$R$3,0)),
IF($D741="폐업",INDEX(폐업정보!$D$3:$R$3000,MATCH($F741,폐업정보!$I$3:$I$3000,0),MATCH(E$3,폐업정보!$D$3:$R$3,0)),
"Error"))</f>
        <v>강원</v>
      </c>
      <c r="F74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B0736</v>
      </c>
      <c r="G741" s="76" t="str">
        <f aca="false">F741&amp;RANDBETWEEN(0,10)</f>
        <v>B07369</v>
      </c>
      <c r="H741" s="75" t="n">
        <f aca="false">
IF($D741="정상",INDEX(임대자산!$D$3:$R$3000,MATCH($F741,임대자산!$I$3:$I$3000,0),MATCH(H$4,임대자산!$D$3:$R$3,0)),
IF($D741="폐업",INDEX(폐업정보!$D$3:$R$3000,MATCH($F741,폐업정보!$I$3:$I$3000,0),MATCH(H$4,폐업정보!$D$3:$R$3,0)),
"Error"))</f>
        <v>45096</v>
      </c>
      <c r="I741" s="75" t="str">
        <f aca="false">
IF($D741="정상",INDEX(임대자산!$D$3:$R$3000,MATCH($F741,임대자산!$I$3:$I$3000,0),MATCH(I$4,임대자산!$D$3:$R$3,0)),
IF($D741="폐업",INDEX(폐업정보!$D$3:$R$3000,MATCH($F741,폐업정보!$I$3:$I$3000,0),MATCH(I$4,폐업정보!$D$3:$R$3,0)),
"Error"))</f>
        <v>A0736</v>
      </c>
      <c r="J741" s="75" t="str">
        <f aca="false">
IF($D741="정상",INDEX(임대자산!$D$3:$R$3000,MATCH($F741,임대자산!$I$3:$I$3000,0),MATCH(J$4,임대자산!$D$3:$R$3,0)),
IF($D741="폐업",INDEX(폐업정보!$D$3:$R$3000,MATCH($F741,폐업정보!$I$3:$I$3000,0),MATCH(J$4,폐업정보!$D$3:$R$3,0)),
"Error"))</f>
        <v>9505600000</v>
      </c>
      <c r="K741" s="75" t="str">
        <f aca="false">
IF($D741="정상",INDEX(임대자산!$D$3:$R$3000,MATCH($F741,임대자산!$I$3:$I$3000,0),MATCH(K$4,임대자산!$D$3:$R$3,0)),
IF($D741="폐업",INDEX(폐업정보!$D$3:$R$3000,MATCH($F741,폐업정보!$I$3:$I$3000,0),MATCH(K$4,폐업정보!$D$3:$R$3,0)),
"Error"))</f>
        <v>C0736</v>
      </c>
      <c r="L741" s="75" t="str">
        <f aca="false">
IF($D741="정상",INDEX(임대자산!$D$3:$R$3000,MATCH($F741,임대자산!$I$3:$I$3000,0),MATCH(L$4,임대자산!$D$3:$R$3,0)),
IF($D741="폐업",INDEX(폐업정보!$D$3:$R$3000,MATCH($F741,폐업정보!$I$3:$I$3000,0),MATCH(L$4,폐업정보!$D$3:$R$3,0)),
"Error"))</f>
        <v>D0736</v>
      </c>
      <c r="M741" s="76" t="s">
        <v>96</v>
      </c>
      <c r="N741" s="77"/>
      <c r="O741" s="78" t="s">
        <v>97</v>
      </c>
      <c r="P741" s="79" t="n">
        <f aca="false">COUNTIFS(임대자산!$I:$I,가맹점정보!F741,임대자산!$N:$N,가맹점정보!P$4)</f>
        <v>0</v>
      </c>
      <c r="Q741" s="80" t="n">
        <f aca="false">COUNTIFS(임대자산!$I:$I,가맹점정보!F741,임대자산!$N:$N,가맹점정보!Q$4)</f>
        <v>1</v>
      </c>
      <c r="R741" s="81" t="n">
        <f aca="false">COUNTIFS(임대자산!$I:$I,가맹점정보!F741,임대자산!$N:$N,가맹점정보!R$4)</f>
        <v>0</v>
      </c>
      <c r="S741" s="82" t="n">
        <v>88000</v>
      </c>
      <c r="T741" s="83" t="n">
        <v>0</v>
      </c>
      <c r="U741" s="80" t="n">
        <f aca="false">SUM(S741:T741)</f>
        <v>88000</v>
      </c>
      <c r="V741" s="84" t="s">
        <v>7</v>
      </c>
      <c r="W741" s="80" t="str">
        <f aca="true">
IF(D741="폐업","폐업",
IF(V741="면제","면제",
IF(AND(V741="정상",COUNTIFS(OFFSET(Y741,0,COUNTA(Y741:AV741)-1,1,-4),"미납")&gt;=3),"장기미납",
IF(AND(V741="정상",OFFSET(Y741,0,COUNTA(Y741:AV741)-1)&gt;=U741),"정상",
IF(AND(V741="정상",OFFSET(Y741,0,COUNTA(Y741:AV741)-1)=0),"정상",
"계약서 미작성")))))</f>
        <v>면제</v>
      </c>
      <c r="X741" s="81" t="str">
        <f aca="true">
IF(D741="폐업","폐업",
IF(AND(V741="정상",OFFSET(Y741,0,COUNTA(Y741:AV741)-1)="미납"),"미납",
IF(AND(V741="정상",OFFSET(Y741,0,COUNTA(Y741:AV741)-1)=0),"납부 시작 전",
IF(AND(V741="정상",OFFSET(Y741,0,COUNTA(Y741:AV741)-1)&gt;=U741),"정상",
IF(AND(V741="면제",OFFSET(Y741,0,COUNTA(Y741:AV741)-1)="면제"),"면제",
IF(AND(V741="면제",OFFSET(Y741,0,COUNTA(Y741:AV741)-1)=0),"면제",
"확인요청"))))))</f>
        <v>면제</v>
      </c>
      <c r="Y741" s="94" t="s">
        <v>7</v>
      </c>
      <c r="Z741" s="95" t="s">
        <v>7</v>
      </c>
      <c r="AA741" s="95" t="s">
        <v>7</v>
      </c>
      <c r="AB741" s="95" t="s">
        <v>7</v>
      </c>
      <c r="AC741" s="95" t="s">
        <v>7</v>
      </c>
      <c r="AD741" s="95" t="s">
        <v>7</v>
      </c>
      <c r="AE741" s="95" t="s">
        <v>7</v>
      </c>
      <c r="AF741" s="95" t="s">
        <v>7</v>
      </c>
      <c r="AG741" s="95" t="s">
        <v>7</v>
      </c>
      <c r="AH741" s="95" t="s">
        <v>7</v>
      </c>
      <c r="AI741" s="95" t="s">
        <v>7</v>
      </c>
      <c r="AJ741" s="96" t="s">
        <v>7</v>
      </c>
      <c r="AK741" s="97" t="s">
        <v>7</v>
      </c>
      <c r="AL741" s="95" t="s">
        <v>7</v>
      </c>
      <c r="AM741" s="90"/>
      <c r="AN741" s="90"/>
      <c r="AO741" s="90"/>
      <c r="AP741" s="90"/>
      <c r="AQ741" s="90"/>
      <c r="AR741" s="90"/>
      <c r="AS741" s="90"/>
      <c r="AT741" s="90"/>
      <c r="AU741" s="90"/>
      <c r="AV741" s="91"/>
      <c r="AX741" s="92"/>
    </row>
    <row r="742" customFormat="false" ht="15.65" hidden="false" customHeight="false" outlineLevel="0" collapsed="false">
      <c r="C742" s="72" t="n">
        <f aca="false">COUNTIFS($D$6:D742,"&lt;&gt;"&amp;"")</f>
        <v>737</v>
      </c>
      <c r="D742" s="73" t="s">
        <v>12</v>
      </c>
      <c r="E742" s="76" t="str">
        <f aca="false">
IF($D742="정상",INDEX(임대자산!$D$3:$R$3000,MATCH($F742,임대자산!$I$3:$I$3000,0),MATCH(E$3,임대자산!$D$3:$R$3,0)),
IF($D742="폐업",INDEX(폐업정보!$D$3:$R$3000,MATCH($F742,폐업정보!$I$3:$I$3000,0),MATCH(E$3,폐업정보!$D$3:$R$3,0)),
"Error"))</f>
        <v>강원</v>
      </c>
      <c r="F74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B0737</v>
      </c>
      <c r="G742" s="76" t="str">
        <f aca="false">F742&amp;RANDBETWEEN(0,10)</f>
        <v>B07372</v>
      </c>
      <c r="H742" s="75" t="n">
        <f aca="false">
IF($D742="정상",INDEX(임대자산!$D$3:$R$3000,MATCH($F742,임대자산!$I$3:$I$3000,0),MATCH(H$4,임대자산!$D$3:$R$3,0)),
IF($D742="폐업",INDEX(폐업정보!$D$3:$R$3000,MATCH($F742,폐업정보!$I$3:$I$3000,0),MATCH(H$4,폐업정보!$D$3:$R$3,0)),
"Error"))</f>
        <v>45118</v>
      </c>
      <c r="I742" s="75" t="str">
        <f aca="false">
IF($D742="정상",INDEX(임대자산!$D$3:$R$3000,MATCH($F742,임대자산!$I$3:$I$3000,0),MATCH(I$4,임대자산!$D$3:$R$3,0)),
IF($D742="폐업",INDEX(폐업정보!$D$3:$R$3000,MATCH($F742,폐업정보!$I$3:$I$3000,0),MATCH(I$4,폐업정보!$D$3:$R$3,0)),
"Error"))</f>
        <v>A0737</v>
      </c>
      <c r="J742" s="75" t="str">
        <f aca="false">
IF($D742="정상",INDEX(임대자산!$D$3:$R$3000,MATCH($F742,임대자산!$I$3:$I$3000,0),MATCH(J$4,임대자산!$D$3:$R$3,0)),
IF($D742="폐업",INDEX(폐업정보!$D$3:$R$3000,MATCH($F742,폐업정보!$I$3:$I$3000,0),MATCH(J$4,폐업정보!$D$3:$R$3,0)),
"Error"))</f>
        <v>5446200000</v>
      </c>
      <c r="K742" s="75" t="str">
        <f aca="false">
IF($D742="정상",INDEX(임대자산!$D$3:$R$3000,MATCH($F742,임대자산!$I$3:$I$3000,0),MATCH(K$4,임대자산!$D$3:$R$3,0)),
IF($D742="폐업",INDEX(폐업정보!$D$3:$R$3000,MATCH($F742,폐업정보!$I$3:$I$3000,0),MATCH(K$4,폐업정보!$D$3:$R$3,0)),
"Error"))</f>
        <v>C0737</v>
      </c>
      <c r="L742" s="75" t="str">
        <f aca="false">
IF($D742="정상",INDEX(임대자산!$D$3:$R$3000,MATCH($F742,임대자산!$I$3:$I$3000,0),MATCH(L$4,임대자산!$D$3:$R$3,0)),
IF($D742="폐업",INDEX(폐업정보!$D$3:$R$3000,MATCH($F742,폐업정보!$I$3:$I$3000,0),MATCH(L$4,폐업정보!$D$3:$R$3,0)),
"Error"))</f>
        <v>D0737</v>
      </c>
      <c r="M742" s="76" t="s">
        <v>96</v>
      </c>
      <c r="N742" s="77"/>
      <c r="O742" s="78" t="s">
        <v>97</v>
      </c>
      <c r="P742" s="79" t="n">
        <f aca="false">COUNTIFS(임대자산!$I:$I,가맹점정보!F742,임대자산!$N:$N,가맹점정보!P$4)</f>
        <v>0</v>
      </c>
      <c r="Q742" s="80" t="n">
        <f aca="false">COUNTIFS(임대자산!$I:$I,가맹점정보!F742,임대자산!$N:$N,가맹점정보!Q$4)</f>
        <v>1</v>
      </c>
      <c r="R742" s="81" t="n">
        <f aca="false">COUNTIFS(임대자산!$I:$I,가맹점정보!F742,임대자산!$N:$N,가맹점정보!R$4)</f>
        <v>0</v>
      </c>
      <c r="S742" s="82" t="n">
        <v>55000</v>
      </c>
      <c r="T742" s="83" t="n">
        <v>0</v>
      </c>
      <c r="U742" s="80" t="n">
        <f aca="false">SUM(S742:T742)</f>
        <v>55000</v>
      </c>
      <c r="V742" s="84" t="s">
        <v>7</v>
      </c>
      <c r="W742" s="80" t="str">
        <f aca="true">
IF(D742="폐업","폐업",
IF(V742="면제","면제",
IF(AND(V742="정상",COUNTIFS(OFFSET(Y742,0,COUNTA(Y742:AV742)-1,1,-4),"미납")&gt;=3),"장기미납",
IF(AND(V742="정상",OFFSET(Y742,0,COUNTA(Y742:AV742)-1)&gt;=U742),"정상",
IF(AND(V742="정상",OFFSET(Y742,0,COUNTA(Y742:AV742)-1)=0),"정상",
"계약서 미작성")))))</f>
        <v>면제</v>
      </c>
      <c r="X742" s="81" t="str">
        <f aca="true">
IF(D742="폐업","폐업",
IF(AND(V742="정상",OFFSET(Y742,0,COUNTA(Y742:AV742)-1)="미납"),"미납",
IF(AND(V742="정상",OFFSET(Y742,0,COUNTA(Y742:AV742)-1)=0),"납부 시작 전",
IF(AND(V742="정상",OFFSET(Y742,0,COUNTA(Y742:AV742)-1)&gt;=U742),"정상",
IF(AND(V742="면제",OFFSET(Y742,0,COUNTA(Y742:AV742)-1)="면제"),"면제",
IF(AND(V742="면제",OFFSET(Y742,0,COUNTA(Y742:AV742)-1)=0),"면제",
"확인요청"))))))</f>
        <v>면제</v>
      </c>
      <c r="Y742" s="94" t="s">
        <v>7</v>
      </c>
      <c r="Z742" s="95" t="s">
        <v>7</v>
      </c>
      <c r="AA742" s="95" t="s">
        <v>7</v>
      </c>
      <c r="AB742" s="95" t="s">
        <v>7</v>
      </c>
      <c r="AC742" s="95" t="s">
        <v>7</v>
      </c>
      <c r="AD742" s="95" t="s">
        <v>7</v>
      </c>
      <c r="AE742" s="95" t="s">
        <v>7</v>
      </c>
      <c r="AF742" s="95" t="s">
        <v>7</v>
      </c>
      <c r="AG742" s="95" t="s">
        <v>7</v>
      </c>
      <c r="AH742" s="95" t="s">
        <v>7</v>
      </c>
      <c r="AI742" s="95" t="s">
        <v>7</v>
      </c>
      <c r="AJ742" s="96" t="s">
        <v>7</v>
      </c>
      <c r="AK742" s="97" t="s">
        <v>7</v>
      </c>
      <c r="AL742" s="95" t="s">
        <v>7</v>
      </c>
      <c r="AM742" s="90"/>
      <c r="AN742" s="90"/>
      <c r="AO742" s="90"/>
      <c r="AP742" s="90"/>
      <c r="AQ742" s="90"/>
      <c r="AR742" s="90"/>
      <c r="AS742" s="90"/>
      <c r="AT742" s="90"/>
      <c r="AU742" s="90"/>
      <c r="AV742" s="91"/>
      <c r="AX742" s="92"/>
    </row>
    <row r="743" customFormat="false" ht="15.65" hidden="false" customHeight="false" outlineLevel="0" collapsed="false">
      <c r="C743" s="72" t="n">
        <f aca="false">COUNTIFS($D$6:D743,"&lt;&gt;"&amp;"")</f>
        <v>738</v>
      </c>
      <c r="D743" s="73" t="s">
        <v>12</v>
      </c>
      <c r="E743" s="76" t="str">
        <f aca="false">
IF($D743="정상",INDEX(임대자산!$D$3:$R$3000,MATCH($F743,임대자산!$I$3:$I$3000,0),MATCH(E$3,임대자산!$D$3:$R$3,0)),
IF($D743="폐업",INDEX(폐업정보!$D$3:$R$3000,MATCH($F743,폐업정보!$I$3:$I$3000,0),MATCH(E$3,폐업정보!$D$3:$R$3,0)),
"Error"))</f>
        <v>서울</v>
      </c>
      <c r="F74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B0738</v>
      </c>
      <c r="G743" s="76" t="str">
        <f aca="false">F743&amp;RANDBETWEEN(0,10)</f>
        <v>B07382</v>
      </c>
      <c r="H743" s="75" t="n">
        <f aca="false">
IF($D743="정상",INDEX(임대자산!$D$3:$R$3000,MATCH($F743,임대자산!$I$3:$I$3000,0),MATCH(H$4,임대자산!$D$3:$R$3,0)),
IF($D743="폐업",INDEX(폐업정보!$D$3:$R$3000,MATCH($F743,폐업정보!$I$3:$I$3000,0),MATCH(H$4,폐업정보!$D$3:$R$3,0)),
"Error"))</f>
        <v>46062</v>
      </c>
      <c r="I743" s="75" t="str">
        <f aca="false">
IF($D743="정상",INDEX(임대자산!$D$3:$R$3000,MATCH($F743,임대자산!$I$3:$I$3000,0),MATCH(I$4,임대자산!$D$3:$R$3,0)),
IF($D743="폐업",INDEX(폐업정보!$D$3:$R$3000,MATCH($F743,폐업정보!$I$3:$I$3000,0),MATCH(I$4,폐업정보!$D$3:$R$3,0)),
"Error"))</f>
        <v>A0738</v>
      </c>
      <c r="J743" s="75" t="str">
        <f aca="false">
IF($D743="정상",INDEX(임대자산!$D$3:$R$3000,MATCH($F743,임대자산!$I$3:$I$3000,0),MATCH(J$4,임대자산!$D$3:$R$3,0)),
IF($D743="폐업",INDEX(폐업정보!$D$3:$R$3000,MATCH($F743,폐업정보!$I$3:$I$3000,0),MATCH(J$4,폐업정보!$D$3:$R$3,0)),
"Error"))</f>
        <v>5850800000</v>
      </c>
      <c r="K743" s="75" t="str">
        <f aca="false">
IF($D743="정상",INDEX(임대자산!$D$3:$R$3000,MATCH($F743,임대자산!$I$3:$I$3000,0),MATCH(K$4,임대자산!$D$3:$R$3,0)),
IF($D743="폐업",INDEX(폐업정보!$D$3:$R$3000,MATCH($F743,폐업정보!$I$3:$I$3000,0),MATCH(K$4,폐업정보!$D$3:$R$3,0)),
"Error"))</f>
        <v>C0738</v>
      </c>
      <c r="L743" s="75" t="str">
        <f aca="false">
IF($D743="정상",INDEX(임대자산!$D$3:$R$3000,MATCH($F743,임대자산!$I$3:$I$3000,0),MATCH(L$4,임대자산!$D$3:$R$3,0)),
IF($D743="폐업",INDEX(폐업정보!$D$3:$R$3000,MATCH($F743,폐업정보!$I$3:$I$3000,0),MATCH(L$4,폐업정보!$D$3:$R$3,0)),
"Error"))</f>
        <v>D0738</v>
      </c>
      <c r="M743" s="76" t="s">
        <v>96</v>
      </c>
      <c r="N743" s="77"/>
      <c r="O743" s="78" t="s">
        <v>97</v>
      </c>
      <c r="P743" s="79" t="n">
        <f aca="false">COUNTIFS(임대자산!$I:$I,가맹점정보!F743,임대자산!$N:$N,가맹점정보!P$4)</f>
        <v>0</v>
      </c>
      <c r="Q743" s="80" t="n">
        <f aca="false">COUNTIFS(임대자산!$I:$I,가맹점정보!F743,임대자산!$N:$N,가맹점정보!Q$4)</f>
        <v>1</v>
      </c>
      <c r="R743" s="81" t="n">
        <f aca="false">COUNTIFS(임대자산!$I:$I,가맹점정보!F743,임대자산!$N:$N,가맹점정보!R$4)</f>
        <v>0</v>
      </c>
      <c r="S743" s="82" t="n">
        <v>88000</v>
      </c>
      <c r="T743" s="83" t="n">
        <v>0</v>
      </c>
      <c r="U743" s="80" t="n">
        <f aca="false">SUM(S743:T743)</f>
        <v>88000</v>
      </c>
      <c r="V743" s="84" t="s">
        <v>12</v>
      </c>
      <c r="W743" s="80" t="e">
        <f aca="true">
IF(D743="폐업","폐업",
IF(V743="면제","면제",
IF(AND(V743="정상",COUNTIFS(OFFSET(Y743,0,COUNTA(Y743:AV743)-1,1,-4),"미납")&gt;=3),"장기미납",
IF(AND(V743="정상",OFFSET(Y743,0,COUNTA(Y743:AV743)-1)&gt;=U743),"정상",
IF(AND(V743="정상",OFFSET(Y743,0,COUNTA(Y743:AV743)-1)=0),"정상",
"계약서 미작성")))))</f>
        <v>#VALUE!</v>
      </c>
      <c r="X743" s="81" t="str">
        <f aca="true">
IF(D743="폐업","폐업",
IF(AND(V743="정상",OFFSET(Y743,0,COUNTA(Y743:AV743)-1)="미납"),"미납",
IF(AND(V743="정상",OFFSET(Y743,0,COUNTA(Y743:AV743)-1)=0),"납부 시작 전",
IF(AND(V743="정상",OFFSET(Y743,0,COUNTA(Y743:AV743)-1)&gt;=U743),"정상",
IF(AND(V743="면제",OFFSET(Y743,0,COUNTA(Y743:AV743)-1)="면제"),"면제",
IF(AND(V743="면제",OFFSET(Y743,0,COUNTA(Y743:AV743)-1)=0),"면제",
"확인요청"))))))</f>
        <v>정상</v>
      </c>
      <c r="Y743" s="93" t="n">
        <v>88000</v>
      </c>
      <c r="Z743" s="90" t="n">
        <v>88000</v>
      </c>
      <c r="AA743" s="90" t="n">
        <v>88000</v>
      </c>
      <c r="AB743" s="90" t="n">
        <v>88000</v>
      </c>
      <c r="AC743" s="90" t="n">
        <v>88000</v>
      </c>
      <c r="AD743" s="90" t="n">
        <v>88000</v>
      </c>
      <c r="AE743" s="90" t="n">
        <v>88000</v>
      </c>
      <c r="AF743" s="90" t="n">
        <v>88000</v>
      </c>
      <c r="AG743" s="90" t="n">
        <v>88000</v>
      </c>
      <c r="AH743" s="90" t="n">
        <v>88000</v>
      </c>
      <c r="AI743" s="90" t="n">
        <v>88000</v>
      </c>
      <c r="AJ743" s="91" t="n">
        <v>88000</v>
      </c>
      <c r="AK743" s="89" t="n">
        <v>88000</v>
      </c>
      <c r="AL743" s="90" t="n">
        <v>88000</v>
      </c>
      <c r="AM743" s="90"/>
      <c r="AN743" s="90"/>
      <c r="AO743" s="90"/>
      <c r="AP743" s="90"/>
      <c r="AQ743" s="90"/>
      <c r="AR743" s="90"/>
      <c r="AS743" s="90"/>
      <c r="AT743" s="90"/>
      <c r="AU743" s="90"/>
      <c r="AV743" s="91"/>
      <c r="AX743" s="92"/>
    </row>
    <row r="744" customFormat="false" ht="15.65" hidden="false" customHeight="false" outlineLevel="0" collapsed="false">
      <c r="C744" s="72" t="n">
        <f aca="false">COUNTIFS($D$6:D744,"&lt;&gt;"&amp;"")</f>
        <v>739</v>
      </c>
      <c r="D744" s="73" t="s">
        <v>12</v>
      </c>
      <c r="E744" s="76" t="str">
        <f aca="false">
IF($D744="정상",INDEX(임대자산!$D$3:$R$3000,MATCH($F744,임대자산!$I$3:$I$3000,0),MATCH(E$3,임대자산!$D$3:$R$3,0)),
IF($D744="폐업",INDEX(폐업정보!$D$3:$R$3000,MATCH($F744,폐업정보!$I$3:$I$3000,0),MATCH(E$3,폐업정보!$D$3:$R$3,0)),
"Error"))</f>
        <v>서울</v>
      </c>
      <c r="F74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B0739</v>
      </c>
      <c r="G744" s="76" t="str">
        <f aca="false">F744&amp;RANDBETWEEN(0,10)</f>
        <v>B07393</v>
      </c>
      <c r="H744" s="75" t="n">
        <f aca="false">
IF($D744="정상",INDEX(임대자산!$D$3:$R$3000,MATCH($F744,임대자산!$I$3:$I$3000,0),MATCH(H$4,임대자산!$D$3:$R$3,0)),
IF($D744="폐업",INDEX(폐업정보!$D$3:$R$3000,MATCH($F744,폐업정보!$I$3:$I$3000,0),MATCH(H$4,폐업정보!$D$3:$R$3,0)),
"Error"))</f>
        <v>45146</v>
      </c>
      <c r="I744" s="75" t="str">
        <f aca="false">
IF($D744="정상",INDEX(임대자산!$D$3:$R$3000,MATCH($F744,임대자산!$I$3:$I$3000,0),MATCH(I$4,임대자산!$D$3:$R$3,0)),
IF($D744="폐업",INDEX(폐업정보!$D$3:$R$3000,MATCH($F744,폐업정보!$I$3:$I$3000,0),MATCH(I$4,폐업정보!$D$3:$R$3,0)),
"Error"))</f>
        <v>A0739</v>
      </c>
      <c r="J744" s="75" t="str">
        <f aca="false">
IF($D744="정상",INDEX(임대자산!$D$3:$R$3000,MATCH($F744,임대자산!$I$3:$I$3000,0),MATCH(J$4,임대자산!$D$3:$R$3,0)),
IF($D744="폐업",INDEX(폐업정보!$D$3:$R$3000,MATCH($F744,폐업정보!$I$3:$I$3000,0),MATCH(J$4,폐업정보!$D$3:$R$3,0)),
"Error"))</f>
        <v>7229500000</v>
      </c>
      <c r="K744" s="75" t="str">
        <f aca="false">
IF($D744="정상",INDEX(임대자산!$D$3:$R$3000,MATCH($F744,임대자산!$I$3:$I$3000,0),MATCH(K$4,임대자산!$D$3:$R$3,0)),
IF($D744="폐업",INDEX(폐업정보!$D$3:$R$3000,MATCH($F744,폐업정보!$I$3:$I$3000,0),MATCH(K$4,폐업정보!$D$3:$R$3,0)),
"Error"))</f>
        <v>C0739</v>
      </c>
      <c r="L744" s="75" t="str">
        <f aca="false">
IF($D744="정상",INDEX(임대자산!$D$3:$R$3000,MATCH($F744,임대자산!$I$3:$I$3000,0),MATCH(L$4,임대자산!$D$3:$R$3,0)),
IF($D744="폐업",INDEX(폐업정보!$D$3:$R$3000,MATCH($F744,폐업정보!$I$3:$I$3000,0),MATCH(L$4,폐업정보!$D$3:$R$3,0)),
"Error"))</f>
        <v>D0739</v>
      </c>
      <c r="M744" s="76" t="s">
        <v>96</v>
      </c>
      <c r="N744" s="77"/>
      <c r="O744" s="78" t="s">
        <v>97</v>
      </c>
      <c r="P744" s="79" t="n">
        <f aca="false">COUNTIFS(임대자산!$I:$I,가맹점정보!F744,임대자산!$N:$N,가맹점정보!P$4)</f>
        <v>0</v>
      </c>
      <c r="Q744" s="80" t="n">
        <f aca="false">COUNTIFS(임대자산!$I:$I,가맹점정보!F744,임대자산!$N:$N,가맹점정보!Q$4)</f>
        <v>1</v>
      </c>
      <c r="R744" s="81" t="n">
        <f aca="false">COUNTIFS(임대자산!$I:$I,가맹점정보!F744,임대자산!$N:$N,가맹점정보!R$4)</f>
        <v>0</v>
      </c>
      <c r="S744" s="82" t="n">
        <v>88000</v>
      </c>
      <c r="T744" s="83" t="n">
        <v>0</v>
      </c>
      <c r="U744" s="80" t="n">
        <f aca="false">SUM(S744:T744)</f>
        <v>88000</v>
      </c>
      <c r="V744" s="84" t="s">
        <v>12</v>
      </c>
      <c r="W744" s="80" t="e">
        <f aca="true">
IF(D744="폐업","폐업",
IF(V744="면제","면제",
IF(AND(V744="정상",COUNTIFS(OFFSET(Y744,0,COUNTA(Y744:AV744)-1,1,-4),"미납")&gt;=3),"장기미납",
IF(AND(V744="정상",OFFSET(Y744,0,COUNTA(Y744:AV744)-1)&gt;=U744),"정상",
IF(AND(V744="정상",OFFSET(Y744,0,COUNTA(Y744:AV744)-1)=0),"정상",
"계약서 미작성")))))</f>
        <v>#VALUE!</v>
      </c>
      <c r="X744" s="81" t="str">
        <f aca="true">
IF(D744="폐업","폐업",
IF(AND(V744="정상",OFFSET(Y744,0,COUNTA(Y744:AV744)-1)="미납"),"미납",
IF(AND(V744="정상",OFFSET(Y744,0,COUNTA(Y744:AV744)-1)=0),"납부 시작 전",
IF(AND(V744="정상",OFFSET(Y744,0,COUNTA(Y744:AV744)-1)&gt;=U744),"정상",
IF(AND(V744="면제",OFFSET(Y744,0,COUNTA(Y744:AV744)-1)="면제"),"면제",
IF(AND(V744="면제",OFFSET(Y744,0,COUNTA(Y744:AV744)-1)=0),"면제",
"확인요청"))))))</f>
        <v>정상</v>
      </c>
      <c r="Y744" s="93" t="n">
        <v>88000</v>
      </c>
      <c r="Z744" s="90" t="n">
        <v>88000</v>
      </c>
      <c r="AA744" s="90" t="n">
        <v>88000</v>
      </c>
      <c r="AB744" s="90" t="n">
        <v>88000</v>
      </c>
      <c r="AC744" s="90" t="n">
        <v>88000</v>
      </c>
      <c r="AD744" s="90" t="n">
        <v>88000</v>
      </c>
      <c r="AE744" s="90" t="n">
        <v>88000</v>
      </c>
      <c r="AF744" s="90" t="n">
        <v>88000</v>
      </c>
      <c r="AG744" s="90" t="n">
        <v>88000</v>
      </c>
      <c r="AH744" s="90" t="n">
        <v>88000</v>
      </c>
      <c r="AI744" s="95" t="s">
        <v>62</v>
      </c>
      <c r="AJ744" s="96" t="s">
        <v>62</v>
      </c>
      <c r="AK744" s="89" t="n">
        <v>88000</v>
      </c>
      <c r="AL744" s="90" t="n">
        <v>88000</v>
      </c>
      <c r="AM744" s="90"/>
      <c r="AN744" s="90"/>
      <c r="AO744" s="90"/>
      <c r="AP744" s="90"/>
      <c r="AQ744" s="90"/>
      <c r="AR744" s="90"/>
      <c r="AS744" s="90"/>
      <c r="AT744" s="90"/>
      <c r="AU744" s="90"/>
      <c r="AV744" s="91"/>
      <c r="AX744" s="92"/>
    </row>
    <row r="745" customFormat="false" ht="15.65" hidden="false" customHeight="false" outlineLevel="0" collapsed="false">
      <c r="C745" s="72" t="n">
        <f aca="false">COUNTIFS($D$6:D745,"&lt;&gt;"&amp;"")</f>
        <v>740</v>
      </c>
      <c r="D745" s="73" t="s">
        <v>12</v>
      </c>
      <c r="E745" s="76" t="str">
        <f aca="false">
IF($D745="정상",INDEX(임대자산!$D$3:$R$3000,MATCH($F745,임대자산!$I$3:$I$3000,0),MATCH(E$3,임대자산!$D$3:$R$3,0)),
IF($D745="폐업",INDEX(폐업정보!$D$3:$R$3000,MATCH($F745,폐업정보!$I$3:$I$3000,0),MATCH(E$3,폐업정보!$D$3:$R$3,0)),
"Error"))</f>
        <v>경기</v>
      </c>
      <c r="F74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B0740</v>
      </c>
      <c r="G745" s="76" t="str">
        <f aca="false">F745&amp;RANDBETWEEN(0,10)</f>
        <v>B07406</v>
      </c>
      <c r="H745" s="75" t="n">
        <f aca="false">
IF($D745="정상",INDEX(임대자산!$D$3:$R$3000,MATCH($F745,임대자산!$I$3:$I$3000,0),MATCH(H$4,임대자산!$D$3:$R$3,0)),
IF($D745="폐업",INDEX(폐업정보!$D$3:$R$3000,MATCH($F745,폐업정보!$I$3:$I$3000,0),MATCH(H$4,폐업정보!$D$3:$R$3,0)),
"Error"))</f>
        <v>45162</v>
      </c>
      <c r="I745" s="75" t="str">
        <f aca="false">
IF($D745="정상",INDEX(임대자산!$D$3:$R$3000,MATCH($F745,임대자산!$I$3:$I$3000,0),MATCH(I$4,임대자산!$D$3:$R$3,0)),
IF($D745="폐업",INDEX(폐업정보!$D$3:$R$3000,MATCH($F745,폐업정보!$I$3:$I$3000,0),MATCH(I$4,폐업정보!$D$3:$R$3,0)),
"Error"))</f>
        <v>A0740</v>
      </c>
      <c r="J745" s="75" t="str">
        <f aca="false">
IF($D745="정상",INDEX(임대자산!$D$3:$R$3000,MATCH($F745,임대자산!$I$3:$I$3000,0),MATCH(J$4,임대자산!$D$3:$R$3,0)),
IF($D745="폐업",INDEX(폐업정보!$D$3:$R$3000,MATCH($F745,폐업정보!$I$3:$I$3000,0),MATCH(J$4,폐업정보!$D$3:$R$3,0)),
"Error"))</f>
        <v>8192800000</v>
      </c>
      <c r="K745" s="75" t="str">
        <f aca="false">
IF($D745="정상",INDEX(임대자산!$D$3:$R$3000,MATCH($F745,임대자산!$I$3:$I$3000,0),MATCH(K$4,임대자산!$D$3:$R$3,0)),
IF($D745="폐업",INDEX(폐업정보!$D$3:$R$3000,MATCH($F745,폐업정보!$I$3:$I$3000,0),MATCH(K$4,폐업정보!$D$3:$R$3,0)),
"Error"))</f>
        <v>C0740</v>
      </c>
      <c r="L745" s="75" t="str">
        <f aca="false">
IF($D745="정상",INDEX(임대자산!$D$3:$R$3000,MATCH($F745,임대자산!$I$3:$I$3000,0),MATCH(L$4,임대자산!$D$3:$R$3,0)),
IF($D745="폐업",INDEX(폐업정보!$D$3:$R$3000,MATCH($F745,폐업정보!$I$3:$I$3000,0),MATCH(L$4,폐업정보!$D$3:$R$3,0)),
"Error"))</f>
        <v>D0740</v>
      </c>
      <c r="M745" s="76" t="s">
        <v>96</v>
      </c>
      <c r="N745" s="77"/>
      <c r="O745" s="78" t="s">
        <v>97</v>
      </c>
      <c r="P745" s="79" t="n">
        <f aca="false">COUNTIFS(임대자산!$I:$I,가맹점정보!F745,임대자산!$N:$N,가맹점정보!P$4)</f>
        <v>0</v>
      </c>
      <c r="Q745" s="80" t="n">
        <f aca="false">COUNTIFS(임대자산!$I:$I,가맹점정보!F745,임대자산!$N:$N,가맹점정보!Q$4)</f>
        <v>1</v>
      </c>
      <c r="R745" s="81" t="n">
        <f aca="false">COUNTIFS(임대자산!$I:$I,가맹점정보!F745,임대자산!$N:$N,가맹점정보!R$4)</f>
        <v>0</v>
      </c>
      <c r="S745" s="82" t="n">
        <v>55000</v>
      </c>
      <c r="T745" s="83" t="n">
        <v>0</v>
      </c>
      <c r="U745" s="80" t="n">
        <f aca="false">SUM(S745:T745)</f>
        <v>55000</v>
      </c>
      <c r="V745" s="84" t="s">
        <v>7</v>
      </c>
      <c r="W745" s="80" t="str">
        <f aca="true">
IF(D745="폐업","폐업",
IF(V745="면제","면제",
IF(AND(V745="정상",COUNTIFS(OFFSET(Y745,0,COUNTA(Y745:AV745)-1,1,-4),"미납")&gt;=3),"장기미납",
IF(AND(V745="정상",OFFSET(Y745,0,COUNTA(Y745:AV745)-1)&gt;=U745),"정상",
IF(AND(V745="정상",OFFSET(Y745,0,COUNTA(Y745:AV745)-1)=0),"정상",
"계약서 미작성")))))</f>
        <v>면제</v>
      </c>
      <c r="X745" s="81" t="str">
        <f aca="true">
IF(D745="폐업","폐업",
IF(AND(V745="정상",OFFSET(Y745,0,COUNTA(Y745:AV745)-1)="미납"),"미납",
IF(AND(V745="정상",OFFSET(Y745,0,COUNTA(Y745:AV745)-1)=0),"납부 시작 전",
IF(AND(V745="정상",OFFSET(Y745,0,COUNTA(Y745:AV745)-1)&gt;=U745),"정상",
IF(AND(V745="면제",OFFSET(Y745,0,COUNTA(Y745:AV745)-1)="면제"),"면제",
IF(AND(V745="면제",OFFSET(Y745,0,COUNTA(Y745:AV745)-1)=0),"면제",
"확인요청"))))))</f>
        <v>면제</v>
      </c>
      <c r="Y745" s="94" t="s">
        <v>7</v>
      </c>
      <c r="Z745" s="95" t="s">
        <v>7</v>
      </c>
      <c r="AA745" s="95" t="s">
        <v>7</v>
      </c>
      <c r="AB745" s="95" t="s">
        <v>7</v>
      </c>
      <c r="AC745" s="95" t="s">
        <v>7</v>
      </c>
      <c r="AD745" s="95" t="s">
        <v>7</v>
      </c>
      <c r="AE745" s="95" t="s">
        <v>7</v>
      </c>
      <c r="AF745" s="95" t="s">
        <v>7</v>
      </c>
      <c r="AG745" s="95" t="s">
        <v>7</v>
      </c>
      <c r="AH745" s="95" t="s">
        <v>7</v>
      </c>
      <c r="AI745" s="95" t="s">
        <v>7</v>
      </c>
      <c r="AJ745" s="96" t="s">
        <v>7</v>
      </c>
      <c r="AK745" s="97" t="s">
        <v>7</v>
      </c>
      <c r="AL745" s="95" t="s">
        <v>7</v>
      </c>
      <c r="AM745" s="90"/>
      <c r="AN745" s="90"/>
      <c r="AO745" s="90"/>
      <c r="AP745" s="90"/>
      <c r="AQ745" s="90"/>
      <c r="AR745" s="90"/>
      <c r="AS745" s="90"/>
      <c r="AT745" s="90"/>
      <c r="AU745" s="90"/>
      <c r="AV745" s="91"/>
      <c r="AX745" s="92"/>
    </row>
    <row r="746" customFormat="false" ht="15.65" hidden="false" customHeight="false" outlineLevel="0" collapsed="false">
      <c r="C746" s="72" t="n">
        <f aca="false">COUNTIFS($D$6:D746,"&lt;&gt;"&amp;"")</f>
        <v>741</v>
      </c>
      <c r="D746" s="73" t="s">
        <v>12</v>
      </c>
      <c r="E746" s="76" t="str">
        <f aca="false">
IF($D746="정상",INDEX(임대자산!$D$3:$R$3000,MATCH($F746,임대자산!$I$3:$I$3000,0),MATCH(E$3,임대자산!$D$3:$R$3,0)),
IF($D746="폐업",INDEX(폐업정보!$D$3:$R$3000,MATCH($F746,폐업정보!$I$3:$I$3000,0),MATCH(E$3,폐업정보!$D$3:$R$3,0)),
"Error"))</f>
        <v>경기</v>
      </c>
      <c r="F74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B0741</v>
      </c>
      <c r="G746" s="76" t="str">
        <f aca="false">F746&amp;RANDBETWEEN(0,10)</f>
        <v>B07417</v>
      </c>
      <c r="H746" s="75" t="n">
        <f aca="false">
IF($D746="정상",INDEX(임대자산!$D$3:$R$3000,MATCH($F746,임대자산!$I$3:$I$3000,0),MATCH(H$4,임대자산!$D$3:$R$3,0)),
IF($D746="폐업",INDEX(폐업정보!$D$3:$R$3000,MATCH($F746,폐업정보!$I$3:$I$3000,0),MATCH(H$4,폐업정보!$D$3:$R$3,0)),
"Error"))</f>
        <v>45163</v>
      </c>
      <c r="I746" s="75" t="str">
        <f aca="false">
IF($D746="정상",INDEX(임대자산!$D$3:$R$3000,MATCH($F746,임대자산!$I$3:$I$3000,0),MATCH(I$4,임대자산!$D$3:$R$3,0)),
IF($D746="폐업",INDEX(폐업정보!$D$3:$R$3000,MATCH($F746,폐업정보!$I$3:$I$3000,0),MATCH(I$4,폐업정보!$D$3:$R$3,0)),
"Error"))</f>
        <v>A0741</v>
      </c>
      <c r="J746" s="75" t="str">
        <f aca="false">
IF($D746="정상",INDEX(임대자산!$D$3:$R$3000,MATCH($F746,임대자산!$I$3:$I$3000,0),MATCH(J$4,임대자산!$D$3:$R$3,0)),
IF($D746="폐업",INDEX(폐업정보!$D$3:$R$3000,MATCH($F746,폐업정보!$I$3:$I$3000,0),MATCH(J$4,폐업정보!$D$3:$R$3,0)),
"Error"))</f>
        <v>4985000000</v>
      </c>
      <c r="K746" s="75" t="str">
        <f aca="false">
IF($D746="정상",INDEX(임대자산!$D$3:$R$3000,MATCH($F746,임대자산!$I$3:$I$3000,0),MATCH(K$4,임대자산!$D$3:$R$3,0)),
IF($D746="폐업",INDEX(폐업정보!$D$3:$R$3000,MATCH($F746,폐업정보!$I$3:$I$3000,0),MATCH(K$4,폐업정보!$D$3:$R$3,0)),
"Error"))</f>
        <v>C0741</v>
      </c>
      <c r="L746" s="75" t="str">
        <f aca="false">
IF($D746="정상",INDEX(임대자산!$D$3:$R$3000,MATCH($F746,임대자산!$I$3:$I$3000,0),MATCH(L$4,임대자산!$D$3:$R$3,0)),
IF($D746="폐업",INDEX(폐업정보!$D$3:$R$3000,MATCH($F746,폐업정보!$I$3:$I$3000,0),MATCH(L$4,폐업정보!$D$3:$R$3,0)),
"Error"))</f>
        <v>D0741</v>
      </c>
      <c r="M746" s="76" t="s">
        <v>96</v>
      </c>
      <c r="N746" s="77"/>
      <c r="O746" s="78" t="s">
        <v>97</v>
      </c>
      <c r="P746" s="79" t="n">
        <f aca="false">COUNTIFS(임대자산!$I:$I,가맹점정보!F746,임대자산!$N:$N,가맹점정보!P$4)</f>
        <v>0</v>
      </c>
      <c r="Q746" s="80" t="n">
        <f aca="false">COUNTIFS(임대자산!$I:$I,가맹점정보!F746,임대자산!$N:$N,가맹점정보!Q$4)</f>
        <v>1</v>
      </c>
      <c r="R746" s="81" t="n">
        <f aca="false">COUNTIFS(임대자산!$I:$I,가맹점정보!F746,임대자산!$N:$N,가맹점정보!R$4)</f>
        <v>0</v>
      </c>
      <c r="S746" s="82" t="n">
        <v>55000</v>
      </c>
      <c r="T746" s="83" t="n">
        <v>0</v>
      </c>
      <c r="U746" s="80" t="n">
        <f aca="false">SUM(S746:T746)</f>
        <v>55000</v>
      </c>
      <c r="V746" s="84" t="s">
        <v>12</v>
      </c>
      <c r="W746" s="80" t="e">
        <f aca="true">
IF(D746="폐업","폐업",
IF(V746="면제","면제",
IF(AND(V746="정상",COUNTIFS(OFFSET(Y746,0,COUNTA(Y746:AV746)-1,1,-4),"미납")&gt;=3),"장기미납",
IF(AND(V746="정상",OFFSET(Y746,0,COUNTA(Y746:AV746)-1)&gt;=U746),"정상",
IF(AND(V746="정상",OFFSET(Y746,0,COUNTA(Y746:AV746)-1)=0),"정상",
"계약서 미작성")))))</f>
        <v>#VALUE!</v>
      </c>
      <c r="X746" s="81" t="str">
        <f aca="true">
IF(D746="폐업","폐업",
IF(AND(V746="정상",OFFSET(Y746,0,COUNTA(Y746:AV746)-1)="미납"),"미납",
IF(AND(V746="정상",OFFSET(Y746,0,COUNTA(Y746:AV746)-1)=0),"납부 시작 전",
IF(AND(V746="정상",OFFSET(Y746,0,COUNTA(Y746:AV746)-1)&gt;=U746),"정상",
IF(AND(V746="면제",OFFSET(Y746,0,COUNTA(Y746:AV746)-1)="면제"),"면제",
IF(AND(V746="면제",OFFSET(Y746,0,COUNTA(Y746:AV746)-1)=0),"면제",
"확인요청"))))))</f>
        <v>정상</v>
      </c>
      <c r="Y746" s="93" t="n">
        <v>55000</v>
      </c>
      <c r="Z746" s="90" t="n">
        <v>55000</v>
      </c>
      <c r="AA746" s="90" t="n">
        <v>55000</v>
      </c>
      <c r="AB746" s="90" t="n">
        <v>55000</v>
      </c>
      <c r="AC746" s="90" t="n">
        <v>55000</v>
      </c>
      <c r="AD746" s="90" t="n">
        <v>55000</v>
      </c>
      <c r="AE746" s="90" t="n">
        <v>55000</v>
      </c>
      <c r="AF746" s="90" t="n">
        <v>55000</v>
      </c>
      <c r="AG746" s="90" t="n">
        <v>55000</v>
      </c>
      <c r="AH746" s="90" t="n">
        <v>55000</v>
      </c>
      <c r="AI746" s="90" t="n">
        <v>55000</v>
      </c>
      <c r="AJ746" s="91" t="n">
        <v>55000</v>
      </c>
      <c r="AK746" s="89" t="n">
        <v>55000</v>
      </c>
      <c r="AL746" s="90" t="n">
        <v>55000</v>
      </c>
      <c r="AM746" s="90"/>
      <c r="AN746" s="90"/>
      <c r="AO746" s="90"/>
      <c r="AP746" s="90"/>
      <c r="AQ746" s="90"/>
      <c r="AR746" s="90"/>
      <c r="AS746" s="90"/>
      <c r="AT746" s="90"/>
      <c r="AU746" s="90"/>
      <c r="AV746" s="91"/>
      <c r="AX746" s="92"/>
    </row>
    <row r="747" customFormat="false" ht="15.65" hidden="false" customHeight="false" outlineLevel="0" collapsed="false">
      <c r="C747" s="72" t="n">
        <f aca="false">COUNTIFS($D$6:D747,"&lt;&gt;"&amp;"")</f>
        <v>742</v>
      </c>
      <c r="D747" s="73" t="s">
        <v>12</v>
      </c>
      <c r="E747" s="76" t="str">
        <f aca="false">
IF($D747="정상",INDEX(임대자산!$D$3:$R$3000,MATCH($F747,임대자산!$I$3:$I$3000,0),MATCH(E$3,임대자산!$D$3:$R$3,0)),
IF($D747="폐업",INDEX(폐업정보!$D$3:$R$3000,MATCH($F747,폐업정보!$I$3:$I$3000,0),MATCH(E$3,폐업정보!$D$3:$R$3,0)),
"Error"))</f>
        <v>서울</v>
      </c>
      <c r="F74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B0742</v>
      </c>
      <c r="G747" s="76" t="str">
        <f aca="false">F747&amp;RANDBETWEEN(0,10)</f>
        <v>B074210</v>
      </c>
      <c r="H747" s="75" t="n">
        <f aca="false">
IF($D747="정상",INDEX(임대자산!$D$3:$R$3000,MATCH($F747,임대자산!$I$3:$I$3000,0),MATCH(H$4,임대자산!$D$3:$R$3,0)),
IF($D747="폐업",INDEX(폐업정보!$D$3:$R$3000,MATCH($F747,폐업정보!$I$3:$I$3000,0),MATCH(H$4,폐업정보!$D$3:$R$3,0)),
"Error"))</f>
        <v>45168</v>
      </c>
      <c r="I747" s="75" t="str">
        <f aca="false">
IF($D747="정상",INDEX(임대자산!$D$3:$R$3000,MATCH($F747,임대자산!$I$3:$I$3000,0),MATCH(I$4,임대자산!$D$3:$R$3,0)),
IF($D747="폐업",INDEX(폐업정보!$D$3:$R$3000,MATCH($F747,폐업정보!$I$3:$I$3000,0),MATCH(I$4,폐업정보!$D$3:$R$3,0)),
"Error"))</f>
        <v>A0742</v>
      </c>
      <c r="J747" s="75" t="str">
        <f aca="false">
IF($D747="정상",INDEX(임대자산!$D$3:$R$3000,MATCH($F747,임대자산!$I$3:$I$3000,0),MATCH(J$4,임대자산!$D$3:$R$3,0)),
IF($D747="폐업",INDEX(폐업정보!$D$3:$R$3000,MATCH($F747,폐업정보!$I$3:$I$3000,0),MATCH(J$4,폐업정보!$D$3:$R$3,0)),
"Error"))</f>
        <v>8613700000</v>
      </c>
      <c r="K747" s="75" t="str">
        <f aca="false">
IF($D747="정상",INDEX(임대자산!$D$3:$R$3000,MATCH($F747,임대자산!$I$3:$I$3000,0),MATCH(K$4,임대자산!$D$3:$R$3,0)),
IF($D747="폐업",INDEX(폐업정보!$D$3:$R$3000,MATCH($F747,폐업정보!$I$3:$I$3000,0),MATCH(K$4,폐업정보!$D$3:$R$3,0)),
"Error"))</f>
        <v>C0742</v>
      </c>
      <c r="L747" s="75" t="str">
        <f aca="false">
IF($D747="정상",INDEX(임대자산!$D$3:$R$3000,MATCH($F747,임대자산!$I$3:$I$3000,0),MATCH(L$4,임대자산!$D$3:$R$3,0)),
IF($D747="폐업",INDEX(폐업정보!$D$3:$R$3000,MATCH($F747,폐업정보!$I$3:$I$3000,0),MATCH(L$4,폐업정보!$D$3:$R$3,0)),
"Error"))</f>
        <v>D0742</v>
      </c>
      <c r="M747" s="76" t="s">
        <v>96</v>
      </c>
      <c r="N747" s="77"/>
      <c r="O747" s="78" t="s">
        <v>97</v>
      </c>
      <c r="P747" s="79" t="n">
        <f aca="false">COUNTIFS(임대자산!$I:$I,가맹점정보!F747,임대자산!$N:$N,가맹점정보!P$4)</f>
        <v>0</v>
      </c>
      <c r="Q747" s="80" t="n">
        <f aca="false">COUNTIFS(임대자산!$I:$I,가맹점정보!F747,임대자산!$N:$N,가맹점정보!Q$4)</f>
        <v>1</v>
      </c>
      <c r="R747" s="81" t="n">
        <f aca="false">COUNTIFS(임대자산!$I:$I,가맹점정보!F747,임대자산!$N:$N,가맹점정보!R$4)</f>
        <v>0</v>
      </c>
      <c r="S747" s="82" t="n">
        <v>55000</v>
      </c>
      <c r="T747" s="83" t="n">
        <v>0</v>
      </c>
      <c r="U747" s="80" t="n">
        <f aca="false">SUM(S747:T747)</f>
        <v>55000</v>
      </c>
      <c r="V747" s="84" t="s">
        <v>12</v>
      </c>
      <c r="W747" s="80" t="e">
        <f aca="true">
IF(D747="폐업","폐업",
IF(V747="면제","면제",
IF(AND(V747="정상",COUNTIFS(OFFSET(Y747,0,COUNTA(Y747:AV747)-1,1,-4),"미납")&gt;=3),"장기미납",
IF(AND(V747="정상",OFFSET(Y747,0,COUNTA(Y747:AV747)-1)&gt;=U747),"정상",
IF(AND(V747="정상",OFFSET(Y747,0,COUNTA(Y747:AV747)-1)=0),"정상",
"계약서 미작성")))))</f>
        <v>#VALUE!</v>
      </c>
      <c r="X747" s="81" t="str">
        <f aca="true">
IF(D747="폐업","폐업",
IF(AND(V747="정상",OFFSET(Y747,0,COUNTA(Y747:AV747)-1)="미납"),"미납",
IF(AND(V747="정상",OFFSET(Y747,0,COUNTA(Y747:AV747)-1)=0),"납부 시작 전",
IF(AND(V747="정상",OFFSET(Y747,0,COUNTA(Y747:AV747)-1)&gt;=U747),"정상",
IF(AND(V747="면제",OFFSET(Y747,0,COUNTA(Y747:AV747)-1)="면제"),"면제",
IF(AND(V747="면제",OFFSET(Y747,0,COUNTA(Y747:AV747)-1)=0),"면제",
"확인요청"))))))</f>
        <v>정상</v>
      </c>
      <c r="Y747" s="93" t="n">
        <v>55000</v>
      </c>
      <c r="Z747" s="90" t="n">
        <v>55000</v>
      </c>
      <c r="AA747" s="90" t="n">
        <v>55000</v>
      </c>
      <c r="AB747" s="90" t="n">
        <v>55000</v>
      </c>
      <c r="AC747" s="90" t="n">
        <v>55000</v>
      </c>
      <c r="AD747" s="90" t="n">
        <v>55000</v>
      </c>
      <c r="AE747" s="90" t="n">
        <v>55000</v>
      </c>
      <c r="AF747" s="90" t="n">
        <v>55000</v>
      </c>
      <c r="AG747" s="90" t="n">
        <v>55000</v>
      </c>
      <c r="AH747" s="90" t="n">
        <v>55000</v>
      </c>
      <c r="AI747" s="90" t="n">
        <v>55000</v>
      </c>
      <c r="AJ747" s="91" t="n">
        <v>55000</v>
      </c>
      <c r="AK747" s="89" t="n">
        <v>55000</v>
      </c>
      <c r="AL747" s="90" t="n">
        <v>55000</v>
      </c>
      <c r="AM747" s="90"/>
      <c r="AN747" s="90"/>
      <c r="AO747" s="90"/>
      <c r="AP747" s="90"/>
      <c r="AQ747" s="90"/>
      <c r="AR747" s="90"/>
      <c r="AS747" s="90"/>
      <c r="AT747" s="90"/>
      <c r="AU747" s="90"/>
      <c r="AV747" s="91"/>
      <c r="AX747" s="92"/>
    </row>
    <row r="748" customFormat="false" ht="15.65" hidden="false" customHeight="false" outlineLevel="0" collapsed="false">
      <c r="C748" s="72" t="n">
        <f aca="false">COUNTIFS($D$6:D748,"&lt;&gt;"&amp;"")</f>
        <v>743</v>
      </c>
      <c r="D748" s="73" t="s">
        <v>12</v>
      </c>
      <c r="E748" s="76" t="str">
        <f aca="false">
IF($D748="정상",INDEX(임대자산!$D$3:$R$3000,MATCH($F748,임대자산!$I$3:$I$3000,0),MATCH(E$3,임대자산!$D$3:$R$3,0)),
IF($D748="폐업",INDEX(폐업정보!$D$3:$R$3000,MATCH($F748,폐업정보!$I$3:$I$3000,0),MATCH(E$3,폐업정보!$D$3:$R$3,0)),
"Error"))</f>
        <v>강원</v>
      </c>
      <c r="F74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B0743</v>
      </c>
      <c r="G748" s="76" t="str">
        <f aca="false">F748&amp;RANDBETWEEN(0,10)</f>
        <v>B07432</v>
      </c>
      <c r="H748" s="75" t="n">
        <f aca="false">
IF($D748="정상",INDEX(임대자산!$D$3:$R$3000,MATCH($F748,임대자산!$I$3:$I$3000,0),MATCH(H$4,임대자산!$D$3:$R$3,0)),
IF($D748="폐업",INDEX(폐업정보!$D$3:$R$3000,MATCH($F748,폐업정보!$I$3:$I$3000,0),MATCH(H$4,폐업정보!$D$3:$R$3,0)),
"Error"))</f>
        <v>45476</v>
      </c>
      <c r="I748" s="75" t="str">
        <f aca="false">
IF($D748="정상",INDEX(임대자산!$D$3:$R$3000,MATCH($F748,임대자산!$I$3:$I$3000,0),MATCH(I$4,임대자산!$D$3:$R$3,0)),
IF($D748="폐업",INDEX(폐업정보!$D$3:$R$3000,MATCH($F748,폐업정보!$I$3:$I$3000,0),MATCH(I$4,폐업정보!$D$3:$R$3,0)),
"Error"))</f>
        <v>A0743</v>
      </c>
      <c r="J748" s="75" t="str">
        <f aca="false">
IF($D748="정상",INDEX(임대자산!$D$3:$R$3000,MATCH($F748,임대자산!$I$3:$I$3000,0),MATCH(J$4,임대자산!$D$3:$R$3,0)),
IF($D748="폐업",INDEX(폐업정보!$D$3:$R$3000,MATCH($F748,폐업정보!$I$3:$I$3000,0),MATCH(J$4,폐업정보!$D$3:$R$3,0)),
"Error"))</f>
        <v>4948800000</v>
      </c>
      <c r="K748" s="75" t="str">
        <f aca="false">
IF($D748="정상",INDEX(임대자산!$D$3:$R$3000,MATCH($F748,임대자산!$I$3:$I$3000,0),MATCH(K$4,임대자산!$D$3:$R$3,0)),
IF($D748="폐업",INDEX(폐업정보!$D$3:$R$3000,MATCH($F748,폐업정보!$I$3:$I$3000,0),MATCH(K$4,폐업정보!$D$3:$R$3,0)),
"Error"))</f>
        <v>C0743</v>
      </c>
      <c r="L748" s="75" t="str">
        <f aca="false">
IF($D748="정상",INDEX(임대자산!$D$3:$R$3000,MATCH($F748,임대자산!$I$3:$I$3000,0),MATCH(L$4,임대자산!$D$3:$R$3,0)),
IF($D748="폐업",INDEX(폐업정보!$D$3:$R$3000,MATCH($F748,폐업정보!$I$3:$I$3000,0),MATCH(L$4,폐업정보!$D$3:$R$3,0)),
"Error"))</f>
        <v>D0743</v>
      </c>
      <c r="M748" s="76" t="s">
        <v>96</v>
      </c>
      <c r="N748" s="77"/>
      <c r="O748" s="78" t="s">
        <v>97</v>
      </c>
      <c r="P748" s="79" t="n">
        <f aca="false">COUNTIFS(임대자산!$I:$I,가맹점정보!F748,임대자산!$N:$N,가맹점정보!P$4)</f>
        <v>0</v>
      </c>
      <c r="Q748" s="80" t="n">
        <f aca="false">COUNTIFS(임대자산!$I:$I,가맹점정보!F748,임대자산!$N:$N,가맹점정보!Q$4)</f>
        <v>1</v>
      </c>
      <c r="R748" s="81" t="n">
        <f aca="false">COUNTIFS(임대자산!$I:$I,가맹점정보!F748,임대자산!$N:$N,가맹점정보!R$4)</f>
        <v>0</v>
      </c>
      <c r="S748" s="82" t="n">
        <v>55000</v>
      </c>
      <c r="T748" s="83" t="n">
        <v>0</v>
      </c>
      <c r="U748" s="80" t="n">
        <f aca="false">SUM(S748:T748)</f>
        <v>55000</v>
      </c>
      <c r="V748" s="84" t="s">
        <v>7</v>
      </c>
      <c r="W748" s="80" t="str">
        <f aca="true">
IF(D748="폐업","폐업",
IF(V748="면제","면제",
IF(AND(V748="정상",COUNTIFS(OFFSET(Y748,0,COUNTA(Y748:AV748)-1,1,-4),"미납")&gt;=3),"장기미납",
IF(AND(V748="정상",OFFSET(Y748,0,COUNTA(Y748:AV748)-1)&gt;=U748),"정상",
IF(AND(V748="정상",OFFSET(Y748,0,COUNTA(Y748:AV748)-1)=0),"정상",
"계약서 미작성")))))</f>
        <v>면제</v>
      </c>
      <c r="X748" s="81" t="str">
        <f aca="true">
IF(D748="폐업","폐업",
IF(AND(V748="정상",OFFSET(Y748,0,COUNTA(Y748:AV748)-1)="미납"),"미납",
IF(AND(V748="정상",OFFSET(Y748,0,COUNTA(Y748:AV748)-1)=0),"납부 시작 전",
IF(AND(V748="정상",OFFSET(Y748,0,COUNTA(Y748:AV748)-1)&gt;=U748),"정상",
IF(AND(V748="면제",OFFSET(Y748,0,COUNTA(Y748:AV748)-1)="면제"),"면제",
IF(AND(V748="면제",OFFSET(Y748,0,COUNTA(Y748:AV748)-1)=0),"면제",
"확인요청"))))))</f>
        <v>면제</v>
      </c>
      <c r="Y748" s="94" t="s">
        <v>7</v>
      </c>
      <c r="Z748" s="95" t="s">
        <v>7</v>
      </c>
      <c r="AA748" s="95" t="s">
        <v>7</v>
      </c>
      <c r="AB748" s="95" t="s">
        <v>7</v>
      </c>
      <c r="AC748" s="95" t="s">
        <v>7</v>
      </c>
      <c r="AD748" s="95" t="s">
        <v>7</v>
      </c>
      <c r="AE748" s="95" t="s">
        <v>7</v>
      </c>
      <c r="AF748" s="95" t="s">
        <v>7</v>
      </c>
      <c r="AG748" s="95" t="s">
        <v>7</v>
      </c>
      <c r="AH748" s="95" t="s">
        <v>7</v>
      </c>
      <c r="AI748" s="95" t="s">
        <v>7</v>
      </c>
      <c r="AJ748" s="96" t="s">
        <v>7</v>
      </c>
      <c r="AK748" s="97" t="s">
        <v>7</v>
      </c>
      <c r="AL748" s="95" t="s">
        <v>7</v>
      </c>
      <c r="AM748" s="90"/>
      <c r="AN748" s="90"/>
      <c r="AO748" s="90"/>
      <c r="AP748" s="90"/>
      <c r="AQ748" s="90"/>
      <c r="AR748" s="90"/>
      <c r="AS748" s="90"/>
      <c r="AT748" s="90"/>
      <c r="AU748" s="90"/>
      <c r="AV748" s="91"/>
      <c r="AX748" s="92"/>
    </row>
    <row r="749" customFormat="false" ht="15.65" hidden="false" customHeight="false" outlineLevel="0" collapsed="false">
      <c r="C749" s="72" t="n">
        <f aca="false">COUNTIFS($D$6:D749,"&lt;&gt;"&amp;"")</f>
        <v>744</v>
      </c>
      <c r="D749" s="73" t="s">
        <v>12</v>
      </c>
      <c r="E749" s="76" t="str">
        <f aca="false">
IF($D749="정상",INDEX(임대자산!$D$3:$R$3000,MATCH($F749,임대자산!$I$3:$I$3000,0),MATCH(E$3,임대자산!$D$3:$R$3,0)),
IF($D749="폐업",INDEX(폐업정보!$D$3:$R$3000,MATCH($F749,폐업정보!$I$3:$I$3000,0),MATCH(E$3,폐업정보!$D$3:$R$3,0)),
"Error"))</f>
        <v>강원</v>
      </c>
      <c r="F74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B0744</v>
      </c>
      <c r="G749" s="76" t="str">
        <f aca="false">F749&amp;RANDBETWEEN(0,10)</f>
        <v>B07448</v>
      </c>
      <c r="H749" s="75" t="n">
        <f aca="false">
IF($D749="정상",INDEX(임대자산!$D$3:$R$3000,MATCH($F749,임대자산!$I$3:$I$3000,0),MATCH(H$4,임대자산!$D$3:$R$3,0)),
IF($D749="폐업",INDEX(폐업정보!$D$3:$R$3000,MATCH($F749,폐업정보!$I$3:$I$3000,0),MATCH(H$4,폐업정보!$D$3:$R$3,0)),
"Error"))</f>
        <v>45243</v>
      </c>
      <c r="I749" s="75" t="str">
        <f aca="false">
IF($D749="정상",INDEX(임대자산!$D$3:$R$3000,MATCH($F749,임대자산!$I$3:$I$3000,0),MATCH(I$4,임대자산!$D$3:$R$3,0)),
IF($D749="폐업",INDEX(폐업정보!$D$3:$R$3000,MATCH($F749,폐업정보!$I$3:$I$3000,0),MATCH(I$4,폐업정보!$D$3:$R$3,0)),
"Error"))</f>
        <v>A0744</v>
      </c>
      <c r="J749" s="75" t="str">
        <f aca="false">
IF($D749="정상",INDEX(임대자산!$D$3:$R$3000,MATCH($F749,임대자산!$I$3:$I$3000,0),MATCH(J$4,임대자산!$D$3:$R$3,0)),
IF($D749="폐업",INDEX(폐업정보!$D$3:$R$3000,MATCH($F749,폐업정보!$I$3:$I$3000,0),MATCH(J$4,폐업정보!$D$3:$R$3,0)),
"Error"))</f>
        <v>8716500000</v>
      </c>
      <c r="K749" s="75" t="str">
        <f aca="false">
IF($D749="정상",INDEX(임대자산!$D$3:$R$3000,MATCH($F749,임대자산!$I$3:$I$3000,0),MATCH(K$4,임대자산!$D$3:$R$3,0)),
IF($D749="폐업",INDEX(폐업정보!$D$3:$R$3000,MATCH($F749,폐업정보!$I$3:$I$3000,0),MATCH(K$4,폐업정보!$D$3:$R$3,0)),
"Error"))</f>
        <v>C0744</v>
      </c>
      <c r="L749" s="75" t="str">
        <f aca="false">
IF($D749="정상",INDEX(임대자산!$D$3:$R$3000,MATCH($F749,임대자산!$I$3:$I$3000,0),MATCH(L$4,임대자산!$D$3:$R$3,0)),
IF($D749="폐업",INDEX(폐업정보!$D$3:$R$3000,MATCH($F749,폐업정보!$I$3:$I$3000,0),MATCH(L$4,폐업정보!$D$3:$R$3,0)),
"Error"))</f>
        <v>D0744</v>
      </c>
      <c r="M749" s="76" t="s">
        <v>96</v>
      </c>
      <c r="N749" s="77"/>
      <c r="O749" s="78" t="s">
        <v>97</v>
      </c>
      <c r="P749" s="79" t="n">
        <f aca="false">COUNTIFS(임대자산!$I:$I,가맹점정보!F749,임대자산!$N:$N,가맹점정보!P$4)</f>
        <v>0</v>
      </c>
      <c r="Q749" s="80" t="n">
        <f aca="false">COUNTIFS(임대자산!$I:$I,가맹점정보!F749,임대자산!$N:$N,가맹점정보!Q$4)</f>
        <v>1</v>
      </c>
      <c r="R749" s="81" t="n">
        <f aca="false">COUNTIFS(임대자산!$I:$I,가맹점정보!F749,임대자산!$N:$N,가맹점정보!R$4)</f>
        <v>0</v>
      </c>
      <c r="S749" s="82" t="n">
        <v>55000</v>
      </c>
      <c r="T749" s="83" t="n">
        <v>0</v>
      </c>
      <c r="U749" s="80" t="n">
        <f aca="false">SUM(S749:T749)</f>
        <v>55000</v>
      </c>
      <c r="V749" s="84" t="s">
        <v>12</v>
      </c>
      <c r="W749" s="80" t="e">
        <f aca="true">
IF(D749="폐업","폐업",
IF(V749="면제","면제",
IF(AND(V749="정상",COUNTIFS(OFFSET(Y749,0,COUNTA(Y749:AV749)-1,1,-4),"미납")&gt;=3),"장기미납",
IF(AND(V749="정상",OFFSET(Y749,0,COUNTA(Y749:AV749)-1)&gt;=U749),"정상",
IF(AND(V749="정상",OFFSET(Y749,0,COUNTA(Y749:AV749)-1)=0),"정상",
"계약서 미작성")))))</f>
        <v>#VALUE!</v>
      </c>
      <c r="X749" s="81" t="str">
        <f aca="true">
IF(D749="폐업","폐업",
IF(AND(V749="정상",OFFSET(Y749,0,COUNTA(Y749:AV749)-1)="미납"),"미납",
IF(AND(V749="정상",OFFSET(Y749,0,COUNTA(Y749:AV749)-1)=0),"납부 시작 전",
IF(AND(V749="정상",OFFSET(Y749,0,COUNTA(Y749:AV749)-1)&gt;=U749),"정상",
IF(AND(V749="면제",OFFSET(Y749,0,COUNTA(Y749:AV749)-1)="면제"),"면제",
IF(AND(V749="면제",OFFSET(Y749,0,COUNTA(Y749:AV749)-1)=0),"면제",
"확인요청"))))))</f>
        <v>정상</v>
      </c>
      <c r="Y749" s="93" t="n">
        <v>55000</v>
      </c>
      <c r="Z749" s="90" t="n">
        <v>55000</v>
      </c>
      <c r="AA749" s="90" t="n">
        <v>55000</v>
      </c>
      <c r="AB749" s="90" t="n">
        <v>55000</v>
      </c>
      <c r="AC749" s="90" t="n">
        <v>55000</v>
      </c>
      <c r="AD749" s="90" t="n">
        <v>55000</v>
      </c>
      <c r="AE749" s="90" t="n">
        <v>55000</v>
      </c>
      <c r="AF749" s="90" t="n">
        <v>55000</v>
      </c>
      <c r="AG749" s="90" t="n">
        <v>55000</v>
      </c>
      <c r="AH749" s="90" t="n">
        <v>55000</v>
      </c>
      <c r="AI749" s="90" t="n">
        <v>55000</v>
      </c>
      <c r="AJ749" s="91" t="n">
        <v>55000</v>
      </c>
      <c r="AK749" s="89" t="n">
        <v>55000</v>
      </c>
      <c r="AL749" s="90" t="n">
        <v>55000</v>
      </c>
      <c r="AM749" s="90"/>
      <c r="AN749" s="90"/>
      <c r="AO749" s="90"/>
      <c r="AP749" s="90"/>
      <c r="AQ749" s="90"/>
      <c r="AR749" s="90"/>
      <c r="AS749" s="90"/>
      <c r="AT749" s="90"/>
      <c r="AU749" s="90"/>
      <c r="AV749" s="91"/>
      <c r="AX749" s="92"/>
    </row>
    <row r="750" customFormat="false" ht="15.65" hidden="false" customHeight="false" outlineLevel="0" collapsed="false">
      <c r="C750" s="72" t="n">
        <f aca="false">COUNTIFS($D$6:D750,"&lt;&gt;"&amp;"")</f>
        <v>745</v>
      </c>
      <c r="D750" s="73" t="s">
        <v>12</v>
      </c>
      <c r="E750" s="76" t="str">
        <f aca="false">
IF($D750="정상",INDEX(임대자산!$D$3:$R$3000,MATCH($F750,임대자산!$I$3:$I$3000,0),MATCH(E$3,임대자산!$D$3:$R$3,0)),
IF($D750="폐업",INDEX(폐업정보!$D$3:$R$3000,MATCH($F750,폐업정보!$I$3:$I$3000,0),MATCH(E$3,폐업정보!$D$3:$R$3,0)),
"Error"))</f>
        <v>서울</v>
      </c>
      <c r="F75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B0745</v>
      </c>
      <c r="G750" s="76" t="str">
        <f aca="false">F750&amp;RANDBETWEEN(0,10)</f>
        <v>B07450</v>
      </c>
      <c r="H750" s="75" t="n">
        <f aca="false">
IF($D750="정상",INDEX(임대자산!$D$3:$R$3000,MATCH($F750,임대자산!$I$3:$I$3000,0),MATCH(H$4,임대자산!$D$3:$R$3,0)),
IF($D750="폐업",INDEX(폐업정보!$D$3:$R$3000,MATCH($F750,폐업정보!$I$3:$I$3000,0),MATCH(H$4,폐업정보!$D$3:$R$3,0)),
"Error"))</f>
        <v>45246</v>
      </c>
      <c r="I750" s="75" t="str">
        <f aca="false">
IF($D750="정상",INDEX(임대자산!$D$3:$R$3000,MATCH($F750,임대자산!$I$3:$I$3000,0),MATCH(I$4,임대자산!$D$3:$R$3,0)),
IF($D750="폐업",INDEX(폐업정보!$D$3:$R$3000,MATCH($F750,폐업정보!$I$3:$I$3000,0),MATCH(I$4,폐업정보!$D$3:$R$3,0)),
"Error"))</f>
        <v>A0745</v>
      </c>
      <c r="J750" s="75" t="str">
        <f aca="false">
IF($D750="정상",INDEX(임대자산!$D$3:$R$3000,MATCH($F750,임대자산!$I$3:$I$3000,0),MATCH(J$4,임대자산!$D$3:$R$3,0)),
IF($D750="폐업",INDEX(폐업정보!$D$3:$R$3000,MATCH($F750,폐업정보!$I$3:$I$3000,0),MATCH(J$4,폐업정보!$D$3:$R$3,0)),
"Error"))</f>
        <v>8357200000</v>
      </c>
      <c r="K750" s="75" t="str">
        <f aca="false">
IF($D750="정상",INDEX(임대자산!$D$3:$R$3000,MATCH($F750,임대자산!$I$3:$I$3000,0),MATCH(K$4,임대자산!$D$3:$R$3,0)),
IF($D750="폐업",INDEX(폐업정보!$D$3:$R$3000,MATCH($F750,폐업정보!$I$3:$I$3000,0),MATCH(K$4,폐업정보!$D$3:$R$3,0)),
"Error"))</f>
        <v>C0745</v>
      </c>
      <c r="L750" s="75" t="str">
        <f aca="false">
IF($D750="정상",INDEX(임대자산!$D$3:$R$3000,MATCH($F750,임대자산!$I$3:$I$3000,0),MATCH(L$4,임대자산!$D$3:$R$3,0)),
IF($D750="폐업",INDEX(폐업정보!$D$3:$R$3000,MATCH($F750,폐업정보!$I$3:$I$3000,0),MATCH(L$4,폐업정보!$D$3:$R$3,0)),
"Error"))</f>
        <v>D0745</v>
      </c>
      <c r="M750" s="76" t="s">
        <v>96</v>
      </c>
      <c r="N750" s="77"/>
      <c r="O750" s="78" t="s">
        <v>97</v>
      </c>
      <c r="P750" s="79" t="n">
        <f aca="false">COUNTIFS(임대자산!$I:$I,가맹점정보!F750,임대자산!$N:$N,가맹점정보!P$4)</f>
        <v>0</v>
      </c>
      <c r="Q750" s="80" t="n">
        <f aca="false">COUNTIFS(임대자산!$I:$I,가맹점정보!F750,임대자산!$N:$N,가맹점정보!Q$4)</f>
        <v>1</v>
      </c>
      <c r="R750" s="81" t="n">
        <f aca="false">COUNTIFS(임대자산!$I:$I,가맹점정보!F750,임대자산!$N:$N,가맹점정보!R$4)</f>
        <v>0</v>
      </c>
      <c r="S750" s="82" t="n">
        <v>55000</v>
      </c>
      <c r="T750" s="83" t="n">
        <v>0</v>
      </c>
      <c r="U750" s="80" t="n">
        <f aca="false">SUM(S750:T750)</f>
        <v>55000</v>
      </c>
      <c r="V750" s="84" t="s">
        <v>12</v>
      </c>
      <c r="W750" s="80" t="e">
        <f aca="true">
IF(D750="폐업","폐업",
IF(V750="면제","면제",
IF(AND(V750="정상",COUNTIFS(OFFSET(Y750,0,COUNTA(Y750:AV750)-1,1,-4),"미납")&gt;=3),"장기미납",
IF(AND(V750="정상",OFFSET(Y750,0,COUNTA(Y750:AV750)-1)&gt;=U750),"정상",
IF(AND(V750="정상",OFFSET(Y750,0,COUNTA(Y750:AV750)-1)=0),"정상",
"계약서 미작성")))))</f>
        <v>#VALUE!</v>
      </c>
      <c r="X750" s="81" t="str">
        <f aca="true">
IF(D750="폐업","폐업",
IF(AND(V750="정상",OFFSET(Y750,0,COUNTA(Y750:AV750)-1)="미납"),"미납",
IF(AND(V750="정상",OFFSET(Y750,0,COUNTA(Y750:AV750)-1)=0),"납부 시작 전",
IF(AND(V750="정상",OFFSET(Y750,0,COUNTA(Y750:AV750)-1)&gt;=U750),"정상",
IF(AND(V750="면제",OFFSET(Y750,0,COUNTA(Y750:AV750)-1)="면제"),"면제",
IF(AND(V750="면제",OFFSET(Y750,0,COUNTA(Y750:AV750)-1)=0),"면제",
"확인요청"))))))</f>
        <v>정상</v>
      </c>
      <c r="Y750" s="93" t="n">
        <v>55000</v>
      </c>
      <c r="Z750" s="90" t="n">
        <v>55000</v>
      </c>
      <c r="AA750" s="90" t="n">
        <v>55000</v>
      </c>
      <c r="AB750" s="90" t="n">
        <v>55000</v>
      </c>
      <c r="AC750" s="90" t="n">
        <v>55000</v>
      </c>
      <c r="AD750" s="90" t="n">
        <v>55000</v>
      </c>
      <c r="AE750" s="90" t="n">
        <v>55000</v>
      </c>
      <c r="AF750" s="90" t="n">
        <v>55000</v>
      </c>
      <c r="AG750" s="90" t="n">
        <v>55000</v>
      </c>
      <c r="AH750" s="90" t="n">
        <v>55000</v>
      </c>
      <c r="AI750" s="90" t="n">
        <v>55000</v>
      </c>
      <c r="AJ750" s="91" t="n">
        <v>55000</v>
      </c>
      <c r="AK750" s="89" t="n">
        <v>55000</v>
      </c>
      <c r="AL750" s="90" t="n">
        <v>55000</v>
      </c>
      <c r="AM750" s="90"/>
      <c r="AN750" s="90"/>
      <c r="AO750" s="90"/>
      <c r="AP750" s="90"/>
      <c r="AQ750" s="90"/>
      <c r="AR750" s="90"/>
      <c r="AS750" s="90"/>
      <c r="AT750" s="90"/>
      <c r="AU750" s="90"/>
      <c r="AV750" s="91"/>
      <c r="AX750" s="92"/>
    </row>
    <row r="751" customFormat="false" ht="15.65" hidden="false" customHeight="false" outlineLevel="0" collapsed="false">
      <c r="C751" s="72" t="n">
        <f aca="false">COUNTIFS($D$6:D751,"&lt;&gt;"&amp;"")</f>
        <v>746</v>
      </c>
      <c r="D751" s="73" t="s">
        <v>12</v>
      </c>
      <c r="E751" s="76" t="str">
        <f aca="false">
IF($D751="정상",INDEX(임대자산!$D$3:$R$3000,MATCH($F751,임대자산!$I$3:$I$3000,0),MATCH(E$3,임대자산!$D$3:$R$3,0)),
IF($D751="폐업",INDEX(폐업정보!$D$3:$R$3000,MATCH($F751,폐업정보!$I$3:$I$3000,0),MATCH(E$3,폐업정보!$D$3:$R$3,0)),
"Error"))</f>
        <v>서울</v>
      </c>
      <c r="F75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B0746</v>
      </c>
      <c r="G751" s="76" t="str">
        <f aca="false">F751&amp;RANDBETWEEN(0,10)</f>
        <v>B074610</v>
      </c>
      <c r="H751" s="75" t="n">
        <f aca="false">
IF($D751="정상",INDEX(임대자산!$D$3:$R$3000,MATCH($F751,임대자산!$I$3:$I$3000,0),MATCH(H$4,임대자산!$D$3:$R$3,0)),
IF($D751="폐업",INDEX(폐업정보!$D$3:$R$3000,MATCH($F751,폐업정보!$I$3:$I$3000,0),MATCH(H$4,폐업정보!$D$3:$R$3,0)),
"Error"))</f>
        <v>45222</v>
      </c>
      <c r="I751" s="75" t="str">
        <f aca="false">
IF($D751="정상",INDEX(임대자산!$D$3:$R$3000,MATCH($F751,임대자산!$I$3:$I$3000,0),MATCH(I$4,임대자산!$D$3:$R$3,0)),
IF($D751="폐업",INDEX(폐업정보!$D$3:$R$3000,MATCH($F751,폐업정보!$I$3:$I$3000,0),MATCH(I$4,폐업정보!$D$3:$R$3,0)),
"Error"))</f>
        <v>A0746</v>
      </c>
      <c r="J751" s="75" t="str">
        <f aca="false">
IF($D751="정상",INDEX(임대자산!$D$3:$R$3000,MATCH($F751,임대자산!$I$3:$I$3000,0),MATCH(J$4,임대자산!$D$3:$R$3,0)),
IF($D751="폐업",INDEX(폐업정보!$D$3:$R$3000,MATCH($F751,폐업정보!$I$3:$I$3000,0),MATCH(J$4,폐업정보!$D$3:$R$3,0)),
"Error"))</f>
        <v>2196100000</v>
      </c>
      <c r="K751" s="75" t="str">
        <f aca="false">
IF($D751="정상",INDEX(임대자산!$D$3:$R$3000,MATCH($F751,임대자산!$I$3:$I$3000,0),MATCH(K$4,임대자산!$D$3:$R$3,0)),
IF($D751="폐업",INDEX(폐업정보!$D$3:$R$3000,MATCH($F751,폐업정보!$I$3:$I$3000,0),MATCH(K$4,폐업정보!$D$3:$R$3,0)),
"Error"))</f>
        <v>C0746</v>
      </c>
      <c r="L751" s="75" t="str">
        <f aca="false">
IF($D751="정상",INDEX(임대자산!$D$3:$R$3000,MATCH($F751,임대자산!$I$3:$I$3000,0),MATCH(L$4,임대자산!$D$3:$R$3,0)),
IF($D751="폐업",INDEX(폐업정보!$D$3:$R$3000,MATCH($F751,폐업정보!$I$3:$I$3000,0),MATCH(L$4,폐업정보!$D$3:$R$3,0)),
"Error"))</f>
        <v>D0746</v>
      </c>
      <c r="M751" s="76" t="s">
        <v>96</v>
      </c>
      <c r="N751" s="77"/>
      <c r="O751" s="78" t="s">
        <v>97</v>
      </c>
      <c r="P751" s="79" t="n">
        <f aca="false">COUNTIFS(임대자산!$I:$I,가맹점정보!F751,임대자산!$N:$N,가맹점정보!P$4)</f>
        <v>0</v>
      </c>
      <c r="Q751" s="80" t="n">
        <f aca="false">COUNTIFS(임대자산!$I:$I,가맹점정보!F751,임대자산!$N:$N,가맹점정보!Q$4)</f>
        <v>1</v>
      </c>
      <c r="R751" s="81" t="n">
        <f aca="false">COUNTIFS(임대자산!$I:$I,가맹점정보!F751,임대자산!$N:$N,가맹점정보!R$4)</f>
        <v>0</v>
      </c>
      <c r="S751" s="82" t="n">
        <v>88000</v>
      </c>
      <c r="T751" s="83" t="n">
        <v>0</v>
      </c>
      <c r="U751" s="80" t="n">
        <f aca="false">SUM(S751:T751)</f>
        <v>88000</v>
      </c>
      <c r="V751" s="84" t="s">
        <v>12</v>
      </c>
      <c r="W751" s="80" t="e">
        <f aca="true">
IF(D751="폐업","폐업",
IF(V751="면제","면제",
IF(AND(V751="정상",COUNTIFS(OFFSET(Y751,0,COUNTA(Y751:AV751)-1,1,-4),"미납")&gt;=3),"장기미납",
IF(AND(V751="정상",OFFSET(Y751,0,COUNTA(Y751:AV751)-1)&gt;=U751),"정상",
IF(AND(V751="정상",OFFSET(Y751,0,COUNTA(Y751:AV751)-1)=0),"정상",
"계약서 미작성")))))</f>
        <v>#VALUE!</v>
      </c>
      <c r="X751" s="81" t="str">
        <f aca="true">
IF(D751="폐업","폐업",
IF(AND(V751="정상",OFFSET(Y751,0,COUNTA(Y751:AV751)-1)="미납"),"미납",
IF(AND(V751="정상",OFFSET(Y751,0,COUNTA(Y751:AV751)-1)=0),"납부 시작 전",
IF(AND(V751="정상",OFFSET(Y751,0,COUNTA(Y751:AV751)-1)&gt;=U751),"정상",
IF(AND(V751="면제",OFFSET(Y751,0,COUNTA(Y751:AV751)-1)="면제"),"면제",
IF(AND(V751="면제",OFFSET(Y751,0,COUNTA(Y751:AV751)-1)=0),"면제",
"확인요청"))))))</f>
        <v>정상</v>
      </c>
      <c r="Y751" s="93" t="n">
        <v>88000</v>
      </c>
      <c r="Z751" s="90" t="n">
        <v>88000</v>
      </c>
      <c r="AA751" s="90" t="n">
        <v>88000</v>
      </c>
      <c r="AB751" s="90" t="n">
        <v>88000</v>
      </c>
      <c r="AC751" s="90" t="n">
        <v>88000</v>
      </c>
      <c r="AD751" s="90" t="n">
        <v>88000</v>
      </c>
      <c r="AE751" s="90" t="n">
        <v>88000</v>
      </c>
      <c r="AF751" s="90" t="n">
        <v>88000</v>
      </c>
      <c r="AG751" s="90" t="n">
        <v>88000</v>
      </c>
      <c r="AH751" s="90" t="n">
        <v>88000</v>
      </c>
      <c r="AI751" s="90" t="n">
        <v>88000</v>
      </c>
      <c r="AJ751" s="91" t="n">
        <v>88000</v>
      </c>
      <c r="AK751" s="89" t="n">
        <v>88000</v>
      </c>
      <c r="AL751" s="90" t="n">
        <v>88000</v>
      </c>
      <c r="AM751" s="90"/>
      <c r="AN751" s="90"/>
      <c r="AO751" s="90"/>
      <c r="AP751" s="90"/>
      <c r="AQ751" s="90"/>
      <c r="AR751" s="90"/>
      <c r="AS751" s="90"/>
      <c r="AT751" s="90"/>
      <c r="AU751" s="90"/>
      <c r="AV751" s="91"/>
      <c r="AX751" s="92"/>
    </row>
    <row r="752" customFormat="false" ht="15.65" hidden="false" customHeight="false" outlineLevel="0" collapsed="false">
      <c r="C752" s="72" t="n">
        <f aca="false">COUNTIFS($D$6:D752,"&lt;&gt;"&amp;"")</f>
        <v>747</v>
      </c>
      <c r="D752" s="73" t="s">
        <v>12</v>
      </c>
      <c r="E752" s="76" t="str">
        <f aca="false">
IF($D752="정상",INDEX(임대자산!$D$3:$R$3000,MATCH($F752,임대자산!$I$3:$I$3000,0),MATCH(E$3,임대자산!$D$3:$R$3,0)),
IF($D752="폐업",INDEX(폐업정보!$D$3:$R$3000,MATCH($F752,폐업정보!$I$3:$I$3000,0),MATCH(E$3,폐업정보!$D$3:$R$3,0)),
"Error"))</f>
        <v>서울</v>
      </c>
      <c r="F75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B0747</v>
      </c>
      <c r="G752" s="76" t="str">
        <f aca="false">F752&amp;RANDBETWEEN(0,10)</f>
        <v>B07475</v>
      </c>
      <c r="H752" s="75" t="n">
        <f aca="false">
IF($D752="정상",INDEX(임대자산!$D$3:$R$3000,MATCH($F752,임대자산!$I$3:$I$3000,0),MATCH(H$4,임대자산!$D$3:$R$3,0)),
IF($D752="폐업",INDEX(폐업정보!$D$3:$R$3000,MATCH($F752,폐업정보!$I$3:$I$3000,0),MATCH(H$4,폐업정보!$D$3:$R$3,0)),
"Error"))</f>
        <v>45229</v>
      </c>
      <c r="I752" s="75" t="str">
        <f aca="false">
IF($D752="정상",INDEX(임대자산!$D$3:$R$3000,MATCH($F752,임대자산!$I$3:$I$3000,0),MATCH(I$4,임대자산!$D$3:$R$3,0)),
IF($D752="폐업",INDEX(폐업정보!$D$3:$R$3000,MATCH($F752,폐업정보!$I$3:$I$3000,0),MATCH(I$4,폐업정보!$D$3:$R$3,0)),
"Error"))</f>
        <v>A0747</v>
      </c>
      <c r="J752" s="75" t="str">
        <f aca="false">
IF($D752="정상",INDEX(임대자산!$D$3:$R$3000,MATCH($F752,임대자산!$I$3:$I$3000,0),MATCH(J$4,임대자산!$D$3:$R$3,0)),
IF($D752="폐업",INDEX(폐업정보!$D$3:$R$3000,MATCH($F752,폐업정보!$I$3:$I$3000,0),MATCH(J$4,폐업정보!$D$3:$R$3,0)),
"Error"))</f>
        <v>3178000000</v>
      </c>
      <c r="K752" s="75" t="str">
        <f aca="false">
IF($D752="정상",INDEX(임대자산!$D$3:$R$3000,MATCH($F752,임대자산!$I$3:$I$3000,0),MATCH(K$4,임대자산!$D$3:$R$3,0)),
IF($D752="폐업",INDEX(폐업정보!$D$3:$R$3000,MATCH($F752,폐업정보!$I$3:$I$3000,0),MATCH(K$4,폐업정보!$D$3:$R$3,0)),
"Error"))</f>
        <v>C0747</v>
      </c>
      <c r="L752" s="75" t="str">
        <f aca="false">
IF($D752="정상",INDEX(임대자산!$D$3:$R$3000,MATCH($F752,임대자산!$I$3:$I$3000,0),MATCH(L$4,임대자산!$D$3:$R$3,0)),
IF($D752="폐업",INDEX(폐업정보!$D$3:$R$3000,MATCH($F752,폐업정보!$I$3:$I$3000,0),MATCH(L$4,폐업정보!$D$3:$R$3,0)),
"Error"))</f>
        <v>D0747</v>
      </c>
      <c r="M752" s="76" t="s">
        <v>96</v>
      </c>
      <c r="N752" s="77"/>
      <c r="O752" s="78" t="s">
        <v>97</v>
      </c>
      <c r="P752" s="79" t="n">
        <f aca="false">COUNTIFS(임대자산!$I:$I,가맹점정보!F752,임대자산!$N:$N,가맹점정보!P$4)</f>
        <v>0</v>
      </c>
      <c r="Q752" s="80" t="n">
        <f aca="false">COUNTIFS(임대자산!$I:$I,가맹점정보!F752,임대자산!$N:$N,가맹점정보!Q$4)</f>
        <v>1</v>
      </c>
      <c r="R752" s="81" t="n">
        <f aca="false">COUNTIFS(임대자산!$I:$I,가맹점정보!F752,임대자산!$N:$N,가맹점정보!R$4)</f>
        <v>0</v>
      </c>
      <c r="S752" s="82" t="n">
        <v>88000</v>
      </c>
      <c r="T752" s="83" t="n">
        <v>0</v>
      </c>
      <c r="U752" s="80" t="n">
        <f aca="false">SUM(S752:T752)</f>
        <v>88000</v>
      </c>
      <c r="V752" s="84" t="s">
        <v>7</v>
      </c>
      <c r="W752" s="80" t="str">
        <f aca="true">
IF(D752="폐업","폐업",
IF(V752="면제","면제",
IF(AND(V752="정상",COUNTIFS(OFFSET(Y752,0,COUNTA(Y752:AV752)-1,1,-4),"미납")&gt;=3),"장기미납",
IF(AND(V752="정상",OFFSET(Y752,0,COUNTA(Y752:AV752)-1)&gt;=U752),"정상",
IF(AND(V752="정상",OFFSET(Y752,0,COUNTA(Y752:AV752)-1)=0),"정상",
"계약서 미작성")))))</f>
        <v>면제</v>
      </c>
      <c r="X752" s="81" t="str">
        <f aca="true">
IF(D752="폐업","폐업",
IF(AND(V752="정상",OFFSET(Y752,0,COUNTA(Y752:AV752)-1)="미납"),"미납",
IF(AND(V752="정상",OFFSET(Y752,0,COUNTA(Y752:AV752)-1)=0),"납부 시작 전",
IF(AND(V752="정상",OFFSET(Y752,0,COUNTA(Y752:AV752)-1)&gt;=U752),"정상",
IF(AND(V752="면제",OFFSET(Y752,0,COUNTA(Y752:AV752)-1)="면제"),"면제",
IF(AND(V752="면제",OFFSET(Y752,0,COUNTA(Y752:AV752)-1)=0),"면제",
"확인요청"))))))</f>
        <v>면제</v>
      </c>
      <c r="Y752" s="94" t="s">
        <v>7</v>
      </c>
      <c r="Z752" s="95" t="s">
        <v>7</v>
      </c>
      <c r="AA752" s="95" t="s">
        <v>7</v>
      </c>
      <c r="AB752" s="95" t="s">
        <v>7</v>
      </c>
      <c r="AC752" s="95" t="s">
        <v>7</v>
      </c>
      <c r="AD752" s="95" t="s">
        <v>7</v>
      </c>
      <c r="AE752" s="95" t="s">
        <v>7</v>
      </c>
      <c r="AF752" s="95" t="s">
        <v>7</v>
      </c>
      <c r="AG752" s="95" t="s">
        <v>7</v>
      </c>
      <c r="AH752" s="95" t="s">
        <v>7</v>
      </c>
      <c r="AI752" s="95" t="s">
        <v>7</v>
      </c>
      <c r="AJ752" s="96" t="s">
        <v>7</v>
      </c>
      <c r="AK752" s="97" t="s">
        <v>7</v>
      </c>
      <c r="AL752" s="95" t="s">
        <v>7</v>
      </c>
      <c r="AM752" s="90"/>
      <c r="AN752" s="90"/>
      <c r="AO752" s="90"/>
      <c r="AP752" s="90"/>
      <c r="AQ752" s="90"/>
      <c r="AR752" s="90"/>
      <c r="AS752" s="90"/>
      <c r="AT752" s="90"/>
      <c r="AU752" s="90"/>
      <c r="AV752" s="91"/>
      <c r="AX752" s="92"/>
    </row>
    <row r="753" customFormat="false" ht="15.65" hidden="false" customHeight="false" outlineLevel="0" collapsed="false">
      <c r="C753" s="72" t="n">
        <f aca="false">COUNTIFS($D$6:D753,"&lt;&gt;"&amp;"")</f>
        <v>748</v>
      </c>
      <c r="D753" s="73" t="s">
        <v>12</v>
      </c>
      <c r="E753" s="76" t="str">
        <f aca="false">
IF($D753="정상",INDEX(임대자산!$D$3:$R$3000,MATCH($F753,임대자산!$I$3:$I$3000,0),MATCH(E$3,임대자산!$D$3:$R$3,0)),
IF($D753="폐업",INDEX(폐업정보!$D$3:$R$3000,MATCH($F753,폐업정보!$I$3:$I$3000,0),MATCH(E$3,폐업정보!$D$3:$R$3,0)),
"Error"))</f>
        <v>강원</v>
      </c>
      <c r="F75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B0748</v>
      </c>
      <c r="G753" s="76" t="str">
        <f aca="false">F753&amp;RANDBETWEEN(0,10)</f>
        <v>B074810</v>
      </c>
      <c r="H753" s="75" t="n">
        <f aca="false">
IF($D753="정상",INDEX(임대자산!$D$3:$R$3000,MATCH($F753,임대자산!$I$3:$I$3000,0),MATCH(H$4,임대자산!$D$3:$R$3,0)),
IF($D753="폐업",INDEX(폐업정보!$D$3:$R$3000,MATCH($F753,폐업정보!$I$3:$I$3000,0),MATCH(H$4,폐업정보!$D$3:$R$3,0)),
"Error"))</f>
        <v>45827</v>
      </c>
      <c r="I753" s="75" t="str">
        <f aca="false">
IF($D753="정상",INDEX(임대자산!$D$3:$R$3000,MATCH($F753,임대자산!$I$3:$I$3000,0),MATCH(I$4,임대자산!$D$3:$R$3,0)),
IF($D753="폐업",INDEX(폐업정보!$D$3:$R$3000,MATCH($F753,폐업정보!$I$3:$I$3000,0),MATCH(I$4,폐업정보!$D$3:$R$3,0)),
"Error"))</f>
        <v>A0748</v>
      </c>
      <c r="J753" s="75" t="str">
        <f aca="false">
IF($D753="정상",INDEX(임대자산!$D$3:$R$3000,MATCH($F753,임대자산!$I$3:$I$3000,0),MATCH(J$4,임대자산!$D$3:$R$3,0)),
IF($D753="폐업",INDEX(폐업정보!$D$3:$R$3000,MATCH($F753,폐업정보!$I$3:$I$3000,0),MATCH(J$4,폐업정보!$D$3:$R$3,0)),
"Error"))</f>
        <v>6440700000</v>
      </c>
      <c r="K753" s="75" t="str">
        <f aca="false">
IF($D753="정상",INDEX(임대자산!$D$3:$R$3000,MATCH($F753,임대자산!$I$3:$I$3000,0),MATCH(K$4,임대자산!$D$3:$R$3,0)),
IF($D753="폐업",INDEX(폐업정보!$D$3:$R$3000,MATCH($F753,폐업정보!$I$3:$I$3000,0),MATCH(K$4,폐업정보!$D$3:$R$3,0)),
"Error"))</f>
        <v>C0748</v>
      </c>
      <c r="L753" s="75" t="str">
        <f aca="false">
IF($D753="정상",INDEX(임대자산!$D$3:$R$3000,MATCH($F753,임대자산!$I$3:$I$3000,0),MATCH(L$4,임대자산!$D$3:$R$3,0)),
IF($D753="폐업",INDEX(폐업정보!$D$3:$R$3000,MATCH($F753,폐업정보!$I$3:$I$3000,0),MATCH(L$4,폐업정보!$D$3:$R$3,0)),
"Error"))</f>
        <v>D0748</v>
      </c>
      <c r="M753" s="76" t="s">
        <v>96</v>
      </c>
      <c r="N753" s="77"/>
      <c r="O753" s="78" t="s">
        <v>97</v>
      </c>
      <c r="P753" s="79" t="n">
        <f aca="false">COUNTIFS(임대자산!$I:$I,가맹점정보!F753,임대자산!$N:$N,가맹점정보!P$4)</f>
        <v>0</v>
      </c>
      <c r="Q753" s="80" t="n">
        <f aca="false">COUNTIFS(임대자산!$I:$I,가맹점정보!F753,임대자산!$N:$N,가맹점정보!Q$4)</f>
        <v>1</v>
      </c>
      <c r="R753" s="81" t="n">
        <f aca="false">COUNTIFS(임대자산!$I:$I,가맹점정보!F753,임대자산!$N:$N,가맹점정보!R$4)</f>
        <v>0</v>
      </c>
      <c r="S753" s="82" t="n">
        <v>55000</v>
      </c>
      <c r="T753" s="83" t="n">
        <v>0</v>
      </c>
      <c r="U753" s="80" t="n">
        <f aca="false">SUM(S753:T753)</f>
        <v>55000</v>
      </c>
      <c r="V753" s="84" t="s">
        <v>12</v>
      </c>
      <c r="W753" s="80" t="e">
        <f aca="true">
IF(D753="폐업","폐업",
IF(V753="면제","면제",
IF(AND(V753="정상",COUNTIFS(OFFSET(Y753,0,COUNTA(Y753:AV753)-1,1,-4),"미납")&gt;=3),"장기미납",
IF(AND(V753="정상",OFFSET(Y753,0,COUNTA(Y753:AV753)-1)&gt;=U753),"정상",
IF(AND(V753="정상",OFFSET(Y753,0,COUNTA(Y753:AV753)-1)=0),"정상",
"계약서 미작성")))))</f>
        <v>#VALUE!</v>
      </c>
      <c r="X753" s="81" t="str">
        <f aca="true">
IF(D753="폐업","폐업",
IF(AND(V753="정상",OFFSET(Y753,0,COUNTA(Y753:AV753)-1)="미납"),"미납",
IF(AND(V753="정상",OFFSET(Y753,0,COUNTA(Y753:AV753)-1)=0),"납부 시작 전",
IF(AND(V753="정상",OFFSET(Y753,0,COUNTA(Y753:AV753)-1)&gt;=U753),"정상",
IF(AND(V753="면제",OFFSET(Y753,0,COUNTA(Y753:AV753)-1)="면제"),"면제",
IF(AND(V753="면제",OFFSET(Y753,0,COUNTA(Y753:AV753)-1)=0),"면제",
"확인요청"))))))</f>
        <v>정상</v>
      </c>
      <c r="Y753" s="93" t="n">
        <v>55000</v>
      </c>
      <c r="Z753" s="90" t="n">
        <v>55000</v>
      </c>
      <c r="AA753" s="90" t="n">
        <v>55000</v>
      </c>
      <c r="AB753" s="90" t="n">
        <v>55000</v>
      </c>
      <c r="AC753" s="90" t="n">
        <v>55000</v>
      </c>
      <c r="AD753" s="90" t="n">
        <v>55000</v>
      </c>
      <c r="AE753" s="90" t="n">
        <v>55000</v>
      </c>
      <c r="AF753" s="90" t="n">
        <v>55000</v>
      </c>
      <c r="AG753" s="90" t="n">
        <v>55000</v>
      </c>
      <c r="AH753" s="90" t="n">
        <v>55000</v>
      </c>
      <c r="AI753" s="90" t="n">
        <v>55000</v>
      </c>
      <c r="AJ753" s="91" t="n">
        <v>55000</v>
      </c>
      <c r="AK753" s="89" t="n">
        <v>55000</v>
      </c>
      <c r="AL753" s="90" t="n">
        <v>55000</v>
      </c>
      <c r="AM753" s="90"/>
      <c r="AN753" s="90"/>
      <c r="AO753" s="90"/>
      <c r="AP753" s="90"/>
      <c r="AQ753" s="90"/>
      <c r="AR753" s="90"/>
      <c r="AS753" s="90"/>
      <c r="AT753" s="90"/>
      <c r="AU753" s="90"/>
      <c r="AV753" s="91"/>
      <c r="AX753" s="92"/>
    </row>
    <row r="754" customFormat="false" ht="15.65" hidden="false" customHeight="false" outlineLevel="0" collapsed="false">
      <c r="C754" s="72" t="n">
        <f aca="false">COUNTIFS($D$6:D754,"&lt;&gt;"&amp;"")</f>
        <v>749</v>
      </c>
      <c r="D754" s="73" t="s">
        <v>12</v>
      </c>
      <c r="E754" s="76" t="str">
        <f aca="false">
IF($D754="정상",INDEX(임대자산!$D$3:$R$3000,MATCH($F754,임대자산!$I$3:$I$3000,0),MATCH(E$3,임대자산!$D$3:$R$3,0)),
IF($D754="폐업",INDEX(폐업정보!$D$3:$R$3000,MATCH($F754,폐업정보!$I$3:$I$3000,0),MATCH(E$3,폐업정보!$D$3:$R$3,0)),
"Error"))</f>
        <v>서울</v>
      </c>
      <c r="F75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B0749</v>
      </c>
      <c r="G754" s="76" t="str">
        <f aca="false">F754&amp;RANDBETWEEN(0,10)</f>
        <v>B074910</v>
      </c>
      <c r="H754" s="75" t="n">
        <f aca="false">
IF($D754="정상",INDEX(임대자산!$D$3:$R$3000,MATCH($F754,임대자산!$I$3:$I$3000,0),MATCH(H$4,임대자산!$D$3:$R$3,0)),
IF($D754="폐업",INDEX(폐업정보!$D$3:$R$3000,MATCH($F754,폐업정보!$I$3:$I$3000,0),MATCH(H$4,폐업정보!$D$3:$R$3,0)),
"Error"))</f>
        <v>43983</v>
      </c>
      <c r="I754" s="75" t="str">
        <f aca="false">
IF($D754="정상",INDEX(임대자산!$D$3:$R$3000,MATCH($F754,임대자산!$I$3:$I$3000,0),MATCH(I$4,임대자산!$D$3:$R$3,0)),
IF($D754="폐업",INDEX(폐업정보!$D$3:$R$3000,MATCH($F754,폐업정보!$I$3:$I$3000,0),MATCH(I$4,폐업정보!$D$3:$R$3,0)),
"Error"))</f>
        <v>A0749</v>
      </c>
      <c r="J754" s="75" t="str">
        <f aca="false">
IF($D754="정상",INDEX(임대자산!$D$3:$R$3000,MATCH($F754,임대자산!$I$3:$I$3000,0),MATCH(J$4,임대자산!$D$3:$R$3,0)),
IF($D754="폐업",INDEX(폐업정보!$D$3:$R$3000,MATCH($F754,폐업정보!$I$3:$I$3000,0),MATCH(J$4,폐업정보!$D$3:$R$3,0)),
"Error"))</f>
        <v>7808000000</v>
      </c>
      <c r="K754" s="75" t="str">
        <f aca="false">
IF($D754="정상",INDEX(임대자산!$D$3:$R$3000,MATCH($F754,임대자산!$I$3:$I$3000,0),MATCH(K$4,임대자산!$D$3:$R$3,0)),
IF($D754="폐업",INDEX(폐업정보!$D$3:$R$3000,MATCH($F754,폐업정보!$I$3:$I$3000,0),MATCH(K$4,폐업정보!$D$3:$R$3,0)),
"Error"))</f>
        <v>C0749</v>
      </c>
      <c r="L754" s="75" t="str">
        <f aca="false">
IF($D754="정상",INDEX(임대자산!$D$3:$R$3000,MATCH($F754,임대자산!$I$3:$I$3000,0),MATCH(L$4,임대자산!$D$3:$R$3,0)),
IF($D754="폐업",INDEX(폐업정보!$D$3:$R$3000,MATCH($F754,폐업정보!$I$3:$I$3000,0),MATCH(L$4,폐업정보!$D$3:$R$3,0)),
"Error"))</f>
        <v>D0749</v>
      </c>
      <c r="M754" s="76" t="s">
        <v>96</v>
      </c>
      <c r="N754" s="77"/>
      <c r="O754" s="78" t="s">
        <v>97</v>
      </c>
      <c r="P754" s="79" t="n">
        <f aca="false">COUNTIFS(임대자산!$I:$I,가맹점정보!F754,임대자산!$N:$N,가맹점정보!P$4)</f>
        <v>0</v>
      </c>
      <c r="Q754" s="80" t="n">
        <f aca="false">COUNTIFS(임대자산!$I:$I,가맹점정보!F754,임대자산!$N:$N,가맹점정보!Q$4)</f>
        <v>1</v>
      </c>
      <c r="R754" s="81" t="n">
        <f aca="false">COUNTIFS(임대자산!$I:$I,가맹점정보!F754,임대자산!$N:$N,가맹점정보!R$4)</f>
        <v>0</v>
      </c>
      <c r="S754" s="82" t="n">
        <v>55000</v>
      </c>
      <c r="T754" s="83" t="n">
        <v>0</v>
      </c>
      <c r="U754" s="80" t="n">
        <f aca="false">SUM(S754:T754)</f>
        <v>55000</v>
      </c>
      <c r="V754" s="84" t="s">
        <v>12</v>
      </c>
      <c r="W754" s="80" t="e">
        <f aca="true">
IF(D754="폐업","폐업",
IF(V754="면제","면제",
IF(AND(V754="정상",COUNTIFS(OFFSET(Y754,0,COUNTA(Y754:AV754)-1,1,-4),"미납")&gt;=3),"장기미납",
IF(AND(V754="정상",OFFSET(Y754,0,COUNTA(Y754:AV754)-1)&gt;=U754),"정상",
IF(AND(V754="정상",OFFSET(Y754,0,COUNTA(Y754:AV754)-1)=0),"정상",
"계약서 미작성")))))</f>
        <v>#VALUE!</v>
      </c>
      <c r="X754" s="81" t="str">
        <f aca="true">
IF(D754="폐업","폐업",
IF(AND(V754="정상",OFFSET(Y754,0,COUNTA(Y754:AV754)-1)="미납"),"미납",
IF(AND(V754="정상",OFFSET(Y754,0,COUNTA(Y754:AV754)-1)=0),"납부 시작 전",
IF(AND(V754="정상",OFFSET(Y754,0,COUNTA(Y754:AV754)-1)&gt;=U754),"정상",
IF(AND(V754="면제",OFFSET(Y754,0,COUNTA(Y754:AV754)-1)="면제"),"면제",
IF(AND(V754="면제",OFFSET(Y754,0,COUNTA(Y754:AV754)-1)=0),"면제",
"확인요청"))))))</f>
        <v>정상</v>
      </c>
      <c r="Y754" s="93" t="n">
        <v>55000</v>
      </c>
      <c r="Z754" s="90" t="n">
        <v>55000</v>
      </c>
      <c r="AA754" s="90" t="n">
        <v>55000</v>
      </c>
      <c r="AB754" s="90" t="n">
        <v>55000</v>
      </c>
      <c r="AC754" s="90" t="n">
        <v>55000</v>
      </c>
      <c r="AD754" s="90" t="n">
        <v>55000</v>
      </c>
      <c r="AE754" s="90" t="n">
        <v>55000</v>
      </c>
      <c r="AF754" s="90" t="n">
        <v>55000</v>
      </c>
      <c r="AG754" s="90" t="n">
        <v>55000</v>
      </c>
      <c r="AH754" s="90" t="n">
        <v>55000</v>
      </c>
      <c r="AI754" s="90" t="n">
        <v>55000</v>
      </c>
      <c r="AJ754" s="91" t="n">
        <v>55000</v>
      </c>
      <c r="AK754" s="89" t="n">
        <v>55000</v>
      </c>
      <c r="AL754" s="90" t="n">
        <v>55000</v>
      </c>
      <c r="AM754" s="90"/>
      <c r="AN754" s="90"/>
      <c r="AO754" s="90"/>
      <c r="AP754" s="90"/>
      <c r="AQ754" s="90"/>
      <c r="AR754" s="90"/>
      <c r="AS754" s="90"/>
      <c r="AT754" s="90"/>
      <c r="AU754" s="90"/>
      <c r="AV754" s="91"/>
      <c r="AX754" s="92"/>
    </row>
    <row r="755" customFormat="false" ht="15.65" hidden="false" customHeight="false" outlineLevel="0" collapsed="false">
      <c r="C755" s="72" t="n">
        <f aca="false">COUNTIFS($D$6:D755,"&lt;&gt;"&amp;"")</f>
        <v>750</v>
      </c>
      <c r="D755" s="73" t="s">
        <v>12</v>
      </c>
      <c r="E755" s="76" t="str">
        <f aca="false">
IF($D755="정상",INDEX(임대자산!$D$3:$R$3000,MATCH($F755,임대자산!$I$3:$I$3000,0),MATCH(E$3,임대자산!$D$3:$R$3,0)),
IF($D755="폐업",INDEX(폐업정보!$D$3:$R$3000,MATCH($F755,폐업정보!$I$3:$I$3000,0),MATCH(E$3,폐업정보!$D$3:$R$3,0)),
"Error"))</f>
        <v>강원</v>
      </c>
      <c r="F75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B0750</v>
      </c>
      <c r="G755" s="76" t="str">
        <f aca="false">F755&amp;RANDBETWEEN(0,10)</f>
        <v>B07504</v>
      </c>
      <c r="H755" s="75" t="n">
        <f aca="false">
IF($D755="정상",INDEX(임대자산!$D$3:$R$3000,MATCH($F755,임대자산!$I$3:$I$3000,0),MATCH(H$4,임대자산!$D$3:$R$3,0)),
IF($D755="폐업",INDEX(폐업정보!$D$3:$R$3000,MATCH($F755,폐업정보!$I$3:$I$3000,0),MATCH(H$4,폐업정보!$D$3:$R$3,0)),
"Error"))</f>
        <v>45288</v>
      </c>
      <c r="I755" s="75" t="str">
        <f aca="false">
IF($D755="정상",INDEX(임대자산!$D$3:$R$3000,MATCH($F755,임대자산!$I$3:$I$3000,0),MATCH(I$4,임대자산!$D$3:$R$3,0)),
IF($D755="폐업",INDEX(폐업정보!$D$3:$R$3000,MATCH($F755,폐업정보!$I$3:$I$3000,0),MATCH(I$4,폐업정보!$D$3:$R$3,0)),
"Error"))</f>
        <v>A0750</v>
      </c>
      <c r="J755" s="75" t="str">
        <f aca="false">
IF($D755="정상",INDEX(임대자산!$D$3:$R$3000,MATCH($F755,임대자산!$I$3:$I$3000,0),MATCH(J$4,임대자산!$D$3:$R$3,0)),
IF($D755="폐업",INDEX(폐업정보!$D$3:$R$3000,MATCH($F755,폐업정보!$I$3:$I$3000,0),MATCH(J$4,폐업정보!$D$3:$R$3,0)),
"Error"))</f>
        <v>4120100000</v>
      </c>
      <c r="K755" s="75" t="str">
        <f aca="false">
IF($D755="정상",INDEX(임대자산!$D$3:$R$3000,MATCH($F755,임대자산!$I$3:$I$3000,0),MATCH(K$4,임대자산!$D$3:$R$3,0)),
IF($D755="폐업",INDEX(폐업정보!$D$3:$R$3000,MATCH($F755,폐업정보!$I$3:$I$3000,0),MATCH(K$4,폐업정보!$D$3:$R$3,0)),
"Error"))</f>
        <v>C0750</v>
      </c>
      <c r="L755" s="75" t="str">
        <f aca="false">
IF($D755="정상",INDEX(임대자산!$D$3:$R$3000,MATCH($F755,임대자산!$I$3:$I$3000,0),MATCH(L$4,임대자산!$D$3:$R$3,0)),
IF($D755="폐업",INDEX(폐업정보!$D$3:$R$3000,MATCH($F755,폐업정보!$I$3:$I$3000,0),MATCH(L$4,폐업정보!$D$3:$R$3,0)),
"Error"))</f>
        <v>D0750</v>
      </c>
      <c r="M755" s="76" t="s">
        <v>96</v>
      </c>
      <c r="N755" s="77"/>
      <c r="O755" s="78" t="s">
        <v>97</v>
      </c>
      <c r="P755" s="79" t="n">
        <f aca="false">COUNTIFS(임대자산!$I:$I,가맹점정보!F755,임대자산!$N:$N,가맹점정보!P$4)</f>
        <v>0</v>
      </c>
      <c r="Q755" s="80" t="n">
        <f aca="false">COUNTIFS(임대자산!$I:$I,가맹점정보!F755,임대자산!$N:$N,가맹점정보!Q$4)</f>
        <v>1</v>
      </c>
      <c r="R755" s="81" t="n">
        <f aca="false">COUNTIFS(임대자산!$I:$I,가맹점정보!F755,임대자산!$N:$N,가맹점정보!R$4)</f>
        <v>0</v>
      </c>
      <c r="S755" s="82" t="n">
        <v>88000</v>
      </c>
      <c r="T755" s="83" t="n">
        <v>0</v>
      </c>
      <c r="U755" s="80" t="n">
        <f aca="false">SUM(S755:T755)</f>
        <v>88000</v>
      </c>
      <c r="V755" s="84" t="s">
        <v>7</v>
      </c>
      <c r="W755" s="80" t="str">
        <f aca="true">
IF(D755="폐업","폐업",
IF(V755="면제","면제",
IF(AND(V755="정상",COUNTIFS(OFFSET(Y755,0,COUNTA(Y755:AV755)-1,1,-4),"미납")&gt;=3),"장기미납",
IF(AND(V755="정상",OFFSET(Y755,0,COUNTA(Y755:AV755)-1)&gt;=U755),"정상",
IF(AND(V755="정상",OFFSET(Y755,0,COUNTA(Y755:AV755)-1)=0),"정상",
"계약서 미작성")))))</f>
        <v>면제</v>
      </c>
      <c r="X755" s="81" t="str">
        <f aca="true">
IF(D755="폐업","폐업",
IF(AND(V755="정상",OFFSET(Y755,0,COUNTA(Y755:AV755)-1)="미납"),"미납",
IF(AND(V755="정상",OFFSET(Y755,0,COUNTA(Y755:AV755)-1)=0),"납부 시작 전",
IF(AND(V755="정상",OFFSET(Y755,0,COUNTA(Y755:AV755)-1)&gt;=U755),"정상",
IF(AND(V755="면제",OFFSET(Y755,0,COUNTA(Y755:AV755)-1)="면제"),"면제",
IF(AND(V755="면제",OFFSET(Y755,0,COUNTA(Y755:AV755)-1)=0),"면제",
"확인요청"))))))</f>
        <v>면제</v>
      </c>
      <c r="Y755" s="94" t="s">
        <v>7</v>
      </c>
      <c r="Z755" s="95" t="s">
        <v>7</v>
      </c>
      <c r="AA755" s="95" t="s">
        <v>7</v>
      </c>
      <c r="AB755" s="95" t="s">
        <v>7</v>
      </c>
      <c r="AC755" s="95" t="s">
        <v>7</v>
      </c>
      <c r="AD755" s="95" t="s">
        <v>7</v>
      </c>
      <c r="AE755" s="95" t="s">
        <v>7</v>
      </c>
      <c r="AF755" s="95" t="s">
        <v>7</v>
      </c>
      <c r="AG755" s="95" t="s">
        <v>7</v>
      </c>
      <c r="AH755" s="95" t="s">
        <v>7</v>
      </c>
      <c r="AI755" s="95" t="s">
        <v>7</v>
      </c>
      <c r="AJ755" s="96" t="s">
        <v>7</v>
      </c>
      <c r="AK755" s="97" t="s">
        <v>7</v>
      </c>
      <c r="AL755" s="95" t="s">
        <v>7</v>
      </c>
      <c r="AM755" s="90"/>
      <c r="AN755" s="90"/>
      <c r="AO755" s="90"/>
      <c r="AP755" s="90"/>
      <c r="AQ755" s="90"/>
      <c r="AR755" s="90"/>
      <c r="AS755" s="90"/>
      <c r="AT755" s="90"/>
      <c r="AU755" s="90"/>
      <c r="AV755" s="91"/>
      <c r="AX755" s="92"/>
    </row>
    <row r="756" customFormat="false" ht="15.65" hidden="false" customHeight="false" outlineLevel="0" collapsed="false">
      <c r="C756" s="72" t="n">
        <f aca="false">COUNTIFS($D$6:D756,"&lt;&gt;"&amp;"")</f>
        <v>751</v>
      </c>
      <c r="D756" s="73" t="s">
        <v>12</v>
      </c>
      <c r="E756" s="76" t="str">
        <f aca="false">
IF($D756="정상",INDEX(임대자산!$D$3:$R$3000,MATCH($F756,임대자산!$I$3:$I$3000,0),MATCH(E$3,임대자산!$D$3:$R$3,0)),
IF($D756="폐업",INDEX(폐업정보!$D$3:$R$3000,MATCH($F756,폐업정보!$I$3:$I$3000,0),MATCH(E$3,폐업정보!$D$3:$R$3,0)),
"Error"))</f>
        <v>경상</v>
      </c>
      <c r="F75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B0751</v>
      </c>
      <c r="G756" s="76" t="str">
        <f aca="false">F756&amp;RANDBETWEEN(0,10)</f>
        <v>B07511</v>
      </c>
      <c r="H756" s="75" t="n">
        <f aca="false">
IF($D756="정상",INDEX(임대자산!$D$3:$R$3000,MATCH($F756,임대자산!$I$3:$I$3000,0),MATCH(H$4,임대자산!$D$3:$R$3,0)),
IF($D756="폐업",INDEX(폐업정보!$D$3:$R$3000,MATCH($F756,폐업정보!$I$3:$I$3000,0),MATCH(H$4,폐업정보!$D$3:$R$3,0)),
"Error"))</f>
        <v>44799</v>
      </c>
      <c r="I756" s="75" t="str">
        <f aca="false">
IF($D756="정상",INDEX(임대자산!$D$3:$R$3000,MATCH($F756,임대자산!$I$3:$I$3000,0),MATCH(I$4,임대자산!$D$3:$R$3,0)),
IF($D756="폐업",INDEX(폐업정보!$D$3:$R$3000,MATCH($F756,폐업정보!$I$3:$I$3000,0),MATCH(I$4,폐업정보!$D$3:$R$3,0)),
"Error"))</f>
        <v>A0751</v>
      </c>
      <c r="J756" s="75" t="str">
        <f aca="false">
IF($D756="정상",INDEX(임대자산!$D$3:$R$3000,MATCH($F756,임대자산!$I$3:$I$3000,0),MATCH(J$4,임대자산!$D$3:$R$3,0)),
IF($D756="폐업",INDEX(폐업정보!$D$3:$R$3000,MATCH($F756,폐업정보!$I$3:$I$3000,0),MATCH(J$4,폐업정보!$D$3:$R$3,0)),
"Error"))</f>
        <v>4024800000</v>
      </c>
      <c r="K756" s="75" t="str">
        <f aca="false">
IF($D756="정상",INDEX(임대자산!$D$3:$R$3000,MATCH($F756,임대자산!$I$3:$I$3000,0),MATCH(K$4,임대자산!$D$3:$R$3,0)),
IF($D756="폐업",INDEX(폐업정보!$D$3:$R$3000,MATCH($F756,폐업정보!$I$3:$I$3000,0),MATCH(K$4,폐업정보!$D$3:$R$3,0)),
"Error"))</f>
        <v>C0751</v>
      </c>
      <c r="L756" s="75" t="str">
        <f aca="false">
IF($D756="정상",INDEX(임대자산!$D$3:$R$3000,MATCH($F756,임대자산!$I$3:$I$3000,0),MATCH(L$4,임대자산!$D$3:$R$3,0)),
IF($D756="폐업",INDEX(폐업정보!$D$3:$R$3000,MATCH($F756,폐업정보!$I$3:$I$3000,0),MATCH(L$4,폐업정보!$D$3:$R$3,0)),
"Error"))</f>
        <v>D0751</v>
      </c>
      <c r="M756" s="76" t="s">
        <v>96</v>
      </c>
      <c r="N756" s="77"/>
      <c r="O756" s="78" t="s">
        <v>97</v>
      </c>
      <c r="P756" s="79" t="n">
        <f aca="false">COUNTIFS(임대자산!$I:$I,가맹점정보!F756,임대자산!$N:$N,가맹점정보!P$4)</f>
        <v>0</v>
      </c>
      <c r="Q756" s="80" t="n">
        <f aca="false">COUNTIFS(임대자산!$I:$I,가맹점정보!F756,임대자산!$N:$N,가맹점정보!Q$4)</f>
        <v>1</v>
      </c>
      <c r="R756" s="81" t="n">
        <f aca="false">COUNTIFS(임대자산!$I:$I,가맹점정보!F756,임대자산!$N:$N,가맹점정보!R$4)</f>
        <v>0</v>
      </c>
      <c r="S756" s="82" t="n">
        <v>55000</v>
      </c>
      <c r="T756" s="83" t="n">
        <v>0</v>
      </c>
      <c r="U756" s="80" t="n">
        <f aca="false">SUM(S756:T756)</f>
        <v>55000</v>
      </c>
      <c r="V756" s="84" t="s">
        <v>12</v>
      </c>
      <c r="W756" s="80" t="e">
        <f aca="true">
IF(D756="폐업","폐업",
IF(V756="면제","면제",
IF(AND(V756="정상",COUNTIFS(OFFSET(Y756,0,COUNTA(Y756:AV756)-1,1,-4),"미납")&gt;=3),"장기미납",
IF(AND(V756="정상",OFFSET(Y756,0,COUNTA(Y756:AV756)-1)&gt;=U756),"정상",
IF(AND(V756="정상",OFFSET(Y756,0,COUNTA(Y756:AV756)-1)=0),"정상",
"계약서 미작성")))))</f>
        <v>#VALUE!</v>
      </c>
      <c r="X756" s="81" t="str">
        <f aca="true">
IF(D756="폐업","폐업",
IF(AND(V756="정상",OFFSET(Y756,0,COUNTA(Y756:AV756)-1)="미납"),"미납",
IF(AND(V756="정상",OFFSET(Y756,0,COUNTA(Y756:AV756)-1)=0),"납부 시작 전",
IF(AND(V756="정상",OFFSET(Y756,0,COUNTA(Y756:AV756)-1)&gt;=U756),"정상",
IF(AND(V756="면제",OFFSET(Y756,0,COUNTA(Y756:AV756)-1)="면제"),"면제",
IF(AND(V756="면제",OFFSET(Y756,0,COUNTA(Y756:AV756)-1)=0),"면제",
"확인요청"))))))</f>
        <v>정상</v>
      </c>
      <c r="Y756" s="93" t="n">
        <v>55000</v>
      </c>
      <c r="Z756" s="90" t="n">
        <v>55000</v>
      </c>
      <c r="AA756" s="90" t="n">
        <v>55000</v>
      </c>
      <c r="AB756" s="90" t="n">
        <v>55000</v>
      </c>
      <c r="AC756" s="90" t="n">
        <v>55000</v>
      </c>
      <c r="AD756" s="90" t="n">
        <v>55000</v>
      </c>
      <c r="AE756" s="90" t="n">
        <v>55000</v>
      </c>
      <c r="AF756" s="90" t="n">
        <v>55000</v>
      </c>
      <c r="AG756" s="90" t="n">
        <v>55000</v>
      </c>
      <c r="AH756" s="90" t="n">
        <v>55000</v>
      </c>
      <c r="AI756" s="90" t="n">
        <v>55000</v>
      </c>
      <c r="AJ756" s="91" t="n">
        <v>55000</v>
      </c>
      <c r="AK756" s="89" t="n">
        <v>55000</v>
      </c>
      <c r="AL756" s="90" t="n">
        <v>55000</v>
      </c>
      <c r="AM756" s="90"/>
      <c r="AN756" s="90"/>
      <c r="AO756" s="90"/>
      <c r="AP756" s="90"/>
      <c r="AQ756" s="90"/>
      <c r="AR756" s="90"/>
      <c r="AS756" s="90"/>
      <c r="AT756" s="90"/>
      <c r="AU756" s="90"/>
      <c r="AV756" s="91"/>
      <c r="AX756" s="92"/>
    </row>
    <row r="757" customFormat="false" ht="15.65" hidden="false" customHeight="false" outlineLevel="0" collapsed="false">
      <c r="C757" s="72" t="n">
        <f aca="false">COUNTIFS($D$6:D757,"&lt;&gt;"&amp;"")</f>
        <v>752</v>
      </c>
      <c r="D757" s="73" t="s">
        <v>12</v>
      </c>
      <c r="E757" s="76" t="str">
        <f aca="false">
IF($D757="정상",INDEX(임대자산!$D$3:$R$3000,MATCH($F757,임대자산!$I$3:$I$3000,0),MATCH(E$3,임대자산!$D$3:$R$3,0)),
IF($D757="폐업",INDEX(폐업정보!$D$3:$R$3000,MATCH($F757,폐업정보!$I$3:$I$3000,0),MATCH(E$3,폐업정보!$D$3:$R$3,0)),
"Error"))</f>
        <v>경상</v>
      </c>
      <c r="F75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B0752</v>
      </c>
      <c r="G757" s="76" t="str">
        <f aca="false">F757&amp;RANDBETWEEN(0,10)</f>
        <v>B07525</v>
      </c>
      <c r="H757" s="75" t="n">
        <f aca="false">
IF($D757="정상",INDEX(임대자산!$D$3:$R$3000,MATCH($F757,임대자산!$I$3:$I$3000,0),MATCH(H$4,임대자산!$D$3:$R$3,0)),
IF($D757="폐업",INDEX(폐업정보!$D$3:$R$3000,MATCH($F757,폐업정보!$I$3:$I$3000,0),MATCH(H$4,폐업정보!$D$3:$R$3,0)),
"Error"))</f>
        <v>43578</v>
      </c>
      <c r="I757" s="75" t="str">
        <f aca="false">
IF($D757="정상",INDEX(임대자산!$D$3:$R$3000,MATCH($F757,임대자산!$I$3:$I$3000,0),MATCH(I$4,임대자산!$D$3:$R$3,0)),
IF($D757="폐업",INDEX(폐업정보!$D$3:$R$3000,MATCH($F757,폐업정보!$I$3:$I$3000,0),MATCH(I$4,폐업정보!$D$3:$R$3,0)),
"Error"))</f>
        <v>A0752</v>
      </c>
      <c r="J757" s="75" t="str">
        <f aca="false">
IF($D757="정상",INDEX(임대자산!$D$3:$R$3000,MATCH($F757,임대자산!$I$3:$I$3000,0),MATCH(J$4,임대자산!$D$3:$R$3,0)),
IF($D757="폐업",INDEX(폐업정보!$D$3:$R$3000,MATCH($F757,폐업정보!$I$3:$I$3000,0),MATCH(J$4,폐업정보!$D$3:$R$3,0)),
"Error"))</f>
        <v>2300900000</v>
      </c>
      <c r="K757" s="75" t="str">
        <f aca="false">
IF($D757="정상",INDEX(임대자산!$D$3:$R$3000,MATCH($F757,임대자산!$I$3:$I$3000,0),MATCH(K$4,임대자산!$D$3:$R$3,0)),
IF($D757="폐업",INDEX(폐업정보!$D$3:$R$3000,MATCH($F757,폐업정보!$I$3:$I$3000,0),MATCH(K$4,폐업정보!$D$3:$R$3,0)),
"Error"))</f>
        <v>C0752</v>
      </c>
      <c r="L757" s="75" t="str">
        <f aca="false">
IF($D757="정상",INDEX(임대자산!$D$3:$R$3000,MATCH($F757,임대자산!$I$3:$I$3000,0),MATCH(L$4,임대자산!$D$3:$R$3,0)),
IF($D757="폐업",INDEX(폐업정보!$D$3:$R$3000,MATCH($F757,폐업정보!$I$3:$I$3000,0),MATCH(L$4,폐업정보!$D$3:$R$3,0)),
"Error"))</f>
        <v>D0752</v>
      </c>
      <c r="M757" s="76" t="s">
        <v>96</v>
      </c>
      <c r="N757" s="77"/>
      <c r="O757" s="78" t="s">
        <v>97</v>
      </c>
      <c r="P757" s="79" t="n">
        <f aca="false">COUNTIFS(임대자산!$I:$I,가맹점정보!F757,임대자산!$N:$N,가맹점정보!P$4)</f>
        <v>0</v>
      </c>
      <c r="Q757" s="80" t="n">
        <f aca="false">COUNTIFS(임대자산!$I:$I,가맹점정보!F757,임대자산!$N:$N,가맹점정보!Q$4)</f>
        <v>1</v>
      </c>
      <c r="R757" s="81" t="n">
        <f aca="false">COUNTIFS(임대자산!$I:$I,가맹점정보!F757,임대자산!$N:$N,가맹점정보!R$4)</f>
        <v>0</v>
      </c>
      <c r="S757" s="82" t="n">
        <v>55000</v>
      </c>
      <c r="T757" s="83" t="n">
        <v>0</v>
      </c>
      <c r="U757" s="80" t="n">
        <f aca="false">SUM(S757:T757)</f>
        <v>55000</v>
      </c>
      <c r="V757" s="84" t="s">
        <v>12</v>
      </c>
      <c r="W757" s="80" t="e">
        <f aca="true">
IF(D757="폐업","폐업",
IF(V757="면제","면제",
IF(AND(V757="정상",COUNTIFS(OFFSET(Y757,0,COUNTA(Y757:AV757)-1,1,-4),"미납")&gt;=3),"장기미납",
IF(AND(V757="정상",OFFSET(Y757,0,COUNTA(Y757:AV757)-1)&gt;=U757),"정상",
IF(AND(V757="정상",OFFSET(Y757,0,COUNTA(Y757:AV757)-1)=0),"정상",
"계약서 미작성")))))</f>
        <v>#VALUE!</v>
      </c>
      <c r="X757" s="81" t="str">
        <f aca="true">
IF(D757="폐업","폐업",
IF(AND(V757="정상",OFFSET(Y757,0,COUNTA(Y757:AV757)-1)="미납"),"미납",
IF(AND(V757="정상",OFFSET(Y757,0,COUNTA(Y757:AV757)-1)=0),"납부 시작 전",
IF(AND(V757="정상",OFFSET(Y757,0,COUNTA(Y757:AV757)-1)&gt;=U757),"정상",
IF(AND(V757="면제",OFFSET(Y757,0,COUNTA(Y757:AV757)-1)="면제"),"면제",
IF(AND(V757="면제",OFFSET(Y757,0,COUNTA(Y757:AV757)-1)=0),"면제",
"확인요청"))))))</f>
        <v>정상</v>
      </c>
      <c r="Y757" s="93" t="n">
        <v>55000</v>
      </c>
      <c r="Z757" s="90" t="n">
        <v>55000</v>
      </c>
      <c r="AA757" s="90" t="n">
        <v>55000</v>
      </c>
      <c r="AB757" s="90" t="n">
        <v>55000</v>
      </c>
      <c r="AC757" s="90" t="n">
        <v>55000</v>
      </c>
      <c r="AD757" s="90" t="n">
        <v>55000</v>
      </c>
      <c r="AE757" s="90" t="n">
        <v>55000</v>
      </c>
      <c r="AF757" s="90" t="n">
        <v>55000</v>
      </c>
      <c r="AG757" s="90" t="n">
        <v>55000</v>
      </c>
      <c r="AH757" s="90" t="n">
        <v>55000</v>
      </c>
      <c r="AI757" s="90" t="n">
        <v>55000</v>
      </c>
      <c r="AJ757" s="91" t="n">
        <v>55000</v>
      </c>
      <c r="AK757" s="89" t="n">
        <v>55000</v>
      </c>
      <c r="AL757" s="90" t="n">
        <v>55000</v>
      </c>
      <c r="AM757" s="90"/>
      <c r="AN757" s="90"/>
      <c r="AO757" s="90"/>
      <c r="AP757" s="90"/>
      <c r="AQ757" s="90"/>
      <c r="AR757" s="90"/>
      <c r="AS757" s="90"/>
      <c r="AT757" s="90"/>
      <c r="AU757" s="90"/>
      <c r="AV757" s="91"/>
      <c r="AX757" s="92"/>
    </row>
    <row r="758" customFormat="false" ht="15.65" hidden="false" customHeight="false" outlineLevel="0" collapsed="false">
      <c r="C758" s="72" t="n">
        <f aca="false">COUNTIFS($D$6:D758,"&lt;&gt;"&amp;"")</f>
        <v>753</v>
      </c>
      <c r="D758" s="73" t="s">
        <v>12</v>
      </c>
      <c r="E758" s="76" t="str">
        <f aca="false">
IF($D758="정상",INDEX(임대자산!$D$3:$R$3000,MATCH($F758,임대자산!$I$3:$I$3000,0),MATCH(E$3,임대자산!$D$3:$R$3,0)),
IF($D758="폐업",INDEX(폐업정보!$D$3:$R$3000,MATCH($F758,폐업정보!$I$3:$I$3000,0),MATCH(E$3,폐업정보!$D$3:$R$3,0)),
"Error"))</f>
        <v>경기</v>
      </c>
      <c r="F75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B0753</v>
      </c>
      <c r="G758" s="76" t="str">
        <f aca="false">F758&amp;RANDBETWEEN(0,10)</f>
        <v>B07535</v>
      </c>
      <c r="H758" s="75" t="n">
        <f aca="false">
IF($D758="정상",INDEX(임대자산!$D$3:$R$3000,MATCH($F758,임대자산!$I$3:$I$3000,0),MATCH(H$4,임대자산!$D$3:$R$3,0)),
IF($D758="폐업",INDEX(폐업정보!$D$3:$R$3000,MATCH($F758,폐업정보!$I$3:$I$3000,0),MATCH(H$4,폐업정보!$D$3:$R$3,0)),
"Error"))</f>
        <v>45947</v>
      </c>
      <c r="I758" s="75" t="str">
        <f aca="false">
IF($D758="정상",INDEX(임대자산!$D$3:$R$3000,MATCH($F758,임대자산!$I$3:$I$3000,0),MATCH(I$4,임대자산!$D$3:$R$3,0)),
IF($D758="폐업",INDEX(폐업정보!$D$3:$R$3000,MATCH($F758,폐업정보!$I$3:$I$3000,0),MATCH(I$4,폐업정보!$D$3:$R$3,0)),
"Error"))</f>
        <v>A0753</v>
      </c>
      <c r="J758" s="75" t="str">
        <f aca="false">
IF($D758="정상",INDEX(임대자산!$D$3:$R$3000,MATCH($F758,임대자산!$I$3:$I$3000,0),MATCH(J$4,임대자산!$D$3:$R$3,0)),
IF($D758="폐업",INDEX(폐업정보!$D$3:$R$3000,MATCH($F758,폐업정보!$I$3:$I$3000,0),MATCH(J$4,폐업정보!$D$3:$R$3,0)),
"Error"))</f>
        <v>8213000000</v>
      </c>
      <c r="K758" s="75" t="str">
        <f aca="false">
IF($D758="정상",INDEX(임대자산!$D$3:$R$3000,MATCH($F758,임대자산!$I$3:$I$3000,0),MATCH(K$4,임대자산!$D$3:$R$3,0)),
IF($D758="폐업",INDEX(폐업정보!$D$3:$R$3000,MATCH($F758,폐업정보!$I$3:$I$3000,0),MATCH(K$4,폐업정보!$D$3:$R$3,0)),
"Error"))</f>
        <v>C0753</v>
      </c>
      <c r="L758" s="75" t="str">
        <f aca="false">
IF($D758="정상",INDEX(임대자산!$D$3:$R$3000,MATCH($F758,임대자산!$I$3:$I$3000,0),MATCH(L$4,임대자산!$D$3:$R$3,0)),
IF($D758="폐업",INDEX(폐업정보!$D$3:$R$3000,MATCH($F758,폐업정보!$I$3:$I$3000,0),MATCH(L$4,폐업정보!$D$3:$R$3,0)),
"Error"))</f>
        <v>D0753</v>
      </c>
      <c r="M758" s="76" t="s">
        <v>96</v>
      </c>
      <c r="N758" s="77"/>
      <c r="O758" s="78" t="s">
        <v>97</v>
      </c>
      <c r="P758" s="79" t="n">
        <f aca="false">COUNTIFS(임대자산!$I:$I,가맹점정보!F758,임대자산!$N:$N,가맹점정보!P$4)</f>
        <v>0</v>
      </c>
      <c r="Q758" s="80" t="n">
        <f aca="false">COUNTIFS(임대자산!$I:$I,가맹점정보!F758,임대자산!$N:$N,가맹점정보!Q$4)</f>
        <v>1</v>
      </c>
      <c r="R758" s="81" t="n">
        <f aca="false">COUNTIFS(임대자산!$I:$I,가맹점정보!F758,임대자산!$N:$N,가맹점정보!R$4)</f>
        <v>0</v>
      </c>
      <c r="S758" s="82" t="n">
        <v>88000</v>
      </c>
      <c r="T758" s="83" t="n">
        <v>0</v>
      </c>
      <c r="U758" s="80" t="n">
        <f aca="false">SUM(S758:T758)</f>
        <v>88000</v>
      </c>
      <c r="V758" s="84" t="s">
        <v>12</v>
      </c>
      <c r="W758" s="80" t="e">
        <f aca="true">
IF(D758="폐업","폐업",
IF(V758="면제","면제",
IF(AND(V758="정상",COUNTIFS(OFFSET(Y758,0,COUNTA(Y758:AV758)-1,1,-4),"미납")&gt;=3),"장기미납",
IF(AND(V758="정상",OFFSET(Y758,0,COUNTA(Y758:AV758)-1)&gt;=U758),"정상",
IF(AND(V758="정상",OFFSET(Y758,0,COUNTA(Y758:AV758)-1)=0),"정상",
"계약서 미작성")))))</f>
        <v>#VALUE!</v>
      </c>
      <c r="X758" s="81" t="str">
        <f aca="true">
IF(D758="폐업","폐업",
IF(AND(V758="정상",OFFSET(Y758,0,COUNTA(Y758:AV758)-1)="미납"),"미납",
IF(AND(V758="정상",OFFSET(Y758,0,COUNTA(Y758:AV758)-1)=0),"납부 시작 전",
IF(AND(V758="정상",OFFSET(Y758,0,COUNTA(Y758:AV758)-1)&gt;=U758),"정상",
IF(AND(V758="면제",OFFSET(Y758,0,COUNTA(Y758:AV758)-1)="면제"),"면제",
IF(AND(V758="면제",OFFSET(Y758,0,COUNTA(Y758:AV758)-1)=0),"면제",
"확인요청"))))))</f>
        <v>정상</v>
      </c>
      <c r="Y758" s="93" t="n">
        <v>88000</v>
      </c>
      <c r="Z758" s="90" t="n">
        <v>88000</v>
      </c>
      <c r="AA758" s="90" t="n">
        <v>88000</v>
      </c>
      <c r="AB758" s="90" t="n">
        <v>88000</v>
      </c>
      <c r="AC758" s="90" t="n">
        <v>88000</v>
      </c>
      <c r="AD758" s="90" t="n">
        <v>88000</v>
      </c>
      <c r="AE758" s="90" t="n">
        <v>88000</v>
      </c>
      <c r="AF758" s="90" t="n">
        <v>88000</v>
      </c>
      <c r="AG758" s="90" t="n">
        <v>88000</v>
      </c>
      <c r="AH758" s="90" t="n">
        <v>88000</v>
      </c>
      <c r="AI758" s="90" t="n">
        <v>88000</v>
      </c>
      <c r="AJ758" s="91" t="n">
        <v>88000</v>
      </c>
      <c r="AK758" s="89" t="n">
        <v>88000</v>
      </c>
      <c r="AL758" s="90" t="n">
        <v>88000</v>
      </c>
      <c r="AM758" s="90"/>
      <c r="AN758" s="90"/>
      <c r="AO758" s="90"/>
      <c r="AP758" s="90"/>
      <c r="AQ758" s="90"/>
      <c r="AR758" s="90"/>
      <c r="AS758" s="90"/>
      <c r="AT758" s="90"/>
      <c r="AU758" s="90"/>
      <c r="AV758" s="91"/>
      <c r="AX758" s="92"/>
    </row>
    <row r="759" customFormat="false" ht="15.65" hidden="false" customHeight="false" outlineLevel="0" collapsed="false">
      <c r="C759" s="72" t="n">
        <f aca="false">COUNTIFS($D$6:D759,"&lt;&gt;"&amp;"")</f>
        <v>754</v>
      </c>
      <c r="D759" s="73" t="s">
        <v>12</v>
      </c>
      <c r="E759" s="76" t="str">
        <f aca="false">
IF($D759="정상",INDEX(임대자산!$D$3:$R$3000,MATCH($F759,임대자산!$I$3:$I$3000,0),MATCH(E$3,임대자산!$D$3:$R$3,0)),
IF($D759="폐업",INDEX(폐업정보!$D$3:$R$3000,MATCH($F759,폐업정보!$I$3:$I$3000,0),MATCH(E$3,폐업정보!$D$3:$R$3,0)),
"Error"))</f>
        <v>경기</v>
      </c>
      <c r="F75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B0754</v>
      </c>
      <c r="G759" s="76" t="str">
        <f aca="false">F759&amp;RANDBETWEEN(0,10)</f>
        <v>B07541</v>
      </c>
      <c r="H759" s="75" t="n">
        <f aca="false">
IF($D759="정상",INDEX(임대자산!$D$3:$R$3000,MATCH($F759,임대자산!$I$3:$I$3000,0),MATCH(H$4,임대자산!$D$3:$R$3,0)),
IF($D759="폐업",INDEX(폐업정보!$D$3:$R$3000,MATCH($F759,폐업정보!$I$3:$I$3000,0),MATCH(H$4,폐업정보!$D$3:$R$3,0)),
"Error"))</f>
        <v>45576</v>
      </c>
      <c r="I759" s="75" t="str">
        <f aca="false">
IF($D759="정상",INDEX(임대자산!$D$3:$R$3000,MATCH($F759,임대자산!$I$3:$I$3000,0),MATCH(I$4,임대자산!$D$3:$R$3,0)),
IF($D759="폐업",INDEX(폐업정보!$D$3:$R$3000,MATCH($F759,폐업정보!$I$3:$I$3000,0),MATCH(I$4,폐업정보!$D$3:$R$3,0)),
"Error"))</f>
        <v>A0754</v>
      </c>
      <c r="J759" s="75" t="str">
        <f aca="false">
IF($D759="정상",INDEX(임대자산!$D$3:$R$3000,MATCH($F759,임대자산!$I$3:$I$3000,0),MATCH(J$4,임대자산!$D$3:$R$3,0)),
IF($D759="폐업",INDEX(폐업정보!$D$3:$R$3000,MATCH($F759,폐업정보!$I$3:$I$3000,0),MATCH(J$4,폐업정보!$D$3:$R$3,0)),
"Error"))</f>
        <v>2972600000</v>
      </c>
      <c r="K759" s="75" t="str">
        <f aca="false">
IF($D759="정상",INDEX(임대자산!$D$3:$R$3000,MATCH($F759,임대자산!$I$3:$I$3000,0),MATCH(K$4,임대자산!$D$3:$R$3,0)),
IF($D759="폐업",INDEX(폐업정보!$D$3:$R$3000,MATCH($F759,폐업정보!$I$3:$I$3000,0),MATCH(K$4,폐업정보!$D$3:$R$3,0)),
"Error"))</f>
        <v>C0754</v>
      </c>
      <c r="L759" s="75" t="str">
        <f aca="false">
IF($D759="정상",INDEX(임대자산!$D$3:$R$3000,MATCH($F759,임대자산!$I$3:$I$3000,0),MATCH(L$4,임대자산!$D$3:$R$3,0)),
IF($D759="폐업",INDEX(폐업정보!$D$3:$R$3000,MATCH($F759,폐업정보!$I$3:$I$3000,0),MATCH(L$4,폐업정보!$D$3:$R$3,0)),
"Error"))</f>
        <v>D0754</v>
      </c>
      <c r="M759" s="76" t="s">
        <v>96</v>
      </c>
      <c r="N759" s="77"/>
      <c r="O759" s="78" t="s">
        <v>97</v>
      </c>
      <c r="P759" s="79" t="n">
        <f aca="false">COUNTIFS(임대자산!$I:$I,가맹점정보!F759,임대자산!$N:$N,가맹점정보!P$4)</f>
        <v>0</v>
      </c>
      <c r="Q759" s="80" t="n">
        <f aca="false">COUNTIFS(임대자산!$I:$I,가맹점정보!F759,임대자산!$N:$N,가맹점정보!Q$4)</f>
        <v>1</v>
      </c>
      <c r="R759" s="81" t="n">
        <f aca="false">COUNTIFS(임대자산!$I:$I,가맹점정보!F759,임대자산!$N:$N,가맹점정보!R$4)</f>
        <v>0</v>
      </c>
      <c r="S759" s="82" t="n">
        <v>55000</v>
      </c>
      <c r="T759" s="83" t="n">
        <v>0</v>
      </c>
      <c r="U759" s="80" t="n">
        <f aca="false">SUM(S759:T759)</f>
        <v>55000</v>
      </c>
      <c r="V759" s="84" t="s">
        <v>12</v>
      </c>
      <c r="W759" s="80" t="e">
        <f aca="true">
IF(D759="폐업","폐업",
IF(V759="면제","면제",
IF(AND(V759="정상",COUNTIFS(OFFSET(Y759,0,COUNTA(Y759:AV759)-1,1,-4),"미납")&gt;=3),"장기미납",
IF(AND(V759="정상",OFFSET(Y759,0,COUNTA(Y759:AV759)-1)&gt;=U759),"정상",
IF(AND(V759="정상",OFFSET(Y759,0,COUNTA(Y759:AV759)-1)=0),"정상",
"계약서 미작성")))))</f>
        <v>#VALUE!</v>
      </c>
      <c r="X759" s="81" t="str">
        <f aca="true">
IF(D759="폐업","폐업",
IF(AND(V759="정상",OFFSET(Y759,0,COUNTA(Y759:AV759)-1)="미납"),"미납",
IF(AND(V759="정상",OFFSET(Y759,0,COUNTA(Y759:AV759)-1)=0),"납부 시작 전",
IF(AND(V759="정상",OFFSET(Y759,0,COUNTA(Y759:AV759)-1)&gt;=U759),"정상",
IF(AND(V759="면제",OFFSET(Y759,0,COUNTA(Y759:AV759)-1)="면제"),"면제",
IF(AND(V759="면제",OFFSET(Y759,0,COUNTA(Y759:AV759)-1)=0),"면제",
"확인요청"))))))</f>
        <v>정상</v>
      </c>
      <c r="Y759" s="93" t="n">
        <v>55000</v>
      </c>
      <c r="Z759" s="90" t="n">
        <v>55000</v>
      </c>
      <c r="AA759" s="90" t="n">
        <v>55000</v>
      </c>
      <c r="AB759" s="90" t="n">
        <v>55000</v>
      </c>
      <c r="AC759" s="90" t="n">
        <v>55000</v>
      </c>
      <c r="AD759" s="90" t="n">
        <v>55000</v>
      </c>
      <c r="AE759" s="90" t="n">
        <v>55000</v>
      </c>
      <c r="AF759" s="90" t="n">
        <v>55000</v>
      </c>
      <c r="AG759" s="90" t="n">
        <v>55000</v>
      </c>
      <c r="AH759" s="90" t="n">
        <v>55000</v>
      </c>
      <c r="AI759" s="90" t="n">
        <v>55000</v>
      </c>
      <c r="AJ759" s="91" t="n">
        <v>55000</v>
      </c>
      <c r="AK759" s="89" t="n">
        <v>55000</v>
      </c>
      <c r="AL759" s="90" t="n">
        <v>55000</v>
      </c>
      <c r="AM759" s="90"/>
      <c r="AN759" s="90"/>
      <c r="AO759" s="90"/>
      <c r="AP759" s="90"/>
      <c r="AQ759" s="90"/>
      <c r="AR759" s="90"/>
      <c r="AS759" s="90"/>
      <c r="AT759" s="90"/>
      <c r="AU759" s="90"/>
      <c r="AV759" s="91"/>
      <c r="AX759" s="92"/>
    </row>
    <row r="760" customFormat="false" ht="15.65" hidden="false" customHeight="false" outlineLevel="0" collapsed="false">
      <c r="C760" s="72" t="n">
        <f aca="false">COUNTIFS($D$6:D760,"&lt;&gt;"&amp;"")</f>
        <v>755</v>
      </c>
      <c r="D760" s="73" t="s">
        <v>12</v>
      </c>
      <c r="E760" s="76" t="str">
        <f aca="false">
IF($D760="정상",INDEX(임대자산!$D$3:$R$3000,MATCH($F760,임대자산!$I$3:$I$3000,0),MATCH(E$3,임대자산!$D$3:$R$3,0)),
IF($D760="폐업",INDEX(폐업정보!$D$3:$R$3000,MATCH($F760,폐업정보!$I$3:$I$3000,0),MATCH(E$3,폐업정보!$D$3:$R$3,0)),
"Error"))</f>
        <v>경상</v>
      </c>
      <c r="F76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B0755</v>
      </c>
      <c r="G760" s="76" t="str">
        <f aca="false">F760&amp;RANDBETWEEN(0,10)</f>
        <v>B07551</v>
      </c>
      <c r="H760" s="75" t="n">
        <f aca="false">
IF($D760="정상",INDEX(임대자산!$D$3:$R$3000,MATCH($F760,임대자산!$I$3:$I$3000,0),MATCH(H$4,임대자산!$D$3:$R$3,0)),
IF($D760="폐업",INDEX(폐업정보!$D$3:$R$3000,MATCH($F760,폐업정보!$I$3:$I$3000,0),MATCH(H$4,폐업정보!$D$3:$R$3,0)),
"Error"))</f>
        <v>45295</v>
      </c>
      <c r="I760" s="75" t="str">
        <f aca="false">
IF($D760="정상",INDEX(임대자산!$D$3:$R$3000,MATCH($F760,임대자산!$I$3:$I$3000,0),MATCH(I$4,임대자산!$D$3:$R$3,0)),
IF($D760="폐업",INDEX(폐업정보!$D$3:$R$3000,MATCH($F760,폐업정보!$I$3:$I$3000,0),MATCH(I$4,폐업정보!$D$3:$R$3,0)),
"Error"))</f>
        <v>A0755</v>
      </c>
      <c r="J760" s="75" t="str">
        <f aca="false">
IF($D760="정상",INDEX(임대자산!$D$3:$R$3000,MATCH($F760,임대자산!$I$3:$I$3000,0),MATCH(J$4,임대자산!$D$3:$R$3,0)),
IF($D760="폐업",INDEX(폐업정보!$D$3:$R$3000,MATCH($F760,폐업정보!$I$3:$I$3000,0),MATCH(J$4,폐업정보!$D$3:$R$3,0)),
"Error"))</f>
        <v>7223300000</v>
      </c>
      <c r="K760" s="75" t="str">
        <f aca="false">
IF($D760="정상",INDEX(임대자산!$D$3:$R$3000,MATCH($F760,임대자산!$I$3:$I$3000,0),MATCH(K$4,임대자산!$D$3:$R$3,0)),
IF($D760="폐업",INDEX(폐업정보!$D$3:$R$3000,MATCH($F760,폐업정보!$I$3:$I$3000,0),MATCH(K$4,폐업정보!$D$3:$R$3,0)),
"Error"))</f>
        <v>C0755</v>
      </c>
      <c r="L760" s="75" t="str">
        <f aca="false">
IF($D760="정상",INDEX(임대자산!$D$3:$R$3000,MATCH($F760,임대자산!$I$3:$I$3000,0),MATCH(L$4,임대자산!$D$3:$R$3,0)),
IF($D760="폐업",INDEX(폐업정보!$D$3:$R$3000,MATCH($F760,폐업정보!$I$3:$I$3000,0),MATCH(L$4,폐업정보!$D$3:$R$3,0)),
"Error"))</f>
        <v>D0755</v>
      </c>
      <c r="M760" s="76" t="s">
        <v>96</v>
      </c>
      <c r="N760" s="77"/>
      <c r="O760" s="78" t="s">
        <v>97</v>
      </c>
      <c r="P760" s="79" t="n">
        <f aca="false">COUNTIFS(임대자산!$I:$I,가맹점정보!F760,임대자산!$N:$N,가맹점정보!P$4)</f>
        <v>0</v>
      </c>
      <c r="Q760" s="80" t="n">
        <f aca="false">COUNTIFS(임대자산!$I:$I,가맹점정보!F760,임대자산!$N:$N,가맹점정보!Q$4)</f>
        <v>1</v>
      </c>
      <c r="R760" s="81" t="n">
        <f aca="false">COUNTIFS(임대자산!$I:$I,가맹점정보!F760,임대자산!$N:$N,가맹점정보!R$4)</f>
        <v>0</v>
      </c>
      <c r="S760" s="82" t="n">
        <v>55000</v>
      </c>
      <c r="T760" s="83" t="n">
        <v>0</v>
      </c>
      <c r="U760" s="80" t="n">
        <f aca="false">SUM(S760:T760)</f>
        <v>55000</v>
      </c>
      <c r="V760" s="84" t="s">
        <v>12</v>
      </c>
      <c r="W760" s="80" t="e">
        <f aca="true">
IF(D760="폐업","폐업",
IF(V760="면제","면제",
IF(AND(V760="정상",COUNTIFS(OFFSET(Y760,0,COUNTA(Y760:AV760)-1,1,-4),"미납")&gt;=3),"장기미납",
IF(AND(V760="정상",OFFSET(Y760,0,COUNTA(Y760:AV760)-1)&gt;=U760),"정상",
IF(AND(V760="정상",OFFSET(Y760,0,COUNTA(Y760:AV760)-1)=0),"정상",
"계약서 미작성")))))</f>
        <v>#VALUE!</v>
      </c>
      <c r="X760" s="81" t="str">
        <f aca="true">
IF(D760="폐업","폐업",
IF(AND(V760="정상",OFFSET(Y760,0,COUNTA(Y760:AV760)-1)="미납"),"미납",
IF(AND(V760="정상",OFFSET(Y760,0,COUNTA(Y760:AV760)-1)=0),"납부 시작 전",
IF(AND(V760="정상",OFFSET(Y760,0,COUNTA(Y760:AV760)-1)&gt;=U760),"정상",
IF(AND(V760="면제",OFFSET(Y760,0,COUNTA(Y760:AV760)-1)="면제"),"면제",
IF(AND(V760="면제",OFFSET(Y760,0,COUNTA(Y760:AV760)-1)=0),"면제",
"확인요청"))))))</f>
        <v>정상</v>
      </c>
      <c r="Y760" s="93" t="n">
        <v>55000</v>
      </c>
      <c r="Z760" s="90" t="n">
        <v>55000</v>
      </c>
      <c r="AA760" s="90" t="n">
        <v>55000</v>
      </c>
      <c r="AB760" s="90" t="n">
        <v>55000</v>
      </c>
      <c r="AC760" s="90" t="n">
        <v>55000</v>
      </c>
      <c r="AD760" s="90" t="n">
        <v>55000</v>
      </c>
      <c r="AE760" s="90" t="n">
        <v>55000</v>
      </c>
      <c r="AF760" s="90" t="n">
        <v>55000</v>
      </c>
      <c r="AG760" s="90" t="n">
        <v>55000</v>
      </c>
      <c r="AH760" s="90" t="n">
        <v>55000</v>
      </c>
      <c r="AI760" s="90" t="n">
        <v>55000</v>
      </c>
      <c r="AJ760" s="91" t="n">
        <v>55000</v>
      </c>
      <c r="AK760" s="89" t="n">
        <v>55000</v>
      </c>
      <c r="AL760" s="90" t="n">
        <v>55000</v>
      </c>
      <c r="AM760" s="90"/>
      <c r="AN760" s="90"/>
      <c r="AO760" s="90"/>
      <c r="AP760" s="90"/>
      <c r="AQ760" s="90"/>
      <c r="AR760" s="90"/>
      <c r="AS760" s="90"/>
      <c r="AT760" s="90"/>
      <c r="AU760" s="90"/>
      <c r="AV760" s="91"/>
      <c r="AX760" s="92"/>
    </row>
    <row r="761" customFormat="false" ht="15.65" hidden="false" customHeight="false" outlineLevel="0" collapsed="false">
      <c r="C761" s="72" t="n">
        <f aca="false">COUNTIFS($D$6:D761,"&lt;&gt;"&amp;"")</f>
        <v>756</v>
      </c>
      <c r="D761" s="73" t="s">
        <v>12</v>
      </c>
      <c r="E761" s="76" t="str">
        <f aca="false">
IF($D761="정상",INDEX(임대자산!$D$3:$R$3000,MATCH($F761,임대자산!$I$3:$I$3000,0),MATCH(E$3,임대자산!$D$3:$R$3,0)),
IF($D761="폐업",INDEX(폐업정보!$D$3:$R$3000,MATCH($F761,폐업정보!$I$3:$I$3000,0),MATCH(E$3,폐업정보!$D$3:$R$3,0)),
"Error"))</f>
        <v>서울</v>
      </c>
      <c r="F76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B0756</v>
      </c>
      <c r="G761" s="76" t="str">
        <f aca="false">F761&amp;RANDBETWEEN(0,10)</f>
        <v>B075610</v>
      </c>
      <c r="H761" s="75" t="n">
        <f aca="false">
IF($D761="정상",INDEX(임대자산!$D$3:$R$3000,MATCH($F761,임대자산!$I$3:$I$3000,0),MATCH(H$4,임대자산!$D$3:$R$3,0)),
IF($D761="폐업",INDEX(폐업정보!$D$3:$R$3000,MATCH($F761,폐업정보!$I$3:$I$3000,0),MATCH(H$4,폐업정보!$D$3:$R$3,0)),
"Error"))</f>
        <v>45987</v>
      </c>
      <c r="I761" s="75" t="str">
        <f aca="false">
IF($D761="정상",INDEX(임대자산!$D$3:$R$3000,MATCH($F761,임대자산!$I$3:$I$3000,0),MATCH(I$4,임대자산!$D$3:$R$3,0)),
IF($D761="폐업",INDEX(폐업정보!$D$3:$R$3000,MATCH($F761,폐업정보!$I$3:$I$3000,0),MATCH(I$4,폐업정보!$D$3:$R$3,0)),
"Error"))</f>
        <v>A0756</v>
      </c>
      <c r="J761" s="75" t="str">
        <f aca="false">
IF($D761="정상",INDEX(임대자산!$D$3:$R$3000,MATCH($F761,임대자산!$I$3:$I$3000,0),MATCH(J$4,임대자산!$D$3:$R$3,0)),
IF($D761="폐업",INDEX(폐업정보!$D$3:$R$3000,MATCH($F761,폐업정보!$I$3:$I$3000,0),MATCH(J$4,폐업정보!$D$3:$R$3,0)),
"Error"))</f>
        <v>8853300000</v>
      </c>
      <c r="K761" s="75" t="str">
        <f aca="false">
IF($D761="정상",INDEX(임대자산!$D$3:$R$3000,MATCH($F761,임대자산!$I$3:$I$3000,0),MATCH(K$4,임대자산!$D$3:$R$3,0)),
IF($D761="폐업",INDEX(폐업정보!$D$3:$R$3000,MATCH($F761,폐업정보!$I$3:$I$3000,0),MATCH(K$4,폐업정보!$D$3:$R$3,0)),
"Error"))</f>
        <v>C0756</v>
      </c>
      <c r="L761" s="75" t="str">
        <f aca="false">
IF($D761="정상",INDEX(임대자산!$D$3:$R$3000,MATCH($F761,임대자산!$I$3:$I$3000,0),MATCH(L$4,임대자산!$D$3:$R$3,0)),
IF($D761="폐업",INDEX(폐업정보!$D$3:$R$3000,MATCH($F761,폐업정보!$I$3:$I$3000,0),MATCH(L$4,폐업정보!$D$3:$R$3,0)),
"Error"))</f>
        <v>D0756</v>
      </c>
      <c r="M761" s="76" t="s">
        <v>96</v>
      </c>
      <c r="N761" s="77"/>
      <c r="O761" s="78" t="s">
        <v>97</v>
      </c>
      <c r="P761" s="79" t="n">
        <f aca="false">COUNTIFS(임대자산!$I:$I,가맹점정보!F761,임대자산!$N:$N,가맹점정보!P$4)</f>
        <v>0</v>
      </c>
      <c r="Q761" s="80" t="n">
        <f aca="false">COUNTIFS(임대자산!$I:$I,가맹점정보!F761,임대자산!$N:$N,가맹점정보!Q$4)</f>
        <v>1</v>
      </c>
      <c r="R761" s="81" t="n">
        <f aca="false">COUNTIFS(임대자산!$I:$I,가맹점정보!F761,임대자산!$N:$N,가맹점정보!R$4)</f>
        <v>0</v>
      </c>
      <c r="S761" s="82" t="n">
        <v>27500</v>
      </c>
      <c r="T761" s="83" t="n">
        <v>27500</v>
      </c>
      <c r="U761" s="80" t="n">
        <f aca="false">SUM(S761:T761)</f>
        <v>55000</v>
      </c>
      <c r="V761" s="84" t="s">
        <v>12</v>
      </c>
      <c r="W761" s="80" t="e">
        <f aca="true">
IF(D761="폐업","폐업",
IF(V761="면제","면제",
IF(AND(V761="정상",COUNTIFS(OFFSET(Y761,0,COUNTA(Y761:AV761)-1,1,-4),"미납")&gt;=3),"장기미납",
IF(AND(V761="정상",OFFSET(Y761,0,COUNTA(Y761:AV761)-1)&gt;=U761),"정상",
IF(AND(V761="정상",OFFSET(Y761,0,COUNTA(Y761:AV761)-1)=0),"정상",
"계약서 미작성")))))</f>
        <v>#VALUE!</v>
      </c>
      <c r="X761" s="81" t="str">
        <f aca="true">
IF(D761="폐업","폐업",
IF(AND(V761="정상",OFFSET(Y761,0,COUNTA(Y761:AV761)-1)="미납"),"미납",
IF(AND(V761="정상",OFFSET(Y761,0,COUNTA(Y761:AV761)-1)=0),"납부 시작 전",
IF(AND(V761="정상",OFFSET(Y761,0,COUNTA(Y761:AV761)-1)&gt;=U761),"정상",
IF(AND(V761="면제",OFFSET(Y761,0,COUNTA(Y761:AV761)-1)="면제"),"면제",
IF(AND(V761="면제",OFFSET(Y761,0,COUNTA(Y761:AV761)-1)=0),"면제",
"확인요청"))))))</f>
        <v>정상</v>
      </c>
      <c r="Y761" s="93" t="n">
        <v>55000</v>
      </c>
      <c r="Z761" s="90" t="n">
        <v>55000</v>
      </c>
      <c r="AA761" s="90" t="n">
        <v>55000</v>
      </c>
      <c r="AB761" s="90" t="n">
        <v>55000</v>
      </c>
      <c r="AC761" s="90" t="n">
        <v>55000</v>
      </c>
      <c r="AD761" s="90" t="n">
        <v>55000</v>
      </c>
      <c r="AE761" s="90" t="n">
        <v>55000</v>
      </c>
      <c r="AF761" s="90" t="n">
        <v>55000</v>
      </c>
      <c r="AG761" s="90" t="n">
        <v>55000</v>
      </c>
      <c r="AH761" s="90" t="n">
        <v>55000</v>
      </c>
      <c r="AI761" s="90" t="n">
        <v>55000</v>
      </c>
      <c r="AJ761" s="91" t="n">
        <v>55000</v>
      </c>
      <c r="AK761" s="89" t="n">
        <v>55000</v>
      </c>
      <c r="AL761" s="90" t="n">
        <v>55000</v>
      </c>
      <c r="AM761" s="90"/>
      <c r="AN761" s="90"/>
      <c r="AO761" s="90"/>
      <c r="AP761" s="90"/>
      <c r="AQ761" s="90"/>
      <c r="AR761" s="90"/>
      <c r="AS761" s="90"/>
      <c r="AT761" s="90"/>
      <c r="AU761" s="90"/>
      <c r="AV761" s="91"/>
      <c r="AX761" s="92"/>
    </row>
    <row r="762" customFormat="false" ht="15.65" hidden="false" customHeight="false" outlineLevel="0" collapsed="false">
      <c r="C762" s="72" t="n">
        <f aca="false">COUNTIFS($D$6:D762,"&lt;&gt;"&amp;"")</f>
        <v>757</v>
      </c>
      <c r="D762" s="73" t="s">
        <v>12</v>
      </c>
      <c r="E762" s="76" t="str">
        <f aca="false">
IF($D762="정상",INDEX(임대자산!$D$3:$R$3000,MATCH($F762,임대자산!$I$3:$I$3000,0),MATCH(E$3,임대자산!$D$3:$R$3,0)),
IF($D762="폐업",INDEX(폐업정보!$D$3:$R$3000,MATCH($F762,폐업정보!$I$3:$I$3000,0),MATCH(E$3,폐업정보!$D$3:$R$3,0)),
"Error"))</f>
        <v>서울</v>
      </c>
      <c r="F76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B0757</v>
      </c>
      <c r="G762" s="76" t="str">
        <f aca="false">F762&amp;RANDBETWEEN(0,10)</f>
        <v>B07573</v>
      </c>
      <c r="H762" s="75" t="n">
        <f aca="false">
IF($D762="정상",INDEX(임대자산!$D$3:$R$3000,MATCH($F762,임대자산!$I$3:$I$3000,0),MATCH(H$4,임대자산!$D$3:$R$3,0)),
IF($D762="폐업",INDEX(폐업정보!$D$3:$R$3000,MATCH($F762,폐업정보!$I$3:$I$3000,0),MATCH(H$4,폐업정보!$D$3:$R$3,0)),
"Error"))</f>
        <v>44748</v>
      </c>
      <c r="I762" s="75" t="str">
        <f aca="false">
IF($D762="정상",INDEX(임대자산!$D$3:$R$3000,MATCH($F762,임대자산!$I$3:$I$3000,0),MATCH(I$4,임대자산!$D$3:$R$3,0)),
IF($D762="폐업",INDEX(폐업정보!$D$3:$R$3000,MATCH($F762,폐업정보!$I$3:$I$3000,0),MATCH(I$4,폐업정보!$D$3:$R$3,0)),
"Error"))</f>
        <v>A0757</v>
      </c>
      <c r="J762" s="75" t="str">
        <f aca="false">
IF($D762="정상",INDEX(임대자산!$D$3:$R$3000,MATCH($F762,임대자산!$I$3:$I$3000,0),MATCH(J$4,임대자산!$D$3:$R$3,0)),
IF($D762="폐업",INDEX(폐업정보!$D$3:$R$3000,MATCH($F762,폐업정보!$I$3:$I$3000,0),MATCH(J$4,폐업정보!$D$3:$R$3,0)),
"Error"))</f>
        <v>3717800000</v>
      </c>
      <c r="K762" s="75" t="str">
        <f aca="false">
IF($D762="정상",INDEX(임대자산!$D$3:$R$3000,MATCH($F762,임대자산!$I$3:$I$3000,0),MATCH(K$4,임대자산!$D$3:$R$3,0)),
IF($D762="폐업",INDEX(폐업정보!$D$3:$R$3000,MATCH($F762,폐업정보!$I$3:$I$3000,0),MATCH(K$4,폐업정보!$D$3:$R$3,0)),
"Error"))</f>
        <v>C0757</v>
      </c>
      <c r="L762" s="75" t="str">
        <f aca="false">
IF($D762="정상",INDEX(임대자산!$D$3:$R$3000,MATCH($F762,임대자산!$I$3:$I$3000,0),MATCH(L$4,임대자산!$D$3:$R$3,0)),
IF($D762="폐업",INDEX(폐업정보!$D$3:$R$3000,MATCH($F762,폐업정보!$I$3:$I$3000,0),MATCH(L$4,폐업정보!$D$3:$R$3,0)),
"Error"))</f>
        <v>D0757</v>
      </c>
      <c r="M762" s="76" t="s">
        <v>96</v>
      </c>
      <c r="N762" s="77"/>
      <c r="O762" s="78" t="s">
        <v>97</v>
      </c>
      <c r="P762" s="79" t="n">
        <f aca="false">COUNTIFS(임대자산!$I:$I,가맹점정보!F762,임대자산!$N:$N,가맹점정보!P$4)</f>
        <v>0</v>
      </c>
      <c r="Q762" s="80" t="n">
        <f aca="false">COUNTIFS(임대자산!$I:$I,가맹점정보!F762,임대자산!$N:$N,가맹점정보!Q$4)</f>
        <v>1</v>
      </c>
      <c r="R762" s="81" t="n">
        <f aca="false">COUNTIFS(임대자산!$I:$I,가맹점정보!F762,임대자산!$N:$N,가맹점정보!R$4)</f>
        <v>0</v>
      </c>
      <c r="S762" s="82" t="n">
        <v>88000</v>
      </c>
      <c r="T762" s="83" t="n">
        <v>0</v>
      </c>
      <c r="U762" s="80" t="n">
        <f aca="false">SUM(S762:T762)</f>
        <v>88000</v>
      </c>
      <c r="V762" s="84" t="s">
        <v>12</v>
      </c>
      <c r="W762" s="80" t="e">
        <f aca="true">
IF(D762="폐업","폐업",
IF(V762="면제","면제",
IF(AND(V762="정상",COUNTIFS(OFFSET(Y762,0,COUNTA(Y762:AV762)-1,1,-4),"미납")&gt;=3),"장기미납",
IF(AND(V762="정상",OFFSET(Y762,0,COUNTA(Y762:AV762)-1)&gt;=U762),"정상",
IF(AND(V762="정상",OFFSET(Y762,0,COUNTA(Y762:AV762)-1)=0),"정상",
"계약서 미작성")))))</f>
        <v>#VALUE!</v>
      </c>
      <c r="X762" s="81" t="str">
        <f aca="true">
IF(D762="폐업","폐업",
IF(AND(V762="정상",OFFSET(Y762,0,COUNTA(Y762:AV762)-1)="미납"),"미납",
IF(AND(V762="정상",OFFSET(Y762,0,COUNTA(Y762:AV762)-1)=0),"납부 시작 전",
IF(AND(V762="정상",OFFSET(Y762,0,COUNTA(Y762:AV762)-1)&gt;=U762),"정상",
IF(AND(V762="면제",OFFSET(Y762,0,COUNTA(Y762:AV762)-1)="면제"),"면제",
IF(AND(V762="면제",OFFSET(Y762,0,COUNTA(Y762:AV762)-1)=0),"면제",
"확인요청"))))))</f>
        <v>정상</v>
      </c>
      <c r="Y762" s="93" t="n">
        <v>88000</v>
      </c>
      <c r="Z762" s="90" t="n">
        <v>88000</v>
      </c>
      <c r="AA762" s="90" t="n">
        <v>88000</v>
      </c>
      <c r="AB762" s="90" t="n">
        <v>88000</v>
      </c>
      <c r="AC762" s="90" t="n">
        <v>88000</v>
      </c>
      <c r="AD762" s="90" t="n">
        <v>88000</v>
      </c>
      <c r="AE762" s="90" t="n">
        <v>88000</v>
      </c>
      <c r="AF762" s="90" t="n">
        <v>88000</v>
      </c>
      <c r="AG762" s="90" t="n">
        <v>88000</v>
      </c>
      <c r="AH762" s="90" t="n">
        <v>88000</v>
      </c>
      <c r="AI762" s="90" t="n">
        <v>88000</v>
      </c>
      <c r="AJ762" s="91" t="n">
        <v>88000</v>
      </c>
      <c r="AK762" s="89" t="n">
        <v>88000</v>
      </c>
      <c r="AL762" s="90" t="n">
        <v>88000</v>
      </c>
      <c r="AM762" s="90"/>
      <c r="AN762" s="90"/>
      <c r="AO762" s="90"/>
      <c r="AP762" s="90"/>
      <c r="AQ762" s="90"/>
      <c r="AR762" s="90"/>
      <c r="AS762" s="90"/>
      <c r="AT762" s="90"/>
      <c r="AU762" s="90"/>
      <c r="AV762" s="91"/>
      <c r="AX762" s="92"/>
    </row>
    <row r="763" customFormat="false" ht="15.65" hidden="false" customHeight="false" outlineLevel="0" collapsed="false">
      <c r="C763" s="72" t="n">
        <f aca="false">COUNTIFS($D$6:D763,"&lt;&gt;"&amp;"")</f>
        <v>758</v>
      </c>
      <c r="D763" s="73" t="s">
        <v>12</v>
      </c>
      <c r="E763" s="76" t="str">
        <f aca="false">
IF($D763="정상",INDEX(임대자산!$D$3:$R$3000,MATCH($F763,임대자산!$I$3:$I$3000,0),MATCH(E$3,임대자산!$D$3:$R$3,0)),
IF($D763="폐업",INDEX(폐업정보!$D$3:$R$3000,MATCH($F763,폐업정보!$I$3:$I$3000,0),MATCH(E$3,폐업정보!$D$3:$R$3,0)),
"Error"))</f>
        <v>경상</v>
      </c>
      <c r="F76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B0758</v>
      </c>
      <c r="G763" s="76" t="str">
        <f aca="false">F763&amp;RANDBETWEEN(0,10)</f>
        <v>B07584</v>
      </c>
      <c r="H763" s="75" t="n">
        <f aca="false">
IF($D763="정상",INDEX(임대자산!$D$3:$R$3000,MATCH($F763,임대자산!$I$3:$I$3000,0),MATCH(H$4,임대자산!$D$3:$R$3,0)),
IF($D763="폐업",INDEX(폐업정보!$D$3:$R$3000,MATCH($F763,폐업정보!$I$3:$I$3000,0),MATCH(H$4,폐업정보!$D$3:$R$3,0)),
"Error"))</f>
        <v>46062</v>
      </c>
      <c r="I763" s="75" t="str">
        <f aca="false">
IF($D763="정상",INDEX(임대자산!$D$3:$R$3000,MATCH($F763,임대자산!$I$3:$I$3000,0),MATCH(I$4,임대자산!$D$3:$R$3,0)),
IF($D763="폐업",INDEX(폐업정보!$D$3:$R$3000,MATCH($F763,폐업정보!$I$3:$I$3000,0),MATCH(I$4,폐업정보!$D$3:$R$3,0)),
"Error"))</f>
        <v>A0758</v>
      </c>
      <c r="J763" s="75" t="str">
        <f aca="false">
IF($D763="정상",INDEX(임대자산!$D$3:$R$3000,MATCH($F763,임대자산!$I$3:$I$3000,0),MATCH(J$4,임대자산!$D$3:$R$3,0)),
IF($D763="폐업",INDEX(폐업정보!$D$3:$R$3000,MATCH($F763,폐업정보!$I$3:$I$3000,0),MATCH(J$4,폐업정보!$D$3:$R$3,0)),
"Error"))</f>
        <v>1349900000</v>
      </c>
      <c r="K763" s="75" t="str">
        <f aca="false">
IF($D763="정상",INDEX(임대자산!$D$3:$R$3000,MATCH($F763,임대자산!$I$3:$I$3000,0),MATCH(K$4,임대자산!$D$3:$R$3,0)),
IF($D763="폐업",INDEX(폐업정보!$D$3:$R$3000,MATCH($F763,폐업정보!$I$3:$I$3000,0),MATCH(K$4,폐업정보!$D$3:$R$3,0)),
"Error"))</f>
        <v>C0758</v>
      </c>
      <c r="L763" s="75" t="str">
        <f aca="false">
IF($D763="정상",INDEX(임대자산!$D$3:$R$3000,MATCH($F763,임대자산!$I$3:$I$3000,0),MATCH(L$4,임대자산!$D$3:$R$3,0)),
IF($D763="폐업",INDEX(폐업정보!$D$3:$R$3000,MATCH($F763,폐업정보!$I$3:$I$3000,0),MATCH(L$4,폐업정보!$D$3:$R$3,0)),
"Error"))</f>
        <v>D0758</v>
      </c>
      <c r="M763" s="76" t="s">
        <v>96</v>
      </c>
      <c r="N763" s="77"/>
      <c r="O763" s="78" t="s">
        <v>97</v>
      </c>
      <c r="P763" s="79" t="n">
        <f aca="false">COUNTIFS(임대자산!$I:$I,가맹점정보!F763,임대자산!$N:$N,가맹점정보!P$4)</f>
        <v>0</v>
      </c>
      <c r="Q763" s="80" t="n">
        <f aca="false">COUNTIFS(임대자산!$I:$I,가맹점정보!F763,임대자산!$N:$N,가맹점정보!Q$4)</f>
        <v>1</v>
      </c>
      <c r="R763" s="81" t="n">
        <f aca="false">COUNTIFS(임대자산!$I:$I,가맹점정보!F763,임대자산!$N:$N,가맹점정보!R$4)</f>
        <v>0</v>
      </c>
      <c r="S763" s="82" t="n">
        <v>55000</v>
      </c>
      <c r="T763" s="83" t="n">
        <v>0</v>
      </c>
      <c r="U763" s="80" t="n">
        <f aca="false">SUM(S763:T763)</f>
        <v>55000</v>
      </c>
      <c r="V763" s="84" t="s">
        <v>12</v>
      </c>
      <c r="W763" s="80" t="e">
        <f aca="true">
IF(D763="폐업","폐업",
IF(V763="면제","면제",
IF(AND(V763="정상",COUNTIFS(OFFSET(Y763,0,COUNTA(Y763:AV763)-1,1,-4),"미납")&gt;=3),"장기미납",
IF(AND(V763="정상",OFFSET(Y763,0,COUNTA(Y763:AV763)-1)&gt;=U763),"정상",
IF(AND(V763="정상",OFFSET(Y763,0,COUNTA(Y763:AV763)-1)=0),"정상",
"계약서 미작성")))))</f>
        <v>#VALUE!</v>
      </c>
      <c r="X763" s="81" t="str">
        <f aca="true">
IF(D763="폐업","폐업",
IF(AND(V763="정상",OFFSET(Y763,0,COUNTA(Y763:AV763)-1)="미납"),"미납",
IF(AND(V763="정상",OFFSET(Y763,0,COUNTA(Y763:AV763)-1)=0),"납부 시작 전",
IF(AND(V763="정상",OFFSET(Y763,0,COUNTA(Y763:AV763)-1)&gt;=U763),"정상",
IF(AND(V763="면제",OFFSET(Y763,0,COUNTA(Y763:AV763)-1)="면제"),"면제",
IF(AND(V763="면제",OFFSET(Y763,0,COUNTA(Y763:AV763)-1)=0),"면제",
"확인요청"))))))</f>
        <v>정상</v>
      </c>
      <c r="Y763" s="93" t="n">
        <v>55000</v>
      </c>
      <c r="Z763" s="90" t="n">
        <v>55000</v>
      </c>
      <c r="AA763" s="90" t="n">
        <v>55000</v>
      </c>
      <c r="AB763" s="90" t="n">
        <v>55000</v>
      </c>
      <c r="AC763" s="90" t="n">
        <v>55000</v>
      </c>
      <c r="AD763" s="90" t="n">
        <v>55000</v>
      </c>
      <c r="AE763" s="90" t="n">
        <v>55000</v>
      </c>
      <c r="AF763" s="90" t="n">
        <v>55000</v>
      </c>
      <c r="AG763" s="90" t="n">
        <v>55000</v>
      </c>
      <c r="AH763" s="90" t="n">
        <v>55000</v>
      </c>
      <c r="AI763" s="90" t="n">
        <v>55000</v>
      </c>
      <c r="AJ763" s="91" t="n">
        <v>55000</v>
      </c>
      <c r="AK763" s="89" t="n">
        <v>55000</v>
      </c>
      <c r="AL763" s="90" t="n">
        <v>55000</v>
      </c>
      <c r="AM763" s="90"/>
      <c r="AN763" s="90"/>
      <c r="AO763" s="90"/>
      <c r="AP763" s="90"/>
      <c r="AQ763" s="90"/>
      <c r="AR763" s="90"/>
      <c r="AS763" s="90"/>
      <c r="AT763" s="90"/>
      <c r="AU763" s="90"/>
      <c r="AV763" s="91"/>
      <c r="AX763" s="92"/>
    </row>
    <row r="764" customFormat="false" ht="15.65" hidden="false" customHeight="false" outlineLevel="0" collapsed="false">
      <c r="C764" s="72" t="n">
        <f aca="false">COUNTIFS($D$6:D764,"&lt;&gt;"&amp;"")</f>
        <v>759</v>
      </c>
      <c r="D764" s="73" t="s">
        <v>12</v>
      </c>
      <c r="E764" s="76" t="str">
        <f aca="false">
IF($D764="정상",INDEX(임대자산!$D$3:$R$3000,MATCH($F764,임대자산!$I$3:$I$3000,0),MATCH(E$3,임대자산!$D$3:$R$3,0)),
IF($D764="폐업",INDEX(폐업정보!$D$3:$R$3000,MATCH($F764,폐업정보!$I$3:$I$3000,0),MATCH(E$3,폐업정보!$D$3:$R$3,0)),
"Error"))</f>
        <v>경상</v>
      </c>
      <c r="F76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B0759</v>
      </c>
      <c r="G764" s="76" t="str">
        <f aca="false">F764&amp;RANDBETWEEN(0,10)</f>
        <v>B075910</v>
      </c>
      <c r="H764" s="75" t="n">
        <f aca="false">
IF($D764="정상",INDEX(임대자산!$D$3:$R$3000,MATCH($F764,임대자산!$I$3:$I$3000,0),MATCH(H$4,임대자산!$D$3:$R$3,0)),
IF($D764="폐업",INDEX(폐업정보!$D$3:$R$3000,MATCH($F764,폐업정보!$I$3:$I$3000,0),MATCH(H$4,폐업정보!$D$3:$R$3,0)),
"Error"))</f>
        <v>45294</v>
      </c>
      <c r="I764" s="75" t="str">
        <f aca="false">
IF($D764="정상",INDEX(임대자산!$D$3:$R$3000,MATCH($F764,임대자산!$I$3:$I$3000,0),MATCH(I$4,임대자산!$D$3:$R$3,0)),
IF($D764="폐업",INDEX(폐업정보!$D$3:$R$3000,MATCH($F764,폐업정보!$I$3:$I$3000,0),MATCH(I$4,폐업정보!$D$3:$R$3,0)),
"Error"))</f>
        <v>A0759</v>
      </c>
      <c r="J764" s="75" t="str">
        <f aca="false">
IF($D764="정상",INDEX(임대자산!$D$3:$R$3000,MATCH($F764,임대자산!$I$3:$I$3000,0),MATCH(J$4,임대자산!$D$3:$R$3,0)),
IF($D764="폐업",INDEX(폐업정보!$D$3:$R$3000,MATCH($F764,폐업정보!$I$3:$I$3000,0),MATCH(J$4,폐업정보!$D$3:$R$3,0)),
"Error"))</f>
        <v>8503900000</v>
      </c>
      <c r="K764" s="75" t="str">
        <f aca="false">
IF($D764="정상",INDEX(임대자산!$D$3:$R$3000,MATCH($F764,임대자산!$I$3:$I$3000,0),MATCH(K$4,임대자산!$D$3:$R$3,0)),
IF($D764="폐업",INDEX(폐업정보!$D$3:$R$3000,MATCH($F764,폐업정보!$I$3:$I$3000,0),MATCH(K$4,폐업정보!$D$3:$R$3,0)),
"Error"))</f>
        <v>C0759</v>
      </c>
      <c r="L764" s="75" t="str">
        <f aca="false">
IF($D764="정상",INDEX(임대자산!$D$3:$R$3000,MATCH($F764,임대자산!$I$3:$I$3000,0),MATCH(L$4,임대자산!$D$3:$R$3,0)),
IF($D764="폐업",INDEX(폐업정보!$D$3:$R$3000,MATCH($F764,폐업정보!$I$3:$I$3000,0),MATCH(L$4,폐업정보!$D$3:$R$3,0)),
"Error"))</f>
        <v>D0759</v>
      </c>
      <c r="M764" s="76" t="s">
        <v>96</v>
      </c>
      <c r="N764" s="77"/>
      <c r="O764" s="78" t="s">
        <v>97</v>
      </c>
      <c r="P764" s="79" t="n">
        <f aca="false">COUNTIFS(임대자산!$I:$I,가맹점정보!F764,임대자산!$N:$N,가맹점정보!P$4)</f>
        <v>0</v>
      </c>
      <c r="Q764" s="80" t="n">
        <f aca="false">COUNTIFS(임대자산!$I:$I,가맹점정보!F764,임대자산!$N:$N,가맹점정보!Q$4)</f>
        <v>1</v>
      </c>
      <c r="R764" s="81" t="n">
        <f aca="false">COUNTIFS(임대자산!$I:$I,가맹점정보!F764,임대자산!$N:$N,가맹점정보!R$4)</f>
        <v>0</v>
      </c>
      <c r="S764" s="82" t="n">
        <v>55000</v>
      </c>
      <c r="T764" s="83" t="n">
        <v>0</v>
      </c>
      <c r="U764" s="80" t="n">
        <f aca="false">SUM(S764:T764)</f>
        <v>55000</v>
      </c>
      <c r="V764" s="84" t="s">
        <v>12</v>
      </c>
      <c r="W764" s="80" t="e">
        <f aca="true">
IF(D764="폐업","폐업",
IF(V764="면제","면제",
IF(AND(V764="정상",COUNTIFS(OFFSET(Y764,0,COUNTA(Y764:AV764)-1,1,-4),"미납")&gt;=3),"장기미납",
IF(AND(V764="정상",OFFSET(Y764,0,COUNTA(Y764:AV764)-1)&gt;=U764),"정상",
IF(AND(V764="정상",OFFSET(Y764,0,COUNTA(Y764:AV764)-1)=0),"정상",
"계약서 미작성")))))</f>
        <v>#VALUE!</v>
      </c>
      <c r="X764" s="81" t="str">
        <f aca="true">
IF(D764="폐업","폐업",
IF(AND(V764="정상",OFFSET(Y764,0,COUNTA(Y764:AV764)-1)="미납"),"미납",
IF(AND(V764="정상",OFFSET(Y764,0,COUNTA(Y764:AV764)-1)=0),"납부 시작 전",
IF(AND(V764="정상",OFFSET(Y764,0,COUNTA(Y764:AV764)-1)&gt;=U764),"정상",
IF(AND(V764="면제",OFFSET(Y764,0,COUNTA(Y764:AV764)-1)="면제"),"면제",
IF(AND(V764="면제",OFFSET(Y764,0,COUNTA(Y764:AV764)-1)=0),"면제",
"확인요청"))))))</f>
        <v>정상</v>
      </c>
      <c r="Y764" s="93" t="n">
        <v>55000</v>
      </c>
      <c r="Z764" s="90" t="n">
        <v>55000</v>
      </c>
      <c r="AA764" s="90" t="n">
        <v>55000</v>
      </c>
      <c r="AB764" s="90" t="n">
        <v>55000</v>
      </c>
      <c r="AC764" s="90" t="n">
        <v>55000</v>
      </c>
      <c r="AD764" s="90" t="n">
        <v>55000</v>
      </c>
      <c r="AE764" s="90" t="n">
        <v>55000</v>
      </c>
      <c r="AF764" s="90" t="n">
        <v>55000</v>
      </c>
      <c r="AG764" s="90" t="n">
        <v>55000</v>
      </c>
      <c r="AH764" s="90" t="n">
        <v>55000</v>
      </c>
      <c r="AI764" s="90" t="n">
        <v>55000</v>
      </c>
      <c r="AJ764" s="91" t="n">
        <v>55000</v>
      </c>
      <c r="AK764" s="89" t="n">
        <v>55000</v>
      </c>
      <c r="AL764" s="90" t="n">
        <v>55000</v>
      </c>
      <c r="AM764" s="90"/>
      <c r="AN764" s="90"/>
      <c r="AO764" s="90"/>
      <c r="AP764" s="90"/>
      <c r="AQ764" s="90"/>
      <c r="AR764" s="90"/>
      <c r="AS764" s="90"/>
      <c r="AT764" s="90"/>
      <c r="AU764" s="90"/>
      <c r="AV764" s="91"/>
      <c r="AX764" s="92"/>
    </row>
    <row r="765" customFormat="false" ht="15.65" hidden="false" customHeight="false" outlineLevel="0" collapsed="false">
      <c r="C765" s="72" t="n">
        <f aca="false">COUNTIFS($D$6:D765,"&lt;&gt;"&amp;"")</f>
        <v>760</v>
      </c>
      <c r="D765" s="73" t="s">
        <v>12</v>
      </c>
      <c r="E765" s="76" t="str">
        <f aca="false">
IF($D765="정상",INDEX(임대자산!$D$3:$R$3000,MATCH($F765,임대자산!$I$3:$I$3000,0),MATCH(E$3,임대자산!$D$3:$R$3,0)),
IF($D765="폐업",INDEX(폐업정보!$D$3:$R$3000,MATCH($F765,폐업정보!$I$3:$I$3000,0),MATCH(E$3,폐업정보!$D$3:$R$3,0)),
"Error"))</f>
        <v>강원</v>
      </c>
      <c r="F76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B0760</v>
      </c>
      <c r="G765" s="76" t="str">
        <f aca="false">F765&amp;RANDBETWEEN(0,10)</f>
        <v>B07609</v>
      </c>
      <c r="H765" s="75" t="n">
        <f aca="false">
IF($D765="정상",INDEX(임대자산!$D$3:$R$3000,MATCH($F765,임대자산!$I$3:$I$3000,0),MATCH(H$4,임대자산!$D$3:$R$3,0)),
IF($D765="폐업",INDEX(폐업정보!$D$3:$R$3000,MATCH($F765,폐업정보!$I$3:$I$3000,0),MATCH(H$4,폐업정보!$D$3:$R$3,0)),
"Error"))</f>
        <v>45342</v>
      </c>
      <c r="I765" s="75" t="str">
        <f aca="false">
IF($D765="정상",INDEX(임대자산!$D$3:$R$3000,MATCH($F765,임대자산!$I$3:$I$3000,0),MATCH(I$4,임대자산!$D$3:$R$3,0)),
IF($D765="폐업",INDEX(폐업정보!$D$3:$R$3000,MATCH($F765,폐업정보!$I$3:$I$3000,0),MATCH(I$4,폐업정보!$D$3:$R$3,0)),
"Error"))</f>
        <v>A0760</v>
      </c>
      <c r="J765" s="75" t="str">
        <f aca="false">
IF($D765="정상",INDEX(임대자산!$D$3:$R$3000,MATCH($F765,임대자산!$I$3:$I$3000,0),MATCH(J$4,임대자산!$D$3:$R$3,0)),
IF($D765="폐업",INDEX(폐업정보!$D$3:$R$3000,MATCH($F765,폐업정보!$I$3:$I$3000,0),MATCH(J$4,폐업정보!$D$3:$R$3,0)),
"Error"))</f>
        <v>7589500000</v>
      </c>
      <c r="K765" s="75" t="str">
        <f aca="false">
IF($D765="정상",INDEX(임대자산!$D$3:$R$3000,MATCH($F765,임대자산!$I$3:$I$3000,0),MATCH(K$4,임대자산!$D$3:$R$3,0)),
IF($D765="폐업",INDEX(폐업정보!$D$3:$R$3000,MATCH($F765,폐업정보!$I$3:$I$3000,0),MATCH(K$4,폐업정보!$D$3:$R$3,0)),
"Error"))</f>
        <v>C0760</v>
      </c>
      <c r="L765" s="75" t="str">
        <f aca="false">
IF($D765="정상",INDEX(임대자산!$D$3:$R$3000,MATCH($F765,임대자산!$I$3:$I$3000,0),MATCH(L$4,임대자산!$D$3:$R$3,0)),
IF($D765="폐업",INDEX(폐업정보!$D$3:$R$3000,MATCH($F765,폐업정보!$I$3:$I$3000,0),MATCH(L$4,폐업정보!$D$3:$R$3,0)),
"Error"))</f>
        <v>D0760</v>
      </c>
      <c r="M765" s="76" t="s">
        <v>96</v>
      </c>
      <c r="N765" s="77"/>
      <c r="O765" s="78" t="s">
        <v>97</v>
      </c>
      <c r="P765" s="79" t="n">
        <f aca="false">COUNTIFS(임대자산!$I:$I,가맹점정보!F765,임대자산!$N:$N,가맹점정보!P$4)</f>
        <v>0</v>
      </c>
      <c r="Q765" s="80" t="n">
        <f aca="false">COUNTIFS(임대자산!$I:$I,가맹점정보!F765,임대자산!$N:$N,가맹점정보!Q$4)</f>
        <v>1</v>
      </c>
      <c r="R765" s="81" t="n">
        <f aca="false">COUNTIFS(임대자산!$I:$I,가맹점정보!F765,임대자산!$N:$N,가맹점정보!R$4)</f>
        <v>0</v>
      </c>
      <c r="S765" s="82" t="n">
        <v>55000</v>
      </c>
      <c r="T765" s="83" t="n">
        <v>0</v>
      </c>
      <c r="U765" s="80" t="n">
        <f aca="false">SUM(S765:T765)</f>
        <v>55000</v>
      </c>
      <c r="V765" s="84" t="s">
        <v>12</v>
      </c>
      <c r="W765" s="80" t="e">
        <f aca="true">
IF(D765="폐업","폐업",
IF(V765="면제","면제",
IF(AND(V765="정상",COUNTIFS(OFFSET(Y765,0,COUNTA(Y765:AV765)-1,1,-4),"미납")&gt;=3),"장기미납",
IF(AND(V765="정상",OFFSET(Y765,0,COUNTA(Y765:AV765)-1)&gt;=U765),"정상",
IF(AND(V765="정상",OFFSET(Y765,0,COUNTA(Y765:AV765)-1)=0),"정상",
"계약서 미작성")))))</f>
        <v>#VALUE!</v>
      </c>
      <c r="X765" s="81" t="str">
        <f aca="true">
IF(D765="폐업","폐업",
IF(AND(V765="정상",OFFSET(Y765,0,COUNTA(Y765:AV765)-1)="미납"),"미납",
IF(AND(V765="정상",OFFSET(Y765,0,COUNTA(Y765:AV765)-1)=0),"납부 시작 전",
IF(AND(V765="정상",OFFSET(Y765,0,COUNTA(Y765:AV765)-1)&gt;=U765),"정상",
IF(AND(V765="면제",OFFSET(Y765,0,COUNTA(Y765:AV765)-1)="면제"),"면제",
IF(AND(V765="면제",OFFSET(Y765,0,COUNTA(Y765:AV765)-1)=0),"면제",
"확인요청"))))))</f>
        <v>정상</v>
      </c>
      <c r="Y765" s="93" t="n">
        <v>55000</v>
      </c>
      <c r="Z765" s="90" t="n">
        <v>55000</v>
      </c>
      <c r="AA765" s="90" t="n">
        <v>55000</v>
      </c>
      <c r="AB765" s="90" t="n">
        <v>55000</v>
      </c>
      <c r="AC765" s="90" t="n">
        <v>55000</v>
      </c>
      <c r="AD765" s="90" t="n">
        <v>55000</v>
      </c>
      <c r="AE765" s="90" t="n">
        <v>55000</v>
      </c>
      <c r="AF765" s="90" t="n">
        <v>55000</v>
      </c>
      <c r="AG765" s="90" t="n">
        <v>55000</v>
      </c>
      <c r="AH765" s="90" t="n">
        <v>55000</v>
      </c>
      <c r="AI765" s="90" t="n">
        <v>55000</v>
      </c>
      <c r="AJ765" s="91" t="n">
        <v>55000</v>
      </c>
      <c r="AK765" s="89" t="n">
        <v>55000</v>
      </c>
      <c r="AL765" s="90" t="n">
        <v>55000</v>
      </c>
      <c r="AM765" s="90"/>
      <c r="AN765" s="90"/>
      <c r="AO765" s="90"/>
      <c r="AP765" s="90"/>
      <c r="AQ765" s="90"/>
      <c r="AR765" s="90"/>
      <c r="AS765" s="90"/>
      <c r="AT765" s="90"/>
      <c r="AU765" s="90"/>
      <c r="AV765" s="91"/>
      <c r="AX765" s="92"/>
    </row>
    <row r="766" customFormat="false" ht="15.65" hidden="false" customHeight="false" outlineLevel="0" collapsed="false">
      <c r="C766" s="72" t="n">
        <f aca="false">COUNTIFS($D$6:D766,"&lt;&gt;"&amp;"")</f>
        <v>761</v>
      </c>
      <c r="D766" s="73" t="s">
        <v>12</v>
      </c>
      <c r="E766" s="76" t="str">
        <f aca="false">
IF($D766="정상",INDEX(임대자산!$D$3:$R$3000,MATCH($F766,임대자산!$I$3:$I$3000,0),MATCH(E$3,임대자산!$D$3:$R$3,0)),
IF($D766="폐업",INDEX(폐업정보!$D$3:$R$3000,MATCH($F766,폐업정보!$I$3:$I$3000,0),MATCH(E$3,폐업정보!$D$3:$R$3,0)),
"Error"))</f>
        <v>경기</v>
      </c>
      <c r="F76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B0761</v>
      </c>
      <c r="G766" s="76" t="str">
        <f aca="false">F766&amp;RANDBETWEEN(0,10)</f>
        <v>B07619</v>
      </c>
      <c r="H766" s="75" t="n">
        <f aca="false">
IF($D766="정상",INDEX(임대자산!$D$3:$R$3000,MATCH($F766,임대자산!$I$3:$I$3000,0),MATCH(H$4,임대자산!$D$3:$R$3,0)),
IF($D766="폐업",INDEX(폐업정보!$D$3:$R$3000,MATCH($F766,폐업정보!$I$3:$I$3000,0),MATCH(H$4,폐업정보!$D$3:$R$3,0)),
"Error"))</f>
        <v>45918</v>
      </c>
      <c r="I766" s="75" t="str">
        <f aca="false">
IF($D766="정상",INDEX(임대자산!$D$3:$R$3000,MATCH($F766,임대자산!$I$3:$I$3000,0),MATCH(I$4,임대자산!$D$3:$R$3,0)),
IF($D766="폐업",INDEX(폐업정보!$D$3:$R$3000,MATCH($F766,폐업정보!$I$3:$I$3000,0),MATCH(I$4,폐업정보!$D$3:$R$3,0)),
"Error"))</f>
        <v>A0761</v>
      </c>
      <c r="J766" s="75" t="str">
        <f aca="false">
IF($D766="정상",INDEX(임대자산!$D$3:$R$3000,MATCH($F766,임대자산!$I$3:$I$3000,0),MATCH(J$4,임대자산!$D$3:$R$3,0)),
IF($D766="폐업",INDEX(폐업정보!$D$3:$R$3000,MATCH($F766,폐업정보!$I$3:$I$3000,0),MATCH(J$4,폐업정보!$D$3:$R$3,0)),
"Error"))</f>
        <v>6741300000</v>
      </c>
      <c r="K766" s="75" t="str">
        <f aca="false">
IF($D766="정상",INDEX(임대자산!$D$3:$R$3000,MATCH($F766,임대자산!$I$3:$I$3000,0),MATCH(K$4,임대자산!$D$3:$R$3,0)),
IF($D766="폐업",INDEX(폐업정보!$D$3:$R$3000,MATCH($F766,폐업정보!$I$3:$I$3000,0),MATCH(K$4,폐업정보!$D$3:$R$3,0)),
"Error"))</f>
        <v>C0761</v>
      </c>
      <c r="L766" s="75" t="str">
        <f aca="false">
IF($D766="정상",INDEX(임대자산!$D$3:$R$3000,MATCH($F766,임대자산!$I$3:$I$3000,0),MATCH(L$4,임대자산!$D$3:$R$3,0)),
IF($D766="폐업",INDEX(폐업정보!$D$3:$R$3000,MATCH($F766,폐업정보!$I$3:$I$3000,0),MATCH(L$4,폐업정보!$D$3:$R$3,0)),
"Error"))</f>
        <v>D0761</v>
      </c>
      <c r="M766" s="76" t="s">
        <v>96</v>
      </c>
      <c r="N766" s="77"/>
      <c r="O766" s="78" t="s">
        <v>97</v>
      </c>
      <c r="P766" s="79" t="n">
        <f aca="false">COUNTIFS(임대자산!$I:$I,가맹점정보!F766,임대자산!$N:$N,가맹점정보!P$4)</f>
        <v>0</v>
      </c>
      <c r="Q766" s="80" t="n">
        <f aca="false">COUNTIFS(임대자산!$I:$I,가맹점정보!F766,임대자산!$N:$N,가맹점정보!Q$4)</f>
        <v>1</v>
      </c>
      <c r="R766" s="81" t="n">
        <f aca="false">COUNTIFS(임대자산!$I:$I,가맹점정보!F766,임대자산!$N:$N,가맹점정보!R$4)</f>
        <v>0</v>
      </c>
      <c r="S766" s="82" t="n">
        <v>55000</v>
      </c>
      <c r="T766" s="83" t="n">
        <v>0</v>
      </c>
      <c r="U766" s="80" t="n">
        <f aca="false">SUM(S766:T766)</f>
        <v>55000</v>
      </c>
      <c r="V766" s="84" t="s">
        <v>12</v>
      </c>
      <c r="W766" s="80" t="e">
        <f aca="true">
IF(D766="폐업","폐업",
IF(V766="면제","면제",
IF(AND(V766="정상",COUNTIFS(OFFSET(Y766,0,COUNTA(Y766:AV766)-1,1,-4),"미납")&gt;=3),"장기미납",
IF(AND(V766="정상",OFFSET(Y766,0,COUNTA(Y766:AV766)-1)&gt;=U766),"정상",
IF(AND(V766="정상",OFFSET(Y766,0,COUNTA(Y766:AV766)-1)=0),"정상",
"계약서 미작성")))))</f>
        <v>#VALUE!</v>
      </c>
      <c r="X766" s="81" t="str">
        <f aca="true">
IF(D766="폐업","폐업",
IF(AND(V766="정상",OFFSET(Y766,0,COUNTA(Y766:AV766)-1)="미납"),"미납",
IF(AND(V766="정상",OFFSET(Y766,0,COUNTA(Y766:AV766)-1)=0),"납부 시작 전",
IF(AND(V766="정상",OFFSET(Y766,0,COUNTA(Y766:AV766)-1)&gt;=U766),"정상",
IF(AND(V766="면제",OFFSET(Y766,0,COUNTA(Y766:AV766)-1)="면제"),"면제",
IF(AND(V766="면제",OFFSET(Y766,0,COUNTA(Y766:AV766)-1)=0),"면제",
"확인요청"))))))</f>
        <v>정상</v>
      </c>
      <c r="Y766" s="93" t="n">
        <v>55000</v>
      </c>
      <c r="Z766" s="90" t="n">
        <v>55000</v>
      </c>
      <c r="AA766" s="90" t="n">
        <v>55000</v>
      </c>
      <c r="AB766" s="90" t="n">
        <v>55000</v>
      </c>
      <c r="AC766" s="90" t="n">
        <v>55000</v>
      </c>
      <c r="AD766" s="90" t="n">
        <v>55000</v>
      </c>
      <c r="AE766" s="90" t="n">
        <v>55000</v>
      </c>
      <c r="AF766" s="90" t="n">
        <v>55000</v>
      </c>
      <c r="AG766" s="90" t="n">
        <v>55000</v>
      </c>
      <c r="AH766" s="90" t="n">
        <v>55000</v>
      </c>
      <c r="AI766" s="90" t="n">
        <v>55000</v>
      </c>
      <c r="AJ766" s="91" t="n">
        <v>55000</v>
      </c>
      <c r="AK766" s="89" t="n">
        <v>55000</v>
      </c>
      <c r="AL766" s="90" t="n">
        <v>55000</v>
      </c>
      <c r="AM766" s="90"/>
      <c r="AN766" s="90"/>
      <c r="AO766" s="90"/>
      <c r="AP766" s="90"/>
      <c r="AQ766" s="90"/>
      <c r="AR766" s="90"/>
      <c r="AS766" s="90"/>
      <c r="AT766" s="90"/>
      <c r="AU766" s="90"/>
      <c r="AV766" s="91"/>
      <c r="AX766" s="92"/>
    </row>
    <row r="767" customFormat="false" ht="15.65" hidden="false" customHeight="false" outlineLevel="0" collapsed="false">
      <c r="C767" s="72" t="n">
        <f aca="false">COUNTIFS($D$6:D767,"&lt;&gt;"&amp;"")</f>
        <v>762</v>
      </c>
      <c r="D767" s="73" t="s">
        <v>12</v>
      </c>
      <c r="E767" s="76" t="str">
        <f aca="false">
IF($D767="정상",INDEX(임대자산!$D$3:$R$3000,MATCH($F767,임대자산!$I$3:$I$3000,0),MATCH(E$3,임대자산!$D$3:$R$3,0)),
IF($D767="폐업",INDEX(폐업정보!$D$3:$R$3000,MATCH($F767,폐업정보!$I$3:$I$3000,0),MATCH(E$3,폐업정보!$D$3:$R$3,0)),
"Error"))</f>
        <v>경기</v>
      </c>
      <c r="F76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B0762</v>
      </c>
      <c r="G767" s="76" t="str">
        <f aca="false">F767&amp;RANDBETWEEN(0,10)</f>
        <v>B07627</v>
      </c>
      <c r="H767" s="75" t="n">
        <f aca="false">
IF($D767="정상",INDEX(임대자산!$D$3:$R$3000,MATCH($F767,임대자산!$I$3:$I$3000,0),MATCH(H$4,임대자산!$D$3:$R$3,0)),
IF($D767="폐업",INDEX(폐업정보!$D$3:$R$3000,MATCH($F767,폐업정보!$I$3:$I$3000,0),MATCH(H$4,폐업정보!$D$3:$R$3,0)),
"Error"))</f>
        <v>45294</v>
      </c>
      <c r="I767" s="75" t="str">
        <f aca="false">
IF($D767="정상",INDEX(임대자산!$D$3:$R$3000,MATCH($F767,임대자산!$I$3:$I$3000,0),MATCH(I$4,임대자산!$D$3:$R$3,0)),
IF($D767="폐업",INDEX(폐업정보!$D$3:$R$3000,MATCH($F767,폐업정보!$I$3:$I$3000,0),MATCH(I$4,폐업정보!$D$3:$R$3,0)),
"Error"))</f>
        <v>A0762</v>
      </c>
      <c r="J767" s="75" t="str">
        <f aca="false">
IF($D767="정상",INDEX(임대자산!$D$3:$R$3000,MATCH($F767,임대자산!$I$3:$I$3000,0),MATCH(J$4,임대자산!$D$3:$R$3,0)),
IF($D767="폐업",INDEX(폐업정보!$D$3:$R$3000,MATCH($F767,폐업정보!$I$3:$I$3000,0),MATCH(J$4,폐업정보!$D$3:$R$3,0)),
"Error"))</f>
        <v>9177600000</v>
      </c>
      <c r="K767" s="75" t="str">
        <f aca="false">
IF($D767="정상",INDEX(임대자산!$D$3:$R$3000,MATCH($F767,임대자산!$I$3:$I$3000,0),MATCH(K$4,임대자산!$D$3:$R$3,0)),
IF($D767="폐업",INDEX(폐업정보!$D$3:$R$3000,MATCH($F767,폐업정보!$I$3:$I$3000,0),MATCH(K$4,폐업정보!$D$3:$R$3,0)),
"Error"))</f>
        <v>C0762</v>
      </c>
      <c r="L767" s="75" t="str">
        <f aca="false">
IF($D767="정상",INDEX(임대자산!$D$3:$R$3000,MATCH($F767,임대자산!$I$3:$I$3000,0),MATCH(L$4,임대자산!$D$3:$R$3,0)),
IF($D767="폐업",INDEX(폐업정보!$D$3:$R$3000,MATCH($F767,폐업정보!$I$3:$I$3000,0),MATCH(L$4,폐업정보!$D$3:$R$3,0)),
"Error"))</f>
        <v>D0762</v>
      </c>
      <c r="M767" s="76" t="s">
        <v>96</v>
      </c>
      <c r="N767" s="77"/>
      <c r="O767" s="78" t="s">
        <v>97</v>
      </c>
      <c r="P767" s="79" t="n">
        <f aca="false">COUNTIFS(임대자산!$I:$I,가맹점정보!F767,임대자산!$N:$N,가맹점정보!P$4)</f>
        <v>0</v>
      </c>
      <c r="Q767" s="80" t="n">
        <f aca="false">COUNTIFS(임대자산!$I:$I,가맹점정보!F767,임대자산!$N:$N,가맹점정보!Q$4)</f>
        <v>1</v>
      </c>
      <c r="R767" s="81" t="n">
        <f aca="false">COUNTIFS(임대자산!$I:$I,가맹점정보!F767,임대자산!$N:$N,가맹점정보!R$4)</f>
        <v>0</v>
      </c>
      <c r="S767" s="82" t="n">
        <v>55000</v>
      </c>
      <c r="T767" s="83" t="n">
        <v>0</v>
      </c>
      <c r="U767" s="80" t="n">
        <f aca="false">SUM(S767:T767)</f>
        <v>55000</v>
      </c>
      <c r="V767" s="84" t="s">
        <v>12</v>
      </c>
      <c r="W767" s="80" t="e">
        <f aca="true">
IF(D767="폐업","폐업",
IF(V767="면제","면제",
IF(AND(V767="정상",COUNTIFS(OFFSET(Y767,0,COUNTA(Y767:AV767)-1,1,-4),"미납")&gt;=3),"장기미납",
IF(AND(V767="정상",OFFSET(Y767,0,COUNTA(Y767:AV767)-1)&gt;=U767),"정상",
IF(AND(V767="정상",OFFSET(Y767,0,COUNTA(Y767:AV767)-1)=0),"정상",
"계약서 미작성")))))</f>
        <v>#VALUE!</v>
      </c>
      <c r="X767" s="81" t="str">
        <f aca="true">
IF(D767="폐업","폐업",
IF(AND(V767="정상",OFFSET(Y767,0,COUNTA(Y767:AV767)-1)="미납"),"미납",
IF(AND(V767="정상",OFFSET(Y767,0,COUNTA(Y767:AV767)-1)=0),"납부 시작 전",
IF(AND(V767="정상",OFFSET(Y767,0,COUNTA(Y767:AV767)-1)&gt;=U767),"정상",
IF(AND(V767="면제",OFFSET(Y767,0,COUNTA(Y767:AV767)-1)="면제"),"면제",
IF(AND(V767="면제",OFFSET(Y767,0,COUNTA(Y767:AV767)-1)=0),"면제",
"확인요청"))))))</f>
        <v>정상</v>
      </c>
      <c r="Y767" s="93" t="n">
        <v>55000</v>
      </c>
      <c r="Z767" s="90" t="n">
        <v>55000</v>
      </c>
      <c r="AA767" s="90" t="n">
        <v>55000</v>
      </c>
      <c r="AB767" s="90" t="n">
        <v>55000</v>
      </c>
      <c r="AC767" s="90" t="n">
        <v>55000</v>
      </c>
      <c r="AD767" s="90" t="n">
        <v>55000</v>
      </c>
      <c r="AE767" s="90" t="n">
        <v>55000</v>
      </c>
      <c r="AF767" s="90" t="n">
        <v>55000</v>
      </c>
      <c r="AG767" s="90" t="n">
        <v>55000</v>
      </c>
      <c r="AH767" s="90" t="n">
        <v>55000</v>
      </c>
      <c r="AI767" s="90" t="n">
        <v>55000</v>
      </c>
      <c r="AJ767" s="91" t="n">
        <v>55000</v>
      </c>
      <c r="AK767" s="89" t="n">
        <v>55000</v>
      </c>
      <c r="AL767" s="90" t="n">
        <v>55000</v>
      </c>
      <c r="AM767" s="90"/>
      <c r="AN767" s="90"/>
      <c r="AO767" s="90"/>
      <c r="AP767" s="90"/>
      <c r="AQ767" s="90"/>
      <c r="AR767" s="90"/>
      <c r="AS767" s="90"/>
      <c r="AT767" s="90"/>
      <c r="AU767" s="90"/>
      <c r="AV767" s="91"/>
      <c r="AX767" s="92"/>
    </row>
    <row r="768" customFormat="false" ht="15.65" hidden="false" customHeight="false" outlineLevel="0" collapsed="false">
      <c r="C768" s="72" t="n">
        <f aca="false">COUNTIFS($D$6:D768,"&lt;&gt;"&amp;"")</f>
        <v>763</v>
      </c>
      <c r="D768" s="73" t="s">
        <v>12</v>
      </c>
      <c r="E768" s="76" t="str">
        <f aca="false">
IF($D768="정상",INDEX(임대자산!$D$3:$R$3000,MATCH($F768,임대자산!$I$3:$I$3000,0),MATCH(E$3,임대자산!$D$3:$R$3,0)),
IF($D768="폐업",INDEX(폐업정보!$D$3:$R$3000,MATCH($F768,폐업정보!$I$3:$I$3000,0),MATCH(E$3,폐업정보!$D$3:$R$3,0)),
"Error"))</f>
        <v>경기</v>
      </c>
      <c r="F76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B0763</v>
      </c>
      <c r="G768" s="76" t="str">
        <f aca="false">F768&amp;RANDBETWEEN(0,10)</f>
        <v>B07634</v>
      </c>
      <c r="H768" s="75" t="n">
        <f aca="false">
IF($D768="정상",INDEX(임대자산!$D$3:$R$3000,MATCH($F768,임대자산!$I$3:$I$3000,0),MATCH(H$4,임대자산!$D$3:$R$3,0)),
IF($D768="폐업",INDEX(폐업정보!$D$3:$R$3000,MATCH($F768,폐업정보!$I$3:$I$3000,0),MATCH(H$4,폐업정보!$D$3:$R$3,0)),
"Error"))</f>
        <v>45316</v>
      </c>
      <c r="I768" s="75" t="str">
        <f aca="false">
IF($D768="정상",INDEX(임대자산!$D$3:$R$3000,MATCH($F768,임대자산!$I$3:$I$3000,0),MATCH(I$4,임대자산!$D$3:$R$3,0)),
IF($D768="폐업",INDEX(폐업정보!$D$3:$R$3000,MATCH($F768,폐업정보!$I$3:$I$3000,0),MATCH(I$4,폐업정보!$D$3:$R$3,0)),
"Error"))</f>
        <v>A0763</v>
      </c>
      <c r="J768" s="75" t="str">
        <f aca="false">
IF($D768="정상",INDEX(임대자산!$D$3:$R$3000,MATCH($F768,임대자산!$I$3:$I$3000,0),MATCH(J$4,임대자산!$D$3:$R$3,0)),
IF($D768="폐업",INDEX(폐업정보!$D$3:$R$3000,MATCH($F768,폐업정보!$I$3:$I$3000,0),MATCH(J$4,폐업정보!$D$3:$R$3,0)),
"Error"))</f>
        <v>8077900000</v>
      </c>
      <c r="K768" s="75" t="str">
        <f aca="false">
IF($D768="정상",INDEX(임대자산!$D$3:$R$3000,MATCH($F768,임대자산!$I$3:$I$3000,0),MATCH(K$4,임대자산!$D$3:$R$3,0)),
IF($D768="폐업",INDEX(폐업정보!$D$3:$R$3000,MATCH($F768,폐업정보!$I$3:$I$3000,0),MATCH(K$4,폐업정보!$D$3:$R$3,0)),
"Error"))</f>
        <v>C0763</v>
      </c>
      <c r="L768" s="75" t="str">
        <f aca="false">
IF($D768="정상",INDEX(임대자산!$D$3:$R$3000,MATCH($F768,임대자산!$I$3:$I$3000,0),MATCH(L$4,임대자산!$D$3:$R$3,0)),
IF($D768="폐업",INDEX(폐업정보!$D$3:$R$3000,MATCH($F768,폐업정보!$I$3:$I$3000,0),MATCH(L$4,폐업정보!$D$3:$R$3,0)),
"Error"))</f>
        <v>D0763</v>
      </c>
      <c r="M768" s="76" t="s">
        <v>96</v>
      </c>
      <c r="N768" s="77"/>
      <c r="O768" s="78" t="s">
        <v>97</v>
      </c>
      <c r="P768" s="79" t="n">
        <f aca="false">COUNTIFS(임대자산!$I:$I,가맹점정보!F768,임대자산!$N:$N,가맹점정보!P$4)</f>
        <v>0</v>
      </c>
      <c r="Q768" s="80" t="n">
        <f aca="false">COUNTIFS(임대자산!$I:$I,가맹점정보!F768,임대자산!$N:$N,가맹점정보!Q$4)</f>
        <v>1</v>
      </c>
      <c r="R768" s="81" t="n">
        <f aca="false">COUNTIFS(임대자산!$I:$I,가맹점정보!F768,임대자산!$N:$N,가맹점정보!R$4)</f>
        <v>0</v>
      </c>
      <c r="S768" s="82" t="n">
        <v>55000</v>
      </c>
      <c r="T768" s="83" t="n">
        <v>0</v>
      </c>
      <c r="U768" s="80" t="n">
        <f aca="false">SUM(S768:T768)</f>
        <v>55000</v>
      </c>
      <c r="V768" s="84" t="s">
        <v>12</v>
      </c>
      <c r="W768" s="80" t="e">
        <f aca="true">
IF(D768="폐업","폐업",
IF(V768="면제","면제",
IF(AND(V768="정상",COUNTIFS(OFFSET(Y768,0,COUNTA(Y768:AV768)-1,1,-4),"미납")&gt;=3),"장기미납",
IF(AND(V768="정상",OFFSET(Y768,0,COUNTA(Y768:AV768)-1)&gt;=U768),"정상",
IF(AND(V768="정상",OFFSET(Y768,0,COUNTA(Y768:AV768)-1)=0),"정상",
"계약서 미작성")))))</f>
        <v>#VALUE!</v>
      </c>
      <c r="X768" s="81" t="str">
        <f aca="true">
IF(D768="폐업","폐업",
IF(AND(V768="정상",OFFSET(Y768,0,COUNTA(Y768:AV768)-1)="미납"),"미납",
IF(AND(V768="정상",OFFSET(Y768,0,COUNTA(Y768:AV768)-1)=0),"납부 시작 전",
IF(AND(V768="정상",OFFSET(Y768,0,COUNTA(Y768:AV768)-1)&gt;=U768),"정상",
IF(AND(V768="면제",OFFSET(Y768,0,COUNTA(Y768:AV768)-1)="면제"),"면제",
IF(AND(V768="면제",OFFSET(Y768,0,COUNTA(Y768:AV768)-1)=0),"면제",
"확인요청"))))))</f>
        <v>정상</v>
      </c>
      <c r="Y768" s="93" t="n">
        <v>55000</v>
      </c>
      <c r="Z768" s="90" t="n">
        <v>55000</v>
      </c>
      <c r="AA768" s="90" t="n">
        <v>55000</v>
      </c>
      <c r="AB768" s="90" t="n">
        <v>55000</v>
      </c>
      <c r="AC768" s="90" t="n">
        <v>55000</v>
      </c>
      <c r="AD768" s="90" t="n">
        <v>55000</v>
      </c>
      <c r="AE768" s="90" t="n">
        <v>55000</v>
      </c>
      <c r="AF768" s="90" t="n">
        <v>55000</v>
      </c>
      <c r="AG768" s="90" t="n">
        <v>55000</v>
      </c>
      <c r="AH768" s="90" t="n">
        <v>55000</v>
      </c>
      <c r="AI768" s="90" t="n">
        <v>55000</v>
      </c>
      <c r="AJ768" s="91" t="n">
        <v>55000</v>
      </c>
      <c r="AK768" s="89" t="n">
        <v>55000</v>
      </c>
      <c r="AL768" s="90" t="n">
        <v>55000</v>
      </c>
      <c r="AM768" s="90"/>
      <c r="AN768" s="90"/>
      <c r="AO768" s="90"/>
      <c r="AP768" s="90"/>
      <c r="AQ768" s="90"/>
      <c r="AR768" s="90"/>
      <c r="AS768" s="90"/>
      <c r="AT768" s="90"/>
      <c r="AU768" s="90"/>
      <c r="AV768" s="91"/>
      <c r="AX768" s="92"/>
    </row>
    <row r="769" customFormat="false" ht="15.65" hidden="false" customHeight="false" outlineLevel="0" collapsed="false">
      <c r="C769" s="72" t="n">
        <f aca="false">COUNTIFS($D$6:D769,"&lt;&gt;"&amp;"")</f>
        <v>764</v>
      </c>
      <c r="D769" s="73" t="s">
        <v>12</v>
      </c>
      <c r="E769" s="76" t="str">
        <f aca="false">
IF($D769="정상",INDEX(임대자산!$D$3:$R$3000,MATCH($F769,임대자산!$I$3:$I$3000,0),MATCH(E$3,임대자산!$D$3:$R$3,0)),
IF($D769="폐업",INDEX(폐업정보!$D$3:$R$3000,MATCH($F769,폐업정보!$I$3:$I$3000,0),MATCH(E$3,폐업정보!$D$3:$R$3,0)),
"Error"))</f>
        <v>경기</v>
      </c>
      <c r="F76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B0764</v>
      </c>
      <c r="G769" s="76" t="str">
        <f aca="false">F769&amp;RANDBETWEEN(0,10)</f>
        <v>B07649</v>
      </c>
      <c r="H769" s="75" t="n">
        <f aca="false">
IF($D769="정상",INDEX(임대자산!$D$3:$R$3000,MATCH($F769,임대자산!$I$3:$I$3000,0),MATCH(H$4,임대자산!$D$3:$R$3,0)),
IF($D769="폐업",INDEX(폐업정보!$D$3:$R$3000,MATCH($F769,폐업정보!$I$3:$I$3000,0),MATCH(H$4,폐업정보!$D$3:$R$3,0)),
"Error"))</f>
        <v>45237</v>
      </c>
      <c r="I769" s="75" t="str">
        <f aca="false">
IF($D769="정상",INDEX(임대자산!$D$3:$R$3000,MATCH($F769,임대자산!$I$3:$I$3000,0),MATCH(I$4,임대자산!$D$3:$R$3,0)),
IF($D769="폐업",INDEX(폐업정보!$D$3:$R$3000,MATCH($F769,폐업정보!$I$3:$I$3000,0),MATCH(I$4,폐업정보!$D$3:$R$3,0)),
"Error"))</f>
        <v>A0764</v>
      </c>
      <c r="J769" s="75" t="str">
        <f aca="false">
IF($D769="정상",INDEX(임대자산!$D$3:$R$3000,MATCH($F769,임대자산!$I$3:$I$3000,0),MATCH(J$4,임대자산!$D$3:$R$3,0)),
IF($D769="폐업",INDEX(폐업정보!$D$3:$R$3000,MATCH($F769,폐업정보!$I$3:$I$3000,0),MATCH(J$4,폐업정보!$D$3:$R$3,0)),
"Error"))</f>
        <v>9725900000</v>
      </c>
      <c r="K769" s="75" t="str">
        <f aca="false">
IF($D769="정상",INDEX(임대자산!$D$3:$R$3000,MATCH($F769,임대자산!$I$3:$I$3000,0),MATCH(K$4,임대자산!$D$3:$R$3,0)),
IF($D769="폐업",INDEX(폐업정보!$D$3:$R$3000,MATCH($F769,폐업정보!$I$3:$I$3000,0),MATCH(K$4,폐업정보!$D$3:$R$3,0)),
"Error"))</f>
        <v>C0764</v>
      </c>
      <c r="L769" s="75" t="str">
        <f aca="false">
IF($D769="정상",INDEX(임대자산!$D$3:$R$3000,MATCH($F769,임대자산!$I$3:$I$3000,0),MATCH(L$4,임대자산!$D$3:$R$3,0)),
IF($D769="폐업",INDEX(폐업정보!$D$3:$R$3000,MATCH($F769,폐업정보!$I$3:$I$3000,0),MATCH(L$4,폐업정보!$D$3:$R$3,0)),
"Error"))</f>
        <v>D0764</v>
      </c>
      <c r="M769" s="76" t="s">
        <v>96</v>
      </c>
      <c r="N769" s="77"/>
      <c r="O769" s="78" t="s">
        <v>97</v>
      </c>
      <c r="P769" s="79" t="n">
        <f aca="false">COUNTIFS(임대자산!$I:$I,가맹점정보!F769,임대자산!$N:$N,가맹점정보!P$4)</f>
        <v>0</v>
      </c>
      <c r="Q769" s="80" t="n">
        <f aca="false">COUNTIFS(임대자산!$I:$I,가맹점정보!F769,임대자산!$N:$N,가맹점정보!Q$4)</f>
        <v>1</v>
      </c>
      <c r="R769" s="81" t="n">
        <f aca="false">COUNTIFS(임대자산!$I:$I,가맹점정보!F769,임대자산!$N:$N,가맹점정보!R$4)</f>
        <v>0</v>
      </c>
      <c r="S769" s="82" t="n">
        <v>55000</v>
      </c>
      <c r="T769" s="83" t="n">
        <v>0</v>
      </c>
      <c r="U769" s="80" t="n">
        <f aca="false">SUM(S769:T769)</f>
        <v>55000</v>
      </c>
      <c r="V769" s="84" t="s">
        <v>12</v>
      </c>
      <c r="W769" s="80" t="e">
        <f aca="true">
IF(D769="폐업","폐업",
IF(V769="면제","면제",
IF(AND(V769="정상",COUNTIFS(OFFSET(Y769,0,COUNTA(Y769:AV769)-1,1,-4),"미납")&gt;=3),"장기미납",
IF(AND(V769="정상",OFFSET(Y769,0,COUNTA(Y769:AV769)-1)&gt;=U769),"정상",
IF(AND(V769="정상",OFFSET(Y769,0,COUNTA(Y769:AV769)-1)=0),"정상",
"계약서 미작성")))))</f>
        <v>#VALUE!</v>
      </c>
      <c r="X769" s="81" t="str">
        <f aca="true">
IF(D769="폐업","폐업",
IF(AND(V769="정상",OFFSET(Y769,0,COUNTA(Y769:AV769)-1)="미납"),"미납",
IF(AND(V769="정상",OFFSET(Y769,0,COUNTA(Y769:AV769)-1)=0),"납부 시작 전",
IF(AND(V769="정상",OFFSET(Y769,0,COUNTA(Y769:AV769)-1)&gt;=U769),"정상",
IF(AND(V769="면제",OFFSET(Y769,0,COUNTA(Y769:AV769)-1)="면제"),"면제",
IF(AND(V769="면제",OFFSET(Y769,0,COUNTA(Y769:AV769)-1)=0),"면제",
"확인요청"))))))</f>
        <v>정상</v>
      </c>
      <c r="Y769" s="93" t="n">
        <v>55000</v>
      </c>
      <c r="Z769" s="90" t="n">
        <v>55000</v>
      </c>
      <c r="AA769" s="90" t="n">
        <v>55000</v>
      </c>
      <c r="AB769" s="90" t="n">
        <v>55000</v>
      </c>
      <c r="AC769" s="90" t="n">
        <v>55000</v>
      </c>
      <c r="AD769" s="90" t="n">
        <v>55000</v>
      </c>
      <c r="AE769" s="90" t="n">
        <v>55000</v>
      </c>
      <c r="AF769" s="90" t="n">
        <v>55000</v>
      </c>
      <c r="AG769" s="90" t="n">
        <v>55000</v>
      </c>
      <c r="AH769" s="90" t="n">
        <v>55000</v>
      </c>
      <c r="AI769" s="90" t="n">
        <v>55000</v>
      </c>
      <c r="AJ769" s="91" t="n">
        <v>55000</v>
      </c>
      <c r="AK769" s="89" t="n">
        <v>55000</v>
      </c>
      <c r="AL769" s="90" t="n">
        <v>55000</v>
      </c>
      <c r="AM769" s="90"/>
      <c r="AN769" s="90"/>
      <c r="AO769" s="90"/>
      <c r="AP769" s="90"/>
      <c r="AQ769" s="90"/>
      <c r="AR769" s="90"/>
      <c r="AS769" s="90"/>
      <c r="AT769" s="90"/>
      <c r="AU769" s="90"/>
      <c r="AV769" s="91"/>
      <c r="AX769" s="92"/>
    </row>
    <row r="770" customFormat="false" ht="15.65" hidden="false" customHeight="false" outlineLevel="0" collapsed="false">
      <c r="C770" s="72" t="n">
        <f aca="false">COUNTIFS($D$6:D770,"&lt;&gt;"&amp;"")</f>
        <v>765</v>
      </c>
      <c r="D770" s="73" t="s">
        <v>12</v>
      </c>
      <c r="E770" s="76" t="str">
        <f aca="false">
IF($D770="정상",INDEX(임대자산!$D$3:$R$3000,MATCH($F770,임대자산!$I$3:$I$3000,0),MATCH(E$3,임대자산!$D$3:$R$3,0)),
IF($D770="폐업",INDEX(폐업정보!$D$3:$R$3000,MATCH($F770,폐업정보!$I$3:$I$3000,0),MATCH(E$3,폐업정보!$D$3:$R$3,0)),
"Error"))</f>
        <v>경기</v>
      </c>
      <c r="F77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B0765</v>
      </c>
      <c r="G770" s="76" t="str">
        <f aca="false">F770&amp;RANDBETWEEN(0,10)</f>
        <v>B07653</v>
      </c>
      <c r="H770" s="75" t="n">
        <f aca="false">
IF($D770="정상",INDEX(임대자산!$D$3:$R$3000,MATCH($F770,임대자산!$I$3:$I$3000,0),MATCH(H$4,임대자산!$D$3:$R$3,0)),
IF($D770="폐업",INDEX(폐업정보!$D$3:$R$3000,MATCH($F770,폐업정보!$I$3:$I$3000,0),MATCH(H$4,폐업정보!$D$3:$R$3,0)),
"Error"))</f>
        <v>45280</v>
      </c>
      <c r="I770" s="75" t="str">
        <f aca="false">
IF($D770="정상",INDEX(임대자산!$D$3:$R$3000,MATCH($F770,임대자산!$I$3:$I$3000,0),MATCH(I$4,임대자산!$D$3:$R$3,0)),
IF($D770="폐업",INDEX(폐업정보!$D$3:$R$3000,MATCH($F770,폐업정보!$I$3:$I$3000,0),MATCH(I$4,폐업정보!$D$3:$R$3,0)),
"Error"))</f>
        <v>A0765</v>
      </c>
      <c r="J770" s="75" t="str">
        <f aca="false">
IF($D770="정상",INDEX(임대자산!$D$3:$R$3000,MATCH($F770,임대자산!$I$3:$I$3000,0),MATCH(J$4,임대자산!$D$3:$R$3,0)),
IF($D770="폐업",INDEX(폐업정보!$D$3:$R$3000,MATCH($F770,폐업정보!$I$3:$I$3000,0),MATCH(J$4,폐업정보!$D$3:$R$3,0)),
"Error"))</f>
        <v>9455200000</v>
      </c>
      <c r="K770" s="75" t="str">
        <f aca="false">
IF($D770="정상",INDEX(임대자산!$D$3:$R$3000,MATCH($F770,임대자산!$I$3:$I$3000,0),MATCH(K$4,임대자산!$D$3:$R$3,0)),
IF($D770="폐업",INDEX(폐업정보!$D$3:$R$3000,MATCH($F770,폐업정보!$I$3:$I$3000,0),MATCH(K$4,폐업정보!$D$3:$R$3,0)),
"Error"))</f>
        <v>C0765</v>
      </c>
      <c r="L770" s="75" t="str">
        <f aca="false">
IF($D770="정상",INDEX(임대자산!$D$3:$R$3000,MATCH($F770,임대자산!$I$3:$I$3000,0),MATCH(L$4,임대자산!$D$3:$R$3,0)),
IF($D770="폐업",INDEX(폐업정보!$D$3:$R$3000,MATCH($F770,폐업정보!$I$3:$I$3000,0),MATCH(L$4,폐업정보!$D$3:$R$3,0)),
"Error"))</f>
        <v>D0765</v>
      </c>
      <c r="M770" s="76" t="s">
        <v>96</v>
      </c>
      <c r="N770" s="77"/>
      <c r="O770" s="78" t="s">
        <v>97</v>
      </c>
      <c r="P770" s="79" t="n">
        <f aca="false">COUNTIFS(임대자산!$I:$I,가맹점정보!F770,임대자산!$N:$N,가맹점정보!P$4)</f>
        <v>0</v>
      </c>
      <c r="Q770" s="80" t="n">
        <f aca="false">COUNTIFS(임대자산!$I:$I,가맹점정보!F770,임대자산!$N:$N,가맹점정보!Q$4)</f>
        <v>1</v>
      </c>
      <c r="R770" s="81" t="n">
        <f aca="false">COUNTIFS(임대자산!$I:$I,가맹점정보!F770,임대자산!$N:$N,가맹점정보!R$4)</f>
        <v>0</v>
      </c>
      <c r="S770" s="82" t="n">
        <v>55000</v>
      </c>
      <c r="T770" s="83" t="n">
        <v>0</v>
      </c>
      <c r="U770" s="80" t="n">
        <f aca="false">SUM(S770:T770)</f>
        <v>55000</v>
      </c>
      <c r="V770" s="84" t="s">
        <v>12</v>
      </c>
      <c r="W770" s="80" t="e">
        <f aca="true">
IF(D770="폐업","폐업",
IF(V770="면제","면제",
IF(AND(V770="정상",COUNTIFS(OFFSET(Y770,0,COUNTA(Y770:AV770)-1,1,-4),"미납")&gt;=3),"장기미납",
IF(AND(V770="정상",OFFSET(Y770,0,COUNTA(Y770:AV770)-1)&gt;=U770),"정상",
IF(AND(V770="정상",OFFSET(Y770,0,COUNTA(Y770:AV770)-1)=0),"정상",
"계약서 미작성")))))</f>
        <v>#VALUE!</v>
      </c>
      <c r="X770" s="81" t="str">
        <f aca="true">
IF(D770="폐업","폐업",
IF(AND(V770="정상",OFFSET(Y770,0,COUNTA(Y770:AV770)-1)="미납"),"미납",
IF(AND(V770="정상",OFFSET(Y770,0,COUNTA(Y770:AV770)-1)=0),"납부 시작 전",
IF(AND(V770="정상",OFFSET(Y770,0,COUNTA(Y770:AV770)-1)&gt;=U770),"정상",
IF(AND(V770="면제",OFFSET(Y770,0,COUNTA(Y770:AV770)-1)="면제"),"면제",
IF(AND(V770="면제",OFFSET(Y770,0,COUNTA(Y770:AV770)-1)=0),"면제",
"확인요청"))))))</f>
        <v>정상</v>
      </c>
      <c r="Y770" s="93" t="s">
        <v>99</v>
      </c>
      <c r="Z770" s="90" t="n">
        <v>110000</v>
      </c>
      <c r="AA770" s="90" t="n">
        <v>55000</v>
      </c>
      <c r="AB770" s="90" t="n">
        <v>55000</v>
      </c>
      <c r="AC770" s="90" t="s">
        <v>108</v>
      </c>
      <c r="AD770" s="90" t="n">
        <v>110000</v>
      </c>
      <c r="AE770" s="90" t="n">
        <v>55000</v>
      </c>
      <c r="AF770" s="90" t="n">
        <v>55000</v>
      </c>
      <c r="AG770" s="90" t="n">
        <v>55000</v>
      </c>
      <c r="AH770" s="90" t="n">
        <v>55000</v>
      </c>
      <c r="AI770" s="90" t="n">
        <v>55000</v>
      </c>
      <c r="AJ770" s="91" t="n">
        <v>55000</v>
      </c>
      <c r="AK770" s="89" t="n">
        <v>55000</v>
      </c>
      <c r="AL770" s="90" t="n">
        <v>55000</v>
      </c>
      <c r="AM770" s="90"/>
      <c r="AN770" s="90"/>
      <c r="AO770" s="90"/>
      <c r="AP770" s="90"/>
      <c r="AQ770" s="90"/>
      <c r="AR770" s="90"/>
      <c r="AS770" s="90"/>
      <c r="AT770" s="90"/>
      <c r="AU770" s="90"/>
      <c r="AV770" s="91"/>
      <c r="AX770" s="92"/>
    </row>
    <row r="771" customFormat="false" ht="15.65" hidden="false" customHeight="false" outlineLevel="0" collapsed="false">
      <c r="C771" s="72" t="n">
        <f aca="false">COUNTIFS($D$6:D771,"&lt;&gt;"&amp;"")</f>
        <v>766</v>
      </c>
      <c r="D771" s="73" t="s">
        <v>12</v>
      </c>
      <c r="E771" s="76" t="str">
        <f aca="false">
IF($D771="정상",INDEX(임대자산!$D$3:$R$3000,MATCH($F771,임대자산!$I$3:$I$3000,0),MATCH(E$3,임대자산!$D$3:$R$3,0)),
IF($D771="폐업",INDEX(폐업정보!$D$3:$R$3000,MATCH($F771,폐업정보!$I$3:$I$3000,0),MATCH(E$3,폐업정보!$D$3:$R$3,0)),
"Error"))</f>
        <v>경기</v>
      </c>
      <c r="F77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B0766</v>
      </c>
      <c r="G771" s="76" t="str">
        <f aca="false">F771&amp;RANDBETWEEN(0,10)</f>
        <v>B07663</v>
      </c>
      <c r="H771" s="75" t="n">
        <f aca="false">
IF($D771="정상",INDEX(임대자산!$D$3:$R$3000,MATCH($F771,임대자산!$I$3:$I$3000,0),MATCH(H$4,임대자산!$D$3:$R$3,0)),
IF($D771="폐업",INDEX(폐업정보!$D$3:$R$3000,MATCH($F771,폐업정보!$I$3:$I$3000,0),MATCH(H$4,폐업정보!$D$3:$R$3,0)),
"Error"))</f>
        <v>45314</v>
      </c>
      <c r="I771" s="75" t="str">
        <f aca="false">
IF($D771="정상",INDEX(임대자산!$D$3:$R$3000,MATCH($F771,임대자산!$I$3:$I$3000,0),MATCH(I$4,임대자산!$D$3:$R$3,0)),
IF($D771="폐업",INDEX(폐업정보!$D$3:$R$3000,MATCH($F771,폐업정보!$I$3:$I$3000,0),MATCH(I$4,폐업정보!$D$3:$R$3,0)),
"Error"))</f>
        <v>A0766</v>
      </c>
      <c r="J771" s="75" t="str">
        <f aca="false">
IF($D771="정상",INDEX(임대자산!$D$3:$R$3000,MATCH($F771,임대자산!$I$3:$I$3000,0),MATCH(J$4,임대자산!$D$3:$R$3,0)),
IF($D771="폐업",INDEX(폐업정보!$D$3:$R$3000,MATCH($F771,폐업정보!$I$3:$I$3000,0),MATCH(J$4,폐업정보!$D$3:$R$3,0)),
"Error"))</f>
        <v>2996200000</v>
      </c>
      <c r="K771" s="75" t="str">
        <f aca="false">
IF($D771="정상",INDEX(임대자산!$D$3:$R$3000,MATCH($F771,임대자산!$I$3:$I$3000,0),MATCH(K$4,임대자산!$D$3:$R$3,0)),
IF($D771="폐업",INDEX(폐업정보!$D$3:$R$3000,MATCH($F771,폐업정보!$I$3:$I$3000,0),MATCH(K$4,폐업정보!$D$3:$R$3,0)),
"Error"))</f>
        <v>C0766</v>
      </c>
      <c r="L771" s="75" t="str">
        <f aca="false">
IF($D771="정상",INDEX(임대자산!$D$3:$R$3000,MATCH($F771,임대자산!$I$3:$I$3000,0),MATCH(L$4,임대자산!$D$3:$R$3,0)),
IF($D771="폐업",INDEX(폐업정보!$D$3:$R$3000,MATCH($F771,폐업정보!$I$3:$I$3000,0),MATCH(L$4,폐업정보!$D$3:$R$3,0)),
"Error"))</f>
        <v>D0766</v>
      </c>
      <c r="M771" s="76" t="s">
        <v>96</v>
      </c>
      <c r="N771" s="77"/>
      <c r="O771" s="78" t="s">
        <v>97</v>
      </c>
      <c r="P771" s="79" t="n">
        <f aca="false">COUNTIFS(임대자산!$I:$I,가맹점정보!F771,임대자산!$N:$N,가맹점정보!P$4)</f>
        <v>0</v>
      </c>
      <c r="Q771" s="80" t="n">
        <f aca="false">COUNTIFS(임대자산!$I:$I,가맹점정보!F771,임대자산!$N:$N,가맹점정보!Q$4)</f>
        <v>1</v>
      </c>
      <c r="R771" s="81" t="n">
        <f aca="false">COUNTIFS(임대자산!$I:$I,가맹점정보!F771,임대자산!$N:$N,가맹점정보!R$4)</f>
        <v>0</v>
      </c>
      <c r="S771" s="82" t="n">
        <v>55000</v>
      </c>
      <c r="T771" s="83" t="n">
        <v>0</v>
      </c>
      <c r="U771" s="80" t="n">
        <f aca="false">SUM(S771:T771)</f>
        <v>55000</v>
      </c>
      <c r="V771" s="84" t="s">
        <v>7</v>
      </c>
      <c r="W771" s="80" t="str">
        <f aca="true">
IF(D771="폐업","폐업",
IF(V771="면제","면제",
IF(AND(V771="정상",COUNTIFS(OFFSET(Y771,0,COUNTA(Y771:AV771)-1,1,-4),"미납")&gt;=3),"장기미납",
IF(AND(V771="정상",OFFSET(Y771,0,COUNTA(Y771:AV771)-1)&gt;=U771),"정상",
IF(AND(V771="정상",OFFSET(Y771,0,COUNTA(Y771:AV771)-1)=0),"정상",
"계약서 미작성")))))</f>
        <v>면제</v>
      </c>
      <c r="X771" s="81" t="str">
        <f aca="true">
IF(D771="폐업","폐업",
IF(AND(V771="정상",OFFSET(Y771,0,COUNTA(Y771:AV771)-1)="미납"),"미납",
IF(AND(V771="정상",OFFSET(Y771,0,COUNTA(Y771:AV771)-1)=0),"납부 시작 전",
IF(AND(V771="정상",OFFSET(Y771,0,COUNTA(Y771:AV771)-1)&gt;=U771),"정상",
IF(AND(V771="면제",OFFSET(Y771,0,COUNTA(Y771:AV771)-1)="면제"),"면제",
IF(AND(V771="면제",OFFSET(Y771,0,COUNTA(Y771:AV771)-1)=0),"면제",
"확인요청"))))))</f>
        <v>면제</v>
      </c>
      <c r="Y771" s="94" t="s">
        <v>7</v>
      </c>
      <c r="Z771" s="95" t="s">
        <v>7</v>
      </c>
      <c r="AA771" s="95" t="s">
        <v>7</v>
      </c>
      <c r="AB771" s="95" t="s">
        <v>7</v>
      </c>
      <c r="AC771" s="95" t="s">
        <v>7</v>
      </c>
      <c r="AD771" s="95" t="s">
        <v>7</v>
      </c>
      <c r="AE771" s="95" t="s">
        <v>7</v>
      </c>
      <c r="AF771" s="95" t="s">
        <v>7</v>
      </c>
      <c r="AG771" s="95" t="s">
        <v>7</v>
      </c>
      <c r="AH771" s="95" t="s">
        <v>7</v>
      </c>
      <c r="AI771" s="95" t="s">
        <v>7</v>
      </c>
      <c r="AJ771" s="96" t="s">
        <v>7</v>
      </c>
      <c r="AK771" s="97" t="s">
        <v>7</v>
      </c>
      <c r="AL771" s="95" t="s">
        <v>7</v>
      </c>
      <c r="AM771" s="90"/>
      <c r="AN771" s="90"/>
      <c r="AO771" s="90"/>
      <c r="AP771" s="90"/>
      <c r="AQ771" s="90"/>
      <c r="AR771" s="90"/>
      <c r="AS771" s="90"/>
      <c r="AT771" s="90"/>
      <c r="AU771" s="90"/>
      <c r="AV771" s="91"/>
      <c r="AX771" s="92"/>
    </row>
    <row r="772" customFormat="false" ht="15.65" hidden="false" customHeight="false" outlineLevel="0" collapsed="false">
      <c r="C772" s="72" t="n">
        <f aca="false">COUNTIFS($D$6:D772,"&lt;&gt;"&amp;"")</f>
        <v>767</v>
      </c>
      <c r="D772" s="73" t="s">
        <v>12</v>
      </c>
      <c r="E772" s="76" t="str">
        <f aca="false">
IF($D772="정상",INDEX(임대자산!$D$3:$R$3000,MATCH($F772,임대자산!$I$3:$I$3000,0),MATCH(E$3,임대자산!$D$3:$R$3,0)),
IF($D772="폐업",INDEX(폐업정보!$D$3:$R$3000,MATCH($F772,폐업정보!$I$3:$I$3000,0),MATCH(E$3,폐업정보!$D$3:$R$3,0)),
"Error"))</f>
        <v>서울</v>
      </c>
      <c r="F77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B0767</v>
      </c>
      <c r="G772" s="76" t="str">
        <f aca="false">F772&amp;RANDBETWEEN(0,10)</f>
        <v>B076710</v>
      </c>
      <c r="H772" s="75" t="n">
        <f aca="false">
IF($D772="정상",INDEX(임대자산!$D$3:$R$3000,MATCH($F772,임대자산!$I$3:$I$3000,0),MATCH(H$4,임대자산!$D$3:$R$3,0)),
IF($D772="폐업",INDEX(폐업정보!$D$3:$R$3000,MATCH($F772,폐업정보!$I$3:$I$3000,0),MATCH(H$4,폐업정보!$D$3:$R$3,0)),
"Error"))</f>
        <v>44999</v>
      </c>
      <c r="I772" s="75" t="str">
        <f aca="false">
IF($D772="정상",INDEX(임대자산!$D$3:$R$3000,MATCH($F772,임대자산!$I$3:$I$3000,0),MATCH(I$4,임대자산!$D$3:$R$3,0)),
IF($D772="폐업",INDEX(폐업정보!$D$3:$R$3000,MATCH($F772,폐업정보!$I$3:$I$3000,0),MATCH(I$4,폐업정보!$D$3:$R$3,0)),
"Error"))</f>
        <v>A0767</v>
      </c>
      <c r="J772" s="75" t="str">
        <f aca="false">
IF($D772="정상",INDEX(임대자산!$D$3:$R$3000,MATCH($F772,임대자산!$I$3:$I$3000,0),MATCH(J$4,임대자산!$D$3:$R$3,0)),
IF($D772="폐업",INDEX(폐업정보!$D$3:$R$3000,MATCH($F772,폐업정보!$I$3:$I$3000,0),MATCH(J$4,폐업정보!$D$3:$R$3,0)),
"Error"))</f>
        <v>9252600000</v>
      </c>
      <c r="K772" s="75" t="str">
        <f aca="false">
IF($D772="정상",INDEX(임대자산!$D$3:$R$3000,MATCH($F772,임대자산!$I$3:$I$3000,0),MATCH(K$4,임대자산!$D$3:$R$3,0)),
IF($D772="폐업",INDEX(폐업정보!$D$3:$R$3000,MATCH($F772,폐업정보!$I$3:$I$3000,0),MATCH(K$4,폐업정보!$D$3:$R$3,0)),
"Error"))</f>
        <v>C0767</v>
      </c>
      <c r="L772" s="75" t="str">
        <f aca="false">
IF($D772="정상",INDEX(임대자산!$D$3:$R$3000,MATCH($F772,임대자산!$I$3:$I$3000,0),MATCH(L$4,임대자산!$D$3:$R$3,0)),
IF($D772="폐업",INDEX(폐업정보!$D$3:$R$3000,MATCH($F772,폐업정보!$I$3:$I$3000,0),MATCH(L$4,폐업정보!$D$3:$R$3,0)),
"Error"))</f>
        <v>D0767</v>
      </c>
      <c r="M772" s="76" t="s">
        <v>96</v>
      </c>
      <c r="N772" s="77"/>
      <c r="O772" s="78" t="s">
        <v>97</v>
      </c>
      <c r="P772" s="79" t="n">
        <f aca="false">COUNTIFS(임대자산!$I:$I,가맹점정보!F772,임대자산!$N:$N,가맹점정보!P$4)</f>
        <v>0</v>
      </c>
      <c r="Q772" s="80" t="n">
        <f aca="false">COUNTIFS(임대자산!$I:$I,가맹점정보!F772,임대자산!$N:$N,가맹점정보!Q$4)</f>
        <v>1</v>
      </c>
      <c r="R772" s="81" t="n">
        <f aca="false">COUNTIFS(임대자산!$I:$I,가맹점정보!F772,임대자산!$N:$N,가맹점정보!R$4)</f>
        <v>0</v>
      </c>
      <c r="S772" s="82" t="n">
        <v>55000</v>
      </c>
      <c r="T772" s="83" t="n">
        <v>0</v>
      </c>
      <c r="U772" s="80" t="n">
        <f aca="false">SUM(S772:T772)</f>
        <v>55000</v>
      </c>
      <c r="V772" s="84" t="s">
        <v>12</v>
      </c>
      <c r="W772" s="80" t="e">
        <f aca="true">
IF(D772="폐업","폐업",
IF(V772="면제","면제",
IF(AND(V772="정상",COUNTIFS(OFFSET(Y772,0,COUNTA(Y772:AV772)-1,1,-4),"미납")&gt;=3),"장기미납",
IF(AND(V772="정상",OFFSET(Y772,0,COUNTA(Y772:AV772)-1)&gt;=U772),"정상",
IF(AND(V772="정상",OFFSET(Y772,0,COUNTA(Y772:AV772)-1)=0),"정상",
"계약서 미작성")))))</f>
        <v>#VALUE!</v>
      </c>
      <c r="X772" s="81" t="str">
        <f aca="true">
IF(D772="폐업","폐업",
IF(AND(V772="정상",OFFSET(Y772,0,COUNTA(Y772:AV772)-1)="미납"),"미납",
IF(AND(V772="정상",OFFSET(Y772,0,COUNTA(Y772:AV772)-1)=0),"납부 시작 전",
IF(AND(V772="정상",OFFSET(Y772,0,COUNTA(Y772:AV772)-1)&gt;=U772),"정상",
IF(AND(V772="면제",OFFSET(Y772,0,COUNTA(Y772:AV772)-1)="면제"),"면제",
IF(AND(V772="면제",OFFSET(Y772,0,COUNTA(Y772:AV772)-1)=0),"면제",
"확인요청"))))))</f>
        <v>정상</v>
      </c>
      <c r="Y772" s="93" t="n">
        <v>55000</v>
      </c>
      <c r="Z772" s="90" t="n">
        <v>55000</v>
      </c>
      <c r="AA772" s="90" t="n">
        <v>55000</v>
      </c>
      <c r="AB772" s="90" t="n">
        <v>55000</v>
      </c>
      <c r="AC772" s="90" t="n">
        <v>55000</v>
      </c>
      <c r="AD772" s="90" t="n">
        <v>55000</v>
      </c>
      <c r="AE772" s="90" t="n">
        <v>55000</v>
      </c>
      <c r="AF772" s="90" t="n">
        <v>55000</v>
      </c>
      <c r="AG772" s="90" t="n">
        <v>55000</v>
      </c>
      <c r="AH772" s="90" t="n">
        <v>55000</v>
      </c>
      <c r="AI772" s="90" t="n">
        <v>55000</v>
      </c>
      <c r="AJ772" s="91" t="n">
        <v>55000</v>
      </c>
      <c r="AK772" s="89" t="n">
        <v>55000</v>
      </c>
      <c r="AL772" s="90" t="n">
        <v>55000</v>
      </c>
      <c r="AM772" s="90"/>
      <c r="AN772" s="90"/>
      <c r="AO772" s="90"/>
      <c r="AP772" s="90"/>
      <c r="AQ772" s="90"/>
      <c r="AR772" s="90"/>
      <c r="AS772" s="90"/>
      <c r="AT772" s="90"/>
      <c r="AU772" s="90"/>
      <c r="AV772" s="91"/>
      <c r="AX772" s="92"/>
    </row>
    <row r="773" customFormat="false" ht="15.65" hidden="false" customHeight="false" outlineLevel="0" collapsed="false">
      <c r="C773" s="72" t="n">
        <f aca="false">COUNTIFS($D$6:D773,"&lt;&gt;"&amp;"")</f>
        <v>768</v>
      </c>
      <c r="D773" s="73" t="s">
        <v>12</v>
      </c>
      <c r="E773" s="76" t="str">
        <f aca="false">
IF($D773="정상",INDEX(임대자산!$D$3:$R$3000,MATCH($F773,임대자산!$I$3:$I$3000,0),MATCH(E$3,임대자산!$D$3:$R$3,0)),
IF($D773="폐업",INDEX(폐업정보!$D$3:$R$3000,MATCH($F773,폐업정보!$I$3:$I$3000,0),MATCH(E$3,폐업정보!$D$3:$R$3,0)),
"Error"))</f>
        <v>경기</v>
      </c>
      <c r="F77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B0768</v>
      </c>
      <c r="G773" s="76" t="str">
        <f aca="false">F773&amp;RANDBETWEEN(0,10)</f>
        <v>B07682</v>
      </c>
      <c r="H773" s="75" t="n">
        <f aca="false">
IF($D773="정상",INDEX(임대자산!$D$3:$R$3000,MATCH($F773,임대자산!$I$3:$I$3000,0),MATCH(H$4,임대자산!$D$3:$R$3,0)),
IF($D773="폐업",INDEX(폐업정보!$D$3:$R$3000,MATCH($F773,폐업정보!$I$3:$I$3000,0),MATCH(H$4,폐업정보!$D$3:$R$3,0)),
"Error"))</f>
        <v>45355</v>
      </c>
      <c r="I773" s="75" t="str">
        <f aca="false">
IF($D773="정상",INDEX(임대자산!$D$3:$R$3000,MATCH($F773,임대자산!$I$3:$I$3000,0),MATCH(I$4,임대자산!$D$3:$R$3,0)),
IF($D773="폐업",INDEX(폐업정보!$D$3:$R$3000,MATCH($F773,폐업정보!$I$3:$I$3000,0),MATCH(I$4,폐업정보!$D$3:$R$3,0)),
"Error"))</f>
        <v>A0768</v>
      </c>
      <c r="J773" s="75" t="str">
        <f aca="false">
IF($D773="정상",INDEX(임대자산!$D$3:$R$3000,MATCH($F773,임대자산!$I$3:$I$3000,0),MATCH(J$4,임대자산!$D$3:$R$3,0)),
IF($D773="폐업",INDEX(폐업정보!$D$3:$R$3000,MATCH($F773,폐업정보!$I$3:$I$3000,0),MATCH(J$4,폐업정보!$D$3:$R$3,0)),
"Error"))</f>
        <v>4885800000</v>
      </c>
      <c r="K773" s="75" t="str">
        <f aca="false">
IF($D773="정상",INDEX(임대자산!$D$3:$R$3000,MATCH($F773,임대자산!$I$3:$I$3000,0),MATCH(K$4,임대자산!$D$3:$R$3,0)),
IF($D773="폐업",INDEX(폐업정보!$D$3:$R$3000,MATCH($F773,폐업정보!$I$3:$I$3000,0),MATCH(K$4,폐업정보!$D$3:$R$3,0)),
"Error"))</f>
        <v>C0768</v>
      </c>
      <c r="L773" s="75" t="str">
        <f aca="false">
IF($D773="정상",INDEX(임대자산!$D$3:$R$3000,MATCH($F773,임대자산!$I$3:$I$3000,0),MATCH(L$4,임대자산!$D$3:$R$3,0)),
IF($D773="폐업",INDEX(폐업정보!$D$3:$R$3000,MATCH($F773,폐업정보!$I$3:$I$3000,0),MATCH(L$4,폐업정보!$D$3:$R$3,0)),
"Error"))</f>
        <v>D0768</v>
      </c>
      <c r="M773" s="76" t="s">
        <v>96</v>
      </c>
      <c r="N773" s="77"/>
      <c r="O773" s="78" t="s">
        <v>97</v>
      </c>
      <c r="P773" s="79" t="n">
        <f aca="false">COUNTIFS(임대자산!$I:$I,가맹점정보!F773,임대자산!$N:$N,가맹점정보!P$4)</f>
        <v>0</v>
      </c>
      <c r="Q773" s="80" t="n">
        <f aca="false">COUNTIFS(임대자산!$I:$I,가맹점정보!F773,임대자산!$N:$N,가맹점정보!Q$4)</f>
        <v>1</v>
      </c>
      <c r="R773" s="81" t="n">
        <f aca="false">COUNTIFS(임대자산!$I:$I,가맹점정보!F773,임대자산!$N:$N,가맹점정보!R$4)</f>
        <v>0</v>
      </c>
      <c r="S773" s="82" t="n">
        <v>88000</v>
      </c>
      <c r="T773" s="83" t="n">
        <v>0</v>
      </c>
      <c r="U773" s="80" t="n">
        <f aca="false">SUM(S773:T773)</f>
        <v>88000</v>
      </c>
      <c r="V773" s="84" t="s">
        <v>12</v>
      </c>
      <c r="W773" s="80" t="e">
        <f aca="true">
IF(D773="폐업","폐업",
IF(V773="면제","면제",
IF(AND(V773="정상",COUNTIFS(OFFSET(Y773,0,COUNTA(Y773:AV773)-1,1,-4),"미납")&gt;=3),"장기미납",
IF(AND(V773="정상",OFFSET(Y773,0,COUNTA(Y773:AV773)-1)&gt;=U773),"정상",
IF(AND(V773="정상",OFFSET(Y773,0,COUNTA(Y773:AV773)-1)=0),"정상",
"계약서 미작성")))))</f>
        <v>#VALUE!</v>
      </c>
      <c r="X773" s="81" t="str">
        <f aca="true">
IF(D773="폐업","폐업",
IF(AND(V773="정상",OFFSET(Y773,0,COUNTA(Y773:AV773)-1)="미납"),"미납",
IF(AND(V773="정상",OFFSET(Y773,0,COUNTA(Y773:AV773)-1)=0),"납부 시작 전",
IF(AND(V773="정상",OFFSET(Y773,0,COUNTA(Y773:AV773)-1)&gt;=U773),"정상",
IF(AND(V773="면제",OFFSET(Y773,0,COUNTA(Y773:AV773)-1)="면제"),"면제",
IF(AND(V773="면제",OFFSET(Y773,0,COUNTA(Y773:AV773)-1)=0),"면제",
"확인요청"))))))</f>
        <v>정상</v>
      </c>
      <c r="Y773" s="93" t="n">
        <v>88000</v>
      </c>
      <c r="Z773" s="90" t="n">
        <v>88000</v>
      </c>
      <c r="AA773" s="90" t="n">
        <v>88000</v>
      </c>
      <c r="AB773" s="90" t="n">
        <v>88000</v>
      </c>
      <c r="AC773" s="90" t="n">
        <v>88000</v>
      </c>
      <c r="AD773" s="90" t="n">
        <v>88000</v>
      </c>
      <c r="AE773" s="90" t="n">
        <v>88000</v>
      </c>
      <c r="AF773" s="90" t="n">
        <v>88000</v>
      </c>
      <c r="AG773" s="90" t="n">
        <v>88000</v>
      </c>
      <c r="AH773" s="90" t="n">
        <v>88000</v>
      </c>
      <c r="AI773" s="90" t="n">
        <v>88000</v>
      </c>
      <c r="AJ773" s="91" t="n">
        <v>88000</v>
      </c>
      <c r="AK773" s="89" t="n">
        <v>88000</v>
      </c>
      <c r="AL773" s="90" t="n">
        <v>88000</v>
      </c>
      <c r="AM773" s="90"/>
      <c r="AN773" s="90"/>
      <c r="AO773" s="90"/>
      <c r="AP773" s="90"/>
      <c r="AQ773" s="90"/>
      <c r="AR773" s="90"/>
      <c r="AS773" s="90"/>
      <c r="AT773" s="90"/>
      <c r="AU773" s="90"/>
      <c r="AV773" s="91"/>
      <c r="AX773" s="92"/>
    </row>
    <row r="774" customFormat="false" ht="15.65" hidden="false" customHeight="false" outlineLevel="0" collapsed="false">
      <c r="C774" s="72" t="n">
        <f aca="false">COUNTIFS($D$6:D774,"&lt;&gt;"&amp;"")</f>
        <v>769</v>
      </c>
      <c r="D774" s="73" t="s">
        <v>12</v>
      </c>
      <c r="E774" s="76" t="str">
        <f aca="false">
IF($D774="정상",INDEX(임대자산!$D$3:$R$3000,MATCH($F774,임대자산!$I$3:$I$3000,0),MATCH(E$3,임대자산!$D$3:$R$3,0)),
IF($D774="폐업",INDEX(폐업정보!$D$3:$R$3000,MATCH($F774,폐업정보!$I$3:$I$3000,0),MATCH(E$3,폐업정보!$D$3:$R$3,0)),
"Error"))</f>
        <v>서울</v>
      </c>
      <c r="F77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B0769</v>
      </c>
      <c r="G774" s="76" t="str">
        <f aca="false">F774&amp;RANDBETWEEN(0,10)</f>
        <v>B07692</v>
      </c>
      <c r="H774" s="75" t="n">
        <f aca="false">
IF($D774="정상",INDEX(임대자산!$D$3:$R$3000,MATCH($F774,임대자산!$I$3:$I$3000,0),MATCH(H$4,임대자산!$D$3:$R$3,0)),
IF($D774="폐업",INDEX(폐업정보!$D$3:$R$3000,MATCH($F774,폐업정보!$I$3:$I$3000,0),MATCH(H$4,폐업정보!$D$3:$R$3,0)),
"Error"))</f>
        <v>43738</v>
      </c>
      <c r="I774" s="75" t="str">
        <f aca="false">
IF($D774="정상",INDEX(임대자산!$D$3:$R$3000,MATCH($F774,임대자산!$I$3:$I$3000,0),MATCH(I$4,임대자산!$D$3:$R$3,0)),
IF($D774="폐업",INDEX(폐업정보!$D$3:$R$3000,MATCH($F774,폐업정보!$I$3:$I$3000,0),MATCH(I$4,폐업정보!$D$3:$R$3,0)),
"Error"))</f>
        <v>A0769</v>
      </c>
      <c r="J774" s="75" t="str">
        <f aca="false">
IF($D774="정상",INDEX(임대자산!$D$3:$R$3000,MATCH($F774,임대자산!$I$3:$I$3000,0),MATCH(J$4,임대자산!$D$3:$R$3,0)),
IF($D774="폐업",INDEX(폐업정보!$D$3:$R$3000,MATCH($F774,폐업정보!$I$3:$I$3000,0),MATCH(J$4,폐업정보!$D$3:$R$3,0)),
"Error"))</f>
        <v>7752000000</v>
      </c>
      <c r="K774" s="75" t="str">
        <f aca="false">
IF($D774="정상",INDEX(임대자산!$D$3:$R$3000,MATCH($F774,임대자산!$I$3:$I$3000,0),MATCH(K$4,임대자산!$D$3:$R$3,0)),
IF($D774="폐업",INDEX(폐업정보!$D$3:$R$3000,MATCH($F774,폐업정보!$I$3:$I$3000,0),MATCH(K$4,폐업정보!$D$3:$R$3,0)),
"Error"))</f>
        <v>C0769</v>
      </c>
      <c r="L774" s="75" t="str">
        <f aca="false">
IF($D774="정상",INDEX(임대자산!$D$3:$R$3000,MATCH($F774,임대자산!$I$3:$I$3000,0),MATCH(L$4,임대자산!$D$3:$R$3,0)),
IF($D774="폐업",INDEX(폐업정보!$D$3:$R$3000,MATCH($F774,폐업정보!$I$3:$I$3000,0),MATCH(L$4,폐업정보!$D$3:$R$3,0)),
"Error"))</f>
        <v>D0769</v>
      </c>
      <c r="M774" s="76" t="s">
        <v>96</v>
      </c>
      <c r="N774" s="77"/>
      <c r="O774" s="78" t="s">
        <v>97</v>
      </c>
      <c r="P774" s="79" t="n">
        <f aca="false">COUNTIFS(임대자산!$I:$I,가맹점정보!F774,임대자산!$N:$N,가맹점정보!P$4)</f>
        <v>0</v>
      </c>
      <c r="Q774" s="80" t="n">
        <f aca="false">COUNTIFS(임대자산!$I:$I,가맹점정보!F774,임대자산!$N:$N,가맹점정보!Q$4)</f>
        <v>1</v>
      </c>
      <c r="R774" s="81" t="n">
        <f aca="false">COUNTIFS(임대자산!$I:$I,가맹점정보!F774,임대자산!$N:$N,가맹점정보!R$4)</f>
        <v>0</v>
      </c>
      <c r="S774" s="82" t="n">
        <v>55000</v>
      </c>
      <c r="T774" s="83" t="n">
        <v>0</v>
      </c>
      <c r="U774" s="80" t="n">
        <f aca="false">SUM(S774:T774)</f>
        <v>55000</v>
      </c>
      <c r="V774" s="84" t="s">
        <v>12</v>
      </c>
      <c r="W774" s="80" t="e">
        <f aca="true">
IF(D774="폐업","폐업",
IF(V774="면제","면제",
IF(AND(V774="정상",COUNTIFS(OFFSET(Y774,0,COUNTA(Y774:AV774)-1,1,-4),"미납")&gt;=3),"장기미납",
IF(AND(V774="정상",OFFSET(Y774,0,COUNTA(Y774:AV774)-1)&gt;=U774),"정상",
IF(AND(V774="정상",OFFSET(Y774,0,COUNTA(Y774:AV774)-1)=0),"정상",
"계약서 미작성")))))</f>
        <v>#VALUE!</v>
      </c>
      <c r="X774" s="81" t="str">
        <f aca="true">
IF(D774="폐업","폐업",
IF(AND(V774="정상",OFFSET(Y774,0,COUNTA(Y774:AV774)-1)="미납"),"미납",
IF(AND(V774="정상",OFFSET(Y774,0,COUNTA(Y774:AV774)-1)=0),"납부 시작 전",
IF(AND(V774="정상",OFFSET(Y774,0,COUNTA(Y774:AV774)-1)&gt;=U774),"정상",
IF(AND(V774="면제",OFFSET(Y774,0,COUNTA(Y774:AV774)-1)="면제"),"면제",
IF(AND(V774="면제",OFFSET(Y774,0,COUNTA(Y774:AV774)-1)=0),"면제",
"확인요청"))))))</f>
        <v>정상</v>
      </c>
      <c r="Y774" s="93" t="n">
        <v>55000</v>
      </c>
      <c r="Z774" s="90" t="n">
        <v>55000</v>
      </c>
      <c r="AA774" s="90" t="n">
        <v>55000</v>
      </c>
      <c r="AB774" s="90" t="n">
        <v>55000</v>
      </c>
      <c r="AC774" s="90" t="n">
        <v>55000</v>
      </c>
      <c r="AD774" s="90" t="n">
        <v>55000</v>
      </c>
      <c r="AE774" s="90" t="n">
        <v>55000</v>
      </c>
      <c r="AF774" s="90" t="n">
        <v>55000</v>
      </c>
      <c r="AG774" s="90" t="n">
        <v>55000</v>
      </c>
      <c r="AH774" s="90" t="n">
        <v>55000</v>
      </c>
      <c r="AI774" s="90" t="n">
        <v>55000</v>
      </c>
      <c r="AJ774" s="91" t="n">
        <v>55000</v>
      </c>
      <c r="AK774" s="89" t="n">
        <v>55000</v>
      </c>
      <c r="AL774" s="90" t="n">
        <v>55000</v>
      </c>
      <c r="AM774" s="90"/>
      <c r="AN774" s="90"/>
      <c r="AO774" s="90"/>
      <c r="AP774" s="90"/>
      <c r="AQ774" s="90"/>
      <c r="AR774" s="90"/>
      <c r="AS774" s="90"/>
      <c r="AT774" s="90"/>
      <c r="AU774" s="90"/>
      <c r="AV774" s="91"/>
      <c r="AX774" s="92"/>
    </row>
    <row r="775" customFormat="false" ht="15.65" hidden="false" customHeight="false" outlineLevel="0" collapsed="false">
      <c r="C775" s="72" t="n">
        <f aca="false">COUNTIFS($D$6:D775,"&lt;&gt;"&amp;"")</f>
        <v>770</v>
      </c>
      <c r="D775" s="73" t="s">
        <v>12</v>
      </c>
      <c r="E775" s="76" t="str">
        <f aca="false">
IF($D775="정상",INDEX(임대자산!$D$3:$R$3000,MATCH($F775,임대자산!$I$3:$I$3000,0),MATCH(E$3,임대자산!$D$3:$R$3,0)),
IF($D775="폐업",INDEX(폐업정보!$D$3:$R$3000,MATCH($F775,폐업정보!$I$3:$I$3000,0),MATCH(E$3,폐업정보!$D$3:$R$3,0)),
"Error"))</f>
        <v>경상</v>
      </c>
      <c r="F77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B0770</v>
      </c>
      <c r="G775" s="76" t="str">
        <f aca="false">F775&amp;RANDBETWEEN(0,10)</f>
        <v>B07709</v>
      </c>
      <c r="H775" s="75" t="n">
        <f aca="false">
IF($D775="정상",INDEX(임대자산!$D$3:$R$3000,MATCH($F775,임대자산!$I$3:$I$3000,0),MATCH(H$4,임대자산!$D$3:$R$3,0)),
IF($D775="폐업",INDEX(폐업정보!$D$3:$R$3000,MATCH($F775,폐업정보!$I$3:$I$3000,0),MATCH(H$4,폐업정보!$D$3:$R$3,0)),
"Error"))</f>
        <v>45588</v>
      </c>
      <c r="I775" s="75" t="str">
        <f aca="false">
IF($D775="정상",INDEX(임대자산!$D$3:$R$3000,MATCH($F775,임대자산!$I$3:$I$3000,0),MATCH(I$4,임대자산!$D$3:$R$3,0)),
IF($D775="폐업",INDEX(폐업정보!$D$3:$R$3000,MATCH($F775,폐업정보!$I$3:$I$3000,0),MATCH(I$4,폐업정보!$D$3:$R$3,0)),
"Error"))</f>
        <v>A0770</v>
      </c>
      <c r="J775" s="75" t="str">
        <f aca="false">
IF($D775="정상",INDEX(임대자산!$D$3:$R$3000,MATCH($F775,임대자산!$I$3:$I$3000,0),MATCH(J$4,임대자산!$D$3:$R$3,0)),
IF($D775="폐업",INDEX(폐업정보!$D$3:$R$3000,MATCH($F775,폐업정보!$I$3:$I$3000,0),MATCH(J$4,폐업정보!$D$3:$R$3,0)),
"Error"))</f>
        <v>4493400000</v>
      </c>
      <c r="K775" s="75" t="str">
        <f aca="false">
IF($D775="정상",INDEX(임대자산!$D$3:$R$3000,MATCH($F775,임대자산!$I$3:$I$3000,0),MATCH(K$4,임대자산!$D$3:$R$3,0)),
IF($D775="폐업",INDEX(폐업정보!$D$3:$R$3000,MATCH($F775,폐업정보!$I$3:$I$3000,0),MATCH(K$4,폐업정보!$D$3:$R$3,0)),
"Error"))</f>
        <v>C0770</v>
      </c>
      <c r="L775" s="75" t="str">
        <f aca="false">
IF($D775="정상",INDEX(임대자산!$D$3:$R$3000,MATCH($F775,임대자산!$I$3:$I$3000,0),MATCH(L$4,임대자산!$D$3:$R$3,0)),
IF($D775="폐업",INDEX(폐업정보!$D$3:$R$3000,MATCH($F775,폐업정보!$I$3:$I$3000,0),MATCH(L$4,폐업정보!$D$3:$R$3,0)),
"Error"))</f>
        <v>D0770</v>
      </c>
      <c r="M775" s="76" t="s">
        <v>96</v>
      </c>
      <c r="N775" s="77"/>
      <c r="O775" s="78" t="s">
        <v>97</v>
      </c>
      <c r="P775" s="79" t="n">
        <f aca="false">COUNTIFS(임대자산!$I:$I,가맹점정보!F775,임대자산!$N:$N,가맹점정보!P$4)</f>
        <v>0</v>
      </c>
      <c r="Q775" s="80" t="n">
        <f aca="false">COUNTIFS(임대자산!$I:$I,가맹점정보!F775,임대자산!$N:$N,가맹점정보!Q$4)</f>
        <v>1</v>
      </c>
      <c r="R775" s="81" t="n">
        <f aca="false">COUNTIFS(임대자산!$I:$I,가맹점정보!F775,임대자산!$N:$N,가맹점정보!R$4)</f>
        <v>0</v>
      </c>
      <c r="S775" s="82" t="n">
        <v>55000</v>
      </c>
      <c r="T775" s="83" t="n">
        <v>0</v>
      </c>
      <c r="U775" s="80" t="n">
        <f aca="false">SUM(S775:T775)</f>
        <v>55000</v>
      </c>
      <c r="V775" s="84" t="s">
        <v>12</v>
      </c>
      <c r="W775" s="80" t="e">
        <f aca="true">
IF(D775="폐업","폐업",
IF(V775="면제","면제",
IF(AND(V775="정상",COUNTIFS(OFFSET(Y775,0,COUNTA(Y775:AV775)-1,1,-4),"미납")&gt;=3),"장기미납",
IF(AND(V775="정상",OFFSET(Y775,0,COUNTA(Y775:AV775)-1)&gt;=U775),"정상",
IF(AND(V775="정상",OFFSET(Y775,0,COUNTA(Y775:AV775)-1)=0),"정상",
"계약서 미작성")))))</f>
        <v>#VALUE!</v>
      </c>
      <c r="X775" s="81" t="str">
        <f aca="true">
IF(D775="폐업","폐업",
IF(AND(V775="정상",OFFSET(Y775,0,COUNTA(Y775:AV775)-1)="미납"),"미납",
IF(AND(V775="정상",OFFSET(Y775,0,COUNTA(Y775:AV775)-1)=0),"납부 시작 전",
IF(AND(V775="정상",OFFSET(Y775,0,COUNTA(Y775:AV775)-1)&gt;=U775),"정상",
IF(AND(V775="면제",OFFSET(Y775,0,COUNTA(Y775:AV775)-1)="면제"),"면제",
IF(AND(V775="면제",OFFSET(Y775,0,COUNTA(Y775:AV775)-1)=0),"면제",
"확인요청"))))))</f>
        <v>정상</v>
      </c>
      <c r="Y775" s="93" t="n">
        <v>55000</v>
      </c>
      <c r="Z775" s="90" t="n">
        <v>55000</v>
      </c>
      <c r="AA775" s="90" t="n">
        <v>55000</v>
      </c>
      <c r="AB775" s="90" t="n">
        <v>55000</v>
      </c>
      <c r="AC775" s="90" t="n">
        <v>55000</v>
      </c>
      <c r="AD775" s="90" t="n">
        <v>55000</v>
      </c>
      <c r="AE775" s="90" t="n">
        <v>55000</v>
      </c>
      <c r="AF775" s="90" t="n">
        <v>55000</v>
      </c>
      <c r="AG775" s="90" t="n">
        <v>55000</v>
      </c>
      <c r="AH775" s="90" t="n">
        <v>55000</v>
      </c>
      <c r="AI775" s="90" t="n">
        <v>55000</v>
      </c>
      <c r="AJ775" s="91" t="n">
        <v>55000</v>
      </c>
      <c r="AK775" s="89" t="n">
        <v>55000</v>
      </c>
      <c r="AL775" s="90" t="n">
        <v>55000</v>
      </c>
      <c r="AM775" s="90"/>
      <c r="AN775" s="90"/>
      <c r="AO775" s="90"/>
      <c r="AP775" s="90"/>
      <c r="AQ775" s="90"/>
      <c r="AR775" s="90"/>
      <c r="AS775" s="90"/>
      <c r="AT775" s="90"/>
      <c r="AU775" s="90"/>
      <c r="AV775" s="91"/>
      <c r="AX775" s="92"/>
    </row>
    <row r="776" customFormat="false" ht="15.65" hidden="false" customHeight="false" outlineLevel="0" collapsed="false">
      <c r="C776" s="72" t="n">
        <f aca="false">COUNTIFS($D$6:D776,"&lt;&gt;"&amp;"")</f>
        <v>771</v>
      </c>
      <c r="D776" s="73" t="s">
        <v>12</v>
      </c>
      <c r="E776" s="76" t="str">
        <f aca="false">
IF($D776="정상",INDEX(임대자산!$D$3:$R$3000,MATCH($F776,임대자산!$I$3:$I$3000,0),MATCH(E$3,임대자산!$D$3:$R$3,0)),
IF($D776="폐업",INDEX(폐업정보!$D$3:$R$3000,MATCH($F776,폐업정보!$I$3:$I$3000,0),MATCH(E$3,폐업정보!$D$3:$R$3,0)),
"Error"))</f>
        <v>경기</v>
      </c>
      <c r="F77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B0771</v>
      </c>
      <c r="G776" s="76" t="str">
        <f aca="false">F776&amp;RANDBETWEEN(0,10)</f>
        <v>B07715</v>
      </c>
      <c r="H776" s="75" t="n">
        <f aca="false">
IF($D776="정상",INDEX(임대자산!$D$3:$R$3000,MATCH($F776,임대자산!$I$3:$I$3000,0),MATCH(H$4,임대자산!$D$3:$R$3,0)),
IF($D776="폐업",INDEX(폐업정보!$D$3:$R$3000,MATCH($F776,폐업정보!$I$3:$I$3000,0),MATCH(H$4,폐업정보!$D$3:$R$3,0)),
"Error"))</f>
        <v>45399</v>
      </c>
      <c r="I776" s="75" t="str">
        <f aca="false">
IF($D776="정상",INDEX(임대자산!$D$3:$R$3000,MATCH($F776,임대자산!$I$3:$I$3000,0),MATCH(I$4,임대자산!$D$3:$R$3,0)),
IF($D776="폐업",INDEX(폐업정보!$D$3:$R$3000,MATCH($F776,폐업정보!$I$3:$I$3000,0),MATCH(I$4,폐업정보!$D$3:$R$3,0)),
"Error"))</f>
        <v>A0771</v>
      </c>
      <c r="J776" s="75" t="str">
        <f aca="false">
IF($D776="정상",INDEX(임대자산!$D$3:$R$3000,MATCH($F776,임대자산!$I$3:$I$3000,0),MATCH(J$4,임대자산!$D$3:$R$3,0)),
IF($D776="폐업",INDEX(폐업정보!$D$3:$R$3000,MATCH($F776,폐업정보!$I$3:$I$3000,0),MATCH(J$4,폐업정보!$D$3:$R$3,0)),
"Error"))</f>
        <v>8210900000</v>
      </c>
      <c r="K776" s="75" t="str">
        <f aca="false">
IF($D776="정상",INDEX(임대자산!$D$3:$R$3000,MATCH($F776,임대자산!$I$3:$I$3000,0),MATCH(K$4,임대자산!$D$3:$R$3,0)),
IF($D776="폐업",INDEX(폐업정보!$D$3:$R$3000,MATCH($F776,폐업정보!$I$3:$I$3000,0),MATCH(K$4,폐업정보!$D$3:$R$3,0)),
"Error"))</f>
        <v>C0771</v>
      </c>
      <c r="L776" s="75" t="str">
        <f aca="false">
IF($D776="정상",INDEX(임대자산!$D$3:$R$3000,MATCH($F776,임대자산!$I$3:$I$3000,0),MATCH(L$4,임대자산!$D$3:$R$3,0)),
IF($D776="폐업",INDEX(폐업정보!$D$3:$R$3000,MATCH($F776,폐업정보!$I$3:$I$3000,0),MATCH(L$4,폐업정보!$D$3:$R$3,0)),
"Error"))</f>
        <v>D0771</v>
      </c>
      <c r="M776" s="76" t="s">
        <v>96</v>
      </c>
      <c r="N776" s="77"/>
      <c r="O776" s="78" t="s">
        <v>97</v>
      </c>
      <c r="P776" s="79" t="n">
        <f aca="false">COUNTIFS(임대자산!$I:$I,가맹점정보!F776,임대자산!$N:$N,가맹점정보!P$4)</f>
        <v>0</v>
      </c>
      <c r="Q776" s="80" t="n">
        <f aca="false">COUNTIFS(임대자산!$I:$I,가맹점정보!F776,임대자산!$N:$N,가맹점정보!Q$4)</f>
        <v>1</v>
      </c>
      <c r="R776" s="81" t="n">
        <f aca="false">COUNTIFS(임대자산!$I:$I,가맹점정보!F776,임대자산!$N:$N,가맹점정보!R$4)</f>
        <v>0</v>
      </c>
      <c r="S776" s="82" t="n">
        <v>55000</v>
      </c>
      <c r="T776" s="83" t="n">
        <v>0</v>
      </c>
      <c r="U776" s="80" t="n">
        <f aca="false">SUM(S776:T776)</f>
        <v>55000</v>
      </c>
      <c r="V776" s="84" t="s">
        <v>12</v>
      </c>
      <c r="W776" s="80" t="e">
        <f aca="true">
IF(D776="폐업","폐업",
IF(V776="면제","면제",
IF(AND(V776="정상",COUNTIFS(OFFSET(Y776,0,COUNTA(Y776:AV776)-1,1,-4),"미납")&gt;=3),"장기미납",
IF(AND(V776="정상",OFFSET(Y776,0,COUNTA(Y776:AV776)-1)&gt;=U776),"정상",
IF(AND(V776="정상",OFFSET(Y776,0,COUNTA(Y776:AV776)-1)=0),"정상",
"계약서 미작성")))))</f>
        <v>#VALUE!</v>
      </c>
      <c r="X776" s="81" t="str">
        <f aca="true">
IF(D776="폐업","폐업",
IF(AND(V776="정상",OFFSET(Y776,0,COUNTA(Y776:AV776)-1)="미납"),"미납",
IF(AND(V776="정상",OFFSET(Y776,0,COUNTA(Y776:AV776)-1)=0),"납부 시작 전",
IF(AND(V776="정상",OFFSET(Y776,0,COUNTA(Y776:AV776)-1)&gt;=U776),"정상",
IF(AND(V776="면제",OFFSET(Y776,0,COUNTA(Y776:AV776)-1)="면제"),"면제",
IF(AND(V776="면제",OFFSET(Y776,0,COUNTA(Y776:AV776)-1)=0),"면제",
"확인요청"))))))</f>
        <v>정상</v>
      </c>
      <c r="Y776" s="93" t="n">
        <v>55000</v>
      </c>
      <c r="Z776" s="90" t="n">
        <v>55000</v>
      </c>
      <c r="AA776" s="90" t="n">
        <v>55000</v>
      </c>
      <c r="AB776" s="90" t="n">
        <v>55000</v>
      </c>
      <c r="AC776" s="90" t="n">
        <v>55000</v>
      </c>
      <c r="AD776" s="90" t="n">
        <v>55000</v>
      </c>
      <c r="AE776" s="90" t="n">
        <v>55000</v>
      </c>
      <c r="AF776" s="90" t="n">
        <v>55000</v>
      </c>
      <c r="AG776" s="90" t="n">
        <v>55000</v>
      </c>
      <c r="AH776" s="90" t="n">
        <v>55000</v>
      </c>
      <c r="AI776" s="90" t="n">
        <v>55000</v>
      </c>
      <c r="AJ776" s="91" t="n">
        <v>55000</v>
      </c>
      <c r="AK776" s="89" t="n">
        <v>55000</v>
      </c>
      <c r="AL776" s="90" t="n">
        <v>55000</v>
      </c>
      <c r="AM776" s="90"/>
      <c r="AN776" s="90"/>
      <c r="AO776" s="90"/>
      <c r="AP776" s="90"/>
      <c r="AQ776" s="90"/>
      <c r="AR776" s="90"/>
      <c r="AS776" s="90"/>
      <c r="AT776" s="90"/>
      <c r="AU776" s="90"/>
      <c r="AV776" s="91"/>
      <c r="AX776" s="92"/>
    </row>
    <row r="777" customFormat="false" ht="15.65" hidden="false" customHeight="false" outlineLevel="0" collapsed="false">
      <c r="C777" s="72" t="n">
        <f aca="false">COUNTIFS($D$6:D777,"&lt;&gt;"&amp;"")</f>
        <v>772</v>
      </c>
      <c r="D777" s="73" t="s">
        <v>12</v>
      </c>
      <c r="E777" s="76" t="str">
        <f aca="false">
IF($D777="정상",INDEX(임대자산!$D$3:$R$3000,MATCH($F777,임대자산!$I$3:$I$3000,0),MATCH(E$3,임대자산!$D$3:$R$3,0)),
IF($D777="폐업",INDEX(폐업정보!$D$3:$R$3000,MATCH($F777,폐업정보!$I$3:$I$3000,0),MATCH(E$3,폐업정보!$D$3:$R$3,0)),
"Error"))</f>
        <v>경기</v>
      </c>
      <c r="F77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B0772</v>
      </c>
      <c r="G777" s="76" t="str">
        <f aca="false">F777&amp;RANDBETWEEN(0,10)</f>
        <v>B07727</v>
      </c>
      <c r="H777" s="75" t="n">
        <f aca="false">
IF($D777="정상",INDEX(임대자산!$D$3:$R$3000,MATCH($F777,임대자산!$I$3:$I$3000,0),MATCH(H$4,임대자산!$D$3:$R$3,0)),
IF($D777="폐업",INDEX(폐업정보!$D$3:$R$3000,MATCH($F777,폐업정보!$I$3:$I$3000,0),MATCH(H$4,폐업정보!$D$3:$R$3,0)),
"Error"))</f>
        <v>45390</v>
      </c>
      <c r="I777" s="75" t="str">
        <f aca="false">
IF($D777="정상",INDEX(임대자산!$D$3:$R$3000,MATCH($F777,임대자산!$I$3:$I$3000,0),MATCH(I$4,임대자산!$D$3:$R$3,0)),
IF($D777="폐업",INDEX(폐업정보!$D$3:$R$3000,MATCH($F777,폐업정보!$I$3:$I$3000,0),MATCH(I$4,폐업정보!$D$3:$R$3,0)),
"Error"))</f>
        <v>A0772</v>
      </c>
      <c r="J777" s="75" t="str">
        <f aca="false">
IF($D777="정상",INDEX(임대자산!$D$3:$R$3000,MATCH($F777,임대자산!$I$3:$I$3000,0),MATCH(J$4,임대자산!$D$3:$R$3,0)),
IF($D777="폐업",INDEX(폐업정보!$D$3:$R$3000,MATCH($F777,폐업정보!$I$3:$I$3000,0),MATCH(J$4,폐업정보!$D$3:$R$3,0)),
"Error"))</f>
        <v>9654000000</v>
      </c>
      <c r="K777" s="75" t="str">
        <f aca="false">
IF($D777="정상",INDEX(임대자산!$D$3:$R$3000,MATCH($F777,임대자산!$I$3:$I$3000,0),MATCH(K$4,임대자산!$D$3:$R$3,0)),
IF($D777="폐업",INDEX(폐업정보!$D$3:$R$3000,MATCH($F777,폐업정보!$I$3:$I$3000,0),MATCH(K$4,폐업정보!$D$3:$R$3,0)),
"Error"))</f>
        <v>C0772</v>
      </c>
      <c r="L777" s="75" t="str">
        <f aca="false">
IF($D777="정상",INDEX(임대자산!$D$3:$R$3000,MATCH($F777,임대자산!$I$3:$I$3000,0),MATCH(L$4,임대자산!$D$3:$R$3,0)),
IF($D777="폐업",INDEX(폐업정보!$D$3:$R$3000,MATCH($F777,폐업정보!$I$3:$I$3000,0),MATCH(L$4,폐업정보!$D$3:$R$3,0)),
"Error"))</f>
        <v>D0772</v>
      </c>
      <c r="M777" s="76" t="s">
        <v>96</v>
      </c>
      <c r="N777" s="77"/>
      <c r="O777" s="78" t="s">
        <v>97</v>
      </c>
      <c r="P777" s="79" t="n">
        <f aca="false">COUNTIFS(임대자산!$I:$I,가맹점정보!F777,임대자산!$N:$N,가맹점정보!P$4)</f>
        <v>0</v>
      </c>
      <c r="Q777" s="80" t="n">
        <f aca="false">COUNTIFS(임대자산!$I:$I,가맹점정보!F777,임대자산!$N:$N,가맹점정보!Q$4)</f>
        <v>1</v>
      </c>
      <c r="R777" s="81" t="n">
        <f aca="false">COUNTIFS(임대자산!$I:$I,가맹점정보!F777,임대자산!$N:$N,가맹점정보!R$4)</f>
        <v>0</v>
      </c>
      <c r="S777" s="82" t="n">
        <v>88000</v>
      </c>
      <c r="T777" s="83" t="n">
        <v>0</v>
      </c>
      <c r="U777" s="80" t="n">
        <f aca="false">SUM(S777:T777)</f>
        <v>88000</v>
      </c>
      <c r="V777" s="84" t="s">
        <v>12</v>
      </c>
      <c r="W777" s="80" t="e">
        <f aca="true">
IF(D777="폐업","폐업",
IF(V777="면제","면제",
IF(AND(V777="정상",COUNTIFS(OFFSET(Y777,0,COUNTA(Y777:AV777)-1,1,-4),"미납")&gt;=3),"장기미납",
IF(AND(V777="정상",OFFSET(Y777,0,COUNTA(Y777:AV777)-1)&gt;=U777),"정상",
IF(AND(V777="정상",OFFSET(Y777,0,COUNTA(Y777:AV777)-1)=0),"정상",
"계약서 미작성")))))</f>
        <v>#VALUE!</v>
      </c>
      <c r="X777" s="81" t="str">
        <f aca="true">
IF(D777="폐업","폐업",
IF(AND(V777="정상",OFFSET(Y777,0,COUNTA(Y777:AV777)-1)="미납"),"미납",
IF(AND(V777="정상",OFFSET(Y777,0,COUNTA(Y777:AV777)-1)=0),"납부 시작 전",
IF(AND(V777="정상",OFFSET(Y777,0,COUNTA(Y777:AV777)-1)&gt;=U777),"정상",
IF(AND(V777="면제",OFFSET(Y777,0,COUNTA(Y777:AV777)-1)="면제"),"면제",
IF(AND(V777="면제",OFFSET(Y777,0,COUNTA(Y777:AV777)-1)=0),"면제",
"확인요청"))))))</f>
        <v>정상</v>
      </c>
      <c r="Y777" s="93" t="n">
        <v>88000</v>
      </c>
      <c r="Z777" s="90" t="n">
        <v>88000</v>
      </c>
      <c r="AA777" s="90" t="n">
        <v>88000</v>
      </c>
      <c r="AB777" s="90" t="n">
        <v>88000</v>
      </c>
      <c r="AC777" s="90" t="n">
        <v>88000</v>
      </c>
      <c r="AD777" s="90" t="n">
        <v>88000</v>
      </c>
      <c r="AE777" s="90" t="n">
        <v>88000</v>
      </c>
      <c r="AF777" s="90" t="n">
        <v>88000</v>
      </c>
      <c r="AG777" s="90" t="n">
        <v>88000</v>
      </c>
      <c r="AH777" s="90" t="n">
        <v>88000</v>
      </c>
      <c r="AI777" s="90" t="n">
        <v>88000</v>
      </c>
      <c r="AJ777" s="91" t="n">
        <v>88000</v>
      </c>
      <c r="AK777" s="89" t="n">
        <v>88000</v>
      </c>
      <c r="AL777" s="90" t="n">
        <v>88000</v>
      </c>
      <c r="AM777" s="90"/>
      <c r="AN777" s="90"/>
      <c r="AO777" s="90"/>
      <c r="AP777" s="90"/>
      <c r="AQ777" s="90"/>
      <c r="AR777" s="90"/>
      <c r="AS777" s="90"/>
      <c r="AT777" s="90"/>
      <c r="AU777" s="90"/>
      <c r="AV777" s="91"/>
      <c r="AX777" s="92"/>
    </row>
    <row r="778" customFormat="false" ht="15.65" hidden="false" customHeight="false" outlineLevel="0" collapsed="false">
      <c r="C778" s="72" t="n">
        <f aca="false">COUNTIFS($D$6:D778,"&lt;&gt;"&amp;"")</f>
        <v>773</v>
      </c>
      <c r="D778" s="73" t="s">
        <v>12</v>
      </c>
      <c r="E778" s="76" t="str">
        <f aca="false">
IF($D778="정상",INDEX(임대자산!$D$3:$R$3000,MATCH($F778,임대자산!$I$3:$I$3000,0),MATCH(E$3,임대자산!$D$3:$R$3,0)),
IF($D778="폐업",INDEX(폐업정보!$D$3:$R$3000,MATCH($F778,폐업정보!$I$3:$I$3000,0),MATCH(E$3,폐업정보!$D$3:$R$3,0)),
"Error"))</f>
        <v>경상</v>
      </c>
      <c r="F77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B0773</v>
      </c>
      <c r="G778" s="76" t="str">
        <f aca="false">F778&amp;RANDBETWEEN(0,10)</f>
        <v>B077310</v>
      </c>
      <c r="H778" s="75" t="n">
        <f aca="false">
IF($D778="정상",INDEX(임대자산!$D$3:$R$3000,MATCH($F778,임대자산!$I$3:$I$3000,0),MATCH(H$4,임대자산!$D$3:$R$3,0)),
IF($D778="폐업",INDEX(폐업정보!$D$3:$R$3000,MATCH($F778,폐업정보!$I$3:$I$3000,0),MATCH(H$4,폐업정보!$D$3:$R$3,0)),
"Error"))</f>
        <v>45383</v>
      </c>
      <c r="I778" s="75" t="str">
        <f aca="false">
IF($D778="정상",INDEX(임대자산!$D$3:$R$3000,MATCH($F778,임대자산!$I$3:$I$3000,0),MATCH(I$4,임대자산!$D$3:$R$3,0)),
IF($D778="폐업",INDEX(폐업정보!$D$3:$R$3000,MATCH($F778,폐업정보!$I$3:$I$3000,0),MATCH(I$4,폐업정보!$D$3:$R$3,0)),
"Error"))</f>
        <v>A0773</v>
      </c>
      <c r="J778" s="75" t="str">
        <f aca="false">
IF($D778="정상",INDEX(임대자산!$D$3:$R$3000,MATCH($F778,임대자산!$I$3:$I$3000,0),MATCH(J$4,임대자산!$D$3:$R$3,0)),
IF($D778="폐업",INDEX(폐업정보!$D$3:$R$3000,MATCH($F778,폐업정보!$I$3:$I$3000,0),MATCH(J$4,폐업정보!$D$3:$R$3,0)),
"Error"))</f>
        <v>7043300000</v>
      </c>
      <c r="K778" s="75" t="str">
        <f aca="false">
IF($D778="정상",INDEX(임대자산!$D$3:$R$3000,MATCH($F778,임대자산!$I$3:$I$3000,0),MATCH(K$4,임대자산!$D$3:$R$3,0)),
IF($D778="폐업",INDEX(폐업정보!$D$3:$R$3000,MATCH($F778,폐업정보!$I$3:$I$3000,0),MATCH(K$4,폐업정보!$D$3:$R$3,0)),
"Error"))</f>
        <v>C0773</v>
      </c>
      <c r="L778" s="75" t="str">
        <f aca="false">
IF($D778="정상",INDEX(임대자산!$D$3:$R$3000,MATCH($F778,임대자산!$I$3:$I$3000,0),MATCH(L$4,임대자산!$D$3:$R$3,0)),
IF($D778="폐업",INDEX(폐업정보!$D$3:$R$3000,MATCH($F778,폐업정보!$I$3:$I$3000,0),MATCH(L$4,폐업정보!$D$3:$R$3,0)),
"Error"))</f>
        <v>D0773</v>
      </c>
      <c r="M778" s="76" t="s">
        <v>96</v>
      </c>
      <c r="N778" s="77"/>
      <c r="O778" s="78" t="s">
        <v>97</v>
      </c>
      <c r="P778" s="79" t="n">
        <f aca="false">COUNTIFS(임대자산!$I:$I,가맹점정보!F778,임대자산!$N:$N,가맹점정보!P$4)</f>
        <v>0</v>
      </c>
      <c r="Q778" s="80" t="n">
        <f aca="false">COUNTIFS(임대자산!$I:$I,가맹점정보!F778,임대자산!$N:$N,가맹점정보!Q$4)</f>
        <v>1</v>
      </c>
      <c r="R778" s="81" t="n">
        <f aca="false">COUNTIFS(임대자산!$I:$I,가맹점정보!F778,임대자산!$N:$N,가맹점정보!R$4)</f>
        <v>0</v>
      </c>
      <c r="S778" s="82" t="n">
        <v>55000</v>
      </c>
      <c r="T778" s="83" t="n">
        <v>0</v>
      </c>
      <c r="U778" s="80" t="n">
        <f aca="false">SUM(S778:T778)</f>
        <v>55000</v>
      </c>
      <c r="V778" s="84" t="s">
        <v>12</v>
      </c>
      <c r="W778" s="80" t="e">
        <f aca="true">
IF(D778="폐업","폐업",
IF(V778="면제","면제",
IF(AND(V778="정상",COUNTIFS(OFFSET(Y778,0,COUNTA(Y778:AV778)-1,1,-4),"미납")&gt;=3),"장기미납",
IF(AND(V778="정상",OFFSET(Y778,0,COUNTA(Y778:AV778)-1)&gt;=U778),"정상",
IF(AND(V778="정상",OFFSET(Y778,0,COUNTA(Y778:AV778)-1)=0),"정상",
"계약서 미작성")))))</f>
        <v>#VALUE!</v>
      </c>
      <c r="X778" s="81" t="str">
        <f aca="true">
IF(D778="폐업","폐업",
IF(AND(V778="정상",OFFSET(Y778,0,COUNTA(Y778:AV778)-1)="미납"),"미납",
IF(AND(V778="정상",OFFSET(Y778,0,COUNTA(Y778:AV778)-1)=0),"납부 시작 전",
IF(AND(V778="정상",OFFSET(Y778,0,COUNTA(Y778:AV778)-1)&gt;=U778),"정상",
IF(AND(V778="면제",OFFSET(Y778,0,COUNTA(Y778:AV778)-1)="면제"),"면제",
IF(AND(V778="면제",OFFSET(Y778,0,COUNTA(Y778:AV778)-1)=0),"면제",
"확인요청"))))))</f>
        <v>정상</v>
      </c>
      <c r="Y778" s="93" t="n">
        <v>55000</v>
      </c>
      <c r="Z778" s="90" t="n">
        <v>55000</v>
      </c>
      <c r="AA778" s="90" t="n">
        <v>55000</v>
      </c>
      <c r="AB778" s="90" t="n">
        <v>55000</v>
      </c>
      <c r="AC778" s="90" t="n">
        <v>55000</v>
      </c>
      <c r="AD778" s="90" t="n">
        <v>55000</v>
      </c>
      <c r="AE778" s="90" t="n">
        <v>55000</v>
      </c>
      <c r="AF778" s="90" t="n">
        <v>55000</v>
      </c>
      <c r="AG778" s="90" t="n">
        <v>55000</v>
      </c>
      <c r="AH778" s="90" t="n">
        <v>55000</v>
      </c>
      <c r="AI778" s="90" t="n">
        <v>55000</v>
      </c>
      <c r="AJ778" s="91" t="n">
        <v>55000</v>
      </c>
      <c r="AK778" s="89" t="n">
        <v>55000</v>
      </c>
      <c r="AL778" s="90" t="n">
        <v>55000</v>
      </c>
      <c r="AM778" s="90"/>
      <c r="AN778" s="90"/>
      <c r="AO778" s="90"/>
      <c r="AP778" s="90"/>
      <c r="AQ778" s="90"/>
      <c r="AR778" s="90"/>
      <c r="AS778" s="90"/>
      <c r="AT778" s="90"/>
      <c r="AU778" s="90"/>
      <c r="AV778" s="91"/>
      <c r="AX778" s="92"/>
    </row>
    <row r="779" customFormat="false" ht="15.65" hidden="false" customHeight="false" outlineLevel="0" collapsed="false">
      <c r="C779" s="72" t="n">
        <f aca="false">COUNTIFS($D$6:D779,"&lt;&gt;"&amp;"")</f>
        <v>774</v>
      </c>
      <c r="D779" s="73" t="s">
        <v>12</v>
      </c>
      <c r="E779" s="76" t="str">
        <f aca="false">
IF($D779="정상",INDEX(임대자산!$D$3:$R$3000,MATCH($F779,임대자산!$I$3:$I$3000,0),MATCH(E$3,임대자산!$D$3:$R$3,0)),
IF($D779="폐업",INDEX(폐업정보!$D$3:$R$3000,MATCH($F779,폐업정보!$I$3:$I$3000,0),MATCH(E$3,폐업정보!$D$3:$R$3,0)),
"Error"))</f>
        <v>경상</v>
      </c>
      <c r="F77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B0774</v>
      </c>
      <c r="G779" s="76" t="str">
        <f aca="false">F779&amp;RANDBETWEEN(0,10)</f>
        <v>B07743</v>
      </c>
      <c r="H779" s="75" t="n">
        <f aca="false">
IF($D779="정상",INDEX(임대자산!$D$3:$R$3000,MATCH($F779,임대자산!$I$3:$I$3000,0),MATCH(H$4,임대자산!$D$3:$R$3,0)),
IF($D779="폐업",INDEX(폐업정보!$D$3:$R$3000,MATCH($F779,폐업정보!$I$3:$I$3000,0),MATCH(H$4,폐업정보!$D$3:$R$3,0)),
"Error"))</f>
        <v>44728</v>
      </c>
      <c r="I779" s="75" t="str">
        <f aca="false">
IF($D779="정상",INDEX(임대자산!$D$3:$R$3000,MATCH($F779,임대자산!$I$3:$I$3000,0),MATCH(I$4,임대자산!$D$3:$R$3,0)),
IF($D779="폐업",INDEX(폐업정보!$D$3:$R$3000,MATCH($F779,폐업정보!$I$3:$I$3000,0),MATCH(I$4,폐업정보!$D$3:$R$3,0)),
"Error"))</f>
        <v>A0774</v>
      </c>
      <c r="J779" s="75" t="str">
        <f aca="false">
IF($D779="정상",INDEX(임대자산!$D$3:$R$3000,MATCH($F779,임대자산!$I$3:$I$3000,0),MATCH(J$4,임대자산!$D$3:$R$3,0)),
IF($D779="폐업",INDEX(폐업정보!$D$3:$R$3000,MATCH($F779,폐업정보!$I$3:$I$3000,0),MATCH(J$4,폐업정보!$D$3:$R$3,0)),
"Error"))</f>
        <v>5372600000</v>
      </c>
      <c r="K779" s="75" t="str">
        <f aca="false">
IF($D779="정상",INDEX(임대자산!$D$3:$R$3000,MATCH($F779,임대자산!$I$3:$I$3000,0),MATCH(K$4,임대자산!$D$3:$R$3,0)),
IF($D779="폐업",INDEX(폐업정보!$D$3:$R$3000,MATCH($F779,폐업정보!$I$3:$I$3000,0),MATCH(K$4,폐업정보!$D$3:$R$3,0)),
"Error"))</f>
        <v>C0774</v>
      </c>
      <c r="L779" s="75" t="str">
        <f aca="false">
IF($D779="정상",INDEX(임대자산!$D$3:$R$3000,MATCH($F779,임대자산!$I$3:$I$3000,0),MATCH(L$4,임대자산!$D$3:$R$3,0)),
IF($D779="폐업",INDEX(폐업정보!$D$3:$R$3000,MATCH($F779,폐업정보!$I$3:$I$3000,0),MATCH(L$4,폐업정보!$D$3:$R$3,0)),
"Error"))</f>
        <v>D0774</v>
      </c>
      <c r="M779" s="76" t="s">
        <v>96</v>
      </c>
      <c r="N779" s="77"/>
      <c r="O779" s="78" t="s">
        <v>97</v>
      </c>
      <c r="P779" s="79" t="n">
        <f aca="false">COUNTIFS(임대자산!$I:$I,가맹점정보!F779,임대자산!$N:$N,가맹점정보!P$4)</f>
        <v>0</v>
      </c>
      <c r="Q779" s="80" t="n">
        <f aca="false">COUNTIFS(임대자산!$I:$I,가맹점정보!F779,임대자산!$N:$N,가맹점정보!Q$4)</f>
        <v>1</v>
      </c>
      <c r="R779" s="81" t="n">
        <f aca="false">COUNTIFS(임대자산!$I:$I,가맹점정보!F779,임대자산!$N:$N,가맹점정보!R$4)</f>
        <v>0</v>
      </c>
      <c r="S779" s="82" t="n">
        <v>55000</v>
      </c>
      <c r="T779" s="83" t="n">
        <v>0</v>
      </c>
      <c r="U779" s="80" t="n">
        <f aca="false">SUM(S779:T779)</f>
        <v>55000</v>
      </c>
      <c r="V779" s="84" t="s">
        <v>12</v>
      </c>
      <c r="W779" s="80" t="e">
        <f aca="true">
IF(D779="폐업","폐업",
IF(V779="면제","면제",
IF(AND(V779="정상",COUNTIFS(OFFSET(Y779,0,COUNTA(Y779:AV779)-1,1,-4),"미납")&gt;=3),"장기미납",
IF(AND(V779="정상",OFFSET(Y779,0,COUNTA(Y779:AV779)-1)&gt;=U779),"정상",
IF(AND(V779="정상",OFFSET(Y779,0,COUNTA(Y779:AV779)-1)=0),"정상",
"계약서 미작성")))))</f>
        <v>#VALUE!</v>
      </c>
      <c r="X779" s="81" t="str">
        <f aca="true">
IF(D779="폐업","폐업",
IF(AND(V779="정상",OFFSET(Y779,0,COUNTA(Y779:AV779)-1)="미납"),"미납",
IF(AND(V779="정상",OFFSET(Y779,0,COUNTA(Y779:AV779)-1)=0),"납부 시작 전",
IF(AND(V779="정상",OFFSET(Y779,0,COUNTA(Y779:AV779)-1)&gt;=U779),"정상",
IF(AND(V779="면제",OFFSET(Y779,0,COUNTA(Y779:AV779)-1)="면제"),"면제",
IF(AND(V779="면제",OFFSET(Y779,0,COUNTA(Y779:AV779)-1)=0),"면제",
"확인요청"))))))</f>
        <v>정상</v>
      </c>
      <c r="Y779" s="93" t="n">
        <v>55000</v>
      </c>
      <c r="Z779" s="90" t="n">
        <v>55000</v>
      </c>
      <c r="AA779" s="90" t="n">
        <v>55000</v>
      </c>
      <c r="AB779" s="90" t="n">
        <v>55000</v>
      </c>
      <c r="AC779" s="90" t="n">
        <v>55000</v>
      </c>
      <c r="AD779" s="90" t="n">
        <v>55000</v>
      </c>
      <c r="AE779" s="90" t="n">
        <v>55000</v>
      </c>
      <c r="AF779" s="90" t="n">
        <v>55000</v>
      </c>
      <c r="AG779" s="90" t="n">
        <v>55000</v>
      </c>
      <c r="AH779" s="90" t="n">
        <v>55000</v>
      </c>
      <c r="AI779" s="90" t="n">
        <v>55000</v>
      </c>
      <c r="AJ779" s="91" t="n">
        <v>55000</v>
      </c>
      <c r="AK779" s="89" t="n">
        <v>55000</v>
      </c>
      <c r="AL779" s="90" t="n">
        <v>55000</v>
      </c>
      <c r="AM779" s="90"/>
      <c r="AN779" s="90"/>
      <c r="AO779" s="90"/>
      <c r="AP779" s="90"/>
      <c r="AQ779" s="90"/>
      <c r="AR779" s="90"/>
      <c r="AS779" s="90"/>
      <c r="AT779" s="90"/>
      <c r="AU779" s="90"/>
      <c r="AV779" s="91"/>
      <c r="AX779" s="92"/>
    </row>
    <row r="780" customFormat="false" ht="15.65" hidden="false" customHeight="false" outlineLevel="0" collapsed="false">
      <c r="C780" s="72" t="n">
        <f aca="false">COUNTIFS($D$6:D780,"&lt;&gt;"&amp;"")</f>
        <v>775</v>
      </c>
      <c r="D780" s="73" t="s">
        <v>12</v>
      </c>
      <c r="E780" s="76" t="str">
        <f aca="false">
IF($D780="정상",INDEX(임대자산!$D$3:$R$3000,MATCH($F780,임대자산!$I$3:$I$3000,0),MATCH(E$3,임대자산!$D$3:$R$3,0)),
IF($D780="폐업",INDEX(폐업정보!$D$3:$R$3000,MATCH($F780,폐업정보!$I$3:$I$3000,0),MATCH(E$3,폐업정보!$D$3:$R$3,0)),
"Error"))</f>
        <v>강원</v>
      </c>
      <c r="F78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B0775</v>
      </c>
      <c r="G780" s="76" t="str">
        <f aca="false">F780&amp;RANDBETWEEN(0,10)</f>
        <v>B07757</v>
      </c>
      <c r="H780" s="75" t="n">
        <f aca="false">
IF($D780="정상",INDEX(임대자산!$D$3:$R$3000,MATCH($F780,임대자산!$I$3:$I$3000,0),MATCH(H$4,임대자산!$D$3:$R$3,0)),
IF($D780="폐업",INDEX(폐업정보!$D$3:$R$3000,MATCH($F780,폐업정보!$I$3:$I$3000,0),MATCH(H$4,폐업정보!$D$3:$R$3,0)),
"Error"))</f>
        <v>44866</v>
      </c>
      <c r="I780" s="75" t="str">
        <f aca="false">
IF($D780="정상",INDEX(임대자산!$D$3:$R$3000,MATCH($F780,임대자산!$I$3:$I$3000,0),MATCH(I$4,임대자산!$D$3:$R$3,0)),
IF($D780="폐업",INDEX(폐업정보!$D$3:$R$3000,MATCH($F780,폐업정보!$I$3:$I$3000,0),MATCH(I$4,폐업정보!$D$3:$R$3,0)),
"Error"))</f>
        <v>A0775</v>
      </c>
      <c r="J780" s="75" t="str">
        <f aca="false">
IF($D780="정상",INDEX(임대자산!$D$3:$R$3000,MATCH($F780,임대자산!$I$3:$I$3000,0),MATCH(J$4,임대자산!$D$3:$R$3,0)),
IF($D780="폐업",INDEX(폐업정보!$D$3:$R$3000,MATCH($F780,폐업정보!$I$3:$I$3000,0),MATCH(J$4,폐업정보!$D$3:$R$3,0)),
"Error"))</f>
        <v>9680400000</v>
      </c>
      <c r="K780" s="75" t="str">
        <f aca="false">
IF($D780="정상",INDEX(임대자산!$D$3:$R$3000,MATCH($F780,임대자산!$I$3:$I$3000,0),MATCH(K$4,임대자산!$D$3:$R$3,0)),
IF($D780="폐업",INDEX(폐업정보!$D$3:$R$3000,MATCH($F780,폐업정보!$I$3:$I$3000,0),MATCH(K$4,폐업정보!$D$3:$R$3,0)),
"Error"))</f>
        <v>C0775</v>
      </c>
      <c r="L780" s="75" t="str">
        <f aca="false">
IF($D780="정상",INDEX(임대자산!$D$3:$R$3000,MATCH($F780,임대자산!$I$3:$I$3000,0),MATCH(L$4,임대자산!$D$3:$R$3,0)),
IF($D780="폐업",INDEX(폐업정보!$D$3:$R$3000,MATCH($F780,폐업정보!$I$3:$I$3000,0),MATCH(L$4,폐업정보!$D$3:$R$3,0)),
"Error"))</f>
        <v>D0775</v>
      </c>
      <c r="M780" s="76" t="s">
        <v>96</v>
      </c>
      <c r="N780" s="77"/>
      <c r="O780" s="78" t="s">
        <v>97</v>
      </c>
      <c r="P780" s="79" t="n">
        <f aca="false">COUNTIFS(임대자산!$I:$I,가맹점정보!F780,임대자산!$N:$N,가맹점정보!P$4)</f>
        <v>0</v>
      </c>
      <c r="Q780" s="80" t="n">
        <f aca="false">COUNTIFS(임대자산!$I:$I,가맹점정보!F780,임대자산!$N:$N,가맹점정보!Q$4)</f>
        <v>1</v>
      </c>
      <c r="R780" s="81" t="n">
        <f aca="false">COUNTIFS(임대자산!$I:$I,가맹점정보!F780,임대자산!$N:$N,가맹점정보!R$4)</f>
        <v>0</v>
      </c>
      <c r="S780" s="82" t="n">
        <v>33000</v>
      </c>
      <c r="T780" s="83" t="n">
        <v>33000</v>
      </c>
      <c r="U780" s="80" t="n">
        <f aca="false">SUM(S780:T780)</f>
        <v>66000</v>
      </c>
      <c r="V780" s="84" t="s">
        <v>12</v>
      </c>
      <c r="W780" s="80" t="e">
        <f aca="true">
IF(D780="폐업","폐업",
IF(V780="면제","면제",
IF(AND(V780="정상",COUNTIFS(OFFSET(Y780,0,COUNTA(Y780:AV780)-1,1,-4),"미납")&gt;=3),"장기미납",
IF(AND(V780="정상",OFFSET(Y780,0,COUNTA(Y780:AV780)-1)&gt;=U780),"정상",
IF(AND(V780="정상",OFFSET(Y780,0,COUNTA(Y780:AV780)-1)=0),"정상",
"계약서 미작성")))))</f>
        <v>#VALUE!</v>
      </c>
      <c r="X780" s="81" t="str">
        <f aca="true">
IF(D780="폐업","폐업",
IF(AND(V780="정상",OFFSET(Y780,0,COUNTA(Y780:AV780)-1)="미납"),"미납",
IF(AND(V780="정상",OFFSET(Y780,0,COUNTA(Y780:AV780)-1)=0),"납부 시작 전",
IF(AND(V780="정상",OFFSET(Y780,0,COUNTA(Y780:AV780)-1)&gt;=U780),"정상",
IF(AND(V780="면제",OFFSET(Y780,0,COUNTA(Y780:AV780)-1)="면제"),"면제",
IF(AND(V780="면제",OFFSET(Y780,0,COUNTA(Y780:AV780)-1)=0),"면제",
"확인요청"))))))</f>
        <v>미납</v>
      </c>
      <c r="Y780" s="93" t="n">
        <v>66000</v>
      </c>
      <c r="Z780" s="90" t="n">
        <v>66000</v>
      </c>
      <c r="AA780" s="90" t="n">
        <v>66000</v>
      </c>
      <c r="AB780" s="90" t="n">
        <v>66000</v>
      </c>
      <c r="AC780" s="90" t="n">
        <v>66000</v>
      </c>
      <c r="AD780" s="90" t="n">
        <v>66000</v>
      </c>
      <c r="AE780" s="90" t="n">
        <v>66000</v>
      </c>
      <c r="AF780" s="90" t="n">
        <v>66000</v>
      </c>
      <c r="AG780" s="90" t="n">
        <v>66000</v>
      </c>
      <c r="AH780" s="90" t="n">
        <v>66000</v>
      </c>
      <c r="AI780" s="90" t="n">
        <v>66000</v>
      </c>
      <c r="AJ780" s="91" t="n">
        <v>66000</v>
      </c>
      <c r="AK780" s="89" t="n">
        <v>66000</v>
      </c>
      <c r="AL780" s="95" t="s">
        <v>62</v>
      </c>
      <c r="AM780" s="90"/>
      <c r="AN780" s="90"/>
      <c r="AO780" s="90"/>
      <c r="AP780" s="90"/>
      <c r="AQ780" s="90"/>
      <c r="AR780" s="90"/>
      <c r="AS780" s="90"/>
      <c r="AT780" s="90"/>
      <c r="AU780" s="90"/>
      <c r="AV780" s="91"/>
      <c r="AX780" s="92"/>
    </row>
    <row r="781" customFormat="false" ht="15.65" hidden="false" customHeight="false" outlineLevel="0" collapsed="false">
      <c r="C781" s="72" t="n">
        <f aca="false">COUNTIFS($D$6:D781,"&lt;&gt;"&amp;"")</f>
        <v>776</v>
      </c>
      <c r="D781" s="73" t="s">
        <v>12</v>
      </c>
      <c r="E781" s="76" t="str">
        <f aca="false">
IF($D781="정상",INDEX(임대자산!$D$3:$R$3000,MATCH($F781,임대자산!$I$3:$I$3000,0),MATCH(E$3,임대자산!$D$3:$R$3,0)),
IF($D781="폐업",INDEX(폐업정보!$D$3:$R$3000,MATCH($F781,폐업정보!$I$3:$I$3000,0),MATCH(E$3,폐업정보!$D$3:$R$3,0)),
"Error"))</f>
        <v>강원</v>
      </c>
      <c r="F78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B0776</v>
      </c>
      <c r="G781" s="76" t="str">
        <f aca="false">F781&amp;RANDBETWEEN(0,10)</f>
        <v>B07764</v>
      </c>
      <c r="H781" s="75" t="n">
        <f aca="false">
IF($D781="정상",INDEX(임대자산!$D$3:$R$3000,MATCH($F781,임대자산!$I$3:$I$3000,0),MATCH(H$4,임대자산!$D$3:$R$3,0)),
IF($D781="폐업",INDEX(폐업정보!$D$3:$R$3000,MATCH($F781,폐업정보!$I$3:$I$3000,0),MATCH(H$4,폐업정보!$D$3:$R$3,0)),
"Error"))</f>
        <v>44767</v>
      </c>
      <c r="I781" s="75" t="str">
        <f aca="false">
IF($D781="정상",INDEX(임대자산!$D$3:$R$3000,MATCH($F781,임대자산!$I$3:$I$3000,0),MATCH(I$4,임대자산!$D$3:$R$3,0)),
IF($D781="폐업",INDEX(폐업정보!$D$3:$R$3000,MATCH($F781,폐업정보!$I$3:$I$3000,0),MATCH(I$4,폐업정보!$D$3:$R$3,0)),
"Error"))</f>
        <v>A0776</v>
      </c>
      <c r="J781" s="75" t="str">
        <f aca="false">
IF($D781="정상",INDEX(임대자산!$D$3:$R$3000,MATCH($F781,임대자산!$I$3:$I$3000,0),MATCH(J$4,임대자산!$D$3:$R$3,0)),
IF($D781="폐업",INDEX(폐업정보!$D$3:$R$3000,MATCH($F781,폐업정보!$I$3:$I$3000,0),MATCH(J$4,폐업정보!$D$3:$R$3,0)),
"Error"))</f>
        <v>4726900000</v>
      </c>
      <c r="K781" s="75" t="str">
        <f aca="false">
IF($D781="정상",INDEX(임대자산!$D$3:$R$3000,MATCH($F781,임대자산!$I$3:$I$3000,0),MATCH(K$4,임대자산!$D$3:$R$3,0)),
IF($D781="폐업",INDEX(폐업정보!$D$3:$R$3000,MATCH($F781,폐업정보!$I$3:$I$3000,0),MATCH(K$4,폐업정보!$D$3:$R$3,0)),
"Error"))</f>
        <v>C0776</v>
      </c>
      <c r="L781" s="75" t="str">
        <f aca="false">
IF($D781="정상",INDEX(임대자산!$D$3:$R$3000,MATCH($F781,임대자산!$I$3:$I$3000,0),MATCH(L$4,임대자산!$D$3:$R$3,0)),
IF($D781="폐업",INDEX(폐업정보!$D$3:$R$3000,MATCH($F781,폐업정보!$I$3:$I$3000,0),MATCH(L$4,폐업정보!$D$3:$R$3,0)),
"Error"))</f>
        <v>D0776</v>
      </c>
      <c r="M781" s="76" t="s">
        <v>96</v>
      </c>
      <c r="N781" s="77"/>
      <c r="O781" s="78" t="s">
        <v>97</v>
      </c>
      <c r="P781" s="79" t="n">
        <f aca="false">COUNTIFS(임대자산!$I:$I,가맹점정보!F781,임대자산!$N:$N,가맹점정보!P$4)</f>
        <v>0</v>
      </c>
      <c r="Q781" s="80" t="n">
        <f aca="false">COUNTIFS(임대자산!$I:$I,가맹점정보!F781,임대자산!$N:$N,가맹점정보!Q$4)</f>
        <v>1</v>
      </c>
      <c r="R781" s="81" t="n">
        <f aca="false">COUNTIFS(임대자산!$I:$I,가맹점정보!F781,임대자산!$N:$N,가맹점정보!R$4)</f>
        <v>0</v>
      </c>
      <c r="S781" s="82" t="n">
        <v>55000</v>
      </c>
      <c r="T781" s="83" t="n">
        <v>0</v>
      </c>
      <c r="U781" s="80" t="n">
        <f aca="false">SUM(S781:T781)</f>
        <v>55000</v>
      </c>
      <c r="V781" s="84" t="s">
        <v>12</v>
      </c>
      <c r="W781" s="80" t="e">
        <f aca="true">
IF(D781="폐업","폐업",
IF(V781="면제","면제",
IF(AND(V781="정상",COUNTIFS(OFFSET(Y781,0,COUNTA(Y781:AV781)-1,1,-4),"미납")&gt;=3),"장기미납",
IF(AND(V781="정상",OFFSET(Y781,0,COUNTA(Y781:AV781)-1)&gt;=U781),"정상",
IF(AND(V781="정상",OFFSET(Y781,0,COUNTA(Y781:AV781)-1)=0),"정상",
"계약서 미작성")))))</f>
        <v>#VALUE!</v>
      </c>
      <c r="X781" s="81" t="str">
        <f aca="true">
IF(D781="폐업","폐업",
IF(AND(V781="정상",OFFSET(Y781,0,COUNTA(Y781:AV781)-1)="미납"),"미납",
IF(AND(V781="정상",OFFSET(Y781,0,COUNTA(Y781:AV781)-1)=0),"납부 시작 전",
IF(AND(V781="정상",OFFSET(Y781,0,COUNTA(Y781:AV781)-1)&gt;=U781),"정상",
IF(AND(V781="면제",OFFSET(Y781,0,COUNTA(Y781:AV781)-1)="면제"),"면제",
IF(AND(V781="면제",OFFSET(Y781,0,COUNTA(Y781:AV781)-1)=0),"면제",
"확인요청"))))))</f>
        <v>정상</v>
      </c>
      <c r="Y781" s="93" t="n">
        <v>55000</v>
      </c>
      <c r="Z781" s="90" t="n">
        <v>55000</v>
      </c>
      <c r="AA781" s="90" t="n">
        <v>55000</v>
      </c>
      <c r="AB781" s="90" t="n">
        <v>55000</v>
      </c>
      <c r="AC781" s="90" t="n">
        <v>55000</v>
      </c>
      <c r="AD781" s="90" t="n">
        <v>55000</v>
      </c>
      <c r="AE781" s="90" t="n">
        <v>55000</v>
      </c>
      <c r="AF781" s="90" t="n">
        <v>55000</v>
      </c>
      <c r="AG781" s="90" t="n">
        <v>55000</v>
      </c>
      <c r="AH781" s="90" t="n">
        <v>55000</v>
      </c>
      <c r="AI781" s="90" t="n">
        <v>55000</v>
      </c>
      <c r="AJ781" s="91" t="n">
        <v>55000</v>
      </c>
      <c r="AK781" s="89" t="n">
        <v>55000</v>
      </c>
      <c r="AL781" s="90" t="n">
        <v>55000</v>
      </c>
      <c r="AM781" s="90"/>
      <c r="AN781" s="90"/>
      <c r="AO781" s="90"/>
      <c r="AP781" s="90"/>
      <c r="AQ781" s="90"/>
      <c r="AR781" s="90"/>
      <c r="AS781" s="90"/>
      <c r="AT781" s="90"/>
      <c r="AU781" s="90"/>
      <c r="AV781" s="91"/>
      <c r="AX781" s="92"/>
    </row>
    <row r="782" customFormat="false" ht="15.65" hidden="false" customHeight="false" outlineLevel="0" collapsed="false">
      <c r="C782" s="72" t="n">
        <f aca="false">COUNTIFS($D$6:D782,"&lt;&gt;"&amp;"")</f>
        <v>777</v>
      </c>
      <c r="D782" s="73" t="s">
        <v>12</v>
      </c>
      <c r="E782" s="76" t="str">
        <f aca="false">
IF($D782="정상",INDEX(임대자산!$D$3:$R$3000,MATCH($F782,임대자산!$I$3:$I$3000,0),MATCH(E$3,임대자산!$D$3:$R$3,0)),
IF($D782="폐업",INDEX(폐업정보!$D$3:$R$3000,MATCH($F782,폐업정보!$I$3:$I$3000,0),MATCH(E$3,폐업정보!$D$3:$R$3,0)),
"Error"))</f>
        <v>강원</v>
      </c>
      <c r="F78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B0777</v>
      </c>
      <c r="G782" s="76" t="str">
        <f aca="false">F782&amp;RANDBETWEEN(0,10)</f>
        <v>B07772</v>
      </c>
      <c r="H782" s="75" t="n">
        <f aca="false">
IF($D782="정상",INDEX(임대자산!$D$3:$R$3000,MATCH($F782,임대자산!$I$3:$I$3000,0),MATCH(H$4,임대자산!$D$3:$R$3,0)),
IF($D782="폐업",INDEX(폐업정보!$D$3:$R$3000,MATCH($F782,폐업정보!$I$3:$I$3000,0),MATCH(H$4,폐업정보!$D$3:$R$3,0)),
"Error"))</f>
        <v>44567</v>
      </c>
      <c r="I782" s="75" t="str">
        <f aca="false">
IF($D782="정상",INDEX(임대자산!$D$3:$R$3000,MATCH($F782,임대자산!$I$3:$I$3000,0),MATCH(I$4,임대자산!$D$3:$R$3,0)),
IF($D782="폐업",INDEX(폐업정보!$D$3:$R$3000,MATCH($F782,폐업정보!$I$3:$I$3000,0),MATCH(I$4,폐업정보!$D$3:$R$3,0)),
"Error"))</f>
        <v>A0777</v>
      </c>
      <c r="J782" s="75" t="str">
        <f aca="false">
IF($D782="정상",INDEX(임대자산!$D$3:$R$3000,MATCH($F782,임대자산!$I$3:$I$3000,0),MATCH(J$4,임대자산!$D$3:$R$3,0)),
IF($D782="폐업",INDEX(폐업정보!$D$3:$R$3000,MATCH($F782,폐업정보!$I$3:$I$3000,0),MATCH(J$4,폐업정보!$D$3:$R$3,0)),
"Error"))</f>
        <v>8390100000</v>
      </c>
      <c r="K782" s="75" t="str">
        <f aca="false">
IF($D782="정상",INDEX(임대자산!$D$3:$R$3000,MATCH($F782,임대자산!$I$3:$I$3000,0),MATCH(K$4,임대자산!$D$3:$R$3,0)),
IF($D782="폐업",INDEX(폐업정보!$D$3:$R$3000,MATCH($F782,폐업정보!$I$3:$I$3000,0),MATCH(K$4,폐업정보!$D$3:$R$3,0)),
"Error"))</f>
        <v>C0777</v>
      </c>
      <c r="L782" s="75" t="str">
        <f aca="false">
IF($D782="정상",INDEX(임대자산!$D$3:$R$3000,MATCH($F782,임대자산!$I$3:$I$3000,0),MATCH(L$4,임대자산!$D$3:$R$3,0)),
IF($D782="폐업",INDEX(폐업정보!$D$3:$R$3000,MATCH($F782,폐업정보!$I$3:$I$3000,0),MATCH(L$4,폐업정보!$D$3:$R$3,0)),
"Error"))</f>
        <v>D0777</v>
      </c>
      <c r="M782" s="76" t="s">
        <v>96</v>
      </c>
      <c r="N782" s="77"/>
      <c r="O782" s="78" t="s">
        <v>97</v>
      </c>
      <c r="P782" s="79" t="n">
        <f aca="false">COUNTIFS(임대자산!$I:$I,가맹점정보!F782,임대자산!$N:$N,가맹점정보!P$4)</f>
        <v>0</v>
      </c>
      <c r="Q782" s="80" t="n">
        <f aca="false">COUNTIFS(임대자산!$I:$I,가맹점정보!F782,임대자산!$N:$N,가맹점정보!Q$4)</f>
        <v>1</v>
      </c>
      <c r="R782" s="81" t="n">
        <f aca="false">COUNTIFS(임대자산!$I:$I,가맹점정보!F782,임대자산!$N:$N,가맹점정보!R$4)</f>
        <v>0</v>
      </c>
      <c r="S782" s="82" t="n">
        <v>55000</v>
      </c>
      <c r="T782" s="83" t="n">
        <v>0</v>
      </c>
      <c r="U782" s="80" t="n">
        <f aca="false">SUM(S782:T782)</f>
        <v>55000</v>
      </c>
      <c r="V782" s="84" t="s">
        <v>12</v>
      </c>
      <c r="W782" s="80" t="e">
        <f aca="true">
IF(D782="폐업","폐업",
IF(V782="면제","면제",
IF(AND(V782="정상",COUNTIFS(OFFSET(Y782,0,COUNTA(Y782:AV782)-1,1,-4),"미납")&gt;=3),"장기미납",
IF(AND(V782="정상",OFFSET(Y782,0,COUNTA(Y782:AV782)-1)&gt;=U782),"정상",
IF(AND(V782="정상",OFFSET(Y782,0,COUNTA(Y782:AV782)-1)=0),"정상",
"계약서 미작성")))))</f>
        <v>#VALUE!</v>
      </c>
      <c r="X782" s="81" t="str">
        <f aca="true">
IF(D782="폐업","폐업",
IF(AND(V782="정상",OFFSET(Y782,0,COUNTA(Y782:AV782)-1)="미납"),"미납",
IF(AND(V782="정상",OFFSET(Y782,0,COUNTA(Y782:AV782)-1)=0),"납부 시작 전",
IF(AND(V782="정상",OFFSET(Y782,0,COUNTA(Y782:AV782)-1)&gt;=U782),"정상",
IF(AND(V782="면제",OFFSET(Y782,0,COUNTA(Y782:AV782)-1)="면제"),"면제",
IF(AND(V782="면제",OFFSET(Y782,0,COUNTA(Y782:AV782)-1)=0),"면제",
"확인요청"))))))</f>
        <v>정상</v>
      </c>
      <c r="Y782" s="93" t="n">
        <v>55000</v>
      </c>
      <c r="Z782" s="90" t="n">
        <v>55000</v>
      </c>
      <c r="AA782" s="90" t="n">
        <v>55000</v>
      </c>
      <c r="AB782" s="90" t="n">
        <v>55000</v>
      </c>
      <c r="AC782" s="90" t="n">
        <v>55000</v>
      </c>
      <c r="AD782" s="90" t="n">
        <v>55000</v>
      </c>
      <c r="AE782" s="90" t="n">
        <v>55000</v>
      </c>
      <c r="AF782" s="90" t="n">
        <v>55000</v>
      </c>
      <c r="AG782" s="90" t="n">
        <v>55000</v>
      </c>
      <c r="AH782" s="90" t="n">
        <v>55000</v>
      </c>
      <c r="AI782" s="90" t="n">
        <v>55000</v>
      </c>
      <c r="AJ782" s="91" t="n">
        <v>55000</v>
      </c>
      <c r="AK782" s="89" t="n">
        <v>55000</v>
      </c>
      <c r="AL782" s="90" t="n">
        <v>55000</v>
      </c>
      <c r="AM782" s="90"/>
      <c r="AN782" s="90"/>
      <c r="AO782" s="90"/>
      <c r="AP782" s="90"/>
      <c r="AQ782" s="90"/>
      <c r="AR782" s="90"/>
      <c r="AS782" s="90"/>
      <c r="AT782" s="90"/>
      <c r="AU782" s="90"/>
      <c r="AV782" s="91"/>
      <c r="AX782" s="92"/>
    </row>
    <row r="783" customFormat="false" ht="15.65" hidden="false" customHeight="false" outlineLevel="0" collapsed="false">
      <c r="C783" s="72" t="n">
        <f aca="false">COUNTIFS($D$6:D783,"&lt;&gt;"&amp;"")</f>
        <v>778</v>
      </c>
      <c r="D783" s="73" t="s">
        <v>12</v>
      </c>
      <c r="E783" s="76" t="str">
        <f aca="false">
IF($D783="정상",INDEX(임대자산!$D$3:$R$3000,MATCH($F783,임대자산!$I$3:$I$3000,0),MATCH(E$3,임대자산!$D$3:$R$3,0)),
IF($D783="폐업",INDEX(폐업정보!$D$3:$R$3000,MATCH($F783,폐업정보!$I$3:$I$3000,0),MATCH(E$3,폐업정보!$D$3:$R$3,0)),
"Error"))</f>
        <v>경상</v>
      </c>
      <c r="F78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B0778</v>
      </c>
      <c r="G783" s="76" t="str">
        <f aca="false">F783&amp;RANDBETWEEN(0,10)</f>
        <v>B07783</v>
      </c>
      <c r="H783" s="75" t="n">
        <f aca="false">
IF($D783="정상",INDEX(임대자산!$D$3:$R$3000,MATCH($F783,임대자산!$I$3:$I$3000,0),MATCH(H$4,임대자산!$D$3:$R$3,0)),
IF($D783="폐업",INDEX(폐업정보!$D$3:$R$3000,MATCH($F783,폐업정보!$I$3:$I$3000,0),MATCH(H$4,폐업정보!$D$3:$R$3,0)),
"Error"))</f>
        <v>44532</v>
      </c>
      <c r="I783" s="75" t="str">
        <f aca="false">
IF($D783="정상",INDEX(임대자산!$D$3:$R$3000,MATCH($F783,임대자산!$I$3:$I$3000,0),MATCH(I$4,임대자산!$D$3:$R$3,0)),
IF($D783="폐업",INDEX(폐업정보!$D$3:$R$3000,MATCH($F783,폐업정보!$I$3:$I$3000,0),MATCH(I$4,폐업정보!$D$3:$R$3,0)),
"Error"))</f>
        <v>A0778</v>
      </c>
      <c r="J783" s="75" t="str">
        <f aca="false">
IF($D783="정상",INDEX(임대자산!$D$3:$R$3000,MATCH($F783,임대자산!$I$3:$I$3000,0),MATCH(J$4,임대자산!$D$3:$R$3,0)),
IF($D783="폐업",INDEX(폐업정보!$D$3:$R$3000,MATCH($F783,폐업정보!$I$3:$I$3000,0),MATCH(J$4,폐업정보!$D$3:$R$3,0)),
"Error"))</f>
        <v>9914700000</v>
      </c>
      <c r="K783" s="75" t="str">
        <f aca="false">
IF($D783="정상",INDEX(임대자산!$D$3:$R$3000,MATCH($F783,임대자산!$I$3:$I$3000,0),MATCH(K$4,임대자산!$D$3:$R$3,0)),
IF($D783="폐업",INDEX(폐업정보!$D$3:$R$3000,MATCH($F783,폐업정보!$I$3:$I$3000,0),MATCH(K$4,폐업정보!$D$3:$R$3,0)),
"Error"))</f>
        <v>C0778</v>
      </c>
      <c r="L783" s="75" t="str">
        <f aca="false">
IF($D783="정상",INDEX(임대자산!$D$3:$R$3000,MATCH($F783,임대자산!$I$3:$I$3000,0),MATCH(L$4,임대자산!$D$3:$R$3,0)),
IF($D783="폐업",INDEX(폐업정보!$D$3:$R$3000,MATCH($F783,폐업정보!$I$3:$I$3000,0),MATCH(L$4,폐업정보!$D$3:$R$3,0)),
"Error"))</f>
        <v>D0778</v>
      </c>
      <c r="M783" s="76" t="s">
        <v>96</v>
      </c>
      <c r="N783" s="77"/>
      <c r="O783" s="78" t="s">
        <v>97</v>
      </c>
      <c r="P783" s="79" t="n">
        <f aca="false">COUNTIFS(임대자산!$I:$I,가맹점정보!F783,임대자산!$N:$N,가맹점정보!P$4)</f>
        <v>0</v>
      </c>
      <c r="Q783" s="80" t="n">
        <f aca="false">COUNTIFS(임대자산!$I:$I,가맹점정보!F783,임대자산!$N:$N,가맹점정보!Q$4)</f>
        <v>1</v>
      </c>
      <c r="R783" s="81" t="n">
        <f aca="false">COUNTIFS(임대자산!$I:$I,가맹점정보!F783,임대자산!$N:$N,가맹점정보!R$4)</f>
        <v>0</v>
      </c>
      <c r="S783" s="82" t="n">
        <v>88000</v>
      </c>
      <c r="T783" s="83" t="n">
        <v>0</v>
      </c>
      <c r="U783" s="80" t="n">
        <f aca="false">SUM(S783:T783)</f>
        <v>88000</v>
      </c>
      <c r="V783" s="84" t="s">
        <v>12</v>
      </c>
      <c r="W783" s="80" t="e">
        <f aca="true">
IF(D783="폐업","폐업",
IF(V783="면제","면제",
IF(AND(V783="정상",COUNTIFS(OFFSET(Y783,0,COUNTA(Y783:AV783)-1,1,-4),"미납")&gt;=3),"장기미납",
IF(AND(V783="정상",OFFSET(Y783,0,COUNTA(Y783:AV783)-1)&gt;=U783),"정상",
IF(AND(V783="정상",OFFSET(Y783,0,COUNTA(Y783:AV783)-1)=0),"정상",
"계약서 미작성")))))</f>
        <v>#VALUE!</v>
      </c>
      <c r="X783" s="81" t="str">
        <f aca="true">
IF(D783="폐업","폐업",
IF(AND(V783="정상",OFFSET(Y783,0,COUNTA(Y783:AV783)-1)="미납"),"미납",
IF(AND(V783="정상",OFFSET(Y783,0,COUNTA(Y783:AV783)-1)=0),"납부 시작 전",
IF(AND(V783="정상",OFFSET(Y783,0,COUNTA(Y783:AV783)-1)&gt;=U783),"정상",
IF(AND(V783="면제",OFFSET(Y783,0,COUNTA(Y783:AV783)-1)="면제"),"면제",
IF(AND(V783="면제",OFFSET(Y783,0,COUNTA(Y783:AV783)-1)=0),"면제",
"확인요청"))))))</f>
        <v>정상</v>
      </c>
      <c r="Y783" s="93" t="n">
        <v>88000</v>
      </c>
      <c r="Z783" s="90" t="n">
        <v>88000</v>
      </c>
      <c r="AA783" s="90" t="n">
        <v>88000</v>
      </c>
      <c r="AB783" s="90" t="n">
        <v>88000</v>
      </c>
      <c r="AC783" s="90" t="n">
        <v>88000</v>
      </c>
      <c r="AD783" s="90" t="n">
        <v>88000</v>
      </c>
      <c r="AE783" s="90" t="n">
        <v>88000</v>
      </c>
      <c r="AF783" s="90" t="n">
        <v>88000</v>
      </c>
      <c r="AG783" s="90" t="n">
        <v>88000</v>
      </c>
      <c r="AH783" s="90" t="n">
        <v>88000</v>
      </c>
      <c r="AI783" s="90" t="n">
        <v>88000</v>
      </c>
      <c r="AJ783" s="91" t="n">
        <v>88000</v>
      </c>
      <c r="AK783" s="89" t="n">
        <v>88000</v>
      </c>
      <c r="AL783" s="90" t="n">
        <v>88000</v>
      </c>
      <c r="AM783" s="90"/>
      <c r="AN783" s="90"/>
      <c r="AO783" s="90"/>
      <c r="AP783" s="90"/>
      <c r="AQ783" s="90"/>
      <c r="AR783" s="90"/>
      <c r="AS783" s="90"/>
      <c r="AT783" s="90"/>
      <c r="AU783" s="90"/>
      <c r="AV783" s="91"/>
      <c r="AX783" s="92"/>
    </row>
    <row r="784" customFormat="false" ht="15.65" hidden="false" customHeight="false" outlineLevel="0" collapsed="false">
      <c r="C784" s="72" t="n">
        <f aca="false">COUNTIFS($D$6:D784,"&lt;&gt;"&amp;"")</f>
        <v>779</v>
      </c>
      <c r="D784" s="73" t="s">
        <v>12</v>
      </c>
      <c r="E784" s="76" t="str">
        <f aca="false">
IF($D784="정상",INDEX(임대자산!$D$3:$R$3000,MATCH($F784,임대자산!$I$3:$I$3000,0),MATCH(E$3,임대자산!$D$3:$R$3,0)),
IF($D784="폐업",INDEX(폐업정보!$D$3:$R$3000,MATCH($F784,폐업정보!$I$3:$I$3000,0),MATCH(E$3,폐업정보!$D$3:$R$3,0)),
"Error"))</f>
        <v>강원</v>
      </c>
      <c r="F78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B0779</v>
      </c>
      <c r="G784" s="76" t="str">
        <f aca="false">F784&amp;RANDBETWEEN(0,10)</f>
        <v>B07790</v>
      </c>
      <c r="H784" s="75" t="n">
        <f aca="false">
IF($D784="정상",INDEX(임대자산!$D$3:$R$3000,MATCH($F784,임대자산!$I$3:$I$3000,0),MATCH(H$4,임대자산!$D$3:$R$3,0)),
IF($D784="폐업",INDEX(폐업정보!$D$3:$R$3000,MATCH($F784,폐업정보!$I$3:$I$3000,0),MATCH(H$4,폐업정보!$D$3:$R$3,0)),
"Error"))</f>
        <v>45959</v>
      </c>
      <c r="I784" s="75" t="str">
        <f aca="false">
IF($D784="정상",INDEX(임대자산!$D$3:$R$3000,MATCH($F784,임대자산!$I$3:$I$3000,0),MATCH(I$4,임대자산!$D$3:$R$3,0)),
IF($D784="폐업",INDEX(폐업정보!$D$3:$R$3000,MATCH($F784,폐업정보!$I$3:$I$3000,0),MATCH(I$4,폐업정보!$D$3:$R$3,0)),
"Error"))</f>
        <v>A0779</v>
      </c>
      <c r="J784" s="75" t="str">
        <f aca="false">
IF($D784="정상",INDEX(임대자산!$D$3:$R$3000,MATCH($F784,임대자산!$I$3:$I$3000,0),MATCH(J$4,임대자산!$D$3:$R$3,0)),
IF($D784="폐업",INDEX(폐업정보!$D$3:$R$3000,MATCH($F784,폐업정보!$I$3:$I$3000,0),MATCH(J$4,폐업정보!$D$3:$R$3,0)),
"Error"))</f>
        <v>1052600000</v>
      </c>
      <c r="K784" s="75" t="str">
        <f aca="false">
IF($D784="정상",INDEX(임대자산!$D$3:$R$3000,MATCH($F784,임대자산!$I$3:$I$3000,0),MATCH(K$4,임대자산!$D$3:$R$3,0)),
IF($D784="폐업",INDEX(폐업정보!$D$3:$R$3000,MATCH($F784,폐업정보!$I$3:$I$3000,0),MATCH(K$4,폐업정보!$D$3:$R$3,0)),
"Error"))</f>
        <v>C0779</v>
      </c>
      <c r="L784" s="75" t="str">
        <f aca="false">
IF($D784="정상",INDEX(임대자산!$D$3:$R$3000,MATCH($F784,임대자산!$I$3:$I$3000,0),MATCH(L$4,임대자산!$D$3:$R$3,0)),
IF($D784="폐업",INDEX(폐업정보!$D$3:$R$3000,MATCH($F784,폐업정보!$I$3:$I$3000,0),MATCH(L$4,폐업정보!$D$3:$R$3,0)),
"Error"))</f>
        <v>D0779</v>
      </c>
      <c r="M784" s="76" t="s">
        <v>96</v>
      </c>
      <c r="N784" s="77"/>
      <c r="O784" s="78" t="s">
        <v>97</v>
      </c>
      <c r="P784" s="79" t="n">
        <f aca="false">COUNTIFS(임대자산!$I:$I,가맹점정보!F784,임대자산!$N:$N,가맹점정보!P$4)</f>
        <v>0</v>
      </c>
      <c r="Q784" s="80" t="n">
        <f aca="false">COUNTIFS(임대자산!$I:$I,가맹점정보!F784,임대자산!$N:$N,가맹점정보!Q$4)</f>
        <v>1</v>
      </c>
      <c r="R784" s="81" t="n">
        <f aca="false">COUNTIFS(임대자산!$I:$I,가맹점정보!F784,임대자산!$N:$N,가맹점정보!R$4)</f>
        <v>0</v>
      </c>
      <c r="S784" s="82" t="n">
        <v>55000</v>
      </c>
      <c r="T784" s="83" t="n">
        <v>0</v>
      </c>
      <c r="U784" s="80" t="n">
        <f aca="false">SUM(S784:T784)</f>
        <v>55000</v>
      </c>
      <c r="V784" s="84" t="s">
        <v>12</v>
      </c>
      <c r="W784" s="80" t="e">
        <f aca="true">
IF(D784="폐업","폐업",
IF(V784="면제","면제",
IF(AND(V784="정상",COUNTIFS(OFFSET(Y784,0,COUNTA(Y784:AV784)-1,1,-4),"미납")&gt;=3),"장기미납",
IF(AND(V784="정상",OFFSET(Y784,0,COUNTA(Y784:AV784)-1)&gt;=U784),"정상",
IF(AND(V784="정상",OFFSET(Y784,0,COUNTA(Y784:AV784)-1)=0),"정상",
"계약서 미작성")))))</f>
        <v>#VALUE!</v>
      </c>
      <c r="X784" s="81" t="str">
        <f aca="true">
IF(D784="폐업","폐업",
IF(AND(V784="정상",OFFSET(Y784,0,COUNTA(Y784:AV784)-1)="미납"),"미납",
IF(AND(V784="정상",OFFSET(Y784,0,COUNTA(Y784:AV784)-1)=0),"납부 시작 전",
IF(AND(V784="정상",OFFSET(Y784,0,COUNTA(Y784:AV784)-1)&gt;=U784),"정상",
IF(AND(V784="면제",OFFSET(Y784,0,COUNTA(Y784:AV784)-1)="면제"),"면제",
IF(AND(V784="면제",OFFSET(Y784,0,COUNTA(Y784:AV784)-1)=0),"면제",
"확인요청"))))))</f>
        <v>정상</v>
      </c>
      <c r="Y784" s="93" t="n">
        <v>55000</v>
      </c>
      <c r="Z784" s="90" t="n">
        <v>55000</v>
      </c>
      <c r="AA784" s="90" t="n">
        <v>55000</v>
      </c>
      <c r="AB784" s="90" t="n">
        <v>55000</v>
      </c>
      <c r="AC784" s="90" t="n">
        <v>55000</v>
      </c>
      <c r="AD784" s="90" t="n">
        <v>55000</v>
      </c>
      <c r="AE784" s="90" t="n">
        <v>55000</v>
      </c>
      <c r="AF784" s="90" t="n">
        <v>55000</v>
      </c>
      <c r="AG784" s="90" t="n">
        <v>55000</v>
      </c>
      <c r="AH784" s="90" t="n">
        <v>55000</v>
      </c>
      <c r="AI784" s="90" t="n">
        <v>55000</v>
      </c>
      <c r="AJ784" s="91" t="n">
        <v>55000</v>
      </c>
      <c r="AK784" s="89" t="n">
        <v>55000</v>
      </c>
      <c r="AL784" s="90" t="n">
        <v>55000</v>
      </c>
      <c r="AM784" s="90"/>
      <c r="AN784" s="90"/>
      <c r="AO784" s="90"/>
      <c r="AP784" s="90"/>
      <c r="AQ784" s="90"/>
      <c r="AR784" s="90"/>
      <c r="AS784" s="90"/>
      <c r="AT784" s="90"/>
      <c r="AU784" s="90"/>
      <c r="AV784" s="91"/>
      <c r="AX784" s="92"/>
    </row>
    <row r="785" customFormat="false" ht="15.65" hidden="false" customHeight="false" outlineLevel="0" collapsed="false">
      <c r="C785" s="72" t="n">
        <f aca="false">COUNTIFS($D$6:D785,"&lt;&gt;"&amp;"")</f>
        <v>780</v>
      </c>
      <c r="D785" s="73" t="s">
        <v>12</v>
      </c>
      <c r="E785" s="76" t="str">
        <f aca="false">
IF($D785="정상",INDEX(임대자산!$D$3:$R$3000,MATCH($F785,임대자산!$I$3:$I$3000,0),MATCH(E$3,임대자산!$D$3:$R$3,0)),
IF($D785="폐업",INDEX(폐업정보!$D$3:$R$3000,MATCH($F785,폐업정보!$I$3:$I$3000,0),MATCH(E$3,폐업정보!$D$3:$R$3,0)),
"Error"))</f>
        <v>경상</v>
      </c>
      <c r="F78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B0780</v>
      </c>
      <c r="G785" s="76" t="str">
        <f aca="false">F785&amp;RANDBETWEEN(0,10)</f>
        <v>B07806</v>
      </c>
      <c r="H785" s="75" t="n">
        <f aca="false">
IF($D785="정상",INDEX(임대자산!$D$3:$R$3000,MATCH($F785,임대자산!$I$3:$I$3000,0),MATCH(H$4,임대자산!$D$3:$R$3,0)),
IF($D785="폐업",INDEX(폐업정보!$D$3:$R$3000,MATCH($F785,폐업정보!$I$3:$I$3000,0),MATCH(H$4,폐업정보!$D$3:$R$3,0)),
"Error"))</f>
        <v>44571</v>
      </c>
      <c r="I785" s="75" t="str">
        <f aca="false">
IF($D785="정상",INDEX(임대자산!$D$3:$R$3000,MATCH($F785,임대자산!$I$3:$I$3000,0),MATCH(I$4,임대자산!$D$3:$R$3,0)),
IF($D785="폐업",INDEX(폐업정보!$D$3:$R$3000,MATCH($F785,폐업정보!$I$3:$I$3000,0),MATCH(I$4,폐업정보!$D$3:$R$3,0)),
"Error"))</f>
        <v>A0780</v>
      </c>
      <c r="J785" s="75" t="str">
        <f aca="false">
IF($D785="정상",INDEX(임대자산!$D$3:$R$3000,MATCH($F785,임대자산!$I$3:$I$3000,0),MATCH(J$4,임대자산!$D$3:$R$3,0)),
IF($D785="폐업",INDEX(폐업정보!$D$3:$R$3000,MATCH($F785,폐업정보!$I$3:$I$3000,0),MATCH(J$4,폐업정보!$D$3:$R$3,0)),
"Error"))</f>
        <v>3807500000</v>
      </c>
      <c r="K785" s="75" t="str">
        <f aca="false">
IF($D785="정상",INDEX(임대자산!$D$3:$R$3000,MATCH($F785,임대자산!$I$3:$I$3000,0),MATCH(K$4,임대자산!$D$3:$R$3,0)),
IF($D785="폐업",INDEX(폐업정보!$D$3:$R$3000,MATCH($F785,폐업정보!$I$3:$I$3000,0),MATCH(K$4,폐업정보!$D$3:$R$3,0)),
"Error"))</f>
        <v>C0780</v>
      </c>
      <c r="L785" s="75" t="str">
        <f aca="false">
IF($D785="정상",INDEX(임대자산!$D$3:$R$3000,MATCH($F785,임대자산!$I$3:$I$3000,0),MATCH(L$4,임대자산!$D$3:$R$3,0)),
IF($D785="폐업",INDEX(폐업정보!$D$3:$R$3000,MATCH($F785,폐업정보!$I$3:$I$3000,0),MATCH(L$4,폐업정보!$D$3:$R$3,0)),
"Error"))</f>
        <v>D0780</v>
      </c>
      <c r="M785" s="76" t="s">
        <v>96</v>
      </c>
      <c r="N785" s="77"/>
      <c r="O785" s="78" t="s">
        <v>97</v>
      </c>
      <c r="P785" s="79" t="n">
        <f aca="false">COUNTIFS(임대자산!$I:$I,가맹점정보!F785,임대자산!$N:$N,가맹점정보!P$4)</f>
        <v>0</v>
      </c>
      <c r="Q785" s="80" t="n">
        <f aca="false">COUNTIFS(임대자산!$I:$I,가맹점정보!F785,임대자산!$N:$N,가맹점정보!Q$4)</f>
        <v>1</v>
      </c>
      <c r="R785" s="81" t="n">
        <f aca="false">COUNTIFS(임대자산!$I:$I,가맹점정보!F785,임대자산!$N:$N,가맹점정보!R$4)</f>
        <v>0</v>
      </c>
      <c r="S785" s="82" t="n">
        <v>55000</v>
      </c>
      <c r="T785" s="83" t="n">
        <v>0</v>
      </c>
      <c r="U785" s="80" t="n">
        <f aca="false">SUM(S785:T785)</f>
        <v>55000</v>
      </c>
      <c r="V785" s="84" t="s">
        <v>12</v>
      </c>
      <c r="W785" s="80" t="e">
        <f aca="true">
IF(D785="폐업","폐업",
IF(V785="면제","면제",
IF(AND(V785="정상",COUNTIFS(OFFSET(Y785,0,COUNTA(Y785:AV785)-1,1,-4),"미납")&gt;=3),"장기미납",
IF(AND(V785="정상",OFFSET(Y785,0,COUNTA(Y785:AV785)-1)&gt;=U785),"정상",
IF(AND(V785="정상",OFFSET(Y785,0,COUNTA(Y785:AV785)-1)=0),"정상",
"계약서 미작성")))))</f>
        <v>#VALUE!</v>
      </c>
      <c r="X785" s="81" t="str">
        <f aca="true">
IF(D785="폐업","폐업",
IF(AND(V785="정상",OFFSET(Y785,0,COUNTA(Y785:AV785)-1)="미납"),"미납",
IF(AND(V785="정상",OFFSET(Y785,0,COUNTA(Y785:AV785)-1)=0),"납부 시작 전",
IF(AND(V785="정상",OFFSET(Y785,0,COUNTA(Y785:AV785)-1)&gt;=U785),"정상",
IF(AND(V785="면제",OFFSET(Y785,0,COUNTA(Y785:AV785)-1)="면제"),"면제",
IF(AND(V785="면제",OFFSET(Y785,0,COUNTA(Y785:AV785)-1)=0),"면제",
"확인요청"))))))</f>
        <v>정상</v>
      </c>
      <c r="Y785" s="93" t="n">
        <v>55000</v>
      </c>
      <c r="Z785" s="90" t="n">
        <v>55000</v>
      </c>
      <c r="AA785" s="90" t="n">
        <v>55000</v>
      </c>
      <c r="AB785" s="90" t="n">
        <v>55000</v>
      </c>
      <c r="AC785" s="90" t="n">
        <v>55000</v>
      </c>
      <c r="AD785" s="90" t="n">
        <v>55000</v>
      </c>
      <c r="AE785" s="90" t="n">
        <v>55000</v>
      </c>
      <c r="AF785" s="90" t="n">
        <v>55000</v>
      </c>
      <c r="AG785" s="90" t="n">
        <v>55000</v>
      </c>
      <c r="AH785" s="90" t="n">
        <v>55000</v>
      </c>
      <c r="AI785" s="90" t="n">
        <v>55000</v>
      </c>
      <c r="AJ785" s="91" t="n">
        <v>55000</v>
      </c>
      <c r="AK785" s="89" t="n">
        <v>55000</v>
      </c>
      <c r="AL785" s="90" t="n">
        <v>55000</v>
      </c>
      <c r="AM785" s="90"/>
      <c r="AN785" s="90"/>
      <c r="AO785" s="90"/>
      <c r="AP785" s="90"/>
      <c r="AQ785" s="90"/>
      <c r="AR785" s="90"/>
      <c r="AS785" s="90"/>
      <c r="AT785" s="90"/>
      <c r="AU785" s="90"/>
      <c r="AV785" s="91"/>
      <c r="AX785" s="92"/>
    </row>
    <row r="786" customFormat="false" ht="15.65" hidden="false" customHeight="false" outlineLevel="0" collapsed="false">
      <c r="C786" s="72" t="n">
        <f aca="false">COUNTIFS($D$6:D786,"&lt;&gt;"&amp;"")</f>
        <v>781</v>
      </c>
      <c r="D786" s="73" t="s">
        <v>12</v>
      </c>
      <c r="E786" s="76" t="str">
        <f aca="false">
IF($D786="정상",INDEX(임대자산!$D$3:$R$3000,MATCH($F786,임대자산!$I$3:$I$3000,0),MATCH(E$3,임대자산!$D$3:$R$3,0)),
IF($D786="폐업",INDEX(폐업정보!$D$3:$R$3000,MATCH($F786,폐업정보!$I$3:$I$3000,0),MATCH(E$3,폐업정보!$D$3:$R$3,0)),
"Error"))</f>
        <v>경상</v>
      </c>
      <c r="F78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B0781</v>
      </c>
      <c r="G786" s="76" t="str">
        <f aca="false">F786&amp;RANDBETWEEN(0,10)</f>
        <v>B07819</v>
      </c>
      <c r="H786" s="75" t="n">
        <f aca="false">
IF($D786="정상",INDEX(임대자산!$D$3:$R$3000,MATCH($F786,임대자산!$I$3:$I$3000,0),MATCH(H$4,임대자산!$D$3:$R$3,0)),
IF($D786="폐업",INDEX(폐업정보!$D$3:$R$3000,MATCH($F786,폐업정보!$I$3:$I$3000,0),MATCH(H$4,폐업정보!$D$3:$R$3,0)),
"Error"))</f>
        <v>44572</v>
      </c>
      <c r="I786" s="75" t="str">
        <f aca="false">
IF($D786="정상",INDEX(임대자산!$D$3:$R$3000,MATCH($F786,임대자산!$I$3:$I$3000,0),MATCH(I$4,임대자산!$D$3:$R$3,0)),
IF($D786="폐업",INDEX(폐업정보!$D$3:$R$3000,MATCH($F786,폐업정보!$I$3:$I$3000,0),MATCH(I$4,폐업정보!$D$3:$R$3,0)),
"Error"))</f>
        <v>A0781</v>
      </c>
      <c r="J786" s="75" t="str">
        <f aca="false">
IF($D786="정상",INDEX(임대자산!$D$3:$R$3000,MATCH($F786,임대자산!$I$3:$I$3000,0),MATCH(J$4,임대자산!$D$3:$R$3,0)),
IF($D786="폐업",INDEX(폐업정보!$D$3:$R$3000,MATCH($F786,폐업정보!$I$3:$I$3000,0),MATCH(J$4,폐업정보!$D$3:$R$3,0)),
"Error"))</f>
        <v>4198000000</v>
      </c>
      <c r="K786" s="75" t="str">
        <f aca="false">
IF($D786="정상",INDEX(임대자산!$D$3:$R$3000,MATCH($F786,임대자산!$I$3:$I$3000,0),MATCH(K$4,임대자산!$D$3:$R$3,0)),
IF($D786="폐업",INDEX(폐업정보!$D$3:$R$3000,MATCH($F786,폐업정보!$I$3:$I$3000,0),MATCH(K$4,폐업정보!$D$3:$R$3,0)),
"Error"))</f>
        <v>C0781</v>
      </c>
      <c r="L786" s="75" t="str">
        <f aca="false">
IF($D786="정상",INDEX(임대자산!$D$3:$R$3000,MATCH($F786,임대자산!$I$3:$I$3000,0),MATCH(L$4,임대자산!$D$3:$R$3,0)),
IF($D786="폐업",INDEX(폐업정보!$D$3:$R$3000,MATCH($F786,폐업정보!$I$3:$I$3000,0),MATCH(L$4,폐업정보!$D$3:$R$3,0)),
"Error"))</f>
        <v>D0781</v>
      </c>
      <c r="M786" s="76" t="s">
        <v>96</v>
      </c>
      <c r="N786" s="77"/>
      <c r="O786" s="78" t="s">
        <v>97</v>
      </c>
      <c r="P786" s="79" t="n">
        <f aca="false">COUNTIFS(임대자산!$I:$I,가맹점정보!F786,임대자산!$N:$N,가맹점정보!P$4)</f>
        <v>0</v>
      </c>
      <c r="Q786" s="80" t="n">
        <f aca="false">COUNTIFS(임대자산!$I:$I,가맹점정보!F786,임대자산!$N:$N,가맹점정보!Q$4)</f>
        <v>1</v>
      </c>
      <c r="R786" s="81" t="n">
        <f aca="false">COUNTIFS(임대자산!$I:$I,가맹점정보!F786,임대자산!$N:$N,가맹점정보!R$4)</f>
        <v>0</v>
      </c>
      <c r="S786" s="82" t="n">
        <v>88000</v>
      </c>
      <c r="T786" s="83" t="n">
        <v>0</v>
      </c>
      <c r="U786" s="80" t="n">
        <f aca="false">SUM(S786:T786)</f>
        <v>88000</v>
      </c>
      <c r="V786" s="84" t="s">
        <v>12</v>
      </c>
      <c r="W786" s="80" t="e">
        <f aca="true">
IF(D786="폐업","폐업",
IF(V786="면제","면제",
IF(AND(V786="정상",COUNTIFS(OFFSET(Y786,0,COUNTA(Y786:AV786)-1,1,-4),"미납")&gt;=3),"장기미납",
IF(AND(V786="정상",OFFSET(Y786,0,COUNTA(Y786:AV786)-1)&gt;=U786),"정상",
IF(AND(V786="정상",OFFSET(Y786,0,COUNTA(Y786:AV786)-1)=0),"정상",
"계약서 미작성")))))</f>
        <v>#VALUE!</v>
      </c>
      <c r="X786" s="81" t="str">
        <f aca="true">
IF(D786="폐업","폐업",
IF(AND(V786="정상",OFFSET(Y786,0,COUNTA(Y786:AV786)-1)="미납"),"미납",
IF(AND(V786="정상",OFFSET(Y786,0,COUNTA(Y786:AV786)-1)=0),"납부 시작 전",
IF(AND(V786="정상",OFFSET(Y786,0,COUNTA(Y786:AV786)-1)&gt;=U786),"정상",
IF(AND(V786="면제",OFFSET(Y786,0,COUNTA(Y786:AV786)-1)="면제"),"면제",
IF(AND(V786="면제",OFFSET(Y786,0,COUNTA(Y786:AV786)-1)=0),"면제",
"확인요청"))))))</f>
        <v>정상</v>
      </c>
      <c r="Y786" s="93" t="n">
        <v>88000</v>
      </c>
      <c r="Z786" s="90" t="n">
        <v>88000</v>
      </c>
      <c r="AA786" s="90" t="n">
        <v>88000</v>
      </c>
      <c r="AB786" s="90" t="n">
        <v>88000</v>
      </c>
      <c r="AC786" s="90" t="n">
        <v>88000</v>
      </c>
      <c r="AD786" s="90" t="n">
        <v>88000</v>
      </c>
      <c r="AE786" s="90" t="n">
        <v>88000</v>
      </c>
      <c r="AF786" s="90" t="n">
        <v>88000</v>
      </c>
      <c r="AG786" s="90" t="n">
        <v>88000</v>
      </c>
      <c r="AH786" s="90" t="n">
        <v>88000</v>
      </c>
      <c r="AI786" s="90" t="n">
        <v>88000</v>
      </c>
      <c r="AJ786" s="91" t="n">
        <v>88000</v>
      </c>
      <c r="AK786" s="89" t="n">
        <v>88000</v>
      </c>
      <c r="AL786" s="90" t="n">
        <v>88000</v>
      </c>
      <c r="AM786" s="90"/>
      <c r="AN786" s="90"/>
      <c r="AO786" s="90"/>
      <c r="AP786" s="90"/>
      <c r="AQ786" s="90"/>
      <c r="AR786" s="90"/>
      <c r="AS786" s="90"/>
      <c r="AT786" s="90"/>
      <c r="AU786" s="90"/>
      <c r="AV786" s="91"/>
      <c r="AX786" s="92"/>
    </row>
    <row r="787" customFormat="false" ht="15.65" hidden="false" customHeight="false" outlineLevel="0" collapsed="false">
      <c r="C787" s="72" t="n">
        <f aca="false">COUNTIFS($D$6:D787,"&lt;&gt;"&amp;"")</f>
        <v>782</v>
      </c>
      <c r="D787" s="73" t="s">
        <v>12</v>
      </c>
      <c r="E787" s="76" t="str">
        <f aca="false">
IF($D787="정상",INDEX(임대자산!$D$3:$R$3000,MATCH($F787,임대자산!$I$3:$I$3000,0),MATCH(E$3,임대자산!$D$3:$R$3,0)),
IF($D787="폐업",INDEX(폐업정보!$D$3:$R$3000,MATCH($F787,폐업정보!$I$3:$I$3000,0),MATCH(E$3,폐업정보!$D$3:$R$3,0)),
"Error"))</f>
        <v>경상</v>
      </c>
      <c r="F78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B0782</v>
      </c>
      <c r="G787" s="76" t="str">
        <f aca="false">F787&amp;RANDBETWEEN(0,10)</f>
        <v>B078210</v>
      </c>
      <c r="H787" s="75" t="n">
        <f aca="false">
IF($D787="정상",INDEX(임대자산!$D$3:$R$3000,MATCH($F787,임대자산!$I$3:$I$3000,0),MATCH(H$4,임대자산!$D$3:$R$3,0)),
IF($D787="폐업",INDEX(폐업정보!$D$3:$R$3000,MATCH($F787,폐업정보!$I$3:$I$3000,0),MATCH(H$4,폐업정보!$D$3:$R$3,0)),
"Error"))</f>
        <v>44524</v>
      </c>
      <c r="I787" s="75" t="str">
        <f aca="false">
IF($D787="정상",INDEX(임대자산!$D$3:$R$3000,MATCH($F787,임대자산!$I$3:$I$3000,0),MATCH(I$4,임대자산!$D$3:$R$3,0)),
IF($D787="폐업",INDEX(폐업정보!$D$3:$R$3000,MATCH($F787,폐업정보!$I$3:$I$3000,0),MATCH(I$4,폐업정보!$D$3:$R$3,0)),
"Error"))</f>
        <v>A0782</v>
      </c>
      <c r="J787" s="75" t="str">
        <f aca="false">
IF($D787="정상",INDEX(임대자산!$D$3:$R$3000,MATCH($F787,임대자산!$I$3:$I$3000,0),MATCH(J$4,임대자산!$D$3:$R$3,0)),
IF($D787="폐업",INDEX(폐업정보!$D$3:$R$3000,MATCH($F787,폐업정보!$I$3:$I$3000,0),MATCH(J$4,폐업정보!$D$3:$R$3,0)),
"Error"))</f>
        <v>6226900000</v>
      </c>
      <c r="K787" s="75" t="str">
        <f aca="false">
IF($D787="정상",INDEX(임대자산!$D$3:$R$3000,MATCH($F787,임대자산!$I$3:$I$3000,0),MATCH(K$4,임대자산!$D$3:$R$3,0)),
IF($D787="폐업",INDEX(폐업정보!$D$3:$R$3000,MATCH($F787,폐업정보!$I$3:$I$3000,0),MATCH(K$4,폐업정보!$D$3:$R$3,0)),
"Error"))</f>
        <v>C0782</v>
      </c>
      <c r="L787" s="75" t="str">
        <f aca="false">
IF($D787="정상",INDEX(임대자산!$D$3:$R$3000,MATCH($F787,임대자산!$I$3:$I$3000,0),MATCH(L$4,임대자산!$D$3:$R$3,0)),
IF($D787="폐업",INDEX(폐업정보!$D$3:$R$3000,MATCH($F787,폐업정보!$I$3:$I$3000,0),MATCH(L$4,폐업정보!$D$3:$R$3,0)),
"Error"))</f>
        <v>D0782</v>
      </c>
      <c r="M787" s="76" t="s">
        <v>96</v>
      </c>
      <c r="N787" s="77"/>
      <c r="O787" s="78" t="s">
        <v>97</v>
      </c>
      <c r="P787" s="79" t="n">
        <f aca="false">COUNTIFS(임대자산!$I:$I,가맹점정보!F787,임대자산!$N:$N,가맹점정보!P$4)</f>
        <v>0</v>
      </c>
      <c r="Q787" s="80" t="n">
        <f aca="false">COUNTIFS(임대자산!$I:$I,가맹점정보!F787,임대자산!$N:$N,가맹점정보!Q$4)</f>
        <v>1</v>
      </c>
      <c r="R787" s="81" t="n">
        <f aca="false">COUNTIFS(임대자산!$I:$I,가맹점정보!F787,임대자산!$N:$N,가맹점정보!R$4)</f>
        <v>0</v>
      </c>
      <c r="S787" s="82" t="n">
        <v>55000</v>
      </c>
      <c r="T787" s="83" t="n">
        <v>0</v>
      </c>
      <c r="U787" s="80" t="n">
        <f aca="false">SUM(S787:T787)</f>
        <v>55000</v>
      </c>
      <c r="V787" s="84" t="s">
        <v>12</v>
      </c>
      <c r="W787" s="80" t="e">
        <f aca="true">
IF(D787="폐업","폐업",
IF(V787="면제","면제",
IF(AND(V787="정상",COUNTIFS(OFFSET(Y787,0,COUNTA(Y787:AV787)-1,1,-4),"미납")&gt;=3),"장기미납",
IF(AND(V787="정상",OFFSET(Y787,0,COUNTA(Y787:AV787)-1)&gt;=U787),"정상",
IF(AND(V787="정상",OFFSET(Y787,0,COUNTA(Y787:AV787)-1)=0),"정상",
"계약서 미작성")))))</f>
        <v>#VALUE!</v>
      </c>
      <c r="X787" s="81" t="str">
        <f aca="true">
IF(D787="폐업","폐업",
IF(AND(V787="정상",OFFSET(Y787,0,COUNTA(Y787:AV787)-1)="미납"),"미납",
IF(AND(V787="정상",OFFSET(Y787,0,COUNTA(Y787:AV787)-1)=0),"납부 시작 전",
IF(AND(V787="정상",OFFSET(Y787,0,COUNTA(Y787:AV787)-1)&gt;=U787),"정상",
IF(AND(V787="면제",OFFSET(Y787,0,COUNTA(Y787:AV787)-1)="면제"),"면제",
IF(AND(V787="면제",OFFSET(Y787,0,COUNTA(Y787:AV787)-1)=0),"면제",
"확인요청"))))))</f>
        <v>정상</v>
      </c>
      <c r="Y787" s="93" t="n">
        <v>55000</v>
      </c>
      <c r="Z787" s="90" t="n">
        <v>55000</v>
      </c>
      <c r="AA787" s="90" t="n">
        <v>55000</v>
      </c>
      <c r="AB787" s="90" t="n">
        <v>55000</v>
      </c>
      <c r="AC787" s="90" t="n">
        <v>55000</v>
      </c>
      <c r="AD787" s="90" t="n">
        <v>55000</v>
      </c>
      <c r="AE787" s="90" t="n">
        <v>55000</v>
      </c>
      <c r="AF787" s="90" t="n">
        <v>55000</v>
      </c>
      <c r="AG787" s="90" t="n">
        <v>55000</v>
      </c>
      <c r="AH787" s="90" t="n">
        <v>55000</v>
      </c>
      <c r="AI787" s="90" t="n">
        <v>55000</v>
      </c>
      <c r="AJ787" s="91" t="n">
        <v>55000</v>
      </c>
      <c r="AK787" s="89" t="n">
        <v>55000</v>
      </c>
      <c r="AL787" s="90" t="n">
        <v>55000</v>
      </c>
      <c r="AM787" s="90"/>
      <c r="AN787" s="90"/>
      <c r="AO787" s="90"/>
      <c r="AP787" s="90"/>
      <c r="AQ787" s="90"/>
      <c r="AR787" s="90"/>
      <c r="AS787" s="90"/>
      <c r="AT787" s="90"/>
      <c r="AU787" s="90"/>
      <c r="AV787" s="91"/>
      <c r="AX787" s="92"/>
    </row>
    <row r="788" customFormat="false" ht="15.65" hidden="false" customHeight="false" outlineLevel="0" collapsed="false">
      <c r="C788" s="72" t="n">
        <f aca="false">COUNTIFS($D$6:D788,"&lt;&gt;"&amp;"")</f>
        <v>783</v>
      </c>
      <c r="D788" s="73" t="s">
        <v>12</v>
      </c>
      <c r="E788" s="76" t="str">
        <f aca="false">
IF($D788="정상",INDEX(임대자산!$D$3:$R$3000,MATCH($F788,임대자산!$I$3:$I$3000,0),MATCH(E$3,임대자산!$D$3:$R$3,0)),
IF($D788="폐업",INDEX(폐업정보!$D$3:$R$3000,MATCH($F788,폐업정보!$I$3:$I$3000,0),MATCH(E$3,폐업정보!$D$3:$R$3,0)),
"Error"))</f>
        <v>경기</v>
      </c>
      <c r="F78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B0783</v>
      </c>
      <c r="G788" s="76" t="str">
        <f aca="false">F788&amp;RANDBETWEEN(0,10)</f>
        <v>B07830</v>
      </c>
      <c r="H788" s="75" t="n">
        <f aca="false">
IF($D788="정상",INDEX(임대자산!$D$3:$R$3000,MATCH($F788,임대자산!$I$3:$I$3000,0),MATCH(H$4,임대자산!$D$3:$R$3,0)),
IF($D788="폐업",INDEX(폐업정보!$D$3:$R$3000,MATCH($F788,폐업정보!$I$3:$I$3000,0),MATCH(H$4,폐업정보!$D$3:$R$3,0)),
"Error"))</f>
        <v>45602</v>
      </c>
      <c r="I788" s="75" t="str">
        <f aca="false">
IF($D788="정상",INDEX(임대자산!$D$3:$R$3000,MATCH($F788,임대자산!$I$3:$I$3000,0),MATCH(I$4,임대자산!$D$3:$R$3,0)),
IF($D788="폐업",INDEX(폐업정보!$D$3:$R$3000,MATCH($F788,폐업정보!$I$3:$I$3000,0),MATCH(I$4,폐업정보!$D$3:$R$3,0)),
"Error"))</f>
        <v>A0783</v>
      </c>
      <c r="J788" s="75" t="str">
        <f aca="false">
IF($D788="정상",INDEX(임대자산!$D$3:$R$3000,MATCH($F788,임대자산!$I$3:$I$3000,0),MATCH(J$4,임대자산!$D$3:$R$3,0)),
IF($D788="폐업",INDEX(폐업정보!$D$3:$R$3000,MATCH($F788,폐업정보!$I$3:$I$3000,0),MATCH(J$4,폐업정보!$D$3:$R$3,0)),
"Error"))</f>
        <v>7585000000</v>
      </c>
      <c r="K788" s="75" t="str">
        <f aca="false">
IF($D788="정상",INDEX(임대자산!$D$3:$R$3000,MATCH($F788,임대자산!$I$3:$I$3000,0),MATCH(K$4,임대자산!$D$3:$R$3,0)),
IF($D788="폐업",INDEX(폐업정보!$D$3:$R$3000,MATCH($F788,폐업정보!$I$3:$I$3000,0),MATCH(K$4,폐업정보!$D$3:$R$3,0)),
"Error"))</f>
        <v>C0783</v>
      </c>
      <c r="L788" s="75" t="str">
        <f aca="false">
IF($D788="정상",INDEX(임대자산!$D$3:$R$3000,MATCH($F788,임대자산!$I$3:$I$3000,0),MATCH(L$4,임대자산!$D$3:$R$3,0)),
IF($D788="폐업",INDEX(폐업정보!$D$3:$R$3000,MATCH($F788,폐업정보!$I$3:$I$3000,0),MATCH(L$4,폐업정보!$D$3:$R$3,0)),
"Error"))</f>
        <v>D0783</v>
      </c>
      <c r="M788" s="76" t="s">
        <v>96</v>
      </c>
      <c r="N788" s="77"/>
      <c r="O788" s="78" t="s">
        <v>97</v>
      </c>
      <c r="P788" s="79" t="n">
        <f aca="false">COUNTIFS(임대자산!$I:$I,가맹점정보!F788,임대자산!$N:$N,가맹점정보!P$4)</f>
        <v>0</v>
      </c>
      <c r="Q788" s="80" t="n">
        <f aca="false">COUNTIFS(임대자산!$I:$I,가맹점정보!F788,임대자산!$N:$N,가맹점정보!Q$4)</f>
        <v>1</v>
      </c>
      <c r="R788" s="81" t="n">
        <f aca="false">COUNTIFS(임대자산!$I:$I,가맹점정보!F788,임대자산!$N:$N,가맹점정보!R$4)</f>
        <v>0</v>
      </c>
      <c r="S788" s="82" t="n">
        <v>55000</v>
      </c>
      <c r="T788" s="83" t="n">
        <v>0</v>
      </c>
      <c r="U788" s="80" t="n">
        <f aca="false">SUM(S788:T788)</f>
        <v>55000</v>
      </c>
      <c r="V788" s="84" t="s">
        <v>12</v>
      </c>
      <c r="W788" s="80" t="e">
        <f aca="true">
IF(D788="폐업","폐업",
IF(V788="면제","면제",
IF(AND(V788="정상",COUNTIFS(OFFSET(Y788,0,COUNTA(Y788:AV788)-1,1,-4),"미납")&gt;=3),"장기미납",
IF(AND(V788="정상",OFFSET(Y788,0,COUNTA(Y788:AV788)-1)&gt;=U788),"정상",
IF(AND(V788="정상",OFFSET(Y788,0,COUNTA(Y788:AV788)-1)=0),"정상",
"계약서 미작성")))))</f>
        <v>#VALUE!</v>
      </c>
      <c r="X788" s="81" t="str">
        <f aca="true">
IF(D788="폐업","폐업",
IF(AND(V788="정상",OFFSET(Y788,0,COUNTA(Y788:AV788)-1)="미납"),"미납",
IF(AND(V788="정상",OFFSET(Y788,0,COUNTA(Y788:AV788)-1)=0),"납부 시작 전",
IF(AND(V788="정상",OFFSET(Y788,0,COUNTA(Y788:AV788)-1)&gt;=U788),"정상",
IF(AND(V788="면제",OFFSET(Y788,0,COUNTA(Y788:AV788)-1)="면제"),"면제",
IF(AND(V788="면제",OFFSET(Y788,0,COUNTA(Y788:AV788)-1)=0),"면제",
"확인요청"))))))</f>
        <v>정상</v>
      </c>
      <c r="Y788" s="93" t="n">
        <v>55000</v>
      </c>
      <c r="Z788" s="90" t="n">
        <v>55000</v>
      </c>
      <c r="AA788" s="90" t="n">
        <v>0</v>
      </c>
      <c r="AB788" s="90" t="n">
        <v>0</v>
      </c>
      <c r="AC788" s="90" t="n">
        <v>55000</v>
      </c>
      <c r="AD788" s="90" t="n">
        <v>55000</v>
      </c>
      <c r="AE788" s="90" t="n">
        <v>55000</v>
      </c>
      <c r="AF788" s="90" t="n">
        <v>55000</v>
      </c>
      <c r="AG788" s="90" t="n">
        <v>55000</v>
      </c>
      <c r="AH788" s="90" t="n">
        <v>55000</v>
      </c>
      <c r="AI788" s="90" t="n">
        <v>55000</v>
      </c>
      <c r="AJ788" s="91" t="n">
        <v>55000</v>
      </c>
      <c r="AK788" s="89" t="n">
        <v>55000</v>
      </c>
      <c r="AL788" s="90" t="n">
        <v>55000</v>
      </c>
      <c r="AM788" s="90"/>
      <c r="AN788" s="90"/>
      <c r="AO788" s="90"/>
      <c r="AP788" s="90"/>
      <c r="AQ788" s="90"/>
      <c r="AR788" s="90"/>
      <c r="AS788" s="90"/>
      <c r="AT788" s="90"/>
      <c r="AU788" s="90"/>
      <c r="AV788" s="91"/>
      <c r="AX788" s="92"/>
    </row>
    <row r="789" customFormat="false" ht="15.65" hidden="false" customHeight="false" outlineLevel="0" collapsed="false">
      <c r="C789" s="72" t="n">
        <f aca="false">COUNTIFS($D$6:D789,"&lt;&gt;"&amp;"")</f>
        <v>784</v>
      </c>
      <c r="D789" s="73" t="s">
        <v>12</v>
      </c>
      <c r="E789" s="76" t="str">
        <f aca="false">
IF($D789="정상",INDEX(임대자산!$D$3:$R$3000,MATCH($F789,임대자산!$I$3:$I$3000,0),MATCH(E$3,임대자산!$D$3:$R$3,0)),
IF($D789="폐업",INDEX(폐업정보!$D$3:$R$3000,MATCH($F789,폐업정보!$I$3:$I$3000,0),MATCH(E$3,폐업정보!$D$3:$R$3,0)),
"Error"))</f>
        <v>경상</v>
      </c>
      <c r="F78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B0784</v>
      </c>
      <c r="G789" s="76" t="str">
        <f aca="false">F789&amp;RANDBETWEEN(0,10)</f>
        <v>B078410</v>
      </c>
      <c r="H789" s="75" t="n">
        <f aca="false">
IF($D789="정상",INDEX(임대자산!$D$3:$R$3000,MATCH($F789,임대자산!$I$3:$I$3000,0),MATCH(H$4,임대자산!$D$3:$R$3,0)),
IF($D789="폐업",INDEX(폐업정보!$D$3:$R$3000,MATCH($F789,폐업정보!$I$3:$I$3000,0),MATCH(H$4,폐업정보!$D$3:$R$3,0)),
"Error"))</f>
        <v>44587</v>
      </c>
      <c r="I789" s="75" t="str">
        <f aca="false">
IF($D789="정상",INDEX(임대자산!$D$3:$R$3000,MATCH($F789,임대자산!$I$3:$I$3000,0),MATCH(I$4,임대자산!$D$3:$R$3,0)),
IF($D789="폐업",INDEX(폐업정보!$D$3:$R$3000,MATCH($F789,폐업정보!$I$3:$I$3000,0),MATCH(I$4,폐업정보!$D$3:$R$3,0)),
"Error"))</f>
        <v>A0784</v>
      </c>
      <c r="J789" s="75" t="str">
        <f aca="false">
IF($D789="정상",INDEX(임대자산!$D$3:$R$3000,MATCH($F789,임대자산!$I$3:$I$3000,0),MATCH(J$4,임대자산!$D$3:$R$3,0)),
IF($D789="폐업",INDEX(폐업정보!$D$3:$R$3000,MATCH($F789,폐업정보!$I$3:$I$3000,0),MATCH(J$4,폐업정보!$D$3:$R$3,0)),
"Error"))</f>
        <v>9830600000</v>
      </c>
      <c r="K789" s="75" t="str">
        <f aca="false">
IF($D789="정상",INDEX(임대자산!$D$3:$R$3000,MATCH($F789,임대자산!$I$3:$I$3000,0),MATCH(K$4,임대자산!$D$3:$R$3,0)),
IF($D789="폐업",INDEX(폐업정보!$D$3:$R$3000,MATCH($F789,폐업정보!$I$3:$I$3000,0),MATCH(K$4,폐업정보!$D$3:$R$3,0)),
"Error"))</f>
        <v>C0784</v>
      </c>
      <c r="L789" s="75" t="str">
        <f aca="false">
IF($D789="정상",INDEX(임대자산!$D$3:$R$3000,MATCH($F789,임대자산!$I$3:$I$3000,0),MATCH(L$4,임대자산!$D$3:$R$3,0)),
IF($D789="폐업",INDEX(폐업정보!$D$3:$R$3000,MATCH($F789,폐업정보!$I$3:$I$3000,0),MATCH(L$4,폐업정보!$D$3:$R$3,0)),
"Error"))</f>
        <v>D0784</v>
      </c>
      <c r="M789" s="76" t="s">
        <v>96</v>
      </c>
      <c r="N789" s="77"/>
      <c r="O789" s="78" t="s">
        <v>97</v>
      </c>
      <c r="P789" s="79" t="n">
        <f aca="false">COUNTIFS(임대자산!$I:$I,가맹점정보!F789,임대자산!$N:$N,가맹점정보!P$4)</f>
        <v>0</v>
      </c>
      <c r="Q789" s="80" t="n">
        <f aca="false">COUNTIFS(임대자산!$I:$I,가맹점정보!F789,임대자산!$N:$N,가맹점정보!Q$4)</f>
        <v>1</v>
      </c>
      <c r="R789" s="81" t="n">
        <f aca="false">COUNTIFS(임대자산!$I:$I,가맹점정보!F789,임대자산!$N:$N,가맹점정보!R$4)</f>
        <v>0</v>
      </c>
      <c r="S789" s="82" t="n">
        <v>55000</v>
      </c>
      <c r="T789" s="83" t="n">
        <v>0</v>
      </c>
      <c r="U789" s="80" t="n">
        <f aca="false">SUM(S789:T789)</f>
        <v>55000</v>
      </c>
      <c r="V789" s="84" t="s">
        <v>12</v>
      </c>
      <c r="W789" s="80" t="e">
        <f aca="true">
IF(D789="폐업","폐업",
IF(V789="면제","면제",
IF(AND(V789="정상",COUNTIFS(OFFSET(Y789,0,COUNTA(Y789:AV789)-1,1,-4),"미납")&gt;=3),"장기미납",
IF(AND(V789="정상",OFFSET(Y789,0,COUNTA(Y789:AV789)-1)&gt;=U789),"정상",
IF(AND(V789="정상",OFFSET(Y789,0,COUNTA(Y789:AV789)-1)=0),"정상",
"계약서 미작성")))))</f>
        <v>#VALUE!</v>
      </c>
      <c r="X789" s="81" t="str">
        <f aca="true">
IF(D789="폐업","폐업",
IF(AND(V789="정상",OFFSET(Y789,0,COUNTA(Y789:AV789)-1)="미납"),"미납",
IF(AND(V789="정상",OFFSET(Y789,0,COUNTA(Y789:AV789)-1)=0),"납부 시작 전",
IF(AND(V789="정상",OFFSET(Y789,0,COUNTA(Y789:AV789)-1)&gt;=U789),"정상",
IF(AND(V789="면제",OFFSET(Y789,0,COUNTA(Y789:AV789)-1)="면제"),"면제",
IF(AND(V789="면제",OFFSET(Y789,0,COUNTA(Y789:AV789)-1)=0),"면제",
"확인요청"))))))</f>
        <v>정상</v>
      </c>
      <c r="Y789" s="93" t="n">
        <v>55000</v>
      </c>
      <c r="Z789" s="90" t="n">
        <v>55000</v>
      </c>
      <c r="AA789" s="90" t="n">
        <v>55000</v>
      </c>
      <c r="AB789" s="90" t="n">
        <v>55000</v>
      </c>
      <c r="AC789" s="90" t="n">
        <v>55000</v>
      </c>
      <c r="AD789" s="90" t="n">
        <v>55000</v>
      </c>
      <c r="AE789" s="90" t="n">
        <v>55000</v>
      </c>
      <c r="AF789" s="90" t="n">
        <v>55000</v>
      </c>
      <c r="AG789" s="90" t="n">
        <v>55000</v>
      </c>
      <c r="AH789" s="90" t="n">
        <v>55000</v>
      </c>
      <c r="AI789" s="90" t="n">
        <v>55000</v>
      </c>
      <c r="AJ789" s="91" t="n">
        <v>55000</v>
      </c>
      <c r="AK789" s="89" t="n">
        <v>55000</v>
      </c>
      <c r="AL789" s="90" t="n">
        <v>55000</v>
      </c>
      <c r="AM789" s="90"/>
      <c r="AN789" s="90"/>
      <c r="AO789" s="90"/>
      <c r="AP789" s="90"/>
      <c r="AQ789" s="90"/>
      <c r="AR789" s="90"/>
      <c r="AS789" s="90"/>
      <c r="AT789" s="90"/>
      <c r="AU789" s="90"/>
      <c r="AV789" s="91"/>
      <c r="AX789" s="92"/>
    </row>
    <row r="790" customFormat="false" ht="15.65" hidden="false" customHeight="false" outlineLevel="0" collapsed="false">
      <c r="C790" s="72" t="n">
        <f aca="false">COUNTIFS($D$6:D790,"&lt;&gt;"&amp;"")</f>
        <v>785</v>
      </c>
      <c r="D790" s="73" t="s">
        <v>12</v>
      </c>
      <c r="E790" s="76" t="str">
        <f aca="false">
IF($D790="정상",INDEX(임대자산!$D$3:$R$3000,MATCH($F790,임대자산!$I$3:$I$3000,0),MATCH(E$3,임대자산!$D$3:$R$3,0)),
IF($D790="폐업",INDEX(폐업정보!$D$3:$R$3000,MATCH($F790,폐업정보!$I$3:$I$3000,0),MATCH(E$3,폐업정보!$D$3:$R$3,0)),
"Error"))</f>
        <v>강원</v>
      </c>
      <c r="F79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B0785</v>
      </c>
      <c r="G790" s="76" t="str">
        <f aca="false">F790&amp;RANDBETWEEN(0,10)</f>
        <v>B078510</v>
      </c>
      <c r="H790" s="75" t="n">
        <f aca="false">
IF($D790="정상",INDEX(임대자산!$D$3:$R$3000,MATCH($F790,임대자산!$I$3:$I$3000,0),MATCH(H$4,임대자산!$D$3:$R$3,0)),
IF($D790="폐업",INDEX(폐업정보!$D$3:$R$3000,MATCH($F790,폐업정보!$I$3:$I$3000,0),MATCH(H$4,폐업정보!$D$3:$R$3,0)),
"Error"))</f>
        <v>45944</v>
      </c>
      <c r="I790" s="75" t="str">
        <f aca="false">
IF($D790="정상",INDEX(임대자산!$D$3:$R$3000,MATCH($F790,임대자산!$I$3:$I$3000,0),MATCH(I$4,임대자산!$D$3:$R$3,0)),
IF($D790="폐업",INDEX(폐업정보!$D$3:$R$3000,MATCH($F790,폐업정보!$I$3:$I$3000,0),MATCH(I$4,폐업정보!$D$3:$R$3,0)),
"Error"))</f>
        <v>A0785</v>
      </c>
      <c r="J790" s="75" t="str">
        <f aca="false">
IF($D790="정상",INDEX(임대자산!$D$3:$R$3000,MATCH($F790,임대자산!$I$3:$I$3000,0),MATCH(J$4,임대자산!$D$3:$R$3,0)),
IF($D790="폐업",INDEX(폐업정보!$D$3:$R$3000,MATCH($F790,폐업정보!$I$3:$I$3000,0),MATCH(J$4,폐업정보!$D$3:$R$3,0)),
"Error"))</f>
        <v>4412000000</v>
      </c>
      <c r="K790" s="75" t="str">
        <f aca="false">
IF($D790="정상",INDEX(임대자산!$D$3:$R$3000,MATCH($F790,임대자산!$I$3:$I$3000,0),MATCH(K$4,임대자산!$D$3:$R$3,0)),
IF($D790="폐업",INDEX(폐업정보!$D$3:$R$3000,MATCH($F790,폐업정보!$I$3:$I$3000,0),MATCH(K$4,폐업정보!$D$3:$R$3,0)),
"Error"))</f>
        <v>C0785</v>
      </c>
      <c r="L790" s="75" t="str">
        <f aca="false">
IF($D790="정상",INDEX(임대자산!$D$3:$R$3000,MATCH($F790,임대자산!$I$3:$I$3000,0),MATCH(L$4,임대자산!$D$3:$R$3,0)),
IF($D790="폐업",INDEX(폐업정보!$D$3:$R$3000,MATCH($F790,폐업정보!$I$3:$I$3000,0),MATCH(L$4,폐업정보!$D$3:$R$3,0)),
"Error"))</f>
        <v>D0785</v>
      </c>
      <c r="M790" s="76" t="s">
        <v>96</v>
      </c>
      <c r="N790" s="77"/>
      <c r="O790" s="78" t="s">
        <v>97</v>
      </c>
      <c r="P790" s="79" t="n">
        <f aca="false">COUNTIFS(임대자산!$I:$I,가맹점정보!F790,임대자산!$N:$N,가맹점정보!P$4)</f>
        <v>0</v>
      </c>
      <c r="Q790" s="80" t="n">
        <f aca="false">COUNTIFS(임대자산!$I:$I,가맹점정보!F790,임대자산!$N:$N,가맹점정보!Q$4)</f>
        <v>1</v>
      </c>
      <c r="R790" s="81" t="n">
        <f aca="false">COUNTIFS(임대자산!$I:$I,가맹점정보!F790,임대자산!$N:$N,가맹점정보!R$4)</f>
        <v>0</v>
      </c>
      <c r="S790" s="82" t="n">
        <v>88000</v>
      </c>
      <c r="T790" s="83" t="n">
        <v>0</v>
      </c>
      <c r="U790" s="80" t="n">
        <f aca="false">SUM(S790:T790)</f>
        <v>88000</v>
      </c>
      <c r="V790" s="84" t="s">
        <v>12</v>
      </c>
      <c r="W790" s="80" t="e">
        <f aca="true">
IF(D790="폐업","폐업",
IF(V790="면제","면제",
IF(AND(V790="정상",COUNTIFS(OFFSET(Y790,0,COUNTA(Y790:AV790)-1,1,-4),"미납")&gt;=3),"장기미납",
IF(AND(V790="정상",OFFSET(Y790,0,COUNTA(Y790:AV790)-1)&gt;=U790),"정상",
IF(AND(V790="정상",OFFSET(Y790,0,COUNTA(Y790:AV790)-1)=0),"정상",
"계약서 미작성")))))</f>
        <v>#VALUE!</v>
      </c>
      <c r="X790" s="81" t="str">
        <f aca="true">
IF(D790="폐업","폐업",
IF(AND(V790="정상",OFFSET(Y790,0,COUNTA(Y790:AV790)-1)="미납"),"미납",
IF(AND(V790="정상",OFFSET(Y790,0,COUNTA(Y790:AV790)-1)=0),"납부 시작 전",
IF(AND(V790="정상",OFFSET(Y790,0,COUNTA(Y790:AV790)-1)&gt;=U790),"정상",
IF(AND(V790="면제",OFFSET(Y790,0,COUNTA(Y790:AV790)-1)="면제"),"면제",
IF(AND(V790="면제",OFFSET(Y790,0,COUNTA(Y790:AV790)-1)=0),"면제",
"확인요청"))))))</f>
        <v>정상</v>
      </c>
      <c r="Y790" s="93" t="n">
        <v>88000</v>
      </c>
      <c r="Z790" s="90" t="n">
        <v>88000</v>
      </c>
      <c r="AA790" s="90" t="n">
        <v>88000</v>
      </c>
      <c r="AB790" s="90" t="n">
        <v>88000</v>
      </c>
      <c r="AC790" s="90" t="n">
        <v>88000</v>
      </c>
      <c r="AD790" s="90" t="n">
        <v>88000</v>
      </c>
      <c r="AE790" s="90" t="n">
        <v>88000</v>
      </c>
      <c r="AF790" s="90" t="n">
        <v>88000</v>
      </c>
      <c r="AG790" s="90" t="n">
        <v>88000</v>
      </c>
      <c r="AH790" s="90" t="n">
        <v>88000</v>
      </c>
      <c r="AI790" s="90" t="n">
        <v>88000</v>
      </c>
      <c r="AJ790" s="91" t="n">
        <v>88000</v>
      </c>
      <c r="AK790" s="89" t="n">
        <v>88000</v>
      </c>
      <c r="AL790" s="90" t="n">
        <v>88000</v>
      </c>
      <c r="AM790" s="90"/>
      <c r="AN790" s="90"/>
      <c r="AO790" s="90"/>
      <c r="AP790" s="90"/>
      <c r="AQ790" s="90"/>
      <c r="AR790" s="90"/>
      <c r="AS790" s="90"/>
      <c r="AT790" s="90"/>
      <c r="AU790" s="90"/>
      <c r="AV790" s="91"/>
      <c r="AX790" s="92"/>
    </row>
    <row r="791" customFormat="false" ht="15.65" hidden="false" customHeight="false" outlineLevel="0" collapsed="false">
      <c r="C791" s="72" t="n">
        <f aca="false">COUNTIFS($D$6:D791,"&lt;&gt;"&amp;"")</f>
        <v>786</v>
      </c>
      <c r="D791" s="73" t="s">
        <v>12</v>
      </c>
      <c r="E791" s="76" t="str">
        <f aca="false">
IF($D791="정상",INDEX(임대자산!$D$3:$R$3000,MATCH($F791,임대자산!$I$3:$I$3000,0),MATCH(E$3,임대자산!$D$3:$R$3,0)),
IF($D791="폐업",INDEX(폐업정보!$D$3:$R$3000,MATCH($F791,폐업정보!$I$3:$I$3000,0),MATCH(E$3,폐업정보!$D$3:$R$3,0)),
"Error"))</f>
        <v>경상</v>
      </c>
      <c r="F79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B0786</v>
      </c>
      <c r="G791" s="76" t="str">
        <f aca="false">F791&amp;RANDBETWEEN(0,10)</f>
        <v>B07860</v>
      </c>
      <c r="H791" s="75" t="n">
        <f aca="false">
IF($D791="정상",INDEX(임대자산!$D$3:$R$3000,MATCH($F791,임대자산!$I$3:$I$3000,0),MATCH(H$4,임대자산!$D$3:$R$3,0)),
IF($D791="폐업",INDEX(폐업정보!$D$3:$R$3000,MATCH($F791,폐업정보!$I$3:$I$3000,0),MATCH(H$4,폐업정보!$D$3:$R$3,0)),
"Error"))</f>
        <v>45434</v>
      </c>
      <c r="I791" s="75" t="str">
        <f aca="false">
IF($D791="정상",INDEX(임대자산!$D$3:$R$3000,MATCH($F791,임대자산!$I$3:$I$3000,0),MATCH(I$4,임대자산!$D$3:$R$3,0)),
IF($D791="폐업",INDEX(폐업정보!$D$3:$R$3000,MATCH($F791,폐업정보!$I$3:$I$3000,0),MATCH(I$4,폐업정보!$D$3:$R$3,0)),
"Error"))</f>
        <v>A0786</v>
      </c>
      <c r="J791" s="75" t="str">
        <f aca="false">
IF($D791="정상",INDEX(임대자산!$D$3:$R$3000,MATCH($F791,임대자산!$I$3:$I$3000,0),MATCH(J$4,임대자산!$D$3:$R$3,0)),
IF($D791="폐업",INDEX(폐업정보!$D$3:$R$3000,MATCH($F791,폐업정보!$I$3:$I$3000,0),MATCH(J$4,폐업정보!$D$3:$R$3,0)),
"Error"))</f>
        <v>9475300000</v>
      </c>
      <c r="K791" s="75" t="str">
        <f aca="false">
IF($D791="정상",INDEX(임대자산!$D$3:$R$3000,MATCH($F791,임대자산!$I$3:$I$3000,0),MATCH(K$4,임대자산!$D$3:$R$3,0)),
IF($D791="폐업",INDEX(폐업정보!$D$3:$R$3000,MATCH($F791,폐업정보!$I$3:$I$3000,0),MATCH(K$4,폐업정보!$D$3:$R$3,0)),
"Error"))</f>
        <v>C0786</v>
      </c>
      <c r="L791" s="75" t="str">
        <f aca="false">
IF($D791="정상",INDEX(임대자산!$D$3:$R$3000,MATCH($F791,임대자산!$I$3:$I$3000,0),MATCH(L$4,임대자산!$D$3:$R$3,0)),
IF($D791="폐업",INDEX(폐업정보!$D$3:$R$3000,MATCH($F791,폐업정보!$I$3:$I$3000,0),MATCH(L$4,폐업정보!$D$3:$R$3,0)),
"Error"))</f>
        <v>D0786</v>
      </c>
      <c r="M791" s="76" t="s">
        <v>96</v>
      </c>
      <c r="N791" s="77"/>
      <c r="O791" s="78" t="s">
        <v>97</v>
      </c>
      <c r="P791" s="79" t="n">
        <f aca="false">COUNTIFS(임대자산!$I:$I,가맹점정보!F791,임대자산!$N:$N,가맹점정보!P$4)</f>
        <v>0</v>
      </c>
      <c r="Q791" s="80" t="n">
        <f aca="false">COUNTIFS(임대자산!$I:$I,가맹점정보!F791,임대자산!$N:$N,가맹점정보!Q$4)</f>
        <v>1</v>
      </c>
      <c r="R791" s="81" t="n">
        <f aca="false">COUNTIFS(임대자산!$I:$I,가맹점정보!F791,임대자산!$N:$N,가맹점정보!R$4)</f>
        <v>0</v>
      </c>
      <c r="S791" s="82" t="n">
        <v>27500</v>
      </c>
      <c r="T791" s="83" t="n">
        <v>27500</v>
      </c>
      <c r="U791" s="80" t="n">
        <f aca="false">SUM(S791:T791)</f>
        <v>55000</v>
      </c>
      <c r="V791" s="84" t="s">
        <v>12</v>
      </c>
      <c r="W791" s="80" t="e">
        <f aca="true">
IF(D791="폐업","폐업",
IF(V791="면제","면제",
IF(AND(V791="정상",COUNTIFS(OFFSET(Y791,0,COUNTA(Y791:AV791)-1,1,-4),"미납")&gt;=3),"장기미납",
IF(AND(V791="정상",OFFSET(Y791,0,COUNTA(Y791:AV791)-1)&gt;=U791),"정상",
IF(AND(V791="정상",OFFSET(Y791,0,COUNTA(Y791:AV791)-1)=0),"정상",
"계약서 미작성")))))</f>
        <v>#VALUE!</v>
      </c>
      <c r="X791" s="81" t="str">
        <f aca="true">
IF(D791="폐업","폐업",
IF(AND(V791="정상",OFFSET(Y791,0,COUNTA(Y791:AV791)-1)="미납"),"미납",
IF(AND(V791="정상",OFFSET(Y791,0,COUNTA(Y791:AV791)-1)=0),"납부 시작 전",
IF(AND(V791="정상",OFFSET(Y791,0,COUNTA(Y791:AV791)-1)&gt;=U791),"정상",
IF(AND(V791="면제",OFFSET(Y791,0,COUNTA(Y791:AV791)-1)="면제"),"면제",
IF(AND(V791="면제",OFFSET(Y791,0,COUNTA(Y791:AV791)-1)=0),"면제",
"확인요청"))))))</f>
        <v>정상</v>
      </c>
      <c r="Y791" s="93" t="n">
        <v>88000</v>
      </c>
      <c r="Z791" s="90" t="n">
        <v>88000</v>
      </c>
      <c r="AA791" s="90" t="n">
        <v>88000</v>
      </c>
      <c r="AB791" s="90" t="n">
        <v>88000</v>
      </c>
      <c r="AC791" s="90" t="n">
        <v>88000</v>
      </c>
      <c r="AD791" s="90" t="n">
        <v>88000</v>
      </c>
      <c r="AE791" s="90" t="n">
        <v>88000</v>
      </c>
      <c r="AF791" s="90" t="n">
        <v>88000</v>
      </c>
      <c r="AG791" s="90" t="n">
        <v>88000</v>
      </c>
      <c r="AH791" s="90" t="n">
        <v>88000</v>
      </c>
      <c r="AI791" s="90" t="n">
        <v>55000</v>
      </c>
      <c r="AJ791" s="91" t="n">
        <v>55000</v>
      </c>
      <c r="AK791" s="89" t="n">
        <v>55000</v>
      </c>
      <c r="AL791" s="90" t="n">
        <v>55000</v>
      </c>
      <c r="AM791" s="90"/>
      <c r="AN791" s="90"/>
      <c r="AO791" s="90"/>
      <c r="AP791" s="90"/>
      <c r="AQ791" s="90"/>
      <c r="AR791" s="90"/>
      <c r="AS791" s="90"/>
      <c r="AT791" s="90"/>
      <c r="AU791" s="90"/>
      <c r="AV791" s="91"/>
      <c r="AX791" s="92"/>
    </row>
    <row r="792" customFormat="false" ht="15.65" hidden="false" customHeight="false" outlineLevel="0" collapsed="false">
      <c r="C792" s="72" t="n">
        <f aca="false">COUNTIFS($D$6:D792,"&lt;&gt;"&amp;"")</f>
        <v>787</v>
      </c>
      <c r="D792" s="73" t="s">
        <v>12</v>
      </c>
      <c r="E792" s="76" t="str">
        <f aca="false">
IF($D792="정상",INDEX(임대자산!$D$3:$R$3000,MATCH($F792,임대자산!$I$3:$I$3000,0),MATCH(E$3,임대자산!$D$3:$R$3,0)),
IF($D792="폐업",INDEX(폐업정보!$D$3:$R$3000,MATCH($F792,폐업정보!$I$3:$I$3000,0),MATCH(E$3,폐업정보!$D$3:$R$3,0)),
"Error"))</f>
        <v>경기</v>
      </c>
      <c r="F79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B0787</v>
      </c>
      <c r="G792" s="76" t="str">
        <f aca="false">F792&amp;RANDBETWEEN(0,10)</f>
        <v>B07871</v>
      </c>
      <c r="H792" s="75" t="n">
        <f aca="false">
IF($D792="정상",INDEX(임대자산!$D$3:$R$3000,MATCH($F792,임대자산!$I$3:$I$3000,0),MATCH(H$4,임대자산!$D$3:$R$3,0)),
IF($D792="폐업",INDEX(폐업정보!$D$3:$R$3000,MATCH($F792,폐업정보!$I$3:$I$3000,0),MATCH(H$4,폐업정보!$D$3:$R$3,0)),
"Error"))</f>
        <v>45432</v>
      </c>
      <c r="I792" s="75" t="str">
        <f aca="false">
IF($D792="정상",INDEX(임대자산!$D$3:$R$3000,MATCH($F792,임대자산!$I$3:$I$3000,0),MATCH(I$4,임대자산!$D$3:$R$3,0)),
IF($D792="폐업",INDEX(폐업정보!$D$3:$R$3000,MATCH($F792,폐업정보!$I$3:$I$3000,0),MATCH(I$4,폐업정보!$D$3:$R$3,0)),
"Error"))</f>
        <v>A0787</v>
      </c>
      <c r="J792" s="75" t="str">
        <f aca="false">
IF($D792="정상",INDEX(임대자산!$D$3:$R$3000,MATCH($F792,임대자산!$I$3:$I$3000,0),MATCH(J$4,임대자산!$D$3:$R$3,0)),
IF($D792="폐업",INDEX(폐업정보!$D$3:$R$3000,MATCH($F792,폐업정보!$I$3:$I$3000,0),MATCH(J$4,폐업정보!$D$3:$R$3,0)),
"Error"))</f>
        <v>8929600000</v>
      </c>
      <c r="K792" s="75" t="str">
        <f aca="false">
IF($D792="정상",INDEX(임대자산!$D$3:$R$3000,MATCH($F792,임대자산!$I$3:$I$3000,0),MATCH(K$4,임대자산!$D$3:$R$3,0)),
IF($D792="폐업",INDEX(폐업정보!$D$3:$R$3000,MATCH($F792,폐업정보!$I$3:$I$3000,0),MATCH(K$4,폐업정보!$D$3:$R$3,0)),
"Error"))</f>
        <v>C0787</v>
      </c>
      <c r="L792" s="75" t="str">
        <f aca="false">
IF($D792="정상",INDEX(임대자산!$D$3:$R$3000,MATCH($F792,임대자산!$I$3:$I$3000,0),MATCH(L$4,임대자산!$D$3:$R$3,0)),
IF($D792="폐업",INDEX(폐업정보!$D$3:$R$3000,MATCH($F792,폐업정보!$I$3:$I$3000,0),MATCH(L$4,폐업정보!$D$3:$R$3,0)),
"Error"))</f>
        <v>D0787</v>
      </c>
      <c r="M792" s="76" t="s">
        <v>96</v>
      </c>
      <c r="N792" s="77"/>
      <c r="O792" s="78" t="s">
        <v>97</v>
      </c>
      <c r="P792" s="79" t="n">
        <f aca="false">COUNTIFS(임대자산!$I:$I,가맹점정보!F792,임대자산!$N:$N,가맹점정보!P$4)</f>
        <v>0</v>
      </c>
      <c r="Q792" s="80" t="n">
        <f aca="false">COUNTIFS(임대자산!$I:$I,가맹점정보!F792,임대자산!$N:$N,가맹점정보!Q$4)</f>
        <v>1</v>
      </c>
      <c r="R792" s="81" t="n">
        <f aca="false">COUNTIFS(임대자산!$I:$I,가맹점정보!F792,임대자산!$N:$N,가맹점정보!R$4)</f>
        <v>0</v>
      </c>
      <c r="S792" s="82" t="n">
        <v>55000</v>
      </c>
      <c r="T792" s="83" t="n">
        <v>0</v>
      </c>
      <c r="U792" s="80" t="n">
        <f aca="false">SUM(S792:T792)</f>
        <v>55000</v>
      </c>
      <c r="V792" s="84" t="s">
        <v>12</v>
      </c>
      <c r="W792" s="80" t="e">
        <f aca="true">
IF(D792="폐업","폐업",
IF(V792="면제","면제",
IF(AND(V792="정상",COUNTIFS(OFFSET(Y792,0,COUNTA(Y792:AV792)-1,1,-4),"미납")&gt;=3),"장기미납",
IF(AND(V792="정상",OFFSET(Y792,0,COUNTA(Y792:AV792)-1)&gt;=U792),"정상",
IF(AND(V792="정상",OFFSET(Y792,0,COUNTA(Y792:AV792)-1)=0),"정상",
"계약서 미작성")))))</f>
        <v>#VALUE!</v>
      </c>
      <c r="X792" s="81" t="str">
        <f aca="true">
IF(D792="폐업","폐업",
IF(AND(V792="정상",OFFSET(Y792,0,COUNTA(Y792:AV792)-1)="미납"),"미납",
IF(AND(V792="정상",OFFSET(Y792,0,COUNTA(Y792:AV792)-1)=0),"납부 시작 전",
IF(AND(V792="정상",OFFSET(Y792,0,COUNTA(Y792:AV792)-1)&gt;=U792),"정상",
IF(AND(V792="면제",OFFSET(Y792,0,COUNTA(Y792:AV792)-1)="면제"),"면제",
IF(AND(V792="면제",OFFSET(Y792,0,COUNTA(Y792:AV792)-1)=0),"면제",
"확인요청"))))))</f>
        <v>정상</v>
      </c>
      <c r="Y792" s="93" t="n">
        <v>55000</v>
      </c>
      <c r="Z792" s="90" t="n">
        <v>55000</v>
      </c>
      <c r="AA792" s="90" t="n">
        <v>55000</v>
      </c>
      <c r="AB792" s="90" t="n">
        <v>55000</v>
      </c>
      <c r="AC792" s="90" t="n">
        <v>55000</v>
      </c>
      <c r="AD792" s="90" t="n">
        <v>55000</v>
      </c>
      <c r="AE792" s="90" t="n">
        <v>55000</v>
      </c>
      <c r="AF792" s="90" t="n">
        <v>55000</v>
      </c>
      <c r="AG792" s="90" t="n">
        <v>55000</v>
      </c>
      <c r="AH792" s="90" t="n">
        <v>55000</v>
      </c>
      <c r="AI792" s="90" t="n">
        <v>55000</v>
      </c>
      <c r="AJ792" s="91" t="n">
        <v>55000</v>
      </c>
      <c r="AK792" s="89" t="n">
        <v>55000</v>
      </c>
      <c r="AL792" s="90" t="n">
        <v>55000</v>
      </c>
      <c r="AM792" s="90"/>
      <c r="AN792" s="90"/>
      <c r="AO792" s="90"/>
      <c r="AP792" s="90"/>
      <c r="AQ792" s="90"/>
      <c r="AR792" s="90"/>
      <c r="AS792" s="90"/>
      <c r="AT792" s="90"/>
      <c r="AU792" s="90"/>
      <c r="AV792" s="91"/>
      <c r="AX792" s="92"/>
    </row>
    <row r="793" customFormat="false" ht="15.65" hidden="false" customHeight="false" outlineLevel="0" collapsed="false">
      <c r="C793" s="72" t="n">
        <f aca="false">COUNTIFS($D$6:D793,"&lt;&gt;"&amp;"")</f>
        <v>788</v>
      </c>
      <c r="D793" s="73" t="s">
        <v>12</v>
      </c>
      <c r="E793" s="76" t="str">
        <f aca="false">
IF($D793="정상",INDEX(임대자산!$D$3:$R$3000,MATCH($F793,임대자산!$I$3:$I$3000,0),MATCH(E$3,임대자산!$D$3:$R$3,0)),
IF($D793="폐업",INDEX(폐업정보!$D$3:$R$3000,MATCH($F793,폐업정보!$I$3:$I$3000,0),MATCH(E$3,폐업정보!$D$3:$R$3,0)),
"Error"))</f>
        <v>서울</v>
      </c>
      <c r="F79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B0788</v>
      </c>
      <c r="G793" s="76" t="str">
        <f aca="false">F793&amp;RANDBETWEEN(0,10)</f>
        <v>B07883</v>
      </c>
      <c r="H793" s="75" t="n">
        <f aca="false">
IF($D793="정상",INDEX(임대자산!$D$3:$R$3000,MATCH($F793,임대자산!$I$3:$I$3000,0),MATCH(H$4,임대자산!$D$3:$R$3,0)),
IF($D793="폐업",INDEX(폐업정보!$D$3:$R$3000,MATCH($F793,폐업정보!$I$3:$I$3000,0),MATCH(H$4,폐업정보!$D$3:$R$3,0)),
"Error"))</f>
        <v>43305</v>
      </c>
      <c r="I793" s="75" t="str">
        <f aca="false">
IF($D793="정상",INDEX(임대자산!$D$3:$R$3000,MATCH($F793,임대자산!$I$3:$I$3000,0),MATCH(I$4,임대자산!$D$3:$R$3,0)),
IF($D793="폐업",INDEX(폐업정보!$D$3:$R$3000,MATCH($F793,폐업정보!$I$3:$I$3000,0),MATCH(I$4,폐업정보!$D$3:$R$3,0)),
"Error"))</f>
        <v>A0788</v>
      </c>
      <c r="J793" s="75" t="str">
        <f aca="false">
IF($D793="정상",INDEX(임대자산!$D$3:$R$3000,MATCH($F793,임대자산!$I$3:$I$3000,0),MATCH(J$4,임대자산!$D$3:$R$3,0)),
IF($D793="폐업",INDEX(폐업정보!$D$3:$R$3000,MATCH($F793,폐업정보!$I$3:$I$3000,0),MATCH(J$4,폐업정보!$D$3:$R$3,0)),
"Error"))</f>
        <v>4529400000</v>
      </c>
      <c r="K793" s="75" t="str">
        <f aca="false">
IF($D793="정상",INDEX(임대자산!$D$3:$R$3000,MATCH($F793,임대자산!$I$3:$I$3000,0),MATCH(K$4,임대자산!$D$3:$R$3,0)),
IF($D793="폐업",INDEX(폐업정보!$D$3:$R$3000,MATCH($F793,폐업정보!$I$3:$I$3000,0),MATCH(K$4,폐업정보!$D$3:$R$3,0)),
"Error"))</f>
        <v>C0788</v>
      </c>
      <c r="L793" s="75" t="str">
        <f aca="false">
IF($D793="정상",INDEX(임대자산!$D$3:$R$3000,MATCH($F793,임대자산!$I$3:$I$3000,0),MATCH(L$4,임대자산!$D$3:$R$3,0)),
IF($D793="폐업",INDEX(폐업정보!$D$3:$R$3000,MATCH($F793,폐업정보!$I$3:$I$3000,0),MATCH(L$4,폐업정보!$D$3:$R$3,0)),
"Error"))</f>
        <v>D0788</v>
      </c>
      <c r="M793" s="76" t="s">
        <v>96</v>
      </c>
      <c r="N793" s="77"/>
      <c r="O793" s="78" t="s">
        <v>97</v>
      </c>
      <c r="P793" s="79" t="n">
        <f aca="false">COUNTIFS(임대자산!$I:$I,가맹점정보!F793,임대자산!$N:$N,가맹점정보!P$4)</f>
        <v>0</v>
      </c>
      <c r="Q793" s="80" t="n">
        <f aca="false">COUNTIFS(임대자산!$I:$I,가맹점정보!F793,임대자산!$N:$N,가맹점정보!Q$4)</f>
        <v>1</v>
      </c>
      <c r="R793" s="81" t="n">
        <f aca="false">COUNTIFS(임대자산!$I:$I,가맹점정보!F793,임대자산!$N:$N,가맹점정보!R$4)</f>
        <v>0</v>
      </c>
      <c r="S793" s="82" t="n">
        <v>55000</v>
      </c>
      <c r="T793" s="83" t="n">
        <v>0</v>
      </c>
      <c r="U793" s="80" t="n">
        <f aca="false">SUM(S793:T793)</f>
        <v>55000</v>
      </c>
      <c r="V793" s="84" t="s">
        <v>12</v>
      </c>
      <c r="W793" s="80" t="e">
        <f aca="true">
IF(D793="폐업","폐업",
IF(V793="면제","면제",
IF(AND(V793="정상",COUNTIFS(OFFSET(Y793,0,COUNTA(Y793:AV793)-1,1,-4),"미납")&gt;=3),"장기미납",
IF(AND(V793="정상",OFFSET(Y793,0,COUNTA(Y793:AV793)-1)&gt;=U793),"정상",
IF(AND(V793="정상",OFFSET(Y793,0,COUNTA(Y793:AV793)-1)=0),"정상",
"계약서 미작성")))))</f>
        <v>#VALUE!</v>
      </c>
      <c r="X793" s="81" t="str">
        <f aca="true">
IF(D793="폐업","폐업",
IF(AND(V793="정상",OFFSET(Y793,0,COUNTA(Y793:AV793)-1)="미납"),"미납",
IF(AND(V793="정상",OFFSET(Y793,0,COUNTA(Y793:AV793)-1)=0),"납부 시작 전",
IF(AND(V793="정상",OFFSET(Y793,0,COUNTA(Y793:AV793)-1)&gt;=U793),"정상",
IF(AND(V793="면제",OFFSET(Y793,0,COUNTA(Y793:AV793)-1)="면제"),"면제",
IF(AND(V793="면제",OFFSET(Y793,0,COUNTA(Y793:AV793)-1)=0),"면제",
"확인요청"))))))</f>
        <v>정상</v>
      </c>
      <c r="Y793" s="93" t="n">
        <v>55000</v>
      </c>
      <c r="Z793" s="90" t="n">
        <v>55000</v>
      </c>
      <c r="AA793" s="90" t="n">
        <v>55000</v>
      </c>
      <c r="AB793" s="90" t="n">
        <v>55000</v>
      </c>
      <c r="AC793" s="90" t="n">
        <v>55000</v>
      </c>
      <c r="AD793" s="90" t="n">
        <v>55000</v>
      </c>
      <c r="AE793" s="90" t="n">
        <v>55000</v>
      </c>
      <c r="AF793" s="90" t="n">
        <v>55000</v>
      </c>
      <c r="AG793" s="90" t="n">
        <v>55000</v>
      </c>
      <c r="AH793" s="90" t="n">
        <v>55000</v>
      </c>
      <c r="AI793" s="90" t="n">
        <v>55000</v>
      </c>
      <c r="AJ793" s="91" t="n">
        <v>55000</v>
      </c>
      <c r="AK793" s="89" t="n">
        <v>55000</v>
      </c>
      <c r="AL793" s="90" t="n">
        <v>55000</v>
      </c>
      <c r="AM793" s="90"/>
      <c r="AN793" s="90"/>
      <c r="AO793" s="90"/>
      <c r="AP793" s="90"/>
      <c r="AQ793" s="90"/>
      <c r="AR793" s="90"/>
      <c r="AS793" s="90"/>
      <c r="AT793" s="90"/>
      <c r="AU793" s="90"/>
      <c r="AV793" s="91"/>
      <c r="AX793" s="92"/>
    </row>
    <row r="794" customFormat="false" ht="15.65" hidden="false" customHeight="false" outlineLevel="0" collapsed="false">
      <c r="C794" s="72" t="n">
        <f aca="false">COUNTIFS($D$6:D794,"&lt;&gt;"&amp;"")</f>
        <v>789</v>
      </c>
      <c r="D794" s="73" t="s">
        <v>12</v>
      </c>
      <c r="E794" s="76" t="str">
        <f aca="false">
IF($D794="정상",INDEX(임대자산!$D$3:$R$3000,MATCH($F794,임대자산!$I$3:$I$3000,0),MATCH(E$3,임대자산!$D$3:$R$3,0)),
IF($D794="폐업",INDEX(폐업정보!$D$3:$R$3000,MATCH($F794,폐업정보!$I$3:$I$3000,0),MATCH(E$3,폐업정보!$D$3:$R$3,0)),
"Error"))</f>
        <v>경기</v>
      </c>
      <c r="F79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B0789</v>
      </c>
      <c r="G794" s="76" t="str">
        <f aca="false">F794&amp;RANDBETWEEN(0,10)</f>
        <v>B07895</v>
      </c>
      <c r="H794" s="75" t="n">
        <f aca="false">
IF($D794="정상",INDEX(임대자산!$D$3:$R$3000,MATCH($F794,임대자산!$I$3:$I$3000,0),MATCH(H$4,임대자산!$D$3:$R$3,0)),
IF($D794="폐업",INDEX(폐업정보!$D$3:$R$3000,MATCH($F794,폐업정보!$I$3:$I$3000,0),MATCH(H$4,폐업정보!$D$3:$R$3,0)),
"Error"))</f>
        <v>43454</v>
      </c>
      <c r="I794" s="75" t="str">
        <f aca="false">
IF($D794="정상",INDEX(임대자산!$D$3:$R$3000,MATCH($F794,임대자산!$I$3:$I$3000,0),MATCH(I$4,임대자산!$D$3:$R$3,0)),
IF($D794="폐업",INDEX(폐업정보!$D$3:$R$3000,MATCH($F794,폐업정보!$I$3:$I$3000,0),MATCH(I$4,폐업정보!$D$3:$R$3,0)),
"Error"))</f>
        <v>A0789</v>
      </c>
      <c r="J794" s="75" t="str">
        <f aca="false">
IF($D794="정상",INDEX(임대자산!$D$3:$R$3000,MATCH($F794,임대자산!$I$3:$I$3000,0),MATCH(J$4,임대자산!$D$3:$R$3,0)),
IF($D794="폐업",INDEX(폐업정보!$D$3:$R$3000,MATCH($F794,폐업정보!$I$3:$I$3000,0),MATCH(J$4,폐업정보!$D$3:$R$3,0)),
"Error"))</f>
        <v>3124600000</v>
      </c>
      <c r="K794" s="75" t="str">
        <f aca="false">
IF($D794="정상",INDEX(임대자산!$D$3:$R$3000,MATCH($F794,임대자산!$I$3:$I$3000,0),MATCH(K$4,임대자산!$D$3:$R$3,0)),
IF($D794="폐업",INDEX(폐업정보!$D$3:$R$3000,MATCH($F794,폐업정보!$I$3:$I$3000,0),MATCH(K$4,폐업정보!$D$3:$R$3,0)),
"Error"))</f>
        <v>C0789</v>
      </c>
      <c r="L794" s="75" t="str">
        <f aca="false">
IF($D794="정상",INDEX(임대자산!$D$3:$R$3000,MATCH($F794,임대자산!$I$3:$I$3000,0),MATCH(L$4,임대자산!$D$3:$R$3,0)),
IF($D794="폐업",INDEX(폐업정보!$D$3:$R$3000,MATCH($F794,폐업정보!$I$3:$I$3000,0),MATCH(L$4,폐업정보!$D$3:$R$3,0)),
"Error"))</f>
        <v>D0789</v>
      </c>
      <c r="M794" s="76" t="s">
        <v>96</v>
      </c>
      <c r="N794" s="77"/>
      <c r="O794" s="78" t="s">
        <v>97</v>
      </c>
      <c r="P794" s="79" t="n">
        <f aca="false">COUNTIFS(임대자산!$I:$I,가맹점정보!F794,임대자산!$N:$N,가맹점정보!P$4)</f>
        <v>0</v>
      </c>
      <c r="Q794" s="80" t="n">
        <f aca="false">COUNTIFS(임대자산!$I:$I,가맹점정보!F794,임대자산!$N:$N,가맹점정보!Q$4)</f>
        <v>1</v>
      </c>
      <c r="R794" s="81" t="n">
        <f aca="false">COUNTIFS(임대자산!$I:$I,가맹점정보!F794,임대자산!$N:$N,가맹점정보!R$4)</f>
        <v>0</v>
      </c>
      <c r="S794" s="82" t="n">
        <v>55000</v>
      </c>
      <c r="T794" s="83" t="n">
        <v>0</v>
      </c>
      <c r="U794" s="80" t="n">
        <f aca="false">SUM(S794:T794)</f>
        <v>55000</v>
      </c>
      <c r="V794" s="84" t="s">
        <v>12</v>
      </c>
      <c r="W794" s="80" t="e">
        <f aca="true">
IF(D794="폐업","폐업",
IF(V794="면제","면제",
IF(AND(V794="정상",COUNTIFS(OFFSET(Y794,0,COUNTA(Y794:AV794)-1,1,-4),"미납")&gt;=3),"장기미납",
IF(AND(V794="정상",OFFSET(Y794,0,COUNTA(Y794:AV794)-1)&gt;=U794),"정상",
IF(AND(V794="정상",OFFSET(Y794,0,COUNTA(Y794:AV794)-1)=0),"정상",
"계약서 미작성")))))</f>
        <v>#VALUE!</v>
      </c>
      <c r="X794" s="81" t="str">
        <f aca="true">
IF(D794="폐업","폐업",
IF(AND(V794="정상",OFFSET(Y794,0,COUNTA(Y794:AV794)-1)="미납"),"미납",
IF(AND(V794="정상",OFFSET(Y794,0,COUNTA(Y794:AV794)-1)=0),"납부 시작 전",
IF(AND(V794="정상",OFFSET(Y794,0,COUNTA(Y794:AV794)-1)&gt;=U794),"정상",
IF(AND(V794="면제",OFFSET(Y794,0,COUNTA(Y794:AV794)-1)="면제"),"면제",
IF(AND(V794="면제",OFFSET(Y794,0,COUNTA(Y794:AV794)-1)=0),"면제",
"확인요청"))))))</f>
        <v>미납</v>
      </c>
      <c r="Y794" s="93" t="n">
        <v>55000</v>
      </c>
      <c r="Z794" s="90" t="n">
        <v>55000</v>
      </c>
      <c r="AA794" s="90" t="n">
        <v>55000</v>
      </c>
      <c r="AB794" s="90" t="n">
        <v>55000</v>
      </c>
      <c r="AC794" s="90" t="n">
        <v>55000</v>
      </c>
      <c r="AD794" s="90" t="n">
        <v>55000</v>
      </c>
      <c r="AE794" s="90" t="n">
        <v>55000</v>
      </c>
      <c r="AF794" s="90" t="s">
        <v>105</v>
      </c>
      <c r="AG794" s="90" t="n">
        <v>110000</v>
      </c>
      <c r="AH794" s="90" t="n">
        <v>55000</v>
      </c>
      <c r="AI794" s="90" t="n">
        <v>55000</v>
      </c>
      <c r="AJ794" s="91" t="n">
        <v>55000</v>
      </c>
      <c r="AK794" s="89" t="n">
        <v>55000</v>
      </c>
      <c r="AL794" s="95" t="s">
        <v>62</v>
      </c>
      <c r="AM794" s="90"/>
      <c r="AN794" s="90"/>
      <c r="AO794" s="90"/>
      <c r="AP794" s="90"/>
      <c r="AQ794" s="90"/>
      <c r="AR794" s="90"/>
      <c r="AS794" s="90"/>
      <c r="AT794" s="90"/>
      <c r="AU794" s="90"/>
      <c r="AV794" s="91"/>
      <c r="AX794" s="92"/>
    </row>
    <row r="795" customFormat="false" ht="15.65" hidden="false" customHeight="false" outlineLevel="0" collapsed="false">
      <c r="C795" s="72" t="n">
        <f aca="false">COUNTIFS($D$6:D795,"&lt;&gt;"&amp;"")</f>
        <v>790</v>
      </c>
      <c r="D795" s="73" t="s">
        <v>12</v>
      </c>
      <c r="E795" s="76" t="str">
        <f aca="false">
IF($D795="정상",INDEX(임대자산!$D$3:$R$3000,MATCH($F795,임대자산!$I$3:$I$3000,0),MATCH(E$3,임대자산!$D$3:$R$3,0)),
IF($D795="폐업",INDEX(폐업정보!$D$3:$R$3000,MATCH($F795,폐업정보!$I$3:$I$3000,0),MATCH(E$3,폐업정보!$D$3:$R$3,0)),
"Error"))</f>
        <v>경기</v>
      </c>
      <c r="F79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B0790</v>
      </c>
      <c r="G795" s="76" t="str">
        <f aca="false">F795&amp;RANDBETWEEN(0,10)</f>
        <v>B07906</v>
      </c>
      <c r="H795" s="75" t="n">
        <f aca="false">
IF($D795="정상",INDEX(임대자산!$D$3:$R$3000,MATCH($F795,임대자산!$I$3:$I$3000,0),MATCH(H$4,임대자산!$D$3:$R$3,0)),
IF($D795="폐업",INDEX(폐업정보!$D$3:$R$3000,MATCH($F795,폐업정보!$I$3:$I$3000,0),MATCH(H$4,폐업정보!$D$3:$R$3,0)),
"Error"))</f>
        <v>45414</v>
      </c>
      <c r="I795" s="75" t="str">
        <f aca="false">
IF($D795="정상",INDEX(임대자산!$D$3:$R$3000,MATCH($F795,임대자산!$I$3:$I$3000,0),MATCH(I$4,임대자산!$D$3:$R$3,0)),
IF($D795="폐업",INDEX(폐업정보!$D$3:$R$3000,MATCH($F795,폐업정보!$I$3:$I$3000,0),MATCH(I$4,폐업정보!$D$3:$R$3,0)),
"Error"))</f>
        <v>A0790</v>
      </c>
      <c r="J795" s="75" t="str">
        <f aca="false">
IF($D795="정상",INDEX(임대자산!$D$3:$R$3000,MATCH($F795,임대자산!$I$3:$I$3000,0),MATCH(J$4,임대자산!$D$3:$R$3,0)),
IF($D795="폐업",INDEX(폐업정보!$D$3:$R$3000,MATCH($F795,폐업정보!$I$3:$I$3000,0),MATCH(J$4,폐업정보!$D$3:$R$3,0)),
"Error"))</f>
        <v>3936800000</v>
      </c>
      <c r="K795" s="75" t="str">
        <f aca="false">
IF($D795="정상",INDEX(임대자산!$D$3:$R$3000,MATCH($F795,임대자산!$I$3:$I$3000,0),MATCH(K$4,임대자산!$D$3:$R$3,0)),
IF($D795="폐업",INDEX(폐업정보!$D$3:$R$3000,MATCH($F795,폐업정보!$I$3:$I$3000,0),MATCH(K$4,폐업정보!$D$3:$R$3,0)),
"Error"))</f>
        <v>C0790</v>
      </c>
      <c r="L795" s="75" t="str">
        <f aca="false">
IF($D795="정상",INDEX(임대자산!$D$3:$R$3000,MATCH($F795,임대자산!$I$3:$I$3000,0),MATCH(L$4,임대자산!$D$3:$R$3,0)),
IF($D795="폐업",INDEX(폐업정보!$D$3:$R$3000,MATCH($F795,폐업정보!$I$3:$I$3000,0),MATCH(L$4,폐업정보!$D$3:$R$3,0)),
"Error"))</f>
        <v>D0790</v>
      </c>
      <c r="M795" s="76" t="s">
        <v>96</v>
      </c>
      <c r="N795" s="77"/>
      <c r="O795" s="78" t="s">
        <v>97</v>
      </c>
      <c r="P795" s="79" t="n">
        <f aca="false">COUNTIFS(임대자산!$I:$I,가맹점정보!F795,임대자산!$N:$N,가맹점정보!P$4)</f>
        <v>0</v>
      </c>
      <c r="Q795" s="80" t="n">
        <f aca="false">COUNTIFS(임대자산!$I:$I,가맹점정보!F795,임대자산!$N:$N,가맹점정보!Q$4)</f>
        <v>1</v>
      </c>
      <c r="R795" s="81" t="n">
        <f aca="false">COUNTIFS(임대자산!$I:$I,가맹점정보!F795,임대자산!$N:$N,가맹점정보!R$4)</f>
        <v>0</v>
      </c>
      <c r="S795" s="82" t="n">
        <v>55000</v>
      </c>
      <c r="T795" s="83" t="n">
        <v>0</v>
      </c>
      <c r="U795" s="80" t="n">
        <f aca="false">SUM(S795:T795)</f>
        <v>55000</v>
      </c>
      <c r="V795" s="84" t="s">
        <v>12</v>
      </c>
      <c r="W795" s="80" t="e">
        <f aca="true">
IF(D795="폐업","폐업",
IF(V795="면제","면제",
IF(AND(V795="정상",COUNTIFS(OFFSET(Y795,0,COUNTA(Y795:AV795)-1,1,-4),"미납")&gt;=3),"장기미납",
IF(AND(V795="정상",OFFSET(Y795,0,COUNTA(Y795:AV795)-1)&gt;=U795),"정상",
IF(AND(V795="정상",OFFSET(Y795,0,COUNTA(Y795:AV795)-1)=0),"정상",
"계약서 미작성")))))</f>
        <v>#VALUE!</v>
      </c>
      <c r="X795" s="81" t="str">
        <f aca="true">
IF(D795="폐업","폐업",
IF(AND(V795="정상",OFFSET(Y795,0,COUNTA(Y795:AV795)-1)="미납"),"미납",
IF(AND(V795="정상",OFFSET(Y795,0,COUNTA(Y795:AV795)-1)=0),"납부 시작 전",
IF(AND(V795="정상",OFFSET(Y795,0,COUNTA(Y795:AV795)-1)&gt;=U795),"정상",
IF(AND(V795="면제",OFFSET(Y795,0,COUNTA(Y795:AV795)-1)="면제"),"면제",
IF(AND(V795="면제",OFFSET(Y795,0,COUNTA(Y795:AV795)-1)=0),"면제",
"확인요청"))))))</f>
        <v>정상</v>
      </c>
      <c r="Y795" s="93" t="n">
        <v>55000</v>
      </c>
      <c r="Z795" s="90" t="n">
        <v>55000</v>
      </c>
      <c r="AA795" s="90" t="n">
        <v>55000</v>
      </c>
      <c r="AB795" s="90" t="n">
        <v>55000</v>
      </c>
      <c r="AC795" s="90" t="n">
        <v>55000</v>
      </c>
      <c r="AD795" s="90" t="n">
        <v>55000</v>
      </c>
      <c r="AE795" s="90" t="n">
        <v>55000</v>
      </c>
      <c r="AF795" s="90" t="n">
        <v>55000</v>
      </c>
      <c r="AG795" s="90" t="n">
        <v>55000</v>
      </c>
      <c r="AH795" s="90" t="n">
        <v>55000</v>
      </c>
      <c r="AI795" s="90" t="n">
        <v>55000</v>
      </c>
      <c r="AJ795" s="91" t="n">
        <v>55000</v>
      </c>
      <c r="AK795" s="89" t="n">
        <v>55000</v>
      </c>
      <c r="AL795" s="90" t="n">
        <v>55000</v>
      </c>
      <c r="AM795" s="90"/>
      <c r="AN795" s="90"/>
      <c r="AO795" s="90"/>
      <c r="AP795" s="90"/>
      <c r="AQ795" s="90"/>
      <c r="AR795" s="90"/>
      <c r="AS795" s="90"/>
      <c r="AT795" s="90"/>
      <c r="AU795" s="90"/>
      <c r="AV795" s="91"/>
      <c r="AX795" s="92"/>
    </row>
    <row r="796" customFormat="false" ht="15.65" hidden="false" customHeight="false" outlineLevel="0" collapsed="false">
      <c r="C796" s="72" t="n">
        <f aca="false">COUNTIFS($D$6:D796,"&lt;&gt;"&amp;"")</f>
        <v>791</v>
      </c>
      <c r="D796" s="73" t="s">
        <v>12</v>
      </c>
      <c r="E796" s="76" t="str">
        <f aca="false">
IF($D796="정상",INDEX(임대자산!$D$3:$R$3000,MATCH($F796,임대자산!$I$3:$I$3000,0),MATCH(E$3,임대자산!$D$3:$R$3,0)),
IF($D796="폐업",INDEX(폐업정보!$D$3:$R$3000,MATCH($F796,폐업정보!$I$3:$I$3000,0),MATCH(E$3,폐업정보!$D$3:$R$3,0)),
"Error"))</f>
        <v>강원</v>
      </c>
      <c r="F79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B0791</v>
      </c>
      <c r="G796" s="76" t="str">
        <f aca="false">F796&amp;RANDBETWEEN(0,10)</f>
        <v>B07914</v>
      </c>
      <c r="H796" s="75" t="n">
        <f aca="false">
IF($D796="정상",INDEX(임대자산!$D$3:$R$3000,MATCH($F796,임대자산!$I$3:$I$3000,0),MATCH(H$4,임대자산!$D$3:$R$3,0)),
IF($D796="폐업",INDEX(폐업정보!$D$3:$R$3000,MATCH($F796,폐업정보!$I$3:$I$3000,0),MATCH(H$4,폐업정보!$D$3:$R$3,0)),
"Error"))</f>
        <v>45387</v>
      </c>
      <c r="I796" s="75" t="str">
        <f aca="false">
IF($D796="정상",INDEX(임대자산!$D$3:$R$3000,MATCH($F796,임대자산!$I$3:$I$3000,0),MATCH(I$4,임대자산!$D$3:$R$3,0)),
IF($D796="폐업",INDEX(폐업정보!$D$3:$R$3000,MATCH($F796,폐업정보!$I$3:$I$3000,0),MATCH(I$4,폐업정보!$D$3:$R$3,0)),
"Error"))</f>
        <v>A0791</v>
      </c>
      <c r="J796" s="75" t="str">
        <f aca="false">
IF($D796="정상",INDEX(임대자산!$D$3:$R$3000,MATCH($F796,임대자산!$I$3:$I$3000,0),MATCH(J$4,임대자산!$D$3:$R$3,0)),
IF($D796="폐업",INDEX(폐업정보!$D$3:$R$3000,MATCH($F796,폐업정보!$I$3:$I$3000,0),MATCH(J$4,폐업정보!$D$3:$R$3,0)),
"Error"))</f>
        <v>4528100000</v>
      </c>
      <c r="K796" s="75" t="str">
        <f aca="false">
IF($D796="정상",INDEX(임대자산!$D$3:$R$3000,MATCH($F796,임대자산!$I$3:$I$3000,0),MATCH(K$4,임대자산!$D$3:$R$3,0)),
IF($D796="폐업",INDEX(폐업정보!$D$3:$R$3000,MATCH($F796,폐업정보!$I$3:$I$3000,0),MATCH(K$4,폐업정보!$D$3:$R$3,0)),
"Error"))</f>
        <v>C0791</v>
      </c>
      <c r="L796" s="75" t="str">
        <f aca="false">
IF($D796="정상",INDEX(임대자산!$D$3:$R$3000,MATCH($F796,임대자산!$I$3:$I$3000,0),MATCH(L$4,임대자산!$D$3:$R$3,0)),
IF($D796="폐업",INDEX(폐업정보!$D$3:$R$3000,MATCH($F796,폐업정보!$I$3:$I$3000,0),MATCH(L$4,폐업정보!$D$3:$R$3,0)),
"Error"))</f>
        <v>D0791</v>
      </c>
      <c r="M796" s="76" t="s">
        <v>96</v>
      </c>
      <c r="N796" s="77"/>
      <c r="O796" s="78" t="s">
        <v>97</v>
      </c>
      <c r="P796" s="79" t="n">
        <f aca="false">COUNTIFS(임대자산!$I:$I,가맹점정보!F796,임대자산!$N:$N,가맹점정보!P$4)</f>
        <v>0</v>
      </c>
      <c r="Q796" s="80" t="n">
        <f aca="false">COUNTIFS(임대자산!$I:$I,가맹점정보!F796,임대자산!$N:$N,가맹점정보!Q$4)</f>
        <v>1</v>
      </c>
      <c r="R796" s="81" t="n">
        <f aca="false">COUNTIFS(임대자산!$I:$I,가맹점정보!F796,임대자산!$N:$N,가맹점정보!R$4)</f>
        <v>0</v>
      </c>
      <c r="S796" s="82" t="n">
        <v>55000</v>
      </c>
      <c r="T796" s="83" t="n">
        <v>0</v>
      </c>
      <c r="U796" s="80" t="n">
        <f aca="false">SUM(S796:T796)</f>
        <v>55000</v>
      </c>
      <c r="V796" s="84" t="s">
        <v>12</v>
      </c>
      <c r="W796" s="80" t="e">
        <f aca="true">
IF(D796="폐업","폐업",
IF(V796="면제","면제",
IF(AND(V796="정상",COUNTIFS(OFFSET(Y796,0,COUNTA(Y796:AV796)-1,1,-4),"미납")&gt;=3),"장기미납",
IF(AND(V796="정상",OFFSET(Y796,0,COUNTA(Y796:AV796)-1)&gt;=U796),"정상",
IF(AND(V796="정상",OFFSET(Y796,0,COUNTA(Y796:AV796)-1)=0),"정상",
"계약서 미작성")))))</f>
        <v>#VALUE!</v>
      </c>
      <c r="X796" s="81" t="str">
        <f aca="true">
IF(D796="폐업","폐업",
IF(AND(V796="정상",OFFSET(Y796,0,COUNTA(Y796:AV796)-1)="미납"),"미납",
IF(AND(V796="정상",OFFSET(Y796,0,COUNTA(Y796:AV796)-1)=0),"납부 시작 전",
IF(AND(V796="정상",OFFSET(Y796,0,COUNTA(Y796:AV796)-1)&gt;=U796),"정상",
IF(AND(V796="면제",OFFSET(Y796,0,COUNTA(Y796:AV796)-1)="면제"),"면제",
IF(AND(V796="면제",OFFSET(Y796,0,COUNTA(Y796:AV796)-1)=0),"면제",
"확인요청"))))))</f>
        <v>정상</v>
      </c>
      <c r="Y796" s="93" t="n">
        <v>55000</v>
      </c>
      <c r="Z796" s="90" t="n">
        <v>55000</v>
      </c>
      <c r="AA796" s="90" t="n">
        <v>55000</v>
      </c>
      <c r="AB796" s="90" t="n">
        <v>55000</v>
      </c>
      <c r="AC796" s="90" t="n">
        <v>55000</v>
      </c>
      <c r="AD796" s="90" t="n">
        <v>55000</v>
      </c>
      <c r="AE796" s="90" t="n">
        <v>55000</v>
      </c>
      <c r="AF796" s="90" t="n">
        <v>55000</v>
      </c>
      <c r="AG796" s="90" t="n">
        <v>55000</v>
      </c>
      <c r="AH796" s="90" t="n">
        <v>55000</v>
      </c>
      <c r="AI796" s="90" t="n">
        <v>55000</v>
      </c>
      <c r="AJ796" s="91" t="n">
        <v>55000</v>
      </c>
      <c r="AK796" s="89" t="n">
        <v>55000</v>
      </c>
      <c r="AL796" s="90" t="n">
        <v>55000</v>
      </c>
      <c r="AM796" s="90"/>
      <c r="AN796" s="90"/>
      <c r="AO796" s="90"/>
      <c r="AP796" s="90"/>
      <c r="AQ796" s="90"/>
      <c r="AR796" s="90"/>
      <c r="AS796" s="90"/>
      <c r="AT796" s="90"/>
      <c r="AU796" s="90"/>
      <c r="AV796" s="91"/>
      <c r="AX796" s="92"/>
    </row>
    <row r="797" customFormat="false" ht="15.65" hidden="false" customHeight="false" outlineLevel="0" collapsed="false">
      <c r="C797" s="72" t="n">
        <f aca="false">COUNTIFS($D$6:D797,"&lt;&gt;"&amp;"")</f>
        <v>792</v>
      </c>
      <c r="D797" s="73" t="s">
        <v>12</v>
      </c>
      <c r="E797" s="76" t="str">
        <f aca="false">
IF($D797="정상",INDEX(임대자산!$D$3:$R$3000,MATCH($F797,임대자산!$I$3:$I$3000,0),MATCH(E$3,임대자산!$D$3:$R$3,0)),
IF($D797="폐업",INDEX(폐업정보!$D$3:$R$3000,MATCH($F797,폐업정보!$I$3:$I$3000,0),MATCH(E$3,폐업정보!$D$3:$R$3,0)),
"Error"))</f>
        <v>경상</v>
      </c>
      <c r="F79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B0792</v>
      </c>
      <c r="G797" s="76" t="str">
        <f aca="false">F797&amp;RANDBETWEEN(0,10)</f>
        <v>B07920</v>
      </c>
      <c r="H797" s="75" t="n">
        <f aca="false">
IF($D797="정상",INDEX(임대자산!$D$3:$R$3000,MATCH($F797,임대자산!$I$3:$I$3000,0),MATCH(H$4,임대자산!$D$3:$R$3,0)),
IF($D797="폐업",INDEX(폐업정보!$D$3:$R$3000,MATCH($F797,폐업정보!$I$3:$I$3000,0),MATCH(H$4,폐업정보!$D$3:$R$3,0)),
"Error"))</f>
        <v>45826</v>
      </c>
      <c r="I797" s="75" t="str">
        <f aca="false">
IF($D797="정상",INDEX(임대자산!$D$3:$R$3000,MATCH($F797,임대자산!$I$3:$I$3000,0),MATCH(I$4,임대자산!$D$3:$R$3,0)),
IF($D797="폐업",INDEX(폐업정보!$D$3:$R$3000,MATCH($F797,폐업정보!$I$3:$I$3000,0),MATCH(I$4,폐업정보!$D$3:$R$3,0)),
"Error"))</f>
        <v>A0792</v>
      </c>
      <c r="J797" s="75" t="str">
        <f aca="false">
IF($D797="정상",INDEX(임대자산!$D$3:$R$3000,MATCH($F797,임대자산!$I$3:$I$3000,0),MATCH(J$4,임대자산!$D$3:$R$3,0)),
IF($D797="폐업",INDEX(폐업정보!$D$3:$R$3000,MATCH($F797,폐업정보!$I$3:$I$3000,0),MATCH(J$4,폐업정보!$D$3:$R$3,0)),
"Error"))</f>
        <v>7704700000</v>
      </c>
      <c r="K797" s="75" t="str">
        <f aca="false">
IF($D797="정상",INDEX(임대자산!$D$3:$R$3000,MATCH($F797,임대자산!$I$3:$I$3000,0),MATCH(K$4,임대자산!$D$3:$R$3,0)),
IF($D797="폐업",INDEX(폐업정보!$D$3:$R$3000,MATCH($F797,폐업정보!$I$3:$I$3000,0),MATCH(K$4,폐업정보!$D$3:$R$3,0)),
"Error"))</f>
        <v>C0792</v>
      </c>
      <c r="L797" s="75" t="str">
        <f aca="false">
IF($D797="정상",INDEX(임대자산!$D$3:$R$3000,MATCH($F797,임대자산!$I$3:$I$3000,0),MATCH(L$4,임대자산!$D$3:$R$3,0)),
IF($D797="폐업",INDEX(폐업정보!$D$3:$R$3000,MATCH($F797,폐업정보!$I$3:$I$3000,0),MATCH(L$4,폐업정보!$D$3:$R$3,0)),
"Error"))</f>
        <v>D0792</v>
      </c>
      <c r="M797" s="76" t="s">
        <v>96</v>
      </c>
      <c r="N797" s="77"/>
      <c r="O797" s="78" t="s">
        <v>97</v>
      </c>
      <c r="P797" s="79" t="n">
        <f aca="false">COUNTIFS(임대자산!$I:$I,가맹점정보!F797,임대자산!$N:$N,가맹점정보!P$4)</f>
        <v>0</v>
      </c>
      <c r="Q797" s="80" t="n">
        <f aca="false">COUNTIFS(임대자산!$I:$I,가맹점정보!F797,임대자산!$N:$N,가맹점정보!Q$4)</f>
        <v>1</v>
      </c>
      <c r="R797" s="81" t="n">
        <f aca="false">COUNTIFS(임대자산!$I:$I,가맹점정보!F797,임대자산!$N:$N,가맹점정보!R$4)</f>
        <v>0</v>
      </c>
      <c r="S797" s="82" t="n">
        <v>55000</v>
      </c>
      <c r="T797" s="83" t="n">
        <v>0</v>
      </c>
      <c r="U797" s="80" t="n">
        <f aca="false">SUM(S797:T797)</f>
        <v>55000</v>
      </c>
      <c r="V797" s="84" t="s">
        <v>7</v>
      </c>
      <c r="W797" s="80" t="str">
        <f aca="true">
IF(D797="폐업","폐업",
IF(V797="면제","면제",
IF(AND(V797="정상",COUNTIFS(OFFSET(Y797,0,COUNTA(Y797:AV797)-1,1,-4),"미납")&gt;=3),"장기미납",
IF(AND(V797="정상",OFFSET(Y797,0,COUNTA(Y797:AV797)-1)&gt;=U797),"정상",
IF(AND(V797="정상",OFFSET(Y797,0,COUNTA(Y797:AV797)-1)=0),"정상",
"계약서 미작성")))))</f>
        <v>면제</v>
      </c>
      <c r="X797" s="81" t="str">
        <f aca="true">
IF(D797="폐업","폐업",
IF(AND(V797="정상",OFFSET(Y797,0,COUNTA(Y797:AV797)-1)="미납"),"미납",
IF(AND(V797="정상",OFFSET(Y797,0,COUNTA(Y797:AV797)-1)=0),"납부 시작 전",
IF(AND(V797="정상",OFFSET(Y797,0,COUNTA(Y797:AV797)-1)&gt;=U797),"정상",
IF(AND(V797="면제",OFFSET(Y797,0,COUNTA(Y797:AV797)-1)="면제"),"면제",
IF(AND(V797="면제",OFFSET(Y797,0,COUNTA(Y797:AV797)-1)=0),"면제",
"확인요청"))))))</f>
        <v>면제</v>
      </c>
      <c r="Y797" s="93" t="n">
        <v>55000</v>
      </c>
      <c r="Z797" s="90" t="n">
        <v>55000</v>
      </c>
      <c r="AA797" s="90" t="n">
        <v>55000</v>
      </c>
      <c r="AB797" s="90" t="n">
        <v>55000</v>
      </c>
      <c r="AC797" s="90" t="n">
        <v>55000</v>
      </c>
      <c r="AD797" s="90" t="n">
        <v>55000</v>
      </c>
      <c r="AE797" s="95" t="s">
        <v>62</v>
      </c>
      <c r="AF797" s="95" t="s">
        <v>62</v>
      </c>
      <c r="AG797" s="95" t="s">
        <v>7</v>
      </c>
      <c r="AH797" s="95" t="s">
        <v>7</v>
      </c>
      <c r="AI797" s="95" t="s">
        <v>7</v>
      </c>
      <c r="AJ797" s="96" t="s">
        <v>7</v>
      </c>
      <c r="AK797" s="97" t="s">
        <v>7</v>
      </c>
      <c r="AL797" s="95" t="s">
        <v>7</v>
      </c>
      <c r="AM797" s="90"/>
      <c r="AN797" s="90"/>
      <c r="AO797" s="90"/>
      <c r="AP797" s="90"/>
      <c r="AQ797" s="90"/>
      <c r="AR797" s="90"/>
      <c r="AS797" s="90"/>
      <c r="AT797" s="90"/>
      <c r="AU797" s="90"/>
      <c r="AV797" s="91"/>
      <c r="AX797" s="92"/>
    </row>
    <row r="798" customFormat="false" ht="15.65" hidden="false" customHeight="false" outlineLevel="0" collapsed="false">
      <c r="C798" s="72" t="n">
        <f aca="false">COUNTIFS($D$6:D798,"&lt;&gt;"&amp;"")</f>
        <v>793</v>
      </c>
      <c r="D798" s="73" t="s">
        <v>12</v>
      </c>
      <c r="E798" s="76" t="str">
        <f aca="false">
IF($D798="정상",INDEX(임대자산!$D$3:$R$3000,MATCH($F798,임대자산!$I$3:$I$3000,0),MATCH(E$3,임대자산!$D$3:$R$3,0)),
IF($D798="폐업",INDEX(폐업정보!$D$3:$R$3000,MATCH($F798,폐업정보!$I$3:$I$3000,0),MATCH(E$3,폐업정보!$D$3:$R$3,0)),
"Error"))</f>
        <v>경상</v>
      </c>
      <c r="F79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B0793</v>
      </c>
      <c r="G798" s="76" t="str">
        <f aca="false">F798&amp;RANDBETWEEN(0,10)</f>
        <v>B07939</v>
      </c>
      <c r="H798" s="75" t="n">
        <f aca="false">
IF($D798="정상",INDEX(임대자산!$D$3:$R$3000,MATCH($F798,임대자산!$I$3:$I$3000,0),MATCH(H$4,임대자산!$D$3:$R$3,0)),
IF($D798="폐업",INDEX(폐업정보!$D$3:$R$3000,MATCH($F798,폐업정보!$I$3:$I$3000,0),MATCH(H$4,폐업정보!$D$3:$R$3,0)),
"Error"))</f>
        <v>44566</v>
      </c>
      <c r="I798" s="75" t="str">
        <f aca="false">
IF($D798="정상",INDEX(임대자산!$D$3:$R$3000,MATCH($F798,임대자산!$I$3:$I$3000,0),MATCH(I$4,임대자산!$D$3:$R$3,0)),
IF($D798="폐업",INDEX(폐업정보!$D$3:$R$3000,MATCH($F798,폐업정보!$I$3:$I$3000,0),MATCH(I$4,폐업정보!$D$3:$R$3,0)),
"Error"))</f>
        <v>A0793</v>
      </c>
      <c r="J798" s="75" t="str">
        <f aca="false">
IF($D798="정상",INDEX(임대자산!$D$3:$R$3000,MATCH($F798,임대자산!$I$3:$I$3000,0),MATCH(J$4,임대자산!$D$3:$R$3,0)),
IF($D798="폐업",INDEX(폐업정보!$D$3:$R$3000,MATCH($F798,폐업정보!$I$3:$I$3000,0),MATCH(J$4,폐업정보!$D$3:$R$3,0)),
"Error"))</f>
        <v>3717500000</v>
      </c>
      <c r="K798" s="75" t="str">
        <f aca="false">
IF($D798="정상",INDEX(임대자산!$D$3:$R$3000,MATCH($F798,임대자산!$I$3:$I$3000,0),MATCH(K$4,임대자산!$D$3:$R$3,0)),
IF($D798="폐업",INDEX(폐업정보!$D$3:$R$3000,MATCH($F798,폐업정보!$I$3:$I$3000,0),MATCH(K$4,폐업정보!$D$3:$R$3,0)),
"Error"))</f>
        <v>C0793</v>
      </c>
      <c r="L798" s="75" t="str">
        <f aca="false">
IF($D798="정상",INDEX(임대자산!$D$3:$R$3000,MATCH($F798,임대자산!$I$3:$I$3000,0),MATCH(L$4,임대자산!$D$3:$R$3,0)),
IF($D798="폐업",INDEX(폐업정보!$D$3:$R$3000,MATCH($F798,폐업정보!$I$3:$I$3000,0),MATCH(L$4,폐업정보!$D$3:$R$3,0)),
"Error"))</f>
        <v>D0793</v>
      </c>
      <c r="M798" s="76" t="s">
        <v>96</v>
      </c>
      <c r="N798" s="77"/>
      <c r="O798" s="78" t="s">
        <v>97</v>
      </c>
      <c r="P798" s="79" t="n">
        <f aca="false">COUNTIFS(임대자산!$I:$I,가맹점정보!F798,임대자산!$N:$N,가맹점정보!P$4)</f>
        <v>0</v>
      </c>
      <c r="Q798" s="80" t="n">
        <f aca="false">COUNTIFS(임대자산!$I:$I,가맹점정보!F798,임대자산!$N:$N,가맹점정보!Q$4)</f>
        <v>1</v>
      </c>
      <c r="R798" s="81" t="n">
        <f aca="false">COUNTIFS(임대자산!$I:$I,가맹점정보!F798,임대자산!$N:$N,가맹점정보!R$4)</f>
        <v>0</v>
      </c>
      <c r="S798" s="82" t="n">
        <v>55000</v>
      </c>
      <c r="T798" s="83" t="n">
        <v>0</v>
      </c>
      <c r="U798" s="80" t="n">
        <f aca="false">SUM(S798:T798)</f>
        <v>55000</v>
      </c>
      <c r="V798" s="84" t="s">
        <v>12</v>
      </c>
      <c r="W798" s="80" t="e">
        <f aca="true">
IF(D798="폐업","폐업",
IF(V798="면제","면제",
IF(AND(V798="정상",COUNTIFS(OFFSET(Y798,0,COUNTA(Y798:AV798)-1,1,-4),"미납")&gt;=3),"장기미납",
IF(AND(V798="정상",OFFSET(Y798,0,COUNTA(Y798:AV798)-1)&gt;=U798),"정상",
IF(AND(V798="정상",OFFSET(Y798,0,COUNTA(Y798:AV798)-1)=0),"정상",
"계약서 미작성")))))</f>
        <v>#VALUE!</v>
      </c>
      <c r="X798" s="81" t="str">
        <f aca="true">
IF(D798="폐업","폐업",
IF(AND(V798="정상",OFFSET(Y798,0,COUNTA(Y798:AV798)-1)="미납"),"미납",
IF(AND(V798="정상",OFFSET(Y798,0,COUNTA(Y798:AV798)-1)=0),"납부 시작 전",
IF(AND(V798="정상",OFFSET(Y798,0,COUNTA(Y798:AV798)-1)&gt;=U798),"정상",
IF(AND(V798="면제",OFFSET(Y798,0,COUNTA(Y798:AV798)-1)="면제"),"면제",
IF(AND(V798="면제",OFFSET(Y798,0,COUNTA(Y798:AV798)-1)=0),"면제",
"확인요청"))))))</f>
        <v>정상</v>
      </c>
      <c r="Y798" s="93" t="n">
        <v>55000</v>
      </c>
      <c r="Z798" s="90" t="n">
        <v>55000</v>
      </c>
      <c r="AA798" s="90" t="n">
        <v>55000</v>
      </c>
      <c r="AB798" s="90" t="n">
        <v>55000</v>
      </c>
      <c r="AC798" s="90" t="n">
        <v>55000</v>
      </c>
      <c r="AD798" s="90" t="n">
        <v>55000</v>
      </c>
      <c r="AE798" s="90" t="n">
        <v>55000</v>
      </c>
      <c r="AF798" s="90" t="n">
        <v>55000</v>
      </c>
      <c r="AG798" s="90" t="n">
        <v>55000</v>
      </c>
      <c r="AH798" s="90" t="n">
        <v>55000</v>
      </c>
      <c r="AI798" s="90" t="n">
        <v>55000</v>
      </c>
      <c r="AJ798" s="91" t="n">
        <v>55000</v>
      </c>
      <c r="AK798" s="89" t="n">
        <v>55000</v>
      </c>
      <c r="AL798" s="90" t="n">
        <v>55000</v>
      </c>
      <c r="AM798" s="90"/>
      <c r="AN798" s="90"/>
      <c r="AO798" s="90"/>
      <c r="AP798" s="90"/>
      <c r="AQ798" s="90"/>
      <c r="AR798" s="90"/>
      <c r="AS798" s="90"/>
      <c r="AT798" s="90"/>
      <c r="AU798" s="90"/>
      <c r="AV798" s="91"/>
      <c r="AX798" s="92"/>
    </row>
    <row r="799" customFormat="false" ht="15.65" hidden="false" customHeight="false" outlineLevel="0" collapsed="false">
      <c r="C799" s="72" t="n">
        <f aca="false">COUNTIFS($D$6:D799,"&lt;&gt;"&amp;"")</f>
        <v>794</v>
      </c>
      <c r="D799" s="73" t="s">
        <v>12</v>
      </c>
      <c r="E799" s="76" t="str">
        <f aca="false">
IF($D799="정상",INDEX(임대자산!$D$3:$R$3000,MATCH($F799,임대자산!$I$3:$I$3000,0),MATCH(E$3,임대자산!$D$3:$R$3,0)),
IF($D799="폐업",INDEX(폐업정보!$D$3:$R$3000,MATCH($F799,폐업정보!$I$3:$I$3000,0),MATCH(E$3,폐업정보!$D$3:$R$3,0)),
"Error"))</f>
        <v>서울</v>
      </c>
      <c r="F79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B0794</v>
      </c>
      <c r="G799" s="76" t="str">
        <f aca="false">F799&amp;RANDBETWEEN(0,10)</f>
        <v>B07944</v>
      </c>
      <c r="H799" s="75" t="n">
        <f aca="false">
IF($D799="정상",INDEX(임대자산!$D$3:$R$3000,MATCH($F799,임대자산!$I$3:$I$3000,0),MATCH(H$4,임대자산!$D$3:$R$3,0)),
IF($D799="폐업",INDEX(폐업정보!$D$3:$R$3000,MATCH($F799,폐업정보!$I$3:$I$3000,0),MATCH(H$4,폐업정보!$D$3:$R$3,0)),
"Error"))</f>
        <v>45827</v>
      </c>
      <c r="I799" s="75" t="str">
        <f aca="false">
IF($D799="정상",INDEX(임대자산!$D$3:$R$3000,MATCH($F799,임대자산!$I$3:$I$3000,0),MATCH(I$4,임대자산!$D$3:$R$3,0)),
IF($D799="폐업",INDEX(폐업정보!$D$3:$R$3000,MATCH($F799,폐업정보!$I$3:$I$3000,0),MATCH(I$4,폐업정보!$D$3:$R$3,0)),
"Error"))</f>
        <v>A0794</v>
      </c>
      <c r="J799" s="75" t="str">
        <f aca="false">
IF($D799="정상",INDEX(임대자산!$D$3:$R$3000,MATCH($F799,임대자산!$I$3:$I$3000,0),MATCH(J$4,임대자산!$D$3:$R$3,0)),
IF($D799="폐업",INDEX(폐업정보!$D$3:$R$3000,MATCH($F799,폐업정보!$I$3:$I$3000,0),MATCH(J$4,폐업정보!$D$3:$R$3,0)),
"Error"))</f>
        <v>2718100000</v>
      </c>
      <c r="K799" s="75" t="str">
        <f aca="false">
IF($D799="정상",INDEX(임대자산!$D$3:$R$3000,MATCH($F799,임대자산!$I$3:$I$3000,0),MATCH(K$4,임대자산!$D$3:$R$3,0)),
IF($D799="폐업",INDEX(폐업정보!$D$3:$R$3000,MATCH($F799,폐업정보!$I$3:$I$3000,0),MATCH(K$4,폐업정보!$D$3:$R$3,0)),
"Error"))</f>
        <v>C0794</v>
      </c>
      <c r="L799" s="75" t="str">
        <f aca="false">
IF($D799="정상",INDEX(임대자산!$D$3:$R$3000,MATCH($F799,임대자산!$I$3:$I$3000,0),MATCH(L$4,임대자산!$D$3:$R$3,0)),
IF($D799="폐업",INDEX(폐업정보!$D$3:$R$3000,MATCH($F799,폐업정보!$I$3:$I$3000,0),MATCH(L$4,폐업정보!$D$3:$R$3,0)),
"Error"))</f>
        <v>D0794</v>
      </c>
      <c r="M799" s="76" t="s">
        <v>96</v>
      </c>
      <c r="N799" s="77"/>
      <c r="O799" s="78" t="s">
        <v>97</v>
      </c>
      <c r="P799" s="79" t="n">
        <f aca="false">COUNTIFS(임대자산!$I:$I,가맹점정보!F799,임대자산!$N:$N,가맹점정보!P$4)</f>
        <v>0</v>
      </c>
      <c r="Q799" s="80" t="n">
        <f aca="false">COUNTIFS(임대자산!$I:$I,가맹점정보!F799,임대자산!$N:$N,가맹점정보!Q$4)</f>
        <v>1</v>
      </c>
      <c r="R799" s="81" t="n">
        <f aca="false">COUNTIFS(임대자산!$I:$I,가맹점정보!F799,임대자산!$N:$N,가맹점정보!R$4)</f>
        <v>0</v>
      </c>
      <c r="S799" s="82" t="n">
        <v>55000</v>
      </c>
      <c r="T799" s="83" t="n">
        <v>0</v>
      </c>
      <c r="U799" s="80" t="n">
        <f aca="false">SUM(S799:T799)</f>
        <v>55000</v>
      </c>
      <c r="V799" s="84" t="s">
        <v>12</v>
      </c>
      <c r="W799" s="80" t="e">
        <f aca="true">
IF(D799="폐업","폐업",
IF(V799="면제","면제",
IF(AND(V799="정상",COUNTIFS(OFFSET(Y799,0,COUNTA(Y799:AV799)-1,1,-4),"미납")&gt;=3),"장기미납",
IF(AND(V799="정상",OFFSET(Y799,0,COUNTA(Y799:AV799)-1)&gt;=U799),"정상",
IF(AND(V799="정상",OFFSET(Y799,0,COUNTA(Y799:AV799)-1)=0),"정상",
"계약서 미작성")))))</f>
        <v>#VALUE!</v>
      </c>
      <c r="X799" s="81" t="str">
        <f aca="true">
IF(D799="폐업","폐업",
IF(AND(V799="정상",OFFSET(Y799,0,COUNTA(Y799:AV799)-1)="미납"),"미납",
IF(AND(V799="정상",OFFSET(Y799,0,COUNTA(Y799:AV799)-1)=0),"납부 시작 전",
IF(AND(V799="정상",OFFSET(Y799,0,COUNTA(Y799:AV799)-1)&gt;=U799),"정상",
IF(AND(V799="면제",OFFSET(Y799,0,COUNTA(Y799:AV799)-1)="면제"),"면제",
IF(AND(V799="면제",OFFSET(Y799,0,COUNTA(Y799:AV799)-1)=0),"면제",
"확인요청"))))))</f>
        <v>정상</v>
      </c>
      <c r="Y799" s="93" t="n">
        <v>55000</v>
      </c>
      <c r="Z799" s="90" t="n">
        <v>55000</v>
      </c>
      <c r="AA799" s="90" t="n">
        <v>55000</v>
      </c>
      <c r="AB799" s="90" t="n">
        <v>55000</v>
      </c>
      <c r="AC799" s="90" t="n">
        <v>55000</v>
      </c>
      <c r="AD799" s="90" t="n">
        <v>55000</v>
      </c>
      <c r="AE799" s="90" t="n">
        <v>55000</v>
      </c>
      <c r="AF799" s="90" t="n">
        <v>55000</v>
      </c>
      <c r="AG799" s="90" t="n">
        <v>55000</v>
      </c>
      <c r="AH799" s="90" t="n">
        <v>55000</v>
      </c>
      <c r="AI799" s="90" t="n">
        <v>55000</v>
      </c>
      <c r="AJ799" s="91" t="n">
        <v>55000</v>
      </c>
      <c r="AK799" s="89" t="n">
        <v>55000</v>
      </c>
      <c r="AL799" s="90" t="n">
        <v>55000</v>
      </c>
      <c r="AM799" s="90"/>
      <c r="AN799" s="90"/>
      <c r="AO799" s="90"/>
      <c r="AP799" s="90"/>
      <c r="AQ799" s="90"/>
      <c r="AR799" s="90"/>
      <c r="AS799" s="90"/>
      <c r="AT799" s="90"/>
      <c r="AU799" s="90"/>
      <c r="AV799" s="91"/>
      <c r="AX799" s="92"/>
    </row>
    <row r="800" customFormat="false" ht="15.65" hidden="false" customHeight="false" outlineLevel="0" collapsed="false">
      <c r="C800" s="72" t="n">
        <f aca="false">COUNTIFS($D$6:D800,"&lt;&gt;"&amp;"")</f>
        <v>795</v>
      </c>
      <c r="D800" s="73" t="s">
        <v>12</v>
      </c>
      <c r="E800" s="76" t="str">
        <f aca="false">
IF($D800="정상",INDEX(임대자산!$D$3:$R$3000,MATCH($F800,임대자산!$I$3:$I$3000,0),MATCH(E$3,임대자산!$D$3:$R$3,0)),
IF($D800="폐업",INDEX(폐업정보!$D$3:$R$3000,MATCH($F800,폐업정보!$I$3:$I$3000,0),MATCH(E$3,폐업정보!$D$3:$R$3,0)),
"Error"))</f>
        <v>서울</v>
      </c>
      <c r="F80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B0795</v>
      </c>
      <c r="G800" s="76" t="str">
        <f aca="false">F800&amp;RANDBETWEEN(0,10)</f>
        <v>B07952</v>
      </c>
      <c r="H800" s="75" t="n">
        <f aca="false">
IF($D800="정상",INDEX(임대자산!$D$3:$R$3000,MATCH($F800,임대자산!$I$3:$I$3000,0),MATCH(H$4,임대자산!$D$3:$R$3,0)),
IF($D800="폐업",INDEX(폐업정보!$D$3:$R$3000,MATCH($F800,폐업정보!$I$3:$I$3000,0),MATCH(H$4,폐업정보!$D$3:$R$3,0)),
"Error"))</f>
        <v>45468</v>
      </c>
      <c r="I800" s="75" t="str">
        <f aca="false">
IF($D800="정상",INDEX(임대자산!$D$3:$R$3000,MATCH($F800,임대자산!$I$3:$I$3000,0),MATCH(I$4,임대자산!$D$3:$R$3,0)),
IF($D800="폐업",INDEX(폐업정보!$D$3:$R$3000,MATCH($F800,폐업정보!$I$3:$I$3000,0),MATCH(I$4,폐업정보!$D$3:$R$3,0)),
"Error"))</f>
        <v>A0795</v>
      </c>
      <c r="J800" s="75" t="str">
        <f aca="false">
IF($D800="정상",INDEX(임대자산!$D$3:$R$3000,MATCH($F800,임대자산!$I$3:$I$3000,0),MATCH(J$4,임대자산!$D$3:$R$3,0)),
IF($D800="폐업",INDEX(폐업정보!$D$3:$R$3000,MATCH($F800,폐업정보!$I$3:$I$3000,0),MATCH(J$4,폐업정보!$D$3:$R$3,0)),
"Error"))</f>
        <v>3044100000</v>
      </c>
      <c r="K800" s="75" t="str">
        <f aca="false">
IF($D800="정상",INDEX(임대자산!$D$3:$R$3000,MATCH($F800,임대자산!$I$3:$I$3000,0),MATCH(K$4,임대자산!$D$3:$R$3,0)),
IF($D800="폐업",INDEX(폐업정보!$D$3:$R$3000,MATCH($F800,폐업정보!$I$3:$I$3000,0),MATCH(K$4,폐업정보!$D$3:$R$3,0)),
"Error"))</f>
        <v>C0795</v>
      </c>
      <c r="L800" s="75" t="str">
        <f aca="false">
IF($D800="정상",INDEX(임대자산!$D$3:$R$3000,MATCH($F800,임대자산!$I$3:$I$3000,0),MATCH(L$4,임대자산!$D$3:$R$3,0)),
IF($D800="폐업",INDEX(폐업정보!$D$3:$R$3000,MATCH($F800,폐업정보!$I$3:$I$3000,0),MATCH(L$4,폐업정보!$D$3:$R$3,0)),
"Error"))</f>
        <v>D0795</v>
      </c>
      <c r="M800" s="76" t="s">
        <v>96</v>
      </c>
      <c r="N800" s="77"/>
      <c r="O800" s="78" t="s">
        <v>97</v>
      </c>
      <c r="P800" s="79" t="n">
        <f aca="false">COUNTIFS(임대자산!$I:$I,가맹점정보!F800,임대자산!$N:$N,가맹점정보!P$4)</f>
        <v>0</v>
      </c>
      <c r="Q800" s="80" t="n">
        <f aca="false">COUNTIFS(임대자산!$I:$I,가맹점정보!F800,임대자산!$N:$N,가맹점정보!Q$4)</f>
        <v>1</v>
      </c>
      <c r="R800" s="81" t="n">
        <f aca="false">COUNTIFS(임대자산!$I:$I,가맹점정보!F800,임대자산!$N:$N,가맹점정보!R$4)</f>
        <v>0</v>
      </c>
      <c r="S800" s="82" t="n">
        <v>88000</v>
      </c>
      <c r="T800" s="83" t="n">
        <v>0</v>
      </c>
      <c r="U800" s="80" t="n">
        <f aca="false">SUM(S800:T800)</f>
        <v>88000</v>
      </c>
      <c r="V800" s="84" t="s">
        <v>7</v>
      </c>
      <c r="W800" s="80" t="str">
        <f aca="true">
IF(D800="폐업","폐업",
IF(V800="면제","면제",
IF(AND(V800="정상",COUNTIFS(OFFSET(Y800,0,COUNTA(Y800:AV800)-1,1,-4),"미납")&gt;=3),"장기미납",
IF(AND(V800="정상",OFFSET(Y800,0,COUNTA(Y800:AV800)-1)&gt;=U800),"정상",
IF(AND(V800="정상",OFFSET(Y800,0,COUNTA(Y800:AV800)-1)=0),"정상",
"계약서 미작성")))))</f>
        <v>면제</v>
      </c>
      <c r="X800" s="81" t="str">
        <f aca="true">
IF(D800="폐업","폐업",
IF(AND(V800="정상",OFFSET(Y800,0,COUNTA(Y800:AV800)-1)="미납"),"미납",
IF(AND(V800="정상",OFFSET(Y800,0,COUNTA(Y800:AV800)-1)=0),"납부 시작 전",
IF(AND(V800="정상",OFFSET(Y800,0,COUNTA(Y800:AV800)-1)&gt;=U800),"정상",
IF(AND(V800="면제",OFFSET(Y800,0,COUNTA(Y800:AV800)-1)="면제"),"면제",
IF(AND(V800="면제",OFFSET(Y800,0,COUNTA(Y800:AV800)-1)=0),"면제",
"확인요청"))))))</f>
        <v>면제</v>
      </c>
      <c r="Y800" s="94" t="s">
        <v>7</v>
      </c>
      <c r="Z800" s="95" t="s">
        <v>7</v>
      </c>
      <c r="AA800" s="95" t="s">
        <v>7</v>
      </c>
      <c r="AB800" s="95" t="s">
        <v>7</v>
      </c>
      <c r="AC800" s="95" t="s">
        <v>7</v>
      </c>
      <c r="AD800" s="95" t="s">
        <v>7</v>
      </c>
      <c r="AE800" s="95" t="s">
        <v>7</v>
      </c>
      <c r="AF800" s="95" t="s">
        <v>7</v>
      </c>
      <c r="AG800" s="95" t="s">
        <v>7</v>
      </c>
      <c r="AH800" s="95" t="s">
        <v>7</v>
      </c>
      <c r="AI800" s="95" t="s">
        <v>7</v>
      </c>
      <c r="AJ800" s="96" t="s">
        <v>7</v>
      </c>
      <c r="AK800" s="97" t="s">
        <v>7</v>
      </c>
      <c r="AL800" s="95" t="s">
        <v>7</v>
      </c>
      <c r="AM800" s="90"/>
      <c r="AN800" s="90"/>
      <c r="AO800" s="90"/>
      <c r="AP800" s="90"/>
      <c r="AQ800" s="90"/>
      <c r="AR800" s="90"/>
      <c r="AS800" s="90"/>
      <c r="AT800" s="90"/>
      <c r="AU800" s="90"/>
      <c r="AV800" s="91"/>
      <c r="AX800" s="92"/>
    </row>
    <row r="801" customFormat="false" ht="15.65" hidden="false" customHeight="false" outlineLevel="0" collapsed="false">
      <c r="C801" s="72" t="n">
        <f aca="false">COUNTIFS($D$6:D801,"&lt;&gt;"&amp;"")</f>
        <v>796</v>
      </c>
      <c r="D801" s="73" t="s">
        <v>12</v>
      </c>
      <c r="E801" s="76" t="str">
        <f aca="false">
IF($D801="정상",INDEX(임대자산!$D$3:$R$3000,MATCH($F801,임대자산!$I$3:$I$3000,0),MATCH(E$3,임대자산!$D$3:$R$3,0)),
IF($D801="폐업",INDEX(폐업정보!$D$3:$R$3000,MATCH($F801,폐업정보!$I$3:$I$3000,0),MATCH(E$3,폐업정보!$D$3:$R$3,0)),
"Error"))</f>
        <v>서울</v>
      </c>
      <c r="F80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B0796</v>
      </c>
      <c r="G801" s="76" t="str">
        <f aca="false">F801&amp;RANDBETWEEN(0,10)</f>
        <v>B07960</v>
      </c>
      <c r="H801" s="75" t="n">
        <f aca="false">
IF($D801="정상",INDEX(임대자산!$D$3:$R$3000,MATCH($F801,임대자산!$I$3:$I$3000,0),MATCH(H$4,임대자산!$D$3:$R$3,0)),
IF($D801="폐업",INDEX(폐업정보!$D$3:$R$3000,MATCH($F801,폐업정보!$I$3:$I$3000,0),MATCH(H$4,폐업정보!$D$3:$R$3,0)),
"Error"))</f>
        <v>45484</v>
      </c>
      <c r="I801" s="75" t="str">
        <f aca="false">
IF($D801="정상",INDEX(임대자산!$D$3:$R$3000,MATCH($F801,임대자산!$I$3:$I$3000,0),MATCH(I$4,임대자산!$D$3:$R$3,0)),
IF($D801="폐업",INDEX(폐업정보!$D$3:$R$3000,MATCH($F801,폐업정보!$I$3:$I$3000,0),MATCH(I$4,폐업정보!$D$3:$R$3,0)),
"Error"))</f>
        <v>A0796</v>
      </c>
      <c r="J801" s="75" t="str">
        <f aca="false">
IF($D801="정상",INDEX(임대자산!$D$3:$R$3000,MATCH($F801,임대자산!$I$3:$I$3000,0),MATCH(J$4,임대자산!$D$3:$R$3,0)),
IF($D801="폐업",INDEX(폐업정보!$D$3:$R$3000,MATCH($F801,폐업정보!$I$3:$I$3000,0),MATCH(J$4,폐업정보!$D$3:$R$3,0)),
"Error"))</f>
        <v>4604900000</v>
      </c>
      <c r="K801" s="75" t="str">
        <f aca="false">
IF($D801="정상",INDEX(임대자산!$D$3:$R$3000,MATCH($F801,임대자산!$I$3:$I$3000,0),MATCH(K$4,임대자산!$D$3:$R$3,0)),
IF($D801="폐업",INDEX(폐업정보!$D$3:$R$3000,MATCH($F801,폐업정보!$I$3:$I$3000,0),MATCH(K$4,폐업정보!$D$3:$R$3,0)),
"Error"))</f>
        <v>C0796</v>
      </c>
      <c r="L801" s="75" t="str">
        <f aca="false">
IF($D801="정상",INDEX(임대자산!$D$3:$R$3000,MATCH($F801,임대자산!$I$3:$I$3000,0),MATCH(L$4,임대자산!$D$3:$R$3,0)),
IF($D801="폐업",INDEX(폐업정보!$D$3:$R$3000,MATCH($F801,폐업정보!$I$3:$I$3000,0),MATCH(L$4,폐업정보!$D$3:$R$3,0)),
"Error"))</f>
        <v>D0796</v>
      </c>
      <c r="M801" s="76" t="s">
        <v>96</v>
      </c>
      <c r="N801" s="77"/>
      <c r="O801" s="78" t="s">
        <v>97</v>
      </c>
      <c r="P801" s="79" t="n">
        <f aca="false">COUNTIFS(임대자산!$I:$I,가맹점정보!F801,임대자산!$N:$N,가맹점정보!P$4)</f>
        <v>0</v>
      </c>
      <c r="Q801" s="80" t="n">
        <f aca="false">COUNTIFS(임대자산!$I:$I,가맹점정보!F801,임대자산!$N:$N,가맹점정보!Q$4)</f>
        <v>1</v>
      </c>
      <c r="R801" s="81" t="n">
        <f aca="false">COUNTIFS(임대자산!$I:$I,가맹점정보!F801,임대자산!$N:$N,가맹점정보!R$4)</f>
        <v>0</v>
      </c>
      <c r="S801" s="82" t="n">
        <v>55000</v>
      </c>
      <c r="T801" s="83" t="n">
        <v>0</v>
      </c>
      <c r="U801" s="80" t="n">
        <f aca="false">SUM(S801:T801)</f>
        <v>55000</v>
      </c>
      <c r="V801" s="84" t="s">
        <v>12</v>
      </c>
      <c r="W801" s="80" t="e">
        <f aca="true">
IF(D801="폐업","폐업",
IF(V801="면제","면제",
IF(AND(V801="정상",COUNTIFS(OFFSET(Y801,0,COUNTA(Y801:AV801)-1,1,-4),"미납")&gt;=3),"장기미납",
IF(AND(V801="정상",OFFSET(Y801,0,COUNTA(Y801:AV801)-1)&gt;=U801),"정상",
IF(AND(V801="정상",OFFSET(Y801,0,COUNTA(Y801:AV801)-1)=0),"정상",
"계약서 미작성")))))</f>
        <v>#VALUE!</v>
      </c>
      <c r="X801" s="81" t="str">
        <f aca="true">
IF(D801="폐업","폐업",
IF(AND(V801="정상",OFFSET(Y801,0,COUNTA(Y801:AV801)-1)="미납"),"미납",
IF(AND(V801="정상",OFFSET(Y801,0,COUNTA(Y801:AV801)-1)=0),"납부 시작 전",
IF(AND(V801="정상",OFFSET(Y801,0,COUNTA(Y801:AV801)-1)&gt;=U801),"정상",
IF(AND(V801="면제",OFFSET(Y801,0,COUNTA(Y801:AV801)-1)="면제"),"면제",
IF(AND(V801="면제",OFFSET(Y801,0,COUNTA(Y801:AV801)-1)=0),"면제",
"확인요청"))))))</f>
        <v>정상</v>
      </c>
      <c r="Y801" s="93" t="n">
        <v>55000</v>
      </c>
      <c r="Z801" s="90" t="n">
        <v>55000</v>
      </c>
      <c r="AA801" s="90" t="n">
        <v>55000</v>
      </c>
      <c r="AB801" s="90" t="n">
        <v>55000</v>
      </c>
      <c r="AC801" s="90" t="n">
        <v>55000</v>
      </c>
      <c r="AD801" s="90" t="n">
        <v>55000</v>
      </c>
      <c r="AE801" s="90" t="n">
        <v>55000</v>
      </c>
      <c r="AF801" s="90" t="n">
        <v>55000</v>
      </c>
      <c r="AG801" s="90" t="n">
        <v>55000</v>
      </c>
      <c r="AH801" s="90" t="n">
        <v>55000</v>
      </c>
      <c r="AI801" s="90" t="n">
        <v>55000</v>
      </c>
      <c r="AJ801" s="91" t="n">
        <v>55000</v>
      </c>
      <c r="AK801" s="89" t="n">
        <v>55000</v>
      </c>
      <c r="AL801" s="90" t="n">
        <v>55000</v>
      </c>
      <c r="AM801" s="90"/>
      <c r="AN801" s="90"/>
      <c r="AO801" s="90"/>
      <c r="AP801" s="90"/>
      <c r="AQ801" s="90"/>
      <c r="AR801" s="90"/>
      <c r="AS801" s="90"/>
      <c r="AT801" s="90"/>
      <c r="AU801" s="90"/>
      <c r="AV801" s="91"/>
      <c r="AX801" s="92"/>
    </row>
    <row r="802" customFormat="false" ht="15.65" hidden="false" customHeight="false" outlineLevel="0" collapsed="false">
      <c r="C802" s="72" t="n">
        <f aca="false">COUNTIFS($D$6:D802,"&lt;&gt;"&amp;"")</f>
        <v>797</v>
      </c>
      <c r="D802" s="73" t="s">
        <v>12</v>
      </c>
      <c r="E802" s="76" t="str">
        <f aca="false">
IF($D802="정상",INDEX(임대자산!$D$3:$R$3000,MATCH($F802,임대자산!$I$3:$I$3000,0),MATCH(E$3,임대자산!$D$3:$R$3,0)),
IF($D802="폐업",INDEX(폐업정보!$D$3:$R$3000,MATCH($F802,폐업정보!$I$3:$I$3000,0),MATCH(E$3,폐업정보!$D$3:$R$3,0)),
"Error"))</f>
        <v>경기</v>
      </c>
      <c r="F80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B0797</v>
      </c>
      <c r="G802" s="76" t="str">
        <f aca="false">F802&amp;RANDBETWEEN(0,10)</f>
        <v>B07978</v>
      </c>
      <c r="H802" s="75" t="n">
        <f aca="false">
IF($D802="정상",INDEX(임대자산!$D$3:$R$3000,MATCH($F802,임대자산!$I$3:$I$3000,0),MATCH(H$4,임대자산!$D$3:$R$3,0)),
IF($D802="폐업",INDEX(폐업정보!$D$3:$R$3000,MATCH($F802,폐업정보!$I$3:$I$3000,0),MATCH(H$4,폐업정보!$D$3:$R$3,0)),
"Error"))</f>
        <v>45918</v>
      </c>
      <c r="I802" s="75" t="str">
        <f aca="false">
IF($D802="정상",INDEX(임대자산!$D$3:$R$3000,MATCH($F802,임대자산!$I$3:$I$3000,0),MATCH(I$4,임대자산!$D$3:$R$3,0)),
IF($D802="폐업",INDEX(폐업정보!$D$3:$R$3000,MATCH($F802,폐업정보!$I$3:$I$3000,0),MATCH(I$4,폐업정보!$D$3:$R$3,0)),
"Error"))</f>
        <v>A0797</v>
      </c>
      <c r="J802" s="75" t="str">
        <f aca="false">
IF($D802="정상",INDEX(임대자산!$D$3:$R$3000,MATCH($F802,임대자산!$I$3:$I$3000,0),MATCH(J$4,임대자산!$D$3:$R$3,0)),
IF($D802="폐업",INDEX(폐업정보!$D$3:$R$3000,MATCH($F802,폐업정보!$I$3:$I$3000,0),MATCH(J$4,폐업정보!$D$3:$R$3,0)),
"Error"))</f>
        <v>2142900000</v>
      </c>
      <c r="K802" s="75" t="str">
        <f aca="false">
IF($D802="정상",INDEX(임대자산!$D$3:$R$3000,MATCH($F802,임대자산!$I$3:$I$3000,0),MATCH(K$4,임대자산!$D$3:$R$3,0)),
IF($D802="폐업",INDEX(폐업정보!$D$3:$R$3000,MATCH($F802,폐업정보!$I$3:$I$3000,0),MATCH(K$4,폐업정보!$D$3:$R$3,0)),
"Error"))</f>
        <v>C0797</v>
      </c>
      <c r="L802" s="75" t="str">
        <f aca="false">
IF($D802="정상",INDEX(임대자산!$D$3:$R$3000,MATCH($F802,임대자산!$I$3:$I$3000,0),MATCH(L$4,임대자산!$D$3:$R$3,0)),
IF($D802="폐업",INDEX(폐업정보!$D$3:$R$3000,MATCH($F802,폐업정보!$I$3:$I$3000,0),MATCH(L$4,폐업정보!$D$3:$R$3,0)),
"Error"))</f>
        <v>D0797</v>
      </c>
      <c r="M802" s="76" t="s">
        <v>96</v>
      </c>
      <c r="N802" s="77"/>
      <c r="O802" s="78" t="s">
        <v>97</v>
      </c>
      <c r="P802" s="79" t="n">
        <f aca="false">COUNTIFS(임대자산!$I:$I,가맹점정보!F802,임대자산!$N:$N,가맹점정보!P$4)</f>
        <v>0</v>
      </c>
      <c r="Q802" s="80" t="n">
        <f aca="false">COUNTIFS(임대자산!$I:$I,가맹점정보!F802,임대자산!$N:$N,가맹점정보!Q$4)</f>
        <v>1</v>
      </c>
      <c r="R802" s="81" t="n">
        <f aca="false">COUNTIFS(임대자산!$I:$I,가맹점정보!F802,임대자산!$N:$N,가맹점정보!R$4)</f>
        <v>0</v>
      </c>
      <c r="S802" s="82" t="n">
        <v>55000</v>
      </c>
      <c r="T802" s="83" t="n">
        <v>0</v>
      </c>
      <c r="U802" s="80" t="n">
        <f aca="false">SUM(S802:T802)</f>
        <v>55000</v>
      </c>
      <c r="V802" s="84" t="s">
        <v>12</v>
      </c>
      <c r="W802" s="80" t="e">
        <f aca="true">
IF(D802="폐업","폐업",
IF(V802="면제","면제",
IF(AND(V802="정상",COUNTIFS(OFFSET(Y802,0,COUNTA(Y802:AV802)-1,1,-4),"미납")&gt;=3),"장기미납",
IF(AND(V802="정상",OFFSET(Y802,0,COUNTA(Y802:AV802)-1)&gt;=U802),"정상",
IF(AND(V802="정상",OFFSET(Y802,0,COUNTA(Y802:AV802)-1)=0),"정상",
"계약서 미작성")))))</f>
        <v>#VALUE!</v>
      </c>
      <c r="X802" s="81" t="str">
        <f aca="true">
IF(D802="폐업","폐업",
IF(AND(V802="정상",OFFSET(Y802,0,COUNTA(Y802:AV802)-1)="미납"),"미납",
IF(AND(V802="정상",OFFSET(Y802,0,COUNTA(Y802:AV802)-1)=0),"납부 시작 전",
IF(AND(V802="정상",OFFSET(Y802,0,COUNTA(Y802:AV802)-1)&gt;=U802),"정상",
IF(AND(V802="면제",OFFSET(Y802,0,COUNTA(Y802:AV802)-1)="면제"),"면제",
IF(AND(V802="면제",OFFSET(Y802,0,COUNTA(Y802:AV802)-1)=0),"면제",
"확인요청"))))))</f>
        <v>정상</v>
      </c>
      <c r="Y802" s="93" t="n">
        <v>55000</v>
      </c>
      <c r="Z802" s="90" t="n">
        <v>55000</v>
      </c>
      <c r="AA802" s="90" t="n">
        <v>55000</v>
      </c>
      <c r="AB802" s="90" t="n">
        <v>55000</v>
      </c>
      <c r="AC802" s="90" t="n">
        <v>55000</v>
      </c>
      <c r="AD802" s="90" t="n">
        <v>55000</v>
      </c>
      <c r="AE802" s="90" t="n">
        <v>55000</v>
      </c>
      <c r="AF802" s="90" t="n">
        <v>55000</v>
      </c>
      <c r="AG802" s="90" t="n">
        <v>55000</v>
      </c>
      <c r="AH802" s="90" t="n">
        <v>55000</v>
      </c>
      <c r="AI802" s="90" t="n">
        <v>55000</v>
      </c>
      <c r="AJ802" s="91" t="n">
        <v>55000</v>
      </c>
      <c r="AK802" s="89" t="n">
        <v>55000</v>
      </c>
      <c r="AL802" s="90" t="n">
        <v>55000</v>
      </c>
      <c r="AM802" s="90"/>
      <c r="AN802" s="90"/>
      <c r="AO802" s="90"/>
      <c r="AP802" s="90"/>
      <c r="AQ802" s="90"/>
      <c r="AR802" s="90"/>
      <c r="AS802" s="90"/>
      <c r="AT802" s="90"/>
      <c r="AU802" s="90"/>
      <c r="AV802" s="91"/>
      <c r="AX802" s="92"/>
    </row>
    <row r="803" customFormat="false" ht="15.65" hidden="false" customHeight="false" outlineLevel="0" collapsed="false">
      <c r="C803" s="72" t="n">
        <f aca="false">COUNTIFS($D$6:D803,"&lt;&gt;"&amp;"")</f>
        <v>798</v>
      </c>
      <c r="D803" s="73" t="s">
        <v>12</v>
      </c>
      <c r="E803" s="76" t="str">
        <f aca="false">
IF($D803="정상",INDEX(임대자산!$D$3:$R$3000,MATCH($F803,임대자산!$I$3:$I$3000,0),MATCH(E$3,임대자산!$D$3:$R$3,0)),
IF($D803="폐업",INDEX(폐업정보!$D$3:$R$3000,MATCH($F803,폐업정보!$I$3:$I$3000,0),MATCH(E$3,폐업정보!$D$3:$R$3,0)),
"Error"))</f>
        <v>경기</v>
      </c>
      <c r="F80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B0798</v>
      </c>
      <c r="G803" s="76" t="str">
        <f aca="false">F803&amp;RANDBETWEEN(0,10)</f>
        <v>B07989</v>
      </c>
      <c r="H803" s="75" t="n">
        <f aca="false">
IF($D803="정상",INDEX(임대자산!$D$3:$R$3000,MATCH($F803,임대자산!$I$3:$I$3000,0),MATCH(H$4,임대자산!$D$3:$R$3,0)),
IF($D803="폐업",INDEX(폐업정보!$D$3:$R$3000,MATCH($F803,폐업정보!$I$3:$I$3000,0),MATCH(H$4,폐업정보!$D$3:$R$3,0)),
"Error"))</f>
        <v>45491</v>
      </c>
      <c r="I803" s="75" t="str">
        <f aca="false">
IF($D803="정상",INDEX(임대자산!$D$3:$R$3000,MATCH($F803,임대자산!$I$3:$I$3000,0),MATCH(I$4,임대자산!$D$3:$R$3,0)),
IF($D803="폐업",INDEX(폐업정보!$D$3:$R$3000,MATCH($F803,폐업정보!$I$3:$I$3000,0),MATCH(I$4,폐업정보!$D$3:$R$3,0)),
"Error"))</f>
        <v>A0798</v>
      </c>
      <c r="J803" s="75" t="str">
        <f aca="false">
IF($D803="정상",INDEX(임대자산!$D$3:$R$3000,MATCH($F803,임대자산!$I$3:$I$3000,0),MATCH(J$4,임대자산!$D$3:$R$3,0)),
IF($D803="폐업",INDEX(폐업정보!$D$3:$R$3000,MATCH($F803,폐업정보!$I$3:$I$3000,0),MATCH(J$4,폐업정보!$D$3:$R$3,0)),
"Error"))</f>
        <v>9967100000</v>
      </c>
      <c r="K803" s="75" t="str">
        <f aca="false">
IF($D803="정상",INDEX(임대자산!$D$3:$R$3000,MATCH($F803,임대자산!$I$3:$I$3000,0),MATCH(K$4,임대자산!$D$3:$R$3,0)),
IF($D803="폐업",INDEX(폐업정보!$D$3:$R$3000,MATCH($F803,폐업정보!$I$3:$I$3000,0),MATCH(K$4,폐업정보!$D$3:$R$3,0)),
"Error"))</f>
        <v>C0798</v>
      </c>
      <c r="L803" s="75" t="str">
        <f aca="false">
IF($D803="정상",INDEX(임대자산!$D$3:$R$3000,MATCH($F803,임대자산!$I$3:$I$3000,0),MATCH(L$4,임대자산!$D$3:$R$3,0)),
IF($D803="폐업",INDEX(폐업정보!$D$3:$R$3000,MATCH($F803,폐업정보!$I$3:$I$3000,0),MATCH(L$4,폐업정보!$D$3:$R$3,0)),
"Error"))</f>
        <v>D0798</v>
      </c>
      <c r="M803" s="76" t="s">
        <v>96</v>
      </c>
      <c r="N803" s="77"/>
      <c r="O803" s="78" t="s">
        <v>97</v>
      </c>
      <c r="P803" s="79" t="n">
        <f aca="false">COUNTIFS(임대자산!$I:$I,가맹점정보!F803,임대자산!$N:$N,가맹점정보!P$4)</f>
        <v>0</v>
      </c>
      <c r="Q803" s="80" t="n">
        <f aca="false">COUNTIFS(임대자산!$I:$I,가맹점정보!F803,임대자산!$N:$N,가맹점정보!Q$4)</f>
        <v>1</v>
      </c>
      <c r="R803" s="81" t="n">
        <f aca="false">COUNTIFS(임대자산!$I:$I,가맹점정보!F803,임대자산!$N:$N,가맹점정보!R$4)</f>
        <v>0</v>
      </c>
      <c r="S803" s="82" t="n">
        <v>110000</v>
      </c>
      <c r="T803" s="83" t="n">
        <v>0</v>
      </c>
      <c r="U803" s="80" t="n">
        <f aca="false">SUM(S803:T803)</f>
        <v>110000</v>
      </c>
      <c r="V803" s="84" t="s">
        <v>12</v>
      </c>
      <c r="W803" s="80" t="e">
        <f aca="true">
IF(D803="폐업","폐업",
IF(V803="면제","면제",
IF(AND(V803="정상",COUNTIFS(OFFSET(Y803,0,COUNTA(Y803:AV803)-1,1,-4),"미납")&gt;=3),"장기미납",
IF(AND(V803="정상",OFFSET(Y803,0,COUNTA(Y803:AV803)-1)&gt;=U803),"정상",
IF(AND(V803="정상",OFFSET(Y803,0,COUNTA(Y803:AV803)-1)=0),"정상",
"계약서 미작성")))))</f>
        <v>#VALUE!</v>
      </c>
      <c r="X803" s="81" t="str">
        <f aca="true">
IF(D803="폐업","폐업",
IF(AND(V803="정상",OFFSET(Y803,0,COUNTA(Y803:AV803)-1)="미납"),"미납",
IF(AND(V803="정상",OFFSET(Y803,0,COUNTA(Y803:AV803)-1)=0),"납부 시작 전",
IF(AND(V803="정상",OFFSET(Y803,0,COUNTA(Y803:AV803)-1)&gt;=U803),"정상",
IF(AND(V803="면제",OFFSET(Y803,0,COUNTA(Y803:AV803)-1)="면제"),"면제",
IF(AND(V803="면제",OFFSET(Y803,0,COUNTA(Y803:AV803)-1)=0),"면제",
"확인요청"))))))</f>
        <v>정상</v>
      </c>
      <c r="Y803" s="93" t="n">
        <v>110000</v>
      </c>
      <c r="Z803" s="90" t="n">
        <v>110000</v>
      </c>
      <c r="AA803" s="90" t="n">
        <v>110000</v>
      </c>
      <c r="AB803" s="90" t="n">
        <v>110000</v>
      </c>
      <c r="AC803" s="90" t="n">
        <v>110000</v>
      </c>
      <c r="AD803" s="90" t="n">
        <v>110000</v>
      </c>
      <c r="AE803" s="90" t="n">
        <v>110000</v>
      </c>
      <c r="AF803" s="90" t="n">
        <v>110000</v>
      </c>
      <c r="AG803" s="90" t="n">
        <v>110000</v>
      </c>
      <c r="AH803" s="90" t="n">
        <v>110000</v>
      </c>
      <c r="AI803" s="90" t="n">
        <v>110000</v>
      </c>
      <c r="AJ803" s="91" t="n">
        <v>110000</v>
      </c>
      <c r="AK803" s="89" t="n">
        <v>110000</v>
      </c>
      <c r="AL803" s="90" t="n">
        <v>110000</v>
      </c>
      <c r="AM803" s="90"/>
      <c r="AN803" s="90"/>
      <c r="AO803" s="90"/>
      <c r="AP803" s="90"/>
      <c r="AQ803" s="90"/>
      <c r="AR803" s="90"/>
      <c r="AS803" s="90"/>
      <c r="AT803" s="90"/>
      <c r="AU803" s="90"/>
      <c r="AV803" s="91"/>
      <c r="AX803" s="92"/>
    </row>
    <row r="804" customFormat="false" ht="15.65" hidden="false" customHeight="false" outlineLevel="0" collapsed="false">
      <c r="C804" s="72" t="n">
        <f aca="false">COUNTIFS($D$6:D804,"&lt;&gt;"&amp;"")</f>
        <v>799</v>
      </c>
      <c r="D804" s="73" t="s">
        <v>12</v>
      </c>
      <c r="E804" s="76" t="str">
        <f aca="false">
IF($D804="정상",INDEX(임대자산!$D$3:$R$3000,MATCH($F804,임대자산!$I$3:$I$3000,0),MATCH(E$3,임대자산!$D$3:$R$3,0)),
IF($D804="폐업",INDEX(폐업정보!$D$3:$R$3000,MATCH($F804,폐업정보!$I$3:$I$3000,0),MATCH(E$3,폐업정보!$D$3:$R$3,0)),
"Error"))</f>
        <v>서울</v>
      </c>
      <c r="F80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B0799</v>
      </c>
      <c r="G804" s="76" t="str">
        <f aca="false">F804&amp;RANDBETWEEN(0,10)</f>
        <v>B07994</v>
      </c>
      <c r="H804" s="75" t="n">
        <f aca="false">
IF($D804="정상",INDEX(임대자산!$D$3:$R$3000,MATCH($F804,임대자산!$I$3:$I$3000,0),MATCH(H$4,임대자산!$D$3:$R$3,0)),
IF($D804="폐업",INDEX(폐업정보!$D$3:$R$3000,MATCH($F804,폐업정보!$I$3:$I$3000,0),MATCH(H$4,폐업정보!$D$3:$R$3,0)),
"Error"))</f>
        <v>45420</v>
      </c>
      <c r="I804" s="75" t="str">
        <f aca="false">
IF($D804="정상",INDEX(임대자산!$D$3:$R$3000,MATCH($F804,임대자산!$I$3:$I$3000,0),MATCH(I$4,임대자산!$D$3:$R$3,0)),
IF($D804="폐업",INDEX(폐업정보!$D$3:$R$3000,MATCH($F804,폐업정보!$I$3:$I$3000,0),MATCH(I$4,폐업정보!$D$3:$R$3,0)),
"Error"))</f>
        <v>A0799</v>
      </c>
      <c r="J804" s="75" t="str">
        <f aca="false">
IF($D804="정상",INDEX(임대자산!$D$3:$R$3000,MATCH($F804,임대자산!$I$3:$I$3000,0),MATCH(J$4,임대자산!$D$3:$R$3,0)),
IF($D804="폐업",INDEX(폐업정보!$D$3:$R$3000,MATCH($F804,폐업정보!$I$3:$I$3000,0),MATCH(J$4,폐업정보!$D$3:$R$3,0)),
"Error"))</f>
        <v>4097600000</v>
      </c>
      <c r="K804" s="75" t="str">
        <f aca="false">
IF($D804="정상",INDEX(임대자산!$D$3:$R$3000,MATCH($F804,임대자산!$I$3:$I$3000,0),MATCH(K$4,임대자산!$D$3:$R$3,0)),
IF($D804="폐업",INDEX(폐업정보!$D$3:$R$3000,MATCH($F804,폐업정보!$I$3:$I$3000,0),MATCH(K$4,폐업정보!$D$3:$R$3,0)),
"Error"))</f>
        <v>C0799</v>
      </c>
      <c r="L804" s="75" t="str">
        <f aca="false">
IF($D804="정상",INDEX(임대자산!$D$3:$R$3000,MATCH($F804,임대자산!$I$3:$I$3000,0),MATCH(L$4,임대자산!$D$3:$R$3,0)),
IF($D804="폐업",INDEX(폐업정보!$D$3:$R$3000,MATCH($F804,폐업정보!$I$3:$I$3000,0),MATCH(L$4,폐업정보!$D$3:$R$3,0)),
"Error"))</f>
        <v>D0799</v>
      </c>
      <c r="M804" s="76" t="s">
        <v>96</v>
      </c>
      <c r="N804" s="77"/>
      <c r="O804" s="78" t="s">
        <v>97</v>
      </c>
      <c r="P804" s="79" t="n">
        <f aca="false">COUNTIFS(임대자산!$I:$I,가맹점정보!F804,임대자산!$N:$N,가맹점정보!P$4)</f>
        <v>0</v>
      </c>
      <c r="Q804" s="80" t="n">
        <f aca="false">COUNTIFS(임대자산!$I:$I,가맹점정보!F804,임대자산!$N:$N,가맹점정보!Q$4)</f>
        <v>1</v>
      </c>
      <c r="R804" s="81" t="n">
        <f aca="false">COUNTIFS(임대자산!$I:$I,가맹점정보!F804,임대자산!$N:$N,가맹점정보!R$4)</f>
        <v>0</v>
      </c>
      <c r="S804" s="82" t="n">
        <v>55000</v>
      </c>
      <c r="T804" s="83" t="n">
        <v>0</v>
      </c>
      <c r="U804" s="80" t="n">
        <f aca="false">SUM(S804:T804)</f>
        <v>55000</v>
      </c>
      <c r="V804" s="84" t="s">
        <v>12</v>
      </c>
      <c r="W804" s="80" t="e">
        <f aca="true">
IF(D804="폐업","폐업",
IF(V804="면제","면제",
IF(AND(V804="정상",COUNTIFS(OFFSET(Y804,0,COUNTA(Y804:AV804)-1,1,-4),"미납")&gt;=3),"장기미납",
IF(AND(V804="정상",OFFSET(Y804,0,COUNTA(Y804:AV804)-1)&gt;=U804),"정상",
IF(AND(V804="정상",OFFSET(Y804,0,COUNTA(Y804:AV804)-1)=0),"정상",
"계약서 미작성")))))</f>
        <v>#VALUE!</v>
      </c>
      <c r="X804" s="81" t="str">
        <f aca="true">
IF(D804="폐업","폐업",
IF(AND(V804="정상",OFFSET(Y804,0,COUNTA(Y804:AV804)-1)="미납"),"미납",
IF(AND(V804="정상",OFFSET(Y804,0,COUNTA(Y804:AV804)-1)=0),"납부 시작 전",
IF(AND(V804="정상",OFFSET(Y804,0,COUNTA(Y804:AV804)-1)&gt;=U804),"정상",
IF(AND(V804="면제",OFFSET(Y804,0,COUNTA(Y804:AV804)-1)="면제"),"면제",
IF(AND(V804="면제",OFFSET(Y804,0,COUNTA(Y804:AV804)-1)=0),"면제",
"확인요청"))))))</f>
        <v>정상</v>
      </c>
      <c r="Y804" s="93" t="n">
        <v>55000</v>
      </c>
      <c r="Z804" s="90" t="n">
        <v>55000</v>
      </c>
      <c r="AA804" s="90" t="n">
        <v>55000</v>
      </c>
      <c r="AB804" s="90" t="n">
        <v>55000</v>
      </c>
      <c r="AC804" s="90" t="n">
        <v>55000</v>
      </c>
      <c r="AD804" s="90" t="n">
        <v>55000</v>
      </c>
      <c r="AE804" s="90" t="n">
        <v>55000</v>
      </c>
      <c r="AF804" s="90" t="n">
        <v>55000</v>
      </c>
      <c r="AG804" s="90" t="n">
        <v>55000</v>
      </c>
      <c r="AH804" s="90" t="n">
        <v>55000</v>
      </c>
      <c r="AI804" s="90" t="n">
        <v>55000</v>
      </c>
      <c r="AJ804" s="91" t="n">
        <v>55000</v>
      </c>
      <c r="AK804" s="89" t="n">
        <v>55000</v>
      </c>
      <c r="AL804" s="90" t="n">
        <v>55000</v>
      </c>
      <c r="AM804" s="90"/>
      <c r="AN804" s="90"/>
      <c r="AO804" s="90"/>
      <c r="AP804" s="90"/>
      <c r="AQ804" s="90"/>
      <c r="AR804" s="90"/>
      <c r="AS804" s="90"/>
      <c r="AT804" s="90"/>
      <c r="AU804" s="90"/>
      <c r="AV804" s="91"/>
      <c r="AX804" s="92"/>
    </row>
    <row r="805" customFormat="false" ht="15.65" hidden="false" customHeight="false" outlineLevel="0" collapsed="false">
      <c r="C805" s="72" t="n">
        <f aca="false">COUNTIFS($D$6:D805,"&lt;&gt;"&amp;"")</f>
        <v>800</v>
      </c>
      <c r="D805" s="73" t="s">
        <v>12</v>
      </c>
      <c r="E805" s="76" t="str">
        <f aca="false">
IF($D805="정상",INDEX(임대자산!$D$3:$R$3000,MATCH($F805,임대자산!$I$3:$I$3000,0),MATCH(E$3,임대자산!$D$3:$R$3,0)),
IF($D805="폐업",INDEX(폐업정보!$D$3:$R$3000,MATCH($F805,폐업정보!$I$3:$I$3000,0),MATCH(E$3,폐업정보!$D$3:$R$3,0)),
"Error"))</f>
        <v>강원</v>
      </c>
      <c r="F80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B0800</v>
      </c>
      <c r="G805" s="76" t="str">
        <f aca="false">F805&amp;RANDBETWEEN(0,10)</f>
        <v>B08008</v>
      </c>
      <c r="H805" s="75" t="n">
        <f aca="false">
IF($D805="정상",INDEX(임대자산!$D$3:$R$3000,MATCH($F805,임대자산!$I$3:$I$3000,0),MATCH(H$4,임대자산!$D$3:$R$3,0)),
IF($D805="폐업",INDEX(폐업정보!$D$3:$R$3000,MATCH($F805,폐업정보!$I$3:$I$3000,0),MATCH(H$4,폐업정보!$D$3:$R$3,0)),
"Error"))</f>
        <v>46062</v>
      </c>
      <c r="I805" s="75" t="str">
        <f aca="false">
IF($D805="정상",INDEX(임대자산!$D$3:$R$3000,MATCH($F805,임대자산!$I$3:$I$3000,0),MATCH(I$4,임대자산!$D$3:$R$3,0)),
IF($D805="폐업",INDEX(폐업정보!$D$3:$R$3000,MATCH($F805,폐업정보!$I$3:$I$3000,0),MATCH(I$4,폐업정보!$D$3:$R$3,0)),
"Error"))</f>
        <v>A0800</v>
      </c>
      <c r="J805" s="75" t="str">
        <f aca="false">
IF($D805="정상",INDEX(임대자산!$D$3:$R$3000,MATCH($F805,임대자산!$I$3:$I$3000,0),MATCH(J$4,임대자산!$D$3:$R$3,0)),
IF($D805="폐업",INDEX(폐업정보!$D$3:$R$3000,MATCH($F805,폐업정보!$I$3:$I$3000,0),MATCH(J$4,폐업정보!$D$3:$R$3,0)),
"Error"))</f>
        <v>8538300000</v>
      </c>
      <c r="K805" s="75" t="str">
        <f aca="false">
IF($D805="정상",INDEX(임대자산!$D$3:$R$3000,MATCH($F805,임대자산!$I$3:$I$3000,0),MATCH(K$4,임대자산!$D$3:$R$3,0)),
IF($D805="폐업",INDEX(폐업정보!$D$3:$R$3000,MATCH($F805,폐업정보!$I$3:$I$3000,0),MATCH(K$4,폐업정보!$D$3:$R$3,0)),
"Error"))</f>
        <v>C0800</v>
      </c>
      <c r="L805" s="75" t="str">
        <f aca="false">
IF($D805="정상",INDEX(임대자산!$D$3:$R$3000,MATCH($F805,임대자산!$I$3:$I$3000,0),MATCH(L$4,임대자산!$D$3:$R$3,0)),
IF($D805="폐업",INDEX(폐업정보!$D$3:$R$3000,MATCH($F805,폐업정보!$I$3:$I$3000,0),MATCH(L$4,폐업정보!$D$3:$R$3,0)),
"Error"))</f>
        <v>D0800</v>
      </c>
      <c r="M805" s="76" t="s">
        <v>96</v>
      </c>
      <c r="N805" s="77"/>
      <c r="O805" s="78" t="s">
        <v>97</v>
      </c>
      <c r="P805" s="79" t="n">
        <f aca="false">COUNTIFS(임대자산!$I:$I,가맹점정보!F805,임대자산!$N:$N,가맹점정보!P$4)</f>
        <v>0</v>
      </c>
      <c r="Q805" s="80" t="n">
        <f aca="false">COUNTIFS(임대자산!$I:$I,가맹점정보!F805,임대자산!$N:$N,가맹점정보!Q$4)</f>
        <v>1</v>
      </c>
      <c r="R805" s="81" t="n">
        <f aca="false">COUNTIFS(임대자산!$I:$I,가맹점정보!F805,임대자산!$N:$N,가맹점정보!R$4)</f>
        <v>0</v>
      </c>
      <c r="S805" s="82" t="n">
        <v>55000</v>
      </c>
      <c r="T805" s="83" t="n">
        <v>0</v>
      </c>
      <c r="U805" s="80" t="n">
        <f aca="false">SUM(S805:T805)</f>
        <v>55000</v>
      </c>
      <c r="V805" s="84" t="s">
        <v>12</v>
      </c>
      <c r="W805" s="80" t="e">
        <f aca="true">
IF(D805="폐업","폐업",
IF(V805="면제","면제",
IF(AND(V805="정상",COUNTIFS(OFFSET(Y805,0,COUNTA(Y805:AV805)-1,1,-4),"미납")&gt;=3),"장기미납",
IF(AND(V805="정상",OFFSET(Y805,0,COUNTA(Y805:AV805)-1)&gt;=U805),"정상",
IF(AND(V805="정상",OFFSET(Y805,0,COUNTA(Y805:AV805)-1)=0),"정상",
"계약서 미작성")))))</f>
        <v>#VALUE!</v>
      </c>
      <c r="X805" s="81" t="str">
        <f aca="true">
IF(D805="폐업","폐업",
IF(AND(V805="정상",OFFSET(Y805,0,COUNTA(Y805:AV805)-1)="미납"),"미납",
IF(AND(V805="정상",OFFSET(Y805,0,COUNTA(Y805:AV805)-1)=0),"납부 시작 전",
IF(AND(V805="정상",OFFSET(Y805,0,COUNTA(Y805:AV805)-1)&gt;=U805),"정상",
IF(AND(V805="면제",OFFSET(Y805,0,COUNTA(Y805:AV805)-1)="면제"),"면제",
IF(AND(V805="면제",OFFSET(Y805,0,COUNTA(Y805:AV805)-1)=0),"면제",
"확인요청"))))))</f>
        <v>정상</v>
      </c>
      <c r="Y805" s="93" t="n">
        <v>55000</v>
      </c>
      <c r="Z805" s="90" t="n">
        <v>55000</v>
      </c>
      <c r="AA805" s="90" t="n">
        <v>55000</v>
      </c>
      <c r="AB805" s="90" t="n">
        <v>55000</v>
      </c>
      <c r="AC805" s="90" t="n">
        <v>55000</v>
      </c>
      <c r="AD805" s="90" t="n">
        <v>55000</v>
      </c>
      <c r="AE805" s="90" t="n">
        <v>55000</v>
      </c>
      <c r="AF805" s="90" t="n">
        <v>55000</v>
      </c>
      <c r="AG805" s="90" t="n">
        <v>55000</v>
      </c>
      <c r="AH805" s="90" t="n">
        <v>55000</v>
      </c>
      <c r="AI805" s="90" t="n">
        <v>55000</v>
      </c>
      <c r="AJ805" s="91" t="n">
        <v>55000</v>
      </c>
      <c r="AK805" s="89" t="n">
        <v>55000</v>
      </c>
      <c r="AL805" s="90" t="n">
        <v>55000</v>
      </c>
      <c r="AM805" s="90"/>
      <c r="AN805" s="90"/>
      <c r="AO805" s="90"/>
      <c r="AP805" s="90"/>
      <c r="AQ805" s="90"/>
      <c r="AR805" s="90"/>
      <c r="AS805" s="90"/>
      <c r="AT805" s="90"/>
      <c r="AU805" s="90"/>
      <c r="AV805" s="91"/>
      <c r="AX805" s="92"/>
    </row>
    <row r="806" customFormat="false" ht="15.65" hidden="false" customHeight="false" outlineLevel="0" collapsed="false">
      <c r="C806" s="72" t="n">
        <f aca="false">COUNTIFS($D$6:D806,"&lt;&gt;"&amp;"")</f>
        <v>801</v>
      </c>
      <c r="D806" s="73" t="s">
        <v>12</v>
      </c>
      <c r="E806" s="76" t="str">
        <f aca="false">
IF($D806="정상",INDEX(임대자산!$D$3:$R$3000,MATCH($F806,임대자산!$I$3:$I$3000,0),MATCH(E$3,임대자산!$D$3:$R$3,0)),
IF($D806="폐업",INDEX(폐업정보!$D$3:$R$3000,MATCH($F806,폐업정보!$I$3:$I$3000,0),MATCH(E$3,폐업정보!$D$3:$R$3,0)),
"Error"))</f>
        <v>서울</v>
      </c>
      <c r="F80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B0801</v>
      </c>
      <c r="G806" s="76" t="str">
        <f aca="false">F806&amp;RANDBETWEEN(0,10)</f>
        <v>B08013</v>
      </c>
      <c r="H806" s="75" t="n">
        <f aca="false">
IF($D806="정상",INDEX(임대자산!$D$3:$R$3000,MATCH($F806,임대자산!$I$3:$I$3000,0),MATCH(H$4,임대자산!$D$3:$R$3,0)),
IF($D806="폐업",INDEX(폐업정보!$D$3:$R$3000,MATCH($F806,폐업정보!$I$3:$I$3000,0),MATCH(H$4,폐업정보!$D$3:$R$3,0)),
"Error"))</f>
        <v>44767</v>
      </c>
      <c r="I806" s="75" t="str">
        <f aca="false">
IF($D806="정상",INDEX(임대자산!$D$3:$R$3000,MATCH($F806,임대자산!$I$3:$I$3000,0),MATCH(I$4,임대자산!$D$3:$R$3,0)),
IF($D806="폐업",INDEX(폐업정보!$D$3:$R$3000,MATCH($F806,폐업정보!$I$3:$I$3000,0),MATCH(I$4,폐업정보!$D$3:$R$3,0)),
"Error"))</f>
        <v>A0801</v>
      </c>
      <c r="J806" s="75" t="str">
        <f aca="false">
IF($D806="정상",INDEX(임대자산!$D$3:$R$3000,MATCH($F806,임대자산!$I$3:$I$3000,0),MATCH(J$4,임대자산!$D$3:$R$3,0)),
IF($D806="폐업",INDEX(폐업정보!$D$3:$R$3000,MATCH($F806,폐업정보!$I$3:$I$3000,0),MATCH(J$4,폐업정보!$D$3:$R$3,0)),
"Error"))</f>
        <v>8242700000</v>
      </c>
      <c r="K806" s="75" t="str">
        <f aca="false">
IF($D806="정상",INDEX(임대자산!$D$3:$R$3000,MATCH($F806,임대자산!$I$3:$I$3000,0),MATCH(K$4,임대자산!$D$3:$R$3,0)),
IF($D806="폐업",INDEX(폐업정보!$D$3:$R$3000,MATCH($F806,폐업정보!$I$3:$I$3000,0),MATCH(K$4,폐업정보!$D$3:$R$3,0)),
"Error"))</f>
        <v>C0801</v>
      </c>
      <c r="L806" s="75" t="str">
        <f aca="false">
IF($D806="정상",INDEX(임대자산!$D$3:$R$3000,MATCH($F806,임대자산!$I$3:$I$3000,0),MATCH(L$4,임대자산!$D$3:$R$3,0)),
IF($D806="폐업",INDEX(폐업정보!$D$3:$R$3000,MATCH($F806,폐업정보!$I$3:$I$3000,0),MATCH(L$4,폐업정보!$D$3:$R$3,0)),
"Error"))</f>
        <v>D0801</v>
      </c>
      <c r="M806" s="76" t="s">
        <v>96</v>
      </c>
      <c r="N806" s="77"/>
      <c r="O806" s="78" t="s">
        <v>97</v>
      </c>
      <c r="P806" s="79" t="n">
        <f aca="false">COUNTIFS(임대자산!$I:$I,가맹점정보!F806,임대자산!$N:$N,가맹점정보!P$4)</f>
        <v>0</v>
      </c>
      <c r="Q806" s="80" t="n">
        <f aca="false">COUNTIFS(임대자산!$I:$I,가맹점정보!F806,임대자산!$N:$N,가맹점정보!Q$4)</f>
        <v>1</v>
      </c>
      <c r="R806" s="81" t="n">
        <f aca="false">COUNTIFS(임대자산!$I:$I,가맹점정보!F806,임대자산!$N:$N,가맹점정보!R$4)</f>
        <v>0</v>
      </c>
      <c r="S806" s="82" t="n">
        <v>55000</v>
      </c>
      <c r="T806" s="83" t="n">
        <v>0</v>
      </c>
      <c r="U806" s="80" t="n">
        <f aca="false">SUM(S806:T806)</f>
        <v>55000</v>
      </c>
      <c r="V806" s="84" t="s">
        <v>12</v>
      </c>
      <c r="W806" s="80" t="e">
        <f aca="true">
IF(D806="폐업","폐업",
IF(V806="면제","면제",
IF(AND(V806="정상",COUNTIFS(OFFSET(Y806,0,COUNTA(Y806:AV806)-1,1,-4),"미납")&gt;=3),"장기미납",
IF(AND(V806="정상",OFFSET(Y806,0,COUNTA(Y806:AV806)-1)&gt;=U806),"정상",
IF(AND(V806="정상",OFFSET(Y806,0,COUNTA(Y806:AV806)-1)=0),"정상",
"계약서 미작성")))))</f>
        <v>#VALUE!</v>
      </c>
      <c r="X806" s="81" t="str">
        <f aca="true">
IF(D806="폐업","폐업",
IF(AND(V806="정상",OFFSET(Y806,0,COUNTA(Y806:AV806)-1)="미납"),"미납",
IF(AND(V806="정상",OFFSET(Y806,0,COUNTA(Y806:AV806)-1)=0),"납부 시작 전",
IF(AND(V806="정상",OFFSET(Y806,0,COUNTA(Y806:AV806)-1)&gt;=U806),"정상",
IF(AND(V806="면제",OFFSET(Y806,0,COUNTA(Y806:AV806)-1)="면제"),"면제",
IF(AND(V806="면제",OFFSET(Y806,0,COUNTA(Y806:AV806)-1)=0),"면제",
"확인요청"))))))</f>
        <v>정상</v>
      </c>
      <c r="Y806" s="93" t="n">
        <v>55000</v>
      </c>
      <c r="Z806" s="90" t="n">
        <v>55000</v>
      </c>
      <c r="AA806" s="90" t="n">
        <v>55000</v>
      </c>
      <c r="AB806" s="90" t="n">
        <v>55000</v>
      </c>
      <c r="AC806" s="90" t="n">
        <v>55000</v>
      </c>
      <c r="AD806" s="90" t="n">
        <v>55000</v>
      </c>
      <c r="AE806" s="90" t="n">
        <v>55000</v>
      </c>
      <c r="AF806" s="90" t="s">
        <v>105</v>
      </c>
      <c r="AG806" s="90" t="n">
        <v>110000</v>
      </c>
      <c r="AH806" s="90" t="n">
        <v>55000</v>
      </c>
      <c r="AI806" s="90" t="n">
        <v>55000</v>
      </c>
      <c r="AJ806" s="91" t="n">
        <v>55000</v>
      </c>
      <c r="AK806" s="89" t="n">
        <v>55000</v>
      </c>
      <c r="AL806" s="90" t="n">
        <v>55000</v>
      </c>
      <c r="AM806" s="90"/>
      <c r="AN806" s="90"/>
      <c r="AO806" s="90"/>
      <c r="AP806" s="90"/>
      <c r="AQ806" s="90"/>
      <c r="AR806" s="90"/>
      <c r="AS806" s="90"/>
      <c r="AT806" s="90"/>
      <c r="AU806" s="90"/>
      <c r="AV806" s="91"/>
      <c r="AX806" s="92"/>
    </row>
    <row r="807" customFormat="false" ht="15.65" hidden="false" customHeight="false" outlineLevel="0" collapsed="false">
      <c r="C807" s="72" t="n">
        <f aca="false">COUNTIFS($D$6:D807,"&lt;&gt;"&amp;"")</f>
        <v>802</v>
      </c>
      <c r="D807" s="73" t="s">
        <v>12</v>
      </c>
      <c r="E807" s="76" t="str">
        <f aca="false">
IF($D807="정상",INDEX(임대자산!$D$3:$R$3000,MATCH($F807,임대자산!$I$3:$I$3000,0),MATCH(E$3,임대자산!$D$3:$R$3,0)),
IF($D807="폐업",INDEX(폐업정보!$D$3:$R$3000,MATCH($F807,폐업정보!$I$3:$I$3000,0),MATCH(E$3,폐업정보!$D$3:$R$3,0)),
"Error"))</f>
        <v>경기</v>
      </c>
      <c r="F80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B0802</v>
      </c>
      <c r="G807" s="76" t="str">
        <f aca="false">F807&amp;RANDBETWEEN(0,10)</f>
        <v>B08029</v>
      </c>
      <c r="H807" s="75" t="n">
        <f aca="false">
IF($D807="정상",INDEX(임대자산!$D$3:$R$3000,MATCH($F807,임대자산!$I$3:$I$3000,0),MATCH(H$4,임대자산!$D$3:$R$3,0)),
IF($D807="폐업",INDEX(폐업정보!$D$3:$R$3000,MATCH($F807,폐업정보!$I$3:$I$3000,0),MATCH(H$4,폐업정보!$D$3:$R$3,0)),
"Error"))</f>
        <v>45498</v>
      </c>
      <c r="I807" s="75" t="str">
        <f aca="false">
IF($D807="정상",INDEX(임대자산!$D$3:$R$3000,MATCH($F807,임대자산!$I$3:$I$3000,0),MATCH(I$4,임대자산!$D$3:$R$3,0)),
IF($D807="폐업",INDEX(폐업정보!$D$3:$R$3000,MATCH($F807,폐업정보!$I$3:$I$3000,0),MATCH(I$4,폐업정보!$D$3:$R$3,0)),
"Error"))</f>
        <v>A0802</v>
      </c>
      <c r="J807" s="75" t="str">
        <f aca="false">
IF($D807="정상",INDEX(임대자산!$D$3:$R$3000,MATCH($F807,임대자산!$I$3:$I$3000,0),MATCH(J$4,임대자산!$D$3:$R$3,0)),
IF($D807="폐업",INDEX(폐업정보!$D$3:$R$3000,MATCH($F807,폐업정보!$I$3:$I$3000,0),MATCH(J$4,폐업정보!$D$3:$R$3,0)),
"Error"))</f>
        <v>3055800000</v>
      </c>
      <c r="K807" s="75" t="str">
        <f aca="false">
IF($D807="정상",INDEX(임대자산!$D$3:$R$3000,MATCH($F807,임대자산!$I$3:$I$3000,0),MATCH(K$4,임대자산!$D$3:$R$3,0)),
IF($D807="폐업",INDEX(폐업정보!$D$3:$R$3000,MATCH($F807,폐업정보!$I$3:$I$3000,0),MATCH(K$4,폐업정보!$D$3:$R$3,0)),
"Error"))</f>
        <v>C0802</v>
      </c>
      <c r="L807" s="75" t="str">
        <f aca="false">
IF($D807="정상",INDEX(임대자산!$D$3:$R$3000,MATCH($F807,임대자산!$I$3:$I$3000,0),MATCH(L$4,임대자산!$D$3:$R$3,0)),
IF($D807="폐업",INDEX(폐업정보!$D$3:$R$3000,MATCH($F807,폐업정보!$I$3:$I$3000,0),MATCH(L$4,폐업정보!$D$3:$R$3,0)),
"Error"))</f>
        <v>D0802</v>
      </c>
      <c r="M807" s="76" t="s">
        <v>96</v>
      </c>
      <c r="N807" s="77"/>
      <c r="O807" s="78" t="s">
        <v>97</v>
      </c>
      <c r="P807" s="79" t="n">
        <f aca="false">COUNTIFS(임대자산!$I:$I,가맹점정보!F807,임대자산!$N:$N,가맹점정보!P$4)</f>
        <v>0</v>
      </c>
      <c r="Q807" s="80" t="n">
        <f aca="false">COUNTIFS(임대자산!$I:$I,가맹점정보!F807,임대자산!$N:$N,가맹점정보!Q$4)</f>
        <v>1</v>
      </c>
      <c r="R807" s="81" t="n">
        <f aca="false">COUNTIFS(임대자산!$I:$I,가맹점정보!F807,임대자산!$N:$N,가맹점정보!R$4)</f>
        <v>0</v>
      </c>
      <c r="S807" s="82" t="n">
        <v>55000</v>
      </c>
      <c r="T807" s="83" t="n">
        <v>0</v>
      </c>
      <c r="U807" s="80" t="n">
        <f aca="false">SUM(S807:T807)</f>
        <v>55000</v>
      </c>
      <c r="V807" s="84" t="s">
        <v>7</v>
      </c>
      <c r="W807" s="80" t="str">
        <f aca="true">
IF(D807="폐업","폐업",
IF(V807="면제","면제",
IF(AND(V807="정상",COUNTIFS(OFFSET(Y807,0,COUNTA(Y807:AV807)-1,1,-4),"미납")&gt;=3),"장기미납",
IF(AND(V807="정상",OFFSET(Y807,0,COUNTA(Y807:AV807)-1)&gt;=U807),"정상",
IF(AND(V807="정상",OFFSET(Y807,0,COUNTA(Y807:AV807)-1)=0),"정상",
"계약서 미작성")))))</f>
        <v>면제</v>
      </c>
      <c r="X807" s="81" t="str">
        <f aca="true">
IF(D807="폐업","폐업",
IF(AND(V807="정상",OFFSET(Y807,0,COUNTA(Y807:AV807)-1)="미납"),"미납",
IF(AND(V807="정상",OFFSET(Y807,0,COUNTA(Y807:AV807)-1)=0),"납부 시작 전",
IF(AND(V807="정상",OFFSET(Y807,0,COUNTA(Y807:AV807)-1)&gt;=U807),"정상",
IF(AND(V807="면제",OFFSET(Y807,0,COUNTA(Y807:AV807)-1)="면제"),"면제",
IF(AND(V807="면제",OFFSET(Y807,0,COUNTA(Y807:AV807)-1)=0),"면제",
"확인요청"))))))</f>
        <v>면제</v>
      </c>
      <c r="Y807" s="94" t="s">
        <v>7</v>
      </c>
      <c r="Z807" s="95" t="s">
        <v>7</v>
      </c>
      <c r="AA807" s="95" t="s">
        <v>7</v>
      </c>
      <c r="AB807" s="95" t="s">
        <v>7</v>
      </c>
      <c r="AC807" s="95" t="s">
        <v>7</v>
      </c>
      <c r="AD807" s="95" t="s">
        <v>7</v>
      </c>
      <c r="AE807" s="95" t="s">
        <v>7</v>
      </c>
      <c r="AF807" s="95" t="s">
        <v>7</v>
      </c>
      <c r="AG807" s="95" t="s">
        <v>7</v>
      </c>
      <c r="AH807" s="95" t="s">
        <v>7</v>
      </c>
      <c r="AI807" s="95" t="s">
        <v>7</v>
      </c>
      <c r="AJ807" s="96" t="s">
        <v>7</v>
      </c>
      <c r="AK807" s="97" t="s">
        <v>7</v>
      </c>
      <c r="AL807" s="95" t="s">
        <v>7</v>
      </c>
      <c r="AM807" s="90"/>
      <c r="AN807" s="90"/>
      <c r="AO807" s="90"/>
      <c r="AP807" s="90"/>
      <c r="AQ807" s="90"/>
      <c r="AR807" s="90"/>
      <c r="AS807" s="90"/>
      <c r="AT807" s="90"/>
      <c r="AU807" s="90"/>
      <c r="AV807" s="91"/>
      <c r="AX807" s="92"/>
    </row>
    <row r="808" customFormat="false" ht="15.65" hidden="false" customHeight="false" outlineLevel="0" collapsed="false">
      <c r="C808" s="72" t="n">
        <f aca="false">COUNTIFS($D$6:D808,"&lt;&gt;"&amp;"")</f>
        <v>803</v>
      </c>
      <c r="D808" s="73" t="s">
        <v>12</v>
      </c>
      <c r="E808" s="76" t="str">
        <f aca="false">
IF($D808="정상",INDEX(임대자산!$D$3:$R$3000,MATCH($F808,임대자산!$I$3:$I$3000,0),MATCH(E$3,임대자산!$D$3:$R$3,0)),
IF($D808="폐업",INDEX(폐업정보!$D$3:$R$3000,MATCH($F808,폐업정보!$I$3:$I$3000,0),MATCH(E$3,폐업정보!$D$3:$R$3,0)),
"Error"))</f>
        <v>서울</v>
      </c>
      <c r="F80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B0803</v>
      </c>
      <c r="G808" s="76" t="str">
        <f aca="false">F808&amp;RANDBETWEEN(0,10)</f>
        <v>B080310</v>
      </c>
      <c r="H808" s="75" t="n">
        <f aca="false">
IF($D808="정상",INDEX(임대자산!$D$3:$R$3000,MATCH($F808,임대자산!$I$3:$I$3000,0),MATCH(H$4,임대자산!$D$3:$R$3,0)),
IF($D808="폐업",INDEX(폐업정보!$D$3:$R$3000,MATCH($F808,폐업정보!$I$3:$I$3000,0),MATCH(H$4,폐업정보!$D$3:$R$3,0)),
"Error"))</f>
        <v>45776</v>
      </c>
      <c r="I808" s="75" t="str">
        <f aca="false">
IF($D808="정상",INDEX(임대자산!$D$3:$R$3000,MATCH($F808,임대자산!$I$3:$I$3000,0),MATCH(I$4,임대자산!$D$3:$R$3,0)),
IF($D808="폐업",INDEX(폐업정보!$D$3:$R$3000,MATCH($F808,폐업정보!$I$3:$I$3000,0),MATCH(I$4,폐업정보!$D$3:$R$3,0)),
"Error"))</f>
        <v>A0803</v>
      </c>
      <c r="J808" s="75" t="str">
        <f aca="false">
IF($D808="정상",INDEX(임대자산!$D$3:$R$3000,MATCH($F808,임대자산!$I$3:$I$3000,0),MATCH(J$4,임대자산!$D$3:$R$3,0)),
IF($D808="폐업",INDEX(폐업정보!$D$3:$R$3000,MATCH($F808,폐업정보!$I$3:$I$3000,0),MATCH(J$4,폐업정보!$D$3:$R$3,0)),
"Error"))</f>
        <v>9658200000</v>
      </c>
      <c r="K808" s="75" t="str">
        <f aca="false">
IF($D808="정상",INDEX(임대자산!$D$3:$R$3000,MATCH($F808,임대자산!$I$3:$I$3000,0),MATCH(K$4,임대자산!$D$3:$R$3,0)),
IF($D808="폐업",INDEX(폐업정보!$D$3:$R$3000,MATCH($F808,폐업정보!$I$3:$I$3000,0),MATCH(K$4,폐업정보!$D$3:$R$3,0)),
"Error"))</f>
        <v>C0803</v>
      </c>
      <c r="L808" s="75" t="str">
        <f aca="false">
IF($D808="정상",INDEX(임대자산!$D$3:$R$3000,MATCH($F808,임대자산!$I$3:$I$3000,0),MATCH(L$4,임대자산!$D$3:$R$3,0)),
IF($D808="폐업",INDEX(폐업정보!$D$3:$R$3000,MATCH($F808,폐업정보!$I$3:$I$3000,0),MATCH(L$4,폐업정보!$D$3:$R$3,0)),
"Error"))</f>
        <v>D0803</v>
      </c>
      <c r="M808" s="76" t="s">
        <v>96</v>
      </c>
      <c r="N808" s="77"/>
      <c r="O808" s="78" t="s">
        <v>97</v>
      </c>
      <c r="P808" s="79" t="n">
        <f aca="false">COUNTIFS(임대자산!$I:$I,가맹점정보!F808,임대자산!$N:$N,가맹점정보!P$4)</f>
        <v>0</v>
      </c>
      <c r="Q808" s="80" t="n">
        <f aca="false">COUNTIFS(임대자산!$I:$I,가맹점정보!F808,임대자산!$N:$N,가맹점정보!Q$4)</f>
        <v>1</v>
      </c>
      <c r="R808" s="81" t="n">
        <f aca="false">COUNTIFS(임대자산!$I:$I,가맹점정보!F808,임대자산!$N:$N,가맹점정보!R$4)</f>
        <v>0</v>
      </c>
      <c r="S808" s="82" t="n">
        <v>55000</v>
      </c>
      <c r="T808" s="83" t="n">
        <v>0</v>
      </c>
      <c r="U808" s="80" t="n">
        <f aca="false">SUM(S808:T808)</f>
        <v>55000</v>
      </c>
      <c r="V808" s="84" t="s">
        <v>12</v>
      </c>
      <c r="W808" s="80" t="e">
        <f aca="true">
IF(D808="폐업","폐업",
IF(V808="면제","면제",
IF(AND(V808="정상",COUNTIFS(OFFSET(Y808,0,COUNTA(Y808:AV808)-1,1,-4),"미납")&gt;=3),"장기미납",
IF(AND(V808="정상",OFFSET(Y808,0,COUNTA(Y808:AV808)-1)&gt;=U808),"정상",
IF(AND(V808="정상",OFFSET(Y808,0,COUNTA(Y808:AV808)-1)=0),"정상",
"계약서 미작성")))))</f>
        <v>#VALUE!</v>
      </c>
      <c r="X808" s="81" t="str">
        <f aca="true">
IF(D808="폐업","폐업",
IF(AND(V808="정상",OFFSET(Y808,0,COUNTA(Y808:AV808)-1)="미납"),"미납",
IF(AND(V808="정상",OFFSET(Y808,0,COUNTA(Y808:AV808)-1)=0),"납부 시작 전",
IF(AND(V808="정상",OFFSET(Y808,0,COUNTA(Y808:AV808)-1)&gt;=U808),"정상",
IF(AND(V808="면제",OFFSET(Y808,0,COUNTA(Y808:AV808)-1)="면제"),"면제",
IF(AND(V808="면제",OFFSET(Y808,0,COUNTA(Y808:AV808)-1)=0),"면제",
"확인요청"))))))</f>
        <v>정상</v>
      </c>
      <c r="Y808" s="93" t="n">
        <v>55000</v>
      </c>
      <c r="Z808" s="90" t="n">
        <v>55000</v>
      </c>
      <c r="AA808" s="90" t="n">
        <v>55000</v>
      </c>
      <c r="AB808" s="90" t="n">
        <v>55000</v>
      </c>
      <c r="AC808" s="90" t="n">
        <v>55000</v>
      </c>
      <c r="AD808" s="90" t="n">
        <v>55000</v>
      </c>
      <c r="AE808" s="90" t="n">
        <v>55000</v>
      </c>
      <c r="AF808" s="90" t="n">
        <v>55000</v>
      </c>
      <c r="AG808" s="90" t="n">
        <v>55000</v>
      </c>
      <c r="AH808" s="90" t="n">
        <v>55000</v>
      </c>
      <c r="AI808" s="90" t="n">
        <v>55000</v>
      </c>
      <c r="AJ808" s="91" t="n">
        <v>55000</v>
      </c>
      <c r="AK808" s="89" t="n">
        <v>55000</v>
      </c>
      <c r="AL808" s="90" t="n">
        <v>55000</v>
      </c>
      <c r="AM808" s="90"/>
      <c r="AN808" s="90"/>
      <c r="AO808" s="90"/>
      <c r="AP808" s="90"/>
      <c r="AQ808" s="90"/>
      <c r="AR808" s="90"/>
      <c r="AS808" s="90"/>
      <c r="AT808" s="90"/>
      <c r="AU808" s="90"/>
      <c r="AV808" s="91"/>
      <c r="AX808" s="92"/>
    </row>
    <row r="809" customFormat="false" ht="15.65" hidden="false" customHeight="false" outlineLevel="0" collapsed="false">
      <c r="C809" s="72" t="n">
        <f aca="false">COUNTIFS($D$6:D809,"&lt;&gt;"&amp;"")</f>
        <v>804</v>
      </c>
      <c r="D809" s="73" t="s">
        <v>12</v>
      </c>
      <c r="E809" s="76" t="str">
        <f aca="false">
IF($D809="정상",INDEX(임대자산!$D$3:$R$3000,MATCH($F809,임대자산!$I$3:$I$3000,0),MATCH(E$3,임대자산!$D$3:$R$3,0)),
IF($D809="폐업",INDEX(폐업정보!$D$3:$R$3000,MATCH($F809,폐업정보!$I$3:$I$3000,0),MATCH(E$3,폐업정보!$D$3:$R$3,0)),
"Error"))</f>
        <v>서울</v>
      </c>
      <c r="F80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B0804</v>
      </c>
      <c r="G809" s="76" t="str">
        <f aca="false">F809&amp;RANDBETWEEN(0,10)</f>
        <v>B08043</v>
      </c>
      <c r="H809" s="75" t="n">
        <f aca="false">
IF($D809="정상",INDEX(임대자산!$D$3:$R$3000,MATCH($F809,임대자산!$I$3:$I$3000,0),MATCH(H$4,임대자산!$D$3:$R$3,0)),
IF($D809="폐업",INDEX(폐업정보!$D$3:$R$3000,MATCH($F809,폐업정보!$I$3:$I$3000,0),MATCH(H$4,폐업정보!$D$3:$R$3,0)),
"Error"))</f>
        <v>45491</v>
      </c>
      <c r="I809" s="75" t="str">
        <f aca="false">
IF($D809="정상",INDEX(임대자산!$D$3:$R$3000,MATCH($F809,임대자산!$I$3:$I$3000,0),MATCH(I$4,임대자산!$D$3:$R$3,0)),
IF($D809="폐업",INDEX(폐업정보!$D$3:$R$3000,MATCH($F809,폐업정보!$I$3:$I$3000,0),MATCH(I$4,폐업정보!$D$3:$R$3,0)),
"Error"))</f>
        <v>A0804</v>
      </c>
      <c r="J809" s="75" t="str">
        <f aca="false">
IF($D809="정상",INDEX(임대자산!$D$3:$R$3000,MATCH($F809,임대자산!$I$3:$I$3000,0),MATCH(J$4,임대자산!$D$3:$R$3,0)),
IF($D809="폐업",INDEX(폐업정보!$D$3:$R$3000,MATCH($F809,폐업정보!$I$3:$I$3000,0),MATCH(J$4,폐업정보!$D$3:$R$3,0)),
"Error"))</f>
        <v>5430300000</v>
      </c>
      <c r="K809" s="75" t="str">
        <f aca="false">
IF($D809="정상",INDEX(임대자산!$D$3:$R$3000,MATCH($F809,임대자산!$I$3:$I$3000,0),MATCH(K$4,임대자산!$D$3:$R$3,0)),
IF($D809="폐업",INDEX(폐업정보!$D$3:$R$3000,MATCH($F809,폐업정보!$I$3:$I$3000,0),MATCH(K$4,폐업정보!$D$3:$R$3,0)),
"Error"))</f>
        <v>C0804</v>
      </c>
      <c r="L809" s="75" t="str">
        <f aca="false">
IF($D809="정상",INDEX(임대자산!$D$3:$R$3000,MATCH($F809,임대자산!$I$3:$I$3000,0),MATCH(L$4,임대자산!$D$3:$R$3,0)),
IF($D809="폐업",INDEX(폐업정보!$D$3:$R$3000,MATCH($F809,폐업정보!$I$3:$I$3000,0),MATCH(L$4,폐업정보!$D$3:$R$3,0)),
"Error"))</f>
        <v>D0804</v>
      </c>
      <c r="M809" s="76" t="s">
        <v>96</v>
      </c>
      <c r="N809" s="77"/>
      <c r="O809" s="78" t="s">
        <v>97</v>
      </c>
      <c r="P809" s="79" t="n">
        <f aca="false">COUNTIFS(임대자산!$I:$I,가맹점정보!F809,임대자산!$N:$N,가맹점정보!P$4)</f>
        <v>0</v>
      </c>
      <c r="Q809" s="80" t="n">
        <f aca="false">COUNTIFS(임대자산!$I:$I,가맹점정보!F809,임대자산!$N:$N,가맹점정보!Q$4)</f>
        <v>1</v>
      </c>
      <c r="R809" s="81" t="n">
        <f aca="false">COUNTIFS(임대자산!$I:$I,가맹점정보!F809,임대자산!$N:$N,가맹점정보!R$4)</f>
        <v>0</v>
      </c>
      <c r="S809" s="82" t="n">
        <v>55000</v>
      </c>
      <c r="T809" s="83" t="n">
        <v>0</v>
      </c>
      <c r="U809" s="80" t="n">
        <f aca="false">SUM(S809:T809)</f>
        <v>55000</v>
      </c>
      <c r="V809" s="84" t="s">
        <v>7</v>
      </c>
      <c r="W809" s="80" t="str">
        <f aca="true">
IF(D809="폐업","폐업",
IF(V809="면제","면제",
IF(AND(V809="정상",COUNTIFS(OFFSET(Y809,0,COUNTA(Y809:AV809)-1,1,-4),"미납")&gt;=3),"장기미납",
IF(AND(V809="정상",OFFSET(Y809,0,COUNTA(Y809:AV809)-1)&gt;=U809),"정상",
IF(AND(V809="정상",OFFSET(Y809,0,COUNTA(Y809:AV809)-1)=0),"정상",
"계약서 미작성")))))</f>
        <v>면제</v>
      </c>
      <c r="X809" s="81" t="str">
        <f aca="true">
IF(D809="폐업","폐업",
IF(AND(V809="정상",OFFSET(Y809,0,COUNTA(Y809:AV809)-1)="미납"),"미납",
IF(AND(V809="정상",OFFSET(Y809,0,COUNTA(Y809:AV809)-1)=0),"납부 시작 전",
IF(AND(V809="정상",OFFSET(Y809,0,COUNTA(Y809:AV809)-1)&gt;=U809),"정상",
IF(AND(V809="면제",OFFSET(Y809,0,COUNTA(Y809:AV809)-1)="면제"),"면제",
IF(AND(V809="면제",OFFSET(Y809,0,COUNTA(Y809:AV809)-1)=0),"면제",
"확인요청"))))))</f>
        <v>면제</v>
      </c>
      <c r="Y809" s="94" t="s">
        <v>7</v>
      </c>
      <c r="Z809" s="95" t="s">
        <v>7</v>
      </c>
      <c r="AA809" s="95" t="s">
        <v>7</v>
      </c>
      <c r="AB809" s="95" t="s">
        <v>7</v>
      </c>
      <c r="AC809" s="95" t="s">
        <v>7</v>
      </c>
      <c r="AD809" s="95" t="s">
        <v>7</v>
      </c>
      <c r="AE809" s="95" t="s">
        <v>7</v>
      </c>
      <c r="AF809" s="95" t="s">
        <v>7</v>
      </c>
      <c r="AG809" s="95" t="s">
        <v>7</v>
      </c>
      <c r="AH809" s="95" t="s">
        <v>7</v>
      </c>
      <c r="AI809" s="95" t="s">
        <v>7</v>
      </c>
      <c r="AJ809" s="96" t="s">
        <v>7</v>
      </c>
      <c r="AK809" s="97" t="s">
        <v>7</v>
      </c>
      <c r="AL809" s="95" t="s">
        <v>7</v>
      </c>
      <c r="AM809" s="90"/>
      <c r="AN809" s="90"/>
      <c r="AO809" s="90"/>
      <c r="AP809" s="90"/>
      <c r="AQ809" s="90"/>
      <c r="AR809" s="90"/>
      <c r="AS809" s="90"/>
      <c r="AT809" s="90"/>
      <c r="AU809" s="90"/>
      <c r="AV809" s="91"/>
      <c r="AX809" s="92"/>
    </row>
    <row r="810" customFormat="false" ht="15.65" hidden="false" customHeight="false" outlineLevel="0" collapsed="false">
      <c r="C810" s="72" t="n">
        <f aca="false">COUNTIFS($D$6:D810,"&lt;&gt;"&amp;"")</f>
        <v>805</v>
      </c>
      <c r="D810" s="73" t="s">
        <v>12</v>
      </c>
      <c r="E810" s="76" t="str">
        <f aca="false">
IF($D810="정상",INDEX(임대자산!$D$3:$R$3000,MATCH($F810,임대자산!$I$3:$I$3000,0),MATCH(E$3,임대자산!$D$3:$R$3,0)),
IF($D810="폐업",INDEX(폐업정보!$D$3:$R$3000,MATCH($F810,폐업정보!$I$3:$I$3000,0),MATCH(E$3,폐업정보!$D$3:$R$3,0)),
"Error"))</f>
        <v>경상</v>
      </c>
      <c r="F81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B0805</v>
      </c>
      <c r="G810" s="76" t="str">
        <f aca="false">F810&amp;RANDBETWEEN(0,10)</f>
        <v>B08055</v>
      </c>
      <c r="H810" s="75" t="n">
        <f aca="false">
IF($D810="정상",INDEX(임대자산!$D$3:$R$3000,MATCH($F810,임대자산!$I$3:$I$3000,0),MATCH(H$4,임대자산!$D$3:$R$3,0)),
IF($D810="폐업",INDEX(폐업정보!$D$3:$R$3000,MATCH($F810,폐업정보!$I$3:$I$3000,0),MATCH(H$4,폐업정보!$D$3:$R$3,0)),
"Error"))</f>
        <v>45503</v>
      </c>
      <c r="I810" s="75" t="str">
        <f aca="false">
IF($D810="정상",INDEX(임대자산!$D$3:$R$3000,MATCH($F810,임대자산!$I$3:$I$3000,0),MATCH(I$4,임대자산!$D$3:$R$3,0)),
IF($D810="폐업",INDEX(폐업정보!$D$3:$R$3000,MATCH($F810,폐업정보!$I$3:$I$3000,0),MATCH(I$4,폐업정보!$D$3:$R$3,0)),
"Error"))</f>
        <v>A0805</v>
      </c>
      <c r="J810" s="75" t="str">
        <f aca="false">
IF($D810="정상",INDEX(임대자산!$D$3:$R$3000,MATCH($F810,임대자산!$I$3:$I$3000,0),MATCH(J$4,임대자산!$D$3:$R$3,0)),
IF($D810="폐업",INDEX(폐업정보!$D$3:$R$3000,MATCH($F810,폐업정보!$I$3:$I$3000,0),MATCH(J$4,폐업정보!$D$3:$R$3,0)),
"Error"))</f>
        <v>2517100000</v>
      </c>
      <c r="K810" s="75" t="str">
        <f aca="false">
IF($D810="정상",INDEX(임대자산!$D$3:$R$3000,MATCH($F810,임대자산!$I$3:$I$3000,0),MATCH(K$4,임대자산!$D$3:$R$3,0)),
IF($D810="폐업",INDEX(폐업정보!$D$3:$R$3000,MATCH($F810,폐업정보!$I$3:$I$3000,0),MATCH(K$4,폐업정보!$D$3:$R$3,0)),
"Error"))</f>
        <v>C0805</v>
      </c>
      <c r="L810" s="75" t="str">
        <f aca="false">
IF($D810="정상",INDEX(임대자산!$D$3:$R$3000,MATCH($F810,임대자산!$I$3:$I$3000,0),MATCH(L$4,임대자산!$D$3:$R$3,0)),
IF($D810="폐업",INDEX(폐업정보!$D$3:$R$3000,MATCH($F810,폐업정보!$I$3:$I$3000,0),MATCH(L$4,폐업정보!$D$3:$R$3,0)),
"Error"))</f>
        <v>D0805</v>
      </c>
      <c r="M810" s="76" t="s">
        <v>96</v>
      </c>
      <c r="N810" s="77"/>
      <c r="O810" s="78" t="s">
        <v>97</v>
      </c>
      <c r="P810" s="79" t="n">
        <f aca="false">COUNTIFS(임대자산!$I:$I,가맹점정보!F810,임대자산!$N:$N,가맹점정보!P$4)</f>
        <v>0</v>
      </c>
      <c r="Q810" s="80" t="n">
        <f aca="false">COUNTIFS(임대자산!$I:$I,가맹점정보!F810,임대자산!$N:$N,가맹점정보!Q$4)</f>
        <v>1</v>
      </c>
      <c r="R810" s="81" t="n">
        <f aca="false">COUNTIFS(임대자산!$I:$I,가맹점정보!F810,임대자산!$N:$N,가맹점정보!R$4)</f>
        <v>0</v>
      </c>
      <c r="S810" s="82" t="n">
        <v>55000</v>
      </c>
      <c r="T810" s="83" t="n">
        <v>0</v>
      </c>
      <c r="U810" s="80" t="n">
        <f aca="false">SUM(S810:T810)</f>
        <v>55000</v>
      </c>
      <c r="V810" s="84" t="s">
        <v>12</v>
      </c>
      <c r="W810" s="80" t="e">
        <f aca="true">
IF(D810="폐업","폐업",
IF(V810="면제","면제",
IF(AND(V810="정상",COUNTIFS(OFFSET(Y810,0,COUNTA(Y810:AV810)-1,1,-4),"미납")&gt;=3),"장기미납",
IF(AND(V810="정상",OFFSET(Y810,0,COUNTA(Y810:AV810)-1)&gt;=U810),"정상",
IF(AND(V810="정상",OFFSET(Y810,0,COUNTA(Y810:AV810)-1)=0),"정상",
"계약서 미작성")))))</f>
        <v>#VALUE!</v>
      </c>
      <c r="X810" s="81" t="str">
        <f aca="true">
IF(D810="폐업","폐업",
IF(AND(V810="정상",OFFSET(Y810,0,COUNTA(Y810:AV810)-1)="미납"),"미납",
IF(AND(V810="정상",OFFSET(Y810,0,COUNTA(Y810:AV810)-1)=0),"납부 시작 전",
IF(AND(V810="정상",OFFSET(Y810,0,COUNTA(Y810:AV810)-1)&gt;=U810),"정상",
IF(AND(V810="면제",OFFSET(Y810,0,COUNTA(Y810:AV810)-1)="면제"),"면제",
IF(AND(V810="면제",OFFSET(Y810,0,COUNTA(Y810:AV810)-1)=0),"면제",
"확인요청"))))))</f>
        <v>정상</v>
      </c>
      <c r="Y810" s="93" t="n">
        <v>55000</v>
      </c>
      <c r="Z810" s="90" t="n">
        <v>55000</v>
      </c>
      <c r="AA810" s="90" t="n">
        <v>55000</v>
      </c>
      <c r="AB810" s="90" t="n">
        <v>55000</v>
      </c>
      <c r="AC810" s="90" t="n">
        <v>55000</v>
      </c>
      <c r="AD810" s="90" t="n">
        <v>55000</v>
      </c>
      <c r="AE810" s="90" t="n">
        <v>55000</v>
      </c>
      <c r="AF810" s="90" t="n">
        <v>55000</v>
      </c>
      <c r="AG810" s="90" t="n">
        <v>55000</v>
      </c>
      <c r="AH810" s="90" t="n">
        <v>55000</v>
      </c>
      <c r="AI810" s="90" t="n">
        <v>55000</v>
      </c>
      <c r="AJ810" s="91" t="n">
        <v>55000</v>
      </c>
      <c r="AK810" s="89" t="n">
        <v>55000</v>
      </c>
      <c r="AL810" s="90" t="n">
        <v>55000</v>
      </c>
      <c r="AM810" s="90"/>
      <c r="AN810" s="90"/>
      <c r="AO810" s="90"/>
      <c r="AP810" s="90"/>
      <c r="AQ810" s="90"/>
      <c r="AR810" s="90"/>
      <c r="AS810" s="90"/>
      <c r="AT810" s="90"/>
      <c r="AU810" s="90"/>
      <c r="AV810" s="91"/>
      <c r="AX810" s="92"/>
    </row>
    <row r="811" customFormat="false" ht="15.65" hidden="false" customHeight="false" outlineLevel="0" collapsed="false">
      <c r="C811" s="72" t="n">
        <f aca="false">COUNTIFS($D$6:D811,"&lt;&gt;"&amp;"")</f>
        <v>806</v>
      </c>
      <c r="D811" s="73" t="s">
        <v>12</v>
      </c>
      <c r="E811" s="76" t="str">
        <f aca="false">
IF($D811="정상",INDEX(임대자산!$D$3:$R$3000,MATCH($F811,임대자산!$I$3:$I$3000,0),MATCH(E$3,임대자산!$D$3:$R$3,0)),
IF($D811="폐업",INDEX(폐업정보!$D$3:$R$3000,MATCH($F811,폐업정보!$I$3:$I$3000,0),MATCH(E$3,폐업정보!$D$3:$R$3,0)),
"Error"))</f>
        <v>서울</v>
      </c>
      <c r="F81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B0806</v>
      </c>
      <c r="G811" s="76" t="str">
        <f aca="false">F811&amp;RANDBETWEEN(0,10)</f>
        <v>B08066</v>
      </c>
      <c r="H811" s="75" t="n">
        <f aca="false">
IF($D811="정상",INDEX(임대자산!$D$3:$R$3000,MATCH($F811,임대자산!$I$3:$I$3000,0),MATCH(H$4,임대자산!$D$3:$R$3,0)),
IF($D811="폐업",INDEX(폐업정보!$D$3:$R$3000,MATCH($F811,폐업정보!$I$3:$I$3000,0),MATCH(H$4,폐업정보!$D$3:$R$3,0)),
"Error"))</f>
        <v>45200</v>
      </c>
      <c r="I811" s="75" t="str">
        <f aca="false">
IF($D811="정상",INDEX(임대자산!$D$3:$R$3000,MATCH($F811,임대자산!$I$3:$I$3000,0),MATCH(I$4,임대자산!$D$3:$R$3,0)),
IF($D811="폐업",INDEX(폐업정보!$D$3:$R$3000,MATCH($F811,폐업정보!$I$3:$I$3000,0),MATCH(I$4,폐업정보!$D$3:$R$3,0)),
"Error"))</f>
        <v>A0806</v>
      </c>
      <c r="J811" s="75" t="str">
        <f aca="false">
IF($D811="정상",INDEX(임대자산!$D$3:$R$3000,MATCH($F811,임대자산!$I$3:$I$3000,0),MATCH(J$4,임대자산!$D$3:$R$3,0)),
IF($D811="폐업",INDEX(폐업정보!$D$3:$R$3000,MATCH($F811,폐업정보!$I$3:$I$3000,0),MATCH(J$4,폐업정보!$D$3:$R$3,0)),
"Error"))</f>
        <v>2131500000</v>
      </c>
      <c r="K811" s="75" t="str">
        <f aca="false">
IF($D811="정상",INDEX(임대자산!$D$3:$R$3000,MATCH($F811,임대자산!$I$3:$I$3000,0),MATCH(K$4,임대자산!$D$3:$R$3,0)),
IF($D811="폐업",INDEX(폐업정보!$D$3:$R$3000,MATCH($F811,폐업정보!$I$3:$I$3000,0),MATCH(K$4,폐업정보!$D$3:$R$3,0)),
"Error"))</f>
        <v>C0806</v>
      </c>
      <c r="L811" s="75" t="str">
        <f aca="false">
IF($D811="정상",INDEX(임대자산!$D$3:$R$3000,MATCH($F811,임대자산!$I$3:$I$3000,0),MATCH(L$4,임대자산!$D$3:$R$3,0)),
IF($D811="폐업",INDEX(폐업정보!$D$3:$R$3000,MATCH($F811,폐업정보!$I$3:$I$3000,0),MATCH(L$4,폐업정보!$D$3:$R$3,0)),
"Error"))</f>
        <v>D0806</v>
      </c>
      <c r="M811" s="76" t="s">
        <v>96</v>
      </c>
      <c r="N811" s="77"/>
      <c r="O811" s="78" t="s">
        <v>97</v>
      </c>
      <c r="P811" s="79" t="n">
        <f aca="false">COUNTIFS(임대자산!$I:$I,가맹점정보!F811,임대자산!$N:$N,가맹점정보!P$4)</f>
        <v>0</v>
      </c>
      <c r="Q811" s="80" t="n">
        <f aca="false">COUNTIFS(임대자산!$I:$I,가맹점정보!F811,임대자산!$N:$N,가맹점정보!Q$4)</f>
        <v>1</v>
      </c>
      <c r="R811" s="81" t="n">
        <f aca="false">COUNTIFS(임대자산!$I:$I,가맹점정보!F811,임대자산!$N:$N,가맹점정보!R$4)</f>
        <v>0</v>
      </c>
      <c r="S811" s="82" t="n">
        <v>55000</v>
      </c>
      <c r="T811" s="83" t="n">
        <v>0</v>
      </c>
      <c r="U811" s="80" t="n">
        <f aca="false">SUM(S811:T811)</f>
        <v>55000</v>
      </c>
      <c r="V811" s="84" t="s">
        <v>12</v>
      </c>
      <c r="W811" s="80" t="e">
        <f aca="true">
IF(D811="폐업","폐업",
IF(V811="면제","면제",
IF(AND(V811="정상",COUNTIFS(OFFSET(Y811,0,COUNTA(Y811:AV811)-1,1,-4),"미납")&gt;=3),"장기미납",
IF(AND(V811="정상",OFFSET(Y811,0,COUNTA(Y811:AV811)-1)&gt;=U811),"정상",
IF(AND(V811="정상",OFFSET(Y811,0,COUNTA(Y811:AV811)-1)=0),"정상",
"계약서 미작성")))))</f>
        <v>#VALUE!</v>
      </c>
      <c r="X811" s="81" t="str">
        <f aca="true">
IF(D811="폐업","폐업",
IF(AND(V811="정상",OFFSET(Y811,0,COUNTA(Y811:AV811)-1)="미납"),"미납",
IF(AND(V811="정상",OFFSET(Y811,0,COUNTA(Y811:AV811)-1)=0),"납부 시작 전",
IF(AND(V811="정상",OFFSET(Y811,0,COUNTA(Y811:AV811)-1)&gt;=U811),"정상",
IF(AND(V811="면제",OFFSET(Y811,0,COUNTA(Y811:AV811)-1)="면제"),"면제",
IF(AND(V811="면제",OFFSET(Y811,0,COUNTA(Y811:AV811)-1)=0),"면제",
"확인요청"))))))</f>
        <v>정상</v>
      </c>
      <c r="Y811" s="93" t="n">
        <v>55000</v>
      </c>
      <c r="Z811" s="90" t="n">
        <v>55000</v>
      </c>
      <c r="AA811" s="90" t="n">
        <v>55000</v>
      </c>
      <c r="AB811" s="90" t="n">
        <v>55000</v>
      </c>
      <c r="AC811" s="90" t="n">
        <v>55000</v>
      </c>
      <c r="AD811" s="90" t="n">
        <v>55000</v>
      </c>
      <c r="AE811" s="90" t="n">
        <v>55000</v>
      </c>
      <c r="AF811" s="90" t="n">
        <v>55000</v>
      </c>
      <c r="AG811" s="90" t="n">
        <v>55000</v>
      </c>
      <c r="AH811" s="90" t="n">
        <v>55000</v>
      </c>
      <c r="AI811" s="90" t="n">
        <v>55000</v>
      </c>
      <c r="AJ811" s="91" t="n">
        <v>55000</v>
      </c>
      <c r="AK811" s="89" t="n">
        <v>55000</v>
      </c>
      <c r="AL811" s="90" t="n">
        <v>55000</v>
      </c>
      <c r="AM811" s="90"/>
      <c r="AN811" s="90"/>
      <c r="AO811" s="90"/>
      <c r="AP811" s="90"/>
      <c r="AQ811" s="90"/>
      <c r="AR811" s="90"/>
      <c r="AS811" s="90"/>
      <c r="AT811" s="90"/>
      <c r="AU811" s="90"/>
      <c r="AV811" s="91"/>
      <c r="AX811" s="92"/>
    </row>
    <row r="812" customFormat="false" ht="15.65" hidden="false" customHeight="false" outlineLevel="0" collapsed="false">
      <c r="C812" s="72" t="n">
        <f aca="false">COUNTIFS($D$6:D812,"&lt;&gt;"&amp;"")</f>
        <v>807</v>
      </c>
      <c r="D812" s="73" t="s">
        <v>12</v>
      </c>
      <c r="E812" s="76" t="str">
        <f aca="false">
IF($D812="정상",INDEX(임대자산!$D$3:$R$3000,MATCH($F812,임대자산!$I$3:$I$3000,0),MATCH(E$3,임대자산!$D$3:$R$3,0)),
IF($D812="폐업",INDEX(폐업정보!$D$3:$R$3000,MATCH($F812,폐업정보!$I$3:$I$3000,0),MATCH(E$3,폐업정보!$D$3:$R$3,0)),
"Error"))</f>
        <v>서울</v>
      </c>
      <c r="F81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B0807</v>
      </c>
      <c r="G812" s="76" t="str">
        <f aca="false">F812&amp;RANDBETWEEN(0,10)</f>
        <v>B080710</v>
      </c>
      <c r="H812" s="75" t="n">
        <f aca="false">
IF($D812="정상",INDEX(임대자산!$D$3:$R$3000,MATCH($F812,임대자산!$I$3:$I$3000,0),MATCH(H$4,임대자산!$D$3:$R$3,0)),
IF($D812="폐업",INDEX(폐업정보!$D$3:$R$3000,MATCH($F812,폐업정보!$I$3:$I$3000,0),MATCH(H$4,폐업정보!$D$3:$R$3,0)),
"Error"))</f>
        <v>45425</v>
      </c>
      <c r="I812" s="75" t="str">
        <f aca="false">
IF($D812="정상",INDEX(임대자산!$D$3:$R$3000,MATCH($F812,임대자산!$I$3:$I$3000,0),MATCH(I$4,임대자산!$D$3:$R$3,0)),
IF($D812="폐업",INDEX(폐업정보!$D$3:$R$3000,MATCH($F812,폐업정보!$I$3:$I$3000,0),MATCH(I$4,폐업정보!$D$3:$R$3,0)),
"Error"))</f>
        <v>A0807</v>
      </c>
      <c r="J812" s="75" t="str">
        <f aca="false">
IF($D812="정상",INDEX(임대자산!$D$3:$R$3000,MATCH($F812,임대자산!$I$3:$I$3000,0),MATCH(J$4,임대자산!$D$3:$R$3,0)),
IF($D812="폐업",INDEX(폐업정보!$D$3:$R$3000,MATCH($F812,폐업정보!$I$3:$I$3000,0),MATCH(J$4,폐업정보!$D$3:$R$3,0)),
"Error"))</f>
        <v>3654400000</v>
      </c>
      <c r="K812" s="75" t="str">
        <f aca="false">
IF($D812="정상",INDEX(임대자산!$D$3:$R$3000,MATCH($F812,임대자산!$I$3:$I$3000,0),MATCH(K$4,임대자산!$D$3:$R$3,0)),
IF($D812="폐업",INDEX(폐업정보!$D$3:$R$3000,MATCH($F812,폐업정보!$I$3:$I$3000,0),MATCH(K$4,폐업정보!$D$3:$R$3,0)),
"Error"))</f>
        <v>C0807</v>
      </c>
      <c r="L812" s="75" t="str">
        <f aca="false">
IF($D812="정상",INDEX(임대자산!$D$3:$R$3000,MATCH($F812,임대자산!$I$3:$I$3000,0),MATCH(L$4,임대자산!$D$3:$R$3,0)),
IF($D812="폐업",INDEX(폐업정보!$D$3:$R$3000,MATCH($F812,폐업정보!$I$3:$I$3000,0),MATCH(L$4,폐업정보!$D$3:$R$3,0)),
"Error"))</f>
        <v>D0807</v>
      </c>
      <c r="M812" s="76" t="s">
        <v>96</v>
      </c>
      <c r="N812" s="77"/>
      <c r="O812" s="78" t="s">
        <v>97</v>
      </c>
      <c r="P812" s="79" t="n">
        <f aca="false">COUNTIFS(임대자산!$I:$I,가맹점정보!F812,임대자산!$N:$N,가맹점정보!P$4)</f>
        <v>0</v>
      </c>
      <c r="Q812" s="80" t="n">
        <f aca="false">COUNTIFS(임대자산!$I:$I,가맹점정보!F812,임대자산!$N:$N,가맹점정보!Q$4)</f>
        <v>1</v>
      </c>
      <c r="R812" s="81" t="n">
        <f aca="false">COUNTIFS(임대자산!$I:$I,가맹점정보!F812,임대자산!$N:$N,가맹점정보!R$4)</f>
        <v>0</v>
      </c>
      <c r="S812" s="82" t="n">
        <v>55000</v>
      </c>
      <c r="T812" s="83" t="n">
        <v>0</v>
      </c>
      <c r="U812" s="80" t="n">
        <f aca="false">SUM(S812:T812)</f>
        <v>55000</v>
      </c>
      <c r="V812" s="84" t="s">
        <v>12</v>
      </c>
      <c r="W812" s="80" t="e">
        <f aca="true">
IF(D812="폐업","폐업",
IF(V812="면제","면제",
IF(AND(V812="정상",COUNTIFS(OFFSET(Y812,0,COUNTA(Y812:AV812)-1,1,-4),"미납")&gt;=3),"장기미납",
IF(AND(V812="정상",OFFSET(Y812,0,COUNTA(Y812:AV812)-1)&gt;=U812),"정상",
IF(AND(V812="정상",OFFSET(Y812,0,COUNTA(Y812:AV812)-1)=0),"정상",
"계약서 미작성")))))</f>
        <v>#VALUE!</v>
      </c>
      <c r="X812" s="81" t="str">
        <f aca="true">
IF(D812="폐업","폐업",
IF(AND(V812="정상",OFFSET(Y812,0,COUNTA(Y812:AV812)-1)="미납"),"미납",
IF(AND(V812="정상",OFFSET(Y812,0,COUNTA(Y812:AV812)-1)=0),"납부 시작 전",
IF(AND(V812="정상",OFFSET(Y812,0,COUNTA(Y812:AV812)-1)&gt;=U812),"정상",
IF(AND(V812="면제",OFFSET(Y812,0,COUNTA(Y812:AV812)-1)="면제"),"면제",
IF(AND(V812="면제",OFFSET(Y812,0,COUNTA(Y812:AV812)-1)=0),"면제",
"확인요청"))))))</f>
        <v>정상</v>
      </c>
      <c r="Y812" s="93" t="n">
        <v>55000</v>
      </c>
      <c r="Z812" s="90" t="n">
        <v>55000</v>
      </c>
      <c r="AA812" s="90" t="n">
        <v>55000</v>
      </c>
      <c r="AB812" s="90" t="n">
        <v>55000</v>
      </c>
      <c r="AC812" s="90" t="n">
        <v>55000</v>
      </c>
      <c r="AD812" s="90" t="n">
        <v>55000</v>
      </c>
      <c r="AE812" s="90" t="n">
        <v>55000</v>
      </c>
      <c r="AF812" s="90" t="n">
        <v>55000</v>
      </c>
      <c r="AG812" s="90" t="n">
        <v>55000</v>
      </c>
      <c r="AH812" s="90" t="n">
        <v>55000</v>
      </c>
      <c r="AI812" s="90" t="n">
        <v>55000</v>
      </c>
      <c r="AJ812" s="91" t="n">
        <v>55000</v>
      </c>
      <c r="AK812" s="89" t="n">
        <v>55000</v>
      </c>
      <c r="AL812" s="90" t="n">
        <v>55000</v>
      </c>
      <c r="AM812" s="90"/>
      <c r="AN812" s="90"/>
      <c r="AO812" s="90"/>
      <c r="AP812" s="90"/>
      <c r="AQ812" s="90"/>
      <c r="AR812" s="90"/>
      <c r="AS812" s="90"/>
      <c r="AT812" s="90"/>
      <c r="AU812" s="90"/>
      <c r="AV812" s="91"/>
      <c r="AX812" s="92"/>
    </row>
    <row r="813" customFormat="false" ht="15.65" hidden="false" customHeight="false" outlineLevel="0" collapsed="false">
      <c r="C813" s="72" t="n">
        <f aca="false">COUNTIFS($D$6:D813,"&lt;&gt;"&amp;"")</f>
        <v>808</v>
      </c>
      <c r="D813" s="73" t="s">
        <v>5</v>
      </c>
      <c r="E813" s="76" t="str">
        <f aca="false">
IF($D813="정상",INDEX(임대자산!$D$3:$R$3000,MATCH($F813,임대자산!$I$3:$I$3000,0),MATCH(E$3,임대자산!$D$3:$R$3,0)),
IF($D813="폐업",INDEX(폐업정보!$D$3:$R$3000,MATCH($F813,폐업정보!$I$3:$I$3000,0),MATCH(E$3,폐업정보!$D$3:$R$3,0)),
"Error"))</f>
        <v>서울</v>
      </c>
      <c r="F81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B0808</v>
      </c>
      <c r="G813" s="76" t="str">
        <f aca="false">F813&amp;RANDBETWEEN(0,10)</f>
        <v>B080810</v>
      </c>
      <c r="H813" s="75" t="n">
        <f aca="false">
IF($D813="정상",INDEX(임대자산!$D$3:$R$3000,MATCH($F813,임대자산!$I$3:$I$3000,0),MATCH(H$4,임대자산!$D$3:$R$3,0)),
IF($D813="폐업",INDEX(폐업정보!$D$3:$R$3000,MATCH($F813,폐업정보!$I$3:$I$3000,0),MATCH(H$4,폐업정보!$D$3:$R$3,0)),
"Error"))</f>
        <v>45425</v>
      </c>
      <c r="I813" s="75" t="str">
        <f aca="false">
IF($D813="정상",INDEX(임대자산!$D$3:$R$3000,MATCH($F813,임대자산!$I$3:$I$3000,0),MATCH(I$4,임대자산!$D$3:$R$3,0)),
IF($D813="폐업",INDEX(폐업정보!$D$3:$R$3000,MATCH($F813,폐업정보!$I$3:$I$3000,0),MATCH(I$4,폐업정보!$D$3:$R$3,0)),
"Error"))</f>
        <v>A0808</v>
      </c>
      <c r="J813" s="75" t="str">
        <f aca="false">
IF($D813="정상",INDEX(임대자산!$D$3:$R$3000,MATCH($F813,임대자산!$I$3:$I$3000,0),MATCH(J$4,임대자산!$D$3:$R$3,0)),
IF($D813="폐업",INDEX(폐업정보!$D$3:$R$3000,MATCH($F813,폐업정보!$I$3:$I$3000,0),MATCH(J$4,폐업정보!$D$3:$R$3,0)),
"Error"))</f>
        <v>3659300000</v>
      </c>
      <c r="K813" s="75" t="str">
        <f aca="false">
IF($D813="정상",INDEX(임대자산!$D$3:$R$3000,MATCH($F813,임대자산!$I$3:$I$3000,0),MATCH(K$4,임대자산!$D$3:$R$3,0)),
IF($D813="폐업",INDEX(폐업정보!$D$3:$R$3000,MATCH($F813,폐업정보!$I$3:$I$3000,0),MATCH(K$4,폐업정보!$D$3:$R$3,0)),
"Error"))</f>
        <v>C0808</v>
      </c>
      <c r="L813" s="75" t="str">
        <f aca="false">
IF($D813="정상",INDEX(임대자산!$D$3:$R$3000,MATCH($F813,임대자산!$I$3:$I$3000,0),MATCH(L$4,임대자산!$D$3:$R$3,0)),
IF($D813="폐업",INDEX(폐업정보!$D$3:$R$3000,MATCH($F813,폐업정보!$I$3:$I$3000,0),MATCH(L$4,폐업정보!$D$3:$R$3,0)),
"Error"))</f>
        <v>D0808</v>
      </c>
      <c r="M813" s="76" t="s">
        <v>96</v>
      </c>
      <c r="N813" s="77"/>
      <c r="O813" s="78" t="s">
        <v>97</v>
      </c>
      <c r="P813" s="79" t="n">
        <f aca="false">COUNTIFS(임대자산!$I:$I,가맹점정보!F813,임대자산!$N:$N,가맹점정보!P$4)</f>
        <v>0</v>
      </c>
      <c r="Q813" s="80" t="n">
        <f aca="false">COUNTIFS(임대자산!$I:$I,가맹점정보!F813,임대자산!$N:$N,가맹점정보!Q$4)</f>
        <v>0</v>
      </c>
      <c r="R813" s="81" t="n">
        <f aca="false">COUNTIFS(임대자산!$I:$I,가맹점정보!F813,임대자산!$N:$N,가맹점정보!R$4)</f>
        <v>0</v>
      </c>
      <c r="S813" s="82" t="n">
        <v>55000</v>
      </c>
      <c r="T813" s="83" t="n">
        <v>0</v>
      </c>
      <c r="U813" s="80" t="n">
        <f aca="false">SUM(S813:T813)</f>
        <v>55000</v>
      </c>
      <c r="V813" s="84" t="s">
        <v>12</v>
      </c>
      <c r="W813" s="80" t="str">
        <f aca="true">
IF(D813="폐업","폐업",
IF(V813="면제","면제",
IF(AND(V813="정상",COUNTIFS(OFFSET(Y813,0,COUNTA(Y813:AV813)-1,1,-4),"미납")&gt;=3),"장기미납",
IF(AND(V813="정상",OFFSET(Y813,0,COUNTA(Y813:AV813)-1)&gt;=U813),"정상",
IF(AND(V813="정상",OFFSET(Y813,0,COUNTA(Y813:AV813)-1)=0),"정상",
"계약서 미작성")))))</f>
        <v>폐업</v>
      </c>
      <c r="X813" s="81" t="str">
        <f aca="true">
IF(D813="폐업","폐업",
IF(AND(V813="정상",OFFSET(Y813,0,COUNTA(Y813:AV813)-1)="미납"),"미납",
IF(AND(V813="정상",OFFSET(Y813,0,COUNTA(Y813:AV813)-1)=0),"납부 시작 전",
IF(AND(V813="정상",OFFSET(Y813,0,COUNTA(Y813:AV813)-1)&gt;=U813),"정상",
IF(AND(V813="면제",OFFSET(Y813,0,COUNTA(Y813:AV813)-1)="면제"),"면제",
IF(AND(V813="면제",OFFSET(Y813,0,COUNTA(Y813:AV813)-1)=0),"면제",
"확인요청"))))))</f>
        <v>폐업</v>
      </c>
      <c r="Y813" s="93" t="n">
        <v>55000</v>
      </c>
      <c r="Z813" s="90" t="n">
        <v>55000</v>
      </c>
      <c r="AA813" s="90" t="n">
        <v>55000</v>
      </c>
      <c r="AB813" s="90" t="n">
        <v>55000</v>
      </c>
      <c r="AC813" s="90" t="n">
        <v>55000</v>
      </c>
      <c r="AD813" s="90" t="n">
        <v>55000</v>
      </c>
      <c r="AE813" s="90" t="n">
        <v>55000</v>
      </c>
      <c r="AF813" s="90" t="n">
        <v>55000</v>
      </c>
      <c r="AG813" s="90" t="n">
        <v>55000</v>
      </c>
      <c r="AH813" s="90" t="n">
        <v>55000</v>
      </c>
      <c r="AI813" s="90" t="n">
        <v>55000</v>
      </c>
      <c r="AJ813" s="91" t="n">
        <v>55000</v>
      </c>
      <c r="AK813" s="89" t="n">
        <v>55000</v>
      </c>
      <c r="AL813" s="90" t="n">
        <v>55000</v>
      </c>
      <c r="AM813" s="90"/>
      <c r="AN813" s="90"/>
      <c r="AO813" s="90"/>
      <c r="AP813" s="90"/>
      <c r="AQ813" s="90"/>
      <c r="AR813" s="90"/>
      <c r="AS813" s="90"/>
      <c r="AT813" s="90"/>
      <c r="AU813" s="90"/>
      <c r="AV813" s="91"/>
      <c r="AX813" s="92"/>
    </row>
    <row r="814" customFormat="false" ht="15.65" hidden="false" customHeight="false" outlineLevel="0" collapsed="false">
      <c r="C814" s="72" t="n">
        <f aca="false">COUNTIFS($D$6:D814,"&lt;&gt;"&amp;"")</f>
        <v>809</v>
      </c>
      <c r="D814" s="73" t="s">
        <v>12</v>
      </c>
      <c r="E814" s="76" t="str">
        <f aca="false">
IF($D814="정상",INDEX(임대자산!$D$3:$R$3000,MATCH($F814,임대자산!$I$3:$I$3000,0),MATCH(E$3,임대자산!$D$3:$R$3,0)),
IF($D814="폐업",INDEX(폐업정보!$D$3:$R$3000,MATCH($F814,폐업정보!$I$3:$I$3000,0),MATCH(E$3,폐업정보!$D$3:$R$3,0)),
"Error"))</f>
        <v>경기</v>
      </c>
      <c r="F81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B0809</v>
      </c>
      <c r="G814" s="76" t="str">
        <f aca="false">F814&amp;RANDBETWEEN(0,10)</f>
        <v>B08097</v>
      </c>
      <c r="H814" s="75" t="n">
        <f aca="false">
IF($D814="정상",INDEX(임대자산!$D$3:$R$3000,MATCH($F814,임대자산!$I$3:$I$3000,0),MATCH(H$4,임대자산!$D$3:$R$3,0)),
IF($D814="폐업",INDEX(폐업정보!$D$3:$R$3000,MATCH($F814,폐업정보!$I$3:$I$3000,0),MATCH(H$4,폐업정보!$D$3:$R$3,0)),
"Error"))</f>
        <v>45523</v>
      </c>
      <c r="I814" s="75" t="str">
        <f aca="false">
IF($D814="정상",INDEX(임대자산!$D$3:$R$3000,MATCH($F814,임대자산!$I$3:$I$3000,0),MATCH(I$4,임대자산!$D$3:$R$3,0)),
IF($D814="폐업",INDEX(폐업정보!$D$3:$R$3000,MATCH($F814,폐업정보!$I$3:$I$3000,0),MATCH(I$4,폐업정보!$D$3:$R$3,0)),
"Error"))</f>
        <v>A0809</v>
      </c>
      <c r="J814" s="75" t="str">
        <f aca="false">
IF($D814="정상",INDEX(임대자산!$D$3:$R$3000,MATCH($F814,임대자산!$I$3:$I$3000,0),MATCH(J$4,임대자산!$D$3:$R$3,0)),
IF($D814="폐업",INDEX(폐업정보!$D$3:$R$3000,MATCH($F814,폐업정보!$I$3:$I$3000,0),MATCH(J$4,폐업정보!$D$3:$R$3,0)),
"Error"))</f>
        <v>3031300000</v>
      </c>
      <c r="K814" s="75" t="str">
        <f aca="false">
IF($D814="정상",INDEX(임대자산!$D$3:$R$3000,MATCH($F814,임대자산!$I$3:$I$3000,0),MATCH(K$4,임대자산!$D$3:$R$3,0)),
IF($D814="폐업",INDEX(폐업정보!$D$3:$R$3000,MATCH($F814,폐업정보!$I$3:$I$3000,0),MATCH(K$4,폐업정보!$D$3:$R$3,0)),
"Error"))</f>
        <v>C0809</v>
      </c>
      <c r="L814" s="75" t="str">
        <f aca="false">
IF($D814="정상",INDEX(임대자산!$D$3:$R$3000,MATCH($F814,임대자산!$I$3:$I$3000,0),MATCH(L$4,임대자산!$D$3:$R$3,0)),
IF($D814="폐업",INDEX(폐업정보!$D$3:$R$3000,MATCH($F814,폐업정보!$I$3:$I$3000,0),MATCH(L$4,폐업정보!$D$3:$R$3,0)),
"Error"))</f>
        <v>D0809</v>
      </c>
      <c r="M814" s="76" t="s">
        <v>96</v>
      </c>
      <c r="N814" s="77"/>
      <c r="O814" s="78" t="s">
        <v>97</v>
      </c>
      <c r="P814" s="79" t="n">
        <f aca="false">COUNTIFS(임대자산!$I:$I,가맹점정보!F814,임대자산!$N:$N,가맹점정보!P$4)</f>
        <v>0</v>
      </c>
      <c r="Q814" s="80" t="n">
        <f aca="false">COUNTIFS(임대자산!$I:$I,가맹점정보!F814,임대자산!$N:$N,가맹점정보!Q$4)</f>
        <v>1</v>
      </c>
      <c r="R814" s="81" t="n">
        <f aca="false">COUNTIFS(임대자산!$I:$I,가맹점정보!F814,임대자산!$N:$N,가맹점정보!R$4)</f>
        <v>0</v>
      </c>
      <c r="S814" s="82" t="n">
        <v>55000</v>
      </c>
      <c r="T814" s="83" t="n">
        <v>0</v>
      </c>
      <c r="U814" s="80" t="n">
        <f aca="false">SUM(S814:T814)</f>
        <v>55000</v>
      </c>
      <c r="V814" s="84" t="s">
        <v>12</v>
      </c>
      <c r="W814" s="80" t="e">
        <f aca="true">
IF(D814="폐업","폐업",
IF(V814="면제","면제",
IF(AND(V814="정상",COUNTIFS(OFFSET(Y814,0,COUNTA(Y814:AV814)-1,1,-4),"미납")&gt;=3),"장기미납",
IF(AND(V814="정상",OFFSET(Y814,0,COUNTA(Y814:AV814)-1)&gt;=U814),"정상",
IF(AND(V814="정상",OFFSET(Y814,0,COUNTA(Y814:AV814)-1)=0),"정상",
"계약서 미작성")))))</f>
        <v>#VALUE!</v>
      </c>
      <c r="X814" s="81" t="str">
        <f aca="true">
IF(D814="폐업","폐업",
IF(AND(V814="정상",OFFSET(Y814,0,COUNTA(Y814:AV814)-1)="미납"),"미납",
IF(AND(V814="정상",OFFSET(Y814,0,COUNTA(Y814:AV814)-1)=0),"납부 시작 전",
IF(AND(V814="정상",OFFSET(Y814,0,COUNTA(Y814:AV814)-1)&gt;=U814),"정상",
IF(AND(V814="면제",OFFSET(Y814,0,COUNTA(Y814:AV814)-1)="면제"),"면제",
IF(AND(V814="면제",OFFSET(Y814,0,COUNTA(Y814:AV814)-1)=0),"면제",
"확인요청"))))))</f>
        <v>정상</v>
      </c>
      <c r="Y814" s="93" t="n">
        <v>55000</v>
      </c>
      <c r="Z814" s="90" t="n">
        <v>55000</v>
      </c>
      <c r="AA814" s="90" t="n">
        <v>55000</v>
      </c>
      <c r="AB814" s="90" t="n">
        <v>55000</v>
      </c>
      <c r="AC814" s="90" t="n">
        <v>55000</v>
      </c>
      <c r="AD814" s="90" t="n">
        <v>55000</v>
      </c>
      <c r="AE814" s="90" t="n">
        <v>55000</v>
      </c>
      <c r="AF814" s="90" t="n">
        <v>55000</v>
      </c>
      <c r="AG814" s="90" t="n">
        <v>55000</v>
      </c>
      <c r="AH814" s="90" t="n">
        <v>55000</v>
      </c>
      <c r="AI814" s="90" t="n">
        <v>55000</v>
      </c>
      <c r="AJ814" s="91" t="n">
        <v>55000</v>
      </c>
      <c r="AK814" s="89" t="n">
        <v>55000</v>
      </c>
      <c r="AL814" s="90" t="n">
        <v>55000</v>
      </c>
      <c r="AM814" s="90"/>
      <c r="AN814" s="90"/>
      <c r="AO814" s="90"/>
      <c r="AP814" s="90"/>
      <c r="AQ814" s="90"/>
      <c r="AR814" s="90"/>
      <c r="AS814" s="90"/>
      <c r="AT814" s="90"/>
      <c r="AU814" s="90"/>
      <c r="AV814" s="91"/>
      <c r="AX814" s="92"/>
    </row>
    <row r="815" customFormat="false" ht="15.65" hidden="false" customHeight="false" outlineLevel="0" collapsed="false">
      <c r="C815" s="72" t="n">
        <f aca="false">COUNTIFS($D$6:D815,"&lt;&gt;"&amp;"")</f>
        <v>810</v>
      </c>
      <c r="D815" s="73" t="s">
        <v>12</v>
      </c>
      <c r="E815" s="76" t="str">
        <f aca="false">
IF($D815="정상",INDEX(임대자산!$D$3:$R$3000,MATCH($F815,임대자산!$I$3:$I$3000,0),MATCH(E$3,임대자산!$D$3:$R$3,0)),
IF($D815="폐업",INDEX(폐업정보!$D$3:$R$3000,MATCH($F815,폐업정보!$I$3:$I$3000,0),MATCH(E$3,폐업정보!$D$3:$R$3,0)),
"Error"))</f>
        <v>경상</v>
      </c>
      <c r="F81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B0810</v>
      </c>
      <c r="G815" s="76" t="str">
        <f aca="false">F815&amp;RANDBETWEEN(0,10)</f>
        <v>B08106</v>
      </c>
      <c r="H815" s="75" t="n">
        <f aca="false">
IF($D815="정상",INDEX(임대자산!$D$3:$R$3000,MATCH($F815,임대자산!$I$3:$I$3000,0),MATCH(H$4,임대자산!$D$3:$R$3,0)),
IF($D815="폐업",INDEX(폐업정보!$D$3:$R$3000,MATCH($F815,폐업정보!$I$3:$I$3000,0),MATCH(H$4,폐업정보!$D$3:$R$3,0)),
"Error"))</f>
        <v>45523</v>
      </c>
      <c r="I815" s="75" t="str">
        <f aca="false">
IF($D815="정상",INDEX(임대자산!$D$3:$R$3000,MATCH($F815,임대자산!$I$3:$I$3000,0),MATCH(I$4,임대자산!$D$3:$R$3,0)),
IF($D815="폐업",INDEX(폐업정보!$D$3:$R$3000,MATCH($F815,폐업정보!$I$3:$I$3000,0),MATCH(I$4,폐업정보!$D$3:$R$3,0)),
"Error"))</f>
        <v>A0810</v>
      </c>
      <c r="J815" s="75" t="str">
        <f aca="false">
IF($D815="정상",INDEX(임대자산!$D$3:$R$3000,MATCH($F815,임대자산!$I$3:$I$3000,0),MATCH(J$4,임대자산!$D$3:$R$3,0)),
IF($D815="폐업",INDEX(폐업정보!$D$3:$R$3000,MATCH($F815,폐업정보!$I$3:$I$3000,0),MATCH(J$4,폐업정보!$D$3:$R$3,0)),
"Error"))</f>
        <v>9523800000</v>
      </c>
      <c r="K815" s="75" t="str">
        <f aca="false">
IF($D815="정상",INDEX(임대자산!$D$3:$R$3000,MATCH($F815,임대자산!$I$3:$I$3000,0),MATCH(K$4,임대자산!$D$3:$R$3,0)),
IF($D815="폐업",INDEX(폐업정보!$D$3:$R$3000,MATCH($F815,폐업정보!$I$3:$I$3000,0),MATCH(K$4,폐업정보!$D$3:$R$3,0)),
"Error"))</f>
        <v>C0810</v>
      </c>
      <c r="L815" s="75" t="str">
        <f aca="false">
IF($D815="정상",INDEX(임대자산!$D$3:$R$3000,MATCH($F815,임대자산!$I$3:$I$3000,0),MATCH(L$4,임대자산!$D$3:$R$3,0)),
IF($D815="폐업",INDEX(폐업정보!$D$3:$R$3000,MATCH($F815,폐업정보!$I$3:$I$3000,0),MATCH(L$4,폐업정보!$D$3:$R$3,0)),
"Error"))</f>
        <v>D0810</v>
      </c>
      <c r="M815" s="76" t="s">
        <v>96</v>
      </c>
      <c r="N815" s="77"/>
      <c r="O815" s="78" t="s">
        <v>97</v>
      </c>
      <c r="P815" s="79" t="n">
        <f aca="false">COUNTIFS(임대자산!$I:$I,가맹점정보!F815,임대자산!$N:$N,가맹점정보!P$4)</f>
        <v>0</v>
      </c>
      <c r="Q815" s="80" t="n">
        <f aca="false">COUNTIFS(임대자산!$I:$I,가맹점정보!F815,임대자산!$N:$N,가맹점정보!Q$4)</f>
        <v>1</v>
      </c>
      <c r="R815" s="81" t="n">
        <f aca="false">COUNTIFS(임대자산!$I:$I,가맹점정보!F815,임대자산!$N:$N,가맹점정보!R$4)</f>
        <v>0</v>
      </c>
      <c r="S815" s="82" t="n">
        <v>55000</v>
      </c>
      <c r="T815" s="83" t="n">
        <v>0</v>
      </c>
      <c r="U815" s="80" t="n">
        <f aca="false">SUM(S815:T815)</f>
        <v>55000</v>
      </c>
      <c r="V815" s="84" t="s">
        <v>12</v>
      </c>
      <c r="W815" s="80" t="e">
        <f aca="true">
IF(D815="폐업","폐업",
IF(V815="면제","면제",
IF(AND(V815="정상",COUNTIFS(OFFSET(Y815,0,COUNTA(Y815:AV815)-1,1,-4),"미납")&gt;=3),"장기미납",
IF(AND(V815="정상",OFFSET(Y815,0,COUNTA(Y815:AV815)-1)&gt;=U815),"정상",
IF(AND(V815="정상",OFFSET(Y815,0,COUNTA(Y815:AV815)-1)=0),"정상",
"계약서 미작성")))))</f>
        <v>#VALUE!</v>
      </c>
      <c r="X815" s="81" t="str">
        <f aca="true">
IF(D815="폐업","폐업",
IF(AND(V815="정상",OFFSET(Y815,0,COUNTA(Y815:AV815)-1)="미납"),"미납",
IF(AND(V815="정상",OFFSET(Y815,0,COUNTA(Y815:AV815)-1)=0),"납부 시작 전",
IF(AND(V815="정상",OFFSET(Y815,0,COUNTA(Y815:AV815)-1)&gt;=U815),"정상",
IF(AND(V815="면제",OFFSET(Y815,0,COUNTA(Y815:AV815)-1)="면제"),"면제",
IF(AND(V815="면제",OFFSET(Y815,0,COUNTA(Y815:AV815)-1)=0),"면제",
"확인요청"))))))</f>
        <v>정상</v>
      </c>
      <c r="Y815" s="93" t="n">
        <v>55000</v>
      </c>
      <c r="Z815" s="90" t="n">
        <v>55000</v>
      </c>
      <c r="AA815" s="90" t="n">
        <v>55000</v>
      </c>
      <c r="AB815" s="90" t="n">
        <v>55000</v>
      </c>
      <c r="AC815" s="90" t="n">
        <v>55000</v>
      </c>
      <c r="AD815" s="90" t="n">
        <v>55000</v>
      </c>
      <c r="AE815" s="90" t="n">
        <v>55000</v>
      </c>
      <c r="AF815" s="90" t="n">
        <v>55000</v>
      </c>
      <c r="AG815" s="90" t="n">
        <v>55000</v>
      </c>
      <c r="AH815" s="90" t="n">
        <v>55000</v>
      </c>
      <c r="AI815" s="90" t="n">
        <v>55000</v>
      </c>
      <c r="AJ815" s="91" t="n">
        <v>55000</v>
      </c>
      <c r="AK815" s="89" t="n">
        <v>55000</v>
      </c>
      <c r="AL815" s="90" t="n">
        <v>55000</v>
      </c>
      <c r="AM815" s="90"/>
      <c r="AN815" s="90"/>
      <c r="AO815" s="90"/>
      <c r="AP815" s="90"/>
      <c r="AQ815" s="90"/>
      <c r="AR815" s="90"/>
      <c r="AS815" s="90"/>
      <c r="AT815" s="90"/>
      <c r="AU815" s="90"/>
      <c r="AV815" s="91"/>
      <c r="AX815" s="92"/>
    </row>
    <row r="816" customFormat="false" ht="15.65" hidden="false" customHeight="false" outlineLevel="0" collapsed="false">
      <c r="C816" s="72" t="n">
        <f aca="false">COUNTIFS($D$6:D816,"&lt;&gt;"&amp;"")</f>
        <v>811</v>
      </c>
      <c r="D816" s="73" t="s">
        <v>12</v>
      </c>
      <c r="E816" s="76" t="str">
        <f aca="false">
IF($D816="정상",INDEX(임대자산!$D$3:$R$3000,MATCH($F816,임대자산!$I$3:$I$3000,0),MATCH(E$3,임대자산!$D$3:$R$3,0)),
IF($D816="폐업",INDEX(폐업정보!$D$3:$R$3000,MATCH($F816,폐업정보!$I$3:$I$3000,0),MATCH(E$3,폐업정보!$D$3:$R$3,0)),
"Error"))</f>
        <v>경상</v>
      </c>
      <c r="F81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B0811</v>
      </c>
      <c r="G816" s="76" t="str">
        <f aca="false">F816&amp;RANDBETWEEN(0,10)</f>
        <v>B08118</v>
      </c>
      <c r="H816" s="75" t="n">
        <f aca="false">
IF($D816="정상",INDEX(임대자산!$D$3:$R$3000,MATCH($F816,임대자산!$I$3:$I$3000,0),MATCH(H$4,임대자산!$D$3:$R$3,0)),
IF($D816="폐업",INDEX(폐업정보!$D$3:$R$3000,MATCH($F816,폐업정보!$I$3:$I$3000,0),MATCH(H$4,폐업정보!$D$3:$R$3,0)),
"Error"))</f>
        <v>43438</v>
      </c>
      <c r="I816" s="75" t="str">
        <f aca="false">
IF($D816="정상",INDEX(임대자산!$D$3:$R$3000,MATCH($F816,임대자산!$I$3:$I$3000,0),MATCH(I$4,임대자산!$D$3:$R$3,0)),
IF($D816="폐업",INDEX(폐업정보!$D$3:$R$3000,MATCH($F816,폐업정보!$I$3:$I$3000,0),MATCH(I$4,폐업정보!$D$3:$R$3,0)),
"Error"))</f>
        <v>A0811</v>
      </c>
      <c r="J816" s="75" t="str">
        <f aca="false">
IF($D816="정상",INDEX(임대자산!$D$3:$R$3000,MATCH($F816,임대자산!$I$3:$I$3000,0),MATCH(J$4,임대자산!$D$3:$R$3,0)),
IF($D816="폐업",INDEX(폐업정보!$D$3:$R$3000,MATCH($F816,폐업정보!$I$3:$I$3000,0),MATCH(J$4,폐업정보!$D$3:$R$3,0)),
"Error"))</f>
        <v>9572900000</v>
      </c>
      <c r="K816" s="75" t="str">
        <f aca="false">
IF($D816="정상",INDEX(임대자산!$D$3:$R$3000,MATCH($F816,임대자산!$I$3:$I$3000,0),MATCH(K$4,임대자산!$D$3:$R$3,0)),
IF($D816="폐업",INDEX(폐업정보!$D$3:$R$3000,MATCH($F816,폐업정보!$I$3:$I$3000,0),MATCH(K$4,폐업정보!$D$3:$R$3,0)),
"Error"))</f>
        <v>C0811</v>
      </c>
      <c r="L816" s="75" t="str">
        <f aca="false">
IF($D816="정상",INDEX(임대자산!$D$3:$R$3000,MATCH($F816,임대자산!$I$3:$I$3000,0),MATCH(L$4,임대자산!$D$3:$R$3,0)),
IF($D816="폐업",INDEX(폐업정보!$D$3:$R$3000,MATCH($F816,폐업정보!$I$3:$I$3000,0),MATCH(L$4,폐업정보!$D$3:$R$3,0)),
"Error"))</f>
        <v>D0811</v>
      </c>
      <c r="M816" s="76" t="s">
        <v>96</v>
      </c>
      <c r="N816" s="77"/>
      <c r="O816" s="78" t="s">
        <v>97</v>
      </c>
      <c r="P816" s="79" t="n">
        <f aca="false">COUNTIFS(임대자산!$I:$I,가맹점정보!F816,임대자산!$N:$N,가맹점정보!P$4)</f>
        <v>0</v>
      </c>
      <c r="Q816" s="80" t="n">
        <f aca="false">COUNTIFS(임대자산!$I:$I,가맹점정보!F816,임대자산!$N:$N,가맹점정보!Q$4)</f>
        <v>1</v>
      </c>
      <c r="R816" s="81" t="n">
        <f aca="false">COUNTIFS(임대자산!$I:$I,가맹점정보!F816,임대자산!$N:$N,가맹점정보!R$4)</f>
        <v>0</v>
      </c>
      <c r="S816" s="82" t="n">
        <v>55000</v>
      </c>
      <c r="T816" s="83" t="n">
        <v>0</v>
      </c>
      <c r="U816" s="80" t="n">
        <f aca="false">SUM(S816:T816)</f>
        <v>55000</v>
      </c>
      <c r="V816" s="84" t="s">
        <v>12</v>
      </c>
      <c r="W816" s="80" t="e">
        <f aca="true">
IF(D816="폐업","폐업",
IF(V816="면제","면제",
IF(AND(V816="정상",COUNTIFS(OFFSET(Y816,0,COUNTA(Y816:AV816)-1,1,-4),"미납")&gt;=3),"장기미납",
IF(AND(V816="정상",OFFSET(Y816,0,COUNTA(Y816:AV816)-1)&gt;=U816),"정상",
IF(AND(V816="정상",OFFSET(Y816,0,COUNTA(Y816:AV816)-1)=0),"정상",
"계약서 미작성")))))</f>
        <v>#VALUE!</v>
      </c>
      <c r="X816" s="81" t="str">
        <f aca="true">
IF(D816="폐업","폐업",
IF(AND(V816="정상",OFFSET(Y816,0,COUNTA(Y816:AV816)-1)="미납"),"미납",
IF(AND(V816="정상",OFFSET(Y816,0,COUNTA(Y816:AV816)-1)=0),"납부 시작 전",
IF(AND(V816="정상",OFFSET(Y816,0,COUNTA(Y816:AV816)-1)&gt;=U816),"정상",
IF(AND(V816="면제",OFFSET(Y816,0,COUNTA(Y816:AV816)-1)="면제"),"면제",
IF(AND(V816="면제",OFFSET(Y816,0,COUNTA(Y816:AV816)-1)=0),"면제",
"확인요청"))))))</f>
        <v>정상</v>
      </c>
      <c r="Y816" s="93" t="n">
        <v>55000</v>
      </c>
      <c r="Z816" s="90" t="n">
        <v>55000</v>
      </c>
      <c r="AA816" s="90" t="n">
        <v>55000</v>
      </c>
      <c r="AB816" s="90" t="n">
        <v>55000</v>
      </c>
      <c r="AC816" s="90" t="n">
        <v>55000</v>
      </c>
      <c r="AD816" s="90" t="n">
        <v>55000</v>
      </c>
      <c r="AE816" s="90" t="n">
        <v>55000</v>
      </c>
      <c r="AF816" s="90" t="n">
        <v>55000</v>
      </c>
      <c r="AG816" s="90" t="n">
        <v>55000</v>
      </c>
      <c r="AH816" s="90" t="n">
        <v>55000</v>
      </c>
      <c r="AI816" s="90" t="n">
        <v>55000</v>
      </c>
      <c r="AJ816" s="91" t="n">
        <v>55000</v>
      </c>
      <c r="AK816" s="89" t="n">
        <v>55000</v>
      </c>
      <c r="AL816" s="90" t="n">
        <v>55000</v>
      </c>
      <c r="AM816" s="90"/>
      <c r="AN816" s="90"/>
      <c r="AO816" s="90"/>
      <c r="AP816" s="90"/>
      <c r="AQ816" s="90"/>
      <c r="AR816" s="90"/>
      <c r="AS816" s="90"/>
      <c r="AT816" s="90"/>
      <c r="AU816" s="90"/>
      <c r="AV816" s="91"/>
      <c r="AX816" s="92"/>
    </row>
    <row r="817" customFormat="false" ht="15.65" hidden="false" customHeight="false" outlineLevel="0" collapsed="false">
      <c r="C817" s="72" t="n">
        <f aca="false">COUNTIFS($D$6:D817,"&lt;&gt;"&amp;"")</f>
        <v>812</v>
      </c>
      <c r="D817" s="73" t="s">
        <v>12</v>
      </c>
      <c r="E817" s="76" t="str">
        <f aca="false">
IF($D817="정상",INDEX(임대자산!$D$3:$R$3000,MATCH($F817,임대자산!$I$3:$I$3000,0),MATCH(E$3,임대자산!$D$3:$R$3,0)),
IF($D817="폐업",INDEX(폐업정보!$D$3:$R$3000,MATCH($F817,폐업정보!$I$3:$I$3000,0),MATCH(E$3,폐업정보!$D$3:$R$3,0)),
"Error"))</f>
        <v>서울</v>
      </c>
      <c r="F81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B0812</v>
      </c>
      <c r="G817" s="76" t="str">
        <f aca="false">F817&amp;RANDBETWEEN(0,10)</f>
        <v>B08129</v>
      </c>
      <c r="H817" s="75" t="n">
        <f aca="false">
IF($D817="정상",INDEX(임대자산!$D$3:$R$3000,MATCH($F817,임대자산!$I$3:$I$3000,0),MATCH(H$4,임대자산!$D$3:$R$3,0)),
IF($D817="폐업",INDEX(폐업정보!$D$3:$R$3000,MATCH($F817,폐업정보!$I$3:$I$3000,0),MATCH(H$4,폐업정보!$D$3:$R$3,0)),
"Error"))</f>
        <v>45518</v>
      </c>
      <c r="I817" s="75" t="str">
        <f aca="false">
IF($D817="정상",INDEX(임대자산!$D$3:$R$3000,MATCH($F817,임대자산!$I$3:$I$3000,0),MATCH(I$4,임대자산!$D$3:$R$3,0)),
IF($D817="폐업",INDEX(폐업정보!$D$3:$R$3000,MATCH($F817,폐업정보!$I$3:$I$3000,0),MATCH(I$4,폐업정보!$D$3:$R$3,0)),
"Error"))</f>
        <v>A0812</v>
      </c>
      <c r="J817" s="75" t="str">
        <f aca="false">
IF($D817="정상",INDEX(임대자산!$D$3:$R$3000,MATCH($F817,임대자산!$I$3:$I$3000,0),MATCH(J$4,임대자산!$D$3:$R$3,0)),
IF($D817="폐업",INDEX(폐업정보!$D$3:$R$3000,MATCH($F817,폐업정보!$I$3:$I$3000,0),MATCH(J$4,폐업정보!$D$3:$R$3,0)),
"Error"))</f>
        <v>7500300000</v>
      </c>
      <c r="K817" s="75" t="str">
        <f aca="false">
IF($D817="정상",INDEX(임대자산!$D$3:$R$3000,MATCH($F817,임대자산!$I$3:$I$3000,0),MATCH(K$4,임대자산!$D$3:$R$3,0)),
IF($D817="폐업",INDEX(폐업정보!$D$3:$R$3000,MATCH($F817,폐업정보!$I$3:$I$3000,0),MATCH(K$4,폐업정보!$D$3:$R$3,0)),
"Error"))</f>
        <v>C0812</v>
      </c>
      <c r="L817" s="75" t="str">
        <f aca="false">
IF($D817="정상",INDEX(임대자산!$D$3:$R$3000,MATCH($F817,임대자산!$I$3:$I$3000,0),MATCH(L$4,임대자산!$D$3:$R$3,0)),
IF($D817="폐업",INDEX(폐업정보!$D$3:$R$3000,MATCH($F817,폐업정보!$I$3:$I$3000,0),MATCH(L$4,폐업정보!$D$3:$R$3,0)),
"Error"))</f>
        <v>D0812</v>
      </c>
      <c r="M817" s="76" t="s">
        <v>96</v>
      </c>
      <c r="N817" s="77"/>
      <c r="O817" s="78" t="s">
        <v>97</v>
      </c>
      <c r="P817" s="79" t="n">
        <f aca="false">COUNTIFS(임대자산!$I:$I,가맹점정보!F817,임대자산!$N:$N,가맹점정보!P$4)</f>
        <v>0</v>
      </c>
      <c r="Q817" s="80" t="n">
        <f aca="false">COUNTIFS(임대자산!$I:$I,가맹점정보!F817,임대자산!$N:$N,가맹점정보!Q$4)</f>
        <v>1</v>
      </c>
      <c r="R817" s="81" t="n">
        <f aca="false">COUNTIFS(임대자산!$I:$I,가맹점정보!F817,임대자산!$N:$N,가맹점정보!R$4)</f>
        <v>0</v>
      </c>
      <c r="S817" s="82" t="n">
        <v>55000</v>
      </c>
      <c r="T817" s="83" t="n">
        <v>0</v>
      </c>
      <c r="U817" s="80" t="n">
        <f aca="false">SUM(S817:T817)</f>
        <v>55000</v>
      </c>
      <c r="V817" s="84" t="s">
        <v>12</v>
      </c>
      <c r="W817" s="80" t="e">
        <f aca="true">
IF(D817="폐업","폐업",
IF(V817="면제","면제",
IF(AND(V817="정상",COUNTIFS(OFFSET(Y817,0,COUNTA(Y817:AV817)-1,1,-4),"미납")&gt;=3),"장기미납",
IF(AND(V817="정상",OFFSET(Y817,0,COUNTA(Y817:AV817)-1)&gt;=U817),"정상",
IF(AND(V817="정상",OFFSET(Y817,0,COUNTA(Y817:AV817)-1)=0),"정상",
"계약서 미작성")))))</f>
        <v>#VALUE!</v>
      </c>
      <c r="X817" s="81" t="str">
        <f aca="true">
IF(D817="폐업","폐업",
IF(AND(V817="정상",OFFSET(Y817,0,COUNTA(Y817:AV817)-1)="미납"),"미납",
IF(AND(V817="정상",OFFSET(Y817,0,COUNTA(Y817:AV817)-1)=0),"납부 시작 전",
IF(AND(V817="정상",OFFSET(Y817,0,COUNTA(Y817:AV817)-1)&gt;=U817),"정상",
IF(AND(V817="면제",OFFSET(Y817,0,COUNTA(Y817:AV817)-1)="면제"),"면제",
IF(AND(V817="면제",OFFSET(Y817,0,COUNTA(Y817:AV817)-1)=0),"면제",
"확인요청"))))))</f>
        <v>정상</v>
      </c>
      <c r="Y817" s="93" t="n">
        <v>55000</v>
      </c>
      <c r="Z817" s="90" t="n">
        <v>55000</v>
      </c>
      <c r="AA817" s="90" t="n">
        <v>55000</v>
      </c>
      <c r="AB817" s="90" t="n">
        <v>55000</v>
      </c>
      <c r="AC817" s="90" t="n">
        <v>55000</v>
      </c>
      <c r="AD817" s="90" t="n">
        <v>55000</v>
      </c>
      <c r="AE817" s="90" t="n">
        <v>55000</v>
      </c>
      <c r="AF817" s="90" t="n">
        <v>55000</v>
      </c>
      <c r="AG817" s="90" t="n">
        <v>55000</v>
      </c>
      <c r="AH817" s="90" t="n">
        <v>55000</v>
      </c>
      <c r="AI817" s="90" t="n">
        <v>55000</v>
      </c>
      <c r="AJ817" s="91" t="n">
        <v>55000</v>
      </c>
      <c r="AK817" s="89" t="n">
        <v>55000</v>
      </c>
      <c r="AL817" s="90" t="n">
        <v>55000</v>
      </c>
      <c r="AM817" s="90"/>
      <c r="AN817" s="90"/>
      <c r="AO817" s="90"/>
      <c r="AP817" s="90"/>
      <c r="AQ817" s="90"/>
      <c r="AR817" s="90"/>
      <c r="AS817" s="90"/>
      <c r="AT817" s="90"/>
      <c r="AU817" s="90"/>
      <c r="AV817" s="91"/>
      <c r="AX817" s="92"/>
    </row>
    <row r="818" customFormat="false" ht="15.65" hidden="false" customHeight="false" outlineLevel="0" collapsed="false">
      <c r="C818" s="72" t="n">
        <f aca="false">COUNTIFS($D$6:D818,"&lt;&gt;"&amp;"")</f>
        <v>813</v>
      </c>
      <c r="D818" s="73" t="s">
        <v>12</v>
      </c>
      <c r="E818" s="76" t="str">
        <f aca="false">
IF($D818="정상",INDEX(임대자산!$D$3:$R$3000,MATCH($F818,임대자산!$I$3:$I$3000,0),MATCH(E$3,임대자산!$D$3:$R$3,0)),
IF($D818="폐업",INDEX(폐업정보!$D$3:$R$3000,MATCH($F818,폐업정보!$I$3:$I$3000,0),MATCH(E$3,폐업정보!$D$3:$R$3,0)),
"Error"))</f>
        <v>경기</v>
      </c>
      <c r="F81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B0813</v>
      </c>
      <c r="G818" s="76" t="str">
        <f aca="false">F818&amp;RANDBETWEEN(0,10)</f>
        <v>B08137</v>
      </c>
      <c r="H818" s="75" t="n">
        <f aca="false">
IF($D818="정상",INDEX(임대자산!$D$3:$R$3000,MATCH($F818,임대자산!$I$3:$I$3000,0),MATCH(H$4,임대자산!$D$3:$R$3,0)),
IF($D818="폐업",INDEX(폐업정보!$D$3:$R$3000,MATCH($F818,폐업정보!$I$3:$I$3000,0),MATCH(H$4,폐업정보!$D$3:$R$3,0)),
"Error"))</f>
        <v>45533</v>
      </c>
      <c r="I818" s="75" t="str">
        <f aca="false">
IF($D818="정상",INDEX(임대자산!$D$3:$R$3000,MATCH($F818,임대자산!$I$3:$I$3000,0),MATCH(I$4,임대자산!$D$3:$R$3,0)),
IF($D818="폐업",INDEX(폐업정보!$D$3:$R$3000,MATCH($F818,폐업정보!$I$3:$I$3000,0),MATCH(I$4,폐업정보!$D$3:$R$3,0)),
"Error"))</f>
        <v>A0813</v>
      </c>
      <c r="J818" s="75" t="str">
        <f aca="false">
IF($D818="정상",INDEX(임대자산!$D$3:$R$3000,MATCH($F818,임대자산!$I$3:$I$3000,0),MATCH(J$4,임대자산!$D$3:$R$3,0)),
IF($D818="폐업",INDEX(폐업정보!$D$3:$R$3000,MATCH($F818,폐업정보!$I$3:$I$3000,0),MATCH(J$4,폐업정보!$D$3:$R$3,0)),
"Error"))</f>
        <v>3492400000</v>
      </c>
      <c r="K818" s="75" t="str">
        <f aca="false">
IF($D818="정상",INDEX(임대자산!$D$3:$R$3000,MATCH($F818,임대자산!$I$3:$I$3000,0),MATCH(K$4,임대자산!$D$3:$R$3,0)),
IF($D818="폐업",INDEX(폐업정보!$D$3:$R$3000,MATCH($F818,폐업정보!$I$3:$I$3000,0),MATCH(K$4,폐업정보!$D$3:$R$3,0)),
"Error"))</f>
        <v>C0813</v>
      </c>
      <c r="L818" s="75" t="str">
        <f aca="false">
IF($D818="정상",INDEX(임대자산!$D$3:$R$3000,MATCH($F818,임대자산!$I$3:$I$3000,0),MATCH(L$4,임대자산!$D$3:$R$3,0)),
IF($D818="폐업",INDEX(폐업정보!$D$3:$R$3000,MATCH($F818,폐업정보!$I$3:$I$3000,0),MATCH(L$4,폐업정보!$D$3:$R$3,0)),
"Error"))</f>
        <v>D0813</v>
      </c>
      <c r="M818" s="76" t="s">
        <v>96</v>
      </c>
      <c r="N818" s="77"/>
      <c r="O818" s="78" t="s">
        <v>97</v>
      </c>
      <c r="P818" s="79" t="n">
        <f aca="false">COUNTIFS(임대자산!$I:$I,가맹점정보!F818,임대자산!$N:$N,가맹점정보!P$4)</f>
        <v>0</v>
      </c>
      <c r="Q818" s="80" t="n">
        <f aca="false">COUNTIFS(임대자산!$I:$I,가맹점정보!F818,임대자산!$N:$N,가맹점정보!Q$4)</f>
        <v>1</v>
      </c>
      <c r="R818" s="81" t="n">
        <f aca="false">COUNTIFS(임대자산!$I:$I,가맹점정보!F818,임대자산!$N:$N,가맹점정보!R$4)</f>
        <v>0</v>
      </c>
      <c r="S818" s="82" t="n">
        <v>88000</v>
      </c>
      <c r="T818" s="83" t="n">
        <v>0</v>
      </c>
      <c r="U818" s="80" t="n">
        <f aca="false">SUM(S818:T818)</f>
        <v>88000</v>
      </c>
      <c r="V818" s="84" t="s">
        <v>12</v>
      </c>
      <c r="W818" s="80" t="e">
        <f aca="true">
IF(D818="폐업","폐업",
IF(V818="면제","면제",
IF(AND(V818="정상",COUNTIFS(OFFSET(Y818,0,COUNTA(Y818:AV818)-1,1,-4),"미납")&gt;=3),"장기미납",
IF(AND(V818="정상",OFFSET(Y818,0,COUNTA(Y818:AV818)-1)&gt;=U818),"정상",
IF(AND(V818="정상",OFFSET(Y818,0,COUNTA(Y818:AV818)-1)=0),"정상",
"계약서 미작성")))))</f>
        <v>#VALUE!</v>
      </c>
      <c r="X818" s="81" t="str">
        <f aca="true">
IF(D818="폐업","폐업",
IF(AND(V818="정상",OFFSET(Y818,0,COUNTA(Y818:AV818)-1)="미납"),"미납",
IF(AND(V818="정상",OFFSET(Y818,0,COUNTA(Y818:AV818)-1)=0),"납부 시작 전",
IF(AND(V818="정상",OFFSET(Y818,0,COUNTA(Y818:AV818)-1)&gt;=U818),"정상",
IF(AND(V818="면제",OFFSET(Y818,0,COUNTA(Y818:AV818)-1)="면제"),"면제",
IF(AND(V818="면제",OFFSET(Y818,0,COUNTA(Y818:AV818)-1)=0),"면제",
"확인요청"))))))</f>
        <v>정상</v>
      </c>
      <c r="Y818" s="93" t="n">
        <v>88000</v>
      </c>
      <c r="Z818" s="90" t="n">
        <v>88000</v>
      </c>
      <c r="AA818" s="90" t="n">
        <v>88000</v>
      </c>
      <c r="AB818" s="90" t="n">
        <v>88000</v>
      </c>
      <c r="AC818" s="90" t="n">
        <v>88000</v>
      </c>
      <c r="AD818" s="90" t="n">
        <v>88000</v>
      </c>
      <c r="AE818" s="90" t="n">
        <v>88000</v>
      </c>
      <c r="AF818" s="90" t="n">
        <v>88000</v>
      </c>
      <c r="AG818" s="90" t="n">
        <v>88000</v>
      </c>
      <c r="AH818" s="90" t="n">
        <v>88000</v>
      </c>
      <c r="AI818" s="90" t="n">
        <v>88000</v>
      </c>
      <c r="AJ818" s="91" t="n">
        <v>88000</v>
      </c>
      <c r="AK818" s="89" t="n">
        <v>88000</v>
      </c>
      <c r="AL818" s="90" t="n">
        <v>88000</v>
      </c>
      <c r="AM818" s="90"/>
      <c r="AN818" s="90"/>
      <c r="AO818" s="90"/>
      <c r="AP818" s="90"/>
      <c r="AQ818" s="90"/>
      <c r="AR818" s="90"/>
      <c r="AS818" s="90"/>
      <c r="AT818" s="90"/>
      <c r="AU818" s="90"/>
      <c r="AV818" s="91"/>
      <c r="AX818" s="92"/>
    </row>
    <row r="819" customFormat="false" ht="15.65" hidden="false" customHeight="false" outlineLevel="0" collapsed="false">
      <c r="C819" s="72" t="n">
        <f aca="false">COUNTIFS($D$6:D819,"&lt;&gt;"&amp;"")</f>
        <v>814</v>
      </c>
      <c r="D819" s="73" t="s">
        <v>12</v>
      </c>
      <c r="E819" s="76" t="str">
        <f aca="false">
IF($D819="정상",INDEX(임대자산!$D$3:$R$3000,MATCH($F819,임대자산!$I$3:$I$3000,0),MATCH(E$3,임대자산!$D$3:$R$3,0)),
IF($D819="폐업",INDEX(폐업정보!$D$3:$R$3000,MATCH($F819,폐업정보!$I$3:$I$3000,0),MATCH(E$3,폐업정보!$D$3:$R$3,0)),
"Error"))</f>
        <v>서울</v>
      </c>
      <c r="F81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B0814</v>
      </c>
      <c r="G819" s="76" t="str">
        <f aca="false">F819&amp;RANDBETWEEN(0,10)</f>
        <v>B08140</v>
      </c>
      <c r="H819" s="75" t="n">
        <f aca="false">
IF($D819="정상",INDEX(임대자산!$D$3:$R$3000,MATCH($F819,임대자산!$I$3:$I$3000,0),MATCH(H$4,임대자산!$D$3:$R$3,0)),
IF($D819="폐업",INDEX(폐업정보!$D$3:$R$3000,MATCH($F819,폐업정보!$I$3:$I$3000,0),MATCH(H$4,폐업정보!$D$3:$R$3,0)),
"Error"))</f>
        <v>45555</v>
      </c>
      <c r="I819" s="75" t="str">
        <f aca="false">
IF($D819="정상",INDEX(임대자산!$D$3:$R$3000,MATCH($F819,임대자산!$I$3:$I$3000,0),MATCH(I$4,임대자산!$D$3:$R$3,0)),
IF($D819="폐업",INDEX(폐업정보!$D$3:$R$3000,MATCH($F819,폐업정보!$I$3:$I$3000,0),MATCH(I$4,폐업정보!$D$3:$R$3,0)),
"Error"))</f>
        <v>A0814</v>
      </c>
      <c r="J819" s="75" t="str">
        <f aca="false">
IF($D819="정상",INDEX(임대자산!$D$3:$R$3000,MATCH($F819,임대자산!$I$3:$I$3000,0),MATCH(J$4,임대자산!$D$3:$R$3,0)),
IF($D819="폐업",INDEX(폐업정보!$D$3:$R$3000,MATCH($F819,폐업정보!$I$3:$I$3000,0),MATCH(J$4,폐업정보!$D$3:$R$3,0)),
"Error"))</f>
        <v>8046300000</v>
      </c>
      <c r="K819" s="75" t="str">
        <f aca="false">
IF($D819="정상",INDEX(임대자산!$D$3:$R$3000,MATCH($F819,임대자산!$I$3:$I$3000,0),MATCH(K$4,임대자산!$D$3:$R$3,0)),
IF($D819="폐업",INDEX(폐업정보!$D$3:$R$3000,MATCH($F819,폐업정보!$I$3:$I$3000,0),MATCH(K$4,폐업정보!$D$3:$R$3,0)),
"Error"))</f>
        <v>C0814</v>
      </c>
      <c r="L819" s="75" t="str">
        <f aca="false">
IF($D819="정상",INDEX(임대자산!$D$3:$R$3000,MATCH($F819,임대자산!$I$3:$I$3000,0),MATCH(L$4,임대자산!$D$3:$R$3,0)),
IF($D819="폐업",INDEX(폐업정보!$D$3:$R$3000,MATCH($F819,폐업정보!$I$3:$I$3000,0),MATCH(L$4,폐업정보!$D$3:$R$3,0)),
"Error"))</f>
        <v>D0814</v>
      </c>
      <c r="M819" s="76" t="s">
        <v>96</v>
      </c>
      <c r="N819" s="77"/>
      <c r="O819" s="78" t="s">
        <v>97</v>
      </c>
      <c r="P819" s="79" t="n">
        <f aca="false">COUNTIFS(임대자산!$I:$I,가맹점정보!F819,임대자산!$N:$N,가맹점정보!P$4)</f>
        <v>0</v>
      </c>
      <c r="Q819" s="80" t="n">
        <f aca="false">COUNTIFS(임대자산!$I:$I,가맹점정보!F819,임대자산!$N:$N,가맹점정보!Q$4)</f>
        <v>1</v>
      </c>
      <c r="R819" s="81" t="n">
        <f aca="false">COUNTIFS(임대자산!$I:$I,가맹점정보!F819,임대자산!$N:$N,가맹점정보!R$4)</f>
        <v>0</v>
      </c>
      <c r="S819" s="82" t="n">
        <v>55000</v>
      </c>
      <c r="T819" s="83" t="n">
        <v>0</v>
      </c>
      <c r="U819" s="80" t="n">
        <f aca="false">SUM(S819:T819)</f>
        <v>55000</v>
      </c>
      <c r="V819" s="84" t="s">
        <v>12</v>
      </c>
      <c r="W819" s="80" t="e">
        <f aca="true">
IF(D819="폐업","폐업",
IF(V819="면제","면제",
IF(AND(V819="정상",COUNTIFS(OFFSET(Y819,0,COUNTA(Y819:AV819)-1,1,-4),"미납")&gt;=3),"장기미납",
IF(AND(V819="정상",OFFSET(Y819,0,COUNTA(Y819:AV819)-1)&gt;=U819),"정상",
IF(AND(V819="정상",OFFSET(Y819,0,COUNTA(Y819:AV819)-1)=0),"정상",
"계약서 미작성")))))</f>
        <v>#VALUE!</v>
      </c>
      <c r="X819" s="81" t="str">
        <f aca="true">
IF(D819="폐업","폐업",
IF(AND(V819="정상",OFFSET(Y819,0,COUNTA(Y819:AV819)-1)="미납"),"미납",
IF(AND(V819="정상",OFFSET(Y819,0,COUNTA(Y819:AV819)-1)=0),"납부 시작 전",
IF(AND(V819="정상",OFFSET(Y819,0,COUNTA(Y819:AV819)-1)&gt;=U819),"정상",
IF(AND(V819="면제",OFFSET(Y819,0,COUNTA(Y819:AV819)-1)="면제"),"면제",
IF(AND(V819="면제",OFFSET(Y819,0,COUNTA(Y819:AV819)-1)=0),"면제",
"확인요청"))))))</f>
        <v>정상</v>
      </c>
      <c r="Y819" s="93" t="n">
        <v>55000</v>
      </c>
      <c r="Z819" s="90" t="n">
        <v>55000</v>
      </c>
      <c r="AA819" s="90" t="n">
        <v>55000</v>
      </c>
      <c r="AB819" s="90" t="n">
        <v>55000</v>
      </c>
      <c r="AC819" s="90" t="n">
        <v>55000</v>
      </c>
      <c r="AD819" s="90" t="n">
        <v>55000</v>
      </c>
      <c r="AE819" s="90" t="n">
        <v>55000</v>
      </c>
      <c r="AF819" s="90" t="n">
        <v>55000</v>
      </c>
      <c r="AG819" s="90" t="n">
        <v>55000</v>
      </c>
      <c r="AH819" s="90" t="n">
        <v>55000</v>
      </c>
      <c r="AI819" s="90" t="n">
        <v>55000</v>
      </c>
      <c r="AJ819" s="91" t="n">
        <v>55000</v>
      </c>
      <c r="AK819" s="89" t="n">
        <v>55000</v>
      </c>
      <c r="AL819" s="90" t="n">
        <v>55000</v>
      </c>
      <c r="AM819" s="90"/>
      <c r="AN819" s="90"/>
      <c r="AO819" s="90"/>
      <c r="AP819" s="90"/>
      <c r="AQ819" s="90"/>
      <c r="AR819" s="90"/>
      <c r="AS819" s="90"/>
      <c r="AT819" s="90"/>
      <c r="AU819" s="90"/>
      <c r="AV819" s="91"/>
      <c r="AX819" s="92"/>
    </row>
    <row r="820" customFormat="false" ht="15.65" hidden="false" customHeight="false" outlineLevel="0" collapsed="false">
      <c r="C820" s="72" t="n">
        <f aca="false">COUNTIFS($D$6:D820,"&lt;&gt;"&amp;"")</f>
        <v>815</v>
      </c>
      <c r="D820" s="73" t="s">
        <v>12</v>
      </c>
      <c r="E820" s="76" t="str">
        <f aca="false">
IF($D820="정상",INDEX(임대자산!$D$3:$R$3000,MATCH($F820,임대자산!$I$3:$I$3000,0),MATCH(E$3,임대자산!$D$3:$R$3,0)),
IF($D820="폐업",INDEX(폐업정보!$D$3:$R$3000,MATCH($F820,폐업정보!$I$3:$I$3000,0),MATCH(E$3,폐업정보!$D$3:$R$3,0)),
"Error"))</f>
        <v>경기</v>
      </c>
      <c r="F82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B0815</v>
      </c>
      <c r="G820" s="76" t="str">
        <f aca="false">F820&amp;RANDBETWEEN(0,10)</f>
        <v>B08159</v>
      </c>
      <c r="H820" s="75" t="n">
        <f aca="false">
IF($D820="정상",INDEX(임대자산!$D$3:$R$3000,MATCH($F820,임대자산!$I$3:$I$3000,0),MATCH(H$4,임대자산!$D$3:$R$3,0)),
IF($D820="폐업",INDEX(폐업정보!$D$3:$R$3000,MATCH($F820,폐업정보!$I$3:$I$3000,0),MATCH(H$4,폐업정보!$D$3:$R$3,0)),
"Error"))</f>
        <v>45777</v>
      </c>
      <c r="I820" s="75" t="str">
        <f aca="false">
IF($D820="정상",INDEX(임대자산!$D$3:$R$3000,MATCH($F820,임대자산!$I$3:$I$3000,0),MATCH(I$4,임대자산!$D$3:$R$3,0)),
IF($D820="폐업",INDEX(폐업정보!$D$3:$R$3000,MATCH($F820,폐업정보!$I$3:$I$3000,0),MATCH(I$4,폐업정보!$D$3:$R$3,0)),
"Error"))</f>
        <v>A0815</v>
      </c>
      <c r="J820" s="75" t="str">
        <f aca="false">
IF($D820="정상",INDEX(임대자산!$D$3:$R$3000,MATCH($F820,임대자산!$I$3:$I$3000,0),MATCH(J$4,임대자산!$D$3:$R$3,0)),
IF($D820="폐업",INDEX(폐업정보!$D$3:$R$3000,MATCH($F820,폐업정보!$I$3:$I$3000,0),MATCH(J$4,폐업정보!$D$3:$R$3,0)),
"Error"))</f>
        <v>8109300000</v>
      </c>
      <c r="K820" s="75" t="str">
        <f aca="false">
IF($D820="정상",INDEX(임대자산!$D$3:$R$3000,MATCH($F820,임대자산!$I$3:$I$3000,0),MATCH(K$4,임대자산!$D$3:$R$3,0)),
IF($D820="폐업",INDEX(폐업정보!$D$3:$R$3000,MATCH($F820,폐업정보!$I$3:$I$3000,0),MATCH(K$4,폐업정보!$D$3:$R$3,0)),
"Error"))</f>
        <v>C0815</v>
      </c>
      <c r="L820" s="75" t="str">
        <f aca="false">
IF($D820="정상",INDEX(임대자산!$D$3:$R$3000,MATCH($F820,임대자산!$I$3:$I$3000,0),MATCH(L$4,임대자산!$D$3:$R$3,0)),
IF($D820="폐업",INDEX(폐업정보!$D$3:$R$3000,MATCH($F820,폐업정보!$I$3:$I$3000,0),MATCH(L$4,폐업정보!$D$3:$R$3,0)),
"Error"))</f>
        <v>D0815</v>
      </c>
      <c r="M820" s="76" t="s">
        <v>96</v>
      </c>
      <c r="N820" s="77"/>
      <c r="O820" s="78" t="s">
        <v>97</v>
      </c>
      <c r="P820" s="79" t="n">
        <f aca="false">COUNTIFS(임대자산!$I:$I,가맹점정보!F820,임대자산!$N:$N,가맹점정보!P$4)</f>
        <v>0</v>
      </c>
      <c r="Q820" s="80" t="n">
        <f aca="false">COUNTIFS(임대자산!$I:$I,가맹점정보!F820,임대자산!$N:$N,가맹점정보!Q$4)</f>
        <v>1</v>
      </c>
      <c r="R820" s="81" t="n">
        <f aca="false">COUNTIFS(임대자산!$I:$I,가맹점정보!F820,임대자산!$N:$N,가맹점정보!R$4)</f>
        <v>0</v>
      </c>
      <c r="S820" s="82" t="n">
        <v>55000</v>
      </c>
      <c r="T820" s="83" t="n">
        <v>0</v>
      </c>
      <c r="U820" s="80" t="n">
        <f aca="false">SUM(S820:T820)</f>
        <v>55000</v>
      </c>
      <c r="V820" s="84" t="s">
        <v>12</v>
      </c>
      <c r="W820" s="80" t="e">
        <f aca="true">
IF(D820="폐업","폐업",
IF(V820="면제","면제",
IF(AND(V820="정상",COUNTIFS(OFFSET(Y820,0,COUNTA(Y820:AV820)-1,1,-4),"미납")&gt;=3),"장기미납",
IF(AND(V820="정상",OFFSET(Y820,0,COUNTA(Y820:AV820)-1)&gt;=U820),"정상",
IF(AND(V820="정상",OFFSET(Y820,0,COUNTA(Y820:AV820)-1)=0),"정상",
"계약서 미작성")))))</f>
        <v>#VALUE!</v>
      </c>
      <c r="X820" s="81" t="str">
        <f aca="true">
IF(D820="폐업","폐업",
IF(AND(V820="정상",OFFSET(Y820,0,COUNTA(Y820:AV820)-1)="미납"),"미납",
IF(AND(V820="정상",OFFSET(Y820,0,COUNTA(Y820:AV820)-1)=0),"납부 시작 전",
IF(AND(V820="정상",OFFSET(Y820,0,COUNTA(Y820:AV820)-1)&gt;=U820),"정상",
IF(AND(V820="면제",OFFSET(Y820,0,COUNTA(Y820:AV820)-1)="면제"),"면제",
IF(AND(V820="면제",OFFSET(Y820,0,COUNTA(Y820:AV820)-1)=0),"면제",
"확인요청"))))))</f>
        <v>정상</v>
      </c>
      <c r="Y820" s="93" t="n">
        <v>55000</v>
      </c>
      <c r="Z820" s="90" t="n">
        <v>55000</v>
      </c>
      <c r="AA820" s="90" t="n">
        <v>55000</v>
      </c>
      <c r="AB820" s="90" t="n">
        <v>55000</v>
      </c>
      <c r="AC820" s="90" t="n">
        <v>55000</v>
      </c>
      <c r="AD820" s="90" t="n">
        <v>55000</v>
      </c>
      <c r="AE820" s="90" t="n">
        <v>55000</v>
      </c>
      <c r="AF820" s="90" t="n">
        <v>55000</v>
      </c>
      <c r="AG820" s="90" t="n">
        <v>55000</v>
      </c>
      <c r="AH820" s="90" t="n">
        <v>55000</v>
      </c>
      <c r="AI820" s="90" t="n">
        <v>55000</v>
      </c>
      <c r="AJ820" s="91" t="n">
        <v>55000</v>
      </c>
      <c r="AK820" s="89" t="n">
        <v>55000</v>
      </c>
      <c r="AL820" s="90" t="n">
        <v>55000</v>
      </c>
      <c r="AM820" s="90"/>
      <c r="AN820" s="90"/>
      <c r="AO820" s="90"/>
      <c r="AP820" s="90"/>
      <c r="AQ820" s="90"/>
      <c r="AR820" s="90"/>
      <c r="AS820" s="90"/>
      <c r="AT820" s="90"/>
      <c r="AU820" s="90"/>
      <c r="AV820" s="91"/>
      <c r="AX820" s="92"/>
    </row>
    <row r="821" customFormat="false" ht="15.65" hidden="false" customHeight="false" outlineLevel="0" collapsed="false">
      <c r="C821" s="72" t="n">
        <f aca="false">COUNTIFS($D$6:D821,"&lt;&gt;"&amp;"")</f>
        <v>816</v>
      </c>
      <c r="D821" s="73" t="s">
        <v>12</v>
      </c>
      <c r="E821" s="76" t="str">
        <f aca="false">
IF($D821="정상",INDEX(임대자산!$D$3:$R$3000,MATCH($F821,임대자산!$I$3:$I$3000,0),MATCH(E$3,임대자산!$D$3:$R$3,0)),
IF($D821="폐업",INDEX(폐업정보!$D$3:$R$3000,MATCH($F821,폐업정보!$I$3:$I$3000,0),MATCH(E$3,폐업정보!$D$3:$R$3,0)),
"Error"))</f>
        <v>강원</v>
      </c>
      <c r="F82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B0816</v>
      </c>
      <c r="G821" s="76" t="str">
        <f aca="false">F821&amp;RANDBETWEEN(0,10)</f>
        <v>B08165</v>
      </c>
      <c r="H821" s="75" t="n">
        <f aca="false">
IF($D821="정상",INDEX(임대자산!$D$3:$R$3000,MATCH($F821,임대자산!$I$3:$I$3000,0),MATCH(H$4,임대자산!$D$3:$R$3,0)),
IF($D821="폐업",INDEX(폐업정보!$D$3:$R$3000,MATCH($F821,폐업정보!$I$3:$I$3000,0),MATCH(H$4,폐업정보!$D$3:$R$3,0)),
"Error"))</f>
        <v>45769</v>
      </c>
      <c r="I821" s="75" t="str">
        <f aca="false">
IF($D821="정상",INDEX(임대자산!$D$3:$R$3000,MATCH($F821,임대자산!$I$3:$I$3000,0),MATCH(I$4,임대자산!$D$3:$R$3,0)),
IF($D821="폐업",INDEX(폐업정보!$D$3:$R$3000,MATCH($F821,폐업정보!$I$3:$I$3000,0),MATCH(I$4,폐업정보!$D$3:$R$3,0)),
"Error"))</f>
        <v>A0816</v>
      </c>
      <c r="J821" s="75" t="str">
        <f aca="false">
IF($D821="정상",INDEX(임대자산!$D$3:$R$3000,MATCH($F821,임대자산!$I$3:$I$3000,0),MATCH(J$4,임대자산!$D$3:$R$3,0)),
IF($D821="폐업",INDEX(폐업정보!$D$3:$R$3000,MATCH($F821,폐업정보!$I$3:$I$3000,0),MATCH(J$4,폐업정보!$D$3:$R$3,0)),
"Error"))</f>
        <v>3706200000</v>
      </c>
      <c r="K821" s="75" t="str">
        <f aca="false">
IF($D821="정상",INDEX(임대자산!$D$3:$R$3000,MATCH($F821,임대자산!$I$3:$I$3000,0),MATCH(K$4,임대자산!$D$3:$R$3,0)),
IF($D821="폐업",INDEX(폐업정보!$D$3:$R$3000,MATCH($F821,폐업정보!$I$3:$I$3000,0),MATCH(K$4,폐업정보!$D$3:$R$3,0)),
"Error"))</f>
        <v>C0816</v>
      </c>
      <c r="L821" s="75" t="str">
        <f aca="false">
IF($D821="정상",INDEX(임대자산!$D$3:$R$3000,MATCH($F821,임대자산!$I$3:$I$3000,0),MATCH(L$4,임대자산!$D$3:$R$3,0)),
IF($D821="폐업",INDEX(폐업정보!$D$3:$R$3000,MATCH($F821,폐업정보!$I$3:$I$3000,0),MATCH(L$4,폐업정보!$D$3:$R$3,0)),
"Error"))</f>
        <v>D0816</v>
      </c>
      <c r="M821" s="76" t="s">
        <v>96</v>
      </c>
      <c r="N821" s="77"/>
      <c r="O821" s="78" t="s">
        <v>97</v>
      </c>
      <c r="P821" s="79" t="n">
        <f aca="false">COUNTIFS(임대자산!$I:$I,가맹점정보!F821,임대자산!$N:$N,가맹점정보!P$4)</f>
        <v>0</v>
      </c>
      <c r="Q821" s="80" t="n">
        <f aca="false">COUNTIFS(임대자산!$I:$I,가맹점정보!F821,임대자산!$N:$N,가맹점정보!Q$4)</f>
        <v>1</v>
      </c>
      <c r="R821" s="81" t="n">
        <f aca="false">COUNTIFS(임대자산!$I:$I,가맹점정보!F821,임대자산!$N:$N,가맹점정보!R$4)</f>
        <v>0</v>
      </c>
      <c r="S821" s="82" t="n">
        <v>55000</v>
      </c>
      <c r="T821" s="83" t="n">
        <v>0</v>
      </c>
      <c r="U821" s="80" t="n">
        <f aca="false">SUM(S821:T821)</f>
        <v>55000</v>
      </c>
      <c r="V821" s="84" t="s">
        <v>12</v>
      </c>
      <c r="W821" s="80" t="e">
        <f aca="true">
IF(D821="폐업","폐업",
IF(V821="면제","면제",
IF(AND(V821="정상",COUNTIFS(OFFSET(Y821,0,COUNTA(Y821:AV821)-1,1,-4),"미납")&gt;=3),"장기미납",
IF(AND(V821="정상",OFFSET(Y821,0,COUNTA(Y821:AV821)-1)&gt;=U821),"정상",
IF(AND(V821="정상",OFFSET(Y821,0,COUNTA(Y821:AV821)-1)=0),"정상",
"계약서 미작성")))))</f>
        <v>#VALUE!</v>
      </c>
      <c r="X821" s="81" t="str">
        <f aca="true">
IF(D821="폐업","폐업",
IF(AND(V821="정상",OFFSET(Y821,0,COUNTA(Y821:AV821)-1)="미납"),"미납",
IF(AND(V821="정상",OFFSET(Y821,0,COUNTA(Y821:AV821)-1)=0),"납부 시작 전",
IF(AND(V821="정상",OFFSET(Y821,0,COUNTA(Y821:AV821)-1)&gt;=U821),"정상",
IF(AND(V821="면제",OFFSET(Y821,0,COUNTA(Y821:AV821)-1)="면제"),"면제",
IF(AND(V821="면제",OFFSET(Y821,0,COUNTA(Y821:AV821)-1)=0),"면제",
"확인요청"))))))</f>
        <v>정상</v>
      </c>
      <c r="Y821" s="93" t="n">
        <v>55000</v>
      </c>
      <c r="Z821" s="90" t="n">
        <v>55000</v>
      </c>
      <c r="AA821" s="90" t="n">
        <v>55000</v>
      </c>
      <c r="AB821" s="90" t="n">
        <v>55000</v>
      </c>
      <c r="AC821" s="90" t="n">
        <v>55000</v>
      </c>
      <c r="AD821" s="90" t="n">
        <v>55000</v>
      </c>
      <c r="AE821" s="90" t="n">
        <v>55000</v>
      </c>
      <c r="AF821" s="90" t="n">
        <v>55000</v>
      </c>
      <c r="AG821" s="90" t="n">
        <v>55000</v>
      </c>
      <c r="AH821" s="90" t="n">
        <v>55000</v>
      </c>
      <c r="AI821" s="90" t="n">
        <v>55000</v>
      </c>
      <c r="AJ821" s="91" t="n">
        <v>55000</v>
      </c>
      <c r="AK821" s="89" t="n">
        <v>55000</v>
      </c>
      <c r="AL821" s="90" t="n">
        <v>55000</v>
      </c>
      <c r="AM821" s="90"/>
      <c r="AN821" s="90"/>
      <c r="AO821" s="90"/>
      <c r="AP821" s="90"/>
      <c r="AQ821" s="90"/>
      <c r="AR821" s="90"/>
      <c r="AS821" s="90"/>
      <c r="AT821" s="90"/>
      <c r="AU821" s="90"/>
      <c r="AV821" s="91"/>
      <c r="AX821" s="92"/>
    </row>
    <row r="822" customFormat="false" ht="15.65" hidden="false" customHeight="false" outlineLevel="0" collapsed="false">
      <c r="C822" s="72" t="n">
        <f aca="false">COUNTIFS($D$6:D822,"&lt;&gt;"&amp;"")</f>
        <v>817</v>
      </c>
      <c r="D822" s="73" t="s">
        <v>12</v>
      </c>
      <c r="E822" s="76" t="str">
        <f aca="false">
IF($D822="정상",INDEX(임대자산!$D$3:$R$3000,MATCH($F822,임대자산!$I$3:$I$3000,0),MATCH(E$3,임대자산!$D$3:$R$3,0)),
IF($D822="폐업",INDEX(폐업정보!$D$3:$R$3000,MATCH($F822,폐업정보!$I$3:$I$3000,0),MATCH(E$3,폐업정보!$D$3:$R$3,0)),
"Error"))</f>
        <v>경기</v>
      </c>
      <c r="F82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B0817</v>
      </c>
      <c r="G822" s="76" t="str">
        <f aca="false">F822&amp;RANDBETWEEN(0,10)</f>
        <v>B081710</v>
      </c>
      <c r="H822" s="75" t="n">
        <f aca="false">
IF($D822="정상",INDEX(임대자산!$D$3:$R$3000,MATCH($F822,임대자산!$I$3:$I$3000,0),MATCH(H$4,임대자산!$D$3:$R$3,0)),
IF($D822="폐업",INDEX(폐업정보!$D$3:$R$3000,MATCH($F822,폐업정보!$I$3:$I$3000,0),MATCH(H$4,폐업정보!$D$3:$R$3,0)),
"Error"))</f>
        <v>45589</v>
      </c>
      <c r="I822" s="75" t="str">
        <f aca="false">
IF($D822="정상",INDEX(임대자산!$D$3:$R$3000,MATCH($F822,임대자산!$I$3:$I$3000,0),MATCH(I$4,임대자산!$D$3:$R$3,0)),
IF($D822="폐업",INDEX(폐업정보!$D$3:$R$3000,MATCH($F822,폐업정보!$I$3:$I$3000,0),MATCH(I$4,폐업정보!$D$3:$R$3,0)),
"Error"))</f>
        <v>A0817</v>
      </c>
      <c r="J822" s="75" t="str">
        <f aca="false">
IF($D822="정상",INDEX(임대자산!$D$3:$R$3000,MATCH($F822,임대자산!$I$3:$I$3000,0),MATCH(J$4,임대자산!$D$3:$R$3,0)),
IF($D822="폐업",INDEX(폐업정보!$D$3:$R$3000,MATCH($F822,폐업정보!$I$3:$I$3000,0),MATCH(J$4,폐업정보!$D$3:$R$3,0)),
"Error"))</f>
        <v>5778200000</v>
      </c>
      <c r="K822" s="75" t="str">
        <f aca="false">
IF($D822="정상",INDEX(임대자산!$D$3:$R$3000,MATCH($F822,임대자산!$I$3:$I$3000,0),MATCH(K$4,임대자산!$D$3:$R$3,0)),
IF($D822="폐업",INDEX(폐업정보!$D$3:$R$3000,MATCH($F822,폐업정보!$I$3:$I$3000,0),MATCH(K$4,폐업정보!$D$3:$R$3,0)),
"Error"))</f>
        <v>C0817</v>
      </c>
      <c r="L822" s="75" t="str">
        <f aca="false">
IF($D822="정상",INDEX(임대자산!$D$3:$R$3000,MATCH($F822,임대자산!$I$3:$I$3000,0),MATCH(L$4,임대자산!$D$3:$R$3,0)),
IF($D822="폐업",INDEX(폐업정보!$D$3:$R$3000,MATCH($F822,폐업정보!$I$3:$I$3000,0),MATCH(L$4,폐업정보!$D$3:$R$3,0)),
"Error"))</f>
        <v>D0817</v>
      </c>
      <c r="M822" s="76" t="s">
        <v>96</v>
      </c>
      <c r="N822" s="77"/>
      <c r="O822" s="78" t="s">
        <v>97</v>
      </c>
      <c r="P822" s="79" t="n">
        <f aca="false">COUNTIFS(임대자산!$I:$I,가맹점정보!F822,임대자산!$N:$N,가맹점정보!P$4)</f>
        <v>0</v>
      </c>
      <c r="Q822" s="80" t="n">
        <f aca="false">COUNTIFS(임대자산!$I:$I,가맹점정보!F822,임대자산!$N:$N,가맹점정보!Q$4)</f>
        <v>1</v>
      </c>
      <c r="R822" s="81" t="n">
        <f aca="false">COUNTIFS(임대자산!$I:$I,가맹점정보!F822,임대자산!$N:$N,가맹점정보!R$4)</f>
        <v>0</v>
      </c>
      <c r="S822" s="82" t="n">
        <v>55000</v>
      </c>
      <c r="T822" s="83" t="n">
        <v>0</v>
      </c>
      <c r="U822" s="80" t="n">
        <f aca="false">SUM(S822:T822)</f>
        <v>55000</v>
      </c>
      <c r="V822" s="84" t="s">
        <v>12</v>
      </c>
      <c r="W822" s="80" t="e">
        <f aca="true">
IF(D822="폐업","폐업",
IF(V822="면제","면제",
IF(AND(V822="정상",COUNTIFS(OFFSET(Y822,0,COUNTA(Y822:AV822)-1,1,-4),"미납")&gt;=3),"장기미납",
IF(AND(V822="정상",OFFSET(Y822,0,COUNTA(Y822:AV822)-1)&gt;=U822),"정상",
IF(AND(V822="정상",OFFSET(Y822,0,COUNTA(Y822:AV822)-1)=0),"정상",
"계약서 미작성")))))</f>
        <v>#VALUE!</v>
      </c>
      <c r="X822" s="81" t="str">
        <f aca="true">
IF(D822="폐업","폐업",
IF(AND(V822="정상",OFFSET(Y822,0,COUNTA(Y822:AV822)-1)="미납"),"미납",
IF(AND(V822="정상",OFFSET(Y822,0,COUNTA(Y822:AV822)-1)=0),"납부 시작 전",
IF(AND(V822="정상",OFFSET(Y822,0,COUNTA(Y822:AV822)-1)&gt;=U822),"정상",
IF(AND(V822="면제",OFFSET(Y822,0,COUNTA(Y822:AV822)-1)="면제"),"면제",
IF(AND(V822="면제",OFFSET(Y822,0,COUNTA(Y822:AV822)-1)=0),"면제",
"확인요청"))))))</f>
        <v>미납</v>
      </c>
      <c r="Y822" s="93" t="n">
        <v>55000</v>
      </c>
      <c r="Z822" s="90" t="n">
        <v>55000</v>
      </c>
      <c r="AA822" s="90" t="n">
        <v>55000</v>
      </c>
      <c r="AB822" s="90" t="n">
        <v>55000</v>
      </c>
      <c r="AC822" s="90" t="n">
        <v>55000</v>
      </c>
      <c r="AD822" s="90" t="n">
        <v>55000</v>
      </c>
      <c r="AE822" s="95" t="s">
        <v>62</v>
      </c>
      <c r="AF822" s="95" t="s">
        <v>62</v>
      </c>
      <c r="AG822" s="95" t="s">
        <v>62</v>
      </c>
      <c r="AH822" s="90" t="n">
        <v>0</v>
      </c>
      <c r="AI822" s="90" t="n">
        <v>0</v>
      </c>
      <c r="AJ822" s="91" t="n">
        <v>0</v>
      </c>
      <c r="AK822" s="97" t="s">
        <v>62</v>
      </c>
      <c r="AL822" s="95" t="s">
        <v>62</v>
      </c>
      <c r="AM822" s="90"/>
      <c r="AN822" s="90"/>
      <c r="AO822" s="90"/>
      <c r="AP822" s="90"/>
      <c r="AQ822" s="90"/>
      <c r="AR822" s="90"/>
      <c r="AS822" s="90"/>
      <c r="AT822" s="90"/>
      <c r="AU822" s="90"/>
      <c r="AV822" s="91"/>
      <c r="AX822" s="92"/>
    </row>
    <row r="823" customFormat="false" ht="15.65" hidden="false" customHeight="false" outlineLevel="0" collapsed="false">
      <c r="C823" s="72" t="n">
        <f aca="false">COUNTIFS($D$6:D823,"&lt;&gt;"&amp;"")</f>
        <v>818</v>
      </c>
      <c r="D823" s="73" t="s">
        <v>12</v>
      </c>
      <c r="E823" s="76" t="str">
        <f aca="false">
IF($D823="정상",INDEX(임대자산!$D$3:$R$3000,MATCH($F823,임대자산!$I$3:$I$3000,0),MATCH(E$3,임대자산!$D$3:$R$3,0)),
IF($D823="폐업",INDEX(폐업정보!$D$3:$R$3000,MATCH($F823,폐업정보!$I$3:$I$3000,0),MATCH(E$3,폐업정보!$D$3:$R$3,0)),
"Error"))</f>
        <v>경상</v>
      </c>
      <c r="F82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B0818</v>
      </c>
      <c r="G823" s="76" t="str">
        <f aca="false">F823&amp;RANDBETWEEN(0,10)</f>
        <v>B08189</v>
      </c>
      <c r="H823" s="75" t="n">
        <f aca="false">
IF($D823="정상",INDEX(임대자산!$D$3:$R$3000,MATCH($F823,임대자산!$I$3:$I$3000,0),MATCH(H$4,임대자산!$D$3:$R$3,0)),
IF($D823="폐업",INDEX(폐업정보!$D$3:$R$3000,MATCH($F823,폐업정보!$I$3:$I$3000,0),MATCH(H$4,폐업정보!$D$3:$R$3,0)),
"Error"))</f>
        <v>45621</v>
      </c>
      <c r="I823" s="75" t="str">
        <f aca="false">
IF($D823="정상",INDEX(임대자산!$D$3:$R$3000,MATCH($F823,임대자산!$I$3:$I$3000,0),MATCH(I$4,임대자산!$D$3:$R$3,0)),
IF($D823="폐업",INDEX(폐업정보!$D$3:$R$3000,MATCH($F823,폐업정보!$I$3:$I$3000,0),MATCH(I$4,폐업정보!$D$3:$R$3,0)),
"Error"))</f>
        <v>A0818</v>
      </c>
      <c r="J823" s="75" t="str">
        <f aca="false">
IF($D823="정상",INDEX(임대자산!$D$3:$R$3000,MATCH($F823,임대자산!$I$3:$I$3000,0),MATCH(J$4,임대자산!$D$3:$R$3,0)),
IF($D823="폐업",INDEX(폐업정보!$D$3:$R$3000,MATCH($F823,폐업정보!$I$3:$I$3000,0),MATCH(J$4,폐업정보!$D$3:$R$3,0)),
"Error"))</f>
        <v>6537800000</v>
      </c>
      <c r="K823" s="75" t="str">
        <f aca="false">
IF($D823="정상",INDEX(임대자산!$D$3:$R$3000,MATCH($F823,임대자산!$I$3:$I$3000,0),MATCH(K$4,임대자산!$D$3:$R$3,0)),
IF($D823="폐업",INDEX(폐업정보!$D$3:$R$3000,MATCH($F823,폐업정보!$I$3:$I$3000,0),MATCH(K$4,폐업정보!$D$3:$R$3,0)),
"Error"))</f>
        <v>C0818</v>
      </c>
      <c r="L823" s="75" t="str">
        <f aca="false">
IF($D823="정상",INDEX(임대자산!$D$3:$R$3000,MATCH($F823,임대자산!$I$3:$I$3000,0),MATCH(L$4,임대자산!$D$3:$R$3,0)),
IF($D823="폐업",INDEX(폐업정보!$D$3:$R$3000,MATCH($F823,폐업정보!$I$3:$I$3000,0),MATCH(L$4,폐업정보!$D$3:$R$3,0)),
"Error"))</f>
        <v>D0818</v>
      </c>
      <c r="M823" s="76" t="s">
        <v>96</v>
      </c>
      <c r="N823" s="77"/>
      <c r="O823" s="78" t="s">
        <v>97</v>
      </c>
      <c r="P823" s="79" t="n">
        <f aca="false">COUNTIFS(임대자산!$I:$I,가맹점정보!F823,임대자산!$N:$N,가맹점정보!P$4)</f>
        <v>0</v>
      </c>
      <c r="Q823" s="80" t="n">
        <f aca="false">COUNTIFS(임대자산!$I:$I,가맹점정보!F823,임대자산!$N:$N,가맹점정보!Q$4)</f>
        <v>1</v>
      </c>
      <c r="R823" s="81" t="n">
        <f aca="false">COUNTIFS(임대자산!$I:$I,가맹점정보!F823,임대자산!$N:$N,가맹점정보!R$4)</f>
        <v>0</v>
      </c>
      <c r="S823" s="82" t="n">
        <v>55000</v>
      </c>
      <c r="T823" s="83" t="n">
        <v>0</v>
      </c>
      <c r="U823" s="80" t="n">
        <f aca="false">SUM(S823:T823)</f>
        <v>55000</v>
      </c>
      <c r="V823" s="84" t="s">
        <v>12</v>
      </c>
      <c r="W823" s="80" t="e">
        <f aca="true">
IF(D823="폐업","폐업",
IF(V823="면제","면제",
IF(AND(V823="정상",COUNTIFS(OFFSET(Y823,0,COUNTA(Y823:AV823)-1,1,-4),"미납")&gt;=3),"장기미납",
IF(AND(V823="정상",OFFSET(Y823,0,COUNTA(Y823:AV823)-1)&gt;=U823),"정상",
IF(AND(V823="정상",OFFSET(Y823,0,COUNTA(Y823:AV823)-1)=0),"정상",
"계약서 미작성")))))</f>
        <v>#VALUE!</v>
      </c>
      <c r="X823" s="81" t="str">
        <f aca="true">
IF(D823="폐업","폐업",
IF(AND(V823="정상",OFFSET(Y823,0,COUNTA(Y823:AV823)-1)="미납"),"미납",
IF(AND(V823="정상",OFFSET(Y823,0,COUNTA(Y823:AV823)-1)=0),"납부 시작 전",
IF(AND(V823="정상",OFFSET(Y823,0,COUNTA(Y823:AV823)-1)&gt;=U823),"정상",
IF(AND(V823="면제",OFFSET(Y823,0,COUNTA(Y823:AV823)-1)="면제"),"면제",
IF(AND(V823="면제",OFFSET(Y823,0,COUNTA(Y823:AV823)-1)=0),"면제",
"확인요청"))))))</f>
        <v>정상</v>
      </c>
      <c r="Y823" s="93" t="n">
        <v>55000</v>
      </c>
      <c r="Z823" s="90" t="n">
        <v>55000</v>
      </c>
      <c r="AA823" s="90" t="n">
        <v>55000</v>
      </c>
      <c r="AB823" s="90" t="n">
        <v>55000</v>
      </c>
      <c r="AC823" s="90" t="n">
        <v>55000</v>
      </c>
      <c r="AD823" s="90" t="n">
        <v>55000</v>
      </c>
      <c r="AE823" s="90" t="n">
        <v>55000</v>
      </c>
      <c r="AF823" s="90" t="n">
        <v>55000</v>
      </c>
      <c r="AG823" s="90" t="n">
        <v>55000</v>
      </c>
      <c r="AH823" s="90" t="n">
        <v>55000</v>
      </c>
      <c r="AI823" s="90" t="n">
        <v>55000</v>
      </c>
      <c r="AJ823" s="91" t="n">
        <v>55000</v>
      </c>
      <c r="AK823" s="89" t="n">
        <v>55000</v>
      </c>
      <c r="AL823" s="90" t="n">
        <v>55000</v>
      </c>
      <c r="AM823" s="90"/>
      <c r="AN823" s="90"/>
      <c r="AO823" s="90"/>
      <c r="AP823" s="90"/>
      <c r="AQ823" s="90"/>
      <c r="AR823" s="90"/>
      <c r="AS823" s="90"/>
      <c r="AT823" s="90"/>
      <c r="AU823" s="90"/>
      <c r="AV823" s="91"/>
      <c r="AX823" s="92"/>
    </row>
    <row r="824" customFormat="false" ht="15.65" hidden="false" customHeight="false" outlineLevel="0" collapsed="false">
      <c r="C824" s="72" t="n">
        <f aca="false">COUNTIFS($D$6:D824,"&lt;&gt;"&amp;"")</f>
        <v>819</v>
      </c>
      <c r="D824" s="73" t="s">
        <v>12</v>
      </c>
      <c r="E824" s="76" t="str">
        <f aca="false">
IF($D824="정상",INDEX(임대자산!$D$3:$R$3000,MATCH($F824,임대자산!$I$3:$I$3000,0),MATCH(E$3,임대자산!$D$3:$R$3,0)),
IF($D824="폐업",INDEX(폐업정보!$D$3:$R$3000,MATCH($F824,폐업정보!$I$3:$I$3000,0),MATCH(E$3,폐업정보!$D$3:$R$3,0)),
"Error"))</f>
        <v>서울</v>
      </c>
      <c r="F82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B0819</v>
      </c>
      <c r="G824" s="76" t="str">
        <f aca="false">F824&amp;RANDBETWEEN(0,10)</f>
        <v>B08197</v>
      </c>
      <c r="H824" s="75" t="n">
        <f aca="false">
IF($D824="정상",INDEX(임대자산!$D$3:$R$3000,MATCH($F824,임대자산!$I$3:$I$3000,0),MATCH(H$4,임대자산!$D$3:$R$3,0)),
IF($D824="폐업",INDEX(폐업정보!$D$3:$R$3000,MATCH($F824,폐업정보!$I$3:$I$3000,0),MATCH(H$4,폐업정보!$D$3:$R$3,0)),
"Error"))</f>
        <v>45609</v>
      </c>
      <c r="I824" s="75" t="str">
        <f aca="false">
IF($D824="정상",INDEX(임대자산!$D$3:$R$3000,MATCH($F824,임대자산!$I$3:$I$3000,0),MATCH(I$4,임대자산!$D$3:$R$3,0)),
IF($D824="폐업",INDEX(폐업정보!$D$3:$R$3000,MATCH($F824,폐업정보!$I$3:$I$3000,0),MATCH(I$4,폐업정보!$D$3:$R$3,0)),
"Error"))</f>
        <v>A0819</v>
      </c>
      <c r="J824" s="75" t="str">
        <f aca="false">
IF($D824="정상",INDEX(임대자산!$D$3:$R$3000,MATCH($F824,임대자산!$I$3:$I$3000,0),MATCH(J$4,임대자산!$D$3:$R$3,0)),
IF($D824="폐업",INDEX(폐업정보!$D$3:$R$3000,MATCH($F824,폐업정보!$I$3:$I$3000,0),MATCH(J$4,폐업정보!$D$3:$R$3,0)),
"Error"))</f>
        <v>9105900000</v>
      </c>
      <c r="K824" s="75" t="str">
        <f aca="false">
IF($D824="정상",INDEX(임대자산!$D$3:$R$3000,MATCH($F824,임대자산!$I$3:$I$3000,0),MATCH(K$4,임대자산!$D$3:$R$3,0)),
IF($D824="폐업",INDEX(폐업정보!$D$3:$R$3000,MATCH($F824,폐업정보!$I$3:$I$3000,0),MATCH(K$4,폐업정보!$D$3:$R$3,0)),
"Error"))</f>
        <v>C0819</v>
      </c>
      <c r="L824" s="75" t="str">
        <f aca="false">
IF($D824="정상",INDEX(임대자산!$D$3:$R$3000,MATCH($F824,임대자산!$I$3:$I$3000,0),MATCH(L$4,임대자산!$D$3:$R$3,0)),
IF($D824="폐업",INDEX(폐업정보!$D$3:$R$3000,MATCH($F824,폐업정보!$I$3:$I$3000,0),MATCH(L$4,폐업정보!$D$3:$R$3,0)),
"Error"))</f>
        <v>D0819</v>
      </c>
      <c r="M824" s="76" t="s">
        <v>96</v>
      </c>
      <c r="N824" s="77"/>
      <c r="O824" s="78" t="s">
        <v>97</v>
      </c>
      <c r="P824" s="79" t="n">
        <f aca="false">COUNTIFS(임대자산!$I:$I,가맹점정보!F824,임대자산!$N:$N,가맹점정보!P$4)</f>
        <v>0</v>
      </c>
      <c r="Q824" s="80" t="n">
        <f aca="false">COUNTIFS(임대자산!$I:$I,가맹점정보!F824,임대자산!$N:$N,가맹점정보!Q$4)</f>
        <v>1</v>
      </c>
      <c r="R824" s="81" t="n">
        <f aca="false">COUNTIFS(임대자산!$I:$I,가맹점정보!F824,임대자산!$N:$N,가맹점정보!R$4)</f>
        <v>0</v>
      </c>
      <c r="S824" s="82" t="n">
        <v>55000</v>
      </c>
      <c r="T824" s="83" t="n">
        <v>0</v>
      </c>
      <c r="U824" s="80" t="n">
        <f aca="false">SUM(S824:T824)</f>
        <v>55000</v>
      </c>
      <c r="V824" s="84" t="s">
        <v>12</v>
      </c>
      <c r="W824" s="80" t="e">
        <f aca="true">
IF(D824="폐업","폐업",
IF(V824="면제","면제",
IF(AND(V824="정상",COUNTIFS(OFFSET(Y824,0,COUNTA(Y824:AV824)-1,1,-4),"미납")&gt;=3),"장기미납",
IF(AND(V824="정상",OFFSET(Y824,0,COUNTA(Y824:AV824)-1)&gt;=U824),"정상",
IF(AND(V824="정상",OFFSET(Y824,0,COUNTA(Y824:AV824)-1)=0),"정상",
"계약서 미작성")))))</f>
        <v>#VALUE!</v>
      </c>
      <c r="X824" s="81" t="str">
        <f aca="true">
IF(D824="폐업","폐업",
IF(AND(V824="정상",OFFSET(Y824,0,COUNTA(Y824:AV824)-1)="미납"),"미납",
IF(AND(V824="정상",OFFSET(Y824,0,COUNTA(Y824:AV824)-1)=0),"납부 시작 전",
IF(AND(V824="정상",OFFSET(Y824,0,COUNTA(Y824:AV824)-1)&gt;=U824),"정상",
IF(AND(V824="면제",OFFSET(Y824,0,COUNTA(Y824:AV824)-1)="면제"),"면제",
IF(AND(V824="면제",OFFSET(Y824,0,COUNTA(Y824:AV824)-1)=0),"면제",
"확인요청"))))))</f>
        <v>정상</v>
      </c>
      <c r="Y824" s="93" t="n">
        <v>55000</v>
      </c>
      <c r="Z824" s="90" t="n">
        <v>55000</v>
      </c>
      <c r="AA824" s="90" t="n">
        <v>55000</v>
      </c>
      <c r="AB824" s="90" t="n">
        <v>55000</v>
      </c>
      <c r="AC824" s="90" t="n">
        <v>55000</v>
      </c>
      <c r="AD824" s="90" t="n">
        <v>55000</v>
      </c>
      <c r="AE824" s="90" t="n">
        <v>55000</v>
      </c>
      <c r="AF824" s="90" t="n">
        <v>55000</v>
      </c>
      <c r="AG824" s="90" t="n">
        <v>55000</v>
      </c>
      <c r="AH824" s="90" t="n">
        <v>55000</v>
      </c>
      <c r="AI824" s="90" t="n">
        <v>55000</v>
      </c>
      <c r="AJ824" s="91" t="n">
        <v>55000</v>
      </c>
      <c r="AK824" s="89" t="n">
        <v>55000</v>
      </c>
      <c r="AL824" s="90" t="n">
        <v>55000</v>
      </c>
      <c r="AM824" s="90"/>
      <c r="AN824" s="90"/>
      <c r="AO824" s="90"/>
      <c r="AP824" s="90"/>
      <c r="AQ824" s="90"/>
      <c r="AR824" s="90"/>
      <c r="AS824" s="90"/>
      <c r="AT824" s="90"/>
      <c r="AU824" s="90"/>
      <c r="AV824" s="91"/>
      <c r="AX824" s="92"/>
    </row>
    <row r="825" customFormat="false" ht="15.65" hidden="false" customHeight="false" outlineLevel="0" collapsed="false">
      <c r="C825" s="72" t="n">
        <f aca="false">COUNTIFS($D$6:D825,"&lt;&gt;"&amp;"")</f>
        <v>820</v>
      </c>
      <c r="D825" s="73" t="s">
        <v>12</v>
      </c>
      <c r="E825" s="76" t="str">
        <f aca="false">
IF($D825="정상",INDEX(임대자산!$D$3:$R$3000,MATCH($F825,임대자산!$I$3:$I$3000,0),MATCH(E$3,임대자산!$D$3:$R$3,0)),
IF($D825="폐업",INDEX(폐업정보!$D$3:$R$3000,MATCH($F825,폐업정보!$I$3:$I$3000,0),MATCH(E$3,폐업정보!$D$3:$R$3,0)),
"Error"))</f>
        <v>강원</v>
      </c>
      <c r="F82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B0820</v>
      </c>
      <c r="G825" s="76" t="str">
        <f aca="false">F825&amp;RANDBETWEEN(0,10)</f>
        <v>B08204</v>
      </c>
      <c r="H825" s="75" t="n">
        <f aca="false">
IF($D825="정상",INDEX(임대자산!$D$3:$R$3000,MATCH($F825,임대자산!$I$3:$I$3000,0),MATCH(H$4,임대자산!$D$3:$R$3,0)),
IF($D825="폐업",INDEX(폐업정보!$D$3:$R$3000,MATCH($F825,폐업정보!$I$3:$I$3000,0),MATCH(H$4,폐업정보!$D$3:$R$3,0)),
"Error"))</f>
        <v>45645</v>
      </c>
      <c r="I825" s="75" t="str">
        <f aca="false">
IF($D825="정상",INDEX(임대자산!$D$3:$R$3000,MATCH($F825,임대자산!$I$3:$I$3000,0),MATCH(I$4,임대자산!$D$3:$R$3,0)),
IF($D825="폐업",INDEX(폐업정보!$D$3:$R$3000,MATCH($F825,폐업정보!$I$3:$I$3000,0),MATCH(I$4,폐업정보!$D$3:$R$3,0)),
"Error"))</f>
        <v>A0820</v>
      </c>
      <c r="J825" s="75" t="str">
        <f aca="false">
IF($D825="정상",INDEX(임대자산!$D$3:$R$3000,MATCH($F825,임대자산!$I$3:$I$3000,0),MATCH(J$4,임대자산!$D$3:$R$3,0)),
IF($D825="폐업",INDEX(폐업정보!$D$3:$R$3000,MATCH($F825,폐업정보!$I$3:$I$3000,0),MATCH(J$4,폐업정보!$D$3:$R$3,0)),
"Error"))</f>
        <v>3919100000</v>
      </c>
      <c r="K825" s="75" t="str">
        <f aca="false">
IF($D825="정상",INDEX(임대자산!$D$3:$R$3000,MATCH($F825,임대자산!$I$3:$I$3000,0),MATCH(K$4,임대자산!$D$3:$R$3,0)),
IF($D825="폐업",INDEX(폐업정보!$D$3:$R$3000,MATCH($F825,폐업정보!$I$3:$I$3000,0),MATCH(K$4,폐업정보!$D$3:$R$3,0)),
"Error"))</f>
        <v>C0820</v>
      </c>
      <c r="L825" s="75" t="str">
        <f aca="false">
IF($D825="정상",INDEX(임대자산!$D$3:$R$3000,MATCH($F825,임대자산!$I$3:$I$3000,0),MATCH(L$4,임대자산!$D$3:$R$3,0)),
IF($D825="폐업",INDEX(폐업정보!$D$3:$R$3000,MATCH($F825,폐업정보!$I$3:$I$3000,0),MATCH(L$4,폐업정보!$D$3:$R$3,0)),
"Error"))</f>
        <v>D0820</v>
      </c>
      <c r="M825" s="76" t="s">
        <v>96</v>
      </c>
      <c r="N825" s="77"/>
      <c r="O825" s="78" t="s">
        <v>97</v>
      </c>
      <c r="P825" s="79" t="n">
        <f aca="false">COUNTIFS(임대자산!$I:$I,가맹점정보!F825,임대자산!$N:$N,가맹점정보!P$4)</f>
        <v>0</v>
      </c>
      <c r="Q825" s="80" t="n">
        <f aca="false">COUNTIFS(임대자산!$I:$I,가맹점정보!F825,임대자산!$N:$N,가맹점정보!Q$4)</f>
        <v>1</v>
      </c>
      <c r="R825" s="81" t="n">
        <f aca="false">COUNTIFS(임대자산!$I:$I,가맹점정보!F825,임대자산!$N:$N,가맹점정보!R$4)</f>
        <v>0</v>
      </c>
      <c r="S825" s="82" t="n">
        <v>55000</v>
      </c>
      <c r="T825" s="83" t="n">
        <v>0</v>
      </c>
      <c r="U825" s="80" t="n">
        <f aca="false">SUM(S825:T825)</f>
        <v>55000</v>
      </c>
      <c r="V825" s="84" t="s">
        <v>12</v>
      </c>
      <c r="W825" s="80" t="e">
        <f aca="true">
IF(D825="폐업","폐업",
IF(V825="면제","면제",
IF(AND(V825="정상",COUNTIFS(OFFSET(Y825,0,COUNTA(Y825:AV825)-1,1,-4),"미납")&gt;=3),"장기미납",
IF(AND(V825="정상",OFFSET(Y825,0,COUNTA(Y825:AV825)-1)&gt;=U825),"정상",
IF(AND(V825="정상",OFFSET(Y825,0,COUNTA(Y825:AV825)-1)=0),"정상",
"계약서 미작성")))))</f>
        <v>#VALUE!</v>
      </c>
      <c r="X825" s="81" t="str">
        <f aca="true">
IF(D825="폐업","폐업",
IF(AND(V825="정상",OFFSET(Y825,0,COUNTA(Y825:AV825)-1)="미납"),"미납",
IF(AND(V825="정상",OFFSET(Y825,0,COUNTA(Y825:AV825)-1)=0),"납부 시작 전",
IF(AND(V825="정상",OFFSET(Y825,0,COUNTA(Y825:AV825)-1)&gt;=U825),"정상",
IF(AND(V825="면제",OFFSET(Y825,0,COUNTA(Y825:AV825)-1)="면제"),"면제",
IF(AND(V825="면제",OFFSET(Y825,0,COUNTA(Y825:AV825)-1)=0),"면제",
"확인요청"))))))</f>
        <v>정상</v>
      </c>
      <c r="Y825" s="93" t="n">
        <v>55000</v>
      </c>
      <c r="Z825" s="90" t="n">
        <v>55000</v>
      </c>
      <c r="AA825" s="90" t="n">
        <v>55000</v>
      </c>
      <c r="AB825" s="90" t="n">
        <v>55000</v>
      </c>
      <c r="AC825" s="90" t="s">
        <v>108</v>
      </c>
      <c r="AD825" s="90" t="n">
        <v>110000</v>
      </c>
      <c r="AE825" s="90" t="n">
        <v>55000</v>
      </c>
      <c r="AF825" s="90" t="n">
        <v>55000</v>
      </c>
      <c r="AG825" s="90" t="n">
        <v>55000</v>
      </c>
      <c r="AH825" s="90" t="n">
        <v>55000</v>
      </c>
      <c r="AI825" s="90" t="n">
        <v>55000</v>
      </c>
      <c r="AJ825" s="91" t="n">
        <v>55000</v>
      </c>
      <c r="AK825" s="89" t="n">
        <v>55000</v>
      </c>
      <c r="AL825" s="90" t="n">
        <v>55000</v>
      </c>
      <c r="AM825" s="90"/>
      <c r="AN825" s="90"/>
      <c r="AO825" s="90"/>
      <c r="AP825" s="90"/>
      <c r="AQ825" s="90"/>
      <c r="AR825" s="90"/>
      <c r="AS825" s="90"/>
      <c r="AT825" s="90"/>
      <c r="AU825" s="90"/>
      <c r="AV825" s="91"/>
      <c r="AX825" s="92"/>
    </row>
    <row r="826" customFormat="false" ht="15.65" hidden="false" customHeight="false" outlineLevel="0" collapsed="false">
      <c r="C826" s="72" t="n">
        <f aca="false">COUNTIFS($D$6:D826,"&lt;&gt;"&amp;"")</f>
        <v>821</v>
      </c>
      <c r="D826" s="73" t="s">
        <v>12</v>
      </c>
      <c r="E826" s="76" t="str">
        <f aca="false">
IF($D826="정상",INDEX(임대자산!$D$3:$R$3000,MATCH($F826,임대자산!$I$3:$I$3000,0),MATCH(E$3,임대자산!$D$3:$R$3,0)),
IF($D826="폐업",INDEX(폐업정보!$D$3:$R$3000,MATCH($F826,폐업정보!$I$3:$I$3000,0),MATCH(E$3,폐업정보!$D$3:$R$3,0)),
"Error"))</f>
        <v>서울</v>
      </c>
      <c r="F82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B0821</v>
      </c>
      <c r="G826" s="76" t="str">
        <f aca="false">F826&amp;RANDBETWEEN(0,10)</f>
        <v>B08218</v>
      </c>
      <c r="H826" s="75" t="n">
        <f aca="false">
IF($D826="정상",INDEX(임대자산!$D$3:$R$3000,MATCH($F826,임대자산!$I$3:$I$3000,0),MATCH(H$4,임대자산!$D$3:$R$3,0)),
IF($D826="폐업",INDEX(폐업정보!$D$3:$R$3000,MATCH($F826,폐업정보!$I$3:$I$3000,0),MATCH(H$4,폐업정보!$D$3:$R$3,0)),
"Error"))</f>
        <v>45628</v>
      </c>
      <c r="I826" s="75" t="str">
        <f aca="false">
IF($D826="정상",INDEX(임대자산!$D$3:$R$3000,MATCH($F826,임대자산!$I$3:$I$3000,0),MATCH(I$4,임대자산!$D$3:$R$3,0)),
IF($D826="폐업",INDEX(폐업정보!$D$3:$R$3000,MATCH($F826,폐업정보!$I$3:$I$3000,0),MATCH(I$4,폐업정보!$D$3:$R$3,0)),
"Error"))</f>
        <v>A0821</v>
      </c>
      <c r="J826" s="75" t="str">
        <f aca="false">
IF($D826="정상",INDEX(임대자산!$D$3:$R$3000,MATCH($F826,임대자산!$I$3:$I$3000,0),MATCH(J$4,임대자산!$D$3:$R$3,0)),
IF($D826="폐업",INDEX(폐업정보!$D$3:$R$3000,MATCH($F826,폐업정보!$I$3:$I$3000,0),MATCH(J$4,폐업정보!$D$3:$R$3,0)),
"Error"))</f>
        <v>8133000000</v>
      </c>
      <c r="K826" s="75" t="str">
        <f aca="false">
IF($D826="정상",INDEX(임대자산!$D$3:$R$3000,MATCH($F826,임대자산!$I$3:$I$3000,0),MATCH(K$4,임대자산!$D$3:$R$3,0)),
IF($D826="폐업",INDEX(폐업정보!$D$3:$R$3000,MATCH($F826,폐업정보!$I$3:$I$3000,0),MATCH(K$4,폐업정보!$D$3:$R$3,0)),
"Error"))</f>
        <v>C0821</v>
      </c>
      <c r="L826" s="75" t="str">
        <f aca="false">
IF($D826="정상",INDEX(임대자산!$D$3:$R$3000,MATCH($F826,임대자산!$I$3:$I$3000,0),MATCH(L$4,임대자산!$D$3:$R$3,0)),
IF($D826="폐업",INDEX(폐업정보!$D$3:$R$3000,MATCH($F826,폐업정보!$I$3:$I$3000,0),MATCH(L$4,폐업정보!$D$3:$R$3,0)),
"Error"))</f>
        <v>D0821</v>
      </c>
      <c r="M826" s="76" t="s">
        <v>96</v>
      </c>
      <c r="N826" s="77"/>
      <c r="O826" s="78" t="s">
        <v>97</v>
      </c>
      <c r="P826" s="79" t="n">
        <f aca="false">COUNTIFS(임대자산!$I:$I,가맹점정보!F826,임대자산!$N:$N,가맹점정보!P$4)</f>
        <v>0</v>
      </c>
      <c r="Q826" s="80" t="n">
        <f aca="false">COUNTIFS(임대자산!$I:$I,가맹점정보!F826,임대자산!$N:$N,가맹점정보!Q$4)</f>
        <v>1</v>
      </c>
      <c r="R826" s="81" t="n">
        <f aca="false">COUNTIFS(임대자산!$I:$I,가맹점정보!F826,임대자산!$N:$N,가맹점정보!R$4)</f>
        <v>0</v>
      </c>
      <c r="S826" s="82" t="n">
        <v>55000</v>
      </c>
      <c r="T826" s="83" t="n">
        <v>0</v>
      </c>
      <c r="U826" s="80" t="n">
        <f aca="false">SUM(S826:T826)</f>
        <v>55000</v>
      </c>
      <c r="V826" s="84" t="s">
        <v>12</v>
      </c>
      <c r="W826" s="80" t="e">
        <f aca="true">
IF(D826="폐업","폐업",
IF(V826="면제","면제",
IF(AND(V826="정상",COUNTIFS(OFFSET(Y826,0,COUNTA(Y826:AV826)-1,1,-4),"미납")&gt;=3),"장기미납",
IF(AND(V826="정상",OFFSET(Y826,0,COUNTA(Y826:AV826)-1)&gt;=U826),"정상",
IF(AND(V826="정상",OFFSET(Y826,0,COUNTA(Y826:AV826)-1)=0),"정상",
"계약서 미작성")))))</f>
        <v>#VALUE!</v>
      </c>
      <c r="X826" s="81" t="str">
        <f aca="true">
IF(D826="폐업","폐업",
IF(AND(V826="정상",OFFSET(Y826,0,COUNTA(Y826:AV826)-1)="미납"),"미납",
IF(AND(V826="정상",OFFSET(Y826,0,COUNTA(Y826:AV826)-1)=0),"납부 시작 전",
IF(AND(V826="정상",OFFSET(Y826,0,COUNTA(Y826:AV826)-1)&gt;=U826),"정상",
IF(AND(V826="면제",OFFSET(Y826,0,COUNTA(Y826:AV826)-1)="면제"),"면제",
IF(AND(V826="면제",OFFSET(Y826,0,COUNTA(Y826:AV826)-1)=0),"면제",
"확인요청"))))))</f>
        <v>정상</v>
      </c>
      <c r="Y826" s="93" t="n">
        <v>55000</v>
      </c>
      <c r="Z826" s="90" t="n">
        <v>55000</v>
      </c>
      <c r="AA826" s="90" t="n">
        <v>55000</v>
      </c>
      <c r="AB826" s="90" t="n">
        <v>55000</v>
      </c>
      <c r="AC826" s="90" t="n">
        <v>55000</v>
      </c>
      <c r="AD826" s="90" t="n">
        <v>55000</v>
      </c>
      <c r="AE826" s="90" t="n">
        <v>55000</v>
      </c>
      <c r="AF826" s="90" t="n">
        <v>55000</v>
      </c>
      <c r="AG826" s="90" t="n">
        <v>55000</v>
      </c>
      <c r="AH826" s="90" t="n">
        <v>55000</v>
      </c>
      <c r="AI826" s="90" t="n">
        <v>55000</v>
      </c>
      <c r="AJ826" s="91" t="n">
        <v>55000</v>
      </c>
      <c r="AK826" s="89" t="n">
        <v>55000</v>
      </c>
      <c r="AL826" s="90" t="n">
        <v>55000</v>
      </c>
      <c r="AM826" s="90"/>
      <c r="AN826" s="90"/>
      <c r="AO826" s="90"/>
      <c r="AP826" s="90"/>
      <c r="AQ826" s="90"/>
      <c r="AR826" s="90"/>
      <c r="AS826" s="90"/>
      <c r="AT826" s="90"/>
      <c r="AU826" s="90"/>
      <c r="AV826" s="91"/>
      <c r="AX826" s="92"/>
    </row>
    <row r="827" customFormat="false" ht="15.65" hidden="false" customHeight="false" outlineLevel="0" collapsed="false">
      <c r="C827" s="72" t="n">
        <f aca="false">COUNTIFS($D$6:D827,"&lt;&gt;"&amp;"")</f>
        <v>822</v>
      </c>
      <c r="D827" s="73" t="s">
        <v>12</v>
      </c>
      <c r="E827" s="76" t="str">
        <f aca="false">
IF($D827="정상",INDEX(임대자산!$D$3:$R$3000,MATCH($F827,임대자산!$I$3:$I$3000,0),MATCH(E$3,임대자산!$D$3:$R$3,0)),
IF($D827="폐업",INDEX(폐업정보!$D$3:$R$3000,MATCH($F827,폐업정보!$I$3:$I$3000,0),MATCH(E$3,폐업정보!$D$3:$R$3,0)),
"Error"))</f>
        <v>경기</v>
      </c>
      <c r="F82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B0822</v>
      </c>
      <c r="G827" s="76" t="str">
        <f aca="false">F827&amp;RANDBETWEEN(0,10)</f>
        <v>B08220</v>
      </c>
      <c r="H827" s="75" t="n">
        <f aca="false">
IF($D827="정상",INDEX(임대자산!$D$3:$R$3000,MATCH($F827,임대자산!$I$3:$I$3000,0),MATCH(H$4,임대자산!$D$3:$R$3,0)),
IF($D827="폐업",INDEX(폐업정보!$D$3:$R$3000,MATCH($F827,폐업정보!$I$3:$I$3000,0),MATCH(H$4,폐업정보!$D$3:$R$3,0)),
"Error"))</f>
        <v>45638</v>
      </c>
      <c r="I827" s="75" t="str">
        <f aca="false">
IF($D827="정상",INDEX(임대자산!$D$3:$R$3000,MATCH($F827,임대자산!$I$3:$I$3000,0),MATCH(I$4,임대자산!$D$3:$R$3,0)),
IF($D827="폐업",INDEX(폐업정보!$D$3:$R$3000,MATCH($F827,폐업정보!$I$3:$I$3000,0),MATCH(I$4,폐업정보!$D$3:$R$3,0)),
"Error"))</f>
        <v>A0822</v>
      </c>
      <c r="J827" s="75" t="str">
        <f aca="false">
IF($D827="정상",INDEX(임대자산!$D$3:$R$3000,MATCH($F827,임대자산!$I$3:$I$3000,0),MATCH(J$4,임대자산!$D$3:$R$3,0)),
IF($D827="폐업",INDEX(폐업정보!$D$3:$R$3000,MATCH($F827,폐업정보!$I$3:$I$3000,0),MATCH(J$4,폐업정보!$D$3:$R$3,0)),
"Error"))</f>
        <v>9642400000</v>
      </c>
      <c r="K827" s="75" t="str">
        <f aca="false">
IF($D827="정상",INDEX(임대자산!$D$3:$R$3000,MATCH($F827,임대자산!$I$3:$I$3000,0),MATCH(K$4,임대자산!$D$3:$R$3,0)),
IF($D827="폐업",INDEX(폐업정보!$D$3:$R$3000,MATCH($F827,폐업정보!$I$3:$I$3000,0),MATCH(K$4,폐업정보!$D$3:$R$3,0)),
"Error"))</f>
        <v>C0822</v>
      </c>
      <c r="L827" s="75" t="str">
        <f aca="false">
IF($D827="정상",INDEX(임대자산!$D$3:$R$3000,MATCH($F827,임대자산!$I$3:$I$3000,0),MATCH(L$4,임대자산!$D$3:$R$3,0)),
IF($D827="폐업",INDEX(폐업정보!$D$3:$R$3000,MATCH($F827,폐업정보!$I$3:$I$3000,0),MATCH(L$4,폐업정보!$D$3:$R$3,0)),
"Error"))</f>
        <v>D0822</v>
      </c>
      <c r="M827" s="76" t="s">
        <v>96</v>
      </c>
      <c r="N827" s="77"/>
      <c r="O827" s="78" t="s">
        <v>97</v>
      </c>
      <c r="P827" s="79" t="n">
        <f aca="false">COUNTIFS(임대자산!$I:$I,가맹점정보!F827,임대자산!$N:$N,가맹점정보!P$4)</f>
        <v>0</v>
      </c>
      <c r="Q827" s="80" t="n">
        <f aca="false">COUNTIFS(임대자산!$I:$I,가맹점정보!F827,임대자산!$N:$N,가맹점정보!Q$4)</f>
        <v>1</v>
      </c>
      <c r="R827" s="81" t="n">
        <f aca="false">COUNTIFS(임대자산!$I:$I,가맹점정보!F827,임대자산!$N:$N,가맹점정보!R$4)</f>
        <v>0</v>
      </c>
      <c r="S827" s="82" t="n">
        <v>88000</v>
      </c>
      <c r="T827" s="83" t="n">
        <v>0</v>
      </c>
      <c r="U827" s="80" t="n">
        <f aca="false">SUM(S827:T827)</f>
        <v>88000</v>
      </c>
      <c r="V827" s="84" t="s">
        <v>7</v>
      </c>
      <c r="W827" s="80" t="str">
        <f aca="true">
IF(D827="폐업","폐업",
IF(V827="면제","면제",
IF(AND(V827="정상",COUNTIFS(OFFSET(Y827,0,COUNTA(Y827:AV827)-1,1,-4),"미납")&gt;=3),"장기미납",
IF(AND(V827="정상",OFFSET(Y827,0,COUNTA(Y827:AV827)-1)&gt;=U827),"정상",
IF(AND(V827="정상",OFFSET(Y827,0,COUNTA(Y827:AV827)-1)=0),"정상",
"계약서 미작성")))))</f>
        <v>면제</v>
      </c>
      <c r="X827" s="81" t="str">
        <f aca="true">
IF(D827="폐업","폐업",
IF(AND(V827="정상",OFFSET(Y827,0,COUNTA(Y827:AV827)-1)="미납"),"미납",
IF(AND(V827="정상",OFFSET(Y827,0,COUNTA(Y827:AV827)-1)=0),"납부 시작 전",
IF(AND(V827="정상",OFFSET(Y827,0,COUNTA(Y827:AV827)-1)&gt;=U827),"정상",
IF(AND(V827="면제",OFFSET(Y827,0,COUNTA(Y827:AV827)-1)="면제"),"면제",
IF(AND(V827="면제",OFFSET(Y827,0,COUNTA(Y827:AV827)-1)=0),"면제",
"확인요청"))))))</f>
        <v>면제</v>
      </c>
      <c r="Y827" s="94" t="s">
        <v>7</v>
      </c>
      <c r="Z827" s="95" t="s">
        <v>7</v>
      </c>
      <c r="AA827" s="95" t="s">
        <v>7</v>
      </c>
      <c r="AB827" s="95" t="s">
        <v>7</v>
      </c>
      <c r="AC827" s="95" t="s">
        <v>7</v>
      </c>
      <c r="AD827" s="95" t="s">
        <v>7</v>
      </c>
      <c r="AE827" s="95" t="s">
        <v>7</v>
      </c>
      <c r="AF827" s="95" t="s">
        <v>7</v>
      </c>
      <c r="AG827" s="95" t="s">
        <v>7</v>
      </c>
      <c r="AH827" s="95" t="s">
        <v>7</v>
      </c>
      <c r="AI827" s="95" t="s">
        <v>7</v>
      </c>
      <c r="AJ827" s="96" t="s">
        <v>7</v>
      </c>
      <c r="AK827" s="97" t="s">
        <v>7</v>
      </c>
      <c r="AL827" s="95" t="s">
        <v>7</v>
      </c>
      <c r="AM827" s="90"/>
      <c r="AN827" s="90"/>
      <c r="AO827" s="90"/>
      <c r="AP827" s="90"/>
      <c r="AQ827" s="90"/>
      <c r="AR827" s="90"/>
      <c r="AS827" s="90"/>
      <c r="AT827" s="90"/>
      <c r="AU827" s="90"/>
      <c r="AV827" s="91"/>
      <c r="AX827" s="92"/>
    </row>
    <row r="828" customFormat="false" ht="15.65" hidden="false" customHeight="false" outlineLevel="0" collapsed="false">
      <c r="C828" s="72" t="n">
        <f aca="false">COUNTIFS($D$6:D828,"&lt;&gt;"&amp;"")</f>
        <v>823</v>
      </c>
      <c r="D828" s="73" t="s">
        <v>12</v>
      </c>
      <c r="E828" s="76" t="str">
        <f aca="false">
IF($D828="정상",INDEX(임대자산!$D$3:$R$3000,MATCH($F828,임대자산!$I$3:$I$3000,0),MATCH(E$3,임대자산!$D$3:$R$3,0)),
IF($D828="폐업",INDEX(폐업정보!$D$3:$R$3000,MATCH($F828,폐업정보!$I$3:$I$3000,0),MATCH(E$3,폐업정보!$D$3:$R$3,0)),
"Error"))</f>
        <v>경상</v>
      </c>
      <c r="F82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B0823</v>
      </c>
      <c r="G828" s="76" t="str">
        <f aca="false">F828&amp;RANDBETWEEN(0,10)</f>
        <v>B08233</v>
      </c>
      <c r="H828" s="75" t="n">
        <f aca="false">
IF($D828="정상",INDEX(임대자산!$D$3:$R$3000,MATCH($F828,임대자산!$I$3:$I$3000,0),MATCH(H$4,임대자산!$D$3:$R$3,0)),
IF($D828="폐업",INDEX(폐업정보!$D$3:$R$3000,MATCH($F828,폐업정보!$I$3:$I$3000,0),MATCH(H$4,폐업정보!$D$3:$R$3,0)),
"Error"))</f>
        <v>45643</v>
      </c>
      <c r="I828" s="75" t="str">
        <f aca="false">
IF($D828="정상",INDEX(임대자산!$D$3:$R$3000,MATCH($F828,임대자산!$I$3:$I$3000,0),MATCH(I$4,임대자산!$D$3:$R$3,0)),
IF($D828="폐업",INDEX(폐업정보!$D$3:$R$3000,MATCH($F828,폐업정보!$I$3:$I$3000,0),MATCH(I$4,폐업정보!$D$3:$R$3,0)),
"Error"))</f>
        <v>A0823</v>
      </c>
      <c r="J828" s="75" t="str">
        <f aca="false">
IF($D828="정상",INDEX(임대자산!$D$3:$R$3000,MATCH($F828,임대자산!$I$3:$I$3000,0),MATCH(J$4,임대자산!$D$3:$R$3,0)),
IF($D828="폐업",INDEX(폐업정보!$D$3:$R$3000,MATCH($F828,폐업정보!$I$3:$I$3000,0),MATCH(J$4,폐업정보!$D$3:$R$3,0)),
"Error"))</f>
        <v>3986700000</v>
      </c>
      <c r="K828" s="75" t="str">
        <f aca="false">
IF($D828="정상",INDEX(임대자산!$D$3:$R$3000,MATCH($F828,임대자산!$I$3:$I$3000,0),MATCH(K$4,임대자산!$D$3:$R$3,0)),
IF($D828="폐업",INDEX(폐업정보!$D$3:$R$3000,MATCH($F828,폐업정보!$I$3:$I$3000,0),MATCH(K$4,폐업정보!$D$3:$R$3,0)),
"Error"))</f>
        <v>C0823</v>
      </c>
      <c r="L828" s="75" t="str">
        <f aca="false">
IF($D828="정상",INDEX(임대자산!$D$3:$R$3000,MATCH($F828,임대자산!$I$3:$I$3000,0),MATCH(L$4,임대자산!$D$3:$R$3,0)),
IF($D828="폐업",INDEX(폐업정보!$D$3:$R$3000,MATCH($F828,폐업정보!$I$3:$I$3000,0),MATCH(L$4,폐업정보!$D$3:$R$3,0)),
"Error"))</f>
        <v>D0823</v>
      </c>
      <c r="M828" s="76" t="s">
        <v>96</v>
      </c>
      <c r="N828" s="77"/>
      <c r="O828" s="78" t="s">
        <v>97</v>
      </c>
      <c r="P828" s="79" t="n">
        <f aca="false">COUNTIFS(임대자산!$I:$I,가맹점정보!F828,임대자산!$N:$N,가맹점정보!P$4)</f>
        <v>0</v>
      </c>
      <c r="Q828" s="80" t="n">
        <f aca="false">COUNTIFS(임대자산!$I:$I,가맹점정보!F828,임대자산!$N:$N,가맹점정보!Q$4)</f>
        <v>1</v>
      </c>
      <c r="R828" s="81" t="n">
        <f aca="false">COUNTIFS(임대자산!$I:$I,가맹점정보!F828,임대자산!$N:$N,가맹점정보!R$4)</f>
        <v>0</v>
      </c>
      <c r="S828" s="82" t="n">
        <v>55000</v>
      </c>
      <c r="T828" s="83" t="n">
        <v>0</v>
      </c>
      <c r="U828" s="80" t="n">
        <f aca="false">SUM(S828:T828)</f>
        <v>55000</v>
      </c>
      <c r="V828" s="84" t="s">
        <v>12</v>
      </c>
      <c r="W828" s="80" t="e">
        <f aca="true">
IF(D828="폐업","폐업",
IF(V828="면제","면제",
IF(AND(V828="정상",COUNTIFS(OFFSET(Y828,0,COUNTA(Y828:AV828)-1,1,-4),"미납")&gt;=3),"장기미납",
IF(AND(V828="정상",OFFSET(Y828,0,COUNTA(Y828:AV828)-1)&gt;=U828),"정상",
IF(AND(V828="정상",OFFSET(Y828,0,COUNTA(Y828:AV828)-1)=0),"정상",
"계약서 미작성")))))</f>
        <v>#VALUE!</v>
      </c>
      <c r="X828" s="81" t="str">
        <f aca="true">
IF(D828="폐업","폐업",
IF(AND(V828="정상",OFFSET(Y828,0,COUNTA(Y828:AV828)-1)="미납"),"미납",
IF(AND(V828="정상",OFFSET(Y828,0,COUNTA(Y828:AV828)-1)=0),"납부 시작 전",
IF(AND(V828="정상",OFFSET(Y828,0,COUNTA(Y828:AV828)-1)&gt;=U828),"정상",
IF(AND(V828="면제",OFFSET(Y828,0,COUNTA(Y828:AV828)-1)="면제"),"면제",
IF(AND(V828="면제",OFFSET(Y828,0,COUNTA(Y828:AV828)-1)=0),"면제",
"확인요청"))))))</f>
        <v>정상</v>
      </c>
      <c r="Y828" s="93" t="n">
        <v>55000</v>
      </c>
      <c r="Z828" s="90" t="n">
        <v>55000</v>
      </c>
      <c r="AA828" s="90" t="n">
        <v>55000</v>
      </c>
      <c r="AB828" s="90" t="n">
        <v>55000</v>
      </c>
      <c r="AC828" s="90" t="n">
        <v>55000</v>
      </c>
      <c r="AD828" s="90" t="n">
        <v>55000</v>
      </c>
      <c r="AE828" s="90" t="n">
        <v>55000</v>
      </c>
      <c r="AF828" s="90" t="n">
        <v>55000</v>
      </c>
      <c r="AG828" s="90" t="n">
        <v>55000</v>
      </c>
      <c r="AH828" s="90" t="n">
        <v>55000</v>
      </c>
      <c r="AI828" s="90" t="n">
        <v>55000</v>
      </c>
      <c r="AJ828" s="91" t="n">
        <v>55000</v>
      </c>
      <c r="AK828" s="89" t="n">
        <v>55000</v>
      </c>
      <c r="AL828" s="90" t="n">
        <v>55000</v>
      </c>
      <c r="AM828" s="90"/>
      <c r="AN828" s="90"/>
      <c r="AO828" s="90"/>
      <c r="AP828" s="90"/>
      <c r="AQ828" s="90"/>
      <c r="AR828" s="90"/>
      <c r="AS828" s="90"/>
      <c r="AT828" s="90"/>
      <c r="AU828" s="90"/>
      <c r="AV828" s="91"/>
      <c r="AX828" s="92"/>
    </row>
    <row r="829" customFormat="false" ht="15.65" hidden="false" customHeight="false" outlineLevel="0" collapsed="false">
      <c r="C829" s="72" t="n">
        <f aca="false">COUNTIFS($D$6:D829,"&lt;&gt;"&amp;"")</f>
        <v>824</v>
      </c>
      <c r="D829" s="73" t="s">
        <v>12</v>
      </c>
      <c r="E829" s="76" t="str">
        <f aca="false">
IF($D829="정상",INDEX(임대자산!$D$3:$R$3000,MATCH($F829,임대자산!$I$3:$I$3000,0),MATCH(E$3,임대자산!$D$3:$R$3,0)),
IF($D829="폐업",INDEX(폐업정보!$D$3:$R$3000,MATCH($F829,폐업정보!$I$3:$I$3000,0),MATCH(E$3,폐업정보!$D$3:$R$3,0)),
"Error"))</f>
        <v>서울</v>
      </c>
      <c r="F82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B0824</v>
      </c>
      <c r="G829" s="76" t="str">
        <f aca="false">F829&amp;RANDBETWEEN(0,10)</f>
        <v>B08246</v>
      </c>
      <c r="H829" s="75" t="n">
        <f aca="false">
IF($D829="정상",INDEX(임대자산!$D$3:$R$3000,MATCH($F829,임대자산!$I$3:$I$3000,0),MATCH(H$4,임대자산!$D$3:$R$3,0)),
IF($D829="폐업",INDEX(폐업정보!$D$3:$R$3000,MATCH($F829,폐업정보!$I$3:$I$3000,0),MATCH(H$4,폐업정보!$D$3:$R$3,0)),
"Error"))</f>
        <v>45635</v>
      </c>
      <c r="I829" s="75" t="str">
        <f aca="false">
IF($D829="정상",INDEX(임대자산!$D$3:$R$3000,MATCH($F829,임대자산!$I$3:$I$3000,0),MATCH(I$4,임대자산!$D$3:$R$3,0)),
IF($D829="폐업",INDEX(폐업정보!$D$3:$R$3000,MATCH($F829,폐업정보!$I$3:$I$3000,0),MATCH(I$4,폐업정보!$D$3:$R$3,0)),
"Error"))</f>
        <v>A0824</v>
      </c>
      <c r="J829" s="75" t="str">
        <f aca="false">
IF($D829="정상",INDEX(임대자산!$D$3:$R$3000,MATCH($F829,임대자산!$I$3:$I$3000,0),MATCH(J$4,임대자산!$D$3:$R$3,0)),
IF($D829="폐업",INDEX(폐업정보!$D$3:$R$3000,MATCH($F829,폐업정보!$I$3:$I$3000,0),MATCH(J$4,폐업정보!$D$3:$R$3,0)),
"Error"))</f>
        <v>2779900000</v>
      </c>
      <c r="K829" s="75" t="str">
        <f aca="false">
IF($D829="정상",INDEX(임대자산!$D$3:$R$3000,MATCH($F829,임대자산!$I$3:$I$3000,0),MATCH(K$4,임대자산!$D$3:$R$3,0)),
IF($D829="폐업",INDEX(폐업정보!$D$3:$R$3000,MATCH($F829,폐업정보!$I$3:$I$3000,0),MATCH(K$4,폐업정보!$D$3:$R$3,0)),
"Error"))</f>
        <v>C0824</v>
      </c>
      <c r="L829" s="75" t="str">
        <f aca="false">
IF($D829="정상",INDEX(임대자산!$D$3:$R$3000,MATCH($F829,임대자산!$I$3:$I$3000,0),MATCH(L$4,임대자산!$D$3:$R$3,0)),
IF($D829="폐업",INDEX(폐업정보!$D$3:$R$3000,MATCH($F829,폐업정보!$I$3:$I$3000,0),MATCH(L$4,폐업정보!$D$3:$R$3,0)),
"Error"))</f>
        <v>D0824</v>
      </c>
      <c r="M829" s="76" t="s">
        <v>96</v>
      </c>
      <c r="N829" s="77"/>
      <c r="O829" s="78" t="s">
        <v>97</v>
      </c>
      <c r="P829" s="79" t="n">
        <f aca="false">COUNTIFS(임대자산!$I:$I,가맹점정보!F829,임대자산!$N:$N,가맹점정보!P$4)</f>
        <v>0</v>
      </c>
      <c r="Q829" s="80" t="n">
        <f aca="false">COUNTIFS(임대자산!$I:$I,가맹점정보!F829,임대자산!$N:$N,가맹점정보!Q$4)</f>
        <v>1</v>
      </c>
      <c r="R829" s="81" t="n">
        <f aca="false">COUNTIFS(임대자산!$I:$I,가맹점정보!F829,임대자산!$N:$N,가맹점정보!R$4)</f>
        <v>0</v>
      </c>
      <c r="S829" s="82" t="n">
        <v>55000</v>
      </c>
      <c r="T829" s="83" t="n">
        <v>0</v>
      </c>
      <c r="U829" s="80" t="n">
        <f aca="false">SUM(S829:T829)</f>
        <v>55000</v>
      </c>
      <c r="V829" s="84" t="s">
        <v>7</v>
      </c>
      <c r="W829" s="80" t="str">
        <f aca="true">
IF(D829="폐업","폐업",
IF(V829="면제","면제",
IF(AND(V829="정상",COUNTIFS(OFFSET(Y829,0,COUNTA(Y829:AV829)-1,1,-4),"미납")&gt;=3),"장기미납",
IF(AND(V829="정상",OFFSET(Y829,0,COUNTA(Y829:AV829)-1)&gt;=U829),"정상",
IF(AND(V829="정상",OFFSET(Y829,0,COUNTA(Y829:AV829)-1)=0),"정상",
"계약서 미작성")))))</f>
        <v>면제</v>
      </c>
      <c r="X829" s="81" t="str">
        <f aca="true">
IF(D829="폐업","폐업",
IF(AND(V829="정상",OFFSET(Y829,0,COUNTA(Y829:AV829)-1)="미납"),"미납",
IF(AND(V829="정상",OFFSET(Y829,0,COUNTA(Y829:AV829)-1)=0),"납부 시작 전",
IF(AND(V829="정상",OFFSET(Y829,0,COUNTA(Y829:AV829)-1)&gt;=U829),"정상",
IF(AND(V829="면제",OFFSET(Y829,0,COUNTA(Y829:AV829)-1)="면제"),"면제",
IF(AND(V829="면제",OFFSET(Y829,0,COUNTA(Y829:AV829)-1)=0),"면제",
"확인요청"))))))</f>
        <v>면제</v>
      </c>
      <c r="Y829" s="94" t="s">
        <v>7</v>
      </c>
      <c r="Z829" s="95" t="s">
        <v>7</v>
      </c>
      <c r="AA829" s="95" t="s">
        <v>7</v>
      </c>
      <c r="AB829" s="95" t="s">
        <v>7</v>
      </c>
      <c r="AC829" s="95" t="s">
        <v>7</v>
      </c>
      <c r="AD829" s="95" t="s">
        <v>7</v>
      </c>
      <c r="AE829" s="95" t="s">
        <v>7</v>
      </c>
      <c r="AF829" s="95" t="s">
        <v>7</v>
      </c>
      <c r="AG829" s="95" t="s">
        <v>7</v>
      </c>
      <c r="AH829" s="95" t="s">
        <v>7</v>
      </c>
      <c r="AI829" s="95" t="s">
        <v>7</v>
      </c>
      <c r="AJ829" s="96" t="s">
        <v>7</v>
      </c>
      <c r="AK829" s="97" t="s">
        <v>7</v>
      </c>
      <c r="AL829" s="95" t="s">
        <v>7</v>
      </c>
      <c r="AM829" s="90"/>
      <c r="AN829" s="90"/>
      <c r="AO829" s="90"/>
      <c r="AP829" s="90"/>
      <c r="AQ829" s="90"/>
      <c r="AR829" s="90"/>
      <c r="AS829" s="90"/>
      <c r="AT829" s="90"/>
      <c r="AU829" s="90"/>
      <c r="AV829" s="91"/>
      <c r="AX829" s="92"/>
    </row>
    <row r="830" customFormat="false" ht="15.65" hidden="false" customHeight="false" outlineLevel="0" collapsed="false">
      <c r="C830" s="72" t="n">
        <f aca="false">COUNTIFS($D$6:D830,"&lt;&gt;"&amp;"")</f>
        <v>825</v>
      </c>
      <c r="D830" s="73" t="s">
        <v>12</v>
      </c>
      <c r="E830" s="76" t="str">
        <f aca="false">
IF($D830="정상",INDEX(임대자산!$D$3:$R$3000,MATCH($F830,임대자산!$I$3:$I$3000,0),MATCH(E$3,임대자산!$D$3:$R$3,0)),
IF($D830="폐업",INDEX(폐업정보!$D$3:$R$3000,MATCH($F830,폐업정보!$I$3:$I$3000,0),MATCH(E$3,폐업정보!$D$3:$R$3,0)),
"Error"))</f>
        <v>경상</v>
      </c>
      <c r="F83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B0825</v>
      </c>
      <c r="G830" s="76" t="str">
        <f aca="false">F830&amp;RANDBETWEEN(0,10)</f>
        <v>B082510</v>
      </c>
      <c r="H830" s="75" t="n">
        <f aca="false">
IF($D830="정상",INDEX(임대자산!$D$3:$R$3000,MATCH($F830,임대자산!$I$3:$I$3000,0),MATCH(H$4,임대자산!$D$3:$R$3,0)),
IF($D830="폐업",INDEX(폐업정보!$D$3:$R$3000,MATCH($F830,폐업정보!$I$3:$I$3000,0),MATCH(H$4,폐업정보!$D$3:$R$3,0)),
"Error"))</f>
        <v>43581</v>
      </c>
      <c r="I830" s="75" t="str">
        <f aca="false">
IF($D830="정상",INDEX(임대자산!$D$3:$R$3000,MATCH($F830,임대자산!$I$3:$I$3000,0),MATCH(I$4,임대자산!$D$3:$R$3,0)),
IF($D830="폐업",INDEX(폐업정보!$D$3:$R$3000,MATCH($F830,폐업정보!$I$3:$I$3000,0),MATCH(I$4,폐업정보!$D$3:$R$3,0)),
"Error"))</f>
        <v>A0825</v>
      </c>
      <c r="J830" s="75" t="str">
        <f aca="false">
IF($D830="정상",INDEX(임대자산!$D$3:$R$3000,MATCH($F830,임대자산!$I$3:$I$3000,0),MATCH(J$4,임대자산!$D$3:$R$3,0)),
IF($D830="폐업",INDEX(폐업정보!$D$3:$R$3000,MATCH($F830,폐업정보!$I$3:$I$3000,0),MATCH(J$4,폐업정보!$D$3:$R$3,0)),
"Error"))</f>
        <v>3318500000</v>
      </c>
      <c r="K830" s="75" t="str">
        <f aca="false">
IF($D830="정상",INDEX(임대자산!$D$3:$R$3000,MATCH($F830,임대자산!$I$3:$I$3000,0),MATCH(K$4,임대자산!$D$3:$R$3,0)),
IF($D830="폐업",INDEX(폐업정보!$D$3:$R$3000,MATCH($F830,폐업정보!$I$3:$I$3000,0),MATCH(K$4,폐업정보!$D$3:$R$3,0)),
"Error"))</f>
        <v>C0825</v>
      </c>
      <c r="L830" s="75" t="str">
        <f aca="false">
IF($D830="정상",INDEX(임대자산!$D$3:$R$3000,MATCH($F830,임대자산!$I$3:$I$3000,0),MATCH(L$4,임대자산!$D$3:$R$3,0)),
IF($D830="폐업",INDEX(폐업정보!$D$3:$R$3000,MATCH($F830,폐업정보!$I$3:$I$3000,0),MATCH(L$4,폐업정보!$D$3:$R$3,0)),
"Error"))</f>
        <v>D0825</v>
      </c>
      <c r="M830" s="76" t="s">
        <v>96</v>
      </c>
      <c r="N830" s="77"/>
      <c r="O830" s="78" t="s">
        <v>97</v>
      </c>
      <c r="P830" s="79" t="n">
        <f aca="false">COUNTIFS(임대자산!$I:$I,가맹점정보!F830,임대자산!$N:$N,가맹점정보!P$4)</f>
        <v>0</v>
      </c>
      <c r="Q830" s="80" t="n">
        <f aca="false">COUNTIFS(임대자산!$I:$I,가맹점정보!F830,임대자산!$N:$N,가맹점정보!Q$4)</f>
        <v>1</v>
      </c>
      <c r="R830" s="81" t="n">
        <f aca="false">COUNTIFS(임대자산!$I:$I,가맹점정보!F830,임대자산!$N:$N,가맹점정보!R$4)</f>
        <v>0</v>
      </c>
      <c r="S830" s="82" t="n">
        <v>55000</v>
      </c>
      <c r="T830" s="83" t="n">
        <v>0</v>
      </c>
      <c r="U830" s="80" t="n">
        <f aca="false">SUM(S830:T830)</f>
        <v>55000</v>
      </c>
      <c r="V830" s="84" t="s">
        <v>12</v>
      </c>
      <c r="W830" s="80" t="e">
        <f aca="true">
IF(D830="폐업","폐업",
IF(V830="면제","면제",
IF(AND(V830="정상",COUNTIFS(OFFSET(Y830,0,COUNTA(Y830:AV830)-1,1,-4),"미납")&gt;=3),"장기미납",
IF(AND(V830="정상",OFFSET(Y830,0,COUNTA(Y830:AV830)-1)&gt;=U830),"정상",
IF(AND(V830="정상",OFFSET(Y830,0,COUNTA(Y830:AV830)-1)=0),"정상",
"계약서 미작성")))))</f>
        <v>#VALUE!</v>
      </c>
      <c r="X830" s="81" t="str">
        <f aca="true">
IF(D830="폐업","폐업",
IF(AND(V830="정상",OFFSET(Y830,0,COUNTA(Y830:AV830)-1)="미납"),"미납",
IF(AND(V830="정상",OFFSET(Y830,0,COUNTA(Y830:AV830)-1)=0),"납부 시작 전",
IF(AND(V830="정상",OFFSET(Y830,0,COUNTA(Y830:AV830)-1)&gt;=U830),"정상",
IF(AND(V830="면제",OFFSET(Y830,0,COUNTA(Y830:AV830)-1)="면제"),"면제",
IF(AND(V830="면제",OFFSET(Y830,0,COUNTA(Y830:AV830)-1)=0),"면제",
"확인요청"))))))</f>
        <v>정상</v>
      </c>
      <c r="Y830" s="93" t="n">
        <v>55000</v>
      </c>
      <c r="Z830" s="90" t="n">
        <v>55000</v>
      </c>
      <c r="AA830" s="90" t="n">
        <v>55000</v>
      </c>
      <c r="AB830" s="90" t="n">
        <v>55000</v>
      </c>
      <c r="AC830" s="90" t="n">
        <v>55000</v>
      </c>
      <c r="AD830" s="90" t="n">
        <v>55000</v>
      </c>
      <c r="AE830" s="90" t="n">
        <v>55000</v>
      </c>
      <c r="AF830" s="90" t="n">
        <v>55000</v>
      </c>
      <c r="AG830" s="90" t="n">
        <v>55000</v>
      </c>
      <c r="AH830" s="90" t="n">
        <v>55000</v>
      </c>
      <c r="AI830" s="90" t="n">
        <v>55000</v>
      </c>
      <c r="AJ830" s="91" t="n">
        <v>55000</v>
      </c>
      <c r="AK830" s="89" t="n">
        <v>55000</v>
      </c>
      <c r="AL830" s="90" t="n">
        <v>55000</v>
      </c>
      <c r="AM830" s="90"/>
      <c r="AN830" s="90"/>
      <c r="AO830" s="90"/>
      <c r="AP830" s="90"/>
      <c r="AQ830" s="90"/>
      <c r="AR830" s="90"/>
      <c r="AS830" s="90"/>
      <c r="AT830" s="90"/>
      <c r="AU830" s="90"/>
      <c r="AV830" s="91"/>
      <c r="AX830" s="92"/>
    </row>
    <row r="831" customFormat="false" ht="15.65" hidden="false" customHeight="false" outlineLevel="0" collapsed="false">
      <c r="C831" s="72" t="n">
        <f aca="false">COUNTIFS($D$6:D831,"&lt;&gt;"&amp;"")</f>
        <v>826</v>
      </c>
      <c r="D831" s="73" t="s">
        <v>12</v>
      </c>
      <c r="E831" s="76" t="str">
        <f aca="false">
IF($D831="정상",INDEX(임대자산!$D$3:$R$3000,MATCH($F831,임대자산!$I$3:$I$3000,0),MATCH(E$3,임대자산!$D$3:$R$3,0)),
IF($D831="폐업",INDEX(폐업정보!$D$3:$R$3000,MATCH($F831,폐업정보!$I$3:$I$3000,0),MATCH(E$3,폐업정보!$D$3:$R$3,0)),
"Error"))</f>
        <v>경기</v>
      </c>
      <c r="F83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B0826</v>
      </c>
      <c r="G831" s="76" t="str">
        <f aca="false">F831&amp;RANDBETWEEN(0,10)</f>
        <v>B08269</v>
      </c>
      <c r="H831" s="75" t="n">
        <f aca="false">
IF($D831="정상",INDEX(임대자산!$D$3:$R$3000,MATCH($F831,임대자산!$I$3:$I$3000,0),MATCH(H$4,임대자산!$D$3:$R$3,0)),
IF($D831="폐업",INDEX(폐업정보!$D$3:$R$3000,MATCH($F831,폐업정보!$I$3:$I$3000,0),MATCH(H$4,폐업정보!$D$3:$R$3,0)),
"Error"))</f>
        <v>45667</v>
      </c>
      <c r="I831" s="75" t="str">
        <f aca="false">
IF($D831="정상",INDEX(임대자산!$D$3:$R$3000,MATCH($F831,임대자산!$I$3:$I$3000,0),MATCH(I$4,임대자산!$D$3:$R$3,0)),
IF($D831="폐업",INDEX(폐업정보!$D$3:$R$3000,MATCH($F831,폐업정보!$I$3:$I$3000,0),MATCH(I$4,폐업정보!$D$3:$R$3,0)),
"Error"))</f>
        <v>A0826</v>
      </c>
      <c r="J831" s="75" t="str">
        <f aca="false">
IF($D831="정상",INDEX(임대자산!$D$3:$R$3000,MATCH($F831,임대자산!$I$3:$I$3000,0),MATCH(J$4,임대자산!$D$3:$R$3,0)),
IF($D831="폐업",INDEX(폐업정보!$D$3:$R$3000,MATCH($F831,폐업정보!$I$3:$I$3000,0),MATCH(J$4,폐업정보!$D$3:$R$3,0)),
"Error"))</f>
        <v>9092500000</v>
      </c>
      <c r="K831" s="75" t="str">
        <f aca="false">
IF($D831="정상",INDEX(임대자산!$D$3:$R$3000,MATCH($F831,임대자산!$I$3:$I$3000,0),MATCH(K$4,임대자산!$D$3:$R$3,0)),
IF($D831="폐업",INDEX(폐업정보!$D$3:$R$3000,MATCH($F831,폐업정보!$I$3:$I$3000,0),MATCH(K$4,폐업정보!$D$3:$R$3,0)),
"Error"))</f>
        <v>C0826</v>
      </c>
      <c r="L831" s="75" t="str">
        <f aca="false">
IF($D831="정상",INDEX(임대자산!$D$3:$R$3000,MATCH($F831,임대자산!$I$3:$I$3000,0),MATCH(L$4,임대자산!$D$3:$R$3,0)),
IF($D831="폐업",INDEX(폐업정보!$D$3:$R$3000,MATCH($F831,폐업정보!$I$3:$I$3000,0),MATCH(L$4,폐업정보!$D$3:$R$3,0)),
"Error"))</f>
        <v>D0826</v>
      </c>
      <c r="M831" s="76" t="s">
        <v>96</v>
      </c>
      <c r="N831" s="77"/>
      <c r="O831" s="78" t="s">
        <v>97</v>
      </c>
      <c r="P831" s="79" t="n">
        <f aca="false">COUNTIFS(임대자산!$I:$I,가맹점정보!F831,임대자산!$N:$N,가맹점정보!P$4)</f>
        <v>0</v>
      </c>
      <c r="Q831" s="80" t="n">
        <f aca="false">COUNTIFS(임대자산!$I:$I,가맹점정보!F831,임대자산!$N:$N,가맹점정보!Q$4)</f>
        <v>1</v>
      </c>
      <c r="R831" s="81" t="n">
        <f aca="false">COUNTIFS(임대자산!$I:$I,가맹점정보!F831,임대자산!$N:$N,가맹점정보!R$4)</f>
        <v>0</v>
      </c>
      <c r="S831" s="82" t="n">
        <v>55000</v>
      </c>
      <c r="T831" s="83" t="n">
        <v>0</v>
      </c>
      <c r="U831" s="80" t="n">
        <f aca="false">SUM(S831:T831)</f>
        <v>55000</v>
      </c>
      <c r="V831" s="84" t="s">
        <v>12</v>
      </c>
      <c r="W831" s="80" t="e">
        <f aca="true">
IF(D831="폐업","폐업",
IF(V831="면제","면제",
IF(AND(V831="정상",COUNTIFS(OFFSET(Y831,0,COUNTA(Y831:AV831)-1,1,-4),"미납")&gt;=3),"장기미납",
IF(AND(V831="정상",OFFSET(Y831,0,COUNTA(Y831:AV831)-1)&gt;=U831),"정상",
IF(AND(V831="정상",OFFSET(Y831,0,COUNTA(Y831:AV831)-1)=0),"정상",
"계약서 미작성")))))</f>
        <v>#VALUE!</v>
      </c>
      <c r="X831" s="81" t="str">
        <f aca="true">
IF(D831="폐업","폐업",
IF(AND(V831="정상",OFFSET(Y831,0,COUNTA(Y831:AV831)-1)="미납"),"미납",
IF(AND(V831="정상",OFFSET(Y831,0,COUNTA(Y831:AV831)-1)=0),"납부 시작 전",
IF(AND(V831="정상",OFFSET(Y831,0,COUNTA(Y831:AV831)-1)&gt;=U831),"정상",
IF(AND(V831="면제",OFFSET(Y831,0,COUNTA(Y831:AV831)-1)="면제"),"면제",
IF(AND(V831="면제",OFFSET(Y831,0,COUNTA(Y831:AV831)-1)=0),"면제",
"확인요청"))))))</f>
        <v>정상</v>
      </c>
      <c r="Y831" s="93" t="n">
        <v>55000</v>
      </c>
      <c r="Z831" s="90" t="n">
        <v>55000</v>
      </c>
      <c r="AA831" s="90" t="n">
        <v>55000</v>
      </c>
      <c r="AB831" s="90" t="n">
        <v>55000</v>
      </c>
      <c r="AC831" s="90" t="n">
        <v>55000</v>
      </c>
      <c r="AD831" s="90" t="n">
        <v>55000</v>
      </c>
      <c r="AE831" s="90" t="n">
        <v>55000</v>
      </c>
      <c r="AF831" s="90" t="n">
        <v>55000</v>
      </c>
      <c r="AG831" s="90" t="n">
        <v>55000</v>
      </c>
      <c r="AH831" s="90" t="n">
        <v>55000</v>
      </c>
      <c r="AI831" s="90" t="n">
        <v>55000</v>
      </c>
      <c r="AJ831" s="91" t="n">
        <v>55000</v>
      </c>
      <c r="AK831" s="89" t="n">
        <v>55000</v>
      </c>
      <c r="AL831" s="90" t="n">
        <v>55000</v>
      </c>
      <c r="AM831" s="90"/>
      <c r="AN831" s="90"/>
      <c r="AO831" s="90"/>
      <c r="AP831" s="90"/>
      <c r="AQ831" s="90"/>
      <c r="AR831" s="90"/>
      <c r="AS831" s="90"/>
      <c r="AT831" s="90"/>
      <c r="AU831" s="90"/>
      <c r="AV831" s="91"/>
      <c r="AX831" s="92"/>
    </row>
    <row r="832" customFormat="false" ht="15.65" hidden="false" customHeight="false" outlineLevel="0" collapsed="false">
      <c r="C832" s="72" t="n">
        <f aca="false">COUNTIFS($D$6:D832,"&lt;&gt;"&amp;"")</f>
        <v>827</v>
      </c>
      <c r="D832" s="73" t="s">
        <v>12</v>
      </c>
      <c r="E832" s="76" t="str">
        <f aca="false">
IF($D832="정상",INDEX(임대자산!$D$3:$R$3000,MATCH($F832,임대자산!$I$3:$I$3000,0),MATCH(E$3,임대자산!$D$3:$R$3,0)),
IF($D832="폐업",INDEX(폐업정보!$D$3:$R$3000,MATCH($F832,폐업정보!$I$3:$I$3000,0),MATCH(E$3,폐업정보!$D$3:$R$3,0)),
"Error"))</f>
        <v>경기</v>
      </c>
      <c r="F83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B0827</v>
      </c>
      <c r="G832" s="76" t="str">
        <f aca="false">F832&amp;RANDBETWEEN(0,10)</f>
        <v>B08279</v>
      </c>
      <c r="H832" s="75" t="n">
        <f aca="false">
IF($D832="정상",INDEX(임대자산!$D$3:$R$3000,MATCH($F832,임대자산!$I$3:$I$3000,0),MATCH(H$4,임대자산!$D$3:$R$3,0)),
IF($D832="폐업",INDEX(폐업정보!$D$3:$R$3000,MATCH($F832,폐업정보!$I$3:$I$3000,0),MATCH(H$4,폐업정보!$D$3:$R$3,0)),
"Error"))</f>
        <v>45670</v>
      </c>
      <c r="I832" s="75" t="str">
        <f aca="false">
IF($D832="정상",INDEX(임대자산!$D$3:$R$3000,MATCH($F832,임대자산!$I$3:$I$3000,0),MATCH(I$4,임대자산!$D$3:$R$3,0)),
IF($D832="폐업",INDEX(폐업정보!$D$3:$R$3000,MATCH($F832,폐업정보!$I$3:$I$3000,0),MATCH(I$4,폐업정보!$D$3:$R$3,0)),
"Error"))</f>
        <v>A0827</v>
      </c>
      <c r="J832" s="75" t="str">
        <f aca="false">
IF($D832="정상",INDEX(임대자산!$D$3:$R$3000,MATCH($F832,임대자산!$I$3:$I$3000,0),MATCH(J$4,임대자산!$D$3:$R$3,0)),
IF($D832="폐업",INDEX(폐업정보!$D$3:$R$3000,MATCH($F832,폐업정보!$I$3:$I$3000,0),MATCH(J$4,폐업정보!$D$3:$R$3,0)),
"Error"))</f>
        <v>3684100000</v>
      </c>
      <c r="K832" s="75" t="str">
        <f aca="false">
IF($D832="정상",INDEX(임대자산!$D$3:$R$3000,MATCH($F832,임대자산!$I$3:$I$3000,0),MATCH(K$4,임대자산!$D$3:$R$3,0)),
IF($D832="폐업",INDEX(폐업정보!$D$3:$R$3000,MATCH($F832,폐업정보!$I$3:$I$3000,0),MATCH(K$4,폐업정보!$D$3:$R$3,0)),
"Error"))</f>
        <v>C0827</v>
      </c>
      <c r="L832" s="75" t="str">
        <f aca="false">
IF($D832="정상",INDEX(임대자산!$D$3:$R$3000,MATCH($F832,임대자산!$I$3:$I$3000,0),MATCH(L$4,임대자산!$D$3:$R$3,0)),
IF($D832="폐업",INDEX(폐업정보!$D$3:$R$3000,MATCH($F832,폐업정보!$I$3:$I$3000,0),MATCH(L$4,폐업정보!$D$3:$R$3,0)),
"Error"))</f>
        <v>D0827</v>
      </c>
      <c r="M832" s="76" t="s">
        <v>96</v>
      </c>
      <c r="N832" s="77"/>
      <c r="O832" s="78" t="s">
        <v>97</v>
      </c>
      <c r="P832" s="79" t="n">
        <f aca="false">COUNTIFS(임대자산!$I:$I,가맹점정보!F832,임대자산!$N:$N,가맹점정보!P$4)</f>
        <v>0</v>
      </c>
      <c r="Q832" s="80" t="n">
        <f aca="false">COUNTIFS(임대자산!$I:$I,가맹점정보!F832,임대자산!$N:$N,가맹점정보!Q$4)</f>
        <v>1</v>
      </c>
      <c r="R832" s="81" t="n">
        <f aca="false">COUNTIFS(임대자산!$I:$I,가맹점정보!F832,임대자산!$N:$N,가맹점정보!R$4)</f>
        <v>0</v>
      </c>
      <c r="S832" s="82" t="n">
        <v>88000</v>
      </c>
      <c r="T832" s="83" t="n">
        <v>0</v>
      </c>
      <c r="U832" s="80" t="n">
        <f aca="false">SUM(S832:T832)</f>
        <v>88000</v>
      </c>
      <c r="V832" s="84" t="s">
        <v>7</v>
      </c>
      <c r="W832" s="80" t="str">
        <f aca="true">
IF(D832="폐업","폐업",
IF(V832="면제","면제",
IF(AND(V832="정상",COUNTIFS(OFFSET(Y832,0,COUNTA(Y832:AV832)-1,1,-4),"미납")&gt;=3),"장기미납",
IF(AND(V832="정상",OFFSET(Y832,0,COUNTA(Y832:AV832)-1)&gt;=U832),"정상",
IF(AND(V832="정상",OFFSET(Y832,0,COUNTA(Y832:AV832)-1)=0),"정상",
"계약서 미작성")))))</f>
        <v>면제</v>
      </c>
      <c r="X832" s="81" t="str">
        <f aca="true">
IF(D832="폐업","폐업",
IF(AND(V832="정상",OFFSET(Y832,0,COUNTA(Y832:AV832)-1)="미납"),"미납",
IF(AND(V832="정상",OFFSET(Y832,0,COUNTA(Y832:AV832)-1)=0),"납부 시작 전",
IF(AND(V832="정상",OFFSET(Y832,0,COUNTA(Y832:AV832)-1)&gt;=U832),"정상",
IF(AND(V832="면제",OFFSET(Y832,0,COUNTA(Y832:AV832)-1)="면제"),"면제",
IF(AND(V832="면제",OFFSET(Y832,0,COUNTA(Y832:AV832)-1)=0),"면제",
"확인요청"))))))</f>
        <v>면제</v>
      </c>
      <c r="Y832" s="94" t="s">
        <v>7</v>
      </c>
      <c r="Z832" s="95" t="s">
        <v>7</v>
      </c>
      <c r="AA832" s="95" t="s">
        <v>7</v>
      </c>
      <c r="AB832" s="95" t="s">
        <v>7</v>
      </c>
      <c r="AC832" s="95" t="s">
        <v>7</v>
      </c>
      <c r="AD832" s="95" t="s">
        <v>7</v>
      </c>
      <c r="AE832" s="95" t="s">
        <v>7</v>
      </c>
      <c r="AF832" s="95" t="s">
        <v>7</v>
      </c>
      <c r="AG832" s="95" t="s">
        <v>7</v>
      </c>
      <c r="AH832" s="95" t="s">
        <v>7</v>
      </c>
      <c r="AI832" s="95" t="s">
        <v>7</v>
      </c>
      <c r="AJ832" s="96" t="s">
        <v>7</v>
      </c>
      <c r="AK832" s="97" t="s">
        <v>7</v>
      </c>
      <c r="AL832" s="95" t="s">
        <v>7</v>
      </c>
      <c r="AM832" s="90"/>
      <c r="AN832" s="90"/>
      <c r="AO832" s="90"/>
      <c r="AP832" s="90"/>
      <c r="AQ832" s="90"/>
      <c r="AR832" s="90"/>
      <c r="AS832" s="90"/>
      <c r="AT832" s="90"/>
      <c r="AU832" s="90"/>
      <c r="AV832" s="91"/>
      <c r="AX832" s="92"/>
    </row>
    <row r="833" customFormat="false" ht="15.65" hidden="false" customHeight="false" outlineLevel="0" collapsed="false">
      <c r="C833" s="72" t="n">
        <f aca="false">COUNTIFS($D$6:D833,"&lt;&gt;"&amp;"")</f>
        <v>828</v>
      </c>
      <c r="D833" s="73" t="s">
        <v>12</v>
      </c>
      <c r="E833" s="76" t="str">
        <f aca="false">
IF($D833="정상",INDEX(임대자산!$D$3:$R$3000,MATCH($F833,임대자산!$I$3:$I$3000,0),MATCH(E$3,임대자산!$D$3:$R$3,0)),
IF($D833="폐업",INDEX(폐업정보!$D$3:$R$3000,MATCH($F833,폐업정보!$I$3:$I$3000,0),MATCH(E$3,폐업정보!$D$3:$R$3,0)),
"Error"))</f>
        <v>경기</v>
      </c>
      <c r="F83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B0828</v>
      </c>
      <c r="G833" s="76" t="str">
        <f aca="false">F833&amp;RANDBETWEEN(0,10)</f>
        <v>B08280</v>
      </c>
      <c r="H833" s="75" t="n">
        <f aca="false">
IF($D833="정상",INDEX(임대자산!$D$3:$R$3000,MATCH($F833,임대자산!$I$3:$I$3000,0),MATCH(H$4,임대자산!$D$3:$R$3,0)),
IF($D833="폐업",INDEX(폐업정보!$D$3:$R$3000,MATCH($F833,폐업정보!$I$3:$I$3000,0),MATCH(H$4,폐업정보!$D$3:$R$3,0)),
"Error"))</f>
        <v>45923</v>
      </c>
      <c r="I833" s="75" t="str">
        <f aca="false">
IF($D833="정상",INDEX(임대자산!$D$3:$R$3000,MATCH($F833,임대자산!$I$3:$I$3000,0),MATCH(I$4,임대자산!$D$3:$R$3,0)),
IF($D833="폐업",INDEX(폐업정보!$D$3:$R$3000,MATCH($F833,폐업정보!$I$3:$I$3000,0),MATCH(I$4,폐업정보!$D$3:$R$3,0)),
"Error"))</f>
        <v>A0828</v>
      </c>
      <c r="J833" s="75" t="str">
        <f aca="false">
IF($D833="정상",INDEX(임대자산!$D$3:$R$3000,MATCH($F833,임대자산!$I$3:$I$3000,0),MATCH(J$4,임대자산!$D$3:$R$3,0)),
IF($D833="폐업",INDEX(폐업정보!$D$3:$R$3000,MATCH($F833,폐업정보!$I$3:$I$3000,0),MATCH(J$4,폐업정보!$D$3:$R$3,0)),
"Error"))</f>
        <v>4934100000</v>
      </c>
      <c r="K833" s="75" t="str">
        <f aca="false">
IF($D833="정상",INDEX(임대자산!$D$3:$R$3000,MATCH($F833,임대자산!$I$3:$I$3000,0),MATCH(K$4,임대자산!$D$3:$R$3,0)),
IF($D833="폐업",INDEX(폐업정보!$D$3:$R$3000,MATCH($F833,폐업정보!$I$3:$I$3000,0),MATCH(K$4,폐업정보!$D$3:$R$3,0)),
"Error"))</f>
        <v>C0828</v>
      </c>
      <c r="L833" s="75" t="str">
        <f aca="false">
IF($D833="정상",INDEX(임대자산!$D$3:$R$3000,MATCH($F833,임대자산!$I$3:$I$3000,0),MATCH(L$4,임대자산!$D$3:$R$3,0)),
IF($D833="폐업",INDEX(폐업정보!$D$3:$R$3000,MATCH($F833,폐업정보!$I$3:$I$3000,0),MATCH(L$4,폐업정보!$D$3:$R$3,0)),
"Error"))</f>
        <v>D0828</v>
      </c>
      <c r="M833" s="76" t="s">
        <v>96</v>
      </c>
      <c r="N833" s="77"/>
      <c r="O833" s="78" t="s">
        <v>97</v>
      </c>
      <c r="P833" s="79" t="n">
        <f aca="false">COUNTIFS(임대자산!$I:$I,가맹점정보!F833,임대자산!$N:$N,가맹점정보!P$4)</f>
        <v>0</v>
      </c>
      <c r="Q833" s="80" t="n">
        <f aca="false">COUNTIFS(임대자산!$I:$I,가맹점정보!F833,임대자산!$N:$N,가맹점정보!Q$4)</f>
        <v>1</v>
      </c>
      <c r="R833" s="81" t="n">
        <f aca="false">COUNTIFS(임대자산!$I:$I,가맹점정보!F833,임대자산!$N:$N,가맹점정보!R$4)</f>
        <v>0</v>
      </c>
      <c r="S833" s="82" t="n">
        <v>55000</v>
      </c>
      <c r="T833" s="83" t="n">
        <v>0</v>
      </c>
      <c r="U833" s="80" t="n">
        <f aca="false">SUM(S833:T833)</f>
        <v>55000</v>
      </c>
      <c r="V833" s="84" t="s">
        <v>12</v>
      </c>
      <c r="W833" s="80" t="e">
        <f aca="true">
IF(D833="폐업","폐업",
IF(V833="면제","면제",
IF(AND(V833="정상",COUNTIFS(OFFSET(Y833,0,COUNTA(Y833:AV833)-1,1,-4),"미납")&gt;=3),"장기미납",
IF(AND(V833="정상",OFFSET(Y833,0,COUNTA(Y833:AV833)-1)&gt;=U833),"정상",
IF(AND(V833="정상",OFFSET(Y833,0,COUNTA(Y833:AV833)-1)=0),"정상",
"계약서 미작성")))))</f>
        <v>#VALUE!</v>
      </c>
      <c r="X833" s="81" t="str">
        <f aca="true">
IF(D833="폐업","폐업",
IF(AND(V833="정상",OFFSET(Y833,0,COUNTA(Y833:AV833)-1)="미납"),"미납",
IF(AND(V833="정상",OFFSET(Y833,0,COUNTA(Y833:AV833)-1)=0),"납부 시작 전",
IF(AND(V833="정상",OFFSET(Y833,0,COUNTA(Y833:AV833)-1)&gt;=U833),"정상",
IF(AND(V833="면제",OFFSET(Y833,0,COUNTA(Y833:AV833)-1)="면제"),"면제",
IF(AND(V833="면제",OFFSET(Y833,0,COUNTA(Y833:AV833)-1)=0),"면제",
"확인요청"))))))</f>
        <v>정상</v>
      </c>
      <c r="Y833" s="93" t="n">
        <v>55000</v>
      </c>
      <c r="Z833" s="90" t="n">
        <v>55000</v>
      </c>
      <c r="AA833" s="90" t="n">
        <v>55000</v>
      </c>
      <c r="AB833" s="90" t="n">
        <v>55000</v>
      </c>
      <c r="AC833" s="90" t="n">
        <v>55000</v>
      </c>
      <c r="AD833" s="90" t="n">
        <v>55000</v>
      </c>
      <c r="AE833" s="90" t="n">
        <v>55000</v>
      </c>
      <c r="AF833" s="90" t="n">
        <v>55000</v>
      </c>
      <c r="AG833" s="90" t="n">
        <v>55000</v>
      </c>
      <c r="AH833" s="90" t="n">
        <v>55000</v>
      </c>
      <c r="AI833" s="90" t="n">
        <v>55000</v>
      </c>
      <c r="AJ833" s="91" t="n">
        <v>55000</v>
      </c>
      <c r="AK833" s="89" t="n">
        <v>55000</v>
      </c>
      <c r="AL833" s="90" t="n">
        <v>55000</v>
      </c>
      <c r="AM833" s="90"/>
      <c r="AN833" s="90"/>
      <c r="AO833" s="90"/>
      <c r="AP833" s="90"/>
      <c r="AQ833" s="90"/>
      <c r="AR833" s="90"/>
      <c r="AS833" s="90"/>
      <c r="AT833" s="90"/>
      <c r="AU833" s="90"/>
      <c r="AV833" s="91"/>
      <c r="AX833" s="92"/>
    </row>
    <row r="834" customFormat="false" ht="15.65" hidden="false" customHeight="false" outlineLevel="0" collapsed="false">
      <c r="C834" s="72" t="n">
        <f aca="false">COUNTIFS($D$6:D834,"&lt;&gt;"&amp;"")</f>
        <v>829</v>
      </c>
      <c r="D834" s="73" t="s">
        <v>12</v>
      </c>
      <c r="E834" s="76" t="str">
        <f aca="false">
IF($D834="정상",INDEX(임대자산!$D$3:$R$3000,MATCH($F834,임대자산!$I$3:$I$3000,0),MATCH(E$3,임대자산!$D$3:$R$3,0)),
IF($D834="폐업",INDEX(폐업정보!$D$3:$R$3000,MATCH($F834,폐업정보!$I$3:$I$3000,0),MATCH(E$3,폐업정보!$D$3:$R$3,0)),
"Error"))</f>
        <v>경기</v>
      </c>
      <c r="F83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B0829</v>
      </c>
      <c r="G834" s="76" t="str">
        <f aca="false">F834&amp;RANDBETWEEN(0,10)</f>
        <v>B08295</v>
      </c>
      <c r="H834" s="75" t="n">
        <f aca="false">
IF($D834="정상",INDEX(임대자산!$D$3:$R$3000,MATCH($F834,임대자산!$I$3:$I$3000,0),MATCH(H$4,임대자산!$D$3:$R$3,0)),
IF($D834="폐업",INDEX(폐업정보!$D$3:$R$3000,MATCH($F834,폐업정보!$I$3:$I$3000,0),MATCH(H$4,폐업정보!$D$3:$R$3,0)),
"Error"))</f>
        <v>45673</v>
      </c>
      <c r="I834" s="75" t="str">
        <f aca="false">
IF($D834="정상",INDEX(임대자산!$D$3:$R$3000,MATCH($F834,임대자산!$I$3:$I$3000,0),MATCH(I$4,임대자산!$D$3:$R$3,0)),
IF($D834="폐업",INDEX(폐업정보!$D$3:$R$3000,MATCH($F834,폐업정보!$I$3:$I$3000,0),MATCH(I$4,폐업정보!$D$3:$R$3,0)),
"Error"))</f>
        <v>A0829</v>
      </c>
      <c r="J834" s="75" t="str">
        <f aca="false">
IF($D834="정상",INDEX(임대자산!$D$3:$R$3000,MATCH($F834,임대자산!$I$3:$I$3000,0),MATCH(J$4,임대자산!$D$3:$R$3,0)),
IF($D834="폐업",INDEX(폐업정보!$D$3:$R$3000,MATCH($F834,폐업정보!$I$3:$I$3000,0),MATCH(J$4,폐업정보!$D$3:$R$3,0)),
"Error"))</f>
        <v>5538000000</v>
      </c>
      <c r="K834" s="75" t="str">
        <f aca="false">
IF($D834="정상",INDEX(임대자산!$D$3:$R$3000,MATCH($F834,임대자산!$I$3:$I$3000,0),MATCH(K$4,임대자산!$D$3:$R$3,0)),
IF($D834="폐업",INDEX(폐업정보!$D$3:$R$3000,MATCH($F834,폐업정보!$I$3:$I$3000,0),MATCH(K$4,폐업정보!$D$3:$R$3,0)),
"Error"))</f>
        <v>C0829</v>
      </c>
      <c r="L834" s="75" t="str">
        <f aca="false">
IF($D834="정상",INDEX(임대자산!$D$3:$R$3000,MATCH($F834,임대자산!$I$3:$I$3000,0),MATCH(L$4,임대자산!$D$3:$R$3,0)),
IF($D834="폐업",INDEX(폐업정보!$D$3:$R$3000,MATCH($F834,폐업정보!$I$3:$I$3000,0),MATCH(L$4,폐업정보!$D$3:$R$3,0)),
"Error"))</f>
        <v>D0829</v>
      </c>
      <c r="M834" s="76" t="s">
        <v>96</v>
      </c>
      <c r="N834" s="77"/>
      <c r="O834" s="78" t="s">
        <v>97</v>
      </c>
      <c r="P834" s="79" t="n">
        <f aca="false">COUNTIFS(임대자산!$I:$I,가맹점정보!F834,임대자산!$N:$N,가맹점정보!P$4)</f>
        <v>0</v>
      </c>
      <c r="Q834" s="80" t="n">
        <f aca="false">COUNTIFS(임대자산!$I:$I,가맹점정보!F834,임대자산!$N:$N,가맹점정보!Q$4)</f>
        <v>1</v>
      </c>
      <c r="R834" s="81" t="n">
        <f aca="false">COUNTIFS(임대자산!$I:$I,가맹점정보!F834,임대자산!$N:$N,가맹점정보!R$4)</f>
        <v>0</v>
      </c>
      <c r="S834" s="82" t="n">
        <v>88000</v>
      </c>
      <c r="T834" s="83" t="n">
        <v>0</v>
      </c>
      <c r="U834" s="80" t="n">
        <f aca="false">SUM(S834:T834)</f>
        <v>88000</v>
      </c>
      <c r="V834" s="84" t="s">
        <v>7</v>
      </c>
      <c r="W834" s="80" t="str">
        <f aca="true">
IF(D834="폐업","폐업",
IF(V834="면제","면제",
IF(AND(V834="정상",COUNTIFS(OFFSET(Y834,0,COUNTA(Y834:AV834)-1,1,-4),"미납")&gt;=3),"장기미납",
IF(AND(V834="정상",OFFSET(Y834,0,COUNTA(Y834:AV834)-1)&gt;=U834),"정상",
IF(AND(V834="정상",OFFSET(Y834,0,COUNTA(Y834:AV834)-1)=0),"정상",
"계약서 미작성")))))</f>
        <v>면제</v>
      </c>
      <c r="X834" s="81" t="str">
        <f aca="true">
IF(D834="폐업","폐업",
IF(AND(V834="정상",OFFSET(Y834,0,COUNTA(Y834:AV834)-1)="미납"),"미납",
IF(AND(V834="정상",OFFSET(Y834,0,COUNTA(Y834:AV834)-1)=0),"납부 시작 전",
IF(AND(V834="정상",OFFSET(Y834,0,COUNTA(Y834:AV834)-1)&gt;=U834),"정상",
IF(AND(V834="면제",OFFSET(Y834,0,COUNTA(Y834:AV834)-1)="면제"),"면제",
IF(AND(V834="면제",OFFSET(Y834,0,COUNTA(Y834:AV834)-1)=0),"면제",
"확인요청"))))))</f>
        <v>면제</v>
      </c>
      <c r="Y834" s="94" t="s">
        <v>7</v>
      </c>
      <c r="Z834" s="95" t="s">
        <v>7</v>
      </c>
      <c r="AA834" s="95" t="s">
        <v>7</v>
      </c>
      <c r="AB834" s="95" t="s">
        <v>7</v>
      </c>
      <c r="AC834" s="95" t="s">
        <v>7</v>
      </c>
      <c r="AD834" s="95" t="s">
        <v>7</v>
      </c>
      <c r="AE834" s="95" t="s">
        <v>7</v>
      </c>
      <c r="AF834" s="95" t="s">
        <v>7</v>
      </c>
      <c r="AG834" s="95" t="s">
        <v>7</v>
      </c>
      <c r="AH834" s="95" t="s">
        <v>7</v>
      </c>
      <c r="AI834" s="95" t="s">
        <v>7</v>
      </c>
      <c r="AJ834" s="96" t="s">
        <v>7</v>
      </c>
      <c r="AK834" s="97" t="s">
        <v>7</v>
      </c>
      <c r="AL834" s="95" t="s">
        <v>7</v>
      </c>
      <c r="AM834" s="90"/>
      <c r="AN834" s="90"/>
      <c r="AO834" s="90"/>
      <c r="AP834" s="90"/>
      <c r="AQ834" s="90"/>
      <c r="AR834" s="90"/>
      <c r="AS834" s="90"/>
      <c r="AT834" s="90"/>
      <c r="AU834" s="90"/>
      <c r="AV834" s="91"/>
      <c r="AX834" s="92"/>
    </row>
    <row r="835" customFormat="false" ht="15.65" hidden="false" customHeight="false" outlineLevel="0" collapsed="false">
      <c r="C835" s="72" t="n">
        <f aca="false">COUNTIFS($D$6:D835,"&lt;&gt;"&amp;"")</f>
        <v>830</v>
      </c>
      <c r="D835" s="73" t="s">
        <v>12</v>
      </c>
      <c r="E835" s="76" t="str">
        <f aca="false">
IF($D835="정상",INDEX(임대자산!$D$3:$R$3000,MATCH($F835,임대자산!$I$3:$I$3000,0),MATCH(E$3,임대자산!$D$3:$R$3,0)),
IF($D835="폐업",INDEX(폐업정보!$D$3:$R$3000,MATCH($F835,폐업정보!$I$3:$I$3000,0),MATCH(E$3,폐업정보!$D$3:$R$3,0)),
"Error"))</f>
        <v>서울</v>
      </c>
      <c r="F83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B0830</v>
      </c>
      <c r="G835" s="76" t="str">
        <f aca="false">F835&amp;RANDBETWEEN(0,10)</f>
        <v>B08305</v>
      </c>
      <c r="H835" s="75" t="n">
        <f aca="false">
IF($D835="정상",INDEX(임대자산!$D$3:$R$3000,MATCH($F835,임대자산!$I$3:$I$3000,0),MATCH(H$4,임대자산!$D$3:$R$3,0)),
IF($D835="폐업",INDEX(폐업정보!$D$3:$R$3000,MATCH($F835,폐업정보!$I$3:$I$3000,0),MATCH(H$4,폐업정보!$D$3:$R$3,0)),
"Error"))</f>
        <v>45666</v>
      </c>
      <c r="I835" s="75" t="str">
        <f aca="false">
IF($D835="정상",INDEX(임대자산!$D$3:$R$3000,MATCH($F835,임대자산!$I$3:$I$3000,0),MATCH(I$4,임대자산!$D$3:$R$3,0)),
IF($D835="폐업",INDEX(폐업정보!$D$3:$R$3000,MATCH($F835,폐업정보!$I$3:$I$3000,0),MATCH(I$4,폐업정보!$D$3:$R$3,0)),
"Error"))</f>
        <v>A0830</v>
      </c>
      <c r="J835" s="75" t="str">
        <f aca="false">
IF($D835="정상",INDEX(임대자산!$D$3:$R$3000,MATCH($F835,임대자산!$I$3:$I$3000,0),MATCH(J$4,임대자산!$D$3:$R$3,0)),
IF($D835="폐업",INDEX(폐업정보!$D$3:$R$3000,MATCH($F835,폐업정보!$I$3:$I$3000,0),MATCH(J$4,폐업정보!$D$3:$R$3,0)),
"Error"))</f>
        <v>5683400000</v>
      </c>
      <c r="K835" s="75" t="str">
        <f aca="false">
IF($D835="정상",INDEX(임대자산!$D$3:$R$3000,MATCH($F835,임대자산!$I$3:$I$3000,0),MATCH(K$4,임대자산!$D$3:$R$3,0)),
IF($D835="폐업",INDEX(폐업정보!$D$3:$R$3000,MATCH($F835,폐업정보!$I$3:$I$3000,0),MATCH(K$4,폐업정보!$D$3:$R$3,0)),
"Error"))</f>
        <v>C0830</v>
      </c>
      <c r="L835" s="75" t="str">
        <f aca="false">
IF($D835="정상",INDEX(임대자산!$D$3:$R$3000,MATCH($F835,임대자산!$I$3:$I$3000,0),MATCH(L$4,임대자산!$D$3:$R$3,0)),
IF($D835="폐업",INDEX(폐업정보!$D$3:$R$3000,MATCH($F835,폐업정보!$I$3:$I$3000,0),MATCH(L$4,폐업정보!$D$3:$R$3,0)),
"Error"))</f>
        <v>D0830</v>
      </c>
      <c r="M835" s="76" t="s">
        <v>96</v>
      </c>
      <c r="N835" s="77"/>
      <c r="O835" s="78" t="s">
        <v>97</v>
      </c>
      <c r="P835" s="79" t="n">
        <f aca="false">COUNTIFS(임대자산!$I:$I,가맹점정보!F835,임대자산!$N:$N,가맹점정보!P$4)</f>
        <v>0</v>
      </c>
      <c r="Q835" s="80" t="n">
        <f aca="false">COUNTIFS(임대자산!$I:$I,가맹점정보!F835,임대자산!$N:$N,가맹점정보!Q$4)</f>
        <v>1</v>
      </c>
      <c r="R835" s="81" t="n">
        <f aca="false">COUNTIFS(임대자산!$I:$I,가맹점정보!F835,임대자산!$N:$N,가맹점정보!R$4)</f>
        <v>0</v>
      </c>
      <c r="S835" s="82" t="n">
        <v>55000</v>
      </c>
      <c r="T835" s="83" t="n">
        <v>0</v>
      </c>
      <c r="U835" s="80" t="n">
        <f aca="false">SUM(S835:T835)</f>
        <v>55000</v>
      </c>
      <c r="V835" s="84" t="s">
        <v>7</v>
      </c>
      <c r="W835" s="80" t="str">
        <f aca="true">
IF(D835="폐업","폐업",
IF(V835="면제","면제",
IF(AND(V835="정상",COUNTIFS(OFFSET(Y835,0,COUNTA(Y835:AV835)-1,1,-4),"미납")&gt;=3),"장기미납",
IF(AND(V835="정상",OFFSET(Y835,0,COUNTA(Y835:AV835)-1)&gt;=U835),"정상",
IF(AND(V835="정상",OFFSET(Y835,0,COUNTA(Y835:AV835)-1)=0),"정상",
"계약서 미작성")))))</f>
        <v>면제</v>
      </c>
      <c r="X835" s="81" t="str">
        <f aca="true">
IF(D835="폐업","폐업",
IF(AND(V835="정상",OFFSET(Y835,0,COUNTA(Y835:AV835)-1)="미납"),"미납",
IF(AND(V835="정상",OFFSET(Y835,0,COUNTA(Y835:AV835)-1)=0),"납부 시작 전",
IF(AND(V835="정상",OFFSET(Y835,0,COUNTA(Y835:AV835)-1)&gt;=U835),"정상",
IF(AND(V835="면제",OFFSET(Y835,0,COUNTA(Y835:AV835)-1)="면제"),"면제",
IF(AND(V835="면제",OFFSET(Y835,0,COUNTA(Y835:AV835)-1)=0),"면제",
"확인요청"))))))</f>
        <v>면제</v>
      </c>
      <c r="Y835" s="94" t="s">
        <v>7</v>
      </c>
      <c r="Z835" s="95" t="s">
        <v>7</v>
      </c>
      <c r="AA835" s="95" t="s">
        <v>7</v>
      </c>
      <c r="AB835" s="95" t="s">
        <v>7</v>
      </c>
      <c r="AC835" s="95" t="s">
        <v>7</v>
      </c>
      <c r="AD835" s="95" t="s">
        <v>7</v>
      </c>
      <c r="AE835" s="95" t="s">
        <v>7</v>
      </c>
      <c r="AF835" s="95" t="s">
        <v>7</v>
      </c>
      <c r="AG835" s="95" t="s">
        <v>7</v>
      </c>
      <c r="AH835" s="95" t="s">
        <v>7</v>
      </c>
      <c r="AI835" s="95" t="s">
        <v>7</v>
      </c>
      <c r="AJ835" s="96" t="s">
        <v>7</v>
      </c>
      <c r="AK835" s="97" t="s">
        <v>7</v>
      </c>
      <c r="AL835" s="95" t="s">
        <v>7</v>
      </c>
      <c r="AM835" s="90"/>
      <c r="AN835" s="90"/>
      <c r="AO835" s="90"/>
      <c r="AP835" s="90"/>
      <c r="AQ835" s="90"/>
      <c r="AR835" s="90"/>
      <c r="AS835" s="90"/>
      <c r="AT835" s="90"/>
      <c r="AU835" s="90"/>
      <c r="AV835" s="91"/>
      <c r="AX835" s="92"/>
    </row>
    <row r="836" customFormat="false" ht="15.65" hidden="false" customHeight="false" outlineLevel="0" collapsed="false">
      <c r="C836" s="72" t="n">
        <f aca="false">COUNTIFS($D$6:D836,"&lt;&gt;"&amp;"")</f>
        <v>831</v>
      </c>
      <c r="D836" s="73" t="s">
        <v>12</v>
      </c>
      <c r="E836" s="76" t="str">
        <f aca="false">
IF($D836="정상",INDEX(임대자산!$D$3:$R$3000,MATCH($F836,임대자산!$I$3:$I$3000,0),MATCH(E$3,임대자산!$D$3:$R$3,0)),
IF($D836="폐업",INDEX(폐업정보!$D$3:$R$3000,MATCH($F836,폐업정보!$I$3:$I$3000,0),MATCH(E$3,폐업정보!$D$3:$R$3,0)),
"Error"))</f>
        <v>강원</v>
      </c>
      <c r="F83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B0831</v>
      </c>
      <c r="G836" s="76" t="str">
        <f aca="false">F836&amp;RANDBETWEEN(0,10)</f>
        <v>B08314</v>
      </c>
      <c r="H836" s="75" t="n">
        <f aca="false">
IF($D836="정상",INDEX(임대자산!$D$3:$R$3000,MATCH($F836,임대자산!$I$3:$I$3000,0),MATCH(H$4,임대자산!$D$3:$R$3,0)),
IF($D836="폐업",INDEX(폐업정보!$D$3:$R$3000,MATCH($F836,폐업정보!$I$3:$I$3000,0),MATCH(H$4,폐업정보!$D$3:$R$3,0)),
"Error"))</f>
        <v>45660</v>
      </c>
      <c r="I836" s="75" t="str">
        <f aca="false">
IF($D836="정상",INDEX(임대자산!$D$3:$R$3000,MATCH($F836,임대자산!$I$3:$I$3000,0),MATCH(I$4,임대자산!$D$3:$R$3,0)),
IF($D836="폐업",INDEX(폐업정보!$D$3:$R$3000,MATCH($F836,폐업정보!$I$3:$I$3000,0),MATCH(I$4,폐업정보!$D$3:$R$3,0)),
"Error"))</f>
        <v>A0831</v>
      </c>
      <c r="J836" s="75" t="str">
        <f aca="false">
IF($D836="정상",INDEX(임대자산!$D$3:$R$3000,MATCH($F836,임대자산!$I$3:$I$3000,0),MATCH(J$4,임대자산!$D$3:$R$3,0)),
IF($D836="폐업",INDEX(폐업정보!$D$3:$R$3000,MATCH($F836,폐업정보!$I$3:$I$3000,0),MATCH(J$4,폐업정보!$D$3:$R$3,0)),
"Error"))</f>
        <v>4205500000</v>
      </c>
      <c r="K836" s="75" t="str">
        <f aca="false">
IF($D836="정상",INDEX(임대자산!$D$3:$R$3000,MATCH($F836,임대자산!$I$3:$I$3000,0),MATCH(K$4,임대자산!$D$3:$R$3,0)),
IF($D836="폐업",INDEX(폐업정보!$D$3:$R$3000,MATCH($F836,폐업정보!$I$3:$I$3000,0),MATCH(K$4,폐업정보!$D$3:$R$3,0)),
"Error"))</f>
        <v>C0831</v>
      </c>
      <c r="L836" s="75" t="str">
        <f aca="false">
IF($D836="정상",INDEX(임대자산!$D$3:$R$3000,MATCH($F836,임대자산!$I$3:$I$3000,0),MATCH(L$4,임대자산!$D$3:$R$3,0)),
IF($D836="폐업",INDEX(폐업정보!$D$3:$R$3000,MATCH($F836,폐업정보!$I$3:$I$3000,0),MATCH(L$4,폐업정보!$D$3:$R$3,0)),
"Error"))</f>
        <v>D0831</v>
      </c>
      <c r="M836" s="76" t="s">
        <v>96</v>
      </c>
      <c r="N836" s="77"/>
      <c r="O836" s="78" t="s">
        <v>97</v>
      </c>
      <c r="P836" s="79" t="n">
        <f aca="false">COUNTIFS(임대자산!$I:$I,가맹점정보!F836,임대자산!$N:$N,가맹점정보!P$4)</f>
        <v>0</v>
      </c>
      <c r="Q836" s="80" t="n">
        <f aca="false">COUNTIFS(임대자산!$I:$I,가맹점정보!F836,임대자산!$N:$N,가맹점정보!Q$4)</f>
        <v>1</v>
      </c>
      <c r="R836" s="81" t="n">
        <f aca="false">COUNTIFS(임대자산!$I:$I,가맹점정보!F836,임대자산!$N:$N,가맹점정보!R$4)</f>
        <v>0</v>
      </c>
      <c r="S836" s="82" t="n">
        <v>55000</v>
      </c>
      <c r="T836" s="83" t="n">
        <v>0</v>
      </c>
      <c r="U836" s="80" t="n">
        <f aca="false">SUM(S836:T836)</f>
        <v>55000</v>
      </c>
      <c r="V836" s="84" t="s">
        <v>12</v>
      </c>
      <c r="W836" s="80" t="e">
        <f aca="true">
IF(D836="폐업","폐업",
IF(V836="면제","면제",
IF(AND(V836="정상",COUNTIFS(OFFSET(Y836,0,COUNTA(Y836:AV836)-1,1,-4),"미납")&gt;=3),"장기미납",
IF(AND(V836="정상",OFFSET(Y836,0,COUNTA(Y836:AV836)-1)&gt;=U836),"정상",
IF(AND(V836="정상",OFFSET(Y836,0,COUNTA(Y836:AV836)-1)=0),"정상",
"계약서 미작성")))))</f>
        <v>#VALUE!</v>
      </c>
      <c r="X836" s="81" t="str">
        <f aca="true">
IF(D836="폐업","폐업",
IF(AND(V836="정상",OFFSET(Y836,0,COUNTA(Y836:AV836)-1)="미납"),"미납",
IF(AND(V836="정상",OFFSET(Y836,0,COUNTA(Y836:AV836)-1)=0),"납부 시작 전",
IF(AND(V836="정상",OFFSET(Y836,0,COUNTA(Y836:AV836)-1)&gt;=U836),"정상",
IF(AND(V836="면제",OFFSET(Y836,0,COUNTA(Y836:AV836)-1)="면제"),"면제",
IF(AND(V836="면제",OFFSET(Y836,0,COUNTA(Y836:AV836)-1)=0),"면제",
"확인요청"))))))</f>
        <v>정상</v>
      </c>
      <c r="Y836" s="93" t="n">
        <v>55000</v>
      </c>
      <c r="Z836" s="90" t="n">
        <v>55000</v>
      </c>
      <c r="AA836" s="90" t="n">
        <v>55000</v>
      </c>
      <c r="AB836" s="90" t="n">
        <v>55000</v>
      </c>
      <c r="AC836" s="90" t="n">
        <v>55000</v>
      </c>
      <c r="AD836" s="90" t="n">
        <v>55000</v>
      </c>
      <c r="AE836" s="90" t="n">
        <v>55000</v>
      </c>
      <c r="AF836" s="90" t="n">
        <v>55000</v>
      </c>
      <c r="AG836" s="90" t="n">
        <v>55000</v>
      </c>
      <c r="AH836" s="90" t="n">
        <v>55000</v>
      </c>
      <c r="AI836" s="90" t="n">
        <v>55000</v>
      </c>
      <c r="AJ836" s="91" t="n">
        <v>55000</v>
      </c>
      <c r="AK836" s="89" t="n">
        <v>55000</v>
      </c>
      <c r="AL836" s="90" t="n">
        <v>55000</v>
      </c>
      <c r="AM836" s="90"/>
      <c r="AN836" s="90"/>
      <c r="AO836" s="90"/>
      <c r="AP836" s="90"/>
      <c r="AQ836" s="90"/>
      <c r="AR836" s="90"/>
      <c r="AS836" s="90"/>
      <c r="AT836" s="90"/>
      <c r="AU836" s="90"/>
      <c r="AV836" s="91"/>
      <c r="AX836" s="92"/>
    </row>
    <row r="837" customFormat="false" ht="15.65" hidden="false" customHeight="false" outlineLevel="0" collapsed="false">
      <c r="C837" s="72" t="n">
        <f aca="false">COUNTIFS($D$6:D837,"&lt;&gt;"&amp;"")</f>
        <v>832</v>
      </c>
      <c r="D837" s="73" t="s">
        <v>12</v>
      </c>
      <c r="E837" s="76" t="str">
        <f aca="false">
IF($D837="정상",INDEX(임대자산!$D$3:$R$3000,MATCH($F837,임대자산!$I$3:$I$3000,0),MATCH(E$3,임대자산!$D$3:$R$3,0)),
IF($D837="폐업",INDEX(폐업정보!$D$3:$R$3000,MATCH($F837,폐업정보!$I$3:$I$3000,0),MATCH(E$3,폐업정보!$D$3:$R$3,0)),
"Error"))</f>
        <v>경상</v>
      </c>
      <c r="F83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B0832</v>
      </c>
      <c r="G837" s="76" t="str">
        <f aca="false">F837&amp;RANDBETWEEN(0,10)</f>
        <v>B08327</v>
      </c>
      <c r="H837" s="75" t="n">
        <f aca="false">
IF($D837="정상",INDEX(임대자산!$D$3:$R$3000,MATCH($F837,임대자산!$I$3:$I$3000,0),MATCH(H$4,임대자산!$D$3:$R$3,0)),
IF($D837="폐업",INDEX(폐업정보!$D$3:$R$3000,MATCH($F837,폐업정보!$I$3:$I$3000,0),MATCH(H$4,폐업정보!$D$3:$R$3,0)),
"Error"))</f>
        <v>45692</v>
      </c>
      <c r="I837" s="75" t="str">
        <f aca="false">
IF($D837="정상",INDEX(임대자산!$D$3:$R$3000,MATCH($F837,임대자산!$I$3:$I$3000,0),MATCH(I$4,임대자산!$D$3:$R$3,0)),
IF($D837="폐업",INDEX(폐업정보!$D$3:$R$3000,MATCH($F837,폐업정보!$I$3:$I$3000,0),MATCH(I$4,폐업정보!$D$3:$R$3,0)),
"Error"))</f>
        <v>A0832</v>
      </c>
      <c r="J837" s="75" t="str">
        <f aca="false">
IF($D837="정상",INDEX(임대자산!$D$3:$R$3000,MATCH($F837,임대자산!$I$3:$I$3000,0),MATCH(J$4,임대자산!$D$3:$R$3,0)),
IF($D837="폐업",INDEX(폐업정보!$D$3:$R$3000,MATCH($F837,폐업정보!$I$3:$I$3000,0),MATCH(J$4,폐업정보!$D$3:$R$3,0)),
"Error"))</f>
        <v>4707400000</v>
      </c>
      <c r="K837" s="75" t="str">
        <f aca="false">
IF($D837="정상",INDEX(임대자산!$D$3:$R$3000,MATCH($F837,임대자산!$I$3:$I$3000,0),MATCH(K$4,임대자산!$D$3:$R$3,0)),
IF($D837="폐업",INDEX(폐업정보!$D$3:$R$3000,MATCH($F837,폐업정보!$I$3:$I$3000,0),MATCH(K$4,폐업정보!$D$3:$R$3,0)),
"Error"))</f>
        <v>C0832</v>
      </c>
      <c r="L837" s="75" t="str">
        <f aca="false">
IF($D837="정상",INDEX(임대자산!$D$3:$R$3000,MATCH($F837,임대자산!$I$3:$I$3000,0),MATCH(L$4,임대자산!$D$3:$R$3,0)),
IF($D837="폐업",INDEX(폐업정보!$D$3:$R$3000,MATCH($F837,폐업정보!$I$3:$I$3000,0),MATCH(L$4,폐업정보!$D$3:$R$3,0)),
"Error"))</f>
        <v>D0832</v>
      </c>
      <c r="M837" s="76" t="s">
        <v>96</v>
      </c>
      <c r="N837" s="77"/>
      <c r="O837" s="78" t="s">
        <v>97</v>
      </c>
      <c r="P837" s="79" t="n">
        <f aca="false">COUNTIFS(임대자산!$I:$I,가맹점정보!F837,임대자산!$N:$N,가맹점정보!P$4)</f>
        <v>0</v>
      </c>
      <c r="Q837" s="80" t="n">
        <f aca="false">COUNTIFS(임대자산!$I:$I,가맹점정보!F837,임대자산!$N:$N,가맹점정보!Q$4)</f>
        <v>1</v>
      </c>
      <c r="R837" s="81" t="n">
        <f aca="false">COUNTIFS(임대자산!$I:$I,가맹점정보!F837,임대자산!$N:$N,가맹점정보!R$4)</f>
        <v>0</v>
      </c>
      <c r="S837" s="82" t="n">
        <v>55000</v>
      </c>
      <c r="T837" s="83" t="n">
        <v>0</v>
      </c>
      <c r="U837" s="80" t="n">
        <f aca="false">SUM(S837:T837)</f>
        <v>55000</v>
      </c>
      <c r="V837" s="84" t="s">
        <v>12</v>
      </c>
      <c r="W837" s="80" t="e">
        <f aca="true">
IF(D837="폐업","폐업",
IF(V837="면제","면제",
IF(AND(V837="정상",COUNTIFS(OFFSET(Y837,0,COUNTA(Y837:AV837)-1,1,-4),"미납")&gt;=3),"장기미납",
IF(AND(V837="정상",OFFSET(Y837,0,COUNTA(Y837:AV837)-1)&gt;=U837),"정상",
IF(AND(V837="정상",OFFSET(Y837,0,COUNTA(Y837:AV837)-1)=0),"정상",
"계약서 미작성")))))</f>
        <v>#VALUE!</v>
      </c>
      <c r="X837" s="81" t="str">
        <f aca="true">
IF(D837="폐업","폐업",
IF(AND(V837="정상",OFFSET(Y837,0,COUNTA(Y837:AV837)-1)="미납"),"미납",
IF(AND(V837="정상",OFFSET(Y837,0,COUNTA(Y837:AV837)-1)=0),"납부 시작 전",
IF(AND(V837="정상",OFFSET(Y837,0,COUNTA(Y837:AV837)-1)&gt;=U837),"정상",
IF(AND(V837="면제",OFFSET(Y837,0,COUNTA(Y837:AV837)-1)="면제"),"면제",
IF(AND(V837="면제",OFFSET(Y837,0,COUNTA(Y837:AV837)-1)=0),"면제",
"확인요청"))))))</f>
        <v>정상</v>
      </c>
      <c r="Y837" s="93" t="n">
        <v>55000</v>
      </c>
      <c r="Z837" s="90" t="n">
        <v>55000</v>
      </c>
      <c r="AA837" s="90" t="n">
        <v>55000</v>
      </c>
      <c r="AB837" s="90" t="n">
        <v>55000</v>
      </c>
      <c r="AC837" s="90" t="n">
        <v>55000</v>
      </c>
      <c r="AD837" s="90" t="n">
        <v>55000</v>
      </c>
      <c r="AE837" s="90" t="n">
        <v>55000</v>
      </c>
      <c r="AF837" s="90" t="n">
        <v>55000</v>
      </c>
      <c r="AG837" s="90" t="n">
        <v>55000</v>
      </c>
      <c r="AH837" s="90" t="n">
        <v>55000</v>
      </c>
      <c r="AI837" s="90" t="n">
        <v>55000</v>
      </c>
      <c r="AJ837" s="91" t="n">
        <v>55000</v>
      </c>
      <c r="AK837" s="89" t="n">
        <v>55000</v>
      </c>
      <c r="AL837" s="90" t="n">
        <v>55000</v>
      </c>
      <c r="AM837" s="90"/>
      <c r="AN837" s="90"/>
      <c r="AO837" s="90"/>
      <c r="AP837" s="90"/>
      <c r="AQ837" s="90"/>
      <c r="AR837" s="90"/>
      <c r="AS837" s="90"/>
      <c r="AT837" s="90"/>
      <c r="AU837" s="90"/>
      <c r="AV837" s="91"/>
      <c r="AX837" s="92"/>
    </row>
    <row r="838" customFormat="false" ht="15.65" hidden="false" customHeight="false" outlineLevel="0" collapsed="false">
      <c r="C838" s="72" t="n">
        <f aca="false">COUNTIFS($D$6:D838,"&lt;&gt;"&amp;"")</f>
        <v>833</v>
      </c>
      <c r="D838" s="73" t="s">
        <v>12</v>
      </c>
      <c r="E838" s="76" t="str">
        <f aca="false">
IF($D838="정상",INDEX(임대자산!$D$3:$R$3000,MATCH($F838,임대자산!$I$3:$I$3000,0),MATCH(E$3,임대자산!$D$3:$R$3,0)),
IF($D838="폐업",INDEX(폐업정보!$D$3:$R$3000,MATCH($F838,폐업정보!$I$3:$I$3000,0),MATCH(E$3,폐업정보!$D$3:$R$3,0)),
"Error"))</f>
        <v>경상</v>
      </c>
      <c r="F83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B0833</v>
      </c>
      <c r="G838" s="76" t="str">
        <f aca="false">F838&amp;RANDBETWEEN(0,10)</f>
        <v>B08336</v>
      </c>
      <c r="H838" s="75" t="n">
        <f aca="false">
IF($D838="정상",INDEX(임대자산!$D$3:$R$3000,MATCH($F838,임대자산!$I$3:$I$3000,0),MATCH(H$4,임대자산!$D$3:$R$3,0)),
IF($D838="폐업",INDEX(폐업정보!$D$3:$R$3000,MATCH($F838,폐업정보!$I$3:$I$3000,0),MATCH(H$4,폐업정보!$D$3:$R$3,0)),
"Error"))</f>
        <v>45680</v>
      </c>
      <c r="I838" s="75" t="str">
        <f aca="false">
IF($D838="정상",INDEX(임대자산!$D$3:$R$3000,MATCH($F838,임대자산!$I$3:$I$3000,0),MATCH(I$4,임대자산!$D$3:$R$3,0)),
IF($D838="폐업",INDEX(폐업정보!$D$3:$R$3000,MATCH($F838,폐업정보!$I$3:$I$3000,0),MATCH(I$4,폐업정보!$D$3:$R$3,0)),
"Error"))</f>
        <v>A0833</v>
      </c>
      <c r="J838" s="75" t="str">
        <f aca="false">
IF($D838="정상",INDEX(임대자산!$D$3:$R$3000,MATCH($F838,임대자산!$I$3:$I$3000,0),MATCH(J$4,임대자산!$D$3:$R$3,0)),
IF($D838="폐업",INDEX(폐업정보!$D$3:$R$3000,MATCH($F838,폐업정보!$I$3:$I$3000,0),MATCH(J$4,폐업정보!$D$3:$R$3,0)),
"Error"))</f>
        <v>2563100000</v>
      </c>
      <c r="K838" s="75" t="str">
        <f aca="false">
IF($D838="정상",INDEX(임대자산!$D$3:$R$3000,MATCH($F838,임대자산!$I$3:$I$3000,0),MATCH(K$4,임대자산!$D$3:$R$3,0)),
IF($D838="폐업",INDEX(폐업정보!$D$3:$R$3000,MATCH($F838,폐업정보!$I$3:$I$3000,0),MATCH(K$4,폐업정보!$D$3:$R$3,0)),
"Error"))</f>
        <v>C0833</v>
      </c>
      <c r="L838" s="75" t="str">
        <f aca="false">
IF($D838="정상",INDEX(임대자산!$D$3:$R$3000,MATCH($F838,임대자산!$I$3:$I$3000,0),MATCH(L$4,임대자산!$D$3:$R$3,0)),
IF($D838="폐업",INDEX(폐업정보!$D$3:$R$3000,MATCH($F838,폐업정보!$I$3:$I$3000,0),MATCH(L$4,폐업정보!$D$3:$R$3,0)),
"Error"))</f>
        <v>D0833</v>
      </c>
      <c r="M838" s="76" t="s">
        <v>96</v>
      </c>
      <c r="N838" s="77"/>
      <c r="O838" s="78" t="s">
        <v>97</v>
      </c>
      <c r="P838" s="79" t="n">
        <f aca="false">COUNTIFS(임대자산!$I:$I,가맹점정보!F838,임대자산!$N:$N,가맹점정보!P$4)</f>
        <v>0</v>
      </c>
      <c r="Q838" s="80" t="n">
        <f aca="false">COUNTIFS(임대자산!$I:$I,가맹점정보!F838,임대자산!$N:$N,가맹점정보!Q$4)</f>
        <v>1</v>
      </c>
      <c r="R838" s="81" t="n">
        <f aca="false">COUNTIFS(임대자산!$I:$I,가맹점정보!F838,임대자산!$N:$N,가맹점정보!R$4)</f>
        <v>0</v>
      </c>
      <c r="S838" s="82" t="n">
        <v>55000</v>
      </c>
      <c r="T838" s="83" t="n">
        <v>0</v>
      </c>
      <c r="U838" s="80" t="n">
        <f aca="false">SUM(S838:T838)</f>
        <v>55000</v>
      </c>
      <c r="V838" s="84" t="s">
        <v>12</v>
      </c>
      <c r="W838" s="80" t="e">
        <f aca="true">
IF(D838="폐업","폐업",
IF(V838="면제","면제",
IF(AND(V838="정상",COUNTIFS(OFFSET(Y838,0,COUNTA(Y838:AV838)-1,1,-4),"미납")&gt;=3),"장기미납",
IF(AND(V838="정상",OFFSET(Y838,0,COUNTA(Y838:AV838)-1)&gt;=U838),"정상",
IF(AND(V838="정상",OFFSET(Y838,0,COUNTA(Y838:AV838)-1)=0),"정상",
"계약서 미작성")))))</f>
        <v>#VALUE!</v>
      </c>
      <c r="X838" s="81" t="str">
        <f aca="true">
IF(D838="폐업","폐업",
IF(AND(V838="정상",OFFSET(Y838,0,COUNTA(Y838:AV838)-1)="미납"),"미납",
IF(AND(V838="정상",OFFSET(Y838,0,COUNTA(Y838:AV838)-1)=0),"납부 시작 전",
IF(AND(V838="정상",OFFSET(Y838,0,COUNTA(Y838:AV838)-1)&gt;=U838),"정상",
IF(AND(V838="면제",OFFSET(Y838,0,COUNTA(Y838:AV838)-1)="면제"),"면제",
IF(AND(V838="면제",OFFSET(Y838,0,COUNTA(Y838:AV838)-1)=0),"면제",
"확인요청"))))))</f>
        <v>정상</v>
      </c>
      <c r="Y838" s="93" t="n">
        <v>55000</v>
      </c>
      <c r="Z838" s="90" t="n">
        <v>55000</v>
      </c>
      <c r="AA838" s="90" t="n">
        <v>55000</v>
      </c>
      <c r="AB838" s="90" t="n">
        <v>55000</v>
      </c>
      <c r="AC838" s="90" t="n">
        <v>55000</v>
      </c>
      <c r="AD838" s="90" t="n">
        <v>55000</v>
      </c>
      <c r="AE838" s="90" t="n">
        <v>55000</v>
      </c>
      <c r="AF838" s="90" t="n">
        <v>55000</v>
      </c>
      <c r="AG838" s="90" t="n">
        <v>55000</v>
      </c>
      <c r="AH838" s="90" t="n">
        <v>55000</v>
      </c>
      <c r="AI838" s="90" t="n">
        <v>55000</v>
      </c>
      <c r="AJ838" s="91" t="n">
        <v>55000</v>
      </c>
      <c r="AK838" s="89" t="n">
        <v>55000</v>
      </c>
      <c r="AL838" s="90" t="n">
        <v>55000</v>
      </c>
      <c r="AM838" s="90"/>
      <c r="AN838" s="90"/>
      <c r="AO838" s="90"/>
      <c r="AP838" s="90"/>
      <c r="AQ838" s="90"/>
      <c r="AR838" s="90"/>
      <c r="AS838" s="90"/>
      <c r="AT838" s="90"/>
      <c r="AU838" s="90"/>
      <c r="AV838" s="91"/>
      <c r="AX838" s="92"/>
    </row>
    <row r="839" customFormat="false" ht="15.65" hidden="false" customHeight="false" outlineLevel="0" collapsed="false">
      <c r="C839" s="72" t="n">
        <f aca="false">COUNTIFS($D$6:D839,"&lt;&gt;"&amp;"")</f>
        <v>834</v>
      </c>
      <c r="D839" s="73" t="s">
        <v>12</v>
      </c>
      <c r="E839" s="76" t="str">
        <f aca="false">
IF($D839="정상",INDEX(임대자산!$D$3:$R$3000,MATCH($F839,임대자산!$I$3:$I$3000,0),MATCH(E$3,임대자산!$D$3:$R$3,0)),
IF($D839="폐업",INDEX(폐업정보!$D$3:$R$3000,MATCH($F839,폐업정보!$I$3:$I$3000,0),MATCH(E$3,폐업정보!$D$3:$R$3,0)),
"Error"))</f>
        <v>서울</v>
      </c>
      <c r="F83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B0834</v>
      </c>
      <c r="G839" s="76" t="str">
        <f aca="false">F839&amp;RANDBETWEEN(0,10)</f>
        <v>B08341</v>
      </c>
      <c r="H839" s="75" t="n">
        <f aca="false">
IF($D839="정상",INDEX(임대자산!$D$3:$R$3000,MATCH($F839,임대자산!$I$3:$I$3000,0),MATCH(H$4,임대자산!$D$3:$R$3,0)),
IF($D839="폐업",INDEX(폐업정보!$D$3:$R$3000,MATCH($F839,폐업정보!$I$3:$I$3000,0),MATCH(H$4,폐업정보!$D$3:$R$3,0)),
"Error"))</f>
        <v>45667</v>
      </c>
      <c r="I839" s="75" t="str">
        <f aca="false">
IF($D839="정상",INDEX(임대자산!$D$3:$R$3000,MATCH($F839,임대자산!$I$3:$I$3000,0),MATCH(I$4,임대자산!$D$3:$R$3,0)),
IF($D839="폐업",INDEX(폐업정보!$D$3:$R$3000,MATCH($F839,폐업정보!$I$3:$I$3000,0),MATCH(I$4,폐업정보!$D$3:$R$3,0)),
"Error"))</f>
        <v>A0834</v>
      </c>
      <c r="J839" s="75" t="str">
        <f aca="false">
IF($D839="정상",INDEX(임대자산!$D$3:$R$3000,MATCH($F839,임대자산!$I$3:$I$3000,0),MATCH(J$4,임대자산!$D$3:$R$3,0)),
IF($D839="폐업",INDEX(폐업정보!$D$3:$R$3000,MATCH($F839,폐업정보!$I$3:$I$3000,0),MATCH(J$4,폐업정보!$D$3:$R$3,0)),
"Error"))</f>
        <v>5966400000</v>
      </c>
      <c r="K839" s="75" t="str">
        <f aca="false">
IF($D839="정상",INDEX(임대자산!$D$3:$R$3000,MATCH($F839,임대자산!$I$3:$I$3000,0),MATCH(K$4,임대자산!$D$3:$R$3,0)),
IF($D839="폐업",INDEX(폐업정보!$D$3:$R$3000,MATCH($F839,폐업정보!$I$3:$I$3000,0),MATCH(K$4,폐업정보!$D$3:$R$3,0)),
"Error"))</f>
        <v>C0834</v>
      </c>
      <c r="L839" s="75" t="str">
        <f aca="false">
IF($D839="정상",INDEX(임대자산!$D$3:$R$3000,MATCH($F839,임대자산!$I$3:$I$3000,0),MATCH(L$4,임대자산!$D$3:$R$3,0)),
IF($D839="폐업",INDEX(폐업정보!$D$3:$R$3000,MATCH($F839,폐업정보!$I$3:$I$3000,0),MATCH(L$4,폐업정보!$D$3:$R$3,0)),
"Error"))</f>
        <v>D0834</v>
      </c>
      <c r="M839" s="76" t="s">
        <v>96</v>
      </c>
      <c r="N839" s="77"/>
      <c r="O839" s="78" t="s">
        <v>97</v>
      </c>
      <c r="P839" s="79" t="n">
        <f aca="false">COUNTIFS(임대자산!$I:$I,가맹점정보!F839,임대자산!$N:$N,가맹점정보!P$4)</f>
        <v>0</v>
      </c>
      <c r="Q839" s="80" t="n">
        <f aca="false">COUNTIFS(임대자산!$I:$I,가맹점정보!F839,임대자산!$N:$N,가맹점정보!Q$4)</f>
        <v>1</v>
      </c>
      <c r="R839" s="81" t="n">
        <f aca="false">COUNTIFS(임대자산!$I:$I,가맹점정보!F839,임대자산!$N:$N,가맹점정보!R$4)</f>
        <v>0</v>
      </c>
      <c r="S839" s="82" t="n">
        <v>55000</v>
      </c>
      <c r="T839" s="83" t="n">
        <v>0</v>
      </c>
      <c r="U839" s="80" t="n">
        <f aca="false">SUM(S839:T839)</f>
        <v>55000</v>
      </c>
      <c r="V839" s="84" t="s">
        <v>7</v>
      </c>
      <c r="W839" s="80" t="str">
        <f aca="true">
IF(D839="폐업","폐업",
IF(V839="면제","면제",
IF(AND(V839="정상",COUNTIFS(OFFSET(Y839,0,COUNTA(Y839:AV839)-1,1,-4),"미납")&gt;=3),"장기미납",
IF(AND(V839="정상",OFFSET(Y839,0,COUNTA(Y839:AV839)-1)&gt;=U839),"정상",
IF(AND(V839="정상",OFFSET(Y839,0,COUNTA(Y839:AV839)-1)=0),"정상",
"계약서 미작성")))))</f>
        <v>면제</v>
      </c>
      <c r="X839" s="81" t="str">
        <f aca="true">
IF(D839="폐업","폐업",
IF(AND(V839="정상",OFFSET(Y839,0,COUNTA(Y839:AV839)-1)="미납"),"미납",
IF(AND(V839="정상",OFFSET(Y839,0,COUNTA(Y839:AV839)-1)=0),"납부 시작 전",
IF(AND(V839="정상",OFFSET(Y839,0,COUNTA(Y839:AV839)-1)&gt;=U839),"정상",
IF(AND(V839="면제",OFFSET(Y839,0,COUNTA(Y839:AV839)-1)="면제"),"면제",
IF(AND(V839="면제",OFFSET(Y839,0,COUNTA(Y839:AV839)-1)=0),"면제",
"확인요청"))))))</f>
        <v>면제</v>
      </c>
      <c r="Y839" s="94" t="s">
        <v>7</v>
      </c>
      <c r="Z839" s="95" t="s">
        <v>7</v>
      </c>
      <c r="AA839" s="95" t="s">
        <v>7</v>
      </c>
      <c r="AB839" s="95" t="s">
        <v>7</v>
      </c>
      <c r="AC839" s="95" t="s">
        <v>7</v>
      </c>
      <c r="AD839" s="95" t="s">
        <v>7</v>
      </c>
      <c r="AE839" s="95" t="s">
        <v>7</v>
      </c>
      <c r="AF839" s="95" t="s">
        <v>7</v>
      </c>
      <c r="AG839" s="95" t="s">
        <v>7</v>
      </c>
      <c r="AH839" s="95" t="s">
        <v>7</v>
      </c>
      <c r="AI839" s="95" t="s">
        <v>7</v>
      </c>
      <c r="AJ839" s="96" t="s">
        <v>7</v>
      </c>
      <c r="AK839" s="97" t="s">
        <v>7</v>
      </c>
      <c r="AL839" s="95" t="s">
        <v>7</v>
      </c>
      <c r="AM839" s="90"/>
      <c r="AN839" s="90"/>
      <c r="AO839" s="90"/>
      <c r="AP839" s="90"/>
      <c r="AQ839" s="90"/>
      <c r="AR839" s="90"/>
      <c r="AS839" s="90"/>
      <c r="AT839" s="90"/>
      <c r="AU839" s="90"/>
      <c r="AV839" s="91"/>
      <c r="AX839" s="92"/>
    </row>
    <row r="840" customFormat="false" ht="15.65" hidden="false" customHeight="false" outlineLevel="0" collapsed="false">
      <c r="C840" s="72" t="n">
        <f aca="false">COUNTIFS($D$6:D840,"&lt;&gt;"&amp;"")</f>
        <v>835</v>
      </c>
      <c r="D840" s="73" t="s">
        <v>12</v>
      </c>
      <c r="E840" s="76" t="str">
        <f aca="false">
IF($D840="정상",INDEX(임대자산!$D$3:$R$3000,MATCH($F840,임대자산!$I$3:$I$3000,0),MATCH(E$3,임대자산!$D$3:$R$3,0)),
IF($D840="폐업",INDEX(폐업정보!$D$3:$R$3000,MATCH($F840,폐업정보!$I$3:$I$3000,0),MATCH(E$3,폐업정보!$D$3:$R$3,0)),
"Error"))</f>
        <v>강원</v>
      </c>
      <c r="F84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B0835</v>
      </c>
      <c r="G840" s="76" t="str">
        <f aca="false">F840&amp;RANDBETWEEN(0,10)</f>
        <v>B083510</v>
      </c>
      <c r="H840" s="75" t="n">
        <f aca="false">
IF($D840="정상",INDEX(임대자산!$D$3:$R$3000,MATCH($F840,임대자산!$I$3:$I$3000,0),MATCH(H$4,임대자산!$D$3:$R$3,0)),
IF($D840="폐업",INDEX(폐업정보!$D$3:$R$3000,MATCH($F840,폐업정보!$I$3:$I$3000,0),MATCH(H$4,폐업정보!$D$3:$R$3,0)),
"Error"))</f>
        <v>45701</v>
      </c>
      <c r="I840" s="75" t="str">
        <f aca="false">
IF($D840="정상",INDEX(임대자산!$D$3:$R$3000,MATCH($F840,임대자산!$I$3:$I$3000,0),MATCH(I$4,임대자산!$D$3:$R$3,0)),
IF($D840="폐업",INDEX(폐업정보!$D$3:$R$3000,MATCH($F840,폐업정보!$I$3:$I$3000,0),MATCH(I$4,폐업정보!$D$3:$R$3,0)),
"Error"))</f>
        <v>A0835</v>
      </c>
      <c r="J840" s="75" t="str">
        <f aca="false">
IF($D840="정상",INDEX(임대자산!$D$3:$R$3000,MATCH($F840,임대자산!$I$3:$I$3000,0),MATCH(J$4,임대자산!$D$3:$R$3,0)),
IF($D840="폐업",INDEX(폐업정보!$D$3:$R$3000,MATCH($F840,폐업정보!$I$3:$I$3000,0),MATCH(J$4,폐업정보!$D$3:$R$3,0)),
"Error"))</f>
        <v>4800400000</v>
      </c>
      <c r="K840" s="75" t="str">
        <f aca="false">
IF($D840="정상",INDEX(임대자산!$D$3:$R$3000,MATCH($F840,임대자산!$I$3:$I$3000,0),MATCH(K$4,임대자산!$D$3:$R$3,0)),
IF($D840="폐업",INDEX(폐업정보!$D$3:$R$3000,MATCH($F840,폐업정보!$I$3:$I$3000,0),MATCH(K$4,폐업정보!$D$3:$R$3,0)),
"Error"))</f>
        <v>C0835</v>
      </c>
      <c r="L840" s="75" t="str">
        <f aca="false">
IF($D840="정상",INDEX(임대자산!$D$3:$R$3000,MATCH($F840,임대자산!$I$3:$I$3000,0),MATCH(L$4,임대자산!$D$3:$R$3,0)),
IF($D840="폐업",INDEX(폐업정보!$D$3:$R$3000,MATCH($F840,폐업정보!$I$3:$I$3000,0),MATCH(L$4,폐업정보!$D$3:$R$3,0)),
"Error"))</f>
        <v>D0835</v>
      </c>
      <c r="M840" s="76" t="s">
        <v>96</v>
      </c>
      <c r="N840" s="77"/>
      <c r="O840" s="78" t="s">
        <v>97</v>
      </c>
      <c r="P840" s="79" t="n">
        <f aca="false">COUNTIFS(임대자산!$I:$I,가맹점정보!F840,임대자산!$N:$N,가맹점정보!P$4)</f>
        <v>0</v>
      </c>
      <c r="Q840" s="80" t="n">
        <f aca="false">COUNTIFS(임대자산!$I:$I,가맹점정보!F840,임대자산!$N:$N,가맹점정보!Q$4)</f>
        <v>1</v>
      </c>
      <c r="R840" s="81" t="n">
        <f aca="false">COUNTIFS(임대자산!$I:$I,가맹점정보!F840,임대자산!$N:$N,가맹점정보!R$4)</f>
        <v>0</v>
      </c>
      <c r="S840" s="82" t="n">
        <v>88000</v>
      </c>
      <c r="T840" s="83" t="n">
        <v>0</v>
      </c>
      <c r="U840" s="80" t="n">
        <f aca="false">SUM(S840:T840)</f>
        <v>88000</v>
      </c>
      <c r="V840" s="84" t="s">
        <v>7</v>
      </c>
      <c r="W840" s="80" t="str">
        <f aca="true">
IF(D840="폐업","폐업",
IF(V840="면제","면제",
IF(AND(V840="정상",COUNTIFS(OFFSET(Y840,0,COUNTA(Y840:AV840)-1,1,-4),"미납")&gt;=3),"장기미납",
IF(AND(V840="정상",OFFSET(Y840,0,COUNTA(Y840:AV840)-1)&gt;=U840),"정상",
IF(AND(V840="정상",OFFSET(Y840,0,COUNTA(Y840:AV840)-1)=0),"정상",
"계약서 미작성")))))</f>
        <v>면제</v>
      </c>
      <c r="X840" s="81" t="str">
        <f aca="true">
IF(D840="폐업","폐업",
IF(AND(V840="정상",OFFSET(Y840,0,COUNTA(Y840:AV840)-1)="미납"),"미납",
IF(AND(V840="정상",OFFSET(Y840,0,COUNTA(Y840:AV840)-1)=0),"납부 시작 전",
IF(AND(V840="정상",OFFSET(Y840,0,COUNTA(Y840:AV840)-1)&gt;=U840),"정상",
IF(AND(V840="면제",OFFSET(Y840,0,COUNTA(Y840:AV840)-1)="면제"),"면제",
IF(AND(V840="면제",OFFSET(Y840,0,COUNTA(Y840:AV840)-1)=0),"면제",
"확인요청"))))))</f>
        <v>면제</v>
      </c>
      <c r="Y840" s="94" t="s">
        <v>7</v>
      </c>
      <c r="Z840" s="95" t="s">
        <v>7</v>
      </c>
      <c r="AA840" s="95" t="s">
        <v>7</v>
      </c>
      <c r="AB840" s="95" t="s">
        <v>7</v>
      </c>
      <c r="AC840" s="95" t="s">
        <v>7</v>
      </c>
      <c r="AD840" s="95" t="s">
        <v>7</v>
      </c>
      <c r="AE840" s="95" t="s">
        <v>7</v>
      </c>
      <c r="AF840" s="95" t="s">
        <v>7</v>
      </c>
      <c r="AG840" s="95" t="s">
        <v>7</v>
      </c>
      <c r="AH840" s="95" t="s">
        <v>7</v>
      </c>
      <c r="AI840" s="95" t="s">
        <v>7</v>
      </c>
      <c r="AJ840" s="96" t="s">
        <v>7</v>
      </c>
      <c r="AK840" s="97" t="s">
        <v>7</v>
      </c>
      <c r="AL840" s="95" t="s">
        <v>7</v>
      </c>
      <c r="AM840" s="90"/>
      <c r="AN840" s="90"/>
      <c r="AO840" s="90"/>
      <c r="AP840" s="90"/>
      <c r="AQ840" s="90"/>
      <c r="AR840" s="90"/>
      <c r="AS840" s="90"/>
      <c r="AT840" s="90"/>
      <c r="AU840" s="90"/>
      <c r="AV840" s="91"/>
      <c r="AX840" s="92"/>
    </row>
    <row r="841" customFormat="false" ht="15.65" hidden="false" customHeight="false" outlineLevel="0" collapsed="false">
      <c r="C841" s="72" t="n">
        <f aca="false">COUNTIFS($D$6:D841,"&lt;&gt;"&amp;"")</f>
        <v>836</v>
      </c>
      <c r="D841" s="73" t="s">
        <v>12</v>
      </c>
      <c r="E841" s="76" t="str">
        <f aca="false">
IF($D841="정상",INDEX(임대자산!$D$3:$R$3000,MATCH($F841,임대자산!$I$3:$I$3000,0),MATCH(E$3,임대자산!$D$3:$R$3,0)),
IF($D841="폐업",INDEX(폐업정보!$D$3:$R$3000,MATCH($F841,폐업정보!$I$3:$I$3000,0),MATCH(E$3,폐업정보!$D$3:$R$3,0)),
"Error"))</f>
        <v>서울</v>
      </c>
      <c r="F84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B0836</v>
      </c>
      <c r="G841" s="76" t="str">
        <f aca="false">F841&amp;RANDBETWEEN(0,10)</f>
        <v>B08368</v>
      </c>
      <c r="H841" s="75" t="n">
        <f aca="false">
IF($D841="정상",INDEX(임대자산!$D$3:$R$3000,MATCH($F841,임대자산!$I$3:$I$3000,0),MATCH(H$4,임대자산!$D$3:$R$3,0)),
IF($D841="폐업",INDEX(폐업정보!$D$3:$R$3000,MATCH($F841,폐업정보!$I$3:$I$3000,0),MATCH(H$4,폐업정보!$D$3:$R$3,0)),
"Error"))</f>
        <v>45610</v>
      </c>
      <c r="I841" s="75" t="str">
        <f aca="false">
IF($D841="정상",INDEX(임대자산!$D$3:$R$3000,MATCH($F841,임대자산!$I$3:$I$3000,0),MATCH(I$4,임대자산!$D$3:$R$3,0)),
IF($D841="폐업",INDEX(폐업정보!$D$3:$R$3000,MATCH($F841,폐업정보!$I$3:$I$3000,0),MATCH(I$4,폐업정보!$D$3:$R$3,0)),
"Error"))</f>
        <v>A0836</v>
      </c>
      <c r="J841" s="75" t="str">
        <f aca="false">
IF($D841="정상",INDEX(임대자산!$D$3:$R$3000,MATCH($F841,임대자산!$I$3:$I$3000,0),MATCH(J$4,임대자산!$D$3:$R$3,0)),
IF($D841="폐업",INDEX(폐업정보!$D$3:$R$3000,MATCH($F841,폐업정보!$I$3:$I$3000,0),MATCH(J$4,폐업정보!$D$3:$R$3,0)),
"Error"))</f>
        <v>4148700000</v>
      </c>
      <c r="K841" s="75" t="str">
        <f aca="false">
IF($D841="정상",INDEX(임대자산!$D$3:$R$3000,MATCH($F841,임대자산!$I$3:$I$3000,0),MATCH(K$4,임대자산!$D$3:$R$3,0)),
IF($D841="폐업",INDEX(폐업정보!$D$3:$R$3000,MATCH($F841,폐업정보!$I$3:$I$3000,0),MATCH(K$4,폐업정보!$D$3:$R$3,0)),
"Error"))</f>
        <v>C0836</v>
      </c>
      <c r="L841" s="75" t="str">
        <f aca="false">
IF($D841="정상",INDEX(임대자산!$D$3:$R$3000,MATCH($F841,임대자산!$I$3:$I$3000,0),MATCH(L$4,임대자산!$D$3:$R$3,0)),
IF($D841="폐업",INDEX(폐업정보!$D$3:$R$3000,MATCH($F841,폐업정보!$I$3:$I$3000,0),MATCH(L$4,폐업정보!$D$3:$R$3,0)),
"Error"))</f>
        <v>D0836</v>
      </c>
      <c r="M841" s="76" t="s">
        <v>96</v>
      </c>
      <c r="N841" s="77"/>
      <c r="O841" s="78" t="s">
        <v>97</v>
      </c>
      <c r="P841" s="79" t="n">
        <f aca="false">COUNTIFS(임대자산!$I:$I,가맹점정보!F841,임대자산!$N:$N,가맹점정보!P$4)</f>
        <v>0</v>
      </c>
      <c r="Q841" s="80" t="n">
        <f aca="false">COUNTIFS(임대자산!$I:$I,가맹점정보!F841,임대자산!$N:$N,가맹점정보!Q$4)</f>
        <v>1</v>
      </c>
      <c r="R841" s="81" t="n">
        <f aca="false">COUNTIFS(임대자산!$I:$I,가맹점정보!F841,임대자산!$N:$N,가맹점정보!R$4)</f>
        <v>0</v>
      </c>
      <c r="S841" s="82" t="n">
        <v>55000</v>
      </c>
      <c r="T841" s="83" t="n">
        <v>0</v>
      </c>
      <c r="U841" s="80" t="n">
        <f aca="false">SUM(S841:T841)</f>
        <v>55000</v>
      </c>
      <c r="V841" s="84" t="s">
        <v>12</v>
      </c>
      <c r="W841" s="80" t="e">
        <f aca="true">
IF(D841="폐업","폐업",
IF(V841="면제","면제",
IF(AND(V841="정상",COUNTIFS(OFFSET(Y841,0,COUNTA(Y841:AV841)-1,1,-4),"미납")&gt;=3),"장기미납",
IF(AND(V841="정상",OFFSET(Y841,0,COUNTA(Y841:AV841)-1)&gt;=U841),"정상",
IF(AND(V841="정상",OFFSET(Y841,0,COUNTA(Y841:AV841)-1)=0),"정상",
"계약서 미작성")))))</f>
        <v>#VALUE!</v>
      </c>
      <c r="X841" s="81" t="str">
        <f aca="true">
IF(D841="폐업","폐업",
IF(AND(V841="정상",OFFSET(Y841,0,COUNTA(Y841:AV841)-1)="미납"),"미납",
IF(AND(V841="정상",OFFSET(Y841,0,COUNTA(Y841:AV841)-1)=0),"납부 시작 전",
IF(AND(V841="정상",OFFSET(Y841,0,COUNTA(Y841:AV841)-1)&gt;=U841),"정상",
IF(AND(V841="면제",OFFSET(Y841,0,COUNTA(Y841:AV841)-1)="면제"),"면제",
IF(AND(V841="면제",OFFSET(Y841,0,COUNTA(Y841:AV841)-1)=0),"면제",
"확인요청"))))))</f>
        <v>정상</v>
      </c>
      <c r="Y841" s="93" t="n">
        <v>55000</v>
      </c>
      <c r="Z841" s="90" t="n">
        <v>55000</v>
      </c>
      <c r="AA841" s="90" t="n">
        <v>55000</v>
      </c>
      <c r="AB841" s="90" t="n">
        <v>55000</v>
      </c>
      <c r="AC841" s="90" t="n">
        <v>55000</v>
      </c>
      <c r="AD841" s="90" t="n">
        <v>55000</v>
      </c>
      <c r="AE841" s="90" t="n">
        <v>55000</v>
      </c>
      <c r="AF841" s="90" t="n">
        <v>55000</v>
      </c>
      <c r="AG841" s="90" t="n">
        <v>55000</v>
      </c>
      <c r="AH841" s="90" t="n">
        <v>55000</v>
      </c>
      <c r="AI841" s="90" t="n">
        <v>55000</v>
      </c>
      <c r="AJ841" s="91" t="n">
        <v>55000</v>
      </c>
      <c r="AK841" s="89" t="n">
        <v>55000</v>
      </c>
      <c r="AL841" s="90" t="n">
        <v>55000</v>
      </c>
      <c r="AM841" s="90"/>
      <c r="AN841" s="90"/>
      <c r="AO841" s="90"/>
      <c r="AP841" s="90"/>
      <c r="AQ841" s="90"/>
      <c r="AR841" s="90"/>
      <c r="AS841" s="90"/>
      <c r="AT841" s="90"/>
      <c r="AU841" s="90"/>
      <c r="AV841" s="91"/>
      <c r="AX841" s="92"/>
    </row>
    <row r="842" customFormat="false" ht="15.65" hidden="false" customHeight="false" outlineLevel="0" collapsed="false">
      <c r="C842" s="72" t="n">
        <f aca="false">COUNTIFS($D$6:D842,"&lt;&gt;"&amp;"")</f>
        <v>837</v>
      </c>
      <c r="D842" s="73" t="s">
        <v>12</v>
      </c>
      <c r="E842" s="76" t="str">
        <f aca="false">
IF($D842="정상",INDEX(임대자산!$D$3:$R$3000,MATCH($F842,임대자산!$I$3:$I$3000,0),MATCH(E$3,임대자산!$D$3:$R$3,0)),
IF($D842="폐업",INDEX(폐업정보!$D$3:$R$3000,MATCH($F842,폐업정보!$I$3:$I$3000,0),MATCH(E$3,폐업정보!$D$3:$R$3,0)),
"Error"))</f>
        <v>강원</v>
      </c>
      <c r="F84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B0837</v>
      </c>
      <c r="G842" s="76" t="str">
        <f aca="false">F842&amp;RANDBETWEEN(0,10)</f>
        <v>B08374</v>
      </c>
      <c r="H842" s="75" t="n">
        <f aca="false">
IF($D842="정상",INDEX(임대자산!$D$3:$R$3000,MATCH($F842,임대자산!$I$3:$I$3000,0),MATCH(H$4,임대자산!$D$3:$R$3,0)),
IF($D842="폐업",INDEX(폐업정보!$D$3:$R$3000,MATCH($F842,폐업정보!$I$3:$I$3000,0),MATCH(H$4,폐업정보!$D$3:$R$3,0)),
"Error"))</f>
        <v>45734</v>
      </c>
      <c r="I842" s="75" t="str">
        <f aca="false">
IF($D842="정상",INDEX(임대자산!$D$3:$R$3000,MATCH($F842,임대자산!$I$3:$I$3000,0),MATCH(I$4,임대자산!$D$3:$R$3,0)),
IF($D842="폐업",INDEX(폐업정보!$D$3:$R$3000,MATCH($F842,폐업정보!$I$3:$I$3000,0),MATCH(I$4,폐업정보!$D$3:$R$3,0)),
"Error"))</f>
        <v>A0837</v>
      </c>
      <c r="J842" s="75" t="str">
        <f aca="false">
IF($D842="정상",INDEX(임대자산!$D$3:$R$3000,MATCH($F842,임대자산!$I$3:$I$3000,0),MATCH(J$4,임대자산!$D$3:$R$3,0)),
IF($D842="폐업",INDEX(폐업정보!$D$3:$R$3000,MATCH($F842,폐업정보!$I$3:$I$3000,0),MATCH(J$4,폐업정보!$D$3:$R$3,0)),
"Error"))</f>
        <v>2638000000</v>
      </c>
      <c r="K842" s="75" t="str">
        <f aca="false">
IF($D842="정상",INDEX(임대자산!$D$3:$R$3000,MATCH($F842,임대자산!$I$3:$I$3000,0),MATCH(K$4,임대자산!$D$3:$R$3,0)),
IF($D842="폐업",INDEX(폐업정보!$D$3:$R$3000,MATCH($F842,폐업정보!$I$3:$I$3000,0),MATCH(K$4,폐업정보!$D$3:$R$3,0)),
"Error"))</f>
        <v>C0837</v>
      </c>
      <c r="L842" s="75" t="str">
        <f aca="false">
IF($D842="정상",INDEX(임대자산!$D$3:$R$3000,MATCH($F842,임대자산!$I$3:$I$3000,0),MATCH(L$4,임대자산!$D$3:$R$3,0)),
IF($D842="폐업",INDEX(폐업정보!$D$3:$R$3000,MATCH($F842,폐업정보!$I$3:$I$3000,0),MATCH(L$4,폐업정보!$D$3:$R$3,0)),
"Error"))</f>
        <v>D0837</v>
      </c>
      <c r="M842" s="76" t="s">
        <v>96</v>
      </c>
      <c r="N842" s="77"/>
      <c r="O842" s="78" t="s">
        <v>97</v>
      </c>
      <c r="P842" s="79" t="n">
        <f aca="false">COUNTIFS(임대자산!$I:$I,가맹점정보!F842,임대자산!$N:$N,가맹점정보!P$4)</f>
        <v>0</v>
      </c>
      <c r="Q842" s="80" t="n">
        <f aca="false">COUNTIFS(임대자산!$I:$I,가맹점정보!F842,임대자산!$N:$N,가맹점정보!Q$4)</f>
        <v>1</v>
      </c>
      <c r="R842" s="81" t="n">
        <f aca="false">COUNTIFS(임대자산!$I:$I,가맹점정보!F842,임대자산!$N:$N,가맹점정보!R$4)</f>
        <v>0</v>
      </c>
      <c r="S842" s="82" t="n">
        <v>88000</v>
      </c>
      <c r="T842" s="83" t="n">
        <v>0</v>
      </c>
      <c r="U842" s="80" t="n">
        <f aca="false">SUM(S842:T842)</f>
        <v>88000</v>
      </c>
      <c r="V842" s="84" t="s">
        <v>12</v>
      </c>
      <c r="W842" s="80" t="e">
        <f aca="true">
IF(D842="폐업","폐업",
IF(V842="면제","면제",
IF(AND(V842="정상",COUNTIFS(OFFSET(Y842,0,COUNTA(Y842:AV842)-1,1,-4),"미납")&gt;=3),"장기미납",
IF(AND(V842="정상",OFFSET(Y842,0,COUNTA(Y842:AV842)-1)&gt;=U842),"정상",
IF(AND(V842="정상",OFFSET(Y842,0,COUNTA(Y842:AV842)-1)=0),"정상",
"계약서 미작성")))))</f>
        <v>#VALUE!</v>
      </c>
      <c r="X842" s="81" t="str">
        <f aca="true">
IF(D842="폐업","폐업",
IF(AND(V842="정상",OFFSET(Y842,0,COUNTA(Y842:AV842)-1)="미납"),"미납",
IF(AND(V842="정상",OFFSET(Y842,0,COUNTA(Y842:AV842)-1)=0),"납부 시작 전",
IF(AND(V842="정상",OFFSET(Y842,0,COUNTA(Y842:AV842)-1)&gt;=U842),"정상",
IF(AND(V842="면제",OFFSET(Y842,0,COUNTA(Y842:AV842)-1)="면제"),"면제",
IF(AND(V842="면제",OFFSET(Y842,0,COUNTA(Y842:AV842)-1)=0),"면제",
"확인요청"))))))</f>
        <v>정상</v>
      </c>
      <c r="Y842" s="93" t="n">
        <v>88000</v>
      </c>
      <c r="Z842" s="90" t="n">
        <v>88000</v>
      </c>
      <c r="AA842" s="90" t="n">
        <v>88000</v>
      </c>
      <c r="AB842" s="90" t="n">
        <v>88000</v>
      </c>
      <c r="AC842" s="90" t="n">
        <v>88000</v>
      </c>
      <c r="AD842" s="90" t="n">
        <v>88000</v>
      </c>
      <c r="AE842" s="90" t="n">
        <v>88000</v>
      </c>
      <c r="AF842" s="90" t="n">
        <v>88000</v>
      </c>
      <c r="AG842" s="90" t="n">
        <v>88000</v>
      </c>
      <c r="AH842" s="90" t="n">
        <v>88000</v>
      </c>
      <c r="AI842" s="90" t="n">
        <v>88000</v>
      </c>
      <c r="AJ842" s="91" t="n">
        <v>88000</v>
      </c>
      <c r="AK842" s="89" t="n">
        <v>88000</v>
      </c>
      <c r="AL842" s="90" t="n">
        <v>88000</v>
      </c>
      <c r="AM842" s="90"/>
      <c r="AN842" s="90"/>
      <c r="AO842" s="90"/>
      <c r="AP842" s="90"/>
      <c r="AQ842" s="90"/>
      <c r="AR842" s="90"/>
      <c r="AS842" s="90"/>
      <c r="AT842" s="90"/>
      <c r="AU842" s="90"/>
      <c r="AV842" s="91"/>
      <c r="AX842" s="92"/>
    </row>
    <row r="843" customFormat="false" ht="15.65" hidden="false" customHeight="false" outlineLevel="0" collapsed="false">
      <c r="C843" s="72" t="n">
        <f aca="false">COUNTIFS($D$6:D843,"&lt;&gt;"&amp;"")</f>
        <v>838</v>
      </c>
      <c r="D843" s="73" t="s">
        <v>12</v>
      </c>
      <c r="E843" s="76" t="str">
        <f aca="false">
IF($D843="정상",INDEX(임대자산!$D$3:$R$3000,MATCH($F843,임대자산!$I$3:$I$3000,0),MATCH(E$3,임대자산!$D$3:$R$3,0)),
IF($D843="폐업",INDEX(폐업정보!$D$3:$R$3000,MATCH($F843,폐업정보!$I$3:$I$3000,0),MATCH(E$3,폐업정보!$D$3:$R$3,0)),
"Error"))</f>
        <v>서울</v>
      </c>
      <c r="F84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B0838</v>
      </c>
      <c r="G843" s="76" t="str">
        <f aca="false">F843&amp;RANDBETWEEN(0,10)</f>
        <v>B08381</v>
      </c>
      <c r="H843" s="75" t="n">
        <f aca="false">
IF($D843="정상",INDEX(임대자산!$D$3:$R$3000,MATCH($F843,임대자산!$I$3:$I$3000,0),MATCH(H$4,임대자산!$D$3:$R$3,0)),
IF($D843="폐업",INDEX(폐업정보!$D$3:$R$3000,MATCH($F843,폐업정보!$I$3:$I$3000,0),MATCH(H$4,폐업정보!$D$3:$R$3,0)),
"Error"))</f>
        <v>45716</v>
      </c>
      <c r="I843" s="75" t="str">
        <f aca="false">
IF($D843="정상",INDEX(임대자산!$D$3:$R$3000,MATCH($F843,임대자산!$I$3:$I$3000,0),MATCH(I$4,임대자산!$D$3:$R$3,0)),
IF($D843="폐업",INDEX(폐업정보!$D$3:$R$3000,MATCH($F843,폐업정보!$I$3:$I$3000,0),MATCH(I$4,폐업정보!$D$3:$R$3,0)),
"Error"))</f>
        <v>A0838</v>
      </c>
      <c r="J843" s="75" t="str">
        <f aca="false">
IF($D843="정상",INDEX(임대자산!$D$3:$R$3000,MATCH($F843,임대자산!$I$3:$I$3000,0),MATCH(J$4,임대자산!$D$3:$R$3,0)),
IF($D843="폐업",INDEX(폐업정보!$D$3:$R$3000,MATCH($F843,폐업정보!$I$3:$I$3000,0),MATCH(J$4,폐업정보!$D$3:$R$3,0)),
"Error"))</f>
        <v>4479400000</v>
      </c>
      <c r="K843" s="75" t="str">
        <f aca="false">
IF($D843="정상",INDEX(임대자산!$D$3:$R$3000,MATCH($F843,임대자산!$I$3:$I$3000,0),MATCH(K$4,임대자산!$D$3:$R$3,0)),
IF($D843="폐업",INDEX(폐업정보!$D$3:$R$3000,MATCH($F843,폐업정보!$I$3:$I$3000,0),MATCH(K$4,폐업정보!$D$3:$R$3,0)),
"Error"))</f>
        <v>C0838</v>
      </c>
      <c r="L843" s="75" t="str">
        <f aca="false">
IF($D843="정상",INDEX(임대자산!$D$3:$R$3000,MATCH($F843,임대자산!$I$3:$I$3000,0),MATCH(L$4,임대자산!$D$3:$R$3,0)),
IF($D843="폐업",INDEX(폐업정보!$D$3:$R$3000,MATCH($F843,폐업정보!$I$3:$I$3000,0),MATCH(L$4,폐업정보!$D$3:$R$3,0)),
"Error"))</f>
        <v>D0838</v>
      </c>
      <c r="M843" s="76" t="s">
        <v>96</v>
      </c>
      <c r="N843" s="77"/>
      <c r="O843" s="78" t="s">
        <v>97</v>
      </c>
      <c r="P843" s="79" t="n">
        <f aca="false">COUNTIFS(임대자산!$I:$I,가맹점정보!F843,임대자산!$N:$N,가맹점정보!P$4)</f>
        <v>0</v>
      </c>
      <c r="Q843" s="80" t="n">
        <f aca="false">COUNTIFS(임대자산!$I:$I,가맹점정보!F843,임대자산!$N:$N,가맹점정보!Q$4)</f>
        <v>1</v>
      </c>
      <c r="R843" s="81" t="n">
        <f aca="false">COUNTIFS(임대자산!$I:$I,가맹점정보!F843,임대자산!$N:$N,가맹점정보!R$4)</f>
        <v>0</v>
      </c>
      <c r="S843" s="82" t="n">
        <v>55000</v>
      </c>
      <c r="T843" s="83" t="n">
        <v>0</v>
      </c>
      <c r="U843" s="80" t="n">
        <f aca="false">SUM(S843:T843)</f>
        <v>55000</v>
      </c>
      <c r="V843" s="84" t="s">
        <v>12</v>
      </c>
      <c r="W843" s="80" t="e">
        <f aca="true">
IF(D843="폐업","폐업",
IF(V843="면제","면제",
IF(AND(V843="정상",COUNTIFS(OFFSET(Y843,0,COUNTA(Y843:AV843)-1,1,-4),"미납")&gt;=3),"장기미납",
IF(AND(V843="정상",OFFSET(Y843,0,COUNTA(Y843:AV843)-1)&gt;=U843),"정상",
IF(AND(V843="정상",OFFSET(Y843,0,COUNTA(Y843:AV843)-1)=0),"정상",
"계약서 미작성")))))</f>
        <v>#VALUE!</v>
      </c>
      <c r="X843" s="81" t="str">
        <f aca="true">
IF(D843="폐업","폐업",
IF(AND(V843="정상",OFFSET(Y843,0,COUNTA(Y843:AV843)-1)="미납"),"미납",
IF(AND(V843="정상",OFFSET(Y843,0,COUNTA(Y843:AV843)-1)=0),"납부 시작 전",
IF(AND(V843="정상",OFFSET(Y843,0,COUNTA(Y843:AV843)-1)&gt;=U843),"정상",
IF(AND(V843="면제",OFFSET(Y843,0,COUNTA(Y843:AV843)-1)="면제"),"면제",
IF(AND(V843="면제",OFFSET(Y843,0,COUNTA(Y843:AV843)-1)=0),"면제",
"확인요청"))))))</f>
        <v>정상</v>
      </c>
      <c r="Y843" s="93" t="n">
        <v>55000</v>
      </c>
      <c r="Z843" s="90" t="n">
        <v>55000</v>
      </c>
      <c r="AA843" s="90" t="n">
        <v>55000</v>
      </c>
      <c r="AB843" s="90" t="n">
        <v>55000</v>
      </c>
      <c r="AC843" s="90" t="n">
        <v>55000</v>
      </c>
      <c r="AD843" s="90" t="n">
        <v>55000</v>
      </c>
      <c r="AE843" s="90" t="n">
        <v>55000</v>
      </c>
      <c r="AF843" s="90" t="n">
        <v>55000</v>
      </c>
      <c r="AG843" s="90" t="n">
        <v>55000</v>
      </c>
      <c r="AH843" s="90" t="n">
        <v>55000</v>
      </c>
      <c r="AI843" s="90" t="n">
        <v>55000</v>
      </c>
      <c r="AJ843" s="91" t="n">
        <v>55000</v>
      </c>
      <c r="AK843" s="89" t="n">
        <v>55000</v>
      </c>
      <c r="AL843" s="90" t="n">
        <v>55000</v>
      </c>
      <c r="AM843" s="90"/>
      <c r="AN843" s="90"/>
      <c r="AO843" s="90"/>
      <c r="AP843" s="90"/>
      <c r="AQ843" s="90"/>
      <c r="AR843" s="90"/>
      <c r="AS843" s="90"/>
      <c r="AT843" s="90"/>
      <c r="AU843" s="90"/>
      <c r="AV843" s="91"/>
      <c r="AX843" s="92"/>
    </row>
    <row r="844" customFormat="false" ht="15.65" hidden="false" customHeight="false" outlineLevel="0" collapsed="false">
      <c r="C844" s="72" t="n">
        <f aca="false">COUNTIFS($D$6:D844,"&lt;&gt;"&amp;"")</f>
        <v>839</v>
      </c>
      <c r="D844" s="73" t="s">
        <v>12</v>
      </c>
      <c r="E844" s="76" t="str">
        <f aca="false">
IF($D844="정상",INDEX(임대자산!$D$3:$R$3000,MATCH($F844,임대자산!$I$3:$I$3000,0),MATCH(E$3,임대자산!$D$3:$R$3,0)),
IF($D844="폐업",INDEX(폐업정보!$D$3:$R$3000,MATCH($F844,폐업정보!$I$3:$I$3000,0),MATCH(E$3,폐업정보!$D$3:$R$3,0)),
"Error"))</f>
        <v>서울</v>
      </c>
      <c r="F84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B0839</v>
      </c>
      <c r="G844" s="76" t="str">
        <f aca="false">F844&amp;RANDBETWEEN(0,10)</f>
        <v>B08399</v>
      </c>
      <c r="H844" s="75" t="n">
        <f aca="false">
IF($D844="정상",INDEX(임대자산!$D$3:$R$3000,MATCH($F844,임대자산!$I$3:$I$3000,0),MATCH(H$4,임대자산!$D$3:$R$3,0)),
IF($D844="폐업",INDEX(폐업정보!$D$3:$R$3000,MATCH($F844,폐업정보!$I$3:$I$3000,0),MATCH(H$4,폐업정보!$D$3:$R$3,0)),
"Error"))</f>
        <v>45737</v>
      </c>
      <c r="I844" s="75" t="str">
        <f aca="false">
IF($D844="정상",INDEX(임대자산!$D$3:$R$3000,MATCH($F844,임대자산!$I$3:$I$3000,0),MATCH(I$4,임대자산!$D$3:$R$3,0)),
IF($D844="폐업",INDEX(폐업정보!$D$3:$R$3000,MATCH($F844,폐업정보!$I$3:$I$3000,0),MATCH(I$4,폐업정보!$D$3:$R$3,0)),
"Error"))</f>
        <v>A0839</v>
      </c>
      <c r="J844" s="75" t="str">
        <f aca="false">
IF($D844="정상",INDEX(임대자산!$D$3:$R$3000,MATCH($F844,임대자산!$I$3:$I$3000,0),MATCH(J$4,임대자산!$D$3:$R$3,0)),
IF($D844="폐업",INDEX(폐업정보!$D$3:$R$3000,MATCH($F844,폐업정보!$I$3:$I$3000,0),MATCH(J$4,폐업정보!$D$3:$R$3,0)),
"Error"))</f>
        <v>7286500000</v>
      </c>
      <c r="K844" s="75" t="str">
        <f aca="false">
IF($D844="정상",INDEX(임대자산!$D$3:$R$3000,MATCH($F844,임대자산!$I$3:$I$3000,0),MATCH(K$4,임대자산!$D$3:$R$3,0)),
IF($D844="폐업",INDEX(폐업정보!$D$3:$R$3000,MATCH($F844,폐업정보!$I$3:$I$3000,0),MATCH(K$4,폐업정보!$D$3:$R$3,0)),
"Error"))</f>
        <v>C0839</v>
      </c>
      <c r="L844" s="75" t="str">
        <f aca="false">
IF($D844="정상",INDEX(임대자산!$D$3:$R$3000,MATCH($F844,임대자산!$I$3:$I$3000,0),MATCH(L$4,임대자산!$D$3:$R$3,0)),
IF($D844="폐업",INDEX(폐업정보!$D$3:$R$3000,MATCH($F844,폐업정보!$I$3:$I$3000,0),MATCH(L$4,폐업정보!$D$3:$R$3,0)),
"Error"))</f>
        <v>D0839</v>
      </c>
      <c r="M844" s="76" t="s">
        <v>96</v>
      </c>
      <c r="N844" s="77"/>
      <c r="O844" s="78" t="s">
        <v>97</v>
      </c>
      <c r="P844" s="79" t="n">
        <f aca="false">COUNTIFS(임대자산!$I:$I,가맹점정보!F844,임대자산!$N:$N,가맹점정보!P$4)</f>
        <v>0</v>
      </c>
      <c r="Q844" s="80" t="n">
        <f aca="false">COUNTIFS(임대자산!$I:$I,가맹점정보!F844,임대자산!$N:$N,가맹점정보!Q$4)</f>
        <v>1</v>
      </c>
      <c r="R844" s="81" t="n">
        <f aca="false">COUNTIFS(임대자산!$I:$I,가맹점정보!F844,임대자산!$N:$N,가맹점정보!R$4)</f>
        <v>0</v>
      </c>
      <c r="S844" s="82" t="n">
        <v>88000</v>
      </c>
      <c r="T844" s="83" t="n">
        <v>0</v>
      </c>
      <c r="U844" s="80" t="n">
        <f aca="false">SUM(S844:T844)</f>
        <v>88000</v>
      </c>
      <c r="V844" s="84" t="s">
        <v>12</v>
      </c>
      <c r="W844" s="80" t="e">
        <f aca="true">
IF(D844="폐업","폐업",
IF(V844="면제","면제",
IF(AND(V844="정상",COUNTIFS(OFFSET(Y844,0,COUNTA(Y844:AV844)-1,1,-4),"미납")&gt;=3),"장기미납",
IF(AND(V844="정상",OFFSET(Y844,0,COUNTA(Y844:AV844)-1)&gt;=U844),"정상",
IF(AND(V844="정상",OFFSET(Y844,0,COUNTA(Y844:AV844)-1)=0),"정상",
"계약서 미작성")))))</f>
        <v>#VALUE!</v>
      </c>
      <c r="X844" s="81" t="str">
        <f aca="true">
IF(D844="폐업","폐업",
IF(AND(V844="정상",OFFSET(Y844,0,COUNTA(Y844:AV844)-1)="미납"),"미납",
IF(AND(V844="정상",OFFSET(Y844,0,COUNTA(Y844:AV844)-1)=0),"납부 시작 전",
IF(AND(V844="정상",OFFSET(Y844,0,COUNTA(Y844:AV844)-1)&gt;=U844),"정상",
IF(AND(V844="면제",OFFSET(Y844,0,COUNTA(Y844:AV844)-1)="면제"),"면제",
IF(AND(V844="면제",OFFSET(Y844,0,COUNTA(Y844:AV844)-1)=0),"면제",
"확인요청"))))))</f>
        <v>정상</v>
      </c>
      <c r="Y844" s="93" t="n">
        <v>88000</v>
      </c>
      <c r="Z844" s="90" t="n">
        <v>88000</v>
      </c>
      <c r="AA844" s="90" t="n">
        <v>88000</v>
      </c>
      <c r="AB844" s="90" t="n">
        <v>88000</v>
      </c>
      <c r="AC844" s="90" t="n">
        <v>88000</v>
      </c>
      <c r="AD844" s="90" t="n">
        <v>88000</v>
      </c>
      <c r="AE844" s="90" t="n">
        <v>88000</v>
      </c>
      <c r="AF844" s="90" t="n">
        <v>88000</v>
      </c>
      <c r="AG844" s="90" t="n">
        <v>88000</v>
      </c>
      <c r="AH844" s="90" t="n">
        <v>88000</v>
      </c>
      <c r="AI844" s="90" t="n">
        <v>88000</v>
      </c>
      <c r="AJ844" s="91" t="n">
        <v>88000</v>
      </c>
      <c r="AK844" s="89" t="n">
        <v>88000</v>
      </c>
      <c r="AL844" s="90" t="n">
        <v>88000</v>
      </c>
      <c r="AM844" s="90"/>
      <c r="AN844" s="90"/>
      <c r="AO844" s="90"/>
      <c r="AP844" s="90"/>
      <c r="AQ844" s="90"/>
      <c r="AR844" s="90"/>
      <c r="AS844" s="90"/>
      <c r="AT844" s="90"/>
      <c r="AU844" s="90"/>
      <c r="AV844" s="91"/>
      <c r="AX844" s="92"/>
    </row>
    <row r="845" customFormat="false" ht="15.65" hidden="false" customHeight="false" outlineLevel="0" collapsed="false">
      <c r="C845" s="72" t="n">
        <f aca="false">COUNTIFS($D$6:D845,"&lt;&gt;"&amp;"")</f>
        <v>840</v>
      </c>
      <c r="D845" s="73" t="s">
        <v>12</v>
      </c>
      <c r="E845" s="76" t="str">
        <f aca="false">
IF($D845="정상",INDEX(임대자산!$D$3:$R$3000,MATCH($F845,임대자산!$I$3:$I$3000,0),MATCH(E$3,임대자산!$D$3:$R$3,0)),
IF($D845="폐업",INDEX(폐업정보!$D$3:$R$3000,MATCH($F845,폐업정보!$I$3:$I$3000,0),MATCH(E$3,폐업정보!$D$3:$R$3,0)),
"Error"))</f>
        <v>서울</v>
      </c>
      <c r="F84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B0840</v>
      </c>
      <c r="G845" s="76" t="str">
        <f aca="false">F845&amp;RANDBETWEEN(0,10)</f>
        <v>B08408</v>
      </c>
      <c r="H845" s="75" t="n">
        <f aca="false">
IF($D845="정상",INDEX(임대자산!$D$3:$R$3000,MATCH($F845,임대자산!$I$3:$I$3000,0),MATCH(H$4,임대자산!$D$3:$R$3,0)),
IF($D845="폐업",INDEX(폐업정보!$D$3:$R$3000,MATCH($F845,폐업정보!$I$3:$I$3000,0),MATCH(H$4,폐업정보!$D$3:$R$3,0)),
"Error"))</f>
        <v>45737</v>
      </c>
      <c r="I845" s="75" t="str">
        <f aca="false">
IF($D845="정상",INDEX(임대자산!$D$3:$R$3000,MATCH($F845,임대자산!$I$3:$I$3000,0),MATCH(I$4,임대자산!$D$3:$R$3,0)),
IF($D845="폐업",INDEX(폐업정보!$D$3:$R$3000,MATCH($F845,폐업정보!$I$3:$I$3000,0),MATCH(I$4,폐업정보!$D$3:$R$3,0)),
"Error"))</f>
        <v>A0840</v>
      </c>
      <c r="J845" s="75" t="str">
        <f aca="false">
IF($D845="정상",INDEX(임대자산!$D$3:$R$3000,MATCH($F845,임대자산!$I$3:$I$3000,0),MATCH(J$4,임대자산!$D$3:$R$3,0)),
IF($D845="폐업",INDEX(폐업정보!$D$3:$R$3000,MATCH($F845,폐업정보!$I$3:$I$3000,0),MATCH(J$4,폐업정보!$D$3:$R$3,0)),
"Error"))</f>
        <v>2557400000</v>
      </c>
      <c r="K845" s="75" t="str">
        <f aca="false">
IF($D845="정상",INDEX(임대자산!$D$3:$R$3000,MATCH($F845,임대자산!$I$3:$I$3000,0),MATCH(K$4,임대자산!$D$3:$R$3,0)),
IF($D845="폐업",INDEX(폐업정보!$D$3:$R$3000,MATCH($F845,폐업정보!$I$3:$I$3000,0),MATCH(K$4,폐업정보!$D$3:$R$3,0)),
"Error"))</f>
        <v>C0840</v>
      </c>
      <c r="L845" s="75" t="str">
        <f aca="false">
IF($D845="정상",INDEX(임대자산!$D$3:$R$3000,MATCH($F845,임대자산!$I$3:$I$3000,0),MATCH(L$4,임대자산!$D$3:$R$3,0)),
IF($D845="폐업",INDEX(폐업정보!$D$3:$R$3000,MATCH($F845,폐업정보!$I$3:$I$3000,0),MATCH(L$4,폐업정보!$D$3:$R$3,0)),
"Error"))</f>
        <v>D0840</v>
      </c>
      <c r="M845" s="76" t="s">
        <v>96</v>
      </c>
      <c r="N845" s="77"/>
      <c r="O845" s="78" t="s">
        <v>97</v>
      </c>
      <c r="P845" s="79" t="n">
        <f aca="false">COUNTIFS(임대자산!$I:$I,가맹점정보!F845,임대자산!$N:$N,가맹점정보!P$4)</f>
        <v>0</v>
      </c>
      <c r="Q845" s="80" t="n">
        <f aca="false">COUNTIFS(임대자산!$I:$I,가맹점정보!F845,임대자산!$N:$N,가맹점정보!Q$4)</f>
        <v>1</v>
      </c>
      <c r="R845" s="81" t="n">
        <f aca="false">COUNTIFS(임대자산!$I:$I,가맹점정보!F845,임대자산!$N:$N,가맹점정보!R$4)</f>
        <v>0</v>
      </c>
      <c r="S845" s="82" t="n">
        <v>55000</v>
      </c>
      <c r="T845" s="83" t="n">
        <v>0</v>
      </c>
      <c r="U845" s="80" t="n">
        <f aca="false">SUM(S845:T845)</f>
        <v>55000</v>
      </c>
      <c r="V845" s="84" t="s">
        <v>12</v>
      </c>
      <c r="W845" s="80" t="e">
        <f aca="true">
IF(D845="폐업","폐업",
IF(V845="면제","면제",
IF(AND(V845="정상",COUNTIFS(OFFSET(Y845,0,COUNTA(Y845:AV845)-1,1,-4),"미납")&gt;=3),"장기미납",
IF(AND(V845="정상",OFFSET(Y845,0,COUNTA(Y845:AV845)-1)&gt;=U845),"정상",
IF(AND(V845="정상",OFFSET(Y845,0,COUNTA(Y845:AV845)-1)=0),"정상",
"계약서 미작성")))))</f>
        <v>#VALUE!</v>
      </c>
      <c r="X845" s="81" t="str">
        <f aca="true">
IF(D845="폐업","폐업",
IF(AND(V845="정상",OFFSET(Y845,0,COUNTA(Y845:AV845)-1)="미납"),"미납",
IF(AND(V845="정상",OFFSET(Y845,0,COUNTA(Y845:AV845)-1)=0),"납부 시작 전",
IF(AND(V845="정상",OFFSET(Y845,0,COUNTA(Y845:AV845)-1)&gt;=U845),"정상",
IF(AND(V845="면제",OFFSET(Y845,0,COUNTA(Y845:AV845)-1)="면제"),"면제",
IF(AND(V845="면제",OFFSET(Y845,0,COUNTA(Y845:AV845)-1)=0),"면제",
"확인요청"))))))</f>
        <v>정상</v>
      </c>
      <c r="Y845" s="93" t="n">
        <v>55000</v>
      </c>
      <c r="Z845" s="90" t="n">
        <v>55000</v>
      </c>
      <c r="AA845" s="90" t="n">
        <v>55000</v>
      </c>
      <c r="AB845" s="90" t="n">
        <v>55000</v>
      </c>
      <c r="AC845" s="90" t="n">
        <v>55000</v>
      </c>
      <c r="AD845" s="90" t="n">
        <v>55000</v>
      </c>
      <c r="AE845" s="90" t="n">
        <v>55000</v>
      </c>
      <c r="AF845" s="90" t="n">
        <v>55000</v>
      </c>
      <c r="AG845" s="90" t="n">
        <v>55000</v>
      </c>
      <c r="AH845" s="90" t="n">
        <v>55000</v>
      </c>
      <c r="AI845" s="90" t="n">
        <v>55000</v>
      </c>
      <c r="AJ845" s="91" t="n">
        <v>55000</v>
      </c>
      <c r="AK845" s="89" t="n">
        <v>55000</v>
      </c>
      <c r="AL845" s="90" t="n">
        <v>55000</v>
      </c>
      <c r="AM845" s="90"/>
      <c r="AN845" s="90"/>
      <c r="AO845" s="90"/>
      <c r="AP845" s="90"/>
      <c r="AQ845" s="90"/>
      <c r="AR845" s="90"/>
      <c r="AS845" s="90"/>
      <c r="AT845" s="90"/>
      <c r="AU845" s="90"/>
      <c r="AV845" s="91"/>
      <c r="AX845" s="92"/>
    </row>
    <row r="846" customFormat="false" ht="15.65" hidden="false" customHeight="false" outlineLevel="0" collapsed="false">
      <c r="C846" s="72" t="n">
        <f aca="false">COUNTIFS($D$6:D846,"&lt;&gt;"&amp;"")</f>
        <v>841</v>
      </c>
      <c r="D846" s="73" t="s">
        <v>12</v>
      </c>
      <c r="E846" s="76" t="str">
        <f aca="false">
IF($D846="정상",INDEX(임대자산!$D$3:$R$3000,MATCH($F846,임대자산!$I$3:$I$3000,0),MATCH(E$3,임대자산!$D$3:$R$3,0)),
IF($D846="폐업",INDEX(폐업정보!$D$3:$R$3000,MATCH($F846,폐업정보!$I$3:$I$3000,0),MATCH(E$3,폐업정보!$D$3:$R$3,0)),
"Error"))</f>
        <v>강원</v>
      </c>
      <c r="F84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B0841</v>
      </c>
      <c r="G846" s="76" t="str">
        <f aca="false">F846&amp;RANDBETWEEN(0,10)</f>
        <v>B08412</v>
      </c>
      <c r="H846" s="75" t="n">
        <f aca="false">
IF($D846="정상",INDEX(임대자산!$D$3:$R$3000,MATCH($F846,임대자산!$I$3:$I$3000,0),MATCH(H$4,임대자산!$D$3:$R$3,0)),
IF($D846="폐업",INDEX(폐업정보!$D$3:$R$3000,MATCH($F846,폐업정보!$I$3:$I$3000,0),MATCH(H$4,폐업정보!$D$3:$R$3,0)),
"Error"))</f>
        <v>45761</v>
      </c>
      <c r="I846" s="75" t="str">
        <f aca="false">
IF($D846="정상",INDEX(임대자산!$D$3:$R$3000,MATCH($F846,임대자산!$I$3:$I$3000,0),MATCH(I$4,임대자산!$D$3:$R$3,0)),
IF($D846="폐업",INDEX(폐업정보!$D$3:$R$3000,MATCH($F846,폐업정보!$I$3:$I$3000,0),MATCH(I$4,폐업정보!$D$3:$R$3,0)),
"Error"))</f>
        <v>A0841</v>
      </c>
      <c r="J846" s="75" t="str">
        <f aca="false">
IF($D846="정상",INDEX(임대자산!$D$3:$R$3000,MATCH($F846,임대자산!$I$3:$I$3000,0),MATCH(J$4,임대자산!$D$3:$R$3,0)),
IF($D846="폐업",INDEX(폐업정보!$D$3:$R$3000,MATCH($F846,폐업정보!$I$3:$I$3000,0),MATCH(J$4,폐업정보!$D$3:$R$3,0)),
"Error"))</f>
        <v>5818800000</v>
      </c>
      <c r="K846" s="75" t="str">
        <f aca="false">
IF($D846="정상",INDEX(임대자산!$D$3:$R$3000,MATCH($F846,임대자산!$I$3:$I$3000,0),MATCH(K$4,임대자산!$D$3:$R$3,0)),
IF($D846="폐업",INDEX(폐업정보!$D$3:$R$3000,MATCH($F846,폐업정보!$I$3:$I$3000,0),MATCH(K$4,폐업정보!$D$3:$R$3,0)),
"Error"))</f>
        <v>C0841</v>
      </c>
      <c r="L846" s="75" t="str">
        <f aca="false">
IF($D846="정상",INDEX(임대자산!$D$3:$R$3000,MATCH($F846,임대자산!$I$3:$I$3000,0),MATCH(L$4,임대자산!$D$3:$R$3,0)),
IF($D846="폐업",INDEX(폐업정보!$D$3:$R$3000,MATCH($F846,폐업정보!$I$3:$I$3000,0),MATCH(L$4,폐업정보!$D$3:$R$3,0)),
"Error"))</f>
        <v>D0841</v>
      </c>
      <c r="M846" s="76" t="s">
        <v>96</v>
      </c>
      <c r="N846" s="77"/>
      <c r="O846" s="78" t="s">
        <v>97</v>
      </c>
      <c r="P846" s="79" t="n">
        <f aca="false">COUNTIFS(임대자산!$I:$I,가맹점정보!F846,임대자산!$N:$N,가맹점정보!P$4)</f>
        <v>0</v>
      </c>
      <c r="Q846" s="80" t="n">
        <f aca="false">COUNTIFS(임대자산!$I:$I,가맹점정보!F846,임대자산!$N:$N,가맹점정보!Q$4)</f>
        <v>1</v>
      </c>
      <c r="R846" s="81" t="n">
        <f aca="false">COUNTIFS(임대자산!$I:$I,가맹점정보!F846,임대자산!$N:$N,가맹점정보!R$4)</f>
        <v>0</v>
      </c>
      <c r="S846" s="82" t="n">
        <v>55000</v>
      </c>
      <c r="T846" s="83" t="n">
        <v>0</v>
      </c>
      <c r="U846" s="80" t="n">
        <f aca="false">SUM(S846:T846)</f>
        <v>55000</v>
      </c>
      <c r="V846" s="84" t="s">
        <v>12</v>
      </c>
      <c r="W846" s="80" t="e">
        <f aca="true">
IF(D846="폐업","폐업",
IF(V846="면제","면제",
IF(AND(V846="정상",COUNTIFS(OFFSET(Y846,0,COUNTA(Y846:AV846)-1,1,-4),"미납")&gt;=3),"장기미납",
IF(AND(V846="정상",OFFSET(Y846,0,COUNTA(Y846:AV846)-1)&gt;=U846),"정상",
IF(AND(V846="정상",OFFSET(Y846,0,COUNTA(Y846:AV846)-1)=0),"정상",
"계약서 미작성")))))</f>
        <v>#VALUE!</v>
      </c>
      <c r="X846" s="81" t="str">
        <f aca="true">
IF(D846="폐업","폐업",
IF(AND(V846="정상",OFFSET(Y846,0,COUNTA(Y846:AV846)-1)="미납"),"미납",
IF(AND(V846="정상",OFFSET(Y846,0,COUNTA(Y846:AV846)-1)=0),"납부 시작 전",
IF(AND(V846="정상",OFFSET(Y846,0,COUNTA(Y846:AV846)-1)&gt;=U846),"정상",
IF(AND(V846="면제",OFFSET(Y846,0,COUNTA(Y846:AV846)-1)="면제"),"면제",
IF(AND(V846="면제",OFFSET(Y846,0,COUNTA(Y846:AV846)-1)=0),"면제",
"확인요청"))))))</f>
        <v>정상</v>
      </c>
      <c r="Y846" s="93" t="n">
        <v>55000</v>
      </c>
      <c r="Z846" s="90" t="n">
        <v>55000</v>
      </c>
      <c r="AA846" s="90" t="n">
        <v>55000</v>
      </c>
      <c r="AB846" s="90" t="n">
        <v>55000</v>
      </c>
      <c r="AC846" s="90" t="n">
        <v>55000</v>
      </c>
      <c r="AD846" s="90" t="n">
        <v>55000</v>
      </c>
      <c r="AE846" s="90" t="n">
        <v>55000</v>
      </c>
      <c r="AF846" s="90" t="n">
        <v>55000</v>
      </c>
      <c r="AG846" s="90" t="n">
        <v>55000</v>
      </c>
      <c r="AH846" s="90" t="n">
        <v>55000</v>
      </c>
      <c r="AI846" s="90" t="n">
        <v>55000</v>
      </c>
      <c r="AJ846" s="91" t="n">
        <v>55000</v>
      </c>
      <c r="AK846" s="89" t="n">
        <v>55000</v>
      </c>
      <c r="AL846" s="90" t="n">
        <v>55000</v>
      </c>
      <c r="AM846" s="90"/>
      <c r="AN846" s="90"/>
      <c r="AO846" s="90"/>
      <c r="AP846" s="90"/>
      <c r="AQ846" s="90"/>
      <c r="AR846" s="90"/>
      <c r="AS846" s="90"/>
      <c r="AT846" s="90"/>
      <c r="AU846" s="90"/>
      <c r="AV846" s="91"/>
      <c r="AX846" s="92"/>
    </row>
    <row r="847" customFormat="false" ht="15.65" hidden="false" customHeight="false" outlineLevel="0" collapsed="false">
      <c r="C847" s="72" t="n">
        <f aca="false">COUNTIFS($D$6:D847,"&lt;&gt;"&amp;"")</f>
        <v>842</v>
      </c>
      <c r="D847" s="73" t="s">
        <v>12</v>
      </c>
      <c r="E847" s="76" t="str">
        <f aca="false">
IF($D847="정상",INDEX(임대자산!$D$3:$R$3000,MATCH($F847,임대자산!$I$3:$I$3000,0),MATCH(E$3,임대자산!$D$3:$R$3,0)),
IF($D847="폐업",INDEX(폐업정보!$D$3:$R$3000,MATCH($F847,폐업정보!$I$3:$I$3000,0),MATCH(E$3,폐업정보!$D$3:$R$3,0)),
"Error"))</f>
        <v>경기</v>
      </c>
      <c r="F84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B0842</v>
      </c>
      <c r="G847" s="76" t="str">
        <f aca="false">F847&amp;RANDBETWEEN(0,10)</f>
        <v>B084210</v>
      </c>
      <c r="H847" s="75" t="n">
        <f aca="false">
IF($D847="정상",INDEX(임대자산!$D$3:$R$3000,MATCH($F847,임대자산!$I$3:$I$3000,0),MATCH(H$4,임대자산!$D$3:$R$3,0)),
IF($D847="폐업",INDEX(폐업정보!$D$3:$R$3000,MATCH($F847,폐업정보!$I$3:$I$3000,0),MATCH(H$4,폐업정보!$D$3:$R$3,0)),
"Error"))</f>
        <v>45769</v>
      </c>
      <c r="I847" s="75" t="str">
        <f aca="false">
IF($D847="정상",INDEX(임대자산!$D$3:$R$3000,MATCH($F847,임대자산!$I$3:$I$3000,0),MATCH(I$4,임대자산!$D$3:$R$3,0)),
IF($D847="폐업",INDEX(폐업정보!$D$3:$R$3000,MATCH($F847,폐업정보!$I$3:$I$3000,0),MATCH(I$4,폐업정보!$D$3:$R$3,0)),
"Error"))</f>
        <v>A0842</v>
      </c>
      <c r="J847" s="75" t="str">
        <f aca="false">
IF($D847="정상",INDEX(임대자산!$D$3:$R$3000,MATCH($F847,임대자산!$I$3:$I$3000,0),MATCH(J$4,임대자산!$D$3:$R$3,0)),
IF($D847="폐업",INDEX(폐업정보!$D$3:$R$3000,MATCH($F847,폐업정보!$I$3:$I$3000,0),MATCH(J$4,폐업정보!$D$3:$R$3,0)),
"Error"))</f>
        <v>2454800000</v>
      </c>
      <c r="K847" s="75" t="str">
        <f aca="false">
IF($D847="정상",INDEX(임대자산!$D$3:$R$3000,MATCH($F847,임대자산!$I$3:$I$3000,0),MATCH(K$4,임대자산!$D$3:$R$3,0)),
IF($D847="폐업",INDEX(폐업정보!$D$3:$R$3000,MATCH($F847,폐업정보!$I$3:$I$3000,0),MATCH(K$4,폐업정보!$D$3:$R$3,0)),
"Error"))</f>
        <v>C0842</v>
      </c>
      <c r="L847" s="75" t="str">
        <f aca="false">
IF($D847="정상",INDEX(임대자산!$D$3:$R$3000,MATCH($F847,임대자산!$I$3:$I$3000,0),MATCH(L$4,임대자산!$D$3:$R$3,0)),
IF($D847="폐업",INDEX(폐업정보!$D$3:$R$3000,MATCH($F847,폐업정보!$I$3:$I$3000,0),MATCH(L$4,폐업정보!$D$3:$R$3,0)),
"Error"))</f>
        <v>D0842</v>
      </c>
      <c r="M847" s="76" t="s">
        <v>96</v>
      </c>
      <c r="N847" s="77"/>
      <c r="O847" s="78" t="s">
        <v>97</v>
      </c>
      <c r="P847" s="79" t="n">
        <f aca="false">COUNTIFS(임대자산!$I:$I,가맹점정보!F847,임대자산!$N:$N,가맹점정보!P$4)</f>
        <v>0</v>
      </c>
      <c r="Q847" s="80" t="n">
        <f aca="false">COUNTIFS(임대자산!$I:$I,가맹점정보!F847,임대자산!$N:$N,가맹점정보!Q$4)</f>
        <v>1</v>
      </c>
      <c r="R847" s="81" t="n">
        <f aca="false">COUNTIFS(임대자산!$I:$I,가맹점정보!F847,임대자산!$N:$N,가맹점정보!R$4)</f>
        <v>0</v>
      </c>
      <c r="S847" s="82" t="n">
        <v>55000</v>
      </c>
      <c r="T847" s="83" t="n">
        <v>0</v>
      </c>
      <c r="U847" s="80" t="n">
        <f aca="false">SUM(S847:T847)</f>
        <v>55000</v>
      </c>
      <c r="V847" s="84" t="s">
        <v>12</v>
      </c>
      <c r="W847" s="80" t="e">
        <f aca="true">
IF(D847="폐업","폐업",
IF(V847="면제","면제",
IF(AND(V847="정상",COUNTIFS(OFFSET(Y847,0,COUNTA(Y847:AV847)-1,1,-4),"미납")&gt;=3),"장기미납",
IF(AND(V847="정상",OFFSET(Y847,0,COUNTA(Y847:AV847)-1)&gt;=U847),"정상",
IF(AND(V847="정상",OFFSET(Y847,0,COUNTA(Y847:AV847)-1)=0),"정상",
"계약서 미작성")))))</f>
        <v>#VALUE!</v>
      </c>
      <c r="X847" s="81" t="str">
        <f aca="true">
IF(D847="폐업","폐업",
IF(AND(V847="정상",OFFSET(Y847,0,COUNTA(Y847:AV847)-1)="미납"),"미납",
IF(AND(V847="정상",OFFSET(Y847,0,COUNTA(Y847:AV847)-1)=0),"납부 시작 전",
IF(AND(V847="정상",OFFSET(Y847,0,COUNTA(Y847:AV847)-1)&gt;=U847),"정상",
IF(AND(V847="면제",OFFSET(Y847,0,COUNTA(Y847:AV847)-1)="면제"),"면제",
IF(AND(V847="면제",OFFSET(Y847,0,COUNTA(Y847:AV847)-1)=0),"면제",
"확인요청"))))))</f>
        <v>정상</v>
      </c>
      <c r="Y847" s="93" t="n">
        <v>110000</v>
      </c>
      <c r="Z847" s="90" t="n">
        <v>55000</v>
      </c>
      <c r="AA847" s="90" t="n">
        <v>55000</v>
      </c>
      <c r="AB847" s="90" t="n">
        <v>55000</v>
      </c>
      <c r="AC847" s="90" t="n">
        <v>55000</v>
      </c>
      <c r="AD847" s="90" t="n">
        <v>55000</v>
      </c>
      <c r="AE847" s="90" t="n">
        <v>55000</v>
      </c>
      <c r="AF847" s="90" t="n">
        <v>55000</v>
      </c>
      <c r="AG847" s="90" t="n">
        <v>55000</v>
      </c>
      <c r="AH847" s="90" t="n">
        <v>55000</v>
      </c>
      <c r="AI847" s="90" t="n">
        <v>55000</v>
      </c>
      <c r="AJ847" s="91" t="n">
        <v>55000</v>
      </c>
      <c r="AK847" s="89" t="n">
        <v>55000</v>
      </c>
      <c r="AL847" s="90" t="n">
        <v>55000</v>
      </c>
      <c r="AM847" s="90"/>
      <c r="AN847" s="90"/>
      <c r="AO847" s="90"/>
      <c r="AP847" s="90"/>
      <c r="AQ847" s="90"/>
      <c r="AR847" s="90"/>
      <c r="AS847" s="90"/>
      <c r="AT847" s="90"/>
      <c r="AU847" s="90"/>
      <c r="AV847" s="91"/>
      <c r="AX847" s="92"/>
    </row>
    <row r="848" customFormat="false" ht="15.65" hidden="false" customHeight="false" outlineLevel="0" collapsed="false">
      <c r="C848" s="72" t="n">
        <f aca="false">COUNTIFS($D$6:D848,"&lt;&gt;"&amp;"")</f>
        <v>843</v>
      </c>
      <c r="D848" s="73" t="s">
        <v>12</v>
      </c>
      <c r="E848" s="76" t="str">
        <f aca="false">
IF($D848="정상",INDEX(임대자산!$D$3:$R$3000,MATCH($F848,임대자산!$I$3:$I$3000,0),MATCH(E$3,임대자산!$D$3:$R$3,0)),
IF($D848="폐업",INDEX(폐업정보!$D$3:$R$3000,MATCH($F848,폐업정보!$I$3:$I$3000,0),MATCH(E$3,폐업정보!$D$3:$R$3,0)),
"Error"))</f>
        <v>강원</v>
      </c>
      <c r="F84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B0843</v>
      </c>
      <c r="G848" s="76" t="str">
        <f aca="false">F848&amp;RANDBETWEEN(0,10)</f>
        <v>B08433</v>
      </c>
      <c r="H848" s="75" t="n">
        <f aca="false">
IF($D848="정상",INDEX(임대자산!$D$3:$R$3000,MATCH($F848,임대자산!$I$3:$I$3000,0),MATCH(H$4,임대자산!$D$3:$R$3,0)),
IF($D848="폐업",INDEX(폐업정보!$D$3:$R$3000,MATCH($F848,폐업정보!$I$3:$I$3000,0),MATCH(H$4,폐업정보!$D$3:$R$3,0)),
"Error"))</f>
        <v>45776</v>
      </c>
      <c r="I848" s="75" t="str">
        <f aca="false">
IF($D848="정상",INDEX(임대자산!$D$3:$R$3000,MATCH($F848,임대자산!$I$3:$I$3000,0),MATCH(I$4,임대자산!$D$3:$R$3,0)),
IF($D848="폐업",INDEX(폐업정보!$D$3:$R$3000,MATCH($F848,폐업정보!$I$3:$I$3000,0),MATCH(I$4,폐업정보!$D$3:$R$3,0)),
"Error"))</f>
        <v>A0843</v>
      </c>
      <c r="J848" s="75" t="str">
        <f aca="false">
IF($D848="정상",INDEX(임대자산!$D$3:$R$3000,MATCH($F848,임대자산!$I$3:$I$3000,0),MATCH(J$4,임대자산!$D$3:$R$3,0)),
IF($D848="폐업",INDEX(폐업정보!$D$3:$R$3000,MATCH($F848,폐업정보!$I$3:$I$3000,0),MATCH(J$4,폐업정보!$D$3:$R$3,0)),
"Error"))</f>
        <v>7924600000</v>
      </c>
      <c r="K848" s="75" t="str">
        <f aca="false">
IF($D848="정상",INDEX(임대자산!$D$3:$R$3000,MATCH($F848,임대자산!$I$3:$I$3000,0),MATCH(K$4,임대자산!$D$3:$R$3,0)),
IF($D848="폐업",INDEX(폐업정보!$D$3:$R$3000,MATCH($F848,폐업정보!$I$3:$I$3000,0),MATCH(K$4,폐업정보!$D$3:$R$3,0)),
"Error"))</f>
        <v>C0843</v>
      </c>
      <c r="L848" s="75" t="str">
        <f aca="false">
IF($D848="정상",INDEX(임대자산!$D$3:$R$3000,MATCH($F848,임대자산!$I$3:$I$3000,0),MATCH(L$4,임대자산!$D$3:$R$3,0)),
IF($D848="폐업",INDEX(폐업정보!$D$3:$R$3000,MATCH($F848,폐업정보!$I$3:$I$3000,0),MATCH(L$4,폐업정보!$D$3:$R$3,0)),
"Error"))</f>
        <v>D0843</v>
      </c>
      <c r="M848" s="76" t="s">
        <v>96</v>
      </c>
      <c r="N848" s="77"/>
      <c r="O848" s="78" t="s">
        <v>97</v>
      </c>
      <c r="P848" s="79" t="n">
        <f aca="false">COUNTIFS(임대자산!$I:$I,가맹점정보!F848,임대자산!$N:$N,가맹점정보!P$4)</f>
        <v>0</v>
      </c>
      <c r="Q848" s="80" t="n">
        <f aca="false">COUNTIFS(임대자산!$I:$I,가맹점정보!F848,임대자산!$N:$N,가맹점정보!Q$4)</f>
        <v>1</v>
      </c>
      <c r="R848" s="81" t="n">
        <f aca="false">COUNTIFS(임대자산!$I:$I,가맹점정보!F848,임대자산!$N:$N,가맹점정보!R$4)</f>
        <v>0</v>
      </c>
      <c r="S848" s="82" t="n">
        <v>55000</v>
      </c>
      <c r="T848" s="83" t="n">
        <v>0</v>
      </c>
      <c r="U848" s="80" t="n">
        <f aca="false">SUM(S848:T848)</f>
        <v>55000</v>
      </c>
      <c r="V848" s="84" t="s">
        <v>12</v>
      </c>
      <c r="W848" s="80" t="e">
        <f aca="true">
IF(D848="폐업","폐업",
IF(V848="면제","면제",
IF(AND(V848="정상",COUNTIFS(OFFSET(Y848,0,COUNTA(Y848:AV848)-1,1,-4),"미납")&gt;=3),"장기미납",
IF(AND(V848="정상",OFFSET(Y848,0,COUNTA(Y848:AV848)-1)&gt;=U848),"정상",
IF(AND(V848="정상",OFFSET(Y848,0,COUNTA(Y848:AV848)-1)=0),"정상",
"계약서 미작성")))))</f>
        <v>#VALUE!</v>
      </c>
      <c r="X848" s="81" t="str">
        <f aca="true">
IF(D848="폐업","폐업",
IF(AND(V848="정상",OFFSET(Y848,0,COUNTA(Y848:AV848)-1)="미납"),"미납",
IF(AND(V848="정상",OFFSET(Y848,0,COUNTA(Y848:AV848)-1)=0),"납부 시작 전",
IF(AND(V848="정상",OFFSET(Y848,0,COUNTA(Y848:AV848)-1)&gt;=U848),"정상",
IF(AND(V848="면제",OFFSET(Y848,0,COUNTA(Y848:AV848)-1)="면제"),"면제",
IF(AND(V848="면제",OFFSET(Y848,0,COUNTA(Y848:AV848)-1)=0),"면제",
"확인요청"))))))</f>
        <v>정상</v>
      </c>
      <c r="Y848" s="93" t="n">
        <v>55000</v>
      </c>
      <c r="Z848" s="90" t="n">
        <v>55000</v>
      </c>
      <c r="AA848" s="90" t="n">
        <v>55000</v>
      </c>
      <c r="AB848" s="90" t="n">
        <v>55000</v>
      </c>
      <c r="AC848" s="90" t="n">
        <v>55000</v>
      </c>
      <c r="AD848" s="90" t="n">
        <v>55000</v>
      </c>
      <c r="AE848" s="90" t="n">
        <v>55000</v>
      </c>
      <c r="AF848" s="90" t="n">
        <v>55000</v>
      </c>
      <c r="AG848" s="90" t="n">
        <v>55000</v>
      </c>
      <c r="AH848" s="90" t="n">
        <v>55000</v>
      </c>
      <c r="AI848" s="90" t="n">
        <v>55000</v>
      </c>
      <c r="AJ848" s="91" t="n">
        <v>55000</v>
      </c>
      <c r="AK848" s="89" t="n">
        <v>55000</v>
      </c>
      <c r="AL848" s="90" t="n">
        <v>55000</v>
      </c>
      <c r="AM848" s="90"/>
      <c r="AN848" s="90"/>
      <c r="AO848" s="90"/>
      <c r="AP848" s="90"/>
      <c r="AQ848" s="90"/>
      <c r="AR848" s="90"/>
      <c r="AS848" s="90"/>
      <c r="AT848" s="90"/>
      <c r="AU848" s="90"/>
      <c r="AV848" s="91"/>
      <c r="AX848" s="92"/>
    </row>
    <row r="849" customFormat="false" ht="15.65" hidden="false" customHeight="false" outlineLevel="0" collapsed="false">
      <c r="C849" s="72" t="n">
        <f aca="false">COUNTIFS($D$6:D849,"&lt;&gt;"&amp;"")</f>
        <v>844</v>
      </c>
      <c r="D849" s="73" t="s">
        <v>12</v>
      </c>
      <c r="E849" s="76" t="str">
        <f aca="false">
IF($D849="정상",INDEX(임대자산!$D$3:$R$3000,MATCH($F849,임대자산!$I$3:$I$3000,0),MATCH(E$3,임대자산!$D$3:$R$3,0)),
IF($D849="폐업",INDEX(폐업정보!$D$3:$R$3000,MATCH($F849,폐업정보!$I$3:$I$3000,0),MATCH(E$3,폐업정보!$D$3:$R$3,0)),
"Error"))</f>
        <v>서울</v>
      </c>
      <c r="F84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B0844</v>
      </c>
      <c r="G849" s="76" t="str">
        <f aca="false">F849&amp;RANDBETWEEN(0,10)</f>
        <v>B08446</v>
      </c>
      <c r="H849" s="75" t="n">
        <f aca="false">
IF($D849="정상",INDEX(임대자산!$D$3:$R$3000,MATCH($F849,임대자산!$I$3:$I$3000,0),MATCH(H$4,임대자산!$D$3:$R$3,0)),
IF($D849="폐업",INDEX(폐업정보!$D$3:$R$3000,MATCH($F849,폐업정보!$I$3:$I$3000,0),MATCH(H$4,폐업정보!$D$3:$R$3,0)),
"Error"))</f>
        <v>45992</v>
      </c>
      <c r="I849" s="75" t="str">
        <f aca="false">
IF($D849="정상",INDEX(임대자산!$D$3:$R$3000,MATCH($F849,임대자산!$I$3:$I$3000,0),MATCH(I$4,임대자산!$D$3:$R$3,0)),
IF($D849="폐업",INDEX(폐업정보!$D$3:$R$3000,MATCH($F849,폐업정보!$I$3:$I$3000,0),MATCH(I$4,폐업정보!$D$3:$R$3,0)),
"Error"))</f>
        <v>A0844</v>
      </c>
      <c r="J849" s="75" t="str">
        <f aca="false">
IF($D849="정상",INDEX(임대자산!$D$3:$R$3000,MATCH($F849,임대자산!$I$3:$I$3000,0),MATCH(J$4,임대자산!$D$3:$R$3,0)),
IF($D849="폐업",INDEX(폐업정보!$D$3:$R$3000,MATCH($F849,폐업정보!$I$3:$I$3000,0),MATCH(J$4,폐업정보!$D$3:$R$3,0)),
"Error"))</f>
        <v>2479000000</v>
      </c>
      <c r="K849" s="75" t="str">
        <f aca="false">
IF($D849="정상",INDEX(임대자산!$D$3:$R$3000,MATCH($F849,임대자산!$I$3:$I$3000,0),MATCH(K$4,임대자산!$D$3:$R$3,0)),
IF($D849="폐업",INDEX(폐업정보!$D$3:$R$3000,MATCH($F849,폐업정보!$I$3:$I$3000,0),MATCH(K$4,폐업정보!$D$3:$R$3,0)),
"Error"))</f>
        <v>C0844</v>
      </c>
      <c r="L849" s="75" t="str">
        <f aca="false">
IF($D849="정상",INDEX(임대자산!$D$3:$R$3000,MATCH($F849,임대자산!$I$3:$I$3000,0),MATCH(L$4,임대자산!$D$3:$R$3,0)),
IF($D849="폐업",INDEX(폐업정보!$D$3:$R$3000,MATCH($F849,폐업정보!$I$3:$I$3000,0),MATCH(L$4,폐업정보!$D$3:$R$3,0)),
"Error"))</f>
        <v>D0844</v>
      </c>
      <c r="M849" s="76" t="s">
        <v>96</v>
      </c>
      <c r="N849" s="77"/>
      <c r="O849" s="78" t="s">
        <v>97</v>
      </c>
      <c r="P849" s="79" t="n">
        <f aca="false">COUNTIFS(임대자산!$I:$I,가맹점정보!F849,임대자산!$N:$N,가맹점정보!P$4)</f>
        <v>0</v>
      </c>
      <c r="Q849" s="80" t="n">
        <f aca="false">COUNTIFS(임대자산!$I:$I,가맹점정보!F849,임대자산!$N:$N,가맹점정보!Q$4)</f>
        <v>1</v>
      </c>
      <c r="R849" s="81" t="n">
        <f aca="false">COUNTIFS(임대자산!$I:$I,가맹점정보!F849,임대자산!$N:$N,가맹점정보!R$4)</f>
        <v>0</v>
      </c>
      <c r="S849" s="82" t="n">
        <v>33000</v>
      </c>
      <c r="T849" s="83" t="n">
        <v>33000</v>
      </c>
      <c r="U849" s="80" t="n">
        <f aca="false">SUM(S849:T849)</f>
        <v>66000</v>
      </c>
      <c r="V849" s="84" t="s">
        <v>12</v>
      </c>
      <c r="W849" s="80" t="e">
        <f aca="true">
IF(D849="폐업","폐업",
IF(V849="면제","면제",
IF(AND(V849="정상",COUNTIFS(OFFSET(Y849,0,COUNTA(Y849:AV849)-1,1,-4),"미납")&gt;=3),"장기미납",
IF(AND(V849="정상",OFFSET(Y849,0,COUNTA(Y849:AV849)-1)&gt;=U849),"정상",
IF(AND(V849="정상",OFFSET(Y849,0,COUNTA(Y849:AV849)-1)=0),"정상",
"계약서 미작성")))))</f>
        <v>#VALUE!</v>
      </c>
      <c r="X849" s="81" t="str">
        <f aca="true">
IF(D849="폐업","폐업",
IF(AND(V849="정상",OFFSET(Y849,0,COUNTA(Y849:AV849)-1)="미납"),"미납",
IF(AND(V849="정상",OFFSET(Y849,0,COUNTA(Y849:AV849)-1)=0),"납부 시작 전",
IF(AND(V849="정상",OFFSET(Y849,0,COUNTA(Y849:AV849)-1)&gt;=U849),"정상",
IF(AND(V849="면제",OFFSET(Y849,0,COUNTA(Y849:AV849)-1)="면제"),"면제",
IF(AND(V849="면제",OFFSET(Y849,0,COUNTA(Y849:AV849)-1)=0),"면제",
"확인요청"))))))</f>
        <v>정상</v>
      </c>
      <c r="Y849" s="93" t="n">
        <v>66000</v>
      </c>
      <c r="Z849" s="90" t="n">
        <v>66000</v>
      </c>
      <c r="AA849" s="90" t="n">
        <v>66000</v>
      </c>
      <c r="AB849" s="90" t="n">
        <v>66000</v>
      </c>
      <c r="AC849" s="90" t="n">
        <v>66000</v>
      </c>
      <c r="AD849" s="95" t="s">
        <v>62</v>
      </c>
      <c r="AE849" s="95" t="s">
        <v>62</v>
      </c>
      <c r="AF849" s="95" t="s">
        <v>62</v>
      </c>
      <c r="AG849" s="95" t="s">
        <v>62</v>
      </c>
      <c r="AH849" s="90" t="n">
        <v>66000</v>
      </c>
      <c r="AI849" s="90" t="n">
        <v>66000</v>
      </c>
      <c r="AJ849" s="91" t="n">
        <v>66000</v>
      </c>
      <c r="AK849" s="89" t="n">
        <v>66000</v>
      </c>
      <c r="AL849" s="90" t="n">
        <v>66000</v>
      </c>
      <c r="AM849" s="90"/>
      <c r="AN849" s="90"/>
      <c r="AO849" s="90"/>
      <c r="AP849" s="90"/>
      <c r="AQ849" s="90"/>
      <c r="AR849" s="90"/>
      <c r="AS849" s="90"/>
      <c r="AT849" s="90"/>
      <c r="AU849" s="90"/>
      <c r="AV849" s="91"/>
      <c r="AX849" s="92"/>
    </row>
    <row r="850" customFormat="false" ht="15.65" hidden="false" customHeight="false" outlineLevel="0" collapsed="false">
      <c r="C850" s="72" t="n">
        <f aca="false">COUNTIFS($D$6:D850,"&lt;&gt;"&amp;"")</f>
        <v>845</v>
      </c>
      <c r="D850" s="73" t="s">
        <v>12</v>
      </c>
      <c r="E850" s="76" t="str">
        <f aca="false">
IF($D850="정상",INDEX(임대자산!$D$3:$R$3000,MATCH($F850,임대자산!$I$3:$I$3000,0),MATCH(E$3,임대자산!$D$3:$R$3,0)),
IF($D850="폐업",INDEX(폐업정보!$D$3:$R$3000,MATCH($F850,폐업정보!$I$3:$I$3000,0),MATCH(E$3,폐업정보!$D$3:$R$3,0)),
"Error"))</f>
        <v>강원</v>
      </c>
      <c r="F85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B0845</v>
      </c>
      <c r="G850" s="76" t="str">
        <f aca="false">F850&amp;RANDBETWEEN(0,10)</f>
        <v>B08454</v>
      </c>
      <c r="H850" s="75" t="n">
        <f aca="false">
IF($D850="정상",INDEX(임대자산!$D$3:$R$3000,MATCH($F850,임대자산!$I$3:$I$3000,0),MATCH(H$4,임대자산!$D$3:$R$3,0)),
IF($D850="폐업",INDEX(폐업정보!$D$3:$R$3000,MATCH($F850,폐업정보!$I$3:$I$3000,0),MATCH(H$4,폐업정보!$D$3:$R$3,0)),
"Error"))</f>
        <v>45827</v>
      </c>
      <c r="I850" s="75" t="str">
        <f aca="false">
IF($D850="정상",INDEX(임대자산!$D$3:$R$3000,MATCH($F850,임대자산!$I$3:$I$3000,0),MATCH(I$4,임대자산!$D$3:$R$3,0)),
IF($D850="폐업",INDEX(폐업정보!$D$3:$R$3000,MATCH($F850,폐업정보!$I$3:$I$3000,0),MATCH(I$4,폐업정보!$D$3:$R$3,0)),
"Error"))</f>
        <v>A0845</v>
      </c>
      <c r="J850" s="75" t="str">
        <f aca="false">
IF($D850="정상",INDEX(임대자산!$D$3:$R$3000,MATCH($F850,임대자산!$I$3:$I$3000,0),MATCH(J$4,임대자산!$D$3:$R$3,0)),
IF($D850="폐업",INDEX(폐업정보!$D$3:$R$3000,MATCH($F850,폐업정보!$I$3:$I$3000,0),MATCH(J$4,폐업정보!$D$3:$R$3,0)),
"Error"))</f>
        <v>1030300000</v>
      </c>
      <c r="K850" s="75" t="str">
        <f aca="false">
IF($D850="정상",INDEX(임대자산!$D$3:$R$3000,MATCH($F850,임대자산!$I$3:$I$3000,0),MATCH(K$4,임대자산!$D$3:$R$3,0)),
IF($D850="폐업",INDEX(폐업정보!$D$3:$R$3000,MATCH($F850,폐업정보!$I$3:$I$3000,0),MATCH(K$4,폐업정보!$D$3:$R$3,0)),
"Error"))</f>
        <v>C0845</v>
      </c>
      <c r="L850" s="75" t="str">
        <f aca="false">
IF($D850="정상",INDEX(임대자산!$D$3:$R$3000,MATCH($F850,임대자산!$I$3:$I$3000,0),MATCH(L$4,임대자산!$D$3:$R$3,0)),
IF($D850="폐업",INDEX(폐업정보!$D$3:$R$3000,MATCH($F850,폐업정보!$I$3:$I$3000,0),MATCH(L$4,폐업정보!$D$3:$R$3,0)),
"Error"))</f>
        <v>D0845</v>
      </c>
      <c r="M850" s="76" t="s">
        <v>96</v>
      </c>
      <c r="N850" s="77"/>
      <c r="O850" s="78" t="s">
        <v>97</v>
      </c>
      <c r="P850" s="79" t="n">
        <f aca="false">COUNTIFS(임대자산!$I:$I,가맹점정보!F850,임대자산!$N:$N,가맹점정보!P$4)</f>
        <v>0</v>
      </c>
      <c r="Q850" s="80" t="n">
        <f aca="false">COUNTIFS(임대자산!$I:$I,가맹점정보!F850,임대자산!$N:$N,가맹점정보!Q$4)</f>
        <v>1</v>
      </c>
      <c r="R850" s="81" t="n">
        <f aca="false">COUNTIFS(임대자산!$I:$I,가맹점정보!F850,임대자산!$N:$N,가맹점정보!R$4)</f>
        <v>0</v>
      </c>
      <c r="S850" s="82" t="n">
        <v>55000</v>
      </c>
      <c r="T850" s="83" t="n">
        <v>0</v>
      </c>
      <c r="U850" s="80" t="n">
        <f aca="false">SUM(S850:T850)</f>
        <v>55000</v>
      </c>
      <c r="V850" s="84" t="s">
        <v>12</v>
      </c>
      <c r="W850" s="80" t="e">
        <f aca="true">
IF(D850="폐업","폐업",
IF(V850="면제","면제",
IF(AND(V850="정상",COUNTIFS(OFFSET(Y850,0,COUNTA(Y850:AV850)-1,1,-4),"미납")&gt;=3),"장기미납",
IF(AND(V850="정상",OFFSET(Y850,0,COUNTA(Y850:AV850)-1)&gt;=U850),"정상",
IF(AND(V850="정상",OFFSET(Y850,0,COUNTA(Y850:AV850)-1)=0),"정상",
"계약서 미작성")))))</f>
        <v>#VALUE!</v>
      </c>
      <c r="X850" s="81" t="str">
        <f aca="true">
IF(D850="폐업","폐업",
IF(AND(V850="정상",OFFSET(Y850,0,COUNTA(Y850:AV850)-1)="미납"),"미납",
IF(AND(V850="정상",OFFSET(Y850,0,COUNTA(Y850:AV850)-1)=0),"납부 시작 전",
IF(AND(V850="정상",OFFSET(Y850,0,COUNTA(Y850:AV850)-1)&gt;=U850),"정상",
IF(AND(V850="면제",OFFSET(Y850,0,COUNTA(Y850:AV850)-1)="면제"),"면제",
IF(AND(V850="면제",OFFSET(Y850,0,COUNTA(Y850:AV850)-1)=0),"면제",
"확인요청"))))))</f>
        <v>정상</v>
      </c>
      <c r="Y850" s="93" t="n">
        <v>55000</v>
      </c>
      <c r="Z850" s="90" t="n">
        <v>55000</v>
      </c>
      <c r="AA850" s="90" t="n">
        <v>55000</v>
      </c>
      <c r="AB850" s="90" t="n">
        <v>55000</v>
      </c>
      <c r="AC850" s="90" t="n">
        <v>55000</v>
      </c>
      <c r="AD850" s="90" t="n">
        <v>55000</v>
      </c>
      <c r="AE850" s="90" t="n">
        <v>55000</v>
      </c>
      <c r="AF850" s="90" t="n">
        <v>55000</v>
      </c>
      <c r="AG850" s="90" t="n">
        <v>55000</v>
      </c>
      <c r="AH850" s="90" t="n">
        <v>55000</v>
      </c>
      <c r="AI850" s="90" t="n">
        <v>55000</v>
      </c>
      <c r="AJ850" s="91" t="n">
        <v>55000</v>
      </c>
      <c r="AK850" s="89" t="n">
        <v>55000</v>
      </c>
      <c r="AL850" s="90" t="n">
        <v>55000</v>
      </c>
      <c r="AM850" s="90"/>
      <c r="AN850" s="90"/>
      <c r="AO850" s="90"/>
      <c r="AP850" s="90"/>
      <c r="AQ850" s="90"/>
      <c r="AR850" s="90"/>
      <c r="AS850" s="90"/>
      <c r="AT850" s="90"/>
      <c r="AU850" s="90"/>
      <c r="AV850" s="91"/>
      <c r="AX850" s="92"/>
    </row>
    <row r="851" customFormat="false" ht="15.65" hidden="false" customHeight="false" outlineLevel="0" collapsed="false">
      <c r="C851" s="72" t="n">
        <f aca="false">COUNTIFS($D$6:D851,"&lt;&gt;"&amp;"")</f>
        <v>846</v>
      </c>
      <c r="D851" s="73" t="s">
        <v>12</v>
      </c>
      <c r="E851" s="76" t="str">
        <f aca="false">
IF($D851="정상",INDEX(임대자산!$D$3:$R$3000,MATCH($F851,임대자산!$I$3:$I$3000,0),MATCH(E$3,임대자산!$D$3:$R$3,0)),
IF($D851="폐업",INDEX(폐업정보!$D$3:$R$3000,MATCH($F851,폐업정보!$I$3:$I$3000,0),MATCH(E$3,폐업정보!$D$3:$R$3,0)),
"Error"))</f>
        <v>경상</v>
      </c>
      <c r="F85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B0846</v>
      </c>
      <c r="G851" s="76" t="str">
        <f aca="false">F851&amp;RANDBETWEEN(0,10)</f>
        <v>B08469</v>
      </c>
      <c r="H851" s="75" t="n">
        <f aca="false">
IF($D851="정상",INDEX(임대자산!$D$3:$R$3000,MATCH($F851,임대자산!$I$3:$I$3000,0),MATCH(H$4,임대자산!$D$3:$R$3,0)),
IF($D851="폐업",INDEX(폐업정보!$D$3:$R$3000,MATCH($F851,폐업정보!$I$3:$I$3000,0),MATCH(H$4,폐업정보!$D$3:$R$3,0)),
"Error"))</f>
        <v>44222</v>
      </c>
      <c r="I851" s="75" t="str">
        <f aca="false">
IF($D851="정상",INDEX(임대자산!$D$3:$R$3000,MATCH($F851,임대자산!$I$3:$I$3000,0),MATCH(I$4,임대자산!$D$3:$R$3,0)),
IF($D851="폐업",INDEX(폐업정보!$D$3:$R$3000,MATCH($F851,폐업정보!$I$3:$I$3000,0),MATCH(I$4,폐업정보!$D$3:$R$3,0)),
"Error"))</f>
        <v>A0846</v>
      </c>
      <c r="J851" s="75" t="str">
        <f aca="false">
IF($D851="정상",INDEX(임대자산!$D$3:$R$3000,MATCH($F851,임대자산!$I$3:$I$3000,0),MATCH(J$4,임대자산!$D$3:$R$3,0)),
IF($D851="폐업",INDEX(폐업정보!$D$3:$R$3000,MATCH($F851,폐업정보!$I$3:$I$3000,0),MATCH(J$4,폐업정보!$D$3:$R$3,0)),
"Error"))</f>
        <v>4504000000</v>
      </c>
      <c r="K851" s="75" t="str">
        <f aca="false">
IF($D851="정상",INDEX(임대자산!$D$3:$R$3000,MATCH($F851,임대자산!$I$3:$I$3000,0),MATCH(K$4,임대자산!$D$3:$R$3,0)),
IF($D851="폐업",INDEX(폐업정보!$D$3:$R$3000,MATCH($F851,폐업정보!$I$3:$I$3000,0),MATCH(K$4,폐업정보!$D$3:$R$3,0)),
"Error"))</f>
        <v>C0846</v>
      </c>
      <c r="L851" s="75" t="str">
        <f aca="false">
IF($D851="정상",INDEX(임대자산!$D$3:$R$3000,MATCH($F851,임대자산!$I$3:$I$3000,0),MATCH(L$4,임대자산!$D$3:$R$3,0)),
IF($D851="폐업",INDEX(폐업정보!$D$3:$R$3000,MATCH($F851,폐업정보!$I$3:$I$3000,0),MATCH(L$4,폐업정보!$D$3:$R$3,0)),
"Error"))</f>
        <v>D0846</v>
      </c>
      <c r="M851" s="76" t="s">
        <v>96</v>
      </c>
      <c r="N851" s="77"/>
      <c r="O851" s="78" t="s">
        <v>97</v>
      </c>
      <c r="P851" s="79" t="n">
        <f aca="false">COUNTIFS(임대자산!$I:$I,가맹점정보!F851,임대자산!$N:$N,가맹점정보!P$4)</f>
        <v>0</v>
      </c>
      <c r="Q851" s="80" t="n">
        <f aca="false">COUNTIFS(임대자산!$I:$I,가맹점정보!F851,임대자산!$N:$N,가맹점정보!Q$4)</f>
        <v>1</v>
      </c>
      <c r="R851" s="81" t="n">
        <f aca="false">COUNTIFS(임대자산!$I:$I,가맹점정보!F851,임대자산!$N:$N,가맹점정보!R$4)</f>
        <v>0</v>
      </c>
      <c r="S851" s="82" t="n">
        <v>55000</v>
      </c>
      <c r="T851" s="83" t="n">
        <v>0</v>
      </c>
      <c r="U851" s="80" t="n">
        <f aca="false">SUM(S851:T851)</f>
        <v>55000</v>
      </c>
      <c r="V851" s="84" t="s">
        <v>12</v>
      </c>
      <c r="W851" s="80" t="e">
        <f aca="true">
IF(D851="폐업","폐업",
IF(V851="면제","면제",
IF(AND(V851="정상",COUNTIFS(OFFSET(Y851,0,COUNTA(Y851:AV851)-1,1,-4),"미납")&gt;=3),"장기미납",
IF(AND(V851="정상",OFFSET(Y851,0,COUNTA(Y851:AV851)-1)&gt;=U851),"정상",
IF(AND(V851="정상",OFFSET(Y851,0,COUNTA(Y851:AV851)-1)=0),"정상",
"계약서 미작성")))))</f>
        <v>#VALUE!</v>
      </c>
      <c r="X851" s="81" t="str">
        <f aca="true">
IF(D851="폐업","폐업",
IF(AND(V851="정상",OFFSET(Y851,0,COUNTA(Y851:AV851)-1)="미납"),"미납",
IF(AND(V851="정상",OFFSET(Y851,0,COUNTA(Y851:AV851)-1)=0),"납부 시작 전",
IF(AND(V851="정상",OFFSET(Y851,0,COUNTA(Y851:AV851)-1)&gt;=U851),"정상",
IF(AND(V851="면제",OFFSET(Y851,0,COUNTA(Y851:AV851)-1)="면제"),"면제",
IF(AND(V851="면제",OFFSET(Y851,0,COUNTA(Y851:AV851)-1)=0),"면제",
"확인요청"))))))</f>
        <v>정상</v>
      </c>
      <c r="Y851" s="93" t="n">
        <v>55000</v>
      </c>
      <c r="Z851" s="90" t="n">
        <v>55000</v>
      </c>
      <c r="AA851" s="90" t="n">
        <v>55000</v>
      </c>
      <c r="AB851" s="90" t="n">
        <v>55000</v>
      </c>
      <c r="AC851" s="90" t="n">
        <v>55000</v>
      </c>
      <c r="AD851" s="90" t="n">
        <v>55000</v>
      </c>
      <c r="AE851" s="90" t="n">
        <v>55000</v>
      </c>
      <c r="AF851" s="90" t="n">
        <v>55000</v>
      </c>
      <c r="AG851" s="90" t="n">
        <v>55000</v>
      </c>
      <c r="AH851" s="90" t="n">
        <v>55000</v>
      </c>
      <c r="AI851" s="90" t="n">
        <v>55000</v>
      </c>
      <c r="AJ851" s="91" t="n">
        <v>55000</v>
      </c>
      <c r="AK851" s="89" t="n">
        <v>55000</v>
      </c>
      <c r="AL851" s="90" t="n">
        <v>55000</v>
      </c>
      <c r="AM851" s="90"/>
      <c r="AN851" s="90"/>
      <c r="AO851" s="90"/>
      <c r="AP851" s="90"/>
      <c r="AQ851" s="90"/>
      <c r="AR851" s="90"/>
      <c r="AS851" s="90"/>
      <c r="AT851" s="90"/>
      <c r="AU851" s="90"/>
      <c r="AV851" s="91"/>
      <c r="AX851" s="92"/>
    </row>
    <row r="852" customFormat="false" ht="15.65" hidden="false" customHeight="false" outlineLevel="0" collapsed="false">
      <c r="C852" s="72" t="n">
        <f aca="false">COUNTIFS($D$6:D852,"&lt;&gt;"&amp;"")</f>
        <v>847</v>
      </c>
      <c r="D852" s="73" t="s">
        <v>12</v>
      </c>
      <c r="E852" s="76" t="str">
        <f aca="false">
IF($D852="정상",INDEX(임대자산!$D$3:$R$3000,MATCH($F852,임대자산!$I$3:$I$3000,0),MATCH(E$3,임대자산!$D$3:$R$3,0)),
IF($D852="폐업",INDEX(폐업정보!$D$3:$R$3000,MATCH($F852,폐업정보!$I$3:$I$3000,0),MATCH(E$3,폐업정보!$D$3:$R$3,0)),
"Error"))</f>
        <v>서울</v>
      </c>
      <c r="F85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B0847</v>
      </c>
      <c r="G852" s="76" t="str">
        <f aca="false">F852&amp;RANDBETWEEN(0,10)</f>
        <v>B08479</v>
      </c>
      <c r="H852" s="75" t="n">
        <f aca="false">
IF($D852="정상",INDEX(임대자산!$D$3:$R$3000,MATCH($F852,임대자산!$I$3:$I$3000,0),MATCH(H$4,임대자산!$D$3:$R$3,0)),
IF($D852="폐업",INDEX(폐업정보!$D$3:$R$3000,MATCH($F852,폐업정보!$I$3:$I$3000,0),MATCH(H$4,폐업정보!$D$3:$R$3,0)),
"Error"))</f>
        <v>45833</v>
      </c>
      <c r="I852" s="75" t="str">
        <f aca="false">
IF($D852="정상",INDEX(임대자산!$D$3:$R$3000,MATCH($F852,임대자산!$I$3:$I$3000,0),MATCH(I$4,임대자산!$D$3:$R$3,0)),
IF($D852="폐업",INDEX(폐업정보!$D$3:$R$3000,MATCH($F852,폐업정보!$I$3:$I$3000,0),MATCH(I$4,폐업정보!$D$3:$R$3,0)),
"Error"))</f>
        <v>A0847</v>
      </c>
      <c r="J852" s="75" t="str">
        <f aca="false">
IF($D852="정상",INDEX(임대자산!$D$3:$R$3000,MATCH($F852,임대자산!$I$3:$I$3000,0),MATCH(J$4,임대자산!$D$3:$R$3,0)),
IF($D852="폐업",INDEX(폐업정보!$D$3:$R$3000,MATCH($F852,폐업정보!$I$3:$I$3000,0),MATCH(J$4,폐업정보!$D$3:$R$3,0)),
"Error"))</f>
        <v>5894300000</v>
      </c>
      <c r="K852" s="75" t="str">
        <f aca="false">
IF($D852="정상",INDEX(임대자산!$D$3:$R$3000,MATCH($F852,임대자산!$I$3:$I$3000,0),MATCH(K$4,임대자산!$D$3:$R$3,0)),
IF($D852="폐업",INDEX(폐업정보!$D$3:$R$3000,MATCH($F852,폐업정보!$I$3:$I$3000,0),MATCH(K$4,폐업정보!$D$3:$R$3,0)),
"Error"))</f>
        <v>C0847</v>
      </c>
      <c r="L852" s="75" t="str">
        <f aca="false">
IF($D852="정상",INDEX(임대자산!$D$3:$R$3000,MATCH($F852,임대자산!$I$3:$I$3000,0),MATCH(L$4,임대자산!$D$3:$R$3,0)),
IF($D852="폐업",INDEX(폐업정보!$D$3:$R$3000,MATCH($F852,폐업정보!$I$3:$I$3000,0),MATCH(L$4,폐업정보!$D$3:$R$3,0)),
"Error"))</f>
        <v>D0847</v>
      </c>
      <c r="M852" s="76" t="s">
        <v>96</v>
      </c>
      <c r="N852" s="77"/>
      <c r="O852" s="78" t="s">
        <v>97</v>
      </c>
      <c r="P852" s="79" t="n">
        <f aca="false">COUNTIFS(임대자산!$I:$I,가맹점정보!F852,임대자산!$N:$N,가맹점정보!P$4)</f>
        <v>0</v>
      </c>
      <c r="Q852" s="80" t="n">
        <f aca="false">COUNTIFS(임대자산!$I:$I,가맹점정보!F852,임대자산!$N:$N,가맹점정보!Q$4)</f>
        <v>1</v>
      </c>
      <c r="R852" s="81" t="n">
        <f aca="false">COUNTIFS(임대자산!$I:$I,가맹점정보!F852,임대자산!$N:$N,가맹점정보!R$4)</f>
        <v>0</v>
      </c>
      <c r="S852" s="82" t="n">
        <v>55000</v>
      </c>
      <c r="T852" s="83" t="n">
        <v>0</v>
      </c>
      <c r="U852" s="80" t="n">
        <f aca="false">SUM(S852:T852)</f>
        <v>55000</v>
      </c>
      <c r="V852" s="84" t="s">
        <v>12</v>
      </c>
      <c r="W852" s="80" t="e">
        <f aca="true">
IF(D852="폐업","폐업",
IF(V852="면제","면제",
IF(AND(V852="정상",COUNTIFS(OFFSET(Y852,0,COUNTA(Y852:AV852)-1,1,-4),"미납")&gt;=3),"장기미납",
IF(AND(V852="정상",OFFSET(Y852,0,COUNTA(Y852:AV852)-1)&gt;=U852),"정상",
IF(AND(V852="정상",OFFSET(Y852,0,COUNTA(Y852:AV852)-1)=0),"정상",
"계약서 미작성")))))</f>
        <v>#VALUE!</v>
      </c>
      <c r="X852" s="81" t="str">
        <f aca="true">
IF(D852="폐업","폐업",
IF(AND(V852="정상",OFFSET(Y852,0,COUNTA(Y852:AV852)-1)="미납"),"미납",
IF(AND(V852="정상",OFFSET(Y852,0,COUNTA(Y852:AV852)-1)=0),"납부 시작 전",
IF(AND(V852="정상",OFFSET(Y852,0,COUNTA(Y852:AV852)-1)&gt;=U852),"정상",
IF(AND(V852="면제",OFFSET(Y852,0,COUNTA(Y852:AV852)-1)="면제"),"면제",
IF(AND(V852="면제",OFFSET(Y852,0,COUNTA(Y852:AV852)-1)=0),"면제",
"확인요청"))))))</f>
        <v>정상</v>
      </c>
      <c r="Y852" s="93" t="n">
        <v>55000</v>
      </c>
      <c r="Z852" s="90" t="n">
        <v>55000</v>
      </c>
      <c r="AA852" s="90" t="n">
        <v>55000</v>
      </c>
      <c r="AB852" s="90" t="n">
        <v>55000</v>
      </c>
      <c r="AC852" s="90" t="n">
        <v>55000</v>
      </c>
      <c r="AD852" s="90" t="n">
        <v>55000</v>
      </c>
      <c r="AE852" s="90" t="n">
        <v>55000</v>
      </c>
      <c r="AF852" s="90" t="n">
        <v>55000</v>
      </c>
      <c r="AG852" s="90" t="n">
        <v>55000</v>
      </c>
      <c r="AH852" s="90" t="n">
        <v>55000</v>
      </c>
      <c r="AI852" s="90" t="n">
        <v>55000</v>
      </c>
      <c r="AJ852" s="91" t="n">
        <v>55000</v>
      </c>
      <c r="AK852" s="89" t="n">
        <v>55000</v>
      </c>
      <c r="AL852" s="90" t="n">
        <v>55000</v>
      </c>
      <c r="AM852" s="90"/>
      <c r="AN852" s="90"/>
      <c r="AO852" s="90"/>
      <c r="AP852" s="90"/>
      <c r="AQ852" s="90"/>
      <c r="AR852" s="90"/>
      <c r="AS852" s="90"/>
      <c r="AT852" s="90"/>
      <c r="AU852" s="90"/>
      <c r="AV852" s="91"/>
      <c r="AX852" s="92"/>
    </row>
    <row r="853" customFormat="false" ht="15.65" hidden="false" customHeight="false" outlineLevel="0" collapsed="false">
      <c r="C853" s="72" t="n">
        <f aca="false">COUNTIFS($D$6:D853,"&lt;&gt;"&amp;"")</f>
        <v>848</v>
      </c>
      <c r="D853" s="73" t="s">
        <v>12</v>
      </c>
      <c r="E853" s="76" t="str">
        <f aca="false">
IF($D853="정상",INDEX(임대자산!$D$3:$R$3000,MATCH($F853,임대자산!$I$3:$I$3000,0),MATCH(E$3,임대자산!$D$3:$R$3,0)),
IF($D853="폐업",INDEX(폐업정보!$D$3:$R$3000,MATCH($F853,폐업정보!$I$3:$I$3000,0),MATCH(E$3,폐업정보!$D$3:$R$3,0)),
"Error"))</f>
        <v>강원</v>
      </c>
      <c r="F85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B0848</v>
      </c>
      <c r="G853" s="76" t="str">
        <f aca="false">F853&amp;RANDBETWEEN(0,10)</f>
        <v>B08483</v>
      </c>
      <c r="H853" s="75" t="n">
        <f aca="false">
IF($D853="정상",INDEX(임대자산!$D$3:$R$3000,MATCH($F853,임대자산!$I$3:$I$3000,0),MATCH(H$4,임대자산!$D$3:$R$3,0)),
IF($D853="폐업",INDEX(폐업정보!$D$3:$R$3000,MATCH($F853,폐업정보!$I$3:$I$3000,0),MATCH(H$4,폐업정보!$D$3:$R$3,0)),
"Error"))</f>
        <v>45849</v>
      </c>
      <c r="I853" s="75" t="str">
        <f aca="false">
IF($D853="정상",INDEX(임대자산!$D$3:$R$3000,MATCH($F853,임대자산!$I$3:$I$3000,0),MATCH(I$4,임대자산!$D$3:$R$3,0)),
IF($D853="폐업",INDEX(폐업정보!$D$3:$R$3000,MATCH($F853,폐업정보!$I$3:$I$3000,0),MATCH(I$4,폐업정보!$D$3:$R$3,0)),
"Error"))</f>
        <v>A0848</v>
      </c>
      <c r="J853" s="75" t="str">
        <f aca="false">
IF($D853="정상",INDEX(임대자산!$D$3:$R$3000,MATCH($F853,임대자산!$I$3:$I$3000,0),MATCH(J$4,임대자산!$D$3:$R$3,0)),
IF($D853="폐업",INDEX(폐업정보!$D$3:$R$3000,MATCH($F853,폐업정보!$I$3:$I$3000,0),MATCH(J$4,폐업정보!$D$3:$R$3,0)),
"Error"))</f>
        <v>2642300000</v>
      </c>
      <c r="K853" s="75" t="str">
        <f aca="false">
IF($D853="정상",INDEX(임대자산!$D$3:$R$3000,MATCH($F853,임대자산!$I$3:$I$3000,0),MATCH(K$4,임대자산!$D$3:$R$3,0)),
IF($D853="폐업",INDEX(폐업정보!$D$3:$R$3000,MATCH($F853,폐업정보!$I$3:$I$3000,0),MATCH(K$4,폐업정보!$D$3:$R$3,0)),
"Error"))</f>
        <v>C0848</v>
      </c>
      <c r="L853" s="75" t="str">
        <f aca="false">
IF($D853="정상",INDEX(임대자산!$D$3:$R$3000,MATCH($F853,임대자산!$I$3:$I$3000,0),MATCH(L$4,임대자산!$D$3:$R$3,0)),
IF($D853="폐업",INDEX(폐업정보!$D$3:$R$3000,MATCH($F853,폐업정보!$I$3:$I$3000,0),MATCH(L$4,폐업정보!$D$3:$R$3,0)),
"Error"))</f>
        <v>D0848</v>
      </c>
      <c r="M853" s="76" t="s">
        <v>96</v>
      </c>
      <c r="N853" s="77"/>
      <c r="O853" s="78" t="s">
        <v>97</v>
      </c>
      <c r="P853" s="79" t="n">
        <f aca="false">COUNTIFS(임대자산!$I:$I,가맹점정보!F853,임대자산!$N:$N,가맹점정보!P$4)</f>
        <v>0</v>
      </c>
      <c r="Q853" s="80" t="n">
        <f aca="false">COUNTIFS(임대자산!$I:$I,가맹점정보!F853,임대자산!$N:$N,가맹점정보!Q$4)</f>
        <v>1</v>
      </c>
      <c r="R853" s="81" t="n">
        <f aca="false">COUNTIFS(임대자산!$I:$I,가맹점정보!F853,임대자산!$N:$N,가맹점정보!R$4)</f>
        <v>0</v>
      </c>
      <c r="S853" s="82" t="n">
        <v>55000</v>
      </c>
      <c r="T853" s="83" t="n">
        <v>0</v>
      </c>
      <c r="U853" s="80" t="n">
        <f aca="false">SUM(S853:T853)</f>
        <v>55000</v>
      </c>
      <c r="V853" s="84" t="s">
        <v>12</v>
      </c>
      <c r="W853" s="80" t="e">
        <f aca="true">
IF(D853="폐업","폐업",
IF(V853="면제","면제",
IF(AND(V853="정상",COUNTIFS(OFFSET(Y853,0,COUNTA(Y853:AV853)-1,1,-4),"미납")&gt;=3),"장기미납",
IF(AND(V853="정상",OFFSET(Y853,0,COUNTA(Y853:AV853)-1)&gt;=U853),"정상",
IF(AND(V853="정상",OFFSET(Y853,0,COUNTA(Y853:AV853)-1)=0),"정상",
"계약서 미작성")))))</f>
        <v>#VALUE!</v>
      </c>
      <c r="X853" s="81" t="str">
        <f aca="true">
IF(D853="폐업","폐업",
IF(AND(V853="정상",OFFSET(Y853,0,COUNTA(Y853:AV853)-1)="미납"),"미납",
IF(AND(V853="정상",OFFSET(Y853,0,COUNTA(Y853:AV853)-1)=0),"납부 시작 전",
IF(AND(V853="정상",OFFSET(Y853,0,COUNTA(Y853:AV853)-1)&gt;=U853),"정상",
IF(AND(V853="면제",OFFSET(Y853,0,COUNTA(Y853:AV853)-1)="면제"),"면제",
IF(AND(V853="면제",OFFSET(Y853,0,COUNTA(Y853:AV853)-1)=0),"면제",
"확인요청"))))))</f>
        <v>정상</v>
      </c>
      <c r="Y853" s="93" t="n">
        <v>55000</v>
      </c>
      <c r="Z853" s="90" t="n">
        <v>55000</v>
      </c>
      <c r="AA853" s="90" t="n">
        <v>55000</v>
      </c>
      <c r="AB853" s="90" t="n">
        <v>55000</v>
      </c>
      <c r="AC853" s="90" t="n">
        <v>55000</v>
      </c>
      <c r="AD853" s="90" t="n">
        <v>55000</v>
      </c>
      <c r="AE853" s="90" t="n">
        <v>55000</v>
      </c>
      <c r="AF853" s="90" t="n">
        <v>55000</v>
      </c>
      <c r="AG853" s="90" t="n">
        <v>55000</v>
      </c>
      <c r="AH853" s="90" t="n">
        <v>55000</v>
      </c>
      <c r="AI853" s="90" t="n">
        <v>55000</v>
      </c>
      <c r="AJ853" s="91" t="s">
        <v>101</v>
      </c>
      <c r="AK853" s="89" t="n">
        <v>110000</v>
      </c>
      <c r="AL853" s="90" t="n">
        <v>55000</v>
      </c>
      <c r="AM853" s="90"/>
      <c r="AN853" s="90"/>
      <c r="AO853" s="90"/>
      <c r="AP853" s="90"/>
      <c r="AQ853" s="90"/>
      <c r="AR853" s="90"/>
      <c r="AS853" s="90"/>
      <c r="AT853" s="90"/>
      <c r="AU853" s="90"/>
      <c r="AV853" s="91"/>
      <c r="AX853" s="92"/>
    </row>
    <row r="854" customFormat="false" ht="15.65" hidden="false" customHeight="false" outlineLevel="0" collapsed="false">
      <c r="C854" s="72" t="n">
        <f aca="false">COUNTIFS($D$6:D854,"&lt;&gt;"&amp;"")</f>
        <v>849</v>
      </c>
      <c r="D854" s="73" t="s">
        <v>12</v>
      </c>
      <c r="E854" s="76" t="str">
        <f aca="false">
IF($D854="정상",INDEX(임대자산!$D$3:$R$3000,MATCH($F854,임대자산!$I$3:$I$3000,0),MATCH(E$3,임대자산!$D$3:$R$3,0)),
IF($D854="폐업",INDEX(폐업정보!$D$3:$R$3000,MATCH($F854,폐업정보!$I$3:$I$3000,0),MATCH(E$3,폐업정보!$D$3:$R$3,0)),
"Error"))</f>
        <v>강원</v>
      </c>
      <c r="F85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B0849</v>
      </c>
      <c r="G854" s="76" t="str">
        <f aca="false">F854&amp;RANDBETWEEN(0,10)</f>
        <v>B08496</v>
      </c>
      <c r="H854" s="75" t="n">
        <f aca="false">
IF($D854="정상",INDEX(임대자산!$D$3:$R$3000,MATCH($F854,임대자산!$I$3:$I$3000,0),MATCH(H$4,임대자산!$D$3:$R$3,0)),
IF($D854="폐업",INDEX(폐업정보!$D$3:$R$3000,MATCH($F854,폐업정보!$I$3:$I$3000,0),MATCH(H$4,폐업정보!$D$3:$R$3,0)),
"Error"))</f>
        <v>45775</v>
      </c>
      <c r="I854" s="75" t="str">
        <f aca="false">
IF($D854="정상",INDEX(임대자산!$D$3:$R$3000,MATCH($F854,임대자산!$I$3:$I$3000,0),MATCH(I$4,임대자산!$D$3:$R$3,0)),
IF($D854="폐업",INDEX(폐업정보!$D$3:$R$3000,MATCH($F854,폐업정보!$I$3:$I$3000,0),MATCH(I$4,폐업정보!$D$3:$R$3,0)),
"Error"))</f>
        <v>A0849</v>
      </c>
      <c r="J854" s="75" t="str">
        <f aca="false">
IF($D854="정상",INDEX(임대자산!$D$3:$R$3000,MATCH($F854,임대자산!$I$3:$I$3000,0),MATCH(J$4,임대자산!$D$3:$R$3,0)),
IF($D854="폐업",INDEX(폐업정보!$D$3:$R$3000,MATCH($F854,폐업정보!$I$3:$I$3000,0),MATCH(J$4,폐업정보!$D$3:$R$3,0)),
"Error"))</f>
        <v>7354000000</v>
      </c>
      <c r="K854" s="75" t="str">
        <f aca="false">
IF($D854="정상",INDEX(임대자산!$D$3:$R$3000,MATCH($F854,임대자산!$I$3:$I$3000,0),MATCH(K$4,임대자산!$D$3:$R$3,0)),
IF($D854="폐업",INDEX(폐업정보!$D$3:$R$3000,MATCH($F854,폐업정보!$I$3:$I$3000,0),MATCH(K$4,폐업정보!$D$3:$R$3,0)),
"Error"))</f>
        <v>C0849</v>
      </c>
      <c r="L854" s="75" t="str">
        <f aca="false">
IF($D854="정상",INDEX(임대자산!$D$3:$R$3000,MATCH($F854,임대자산!$I$3:$I$3000,0),MATCH(L$4,임대자산!$D$3:$R$3,0)),
IF($D854="폐업",INDEX(폐업정보!$D$3:$R$3000,MATCH($F854,폐업정보!$I$3:$I$3000,0),MATCH(L$4,폐업정보!$D$3:$R$3,0)),
"Error"))</f>
        <v>D0849</v>
      </c>
      <c r="M854" s="76" t="s">
        <v>96</v>
      </c>
      <c r="N854" s="77"/>
      <c r="O854" s="78" t="s">
        <v>97</v>
      </c>
      <c r="P854" s="79" t="n">
        <f aca="false">COUNTIFS(임대자산!$I:$I,가맹점정보!F854,임대자산!$N:$N,가맹점정보!P$4)</f>
        <v>0</v>
      </c>
      <c r="Q854" s="80" t="n">
        <f aca="false">COUNTIFS(임대자산!$I:$I,가맹점정보!F854,임대자산!$N:$N,가맹점정보!Q$4)</f>
        <v>1</v>
      </c>
      <c r="R854" s="81" t="n">
        <f aca="false">COUNTIFS(임대자산!$I:$I,가맹점정보!F854,임대자산!$N:$N,가맹점정보!R$4)</f>
        <v>0</v>
      </c>
      <c r="S854" s="82" t="n">
        <v>55000</v>
      </c>
      <c r="T854" s="83" t="n">
        <v>0</v>
      </c>
      <c r="U854" s="80" t="n">
        <f aca="false">SUM(S854:T854)</f>
        <v>55000</v>
      </c>
      <c r="V854" s="84" t="s">
        <v>12</v>
      </c>
      <c r="W854" s="80" t="e">
        <f aca="true">
IF(D854="폐업","폐업",
IF(V854="면제","면제",
IF(AND(V854="정상",COUNTIFS(OFFSET(Y854,0,COUNTA(Y854:AV854)-1,1,-4),"미납")&gt;=3),"장기미납",
IF(AND(V854="정상",OFFSET(Y854,0,COUNTA(Y854:AV854)-1)&gt;=U854),"정상",
IF(AND(V854="정상",OFFSET(Y854,0,COUNTA(Y854:AV854)-1)=0),"정상",
"계약서 미작성")))))</f>
        <v>#VALUE!</v>
      </c>
      <c r="X854" s="81" t="str">
        <f aca="true">
IF(D854="폐업","폐업",
IF(AND(V854="정상",OFFSET(Y854,0,COUNTA(Y854:AV854)-1)="미납"),"미납",
IF(AND(V854="정상",OFFSET(Y854,0,COUNTA(Y854:AV854)-1)=0),"납부 시작 전",
IF(AND(V854="정상",OFFSET(Y854,0,COUNTA(Y854:AV854)-1)&gt;=U854),"정상",
IF(AND(V854="면제",OFFSET(Y854,0,COUNTA(Y854:AV854)-1)="면제"),"면제",
IF(AND(V854="면제",OFFSET(Y854,0,COUNTA(Y854:AV854)-1)=0),"면제",
"확인요청"))))))</f>
        <v>정상</v>
      </c>
      <c r="Y854" s="93" t="n">
        <v>55000</v>
      </c>
      <c r="Z854" s="90" t="n">
        <v>55000</v>
      </c>
      <c r="AA854" s="90" t="n">
        <v>55000</v>
      </c>
      <c r="AB854" s="90" t="n">
        <v>55000</v>
      </c>
      <c r="AC854" s="90" t="n">
        <v>55000</v>
      </c>
      <c r="AD854" s="90" t="n">
        <v>55000</v>
      </c>
      <c r="AE854" s="90" t="n">
        <v>55000</v>
      </c>
      <c r="AF854" s="90" t="n">
        <v>55000</v>
      </c>
      <c r="AG854" s="90" t="n">
        <v>55000</v>
      </c>
      <c r="AH854" s="90" t="n">
        <v>55000</v>
      </c>
      <c r="AI854" s="90" t="n">
        <v>55000</v>
      </c>
      <c r="AJ854" s="91" t="n">
        <v>55000</v>
      </c>
      <c r="AK854" s="89" t="n">
        <v>55000</v>
      </c>
      <c r="AL854" s="90" t="n">
        <v>55000</v>
      </c>
      <c r="AM854" s="90"/>
      <c r="AN854" s="90"/>
      <c r="AO854" s="90"/>
      <c r="AP854" s="90"/>
      <c r="AQ854" s="90"/>
      <c r="AR854" s="90"/>
      <c r="AS854" s="90"/>
      <c r="AT854" s="90"/>
      <c r="AU854" s="90"/>
      <c r="AV854" s="91"/>
      <c r="AX854" s="92"/>
    </row>
    <row r="855" customFormat="false" ht="15.65" hidden="false" customHeight="false" outlineLevel="0" collapsed="false">
      <c r="C855" s="72" t="n">
        <f aca="false">COUNTIFS($D$6:D855,"&lt;&gt;"&amp;"")</f>
        <v>850</v>
      </c>
      <c r="D855" s="73" t="s">
        <v>12</v>
      </c>
      <c r="E855" s="76" t="str">
        <f aca="false">
IF($D855="정상",INDEX(임대자산!$D$3:$R$3000,MATCH($F855,임대자산!$I$3:$I$3000,0),MATCH(E$3,임대자산!$D$3:$R$3,0)),
IF($D855="폐업",INDEX(폐업정보!$D$3:$R$3000,MATCH($F855,폐업정보!$I$3:$I$3000,0),MATCH(E$3,폐업정보!$D$3:$R$3,0)),
"Error"))</f>
        <v>서울</v>
      </c>
      <c r="F85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B0850</v>
      </c>
      <c r="G855" s="76" t="str">
        <f aca="false">F855&amp;RANDBETWEEN(0,10)</f>
        <v>B08500</v>
      </c>
      <c r="H855" s="75" t="n">
        <f aca="false">
IF($D855="정상",INDEX(임대자산!$D$3:$R$3000,MATCH($F855,임대자산!$I$3:$I$3000,0),MATCH(H$4,임대자산!$D$3:$R$3,0)),
IF($D855="폐업",INDEX(폐업정보!$D$3:$R$3000,MATCH($F855,폐업정보!$I$3:$I$3000,0),MATCH(H$4,폐업정보!$D$3:$R$3,0)),
"Error"))</f>
        <v>45875</v>
      </c>
      <c r="I855" s="75" t="str">
        <f aca="false">
IF($D855="정상",INDEX(임대자산!$D$3:$R$3000,MATCH($F855,임대자산!$I$3:$I$3000,0),MATCH(I$4,임대자산!$D$3:$R$3,0)),
IF($D855="폐업",INDEX(폐업정보!$D$3:$R$3000,MATCH($F855,폐업정보!$I$3:$I$3000,0),MATCH(I$4,폐업정보!$D$3:$R$3,0)),
"Error"))</f>
        <v>A0850</v>
      </c>
      <c r="J855" s="75" t="str">
        <f aca="false">
IF($D855="정상",INDEX(임대자산!$D$3:$R$3000,MATCH($F855,임대자산!$I$3:$I$3000,0),MATCH(J$4,임대자산!$D$3:$R$3,0)),
IF($D855="폐업",INDEX(폐업정보!$D$3:$R$3000,MATCH($F855,폐업정보!$I$3:$I$3000,0),MATCH(J$4,폐업정보!$D$3:$R$3,0)),
"Error"))</f>
        <v>2359000000</v>
      </c>
      <c r="K855" s="75" t="str">
        <f aca="false">
IF($D855="정상",INDEX(임대자산!$D$3:$R$3000,MATCH($F855,임대자산!$I$3:$I$3000,0),MATCH(K$4,임대자산!$D$3:$R$3,0)),
IF($D855="폐업",INDEX(폐업정보!$D$3:$R$3000,MATCH($F855,폐업정보!$I$3:$I$3000,0),MATCH(K$4,폐업정보!$D$3:$R$3,0)),
"Error"))</f>
        <v>C0850</v>
      </c>
      <c r="L855" s="75" t="str">
        <f aca="false">
IF($D855="정상",INDEX(임대자산!$D$3:$R$3000,MATCH($F855,임대자산!$I$3:$I$3000,0),MATCH(L$4,임대자산!$D$3:$R$3,0)),
IF($D855="폐업",INDEX(폐업정보!$D$3:$R$3000,MATCH($F855,폐업정보!$I$3:$I$3000,0),MATCH(L$4,폐업정보!$D$3:$R$3,0)),
"Error"))</f>
        <v>D0850</v>
      </c>
      <c r="M855" s="76" t="s">
        <v>96</v>
      </c>
      <c r="N855" s="77"/>
      <c r="O855" s="78" t="s">
        <v>97</v>
      </c>
      <c r="P855" s="79" t="n">
        <f aca="false">COUNTIFS(임대자산!$I:$I,가맹점정보!F855,임대자산!$N:$N,가맹점정보!P$4)</f>
        <v>0</v>
      </c>
      <c r="Q855" s="80" t="n">
        <f aca="false">COUNTIFS(임대자산!$I:$I,가맹점정보!F855,임대자산!$N:$N,가맹점정보!Q$4)</f>
        <v>1</v>
      </c>
      <c r="R855" s="81" t="n">
        <f aca="false">COUNTIFS(임대자산!$I:$I,가맹점정보!F855,임대자산!$N:$N,가맹점정보!R$4)</f>
        <v>0</v>
      </c>
      <c r="S855" s="82" t="n">
        <v>55000</v>
      </c>
      <c r="T855" s="83" t="n">
        <v>0</v>
      </c>
      <c r="U855" s="80" t="n">
        <f aca="false">SUM(S855:T855)</f>
        <v>55000</v>
      </c>
      <c r="V855" s="84" t="s">
        <v>12</v>
      </c>
      <c r="W855" s="80" t="e">
        <f aca="true">
IF(D855="폐업","폐업",
IF(V855="면제","면제",
IF(AND(V855="정상",COUNTIFS(OFFSET(Y855,0,COUNTA(Y855:AV855)-1,1,-4),"미납")&gt;=3),"장기미납",
IF(AND(V855="정상",OFFSET(Y855,0,COUNTA(Y855:AV855)-1)&gt;=U855),"정상",
IF(AND(V855="정상",OFFSET(Y855,0,COUNTA(Y855:AV855)-1)=0),"정상",
"계약서 미작성")))))</f>
        <v>#VALUE!</v>
      </c>
      <c r="X855" s="81" t="str">
        <f aca="true">
IF(D855="폐업","폐업",
IF(AND(V855="정상",OFFSET(Y855,0,COUNTA(Y855:AV855)-1)="미납"),"미납",
IF(AND(V855="정상",OFFSET(Y855,0,COUNTA(Y855:AV855)-1)=0),"납부 시작 전",
IF(AND(V855="정상",OFFSET(Y855,0,COUNTA(Y855:AV855)-1)&gt;=U855),"정상",
IF(AND(V855="면제",OFFSET(Y855,0,COUNTA(Y855:AV855)-1)="면제"),"면제",
IF(AND(V855="면제",OFFSET(Y855,0,COUNTA(Y855:AV855)-1)=0),"면제",
"확인요청"))))))</f>
        <v>정상</v>
      </c>
      <c r="Y855" s="93" t="n">
        <v>55000</v>
      </c>
      <c r="Z855" s="90" t="n">
        <v>55000</v>
      </c>
      <c r="AA855" s="90" t="n">
        <v>55000</v>
      </c>
      <c r="AB855" s="90" t="n">
        <v>55000</v>
      </c>
      <c r="AC855" s="90" t="n">
        <v>55000</v>
      </c>
      <c r="AD855" s="90" t="n">
        <v>55000</v>
      </c>
      <c r="AE855" s="90" t="n">
        <v>55000</v>
      </c>
      <c r="AF855" s="90" t="n">
        <v>55000</v>
      </c>
      <c r="AG855" s="90" t="n">
        <v>55000</v>
      </c>
      <c r="AH855" s="90" t="n">
        <v>55000</v>
      </c>
      <c r="AI855" s="90" t="n">
        <v>55000</v>
      </c>
      <c r="AJ855" s="91" t="n">
        <v>55000</v>
      </c>
      <c r="AK855" s="89" t="n">
        <v>55000</v>
      </c>
      <c r="AL855" s="90" t="n">
        <v>55000</v>
      </c>
      <c r="AM855" s="90"/>
      <c r="AN855" s="90"/>
      <c r="AO855" s="90"/>
      <c r="AP855" s="90"/>
      <c r="AQ855" s="90"/>
      <c r="AR855" s="90"/>
      <c r="AS855" s="90"/>
      <c r="AT855" s="90"/>
      <c r="AU855" s="90"/>
      <c r="AV855" s="91"/>
      <c r="AX855" s="92"/>
    </row>
    <row r="856" customFormat="false" ht="15.65" hidden="false" customHeight="false" outlineLevel="0" collapsed="false">
      <c r="C856" s="72" t="n">
        <f aca="false">COUNTIFS($D$6:D856,"&lt;&gt;"&amp;"")</f>
        <v>851</v>
      </c>
      <c r="D856" s="73" t="s">
        <v>12</v>
      </c>
      <c r="E856" s="76" t="str">
        <f aca="false">
IF($D856="정상",INDEX(임대자산!$D$3:$R$3000,MATCH($F856,임대자산!$I$3:$I$3000,0),MATCH(E$3,임대자산!$D$3:$R$3,0)),
IF($D856="폐업",INDEX(폐업정보!$D$3:$R$3000,MATCH($F856,폐업정보!$I$3:$I$3000,0),MATCH(E$3,폐업정보!$D$3:$R$3,0)),
"Error"))</f>
        <v>강원</v>
      </c>
      <c r="F85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B0851</v>
      </c>
      <c r="G856" s="76" t="str">
        <f aca="false">F856&amp;RANDBETWEEN(0,10)</f>
        <v>B08514</v>
      </c>
      <c r="H856" s="75" t="n">
        <f aca="false">
IF($D856="정상",INDEX(임대자산!$D$3:$R$3000,MATCH($F856,임대자산!$I$3:$I$3000,0),MATCH(H$4,임대자산!$D$3:$R$3,0)),
IF($D856="폐업",INDEX(폐업정보!$D$3:$R$3000,MATCH($F856,폐업정보!$I$3:$I$3000,0),MATCH(H$4,폐업정보!$D$3:$R$3,0)),
"Error"))</f>
        <v>45880</v>
      </c>
      <c r="I856" s="75" t="str">
        <f aca="false">
IF($D856="정상",INDEX(임대자산!$D$3:$R$3000,MATCH($F856,임대자산!$I$3:$I$3000,0),MATCH(I$4,임대자산!$D$3:$R$3,0)),
IF($D856="폐업",INDEX(폐업정보!$D$3:$R$3000,MATCH($F856,폐업정보!$I$3:$I$3000,0),MATCH(I$4,폐업정보!$D$3:$R$3,0)),
"Error"))</f>
        <v>A0851</v>
      </c>
      <c r="J856" s="75" t="str">
        <f aca="false">
IF($D856="정상",INDEX(임대자산!$D$3:$R$3000,MATCH($F856,임대자산!$I$3:$I$3000,0),MATCH(J$4,임대자산!$D$3:$R$3,0)),
IF($D856="폐업",INDEX(폐업정보!$D$3:$R$3000,MATCH($F856,폐업정보!$I$3:$I$3000,0),MATCH(J$4,폐업정보!$D$3:$R$3,0)),
"Error"))</f>
        <v>9698200000</v>
      </c>
      <c r="K856" s="75" t="str">
        <f aca="false">
IF($D856="정상",INDEX(임대자산!$D$3:$R$3000,MATCH($F856,임대자산!$I$3:$I$3000,0),MATCH(K$4,임대자산!$D$3:$R$3,0)),
IF($D856="폐업",INDEX(폐업정보!$D$3:$R$3000,MATCH($F856,폐업정보!$I$3:$I$3000,0),MATCH(K$4,폐업정보!$D$3:$R$3,0)),
"Error"))</f>
        <v>C0851</v>
      </c>
      <c r="L856" s="75" t="str">
        <f aca="false">
IF($D856="정상",INDEX(임대자산!$D$3:$R$3000,MATCH($F856,임대자산!$I$3:$I$3000,0),MATCH(L$4,임대자산!$D$3:$R$3,0)),
IF($D856="폐업",INDEX(폐업정보!$D$3:$R$3000,MATCH($F856,폐업정보!$I$3:$I$3000,0),MATCH(L$4,폐업정보!$D$3:$R$3,0)),
"Error"))</f>
        <v>D0851</v>
      </c>
      <c r="M856" s="76" t="s">
        <v>96</v>
      </c>
      <c r="N856" s="77"/>
      <c r="O856" s="78" t="s">
        <v>97</v>
      </c>
      <c r="P856" s="79" t="n">
        <f aca="false">COUNTIFS(임대자산!$I:$I,가맹점정보!F856,임대자산!$N:$N,가맹점정보!P$4)</f>
        <v>0</v>
      </c>
      <c r="Q856" s="80" t="n">
        <f aca="false">COUNTIFS(임대자산!$I:$I,가맹점정보!F856,임대자산!$N:$N,가맹점정보!Q$4)</f>
        <v>1</v>
      </c>
      <c r="R856" s="81" t="n">
        <f aca="false">COUNTIFS(임대자산!$I:$I,가맹점정보!F856,임대자산!$N:$N,가맹점정보!R$4)</f>
        <v>0</v>
      </c>
      <c r="S856" s="82" t="n">
        <v>88000</v>
      </c>
      <c r="T856" s="83" t="n">
        <v>0</v>
      </c>
      <c r="U856" s="80" t="n">
        <f aca="false">SUM(S856:T856)</f>
        <v>88000</v>
      </c>
      <c r="V856" s="84" t="s">
        <v>12</v>
      </c>
      <c r="W856" s="80" t="e">
        <f aca="true">
IF(D856="폐업","폐업",
IF(V856="면제","면제",
IF(AND(V856="정상",COUNTIFS(OFFSET(Y856,0,COUNTA(Y856:AV856)-1,1,-4),"미납")&gt;=3),"장기미납",
IF(AND(V856="정상",OFFSET(Y856,0,COUNTA(Y856:AV856)-1)&gt;=U856),"정상",
IF(AND(V856="정상",OFFSET(Y856,0,COUNTA(Y856:AV856)-1)=0),"정상",
"계약서 미작성")))))</f>
        <v>#VALUE!</v>
      </c>
      <c r="X856" s="81" t="str">
        <f aca="true">
IF(D856="폐업","폐업",
IF(AND(V856="정상",OFFSET(Y856,0,COUNTA(Y856:AV856)-1)="미납"),"미납",
IF(AND(V856="정상",OFFSET(Y856,0,COUNTA(Y856:AV856)-1)=0),"납부 시작 전",
IF(AND(V856="정상",OFFSET(Y856,0,COUNTA(Y856:AV856)-1)&gt;=U856),"정상",
IF(AND(V856="면제",OFFSET(Y856,0,COUNTA(Y856:AV856)-1)="면제"),"면제",
IF(AND(V856="면제",OFFSET(Y856,0,COUNTA(Y856:AV856)-1)=0),"면제",
"확인요청"))))))</f>
        <v>정상</v>
      </c>
      <c r="Y856" s="93" t="n">
        <v>88000</v>
      </c>
      <c r="Z856" s="90" t="n">
        <v>88000</v>
      </c>
      <c r="AA856" s="90" t="n">
        <v>88000</v>
      </c>
      <c r="AB856" s="90" t="n">
        <v>88000</v>
      </c>
      <c r="AC856" s="90" t="n">
        <v>88000</v>
      </c>
      <c r="AD856" s="90" t="n">
        <v>88000</v>
      </c>
      <c r="AE856" s="90" t="n">
        <v>88000</v>
      </c>
      <c r="AF856" s="90" t="n">
        <v>88000</v>
      </c>
      <c r="AG856" s="90" t="n">
        <v>88000</v>
      </c>
      <c r="AH856" s="90" t="n">
        <v>88000</v>
      </c>
      <c r="AI856" s="90" t="n">
        <v>88000</v>
      </c>
      <c r="AJ856" s="91" t="n">
        <v>88000</v>
      </c>
      <c r="AK856" s="89" t="n">
        <v>88000</v>
      </c>
      <c r="AL856" s="90" t="n">
        <v>88000</v>
      </c>
      <c r="AM856" s="90"/>
      <c r="AN856" s="90"/>
      <c r="AO856" s="90"/>
      <c r="AP856" s="90"/>
      <c r="AQ856" s="90"/>
      <c r="AR856" s="90"/>
      <c r="AS856" s="90"/>
      <c r="AT856" s="90"/>
      <c r="AU856" s="90"/>
      <c r="AV856" s="91"/>
      <c r="AX856" s="92"/>
    </row>
    <row r="857" customFormat="false" ht="15.65" hidden="false" customHeight="false" outlineLevel="0" collapsed="false">
      <c r="C857" s="72" t="n">
        <f aca="false">COUNTIFS($D$6:D857,"&lt;&gt;"&amp;"")</f>
        <v>852</v>
      </c>
      <c r="D857" s="73" t="s">
        <v>12</v>
      </c>
      <c r="E857" s="76" t="str">
        <f aca="false">
IF($D857="정상",INDEX(임대자산!$D$3:$R$3000,MATCH($F857,임대자산!$I$3:$I$3000,0),MATCH(E$3,임대자산!$D$3:$R$3,0)),
IF($D857="폐업",INDEX(폐업정보!$D$3:$R$3000,MATCH($F857,폐업정보!$I$3:$I$3000,0),MATCH(E$3,폐업정보!$D$3:$R$3,0)),
"Error"))</f>
        <v>강원</v>
      </c>
      <c r="F85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B0852</v>
      </c>
      <c r="G857" s="76" t="str">
        <f aca="false">F857&amp;RANDBETWEEN(0,10)</f>
        <v>B08527</v>
      </c>
      <c r="H857" s="75" t="n">
        <f aca="false">
IF($D857="정상",INDEX(임대자산!$D$3:$R$3000,MATCH($F857,임대자산!$I$3:$I$3000,0),MATCH(H$4,임대자산!$D$3:$R$3,0)),
IF($D857="폐업",INDEX(폐업정보!$D$3:$R$3000,MATCH($F857,폐업정보!$I$3:$I$3000,0),MATCH(H$4,폐업정보!$D$3:$R$3,0)),
"Error"))</f>
        <v>45887</v>
      </c>
      <c r="I857" s="75" t="str">
        <f aca="false">
IF($D857="정상",INDEX(임대자산!$D$3:$R$3000,MATCH($F857,임대자산!$I$3:$I$3000,0),MATCH(I$4,임대자산!$D$3:$R$3,0)),
IF($D857="폐업",INDEX(폐업정보!$D$3:$R$3000,MATCH($F857,폐업정보!$I$3:$I$3000,0),MATCH(I$4,폐업정보!$D$3:$R$3,0)),
"Error"))</f>
        <v>A0852</v>
      </c>
      <c r="J857" s="75" t="str">
        <f aca="false">
IF($D857="정상",INDEX(임대자산!$D$3:$R$3000,MATCH($F857,임대자산!$I$3:$I$3000,0),MATCH(J$4,임대자산!$D$3:$R$3,0)),
IF($D857="폐업",INDEX(폐업정보!$D$3:$R$3000,MATCH($F857,폐업정보!$I$3:$I$3000,0),MATCH(J$4,폐업정보!$D$3:$R$3,0)),
"Error"))</f>
        <v>3374300000</v>
      </c>
      <c r="K857" s="75" t="str">
        <f aca="false">
IF($D857="정상",INDEX(임대자산!$D$3:$R$3000,MATCH($F857,임대자산!$I$3:$I$3000,0),MATCH(K$4,임대자산!$D$3:$R$3,0)),
IF($D857="폐업",INDEX(폐업정보!$D$3:$R$3000,MATCH($F857,폐업정보!$I$3:$I$3000,0),MATCH(K$4,폐업정보!$D$3:$R$3,0)),
"Error"))</f>
        <v>C0852</v>
      </c>
      <c r="L857" s="75" t="str">
        <f aca="false">
IF($D857="정상",INDEX(임대자산!$D$3:$R$3000,MATCH($F857,임대자산!$I$3:$I$3000,0),MATCH(L$4,임대자산!$D$3:$R$3,0)),
IF($D857="폐업",INDEX(폐업정보!$D$3:$R$3000,MATCH($F857,폐업정보!$I$3:$I$3000,0),MATCH(L$4,폐업정보!$D$3:$R$3,0)),
"Error"))</f>
        <v>D0852</v>
      </c>
      <c r="M857" s="76" t="s">
        <v>96</v>
      </c>
      <c r="N857" s="77"/>
      <c r="O857" s="78" t="s">
        <v>97</v>
      </c>
      <c r="P857" s="79" t="n">
        <f aca="false">COUNTIFS(임대자산!$I:$I,가맹점정보!F857,임대자산!$N:$N,가맹점정보!P$4)</f>
        <v>0</v>
      </c>
      <c r="Q857" s="80" t="n">
        <f aca="false">COUNTIFS(임대자산!$I:$I,가맹점정보!F857,임대자산!$N:$N,가맹점정보!Q$4)</f>
        <v>1</v>
      </c>
      <c r="R857" s="81" t="n">
        <f aca="false">COUNTIFS(임대자산!$I:$I,가맹점정보!F857,임대자산!$N:$N,가맹점정보!R$4)</f>
        <v>0</v>
      </c>
      <c r="S857" s="82" t="n">
        <v>55000</v>
      </c>
      <c r="T857" s="83" t="n">
        <v>0</v>
      </c>
      <c r="U857" s="80" t="n">
        <f aca="false">SUM(S857:T857)</f>
        <v>55000</v>
      </c>
      <c r="V857" s="84" t="s">
        <v>12</v>
      </c>
      <c r="W857" s="80" t="e">
        <f aca="true">
IF(D857="폐업","폐업",
IF(V857="면제","면제",
IF(AND(V857="정상",COUNTIFS(OFFSET(Y857,0,COUNTA(Y857:AV857)-1,1,-4),"미납")&gt;=3),"장기미납",
IF(AND(V857="정상",OFFSET(Y857,0,COUNTA(Y857:AV857)-1)&gt;=U857),"정상",
IF(AND(V857="정상",OFFSET(Y857,0,COUNTA(Y857:AV857)-1)=0),"정상",
"계약서 미작성")))))</f>
        <v>#VALUE!</v>
      </c>
      <c r="X857" s="81" t="str">
        <f aca="true">
IF(D857="폐업","폐업",
IF(AND(V857="정상",OFFSET(Y857,0,COUNTA(Y857:AV857)-1)="미납"),"미납",
IF(AND(V857="정상",OFFSET(Y857,0,COUNTA(Y857:AV857)-1)=0),"납부 시작 전",
IF(AND(V857="정상",OFFSET(Y857,0,COUNTA(Y857:AV857)-1)&gt;=U857),"정상",
IF(AND(V857="면제",OFFSET(Y857,0,COUNTA(Y857:AV857)-1)="면제"),"면제",
IF(AND(V857="면제",OFFSET(Y857,0,COUNTA(Y857:AV857)-1)=0),"면제",
"확인요청"))))))</f>
        <v>정상</v>
      </c>
      <c r="Y857" s="93" t="n">
        <v>55000</v>
      </c>
      <c r="Z857" s="90" t="n">
        <v>55000</v>
      </c>
      <c r="AA857" s="90" t="n">
        <v>55000</v>
      </c>
      <c r="AB857" s="90" t="n">
        <v>55000</v>
      </c>
      <c r="AC857" s="90" t="n">
        <v>55000</v>
      </c>
      <c r="AD857" s="90" t="n">
        <v>55000</v>
      </c>
      <c r="AE857" s="90" t="n">
        <v>55000</v>
      </c>
      <c r="AF857" s="90" t="n">
        <v>55000</v>
      </c>
      <c r="AG857" s="90" t="n">
        <v>55000</v>
      </c>
      <c r="AH857" s="90" t="n">
        <v>55000</v>
      </c>
      <c r="AI857" s="90" t="n">
        <v>55000</v>
      </c>
      <c r="AJ857" s="91" t="n">
        <v>55000</v>
      </c>
      <c r="AK857" s="89" t="n">
        <v>55000</v>
      </c>
      <c r="AL857" s="90" t="n">
        <v>55000</v>
      </c>
      <c r="AM857" s="90"/>
      <c r="AN857" s="90"/>
      <c r="AO857" s="90"/>
      <c r="AP857" s="90"/>
      <c r="AQ857" s="90"/>
      <c r="AR857" s="90"/>
      <c r="AS857" s="90"/>
      <c r="AT857" s="90"/>
      <c r="AU857" s="90"/>
      <c r="AV857" s="91"/>
      <c r="AX857" s="92"/>
    </row>
    <row r="858" customFormat="false" ht="15.65" hidden="false" customHeight="false" outlineLevel="0" collapsed="false">
      <c r="C858" s="72" t="n">
        <f aca="false">COUNTIFS($D$6:D858,"&lt;&gt;"&amp;"")</f>
        <v>853</v>
      </c>
      <c r="D858" s="73" t="s">
        <v>12</v>
      </c>
      <c r="E858" s="76" t="str">
        <f aca="false">
IF($D858="정상",INDEX(임대자산!$D$3:$R$3000,MATCH($F858,임대자산!$I$3:$I$3000,0),MATCH(E$3,임대자산!$D$3:$R$3,0)),
IF($D858="폐업",INDEX(폐업정보!$D$3:$R$3000,MATCH($F858,폐업정보!$I$3:$I$3000,0),MATCH(E$3,폐업정보!$D$3:$R$3,0)),
"Error"))</f>
        <v>경기</v>
      </c>
      <c r="F85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B0853</v>
      </c>
      <c r="G858" s="76" t="str">
        <f aca="false">F858&amp;RANDBETWEEN(0,10)</f>
        <v>B08538</v>
      </c>
      <c r="H858" s="75" t="n">
        <f aca="false">
IF($D858="정상",INDEX(임대자산!$D$3:$R$3000,MATCH($F858,임대자산!$I$3:$I$3000,0),MATCH(H$4,임대자산!$D$3:$R$3,0)),
IF($D858="폐업",INDEX(폐업정보!$D$3:$R$3000,MATCH($F858,폐업정보!$I$3:$I$3000,0),MATCH(H$4,폐업정보!$D$3:$R$3,0)),
"Error"))</f>
        <v>45902</v>
      </c>
      <c r="I858" s="75" t="str">
        <f aca="false">
IF($D858="정상",INDEX(임대자산!$D$3:$R$3000,MATCH($F858,임대자산!$I$3:$I$3000,0),MATCH(I$4,임대자산!$D$3:$R$3,0)),
IF($D858="폐업",INDEX(폐업정보!$D$3:$R$3000,MATCH($F858,폐업정보!$I$3:$I$3000,0),MATCH(I$4,폐업정보!$D$3:$R$3,0)),
"Error"))</f>
        <v>A0853</v>
      </c>
      <c r="J858" s="75" t="str">
        <f aca="false">
IF($D858="정상",INDEX(임대자산!$D$3:$R$3000,MATCH($F858,임대자산!$I$3:$I$3000,0),MATCH(J$4,임대자산!$D$3:$R$3,0)),
IF($D858="폐업",INDEX(폐업정보!$D$3:$R$3000,MATCH($F858,폐업정보!$I$3:$I$3000,0),MATCH(J$4,폐업정보!$D$3:$R$3,0)),
"Error"))</f>
        <v>3075400000</v>
      </c>
      <c r="K858" s="75" t="str">
        <f aca="false">
IF($D858="정상",INDEX(임대자산!$D$3:$R$3000,MATCH($F858,임대자산!$I$3:$I$3000,0),MATCH(K$4,임대자산!$D$3:$R$3,0)),
IF($D858="폐업",INDEX(폐업정보!$D$3:$R$3000,MATCH($F858,폐업정보!$I$3:$I$3000,0),MATCH(K$4,폐업정보!$D$3:$R$3,0)),
"Error"))</f>
        <v>C0853</v>
      </c>
      <c r="L858" s="75" t="str">
        <f aca="false">
IF($D858="정상",INDEX(임대자산!$D$3:$R$3000,MATCH($F858,임대자산!$I$3:$I$3000,0),MATCH(L$4,임대자산!$D$3:$R$3,0)),
IF($D858="폐업",INDEX(폐업정보!$D$3:$R$3000,MATCH($F858,폐업정보!$I$3:$I$3000,0),MATCH(L$4,폐업정보!$D$3:$R$3,0)),
"Error"))</f>
        <v>D0853</v>
      </c>
      <c r="M858" s="76" t="s">
        <v>96</v>
      </c>
      <c r="N858" s="77"/>
      <c r="O858" s="78" t="s">
        <v>97</v>
      </c>
      <c r="P858" s="79" t="n">
        <f aca="false">COUNTIFS(임대자산!$I:$I,가맹점정보!F858,임대자산!$N:$N,가맹점정보!P$4)</f>
        <v>0</v>
      </c>
      <c r="Q858" s="80" t="n">
        <f aca="false">COUNTIFS(임대자산!$I:$I,가맹점정보!F858,임대자산!$N:$N,가맹점정보!Q$4)</f>
        <v>1</v>
      </c>
      <c r="R858" s="81" t="n">
        <f aca="false">COUNTIFS(임대자산!$I:$I,가맹점정보!F858,임대자산!$N:$N,가맹점정보!R$4)</f>
        <v>0</v>
      </c>
      <c r="S858" s="82" t="n">
        <v>66000</v>
      </c>
      <c r="T858" s="83" t="n">
        <v>0</v>
      </c>
      <c r="U858" s="80" t="n">
        <f aca="false">SUM(S858:T858)</f>
        <v>66000</v>
      </c>
      <c r="V858" s="84" t="s">
        <v>12</v>
      </c>
      <c r="W858" s="80" t="e">
        <f aca="true">
IF(D858="폐업","폐업",
IF(V858="면제","면제",
IF(AND(V858="정상",COUNTIFS(OFFSET(Y858,0,COUNTA(Y858:AV858)-1,1,-4),"미납")&gt;=3),"장기미납",
IF(AND(V858="정상",OFFSET(Y858,0,COUNTA(Y858:AV858)-1)&gt;=U858),"정상",
IF(AND(V858="정상",OFFSET(Y858,0,COUNTA(Y858:AV858)-1)=0),"정상",
"계약서 미작성")))))</f>
        <v>#VALUE!</v>
      </c>
      <c r="X858" s="81" t="str">
        <f aca="true">
IF(D858="폐업","폐업",
IF(AND(V858="정상",OFFSET(Y858,0,COUNTA(Y858:AV858)-1)="미납"),"미납",
IF(AND(V858="정상",OFFSET(Y858,0,COUNTA(Y858:AV858)-1)=0),"납부 시작 전",
IF(AND(V858="정상",OFFSET(Y858,0,COUNTA(Y858:AV858)-1)&gt;=U858),"정상",
IF(AND(V858="면제",OFFSET(Y858,0,COUNTA(Y858:AV858)-1)="면제"),"면제",
IF(AND(V858="면제",OFFSET(Y858,0,COUNTA(Y858:AV858)-1)=0),"면제",
"확인요청"))))))</f>
        <v>정상</v>
      </c>
      <c r="Y858" s="93" t="n">
        <v>66000</v>
      </c>
      <c r="Z858" s="90" t="n">
        <v>66000</v>
      </c>
      <c r="AA858" s="90" t="n">
        <v>66000</v>
      </c>
      <c r="AB858" s="90" t="n">
        <v>66000</v>
      </c>
      <c r="AC858" s="90" t="n">
        <v>66000</v>
      </c>
      <c r="AD858" s="90" t="n">
        <v>66000</v>
      </c>
      <c r="AE858" s="90" t="n">
        <v>66000</v>
      </c>
      <c r="AF858" s="90" t="n">
        <v>66000</v>
      </c>
      <c r="AG858" s="90" t="n">
        <v>66000</v>
      </c>
      <c r="AH858" s="90" t="n">
        <v>66000</v>
      </c>
      <c r="AI858" s="90" t="n">
        <v>66000</v>
      </c>
      <c r="AJ858" s="91" t="n">
        <v>66000</v>
      </c>
      <c r="AK858" s="89" t="n">
        <v>66000</v>
      </c>
      <c r="AL858" s="90" t="n">
        <v>66000</v>
      </c>
      <c r="AM858" s="90"/>
      <c r="AN858" s="90"/>
      <c r="AO858" s="90"/>
      <c r="AP858" s="90"/>
      <c r="AQ858" s="90"/>
      <c r="AR858" s="90"/>
      <c r="AS858" s="90"/>
      <c r="AT858" s="90"/>
      <c r="AU858" s="90"/>
      <c r="AV858" s="91"/>
      <c r="AX858" s="92"/>
    </row>
    <row r="859" customFormat="false" ht="15.65" hidden="false" customHeight="false" outlineLevel="0" collapsed="false">
      <c r="C859" s="72" t="n">
        <f aca="false">COUNTIFS($D$6:D859,"&lt;&gt;"&amp;"")</f>
        <v>854</v>
      </c>
      <c r="D859" s="73" t="s">
        <v>12</v>
      </c>
      <c r="E859" s="76" t="str">
        <f aca="false">
IF($D859="정상",INDEX(임대자산!$D$3:$R$3000,MATCH($F859,임대자산!$I$3:$I$3000,0),MATCH(E$3,임대자산!$D$3:$R$3,0)),
IF($D859="폐업",INDEX(폐업정보!$D$3:$R$3000,MATCH($F859,폐업정보!$I$3:$I$3000,0),MATCH(E$3,폐업정보!$D$3:$R$3,0)),
"Error"))</f>
        <v>서울</v>
      </c>
      <c r="F85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B0854</v>
      </c>
      <c r="G859" s="76" t="str">
        <f aca="false">F859&amp;RANDBETWEEN(0,10)</f>
        <v>B08545</v>
      </c>
      <c r="H859" s="75" t="n">
        <f aca="false">
IF($D859="정상",INDEX(임대자산!$D$3:$R$3000,MATCH($F859,임대자산!$I$3:$I$3000,0),MATCH(H$4,임대자산!$D$3:$R$3,0)),
IF($D859="폐업",INDEX(폐업정보!$D$3:$R$3000,MATCH($F859,폐업정보!$I$3:$I$3000,0),MATCH(H$4,폐업정보!$D$3:$R$3,0)),
"Error"))</f>
        <v>45945</v>
      </c>
      <c r="I859" s="75" t="str">
        <f aca="false">
IF($D859="정상",INDEX(임대자산!$D$3:$R$3000,MATCH($F859,임대자산!$I$3:$I$3000,0),MATCH(I$4,임대자산!$D$3:$R$3,0)),
IF($D859="폐업",INDEX(폐업정보!$D$3:$R$3000,MATCH($F859,폐업정보!$I$3:$I$3000,0),MATCH(I$4,폐업정보!$D$3:$R$3,0)),
"Error"))</f>
        <v>A0854</v>
      </c>
      <c r="J859" s="75" t="str">
        <f aca="false">
IF($D859="정상",INDEX(임대자산!$D$3:$R$3000,MATCH($F859,임대자산!$I$3:$I$3000,0),MATCH(J$4,임대자산!$D$3:$R$3,0)),
IF($D859="폐업",INDEX(폐업정보!$D$3:$R$3000,MATCH($F859,폐업정보!$I$3:$I$3000,0),MATCH(J$4,폐업정보!$D$3:$R$3,0)),
"Error"))</f>
        <v>5326600000</v>
      </c>
      <c r="K859" s="75" t="str">
        <f aca="false">
IF($D859="정상",INDEX(임대자산!$D$3:$R$3000,MATCH($F859,임대자산!$I$3:$I$3000,0),MATCH(K$4,임대자산!$D$3:$R$3,0)),
IF($D859="폐업",INDEX(폐업정보!$D$3:$R$3000,MATCH($F859,폐업정보!$I$3:$I$3000,0),MATCH(K$4,폐업정보!$D$3:$R$3,0)),
"Error"))</f>
        <v>C0854</v>
      </c>
      <c r="L859" s="75" t="str">
        <f aca="false">
IF($D859="정상",INDEX(임대자산!$D$3:$R$3000,MATCH($F859,임대자산!$I$3:$I$3000,0),MATCH(L$4,임대자산!$D$3:$R$3,0)),
IF($D859="폐업",INDEX(폐업정보!$D$3:$R$3000,MATCH($F859,폐업정보!$I$3:$I$3000,0),MATCH(L$4,폐업정보!$D$3:$R$3,0)),
"Error"))</f>
        <v>D0854</v>
      </c>
      <c r="M859" s="76" t="s">
        <v>96</v>
      </c>
      <c r="N859" s="77"/>
      <c r="O859" s="78" t="s">
        <v>97</v>
      </c>
      <c r="P859" s="79" t="n">
        <f aca="false">COUNTIFS(임대자산!$I:$I,가맹점정보!F859,임대자산!$N:$N,가맹점정보!P$4)</f>
        <v>0</v>
      </c>
      <c r="Q859" s="80" t="n">
        <f aca="false">COUNTIFS(임대자산!$I:$I,가맹점정보!F859,임대자산!$N:$N,가맹점정보!Q$4)</f>
        <v>1</v>
      </c>
      <c r="R859" s="81" t="n">
        <f aca="false">COUNTIFS(임대자산!$I:$I,가맹점정보!F859,임대자산!$N:$N,가맹점정보!R$4)</f>
        <v>0</v>
      </c>
      <c r="S859" s="82" t="n">
        <v>55000</v>
      </c>
      <c r="T859" s="83" t="n">
        <v>0</v>
      </c>
      <c r="U859" s="80" t="n">
        <f aca="false">SUM(S859:T859)</f>
        <v>55000</v>
      </c>
      <c r="V859" s="84" t="s">
        <v>12</v>
      </c>
      <c r="W859" s="80" t="e">
        <f aca="true">
IF(D859="폐업","폐업",
IF(V859="면제","면제",
IF(AND(V859="정상",COUNTIFS(OFFSET(Y859,0,COUNTA(Y859:AV859)-1,1,-4),"미납")&gt;=3),"장기미납",
IF(AND(V859="정상",OFFSET(Y859,0,COUNTA(Y859:AV859)-1)&gt;=U859),"정상",
IF(AND(V859="정상",OFFSET(Y859,0,COUNTA(Y859:AV859)-1)=0),"정상",
"계약서 미작성")))))</f>
        <v>#VALUE!</v>
      </c>
      <c r="X859" s="81" t="str">
        <f aca="true">
IF(D859="폐업","폐업",
IF(AND(V859="정상",OFFSET(Y859,0,COUNTA(Y859:AV859)-1)="미납"),"미납",
IF(AND(V859="정상",OFFSET(Y859,0,COUNTA(Y859:AV859)-1)=0),"납부 시작 전",
IF(AND(V859="정상",OFFSET(Y859,0,COUNTA(Y859:AV859)-1)&gt;=U859),"정상",
IF(AND(V859="면제",OFFSET(Y859,0,COUNTA(Y859:AV859)-1)="면제"),"면제",
IF(AND(V859="면제",OFFSET(Y859,0,COUNTA(Y859:AV859)-1)=0),"면제",
"확인요청"))))))</f>
        <v>미납</v>
      </c>
      <c r="Y859" s="93" t="n">
        <v>55000</v>
      </c>
      <c r="Z859" s="90" t="n">
        <v>55000</v>
      </c>
      <c r="AA859" s="90" t="n">
        <v>55000</v>
      </c>
      <c r="AB859" s="90" t="n">
        <v>55000</v>
      </c>
      <c r="AC859" s="90" t="n">
        <v>55000</v>
      </c>
      <c r="AD859" s="90" t="n">
        <v>55000</v>
      </c>
      <c r="AE859" s="90" t="n">
        <v>55000</v>
      </c>
      <c r="AF859" s="90" t="n">
        <v>55000</v>
      </c>
      <c r="AG859" s="90" t="n">
        <v>55000</v>
      </c>
      <c r="AH859" s="90" t="n">
        <v>55000</v>
      </c>
      <c r="AI859" s="90" t="n">
        <v>55000</v>
      </c>
      <c r="AJ859" s="96" t="s">
        <v>62</v>
      </c>
      <c r="AK859" s="97" t="s">
        <v>62</v>
      </c>
      <c r="AL859" s="95" t="s">
        <v>62</v>
      </c>
      <c r="AM859" s="90"/>
      <c r="AN859" s="90"/>
      <c r="AO859" s="90"/>
      <c r="AP859" s="90"/>
      <c r="AQ859" s="90"/>
      <c r="AR859" s="90"/>
      <c r="AS859" s="90"/>
      <c r="AT859" s="90"/>
      <c r="AU859" s="90"/>
      <c r="AV859" s="91"/>
      <c r="AX859" s="92"/>
    </row>
    <row r="860" customFormat="false" ht="15.65" hidden="false" customHeight="false" outlineLevel="0" collapsed="false">
      <c r="C860" s="72" t="n">
        <f aca="false">COUNTIFS($D$6:D860,"&lt;&gt;"&amp;"")</f>
        <v>855</v>
      </c>
      <c r="D860" s="73" t="s">
        <v>12</v>
      </c>
      <c r="E860" s="76" t="str">
        <f aca="false">
IF($D860="정상",INDEX(임대자산!$D$3:$R$3000,MATCH($F860,임대자산!$I$3:$I$3000,0),MATCH(E$3,임대자산!$D$3:$R$3,0)),
IF($D860="폐업",INDEX(폐업정보!$D$3:$R$3000,MATCH($F860,폐업정보!$I$3:$I$3000,0),MATCH(E$3,폐업정보!$D$3:$R$3,0)),
"Error"))</f>
        <v>강원</v>
      </c>
      <c r="F86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B0855</v>
      </c>
      <c r="G860" s="76" t="str">
        <f aca="false">F860&amp;RANDBETWEEN(0,10)</f>
        <v>B08558</v>
      </c>
      <c r="H860" s="75" t="n">
        <f aca="false">
IF($D860="정상",INDEX(임대자산!$D$3:$R$3000,MATCH($F860,임대자산!$I$3:$I$3000,0),MATCH(H$4,임대자산!$D$3:$R$3,0)),
IF($D860="폐업",INDEX(폐업정보!$D$3:$R$3000,MATCH($F860,폐업정보!$I$3:$I$3000,0),MATCH(H$4,폐업정보!$D$3:$R$3,0)),
"Error"))</f>
        <v>45954</v>
      </c>
      <c r="I860" s="75" t="str">
        <f aca="false">
IF($D860="정상",INDEX(임대자산!$D$3:$R$3000,MATCH($F860,임대자산!$I$3:$I$3000,0),MATCH(I$4,임대자산!$D$3:$R$3,0)),
IF($D860="폐업",INDEX(폐업정보!$D$3:$R$3000,MATCH($F860,폐업정보!$I$3:$I$3000,0),MATCH(I$4,폐업정보!$D$3:$R$3,0)),
"Error"))</f>
        <v>A0855</v>
      </c>
      <c r="J860" s="75" t="str">
        <f aca="false">
IF($D860="정상",INDEX(임대자산!$D$3:$R$3000,MATCH($F860,임대자산!$I$3:$I$3000,0),MATCH(J$4,임대자산!$D$3:$R$3,0)),
IF($D860="폐업",INDEX(폐업정보!$D$3:$R$3000,MATCH($F860,폐업정보!$I$3:$I$3000,0),MATCH(J$4,폐업정보!$D$3:$R$3,0)),
"Error"))</f>
        <v>1573900000</v>
      </c>
      <c r="K860" s="75" t="str">
        <f aca="false">
IF($D860="정상",INDEX(임대자산!$D$3:$R$3000,MATCH($F860,임대자산!$I$3:$I$3000,0),MATCH(K$4,임대자산!$D$3:$R$3,0)),
IF($D860="폐업",INDEX(폐업정보!$D$3:$R$3000,MATCH($F860,폐업정보!$I$3:$I$3000,0),MATCH(K$4,폐업정보!$D$3:$R$3,0)),
"Error"))</f>
        <v>C0855</v>
      </c>
      <c r="L860" s="75" t="str">
        <f aca="false">
IF($D860="정상",INDEX(임대자산!$D$3:$R$3000,MATCH($F860,임대자산!$I$3:$I$3000,0),MATCH(L$4,임대자산!$D$3:$R$3,0)),
IF($D860="폐업",INDEX(폐업정보!$D$3:$R$3000,MATCH($F860,폐업정보!$I$3:$I$3000,0),MATCH(L$4,폐업정보!$D$3:$R$3,0)),
"Error"))</f>
        <v>D0855</v>
      </c>
      <c r="M860" s="76" t="s">
        <v>96</v>
      </c>
      <c r="N860" s="77"/>
      <c r="O860" s="78" t="s">
        <v>97</v>
      </c>
      <c r="P860" s="79" t="n">
        <f aca="false">COUNTIFS(임대자산!$I:$I,가맹점정보!F860,임대자산!$N:$N,가맹점정보!P$4)</f>
        <v>0</v>
      </c>
      <c r="Q860" s="80" t="n">
        <f aca="false">COUNTIFS(임대자산!$I:$I,가맹점정보!F860,임대자산!$N:$N,가맹점정보!Q$4)</f>
        <v>1</v>
      </c>
      <c r="R860" s="81" t="n">
        <f aca="false">COUNTIFS(임대자산!$I:$I,가맹점정보!F860,임대자산!$N:$N,가맹점정보!R$4)</f>
        <v>0</v>
      </c>
      <c r="S860" s="82" t="n">
        <v>55000</v>
      </c>
      <c r="T860" s="83" t="n">
        <v>0</v>
      </c>
      <c r="U860" s="80" t="n">
        <f aca="false">SUM(S860:T860)</f>
        <v>55000</v>
      </c>
      <c r="V860" s="84" t="s">
        <v>12</v>
      </c>
      <c r="W860" s="80" t="e">
        <f aca="true">
IF(D860="폐업","폐업",
IF(V860="면제","면제",
IF(AND(V860="정상",COUNTIFS(OFFSET(Y860,0,COUNTA(Y860:AV860)-1,1,-4),"미납")&gt;=3),"장기미납",
IF(AND(V860="정상",OFFSET(Y860,0,COUNTA(Y860:AV860)-1)&gt;=U860),"정상",
IF(AND(V860="정상",OFFSET(Y860,0,COUNTA(Y860:AV860)-1)=0),"정상",
"계약서 미작성")))))</f>
        <v>#VALUE!</v>
      </c>
      <c r="X860" s="81" t="str">
        <f aca="true">
IF(D860="폐업","폐업",
IF(AND(V860="정상",OFFSET(Y860,0,COUNTA(Y860:AV860)-1)="미납"),"미납",
IF(AND(V860="정상",OFFSET(Y860,0,COUNTA(Y860:AV860)-1)=0),"납부 시작 전",
IF(AND(V860="정상",OFFSET(Y860,0,COUNTA(Y860:AV860)-1)&gt;=U860),"정상",
IF(AND(V860="면제",OFFSET(Y860,0,COUNTA(Y860:AV860)-1)="면제"),"면제",
IF(AND(V860="면제",OFFSET(Y860,0,COUNTA(Y860:AV860)-1)=0),"면제",
"확인요청"))))))</f>
        <v>정상</v>
      </c>
      <c r="Y860" s="93" t="n">
        <v>55000</v>
      </c>
      <c r="Z860" s="90" t="n">
        <v>55000</v>
      </c>
      <c r="AA860" s="90" t="n">
        <v>55000</v>
      </c>
      <c r="AB860" s="90" t="n">
        <v>55000</v>
      </c>
      <c r="AC860" s="90" t="n">
        <v>55000</v>
      </c>
      <c r="AD860" s="90" t="n">
        <v>55000</v>
      </c>
      <c r="AE860" s="90" t="n">
        <v>55000</v>
      </c>
      <c r="AF860" s="90" t="n">
        <v>55000</v>
      </c>
      <c r="AG860" s="90" t="n">
        <v>55000</v>
      </c>
      <c r="AH860" s="90" t="n">
        <v>55000</v>
      </c>
      <c r="AI860" s="90" t="n">
        <v>55000</v>
      </c>
      <c r="AJ860" s="91" t="n">
        <v>55000</v>
      </c>
      <c r="AK860" s="89" t="n">
        <v>55000</v>
      </c>
      <c r="AL860" s="90" t="n">
        <v>55000</v>
      </c>
      <c r="AM860" s="90"/>
      <c r="AN860" s="90"/>
      <c r="AO860" s="90"/>
      <c r="AP860" s="90"/>
      <c r="AQ860" s="90"/>
      <c r="AR860" s="90"/>
      <c r="AS860" s="90"/>
      <c r="AT860" s="90"/>
      <c r="AU860" s="90"/>
      <c r="AV860" s="91"/>
      <c r="AX860" s="92"/>
    </row>
    <row r="861" customFormat="false" ht="15.65" hidden="false" customHeight="false" outlineLevel="0" collapsed="false">
      <c r="C861" s="72" t="n">
        <f aca="false">COUNTIFS($D$6:D861,"&lt;&gt;"&amp;"")</f>
        <v>856</v>
      </c>
      <c r="D861" s="73" t="s">
        <v>12</v>
      </c>
      <c r="E861" s="76" t="str">
        <f aca="false">
IF($D861="정상",INDEX(임대자산!$D$3:$R$3000,MATCH($F861,임대자산!$I$3:$I$3000,0),MATCH(E$3,임대자산!$D$3:$R$3,0)),
IF($D861="폐업",INDEX(폐업정보!$D$3:$R$3000,MATCH($F861,폐업정보!$I$3:$I$3000,0),MATCH(E$3,폐업정보!$D$3:$R$3,0)),
"Error"))</f>
        <v>서울</v>
      </c>
      <c r="F86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B0856</v>
      </c>
      <c r="G861" s="76" t="str">
        <f aca="false">F861&amp;RANDBETWEEN(0,10)</f>
        <v>B08561</v>
      </c>
      <c r="H861" s="75" t="n">
        <f aca="false">
IF($D861="정상",INDEX(임대자산!$D$3:$R$3000,MATCH($F861,임대자산!$I$3:$I$3000,0),MATCH(H$4,임대자산!$D$3:$R$3,0)),
IF($D861="폐업",INDEX(폐업정보!$D$3:$R$3000,MATCH($F861,폐업정보!$I$3:$I$3000,0),MATCH(H$4,폐업정보!$D$3:$R$3,0)),
"Error"))</f>
        <v>45952</v>
      </c>
      <c r="I861" s="75" t="str">
        <f aca="false">
IF($D861="정상",INDEX(임대자산!$D$3:$R$3000,MATCH($F861,임대자산!$I$3:$I$3000,0),MATCH(I$4,임대자산!$D$3:$R$3,0)),
IF($D861="폐업",INDEX(폐업정보!$D$3:$R$3000,MATCH($F861,폐업정보!$I$3:$I$3000,0),MATCH(I$4,폐업정보!$D$3:$R$3,0)),
"Error"))</f>
        <v>A0856</v>
      </c>
      <c r="J861" s="75" t="str">
        <f aca="false">
IF($D861="정상",INDEX(임대자산!$D$3:$R$3000,MATCH($F861,임대자산!$I$3:$I$3000,0),MATCH(J$4,임대자산!$D$3:$R$3,0)),
IF($D861="폐업",INDEX(폐업정보!$D$3:$R$3000,MATCH($F861,폐업정보!$I$3:$I$3000,0),MATCH(J$4,폐업정보!$D$3:$R$3,0)),
"Error"))</f>
        <v>8769200000</v>
      </c>
      <c r="K861" s="75" t="str">
        <f aca="false">
IF($D861="정상",INDEX(임대자산!$D$3:$R$3000,MATCH($F861,임대자산!$I$3:$I$3000,0),MATCH(K$4,임대자산!$D$3:$R$3,0)),
IF($D861="폐업",INDEX(폐업정보!$D$3:$R$3000,MATCH($F861,폐업정보!$I$3:$I$3000,0),MATCH(K$4,폐업정보!$D$3:$R$3,0)),
"Error"))</f>
        <v>C0856</v>
      </c>
      <c r="L861" s="75" t="str">
        <f aca="false">
IF($D861="정상",INDEX(임대자산!$D$3:$R$3000,MATCH($F861,임대자산!$I$3:$I$3000,0),MATCH(L$4,임대자산!$D$3:$R$3,0)),
IF($D861="폐업",INDEX(폐업정보!$D$3:$R$3000,MATCH($F861,폐업정보!$I$3:$I$3000,0),MATCH(L$4,폐업정보!$D$3:$R$3,0)),
"Error"))</f>
        <v>D0856</v>
      </c>
      <c r="M861" s="76" t="s">
        <v>96</v>
      </c>
      <c r="N861" s="77"/>
      <c r="O861" s="78" t="s">
        <v>97</v>
      </c>
      <c r="P861" s="79" t="n">
        <f aca="false">COUNTIFS(임대자산!$I:$I,가맹점정보!F861,임대자산!$N:$N,가맹점정보!P$4)</f>
        <v>0</v>
      </c>
      <c r="Q861" s="80" t="n">
        <f aca="false">COUNTIFS(임대자산!$I:$I,가맹점정보!F861,임대자산!$N:$N,가맹점정보!Q$4)</f>
        <v>1</v>
      </c>
      <c r="R861" s="81" t="n">
        <f aca="false">COUNTIFS(임대자산!$I:$I,가맹점정보!F861,임대자산!$N:$N,가맹점정보!R$4)</f>
        <v>0</v>
      </c>
      <c r="S861" s="82" t="n">
        <v>55000</v>
      </c>
      <c r="T861" s="83" t="n">
        <v>0</v>
      </c>
      <c r="U861" s="80" t="n">
        <f aca="false">SUM(S861:T861)</f>
        <v>55000</v>
      </c>
      <c r="V861" s="84" t="s">
        <v>12</v>
      </c>
      <c r="W861" s="80" t="e">
        <f aca="true">
IF(D861="폐업","폐업",
IF(V861="면제","면제",
IF(AND(V861="정상",COUNTIFS(OFFSET(Y861,0,COUNTA(Y861:AV861)-1,1,-4),"미납")&gt;=3),"장기미납",
IF(AND(V861="정상",OFFSET(Y861,0,COUNTA(Y861:AV861)-1)&gt;=U861),"정상",
IF(AND(V861="정상",OFFSET(Y861,0,COUNTA(Y861:AV861)-1)=0),"정상",
"계약서 미작성")))))</f>
        <v>#VALUE!</v>
      </c>
      <c r="X861" s="81" t="str">
        <f aca="true">
IF(D861="폐업","폐업",
IF(AND(V861="정상",OFFSET(Y861,0,COUNTA(Y861:AV861)-1)="미납"),"미납",
IF(AND(V861="정상",OFFSET(Y861,0,COUNTA(Y861:AV861)-1)=0),"납부 시작 전",
IF(AND(V861="정상",OFFSET(Y861,0,COUNTA(Y861:AV861)-1)&gt;=U861),"정상",
IF(AND(V861="면제",OFFSET(Y861,0,COUNTA(Y861:AV861)-1)="면제"),"면제",
IF(AND(V861="면제",OFFSET(Y861,0,COUNTA(Y861:AV861)-1)=0),"면제",
"확인요청"))))))</f>
        <v>정상</v>
      </c>
      <c r="Y861" s="93" t="n">
        <v>55000</v>
      </c>
      <c r="Z861" s="90" t="n">
        <v>55000</v>
      </c>
      <c r="AA861" s="90" t="n">
        <v>55000</v>
      </c>
      <c r="AB861" s="90" t="n">
        <v>55000</v>
      </c>
      <c r="AC861" s="90" t="n">
        <v>55000</v>
      </c>
      <c r="AD861" s="90" t="n">
        <v>55000</v>
      </c>
      <c r="AE861" s="90" t="n">
        <v>55000</v>
      </c>
      <c r="AF861" s="90" t="n">
        <v>55000</v>
      </c>
      <c r="AG861" s="90" t="n">
        <v>55000</v>
      </c>
      <c r="AH861" s="90" t="n">
        <v>55000</v>
      </c>
      <c r="AI861" s="90" t="n">
        <v>55000</v>
      </c>
      <c r="AJ861" s="91" t="n">
        <v>55000</v>
      </c>
      <c r="AK861" s="89" t="n">
        <v>55000</v>
      </c>
      <c r="AL861" s="90" t="n">
        <v>55000</v>
      </c>
      <c r="AM861" s="90"/>
      <c r="AN861" s="90"/>
      <c r="AO861" s="90"/>
      <c r="AP861" s="90"/>
      <c r="AQ861" s="90"/>
      <c r="AR861" s="90"/>
      <c r="AS861" s="90"/>
      <c r="AT861" s="90"/>
      <c r="AU861" s="90"/>
      <c r="AV861" s="91"/>
      <c r="AX861" s="92"/>
    </row>
    <row r="862" customFormat="false" ht="15.65" hidden="false" customHeight="false" outlineLevel="0" collapsed="false">
      <c r="C862" s="72" t="n">
        <f aca="false">COUNTIFS($D$6:D862,"&lt;&gt;"&amp;"")</f>
        <v>857</v>
      </c>
      <c r="D862" s="73" t="s">
        <v>12</v>
      </c>
      <c r="E862" s="76" t="str">
        <f aca="false">
IF($D862="정상",INDEX(임대자산!$D$3:$R$3000,MATCH($F862,임대자산!$I$3:$I$3000,0),MATCH(E$3,임대자산!$D$3:$R$3,0)),
IF($D862="폐업",INDEX(폐업정보!$D$3:$R$3000,MATCH($F862,폐업정보!$I$3:$I$3000,0),MATCH(E$3,폐업정보!$D$3:$R$3,0)),
"Error"))</f>
        <v>서울</v>
      </c>
      <c r="F86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B0857</v>
      </c>
      <c r="G862" s="76" t="str">
        <f aca="false">F862&amp;RANDBETWEEN(0,10)</f>
        <v>B08572</v>
      </c>
      <c r="H862" s="75" t="n">
        <f aca="false">
IF($D862="정상",INDEX(임대자산!$D$3:$R$3000,MATCH($F862,임대자산!$I$3:$I$3000,0),MATCH(H$4,임대자산!$D$3:$R$3,0)),
IF($D862="폐업",INDEX(폐업정보!$D$3:$R$3000,MATCH($F862,폐업정보!$I$3:$I$3000,0),MATCH(H$4,폐업정보!$D$3:$R$3,0)),
"Error"))</f>
        <v>45959</v>
      </c>
      <c r="I862" s="75" t="str">
        <f aca="false">
IF($D862="정상",INDEX(임대자산!$D$3:$R$3000,MATCH($F862,임대자산!$I$3:$I$3000,0),MATCH(I$4,임대자산!$D$3:$R$3,0)),
IF($D862="폐업",INDEX(폐업정보!$D$3:$R$3000,MATCH($F862,폐업정보!$I$3:$I$3000,0),MATCH(I$4,폐업정보!$D$3:$R$3,0)),
"Error"))</f>
        <v>A0857</v>
      </c>
      <c r="J862" s="75" t="str">
        <f aca="false">
IF($D862="정상",INDEX(임대자산!$D$3:$R$3000,MATCH($F862,임대자산!$I$3:$I$3000,0),MATCH(J$4,임대자산!$D$3:$R$3,0)),
IF($D862="폐업",INDEX(폐업정보!$D$3:$R$3000,MATCH($F862,폐업정보!$I$3:$I$3000,0),MATCH(J$4,폐업정보!$D$3:$R$3,0)),
"Error"))</f>
        <v>1667700000</v>
      </c>
      <c r="K862" s="75" t="str">
        <f aca="false">
IF($D862="정상",INDEX(임대자산!$D$3:$R$3000,MATCH($F862,임대자산!$I$3:$I$3000,0),MATCH(K$4,임대자산!$D$3:$R$3,0)),
IF($D862="폐업",INDEX(폐업정보!$D$3:$R$3000,MATCH($F862,폐업정보!$I$3:$I$3000,0),MATCH(K$4,폐업정보!$D$3:$R$3,0)),
"Error"))</f>
        <v>C0857</v>
      </c>
      <c r="L862" s="75" t="str">
        <f aca="false">
IF($D862="정상",INDEX(임대자산!$D$3:$R$3000,MATCH($F862,임대자산!$I$3:$I$3000,0),MATCH(L$4,임대자산!$D$3:$R$3,0)),
IF($D862="폐업",INDEX(폐업정보!$D$3:$R$3000,MATCH($F862,폐업정보!$I$3:$I$3000,0),MATCH(L$4,폐업정보!$D$3:$R$3,0)),
"Error"))</f>
        <v>D0857</v>
      </c>
      <c r="M862" s="76" t="s">
        <v>96</v>
      </c>
      <c r="N862" s="77"/>
      <c r="O862" s="78" t="s">
        <v>97</v>
      </c>
      <c r="P862" s="79" t="n">
        <f aca="false">COUNTIFS(임대자산!$I:$I,가맹점정보!F862,임대자산!$N:$N,가맹점정보!P$4)</f>
        <v>0</v>
      </c>
      <c r="Q862" s="80" t="n">
        <f aca="false">COUNTIFS(임대자산!$I:$I,가맹점정보!F862,임대자산!$N:$N,가맹점정보!Q$4)</f>
        <v>1</v>
      </c>
      <c r="R862" s="81" t="n">
        <f aca="false">COUNTIFS(임대자산!$I:$I,가맹점정보!F862,임대자산!$N:$N,가맹점정보!R$4)</f>
        <v>0</v>
      </c>
      <c r="S862" s="82" t="n">
        <v>55000</v>
      </c>
      <c r="T862" s="83" t="n">
        <v>0</v>
      </c>
      <c r="U862" s="80" t="n">
        <f aca="false">SUM(S862:T862)</f>
        <v>55000</v>
      </c>
      <c r="V862" s="84" t="s">
        <v>12</v>
      </c>
      <c r="W862" s="80" t="e">
        <f aca="true">
IF(D862="폐업","폐업",
IF(V862="면제","면제",
IF(AND(V862="정상",COUNTIFS(OFFSET(Y862,0,COUNTA(Y862:AV862)-1,1,-4),"미납")&gt;=3),"장기미납",
IF(AND(V862="정상",OFFSET(Y862,0,COUNTA(Y862:AV862)-1)&gt;=U862),"정상",
IF(AND(V862="정상",OFFSET(Y862,0,COUNTA(Y862:AV862)-1)=0),"정상",
"계약서 미작성")))))</f>
        <v>#VALUE!</v>
      </c>
      <c r="X862" s="81" t="str">
        <f aca="true">
IF(D862="폐업","폐업",
IF(AND(V862="정상",OFFSET(Y862,0,COUNTA(Y862:AV862)-1)="미납"),"미납",
IF(AND(V862="정상",OFFSET(Y862,0,COUNTA(Y862:AV862)-1)=0),"납부 시작 전",
IF(AND(V862="정상",OFFSET(Y862,0,COUNTA(Y862:AV862)-1)&gt;=U862),"정상",
IF(AND(V862="면제",OFFSET(Y862,0,COUNTA(Y862:AV862)-1)="면제"),"면제",
IF(AND(V862="면제",OFFSET(Y862,0,COUNTA(Y862:AV862)-1)=0),"면제",
"확인요청"))))))</f>
        <v>정상</v>
      </c>
      <c r="Y862" s="93" t="n">
        <v>55000</v>
      </c>
      <c r="Z862" s="90" t="n">
        <v>55000</v>
      </c>
      <c r="AA862" s="90" t="n">
        <v>55000</v>
      </c>
      <c r="AB862" s="90" t="n">
        <v>55000</v>
      </c>
      <c r="AC862" s="90" t="n">
        <v>55000</v>
      </c>
      <c r="AD862" s="90" t="n">
        <v>55000</v>
      </c>
      <c r="AE862" s="90" t="n">
        <v>55000</v>
      </c>
      <c r="AF862" s="90" t="n">
        <v>55000</v>
      </c>
      <c r="AG862" s="90" t="n">
        <v>55000</v>
      </c>
      <c r="AH862" s="90" t="n">
        <v>55000</v>
      </c>
      <c r="AI862" s="90" t="n">
        <v>55000</v>
      </c>
      <c r="AJ862" s="91" t="n">
        <v>55000</v>
      </c>
      <c r="AK862" s="89" t="n">
        <v>55000</v>
      </c>
      <c r="AL862" s="90" t="n">
        <v>55000</v>
      </c>
      <c r="AM862" s="90"/>
      <c r="AN862" s="90"/>
      <c r="AO862" s="90"/>
      <c r="AP862" s="90"/>
      <c r="AQ862" s="90"/>
      <c r="AR862" s="90"/>
      <c r="AS862" s="90"/>
      <c r="AT862" s="90"/>
      <c r="AU862" s="90"/>
      <c r="AV862" s="91"/>
      <c r="AX862" s="92"/>
    </row>
    <row r="863" customFormat="false" ht="15.65" hidden="false" customHeight="false" outlineLevel="0" collapsed="false">
      <c r="C863" s="72" t="n">
        <f aca="false">COUNTIFS($D$6:D863,"&lt;&gt;"&amp;"")</f>
        <v>858</v>
      </c>
      <c r="D863" s="73" t="s">
        <v>12</v>
      </c>
      <c r="E863" s="76" t="str">
        <f aca="false">
IF($D863="정상",INDEX(임대자산!$D$3:$R$3000,MATCH($F863,임대자산!$I$3:$I$3000,0),MATCH(E$3,임대자산!$D$3:$R$3,0)),
IF($D863="폐업",INDEX(폐업정보!$D$3:$R$3000,MATCH($F863,폐업정보!$I$3:$I$3000,0),MATCH(E$3,폐업정보!$D$3:$R$3,0)),
"Error"))</f>
        <v>경기</v>
      </c>
      <c r="F86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B0858</v>
      </c>
      <c r="G863" s="76" t="str">
        <f aca="false">F863&amp;RANDBETWEEN(0,10)</f>
        <v>B08583</v>
      </c>
      <c r="H863" s="75" t="n">
        <f aca="false">
IF($D863="정상",INDEX(임대자산!$D$3:$R$3000,MATCH($F863,임대자산!$I$3:$I$3000,0),MATCH(H$4,임대자산!$D$3:$R$3,0)),
IF($D863="폐업",INDEX(폐업정보!$D$3:$R$3000,MATCH($F863,폐업정보!$I$3:$I$3000,0),MATCH(H$4,폐업정보!$D$3:$R$3,0)),
"Error"))</f>
        <v>45981</v>
      </c>
      <c r="I863" s="75" t="str">
        <f aca="false">
IF($D863="정상",INDEX(임대자산!$D$3:$R$3000,MATCH($F863,임대자산!$I$3:$I$3000,0),MATCH(I$4,임대자산!$D$3:$R$3,0)),
IF($D863="폐업",INDEX(폐업정보!$D$3:$R$3000,MATCH($F863,폐업정보!$I$3:$I$3000,0),MATCH(I$4,폐업정보!$D$3:$R$3,0)),
"Error"))</f>
        <v>A0858</v>
      </c>
      <c r="J863" s="75" t="str">
        <f aca="false">
IF($D863="정상",INDEX(임대자산!$D$3:$R$3000,MATCH($F863,임대자산!$I$3:$I$3000,0),MATCH(J$4,임대자산!$D$3:$R$3,0)),
IF($D863="폐업",INDEX(폐업정보!$D$3:$R$3000,MATCH($F863,폐업정보!$I$3:$I$3000,0),MATCH(J$4,폐업정보!$D$3:$R$3,0)),
"Error"))</f>
        <v>9084300000</v>
      </c>
      <c r="K863" s="75" t="str">
        <f aca="false">
IF($D863="정상",INDEX(임대자산!$D$3:$R$3000,MATCH($F863,임대자산!$I$3:$I$3000,0),MATCH(K$4,임대자산!$D$3:$R$3,0)),
IF($D863="폐업",INDEX(폐업정보!$D$3:$R$3000,MATCH($F863,폐업정보!$I$3:$I$3000,0),MATCH(K$4,폐업정보!$D$3:$R$3,0)),
"Error"))</f>
        <v>C0858</v>
      </c>
      <c r="L863" s="75" t="str">
        <f aca="false">
IF($D863="정상",INDEX(임대자산!$D$3:$R$3000,MATCH($F863,임대자산!$I$3:$I$3000,0),MATCH(L$4,임대자산!$D$3:$R$3,0)),
IF($D863="폐업",INDEX(폐업정보!$D$3:$R$3000,MATCH($F863,폐업정보!$I$3:$I$3000,0),MATCH(L$4,폐업정보!$D$3:$R$3,0)),
"Error"))</f>
        <v>D0858</v>
      </c>
      <c r="M863" s="76" t="s">
        <v>96</v>
      </c>
      <c r="N863" s="77"/>
      <c r="O863" s="78" t="s">
        <v>97</v>
      </c>
      <c r="P863" s="79" t="n">
        <f aca="false">COUNTIFS(임대자산!$I:$I,가맹점정보!F863,임대자산!$N:$N,가맹점정보!P$4)</f>
        <v>0</v>
      </c>
      <c r="Q863" s="80" t="n">
        <f aca="false">COUNTIFS(임대자산!$I:$I,가맹점정보!F863,임대자산!$N:$N,가맹점정보!Q$4)</f>
        <v>1</v>
      </c>
      <c r="R863" s="81" t="n">
        <f aca="false">COUNTIFS(임대자산!$I:$I,가맹점정보!F863,임대자산!$N:$N,가맹점정보!R$4)</f>
        <v>0</v>
      </c>
      <c r="S863" s="82" t="n">
        <v>55000</v>
      </c>
      <c r="T863" s="83" t="n">
        <v>0</v>
      </c>
      <c r="U863" s="80" t="n">
        <f aca="false">SUM(S863:T863)</f>
        <v>55000</v>
      </c>
      <c r="V863" s="84" t="s">
        <v>12</v>
      </c>
      <c r="W863" s="80" t="e">
        <f aca="true">
IF(D863="폐업","폐업",
IF(V863="면제","면제",
IF(AND(V863="정상",COUNTIFS(OFFSET(Y863,0,COUNTA(Y863:AV863)-1,1,-4),"미납")&gt;=3),"장기미납",
IF(AND(V863="정상",OFFSET(Y863,0,COUNTA(Y863:AV863)-1)&gt;=U863),"정상",
IF(AND(V863="정상",OFFSET(Y863,0,COUNTA(Y863:AV863)-1)=0),"정상",
"계약서 미작성")))))</f>
        <v>#VALUE!</v>
      </c>
      <c r="X863" s="81" t="str">
        <f aca="true">
IF(D863="폐업","폐업",
IF(AND(V863="정상",OFFSET(Y863,0,COUNTA(Y863:AV863)-1)="미납"),"미납",
IF(AND(V863="정상",OFFSET(Y863,0,COUNTA(Y863:AV863)-1)=0),"납부 시작 전",
IF(AND(V863="정상",OFFSET(Y863,0,COUNTA(Y863:AV863)-1)&gt;=U863),"정상",
IF(AND(V863="면제",OFFSET(Y863,0,COUNTA(Y863:AV863)-1)="면제"),"면제",
IF(AND(V863="면제",OFFSET(Y863,0,COUNTA(Y863:AV863)-1)=0),"면제",
"확인요청"))))))</f>
        <v>정상</v>
      </c>
      <c r="Y863" s="93" t="n">
        <v>55000</v>
      </c>
      <c r="Z863" s="90" t="n">
        <v>55000</v>
      </c>
      <c r="AA863" s="90" t="n">
        <v>55000</v>
      </c>
      <c r="AB863" s="90" t="n">
        <v>55000</v>
      </c>
      <c r="AC863" s="90" t="n">
        <v>55000</v>
      </c>
      <c r="AD863" s="90" t="n">
        <v>55000</v>
      </c>
      <c r="AE863" s="90" t="n">
        <v>55000</v>
      </c>
      <c r="AF863" s="90" t="n">
        <v>55000</v>
      </c>
      <c r="AG863" s="90" t="n">
        <v>55000</v>
      </c>
      <c r="AH863" s="90" t="n">
        <v>55000</v>
      </c>
      <c r="AI863" s="90" t="n">
        <v>55000</v>
      </c>
      <c r="AJ863" s="91" t="n">
        <v>55000</v>
      </c>
      <c r="AK863" s="89" t="n">
        <v>55000</v>
      </c>
      <c r="AL863" s="90" t="n">
        <v>55000</v>
      </c>
      <c r="AM863" s="90"/>
      <c r="AN863" s="90"/>
      <c r="AO863" s="90"/>
      <c r="AP863" s="90"/>
      <c r="AQ863" s="90"/>
      <c r="AR863" s="90"/>
      <c r="AS863" s="90"/>
      <c r="AT863" s="90"/>
      <c r="AU863" s="90"/>
      <c r="AV863" s="91"/>
      <c r="AX863" s="92"/>
    </row>
    <row r="864" customFormat="false" ht="15.65" hidden="false" customHeight="false" outlineLevel="0" collapsed="false">
      <c r="C864" s="72" t="n">
        <f aca="false">COUNTIFS($D$6:D864,"&lt;&gt;"&amp;"")</f>
        <v>859</v>
      </c>
      <c r="D864" s="73" t="s">
        <v>12</v>
      </c>
      <c r="E864" s="76" t="str">
        <f aca="false">
IF($D864="정상",INDEX(임대자산!$D$3:$R$3000,MATCH($F864,임대자산!$I$3:$I$3000,0),MATCH(E$3,임대자산!$D$3:$R$3,0)),
IF($D864="폐업",INDEX(폐업정보!$D$3:$R$3000,MATCH($F864,폐업정보!$I$3:$I$3000,0),MATCH(E$3,폐업정보!$D$3:$R$3,0)),
"Error"))</f>
        <v>서울</v>
      </c>
      <c r="F86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B0859</v>
      </c>
      <c r="G864" s="76" t="str">
        <f aca="false">F864&amp;RANDBETWEEN(0,10)</f>
        <v>B08593</v>
      </c>
      <c r="H864" s="75" t="n">
        <f aca="false">
IF($D864="정상",INDEX(임대자산!$D$3:$R$3000,MATCH($F864,임대자산!$I$3:$I$3000,0),MATCH(H$4,임대자산!$D$3:$R$3,0)),
IF($D864="폐업",INDEX(폐업정보!$D$3:$R$3000,MATCH($F864,폐업정보!$I$3:$I$3000,0),MATCH(H$4,폐업정보!$D$3:$R$3,0)),
"Error"))</f>
        <v>46035</v>
      </c>
      <c r="I864" s="75" t="str">
        <f aca="false">
IF($D864="정상",INDEX(임대자산!$D$3:$R$3000,MATCH($F864,임대자산!$I$3:$I$3000,0),MATCH(I$4,임대자산!$D$3:$R$3,0)),
IF($D864="폐업",INDEX(폐업정보!$D$3:$R$3000,MATCH($F864,폐업정보!$I$3:$I$3000,0),MATCH(I$4,폐업정보!$D$3:$R$3,0)),
"Error"))</f>
        <v>A0859</v>
      </c>
      <c r="J864" s="75" t="str">
        <f aca="false">
IF($D864="정상",INDEX(임대자산!$D$3:$R$3000,MATCH($F864,임대자산!$I$3:$I$3000,0),MATCH(J$4,임대자산!$D$3:$R$3,0)),
IF($D864="폐업",INDEX(폐업정보!$D$3:$R$3000,MATCH($F864,폐업정보!$I$3:$I$3000,0),MATCH(J$4,폐업정보!$D$3:$R$3,0)),
"Error"))</f>
        <v>2077900000</v>
      </c>
      <c r="K864" s="75" t="str">
        <f aca="false">
IF($D864="정상",INDEX(임대자산!$D$3:$R$3000,MATCH($F864,임대자산!$I$3:$I$3000,0),MATCH(K$4,임대자산!$D$3:$R$3,0)),
IF($D864="폐업",INDEX(폐업정보!$D$3:$R$3000,MATCH($F864,폐업정보!$I$3:$I$3000,0),MATCH(K$4,폐업정보!$D$3:$R$3,0)),
"Error"))</f>
        <v>C0859</v>
      </c>
      <c r="L864" s="75" t="str">
        <f aca="false">
IF($D864="정상",INDEX(임대자산!$D$3:$R$3000,MATCH($F864,임대자산!$I$3:$I$3000,0),MATCH(L$4,임대자산!$D$3:$R$3,0)),
IF($D864="폐업",INDEX(폐업정보!$D$3:$R$3000,MATCH($F864,폐업정보!$I$3:$I$3000,0),MATCH(L$4,폐업정보!$D$3:$R$3,0)),
"Error"))</f>
        <v>D0859</v>
      </c>
      <c r="M864" s="76" t="s">
        <v>96</v>
      </c>
      <c r="N864" s="77"/>
      <c r="O864" s="78" t="s">
        <v>97</v>
      </c>
      <c r="P864" s="79" t="n">
        <f aca="false">COUNTIFS(임대자산!$I:$I,가맹점정보!F864,임대자산!$N:$N,가맹점정보!P$4)</f>
        <v>0</v>
      </c>
      <c r="Q864" s="80" t="n">
        <f aca="false">COUNTIFS(임대자산!$I:$I,가맹점정보!F864,임대자산!$N:$N,가맹점정보!Q$4)</f>
        <v>1</v>
      </c>
      <c r="R864" s="81" t="n">
        <f aca="false">COUNTIFS(임대자산!$I:$I,가맹점정보!F864,임대자산!$N:$N,가맹점정보!R$4)</f>
        <v>0</v>
      </c>
      <c r="S864" s="82" t="n">
        <v>55000</v>
      </c>
      <c r="T864" s="83" t="n">
        <v>0</v>
      </c>
      <c r="U864" s="80" t="n">
        <f aca="false">SUM(S864:T864)</f>
        <v>55000</v>
      </c>
      <c r="V864" s="84" t="s">
        <v>7</v>
      </c>
      <c r="W864" s="80" t="str">
        <f aca="true">
IF(D864="폐업","폐업",
IF(V864="면제","면제",
IF(AND(V864="정상",COUNTIFS(OFFSET(Y864,0,COUNTA(Y864:AV864)-1,1,-4),"미납")&gt;=3),"장기미납",
IF(AND(V864="정상",OFFSET(Y864,0,COUNTA(Y864:AV864)-1)&gt;=U864),"정상",
IF(AND(V864="정상",OFFSET(Y864,0,COUNTA(Y864:AV864)-1)=0),"정상",
"계약서 미작성")))))</f>
        <v>면제</v>
      </c>
      <c r="X864" s="81" t="str">
        <f aca="true">
IF(D864="폐업","폐업",
IF(AND(V864="정상",OFFSET(Y864,0,COUNTA(Y864:AV864)-1)="미납"),"미납",
IF(AND(V864="정상",OFFSET(Y864,0,COUNTA(Y864:AV864)-1)=0),"납부 시작 전",
IF(AND(V864="정상",OFFSET(Y864,0,COUNTA(Y864:AV864)-1)&gt;=U864),"정상",
IF(AND(V864="면제",OFFSET(Y864,0,COUNTA(Y864:AV864)-1)="면제"),"면제",
IF(AND(V864="면제",OFFSET(Y864,0,COUNTA(Y864:AV864)-1)=0),"면제",
"확인요청"))))))</f>
        <v>면제</v>
      </c>
      <c r="Y864" s="93" t="n">
        <v>55000</v>
      </c>
      <c r="Z864" s="90" t="n">
        <v>55000</v>
      </c>
      <c r="AA864" s="90" t="n">
        <v>55000</v>
      </c>
      <c r="AB864" s="90" t="n">
        <v>55000</v>
      </c>
      <c r="AC864" s="90" t="n">
        <v>0</v>
      </c>
      <c r="AD864" s="95" t="s">
        <v>7</v>
      </c>
      <c r="AE864" s="95" t="s">
        <v>7</v>
      </c>
      <c r="AF864" s="95" t="s">
        <v>7</v>
      </c>
      <c r="AG864" s="95" t="s">
        <v>7</v>
      </c>
      <c r="AH864" s="95" t="s">
        <v>7</v>
      </c>
      <c r="AI864" s="95" t="s">
        <v>7</v>
      </c>
      <c r="AJ864" s="96" t="s">
        <v>7</v>
      </c>
      <c r="AK864" s="97" t="s">
        <v>7</v>
      </c>
      <c r="AL864" s="95" t="s">
        <v>7</v>
      </c>
      <c r="AM864" s="90"/>
      <c r="AN864" s="90"/>
      <c r="AO864" s="90"/>
      <c r="AP864" s="90"/>
      <c r="AQ864" s="90"/>
      <c r="AR864" s="90"/>
      <c r="AS864" s="90"/>
      <c r="AT864" s="90"/>
      <c r="AU864" s="90"/>
      <c r="AV864" s="91"/>
      <c r="AX864" s="92"/>
    </row>
    <row r="865" customFormat="false" ht="15.65" hidden="false" customHeight="false" outlineLevel="0" collapsed="false">
      <c r="C865" s="72" t="n">
        <f aca="false">COUNTIFS($D$6:D865,"&lt;&gt;"&amp;"")</f>
        <v>860</v>
      </c>
      <c r="D865" s="73" t="s">
        <v>12</v>
      </c>
      <c r="E865" s="76" t="str">
        <f aca="false">
IF($D865="정상",INDEX(임대자산!$D$3:$R$3000,MATCH($F865,임대자산!$I$3:$I$3000,0),MATCH(E$3,임대자산!$D$3:$R$3,0)),
IF($D865="폐업",INDEX(폐업정보!$D$3:$R$3000,MATCH($F865,폐업정보!$I$3:$I$3000,0),MATCH(E$3,폐업정보!$D$3:$R$3,0)),
"Error"))</f>
        <v>강원</v>
      </c>
      <c r="F86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B0860</v>
      </c>
      <c r="G865" s="76" t="str">
        <f aca="false">F865&amp;RANDBETWEEN(0,10)</f>
        <v>B08604</v>
      </c>
      <c r="H865" s="75" t="n">
        <f aca="false">
IF($D865="정상",INDEX(임대자산!$D$3:$R$3000,MATCH($F865,임대자산!$I$3:$I$3000,0),MATCH(H$4,임대자산!$D$3:$R$3,0)),
IF($D865="폐업",INDEX(폐업정보!$D$3:$R$3000,MATCH($F865,폐업정보!$I$3:$I$3000,0),MATCH(H$4,폐업정보!$D$3:$R$3,0)),
"Error"))</f>
        <v>46062</v>
      </c>
      <c r="I865" s="75" t="str">
        <f aca="false">
IF($D865="정상",INDEX(임대자산!$D$3:$R$3000,MATCH($F865,임대자산!$I$3:$I$3000,0),MATCH(I$4,임대자산!$D$3:$R$3,0)),
IF($D865="폐업",INDEX(폐업정보!$D$3:$R$3000,MATCH($F865,폐업정보!$I$3:$I$3000,0),MATCH(I$4,폐업정보!$D$3:$R$3,0)),
"Error"))</f>
        <v>A0860</v>
      </c>
      <c r="J865" s="75" t="str">
        <f aca="false">
IF($D865="정상",INDEX(임대자산!$D$3:$R$3000,MATCH($F865,임대자산!$I$3:$I$3000,0),MATCH(J$4,임대자산!$D$3:$R$3,0)),
IF($D865="폐업",INDEX(폐업정보!$D$3:$R$3000,MATCH($F865,폐업정보!$I$3:$I$3000,0),MATCH(J$4,폐업정보!$D$3:$R$3,0)),
"Error"))</f>
        <v>8850100000</v>
      </c>
      <c r="K865" s="75" t="str">
        <f aca="false">
IF($D865="정상",INDEX(임대자산!$D$3:$R$3000,MATCH($F865,임대자산!$I$3:$I$3000,0),MATCH(K$4,임대자산!$D$3:$R$3,0)),
IF($D865="폐업",INDEX(폐업정보!$D$3:$R$3000,MATCH($F865,폐업정보!$I$3:$I$3000,0),MATCH(K$4,폐업정보!$D$3:$R$3,0)),
"Error"))</f>
        <v>C0860</v>
      </c>
      <c r="L865" s="75" t="str">
        <f aca="false">
IF($D865="정상",INDEX(임대자산!$D$3:$R$3000,MATCH($F865,임대자산!$I$3:$I$3000,0),MATCH(L$4,임대자산!$D$3:$R$3,0)),
IF($D865="폐업",INDEX(폐업정보!$D$3:$R$3000,MATCH($F865,폐업정보!$I$3:$I$3000,0),MATCH(L$4,폐업정보!$D$3:$R$3,0)),
"Error"))</f>
        <v>D0860</v>
      </c>
      <c r="M865" s="76" t="s">
        <v>96</v>
      </c>
      <c r="N865" s="77"/>
      <c r="O865" s="78" t="s">
        <v>97</v>
      </c>
      <c r="P865" s="79" t="n">
        <f aca="false">COUNTIFS(임대자산!$I:$I,가맹점정보!F865,임대자산!$N:$N,가맹점정보!P$4)</f>
        <v>0</v>
      </c>
      <c r="Q865" s="80" t="n">
        <f aca="false">COUNTIFS(임대자산!$I:$I,가맹점정보!F865,임대자산!$N:$N,가맹점정보!Q$4)</f>
        <v>1</v>
      </c>
      <c r="R865" s="81" t="n">
        <f aca="false">COUNTIFS(임대자산!$I:$I,가맹점정보!F865,임대자산!$N:$N,가맹점정보!R$4)</f>
        <v>0</v>
      </c>
      <c r="S865" s="82" t="n">
        <v>55000</v>
      </c>
      <c r="T865" s="83" t="n">
        <v>0</v>
      </c>
      <c r="U865" s="80" t="n">
        <f aca="false">SUM(S865:T865)</f>
        <v>55000</v>
      </c>
      <c r="V865" s="84" t="s">
        <v>12</v>
      </c>
      <c r="W865" s="80" t="e">
        <f aca="true">
IF(D865="폐업","폐업",
IF(V865="면제","면제",
IF(AND(V865="정상",COUNTIFS(OFFSET(Y865,0,COUNTA(Y865:AV865)-1,1,-4),"미납")&gt;=3),"장기미납",
IF(AND(V865="정상",OFFSET(Y865,0,COUNTA(Y865:AV865)-1)&gt;=U865),"정상",
IF(AND(V865="정상",OFFSET(Y865,0,COUNTA(Y865:AV865)-1)=0),"정상",
"계약서 미작성")))))</f>
        <v>#VALUE!</v>
      </c>
      <c r="X865" s="81" t="str">
        <f aca="true">
IF(D865="폐업","폐업",
IF(AND(V865="정상",OFFSET(Y865,0,COUNTA(Y865:AV865)-1)="미납"),"미납",
IF(AND(V865="정상",OFFSET(Y865,0,COUNTA(Y865:AV865)-1)=0),"납부 시작 전",
IF(AND(V865="정상",OFFSET(Y865,0,COUNTA(Y865:AV865)-1)&gt;=U865),"정상",
IF(AND(V865="면제",OFFSET(Y865,0,COUNTA(Y865:AV865)-1)="면제"),"면제",
IF(AND(V865="면제",OFFSET(Y865,0,COUNTA(Y865:AV865)-1)=0),"면제",
"확인요청"))))))</f>
        <v>정상</v>
      </c>
      <c r="Y865" s="93" t="n">
        <v>55000</v>
      </c>
      <c r="Z865" s="90" t="n">
        <v>55000</v>
      </c>
      <c r="AA865" s="90" t="n">
        <v>55000</v>
      </c>
      <c r="AB865" s="90" t="n">
        <v>55000</v>
      </c>
      <c r="AC865" s="90" t="n">
        <v>55000</v>
      </c>
      <c r="AD865" s="90" t="n">
        <v>55000</v>
      </c>
      <c r="AE865" s="90" t="n">
        <v>55000</v>
      </c>
      <c r="AF865" s="90" t="n">
        <v>55000</v>
      </c>
      <c r="AG865" s="90" t="n">
        <v>55000</v>
      </c>
      <c r="AH865" s="90" t="n">
        <v>55000</v>
      </c>
      <c r="AI865" s="90" t="n">
        <v>55000</v>
      </c>
      <c r="AJ865" s="91" t="n">
        <v>55000</v>
      </c>
      <c r="AK865" s="89" t="n">
        <v>55000</v>
      </c>
      <c r="AL865" s="90" t="n">
        <v>55000</v>
      </c>
      <c r="AM865" s="90"/>
      <c r="AN865" s="90"/>
      <c r="AO865" s="90"/>
      <c r="AP865" s="90"/>
      <c r="AQ865" s="90"/>
      <c r="AR865" s="90"/>
      <c r="AS865" s="90"/>
      <c r="AT865" s="90"/>
      <c r="AU865" s="90"/>
      <c r="AV865" s="91"/>
      <c r="AX865" s="92"/>
    </row>
    <row r="866" customFormat="false" ht="15.65" hidden="false" customHeight="false" outlineLevel="0" collapsed="false">
      <c r="C866" s="72" t="n">
        <f aca="false">COUNTIFS($D$6:D866,"&lt;&gt;"&amp;"")</f>
        <v>861</v>
      </c>
      <c r="D866" s="73" t="s">
        <v>12</v>
      </c>
      <c r="E866" s="76" t="str">
        <f aca="false">
IF($D866="정상",INDEX(임대자산!$D$3:$R$3000,MATCH($F866,임대자산!$I$3:$I$3000,0),MATCH(E$3,임대자산!$D$3:$R$3,0)),
IF($D866="폐업",INDEX(폐업정보!$D$3:$R$3000,MATCH($F866,폐업정보!$I$3:$I$3000,0),MATCH(E$3,폐업정보!$D$3:$R$3,0)),
"Error"))</f>
        <v>서울</v>
      </c>
      <c r="F86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B0861</v>
      </c>
      <c r="G866" s="76" t="str">
        <f aca="false">F866&amp;RANDBETWEEN(0,10)</f>
        <v>B086110</v>
      </c>
      <c r="H866" s="75" t="n">
        <f aca="false">
IF($D866="정상",INDEX(임대자산!$D$3:$R$3000,MATCH($F866,임대자산!$I$3:$I$3000,0),MATCH(H$4,임대자산!$D$3:$R$3,0)),
IF($D866="폐업",INDEX(폐업정보!$D$3:$R$3000,MATCH($F866,폐업정보!$I$3:$I$3000,0),MATCH(H$4,폐업정보!$D$3:$R$3,0)),
"Error"))</f>
        <v>45819</v>
      </c>
      <c r="I866" s="75" t="str">
        <f aca="false">
IF($D866="정상",INDEX(임대자산!$D$3:$R$3000,MATCH($F866,임대자산!$I$3:$I$3000,0),MATCH(I$4,임대자산!$D$3:$R$3,0)),
IF($D866="폐업",INDEX(폐업정보!$D$3:$R$3000,MATCH($F866,폐업정보!$I$3:$I$3000,0),MATCH(I$4,폐업정보!$D$3:$R$3,0)),
"Error"))</f>
        <v>A0861</v>
      </c>
      <c r="J866" s="75" t="str">
        <f aca="false">
IF($D866="정상",INDEX(임대자산!$D$3:$R$3000,MATCH($F866,임대자산!$I$3:$I$3000,0),MATCH(J$4,임대자산!$D$3:$R$3,0)),
IF($D866="폐업",INDEX(폐업정보!$D$3:$R$3000,MATCH($F866,폐업정보!$I$3:$I$3000,0),MATCH(J$4,폐업정보!$D$3:$R$3,0)),
"Error"))</f>
        <v>4431500000</v>
      </c>
      <c r="K866" s="75" t="str">
        <f aca="false">
IF($D866="정상",INDEX(임대자산!$D$3:$R$3000,MATCH($F866,임대자산!$I$3:$I$3000,0),MATCH(K$4,임대자산!$D$3:$R$3,0)),
IF($D866="폐업",INDEX(폐업정보!$D$3:$R$3000,MATCH($F866,폐업정보!$I$3:$I$3000,0),MATCH(K$4,폐업정보!$D$3:$R$3,0)),
"Error"))</f>
        <v>C0861</v>
      </c>
      <c r="L866" s="75" t="str">
        <f aca="false">
IF($D866="정상",INDEX(임대자산!$D$3:$R$3000,MATCH($F866,임대자산!$I$3:$I$3000,0),MATCH(L$4,임대자산!$D$3:$R$3,0)),
IF($D866="폐업",INDEX(폐업정보!$D$3:$R$3000,MATCH($F866,폐업정보!$I$3:$I$3000,0),MATCH(L$4,폐업정보!$D$3:$R$3,0)),
"Error"))</f>
        <v>D0861</v>
      </c>
      <c r="M866" s="76" t="s">
        <v>96</v>
      </c>
      <c r="N866" s="77"/>
      <c r="O866" s="78" t="s">
        <v>97</v>
      </c>
      <c r="P866" s="79" t="n">
        <f aca="false">COUNTIFS(임대자산!$I:$I,가맹점정보!F866,임대자산!$N:$N,가맹점정보!P$4)</f>
        <v>0</v>
      </c>
      <c r="Q866" s="80" t="n">
        <f aca="false">COUNTIFS(임대자산!$I:$I,가맹점정보!F866,임대자산!$N:$N,가맹점정보!Q$4)</f>
        <v>0</v>
      </c>
      <c r="R866" s="81" t="n">
        <f aca="false">COUNTIFS(임대자산!$I:$I,가맹점정보!F866,임대자산!$N:$N,가맹점정보!R$4)</f>
        <v>1</v>
      </c>
      <c r="S866" s="82" t="n">
        <v>55000</v>
      </c>
      <c r="T866" s="83" t="n">
        <v>0</v>
      </c>
      <c r="U866" s="80" t="n">
        <f aca="false">SUM(S866:T866)</f>
        <v>55000</v>
      </c>
      <c r="V866" s="84" t="s">
        <v>12</v>
      </c>
      <c r="W866" s="80" t="e">
        <f aca="true">
IF(D866="폐업","폐업",
IF(V866="면제","면제",
IF(AND(V866="정상",COUNTIFS(OFFSET(Y866,0,COUNTA(Y866:AV866)-1,1,-4),"미납")&gt;=3),"장기미납",
IF(AND(V866="정상",OFFSET(Y866,0,COUNTA(Y866:AV866)-1)&gt;=U866),"정상",
IF(AND(V866="정상",OFFSET(Y866,0,COUNTA(Y866:AV866)-1)=0),"정상",
"계약서 미작성")))))</f>
        <v>#VALUE!</v>
      </c>
      <c r="X866" s="81" t="str">
        <f aca="true">
IF(D866="폐업","폐업",
IF(AND(V866="정상",OFFSET(Y866,0,COUNTA(Y866:AV866)-1)="미납"),"미납",
IF(AND(V866="정상",OFFSET(Y866,0,COUNTA(Y866:AV866)-1)=0),"납부 시작 전",
IF(AND(V866="정상",OFFSET(Y866,0,COUNTA(Y866:AV866)-1)&gt;=U866),"정상",
IF(AND(V866="면제",OFFSET(Y866,0,COUNTA(Y866:AV866)-1)="면제"),"면제",
IF(AND(V866="면제",OFFSET(Y866,0,COUNTA(Y866:AV866)-1)=0),"면제",
"확인요청"))))))</f>
        <v>정상</v>
      </c>
      <c r="Y866" s="93" t="n">
        <v>55000</v>
      </c>
      <c r="Z866" s="90" t="n">
        <v>55000</v>
      </c>
      <c r="AA866" s="90" t="n">
        <v>55000</v>
      </c>
      <c r="AB866" s="90" t="n">
        <v>55000</v>
      </c>
      <c r="AC866" s="90" t="n">
        <v>55000</v>
      </c>
      <c r="AD866" s="90" t="n">
        <v>55000</v>
      </c>
      <c r="AE866" s="90" t="n">
        <v>55000</v>
      </c>
      <c r="AF866" s="90" t="n">
        <v>55000</v>
      </c>
      <c r="AG866" s="90" t="n">
        <v>55000</v>
      </c>
      <c r="AH866" s="90" t="n">
        <v>55000</v>
      </c>
      <c r="AI866" s="90" t="n">
        <v>55000</v>
      </c>
      <c r="AJ866" s="91" t="n">
        <v>55000</v>
      </c>
      <c r="AK866" s="89" t="n">
        <v>55000</v>
      </c>
      <c r="AL866" s="90" t="n">
        <v>55000</v>
      </c>
      <c r="AM866" s="90"/>
      <c r="AN866" s="90"/>
      <c r="AO866" s="90"/>
      <c r="AP866" s="90"/>
      <c r="AQ866" s="90"/>
      <c r="AR866" s="90"/>
      <c r="AS866" s="90"/>
      <c r="AT866" s="90"/>
      <c r="AU866" s="90"/>
      <c r="AV866" s="91"/>
      <c r="AX866" s="92"/>
    </row>
    <row r="867" customFormat="false" ht="15.65" hidden="false" customHeight="false" outlineLevel="0" collapsed="false">
      <c r="C867" s="72" t="n">
        <f aca="false">COUNTIFS($D$6:D867,"&lt;&gt;"&amp;"")</f>
        <v>862</v>
      </c>
      <c r="D867" s="73" t="s">
        <v>5</v>
      </c>
      <c r="E867" s="76" t="str">
        <f aca="false">
IF($D867="정상",INDEX(임대자산!$D$3:$R$3000,MATCH($F867,임대자산!$I$3:$I$3000,0),MATCH(E$3,임대자산!$D$3:$R$3,0)),
IF($D867="폐업",INDEX(폐업정보!$D$3:$R$3000,MATCH($F867,폐업정보!$I$3:$I$3000,0),MATCH(E$3,폐업정보!$D$3:$R$3,0)),
"Error"))</f>
        <v>서울</v>
      </c>
      <c r="F86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B0862</v>
      </c>
      <c r="G867" s="76" t="str">
        <f aca="false">F867&amp;RANDBETWEEN(0,10)</f>
        <v>B08629</v>
      </c>
      <c r="H867" s="75" t="n">
        <f aca="false">
IF($D867="정상",INDEX(임대자산!$D$3:$R$3000,MATCH($F867,임대자산!$I$3:$I$3000,0),MATCH(H$4,임대자산!$D$3:$R$3,0)),
IF($D867="폐업",INDEX(폐업정보!$D$3:$R$3000,MATCH($F867,폐업정보!$I$3:$I$3000,0),MATCH(H$4,폐업정보!$D$3:$R$3,0)),
"Error"))</f>
        <v>45819</v>
      </c>
      <c r="I867" s="75" t="str">
        <f aca="false">
IF($D867="정상",INDEX(임대자산!$D$3:$R$3000,MATCH($F867,임대자산!$I$3:$I$3000,0),MATCH(I$4,임대자산!$D$3:$R$3,0)),
IF($D867="폐업",INDEX(폐업정보!$D$3:$R$3000,MATCH($F867,폐업정보!$I$3:$I$3000,0),MATCH(I$4,폐업정보!$D$3:$R$3,0)),
"Error"))</f>
        <v>A0862</v>
      </c>
      <c r="J867" s="75" t="str">
        <f aca="false">
IF($D867="정상",INDEX(임대자산!$D$3:$R$3000,MATCH($F867,임대자산!$I$3:$I$3000,0),MATCH(J$4,임대자산!$D$3:$R$3,0)),
IF($D867="폐업",INDEX(폐업정보!$D$3:$R$3000,MATCH($F867,폐업정보!$I$3:$I$3000,0),MATCH(J$4,폐업정보!$D$3:$R$3,0)),
"Error"))</f>
        <v>7714500000</v>
      </c>
      <c r="K867" s="75" t="str">
        <f aca="false">
IF($D867="정상",INDEX(임대자산!$D$3:$R$3000,MATCH($F867,임대자산!$I$3:$I$3000,0),MATCH(K$4,임대자산!$D$3:$R$3,0)),
IF($D867="폐업",INDEX(폐업정보!$D$3:$R$3000,MATCH($F867,폐업정보!$I$3:$I$3000,0),MATCH(K$4,폐업정보!$D$3:$R$3,0)),
"Error"))</f>
        <v>C0862</v>
      </c>
      <c r="L867" s="75" t="str">
        <f aca="false">
IF($D867="정상",INDEX(임대자산!$D$3:$R$3000,MATCH($F867,임대자산!$I$3:$I$3000,0),MATCH(L$4,임대자산!$D$3:$R$3,0)),
IF($D867="폐업",INDEX(폐업정보!$D$3:$R$3000,MATCH($F867,폐업정보!$I$3:$I$3000,0),MATCH(L$4,폐업정보!$D$3:$R$3,0)),
"Error"))</f>
        <v>D0862</v>
      </c>
      <c r="M867" s="76" t="s">
        <v>96</v>
      </c>
      <c r="N867" s="77"/>
      <c r="O867" s="78" t="s">
        <v>97</v>
      </c>
      <c r="P867" s="79" t="n">
        <f aca="false">COUNTIFS(임대자산!$I:$I,가맹점정보!F867,임대자산!$N:$N,가맹점정보!P$4)</f>
        <v>0</v>
      </c>
      <c r="Q867" s="80" t="n">
        <f aca="false">COUNTIFS(임대자산!$I:$I,가맹점정보!F867,임대자산!$N:$N,가맹점정보!Q$4)</f>
        <v>0</v>
      </c>
      <c r="R867" s="81" t="n">
        <f aca="false">COUNTIFS(임대자산!$I:$I,가맹점정보!F867,임대자산!$N:$N,가맹점정보!R$4)</f>
        <v>0</v>
      </c>
      <c r="S867" s="82" t="n">
        <v>55000</v>
      </c>
      <c r="T867" s="83" t="n">
        <v>0</v>
      </c>
      <c r="U867" s="80" t="n">
        <f aca="false">SUM(S867:T867)</f>
        <v>55000</v>
      </c>
      <c r="V867" s="84" t="s">
        <v>12</v>
      </c>
      <c r="W867" s="80" t="str">
        <f aca="true">
IF(D867="폐업","폐업",
IF(V867="면제","면제",
IF(AND(V867="정상",COUNTIFS(OFFSET(Y867,0,COUNTA(Y867:AV867)-1,1,-4),"미납")&gt;=3),"장기미납",
IF(AND(V867="정상",OFFSET(Y867,0,COUNTA(Y867:AV867)-1)&gt;=U867),"정상",
IF(AND(V867="정상",OFFSET(Y867,0,COUNTA(Y867:AV867)-1)=0),"정상",
"계약서 미작성")))))</f>
        <v>폐업</v>
      </c>
      <c r="X867" s="81" t="str">
        <f aca="true">
IF(D867="폐업","폐업",
IF(AND(V867="정상",OFFSET(Y867,0,COUNTA(Y867:AV867)-1)="미납"),"미납",
IF(AND(V867="정상",OFFSET(Y867,0,COUNTA(Y867:AV867)-1)=0),"납부 시작 전",
IF(AND(V867="정상",OFFSET(Y867,0,COUNTA(Y867:AV867)-1)&gt;=U867),"정상",
IF(AND(V867="면제",OFFSET(Y867,0,COUNTA(Y867:AV867)-1)="면제"),"면제",
IF(AND(V867="면제",OFFSET(Y867,0,COUNTA(Y867:AV867)-1)=0),"면제",
"확인요청"))))))</f>
        <v>폐업</v>
      </c>
      <c r="Y867" s="93" t="n">
        <v>55000</v>
      </c>
      <c r="Z867" s="90" t="n">
        <v>55000</v>
      </c>
      <c r="AA867" s="90" t="n">
        <v>55000</v>
      </c>
      <c r="AB867" s="90" t="n">
        <v>55000</v>
      </c>
      <c r="AC867" s="90" t="n">
        <v>55000</v>
      </c>
      <c r="AD867" s="90" t="n">
        <v>55000</v>
      </c>
      <c r="AE867" s="90" t="n">
        <v>55000</v>
      </c>
      <c r="AF867" s="90" t="n">
        <v>55000</v>
      </c>
      <c r="AG867" s="90" t="n">
        <v>55000</v>
      </c>
      <c r="AH867" s="90" t="n">
        <v>55000</v>
      </c>
      <c r="AI867" s="90" t="n">
        <v>55000</v>
      </c>
      <c r="AJ867" s="91" t="n">
        <v>55000</v>
      </c>
      <c r="AK867" s="89" t="n">
        <v>55000</v>
      </c>
      <c r="AL867" s="90" t="n">
        <v>55000</v>
      </c>
      <c r="AM867" s="90"/>
      <c r="AN867" s="90"/>
      <c r="AO867" s="90"/>
      <c r="AP867" s="90"/>
      <c r="AQ867" s="90"/>
      <c r="AR867" s="90"/>
      <c r="AS867" s="90"/>
      <c r="AT867" s="90"/>
      <c r="AU867" s="90"/>
      <c r="AV867" s="91"/>
      <c r="AX867" s="92"/>
    </row>
    <row r="868" customFormat="false" ht="15.65" hidden="false" customHeight="false" outlineLevel="0" collapsed="false">
      <c r="C868" s="72" t="n">
        <f aca="false">COUNTIFS($D$6:D868,"&lt;&gt;"&amp;"")</f>
        <v>863</v>
      </c>
      <c r="D868" s="73" t="s">
        <v>12</v>
      </c>
      <c r="E868" s="76" t="str">
        <f aca="false">
IF($D868="정상",INDEX(임대자산!$D$3:$R$3000,MATCH($F868,임대자산!$I$3:$I$3000,0),MATCH(E$3,임대자산!$D$3:$R$3,0)),
IF($D868="폐업",INDEX(폐업정보!$D$3:$R$3000,MATCH($F868,폐업정보!$I$3:$I$3000,0),MATCH(E$3,폐업정보!$D$3:$R$3,0)),
"Error"))</f>
        <v>서울</v>
      </c>
      <c r="F86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B0863</v>
      </c>
      <c r="G868" s="76" t="str">
        <f aca="false">F868&amp;RANDBETWEEN(0,10)</f>
        <v>B08633</v>
      </c>
      <c r="H868" s="75" t="n">
        <f aca="false">
IF($D868="정상",INDEX(임대자산!$D$3:$R$3000,MATCH($F868,임대자산!$I$3:$I$3000,0),MATCH(H$4,임대자산!$D$3:$R$3,0)),
IF($D868="폐업",INDEX(폐업정보!$D$3:$R$3000,MATCH($F868,폐업정보!$I$3:$I$3000,0),MATCH(H$4,폐업정보!$D$3:$R$3,0)),
"Error"))</f>
        <v>45524</v>
      </c>
      <c r="I868" s="75" t="str">
        <f aca="false">
IF($D868="정상",INDEX(임대자산!$D$3:$R$3000,MATCH($F868,임대자산!$I$3:$I$3000,0),MATCH(I$4,임대자산!$D$3:$R$3,0)),
IF($D868="폐업",INDEX(폐업정보!$D$3:$R$3000,MATCH($F868,폐업정보!$I$3:$I$3000,0),MATCH(I$4,폐업정보!$D$3:$R$3,0)),
"Error"))</f>
        <v>A0863</v>
      </c>
      <c r="J868" s="75" t="str">
        <f aca="false">
IF($D868="정상",INDEX(임대자산!$D$3:$R$3000,MATCH($F868,임대자산!$I$3:$I$3000,0),MATCH(J$4,임대자산!$D$3:$R$3,0)),
IF($D868="폐업",INDEX(폐업정보!$D$3:$R$3000,MATCH($F868,폐업정보!$I$3:$I$3000,0),MATCH(J$4,폐업정보!$D$3:$R$3,0)),
"Error"))</f>
        <v>6701300000</v>
      </c>
      <c r="K868" s="75" t="str">
        <f aca="false">
IF($D868="정상",INDEX(임대자산!$D$3:$R$3000,MATCH($F868,임대자산!$I$3:$I$3000,0),MATCH(K$4,임대자산!$D$3:$R$3,0)),
IF($D868="폐업",INDEX(폐업정보!$D$3:$R$3000,MATCH($F868,폐업정보!$I$3:$I$3000,0),MATCH(K$4,폐업정보!$D$3:$R$3,0)),
"Error"))</f>
        <v>C0863</v>
      </c>
      <c r="L868" s="75" t="str">
        <f aca="false">
IF($D868="정상",INDEX(임대자산!$D$3:$R$3000,MATCH($F868,임대자산!$I$3:$I$3000,0),MATCH(L$4,임대자산!$D$3:$R$3,0)),
IF($D868="폐업",INDEX(폐업정보!$D$3:$R$3000,MATCH($F868,폐업정보!$I$3:$I$3000,0),MATCH(L$4,폐업정보!$D$3:$R$3,0)),
"Error"))</f>
        <v>D0863</v>
      </c>
      <c r="M868" s="76" t="s">
        <v>96</v>
      </c>
      <c r="N868" s="77"/>
      <c r="O868" s="78" t="s">
        <v>97</v>
      </c>
      <c r="P868" s="79" t="n">
        <f aca="false">COUNTIFS(임대자산!$I:$I,가맹점정보!F868,임대자산!$N:$N,가맹점정보!P$4)</f>
        <v>0</v>
      </c>
      <c r="Q868" s="80" t="n">
        <f aca="false">COUNTIFS(임대자산!$I:$I,가맹점정보!F868,임대자산!$N:$N,가맹점정보!Q$4)</f>
        <v>0</v>
      </c>
      <c r="R868" s="81" t="n">
        <f aca="false">COUNTIFS(임대자산!$I:$I,가맹점정보!F868,임대자산!$N:$N,가맹점정보!R$4)</f>
        <v>1</v>
      </c>
      <c r="S868" s="82" t="n">
        <v>88000</v>
      </c>
      <c r="T868" s="83" t="n">
        <v>0</v>
      </c>
      <c r="U868" s="80" t="n">
        <f aca="false">SUM(S868:T868)</f>
        <v>88000</v>
      </c>
      <c r="V868" s="84" t="s">
        <v>12</v>
      </c>
      <c r="W868" s="80" t="e">
        <f aca="true">
IF(D868="폐업","폐업",
IF(V868="면제","면제",
IF(AND(V868="정상",COUNTIFS(OFFSET(Y868,0,COUNTA(Y868:AV868)-1,1,-4),"미납")&gt;=3),"장기미납",
IF(AND(V868="정상",OFFSET(Y868,0,COUNTA(Y868:AV868)-1)&gt;=U868),"정상",
IF(AND(V868="정상",OFFSET(Y868,0,COUNTA(Y868:AV868)-1)=0),"정상",
"계약서 미작성")))))</f>
        <v>#VALUE!</v>
      </c>
      <c r="X868" s="81" t="str">
        <f aca="true">
IF(D868="폐업","폐업",
IF(AND(V868="정상",OFFSET(Y868,0,COUNTA(Y868:AV868)-1)="미납"),"미납",
IF(AND(V868="정상",OFFSET(Y868,0,COUNTA(Y868:AV868)-1)=0),"납부 시작 전",
IF(AND(V868="정상",OFFSET(Y868,0,COUNTA(Y868:AV868)-1)&gt;=U868),"정상",
IF(AND(V868="면제",OFFSET(Y868,0,COUNTA(Y868:AV868)-1)="면제"),"면제",
IF(AND(V868="면제",OFFSET(Y868,0,COUNTA(Y868:AV868)-1)=0),"면제",
"확인요청"))))))</f>
        <v>정상</v>
      </c>
      <c r="Y868" s="93" t="n">
        <v>88000</v>
      </c>
      <c r="Z868" s="90" t="n">
        <v>88000</v>
      </c>
      <c r="AA868" s="90" t="n">
        <v>88000</v>
      </c>
      <c r="AB868" s="90" t="n">
        <v>88000</v>
      </c>
      <c r="AC868" s="90" t="n">
        <v>88000</v>
      </c>
      <c r="AD868" s="90" t="n">
        <v>88000</v>
      </c>
      <c r="AE868" s="90" t="n">
        <v>88000</v>
      </c>
      <c r="AF868" s="90" t="n">
        <v>88000</v>
      </c>
      <c r="AG868" s="90" t="n">
        <v>88000</v>
      </c>
      <c r="AH868" s="90" t="n">
        <v>88000</v>
      </c>
      <c r="AI868" s="90" t="n">
        <v>88000</v>
      </c>
      <c r="AJ868" s="91" t="n">
        <v>88000</v>
      </c>
      <c r="AK868" s="89" t="n">
        <v>88000</v>
      </c>
      <c r="AL868" s="90" t="n">
        <v>88000</v>
      </c>
      <c r="AM868" s="90"/>
      <c r="AN868" s="90"/>
      <c r="AO868" s="90"/>
      <c r="AP868" s="90"/>
      <c r="AQ868" s="90"/>
      <c r="AR868" s="90"/>
      <c r="AS868" s="90"/>
      <c r="AT868" s="90"/>
      <c r="AU868" s="90"/>
      <c r="AV868" s="91"/>
      <c r="AX868" s="92"/>
    </row>
    <row r="869" customFormat="false" ht="15.65" hidden="false" customHeight="false" outlineLevel="0" collapsed="false">
      <c r="C869" s="72" t="n">
        <f aca="false">COUNTIFS($D$6:D869,"&lt;&gt;"&amp;"")</f>
        <v>864</v>
      </c>
      <c r="D869" s="73" t="s">
        <v>12</v>
      </c>
      <c r="E869" s="76" t="str">
        <f aca="false">
IF($D869="정상",INDEX(임대자산!$D$3:$R$3000,MATCH($F869,임대자산!$I$3:$I$3000,0),MATCH(E$3,임대자산!$D$3:$R$3,0)),
IF($D869="폐업",INDEX(폐업정보!$D$3:$R$3000,MATCH($F869,폐업정보!$I$3:$I$3000,0),MATCH(E$3,폐업정보!$D$3:$R$3,0)),
"Error"))</f>
        <v>강원</v>
      </c>
      <c r="F86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B0864</v>
      </c>
      <c r="G869" s="76" t="str">
        <f aca="false">F869&amp;RANDBETWEEN(0,10)</f>
        <v>B08648</v>
      </c>
      <c r="H869" s="75" t="n">
        <f aca="false">
IF($D869="정상",INDEX(임대자산!$D$3:$R$3000,MATCH($F869,임대자산!$I$3:$I$3000,0),MATCH(H$4,임대자산!$D$3:$R$3,0)),
IF($D869="폐업",INDEX(폐업정보!$D$3:$R$3000,MATCH($F869,폐업정보!$I$3:$I$3000,0),MATCH(H$4,폐업정보!$D$3:$R$3,0)),
"Error"))</f>
        <v>44657</v>
      </c>
      <c r="I869" s="75" t="str">
        <f aca="false">
IF($D869="정상",INDEX(임대자산!$D$3:$R$3000,MATCH($F869,임대자산!$I$3:$I$3000,0),MATCH(I$4,임대자산!$D$3:$R$3,0)),
IF($D869="폐업",INDEX(폐업정보!$D$3:$R$3000,MATCH($F869,폐업정보!$I$3:$I$3000,0),MATCH(I$4,폐업정보!$D$3:$R$3,0)),
"Error"))</f>
        <v>A0864</v>
      </c>
      <c r="J869" s="75" t="str">
        <f aca="false">
IF($D869="정상",INDEX(임대자산!$D$3:$R$3000,MATCH($F869,임대자산!$I$3:$I$3000,0),MATCH(J$4,임대자산!$D$3:$R$3,0)),
IF($D869="폐업",INDEX(폐업정보!$D$3:$R$3000,MATCH($F869,폐업정보!$I$3:$I$3000,0),MATCH(J$4,폐업정보!$D$3:$R$3,0)),
"Error"))</f>
        <v>7131600000</v>
      </c>
      <c r="K869" s="75" t="str">
        <f aca="false">
IF($D869="정상",INDEX(임대자산!$D$3:$R$3000,MATCH($F869,임대자산!$I$3:$I$3000,0),MATCH(K$4,임대자산!$D$3:$R$3,0)),
IF($D869="폐업",INDEX(폐업정보!$D$3:$R$3000,MATCH($F869,폐업정보!$I$3:$I$3000,0),MATCH(K$4,폐업정보!$D$3:$R$3,0)),
"Error"))</f>
        <v>C0864</v>
      </c>
      <c r="L869" s="75" t="str">
        <f aca="false">
IF($D869="정상",INDEX(임대자산!$D$3:$R$3000,MATCH($F869,임대자산!$I$3:$I$3000,0),MATCH(L$4,임대자산!$D$3:$R$3,0)),
IF($D869="폐업",INDEX(폐업정보!$D$3:$R$3000,MATCH($F869,폐업정보!$I$3:$I$3000,0),MATCH(L$4,폐업정보!$D$3:$R$3,0)),
"Error"))</f>
        <v>D0864</v>
      </c>
      <c r="M869" s="76" t="s">
        <v>96</v>
      </c>
      <c r="N869" s="77"/>
      <c r="O869" s="78" t="s">
        <v>97</v>
      </c>
      <c r="P869" s="79" t="n">
        <f aca="false">COUNTIFS(임대자산!$I:$I,가맹점정보!F869,임대자산!$N:$N,가맹점정보!P$4)</f>
        <v>0</v>
      </c>
      <c r="Q869" s="80" t="n">
        <f aca="false">COUNTIFS(임대자산!$I:$I,가맹점정보!F869,임대자산!$N:$N,가맹점정보!Q$4)</f>
        <v>0</v>
      </c>
      <c r="R869" s="81" t="n">
        <f aca="false">COUNTIFS(임대자산!$I:$I,가맹점정보!F869,임대자산!$N:$N,가맹점정보!R$4)</f>
        <v>1</v>
      </c>
      <c r="S869" s="82" t="n">
        <v>55000</v>
      </c>
      <c r="T869" s="83" t="n">
        <v>0</v>
      </c>
      <c r="U869" s="80" t="n">
        <f aca="false">SUM(S869:T869)</f>
        <v>55000</v>
      </c>
      <c r="V869" s="84" t="s">
        <v>12</v>
      </c>
      <c r="W869" s="80" t="e">
        <f aca="true">
IF(D869="폐업","폐업",
IF(V869="면제","면제",
IF(AND(V869="정상",COUNTIFS(OFFSET(Y869,0,COUNTA(Y869:AV869)-1,1,-4),"미납")&gt;=3),"장기미납",
IF(AND(V869="정상",OFFSET(Y869,0,COUNTA(Y869:AV869)-1)&gt;=U869),"정상",
IF(AND(V869="정상",OFFSET(Y869,0,COUNTA(Y869:AV869)-1)=0),"정상",
"계약서 미작성")))))</f>
        <v>#VALUE!</v>
      </c>
      <c r="X869" s="81" t="str">
        <f aca="true">
IF(D869="폐업","폐업",
IF(AND(V869="정상",OFFSET(Y869,0,COUNTA(Y869:AV869)-1)="미납"),"미납",
IF(AND(V869="정상",OFFSET(Y869,0,COUNTA(Y869:AV869)-1)=0),"납부 시작 전",
IF(AND(V869="정상",OFFSET(Y869,0,COUNTA(Y869:AV869)-1)&gt;=U869),"정상",
IF(AND(V869="면제",OFFSET(Y869,0,COUNTA(Y869:AV869)-1)="면제"),"면제",
IF(AND(V869="면제",OFFSET(Y869,0,COUNTA(Y869:AV869)-1)=0),"면제",
"확인요청"))))))</f>
        <v>정상</v>
      </c>
      <c r="Y869" s="93" t="n">
        <v>55000</v>
      </c>
      <c r="Z869" s="90" t="n">
        <v>55000</v>
      </c>
      <c r="AA869" s="90" t="n">
        <v>55000</v>
      </c>
      <c r="AB869" s="90" t="n">
        <v>55000</v>
      </c>
      <c r="AC869" s="90" t="n">
        <v>55000</v>
      </c>
      <c r="AD869" s="90" t="n">
        <v>55000</v>
      </c>
      <c r="AE869" s="90" t="n">
        <v>55000</v>
      </c>
      <c r="AF869" s="90" t="n">
        <v>55000</v>
      </c>
      <c r="AG869" s="90" t="n">
        <v>55000</v>
      </c>
      <c r="AH869" s="90" t="n">
        <v>55000</v>
      </c>
      <c r="AI869" s="95" t="s">
        <v>62</v>
      </c>
      <c r="AJ869" s="96" t="s">
        <v>62</v>
      </c>
      <c r="AK869" s="97" t="s">
        <v>62</v>
      </c>
      <c r="AL869" s="90" t="n">
        <v>55000</v>
      </c>
      <c r="AM869" s="90"/>
      <c r="AN869" s="90"/>
      <c r="AO869" s="90"/>
      <c r="AP869" s="90"/>
      <c r="AQ869" s="90"/>
      <c r="AR869" s="90"/>
      <c r="AS869" s="90"/>
      <c r="AT869" s="90"/>
      <c r="AU869" s="90"/>
      <c r="AV869" s="91"/>
      <c r="AX869" s="92"/>
    </row>
    <row r="870" customFormat="false" ht="15.65" hidden="false" customHeight="false" outlineLevel="0" collapsed="false">
      <c r="C870" s="72" t="n">
        <f aca="false">COUNTIFS($D$6:D870,"&lt;&gt;"&amp;"")</f>
        <v>865</v>
      </c>
      <c r="D870" s="73" t="s">
        <v>12</v>
      </c>
      <c r="E870" s="76" t="str">
        <f aca="false">
IF($D870="정상",INDEX(임대자산!$D$3:$R$3000,MATCH($F870,임대자산!$I$3:$I$3000,0),MATCH(E$3,임대자산!$D$3:$R$3,0)),
IF($D870="폐업",INDEX(폐업정보!$D$3:$R$3000,MATCH($F870,폐업정보!$I$3:$I$3000,0),MATCH(E$3,폐업정보!$D$3:$R$3,0)),
"Error"))</f>
        <v>강원</v>
      </c>
      <c r="F87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B0865</v>
      </c>
      <c r="G870" s="76" t="str">
        <f aca="false">F870&amp;RANDBETWEEN(0,10)</f>
        <v>B08652</v>
      </c>
      <c r="H870" s="75" t="n">
        <f aca="false">
IF($D870="정상",INDEX(임대자산!$D$3:$R$3000,MATCH($F870,임대자산!$I$3:$I$3000,0),MATCH(H$4,임대자산!$D$3:$R$3,0)),
IF($D870="폐업",INDEX(폐업정보!$D$3:$R$3000,MATCH($F870,폐업정보!$I$3:$I$3000,0),MATCH(H$4,폐업정보!$D$3:$R$3,0)),
"Error"))</f>
        <v>46062</v>
      </c>
      <c r="I870" s="75" t="str">
        <f aca="false">
IF($D870="정상",INDEX(임대자산!$D$3:$R$3000,MATCH($F870,임대자산!$I$3:$I$3000,0),MATCH(I$4,임대자산!$D$3:$R$3,0)),
IF($D870="폐업",INDEX(폐업정보!$D$3:$R$3000,MATCH($F870,폐업정보!$I$3:$I$3000,0),MATCH(I$4,폐업정보!$D$3:$R$3,0)),
"Error"))</f>
        <v>A0865</v>
      </c>
      <c r="J870" s="75" t="str">
        <f aca="false">
IF($D870="정상",INDEX(임대자산!$D$3:$R$3000,MATCH($F870,임대자산!$I$3:$I$3000,0),MATCH(J$4,임대자산!$D$3:$R$3,0)),
IF($D870="폐업",INDEX(폐업정보!$D$3:$R$3000,MATCH($F870,폐업정보!$I$3:$I$3000,0),MATCH(J$4,폐업정보!$D$3:$R$3,0)),
"Error"))</f>
        <v>6872900000</v>
      </c>
      <c r="K870" s="75" t="str">
        <f aca="false">
IF($D870="정상",INDEX(임대자산!$D$3:$R$3000,MATCH($F870,임대자산!$I$3:$I$3000,0),MATCH(K$4,임대자산!$D$3:$R$3,0)),
IF($D870="폐업",INDEX(폐업정보!$D$3:$R$3000,MATCH($F870,폐업정보!$I$3:$I$3000,0),MATCH(K$4,폐업정보!$D$3:$R$3,0)),
"Error"))</f>
        <v>C0865</v>
      </c>
      <c r="L870" s="75" t="str">
        <f aca="false">
IF($D870="정상",INDEX(임대자산!$D$3:$R$3000,MATCH($F870,임대자산!$I$3:$I$3000,0),MATCH(L$4,임대자산!$D$3:$R$3,0)),
IF($D870="폐업",INDEX(폐업정보!$D$3:$R$3000,MATCH($F870,폐업정보!$I$3:$I$3000,0),MATCH(L$4,폐업정보!$D$3:$R$3,0)),
"Error"))</f>
        <v>D0865</v>
      </c>
      <c r="M870" s="76" t="s">
        <v>96</v>
      </c>
      <c r="N870" s="77"/>
      <c r="O870" s="78" t="s">
        <v>97</v>
      </c>
      <c r="P870" s="79" t="n">
        <f aca="false">COUNTIFS(임대자산!$I:$I,가맹점정보!F870,임대자산!$N:$N,가맹점정보!P$4)</f>
        <v>0</v>
      </c>
      <c r="Q870" s="80" t="n">
        <f aca="false">COUNTIFS(임대자산!$I:$I,가맹점정보!F870,임대자산!$N:$N,가맹점정보!Q$4)</f>
        <v>0</v>
      </c>
      <c r="R870" s="81" t="n">
        <f aca="false">COUNTIFS(임대자산!$I:$I,가맹점정보!F870,임대자산!$N:$N,가맹점정보!R$4)</f>
        <v>1</v>
      </c>
      <c r="S870" s="82" t="n">
        <v>88000</v>
      </c>
      <c r="T870" s="83" t="n">
        <v>0</v>
      </c>
      <c r="U870" s="80" t="n">
        <f aca="false">SUM(S870:T870)</f>
        <v>88000</v>
      </c>
      <c r="V870" s="84" t="s">
        <v>7</v>
      </c>
      <c r="W870" s="80" t="str">
        <f aca="true">
IF(D870="폐업","폐업",
IF(V870="면제","면제",
IF(AND(V870="정상",COUNTIFS(OFFSET(Y870,0,COUNTA(Y870:AV870)-1,1,-4),"미납")&gt;=3),"장기미납",
IF(AND(V870="정상",OFFSET(Y870,0,COUNTA(Y870:AV870)-1)&gt;=U870),"정상",
IF(AND(V870="정상",OFFSET(Y870,0,COUNTA(Y870:AV870)-1)=0),"정상",
"계약서 미작성")))))</f>
        <v>면제</v>
      </c>
      <c r="X870" s="81" t="str">
        <f aca="true">
IF(D870="폐업","폐업",
IF(AND(V870="정상",OFFSET(Y870,0,COUNTA(Y870:AV870)-1)="미납"),"미납",
IF(AND(V870="정상",OFFSET(Y870,0,COUNTA(Y870:AV870)-1)=0),"납부 시작 전",
IF(AND(V870="정상",OFFSET(Y870,0,COUNTA(Y870:AV870)-1)&gt;=U870),"정상",
IF(AND(V870="면제",OFFSET(Y870,0,COUNTA(Y870:AV870)-1)="면제"),"면제",
IF(AND(V870="면제",OFFSET(Y870,0,COUNTA(Y870:AV870)-1)=0),"면제",
"확인요청"))))))</f>
        <v>면제</v>
      </c>
      <c r="Y870" s="94" t="s">
        <v>7</v>
      </c>
      <c r="Z870" s="95" t="s">
        <v>7</v>
      </c>
      <c r="AA870" s="95" t="s">
        <v>7</v>
      </c>
      <c r="AB870" s="95" t="s">
        <v>7</v>
      </c>
      <c r="AC870" s="95" t="s">
        <v>7</v>
      </c>
      <c r="AD870" s="95" t="s">
        <v>7</v>
      </c>
      <c r="AE870" s="95" t="s">
        <v>7</v>
      </c>
      <c r="AF870" s="95" t="s">
        <v>7</v>
      </c>
      <c r="AG870" s="95" t="s">
        <v>7</v>
      </c>
      <c r="AH870" s="95" t="s">
        <v>7</v>
      </c>
      <c r="AI870" s="95" t="s">
        <v>7</v>
      </c>
      <c r="AJ870" s="96" t="s">
        <v>7</v>
      </c>
      <c r="AK870" s="97" t="s">
        <v>7</v>
      </c>
      <c r="AL870" s="95" t="s">
        <v>7</v>
      </c>
      <c r="AM870" s="90"/>
      <c r="AN870" s="90"/>
      <c r="AO870" s="90"/>
      <c r="AP870" s="90"/>
      <c r="AQ870" s="90"/>
      <c r="AR870" s="90"/>
      <c r="AS870" s="90"/>
      <c r="AT870" s="90"/>
      <c r="AU870" s="90"/>
      <c r="AV870" s="91"/>
      <c r="AX870" s="92"/>
    </row>
    <row r="871" customFormat="false" ht="15.65" hidden="false" customHeight="false" outlineLevel="0" collapsed="false">
      <c r="C871" s="72" t="n">
        <f aca="false">COUNTIFS($D$6:D871,"&lt;&gt;"&amp;"")</f>
        <v>866</v>
      </c>
      <c r="D871" s="73" t="s">
        <v>12</v>
      </c>
      <c r="E871" s="76" t="str">
        <f aca="false">
IF($D871="정상",INDEX(임대자산!$D$3:$R$3000,MATCH($F871,임대자산!$I$3:$I$3000,0),MATCH(E$3,임대자산!$D$3:$R$3,0)),
IF($D871="폐업",INDEX(폐업정보!$D$3:$R$3000,MATCH($F871,폐업정보!$I$3:$I$3000,0),MATCH(E$3,폐업정보!$D$3:$R$3,0)),
"Error"))</f>
        <v>강원</v>
      </c>
      <c r="F87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B0866</v>
      </c>
      <c r="G871" s="76" t="str">
        <f aca="false">F871&amp;RANDBETWEEN(0,10)</f>
        <v>B08667</v>
      </c>
      <c r="H871" s="75" t="n">
        <f aca="false">
IF($D871="정상",INDEX(임대자산!$D$3:$R$3000,MATCH($F871,임대자산!$I$3:$I$3000,0),MATCH(H$4,임대자산!$D$3:$R$3,0)),
IF($D871="폐업",INDEX(폐업정보!$D$3:$R$3000,MATCH($F871,폐업정보!$I$3:$I$3000,0),MATCH(H$4,폐업정보!$D$3:$R$3,0)),
"Error"))</f>
        <v>45916</v>
      </c>
      <c r="I871" s="75" t="str">
        <f aca="false">
IF($D871="정상",INDEX(임대자산!$D$3:$R$3000,MATCH($F871,임대자산!$I$3:$I$3000,0),MATCH(I$4,임대자산!$D$3:$R$3,0)),
IF($D871="폐업",INDEX(폐업정보!$D$3:$R$3000,MATCH($F871,폐업정보!$I$3:$I$3000,0),MATCH(I$4,폐업정보!$D$3:$R$3,0)),
"Error"))</f>
        <v>A0866</v>
      </c>
      <c r="J871" s="75" t="str">
        <f aca="false">
IF($D871="정상",INDEX(임대자산!$D$3:$R$3000,MATCH($F871,임대자산!$I$3:$I$3000,0),MATCH(J$4,임대자산!$D$3:$R$3,0)),
IF($D871="폐업",INDEX(폐업정보!$D$3:$R$3000,MATCH($F871,폐업정보!$I$3:$I$3000,0),MATCH(J$4,폐업정보!$D$3:$R$3,0)),
"Error"))</f>
        <v>8558500000</v>
      </c>
      <c r="K871" s="75" t="str">
        <f aca="false">
IF($D871="정상",INDEX(임대자산!$D$3:$R$3000,MATCH($F871,임대자산!$I$3:$I$3000,0),MATCH(K$4,임대자산!$D$3:$R$3,0)),
IF($D871="폐업",INDEX(폐업정보!$D$3:$R$3000,MATCH($F871,폐업정보!$I$3:$I$3000,0),MATCH(K$4,폐업정보!$D$3:$R$3,0)),
"Error"))</f>
        <v>C0866</v>
      </c>
      <c r="L871" s="75" t="str">
        <f aca="false">
IF($D871="정상",INDEX(임대자산!$D$3:$R$3000,MATCH($F871,임대자산!$I$3:$I$3000,0),MATCH(L$4,임대자산!$D$3:$R$3,0)),
IF($D871="폐업",INDEX(폐업정보!$D$3:$R$3000,MATCH($F871,폐업정보!$I$3:$I$3000,0),MATCH(L$4,폐업정보!$D$3:$R$3,0)),
"Error"))</f>
        <v>D0866</v>
      </c>
      <c r="M871" s="76" t="s">
        <v>96</v>
      </c>
      <c r="N871" s="77"/>
      <c r="O871" s="78" t="s">
        <v>97</v>
      </c>
      <c r="P871" s="79" t="n">
        <f aca="false">COUNTIFS(임대자산!$I:$I,가맹점정보!F871,임대자산!$N:$N,가맹점정보!P$4)</f>
        <v>0</v>
      </c>
      <c r="Q871" s="80" t="n">
        <f aca="false">COUNTIFS(임대자산!$I:$I,가맹점정보!F871,임대자산!$N:$N,가맹점정보!Q$4)</f>
        <v>0</v>
      </c>
      <c r="R871" s="81" t="n">
        <f aca="false">COUNTIFS(임대자산!$I:$I,가맹점정보!F871,임대자산!$N:$N,가맹점정보!R$4)</f>
        <v>1</v>
      </c>
      <c r="S871" s="82" t="n">
        <v>55000</v>
      </c>
      <c r="T871" s="83" t="n">
        <v>0</v>
      </c>
      <c r="U871" s="80" t="n">
        <f aca="false">SUM(S871:T871)</f>
        <v>55000</v>
      </c>
      <c r="V871" s="84" t="s">
        <v>7</v>
      </c>
      <c r="W871" s="80" t="str">
        <f aca="true">
IF(D871="폐업","폐업",
IF(V871="면제","면제",
IF(AND(V871="정상",COUNTIFS(OFFSET(Y871,0,COUNTA(Y871:AV871)-1,1,-4),"미납")&gt;=3),"장기미납",
IF(AND(V871="정상",OFFSET(Y871,0,COUNTA(Y871:AV871)-1)&gt;=U871),"정상",
IF(AND(V871="정상",OFFSET(Y871,0,COUNTA(Y871:AV871)-1)=0),"정상",
"계약서 미작성")))))</f>
        <v>면제</v>
      </c>
      <c r="X871" s="81" t="str">
        <f aca="true">
IF(D871="폐업","폐업",
IF(AND(V871="정상",OFFSET(Y871,0,COUNTA(Y871:AV871)-1)="미납"),"미납",
IF(AND(V871="정상",OFFSET(Y871,0,COUNTA(Y871:AV871)-1)=0),"납부 시작 전",
IF(AND(V871="정상",OFFSET(Y871,0,COUNTA(Y871:AV871)-1)&gt;=U871),"정상",
IF(AND(V871="면제",OFFSET(Y871,0,COUNTA(Y871:AV871)-1)="면제"),"면제",
IF(AND(V871="면제",OFFSET(Y871,0,COUNTA(Y871:AV871)-1)=0),"면제",
"확인요청"))))))</f>
        <v>면제</v>
      </c>
      <c r="Y871" s="94" t="s">
        <v>7</v>
      </c>
      <c r="Z871" s="95" t="s">
        <v>7</v>
      </c>
      <c r="AA871" s="95" t="s">
        <v>7</v>
      </c>
      <c r="AB871" s="95" t="s">
        <v>7</v>
      </c>
      <c r="AC871" s="95" t="s">
        <v>7</v>
      </c>
      <c r="AD871" s="95" t="s">
        <v>7</v>
      </c>
      <c r="AE871" s="95" t="s">
        <v>7</v>
      </c>
      <c r="AF871" s="95" t="s">
        <v>7</v>
      </c>
      <c r="AG871" s="95" t="s">
        <v>7</v>
      </c>
      <c r="AH871" s="95" t="s">
        <v>7</v>
      </c>
      <c r="AI871" s="95" t="s">
        <v>7</v>
      </c>
      <c r="AJ871" s="96" t="s">
        <v>7</v>
      </c>
      <c r="AK871" s="97" t="s">
        <v>7</v>
      </c>
      <c r="AL871" s="95" t="s">
        <v>7</v>
      </c>
      <c r="AM871" s="90"/>
      <c r="AN871" s="90"/>
      <c r="AO871" s="90"/>
      <c r="AP871" s="90"/>
      <c r="AQ871" s="90"/>
      <c r="AR871" s="90"/>
      <c r="AS871" s="90"/>
      <c r="AT871" s="90"/>
      <c r="AU871" s="90"/>
      <c r="AV871" s="91"/>
      <c r="AX871" s="92"/>
    </row>
    <row r="872" customFormat="false" ht="15.65" hidden="false" customHeight="false" outlineLevel="0" collapsed="false">
      <c r="C872" s="72" t="n">
        <f aca="false">COUNTIFS($D$6:D872,"&lt;&gt;"&amp;"")</f>
        <v>867</v>
      </c>
      <c r="D872" s="73" t="s">
        <v>12</v>
      </c>
      <c r="E872" s="76" t="str">
        <f aca="false">
IF($D872="정상",INDEX(임대자산!$D$3:$R$3000,MATCH($F872,임대자산!$I$3:$I$3000,0),MATCH(E$3,임대자산!$D$3:$R$3,0)),
IF($D872="폐업",INDEX(폐업정보!$D$3:$R$3000,MATCH($F872,폐업정보!$I$3:$I$3000,0),MATCH(E$3,폐업정보!$D$3:$R$3,0)),
"Error"))</f>
        <v>강원</v>
      </c>
      <c r="F87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B0867</v>
      </c>
      <c r="G872" s="76" t="str">
        <f aca="false">F872&amp;RANDBETWEEN(0,10)</f>
        <v>B08670</v>
      </c>
      <c r="H872" s="75" t="n">
        <f aca="false">
IF($D872="정상",INDEX(임대자산!$D$3:$R$3000,MATCH($F872,임대자산!$I$3:$I$3000,0),MATCH(H$4,임대자산!$D$3:$R$3,0)),
IF($D872="폐업",INDEX(폐업정보!$D$3:$R$3000,MATCH($F872,폐업정보!$I$3:$I$3000,0),MATCH(H$4,폐업정보!$D$3:$R$3,0)),
"Error"))</f>
        <v>44356</v>
      </c>
      <c r="I872" s="75" t="str">
        <f aca="false">
IF($D872="정상",INDEX(임대자산!$D$3:$R$3000,MATCH($F872,임대자산!$I$3:$I$3000,0),MATCH(I$4,임대자산!$D$3:$R$3,0)),
IF($D872="폐업",INDEX(폐업정보!$D$3:$R$3000,MATCH($F872,폐업정보!$I$3:$I$3000,0),MATCH(I$4,폐업정보!$D$3:$R$3,0)),
"Error"))</f>
        <v>A0867</v>
      </c>
      <c r="J872" s="75" t="str">
        <f aca="false">
IF($D872="정상",INDEX(임대자산!$D$3:$R$3000,MATCH($F872,임대자산!$I$3:$I$3000,0),MATCH(J$4,임대자산!$D$3:$R$3,0)),
IF($D872="폐업",INDEX(폐업정보!$D$3:$R$3000,MATCH($F872,폐업정보!$I$3:$I$3000,0),MATCH(J$4,폐업정보!$D$3:$R$3,0)),
"Error"))</f>
        <v>1067300000</v>
      </c>
      <c r="K872" s="75" t="str">
        <f aca="false">
IF($D872="정상",INDEX(임대자산!$D$3:$R$3000,MATCH($F872,임대자산!$I$3:$I$3000,0),MATCH(K$4,임대자산!$D$3:$R$3,0)),
IF($D872="폐업",INDEX(폐업정보!$D$3:$R$3000,MATCH($F872,폐업정보!$I$3:$I$3000,0),MATCH(K$4,폐업정보!$D$3:$R$3,0)),
"Error"))</f>
        <v>C0867</v>
      </c>
      <c r="L872" s="75" t="str">
        <f aca="false">
IF($D872="정상",INDEX(임대자산!$D$3:$R$3000,MATCH($F872,임대자산!$I$3:$I$3000,0),MATCH(L$4,임대자산!$D$3:$R$3,0)),
IF($D872="폐업",INDEX(폐업정보!$D$3:$R$3000,MATCH($F872,폐업정보!$I$3:$I$3000,0),MATCH(L$4,폐업정보!$D$3:$R$3,0)),
"Error"))</f>
        <v>D0867</v>
      </c>
      <c r="M872" s="76" t="s">
        <v>96</v>
      </c>
      <c r="N872" s="77"/>
      <c r="O872" s="78" t="s">
        <v>97</v>
      </c>
      <c r="P872" s="79" t="n">
        <f aca="false">COUNTIFS(임대자산!$I:$I,가맹점정보!F872,임대자산!$N:$N,가맹점정보!P$4)</f>
        <v>0</v>
      </c>
      <c r="Q872" s="80" t="n">
        <f aca="false">COUNTIFS(임대자산!$I:$I,가맹점정보!F872,임대자산!$N:$N,가맹점정보!Q$4)</f>
        <v>0</v>
      </c>
      <c r="R872" s="81" t="n">
        <f aca="false">COUNTIFS(임대자산!$I:$I,가맹점정보!F872,임대자산!$N:$N,가맹점정보!R$4)</f>
        <v>1</v>
      </c>
      <c r="S872" s="82" t="n">
        <v>55000</v>
      </c>
      <c r="T872" s="83" t="n">
        <v>0</v>
      </c>
      <c r="U872" s="80" t="n">
        <f aca="false">SUM(S872:T872)</f>
        <v>55000</v>
      </c>
      <c r="V872" s="84" t="s">
        <v>12</v>
      </c>
      <c r="W872" s="80" t="e">
        <f aca="true">
IF(D872="폐업","폐업",
IF(V872="면제","면제",
IF(AND(V872="정상",COUNTIFS(OFFSET(Y872,0,COUNTA(Y872:AV872)-1,1,-4),"미납")&gt;=3),"장기미납",
IF(AND(V872="정상",OFFSET(Y872,0,COUNTA(Y872:AV872)-1)&gt;=U872),"정상",
IF(AND(V872="정상",OFFSET(Y872,0,COUNTA(Y872:AV872)-1)=0),"정상",
"계약서 미작성")))))</f>
        <v>#VALUE!</v>
      </c>
      <c r="X872" s="81" t="str">
        <f aca="true">
IF(D872="폐업","폐업",
IF(AND(V872="정상",OFFSET(Y872,0,COUNTA(Y872:AV872)-1)="미납"),"미납",
IF(AND(V872="정상",OFFSET(Y872,0,COUNTA(Y872:AV872)-1)=0),"납부 시작 전",
IF(AND(V872="정상",OFFSET(Y872,0,COUNTA(Y872:AV872)-1)&gt;=U872),"정상",
IF(AND(V872="면제",OFFSET(Y872,0,COUNTA(Y872:AV872)-1)="면제"),"면제",
IF(AND(V872="면제",OFFSET(Y872,0,COUNTA(Y872:AV872)-1)=0),"면제",
"확인요청"))))))</f>
        <v>정상</v>
      </c>
      <c r="Y872" s="93" t="n">
        <v>55000</v>
      </c>
      <c r="Z872" s="90" t="n">
        <v>55000</v>
      </c>
      <c r="AA872" s="90" t="n">
        <v>55000</v>
      </c>
      <c r="AB872" s="90" t="n">
        <v>55000</v>
      </c>
      <c r="AC872" s="90" t="n">
        <v>55000</v>
      </c>
      <c r="AD872" s="90" t="n">
        <v>55000</v>
      </c>
      <c r="AE872" s="90" t="n">
        <v>55000</v>
      </c>
      <c r="AF872" s="90" t="n">
        <v>55000</v>
      </c>
      <c r="AG872" s="90" t="n">
        <v>55000</v>
      </c>
      <c r="AH872" s="90" t="n">
        <v>55000</v>
      </c>
      <c r="AI872" s="90" t="n">
        <v>55000</v>
      </c>
      <c r="AJ872" s="91" t="n">
        <v>55000</v>
      </c>
      <c r="AK872" s="89" t="n">
        <v>55000</v>
      </c>
      <c r="AL872" s="90" t="n">
        <v>55000</v>
      </c>
      <c r="AM872" s="90"/>
      <c r="AN872" s="90"/>
      <c r="AO872" s="90"/>
      <c r="AP872" s="90"/>
      <c r="AQ872" s="90"/>
      <c r="AR872" s="90"/>
      <c r="AS872" s="90"/>
      <c r="AT872" s="90"/>
      <c r="AU872" s="90"/>
      <c r="AV872" s="91"/>
      <c r="AX872" s="92"/>
    </row>
    <row r="873" customFormat="false" ht="15.65" hidden="false" customHeight="false" outlineLevel="0" collapsed="false">
      <c r="C873" s="72" t="n">
        <f aca="false">COUNTIFS($D$6:D873,"&lt;&gt;"&amp;"")</f>
        <v>868</v>
      </c>
      <c r="D873" s="73" t="s">
        <v>12</v>
      </c>
      <c r="E873" s="76" t="str">
        <f aca="false">
IF($D873="정상",INDEX(임대자산!$D$3:$R$3000,MATCH($F873,임대자산!$I$3:$I$3000,0),MATCH(E$3,임대자산!$D$3:$R$3,0)),
IF($D873="폐업",INDEX(폐업정보!$D$3:$R$3000,MATCH($F873,폐업정보!$I$3:$I$3000,0),MATCH(E$3,폐업정보!$D$3:$R$3,0)),
"Error"))</f>
        <v>강원</v>
      </c>
      <c r="F87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B0868</v>
      </c>
      <c r="G873" s="76" t="str">
        <f aca="false">F873&amp;RANDBETWEEN(0,10)</f>
        <v>B08685</v>
      </c>
      <c r="H873" s="75" t="n">
        <f aca="false">
IF($D873="정상",INDEX(임대자산!$D$3:$R$3000,MATCH($F873,임대자산!$I$3:$I$3000,0),MATCH(H$4,임대자산!$D$3:$R$3,0)),
IF($D873="폐업",INDEX(폐업정보!$D$3:$R$3000,MATCH($F873,폐업정보!$I$3:$I$3000,0),MATCH(H$4,폐업정보!$D$3:$R$3,0)),
"Error"))</f>
        <v>44356</v>
      </c>
      <c r="I873" s="75" t="str">
        <f aca="false">
IF($D873="정상",INDEX(임대자산!$D$3:$R$3000,MATCH($F873,임대자산!$I$3:$I$3000,0),MATCH(I$4,임대자산!$D$3:$R$3,0)),
IF($D873="폐업",INDEX(폐업정보!$D$3:$R$3000,MATCH($F873,폐업정보!$I$3:$I$3000,0),MATCH(I$4,폐업정보!$D$3:$R$3,0)),
"Error"))</f>
        <v>A0868</v>
      </c>
      <c r="J873" s="75" t="str">
        <f aca="false">
IF($D873="정상",INDEX(임대자산!$D$3:$R$3000,MATCH($F873,임대자산!$I$3:$I$3000,0),MATCH(J$4,임대자산!$D$3:$R$3,0)),
IF($D873="폐업",INDEX(폐업정보!$D$3:$R$3000,MATCH($F873,폐업정보!$I$3:$I$3000,0),MATCH(J$4,폐업정보!$D$3:$R$3,0)),
"Error"))</f>
        <v>2740200000</v>
      </c>
      <c r="K873" s="75" t="str">
        <f aca="false">
IF($D873="정상",INDEX(임대자산!$D$3:$R$3000,MATCH($F873,임대자산!$I$3:$I$3000,0),MATCH(K$4,임대자산!$D$3:$R$3,0)),
IF($D873="폐업",INDEX(폐업정보!$D$3:$R$3000,MATCH($F873,폐업정보!$I$3:$I$3000,0),MATCH(K$4,폐업정보!$D$3:$R$3,0)),
"Error"))</f>
        <v>C0868</v>
      </c>
      <c r="L873" s="75" t="str">
        <f aca="false">
IF($D873="정상",INDEX(임대자산!$D$3:$R$3000,MATCH($F873,임대자산!$I$3:$I$3000,0),MATCH(L$4,임대자산!$D$3:$R$3,0)),
IF($D873="폐업",INDEX(폐업정보!$D$3:$R$3000,MATCH($F873,폐업정보!$I$3:$I$3000,0),MATCH(L$4,폐업정보!$D$3:$R$3,0)),
"Error"))</f>
        <v>D0868</v>
      </c>
      <c r="M873" s="76" t="s">
        <v>96</v>
      </c>
      <c r="N873" s="77"/>
      <c r="O873" s="78" t="s">
        <v>97</v>
      </c>
      <c r="P873" s="79" t="n">
        <f aca="false">COUNTIFS(임대자산!$I:$I,가맹점정보!F873,임대자산!$N:$N,가맹점정보!P$4)</f>
        <v>0</v>
      </c>
      <c r="Q873" s="80" t="n">
        <f aca="false">COUNTIFS(임대자산!$I:$I,가맹점정보!F873,임대자산!$N:$N,가맹점정보!Q$4)</f>
        <v>0</v>
      </c>
      <c r="R873" s="81" t="n">
        <f aca="false">COUNTIFS(임대자산!$I:$I,가맹점정보!F873,임대자산!$N:$N,가맹점정보!R$4)</f>
        <v>1</v>
      </c>
      <c r="S873" s="82" t="n">
        <v>55000</v>
      </c>
      <c r="T873" s="83" t="n">
        <v>0</v>
      </c>
      <c r="U873" s="80" t="n">
        <f aca="false">SUM(S873:T873)</f>
        <v>55000</v>
      </c>
      <c r="V873" s="84" t="s">
        <v>12</v>
      </c>
      <c r="W873" s="80" t="e">
        <f aca="true">
IF(D873="폐업","폐업",
IF(V873="면제","면제",
IF(AND(V873="정상",COUNTIFS(OFFSET(Y873,0,COUNTA(Y873:AV873)-1,1,-4),"미납")&gt;=3),"장기미납",
IF(AND(V873="정상",OFFSET(Y873,0,COUNTA(Y873:AV873)-1)&gt;=U873),"정상",
IF(AND(V873="정상",OFFSET(Y873,0,COUNTA(Y873:AV873)-1)=0),"정상",
"계약서 미작성")))))</f>
        <v>#VALUE!</v>
      </c>
      <c r="X873" s="81" t="str">
        <f aca="true">
IF(D873="폐업","폐업",
IF(AND(V873="정상",OFFSET(Y873,0,COUNTA(Y873:AV873)-1)="미납"),"미납",
IF(AND(V873="정상",OFFSET(Y873,0,COUNTA(Y873:AV873)-1)=0),"납부 시작 전",
IF(AND(V873="정상",OFFSET(Y873,0,COUNTA(Y873:AV873)-1)&gt;=U873),"정상",
IF(AND(V873="면제",OFFSET(Y873,0,COUNTA(Y873:AV873)-1)="면제"),"면제",
IF(AND(V873="면제",OFFSET(Y873,0,COUNTA(Y873:AV873)-1)=0),"면제",
"확인요청"))))))</f>
        <v>정상</v>
      </c>
      <c r="Y873" s="93" t="n">
        <v>55000</v>
      </c>
      <c r="Z873" s="90" t="n">
        <v>55000</v>
      </c>
      <c r="AA873" s="90" t="n">
        <v>55000</v>
      </c>
      <c r="AB873" s="90" t="n">
        <v>55000</v>
      </c>
      <c r="AC873" s="90" t="n">
        <v>55000</v>
      </c>
      <c r="AD873" s="90" t="n">
        <v>55000</v>
      </c>
      <c r="AE873" s="90" t="n">
        <v>55000</v>
      </c>
      <c r="AF873" s="90" t="n">
        <v>55000</v>
      </c>
      <c r="AG873" s="90" t="n">
        <v>55000</v>
      </c>
      <c r="AH873" s="90" t="n">
        <v>55000</v>
      </c>
      <c r="AI873" s="90" t="n">
        <v>55000</v>
      </c>
      <c r="AJ873" s="91" t="n">
        <v>55000</v>
      </c>
      <c r="AK873" s="89" t="n">
        <v>55000</v>
      </c>
      <c r="AL873" s="90" t="n">
        <v>55000</v>
      </c>
      <c r="AM873" s="90"/>
      <c r="AN873" s="90"/>
      <c r="AO873" s="90"/>
      <c r="AP873" s="90"/>
      <c r="AQ873" s="90"/>
      <c r="AR873" s="90"/>
      <c r="AS873" s="90"/>
      <c r="AT873" s="90"/>
      <c r="AU873" s="90"/>
      <c r="AV873" s="91"/>
      <c r="AX873" s="92"/>
    </row>
    <row r="874" customFormat="false" ht="15.65" hidden="false" customHeight="false" outlineLevel="0" collapsed="false">
      <c r="C874" s="72" t="n">
        <f aca="false">COUNTIFS($D$6:D874,"&lt;&gt;"&amp;"")</f>
        <v>869</v>
      </c>
      <c r="D874" s="73" t="s">
        <v>12</v>
      </c>
      <c r="E874" s="76" t="str">
        <f aca="false">
IF($D874="정상",INDEX(임대자산!$D$3:$R$3000,MATCH($F874,임대자산!$I$3:$I$3000,0),MATCH(E$3,임대자산!$D$3:$R$3,0)),
IF($D874="폐업",INDEX(폐업정보!$D$3:$R$3000,MATCH($F874,폐업정보!$I$3:$I$3000,0),MATCH(E$3,폐업정보!$D$3:$R$3,0)),
"Error"))</f>
        <v>경기</v>
      </c>
      <c r="F87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B0869</v>
      </c>
      <c r="G874" s="76" t="str">
        <f aca="false">F874&amp;RANDBETWEEN(0,10)</f>
        <v>B08699</v>
      </c>
      <c r="H874" s="75" t="n">
        <f aca="false">
IF($D874="정상",INDEX(임대자산!$D$3:$R$3000,MATCH($F874,임대자산!$I$3:$I$3000,0),MATCH(H$4,임대자산!$D$3:$R$3,0)),
IF($D874="폐업",INDEX(폐업정보!$D$3:$R$3000,MATCH($F874,폐업정보!$I$3:$I$3000,0),MATCH(H$4,폐업정보!$D$3:$R$3,0)),
"Error"))</f>
        <v>44362</v>
      </c>
      <c r="I874" s="75" t="str">
        <f aca="false">
IF($D874="정상",INDEX(임대자산!$D$3:$R$3000,MATCH($F874,임대자산!$I$3:$I$3000,0),MATCH(I$4,임대자산!$D$3:$R$3,0)),
IF($D874="폐업",INDEX(폐업정보!$D$3:$R$3000,MATCH($F874,폐업정보!$I$3:$I$3000,0),MATCH(I$4,폐업정보!$D$3:$R$3,0)),
"Error"))</f>
        <v>A0869</v>
      </c>
      <c r="J874" s="75" t="str">
        <f aca="false">
IF($D874="정상",INDEX(임대자산!$D$3:$R$3000,MATCH($F874,임대자산!$I$3:$I$3000,0),MATCH(J$4,임대자산!$D$3:$R$3,0)),
IF($D874="폐업",INDEX(폐업정보!$D$3:$R$3000,MATCH($F874,폐업정보!$I$3:$I$3000,0),MATCH(J$4,폐업정보!$D$3:$R$3,0)),
"Error"))</f>
        <v>8860500000</v>
      </c>
      <c r="K874" s="75" t="str">
        <f aca="false">
IF($D874="정상",INDEX(임대자산!$D$3:$R$3000,MATCH($F874,임대자산!$I$3:$I$3000,0),MATCH(K$4,임대자산!$D$3:$R$3,0)),
IF($D874="폐업",INDEX(폐업정보!$D$3:$R$3000,MATCH($F874,폐업정보!$I$3:$I$3000,0),MATCH(K$4,폐업정보!$D$3:$R$3,0)),
"Error"))</f>
        <v>C0869</v>
      </c>
      <c r="L874" s="75" t="str">
        <f aca="false">
IF($D874="정상",INDEX(임대자산!$D$3:$R$3000,MATCH($F874,임대자산!$I$3:$I$3000,0),MATCH(L$4,임대자산!$D$3:$R$3,0)),
IF($D874="폐업",INDEX(폐업정보!$D$3:$R$3000,MATCH($F874,폐업정보!$I$3:$I$3000,0),MATCH(L$4,폐업정보!$D$3:$R$3,0)),
"Error"))</f>
        <v>D0869</v>
      </c>
      <c r="M874" s="76" t="s">
        <v>96</v>
      </c>
      <c r="N874" s="77"/>
      <c r="O874" s="78" t="s">
        <v>97</v>
      </c>
      <c r="P874" s="79" t="n">
        <f aca="false">COUNTIFS(임대자산!$I:$I,가맹점정보!F874,임대자산!$N:$N,가맹점정보!P$4)</f>
        <v>0</v>
      </c>
      <c r="Q874" s="80" t="n">
        <f aca="false">COUNTIFS(임대자산!$I:$I,가맹점정보!F874,임대자산!$N:$N,가맹점정보!Q$4)</f>
        <v>0</v>
      </c>
      <c r="R874" s="81" t="n">
        <f aca="false">COUNTIFS(임대자산!$I:$I,가맹점정보!F874,임대자산!$N:$N,가맹점정보!R$4)</f>
        <v>1</v>
      </c>
      <c r="S874" s="82" t="n">
        <v>55000</v>
      </c>
      <c r="T874" s="83" t="n">
        <v>0</v>
      </c>
      <c r="U874" s="80" t="n">
        <f aca="false">SUM(S874:T874)</f>
        <v>55000</v>
      </c>
      <c r="V874" s="84" t="s">
        <v>12</v>
      </c>
      <c r="W874" s="80" t="e">
        <f aca="true">
IF(D874="폐업","폐업",
IF(V874="면제","면제",
IF(AND(V874="정상",COUNTIFS(OFFSET(Y874,0,COUNTA(Y874:AV874)-1,1,-4),"미납")&gt;=3),"장기미납",
IF(AND(V874="정상",OFFSET(Y874,0,COUNTA(Y874:AV874)-1)&gt;=U874),"정상",
IF(AND(V874="정상",OFFSET(Y874,0,COUNTA(Y874:AV874)-1)=0),"정상",
"계약서 미작성")))))</f>
        <v>#VALUE!</v>
      </c>
      <c r="X874" s="81" t="str">
        <f aca="true">
IF(D874="폐업","폐업",
IF(AND(V874="정상",OFFSET(Y874,0,COUNTA(Y874:AV874)-1)="미납"),"미납",
IF(AND(V874="정상",OFFSET(Y874,0,COUNTA(Y874:AV874)-1)=0),"납부 시작 전",
IF(AND(V874="정상",OFFSET(Y874,0,COUNTA(Y874:AV874)-1)&gt;=U874),"정상",
IF(AND(V874="면제",OFFSET(Y874,0,COUNTA(Y874:AV874)-1)="면제"),"면제",
IF(AND(V874="면제",OFFSET(Y874,0,COUNTA(Y874:AV874)-1)=0),"면제",
"확인요청"))))))</f>
        <v>정상</v>
      </c>
      <c r="Y874" s="93" t="n">
        <v>55000</v>
      </c>
      <c r="Z874" s="90" t="n">
        <v>55000</v>
      </c>
      <c r="AA874" s="90" t="n">
        <v>55000</v>
      </c>
      <c r="AB874" s="90" t="n">
        <v>55000</v>
      </c>
      <c r="AC874" s="90" t="n">
        <v>55000</v>
      </c>
      <c r="AD874" s="90" t="n">
        <v>55000</v>
      </c>
      <c r="AE874" s="90" t="n">
        <v>55000</v>
      </c>
      <c r="AF874" s="90" t="n">
        <v>55000</v>
      </c>
      <c r="AG874" s="90" t="n">
        <v>55000</v>
      </c>
      <c r="AH874" s="90" t="n">
        <v>55000</v>
      </c>
      <c r="AI874" s="90" t="n">
        <v>55000</v>
      </c>
      <c r="AJ874" s="91" t="n">
        <v>55000</v>
      </c>
      <c r="AK874" s="89" t="n">
        <v>55000</v>
      </c>
      <c r="AL874" s="90" t="n">
        <v>55000</v>
      </c>
      <c r="AM874" s="90"/>
      <c r="AN874" s="90"/>
      <c r="AO874" s="90"/>
      <c r="AP874" s="90"/>
      <c r="AQ874" s="90"/>
      <c r="AR874" s="90"/>
      <c r="AS874" s="90"/>
      <c r="AT874" s="90"/>
      <c r="AU874" s="90"/>
      <c r="AV874" s="91"/>
      <c r="AX874" s="92"/>
    </row>
    <row r="875" customFormat="false" ht="15.65" hidden="false" customHeight="false" outlineLevel="0" collapsed="false">
      <c r="C875" s="72" t="n">
        <f aca="false">COUNTIFS($D$6:D875,"&lt;&gt;"&amp;"")</f>
        <v>870</v>
      </c>
      <c r="D875" s="73" t="s">
        <v>12</v>
      </c>
      <c r="E875" s="76" t="str">
        <f aca="false">
IF($D875="정상",INDEX(임대자산!$D$3:$R$3000,MATCH($F875,임대자산!$I$3:$I$3000,0),MATCH(E$3,임대자산!$D$3:$R$3,0)),
IF($D875="폐업",INDEX(폐업정보!$D$3:$R$3000,MATCH($F875,폐업정보!$I$3:$I$3000,0),MATCH(E$3,폐업정보!$D$3:$R$3,0)),
"Error"))</f>
        <v>경상</v>
      </c>
      <c r="F87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B0870</v>
      </c>
      <c r="G875" s="76" t="str">
        <f aca="false">F875&amp;RANDBETWEEN(0,10)</f>
        <v>B08706</v>
      </c>
      <c r="H875" s="75" t="n">
        <f aca="false">
IF($D875="정상",INDEX(임대자산!$D$3:$R$3000,MATCH($F875,임대자산!$I$3:$I$3000,0),MATCH(H$4,임대자산!$D$3:$R$3,0)),
IF($D875="폐업",INDEX(폐업정보!$D$3:$R$3000,MATCH($F875,폐업정보!$I$3:$I$3000,0),MATCH(H$4,폐업정보!$D$3:$R$3,0)),
"Error"))</f>
        <v>45751</v>
      </c>
      <c r="I875" s="75" t="str">
        <f aca="false">
IF($D875="정상",INDEX(임대자산!$D$3:$R$3000,MATCH($F875,임대자산!$I$3:$I$3000,0),MATCH(I$4,임대자산!$D$3:$R$3,0)),
IF($D875="폐업",INDEX(폐업정보!$D$3:$R$3000,MATCH($F875,폐업정보!$I$3:$I$3000,0),MATCH(I$4,폐업정보!$D$3:$R$3,0)),
"Error"))</f>
        <v>A0870</v>
      </c>
      <c r="J875" s="75" t="str">
        <f aca="false">
IF($D875="정상",INDEX(임대자산!$D$3:$R$3000,MATCH($F875,임대자산!$I$3:$I$3000,0),MATCH(J$4,임대자산!$D$3:$R$3,0)),
IF($D875="폐업",INDEX(폐업정보!$D$3:$R$3000,MATCH($F875,폐업정보!$I$3:$I$3000,0),MATCH(J$4,폐업정보!$D$3:$R$3,0)),
"Error"))</f>
        <v>6527600000</v>
      </c>
      <c r="K875" s="75" t="str">
        <f aca="false">
IF($D875="정상",INDEX(임대자산!$D$3:$R$3000,MATCH($F875,임대자산!$I$3:$I$3000,0),MATCH(K$4,임대자산!$D$3:$R$3,0)),
IF($D875="폐업",INDEX(폐업정보!$D$3:$R$3000,MATCH($F875,폐업정보!$I$3:$I$3000,0),MATCH(K$4,폐업정보!$D$3:$R$3,0)),
"Error"))</f>
        <v>C0870</v>
      </c>
      <c r="L875" s="75" t="str">
        <f aca="false">
IF($D875="정상",INDEX(임대자산!$D$3:$R$3000,MATCH($F875,임대자산!$I$3:$I$3000,0),MATCH(L$4,임대자산!$D$3:$R$3,0)),
IF($D875="폐업",INDEX(폐업정보!$D$3:$R$3000,MATCH($F875,폐업정보!$I$3:$I$3000,0),MATCH(L$4,폐업정보!$D$3:$R$3,0)),
"Error"))</f>
        <v>D0870</v>
      </c>
      <c r="M875" s="76" t="s">
        <v>96</v>
      </c>
      <c r="N875" s="77"/>
      <c r="O875" s="78" t="s">
        <v>97</v>
      </c>
      <c r="P875" s="79" t="n">
        <f aca="false">COUNTIFS(임대자산!$I:$I,가맹점정보!F875,임대자산!$N:$N,가맹점정보!P$4)</f>
        <v>0</v>
      </c>
      <c r="Q875" s="80" t="n">
        <f aca="false">COUNTIFS(임대자산!$I:$I,가맹점정보!F875,임대자산!$N:$N,가맹점정보!Q$4)</f>
        <v>0</v>
      </c>
      <c r="R875" s="81" t="n">
        <f aca="false">COUNTIFS(임대자산!$I:$I,가맹점정보!F875,임대자산!$N:$N,가맹점정보!R$4)</f>
        <v>1</v>
      </c>
      <c r="S875" s="82" t="n">
        <v>55000</v>
      </c>
      <c r="T875" s="83" t="n">
        <v>0</v>
      </c>
      <c r="U875" s="80" t="n">
        <f aca="false">SUM(S875:T875)</f>
        <v>55000</v>
      </c>
      <c r="V875" s="84" t="s">
        <v>12</v>
      </c>
      <c r="W875" s="80" t="e">
        <f aca="true">
IF(D875="폐업","폐업",
IF(V875="면제","면제",
IF(AND(V875="정상",COUNTIFS(OFFSET(Y875,0,COUNTA(Y875:AV875)-1,1,-4),"미납")&gt;=3),"장기미납",
IF(AND(V875="정상",OFFSET(Y875,0,COUNTA(Y875:AV875)-1)&gt;=U875),"정상",
IF(AND(V875="정상",OFFSET(Y875,0,COUNTA(Y875:AV875)-1)=0),"정상",
"계약서 미작성")))))</f>
        <v>#VALUE!</v>
      </c>
      <c r="X875" s="81" t="str">
        <f aca="true">
IF(D875="폐업","폐업",
IF(AND(V875="정상",OFFSET(Y875,0,COUNTA(Y875:AV875)-1)="미납"),"미납",
IF(AND(V875="정상",OFFSET(Y875,0,COUNTA(Y875:AV875)-1)=0),"납부 시작 전",
IF(AND(V875="정상",OFFSET(Y875,0,COUNTA(Y875:AV875)-1)&gt;=U875),"정상",
IF(AND(V875="면제",OFFSET(Y875,0,COUNTA(Y875:AV875)-1)="면제"),"면제",
IF(AND(V875="면제",OFFSET(Y875,0,COUNTA(Y875:AV875)-1)=0),"면제",
"확인요청"))))))</f>
        <v>정상</v>
      </c>
      <c r="Y875" s="93" t="n">
        <v>55000</v>
      </c>
      <c r="Z875" s="90" t="n">
        <v>55000</v>
      </c>
      <c r="AA875" s="90" t="n">
        <v>55000</v>
      </c>
      <c r="AB875" s="90" t="n">
        <v>55000</v>
      </c>
      <c r="AC875" s="90" t="n">
        <v>55000</v>
      </c>
      <c r="AD875" s="90" t="n">
        <v>55000</v>
      </c>
      <c r="AE875" s="90" t="n">
        <v>55000</v>
      </c>
      <c r="AF875" s="90" t="n">
        <v>55000</v>
      </c>
      <c r="AG875" s="90" t="n">
        <v>55000</v>
      </c>
      <c r="AH875" s="90" t="n">
        <v>55000</v>
      </c>
      <c r="AI875" s="90" t="n">
        <v>55000</v>
      </c>
      <c r="AJ875" s="91" t="n">
        <v>55000</v>
      </c>
      <c r="AK875" s="89" t="n">
        <v>55000</v>
      </c>
      <c r="AL875" s="90" t="n">
        <v>55000</v>
      </c>
      <c r="AM875" s="90"/>
      <c r="AN875" s="90"/>
      <c r="AO875" s="90"/>
      <c r="AP875" s="90"/>
      <c r="AQ875" s="90"/>
      <c r="AR875" s="90"/>
      <c r="AS875" s="90"/>
      <c r="AT875" s="90"/>
      <c r="AU875" s="90"/>
      <c r="AV875" s="91"/>
      <c r="AX875" s="92"/>
    </row>
    <row r="876" customFormat="false" ht="15.65" hidden="false" customHeight="false" outlineLevel="0" collapsed="false">
      <c r="C876" s="72" t="n">
        <f aca="false">COUNTIFS($D$6:D876,"&lt;&gt;"&amp;"")</f>
        <v>871</v>
      </c>
      <c r="D876" s="73" t="s">
        <v>12</v>
      </c>
      <c r="E876" s="76" t="str">
        <f aca="false">
IF($D876="정상",INDEX(임대자산!$D$3:$R$3000,MATCH($F876,임대자산!$I$3:$I$3000,0),MATCH(E$3,임대자산!$D$3:$R$3,0)),
IF($D876="폐업",INDEX(폐업정보!$D$3:$R$3000,MATCH($F876,폐업정보!$I$3:$I$3000,0),MATCH(E$3,폐업정보!$D$3:$R$3,0)),
"Error"))</f>
        <v>서울</v>
      </c>
      <c r="F87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B0871</v>
      </c>
      <c r="G876" s="76" t="str">
        <f aca="false">F876&amp;RANDBETWEEN(0,10)</f>
        <v>B08716</v>
      </c>
      <c r="H876" s="75" t="n">
        <f aca="false">
IF($D876="정상",INDEX(임대자산!$D$3:$R$3000,MATCH($F876,임대자산!$I$3:$I$3000,0),MATCH(H$4,임대자산!$D$3:$R$3,0)),
IF($D876="폐업",INDEX(폐업정보!$D$3:$R$3000,MATCH($F876,폐업정보!$I$3:$I$3000,0),MATCH(H$4,폐업정보!$D$3:$R$3,0)),
"Error"))</f>
        <v>44375</v>
      </c>
      <c r="I876" s="75" t="str">
        <f aca="false">
IF($D876="정상",INDEX(임대자산!$D$3:$R$3000,MATCH($F876,임대자산!$I$3:$I$3000,0),MATCH(I$4,임대자산!$D$3:$R$3,0)),
IF($D876="폐업",INDEX(폐업정보!$D$3:$R$3000,MATCH($F876,폐업정보!$I$3:$I$3000,0),MATCH(I$4,폐업정보!$D$3:$R$3,0)),
"Error"))</f>
        <v>A0871</v>
      </c>
      <c r="J876" s="75" t="str">
        <f aca="false">
IF($D876="정상",INDEX(임대자산!$D$3:$R$3000,MATCH($F876,임대자산!$I$3:$I$3000,0),MATCH(J$4,임대자산!$D$3:$R$3,0)),
IF($D876="폐업",INDEX(폐업정보!$D$3:$R$3000,MATCH($F876,폐업정보!$I$3:$I$3000,0),MATCH(J$4,폐업정보!$D$3:$R$3,0)),
"Error"))</f>
        <v>4989500000</v>
      </c>
      <c r="K876" s="75" t="str">
        <f aca="false">
IF($D876="정상",INDEX(임대자산!$D$3:$R$3000,MATCH($F876,임대자산!$I$3:$I$3000,0),MATCH(K$4,임대자산!$D$3:$R$3,0)),
IF($D876="폐업",INDEX(폐업정보!$D$3:$R$3000,MATCH($F876,폐업정보!$I$3:$I$3000,0),MATCH(K$4,폐업정보!$D$3:$R$3,0)),
"Error"))</f>
        <v>C0871</v>
      </c>
      <c r="L876" s="75" t="str">
        <f aca="false">
IF($D876="정상",INDEX(임대자산!$D$3:$R$3000,MATCH($F876,임대자산!$I$3:$I$3000,0),MATCH(L$4,임대자산!$D$3:$R$3,0)),
IF($D876="폐업",INDEX(폐업정보!$D$3:$R$3000,MATCH($F876,폐업정보!$I$3:$I$3000,0),MATCH(L$4,폐업정보!$D$3:$R$3,0)),
"Error"))</f>
        <v>D0871</v>
      </c>
      <c r="M876" s="76" t="s">
        <v>96</v>
      </c>
      <c r="N876" s="77"/>
      <c r="O876" s="78" t="s">
        <v>97</v>
      </c>
      <c r="P876" s="79" t="n">
        <f aca="false">COUNTIFS(임대자산!$I:$I,가맹점정보!F876,임대자산!$N:$N,가맹점정보!P$4)</f>
        <v>0</v>
      </c>
      <c r="Q876" s="80" t="n">
        <f aca="false">COUNTIFS(임대자산!$I:$I,가맹점정보!F876,임대자산!$N:$N,가맹점정보!Q$4)</f>
        <v>0</v>
      </c>
      <c r="R876" s="81" t="n">
        <f aca="false">COUNTIFS(임대자산!$I:$I,가맹점정보!F876,임대자산!$N:$N,가맹점정보!R$4)</f>
        <v>1</v>
      </c>
      <c r="S876" s="82" t="n">
        <v>55000</v>
      </c>
      <c r="T876" s="83" t="n">
        <v>0</v>
      </c>
      <c r="U876" s="80" t="n">
        <f aca="false">SUM(S876:T876)</f>
        <v>55000</v>
      </c>
      <c r="V876" s="84" t="s">
        <v>12</v>
      </c>
      <c r="W876" s="80" t="e">
        <f aca="true">
IF(D876="폐업","폐업",
IF(V876="면제","면제",
IF(AND(V876="정상",COUNTIFS(OFFSET(Y876,0,COUNTA(Y876:AV876)-1,1,-4),"미납")&gt;=3),"장기미납",
IF(AND(V876="정상",OFFSET(Y876,0,COUNTA(Y876:AV876)-1)&gt;=U876),"정상",
IF(AND(V876="정상",OFFSET(Y876,0,COUNTA(Y876:AV876)-1)=0),"정상",
"계약서 미작성")))))</f>
        <v>#VALUE!</v>
      </c>
      <c r="X876" s="81" t="str">
        <f aca="true">
IF(D876="폐업","폐업",
IF(AND(V876="정상",OFFSET(Y876,0,COUNTA(Y876:AV876)-1)="미납"),"미납",
IF(AND(V876="정상",OFFSET(Y876,0,COUNTA(Y876:AV876)-1)=0),"납부 시작 전",
IF(AND(V876="정상",OFFSET(Y876,0,COUNTA(Y876:AV876)-1)&gt;=U876),"정상",
IF(AND(V876="면제",OFFSET(Y876,0,COUNTA(Y876:AV876)-1)="면제"),"면제",
IF(AND(V876="면제",OFFSET(Y876,0,COUNTA(Y876:AV876)-1)=0),"면제",
"확인요청"))))))</f>
        <v>정상</v>
      </c>
      <c r="Y876" s="93" t="n">
        <v>55000</v>
      </c>
      <c r="Z876" s="90" t="n">
        <v>55000</v>
      </c>
      <c r="AA876" s="90" t="n">
        <v>55000</v>
      </c>
      <c r="AB876" s="90" t="n">
        <v>55000</v>
      </c>
      <c r="AC876" s="90" t="n">
        <v>55000</v>
      </c>
      <c r="AD876" s="90" t="n">
        <v>55000</v>
      </c>
      <c r="AE876" s="90" t="n">
        <v>55000</v>
      </c>
      <c r="AF876" s="90" t="n">
        <v>55000</v>
      </c>
      <c r="AG876" s="90" t="n">
        <v>55000</v>
      </c>
      <c r="AH876" s="90" t="n">
        <v>55000</v>
      </c>
      <c r="AI876" s="90" t="n">
        <v>55000</v>
      </c>
      <c r="AJ876" s="91" t="n">
        <v>55000</v>
      </c>
      <c r="AK876" s="89" t="n">
        <v>55000</v>
      </c>
      <c r="AL876" s="90" t="n">
        <v>55000</v>
      </c>
      <c r="AM876" s="90"/>
      <c r="AN876" s="90"/>
      <c r="AO876" s="90"/>
      <c r="AP876" s="90"/>
      <c r="AQ876" s="90"/>
      <c r="AR876" s="90"/>
      <c r="AS876" s="90"/>
      <c r="AT876" s="90"/>
      <c r="AU876" s="90"/>
      <c r="AV876" s="91"/>
      <c r="AX876" s="92"/>
    </row>
    <row r="877" customFormat="false" ht="15.65" hidden="false" customHeight="false" outlineLevel="0" collapsed="false">
      <c r="C877" s="72" t="n">
        <f aca="false">COUNTIFS($D$6:D877,"&lt;&gt;"&amp;"")</f>
        <v>872</v>
      </c>
      <c r="D877" s="73" t="s">
        <v>12</v>
      </c>
      <c r="E877" s="76" t="str">
        <f aca="false">
IF($D877="정상",INDEX(임대자산!$D$3:$R$3000,MATCH($F877,임대자산!$I$3:$I$3000,0),MATCH(E$3,임대자산!$D$3:$R$3,0)),
IF($D877="폐업",INDEX(폐업정보!$D$3:$R$3000,MATCH($F877,폐업정보!$I$3:$I$3000,0),MATCH(E$3,폐업정보!$D$3:$R$3,0)),
"Error"))</f>
        <v>서울</v>
      </c>
      <c r="F87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B0872</v>
      </c>
      <c r="G877" s="76" t="str">
        <f aca="false">F877&amp;RANDBETWEEN(0,10)</f>
        <v>B08723</v>
      </c>
      <c r="H877" s="75" t="n">
        <f aca="false">
IF($D877="정상",INDEX(임대자산!$D$3:$R$3000,MATCH($F877,임대자산!$I$3:$I$3000,0),MATCH(H$4,임대자산!$D$3:$R$3,0)),
IF($D877="폐업",INDEX(폐업정보!$D$3:$R$3000,MATCH($F877,폐업정보!$I$3:$I$3000,0),MATCH(H$4,폐업정보!$D$3:$R$3,0)),
"Error"))</f>
        <v>44405</v>
      </c>
      <c r="I877" s="75" t="str">
        <f aca="false">
IF($D877="정상",INDEX(임대자산!$D$3:$R$3000,MATCH($F877,임대자산!$I$3:$I$3000,0),MATCH(I$4,임대자산!$D$3:$R$3,0)),
IF($D877="폐업",INDEX(폐업정보!$D$3:$R$3000,MATCH($F877,폐업정보!$I$3:$I$3000,0),MATCH(I$4,폐업정보!$D$3:$R$3,0)),
"Error"))</f>
        <v>A0872</v>
      </c>
      <c r="J877" s="75" t="str">
        <f aca="false">
IF($D877="정상",INDEX(임대자산!$D$3:$R$3000,MATCH($F877,임대자산!$I$3:$I$3000,0),MATCH(J$4,임대자산!$D$3:$R$3,0)),
IF($D877="폐업",INDEX(폐업정보!$D$3:$R$3000,MATCH($F877,폐업정보!$I$3:$I$3000,0),MATCH(J$4,폐업정보!$D$3:$R$3,0)),
"Error"))</f>
        <v>1322500000</v>
      </c>
      <c r="K877" s="75" t="str">
        <f aca="false">
IF($D877="정상",INDEX(임대자산!$D$3:$R$3000,MATCH($F877,임대자산!$I$3:$I$3000,0),MATCH(K$4,임대자산!$D$3:$R$3,0)),
IF($D877="폐업",INDEX(폐업정보!$D$3:$R$3000,MATCH($F877,폐업정보!$I$3:$I$3000,0),MATCH(K$4,폐업정보!$D$3:$R$3,0)),
"Error"))</f>
        <v>C0872</v>
      </c>
      <c r="L877" s="75" t="str">
        <f aca="false">
IF($D877="정상",INDEX(임대자산!$D$3:$R$3000,MATCH($F877,임대자산!$I$3:$I$3000,0),MATCH(L$4,임대자산!$D$3:$R$3,0)),
IF($D877="폐업",INDEX(폐업정보!$D$3:$R$3000,MATCH($F877,폐업정보!$I$3:$I$3000,0),MATCH(L$4,폐업정보!$D$3:$R$3,0)),
"Error"))</f>
        <v>D0872</v>
      </c>
      <c r="M877" s="76" t="s">
        <v>96</v>
      </c>
      <c r="N877" s="77"/>
      <c r="O877" s="78" t="s">
        <v>97</v>
      </c>
      <c r="P877" s="79" t="n">
        <f aca="false">COUNTIFS(임대자산!$I:$I,가맹점정보!F877,임대자산!$N:$N,가맹점정보!P$4)</f>
        <v>0</v>
      </c>
      <c r="Q877" s="80" t="n">
        <f aca="false">COUNTIFS(임대자산!$I:$I,가맹점정보!F877,임대자산!$N:$N,가맹점정보!Q$4)</f>
        <v>0</v>
      </c>
      <c r="R877" s="81" t="n">
        <f aca="false">COUNTIFS(임대자산!$I:$I,가맹점정보!F877,임대자산!$N:$N,가맹점정보!R$4)</f>
        <v>1</v>
      </c>
      <c r="S877" s="82" t="n">
        <v>55000</v>
      </c>
      <c r="T877" s="83" t="n">
        <v>0</v>
      </c>
      <c r="U877" s="80" t="n">
        <f aca="false">SUM(S877:T877)</f>
        <v>55000</v>
      </c>
      <c r="V877" s="84" t="s">
        <v>12</v>
      </c>
      <c r="W877" s="80" t="e">
        <f aca="true">
IF(D877="폐업","폐업",
IF(V877="면제","면제",
IF(AND(V877="정상",COUNTIFS(OFFSET(Y877,0,COUNTA(Y877:AV877)-1,1,-4),"미납")&gt;=3),"장기미납",
IF(AND(V877="정상",OFFSET(Y877,0,COUNTA(Y877:AV877)-1)&gt;=U877),"정상",
IF(AND(V877="정상",OFFSET(Y877,0,COUNTA(Y877:AV877)-1)=0),"정상",
"계약서 미작성")))))</f>
        <v>#VALUE!</v>
      </c>
      <c r="X877" s="81" t="str">
        <f aca="true">
IF(D877="폐업","폐업",
IF(AND(V877="정상",OFFSET(Y877,0,COUNTA(Y877:AV877)-1)="미납"),"미납",
IF(AND(V877="정상",OFFSET(Y877,0,COUNTA(Y877:AV877)-1)=0),"납부 시작 전",
IF(AND(V877="정상",OFFSET(Y877,0,COUNTA(Y877:AV877)-1)&gt;=U877),"정상",
IF(AND(V877="면제",OFFSET(Y877,0,COUNTA(Y877:AV877)-1)="면제"),"면제",
IF(AND(V877="면제",OFFSET(Y877,0,COUNTA(Y877:AV877)-1)=0),"면제",
"확인요청"))))))</f>
        <v>정상</v>
      </c>
      <c r="Y877" s="93" t="n">
        <v>55000</v>
      </c>
      <c r="Z877" s="90" t="n">
        <v>55000</v>
      </c>
      <c r="AA877" s="90" t="n">
        <v>55000</v>
      </c>
      <c r="AB877" s="90" t="n">
        <v>55000</v>
      </c>
      <c r="AC877" s="90" t="n">
        <v>55000</v>
      </c>
      <c r="AD877" s="90" t="n">
        <v>55000</v>
      </c>
      <c r="AE877" s="90" t="n">
        <v>55000</v>
      </c>
      <c r="AF877" s="90" t="n">
        <v>55000</v>
      </c>
      <c r="AG877" s="90" t="n">
        <v>55000</v>
      </c>
      <c r="AH877" s="90" t="n">
        <v>55000</v>
      </c>
      <c r="AI877" s="90" t="n">
        <v>55000</v>
      </c>
      <c r="AJ877" s="91" t="n">
        <v>55000</v>
      </c>
      <c r="AK877" s="89" t="n">
        <v>55000</v>
      </c>
      <c r="AL877" s="90" t="n">
        <v>55000</v>
      </c>
      <c r="AM877" s="90"/>
      <c r="AN877" s="90"/>
      <c r="AO877" s="90"/>
      <c r="AP877" s="90"/>
      <c r="AQ877" s="90"/>
      <c r="AR877" s="90"/>
      <c r="AS877" s="90"/>
      <c r="AT877" s="90"/>
      <c r="AU877" s="90"/>
      <c r="AV877" s="91"/>
      <c r="AX877" s="92"/>
    </row>
    <row r="878" customFormat="false" ht="15.65" hidden="false" customHeight="false" outlineLevel="0" collapsed="false">
      <c r="C878" s="72" t="n">
        <f aca="false">COUNTIFS($D$6:D878,"&lt;&gt;"&amp;"")</f>
        <v>873</v>
      </c>
      <c r="D878" s="73" t="s">
        <v>12</v>
      </c>
      <c r="E878" s="76" t="str">
        <f aca="false">
IF($D878="정상",INDEX(임대자산!$D$3:$R$3000,MATCH($F878,임대자산!$I$3:$I$3000,0),MATCH(E$3,임대자산!$D$3:$R$3,0)),
IF($D878="폐업",INDEX(폐업정보!$D$3:$R$3000,MATCH($F878,폐업정보!$I$3:$I$3000,0),MATCH(E$3,폐업정보!$D$3:$R$3,0)),
"Error"))</f>
        <v>강원</v>
      </c>
      <c r="F87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B0873</v>
      </c>
      <c r="G878" s="76" t="str">
        <f aca="false">F878&amp;RANDBETWEEN(0,10)</f>
        <v>B08733</v>
      </c>
      <c r="H878" s="75" t="n">
        <f aca="false">
IF($D878="정상",INDEX(임대자산!$D$3:$R$3000,MATCH($F878,임대자산!$I$3:$I$3000,0),MATCH(H$4,임대자산!$D$3:$R$3,0)),
IF($D878="폐업",INDEX(폐업정보!$D$3:$R$3000,MATCH($F878,폐업정보!$I$3:$I$3000,0),MATCH(H$4,폐업정보!$D$3:$R$3,0)),
"Error"))</f>
        <v>44378</v>
      </c>
      <c r="I878" s="75" t="str">
        <f aca="false">
IF($D878="정상",INDEX(임대자산!$D$3:$R$3000,MATCH($F878,임대자산!$I$3:$I$3000,0),MATCH(I$4,임대자산!$D$3:$R$3,0)),
IF($D878="폐업",INDEX(폐업정보!$D$3:$R$3000,MATCH($F878,폐업정보!$I$3:$I$3000,0),MATCH(I$4,폐업정보!$D$3:$R$3,0)),
"Error"))</f>
        <v>A0873</v>
      </c>
      <c r="J878" s="75" t="str">
        <f aca="false">
IF($D878="정상",INDEX(임대자산!$D$3:$R$3000,MATCH($F878,임대자산!$I$3:$I$3000,0),MATCH(J$4,임대자산!$D$3:$R$3,0)),
IF($D878="폐업",INDEX(폐업정보!$D$3:$R$3000,MATCH($F878,폐업정보!$I$3:$I$3000,0),MATCH(J$4,폐업정보!$D$3:$R$3,0)),
"Error"))</f>
        <v>3683900000</v>
      </c>
      <c r="K878" s="75" t="str">
        <f aca="false">
IF($D878="정상",INDEX(임대자산!$D$3:$R$3000,MATCH($F878,임대자산!$I$3:$I$3000,0),MATCH(K$4,임대자산!$D$3:$R$3,0)),
IF($D878="폐업",INDEX(폐업정보!$D$3:$R$3000,MATCH($F878,폐업정보!$I$3:$I$3000,0),MATCH(K$4,폐업정보!$D$3:$R$3,0)),
"Error"))</f>
        <v>C0873</v>
      </c>
      <c r="L878" s="75" t="str">
        <f aca="false">
IF($D878="정상",INDEX(임대자산!$D$3:$R$3000,MATCH($F878,임대자산!$I$3:$I$3000,0),MATCH(L$4,임대자산!$D$3:$R$3,0)),
IF($D878="폐업",INDEX(폐업정보!$D$3:$R$3000,MATCH($F878,폐업정보!$I$3:$I$3000,0),MATCH(L$4,폐업정보!$D$3:$R$3,0)),
"Error"))</f>
        <v>D0873</v>
      </c>
      <c r="M878" s="76" t="s">
        <v>96</v>
      </c>
      <c r="N878" s="77"/>
      <c r="O878" s="78" t="s">
        <v>97</v>
      </c>
      <c r="P878" s="79" t="n">
        <f aca="false">COUNTIFS(임대자산!$I:$I,가맹점정보!F878,임대자산!$N:$N,가맹점정보!P$4)</f>
        <v>0</v>
      </c>
      <c r="Q878" s="80" t="n">
        <f aca="false">COUNTIFS(임대자산!$I:$I,가맹점정보!F878,임대자산!$N:$N,가맹점정보!Q$4)</f>
        <v>0</v>
      </c>
      <c r="R878" s="81" t="n">
        <f aca="false">COUNTIFS(임대자산!$I:$I,가맹점정보!F878,임대자산!$N:$N,가맹점정보!R$4)</f>
        <v>1</v>
      </c>
      <c r="S878" s="82" t="n">
        <v>55000</v>
      </c>
      <c r="T878" s="83" t="n">
        <v>0</v>
      </c>
      <c r="U878" s="80" t="n">
        <f aca="false">SUM(S878:T878)</f>
        <v>55000</v>
      </c>
      <c r="V878" s="84" t="s">
        <v>7</v>
      </c>
      <c r="W878" s="80" t="str">
        <f aca="true">
IF(D878="폐업","폐업",
IF(V878="면제","면제",
IF(AND(V878="정상",COUNTIFS(OFFSET(Y878,0,COUNTA(Y878:AV878)-1,1,-4),"미납")&gt;=3),"장기미납",
IF(AND(V878="정상",OFFSET(Y878,0,COUNTA(Y878:AV878)-1)&gt;=U878),"정상",
IF(AND(V878="정상",OFFSET(Y878,0,COUNTA(Y878:AV878)-1)=0),"정상",
"계약서 미작성")))))</f>
        <v>면제</v>
      </c>
      <c r="X878" s="81" t="str">
        <f aca="true">
IF(D878="폐업","폐업",
IF(AND(V878="정상",OFFSET(Y878,0,COUNTA(Y878:AV878)-1)="미납"),"미납",
IF(AND(V878="정상",OFFSET(Y878,0,COUNTA(Y878:AV878)-1)=0),"납부 시작 전",
IF(AND(V878="정상",OFFSET(Y878,0,COUNTA(Y878:AV878)-1)&gt;=U878),"정상",
IF(AND(V878="면제",OFFSET(Y878,0,COUNTA(Y878:AV878)-1)="면제"),"면제",
IF(AND(V878="면제",OFFSET(Y878,0,COUNTA(Y878:AV878)-1)=0),"면제",
"확인요청"))))))</f>
        <v>면제</v>
      </c>
      <c r="Y878" s="94" t="s">
        <v>7</v>
      </c>
      <c r="Z878" s="95" t="s">
        <v>7</v>
      </c>
      <c r="AA878" s="95" t="s">
        <v>7</v>
      </c>
      <c r="AB878" s="95" t="s">
        <v>7</v>
      </c>
      <c r="AC878" s="95" t="s">
        <v>7</v>
      </c>
      <c r="AD878" s="95" t="s">
        <v>7</v>
      </c>
      <c r="AE878" s="95" t="s">
        <v>7</v>
      </c>
      <c r="AF878" s="95" t="s">
        <v>7</v>
      </c>
      <c r="AG878" s="95" t="s">
        <v>7</v>
      </c>
      <c r="AH878" s="95" t="s">
        <v>7</v>
      </c>
      <c r="AI878" s="95" t="s">
        <v>7</v>
      </c>
      <c r="AJ878" s="96" t="s">
        <v>7</v>
      </c>
      <c r="AK878" s="97" t="s">
        <v>7</v>
      </c>
      <c r="AL878" s="95" t="s">
        <v>7</v>
      </c>
      <c r="AM878" s="90"/>
      <c r="AN878" s="90"/>
      <c r="AO878" s="90"/>
      <c r="AP878" s="90"/>
      <c r="AQ878" s="90"/>
      <c r="AR878" s="90"/>
      <c r="AS878" s="90"/>
      <c r="AT878" s="90"/>
      <c r="AU878" s="90"/>
      <c r="AV878" s="91"/>
      <c r="AX878" s="92"/>
    </row>
    <row r="879" customFormat="false" ht="15.65" hidden="false" customHeight="false" outlineLevel="0" collapsed="false">
      <c r="C879" s="72" t="n">
        <f aca="false">COUNTIFS($D$6:D879,"&lt;&gt;"&amp;"")</f>
        <v>874</v>
      </c>
      <c r="D879" s="73" t="s">
        <v>12</v>
      </c>
      <c r="E879" s="76" t="str">
        <f aca="false">
IF($D879="정상",INDEX(임대자산!$D$3:$R$3000,MATCH($F879,임대자산!$I$3:$I$3000,0),MATCH(E$3,임대자산!$D$3:$R$3,0)),
IF($D879="폐업",INDEX(폐업정보!$D$3:$R$3000,MATCH($F879,폐업정보!$I$3:$I$3000,0),MATCH(E$3,폐업정보!$D$3:$R$3,0)),
"Error"))</f>
        <v>강원</v>
      </c>
      <c r="F87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B0874</v>
      </c>
      <c r="G879" s="76" t="str">
        <f aca="false">F879&amp;RANDBETWEEN(0,10)</f>
        <v>B08749</v>
      </c>
      <c r="H879" s="75" t="n">
        <f aca="false">
IF($D879="정상",INDEX(임대자산!$D$3:$R$3000,MATCH($F879,임대자산!$I$3:$I$3000,0),MATCH(H$4,임대자산!$D$3:$R$3,0)),
IF($D879="폐업",INDEX(폐업정보!$D$3:$R$3000,MATCH($F879,폐업정보!$I$3:$I$3000,0),MATCH(H$4,폐업정보!$D$3:$R$3,0)),
"Error"))</f>
        <v>44385</v>
      </c>
      <c r="I879" s="75" t="str">
        <f aca="false">
IF($D879="정상",INDEX(임대자산!$D$3:$R$3000,MATCH($F879,임대자산!$I$3:$I$3000,0),MATCH(I$4,임대자산!$D$3:$R$3,0)),
IF($D879="폐업",INDEX(폐업정보!$D$3:$R$3000,MATCH($F879,폐업정보!$I$3:$I$3000,0),MATCH(I$4,폐업정보!$D$3:$R$3,0)),
"Error"))</f>
        <v>A0874</v>
      </c>
      <c r="J879" s="75" t="str">
        <f aca="false">
IF($D879="정상",INDEX(임대자산!$D$3:$R$3000,MATCH($F879,임대자산!$I$3:$I$3000,0),MATCH(J$4,임대자산!$D$3:$R$3,0)),
IF($D879="폐업",INDEX(폐업정보!$D$3:$R$3000,MATCH($F879,폐업정보!$I$3:$I$3000,0),MATCH(J$4,폐업정보!$D$3:$R$3,0)),
"Error"))</f>
        <v>2004300000</v>
      </c>
      <c r="K879" s="75" t="str">
        <f aca="false">
IF($D879="정상",INDEX(임대자산!$D$3:$R$3000,MATCH($F879,임대자산!$I$3:$I$3000,0),MATCH(K$4,임대자산!$D$3:$R$3,0)),
IF($D879="폐업",INDEX(폐업정보!$D$3:$R$3000,MATCH($F879,폐업정보!$I$3:$I$3000,0),MATCH(K$4,폐업정보!$D$3:$R$3,0)),
"Error"))</f>
        <v>C0874</v>
      </c>
      <c r="L879" s="75" t="str">
        <f aca="false">
IF($D879="정상",INDEX(임대자산!$D$3:$R$3000,MATCH($F879,임대자산!$I$3:$I$3000,0),MATCH(L$4,임대자산!$D$3:$R$3,0)),
IF($D879="폐업",INDEX(폐업정보!$D$3:$R$3000,MATCH($F879,폐업정보!$I$3:$I$3000,0),MATCH(L$4,폐업정보!$D$3:$R$3,0)),
"Error"))</f>
        <v>D0874</v>
      </c>
      <c r="M879" s="76" t="s">
        <v>96</v>
      </c>
      <c r="N879" s="77"/>
      <c r="O879" s="78" t="s">
        <v>97</v>
      </c>
      <c r="P879" s="79" t="n">
        <f aca="false">COUNTIFS(임대자산!$I:$I,가맹점정보!F879,임대자산!$N:$N,가맹점정보!P$4)</f>
        <v>0</v>
      </c>
      <c r="Q879" s="80" t="n">
        <f aca="false">COUNTIFS(임대자산!$I:$I,가맹점정보!F879,임대자산!$N:$N,가맹점정보!Q$4)</f>
        <v>0</v>
      </c>
      <c r="R879" s="81" t="n">
        <f aca="false">COUNTIFS(임대자산!$I:$I,가맹점정보!F879,임대자산!$N:$N,가맹점정보!R$4)</f>
        <v>1</v>
      </c>
      <c r="S879" s="82" t="n">
        <v>88000</v>
      </c>
      <c r="T879" s="83" t="n">
        <v>0</v>
      </c>
      <c r="U879" s="80" t="n">
        <f aca="false">SUM(S879:T879)</f>
        <v>88000</v>
      </c>
      <c r="V879" s="84" t="s">
        <v>12</v>
      </c>
      <c r="W879" s="80" t="e">
        <f aca="true">
IF(D879="폐업","폐업",
IF(V879="면제","면제",
IF(AND(V879="정상",COUNTIFS(OFFSET(Y879,0,COUNTA(Y879:AV879)-1,1,-4),"미납")&gt;=3),"장기미납",
IF(AND(V879="정상",OFFSET(Y879,0,COUNTA(Y879:AV879)-1)&gt;=U879),"정상",
IF(AND(V879="정상",OFFSET(Y879,0,COUNTA(Y879:AV879)-1)=0),"정상",
"계약서 미작성")))))</f>
        <v>#VALUE!</v>
      </c>
      <c r="X879" s="81" t="str">
        <f aca="true">
IF(D879="폐업","폐업",
IF(AND(V879="정상",OFFSET(Y879,0,COUNTA(Y879:AV879)-1)="미납"),"미납",
IF(AND(V879="정상",OFFSET(Y879,0,COUNTA(Y879:AV879)-1)=0),"납부 시작 전",
IF(AND(V879="정상",OFFSET(Y879,0,COUNTA(Y879:AV879)-1)&gt;=U879),"정상",
IF(AND(V879="면제",OFFSET(Y879,0,COUNTA(Y879:AV879)-1)="면제"),"면제",
IF(AND(V879="면제",OFFSET(Y879,0,COUNTA(Y879:AV879)-1)=0),"면제",
"확인요청"))))))</f>
        <v>정상</v>
      </c>
      <c r="Y879" s="94" t="s">
        <v>7</v>
      </c>
      <c r="Z879" s="95" t="s">
        <v>7</v>
      </c>
      <c r="AA879" s="95" t="s">
        <v>7</v>
      </c>
      <c r="AB879" s="95" t="s">
        <v>7</v>
      </c>
      <c r="AC879" s="95" t="s">
        <v>7</v>
      </c>
      <c r="AD879" s="95" t="s">
        <v>7</v>
      </c>
      <c r="AE879" s="90" t="n">
        <v>88000</v>
      </c>
      <c r="AF879" s="90" t="n">
        <v>88000</v>
      </c>
      <c r="AG879" s="90" t="n">
        <v>88000</v>
      </c>
      <c r="AH879" s="90" t="n">
        <v>88000</v>
      </c>
      <c r="AI879" s="90" t="n">
        <v>88000</v>
      </c>
      <c r="AJ879" s="91" t="n">
        <v>88000</v>
      </c>
      <c r="AK879" s="89" t="n">
        <v>88000</v>
      </c>
      <c r="AL879" s="90" t="n">
        <v>88000</v>
      </c>
      <c r="AM879" s="90"/>
      <c r="AN879" s="90"/>
      <c r="AO879" s="90"/>
      <c r="AP879" s="90"/>
      <c r="AQ879" s="90"/>
      <c r="AR879" s="90"/>
      <c r="AS879" s="90"/>
      <c r="AT879" s="90"/>
      <c r="AU879" s="90"/>
      <c r="AV879" s="91"/>
      <c r="AX879" s="92"/>
    </row>
    <row r="880" customFormat="false" ht="15.65" hidden="false" customHeight="false" outlineLevel="0" collapsed="false">
      <c r="C880" s="72" t="n">
        <f aca="false">COUNTIFS($D$6:D880,"&lt;&gt;"&amp;"")</f>
        <v>875</v>
      </c>
      <c r="D880" s="73" t="s">
        <v>12</v>
      </c>
      <c r="E880" s="76" t="str">
        <f aca="false">
IF($D880="정상",INDEX(임대자산!$D$3:$R$3000,MATCH($F880,임대자산!$I$3:$I$3000,0),MATCH(E$3,임대자산!$D$3:$R$3,0)),
IF($D880="폐업",INDEX(폐업정보!$D$3:$R$3000,MATCH($F880,폐업정보!$I$3:$I$3000,0),MATCH(E$3,폐업정보!$D$3:$R$3,0)),
"Error"))</f>
        <v>강원</v>
      </c>
      <c r="F88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B0875</v>
      </c>
      <c r="G880" s="76" t="str">
        <f aca="false">F880&amp;RANDBETWEEN(0,10)</f>
        <v>B08752</v>
      </c>
      <c r="H880" s="75" t="n">
        <f aca="false">
IF($D880="정상",INDEX(임대자산!$D$3:$R$3000,MATCH($F880,임대자산!$I$3:$I$3000,0),MATCH(H$4,임대자산!$D$3:$R$3,0)),
IF($D880="폐업",INDEX(폐업정보!$D$3:$R$3000,MATCH($F880,폐업정보!$I$3:$I$3000,0),MATCH(H$4,폐업정보!$D$3:$R$3,0)),
"Error"))</f>
        <v>44386</v>
      </c>
      <c r="I880" s="75" t="str">
        <f aca="false">
IF($D880="정상",INDEX(임대자산!$D$3:$R$3000,MATCH($F880,임대자산!$I$3:$I$3000,0),MATCH(I$4,임대자산!$D$3:$R$3,0)),
IF($D880="폐업",INDEX(폐업정보!$D$3:$R$3000,MATCH($F880,폐업정보!$I$3:$I$3000,0),MATCH(I$4,폐업정보!$D$3:$R$3,0)),
"Error"))</f>
        <v>A0875</v>
      </c>
      <c r="J880" s="75" t="str">
        <f aca="false">
IF($D880="정상",INDEX(임대자산!$D$3:$R$3000,MATCH($F880,임대자산!$I$3:$I$3000,0),MATCH(J$4,임대자산!$D$3:$R$3,0)),
IF($D880="폐업",INDEX(폐업정보!$D$3:$R$3000,MATCH($F880,폐업정보!$I$3:$I$3000,0),MATCH(J$4,폐업정보!$D$3:$R$3,0)),
"Error"))</f>
        <v>9398300000</v>
      </c>
      <c r="K880" s="75" t="str">
        <f aca="false">
IF($D880="정상",INDEX(임대자산!$D$3:$R$3000,MATCH($F880,임대자산!$I$3:$I$3000,0),MATCH(K$4,임대자산!$D$3:$R$3,0)),
IF($D880="폐업",INDEX(폐업정보!$D$3:$R$3000,MATCH($F880,폐업정보!$I$3:$I$3000,0),MATCH(K$4,폐업정보!$D$3:$R$3,0)),
"Error"))</f>
        <v>C0875</v>
      </c>
      <c r="L880" s="75" t="str">
        <f aca="false">
IF($D880="정상",INDEX(임대자산!$D$3:$R$3000,MATCH($F880,임대자산!$I$3:$I$3000,0),MATCH(L$4,임대자산!$D$3:$R$3,0)),
IF($D880="폐업",INDEX(폐업정보!$D$3:$R$3000,MATCH($F880,폐업정보!$I$3:$I$3000,0),MATCH(L$4,폐업정보!$D$3:$R$3,0)),
"Error"))</f>
        <v>D0875</v>
      </c>
      <c r="M880" s="76" t="s">
        <v>96</v>
      </c>
      <c r="N880" s="77"/>
      <c r="O880" s="78" t="s">
        <v>97</v>
      </c>
      <c r="P880" s="79" t="n">
        <f aca="false">COUNTIFS(임대자산!$I:$I,가맹점정보!F880,임대자산!$N:$N,가맹점정보!P$4)</f>
        <v>0</v>
      </c>
      <c r="Q880" s="80" t="n">
        <f aca="false">COUNTIFS(임대자산!$I:$I,가맹점정보!F880,임대자산!$N:$N,가맹점정보!Q$4)</f>
        <v>0</v>
      </c>
      <c r="R880" s="81" t="n">
        <f aca="false">COUNTIFS(임대자산!$I:$I,가맹점정보!F880,임대자산!$N:$N,가맹점정보!R$4)</f>
        <v>1</v>
      </c>
      <c r="S880" s="82" t="n">
        <v>88000</v>
      </c>
      <c r="T880" s="83" t="n">
        <v>0</v>
      </c>
      <c r="U880" s="80" t="n">
        <f aca="false">SUM(S880:T880)</f>
        <v>88000</v>
      </c>
      <c r="V880" s="84" t="s">
        <v>12</v>
      </c>
      <c r="W880" s="80" t="e">
        <f aca="true">
IF(D880="폐업","폐업",
IF(V880="면제","면제",
IF(AND(V880="정상",COUNTIFS(OFFSET(Y880,0,COUNTA(Y880:AV880)-1,1,-4),"미납")&gt;=3),"장기미납",
IF(AND(V880="정상",OFFSET(Y880,0,COUNTA(Y880:AV880)-1)&gt;=U880),"정상",
IF(AND(V880="정상",OFFSET(Y880,0,COUNTA(Y880:AV880)-1)=0),"정상",
"계약서 미작성")))))</f>
        <v>#VALUE!</v>
      </c>
      <c r="X880" s="81" t="str">
        <f aca="true">
IF(D880="폐업","폐업",
IF(AND(V880="정상",OFFSET(Y880,0,COUNTA(Y880:AV880)-1)="미납"),"미납",
IF(AND(V880="정상",OFFSET(Y880,0,COUNTA(Y880:AV880)-1)=0),"납부 시작 전",
IF(AND(V880="정상",OFFSET(Y880,0,COUNTA(Y880:AV880)-1)&gt;=U880),"정상",
IF(AND(V880="면제",OFFSET(Y880,0,COUNTA(Y880:AV880)-1)="면제"),"면제",
IF(AND(V880="면제",OFFSET(Y880,0,COUNTA(Y880:AV880)-1)=0),"면제",
"확인요청"))))))</f>
        <v>미납</v>
      </c>
      <c r="Y880" s="93" t="n">
        <v>88000</v>
      </c>
      <c r="Z880" s="90" t="n">
        <v>88000</v>
      </c>
      <c r="AA880" s="90" t="n">
        <v>88000</v>
      </c>
      <c r="AB880" s="90" t="n">
        <v>88000</v>
      </c>
      <c r="AC880" s="90" t="n">
        <v>88000</v>
      </c>
      <c r="AD880" s="90" t="n">
        <v>88000</v>
      </c>
      <c r="AE880" s="90" t="n">
        <v>88000</v>
      </c>
      <c r="AF880" s="90" t="n">
        <v>88000</v>
      </c>
      <c r="AG880" s="90" t="n">
        <v>88000</v>
      </c>
      <c r="AH880" s="90" t="n">
        <v>88000</v>
      </c>
      <c r="AI880" s="90" t="n">
        <v>88000</v>
      </c>
      <c r="AJ880" s="91" t="n">
        <v>88000</v>
      </c>
      <c r="AK880" s="89" t="n">
        <v>88000</v>
      </c>
      <c r="AL880" s="95" t="s">
        <v>62</v>
      </c>
      <c r="AM880" s="90"/>
      <c r="AN880" s="90"/>
      <c r="AO880" s="90"/>
      <c r="AP880" s="90"/>
      <c r="AQ880" s="90"/>
      <c r="AR880" s="90"/>
      <c r="AS880" s="90"/>
      <c r="AT880" s="90"/>
      <c r="AU880" s="90"/>
      <c r="AV880" s="91"/>
      <c r="AX880" s="92"/>
    </row>
    <row r="881" customFormat="false" ht="15.65" hidden="false" customHeight="false" outlineLevel="0" collapsed="false">
      <c r="C881" s="72" t="n">
        <f aca="false">COUNTIFS($D$6:D881,"&lt;&gt;"&amp;"")</f>
        <v>876</v>
      </c>
      <c r="D881" s="73" t="s">
        <v>12</v>
      </c>
      <c r="E881" s="76" t="str">
        <f aca="false">
IF($D881="정상",INDEX(임대자산!$D$3:$R$3000,MATCH($F881,임대자산!$I$3:$I$3000,0),MATCH(E$3,임대자산!$D$3:$R$3,0)),
IF($D881="폐업",INDEX(폐업정보!$D$3:$R$3000,MATCH($F881,폐업정보!$I$3:$I$3000,0),MATCH(E$3,폐업정보!$D$3:$R$3,0)),
"Error"))</f>
        <v>강원</v>
      </c>
      <c r="F88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B0876</v>
      </c>
      <c r="G881" s="76" t="str">
        <f aca="false">F881&amp;RANDBETWEEN(0,10)</f>
        <v>B08764</v>
      </c>
      <c r="H881" s="75" t="n">
        <f aca="false">
IF($D881="정상",INDEX(임대자산!$D$3:$R$3000,MATCH($F881,임대자산!$I$3:$I$3000,0),MATCH(H$4,임대자산!$D$3:$R$3,0)),
IF($D881="폐업",INDEX(폐업정보!$D$3:$R$3000,MATCH($F881,폐업정보!$I$3:$I$3000,0),MATCH(H$4,폐업정보!$D$3:$R$3,0)),
"Error"))</f>
        <v>44405</v>
      </c>
      <c r="I881" s="75" t="str">
        <f aca="false">
IF($D881="정상",INDEX(임대자산!$D$3:$R$3000,MATCH($F881,임대자산!$I$3:$I$3000,0),MATCH(I$4,임대자산!$D$3:$R$3,0)),
IF($D881="폐업",INDEX(폐업정보!$D$3:$R$3000,MATCH($F881,폐업정보!$I$3:$I$3000,0),MATCH(I$4,폐업정보!$D$3:$R$3,0)),
"Error"))</f>
        <v>A0876</v>
      </c>
      <c r="J881" s="75" t="str">
        <f aca="false">
IF($D881="정상",INDEX(임대자산!$D$3:$R$3000,MATCH($F881,임대자산!$I$3:$I$3000,0),MATCH(J$4,임대자산!$D$3:$R$3,0)),
IF($D881="폐업",INDEX(폐업정보!$D$3:$R$3000,MATCH($F881,폐업정보!$I$3:$I$3000,0),MATCH(J$4,폐업정보!$D$3:$R$3,0)),
"Error"))</f>
        <v>2493400000</v>
      </c>
      <c r="K881" s="75" t="str">
        <f aca="false">
IF($D881="정상",INDEX(임대자산!$D$3:$R$3000,MATCH($F881,임대자산!$I$3:$I$3000,0),MATCH(K$4,임대자산!$D$3:$R$3,0)),
IF($D881="폐업",INDEX(폐업정보!$D$3:$R$3000,MATCH($F881,폐업정보!$I$3:$I$3000,0),MATCH(K$4,폐업정보!$D$3:$R$3,0)),
"Error"))</f>
        <v>C0876</v>
      </c>
      <c r="L881" s="75" t="str">
        <f aca="false">
IF($D881="정상",INDEX(임대자산!$D$3:$R$3000,MATCH($F881,임대자산!$I$3:$I$3000,0),MATCH(L$4,임대자산!$D$3:$R$3,0)),
IF($D881="폐업",INDEX(폐업정보!$D$3:$R$3000,MATCH($F881,폐업정보!$I$3:$I$3000,0),MATCH(L$4,폐업정보!$D$3:$R$3,0)),
"Error"))</f>
        <v>D0876</v>
      </c>
      <c r="M881" s="76" t="s">
        <v>96</v>
      </c>
      <c r="N881" s="77"/>
      <c r="O881" s="78" t="s">
        <v>97</v>
      </c>
      <c r="P881" s="79" t="n">
        <f aca="false">COUNTIFS(임대자산!$I:$I,가맹점정보!F881,임대자산!$N:$N,가맹점정보!P$4)</f>
        <v>0</v>
      </c>
      <c r="Q881" s="80" t="n">
        <f aca="false">COUNTIFS(임대자산!$I:$I,가맹점정보!F881,임대자산!$N:$N,가맹점정보!Q$4)</f>
        <v>0</v>
      </c>
      <c r="R881" s="81" t="n">
        <f aca="false">COUNTIFS(임대자산!$I:$I,가맹점정보!F881,임대자산!$N:$N,가맹점정보!R$4)</f>
        <v>1</v>
      </c>
      <c r="S881" s="82" t="n">
        <v>55000</v>
      </c>
      <c r="T881" s="83" t="n">
        <v>0</v>
      </c>
      <c r="U881" s="80" t="n">
        <f aca="false">SUM(S881:T881)</f>
        <v>55000</v>
      </c>
      <c r="V881" s="84" t="s">
        <v>12</v>
      </c>
      <c r="W881" s="80" t="e">
        <f aca="true">
IF(D881="폐업","폐업",
IF(V881="면제","면제",
IF(AND(V881="정상",COUNTIFS(OFFSET(Y881,0,COUNTA(Y881:AV881)-1,1,-4),"미납")&gt;=3),"장기미납",
IF(AND(V881="정상",OFFSET(Y881,0,COUNTA(Y881:AV881)-1)&gt;=U881),"정상",
IF(AND(V881="정상",OFFSET(Y881,0,COUNTA(Y881:AV881)-1)=0),"정상",
"계약서 미작성")))))</f>
        <v>#VALUE!</v>
      </c>
      <c r="X881" s="81" t="str">
        <f aca="true">
IF(D881="폐업","폐업",
IF(AND(V881="정상",OFFSET(Y881,0,COUNTA(Y881:AV881)-1)="미납"),"미납",
IF(AND(V881="정상",OFFSET(Y881,0,COUNTA(Y881:AV881)-1)=0),"납부 시작 전",
IF(AND(V881="정상",OFFSET(Y881,0,COUNTA(Y881:AV881)-1)&gt;=U881),"정상",
IF(AND(V881="면제",OFFSET(Y881,0,COUNTA(Y881:AV881)-1)="면제"),"면제",
IF(AND(V881="면제",OFFSET(Y881,0,COUNTA(Y881:AV881)-1)=0),"면제",
"확인요청"))))))</f>
        <v>정상</v>
      </c>
      <c r="Y881" s="93" t="n">
        <v>55000</v>
      </c>
      <c r="Z881" s="90" t="n">
        <v>55000</v>
      </c>
      <c r="AA881" s="90" t="n">
        <v>55000</v>
      </c>
      <c r="AB881" s="90" t="n">
        <v>55000</v>
      </c>
      <c r="AC881" s="90" t="n">
        <v>55000</v>
      </c>
      <c r="AD881" s="90" t="n">
        <v>55000</v>
      </c>
      <c r="AE881" s="90" t="n">
        <v>55000</v>
      </c>
      <c r="AF881" s="90" t="n">
        <v>55000</v>
      </c>
      <c r="AG881" s="90" t="n">
        <v>55000</v>
      </c>
      <c r="AH881" s="90" t="n">
        <v>55000</v>
      </c>
      <c r="AI881" s="90" t="n">
        <v>55000</v>
      </c>
      <c r="AJ881" s="91" t="n">
        <v>55000</v>
      </c>
      <c r="AK881" s="89" t="n">
        <v>55000</v>
      </c>
      <c r="AL881" s="90" t="n">
        <v>55000</v>
      </c>
      <c r="AM881" s="90"/>
      <c r="AN881" s="90"/>
      <c r="AO881" s="90"/>
      <c r="AP881" s="90"/>
      <c r="AQ881" s="90"/>
      <c r="AR881" s="90"/>
      <c r="AS881" s="90"/>
      <c r="AT881" s="90"/>
      <c r="AU881" s="90"/>
      <c r="AV881" s="91"/>
      <c r="AX881" s="92"/>
    </row>
    <row r="882" customFormat="false" ht="15.65" hidden="false" customHeight="false" outlineLevel="0" collapsed="false">
      <c r="C882" s="72" t="n">
        <f aca="false">COUNTIFS($D$6:D882,"&lt;&gt;"&amp;"")</f>
        <v>877</v>
      </c>
      <c r="D882" s="73" t="s">
        <v>12</v>
      </c>
      <c r="E882" s="76" t="str">
        <f aca="false">
IF($D882="정상",INDEX(임대자산!$D$3:$R$3000,MATCH($F882,임대자산!$I$3:$I$3000,0),MATCH(E$3,임대자산!$D$3:$R$3,0)),
IF($D882="폐업",INDEX(폐업정보!$D$3:$R$3000,MATCH($F882,폐업정보!$I$3:$I$3000,0),MATCH(E$3,폐업정보!$D$3:$R$3,0)),
"Error"))</f>
        <v>전라</v>
      </c>
      <c r="F88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B0877</v>
      </c>
      <c r="G882" s="76" t="str">
        <f aca="false">F882&amp;RANDBETWEEN(0,10)</f>
        <v>B08778</v>
      </c>
      <c r="H882" s="75" t="n">
        <f aca="false">
IF($D882="정상",INDEX(임대자산!$D$3:$R$3000,MATCH($F882,임대자산!$I$3:$I$3000,0),MATCH(H$4,임대자산!$D$3:$R$3,0)),
IF($D882="폐업",INDEX(폐업정보!$D$3:$R$3000,MATCH($F882,폐업정보!$I$3:$I$3000,0),MATCH(H$4,폐업정보!$D$3:$R$3,0)),
"Error"))</f>
        <v>45006</v>
      </c>
      <c r="I882" s="75" t="str">
        <f aca="false">
IF($D882="정상",INDEX(임대자산!$D$3:$R$3000,MATCH($F882,임대자산!$I$3:$I$3000,0),MATCH(I$4,임대자산!$D$3:$R$3,0)),
IF($D882="폐업",INDEX(폐업정보!$D$3:$R$3000,MATCH($F882,폐업정보!$I$3:$I$3000,0),MATCH(I$4,폐업정보!$D$3:$R$3,0)),
"Error"))</f>
        <v>A0877</v>
      </c>
      <c r="J882" s="75" t="str">
        <f aca="false">
IF($D882="정상",INDEX(임대자산!$D$3:$R$3000,MATCH($F882,임대자산!$I$3:$I$3000,0),MATCH(J$4,임대자산!$D$3:$R$3,0)),
IF($D882="폐업",INDEX(폐업정보!$D$3:$R$3000,MATCH($F882,폐업정보!$I$3:$I$3000,0),MATCH(J$4,폐업정보!$D$3:$R$3,0)),
"Error"))</f>
        <v>4750100000</v>
      </c>
      <c r="K882" s="75" t="str">
        <f aca="false">
IF($D882="정상",INDEX(임대자산!$D$3:$R$3000,MATCH($F882,임대자산!$I$3:$I$3000,0),MATCH(K$4,임대자산!$D$3:$R$3,0)),
IF($D882="폐업",INDEX(폐업정보!$D$3:$R$3000,MATCH($F882,폐업정보!$I$3:$I$3000,0),MATCH(K$4,폐업정보!$D$3:$R$3,0)),
"Error"))</f>
        <v>C0877</v>
      </c>
      <c r="L882" s="75" t="str">
        <f aca="false">
IF($D882="정상",INDEX(임대자산!$D$3:$R$3000,MATCH($F882,임대자산!$I$3:$I$3000,0),MATCH(L$4,임대자산!$D$3:$R$3,0)),
IF($D882="폐업",INDEX(폐업정보!$D$3:$R$3000,MATCH($F882,폐업정보!$I$3:$I$3000,0),MATCH(L$4,폐업정보!$D$3:$R$3,0)),
"Error"))</f>
        <v>D0877</v>
      </c>
      <c r="M882" s="76" t="s">
        <v>96</v>
      </c>
      <c r="N882" s="77"/>
      <c r="O882" s="78" t="s">
        <v>97</v>
      </c>
      <c r="P882" s="79" t="n">
        <f aca="false">COUNTIFS(임대자산!$I:$I,가맹점정보!F882,임대자산!$N:$N,가맹점정보!P$4)</f>
        <v>0</v>
      </c>
      <c r="Q882" s="80" t="n">
        <f aca="false">COUNTIFS(임대자산!$I:$I,가맹점정보!F882,임대자산!$N:$N,가맹점정보!Q$4)</f>
        <v>0</v>
      </c>
      <c r="R882" s="81" t="n">
        <f aca="false">COUNTIFS(임대자산!$I:$I,가맹점정보!F882,임대자산!$N:$N,가맹점정보!R$4)</f>
        <v>1</v>
      </c>
      <c r="S882" s="82" t="n">
        <v>55000</v>
      </c>
      <c r="T882" s="83" t="n">
        <v>0</v>
      </c>
      <c r="U882" s="80" t="n">
        <f aca="false">SUM(S882:T882)</f>
        <v>55000</v>
      </c>
      <c r="V882" s="84" t="s">
        <v>12</v>
      </c>
      <c r="W882" s="80" t="e">
        <f aca="true">
IF(D882="폐업","폐업",
IF(V882="면제","면제",
IF(AND(V882="정상",COUNTIFS(OFFSET(Y882,0,COUNTA(Y882:AV882)-1,1,-4),"미납")&gt;=3),"장기미납",
IF(AND(V882="정상",OFFSET(Y882,0,COUNTA(Y882:AV882)-1)&gt;=U882),"정상",
IF(AND(V882="정상",OFFSET(Y882,0,COUNTA(Y882:AV882)-1)=0),"정상",
"계약서 미작성")))))</f>
        <v>#VALUE!</v>
      </c>
      <c r="X882" s="81" t="str">
        <f aca="true">
IF(D882="폐업","폐업",
IF(AND(V882="정상",OFFSET(Y882,0,COUNTA(Y882:AV882)-1)="미납"),"미납",
IF(AND(V882="정상",OFFSET(Y882,0,COUNTA(Y882:AV882)-1)=0),"납부 시작 전",
IF(AND(V882="정상",OFFSET(Y882,0,COUNTA(Y882:AV882)-1)&gt;=U882),"정상",
IF(AND(V882="면제",OFFSET(Y882,0,COUNTA(Y882:AV882)-1)="면제"),"면제",
IF(AND(V882="면제",OFFSET(Y882,0,COUNTA(Y882:AV882)-1)=0),"면제",
"확인요청"))))))</f>
        <v>정상</v>
      </c>
      <c r="Y882" s="93" t="n">
        <v>55000</v>
      </c>
      <c r="Z882" s="90" t="n">
        <v>55000</v>
      </c>
      <c r="AA882" s="90" t="n">
        <v>55000</v>
      </c>
      <c r="AB882" s="90" t="n">
        <v>55000</v>
      </c>
      <c r="AC882" s="90" t="n">
        <v>55000</v>
      </c>
      <c r="AD882" s="90" t="n">
        <v>55000</v>
      </c>
      <c r="AE882" s="90" t="n">
        <v>55000</v>
      </c>
      <c r="AF882" s="90" t="n">
        <v>55000</v>
      </c>
      <c r="AG882" s="90" t="n">
        <v>55000</v>
      </c>
      <c r="AH882" s="90" t="n">
        <v>55000</v>
      </c>
      <c r="AI882" s="90" t="n">
        <v>55000</v>
      </c>
      <c r="AJ882" s="91" t="n">
        <v>55000</v>
      </c>
      <c r="AK882" s="89" t="n">
        <v>55000</v>
      </c>
      <c r="AL882" s="90" t="n">
        <v>55000</v>
      </c>
      <c r="AM882" s="90"/>
      <c r="AN882" s="90"/>
      <c r="AO882" s="90"/>
      <c r="AP882" s="90"/>
      <c r="AQ882" s="90"/>
      <c r="AR882" s="90"/>
      <c r="AS882" s="90"/>
      <c r="AT882" s="90"/>
      <c r="AU882" s="90"/>
      <c r="AV882" s="91"/>
      <c r="AX882" s="92"/>
    </row>
    <row r="883" customFormat="false" ht="15.65" hidden="false" customHeight="false" outlineLevel="0" collapsed="false">
      <c r="C883" s="72" t="n">
        <f aca="false">COUNTIFS($D$6:D883,"&lt;&gt;"&amp;"")</f>
        <v>878</v>
      </c>
      <c r="D883" s="73" t="s">
        <v>12</v>
      </c>
      <c r="E883" s="76" t="str">
        <f aca="false">
IF($D883="정상",INDEX(임대자산!$D$3:$R$3000,MATCH($F883,임대자산!$I$3:$I$3000,0),MATCH(E$3,임대자산!$D$3:$R$3,0)),
IF($D883="폐업",INDEX(폐업정보!$D$3:$R$3000,MATCH($F883,폐업정보!$I$3:$I$3000,0),MATCH(E$3,폐업정보!$D$3:$R$3,0)),
"Error"))</f>
        <v>경기</v>
      </c>
      <c r="F88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B0878</v>
      </c>
      <c r="G883" s="76" t="str">
        <f aca="false">F883&amp;RANDBETWEEN(0,10)</f>
        <v>B08787</v>
      </c>
      <c r="H883" s="75" t="n">
        <f aca="false">
IF($D883="정상",INDEX(임대자산!$D$3:$R$3000,MATCH($F883,임대자산!$I$3:$I$3000,0),MATCH(H$4,임대자산!$D$3:$R$3,0)),
IF($D883="폐업",INDEX(폐업정보!$D$3:$R$3000,MATCH($F883,폐업정보!$I$3:$I$3000,0),MATCH(H$4,폐업정보!$D$3:$R$3,0)),
"Error"))</f>
        <v>44390</v>
      </c>
      <c r="I883" s="75" t="str">
        <f aca="false">
IF($D883="정상",INDEX(임대자산!$D$3:$R$3000,MATCH($F883,임대자산!$I$3:$I$3000,0),MATCH(I$4,임대자산!$D$3:$R$3,0)),
IF($D883="폐업",INDEX(폐업정보!$D$3:$R$3000,MATCH($F883,폐업정보!$I$3:$I$3000,0),MATCH(I$4,폐업정보!$D$3:$R$3,0)),
"Error"))</f>
        <v>A0878</v>
      </c>
      <c r="J883" s="75" t="str">
        <f aca="false">
IF($D883="정상",INDEX(임대자산!$D$3:$R$3000,MATCH($F883,임대자산!$I$3:$I$3000,0),MATCH(J$4,임대자산!$D$3:$R$3,0)),
IF($D883="폐업",INDEX(폐업정보!$D$3:$R$3000,MATCH($F883,폐업정보!$I$3:$I$3000,0),MATCH(J$4,폐업정보!$D$3:$R$3,0)),
"Error"))</f>
        <v>6538000000</v>
      </c>
      <c r="K883" s="75" t="str">
        <f aca="false">
IF($D883="정상",INDEX(임대자산!$D$3:$R$3000,MATCH($F883,임대자산!$I$3:$I$3000,0),MATCH(K$4,임대자산!$D$3:$R$3,0)),
IF($D883="폐업",INDEX(폐업정보!$D$3:$R$3000,MATCH($F883,폐업정보!$I$3:$I$3000,0),MATCH(K$4,폐업정보!$D$3:$R$3,0)),
"Error"))</f>
        <v>C0878</v>
      </c>
      <c r="L883" s="75" t="str">
        <f aca="false">
IF($D883="정상",INDEX(임대자산!$D$3:$R$3000,MATCH($F883,임대자산!$I$3:$I$3000,0),MATCH(L$4,임대자산!$D$3:$R$3,0)),
IF($D883="폐업",INDEX(폐업정보!$D$3:$R$3000,MATCH($F883,폐업정보!$I$3:$I$3000,0),MATCH(L$4,폐업정보!$D$3:$R$3,0)),
"Error"))</f>
        <v>D0878</v>
      </c>
      <c r="M883" s="76" t="s">
        <v>96</v>
      </c>
      <c r="N883" s="77"/>
      <c r="O883" s="78" t="s">
        <v>97</v>
      </c>
      <c r="P883" s="79" t="n">
        <f aca="false">COUNTIFS(임대자산!$I:$I,가맹점정보!F883,임대자산!$N:$N,가맹점정보!P$4)</f>
        <v>0</v>
      </c>
      <c r="Q883" s="80" t="n">
        <f aca="false">COUNTIFS(임대자산!$I:$I,가맹점정보!F883,임대자산!$N:$N,가맹점정보!Q$4)</f>
        <v>0</v>
      </c>
      <c r="R883" s="81" t="n">
        <f aca="false">COUNTIFS(임대자산!$I:$I,가맹점정보!F883,임대자산!$N:$N,가맹점정보!R$4)</f>
        <v>1</v>
      </c>
      <c r="S883" s="82" t="n">
        <v>55000</v>
      </c>
      <c r="T883" s="83" t="n">
        <v>0</v>
      </c>
      <c r="U883" s="80" t="n">
        <f aca="false">SUM(S883:T883)</f>
        <v>55000</v>
      </c>
      <c r="V883" s="84" t="s">
        <v>12</v>
      </c>
      <c r="W883" s="80" t="e">
        <f aca="true">
IF(D883="폐업","폐업",
IF(V883="면제","면제",
IF(AND(V883="정상",COUNTIFS(OFFSET(Y883,0,COUNTA(Y883:AV883)-1,1,-4),"미납")&gt;=3),"장기미납",
IF(AND(V883="정상",OFFSET(Y883,0,COUNTA(Y883:AV883)-1)&gt;=U883),"정상",
IF(AND(V883="정상",OFFSET(Y883,0,COUNTA(Y883:AV883)-1)=0),"정상",
"계약서 미작성")))))</f>
        <v>#VALUE!</v>
      </c>
      <c r="X883" s="81" t="str">
        <f aca="true">
IF(D883="폐업","폐업",
IF(AND(V883="정상",OFFSET(Y883,0,COUNTA(Y883:AV883)-1)="미납"),"미납",
IF(AND(V883="정상",OFFSET(Y883,0,COUNTA(Y883:AV883)-1)=0),"납부 시작 전",
IF(AND(V883="정상",OFFSET(Y883,0,COUNTA(Y883:AV883)-1)&gt;=U883),"정상",
IF(AND(V883="면제",OFFSET(Y883,0,COUNTA(Y883:AV883)-1)="면제"),"면제",
IF(AND(V883="면제",OFFSET(Y883,0,COUNTA(Y883:AV883)-1)=0),"면제",
"확인요청"))))))</f>
        <v>미납</v>
      </c>
      <c r="Y883" s="93" t="n">
        <v>55000</v>
      </c>
      <c r="Z883" s="90" t="n">
        <v>55000</v>
      </c>
      <c r="AA883" s="90" t="n">
        <v>55000</v>
      </c>
      <c r="AB883" s="90" t="n">
        <v>55000</v>
      </c>
      <c r="AC883" s="90" t="n">
        <v>55000</v>
      </c>
      <c r="AD883" s="90" t="n">
        <v>55000</v>
      </c>
      <c r="AE883" s="90" t="n">
        <v>55000</v>
      </c>
      <c r="AF883" s="90" t="n">
        <v>55000</v>
      </c>
      <c r="AG883" s="90" t="n">
        <v>55000</v>
      </c>
      <c r="AH883" s="90" t="n">
        <v>55000</v>
      </c>
      <c r="AI883" s="90" t="n">
        <v>55000</v>
      </c>
      <c r="AJ883" s="91" t="n">
        <v>55000</v>
      </c>
      <c r="AK883" s="89" t="n">
        <v>55000</v>
      </c>
      <c r="AL883" s="95" t="s">
        <v>62</v>
      </c>
      <c r="AM883" s="90"/>
      <c r="AN883" s="90"/>
      <c r="AO883" s="90"/>
      <c r="AP883" s="90"/>
      <c r="AQ883" s="90"/>
      <c r="AR883" s="90"/>
      <c r="AS883" s="90"/>
      <c r="AT883" s="90"/>
      <c r="AU883" s="90"/>
      <c r="AV883" s="91"/>
      <c r="AX883" s="92"/>
    </row>
    <row r="884" customFormat="false" ht="15.65" hidden="false" customHeight="false" outlineLevel="0" collapsed="false">
      <c r="C884" s="72" t="n">
        <f aca="false">COUNTIFS($D$6:D884,"&lt;&gt;"&amp;"")</f>
        <v>879</v>
      </c>
      <c r="D884" s="73" t="s">
        <v>5</v>
      </c>
      <c r="E884" s="76" t="str">
        <f aca="false">
IF($D884="정상",INDEX(임대자산!$D$3:$R$3000,MATCH($F884,임대자산!$I$3:$I$3000,0),MATCH(E$3,임대자산!$D$3:$R$3,0)),
IF($D884="폐업",INDEX(폐업정보!$D$3:$R$3000,MATCH($F884,폐업정보!$I$3:$I$3000,0),MATCH(E$3,폐업정보!$D$3:$R$3,0)),
"Error"))</f>
        <v>경기</v>
      </c>
      <c r="F88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B0879</v>
      </c>
      <c r="G884" s="76" t="str">
        <f aca="false">F884&amp;RANDBETWEEN(0,10)</f>
        <v>B08790</v>
      </c>
      <c r="H884" s="75" t="n">
        <f aca="false">
IF($D884="정상",INDEX(임대자산!$D$3:$R$3000,MATCH($F884,임대자산!$I$3:$I$3000,0),MATCH(H$4,임대자산!$D$3:$R$3,0)),
IF($D884="폐업",INDEX(폐업정보!$D$3:$R$3000,MATCH($F884,폐업정보!$I$3:$I$3000,0),MATCH(H$4,폐업정보!$D$3:$R$3,0)),
"Error"))</f>
        <v>44390</v>
      </c>
      <c r="I884" s="75" t="str">
        <f aca="false">
IF($D884="정상",INDEX(임대자산!$D$3:$R$3000,MATCH($F884,임대자산!$I$3:$I$3000,0),MATCH(I$4,임대자산!$D$3:$R$3,0)),
IF($D884="폐업",INDEX(폐업정보!$D$3:$R$3000,MATCH($F884,폐업정보!$I$3:$I$3000,0),MATCH(I$4,폐업정보!$D$3:$R$3,0)),
"Error"))</f>
        <v>A0879</v>
      </c>
      <c r="J884" s="75" t="str">
        <f aca="false">
IF($D884="정상",INDEX(임대자산!$D$3:$R$3000,MATCH($F884,임대자산!$I$3:$I$3000,0),MATCH(J$4,임대자산!$D$3:$R$3,0)),
IF($D884="폐업",INDEX(폐업정보!$D$3:$R$3000,MATCH($F884,폐업정보!$I$3:$I$3000,0),MATCH(J$4,폐업정보!$D$3:$R$3,0)),
"Error"))</f>
        <v>8997300000</v>
      </c>
      <c r="K884" s="75" t="str">
        <f aca="false">
IF($D884="정상",INDEX(임대자산!$D$3:$R$3000,MATCH($F884,임대자산!$I$3:$I$3000,0),MATCH(K$4,임대자산!$D$3:$R$3,0)),
IF($D884="폐업",INDEX(폐업정보!$D$3:$R$3000,MATCH($F884,폐업정보!$I$3:$I$3000,0),MATCH(K$4,폐업정보!$D$3:$R$3,0)),
"Error"))</f>
        <v>C0879</v>
      </c>
      <c r="L884" s="75" t="str">
        <f aca="false">
IF($D884="정상",INDEX(임대자산!$D$3:$R$3000,MATCH($F884,임대자산!$I$3:$I$3000,0),MATCH(L$4,임대자산!$D$3:$R$3,0)),
IF($D884="폐업",INDEX(폐업정보!$D$3:$R$3000,MATCH($F884,폐업정보!$I$3:$I$3000,0),MATCH(L$4,폐업정보!$D$3:$R$3,0)),
"Error"))</f>
        <v>D0879</v>
      </c>
      <c r="M884" s="76" t="s">
        <v>96</v>
      </c>
      <c r="N884" s="77"/>
      <c r="O884" s="78" t="s">
        <v>97</v>
      </c>
      <c r="P884" s="79" t="n">
        <f aca="false">COUNTIFS(임대자산!$I:$I,가맹점정보!F884,임대자산!$N:$N,가맹점정보!P$4)</f>
        <v>0</v>
      </c>
      <c r="Q884" s="80" t="n">
        <f aca="false">COUNTIFS(임대자산!$I:$I,가맹점정보!F884,임대자산!$N:$N,가맹점정보!Q$4)</f>
        <v>0</v>
      </c>
      <c r="R884" s="81" t="n">
        <f aca="false">COUNTIFS(임대자산!$I:$I,가맹점정보!F884,임대자산!$N:$N,가맹점정보!R$4)</f>
        <v>0</v>
      </c>
      <c r="S884" s="82" t="n">
        <v>88000</v>
      </c>
      <c r="T884" s="83" t="n">
        <v>0</v>
      </c>
      <c r="U884" s="80" t="n">
        <f aca="false">SUM(S884:T884)</f>
        <v>88000</v>
      </c>
      <c r="V884" s="84" t="s">
        <v>12</v>
      </c>
      <c r="W884" s="80" t="str">
        <f aca="true">
IF(D884="폐업","폐업",
IF(V884="면제","면제",
IF(AND(V884="정상",COUNTIFS(OFFSET(Y884,0,COUNTA(Y884:AV884)-1,1,-4),"미납")&gt;=3),"장기미납",
IF(AND(V884="정상",OFFSET(Y884,0,COUNTA(Y884:AV884)-1)&gt;=U884),"정상",
IF(AND(V884="정상",OFFSET(Y884,0,COUNTA(Y884:AV884)-1)=0),"정상",
"계약서 미작성")))))</f>
        <v>폐업</v>
      </c>
      <c r="X884" s="81" t="str">
        <f aca="true">
IF(D884="폐업","폐업",
IF(AND(V884="정상",OFFSET(Y884,0,COUNTA(Y884:AV884)-1)="미납"),"미납",
IF(AND(V884="정상",OFFSET(Y884,0,COUNTA(Y884:AV884)-1)=0),"납부 시작 전",
IF(AND(V884="정상",OFFSET(Y884,0,COUNTA(Y884:AV884)-1)&gt;=U884),"정상",
IF(AND(V884="면제",OFFSET(Y884,0,COUNTA(Y884:AV884)-1)="면제"),"면제",
IF(AND(V884="면제",OFFSET(Y884,0,COUNTA(Y884:AV884)-1)=0),"면제",
"확인요청"))))))</f>
        <v>폐업</v>
      </c>
      <c r="Y884" s="93" t="n">
        <v>88000</v>
      </c>
      <c r="Z884" s="90" t="n">
        <v>88000</v>
      </c>
      <c r="AA884" s="90" t="n">
        <v>88000</v>
      </c>
      <c r="AB884" s="90" t="n">
        <v>88000</v>
      </c>
      <c r="AC884" s="90" t="n">
        <v>88000</v>
      </c>
      <c r="AD884" s="90" t="n">
        <v>88000</v>
      </c>
      <c r="AE884" s="90" t="n">
        <v>88000</v>
      </c>
      <c r="AF884" s="90" t="n">
        <v>88000</v>
      </c>
      <c r="AG884" s="90" t="n">
        <v>88000</v>
      </c>
      <c r="AH884" s="90" t="n">
        <v>88000</v>
      </c>
      <c r="AI884" s="90" t="n">
        <v>88000</v>
      </c>
      <c r="AJ884" s="91" t="n">
        <v>88000</v>
      </c>
      <c r="AK884" s="89" t="n">
        <v>88000</v>
      </c>
      <c r="AL884" s="90" t="n">
        <v>88000</v>
      </c>
      <c r="AM884" s="90"/>
      <c r="AN884" s="90"/>
      <c r="AO884" s="90"/>
      <c r="AP884" s="90"/>
      <c r="AQ884" s="90"/>
      <c r="AR884" s="90"/>
      <c r="AS884" s="90"/>
      <c r="AT884" s="90"/>
      <c r="AU884" s="90"/>
      <c r="AV884" s="91"/>
      <c r="AX884" s="92"/>
    </row>
    <row r="885" customFormat="false" ht="15.65" hidden="false" customHeight="false" outlineLevel="0" collapsed="false">
      <c r="C885" s="72" t="n">
        <f aca="false">COUNTIFS($D$6:D885,"&lt;&gt;"&amp;"")</f>
        <v>880</v>
      </c>
      <c r="D885" s="73" t="s">
        <v>12</v>
      </c>
      <c r="E885" s="76" t="str">
        <f aca="false">
IF($D885="정상",INDEX(임대자산!$D$3:$R$3000,MATCH($F885,임대자산!$I$3:$I$3000,0),MATCH(E$3,임대자산!$D$3:$R$3,0)),
IF($D885="폐업",INDEX(폐업정보!$D$3:$R$3000,MATCH($F885,폐업정보!$I$3:$I$3000,0),MATCH(E$3,폐업정보!$D$3:$R$3,0)),
"Error"))</f>
        <v>강원</v>
      </c>
      <c r="F88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B0880</v>
      </c>
      <c r="G885" s="76" t="str">
        <f aca="false">F885&amp;RANDBETWEEN(0,10)</f>
        <v>B08803</v>
      </c>
      <c r="H885" s="75" t="n">
        <f aca="false">
IF($D885="정상",INDEX(임대자산!$D$3:$R$3000,MATCH($F885,임대자산!$I$3:$I$3000,0),MATCH(H$4,임대자산!$D$3:$R$3,0)),
IF($D885="폐업",INDEX(폐업정보!$D$3:$R$3000,MATCH($F885,폐업정보!$I$3:$I$3000,0),MATCH(H$4,폐업정보!$D$3:$R$3,0)),
"Error"))</f>
        <v>45925</v>
      </c>
      <c r="I885" s="75" t="str">
        <f aca="false">
IF($D885="정상",INDEX(임대자산!$D$3:$R$3000,MATCH($F885,임대자산!$I$3:$I$3000,0),MATCH(I$4,임대자산!$D$3:$R$3,0)),
IF($D885="폐업",INDEX(폐업정보!$D$3:$R$3000,MATCH($F885,폐업정보!$I$3:$I$3000,0),MATCH(I$4,폐업정보!$D$3:$R$3,0)),
"Error"))</f>
        <v>A0880</v>
      </c>
      <c r="J885" s="75" t="str">
        <f aca="false">
IF($D885="정상",INDEX(임대자산!$D$3:$R$3000,MATCH($F885,임대자산!$I$3:$I$3000,0),MATCH(J$4,임대자산!$D$3:$R$3,0)),
IF($D885="폐업",INDEX(폐업정보!$D$3:$R$3000,MATCH($F885,폐업정보!$I$3:$I$3000,0),MATCH(J$4,폐업정보!$D$3:$R$3,0)),
"Error"))</f>
        <v>8160000000</v>
      </c>
      <c r="K885" s="75" t="str">
        <f aca="false">
IF($D885="정상",INDEX(임대자산!$D$3:$R$3000,MATCH($F885,임대자산!$I$3:$I$3000,0),MATCH(K$4,임대자산!$D$3:$R$3,0)),
IF($D885="폐업",INDEX(폐업정보!$D$3:$R$3000,MATCH($F885,폐업정보!$I$3:$I$3000,0),MATCH(K$4,폐업정보!$D$3:$R$3,0)),
"Error"))</f>
        <v>C0880</v>
      </c>
      <c r="L885" s="75" t="str">
        <f aca="false">
IF($D885="정상",INDEX(임대자산!$D$3:$R$3000,MATCH($F885,임대자산!$I$3:$I$3000,0),MATCH(L$4,임대자산!$D$3:$R$3,0)),
IF($D885="폐업",INDEX(폐업정보!$D$3:$R$3000,MATCH($F885,폐업정보!$I$3:$I$3000,0),MATCH(L$4,폐업정보!$D$3:$R$3,0)),
"Error"))</f>
        <v>D0880</v>
      </c>
      <c r="M885" s="76" t="s">
        <v>96</v>
      </c>
      <c r="N885" s="77"/>
      <c r="O885" s="78" t="s">
        <v>97</v>
      </c>
      <c r="P885" s="79" t="n">
        <f aca="false">COUNTIFS(임대자산!$I:$I,가맹점정보!F885,임대자산!$N:$N,가맹점정보!P$4)</f>
        <v>0</v>
      </c>
      <c r="Q885" s="80" t="n">
        <f aca="false">COUNTIFS(임대자산!$I:$I,가맹점정보!F885,임대자산!$N:$N,가맹점정보!Q$4)</f>
        <v>0</v>
      </c>
      <c r="R885" s="81" t="n">
        <f aca="false">COUNTIFS(임대자산!$I:$I,가맹점정보!F885,임대자산!$N:$N,가맹점정보!R$4)</f>
        <v>1</v>
      </c>
      <c r="S885" s="82" t="n">
        <v>55000</v>
      </c>
      <c r="T885" s="83" t="n">
        <v>0</v>
      </c>
      <c r="U885" s="80" t="n">
        <f aca="false">SUM(S885:T885)</f>
        <v>55000</v>
      </c>
      <c r="V885" s="84" t="s">
        <v>12</v>
      </c>
      <c r="W885" s="80" t="e">
        <f aca="true">
IF(D885="폐업","폐업",
IF(V885="면제","면제",
IF(AND(V885="정상",COUNTIFS(OFFSET(Y885,0,COUNTA(Y885:AV885)-1,1,-4),"미납")&gt;=3),"장기미납",
IF(AND(V885="정상",OFFSET(Y885,0,COUNTA(Y885:AV885)-1)&gt;=U885),"정상",
IF(AND(V885="정상",OFFSET(Y885,0,COUNTA(Y885:AV885)-1)=0),"정상",
"계약서 미작성")))))</f>
        <v>#VALUE!</v>
      </c>
      <c r="X885" s="81" t="str">
        <f aca="true">
IF(D885="폐업","폐업",
IF(AND(V885="정상",OFFSET(Y885,0,COUNTA(Y885:AV885)-1)="미납"),"미납",
IF(AND(V885="정상",OFFSET(Y885,0,COUNTA(Y885:AV885)-1)=0),"납부 시작 전",
IF(AND(V885="정상",OFFSET(Y885,0,COUNTA(Y885:AV885)-1)&gt;=U885),"정상",
IF(AND(V885="면제",OFFSET(Y885,0,COUNTA(Y885:AV885)-1)="면제"),"면제",
IF(AND(V885="면제",OFFSET(Y885,0,COUNTA(Y885:AV885)-1)=0),"면제",
"확인요청"))))))</f>
        <v>정상</v>
      </c>
      <c r="Y885" s="94" t="s">
        <v>7</v>
      </c>
      <c r="Z885" s="95" t="s">
        <v>7</v>
      </c>
      <c r="AA885" s="95" t="s">
        <v>7</v>
      </c>
      <c r="AB885" s="95" t="s">
        <v>7</v>
      </c>
      <c r="AC885" s="95" t="s">
        <v>7</v>
      </c>
      <c r="AD885" s="95" t="s">
        <v>7</v>
      </c>
      <c r="AE885" s="90" t="n">
        <v>55000</v>
      </c>
      <c r="AF885" s="90" t="n">
        <v>55000</v>
      </c>
      <c r="AG885" s="95" t="s">
        <v>62</v>
      </c>
      <c r="AH885" s="95" t="s">
        <v>62</v>
      </c>
      <c r="AI885" s="95" t="s">
        <v>62</v>
      </c>
      <c r="AJ885" s="96" t="s">
        <v>62</v>
      </c>
      <c r="AK885" s="89" t="n">
        <v>55000</v>
      </c>
      <c r="AL885" s="90" t="n">
        <v>55000</v>
      </c>
      <c r="AM885" s="90"/>
      <c r="AN885" s="90"/>
      <c r="AO885" s="90"/>
      <c r="AP885" s="90"/>
      <c r="AQ885" s="90"/>
      <c r="AR885" s="90"/>
      <c r="AS885" s="90"/>
      <c r="AT885" s="90"/>
      <c r="AU885" s="90"/>
      <c r="AV885" s="91"/>
      <c r="AX885" s="92"/>
    </row>
    <row r="886" customFormat="false" ht="15.65" hidden="false" customHeight="false" outlineLevel="0" collapsed="false">
      <c r="C886" s="72" t="n">
        <f aca="false">COUNTIFS($D$6:D886,"&lt;&gt;"&amp;"")</f>
        <v>881</v>
      </c>
      <c r="D886" s="73" t="s">
        <v>5</v>
      </c>
      <c r="E886" s="76" t="str">
        <f aca="false">
IF($D886="정상",INDEX(임대자산!$D$3:$R$3000,MATCH($F886,임대자산!$I$3:$I$3000,0),MATCH(E$3,임대자산!$D$3:$R$3,0)),
IF($D886="폐업",INDEX(폐업정보!$D$3:$R$3000,MATCH($F886,폐업정보!$I$3:$I$3000,0),MATCH(E$3,폐업정보!$D$3:$R$3,0)),
"Error"))</f>
        <v>강원</v>
      </c>
      <c r="F88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B0881</v>
      </c>
      <c r="G886" s="76" t="str">
        <f aca="false">F886&amp;RANDBETWEEN(0,10)</f>
        <v>B08817</v>
      </c>
      <c r="H886" s="75" t="n">
        <f aca="false">
IF($D886="정상",INDEX(임대자산!$D$3:$R$3000,MATCH($F886,임대자산!$I$3:$I$3000,0),MATCH(H$4,임대자산!$D$3:$R$3,0)),
IF($D886="폐업",INDEX(폐업정보!$D$3:$R$3000,MATCH($F886,폐업정보!$I$3:$I$3000,0),MATCH(H$4,폐업정보!$D$3:$R$3,0)),
"Error"))</f>
        <v>45925</v>
      </c>
      <c r="I886" s="75" t="str">
        <f aca="false">
IF($D886="정상",INDEX(임대자산!$D$3:$R$3000,MATCH($F886,임대자산!$I$3:$I$3000,0),MATCH(I$4,임대자산!$D$3:$R$3,0)),
IF($D886="폐업",INDEX(폐업정보!$D$3:$R$3000,MATCH($F886,폐업정보!$I$3:$I$3000,0),MATCH(I$4,폐업정보!$D$3:$R$3,0)),
"Error"))</f>
        <v>A0881</v>
      </c>
      <c r="J886" s="75" t="str">
        <f aca="false">
IF($D886="정상",INDEX(임대자산!$D$3:$R$3000,MATCH($F886,임대자산!$I$3:$I$3000,0),MATCH(J$4,임대자산!$D$3:$R$3,0)),
IF($D886="폐업",INDEX(폐업정보!$D$3:$R$3000,MATCH($F886,폐업정보!$I$3:$I$3000,0),MATCH(J$4,폐업정보!$D$3:$R$3,0)),
"Error"))</f>
        <v>4854200000</v>
      </c>
      <c r="K886" s="75" t="str">
        <f aca="false">
IF($D886="정상",INDEX(임대자산!$D$3:$R$3000,MATCH($F886,임대자산!$I$3:$I$3000,0),MATCH(K$4,임대자산!$D$3:$R$3,0)),
IF($D886="폐업",INDEX(폐업정보!$D$3:$R$3000,MATCH($F886,폐업정보!$I$3:$I$3000,0),MATCH(K$4,폐업정보!$D$3:$R$3,0)),
"Error"))</f>
        <v>C0881</v>
      </c>
      <c r="L886" s="75" t="str">
        <f aca="false">
IF($D886="정상",INDEX(임대자산!$D$3:$R$3000,MATCH($F886,임대자산!$I$3:$I$3000,0),MATCH(L$4,임대자산!$D$3:$R$3,0)),
IF($D886="폐업",INDEX(폐업정보!$D$3:$R$3000,MATCH($F886,폐업정보!$I$3:$I$3000,0),MATCH(L$4,폐업정보!$D$3:$R$3,0)),
"Error"))</f>
        <v>D0881</v>
      </c>
      <c r="M886" s="76" t="s">
        <v>96</v>
      </c>
      <c r="N886" s="77"/>
      <c r="O886" s="78" t="s">
        <v>97</v>
      </c>
      <c r="P886" s="79" t="n">
        <f aca="false">COUNTIFS(임대자산!$I:$I,가맹점정보!F886,임대자산!$N:$N,가맹점정보!P$4)</f>
        <v>0</v>
      </c>
      <c r="Q886" s="80" t="n">
        <f aca="false">COUNTIFS(임대자산!$I:$I,가맹점정보!F886,임대자산!$N:$N,가맹점정보!Q$4)</f>
        <v>0</v>
      </c>
      <c r="R886" s="81" t="n">
        <f aca="false">COUNTIFS(임대자산!$I:$I,가맹점정보!F886,임대자산!$N:$N,가맹점정보!R$4)</f>
        <v>0</v>
      </c>
      <c r="S886" s="82" t="n">
        <v>88000</v>
      </c>
      <c r="T886" s="83" t="n">
        <v>0</v>
      </c>
      <c r="U886" s="80" t="n">
        <f aca="false">SUM(S886:T886)</f>
        <v>88000</v>
      </c>
      <c r="V886" s="84" t="s">
        <v>12</v>
      </c>
      <c r="W886" s="80" t="str">
        <f aca="true">
IF(D886="폐업","폐업",
IF(V886="면제","면제",
IF(AND(V886="정상",COUNTIFS(OFFSET(Y886,0,COUNTA(Y886:AV886)-1,1,-4),"미납")&gt;=3),"장기미납",
IF(AND(V886="정상",OFFSET(Y886,0,COUNTA(Y886:AV886)-1)&gt;=U886),"정상",
IF(AND(V886="정상",OFFSET(Y886,0,COUNTA(Y886:AV886)-1)=0),"정상",
"계약서 미작성")))))</f>
        <v>폐업</v>
      </c>
      <c r="X886" s="81" t="str">
        <f aca="true">
IF(D886="폐업","폐업",
IF(AND(V886="정상",OFFSET(Y886,0,COUNTA(Y886:AV886)-1)="미납"),"미납",
IF(AND(V886="정상",OFFSET(Y886,0,COUNTA(Y886:AV886)-1)=0),"납부 시작 전",
IF(AND(V886="정상",OFFSET(Y886,0,COUNTA(Y886:AV886)-1)&gt;=U886),"정상",
IF(AND(V886="면제",OFFSET(Y886,0,COUNTA(Y886:AV886)-1)="면제"),"면제",
IF(AND(V886="면제",OFFSET(Y886,0,COUNTA(Y886:AV886)-1)=0),"면제",
"확인요청"))))))</f>
        <v>폐업</v>
      </c>
      <c r="Y886" s="93" t="n">
        <v>88000</v>
      </c>
      <c r="Z886" s="90" t="n">
        <v>88000</v>
      </c>
      <c r="AA886" s="90" t="n">
        <v>88000</v>
      </c>
      <c r="AB886" s="90" t="n">
        <v>88000</v>
      </c>
      <c r="AC886" s="90" t="s">
        <v>108</v>
      </c>
      <c r="AD886" s="90" t="n">
        <v>176000</v>
      </c>
      <c r="AE886" s="90" t="n">
        <v>88000</v>
      </c>
      <c r="AF886" s="90" t="n">
        <v>88000</v>
      </c>
      <c r="AG886" s="90" t="n">
        <v>88000</v>
      </c>
      <c r="AH886" s="90" t="n">
        <v>88000</v>
      </c>
      <c r="AI886" s="90" t="n">
        <v>88000</v>
      </c>
      <c r="AJ886" s="91" t="n">
        <v>88000</v>
      </c>
      <c r="AK886" s="89" t="n">
        <v>88000</v>
      </c>
      <c r="AL886" s="90" t="n">
        <v>88000</v>
      </c>
      <c r="AM886" s="90"/>
      <c r="AN886" s="90"/>
      <c r="AO886" s="90"/>
      <c r="AP886" s="90"/>
      <c r="AQ886" s="90"/>
      <c r="AR886" s="90"/>
      <c r="AS886" s="90"/>
      <c r="AT886" s="90"/>
      <c r="AU886" s="90"/>
      <c r="AV886" s="91"/>
      <c r="AX886" s="92"/>
    </row>
    <row r="887" customFormat="false" ht="15.65" hidden="false" customHeight="false" outlineLevel="0" collapsed="false">
      <c r="C887" s="72" t="n">
        <f aca="false">COUNTIFS($D$6:D887,"&lt;&gt;"&amp;"")</f>
        <v>882</v>
      </c>
      <c r="D887" s="73" t="s">
        <v>12</v>
      </c>
      <c r="E887" s="76" t="str">
        <f aca="false">
IF($D887="정상",INDEX(임대자산!$D$3:$R$3000,MATCH($F887,임대자산!$I$3:$I$3000,0),MATCH(E$3,임대자산!$D$3:$R$3,0)),
IF($D887="폐업",INDEX(폐업정보!$D$3:$R$3000,MATCH($F887,폐업정보!$I$3:$I$3000,0),MATCH(E$3,폐업정보!$D$3:$R$3,0)),
"Error"))</f>
        <v>서울</v>
      </c>
      <c r="F88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B0882</v>
      </c>
      <c r="G887" s="76" t="str">
        <f aca="false">F887&amp;RANDBETWEEN(0,10)</f>
        <v>B08827</v>
      </c>
      <c r="H887" s="75" t="n">
        <f aca="false">
IF($D887="정상",INDEX(임대자산!$D$3:$R$3000,MATCH($F887,임대자산!$I$3:$I$3000,0),MATCH(H$4,임대자산!$D$3:$R$3,0)),
IF($D887="폐업",INDEX(폐업정보!$D$3:$R$3000,MATCH($F887,폐업정보!$I$3:$I$3000,0),MATCH(H$4,폐업정보!$D$3:$R$3,0)),
"Error"))</f>
        <v>44428</v>
      </c>
      <c r="I887" s="75" t="str">
        <f aca="false">
IF($D887="정상",INDEX(임대자산!$D$3:$R$3000,MATCH($F887,임대자산!$I$3:$I$3000,0),MATCH(I$4,임대자산!$D$3:$R$3,0)),
IF($D887="폐업",INDEX(폐업정보!$D$3:$R$3000,MATCH($F887,폐업정보!$I$3:$I$3000,0),MATCH(I$4,폐업정보!$D$3:$R$3,0)),
"Error"))</f>
        <v>A0882</v>
      </c>
      <c r="J887" s="75" t="str">
        <f aca="false">
IF($D887="정상",INDEX(임대자산!$D$3:$R$3000,MATCH($F887,임대자산!$I$3:$I$3000,0),MATCH(J$4,임대자산!$D$3:$R$3,0)),
IF($D887="폐업",INDEX(폐업정보!$D$3:$R$3000,MATCH($F887,폐업정보!$I$3:$I$3000,0),MATCH(J$4,폐업정보!$D$3:$R$3,0)),
"Error"))</f>
        <v>8374000000</v>
      </c>
      <c r="K887" s="75" t="str">
        <f aca="false">
IF($D887="정상",INDEX(임대자산!$D$3:$R$3000,MATCH($F887,임대자산!$I$3:$I$3000,0),MATCH(K$4,임대자산!$D$3:$R$3,0)),
IF($D887="폐업",INDEX(폐업정보!$D$3:$R$3000,MATCH($F887,폐업정보!$I$3:$I$3000,0),MATCH(K$4,폐업정보!$D$3:$R$3,0)),
"Error"))</f>
        <v>C0882</v>
      </c>
      <c r="L887" s="75" t="str">
        <f aca="false">
IF($D887="정상",INDEX(임대자산!$D$3:$R$3000,MATCH($F887,임대자산!$I$3:$I$3000,0),MATCH(L$4,임대자산!$D$3:$R$3,0)),
IF($D887="폐업",INDEX(폐업정보!$D$3:$R$3000,MATCH($F887,폐업정보!$I$3:$I$3000,0),MATCH(L$4,폐업정보!$D$3:$R$3,0)),
"Error"))</f>
        <v>D0882</v>
      </c>
      <c r="M887" s="76" t="s">
        <v>96</v>
      </c>
      <c r="N887" s="77"/>
      <c r="O887" s="78" t="s">
        <v>97</v>
      </c>
      <c r="P887" s="79" t="n">
        <f aca="false">COUNTIFS(임대자산!$I:$I,가맹점정보!F887,임대자산!$N:$N,가맹점정보!P$4)</f>
        <v>0</v>
      </c>
      <c r="Q887" s="80" t="n">
        <f aca="false">COUNTIFS(임대자산!$I:$I,가맹점정보!F887,임대자산!$N:$N,가맹점정보!Q$4)</f>
        <v>0</v>
      </c>
      <c r="R887" s="81" t="n">
        <f aca="false">COUNTIFS(임대자산!$I:$I,가맹점정보!F887,임대자산!$N:$N,가맹점정보!R$4)</f>
        <v>1</v>
      </c>
      <c r="S887" s="82" t="n">
        <v>55000</v>
      </c>
      <c r="T887" s="83" t="n">
        <v>0</v>
      </c>
      <c r="U887" s="80" t="n">
        <f aca="false">SUM(S887:T887)</f>
        <v>55000</v>
      </c>
      <c r="V887" s="84" t="s">
        <v>12</v>
      </c>
      <c r="W887" s="80" t="e">
        <f aca="true">
IF(D887="폐업","폐업",
IF(V887="면제","면제",
IF(AND(V887="정상",COUNTIFS(OFFSET(Y887,0,COUNTA(Y887:AV887)-1,1,-4),"미납")&gt;=3),"장기미납",
IF(AND(V887="정상",OFFSET(Y887,0,COUNTA(Y887:AV887)-1)&gt;=U887),"정상",
IF(AND(V887="정상",OFFSET(Y887,0,COUNTA(Y887:AV887)-1)=0),"정상",
"계약서 미작성")))))</f>
        <v>#VALUE!</v>
      </c>
      <c r="X887" s="81" t="str">
        <f aca="true">
IF(D887="폐업","폐업",
IF(AND(V887="정상",OFFSET(Y887,0,COUNTA(Y887:AV887)-1)="미납"),"미납",
IF(AND(V887="정상",OFFSET(Y887,0,COUNTA(Y887:AV887)-1)=0),"납부 시작 전",
IF(AND(V887="정상",OFFSET(Y887,0,COUNTA(Y887:AV887)-1)&gt;=U887),"정상",
IF(AND(V887="면제",OFFSET(Y887,0,COUNTA(Y887:AV887)-1)="면제"),"면제",
IF(AND(V887="면제",OFFSET(Y887,0,COUNTA(Y887:AV887)-1)=0),"면제",
"확인요청"))))))</f>
        <v>정상</v>
      </c>
      <c r="Y887" s="93" t="n">
        <v>55000</v>
      </c>
      <c r="Z887" s="90" t="n">
        <v>55000</v>
      </c>
      <c r="AA887" s="90" t="n">
        <v>55000</v>
      </c>
      <c r="AB887" s="90" t="n">
        <v>55000</v>
      </c>
      <c r="AC887" s="90" t="n">
        <v>55000</v>
      </c>
      <c r="AD887" s="90" t="n">
        <v>55000</v>
      </c>
      <c r="AE887" s="90" t="n">
        <v>55000</v>
      </c>
      <c r="AF887" s="90" t="n">
        <v>55000</v>
      </c>
      <c r="AG887" s="90" t="n">
        <v>55000</v>
      </c>
      <c r="AH887" s="90" t="n">
        <v>55000</v>
      </c>
      <c r="AI887" s="90" t="n">
        <v>55000</v>
      </c>
      <c r="AJ887" s="91" t="n">
        <v>55000</v>
      </c>
      <c r="AK887" s="89" t="n">
        <v>55000</v>
      </c>
      <c r="AL887" s="90" t="n">
        <v>55000</v>
      </c>
      <c r="AM887" s="90"/>
      <c r="AN887" s="90"/>
      <c r="AO887" s="90"/>
      <c r="AP887" s="90"/>
      <c r="AQ887" s="90"/>
      <c r="AR887" s="90"/>
      <c r="AS887" s="90"/>
      <c r="AT887" s="90"/>
      <c r="AU887" s="90"/>
      <c r="AV887" s="91"/>
      <c r="AX887" s="92"/>
    </row>
    <row r="888" customFormat="false" ht="15.65" hidden="false" customHeight="false" outlineLevel="0" collapsed="false">
      <c r="C888" s="72" t="n">
        <f aca="false">COUNTIFS($D$6:D888,"&lt;&gt;"&amp;"")</f>
        <v>883</v>
      </c>
      <c r="D888" s="73" t="s">
        <v>12</v>
      </c>
      <c r="E888" s="76" t="str">
        <f aca="false">
IF($D888="정상",INDEX(임대자산!$D$3:$R$3000,MATCH($F888,임대자산!$I$3:$I$3000,0),MATCH(E$3,임대자산!$D$3:$R$3,0)),
IF($D888="폐업",INDEX(폐업정보!$D$3:$R$3000,MATCH($F888,폐업정보!$I$3:$I$3000,0),MATCH(E$3,폐업정보!$D$3:$R$3,0)),
"Error"))</f>
        <v>강원</v>
      </c>
      <c r="F88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B0883</v>
      </c>
      <c r="G888" s="76" t="str">
        <f aca="false">F888&amp;RANDBETWEEN(0,10)</f>
        <v>B088310</v>
      </c>
      <c r="H888" s="75" t="n">
        <f aca="false">
IF($D888="정상",INDEX(임대자산!$D$3:$R$3000,MATCH($F888,임대자산!$I$3:$I$3000,0),MATCH(H$4,임대자산!$D$3:$R$3,0)),
IF($D888="폐업",INDEX(폐업정보!$D$3:$R$3000,MATCH($F888,폐업정보!$I$3:$I$3000,0),MATCH(H$4,폐업정보!$D$3:$R$3,0)),
"Error"))</f>
        <v>45828</v>
      </c>
      <c r="I888" s="75" t="str">
        <f aca="false">
IF($D888="정상",INDEX(임대자산!$D$3:$R$3000,MATCH($F888,임대자산!$I$3:$I$3000,0),MATCH(I$4,임대자산!$D$3:$R$3,0)),
IF($D888="폐업",INDEX(폐업정보!$D$3:$R$3000,MATCH($F888,폐업정보!$I$3:$I$3000,0),MATCH(I$4,폐업정보!$D$3:$R$3,0)),
"Error"))</f>
        <v>A0883</v>
      </c>
      <c r="J888" s="75" t="str">
        <f aca="false">
IF($D888="정상",INDEX(임대자산!$D$3:$R$3000,MATCH($F888,임대자산!$I$3:$I$3000,0),MATCH(J$4,임대자산!$D$3:$R$3,0)),
IF($D888="폐업",INDEX(폐업정보!$D$3:$R$3000,MATCH($F888,폐업정보!$I$3:$I$3000,0),MATCH(J$4,폐업정보!$D$3:$R$3,0)),
"Error"))</f>
        <v>1078500000</v>
      </c>
      <c r="K888" s="75" t="str">
        <f aca="false">
IF($D888="정상",INDEX(임대자산!$D$3:$R$3000,MATCH($F888,임대자산!$I$3:$I$3000,0),MATCH(K$4,임대자산!$D$3:$R$3,0)),
IF($D888="폐업",INDEX(폐업정보!$D$3:$R$3000,MATCH($F888,폐업정보!$I$3:$I$3000,0),MATCH(K$4,폐업정보!$D$3:$R$3,0)),
"Error"))</f>
        <v>C0883</v>
      </c>
      <c r="L888" s="75" t="str">
        <f aca="false">
IF($D888="정상",INDEX(임대자산!$D$3:$R$3000,MATCH($F888,임대자산!$I$3:$I$3000,0),MATCH(L$4,임대자산!$D$3:$R$3,0)),
IF($D888="폐업",INDEX(폐업정보!$D$3:$R$3000,MATCH($F888,폐업정보!$I$3:$I$3000,0),MATCH(L$4,폐업정보!$D$3:$R$3,0)),
"Error"))</f>
        <v>D0883</v>
      </c>
      <c r="M888" s="76" t="s">
        <v>96</v>
      </c>
      <c r="N888" s="77"/>
      <c r="O888" s="78" t="s">
        <v>97</v>
      </c>
      <c r="P888" s="79" t="n">
        <f aca="false">COUNTIFS(임대자산!$I:$I,가맹점정보!F888,임대자산!$N:$N,가맹점정보!P$4)</f>
        <v>0</v>
      </c>
      <c r="Q888" s="80" t="n">
        <f aca="false">COUNTIFS(임대자산!$I:$I,가맹점정보!F888,임대자산!$N:$N,가맹점정보!Q$4)</f>
        <v>0</v>
      </c>
      <c r="R888" s="81" t="n">
        <f aca="false">COUNTIFS(임대자산!$I:$I,가맹점정보!F888,임대자산!$N:$N,가맹점정보!R$4)</f>
        <v>1</v>
      </c>
      <c r="S888" s="82" t="n">
        <v>88000</v>
      </c>
      <c r="T888" s="83" t="n">
        <v>0</v>
      </c>
      <c r="U888" s="80" t="n">
        <f aca="false">SUM(S888:T888)</f>
        <v>88000</v>
      </c>
      <c r="V888" s="84" t="s">
        <v>12</v>
      </c>
      <c r="W888" s="80" t="e">
        <f aca="true">
IF(D888="폐업","폐업",
IF(V888="면제","면제",
IF(AND(V888="정상",COUNTIFS(OFFSET(Y888,0,COUNTA(Y888:AV888)-1,1,-4),"미납")&gt;=3),"장기미납",
IF(AND(V888="정상",OFFSET(Y888,0,COUNTA(Y888:AV888)-1)&gt;=U888),"정상",
IF(AND(V888="정상",OFFSET(Y888,0,COUNTA(Y888:AV888)-1)=0),"정상",
"계약서 미작성")))))</f>
        <v>#VALUE!</v>
      </c>
      <c r="X888" s="81" t="str">
        <f aca="true">
IF(D888="폐업","폐업",
IF(AND(V888="정상",OFFSET(Y888,0,COUNTA(Y888:AV888)-1)="미납"),"미납",
IF(AND(V888="정상",OFFSET(Y888,0,COUNTA(Y888:AV888)-1)=0),"납부 시작 전",
IF(AND(V888="정상",OFFSET(Y888,0,COUNTA(Y888:AV888)-1)&gt;=U888),"정상",
IF(AND(V888="면제",OFFSET(Y888,0,COUNTA(Y888:AV888)-1)="면제"),"면제",
IF(AND(V888="면제",OFFSET(Y888,0,COUNTA(Y888:AV888)-1)=0),"면제",
"확인요청"))))))</f>
        <v>정상</v>
      </c>
      <c r="Y888" s="93" t="n">
        <v>88000</v>
      </c>
      <c r="Z888" s="90" t="n">
        <v>88000</v>
      </c>
      <c r="AA888" s="90" t="n">
        <v>88000</v>
      </c>
      <c r="AB888" s="90" t="n">
        <v>88000</v>
      </c>
      <c r="AC888" s="90" t="n">
        <v>88000</v>
      </c>
      <c r="AD888" s="90" t="n">
        <v>88000</v>
      </c>
      <c r="AE888" s="90" t="n">
        <v>88000</v>
      </c>
      <c r="AF888" s="90" t="n">
        <v>88000</v>
      </c>
      <c r="AG888" s="90" t="n">
        <v>88000</v>
      </c>
      <c r="AH888" s="90" t="n">
        <v>88000</v>
      </c>
      <c r="AI888" s="90" t="n">
        <v>88000</v>
      </c>
      <c r="AJ888" s="91" t="n">
        <v>88000</v>
      </c>
      <c r="AK888" s="89" t="n">
        <v>88000</v>
      </c>
      <c r="AL888" s="90" t="n">
        <v>88000</v>
      </c>
      <c r="AM888" s="90"/>
      <c r="AN888" s="90"/>
      <c r="AO888" s="90"/>
      <c r="AP888" s="90"/>
      <c r="AQ888" s="90"/>
      <c r="AR888" s="90"/>
      <c r="AS888" s="90"/>
      <c r="AT888" s="90"/>
      <c r="AU888" s="90"/>
      <c r="AV888" s="91"/>
      <c r="AX888" s="92"/>
    </row>
    <row r="889" customFormat="false" ht="15.65" hidden="false" customHeight="false" outlineLevel="0" collapsed="false">
      <c r="C889" s="72" t="n">
        <f aca="false">COUNTIFS($D$6:D889,"&lt;&gt;"&amp;"")</f>
        <v>884</v>
      </c>
      <c r="D889" s="73" t="s">
        <v>12</v>
      </c>
      <c r="E889" s="76" t="str">
        <f aca="false">
IF($D889="정상",INDEX(임대자산!$D$3:$R$3000,MATCH($F889,임대자산!$I$3:$I$3000,0),MATCH(E$3,임대자산!$D$3:$R$3,0)),
IF($D889="폐업",INDEX(폐업정보!$D$3:$R$3000,MATCH($F889,폐업정보!$I$3:$I$3000,0),MATCH(E$3,폐업정보!$D$3:$R$3,0)),
"Error"))</f>
        <v>강원</v>
      </c>
      <c r="F88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B0884</v>
      </c>
      <c r="G889" s="76" t="str">
        <f aca="false">F889&amp;RANDBETWEEN(0,10)</f>
        <v>B08846</v>
      </c>
      <c r="H889" s="75" t="n">
        <f aca="false">
IF($D889="정상",INDEX(임대자산!$D$3:$R$3000,MATCH($F889,임대자산!$I$3:$I$3000,0),MATCH(H$4,임대자산!$D$3:$R$3,0)),
IF($D889="폐업",INDEX(폐업정보!$D$3:$R$3000,MATCH($F889,폐업정보!$I$3:$I$3000,0),MATCH(H$4,폐업정보!$D$3:$R$3,0)),
"Error"))</f>
        <v>44426</v>
      </c>
      <c r="I889" s="75" t="str">
        <f aca="false">
IF($D889="정상",INDEX(임대자산!$D$3:$R$3000,MATCH($F889,임대자산!$I$3:$I$3000,0),MATCH(I$4,임대자산!$D$3:$R$3,0)),
IF($D889="폐업",INDEX(폐업정보!$D$3:$R$3000,MATCH($F889,폐업정보!$I$3:$I$3000,0),MATCH(I$4,폐업정보!$D$3:$R$3,0)),
"Error"))</f>
        <v>A0884</v>
      </c>
      <c r="J889" s="75" t="str">
        <f aca="false">
IF($D889="정상",INDEX(임대자산!$D$3:$R$3000,MATCH($F889,임대자산!$I$3:$I$3000,0),MATCH(J$4,임대자산!$D$3:$R$3,0)),
IF($D889="폐업",INDEX(폐업정보!$D$3:$R$3000,MATCH($F889,폐업정보!$I$3:$I$3000,0),MATCH(J$4,폐업정보!$D$3:$R$3,0)),
"Error"))</f>
        <v>2187200000</v>
      </c>
      <c r="K889" s="75" t="str">
        <f aca="false">
IF($D889="정상",INDEX(임대자산!$D$3:$R$3000,MATCH($F889,임대자산!$I$3:$I$3000,0),MATCH(K$4,임대자산!$D$3:$R$3,0)),
IF($D889="폐업",INDEX(폐업정보!$D$3:$R$3000,MATCH($F889,폐업정보!$I$3:$I$3000,0),MATCH(K$4,폐업정보!$D$3:$R$3,0)),
"Error"))</f>
        <v>C0884</v>
      </c>
      <c r="L889" s="75" t="str">
        <f aca="false">
IF($D889="정상",INDEX(임대자산!$D$3:$R$3000,MATCH($F889,임대자산!$I$3:$I$3000,0),MATCH(L$4,임대자산!$D$3:$R$3,0)),
IF($D889="폐업",INDEX(폐업정보!$D$3:$R$3000,MATCH($F889,폐업정보!$I$3:$I$3000,0),MATCH(L$4,폐업정보!$D$3:$R$3,0)),
"Error"))</f>
        <v>D0884</v>
      </c>
      <c r="M889" s="76" t="s">
        <v>96</v>
      </c>
      <c r="N889" s="77"/>
      <c r="O889" s="78" t="s">
        <v>97</v>
      </c>
      <c r="P889" s="79" t="n">
        <f aca="false">COUNTIFS(임대자산!$I:$I,가맹점정보!F889,임대자산!$N:$N,가맹점정보!P$4)</f>
        <v>0</v>
      </c>
      <c r="Q889" s="80" t="n">
        <f aca="false">COUNTIFS(임대자산!$I:$I,가맹점정보!F889,임대자산!$N:$N,가맹점정보!Q$4)</f>
        <v>0</v>
      </c>
      <c r="R889" s="81" t="n">
        <f aca="false">COUNTIFS(임대자산!$I:$I,가맹점정보!F889,임대자산!$N:$N,가맹점정보!R$4)</f>
        <v>1</v>
      </c>
      <c r="S889" s="82" t="n">
        <v>55000</v>
      </c>
      <c r="T889" s="83" t="n">
        <v>0</v>
      </c>
      <c r="U889" s="80" t="n">
        <f aca="false">SUM(S889:T889)</f>
        <v>55000</v>
      </c>
      <c r="V889" s="84" t="s">
        <v>12</v>
      </c>
      <c r="W889" s="80" t="e">
        <f aca="true">
IF(D889="폐업","폐업",
IF(V889="면제","면제",
IF(AND(V889="정상",COUNTIFS(OFFSET(Y889,0,COUNTA(Y889:AV889)-1,1,-4),"미납")&gt;=3),"장기미납",
IF(AND(V889="정상",OFFSET(Y889,0,COUNTA(Y889:AV889)-1)&gt;=U889),"정상",
IF(AND(V889="정상",OFFSET(Y889,0,COUNTA(Y889:AV889)-1)=0),"정상",
"계약서 미작성")))))</f>
        <v>#VALUE!</v>
      </c>
      <c r="X889" s="81" t="str">
        <f aca="true">
IF(D889="폐업","폐업",
IF(AND(V889="정상",OFFSET(Y889,0,COUNTA(Y889:AV889)-1)="미납"),"미납",
IF(AND(V889="정상",OFFSET(Y889,0,COUNTA(Y889:AV889)-1)=0),"납부 시작 전",
IF(AND(V889="정상",OFFSET(Y889,0,COUNTA(Y889:AV889)-1)&gt;=U889),"정상",
IF(AND(V889="면제",OFFSET(Y889,0,COUNTA(Y889:AV889)-1)="면제"),"면제",
IF(AND(V889="면제",OFFSET(Y889,0,COUNTA(Y889:AV889)-1)=0),"면제",
"확인요청"))))))</f>
        <v>정상</v>
      </c>
      <c r="Y889" s="93" t="n">
        <v>55000</v>
      </c>
      <c r="Z889" s="90" t="n">
        <v>55000</v>
      </c>
      <c r="AA889" s="90" t="n">
        <v>55000</v>
      </c>
      <c r="AB889" s="90" t="n">
        <v>55000</v>
      </c>
      <c r="AC889" s="90" t="n">
        <v>55000</v>
      </c>
      <c r="AD889" s="90" t="n">
        <v>55000</v>
      </c>
      <c r="AE889" s="90" t="n">
        <v>55000</v>
      </c>
      <c r="AF889" s="90" t="n">
        <v>55000</v>
      </c>
      <c r="AG889" s="90" t="n">
        <v>55000</v>
      </c>
      <c r="AH889" s="90" t="n">
        <v>55000</v>
      </c>
      <c r="AI889" s="90" t="n">
        <v>55000</v>
      </c>
      <c r="AJ889" s="91" t="n">
        <v>55000</v>
      </c>
      <c r="AK889" s="89" t="n">
        <v>55000</v>
      </c>
      <c r="AL889" s="90" t="n">
        <v>55000</v>
      </c>
      <c r="AM889" s="90"/>
      <c r="AN889" s="90"/>
      <c r="AO889" s="90"/>
      <c r="AP889" s="90"/>
      <c r="AQ889" s="90"/>
      <c r="AR889" s="90"/>
      <c r="AS889" s="90"/>
      <c r="AT889" s="90"/>
      <c r="AU889" s="90"/>
      <c r="AV889" s="91"/>
      <c r="AX889" s="92"/>
    </row>
    <row r="890" customFormat="false" ht="15.65" hidden="false" customHeight="false" outlineLevel="0" collapsed="false">
      <c r="C890" s="72" t="n">
        <f aca="false">COUNTIFS($D$6:D890,"&lt;&gt;"&amp;"")</f>
        <v>885</v>
      </c>
      <c r="D890" s="73" t="s">
        <v>12</v>
      </c>
      <c r="E890" s="76" t="str">
        <f aca="false">
IF($D890="정상",INDEX(임대자산!$D$3:$R$3000,MATCH($F890,임대자산!$I$3:$I$3000,0),MATCH(E$3,임대자산!$D$3:$R$3,0)),
IF($D890="폐업",INDEX(폐업정보!$D$3:$R$3000,MATCH($F890,폐업정보!$I$3:$I$3000,0),MATCH(E$3,폐업정보!$D$3:$R$3,0)),
"Error"))</f>
        <v>경상</v>
      </c>
      <c r="F89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B0885</v>
      </c>
      <c r="G890" s="76" t="str">
        <f aca="false">F890&amp;RANDBETWEEN(0,10)</f>
        <v>B08855</v>
      </c>
      <c r="H890" s="75" t="n">
        <f aca="false">
IF($D890="정상",INDEX(임대자산!$D$3:$R$3000,MATCH($F890,임대자산!$I$3:$I$3000,0),MATCH(H$4,임대자산!$D$3:$R$3,0)),
IF($D890="폐업",INDEX(폐업정보!$D$3:$R$3000,MATCH($F890,폐업정보!$I$3:$I$3000,0),MATCH(H$4,폐업정보!$D$3:$R$3,0)),
"Error"))</f>
        <v>44425</v>
      </c>
      <c r="I890" s="75" t="str">
        <f aca="false">
IF($D890="정상",INDEX(임대자산!$D$3:$R$3000,MATCH($F890,임대자산!$I$3:$I$3000,0),MATCH(I$4,임대자산!$D$3:$R$3,0)),
IF($D890="폐업",INDEX(폐업정보!$D$3:$R$3000,MATCH($F890,폐업정보!$I$3:$I$3000,0),MATCH(I$4,폐업정보!$D$3:$R$3,0)),
"Error"))</f>
        <v>A0885</v>
      </c>
      <c r="J890" s="75" t="str">
        <f aca="false">
IF($D890="정상",INDEX(임대자산!$D$3:$R$3000,MATCH($F890,임대자산!$I$3:$I$3000,0),MATCH(J$4,임대자산!$D$3:$R$3,0)),
IF($D890="폐업",INDEX(폐업정보!$D$3:$R$3000,MATCH($F890,폐업정보!$I$3:$I$3000,0),MATCH(J$4,폐업정보!$D$3:$R$3,0)),
"Error"))</f>
        <v>5508000000</v>
      </c>
      <c r="K890" s="75" t="str">
        <f aca="false">
IF($D890="정상",INDEX(임대자산!$D$3:$R$3000,MATCH($F890,임대자산!$I$3:$I$3000,0),MATCH(K$4,임대자산!$D$3:$R$3,0)),
IF($D890="폐업",INDEX(폐업정보!$D$3:$R$3000,MATCH($F890,폐업정보!$I$3:$I$3000,0),MATCH(K$4,폐업정보!$D$3:$R$3,0)),
"Error"))</f>
        <v>C0885</v>
      </c>
      <c r="L890" s="75" t="str">
        <f aca="false">
IF($D890="정상",INDEX(임대자산!$D$3:$R$3000,MATCH($F890,임대자산!$I$3:$I$3000,0),MATCH(L$4,임대자산!$D$3:$R$3,0)),
IF($D890="폐업",INDEX(폐업정보!$D$3:$R$3000,MATCH($F890,폐업정보!$I$3:$I$3000,0),MATCH(L$4,폐업정보!$D$3:$R$3,0)),
"Error"))</f>
        <v>D0885</v>
      </c>
      <c r="M890" s="76" t="s">
        <v>96</v>
      </c>
      <c r="N890" s="77"/>
      <c r="O890" s="78" t="s">
        <v>97</v>
      </c>
      <c r="P890" s="79" t="n">
        <f aca="false">COUNTIFS(임대자산!$I:$I,가맹점정보!F890,임대자산!$N:$N,가맹점정보!P$4)</f>
        <v>0</v>
      </c>
      <c r="Q890" s="80" t="n">
        <f aca="false">COUNTIFS(임대자산!$I:$I,가맹점정보!F890,임대자산!$N:$N,가맹점정보!Q$4)</f>
        <v>0</v>
      </c>
      <c r="R890" s="81" t="n">
        <f aca="false">COUNTIFS(임대자산!$I:$I,가맹점정보!F890,임대자산!$N:$N,가맹점정보!R$4)</f>
        <v>1</v>
      </c>
      <c r="S890" s="82" t="n">
        <v>55000</v>
      </c>
      <c r="T890" s="83" t="n">
        <v>0</v>
      </c>
      <c r="U890" s="80" t="n">
        <f aca="false">SUM(S890:T890)</f>
        <v>55000</v>
      </c>
      <c r="V890" s="84" t="s">
        <v>12</v>
      </c>
      <c r="W890" s="80" t="e">
        <f aca="true">
IF(D890="폐업","폐업",
IF(V890="면제","면제",
IF(AND(V890="정상",COUNTIFS(OFFSET(Y890,0,COUNTA(Y890:AV890)-1,1,-4),"미납")&gt;=3),"장기미납",
IF(AND(V890="정상",OFFSET(Y890,0,COUNTA(Y890:AV890)-1)&gt;=U890),"정상",
IF(AND(V890="정상",OFFSET(Y890,0,COUNTA(Y890:AV890)-1)=0),"정상",
"계약서 미작성")))))</f>
        <v>#VALUE!</v>
      </c>
      <c r="X890" s="81" t="str">
        <f aca="true">
IF(D890="폐업","폐업",
IF(AND(V890="정상",OFFSET(Y890,0,COUNTA(Y890:AV890)-1)="미납"),"미납",
IF(AND(V890="정상",OFFSET(Y890,0,COUNTA(Y890:AV890)-1)=0),"납부 시작 전",
IF(AND(V890="정상",OFFSET(Y890,0,COUNTA(Y890:AV890)-1)&gt;=U890),"정상",
IF(AND(V890="면제",OFFSET(Y890,0,COUNTA(Y890:AV890)-1)="면제"),"면제",
IF(AND(V890="면제",OFFSET(Y890,0,COUNTA(Y890:AV890)-1)=0),"면제",
"확인요청"))))))</f>
        <v>정상</v>
      </c>
      <c r="Y890" s="93" t="n">
        <v>55000</v>
      </c>
      <c r="Z890" s="90" t="n">
        <v>55000</v>
      </c>
      <c r="AA890" s="90" t="n">
        <v>55000</v>
      </c>
      <c r="AB890" s="90" t="n">
        <v>55000</v>
      </c>
      <c r="AC890" s="90" t="s">
        <v>108</v>
      </c>
      <c r="AD890" s="90" t="n">
        <v>110000</v>
      </c>
      <c r="AE890" s="90" t="n">
        <v>55000</v>
      </c>
      <c r="AF890" s="90" t="n">
        <v>55000</v>
      </c>
      <c r="AG890" s="90" t="n">
        <v>55000</v>
      </c>
      <c r="AH890" s="90" t="n">
        <v>55000</v>
      </c>
      <c r="AI890" s="90" t="n">
        <v>55000</v>
      </c>
      <c r="AJ890" s="91" t="n">
        <v>55000</v>
      </c>
      <c r="AK890" s="89" t="n">
        <v>55000</v>
      </c>
      <c r="AL890" s="90" t="n">
        <v>55000</v>
      </c>
      <c r="AM890" s="90"/>
      <c r="AN890" s="90"/>
      <c r="AO890" s="90"/>
      <c r="AP890" s="90"/>
      <c r="AQ890" s="90"/>
      <c r="AR890" s="90"/>
      <c r="AS890" s="90"/>
      <c r="AT890" s="90"/>
      <c r="AU890" s="90"/>
      <c r="AV890" s="91"/>
      <c r="AX890" s="92"/>
    </row>
    <row r="891" customFormat="false" ht="15.65" hidden="false" customHeight="false" outlineLevel="0" collapsed="false">
      <c r="C891" s="72" t="n">
        <f aca="false">COUNTIFS($D$6:D891,"&lt;&gt;"&amp;"")</f>
        <v>886</v>
      </c>
      <c r="D891" s="73" t="s">
        <v>12</v>
      </c>
      <c r="E891" s="76" t="str">
        <f aca="false">
IF($D891="정상",INDEX(임대자산!$D$3:$R$3000,MATCH($F891,임대자산!$I$3:$I$3000,0),MATCH(E$3,임대자산!$D$3:$R$3,0)),
IF($D891="폐업",INDEX(폐업정보!$D$3:$R$3000,MATCH($F891,폐업정보!$I$3:$I$3000,0),MATCH(E$3,폐업정보!$D$3:$R$3,0)),
"Error"))</f>
        <v>경상</v>
      </c>
      <c r="F89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B0886</v>
      </c>
      <c r="G891" s="76" t="str">
        <f aca="false">F891&amp;RANDBETWEEN(0,10)</f>
        <v>B08863</v>
      </c>
      <c r="H891" s="75" t="n">
        <f aca="false">
IF($D891="정상",INDEX(임대자산!$D$3:$R$3000,MATCH($F891,임대자산!$I$3:$I$3000,0),MATCH(H$4,임대자산!$D$3:$R$3,0)),
IF($D891="폐업",INDEX(폐업정보!$D$3:$R$3000,MATCH($F891,폐업정보!$I$3:$I$3000,0),MATCH(H$4,폐업정보!$D$3:$R$3,0)),
"Error"))</f>
        <v>44446</v>
      </c>
      <c r="I891" s="75" t="str">
        <f aca="false">
IF($D891="정상",INDEX(임대자산!$D$3:$R$3000,MATCH($F891,임대자산!$I$3:$I$3000,0),MATCH(I$4,임대자산!$D$3:$R$3,0)),
IF($D891="폐업",INDEX(폐업정보!$D$3:$R$3000,MATCH($F891,폐업정보!$I$3:$I$3000,0),MATCH(I$4,폐업정보!$D$3:$R$3,0)),
"Error"))</f>
        <v>A0886</v>
      </c>
      <c r="J891" s="75" t="str">
        <f aca="false">
IF($D891="정상",INDEX(임대자산!$D$3:$R$3000,MATCH($F891,임대자산!$I$3:$I$3000,0),MATCH(J$4,임대자산!$D$3:$R$3,0)),
IF($D891="폐업",INDEX(폐업정보!$D$3:$R$3000,MATCH($F891,폐업정보!$I$3:$I$3000,0),MATCH(J$4,폐업정보!$D$3:$R$3,0)),
"Error"))</f>
        <v>5214600000</v>
      </c>
      <c r="K891" s="75" t="str">
        <f aca="false">
IF($D891="정상",INDEX(임대자산!$D$3:$R$3000,MATCH($F891,임대자산!$I$3:$I$3000,0),MATCH(K$4,임대자산!$D$3:$R$3,0)),
IF($D891="폐업",INDEX(폐업정보!$D$3:$R$3000,MATCH($F891,폐업정보!$I$3:$I$3000,0),MATCH(K$4,폐업정보!$D$3:$R$3,0)),
"Error"))</f>
        <v>C0886</v>
      </c>
      <c r="L891" s="75" t="str">
        <f aca="false">
IF($D891="정상",INDEX(임대자산!$D$3:$R$3000,MATCH($F891,임대자산!$I$3:$I$3000,0),MATCH(L$4,임대자산!$D$3:$R$3,0)),
IF($D891="폐업",INDEX(폐업정보!$D$3:$R$3000,MATCH($F891,폐업정보!$I$3:$I$3000,0),MATCH(L$4,폐업정보!$D$3:$R$3,0)),
"Error"))</f>
        <v>D0886</v>
      </c>
      <c r="M891" s="76" t="s">
        <v>96</v>
      </c>
      <c r="N891" s="77"/>
      <c r="O891" s="78" t="s">
        <v>97</v>
      </c>
      <c r="P891" s="79" t="n">
        <f aca="false">COUNTIFS(임대자산!$I:$I,가맹점정보!F891,임대자산!$N:$N,가맹점정보!P$4)</f>
        <v>0</v>
      </c>
      <c r="Q891" s="80" t="n">
        <f aca="false">COUNTIFS(임대자산!$I:$I,가맹점정보!F891,임대자산!$N:$N,가맹점정보!Q$4)</f>
        <v>0</v>
      </c>
      <c r="R891" s="81" t="n">
        <f aca="false">COUNTIFS(임대자산!$I:$I,가맹점정보!F891,임대자산!$N:$N,가맹점정보!R$4)</f>
        <v>1</v>
      </c>
      <c r="S891" s="82" t="n">
        <v>55000</v>
      </c>
      <c r="T891" s="83" t="n">
        <v>0</v>
      </c>
      <c r="U891" s="80" t="n">
        <f aca="false">SUM(S891:T891)</f>
        <v>55000</v>
      </c>
      <c r="V891" s="84" t="s">
        <v>12</v>
      </c>
      <c r="W891" s="80" t="e">
        <f aca="true">
IF(D891="폐업","폐업",
IF(V891="면제","면제",
IF(AND(V891="정상",COUNTIFS(OFFSET(Y891,0,COUNTA(Y891:AV891)-1,1,-4),"미납")&gt;=3),"장기미납",
IF(AND(V891="정상",OFFSET(Y891,0,COUNTA(Y891:AV891)-1)&gt;=U891),"정상",
IF(AND(V891="정상",OFFSET(Y891,0,COUNTA(Y891:AV891)-1)=0),"정상",
"계약서 미작성")))))</f>
        <v>#VALUE!</v>
      </c>
      <c r="X891" s="81" t="str">
        <f aca="true">
IF(D891="폐업","폐업",
IF(AND(V891="정상",OFFSET(Y891,0,COUNTA(Y891:AV891)-1)="미납"),"미납",
IF(AND(V891="정상",OFFSET(Y891,0,COUNTA(Y891:AV891)-1)=0),"납부 시작 전",
IF(AND(V891="정상",OFFSET(Y891,0,COUNTA(Y891:AV891)-1)&gt;=U891),"정상",
IF(AND(V891="면제",OFFSET(Y891,0,COUNTA(Y891:AV891)-1)="면제"),"면제",
IF(AND(V891="면제",OFFSET(Y891,0,COUNTA(Y891:AV891)-1)=0),"면제",
"확인요청"))))))</f>
        <v>정상</v>
      </c>
      <c r="Y891" s="93" t="n">
        <v>165000</v>
      </c>
      <c r="Z891" s="90" t="n">
        <v>55000</v>
      </c>
      <c r="AA891" s="90" t="n">
        <v>55000</v>
      </c>
      <c r="AB891" s="90" t="n">
        <v>55000</v>
      </c>
      <c r="AC891" s="90" t="n">
        <v>55000</v>
      </c>
      <c r="AD891" s="90" t="n">
        <v>55000</v>
      </c>
      <c r="AE891" s="90" t="n">
        <v>55000</v>
      </c>
      <c r="AF891" s="90" t="n">
        <v>55000</v>
      </c>
      <c r="AG891" s="90" t="n">
        <v>55000</v>
      </c>
      <c r="AH891" s="90" t="n">
        <v>55000</v>
      </c>
      <c r="AI891" s="90" t="n">
        <v>55000</v>
      </c>
      <c r="AJ891" s="91" t="n">
        <v>55000</v>
      </c>
      <c r="AK891" s="89" t="n">
        <v>55000</v>
      </c>
      <c r="AL891" s="90" t="n">
        <v>55000</v>
      </c>
      <c r="AM891" s="90"/>
      <c r="AN891" s="90"/>
      <c r="AO891" s="90"/>
      <c r="AP891" s="90"/>
      <c r="AQ891" s="90"/>
      <c r="AR891" s="90"/>
      <c r="AS891" s="90"/>
      <c r="AT891" s="90"/>
      <c r="AU891" s="90"/>
      <c r="AV891" s="91"/>
      <c r="AX891" s="92"/>
    </row>
    <row r="892" customFormat="false" ht="15.65" hidden="false" customHeight="false" outlineLevel="0" collapsed="false">
      <c r="C892" s="72" t="n">
        <f aca="false">COUNTIFS($D$6:D892,"&lt;&gt;"&amp;"")</f>
        <v>887</v>
      </c>
      <c r="D892" s="73" t="s">
        <v>12</v>
      </c>
      <c r="E892" s="76" t="str">
        <f aca="false">
IF($D892="정상",INDEX(임대자산!$D$3:$R$3000,MATCH($F892,임대자산!$I$3:$I$3000,0),MATCH(E$3,임대자산!$D$3:$R$3,0)),
IF($D892="폐업",INDEX(폐업정보!$D$3:$R$3000,MATCH($F892,폐업정보!$I$3:$I$3000,0),MATCH(E$3,폐업정보!$D$3:$R$3,0)),
"Error"))</f>
        <v>강원</v>
      </c>
      <c r="F89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B0887</v>
      </c>
      <c r="G892" s="76" t="str">
        <f aca="false">F892&amp;RANDBETWEEN(0,10)</f>
        <v>B08878</v>
      </c>
      <c r="H892" s="75" t="n">
        <f aca="false">
IF($D892="정상",INDEX(임대자산!$D$3:$R$3000,MATCH($F892,임대자산!$I$3:$I$3000,0),MATCH(H$4,임대자산!$D$3:$R$3,0)),
IF($D892="폐업",INDEX(폐업정보!$D$3:$R$3000,MATCH($F892,폐업정보!$I$3:$I$3000,0),MATCH(H$4,폐업정보!$D$3:$R$3,0)),
"Error"))</f>
        <v>44435</v>
      </c>
      <c r="I892" s="75" t="str">
        <f aca="false">
IF($D892="정상",INDEX(임대자산!$D$3:$R$3000,MATCH($F892,임대자산!$I$3:$I$3000,0),MATCH(I$4,임대자산!$D$3:$R$3,0)),
IF($D892="폐업",INDEX(폐업정보!$D$3:$R$3000,MATCH($F892,폐업정보!$I$3:$I$3000,0),MATCH(I$4,폐업정보!$D$3:$R$3,0)),
"Error"))</f>
        <v>A0887</v>
      </c>
      <c r="J892" s="75" t="str">
        <f aca="false">
IF($D892="정상",INDEX(임대자산!$D$3:$R$3000,MATCH($F892,임대자산!$I$3:$I$3000,0),MATCH(J$4,임대자산!$D$3:$R$3,0)),
IF($D892="폐업",INDEX(폐업정보!$D$3:$R$3000,MATCH($F892,폐업정보!$I$3:$I$3000,0),MATCH(J$4,폐업정보!$D$3:$R$3,0)),
"Error"))</f>
        <v>7746800000</v>
      </c>
      <c r="K892" s="75" t="str">
        <f aca="false">
IF($D892="정상",INDEX(임대자산!$D$3:$R$3000,MATCH($F892,임대자산!$I$3:$I$3000,0),MATCH(K$4,임대자산!$D$3:$R$3,0)),
IF($D892="폐업",INDEX(폐업정보!$D$3:$R$3000,MATCH($F892,폐업정보!$I$3:$I$3000,0),MATCH(K$4,폐업정보!$D$3:$R$3,0)),
"Error"))</f>
        <v>C0887</v>
      </c>
      <c r="L892" s="75" t="str">
        <f aca="false">
IF($D892="정상",INDEX(임대자산!$D$3:$R$3000,MATCH($F892,임대자산!$I$3:$I$3000,0),MATCH(L$4,임대자산!$D$3:$R$3,0)),
IF($D892="폐업",INDEX(폐업정보!$D$3:$R$3000,MATCH($F892,폐업정보!$I$3:$I$3000,0),MATCH(L$4,폐업정보!$D$3:$R$3,0)),
"Error"))</f>
        <v>D0887</v>
      </c>
      <c r="M892" s="76" t="s">
        <v>96</v>
      </c>
      <c r="N892" s="77"/>
      <c r="O892" s="78" t="s">
        <v>97</v>
      </c>
      <c r="P892" s="79" t="n">
        <f aca="false">COUNTIFS(임대자산!$I:$I,가맹점정보!F892,임대자산!$N:$N,가맹점정보!P$4)</f>
        <v>0</v>
      </c>
      <c r="Q892" s="80" t="n">
        <f aca="false">COUNTIFS(임대자산!$I:$I,가맹점정보!F892,임대자산!$N:$N,가맹점정보!Q$4)</f>
        <v>0</v>
      </c>
      <c r="R892" s="81" t="n">
        <f aca="false">COUNTIFS(임대자산!$I:$I,가맹점정보!F892,임대자산!$N:$N,가맹점정보!R$4)</f>
        <v>1</v>
      </c>
      <c r="S892" s="82" t="n">
        <v>88000</v>
      </c>
      <c r="T892" s="83" t="n">
        <v>0</v>
      </c>
      <c r="U892" s="80" t="n">
        <f aca="false">SUM(S892:T892)</f>
        <v>88000</v>
      </c>
      <c r="V892" s="84" t="s">
        <v>12</v>
      </c>
      <c r="W892" s="80" t="e">
        <f aca="true">
IF(D892="폐업","폐업",
IF(V892="면제","면제",
IF(AND(V892="정상",COUNTIFS(OFFSET(Y892,0,COUNTA(Y892:AV892)-1,1,-4),"미납")&gt;=3),"장기미납",
IF(AND(V892="정상",OFFSET(Y892,0,COUNTA(Y892:AV892)-1)&gt;=U892),"정상",
IF(AND(V892="정상",OFFSET(Y892,0,COUNTA(Y892:AV892)-1)=0),"정상",
"계약서 미작성")))))</f>
        <v>#VALUE!</v>
      </c>
      <c r="X892" s="81" t="str">
        <f aca="true">
IF(D892="폐업","폐업",
IF(AND(V892="정상",OFFSET(Y892,0,COUNTA(Y892:AV892)-1)="미납"),"미납",
IF(AND(V892="정상",OFFSET(Y892,0,COUNTA(Y892:AV892)-1)=0),"납부 시작 전",
IF(AND(V892="정상",OFFSET(Y892,0,COUNTA(Y892:AV892)-1)&gt;=U892),"정상",
IF(AND(V892="면제",OFFSET(Y892,0,COUNTA(Y892:AV892)-1)="면제"),"면제",
IF(AND(V892="면제",OFFSET(Y892,0,COUNTA(Y892:AV892)-1)=0),"면제",
"확인요청"))))))</f>
        <v>정상</v>
      </c>
      <c r="Y892" s="93" t="n">
        <v>88000</v>
      </c>
      <c r="Z892" s="90" t="n">
        <v>88000</v>
      </c>
      <c r="AA892" s="90" t="n">
        <v>88000</v>
      </c>
      <c r="AB892" s="90" t="n">
        <v>88000</v>
      </c>
      <c r="AC892" s="90" t="n">
        <v>88000</v>
      </c>
      <c r="AD892" s="90" t="n">
        <v>88000</v>
      </c>
      <c r="AE892" s="90" t="n">
        <v>88000</v>
      </c>
      <c r="AF892" s="90" t="n">
        <v>88000</v>
      </c>
      <c r="AG892" s="90" t="n">
        <v>88000</v>
      </c>
      <c r="AH892" s="90" t="n">
        <v>88000</v>
      </c>
      <c r="AI892" s="90" t="n">
        <v>88000</v>
      </c>
      <c r="AJ892" s="91" t="n">
        <v>88000</v>
      </c>
      <c r="AK892" s="89" t="n">
        <v>88000</v>
      </c>
      <c r="AL892" s="90" t="n">
        <v>88000</v>
      </c>
      <c r="AM892" s="90"/>
      <c r="AN892" s="90"/>
      <c r="AO892" s="90"/>
      <c r="AP892" s="90"/>
      <c r="AQ892" s="90"/>
      <c r="AR892" s="90"/>
      <c r="AS892" s="90"/>
      <c r="AT892" s="90"/>
      <c r="AU892" s="90"/>
      <c r="AV892" s="91"/>
      <c r="AX892" s="92"/>
    </row>
    <row r="893" customFormat="false" ht="15.65" hidden="false" customHeight="false" outlineLevel="0" collapsed="false">
      <c r="C893" s="72" t="n">
        <f aca="false">COUNTIFS($D$6:D893,"&lt;&gt;"&amp;"")</f>
        <v>888</v>
      </c>
      <c r="D893" s="73" t="s">
        <v>12</v>
      </c>
      <c r="E893" s="76" t="str">
        <f aca="false">
IF($D893="정상",INDEX(임대자산!$D$3:$R$3000,MATCH($F893,임대자산!$I$3:$I$3000,0),MATCH(E$3,임대자산!$D$3:$R$3,0)),
IF($D893="폐업",INDEX(폐업정보!$D$3:$R$3000,MATCH($F893,폐업정보!$I$3:$I$3000,0),MATCH(E$3,폐업정보!$D$3:$R$3,0)),
"Error"))</f>
        <v>강원</v>
      </c>
      <c r="F89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B0888</v>
      </c>
      <c r="G893" s="76" t="str">
        <f aca="false">F893&amp;RANDBETWEEN(0,10)</f>
        <v>B088810</v>
      </c>
      <c r="H893" s="75" t="n">
        <f aca="false">
IF($D893="정상",INDEX(임대자산!$D$3:$R$3000,MATCH($F893,임대자산!$I$3:$I$3000,0),MATCH(H$4,임대자산!$D$3:$R$3,0)),
IF($D893="폐업",INDEX(폐업정보!$D$3:$R$3000,MATCH($F893,폐업정보!$I$3:$I$3000,0),MATCH(H$4,폐업정보!$D$3:$R$3,0)),
"Error"))</f>
        <v>45436</v>
      </c>
      <c r="I893" s="75" t="str">
        <f aca="false">
IF($D893="정상",INDEX(임대자산!$D$3:$R$3000,MATCH($F893,임대자산!$I$3:$I$3000,0),MATCH(I$4,임대자산!$D$3:$R$3,0)),
IF($D893="폐업",INDEX(폐업정보!$D$3:$R$3000,MATCH($F893,폐업정보!$I$3:$I$3000,0),MATCH(I$4,폐업정보!$D$3:$R$3,0)),
"Error"))</f>
        <v>A0888</v>
      </c>
      <c r="J893" s="75" t="str">
        <f aca="false">
IF($D893="정상",INDEX(임대자산!$D$3:$R$3000,MATCH($F893,임대자산!$I$3:$I$3000,0),MATCH(J$4,임대자산!$D$3:$R$3,0)),
IF($D893="폐업",INDEX(폐업정보!$D$3:$R$3000,MATCH($F893,폐업정보!$I$3:$I$3000,0),MATCH(J$4,폐업정보!$D$3:$R$3,0)),
"Error"))</f>
        <v>5179000000</v>
      </c>
      <c r="K893" s="75" t="str">
        <f aca="false">
IF($D893="정상",INDEX(임대자산!$D$3:$R$3000,MATCH($F893,임대자산!$I$3:$I$3000,0),MATCH(K$4,임대자산!$D$3:$R$3,0)),
IF($D893="폐업",INDEX(폐업정보!$D$3:$R$3000,MATCH($F893,폐업정보!$I$3:$I$3000,0),MATCH(K$4,폐업정보!$D$3:$R$3,0)),
"Error"))</f>
        <v>C0888</v>
      </c>
      <c r="L893" s="75" t="str">
        <f aca="false">
IF($D893="정상",INDEX(임대자산!$D$3:$R$3000,MATCH($F893,임대자산!$I$3:$I$3000,0),MATCH(L$4,임대자산!$D$3:$R$3,0)),
IF($D893="폐업",INDEX(폐업정보!$D$3:$R$3000,MATCH($F893,폐업정보!$I$3:$I$3000,0),MATCH(L$4,폐업정보!$D$3:$R$3,0)),
"Error"))</f>
        <v>D0888</v>
      </c>
      <c r="M893" s="76" t="s">
        <v>96</v>
      </c>
      <c r="N893" s="77"/>
      <c r="O893" s="78" t="s">
        <v>97</v>
      </c>
      <c r="P893" s="79" t="n">
        <f aca="false">COUNTIFS(임대자산!$I:$I,가맹점정보!F893,임대자산!$N:$N,가맹점정보!P$4)</f>
        <v>0</v>
      </c>
      <c r="Q893" s="80" t="n">
        <f aca="false">COUNTIFS(임대자산!$I:$I,가맹점정보!F893,임대자산!$N:$N,가맹점정보!Q$4)</f>
        <v>0</v>
      </c>
      <c r="R893" s="81" t="n">
        <f aca="false">COUNTIFS(임대자산!$I:$I,가맹점정보!F893,임대자산!$N:$N,가맹점정보!R$4)</f>
        <v>1</v>
      </c>
      <c r="S893" s="82" t="n">
        <v>132000</v>
      </c>
      <c r="T893" s="83" t="n">
        <v>0</v>
      </c>
      <c r="U893" s="80" t="n">
        <f aca="false">SUM(S893:T893)</f>
        <v>132000</v>
      </c>
      <c r="V893" s="84" t="s">
        <v>12</v>
      </c>
      <c r="W893" s="80" t="e">
        <f aca="true">
IF(D893="폐업","폐업",
IF(V893="면제","면제",
IF(AND(V893="정상",COUNTIFS(OFFSET(Y893,0,COUNTA(Y893:AV893)-1,1,-4),"미납")&gt;=3),"장기미납",
IF(AND(V893="정상",OFFSET(Y893,0,COUNTA(Y893:AV893)-1)&gt;=U893),"정상",
IF(AND(V893="정상",OFFSET(Y893,0,COUNTA(Y893:AV893)-1)=0),"정상",
"계약서 미작성")))))</f>
        <v>#VALUE!</v>
      </c>
      <c r="X893" s="81" t="str">
        <f aca="true">
IF(D893="폐업","폐업",
IF(AND(V893="정상",OFFSET(Y893,0,COUNTA(Y893:AV893)-1)="미납"),"미납",
IF(AND(V893="정상",OFFSET(Y893,0,COUNTA(Y893:AV893)-1)=0),"납부 시작 전",
IF(AND(V893="정상",OFFSET(Y893,0,COUNTA(Y893:AV893)-1)&gt;=U893),"정상",
IF(AND(V893="면제",OFFSET(Y893,0,COUNTA(Y893:AV893)-1)="면제"),"면제",
IF(AND(V893="면제",OFFSET(Y893,0,COUNTA(Y893:AV893)-1)=0),"면제",
"확인요청"))))))</f>
        <v>정상</v>
      </c>
      <c r="Y893" s="93" t="n">
        <v>132000</v>
      </c>
      <c r="Z893" s="90" t="n">
        <v>132000</v>
      </c>
      <c r="AA893" s="90" t="n">
        <v>132000</v>
      </c>
      <c r="AB893" s="90" t="n">
        <v>132000</v>
      </c>
      <c r="AC893" s="90" t="s">
        <v>108</v>
      </c>
      <c r="AD893" s="90" t="n">
        <v>264000</v>
      </c>
      <c r="AE893" s="90" t="n">
        <v>132000</v>
      </c>
      <c r="AF893" s="90" t="n">
        <v>132000</v>
      </c>
      <c r="AG893" s="90" t="n">
        <v>132000</v>
      </c>
      <c r="AH893" s="90" t="n">
        <v>132000</v>
      </c>
      <c r="AI893" s="90" t="n">
        <v>132000</v>
      </c>
      <c r="AJ893" s="91" t="n">
        <v>132000</v>
      </c>
      <c r="AK893" s="89" t="n">
        <v>132000</v>
      </c>
      <c r="AL893" s="90" t="n">
        <v>132000</v>
      </c>
      <c r="AM893" s="90"/>
      <c r="AN893" s="90"/>
      <c r="AO893" s="90"/>
      <c r="AP893" s="90"/>
      <c r="AQ893" s="90"/>
      <c r="AR893" s="90"/>
      <c r="AS893" s="90"/>
      <c r="AT893" s="90"/>
      <c r="AU893" s="90"/>
      <c r="AV893" s="91"/>
      <c r="AX893" s="92"/>
    </row>
    <row r="894" customFormat="false" ht="15.65" hidden="false" customHeight="false" outlineLevel="0" collapsed="false">
      <c r="C894" s="72" t="n">
        <f aca="false">COUNTIFS($D$6:D894,"&lt;&gt;"&amp;"")</f>
        <v>889</v>
      </c>
      <c r="D894" s="73" t="s">
        <v>12</v>
      </c>
      <c r="E894" s="76" t="str">
        <f aca="false">
IF($D894="정상",INDEX(임대자산!$D$3:$R$3000,MATCH($F894,임대자산!$I$3:$I$3000,0),MATCH(E$3,임대자산!$D$3:$R$3,0)),
IF($D894="폐업",INDEX(폐업정보!$D$3:$R$3000,MATCH($F894,폐업정보!$I$3:$I$3000,0),MATCH(E$3,폐업정보!$D$3:$R$3,0)),
"Error"))</f>
        <v>서울</v>
      </c>
      <c r="F89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B0889</v>
      </c>
      <c r="G894" s="76" t="str">
        <f aca="false">F894&amp;RANDBETWEEN(0,10)</f>
        <v>B08894</v>
      </c>
      <c r="H894" s="75" t="n">
        <f aca="false">
IF($D894="정상",INDEX(임대자산!$D$3:$R$3000,MATCH($F894,임대자산!$I$3:$I$3000,0),MATCH(H$4,임대자산!$D$3:$R$3,0)),
IF($D894="폐업",INDEX(폐업정보!$D$3:$R$3000,MATCH($F894,폐업정보!$I$3:$I$3000,0),MATCH(H$4,폐업정보!$D$3:$R$3,0)),
"Error"))</f>
        <v>44476</v>
      </c>
      <c r="I894" s="75" t="str">
        <f aca="false">
IF($D894="정상",INDEX(임대자산!$D$3:$R$3000,MATCH($F894,임대자산!$I$3:$I$3000,0),MATCH(I$4,임대자산!$D$3:$R$3,0)),
IF($D894="폐업",INDEX(폐업정보!$D$3:$R$3000,MATCH($F894,폐업정보!$I$3:$I$3000,0),MATCH(I$4,폐업정보!$D$3:$R$3,0)),
"Error"))</f>
        <v>A0889</v>
      </c>
      <c r="J894" s="75" t="str">
        <f aca="false">
IF($D894="정상",INDEX(임대자산!$D$3:$R$3000,MATCH($F894,임대자산!$I$3:$I$3000,0),MATCH(J$4,임대자산!$D$3:$R$3,0)),
IF($D894="폐업",INDEX(폐업정보!$D$3:$R$3000,MATCH($F894,폐업정보!$I$3:$I$3000,0),MATCH(J$4,폐업정보!$D$3:$R$3,0)),
"Error"))</f>
        <v>4949900000</v>
      </c>
      <c r="K894" s="75" t="str">
        <f aca="false">
IF($D894="정상",INDEX(임대자산!$D$3:$R$3000,MATCH($F894,임대자산!$I$3:$I$3000,0),MATCH(K$4,임대자산!$D$3:$R$3,0)),
IF($D894="폐업",INDEX(폐업정보!$D$3:$R$3000,MATCH($F894,폐업정보!$I$3:$I$3000,0),MATCH(K$4,폐업정보!$D$3:$R$3,0)),
"Error"))</f>
        <v>C0889</v>
      </c>
      <c r="L894" s="75" t="str">
        <f aca="false">
IF($D894="정상",INDEX(임대자산!$D$3:$R$3000,MATCH($F894,임대자산!$I$3:$I$3000,0),MATCH(L$4,임대자산!$D$3:$R$3,0)),
IF($D894="폐업",INDEX(폐업정보!$D$3:$R$3000,MATCH($F894,폐업정보!$I$3:$I$3000,0),MATCH(L$4,폐업정보!$D$3:$R$3,0)),
"Error"))</f>
        <v>D0889</v>
      </c>
      <c r="M894" s="76" t="s">
        <v>96</v>
      </c>
      <c r="N894" s="77"/>
      <c r="O894" s="78" t="s">
        <v>97</v>
      </c>
      <c r="P894" s="79" t="n">
        <f aca="false">COUNTIFS(임대자산!$I:$I,가맹점정보!F894,임대자산!$N:$N,가맹점정보!P$4)</f>
        <v>0</v>
      </c>
      <c r="Q894" s="80" t="n">
        <f aca="false">COUNTIFS(임대자산!$I:$I,가맹점정보!F894,임대자산!$N:$N,가맹점정보!Q$4)</f>
        <v>0</v>
      </c>
      <c r="R894" s="81" t="n">
        <f aca="false">COUNTIFS(임대자산!$I:$I,가맹점정보!F894,임대자산!$N:$N,가맹점정보!R$4)</f>
        <v>1</v>
      </c>
      <c r="S894" s="82" t="n">
        <v>55000</v>
      </c>
      <c r="T894" s="83" t="n">
        <v>0</v>
      </c>
      <c r="U894" s="80" t="n">
        <f aca="false">SUM(S894:T894)</f>
        <v>55000</v>
      </c>
      <c r="V894" s="84" t="s">
        <v>12</v>
      </c>
      <c r="W894" s="80" t="e">
        <f aca="true">
IF(D894="폐업","폐업",
IF(V894="면제","면제",
IF(AND(V894="정상",COUNTIFS(OFFSET(Y894,0,COUNTA(Y894:AV894)-1,1,-4),"미납")&gt;=3),"장기미납",
IF(AND(V894="정상",OFFSET(Y894,0,COUNTA(Y894:AV894)-1)&gt;=U894),"정상",
IF(AND(V894="정상",OFFSET(Y894,0,COUNTA(Y894:AV894)-1)=0),"정상",
"계약서 미작성")))))</f>
        <v>#VALUE!</v>
      </c>
      <c r="X894" s="81" t="str">
        <f aca="true">
IF(D894="폐업","폐업",
IF(AND(V894="정상",OFFSET(Y894,0,COUNTA(Y894:AV894)-1)="미납"),"미납",
IF(AND(V894="정상",OFFSET(Y894,0,COUNTA(Y894:AV894)-1)=0),"납부 시작 전",
IF(AND(V894="정상",OFFSET(Y894,0,COUNTA(Y894:AV894)-1)&gt;=U894),"정상",
IF(AND(V894="면제",OFFSET(Y894,0,COUNTA(Y894:AV894)-1)="면제"),"면제",
IF(AND(V894="면제",OFFSET(Y894,0,COUNTA(Y894:AV894)-1)=0),"면제",
"확인요청"))))))</f>
        <v>정상</v>
      </c>
      <c r="Y894" s="93" t="n">
        <v>55000</v>
      </c>
      <c r="Z894" s="90" t="n">
        <v>55000</v>
      </c>
      <c r="AA894" s="90" t="n">
        <v>55000</v>
      </c>
      <c r="AB894" s="90" t="n">
        <v>55000</v>
      </c>
      <c r="AC894" s="90" t="n">
        <v>55000</v>
      </c>
      <c r="AD894" s="90" t="n">
        <v>55000</v>
      </c>
      <c r="AE894" s="90" t="n">
        <v>55000</v>
      </c>
      <c r="AF894" s="90" t="n">
        <v>55000</v>
      </c>
      <c r="AG894" s="90" t="n">
        <v>55000</v>
      </c>
      <c r="AH894" s="90" t="n">
        <v>55000</v>
      </c>
      <c r="AI894" s="90" t="n">
        <v>55000</v>
      </c>
      <c r="AJ894" s="91" t="n">
        <v>55000</v>
      </c>
      <c r="AK894" s="89" t="n">
        <v>55000</v>
      </c>
      <c r="AL894" s="90" t="n">
        <v>55000</v>
      </c>
      <c r="AM894" s="90"/>
      <c r="AN894" s="90"/>
      <c r="AO894" s="90"/>
      <c r="AP894" s="90"/>
      <c r="AQ894" s="90"/>
      <c r="AR894" s="90"/>
      <c r="AS894" s="90"/>
      <c r="AT894" s="90"/>
      <c r="AU894" s="90"/>
      <c r="AV894" s="91"/>
      <c r="AX894" s="92"/>
    </row>
    <row r="895" customFormat="false" ht="15.65" hidden="false" customHeight="false" outlineLevel="0" collapsed="false">
      <c r="C895" s="72" t="n">
        <f aca="false">COUNTIFS($D$6:D895,"&lt;&gt;"&amp;"")</f>
        <v>890</v>
      </c>
      <c r="D895" s="73" t="s">
        <v>12</v>
      </c>
      <c r="E895" s="76" t="str">
        <f aca="false">
IF($D895="정상",INDEX(임대자산!$D$3:$R$3000,MATCH($F895,임대자산!$I$3:$I$3000,0),MATCH(E$3,임대자산!$D$3:$R$3,0)),
IF($D895="폐업",INDEX(폐업정보!$D$3:$R$3000,MATCH($F895,폐업정보!$I$3:$I$3000,0),MATCH(E$3,폐업정보!$D$3:$R$3,0)),
"Error"))</f>
        <v>강원</v>
      </c>
      <c r="F89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B0890</v>
      </c>
      <c r="G895" s="76" t="str">
        <f aca="false">F895&amp;RANDBETWEEN(0,10)</f>
        <v>B08903</v>
      </c>
      <c r="H895" s="75" t="n">
        <f aca="false">
IF($D895="정상",INDEX(임대자산!$D$3:$R$3000,MATCH($F895,임대자산!$I$3:$I$3000,0),MATCH(H$4,임대자산!$D$3:$R$3,0)),
IF($D895="폐업",INDEX(폐업정보!$D$3:$R$3000,MATCH($F895,폐업정보!$I$3:$I$3000,0),MATCH(H$4,폐업정보!$D$3:$R$3,0)),
"Error"))</f>
        <v>45084</v>
      </c>
      <c r="I895" s="75" t="str">
        <f aca="false">
IF($D895="정상",INDEX(임대자산!$D$3:$R$3000,MATCH($F895,임대자산!$I$3:$I$3000,0),MATCH(I$4,임대자산!$D$3:$R$3,0)),
IF($D895="폐업",INDEX(폐업정보!$D$3:$R$3000,MATCH($F895,폐업정보!$I$3:$I$3000,0),MATCH(I$4,폐업정보!$D$3:$R$3,0)),
"Error"))</f>
        <v>A0890</v>
      </c>
      <c r="J895" s="75" t="str">
        <f aca="false">
IF($D895="정상",INDEX(임대자산!$D$3:$R$3000,MATCH($F895,임대자산!$I$3:$I$3000,0),MATCH(J$4,임대자산!$D$3:$R$3,0)),
IF($D895="폐업",INDEX(폐업정보!$D$3:$R$3000,MATCH($F895,폐업정보!$I$3:$I$3000,0),MATCH(J$4,폐업정보!$D$3:$R$3,0)),
"Error"))</f>
        <v>7426300000</v>
      </c>
      <c r="K895" s="75" t="str">
        <f aca="false">
IF($D895="정상",INDEX(임대자산!$D$3:$R$3000,MATCH($F895,임대자산!$I$3:$I$3000,0),MATCH(K$4,임대자산!$D$3:$R$3,0)),
IF($D895="폐업",INDEX(폐업정보!$D$3:$R$3000,MATCH($F895,폐업정보!$I$3:$I$3000,0),MATCH(K$4,폐업정보!$D$3:$R$3,0)),
"Error"))</f>
        <v>C0890</v>
      </c>
      <c r="L895" s="75" t="str">
        <f aca="false">
IF($D895="정상",INDEX(임대자산!$D$3:$R$3000,MATCH($F895,임대자산!$I$3:$I$3000,0),MATCH(L$4,임대자산!$D$3:$R$3,0)),
IF($D895="폐업",INDEX(폐업정보!$D$3:$R$3000,MATCH($F895,폐업정보!$I$3:$I$3000,0),MATCH(L$4,폐업정보!$D$3:$R$3,0)),
"Error"))</f>
        <v>D0890</v>
      </c>
      <c r="M895" s="76" t="s">
        <v>96</v>
      </c>
      <c r="N895" s="77"/>
      <c r="O895" s="78" t="s">
        <v>97</v>
      </c>
      <c r="P895" s="79" t="n">
        <f aca="false">COUNTIFS(임대자산!$I:$I,가맹점정보!F895,임대자산!$N:$N,가맹점정보!P$4)</f>
        <v>0</v>
      </c>
      <c r="Q895" s="80" t="n">
        <f aca="false">COUNTIFS(임대자산!$I:$I,가맹점정보!F895,임대자산!$N:$N,가맹점정보!Q$4)</f>
        <v>0</v>
      </c>
      <c r="R895" s="81" t="n">
        <f aca="false">COUNTIFS(임대자산!$I:$I,가맹점정보!F895,임대자산!$N:$N,가맹점정보!R$4)</f>
        <v>1</v>
      </c>
      <c r="S895" s="82" t="n">
        <v>55000</v>
      </c>
      <c r="T895" s="83" t="n">
        <v>0</v>
      </c>
      <c r="U895" s="80" t="n">
        <f aca="false">SUM(S895:T895)</f>
        <v>55000</v>
      </c>
      <c r="V895" s="84" t="s">
        <v>12</v>
      </c>
      <c r="W895" s="80" t="e">
        <f aca="true">
IF(D895="폐업","폐업",
IF(V895="면제","면제",
IF(AND(V895="정상",COUNTIFS(OFFSET(Y895,0,COUNTA(Y895:AV895)-1,1,-4),"미납")&gt;=3),"장기미납",
IF(AND(V895="정상",OFFSET(Y895,0,COUNTA(Y895:AV895)-1)&gt;=U895),"정상",
IF(AND(V895="정상",OFFSET(Y895,0,COUNTA(Y895:AV895)-1)=0),"정상",
"계약서 미작성")))))</f>
        <v>#VALUE!</v>
      </c>
      <c r="X895" s="81" t="str">
        <f aca="true">
IF(D895="폐업","폐업",
IF(AND(V895="정상",OFFSET(Y895,0,COUNTA(Y895:AV895)-1)="미납"),"미납",
IF(AND(V895="정상",OFFSET(Y895,0,COUNTA(Y895:AV895)-1)=0),"납부 시작 전",
IF(AND(V895="정상",OFFSET(Y895,0,COUNTA(Y895:AV895)-1)&gt;=U895),"정상",
IF(AND(V895="면제",OFFSET(Y895,0,COUNTA(Y895:AV895)-1)="면제"),"면제",
IF(AND(V895="면제",OFFSET(Y895,0,COUNTA(Y895:AV895)-1)=0),"면제",
"확인요청"))))))</f>
        <v>정상</v>
      </c>
      <c r="Y895" s="93" t="n">
        <v>55000</v>
      </c>
      <c r="Z895" s="90" t="n">
        <v>55000</v>
      </c>
      <c r="AA895" s="90" t="n">
        <v>55000</v>
      </c>
      <c r="AB895" s="90" t="n">
        <v>55000</v>
      </c>
      <c r="AC895" s="90" t="n">
        <v>55000</v>
      </c>
      <c r="AD895" s="90" t="n">
        <v>55000</v>
      </c>
      <c r="AE895" s="90" t="n">
        <v>55000</v>
      </c>
      <c r="AF895" s="90" t="n">
        <v>55000</v>
      </c>
      <c r="AG895" s="90" t="n">
        <v>55000</v>
      </c>
      <c r="AH895" s="90" t="n">
        <v>55000</v>
      </c>
      <c r="AI895" s="90" t="n">
        <v>55000</v>
      </c>
      <c r="AJ895" s="91" t="n">
        <v>55000</v>
      </c>
      <c r="AK895" s="89" t="n">
        <v>55000</v>
      </c>
      <c r="AL895" s="90" t="n">
        <v>55000</v>
      </c>
      <c r="AM895" s="90"/>
      <c r="AN895" s="90"/>
      <c r="AO895" s="90"/>
      <c r="AP895" s="90"/>
      <c r="AQ895" s="90"/>
      <c r="AR895" s="90"/>
      <c r="AS895" s="90"/>
      <c r="AT895" s="90"/>
      <c r="AU895" s="90"/>
      <c r="AV895" s="91"/>
      <c r="AX895" s="92"/>
    </row>
    <row r="896" customFormat="false" ht="15.65" hidden="false" customHeight="false" outlineLevel="0" collapsed="false">
      <c r="C896" s="72" t="n">
        <f aca="false">COUNTIFS($D$6:D896,"&lt;&gt;"&amp;"")</f>
        <v>891</v>
      </c>
      <c r="D896" s="73" t="s">
        <v>12</v>
      </c>
      <c r="E896" s="76" t="str">
        <f aca="false">
IF($D896="정상",INDEX(임대자산!$D$3:$R$3000,MATCH($F896,임대자산!$I$3:$I$3000,0),MATCH(E$3,임대자산!$D$3:$R$3,0)),
IF($D896="폐업",INDEX(폐업정보!$D$3:$R$3000,MATCH($F896,폐업정보!$I$3:$I$3000,0),MATCH(E$3,폐업정보!$D$3:$R$3,0)),
"Error"))</f>
        <v>서울</v>
      </c>
      <c r="F89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B0891</v>
      </c>
      <c r="G896" s="76" t="str">
        <f aca="false">F896&amp;RANDBETWEEN(0,10)</f>
        <v>B089110</v>
      </c>
      <c r="H896" s="75" t="n">
        <f aca="false">
IF($D896="정상",INDEX(임대자산!$D$3:$R$3000,MATCH($F896,임대자산!$I$3:$I$3000,0),MATCH(H$4,임대자산!$D$3:$R$3,0)),
IF($D896="폐업",INDEX(폐업정보!$D$3:$R$3000,MATCH($F896,폐업정보!$I$3:$I$3000,0),MATCH(H$4,폐업정보!$D$3:$R$3,0)),
"Error"))</f>
        <v>44553</v>
      </c>
      <c r="I896" s="75" t="str">
        <f aca="false">
IF($D896="정상",INDEX(임대자산!$D$3:$R$3000,MATCH($F896,임대자산!$I$3:$I$3000,0),MATCH(I$4,임대자산!$D$3:$R$3,0)),
IF($D896="폐업",INDEX(폐업정보!$D$3:$R$3000,MATCH($F896,폐업정보!$I$3:$I$3000,0),MATCH(I$4,폐업정보!$D$3:$R$3,0)),
"Error"))</f>
        <v>A0891</v>
      </c>
      <c r="J896" s="75" t="str">
        <f aca="false">
IF($D896="정상",INDEX(임대자산!$D$3:$R$3000,MATCH($F896,임대자산!$I$3:$I$3000,0),MATCH(J$4,임대자산!$D$3:$R$3,0)),
IF($D896="폐업",INDEX(폐업정보!$D$3:$R$3000,MATCH($F896,폐업정보!$I$3:$I$3000,0),MATCH(J$4,폐업정보!$D$3:$R$3,0)),
"Error"))</f>
        <v>5532600000</v>
      </c>
      <c r="K896" s="75" t="str">
        <f aca="false">
IF($D896="정상",INDEX(임대자산!$D$3:$R$3000,MATCH($F896,임대자산!$I$3:$I$3000,0),MATCH(K$4,임대자산!$D$3:$R$3,0)),
IF($D896="폐업",INDEX(폐업정보!$D$3:$R$3000,MATCH($F896,폐업정보!$I$3:$I$3000,0),MATCH(K$4,폐업정보!$D$3:$R$3,0)),
"Error"))</f>
        <v>C0891</v>
      </c>
      <c r="L896" s="75" t="str">
        <f aca="false">
IF($D896="정상",INDEX(임대자산!$D$3:$R$3000,MATCH($F896,임대자산!$I$3:$I$3000,0),MATCH(L$4,임대자산!$D$3:$R$3,0)),
IF($D896="폐업",INDEX(폐업정보!$D$3:$R$3000,MATCH($F896,폐업정보!$I$3:$I$3000,0),MATCH(L$4,폐업정보!$D$3:$R$3,0)),
"Error"))</f>
        <v>D0891</v>
      </c>
      <c r="M896" s="76" t="s">
        <v>96</v>
      </c>
      <c r="N896" s="77"/>
      <c r="O896" s="78" t="s">
        <v>97</v>
      </c>
      <c r="P896" s="79" t="n">
        <f aca="false">COUNTIFS(임대자산!$I:$I,가맹점정보!F896,임대자산!$N:$N,가맹점정보!P$4)</f>
        <v>0</v>
      </c>
      <c r="Q896" s="80" t="n">
        <f aca="false">COUNTIFS(임대자산!$I:$I,가맹점정보!F896,임대자산!$N:$N,가맹점정보!Q$4)</f>
        <v>0</v>
      </c>
      <c r="R896" s="81" t="n">
        <f aca="false">COUNTIFS(임대자산!$I:$I,가맹점정보!F896,임대자산!$N:$N,가맹점정보!R$4)</f>
        <v>1</v>
      </c>
      <c r="S896" s="82" t="n">
        <v>55000</v>
      </c>
      <c r="T896" s="83" t="n">
        <v>0</v>
      </c>
      <c r="U896" s="80" t="n">
        <f aca="false">SUM(S896:T896)</f>
        <v>55000</v>
      </c>
      <c r="V896" s="84" t="s">
        <v>12</v>
      </c>
      <c r="W896" s="80" t="e">
        <f aca="true">
IF(D896="폐업","폐업",
IF(V896="면제","면제",
IF(AND(V896="정상",COUNTIFS(OFFSET(Y896,0,COUNTA(Y896:AV896)-1,1,-4),"미납")&gt;=3),"장기미납",
IF(AND(V896="정상",OFFSET(Y896,0,COUNTA(Y896:AV896)-1)&gt;=U896),"정상",
IF(AND(V896="정상",OFFSET(Y896,0,COUNTA(Y896:AV896)-1)=0),"정상",
"계약서 미작성")))))</f>
        <v>#VALUE!</v>
      </c>
      <c r="X896" s="81" t="str">
        <f aca="true">
IF(D896="폐업","폐업",
IF(AND(V896="정상",OFFSET(Y896,0,COUNTA(Y896:AV896)-1)="미납"),"미납",
IF(AND(V896="정상",OFFSET(Y896,0,COUNTA(Y896:AV896)-1)=0),"납부 시작 전",
IF(AND(V896="정상",OFFSET(Y896,0,COUNTA(Y896:AV896)-1)&gt;=U896),"정상",
IF(AND(V896="면제",OFFSET(Y896,0,COUNTA(Y896:AV896)-1)="면제"),"면제",
IF(AND(V896="면제",OFFSET(Y896,0,COUNTA(Y896:AV896)-1)=0),"면제",
"확인요청"))))))</f>
        <v>정상</v>
      </c>
      <c r="Y896" s="93" t="n">
        <v>55000</v>
      </c>
      <c r="Z896" s="90" t="n">
        <v>55000</v>
      </c>
      <c r="AA896" s="90" t="n">
        <v>55000</v>
      </c>
      <c r="AB896" s="90" t="n">
        <v>55000</v>
      </c>
      <c r="AC896" s="90" t="n">
        <v>55000</v>
      </c>
      <c r="AD896" s="90" t="n">
        <v>55000</v>
      </c>
      <c r="AE896" s="90" t="n">
        <v>55000</v>
      </c>
      <c r="AF896" s="90" t="n">
        <v>55000</v>
      </c>
      <c r="AG896" s="90" t="n">
        <v>55000</v>
      </c>
      <c r="AH896" s="90" t="n">
        <v>55000</v>
      </c>
      <c r="AI896" s="90" t="n">
        <v>55000</v>
      </c>
      <c r="AJ896" s="91" t="n">
        <v>55000</v>
      </c>
      <c r="AK896" s="89" t="n">
        <v>55000</v>
      </c>
      <c r="AL896" s="90" t="n">
        <v>55000</v>
      </c>
      <c r="AM896" s="90"/>
      <c r="AN896" s="90"/>
      <c r="AO896" s="90"/>
      <c r="AP896" s="90"/>
      <c r="AQ896" s="90"/>
      <c r="AR896" s="90"/>
      <c r="AS896" s="90"/>
      <c r="AT896" s="90"/>
      <c r="AU896" s="90"/>
      <c r="AV896" s="91"/>
      <c r="AX896" s="92"/>
    </row>
    <row r="897" customFormat="false" ht="15.65" hidden="false" customHeight="false" outlineLevel="0" collapsed="false">
      <c r="C897" s="72" t="n">
        <f aca="false">COUNTIFS($D$6:D897,"&lt;&gt;"&amp;"")</f>
        <v>892</v>
      </c>
      <c r="D897" s="73" t="s">
        <v>12</v>
      </c>
      <c r="E897" s="76" t="str">
        <f aca="false">
IF($D897="정상",INDEX(임대자산!$D$3:$R$3000,MATCH($F897,임대자산!$I$3:$I$3000,0),MATCH(E$3,임대자산!$D$3:$R$3,0)),
IF($D897="폐업",INDEX(폐업정보!$D$3:$R$3000,MATCH($F897,폐업정보!$I$3:$I$3000,0),MATCH(E$3,폐업정보!$D$3:$R$3,0)),
"Error"))</f>
        <v>강원</v>
      </c>
      <c r="F89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B0892</v>
      </c>
      <c r="G897" s="76" t="str">
        <f aca="false">F897&amp;RANDBETWEEN(0,10)</f>
        <v>B08927</v>
      </c>
      <c r="H897" s="75" t="n">
        <f aca="false">
IF($D897="정상",INDEX(임대자산!$D$3:$R$3000,MATCH($F897,임대자산!$I$3:$I$3000,0),MATCH(H$4,임대자산!$D$3:$R$3,0)),
IF($D897="폐업",INDEX(폐업정보!$D$3:$R$3000,MATCH($F897,폐업정보!$I$3:$I$3000,0),MATCH(H$4,폐업정보!$D$3:$R$3,0)),
"Error"))</f>
        <v>44729</v>
      </c>
      <c r="I897" s="75" t="str">
        <f aca="false">
IF($D897="정상",INDEX(임대자산!$D$3:$R$3000,MATCH($F897,임대자산!$I$3:$I$3000,0),MATCH(I$4,임대자산!$D$3:$R$3,0)),
IF($D897="폐업",INDEX(폐업정보!$D$3:$R$3000,MATCH($F897,폐업정보!$I$3:$I$3000,0),MATCH(I$4,폐업정보!$D$3:$R$3,0)),
"Error"))</f>
        <v>A0892</v>
      </c>
      <c r="J897" s="75" t="str">
        <f aca="false">
IF($D897="정상",INDEX(임대자산!$D$3:$R$3000,MATCH($F897,임대자산!$I$3:$I$3000,0),MATCH(J$4,임대자산!$D$3:$R$3,0)),
IF($D897="폐업",INDEX(폐업정보!$D$3:$R$3000,MATCH($F897,폐업정보!$I$3:$I$3000,0),MATCH(J$4,폐업정보!$D$3:$R$3,0)),
"Error"))</f>
        <v>4080400000</v>
      </c>
      <c r="K897" s="75" t="str">
        <f aca="false">
IF($D897="정상",INDEX(임대자산!$D$3:$R$3000,MATCH($F897,임대자산!$I$3:$I$3000,0),MATCH(K$4,임대자산!$D$3:$R$3,0)),
IF($D897="폐업",INDEX(폐업정보!$D$3:$R$3000,MATCH($F897,폐업정보!$I$3:$I$3000,0),MATCH(K$4,폐업정보!$D$3:$R$3,0)),
"Error"))</f>
        <v>C0892</v>
      </c>
      <c r="L897" s="75" t="str">
        <f aca="false">
IF($D897="정상",INDEX(임대자산!$D$3:$R$3000,MATCH($F897,임대자산!$I$3:$I$3000,0),MATCH(L$4,임대자산!$D$3:$R$3,0)),
IF($D897="폐업",INDEX(폐업정보!$D$3:$R$3000,MATCH($F897,폐업정보!$I$3:$I$3000,0),MATCH(L$4,폐업정보!$D$3:$R$3,0)),
"Error"))</f>
        <v>D0892</v>
      </c>
      <c r="M897" s="76" t="s">
        <v>96</v>
      </c>
      <c r="N897" s="77"/>
      <c r="O897" s="78" t="s">
        <v>97</v>
      </c>
      <c r="P897" s="79" t="n">
        <f aca="false">COUNTIFS(임대자산!$I:$I,가맹점정보!F897,임대자산!$N:$N,가맹점정보!P$4)</f>
        <v>0</v>
      </c>
      <c r="Q897" s="80" t="n">
        <f aca="false">COUNTIFS(임대자산!$I:$I,가맹점정보!F897,임대자산!$N:$N,가맹점정보!Q$4)</f>
        <v>0</v>
      </c>
      <c r="R897" s="81" t="n">
        <f aca="false">COUNTIFS(임대자산!$I:$I,가맹점정보!F897,임대자산!$N:$N,가맹점정보!R$4)</f>
        <v>1</v>
      </c>
      <c r="S897" s="82" t="n">
        <v>55000</v>
      </c>
      <c r="T897" s="83" t="n">
        <v>0</v>
      </c>
      <c r="U897" s="80" t="n">
        <f aca="false">SUM(S897:T897)</f>
        <v>55000</v>
      </c>
      <c r="V897" s="84" t="s">
        <v>12</v>
      </c>
      <c r="W897" s="80" t="e">
        <f aca="true">
IF(D897="폐업","폐업",
IF(V897="면제","면제",
IF(AND(V897="정상",COUNTIFS(OFFSET(Y897,0,COUNTA(Y897:AV897)-1,1,-4),"미납")&gt;=3),"장기미납",
IF(AND(V897="정상",OFFSET(Y897,0,COUNTA(Y897:AV897)-1)&gt;=U897),"정상",
IF(AND(V897="정상",OFFSET(Y897,0,COUNTA(Y897:AV897)-1)=0),"정상",
"계약서 미작성")))))</f>
        <v>#VALUE!</v>
      </c>
      <c r="X897" s="81" t="str">
        <f aca="true">
IF(D897="폐업","폐업",
IF(AND(V897="정상",OFFSET(Y897,0,COUNTA(Y897:AV897)-1)="미납"),"미납",
IF(AND(V897="정상",OFFSET(Y897,0,COUNTA(Y897:AV897)-1)=0),"납부 시작 전",
IF(AND(V897="정상",OFFSET(Y897,0,COUNTA(Y897:AV897)-1)&gt;=U897),"정상",
IF(AND(V897="면제",OFFSET(Y897,0,COUNTA(Y897:AV897)-1)="면제"),"면제",
IF(AND(V897="면제",OFFSET(Y897,0,COUNTA(Y897:AV897)-1)=0),"면제",
"확인요청"))))))</f>
        <v>정상</v>
      </c>
      <c r="Y897" s="93" t="n">
        <v>55000</v>
      </c>
      <c r="Z897" s="90" t="n">
        <v>55000</v>
      </c>
      <c r="AA897" s="90" t="n">
        <v>55000</v>
      </c>
      <c r="AB897" s="90" t="n">
        <v>55000</v>
      </c>
      <c r="AC897" s="90" t="n">
        <v>55000</v>
      </c>
      <c r="AD897" s="90" t="n">
        <v>55000</v>
      </c>
      <c r="AE897" s="90" t="n">
        <v>55000</v>
      </c>
      <c r="AF897" s="90" t="n">
        <v>55000</v>
      </c>
      <c r="AG897" s="90" t="n">
        <v>55000</v>
      </c>
      <c r="AH897" s="90" t="n">
        <v>55000</v>
      </c>
      <c r="AI897" s="90" t="n">
        <v>55000</v>
      </c>
      <c r="AJ897" s="91" t="n">
        <v>55000</v>
      </c>
      <c r="AK897" s="89" t="n">
        <v>55000</v>
      </c>
      <c r="AL897" s="90" t="n">
        <v>55000</v>
      </c>
      <c r="AM897" s="90"/>
      <c r="AN897" s="90"/>
      <c r="AO897" s="90"/>
      <c r="AP897" s="90"/>
      <c r="AQ897" s="90"/>
      <c r="AR897" s="90"/>
      <c r="AS897" s="90"/>
      <c r="AT897" s="90"/>
      <c r="AU897" s="90"/>
      <c r="AV897" s="91"/>
      <c r="AX897" s="92"/>
    </row>
    <row r="898" customFormat="false" ht="15.65" hidden="false" customHeight="false" outlineLevel="0" collapsed="false">
      <c r="C898" s="72" t="n">
        <f aca="false">COUNTIFS($D$6:D898,"&lt;&gt;"&amp;"")</f>
        <v>893</v>
      </c>
      <c r="D898" s="73" t="s">
        <v>12</v>
      </c>
      <c r="E898" s="76" t="str">
        <f aca="false">
IF($D898="정상",INDEX(임대자산!$D$3:$R$3000,MATCH($F898,임대자산!$I$3:$I$3000,0),MATCH(E$3,임대자산!$D$3:$R$3,0)),
IF($D898="폐업",INDEX(폐업정보!$D$3:$R$3000,MATCH($F898,폐업정보!$I$3:$I$3000,0),MATCH(E$3,폐업정보!$D$3:$R$3,0)),
"Error"))</f>
        <v>경기</v>
      </c>
      <c r="F89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B0893</v>
      </c>
      <c r="G898" s="76" t="str">
        <f aca="false">F898&amp;RANDBETWEEN(0,10)</f>
        <v>B08934</v>
      </c>
      <c r="H898" s="75" t="n">
        <f aca="false">
IF($D898="정상",INDEX(임대자산!$D$3:$R$3000,MATCH($F898,임대자산!$I$3:$I$3000,0),MATCH(H$4,임대자산!$D$3:$R$3,0)),
IF($D898="폐업",INDEX(폐업정보!$D$3:$R$3000,MATCH($F898,폐업정보!$I$3:$I$3000,0),MATCH(H$4,폐업정보!$D$3:$R$3,0)),
"Error"))</f>
        <v>44568</v>
      </c>
      <c r="I898" s="75" t="str">
        <f aca="false">
IF($D898="정상",INDEX(임대자산!$D$3:$R$3000,MATCH($F898,임대자산!$I$3:$I$3000,0),MATCH(I$4,임대자산!$D$3:$R$3,0)),
IF($D898="폐업",INDEX(폐업정보!$D$3:$R$3000,MATCH($F898,폐업정보!$I$3:$I$3000,0),MATCH(I$4,폐업정보!$D$3:$R$3,0)),
"Error"))</f>
        <v>A0893</v>
      </c>
      <c r="J898" s="75" t="str">
        <f aca="false">
IF($D898="정상",INDEX(임대자산!$D$3:$R$3000,MATCH($F898,임대자산!$I$3:$I$3000,0),MATCH(J$4,임대자산!$D$3:$R$3,0)),
IF($D898="폐업",INDEX(폐업정보!$D$3:$R$3000,MATCH($F898,폐업정보!$I$3:$I$3000,0),MATCH(J$4,폐업정보!$D$3:$R$3,0)),
"Error"))</f>
        <v>1078300000</v>
      </c>
      <c r="K898" s="75" t="str">
        <f aca="false">
IF($D898="정상",INDEX(임대자산!$D$3:$R$3000,MATCH($F898,임대자산!$I$3:$I$3000,0),MATCH(K$4,임대자산!$D$3:$R$3,0)),
IF($D898="폐업",INDEX(폐업정보!$D$3:$R$3000,MATCH($F898,폐업정보!$I$3:$I$3000,0),MATCH(K$4,폐업정보!$D$3:$R$3,0)),
"Error"))</f>
        <v>C0893</v>
      </c>
      <c r="L898" s="75" t="str">
        <f aca="false">
IF($D898="정상",INDEX(임대자산!$D$3:$R$3000,MATCH($F898,임대자산!$I$3:$I$3000,0),MATCH(L$4,임대자산!$D$3:$R$3,0)),
IF($D898="폐업",INDEX(폐업정보!$D$3:$R$3000,MATCH($F898,폐업정보!$I$3:$I$3000,0),MATCH(L$4,폐업정보!$D$3:$R$3,0)),
"Error"))</f>
        <v>D0893</v>
      </c>
      <c r="M898" s="76" t="s">
        <v>96</v>
      </c>
      <c r="N898" s="77"/>
      <c r="O898" s="78" t="s">
        <v>97</v>
      </c>
      <c r="P898" s="79" t="n">
        <f aca="false">COUNTIFS(임대자산!$I:$I,가맹점정보!F898,임대자산!$N:$N,가맹점정보!P$4)</f>
        <v>0</v>
      </c>
      <c r="Q898" s="80" t="n">
        <f aca="false">COUNTIFS(임대자산!$I:$I,가맹점정보!F898,임대자산!$N:$N,가맹점정보!Q$4)</f>
        <v>0</v>
      </c>
      <c r="R898" s="81" t="n">
        <f aca="false">COUNTIFS(임대자산!$I:$I,가맹점정보!F898,임대자산!$N:$N,가맹점정보!R$4)</f>
        <v>1</v>
      </c>
      <c r="S898" s="82" t="n">
        <v>88000</v>
      </c>
      <c r="T898" s="83" t="n">
        <v>0</v>
      </c>
      <c r="U898" s="80" t="n">
        <f aca="false">SUM(S898:T898)</f>
        <v>88000</v>
      </c>
      <c r="V898" s="84" t="s">
        <v>12</v>
      </c>
      <c r="W898" s="80" t="e">
        <f aca="true">
IF(D898="폐업","폐업",
IF(V898="면제","면제",
IF(AND(V898="정상",COUNTIFS(OFFSET(Y898,0,COUNTA(Y898:AV898)-1,1,-4),"미납")&gt;=3),"장기미납",
IF(AND(V898="정상",OFFSET(Y898,0,COUNTA(Y898:AV898)-1)&gt;=U898),"정상",
IF(AND(V898="정상",OFFSET(Y898,0,COUNTA(Y898:AV898)-1)=0),"정상",
"계약서 미작성")))))</f>
        <v>#VALUE!</v>
      </c>
      <c r="X898" s="81" t="str">
        <f aca="true">
IF(D898="폐업","폐업",
IF(AND(V898="정상",OFFSET(Y898,0,COUNTA(Y898:AV898)-1)="미납"),"미납",
IF(AND(V898="정상",OFFSET(Y898,0,COUNTA(Y898:AV898)-1)=0),"납부 시작 전",
IF(AND(V898="정상",OFFSET(Y898,0,COUNTA(Y898:AV898)-1)&gt;=U898),"정상",
IF(AND(V898="면제",OFFSET(Y898,0,COUNTA(Y898:AV898)-1)="면제"),"면제",
IF(AND(V898="면제",OFFSET(Y898,0,COUNTA(Y898:AV898)-1)=0),"면제",
"확인요청"))))))</f>
        <v>미납</v>
      </c>
      <c r="Y898" s="93" t="n">
        <v>88000</v>
      </c>
      <c r="Z898" s="90" t="n">
        <v>88000</v>
      </c>
      <c r="AA898" s="90" t="n">
        <v>88000</v>
      </c>
      <c r="AB898" s="90" t="n">
        <v>88000</v>
      </c>
      <c r="AC898" s="90" t="n">
        <v>88000</v>
      </c>
      <c r="AD898" s="90" t="n">
        <v>88000</v>
      </c>
      <c r="AE898" s="90" t="n">
        <v>88000</v>
      </c>
      <c r="AF898" s="90" t="n">
        <v>88000</v>
      </c>
      <c r="AG898" s="90" t="n">
        <v>88000</v>
      </c>
      <c r="AH898" s="90" t="n">
        <v>88000</v>
      </c>
      <c r="AI898" s="90" t="n">
        <v>88000</v>
      </c>
      <c r="AJ898" s="91" t="n">
        <v>88000</v>
      </c>
      <c r="AK898" s="89" t="n">
        <v>88000</v>
      </c>
      <c r="AL898" s="95" t="s">
        <v>62</v>
      </c>
      <c r="AM898" s="90"/>
      <c r="AN898" s="90"/>
      <c r="AO898" s="90"/>
      <c r="AP898" s="90"/>
      <c r="AQ898" s="90"/>
      <c r="AR898" s="90"/>
      <c r="AS898" s="90"/>
      <c r="AT898" s="90"/>
      <c r="AU898" s="90"/>
      <c r="AV898" s="91"/>
      <c r="AX898" s="92"/>
    </row>
    <row r="899" customFormat="false" ht="15.65" hidden="false" customHeight="false" outlineLevel="0" collapsed="false">
      <c r="C899" s="72" t="n">
        <f aca="false">COUNTIFS($D$6:D899,"&lt;&gt;"&amp;"")</f>
        <v>894</v>
      </c>
      <c r="D899" s="73" t="s">
        <v>12</v>
      </c>
      <c r="E899" s="76" t="str">
        <f aca="false">
IF($D899="정상",INDEX(임대자산!$D$3:$R$3000,MATCH($F899,임대자산!$I$3:$I$3000,0),MATCH(E$3,임대자산!$D$3:$R$3,0)),
IF($D899="폐업",INDEX(폐업정보!$D$3:$R$3000,MATCH($F899,폐업정보!$I$3:$I$3000,0),MATCH(E$3,폐업정보!$D$3:$R$3,0)),
"Error"))</f>
        <v>경기</v>
      </c>
      <c r="F89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B0894</v>
      </c>
      <c r="G899" s="76" t="str">
        <f aca="false">F899&amp;RANDBETWEEN(0,10)</f>
        <v>B089410</v>
      </c>
      <c r="H899" s="75" t="n">
        <f aca="false">
IF($D899="정상",INDEX(임대자산!$D$3:$R$3000,MATCH($F899,임대자산!$I$3:$I$3000,0),MATCH(H$4,임대자산!$D$3:$R$3,0)),
IF($D899="폐업",INDEX(폐업정보!$D$3:$R$3000,MATCH($F899,폐업정보!$I$3:$I$3000,0),MATCH(H$4,폐업정보!$D$3:$R$3,0)),
"Error"))</f>
        <v>44533</v>
      </c>
      <c r="I899" s="75" t="str">
        <f aca="false">
IF($D899="정상",INDEX(임대자산!$D$3:$R$3000,MATCH($F899,임대자산!$I$3:$I$3000,0),MATCH(I$4,임대자산!$D$3:$R$3,0)),
IF($D899="폐업",INDEX(폐업정보!$D$3:$R$3000,MATCH($F899,폐업정보!$I$3:$I$3000,0),MATCH(I$4,폐업정보!$D$3:$R$3,0)),
"Error"))</f>
        <v>A0894</v>
      </c>
      <c r="J899" s="75" t="str">
        <f aca="false">
IF($D899="정상",INDEX(임대자산!$D$3:$R$3000,MATCH($F899,임대자산!$I$3:$I$3000,0),MATCH(J$4,임대자산!$D$3:$R$3,0)),
IF($D899="폐업",INDEX(폐업정보!$D$3:$R$3000,MATCH($F899,폐업정보!$I$3:$I$3000,0),MATCH(J$4,폐업정보!$D$3:$R$3,0)),
"Error"))</f>
        <v>7450600000</v>
      </c>
      <c r="K899" s="75" t="str">
        <f aca="false">
IF($D899="정상",INDEX(임대자산!$D$3:$R$3000,MATCH($F899,임대자산!$I$3:$I$3000,0),MATCH(K$4,임대자산!$D$3:$R$3,0)),
IF($D899="폐업",INDEX(폐업정보!$D$3:$R$3000,MATCH($F899,폐업정보!$I$3:$I$3000,0),MATCH(K$4,폐업정보!$D$3:$R$3,0)),
"Error"))</f>
        <v>C0894</v>
      </c>
      <c r="L899" s="75" t="str">
        <f aca="false">
IF($D899="정상",INDEX(임대자산!$D$3:$R$3000,MATCH($F899,임대자산!$I$3:$I$3000,0),MATCH(L$4,임대자산!$D$3:$R$3,0)),
IF($D899="폐업",INDEX(폐업정보!$D$3:$R$3000,MATCH($F899,폐업정보!$I$3:$I$3000,0),MATCH(L$4,폐업정보!$D$3:$R$3,0)),
"Error"))</f>
        <v>D0894</v>
      </c>
      <c r="M899" s="76" t="s">
        <v>96</v>
      </c>
      <c r="N899" s="77"/>
      <c r="O899" s="78" t="s">
        <v>97</v>
      </c>
      <c r="P899" s="79" t="n">
        <f aca="false">COUNTIFS(임대자산!$I:$I,가맹점정보!F899,임대자산!$N:$N,가맹점정보!P$4)</f>
        <v>0</v>
      </c>
      <c r="Q899" s="80" t="n">
        <f aca="false">COUNTIFS(임대자산!$I:$I,가맹점정보!F899,임대자산!$N:$N,가맹점정보!Q$4)</f>
        <v>0</v>
      </c>
      <c r="R899" s="81" t="n">
        <f aca="false">COUNTIFS(임대자산!$I:$I,가맹점정보!F899,임대자산!$N:$N,가맹점정보!R$4)</f>
        <v>1</v>
      </c>
      <c r="S899" s="82" t="n">
        <v>55000</v>
      </c>
      <c r="T899" s="83" t="n">
        <v>0</v>
      </c>
      <c r="U899" s="80" t="n">
        <f aca="false">SUM(S899:T899)</f>
        <v>55000</v>
      </c>
      <c r="V899" s="84" t="s">
        <v>12</v>
      </c>
      <c r="W899" s="80" t="e">
        <f aca="true">
IF(D899="폐업","폐업",
IF(V899="면제","면제",
IF(AND(V899="정상",COUNTIFS(OFFSET(Y899,0,COUNTA(Y899:AV899)-1,1,-4),"미납")&gt;=3),"장기미납",
IF(AND(V899="정상",OFFSET(Y899,0,COUNTA(Y899:AV899)-1)&gt;=U899),"정상",
IF(AND(V899="정상",OFFSET(Y899,0,COUNTA(Y899:AV899)-1)=0),"정상",
"계약서 미작성")))))</f>
        <v>#VALUE!</v>
      </c>
      <c r="X899" s="81" t="str">
        <f aca="true">
IF(D899="폐업","폐업",
IF(AND(V899="정상",OFFSET(Y899,0,COUNTA(Y899:AV899)-1)="미납"),"미납",
IF(AND(V899="정상",OFFSET(Y899,0,COUNTA(Y899:AV899)-1)=0),"납부 시작 전",
IF(AND(V899="정상",OFFSET(Y899,0,COUNTA(Y899:AV899)-1)&gt;=U899),"정상",
IF(AND(V899="면제",OFFSET(Y899,0,COUNTA(Y899:AV899)-1)="면제"),"면제",
IF(AND(V899="면제",OFFSET(Y899,0,COUNTA(Y899:AV899)-1)=0),"면제",
"확인요청"))))))</f>
        <v>정상</v>
      </c>
      <c r="Y899" s="93" t="n">
        <v>55000</v>
      </c>
      <c r="Z899" s="90" t="n">
        <v>55000</v>
      </c>
      <c r="AA899" s="90" t="n">
        <v>55000</v>
      </c>
      <c r="AB899" s="90" t="n">
        <v>55000</v>
      </c>
      <c r="AC899" s="90" t="n">
        <v>55000</v>
      </c>
      <c r="AD899" s="90" t="n">
        <v>55000</v>
      </c>
      <c r="AE899" s="90" t="n">
        <v>55000</v>
      </c>
      <c r="AF899" s="90" t="n">
        <v>55000</v>
      </c>
      <c r="AG899" s="90" t="n">
        <v>55000</v>
      </c>
      <c r="AH899" s="90" t="n">
        <v>55000</v>
      </c>
      <c r="AI899" s="90" t="n">
        <v>55000</v>
      </c>
      <c r="AJ899" s="91" t="n">
        <v>55000</v>
      </c>
      <c r="AK899" s="89" t="n">
        <v>55000</v>
      </c>
      <c r="AL899" s="90" t="n">
        <v>55000</v>
      </c>
      <c r="AM899" s="90"/>
      <c r="AN899" s="90"/>
      <c r="AO899" s="90"/>
      <c r="AP899" s="90"/>
      <c r="AQ899" s="90"/>
      <c r="AR899" s="90"/>
      <c r="AS899" s="90"/>
      <c r="AT899" s="90"/>
      <c r="AU899" s="90"/>
      <c r="AV899" s="91"/>
      <c r="AX899" s="92"/>
    </row>
    <row r="900" customFormat="false" ht="15.65" hidden="false" customHeight="false" outlineLevel="0" collapsed="false">
      <c r="C900" s="72" t="n">
        <f aca="false">COUNTIFS($D$6:D900,"&lt;&gt;"&amp;"")</f>
        <v>895</v>
      </c>
      <c r="D900" s="73" t="s">
        <v>12</v>
      </c>
      <c r="E900" s="76" t="str">
        <f aca="false">
IF($D900="정상",INDEX(임대자산!$D$3:$R$3000,MATCH($F900,임대자산!$I$3:$I$3000,0),MATCH(E$3,임대자산!$D$3:$R$3,0)),
IF($D900="폐업",INDEX(폐업정보!$D$3:$R$3000,MATCH($F900,폐업정보!$I$3:$I$3000,0),MATCH(E$3,폐업정보!$D$3:$R$3,0)),
"Error"))</f>
        <v>서울</v>
      </c>
      <c r="F90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B0895</v>
      </c>
      <c r="G900" s="76" t="str">
        <f aca="false">F900&amp;RANDBETWEEN(0,10)</f>
        <v>B08953</v>
      </c>
      <c r="H900" s="75" t="n">
        <f aca="false">
IF($D900="정상",INDEX(임대자산!$D$3:$R$3000,MATCH($F900,임대자산!$I$3:$I$3000,0),MATCH(H$4,임대자산!$D$3:$R$3,0)),
IF($D900="폐업",INDEX(폐업정보!$D$3:$R$3000,MATCH($F900,폐업정보!$I$3:$I$3000,0),MATCH(H$4,폐업정보!$D$3:$R$3,0)),
"Error"))</f>
        <v>44574</v>
      </c>
      <c r="I900" s="75" t="str">
        <f aca="false">
IF($D900="정상",INDEX(임대자산!$D$3:$R$3000,MATCH($F900,임대자산!$I$3:$I$3000,0),MATCH(I$4,임대자산!$D$3:$R$3,0)),
IF($D900="폐업",INDEX(폐업정보!$D$3:$R$3000,MATCH($F900,폐업정보!$I$3:$I$3000,0),MATCH(I$4,폐업정보!$D$3:$R$3,0)),
"Error"))</f>
        <v>A0895</v>
      </c>
      <c r="J900" s="75" t="str">
        <f aca="false">
IF($D900="정상",INDEX(임대자산!$D$3:$R$3000,MATCH($F900,임대자산!$I$3:$I$3000,0),MATCH(J$4,임대자산!$D$3:$R$3,0)),
IF($D900="폐업",INDEX(폐업정보!$D$3:$R$3000,MATCH($F900,폐업정보!$I$3:$I$3000,0),MATCH(J$4,폐업정보!$D$3:$R$3,0)),
"Error"))</f>
        <v>4620800000</v>
      </c>
      <c r="K900" s="75" t="str">
        <f aca="false">
IF($D900="정상",INDEX(임대자산!$D$3:$R$3000,MATCH($F900,임대자산!$I$3:$I$3000,0),MATCH(K$4,임대자산!$D$3:$R$3,0)),
IF($D900="폐업",INDEX(폐업정보!$D$3:$R$3000,MATCH($F900,폐업정보!$I$3:$I$3000,0),MATCH(K$4,폐업정보!$D$3:$R$3,0)),
"Error"))</f>
        <v>C0895</v>
      </c>
      <c r="L900" s="75" t="str">
        <f aca="false">
IF($D900="정상",INDEX(임대자산!$D$3:$R$3000,MATCH($F900,임대자산!$I$3:$I$3000,0),MATCH(L$4,임대자산!$D$3:$R$3,0)),
IF($D900="폐업",INDEX(폐업정보!$D$3:$R$3000,MATCH($F900,폐업정보!$I$3:$I$3000,0),MATCH(L$4,폐업정보!$D$3:$R$3,0)),
"Error"))</f>
        <v>D0895</v>
      </c>
      <c r="M900" s="76" t="s">
        <v>96</v>
      </c>
      <c r="N900" s="77"/>
      <c r="O900" s="78" t="s">
        <v>97</v>
      </c>
      <c r="P900" s="79" t="n">
        <f aca="false">COUNTIFS(임대자산!$I:$I,가맹점정보!F900,임대자산!$N:$N,가맹점정보!P$4)</f>
        <v>0</v>
      </c>
      <c r="Q900" s="80" t="n">
        <f aca="false">COUNTIFS(임대자산!$I:$I,가맹점정보!F900,임대자산!$N:$N,가맹점정보!Q$4)</f>
        <v>0</v>
      </c>
      <c r="R900" s="81" t="n">
        <f aca="false">COUNTIFS(임대자산!$I:$I,가맹점정보!F900,임대자산!$N:$N,가맹점정보!R$4)</f>
        <v>1</v>
      </c>
      <c r="S900" s="82" t="n">
        <v>55000</v>
      </c>
      <c r="T900" s="83" t="n">
        <v>0</v>
      </c>
      <c r="U900" s="80" t="n">
        <f aca="false">SUM(S900:T900)</f>
        <v>55000</v>
      </c>
      <c r="V900" s="84" t="s">
        <v>12</v>
      </c>
      <c r="W900" s="80" t="e">
        <f aca="true">
IF(D900="폐업","폐업",
IF(V900="면제","면제",
IF(AND(V900="정상",COUNTIFS(OFFSET(Y900,0,COUNTA(Y900:AV900)-1,1,-4),"미납")&gt;=3),"장기미납",
IF(AND(V900="정상",OFFSET(Y900,0,COUNTA(Y900:AV900)-1)&gt;=U900),"정상",
IF(AND(V900="정상",OFFSET(Y900,0,COUNTA(Y900:AV900)-1)=0),"정상",
"계약서 미작성")))))</f>
        <v>#VALUE!</v>
      </c>
      <c r="X900" s="81" t="str">
        <f aca="true">
IF(D900="폐업","폐업",
IF(AND(V900="정상",OFFSET(Y900,0,COUNTA(Y900:AV900)-1)="미납"),"미납",
IF(AND(V900="정상",OFFSET(Y900,0,COUNTA(Y900:AV900)-1)=0),"납부 시작 전",
IF(AND(V900="정상",OFFSET(Y900,0,COUNTA(Y900:AV900)-1)&gt;=U900),"정상",
IF(AND(V900="면제",OFFSET(Y900,0,COUNTA(Y900:AV900)-1)="면제"),"면제",
IF(AND(V900="면제",OFFSET(Y900,0,COUNTA(Y900:AV900)-1)=0),"면제",
"확인요청"))))))</f>
        <v>정상</v>
      </c>
      <c r="Y900" s="93" t="n">
        <v>55000</v>
      </c>
      <c r="Z900" s="90" t="n">
        <v>55000</v>
      </c>
      <c r="AA900" s="90" t="n">
        <v>55000</v>
      </c>
      <c r="AB900" s="90" t="n">
        <v>55000</v>
      </c>
      <c r="AC900" s="90" t="n">
        <v>55000</v>
      </c>
      <c r="AD900" s="90" t="n">
        <v>55000</v>
      </c>
      <c r="AE900" s="90" t="n">
        <v>55000</v>
      </c>
      <c r="AF900" s="90" t="n">
        <v>55000</v>
      </c>
      <c r="AG900" s="90" t="n">
        <v>55000</v>
      </c>
      <c r="AH900" s="90" t="n">
        <v>55000</v>
      </c>
      <c r="AI900" s="90" t="n">
        <v>55000</v>
      </c>
      <c r="AJ900" s="91" t="n">
        <v>55000</v>
      </c>
      <c r="AK900" s="89" t="n">
        <v>55000</v>
      </c>
      <c r="AL900" s="90" t="n">
        <v>55000</v>
      </c>
      <c r="AM900" s="90"/>
      <c r="AN900" s="90"/>
      <c r="AO900" s="90"/>
      <c r="AP900" s="90"/>
      <c r="AQ900" s="90"/>
      <c r="AR900" s="90"/>
      <c r="AS900" s="90"/>
      <c r="AT900" s="90"/>
      <c r="AU900" s="90"/>
      <c r="AV900" s="91"/>
      <c r="AX900" s="92"/>
    </row>
    <row r="901" customFormat="false" ht="15.65" hidden="false" customHeight="false" outlineLevel="0" collapsed="false">
      <c r="C901" s="72" t="n">
        <f aca="false">COUNTIFS($D$6:D901,"&lt;&gt;"&amp;"")</f>
        <v>896</v>
      </c>
      <c r="D901" s="73" t="s">
        <v>12</v>
      </c>
      <c r="E901" s="76" t="str">
        <f aca="false">
IF($D901="정상",INDEX(임대자산!$D$3:$R$3000,MATCH($F901,임대자산!$I$3:$I$3000,0),MATCH(E$3,임대자산!$D$3:$R$3,0)),
IF($D901="폐업",INDEX(폐업정보!$D$3:$R$3000,MATCH($F901,폐업정보!$I$3:$I$3000,0),MATCH(E$3,폐업정보!$D$3:$R$3,0)),
"Error"))</f>
        <v>경상</v>
      </c>
      <c r="F90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B0896</v>
      </c>
      <c r="G901" s="76" t="str">
        <f aca="false">F901&amp;RANDBETWEEN(0,10)</f>
        <v>B08968</v>
      </c>
      <c r="H901" s="75" t="n">
        <f aca="false">
IF($D901="정상",INDEX(임대자산!$D$3:$R$3000,MATCH($F901,임대자산!$I$3:$I$3000,0),MATCH(H$4,임대자산!$D$3:$R$3,0)),
IF($D901="폐업",INDEX(폐업정보!$D$3:$R$3000,MATCH($F901,폐업정보!$I$3:$I$3000,0),MATCH(H$4,폐업정보!$D$3:$R$3,0)),
"Error"))</f>
        <v>44616</v>
      </c>
      <c r="I901" s="75" t="str">
        <f aca="false">
IF($D901="정상",INDEX(임대자산!$D$3:$R$3000,MATCH($F901,임대자산!$I$3:$I$3000,0),MATCH(I$4,임대자산!$D$3:$R$3,0)),
IF($D901="폐업",INDEX(폐업정보!$D$3:$R$3000,MATCH($F901,폐업정보!$I$3:$I$3000,0),MATCH(I$4,폐업정보!$D$3:$R$3,0)),
"Error"))</f>
        <v>A0896</v>
      </c>
      <c r="J901" s="75" t="str">
        <f aca="false">
IF($D901="정상",INDEX(임대자산!$D$3:$R$3000,MATCH($F901,임대자산!$I$3:$I$3000,0),MATCH(J$4,임대자산!$D$3:$R$3,0)),
IF($D901="폐업",INDEX(폐업정보!$D$3:$R$3000,MATCH($F901,폐업정보!$I$3:$I$3000,0),MATCH(J$4,폐업정보!$D$3:$R$3,0)),
"Error"))</f>
        <v>7941300000</v>
      </c>
      <c r="K901" s="75" t="str">
        <f aca="false">
IF($D901="정상",INDEX(임대자산!$D$3:$R$3000,MATCH($F901,임대자산!$I$3:$I$3000,0),MATCH(K$4,임대자산!$D$3:$R$3,0)),
IF($D901="폐업",INDEX(폐업정보!$D$3:$R$3000,MATCH($F901,폐업정보!$I$3:$I$3000,0),MATCH(K$4,폐업정보!$D$3:$R$3,0)),
"Error"))</f>
        <v>C0896</v>
      </c>
      <c r="L901" s="75" t="str">
        <f aca="false">
IF($D901="정상",INDEX(임대자산!$D$3:$R$3000,MATCH($F901,임대자산!$I$3:$I$3000,0),MATCH(L$4,임대자산!$D$3:$R$3,0)),
IF($D901="폐업",INDEX(폐업정보!$D$3:$R$3000,MATCH($F901,폐업정보!$I$3:$I$3000,0),MATCH(L$4,폐업정보!$D$3:$R$3,0)),
"Error"))</f>
        <v>D0896</v>
      </c>
      <c r="M901" s="76" t="s">
        <v>96</v>
      </c>
      <c r="N901" s="77"/>
      <c r="O901" s="78" t="s">
        <v>97</v>
      </c>
      <c r="P901" s="79" t="n">
        <f aca="false">COUNTIFS(임대자산!$I:$I,가맹점정보!F901,임대자산!$N:$N,가맹점정보!P$4)</f>
        <v>0</v>
      </c>
      <c r="Q901" s="80" t="n">
        <f aca="false">COUNTIFS(임대자산!$I:$I,가맹점정보!F901,임대자산!$N:$N,가맹점정보!Q$4)</f>
        <v>0</v>
      </c>
      <c r="R901" s="81" t="n">
        <f aca="false">COUNTIFS(임대자산!$I:$I,가맹점정보!F901,임대자산!$N:$N,가맹점정보!R$4)</f>
        <v>1</v>
      </c>
      <c r="S901" s="82" t="n">
        <v>55000</v>
      </c>
      <c r="T901" s="83" t="n">
        <v>0</v>
      </c>
      <c r="U901" s="80" t="n">
        <f aca="false">SUM(S901:T901)</f>
        <v>55000</v>
      </c>
      <c r="V901" s="84" t="s">
        <v>12</v>
      </c>
      <c r="W901" s="80" t="e">
        <f aca="true">
IF(D901="폐업","폐업",
IF(V901="면제","면제",
IF(AND(V901="정상",COUNTIFS(OFFSET(Y901,0,COUNTA(Y901:AV901)-1,1,-4),"미납")&gt;=3),"장기미납",
IF(AND(V901="정상",OFFSET(Y901,0,COUNTA(Y901:AV901)-1)&gt;=U901),"정상",
IF(AND(V901="정상",OFFSET(Y901,0,COUNTA(Y901:AV901)-1)=0),"정상",
"계약서 미작성")))))</f>
        <v>#VALUE!</v>
      </c>
      <c r="X901" s="81" t="str">
        <f aca="true">
IF(D901="폐업","폐업",
IF(AND(V901="정상",OFFSET(Y901,0,COUNTA(Y901:AV901)-1)="미납"),"미납",
IF(AND(V901="정상",OFFSET(Y901,0,COUNTA(Y901:AV901)-1)=0),"납부 시작 전",
IF(AND(V901="정상",OFFSET(Y901,0,COUNTA(Y901:AV901)-1)&gt;=U901),"정상",
IF(AND(V901="면제",OFFSET(Y901,0,COUNTA(Y901:AV901)-1)="면제"),"면제",
IF(AND(V901="면제",OFFSET(Y901,0,COUNTA(Y901:AV901)-1)=0),"면제",
"확인요청"))))))</f>
        <v>정상</v>
      </c>
      <c r="Y901" s="93" t="n">
        <v>55000</v>
      </c>
      <c r="Z901" s="90" t="n">
        <v>55000</v>
      </c>
      <c r="AA901" s="90" t="n">
        <v>55000</v>
      </c>
      <c r="AB901" s="90" t="n">
        <v>55000</v>
      </c>
      <c r="AC901" s="90" t="n">
        <v>55000</v>
      </c>
      <c r="AD901" s="90" t="n">
        <v>55000</v>
      </c>
      <c r="AE901" s="90" t="n">
        <v>55000</v>
      </c>
      <c r="AF901" s="90" t="n">
        <v>55000</v>
      </c>
      <c r="AG901" s="90" t="n">
        <v>55000</v>
      </c>
      <c r="AH901" s="90" t="n">
        <v>55000</v>
      </c>
      <c r="AI901" s="90" t="n">
        <v>55000</v>
      </c>
      <c r="AJ901" s="91" t="n">
        <v>55000</v>
      </c>
      <c r="AK901" s="89" t="n">
        <v>55000</v>
      </c>
      <c r="AL901" s="90" t="n">
        <v>55000</v>
      </c>
      <c r="AM901" s="90"/>
      <c r="AN901" s="90"/>
      <c r="AO901" s="90"/>
      <c r="AP901" s="90"/>
      <c r="AQ901" s="90"/>
      <c r="AR901" s="90"/>
      <c r="AS901" s="90"/>
      <c r="AT901" s="90"/>
      <c r="AU901" s="90"/>
      <c r="AV901" s="91"/>
      <c r="AX901" s="92"/>
    </row>
    <row r="902" customFormat="false" ht="15.65" hidden="false" customHeight="false" outlineLevel="0" collapsed="false">
      <c r="C902" s="72" t="n">
        <f aca="false">COUNTIFS($D$6:D902,"&lt;&gt;"&amp;"")</f>
        <v>897</v>
      </c>
      <c r="D902" s="73" t="s">
        <v>12</v>
      </c>
      <c r="E902" s="76" t="str">
        <f aca="false">
IF($D902="정상",INDEX(임대자산!$D$3:$R$3000,MATCH($F902,임대자산!$I$3:$I$3000,0),MATCH(E$3,임대자산!$D$3:$R$3,0)),
IF($D902="폐업",INDEX(폐업정보!$D$3:$R$3000,MATCH($F902,폐업정보!$I$3:$I$3000,0),MATCH(E$3,폐업정보!$D$3:$R$3,0)),
"Error"))</f>
        <v>경상</v>
      </c>
      <c r="F90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B0897</v>
      </c>
      <c r="G902" s="76" t="str">
        <f aca="false">F902&amp;RANDBETWEEN(0,10)</f>
        <v>B08971</v>
      </c>
      <c r="H902" s="75" t="n">
        <f aca="false">
IF($D902="정상",INDEX(임대자산!$D$3:$R$3000,MATCH($F902,임대자산!$I$3:$I$3000,0),MATCH(H$4,임대자산!$D$3:$R$3,0)),
IF($D902="폐업",INDEX(폐업정보!$D$3:$R$3000,MATCH($F902,폐업정보!$I$3:$I$3000,0),MATCH(H$4,폐업정보!$D$3:$R$3,0)),
"Error"))</f>
        <v>45041</v>
      </c>
      <c r="I902" s="75" t="str">
        <f aca="false">
IF($D902="정상",INDEX(임대자산!$D$3:$R$3000,MATCH($F902,임대자산!$I$3:$I$3000,0),MATCH(I$4,임대자산!$D$3:$R$3,0)),
IF($D902="폐업",INDEX(폐업정보!$D$3:$R$3000,MATCH($F902,폐업정보!$I$3:$I$3000,0),MATCH(I$4,폐업정보!$D$3:$R$3,0)),
"Error"))</f>
        <v>A0897</v>
      </c>
      <c r="J902" s="75" t="str">
        <f aca="false">
IF($D902="정상",INDEX(임대자산!$D$3:$R$3000,MATCH($F902,임대자산!$I$3:$I$3000,0),MATCH(J$4,임대자산!$D$3:$R$3,0)),
IF($D902="폐업",INDEX(폐업정보!$D$3:$R$3000,MATCH($F902,폐업정보!$I$3:$I$3000,0),MATCH(J$4,폐업정보!$D$3:$R$3,0)),
"Error"))</f>
        <v>4117500000</v>
      </c>
      <c r="K902" s="75" t="str">
        <f aca="false">
IF($D902="정상",INDEX(임대자산!$D$3:$R$3000,MATCH($F902,임대자산!$I$3:$I$3000,0),MATCH(K$4,임대자산!$D$3:$R$3,0)),
IF($D902="폐업",INDEX(폐업정보!$D$3:$R$3000,MATCH($F902,폐업정보!$I$3:$I$3000,0),MATCH(K$4,폐업정보!$D$3:$R$3,0)),
"Error"))</f>
        <v>C0897</v>
      </c>
      <c r="L902" s="75" t="str">
        <f aca="false">
IF($D902="정상",INDEX(임대자산!$D$3:$R$3000,MATCH($F902,임대자산!$I$3:$I$3000,0),MATCH(L$4,임대자산!$D$3:$R$3,0)),
IF($D902="폐업",INDEX(폐업정보!$D$3:$R$3000,MATCH($F902,폐업정보!$I$3:$I$3000,0),MATCH(L$4,폐업정보!$D$3:$R$3,0)),
"Error"))</f>
        <v>D0897</v>
      </c>
      <c r="M902" s="76" t="s">
        <v>96</v>
      </c>
      <c r="N902" s="77"/>
      <c r="O902" s="78" t="s">
        <v>97</v>
      </c>
      <c r="P902" s="79" t="n">
        <f aca="false">COUNTIFS(임대자산!$I:$I,가맹점정보!F902,임대자산!$N:$N,가맹점정보!P$4)</f>
        <v>0</v>
      </c>
      <c r="Q902" s="80" t="n">
        <f aca="false">COUNTIFS(임대자산!$I:$I,가맹점정보!F902,임대자산!$N:$N,가맹점정보!Q$4)</f>
        <v>0</v>
      </c>
      <c r="R902" s="81" t="n">
        <f aca="false">COUNTIFS(임대자산!$I:$I,가맹점정보!F902,임대자산!$N:$N,가맹점정보!R$4)</f>
        <v>1</v>
      </c>
      <c r="S902" s="82" t="n">
        <v>44000</v>
      </c>
      <c r="T902" s="83" t="n">
        <v>44000</v>
      </c>
      <c r="U902" s="80" t="n">
        <f aca="false">SUM(S902:T902)</f>
        <v>88000</v>
      </c>
      <c r="V902" s="84" t="s">
        <v>12</v>
      </c>
      <c r="W902" s="80" t="e">
        <f aca="true">
IF(D902="폐업","폐업",
IF(V902="면제","면제",
IF(AND(V902="정상",COUNTIFS(OFFSET(Y902,0,COUNTA(Y902:AV902)-1,1,-4),"미납")&gt;=3),"장기미납",
IF(AND(V902="정상",OFFSET(Y902,0,COUNTA(Y902:AV902)-1)&gt;=U902),"정상",
IF(AND(V902="정상",OFFSET(Y902,0,COUNTA(Y902:AV902)-1)=0),"정상",
"계약서 미작성")))))</f>
        <v>#VALUE!</v>
      </c>
      <c r="X902" s="81" t="str">
        <f aca="true">
IF(D902="폐업","폐업",
IF(AND(V902="정상",OFFSET(Y902,0,COUNTA(Y902:AV902)-1)="미납"),"미납",
IF(AND(V902="정상",OFFSET(Y902,0,COUNTA(Y902:AV902)-1)=0),"납부 시작 전",
IF(AND(V902="정상",OFFSET(Y902,0,COUNTA(Y902:AV902)-1)&gt;=U902),"정상",
IF(AND(V902="면제",OFFSET(Y902,0,COUNTA(Y902:AV902)-1)="면제"),"면제",
IF(AND(V902="면제",OFFSET(Y902,0,COUNTA(Y902:AV902)-1)=0),"면제",
"확인요청"))))))</f>
        <v>정상</v>
      </c>
      <c r="Y902" s="93" t="n">
        <v>88000</v>
      </c>
      <c r="Z902" s="90" t="n">
        <v>88000</v>
      </c>
      <c r="AA902" s="90" t="n">
        <v>88000</v>
      </c>
      <c r="AB902" s="90" t="n">
        <v>88000</v>
      </c>
      <c r="AC902" s="90" t="n">
        <v>88000</v>
      </c>
      <c r="AD902" s="90" t="n">
        <v>88000</v>
      </c>
      <c r="AE902" s="90" t="n">
        <v>88000</v>
      </c>
      <c r="AF902" s="90" t="n">
        <v>88000</v>
      </c>
      <c r="AG902" s="90" t="n">
        <v>88000</v>
      </c>
      <c r="AH902" s="90" t="n">
        <v>88000</v>
      </c>
      <c r="AI902" s="90" t="n">
        <v>88000</v>
      </c>
      <c r="AJ902" s="91" t="n">
        <v>88000</v>
      </c>
      <c r="AK902" s="89" t="n">
        <v>88000</v>
      </c>
      <c r="AL902" s="90" t="n">
        <v>88000</v>
      </c>
      <c r="AM902" s="90"/>
      <c r="AN902" s="90"/>
      <c r="AO902" s="90"/>
      <c r="AP902" s="90"/>
      <c r="AQ902" s="90"/>
      <c r="AR902" s="90"/>
      <c r="AS902" s="90"/>
      <c r="AT902" s="90"/>
      <c r="AU902" s="90"/>
      <c r="AV902" s="91"/>
      <c r="AX902" s="92"/>
    </row>
    <row r="903" customFormat="false" ht="15.65" hidden="false" customHeight="false" outlineLevel="0" collapsed="false">
      <c r="C903" s="72" t="n">
        <f aca="false">COUNTIFS($D$6:D903,"&lt;&gt;"&amp;"")</f>
        <v>898</v>
      </c>
      <c r="D903" s="73" t="s">
        <v>12</v>
      </c>
      <c r="E903" s="76" t="str">
        <f aca="false">
IF($D903="정상",INDEX(임대자산!$D$3:$R$3000,MATCH($F903,임대자산!$I$3:$I$3000,0),MATCH(E$3,임대자산!$D$3:$R$3,0)),
IF($D903="폐업",INDEX(폐업정보!$D$3:$R$3000,MATCH($F903,폐업정보!$I$3:$I$3000,0),MATCH(E$3,폐업정보!$D$3:$R$3,0)),
"Error"))</f>
        <v>경상</v>
      </c>
      <c r="F90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B0898</v>
      </c>
      <c r="G903" s="76" t="str">
        <f aca="false">F903&amp;RANDBETWEEN(0,10)</f>
        <v>B08980</v>
      </c>
      <c r="H903" s="75" t="n">
        <f aca="false">
IF($D903="정상",INDEX(임대자산!$D$3:$R$3000,MATCH($F903,임대자산!$I$3:$I$3000,0),MATCH(H$4,임대자산!$D$3:$R$3,0)),
IF($D903="폐업",INDEX(폐업정보!$D$3:$R$3000,MATCH($F903,폐업정보!$I$3:$I$3000,0),MATCH(H$4,폐업정보!$D$3:$R$3,0)),
"Error"))</f>
        <v>44587</v>
      </c>
      <c r="I903" s="75" t="str">
        <f aca="false">
IF($D903="정상",INDEX(임대자산!$D$3:$R$3000,MATCH($F903,임대자산!$I$3:$I$3000,0),MATCH(I$4,임대자산!$D$3:$R$3,0)),
IF($D903="폐업",INDEX(폐업정보!$D$3:$R$3000,MATCH($F903,폐업정보!$I$3:$I$3000,0),MATCH(I$4,폐업정보!$D$3:$R$3,0)),
"Error"))</f>
        <v>A0898</v>
      </c>
      <c r="J903" s="75" t="str">
        <f aca="false">
IF($D903="정상",INDEX(임대자산!$D$3:$R$3000,MATCH($F903,임대자산!$I$3:$I$3000,0),MATCH(J$4,임대자산!$D$3:$R$3,0)),
IF($D903="폐업",INDEX(폐업정보!$D$3:$R$3000,MATCH($F903,폐업정보!$I$3:$I$3000,0),MATCH(J$4,폐업정보!$D$3:$R$3,0)),
"Error"))</f>
        <v>6568800000</v>
      </c>
      <c r="K903" s="75" t="str">
        <f aca="false">
IF($D903="정상",INDEX(임대자산!$D$3:$R$3000,MATCH($F903,임대자산!$I$3:$I$3000,0),MATCH(K$4,임대자산!$D$3:$R$3,0)),
IF($D903="폐업",INDEX(폐업정보!$D$3:$R$3000,MATCH($F903,폐업정보!$I$3:$I$3000,0),MATCH(K$4,폐업정보!$D$3:$R$3,0)),
"Error"))</f>
        <v>C0898</v>
      </c>
      <c r="L903" s="75" t="str">
        <f aca="false">
IF($D903="정상",INDEX(임대자산!$D$3:$R$3000,MATCH($F903,임대자산!$I$3:$I$3000,0),MATCH(L$4,임대자산!$D$3:$R$3,0)),
IF($D903="폐업",INDEX(폐업정보!$D$3:$R$3000,MATCH($F903,폐업정보!$I$3:$I$3000,0),MATCH(L$4,폐업정보!$D$3:$R$3,0)),
"Error"))</f>
        <v>D0898</v>
      </c>
      <c r="M903" s="76" t="s">
        <v>96</v>
      </c>
      <c r="N903" s="77"/>
      <c r="O903" s="78" t="s">
        <v>97</v>
      </c>
      <c r="P903" s="79" t="n">
        <f aca="false">COUNTIFS(임대자산!$I:$I,가맹점정보!F903,임대자산!$N:$N,가맹점정보!P$4)</f>
        <v>0</v>
      </c>
      <c r="Q903" s="80" t="n">
        <f aca="false">COUNTIFS(임대자산!$I:$I,가맹점정보!F903,임대자산!$N:$N,가맹점정보!Q$4)</f>
        <v>0</v>
      </c>
      <c r="R903" s="81" t="n">
        <f aca="false">COUNTIFS(임대자산!$I:$I,가맹점정보!F903,임대자산!$N:$N,가맹점정보!R$4)</f>
        <v>1</v>
      </c>
      <c r="S903" s="82" t="n">
        <v>88000</v>
      </c>
      <c r="T903" s="83" t="n">
        <v>0</v>
      </c>
      <c r="U903" s="80" t="n">
        <f aca="false">SUM(S903:T903)</f>
        <v>88000</v>
      </c>
      <c r="V903" s="84" t="s">
        <v>12</v>
      </c>
      <c r="W903" s="80" t="e">
        <f aca="true">
IF(D903="폐업","폐업",
IF(V903="면제","면제",
IF(AND(V903="정상",COUNTIFS(OFFSET(Y903,0,COUNTA(Y903:AV903)-1,1,-4),"미납")&gt;=3),"장기미납",
IF(AND(V903="정상",OFFSET(Y903,0,COUNTA(Y903:AV903)-1)&gt;=U903),"정상",
IF(AND(V903="정상",OFFSET(Y903,0,COUNTA(Y903:AV903)-1)=0),"정상",
"계약서 미작성")))))</f>
        <v>#VALUE!</v>
      </c>
      <c r="X903" s="81" t="str">
        <f aca="true">
IF(D903="폐업","폐업",
IF(AND(V903="정상",OFFSET(Y903,0,COUNTA(Y903:AV903)-1)="미납"),"미납",
IF(AND(V903="정상",OFFSET(Y903,0,COUNTA(Y903:AV903)-1)=0),"납부 시작 전",
IF(AND(V903="정상",OFFSET(Y903,0,COUNTA(Y903:AV903)-1)&gt;=U903),"정상",
IF(AND(V903="면제",OFFSET(Y903,0,COUNTA(Y903:AV903)-1)="면제"),"면제",
IF(AND(V903="면제",OFFSET(Y903,0,COUNTA(Y903:AV903)-1)=0),"면제",
"확인요청"))))))</f>
        <v>정상</v>
      </c>
      <c r="Y903" s="93" t="n">
        <v>88000</v>
      </c>
      <c r="Z903" s="90" t="n">
        <v>88000</v>
      </c>
      <c r="AA903" s="90" t="n">
        <v>88000</v>
      </c>
      <c r="AB903" s="90" t="n">
        <v>88000</v>
      </c>
      <c r="AC903" s="90" t="n">
        <v>88000</v>
      </c>
      <c r="AD903" s="90" t="n">
        <v>88000</v>
      </c>
      <c r="AE903" s="90" t="n">
        <v>88000</v>
      </c>
      <c r="AF903" s="90" t="n">
        <v>88000</v>
      </c>
      <c r="AG903" s="90" t="n">
        <v>88000</v>
      </c>
      <c r="AH903" s="90" t="n">
        <v>88000</v>
      </c>
      <c r="AI903" s="90" t="n">
        <v>88000</v>
      </c>
      <c r="AJ903" s="91" t="n">
        <v>88000</v>
      </c>
      <c r="AK903" s="89" t="n">
        <v>88000</v>
      </c>
      <c r="AL903" s="90" t="n">
        <v>88000</v>
      </c>
      <c r="AM903" s="90"/>
      <c r="AN903" s="90"/>
      <c r="AO903" s="90"/>
      <c r="AP903" s="90"/>
      <c r="AQ903" s="90"/>
      <c r="AR903" s="90"/>
      <c r="AS903" s="90"/>
      <c r="AT903" s="90"/>
      <c r="AU903" s="90"/>
      <c r="AV903" s="91"/>
      <c r="AX903" s="92"/>
    </row>
    <row r="904" customFormat="false" ht="15.65" hidden="false" customHeight="false" outlineLevel="0" collapsed="false">
      <c r="C904" s="72" t="n">
        <f aca="false">COUNTIFS($D$6:D904,"&lt;&gt;"&amp;"")</f>
        <v>899</v>
      </c>
      <c r="D904" s="73" t="s">
        <v>12</v>
      </c>
      <c r="E904" s="76" t="str">
        <f aca="false">
IF($D904="정상",INDEX(임대자산!$D$3:$R$3000,MATCH($F904,임대자산!$I$3:$I$3000,0),MATCH(E$3,임대자산!$D$3:$R$3,0)),
IF($D904="폐업",INDEX(폐업정보!$D$3:$R$3000,MATCH($F904,폐업정보!$I$3:$I$3000,0),MATCH(E$3,폐업정보!$D$3:$R$3,0)),
"Error"))</f>
        <v>서울</v>
      </c>
      <c r="F90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B0899</v>
      </c>
      <c r="G904" s="76" t="str">
        <f aca="false">F904&amp;RANDBETWEEN(0,10)</f>
        <v>B08991</v>
      </c>
      <c r="H904" s="75" t="n">
        <f aca="false">
IF($D904="정상",INDEX(임대자산!$D$3:$R$3000,MATCH($F904,임대자산!$I$3:$I$3000,0),MATCH(H$4,임대자산!$D$3:$R$3,0)),
IF($D904="폐업",INDEX(폐업정보!$D$3:$R$3000,MATCH($F904,폐업정보!$I$3:$I$3000,0),MATCH(H$4,폐업정보!$D$3:$R$3,0)),
"Error"))</f>
        <v>45805</v>
      </c>
      <c r="I904" s="75" t="str">
        <f aca="false">
IF($D904="정상",INDEX(임대자산!$D$3:$R$3000,MATCH($F904,임대자산!$I$3:$I$3000,0),MATCH(I$4,임대자산!$D$3:$R$3,0)),
IF($D904="폐업",INDEX(폐업정보!$D$3:$R$3000,MATCH($F904,폐업정보!$I$3:$I$3000,0),MATCH(I$4,폐업정보!$D$3:$R$3,0)),
"Error"))</f>
        <v>A0899</v>
      </c>
      <c r="J904" s="75" t="str">
        <f aca="false">
IF($D904="정상",INDEX(임대자산!$D$3:$R$3000,MATCH($F904,임대자산!$I$3:$I$3000,0),MATCH(J$4,임대자산!$D$3:$R$3,0)),
IF($D904="폐업",INDEX(폐업정보!$D$3:$R$3000,MATCH($F904,폐업정보!$I$3:$I$3000,0),MATCH(J$4,폐업정보!$D$3:$R$3,0)),
"Error"))</f>
        <v>8423600000</v>
      </c>
      <c r="K904" s="75" t="str">
        <f aca="false">
IF($D904="정상",INDEX(임대자산!$D$3:$R$3000,MATCH($F904,임대자산!$I$3:$I$3000,0),MATCH(K$4,임대자산!$D$3:$R$3,0)),
IF($D904="폐업",INDEX(폐업정보!$D$3:$R$3000,MATCH($F904,폐업정보!$I$3:$I$3000,0),MATCH(K$4,폐업정보!$D$3:$R$3,0)),
"Error"))</f>
        <v>C0899</v>
      </c>
      <c r="L904" s="75" t="str">
        <f aca="false">
IF($D904="정상",INDEX(임대자산!$D$3:$R$3000,MATCH($F904,임대자산!$I$3:$I$3000,0),MATCH(L$4,임대자산!$D$3:$R$3,0)),
IF($D904="폐업",INDEX(폐업정보!$D$3:$R$3000,MATCH($F904,폐업정보!$I$3:$I$3000,0),MATCH(L$4,폐업정보!$D$3:$R$3,0)),
"Error"))</f>
        <v>D0899</v>
      </c>
      <c r="M904" s="76" t="s">
        <v>96</v>
      </c>
      <c r="N904" s="77"/>
      <c r="O904" s="78" t="s">
        <v>97</v>
      </c>
      <c r="P904" s="79" t="n">
        <f aca="false">COUNTIFS(임대자산!$I:$I,가맹점정보!F904,임대자산!$N:$N,가맹점정보!P$4)</f>
        <v>0</v>
      </c>
      <c r="Q904" s="80" t="n">
        <f aca="false">COUNTIFS(임대자산!$I:$I,가맹점정보!F904,임대자산!$N:$N,가맹점정보!Q$4)</f>
        <v>0</v>
      </c>
      <c r="R904" s="81" t="n">
        <f aca="false">COUNTIFS(임대자산!$I:$I,가맹점정보!F904,임대자산!$N:$N,가맹점정보!R$4)</f>
        <v>1</v>
      </c>
      <c r="S904" s="82" t="n">
        <v>55000</v>
      </c>
      <c r="T904" s="83" t="n">
        <v>0</v>
      </c>
      <c r="U904" s="80" t="n">
        <f aca="false">SUM(S904:T904)</f>
        <v>55000</v>
      </c>
      <c r="V904" s="84" t="s">
        <v>12</v>
      </c>
      <c r="W904" s="80" t="e">
        <f aca="true">
IF(D904="폐업","폐업",
IF(V904="면제","면제",
IF(AND(V904="정상",COUNTIFS(OFFSET(Y904,0,COUNTA(Y904:AV904)-1,1,-4),"미납")&gt;=3),"장기미납",
IF(AND(V904="정상",OFFSET(Y904,0,COUNTA(Y904:AV904)-1)&gt;=U904),"정상",
IF(AND(V904="정상",OFFSET(Y904,0,COUNTA(Y904:AV904)-1)=0),"정상",
"계약서 미작성")))))</f>
        <v>#VALUE!</v>
      </c>
      <c r="X904" s="81" t="str">
        <f aca="true">
IF(D904="폐업","폐업",
IF(AND(V904="정상",OFFSET(Y904,0,COUNTA(Y904:AV904)-1)="미납"),"미납",
IF(AND(V904="정상",OFFSET(Y904,0,COUNTA(Y904:AV904)-1)=0),"납부 시작 전",
IF(AND(V904="정상",OFFSET(Y904,0,COUNTA(Y904:AV904)-1)&gt;=U904),"정상",
IF(AND(V904="면제",OFFSET(Y904,0,COUNTA(Y904:AV904)-1)="면제"),"면제",
IF(AND(V904="면제",OFFSET(Y904,0,COUNTA(Y904:AV904)-1)=0),"면제",
"확인요청"))))))</f>
        <v>정상</v>
      </c>
      <c r="Y904" s="93" t="n">
        <v>55000</v>
      </c>
      <c r="Z904" s="90" t="n">
        <v>55000</v>
      </c>
      <c r="AA904" s="90" t="n">
        <v>55000</v>
      </c>
      <c r="AB904" s="90" t="n">
        <v>55000</v>
      </c>
      <c r="AC904" s="90" t="n">
        <v>55000</v>
      </c>
      <c r="AD904" s="90" t="n">
        <v>55000</v>
      </c>
      <c r="AE904" s="90" t="n">
        <v>55000</v>
      </c>
      <c r="AF904" s="90" t="n">
        <v>55000</v>
      </c>
      <c r="AG904" s="90" t="n">
        <v>55000</v>
      </c>
      <c r="AH904" s="90" t="n">
        <v>55000</v>
      </c>
      <c r="AI904" s="90" t="n">
        <v>55000</v>
      </c>
      <c r="AJ904" s="91" t="n">
        <v>55000</v>
      </c>
      <c r="AK904" s="89" t="n">
        <v>55000</v>
      </c>
      <c r="AL904" s="90" t="n">
        <v>55000</v>
      </c>
      <c r="AM904" s="90"/>
      <c r="AN904" s="90"/>
      <c r="AO904" s="90"/>
      <c r="AP904" s="90"/>
      <c r="AQ904" s="90"/>
      <c r="AR904" s="90"/>
      <c r="AS904" s="90"/>
      <c r="AT904" s="90"/>
      <c r="AU904" s="90"/>
      <c r="AV904" s="91"/>
      <c r="AX904" s="92"/>
    </row>
    <row r="905" customFormat="false" ht="15.65" hidden="false" customHeight="false" outlineLevel="0" collapsed="false">
      <c r="C905" s="72" t="n">
        <f aca="false">COUNTIFS($D$6:D905,"&lt;&gt;"&amp;"")</f>
        <v>900</v>
      </c>
      <c r="D905" s="73" t="s">
        <v>12</v>
      </c>
      <c r="E905" s="76" t="str">
        <f aca="false">
IF($D905="정상",INDEX(임대자산!$D$3:$R$3000,MATCH($F905,임대자산!$I$3:$I$3000,0),MATCH(E$3,임대자산!$D$3:$R$3,0)),
IF($D905="폐업",INDEX(폐업정보!$D$3:$R$3000,MATCH($F905,폐업정보!$I$3:$I$3000,0),MATCH(E$3,폐업정보!$D$3:$R$3,0)),
"Error"))</f>
        <v>서울</v>
      </c>
      <c r="F90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B0900</v>
      </c>
      <c r="G905" s="76" t="str">
        <f aca="false">F905&amp;RANDBETWEEN(0,10)</f>
        <v>B09004</v>
      </c>
      <c r="H905" s="75" t="n">
        <f aca="false">
IF($D905="정상",INDEX(임대자산!$D$3:$R$3000,MATCH($F905,임대자산!$I$3:$I$3000,0),MATCH(H$4,임대자산!$D$3:$R$3,0)),
IF($D905="폐업",INDEX(폐업정보!$D$3:$R$3000,MATCH($F905,폐업정보!$I$3:$I$3000,0),MATCH(H$4,폐업정보!$D$3:$R$3,0)),
"Error"))</f>
        <v>45384</v>
      </c>
      <c r="I905" s="75" t="str">
        <f aca="false">
IF($D905="정상",INDEX(임대자산!$D$3:$R$3000,MATCH($F905,임대자산!$I$3:$I$3000,0),MATCH(I$4,임대자산!$D$3:$R$3,0)),
IF($D905="폐업",INDEX(폐업정보!$D$3:$R$3000,MATCH($F905,폐업정보!$I$3:$I$3000,0),MATCH(I$4,폐업정보!$D$3:$R$3,0)),
"Error"))</f>
        <v>A0900</v>
      </c>
      <c r="J905" s="75" t="str">
        <f aca="false">
IF($D905="정상",INDEX(임대자산!$D$3:$R$3000,MATCH($F905,임대자산!$I$3:$I$3000,0),MATCH(J$4,임대자산!$D$3:$R$3,0)),
IF($D905="폐업",INDEX(폐업정보!$D$3:$R$3000,MATCH($F905,폐업정보!$I$3:$I$3000,0),MATCH(J$4,폐업정보!$D$3:$R$3,0)),
"Error"))</f>
        <v>1875400000</v>
      </c>
      <c r="K905" s="75" t="str">
        <f aca="false">
IF($D905="정상",INDEX(임대자산!$D$3:$R$3000,MATCH($F905,임대자산!$I$3:$I$3000,0),MATCH(K$4,임대자산!$D$3:$R$3,0)),
IF($D905="폐업",INDEX(폐업정보!$D$3:$R$3000,MATCH($F905,폐업정보!$I$3:$I$3000,0),MATCH(K$4,폐업정보!$D$3:$R$3,0)),
"Error"))</f>
        <v>C0900</v>
      </c>
      <c r="L905" s="75" t="str">
        <f aca="false">
IF($D905="정상",INDEX(임대자산!$D$3:$R$3000,MATCH($F905,임대자산!$I$3:$I$3000,0),MATCH(L$4,임대자산!$D$3:$R$3,0)),
IF($D905="폐업",INDEX(폐업정보!$D$3:$R$3000,MATCH($F905,폐업정보!$I$3:$I$3000,0),MATCH(L$4,폐업정보!$D$3:$R$3,0)),
"Error"))</f>
        <v>D0900</v>
      </c>
      <c r="M905" s="76" t="s">
        <v>96</v>
      </c>
      <c r="N905" s="77"/>
      <c r="O905" s="78" t="s">
        <v>97</v>
      </c>
      <c r="P905" s="79" t="n">
        <f aca="false">COUNTIFS(임대자산!$I:$I,가맹점정보!F905,임대자산!$N:$N,가맹점정보!P$4)</f>
        <v>0</v>
      </c>
      <c r="Q905" s="80" t="n">
        <f aca="false">COUNTIFS(임대자산!$I:$I,가맹점정보!F905,임대자산!$N:$N,가맹점정보!Q$4)</f>
        <v>0</v>
      </c>
      <c r="R905" s="81" t="n">
        <f aca="false">COUNTIFS(임대자산!$I:$I,가맹점정보!F905,임대자산!$N:$N,가맹점정보!R$4)</f>
        <v>1</v>
      </c>
      <c r="S905" s="82" t="n">
        <v>55000</v>
      </c>
      <c r="T905" s="83" t="n">
        <v>0</v>
      </c>
      <c r="U905" s="80" t="n">
        <f aca="false">SUM(S905:T905)</f>
        <v>55000</v>
      </c>
      <c r="V905" s="84" t="s">
        <v>12</v>
      </c>
      <c r="W905" s="80" t="e">
        <f aca="true">
IF(D905="폐업","폐업",
IF(V905="면제","면제",
IF(AND(V905="정상",COUNTIFS(OFFSET(Y905,0,COUNTA(Y905:AV905)-1,1,-4),"미납")&gt;=3),"장기미납",
IF(AND(V905="정상",OFFSET(Y905,0,COUNTA(Y905:AV905)-1)&gt;=U905),"정상",
IF(AND(V905="정상",OFFSET(Y905,0,COUNTA(Y905:AV905)-1)=0),"정상",
"계약서 미작성")))))</f>
        <v>#VALUE!</v>
      </c>
      <c r="X905" s="81" t="str">
        <f aca="true">
IF(D905="폐업","폐업",
IF(AND(V905="정상",OFFSET(Y905,0,COUNTA(Y905:AV905)-1)="미납"),"미납",
IF(AND(V905="정상",OFFSET(Y905,0,COUNTA(Y905:AV905)-1)=0),"납부 시작 전",
IF(AND(V905="정상",OFFSET(Y905,0,COUNTA(Y905:AV905)-1)&gt;=U905),"정상",
IF(AND(V905="면제",OFFSET(Y905,0,COUNTA(Y905:AV905)-1)="면제"),"면제",
IF(AND(V905="면제",OFFSET(Y905,0,COUNTA(Y905:AV905)-1)=0),"면제",
"확인요청"))))))</f>
        <v>정상</v>
      </c>
      <c r="Y905" s="93" t="n">
        <v>55000</v>
      </c>
      <c r="Z905" s="90" t="n">
        <v>55000</v>
      </c>
      <c r="AA905" s="90" t="n">
        <v>55000</v>
      </c>
      <c r="AB905" s="90" t="n">
        <v>55000</v>
      </c>
      <c r="AC905" s="90" t="n">
        <v>55000</v>
      </c>
      <c r="AD905" s="90" t="n">
        <v>55000</v>
      </c>
      <c r="AE905" s="90" t="n">
        <v>55000</v>
      </c>
      <c r="AF905" s="90" t="n">
        <v>55000</v>
      </c>
      <c r="AG905" s="90" t="n">
        <v>55000</v>
      </c>
      <c r="AH905" s="90" t="n">
        <v>55000</v>
      </c>
      <c r="AI905" s="90" t="n">
        <v>55000</v>
      </c>
      <c r="AJ905" s="91" t="n">
        <v>55000</v>
      </c>
      <c r="AK905" s="89" t="n">
        <v>55000</v>
      </c>
      <c r="AL905" s="90" t="n">
        <v>55000</v>
      </c>
      <c r="AM905" s="90"/>
      <c r="AN905" s="90"/>
      <c r="AO905" s="90"/>
      <c r="AP905" s="90"/>
      <c r="AQ905" s="90"/>
      <c r="AR905" s="90"/>
      <c r="AS905" s="90"/>
      <c r="AT905" s="90"/>
      <c r="AU905" s="90"/>
      <c r="AV905" s="91"/>
      <c r="AX905" s="92"/>
    </row>
    <row r="906" customFormat="false" ht="15.65" hidden="false" customHeight="false" outlineLevel="0" collapsed="false">
      <c r="C906" s="72" t="n">
        <f aca="false">COUNTIFS($D$6:D906,"&lt;&gt;"&amp;"")</f>
        <v>901</v>
      </c>
      <c r="D906" s="73" t="s">
        <v>5</v>
      </c>
      <c r="E906" s="76" t="str">
        <f aca="false">
IF($D906="정상",INDEX(임대자산!$D$3:$R$3000,MATCH($F906,임대자산!$I$3:$I$3000,0),MATCH(E$3,임대자산!$D$3:$R$3,0)),
IF($D906="폐업",INDEX(폐업정보!$D$3:$R$3000,MATCH($F906,폐업정보!$I$3:$I$3000,0),MATCH(E$3,폐업정보!$D$3:$R$3,0)),
"Error"))</f>
        <v>서울</v>
      </c>
      <c r="F90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B0901</v>
      </c>
      <c r="G906" s="76" t="str">
        <f aca="false">F906&amp;RANDBETWEEN(0,10)</f>
        <v>B09012</v>
      </c>
      <c r="H906" s="75" t="n">
        <f aca="false">
IF($D906="정상",INDEX(임대자산!$D$3:$R$3000,MATCH($F906,임대자산!$I$3:$I$3000,0),MATCH(H$4,임대자산!$D$3:$R$3,0)),
IF($D906="폐업",INDEX(폐업정보!$D$3:$R$3000,MATCH($F906,폐업정보!$I$3:$I$3000,0),MATCH(H$4,폐업정보!$D$3:$R$3,0)),
"Error"))</f>
        <v>45384</v>
      </c>
      <c r="I906" s="75" t="str">
        <f aca="false">
IF($D906="정상",INDEX(임대자산!$D$3:$R$3000,MATCH($F906,임대자산!$I$3:$I$3000,0),MATCH(I$4,임대자산!$D$3:$R$3,0)),
IF($D906="폐업",INDEX(폐업정보!$D$3:$R$3000,MATCH($F906,폐업정보!$I$3:$I$3000,0),MATCH(I$4,폐업정보!$D$3:$R$3,0)),
"Error"))</f>
        <v>A0901</v>
      </c>
      <c r="J906" s="75" t="str">
        <f aca="false">
IF($D906="정상",INDEX(임대자산!$D$3:$R$3000,MATCH($F906,임대자산!$I$3:$I$3000,0),MATCH(J$4,임대자산!$D$3:$R$3,0)),
IF($D906="폐업",INDEX(폐업정보!$D$3:$R$3000,MATCH($F906,폐업정보!$I$3:$I$3000,0),MATCH(J$4,폐업정보!$D$3:$R$3,0)),
"Error"))</f>
        <v>6376400000</v>
      </c>
      <c r="K906" s="75" t="str">
        <f aca="false">
IF($D906="정상",INDEX(임대자산!$D$3:$R$3000,MATCH($F906,임대자산!$I$3:$I$3000,0),MATCH(K$4,임대자산!$D$3:$R$3,0)),
IF($D906="폐업",INDEX(폐업정보!$D$3:$R$3000,MATCH($F906,폐업정보!$I$3:$I$3000,0),MATCH(K$4,폐업정보!$D$3:$R$3,0)),
"Error"))</f>
        <v>C0901</v>
      </c>
      <c r="L906" s="75" t="str">
        <f aca="false">
IF($D906="정상",INDEX(임대자산!$D$3:$R$3000,MATCH($F906,임대자산!$I$3:$I$3000,0),MATCH(L$4,임대자산!$D$3:$R$3,0)),
IF($D906="폐업",INDEX(폐업정보!$D$3:$R$3000,MATCH($F906,폐업정보!$I$3:$I$3000,0),MATCH(L$4,폐업정보!$D$3:$R$3,0)),
"Error"))</f>
        <v>D0901</v>
      </c>
      <c r="M906" s="76" t="s">
        <v>96</v>
      </c>
      <c r="N906" s="77"/>
      <c r="O906" s="78" t="s">
        <v>97</v>
      </c>
      <c r="P906" s="79" t="n">
        <f aca="false">COUNTIFS(임대자산!$I:$I,가맹점정보!F906,임대자산!$N:$N,가맹점정보!P$4)</f>
        <v>0</v>
      </c>
      <c r="Q906" s="80" t="n">
        <f aca="false">COUNTIFS(임대자산!$I:$I,가맹점정보!F906,임대자산!$N:$N,가맹점정보!Q$4)</f>
        <v>0</v>
      </c>
      <c r="R906" s="81" t="n">
        <f aca="false">COUNTIFS(임대자산!$I:$I,가맹점정보!F906,임대자산!$N:$N,가맹점정보!R$4)</f>
        <v>0</v>
      </c>
      <c r="S906" s="82" t="n">
        <v>88000</v>
      </c>
      <c r="T906" s="83" t="n">
        <v>0</v>
      </c>
      <c r="U906" s="80" t="n">
        <f aca="false">SUM(S906:T906)</f>
        <v>88000</v>
      </c>
      <c r="V906" s="84" t="s">
        <v>12</v>
      </c>
      <c r="W906" s="80" t="str">
        <f aca="true">
IF(D906="폐업","폐업",
IF(V906="면제","면제",
IF(AND(V906="정상",COUNTIFS(OFFSET(Y906,0,COUNTA(Y906:AV906)-1,1,-4),"미납")&gt;=3),"장기미납",
IF(AND(V906="정상",OFFSET(Y906,0,COUNTA(Y906:AV906)-1)&gt;=U906),"정상",
IF(AND(V906="정상",OFFSET(Y906,0,COUNTA(Y906:AV906)-1)=0),"정상",
"계약서 미작성")))))</f>
        <v>폐업</v>
      </c>
      <c r="X906" s="81" t="str">
        <f aca="true">
IF(D906="폐업","폐업",
IF(AND(V906="정상",OFFSET(Y906,0,COUNTA(Y906:AV906)-1)="미납"),"미납",
IF(AND(V906="정상",OFFSET(Y906,0,COUNTA(Y906:AV906)-1)=0),"납부 시작 전",
IF(AND(V906="정상",OFFSET(Y906,0,COUNTA(Y906:AV906)-1)&gt;=U906),"정상",
IF(AND(V906="면제",OFFSET(Y906,0,COUNTA(Y906:AV906)-1)="면제"),"면제",
IF(AND(V906="면제",OFFSET(Y906,0,COUNTA(Y906:AV906)-1)=0),"면제",
"확인요청"))))))</f>
        <v>폐업</v>
      </c>
      <c r="Y906" s="93" t="s">
        <v>99</v>
      </c>
      <c r="Z906" s="90" t="n">
        <v>176000</v>
      </c>
      <c r="AA906" s="90" t="n">
        <v>88000</v>
      </c>
      <c r="AB906" s="90" t="n">
        <v>88000</v>
      </c>
      <c r="AC906" s="90" t="n">
        <v>88000</v>
      </c>
      <c r="AD906" s="90" t="n">
        <v>88000</v>
      </c>
      <c r="AE906" s="90" t="n">
        <v>88000</v>
      </c>
      <c r="AF906" s="90" t="n">
        <v>88000</v>
      </c>
      <c r="AG906" s="90" t="n">
        <v>88000</v>
      </c>
      <c r="AH906" s="90" t="n">
        <v>88000</v>
      </c>
      <c r="AI906" s="90" t="n">
        <v>88000</v>
      </c>
      <c r="AJ906" s="91" t="n">
        <v>88000</v>
      </c>
      <c r="AK906" s="89" t="n">
        <v>88000</v>
      </c>
      <c r="AL906" s="90" t="n">
        <v>88000</v>
      </c>
      <c r="AM906" s="90"/>
      <c r="AN906" s="90"/>
      <c r="AO906" s="90"/>
      <c r="AP906" s="90"/>
      <c r="AQ906" s="90"/>
      <c r="AR906" s="90"/>
      <c r="AS906" s="90"/>
      <c r="AT906" s="90"/>
      <c r="AU906" s="90"/>
      <c r="AV906" s="91"/>
      <c r="AX906" s="92"/>
    </row>
    <row r="907" customFormat="false" ht="15.65" hidden="false" customHeight="false" outlineLevel="0" collapsed="false">
      <c r="C907" s="72" t="n">
        <f aca="false">COUNTIFS($D$6:D907,"&lt;&gt;"&amp;"")</f>
        <v>902</v>
      </c>
      <c r="D907" s="73" t="s">
        <v>12</v>
      </c>
      <c r="E907" s="76" t="str">
        <f aca="false">
IF($D907="정상",INDEX(임대자산!$D$3:$R$3000,MATCH($F907,임대자산!$I$3:$I$3000,0),MATCH(E$3,임대자산!$D$3:$R$3,0)),
IF($D907="폐업",INDEX(폐업정보!$D$3:$R$3000,MATCH($F907,폐업정보!$I$3:$I$3000,0),MATCH(E$3,폐업정보!$D$3:$R$3,0)),
"Error"))</f>
        <v>전라</v>
      </c>
      <c r="F90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B0902</v>
      </c>
      <c r="G907" s="76" t="str">
        <f aca="false">F907&amp;RANDBETWEEN(0,10)</f>
        <v>B09028</v>
      </c>
      <c r="H907" s="75" t="n">
        <f aca="false">
IF($D907="정상",INDEX(임대자산!$D$3:$R$3000,MATCH($F907,임대자산!$I$3:$I$3000,0),MATCH(H$4,임대자산!$D$3:$R$3,0)),
IF($D907="폐업",INDEX(폐업정보!$D$3:$R$3000,MATCH($F907,폐업정보!$I$3:$I$3000,0),MATCH(H$4,폐업정보!$D$3:$R$3,0)),
"Error"))</f>
        <v>45603</v>
      </c>
      <c r="I907" s="75" t="str">
        <f aca="false">
IF($D907="정상",INDEX(임대자산!$D$3:$R$3000,MATCH($F907,임대자산!$I$3:$I$3000,0),MATCH(I$4,임대자산!$D$3:$R$3,0)),
IF($D907="폐업",INDEX(폐업정보!$D$3:$R$3000,MATCH($F907,폐업정보!$I$3:$I$3000,0),MATCH(I$4,폐업정보!$D$3:$R$3,0)),
"Error"))</f>
        <v>A0902</v>
      </c>
      <c r="J907" s="75" t="str">
        <f aca="false">
IF($D907="정상",INDEX(임대자산!$D$3:$R$3000,MATCH($F907,임대자산!$I$3:$I$3000,0),MATCH(J$4,임대자산!$D$3:$R$3,0)),
IF($D907="폐업",INDEX(폐업정보!$D$3:$R$3000,MATCH($F907,폐업정보!$I$3:$I$3000,0),MATCH(J$4,폐업정보!$D$3:$R$3,0)),
"Error"))</f>
        <v>1277200000</v>
      </c>
      <c r="K907" s="75" t="str">
        <f aca="false">
IF($D907="정상",INDEX(임대자산!$D$3:$R$3000,MATCH($F907,임대자산!$I$3:$I$3000,0),MATCH(K$4,임대자산!$D$3:$R$3,0)),
IF($D907="폐업",INDEX(폐업정보!$D$3:$R$3000,MATCH($F907,폐업정보!$I$3:$I$3000,0),MATCH(K$4,폐업정보!$D$3:$R$3,0)),
"Error"))</f>
        <v>C0902</v>
      </c>
      <c r="L907" s="75" t="str">
        <f aca="false">
IF($D907="정상",INDEX(임대자산!$D$3:$R$3000,MATCH($F907,임대자산!$I$3:$I$3000,0),MATCH(L$4,임대자산!$D$3:$R$3,0)),
IF($D907="폐업",INDEX(폐업정보!$D$3:$R$3000,MATCH($F907,폐업정보!$I$3:$I$3000,0),MATCH(L$4,폐업정보!$D$3:$R$3,0)),
"Error"))</f>
        <v>D0902</v>
      </c>
      <c r="M907" s="76" t="s">
        <v>96</v>
      </c>
      <c r="N907" s="77"/>
      <c r="O907" s="78" t="s">
        <v>97</v>
      </c>
      <c r="P907" s="79" t="n">
        <f aca="false">COUNTIFS(임대자산!$I:$I,가맹점정보!F907,임대자산!$N:$N,가맹점정보!P$4)</f>
        <v>0</v>
      </c>
      <c r="Q907" s="80" t="n">
        <f aca="false">COUNTIFS(임대자산!$I:$I,가맹점정보!F907,임대자산!$N:$N,가맹점정보!Q$4)</f>
        <v>0</v>
      </c>
      <c r="R907" s="81" t="n">
        <f aca="false">COUNTIFS(임대자산!$I:$I,가맹점정보!F907,임대자산!$N:$N,가맹점정보!R$4)</f>
        <v>1</v>
      </c>
      <c r="S907" s="82" t="n">
        <v>55000</v>
      </c>
      <c r="T907" s="83" t="n">
        <v>0</v>
      </c>
      <c r="U907" s="80" t="n">
        <f aca="false">SUM(S907:T907)</f>
        <v>55000</v>
      </c>
      <c r="V907" s="84" t="s">
        <v>12</v>
      </c>
      <c r="W907" s="80" t="e">
        <f aca="true">
IF(D907="폐업","폐업",
IF(V907="면제","면제",
IF(AND(V907="정상",COUNTIFS(OFFSET(Y907,0,COUNTA(Y907:AV907)-1,1,-4),"미납")&gt;=3),"장기미납",
IF(AND(V907="정상",OFFSET(Y907,0,COUNTA(Y907:AV907)-1)&gt;=U907),"정상",
IF(AND(V907="정상",OFFSET(Y907,0,COUNTA(Y907:AV907)-1)=0),"정상",
"계약서 미작성")))))</f>
        <v>#VALUE!</v>
      </c>
      <c r="X907" s="81" t="str">
        <f aca="true">
IF(D907="폐업","폐업",
IF(AND(V907="정상",OFFSET(Y907,0,COUNTA(Y907:AV907)-1)="미납"),"미납",
IF(AND(V907="정상",OFFSET(Y907,0,COUNTA(Y907:AV907)-1)=0),"납부 시작 전",
IF(AND(V907="정상",OFFSET(Y907,0,COUNTA(Y907:AV907)-1)&gt;=U907),"정상",
IF(AND(V907="면제",OFFSET(Y907,0,COUNTA(Y907:AV907)-1)="면제"),"면제",
IF(AND(V907="면제",OFFSET(Y907,0,COUNTA(Y907:AV907)-1)=0),"면제",
"확인요청"))))))</f>
        <v>정상</v>
      </c>
      <c r="Y907" s="93" t="n">
        <v>55000</v>
      </c>
      <c r="Z907" s="90" t="n">
        <v>55000</v>
      </c>
      <c r="AA907" s="90" t="n">
        <v>55000</v>
      </c>
      <c r="AB907" s="90" t="n">
        <v>55000</v>
      </c>
      <c r="AC907" s="90" t="n">
        <v>55000</v>
      </c>
      <c r="AD907" s="90" t="n">
        <v>55000</v>
      </c>
      <c r="AE907" s="90" t="n">
        <v>55000</v>
      </c>
      <c r="AF907" s="90" t="n">
        <v>55000</v>
      </c>
      <c r="AG907" s="90" t="n">
        <v>55000</v>
      </c>
      <c r="AH907" s="90" t="n">
        <v>55000</v>
      </c>
      <c r="AI907" s="90" t="n">
        <v>55000</v>
      </c>
      <c r="AJ907" s="91" t="n">
        <v>55000</v>
      </c>
      <c r="AK907" s="89" t="n">
        <v>55000</v>
      </c>
      <c r="AL907" s="90" t="n">
        <v>55000</v>
      </c>
      <c r="AM907" s="90"/>
      <c r="AN907" s="90"/>
      <c r="AO907" s="90"/>
      <c r="AP907" s="90"/>
      <c r="AQ907" s="90"/>
      <c r="AR907" s="90"/>
      <c r="AS907" s="90"/>
      <c r="AT907" s="90"/>
      <c r="AU907" s="90"/>
      <c r="AV907" s="91"/>
      <c r="AX907" s="92"/>
    </row>
    <row r="908" customFormat="false" ht="15.65" hidden="false" customHeight="false" outlineLevel="0" collapsed="false">
      <c r="C908" s="72" t="n">
        <f aca="false">COUNTIFS($D$6:D908,"&lt;&gt;"&amp;"")</f>
        <v>903</v>
      </c>
      <c r="D908" s="73" t="s">
        <v>12</v>
      </c>
      <c r="E908" s="76" t="str">
        <f aca="false">
IF($D908="정상",INDEX(임대자산!$D$3:$R$3000,MATCH($F908,임대자산!$I$3:$I$3000,0),MATCH(E$3,임대자산!$D$3:$R$3,0)),
IF($D908="폐업",INDEX(폐업정보!$D$3:$R$3000,MATCH($F908,폐업정보!$I$3:$I$3000,0),MATCH(E$3,폐업정보!$D$3:$R$3,0)),
"Error"))</f>
        <v>전라</v>
      </c>
      <c r="F90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B0903</v>
      </c>
      <c r="G908" s="76" t="str">
        <f aca="false">F908&amp;RANDBETWEEN(0,10)</f>
        <v>B09031</v>
      </c>
      <c r="H908" s="75" t="n">
        <f aca="false">
IF($D908="정상",INDEX(임대자산!$D$3:$R$3000,MATCH($F908,임대자산!$I$3:$I$3000,0),MATCH(H$4,임대자산!$D$3:$R$3,0)),
IF($D908="폐업",INDEX(폐업정보!$D$3:$R$3000,MATCH($F908,폐업정보!$I$3:$I$3000,0),MATCH(H$4,폐업정보!$D$3:$R$3,0)),
"Error"))</f>
        <v>44609</v>
      </c>
      <c r="I908" s="75" t="str">
        <f aca="false">
IF($D908="정상",INDEX(임대자산!$D$3:$R$3000,MATCH($F908,임대자산!$I$3:$I$3000,0),MATCH(I$4,임대자산!$D$3:$R$3,0)),
IF($D908="폐업",INDEX(폐업정보!$D$3:$R$3000,MATCH($F908,폐업정보!$I$3:$I$3000,0),MATCH(I$4,폐업정보!$D$3:$R$3,0)),
"Error"))</f>
        <v>A0903</v>
      </c>
      <c r="J908" s="75" t="str">
        <f aca="false">
IF($D908="정상",INDEX(임대자산!$D$3:$R$3000,MATCH($F908,임대자산!$I$3:$I$3000,0),MATCH(J$4,임대자산!$D$3:$R$3,0)),
IF($D908="폐업",INDEX(폐업정보!$D$3:$R$3000,MATCH($F908,폐업정보!$I$3:$I$3000,0),MATCH(J$4,폐업정보!$D$3:$R$3,0)),
"Error"))</f>
        <v>8402900000</v>
      </c>
      <c r="K908" s="75" t="str">
        <f aca="false">
IF($D908="정상",INDEX(임대자산!$D$3:$R$3000,MATCH($F908,임대자산!$I$3:$I$3000,0),MATCH(K$4,임대자산!$D$3:$R$3,0)),
IF($D908="폐업",INDEX(폐업정보!$D$3:$R$3000,MATCH($F908,폐업정보!$I$3:$I$3000,0),MATCH(K$4,폐업정보!$D$3:$R$3,0)),
"Error"))</f>
        <v>C0903</v>
      </c>
      <c r="L908" s="75" t="str">
        <f aca="false">
IF($D908="정상",INDEX(임대자산!$D$3:$R$3000,MATCH($F908,임대자산!$I$3:$I$3000,0),MATCH(L$4,임대자산!$D$3:$R$3,0)),
IF($D908="폐업",INDEX(폐업정보!$D$3:$R$3000,MATCH($F908,폐업정보!$I$3:$I$3000,0),MATCH(L$4,폐업정보!$D$3:$R$3,0)),
"Error"))</f>
        <v>D0903</v>
      </c>
      <c r="M908" s="76" t="s">
        <v>96</v>
      </c>
      <c r="N908" s="77"/>
      <c r="O908" s="78" t="s">
        <v>97</v>
      </c>
      <c r="P908" s="79" t="n">
        <f aca="false">COUNTIFS(임대자산!$I:$I,가맹점정보!F908,임대자산!$N:$N,가맹점정보!P$4)</f>
        <v>0</v>
      </c>
      <c r="Q908" s="80" t="n">
        <f aca="false">COUNTIFS(임대자산!$I:$I,가맹점정보!F908,임대자산!$N:$N,가맹점정보!Q$4)</f>
        <v>0</v>
      </c>
      <c r="R908" s="81" t="n">
        <f aca="false">COUNTIFS(임대자산!$I:$I,가맹점정보!F908,임대자산!$N:$N,가맹점정보!R$4)</f>
        <v>1</v>
      </c>
      <c r="S908" s="82" t="n">
        <v>55000</v>
      </c>
      <c r="T908" s="83" t="n">
        <v>0</v>
      </c>
      <c r="U908" s="80" t="n">
        <f aca="false">SUM(S908:T908)</f>
        <v>55000</v>
      </c>
      <c r="V908" s="84" t="s">
        <v>12</v>
      </c>
      <c r="W908" s="80" t="e">
        <f aca="true">
IF(D908="폐업","폐업",
IF(V908="면제","면제",
IF(AND(V908="정상",COUNTIFS(OFFSET(Y908,0,COUNTA(Y908:AV908)-1,1,-4),"미납")&gt;=3),"장기미납",
IF(AND(V908="정상",OFFSET(Y908,0,COUNTA(Y908:AV908)-1)&gt;=U908),"정상",
IF(AND(V908="정상",OFFSET(Y908,0,COUNTA(Y908:AV908)-1)=0),"정상",
"계약서 미작성")))))</f>
        <v>#VALUE!</v>
      </c>
      <c r="X908" s="81" t="str">
        <f aca="true">
IF(D908="폐업","폐업",
IF(AND(V908="정상",OFFSET(Y908,0,COUNTA(Y908:AV908)-1)="미납"),"미납",
IF(AND(V908="정상",OFFSET(Y908,0,COUNTA(Y908:AV908)-1)=0),"납부 시작 전",
IF(AND(V908="정상",OFFSET(Y908,0,COUNTA(Y908:AV908)-1)&gt;=U908),"정상",
IF(AND(V908="면제",OFFSET(Y908,0,COUNTA(Y908:AV908)-1)="면제"),"면제",
IF(AND(V908="면제",OFFSET(Y908,0,COUNTA(Y908:AV908)-1)=0),"면제",
"확인요청"))))))</f>
        <v>정상</v>
      </c>
      <c r="Y908" s="93" t="n">
        <v>55000</v>
      </c>
      <c r="Z908" s="90" t="n">
        <v>55000</v>
      </c>
      <c r="AA908" s="90" t="n">
        <v>55000</v>
      </c>
      <c r="AB908" s="90" t="n">
        <v>55000</v>
      </c>
      <c r="AC908" s="90" t="n">
        <v>55000</v>
      </c>
      <c r="AD908" s="90" t="n">
        <v>55000</v>
      </c>
      <c r="AE908" s="90" t="n">
        <v>55000</v>
      </c>
      <c r="AF908" s="90" t="n">
        <v>55000</v>
      </c>
      <c r="AG908" s="95" t="s">
        <v>62</v>
      </c>
      <c r="AH908" s="95" t="s">
        <v>62</v>
      </c>
      <c r="AI908" s="95" t="s">
        <v>62</v>
      </c>
      <c r="AJ908" s="96" t="s">
        <v>62</v>
      </c>
      <c r="AK908" s="89" t="n">
        <v>55000</v>
      </c>
      <c r="AL908" s="90" t="n">
        <v>55000</v>
      </c>
      <c r="AM908" s="90"/>
      <c r="AN908" s="90"/>
      <c r="AO908" s="90"/>
      <c r="AP908" s="90"/>
      <c r="AQ908" s="90"/>
      <c r="AR908" s="90"/>
      <c r="AS908" s="90"/>
      <c r="AT908" s="90"/>
      <c r="AU908" s="90"/>
      <c r="AV908" s="91"/>
      <c r="AX908" s="92"/>
    </row>
    <row r="909" customFormat="false" ht="15.65" hidden="false" customHeight="false" outlineLevel="0" collapsed="false">
      <c r="C909" s="72" t="n">
        <f aca="false">COUNTIFS($D$6:D909,"&lt;&gt;"&amp;"")</f>
        <v>904</v>
      </c>
      <c r="D909" s="73" t="s">
        <v>12</v>
      </c>
      <c r="E909" s="76" t="str">
        <f aca="false">
IF($D909="정상",INDEX(임대자산!$D$3:$R$3000,MATCH($F909,임대자산!$I$3:$I$3000,0),MATCH(E$3,임대자산!$D$3:$R$3,0)),
IF($D909="폐업",INDEX(폐업정보!$D$3:$R$3000,MATCH($F909,폐업정보!$I$3:$I$3000,0),MATCH(E$3,폐업정보!$D$3:$R$3,0)),
"Error"))</f>
        <v>강원</v>
      </c>
      <c r="F90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B0904</v>
      </c>
      <c r="G909" s="76" t="str">
        <f aca="false">F909&amp;RANDBETWEEN(0,10)</f>
        <v>B09041</v>
      </c>
      <c r="H909" s="75" t="n">
        <f aca="false">
IF($D909="정상",INDEX(임대자산!$D$3:$R$3000,MATCH($F909,임대자산!$I$3:$I$3000,0),MATCH(H$4,임대자산!$D$3:$R$3,0)),
IF($D909="폐업",INDEX(폐업정보!$D$3:$R$3000,MATCH($F909,폐업정보!$I$3:$I$3000,0),MATCH(H$4,폐업정보!$D$3:$R$3,0)),
"Error"))</f>
        <v>44607</v>
      </c>
      <c r="I909" s="75" t="str">
        <f aca="false">
IF($D909="정상",INDEX(임대자산!$D$3:$R$3000,MATCH($F909,임대자산!$I$3:$I$3000,0),MATCH(I$4,임대자산!$D$3:$R$3,0)),
IF($D909="폐업",INDEX(폐업정보!$D$3:$R$3000,MATCH($F909,폐업정보!$I$3:$I$3000,0),MATCH(I$4,폐업정보!$D$3:$R$3,0)),
"Error"))</f>
        <v>A0904</v>
      </c>
      <c r="J909" s="75" t="str">
        <f aca="false">
IF($D909="정상",INDEX(임대자산!$D$3:$R$3000,MATCH($F909,임대자산!$I$3:$I$3000,0),MATCH(J$4,임대자산!$D$3:$R$3,0)),
IF($D909="폐업",INDEX(폐업정보!$D$3:$R$3000,MATCH($F909,폐업정보!$I$3:$I$3000,0),MATCH(J$4,폐업정보!$D$3:$R$3,0)),
"Error"))</f>
        <v>5152300000</v>
      </c>
      <c r="K909" s="75" t="str">
        <f aca="false">
IF($D909="정상",INDEX(임대자산!$D$3:$R$3000,MATCH($F909,임대자산!$I$3:$I$3000,0),MATCH(K$4,임대자산!$D$3:$R$3,0)),
IF($D909="폐업",INDEX(폐업정보!$D$3:$R$3000,MATCH($F909,폐업정보!$I$3:$I$3000,0),MATCH(K$4,폐업정보!$D$3:$R$3,0)),
"Error"))</f>
        <v>C0904</v>
      </c>
      <c r="L909" s="75" t="str">
        <f aca="false">
IF($D909="정상",INDEX(임대자산!$D$3:$R$3000,MATCH($F909,임대자산!$I$3:$I$3000,0),MATCH(L$4,임대자산!$D$3:$R$3,0)),
IF($D909="폐업",INDEX(폐업정보!$D$3:$R$3000,MATCH($F909,폐업정보!$I$3:$I$3000,0),MATCH(L$4,폐업정보!$D$3:$R$3,0)),
"Error"))</f>
        <v>D0904</v>
      </c>
      <c r="M909" s="76" t="s">
        <v>96</v>
      </c>
      <c r="N909" s="77"/>
      <c r="O909" s="78" t="s">
        <v>97</v>
      </c>
      <c r="P909" s="79" t="n">
        <f aca="false">COUNTIFS(임대자산!$I:$I,가맹점정보!F909,임대자산!$N:$N,가맹점정보!P$4)</f>
        <v>0</v>
      </c>
      <c r="Q909" s="80" t="n">
        <f aca="false">COUNTIFS(임대자산!$I:$I,가맹점정보!F909,임대자산!$N:$N,가맹점정보!Q$4)</f>
        <v>0</v>
      </c>
      <c r="R909" s="81" t="n">
        <f aca="false">COUNTIFS(임대자산!$I:$I,가맹점정보!F909,임대자산!$N:$N,가맹점정보!R$4)</f>
        <v>1</v>
      </c>
      <c r="S909" s="82" t="n">
        <v>55000</v>
      </c>
      <c r="T909" s="83" t="n">
        <v>0</v>
      </c>
      <c r="U909" s="80" t="n">
        <f aca="false">SUM(S909:T909)</f>
        <v>55000</v>
      </c>
      <c r="V909" s="84" t="s">
        <v>12</v>
      </c>
      <c r="W909" s="80" t="e">
        <f aca="true">
IF(D909="폐업","폐업",
IF(V909="면제","면제",
IF(AND(V909="정상",COUNTIFS(OFFSET(Y909,0,COUNTA(Y909:AV909)-1,1,-4),"미납")&gt;=3),"장기미납",
IF(AND(V909="정상",OFFSET(Y909,0,COUNTA(Y909:AV909)-1)&gt;=U909),"정상",
IF(AND(V909="정상",OFFSET(Y909,0,COUNTA(Y909:AV909)-1)=0),"정상",
"계약서 미작성")))))</f>
        <v>#VALUE!</v>
      </c>
      <c r="X909" s="81" t="str">
        <f aca="true">
IF(D909="폐업","폐업",
IF(AND(V909="정상",OFFSET(Y909,0,COUNTA(Y909:AV909)-1)="미납"),"미납",
IF(AND(V909="정상",OFFSET(Y909,0,COUNTA(Y909:AV909)-1)=0),"납부 시작 전",
IF(AND(V909="정상",OFFSET(Y909,0,COUNTA(Y909:AV909)-1)&gt;=U909),"정상",
IF(AND(V909="면제",OFFSET(Y909,0,COUNTA(Y909:AV909)-1)="면제"),"면제",
IF(AND(V909="면제",OFFSET(Y909,0,COUNTA(Y909:AV909)-1)=0),"면제",
"확인요청"))))))</f>
        <v>정상</v>
      </c>
      <c r="Y909" s="93" t="n">
        <v>55000</v>
      </c>
      <c r="Z909" s="90" t="n">
        <v>55000</v>
      </c>
      <c r="AA909" s="90" t="n">
        <v>55000</v>
      </c>
      <c r="AB909" s="90" t="n">
        <v>55000</v>
      </c>
      <c r="AC909" s="90" t="n">
        <v>55000</v>
      </c>
      <c r="AD909" s="90" t="n">
        <v>55000</v>
      </c>
      <c r="AE909" s="90" t="n">
        <v>55000</v>
      </c>
      <c r="AF909" s="90" t="n">
        <v>55000</v>
      </c>
      <c r="AG909" s="90" t="n">
        <v>55000</v>
      </c>
      <c r="AH909" s="90" t="n">
        <v>55000</v>
      </c>
      <c r="AI909" s="90" t="n">
        <v>55000</v>
      </c>
      <c r="AJ909" s="91" t="n">
        <v>55000</v>
      </c>
      <c r="AK909" s="89" t="n">
        <v>55000</v>
      </c>
      <c r="AL909" s="90" t="n">
        <v>55000</v>
      </c>
      <c r="AM909" s="90"/>
      <c r="AN909" s="90"/>
      <c r="AO909" s="90"/>
      <c r="AP909" s="90"/>
      <c r="AQ909" s="90"/>
      <c r="AR909" s="90"/>
      <c r="AS909" s="90"/>
      <c r="AT909" s="90"/>
      <c r="AU909" s="90"/>
      <c r="AV909" s="91"/>
      <c r="AX909" s="92"/>
    </row>
    <row r="910" customFormat="false" ht="15.65" hidden="false" customHeight="false" outlineLevel="0" collapsed="false">
      <c r="C910" s="72" t="n">
        <f aca="false">COUNTIFS($D$6:D910,"&lt;&gt;"&amp;"")</f>
        <v>905</v>
      </c>
      <c r="D910" s="73" t="s">
        <v>12</v>
      </c>
      <c r="E910" s="76" t="str">
        <f aca="false">
IF($D910="정상",INDEX(임대자산!$D$3:$R$3000,MATCH($F910,임대자산!$I$3:$I$3000,0),MATCH(E$3,임대자산!$D$3:$R$3,0)),
IF($D910="폐업",INDEX(폐업정보!$D$3:$R$3000,MATCH($F910,폐업정보!$I$3:$I$3000,0),MATCH(E$3,폐업정보!$D$3:$R$3,0)),
"Error"))</f>
        <v>강원</v>
      </c>
      <c r="F91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B0905</v>
      </c>
      <c r="G910" s="76" t="str">
        <f aca="false">F910&amp;RANDBETWEEN(0,10)</f>
        <v>B09053</v>
      </c>
      <c r="H910" s="75" t="n">
        <f aca="false">
IF($D910="정상",INDEX(임대자산!$D$3:$R$3000,MATCH($F910,임대자산!$I$3:$I$3000,0),MATCH(H$4,임대자산!$D$3:$R$3,0)),
IF($D910="폐업",INDEX(폐업정보!$D$3:$R$3000,MATCH($F910,폐업정보!$I$3:$I$3000,0),MATCH(H$4,폐업정보!$D$3:$R$3,0)),
"Error"))</f>
        <v>44553</v>
      </c>
      <c r="I910" s="75" t="str">
        <f aca="false">
IF($D910="정상",INDEX(임대자산!$D$3:$R$3000,MATCH($F910,임대자산!$I$3:$I$3000,0),MATCH(I$4,임대자산!$D$3:$R$3,0)),
IF($D910="폐업",INDEX(폐업정보!$D$3:$R$3000,MATCH($F910,폐업정보!$I$3:$I$3000,0),MATCH(I$4,폐업정보!$D$3:$R$3,0)),
"Error"))</f>
        <v>A0905</v>
      </c>
      <c r="J910" s="75" t="str">
        <f aca="false">
IF($D910="정상",INDEX(임대자산!$D$3:$R$3000,MATCH($F910,임대자산!$I$3:$I$3000,0),MATCH(J$4,임대자산!$D$3:$R$3,0)),
IF($D910="폐업",INDEX(폐업정보!$D$3:$R$3000,MATCH($F910,폐업정보!$I$3:$I$3000,0),MATCH(J$4,폐업정보!$D$3:$R$3,0)),
"Error"))</f>
        <v>3978600000</v>
      </c>
      <c r="K910" s="75" t="str">
        <f aca="false">
IF($D910="정상",INDEX(임대자산!$D$3:$R$3000,MATCH($F910,임대자산!$I$3:$I$3000,0),MATCH(K$4,임대자산!$D$3:$R$3,0)),
IF($D910="폐업",INDEX(폐업정보!$D$3:$R$3000,MATCH($F910,폐업정보!$I$3:$I$3000,0),MATCH(K$4,폐업정보!$D$3:$R$3,0)),
"Error"))</f>
        <v>C0905</v>
      </c>
      <c r="L910" s="75" t="str">
        <f aca="false">
IF($D910="정상",INDEX(임대자산!$D$3:$R$3000,MATCH($F910,임대자산!$I$3:$I$3000,0),MATCH(L$4,임대자산!$D$3:$R$3,0)),
IF($D910="폐업",INDEX(폐업정보!$D$3:$R$3000,MATCH($F910,폐업정보!$I$3:$I$3000,0),MATCH(L$4,폐업정보!$D$3:$R$3,0)),
"Error"))</f>
        <v>D0905</v>
      </c>
      <c r="M910" s="76" t="s">
        <v>96</v>
      </c>
      <c r="N910" s="77"/>
      <c r="O910" s="78" t="s">
        <v>97</v>
      </c>
      <c r="P910" s="79" t="n">
        <f aca="false">COUNTIFS(임대자산!$I:$I,가맹점정보!F910,임대자산!$N:$N,가맹점정보!P$4)</f>
        <v>0</v>
      </c>
      <c r="Q910" s="80" t="n">
        <f aca="false">COUNTIFS(임대자산!$I:$I,가맹점정보!F910,임대자산!$N:$N,가맹점정보!Q$4)</f>
        <v>0</v>
      </c>
      <c r="R910" s="81" t="n">
        <f aca="false">COUNTIFS(임대자산!$I:$I,가맹점정보!F910,임대자산!$N:$N,가맹점정보!R$4)</f>
        <v>1</v>
      </c>
      <c r="S910" s="82" t="n">
        <v>88000</v>
      </c>
      <c r="T910" s="83" t="n">
        <v>0</v>
      </c>
      <c r="U910" s="80" t="n">
        <f aca="false">SUM(S910:T910)</f>
        <v>88000</v>
      </c>
      <c r="V910" s="84" t="s">
        <v>12</v>
      </c>
      <c r="W910" s="80" t="e">
        <f aca="true">
IF(D910="폐업","폐업",
IF(V910="면제","면제",
IF(AND(V910="정상",COUNTIFS(OFFSET(Y910,0,COUNTA(Y910:AV910)-1,1,-4),"미납")&gt;=3),"장기미납",
IF(AND(V910="정상",OFFSET(Y910,0,COUNTA(Y910:AV910)-1)&gt;=U910),"정상",
IF(AND(V910="정상",OFFSET(Y910,0,COUNTA(Y910:AV910)-1)=0),"정상",
"계약서 미작성")))))</f>
        <v>#VALUE!</v>
      </c>
      <c r="X910" s="81" t="str">
        <f aca="true">
IF(D910="폐업","폐업",
IF(AND(V910="정상",OFFSET(Y910,0,COUNTA(Y910:AV910)-1)="미납"),"미납",
IF(AND(V910="정상",OFFSET(Y910,0,COUNTA(Y910:AV910)-1)=0),"납부 시작 전",
IF(AND(V910="정상",OFFSET(Y910,0,COUNTA(Y910:AV910)-1)&gt;=U910),"정상",
IF(AND(V910="면제",OFFSET(Y910,0,COUNTA(Y910:AV910)-1)="면제"),"면제",
IF(AND(V910="면제",OFFSET(Y910,0,COUNTA(Y910:AV910)-1)=0),"면제",
"확인요청"))))))</f>
        <v>정상</v>
      </c>
      <c r="Y910" s="93" t="n">
        <v>88000</v>
      </c>
      <c r="Z910" s="90" t="n">
        <v>88000</v>
      </c>
      <c r="AA910" s="90" t="n">
        <v>88000</v>
      </c>
      <c r="AB910" s="90" t="n">
        <v>88000</v>
      </c>
      <c r="AC910" s="90" t="n">
        <v>88000</v>
      </c>
      <c r="AD910" s="90" t="n">
        <v>88000</v>
      </c>
      <c r="AE910" s="90" t="n">
        <v>88000</v>
      </c>
      <c r="AF910" s="90" t="n">
        <v>88000</v>
      </c>
      <c r="AG910" s="90" t="n">
        <v>88000</v>
      </c>
      <c r="AH910" s="90" t="n">
        <v>88000</v>
      </c>
      <c r="AI910" s="90" t="n">
        <v>88000</v>
      </c>
      <c r="AJ910" s="91" t="n">
        <v>88000</v>
      </c>
      <c r="AK910" s="89" t="n">
        <v>88000</v>
      </c>
      <c r="AL910" s="90" t="n">
        <v>88000</v>
      </c>
      <c r="AM910" s="90"/>
      <c r="AN910" s="90"/>
      <c r="AO910" s="90"/>
      <c r="AP910" s="90"/>
      <c r="AQ910" s="90"/>
      <c r="AR910" s="90"/>
      <c r="AS910" s="90"/>
      <c r="AT910" s="90"/>
      <c r="AU910" s="90"/>
      <c r="AV910" s="91"/>
      <c r="AX910" s="92"/>
    </row>
    <row r="911" customFormat="false" ht="15.65" hidden="false" customHeight="false" outlineLevel="0" collapsed="false">
      <c r="C911" s="72" t="n">
        <f aca="false">COUNTIFS($D$6:D911,"&lt;&gt;"&amp;"")</f>
        <v>906</v>
      </c>
      <c r="D911" s="73" t="s">
        <v>12</v>
      </c>
      <c r="E911" s="76" t="str">
        <f aca="false">
IF($D911="정상",INDEX(임대자산!$D$3:$R$3000,MATCH($F911,임대자산!$I$3:$I$3000,0),MATCH(E$3,임대자산!$D$3:$R$3,0)),
IF($D911="폐업",INDEX(폐업정보!$D$3:$R$3000,MATCH($F911,폐업정보!$I$3:$I$3000,0),MATCH(E$3,폐업정보!$D$3:$R$3,0)),
"Error"))</f>
        <v>강원</v>
      </c>
      <c r="F91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B0906</v>
      </c>
      <c r="G911" s="76" t="str">
        <f aca="false">F911&amp;RANDBETWEEN(0,10)</f>
        <v>B09060</v>
      </c>
      <c r="H911" s="75" t="n">
        <f aca="false">
IF($D911="정상",INDEX(임대자산!$D$3:$R$3000,MATCH($F911,임대자산!$I$3:$I$3000,0),MATCH(H$4,임대자산!$D$3:$R$3,0)),
IF($D911="폐업",INDEX(폐업정보!$D$3:$R$3000,MATCH($F911,폐업정보!$I$3:$I$3000,0),MATCH(H$4,폐업정보!$D$3:$R$3,0)),
"Error"))</f>
        <v>44553</v>
      </c>
      <c r="I911" s="75" t="str">
        <f aca="false">
IF($D911="정상",INDEX(임대자산!$D$3:$R$3000,MATCH($F911,임대자산!$I$3:$I$3000,0),MATCH(I$4,임대자산!$D$3:$R$3,0)),
IF($D911="폐업",INDEX(폐업정보!$D$3:$R$3000,MATCH($F911,폐업정보!$I$3:$I$3000,0),MATCH(I$4,폐업정보!$D$3:$R$3,0)),
"Error"))</f>
        <v>A0906</v>
      </c>
      <c r="J911" s="75" t="str">
        <f aca="false">
IF($D911="정상",INDEX(임대자산!$D$3:$R$3000,MATCH($F911,임대자산!$I$3:$I$3000,0),MATCH(J$4,임대자산!$D$3:$R$3,0)),
IF($D911="폐업",INDEX(폐업정보!$D$3:$R$3000,MATCH($F911,폐업정보!$I$3:$I$3000,0),MATCH(J$4,폐업정보!$D$3:$R$3,0)),
"Error"))</f>
        <v>6434900000</v>
      </c>
      <c r="K911" s="75" t="str">
        <f aca="false">
IF($D911="정상",INDEX(임대자산!$D$3:$R$3000,MATCH($F911,임대자산!$I$3:$I$3000,0),MATCH(K$4,임대자산!$D$3:$R$3,0)),
IF($D911="폐업",INDEX(폐업정보!$D$3:$R$3000,MATCH($F911,폐업정보!$I$3:$I$3000,0),MATCH(K$4,폐업정보!$D$3:$R$3,0)),
"Error"))</f>
        <v>C0906</v>
      </c>
      <c r="L911" s="75" t="str">
        <f aca="false">
IF($D911="정상",INDEX(임대자산!$D$3:$R$3000,MATCH($F911,임대자산!$I$3:$I$3000,0),MATCH(L$4,임대자산!$D$3:$R$3,0)),
IF($D911="폐업",INDEX(폐업정보!$D$3:$R$3000,MATCH($F911,폐업정보!$I$3:$I$3000,0),MATCH(L$4,폐업정보!$D$3:$R$3,0)),
"Error"))</f>
        <v>D0906</v>
      </c>
      <c r="M911" s="76" t="s">
        <v>96</v>
      </c>
      <c r="N911" s="77"/>
      <c r="O911" s="78" t="s">
        <v>97</v>
      </c>
      <c r="P911" s="79" t="n">
        <f aca="false">COUNTIFS(임대자산!$I:$I,가맹점정보!F911,임대자산!$N:$N,가맹점정보!P$4)</f>
        <v>0</v>
      </c>
      <c r="Q911" s="80" t="n">
        <f aca="false">COUNTIFS(임대자산!$I:$I,가맹점정보!F911,임대자산!$N:$N,가맹점정보!Q$4)</f>
        <v>0</v>
      </c>
      <c r="R911" s="81" t="n">
        <f aca="false">COUNTIFS(임대자산!$I:$I,가맹점정보!F911,임대자산!$N:$N,가맹점정보!R$4)</f>
        <v>1</v>
      </c>
      <c r="S911" s="82" t="n">
        <v>55000</v>
      </c>
      <c r="T911" s="83" t="n">
        <v>0</v>
      </c>
      <c r="U911" s="80" t="n">
        <f aca="false">SUM(S911:T911)</f>
        <v>55000</v>
      </c>
      <c r="V911" s="84" t="s">
        <v>7</v>
      </c>
      <c r="W911" s="80" t="str">
        <f aca="true">
IF(D911="폐업","폐업",
IF(V911="면제","면제",
IF(AND(V911="정상",COUNTIFS(OFFSET(Y911,0,COUNTA(Y911:AV911)-1,1,-4),"미납")&gt;=3),"장기미납",
IF(AND(V911="정상",OFFSET(Y911,0,COUNTA(Y911:AV911)-1)&gt;=U911),"정상",
IF(AND(V911="정상",OFFSET(Y911,0,COUNTA(Y911:AV911)-1)=0),"정상",
"계약서 미작성")))))</f>
        <v>면제</v>
      </c>
      <c r="X911" s="81" t="str">
        <f aca="true">
IF(D911="폐업","폐업",
IF(AND(V911="정상",OFFSET(Y911,0,COUNTA(Y911:AV911)-1)="미납"),"미납",
IF(AND(V911="정상",OFFSET(Y911,0,COUNTA(Y911:AV911)-1)=0),"납부 시작 전",
IF(AND(V911="정상",OFFSET(Y911,0,COUNTA(Y911:AV911)-1)&gt;=U911),"정상",
IF(AND(V911="면제",OFFSET(Y911,0,COUNTA(Y911:AV911)-1)="면제"),"면제",
IF(AND(V911="면제",OFFSET(Y911,0,COUNTA(Y911:AV911)-1)=0),"면제",
"확인요청"))))))</f>
        <v>면제</v>
      </c>
      <c r="Y911" s="93" t="n">
        <v>55000</v>
      </c>
      <c r="Z911" s="90" t="n">
        <v>55000</v>
      </c>
      <c r="AA911" s="90" t="n">
        <v>55000</v>
      </c>
      <c r="AB911" s="90" t="n">
        <v>55000</v>
      </c>
      <c r="AC911" s="90" t="n">
        <v>55000</v>
      </c>
      <c r="AD911" s="95" t="s">
        <v>7</v>
      </c>
      <c r="AE911" s="95" t="s">
        <v>7</v>
      </c>
      <c r="AF911" s="95" t="s">
        <v>7</v>
      </c>
      <c r="AG911" s="95" t="s">
        <v>7</v>
      </c>
      <c r="AH911" s="95" t="s">
        <v>7</v>
      </c>
      <c r="AI911" s="95" t="s">
        <v>7</v>
      </c>
      <c r="AJ911" s="96" t="s">
        <v>7</v>
      </c>
      <c r="AK911" s="97" t="s">
        <v>7</v>
      </c>
      <c r="AL911" s="95" t="s">
        <v>7</v>
      </c>
      <c r="AM911" s="90"/>
      <c r="AN911" s="90"/>
      <c r="AO911" s="90"/>
      <c r="AP911" s="90"/>
      <c r="AQ911" s="90"/>
      <c r="AR911" s="90"/>
      <c r="AS911" s="90"/>
      <c r="AT911" s="90"/>
      <c r="AU911" s="90"/>
      <c r="AV911" s="91"/>
      <c r="AX911" s="92"/>
    </row>
    <row r="912" customFormat="false" ht="15.65" hidden="false" customHeight="false" outlineLevel="0" collapsed="false">
      <c r="C912" s="72" t="n">
        <f aca="false">COUNTIFS($D$6:D912,"&lt;&gt;"&amp;"")</f>
        <v>907</v>
      </c>
      <c r="D912" s="73" t="s">
        <v>12</v>
      </c>
      <c r="E912" s="76" t="str">
        <f aca="false">
IF($D912="정상",INDEX(임대자산!$D$3:$R$3000,MATCH($F912,임대자산!$I$3:$I$3000,0),MATCH(E$3,임대자산!$D$3:$R$3,0)),
IF($D912="폐업",INDEX(폐업정보!$D$3:$R$3000,MATCH($F912,폐업정보!$I$3:$I$3000,0),MATCH(E$3,폐업정보!$D$3:$R$3,0)),
"Error"))</f>
        <v>강원</v>
      </c>
      <c r="F91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B0907</v>
      </c>
      <c r="G912" s="76" t="str">
        <f aca="false">F912&amp;RANDBETWEEN(0,10)</f>
        <v>B09079</v>
      </c>
      <c r="H912" s="75" t="n">
        <f aca="false">
IF($D912="정상",INDEX(임대자산!$D$3:$R$3000,MATCH($F912,임대자산!$I$3:$I$3000,0),MATCH(H$4,임대자산!$D$3:$R$3,0)),
IF($D912="폐업",INDEX(폐업정보!$D$3:$R$3000,MATCH($F912,폐업정보!$I$3:$I$3000,0),MATCH(H$4,폐업정보!$D$3:$R$3,0)),
"Error"))</f>
        <v>45373</v>
      </c>
      <c r="I912" s="75" t="str">
        <f aca="false">
IF($D912="정상",INDEX(임대자산!$D$3:$R$3000,MATCH($F912,임대자산!$I$3:$I$3000,0),MATCH(I$4,임대자산!$D$3:$R$3,0)),
IF($D912="폐업",INDEX(폐업정보!$D$3:$R$3000,MATCH($F912,폐업정보!$I$3:$I$3000,0),MATCH(I$4,폐업정보!$D$3:$R$3,0)),
"Error"))</f>
        <v>A0907</v>
      </c>
      <c r="J912" s="75" t="str">
        <f aca="false">
IF($D912="정상",INDEX(임대자산!$D$3:$R$3000,MATCH($F912,임대자산!$I$3:$I$3000,0),MATCH(J$4,임대자산!$D$3:$R$3,0)),
IF($D912="폐업",INDEX(폐업정보!$D$3:$R$3000,MATCH($F912,폐업정보!$I$3:$I$3000,0),MATCH(J$4,폐업정보!$D$3:$R$3,0)),
"Error"))</f>
        <v>1180100000</v>
      </c>
      <c r="K912" s="75" t="str">
        <f aca="false">
IF($D912="정상",INDEX(임대자산!$D$3:$R$3000,MATCH($F912,임대자산!$I$3:$I$3000,0),MATCH(K$4,임대자산!$D$3:$R$3,0)),
IF($D912="폐업",INDEX(폐업정보!$D$3:$R$3000,MATCH($F912,폐업정보!$I$3:$I$3000,0),MATCH(K$4,폐업정보!$D$3:$R$3,0)),
"Error"))</f>
        <v>C0907</v>
      </c>
      <c r="L912" s="75" t="str">
        <f aca="false">
IF($D912="정상",INDEX(임대자산!$D$3:$R$3000,MATCH($F912,임대자산!$I$3:$I$3000,0),MATCH(L$4,임대자산!$D$3:$R$3,0)),
IF($D912="폐업",INDEX(폐업정보!$D$3:$R$3000,MATCH($F912,폐업정보!$I$3:$I$3000,0),MATCH(L$4,폐업정보!$D$3:$R$3,0)),
"Error"))</f>
        <v>D0907</v>
      </c>
      <c r="M912" s="76" t="s">
        <v>96</v>
      </c>
      <c r="N912" s="77"/>
      <c r="O912" s="78" t="s">
        <v>97</v>
      </c>
      <c r="P912" s="79" t="n">
        <f aca="false">COUNTIFS(임대자산!$I:$I,가맹점정보!F912,임대자산!$N:$N,가맹점정보!P$4)</f>
        <v>0</v>
      </c>
      <c r="Q912" s="80" t="n">
        <f aca="false">COUNTIFS(임대자산!$I:$I,가맹점정보!F912,임대자산!$N:$N,가맹점정보!Q$4)</f>
        <v>0</v>
      </c>
      <c r="R912" s="81" t="n">
        <f aca="false">COUNTIFS(임대자산!$I:$I,가맹점정보!F912,임대자산!$N:$N,가맹점정보!R$4)</f>
        <v>1</v>
      </c>
      <c r="S912" s="82" t="n">
        <v>55000</v>
      </c>
      <c r="T912" s="83" t="n">
        <v>0</v>
      </c>
      <c r="U912" s="80" t="n">
        <f aca="false">SUM(S912:T912)</f>
        <v>55000</v>
      </c>
      <c r="V912" s="84" t="s">
        <v>12</v>
      </c>
      <c r="W912" s="80" t="e">
        <f aca="true">
IF(D912="폐업","폐업",
IF(V912="면제","면제",
IF(AND(V912="정상",COUNTIFS(OFFSET(Y912,0,COUNTA(Y912:AV912)-1,1,-4),"미납")&gt;=3),"장기미납",
IF(AND(V912="정상",OFFSET(Y912,0,COUNTA(Y912:AV912)-1)&gt;=U912),"정상",
IF(AND(V912="정상",OFFSET(Y912,0,COUNTA(Y912:AV912)-1)=0),"정상",
"계약서 미작성")))))</f>
        <v>#VALUE!</v>
      </c>
      <c r="X912" s="81" t="str">
        <f aca="true">
IF(D912="폐업","폐업",
IF(AND(V912="정상",OFFSET(Y912,0,COUNTA(Y912:AV912)-1)="미납"),"미납",
IF(AND(V912="정상",OFFSET(Y912,0,COUNTA(Y912:AV912)-1)=0),"납부 시작 전",
IF(AND(V912="정상",OFFSET(Y912,0,COUNTA(Y912:AV912)-1)&gt;=U912),"정상",
IF(AND(V912="면제",OFFSET(Y912,0,COUNTA(Y912:AV912)-1)="면제"),"면제",
IF(AND(V912="면제",OFFSET(Y912,0,COUNTA(Y912:AV912)-1)=0),"면제",
"확인요청"))))))</f>
        <v>정상</v>
      </c>
      <c r="Y912" s="93" t="n">
        <v>55000</v>
      </c>
      <c r="Z912" s="90" t="n">
        <v>55000</v>
      </c>
      <c r="AA912" s="90" t="n">
        <v>55000</v>
      </c>
      <c r="AB912" s="90" t="n">
        <v>55000</v>
      </c>
      <c r="AC912" s="90" t="n">
        <v>55000</v>
      </c>
      <c r="AD912" s="90" t="n">
        <v>55000</v>
      </c>
      <c r="AE912" s="90" t="n">
        <v>55000</v>
      </c>
      <c r="AF912" s="90" t="n">
        <v>55000</v>
      </c>
      <c r="AG912" s="90" t="n">
        <v>55000</v>
      </c>
      <c r="AH912" s="90" t="n">
        <v>55000</v>
      </c>
      <c r="AI912" s="90" t="n">
        <v>55000</v>
      </c>
      <c r="AJ912" s="91" t="n">
        <v>55000</v>
      </c>
      <c r="AK912" s="89" t="n">
        <v>55000</v>
      </c>
      <c r="AL912" s="90" t="n">
        <v>55000</v>
      </c>
      <c r="AM912" s="90"/>
      <c r="AN912" s="90"/>
      <c r="AO912" s="90"/>
      <c r="AP912" s="90"/>
      <c r="AQ912" s="90"/>
      <c r="AR912" s="90"/>
      <c r="AS912" s="90"/>
      <c r="AT912" s="90"/>
      <c r="AU912" s="90"/>
      <c r="AV912" s="91"/>
      <c r="AX912" s="92"/>
    </row>
    <row r="913" customFormat="false" ht="15.65" hidden="false" customHeight="false" outlineLevel="0" collapsed="false">
      <c r="C913" s="72" t="n">
        <f aca="false">COUNTIFS($D$6:D913,"&lt;&gt;"&amp;"")</f>
        <v>908</v>
      </c>
      <c r="D913" s="73" t="s">
        <v>12</v>
      </c>
      <c r="E913" s="76" t="str">
        <f aca="false">
IF($D913="정상",INDEX(임대자산!$D$3:$R$3000,MATCH($F913,임대자산!$I$3:$I$3000,0),MATCH(E$3,임대자산!$D$3:$R$3,0)),
IF($D913="폐업",INDEX(폐업정보!$D$3:$R$3000,MATCH($F913,폐업정보!$I$3:$I$3000,0),MATCH(E$3,폐업정보!$D$3:$R$3,0)),
"Error"))</f>
        <v>서울</v>
      </c>
      <c r="F91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B0908</v>
      </c>
      <c r="G913" s="76" t="str">
        <f aca="false">F913&amp;RANDBETWEEN(0,10)</f>
        <v>B09087</v>
      </c>
      <c r="H913" s="75" t="n">
        <f aca="false">
IF($D913="정상",INDEX(임대자산!$D$3:$R$3000,MATCH($F913,임대자산!$I$3:$I$3000,0),MATCH(H$4,임대자산!$D$3:$R$3,0)),
IF($D913="폐업",INDEX(폐업정보!$D$3:$R$3000,MATCH($F913,폐업정보!$I$3:$I$3000,0),MATCH(H$4,폐업정보!$D$3:$R$3,0)),
"Error"))</f>
        <v>44623</v>
      </c>
      <c r="I913" s="75" t="str">
        <f aca="false">
IF($D913="정상",INDEX(임대자산!$D$3:$R$3000,MATCH($F913,임대자산!$I$3:$I$3000,0),MATCH(I$4,임대자산!$D$3:$R$3,0)),
IF($D913="폐업",INDEX(폐업정보!$D$3:$R$3000,MATCH($F913,폐업정보!$I$3:$I$3000,0),MATCH(I$4,폐업정보!$D$3:$R$3,0)),
"Error"))</f>
        <v>A0908</v>
      </c>
      <c r="J913" s="75" t="str">
        <f aca="false">
IF($D913="정상",INDEX(임대자산!$D$3:$R$3000,MATCH($F913,임대자산!$I$3:$I$3000,0),MATCH(J$4,임대자산!$D$3:$R$3,0)),
IF($D913="폐업",INDEX(폐업정보!$D$3:$R$3000,MATCH($F913,폐업정보!$I$3:$I$3000,0),MATCH(J$4,폐업정보!$D$3:$R$3,0)),
"Error"))</f>
        <v>7199200000</v>
      </c>
      <c r="K913" s="75" t="str">
        <f aca="false">
IF($D913="정상",INDEX(임대자산!$D$3:$R$3000,MATCH($F913,임대자산!$I$3:$I$3000,0),MATCH(K$4,임대자산!$D$3:$R$3,0)),
IF($D913="폐업",INDEX(폐업정보!$D$3:$R$3000,MATCH($F913,폐업정보!$I$3:$I$3000,0),MATCH(K$4,폐업정보!$D$3:$R$3,0)),
"Error"))</f>
        <v>C0908</v>
      </c>
      <c r="L913" s="75" t="str">
        <f aca="false">
IF($D913="정상",INDEX(임대자산!$D$3:$R$3000,MATCH($F913,임대자산!$I$3:$I$3000,0),MATCH(L$4,임대자산!$D$3:$R$3,0)),
IF($D913="폐업",INDEX(폐업정보!$D$3:$R$3000,MATCH($F913,폐업정보!$I$3:$I$3000,0),MATCH(L$4,폐업정보!$D$3:$R$3,0)),
"Error"))</f>
        <v>D0908</v>
      </c>
      <c r="M913" s="76" t="s">
        <v>96</v>
      </c>
      <c r="N913" s="77"/>
      <c r="O913" s="78" t="s">
        <v>97</v>
      </c>
      <c r="P913" s="79" t="n">
        <f aca="false">COUNTIFS(임대자산!$I:$I,가맹점정보!F913,임대자산!$N:$N,가맹점정보!P$4)</f>
        <v>0</v>
      </c>
      <c r="Q913" s="80" t="n">
        <f aca="false">COUNTIFS(임대자산!$I:$I,가맹점정보!F913,임대자산!$N:$N,가맹점정보!Q$4)</f>
        <v>0</v>
      </c>
      <c r="R913" s="81" t="n">
        <f aca="false">COUNTIFS(임대자산!$I:$I,가맹점정보!F913,임대자산!$N:$N,가맹점정보!R$4)</f>
        <v>1</v>
      </c>
      <c r="S913" s="82" t="n">
        <v>55000</v>
      </c>
      <c r="T913" s="83" t="n">
        <v>0</v>
      </c>
      <c r="U913" s="80" t="n">
        <f aca="false">SUM(S913:T913)</f>
        <v>55000</v>
      </c>
      <c r="V913" s="84" t="s">
        <v>7</v>
      </c>
      <c r="W913" s="80" t="str">
        <f aca="true">
IF(D913="폐업","폐업",
IF(V913="면제","면제",
IF(AND(V913="정상",COUNTIFS(OFFSET(Y913,0,COUNTA(Y913:AV913)-1,1,-4),"미납")&gt;=3),"장기미납",
IF(AND(V913="정상",OFFSET(Y913,0,COUNTA(Y913:AV913)-1)&gt;=U913),"정상",
IF(AND(V913="정상",OFFSET(Y913,0,COUNTA(Y913:AV913)-1)=0),"정상",
"계약서 미작성")))))</f>
        <v>면제</v>
      </c>
      <c r="X913" s="81" t="str">
        <f aca="true">
IF(D913="폐업","폐업",
IF(AND(V913="정상",OFFSET(Y913,0,COUNTA(Y913:AV913)-1)="미납"),"미납",
IF(AND(V913="정상",OFFSET(Y913,0,COUNTA(Y913:AV913)-1)=0),"납부 시작 전",
IF(AND(V913="정상",OFFSET(Y913,0,COUNTA(Y913:AV913)-1)&gt;=U913),"정상",
IF(AND(V913="면제",OFFSET(Y913,0,COUNTA(Y913:AV913)-1)="면제"),"면제",
IF(AND(V913="면제",OFFSET(Y913,0,COUNTA(Y913:AV913)-1)=0),"면제",
"확인요청"))))))</f>
        <v>면제</v>
      </c>
      <c r="Y913" s="94" t="s">
        <v>7</v>
      </c>
      <c r="Z913" s="95" t="s">
        <v>7</v>
      </c>
      <c r="AA913" s="95" t="s">
        <v>7</v>
      </c>
      <c r="AB913" s="95" t="s">
        <v>7</v>
      </c>
      <c r="AC913" s="95" t="s">
        <v>7</v>
      </c>
      <c r="AD913" s="95" t="s">
        <v>7</v>
      </c>
      <c r="AE913" s="95" t="s">
        <v>7</v>
      </c>
      <c r="AF913" s="95" t="s">
        <v>7</v>
      </c>
      <c r="AG913" s="95" t="s">
        <v>7</v>
      </c>
      <c r="AH913" s="95" t="s">
        <v>7</v>
      </c>
      <c r="AI913" s="95" t="s">
        <v>7</v>
      </c>
      <c r="AJ913" s="96" t="s">
        <v>7</v>
      </c>
      <c r="AK913" s="97" t="s">
        <v>7</v>
      </c>
      <c r="AL913" s="95" t="s">
        <v>7</v>
      </c>
      <c r="AM913" s="90"/>
      <c r="AN913" s="90"/>
      <c r="AO913" s="90"/>
      <c r="AP913" s="90"/>
      <c r="AQ913" s="90"/>
      <c r="AR913" s="90"/>
      <c r="AS913" s="90"/>
      <c r="AT913" s="90"/>
      <c r="AU913" s="90"/>
      <c r="AV913" s="91"/>
      <c r="AX913" s="92"/>
    </row>
    <row r="914" customFormat="false" ht="15.65" hidden="false" customHeight="false" outlineLevel="0" collapsed="false">
      <c r="C914" s="72" t="n">
        <f aca="false">COUNTIFS($D$6:D914,"&lt;&gt;"&amp;"")</f>
        <v>909</v>
      </c>
      <c r="D914" s="73" t="s">
        <v>12</v>
      </c>
      <c r="E914" s="76" t="str">
        <f aca="false">
IF($D914="정상",INDEX(임대자산!$D$3:$R$3000,MATCH($F914,임대자산!$I$3:$I$3000,0),MATCH(E$3,임대자산!$D$3:$R$3,0)),
IF($D914="폐업",INDEX(폐업정보!$D$3:$R$3000,MATCH($F914,폐업정보!$I$3:$I$3000,0),MATCH(E$3,폐업정보!$D$3:$R$3,0)),
"Error"))</f>
        <v>서울</v>
      </c>
      <c r="F91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B0909</v>
      </c>
      <c r="G914" s="76" t="str">
        <f aca="false">F914&amp;RANDBETWEEN(0,10)</f>
        <v>B09091</v>
      </c>
      <c r="H914" s="75" t="n">
        <f aca="false">
IF($D914="정상",INDEX(임대자산!$D$3:$R$3000,MATCH($F914,임대자산!$I$3:$I$3000,0),MATCH(H$4,임대자산!$D$3:$R$3,0)),
IF($D914="폐업",INDEX(폐업정보!$D$3:$R$3000,MATCH($F914,폐업정보!$I$3:$I$3000,0),MATCH(H$4,폐업정보!$D$3:$R$3,0)),
"Error"))</f>
        <v>44623</v>
      </c>
      <c r="I914" s="75" t="str">
        <f aca="false">
IF($D914="정상",INDEX(임대자산!$D$3:$R$3000,MATCH($F914,임대자산!$I$3:$I$3000,0),MATCH(I$4,임대자산!$D$3:$R$3,0)),
IF($D914="폐업",INDEX(폐업정보!$D$3:$R$3000,MATCH($F914,폐업정보!$I$3:$I$3000,0),MATCH(I$4,폐업정보!$D$3:$R$3,0)),
"Error"))</f>
        <v>A0909</v>
      </c>
      <c r="J914" s="75" t="str">
        <f aca="false">
IF($D914="정상",INDEX(임대자산!$D$3:$R$3000,MATCH($F914,임대자산!$I$3:$I$3000,0),MATCH(J$4,임대자산!$D$3:$R$3,0)),
IF($D914="폐업",INDEX(폐업정보!$D$3:$R$3000,MATCH($F914,폐업정보!$I$3:$I$3000,0),MATCH(J$4,폐업정보!$D$3:$R$3,0)),
"Error"))</f>
        <v>7021200000</v>
      </c>
      <c r="K914" s="75" t="str">
        <f aca="false">
IF($D914="정상",INDEX(임대자산!$D$3:$R$3000,MATCH($F914,임대자산!$I$3:$I$3000,0),MATCH(K$4,임대자산!$D$3:$R$3,0)),
IF($D914="폐업",INDEX(폐업정보!$D$3:$R$3000,MATCH($F914,폐업정보!$I$3:$I$3000,0),MATCH(K$4,폐업정보!$D$3:$R$3,0)),
"Error"))</f>
        <v>C0909</v>
      </c>
      <c r="L914" s="75" t="str">
        <f aca="false">
IF($D914="정상",INDEX(임대자산!$D$3:$R$3000,MATCH($F914,임대자산!$I$3:$I$3000,0),MATCH(L$4,임대자산!$D$3:$R$3,0)),
IF($D914="폐업",INDEX(폐업정보!$D$3:$R$3000,MATCH($F914,폐업정보!$I$3:$I$3000,0),MATCH(L$4,폐업정보!$D$3:$R$3,0)),
"Error"))</f>
        <v>D0909</v>
      </c>
      <c r="M914" s="76" t="s">
        <v>96</v>
      </c>
      <c r="N914" s="77"/>
      <c r="O914" s="78" t="s">
        <v>97</v>
      </c>
      <c r="P914" s="79" t="n">
        <f aca="false">COUNTIFS(임대자산!$I:$I,가맹점정보!F914,임대자산!$N:$N,가맹점정보!P$4)</f>
        <v>0</v>
      </c>
      <c r="Q914" s="80" t="n">
        <f aca="false">COUNTIFS(임대자산!$I:$I,가맹점정보!F914,임대자산!$N:$N,가맹점정보!Q$4)</f>
        <v>0</v>
      </c>
      <c r="R914" s="81" t="n">
        <f aca="false">COUNTIFS(임대자산!$I:$I,가맹점정보!F914,임대자산!$N:$N,가맹점정보!R$4)</f>
        <v>1</v>
      </c>
      <c r="S914" s="82" t="n">
        <v>55000</v>
      </c>
      <c r="T914" s="83" t="n">
        <v>0</v>
      </c>
      <c r="U914" s="80" t="n">
        <f aca="false">SUM(S914:T914)</f>
        <v>55000</v>
      </c>
      <c r="V914" s="84" t="s">
        <v>7</v>
      </c>
      <c r="W914" s="80" t="str">
        <f aca="true">
IF(D914="폐업","폐업",
IF(V914="면제","면제",
IF(AND(V914="정상",COUNTIFS(OFFSET(Y914,0,COUNTA(Y914:AV914)-1,1,-4),"미납")&gt;=3),"장기미납",
IF(AND(V914="정상",OFFSET(Y914,0,COUNTA(Y914:AV914)-1)&gt;=U914),"정상",
IF(AND(V914="정상",OFFSET(Y914,0,COUNTA(Y914:AV914)-1)=0),"정상",
"계약서 미작성")))))</f>
        <v>면제</v>
      </c>
      <c r="X914" s="81" t="str">
        <f aca="true">
IF(D914="폐업","폐업",
IF(AND(V914="정상",OFFSET(Y914,0,COUNTA(Y914:AV914)-1)="미납"),"미납",
IF(AND(V914="정상",OFFSET(Y914,0,COUNTA(Y914:AV914)-1)=0),"납부 시작 전",
IF(AND(V914="정상",OFFSET(Y914,0,COUNTA(Y914:AV914)-1)&gt;=U914),"정상",
IF(AND(V914="면제",OFFSET(Y914,0,COUNTA(Y914:AV914)-1)="면제"),"면제",
IF(AND(V914="면제",OFFSET(Y914,0,COUNTA(Y914:AV914)-1)=0),"면제",
"확인요청"))))))</f>
        <v>면제</v>
      </c>
      <c r="Y914" s="93" t="n">
        <v>55000</v>
      </c>
      <c r="Z914" s="90" t="n">
        <v>55000</v>
      </c>
      <c r="AA914" s="90" t="n">
        <v>55000</v>
      </c>
      <c r="AB914" s="90" t="n">
        <v>55000</v>
      </c>
      <c r="AC914" s="90" t="n">
        <v>55000</v>
      </c>
      <c r="AD914" s="95" t="s">
        <v>7</v>
      </c>
      <c r="AE914" s="95" t="s">
        <v>7</v>
      </c>
      <c r="AF914" s="95" t="s">
        <v>7</v>
      </c>
      <c r="AG914" s="95" t="s">
        <v>7</v>
      </c>
      <c r="AH914" s="95" t="s">
        <v>7</v>
      </c>
      <c r="AI914" s="95" t="s">
        <v>7</v>
      </c>
      <c r="AJ914" s="96" t="s">
        <v>7</v>
      </c>
      <c r="AK914" s="97" t="s">
        <v>7</v>
      </c>
      <c r="AL914" s="95" t="s">
        <v>7</v>
      </c>
      <c r="AM914" s="90"/>
      <c r="AN914" s="90"/>
      <c r="AO914" s="90"/>
      <c r="AP914" s="90"/>
      <c r="AQ914" s="90"/>
      <c r="AR914" s="90"/>
      <c r="AS914" s="90"/>
      <c r="AT914" s="90"/>
      <c r="AU914" s="90"/>
      <c r="AV914" s="91"/>
      <c r="AX914" s="92"/>
    </row>
    <row r="915" customFormat="false" ht="15.65" hidden="false" customHeight="false" outlineLevel="0" collapsed="false">
      <c r="C915" s="72" t="n">
        <f aca="false">COUNTIFS($D$6:D915,"&lt;&gt;"&amp;"")</f>
        <v>910</v>
      </c>
      <c r="D915" s="73" t="s">
        <v>12</v>
      </c>
      <c r="E915" s="76" t="str">
        <f aca="false">
IF($D915="정상",INDEX(임대자산!$D$3:$R$3000,MATCH($F915,임대자산!$I$3:$I$3000,0),MATCH(E$3,임대자산!$D$3:$R$3,0)),
IF($D915="폐업",INDEX(폐업정보!$D$3:$R$3000,MATCH($F915,폐업정보!$I$3:$I$3000,0),MATCH(E$3,폐업정보!$D$3:$R$3,0)),
"Error"))</f>
        <v>서울</v>
      </c>
      <c r="F91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B0910</v>
      </c>
      <c r="G915" s="76" t="str">
        <f aca="false">F915&amp;RANDBETWEEN(0,10)</f>
        <v>B09104</v>
      </c>
      <c r="H915" s="75" t="n">
        <f aca="false">
IF($D915="정상",INDEX(임대자산!$D$3:$R$3000,MATCH($F915,임대자산!$I$3:$I$3000,0),MATCH(H$4,임대자산!$D$3:$R$3,0)),
IF($D915="폐업",INDEX(폐업정보!$D$3:$R$3000,MATCH($F915,폐업정보!$I$3:$I$3000,0),MATCH(H$4,폐업정보!$D$3:$R$3,0)),
"Error"))</f>
        <v>44627</v>
      </c>
      <c r="I915" s="75" t="str">
        <f aca="false">
IF($D915="정상",INDEX(임대자산!$D$3:$R$3000,MATCH($F915,임대자산!$I$3:$I$3000,0),MATCH(I$4,임대자산!$D$3:$R$3,0)),
IF($D915="폐업",INDEX(폐업정보!$D$3:$R$3000,MATCH($F915,폐업정보!$I$3:$I$3000,0),MATCH(I$4,폐업정보!$D$3:$R$3,0)),
"Error"))</f>
        <v>A0910</v>
      </c>
      <c r="J915" s="75" t="str">
        <f aca="false">
IF($D915="정상",INDEX(임대자산!$D$3:$R$3000,MATCH($F915,임대자산!$I$3:$I$3000,0),MATCH(J$4,임대자산!$D$3:$R$3,0)),
IF($D915="폐업",INDEX(폐업정보!$D$3:$R$3000,MATCH($F915,폐업정보!$I$3:$I$3000,0),MATCH(J$4,폐업정보!$D$3:$R$3,0)),
"Error"))</f>
        <v>5964000000</v>
      </c>
      <c r="K915" s="75" t="str">
        <f aca="false">
IF($D915="정상",INDEX(임대자산!$D$3:$R$3000,MATCH($F915,임대자산!$I$3:$I$3000,0),MATCH(K$4,임대자산!$D$3:$R$3,0)),
IF($D915="폐업",INDEX(폐업정보!$D$3:$R$3000,MATCH($F915,폐업정보!$I$3:$I$3000,0),MATCH(K$4,폐업정보!$D$3:$R$3,0)),
"Error"))</f>
        <v>C0910</v>
      </c>
      <c r="L915" s="75" t="str">
        <f aca="false">
IF($D915="정상",INDEX(임대자산!$D$3:$R$3000,MATCH($F915,임대자산!$I$3:$I$3000,0),MATCH(L$4,임대자산!$D$3:$R$3,0)),
IF($D915="폐업",INDEX(폐업정보!$D$3:$R$3000,MATCH($F915,폐업정보!$I$3:$I$3000,0),MATCH(L$4,폐업정보!$D$3:$R$3,0)),
"Error"))</f>
        <v>D0910</v>
      </c>
      <c r="M915" s="76" t="s">
        <v>96</v>
      </c>
      <c r="N915" s="77"/>
      <c r="O915" s="78" t="s">
        <v>97</v>
      </c>
      <c r="P915" s="79" t="n">
        <f aca="false">COUNTIFS(임대자산!$I:$I,가맹점정보!F915,임대자산!$N:$N,가맹점정보!P$4)</f>
        <v>0</v>
      </c>
      <c r="Q915" s="80" t="n">
        <f aca="false">COUNTIFS(임대자산!$I:$I,가맹점정보!F915,임대자산!$N:$N,가맹점정보!Q$4)</f>
        <v>0</v>
      </c>
      <c r="R915" s="81" t="n">
        <f aca="false">COUNTIFS(임대자산!$I:$I,가맹점정보!F915,임대자산!$N:$N,가맹점정보!R$4)</f>
        <v>1</v>
      </c>
      <c r="S915" s="82" t="n">
        <v>88000</v>
      </c>
      <c r="T915" s="83" t="n">
        <v>0</v>
      </c>
      <c r="U915" s="80" t="n">
        <f aca="false">SUM(S915:T915)</f>
        <v>88000</v>
      </c>
      <c r="V915" s="84" t="s">
        <v>12</v>
      </c>
      <c r="W915" s="80" t="e">
        <f aca="true">
IF(D915="폐업","폐업",
IF(V915="면제","면제",
IF(AND(V915="정상",COUNTIFS(OFFSET(Y915,0,COUNTA(Y915:AV915)-1,1,-4),"미납")&gt;=3),"장기미납",
IF(AND(V915="정상",OFFSET(Y915,0,COUNTA(Y915:AV915)-1)&gt;=U915),"정상",
IF(AND(V915="정상",OFFSET(Y915,0,COUNTA(Y915:AV915)-1)=0),"정상",
"계약서 미작성")))))</f>
        <v>#VALUE!</v>
      </c>
      <c r="X915" s="81" t="str">
        <f aca="true">
IF(D915="폐업","폐업",
IF(AND(V915="정상",OFFSET(Y915,0,COUNTA(Y915:AV915)-1)="미납"),"미납",
IF(AND(V915="정상",OFFSET(Y915,0,COUNTA(Y915:AV915)-1)=0),"납부 시작 전",
IF(AND(V915="정상",OFFSET(Y915,0,COUNTA(Y915:AV915)-1)&gt;=U915),"정상",
IF(AND(V915="면제",OFFSET(Y915,0,COUNTA(Y915:AV915)-1)="면제"),"면제",
IF(AND(V915="면제",OFFSET(Y915,0,COUNTA(Y915:AV915)-1)=0),"면제",
"확인요청"))))))</f>
        <v>정상</v>
      </c>
      <c r="Y915" s="93" t="n">
        <v>88000</v>
      </c>
      <c r="Z915" s="90" t="n">
        <v>88000</v>
      </c>
      <c r="AA915" s="90" t="n">
        <v>88000</v>
      </c>
      <c r="AB915" s="90" t="n">
        <v>88000</v>
      </c>
      <c r="AC915" s="90" t="n">
        <v>88000</v>
      </c>
      <c r="AD915" s="90" t="n">
        <v>88000</v>
      </c>
      <c r="AE915" s="90" t="n">
        <v>88000</v>
      </c>
      <c r="AF915" s="90" t="n">
        <v>88000</v>
      </c>
      <c r="AG915" s="90" t="n">
        <v>88000</v>
      </c>
      <c r="AH915" s="90" t="n">
        <v>88000</v>
      </c>
      <c r="AI915" s="90" t="n">
        <v>88000</v>
      </c>
      <c r="AJ915" s="91" t="n">
        <v>88000</v>
      </c>
      <c r="AK915" s="89" t="n">
        <v>88000</v>
      </c>
      <c r="AL915" s="90" t="n">
        <v>88000</v>
      </c>
      <c r="AM915" s="90"/>
      <c r="AN915" s="90"/>
      <c r="AO915" s="90"/>
      <c r="AP915" s="90"/>
      <c r="AQ915" s="90"/>
      <c r="AR915" s="90"/>
      <c r="AS915" s="90"/>
      <c r="AT915" s="90"/>
      <c r="AU915" s="90"/>
      <c r="AV915" s="91"/>
      <c r="AX915" s="92"/>
    </row>
    <row r="916" customFormat="false" ht="15.65" hidden="false" customHeight="false" outlineLevel="0" collapsed="false">
      <c r="C916" s="72" t="n">
        <f aca="false">COUNTIFS($D$6:D916,"&lt;&gt;"&amp;"")</f>
        <v>911</v>
      </c>
      <c r="D916" s="73" t="s">
        <v>12</v>
      </c>
      <c r="E916" s="76" t="str">
        <f aca="false">
IF($D916="정상",INDEX(임대자산!$D$3:$R$3000,MATCH($F916,임대자산!$I$3:$I$3000,0),MATCH(E$3,임대자산!$D$3:$R$3,0)),
IF($D916="폐업",INDEX(폐업정보!$D$3:$R$3000,MATCH($F916,폐업정보!$I$3:$I$3000,0),MATCH(E$3,폐업정보!$D$3:$R$3,0)),
"Error"))</f>
        <v>서울</v>
      </c>
      <c r="F91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B0911</v>
      </c>
      <c r="G916" s="76" t="str">
        <f aca="false">F916&amp;RANDBETWEEN(0,10)</f>
        <v>B09115</v>
      </c>
      <c r="H916" s="75" t="n">
        <f aca="false">
IF($D916="정상",INDEX(임대자산!$D$3:$R$3000,MATCH($F916,임대자산!$I$3:$I$3000,0),MATCH(H$4,임대자산!$D$3:$R$3,0)),
IF($D916="폐업",INDEX(폐업정보!$D$3:$R$3000,MATCH($F916,폐업정보!$I$3:$I$3000,0),MATCH(H$4,폐업정보!$D$3:$R$3,0)),
"Error"))</f>
        <v>44643</v>
      </c>
      <c r="I916" s="75" t="str">
        <f aca="false">
IF($D916="정상",INDEX(임대자산!$D$3:$R$3000,MATCH($F916,임대자산!$I$3:$I$3000,0),MATCH(I$4,임대자산!$D$3:$R$3,0)),
IF($D916="폐업",INDEX(폐업정보!$D$3:$R$3000,MATCH($F916,폐업정보!$I$3:$I$3000,0),MATCH(I$4,폐업정보!$D$3:$R$3,0)),
"Error"))</f>
        <v>A0911</v>
      </c>
      <c r="J916" s="75" t="str">
        <f aca="false">
IF($D916="정상",INDEX(임대자산!$D$3:$R$3000,MATCH($F916,임대자산!$I$3:$I$3000,0),MATCH(J$4,임대자산!$D$3:$R$3,0)),
IF($D916="폐업",INDEX(폐업정보!$D$3:$R$3000,MATCH($F916,폐업정보!$I$3:$I$3000,0),MATCH(J$4,폐업정보!$D$3:$R$3,0)),
"Error"))</f>
        <v>9525300000</v>
      </c>
      <c r="K916" s="75" t="str">
        <f aca="false">
IF($D916="정상",INDEX(임대자산!$D$3:$R$3000,MATCH($F916,임대자산!$I$3:$I$3000,0),MATCH(K$4,임대자산!$D$3:$R$3,0)),
IF($D916="폐업",INDEX(폐업정보!$D$3:$R$3000,MATCH($F916,폐업정보!$I$3:$I$3000,0),MATCH(K$4,폐업정보!$D$3:$R$3,0)),
"Error"))</f>
        <v>C0911</v>
      </c>
      <c r="L916" s="75" t="str">
        <f aca="false">
IF($D916="정상",INDEX(임대자산!$D$3:$R$3000,MATCH($F916,임대자산!$I$3:$I$3000,0),MATCH(L$4,임대자산!$D$3:$R$3,0)),
IF($D916="폐업",INDEX(폐업정보!$D$3:$R$3000,MATCH($F916,폐업정보!$I$3:$I$3000,0),MATCH(L$4,폐업정보!$D$3:$R$3,0)),
"Error"))</f>
        <v>D0911</v>
      </c>
      <c r="M916" s="76" t="s">
        <v>96</v>
      </c>
      <c r="N916" s="77"/>
      <c r="O916" s="78" t="s">
        <v>97</v>
      </c>
      <c r="P916" s="79" t="n">
        <f aca="false">COUNTIFS(임대자산!$I:$I,가맹점정보!F916,임대자산!$N:$N,가맹점정보!P$4)</f>
        <v>0</v>
      </c>
      <c r="Q916" s="80" t="n">
        <f aca="false">COUNTIFS(임대자산!$I:$I,가맹점정보!F916,임대자산!$N:$N,가맹점정보!Q$4)</f>
        <v>0</v>
      </c>
      <c r="R916" s="81" t="n">
        <f aca="false">COUNTIFS(임대자산!$I:$I,가맹점정보!F916,임대자산!$N:$N,가맹점정보!R$4)</f>
        <v>1</v>
      </c>
      <c r="S916" s="82" t="n">
        <v>88000</v>
      </c>
      <c r="T916" s="83" t="n">
        <v>0</v>
      </c>
      <c r="U916" s="80" t="n">
        <f aca="false">SUM(S916:T916)</f>
        <v>88000</v>
      </c>
      <c r="V916" s="84" t="s">
        <v>12</v>
      </c>
      <c r="W916" s="80" t="e">
        <f aca="true">
IF(D916="폐업","폐업",
IF(V916="면제","면제",
IF(AND(V916="정상",COUNTIFS(OFFSET(Y916,0,COUNTA(Y916:AV916)-1,1,-4),"미납")&gt;=3),"장기미납",
IF(AND(V916="정상",OFFSET(Y916,0,COUNTA(Y916:AV916)-1)&gt;=U916),"정상",
IF(AND(V916="정상",OFFSET(Y916,0,COUNTA(Y916:AV916)-1)=0),"정상",
"계약서 미작성")))))</f>
        <v>#VALUE!</v>
      </c>
      <c r="X916" s="81" t="str">
        <f aca="true">
IF(D916="폐업","폐업",
IF(AND(V916="정상",OFFSET(Y916,0,COUNTA(Y916:AV916)-1)="미납"),"미납",
IF(AND(V916="정상",OFFSET(Y916,0,COUNTA(Y916:AV916)-1)=0),"납부 시작 전",
IF(AND(V916="정상",OFFSET(Y916,0,COUNTA(Y916:AV916)-1)&gt;=U916),"정상",
IF(AND(V916="면제",OFFSET(Y916,0,COUNTA(Y916:AV916)-1)="면제"),"면제",
IF(AND(V916="면제",OFFSET(Y916,0,COUNTA(Y916:AV916)-1)=0),"면제",
"확인요청"))))))</f>
        <v>정상</v>
      </c>
      <c r="Y916" s="93" t="n">
        <v>88000</v>
      </c>
      <c r="Z916" s="90" t="n">
        <v>88000</v>
      </c>
      <c r="AA916" s="90" t="n">
        <v>88000</v>
      </c>
      <c r="AB916" s="90" t="n">
        <v>88000</v>
      </c>
      <c r="AC916" s="90" t="n">
        <v>88000</v>
      </c>
      <c r="AD916" s="90" t="n">
        <v>88000</v>
      </c>
      <c r="AE916" s="90" t="n">
        <v>88000</v>
      </c>
      <c r="AF916" s="90" t="n">
        <v>88000</v>
      </c>
      <c r="AG916" s="90" t="n">
        <v>88000</v>
      </c>
      <c r="AH916" s="90" t="n">
        <v>88000</v>
      </c>
      <c r="AI916" s="90" t="n">
        <v>88000</v>
      </c>
      <c r="AJ916" s="91" t="n">
        <v>88000</v>
      </c>
      <c r="AK916" s="89" t="n">
        <v>88000</v>
      </c>
      <c r="AL916" s="90" t="n">
        <v>88000</v>
      </c>
      <c r="AM916" s="90"/>
      <c r="AN916" s="90"/>
      <c r="AO916" s="90"/>
      <c r="AP916" s="90"/>
      <c r="AQ916" s="90"/>
      <c r="AR916" s="90"/>
      <c r="AS916" s="90"/>
      <c r="AT916" s="90"/>
      <c r="AU916" s="90"/>
      <c r="AV916" s="91"/>
      <c r="AX916" s="92"/>
    </row>
    <row r="917" customFormat="false" ht="15.65" hidden="false" customHeight="false" outlineLevel="0" collapsed="false">
      <c r="C917" s="72" t="n">
        <f aca="false">COUNTIFS($D$6:D917,"&lt;&gt;"&amp;"")</f>
        <v>912</v>
      </c>
      <c r="D917" s="73" t="s">
        <v>12</v>
      </c>
      <c r="E917" s="76" t="str">
        <f aca="false">
IF($D917="정상",INDEX(임대자산!$D$3:$R$3000,MATCH($F917,임대자산!$I$3:$I$3000,0),MATCH(E$3,임대자산!$D$3:$R$3,0)),
IF($D917="폐업",INDEX(폐업정보!$D$3:$R$3000,MATCH($F917,폐업정보!$I$3:$I$3000,0),MATCH(E$3,폐업정보!$D$3:$R$3,0)),
"Error"))</f>
        <v>강원</v>
      </c>
      <c r="F91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B0912</v>
      </c>
      <c r="G917" s="76" t="str">
        <f aca="false">F917&amp;RANDBETWEEN(0,10)</f>
        <v>B09127</v>
      </c>
      <c r="H917" s="75" t="n">
        <f aca="false">
IF($D917="정상",INDEX(임대자산!$D$3:$R$3000,MATCH($F917,임대자산!$I$3:$I$3000,0),MATCH(H$4,임대자산!$D$3:$R$3,0)),
IF($D917="폐업",INDEX(폐업정보!$D$3:$R$3000,MATCH($F917,폐업정보!$I$3:$I$3000,0),MATCH(H$4,폐업정보!$D$3:$R$3,0)),
"Error"))</f>
        <v>44622</v>
      </c>
      <c r="I917" s="75" t="str">
        <f aca="false">
IF($D917="정상",INDEX(임대자산!$D$3:$R$3000,MATCH($F917,임대자산!$I$3:$I$3000,0),MATCH(I$4,임대자산!$D$3:$R$3,0)),
IF($D917="폐업",INDEX(폐업정보!$D$3:$R$3000,MATCH($F917,폐업정보!$I$3:$I$3000,0),MATCH(I$4,폐업정보!$D$3:$R$3,0)),
"Error"))</f>
        <v>A0912</v>
      </c>
      <c r="J917" s="75" t="str">
        <f aca="false">
IF($D917="정상",INDEX(임대자산!$D$3:$R$3000,MATCH($F917,임대자산!$I$3:$I$3000,0),MATCH(J$4,임대자산!$D$3:$R$3,0)),
IF($D917="폐업",INDEX(폐업정보!$D$3:$R$3000,MATCH($F917,폐업정보!$I$3:$I$3000,0),MATCH(J$4,폐업정보!$D$3:$R$3,0)),
"Error"))</f>
        <v>7000200000</v>
      </c>
      <c r="K917" s="75" t="str">
        <f aca="false">
IF($D917="정상",INDEX(임대자산!$D$3:$R$3000,MATCH($F917,임대자산!$I$3:$I$3000,0),MATCH(K$4,임대자산!$D$3:$R$3,0)),
IF($D917="폐업",INDEX(폐업정보!$D$3:$R$3000,MATCH($F917,폐업정보!$I$3:$I$3000,0),MATCH(K$4,폐업정보!$D$3:$R$3,0)),
"Error"))</f>
        <v>C0912</v>
      </c>
      <c r="L917" s="75" t="str">
        <f aca="false">
IF($D917="정상",INDEX(임대자산!$D$3:$R$3000,MATCH($F917,임대자산!$I$3:$I$3000,0),MATCH(L$4,임대자산!$D$3:$R$3,0)),
IF($D917="폐업",INDEX(폐업정보!$D$3:$R$3000,MATCH($F917,폐업정보!$I$3:$I$3000,0),MATCH(L$4,폐업정보!$D$3:$R$3,0)),
"Error"))</f>
        <v>D0912</v>
      </c>
      <c r="M917" s="76" t="s">
        <v>96</v>
      </c>
      <c r="N917" s="77"/>
      <c r="O917" s="78" t="s">
        <v>97</v>
      </c>
      <c r="P917" s="79" t="n">
        <f aca="false">COUNTIFS(임대자산!$I:$I,가맹점정보!F917,임대자산!$N:$N,가맹점정보!P$4)</f>
        <v>0</v>
      </c>
      <c r="Q917" s="80" t="n">
        <f aca="false">COUNTIFS(임대자산!$I:$I,가맹점정보!F917,임대자산!$N:$N,가맹점정보!Q$4)</f>
        <v>0</v>
      </c>
      <c r="R917" s="81" t="n">
        <f aca="false">COUNTIFS(임대자산!$I:$I,가맹점정보!F917,임대자산!$N:$N,가맹점정보!R$4)</f>
        <v>1</v>
      </c>
      <c r="S917" s="82" t="n">
        <v>55000</v>
      </c>
      <c r="T917" s="83" t="n">
        <v>0</v>
      </c>
      <c r="U917" s="80" t="n">
        <f aca="false">SUM(S917:T917)</f>
        <v>55000</v>
      </c>
      <c r="V917" s="84" t="s">
        <v>7</v>
      </c>
      <c r="W917" s="80" t="str">
        <f aca="true">
IF(D917="폐업","폐업",
IF(V917="면제","면제",
IF(AND(V917="정상",COUNTIFS(OFFSET(Y917,0,COUNTA(Y917:AV917)-1,1,-4),"미납")&gt;=3),"장기미납",
IF(AND(V917="정상",OFFSET(Y917,0,COUNTA(Y917:AV917)-1)&gt;=U917),"정상",
IF(AND(V917="정상",OFFSET(Y917,0,COUNTA(Y917:AV917)-1)=0),"정상",
"계약서 미작성")))))</f>
        <v>면제</v>
      </c>
      <c r="X917" s="81" t="str">
        <f aca="true">
IF(D917="폐업","폐업",
IF(AND(V917="정상",OFFSET(Y917,0,COUNTA(Y917:AV917)-1)="미납"),"미납",
IF(AND(V917="정상",OFFSET(Y917,0,COUNTA(Y917:AV917)-1)=0),"납부 시작 전",
IF(AND(V917="정상",OFFSET(Y917,0,COUNTA(Y917:AV917)-1)&gt;=U917),"정상",
IF(AND(V917="면제",OFFSET(Y917,0,COUNTA(Y917:AV917)-1)="면제"),"면제",
IF(AND(V917="면제",OFFSET(Y917,0,COUNTA(Y917:AV917)-1)=0),"면제",
"확인요청"))))))</f>
        <v>면제</v>
      </c>
      <c r="Y917" s="93" t="n">
        <v>55000</v>
      </c>
      <c r="Z917" s="90" t="n">
        <v>55000</v>
      </c>
      <c r="AA917" s="90" t="n">
        <v>55000</v>
      </c>
      <c r="AB917" s="90" t="n">
        <v>55000</v>
      </c>
      <c r="AC917" s="90" t="n">
        <v>0</v>
      </c>
      <c r="AD917" s="95" t="s">
        <v>7</v>
      </c>
      <c r="AE917" s="95" t="s">
        <v>7</v>
      </c>
      <c r="AF917" s="95" t="s">
        <v>7</v>
      </c>
      <c r="AG917" s="95" t="s">
        <v>7</v>
      </c>
      <c r="AH917" s="95" t="s">
        <v>7</v>
      </c>
      <c r="AI917" s="95" t="s">
        <v>7</v>
      </c>
      <c r="AJ917" s="96" t="s">
        <v>7</v>
      </c>
      <c r="AK917" s="97" t="s">
        <v>7</v>
      </c>
      <c r="AL917" s="95" t="s">
        <v>7</v>
      </c>
      <c r="AM917" s="90"/>
      <c r="AN917" s="90"/>
      <c r="AO917" s="90"/>
      <c r="AP917" s="90"/>
      <c r="AQ917" s="90"/>
      <c r="AR917" s="90"/>
      <c r="AS917" s="90"/>
      <c r="AT917" s="90"/>
      <c r="AU917" s="90"/>
      <c r="AV917" s="91"/>
      <c r="AX917" s="92"/>
    </row>
    <row r="918" customFormat="false" ht="15.65" hidden="false" customHeight="false" outlineLevel="0" collapsed="false">
      <c r="C918" s="72" t="n">
        <f aca="false">COUNTIFS($D$6:D918,"&lt;&gt;"&amp;"")</f>
        <v>913</v>
      </c>
      <c r="D918" s="73" t="s">
        <v>12</v>
      </c>
      <c r="E918" s="76" t="str">
        <f aca="false">
IF($D918="정상",INDEX(임대자산!$D$3:$R$3000,MATCH($F918,임대자산!$I$3:$I$3000,0),MATCH(E$3,임대자산!$D$3:$R$3,0)),
IF($D918="폐업",INDEX(폐업정보!$D$3:$R$3000,MATCH($F918,폐업정보!$I$3:$I$3000,0),MATCH(E$3,폐업정보!$D$3:$R$3,0)),
"Error"))</f>
        <v>강원</v>
      </c>
      <c r="F91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B0913</v>
      </c>
      <c r="G918" s="76" t="str">
        <f aca="false">F918&amp;RANDBETWEEN(0,10)</f>
        <v>B09137</v>
      </c>
      <c r="H918" s="75" t="n">
        <f aca="false">
IF($D918="정상",INDEX(임대자산!$D$3:$R$3000,MATCH($F918,임대자산!$I$3:$I$3000,0),MATCH(H$4,임대자산!$D$3:$R$3,0)),
IF($D918="폐업",INDEX(폐업정보!$D$3:$R$3000,MATCH($F918,폐업정보!$I$3:$I$3000,0),MATCH(H$4,폐업정보!$D$3:$R$3,0)),
"Error"))</f>
        <v>44637</v>
      </c>
      <c r="I918" s="75" t="str">
        <f aca="false">
IF($D918="정상",INDEX(임대자산!$D$3:$R$3000,MATCH($F918,임대자산!$I$3:$I$3000,0),MATCH(I$4,임대자산!$D$3:$R$3,0)),
IF($D918="폐업",INDEX(폐업정보!$D$3:$R$3000,MATCH($F918,폐업정보!$I$3:$I$3000,0),MATCH(I$4,폐업정보!$D$3:$R$3,0)),
"Error"))</f>
        <v>A0913</v>
      </c>
      <c r="J918" s="75" t="str">
        <f aca="false">
IF($D918="정상",INDEX(임대자산!$D$3:$R$3000,MATCH($F918,임대자산!$I$3:$I$3000,0),MATCH(J$4,임대자산!$D$3:$R$3,0)),
IF($D918="폐업",INDEX(폐업정보!$D$3:$R$3000,MATCH($F918,폐업정보!$I$3:$I$3000,0),MATCH(J$4,폐업정보!$D$3:$R$3,0)),
"Error"))</f>
        <v>7700500000</v>
      </c>
      <c r="K918" s="75" t="str">
        <f aca="false">
IF($D918="정상",INDEX(임대자산!$D$3:$R$3000,MATCH($F918,임대자산!$I$3:$I$3000,0),MATCH(K$4,임대자산!$D$3:$R$3,0)),
IF($D918="폐업",INDEX(폐업정보!$D$3:$R$3000,MATCH($F918,폐업정보!$I$3:$I$3000,0),MATCH(K$4,폐업정보!$D$3:$R$3,0)),
"Error"))</f>
        <v>C0913</v>
      </c>
      <c r="L918" s="75" t="str">
        <f aca="false">
IF($D918="정상",INDEX(임대자산!$D$3:$R$3000,MATCH($F918,임대자산!$I$3:$I$3000,0),MATCH(L$4,임대자산!$D$3:$R$3,0)),
IF($D918="폐업",INDEX(폐업정보!$D$3:$R$3000,MATCH($F918,폐업정보!$I$3:$I$3000,0),MATCH(L$4,폐업정보!$D$3:$R$3,0)),
"Error"))</f>
        <v>D0913</v>
      </c>
      <c r="M918" s="76" t="s">
        <v>96</v>
      </c>
      <c r="N918" s="77"/>
      <c r="O918" s="78" t="s">
        <v>97</v>
      </c>
      <c r="P918" s="79" t="n">
        <f aca="false">COUNTIFS(임대자산!$I:$I,가맹점정보!F918,임대자산!$N:$N,가맹점정보!P$4)</f>
        <v>0</v>
      </c>
      <c r="Q918" s="80" t="n">
        <f aca="false">COUNTIFS(임대자산!$I:$I,가맹점정보!F918,임대자산!$N:$N,가맹점정보!Q$4)</f>
        <v>0</v>
      </c>
      <c r="R918" s="81" t="n">
        <f aca="false">COUNTIFS(임대자산!$I:$I,가맹점정보!F918,임대자산!$N:$N,가맹점정보!R$4)</f>
        <v>1</v>
      </c>
      <c r="S918" s="82" t="n">
        <v>55000</v>
      </c>
      <c r="T918" s="83" t="n">
        <v>0</v>
      </c>
      <c r="U918" s="80" t="n">
        <f aca="false">SUM(S918:T918)</f>
        <v>55000</v>
      </c>
      <c r="V918" s="84" t="s">
        <v>12</v>
      </c>
      <c r="W918" s="80" t="e">
        <f aca="true">
IF(D918="폐업","폐업",
IF(V918="면제","면제",
IF(AND(V918="정상",COUNTIFS(OFFSET(Y918,0,COUNTA(Y918:AV918)-1,1,-4),"미납")&gt;=3),"장기미납",
IF(AND(V918="정상",OFFSET(Y918,0,COUNTA(Y918:AV918)-1)&gt;=U918),"정상",
IF(AND(V918="정상",OFFSET(Y918,0,COUNTA(Y918:AV918)-1)=0),"정상",
"계약서 미작성")))))</f>
        <v>#VALUE!</v>
      </c>
      <c r="X918" s="81" t="str">
        <f aca="true">
IF(D918="폐업","폐업",
IF(AND(V918="정상",OFFSET(Y918,0,COUNTA(Y918:AV918)-1)="미납"),"미납",
IF(AND(V918="정상",OFFSET(Y918,0,COUNTA(Y918:AV918)-1)=0),"납부 시작 전",
IF(AND(V918="정상",OFFSET(Y918,0,COUNTA(Y918:AV918)-1)&gt;=U918),"정상",
IF(AND(V918="면제",OFFSET(Y918,0,COUNTA(Y918:AV918)-1)="면제"),"면제",
IF(AND(V918="면제",OFFSET(Y918,0,COUNTA(Y918:AV918)-1)=0),"면제",
"확인요청"))))))</f>
        <v>정상</v>
      </c>
      <c r="Y918" s="93" t="n">
        <v>55000</v>
      </c>
      <c r="Z918" s="90" t="n">
        <v>55000</v>
      </c>
      <c r="AA918" s="90" t="n">
        <v>55000</v>
      </c>
      <c r="AB918" s="90" t="n">
        <v>55000</v>
      </c>
      <c r="AC918" s="90" t="n">
        <v>55000</v>
      </c>
      <c r="AD918" s="90" t="n">
        <v>55000</v>
      </c>
      <c r="AE918" s="90" t="n">
        <v>55000</v>
      </c>
      <c r="AF918" s="90" t="n">
        <v>55000</v>
      </c>
      <c r="AG918" s="90" t="n">
        <v>55000</v>
      </c>
      <c r="AH918" s="90" t="n">
        <v>55000</v>
      </c>
      <c r="AI918" s="90" t="n">
        <v>55000</v>
      </c>
      <c r="AJ918" s="91" t="n">
        <v>55000</v>
      </c>
      <c r="AK918" s="89" t="n">
        <v>55000</v>
      </c>
      <c r="AL918" s="90" t="n">
        <v>55000</v>
      </c>
      <c r="AM918" s="90"/>
      <c r="AN918" s="90"/>
      <c r="AO918" s="90"/>
      <c r="AP918" s="90"/>
      <c r="AQ918" s="90"/>
      <c r="AR918" s="90"/>
      <c r="AS918" s="90"/>
      <c r="AT918" s="90"/>
      <c r="AU918" s="90"/>
      <c r="AV918" s="91"/>
      <c r="AX918" s="92"/>
    </row>
    <row r="919" customFormat="false" ht="15.65" hidden="false" customHeight="false" outlineLevel="0" collapsed="false">
      <c r="C919" s="72" t="n">
        <f aca="false">COUNTIFS($D$6:D919,"&lt;&gt;"&amp;"")</f>
        <v>914</v>
      </c>
      <c r="D919" s="73" t="s">
        <v>12</v>
      </c>
      <c r="E919" s="76" t="str">
        <f aca="false">
IF($D919="정상",INDEX(임대자산!$D$3:$R$3000,MATCH($F919,임대자산!$I$3:$I$3000,0),MATCH(E$3,임대자산!$D$3:$R$3,0)),
IF($D919="폐업",INDEX(폐업정보!$D$3:$R$3000,MATCH($F919,폐업정보!$I$3:$I$3000,0),MATCH(E$3,폐업정보!$D$3:$R$3,0)),
"Error"))</f>
        <v>경기</v>
      </c>
      <c r="F91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B0914</v>
      </c>
      <c r="G919" s="76" t="str">
        <f aca="false">F919&amp;RANDBETWEEN(0,10)</f>
        <v>B09143</v>
      </c>
      <c r="H919" s="75" t="n">
        <f aca="false">
IF($D919="정상",INDEX(임대자산!$D$3:$R$3000,MATCH($F919,임대자산!$I$3:$I$3000,0),MATCH(H$4,임대자산!$D$3:$R$3,0)),
IF($D919="폐업",INDEX(폐업정보!$D$3:$R$3000,MATCH($F919,폐업정보!$I$3:$I$3000,0),MATCH(H$4,폐업정보!$D$3:$R$3,0)),
"Error"))</f>
        <v>44622</v>
      </c>
      <c r="I919" s="75" t="str">
        <f aca="false">
IF($D919="정상",INDEX(임대자산!$D$3:$R$3000,MATCH($F919,임대자산!$I$3:$I$3000,0),MATCH(I$4,임대자산!$D$3:$R$3,0)),
IF($D919="폐업",INDEX(폐업정보!$D$3:$R$3000,MATCH($F919,폐업정보!$I$3:$I$3000,0),MATCH(I$4,폐업정보!$D$3:$R$3,0)),
"Error"))</f>
        <v>A0914</v>
      </c>
      <c r="J919" s="75" t="str">
        <f aca="false">
IF($D919="정상",INDEX(임대자산!$D$3:$R$3000,MATCH($F919,임대자산!$I$3:$I$3000,0),MATCH(J$4,임대자산!$D$3:$R$3,0)),
IF($D919="폐업",INDEX(폐업정보!$D$3:$R$3000,MATCH($F919,폐업정보!$I$3:$I$3000,0),MATCH(J$4,폐업정보!$D$3:$R$3,0)),
"Error"))</f>
        <v>1681000000</v>
      </c>
      <c r="K919" s="75" t="str">
        <f aca="false">
IF($D919="정상",INDEX(임대자산!$D$3:$R$3000,MATCH($F919,임대자산!$I$3:$I$3000,0),MATCH(K$4,임대자산!$D$3:$R$3,0)),
IF($D919="폐업",INDEX(폐업정보!$D$3:$R$3000,MATCH($F919,폐업정보!$I$3:$I$3000,0),MATCH(K$4,폐업정보!$D$3:$R$3,0)),
"Error"))</f>
        <v>C0914</v>
      </c>
      <c r="L919" s="75" t="str">
        <f aca="false">
IF($D919="정상",INDEX(임대자산!$D$3:$R$3000,MATCH($F919,임대자산!$I$3:$I$3000,0),MATCH(L$4,임대자산!$D$3:$R$3,0)),
IF($D919="폐업",INDEX(폐업정보!$D$3:$R$3000,MATCH($F919,폐업정보!$I$3:$I$3000,0),MATCH(L$4,폐업정보!$D$3:$R$3,0)),
"Error"))</f>
        <v>D0914</v>
      </c>
      <c r="M919" s="76" t="s">
        <v>96</v>
      </c>
      <c r="N919" s="77"/>
      <c r="O919" s="78" t="s">
        <v>97</v>
      </c>
      <c r="P919" s="79" t="n">
        <f aca="false">COUNTIFS(임대자산!$I:$I,가맹점정보!F919,임대자산!$N:$N,가맹점정보!P$4)</f>
        <v>0</v>
      </c>
      <c r="Q919" s="80" t="n">
        <f aca="false">COUNTIFS(임대자산!$I:$I,가맹점정보!F919,임대자산!$N:$N,가맹점정보!Q$4)</f>
        <v>0</v>
      </c>
      <c r="R919" s="81" t="n">
        <f aca="false">COUNTIFS(임대자산!$I:$I,가맹점정보!F919,임대자산!$N:$N,가맹점정보!R$4)</f>
        <v>1</v>
      </c>
      <c r="S919" s="82" t="n">
        <v>55000</v>
      </c>
      <c r="T919" s="83" t="n">
        <v>0</v>
      </c>
      <c r="U919" s="80" t="n">
        <f aca="false">SUM(S919:T919)</f>
        <v>55000</v>
      </c>
      <c r="V919" s="84" t="s">
        <v>12</v>
      </c>
      <c r="W919" s="80" t="e">
        <f aca="true">
IF(D919="폐업","폐업",
IF(V919="면제","면제",
IF(AND(V919="정상",COUNTIFS(OFFSET(Y919,0,COUNTA(Y919:AV919)-1,1,-4),"미납")&gt;=3),"장기미납",
IF(AND(V919="정상",OFFSET(Y919,0,COUNTA(Y919:AV919)-1)&gt;=U919),"정상",
IF(AND(V919="정상",OFFSET(Y919,0,COUNTA(Y919:AV919)-1)=0),"정상",
"계약서 미작성")))))</f>
        <v>#VALUE!</v>
      </c>
      <c r="X919" s="81" t="str">
        <f aca="true">
IF(D919="폐업","폐업",
IF(AND(V919="정상",OFFSET(Y919,0,COUNTA(Y919:AV919)-1)="미납"),"미납",
IF(AND(V919="정상",OFFSET(Y919,0,COUNTA(Y919:AV919)-1)=0),"납부 시작 전",
IF(AND(V919="정상",OFFSET(Y919,0,COUNTA(Y919:AV919)-1)&gt;=U919),"정상",
IF(AND(V919="면제",OFFSET(Y919,0,COUNTA(Y919:AV919)-1)="면제"),"면제",
IF(AND(V919="면제",OFFSET(Y919,0,COUNTA(Y919:AV919)-1)=0),"면제",
"확인요청"))))))</f>
        <v>정상</v>
      </c>
      <c r="Y919" s="93" t="n">
        <v>55000</v>
      </c>
      <c r="Z919" s="90" t="n">
        <v>55000</v>
      </c>
      <c r="AA919" s="90" t="n">
        <v>55000</v>
      </c>
      <c r="AB919" s="90" t="n">
        <v>55000</v>
      </c>
      <c r="AC919" s="90" t="n">
        <v>55000</v>
      </c>
      <c r="AD919" s="90" t="n">
        <v>55000</v>
      </c>
      <c r="AE919" s="90" t="n">
        <v>55000</v>
      </c>
      <c r="AF919" s="90" t="n">
        <v>55000</v>
      </c>
      <c r="AG919" s="90" t="n">
        <v>55000</v>
      </c>
      <c r="AH919" s="90" t="n">
        <v>55000</v>
      </c>
      <c r="AI919" s="90" t="n">
        <v>55000</v>
      </c>
      <c r="AJ919" s="91" t="n">
        <v>55000</v>
      </c>
      <c r="AK919" s="89" t="n">
        <v>55000</v>
      </c>
      <c r="AL919" s="90" t="n">
        <v>55000</v>
      </c>
      <c r="AM919" s="90"/>
      <c r="AN919" s="90"/>
      <c r="AO919" s="90"/>
      <c r="AP919" s="90"/>
      <c r="AQ919" s="90"/>
      <c r="AR919" s="90"/>
      <c r="AS919" s="90"/>
      <c r="AT919" s="90"/>
      <c r="AU919" s="90"/>
      <c r="AV919" s="91"/>
      <c r="AX919" s="92"/>
    </row>
    <row r="920" customFormat="false" ht="15.65" hidden="false" customHeight="false" outlineLevel="0" collapsed="false">
      <c r="C920" s="72" t="n">
        <f aca="false">COUNTIFS($D$6:D920,"&lt;&gt;"&amp;"")</f>
        <v>915</v>
      </c>
      <c r="D920" s="73" t="s">
        <v>12</v>
      </c>
      <c r="E920" s="76" t="str">
        <f aca="false">
IF($D920="정상",INDEX(임대자산!$D$3:$R$3000,MATCH($F920,임대자산!$I$3:$I$3000,0),MATCH(E$3,임대자산!$D$3:$R$3,0)),
IF($D920="폐업",INDEX(폐업정보!$D$3:$R$3000,MATCH($F920,폐업정보!$I$3:$I$3000,0),MATCH(E$3,폐업정보!$D$3:$R$3,0)),
"Error"))</f>
        <v>경기</v>
      </c>
      <c r="F92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B0915</v>
      </c>
      <c r="G920" s="76" t="str">
        <f aca="false">F920&amp;RANDBETWEEN(0,10)</f>
        <v>B09155</v>
      </c>
      <c r="H920" s="75" t="n">
        <f aca="false">
IF($D920="정상",INDEX(임대자산!$D$3:$R$3000,MATCH($F920,임대자산!$I$3:$I$3000,0),MATCH(H$4,임대자산!$D$3:$R$3,0)),
IF($D920="폐업",INDEX(폐업정보!$D$3:$R$3000,MATCH($F920,폐업정보!$I$3:$I$3000,0),MATCH(H$4,폐업정보!$D$3:$R$3,0)),
"Error"))</f>
        <v>44622</v>
      </c>
      <c r="I920" s="75" t="str">
        <f aca="false">
IF($D920="정상",INDEX(임대자산!$D$3:$R$3000,MATCH($F920,임대자산!$I$3:$I$3000,0),MATCH(I$4,임대자산!$D$3:$R$3,0)),
IF($D920="폐업",INDEX(폐업정보!$D$3:$R$3000,MATCH($F920,폐업정보!$I$3:$I$3000,0),MATCH(I$4,폐업정보!$D$3:$R$3,0)),
"Error"))</f>
        <v>A0915</v>
      </c>
      <c r="J920" s="75" t="str">
        <f aca="false">
IF($D920="정상",INDEX(임대자산!$D$3:$R$3000,MATCH($F920,임대자산!$I$3:$I$3000,0),MATCH(J$4,임대자산!$D$3:$R$3,0)),
IF($D920="폐업",INDEX(폐업정보!$D$3:$R$3000,MATCH($F920,폐업정보!$I$3:$I$3000,0),MATCH(J$4,폐업정보!$D$3:$R$3,0)),
"Error"))</f>
        <v>7325000000</v>
      </c>
      <c r="K920" s="75" t="str">
        <f aca="false">
IF($D920="정상",INDEX(임대자산!$D$3:$R$3000,MATCH($F920,임대자산!$I$3:$I$3000,0),MATCH(K$4,임대자산!$D$3:$R$3,0)),
IF($D920="폐업",INDEX(폐업정보!$D$3:$R$3000,MATCH($F920,폐업정보!$I$3:$I$3000,0),MATCH(K$4,폐업정보!$D$3:$R$3,0)),
"Error"))</f>
        <v>C0915</v>
      </c>
      <c r="L920" s="75" t="str">
        <f aca="false">
IF($D920="정상",INDEX(임대자산!$D$3:$R$3000,MATCH($F920,임대자산!$I$3:$I$3000,0),MATCH(L$4,임대자산!$D$3:$R$3,0)),
IF($D920="폐업",INDEX(폐업정보!$D$3:$R$3000,MATCH($F920,폐업정보!$I$3:$I$3000,0),MATCH(L$4,폐업정보!$D$3:$R$3,0)),
"Error"))</f>
        <v>D0915</v>
      </c>
      <c r="M920" s="76" t="s">
        <v>96</v>
      </c>
      <c r="N920" s="77"/>
      <c r="O920" s="78" t="s">
        <v>97</v>
      </c>
      <c r="P920" s="79" t="n">
        <f aca="false">COUNTIFS(임대자산!$I:$I,가맹점정보!F920,임대자산!$N:$N,가맹점정보!P$4)</f>
        <v>0</v>
      </c>
      <c r="Q920" s="80" t="n">
        <f aca="false">COUNTIFS(임대자산!$I:$I,가맹점정보!F920,임대자산!$N:$N,가맹점정보!Q$4)</f>
        <v>0</v>
      </c>
      <c r="R920" s="81" t="n">
        <f aca="false">COUNTIFS(임대자산!$I:$I,가맹점정보!F920,임대자산!$N:$N,가맹점정보!R$4)</f>
        <v>1</v>
      </c>
      <c r="S920" s="82" t="n">
        <v>88000</v>
      </c>
      <c r="T920" s="83" t="n">
        <v>0</v>
      </c>
      <c r="U920" s="80" t="n">
        <f aca="false">SUM(S920:T920)</f>
        <v>88000</v>
      </c>
      <c r="V920" s="84" t="s">
        <v>12</v>
      </c>
      <c r="W920" s="80" t="e">
        <f aca="true">
IF(D920="폐업","폐업",
IF(V920="면제","면제",
IF(AND(V920="정상",COUNTIFS(OFFSET(Y920,0,COUNTA(Y920:AV920)-1,1,-4),"미납")&gt;=3),"장기미납",
IF(AND(V920="정상",OFFSET(Y920,0,COUNTA(Y920:AV920)-1)&gt;=U920),"정상",
IF(AND(V920="정상",OFFSET(Y920,0,COUNTA(Y920:AV920)-1)=0),"정상",
"계약서 미작성")))))</f>
        <v>#VALUE!</v>
      </c>
      <c r="X920" s="81" t="str">
        <f aca="true">
IF(D920="폐업","폐업",
IF(AND(V920="정상",OFFSET(Y920,0,COUNTA(Y920:AV920)-1)="미납"),"미납",
IF(AND(V920="정상",OFFSET(Y920,0,COUNTA(Y920:AV920)-1)=0),"납부 시작 전",
IF(AND(V920="정상",OFFSET(Y920,0,COUNTA(Y920:AV920)-1)&gt;=U920),"정상",
IF(AND(V920="면제",OFFSET(Y920,0,COUNTA(Y920:AV920)-1)="면제"),"면제",
IF(AND(V920="면제",OFFSET(Y920,0,COUNTA(Y920:AV920)-1)=0),"면제",
"확인요청"))))))</f>
        <v>미납</v>
      </c>
      <c r="Y920" s="93" t="n">
        <v>88000</v>
      </c>
      <c r="Z920" s="90" t="n">
        <v>88000</v>
      </c>
      <c r="AA920" s="90" t="n">
        <v>88000</v>
      </c>
      <c r="AB920" s="90" t="n">
        <v>88000</v>
      </c>
      <c r="AC920" s="90" t="n">
        <v>88000</v>
      </c>
      <c r="AD920" s="90" t="n">
        <v>88000</v>
      </c>
      <c r="AE920" s="90" t="n">
        <v>88000</v>
      </c>
      <c r="AF920" s="90" t="n">
        <v>88000</v>
      </c>
      <c r="AG920" s="90" t="n">
        <v>88000</v>
      </c>
      <c r="AH920" s="90" t="n">
        <v>88000</v>
      </c>
      <c r="AI920" s="90" t="n">
        <v>88000</v>
      </c>
      <c r="AJ920" s="91" t="n">
        <v>88000</v>
      </c>
      <c r="AK920" s="89" t="n">
        <v>88000</v>
      </c>
      <c r="AL920" s="95" t="s">
        <v>62</v>
      </c>
      <c r="AM920" s="90"/>
      <c r="AN920" s="90"/>
      <c r="AO920" s="90"/>
      <c r="AP920" s="90"/>
      <c r="AQ920" s="90"/>
      <c r="AR920" s="90"/>
      <c r="AS920" s="90"/>
      <c r="AT920" s="90"/>
      <c r="AU920" s="90"/>
      <c r="AV920" s="91"/>
      <c r="AX920" s="92"/>
    </row>
    <row r="921" customFormat="false" ht="15.65" hidden="false" customHeight="false" outlineLevel="0" collapsed="false">
      <c r="C921" s="72" t="n">
        <f aca="false">COUNTIFS($D$6:D921,"&lt;&gt;"&amp;"")</f>
        <v>916</v>
      </c>
      <c r="D921" s="73" t="s">
        <v>12</v>
      </c>
      <c r="E921" s="76" t="str">
        <f aca="false">
IF($D921="정상",INDEX(임대자산!$D$3:$R$3000,MATCH($F921,임대자산!$I$3:$I$3000,0),MATCH(E$3,임대자산!$D$3:$R$3,0)),
IF($D921="폐업",INDEX(폐업정보!$D$3:$R$3000,MATCH($F921,폐업정보!$I$3:$I$3000,0),MATCH(E$3,폐업정보!$D$3:$R$3,0)),
"Error"))</f>
        <v>경기</v>
      </c>
      <c r="F92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B0916</v>
      </c>
      <c r="G921" s="76" t="str">
        <f aca="false">F921&amp;RANDBETWEEN(0,10)</f>
        <v>B09166</v>
      </c>
      <c r="H921" s="75" t="n">
        <f aca="false">
IF($D921="정상",INDEX(임대자산!$D$3:$R$3000,MATCH($F921,임대자산!$I$3:$I$3000,0),MATCH(H$4,임대자산!$D$3:$R$3,0)),
IF($D921="폐업",INDEX(폐업정보!$D$3:$R$3000,MATCH($F921,폐업정보!$I$3:$I$3000,0),MATCH(H$4,폐업정보!$D$3:$R$3,0)),
"Error"))</f>
        <v>45523</v>
      </c>
      <c r="I921" s="75" t="str">
        <f aca="false">
IF($D921="정상",INDEX(임대자산!$D$3:$R$3000,MATCH($F921,임대자산!$I$3:$I$3000,0),MATCH(I$4,임대자산!$D$3:$R$3,0)),
IF($D921="폐업",INDEX(폐업정보!$D$3:$R$3000,MATCH($F921,폐업정보!$I$3:$I$3000,0),MATCH(I$4,폐업정보!$D$3:$R$3,0)),
"Error"))</f>
        <v>A0916</v>
      </c>
      <c r="J921" s="75" t="str">
        <f aca="false">
IF($D921="정상",INDEX(임대자산!$D$3:$R$3000,MATCH($F921,임대자산!$I$3:$I$3000,0),MATCH(J$4,임대자산!$D$3:$R$3,0)),
IF($D921="폐업",INDEX(폐업정보!$D$3:$R$3000,MATCH($F921,폐업정보!$I$3:$I$3000,0),MATCH(J$4,폐업정보!$D$3:$R$3,0)),
"Error"))</f>
        <v>9599900000</v>
      </c>
      <c r="K921" s="75" t="str">
        <f aca="false">
IF($D921="정상",INDEX(임대자산!$D$3:$R$3000,MATCH($F921,임대자산!$I$3:$I$3000,0),MATCH(K$4,임대자산!$D$3:$R$3,0)),
IF($D921="폐업",INDEX(폐업정보!$D$3:$R$3000,MATCH($F921,폐업정보!$I$3:$I$3000,0),MATCH(K$4,폐업정보!$D$3:$R$3,0)),
"Error"))</f>
        <v>C0916</v>
      </c>
      <c r="L921" s="75" t="str">
        <f aca="false">
IF($D921="정상",INDEX(임대자산!$D$3:$R$3000,MATCH($F921,임대자산!$I$3:$I$3000,0),MATCH(L$4,임대자산!$D$3:$R$3,0)),
IF($D921="폐업",INDEX(폐업정보!$D$3:$R$3000,MATCH($F921,폐업정보!$I$3:$I$3000,0),MATCH(L$4,폐업정보!$D$3:$R$3,0)),
"Error"))</f>
        <v>D0916</v>
      </c>
      <c r="M921" s="76" t="s">
        <v>96</v>
      </c>
      <c r="N921" s="77"/>
      <c r="O921" s="78" t="s">
        <v>97</v>
      </c>
      <c r="P921" s="79" t="n">
        <f aca="false">COUNTIFS(임대자산!$I:$I,가맹점정보!F921,임대자산!$N:$N,가맹점정보!P$4)</f>
        <v>0</v>
      </c>
      <c r="Q921" s="80" t="n">
        <f aca="false">COUNTIFS(임대자산!$I:$I,가맹점정보!F921,임대자산!$N:$N,가맹점정보!Q$4)</f>
        <v>0</v>
      </c>
      <c r="R921" s="81" t="n">
        <f aca="false">COUNTIFS(임대자산!$I:$I,가맹점정보!F921,임대자산!$N:$N,가맹점정보!R$4)</f>
        <v>1</v>
      </c>
      <c r="S921" s="82" t="n">
        <v>55000</v>
      </c>
      <c r="T921" s="83" t="n">
        <v>0</v>
      </c>
      <c r="U921" s="80" t="n">
        <f aca="false">SUM(S921:T921)</f>
        <v>55000</v>
      </c>
      <c r="V921" s="84" t="s">
        <v>12</v>
      </c>
      <c r="W921" s="80" t="e">
        <f aca="true">
IF(D921="폐업","폐업",
IF(V921="면제","면제",
IF(AND(V921="정상",COUNTIFS(OFFSET(Y921,0,COUNTA(Y921:AV921)-1,1,-4),"미납")&gt;=3),"장기미납",
IF(AND(V921="정상",OFFSET(Y921,0,COUNTA(Y921:AV921)-1)&gt;=U921),"정상",
IF(AND(V921="정상",OFFSET(Y921,0,COUNTA(Y921:AV921)-1)=0),"정상",
"계약서 미작성")))))</f>
        <v>#VALUE!</v>
      </c>
      <c r="X921" s="81" t="str">
        <f aca="true">
IF(D921="폐업","폐업",
IF(AND(V921="정상",OFFSET(Y921,0,COUNTA(Y921:AV921)-1)="미납"),"미납",
IF(AND(V921="정상",OFFSET(Y921,0,COUNTA(Y921:AV921)-1)=0),"납부 시작 전",
IF(AND(V921="정상",OFFSET(Y921,0,COUNTA(Y921:AV921)-1)&gt;=U921),"정상",
IF(AND(V921="면제",OFFSET(Y921,0,COUNTA(Y921:AV921)-1)="면제"),"면제",
IF(AND(V921="면제",OFFSET(Y921,0,COUNTA(Y921:AV921)-1)=0),"면제",
"확인요청"))))))</f>
        <v>정상</v>
      </c>
      <c r="Y921" s="93" t="n">
        <v>55000</v>
      </c>
      <c r="Z921" s="90" t="n">
        <v>55000</v>
      </c>
      <c r="AA921" s="90" t="n">
        <v>55000</v>
      </c>
      <c r="AB921" s="90" t="n">
        <v>55000</v>
      </c>
      <c r="AC921" s="90" t="n">
        <v>55000</v>
      </c>
      <c r="AD921" s="90" t="n">
        <v>55000</v>
      </c>
      <c r="AE921" s="90" t="n">
        <v>55000</v>
      </c>
      <c r="AF921" s="90" t="n">
        <v>55000</v>
      </c>
      <c r="AG921" s="90" t="n">
        <v>55000</v>
      </c>
      <c r="AH921" s="90" t="n">
        <v>55000</v>
      </c>
      <c r="AI921" s="90" t="n">
        <v>55000</v>
      </c>
      <c r="AJ921" s="91" t="n">
        <v>55000</v>
      </c>
      <c r="AK921" s="89" t="n">
        <v>55000</v>
      </c>
      <c r="AL921" s="90" t="n">
        <v>55000</v>
      </c>
      <c r="AM921" s="90"/>
      <c r="AN921" s="90"/>
      <c r="AO921" s="90"/>
      <c r="AP921" s="90"/>
      <c r="AQ921" s="90"/>
      <c r="AR921" s="90"/>
      <c r="AS921" s="90"/>
      <c r="AT921" s="90"/>
      <c r="AU921" s="90"/>
      <c r="AV921" s="91"/>
      <c r="AX921" s="92"/>
    </row>
    <row r="922" customFormat="false" ht="15.65" hidden="false" customHeight="false" outlineLevel="0" collapsed="false">
      <c r="C922" s="72" t="n">
        <f aca="false">COUNTIFS($D$6:D922,"&lt;&gt;"&amp;"")</f>
        <v>917</v>
      </c>
      <c r="D922" s="73" t="s">
        <v>12</v>
      </c>
      <c r="E922" s="76" t="str">
        <f aca="false">
IF($D922="정상",INDEX(임대자산!$D$3:$R$3000,MATCH($F922,임대자산!$I$3:$I$3000,0),MATCH(E$3,임대자산!$D$3:$R$3,0)),
IF($D922="폐업",INDEX(폐업정보!$D$3:$R$3000,MATCH($F922,폐업정보!$I$3:$I$3000,0),MATCH(E$3,폐업정보!$D$3:$R$3,0)),
"Error"))</f>
        <v>경기</v>
      </c>
      <c r="F92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B0917</v>
      </c>
      <c r="G922" s="76" t="str">
        <f aca="false">F922&amp;RANDBETWEEN(0,10)</f>
        <v>B091710</v>
      </c>
      <c r="H922" s="75" t="n">
        <f aca="false">
IF($D922="정상",INDEX(임대자산!$D$3:$R$3000,MATCH($F922,임대자산!$I$3:$I$3000,0),MATCH(H$4,임대자산!$D$3:$R$3,0)),
IF($D922="폐업",INDEX(폐업정보!$D$3:$R$3000,MATCH($F922,폐업정보!$I$3:$I$3000,0),MATCH(H$4,폐업정보!$D$3:$R$3,0)),
"Error"))</f>
        <v>44642</v>
      </c>
      <c r="I922" s="75" t="str">
        <f aca="false">
IF($D922="정상",INDEX(임대자산!$D$3:$R$3000,MATCH($F922,임대자산!$I$3:$I$3000,0),MATCH(I$4,임대자산!$D$3:$R$3,0)),
IF($D922="폐업",INDEX(폐업정보!$D$3:$R$3000,MATCH($F922,폐업정보!$I$3:$I$3000,0),MATCH(I$4,폐업정보!$D$3:$R$3,0)),
"Error"))</f>
        <v>A0917</v>
      </c>
      <c r="J922" s="75" t="str">
        <f aca="false">
IF($D922="정상",INDEX(임대자산!$D$3:$R$3000,MATCH($F922,임대자산!$I$3:$I$3000,0),MATCH(J$4,임대자산!$D$3:$R$3,0)),
IF($D922="폐업",INDEX(폐업정보!$D$3:$R$3000,MATCH($F922,폐업정보!$I$3:$I$3000,0),MATCH(J$4,폐업정보!$D$3:$R$3,0)),
"Error"))</f>
        <v>2285400000</v>
      </c>
      <c r="K922" s="75" t="str">
        <f aca="false">
IF($D922="정상",INDEX(임대자산!$D$3:$R$3000,MATCH($F922,임대자산!$I$3:$I$3000,0),MATCH(K$4,임대자산!$D$3:$R$3,0)),
IF($D922="폐업",INDEX(폐업정보!$D$3:$R$3000,MATCH($F922,폐업정보!$I$3:$I$3000,0),MATCH(K$4,폐업정보!$D$3:$R$3,0)),
"Error"))</f>
        <v>C0917</v>
      </c>
      <c r="L922" s="75" t="str">
        <f aca="false">
IF($D922="정상",INDEX(임대자산!$D$3:$R$3000,MATCH($F922,임대자산!$I$3:$I$3000,0),MATCH(L$4,임대자산!$D$3:$R$3,0)),
IF($D922="폐업",INDEX(폐업정보!$D$3:$R$3000,MATCH($F922,폐업정보!$I$3:$I$3000,0),MATCH(L$4,폐업정보!$D$3:$R$3,0)),
"Error"))</f>
        <v>D0917</v>
      </c>
      <c r="M922" s="76" t="s">
        <v>96</v>
      </c>
      <c r="N922" s="77"/>
      <c r="O922" s="78" t="s">
        <v>97</v>
      </c>
      <c r="P922" s="79" t="n">
        <f aca="false">COUNTIFS(임대자산!$I:$I,가맹점정보!F922,임대자산!$N:$N,가맹점정보!P$4)</f>
        <v>0</v>
      </c>
      <c r="Q922" s="80" t="n">
        <f aca="false">COUNTIFS(임대자산!$I:$I,가맹점정보!F922,임대자산!$N:$N,가맹점정보!Q$4)</f>
        <v>0</v>
      </c>
      <c r="R922" s="81" t="n">
        <f aca="false">COUNTIFS(임대자산!$I:$I,가맹점정보!F922,임대자산!$N:$N,가맹점정보!R$4)</f>
        <v>1</v>
      </c>
      <c r="S922" s="82" t="n">
        <v>55000</v>
      </c>
      <c r="T922" s="83" t="n">
        <v>0</v>
      </c>
      <c r="U922" s="80" t="n">
        <f aca="false">SUM(S922:T922)</f>
        <v>55000</v>
      </c>
      <c r="V922" s="84" t="s">
        <v>12</v>
      </c>
      <c r="W922" s="80" t="e">
        <f aca="true">
IF(D922="폐업","폐업",
IF(V922="면제","면제",
IF(AND(V922="정상",COUNTIFS(OFFSET(Y922,0,COUNTA(Y922:AV922)-1,1,-4),"미납")&gt;=3),"장기미납",
IF(AND(V922="정상",OFFSET(Y922,0,COUNTA(Y922:AV922)-1)&gt;=U922),"정상",
IF(AND(V922="정상",OFFSET(Y922,0,COUNTA(Y922:AV922)-1)=0),"정상",
"계약서 미작성")))))</f>
        <v>#VALUE!</v>
      </c>
      <c r="X922" s="81" t="str">
        <f aca="true">
IF(D922="폐업","폐업",
IF(AND(V922="정상",OFFSET(Y922,0,COUNTA(Y922:AV922)-1)="미납"),"미납",
IF(AND(V922="정상",OFFSET(Y922,0,COUNTA(Y922:AV922)-1)=0),"납부 시작 전",
IF(AND(V922="정상",OFFSET(Y922,0,COUNTA(Y922:AV922)-1)&gt;=U922),"정상",
IF(AND(V922="면제",OFFSET(Y922,0,COUNTA(Y922:AV922)-1)="면제"),"면제",
IF(AND(V922="면제",OFFSET(Y922,0,COUNTA(Y922:AV922)-1)=0),"면제",
"확인요청"))))))</f>
        <v>정상</v>
      </c>
      <c r="Y922" s="93" t="n">
        <v>55000</v>
      </c>
      <c r="Z922" s="90" t="n">
        <v>55000</v>
      </c>
      <c r="AA922" s="90" t="n">
        <v>55000</v>
      </c>
      <c r="AB922" s="90" t="n">
        <v>55000</v>
      </c>
      <c r="AC922" s="90" t="n">
        <v>55000</v>
      </c>
      <c r="AD922" s="90" t="n">
        <v>55000</v>
      </c>
      <c r="AE922" s="90" t="n">
        <v>55000</v>
      </c>
      <c r="AF922" s="90" t="n">
        <v>55000</v>
      </c>
      <c r="AG922" s="90" t="n">
        <v>55000</v>
      </c>
      <c r="AH922" s="90" t="n">
        <v>55000</v>
      </c>
      <c r="AI922" s="90" t="n">
        <v>55000</v>
      </c>
      <c r="AJ922" s="91" t="n">
        <v>55000</v>
      </c>
      <c r="AK922" s="89" t="n">
        <v>55000</v>
      </c>
      <c r="AL922" s="90" t="n">
        <v>55000</v>
      </c>
      <c r="AM922" s="90"/>
      <c r="AN922" s="90"/>
      <c r="AO922" s="90"/>
      <c r="AP922" s="90"/>
      <c r="AQ922" s="90"/>
      <c r="AR922" s="90"/>
      <c r="AS922" s="90"/>
      <c r="AT922" s="90"/>
      <c r="AU922" s="90"/>
      <c r="AV922" s="91"/>
      <c r="AX922" s="92"/>
    </row>
    <row r="923" customFormat="false" ht="15.65" hidden="false" customHeight="false" outlineLevel="0" collapsed="false">
      <c r="C923" s="72" t="n">
        <f aca="false">COUNTIFS($D$6:D923,"&lt;&gt;"&amp;"")</f>
        <v>918</v>
      </c>
      <c r="D923" s="73" t="s">
        <v>12</v>
      </c>
      <c r="E923" s="76" t="str">
        <f aca="false">
IF($D923="정상",INDEX(임대자산!$D$3:$R$3000,MATCH($F923,임대자산!$I$3:$I$3000,0),MATCH(E$3,임대자산!$D$3:$R$3,0)),
IF($D923="폐업",INDEX(폐업정보!$D$3:$R$3000,MATCH($F923,폐업정보!$I$3:$I$3000,0),MATCH(E$3,폐업정보!$D$3:$R$3,0)),
"Error"))</f>
        <v>경상</v>
      </c>
      <c r="F92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B0918</v>
      </c>
      <c r="G923" s="76" t="str">
        <f aca="false">F923&amp;RANDBETWEEN(0,10)</f>
        <v>B09184</v>
      </c>
      <c r="H923" s="75" t="n">
        <f aca="false">
IF($D923="정상",INDEX(임대자산!$D$3:$R$3000,MATCH($F923,임대자산!$I$3:$I$3000,0),MATCH(H$4,임대자산!$D$3:$R$3,0)),
IF($D923="폐업",INDEX(폐업정보!$D$3:$R$3000,MATCH($F923,폐업정보!$I$3:$I$3000,0),MATCH(H$4,폐업정보!$D$3:$R$3,0)),
"Error"))</f>
        <v>45881</v>
      </c>
      <c r="I923" s="75" t="str">
        <f aca="false">
IF($D923="정상",INDEX(임대자산!$D$3:$R$3000,MATCH($F923,임대자산!$I$3:$I$3000,0),MATCH(I$4,임대자산!$D$3:$R$3,0)),
IF($D923="폐업",INDEX(폐업정보!$D$3:$R$3000,MATCH($F923,폐업정보!$I$3:$I$3000,0),MATCH(I$4,폐업정보!$D$3:$R$3,0)),
"Error"))</f>
        <v>A0918</v>
      </c>
      <c r="J923" s="75" t="str">
        <f aca="false">
IF($D923="정상",INDEX(임대자산!$D$3:$R$3000,MATCH($F923,임대자산!$I$3:$I$3000,0),MATCH(J$4,임대자산!$D$3:$R$3,0)),
IF($D923="폐업",INDEX(폐업정보!$D$3:$R$3000,MATCH($F923,폐업정보!$I$3:$I$3000,0),MATCH(J$4,폐업정보!$D$3:$R$3,0)),
"Error"))</f>
        <v>6821200000</v>
      </c>
      <c r="K923" s="75" t="str">
        <f aca="false">
IF($D923="정상",INDEX(임대자산!$D$3:$R$3000,MATCH($F923,임대자산!$I$3:$I$3000,0),MATCH(K$4,임대자산!$D$3:$R$3,0)),
IF($D923="폐업",INDEX(폐업정보!$D$3:$R$3000,MATCH($F923,폐업정보!$I$3:$I$3000,0),MATCH(K$4,폐업정보!$D$3:$R$3,0)),
"Error"))</f>
        <v>C0918</v>
      </c>
      <c r="L923" s="75" t="str">
        <f aca="false">
IF($D923="정상",INDEX(임대자산!$D$3:$R$3000,MATCH($F923,임대자산!$I$3:$I$3000,0),MATCH(L$4,임대자산!$D$3:$R$3,0)),
IF($D923="폐업",INDEX(폐업정보!$D$3:$R$3000,MATCH($F923,폐업정보!$I$3:$I$3000,0),MATCH(L$4,폐업정보!$D$3:$R$3,0)),
"Error"))</f>
        <v>D0918</v>
      </c>
      <c r="M923" s="76" t="s">
        <v>96</v>
      </c>
      <c r="N923" s="77"/>
      <c r="O923" s="78" t="s">
        <v>97</v>
      </c>
      <c r="P923" s="79" t="n">
        <f aca="false">COUNTIFS(임대자산!$I:$I,가맹점정보!F923,임대자산!$N:$N,가맹점정보!P$4)</f>
        <v>0</v>
      </c>
      <c r="Q923" s="80" t="n">
        <f aca="false">COUNTIFS(임대자산!$I:$I,가맹점정보!F923,임대자산!$N:$N,가맹점정보!Q$4)</f>
        <v>0</v>
      </c>
      <c r="R923" s="81" t="n">
        <f aca="false">COUNTIFS(임대자산!$I:$I,가맹점정보!F923,임대자산!$N:$N,가맹점정보!R$4)</f>
        <v>1</v>
      </c>
      <c r="S923" s="82" t="n">
        <v>55000</v>
      </c>
      <c r="T923" s="83" t="n">
        <v>0</v>
      </c>
      <c r="U923" s="80" t="n">
        <f aca="false">SUM(S923:T923)</f>
        <v>55000</v>
      </c>
      <c r="V923" s="84" t="s">
        <v>12</v>
      </c>
      <c r="W923" s="80" t="e">
        <f aca="true">
IF(D923="폐업","폐업",
IF(V923="면제","면제",
IF(AND(V923="정상",COUNTIFS(OFFSET(Y923,0,COUNTA(Y923:AV923)-1,1,-4),"미납")&gt;=3),"장기미납",
IF(AND(V923="정상",OFFSET(Y923,0,COUNTA(Y923:AV923)-1)&gt;=U923),"정상",
IF(AND(V923="정상",OFFSET(Y923,0,COUNTA(Y923:AV923)-1)=0),"정상",
"계약서 미작성")))))</f>
        <v>#VALUE!</v>
      </c>
      <c r="X923" s="81" t="str">
        <f aca="true">
IF(D923="폐업","폐업",
IF(AND(V923="정상",OFFSET(Y923,0,COUNTA(Y923:AV923)-1)="미납"),"미납",
IF(AND(V923="정상",OFFSET(Y923,0,COUNTA(Y923:AV923)-1)=0),"납부 시작 전",
IF(AND(V923="정상",OFFSET(Y923,0,COUNTA(Y923:AV923)-1)&gt;=U923),"정상",
IF(AND(V923="면제",OFFSET(Y923,0,COUNTA(Y923:AV923)-1)="면제"),"면제",
IF(AND(V923="면제",OFFSET(Y923,0,COUNTA(Y923:AV923)-1)=0),"면제",
"확인요청"))))))</f>
        <v>정상</v>
      </c>
      <c r="Y923" s="93" t="n">
        <v>55000</v>
      </c>
      <c r="Z923" s="90" t="n">
        <v>55000</v>
      </c>
      <c r="AA923" s="90" t="n">
        <v>55000</v>
      </c>
      <c r="AB923" s="90" t="n">
        <v>55000</v>
      </c>
      <c r="AC923" s="90" t="n">
        <v>55000</v>
      </c>
      <c r="AD923" s="90" t="n">
        <v>55000</v>
      </c>
      <c r="AE923" s="90" t="n">
        <v>55000</v>
      </c>
      <c r="AF923" s="90" t="n">
        <v>55000</v>
      </c>
      <c r="AG923" s="90" t="n">
        <v>55000</v>
      </c>
      <c r="AH923" s="90" t="n">
        <v>55000</v>
      </c>
      <c r="AI923" s="90" t="n">
        <v>55000</v>
      </c>
      <c r="AJ923" s="91" t="n">
        <v>55000</v>
      </c>
      <c r="AK923" s="89" t="n">
        <v>55000</v>
      </c>
      <c r="AL923" s="90" t="n">
        <v>55000</v>
      </c>
      <c r="AM923" s="90"/>
      <c r="AN923" s="90"/>
      <c r="AO923" s="90"/>
      <c r="AP923" s="90"/>
      <c r="AQ923" s="90"/>
      <c r="AR923" s="90"/>
      <c r="AS923" s="90"/>
      <c r="AT923" s="90"/>
      <c r="AU923" s="90"/>
      <c r="AV923" s="91"/>
      <c r="AX923" s="92"/>
    </row>
    <row r="924" customFormat="false" ht="15.65" hidden="false" customHeight="false" outlineLevel="0" collapsed="false">
      <c r="C924" s="72" t="n">
        <f aca="false">COUNTIFS($D$6:D924,"&lt;&gt;"&amp;"")</f>
        <v>919</v>
      </c>
      <c r="D924" s="73" t="s">
        <v>12</v>
      </c>
      <c r="E924" s="76" t="str">
        <f aca="false">
IF($D924="정상",INDEX(임대자산!$D$3:$R$3000,MATCH($F924,임대자산!$I$3:$I$3000,0),MATCH(E$3,임대자산!$D$3:$R$3,0)),
IF($D924="폐업",INDEX(폐업정보!$D$3:$R$3000,MATCH($F924,폐업정보!$I$3:$I$3000,0),MATCH(E$3,폐업정보!$D$3:$R$3,0)),
"Error"))</f>
        <v>경상</v>
      </c>
      <c r="F92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B0919</v>
      </c>
      <c r="G924" s="76" t="str">
        <f aca="false">F924&amp;RANDBETWEEN(0,10)</f>
        <v>B09195</v>
      </c>
      <c r="H924" s="75" t="n">
        <f aca="false">
IF($D924="정상",INDEX(임대자산!$D$3:$R$3000,MATCH($F924,임대자산!$I$3:$I$3000,0),MATCH(H$4,임대자산!$D$3:$R$3,0)),
IF($D924="폐업",INDEX(폐업정보!$D$3:$R$3000,MATCH($F924,폐업정보!$I$3:$I$3000,0),MATCH(H$4,폐업정보!$D$3:$R$3,0)),
"Error"))</f>
        <v>45750</v>
      </c>
      <c r="I924" s="75" t="str">
        <f aca="false">
IF($D924="정상",INDEX(임대자산!$D$3:$R$3000,MATCH($F924,임대자산!$I$3:$I$3000,0),MATCH(I$4,임대자산!$D$3:$R$3,0)),
IF($D924="폐업",INDEX(폐업정보!$D$3:$R$3000,MATCH($F924,폐업정보!$I$3:$I$3000,0),MATCH(I$4,폐업정보!$D$3:$R$3,0)),
"Error"))</f>
        <v>A0919</v>
      </c>
      <c r="J924" s="75" t="str">
        <f aca="false">
IF($D924="정상",INDEX(임대자산!$D$3:$R$3000,MATCH($F924,임대자산!$I$3:$I$3000,0),MATCH(J$4,임대자산!$D$3:$R$3,0)),
IF($D924="폐업",INDEX(폐업정보!$D$3:$R$3000,MATCH($F924,폐업정보!$I$3:$I$3000,0),MATCH(J$4,폐업정보!$D$3:$R$3,0)),
"Error"))</f>
        <v>7098500000</v>
      </c>
      <c r="K924" s="75" t="str">
        <f aca="false">
IF($D924="정상",INDEX(임대자산!$D$3:$R$3000,MATCH($F924,임대자산!$I$3:$I$3000,0),MATCH(K$4,임대자산!$D$3:$R$3,0)),
IF($D924="폐업",INDEX(폐업정보!$D$3:$R$3000,MATCH($F924,폐업정보!$I$3:$I$3000,0),MATCH(K$4,폐업정보!$D$3:$R$3,0)),
"Error"))</f>
        <v>C0919</v>
      </c>
      <c r="L924" s="75" t="str">
        <f aca="false">
IF($D924="정상",INDEX(임대자산!$D$3:$R$3000,MATCH($F924,임대자산!$I$3:$I$3000,0),MATCH(L$4,임대자산!$D$3:$R$3,0)),
IF($D924="폐업",INDEX(폐업정보!$D$3:$R$3000,MATCH($F924,폐업정보!$I$3:$I$3000,0),MATCH(L$4,폐업정보!$D$3:$R$3,0)),
"Error"))</f>
        <v>D0919</v>
      </c>
      <c r="M924" s="76" t="s">
        <v>96</v>
      </c>
      <c r="N924" s="77"/>
      <c r="O924" s="78" t="s">
        <v>97</v>
      </c>
      <c r="P924" s="79" t="n">
        <f aca="false">COUNTIFS(임대자산!$I:$I,가맹점정보!F924,임대자산!$N:$N,가맹점정보!P$4)</f>
        <v>0</v>
      </c>
      <c r="Q924" s="80" t="n">
        <f aca="false">COUNTIFS(임대자산!$I:$I,가맹점정보!F924,임대자산!$N:$N,가맹점정보!Q$4)</f>
        <v>0</v>
      </c>
      <c r="R924" s="81" t="n">
        <f aca="false">COUNTIFS(임대자산!$I:$I,가맹점정보!F924,임대자산!$N:$N,가맹점정보!R$4)</f>
        <v>1</v>
      </c>
      <c r="S924" s="82" t="n">
        <v>55000</v>
      </c>
      <c r="T924" s="83" t="n">
        <v>0</v>
      </c>
      <c r="U924" s="80" t="n">
        <f aca="false">SUM(S924:T924)</f>
        <v>55000</v>
      </c>
      <c r="V924" s="84" t="s">
        <v>12</v>
      </c>
      <c r="W924" s="80" t="e">
        <f aca="true">
IF(D924="폐업","폐업",
IF(V924="면제","면제",
IF(AND(V924="정상",COUNTIFS(OFFSET(Y924,0,COUNTA(Y924:AV924)-1,1,-4),"미납")&gt;=3),"장기미납",
IF(AND(V924="정상",OFFSET(Y924,0,COUNTA(Y924:AV924)-1)&gt;=U924),"정상",
IF(AND(V924="정상",OFFSET(Y924,0,COUNTA(Y924:AV924)-1)=0),"정상",
"계약서 미작성")))))</f>
        <v>#VALUE!</v>
      </c>
      <c r="X924" s="81" t="str">
        <f aca="true">
IF(D924="폐업","폐업",
IF(AND(V924="정상",OFFSET(Y924,0,COUNTA(Y924:AV924)-1)="미납"),"미납",
IF(AND(V924="정상",OFFSET(Y924,0,COUNTA(Y924:AV924)-1)=0),"납부 시작 전",
IF(AND(V924="정상",OFFSET(Y924,0,COUNTA(Y924:AV924)-1)&gt;=U924),"정상",
IF(AND(V924="면제",OFFSET(Y924,0,COUNTA(Y924:AV924)-1)="면제"),"면제",
IF(AND(V924="면제",OFFSET(Y924,0,COUNTA(Y924:AV924)-1)=0),"면제",
"확인요청"))))))</f>
        <v>정상</v>
      </c>
      <c r="Y924" s="93" t="n">
        <v>55000</v>
      </c>
      <c r="Z924" s="90" t="n">
        <v>55000</v>
      </c>
      <c r="AA924" s="90" t="n">
        <v>55000</v>
      </c>
      <c r="AB924" s="90" t="n">
        <v>55000</v>
      </c>
      <c r="AC924" s="90" t="n">
        <v>55000</v>
      </c>
      <c r="AD924" s="90" t="n">
        <v>55000</v>
      </c>
      <c r="AE924" s="90" t="n">
        <v>55000</v>
      </c>
      <c r="AF924" s="90" t="n">
        <v>55000</v>
      </c>
      <c r="AG924" s="90" t="n">
        <v>55000</v>
      </c>
      <c r="AH924" s="90" t="n">
        <v>55000</v>
      </c>
      <c r="AI924" s="90" t="n">
        <v>55000</v>
      </c>
      <c r="AJ924" s="91" t="n">
        <v>55000</v>
      </c>
      <c r="AK924" s="89" t="n">
        <v>55000</v>
      </c>
      <c r="AL924" s="90" t="n">
        <v>55000</v>
      </c>
      <c r="AM924" s="90"/>
      <c r="AN924" s="90"/>
      <c r="AO924" s="90"/>
      <c r="AP924" s="90"/>
      <c r="AQ924" s="90"/>
      <c r="AR924" s="90"/>
      <c r="AS924" s="90"/>
      <c r="AT924" s="90"/>
      <c r="AU924" s="90"/>
      <c r="AV924" s="91"/>
      <c r="AX924" s="92"/>
    </row>
    <row r="925" customFormat="false" ht="15.65" hidden="false" customHeight="false" outlineLevel="0" collapsed="false">
      <c r="C925" s="72" t="n">
        <f aca="false">COUNTIFS($D$6:D925,"&lt;&gt;"&amp;"")</f>
        <v>920</v>
      </c>
      <c r="D925" s="73" t="s">
        <v>12</v>
      </c>
      <c r="E925" s="76" t="str">
        <f aca="false">
IF($D925="정상",INDEX(임대자산!$D$3:$R$3000,MATCH($F925,임대자산!$I$3:$I$3000,0),MATCH(E$3,임대자산!$D$3:$R$3,0)),
IF($D925="폐업",INDEX(폐업정보!$D$3:$R$3000,MATCH($F925,폐업정보!$I$3:$I$3000,0),MATCH(E$3,폐업정보!$D$3:$R$3,0)),
"Error"))</f>
        <v>서울</v>
      </c>
      <c r="F92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B0920</v>
      </c>
      <c r="G925" s="76" t="str">
        <f aca="false">F925&amp;RANDBETWEEN(0,10)</f>
        <v>B09207</v>
      </c>
      <c r="H925" s="75" t="n">
        <f aca="false">
IF($D925="정상",INDEX(임대자산!$D$3:$R$3000,MATCH($F925,임대자산!$I$3:$I$3000,0),MATCH(H$4,임대자산!$D$3:$R$3,0)),
IF($D925="폐업",INDEX(폐업정보!$D$3:$R$3000,MATCH($F925,폐업정보!$I$3:$I$3000,0),MATCH(H$4,폐업정보!$D$3:$R$3,0)),
"Error"))</f>
        <v>44652</v>
      </c>
      <c r="I925" s="75" t="str">
        <f aca="false">
IF($D925="정상",INDEX(임대자산!$D$3:$R$3000,MATCH($F925,임대자산!$I$3:$I$3000,0),MATCH(I$4,임대자산!$D$3:$R$3,0)),
IF($D925="폐업",INDEX(폐업정보!$D$3:$R$3000,MATCH($F925,폐업정보!$I$3:$I$3000,0),MATCH(I$4,폐업정보!$D$3:$R$3,0)),
"Error"))</f>
        <v>A0920</v>
      </c>
      <c r="J925" s="75" t="str">
        <f aca="false">
IF($D925="정상",INDEX(임대자산!$D$3:$R$3000,MATCH($F925,임대자산!$I$3:$I$3000,0),MATCH(J$4,임대자산!$D$3:$R$3,0)),
IF($D925="폐업",INDEX(폐업정보!$D$3:$R$3000,MATCH($F925,폐업정보!$I$3:$I$3000,0),MATCH(J$4,폐업정보!$D$3:$R$3,0)),
"Error"))</f>
        <v>4265900000</v>
      </c>
      <c r="K925" s="75" t="str">
        <f aca="false">
IF($D925="정상",INDEX(임대자산!$D$3:$R$3000,MATCH($F925,임대자산!$I$3:$I$3000,0),MATCH(K$4,임대자산!$D$3:$R$3,0)),
IF($D925="폐업",INDEX(폐업정보!$D$3:$R$3000,MATCH($F925,폐업정보!$I$3:$I$3000,0),MATCH(K$4,폐업정보!$D$3:$R$3,0)),
"Error"))</f>
        <v>C0920</v>
      </c>
      <c r="L925" s="75" t="str">
        <f aca="false">
IF($D925="정상",INDEX(임대자산!$D$3:$R$3000,MATCH($F925,임대자산!$I$3:$I$3000,0),MATCH(L$4,임대자산!$D$3:$R$3,0)),
IF($D925="폐업",INDEX(폐업정보!$D$3:$R$3000,MATCH($F925,폐업정보!$I$3:$I$3000,0),MATCH(L$4,폐업정보!$D$3:$R$3,0)),
"Error"))</f>
        <v>D0920</v>
      </c>
      <c r="M925" s="76" t="s">
        <v>96</v>
      </c>
      <c r="N925" s="77"/>
      <c r="O925" s="78" t="s">
        <v>97</v>
      </c>
      <c r="P925" s="79" t="n">
        <f aca="false">COUNTIFS(임대자산!$I:$I,가맹점정보!F925,임대자산!$N:$N,가맹점정보!P$4)</f>
        <v>0</v>
      </c>
      <c r="Q925" s="80" t="n">
        <f aca="false">COUNTIFS(임대자산!$I:$I,가맹점정보!F925,임대자산!$N:$N,가맹점정보!Q$4)</f>
        <v>0</v>
      </c>
      <c r="R925" s="81" t="n">
        <f aca="false">COUNTIFS(임대자산!$I:$I,가맹점정보!F925,임대자산!$N:$N,가맹점정보!R$4)</f>
        <v>1</v>
      </c>
      <c r="S925" s="82" t="n">
        <v>55000</v>
      </c>
      <c r="T925" s="83" t="n">
        <v>0</v>
      </c>
      <c r="U925" s="80" t="n">
        <f aca="false">SUM(S925:T925)</f>
        <v>55000</v>
      </c>
      <c r="V925" s="84" t="s">
        <v>12</v>
      </c>
      <c r="W925" s="80" t="e">
        <f aca="true">
IF(D925="폐업","폐업",
IF(V925="면제","면제",
IF(AND(V925="정상",COUNTIFS(OFFSET(Y925,0,COUNTA(Y925:AV925)-1,1,-4),"미납")&gt;=3),"장기미납",
IF(AND(V925="정상",OFFSET(Y925,0,COUNTA(Y925:AV925)-1)&gt;=U925),"정상",
IF(AND(V925="정상",OFFSET(Y925,0,COUNTA(Y925:AV925)-1)=0),"정상",
"계약서 미작성")))))</f>
        <v>#VALUE!</v>
      </c>
      <c r="X925" s="81" t="str">
        <f aca="true">
IF(D925="폐업","폐업",
IF(AND(V925="정상",OFFSET(Y925,0,COUNTA(Y925:AV925)-1)="미납"),"미납",
IF(AND(V925="정상",OFFSET(Y925,0,COUNTA(Y925:AV925)-1)=0),"납부 시작 전",
IF(AND(V925="정상",OFFSET(Y925,0,COUNTA(Y925:AV925)-1)&gt;=U925),"정상",
IF(AND(V925="면제",OFFSET(Y925,0,COUNTA(Y925:AV925)-1)="면제"),"면제",
IF(AND(V925="면제",OFFSET(Y925,0,COUNTA(Y925:AV925)-1)=0),"면제",
"확인요청"))))))</f>
        <v>미납</v>
      </c>
      <c r="Y925" s="93" t="n">
        <v>55000</v>
      </c>
      <c r="Z925" s="90" t="n">
        <v>55000</v>
      </c>
      <c r="AA925" s="90" t="n">
        <v>55000</v>
      </c>
      <c r="AB925" s="90" t="n">
        <v>55000</v>
      </c>
      <c r="AC925" s="90" t="n">
        <v>55000</v>
      </c>
      <c r="AD925" s="90" t="n">
        <v>55000</v>
      </c>
      <c r="AE925" s="95" t="s">
        <v>62</v>
      </c>
      <c r="AF925" s="95" t="s">
        <v>62</v>
      </c>
      <c r="AG925" s="95" t="s">
        <v>62</v>
      </c>
      <c r="AH925" s="95" t="s">
        <v>62</v>
      </c>
      <c r="AI925" s="95" t="s">
        <v>62</v>
      </c>
      <c r="AJ925" s="96" t="s">
        <v>62</v>
      </c>
      <c r="AK925" s="97" t="s">
        <v>62</v>
      </c>
      <c r="AL925" s="95" t="s">
        <v>62</v>
      </c>
      <c r="AM925" s="90"/>
      <c r="AN925" s="90"/>
      <c r="AO925" s="90"/>
      <c r="AP925" s="90"/>
      <c r="AQ925" s="90"/>
      <c r="AR925" s="90"/>
      <c r="AS925" s="90"/>
      <c r="AT925" s="90"/>
      <c r="AU925" s="90"/>
      <c r="AV925" s="91"/>
      <c r="AX925" s="92"/>
    </row>
    <row r="926" customFormat="false" ht="15.65" hidden="false" customHeight="false" outlineLevel="0" collapsed="false">
      <c r="C926" s="72" t="n">
        <f aca="false">COUNTIFS($D$6:D926,"&lt;&gt;"&amp;"")</f>
        <v>921</v>
      </c>
      <c r="D926" s="73" t="s">
        <v>12</v>
      </c>
      <c r="E926" s="76" t="str">
        <f aca="false">
IF($D926="정상",INDEX(임대자산!$D$3:$R$3000,MATCH($F926,임대자산!$I$3:$I$3000,0),MATCH(E$3,임대자산!$D$3:$R$3,0)),
IF($D926="폐업",INDEX(폐업정보!$D$3:$R$3000,MATCH($F926,폐업정보!$I$3:$I$3000,0),MATCH(E$3,폐업정보!$D$3:$R$3,0)),
"Error"))</f>
        <v>서울</v>
      </c>
      <c r="F92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B0921</v>
      </c>
      <c r="G926" s="76" t="str">
        <f aca="false">F926&amp;RANDBETWEEN(0,10)</f>
        <v>B09215</v>
      </c>
      <c r="H926" s="75" t="n">
        <f aca="false">
IF($D926="정상",INDEX(임대자산!$D$3:$R$3000,MATCH($F926,임대자산!$I$3:$I$3000,0),MATCH(H$4,임대자산!$D$3:$R$3,0)),
IF($D926="폐업",INDEX(폐업정보!$D$3:$R$3000,MATCH($F926,폐업정보!$I$3:$I$3000,0),MATCH(H$4,폐업정보!$D$3:$R$3,0)),
"Error"))</f>
        <v>46062</v>
      </c>
      <c r="I926" s="75" t="str">
        <f aca="false">
IF($D926="정상",INDEX(임대자산!$D$3:$R$3000,MATCH($F926,임대자산!$I$3:$I$3000,0),MATCH(I$4,임대자산!$D$3:$R$3,0)),
IF($D926="폐업",INDEX(폐업정보!$D$3:$R$3000,MATCH($F926,폐업정보!$I$3:$I$3000,0),MATCH(I$4,폐업정보!$D$3:$R$3,0)),
"Error"))</f>
        <v>A0921</v>
      </c>
      <c r="J926" s="75" t="str">
        <f aca="false">
IF($D926="정상",INDEX(임대자산!$D$3:$R$3000,MATCH($F926,임대자산!$I$3:$I$3000,0),MATCH(J$4,임대자산!$D$3:$R$3,0)),
IF($D926="폐업",INDEX(폐업정보!$D$3:$R$3000,MATCH($F926,폐업정보!$I$3:$I$3000,0),MATCH(J$4,폐업정보!$D$3:$R$3,0)),
"Error"))</f>
        <v>3482700000</v>
      </c>
      <c r="K926" s="75" t="str">
        <f aca="false">
IF($D926="정상",INDEX(임대자산!$D$3:$R$3000,MATCH($F926,임대자산!$I$3:$I$3000,0),MATCH(K$4,임대자산!$D$3:$R$3,0)),
IF($D926="폐업",INDEX(폐업정보!$D$3:$R$3000,MATCH($F926,폐업정보!$I$3:$I$3000,0),MATCH(K$4,폐업정보!$D$3:$R$3,0)),
"Error"))</f>
        <v>C0921</v>
      </c>
      <c r="L926" s="75" t="str">
        <f aca="false">
IF($D926="정상",INDEX(임대자산!$D$3:$R$3000,MATCH($F926,임대자산!$I$3:$I$3000,0),MATCH(L$4,임대자산!$D$3:$R$3,0)),
IF($D926="폐업",INDEX(폐업정보!$D$3:$R$3000,MATCH($F926,폐업정보!$I$3:$I$3000,0),MATCH(L$4,폐업정보!$D$3:$R$3,0)),
"Error"))</f>
        <v>D0921</v>
      </c>
      <c r="M926" s="76" t="s">
        <v>96</v>
      </c>
      <c r="N926" s="77"/>
      <c r="O926" s="78" t="s">
        <v>97</v>
      </c>
      <c r="P926" s="79" t="n">
        <f aca="false">COUNTIFS(임대자산!$I:$I,가맹점정보!F926,임대자산!$N:$N,가맹점정보!P$4)</f>
        <v>0</v>
      </c>
      <c r="Q926" s="80" t="n">
        <f aca="false">COUNTIFS(임대자산!$I:$I,가맹점정보!F926,임대자산!$N:$N,가맹점정보!Q$4)</f>
        <v>0</v>
      </c>
      <c r="R926" s="81" t="n">
        <f aca="false">COUNTIFS(임대자산!$I:$I,가맹점정보!F926,임대자산!$N:$N,가맹점정보!R$4)</f>
        <v>1</v>
      </c>
      <c r="S926" s="82" t="n">
        <v>55000</v>
      </c>
      <c r="T926" s="83" t="n">
        <v>0</v>
      </c>
      <c r="U926" s="80" t="n">
        <f aca="false">SUM(S926:T926)</f>
        <v>55000</v>
      </c>
      <c r="V926" s="84" t="s">
        <v>12</v>
      </c>
      <c r="W926" s="80" t="e">
        <f aca="true">
IF(D926="폐업","폐업",
IF(V926="면제","면제",
IF(AND(V926="정상",COUNTIFS(OFFSET(Y926,0,COUNTA(Y926:AV926)-1,1,-4),"미납")&gt;=3),"장기미납",
IF(AND(V926="정상",OFFSET(Y926,0,COUNTA(Y926:AV926)-1)&gt;=U926),"정상",
IF(AND(V926="정상",OFFSET(Y926,0,COUNTA(Y926:AV926)-1)=0),"정상",
"계약서 미작성")))))</f>
        <v>#VALUE!</v>
      </c>
      <c r="X926" s="81" t="str">
        <f aca="true">
IF(D926="폐업","폐업",
IF(AND(V926="정상",OFFSET(Y926,0,COUNTA(Y926:AV926)-1)="미납"),"미납",
IF(AND(V926="정상",OFFSET(Y926,0,COUNTA(Y926:AV926)-1)=0),"납부 시작 전",
IF(AND(V926="정상",OFFSET(Y926,0,COUNTA(Y926:AV926)-1)&gt;=U926),"정상",
IF(AND(V926="면제",OFFSET(Y926,0,COUNTA(Y926:AV926)-1)="면제"),"면제",
IF(AND(V926="면제",OFFSET(Y926,0,COUNTA(Y926:AV926)-1)=0),"면제",
"확인요청"))))))</f>
        <v>미납</v>
      </c>
      <c r="Y926" s="93" t="n">
        <v>55000</v>
      </c>
      <c r="Z926" s="90" t="n">
        <v>55000</v>
      </c>
      <c r="AA926" s="90" t="n">
        <v>55000</v>
      </c>
      <c r="AB926" s="90" t="n">
        <v>55000</v>
      </c>
      <c r="AC926" s="90" t="n">
        <v>55000</v>
      </c>
      <c r="AD926" s="90" t="n">
        <v>55000</v>
      </c>
      <c r="AE926" s="90" t="n">
        <v>55000</v>
      </c>
      <c r="AF926" s="90" t="n">
        <v>55000</v>
      </c>
      <c r="AG926" s="90" t="n">
        <v>55000</v>
      </c>
      <c r="AH926" s="90" t="n">
        <v>55000</v>
      </c>
      <c r="AI926" s="90" t="n">
        <v>55000</v>
      </c>
      <c r="AJ926" s="96" t="s">
        <v>62</v>
      </c>
      <c r="AK926" s="97" t="s">
        <v>62</v>
      </c>
      <c r="AL926" s="95" t="s">
        <v>62</v>
      </c>
      <c r="AM926" s="90"/>
      <c r="AN926" s="90"/>
      <c r="AO926" s="90"/>
      <c r="AP926" s="90"/>
      <c r="AQ926" s="90"/>
      <c r="AR926" s="90"/>
      <c r="AS926" s="90"/>
      <c r="AT926" s="90"/>
      <c r="AU926" s="90"/>
      <c r="AV926" s="91"/>
      <c r="AX926" s="92"/>
    </row>
    <row r="927" customFormat="false" ht="15.65" hidden="false" customHeight="false" outlineLevel="0" collapsed="false">
      <c r="C927" s="72" t="n">
        <f aca="false">COUNTIFS($D$6:D927,"&lt;&gt;"&amp;"")</f>
        <v>922</v>
      </c>
      <c r="D927" s="73" t="s">
        <v>12</v>
      </c>
      <c r="E927" s="76" t="str">
        <f aca="false">
IF($D927="정상",INDEX(임대자산!$D$3:$R$3000,MATCH($F927,임대자산!$I$3:$I$3000,0),MATCH(E$3,임대자산!$D$3:$R$3,0)),
IF($D927="폐업",INDEX(폐업정보!$D$3:$R$3000,MATCH($F927,폐업정보!$I$3:$I$3000,0),MATCH(E$3,폐업정보!$D$3:$R$3,0)),
"Error"))</f>
        <v>서울</v>
      </c>
      <c r="F92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B0922</v>
      </c>
      <c r="G927" s="76" t="str">
        <f aca="false">F927&amp;RANDBETWEEN(0,10)</f>
        <v>B09226</v>
      </c>
      <c r="H927" s="75" t="n">
        <f aca="false">
IF($D927="정상",INDEX(임대자산!$D$3:$R$3000,MATCH($F927,임대자산!$I$3:$I$3000,0),MATCH(H$4,임대자산!$D$3:$R$3,0)),
IF($D927="폐업",INDEX(폐업정보!$D$3:$R$3000,MATCH($F927,폐업정보!$I$3:$I$3000,0),MATCH(H$4,폐업정보!$D$3:$R$3,0)),
"Error"))</f>
        <v>45545</v>
      </c>
      <c r="I927" s="75" t="str">
        <f aca="false">
IF($D927="정상",INDEX(임대자산!$D$3:$R$3000,MATCH($F927,임대자산!$I$3:$I$3000,0),MATCH(I$4,임대자산!$D$3:$R$3,0)),
IF($D927="폐업",INDEX(폐업정보!$D$3:$R$3000,MATCH($F927,폐업정보!$I$3:$I$3000,0),MATCH(I$4,폐업정보!$D$3:$R$3,0)),
"Error"))</f>
        <v>A0922</v>
      </c>
      <c r="J927" s="75" t="str">
        <f aca="false">
IF($D927="정상",INDEX(임대자산!$D$3:$R$3000,MATCH($F927,임대자산!$I$3:$I$3000,0),MATCH(J$4,임대자산!$D$3:$R$3,0)),
IF($D927="폐업",INDEX(폐업정보!$D$3:$R$3000,MATCH($F927,폐업정보!$I$3:$I$3000,0),MATCH(J$4,폐업정보!$D$3:$R$3,0)),
"Error"))</f>
        <v>1159200000</v>
      </c>
      <c r="K927" s="75" t="str">
        <f aca="false">
IF($D927="정상",INDEX(임대자산!$D$3:$R$3000,MATCH($F927,임대자산!$I$3:$I$3000,0),MATCH(K$4,임대자산!$D$3:$R$3,0)),
IF($D927="폐업",INDEX(폐업정보!$D$3:$R$3000,MATCH($F927,폐업정보!$I$3:$I$3000,0),MATCH(K$4,폐업정보!$D$3:$R$3,0)),
"Error"))</f>
        <v>C0922</v>
      </c>
      <c r="L927" s="75" t="str">
        <f aca="false">
IF($D927="정상",INDEX(임대자산!$D$3:$R$3000,MATCH($F927,임대자산!$I$3:$I$3000,0),MATCH(L$4,임대자산!$D$3:$R$3,0)),
IF($D927="폐업",INDEX(폐업정보!$D$3:$R$3000,MATCH($F927,폐업정보!$I$3:$I$3000,0),MATCH(L$4,폐업정보!$D$3:$R$3,0)),
"Error"))</f>
        <v>D0922</v>
      </c>
      <c r="M927" s="76" t="s">
        <v>96</v>
      </c>
      <c r="N927" s="77"/>
      <c r="O927" s="78" t="s">
        <v>97</v>
      </c>
      <c r="P927" s="79" t="n">
        <f aca="false">COUNTIFS(임대자산!$I:$I,가맹점정보!F927,임대자산!$N:$N,가맹점정보!P$4)</f>
        <v>0</v>
      </c>
      <c r="Q927" s="80" t="n">
        <f aca="false">COUNTIFS(임대자산!$I:$I,가맹점정보!F927,임대자산!$N:$N,가맹점정보!Q$4)</f>
        <v>0</v>
      </c>
      <c r="R927" s="81" t="n">
        <f aca="false">COUNTIFS(임대자산!$I:$I,가맹점정보!F927,임대자산!$N:$N,가맹점정보!R$4)</f>
        <v>1</v>
      </c>
      <c r="S927" s="82" t="n">
        <v>55000</v>
      </c>
      <c r="T927" s="83" t="n">
        <v>0</v>
      </c>
      <c r="U927" s="80" t="n">
        <f aca="false">SUM(S927:T927)</f>
        <v>55000</v>
      </c>
      <c r="V927" s="84" t="s">
        <v>12</v>
      </c>
      <c r="W927" s="80" t="e">
        <f aca="true">
IF(D927="폐업","폐업",
IF(V927="면제","면제",
IF(AND(V927="정상",COUNTIFS(OFFSET(Y927,0,COUNTA(Y927:AV927)-1,1,-4),"미납")&gt;=3),"장기미납",
IF(AND(V927="정상",OFFSET(Y927,0,COUNTA(Y927:AV927)-1)&gt;=U927),"정상",
IF(AND(V927="정상",OFFSET(Y927,0,COUNTA(Y927:AV927)-1)=0),"정상",
"계약서 미작성")))))</f>
        <v>#VALUE!</v>
      </c>
      <c r="X927" s="81" t="str">
        <f aca="true">
IF(D927="폐업","폐업",
IF(AND(V927="정상",OFFSET(Y927,0,COUNTA(Y927:AV927)-1)="미납"),"미납",
IF(AND(V927="정상",OFFSET(Y927,0,COUNTA(Y927:AV927)-1)=0),"납부 시작 전",
IF(AND(V927="정상",OFFSET(Y927,0,COUNTA(Y927:AV927)-1)&gt;=U927),"정상",
IF(AND(V927="면제",OFFSET(Y927,0,COUNTA(Y927:AV927)-1)="면제"),"면제",
IF(AND(V927="면제",OFFSET(Y927,0,COUNTA(Y927:AV927)-1)=0),"면제",
"확인요청"))))))</f>
        <v>정상</v>
      </c>
      <c r="Y927" s="93" t="n">
        <v>55000</v>
      </c>
      <c r="Z927" s="90" t="n">
        <v>55000</v>
      </c>
      <c r="AA927" s="90" t="n">
        <v>55000</v>
      </c>
      <c r="AB927" s="90" t="n">
        <v>55000</v>
      </c>
      <c r="AC927" s="90" t="n">
        <v>55000</v>
      </c>
      <c r="AD927" s="90" t="n">
        <v>55000</v>
      </c>
      <c r="AE927" s="90" t="n">
        <v>55000</v>
      </c>
      <c r="AF927" s="90" t="n">
        <v>55000</v>
      </c>
      <c r="AG927" s="90" t="n">
        <v>55000</v>
      </c>
      <c r="AH927" s="90" t="n">
        <v>55000</v>
      </c>
      <c r="AI927" s="90" t="n">
        <v>55000</v>
      </c>
      <c r="AJ927" s="91" t="n">
        <v>55000</v>
      </c>
      <c r="AK927" s="97" t="s">
        <v>62</v>
      </c>
      <c r="AL927" s="90" t="n">
        <v>55000</v>
      </c>
      <c r="AM927" s="90"/>
      <c r="AN927" s="90"/>
      <c r="AO927" s="90"/>
      <c r="AP927" s="90"/>
      <c r="AQ927" s="90"/>
      <c r="AR927" s="90"/>
      <c r="AS927" s="90"/>
      <c r="AT927" s="90"/>
      <c r="AU927" s="90"/>
      <c r="AV927" s="91"/>
      <c r="AX927" s="92"/>
    </row>
    <row r="928" customFormat="false" ht="15.65" hidden="false" customHeight="false" outlineLevel="0" collapsed="false">
      <c r="C928" s="72" t="n">
        <f aca="false">COUNTIFS($D$6:D928,"&lt;&gt;"&amp;"")</f>
        <v>923</v>
      </c>
      <c r="D928" s="73" t="s">
        <v>12</v>
      </c>
      <c r="E928" s="76" t="str">
        <f aca="false">
IF($D928="정상",INDEX(임대자산!$D$3:$R$3000,MATCH($F928,임대자산!$I$3:$I$3000,0),MATCH(E$3,임대자산!$D$3:$R$3,0)),
IF($D928="폐업",INDEX(폐업정보!$D$3:$R$3000,MATCH($F928,폐업정보!$I$3:$I$3000,0),MATCH(E$3,폐업정보!$D$3:$R$3,0)),
"Error"))</f>
        <v>강원</v>
      </c>
      <c r="F92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B0923</v>
      </c>
      <c r="G928" s="76" t="str">
        <f aca="false">F928&amp;RANDBETWEEN(0,10)</f>
        <v>B09239</v>
      </c>
      <c r="H928" s="75" t="n">
        <f aca="false">
IF($D928="정상",INDEX(임대자산!$D$3:$R$3000,MATCH($F928,임대자산!$I$3:$I$3000,0),MATCH(H$4,임대자산!$D$3:$R$3,0)),
IF($D928="폐업",INDEX(폐업정보!$D$3:$R$3000,MATCH($F928,폐업정보!$I$3:$I$3000,0),MATCH(H$4,폐업정보!$D$3:$R$3,0)),
"Error"))</f>
        <v>44656</v>
      </c>
      <c r="I928" s="75" t="str">
        <f aca="false">
IF($D928="정상",INDEX(임대자산!$D$3:$R$3000,MATCH($F928,임대자산!$I$3:$I$3000,0),MATCH(I$4,임대자산!$D$3:$R$3,0)),
IF($D928="폐업",INDEX(폐업정보!$D$3:$R$3000,MATCH($F928,폐업정보!$I$3:$I$3000,0),MATCH(I$4,폐업정보!$D$3:$R$3,0)),
"Error"))</f>
        <v>A0923</v>
      </c>
      <c r="J928" s="75" t="str">
        <f aca="false">
IF($D928="정상",INDEX(임대자산!$D$3:$R$3000,MATCH($F928,임대자산!$I$3:$I$3000,0),MATCH(J$4,임대자산!$D$3:$R$3,0)),
IF($D928="폐업",INDEX(폐업정보!$D$3:$R$3000,MATCH($F928,폐업정보!$I$3:$I$3000,0),MATCH(J$4,폐업정보!$D$3:$R$3,0)),
"Error"))</f>
        <v>3149900000</v>
      </c>
      <c r="K928" s="75" t="str">
        <f aca="false">
IF($D928="정상",INDEX(임대자산!$D$3:$R$3000,MATCH($F928,임대자산!$I$3:$I$3000,0),MATCH(K$4,임대자산!$D$3:$R$3,0)),
IF($D928="폐업",INDEX(폐업정보!$D$3:$R$3000,MATCH($F928,폐업정보!$I$3:$I$3000,0),MATCH(K$4,폐업정보!$D$3:$R$3,0)),
"Error"))</f>
        <v>C0923</v>
      </c>
      <c r="L928" s="75" t="str">
        <f aca="false">
IF($D928="정상",INDEX(임대자산!$D$3:$R$3000,MATCH($F928,임대자산!$I$3:$I$3000,0),MATCH(L$4,임대자산!$D$3:$R$3,0)),
IF($D928="폐업",INDEX(폐업정보!$D$3:$R$3000,MATCH($F928,폐업정보!$I$3:$I$3000,0),MATCH(L$4,폐업정보!$D$3:$R$3,0)),
"Error"))</f>
        <v>D0923</v>
      </c>
      <c r="M928" s="76" t="s">
        <v>96</v>
      </c>
      <c r="N928" s="77"/>
      <c r="O928" s="78" t="s">
        <v>97</v>
      </c>
      <c r="P928" s="79" t="n">
        <f aca="false">COUNTIFS(임대자산!$I:$I,가맹점정보!F928,임대자산!$N:$N,가맹점정보!P$4)</f>
        <v>0</v>
      </c>
      <c r="Q928" s="80" t="n">
        <f aca="false">COUNTIFS(임대자산!$I:$I,가맹점정보!F928,임대자산!$N:$N,가맹점정보!Q$4)</f>
        <v>0</v>
      </c>
      <c r="R928" s="81" t="n">
        <f aca="false">COUNTIFS(임대자산!$I:$I,가맹점정보!F928,임대자산!$N:$N,가맹점정보!R$4)</f>
        <v>1</v>
      </c>
      <c r="S928" s="82" t="n">
        <v>55000</v>
      </c>
      <c r="T928" s="83" t="n">
        <v>0</v>
      </c>
      <c r="U928" s="80" t="n">
        <f aca="false">SUM(S928:T928)</f>
        <v>55000</v>
      </c>
      <c r="V928" s="84" t="s">
        <v>12</v>
      </c>
      <c r="W928" s="80" t="e">
        <f aca="true">
IF(D928="폐업","폐업",
IF(V928="면제","면제",
IF(AND(V928="정상",COUNTIFS(OFFSET(Y928,0,COUNTA(Y928:AV928)-1,1,-4),"미납")&gt;=3),"장기미납",
IF(AND(V928="정상",OFFSET(Y928,0,COUNTA(Y928:AV928)-1)&gt;=U928),"정상",
IF(AND(V928="정상",OFFSET(Y928,0,COUNTA(Y928:AV928)-1)=0),"정상",
"계약서 미작성")))))</f>
        <v>#VALUE!</v>
      </c>
      <c r="X928" s="81" t="str">
        <f aca="true">
IF(D928="폐업","폐업",
IF(AND(V928="정상",OFFSET(Y928,0,COUNTA(Y928:AV928)-1)="미납"),"미납",
IF(AND(V928="정상",OFFSET(Y928,0,COUNTA(Y928:AV928)-1)=0),"납부 시작 전",
IF(AND(V928="정상",OFFSET(Y928,0,COUNTA(Y928:AV928)-1)&gt;=U928),"정상",
IF(AND(V928="면제",OFFSET(Y928,0,COUNTA(Y928:AV928)-1)="면제"),"면제",
IF(AND(V928="면제",OFFSET(Y928,0,COUNTA(Y928:AV928)-1)=0),"면제",
"확인요청"))))))</f>
        <v>정상</v>
      </c>
      <c r="Y928" s="93" t="n">
        <v>55000</v>
      </c>
      <c r="Z928" s="90" t="n">
        <v>55000</v>
      </c>
      <c r="AA928" s="90" t="n">
        <v>55000</v>
      </c>
      <c r="AB928" s="90" t="n">
        <v>55000</v>
      </c>
      <c r="AC928" s="90" t="n">
        <v>55000</v>
      </c>
      <c r="AD928" s="90" t="n">
        <v>55000</v>
      </c>
      <c r="AE928" s="90" t="n">
        <v>55000</v>
      </c>
      <c r="AF928" s="90" t="n">
        <v>55000</v>
      </c>
      <c r="AG928" s="90" t="n">
        <v>55000</v>
      </c>
      <c r="AH928" s="90" t="n">
        <v>55000</v>
      </c>
      <c r="AI928" s="90" t="n">
        <v>55000</v>
      </c>
      <c r="AJ928" s="91" t="n">
        <v>55000</v>
      </c>
      <c r="AK928" s="89" t="n">
        <v>55000</v>
      </c>
      <c r="AL928" s="90" t="n">
        <v>55000</v>
      </c>
      <c r="AM928" s="90"/>
      <c r="AN928" s="90"/>
      <c r="AO928" s="90"/>
      <c r="AP928" s="90"/>
      <c r="AQ928" s="90"/>
      <c r="AR928" s="90"/>
      <c r="AS928" s="90"/>
      <c r="AT928" s="90"/>
      <c r="AU928" s="90"/>
      <c r="AV928" s="91"/>
      <c r="AX928" s="92"/>
    </row>
    <row r="929" customFormat="false" ht="15.65" hidden="false" customHeight="false" outlineLevel="0" collapsed="false">
      <c r="C929" s="72" t="n">
        <f aca="false">COUNTIFS($D$6:D929,"&lt;&gt;"&amp;"")</f>
        <v>924</v>
      </c>
      <c r="D929" s="73" t="s">
        <v>12</v>
      </c>
      <c r="E929" s="76" t="str">
        <f aca="false">
IF($D929="정상",INDEX(임대자산!$D$3:$R$3000,MATCH($F929,임대자산!$I$3:$I$3000,0),MATCH(E$3,임대자산!$D$3:$R$3,0)),
IF($D929="폐업",INDEX(폐업정보!$D$3:$R$3000,MATCH($F929,폐업정보!$I$3:$I$3000,0),MATCH(E$3,폐업정보!$D$3:$R$3,0)),
"Error"))</f>
        <v>강원</v>
      </c>
      <c r="F92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B0924</v>
      </c>
      <c r="G929" s="76" t="str">
        <f aca="false">F929&amp;RANDBETWEEN(0,10)</f>
        <v>B09242</v>
      </c>
      <c r="H929" s="75" t="n">
        <f aca="false">
IF($D929="정상",INDEX(임대자산!$D$3:$R$3000,MATCH($F929,임대자산!$I$3:$I$3000,0),MATCH(H$4,임대자산!$D$3:$R$3,0)),
IF($D929="폐업",INDEX(폐업정보!$D$3:$R$3000,MATCH($F929,폐업정보!$I$3:$I$3000,0),MATCH(H$4,폐업정보!$D$3:$R$3,0)),
"Error"))</f>
        <v>44649</v>
      </c>
      <c r="I929" s="75" t="str">
        <f aca="false">
IF($D929="정상",INDEX(임대자산!$D$3:$R$3000,MATCH($F929,임대자산!$I$3:$I$3000,0),MATCH(I$4,임대자산!$D$3:$R$3,0)),
IF($D929="폐업",INDEX(폐업정보!$D$3:$R$3000,MATCH($F929,폐업정보!$I$3:$I$3000,0),MATCH(I$4,폐업정보!$D$3:$R$3,0)),
"Error"))</f>
        <v>A0924</v>
      </c>
      <c r="J929" s="75" t="str">
        <f aca="false">
IF($D929="정상",INDEX(임대자산!$D$3:$R$3000,MATCH($F929,임대자산!$I$3:$I$3000,0),MATCH(J$4,임대자산!$D$3:$R$3,0)),
IF($D929="폐업",INDEX(폐업정보!$D$3:$R$3000,MATCH($F929,폐업정보!$I$3:$I$3000,0),MATCH(J$4,폐업정보!$D$3:$R$3,0)),
"Error"))</f>
        <v>8357200000</v>
      </c>
      <c r="K929" s="75" t="str">
        <f aca="false">
IF($D929="정상",INDEX(임대자산!$D$3:$R$3000,MATCH($F929,임대자산!$I$3:$I$3000,0),MATCH(K$4,임대자산!$D$3:$R$3,0)),
IF($D929="폐업",INDEX(폐업정보!$D$3:$R$3000,MATCH($F929,폐업정보!$I$3:$I$3000,0),MATCH(K$4,폐업정보!$D$3:$R$3,0)),
"Error"))</f>
        <v>C0924</v>
      </c>
      <c r="L929" s="75" t="str">
        <f aca="false">
IF($D929="정상",INDEX(임대자산!$D$3:$R$3000,MATCH($F929,임대자산!$I$3:$I$3000,0),MATCH(L$4,임대자산!$D$3:$R$3,0)),
IF($D929="폐업",INDEX(폐업정보!$D$3:$R$3000,MATCH($F929,폐업정보!$I$3:$I$3000,0),MATCH(L$4,폐업정보!$D$3:$R$3,0)),
"Error"))</f>
        <v>D0924</v>
      </c>
      <c r="M929" s="76" t="s">
        <v>96</v>
      </c>
      <c r="N929" s="77"/>
      <c r="O929" s="78" t="s">
        <v>97</v>
      </c>
      <c r="P929" s="79" t="n">
        <f aca="false">COUNTIFS(임대자산!$I:$I,가맹점정보!F929,임대자산!$N:$N,가맹점정보!P$4)</f>
        <v>0</v>
      </c>
      <c r="Q929" s="80" t="n">
        <f aca="false">COUNTIFS(임대자산!$I:$I,가맹점정보!F929,임대자산!$N:$N,가맹점정보!Q$4)</f>
        <v>0</v>
      </c>
      <c r="R929" s="81" t="n">
        <f aca="false">COUNTIFS(임대자산!$I:$I,가맹점정보!F929,임대자산!$N:$N,가맹점정보!R$4)</f>
        <v>1</v>
      </c>
      <c r="S929" s="82" t="n">
        <v>88000</v>
      </c>
      <c r="T929" s="83" t="n">
        <v>0</v>
      </c>
      <c r="U929" s="80" t="n">
        <f aca="false">SUM(S929:T929)</f>
        <v>88000</v>
      </c>
      <c r="V929" s="84" t="s">
        <v>7</v>
      </c>
      <c r="W929" s="80" t="str">
        <f aca="true">
IF(D929="폐업","폐업",
IF(V929="면제","면제",
IF(AND(V929="정상",COUNTIFS(OFFSET(Y929,0,COUNTA(Y929:AV929)-1,1,-4),"미납")&gt;=3),"장기미납",
IF(AND(V929="정상",OFFSET(Y929,0,COUNTA(Y929:AV929)-1)&gt;=U929),"정상",
IF(AND(V929="정상",OFFSET(Y929,0,COUNTA(Y929:AV929)-1)=0),"정상",
"계약서 미작성")))))</f>
        <v>면제</v>
      </c>
      <c r="X929" s="81" t="str">
        <f aca="true">
IF(D929="폐업","폐업",
IF(AND(V929="정상",OFFSET(Y929,0,COUNTA(Y929:AV929)-1)="미납"),"미납",
IF(AND(V929="정상",OFFSET(Y929,0,COUNTA(Y929:AV929)-1)=0),"납부 시작 전",
IF(AND(V929="정상",OFFSET(Y929,0,COUNTA(Y929:AV929)-1)&gt;=U929),"정상",
IF(AND(V929="면제",OFFSET(Y929,0,COUNTA(Y929:AV929)-1)="면제"),"면제",
IF(AND(V929="면제",OFFSET(Y929,0,COUNTA(Y929:AV929)-1)=0),"면제",
"확인요청"))))))</f>
        <v>면제</v>
      </c>
      <c r="Y929" s="94" t="s">
        <v>7</v>
      </c>
      <c r="Z929" s="95" t="s">
        <v>7</v>
      </c>
      <c r="AA929" s="95" t="s">
        <v>7</v>
      </c>
      <c r="AB929" s="95" t="s">
        <v>7</v>
      </c>
      <c r="AC929" s="95" t="s">
        <v>7</v>
      </c>
      <c r="AD929" s="95" t="s">
        <v>7</v>
      </c>
      <c r="AE929" s="95" t="s">
        <v>7</v>
      </c>
      <c r="AF929" s="95" t="s">
        <v>7</v>
      </c>
      <c r="AG929" s="95" t="s">
        <v>7</v>
      </c>
      <c r="AH929" s="95" t="s">
        <v>7</v>
      </c>
      <c r="AI929" s="95" t="s">
        <v>7</v>
      </c>
      <c r="AJ929" s="96" t="s">
        <v>7</v>
      </c>
      <c r="AK929" s="97" t="s">
        <v>7</v>
      </c>
      <c r="AL929" s="95" t="s">
        <v>7</v>
      </c>
      <c r="AM929" s="90"/>
      <c r="AN929" s="90"/>
      <c r="AO929" s="90"/>
      <c r="AP929" s="90"/>
      <c r="AQ929" s="90"/>
      <c r="AR929" s="90"/>
      <c r="AS929" s="90"/>
      <c r="AT929" s="90"/>
      <c r="AU929" s="90"/>
      <c r="AV929" s="91"/>
      <c r="AX929" s="92"/>
    </row>
    <row r="930" customFormat="false" ht="15.65" hidden="false" customHeight="false" outlineLevel="0" collapsed="false">
      <c r="C930" s="72" t="n">
        <f aca="false">COUNTIFS($D$6:D930,"&lt;&gt;"&amp;"")</f>
        <v>925</v>
      </c>
      <c r="D930" s="73" t="s">
        <v>12</v>
      </c>
      <c r="E930" s="76" t="str">
        <f aca="false">
IF($D930="정상",INDEX(임대자산!$D$3:$R$3000,MATCH($F930,임대자산!$I$3:$I$3000,0),MATCH(E$3,임대자산!$D$3:$R$3,0)),
IF($D930="폐업",INDEX(폐업정보!$D$3:$R$3000,MATCH($F930,폐업정보!$I$3:$I$3000,0),MATCH(E$3,폐업정보!$D$3:$R$3,0)),
"Error"))</f>
        <v>경기</v>
      </c>
      <c r="F93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B0925</v>
      </c>
      <c r="G930" s="76" t="str">
        <f aca="false">F930&amp;RANDBETWEEN(0,10)</f>
        <v>B09256</v>
      </c>
      <c r="H930" s="75" t="n">
        <f aca="false">
IF($D930="정상",INDEX(임대자산!$D$3:$R$3000,MATCH($F930,임대자산!$I$3:$I$3000,0),MATCH(H$4,임대자산!$D$3:$R$3,0)),
IF($D930="폐업",INDEX(폐업정보!$D$3:$R$3000,MATCH($F930,폐업정보!$I$3:$I$3000,0),MATCH(H$4,폐업정보!$D$3:$R$3,0)),
"Error"))</f>
        <v>44671</v>
      </c>
      <c r="I930" s="75" t="str">
        <f aca="false">
IF($D930="정상",INDEX(임대자산!$D$3:$R$3000,MATCH($F930,임대자산!$I$3:$I$3000,0),MATCH(I$4,임대자산!$D$3:$R$3,0)),
IF($D930="폐업",INDEX(폐업정보!$D$3:$R$3000,MATCH($F930,폐업정보!$I$3:$I$3000,0),MATCH(I$4,폐업정보!$D$3:$R$3,0)),
"Error"))</f>
        <v>A0925</v>
      </c>
      <c r="J930" s="75" t="str">
        <f aca="false">
IF($D930="정상",INDEX(임대자산!$D$3:$R$3000,MATCH($F930,임대자산!$I$3:$I$3000,0),MATCH(J$4,임대자산!$D$3:$R$3,0)),
IF($D930="폐업",INDEX(폐업정보!$D$3:$R$3000,MATCH($F930,폐업정보!$I$3:$I$3000,0),MATCH(J$4,폐업정보!$D$3:$R$3,0)),
"Error"))</f>
        <v>1786100000</v>
      </c>
      <c r="K930" s="75" t="str">
        <f aca="false">
IF($D930="정상",INDEX(임대자산!$D$3:$R$3000,MATCH($F930,임대자산!$I$3:$I$3000,0),MATCH(K$4,임대자산!$D$3:$R$3,0)),
IF($D930="폐업",INDEX(폐업정보!$D$3:$R$3000,MATCH($F930,폐업정보!$I$3:$I$3000,0),MATCH(K$4,폐업정보!$D$3:$R$3,0)),
"Error"))</f>
        <v>C0925</v>
      </c>
      <c r="L930" s="75" t="str">
        <f aca="false">
IF($D930="정상",INDEX(임대자산!$D$3:$R$3000,MATCH($F930,임대자산!$I$3:$I$3000,0),MATCH(L$4,임대자산!$D$3:$R$3,0)),
IF($D930="폐업",INDEX(폐업정보!$D$3:$R$3000,MATCH($F930,폐업정보!$I$3:$I$3000,0),MATCH(L$4,폐업정보!$D$3:$R$3,0)),
"Error"))</f>
        <v>D0925</v>
      </c>
      <c r="M930" s="76" t="s">
        <v>96</v>
      </c>
      <c r="N930" s="77"/>
      <c r="O930" s="78" t="s">
        <v>97</v>
      </c>
      <c r="P930" s="79" t="n">
        <f aca="false">COUNTIFS(임대자산!$I:$I,가맹점정보!F930,임대자산!$N:$N,가맹점정보!P$4)</f>
        <v>0</v>
      </c>
      <c r="Q930" s="80" t="n">
        <f aca="false">COUNTIFS(임대자산!$I:$I,가맹점정보!F930,임대자산!$N:$N,가맹점정보!Q$4)</f>
        <v>0</v>
      </c>
      <c r="R930" s="81" t="n">
        <f aca="false">COUNTIFS(임대자산!$I:$I,가맹점정보!F930,임대자산!$N:$N,가맹점정보!R$4)</f>
        <v>1</v>
      </c>
      <c r="S930" s="82" t="n">
        <v>88000</v>
      </c>
      <c r="T930" s="83" t="n">
        <v>0</v>
      </c>
      <c r="U930" s="80" t="n">
        <f aca="false">SUM(S930:T930)</f>
        <v>88000</v>
      </c>
      <c r="V930" s="84" t="s">
        <v>7</v>
      </c>
      <c r="W930" s="80" t="str">
        <f aca="true">
IF(D930="폐업","폐업",
IF(V930="면제","면제",
IF(AND(V930="정상",COUNTIFS(OFFSET(Y930,0,COUNTA(Y930:AV930)-1,1,-4),"미납")&gt;=3),"장기미납",
IF(AND(V930="정상",OFFSET(Y930,0,COUNTA(Y930:AV930)-1)&gt;=U930),"정상",
IF(AND(V930="정상",OFFSET(Y930,0,COUNTA(Y930:AV930)-1)=0),"정상",
"계약서 미작성")))))</f>
        <v>면제</v>
      </c>
      <c r="X930" s="81" t="str">
        <f aca="true">
IF(D930="폐업","폐업",
IF(AND(V930="정상",OFFSET(Y930,0,COUNTA(Y930:AV930)-1)="미납"),"미납",
IF(AND(V930="정상",OFFSET(Y930,0,COUNTA(Y930:AV930)-1)=0),"납부 시작 전",
IF(AND(V930="정상",OFFSET(Y930,0,COUNTA(Y930:AV930)-1)&gt;=U930),"정상",
IF(AND(V930="면제",OFFSET(Y930,0,COUNTA(Y930:AV930)-1)="면제"),"면제",
IF(AND(V930="면제",OFFSET(Y930,0,COUNTA(Y930:AV930)-1)=0),"면제",
"확인요청"))))))</f>
        <v>면제</v>
      </c>
      <c r="Y930" s="94" t="s">
        <v>7</v>
      </c>
      <c r="Z930" s="95" t="s">
        <v>7</v>
      </c>
      <c r="AA930" s="95" t="s">
        <v>7</v>
      </c>
      <c r="AB930" s="95" t="s">
        <v>7</v>
      </c>
      <c r="AC930" s="95" t="s">
        <v>7</v>
      </c>
      <c r="AD930" s="95" t="s">
        <v>7</v>
      </c>
      <c r="AE930" s="95" t="s">
        <v>7</v>
      </c>
      <c r="AF930" s="95" t="s">
        <v>7</v>
      </c>
      <c r="AG930" s="95" t="s">
        <v>7</v>
      </c>
      <c r="AH930" s="95" t="s">
        <v>7</v>
      </c>
      <c r="AI930" s="95" t="s">
        <v>7</v>
      </c>
      <c r="AJ930" s="96" t="s">
        <v>7</v>
      </c>
      <c r="AK930" s="97" t="s">
        <v>7</v>
      </c>
      <c r="AL930" s="95" t="s">
        <v>7</v>
      </c>
      <c r="AM930" s="90"/>
      <c r="AN930" s="90"/>
      <c r="AO930" s="90"/>
      <c r="AP930" s="90"/>
      <c r="AQ930" s="90"/>
      <c r="AR930" s="90"/>
      <c r="AS930" s="90"/>
      <c r="AT930" s="90"/>
      <c r="AU930" s="90"/>
      <c r="AV930" s="91"/>
      <c r="AX930" s="92"/>
    </row>
    <row r="931" customFormat="false" ht="15.65" hidden="false" customHeight="false" outlineLevel="0" collapsed="false">
      <c r="C931" s="72" t="n">
        <f aca="false">COUNTIFS($D$6:D931,"&lt;&gt;"&amp;"")</f>
        <v>926</v>
      </c>
      <c r="D931" s="73" t="s">
        <v>12</v>
      </c>
      <c r="E931" s="76" t="str">
        <f aca="false">
IF($D931="정상",INDEX(임대자산!$D$3:$R$3000,MATCH($F931,임대자산!$I$3:$I$3000,0),MATCH(E$3,임대자산!$D$3:$R$3,0)),
IF($D931="폐업",INDEX(폐업정보!$D$3:$R$3000,MATCH($F931,폐업정보!$I$3:$I$3000,0),MATCH(E$3,폐업정보!$D$3:$R$3,0)),
"Error"))</f>
        <v>경기</v>
      </c>
      <c r="F93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B0926</v>
      </c>
      <c r="G931" s="76" t="str">
        <f aca="false">F931&amp;RANDBETWEEN(0,10)</f>
        <v>B092610</v>
      </c>
      <c r="H931" s="75" t="n">
        <f aca="false">
IF($D931="정상",INDEX(임대자산!$D$3:$R$3000,MATCH($F931,임대자산!$I$3:$I$3000,0),MATCH(H$4,임대자산!$D$3:$R$3,0)),
IF($D931="폐업",INDEX(폐업정보!$D$3:$R$3000,MATCH($F931,폐업정보!$I$3:$I$3000,0),MATCH(H$4,폐업정보!$D$3:$R$3,0)),
"Error"))</f>
        <v>44657</v>
      </c>
      <c r="I931" s="75" t="str">
        <f aca="false">
IF($D931="정상",INDEX(임대자산!$D$3:$R$3000,MATCH($F931,임대자산!$I$3:$I$3000,0),MATCH(I$4,임대자산!$D$3:$R$3,0)),
IF($D931="폐업",INDEX(폐업정보!$D$3:$R$3000,MATCH($F931,폐업정보!$I$3:$I$3000,0),MATCH(I$4,폐업정보!$D$3:$R$3,0)),
"Error"))</f>
        <v>A0926</v>
      </c>
      <c r="J931" s="75" t="str">
        <f aca="false">
IF($D931="정상",INDEX(임대자산!$D$3:$R$3000,MATCH($F931,임대자산!$I$3:$I$3000,0),MATCH(J$4,임대자산!$D$3:$R$3,0)),
IF($D931="폐업",INDEX(폐업정보!$D$3:$R$3000,MATCH($F931,폐업정보!$I$3:$I$3000,0),MATCH(J$4,폐업정보!$D$3:$R$3,0)),
"Error"))</f>
        <v>7643800000</v>
      </c>
      <c r="K931" s="75" t="str">
        <f aca="false">
IF($D931="정상",INDEX(임대자산!$D$3:$R$3000,MATCH($F931,임대자산!$I$3:$I$3000,0),MATCH(K$4,임대자산!$D$3:$R$3,0)),
IF($D931="폐업",INDEX(폐업정보!$D$3:$R$3000,MATCH($F931,폐업정보!$I$3:$I$3000,0),MATCH(K$4,폐업정보!$D$3:$R$3,0)),
"Error"))</f>
        <v>C0926</v>
      </c>
      <c r="L931" s="75" t="str">
        <f aca="false">
IF($D931="정상",INDEX(임대자산!$D$3:$R$3000,MATCH($F931,임대자산!$I$3:$I$3000,0),MATCH(L$4,임대자산!$D$3:$R$3,0)),
IF($D931="폐업",INDEX(폐업정보!$D$3:$R$3000,MATCH($F931,폐업정보!$I$3:$I$3000,0),MATCH(L$4,폐업정보!$D$3:$R$3,0)),
"Error"))</f>
        <v>D0926</v>
      </c>
      <c r="M931" s="76" t="s">
        <v>96</v>
      </c>
      <c r="N931" s="77"/>
      <c r="O931" s="78" t="s">
        <v>97</v>
      </c>
      <c r="P931" s="79" t="n">
        <f aca="false">COUNTIFS(임대자산!$I:$I,가맹점정보!F931,임대자산!$N:$N,가맹점정보!P$4)</f>
        <v>0</v>
      </c>
      <c r="Q931" s="80" t="n">
        <f aca="false">COUNTIFS(임대자산!$I:$I,가맹점정보!F931,임대자산!$N:$N,가맹점정보!Q$4)</f>
        <v>0</v>
      </c>
      <c r="R931" s="81" t="n">
        <f aca="false">COUNTIFS(임대자산!$I:$I,가맹점정보!F931,임대자산!$N:$N,가맹점정보!R$4)</f>
        <v>1</v>
      </c>
      <c r="S931" s="82" t="n">
        <v>55000</v>
      </c>
      <c r="T931" s="83" t="n">
        <v>0</v>
      </c>
      <c r="U931" s="80" t="n">
        <f aca="false">SUM(S931:T931)</f>
        <v>55000</v>
      </c>
      <c r="V931" s="84" t="s">
        <v>12</v>
      </c>
      <c r="W931" s="80" t="e">
        <f aca="true">
IF(D931="폐업","폐업",
IF(V931="면제","면제",
IF(AND(V931="정상",COUNTIFS(OFFSET(Y931,0,COUNTA(Y931:AV931)-1,1,-4),"미납")&gt;=3),"장기미납",
IF(AND(V931="정상",OFFSET(Y931,0,COUNTA(Y931:AV931)-1)&gt;=U931),"정상",
IF(AND(V931="정상",OFFSET(Y931,0,COUNTA(Y931:AV931)-1)=0),"정상",
"계약서 미작성")))))</f>
        <v>#VALUE!</v>
      </c>
      <c r="X931" s="81" t="str">
        <f aca="true">
IF(D931="폐업","폐업",
IF(AND(V931="정상",OFFSET(Y931,0,COUNTA(Y931:AV931)-1)="미납"),"미납",
IF(AND(V931="정상",OFFSET(Y931,0,COUNTA(Y931:AV931)-1)=0),"납부 시작 전",
IF(AND(V931="정상",OFFSET(Y931,0,COUNTA(Y931:AV931)-1)&gt;=U931),"정상",
IF(AND(V931="면제",OFFSET(Y931,0,COUNTA(Y931:AV931)-1)="면제"),"면제",
IF(AND(V931="면제",OFFSET(Y931,0,COUNTA(Y931:AV931)-1)=0),"면제",
"확인요청"))))))</f>
        <v>정상</v>
      </c>
      <c r="Y931" s="93" t="n">
        <v>55000</v>
      </c>
      <c r="Z931" s="90" t="n">
        <v>55000</v>
      </c>
      <c r="AA931" s="90" t="n">
        <v>55000</v>
      </c>
      <c r="AB931" s="90" t="n">
        <v>55000</v>
      </c>
      <c r="AC931" s="90" t="n">
        <v>55000</v>
      </c>
      <c r="AD931" s="90" t="n">
        <v>55000</v>
      </c>
      <c r="AE931" s="90" t="n">
        <v>55000</v>
      </c>
      <c r="AF931" s="90" t="n">
        <v>55000</v>
      </c>
      <c r="AG931" s="90" t="n">
        <v>55000</v>
      </c>
      <c r="AH931" s="90" t="n">
        <v>55000</v>
      </c>
      <c r="AI931" s="90" t="n">
        <v>55000</v>
      </c>
      <c r="AJ931" s="91" t="n">
        <v>55000</v>
      </c>
      <c r="AK931" s="89" t="n">
        <v>55000</v>
      </c>
      <c r="AL931" s="90" t="n">
        <v>55000</v>
      </c>
      <c r="AM931" s="90"/>
      <c r="AN931" s="90"/>
      <c r="AO931" s="90"/>
      <c r="AP931" s="90"/>
      <c r="AQ931" s="90"/>
      <c r="AR931" s="90"/>
      <c r="AS931" s="90"/>
      <c r="AT931" s="90"/>
      <c r="AU931" s="90"/>
      <c r="AV931" s="91"/>
      <c r="AX931" s="92"/>
    </row>
    <row r="932" customFormat="false" ht="15.65" hidden="false" customHeight="false" outlineLevel="0" collapsed="false">
      <c r="C932" s="72" t="n">
        <f aca="false">COUNTIFS($D$6:D932,"&lt;&gt;"&amp;"")</f>
        <v>927</v>
      </c>
      <c r="D932" s="73" t="s">
        <v>12</v>
      </c>
      <c r="E932" s="76" t="str">
        <f aca="false">
IF($D932="정상",INDEX(임대자산!$D$3:$R$3000,MATCH($F932,임대자산!$I$3:$I$3000,0),MATCH(E$3,임대자산!$D$3:$R$3,0)),
IF($D932="폐업",INDEX(폐업정보!$D$3:$R$3000,MATCH($F932,폐업정보!$I$3:$I$3000,0),MATCH(E$3,폐업정보!$D$3:$R$3,0)),
"Error"))</f>
        <v>경기</v>
      </c>
      <c r="F93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B0927</v>
      </c>
      <c r="G932" s="76" t="str">
        <f aca="false">F932&amp;RANDBETWEEN(0,10)</f>
        <v>B092710</v>
      </c>
      <c r="H932" s="75" t="n">
        <f aca="false">
IF($D932="정상",INDEX(임대자산!$D$3:$R$3000,MATCH($F932,임대자산!$I$3:$I$3000,0),MATCH(H$4,임대자산!$D$3:$R$3,0)),
IF($D932="폐업",INDEX(폐업정보!$D$3:$R$3000,MATCH($F932,폐업정보!$I$3:$I$3000,0),MATCH(H$4,폐업정보!$D$3:$R$3,0)),
"Error"))</f>
        <v>44679</v>
      </c>
      <c r="I932" s="75" t="str">
        <f aca="false">
IF($D932="정상",INDEX(임대자산!$D$3:$R$3000,MATCH($F932,임대자산!$I$3:$I$3000,0),MATCH(I$4,임대자산!$D$3:$R$3,0)),
IF($D932="폐업",INDEX(폐업정보!$D$3:$R$3000,MATCH($F932,폐업정보!$I$3:$I$3000,0),MATCH(I$4,폐업정보!$D$3:$R$3,0)),
"Error"))</f>
        <v>A0927</v>
      </c>
      <c r="J932" s="75" t="str">
        <f aca="false">
IF($D932="정상",INDEX(임대자산!$D$3:$R$3000,MATCH($F932,임대자산!$I$3:$I$3000,0),MATCH(J$4,임대자산!$D$3:$R$3,0)),
IF($D932="폐업",INDEX(폐업정보!$D$3:$R$3000,MATCH($F932,폐업정보!$I$3:$I$3000,0),MATCH(J$4,폐업정보!$D$3:$R$3,0)),
"Error"))</f>
        <v>7060400000</v>
      </c>
      <c r="K932" s="75" t="str">
        <f aca="false">
IF($D932="정상",INDEX(임대자산!$D$3:$R$3000,MATCH($F932,임대자산!$I$3:$I$3000,0),MATCH(K$4,임대자산!$D$3:$R$3,0)),
IF($D932="폐업",INDEX(폐업정보!$D$3:$R$3000,MATCH($F932,폐업정보!$I$3:$I$3000,0),MATCH(K$4,폐업정보!$D$3:$R$3,0)),
"Error"))</f>
        <v>C0927</v>
      </c>
      <c r="L932" s="75" t="str">
        <f aca="false">
IF($D932="정상",INDEX(임대자산!$D$3:$R$3000,MATCH($F932,임대자산!$I$3:$I$3000,0),MATCH(L$4,임대자산!$D$3:$R$3,0)),
IF($D932="폐업",INDEX(폐업정보!$D$3:$R$3000,MATCH($F932,폐업정보!$I$3:$I$3000,0),MATCH(L$4,폐업정보!$D$3:$R$3,0)),
"Error"))</f>
        <v>D0927</v>
      </c>
      <c r="M932" s="76" t="s">
        <v>96</v>
      </c>
      <c r="N932" s="77"/>
      <c r="O932" s="78" t="s">
        <v>97</v>
      </c>
      <c r="P932" s="79" t="n">
        <f aca="false">COUNTIFS(임대자산!$I:$I,가맹점정보!F932,임대자산!$N:$N,가맹점정보!P$4)</f>
        <v>0</v>
      </c>
      <c r="Q932" s="80" t="n">
        <f aca="false">COUNTIFS(임대자산!$I:$I,가맹점정보!F932,임대자산!$N:$N,가맹점정보!Q$4)</f>
        <v>0</v>
      </c>
      <c r="R932" s="81" t="n">
        <f aca="false">COUNTIFS(임대자산!$I:$I,가맹점정보!F932,임대자산!$N:$N,가맹점정보!R$4)</f>
        <v>1</v>
      </c>
      <c r="S932" s="82" t="n">
        <v>88000</v>
      </c>
      <c r="T932" s="83" t="n">
        <v>0</v>
      </c>
      <c r="U932" s="80" t="n">
        <f aca="false">SUM(S932:T932)</f>
        <v>88000</v>
      </c>
      <c r="V932" s="84" t="s">
        <v>7</v>
      </c>
      <c r="W932" s="80" t="str">
        <f aca="true">
IF(D932="폐업","폐업",
IF(V932="면제","면제",
IF(AND(V932="정상",COUNTIFS(OFFSET(Y932,0,COUNTA(Y932:AV932)-1,1,-4),"미납")&gt;=3),"장기미납",
IF(AND(V932="정상",OFFSET(Y932,0,COUNTA(Y932:AV932)-1)&gt;=U932),"정상",
IF(AND(V932="정상",OFFSET(Y932,0,COUNTA(Y932:AV932)-1)=0),"정상",
"계약서 미작성")))))</f>
        <v>면제</v>
      </c>
      <c r="X932" s="81" t="str">
        <f aca="true">
IF(D932="폐업","폐업",
IF(AND(V932="정상",OFFSET(Y932,0,COUNTA(Y932:AV932)-1)="미납"),"미납",
IF(AND(V932="정상",OFFSET(Y932,0,COUNTA(Y932:AV932)-1)=0),"납부 시작 전",
IF(AND(V932="정상",OFFSET(Y932,0,COUNTA(Y932:AV932)-1)&gt;=U932),"정상",
IF(AND(V932="면제",OFFSET(Y932,0,COUNTA(Y932:AV932)-1)="면제"),"면제",
IF(AND(V932="면제",OFFSET(Y932,0,COUNTA(Y932:AV932)-1)=0),"면제",
"확인요청"))))))</f>
        <v>면제</v>
      </c>
      <c r="Y932" s="94" t="s">
        <v>7</v>
      </c>
      <c r="Z932" s="95" t="s">
        <v>7</v>
      </c>
      <c r="AA932" s="95" t="s">
        <v>7</v>
      </c>
      <c r="AB932" s="95" t="s">
        <v>7</v>
      </c>
      <c r="AC932" s="95" t="s">
        <v>7</v>
      </c>
      <c r="AD932" s="95" t="s">
        <v>7</v>
      </c>
      <c r="AE932" s="95" t="s">
        <v>7</v>
      </c>
      <c r="AF932" s="95" t="s">
        <v>7</v>
      </c>
      <c r="AG932" s="95" t="s">
        <v>7</v>
      </c>
      <c r="AH932" s="95" t="s">
        <v>7</v>
      </c>
      <c r="AI932" s="95" t="s">
        <v>7</v>
      </c>
      <c r="AJ932" s="96" t="s">
        <v>7</v>
      </c>
      <c r="AK932" s="97" t="s">
        <v>7</v>
      </c>
      <c r="AL932" s="95" t="s">
        <v>7</v>
      </c>
      <c r="AM932" s="90"/>
      <c r="AN932" s="90"/>
      <c r="AO932" s="90"/>
      <c r="AP932" s="90"/>
      <c r="AQ932" s="90"/>
      <c r="AR932" s="90"/>
      <c r="AS932" s="90"/>
      <c r="AT932" s="90"/>
      <c r="AU932" s="90"/>
      <c r="AV932" s="91"/>
      <c r="AX932" s="92"/>
    </row>
    <row r="933" customFormat="false" ht="15.65" hidden="false" customHeight="false" outlineLevel="0" collapsed="false">
      <c r="C933" s="72" t="n">
        <f aca="false">COUNTIFS($D$6:D933,"&lt;&gt;"&amp;"")</f>
        <v>928</v>
      </c>
      <c r="D933" s="73" t="s">
        <v>12</v>
      </c>
      <c r="E933" s="76" t="str">
        <f aca="false">
IF($D933="정상",INDEX(임대자산!$D$3:$R$3000,MATCH($F933,임대자산!$I$3:$I$3000,0),MATCH(E$3,임대자산!$D$3:$R$3,0)),
IF($D933="폐업",INDEX(폐업정보!$D$3:$R$3000,MATCH($F933,폐업정보!$I$3:$I$3000,0),MATCH(E$3,폐업정보!$D$3:$R$3,0)),
"Error"))</f>
        <v>경기</v>
      </c>
      <c r="F93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B0928</v>
      </c>
      <c r="G933" s="76" t="str">
        <f aca="false">F933&amp;RANDBETWEEN(0,10)</f>
        <v>B09281</v>
      </c>
      <c r="H933" s="75" t="n">
        <f aca="false">
IF($D933="정상",INDEX(임대자산!$D$3:$R$3000,MATCH($F933,임대자산!$I$3:$I$3000,0),MATCH(H$4,임대자산!$D$3:$R$3,0)),
IF($D933="폐업",INDEX(폐업정보!$D$3:$R$3000,MATCH($F933,폐업정보!$I$3:$I$3000,0),MATCH(H$4,폐업정보!$D$3:$R$3,0)),
"Error"))</f>
        <v>44677</v>
      </c>
      <c r="I933" s="75" t="str">
        <f aca="false">
IF($D933="정상",INDEX(임대자산!$D$3:$R$3000,MATCH($F933,임대자산!$I$3:$I$3000,0),MATCH(I$4,임대자산!$D$3:$R$3,0)),
IF($D933="폐업",INDEX(폐업정보!$D$3:$R$3000,MATCH($F933,폐업정보!$I$3:$I$3000,0),MATCH(I$4,폐업정보!$D$3:$R$3,0)),
"Error"))</f>
        <v>A0928</v>
      </c>
      <c r="J933" s="75" t="str">
        <f aca="false">
IF($D933="정상",INDEX(임대자산!$D$3:$R$3000,MATCH($F933,임대자산!$I$3:$I$3000,0),MATCH(J$4,임대자산!$D$3:$R$3,0)),
IF($D933="폐업",INDEX(폐업정보!$D$3:$R$3000,MATCH($F933,폐업정보!$I$3:$I$3000,0),MATCH(J$4,폐업정보!$D$3:$R$3,0)),
"Error"))</f>
        <v>5704700000</v>
      </c>
      <c r="K933" s="75" t="str">
        <f aca="false">
IF($D933="정상",INDEX(임대자산!$D$3:$R$3000,MATCH($F933,임대자산!$I$3:$I$3000,0),MATCH(K$4,임대자산!$D$3:$R$3,0)),
IF($D933="폐업",INDEX(폐업정보!$D$3:$R$3000,MATCH($F933,폐업정보!$I$3:$I$3000,0),MATCH(K$4,폐업정보!$D$3:$R$3,0)),
"Error"))</f>
        <v>C0928</v>
      </c>
      <c r="L933" s="75" t="str">
        <f aca="false">
IF($D933="정상",INDEX(임대자산!$D$3:$R$3000,MATCH($F933,임대자산!$I$3:$I$3000,0),MATCH(L$4,임대자산!$D$3:$R$3,0)),
IF($D933="폐업",INDEX(폐업정보!$D$3:$R$3000,MATCH($F933,폐업정보!$I$3:$I$3000,0),MATCH(L$4,폐업정보!$D$3:$R$3,0)),
"Error"))</f>
        <v>D0928</v>
      </c>
      <c r="M933" s="76" t="s">
        <v>96</v>
      </c>
      <c r="N933" s="77"/>
      <c r="O933" s="78" t="s">
        <v>97</v>
      </c>
      <c r="P933" s="79" t="n">
        <f aca="false">COUNTIFS(임대자산!$I:$I,가맹점정보!F933,임대자산!$N:$N,가맹점정보!P$4)</f>
        <v>0</v>
      </c>
      <c r="Q933" s="80" t="n">
        <f aca="false">COUNTIFS(임대자산!$I:$I,가맹점정보!F933,임대자산!$N:$N,가맹점정보!Q$4)</f>
        <v>0</v>
      </c>
      <c r="R933" s="81" t="n">
        <f aca="false">COUNTIFS(임대자산!$I:$I,가맹점정보!F933,임대자산!$N:$N,가맹점정보!R$4)</f>
        <v>1</v>
      </c>
      <c r="S933" s="82" t="n">
        <v>55000</v>
      </c>
      <c r="T933" s="83" t="n">
        <v>0</v>
      </c>
      <c r="U933" s="80" t="n">
        <f aca="false">SUM(S933:T933)</f>
        <v>55000</v>
      </c>
      <c r="V933" s="84" t="s">
        <v>12</v>
      </c>
      <c r="W933" s="80" t="e">
        <f aca="true">
IF(D933="폐업","폐업",
IF(V933="면제","면제",
IF(AND(V933="정상",COUNTIFS(OFFSET(Y933,0,COUNTA(Y933:AV933)-1,1,-4),"미납")&gt;=3),"장기미납",
IF(AND(V933="정상",OFFSET(Y933,0,COUNTA(Y933:AV933)-1)&gt;=U933),"정상",
IF(AND(V933="정상",OFFSET(Y933,0,COUNTA(Y933:AV933)-1)=0),"정상",
"계약서 미작성")))))</f>
        <v>#VALUE!</v>
      </c>
      <c r="X933" s="81" t="str">
        <f aca="true">
IF(D933="폐업","폐업",
IF(AND(V933="정상",OFFSET(Y933,0,COUNTA(Y933:AV933)-1)="미납"),"미납",
IF(AND(V933="정상",OFFSET(Y933,0,COUNTA(Y933:AV933)-1)=0),"납부 시작 전",
IF(AND(V933="정상",OFFSET(Y933,0,COUNTA(Y933:AV933)-1)&gt;=U933),"정상",
IF(AND(V933="면제",OFFSET(Y933,0,COUNTA(Y933:AV933)-1)="면제"),"면제",
IF(AND(V933="면제",OFFSET(Y933,0,COUNTA(Y933:AV933)-1)=0),"면제",
"확인요청"))))))</f>
        <v>정상</v>
      </c>
      <c r="Y933" s="93" t="s">
        <v>99</v>
      </c>
      <c r="Z933" s="90" t="n">
        <v>110000</v>
      </c>
      <c r="AA933" s="90" t="n">
        <v>55000</v>
      </c>
      <c r="AB933" s="90" t="n">
        <v>55000</v>
      </c>
      <c r="AC933" s="90" t="n">
        <v>55000</v>
      </c>
      <c r="AD933" s="90" t="n">
        <v>55000</v>
      </c>
      <c r="AE933" s="90" t="n">
        <v>55000</v>
      </c>
      <c r="AF933" s="90" t="n">
        <v>55000</v>
      </c>
      <c r="AG933" s="90" t="n">
        <v>55000</v>
      </c>
      <c r="AH933" s="90" t="n">
        <v>55000</v>
      </c>
      <c r="AI933" s="90" t="n">
        <v>55000</v>
      </c>
      <c r="AJ933" s="91" t="n">
        <v>55000</v>
      </c>
      <c r="AK933" s="89" t="n">
        <v>55000</v>
      </c>
      <c r="AL933" s="90" t="n">
        <v>55000</v>
      </c>
      <c r="AM933" s="90"/>
      <c r="AN933" s="90"/>
      <c r="AO933" s="90"/>
      <c r="AP933" s="90"/>
      <c r="AQ933" s="90"/>
      <c r="AR933" s="90"/>
      <c r="AS933" s="90"/>
      <c r="AT933" s="90"/>
      <c r="AU933" s="90"/>
      <c r="AV933" s="91"/>
      <c r="AX933" s="92"/>
    </row>
    <row r="934" customFormat="false" ht="15.65" hidden="false" customHeight="false" outlineLevel="0" collapsed="false">
      <c r="C934" s="72" t="n">
        <f aca="false">COUNTIFS($D$6:D934,"&lt;&gt;"&amp;"")</f>
        <v>929</v>
      </c>
      <c r="D934" s="73" t="s">
        <v>12</v>
      </c>
      <c r="E934" s="76" t="str">
        <f aca="false">
IF($D934="정상",INDEX(임대자산!$D$3:$R$3000,MATCH($F934,임대자산!$I$3:$I$3000,0),MATCH(E$3,임대자산!$D$3:$R$3,0)),
IF($D934="폐업",INDEX(폐업정보!$D$3:$R$3000,MATCH($F934,폐업정보!$I$3:$I$3000,0),MATCH(E$3,폐업정보!$D$3:$R$3,0)),
"Error"))</f>
        <v>전라</v>
      </c>
      <c r="F93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B0929</v>
      </c>
      <c r="G934" s="76" t="str">
        <f aca="false">F934&amp;RANDBETWEEN(0,10)</f>
        <v>B09292</v>
      </c>
      <c r="H934" s="75" t="n">
        <f aca="false">
IF($D934="정상",INDEX(임대자산!$D$3:$R$3000,MATCH($F934,임대자산!$I$3:$I$3000,0),MATCH(H$4,임대자산!$D$3:$R$3,0)),
IF($D934="폐업",INDEX(폐업정보!$D$3:$R$3000,MATCH($F934,폐업정보!$I$3:$I$3000,0),MATCH(H$4,폐업정보!$D$3:$R$3,0)),
"Error"))</f>
        <v>44655</v>
      </c>
      <c r="I934" s="75" t="str">
        <f aca="false">
IF($D934="정상",INDEX(임대자산!$D$3:$R$3000,MATCH($F934,임대자산!$I$3:$I$3000,0),MATCH(I$4,임대자산!$D$3:$R$3,0)),
IF($D934="폐업",INDEX(폐업정보!$D$3:$R$3000,MATCH($F934,폐업정보!$I$3:$I$3000,0),MATCH(I$4,폐업정보!$D$3:$R$3,0)),
"Error"))</f>
        <v>A0929</v>
      </c>
      <c r="J934" s="75" t="str">
        <f aca="false">
IF($D934="정상",INDEX(임대자산!$D$3:$R$3000,MATCH($F934,임대자산!$I$3:$I$3000,0),MATCH(J$4,임대자산!$D$3:$R$3,0)),
IF($D934="폐업",INDEX(폐업정보!$D$3:$R$3000,MATCH($F934,폐업정보!$I$3:$I$3000,0),MATCH(J$4,폐업정보!$D$3:$R$3,0)),
"Error"))</f>
        <v>3078000000</v>
      </c>
      <c r="K934" s="75" t="str">
        <f aca="false">
IF($D934="정상",INDEX(임대자산!$D$3:$R$3000,MATCH($F934,임대자산!$I$3:$I$3000,0),MATCH(K$4,임대자산!$D$3:$R$3,0)),
IF($D934="폐업",INDEX(폐업정보!$D$3:$R$3000,MATCH($F934,폐업정보!$I$3:$I$3000,0),MATCH(K$4,폐업정보!$D$3:$R$3,0)),
"Error"))</f>
        <v>C0929</v>
      </c>
      <c r="L934" s="75" t="str">
        <f aca="false">
IF($D934="정상",INDEX(임대자산!$D$3:$R$3000,MATCH($F934,임대자산!$I$3:$I$3000,0),MATCH(L$4,임대자산!$D$3:$R$3,0)),
IF($D934="폐업",INDEX(폐업정보!$D$3:$R$3000,MATCH($F934,폐업정보!$I$3:$I$3000,0),MATCH(L$4,폐업정보!$D$3:$R$3,0)),
"Error"))</f>
        <v>D0929</v>
      </c>
      <c r="M934" s="76" t="s">
        <v>96</v>
      </c>
      <c r="N934" s="77"/>
      <c r="O934" s="78" t="s">
        <v>97</v>
      </c>
      <c r="P934" s="79" t="n">
        <f aca="false">COUNTIFS(임대자산!$I:$I,가맹점정보!F934,임대자산!$N:$N,가맹점정보!P$4)</f>
        <v>0</v>
      </c>
      <c r="Q934" s="80" t="n">
        <f aca="false">COUNTIFS(임대자산!$I:$I,가맹점정보!F934,임대자산!$N:$N,가맹점정보!Q$4)</f>
        <v>0</v>
      </c>
      <c r="R934" s="81" t="n">
        <f aca="false">COUNTIFS(임대자산!$I:$I,가맹점정보!F934,임대자산!$N:$N,가맹점정보!R$4)</f>
        <v>1</v>
      </c>
      <c r="S934" s="82" t="n">
        <v>55000</v>
      </c>
      <c r="T934" s="83" t="n">
        <v>0</v>
      </c>
      <c r="U934" s="80" t="n">
        <f aca="false">SUM(S934:T934)</f>
        <v>55000</v>
      </c>
      <c r="V934" s="84" t="s">
        <v>12</v>
      </c>
      <c r="W934" s="80" t="e">
        <f aca="true">
IF(D934="폐업","폐업",
IF(V934="면제","면제",
IF(AND(V934="정상",COUNTIFS(OFFSET(Y934,0,COUNTA(Y934:AV934)-1,1,-4),"미납")&gt;=3),"장기미납",
IF(AND(V934="정상",OFFSET(Y934,0,COUNTA(Y934:AV934)-1)&gt;=U934),"정상",
IF(AND(V934="정상",OFFSET(Y934,0,COUNTA(Y934:AV934)-1)=0),"정상",
"계약서 미작성")))))</f>
        <v>#VALUE!</v>
      </c>
      <c r="X934" s="81" t="str">
        <f aca="true">
IF(D934="폐업","폐업",
IF(AND(V934="정상",OFFSET(Y934,0,COUNTA(Y934:AV934)-1)="미납"),"미납",
IF(AND(V934="정상",OFFSET(Y934,0,COUNTA(Y934:AV934)-1)=0),"납부 시작 전",
IF(AND(V934="정상",OFFSET(Y934,0,COUNTA(Y934:AV934)-1)&gt;=U934),"정상",
IF(AND(V934="면제",OFFSET(Y934,0,COUNTA(Y934:AV934)-1)="면제"),"면제",
IF(AND(V934="면제",OFFSET(Y934,0,COUNTA(Y934:AV934)-1)=0),"면제",
"확인요청"))))))</f>
        <v>정상</v>
      </c>
      <c r="Y934" s="93" t="n">
        <v>55000</v>
      </c>
      <c r="Z934" s="90" t="n">
        <v>55000</v>
      </c>
      <c r="AA934" s="90" t="n">
        <v>55000</v>
      </c>
      <c r="AB934" s="90" t="n">
        <v>55000</v>
      </c>
      <c r="AC934" s="90" t="n">
        <v>55000</v>
      </c>
      <c r="AD934" s="90" t="n">
        <v>55000</v>
      </c>
      <c r="AE934" s="90" t="n">
        <v>55000</v>
      </c>
      <c r="AF934" s="90" t="n">
        <v>55000</v>
      </c>
      <c r="AG934" s="90" t="n">
        <v>55000</v>
      </c>
      <c r="AH934" s="90" t="n">
        <v>55000</v>
      </c>
      <c r="AI934" s="90" t="n">
        <v>55000</v>
      </c>
      <c r="AJ934" s="91" t="n">
        <v>55000</v>
      </c>
      <c r="AK934" s="89" t="n">
        <v>55000</v>
      </c>
      <c r="AL934" s="90" t="n">
        <v>55000</v>
      </c>
      <c r="AM934" s="90"/>
      <c r="AN934" s="90"/>
      <c r="AO934" s="90"/>
      <c r="AP934" s="90"/>
      <c r="AQ934" s="90"/>
      <c r="AR934" s="90"/>
      <c r="AS934" s="90"/>
      <c r="AT934" s="90"/>
      <c r="AU934" s="90"/>
      <c r="AV934" s="91"/>
      <c r="AX934" s="92"/>
    </row>
    <row r="935" customFormat="false" ht="15.65" hidden="false" customHeight="false" outlineLevel="0" collapsed="false">
      <c r="C935" s="72" t="n">
        <f aca="false">COUNTIFS($D$6:D935,"&lt;&gt;"&amp;"")</f>
        <v>930</v>
      </c>
      <c r="D935" s="73" t="s">
        <v>12</v>
      </c>
      <c r="E935" s="76" t="str">
        <f aca="false">
IF($D935="정상",INDEX(임대자산!$D$3:$R$3000,MATCH($F935,임대자산!$I$3:$I$3000,0),MATCH(E$3,임대자산!$D$3:$R$3,0)),
IF($D935="폐업",INDEX(폐업정보!$D$3:$R$3000,MATCH($F935,폐업정보!$I$3:$I$3000,0),MATCH(E$3,폐업정보!$D$3:$R$3,0)),
"Error"))</f>
        <v>경상</v>
      </c>
      <c r="F93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B0930</v>
      </c>
      <c r="G935" s="76" t="str">
        <f aca="false">F935&amp;RANDBETWEEN(0,10)</f>
        <v>B09304</v>
      </c>
      <c r="H935" s="75" t="n">
        <f aca="false">
IF($D935="정상",INDEX(임대자산!$D$3:$R$3000,MATCH($F935,임대자산!$I$3:$I$3000,0),MATCH(H$4,임대자산!$D$3:$R$3,0)),
IF($D935="폐업",INDEX(폐업정보!$D$3:$R$3000,MATCH($F935,폐업정보!$I$3:$I$3000,0),MATCH(H$4,폐업정보!$D$3:$R$3,0)),
"Error"))</f>
        <v>45048</v>
      </c>
      <c r="I935" s="75" t="str">
        <f aca="false">
IF($D935="정상",INDEX(임대자산!$D$3:$R$3000,MATCH($F935,임대자산!$I$3:$I$3000,0),MATCH(I$4,임대자산!$D$3:$R$3,0)),
IF($D935="폐업",INDEX(폐업정보!$D$3:$R$3000,MATCH($F935,폐업정보!$I$3:$I$3000,0),MATCH(I$4,폐업정보!$D$3:$R$3,0)),
"Error"))</f>
        <v>A0930</v>
      </c>
      <c r="J935" s="75" t="str">
        <f aca="false">
IF($D935="정상",INDEX(임대자산!$D$3:$R$3000,MATCH($F935,임대자산!$I$3:$I$3000,0),MATCH(J$4,임대자산!$D$3:$R$3,0)),
IF($D935="폐업",INDEX(폐업정보!$D$3:$R$3000,MATCH($F935,폐업정보!$I$3:$I$3000,0),MATCH(J$4,폐업정보!$D$3:$R$3,0)),
"Error"))</f>
        <v>8715700000</v>
      </c>
      <c r="K935" s="75" t="str">
        <f aca="false">
IF($D935="정상",INDEX(임대자산!$D$3:$R$3000,MATCH($F935,임대자산!$I$3:$I$3000,0),MATCH(K$4,임대자산!$D$3:$R$3,0)),
IF($D935="폐업",INDEX(폐업정보!$D$3:$R$3000,MATCH($F935,폐업정보!$I$3:$I$3000,0),MATCH(K$4,폐업정보!$D$3:$R$3,0)),
"Error"))</f>
        <v>C0930</v>
      </c>
      <c r="L935" s="75" t="str">
        <f aca="false">
IF($D935="정상",INDEX(임대자산!$D$3:$R$3000,MATCH($F935,임대자산!$I$3:$I$3000,0),MATCH(L$4,임대자산!$D$3:$R$3,0)),
IF($D935="폐업",INDEX(폐업정보!$D$3:$R$3000,MATCH($F935,폐업정보!$I$3:$I$3000,0),MATCH(L$4,폐업정보!$D$3:$R$3,0)),
"Error"))</f>
        <v>D0930</v>
      </c>
      <c r="M935" s="76" t="s">
        <v>96</v>
      </c>
      <c r="N935" s="77"/>
      <c r="O935" s="78" t="s">
        <v>97</v>
      </c>
      <c r="P935" s="79" t="n">
        <f aca="false">COUNTIFS(임대자산!$I:$I,가맹점정보!F935,임대자산!$N:$N,가맹점정보!P$4)</f>
        <v>0</v>
      </c>
      <c r="Q935" s="80" t="n">
        <f aca="false">COUNTIFS(임대자산!$I:$I,가맹점정보!F935,임대자산!$N:$N,가맹점정보!Q$4)</f>
        <v>0</v>
      </c>
      <c r="R935" s="81" t="n">
        <f aca="false">COUNTIFS(임대자산!$I:$I,가맹점정보!F935,임대자산!$N:$N,가맹점정보!R$4)</f>
        <v>1</v>
      </c>
      <c r="S935" s="82" t="n">
        <v>55000</v>
      </c>
      <c r="T935" s="83" t="n">
        <v>0</v>
      </c>
      <c r="U935" s="80" t="n">
        <f aca="false">SUM(S935:T935)</f>
        <v>55000</v>
      </c>
      <c r="V935" s="84" t="s">
        <v>7</v>
      </c>
      <c r="W935" s="80" t="str">
        <f aca="true">
IF(D935="폐업","폐업",
IF(V935="면제","면제",
IF(AND(V935="정상",COUNTIFS(OFFSET(Y935,0,COUNTA(Y935:AV935)-1,1,-4),"미납")&gt;=3),"장기미납",
IF(AND(V935="정상",OFFSET(Y935,0,COUNTA(Y935:AV935)-1)&gt;=U935),"정상",
IF(AND(V935="정상",OFFSET(Y935,0,COUNTA(Y935:AV935)-1)=0),"정상",
"계약서 미작성")))))</f>
        <v>면제</v>
      </c>
      <c r="X935" s="81" t="str">
        <f aca="true">
IF(D935="폐업","폐업",
IF(AND(V935="정상",OFFSET(Y935,0,COUNTA(Y935:AV935)-1)="미납"),"미납",
IF(AND(V935="정상",OFFSET(Y935,0,COUNTA(Y935:AV935)-1)=0),"납부 시작 전",
IF(AND(V935="정상",OFFSET(Y935,0,COUNTA(Y935:AV935)-1)&gt;=U935),"정상",
IF(AND(V935="면제",OFFSET(Y935,0,COUNTA(Y935:AV935)-1)="면제"),"면제",
IF(AND(V935="면제",OFFSET(Y935,0,COUNTA(Y935:AV935)-1)=0),"면제",
"확인요청"))))))</f>
        <v>면제</v>
      </c>
      <c r="Y935" s="93" t="n">
        <v>55000</v>
      </c>
      <c r="Z935" s="90" t="n">
        <v>55000</v>
      </c>
      <c r="AA935" s="90" t="n">
        <v>55000</v>
      </c>
      <c r="AB935" s="90" t="n">
        <v>55000</v>
      </c>
      <c r="AC935" s="90" t="n">
        <v>55000</v>
      </c>
      <c r="AD935" s="95" t="s">
        <v>7</v>
      </c>
      <c r="AE935" s="95" t="s">
        <v>7</v>
      </c>
      <c r="AF935" s="95" t="s">
        <v>7</v>
      </c>
      <c r="AG935" s="95" t="s">
        <v>7</v>
      </c>
      <c r="AH935" s="95" t="s">
        <v>7</v>
      </c>
      <c r="AI935" s="95" t="s">
        <v>7</v>
      </c>
      <c r="AJ935" s="96" t="s">
        <v>7</v>
      </c>
      <c r="AK935" s="97" t="s">
        <v>7</v>
      </c>
      <c r="AL935" s="95" t="s">
        <v>7</v>
      </c>
      <c r="AM935" s="90"/>
      <c r="AN935" s="90"/>
      <c r="AO935" s="90"/>
      <c r="AP935" s="90"/>
      <c r="AQ935" s="90"/>
      <c r="AR935" s="90"/>
      <c r="AS935" s="90"/>
      <c r="AT935" s="90"/>
      <c r="AU935" s="90"/>
      <c r="AV935" s="91"/>
      <c r="AX935" s="92"/>
    </row>
    <row r="936" customFormat="false" ht="15.65" hidden="false" customHeight="false" outlineLevel="0" collapsed="false">
      <c r="C936" s="72" t="n">
        <f aca="false">COUNTIFS($D$6:D936,"&lt;&gt;"&amp;"")</f>
        <v>931</v>
      </c>
      <c r="D936" s="73" t="s">
        <v>12</v>
      </c>
      <c r="E936" s="76" t="str">
        <f aca="false">
IF($D936="정상",INDEX(임대자산!$D$3:$R$3000,MATCH($F936,임대자산!$I$3:$I$3000,0),MATCH(E$3,임대자산!$D$3:$R$3,0)),
IF($D936="폐업",INDEX(폐업정보!$D$3:$R$3000,MATCH($F936,폐업정보!$I$3:$I$3000,0),MATCH(E$3,폐업정보!$D$3:$R$3,0)),
"Error"))</f>
        <v>경상</v>
      </c>
      <c r="F93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B0931</v>
      </c>
      <c r="G936" s="76" t="str">
        <f aca="false">F936&amp;RANDBETWEEN(0,10)</f>
        <v>B09310</v>
      </c>
      <c r="H936" s="75" t="n">
        <f aca="false">
IF($D936="정상",INDEX(임대자산!$D$3:$R$3000,MATCH($F936,임대자산!$I$3:$I$3000,0),MATCH(H$4,임대자산!$D$3:$R$3,0)),
IF($D936="폐업",INDEX(폐업정보!$D$3:$R$3000,MATCH($F936,폐업정보!$I$3:$I$3000,0),MATCH(H$4,폐업정보!$D$3:$R$3,0)),
"Error"))</f>
        <v>44671</v>
      </c>
      <c r="I936" s="75" t="str">
        <f aca="false">
IF($D936="정상",INDEX(임대자산!$D$3:$R$3000,MATCH($F936,임대자산!$I$3:$I$3000,0),MATCH(I$4,임대자산!$D$3:$R$3,0)),
IF($D936="폐업",INDEX(폐업정보!$D$3:$R$3000,MATCH($F936,폐업정보!$I$3:$I$3000,0),MATCH(I$4,폐업정보!$D$3:$R$3,0)),
"Error"))</f>
        <v>A0931</v>
      </c>
      <c r="J936" s="75" t="str">
        <f aca="false">
IF($D936="정상",INDEX(임대자산!$D$3:$R$3000,MATCH($F936,임대자산!$I$3:$I$3000,0),MATCH(J$4,임대자산!$D$3:$R$3,0)),
IF($D936="폐업",INDEX(폐업정보!$D$3:$R$3000,MATCH($F936,폐업정보!$I$3:$I$3000,0),MATCH(J$4,폐업정보!$D$3:$R$3,0)),
"Error"))</f>
        <v>1858800000</v>
      </c>
      <c r="K936" s="75" t="str">
        <f aca="false">
IF($D936="정상",INDEX(임대자산!$D$3:$R$3000,MATCH($F936,임대자산!$I$3:$I$3000,0),MATCH(K$4,임대자산!$D$3:$R$3,0)),
IF($D936="폐업",INDEX(폐업정보!$D$3:$R$3000,MATCH($F936,폐업정보!$I$3:$I$3000,0),MATCH(K$4,폐업정보!$D$3:$R$3,0)),
"Error"))</f>
        <v>C0931</v>
      </c>
      <c r="L936" s="75" t="str">
        <f aca="false">
IF($D936="정상",INDEX(임대자산!$D$3:$R$3000,MATCH($F936,임대자산!$I$3:$I$3000,0),MATCH(L$4,임대자산!$D$3:$R$3,0)),
IF($D936="폐업",INDEX(폐업정보!$D$3:$R$3000,MATCH($F936,폐업정보!$I$3:$I$3000,0),MATCH(L$4,폐업정보!$D$3:$R$3,0)),
"Error"))</f>
        <v>D0931</v>
      </c>
      <c r="M936" s="76" t="s">
        <v>96</v>
      </c>
      <c r="N936" s="77"/>
      <c r="O936" s="78" t="s">
        <v>97</v>
      </c>
      <c r="P936" s="79" t="n">
        <f aca="false">COUNTIFS(임대자산!$I:$I,가맹점정보!F936,임대자산!$N:$N,가맹점정보!P$4)</f>
        <v>0</v>
      </c>
      <c r="Q936" s="80" t="n">
        <f aca="false">COUNTIFS(임대자산!$I:$I,가맹점정보!F936,임대자산!$N:$N,가맹점정보!Q$4)</f>
        <v>0</v>
      </c>
      <c r="R936" s="81" t="n">
        <f aca="false">COUNTIFS(임대자산!$I:$I,가맹점정보!F936,임대자산!$N:$N,가맹점정보!R$4)</f>
        <v>1</v>
      </c>
      <c r="S936" s="82" t="n">
        <v>55000</v>
      </c>
      <c r="T936" s="83" t="n">
        <v>0</v>
      </c>
      <c r="U936" s="80" t="n">
        <f aca="false">SUM(S936:T936)</f>
        <v>55000</v>
      </c>
      <c r="V936" s="84" t="s">
        <v>12</v>
      </c>
      <c r="W936" s="80" t="e">
        <f aca="true">
IF(D936="폐업","폐업",
IF(V936="면제","면제",
IF(AND(V936="정상",COUNTIFS(OFFSET(Y936,0,COUNTA(Y936:AV936)-1,1,-4),"미납")&gt;=3),"장기미납",
IF(AND(V936="정상",OFFSET(Y936,0,COUNTA(Y936:AV936)-1)&gt;=U936),"정상",
IF(AND(V936="정상",OFFSET(Y936,0,COUNTA(Y936:AV936)-1)=0),"정상",
"계약서 미작성")))))</f>
        <v>#VALUE!</v>
      </c>
      <c r="X936" s="81" t="str">
        <f aca="true">
IF(D936="폐업","폐업",
IF(AND(V936="정상",OFFSET(Y936,0,COUNTA(Y936:AV936)-1)="미납"),"미납",
IF(AND(V936="정상",OFFSET(Y936,0,COUNTA(Y936:AV936)-1)=0),"납부 시작 전",
IF(AND(V936="정상",OFFSET(Y936,0,COUNTA(Y936:AV936)-1)&gt;=U936),"정상",
IF(AND(V936="면제",OFFSET(Y936,0,COUNTA(Y936:AV936)-1)="면제"),"면제",
IF(AND(V936="면제",OFFSET(Y936,0,COUNTA(Y936:AV936)-1)=0),"면제",
"확인요청"))))))</f>
        <v>정상</v>
      </c>
      <c r="Y936" s="93" t="n">
        <v>55000</v>
      </c>
      <c r="Z936" s="90" t="n">
        <v>55000</v>
      </c>
      <c r="AA936" s="90" t="n">
        <v>55000</v>
      </c>
      <c r="AB936" s="90" t="n">
        <v>55000</v>
      </c>
      <c r="AC936" s="90" t="n">
        <v>55000</v>
      </c>
      <c r="AD936" s="90" t="n">
        <v>55000</v>
      </c>
      <c r="AE936" s="90" t="n">
        <v>55000</v>
      </c>
      <c r="AF936" s="90" t="n">
        <v>55000</v>
      </c>
      <c r="AG936" s="90" t="n">
        <v>55000</v>
      </c>
      <c r="AH936" s="90" t="n">
        <v>55000</v>
      </c>
      <c r="AI936" s="90" t="n">
        <v>55000</v>
      </c>
      <c r="AJ936" s="91" t="n">
        <v>55000</v>
      </c>
      <c r="AK936" s="89" t="n">
        <v>55000</v>
      </c>
      <c r="AL936" s="90" t="n">
        <v>55000</v>
      </c>
      <c r="AM936" s="90"/>
      <c r="AN936" s="90"/>
      <c r="AO936" s="90"/>
      <c r="AP936" s="90"/>
      <c r="AQ936" s="90"/>
      <c r="AR936" s="90"/>
      <c r="AS936" s="90"/>
      <c r="AT936" s="90"/>
      <c r="AU936" s="90"/>
      <c r="AV936" s="91"/>
      <c r="AX936" s="92"/>
    </row>
    <row r="937" customFormat="false" ht="15.65" hidden="false" customHeight="false" outlineLevel="0" collapsed="false">
      <c r="C937" s="72" t="n">
        <f aca="false">COUNTIFS($D$6:D937,"&lt;&gt;"&amp;"")</f>
        <v>932</v>
      </c>
      <c r="D937" s="73" t="s">
        <v>12</v>
      </c>
      <c r="E937" s="76" t="str">
        <f aca="false">
IF($D937="정상",INDEX(임대자산!$D$3:$R$3000,MATCH($F937,임대자산!$I$3:$I$3000,0),MATCH(E$3,임대자산!$D$3:$R$3,0)),
IF($D937="폐업",INDEX(폐업정보!$D$3:$R$3000,MATCH($F937,폐업정보!$I$3:$I$3000,0),MATCH(E$3,폐업정보!$D$3:$R$3,0)),
"Error"))</f>
        <v>경상</v>
      </c>
      <c r="F93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B0932</v>
      </c>
      <c r="G937" s="76" t="str">
        <f aca="false">F937&amp;RANDBETWEEN(0,10)</f>
        <v>B09329</v>
      </c>
      <c r="H937" s="75" t="n">
        <f aca="false">
IF($D937="정상",INDEX(임대자산!$D$3:$R$3000,MATCH($F937,임대자산!$I$3:$I$3000,0),MATCH(H$4,임대자산!$D$3:$R$3,0)),
IF($D937="폐업",INDEX(폐업정보!$D$3:$R$3000,MATCH($F937,폐업정보!$I$3:$I$3000,0),MATCH(H$4,폐업정보!$D$3:$R$3,0)),
"Error"))</f>
        <v>45190</v>
      </c>
      <c r="I937" s="75" t="str">
        <f aca="false">
IF($D937="정상",INDEX(임대자산!$D$3:$R$3000,MATCH($F937,임대자산!$I$3:$I$3000,0),MATCH(I$4,임대자산!$D$3:$R$3,0)),
IF($D937="폐업",INDEX(폐업정보!$D$3:$R$3000,MATCH($F937,폐업정보!$I$3:$I$3000,0),MATCH(I$4,폐업정보!$D$3:$R$3,0)),
"Error"))</f>
        <v>A0932</v>
      </c>
      <c r="J937" s="75" t="str">
        <f aca="false">
IF($D937="정상",INDEX(임대자산!$D$3:$R$3000,MATCH($F937,임대자산!$I$3:$I$3000,0),MATCH(J$4,임대자산!$D$3:$R$3,0)),
IF($D937="폐업",INDEX(폐업정보!$D$3:$R$3000,MATCH($F937,폐업정보!$I$3:$I$3000,0),MATCH(J$4,폐업정보!$D$3:$R$3,0)),
"Error"))</f>
        <v>5163200000</v>
      </c>
      <c r="K937" s="75" t="str">
        <f aca="false">
IF($D937="정상",INDEX(임대자산!$D$3:$R$3000,MATCH($F937,임대자산!$I$3:$I$3000,0),MATCH(K$4,임대자산!$D$3:$R$3,0)),
IF($D937="폐업",INDEX(폐업정보!$D$3:$R$3000,MATCH($F937,폐업정보!$I$3:$I$3000,0),MATCH(K$4,폐업정보!$D$3:$R$3,0)),
"Error"))</f>
        <v>C0932</v>
      </c>
      <c r="L937" s="75" t="str">
        <f aca="false">
IF($D937="정상",INDEX(임대자산!$D$3:$R$3000,MATCH($F937,임대자산!$I$3:$I$3000,0),MATCH(L$4,임대자산!$D$3:$R$3,0)),
IF($D937="폐업",INDEX(폐업정보!$D$3:$R$3000,MATCH($F937,폐업정보!$I$3:$I$3000,0),MATCH(L$4,폐업정보!$D$3:$R$3,0)),
"Error"))</f>
        <v>D0932</v>
      </c>
      <c r="M937" s="76" t="s">
        <v>96</v>
      </c>
      <c r="N937" s="77"/>
      <c r="O937" s="78" t="s">
        <v>97</v>
      </c>
      <c r="P937" s="79" t="n">
        <f aca="false">COUNTIFS(임대자산!$I:$I,가맹점정보!F937,임대자산!$N:$N,가맹점정보!P$4)</f>
        <v>0</v>
      </c>
      <c r="Q937" s="80" t="n">
        <f aca="false">COUNTIFS(임대자산!$I:$I,가맹점정보!F937,임대자산!$N:$N,가맹점정보!Q$4)</f>
        <v>0</v>
      </c>
      <c r="R937" s="81" t="n">
        <f aca="false">COUNTIFS(임대자산!$I:$I,가맹점정보!F937,임대자산!$N:$N,가맹점정보!R$4)</f>
        <v>1</v>
      </c>
      <c r="S937" s="82" t="n">
        <v>55000</v>
      </c>
      <c r="T937" s="83" t="n">
        <v>0</v>
      </c>
      <c r="U937" s="80" t="n">
        <f aca="false">SUM(S937:T937)</f>
        <v>55000</v>
      </c>
      <c r="V937" s="84" t="s">
        <v>12</v>
      </c>
      <c r="W937" s="80" t="e">
        <f aca="true">
IF(D937="폐업","폐업",
IF(V937="면제","면제",
IF(AND(V937="정상",COUNTIFS(OFFSET(Y937,0,COUNTA(Y937:AV937)-1,1,-4),"미납")&gt;=3),"장기미납",
IF(AND(V937="정상",OFFSET(Y937,0,COUNTA(Y937:AV937)-1)&gt;=U937),"정상",
IF(AND(V937="정상",OFFSET(Y937,0,COUNTA(Y937:AV937)-1)=0),"정상",
"계약서 미작성")))))</f>
        <v>#VALUE!</v>
      </c>
      <c r="X937" s="81" t="str">
        <f aca="true">
IF(D937="폐업","폐업",
IF(AND(V937="정상",OFFSET(Y937,0,COUNTA(Y937:AV937)-1)="미납"),"미납",
IF(AND(V937="정상",OFFSET(Y937,0,COUNTA(Y937:AV937)-1)=0),"납부 시작 전",
IF(AND(V937="정상",OFFSET(Y937,0,COUNTA(Y937:AV937)-1)&gt;=U937),"정상",
IF(AND(V937="면제",OFFSET(Y937,0,COUNTA(Y937:AV937)-1)="면제"),"면제",
IF(AND(V937="면제",OFFSET(Y937,0,COUNTA(Y937:AV937)-1)=0),"면제",
"확인요청"))))))</f>
        <v>정상</v>
      </c>
      <c r="Y937" s="93" t="s">
        <v>99</v>
      </c>
      <c r="Z937" s="90" t="n">
        <v>110000</v>
      </c>
      <c r="AA937" s="90" t="n">
        <v>55000</v>
      </c>
      <c r="AB937" s="90" t="n">
        <v>55000</v>
      </c>
      <c r="AC937" s="90" t="n">
        <v>55000</v>
      </c>
      <c r="AD937" s="90" t="n">
        <v>55000</v>
      </c>
      <c r="AE937" s="90" t="n">
        <v>55000</v>
      </c>
      <c r="AF937" s="90" t="n">
        <v>55000</v>
      </c>
      <c r="AG937" s="90" t="n">
        <v>55000</v>
      </c>
      <c r="AH937" s="90" t="n">
        <v>55000</v>
      </c>
      <c r="AI937" s="90" t="n">
        <v>55000</v>
      </c>
      <c r="AJ937" s="91" t="n">
        <v>55000</v>
      </c>
      <c r="AK937" s="89" t="n">
        <v>55000</v>
      </c>
      <c r="AL937" s="90" t="n">
        <v>55000</v>
      </c>
      <c r="AM937" s="90"/>
      <c r="AN937" s="90"/>
      <c r="AO937" s="90"/>
      <c r="AP937" s="90"/>
      <c r="AQ937" s="90"/>
      <c r="AR937" s="90"/>
      <c r="AS937" s="90"/>
      <c r="AT937" s="90"/>
      <c r="AU937" s="90"/>
      <c r="AV937" s="91"/>
      <c r="AX937" s="92"/>
    </row>
    <row r="938" customFormat="false" ht="15.65" hidden="false" customHeight="false" outlineLevel="0" collapsed="false">
      <c r="C938" s="72" t="n">
        <f aca="false">COUNTIFS($D$6:D938,"&lt;&gt;"&amp;"")</f>
        <v>933</v>
      </c>
      <c r="D938" s="73" t="s">
        <v>12</v>
      </c>
      <c r="E938" s="76" t="str">
        <f aca="false">
IF($D938="정상",INDEX(임대자산!$D$3:$R$3000,MATCH($F938,임대자산!$I$3:$I$3000,0),MATCH(E$3,임대자산!$D$3:$R$3,0)),
IF($D938="폐업",INDEX(폐업정보!$D$3:$R$3000,MATCH($F938,폐업정보!$I$3:$I$3000,0),MATCH(E$3,폐업정보!$D$3:$R$3,0)),
"Error"))</f>
        <v>강원</v>
      </c>
      <c r="F93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B0933</v>
      </c>
      <c r="G938" s="76" t="str">
        <f aca="false">F938&amp;RANDBETWEEN(0,10)</f>
        <v>B09331</v>
      </c>
      <c r="H938" s="75" t="n">
        <f aca="false">
IF($D938="정상",INDEX(임대자산!$D$3:$R$3000,MATCH($F938,임대자산!$I$3:$I$3000,0),MATCH(H$4,임대자산!$D$3:$R$3,0)),
IF($D938="폐업",INDEX(폐업정보!$D$3:$R$3000,MATCH($F938,폐업정보!$I$3:$I$3000,0),MATCH(H$4,폐업정보!$D$3:$R$3,0)),
"Error"))</f>
        <v>44830</v>
      </c>
      <c r="I938" s="75" t="str">
        <f aca="false">
IF($D938="정상",INDEX(임대자산!$D$3:$R$3000,MATCH($F938,임대자산!$I$3:$I$3000,0),MATCH(I$4,임대자산!$D$3:$R$3,0)),
IF($D938="폐업",INDEX(폐업정보!$D$3:$R$3000,MATCH($F938,폐업정보!$I$3:$I$3000,0),MATCH(I$4,폐업정보!$D$3:$R$3,0)),
"Error"))</f>
        <v>A0933</v>
      </c>
      <c r="J938" s="75" t="str">
        <f aca="false">
IF($D938="정상",INDEX(임대자산!$D$3:$R$3000,MATCH($F938,임대자산!$I$3:$I$3000,0),MATCH(J$4,임대자산!$D$3:$R$3,0)),
IF($D938="폐업",INDEX(폐업정보!$D$3:$R$3000,MATCH($F938,폐업정보!$I$3:$I$3000,0),MATCH(J$4,폐업정보!$D$3:$R$3,0)),
"Error"))</f>
        <v>2103300000</v>
      </c>
      <c r="K938" s="75" t="str">
        <f aca="false">
IF($D938="정상",INDEX(임대자산!$D$3:$R$3000,MATCH($F938,임대자산!$I$3:$I$3000,0),MATCH(K$4,임대자산!$D$3:$R$3,0)),
IF($D938="폐업",INDEX(폐업정보!$D$3:$R$3000,MATCH($F938,폐업정보!$I$3:$I$3000,0),MATCH(K$4,폐업정보!$D$3:$R$3,0)),
"Error"))</f>
        <v>C0933</v>
      </c>
      <c r="L938" s="75" t="str">
        <f aca="false">
IF($D938="정상",INDEX(임대자산!$D$3:$R$3000,MATCH($F938,임대자산!$I$3:$I$3000,0),MATCH(L$4,임대자산!$D$3:$R$3,0)),
IF($D938="폐업",INDEX(폐업정보!$D$3:$R$3000,MATCH($F938,폐업정보!$I$3:$I$3000,0),MATCH(L$4,폐업정보!$D$3:$R$3,0)),
"Error"))</f>
        <v>D0933</v>
      </c>
      <c r="M938" s="76" t="s">
        <v>96</v>
      </c>
      <c r="N938" s="77"/>
      <c r="O938" s="78" t="s">
        <v>97</v>
      </c>
      <c r="P938" s="79" t="n">
        <f aca="false">COUNTIFS(임대자산!$I:$I,가맹점정보!F938,임대자산!$N:$N,가맹점정보!P$4)</f>
        <v>0</v>
      </c>
      <c r="Q938" s="80" t="n">
        <f aca="false">COUNTIFS(임대자산!$I:$I,가맹점정보!F938,임대자산!$N:$N,가맹점정보!Q$4)</f>
        <v>0</v>
      </c>
      <c r="R938" s="81" t="n">
        <f aca="false">COUNTIFS(임대자산!$I:$I,가맹점정보!F938,임대자산!$N:$N,가맹점정보!R$4)</f>
        <v>1</v>
      </c>
      <c r="S938" s="82" t="n">
        <v>55000</v>
      </c>
      <c r="T938" s="83" t="n">
        <v>0</v>
      </c>
      <c r="U938" s="80" t="n">
        <f aca="false">SUM(S938:T938)</f>
        <v>55000</v>
      </c>
      <c r="V938" s="84" t="s">
        <v>12</v>
      </c>
      <c r="W938" s="80" t="e">
        <f aca="true">
IF(D938="폐업","폐업",
IF(V938="면제","면제",
IF(AND(V938="정상",COUNTIFS(OFFSET(Y938,0,COUNTA(Y938:AV938)-1,1,-4),"미납")&gt;=3),"장기미납",
IF(AND(V938="정상",OFFSET(Y938,0,COUNTA(Y938:AV938)-1)&gt;=U938),"정상",
IF(AND(V938="정상",OFFSET(Y938,0,COUNTA(Y938:AV938)-1)=0),"정상",
"계약서 미작성")))))</f>
        <v>#VALUE!</v>
      </c>
      <c r="X938" s="81" t="str">
        <f aca="true">
IF(D938="폐업","폐업",
IF(AND(V938="정상",OFFSET(Y938,0,COUNTA(Y938:AV938)-1)="미납"),"미납",
IF(AND(V938="정상",OFFSET(Y938,0,COUNTA(Y938:AV938)-1)=0),"납부 시작 전",
IF(AND(V938="정상",OFFSET(Y938,0,COUNTA(Y938:AV938)-1)&gt;=U938),"정상",
IF(AND(V938="면제",OFFSET(Y938,0,COUNTA(Y938:AV938)-1)="면제"),"면제",
IF(AND(V938="면제",OFFSET(Y938,0,COUNTA(Y938:AV938)-1)=0),"면제",
"확인요청"))))))</f>
        <v>정상</v>
      </c>
      <c r="Y938" s="93" t="n">
        <v>55000</v>
      </c>
      <c r="Z938" s="90" t="n">
        <v>55000</v>
      </c>
      <c r="AA938" s="90" t="n">
        <v>55000</v>
      </c>
      <c r="AB938" s="90" t="n">
        <v>55000</v>
      </c>
      <c r="AC938" s="90" t="n">
        <v>55000</v>
      </c>
      <c r="AD938" s="90" t="n">
        <v>55000</v>
      </c>
      <c r="AE938" s="90" t="n">
        <v>55000</v>
      </c>
      <c r="AF938" s="90" t="n">
        <v>55000</v>
      </c>
      <c r="AG938" s="90" t="n">
        <v>55000</v>
      </c>
      <c r="AH938" s="90" t="n">
        <v>55000</v>
      </c>
      <c r="AI938" s="90" t="n">
        <v>55000</v>
      </c>
      <c r="AJ938" s="91" t="n">
        <v>55000</v>
      </c>
      <c r="AK938" s="89" t="n">
        <v>55000</v>
      </c>
      <c r="AL938" s="90" t="n">
        <v>55000</v>
      </c>
      <c r="AM938" s="90"/>
      <c r="AN938" s="90"/>
      <c r="AO938" s="90"/>
      <c r="AP938" s="90"/>
      <c r="AQ938" s="90"/>
      <c r="AR938" s="90"/>
      <c r="AS938" s="90"/>
      <c r="AT938" s="90"/>
      <c r="AU938" s="90"/>
      <c r="AV938" s="91"/>
      <c r="AX938" s="92"/>
    </row>
    <row r="939" customFormat="false" ht="15.65" hidden="false" customHeight="false" outlineLevel="0" collapsed="false">
      <c r="C939" s="72" t="n">
        <f aca="false">COUNTIFS($D$6:D939,"&lt;&gt;"&amp;"")</f>
        <v>934</v>
      </c>
      <c r="D939" s="73" t="s">
        <v>12</v>
      </c>
      <c r="E939" s="76" t="str">
        <f aca="false">
IF($D939="정상",INDEX(임대자산!$D$3:$R$3000,MATCH($F939,임대자산!$I$3:$I$3000,0),MATCH(E$3,임대자산!$D$3:$R$3,0)),
IF($D939="폐업",INDEX(폐업정보!$D$3:$R$3000,MATCH($F939,폐업정보!$I$3:$I$3000,0),MATCH(E$3,폐업정보!$D$3:$R$3,0)),
"Error"))</f>
        <v>경기</v>
      </c>
      <c r="F93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B0934</v>
      </c>
      <c r="G939" s="76" t="str">
        <f aca="false">F939&amp;RANDBETWEEN(0,10)</f>
        <v>B09341</v>
      </c>
      <c r="H939" s="75" t="n">
        <f aca="false">
IF($D939="정상",INDEX(임대자산!$D$3:$R$3000,MATCH($F939,임대자산!$I$3:$I$3000,0),MATCH(H$4,임대자산!$D$3:$R$3,0)),
IF($D939="폐업",INDEX(폐업정보!$D$3:$R$3000,MATCH($F939,폐업정보!$I$3:$I$3000,0),MATCH(H$4,폐업정보!$D$3:$R$3,0)),
"Error"))</f>
        <v>44691</v>
      </c>
      <c r="I939" s="75" t="str">
        <f aca="false">
IF($D939="정상",INDEX(임대자산!$D$3:$R$3000,MATCH($F939,임대자산!$I$3:$I$3000,0),MATCH(I$4,임대자산!$D$3:$R$3,0)),
IF($D939="폐업",INDEX(폐업정보!$D$3:$R$3000,MATCH($F939,폐업정보!$I$3:$I$3000,0),MATCH(I$4,폐업정보!$D$3:$R$3,0)),
"Error"))</f>
        <v>A0934</v>
      </c>
      <c r="J939" s="75" t="str">
        <f aca="false">
IF($D939="정상",INDEX(임대자산!$D$3:$R$3000,MATCH($F939,임대자산!$I$3:$I$3000,0),MATCH(J$4,임대자산!$D$3:$R$3,0)),
IF($D939="폐업",INDEX(폐업정보!$D$3:$R$3000,MATCH($F939,폐업정보!$I$3:$I$3000,0),MATCH(J$4,폐업정보!$D$3:$R$3,0)),
"Error"))</f>
        <v>4632400000</v>
      </c>
      <c r="K939" s="75" t="str">
        <f aca="false">
IF($D939="정상",INDEX(임대자산!$D$3:$R$3000,MATCH($F939,임대자산!$I$3:$I$3000,0),MATCH(K$4,임대자산!$D$3:$R$3,0)),
IF($D939="폐업",INDEX(폐업정보!$D$3:$R$3000,MATCH($F939,폐업정보!$I$3:$I$3000,0),MATCH(K$4,폐업정보!$D$3:$R$3,0)),
"Error"))</f>
        <v>C0934</v>
      </c>
      <c r="L939" s="75" t="str">
        <f aca="false">
IF($D939="정상",INDEX(임대자산!$D$3:$R$3000,MATCH($F939,임대자산!$I$3:$I$3000,0),MATCH(L$4,임대자산!$D$3:$R$3,0)),
IF($D939="폐업",INDEX(폐업정보!$D$3:$R$3000,MATCH($F939,폐업정보!$I$3:$I$3000,0),MATCH(L$4,폐업정보!$D$3:$R$3,0)),
"Error"))</f>
        <v>D0934</v>
      </c>
      <c r="M939" s="76" t="s">
        <v>96</v>
      </c>
      <c r="N939" s="77"/>
      <c r="O939" s="78" t="s">
        <v>97</v>
      </c>
      <c r="P939" s="79" t="n">
        <f aca="false">COUNTIFS(임대자산!$I:$I,가맹점정보!F939,임대자산!$N:$N,가맹점정보!P$4)</f>
        <v>0</v>
      </c>
      <c r="Q939" s="80" t="n">
        <f aca="false">COUNTIFS(임대자산!$I:$I,가맹점정보!F939,임대자산!$N:$N,가맹점정보!Q$4)</f>
        <v>0</v>
      </c>
      <c r="R939" s="81" t="n">
        <f aca="false">COUNTIFS(임대자산!$I:$I,가맹점정보!F939,임대자산!$N:$N,가맹점정보!R$4)</f>
        <v>1</v>
      </c>
      <c r="S939" s="82" t="n">
        <v>55000</v>
      </c>
      <c r="T939" s="83" t="n">
        <v>0</v>
      </c>
      <c r="U939" s="80" t="n">
        <f aca="false">SUM(S939:T939)</f>
        <v>55000</v>
      </c>
      <c r="V939" s="84" t="s">
        <v>12</v>
      </c>
      <c r="W939" s="80" t="e">
        <f aca="true">
IF(D939="폐업","폐업",
IF(V939="면제","면제",
IF(AND(V939="정상",COUNTIFS(OFFSET(Y939,0,COUNTA(Y939:AV939)-1,1,-4),"미납")&gt;=3),"장기미납",
IF(AND(V939="정상",OFFSET(Y939,0,COUNTA(Y939:AV939)-1)&gt;=U939),"정상",
IF(AND(V939="정상",OFFSET(Y939,0,COUNTA(Y939:AV939)-1)=0),"정상",
"계약서 미작성")))))</f>
        <v>#VALUE!</v>
      </c>
      <c r="X939" s="81" t="str">
        <f aca="true">
IF(D939="폐업","폐업",
IF(AND(V939="정상",OFFSET(Y939,0,COUNTA(Y939:AV939)-1)="미납"),"미납",
IF(AND(V939="정상",OFFSET(Y939,0,COUNTA(Y939:AV939)-1)=0),"납부 시작 전",
IF(AND(V939="정상",OFFSET(Y939,0,COUNTA(Y939:AV939)-1)&gt;=U939),"정상",
IF(AND(V939="면제",OFFSET(Y939,0,COUNTA(Y939:AV939)-1)="면제"),"면제",
IF(AND(V939="면제",OFFSET(Y939,0,COUNTA(Y939:AV939)-1)=0),"면제",
"확인요청"))))))</f>
        <v>정상</v>
      </c>
      <c r="Y939" s="93" t="n">
        <v>55000</v>
      </c>
      <c r="Z939" s="90" t="n">
        <v>55000</v>
      </c>
      <c r="AA939" s="90" t="n">
        <v>55000</v>
      </c>
      <c r="AB939" s="90" t="n">
        <v>55000</v>
      </c>
      <c r="AC939" s="90" t="n">
        <v>55000</v>
      </c>
      <c r="AD939" s="90" t="n">
        <v>55000</v>
      </c>
      <c r="AE939" s="90" t="n">
        <v>55000</v>
      </c>
      <c r="AF939" s="90" t="n">
        <v>55000</v>
      </c>
      <c r="AG939" s="90" t="n">
        <v>55000</v>
      </c>
      <c r="AH939" s="90" t="n">
        <v>55000</v>
      </c>
      <c r="AI939" s="90" t="n">
        <v>55000</v>
      </c>
      <c r="AJ939" s="91" t="n">
        <v>55000</v>
      </c>
      <c r="AK939" s="89" t="n">
        <v>55000</v>
      </c>
      <c r="AL939" s="90" t="n">
        <v>55000</v>
      </c>
      <c r="AM939" s="90"/>
      <c r="AN939" s="90"/>
      <c r="AO939" s="90"/>
      <c r="AP939" s="90"/>
      <c r="AQ939" s="90"/>
      <c r="AR939" s="90"/>
      <c r="AS939" s="90"/>
      <c r="AT939" s="90"/>
      <c r="AU939" s="90"/>
      <c r="AV939" s="91"/>
      <c r="AX939" s="92"/>
    </row>
    <row r="940" customFormat="false" ht="15.65" hidden="false" customHeight="false" outlineLevel="0" collapsed="false">
      <c r="C940" s="72" t="n">
        <f aca="false">COUNTIFS($D$6:D940,"&lt;&gt;"&amp;"")</f>
        <v>935</v>
      </c>
      <c r="D940" s="73" t="s">
        <v>12</v>
      </c>
      <c r="E940" s="76" t="str">
        <f aca="false">
IF($D940="정상",INDEX(임대자산!$D$3:$R$3000,MATCH($F940,임대자산!$I$3:$I$3000,0),MATCH(E$3,임대자산!$D$3:$R$3,0)),
IF($D940="폐업",INDEX(폐업정보!$D$3:$R$3000,MATCH($F940,폐업정보!$I$3:$I$3000,0),MATCH(E$3,폐업정보!$D$3:$R$3,0)),
"Error"))</f>
        <v>강원</v>
      </c>
      <c r="F94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B0935</v>
      </c>
      <c r="G940" s="76" t="str">
        <f aca="false">F940&amp;RANDBETWEEN(0,10)</f>
        <v>B093510</v>
      </c>
      <c r="H940" s="75" t="n">
        <f aca="false">
IF($D940="정상",INDEX(임대자산!$D$3:$R$3000,MATCH($F940,임대자산!$I$3:$I$3000,0),MATCH(H$4,임대자산!$D$3:$R$3,0)),
IF($D940="폐업",INDEX(폐업정보!$D$3:$R$3000,MATCH($F940,폐업정보!$I$3:$I$3000,0),MATCH(H$4,폐업정보!$D$3:$R$3,0)),
"Error"))</f>
        <v>45986</v>
      </c>
      <c r="I940" s="75" t="str">
        <f aca="false">
IF($D940="정상",INDEX(임대자산!$D$3:$R$3000,MATCH($F940,임대자산!$I$3:$I$3000,0),MATCH(I$4,임대자산!$D$3:$R$3,0)),
IF($D940="폐업",INDEX(폐업정보!$D$3:$R$3000,MATCH($F940,폐업정보!$I$3:$I$3000,0),MATCH(I$4,폐업정보!$D$3:$R$3,0)),
"Error"))</f>
        <v>A0935</v>
      </c>
      <c r="J940" s="75" t="str">
        <f aca="false">
IF($D940="정상",INDEX(임대자산!$D$3:$R$3000,MATCH($F940,임대자산!$I$3:$I$3000,0),MATCH(J$4,임대자산!$D$3:$R$3,0)),
IF($D940="폐업",INDEX(폐업정보!$D$3:$R$3000,MATCH($F940,폐업정보!$I$3:$I$3000,0),MATCH(J$4,폐업정보!$D$3:$R$3,0)),
"Error"))</f>
        <v>5886800000</v>
      </c>
      <c r="K940" s="75" t="str">
        <f aca="false">
IF($D940="정상",INDEX(임대자산!$D$3:$R$3000,MATCH($F940,임대자산!$I$3:$I$3000,0),MATCH(K$4,임대자산!$D$3:$R$3,0)),
IF($D940="폐업",INDEX(폐업정보!$D$3:$R$3000,MATCH($F940,폐업정보!$I$3:$I$3000,0),MATCH(K$4,폐업정보!$D$3:$R$3,0)),
"Error"))</f>
        <v>C0935</v>
      </c>
      <c r="L940" s="75" t="str">
        <f aca="false">
IF($D940="정상",INDEX(임대자산!$D$3:$R$3000,MATCH($F940,임대자산!$I$3:$I$3000,0),MATCH(L$4,임대자산!$D$3:$R$3,0)),
IF($D940="폐업",INDEX(폐업정보!$D$3:$R$3000,MATCH($F940,폐업정보!$I$3:$I$3000,0),MATCH(L$4,폐업정보!$D$3:$R$3,0)),
"Error"))</f>
        <v>D0935</v>
      </c>
      <c r="M940" s="76" t="s">
        <v>96</v>
      </c>
      <c r="N940" s="77"/>
      <c r="O940" s="78" t="s">
        <v>97</v>
      </c>
      <c r="P940" s="79" t="n">
        <f aca="false">COUNTIFS(임대자산!$I:$I,가맹점정보!F940,임대자산!$N:$N,가맹점정보!P$4)</f>
        <v>0</v>
      </c>
      <c r="Q940" s="80" t="n">
        <f aca="false">COUNTIFS(임대자산!$I:$I,가맹점정보!F940,임대자산!$N:$N,가맹점정보!Q$4)</f>
        <v>0</v>
      </c>
      <c r="R940" s="81" t="n">
        <f aca="false">COUNTIFS(임대자산!$I:$I,가맹점정보!F940,임대자산!$N:$N,가맹점정보!R$4)</f>
        <v>1</v>
      </c>
      <c r="S940" s="82" t="n">
        <v>88000</v>
      </c>
      <c r="T940" s="83" t="n">
        <v>0</v>
      </c>
      <c r="U940" s="80" t="n">
        <f aca="false">SUM(S940:T940)</f>
        <v>88000</v>
      </c>
      <c r="V940" s="84" t="s">
        <v>7</v>
      </c>
      <c r="W940" s="80" t="str">
        <f aca="true">
IF(D940="폐업","폐업",
IF(V940="면제","면제",
IF(AND(V940="정상",COUNTIFS(OFFSET(Y940,0,COUNTA(Y940:AV940)-1,1,-4),"미납")&gt;=3),"장기미납",
IF(AND(V940="정상",OFFSET(Y940,0,COUNTA(Y940:AV940)-1)&gt;=U940),"정상",
IF(AND(V940="정상",OFFSET(Y940,0,COUNTA(Y940:AV940)-1)=0),"정상",
"계약서 미작성")))))</f>
        <v>면제</v>
      </c>
      <c r="X940" s="81" t="str">
        <f aca="true">
IF(D940="폐업","폐업",
IF(AND(V940="정상",OFFSET(Y940,0,COUNTA(Y940:AV940)-1)="미납"),"미납",
IF(AND(V940="정상",OFFSET(Y940,0,COUNTA(Y940:AV940)-1)=0),"납부 시작 전",
IF(AND(V940="정상",OFFSET(Y940,0,COUNTA(Y940:AV940)-1)&gt;=U940),"정상",
IF(AND(V940="면제",OFFSET(Y940,0,COUNTA(Y940:AV940)-1)="면제"),"면제",
IF(AND(V940="면제",OFFSET(Y940,0,COUNTA(Y940:AV940)-1)=0),"면제",
"확인요청"))))))</f>
        <v>면제</v>
      </c>
      <c r="Y940" s="94" t="s">
        <v>62</v>
      </c>
      <c r="Z940" s="90" t="n">
        <v>0</v>
      </c>
      <c r="AA940" s="90" t="n">
        <v>0</v>
      </c>
      <c r="AB940" s="90" t="n">
        <v>0</v>
      </c>
      <c r="AC940" s="90" t="n">
        <v>0</v>
      </c>
      <c r="AD940" s="95" t="s">
        <v>7</v>
      </c>
      <c r="AE940" s="95" t="s">
        <v>7</v>
      </c>
      <c r="AF940" s="95" t="s">
        <v>7</v>
      </c>
      <c r="AG940" s="95" t="s">
        <v>7</v>
      </c>
      <c r="AH940" s="95" t="s">
        <v>7</v>
      </c>
      <c r="AI940" s="95" t="s">
        <v>7</v>
      </c>
      <c r="AJ940" s="96" t="s">
        <v>7</v>
      </c>
      <c r="AK940" s="97" t="s">
        <v>7</v>
      </c>
      <c r="AL940" s="95" t="s">
        <v>7</v>
      </c>
      <c r="AM940" s="90"/>
      <c r="AN940" s="90"/>
      <c r="AO940" s="90"/>
      <c r="AP940" s="90"/>
      <c r="AQ940" s="90"/>
      <c r="AR940" s="90"/>
      <c r="AS940" s="90"/>
      <c r="AT940" s="90"/>
      <c r="AU940" s="90"/>
      <c r="AV940" s="91"/>
      <c r="AX940" s="92"/>
    </row>
    <row r="941" customFormat="false" ht="15.65" hidden="false" customHeight="false" outlineLevel="0" collapsed="false">
      <c r="C941" s="72" t="n">
        <f aca="false">COUNTIFS($D$6:D941,"&lt;&gt;"&amp;"")</f>
        <v>936</v>
      </c>
      <c r="D941" s="73" t="s">
        <v>12</v>
      </c>
      <c r="E941" s="76" t="str">
        <f aca="false">
IF($D941="정상",INDEX(임대자산!$D$3:$R$3000,MATCH($F941,임대자산!$I$3:$I$3000,0),MATCH(E$3,임대자산!$D$3:$R$3,0)),
IF($D941="폐업",INDEX(폐업정보!$D$3:$R$3000,MATCH($F941,폐업정보!$I$3:$I$3000,0),MATCH(E$3,폐업정보!$D$3:$R$3,0)),
"Error"))</f>
        <v>경기</v>
      </c>
      <c r="F94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B0936</v>
      </c>
      <c r="G941" s="76" t="str">
        <f aca="false">F941&amp;RANDBETWEEN(0,10)</f>
        <v>B09366</v>
      </c>
      <c r="H941" s="75" t="n">
        <f aca="false">
IF($D941="정상",INDEX(임대자산!$D$3:$R$3000,MATCH($F941,임대자산!$I$3:$I$3000,0),MATCH(H$4,임대자산!$D$3:$R$3,0)),
IF($D941="폐업",INDEX(폐업정보!$D$3:$R$3000,MATCH($F941,폐업정보!$I$3:$I$3000,0),MATCH(H$4,폐업정보!$D$3:$R$3,0)),
"Error"))</f>
        <v>44706</v>
      </c>
      <c r="I941" s="75" t="str">
        <f aca="false">
IF($D941="정상",INDEX(임대자산!$D$3:$R$3000,MATCH($F941,임대자산!$I$3:$I$3000,0),MATCH(I$4,임대자산!$D$3:$R$3,0)),
IF($D941="폐업",INDEX(폐업정보!$D$3:$R$3000,MATCH($F941,폐업정보!$I$3:$I$3000,0),MATCH(I$4,폐업정보!$D$3:$R$3,0)),
"Error"))</f>
        <v>A0936</v>
      </c>
      <c r="J941" s="75" t="str">
        <f aca="false">
IF($D941="정상",INDEX(임대자산!$D$3:$R$3000,MATCH($F941,임대자산!$I$3:$I$3000,0),MATCH(J$4,임대자산!$D$3:$R$3,0)),
IF($D941="폐업",INDEX(폐업정보!$D$3:$R$3000,MATCH($F941,폐업정보!$I$3:$I$3000,0),MATCH(J$4,폐업정보!$D$3:$R$3,0)),
"Error"))</f>
        <v>1607200000</v>
      </c>
      <c r="K941" s="75" t="str">
        <f aca="false">
IF($D941="정상",INDEX(임대자산!$D$3:$R$3000,MATCH($F941,임대자산!$I$3:$I$3000,0),MATCH(K$4,임대자산!$D$3:$R$3,0)),
IF($D941="폐업",INDEX(폐업정보!$D$3:$R$3000,MATCH($F941,폐업정보!$I$3:$I$3000,0),MATCH(K$4,폐업정보!$D$3:$R$3,0)),
"Error"))</f>
        <v>C0936</v>
      </c>
      <c r="L941" s="75" t="str">
        <f aca="false">
IF($D941="정상",INDEX(임대자산!$D$3:$R$3000,MATCH($F941,임대자산!$I$3:$I$3000,0),MATCH(L$4,임대자산!$D$3:$R$3,0)),
IF($D941="폐업",INDEX(폐업정보!$D$3:$R$3000,MATCH($F941,폐업정보!$I$3:$I$3000,0),MATCH(L$4,폐업정보!$D$3:$R$3,0)),
"Error"))</f>
        <v>D0936</v>
      </c>
      <c r="M941" s="76" t="s">
        <v>96</v>
      </c>
      <c r="N941" s="77"/>
      <c r="O941" s="78" t="s">
        <v>97</v>
      </c>
      <c r="P941" s="79" t="n">
        <f aca="false">COUNTIFS(임대자산!$I:$I,가맹점정보!F941,임대자산!$N:$N,가맹점정보!P$4)</f>
        <v>0</v>
      </c>
      <c r="Q941" s="80" t="n">
        <f aca="false">COUNTIFS(임대자산!$I:$I,가맹점정보!F941,임대자산!$N:$N,가맹점정보!Q$4)</f>
        <v>0</v>
      </c>
      <c r="R941" s="81" t="n">
        <f aca="false">COUNTIFS(임대자산!$I:$I,가맹점정보!F941,임대자산!$N:$N,가맹점정보!R$4)</f>
        <v>1</v>
      </c>
      <c r="S941" s="82" t="n">
        <v>88000</v>
      </c>
      <c r="T941" s="83" t="n">
        <v>0</v>
      </c>
      <c r="U941" s="80" t="n">
        <f aca="false">SUM(S941:T941)</f>
        <v>88000</v>
      </c>
      <c r="V941" s="84" t="s">
        <v>12</v>
      </c>
      <c r="W941" s="80" t="e">
        <f aca="true">
IF(D941="폐업","폐업",
IF(V941="면제","면제",
IF(AND(V941="정상",COUNTIFS(OFFSET(Y941,0,COUNTA(Y941:AV941)-1,1,-4),"미납")&gt;=3),"장기미납",
IF(AND(V941="정상",OFFSET(Y941,0,COUNTA(Y941:AV941)-1)&gt;=U941),"정상",
IF(AND(V941="정상",OFFSET(Y941,0,COUNTA(Y941:AV941)-1)=0),"정상",
"계약서 미작성")))))</f>
        <v>#VALUE!</v>
      </c>
      <c r="X941" s="81" t="str">
        <f aca="true">
IF(D941="폐업","폐업",
IF(AND(V941="정상",OFFSET(Y941,0,COUNTA(Y941:AV941)-1)="미납"),"미납",
IF(AND(V941="정상",OFFSET(Y941,0,COUNTA(Y941:AV941)-1)=0),"납부 시작 전",
IF(AND(V941="정상",OFFSET(Y941,0,COUNTA(Y941:AV941)-1)&gt;=U941),"정상",
IF(AND(V941="면제",OFFSET(Y941,0,COUNTA(Y941:AV941)-1)="면제"),"면제",
IF(AND(V941="면제",OFFSET(Y941,0,COUNTA(Y941:AV941)-1)=0),"면제",
"확인요청"))))))</f>
        <v>정상</v>
      </c>
      <c r="Y941" s="93" t="n">
        <v>88000</v>
      </c>
      <c r="Z941" s="90" t="n">
        <v>88000</v>
      </c>
      <c r="AA941" s="90" t="n">
        <v>88000</v>
      </c>
      <c r="AB941" s="90" t="n">
        <v>88000</v>
      </c>
      <c r="AC941" s="90" t="n">
        <v>88000</v>
      </c>
      <c r="AD941" s="90" t="n">
        <v>88000</v>
      </c>
      <c r="AE941" s="90" t="n">
        <v>88000</v>
      </c>
      <c r="AF941" s="90" t="n">
        <v>88000</v>
      </c>
      <c r="AG941" s="90" t="n">
        <v>88000</v>
      </c>
      <c r="AH941" s="90" t="n">
        <v>88000</v>
      </c>
      <c r="AI941" s="90" t="n">
        <v>88000</v>
      </c>
      <c r="AJ941" s="91" t="n">
        <v>88000</v>
      </c>
      <c r="AK941" s="89" t="n">
        <v>88000</v>
      </c>
      <c r="AL941" s="90" t="n">
        <v>88000</v>
      </c>
      <c r="AM941" s="90"/>
      <c r="AN941" s="90"/>
      <c r="AO941" s="90"/>
      <c r="AP941" s="90"/>
      <c r="AQ941" s="90"/>
      <c r="AR941" s="90"/>
      <c r="AS941" s="90"/>
      <c r="AT941" s="90"/>
      <c r="AU941" s="90"/>
      <c r="AV941" s="91"/>
      <c r="AX941" s="92"/>
    </row>
    <row r="942" customFormat="false" ht="15.65" hidden="false" customHeight="false" outlineLevel="0" collapsed="false">
      <c r="C942" s="72" t="n">
        <f aca="false">COUNTIFS($D$6:D942,"&lt;&gt;"&amp;"")</f>
        <v>937</v>
      </c>
      <c r="D942" s="73" t="s">
        <v>12</v>
      </c>
      <c r="E942" s="76" t="str">
        <f aca="false">
IF($D942="정상",INDEX(임대자산!$D$3:$R$3000,MATCH($F942,임대자산!$I$3:$I$3000,0),MATCH(E$3,임대자산!$D$3:$R$3,0)),
IF($D942="폐업",INDEX(폐업정보!$D$3:$R$3000,MATCH($F942,폐업정보!$I$3:$I$3000,0),MATCH(E$3,폐업정보!$D$3:$R$3,0)),
"Error"))</f>
        <v>경기</v>
      </c>
      <c r="F94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B0937</v>
      </c>
      <c r="G942" s="76" t="str">
        <f aca="false">F942&amp;RANDBETWEEN(0,10)</f>
        <v>B09371</v>
      </c>
      <c r="H942" s="75" t="n">
        <f aca="false">
IF($D942="정상",INDEX(임대자산!$D$3:$R$3000,MATCH($F942,임대자산!$I$3:$I$3000,0),MATCH(H$4,임대자산!$D$3:$R$3,0)),
IF($D942="폐업",INDEX(폐업정보!$D$3:$R$3000,MATCH($F942,폐업정보!$I$3:$I$3000,0),MATCH(H$4,폐업정보!$D$3:$R$3,0)),
"Error"))</f>
        <v>46051</v>
      </c>
      <c r="I942" s="75" t="str">
        <f aca="false">
IF($D942="정상",INDEX(임대자산!$D$3:$R$3000,MATCH($F942,임대자산!$I$3:$I$3000,0),MATCH(I$4,임대자산!$D$3:$R$3,0)),
IF($D942="폐업",INDEX(폐업정보!$D$3:$R$3000,MATCH($F942,폐업정보!$I$3:$I$3000,0),MATCH(I$4,폐업정보!$D$3:$R$3,0)),
"Error"))</f>
        <v>A0937</v>
      </c>
      <c r="J942" s="75" t="str">
        <f aca="false">
IF($D942="정상",INDEX(임대자산!$D$3:$R$3000,MATCH($F942,임대자산!$I$3:$I$3000,0),MATCH(J$4,임대자산!$D$3:$R$3,0)),
IF($D942="폐업",INDEX(폐업정보!$D$3:$R$3000,MATCH($F942,폐업정보!$I$3:$I$3000,0),MATCH(J$4,폐업정보!$D$3:$R$3,0)),
"Error"))</f>
        <v>1442400000</v>
      </c>
      <c r="K942" s="75" t="str">
        <f aca="false">
IF($D942="정상",INDEX(임대자산!$D$3:$R$3000,MATCH($F942,임대자산!$I$3:$I$3000,0),MATCH(K$4,임대자산!$D$3:$R$3,0)),
IF($D942="폐업",INDEX(폐업정보!$D$3:$R$3000,MATCH($F942,폐업정보!$I$3:$I$3000,0),MATCH(K$4,폐업정보!$D$3:$R$3,0)),
"Error"))</f>
        <v>C0937</v>
      </c>
      <c r="L942" s="75" t="str">
        <f aca="false">
IF($D942="정상",INDEX(임대자산!$D$3:$R$3000,MATCH($F942,임대자산!$I$3:$I$3000,0),MATCH(L$4,임대자산!$D$3:$R$3,0)),
IF($D942="폐업",INDEX(폐업정보!$D$3:$R$3000,MATCH($F942,폐업정보!$I$3:$I$3000,0),MATCH(L$4,폐업정보!$D$3:$R$3,0)),
"Error"))</f>
        <v>D0937</v>
      </c>
      <c r="M942" s="76" t="s">
        <v>96</v>
      </c>
      <c r="N942" s="77"/>
      <c r="O942" s="78" t="s">
        <v>97</v>
      </c>
      <c r="P942" s="79" t="n">
        <f aca="false">COUNTIFS(임대자산!$I:$I,가맹점정보!F942,임대자산!$N:$N,가맹점정보!P$4)</f>
        <v>0</v>
      </c>
      <c r="Q942" s="80" t="n">
        <f aca="false">COUNTIFS(임대자산!$I:$I,가맹점정보!F942,임대자산!$N:$N,가맹점정보!Q$4)</f>
        <v>0</v>
      </c>
      <c r="R942" s="81" t="n">
        <f aca="false">COUNTIFS(임대자산!$I:$I,가맹점정보!F942,임대자산!$N:$N,가맹점정보!R$4)</f>
        <v>1</v>
      </c>
      <c r="S942" s="82" t="n">
        <v>55000</v>
      </c>
      <c r="T942" s="83" t="n">
        <v>0</v>
      </c>
      <c r="U942" s="80" t="n">
        <f aca="false">SUM(S942:T942)</f>
        <v>55000</v>
      </c>
      <c r="V942" s="84" t="s">
        <v>12</v>
      </c>
      <c r="W942" s="80" t="e">
        <f aca="true">
IF(D942="폐업","폐업",
IF(V942="면제","면제",
IF(AND(V942="정상",COUNTIFS(OFFSET(Y942,0,COUNTA(Y942:AV942)-1,1,-4),"미납")&gt;=3),"장기미납",
IF(AND(V942="정상",OFFSET(Y942,0,COUNTA(Y942:AV942)-1)&gt;=U942),"정상",
IF(AND(V942="정상",OFFSET(Y942,0,COUNTA(Y942:AV942)-1)=0),"정상",
"계약서 미작성")))))</f>
        <v>#VALUE!</v>
      </c>
      <c r="X942" s="81" t="str">
        <f aca="true">
IF(D942="폐업","폐업",
IF(AND(V942="정상",OFFSET(Y942,0,COUNTA(Y942:AV942)-1)="미납"),"미납",
IF(AND(V942="정상",OFFSET(Y942,0,COUNTA(Y942:AV942)-1)=0),"납부 시작 전",
IF(AND(V942="정상",OFFSET(Y942,0,COUNTA(Y942:AV942)-1)&gt;=U942),"정상",
IF(AND(V942="면제",OFFSET(Y942,0,COUNTA(Y942:AV942)-1)="면제"),"면제",
IF(AND(V942="면제",OFFSET(Y942,0,COUNTA(Y942:AV942)-1)=0),"면제",
"확인요청"))))))</f>
        <v>미납</v>
      </c>
      <c r="Y942" s="94" t="s">
        <v>62</v>
      </c>
      <c r="Z942" s="90" t="n">
        <v>55000</v>
      </c>
      <c r="AA942" s="90" t="n">
        <v>55000</v>
      </c>
      <c r="AB942" s="90" t="n">
        <v>55000</v>
      </c>
      <c r="AC942" s="90" t="n">
        <v>55000</v>
      </c>
      <c r="AD942" s="90" t="s">
        <v>105</v>
      </c>
      <c r="AE942" s="90" t="s">
        <v>105</v>
      </c>
      <c r="AF942" s="90" t="s">
        <v>105</v>
      </c>
      <c r="AG942" s="90" t="n">
        <v>220000</v>
      </c>
      <c r="AH942" s="90" t="s">
        <v>107</v>
      </c>
      <c r="AI942" s="90" t="s">
        <v>107</v>
      </c>
      <c r="AJ942" s="91" t="n">
        <v>165000</v>
      </c>
      <c r="AK942" s="97" t="s">
        <v>62</v>
      </c>
      <c r="AL942" s="95" t="s">
        <v>62</v>
      </c>
      <c r="AM942" s="90"/>
      <c r="AN942" s="90"/>
      <c r="AO942" s="90"/>
      <c r="AP942" s="90"/>
      <c r="AQ942" s="90"/>
      <c r="AR942" s="90"/>
      <c r="AS942" s="90"/>
      <c r="AT942" s="90"/>
      <c r="AU942" s="90"/>
      <c r="AV942" s="91"/>
      <c r="AX942" s="92"/>
    </row>
    <row r="943" customFormat="false" ht="15.65" hidden="false" customHeight="false" outlineLevel="0" collapsed="false">
      <c r="C943" s="72" t="n">
        <f aca="false">COUNTIFS($D$6:D943,"&lt;&gt;"&amp;"")</f>
        <v>938</v>
      </c>
      <c r="D943" s="73" t="s">
        <v>12</v>
      </c>
      <c r="E943" s="76" t="str">
        <f aca="false">
IF($D943="정상",INDEX(임대자산!$D$3:$R$3000,MATCH($F943,임대자산!$I$3:$I$3000,0),MATCH(E$3,임대자산!$D$3:$R$3,0)),
IF($D943="폐업",INDEX(폐업정보!$D$3:$R$3000,MATCH($F943,폐업정보!$I$3:$I$3000,0),MATCH(E$3,폐업정보!$D$3:$R$3,0)),
"Error"))</f>
        <v>경상</v>
      </c>
      <c r="F94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B0938</v>
      </c>
      <c r="G943" s="76" t="str">
        <f aca="false">F943&amp;RANDBETWEEN(0,10)</f>
        <v>B09382</v>
      </c>
      <c r="H943" s="75" t="n">
        <f aca="false">
IF($D943="정상",INDEX(임대자산!$D$3:$R$3000,MATCH($F943,임대자산!$I$3:$I$3000,0),MATCH(H$4,임대자산!$D$3:$R$3,0)),
IF($D943="폐업",INDEX(폐업정보!$D$3:$R$3000,MATCH($F943,폐업정보!$I$3:$I$3000,0),MATCH(H$4,폐업정보!$D$3:$R$3,0)),
"Error"))</f>
        <v>44705</v>
      </c>
      <c r="I943" s="75" t="str">
        <f aca="false">
IF($D943="정상",INDEX(임대자산!$D$3:$R$3000,MATCH($F943,임대자산!$I$3:$I$3000,0),MATCH(I$4,임대자산!$D$3:$R$3,0)),
IF($D943="폐업",INDEX(폐업정보!$D$3:$R$3000,MATCH($F943,폐업정보!$I$3:$I$3000,0),MATCH(I$4,폐업정보!$D$3:$R$3,0)),
"Error"))</f>
        <v>A0938</v>
      </c>
      <c r="J943" s="75" t="str">
        <f aca="false">
IF($D943="정상",INDEX(임대자산!$D$3:$R$3000,MATCH($F943,임대자산!$I$3:$I$3000,0),MATCH(J$4,임대자산!$D$3:$R$3,0)),
IF($D943="폐업",INDEX(폐업정보!$D$3:$R$3000,MATCH($F943,폐업정보!$I$3:$I$3000,0),MATCH(J$4,폐업정보!$D$3:$R$3,0)),
"Error"))</f>
        <v>9331400000</v>
      </c>
      <c r="K943" s="75" t="str">
        <f aca="false">
IF($D943="정상",INDEX(임대자산!$D$3:$R$3000,MATCH($F943,임대자산!$I$3:$I$3000,0),MATCH(K$4,임대자산!$D$3:$R$3,0)),
IF($D943="폐업",INDEX(폐업정보!$D$3:$R$3000,MATCH($F943,폐업정보!$I$3:$I$3000,0),MATCH(K$4,폐업정보!$D$3:$R$3,0)),
"Error"))</f>
        <v>C0938</v>
      </c>
      <c r="L943" s="75" t="str">
        <f aca="false">
IF($D943="정상",INDEX(임대자산!$D$3:$R$3000,MATCH($F943,임대자산!$I$3:$I$3000,0),MATCH(L$4,임대자산!$D$3:$R$3,0)),
IF($D943="폐업",INDEX(폐업정보!$D$3:$R$3000,MATCH($F943,폐업정보!$I$3:$I$3000,0),MATCH(L$4,폐업정보!$D$3:$R$3,0)),
"Error"))</f>
        <v>D0938</v>
      </c>
      <c r="M943" s="76" t="s">
        <v>96</v>
      </c>
      <c r="N943" s="77"/>
      <c r="O943" s="78" t="s">
        <v>97</v>
      </c>
      <c r="P943" s="79" t="n">
        <f aca="false">COUNTIFS(임대자산!$I:$I,가맹점정보!F943,임대자산!$N:$N,가맹점정보!P$4)</f>
        <v>0</v>
      </c>
      <c r="Q943" s="80" t="n">
        <f aca="false">COUNTIFS(임대자산!$I:$I,가맹점정보!F943,임대자산!$N:$N,가맹점정보!Q$4)</f>
        <v>0</v>
      </c>
      <c r="R943" s="81" t="n">
        <f aca="false">COUNTIFS(임대자산!$I:$I,가맹점정보!F943,임대자산!$N:$N,가맹점정보!R$4)</f>
        <v>1</v>
      </c>
      <c r="S943" s="82" t="n">
        <v>88000</v>
      </c>
      <c r="T943" s="83" t="n">
        <v>0</v>
      </c>
      <c r="U943" s="80" t="n">
        <f aca="false">SUM(S943:T943)</f>
        <v>88000</v>
      </c>
      <c r="V943" s="84" t="s">
        <v>12</v>
      </c>
      <c r="W943" s="80" t="e">
        <f aca="true">
IF(D943="폐업","폐업",
IF(V943="면제","면제",
IF(AND(V943="정상",COUNTIFS(OFFSET(Y943,0,COUNTA(Y943:AV943)-1,1,-4),"미납")&gt;=3),"장기미납",
IF(AND(V943="정상",OFFSET(Y943,0,COUNTA(Y943:AV943)-1)&gt;=U943),"정상",
IF(AND(V943="정상",OFFSET(Y943,0,COUNTA(Y943:AV943)-1)=0),"정상",
"계약서 미작성")))))</f>
        <v>#VALUE!</v>
      </c>
      <c r="X943" s="81" t="str">
        <f aca="true">
IF(D943="폐업","폐업",
IF(AND(V943="정상",OFFSET(Y943,0,COUNTA(Y943:AV943)-1)="미납"),"미납",
IF(AND(V943="정상",OFFSET(Y943,0,COUNTA(Y943:AV943)-1)=0),"납부 시작 전",
IF(AND(V943="정상",OFFSET(Y943,0,COUNTA(Y943:AV943)-1)&gt;=U943),"정상",
IF(AND(V943="면제",OFFSET(Y943,0,COUNTA(Y943:AV943)-1)="면제"),"면제",
IF(AND(V943="면제",OFFSET(Y943,0,COUNTA(Y943:AV943)-1)=0),"면제",
"확인요청"))))))</f>
        <v>정상</v>
      </c>
      <c r="Y943" s="93" t="n">
        <v>88000</v>
      </c>
      <c r="Z943" s="90" t="n">
        <v>88000</v>
      </c>
      <c r="AA943" s="90" t="n">
        <v>88000</v>
      </c>
      <c r="AB943" s="90" t="n">
        <v>88000</v>
      </c>
      <c r="AC943" s="90" t="n">
        <v>88000</v>
      </c>
      <c r="AD943" s="90" t="n">
        <v>88000</v>
      </c>
      <c r="AE943" s="90" t="n">
        <v>88000</v>
      </c>
      <c r="AF943" s="90" t="n">
        <v>88000</v>
      </c>
      <c r="AG943" s="90" t="n">
        <v>88000</v>
      </c>
      <c r="AH943" s="90" t="n">
        <v>88000</v>
      </c>
      <c r="AI943" s="90" t="n">
        <v>88000</v>
      </c>
      <c r="AJ943" s="91" t="n">
        <v>88000</v>
      </c>
      <c r="AK943" s="89" t="n">
        <v>88000</v>
      </c>
      <c r="AL943" s="90" t="n">
        <v>88000</v>
      </c>
      <c r="AM943" s="90"/>
      <c r="AN943" s="90"/>
      <c r="AO943" s="90"/>
      <c r="AP943" s="90"/>
      <c r="AQ943" s="90"/>
      <c r="AR943" s="90"/>
      <c r="AS943" s="90"/>
      <c r="AT943" s="90"/>
      <c r="AU943" s="90"/>
      <c r="AV943" s="91"/>
      <c r="AX943" s="92"/>
    </row>
    <row r="944" customFormat="false" ht="15.65" hidden="false" customHeight="false" outlineLevel="0" collapsed="false">
      <c r="C944" s="72" t="n">
        <f aca="false">COUNTIFS($D$6:D944,"&lt;&gt;"&amp;"")</f>
        <v>939</v>
      </c>
      <c r="D944" s="73" t="s">
        <v>12</v>
      </c>
      <c r="E944" s="76" t="str">
        <f aca="false">
IF($D944="정상",INDEX(임대자산!$D$3:$R$3000,MATCH($F944,임대자산!$I$3:$I$3000,0),MATCH(E$3,임대자산!$D$3:$R$3,0)),
IF($D944="폐업",INDEX(폐업정보!$D$3:$R$3000,MATCH($F944,폐업정보!$I$3:$I$3000,0),MATCH(E$3,폐업정보!$D$3:$R$3,0)),
"Error"))</f>
        <v>경상</v>
      </c>
      <c r="F94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B0939</v>
      </c>
      <c r="G944" s="76" t="str">
        <f aca="false">F944&amp;RANDBETWEEN(0,10)</f>
        <v>B09398</v>
      </c>
      <c r="H944" s="75" t="n">
        <f aca="false">
IF($D944="정상",INDEX(임대자산!$D$3:$R$3000,MATCH($F944,임대자산!$I$3:$I$3000,0),MATCH(H$4,임대자산!$D$3:$R$3,0)),
IF($D944="폐업",INDEX(폐업정보!$D$3:$R$3000,MATCH($F944,폐업정보!$I$3:$I$3000,0),MATCH(H$4,폐업정보!$D$3:$R$3,0)),
"Error"))</f>
        <v>45673</v>
      </c>
      <c r="I944" s="75" t="str">
        <f aca="false">
IF($D944="정상",INDEX(임대자산!$D$3:$R$3000,MATCH($F944,임대자산!$I$3:$I$3000,0),MATCH(I$4,임대자산!$D$3:$R$3,0)),
IF($D944="폐업",INDEX(폐업정보!$D$3:$R$3000,MATCH($F944,폐업정보!$I$3:$I$3000,0),MATCH(I$4,폐업정보!$D$3:$R$3,0)),
"Error"))</f>
        <v>A0939</v>
      </c>
      <c r="J944" s="75" t="str">
        <f aca="false">
IF($D944="정상",INDEX(임대자산!$D$3:$R$3000,MATCH($F944,임대자산!$I$3:$I$3000,0),MATCH(J$4,임대자산!$D$3:$R$3,0)),
IF($D944="폐업",INDEX(폐업정보!$D$3:$R$3000,MATCH($F944,폐업정보!$I$3:$I$3000,0),MATCH(J$4,폐업정보!$D$3:$R$3,0)),
"Error"))</f>
        <v>2326100000</v>
      </c>
      <c r="K944" s="75" t="str">
        <f aca="false">
IF($D944="정상",INDEX(임대자산!$D$3:$R$3000,MATCH($F944,임대자산!$I$3:$I$3000,0),MATCH(K$4,임대자산!$D$3:$R$3,0)),
IF($D944="폐업",INDEX(폐업정보!$D$3:$R$3000,MATCH($F944,폐업정보!$I$3:$I$3000,0),MATCH(K$4,폐업정보!$D$3:$R$3,0)),
"Error"))</f>
        <v>C0939</v>
      </c>
      <c r="L944" s="75" t="str">
        <f aca="false">
IF($D944="정상",INDEX(임대자산!$D$3:$R$3000,MATCH($F944,임대자산!$I$3:$I$3000,0),MATCH(L$4,임대자산!$D$3:$R$3,0)),
IF($D944="폐업",INDEX(폐업정보!$D$3:$R$3000,MATCH($F944,폐업정보!$I$3:$I$3000,0),MATCH(L$4,폐업정보!$D$3:$R$3,0)),
"Error"))</f>
        <v>D0939</v>
      </c>
      <c r="M944" s="76" t="s">
        <v>96</v>
      </c>
      <c r="N944" s="77"/>
      <c r="O944" s="78" t="s">
        <v>97</v>
      </c>
      <c r="P944" s="79" t="n">
        <f aca="false">COUNTIFS(임대자산!$I:$I,가맹점정보!F944,임대자산!$N:$N,가맹점정보!P$4)</f>
        <v>0</v>
      </c>
      <c r="Q944" s="80" t="n">
        <f aca="false">COUNTIFS(임대자산!$I:$I,가맹점정보!F944,임대자산!$N:$N,가맹점정보!Q$4)</f>
        <v>0</v>
      </c>
      <c r="R944" s="81" t="n">
        <f aca="false">COUNTIFS(임대자산!$I:$I,가맹점정보!F944,임대자산!$N:$N,가맹점정보!R$4)</f>
        <v>1</v>
      </c>
      <c r="S944" s="82" t="n">
        <v>88000</v>
      </c>
      <c r="T944" s="83" t="n">
        <v>0</v>
      </c>
      <c r="U944" s="80" t="n">
        <f aca="false">SUM(S944:T944)</f>
        <v>88000</v>
      </c>
      <c r="V944" s="84" t="s">
        <v>12</v>
      </c>
      <c r="W944" s="80" t="e">
        <f aca="true">
IF(D944="폐업","폐업",
IF(V944="면제","면제",
IF(AND(V944="정상",COUNTIFS(OFFSET(Y944,0,COUNTA(Y944:AV944)-1,1,-4),"미납")&gt;=3),"장기미납",
IF(AND(V944="정상",OFFSET(Y944,0,COUNTA(Y944:AV944)-1)&gt;=U944),"정상",
IF(AND(V944="정상",OFFSET(Y944,0,COUNTA(Y944:AV944)-1)=0),"정상",
"계약서 미작성")))))</f>
        <v>#VALUE!</v>
      </c>
      <c r="X944" s="81" t="str">
        <f aca="true">
IF(D944="폐업","폐업",
IF(AND(V944="정상",OFFSET(Y944,0,COUNTA(Y944:AV944)-1)="미납"),"미납",
IF(AND(V944="정상",OFFSET(Y944,0,COUNTA(Y944:AV944)-1)=0),"납부 시작 전",
IF(AND(V944="정상",OFFSET(Y944,0,COUNTA(Y944:AV944)-1)&gt;=U944),"정상",
IF(AND(V944="면제",OFFSET(Y944,0,COUNTA(Y944:AV944)-1)="면제"),"면제",
IF(AND(V944="면제",OFFSET(Y944,0,COUNTA(Y944:AV944)-1)=0),"면제",
"확인요청"))))))</f>
        <v>정상</v>
      </c>
      <c r="Y944" s="93" t="n">
        <v>88000</v>
      </c>
      <c r="Z944" s="90" t="n">
        <v>88000</v>
      </c>
      <c r="AA944" s="90" t="n">
        <v>88000</v>
      </c>
      <c r="AB944" s="90" t="n">
        <v>88000</v>
      </c>
      <c r="AC944" s="90" t="n">
        <v>88000</v>
      </c>
      <c r="AD944" s="90" t="n">
        <v>88000</v>
      </c>
      <c r="AE944" s="90" t="n">
        <v>88000</v>
      </c>
      <c r="AF944" s="90" t="n">
        <v>88000</v>
      </c>
      <c r="AG944" s="90" t="n">
        <v>88000</v>
      </c>
      <c r="AH944" s="90" t="n">
        <v>88000</v>
      </c>
      <c r="AI944" s="90" t="n">
        <v>88000</v>
      </c>
      <c r="AJ944" s="91" t="n">
        <v>88000</v>
      </c>
      <c r="AK944" s="89" t="n">
        <v>88000</v>
      </c>
      <c r="AL944" s="90" t="n">
        <v>88000</v>
      </c>
      <c r="AM944" s="90"/>
      <c r="AN944" s="90"/>
      <c r="AO944" s="90"/>
      <c r="AP944" s="90"/>
      <c r="AQ944" s="90"/>
      <c r="AR944" s="90"/>
      <c r="AS944" s="90"/>
      <c r="AT944" s="90"/>
      <c r="AU944" s="90"/>
      <c r="AV944" s="91"/>
      <c r="AX944" s="92"/>
    </row>
    <row r="945" customFormat="false" ht="15.65" hidden="false" customHeight="false" outlineLevel="0" collapsed="false">
      <c r="C945" s="72" t="n">
        <f aca="false">COUNTIFS($D$6:D945,"&lt;&gt;"&amp;"")</f>
        <v>940</v>
      </c>
      <c r="D945" s="73" t="s">
        <v>12</v>
      </c>
      <c r="E945" s="76" t="str">
        <f aca="false">
IF($D945="정상",INDEX(임대자산!$D$3:$R$3000,MATCH($F945,임대자산!$I$3:$I$3000,0),MATCH(E$3,임대자산!$D$3:$R$3,0)),
IF($D945="폐업",INDEX(폐업정보!$D$3:$R$3000,MATCH($F945,폐업정보!$I$3:$I$3000,0),MATCH(E$3,폐업정보!$D$3:$R$3,0)),
"Error"))</f>
        <v>경상</v>
      </c>
      <c r="F94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B0940</v>
      </c>
      <c r="G945" s="76" t="str">
        <f aca="false">F945&amp;RANDBETWEEN(0,10)</f>
        <v>B09406</v>
      </c>
      <c r="H945" s="75" t="n">
        <f aca="false">
IF($D945="정상",INDEX(임대자산!$D$3:$R$3000,MATCH($F945,임대자산!$I$3:$I$3000,0),MATCH(H$4,임대자산!$D$3:$R$3,0)),
IF($D945="폐업",INDEX(폐업정보!$D$3:$R$3000,MATCH($F945,폐업정보!$I$3:$I$3000,0),MATCH(H$4,폐업정보!$D$3:$R$3,0)),
"Error"))</f>
        <v>45989</v>
      </c>
      <c r="I945" s="75" t="str">
        <f aca="false">
IF($D945="정상",INDEX(임대자산!$D$3:$R$3000,MATCH($F945,임대자산!$I$3:$I$3000,0),MATCH(I$4,임대자산!$D$3:$R$3,0)),
IF($D945="폐업",INDEX(폐업정보!$D$3:$R$3000,MATCH($F945,폐업정보!$I$3:$I$3000,0),MATCH(I$4,폐업정보!$D$3:$R$3,0)),
"Error"))</f>
        <v>A0940</v>
      </c>
      <c r="J945" s="75" t="str">
        <f aca="false">
IF($D945="정상",INDEX(임대자산!$D$3:$R$3000,MATCH($F945,임대자산!$I$3:$I$3000,0),MATCH(J$4,임대자산!$D$3:$R$3,0)),
IF($D945="폐업",INDEX(폐업정보!$D$3:$R$3000,MATCH($F945,폐업정보!$I$3:$I$3000,0),MATCH(J$4,폐업정보!$D$3:$R$3,0)),
"Error"))</f>
        <v>5744700000</v>
      </c>
      <c r="K945" s="75" t="str">
        <f aca="false">
IF($D945="정상",INDEX(임대자산!$D$3:$R$3000,MATCH($F945,임대자산!$I$3:$I$3000,0),MATCH(K$4,임대자산!$D$3:$R$3,0)),
IF($D945="폐업",INDEX(폐업정보!$D$3:$R$3000,MATCH($F945,폐업정보!$I$3:$I$3000,0),MATCH(K$4,폐업정보!$D$3:$R$3,0)),
"Error"))</f>
        <v>C0940</v>
      </c>
      <c r="L945" s="75" t="str">
        <f aca="false">
IF($D945="정상",INDEX(임대자산!$D$3:$R$3000,MATCH($F945,임대자산!$I$3:$I$3000,0),MATCH(L$4,임대자산!$D$3:$R$3,0)),
IF($D945="폐업",INDEX(폐업정보!$D$3:$R$3000,MATCH($F945,폐업정보!$I$3:$I$3000,0),MATCH(L$4,폐업정보!$D$3:$R$3,0)),
"Error"))</f>
        <v>D0940</v>
      </c>
      <c r="M945" s="76" t="s">
        <v>96</v>
      </c>
      <c r="N945" s="77"/>
      <c r="O945" s="78" t="s">
        <v>97</v>
      </c>
      <c r="P945" s="79" t="n">
        <f aca="false">COUNTIFS(임대자산!$I:$I,가맹점정보!F945,임대자산!$N:$N,가맹점정보!P$4)</f>
        <v>0</v>
      </c>
      <c r="Q945" s="80" t="n">
        <f aca="false">COUNTIFS(임대자산!$I:$I,가맹점정보!F945,임대자산!$N:$N,가맹점정보!Q$4)</f>
        <v>0</v>
      </c>
      <c r="R945" s="81" t="n">
        <f aca="false">COUNTIFS(임대자산!$I:$I,가맹점정보!F945,임대자산!$N:$N,가맹점정보!R$4)</f>
        <v>1</v>
      </c>
      <c r="S945" s="82" t="n">
        <v>88000</v>
      </c>
      <c r="T945" s="83" t="n">
        <v>0</v>
      </c>
      <c r="U945" s="80" t="n">
        <f aca="false">SUM(S945:T945)</f>
        <v>88000</v>
      </c>
      <c r="V945" s="84" t="s">
        <v>7</v>
      </c>
      <c r="W945" s="80" t="str">
        <f aca="true">
IF(D945="폐업","폐업",
IF(V945="면제","면제",
IF(AND(V945="정상",COUNTIFS(OFFSET(Y945,0,COUNTA(Y945:AV945)-1,1,-4),"미납")&gt;=3),"장기미납",
IF(AND(V945="정상",OFFSET(Y945,0,COUNTA(Y945:AV945)-1)&gt;=U945),"정상",
IF(AND(V945="정상",OFFSET(Y945,0,COUNTA(Y945:AV945)-1)=0),"정상",
"계약서 미작성")))))</f>
        <v>면제</v>
      </c>
      <c r="X945" s="81" t="str">
        <f aca="true">
IF(D945="폐업","폐업",
IF(AND(V945="정상",OFFSET(Y945,0,COUNTA(Y945:AV945)-1)="미납"),"미납",
IF(AND(V945="정상",OFFSET(Y945,0,COUNTA(Y945:AV945)-1)=0),"납부 시작 전",
IF(AND(V945="정상",OFFSET(Y945,0,COUNTA(Y945:AV945)-1)&gt;=U945),"정상",
IF(AND(V945="면제",OFFSET(Y945,0,COUNTA(Y945:AV945)-1)="면제"),"면제",
IF(AND(V945="면제",OFFSET(Y945,0,COUNTA(Y945:AV945)-1)=0),"면제",
"확인요청"))))))</f>
        <v>면제</v>
      </c>
      <c r="Y945" s="93" t="n">
        <v>55000</v>
      </c>
      <c r="Z945" s="90" t="n">
        <v>55000</v>
      </c>
      <c r="AA945" s="90" t="n">
        <v>55000</v>
      </c>
      <c r="AB945" s="90" t="n">
        <v>55000</v>
      </c>
      <c r="AC945" s="90" t="n">
        <v>55000</v>
      </c>
      <c r="AD945" s="95" t="s">
        <v>7</v>
      </c>
      <c r="AE945" s="95" t="s">
        <v>7</v>
      </c>
      <c r="AF945" s="95" t="s">
        <v>7</v>
      </c>
      <c r="AG945" s="95" t="s">
        <v>7</v>
      </c>
      <c r="AH945" s="95" t="s">
        <v>7</v>
      </c>
      <c r="AI945" s="95" t="s">
        <v>7</v>
      </c>
      <c r="AJ945" s="96" t="s">
        <v>7</v>
      </c>
      <c r="AK945" s="97" t="s">
        <v>7</v>
      </c>
      <c r="AL945" s="95" t="s">
        <v>7</v>
      </c>
      <c r="AM945" s="90"/>
      <c r="AN945" s="90"/>
      <c r="AO945" s="90"/>
      <c r="AP945" s="90"/>
      <c r="AQ945" s="90"/>
      <c r="AR945" s="90"/>
      <c r="AS945" s="90"/>
      <c r="AT945" s="90"/>
      <c r="AU945" s="90"/>
      <c r="AV945" s="91"/>
      <c r="AX945" s="92"/>
    </row>
    <row r="946" customFormat="false" ht="15.65" hidden="false" customHeight="false" outlineLevel="0" collapsed="false">
      <c r="C946" s="72" t="n">
        <f aca="false">COUNTIFS($D$6:D946,"&lt;&gt;"&amp;"")</f>
        <v>941</v>
      </c>
      <c r="D946" s="73" t="s">
        <v>12</v>
      </c>
      <c r="E946" s="76" t="str">
        <f aca="false">
IF($D946="정상",INDEX(임대자산!$D$3:$R$3000,MATCH($F946,임대자산!$I$3:$I$3000,0),MATCH(E$3,임대자산!$D$3:$R$3,0)),
IF($D946="폐업",INDEX(폐업정보!$D$3:$R$3000,MATCH($F946,폐업정보!$I$3:$I$3000,0),MATCH(E$3,폐업정보!$D$3:$R$3,0)),
"Error"))</f>
        <v>전라</v>
      </c>
      <c r="F94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B0941</v>
      </c>
      <c r="G946" s="76" t="str">
        <f aca="false">F946&amp;RANDBETWEEN(0,10)</f>
        <v>B09415</v>
      </c>
      <c r="H946" s="75" t="n">
        <f aca="false">
IF($D946="정상",INDEX(임대자산!$D$3:$R$3000,MATCH($F946,임대자산!$I$3:$I$3000,0),MATCH(H$4,임대자산!$D$3:$R$3,0)),
IF($D946="폐업",INDEX(폐업정보!$D$3:$R$3000,MATCH($F946,폐업정보!$I$3:$I$3000,0),MATCH(H$4,폐업정보!$D$3:$R$3,0)),
"Error"))</f>
        <v>44699</v>
      </c>
      <c r="I946" s="75" t="str">
        <f aca="false">
IF($D946="정상",INDEX(임대자산!$D$3:$R$3000,MATCH($F946,임대자산!$I$3:$I$3000,0),MATCH(I$4,임대자산!$D$3:$R$3,0)),
IF($D946="폐업",INDEX(폐업정보!$D$3:$R$3000,MATCH($F946,폐업정보!$I$3:$I$3000,0),MATCH(I$4,폐업정보!$D$3:$R$3,0)),
"Error"))</f>
        <v>A0941</v>
      </c>
      <c r="J946" s="75" t="str">
        <f aca="false">
IF($D946="정상",INDEX(임대자산!$D$3:$R$3000,MATCH($F946,임대자산!$I$3:$I$3000,0),MATCH(J$4,임대자산!$D$3:$R$3,0)),
IF($D946="폐업",INDEX(폐업정보!$D$3:$R$3000,MATCH($F946,폐업정보!$I$3:$I$3000,0),MATCH(J$4,폐업정보!$D$3:$R$3,0)),
"Error"))</f>
        <v>8871000000</v>
      </c>
      <c r="K946" s="75" t="str">
        <f aca="false">
IF($D946="정상",INDEX(임대자산!$D$3:$R$3000,MATCH($F946,임대자산!$I$3:$I$3000,0),MATCH(K$4,임대자산!$D$3:$R$3,0)),
IF($D946="폐업",INDEX(폐업정보!$D$3:$R$3000,MATCH($F946,폐업정보!$I$3:$I$3000,0),MATCH(K$4,폐업정보!$D$3:$R$3,0)),
"Error"))</f>
        <v>C0941</v>
      </c>
      <c r="L946" s="75" t="str">
        <f aca="false">
IF($D946="정상",INDEX(임대자산!$D$3:$R$3000,MATCH($F946,임대자산!$I$3:$I$3000,0),MATCH(L$4,임대자산!$D$3:$R$3,0)),
IF($D946="폐업",INDEX(폐업정보!$D$3:$R$3000,MATCH($F946,폐업정보!$I$3:$I$3000,0),MATCH(L$4,폐업정보!$D$3:$R$3,0)),
"Error"))</f>
        <v>D0941</v>
      </c>
      <c r="M946" s="76" t="s">
        <v>96</v>
      </c>
      <c r="N946" s="77"/>
      <c r="O946" s="78" t="s">
        <v>97</v>
      </c>
      <c r="P946" s="79" t="n">
        <f aca="false">COUNTIFS(임대자산!$I:$I,가맹점정보!F946,임대자산!$N:$N,가맹점정보!P$4)</f>
        <v>0</v>
      </c>
      <c r="Q946" s="80" t="n">
        <f aca="false">COUNTIFS(임대자산!$I:$I,가맹점정보!F946,임대자산!$N:$N,가맹점정보!Q$4)</f>
        <v>0</v>
      </c>
      <c r="R946" s="81" t="n">
        <f aca="false">COUNTIFS(임대자산!$I:$I,가맹점정보!F946,임대자산!$N:$N,가맹점정보!R$4)</f>
        <v>1</v>
      </c>
      <c r="S946" s="82" t="n">
        <v>55000</v>
      </c>
      <c r="T946" s="83" t="n">
        <v>0</v>
      </c>
      <c r="U946" s="80" t="n">
        <f aca="false">SUM(S946:T946)</f>
        <v>55000</v>
      </c>
      <c r="V946" s="84" t="s">
        <v>7</v>
      </c>
      <c r="W946" s="80" t="str">
        <f aca="true">
IF(D946="폐업","폐업",
IF(V946="면제","면제",
IF(AND(V946="정상",COUNTIFS(OFFSET(Y946,0,COUNTA(Y946:AV946)-1,1,-4),"미납")&gt;=3),"장기미납",
IF(AND(V946="정상",OFFSET(Y946,0,COUNTA(Y946:AV946)-1)&gt;=U946),"정상",
IF(AND(V946="정상",OFFSET(Y946,0,COUNTA(Y946:AV946)-1)=0),"정상",
"계약서 미작성")))))</f>
        <v>면제</v>
      </c>
      <c r="X946" s="81" t="str">
        <f aca="true">
IF(D946="폐업","폐업",
IF(AND(V946="정상",OFFSET(Y946,0,COUNTA(Y946:AV946)-1)="미납"),"미납",
IF(AND(V946="정상",OFFSET(Y946,0,COUNTA(Y946:AV946)-1)=0),"납부 시작 전",
IF(AND(V946="정상",OFFSET(Y946,0,COUNTA(Y946:AV946)-1)&gt;=U946),"정상",
IF(AND(V946="면제",OFFSET(Y946,0,COUNTA(Y946:AV946)-1)="면제"),"면제",
IF(AND(V946="면제",OFFSET(Y946,0,COUNTA(Y946:AV946)-1)=0),"면제",
"확인요청"))))))</f>
        <v>면제</v>
      </c>
      <c r="Y946" s="94" t="s">
        <v>7</v>
      </c>
      <c r="Z946" s="95" t="s">
        <v>7</v>
      </c>
      <c r="AA946" s="95" t="s">
        <v>7</v>
      </c>
      <c r="AB946" s="95" t="s">
        <v>7</v>
      </c>
      <c r="AC946" s="95" t="s">
        <v>7</v>
      </c>
      <c r="AD946" s="95" t="s">
        <v>7</v>
      </c>
      <c r="AE946" s="95" t="s">
        <v>7</v>
      </c>
      <c r="AF946" s="95" t="s">
        <v>7</v>
      </c>
      <c r="AG946" s="95" t="s">
        <v>7</v>
      </c>
      <c r="AH946" s="95" t="s">
        <v>7</v>
      </c>
      <c r="AI946" s="95" t="s">
        <v>7</v>
      </c>
      <c r="AJ946" s="96" t="s">
        <v>7</v>
      </c>
      <c r="AK946" s="97" t="s">
        <v>7</v>
      </c>
      <c r="AL946" s="95" t="s">
        <v>7</v>
      </c>
      <c r="AM946" s="90"/>
      <c r="AN946" s="90"/>
      <c r="AO946" s="90"/>
      <c r="AP946" s="90"/>
      <c r="AQ946" s="90"/>
      <c r="AR946" s="90"/>
      <c r="AS946" s="90"/>
      <c r="AT946" s="90"/>
      <c r="AU946" s="90"/>
      <c r="AV946" s="91"/>
      <c r="AX946" s="92"/>
    </row>
    <row r="947" customFormat="false" ht="15.65" hidden="false" customHeight="false" outlineLevel="0" collapsed="false">
      <c r="C947" s="72" t="n">
        <f aca="false">COUNTIFS($D$6:D947,"&lt;&gt;"&amp;"")</f>
        <v>942</v>
      </c>
      <c r="D947" s="73" t="s">
        <v>12</v>
      </c>
      <c r="E947" s="76" t="str">
        <f aca="false">
IF($D947="정상",INDEX(임대자산!$D$3:$R$3000,MATCH($F947,임대자산!$I$3:$I$3000,0),MATCH(E$3,임대자산!$D$3:$R$3,0)),
IF($D947="폐업",INDEX(폐업정보!$D$3:$R$3000,MATCH($F947,폐업정보!$I$3:$I$3000,0),MATCH(E$3,폐업정보!$D$3:$R$3,0)),
"Error"))</f>
        <v>전라</v>
      </c>
      <c r="F94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B0942</v>
      </c>
      <c r="G947" s="76" t="str">
        <f aca="false">F947&amp;RANDBETWEEN(0,10)</f>
        <v>B09421</v>
      </c>
      <c r="H947" s="75" t="n">
        <f aca="false">
IF($D947="정상",INDEX(임대자산!$D$3:$R$3000,MATCH($F947,임대자산!$I$3:$I$3000,0),MATCH(H$4,임대자산!$D$3:$R$3,0)),
IF($D947="폐업",INDEX(폐업정보!$D$3:$R$3000,MATCH($F947,폐업정보!$I$3:$I$3000,0),MATCH(H$4,폐업정보!$D$3:$R$3,0)),
"Error"))</f>
        <v>44699</v>
      </c>
      <c r="I947" s="75" t="str">
        <f aca="false">
IF($D947="정상",INDEX(임대자산!$D$3:$R$3000,MATCH($F947,임대자산!$I$3:$I$3000,0),MATCH(I$4,임대자산!$D$3:$R$3,0)),
IF($D947="폐업",INDEX(폐업정보!$D$3:$R$3000,MATCH($F947,폐업정보!$I$3:$I$3000,0),MATCH(I$4,폐업정보!$D$3:$R$3,0)),
"Error"))</f>
        <v>A0942</v>
      </c>
      <c r="J947" s="75" t="str">
        <f aca="false">
IF($D947="정상",INDEX(임대자산!$D$3:$R$3000,MATCH($F947,임대자산!$I$3:$I$3000,0),MATCH(J$4,임대자산!$D$3:$R$3,0)),
IF($D947="폐업",INDEX(폐업정보!$D$3:$R$3000,MATCH($F947,폐업정보!$I$3:$I$3000,0),MATCH(J$4,폐업정보!$D$3:$R$3,0)),
"Error"))</f>
        <v>8711000000</v>
      </c>
      <c r="K947" s="75" t="str">
        <f aca="false">
IF($D947="정상",INDEX(임대자산!$D$3:$R$3000,MATCH($F947,임대자산!$I$3:$I$3000,0),MATCH(K$4,임대자산!$D$3:$R$3,0)),
IF($D947="폐업",INDEX(폐업정보!$D$3:$R$3000,MATCH($F947,폐업정보!$I$3:$I$3000,0),MATCH(K$4,폐업정보!$D$3:$R$3,0)),
"Error"))</f>
        <v>C0942</v>
      </c>
      <c r="L947" s="75" t="str">
        <f aca="false">
IF($D947="정상",INDEX(임대자산!$D$3:$R$3000,MATCH($F947,임대자산!$I$3:$I$3000,0),MATCH(L$4,임대자산!$D$3:$R$3,0)),
IF($D947="폐업",INDEX(폐업정보!$D$3:$R$3000,MATCH($F947,폐업정보!$I$3:$I$3000,0),MATCH(L$4,폐업정보!$D$3:$R$3,0)),
"Error"))</f>
        <v>D0942</v>
      </c>
      <c r="M947" s="76" t="s">
        <v>96</v>
      </c>
      <c r="N947" s="77"/>
      <c r="O947" s="78" t="s">
        <v>97</v>
      </c>
      <c r="P947" s="79" t="n">
        <f aca="false">COUNTIFS(임대자산!$I:$I,가맹점정보!F947,임대자산!$N:$N,가맹점정보!P$4)</f>
        <v>0</v>
      </c>
      <c r="Q947" s="80" t="n">
        <f aca="false">COUNTIFS(임대자산!$I:$I,가맹점정보!F947,임대자산!$N:$N,가맹점정보!Q$4)</f>
        <v>0</v>
      </c>
      <c r="R947" s="81" t="n">
        <f aca="false">COUNTIFS(임대자산!$I:$I,가맹점정보!F947,임대자산!$N:$N,가맹점정보!R$4)</f>
        <v>1</v>
      </c>
      <c r="S947" s="82" t="n">
        <v>55000</v>
      </c>
      <c r="T947" s="83" t="n">
        <v>0</v>
      </c>
      <c r="U947" s="80" t="n">
        <f aca="false">SUM(S947:T947)</f>
        <v>55000</v>
      </c>
      <c r="V947" s="84" t="s">
        <v>12</v>
      </c>
      <c r="W947" s="80" t="e">
        <f aca="true">
IF(D947="폐업","폐업",
IF(V947="면제","면제",
IF(AND(V947="정상",COUNTIFS(OFFSET(Y947,0,COUNTA(Y947:AV947)-1,1,-4),"미납")&gt;=3),"장기미납",
IF(AND(V947="정상",OFFSET(Y947,0,COUNTA(Y947:AV947)-1)&gt;=U947),"정상",
IF(AND(V947="정상",OFFSET(Y947,0,COUNTA(Y947:AV947)-1)=0),"정상",
"계약서 미작성")))))</f>
        <v>#VALUE!</v>
      </c>
      <c r="X947" s="81" t="str">
        <f aca="true">
IF(D947="폐업","폐업",
IF(AND(V947="정상",OFFSET(Y947,0,COUNTA(Y947:AV947)-1)="미납"),"미납",
IF(AND(V947="정상",OFFSET(Y947,0,COUNTA(Y947:AV947)-1)=0),"납부 시작 전",
IF(AND(V947="정상",OFFSET(Y947,0,COUNTA(Y947:AV947)-1)&gt;=U947),"정상",
IF(AND(V947="면제",OFFSET(Y947,0,COUNTA(Y947:AV947)-1)="면제"),"면제",
IF(AND(V947="면제",OFFSET(Y947,0,COUNTA(Y947:AV947)-1)=0),"면제",
"확인요청"))))))</f>
        <v>정상</v>
      </c>
      <c r="Y947" s="93" t="n">
        <v>55000</v>
      </c>
      <c r="Z947" s="90" t="n">
        <v>55000</v>
      </c>
      <c r="AA947" s="90" t="n">
        <v>55000</v>
      </c>
      <c r="AB947" s="90" t="n">
        <v>55000</v>
      </c>
      <c r="AC947" s="90" t="n">
        <v>55000</v>
      </c>
      <c r="AD947" s="90" t="n">
        <v>55000</v>
      </c>
      <c r="AE947" s="90" t="n">
        <v>55000</v>
      </c>
      <c r="AF947" s="90" t="n">
        <v>55000</v>
      </c>
      <c r="AG947" s="90" t="n">
        <v>55000</v>
      </c>
      <c r="AH947" s="90" t="n">
        <v>55000</v>
      </c>
      <c r="AI947" s="90" t="n">
        <v>55000</v>
      </c>
      <c r="AJ947" s="91" t="n">
        <v>55000</v>
      </c>
      <c r="AK947" s="89" t="n">
        <v>55000</v>
      </c>
      <c r="AL947" s="90" t="n">
        <v>55000</v>
      </c>
      <c r="AM947" s="90"/>
      <c r="AN947" s="90"/>
      <c r="AO947" s="90"/>
      <c r="AP947" s="90"/>
      <c r="AQ947" s="90"/>
      <c r="AR947" s="90"/>
      <c r="AS947" s="90"/>
      <c r="AT947" s="90"/>
      <c r="AU947" s="90"/>
      <c r="AV947" s="91"/>
      <c r="AX947" s="92"/>
    </row>
    <row r="948" customFormat="false" ht="15.65" hidden="false" customHeight="false" outlineLevel="0" collapsed="false">
      <c r="C948" s="72" t="n">
        <f aca="false">COUNTIFS($D$6:D948,"&lt;&gt;"&amp;"")</f>
        <v>943</v>
      </c>
      <c r="D948" s="73" t="s">
        <v>12</v>
      </c>
      <c r="E948" s="76" t="str">
        <f aca="false">
IF($D948="정상",INDEX(임대자산!$D$3:$R$3000,MATCH($F948,임대자산!$I$3:$I$3000,0),MATCH(E$3,임대자산!$D$3:$R$3,0)),
IF($D948="폐업",INDEX(폐업정보!$D$3:$R$3000,MATCH($F948,폐업정보!$I$3:$I$3000,0),MATCH(E$3,폐업정보!$D$3:$R$3,0)),
"Error"))</f>
        <v>경기</v>
      </c>
      <c r="F94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B0943</v>
      </c>
      <c r="G948" s="76" t="str">
        <f aca="false">F948&amp;RANDBETWEEN(0,10)</f>
        <v>B09431</v>
      </c>
      <c r="H948" s="75" t="n">
        <f aca="false">
IF($D948="정상",INDEX(임대자산!$D$3:$R$3000,MATCH($F948,임대자산!$I$3:$I$3000,0),MATCH(H$4,임대자산!$D$3:$R$3,0)),
IF($D948="폐업",INDEX(폐업정보!$D$3:$R$3000,MATCH($F948,폐업정보!$I$3:$I$3000,0),MATCH(H$4,폐업정보!$D$3:$R$3,0)),
"Error"))</f>
        <v>45660</v>
      </c>
      <c r="I948" s="75" t="str">
        <f aca="false">
IF($D948="정상",INDEX(임대자산!$D$3:$R$3000,MATCH($F948,임대자산!$I$3:$I$3000,0),MATCH(I$4,임대자산!$D$3:$R$3,0)),
IF($D948="폐업",INDEX(폐업정보!$D$3:$R$3000,MATCH($F948,폐업정보!$I$3:$I$3000,0),MATCH(I$4,폐업정보!$D$3:$R$3,0)),
"Error"))</f>
        <v>A0943</v>
      </c>
      <c r="J948" s="75" t="str">
        <f aca="false">
IF($D948="정상",INDEX(임대자산!$D$3:$R$3000,MATCH($F948,임대자산!$I$3:$I$3000,0),MATCH(J$4,임대자산!$D$3:$R$3,0)),
IF($D948="폐업",INDEX(폐업정보!$D$3:$R$3000,MATCH($F948,폐업정보!$I$3:$I$3000,0),MATCH(J$4,폐업정보!$D$3:$R$3,0)),
"Error"))</f>
        <v>1085400000</v>
      </c>
      <c r="K948" s="75" t="str">
        <f aca="false">
IF($D948="정상",INDEX(임대자산!$D$3:$R$3000,MATCH($F948,임대자산!$I$3:$I$3000,0),MATCH(K$4,임대자산!$D$3:$R$3,0)),
IF($D948="폐업",INDEX(폐업정보!$D$3:$R$3000,MATCH($F948,폐업정보!$I$3:$I$3000,0),MATCH(K$4,폐업정보!$D$3:$R$3,0)),
"Error"))</f>
        <v>C0943</v>
      </c>
      <c r="L948" s="75" t="str">
        <f aca="false">
IF($D948="정상",INDEX(임대자산!$D$3:$R$3000,MATCH($F948,임대자산!$I$3:$I$3000,0),MATCH(L$4,임대자산!$D$3:$R$3,0)),
IF($D948="폐업",INDEX(폐업정보!$D$3:$R$3000,MATCH($F948,폐업정보!$I$3:$I$3000,0),MATCH(L$4,폐업정보!$D$3:$R$3,0)),
"Error"))</f>
        <v>D0943</v>
      </c>
      <c r="M948" s="76" t="s">
        <v>96</v>
      </c>
      <c r="N948" s="77"/>
      <c r="O948" s="78" t="s">
        <v>97</v>
      </c>
      <c r="P948" s="79" t="n">
        <f aca="false">COUNTIFS(임대자산!$I:$I,가맹점정보!F948,임대자산!$N:$N,가맹점정보!P$4)</f>
        <v>0</v>
      </c>
      <c r="Q948" s="80" t="n">
        <f aca="false">COUNTIFS(임대자산!$I:$I,가맹점정보!F948,임대자산!$N:$N,가맹점정보!Q$4)</f>
        <v>0</v>
      </c>
      <c r="R948" s="81" t="n">
        <f aca="false">COUNTIFS(임대자산!$I:$I,가맹점정보!F948,임대자산!$N:$N,가맹점정보!R$4)</f>
        <v>1</v>
      </c>
      <c r="S948" s="82" t="n">
        <v>125000</v>
      </c>
      <c r="T948" s="83" t="n">
        <v>0</v>
      </c>
      <c r="U948" s="80" t="n">
        <f aca="false">SUM(S948:T948)</f>
        <v>125000</v>
      </c>
      <c r="V948" s="84" t="s">
        <v>12</v>
      </c>
      <c r="W948" s="80" t="e">
        <f aca="true">
IF(D948="폐업","폐업",
IF(V948="면제","면제",
IF(AND(V948="정상",COUNTIFS(OFFSET(Y948,0,COUNTA(Y948:AV948)-1,1,-4),"미납")&gt;=3),"장기미납",
IF(AND(V948="정상",OFFSET(Y948,0,COUNTA(Y948:AV948)-1)&gt;=U948),"정상",
IF(AND(V948="정상",OFFSET(Y948,0,COUNTA(Y948:AV948)-1)=0),"정상",
"계약서 미작성")))))</f>
        <v>#VALUE!</v>
      </c>
      <c r="X948" s="81" t="str">
        <f aca="true">
IF(D948="폐업","폐업",
IF(AND(V948="정상",OFFSET(Y948,0,COUNTA(Y948:AV948)-1)="미납"),"미납",
IF(AND(V948="정상",OFFSET(Y948,0,COUNTA(Y948:AV948)-1)=0),"납부 시작 전",
IF(AND(V948="정상",OFFSET(Y948,0,COUNTA(Y948:AV948)-1)&gt;=U948),"정상",
IF(AND(V948="면제",OFFSET(Y948,0,COUNTA(Y948:AV948)-1)="면제"),"면제",
IF(AND(V948="면제",OFFSET(Y948,0,COUNTA(Y948:AV948)-1)=0),"면제",
"확인요청"))))))</f>
        <v>정상</v>
      </c>
      <c r="Y948" s="93" t="n">
        <v>125000</v>
      </c>
      <c r="Z948" s="90" t="n">
        <v>125000</v>
      </c>
      <c r="AA948" s="90" t="n">
        <v>125000</v>
      </c>
      <c r="AB948" s="90" t="n">
        <v>125000</v>
      </c>
      <c r="AC948" s="90" t="n">
        <v>125000</v>
      </c>
      <c r="AD948" s="90" t="n">
        <v>125000</v>
      </c>
      <c r="AE948" s="90" t="n">
        <v>125000</v>
      </c>
      <c r="AF948" s="90" t="n">
        <v>125000</v>
      </c>
      <c r="AG948" s="90" t="n">
        <v>125000</v>
      </c>
      <c r="AH948" s="90" t="n">
        <v>125000</v>
      </c>
      <c r="AI948" s="90" t="n">
        <v>125000</v>
      </c>
      <c r="AJ948" s="91" t="n">
        <v>125000</v>
      </c>
      <c r="AK948" s="89" t="n">
        <v>125000</v>
      </c>
      <c r="AL948" s="90" t="n">
        <v>125000</v>
      </c>
      <c r="AM948" s="90"/>
      <c r="AN948" s="90"/>
      <c r="AO948" s="90"/>
      <c r="AP948" s="90"/>
      <c r="AQ948" s="90"/>
      <c r="AR948" s="90"/>
      <c r="AS948" s="90"/>
      <c r="AT948" s="90"/>
      <c r="AU948" s="90"/>
      <c r="AV948" s="91"/>
      <c r="AX948" s="92"/>
    </row>
    <row r="949" customFormat="false" ht="15.65" hidden="false" customHeight="false" outlineLevel="0" collapsed="false">
      <c r="C949" s="72" t="n">
        <f aca="false">COUNTIFS($D$6:D949,"&lt;&gt;"&amp;"")</f>
        <v>944</v>
      </c>
      <c r="D949" s="73" t="s">
        <v>12</v>
      </c>
      <c r="E949" s="76" t="str">
        <f aca="false">
IF($D949="정상",INDEX(임대자산!$D$3:$R$3000,MATCH($F949,임대자산!$I$3:$I$3000,0),MATCH(E$3,임대자산!$D$3:$R$3,0)),
IF($D949="폐업",INDEX(폐업정보!$D$3:$R$3000,MATCH($F949,폐업정보!$I$3:$I$3000,0),MATCH(E$3,폐업정보!$D$3:$R$3,0)),
"Error"))</f>
        <v>서울</v>
      </c>
      <c r="F94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B0944</v>
      </c>
      <c r="G949" s="76" t="str">
        <f aca="false">F949&amp;RANDBETWEEN(0,10)</f>
        <v>B09445</v>
      </c>
      <c r="H949" s="75" t="n">
        <f aca="false">
IF($D949="정상",INDEX(임대자산!$D$3:$R$3000,MATCH($F949,임대자산!$I$3:$I$3000,0),MATCH(H$4,임대자산!$D$3:$R$3,0)),
IF($D949="폐업",INDEX(폐업정보!$D$3:$R$3000,MATCH($F949,폐업정보!$I$3:$I$3000,0),MATCH(H$4,폐업정보!$D$3:$R$3,0)),
"Error"))</f>
        <v>44929</v>
      </c>
      <c r="I949" s="75" t="str">
        <f aca="false">
IF($D949="정상",INDEX(임대자산!$D$3:$R$3000,MATCH($F949,임대자산!$I$3:$I$3000,0),MATCH(I$4,임대자산!$D$3:$R$3,0)),
IF($D949="폐업",INDEX(폐업정보!$D$3:$R$3000,MATCH($F949,폐업정보!$I$3:$I$3000,0),MATCH(I$4,폐업정보!$D$3:$R$3,0)),
"Error"))</f>
        <v>A0944</v>
      </c>
      <c r="J949" s="75" t="str">
        <f aca="false">
IF($D949="정상",INDEX(임대자산!$D$3:$R$3000,MATCH($F949,임대자산!$I$3:$I$3000,0),MATCH(J$4,임대자산!$D$3:$R$3,0)),
IF($D949="폐업",INDEX(폐업정보!$D$3:$R$3000,MATCH($F949,폐업정보!$I$3:$I$3000,0),MATCH(J$4,폐업정보!$D$3:$R$3,0)),
"Error"))</f>
        <v>3037800000</v>
      </c>
      <c r="K949" s="75" t="str">
        <f aca="false">
IF($D949="정상",INDEX(임대자산!$D$3:$R$3000,MATCH($F949,임대자산!$I$3:$I$3000,0),MATCH(K$4,임대자산!$D$3:$R$3,0)),
IF($D949="폐업",INDEX(폐업정보!$D$3:$R$3000,MATCH($F949,폐업정보!$I$3:$I$3000,0),MATCH(K$4,폐업정보!$D$3:$R$3,0)),
"Error"))</f>
        <v>C0944</v>
      </c>
      <c r="L949" s="75" t="str">
        <f aca="false">
IF($D949="정상",INDEX(임대자산!$D$3:$R$3000,MATCH($F949,임대자산!$I$3:$I$3000,0),MATCH(L$4,임대자산!$D$3:$R$3,0)),
IF($D949="폐업",INDEX(폐업정보!$D$3:$R$3000,MATCH($F949,폐업정보!$I$3:$I$3000,0),MATCH(L$4,폐업정보!$D$3:$R$3,0)),
"Error"))</f>
        <v>D0944</v>
      </c>
      <c r="M949" s="76" t="s">
        <v>96</v>
      </c>
      <c r="N949" s="77"/>
      <c r="O949" s="78" t="s">
        <v>97</v>
      </c>
      <c r="P949" s="79" t="n">
        <f aca="false">COUNTIFS(임대자산!$I:$I,가맹점정보!F949,임대자산!$N:$N,가맹점정보!P$4)</f>
        <v>0</v>
      </c>
      <c r="Q949" s="80" t="n">
        <f aca="false">COUNTIFS(임대자산!$I:$I,가맹점정보!F949,임대자산!$N:$N,가맹점정보!Q$4)</f>
        <v>0</v>
      </c>
      <c r="R949" s="81" t="n">
        <f aca="false">COUNTIFS(임대자산!$I:$I,가맹점정보!F949,임대자산!$N:$N,가맹점정보!R$4)</f>
        <v>1</v>
      </c>
      <c r="S949" s="82" t="n">
        <v>55000</v>
      </c>
      <c r="T949" s="83" t="n">
        <v>0</v>
      </c>
      <c r="U949" s="80" t="n">
        <f aca="false">SUM(S949:T949)</f>
        <v>55000</v>
      </c>
      <c r="V949" s="84" t="s">
        <v>12</v>
      </c>
      <c r="W949" s="80" t="e">
        <f aca="true">
IF(D949="폐업","폐업",
IF(V949="면제","면제",
IF(AND(V949="정상",COUNTIFS(OFFSET(Y949,0,COUNTA(Y949:AV949)-1,1,-4),"미납")&gt;=3),"장기미납",
IF(AND(V949="정상",OFFSET(Y949,0,COUNTA(Y949:AV949)-1)&gt;=U949),"정상",
IF(AND(V949="정상",OFFSET(Y949,0,COUNTA(Y949:AV949)-1)=0),"정상",
"계약서 미작성")))))</f>
        <v>#VALUE!</v>
      </c>
      <c r="X949" s="81" t="str">
        <f aca="true">
IF(D949="폐업","폐업",
IF(AND(V949="정상",OFFSET(Y949,0,COUNTA(Y949:AV949)-1)="미납"),"미납",
IF(AND(V949="정상",OFFSET(Y949,0,COUNTA(Y949:AV949)-1)=0),"납부 시작 전",
IF(AND(V949="정상",OFFSET(Y949,0,COUNTA(Y949:AV949)-1)&gt;=U949),"정상",
IF(AND(V949="면제",OFFSET(Y949,0,COUNTA(Y949:AV949)-1)="면제"),"면제",
IF(AND(V949="면제",OFFSET(Y949,0,COUNTA(Y949:AV949)-1)=0),"면제",
"확인요청"))))))</f>
        <v>정상</v>
      </c>
      <c r="Y949" s="93" t="n">
        <v>55000</v>
      </c>
      <c r="Z949" s="90" t="n">
        <v>55000</v>
      </c>
      <c r="AA949" s="90" t="n">
        <v>55000</v>
      </c>
      <c r="AB949" s="90" t="n">
        <v>55000</v>
      </c>
      <c r="AC949" s="90" t="n">
        <v>55000</v>
      </c>
      <c r="AD949" s="90" t="n">
        <v>55000</v>
      </c>
      <c r="AE949" s="90" t="n">
        <v>55000</v>
      </c>
      <c r="AF949" s="90" t="n">
        <v>55000</v>
      </c>
      <c r="AG949" s="90" t="n">
        <v>55000</v>
      </c>
      <c r="AH949" s="90" t="n">
        <v>55000</v>
      </c>
      <c r="AI949" s="90" t="n">
        <v>55000</v>
      </c>
      <c r="AJ949" s="91" t="n">
        <v>55000</v>
      </c>
      <c r="AK949" s="89" t="n">
        <v>55000</v>
      </c>
      <c r="AL949" s="90" t="n">
        <v>55000</v>
      </c>
      <c r="AM949" s="90"/>
      <c r="AN949" s="90"/>
      <c r="AO949" s="90"/>
      <c r="AP949" s="90"/>
      <c r="AQ949" s="90"/>
      <c r="AR949" s="90"/>
      <c r="AS949" s="90"/>
      <c r="AT949" s="90"/>
      <c r="AU949" s="90"/>
      <c r="AV949" s="91"/>
      <c r="AX949" s="92"/>
    </row>
    <row r="950" customFormat="false" ht="15.65" hidden="false" customHeight="false" outlineLevel="0" collapsed="false">
      <c r="C950" s="72" t="n">
        <f aca="false">COUNTIFS($D$6:D950,"&lt;&gt;"&amp;"")</f>
        <v>945</v>
      </c>
      <c r="D950" s="73" t="s">
        <v>5</v>
      </c>
      <c r="E950" s="76" t="str">
        <f aca="false">
IF($D950="정상",INDEX(임대자산!$D$3:$R$3000,MATCH($F950,임대자산!$I$3:$I$3000,0),MATCH(E$3,임대자산!$D$3:$R$3,0)),
IF($D950="폐업",INDEX(폐업정보!$D$3:$R$3000,MATCH($F950,폐업정보!$I$3:$I$3000,0),MATCH(E$3,폐업정보!$D$3:$R$3,0)),
"Error"))</f>
        <v>서울</v>
      </c>
      <c r="F95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B0945</v>
      </c>
      <c r="G950" s="76" t="str">
        <f aca="false">F950&amp;RANDBETWEEN(0,10)</f>
        <v>B09454</v>
      </c>
      <c r="H950" s="75" t="n">
        <f aca="false">
IF($D950="정상",INDEX(임대자산!$D$3:$R$3000,MATCH($F950,임대자산!$I$3:$I$3000,0),MATCH(H$4,임대자산!$D$3:$R$3,0)),
IF($D950="폐업",INDEX(폐업정보!$D$3:$R$3000,MATCH($F950,폐업정보!$I$3:$I$3000,0),MATCH(H$4,폐업정보!$D$3:$R$3,0)),
"Error"))</f>
        <v>44929</v>
      </c>
      <c r="I950" s="75" t="str">
        <f aca="false">
IF($D950="정상",INDEX(임대자산!$D$3:$R$3000,MATCH($F950,임대자산!$I$3:$I$3000,0),MATCH(I$4,임대자산!$D$3:$R$3,0)),
IF($D950="폐업",INDEX(폐업정보!$D$3:$R$3000,MATCH($F950,폐업정보!$I$3:$I$3000,0),MATCH(I$4,폐업정보!$D$3:$R$3,0)),
"Error"))</f>
        <v>A0945</v>
      </c>
      <c r="J950" s="75" t="str">
        <f aca="false">
IF($D950="정상",INDEX(임대자산!$D$3:$R$3000,MATCH($F950,임대자산!$I$3:$I$3000,0),MATCH(J$4,임대자산!$D$3:$R$3,0)),
IF($D950="폐업",INDEX(폐업정보!$D$3:$R$3000,MATCH($F950,폐업정보!$I$3:$I$3000,0),MATCH(J$4,폐업정보!$D$3:$R$3,0)),
"Error"))</f>
        <v>9770700000</v>
      </c>
      <c r="K950" s="75" t="str">
        <f aca="false">
IF($D950="정상",INDEX(임대자산!$D$3:$R$3000,MATCH($F950,임대자산!$I$3:$I$3000,0),MATCH(K$4,임대자산!$D$3:$R$3,0)),
IF($D950="폐업",INDEX(폐업정보!$D$3:$R$3000,MATCH($F950,폐업정보!$I$3:$I$3000,0),MATCH(K$4,폐업정보!$D$3:$R$3,0)),
"Error"))</f>
        <v>C0945</v>
      </c>
      <c r="L950" s="75" t="str">
        <f aca="false">
IF($D950="정상",INDEX(임대자산!$D$3:$R$3000,MATCH($F950,임대자산!$I$3:$I$3000,0),MATCH(L$4,임대자산!$D$3:$R$3,0)),
IF($D950="폐업",INDEX(폐업정보!$D$3:$R$3000,MATCH($F950,폐업정보!$I$3:$I$3000,0),MATCH(L$4,폐업정보!$D$3:$R$3,0)),
"Error"))</f>
        <v>D0945</v>
      </c>
      <c r="M950" s="76" t="s">
        <v>96</v>
      </c>
      <c r="N950" s="77"/>
      <c r="O950" s="78" t="s">
        <v>97</v>
      </c>
      <c r="P950" s="79" t="n">
        <f aca="false">COUNTIFS(임대자산!$I:$I,가맹점정보!F950,임대자산!$N:$N,가맹점정보!P$4)</f>
        <v>0</v>
      </c>
      <c r="Q950" s="80" t="n">
        <f aca="false">COUNTIFS(임대자산!$I:$I,가맹점정보!F950,임대자산!$N:$N,가맹점정보!Q$4)</f>
        <v>0</v>
      </c>
      <c r="R950" s="81" t="n">
        <f aca="false">COUNTIFS(임대자산!$I:$I,가맹점정보!F950,임대자산!$N:$N,가맹점정보!R$4)</f>
        <v>0</v>
      </c>
      <c r="S950" s="82" t="n">
        <v>55000</v>
      </c>
      <c r="T950" s="83" t="n">
        <v>0</v>
      </c>
      <c r="U950" s="80" t="n">
        <f aca="false">SUM(S950:T950)</f>
        <v>55000</v>
      </c>
      <c r="V950" s="84" t="s">
        <v>12</v>
      </c>
      <c r="W950" s="80" t="str">
        <f aca="true">
IF(D950="폐업","폐업",
IF(V950="면제","면제",
IF(AND(V950="정상",COUNTIFS(OFFSET(Y950,0,COUNTA(Y950:AV950)-1,1,-4),"미납")&gt;=3),"장기미납",
IF(AND(V950="정상",OFFSET(Y950,0,COUNTA(Y950:AV950)-1)&gt;=U950),"정상",
IF(AND(V950="정상",OFFSET(Y950,0,COUNTA(Y950:AV950)-1)=0),"정상",
"계약서 미작성")))))</f>
        <v>폐업</v>
      </c>
      <c r="X950" s="81" t="str">
        <f aca="true">
IF(D950="폐업","폐업",
IF(AND(V950="정상",OFFSET(Y950,0,COUNTA(Y950:AV950)-1)="미납"),"미납",
IF(AND(V950="정상",OFFSET(Y950,0,COUNTA(Y950:AV950)-1)=0),"납부 시작 전",
IF(AND(V950="정상",OFFSET(Y950,0,COUNTA(Y950:AV950)-1)&gt;=U950),"정상",
IF(AND(V950="면제",OFFSET(Y950,0,COUNTA(Y950:AV950)-1)="면제"),"면제",
IF(AND(V950="면제",OFFSET(Y950,0,COUNTA(Y950:AV950)-1)=0),"면제",
"확인요청"))))))</f>
        <v>폐업</v>
      </c>
      <c r="Y950" s="93" t="n">
        <v>55000</v>
      </c>
      <c r="Z950" s="90" t="n">
        <v>55000</v>
      </c>
      <c r="AA950" s="90" t="n">
        <v>55000</v>
      </c>
      <c r="AB950" s="90" t="n">
        <v>55000</v>
      </c>
      <c r="AC950" s="90" t="n">
        <v>55000</v>
      </c>
      <c r="AD950" s="90" t="n">
        <v>55000</v>
      </c>
      <c r="AE950" s="90" t="n">
        <v>55000</v>
      </c>
      <c r="AF950" s="90" t="n">
        <v>55000</v>
      </c>
      <c r="AG950" s="90" t="n">
        <v>55000</v>
      </c>
      <c r="AH950" s="90" t="n">
        <v>55000</v>
      </c>
      <c r="AI950" s="90" t="n">
        <v>55000</v>
      </c>
      <c r="AJ950" s="91" t="n">
        <v>55000</v>
      </c>
      <c r="AK950" s="89" t="n">
        <v>55000</v>
      </c>
      <c r="AL950" s="90" t="n">
        <v>55000</v>
      </c>
      <c r="AM950" s="90"/>
      <c r="AN950" s="90"/>
      <c r="AO950" s="90"/>
      <c r="AP950" s="90"/>
      <c r="AQ950" s="90"/>
      <c r="AR950" s="90"/>
      <c r="AS950" s="90"/>
      <c r="AT950" s="90"/>
      <c r="AU950" s="90"/>
      <c r="AV950" s="91"/>
      <c r="AX950" s="92"/>
    </row>
    <row r="951" customFormat="false" ht="15.65" hidden="false" customHeight="false" outlineLevel="0" collapsed="false">
      <c r="C951" s="72" t="n">
        <f aca="false">COUNTIFS($D$6:D951,"&lt;&gt;"&amp;"")</f>
        <v>946</v>
      </c>
      <c r="D951" s="73" t="s">
        <v>5</v>
      </c>
      <c r="E951" s="76" t="str">
        <f aca="false">
IF($D951="정상",INDEX(임대자산!$D$3:$R$3000,MATCH($F951,임대자산!$I$3:$I$3000,0),MATCH(E$3,임대자산!$D$3:$R$3,0)),
IF($D951="폐업",INDEX(폐업정보!$D$3:$R$3000,MATCH($F951,폐업정보!$I$3:$I$3000,0),MATCH(E$3,폐업정보!$D$3:$R$3,0)),
"Error"))</f>
        <v>서울</v>
      </c>
      <c r="F95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B0946</v>
      </c>
      <c r="G951" s="76" t="str">
        <f aca="false">F951&amp;RANDBETWEEN(0,10)</f>
        <v>B09467</v>
      </c>
      <c r="H951" s="75" t="n">
        <f aca="false">
IF($D951="정상",INDEX(임대자산!$D$3:$R$3000,MATCH($F951,임대자산!$I$3:$I$3000,0),MATCH(H$4,임대자산!$D$3:$R$3,0)),
IF($D951="폐업",INDEX(폐업정보!$D$3:$R$3000,MATCH($F951,폐업정보!$I$3:$I$3000,0),MATCH(H$4,폐업정보!$D$3:$R$3,0)),
"Error"))</f>
        <v>44929</v>
      </c>
      <c r="I951" s="75" t="str">
        <f aca="false">
IF($D951="정상",INDEX(임대자산!$D$3:$R$3000,MATCH($F951,임대자산!$I$3:$I$3000,0),MATCH(I$4,임대자산!$D$3:$R$3,0)),
IF($D951="폐업",INDEX(폐업정보!$D$3:$R$3000,MATCH($F951,폐업정보!$I$3:$I$3000,0),MATCH(I$4,폐업정보!$D$3:$R$3,0)),
"Error"))</f>
        <v>A0946</v>
      </c>
      <c r="J951" s="75" t="str">
        <f aca="false">
IF($D951="정상",INDEX(임대자산!$D$3:$R$3000,MATCH($F951,임대자산!$I$3:$I$3000,0),MATCH(J$4,임대자산!$D$3:$R$3,0)),
IF($D951="폐업",INDEX(폐업정보!$D$3:$R$3000,MATCH($F951,폐업정보!$I$3:$I$3000,0),MATCH(J$4,폐업정보!$D$3:$R$3,0)),
"Error"))</f>
        <v>2561900000</v>
      </c>
      <c r="K951" s="75" t="str">
        <f aca="false">
IF($D951="정상",INDEX(임대자산!$D$3:$R$3000,MATCH($F951,임대자산!$I$3:$I$3000,0),MATCH(K$4,임대자산!$D$3:$R$3,0)),
IF($D951="폐업",INDEX(폐업정보!$D$3:$R$3000,MATCH($F951,폐업정보!$I$3:$I$3000,0),MATCH(K$4,폐업정보!$D$3:$R$3,0)),
"Error"))</f>
        <v>C0946</v>
      </c>
      <c r="L951" s="75" t="str">
        <f aca="false">
IF($D951="정상",INDEX(임대자산!$D$3:$R$3000,MATCH($F951,임대자산!$I$3:$I$3000,0),MATCH(L$4,임대자산!$D$3:$R$3,0)),
IF($D951="폐업",INDEX(폐업정보!$D$3:$R$3000,MATCH($F951,폐업정보!$I$3:$I$3000,0),MATCH(L$4,폐업정보!$D$3:$R$3,0)),
"Error"))</f>
        <v>D0946</v>
      </c>
      <c r="M951" s="76" t="s">
        <v>96</v>
      </c>
      <c r="N951" s="77"/>
      <c r="O951" s="78" t="s">
        <v>97</v>
      </c>
      <c r="P951" s="79" t="n">
        <f aca="false">COUNTIFS(임대자산!$I:$I,가맹점정보!F951,임대자산!$N:$N,가맹점정보!P$4)</f>
        <v>0</v>
      </c>
      <c r="Q951" s="80" t="n">
        <f aca="false">COUNTIFS(임대자산!$I:$I,가맹점정보!F951,임대자산!$N:$N,가맹점정보!Q$4)</f>
        <v>0</v>
      </c>
      <c r="R951" s="81" t="n">
        <f aca="false">COUNTIFS(임대자산!$I:$I,가맹점정보!F951,임대자산!$N:$N,가맹점정보!R$4)</f>
        <v>0</v>
      </c>
      <c r="S951" s="82" t="n">
        <v>55000</v>
      </c>
      <c r="T951" s="83" t="n">
        <v>0</v>
      </c>
      <c r="U951" s="80" t="n">
        <f aca="false">SUM(S951:T951)</f>
        <v>55000</v>
      </c>
      <c r="V951" s="84" t="s">
        <v>12</v>
      </c>
      <c r="W951" s="80" t="str">
        <f aca="true">
IF(D951="폐업","폐업",
IF(V951="면제","면제",
IF(AND(V951="정상",COUNTIFS(OFFSET(Y951,0,COUNTA(Y951:AV951)-1,1,-4),"미납")&gt;=3),"장기미납",
IF(AND(V951="정상",OFFSET(Y951,0,COUNTA(Y951:AV951)-1)&gt;=U951),"정상",
IF(AND(V951="정상",OFFSET(Y951,0,COUNTA(Y951:AV951)-1)=0),"정상",
"계약서 미작성")))))</f>
        <v>폐업</v>
      </c>
      <c r="X951" s="81" t="str">
        <f aca="true">
IF(D951="폐업","폐업",
IF(AND(V951="정상",OFFSET(Y951,0,COUNTA(Y951:AV951)-1)="미납"),"미납",
IF(AND(V951="정상",OFFSET(Y951,0,COUNTA(Y951:AV951)-1)=0),"납부 시작 전",
IF(AND(V951="정상",OFFSET(Y951,0,COUNTA(Y951:AV951)-1)&gt;=U951),"정상",
IF(AND(V951="면제",OFFSET(Y951,0,COUNTA(Y951:AV951)-1)="면제"),"면제",
IF(AND(V951="면제",OFFSET(Y951,0,COUNTA(Y951:AV951)-1)=0),"면제",
"확인요청"))))))</f>
        <v>폐업</v>
      </c>
      <c r="Y951" s="93" t="n">
        <v>55000</v>
      </c>
      <c r="Z951" s="90" t="n">
        <v>55000</v>
      </c>
      <c r="AA951" s="90" t="n">
        <v>55000</v>
      </c>
      <c r="AB951" s="90" t="n">
        <v>55000</v>
      </c>
      <c r="AC951" s="90" t="n">
        <v>55000</v>
      </c>
      <c r="AD951" s="90" t="n">
        <v>55000</v>
      </c>
      <c r="AE951" s="90" t="n">
        <v>55000</v>
      </c>
      <c r="AF951" s="90" t="n">
        <v>55000</v>
      </c>
      <c r="AG951" s="90" t="n">
        <v>55000</v>
      </c>
      <c r="AH951" s="90" t="n">
        <v>55000</v>
      </c>
      <c r="AI951" s="90" t="n">
        <v>55000</v>
      </c>
      <c r="AJ951" s="91" t="n">
        <v>55000</v>
      </c>
      <c r="AK951" s="89" t="n">
        <v>55000</v>
      </c>
      <c r="AL951" s="90" t="n">
        <v>55000</v>
      </c>
      <c r="AM951" s="90"/>
      <c r="AN951" s="90"/>
      <c r="AO951" s="90"/>
      <c r="AP951" s="90"/>
      <c r="AQ951" s="90"/>
      <c r="AR951" s="90"/>
      <c r="AS951" s="90"/>
      <c r="AT951" s="90"/>
      <c r="AU951" s="90"/>
      <c r="AV951" s="91"/>
      <c r="AX951" s="92"/>
    </row>
    <row r="952" customFormat="false" ht="15.65" hidden="false" customHeight="false" outlineLevel="0" collapsed="false">
      <c r="C952" s="72" t="n">
        <f aca="false">COUNTIFS($D$6:D952,"&lt;&gt;"&amp;"")</f>
        <v>947</v>
      </c>
      <c r="D952" s="73" t="s">
        <v>12</v>
      </c>
      <c r="E952" s="76" t="str">
        <f aca="false">
IF($D952="정상",INDEX(임대자산!$D$3:$R$3000,MATCH($F952,임대자산!$I$3:$I$3000,0),MATCH(E$3,임대자산!$D$3:$R$3,0)),
IF($D952="폐업",INDEX(폐업정보!$D$3:$R$3000,MATCH($F952,폐업정보!$I$3:$I$3000,0),MATCH(E$3,폐업정보!$D$3:$R$3,0)),
"Error"))</f>
        <v>서울</v>
      </c>
      <c r="F95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B0947</v>
      </c>
      <c r="G952" s="76" t="str">
        <f aca="false">F952&amp;RANDBETWEEN(0,10)</f>
        <v>B09476</v>
      </c>
      <c r="H952" s="75" t="n">
        <f aca="false">
IF($D952="정상",INDEX(임대자산!$D$3:$R$3000,MATCH($F952,임대자산!$I$3:$I$3000,0),MATCH(H$4,임대자산!$D$3:$R$3,0)),
IF($D952="폐업",INDEX(폐업정보!$D$3:$R$3000,MATCH($F952,폐업정보!$I$3:$I$3000,0),MATCH(H$4,폐업정보!$D$3:$R$3,0)),
"Error"))</f>
        <v>44400</v>
      </c>
      <c r="I952" s="75" t="str">
        <f aca="false">
IF($D952="정상",INDEX(임대자산!$D$3:$R$3000,MATCH($F952,임대자산!$I$3:$I$3000,0),MATCH(I$4,임대자산!$D$3:$R$3,0)),
IF($D952="폐업",INDEX(폐업정보!$D$3:$R$3000,MATCH($F952,폐업정보!$I$3:$I$3000,0),MATCH(I$4,폐업정보!$D$3:$R$3,0)),
"Error"))</f>
        <v>A0947</v>
      </c>
      <c r="J952" s="75" t="str">
        <f aca="false">
IF($D952="정상",INDEX(임대자산!$D$3:$R$3000,MATCH($F952,임대자산!$I$3:$I$3000,0),MATCH(J$4,임대자산!$D$3:$R$3,0)),
IF($D952="폐업",INDEX(폐업정보!$D$3:$R$3000,MATCH($F952,폐업정보!$I$3:$I$3000,0),MATCH(J$4,폐업정보!$D$3:$R$3,0)),
"Error"))</f>
        <v>4182300000</v>
      </c>
      <c r="K952" s="75" t="str">
        <f aca="false">
IF($D952="정상",INDEX(임대자산!$D$3:$R$3000,MATCH($F952,임대자산!$I$3:$I$3000,0),MATCH(K$4,임대자산!$D$3:$R$3,0)),
IF($D952="폐업",INDEX(폐업정보!$D$3:$R$3000,MATCH($F952,폐업정보!$I$3:$I$3000,0),MATCH(K$4,폐업정보!$D$3:$R$3,0)),
"Error"))</f>
        <v>C0947</v>
      </c>
      <c r="L952" s="75" t="str">
        <f aca="false">
IF($D952="정상",INDEX(임대자산!$D$3:$R$3000,MATCH($F952,임대자산!$I$3:$I$3000,0),MATCH(L$4,임대자산!$D$3:$R$3,0)),
IF($D952="폐업",INDEX(폐업정보!$D$3:$R$3000,MATCH($F952,폐업정보!$I$3:$I$3000,0),MATCH(L$4,폐업정보!$D$3:$R$3,0)),
"Error"))</f>
        <v>D0947</v>
      </c>
      <c r="M952" s="76" t="s">
        <v>96</v>
      </c>
      <c r="N952" s="77"/>
      <c r="O952" s="78" t="s">
        <v>97</v>
      </c>
      <c r="P952" s="79" t="n">
        <f aca="false">COUNTIFS(임대자산!$I:$I,가맹점정보!F952,임대자산!$N:$N,가맹점정보!P$4)</f>
        <v>0</v>
      </c>
      <c r="Q952" s="80" t="n">
        <f aca="false">COUNTIFS(임대자산!$I:$I,가맹점정보!F952,임대자산!$N:$N,가맹점정보!Q$4)</f>
        <v>0</v>
      </c>
      <c r="R952" s="81" t="n">
        <f aca="false">COUNTIFS(임대자산!$I:$I,가맹점정보!F952,임대자산!$N:$N,가맹점정보!R$4)</f>
        <v>1</v>
      </c>
      <c r="S952" s="82" t="n">
        <v>55000</v>
      </c>
      <c r="T952" s="83" t="n">
        <v>0</v>
      </c>
      <c r="U952" s="80" t="n">
        <f aca="false">SUM(S952:T952)</f>
        <v>55000</v>
      </c>
      <c r="V952" s="84" t="s">
        <v>12</v>
      </c>
      <c r="W952" s="80" t="e">
        <f aca="true">
IF(D952="폐업","폐업",
IF(V952="면제","면제",
IF(AND(V952="정상",COUNTIFS(OFFSET(Y952,0,COUNTA(Y952:AV952)-1,1,-4),"미납")&gt;=3),"장기미납",
IF(AND(V952="정상",OFFSET(Y952,0,COUNTA(Y952:AV952)-1)&gt;=U952),"정상",
IF(AND(V952="정상",OFFSET(Y952,0,COUNTA(Y952:AV952)-1)=0),"정상",
"계약서 미작성")))))</f>
        <v>#VALUE!</v>
      </c>
      <c r="X952" s="81" t="str">
        <f aca="true">
IF(D952="폐업","폐업",
IF(AND(V952="정상",OFFSET(Y952,0,COUNTA(Y952:AV952)-1)="미납"),"미납",
IF(AND(V952="정상",OFFSET(Y952,0,COUNTA(Y952:AV952)-1)=0),"납부 시작 전",
IF(AND(V952="정상",OFFSET(Y952,0,COUNTA(Y952:AV952)-1)&gt;=U952),"정상",
IF(AND(V952="면제",OFFSET(Y952,0,COUNTA(Y952:AV952)-1)="면제"),"면제",
IF(AND(V952="면제",OFFSET(Y952,0,COUNTA(Y952:AV952)-1)=0),"면제",
"확인요청"))))))</f>
        <v>정상</v>
      </c>
      <c r="Y952" s="93" t="n">
        <v>55000</v>
      </c>
      <c r="Z952" s="90" t="n">
        <v>55000</v>
      </c>
      <c r="AA952" s="90" t="n">
        <v>55000</v>
      </c>
      <c r="AB952" s="90" t="n">
        <v>55000</v>
      </c>
      <c r="AC952" s="90" t="n">
        <v>55000</v>
      </c>
      <c r="AD952" s="90" t="n">
        <v>55000</v>
      </c>
      <c r="AE952" s="90" t="n">
        <v>55000</v>
      </c>
      <c r="AF952" s="90" t="n">
        <v>55000</v>
      </c>
      <c r="AG952" s="90" t="n">
        <v>55000</v>
      </c>
      <c r="AH952" s="90" t="n">
        <v>55000</v>
      </c>
      <c r="AI952" s="90" t="n">
        <v>55000</v>
      </c>
      <c r="AJ952" s="91" t="n">
        <v>55000</v>
      </c>
      <c r="AK952" s="89" t="n">
        <v>55000</v>
      </c>
      <c r="AL952" s="90" t="n">
        <v>55000</v>
      </c>
      <c r="AM952" s="90"/>
      <c r="AN952" s="90"/>
      <c r="AO952" s="90"/>
      <c r="AP952" s="90"/>
      <c r="AQ952" s="90"/>
      <c r="AR952" s="90"/>
      <c r="AS952" s="90"/>
      <c r="AT952" s="90"/>
      <c r="AU952" s="90"/>
      <c r="AV952" s="91"/>
      <c r="AX952" s="92"/>
    </row>
    <row r="953" customFormat="false" ht="15.65" hidden="false" customHeight="false" outlineLevel="0" collapsed="false">
      <c r="C953" s="72" t="n">
        <f aca="false">COUNTIFS($D$6:D953,"&lt;&gt;"&amp;"")</f>
        <v>948</v>
      </c>
      <c r="D953" s="73" t="s">
        <v>12</v>
      </c>
      <c r="E953" s="76" t="str">
        <f aca="false">
IF($D953="정상",INDEX(임대자산!$D$3:$R$3000,MATCH($F953,임대자산!$I$3:$I$3000,0),MATCH(E$3,임대자산!$D$3:$R$3,0)),
IF($D953="폐업",INDEX(폐업정보!$D$3:$R$3000,MATCH($F953,폐업정보!$I$3:$I$3000,0),MATCH(E$3,폐업정보!$D$3:$R$3,0)),
"Error"))</f>
        <v>서울</v>
      </c>
      <c r="F95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B0948</v>
      </c>
      <c r="G953" s="76" t="str">
        <f aca="false">F953&amp;RANDBETWEEN(0,10)</f>
        <v>B09482</v>
      </c>
      <c r="H953" s="75" t="n">
        <f aca="false">
IF($D953="정상",INDEX(임대자산!$D$3:$R$3000,MATCH($F953,임대자산!$I$3:$I$3000,0),MATCH(H$4,임대자산!$D$3:$R$3,0)),
IF($D953="폐업",INDEX(폐업정보!$D$3:$R$3000,MATCH($F953,폐업정보!$I$3:$I$3000,0),MATCH(H$4,폐업정보!$D$3:$R$3,0)),
"Error"))</f>
        <v>45812</v>
      </c>
      <c r="I953" s="75" t="str">
        <f aca="false">
IF($D953="정상",INDEX(임대자산!$D$3:$R$3000,MATCH($F953,임대자산!$I$3:$I$3000,0),MATCH(I$4,임대자산!$D$3:$R$3,0)),
IF($D953="폐업",INDEX(폐업정보!$D$3:$R$3000,MATCH($F953,폐업정보!$I$3:$I$3000,0),MATCH(I$4,폐업정보!$D$3:$R$3,0)),
"Error"))</f>
        <v>A0948</v>
      </c>
      <c r="J953" s="75" t="str">
        <f aca="false">
IF($D953="정상",INDEX(임대자산!$D$3:$R$3000,MATCH($F953,임대자산!$I$3:$I$3000,0),MATCH(J$4,임대자산!$D$3:$R$3,0)),
IF($D953="폐업",INDEX(폐업정보!$D$3:$R$3000,MATCH($F953,폐업정보!$I$3:$I$3000,0),MATCH(J$4,폐업정보!$D$3:$R$3,0)),
"Error"))</f>
        <v>6538100000</v>
      </c>
      <c r="K953" s="75" t="str">
        <f aca="false">
IF($D953="정상",INDEX(임대자산!$D$3:$R$3000,MATCH($F953,임대자산!$I$3:$I$3000,0),MATCH(K$4,임대자산!$D$3:$R$3,0)),
IF($D953="폐업",INDEX(폐업정보!$D$3:$R$3000,MATCH($F953,폐업정보!$I$3:$I$3000,0),MATCH(K$4,폐업정보!$D$3:$R$3,0)),
"Error"))</f>
        <v>C0948</v>
      </c>
      <c r="L953" s="75" t="str">
        <f aca="false">
IF($D953="정상",INDEX(임대자산!$D$3:$R$3000,MATCH($F953,임대자산!$I$3:$I$3000,0),MATCH(L$4,임대자산!$D$3:$R$3,0)),
IF($D953="폐업",INDEX(폐업정보!$D$3:$R$3000,MATCH($F953,폐업정보!$I$3:$I$3000,0),MATCH(L$4,폐업정보!$D$3:$R$3,0)),
"Error"))</f>
        <v>D0948</v>
      </c>
      <c r="M953" s="76" t="s">
        <v>96</v>
      </c>
      <c r="N953" s="77"/>
      <c r="O953" s="78" t="s">
        <v>97</v>
      </c>
      <c r="P953" s="79" t="n">
        <f aca="false">COUNTIFS(임대자산!$I:$I,가맹점정보!F953,임대자산!$N:$N,가맹점정보!P$4)</f>
        <v>0</v>
      </c>
      <c r="Q953" s="80" t="n">
        <f aca="false">COUNTIFS(임대자산!$I:$I,가맹점정보!F953,임대자산!$N:$N,가맹점정보!Q$4)</f>
        <v>0</v>
      </c>
      <c r="R953" s="81" t="n">
        <f aca="false">COUNTIFS(임대자산!$I:$I,가맹점정보!F953,임대자산!$N:$N,가맹점정보!R$4)</f>
        <v>1</v>
      </c>
      <c r="S953" s="82" t="n">
        <v>88000</v>
      </c>
      <c r="T953" s="83" t="n">
        <v>0</v>
      </c>
      <c r="U953" s="80" t="n">
        <f aca="false">SUM(S953:T953)</f>
        <v>88000</v>
      </c>
      <c r="V953" s="84" t="s">
        <v>12</v>
      </c>
      <c r="W953" s="80" t="e">
        <f aca="true">
IF(D953="폐업","폐업",
IF(V953="면제","면제",
IF(AND(V953="정상",COUNTIFS(OFFSET(Y953,0,COUNTA(Y953:AV953)-1,1,-4),"미납")&gt;=3),"장기미납",
IF(AND(V953="정상",OFFSET(Y953,0,COUNTA(Y953:AV953)-1)&gt;=U953),"정상",
IF(AND(V953="정상",OFFSET(Y953,0,COUNTA(Y953:AV953)-1)=0),"정상",
"계약서 미작성")))))</f>
        <v>#VALUE!</v>
      </c>
      <c r="X953" s="81" t="str">
        <f aca="true">
IF(D953="폐업","폐업",
IF(AND(V953="정상",OFFSET(Y953,0,COUNTA(Y953:AV953)-1)="미납"),"미납",
IF(AND(V953="정상",OFFSET(Y953,0,COUNTA(Y953:AV953)-1)=0),"납부 시작 전",
IF(AND(V953="정상",OFFSET(Y953,0,COUNTA(Y953:AV953)-1)&gt;=U953),"정상",
IF(AND(V953="면제",OFFSET(Y953,0,COUNTA(Y953:AV953)-1)="면제"),"면제",
IF(AND(V953="면제",OFFSET(Y953,0,COUNTA(Y953:AV953)-1)=0),"면제",
"확인요청"))))))</f>
        <v>정상</v>
      </c>
      <c r="Y953" s="93" t="n">
        <v>88000</v>
      </c>
      <c r="Z953" s="90" t="n">
        <v>88000</v>
      </c>
      <c r="AA953" s="90" t="n">
        <v>88000</v>
      </c>
      <c r="AB953" s="90" t="n">
        <v>88000</v>
      </c>
      <c r="AC953" s="90" t="n">
        <v>88000</v>
      </c>
      <c r="AD953" s="90" t="n">
        <v>88000</v>
      </c>
      <c r="AE953" s="90" t="n">
        <v>88000</v>
      </c>
      <c r="AF953" s="90" t="n">
        <v>88000</v>
      </c>
      <c r="AG953" s="90" t="n">
        <v>88000</v>
      </c>
      <c r="AH953" s="90" t="n">
        <v>88000</v>
      </c>
      <c r="AI953" s="90" t="n">
        <v>88000</v>
      </c>
      <c r="AJ953" s="91" t="n">
        <v>88000</v>
      </c>
      <c r="AK953" s="89" t="n">
        <v>88000</v>
      </c>
      <c r="AL953" s="90" t="n">
        <v>88000</v>
      </c>
      <c r="AM953" s="90"/>
      <c r="AN953" s="90"/>
      <c r="AO953" s="90"/>
      <c r="AP953" s="90"/>
      <c r="AQ953" s="90"/>
      <c r="AR953" s="90"/>
      <c r="AS953" s="90"/>
      <c r="AT953" s="90"/>
      <c r="AU953" s="90"/>
      <c r="AV953" s="91"/>
      <c r="AX953" s="92"/>
    </row>
    <row r="954" customFormat="false" ht="15.65" hidden="false" customHeight="false" outlineLevel="0" collapsed="false">
      <c r="C954" s="72" t="n">
        <f aca="false">COUNTIFS($D$6:D954,"&lt;&gt;"&amp;"")</f>
        <v>949</v>
      </c>
      <c r="D954" s="73" t="s">
        <v>12</v>
      </c>
      <c r="E954" s="76" t="str">
        <f aca="false">
IF($D954="정상",INDEX(임대자산!$D$3:$R$3000,MATCH($F954,임대자산!$I$3:$I$3000,0),MATCH(E$3,임대자산!$D$3:$R$3,0)),
IF($D954="폐업",INDEX(폐업정보!$D$3:$R$3000,MATCH($F954,폐업정보!$I$3:$I$3000,0),MATCH(E$3,폐업정보!$D$3:$R$3,0)),
"Error"))</f>
        <v>서울</v>
      </c>
      <c r="F95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B0949</v>
      </c>
      <c r="G954" s="76" t="str">
        <f aca="false">F954&amp;RANDBETWEEN(0,10)</f>
        <v>B09490</v>
      </c>
      <c r="H954" s="75" t="n">
        <f aca="false">
IF($D954="정상",INDEX(임대자산!$D$3:$R$3000,MATCH($F954,임대자산!$I$3:$I$3000,0),MATCH(H$4,임대자산!$D$3:$R$3,0)),
IF($D954="폐업",INDEX(폐업정보!$D$3:$R$3000,MATCH($F954,폐업정보!$I$3:$I$3000,0),MATCH(H$4,폐업정보!$D$3:$R$3,0)),
"Error"))</f>
        <v>45470</v>
      </c>
      <c r="I954" s="75" t="str">
        <f aca="false">
IF($D954="정상",INDEX(임대자산!$D$3:$R$3000,MATCH($F954,임대자산!$I$3:$I$3000,0),MATCH(I$4,임대자산!$D$3:$R$3,0)),
IF($D954="폐업",INDEX(폐업정보!$D$3:$R$3000,MATCH($F954,폐업정보!$I$3:$I$3000,0),MATCH(I$4,폐업정보!$D$3:$R$3,0)),
"Error"))</f>
        <v>A0949</v>
      </c>
      <c r="J954" s="75" t="str">
        <f aca="false">
IF($D954="정상",INDEX(임대자산!$D$3:$R$3000,MATCH($F954,임대자산!$I$3:$I$3000,0),MATCH(J$4,임대자산!$D$3:$R$3,0)),
IF($D954="폐업",INDEX(폐업정보!$D$3:$R$3000,MATCH($F954,폐업정보!$I$3:$I$3000,0),MATCH(J$4,폐업정보!$D$3:$R$3,0)),
"Error"))</f>
        <v>3167400000</v>
      </c>
      <c r="K954" s="75" t="str">
        <f aca="false">
IF($D954="정상",INDEX(임대자산!$D$3:$R$3000,MATCH($F954,임대자산!$I$3:$I$3000,0),MATCH(K$4,임대자산!$D$3:$R$3,0)),
IF($D954="폐업",INDEX(폐업정보!$D$3:$R$3000,MATCH($F954,폐업정보!$I$3:$I$3000,0),MATCH(K$4,폐업정보!$D$3:$R$3,0)),
"Error"))</f>
        <v>C0949</v>
      </c>
      <c r="L954" s="75" t="str">
        <f aca="false">
IF($D954="정상",INDEX(임대자산!$D$3:$R$3000,MATCH($F954,임대자산!$I$3:$I$3000,0),MATCH(L$4,임대자산!$D$3:$R$3,0)),
IF($D954="폐업",INDEX(폐업정보!$D$3:$R$3000,MATCH($F954,폐업정보!$I$3:$I$3000,0),MATCH(L$4,폐업정보!$D$3:$R$3,0)),
"Error"))</f>
        <v>D0949</v>
      </c>
      <c r="M954" s="76" t="s">
        <v>96</v>
      </c>
      <c r="N954" s="77"/>
      <c r="O954" s="78" t="s">
        <v>97</v>
      </c>
      <c r="P954" s="79" t="n">
        <f aca="false">COUNTIFS(임대자산!$I:$I,가맹점정보!F954,임대자산!$N:$N,가맹점정보!P$4)</f>
        <v>0</v>
      </c>
      <c r="Q954" s="80" t="n">
        <f aca="false">COUNTIFS(임대자산!$I:$I,가맹점정보!F954,임대자산!$N:$N,가맹점정보!Q$4)</f>
        <v>0</v>
      </c>
      <c r="R954" s="81" t="n">
        <f aca="false">COUNTIFS(임대자산!$I:$I,가맹점정보!F954,임대자산!$N:$N,가맹점정보!R$4)</f>
        <v>1</v>
      </c>
      <c r="S954" s="82" t="n">
        <v>55000</v>
      </c>
      <c r="T954" s="83" t="n">
        <v>0</v>
      </c>
      <c r="U954" s="80" t="n">
        <f aca="false">SUM(S954:T954)</f>
        <v>55000</v>
      </c>
      <c r="V954" s="84" t="s">
        <v>12</v>
      </c>
      <c r="W954" s="80" t="e">
        <f aca="true">
IF(D954="폐업","폐업",
IF(V954="면제","면제",
IF(AND(V954="정상",COUNTIFS(OFFSET(Y954,0,COUNTA(Y954:AV954)-1,1,-4),"미납")&gt;=3),"장기미납",
IF(AND(V954="정상",OFFSET(Y954,0,COUNTA(Y954:AV954)-1)&gt;=U954),"정상",
IF(AND(V954="정상",OFFSET(Y954,0,COUNTA(Y954:AV954)-1)=0),"정상",
"계약서 미작성")))))</f>
        <v>#VALUE!</v>
      </c>
      <c r="X954" s="81" t="str">
        <f aca="true">
IF(D954="폐업","폐업",
IF(AND(V954="정상",OFFSET(Y954,0,COUNTA(Y954:AV954)-1)="미납"),"미납",
IF(AND(V954="정상",OFFSET(Y954,0,COUNTA(Y954:AV954)-1)=0),"납부 시작 전",
IF(AND(V954="정상",OFFSET(Y954,0,COUNTA(Y954:AV954)-1)&gt;=U954),"정상",
IF(AND(V954="면제",OFFSET(Y954,0,COUNTA(Y954:AV954)-1)="면제"),"면제",
IF(AND(V954="면제",OFFSET(Y954,0,COUNTA(Y954:AV954)-1)=0),"면제",
"확인요청"))))))</f>
        <v>정상</v>
      </c>
      <c r="Y954" s="94" t="s">
        <v>7</v>
      </c>
      <c r="Z954" s="95" t="s">
        <v>7</v>
      </c>
      <c r="AA954" s="95" t="s">
        <v>7</v>
      </c>
      <c r="AB954" s="95" t="s">
        <v>7</v>
      </c>
      <c r="AC954" s="95" t="s">
        <v>7</v>
      </c>
      <c r="AD954" s="95" t="s">
        <v>7</v>
      </c>
      <c r="AE954" s="95" t="s">
        <v>7</v>
      </c>
      <c r="AF954" s="90" t="n">
        <v>55000</v>
      </c>
      <c r="AG954" s="90" t="n">
        <v>55000</v>
      </c>
      <c r="AH954" s="90" t="n">
        <v>55000</v>
      </c>
      <c r="AI954" s="90" t="n">
        <v>55000</v>
      </c>
      <c r="AJ954" s="91" t="n">
        <v>55000</v>
      </c>
      <c r="AK954" s="89" t="n">
        <v>55000</v>
      </c>
      <c r="AL954" s="90" t="n">
        <v>55000</v>
      </c>
      <c r="AM954" s="90"/>
      <c r="AN954" s="90"/>
      <c r="AO954" s="90"/>
      <c r="AP954" s="90"/>
      <c r="AQ954" s="90"/>
      <c r="AR954" s="90"/>
      <c r="AS954" s="90"/>
      <c r="AT954" s="90"/>
      <c r="AU954" s="90"/>
      <c r="AV954" s="91"/>
      <c r="AX954" s="92"/>
    </row>
    <row r="955" customFormat="false" ht="15.65" hidden="false" customHeight="false" outlineLevel="0" collapsed="false">
      <c r="C955" s="72" t="n">
        <f aca="false">COUNTIFS($D$6:D955,"&lt;&gt;"&amp;"")</f>
        <v>950</v>
      </c>
      <c r="D955" s="73" t="s">
        <v>12</v>
      </c>
      <c r="E955" s="76" t="str">
        <f aca="false">
IF($D955="정상",INDEX(임대자산!$D$3:$R$3000,MATCH($F955,임대자산!$I$3:$I$3000,0),MATCH(E$3,임대자산!$D$3:$R$3,0)),
IF($D955="폐업",INDEX(폐업정보!$D$3:$R$3000,MATCH($F955,폐업정보!$I$3:$I$3000,0),MATCH(E$3,폐업정보!$D$3:$R$3,0)),
"Error"))</f>
        <v>강원</v>
      </c>
      <c r="F95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B0950</v>
      </c>
      <c r="G955" s="76" t="str">
        <f aca="false">F955&amp;RANDBETWEEN(0,10)</f>
        <v>B09501</v>
      </c>
      <c r="H955" s="75" t="n">
        <f aca="false">
IF($D955="정상",INDEX(임대자산!$D$3:$R$3000,MATCH($F955,임대자산!$I$3:$I$3000,0),MATCH(H$4,임대자산!$D$3:$R$3,0)),
IF($D955="폐업",INDEX(폐업정보!$D$3:$R$3000,MATCH($F955,폐업정보!$I$3:$I$3000,0),MATCH(H$4,폐업정보!$D$3:$R$3,0)),
"Error"))</f>
        <v>45637</v>
      </c>
      <c r="I955" s="75" t="str">
        <f aca="false">
IF($D955="정상",INDEX(임대자산!$D$3:$R$3000,MATCH($F955,임대자산!$I$3:$I$3000,0),MATCH(I$4,임대자산!$D$3:$R$3,0)),
IF($D955="폐업",INDEX(폐업정보!$D$3:$R$3000,MATCH($F955,폐업정보!$I$3:$I$3000,0),MATCH(I$4,폐업정보!$D$3:$R$3,0)),
"Error"))</f>
        <v>A0950</v>
      </c>
      <c r="J955" s="75" t="str">
        <f aca="false">
IF($D955="정상",INDEX(임대자산!$D$3:$R$3000,MATCH($F955,임대자산!$I$3:$I$3000,0),MATCH(J$4,임대자산!$D$3:$R$3,0)),
IF($D955="폐업",INDEX(폐업정보!$D$3:$R$3000,MATCH($F955,폐업정보!$I$3:$I$3000,0),MATCH(J$4,폐업정보!$D$3:$R$3,0)),
"Error"))</f>
        <v>3167700000</v>
      </c>
      <c r="K955" s="75" t="str">
        <f aca="false">
IF($D955="정상",INDEX(임대자산!$D$3:$R$3000,MATCH($F955,임대자산!$I$3:$I$3000,0),MATCH(K$4,임대자산!$D$3:$R$3,0)),
IF($D955="폐업",INDEX(폐업정보!$D$3:$R$3000,MATCH($F955,폐업정보!$I$3:$I$3000,0),MATCH(K$4,폐업정보!$D$3:$R$3,0)),
"Error"))</f>
        <v>C0950</v>
      </c>
      <c r="L955" s="75" t="str">
        <f aca="false">
IF($D955="정상",INDEX(임대자산!$D$3:$R$3000,MATCH($F955,임대자산!$I$3:$I$3000,0),MATCH(L$4,임대자산!$D$3:$R$3,0)),
IF($D955="폐업",INDEX(폐업정보!$D$3:$R$3000,MATCH($F955,폐업정보!$I$3:$I$3000,0),MATCH(L$4,폐업정보!$D$3:$R$3,0)),
"Error"))</f>
        <v>D0950</v>
      </c>
      <c r="M955" s="76" t="s">
        <v>96</v>
      </c>
      <c r="N955" s="77"/>
      <c r="O955" s="78" t="s">
        <v>97</v>
      </c>
      <c r="P955" s="79" t="n">
        <f aca="false">COUNTIFS(임대자산!$I:$I,가맹점정보!F955,임대자산!$N:$N,가맹점정보!P$4)</f>
        <v>0</v>
      </c>
      <c r="Q955" s="80" t="n">
        <f aca="false">COUNTIFS(임대자산!$I:$I,가맹점정보!F955,임대자산!$N:$N,가맹점정보!Q$4)</f>
        <v>0</v>
      </c>
      <c r="R955" s="81" t="n">
        <f aca="false">COUNTIFS(임대자산!$I:$I,가맹점정보!F955,임대자산!$N:$N,가맹점정보!R$4)</f>
        <v>1</v>
      </c>
      <c r="S955" s="82" t="n">
        <v>55000</v>
      </c>
      <c r="T955" s="83" t="n">
        <v>0</v>
      </c>
      <c r="U955" s="80" t="n">
        <f aca="false">SUM(S955:T955)</f>
        <v>55000</v>
      </c>
      <c r="V955" s="84" t="s">
        <v>7</v>
      </c>
      <c r="W955" s="80" t="str">
        <f aca="true">
IF(D955="폐업","폐업",
IF(V955="면제","면제",
IF(AND(V955="정상",COUNTIFS(OFFSET(Y955,0,COUNTA(Y955:AV955)-1,1,-4),"미납")&gt;=3),"장기미납",
IF(AND(V955="정상",OFFSET(Y955,0,COUNTA(Y955:AV955)-1)&gt;=U955),"정상",
IF(AND(V955="정상",OFFSET(Y955,0,COUNTA(Y955:AV955)-1)=0),"정상",
"계약서 미작성")))))</f>
        <v>면제</v>
      </c>
      <c r="X955" s="81" t="str">
        <f aca="true">
IF(D955="폐업","폐업",
IF(AND(V955="정상",OFFSET(Y955,0,COUNTA(Y955:AV955)-1)="미납"),"미납",
IF(AND(V955="정상",OFFSET(Y955,0,COUNTA(Y955:AV955)-1)=0),"납부 시작 전",
IF(AND(V955="정상",OFFSET(Y955,0,COUNTA(Y955:AV955)-1)&gt;=U955),"정상",
IF(AND(V955="면제",OFFSET(Y955,0,COUNTA(Y955:AV955)-1)="면제"),"면제",
IF(AND(V955="면제",OFFSET(Y955,0,COUNTA(Y955:AV955)-1)=0),"면제",
"확인요청"))))))</f>
        <v>면제</v>
      </c>
      <c r="Y955" s="94" t="s">
        <v>7</v>
      </c>
      <c r="Z955" s="95" t="s">
        <v>7</v>
      </c>
      <c r="AA955" s="95" t="s">
        <v>7</v>
      </c>
      <c r="AB955" s="95" t="s">
        <v>7</v>
      </c>
      <c r="AC955" s="95" t="s">
        <v>7</v>
      </c>
      <c r="AD955" s="95" t="s">
        <v>7</v>
      </c>
      <c r="AE955" s="95" t="s">
        <v>7</v>
      </c>
      <c r="AF955" s="95" t="s">
        <v>7</v>
      </c>
      <c r="AG955" s="95" t="s">
        <v>7</v>
      </c>
      <c r="AH955" s="95" t="s">
        <v>7</v>
      </c>
      <c r="AI955" s="95" t="s">
        <v>7</v>
      </c>
      <c r="AJ955" s="96" t="s">
        <v>7</v>
      </c>
      <c r="AK955" s="97" t="s">
        <v>7</v>
      </c>
      <c r="AL955" s="95" t="s">
        <v>7</v>
      </c>
      <c r="AM955" s="90"/>
      <c r="AN955" s="90"/>
      <c r="AO955" s="90"/>
      <c r="AP955" s="90"/>
      <c r="AQ955" s="90"/>
      <c r="AR955" s="90"/>
      <c r="AS955" s="90"/>
      <c r="AT955" s="90"/>
      <c r="AU955" s="90"/>
      <c r="AV955" s="91"/>
      <c r="AX955" s="92"/>
    </row>
    <row r="956" customFormat="false" ht="15.65" hidden="false" customHeight="false" outlineLevel="0" collapsed="false">
      <c r="C956" s="72" t="n">
        <f aca="false">COUNTIFS($D$6:D956,"&lt;&gt;"&amp;"")</f>
        <v>951</v>
      </c>
      <c r="D956" s="73" t="s">
        <v>12</v>
      </c>
      <c r="E956" s="76" t="str">
        <f aca="false">
IF($D956="정상",INDEX(임대자산!$D$3:$R$3000,MATCH($F956,임대자산!$I$3:$I$3000,0),MATCH(E$3,임대자산!$D$3:$R$3,0)),
IF($D956="폐업",INDEX(폐업정보!$D$3:$R$3000,MATCH($F956,폐업정보!$I$3:$I$3000,0),MATCH(E$3,폐업정보!$D$3:$R$3,0)),
"Error"))</f>
        <v>강원</v>
      </c>
      <c r="F95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B0951</v>
      </c>
      <c r="G956" s="76" t="str">
        <f aca="false">F956&amp;RANDBETWEEN(0,10)</f>
        <v>B09519</v>
      </c>
      <c r="H956" s="75" t="n">
        <f aca="false">
IF($D956="정상",INDEX(임대자산!$D$3:$R$3000,MATCH($F956,임대자산!$I$3:$I$3000,0),MATCH(H$4,임대자산!$D$3:$R$3,0)),
IF($D956="폐업",INDEX(폐업정보!$D$3:$R$3000,MATCH($F956,폐업정보!$I$3:$I$3000,0),MATCH(H$4,폐업정보!$D$3:$R$3,0)),
"Error"))</f>
        <v>45916</v>
      </c>
      <c r="I956" s="75" t="str">
        <f aca="false">
IF($D956="정상",INDEX(임대자산!$D$3:$R$3000,MATCH($F956,임대자산!$I$3:$I$3000,0),MATCH(I$4,임대자산!$D$3:$R$3,0)),
IF($D956="폐업",INDEX(폐업정보!$D$3:$R$3000,MATCH($F956,폐업정보!$I$3:$I$3000,0),MATCH(I$4,폐업정보!$D$3:$R$3,0)),
"Error"))</f>
        <v>A0951</v>
      </c>
      <c r="J956" s="75" t="str">
        <f aca="false">
IF($D956="정상",INDEX(임대자산!$D$3:$R$3000,MATCH($F956,임대자산!$I$3:$I$3000,0),MATCH(J$4,임대자산!$D$3:$R$3,0)),
IF($D956="폐업",INDEX(폐업정보!$D$3:$R$3000,MATCH($F956,폐업정보!$I$3:$I$3000,0),MATCH(J$4,폐업정보!$D$3:$R$3,0)),
"Error"))</f>
        <v>1398300000</v>
      </c>
      <c r="K956" s="75" t="str">
        <f aca="false">
IF($D956="정상",INDEX(임대자산!$D$3:$R$3000,MATCH($F956,임대자산!$I$3:$I$3000,0),MATCH(K$4,임대자산!$D$3:$R$3,0)),
IF($D956="폐업",INDEX(폐업정보!$D$3:$R$3000,MATCH($F956,폐업정보!$I$3:$I$3000,0),MATCH(K$4,폐업정보!$D$3:$R$3,0)),
"Error"))</f>
        <v>C0951</v>
      </c>
      <c r="L956" s="75" t="str">
        <f aca="false">
IF($D956="정상",INDEX(임대자산!$D$3:$R$3000,MATCH($F956,임대자산!$I$3:$I$3000,0),MATCH(L$4,임대자산!$D$3:$R$3,0)),
IF($D956="폐업",INDEX(폐업정보!$D$3:$R$3000,MATCH($F956,폐업정보!$I$3:$I$3000,0),MATCH(L$4,폐업정보!$D$3:$R$3,0)),
"Error"))</f>
        <v>D0951</v>
      </c>
      <c r="M956" s="76" t="s">
        <v>96</v>
      </c>
      <c r="N956" s="77"/>
      <c r="O956" s="78" t="s">
        <v>97</v>
      </c>
      <c r="P956" s="79" t="n">
        <f aca="false">COUNTIFS(임대자산!$I:$I,가맹점정보!F956,임대자산!$N:$N,가맹점정보!P$4)</f>
        <v>0</v>
      </c>
      <c r="Q956" s="80" t="n">
        <f aca="false">COUNTIFS(임대자산!$I:$I,가맹점정보!F956,임대자산!$N:$N,가맹점정보!Q$4)</f>
        <v>0</v>
      </c>
      <c r="R956" s="81" t="n">
        <f aca="false">COUNTIFS(임대자산!$I:$I,가맹점정보!F956,임대자산!$N:$N,가맹점정보!R$4)</f>
        <v>1</v>
      </c>
      <c r="S956" s="82" t="n">
        <v>55000</v>
      </c>
      <c r="T956" s="83" t="n">
        <v>0</v>
      </c>
      <c r="U956" s="80" t="n">
        <f aca="false">SUM(S956:T956)</f>
        <v>55000</v>
      </c>
      <c r="V956" s="84" t="s">
        <v>12</v>
      </c>
      <c r="W956" s="80" t="e">
        <f aca="true">
IF(D956="폐업","폐업",
IF(V956="면제","면제",
IF(AND(V956="정상",COUNTIFS(OFFSET(Y956,0,COUNTA(Y956:AV956)-1,1,-4),"미납")&gt;=3),"장기미납",
IF(AND(V956="정상",OFFSET(Y956,0,COUNTA(Y956:AV956)-1)&gt;=U956),"정상",
IF(AND(V956="정상",OFFSET(Y956,0,COUNTA(Y956:AV956)-1)=0),"정상",
"계약서 미작성")))))</f>
        <v>#VALUE!</v>
      </c>
      <c r="X956" s="81" t="str">
        <f aca="true">
IF(D956="폐업","폐업",
IF(AND(V956="정상",OFFSET(Y956,0,COUNTA(Y956:AV956)-1)="미납"),"미납",
IF(AND(V956="정상",OFFSET(Y956,0,COUNTA(Y956:AV956)-1)=0),"납부 시작 전",
IF(AND(V956="정상",OFFSET(Y956,0,COUNTA(Y956:AV956)-1)&gt;=U956),"정상",
IF(AND(V956="면제",OFFSET(Y956,0,COUNTA(Y956:AV956)-1)="면제"),"면제",
IF(AND(V956="면제",OFFSET(Y956,0,COUNTA(Y956:AV956)-1)=0),"면제",
"확인요청"))))))</f>
        <v>정상</v>
      </c>
      <c r="Y956" s="93" t="n">
        <v>55000</v>
      </c>
      <c r="Z956" s="90" t="n">
        <v>55000</v>
      </c>
      <c r="AA956" s="90" t="n">
        <v>55000</v>
      </c>
      <c r="AB956" s="90" t="n">
        <v>55000</v>
      </c>
      <c r="AC956" s="90" t="n">
        <v>55000</v>
      </c>
      <c r="AD956" s="90" t="n">
        <v>55000</v>
      </c>
      <c r="AE956" s="90" t="n">
        <v>55000</v>
      </c>
      <c r="AF956" s="90" t="n">
        <v>55000</v>
      </c>
      <c r="AG956" s="90" t="n">
        <v>55000</v>
      </c>
      <c r="AH956" s="90" t="n">
        <v>55000</v>
      </c>
      <c r="AI956" s="90" t="n">
        <v>55000</v>
      </c>
      <c r="AJ956" s="91" t="n">
        <v>55000</v>
      </c>
      <c r="AK956" s="89" t="n">
        <v>55000</v>
      </c>
      <c r="AL956" s="90" t="n">
        <v>55000</v>
      </c>
      <c r="AM956" s="90"/>
      <c r="AN956" s="90"/>
      <c r="AO956" s="90"/>
      <c r="AP956" s="90"/>
      <c r="AQ956" s="90"/>
      <c r="AR956" s="90"/>
      <c r="AS956" s="90"/>
      <c r="AT956" s="90"/>
      <c r="AU956" s="90"/>
      <c r="AV956" s="91"/>
      <c r="AX956" s="92"/>
    </row>
    <row r="957" customFormat="false" ht="15.65" hidden="false" customHeight="false" outlineLevel="0" collapsed="false">
      <c r="C957" s="72" t="n">
        <f aca="false">COUNTIFS($D$6:D957,"&lt;&gt;"&amp;"")</f>
        <v>952</v>
      </c>
      <c r="D957" s="73" t="s">
        <v>12</v>
      </c>
      <c r="E957" s="76" t="str">
        <f aca="false">
IF($D957="정상",INDEX(임대자산!$D$3:$R$3000,MATCH($F957,임대자산!$I$3:$I$3000,0),MATCH(E$3,임대자산!$D$3:$R$3,0)),
IF($D957="폐업",INDEX(폐업정보!$D$3:$R$3000,MATCH($F957,폐업정보!$I$3:$I$3000,0),MATCH(E$3,폐업정보!$D$3:$R$3,0)),
"Error"))</f>
        <v>경기</v>
      </c>
      <c r="F95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B0952</v>
      </c>
      <c r="G957" s="76" t="str">
        <f aca="false">F957&amp;RANDBETWEEN(0,10)</f>
        <v>B09523</v>
      </c>
      <c r="H957" s="75" t="n">
        <f aca="false">
IF($D957="정상",INDEX(임대자산!$D$3:$R$3000,MATCH($F957,임대자산!$I$3:$I$3000,0),MATCH(H$4,임대자산!$D$3:$R$3,0)),
IF($D957="폐업",INDEX(폐업정보!$D$3:$R$3000,MATCH($F957,폐업정보!$I$3:$I$3000,0),MATCH(H$4,폐업정보!$D$3:$R$3,0)),
"Error"))</f>
        <v>45533</v>
      </c>
      <c r="I957" s="75" t="str">
        <f aca="false">
IF($D957="정상",INDEX(임대자산!$D$3:$R$3000,MATCH($F957,임대자산!$I$3:$I$3000,0),MATCH(I$4,임대자산!$D$3:$R$3,0)),
IF($D957="폐업",INDEX(폐업정보!$D$3:$R$3000,MATCH($F957,폐업정보!$I$3:$I$3000,0),MATCH(I$4,폐업정보!$D$3:$R$3,0)),
"Error"))</f>
        <v>A0952</v>
      </c>
      <c r="J957" s="75" t="str">
        <f aca="false">
IF($D957="정상",INDEX(임대자산!$D$3:$R$3000,MATCH($F957,임대자산!$I$3:$I$3000,0),MATCH(J$4,임대자산!$D$3:$R$3,0)),
IF($D957="폐업",INDEX(폐업정보!$D$3:$R$3000,MATCH($F957,폐업정보!$I$3:$I$3000,0),MATCH(J$4,폐업정보!$D$3:$R$3,0)),
"Error"))</f>
        <v>9132700000</v>
      </c>
      <c r="K957" s="75" t="str">
        <f aca="false">
IF($D957="정상",INDEX(임대자산!$D$3:$R$3000,MATCH($F957,임대자산!$I$3:$I$3000,0),MATCH(K$4,임대자산!$D$3:$R$3,0)),
IF($D957="폐업",INDEX(폐업정보!$D$3:$R$3000,MATCH($F957,폐업정보!$I$3:$I$3000,0),MATCH(K$4,폐업정보!$D$3:$R$3,0)),
"Error"))</f>
        <v>C0952</v>
      </c>
      <c r="L957" s="75" t="str">
        <f aca="false">
IF($D957="정상",INDEX(임대자산!$D$3:$R$3000,MATCH($F957,임대자산!$I$3:$I$3000,0),MATCH(L$4,임대자산!$D$3:$R$3,0)),
IF($D957="폐업",INDEX(폐업정보!$D$3:$R$3000,MATCH($F957,폐업정보!$I$3:$I$3000,0),MATCH(L$4,폐업정보!$D$3:$R$3,0)),
"Error"))</f>
        <v>D0952</v>
      </c>
      <c r="M957" s="76" t="s">
        <v>96</v>
      </c>
      <c r="N957" s="77"/>
      <c r="O957" s="78" t="s">
        <v>97</v>
      </c>
      <c r="P957" s="79" t="n">
        <f aca="false">COUNTIFS(임대자산!$I:$I,가맹점정보!F957,임대자산!$N:$N,가맹점정보!P$4)</f>
        <v>0</v>
      </c>
      <c r="Q957" s="80" t="n">
        <f aca="false">COUNTIFS(임대자산!$I:$I,가맹점정보!F957,임대자산!$N:$N,가맹점정보!Q$4)</f>
        <v>0</v>
      </c>
      <c r="R957" s="81" t="n">
        <f aca="false">COUNTIFS(임대자산!$I:$I,가맹점정보!F957,임대자산!$N:$N,가맹점정보!R$4)</f>
        <v>1</v>
      </c>
      <c r="S957" s="82" t="n">
        <v>55000</v>
      </c>
      <c r="T957" s="83" t="n">
        <v>0</v>
      </c>
      <c r="U957" s="80" t="n">
        <f aca="false">SUM(S957:T957)</f>
        <v>55000</v>
      </c>
      <c r="V957" s="84" t="s">
        <v>12</v>
      </c>
      <c r="W957" s="80" t="e">
        <f aca="true">
IF(D957="폐업","폐업",
IF(V957="면제","면제",
IF(AND(V957="정상",COUNTIFS(OFFSET(Y957,0,COUNTA(Y957:AV957)-1,1,-4),"미납")&gt;=3),"장기미납",
IF(AND(V957="정상",OFFSET(Y957,0,COUNTA(Y957:AV957)-1)&gt;=U957),"정상",
IF(AND(V957="정상",OFFSET(Y957,0,COUNTA(Y957:AV957)-1)=0),"정상",
"계약서 미작성")))))</f>
        <v>#VALUE!</v>
      </c>
      <c r="X957" s="81" t="str">
        <f aca="true">
IF(D957="폐업","폐업",
IF(AND(V957="정상",OFFSET(Y957,0,COUNTA(Y957:AV957)-1)="미납"),"미납",
IF(AND(V957="정상",OFFSET(Y957,0,COUNTA(Y957:AV957)-1)=0),"납부 시작 전",
IF(AND(V957="정상",OFFSET(Y957,0,COUNTA(Y957:AV957)-1)&gt;=U957),"정상",
IF(AND(V957="면제",OFFSET(Y957,0,COUNTA(Y957:AV957)-1)="면제"),"면제",
IF(AND(V957="면제",OFFSET(Y957,0,COUNTA(Y957:AV957)-1)=0),"면제",
"확인요청"))))))</f>
        <v>정상</v>
      </c>
      <c r="Y957" s="93" t="n">
        <v>55000</v>
      </c>
      <c r="Z957" s="90" t="n">
        <v>55000</v>
      </c>
      <c r="AA957" s="90" t="n">
        <v>55000</v>
      </c>
      <c r="AB957" s="90" t="n">
        <v>55000</v>
      </c>
      <c r="AC957" s="90" t="n">
        <v>55000</v>
      </c>
      <c r="AD957" s="90" t="s">
        <v>100</v>
      </c>
      <c r="AE957" s="95" t="s">
        <v>7</v>
      </c>
      <c r="AF957" s="95" t="s">
        <v>7</v>
      </c>
      <c r="AG957" s="95" t="s">
        <v>7</v>
      </c>
      <c r="AH957" s="90" t="n">
        <v>110000</v>
      </c>
      <c r="AI957" s="90" t="n">
        <v>55000</v>
      </c>
      <c r="AJ957" s="91" t="n">
        <v>55000</v>
      </c>
      <c r="AK957" s="89" t="n">
        <v>55000</v>
      </c>
      <c r="AL957" s="90" t="n">
        <v>55000</v>
      </c>
      <c r="AM957" s="90"/>
      <c r="AN957" s="90"/>
      <c r="AO957" s="90"/>
      <c r="AP957" s="90"/>
      <c r="AQ957" s="90"/>
      <c r="AR957" s="90"/>
      <c r="AS957" s="90"/>
      <c r="AT957" s="90"/>
      <c r="AU957" s="90"/>
      <c r="AV957" s="91"/>
      <c r="AX957" s="92"/>
    </row>
    <row r="958" customFormat="false" ht="15.65" hidden="false" customHeight="false" outlineLevel="0" collapsed="false">
      <c r="C958" s="72" t="n">
        <f aca="false">COUNTIFS($D$6:D958,"&lt;&gt;"&amp;"")</f>
        <v>953</v>
      </c>
      <c r="D958" s="73" t="s">
        <v>12</v>
      </c>
      <c r="E958" s="76" t="str">
        <f aca="false">
IF($D958="정상",INDEX(임대자산!$D$3:$R$3000,MATCH($F958,임대자산!$I$3:$I$3000,0),MATCH(E$3,임대자산!$D$3:$R$3,0)),
IF($D958="폐업",INDEX(폐업정보!$D$3:$R$3000,MATCH($F958,폐업정보!$I$3:$I$3000,0),MATCH(E$3,폐업정보!$D$3:$R$3,0)),
"Error"))</f>
        <v>강원</v>
      </c>
      <c r="F95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B0953</v>
      </c>
      <c r="G958" s="76" t="str">
        <f aca="false">F958&amp;RANDBETWEEN(0,10)</f>
        <v>B09536</v>
      </c>
      <c r="H958" s="75" t="n">
        <f aca="false">
IF($D958="정상",INDEX(임대자산!$D$3:$R$3000,MATCH($F958,임대자산!$I$3:$I$3000,0),MATCH(H$4,임대자산!$D$3:$R$3,0)),
IF($D958="폐업",INDEX(폐업정보!$D$3:$R$3000,MATCH($F958,폐업정보!$I$3:$I$3000,0),MATCH(H$4,폐업정보!$D$3:$R$3,0)),
"Error"))</f>
        <v>45596</v>
      </c>
      <c r="I958" s="75" t="str">
        <f aca="false">
IF($D958="정상",INDEX(임대자산!$D$3:$R$3000,MATCH($F958,임대자산!$I$3:$I$3000,0),MATCH(I$4,임대자산!$D$3:$R$3,0)),
IF($D958="폐업",INDEX(폐업정보!$D$3:$R$3000,MATCH($F958,폐업정보!$I$3:$I$3000,0),MATCH(I$4,폐업정보!$D$3:$R$3,0)),
"Error"))</f>
        <v>A0953</v>
      </c>
      <c r="J958" s="75" t="str">
        <f aca="false">
IF($D958="정상",INDEX(임대자산!$D$3:$R$3000,MATCH($F958,임대자산!$I$3:$I$3000,0),MATCH(J$4,임대자산!$D$3:$R$3,0)),
IF($D958="폐업",INDEX(폐업정보!$D$3:$R$3000,MATCH($F958,폐업정보!$I$3:$I$3000,0),MATCH(J$4,폐업정보!$D$3:$R$3,0)),
"Error"))</f>
        <v>8976200000</v>
      </c>
      <c r="K958" s="75" t="str">
        <f aca="false">
IF($D958="정상",INDEX(임대자산!$D$3:$R$3000,MATCH($F958,임대자산!$I$3:$I$3000,0),MATCH(K$4,임대자산!$D$3:$R$3,0)),
IF($D958="폐업",INDEX(폐업정보!$D$3:$R$3000,MATCH($F958,폐업정보!$I$3:$I$3000,0),MATCH(K$4,폐업정보!$D$3:$R$3,0)),
"Error"))</f>
        <v>C0953</v>
      </c>
      <c r="L958" s="75" t="str">
        <f aca="false">
IF($D958="정상",INDEX(임대자산!$D$3:$R$3000,MATCH($F958,임대자산!$I$3:$I$3000,0),MATCH(L$4,임대자산!$D$3:$R$3,0)),
IF($D958="폐업",INDEX(폐업정보!$D$3:$R$3000,MATCH($F958,폐업정보!$I$3:$I$3000,0),MATCH(L$4,폐업정보!$D$3:$R$3,0)),
"Error"))</f>
        <v>D0953</v>
      </c>
      <c r="M958" s="76" t="s">
        <v>96</v>
      </c>
      <c r="N958" s="77"/>
      <c r="O958" s="78" t="s">
        <v>97</v>
      </c>
      <c r="P958" s="79" t="n">
        <f aca="false">COUNTIFS(임대자산!$I:$I,가맹점정보!F958,임대자산!$N:$N,가맹점정보!P$4)</f>
        <v>0</v>
      </c>
      <c r="Q958" s="80" t="n">
        <f aca="false">COUNTIFS(임대자산!$I:$I,가맹점정보!F958,임대자산!$N:$N,가맹점정보!Q$4)</f>
        <v>0</v>
      </c>
      <c r="R958" s="81" t="n">
        <f aca="false">COUNTIFS(임대자산!$I:$I,가맹점정보!F958,임대자산!$N:$N,가맹점정보!R$4)</f>
        <v>1</v>
      </c>
      <c r="S958" s="82" t="n">
        <v>55000</v>
      </c>
      <c r="T958" s="83" t="n">
        <v>0</v>
      </c>
      <c r="U958" s="80" t="n">
        <f aca="false">SUM(S958:T958)</f>
        <v>55000</v>
      </c>
      <c r="V958" s="84" t="s">
        <v>12</v>
      </c>
      <c r="W958" s="80" t="e">
        <f aca="true">
IF(D958="폐업","폐업",
IF(V958="면제","면제",
IF(AND(V958="정상",COUNTIFS(OFFSET(Y958,0,COUNTA(Y958:AV958)-1,1,-4),"미납")&gt;=3),"장기미납",
IF(AND(V958="정상",OFFSET(Y958,0,COUNTA(Y958:AV958)-1)&gt;=U958),"정상",
IF(AND(V958="정상",OFFSET(Y958,0,COUNTA(Y958:AV958)-1)=0),"정상",
"계약서 미작성")))))</f>
        <v>#VALUE!</v>
      </c>
      <c r="X958" s="81" t="str">
        <f aca="true">
IF(D958="폐업","폐업",
IF(AND(V958="정상",OFFSET(Y958,0,COUNTA(Y958:AV958)-1)="미납"),"미납",
IF(AND(V958="정상",OFFSET(Y958,0,COUNTA(Y958:AV958)-1)=0),"납부 시작 전",
IF(AND(V958="정상",OFFSET(Y958,0,COUNTA(Y958:AV958)-1)&gt;=U958),"정상",
IF(AND(V958="면제",OFFSET(Y958,0,COUNTA(Y958:AV958)-1)="면제"),"면제",
IF(AND(V958="면제",OFFSET(Y958,0,COUNTA(Y958:AV958)-1)=0),"면제",
"확인요청"))))))</f>
        <v>정상</v>
      </c>
      <c r="Y958" s="93" t="n">
        <v>55000</v>
      </c>
      <c r="Z958" s="90" t="n">
        <v>55000</v>
      </c>
      <c r="AA958" s="90" t="n">
        <v>55000</v>
      </c>
      <c r="AB958" s="90" t="n">
        <v>55000</v>
      </c>
      <c r="AC958" s="90" t="n">
        <v>55000</v>
      </c>
      <c r="AD958" s="90" t="n">
        <v>55000</v>
      </c>
      <c r="AE958" s="90" t="n">
        <v>55000</v>
      </c>
      <c r="AF958" s="90" t="n">
        <v>55000</v>
      </c>
      <c r="AG958" s="90" t="n">
        <v>55000</v>
      </c>
      <c r="AH958" s="90" t="n">
        <v>55000</v>
      </c>
      <c r="AI958" s="90" t="n">
        <v>55000</v>
      </c>
      <c r="AJ958" s="91" t="n">
        <v>55000</v>
      </c>
      <c r="AK958" s="97" t="s">
        <v>62</v>
      </c>
      <c r="AL958" s="90" t="n">
        <v>55000</v>
      </c>
      <c r="AM958" s="90"/>
      <c r="AN958" s="90"/>
      <c r="AO958" s="90"/>
      <c r="AP958" s="90"/>
      <c r="AQ958" s="90"/>
      <c r="AR958" s="90"/>
      <c r="AS958" s="90"/>
      <c r="AT958" s="90"/>
      <c r="AU958" s="90"/>
      <c r="AV958" s="91"/>
      <c r="AX958" s="92"/>
    </row>
    <row r="959" customFormat="false" ht="15.65" hidden="false" customHeight="false" outlineLevel="0" collapsed="false">
      <c r="C959" s="72" t="n">
        <f aca="false">COUNTIFS($D$6:D959,"&lt;&gt;"&amp;"")</f>
        <v>954</v>
      </c>
      <c r="D959" s="73" t="s">
        <v>12</v>
      </c>
      <c r="E959" s="76" t="str">
        <f aca="false">
IF($D959="정상",INDEX(임대자산!$D$3:$R$3000,MATCH($F959,임대자산!$I$3:$I$3000,0),MATCH(E$3,임대자산!$D$3:$R$3,0)),
IF($D959="폐업",INDEX(폐업정보!$D$3:$R$3000,MATCH($F959,폐업정보!$I$3:$I$3000,0),MATCH(E$3,폐업정보!$D$3:$R$3,0)),
"Error"))</f>
        <v>강원</v>
      </c>
      <c r="F95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B0954</v>
      </c>
      <c r="G959" s="76" t="str">
        <f aca="false">F959&amp;RANDBETWEEN(0,10)</f>
        <v>B09542</v>
      </c>
      <c r="H959" s="75" t="n">
        <f aca="false">
IF($D959="정상",INDEX(임대자산!$D$3:$R$3000,MATCH($F959,임대자산!$I$3:$I$3000,0),MATCH(H$4,임대자산!$D$3:$R$3,0)),
IF($D959="폐업",INDEX(폐업정보!$D$3:$R$3000,MATCH($F959,폐업정보!$I$3:$I$3000,0),MATCH(H$4,폐업정보!$D$3:$R$3,0)),
"Error"))</f>
        <v>45604</v>
      </c>
      <c r="I959" s="75" t="str">
        <f aca="false">
IF($D959="정상",INDEX(임대자산!$D$3:$R$3000,MATCH($F959,임대자산!$I$3:$I$3000,0),MATCH(I$4,임대자산!$D$3:$R$3,0)),
IF($D959="폐업",INDEX(폐업정보!$D$3:$R$3000,MATCH($F959,폐업정보!$I$3:$I$3000,0),MATCH(I$4,폐업정보!$D$3:$R$3,0)),
"Error"))</f>
        <v>A0954</v>
      </c>
      <c r="J959" s="75" t="str">
        <f aca="false">
IF($D959="정상",INDEX(임대자산!$D$3:$R$3000,MATCH($F959,임대자산!$I$3:$I$3000,0),MATCH(J$4,임대자산!$D$3:$R$3,0)),
IF($D959="폐업",INDEX(폐업정보!$D$3:$R$3000,MATCH($F959,폐업정보!$I$3:$I$3000,0),MATCH(J$4,폐업정보!$D$3:$R$3,0)),
"Error"))</f>
        <v>4464800000</v>
      </c>
      <c r="K959" s="75" t="str">
        <f aca="false">
IF($D959="정상",INDEX(임대자산!$D$3:$R$3000,MATCH($F959,임대자산!$I$3:$I$3000,0),MATCH(K$4,임대자산!$D$3:$R$3,0)),
IF($D959="폐업",INDEX(폐업정보!$D$3:$R$3000,MATCH($F959,폐업정보!$I$3:$I$3000,0),MATCH(K$4,폐업정보!$D$3:$R$3,0)),
"Error"))</f>
        <v>C0954</v>
      </c>
      <c r="L959" s="75" t="str">
        <f aca="false">
IF($D959="정상",INDEX(임대자산!$D$3:$R$3000,MATCH($F959,임대자산!$I$3:$I$3000,0),MATCH(L$4,임대자산!$D$3:$R$3,0)),
IF($D959="폐업",INDEX(폐업정보!$D$3:$R$3000,MATCH($F959,폐업정보!$I$3:$I$3000,0),MATCH(L$4,폐업정보!$D$3:$R$3,0)),
"Error"))</f>
        <v>D0954</v>
      </c>
      <c r="M959" s="76" t="s">
        <v>96</v>
      </c>
      <c r="N959" s="77"/>
      <c r="O959" s="78" t="s">
        <v>97</v>
      </c>
      <c r="P959" s="79" t="n">
        <f aca="false">COUNTIFS(임대자산!$I:$I,가맹점정보!F959,임대자산!$N:$N,가맹점정보!P$4)</f>
        <v>0</v>
      </c>
      <c r="Q959" s="80" t="n">
        <f aca="false">COUNTIFS(임대자산!$I:$I,가맹점정보!F959,임대자산!$N:$N,가맹점정보!Q$4)</f>
        <v>0</v>
      </c>
      <c r="R959" s="81" t="n">
        <f aca="false">COUNTIFS(임대자산!$I:$I,가맹점정보!F959,임대자산!$N:$N,가맹점정보!R$4)</f>
        <v>1</v>
      </c>
      <c r="S959" s="82" t="n">
        <v>55000</v>
      </c>
      <c r="T959" s="83" t="n">
        <v>0</v>
      </c>
      <c r="U959" s="80" t="n">
        <f aca="false">SUM(S959:T959)</f>
        <v>55000</v>
      </c>
      <c r="V959" s="84" t="s">
        <v>12</v>
      </c>
      <c r="W959" s="80" t="e">
        <f aca="true">
IF(D959="폐업","폐업",
IF(V959="면제","면제",
IF(AND(V959="정상",COUNTIFS(OFFSET(Y959,0,COUNTA(Y959:AV959)-1,1,-4),"미납")&gt;=3),"장기미납",
IF(AND(V959="정상",OFFSET(Y959,0,COUNTA(Y959:AV959)-1)&gt;=U959),"정상",
IF(AND(V959="정상",OFFSET(Y959,0,COUNTA(Y959:AV959)-1)=0),"정상",
"계약서 미작성")))))</f>
        <v>#VALUE!</v>
      </c>
      <c r="X959" s="81" t="str">
        <f aca="true">
IF(D959="폐업","폐업",
IF(AND(V959="정상",OFFSET(Y959,0,COUNTA(Y959:AV959)-1)="미납"),"미납",
IF(AND(V959="정상",OFFSET(Y959,0,COUNTA(Y959:AV959)-1)=0),"납부 시작 전",
IF(AND(V959="정상",OFFSET(Y959,0,COUNTA(Y959:AV959)-1)&gt;=U959),"정상",
IF(AND(V959="면제",OFFSET(Y959,0,COUNTA(Y959:AV959)-1)="면제"),"면제",
IF(AND(V959="면제",OFFSET(Y959,0,COUNTA(Y959:AV959)-1)=0),"면제",
"확인요청"))))))</f>
        <v>정상</v>
      </c>
      <c r="Y959" s="93" t="n">
        <v>55000</v>
      </c>
      <c r="Z959" s="90" t="n">
        <v>55000</v>
      </c>
      <c r="AA959" s="90" t="n">
        <v>55000</v>
      </c>
      <c r="AB959" s="90" t="n">
        <v>55000</v>
      </c>
      <c r="AC959" s="90" t="n">
        <v>55000</v>
      </c>
      <c r="AD959" s="90" t="n">
        <v>55000</v>
      </c>
      <c r="AE959" s="90" t="n">
        <v>55000</v>
      </c>
      <c r="AF959" s="90" t="n">
        <v>55000</v>
      </c>
      <c r="AG959" s="90" t="n">
        <v>55000</v>
      </c>
      <c r="AH959" s="90" t="n">
        <v>55000</v>
      </c>
      <c r="AI959" s="90" t="n">
        <v>55000</v>
      </c>
      <c r="AJ959" s="91" t="n">
        <v>55000</v>
      </c>
      <c r="AK959" s="89" t="n">
        <v>55000</v>
      </c>
      <c r="AL959" s="90" t="n">
        <v>55000</v>
      </c>
      <c r="AM959" s="90"/>
      <c r="AN959" s="90"/>
      <c r="AO959" s="90"/>
      <c r="AP959" s="90"/>
      <c r="AQ959" s="90"/>
      <c r="AR959" s="90"/>
      <c r="AS959" s="90"/>
      <c r="AT959" s="90"/>
      <c r="AU959" s="90"/>
      <c r="AV959" s="91"/>
      <c r="AX959" s="92"/>
    </row>
    <row r="960" customFormat="false" ht="15.65" hidden="false" customHeight="false" outlineLevel="0" collapsed="false">
      <c r="C960" s="72" t="n">
        <f aca="false">COUNTIFS($D$6:D960,"&lt;&gt;"&amp;"")</f>
        <v>955</v>
      </c>
      <c r="D960" s="73" t="s">
        <v>12</v>
      </c>
      <c r="E960" s="76" t="str">
        <f aca="false">
IF($D960="정상",INDEX(임대자산!$D$3:$R$3000,MATCH($F960,임대자산!$I$3:$I$3000,0),MATCH(E$3,임대자산!$D$3:$R$3,0)),
IF($D960="폐업",INDEX(폐업정보!$D$3:$R$3000,MATCH($F960,폐업정보!$I$3:$I$3000,0),MATCH(E$3,폐업정보!$D$3:$R$3,0)),
"Error"))</f>
        <v>강원</v>
      </c>
      <c r="F96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B0955</v>
      </c>
      <c r="G960" s="76" t="str">
        <f aca="false">F960&amp;RANDBETWEEN(0,10)</f>
        <v>B09556</v>
      </c>
      <c r="H960" s="75" t="n">
        <f aca="false">
IF($D960="정상",INDEX(임대자산!$D$3:$R$3000,MATCH($F960,임대자산!$I$3:$I$3000,0),MATCH(H$4,임대자산!$D$3:$R$3,0)),
IF($D960="폐업",INDEX(폐업정보!$D$3:$R$3000,MATCH($F960,폐업정보!$I$3:$I$3000,0),MATCH(H$4,폐업정보!$D$3:$R$3,0)),
"Error"))</f>
        <v>45615</v>
      </c>
      <c r="I960" s="75" t="str">
        <f aca="false">
IF($D960="정상",INDEX(임대자산!$D$3:$R$3000,MATCH($F960,임대자산!$I$3:$I$3000,0),MATCH(I$4,임대자산!$D$3:$R$3,0)),
IF($D960="폐업",INDEX(폐업정보!$D$3:$R$3000,MATCH($F960,폐업정보!$I$3:$I$3000,0),MATCH(I$4,폐업정보!$D$3:$R$3,0)),
"Error"))</f>
        <v>A0955</v>
      </c>
      <c r="J960" s="75" t="str">
        <f aca="false">
IF($D960="정상",INDEX(임대자산!$D$3:$R$3000,MATCH($F960,임대자산!$I$3:$I$3000,0),MATCH(J$4,임대자산!$D$3:$R$3,0)),
IF($D960="폐업",INDEX(폐업정보!$D$3:$R$3000,MATCH($F960,폐업정보!$I$3:$I$3000,0),MATCH(J$4,폐업정보!$D$3:$R$3,0)),
"Error"))</f>
        <v>1246800000</v>
      </c>
      <c r="K960" s="75" t="str">
        <f aca="false">
IF($D960="정상",INDEX(임대자산!$D$3:$R$3000,MATCH($F960,임대자산!$I$3:$I$3000,0),MATCH(K$4,임대자산!$D$3:$R$3,0)),
IF($D960="폐업",INDEX(폐업정보!$D$3:$R$3000,MATCH($F960,폐업정보!$I$3:$I$3000,0),MATCH(K$4,폐업정보!$D$3:$R$3,0)),
"Error"))</f>
        <v>C0955</v>
      </c>
      <c r="L960" s="75" t="str">
        <f aca="false">
IF($D960="정상",INDEX(임대자산!$D$3:$R$3000,MATCH($F960,임대자산!$I$3:$I$3000,0),MATCH(L$4,임대자산!$D$3:$R$3,0)),
IF($D960="폐업",INDEX(폐업정보!$D$3:$R$3000,MATCH($F960,폐업정보!$I$3:$I$3000,0),MATCH(L$4,폐업정보!$D$3:$R$3,0)),
"Error"))</f>
        <v>D0955</v>
      </c>
      <c r="M960" s="76" t="s">
        <v>96</v>
      </c>
      <c r="N960" s="77"/>
      <c r="O960" s="78" t="s">
        <v>97</v>
      </c>
      <c r="P960" s="79" t="n">
        <f aca="false">COUNTIFS(임대자산!$I:$I,가맹점정보!F960,임대자산!$N:$N,가맹점정보!P$4)</f>
        <v>0</v>
      </c>
      <c r="Q960" s="80" t="n">
        <f aca="false">COUNTIFS(임대자산!$I:$I,가맹점정보!F960,임대자산!$N:$N,가맹점정보!Q$4)</f>
        <v>0</v>
      </c>
      <c r="R960" s="81" t="n">
        <f aca="false">COUNTIFS(임대자산!$I:$I,가맹점정보!F960,임대자산!$N:$N,가맹점정보!R$4)</f>
        <v>1</v>
      </c>
      <c r="S960" s="82" t="n">
        <v>88000</v>
      </c>
      <c r="T960" s="83" t="n">
        <v>0</v>
      </c>
      <c r="U960" s="80" t="n">
        <f aca="false">SUM(S960:T960)</f>
        <v>88000</v>
      </c>
      <c r="V960" s="84" t="s">
        <v>7</v>
      </c>
      <c r="W960" s="80" t="str">
        <f aca="true">
IF(D960="폐업","폐업",
IF(V960="면제","면제",
IF(AND(V960="정상",COUNTIFS(OFFSET(Y960,0,COUNTA(Y960:AV960)-1,1,-4),"미납")&gt;=3),"장기미납",
IF(AND(V960="정상",OFFSET(Y960,0,COUNTA(Y960:AV960)-1)&gt;=U960),"정상",
IF(AND(V960="정상",OFFSET(Y960,0,COUNTA(Y960:AV960)-1)=0),"정상",
"계약서 미작성")))))</f>
        <v>면제</v>
      </c>
      <c r="X960" s="81" t="str">
        <f aca="true">
IF(D960="폐업","폐업",
IF(AND(V960="정상",OFFSET(Y960,0,COUNTA(Y960:AV960)-1)="미납"),"미납",
IF(AND(V960="정상",OFFSET(Y960,0,COUNTA(Y960:AV960)-1)=0),"납부 시작 전",
IF(AND(V960="정상",OFFSET(Y960,0,COUNTA(Y960:AV960)-1)&gt;=U960),"정상",
IF(AND(V960="면제",OFFSET(Y960,0,COUNTA(Y960:AV960)-1)="면제"),"면제",
IF(AND(V960="면제",OFFSET(Y960,0,COUNTA(Y960:AV960)-1)=0),"면제",
"확인요청"))))))</f>
        <v>면제</v>
      </c>
      <c r="Y960" s="94" t="s">
        <v>7</v>
      </c>
      <c r="Z960" s="95" t="s">
        <v>7</v>
      </c>
      <c r="AA960" s="95" t="s">
        <v>7</v>
      </c>
      <c r="AB960" s="95" t="s">
        <v>7</v>
      </c>
      <c r="AC960" s="95" t="s">
        <v>7</v>
      </c>
      <c r="AD960" s="95" t="s">
        <v>7</v>
      </c>
      <c r="AE960" s="95" t="s">
        <v>7</v>
      </c>
      <c r="AF960" s="95" t="s">
        <v>7</v>
      </c>
      <c r="AG960" s="95" t="s">
        <v>7</v>
      </c>
      <c r="AH960" s="95" t="s">
        <v>7</v>
      </c>
      <c r="AI960" s="95" t="s">
        <v>7</v>
      </c>
      <c r="AJ960" s="96" t="s">
        <v>7</v>
      </c>
      <c r="AK960" s="97" t="s">
        <v>7</v>
      </c>
      <c r="AL960" s="95" t="s">
        <v>7</v>
      </c>
      <c r="AM960" s="90"/>
      <c r="AN960" s="90"/>
      <c r="AO960" s="90"/>
      <c r="AP960" s="90"/>
      <c r="AQ960" s="90"/>
      <c r="AR960" s="90"/>
      <c r="AS960" s="90"/>
      <c r="AT960" s="90"/>
      <c r="AU960" s="90"/>
      <c r="AV960" s="91"/>
      <c r="AX960" s="92"/>
    </row>
    <row r="961" customFormat="false" ht="15.65" hidden="false" customHeight="false" outlineLevel="0" collapsed="false">
      <c r="C961" s="72" t="n">
        <f aca="false">COUNTIFS($D$6:D961,"&lt;&gt;"&amp;"")</f>
        <v>956</v>
      </c>
      <c r="D961" s="73" t="s">
        <v>12</v>
      </c>
      <c r="E961" s="76" t="str">
        <f aca="false">
IF($D961="정상",INDEX(임대자산!$D$3:$R$3000,MATCH($F961,임대자산!$I$3:$I$3000,0),MATCH(E$3,임대자산!$D$3:$R$3,0)),
IF($D961="폐업",INDEX(폐업정보!$D$3:$R$3000,MATCH($F961,폐업정보!$I$3:$I$3000,0),MATCH(E$3,폐업정보!$D$3:$R$3,0)),
"Error"))</f>
        <v>강원</v>
      </c>
      <c r="F96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B0956</v>
      </c>
      <c r="G961" s="76" t="str">
        <f aca="false">F961&amp;RANDBETWEEN(0,10)</f>
        <v>B09561</v>
      </c>
      <c r="H961" s="75" t="n">
        <f aca="false">
IF($D961="정상",INDEX(임대자산!$D$3:$R$3000,MATCH($F961,임대자산!$I$3:$I$3000,0),MATCH(H$4,임대자산!$D$3:$R$3,0)),
IF($D961="폐업",INDEX(폐업정보!$D$3:$R$3000,MATCH($F961,폐업정보!$I$3:$I$3000,0),MATCH(H$4,폐업정보!$D$3:$R$3,0)),
"Error"))</f>
        <v>45615</v>
      </c>
      <c r="I961" s="75" t="str">
        <f aca="false">
IF($D961="정상",INDEX(임대자산!$D$3:$R$3000,MATCH($F961,임대자산!$I$3:$I$3000,0),MATCH(I$4,임대자산!$D$3:$R$3,0)),
IF($D961="폐업",INDEX(폐업정보!$D$3:$R$3000,MATCH($F961,폐업정보!$I$3:$I$3000,0),MATCH(I$4,폐업정보!$D$3:$R$3,0)),
"Error"))</f>
        <v>A0956</v>
      </c>
      <c r="J961" s="75" t="str">
        <f aca="false">
IF($D961="정상",INDEX(임대자산!$D$3:$R$3000,MATCH($F961,임대자산!$I$3:$I$3000,0),MATCH(J$4,임대자산!$D$3:$R$3,0)),
IF($D961="폐업",INDEX(폐업정보!$D$3:$R$3000,MATCH($F961,폐업정보!$I$3:$I$3000,0),MATCH(J$4,폐업정보!$D$3:$R$3,0)),
"Error"))</f>
        <v>8096400000</v>
      </c>
      <c r="K961" s="75" t="str">
        <f aca="false">
IF($D961="정상",INDEX(임대자산!$D$3:$R$3000,MATCH($F961,임대자산!$I$3:$I$3000,0),MATCH(K$4,임대자산!$D$3:$R$3,0)),
IF($D961="폐업",INDEX(폐업정보!$D$3:$R$3000,MATCH($F961,폐업정보!$I$3:$I$3000,0),MATCH(K$4,폐업정보!$D$3:$R$3,0)),
"Error"))</f>
        <v>C0956</v>
      </c>
      <c r="L961" s="75" t="str">
        <f aca="false">
IF($D961="정상",INDEX(임대자산!$D$3:$R$3000,MATCH($F961,임대자산!$I$3:$I$3000,0),MATCH(L$4,임대자산!$D$3:$R$3,0)),
IF($D961="폐업",INDEX(폐업정보!$D$3:$R$3000,MATCH($F961,폐업정보!$I$3:$I$3000,0),MATCH(L$4,폐업정보!$D$3:$R$3,0)),
"Error"))</f>
        <v>D0956</v>
      </c>
      <c r="M961" s="76" t="s">
        <v>96</v>
      </c>
      <c r="N961" s="77"/>
      <c r="O961" s="78" t="s">
        <v>97</v>
      </c>
      <c r="P961" s="79" t="n">
        <f aca="false">COUNTIFS(임대자산!$I:$I,가맹점정보!F961,임대자산!$N:$N,가맹점정보!P$4)</f>
        <v>0</v>
      </c>
      <c r="Q961" s="80" t="n">
        <f aca="false">COUNTIFS(임대자산!$I:$I,가맹점정보!F961,임대자산!$N:$N,가맹점정보!Q$4)</f>
        <v>0</v>
      </c>
      <c r="R961" s="81" t="n">
        <f aca="false">COUNTIFS(임대자산!$I:$I,가맹점정보!F961,임대자산!$N:$N,가맹점정보!R$4)</f>
        <v>1</v>
      </c>
      <c r="S961" s="82" t="n">
        <v>88000</v>
      </c>
      <c r="T961" s="83" t="n">
        <v>0</v>
      </c>
      <c r="U961" s="80" t="n">
        <f aca="false">SUM(S961:T961)</f>
        <v>88000</v>
      </c>
      <c r="V961" s="84" t="s">
        <v>7</v>
      </c>
      <c r="W961" s="80" t="str">
        <f aca="true">
IF(D961="폐업","폐업",
IF(V961="면제","면제",
IF(AND(V961="정상",COUNTIFS(OFFSET(Y961,0,COUNTA(Y961:AV961)-1,1,-4),"미납")&gt;=3),"장기미납",
IF(AND(V961="정상",OFFSET(Y961,0,COUNTA(Y961:AV961)-1)&gt;=U961),"정상",
IF(AND(V961="정상",OFFSET(Y961,0,COUNTA(Y961:AV961)-1)=0),"정상",
"계약서 미작성")))))</f>
        <v>면제</v>
      </c>
      <c r="X961" s="81" t="str">
        <f aca="true">
IF(D961="폐업","폐업",
IF(AND(V961="정상",OFFSET(Y961,0,COUNTA(Y961:AV961)-1)="미납"),"미납",
IF(AND(V961="정상",OFFSET(Y961,0,COUNTA(Y961:AV961)-1)=0),"납부 시작 전",
IF(AND(V961="정상",OFFSET(Y961,0,COUNTA(Y961:AV961)-1)&gt;=U961),"정상",
IF(AND(V961="면제",OFFSET(Y961,0,COUNTA(Y961:AV961)-1)="면제"),"면제",
IF(AND(V961="면제",OFFSET(Y961,0,COUNTA(Y961:AV961)-1)=0),"면제",
"확인요청"))))))</f>
        <v>면제</v>
      </c>
      <c r="Y961" s="94" t="s">
        <v>7</v>
      </c>
      <c r="Z961" s="95" t="s">
        <v>7</v>
      </c>
      <c r="AA961" s="95" t="s">
        <v>7</v>
      </c>
      <c r="AB961" s="95" t="s">
        <v>7</v>
      </c>
      <c r="AC961" s="95" t="s">
        <v>7</v>
      </c>
      <c r="AD961" s="95" t="s">
        <v>7</v>
      </c>
      <c r="AE961" s="95" t="s">
        <v>7</v>
      </c>
      <c r="AF961" s="95" t="s">
        <v>7</v>
      </c>
      <c r="AG961" s="95" t="s">
        <v>7</v>
      </c>
      <c r="AH961" s="95" t="s">
        <v>7</v>
      </c>
      <c r="AI961" s="95" t="s">
        <v>7</v>
      </c>
      <c r="AJ961" s="96" t="s">
        <v>7</v>
      </c>
      <c r="AK961" s="97" t="s">
        <v>7</v>
      </c>
      <c r="AL961" s="95" t="s">
        <v>7</v>
      </c>
      <c r="AM961" s="90"/>
      <c r="AN961" s="90"/>
      <c r="AO961" s="90"/>
      <c r="AP961" s="90"/>
      <c r="AQ961" s="90"/>
      <c r="AR961" s="90"/>
      <c r="AS961" s="90"/>
      <c r="AT961" s="90"/>
      <c r="AU961" s="90"/>
      <c r="AV961" s="91"/>
      <c r="AX961" s="92"/>
    </row>
    <row r="962" customFormat="false" ht="15.65" hidden="false" customHeight="false" outlineLevel="0" collapsed="false">
      <c r="C962" s="72" t="n">
        <f aca="false">COUNTIFS($D$6:D962,"&lt;&gt;"&amp;"")</f>
        <v>957</v>
      </c>
      <c r="D962" s="73" t="s">
        <v>5</v>
      </c>
      <c r="E962" s="76" t="str">
        <f aca="false">
IF($D962="정상",INDEX(임대자산!$D$3:$R$3000,MATCH($F962,임대자산!$I$3:$I$3000,0),MATCH(E$3,임대자산!$D$3:$R$3,0)),
IF($D962="폐업",INDEX(폐업정보!$D$3:$R$3000,MATCH($F962,폐업정보!$I$3:$I$3000,0),MATCH(E$3,폐업정보!$D$3:$R$3,0)),
"Error"))</f>
        <v>강원</v>
      </c>
      <c r="F96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B0957</v>
      </c>
      <c r="G962" s="76" t="str">
        <f aca="false">F962&amp;RANDBETWEEN(0,10)</f>
        <v>B09579</v>
      </c>
      <c r="H962" s="75" t="n">
        <f aca="false">
IF($D962="정상",INDEX(임대자산!$D$3:$R$3000,MATCH($F962,임대자산!$I$3:$I$3000,0),MATCH(H$4,임대자산!$D$3:$R$3,0)),
IF($D962="폐업",INDEX(폐업정보!$D$3:$R$3000,MATCH($F962,폐업정보!$I$3:$I$3000,0),MATCH(H$4,폐업정보!$D$3:$R$3,0)),
"Error"))</f>
        <v>45615</v>
      </c>
      <c r="I962" s="75" t="str">
        <f aca="false">
IF($D962="정상",INDEX(임대자산!$D$3:$R$3000,MATCH($F962,임대자산!$I$3:$I$3000,0),MATCH(I$4,임대자산!$D$3:$R$3,0)),
IF($D962="폐업",INDEX(폐업정보!$D$3:$R$3000,MATCH($F962,폐업정보!$I$3:$I$3000,0),MATCH(I$4,폐업정보!$D$3:$R$3,0)),
"Error"))</f>
        <v>A0957</v>
      </c>
      <c r="J962" s="75" t="str">
        <f aca="false">
IF($D962="정상",INDEX(임대자산!$D$3:$R$3000,MATCH($F962,임대자산!$I$3:$I$3000,0),MATCH(J$4,임대자산!$D$3:$R$3,0)),
IF($D962="폐업",INDEX(폐업정보!$D$3:$R$3000,MATCH($F962,폐업정보!$I$3:$I$3000,0),MATCH(J$4,폐업정보!$D$3:$R$3,0)),
"Error"))</f>
        <v>7017500000</v>
      </c>
      <c r="K962" s="75" t="str">
        <f aca="false">
IF($D962="정상",INDEX(임대자산!$D$3:$R$3000,MATCH($F962,임대자산!$I$3:$I$3000,0),MATCH(K$4,임대자산!$D$3:$R$3,0)),
IF($D962="폐업",INDEX(폐업정보!$D$3:$R$3000,MATCH($F962,폐업정보!$I$3:$I$3000,0),MATCH(K$4,폐업정보!$D$3:$R$3,0)),
"Error"))</f>
        <v>C0957</v>
      </c>
      <c r="L962" s="75" t="str">
        <f aca="false">
IF($D962="정상",INDEX(임대자산!$D$3:$R$3000,MATCH($F962,임대자산!$I$3:$I$3000,0),MATCH(L$4,임대자산!$D$3:$R$3,0)),
IF($D962="폐업",INDEX(폐업정보!$D$3:$R$3000,MATCH($F962,폐업정보!$I$3:$I$3000,0),MATCH(L$4,폐업정보!$D$3:$R$3,0)),
"Error"))</f>
        <v>D0957</v>
      </c>
      <c r="M962" s="76" t="s">
        <v>96</v>
      </c>
      <c r="N962" s="77"/>
      <c r="O962" s="78" t="s">
        <v>97</v>
      </c>
      <c r="P962" s="79" t="n">
        <f aca="false">COUNTIFS(임대자산!$I:$I,가맹점정보!F962,임대자산!$N:$N,가맹점정보!P$4)</f>
        <v>0</v>
      </c>
      <c r="Q962" s="80" t="n">
        <f aca="false">COUNTIFS(임대자산!$I:$I,가맹점정보!F962,임대자산!$N:$N,가맹점정보!Q$4)</f>
        <v>0</v>
      </c>
      <c r="R962" s="81" t="n">
        <f aca="false">COUNTIFS(임대자산!$I:$I,가맹점정보!F962,임대자산!$N:$N,가맹점정보!R$4)</f>
        <v>0</v>
      </c>
      <c r="S962" s="82" t="n">
        <v>55000</v>
      </c>
      <c r="T962" s="83" t="n">
        <v>0</v>
      </c>
      <c r="U962" s="80" t="n">
        <f aca="false">SUM(S962:T962)</f>
        <v>55000</v>
      </c>
      <c r="V962" s="84" t="s">
        <v>12</v>
      </c>
      <c r="W962" s="80" t="str">
        <f aca="true">
IF(D962="폐업","폐업",
IF(V962="면제","면제",
IF(AND(V962="정상",COUNTIFS(OFFSET(Y962,0,COUNTA(Y962:AV962)-1,1,-4),"미납")&gt;=3),"장기미납",
IF(AND(V962="정상",OFFSET(Y962,0,COUNTA(Y962:AV962)-1)&gt;=U962),"정상",
IF(AND(V962="정상",OFFSET(Y962,0,COUNTA(Y962:AV962)-1)=0),"정상",
"계약서 미작성")))))</f>
        <v>폐업</v>
      </c>
      <c r="X962" s="81" t="str">
        <f aca="true">
IF(D962="폐업","폐업",
IF(AND(V962="정상",OFFSET(Y962,0,COUNTA(Y962:AV962)-1)="미납"),"미납",
IF(AND(V962="정상",OFFSET(Y962,0,COUNTA(Y962:AV962)-1)=0),"납부 시작 전",
IF(AND(V962="정상",OFFSET(Y962,0,COUNTA(Y962:AV962)-1)&gt;=U962),"정상",
IF(AND(V962="면제",OFFSET(Y962,0,COUNTA(Y962:AV962)-1)="면제"),"면제",
IF(AND(V962="면제",OFFSET(Y962,0,COUNTA(Y962:AV962)-1)=0),"면제",
"확인요청"))))))</f>
        <v>폐업</v>
      </c>
      <c r="Y962" s="93" t="n">
        <v>55000</v>
      </c>
      <c r="Z962" s="90" t="n">
        <v>55000</v>
      </c>
      <c r="AA962" s="90" t="n">
        <v>55000</v>
      </c>
      <c r="AB962" s="90" t="n">
        <v>55000</v>
      </c>
      <c r="AC962" s="90" t="n">
        <v>55000</v>
      </c>
      <c r="AD962" s="90" t="n">
        <v>55000</v>
      </c>
      <c r="AE962" s="90" t="n">
        <v>55000</v>
      </c>
      <c r="AF962" s="90" t="n">
        <v>55000</v>
      </c>
      <c r="AG962" s="90" t="n">
        <v>55000</v>
      </c>
      <c r="AH962" s="90" t="n">
        <v>55000</v>
      </c>
      <c r="AI962" s="90" t="n">
        <v>55000</v>
      </c>
      <c r="AJ962" s="91" t="n">
        <v>55000</v>
      </c>
      <c r="AK962" s="89" t="n">
        <v>55000</v>
      </c>
      <c r="AL962" s="90" t="n">
        <v>55000</v>
      </c>
      <c r="AM962" s="90"/>
      <c r="AN962" s="90"/>
      <c r="AO962" s="90"/>
      <c r="AP962" s="90"/>
      <c r="AQ962" s="90"/>
      <c r="AR962" s="90"/>
      <c r="AS962" s="90"/>
      <c r="AT962" s="90"/>
      <c r="AU962" s="90"/>
      <c r="AV962" s="91"/>
      <c r="AX962" s="92"/>
    </row>
    <row r="963" customFormat="false" ht="15.65" hidden="false" customHeight="false" outlineLevel="0" collapsed="false">
      <c r="C963" s="72" t="n">
        <f aca="false">COUNTIFS($D$6:D963,"&lt;&gt;"&amp;"")</f>
        <v>958</v>
      </c>
      <c r="D963" s="73" t="s">
        <v>12</v>
      </c>
      <c r="E963" s="76" t="str">
        <f aca="false">
IF($D963="정상",INDEX(임대자산!$D$3:$R$3000,MATCH($F963,임대자산!$I$3:$I$3000,0),MATCH(E$3,임대자산!$D$3:$R$3,0)),
IF($D963="폐업",INDEX(폐업정보!$D$3:$R$3000,MATCH($F963,폐업정보!$I$3:$I$3000,0),MATCH(E$3,폐업정보!$D$3:$R$3,0)),
"Error"))</f>
        <v>서울</v>
      </c>
      <c r="F96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B0958</v>
      </c>
      <c r="G963" s="76" t="str">
        <f aca="false">F963&amp;RANDBETWEEN(0,10)</f>
        <v>B09580</v>
      </c>
      <c r="H963" s="75" t="n">
        <f aca="false">
IF($D963="정상",INDEX(임대자산!$D$3:$R$3000,MATCH($F963,임대자산!$I$3:$I$3000,0),MATCH(H$4,임대자산!$D$3:$R$3,0)),
IF($D963="폐업",INDEX(폐업정보!$D$3:$R$3000,MATCH($F963,폐업정보!$I$3:$I$3000,0),MATCH(H$4,폐업정보!$D$3:$R$3,0)),
"Error"))</f>
        <v>45678</v>
      </c>
      <c r="I963" s="75" t="str">
        <f aca="false">
IF($D963="정상",INDEX(임대자산!$D$3:$R$3000,MATCH($F963,임대자산!$I$3:$I$3000,0),MATCH(I$4,임대자산!$D$3:$R$3,0)),
IF($D963="폐업",INDEX(폐업정보!$D$3:$R$3000,MATCH($F963,폐업정보!$I$3:$I$3000,0),MATCH(I$4,폐업정보!$D$3:$R$3,0)),
"Error"))</f>
        <v>A0958</v>
      </c>
      <c r="J963" s="75" t="str">
        <f aca="false">
IF($D963="정상",INDEX(임대자산!$D$3:$R$3000,MATCH($F963,임대자산!$I$3:$I$3000,0),MATCH(J$4,임대자산!$D$3:$R$3,0)),
IF($D963="폐업",INDEX(폐업정보!$D$3:$R$3000,MATCH($F963,폐업정보!$I$3:$I$3000,0),MATCH(J$4,폐업정보!$D$3:$R$3,0)),
"Error"))</f>
        <v>9599700000</v>
      </c>
      <c r="K963" s="75" t="str">
        <f aca="false">
IF($D963="정상",INDEX(임대자산!$D$3:$R$3000,MATCH($F963,임대자산!$I$3:$I$3000,0),MATCH(K$4,임대자산!$D$3:$R$3,0)),
IF($D963="폐업",INDEX(폐업정보!$D$3:$R$3000,MATCH($F963,폐업정보!$I$3:$I$3000,0),MATCH(K$4,폐업정보!$D$3:$R$3,0)),
"Error"))</f>
        <v>C0958</v>
      </c>
      <c r="L963" s="75" t="str">
        <f aca="false">
IF($D963="정상",INDEX(임대자산!$D$3:$R$3000,MATCH($F963,임대자산!$I$3:$I$3000,0),MATCH(L$4,임대자산!$D$3:$R$3,0)),
IF($D963="폐업",INDEX(폐업정보!$D$3:$R$3000,MATCH($F963,폐업정보!$I$3:$I$3000,0),MATCH(L$4,폐업정보!$D$3:$R$3,0)),
"Error"))</f>
        <v>D0958</v>
      </c>
      <c r="M963" s="76" t="s">
        <v>96</v>
      </c>
      <c r="N963" s="77"/>
      <c r="O963" s="78" t="s">
        <v>97</v>
      </c>
      <c r="P963" s="79" t="n">
        <f aca="false">COUNTIFS(임대자산!$I:$I,가맹점정보!F963,임대자산!$N:$N,가맹점정보!P$4)</f>
        <v>0</v>
      </c>
      <c r="Q963" s="80" t="n">
        <f aca="false">COUNTIFS(임대자산!$I:$I,가맹점정보!F963,임대자산!$N:$N,가맹점정보!Q$4)</f>
        <v>0</v>
      </c>
      <c r="R963" s="81" t="n">
        <f aca="false">COUNTIFS(임대자산!$I:$I,가맹점정보!F963,임대자산!$N:$N,가맹점정보!R$4)</f>
        <v>1</v>
      </c>
      <c r="S963" s="82" t="n">
        <v>88000</v>
      </c>
      <c r="T963" s="83" t="n">
        <v>0</v>
      </c>
      <c r="U963" s="80" t="n">
        <f aca="false">SUM(S963:T963)</f>
        <v>88000</v>
      </c>
      <c r="V963" s="84" t="s">
        <v>12</v>
      </c>
      <c r="W963" s="80" t="e">
        <f aca="true">
IF(D963="폐업","폐업",
IF(V963="면제","면제",
IF(AND(V963="정상",COUNTIFS(OFFSET(Y963,0,COUNTA(Y963:AV963)-1,1,-4),"미납")&gt;=3),"장기미납",
IF(AND(V963="정상",OFFSET(Y963,0,COUNTA(Y963:AV963)-1)&gt;=U963),"정상",
IF(AND(V963="정상",OFFSET(Y963,0,COUNTA(Y963:AV963)-1)=0),"정상",
"계약서 미작성")))))</f>
        <v>#VALUE!</v>
      </c>
      <c r="X963" s="81" t="str">
        <f aca="true">
IF(D963="폐업","폐업",
IF(AND(V963="정상",OFFSET(Y963,0,COUNTA(Y963:AV963)-1)="미납"),"미납",
IF(AND(V963="정상",OFFSET(Y963,0,COUNTA(Y963:AV963)-1)=0),"납부 시작 전",
IF(AND(V963="정상",OFFSET(Y963,0,COUNTA(Y963:AV963)-1)&gt;=U963),"정상",
IF(AND(V963="면제",OFFSET(Y963,0,COUNTA(Y963:AV963)-1)="면제"),"면제",
IF(AND(V963="면제",OFFSET(Y963,0,COUNTA(Y963:AV963)-1)=0),"면제",
"확인요청"))))))</f>
        <v>정상</v>
      </c>
      <c r="Y963" s="93" t="n">
        <v>88000</v>
      </c>
      <c r="Z963" s="90" t="n">
        <v>88000</v>
      </c>
      <c r="AA963" s="90" t="n">
        <v>88000</v>
      </c>
      <c r="AB963" s="90" t="n">
        <v>88000</v>
      </c>
      <c r="AC963" s="90" t="n">
        <v>88000</v>
      </c>
      <c r="AD963" s="90" t="n">
        <v>88000</v>
      </c>
      <c r="AE963" s="90" t="n">
        <v>88000</v>
      </c>
      <c r="AF963" s="90" t="n">
        <v>88000</v>
      </c>
      <c r="AG963" s="90" t="n">
        <v>88000</v>
      </c>
      <c r="AH963" s="90" t="n">
        <v>88000</v>
      </c>
      <c r="AI963" s="90" t="n">
        <v>88000</v>
      </c>
      <c r="AJ963" s="91" t="n">
        <v>88000</v>
      </c>
      <c r="AK963" s="89" t="n">
        <v>88000</v>
      </c>
      <c r="AL963" s="90" t="n">
        <v>88000</v>
      </c>
      <c r="AM963" s="90"/>
      <c r="AN963" s="90"/>
      <c r="AO963" s="90"/>
      <c r="AP963" s="90"/>
      <c r="AQ963" s="90"/>
      <c r="AR963" s="90"/>
      <c r="AS963" s="90"/>
      <c r="AT963" s="90"/>
      <c r="AU963" s="90"/>
      <c r="AV963" s="91"/>
      <c r="AX963" s="92"/>
    </row>
    <row r="964" customFormat="false" ht="15.65" hidden="false" customHeight="false" outlineLevel="0" collapsed="false">
      <c r="C964" s="72" t="n">
        <f aca="false">COUNTIFS($D$6:D964,"&lt;&gt;"&amp;"")</f>
        <v>959</v>
      </c>
      <c r="D964" s="73" t="s">
        <v>12</v>
      </c>
      <c r="E964" s="76" t="str">
        <f aca="false">
IF($D964="정상",INDEX(임대자산!$D$3:$R$3000,MATCH($F964,임대자산!$I$3:$I$3000,0),MATCH(E$3,임대자산!$D$3:$R$3,0)),
IF($D964="폐업",INDEX(폐업정보!$D$3:$R$3000,MATCH($F964,폐업정보!$I$3:$I$3000,0),MATCH(E$3,폐업정보!$D$3:$R$3,0)),
"Error"))</f>
        <v>서울</v>
      </c>
      <c r="F96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B0959</v>
      </c>
      <c r="G964" s="76" t="str">
        <f aca="false">F964&amp;RANDBETWEEN(0,10)</f>
        <v>B09594</v>
      </c>
      <c r="H964" s="75" t="n">
        <f aca="false">
IF($D964="정상",INDEX(임대자산!$D$3:$R$3000,MATCH($F964,임대자산!$I$3:$I$3000,0),MATCH(H$4,임대자산!$D$3:$R$3,0)),
IF($D964="폐업",INDEX(폐업정보!$D$3:$R$3000,MATCH($F964,폐업정보!$I$3:$I$3000,0),MATCH(H$4,폐업정보!$D$3:$R$3,0)),
"Error"))</f>
        <v>45672</v>
      </c>
      <c r="I964" s="75" t="str">
        <f aca="false">
IF($D964="정상",INDEX(임대자산!$D$3:$R$3000,MATCH($F964,임대자산!$I$3:$I$3000,0),MATCH(I$4,임대자산!$D$3:$R$3,0)),
IF($D964="폐업",INDEX(폐업정보!$D$3:$R$3000,MATCH($F964,폐업정보!$I$3:$I$3000,0),MATCH(I$4,폐업정보!$D$3:$R$3,0)),
"Error"))</f>
        <v>A0959</v>
      </c>
      <c r="J964" s="75" t="str">
        <f aca="false">
IF($D964="정상",INDEX(임대자산!$D$3:$R$3000,MATCH($F964,임대자산!$I$3:$I$3000,0),MATCH(J$4,임대자산!$D$3:$R$3,0)),
IF($D964="폐업",INDEX(폐업정보!$D$3:$R$3000,MATCH($F964,폐업정보!$I$3:$I$3000,0),MATCH(J$4,폐업정보!$D$3:$R$3,0)),
"Error"))</f>
        <v>6607000000</v>
      </c>
      <c r="K964" s="75" t="str">
        <f aca="false">
IF($D964="정상",INDEX(임대자산!$D$3:$R$3000,MATCH($F964,임대자산!$I$3:$I$3000,0),MATCH(K$4,임대자산!$D$3:$R$3,0)),
IF($D964="폐업",INDEX(폐업정보!$D$3:$R$3000,MATCH($F964,폐업정보!$I$3:$I$3000,0),MATCH(K$4,폐업정보!$D$3:$R$3,0)),
"Error"))</f>
        <v>C0959</v>
      </c>
      <c r="L964" s="75" t="str">
        <f aca="false">
IF($D964="정상",INDEX(임대자산!$D$3:$R$3000,MATCH($F964,임대자산!$I$3:$I$3000,0),MATCH(L$4,임대자산!$D$3:$R$3,0)),
IF($D964="폐업",INDEX(폐업정보!$D$3:$R$3000,MATCH($F964,폐업정보!$I$3:$I$3000,0),MATCH(L$4,폐업정보!$D$3:$R$3,0)),
"Error"))</f>
        <v>D0959</v>
      </c>
      <c r="M964" s="76" t="s">
        <v>96</v>
      </c>
      <c r="N964" s="77"/>
      <c r="O964" s="78" t="s">
        <v>97</v>
      </c>
      <c r="P964" s="79" t="n">
        <f aca="false">COUNTIFS(임대자산!$I:$I,가맹점정보!F964,임대자산!$N:$N,가맹점정보!P$4)</f>
        <v>0</v>
      </c>
      <c r="Q964" s="80" t="n">
        <f aca="false">COUNTIFS(임대자산!$I:$I,가맹점정보!F964,임대자산!$N:$N,가맹점정보!Q$4)</f>
        <v>0</v>
      </c>
      <c r="R964" s="81" t="n">
        <f aca="false">COUNTIFS(임대자산!$I:$I,가맹점정보!F964,임대자산!$N:$N,가맹점정보!R$4)</f>
        <v>1</v>
      </c>
      <c r="S964" s="82" t="n">
        <v>55000</v>
      </c>
      <c r="T964" s="83" t="n">
        <v>0</v>
      </c>
      <c r="U964" s="80" t="n">
        <f aca="false">SUM(S964:T964)</f>
        <v>55000</v>
      </c>
      <c r="V964" s="84" t="s">
        <v>12</v>
      </c>
      <c r="W964" s="80" t="e">
        <f aca="true">
IF(D964="폐업","폐업",
IF(V964="면제","면제",
IF(AND(V964="정상",COUNTIFS(OFFSET(Y964,0,COUNTA(Y964:AV964)-1,1,-4),"미납")&gt;=3),"장기미납",
IF(AND(V964="정상",OFFSET(Y964,0,COUNTA(Y964:AV964)-1)&gt;=U964),"정상",
IF(AND(V964="정상",OFFSET(Y964,0,COUNTA(Y964:AV964)-1)=0),"정상",
"계약서 미작성")))))</f>
        <v>#VALUE!</v>
      </c>
      <c r="X964" s="81" t="str">
        <f aca="true">
IF(D964="폐업","폐업",
IF(AND(V964="정상",OFFSET(Y964,0,COUNTA(Y964:AV964)-1)="미납"),"미납",
IF(AND(V964="정상",OFFSET(Y964,0,COUNTA(Y964:AV964)-1)=0),"납부 시작 전",
IF(AND(V964="정상",OFFSET(Y964,0,COUNTA(Y964:AV964)-1)&gt;=U964),"정상",
IF(AND(V964="면제",OFFSET(Y964,0,COUNTA(Y964:AV964)-1)="면제"),"면제",
IF(AND(V964="면제",OFFSET(Y964,0,COUNTA(Y964:AV964)-1)=0),"면제",
"확인요청"))))))</f>
        <v>정상</v>
      </c>
      <c r="Y964" s="93" t="n">
        <v>55000</v>
      </c>
      <c r="Z964" s="90" t="n">
        <v>55000</v>
      </c>
      <c r="AA964" s="90" t="n">
        <v>55000</v>
      </c>
      <c r="AB964" s="90" t="n">
        <v>55000</v>
      </c>
      <c r="AC964" s="90" t="n">
        <v>55000</v>
      </c>
      <c r="AD964" s="90" t="n">
        <v>55000</v>
      </c>
      <c r="AE964" s="90" t="n">
        <v>55000</v>
      </c>
      <c r="AF964" s="90" t="n">
        <v>55000</v>
      </c>
      <c r="AG964" s="90" t="n">
        <v>55000</v>
      </c>
      <c r="AH964" s="90" t="n">
        <v>55000</v>
      </c>
      <c r="AI964" s="90" t="n">
        <v>55000</v>
      </c>
      <c r="AJ964" s="91" t="n">
        <v>55000</v>
      </c>
      <c r="AK964" s="89" t="n">
        <v>55000</v>
      </c>
      <c r="AL964" s="90" t="n">
        <v>55000</v>
      </c>
      <c r="AM964" s="90"/>
      <c r="AN964" s="90"/>
      <c r="AO964" s="90"/>
      <c r="AP964" s="90"/>
      <c r="AQ964" s="90"/>
      <c r="AR964" s="90"/>
      <c r="AS964" s="90"/>
      <c r="AT964" s="90"/>
      <c r="AU964" s="90"/>
      <c r="AV964" s="91"/>
      <c r="AX964" s="92"/>
    </row>
    <row r="965" customFormat="false" ht="15.65" hidden="false" customHeight="false" outlineLevel="0" collapsed="false">
      <c r="C965" s="72" t="n">
        <f aca="false">COUNTIFS($D$6:D965,"&lt;&gt;"&amp;"")</f>
        <v>960</v>
      </c>
      <c r="D965" s="73" t="s">
        <v>12</v>
      </c>
      <c r="E965" s="76" t="str">
        <f aca="false">
IF($D965="정상",INDEX(임대자산!$D$3:$R$3000,MATCH($F965,임대자산!$I$3:$I$3000,0),MATCH(E$3,임대자산!$D$3:$R$3,0)),
IF($D965="폐업",INDEX(폐업정보!$D$3:$R$3000,MATCH($F965,폐업정보!$I$3:$I$3000,0),MATCH(E$3,폐업정보!$D$3:$R$3,0)),
"Error"))</f>
        <v>경기</v>
      </c>
      <c r="F96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B0960</v>
      </c>
      <c r="G965" s="76" t="str">
        <f aca="false">F965&amp;RANDBETWEEN(0,10)</f>
        <v>B096010</v>
      </c>
      <c r="H965" s="75" t="n">
        <f aca="false">
IF($D965="정상",INDEX(임대자산!$D$3:$R$3000,MATCH($F965,임대자산!$I$3:$I$3000,0),MATCH(H$4,임대자산!$D$3:$R$3,0)),
IF($D965="폐업",INDEX(폐업정보!$D$3:$R$3000,MATCH($F965,폐업정보!$I$3:$I$3000,0),MATCH(H$4,폐업정보!$D$3:$R$3,0)),
"Error"))</f>
        <v>44419</v>
      </c>
      <c r="I965" s="75" t="str">
        <f aca="false">
IF($D965="정상",INDEX(임대자산!$D$3:$R$3000,MATCH($F965,임대자산!$I$3:$I$3000,0),MATCH(I$4,임대자산!$D$3:$R$3,0)),
IF($D965="폐업",INDEX(폐업정보!$D$3:$R$3000,MATCH($F965,폐업정보!$I$3:$I$3000,0),MATCH(I$4,폐업정보!$D$3:$R$3,0)),
"Error"))</f>
        <v>A0960</v>
      </c>
      <c r="J965" s="75" t="str">
        <f aca="false">
IF($D965="정상",INDEX(임대자산!$D$3:$R$3000,MATCH($F965,임대자산!$I$3:$I$3000,0),MATCH(J$4,임대자산!$D$3:$R$3,0)),
IF($D965="폐업",INDEX(폐업정보!$D$3:$R$3000,MATCH($F965,폐업정보!$I$3:$I$3000,0),MATCH(J$4,폐업정보!$D$3:$R$3,0)),
"Error"))</f>
        <v>9192700000</v>
      </c>
      <c r="K965" s="75" t="str">
        <f aca="false">
IF($D965="정상",INDEX(임대자산!$D$3:$R$3000,MATCH($F965,임대자산!$I$3:$I$3000,0),MATCH(K$4,임대자산!$D$3:$R$3,0)),
IF($D965="폐업",INDEX(폐업정보!$D$3:$R$3000,MATCH($F965,폐업정보!$I$3:$I$3000,0),MATCH(K$4,폐업정보!$D$3:$R$3,0)),
"Error"))</f>
        <v>C0960</v>
      </c>
      <c r="L965" s="75" t="str">
        <f aca="false">
IF($D965="정상",INDEX(임대자산!$D$3:$R$3000,MATCH($F965,임대자산!$I$3:$I$3000,0),MATCH(L$4,임대자산!$D$3:$R$3,0)),
IF($D965="폐업",INDEX(폐업정보!$D$3:$R$3000,MATCH($F965,폐업정보!$I$3:$I$3000,0),MATCH(L$4,폐업정보!$D$3:$R$3,0)),
"Error"))</f>
        <v>D0960</v>
      </c>
      <c r="M965" s="76" t="s">
        <v>96</v>
      </c>
      <c r="N965" s="77"/>
      <c r="O965" s="78" t="s">
        <v>97</v>
      </c>
      <c r="P965" s="79" t="n">
        <f aca="false">COUNTIFS(임대자산!$I:$I,가맹점정보!F965,임대자산!$N:$N,가맹점정보!P$4)</f>
        <v>0</v>
      </c>
      <c r="Q965" s="80" t="n">
        <f aca="false">COUNTIFS(임대자산!$I:$I,가맹점정보!F965,임대자산!$N:$N,가맹점정보!Q$4)</f>
        <v>0</v>
      </c>
      <c r="R965" s="81" t="n">
        <f aca="false">COUNTIFS(임대자산!$I:$I,가맹점정보!F965,임대자산!$N:$N,가맹점정보!R$4)</f>
        <v>1</v>
      </c>
      <c r="S965" s="82" t="n">
        <v>55000</v>
      </c>
      <c r="T965" s="83" t="n">
        <v>0</v>
      </c>
      <c r="U965" s="80" t="n">
        <f aca="false">SUM(S965:T965)</f>
        <v>55000</v>
      </c>
      <c r="V965" s="84" t="s">
        <v>12</v>
      </c>
      <c r="W965" s="80" t="e">
        <f aca="true">
IF(D965="폐업","폐업",
IF(V965="면제","면제",
IF(AND(V965="정상",COUNTIFS(OFFSET(Y965,0,COUNTA(Y965:AV965)-1,1,-4),"미납")&gt;=3),"장기미납",
IF(AND(V965="정상",OFFSET(Y965,0,COUNTA(Y965:AV965)-1)&gt;=U965),"정상",
IF(AND(V965="정상",OFFSET(Y965,0,COUNTA(Y965:AV965)-1)=0),"정상",
"계약서 미작성")))))</f>
        <v>#VALUE!</v>
      </c>
      <c r="X965" s="81" t="str">
        <f aca="true">
IF(D965="폐업","폐업",
IF(AND(V965="정상",OFFSET(Y965,0,COUNTA(Y965:AV965)-1)="미납"),"미납",
IF(AND(V965="정상",OFFSET(Y965,0,COUNTA(Y965:AV965)-1)=0),"납부 시작 전",
IF(AND(V965="정상",OFFSET(Y965,0,COUNTA(Y965:AV965)-1)&gt;=U965),"정상",
IF(AND(V965="면제",OFFSET(Y965,0,COUNTA(Y965:AV965)-1)="면제"),"면제",
IF(AND(V965="면제",OFFSET(Y965,0,COUNTA(Y965:AV965)-1)=0),"면제",
"확인요청"))))))</f>
        <v>정상</v>
      </c>
      <c r="Y965" s="93" t="n">
        <v>55000</v>
      </c>
      <c r="Z965" s="90" t="n">
        <v>55000</v>
      </c>
      <c r="AA965" s="90" t="n">
        <v>55000</v>
      </c>
      <c r="AB965" s="90" t="n">
        <v>55000</v>
      </c>
      <c r="AC965" s="90" t="n">
        <v>55000</v>
      </c>
      <c r="AD965" s="90" t="n">
        <v>55000</v>
      </c>
      <c r="AE965" s="90" t="n">
        <v>55000</v>
      </c>
      <c r="AF965" s="90" t="n">
        <v>55000</v>
      </c>
      <c r="AG965" s="90" t="n">
        <v>55000</v>
      </c>
      <c r="AH965" s="90" t="n">
        <v>55000</v>
      </c>
      <c r="AI965" s="90" t="n">
        <v>55000</v>
      </c>
      <c r="AJ965" s="91" t="n">
        <v>55000</v>
      </c>
      <c r="AK965" s="89" t="n">
        <v>55000</v>
      </c>
      <c r="AL965" s="90" t="n">
        <v>55000</v>
      </c>
      <c r="AM965" s="90"/>
      <c r="AN965" s="90"/>
      <c r="AO965" s="90"/>
      <c r="AP965" s="90"/>
      <c r="AQ965" s="90"/>
      <c r="AR965" s="90"/>
      <c r="AS965" s="90"/>
      <c r="AT965" s="90"/>
      <c r="AU965" s="90"/>
      <c r="AV965" s="91"/>
      <c r="AX965" s="92"/>
    </row>
    <row r="966" customFormat="false" ht="15.65" hidden="false" customHeight="false" outlineLevel="0" collapsed="false">
      <c r="C966" s="72" t="n">
        <f aca="false">COUNTIFS($D$6:D966,"&lt;&gt;"&amp;"")</f>
        <v>961</v>
      </c>
      <c r="D966" s="73" t="s">
        <v>12</v>
      </c>
      <c r="E966" s="76" t="str">
        <f aca="false">
IF($D966="정상",INDEX(임대자산!$D$3:$R$3000,MATCH($F966,임대자산!$I$3:$I$3000,0),MATCH(E$3,임대자산!$D$3:$R$3,0)),
IF($D966="폐업",INDEX(폐업정보!$D$3:$R$3000,MATCH($F966,폐업정보!$I$3:$I$3000,0),MATCH(E$3,폐업정보!$D$3:$R$3,0)),
"Error"))</f>
        <v>경상</v>
      </c>
      <c r="F96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B0961</v>
      </c>
      <c r="G966" s="76" t="str">
        <f aca="false">F966&amp;RANDBETWEEN(0,10)</f>
        <v>B09613</v>
      </c>
      <c r="H966" s="75" t="n">
        <f aca="false">
IF($D966="정상",INDEX(임대자산!$D$3:$R$3000,MATCH($F966,임대자산!$I$3:$I$3000,0),MATCH(H$4,임대자산!$D$3:$R$3,0)),
IF($D966="폐업",INDEX(폐업정보!$D$3:$R$3000,MATCH($F966,폐업정보!$I$3:$I$3000,0),MATCH(H$4,폐업정보!$D$3:$R$3,0)),
"Error"))</f>
        <v>44663</v>
      </c>
      <c r="I966" s="75" t="str">
        <f aca="false">
IF($D966="정상",INDEX(임대자산!$D$3:$R$3000,MATCH($F966,임대자산!$I$3:$I$3000,0),MATCH(I$4,임대자산!$D$3:$R$3,0)),
IF($D966="폐업",INDEX(폐업정보!$D$3:$R$3000,MATCH($F966,폐업정보!$I$3:$I$3000,0),MATCH(I$4,폐업정보!$D$3:$R$3,0)),
"Error"))</f>
        <v>A0961</v>
      </c>
      <c r="J966" s="75" t="str">
        <f aca="false">
IF($D966="정상",INDEX(임대자산!$D$3:$R$3000,MATCH($F966,임대자산!$I$3:$I$3000,0),MATCH(J$4,임대자산!$D$3:$R$3,0)),
IF($D966="폐업",INDEX(폐업정보!$D$3:$R$3000,MATCH($F966,폐업정보!$I$3:$I$3000,0),MATCH(J$4,폐업정보!$D$3:$R$3,0)),
"Error"))</f>
        <v>8651000000</v>
      </c>
      <c r="K966" s="75" t="str">
        <f aca="false">
IF($D966="정상",INDEX(임대자산!$D$3:$R$3000,MATCH($F966,임대자산!$I$3:$I$3000,0),MATCH(K$4,임대자산!$D$3:$R$3,0)),
IF($D966="폐업",INDEX(폐업정보!$D$3:$R$3000,MATCH($F966,폐업정보!$I$3:$I$3000,0),MATCH(K$4,폐업정보!$D$3:$R$3,0)),
"Error"))</f>
        <v>C0961</v>
      </c>
      <c r="L966" s="75" t="str">
        <f aca="false">
IF($D966="정상",INDEX(임대자산!$D$3:$R$3000,MATCH($F966,임대자산!$I$3:$I$3000,0),MATCH(L$4,임대자산!$D$3:$R$3,0)),
IF($D966="폐업",INDEX(폐업정보!$D$3:$R$3000,MATCH($F966,폐업정보!$I$3:$I$3000,0),MATCH(L$4,폐업정보!$D$3:$R$3,0)),
"Error"))</f>
        <v>D0961</v>
      </c>
      <c r="M966" s="76" t="s">
        <v>96</v>
      </c>
      <c r="N966" s="77"/>
      <c r="O966" s="78" t="s">
        <v>97</v>
      </c>
      <c r="P966" s="79" t="n">
        <f aca="false">COUNTIFS(임대자산!$I:$I,가맹점정보!F966,임대자산!$N:$N,가맹점정보!P$4)</f>
        <v>0</v>
      </c>
      <c r="Q966" s="80" t="n">
        <f aca="false">COUNTIFS(임대자산!$I:$I,가맹점정보!F966,임대자산!$N:$N,가맹점정보!Q$4)</f>
        <v>0</v>
      </c>
      <c r="R966" s="81" t="n">
        <f aca="false">COUNTIFS(임대자산!$I:$I,가맹점정보!F966,임대자산!$N:$N,가맹점정보!R$4)</f>
        <v>1</v>
      </c>
      <c r="S966" s="82" t="n">
        <v>55000</v>
      </c>
      <c r="T966" s="83" t="n">
        <v>0</v>
      </c>
      <c r="U966" s="80" t="n">
        <f aca="false">SUM(S966:T966)</f>
        <v>55000</v>
      </c>
      <c r="V966" s="84" t="s">
        <v>12</v>
      </c>
      <c r="W966" s="80" t="e">
        <f aca="true">
IF(D966="폐업","폐업",
IF(V966="면제","면제",
IF(AND(V966="정상",COUNTIFS(OFFSET(Y966,0,COUNTA(Y966:AV966)-1,1,-4),"미납")&gt;=3),"장기미납",
IF(AND(V966="정상",OFFSET(Y966,0,COUNTA(Y966:AV966)-1)&gt;=U966),"정상",
IF(AND(V966="정상",OFFSET(Y966,0,COUNTA(Y966:AV966)-1)=0),"정상",
"계약서 미작성")))))</f>
        <v>#VALUE!</v>
      </c>
      <c r="X966" s="81" t="str">
        <f aca="true">
IF(D966="폐업","폐업",
IF(AND(V966="정상",OFFSET(Y966,0,COUNTA(Y966:AV966)-1)="미납"),"미납",
IF(AND(V966="정상",OFFSET(Y966,0,COUNTA(Y966:AV966)-1)=0),"납부 시작 전",
IF(AND(V966="정상",OFFSET(Y966,0,COUNTA(Y966:AV966)-1)&gt;=U966),"정상",
IF(AND(V966="면제",OFFSET(Y966,0,COUNTA(Y966:AV966)-1)="면제"),"면제",
IF(AND(V966="면제",OFFSET(Y966,0,COUNTA(Y966:AV966)-1)=0),"면제",
"확인요청"))))))</f>
        <v>정상</v>
      </c>
      <c r="Y966" s="93" t="n">
        <v>55000</v>
      </c>
      <c r="Z966" s="90" t="n">
        <v>55000</v>
      </c>
      <c r="AA966" s="90" t="n">
        <v>55000</v>
      </c>
      <c r="AB966" s="90" t="n">
        <v>55000</v>
      </c>
      <c r="AC966" s="90" t="n">
        <v>55000</v>
      </c>
      <c r="AD966" s="90" t="n">
        <v>55000</v>
      </c>
      <c r="AE966" s="90" t="n">
        <v>55000</v>
      </c>
      <c r="AF966" s="90" t="n">
        <v>55000</v>
      </c>
      <c r="AG966" s="90" t="n">
        <v>55000</v>
      </c>
      <c r="AH966" s="90" t="n">
        <v>55000</v>
      </c>
      <c r="AI966" s="90" t="n">
        <v>55000</v>
      </c>
      <c r="AJ966" s="91" t="n">
        <v>55000</v>
      </c>
      <c r="AK966" s="89" t="n">
        <v>55000</v>
      </c>
      <c r="AL966" s="90" t="n">
        <v>55000</v>
      </c>
      <c r="AM966" s="90"/>
      <c r="AN966" s="90"/>
      <c r="AO966" s="90"/>
      <c r="AP966" s="90"/>
      <c r="AQ966" s="90"/>
      <c r="AR966" s="90"/>
      <c r="AS966" s="90"/>
      <c r="AT966" s="90"/>
      <c r="AU966" s="90"/>
      <c r="AV966" s="91"/>
      <c r="AX966" s="92"/>
    </row>
    <row r="967" customFormat="false" ht="15.65" hidden="false" customHeight="false" outlineLevel="0" collapsed="false">
      <c r="C967" s="72" t="n">
        <f aca="false">COUNTIFS($D$6:D967,"&lt;&gt;"&amp;"")</f>
        <v>962</v>
      </c>
      <c r="D967" s="73" t="s">
        <v>12</v>
      </c>
      <c r="E967" s="76" t="str">
        <f aca="false">
IF($D967="정상",INDEX(임대자산!$D$3:$R$3000,MATCH($F967,임대자산!$I$3:$I$3000,0),MATCH(E$3,임대자산!$D$3:$R$3,0)),
IF($D967="폐업",INDEX(폐업정보!$D$3:$R$3000,MATCH($F967,폐업정보!$I$3:$I$3000,0),MATCH(E$3,폐업정보!$D$3:$R$3,0)),
"Error"))</f>
        <v>경상</v>
      </c>
      <c r="F96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B0962</v>
      </c>
      <c r="G967" s="76" t="str">
        <f aca="false">F967&amp;RANDBETWEEN(0,10)</f>
        <v>B096210</v>
      </c>
      <c r="H967" s="75" t="n">
        <f aca="false">
IF($D967="정상",INDEX(임대자산!$D$3:$R$3000,MATCH($F967,임대자산!$I$3:$I$3000,0),MATCH(H$4,임대자산!$D$3:$R$3,0)),
IF($D967="폐업",INDEX(폐업정보!$D$3:$R$3000,MATCH($F967,폐업정보!$I$3:$I$3000,0),MATCH(H$4,폐업정보!$D$3:$R$3,0)),
"Error"))</f>
        <v>45523</v>
      </c>
      <c r="I967" s="75" t="str">
        <f aca="false">
IF($D967="정상",INDEX(임대자산!$D$3:$R$3000,MATCH($F967,임대자산!$I$3:$I$3000,0),MATCH(I$4,임대자산!$D$3:$R$3,0)),
IF($D967="폐업",INDEX(폐업정보!$D$3:$R$3000,MATCH($F967,폐업정보!$I$3:$I$3000,0),MATCH(I$4,폐업정보!$D$3:$R$3,0)),
"Error"))</f>
        <v>A0962</v>
      </c>
      <c r="J967" s="75" t="str">
        <f aca="false">
IF($D967="정상",INDEX(임대자산!$D$3:$R$3000,MATCH($F967,임대자산!$I$3:$I$3000,0),MATCH(J$4,임대자산!$D$3:$R$3,0)),
IF($D967="폐업",INDEX(폐업정보!$D$3:$R$3000,MATCH($F967,폐업정보!$I$3:$I$3000,0),MATCH(J$4,폐업정보!$D$3:$R$3,0)),
"Error"))</f>
        <v>5052400000</v>
      </c>
      <c r="K967" s="75" t="str">
        <f aca="false">
IF($D967="정상",INDEX(임대자산!$D$3:$R$3000,MATCH($F967,임대자산!$I$3:$I$3000,0),MATCH(K$4,임대자산!$D$3:$R$3,0)),
IF($D967="폐업",INDEX(폐업정보!$D$3:$R$3000,MATCH($F967,폐업정보!$I$3:$I$3000,0),MATCH(K$4,폐업정보!$D$3:$R$3,0)),
"Error"))</f>
        <v>C0962</v>
      </c>
      <c r="L967" s="75" t="str">
        <f aca="false">
IF($D967="정상",INDEX(임대자산!$D$3:$R$3000,MATCH($F967,임대자산!$I$3:$I$3000,0),MATCH(L$4,임대자산!$D$3:$R$3,0)),
IF($D967="폐업",INDEX(폐업정보!$D$3:$R$3000,MATCH($F967,폐업정보!$I$3:$I$3000,0),MATCH(L$4,폐업정보!$D$3:$R$3,0)),
"Error"))</f>
        <v>D0962</v>
      </c>
      <c r="M967" s="76" t="s">
        <v>96</v>
      </c>
      <c r="N967" s="77"/>
      <c r="O967" s="78" t="s">
        <v>97</v>
      </c>
      <c r="P967" s="79" t="n">
        <f aca="false">COUNTIFS(임대자산!$I:$I,가맹점정보!F967,임대자산!$N:$N,가맹점정보!P$4)</f>
        <v>0</v>
      </c>
      <c r="Q967" s="80" t="n">
        <f aca="false">COUNTIFS(임대자산!$I:$I,가맹점정보!F967,임대자산!$N:$N,가맹점정보!Q$4)</f>
        <v>0</v>
      </c>
      <c r="R967" s="81" t="n">
        <f aca="false">COUNTIFS(임대자산!$I:$I,가맹점정보!F967,임대자산!$N:$N,가맹점정보!R$4)</f>
        <v>1</v>
      </c>
      <c r="S967" s="82" t="n">
        <v>55000</v>
      </c>
      <c r="T967" s="83" t="n">
        <v>0</v>
      </c>
      <c r="U967" s="80" t="n">
        <f aca="false">SUM(S967:T967)</f>
        <v>55000</v>
      </c>
      <c r="V967" s="84" t="s">
        <v>12</v>
      </c>
      <c r="W967" s="80" t="e">
        <f aca="true">
IF(D967="폐업","폐업",
IF(V967="면제","면제",
IF(AND(V967="정상",COUNTIFS(OFFSET(Y967,0,COUNTA(Y967:AV967)-1,1,-4),"미납")&gt;=3),"장기미납",
IF(AND(V967="정상",OFFSET(Y967,0,COUNTA(Y967:AV967)-1)&gt;=U967),"정상",
IF(AND(V967="정상",OFFSET(Y967,0,COUNTA(Y967:AV967)-1)=0),"정상",
"계약서 미작성")))))</f>
        <v>#VALUE!</v>
      </c>
      <c r="X967" s="81" t="str">
        <f aca="true">
IF(D967="폐업","폐업",
IF(AND(V967="정상",OFFSET(Y967,0,COUNTA(Y967:AV967)-1)="미납"),"미납",
IF(AND(V967="정상",OFFSET(Y967,0,COUNTA(Y967:AV967)-1)=0),"납부 시작 전",
IF(AND(V967="정상",OFFSET(Y967,0,COUNTA(Y967:AV967)-1)&gt;=U967),"정상",
IF(AND(V967="면제",OFFSET(Y967,0,COUNTA(Y967:AV967)-1)="면제"),"면제",
IF(AND(V967="면제",OFFSET(Y967,0,COUNTA(Y967:AV967)-1)=0),"면제",
"확인요청"))))))</f>
        <v>정상</v>
      </c>
      <c r="Y967" s="93" t="n">
        <v>55000</v>
      </c>
      <c r="Z967" s="90" t="n">
        <v>55000</v>
      </c>
      <c r="AA967" s="90" t="n">
        <v>55000</v>
      </c>
      <c r="AB967" s="90" t="n">
        <v>55000</v>
      </c>
      <c r="AC967" s="90" t="n">
        <v>55000</v>
      </c>
      <c r="AD967" s="90" t="n">
        <v>55000</v>
      </c>
      <c r="AE967" s="90" t="n">
        <v>55000</v>
      </c>
      <c r="AF967" s="90" t="n">
        <v>55000</v>
      </c>
      <c r="AG967" s="90" t="n">
        <v>55000</v>
      </c>
      <c r="AH967" s="90" t="n">
        <v>55000</v>
      </c>
      <c r="AI967" s="90" t="n">
        <v>55000</v>
      </c>
      <c r="AJ967" s="91" t="n">
        <v>55000</v>
      </c>
      <c r="AK967" s="89" t="n">
        <v>55000</v>
      </c>
      <c r="AL967" s="90" t="n">
        <v>55000</v>
      </c>
      <c r="AM967" s="90"/>
      <c r="AN967" s="90"/>
      <c r="AO967" s="90"/>
      <c r="AP967" s="90"/>
      <c r="AQ967" s="90"/>
      <c r="AR967" s="90"/>
      <c r="AS967" s="90"/>
      <c r="AT967" s="90"/>
      <c r="AU967" s="90"/>
      <c r="AV967" s="91"/>
      <c r="AX967" s="92"/>
    </row>
    <row r="968" customFormat="false" ht="15.65" hidden="false" customHeight="false" outlineLevel="0" collapsed="false">
      <c r="C968" s="72" t="n">
        <f aca="false">COUNTIFS($D$6:D968,"&lt;&gt;"&amp;"")</f>
        <v>963</v>
      </c>
      <c r="D968" s="73" t="s">
        <v>12</v>
      </c>
      <c r="E968" s="76" t="str">
        <f aca="false">
IF($D968="정상",INDEX(임대자산!$D$3:$R$3000,MATCH($F968,임대자산!$I$3:$I$3000,0),MATCH(E$3,임대자산!$D$3:$R$3,0)),
IF($D968="폐업",INDEX(폐업정보!$D$3:$R$3000,MATCH($F968,폐업정보!$I$3:$I$3000,0),MATCH(E$3,폐업정보!$D$3:$R$3,0)),
"Error"))</f>
        <v>전라</v>
      </c>
      <c r="F96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B0963</v>
      </c>
      <c r="G968" s="76" t="str">
        <f aca="false">F968&amp;RANDBETWEEN(0,10)</f>
        <v>B09632</v>
      </c>
      <c r="H968" s="75" t="n">
        <f aca="false">
IF($D968="정상",INDEX(임대자산!$D$3:$R$3000,MATCH($F968,임대자산!$I$3:$I$3000,0),MATCH(H$4,임대자산!$D$3:$R$3,0)),
IF($D968="폐업",INDEX(폐업정보!$D$3:$R$3000,MATCH($F968,폐업정보!$I$3:$I$3000,0),MATCH(H$4,폐업정보!$D$3:$R$3,0)),
"Error"))</f>
        <v>45579</v>
      </c>
      <c r="I968" s="75" t="str">
        <f aca="false">
IF($D968="정상",INDEX(임대자산!$D$3:$R$3000,MATCH($F968,임대자산!$I$3:$I$3000,0),MATCH(I$4,임대자산!$D$3:$R$3,0)),
IF($D968="폐업",INDEX(폐업정보!$D$3:$R$3000,MATCH($F968,폐업정보!$I$3:$I$3000,0),MATCH(I$4,폐업정보!$D$3:$R$3,0)),
"Error"))</f>
        <v>A0963</v>
      </c>
      <c r="J968" s="75" t="str">
        <f aca="false">
IF($D968="정상",INDEX(임대자산!$D$3:$R$3000,MATCH($F968,임대자산!$I$3:$I$3000,0),MATCH(J$4,임대자산!$D$3:$R$3,0)),
IF($D968="폐업",INDEX(폐업정보!$D$3:$R$3000,MATCH($F968,폐업정보!$I$3:$I$3000,0),MATCH(J$4,폐업정보!$D$3:$R$3,0)),
"Error"))</f>
        <v>9877500000</v>
      </c>
      <c r="K968" s="75" t="str">
        <f aca="false">
IF($D968="정상",INDEX(임대자산!$D$3:$R$3000,MATCH($F968,임대자산!$I$3:$I$3000,0),MATCH(K$4,임대자산!$D$3:$R$3,0)),
IF($D968="폐업",INDEX(폐업정보!$D$3:$R$3000,MATCH($F968,폐업정보!$I$3:$I$3000,0),MATCH(K$4,폐업정보!$D$3:$R$3,0)),
"Error"))</f>
        <v>C0963</v>
      </c>
      <c r="L968" s="75" t="str">
        <f aca="false">
IF($D968="정상",INDEX(임대자산!$D$3:$R$3000,MATCH($F968,임대자산!$I$3:$I$3000,0),MATCH(L$4,임대자산!$D$3:$R$3,0)),
IF($D968="폐업",INDEX(폐업정보!$D$3:$R$3000,MATCH($F968,폐업정보!$I$3:$I$3000,0),MATCH(L$4,폐업정보!$D$3:$R$3,0)),
"Error"))</f>
        <v>D0963</v>
      </c>
      <c r="M968" s="76" t="s">
        <v>96</v>
      </c>
      <c r="N968" s="77"/>
      <c r="O968" s="78" t="s">
        <v>97</v>
      </c>
      <c r="P968" s="79" t="n">
        <f aca="false">COUNTIFS(임대자산!$I:$I,가맹점정보!F968,임대자산!$N:$N,가맹점정보!P$4)</f>
        <v>0</v>
      </c>
      <c r="Q968" s="80" t="n">
        <f aca="false">COUNTIFS(임대자산!$I:$I,가맹점정보!F968,임대자산!$N:$N,가맹점정보!Q$4)</f>
        <v>0</v>
      </c>
      <c r="R968" s="81" t="n">
        <f aca="false">COUNTIFS(임대자산!$I:$I,가맹점정보!F968,임대자산!$N:$N,가맹점정보!R$4)</f>
        <v>1</v>
      </c>
      <c r="S968" s="82" t="n">
        <v>55000</v>
      </c>
      <c r="T968" s="83" t="n">
        <v>0</v>
      </c>
      <c r="U968" s="80" t="n">
        <f aca="false">SUM(S968:T968)</f>
        <v>55000</v>
      </c>
      <c r="V968" s="84" t="s">
        <v>7</v>
      </c>
      <c r="W968" s="80" t="str">
        <f aca="true">
IF(D968="폐업","폐업",
IF(V968="면제","면제",
IF(AND(V968="정상",COUNTIFS(OFFSET(Y968,0,COUNTA(Y968:AV968)-1,1,-4),"미납")&gt;=3),"장기미납",
IF(AND(V968="정상",OFFSET(Y968,0,COUNTA(Y968:AV968)-1)&gt;=U968),"정상",
IF(AND(V968="정상",OFFSET(Y968,0,COUNTA(Y968:AV968)-1)=0),"정상",
"계약서 미작성")))))</f>
        <v>면제</v>
      </c>
      <c r="X968" s="81" t="str">
        <f aca="true">
IF(D968="폐업","폐업",
IF(AND(V968="정상",OFFSET(Y968,0,COUNTA(Y968:AV968)-1)="미납"),"미납",
IF(AND(V968="정상",OFFSET(Y968,0,COUNTA(Y968:AV968)-1)=0),"납부 시작 전",
IF(AND(V968="정상",OFFSET(Y968,0,COUNTA(Y968:AV968)-1)&gt;=U968),"정상",
IF(AND(V968="면제",OFFSET(Y968,0,COUNTA(Y968:AV968)-1)="면제"),"면제",
IF(AND(V968="면제",OFFSET(Y968,0,COUNTA(Y968:AV968)-1)=0),"면제",
"확인요청"))))))</f>
        <v>면제</v>
      </c>
      <c r="Y968" s="94" t="s">
        <v>7</v>
      </c>
      <c r="Z968" s="95" t="s">
        <v>7</v>
      </c>
      <c r="AA968" s="95" t="s">
        <v>7</v>
      </c>
      <c r="AB968" s="95" t="s">
        <v>7</v>
      </c>
      <c r="AC968" s="95" t="s">
        <v>7</v>
      </c>
      <c r="AD968" s="95" t="s">
        <v>7</v>
      </c>
      <c r="AE968" s="95" t="s">
        <v>7</v>
      </c>
      <c r="AF968" s="95" t="s">
        <v>7</v>
      </c>
      <c r="AG968" s="95" t="s">
        <v>7</v>
      </c>
      <c r="AH968" s="95" t="s">
        <v>7</v>
      </c>
      <c r="AI968" s="95" t="s">
        <v>7</v>
      </c>
      <c r="AJ968" s="96" t="s">
        <v>7</v>
      </c>
      <c r="AK968" s="97" t="s">
        <v>7</v>
      </c>
      <c r="AL968" s="95" t="s">
        <v>7</v>
      </c>
      <c r="AM968" s="90"/>
      <c r="AN968" s="90"/>
      <c r="AO968" s="90"/>
      <c r="AP968" s="90"/>
      <c r="AQ968" s="90"/>
      <c r="AR968" s="90"/>
      <c r="AS968" s="90"/>
      <c r="AT968" s="90"/>
      <c r="AU968" s="90"/>
      <c r="AV968" s="91"/>
      <c r="AX968" s="92"/>
    </row>
    <row r="969" customFormat="false" ht="15.65" hidden="false" customHeight="false" outlineLevel="0" collapsed="false">
      <c r="C969" s="72" t="n">
        <f aca="false">COUNTIFS($D$6:D969,"&lt;&gt;"&amp;"")</f>
        <v>964</v>
      </c>
      <c r="D969" s="73" t="s">
        <v>12</v>
      </c>
      <c r="E969" s="76" t="str">
        <f aca="false">
IF($D969="정상",INDEX(임대자산!$D$3:$R$3000,MATCH($F969,임대자산!$I$3:$I$3000,0),MATCH(E$3,임대자산!$D$3:$R$3,0)),
IF($D969="폐업",INDEX(폐업정보!$D$3:$R$3000,MATCH($F969,폐업정보!$I$3:$I$3000,0),MATCH(E$3,폐업정보!$D$3:$R$3,0)),
"Error"))</f>
        <v>경상</v>
      </c>
      <c r="F96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B0964</v>
      </c>
      <c r="G969" s="76" t="str">
        <f aca="false">F969&amp;RANDBETWEEN(0,10)</f>
        <v>B096410</v>
      </c>
      <c r="H969" s="75" t="n">
        <f aca="false">
IF($D969="정상",INDEX(임대자산!$D$3:$R$3000,MATCH($F969,임대자산!$I$3:$I$3000,0),MATCH(H$4,임대자산!$D$3:$R$3,0)),
IF($D969="폐업",INDEX(폐업정보!$D$3:$R$3000,MATCH($F969,폐업정보!$I$3:$I$3000,0),MATCH(H$4,폐업정보!$D$3:$R$3,0)),
"Error"))</f>
        <v>45434</v>
      </c>
      <c r="I969" s="75" t="str">
        <f aca="false">
IF($D969="정상",INDEX(임대자산!$D$3:$R$3000,MATCH($F969,임대자산!$I$3:$I$3000,0),MATCH(I$4,임대자산!$D$3:$R$3,0)),
IF($D969="폐업",INDEX(폐업정보!$D$3:$R$3000,MATCH($F969,폐업정보!$I$3:$I$3000,0),MATCH(I$4,폐업정보!$D$3:$R$3,0)),
"Error"))</f>
        <v>A0964</v>
      </c>
      <c r="J969" s="75" t="str">
        <f aca="false">
IF($D969="정상",INDEX(임대자산!$D$3:$R$3000,MATCH($F969,임대자산!$I$3:$I$3000,0),MATCH(J$4,임대자산!$D$3:$R$3,0)),
IF($D969="폐업",INDEX(폐업정보!$D$3:$R$3000,MATCH($F969,폐업정보!$I$3:$I$3000,0),MATCH(J$4,폐업정보!$D$3:$R$3,0)),
"Error"))</f>
        <v>1583000000</v>
      </c>
      <c r="K969" s="75" t="str">
        <f aca="false">
IF($D969="정상",INDEX(임대자산!$D$3:$R$3000,MATCH($F969,임대자산!$I$3:$I$3000,0),MATCH(K$4,임대자산!$D$3:$R$3,0)),
IF($D969="폐업",INDEX(폐업정보!$D$3:$R$3000,MATCH($F969,폐업정보!$I$3:$I$3000,0),MATCH(K$4,폐업정보!$D$3:$R$3,0)),
"Error"))</f>
        <v>C0964</v>
      </c>
      <c r="L969" s="75" t="str">
        <f aca="false">
IF($D969="정상",INDEX(임대자산!$D$3:$R$3000,MATCH($F969,임대자산!$I$3:$I$3000,0),MATCH(L$4,임대자산!$D$3:$R$3,0)),
IF($D969="폐업",INDEX(폐업정보!$D$3:$R$3000,MATCH($F969,폐업정보!$I$3:$I$3000,0),MATCH(L$4,폐업정보!$D$3:$R$3,0)),
"Error"))</f>
        <v>D0964</v>
      </c>
      <c r="M969" s="76" t="s">
        <v>96</v>
      </c>
      <c r="N969" s="77"/>
      <c r="O969" s="78" t="s">
        <v>97</v>
      </c>
      <c r="P969" s="79" t="n">
        <f aca="false">COUNTIFS(임대자산!$I:$I,가맹점정보!F969,임대자산!$N:$N,가맹점정보!P$4)</f>
        <v>0</v>
      </c>
      <c r="Q969" s="80" t="n">
        <f aca="false">COUNTIFS(임대자산!$I:$I,가맹점정보!F969,임대자산!$N:$N,가맹점정보!Q$4)</f>
        <v>0</v>
      </c>
      <c r="R969" s="81" t="n">
        <f aca="false">COUNTIFS(임대자산!$I:$I,가맹점정보!F969,임대자산!$N:$N,가맹점정보!R$4)</f>
        <v>1</v>
      </c>
      <c r="S969" s="82" t="n">
        <v>55000</v>
      </c>
      <c r="T969" s="83" t="n">
        <v>0</v>
      </c>
      <c r="U969" s="80" t="n">
        <f aca="false">SUM(S969:T969)</f>
        <v>55000</v>
      </c>
      <c r="V969" s="84" t="s">
        <v>7</v>
      </c>
      <c r="W969" s="80" t="str">
        <f aca="true">
IF(D969="폐업","폐업",
IF(V969="면제","면제",
IF(AND(V969="정상",COUNTIFS(OFFSET(Y969,0,COUNTA(Y969:AV969)-1,1,-4),"미납")&gt;=3),"장기미납",
IF(AND(V969="정상",OFFSET(Y969,0,COUNTA(Y969:AV969)-1)&gt;=U969),"정상",
IF(AND(V969="정상",OFFSET(Y969,0,COUNTA(Y969:AV969)-1)=0),"정상",
"계약서 미작성")))))</f>
        <v>면제</v>
      </c>
      <c r="X969" s="81" t="str">
        <f aca="true">
IF(D969="폐업","폐업",
IF(AND(V969="정상",OFFSET(Y969,0,COUNTA(Y969:AV969)-1)="미납"),"미납",
IF(AND(V969="정상",OFFSET(Y969,0,COUNTA(Y969:AV969)-1)=0),"납부 시작 전",
IF(AND(V969="정상",OFFSET(Y969,0,COUNTA(Y969:AV969)-1)&gt;=U969),"정상",
IF(AND(V969="면제",OFFSET(Y969,0,COUNTA(Y969:AV969)-1)="면제"),"면제",
IF(AND(V969="면제",OFFSET(Y969,0,COUNTA(Y969:AV969)-1)=0),"면제",
"확인요청"))))))</f>
        <v>면제</v>
      </c>
      <c r="Y969" s="94" t="s">
        <v>7</v>
      </c>
      <c r="Z969" s="95" t="s">
        <v>7</v>
      </c>
      <c r="AA969" s="95" t="s">
        <v>7</v>
      </c>
      <c r="AB969" s="95" t="s">
        <v>7</v>
      </c>
      <c r="AC969" s="95" t="s">
        <v>7</v>
      </c>
      <c r="AD969" s="95" t="s">
        <v>7</v>
      </c>
      <c r="AE969" s="95" t="s">
        <v>7</v>
      </c>
      <c r="AF969" s="95" t="s">
        <v>7</v>
      </c>
      <c r="AG969" s="95" t="s">
        <v>7</v>
      </c>
      <c r="AH969" s="95" t="s">
        <v>7</v>
      </c>
      <c r="AI969" s="95" t="s">
        <v>7</v>
      </c>
      <c r="AJ969" s="96" t="s">
        <v>7</v>
      </c>
      <c r="AK969" s="97" t="s">
        <v>7</v>
      </c>
      <c r="AL969" s="95" t="s">
        <v>7</v>
      </c>
      <c r="AM969" s="90"/>
      <c r="AN969" s="90"/>
      <c r="AO969" s="90"/>
      <c r="AP969" s="90"/>
      <c r="AQ969" s="90"/>
      <c r="AR969" s="90"/>
      <c r="AS969" s="90"/>
      <c r="AT969" s="90"/>
      <c r="AU969" s="90"/>
      <c r="AV969" s="91"/>
      <c r="AX969" s="92"/>
    </row>
    <row r="970" customFormat="false" ht="15.65" hidden="false" customHeight="false" outlineLevel="0" collapsed="false">
      <c r="C970" s="72" t="n">
        <f aca="false">COUNTIFS($D$6:D970,"&lt;&gt;"&amp;"")</f>
        <v>965</v>
      </c>
      <c r="D970" s="73" t="s">
        <v>12</v>
      </c>
      <c r="E970" s="76" t="str">
        <f aca="false">
IF($D970="정상",INDEX(임대자산!$D$3:$R$3000,MATCH($F970,임대자산!$I$3:$I$3000,0),MATCH(E$3,임대자산!$D$3:$R$3,0)),
IF($D970="폐업",INDEX(폐업정보!$D$3:$R$3000,MATCH($F970,폐업정보!$I$3:$I$3000,0),MATCH(E$3,폐업정보!$D$3:$R$3,0)),
"Error"))</f>
        <v>경상</v>
      </c>
      <c r="F97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B0965</v>
      </c>
      <c r="G970" s="76" t="str">
        <f aca="false">F970&amp;RANDBETWEEN(0,10)</f>
        <v>B09653</v>
      </c>
      <c r="H970" s="75" t="n">
        <f aca="false">
IF($D970="정상",INDEX(임대자산!$D$3:$R$3000,MATCH($F970,임대자산!$I$3:$I$3000,0),MATCH(H$4,임대자산!$D$3:$R$3,0)),
IF($D970="폐업",INDEX(폐업정보!$D$3:$R$3000,MATCH($F970,폐업정보!$I$3:$I$3000,0),MATCH(H$4,폐업정보!$D$3:$R$3,0)),
"Error"))</f>
        <v>45476</v>
      </c>
      <c r="I970" s="75" t="str">
        <f aca="false">
IF($D970="정상",INDEX(임대자산!$D$3:$R$3000,MATCH($F970,임대자산!$I$3:$I$3000,0),MATCH(I$4,임대자산!$D$3:$R$3,0)),
IF($D970="폐업",INDEX(폐업정보!$D$3:$R$3000,MATCH($F970,폐업정보!$I$3:$I$3000,0),MATCH(I$4,폐업정보!$D$3:$R$3,0)),
"Error"))</f>
        <v>A0965</v>
      </c>
      <c r="J970" s="75" t="str">
        <f aca="false">
IF($D970="정상",INDEX(임대자산!$D$3:$R$3000,MATCH($F970,임대자산!$I$3:$I$3000,0),MATCH(J$4,임대자산!$D$3:$R$3,0)),
IF($D970="폐업",INDEX(폐업정보!$D$3:$R$3000,MATCH($F970,폐업정보!$I$3:$I$3000,0),MATCH(J$4,폐업정보!$D$3:$R$3,0)),
"Error"))</f>
        <v>8559800000</v>
      </c>
      <c r="K970" s="75" t="str">
        <f aca="false">
IF($D970="정상",INDEX(임대자산!$D$3:$R$3000,MATCH($F970,임대자산!$I$3:$I$3000,0),MATCH(K$4,임대자산!$D$3:$R$3,0)),
IF($D970="폐업",INDEX(폐업정보!$D$3:$R$3000,MATCH($F970,폐업정보!$I$3:$I$3000,0),MATCH(K$4,폐업정보!$D$3:$R$3,0)),
"Error"))</f>
        <v>C0965</v>
      </c>
      <c r="L970" s="75" t="str">
        <f aca="false">
IF($D970="정상",INDEX(임대자산!$D$3:$R$3000,MATCH($F970,임대자산!$I$3:$I$3000,0),MATCH(L$4,임대자산!$D$3:$R$3,0)),
IF($D970="폐업",INDEX(폐업정보!$D$3:$R$3000,MATCH($F970,폐업정보!$I$3:$I$3000,0),MATCH(L$4,폐업정보!$D$3:$R$3,0)),
"Error"))</f>
        <v>D0965</v>
      </c>
      <c r="M970" s="76" t="s">
        <v>96</v>
      </c>
      <c r="N970" s="77"/>
      <c r="O970" s="78" t="s">
        <v>97</v>
      </c>
      <c r="P970" s="79" t="n">
        <f aca="false">COUNTIFS(임대자산!$I:$I,가맹점정보!F970,임대자산!$N:$N,가맹점정보!P$4)</f>
        <v>0</v>
      </c>
      <c r="Q970" s="80" t="n">
        <f aca="false">COUNTIFS(임대자산!$I:$I,가맹점정보!F970,임대자산!$N:$N,가맹점정보!Q$4)</f>
        <v>0</v>
      </c>
      <c r="R970" s="81" t="n">
        <f aca="false">COUNTIFS(임대자산!$I:$I,가맹점정보!F970,임대자산!$N:$N,가맹점정보!R$4)</f>
        <v>1</v>
      </c>
      <c r="S970" s="82" t="n">
        <v>55000</v>
      </c>
      <c r="T970" s="83" t="n">
        <v>0</v>
      </c>
      <c r="U970" s="80" t="n">
        <f aca="false">SUM(S970:T970)</f>
        <v>55000</v>
      </c>
      <c r="V970" s="84" t="s">
        <v>7</v>
      </c>
      <c r="W970" s="80" t="str">
        <f aca="true">
IF(D970="폐업","폐업",
IF(V970="면제","면제",
IF(AND(V970="정상",COUNTIFS(OFFSET(Y970,0,COUNTA(Y970:AV970)-1,1,-4),"미납")&gt;=3),"장기미납",
IF(AND(V970="정상",OFFSET(Y970,0,COUNTA(Y970:AV970)-1)&gt;=U970),"정상",
IF(AND(V970="정상",OFFSET(Y970,0,COUNTA(Y970:AV970)-1)=0),"정상",
"계약서 미작성")))))</f>
        <v>면제</v>
      </c>
      <c r="X970" s="81" t="str">
        <f aca="true">
IF(D970="폐업","폐업",
IF(AND(V970="정상",OFFSET(Y970,0,COUNTA(Y970:AV970)-1)="미납"),"미납",
IF(AND(V970="정상",OFFSET(Y970,0,COUNTA(Y970:AV970)-1)=0),"납부 시작 전",
IF(AND(V970="정상",OFFSET(Y970,0,COUNTA(Y970:AV970)-1)&gt;=U970),"정상",
IF(AND(V970="면제",OFFSET(Y970,0,COUNTA(Y970:AV970)-1)="면제"),"면제",
IF(AND(V970="면제",OFFSET(Y970,0,COUNTA(Y970:AV970)-1)=0),"면제",
"확인요청"))))))</f>
        <v>면제</v>
      </c>
      <c r="Y970" s="94" t="s">
        <v>7</v>
      </c>
      <c r="Z970" s="95" t="s">
        <v>7</v>
      </c>
      <c r="AA970" s="95" t="s">
        <v>7</v>
      </c>
      <c r="AB970" s="95" t="s">
        <v>7</v>
      </c>
      <c r="AC970" s="95" t="s">
        <v>7</v>
      </c>
      <c r="AD970" s="95" t="s">
        <v>7</v>
      </c>
      <c r="AE970" s="95" t="s">
        <v>7</v>
      </c>
      <c r="AF970" s="95" t="s">
        <v>7</v>
      </c>
      <c r="AG970" s="95" t="s">
        <v>7</v>
      </c>
      <c r="AH970" s="95" t="s">
        <v>7</v>
      </c>
      <c r="AI970" s="95" t="s">
        <v>7</v>
      </c>
      <c r="AJ970" s="96" t="s">
        <v>7</v>
      </c>
      <c r="AK970" s="97" t="s">
        <v>7</v>
      </c>
      <c r="AL970" s="95" t="s">
        <v>7</v>
      </c>
      <c r="AM970" s="90"/>
      <c r="AN970" s="90"/>
      <c r="AO970" s="90"/>
      <c r="AP970" s="90"/>
      <c r="AQ970" s="90"/>
      <c r="AR970" s="90"/>
      <c r="AS970" s="90"/>
      <c r="AT970" s="90"/>
      <c r="AU970" s="90"/>
      <c r="AV970" s="91"/>
      <c r="AX970" s="92"/>
    </row>
    <row r="971" customFormat="false" ht="15.65" hidden="false" customHeight="false" outlineLevel="0" collapsed="false">
      <c r="C971" s="72" t="n">
        <f aca="false">COUNTIFS($D$6:D971,"&lt;&gt;"&amp;"")</f>
        <v>966</v>
      </c>
      <c r="D971" s="73" t="s">
        <v>12</v>
      </c>
      <c r="E971" s="76" t="str">
        <f aca="false">
IF($D971="정상",INDEX(임대자산!$D$3:$R$3000,MATCH($F971,임대자산!$I$3:$I$3000,0),MATCH(E$3,임대자산!$D$3:$R$3,0)),
IF($D971="폐업",INDEX(폐업정보!$D$3:$R$3000,MATCH($F971,폐업정보!$I$3:$I$3000,0),MATCH(E$3,폐업정보!$D$3:$R$3,0)),
"Error"))</f>
        <v>서울</v>
      </c>
      <c r="F97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B0966</v>
      </c>
      <c r="G971" s="76" t="str">
        <f aca="false">F971&amp;RANDBETWEEN(0,10)</f>
        <v>B09666</v>
      </c>
      <c r="H971" s="75" t="n">
        <f aca="false">
IF($D971="정상",INDEX(임대자산!$D$3:$R$3000,MATCH($F971,임대자산!$I$3:$I$3000,0),MATCH(H$4,임대자산!$D$3:$R$3,0)),
IF($D971="폐업",INDEX(폐업정보!$D$3:$R$3000,MATCH($F971,폐업정보!$I$3:$I$3000,0),MATCH(H$4,폐업정보!$D$3:$R$3,0)),
"Error"))</f>
        <v>44539</v>
      </c>
      <c r="I971" s="75" t="str">
        <f aca="false">
IF($D971="정상",INDEX(임대자산!$D$3:$R$3000,MATCH($F971,임대자산!$I$3:$I$3000,0),MATCH(I$4,임대자산!$D$3:$R$3,0)),
IF($D971="폐업",INDEX(폐업정보!$D$3:$R$3000,MATCH($F971,폐업정보!$I$3:$I$3000,0),MATCH(I$4,폐업정보!$D$3:$R$3,0)),
"Error"))</f>
        <v>A0966</v>
      </c>
      <c r="J971" s="75" t="str">
        <f aca="false">
IF($D971="정상",INDEX(임대자산!$D$3:$R$3000,MATCH($F971,임대자산!$I$3:$I$3000,0),MATCH(J$4,임대자산!$D$3:$R$3,0)),
IF($D971="폐업",INDEX(폐업정보!$D$3:$R$3000,MATCH($F971,폐업정보!$I$3:$I$3000,0),MATCH(J$4,폐업정보!$D$3:$R$3,0)),
"Error"))</f>
        <v>6567100000</v>
      </c>
      <c r="K971" s="75" t="str">
        <f aca="false">
IF($D971="정상",INDEX(임대자산!$D$3:$R$3000,MATCH($F971,임대자산!$I$3:$I$3000,0),MATCH(K$4,임대자산!$D$3:$R$3,0)),
IF($D971="폐업",INDEX(폐업정보!$D$3:$R$3000,MATCH($F971,폐업정보!$I$3:$I$3000,0),MATCH(K$4,폐업정보!$D$3:$R$3,0)),
"Error"))</f>
        <v>C0966</v>
      </c>
      <c r="L971" s="75" t="str">
        <f aca="false">
IF($D971="정상",INDEX(임대자산!$D$3:$R$3000,MATCH($F971,임대자산!$I$3:$I$3000,0),MATCH(L$4,임대자산!$D$3:$R$3,0)),
IF($D971="폐업",INDEX(폐업정보!$D$3:$R$3000,MATCH($F971,폐업정보!$I$3:$I$3000,0),MATCH(L$4,폐업정보!$D$3:$R$3,0)),
"Error"))</f>
        <v>D0966</v>
      </c>
      <c r="M971" s="76" t="s">
        <v>96</v>
      </c>
      <c r="N971" s="77"/>
      <c r="O971" s="78" t="s">
        <v>97</v>
      </c>
      <c r="P971" s="79" t="n">
        <f aca="false">COUNTIFS(임대자산!$I:$I,가맹점정보!F971,임대자산!$N:$N,가맹점정보!P$4)</f>
        <v>0</v>
      </c>
      <c r="Q971" s="80" t="n">
        <f aca="false">COUNTIFS(임대자산!$I:$I,가맹점정보!F971,임대자산!$N:$N,가맹점정보!Q$4)</f>
        <v>0</v>
      </c>
      <c r="R971" s="81" t="n">
        <f aca="false">COUNTIFS(임대자산!$I:$I,가맹점정보!F971,임대자산!$N:$N,가맹점정보!R$4)</f>
        <v>1</v>
      </c>
      <c r="S971" s="82" t="n">
        <v>55000</v>
      </c>
      <c r="T971" s="83" t="n">
        <v>0</v>
      </c>
      <c r="U971" s="80" t="n">
        <f aca="false">SUM(S971:T971)</f>
        <v>55000</v>
      </c>
      <c r="V971" s="84" t="s">
        <v>12</v>
      </c>
      <c r="W971" s="80" t="e">
        <f aca="true">
IF(D971="폐업","폐업",
IF(V971="면제","면제",
IF(AND(V971="정상",COUNTIFS(OFFSET(Y971,0,COUNTA(Y971:AV971)-1,1,-4),"미납")&gt;=3),"장기미납",
IF(AND(V971="정상",OFFSET(Y971,0,COUNTA(Y971:AV971)-1)&gt;=U971),"정상",
IF(AND(V971="정상",OFFSET(Y971,0,COUNTA(Y971:AV971)-1)=0),"정상",
"계약서 미작성")))))</f>
        <v>#VALUE!</v>
      </c>
      <c r="X971" s="81" t="str">
        <f aca="true">
IF(D971="폐업","폐업",
IF(AND(V971="정상",OFFSET(Y971,0,COUNTA(Y971:AV971)-1)="미납"),"미납",
IF(AND(V971="정상",OFFSET(Y971,0,COUNTA(Y971:AV971)-1)=0),"납부 시작 전",
IF(AND(V971="정상",OFFSET(Y971,0,COUNTA(Y971:AV971)-1)&gt;=U971),"정상",
IF(AND(V971="면제",OFFSET(Y971,0,COUNTA(Y971:AV971)-1)="면제"),"면제",
IF(AND(V971="면제",OFFSET(Y971,0,COUNTA(Y971:AV971)-1)=0),"면제",
"확인요청"))))))</f>
        <v>정상</v>
      </c>
      <c r="Y971" s="93" t="n">
        <v>55000</v>
      </c>
      <c r="Z971" s="90" t="n">
        <v>55000</v>
      </c>
      <c r="AA971" s="90" t="n">
        <v>55000</v>
      </c>
      <c r="AB971" s="90" t="n">
        <v>55000</v>
      </c>
      <c r="AC971" s="90" t="n">
        <v>55000</v>
      </c>
      <c r="AD971" s="90" t="n">
        <v>55000</v>
      </c>
      <c r="AE971" s="90" t="n">
        <v>55000</v>
      </c>
      <c r="AF971" s="90" t="n">
        <v>55000</v>
      </c>
      <c r="AG971" s="90" t="n">
        <v>55000</v>
      </c>
      <c r="AH971" s="90" t="n">
        <v>55000</v>
      </c>
      <c r="AI971" s="90" t="n">
        <v>55000</v>
      </c>
      <c r="AJ971" s="91" t="n">
        <v>55000</v>
      </c>
      <c r="AK971" s="89" t="n">
        <v>55000</v>
      </c>
      <c r="AL971" s="90" t="n">
        <v>55000</v>
      </c>
      <c r="AM971" s="90"/>
      <c r="AN971" s="90"/>
      <c r="AO971" s="90"/>
      <c r="AP971" s="90"/>
      <c r="AQ971" s="90"/>
      <c r="AR971" s="90"/>
      <c r="AS971" s="90"/>
      <c r="AT971" s="90"/>
      <c r="AU971" s="90"/>
      <c r="AV971" s="91"/>
      <c r="AX971" s="92"/>
    </row>
    <row r="972" customFormat="false" ht="15.65" hidden="false" customHeight="false" outlineLevel="0" collapsed="false">
      <c r="C972" s="72" t="n">
        <f aca="false">COUNTIFS($D$6:D972,"&lt;&gt;"&amp;"")</f>
        <v>967</v>
      </c>
      <c r="D972" s="73" t="s">
        <v>12</v>
      </c>
      <c r="E972" s="76" t="str">
        <f aca="false">
IF($D972="정상",INDEX(임대자산!$D$3:$R$3000,MATCH($F972,임대자산!$I$3:$I$3000,0),MATCH(E$3,임대자산!$D$3:$R$3,0)),
IF($D972="폐업",INDEX(폐업정보!$D$3:$R$3000,MATCH($F972,폐업정보!$I$3:$I$3000,0),MATCH(E$3,폐업정보!$D$3:$R$3,0)),
"Error"))</f>
        <v>서울</v>
      </c>
      <c r="F97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B0967</v>
      </c>
      <c r="G972" s="76" t="str">
        <f aca="false">F972&amp;RANDBETWEEN(0,10)</f>
        <v>B09676</v>
      </c>
      <c r="H972" s="75" t="n">
        <f aca="false">
IF($D972="정상",INDEX(임대자산!$D$3:$R$3000,MATCH($F972,임대자산!$I$3:$I$3000,0),MATCH(H$4,임대자산!$D$3:$R$3,0)),
IF($D972="폐업",INDEX(폐업정보!$D$3:$R$3000,MATCH($F972,폐업정보!$I$3:$I$3000,0),MATCH(H$4,폐업정보!$D$3:$R$3,0)),
"Error"))</f>
        <v>44879</v>
      </c>
      <c r="I972" s="75" t="str">
        <f aca="false">
IF($D972="정상",INDEX(임대자산!$D$3:$R$3000,MATCH($F972,임대자산!$I$3:$I$3000,0),MATCH(I$4,임대자산!$D$3:$R$3,0)),
IF($D972="폐업",INDEX(폐업정보!$D$3:$R$3000,MATCH($F972,폐업정보!$I$3:$I$3000,0),MATCH(I$4,폐업정보!$D$3:$R$3,0)),
"Error"))</f>
        <v>A0967</v>
      </c>
      <c r="J972" s="75" t="str">
        <f aca="false">
IF($D972="정상",INDEX(임대자산!$D$3:$R$3000,MATCH($F972,임대자산!$I$3:$I$3000,0),MATCH(J$4,임대자산!$D$3:$R$3,0)),
IF($D972="폐업",INDEX(폐업정보!$D$3:$R$3000,MATCH($F972,폐업정보!$I$3:$I$3000,0),MATCH(J$4,폐업정보!$D$3:$R$3,0)),
"Error"))</f>
        <v>5824100000</v>
      </c>
      <c r="K972" s="75" t="str">
        <f aca="false">
IF($D972="정상",INDEX(임대자산!$D$3:$R$3000,MATCH($F972,임대자산!$I$3:$I$3000,0),MATCH(K$4,임대자산!$D$3:$R$3,0)),
IF($D972="폐업",INDEX(폐업정보!$D$3:$R$3000,MATCH($F972,폐업정보!$I$3:$I$3000,0),MATCH(K$4,폐업정보!$D$3:$R$3,0)),
"Error"))</f>
        <v>C0967</v>
      </c>
      <c r="L972" s="75" t="str">
        <f aca="false">
IF($D972="정상",INDEX(임대자산!$D$3:$R$3000,MATCH($F972,임대자산!$I$3:$I$3000,0),MATCH(L$4,임대자산!$D$3:$R$3,0)),
IF($D972="폐업",INDEX(폐업정보!$D$3:$R$3000,MATCH($F972,폐업정보!$I$3:$I$3000,0),MATCH(L$4,폐업정보!$D$3:$R$3,0)),
"Error"))</f>
        <v>D0967</v>
      </c>
      <c r="M972" s="76" t="s">
        <v>96</v>
      </c>
      <c r="N972" s="77"/>
      <c r="O972" s="78" t="s">
        <v>97</v>
      </c>
      <c r="P972" s="79" t="n">
        <f aca="false">COUNTIFS(임대자산!$I:$I,가맹점정보!F972,임대자산!$N:$N,가맹점정보!P$4)</f>
        <v>0</v>
      </c>
      <c r="Q972" s="80" t="n">
        <f aca="false">COUNTIFS(임대자산!$I:$I,가맹점정보!F972,임대자산!$N:$N,가맹점정보!Q$4)</f>
        <v>0</v>
      </c>
      <c r="R972" s="81" t="n">
        <f aca="false">COUNTIFS(임대자산!$I:$I,가맹점정보!F972,임대자산!$N:$N,가맹점정보!R$4)</f>
        <v>1</v>
      </c>
      <c r="S972" s="82" t="n">
        <v>55000</v>
      </c>
      <c r="T972" s="83" t="n">
        <v>0</v>
      </c>
      <c r="U972" s="80" t="n">
        <f aca="false">SUM(S972:T972)</f>
        <v>55000</v>
      </c>
      <c r="V972" s="84" t="s">
        <v>12</v>
      </c>
      <c r="W972" s="80" t="e">
        <f aca="true">
IF(D972="폐업","폐업",
IF(V972="면제","면제",
IF(AND(V972="정상",COUNTIFS(OFFSET(Y972,0,COUNTA(Y972:AV972)-1,1,-4),"미납")&gt;=3),"장기미납",
IF(AND(V972="정상",OFFSET(Y972,0,COUNTA(Y972:AV972)-1)&gt;=U972),"정상",
IF(AND(V972="정상",OFFSET(Y972,0,COUNTA(Y972:AV972)-1)=0),"정상",
"계약서 미작성")))))</f>
        <v>#VALUE!</v>
      </c>
      <c r="X972" s="81" t="str">
        <f aca="true">
IF(D972="폐업","폐업",
IF(AND(V972="정상",OFFSET(Y972,0,COUNTA(Y972:AV972)-1)="미납"),"미납",
IF(AND(V972="정상",OFFSET(Y972,0,COUNTA(Y972:AV972)-1)=0),"납부 시작 전",
IF(AND(V972="정상",OFFSET(Y972,0,COUNTA(Y972:AV972)-1)&gt;=U972),"정상",
IF(AND(V972="면제",OFFSET(Y972,0,COUNTA(Y972:AV972)-1)="면제"),"면제",
IF(AND(V972="면제",OFFSET(Y972,0,COUNTA(Y972:AV972)-1)=0),"면제",
"확인요청"))))))</f>
        <v>정상</v>
      </c>
      <c r="Y972" s="93" t="n">
        <v>55000</v>
      </c>
      <c r="Z972" s="90" t="n">
        <v>55000</v>
      </c>
      <c r="AA972" s="90" t="n">
        <v>55000</v>
      </c>
      <c r="AB972" s="90" t="n">
        <v>55000</v>
      </c>
      <c r="AC972" s="90" t="n">
        <v>55000</v>
      </c>
      <c r="AD972" s="90" t="n">
        <v>55000</v>
      </c>
      <c r="AE972" s="90" t="n">
        <v>55000</v>
      </c>
      <c r="AF972" s="90" t="n">
        <v>55000</v>
      </c>
      <c r="AG972" s="90" t="n">
        <v>55000</v>
      </c>
      <c r="AH972" s="90" t="n">
        <v>55000</v>
      </c>
      <c r="AI972" s="90" t="n">
        <v>55000</v>
      </c>
      <c r="AJ972" s="91" t="n">
        <v>55000</v>
      </c>
      <c r="AK972" s="89" t="n">
        <v>55000</v>
      </c>
      <c r="AL972" s="90" t="n">
        <v>55000</v>
      </c>
      <c r="AM972" s="90"/>
      <c r="AN972" s="90"/>
      <c r="AO972" s="90"/>
      <c r="AP972" s="90"/>
      <c r="AQ972" s="90"/>
      <c r="AR972" s="90"/>
      <c r="AS972" s="90"/>
      <c r="AT972" s="90"/>
      <c r="AU972" s="90"/>
      <c r="AV972" s="91"/>
      <c r="AX972" s="92"/>
    </row>
    <row r="973" customFormat="false" ht="15.65" hidden="false" customHeight="false" outlineLevel="0" collapsed="false">
      <c r="C973" s="72" t="n">
        <f aca="false">COUNTIFS($D$6:D973,"&lt;&gt;"&amp;"")</f>
        <v>968</v>
      </c>
      <c r="D973" s="73" t="s">
        <v>5</v>
      </c>
      <c r="E973" s="76" t="str">
        <f aca="false">
IF($D973="정상",INDEX(임대자산!$D$3:$R$3000,MATCH($F973,임대자산!$I$3:$I$3000,0),MATCH(E$3,임대자산!$D$3:$R$3,0)),
IF($D973="폐업",INDEX(폐업정보!$D$3:$R$3000,MATCH($F973,폐업정보!$I$3:$I$3000,0),MATCH(E$3,폐업정보!$D$3:$R$3,0)),
"Error"))</f>
        <v>서울</v>
      </c>
      <c r="F97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B0968</v>
      </c>
      <c r="G973" s="76" t="str">
        <f aca="false">F973&amp;RANDBETWEEN(0,10)</f>
        <v>B09688</v>
      </c>
      <c r="H973" s="75" t="n">
        <f aca="false">
IF($D973="정상",INDEX(임대자산!$D$3:$R$3000,MATCH($F973,임대자산!$I$3:$I$3000,0),MATCH(H$4,임대자산!$D$3:$R$3,0)),
IF($D973="폐업",INDEX(폐업정보!$D$3:$R$3000,MATCH($F973,폐업정보!$I$3:$I$3000,0),MATCH(H$4,폐업정보!$D$3:$R$3,0)),
"Error"))</f>
        <v>44879</v>
      </c>
      <c r="I973" s="75" t="str">
        <f aca="false">
IF($D973="정상",INDEX(임대자산!$D$3:$R$3000,MATCH($F973,임대자산!$I$3:$I$3000,0),MATCH(I$4,임대자산!$D$3:$R$3,0)),
IF($D973="폐업",INDEX(폐업정보!$D$3:$R$3000,MATCH($F973,폐업정보!$I$3:$I$3000,0),MATCH(I$4,폐업정보!$D$3:$R$3,0)),
"Error"))</f>
        <v>A0968</v>
      </c>
      <c r="J973" s="75" t="str">
        <f aca="false">
IF($D973="정상",INDEX(임대자산!$D$3:$R$3000,MATCH($F973,임대자산!$I$3:$I$3000,0),MATCH(J$4,임대자산!$D$3:$R$3,0)),
IF($D973="폐업",INDEX(폐업정보!$D$3:$R$3000,MATCH($F973,폐업정보!$I$3:$I$3000,0),MATCH(J$4,폐업정보!$D$3:$R$3,0)),
"Error"))</f>
        <v>7015800000</v>
      </c>
      <c r="K973" s="75" t="str">
        <f aca="false">
IF($D973="정상",INDEX(임대자산!$D$3:$R$3000,MATCH($F973,임대자산!$I$3:$I$3000,0),MATCH(K$4,임대자산!$D$3:$R$3,0)),
IF($D973="폐업",INDEX(폐업정보!$D$3:$R$3000,MATCH($F973,폐업정보!$I$3:$I$3000,0),MATCH(K$4,폐업정보!$D$3:$R$3,0)),
"Error"))</f>
        <v>C0968</v>
      </c>
      <c r="L973" s="75" t="str">
        <f aca="false">
IF($D973="정상",INDEX(임대자산!$D$3:$R$3000,MATCH($F973,임대자산!$I$3:$I$3000,0),MATCH(L$4,임대자산!$D$3:$R$3,0)),
IF($D973="폐업",INDEX(폐업정보!$D$3:$R$3000,MATCH($F973,폐업정보!$I$3:$I$3000,0),MATCH(L$4,폐업정보!$D$3:$R$3,0)),
"Error"))</f>
        <v>D0968</v>
      </c>
      <c r="M973" s="76" t="s">
        <v>96</v>
      </c>
      <c r="N973" s="77"/>
      <c r="O973" s="78" t="s">
        <v>97</v>
      </c>
      <c r="P973" s="79" t="n">
        <f aca="false">COUNTIFS(임대자산!$I:$I,가맹점정보!F973,임대자산!$N:$N,가맹점정보!P$4)</f>
        <v>0</v>
      </c>
      <c r="Q973" s="80" t="n">
        <f aca="false">COUNTIFS(임대자산!$I:$I,가맹점정보!F973,임대자산!$N:$N,가맹점정보!Q$4)</f>
        <v>0</v>
      </c>
      <c r="R973" s="81" t="n">
        <f aca="false">COUNTIFS(임대자산!$I:$I,가맹점정보!F973,임대자산!$N:$N,가맹점정보!R$4)</f>
        <v>0</v>
      </c>
      <c r="S973" s="82" t="n">
        <v>55000</v>
      </c>
      <c r="T973" s="83" t="n">
        <v>0</v>
      </c>
      <c r="U973" s="80" t="n">
        <f aca="false">SUM(S973:T973)</f>
        <v>55000</v>
      </c>
      <c r="V973" s="84" t="s">
        <v>12</v>
      </c>
      <c r="W973" s="80" t="str">
        <f aca="true">
IF(D973="폐업","폐업",
IF(V973="면제","면제",
IF(AND(V973="정상",COUNTIFS(OFFSET(Y973,0,COUNTA(Y973:AV973)-1,1,-4),"미납")&gt;=3),"장기미납",
IF(AND(V973="정상",OFFSET(Y973,0,COUNTA(Y973:AV973)-1)&gt;=U973),"정상",
IF(AND(V973="정상",OFFSET(Y973,0,COUNTA(Y973:AV973)-1)=0),"정상",
"계약서 미작성")))))</f>
        <v>폐업</v>
      </c>
      <c r="X973" s="81" t="str">
        <f aca="true">
IF(D973="폐업","폐업",
IF(AND(V973="정상",OFFSET(Y973,0,COUNTA(Y973:AV973)-1)="미납"),"미납",
IF(AND(V973="정상",OFFSET(Y973,0,COUNTA(Y973:AV973)-1)=0),"납부 시작 전",
IF(AND(V973="정상",OFFSET(Y973,0,COUNTA(Y973:AV973)-1)&gt;=U973),"정상",
IF(AND(V973="면제",OFFSET(Y973,0,COUNTA(Y973:AV973)-1)="면제"),"면제",
IF(AND(V973="면제",OFFSET(Y973,0,COUNTA(Y973:AV973)-1)=0),"면제",
"확인요청"))))))</f>
        <v>폐업</v>
      </c>
      <c r="Y973" s="93" t="s">
        <v>99</v>
      </c>
      <c r="Z973" s="90" t="n">
        <v>110000</v>
      </c>
      <c r="AA973" s="90" t="n">
        <v>55000</v>
      </c>
      <c r="AB973" s="90" t="n">
        <v>55000</v>
      </c>
      <c r="AC973" s="90" t="n">
        <v>55000</v>
      </c>
      <c r="AD973" s="90" t="n">
        <v>55000</v>
      </c>
      <c r="AE973" s="90" t="n">
        <v>55000</v>
      </c>
      <c r="AF973" s="90" t="n">
        <v>55000</v>
      </c>
      <c r="AG973" s="90" t="n">
        <v>55000</v>
      </c>
      <c r="AH973" s="90" t="n">
        <v>55000</v>
      </c>
      <c r="AI973" s="90" t="n">
        <v>55000</v>
      </c>
      <c r="AJ973" s="91" t="n">
        <v>55000</v>
      </c>
      <c r="AK973" s="89" t="n">
        <v>55000</v>
      </c>
      <c r="AL973" s="90" t="n">
        <v>55000</v>
      </c>
      <c r="AM973" s="90"/>
      <c r="AN973" s="90"/>
      <c r="AO973" s="90"/>
      <c r="AP973" s="90"/>
      <c r="AQ973" s="90"/>
      <c r="AR973" s="90"/>
      <c r="AS973" s="90"/>
      <c r="AT973" s="90"/>
      <c r="AU973" s="90"/>
      <c r="AV973" s="91"/>
      <c r="AX973" s="92"/>
    </row>
    <row r="974" customFormat="false" ht="15.65" hidden="false" customHeight="false" outlineLevel="0" collapsed="false">
      <c r="C974" s="72" t="n">
        <f aca="false">COUNTIFS($D$6:D974,"&lt;&gt;"&amp;"")</f>
        <v>969</v>
      </c>
      <c r="D974" s="73" t="s">
        <v>5</v>
      </c>
      <c r="E974" s="76" t="str">
        <f aca="false">
IF($D974="정상",INDEX(임대자산!$D$3:$R$3000,MATCH($F974,임대자산!$I$3:$I$3000,0),MATCH(E$3,임대자산!$D$3:$R$3,0)),
IF($D974="폐업",INDEX(폐업정보!$D$3:$R$3000,MATCH($F974,폐업정보!$I$3:$I$3000,0),MATCH(E$3,폐업정보!$D$3:$R$3,0)),
"Error"))</f>
        <v>서울</v>
      </c>
      <c r="F97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B0969</v>
      </c>
      <c r="G974" s="76" t="str">
        <f aca="false">F974&amp;RANDBETWEEN(0,10)</f>
        <v>B09690</v>
      </c>
      <c r="H974" s="75" t="n">
        <f aca="false">
IF($D974="정상",INDEX(임대자산!$D$3:$R$3000,MATCH($F974,임대자산!$I$3:$I$3000,0),MATCH(H$4,임대자산!$D$3:$R$3,0)),
IF($D974="폐업",INDEX(폐업정보!$D$3:$R$3000,MATCH($F974,폐업정보!$I$3:$I$3000,0),MATCH(H$4,폐업정보!$D$3:$R$3,0)),
"Error"))</f>
        <v>44879</v>
      </c>
      <c r="I974" s="75" t="str">
        <f aca="false">
IF($D974="정상",INDEX(임대자산!$D$3:$R$3000,MATCH($F974,임대자산!$I$3:$I$3000,0),MATCH(I$4,임대자산!$D$3:$R$3,0)),
IF($D974="폐업",INDEX(폐업정보!$D$3:$R$3000,MATCH($F974,폐업정보!$I$3:$I$3000,0),MATCH(I$4,폐업정보!$D$3:$R$3,0)),
"Error"))</f>
        <v>A0969</v>
      </c>
      <c r="J974" s="75" t="str">
        <f aca="false">
IF($D974="정상",INDEX(임대자산!$D$3:$R$3000,MATCH($F974,임대자산!$I$3:$I$3000,0),MATCH(J$4,임대자산!$D$3:$R$3,0)),
IF($D974="폐업",INDEX(폐업정보!$D$3:$R$3000,MATCH($F974,폐업정보!$I$3:$I$3000,0),MATCH(J$4,폐업정보!$D$3:$R$3,0)),
"Error"))</f>
        <v>1787500000</v>
      </c>
      <c r="K974" s="75" t="str">
        <f aca="false">
IF($D974="정상",INDEX(임대자산!$D$3:$R$3000,MATCH($F974,임대자산!$I$3:$I$3000,0),MATCH(K$4,임대자산!$D$3:$R$3,0)),
IF($D974="폐업",INDEX(폐업정보!$D$3:$R$3000,MATCH($F974,폐업정보!$I$3:$I$3000,0),MATCH(K$4,폐업정보!$D$3:$R$3,0)),
"Error"))</f>
        <v>C0969</v>
      </c>
      <c r="L974" s="75" t="str">
        <f aca="false">
IF($D974="정상",INDEX(임대자산!$D$3:$R$3000,MATCH($F974,임대자산!$I$3:$I$3000,0),MATCH(L$4,임대자산!$D$3:$R$3,0)),
IF($D974="폐업",INDEX(폐업정보!$D$3:$R$3000,MATCH($F974,폐업정보!$I$3:$I$3000,0),MATCH(L$4,폐업정보!$D$3:$R$3,0)),
"Error"))</f>
        <v>D0969</v>
      </c>
      <c r="M974" s="76" t="s">
        <v>96</v>
      </c>
      <c r="N974" s="77"/>
      <c r="O974" s="78" t="s">
        <v>97</v>
      </c>
      <c r="P974" s="79" t="n">
        <f aca="false">COUNTIFS(임대자산!$I:$I,가맹점정보!F974,임대자산!$N:$N,가맹점정보!P$4)</f>
        <v>0</v>
      </c>
      <c r="Q974" s="80" t="n">
        <f aca="false">COUNTIFS(임대자산!$I:$I,가맹점정보!F974,임대자산!$N:$N,가맹점정보!Q$4)</f>
        <v>0</v>
      </c>
      <c r="R974" s="81" t="n">
        <f aca="false">COUNTIFS(임대자산!$I:$I,가맹점정보!F974,임대자산!$N:$N,가맹점정보!R$4)</f>
        <v>0</v>
      </c>
      <c r="S974" s="82" t="n">
        <v>88000</v>
      </c>
      <c r="T974" s="83" t="n">
        <v>0</v>
      </c>
      <c r="U974" s="80" t="n">
        <f aca="false">SUM(S974:T974)</f>
        <v>88000</v>
      </c>
      <c r="V974" s="84" t="s">
        <v>12</v>
      </c>
      <c r="W974" s="80" t="str">
        <f aca="true">
IF(D974="폐업","폐업",
IF(V974="면제","면제",
IF(AND(V974="정상",COUNTIFS(OFFSET(Y974,0,COUNTA(Y974:AV974)-1,1,-4),"미납")&gt;=3),"장기미납",
IF(AND(V974="정상",OFFSET(Y974,0,COUNTA(Y974:AV974)-1)&gt;=U974),"정상",
IF(AND(V974="정상",OFFSET(Y974,0,COUNTA(Y974:AV974)-1)=0),"정상",
"계약서 미작성")))))</f>
        <v>폐업</v>
      </c>
      <c r="X974" s="81" t="str">
        <f aca="true">
IF(D974="폐업","폐업",
IF(AND(V974="정상",OFFSET(Y974,0,COUNTA(Y974:AV974)-1)="미납"),"미납",
IF(AND(V974="정상",OFFSET(Y974,0,COUNTA(Y974:AV974)-1)=0),"납부 시작 전",
IF(AND(V974="정상",OFFSET(Y974,0,COUNTA(Y974:AV974)-1)&gt;=U974),"정상",
IF(AND(V974="면제",OFFSET(Y974,0,COUNTA(Y974:AV974)-1)="면제"),"면제",
IF(AND(V974="면제",OFFSET(Y974,0,COUNTA(Y974:AV974)-1)=0),"면제",
"확인요청"))))))</f>
        <v>폐업</v>
      </c>
      <c r="Y974" s="93" t="n">
        <v>88000</v>
      </c>
      <c r="Z974" s="90" t="n">
        <v>88000</v>
      </c>
      <c r="AA974" s="90" t="n">
        <v>88000</v>
      </c>
      <c r="AB974" s="90" t="n">
        <v>88000</v>
      </c>
      <c r="AC974" s="90" t="n">
        <v>88000</v>
      </c>
      <c r="AD974" s="90" t="n">
        <v>88000</v>
      </c>
      <c r="AE974" s="90" t="n">
        <v>88000</v>
      </c>
      <c r="AF974" s="90" t="n">
        <v>88000</v>
      </c>
      <c r="AG974" s="90" t="n">
        <v>88000</v>
      </c>
      <c r="AH974" s="90" t="n">
        <v>88000</v>
      </c>
      <c r="AI974" s="90" t="n">
        <v>88000</v>
      </c>
      <c r="AJ974" s="91" t="n">
        <v>88000</v>
      </c>
      <c r="AK974" s="89" t="n">
        <v>88000</v>
      </c>
      <c r="AL974" s="90" t="n">
        <v>88000</v>
      </c>
      <c r="AM974" s="90"/>
      <c r="AN974" s="90"/>
      <c r="AO974" s="90"/>
      <c r="AP974" s="90"/>
      <c r="AQ974" s="90"/>
      <c r="AR974" s="90"/>
      <c r="AS974" s="90"/>
      <c r="AT974" s="90"/>
      <c r="AU974" s="90"/>
      <c r="AV974" s="91"/>
      <c r="AX974" s="92"/>
    </row>
    <row r="975" customFormat="false" ht="15.65" hidden="false" customHeight="false" outlineLevel="0" collapsed="false">
      <c r="C975" s="72" t="n">
        <f aca="false">COUNTIFS($D$6:D975,"&lt;&gt;"&amp;"")</f>
        <v>970</v>
      </c>
      <c r="D975" s="73" t="s">
        <v>12</v>
      </c>
      <c r="E975" s="76" t="str">
        <f aca="false">
IF($D975="정상",INDEX(임대자산!$D$3:$R$3000,MATCH($F975,임대자산!$I$3:$I$3000,0),MATCH(E$3,임대자산!$D$3:$R$3,0)),
IF($D975="폐업",INDEX(폐업정보!$D$3:$R$3000,MATCH($F975,폐업정보!$I$3:$I$3000,0),MATCH(E$3,폐업정보!$D$3:$R$3,0)),
"Error"))</f>
        <v>강원</v>
      </c>
      <c r="F97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B0970</v>
      </c>
      <c r="G975" s="76" t="str">
        <f aca="false">F975&amp;RANDBETWEEN(0,10)</f>
        <v>B097010</v>
      </c>
      <c r="H975" s="75" t="n">
        <f aca="false">
IF($D975="정상",INDEX(임대자산!$D$3:$R$3000,MATCH($F975,임대자산!$I$3:$I$3000,0),MATCH(H$4,임대자산!$D$3:$R$3,0)),
IF($D975="폐업",INDEX(폐업정보!$D$3:$R$3000,MATCH($F975,폐업정보!$I$3:$I$3000,0),MATCH(H$4,폐업정보!$D$3:$R$3,0)),
"Error"))</f>
        <v>44559</v>
      </c>
      <c r="I975" s="75" t="str">
        <f aca="false">
IF($D975="정상",INDEX(임대자산!$D$3:$R$3000,MATCH($F975,임대자산!$I$3:$I$3000,0),MATCH(I$4,임대자산!$D$3:$R$3,0)),
IF($D975="폐업",INDEX(폐업정보!$D$3:$R$3000,MATCH($F975,폐업정보!$I$3:$I$3000,0),MATCH(I$4,폐업정보!$D$3:$R$3,0)),
"Error"))</f>
        <v>A0970</v>
      </c>
      <c r="J975" s="75" t="str">
        <f aca="false">
IF($D975="정상",INDEX(임대자산!$D$3:$R$3000,MATCH($F975,임대자산!$I$3:$I$3000,0),MATCH(J$4,임대자산!$D$3:$R$3,0)),
IF($D975="폐업",INDEX(폐업정보!$D$3:$R$3000,MATCH($F975,폐업정보!$I$3:$I$3000,0),MATCH(J$4,폐업정보!$D$3:$R$3,0)),
"Error"))</f>
        <v>3916400000</v>
      </c>
      <c r="K975" s="75" t="str">
        <f aca="false">
IF($D975="정상",INDEX(임대자산!$D$3:$R$3000,MATCH($F975,임대자산!$I$3:$I$3000,0),MATCH(K$4,임대자산!$D$3:$R$3,0)),
IF($D975="폐업",INDEX(폐업정보!$D$3:$R$3000,MATCH($F975,폐업정보!$I$3:$I$3000,0),MATCH(K$4,폐업정보!$D$3:$R$3,0)),
"Error"))</f>
        <v>C0970</v>
      </c>
      <c r="L975" s="75" t="str">
        <f aca="false">
IF($D975="정상",INDEX(임대자산!$D$3:$R$3000,MATCH($F975,임대자산!$I$3:$I$3000,0),MATCH(L$4,임대자산!$D$3:$R$3,0)),
IF($D975="폐업",INDEX(폐업정보!$D$3:$R$3000,MATCH($F975,폐업정보!$I$3:$I$3000,0),MATCH(L$4,폐업정보!$D$3:$R$3,0)),
"Error"))</f>
        <v>D0970</v>
      </c>
      <c r="M975" s="76" t="s">
        <v>96</v>
      </c>
      <c r="N975" s="77"/>
      <c r="O975" s="78" t="s">
        <v>97</v>
      </c>
      <c r="P975" s="79" t="n">
        <f aca="false">COUNTIFS(임대자산!$I:$I,가맹점정보!F975,임대자산!$N:$N,가맹점정보!P$4)</f>
        <v>0</v>
      </c>
      <c r="Q975" s="80" t="n">
        <f aca="false">COUNTIFS(임대자산!$I:$I,가맹점정보!F975,임대자산!$N:$N,가맹점정보!Q$4)</f>
        <v>0</v>
      </c>
      <c r="R975" s="81" t="n">
        <f aca="false">COUNTIFS(임대자산!$I:$I,가맹점정보!F975,임대자산!$N:$N,가맹점정보!R$4)</f>
        <v>1</v>
      </c>
      <c r="S975" s="82" t="n">
        <v>55000</v>
      </c>
      <c r="T975" s="83" t="n">
        <v>0</v>
      </c>
      <c r="U975" s="80" t="n">
        <f aca="false">SUM(S975:T975)</f>
        <v>55000</v>
      </c>
      <c r="V975" s="84" t="s">
        <v>12</v>
      </c>
      <c r="W975" s="80" t="e">
        <f aca="true">
IF(D975="폐업","폐업",
IF(V975="면제","면제",
IF(AND(V975="정상",COUNTIFS(OFFSET(Y975,0,COUNTA(Y975:AV975)-1,1,-4),"미납")&gt;=3),"장기미납",
IF(AND(V975="정상",OFFSET(Y975,0,COUNTA(Y975:AV975)-1)&gt;=U975),"정상",
IF(AND(V975="정상",OFFSET(Y975,0,COUNTA(Y975:AV975)-1)=0),"정상",
"계약서 미작성")))))</f>
        <v>#VALUE!</v>
      </c>
      <c r="X975" s="81" t="str">
        <f aca="true">
IF(D975="폐업","폐업",
IF(AND(V975="정상",OFFSET(Y975,0,COUNTA(Y975:AV975)-1)="미납"),"미납",
IF(AND(V975="정상",OFFSET(Y975,0,COUNTA(Y975:AV975)-1)=0),"납부 시작 전",
IF(AND(V975="정상",OFFSET(Y975,0,COUNTA(Y975:AV975)-1)&gt;=U975),"정상",
IF(AND(V975="면제",OFFSET(Y975,0,COUNTA(Y975:AV975)-1)="면제"),"면제",
IF(AND(V975="면제",OFFSET(Y975,0,COUNTA(Y975:AV975)-1)=0),"면제",
"확인요청"))))))</f>
        <v>정상</v>
      </c>
      <c r="Y975" s="93" t="n">
        <v>55000</v>
      </c>
      <c r="Z975" s="90" t="n">
        <v>55000</v>
      </c>
      <c r="AA975" s="90" t="n">
        <v>55000</v>
      </c>
      <c r="AB975" s="90" t="n">
        <v>55000</v>
      </c>
      <c r="AC975" s="90" t="n">
        <v>55000</v>
      </c>
      <c r="AD975" s="90" t="n">
        <v>55000</v>
      </c>
      <c r="AE975" s="90" t="n">
        <v>55000</v>
      </c>
      <c r="AF975" s="90" t="n">
        <v>55000</v>
      </c>
      <c r="AG975" s="90" t="n">
        <v>55000</v>
      </c>
      <c r="AH975" s="90" t="n">
        <v>55000</v>
      </c>
      <c r="AI975" s="90" t="n">
        <v>55000</v>
      </c>
      <c r="AJ975" s="91" t="n">
        <v>55000</v>
      </c>
      <c r="AK975" s="89" t="n">
        <v>55000</v>
      </c>
      <c r="AL975" s="90" t="n">
        <v>55000</v>
      </c>
      <c r="AM975" s="90"/>
      <c r="AN975" s="90"/>
      <c r="AO975" s="90"/>
      <c r="AP975" s="90"/>
      <c r="AQ975" s="90"/>
      <c r="AR975" s="90"/>
      <c r="AS975" s="90"/>
      <c r="AT975" s="90"/>
      <c r="AU975" s="90"/>
      <c r="AV975" s="91"/>
      <c r="AX975" s="92"/>
    </row>
    <row r="976" customFormat="false" ht="15.65" hidden="false" customHeight="false" outlineLevel="0" collapsed="false">
      <c r="C976" s="72" t="n">
        <f aca="false">COUNTIFS($D$6:D976,"&lt;&gt;"&amp;"")</f>
        <v>971</v>
      </c>
      <c r="D976" s="73" t="s">
        <v>12</v>
      </c>
      <c r="E976" s="76" t="str">
        <f aca="false">
IF($D976="정상",INDEX(임대자산!$D$3:$R$3000,MATCH($F976,임대자산!$I$3:$I$3000,0),MATCH(E$3,임대자산!$D$3:$R$3,0)),
IF($D976="폐업",INDEX(폐업정보!$D$3:$R$3000,MATCH($F976,폐업정보!$I$3:$I$3000,0),MATCH(E$3,폐업정보!$D$3:$R$3,0)),
"Error"))</f>
        <v>강원</v>
      </c>
      <c r="F97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B0971</v>
      </c>
      <c r="G976" s="76" t="str">
        <f aca="false">F976&amp;RANDBETWEEN(0,10)</f>
        <v>B097110</v>
      </c>
      <c r="H976" s="75" t="n">
        <f aca="false">
IF($D976="정상",INDEX(임대자산!$D$3:$R$3000,MATCH($F976,임대자산!$I$3:$I$3000,0),MATCH(H$4,임대자산!$D$3:$R$3,0)),
IF($D976="폐업",INDEX(폐업정보!$D$3:$R$3000,MATCH($F976,폐업정보!$I$3:$I$3000,0),MATCH(H$4,폐업정보!$D$3:$R$3,0)),
"Error"))</f>
        <v>44559</v>
      </c>
      <c r="I976" s="75" t="str">
        <f aca="false">
IF($D976="정상",INDEX(임대자산!$D$3:$R$3000,MATCH($F976,임대자산!$I$3:$I$3000,0),MATCH(I$4,임대자산!$D$3:$R$3,0)),
IF($D976="폐업",INDEX(폐업정보!$D$3:$R$3000,MATCH($F976,폐업정보!$I$3:$I$3000,0),MATCH(I$4,폐업정보!$D$3:$R$3,0)),
"Error"))</f>
        <v>A0971</v>
      </c>
      <c r="J976" s="75" t="str">
        <f aca="false">
IF($D976="정상",INDEX(임대자산!$D$3:$R$3000,MATCH($F976,임대자산!$I$3:$I$3000,0),MATCH(J$4,임대자산!$D$3:$R$3,0)),
IF($D976="폐업",INDEX(폐업정보!$D$3:$R$3000,MATCH($F976,폐업정보!$I$3:$I$3000,0),MATCH(J$4,폐업정보!$D$3:$R$3,0)),
"Error"))</f>
        <v>1988600000</v>
      </c>
      <c r="K976" s="75" t="str">
        <f aca="false">
IF($D976="정상",INDEX(임대자산!$D$3:$R$3000,MATCH($F976,임대자산!$I$3:$I$3000,0),MATCH(K$4,임대자산!$D$3:$R$3,0)),
IF($D976="폐업",INDEX(폐업정보!$D$3:$R$3000,MATCH($F976,폐업정보!$I$3:$I$3000,0),MATCH(K$4,폐업정보!$D$3:$R$3,0)),
"Error"))</f>
        <v>C0971</v>
      </c>
      <c r="L976" s="75" t="str">
        <f aca="false">
IF($D976="정상",INDEX(임대자산!$D$3:$R$3000,MATCH($F976,임대자산!$I$3:$I$3000,0),MATCH(L$4,임대자산!$D$3:$R$3,0)),
IF($D976="폐업",INDEX(폐업정보!$D$3:$R$3000,MATCH($F976,폐업정보!$I$3:$I$3000,0),MATCH(L$4,폐업정보!$D$3:$R$3,0)),
"Error"))</f>
        <v>D0971</v>
      </c>
      <c r="M976" s="76" t="s">
        <v>96</v>
      </c>
      <c r="N976" s="77"/>
      <c r="O976" s="78" t="s">
        <v>97</v>
      </c>
      <c r="P976" s="79" t="n">
        <f aca="false">COUNTIFS(임대자산!$I:$I,가맹점정보!F976,임대자산!$N:$N,가맹점정보!P$4)</f>
        <v>0</v>
      </c>
      <c r="Q976" s="80" t="n">
        <f aca="false">COUNTIFS(임대자산!$I:$I,가맹점정보!F976,임대자산!$N:$N,가맹점정보!Q$4)</f>
        <v>0</v>
      </c>
      <c r="R976" s="81" t="n">
        <f aca="false">COUNTIFS(임대자산!$I:$I,가맹점정보!F976,임대자산!$N:$N,가맹점정보!R$4)</f>
        <v>1</v>
      </c>
      <c r="S976" s="82" t="n">
        <v>88000</v>
      </c>
      <c r="T976" s="83" t="n">
        <v>0</v>
      </c>
      <c r="U976" s="80" t="n">
        <f aca="false">SUM(S976:T976)</f>
        <v>88000</v>
      </c>
      <c r="V976" s="84" t="s">
        <v>7</v>
      </c>
      <c r="W976" s="80" t="str">
        <f aca="true">
IF(D976="폐업","폐업",
IF(V976="면제","면제",
IF(AND(V976="정상",COUNTIFS(OFFSET(Y976,0,COUNTA(Y976:AV976)-1,1,-4),"미납")&gt;=3),"장기미납",
IF(AND(V976="정상",OFFSET(Y976,0,COUNTA(Y976:AV976)-1)&gt;=U976),"정상",
IF(AND(V976="정상",OFFSET(Y976,0,COUNTA(Y976:AV976)-1)=0),"정상",
"계약서 미작성")))))</f>
        <v>면제</v>
      </c>
      <c r="X976" s="81" t="str">
        <f aca="true">
IF(D976="폐업","폐업",
IF(AND(V976="정상",OFFSET(Y976,0,COUNTA(Y976:AV976)-1)="미납"),"미납",
IF(AND(V976="정상",OFFSET(Y976,0,COUNTA(Y976:AV976)-1)=0),"납부 시작 전",
IF(AND(V976="정상",OFFSET(Y976,0,COUNTA(Y976:AV976)-1)&gt;=U976),"정상",
IF(AND(V976="면제",OFFSET(Y976,0,COUNTA(Y976:AV976)-1)="면제"),"면제",
IF(AND(V976="면제",OFFSET(Y976,0,COUNTA(Y976:AV976)-1)=0),"면제",
"확인요청"))))))</f>
        <v>면제</v>
      </c>
      <c r="Y976" s="94" t="s">
        <v>7</v>
      </c>
      <c r="Z976" s="95" t="s">
        <v>7</v>
      </c>
      <c r="AA976" s="95" t="s">
        <v>7</v>
      </c>
      <c r="AB976" s="95" t="s">
        <v>7</v>
      </c>
      <c r="AC976" s="95" t="s">
        <v>7</v>
      </c>
      <c r="AD976" s="95" t="s">
        <v>7</v>
      </c>
      <c r="AE976" s="95" t="s">
        <v>7</v>
      </c>
      <c r="AF976" s="95" t="s">
        <v>7</v>
      </c>
      <c r="AG976" s="95" t="s">
        <v>7</v>
      </c>
      <c r="AH976" s="95" t="s">
        <v>7</v>
      </c>
      <c r="AI976" s="95" t="s">
        <v>7</v>
      </c>
      <c r="AJ976" s="96" t="s">
        <v>7</v>
      </c>
      <c r="AK976" s="97" t="s">
        <v>7</v>
      </c>
      <c r="AL976" s="95" t="s">
        <v>7</v>
      </c>
      <c r="AM976" s="90"/>
      <c r="AN976" s="90"/>
      <c r="AO976" s="90"/>
      <c r="AP976" s="90"/>
      <c r="AQ976" s="90"/>
      <c r="AR976" s="90"/>
      <c r="AS976" s="90"/>
      <c r="AT976" s="90"/>
      <c r="AU976" s="90"/>
      <c r="AV976" s="91"/>
      <c r="AX976" s="92"/>
    </row>
    <row r="977" customFormat="false" ht="15.65" hidden="false" customHeight="false" outlineLevel="0" collapsed="false">
      <c r="C977" s="72" t="n">
        <f aca="false">COUNTIFS($D$6:D977,"&lt;&gt;"&amp;"")</f>
        <v>972</v>
      </c>
      <c r="D977" s="73" t="s">
        <v>12</v>
      </c>
      <c r="E977" s="76" t="str">
        <f aca="false">
IF($D977="정상",INDEX(임대자산!$D$3:$R$3000,MATCH($F977,임대자산!$I$3:$I$3000,0),MATCH(E$3,임대자산!$D$3:$R$3,0)),
IF($D977="폐업",INDEX(폐업정보!$D$3:$R$3000,MATCH($F977,폐업정보!$I$3:$I$3000,0),MATCH(E$3,폐업정보!$D$3:$R$3,0)),
"Error"))</f>
        <v>서울</v>
      </c>
      <c r="F97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B0972</v>
      </c>
      <c r="G977" s="76" t="str">
        <f aca="false">F977&amp;RANDBETWEEN(0,10)</f>
        <v>B09728</v>
      </c>
      <c r="H977" s="75" t="n">
        <f aca="false">
IF($D977="정상",INDEX(임대자산!$D$3:$R$3000,MATCH($F977,임대자산!$I$3:$I$3000,0),MATCH(H$4,임대자산!$D$3:$R$3,0)),
IF($D977="폐업",INDEX(폐업정보!$D$3:$R$3000,MATCH($F977,폐업정보!$I$3:$I$3000,0),MATCH(H$4,폐업정보!$D$3:$R$3,0)),
"Error"))</f>
        <v>44588</v>
      </c>
      <c r="I977" s="75" t="str">
        <f aca="false">
IF($D977="정상",INDEX(임대자산!$D$3:$R$3000,MATCH($F977,임대자산!$I$3:$I$3000,0),MATCH(I$4,임대자산!$D$3:$R$3,0)),
IF($D977="폐업",INDEX(폐업정보!$D$3:$R$3000,MATCH($F977,폐업정보!$I$3:$I$3000,0),MATCH(I$4,폐업정보!$D$3:$R$3,0)),
"Error"))</f>
        <v>A0972</v>
      </c>
      <c r="J977" s="75" t="str">
        <f aca="false">
IF($D977="정상",INDEX(임대자산!$D$3:$R$3000,MATCH($F977,임대자산!$I$3:$I$3000,0),MATCH(J$4,임대자산!$D$3:$R$3,0)),
IF($D977="폐업",INDEX(폐업정보!$D$3:$R$3000,MATCH($F977,폐업정보!$I$3:$I$3000,0),MATCH(J$4,폐업정보!$D$3:$R$3,0)),
"Error"))</f>
        <v>4000500000</v>
      </c>
      <c r="K977" s="75" t="str">
        <f aca="false">
IF($D977="정상",INDEX(임대자산!$D$3:$R$3000,MATCH($F977,임대자산!$I$3:$I$3000,0),MATCH(K$4,임대자산!$D$3:$R$3,0)),
IF($D977="폐업",INDEX(폐업정보!$D$3:$R$3000,MATCH($F977,폐업정보!$I$3:$I$3000,0),MATCH(K$4,폐업정보!$D$3:$R$3,0)),
"Error"))</f>
        <v>C0972</v>
      </c>
      <c r="L977" s="75" t="str">
        <f aca="false">
IF($D977="정상",INDEX(임대자산!$D$3:$R$3000,MATCH($F977,임대자산!$I$3:$I$3000,0),MATCH(L$4,임대자산!$D$3:$R$3,0)),
IF($D977="폐업",INDEX(폐업정보!$D$3:$R$3000,MATCH($F977,폐업정보!$I$3:$I$3000,0),MATCH(L$4,폐업정보!$D$3:$R$3,0)),
"Error"))</f>
        <v>D0972</v>
      </c>
      <c r="M977" s="76" t="s">
        <v>96</v>
      </c>
      <c r="N977" s="77"/>
      <c r="O977" s="78" t="s">
        <v>97</v>
      </c>
      <c r="P977" s="79" t="n">
        <f aca="false">COUNTIFS(임대자산!$I:$I,가맹점정보!F977,임대자산!$N:$N,가맹점정보!P$4)</f>
        <v>0</v>
      </c>
      <c r="Q977" s="80" t="n">
        <f aca="false">COUNTIFS(임대자산!$I:$I,가맹점정보!F977,임대자산!$N:$N,가맹점정보!Q$4)</f>
        <v>0</v>
      </c>
      <c r="R977" s="81" t="n">
        <f aca="false">COUNTIFS(임대자산!$I:$I,가맹점정보!F977,임대자산!$N:$N,가맹점정보!R$4)</f>
        <v>1</v>
      </c>
      <c r="S977" s="82" t="n">
        <v>55000</v>
      </c>
      <c r="T977" s="83" t="n">
        <v>0</v>
      </c>
      <c r="U977" s="80" t="n">
        <f aca="false">SUM(S977:T977)</f>
        <v>55000</v>
      </c>
      <c r="V977" s="84" t="s">
        <v>12</v>
      </c>
      <c r="W977" s="80" t="e">
        <f aca="true">
IF(D977="폐업","폐업",
IF(V977="면제","면제",
IF(AND(V977="정상",COUNTIFS(OFFSET(Y977,0,COUNTA(Y977:AV977)-1,1,-4),"미납")&gt;=3),"장기미납",
IF(AND(V977="정상",OFFSET(Y977,0,COUNTA(Y977:AV977)-1)&gt;=U977),"정상",
IF(AND(V977="정상",OFFSET(Y977,0,COUNTA(Y977:AV977)-1)=0),"정상",
"계약서 미작성")))))</f>
        <v>#VALUE!</v>
      </c>
      <c r="X977" s="81" t="str">
        <f aca="true">
IF(D977="폐업","폐업",
IF(AND(V977="정상",OFFSET(Y977,0,COUNTA(Y977:AV977)-1)="미납"),"미납",
IF(AND(V977="정상",OFFSET(Y977,0,COUNTA(Y977:AV977)-1)=0),"납부 시작 전",
IF(AND(V977="정상",OFFSET(Y977,0,COUNTA(Y977:AV977)-1)&gt;=U977),"정상",
IF(AND(V977="면제",OFFSET(Y977,0,COUNTA(Y977:AV977)-1)="면제"),"면제",
IF(AND(V977="면제",OFFSET(Y977,0,COUNTA(Y977:AV977)-1)=0),"면제",
"확인요청"))))))</f>
        <v>정상</v>
      </c>
      <c r="Y977" s="93" t="n">
        <v>55000</v>
      </c>
      <c r="Z977" s="90" t="n">
        <v>55000</v>
      </c>
      <c r="AA977" s="90" t="n">
        <v>55000</v>
      </c>
      <c r="AB977" s="90" t="n">
        <v>55000</v>
      </c>
      <c r="AC977" s="90" t="n">
        <v>55000</v>
      </c>
      <c r="AD977" s="90" t="n">
        <v>55000</v>
      </c>
      <c r="AE977" s="90" t="n">
        <v>55000</v>
      </c>
      <c r="AF977" s="90" t="n">
        <v>55000</v>
      </c>
      <c r="AG977" s="90" t="n">
        <v>55000</v>
      </c>
      <c r="AH977" s="90" t="n">
        <v>55000</v>
      </c>
      <c r="AI977" s="90" t="n">
        <v>55000</v>
      </c>
      <c r="AJ977" s="91" t="n">
        <v>55000</v>
      </c>
      <c r="AK977" s="97" t="s">
        <v>62</v>
      </c>
      <c r="AL977" s="90" t="n">
        <v>55000</v>
      </c>
      <c r="AM977" s="90"/>
      <c r="AN977" s="90"/>
      <c r="AO977" s="90"/>
      <c r="AP977" s="90"/>
      <c r="AQ977" s="90"/>
      <c r="AR977" s="90"/>
      <c r="AS977" s="90"/>
      <c r="AT977" s="90"/>
      <c r="AU977" s="90"/>
      <c r="AV977" s="91"/>
      <c r="AX977" s="92"/>
    </row>
    <row r="978" customFormat="false" ht="15.65" hidden="false" customHeight="false" outlineLevel="0" collapsed="false">
      <c r="C978" s="72" t="n">
        <f aca="false">COUNTIFS($D$6:D978,"&lt;&gt;"&amp;"")</f>
        <v>973</v>
      </c>
      <c r="D978" s="73" t="s">
        <v>12</v>
      </c>
      <c r="E978" s="76" t="str">
        <f aca="false">
IF($D978="정상",INDEX(임대자산!$D$3:$R$3000,MATCH($F978,임대자산!$I$3:$I$3000,0),MATCH(E$3,임대자산!$D$3:$R$3,0)),
IF($D978="폐업",INDEX(폐업정보!$D$3:$R$3000,MATCH($F978,폐업정보!$I$3:$I$3000,0),MATCH(E$3,폐업정보!$D$3:$R$3,0)),
"Error"))</f>
        <v>서울</v>
      </c>
      <c r="F97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B0973</v>
      </c>
      <c r="G978" s="76" t="str">
        <f aca="false">F978&amp;RANDBETWEEN(0,10)</f>
        <v>B09732</v>
      </c>
      <c r="H978" s="75" t="n">
        <f aca="false">
IF($D978="정상",INDEX(임대자산!$D$3:$R$3000,MATCH($F978,임대자산!$I$3:$I$3000,0),MATCH(H$4,임대자산!$D$3:$R$3,0)),
IF($D978="폐업",INDEX(폐업정보!$D$3:$R$3000,MATCH($F978,폐업정보!$I$3:$I$3000,0),MATCH(H$4,폐업정보!$D$3:$R$3,0)),
"Error"))</f>
        <v>45671</v>
      </c>
      <c r="I978" s="75" t="str">
        <f aca="false">
IF($D978="정상",INDEX(임대자산!$D$3:$R$3000,MATCH($F978,임대자산!$I$3:$I$3000,0),MATCH(I$4,임대자산!$D$3:$R$3,0)),
IF($D978="폐업",INDEX(폐업정보!$D$3:$R$3000,MATCH($F978,폐업정보!$I$3:$I$3000,0),MATCH(I$4,폐업정보!$D$3:$R$3,0)),
"Error"))</f>
        <v>A0973</v>
      </c>
      <c r="J978" s="75" t="str">
        <f aca="false">
IF($D978="정상",INDEX(임대자산!$D$3:$R$3000,MATCH($F978,임대자산!$I$3:$I$3000,0),MATCH(J$4,임대자산!$D$3:$R$3,0)),
IF($D978="폐업",INDEX(폐업정보!$D$3:$R$3000,MATCH($F978,폐업정보!$I$3:$I$3000,0),MATCH(J$4,폐업정보!$D$3:$R$3,0)),
"Error"))</f>
        <v>2258100000</v>
      </c>
      <c r="K978" s="75" t="str">
        <f aca="false">
IF($D978="정상",INDEX(임대자산!$D$3:$R$3000,MATCH($F978,임대자산!$I$3:$I$3000,0),MATCH(K$4,임대자산!$D$3:$R$3,0)),
IF($D978="폐업",INDEX(폐업정보!$D$3:$R$3000,MATCH($F978,폐업정보!$I$3:$I$3000,0),MATCH(K$4,폐업정보!$D$3:$R$3,0)),
"Error"))</f>
        <v>C0973</v>
      </c>
      <c r="L978" s="75" t="str">
        <f aca="false">
IF($D978="정상",INDEX(임대자산!$D$3:$R$3000,MATCH($F978,임대자산!$I$3:$I$3000,0),MATCH(L$4,임대자산!$D$3:$R$3,0)),
IF($D978="폐업",INDEX(폐업정보!$D$3:$R$3000,MATCH($F978,폐업정보!$I$3:$I$3000,0),MATCH(L$4,폐업정보!$D$3:$R$3,0)),
"Error"))</f>
        <v>D0973</v>
      </c>
      <c r="M978" s="76" t="s">
        <v>96</v>
      </c>
      <c r="N978" s="77"/>
      <c r="O978" s="78" t="s">
        <v>97</v>
      </c>
      <c r="P978" s="79" t="n">
        <f aca="false">COUNTIFS(임대자산!$I:$I,가맹점정보!F978,임대자산!$N:$N,가맹점정보!P$4)</f>
        <v>0</v>
      </c>
      <c r="Q978" s="80" t="n">
        <f aca="false">COUNTIFS(임대자산!$I:$I,가맹점정보!F978,임대자산!$N:$N,가맹점정보!Q$4)</f>
        <v>0</v>
      </c>
      <c r="R978" s="81" t="n">
        <f aca="false">COUNTIFS(임대자산!$I:$I,가맹점정보!F978,임대자산!$N:$N,가맹점정보!R$4)</f>
        <v>1</v>
      </c>
      <c r="S978" s="82" t="n">
        <v>33000</v>
      </c>
      <c r="T978" s="83" t="n">
        <v>33000</v>
      </c>
      <c r="U978" s="80" t="n">
        <f aca="false">SUM(S978:T978)</f>
        <v>66000</v>
      </c>
      <c r="V978" s="84" t="s">
        <v>12</v>
      </c>
      <c r="W978" s="80" t="e">
        <f aca="true">
IF(D978="폐업","폐업",
IF(V978="면제","면제",
IF(AND(V978="정상",COUNTIFS(OFFSET(Y978,0,COUNTA(Y978:AV978)-1,1,-4),"미납")&gt;=3),"장기미납",
IF(AND(V978="정상",OFFSET(Y978,0,COUNTA(Y978:AV978)-1)&gt;=U978),"정상",
IF(AND(V978="정상",OFFSET(Y978,0,COUNTA(Y978:AV978)-1)=0),"정상",
"계약서 미작성")))))</f>
        <v>#VALUE!</v>
      </c>
      <c r="X978" s="81" t="str">
        <f aca="true">
IF(D978="폐업","폐업",
IF(AND(V978="정상",OFFSET(Y978,0,COUNTA(Y978:AV978)-1)="미납"),"미납",
IF(AND(V978="정상",OFFSET(Y978,0,COUNTA(Y978:AV978)-1)=0),"납부 시작 전",
IF(AND(V978="정상",OFFSET(Y978,0,COUNTA(Y978:AV978)-1)&gt;=U978),"정상",
IF(AND(V978="면제",OFFSET(Y978,0,COUNTA(Y978:AV978)-1)="면제"),"면제",
IF(AND(V978="면제",OFFSET(Y978,0,COUNTA(Y978:AV978)-1)=0),"면제",
"확인요청"))))))</f>
        <v>정상</v>
      </c>
      <c r="Y978" s="93" t="n">
        <v>66000</v>
      </c>
      <c r="Z978" s="90" t="n">
        <v>66000</v>
      </c>
      <c r="AA978" s="90" t="n">
        <v>66000</v>
      </c>
      <c r="AB978" s="90" t="n">
        <v>66000</v>
      </c>
      <c r="AC978" s="90" t="n">
        <v>66000</v>
      </c>
      <c r="AD978" s="90" t="n">
        <v>66000</v>
      </c>
      <c r="AE978" s="90" t="n">
        <v>66000</v>
      </c>
      <c r="AF978" s="90" t="n">
        <v>66000</v>
      </c>
      <c r="AG978" s="90" t="n">
        <v>66000</v>
      </c>
      <c r="AH978" s="90" t="n">
        <v>66000</v>
      </c>
      <c r="AI978" s="90" t="n">
        <v>66000</v>
      </c>
      <c r="AJ978" s="91" t="n">
        <v>66000</v>
      </c>
      <c r="AK978" s="89" t="n">
        <v>66000</v>
      </c>
      <c r="AL978" s="90" t="n">
        <v>66000</v>
      </c>
      <c r="AM978" s="90"/>
      <c r="AN978" s="90"/>
      <c r="AO978" s="90"/>
      <c r="AP978" s="90"/>
      <c r="AQ978" s="90"/>
      <c r="AR978" s="90"/>
      <c r="AS978" s="90"/>
      <c r="AT978" s="90"/>
      <c r="AU978" s="90"/>
      <c r="AV978" s="91"/>
      <c r="AX978" s="92"/>
    </row>
    <row r="979" customFormat="false" ht="15.65" hidden="false" customHeight="false" outlineLevel="0" collapsed="false">
      <c r="C979" s="72" t="n">
        <f aca="false">COUNTIFS($D$6:D979,"&lt;&gt;"&amp;"")</f>
        <v>974</v>
      </c>
      <c r="D979" s="73" t="s">
        <v>12</v>
      </c>
      <c r="E979" s="76" t="str">
        <f aca="false">
IF($D979="정상",INDEX(임대자산!$D$3:$R$3000,MATCH($F979,임대자산!$I$3:$I$3000,0),MATCH(E$3,임대자산!$D$3:$R$3,0)),
IF($D979="폐업",INDEX(폐업정보!$D$3:$R$3000,MATCH($F979,폐업정보!$I$3:$I$3000,0),MATCH(E$3,폐업정보!$D$3:$R$3,0)),
"Error"))</f>
        <v>전라</v>
      </c>
      <c r="F97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B0974</v>
      </c>
      <c r="G979" s="76" t="str">
        <f aca="false">F979&amp;RANDBETWEEN(0,10)</f>
        <v>B09746</v>
      </c>
      <c r="H979" s="75" t="n">
        <f aca="false">
IF($D979="정상",INDEX(임대자산!$D$3:$R$3000,MATCH($F979,임대자산!$I$3:$I$3000,0),MATCH(H$4,임대자산!$D$3:$R$3,0)),
IF($D979="폐업",INDEX(폐업정보!$D$3:$R$3000,MATCH($F979,폐업정보!$I$3:$I$3000,0),MATCH(H$4,폐업정보!$D$3:$R$3,0)),
"Error"))</f>
        <v>46003</v>
      </c>
      <c r="I979" s="75" t="str">
        <f aca="false">
IF($D979="정상",INDEX(임대자산!$D$3:$R$3000,MATCH($F979,임대자산!$I$3:$I$3000,0),MATCH(I$4,임대자산!$D$3:$R$3,0)),
IF($D979="폐업",INDEX(폐업정보!$D$3:$R$3000,MATCH($F979,폐업정보!$I$3:$I$3000,0),MATCH(I$4,폐업정보!$D$3:$R$3,0)),
"Error"))</f>
        <v>A0974</v>
      </c>
      <c r="J979" s="75" t="str">
        <f aca="false">
IF($D979="정상",INDEX(임대자산!$D$3:$R$3000,MATCH($F979,임대자산!$I$3:$I$3000,0),MATCH(J$4,임대자산!$D$3:$R$3,0)),
IF($D979="폐업",INDEX(폐업정보!$D$3:$R$3000,MATCH($F979,폐업정보!$I$3:$I$3000,0),MATCH(J$4,폐업정보!$D$3:$R$3,0)),
"Error"))</f>
        <v>5946400000</v>
      </c>
      <c r="K979" s="75" t="str">
        <f aca="false">
IF($D979="정상",INDEX(임대자산!$D$3:$R$3000,MATCH($F979,임대자산!$I$3:$I$3000,0),MATCH(K$4,임대자산!$D$3:$R$3,0)),
IF($D979="폐업",INDEX(폐업정보!$D$3:$R$3000,MATCH($F979,폐업정보!$I$3:$I$3000,0),MATCH(K$4,폐업정보!$D$3:$R$3,0)),
"Error"))</f>
        <v>C0974</v>
      </c>
      <c r="L979" s="75" t="str">
        <f aca="false">
IF($D979="정상",INDEX(임대자산!$D$3:$R$3000,MATCH($F979,임대자산!$I$3:$I$3000,0),MATCH(L$4,임대자산!$D$3:$R$3,0)),
IF($D979="폐업",INDEX(폐업정보!$D$3:$R$3000,MATCH($F979,폐업정보!$I$3:$I$3000,0),MATCH(L$4,폐업정보!$D$3:$R$3,0)),
"Error"))</f>
        <v>D0974</v>
      </c>
      <c r="M979" s="76" t="s">
        <v>96</v>
      </c>
      <c r="N979" s="77"/>
      <c r="O979" s="78" t="s">
        <v>97</v>
      </c>
      <c r="P979" s="79" t="n">
        <f aca="false">COUNTIFS(임대자산!$I:$I,가맹점정보!F979,임대자산!$N:$N,가맹점정보!P$4)</f>
        <v>0</v>
      </c>
      <c r="Q979" s="80" t="n">
        <f aca="false">COUNTIFS(임대자산!$I:$I,가맹점정보!F979,임대자산!$N:$N,가맹점정보!Q$4)</f>
        <v>0</v>
      </c>
      <c r="R979" s="81" t="n">
        <f aca="false">COUNTIFS(임대자산!$I:$I,가맹점정보!F979,임대자산!$N:$N,가맹점정보!R$4)</f>
        <v>1</v>
      </c>
      <c r="S979" s="82" t="n">
        <v>55000</v>
      </c>
      <c r="T979" s="83" t="n">
        <v>0</v>
      </c>
      <c r="U979" s="80" t="n">
        <f aca="false">SUM(S979:T979)</f>
        <v>55000</v>
      </c>
      <c r="V979" s="84" t="s">
        <v>12</v>
      </c>
      <c r="W979" s="80" t="e">
        <f aca="true">
IF(D979="폐업","폐업",
IF(V979="면제","면제",
IF(AND(V979="정상",COUNTIFS(OFFSET(Y979,0,COUNTA(Y979:AV979)-1,1,-4),"미납")&gt;=3),"장기미납",
IF(AND(V979="정상",OFFSET(Y979,0,COUNTA(Y979:AV979)-1)&gt;=U979),"정상",
IF(AND(V979="정상",OFFSET(Y979,0,COUNTA(Y979:AV979)-1)=0),"정상",
"계약서 미작성")))))</f>
        <v>#VALUE!</v>
      </c>
      <c r="X979" s="81" t="str">
        <f aca="true">
IF(D979="폐업","폐업",
IF(AND(V979="정상",OFFSET(Y979,0,COUNTA(Y979:AV979)-1)="미납"),"미납",
IF(AND(V979="정상",OFFSET(Y979,0,COUNTA(Y979:AV979)-1)=0),"납부 시작 전",
IF(AND(V979="정상",OFFSET(Y979,0,COUNTA(Y979:AV979)-1)&gt;=U979),"정상",
IF(AND(V979="면제",OFFSET(Y979,0,COUNTA(Y979:AV979)-1)="면제"),"면제",
IF(AND(V979="면제",OFFSET(Y979,0,COUNTA(Y979:AV979)-1)=0),"면제",
"확인요청"))))))</f>
        <v>정상</v>
      </c>
      <c r="Y979" s="93" t="n">
        <v>55000</v>
      </c>
      <c r="Z979" s="90" t="n">
        <v>55000</v>
      </c>
      <c r="AA979" s="90" t="n">
        <v>55000</v>
      </c>
      <c r="AB979" s="90" t="n">
        <v>55000</v>
      </c>
      <c r="AC979" s="90" t="n">
        <v>55000</v>
      </c>
      <c r="AD979" s="90" t="n">
        <v>55000</v>
      </c>
      <c r="AE979" s="90" t="n">
        <v>55000</v>
      </c>
      <c r="AF979" s="90" t="n">
        <v>55000</v>
      </c>
      <c r="AG979" s="90" t="n">
        <v>55000</v>
      </c>
      <c r="AH979" s="90" t="n">
        <v>55000</v>
      </c>
      <c r="AI979" s="90" t="n">
        <v>55000</v>
      </c>
      <c r="AJ979" s="91" t="n">
        <v>55000</v>
      </c>
      <c r="AK979" s="89" t="n">
        <v>55000</v>
      </c>
      <c r="AL979" s="90" t="n">
        <v>55000</v>
      </c>
      <c r="AM979" s="90"/>
      <c r="AN979" s="90"/>
      <c r="AO979" s="90"/>
      <c r="AP979" s="90"/>
      <c r="AQ979" s="90"/>
      <c r="AR979" s="90"/>
      <c r="AS979" s="90"/>
      <c r="AT979" s="90"/>
      <c r="AU979" s="90"/>
      <c r="AV979" s="91"/>
      <c r="AX979" s="92"/>
    </row>
    <row r="980" customFormat="false" ht="15.65" hidden="false" customHeight="false" outlineLevel="0" collapsed="false">
      <c r="C980" s="72" t="n">
        <f aca="false">COUNTIFS($D$6:D980,"&lt;&gt;"&amp;"")</f>
        <v>975</v>
      </c>
      <c r="D980" s="73" t="s">
        <v>12</v>
      </c>
      <c r="E980" s="76" t="str">
        <f aca="false">
IF($D980="정상",INDEX(임대자산!$D$3:$R$3000,MATCH($F980,임대자산!$I$3:$I$3000,0),MATCH(E$3,임대자산!$D$3:$R$3,0)),
IF($D980="폐업",INDEX(폐업정보!$D$3:$R$3000,MATCH($F980,폐업정보!$I$3:$I$3000,0),MATCH(E$3,폐업정보!$D$3:$R$3,0)),
"Error"))</f>
        <v>강원</v>
      </c>
      <c r="F98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B0975</v>
      </c>
      <c r="G980" s="76" t="str">
        <f aca="false">F980&amp;RANDBETWEEN(0,10)</f>
        <v>B09756</v>
      </c>
      <c r="H980" s="75" t="n">
        <f aca="false">
IF($D980="정상",INDEX(임대자산!$D$3:$R$3000,MATCH($F980,임대자산!$I$3:$I$3000,0),MATCH(H$4,임대자산!$D$3:$R$3,0)),
IF($D980="폐업",INDEX(폐업정보!$D$3:$R$3000,MATCH($F980,폐업정보!$I$3:$I$3000,0),MATCH(H$4,폐업정보!$D$3:$R$3,0)),
"Error"))</f>
        <v>45313</v>
      </c>
      <c r="I980" s="75" t="str">
        <f aca="false">
IF($D980="정상",INDEX(임대자산!$D$3:$R$3000,MATCH($F980,임대자산!$I$3:$I$3000,0),MATCH(I$4,임대자산!$D$3:$R$3,0)),
IF($D980="폐업",INDEX(폐업정보!$D$3:$R$3000,MATCH($F980,폐업정보!$I$3:$I$3000,0),MATCH(I$4,폐업정보!$D$3:$R$3,0)),
"Error"))</f>
        <v>A0975</v>
      </c>
      <c r="J980" s="75" t="str">
        <f aca="false">
IF($D980="정상",INDEX(임대자산!$D$3:$R$3000,MATCH($F980,임대자산!$I$3:$I$3000,0),MATCH(J$4,임대자산!$D$3:$R$3,0)),
IF($D980="폐업",INDEX(폐업정보!$D$3:$R$3000,MATCH($F980,폐업정보!$I$3:$I$3000,0),MATCH(J$4,폐업정보!$D$3:$R$3,0)),
"Error"))</f>
        <v>6659300000</v>
      </c>
      <c r="K980" s="75" t="str">
        <f aca="false">
IF($D980="정상",INDEX(임대자산!$D$3:$R$3000,MATCH($F980,임대자산!$I$3:$I$3000,0),MATCH(K$4,임대자산!$D$3:$R$3,0)),
IF($D980="폐업",INDEX(폐업정보!$D$3:$R$3000,MATCH($F980,폐업정보!$I$3:$I$3000,0),MATCH(K$4,폐업정보!$D$3:$R$3,0)),
"Error"))</f>
        <v>C0975</v>
      </c>
      <c r="L980" s="75" t="str">
        <f aca="false">
IF($D980="정상",INDEX(임대자산!$D$3:$R$3000,MATCH($F980,임대자산!$I$3:$I$3000,0),MATCH(L$4,임대자산!$D$3:$R$3,0)),
IF($D980="폐업",INDEX(폐업정보!$D$3:$R$3000,MATCH($F980,폐업정보!$I$3:$I$3000,0),MATCH(L$4,폐업정보!$D$3:$R$3,0)),
"Error"))</f>
        <v>D0975</v>
      </c>
      <c r="M980" s="76" t="s">
        <v>96</v>
      </c>
      <c r="N980" s="77"/>
      <c r="O980" s="78" t="s">
        <v>97</v>
      </c>
      <c r="P980" s="79" t="n">
        <f aca="false">COUNTIFS(임대자산!$I:$I,가맹점정보!F980,임대자산!$N:$N,가맹점정보!P$4)</f>
        <v>0</v>
      </c>
      <c r="Q980" s="80" t="n">
        <f aca="false">COUNTIFS(임대자산!$I:$I,가맹점정보!F980,임대자산!$N:$N,가맹점정보!Q$4)</f>
        <v>0</v>
      </c>
      <c r="R980" s="81" t="n">
        <f aca="false">COUNTIFS(임대자산!$I:$I,가맹점정보!F980,임대자산!$N:$N,가맹점정보!R$4)</f>
        <v>1</v>
      </c>
      <c r="S980" s="82" t="n">
        <v>88000</v>
      </c>
      <c r="T980" s="83" t="n">
        <v>0</v>
      </c>
      <c r="U980" s="80" t="n">
        <f aca="false">SUM(S980:T980)</f>
        <v>88000</v>
      </c>
      <c r="V980" s="84" t="s">
        <v>12</v>
      </c>
      <c r="W980" s="80" t="e">
        <f aca="true">
IF(D980="폐업","폐업",
IF(V980="면제","면제",
IF(AND(V980="정상",COUNTIFS(OFFSET(Y980,0,COUNTA(Y980:AV980)-1,1,-4),"미납")&gt;=3),"장기미납",
IF(AND(V980="정상",OFFSET(Y980,0,COUNTA(Y980:AV980)-1)&gt;=U980),"정상",
IF(AND(V980="정상",OFFSET(Y980,0,COUNTA(Y980:AV980)-1)=0),"정상",
"계약서 미작성")))))</f>
        <v>#VALUE!</v>
      </c>
      <c r="X980" s="81" t="str">
        <f aca="true">
IF(D980="폐업","폐업",
IF(AND(V980="정상",OFFSET(Y980,0,COUNTA(Y980:AV980)-1)="미납"),"미납",
IF(AND(V980="정상",OFFSET(Y980,0,COUNTA(Y980:AV980)-1)=0),"납부 시작 전",
IF(AND(V980="정상",OFFSET(Y980,0,COUNTA(Y980:AV980)-1)&gt;=U980),"정상",
IF(AND(V980="면제",OFFSET(Y980,0,COUNTA(Y980:AV980)-1)="면제"),"면제",
IF(AND(V980="면제",OFFSET(Y980,0,COUNTA(Y980:AV980)-1)=0),"면제",
"확인요청"))))))</f>
        <v>정상</v>
      </c>
      <c r="Y980" s="93" t="s">
        <v>99</v>
      </c>
      <c r="Z980" s="90" t="n">
        <v>176000</v>
      </c>
      <c r="AA980" s="90" t="n">
        <v>88000</v>
      </c>
      <c r="AB980" s="90" t="n">
        <v>88000</v>
      </c>
      <c r="AC980" s="90" t="n">
        <v>88000</v>
      </c>
      <c r="AD980" s="90" t="n">
        <v>88000</v>
      </c>
      <c r="AE980" s="90" t="n">
        <v>88000</v>
      </c>
      <c r="AF980" s="90" t="n">
        <v>88000</v>
      </c>
      <c r="AG980" s="90" t="n">
        <v>88000</v>
      </c>
      <c r="AH980" s="90" t="n">
        <v>88000</v>
      </c>
      <c r="AI980" s="90" t="n">
        <v>88000</v>
      </c>
      <c r="AJ980" s="91" t="n">
        <v>88000</v>
      </c>
      <c r="AK980" s="89" t="n">
        <v>88000</v>
      </c>
      <c r="AL980" s="90" t="n">
        <v>88000</v>
      </c>
      <c r="AM980" s="90"/>
      <c r="AN980" s="90"/>
      <c r="AO980" s="90"/>
      <c r="AP980" s="90"/>
      <c r="AQ980" s="90"/>
      <c r="AR980" s="90"/>
      <c r="AS980" s="90"/>
      <c r="AT980" s="90"/>
      <c r="AU980" s="90"/>
      <c r="AV980" s="91"/>
      <c r="AX980" s="92"/>
    </row>
    <row r="981" customFormat="false" ht="15.65" hidden="false" customHeight="false" outlineLevel="0" collapsed="false">
      <c r="C981" s="72" t="n">
        <f aca="false">COUNTIFS($D$6:D981,"&lt;&gt;"&amp;"")</f>
        <v>976</v>
      </c>
      <c r="D981" s="73" t="s">
        <v>12</v>
      </c>
      <c r="E981" s="76" t="str">
        <f aca="false">
IF($D981="정상",INDEX(임대자산!$D$3:$R$3000,MATCH($F981,임대자산!$I$3:$I$3000,0),MATCH(E$3,임대자산!$D$3:$R$3,0)),
IF($D981="폐업",INDEX(폐업정보!$D$3:$R$3000,MATCH($F981,폐업정보!$I$3:$I$3000,0),MATCH(E$3,폐업정보!$D$3:$R$3,0)),
"Error"))</f>
        <v>서울</v>
      </c>
      <c r="F98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B0976</v>
      </c>
      <c r="G981" s="76" t="str">
        <f aca="false">F981&amp;RANDBETWEEN(0,10)</f>
        <v>B09761</v>
      </c>
      <c r="H981" s="75" t="n">
        <f aca="false">
IF($D981="정상",INDEX(임대자산!$D$3:$R$3000,MATCH($F981,임대자산!$I$3:$I$3000,0),MATCH(H$4,임대자산!$D$3:$R$3,0)),
IF($D981="폐업",INDEX(폐업정보!$D$3:$R$3000,MATCH($F981,폐업정보!$I$3:$I$3000,0),MATCH(H$4,폐업정보!$D$3:$R$3,0)),
"Error"))</f>
        <v>44608</v>
      </c>
      <c r="I981" s="75" t="str">
        <f aca="false">
IF($D981="정상",INDEX(임대자산!$D$3:$R$3000,MATCH($F981,임대자산!$I$3:$I$3000,0),MATCH(I$4,임대자산!$D$3:$R$3,0)),
IF($D981="폐업",INDEX(폐업정보!$D$3:$R$3000,MATCH($F981,폐업정보!$I$3:$I$3000,0),MATCH(I$4,폐업정보!$D$3:$R$3,0)),
"Error"))</f>
        <v>A0976</v>
      </c>
      <c r="J981" s="75" t="str">
        <f aca="false">
IF($D981="정상",INDEX(임대자산!$D$3:$R$3000,MATCH($F981,임대자산!$I$3:$I$3000,0),MATCH(J$4,임대자산!$D$3:$R$3,0)),
IF($D981="폐업",INDEX(폐업정보!$D$3:$R$3000,MATCH($F981,폐업정보!$I$3:$I$3000,0),MATCH(J$4,폐업정보!$D$3:$R$3,0)),
"Error"))</f>
        <v>7124100000</v>
      </c>
      <c r="K981" s="75" t="str">
        <f aca="false">
IF($D981="정상",INDEX(임대자산!$D$3:$R$3000,MATCH($F981,임대자산!$I$3:$I$3000,0),MATCH(K$4,임대자산!$D$3:$R$3,0)),
IF($D981="폐업",INDEX(폐업정보!$D$3:$R$3000,MATCH($F981,폐업정보!$I$3:$I$3000,0),MATCH(K$4,폐업정보!$D$3:$R$3,0)),
"Error"))</f>
        <v>C0976</v>
      </c>
      <c r="L981" s="75" t="str">
        <f aca="false">
IF($D981="정상",INDEX(임대자산!$D$3:$R$3000,MATCH($F981,임대자산!$I$3:$I$3000,0),MATCH(L$4,임대자산!$D$3:$R$3,0)),
IF($D981="폐업",INDEX(폐업정보!$D$3:$R$3000,MATCH($F981,폐업정보!$I$3:$I$3000,0),MATCH(L$4,폐업정보!$D$3:$R$3,0)),
"Error"))</f>
        <v>D0976</v>
      </c>
      <c r="M981" s="76" t="s">
        <v>96</v>
      </c>
      <c r="N981" s="77"/>
      <c r="O981" s="78" t="s">
        <v>97</v>
      </c>
      <c r="P981" s="79" t="n">
        <f aca="false">COUNTIFS(임대자산!$I:$I,가맹점정보!F981,임대자산!$N:$N,가맹점정보!P$4)</f>
        <v>0</v>
      </c>
      <c r="Q981" s="80" t="n">
        <f aca="false">COUNTIFS(임대자산!$I:$I,가맹점정보!F981,임대자산!$N:$N,가맹점정보!Q$4)</f>
        <v>0</v>
      </c>
      <c r="R981" s="81" t="n">
        <f aca="false">COUNTIFS(임대자산!$I:$I,가맹점정보!F981,임대자산!$N:$N,가맹점정보!R$4)</f>
        <v>1</v>
      </c>
      <c r="S981" s="82" t="n">
        <v>55000</v>
      </c>
      <c r="T981" s="83" t="n">
        <v>0</v>
      </c>
      <c r="U981" s="80" t="n">
        <f aca="false">SUM(S981:T981)</f>
        <v>55000</v>
      </c>
      <c r="V981" s="84" t="s">
        <v>12</v>
      </c>
      <c r="W981" s="80" t="e">
        <f aca="true">
IF(D981="폐업","폐업",
IF(V981="면제","면제",
IF(AND(V981="정상",COUNTIFS(OFFSET(Y981,0,COUNTA(Y981:AV981)-1,1,-4),"미납")&gt;=3),"장기미납",
IF(AND(V981="정상",OFFSET(Y981,0,COUNTA(Y981:AV981)-1)&gt;=U981),"정상",
IF(AND(V981="정상",OFFSET(Y981,0,COUNTA(Y981:AV981)-1)=0),"정상",
"계약서 미작성")))))</f>
        <v>#VALUE!</v>
      </c>
      <c r="X981" s="81" t="str">
        <f aca="true">
IF(D981="폐업","폐업",
IF(AND(V981="정상",OFFSET(Y981,0,COUNTA(Y981:AV981)-1)="미납"),"미납",
IF(AND(V981="정상",OFFSET(Y981,0,COUNTA(Y981:AV981)-1)=0),"납부 시작 전",
IF(AND(V981="정상",OFFSET(Y981,0,COUNTA(Y981:AV981)-1)&gt;=U981),"정상",
IF(AND(V981="면제",OFFSET(Y981,0,COUNTA(Y981:AV981)-1)="면제"),"면제",
IF(AND(V981="면제",OFFSET(Y981,0,COUNTA(Y981:AV981)-1)=0),"면제",
"확인요청"))))))</f>
        <v>정상</v>
      </c>
      <c r="Y981" s="93" t="n">
        <v>55000</v>
      </c>
      <c r="Z981" s="90" t="n">
        <v>55000</v>
      </c>
      <c r="AA981" s="90" t="n">
        <v>55000</v>
      </c>
      <c r="AB981" s="90" t="n">
        <v>55000</v>
      </c>
      <c r="AC981" s="90" t="n">
        <v>55000</v>
      </c>
      <c r="AD981" s="90" t="n">
        <v>55000</v>
      </c>
      <c r="AE981" s="90" t="n">
        <v>55000</v>
      </c>
      <c r="AF981" s="90" t="n">
        <v>55000</v>
      </c>
      <c r="AG981" s="90" t="n">
        <v>55000</v>
      </c>
      <c r="AH981" s="90" t="n">
        <v>55000</v>
      </c>
      <c r="AI981" s="90" t="n">
        <v>55000</v>
      </c>
      <c r="AJ981" s="91" t="n">
        <v>55000</v>
      </c>
      <c r="AK981" s="89" t="n">
        <v>55000</v>
      </c>
      <c r="AL981" s="90" t="n">
        <v>55000</v>
      </c>
      <c r="AM981" s="90"/>
      <c r="AN981" s="90"/>
      <c r="AO981" s="90"/>
      <c r="AP981" s="90"/>
      <c r="AQ981" s="90"/>
      <c r="AR981" s="90"/>
      <c r="AS981" s="90"/>
      <c r="AT981" s="90"/>
      <c r="AU981" s="90"/>
      <c r="AV981" s="91"/>
      <c r="AX981" s="92"/>
    </row>
    <row r="982" customFormat="false" ht="15.65" hidden="false" customHeight="false" outlineLevel="0" collapsed="false">
      <c r="C982" s="72" t="n">
        <f aca="false">COUNTIFS($D$6:D982,"&lt;&gt;"&amp;"")</f>
        <v>977</v>
      </c>
      <c r="D982" s="73" t="s">
        <v>12</v>
      </c>
      <c r="E982" s="76" t="str">
        <f aca="false">
IF($D982="정상",INDEX(임대자산!$D$3:$R$3000,MATCH($F982,임대자산!$I$3:$I$3000,0),MATCH(E$3,임대자산!$D$3:$R$3,0)),
IF($D982="폐업",INDEX(폐업정보!$D$3:$R$3000,MATCH($F982,폐업정보!$I$3:$I$3000,0),MATCH(E$3,폐업정보!$D$3:$R$3,0)),
"Error"))</f>
        <v>서울</v>
      </c>
      <c r="F98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B0977</v>
      </c>
      <c r="G982" s="76" t="str">
        <f aca="false">F982&amp;RANDBETWEEN(0,10)</f>
        <v>B09772</v>
      </c>
      <c r="H982" s="75" t="n">
        <f aca="false">
IF($D982="정상",INDEX(임대자산!$D$3:$R$3000,MATCH($F982,임대자산!$I$3:$I$3000,0),MATCH(H$4,임대자산!$D$3:$R$3,0)),
IF($D982="폐업",INDEX(폐업정보!$D$3:$R$3000,MATCH($F982,폐업정보!$I$3:$I$3000,0),MATCH(H$4,폐업정보!$D$3:$R$3,0)),
"Error"))</f>
        <v>44608</v>
      </c>
      <c r="I982" s="75" t="str">
        <f aca="false">
IF($D982="정상",INDEX(임대자산!$D$3:$R$3000,MATCH($F982,임대자산!$I$3:$I$3000,0),MATCH(I$4,임대자산!$D$3:$R$3,0)),
IF($D982="폐업",INDEX(폐업정보!$D$3:$R$3000,MATCH($F982,폐업정보!$I$3:$I$3000,0),MATCH(I$4,폐업정보!$D$3:$R$3,0)),
"Error"))</f>
        <v>A0977</v>
      </c>
      <c r="J982" s="75" t="str">
        <f aca="false">
IF($D982="정상",INDEX(임대자산!$D$3:$R$3000,MATCH($F982,임대자산!$I$3:$I$3000,0),MATCH(J$4,임대자산!$D$3:$R$3,0)),
IF($D982="폐업",INDEX(폐업정보!$D$3:$R$3000,MATCH($F982,폐업정보!$I$3:$I$3000,0),MATCH(J$4,폐업정보!$D$3:$R$3,0)),
"Error"))</f>
        <v>6888800000</v>
      </c>
      <c r="K982" s="75" t="str">
        <f aca="false">
IF($D982="정상",INDEX(임대자산!$D$3:$R$3000,MATCH($F982,임대자산!$I$3:$I$3000,0),MATCH(K$4,임대자산!$D$3:$R$3,0)),
IF($D982="폐업",INDEX(폐업정보!$D$3:$R$3000,MATCH($F982,폐업정보!$I$3:$I$3000,0),MATCH(K$4,폐업정보!$D$3:$R$3,0)),
"Error"))</f>
        <v>C0977</v>
      </c>
      <c r="L982" s="75" t="str">
        <f aca="false">
IF($D982="정상",INDEX(임대자산!$D$3:$R$3000,MATCH($F982,임대자산!$I$3:$I$3000,0),MATCH(L$4,임대자산!$D$3:$R$3,0)),
IF($D982="폐업",INDEX(폐업정보!$D$3:$R$3000,MATCH($F982,폐업정보!$I$3:$I$3000,0),MATCH(L$4,폐업정보!$D$3:$R$3,0)),
"Error"))</f>
        <v>D0977</v>
      </c>
      <c r="M982" s="76" t="s">
        <v>96</v>
      </c>
      <c r="N982" s="77"/>
      <c r="O982" s="78" t="s">
        <v>97</v>
      </c>
      <c r="P982" s="79" t="n">
        <f aca="false">COUNTIFS(임대자산!$I:$I,가맹점정보!F982,임대자산!$N:$N,가맹점정보!P$4)</f>
        <v>0</v>
      </c>
      <c r="Q982" s="80" t="n">
        <f aca="false">COUNTIFS(임대자산!$I:$I,가맹점정보!F982,임대자산!$N:$N,가맹점정보!Q$4)</f>
        <v>0</v>
      </c>
      <c r="R982" s="81" t="n">
        <f aca="false">COUNTIFS(임대자산!$I:$I,가맹점정보!F982,임대자산!$N:$N,가맹점정보!R$4)</f>
        <v>1</v>
      </c>
      <c r="S982" s="82" t="n">
        <v>110000</v>
      </c>
      <c r="T982" s="83" t="n">
        <v>0</v>
      </c>
      <c r="U982" s="80" t="n">
        <f aca="false">SUM(S982:T982)</f>
        <v>110000</v>
      </c>
      <c r="V982" s="84" t="s">
        <v>12</v>
      </c>
      <c r="W982" s="80" t="e">
        <f aca="true">
IF(D982="폐업","폐업",
IF(V982="면제","면제",
IF(AND(V982="정상",COUNTIFS(OFFSET(Y982,0,COUNTA(Y982:AV982)-1,1,-4),"미납")&gt;=3),"장기미납",
IF(AND(V982="정상",OFFSET(Y982,0,COUNTA(Y982:AV982)-1)&gt;=U982),"정상",
IF(AND(V982="정상",OFFSET(Y982,0,COUNTA(Y982:AV982)-1)=0),"정상",
"계약서 미작성")))))</f>
        <v>#VALUE!</v>
      </c>
      <c r="X982" s="81" t="str">
        <f aca="true">
IF(D982="폐업","폐업",
IF(AND(V982="정상",OFFSET(Y982,0,COUNTA(Y982:AV982)-1)="미납"),"미납",
IF(AND(V982="정상",OFFSET(Y982,0,COUNTA(Y982:AV982)-1)=0),"납부 시작 전",
IF(AND(V982="정상",OFFSET(Y982,0,COUNTA(Y982:AV982)-1)&gt;=U982),"정상",
IF(AND(V982="면제",OFFSET(Y982,0,COUNTA(Y982:AV982)-1)="면제"),"면제",
IF(AND(V982="면제",OFFSET(Y982,0,COUNTA(Y982:AV982)-1)=0),"면제",
"확인요청"))))))</f>
        <v>정상</v>
      </c>
      <c r="Y982" s="93" t="n">
        <v>110000</v>
      </c>
      <c r="Z982" s="90" t="n">
        <v>110000</v>
      </c>
      <c r="AA982" s="90" t="n">
        <v>110000</v>
      </c>
      <c r="AB982" s="90" t="n">
        <v>110000</v>
      </c>
      <c r="AC982" s="90" t="n">
        <v>110000</v>
      </c>
      <c r="AD982" s="90" t="n">
        <v>110000</v>
      </c>
      <c r="AE982" s="90" t="n">
        <v>110000</v>
      </c>
      <c r="AF982" s="90" t="n">
        <v>110000</v>
      </c>
      <c r="AG982" s="90" t="n">
        <v>110000</v>
      </c>
      <c r="AH982" s="90" t="n">
        <v>110000</v>
      </c>
      <c r="AI982" s="90" t="n">
        <v>110000</v>
      </c>
      <c r="AJ982" s="91" t="n">
        <v>110000</v>
      </c>
      <c r="AK982" s="89" t="n">
        <v>110000</v>
      </c>
      <c r="AL982" s="90" t="n">
        <v>110000</v>
      </c>
      <c r="AM982" s="90"/>
      <c r="AN982" s="90"/>
      <c r="AO982" s="90"/>
      <c r="AP982" s="90"/>
      <c r="AQ982" s="90"/>
      <c r="AR982" s="90"/>
      <c r="AS982" s="90"/>
      <c r="AT982" s="90"/>
      <c r="AU982" s="90"/>
      <c r="AV982" s="91"/>
      <c r="AX982" s="92"/>
    </row>
    <row r="983" customFormat="false" ht="15.65" hidden="false" customHeight="false" outlineLevel="0" collapsed="false">
      <c r="C983" s="72" t="n">
        <f aca="false">COUNTIFS($D$6:D983,"&lt;&gt;"&amp;"")</f>
        <v>978</v>
      </c>
      <c r="D983" s="73" t="s">
        <v>12</v>
      </c>
      <c r="E983" s="76" t="str">
        <f aca="false">
IF($D983="정상",INDEX(임대자산!$D$3:$R$3000,MATCH($F983,임대자산!$I$3:$I$3000,0),MATCH(E$3,임대자산!$D$3:$R$3,0)),
IF($D983="폐업",INDEX(폐업정보!$D$3:$R$3000,MATCH($F983,폐업정보!$I$3:$I$3000,0),MATCH(E$3,폐업정보!$D$3:$R$3,0)),
"Error"))</f>
        <v>강원</v>
      </c>
      <c r="F98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B0978</v>
      </c>
      <c r="G983" s="76" t="str">
        <f aca="false">F983&amp;RANDBETWEEN(0,10)</f>
        <v>B09786</v>
      </c>
      <c r="H983" s="75" t="n">
        <f aca="false">
IF($D983="정상",INDEX(임대자산!$D$3:$R$3000,MATCH($F983,임대자산!$I$3:$I$3000,0),MATCH(H$4,임대자산!$D$3:$R$3,0)),
IF($D983="폐업",INDEX(폐업정보!$D$3:$R$3000,MATCH($F983,폐업정보!$I$3:$I$3000,0),MATCH(H$4,폐업정보!$D$3:$R$3,0)),
"Error"))</f>
        <v>45852</v>
      </c>
      <c r="I983" s="75" t="str">
        <f aca="false">
IF($D983="정상",INDEX(임대자산!$D$3:$R$3000,MATCH($F983,임대자산!$I$3:$I$3000,0),MATCH(I$4,임대자산!$D$3:$R$3,0)),
IF($D983="폐업",INDEX(폐업정보!$D$3:$R$3000,MATCH($F983,폐업정보!$I$3:$I$3000,0),MATCH(I$4,폐업정보!$D$3:$R$3,0)),
"Error"))</f>
        <v>A0978</v>
      </c>
      <c r="J983" s="75" t="str">
        <f aca="false">
IF($D983="정상",INDEX(임대자산!$D$3:$R$3000,MATCH($F983,임대자산!$I$3:$I$3000,0),MATCH(J$4,임대자산!$D$3:$R$3,0)),
IF($D983="폐업",INDEX(폐업정보!$D$3:$R$3000,MATCH($F983,폐업정보!$I$3:$I$3000,0),MATCH(J$4,폐업정보!$D$3:$R$3,0)),
"Error"))</f>
        <v>8849800000</v>
      </c>
      <c r="K983" s="75" t="str">
        <f aca="false">
IF($D983="정상",INDEX(임대자산!$D$3:$R$3000,MATCH($F983,임대자산!$I$3:$I$3000,0),MATCH(K$4,임대자산!$D$3:$R$3,0)),
IF($D983="폐업",INDEX(폐업정보!$D$3:$R$3000,MATCH($F983,폐업정보!$I$3:$I$3000,0),MATCH(K$4,폐업정보!$D$3:$R$3,0)),
"Error"))</f>
        <v>C0978</v>
      </c>
      <c r="L983" s="75" t="str">
        <f aca="false">
IF($D983="정상",INDEX(임대자산!$D$3:$R$3000,MATCH($F983,임대자산!$I$3:$I$3000,0),MATCH(L$4,임대자산!$D$3:$R$3,0)),
IF($D983="폐업",INDEX(폐업정보!$D$3:$R$3000,MATCH($F983,폐업정보!$I$3:$I$3000,0),MATCH(L$4,폐업정보!$D$3:$R$3,0)),
"Error"))</f>
        <v>D0978</v>
      </c>
      <c r="M983" s="76" t="s">
        <v>96</v>
      </c>
      <c r="N983" s="77"/>
      <c r="O983" s="78" t="s">
        <v>97</v>
      </c>
      <c r="P983" s="79" t="n">
        <f aca="false">COUNTIFS(임대자산!$I:$I,가맹점정보!F983,임대자산!$N:$N,가맹점정보!P$4)</f>
        <v>0</v>
      </c>
      <c r="Q983" s="80" t="n">
        <f aca="false">COUNTIFS(임대자산!$I:$I,가맹점정보!F983,임대자산!$N:$N,가맹점정보!Q$4)</f>
        <v>0</v>
      </c>
      <c r="R983" s="81" t="n">
        <f aca="false">COUNTIFS(임대자산!$I:$I,가맹점정보!F983,임대자산!$N:$N,가맹점정보!R$4)</f>
        <v>1</v>
      </c>
      <c r="S983" s="82" t="n">
        <v>55000</v>
      </c>
      <c r="T983" s="83" t="n">
        <v>0</v>
      </c>
      <c r="U983" s="80" t="n">
        <f aca="false">SUM(S983:T983)</f>
        <v>55000</v>
      </c>
      <c r="V983" s="84" t="s">
        <v>12</v>
      </c>
      <c r="W983" s="80" t="e">
        <f aca="true">
IF(D983="폐업","폐업",
IF(V983="면제","면제",
IF(AND(V983="정상",COUNTIFS(OFFSET(Y983,0,COUNTA(Y983:AV983)-1,1,-4),"미납")&gt;=3),"장기미납",
IF(AND(V983="정상",OFFSET(Y983,0,COUNTA(Y983:AV983)-1)&gt;=U983),"정상",
IF(AND(V983="정상",OFFSET(Y983,0,COUNTA(Y983:AV983)-1)=0),"정상",
"계약서 미작성")))))</f>
        <v>#VALUE!</v>
      </c>
      <c r="X983" s="81" t="str">
        <f aca="true">
IF(D983="폐업","폐업",
IF(AND(V983="정상",OFFSET(Y983,0,COUNTA(Y983:AV983)-1)="미납"),"미납",
IF(AND(V983="정상",OFFSET(Y983,0,COUNTA(Y983:AV983)-1)=0),"납부 시작 전",
IF(AND(V983="정상",OFFSET(Y983,0,COUNTA(Y983:AV983)-1)&gt;=U983),"정상",
IF(AND(V983="면제",OFFSET(Y983,0,COUNTA(Y983:AV983)-1)="면제"),"면제",
IF(AND(V983="면제",OFFSET(Y983,0,COUNTA(Y983:AV983)-1)=0),"면제",
"확인요청"))))))</f>
        <v>정상</v>
      </c>
      <c r="Y983" s="93" t="n">
        <v>55000</v>
      </c>
      <c r="Z983" s="90" t="n">
        <v>55000</v>
      </c>
      <c r="AA983" s="90" t="n">
        <v>55000</v>
      </c>
      <c r="AB983" s="90" t="n">
        <v>55000</v>
      </c>
      <c r="AC983" s="90" t="n">
        <v>55000</v>
      </c>
      <c r="AD983" s="90" t="n">
        <v>55000</v>
      </c>
      <c r="AE983" s="90" t="n">
        <v>55000</v>
      </c>
      <c r="AF983" s="90" t="n">
        <v>55000</v>
      </c>
      <c r="AG983" s="90" t="n">
        <v>55000</v>
      </c>
      <c r="AH983" s="90" t="n">
        <v>55000</v>
      </c>
      <c r="AI983" s="90" t="n">
        <v>55000</v>
      </c>
      <c r="AJ983" s="91" t="n">
        <v>55000</v>
      </c>
      <c r="AK983" s="89" t="n">
        <v>55000</v>
      </c>
      <c r="AL983" s="90" t="n">
        <v>55000</v>
      </c>
      <c r="AM983" s="90"/>
      <c r="AN983" s="90"/>
      <c r="AO983" s="90"/>
      <c r="AP983" s="90"/>
      <c r="AQ983" s="90"/>
      <c r="AR983" s="90"/>
      <c r="AS983" s="90"/>
      <c r="AT983" s="90"/>
      <c r="AU983" s="90"/>
      <c r="AV983" s="91"/>
      <c r="AX983" s="92"/>
    </row>
    <row r="984" customFormat="false" ht="15.65" hidden="false" customHeight="false" outlineLevel="0" collapsed="false">
      <c r="C984" s="72" t="n">
        <f aca="false">COUNTIFS($D$6:D984,"&lt;&gt;"&amp;"")</f>
        <v>979</v>
      </c>
      <c r="D984" s="73" t="s">
        <v>12</v>
      </c>
      <c r="E984" s="76" t="str">
        <f aca="false">
IF($D984="정상",INDEX(임대자산!$D$3:$R$3000,MATCH($F984,임대자산!$I$3:$I$3000,0),MATCH(E$3,임대자산!$D$3:$R$3,0)),
IF($D984="폐업",INDEX(폐업정보!$D$3:$R$3000,MATCH($F984,폐업정보!$I$3:$I$3000,0),MATCH(E$3,폐업정보!$D$3:$R$3,0)),
"Error"))</f>
        <v>서울</v>
      </c>
      <c r="F98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B0979</v>
      </c>
      <c r="G984" s="76" t="str">
        <f aca="false">F984&amp;RANDBETWEEN(0,10)</f>
        <v>B09796</v>
      </c>
      <c r="H984" s="75" t="n">
        <f aca="false">
IF($D984="정상",INDEX(임대자산!$D$3:$R$3000,MATCH($F984,임대자산!$I$3:$I$3000,0),MATCH(H$4,임대자산!$D$3:$R$3,0)),
IF($D984="폐업",INDEX(폐업정보!$D$3:$R$3000,MATCH($F984,폐업정보!$I$3:$I$3000,0),MATCH(H$4,폐업정보!$D$3:$R$3,0)),
"Error"))</f>
        <v>44610</v>
      </c>
      <c r="I984" s="75" t="str">
        <f aca="false">
IF($D984="정상",INDEX(임대자산!$D$3:$R$3000,MATCH($F984,임대자산!$I$3:$I$3000,0),MATCH(I$4,임대자산!$D$3:$R$3,0)),
IF($D984="폐업",INDEX(폐업정보!$D$3:$R$3000,MATCH($F984,폐업정보!$I$3:$I$3000,0),MATCH(I$4,폐업정보!$D$3:$R$3,0)),
"Error"))</f>
        <v>A0979</v>
      </c>
      <c r="J984" s="75" t="str">
        <f aca="false">
IF($D984="정상",INDEX(임대자산!$D$3:$R$3000,MATCH($F984,임대자산!$I$3:$I$3000,0),MATCH(J$4,임대자산!$D$3:$R$3,0)),
IF($D984="폐업",INDEX(폐업정보!$D$3:$R$3000,MATCH($F984,폐업정보!$I$3:$I$3000,0),MATCH(J$4,폐업정보!$D$3:$R$3,0)),
"Error"))</f>
        <v>7309300000</v>
      </c>
      <c r="K984" s="75" t="str">
        <f aca="false">
IF($D984="정상",INDEX(임대자산!$D$3:$R$3000,MATCH($F984,임대자산!$I$3:$I$3000,0),MATCH(K$4,임대자산!$D$3:$R$3,0)),
IF($D984="폐업",INDEX(폐업정보!$D$3:$R$3000,MATCH($F984,폐업정보!$I$3:$I$3000,0),MATCH(K$4,폐업정보!$D$3:$R$3,0)),
"Error"))</f>
        <v>C0979</v>
      </c>
      <c r="L984" s="75" t="str">
        <f aca="false">
IF($D984="정상",INDEX(임대자산!$D$3:$R$3000,MATCH($F984,임대자산!$I$3:$I$3000,0),MATCH(L$4,임대자산!$D$3:$R$3,0)),
IF($D984="폐업",INDEX(폐업정보!$D$3:$R$3000,MATCH($F984,폐업정보!$I$3:$I$3000,0),MATCH(L$4,폐업정보!$D$3:$R$3,0)),
"Error"))</f>
        <v>D0979</v>
      </c>
      <c r="M984" s="76" t="s">
        <v>96</v>
      </c>
      <c r="N984" s="77"/>
      <c r="O984" s="78" t="s">
        <v>97</v>
      </c>
      <c r="P984" s="79" t="n">
        <f aca="false">COUNTIFS(임대자산!$I:$I,가맹점정보!F984,임대자산!$N:$N,가맹점정보!P$4)</f>
        <v>0</v>
      </c>
      <c r="Q984" s="80" t="n">
        <f aca="false">COUNTIFS(임대자산!$I:$I,가맹점정보!F984,임대자산!$N:$N,가맹점정보!Q$4)</f>
        <v>0</v>
      </c>
      <c r="R984" s="81" t="n">
        <f aca="false">COUNTIFS(임대자산!$I:$I,가맹점정보!F984,임대자산!$N:$N,가맹점정보!R$4)</f>
        <v>1</v>
      </c>
      <c r="S984" s="82" t="n">
        <v>55000</v>
      </c>
      <c r="T984" s="83" t="n">
        <v>0</v>
      </c>
      <c r="U984" s="80" t="n">
        <f aca="false">SUM(S984:T984)</f>
        <v>55000</v>
      </c>
      <c r="V984" s="84" t="s">
        <v>7</v>
      </c>
      <c r="W984" s="80" t="str">
        <f aca="true">
IF(D984="폐업","폐업",
IF(V984="면제","면제",
IF(AND(V984="정상",COUNTIFS(OFFSET(Y984,0,COUNTA(Y984:AV984)-1,1,-4),"미납")&gt;=3),"장기미납",
IF(AND(V984="정상",OFFSET(Y984,0,COUNTA(Y984:AV984)-1)&gt;=U984),"정상",
IF(AND(V984="정상",OFFSET(Y984,0,COUNTA(Y984:AV984)-1)=0),"정상",
"계약서 미작성")))))</f>
        <v>면제</v>
      </c>
      <c r="X984" s="81" t="str">
        <f aca="true">
IF(D984="폐업","폐업",
IF(AND(V984="정상",OFFSET(Y984,0,COUNTA(Y984:AV984)-1)="미납"),"미납",
IF(AND(V984="정상",OFFSET(Y984,0,COUNTA(Y984:AV984)-1)=0),"납부 시작 전",
IF(AND(V984="정상",OFFSET(Y984,0,COUNTA(Y984:AV984)-1)&gt;=U984),"정상",
IF(AND(V984="면제",OFFSET(Y984,0,COUNTA(Y984:AV984)-1)="면제"),"면제",
IF(AND(V984="면제",OFFSET(Y984,0,COUNTA(Y984:AV984)-1)=0),"면제",
"확인요청"))))))</f>
        <v>면제</v>
      </c>
      <c r="Y984" s="94" t="s">
        <v>7</v>
      </c>
      <c r="Z984" s="95" t="s">
        <v>7</v>
      </c>
      <c r="AA984" s="95" t="s">
        <v>7</v>
      </c>
      <c r="AB984" s="95" t="s">
        <v>7</v>
      </c>
      <c r="AC984" s="95" t="s">
        <v>7</v>
      </c>
      <c r="AD984" s="95" t="s">
        <v>7</v>
      </c>
      <c r="AE984" s="95" t="s">
        <v>7</v>
      </c>
      <c r="AF984" s="95" t="s">
        <v>7</v>
      </c>
      <c r="AG984" s="95" t="s">
        <v>7</v>
      </c>
      <c r="AH984" s="95" t="s">
        <v>7</v>
      </c>
      <c r="AI984" s="95" t="s">
        <v>7</v>
      </c>
      <c r="AJ984" s="96" t="s">
        <v>7</v>
      </c>
      <c r="AK984" s="97" t="s">
        <v>7</v>
      </c>
      <c r="AL984" s="95" t="s">
        <v>7</v>
      </c>
      <c r="AM984" s="90"/>
      <c r="AN984" s="90"/>
      <c r="AO984" s="90"/>
      <c r="AP984" s="90"/>
      <c r="AQ984" s="90"/>
      <c r="AR984" s="90"/>
      <c r="AS984" s="90"/>
      <c r="AT984" s="90"/>
      <c r="AU984" s="90"/>
      <c r="AV984" s="91"/>
      <c r="AX984" s="92"/>
    </row>
    <row r="985" customFormat="false" ht="15.65" hidden="false" customHeight="false" outlineLevel="0" collapsed="false">
      <c r="C985" s="72" t="n">
        <f aca="false">COUNTIFS($D$6:D985,"&lt;&gt;"&amp;"")</f>
        <v>980</v>
      </c>
      <c r="D985" s="73" t="s">
        <v>12</v>
      </c>
      <c r="E985" s="76" t="str">
        <f aca="false">
IF($D985="정상",INDEX(임대자산!$D$3:$R$3000,MATCH($F985,임대자산!$I$3:$I$3000,0),MATCH(E$3,임대자산!$D$3:$R$3,0)),
IF($D985="폐업",INDEX(폐업정보!$D$3:$R$3000,MATCH($F985,폐업정보!$I$3:$I$3000,0),MATCH(E$3,폐업정보!$D$3:$R$3,0)),
"Error"))</f>
        <v>경상</v>
      </c>
      <c r="F98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B0980</v>
      </c>
      <c r="G985" s="76" t="str">
        <f aca="false">F985&amp;RANDBETWEEN(0,10)</f>
        <v>B09801</v>
      </c>
      <c r="H985" s="75" t="n">
        <f aca="false">
IF($D985="정상",INDEX(임대자산!$D$3:$R$3000,MATCH($F985,임대자산!$I$3:$I$3000,0),MATCH(H$4,임대자산!$D$3:$R$3,0)),
IF($D985="폐업",INDEX(폐업정보!$D$3:$R$3000,MATCH($F985,폐업정보!$I$3:$I$3000,0),MATCH(H$4,폐업정보!$D$3:$R$3,0)),
"Error"))</f>
        <v>45789</v>
      </c>
      <c r="I985" s="75" t="str">
        <f aca="false">
IF($D985="정상",INDEX(임대자산!$D$3:$R$3000,MATCH($F985,임대자산!$I$3:$I$3000,0),MATCH(I$4,임대자산!$D$3:$R$3,0)),
IF($D985="폐업",INDEX(폐업정보!$D$3:$R$3000,MATCH($F985,폐업정보!$I$3:$I$3000,0),MATCH(I$4,폐업정보!$D$3:$R$3,0)),
"Error"))</f>
        <v>A0980</v>
      </c>
      <c r="J985" s="75" t="str">
        <f aca="false">
IF($D985="정상",INDEX(임대자산!$D$3:$R$3000,MATCH($F985,임대자산!$I$3:$I$3000,0),MATCH(J$4,임대자산!$D$3:$R$3,0)),
IF($D985="폐업",INDEX(폐업정보!$D$3:$R$3000,MATCH($F985,폐업정보!$I$3:$I$3000,0),MATCH(J$4,폐업정보!$D$3:$R$3,0)),
"Error"))</f>
        <v>2149200000</v>
      </c>
      <c r="K985" s="75" t="str">
        <f aca="false">
IF($D985="정상",INDEX(임대자산!$D$3:$R$3000,MATCH($F985,임대자산!$I$3:$I$3000,0),MATCH(K$4,임대자산!$D$3:$R$3,0)),
IF($D985="폐업",INDEX(폐업정보!$D$3:$R$3000,MATCH($F985,폐업정보!$I$3:$I$3000,0),MATCH(K$4,폐업정보!$D$3:$R$3,0)),
"Error"))</f>
        <v>C0980</v>
      </c>
      <c r="L985" s="75" t="str">
        <f aca="false">
IF($D985="정상",INDEX(임대자산!$D$3:$R$3000,MATCH($F985,임대자산!$I$3:$I$3000,0),MATCH(L$4,임대자산!$D$3:$R$3,0)),
IF($D985="폐업",INDEX(폐업정보!$D$3:$R$3000,MATCH($F985,폐업정보!$I$3:$I$3000,0),MATCH(L$4,폐업정보!$D$3:$R$3,0)),
"Error"))</f>
        <v>D0980</v>
      </c>
      <c r="M985" s="76" t="s">
        <v>96</v>
      </c>
      <c r="N985" s="77"/>
      <c r="O985" s="78" t="s">
        <v>97</v>
      </c>
      <c r="P985" s="79" t="n">
        <f aca="false">COUNTIFS(임대자산!$I:$I,가맹점정보!F985,임대자산!$N:$N,가맹점정보!P$4)</f>
        <v>0</v>
      </c>
      <c r="Q985" s="80" t="n">
        <f aca="false">COUNTIFS(임대자산!$I:$I,가맹점정보!F985,임대자산!$N:$N,가맹점정보!Q$4)</f>
        <v>0</v>
      </c>
      <c r="R985" s="81" t="n">
        <f aca="false">COUNTIFS(임대자산!$I:$I,가맹점정보!F985,임대자산!$N:$N,가맹점정보!R$4)</f>
        <v>1</v>
      </c>
      <c r="S985" s="82" t="n">
        <v>55000</v>
      </c>
      <c r="T985" s="83" t="n">
        <v>0</v>
      </c>
      <c r="U985" s="80" t="n">
        <f aca="false">SUM(S985:T985)</f>
        <v>55000</v>
      </c>
      <c r="V985" s="84" t="s">
        <v>12</v>
      </c>
      <c r="W985" s="80" t="e">
        <f aca="true">
IF(D985="폐업","폐업",
IF(V985="면제","면제",
IF(AND(V985="정상",COUNTIFS(OFFSET(Y985,0,COUNTA(Y985:AV985)-1,1,-4),"미납")&gt;=3),"장기미납",
IF(AND(V985="정상",OFFSET(Y985,0,COUNTA(Y985:AV985)-1)&gt;=U985),"정상",
IF(AND(V985="정상",OFFSET(Y985,0,COUNTA(Y985:AV985)-1)=0),"정상",
"계약서 미작성")))))</f>
        <v>#VALUE!</v>
      </c>
      <c r="X985" s="81" t="str">
        <f aca="true">
IF(D985="폐업","폐업",
IF(AND(V985="정상",OFFSET(Y985,0,COUNTA(Y985:AV985)-1)="미납"),"미납",
IF(AND(V985="정상",OFFSET(Y985,0,COUNTA(Y985:AV985)-1)=0),"납부 시작 전",
IF(AND(V985="정상",OFFSET(Y985,0,COUNTA(Y985:AV985)-1)&gt;=U985),"정상",
IF(AND(V985="면제",OFFSET(Y985,0,COUNTA(Y985:AV985)-1)="면제"),"면제",
IF(AND(V985="면제",OFFSET(Y985,0,COUNTA(Y985:AV985)-1)=0),"면제",
"확인요청"))))))</f>
        <v>정상</v>
      </c>
      <c r="Y985" s="93" t="n">
        <v>55000</v>
      </c>
      <c r="Z985" s="90" t="n">
        <v>55000</v>
      </c>
      <c r="AA985" s="90" t="n">
        <v>55000</v>
      </c>
      <c r="AB985" s="90" t="n">
        <v>55000</v>
      </c>
      <c r="AC985" s="90" t="n">
        <v>55000</v>
      </c>
      <c r="AD985" s="90" t="n">
        <v>55000</v>
      </c>
      <c r="AE985" s="90" t="s">
        <v>105</v>
      </c>
      <c r="AF985" s="90" t="n">
        <v>55000</v>
      </c>
      <c r="AG985" s="90" t="n">
        <v>110000</v>
      </c>
      <c r="AH985" s="90" t="n">
        <v>55000</v>
      </c>
      <c r="AI985" s="90" t="n">
        <v>55000</v>
      </c>
      <c r="AJ985" s="91" t="n">
        <v>55000</v>
      </c>
      <c r="AK985" s="89" t="n">
        <v>55000</v>
      </c>
      <c r="AL985" s="90" t="n">
        <v>55000</v>
      </c>
      <c r="AM985" s="90"/>
      <c r="AN985" s="90"/>
      <c r="AO985" s="90"/>
      <c r="AP985" s="90"/>
      <c r="AQ985" s="90"/>
      <c r="AR985" s="90"/>
      <c r="AS985" s="90"/>
      <c r="AT985" s="90"/>
      <c r="AU985" s="90"/>
      <c r="AV985" s="91"/>
      <c r="AX985" s="92"/>
    </row>
    <row r="986" customFormat="false" ht="15.65" hidden="false" customHeight="false" outlineLevel="0" collapsed="false">
      <c r="C986" s="72" t="n">
        <f aca="false">COUNTIFS($D$6:D986,"&lt;&gt;"&amp;"")</f>
        <v>981</v>
      </c>
      <c r="D986" s="73" t="s">
        <v>12</v>
      </c>
      <c r="E986" s="76" t="str">
        <f aca="false">
IF($D986="정상",INDEX(임대자산!$D$3:$R$3000,MATCH($F986,임대자산!$I$3:$I$3000,0),MATCH(E$3,임대자산!$D$3:$R$3,0)),
IF($D986="폐업",INDEX(폐업정보!$D$3:$R$3000,MATCH($F986,폐업정보!$I$3:$I$3000,0),MATCH(E$3,폐업정보!$D$3:$R$3,0)),
"Error"))</f>
        <v>강원</v>
      </c>
      <c r="F98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B0981</v>
      </c>
      <c r="G986" s="76" t="str">
        <f aca="false">F986&amp;RANDBETWEEN(0,10)</f>
        <v>B09818</v>
      </c>
      <c r="H986" s="75" t="n">
        <f aca="false">
IF($D986="정상",INDEX(임대자산!$D$3:$R$3000,MATCH($F986,임대자산!$I$3:$I$3000,0),MATCH(H$4,임대자산!$D$3:$R$3,0)),
IF($D986="폐업",INDEX(폐업정보!$D$3:$R$3000,MATCH($F986,폐업정보!$I$3:$I$3000,0),MATCH(H$4,폐업정보!$D$3:$R$3,0)),
"Error"))</f>
        <v>44615</v>
      </c>
      <c r="I986" s="75" t="str">
        <f aca="false">
IF($D986="정상",INDEX(임대자산!$D$3:$R$3000,MATCH($F986,임대자산!$I$3:$I$3000,0),MATCH(I$4,임대자산!$D$3:$R$3,0)),
IF($D986="폐업",INDEX(폐업정보!$D$3:$R$3000,MATCH($F986,폐업정보!$I$3:$I$3000,0),MATCH(I$4,폐업정보!$D$3:$R$3,0)),
"Error"))</f>
        <v>A0981</v>
      </c>
      <c r="J986" s="75" t="str">
        <f aca="false">
IF($D986="정상",INDEX(임대자산!$D$3:$R$3000,MATCH($F986,임대자산!$I$3:$I$3000,0),MATCH(J$4,임대자산!$D$3:$R$3,0)),
IF($D986="폐업",INDEX(폐업정보!$D$3:$R$3000,MATCH($F986,폐업정보!$I$3:$I$3000,0),MATCH(J$4,폐업정보!$D$3:$R$3,0)),
"Error"))</f>
        <v>6112400000</v>
      </c>
      <c r="K986" s="75" t="str">
        <f aca="false">
IF($D986="정상",INDEX(임대자산!$D$3:$R$3000,MATCH($F986,임대자산!$I$3:$I$3000,0),MATCH(K$4,임대자산!$D$3:$R$3,0)),
IF($D986="폐업",INDEX(폐업정보!$D$3:$R$3000,MATCH($F986,폐업정보!$I$3:$I$3000,0),MATCH(K$4,폐업정보!$D$3:$R$3,0)),
"Error"))</f>
        <v>C0981</v>
      </c>
      <c r="L986" s="75" t="str">
        <f aca="false">
IF($D986="정상",INDEX(임대자산!$D$3:$R$3000,MATCH($F986,임대자산!$I$3:$I$3000,0),MATCH(L$4,임대자산!$D$3:$R$3,0)),
IF($D986="폐업",INDEX(폐업정보!$D$3:$R$3000,MATCH($F986,폐업정보!$I$3:$I$3000,0),MATCH(L$4,폐업정보!$D$3:$R$3,0)),
"Error"))</f>
        <v>D0981</v>
      </c>
      <c r="M986" s="76" t="s">
        <v>96</v>
      </c>
      <c r="N986" s="77"/>
      <c r="O986" s="78" t="s">
        <v>97</v>
      </c>
      <c r="P986" s="79" t="n">
        <f aca="false">COUNTIFS(임대자산!$I:$I,가맹점정보!F986,임대자산!$N:$N,가맹점정보!P$4)</f>
        <v>0</v>
      </c>
      <c r="Q986" s="80" t="n">
        <f aca="false">COUNTIFS(임대자산!$I:$I,가맹점정보!F986,임대자산!$N:$N,가맹점정보!Q$4)</f>
        <v>0</v>
      </c>
      <c r="R986" s="81" t="n">
        <f aca="false">COUNTIFS(임대자산!$I:$I,가맹점정보!F986,임대자산!$N:$N,가맹점정보!R$4)</f>
        <v>1</v>
      </c>
      <c r="S986" s="82" t="n">
        <v>55000</v>
      </c>
      <c r="T986" s="83" t="n">
        <v>0</v>
      </c>
      <c r="U986" s="80" t="n">
        <f aca="false">SUM(S986:T986)</f>
        <v>55000</v>
      </c>
      <c r="V986" s="84" t="s">
        <v>12</v>
      </c>
      <c r="W986" s="80" t="e">
        <f aca="true">
IF(D986="폐업","폐업",
IF(V986="면제","면제",
IF(AND(V986="정상",COUNTIFS(OFFSET(Y986,0,COUNTA(Y986:AV986)-1,1,-4),"미납")&gt;=3),"장기미납",
IF(AND(V986="정상",OFFSET(Y986,0,COUNTA(Y986:AV986)-1)&gt;=U986),"정상",
IF(AND(V986="정상",OFFSET(Y986,0,COUNTA(Y986:AV986)-1)=0),"정상",
"계약서 미작성")))))</f>
        <v>#VALUE!</v>
      </c>
      <c r="X986" s="81" t="str">
        <f aca="true">
IF(D986="폐업","폐업",
IF(AND(V986="정상",OFFSET(Y986,0,COUNTA(Y986:AV986)-1)="미납"),"미납",
IF(AND(V986="정상",OFFSET(Y986,0,COUNTA(Y986:AV986)-1)=0),"납부 시작 전",
IF(AND(V986="정상",OFFSET(Y986,0,COUNTA(Y986:AV986)-1)&gt;=U986),"정상",
IF(AND(V986="면제",OFFSET(Y986,0,COUNTA(Y986:AV986)-1)="면제"),"면제",
IF(AND(V986="면제",OFFSET(Y986,0,COUNTA(Y986:AV986)-1)=0),"면제",
"확인요청"))))))</f>
        <v>정상</v>
      </c>
      <c r="Y986" s="93" t="n">
        <v>55000</v>
      </c>
      <c r="Z986" s="90" t="n">
        <v>55000</v>
      </c>
      <c r="AA986" s="90" t="n">
        <v>55000</v>
      </c>
      <c r="AB986" s="90" t="n">
        <v>55000</v>
      </c>
      <c r="AC986" s="90" t="n">
        <v>55000</v>
      </c>
      <c r="AD986" s="90" t="n">
        <v>55000</v>
      </c>
      <c r="AE986" s="90" t="n">
        <v>55000</v>
      </c>
      <c r="AF986" s="90" t="n">
        <v>55000</v>
      </c>
      <c r="AG986" s="90" t="n">
        <v>55000</v>
      </c>
      <c r="AH986" s="90" t="n">
        <v>55000</v>
      </c>
      <c r="AI986" s="90" t="n">
        <v>55000</v>
      </c>
      <c r="AJ986" s="91" t="n">
        <v>55000</v>
      </c>
      <c r="AK986" s="89" t="n">
        <v>55000</v>
      </c>
      <c r="AL986" s="90" t="n">
        <v>55000</v>
      </c>
      <c r="AM986" s="90"/>
      <c r="AN986" s="90"/>
      <c r="AO986" s="90"/>
      <c r="AP986" s="90"/>
      <c r="AQ986" s="90"/>
      <c r="AR986" s="90"/>
      <c r="AS986" s="90"/>
      <c r="AT986" s="90"/>
      <c r="AU986" s="90"/>
      <c r="AV986" s="91"/>
      <c r="AX986" s="92"/>
    </row>
    <row r="987" customFormat="false" ht="15.65" hidden="false" customHeight="false" outlineLevel="0" collapsed="false">
      <c r="C987" s="72" t="n">
        <f aca="false">COUNTIFS($D$6:D987,"&lt;&gt;"&amp;"")</f>
        <v>982</v>
      </c>
      <c r="D987" s="73" t="s">
        <v>12</v>
      </c>
      <c r="E987" s="76" t="str">
        <f aca="false">
IF($D987="정상",INDEX(임대자산!$D$3:$R$3000,MATCH($F987,임대자산!$I$3:$I$3000,0),MATCH(E$3,임대자산!$D$3:$R$3,0)),
IF($D987="폐업",INDEX(폐업정보!$D$3:$R$3000,MATCH($F987,폐업정보!$I$3:$I$3000,0),MATCH(E$3,폐업정보!$D$3:$R$3,0)),
"Error"))</f>
        <v>강원</v>
      </c>
      <c r="F98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B0982</v>
      </c>
      <c r="G987" s="76" t="str">
        <f aca="false">F987&amp;RANDBETWEEN(0,10)</f>
        <v>B09825</v>
      </c>
      <c r="H987" s="75" t="n">
        <f aca="false">
IF($D987="정상",INDEX(임대자산!$D$3:$R$3000,MATCH($F987,임대자산!$I$3:$I$3000,0),MATCH(H$4,임대자산!$D$3:$R$3,0)),
IF($D987="폐업",INDEX(폐업정보!$D$3:$R$3000,MATCH($F987,폐업정보!$I$3:$I$3000,0),MATCH(H$4,폐업정보!$D$3:$R$3,0)),
"Error"))</f>
        <v>44630</v>
      </c>
      <c r="I987" s="75" t="str">
        <f aca="false">
IF($D987="정상",INDEX(임대자산!$D$3:$R$3000,MATCH($F987,임대자산!$I$3:$I$3000,0),MATCH(I$4,임대자산!$D$3:$R$3,0)),
IF($D987="폐업",INDEX(폐업정보!$D$3:$R$3000,MATCH($F987,폐업정보!$I$3:$I$3000,0),MATCH(I$4,폐업정보!$D$3:$R$3,0)),
"Error"))</f>
        <v>A0982</v>
      </c>
      <c r="J987" s="75" t="str">
        <f aca="false">
IF($D987="정상",INDEX(임대자산!$D$3:$R$3000,MATCH($F987,임대자산!$I$3:$I$3000,0),MATCH(J$4,임대자산!$D$3:$R$3,0)),
IF($D987="폐업",INDEX(폐업정보!$D$3:$R$3000,MATCH($F987,폐업정보!$I$3:$I$3000,0),MATCH(J$4,폐업정보!$D$3:$R$3,0)),
"Error"))</f>
        <v>9764600000</v>
      </c>
      <c r="K987" s="75" t="str">
        <f aca="false">
IF($D987="정상",INDEX(임대자산!$D$3:$R$3000,MATCH($F987,임대자산!$I$3:$I$3000,0),MATCH(K$4,임대자산!$D$3:$R$3,0)),
IF($D987="폐업",INDEX(폐업정보!$D$3:$R$3000,MATCH($F987,폐업정보!$I$3:$I$3000,0),MATCH(K$4,폐업정보!$D$3:$R$3,0)),
"Error"))</f>
        <v>C0982</v>
      </c>
      <c r="L987" s="75" t="str">
        <f aca="false">
IF($D987="정상",INDEX(임대자산!$D$3:$R$3000,MATCH($F987,임대자산!$I$3:$I$3000,0),MATCH(L$4,임대자산!$D$3:$R$3,0)),
IF($D987="폐업",INDEX(폐업정보!$D$3:$R$3000,MATCH($F987,폐업정보!$I$3:$I$3000,0),MATCH(L$4,폐업정보!$D$3:$R$3,0)),
"Error"))</f>
        <v>D0982</v>
      </c>
      <c r="M987" s="76" t="s">
        <v>96</v>
      </c>
      <c r="N987" s="77"/>
      <c r="O987" s="78" t="s">
        <v>97</v>
      </c>
      <c r="P987" s="79" t="n">
        <f aca="false">COUNTIFS(임대자산!$I:$I,가맹점정보!F987,임대자산!$N:$N,가맹점정보!P$4)</f>
        <v>0</v>
      </c>
      <c r="Q987" s="80" t="n">
        <f aca="false">COUNTIFS(임대자산!$I:$I,가맹점정보!F987,임대자산!$N:$N,가맹점정보!Q$4)</f>
        <v>0</v>
      </c>
      <c r="R987" s="81" t="n">
        <f aca="false">COUNTIFS(임대자산!$I:$I,가맹점정보!F987,임대자산!$N:$N,가맹점정보!R$4)</f>
        <v>1</v>
      </c>
      <c r="S987" s="82" t="n">
        <v>55000</v>
      </c>
      <c r="T987" s="83" t="n">
        <v>0</v>
      </c>
      <c r="U987" s="80" t="n">
        <f aca="false">SUM(S987:T987)</f>
        <v>55000</v>
      </c>
      <c r="V987" s="84" t="s">
        <v>7</v>
      </c>
      <c r="W987" s="80" t="str">
        <f aca="true">
IF(D987="폐업","폐업",
IF(V987="면제","면제",
IF(AND(V987="정상",COUNTIFS(OFFSET(Y987,0,COUNTA(Y987:AV987)-1,1,-4),"미납")&gt;=3),"장기미납",
IF(AND(V987="정상",OFFSET(Y987,0,COUNTA(Y987:AV987)-1)&gt;=U987),"정상",
IF(AND(V987="정상",OFFSET(Y987,0,COUNTA(Y987:AV987)-1)=0),"정상",
"계약서 미작성")))))</f>
        <v>면제</v>
      </c>
      <c r="X987" s="81" t="str">
        <f aca="true">
IF(D987="폐업","폐업",
IF(AND(V987="정상",OFFSET(Y987,0,COUNTA(Y987:AV987)-1)="미납"),"미납",
IF(AND(V987="정상",OFFSET(Y987,0,COUNTA(Y987:AV987)-1)=0),"납부 시작 전",
IF(AND(V987="정상",OFFSET(Y987,0,COUNTA(Y987:AV987)-1)&gt;=U987),"정상",
IF(AND(V987="면제",OFFSET(Y987,0,COUNTA(Y987:AV987)-1)="면제"),"면제",
IF(AND(V987="면제",OFFSET(Y987,0,COUNTA(Y987:AV987)-1)=0),"면제",
"확인요청"))))))</f>
        <v>면제</v>
      </c>
      <c r="Y987" s="94" t="s">
        <v>7</v>
      </c>
      <c r="Z987" s="95" t="s">
        <v>7</v>
      </c>
      <c r="AA987" s="95" t="s">
        <v>7</v>
      </c>
      <c r="AB987" s="95" t="s">
        <v>7</v>
      </c>
      <c r="AC987" s="95" t="s">
        <v>7</v>
      </c>
      <c r="AD987" s="95" t="s">
        <v>7</v>
      </c>
      <c r="AE987" s="95" t="s">
        <v>7</v>
      </c>
      <c r="AF987" s="95" t="s">
        <v>7</v>
      </c>
      <c r="AG987" s="95" t="s">
        <v>7</v>
      </c>
      <c r="AH987" s="95" t="s">
        <v>7</v>
      </c>
      <c r="AI987" s="95" t="s">
        <v>7</v>
      </c>
      <c r="AJ987" s="96" t="s">
        <v>7</v>
      </c>
      <c r="AK987" s="97" t="s">
        <v>7</v>
      </c>
      <c r="AL987" s="95" t="s">
        <v>7</v>
      </c>
      <c r="AM987" s="90"/>
      <c r="AN987" s="90"/>
      <c r="AO987" s="90"/>
      <c r="AP987" s="90"/>
      <c r="AQ987" s="90"/>
      <c r="AR987" s="90"/>
      <c r="AS987" s="90"/>
      <c r="AT987" s="90"/>
      <c r="AU987" s="90"/>
      <c r="AV987" s="91"/>
      <c r="AX987" s="92"/>
    </row>
    <row r="988" customFormat="false" ht="15.65" hidden="false" customHeight="false" outlineLevel="0" collapsed="false">
      <c r="C988" s="72" t="n">
        <f aca="false">COUNTIFS($D$6:D988,"&lt;&gt;"&amp;"")</f>
        <v>983</v>
      </c>
      <c r="D988" s="73" t="s">
        <v>12</v>
      </c>
      <c r="E988" s="76" t="str">
        <f aca="false">
IF($D988="정상",INDEX(임대자산!$D$3:$R$3000,MATCH($F988,임대자산!$I$3:$I$3000,0),MATCH(E$3,임대자산!$D$3:$R$3,0)),
IF($D988="폐업",INDEX(폐업정보!$D$3:$R$3000,MATCH($F988,폐업정보!$I$3:$I$3000,0),MATCH(E$3,폐업정보!$D$3:$R$3,0)),
"Error"))</f>
        <v>전라</v>
      </c>
      <c r="F98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B0983</v>
      </c>
      <c r="G988" s="76" t="str">
        <f aca="false">F988&amp;RANDBETWEEN(0,10)</f>
        <v>B09833</v>
      </c>
      <c r="H988" s="75" t="n">
        <f aca="false">
IF($D988="정상",INDEX(임대자산!$D$3:$R$3000,MATCH($F988,임대자산!$I$3:$I$3000,0),MATCH(H$4,임대자산!$D$3:$R$3,0)),
IF($D988="폐업",INDEX(폐업정보!$D$3:$R$3000,MATCH($F988,폐업정보!$I$3:$I$3000,0),MATCH(H$4,폐업정보!$D$3:$R$3,0)),
"Error"))</f>
        <v>45322</v>
      </c>
      <c r="I988" s="75" t="str">
        <f aca="false">
IF($D988="정상",INDEX(임대자산!$D$3:$R$3000,MATCH($F988,임대자산!$I$3:$I$3000,0),MATCH(I$4,임대자산!$D$3:$R$3,0)),
IF($D988="폐업",INDEX(폐업정보!$D$3:$R$3000,MATCH($F988,폐업정보!$I$3:$I$3000,0),MATCH(I$4,폐업정보!$D$3:$R$3,0)),
"Error"))</f>
        <v>A0983</v>
      </c>
      <c r="J988" s="75" t="str">
        <f aca="false">
IF($D988="정상",INDEX(임대자산!$D$3:$R$3000,MATCH($F988,임대자산!$I$3:$I$3000,0),MATCH(J$4,임대자산!$D$3:$R$3,0)),
IF($D988="폐업",INDEX(폐업정보!$D$3:$R$3000,MATCH($F988,폐업정보!$I$3:$I$3000,0),MATCH(J$4,폐업정보!$D$3:$R$3,0)),
"Error"))</f>
        <v>6633100000</v>
      </c>
      <c r="K988" s="75" t="str">
        <f aca="false">
IF($D988="정상",INDEX(임대자산!$D$3:$R$3000,MATCH($F988,임대자산!$I$3:$I$3000,0),MATCH(K$4,임대자산!$D$3:$R$3,0)),
IF($D988="폐업",INDEX(폐업정보!$D$3:$R$3000,MATCH($F988,폐업정보!$I$3:$I$3000,0),MATCH(K$4,폐업정보!$D$3:$R$3,0)),
"Error"))</f>
        <v>C0983</v>
      </c>
      <c r="L988" s="75" t="str">
        <f aca="false">
IF($D988="정상",INDEX(임대자산!$D$3:$R$3000,MATCH($F988,임대자산!$I$3:$I$3000,0),MATCH(L$4,임대자산!$D$3:$R$3,0)),
IF($D988="폐업",INDEX(폐업정보!$D$3:$R$3000,MATCH($F988,폐업정보!$I$3:$I$3000,0),MATCH(L$4,폐업정보!$D$3:$R$3,0)),
"Error"))</f>
        <v>D0983</v>
      </c>
      <c r="M988" s="76" t="s">
        <v>96</v>
      </c>
      <c r="N988" s="77"/>
      <c r="O988" s="78" t="s">
        <v>97</v>
      </c>
      <c r="P988" s="79" t="n">
        <f aca="false">COUNTIFS(임대자산!$I:$I,가맹점정보!F988,임대자산!$N:$N,가맹점정보!P$4)</f>
        <v>0</v>
      </c>
      <c r="Q988" s="80" t="n">
        <f aca="false">COUNTIFS(임대자산!$I:$I,가맹점정보!F988,임대자산!$N:$N,가맹점정보!Q$4)</f>
        <v>0</v>
      </c>
      <c r="R988" s="81" t="n">
        <f aca="false">COUNTIFS(임대자산!$I:$I,가맹점정보!F988,임대자산!$N:$N,가맹점정보!R$4)</f>
        <v>1</v>
      </c>
      <c r="S988" s="82" t="n">
        <v>55000</v>
      </c>
      <c r="T988" s="83" t="n">
        <v>0</v>
      </c>
      <c r="U988" s="80" t="n">
        <f aca="false">SUM(S988:T988)</f>
        <v>55000</v>
      </c>
      <c r="V988" s="84" t="s">
        <v>12</v>
      </c>
      <c r="W988" s="80" t="e">
        <f aca="true">
IF(D988="폐업","폐업",
IF(V988="면제","면제",
IF(AND(V988="정상",COUNTIFS(OFFSET(Y988,0,COUNTA(Y988:AV988)-1,1,-4),"미납")&gt;=3),"장기미납",
IF(AND(V988="정상",OFFSET(Y988,0,COUNTA(Y988:AV988)-1)&gt;=U988),"정상",
IF(AND(V988="정상",OFFSET(Y988,0,COUNTA(Y988:AV988)-1)=0),"정상",
"계약서 미작성")))))</f>
        <v>#VALUE!</v>
      </c>
      <c r="X988" s="81" t="str">
        <f aca="true">
IF(D988="폐업","폐업",
IF(AND(V988="정상",OFFSET(Y988,0,COUNTA(Y988:AV988)-1)="미납"),"미납",
IF(AND(V988="정상",OFFSET(Y988,0,COUNTA(Y988:AV988)-1)=0),"납부 시작 전",
IF(AND(V988="정상",OFFSET(Y988,0,COUNTA(Y988:AV988)-1)&gt;=U988),"정상",
IF(AND(V988="면제",OFFSET(Y988,0,COUNTA(Y988:AV988)-1)="면제"),"면제",
IF(AND(V988="면제",OFFSET(Y988,0,COUNTA(Y988:AV988)-1)=0),"면제",
"확인요청"))))))</f>
        <v>정상</v>
      </c>
      <c r="Y988" s="93" t="n">
        <v>55000</v>
      </c>
      <c r="Z988" s="90" t="n">
        <v>55000</v>
      </c>
      <c r="AA988" s="90" t="n">
        <v>55000</v>
      </c>
      <c r="AB988" s="90" t="n">
        <v>55000</v>
      </c>
      <c r="AC988" s="90" t="n">
        <v>55000</v>
      </c>
      <c r="AD988" s="90" t="n">
        <v>55000</v>
      </c>
      <c r="AE988" s="90" t="s">
        <v>102</v>
      </c>
      <c r="AF988" s="90" t="n">
        <v>110000</v>
      </c>
      <c r="AG988" s="90" t="n">
        <v>55000</v>
      </c>
      <c r="AH988" s="90" t="n">
        <v>55000</v>
      </c>
      <c r="AI988" s="90" t="n">
        <v>55000</v>
      </c>
      <c r="AJ988" s="91" t="n">
        <v>55000</v>
      </c>
      <c r="AK988" s="89" t="n">
        <v>55000</v>
      </c>
      <c r="AL988" s="90" t="n">
        <v>55000</v>
      </c>
      <c r="AM988" s="90"/>
      <c r="AN988" s="90"/>
      <c r="AO988" s="90"/>
      <c r="AP988" s="90"/>
      <c r="AQ988" s="90"/>
      <c r="AR988" s="90"/>
      <c r="AS988" s="90"/>
      <c r="AT988" s="90"/>
      <c r="AU988" s="90"/>
      <c r="AV988" s="91"/>
      <c r="AX988" s="92"/>
    </row>
    <row r="989" customFormat="false" ht="15.65" hidden="false" customHeight="false" outlineLevel="0" collapsed="false">
      <c r="C989" s="72" t="n">
        <f aca="false">COUNTIFS($D$6:D989,"&lt;&gt;"&amp;"")</f>
        <v>984</v>
      </c>
      <c r="D989" s="73" t="s">
        <v>12</v>
      </c>
      <c r="E989" s="76" t="str">
        <f aca="false">
IF($D989="정상",INDEX(임대자산!$D$3:$R$3000,MATCH($F989,임대자산!$I$3:$I$3000,0),MATCH(E$3,임대자산!$D$3:$R$3,0)),
IF($D989="폐업",INDEX(폐업정보!$D$3:$R$3000,MATCH($F989,폐업정보!$I$3:$I$3000,0),MATCH(E$3,폐업정보!$D$3:$R$3,0)),
"Error"))</f>
        <v>경기</v>
      </c>
      <c r="F98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B0984</v>
      </c>
      <c r="G989" s="76" t="str">
        <f aca="false">F989&amp;RANDBETWEEN(0,10)</f>
        <v>B09846</v>
      </c>
      <c r="H989" s="75" t="n">
        <f aca="false">
IF($D989="정상",INDEX(임대자산!$D$3:$R$3000,MATCH($F989,임대자산!$I$3:$I$3000,0),MATCH(H$4,임대자산!$D$3:$R$3,0)),
IF($D989="폐업",INDEX(폐업정보!$D$3:$R$3000,MATCH($F989,폐업정보!$I$3:$I$3000,0),MATCH(H$4,폐업정보!$D$3:$R$3,0)),
"Error"))</f>
        <v>44769</v>
      </c>
      <c r="I989" s="75" t="str">
        <f aca="false">
IF($D989="정상",INDEX(임대자산!$D$3:$R$3000,MATCH($F989,임대자산!$I$3:$I$3000,0),MATCH(I$4,임대자산!$D$3:$R$3,0)),
IF($D989="폐업",INDEX(폐업정보!$D$3:$R$3000,MATCH($F989,폐업정보!$I$3:$I$3000,0),MATCH(I$4,폐업정보!$D$3:$R$3,0)),
"Error"))</f>
        <v>A0984</v>
      </c>
      <c r="J989" s="75" t="str">
        <f aca="false">
IF($D989="정상",INDEX(임대자산!$D$3:$R$3000,MATCH($F989,임대자산!$I$3:$I$3000,0),MATCH(J$4,임대자산!$D$3:$R$3,0)),
IF($D989="폐업",INDEX(폐업정보!$D$3:$R$3000,MATCH($F989,폐업정보!$I$3:$I$3000,0),MATCH(J$4,폐업정보!$D$3:$R$3,0)),
"Error"))</f>
        <v>1374300000</v>
      </c>
      <c r="K989" s="75" t="str">
        <f aca="false">
IF($D989="정상",INDEX(임대자산!$D$3:$R$3000,MATCH($F989,임대자산!$I$3:$I$3000,0),MATCH(K$4,임대자산!$D$3:$R$3,0)),
IF($D989="폐업",INDEX(폐업정보!$D$3:$R$3000,MATCH($F989,폐업정보!$I$3:$I$3000,0),MATCH(K$4,폐업정보!$D$3:$R$3,0)),
"Error"))</f>
        <v>C0984</v>
      </c>
      <c r="L989" s="75" t="str">
        <f aca="false">
IF($D989="정상",INDEX(임대자산!$D$3:$R$3000,MATCH($F989,임대자산!$I$3:$I$3000,0),MATCH(L$4,임대자산!$D$3:$R$3,0)),
IF($D989="폐업",INDEX(폐업정보!$D$3:$R$3000,MATCH($F989,폐업정보!$I$3:$I$3000,0),MATCH(L$4,폐업정보!$D$3:$R$3,0)),
"Error"))</f>
        <v>D0984</v>
      </c>
      <c r="M989" s="76" t="s">
        <v>96</v>
      </c>
      <c r="N989" s="77"/>
      <c r="O989" s="78" t="s">
        <v>97</v>
      </c>
      <c r="P989" s="79" t="n">
        <f aca="false">COUNTIFS(임대자산!$I:$I,가맹점정보!F989,임대자산!$N:$N,가맹점정보!P$4)</f>
        <v>0</v>
      </c>
      <c r="Q989" s="80" t="n">
        <f aca="false">COUNTIFS(임대자산!$I:$I,가맹점정보!F989,임대자산!$N:$N,가맹점정보!Q$4)</f>
        <v>0</v>
      </c>
      <c r="R989" s="81" t="n">
        <f aca="false">COUNTIFS(임대자산!$I:$I,가맹점정보!F989,임대자산!$N:$N,가맹점정보!R$4)</f>
        <v>1</v>
      </c>
      <c r="S989" s="82" t="n">
        <v>55000</v>
      </c>
      <c r="T989" s="83" t="n">
        <v>0</v>
      </c>
      <c r="U989" s="80" t="n">
        <f aca="false">SUM(S989:T989)</f>
        <v>55000</v>
      </c>
      <c r="V989" s="84" t="s">
        <v>12</v>
      </c>
      <c r="W989" s="80" t="e">
        <f aca="true">
IF(D989="폐업","폐업",
IF(V989="면제","면제",
IF(AND(V989="정상",COUNTIFS(OFFSET(Y989,0,COUNTA(Y989:AV989)-1,1,-4),"미납")&gt;=3),"장기미납",
IF(AND(V989="정상",OFFSET(Y989,0,COUNTA(Y989:AV989)-1)&gt;=U989),"정상",
IF(AND(V989="정상",OFFSET(Y989,0,COUNTA(Y989:AV989)-1)=0),"정상",
"계약서 미작성")))))</f>
        <v>#VALUE!</v>
      </c>
      <c r="X989" s="81" t="str">
        <f aca="true">
IF(D989="폐업","폐업",
IF(AND(V989="정상",OFFSET(Y989,0,COUNTA(Y989:AV989)-1)="미납"),"미납",
IF(AND(V989="정상",OFFSET(Y989,0,COUNTA(Y989:AV989)-1)=0),"납부 시작 전",
IF(AND(V989="정상",OFFSET(Y989,0,COUNTA(Y989:AV989)-1)&gt;=U989),"정상",
IF(AND(V989="면제",OFFSET(Y989,0,COUNTA(Y989:AV989)-1)="면제"),"면제",
IF(AND(V989="면제",OFFSET(Y989,0,COUNTA(Y989:AV989)-1)=0),"면제",
"확인요청"))))))</f>
        <v>정상</v>
      </c>
      <c r="Y989" s="93" t="n">
        <v>55000</v>
      </c>
      <c r="Z989" s="90" t="n">
        <v>55000</v>
      </c>
      <c r="AA989" s="90" t="n">
        <v>55000</v>
      </c>
      <c r="AB989" s="90" t="n">
        <v>55000</v>
      </c>
      <c r="AC989" s="90" t="n">
        <v>55000</v>
      </c>
      <c r="AD989" s="90" t="n">
        <v>55000</v>
      </c>
      <c r="AE989" s="90" t="n">
        <v>55000</v>
      </c>
      <c r="AF989" s="90" t="n">
        <v>55000</v>
      </c>
      <c r="AG989" s="90" t="n">
        <v>55000</v>
      </c>
      <c r="AH989" s="90" t="n">
        <v>55000</v>
      </c>
      <c r="AI989" s="90" t="n">
        <v>55000</v>
      </c>
      <c r="AJ989" s="91" t="n">
        <v>55000</v>
      </c>
      <c r="AK989" s="89" t="n">
        <v>55000</v>
      </c>
      <c r="AL989" s="90" t="n">
        <v>55000</v>
      </c>
      <c r="AM989" s="90"/>
      <c r="AN989" s="90"/>
      <c r="AO989" s="90"/>
      <c r="AP989" s="90"/>
      <c r="AQ989" s="90"/>
      <c r="AR989" s="90"/>
      <c r="AS989" s="90"/>
      <c r="AT989" s="90"/>
      <c r="AU989" s="90"/>
      <c r="AV989" s="91"/>
      <c r="AX989" s="92"/>
    </row>
    <row r="990" customFormat="false" ht="15.65" hidden="false" customHeight="false" outlineLevel="0" collapsed="false">
      <c r="C990" s="72" t="n">
        <f aca="false">COUNTIFS($D$6:D990,"&lt;&gt;"&amp;"")</f>
        <v>985</v>
      </c>
      <c r="D990" s="73" t="s">
        <v>12</v>
      </c>
      <c r="E990" s="76" t="str">
        <f aca="false">
IF($D990="정상",INDEX(임대자산!$D$3:$R$3000,MATCH($F990,임대자산!$I$3:$I$3000,0),MATCH(E$3,임대자산!$D$3:$R$3,0)),
IF($D990="폐업",INDEX(폐업정보!$D$3:$R$3000,MATCH($F990,폐업정보!$I$3:$I$3000,0),MATCH(E$3,폐업정보!$D$3:$R$3,0)),
"Error"))</f>
        <v>서울</v>
      </c>
      <c r="F99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B0985</v>
      </c>
      <c r="G990" s="76" t="str">
        <f aca="false">F990&amp;RANDBETWEEN(0,10)</f>
        <v>B09859</v>
      </c>
      <c r="H990" s="75" t="n">
        <f aca="false">
IF($D990="정상",INDEX(임대자산!$D$3:$R$3000,MATCH($F990,임대자산!$I$3:$I$3000,0),MATCH(H$4,임대자산!$D$3:$R$3,0)),
IF($D990="폐업",INDEX(폐업정보!$D$3:$R$3000,MATCH($F990,폐업정보!$I$3:$I$3000,0),MATCH(H$4,폐업정보!$D$3:$R$3,0)),
"Error"))</f>
        <v>45715</v>
      </c>
      <c r="I990" s="75" t="str">
        <f aca="false">
IF($D990="정상",INDEX(임대자산!$D$3:$R$3000,MATCH($F990,임대자산!$I$3:$I$3000,0),MATCH(I$4,임대자산!$D$3:$R$3,0)),
IF($D990="폐업",INDEX(폐업정보!$D$3:$R$3000,MATCH($F990,폐업정보!$I$3:$I$3000,0),MATCH(I$4,폐업정보!$D$3:$R$3,0)),
"Error"))</f>
        <v>A0985</v>
      </c>
      <c r="J990" s="75" t="str">
        <f aca="false">
IF($D990="정상",INDEX(임대자산!$D$3:$R$3000,MATCH($F990,임대자산!$I$3:$I$3000,0),MATCH(J$4,임대자산!$D$3:$R$3,0)),
IF($D990="폐업",INDEX(폐업정보!$D$3:$R$3000,MATCH($F990,폐업정보!$I$3:$I$3000,0),MATCH(J$4,폐업정보!$D$3:$R$3,0)),
"Error"))</f>
        <v>6127000000</v>
      </c>
      <c r="K990" s="75" t="str">
        <f aca="false">
IF($D990="정상",INDEX(임대자산!$D$3:$R$3000,MATCH($F990,임대자산!$I$3:$I$3000,0),MATCH(K$4,임대자산!$D$3:$R$3,0)),
IF($D990="폐업",INDEX(폐업정보!$D$3:$R$3000,MATCH($F990,폐업정보!$I$3:$I$3000,0),MATCH(K$4,폐업정보!$D$3:$R$3,0)),
"Error"))</f>
        <v>C0985</v>
      </c>
      <c r="L990" s="75" t="str">
        <f aca="false">
IF($D990="정상",INDEX(임대자산!$D$3:$R$3000,MATCH($F990,임대자산!$I$3:$I$3000,0),MATCH(L$4,임대자산!$D$3:$R$3,0)),
IF($D990="폐업",INDEX(폐업정보!$D$3:$R$3000,MATCH($F990,폐업정보!$I$3:$I$3000,0),MATCH(L$4,폐업정보!$D$3:$R$3,0)),
"Error"))</f>
        <v>D0985</v>
      </c>
      <c r="M990" s="76" t="s">
        <v>96</v>
      </c>
      <c r="N990" s="77"/>
      <c r="O990" s="78" t="s">
        <v>97</v>
      </c>
      <c r="P990" s="79" t="n">
        <f aca="false">COUNTIFS(임대자산!$I:$I,가맹점정보!F990,임대자산!$N:$N,가맹점정보!P$4)</f>
        <v>0</v>
      </c>
      <c r="Q990" s="80" t="n">
        <f aca="false">COUNTIFS(임대자산!$I:$I,가맹점정보!F990,임대자산!$N:$N,가맹점정보!Q$4)</f>
        <v>0</v>
      </c>
      <c r="R990" s="81" t="n">
        <f aca="false">COUNTIFS(임대자산!$I:$I,가맹점정보!F990,임대자산!$N:$N,가맹점정보!R$4)</f>
        <v>1</v>
      </c>
      <c r="S990" s="82" t="n">
        <v>55000</v>
      </c>
      <c r="T990" s="83" t="n">
        <v>0</v>
      </c>
      <c r="U990" s="80" t="n">
        <f aca="false">SUM(S990:T990)</f>
        <v>55000</v>
      </c>
      <c r="V990" s="84" t="s">
        <v>7</v>
      </c>
      <c r="W990" s="80" t="str">
        <f aca="true">
IF(D990="폐업","폐업",
IF(V990="면제","면제",
IF(AND(V990="정상",COUNTIFS(OFFSET(Y990,0,COUNTA(Y990:AV990)-1,1,-4),"미납")&gt;=3),"장기미납",
IF(AND(V990="정상",OFFSET(Y990,0,COUNTA(Y990:AV990)-1)&gt;=U990),"정상",
IF(AND(V990="정상",OFFSET(Y990,0,COUNTA(Y990:AV990)-1)=0),"정상",
"계약서 미작성")))))</f>
        <v>면제</v>
      </c>
      <c r="X990" s="81" t="str">
        <f aca="true">
IF(D990="폐업","폐업",
IF(AND(V990="정상",OFFSET(Y990,0,COUNTA(Y990:AV990)-1)="미납"),"미납",
IF(AND(V990="정상",OFFSET(Y990,0,COUNTA(Y990:AV990)-1)=0),"납부 시작 전",
IF(AND(V990="정상",OFFSET(Y990,0,COUNTA(Y990:AV990)-1)&gt;=U990),"정상",
IF(AND(V990="면제",OFFSET(Y990,0,COUNTA(Y990:AV990)-1)="면제"),"면제",
IF(AND(V990="면제",OFFSET(Y990,0,COUNTA(Y990:AV990)-1)=0),"면제",
"확인요청"))))))</f>
        <v>면제</v>
      </c>
      <c r="Y990" s="94" t="s">
        <v>7</v>
      </c>
      <c r="Z990" s="95" t="s">
        <v>7</v>
      </c>
      <c r="AA990" s="95" t="s">
        <v>7</v>
      </c>
      <c r="AB990" s="95" t="s">
        <v>7</v>
      </c>
      <c r="AC990" s="95" t="s">
        <v>7</v>
      </c>
      <c r="AD990" s="95" t="s">
        <v>7</v>
      </c>
      <c r="AE990" s="95" t="s">
        <v>7</v>
      </c>
      <c r="AF990" s="95" t="s">
        <v>7</v>
      </c>
      <c r="AG990" s="95" t="s">
        <v>7</v>
      </c>
      <c r="AH990" s="95" t="s">
        <v>7</v>
      </c>
      <c r="AI990" s="95" t="s">
        <v>7</v>
      </c>
      <c r="AJ990" s="96" t="s">
        <v>7</v>
      </c>
      <c r="AK990" s="97" t="s">
        <v>7</v>
      </c>
      <c r="AL990" s="95" t="s">
        <v>7</v>
      </c>
      <c r="AM990" s="90"/>
      <c r="AN990" s="90"/>
      <c r="AO990" s="90"/>
      <c r="AP990" s="90"/>
      <c r="AQ990" s="90"/>
      <c r="AR990" s="90"/>
      <c r="AS990" s="90"/>
      <c r="AT990" s="90"/>
      <c r="AU990" s="90"/>
      <c r="AV990" s="91"/>
      <c r="AX990" s="92"/>
    </row>
    <row r="991" customFormat="false" ht="15.65" hidden="false" customHeight="false" outlineLevel="0" collapsed="false">
      <c r="C991" s="72" t="n">
        <f aca="false">COUNTIFS($D$6:D991,"&lt;&gt;"&amp;"")</f>
        <v>986</v>
      </c>
      <c r="D991" s="73" t="s">
        <v>12</v>
      </c>
      <c r="E991" s="76" t="str">
        <f aca="false">
IF($D991="정상",INDEX(임대자산!$D$3:$R$3000,MATCH($F991,임대자산!$I$3:$I$3000,0),MATCH(E$3,임대자산!$D$3:$R$3,0)),
IF($D991="폐업",INDEX(폐업정보!$D$3:$R$3000,MATCH($F991,폐업정보!$I$3:$I$3000,0),MATCH(E$3,폐업정보!$D$3:$R$3,0)),
"Error"))</f>
        <v>서울</v>
      </c>
      <c r="F99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B0986</v>
      </c>
      <c r="G991" s="76" t="str">
        <f aca="false">F991&amp;RANDBETWEEN(0,10)</f>
        <v>B09862</v>
      </c>
      <c r="H991" s="75" t="n">
        <f aca="false">
IF($D991="정상",INDEX(임대자산!$D$3:$R$3000,MATCH($F991,임대자산!$I$3:$I$3000,0),MATCH(H$4,임대자산!$D$3:$R$3,0)),
IF($D991="폐업",INDEX(폐업정보!$D$3:$R$3000,MATCH($F991,폐업정보!$I$3:$I$3000,0),MATCH(H$4,폐업정보!$D$3:$R$3,0)),
"Error"))</f>
        <v>45763</v>
      </c>
      <c r="I991" s="75" t="str">
        <f aca="false">
IF($D991="정상",INDEX(임대자산!$D$3:$R$3000,MATCH($F991,임대자산!$I$3:$I$3000,0),MATCH(I$4,임대자산!$D$3:$R$3,0)),
IF($D991="폐업",INDEX(폐업정보!$D$3:$R$3000,MATCH($F991,폐업정보!$I$3:$I$3000,0),MATCH(I$4,폐업정보!$D$3:$R$3,0)),
"Error"))</f>
        <v>A0986</v>
      </c>
      <c r="J991" s="75" t="str">
        <f aca="false">
IF($D991="정상",INDEX(임대자산!$D$3:$R$3000,MATCH($F991,임대자산!$I$3:$I$3000,0),MATCH(J$4,임대자산!$D$3:$R$3,0)),
IF($D991="폐업",INDEX(폐업정보!$D$3:$R$3000,MATCH($F991,폐업정보!$I$3:$I$3000,0),MATCH(J$4,폐업정보!$D$3:$R$3,0)),
"Error"))</f>
        <v>1792800000</v>
      </c>
      <c r="K991" s="75" t="str">
        <f aca="false">
IF($D991="정상",INDEX(임대자산!$D$3:$R$3000,MATCH($F991,임대자산!$I$3:$I$3000,0),MATCH(K$4,임대자산!$D$3:$R$3,0)),
IF($D991="폐업",INDEX(폐업정보!$D$3:$R$3000,MATCH($F991,폐업정보!$I$3:$I$3000,0),MATCH(K$4,폐업정보!$D$3:$R$3,0)),
"Error"))</f>
        <v>C0986</v>
      </c>
      <c r="L991" s="75" t="str">
        <f aca="false">
IF($D991="정상",INDEX(임대자산!$D$3:$R$3000,MATCH($F991,임대자산!$I$3:$I$3000,0),MATCH(L$4,임대자산!$D$3:$R$3,0)),
IF($D991="폐업",INDEX(폐업정보!$D$3:$R$3000,MATCH($F991,폐업정보!$I$3:$I$3000,0),MATCH(L$4,폐업정보!$D$3:$R$3,0)),
"Error"))</f>
        <v>D0986</v>
      </c>
      <c r="M991" s="76" t="s">
        <v>96</v>
      </c>
      <c r="N991" s="77"/>
      <c r="O991" s="78" t="s">
        <v>97</v>
      </c>
      <c r="P991" s="79" t="n">
        <f aca="false">COUNTIFS(임대자산!$I:$I,가맹점정보!F991,임대자산!$N:$N,가맹점정보!P$4)</f>
        <v>0</v>
      </c>
      <c r="Q991" s="80" t="n">
        <f aca="false">COUNTIFS(임대자산!$I:$I,가맹점정보!F991,임대자산!$N:$N,가맹점정보!Q$4)</f>
        <v>0</v>
      </c>
      <c r="R991" s="81" t="n">
        <f aca="false">COUNTIFS(임대자산!$I:$I,가맹점정보!F991,임대자산!$N:$N,가맹점정보!R$4)</f>
        <v>1</v>
      </c>
      <c r="S991" s="82" t="n">
        <v>88000</v>
      </c>
      <c r="T991" s="83" t="n">
        <v>0</v>
      </c>
      <c r="U991" s="80" t="n">
        <f aca="false">SUM(S991:T991)</f>
        <v>88000</v>
      </c>
      <c r="V991" s="84" t="s">
        <v>7</v>
      </c>
      <c r="W991" s="80" t="str">
        <f aca="true">
IF(D991="폐업","폐업",
IF(V991="면제","면제",
IF(AND(V991="정상",COUNTIFS(OFFSET(Y991,0,COUNTA(Y991:AV991)-1,1,-4),"미납")&gt;=3),"장기미납",
IF(AND(V991="정상",OFFSET(Y991,0,COUNTA(Y991:AV991)-1)&gt;=U991),"정상",
IF(AND(V991="정상",OFFSET(Y991,0,COUNTA(Y991:AV991)-1)=0),"정상",
"계약서 미작성")))))</f>
        <v>면제</v>
      </c>
      <c r="X991" s="81" t="str">
        <f aca="true">
IF(D991="폐업","폐업",
IF(AND(V991="정상",OFFSET(Y991,0,COUNTA(Y991:AV991)-1)="미납"),"미납",
IF(AND(V991="정상",OFFSET(Y991,0,COUNTA(Y991:AV991)-1)=0),"납부 시작 전",
IF(AND(V991="정상",OFFSET(Y991,0,COUNTA(Y991:AV991)-1)&gt;=U991),"정상",
IF(AND(V991="면제",OFFSET(Y991,0,COUNTA(Y991:AV991)-1)="면제"),"면제",
IF(AND(V991="면제",OFFSET(Y991,0,COUNTA(Y991:AV991)-1)=0),"면제",
"확인요청"))))))</f>
        <v>면제</v>
      </c>
      <c r="Y991" s="94" t="s">
        <v>7</v>
      </c>
      <c r="Z991" s="95" t="s">
        <v>7</v>
      </c>
      <c r="AA991" s="95" t="s">
        <v>7</v>
      </c>
      <c r="AB991" s="95" t="s">
        <v>7</v>
      </c>
      <c r="AC991" s="95" t="s">
        <v>7</v>
      </c>
      <c r="AD991" s="95" t="s">
        <v>7</v>
      </c>
      <c r="AE991" s="95" t="s">
        <v>7</v>
      </c>
      <c r="AF991" s="95" t="s">
        <v>7</v>
      </c>
      <c r="AG991" s="95" t="s">
        <v>7</v>
      </c>
      <c r="AH991" s="95" t="s">
        <v>7</v>
      </c>
      <c r="AI991" s="95" t="s">
        <v>7</v>
      </c>
      <c r="AJ991" s="96" t="s">
        <v>7</v>
      </c>
      <c r="AK991" s="97" t="s">
        <v>7</v>
      </c>
      <c r="AL991" s="95" t="s">
        <v>7</v>
      </c>
      <c r="AM991" s="90"/>
      <c r="AN991" s="90"/>
      <c r="AO991" s="90"/>
      <c r="AP991" s="90"/>
      <c r="AQ991" s="90"/>
      <c r="AR991" s="90"/>
      <c r="AS991" s="90"/>
      <c r="AT991" s="90"/>
      <c r="AU991" s="90"/>
      <c r="AV991" s="91"/>
      <c r="AX991" s="92"/>
    </row>
    <row r="992" customFormat="false" ht="15.65" hidden="false" customHeight="false" outlineLevel="0" collapsed="false">
      <c r="C992" s="72" t="n">
        <f aca="false">COUNTIFS($D$6:D992,"&lt;&gt;"&amp;"")</f>
        <v>987</v>
      </c>
      <c r="D992" s="73" t="s">
        <v>12</v>
      </c>
      <c r="E992" s="76" t="str">
        <f aca="false">
IF($D992="정상",INDEX(임대자산!$D$3:$R$3000,MATCH($F992,임대자산!$I$3:$I$3000,0),MATCH(E$3,임대자산!$D$3:$R$3,0)),
IF($D992="폐업",INDEX(폐업정보!$D$3:$R$3000,MATCH($F992,폐업정보!$I$3:$I$3000,0),MATCH(E$3,폐업정보!$D$3:$R$3,0)),
"Error"))</f>
        <v>경상</v>
      </c>
      <c r="F99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B0987</v>
      </c>
      <c r="G992" s="76" t="str">
        <f aca="false">F992&amp;RANDBETWEEN(0,10)</f>
        <v>B09872</v>
      </c>
      <c r="H992" s="75" t="n">
        <f aca="false">
IF($D992="정상",INDEX(임대자산!$D$3:$R$3000,MATCH($F992,임대자산!$I$3:$I$3000,0),MATCH(H$4,임대자산!$D$3:$R$3,0)),
IF($D992="폐업",INDEX(폐업정보!$D$3:$R$3000,MATCH($F992,폐업정보!$I$3:$I$3000,0),MATCH(H$4,폐업정보!$D$3:$R$3,0)),
"Error"))</f>
        <v>44672</v>
      </c>
      <c r="I992" s="75" t="str">
        <f aca="false">
IF($D992="정상",INDEX(임대자산!$D$3:$R$3000,MATCH($F992,임대자산!$I$3:$I$3000,0),MATCH(I$4,임대자산!$D$3:$R$3,0)),
IF($D992="폐업",INDEX(폐업정보!$D$3:$R$3000,MATCH($F992,폐업정보!$I$3:$I$3000,0),MATCH(I$4,폐업정보!$D$3:$R$3,0)),
"Error"))</f>
        <v>A0987</v>
      </c>
      <c r="J992" s="75" t="str">
        <f aca="false">
IF($D992="정상",INDEX(임대자산!$D$3:$R$3000,MATCH($F992,임대자산!$I$3:$I$3000,0),MATCH(J$4,임대자산!$D$3:$R$3,0)),
IF($D992="폐업",INDEX(폐업정보!$D$3:$R$3000,MATCH($F992,폐업정보!$I$3:$I$3000,0),MATCH(J$4,폐업정보!$D$3:$R$3,0)),
"Error"))</f>
        <v>7501700000</v>
      </c>
      <c r="K992" s="75" t="str">
        <f aca="false">
IF($D992="정상",INDEX(임대자산!$D$3:$R$3000,MATCH($F992,임대자산!$I$3:$I$3000,0),MATCH(K$4,임대자산!$D$3:$R$3,0)),
IF($D992="폐업",INDEX(폐업정보!$D$3:$R$3000,MATCH($F992,폐업정보!$I$3:$I$3000,0),MATCH(K$4,폐업정보!$D$3:$R$3,0)),
"Error"))</f>
        <v>C0987</v>
      </c>
      <c r="L992" s="75" t="str">
        <f aca="false">
IF($D992="정상",INDEX(임대자산!$D$3:$R$3000,MATCH($F992,임대자산!$I$3:$I$3000,0),MATCH(L$4,임대자산!$D$3:$R$3,0)),
IF($D992="폐업",INDEX(폐업정보!$D$3:$R$3000,MATCH($F992,폐업정보!$I$3:$I$3000,0),MATCH(L$4,폐업정보!$D$3:$R$3,0)),
"Error"))</f>
        <v>D0987</v>
      </c>
      <c r="M992" s="76" t="s">
        <v>96</v>
      </c>
      <c r="N992" s="77"/>
      <c r="O992" s="78" t="s">
        <v>97</v>
      </c>
      <c r="P992" s="79" t="n">
        <f aca="false">COUNTIFS(임대자산!$I:$I,가맹점정보!F992,임대자산!$N:$N,가맹점정보!P$4)</f>
        <v>0</v>
      </c>
      <c r="Q992" s="80" t="n">
        <f aca="false">COUNTIFS(임대자산!$I:$I,가맹점정보!F992,임대자산!$N:$N,가맹점정보!Q$4)</f>
        <v>0</v>
      </c>
      <c r="R992" s="81" t="n">
        <f aca="false">COUNTIFS(임대자산!$I:$I,가맹점정보!F992,임대자산!$N:$N,가맹점정보!R$4)</f>
        <v>1</v>
      </c>
      <c r="S992" s="82" t="n">
        <v>55000</v>
      </c>
      <c r="T992" s="83" t="n">
        <v>0</v>
      </c>
      <c r="U992" s="80" t="n">
        <f aca="false">SUM(S992:T992)</f>
        <v>55000</v>
      </c>
      <c r="V992" s="84" t="s">
        <v>7</v>
      </c>
      <c r="W992" s="80" t="str">
        <f aca="true">
IF(D992="폐업","폐업",
IF(V992="면제","면제",
IF(AND(V992="정상",COUNTIFS(OFFSET(Y992,0,COUNTA(Y992:AV992)-1,1,-4),"미납")&gt;=3),"장기미납",
IF(AND(V992="정상",OFFSET(Y992,0,COUNTA(Y992:AV992)-1)&gt;=U992),"정상",
IF(AND(V992="정상",OFFSET(Y992,0,COUNTA(Y992:AV992)-1)=0),"정상",
"계약서 미작성")))))</f>
        <v>면제</v>
      </c>
      <c r="X992" s="81" t="str">
        <f aca="true">
IF(D992="폐업","폐업",
IF(AND(V992="정상",OFFSET(Y992,0,COUNTA(Y992:AV992)-1)="미납"),"미납",
IF(AND(V992="정상",OFFSET(Y992,0,COUNTA(Y992:AV992)-1)=0),"납부 시작 전",
IF(AND(V992="정상",OFFSET(Y992,0,COUNTA(Y992:AV992)-1)&gt;=U992),"정상",
IF(AND(V992="면제",OFFSET(Y992,0,COUNTA(Y992:AV992)-1)="면제"),"면제",
IF(AND(V992="면제",OFFSET(Y992,0,COUNTA(Y992:AV992)-1)=0),"면제",
"확인요청"))))))</f>
        <v>면제</v>
      </c>
      <c r="Y992" s="93" t="n">
        <v>55000</v>
      </c>
      <c r="Z992" s="90" t="n">
        <v>55000</v>
      </c>
      <c r="AA992" s="90" t="n">
        <v>55000</v>
      </c>
      <c r="AB992" s="90" t="n">
        <v>55000</v>
      </c>
      <c r="AC992" s="90" t="n">
        <v>55000</v>
      </c>
      <c r="AD992" s="90" t="n">
        <v>55000</v>
      </c>
      <c r="AE992" s="95" t="s">
        <v>62</v>
      </c>
      <c r="AF992" s="95" t="s">
        <v>62</v>
      </c>
      <c r="AG992" s="95" t="s">
        <v>7</v>
      </c>
      <c r="AH992" s="95" t="s">
        <v>7</v>
      </c>
      <c r="AI992" s="95" t="s">
        <v>7</v>
      </c>
      <c r="AJ992" s="96" t="s">
        <v>7</v>
      </c>
      <c r="AK992" s="97" t="s">
        <v>7</v>
      </c>
      <c r="AL992" s="95" t="s">
        <v>7</v>
      </c>
      <c r="AM992" s="90"/>
      <c r="AN992" s="90"/>
      <c r="AO992" s="90"/>
      <c r="AP992" s="90"/>
      <c r="AQ992" s="90"/>
      <c r="AR992" s="90"/>
      <c r="AS992" s="90"/>
      <c r="AT992" s="90"/>
      <c r="AU992" s="90"/>
      <c r="AV992" s="91"/>
      <c r="AX992" s="92"/>
    </row>
    <row r="993" customFormat="false" ht="15.65" hidden="false" customHeight="false" outlineLevel="0" collapsed="false">
      <c r="C993" s="72" t="n">
        <f aca="false">COUNTIFS($D$6:D993,"&lt;&gt;"&amp;"")</f>
        <v>988</v>
      </c>
      <c r="D993" s="73" t="s">
        <v>12</v>
      </c>
      <c r="E993" s="76" t="str">
        <f aca="false">
IF($D993="정상",INDEX(임대자산!$D$3:$R$3000,MATCH($F993,임대자산!$I$3:$I$3000,0),MATCH(E$3,임대자산!$D$3:$R$3,0)),
IF($D993="폐업",INDEX(폐업정보!$D$3:$R$3000,MATCH($F993,폐업정보!$I$3:$I$3000,0),MATCH(E$3,폐업정보!$D$3:$R$3,0)),
"Error"))</f>
        <v>경기</v>
      </c>
      <c r="F99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B0988</v>
      </c>
      <c r="G993" s="76" t="str">
        <f aca="false">F993&amp;RANDBETWEEN(0,10)</f>
        <v>B09881</v>
      </c>
      <c r="H993" s="75" t="n">
        <f aca="false">
IF($D993="정상",INDEX(임대자산!$D$3:$R$3000,MATCH($F993,임대자산!$I$3:$I$3000,0),MATCH(H$4,임대자산!$D$3:$R$3,0)),
IF($D993="폐업",INDEX(폐업정보!$D$3:$R$3000,MATCH($F993,폐업정보!$I$3:$I$3000,0),MATCH(H$4,폐업정보!$D$3:$R$3,0)),
"Error"))</f>
        <v>44522</v>
      </c>
      <c r="I993" s="75" t="str">
        <f aca="false">
IF($D993="정상",INDEX(임대자산!$D$3:$R$3000,MATCH($F993,임대자산!$I$3:$I$3000,0),MATCH(I$4,임대자산!$D$3:$R$3,0)),
IF($D993="폐업",INDEX(폐업정보!$D$3:$R$3000,MATCH($F993,폐업정보!$I$3:$I$3000,0),MATCH(I$4,폐업정보!$D$3:$R$3,0)),
"Error"))</f>
        <v>A0988</v>
      </c>
      <c r="J993" s="75" t="str">
        <f aca="false">
IF($D993="정상",INDEX(임대자산!$D$3:$R$3000,MATCH($F993,임대자산!$I$3:$I$3000,0),MATCH(J$4,임대자산!$D$3:$R$3,0)),
IF($D993="폐업",INDEX(폐업정보!$D$3:$R$3000,MATCH($F993,폐업정보!$I$3:$I$3000,0),MATCH(J$4,폐업정보!$D$3:$R$3,0)),
"Error"))</f>
        <v>2340400000</v>
      </c>
      <c r="K993" s="75" t="str">
        <f aca="false">
IF($D993="정상",INDEX(임대자산!$D$3:$R$3000,MATCH($F993,임대자산!$I$3:$I$3000,0),MATCH(K$4,임대자산!$D$3:$R$3,0)),
IF($D993="폐업",INDEX(폐업정보!$D$3:$R$3000,MATCH($F993,폐업정보!$I$3:$I$3000,0),MATCH(K$4,폐업정보!$D$3:$R$3,0)),
"Error"))</f>
        <v>C0988</v>
      </c>
      <c r="L993" s="75" t="str">
        <f aca="false">
IF($D993="정상",INDEX(임대자산!$D$3:$R$3000,MATCH($F993,임대자산!$I$3:$I$3000,0),MATCH(L$4,임대자산!$D$3:$R$3,0)),
IF($D993="폐업",INDEX(폐업정보!$D$3:$R$3000,MATCH($F993,폐업정보!$I$3:$I$3000,0),MATCH(L$4,폐업정보!$D$3:$R$3,0)),
"Error"))</f>
        <v>D0988</v>
      </c>
      <c r="M993" s="76" t="s">
        <v>96</v>
      </c>
      <c r="N993" s="77"/>
      <c r="O993" s="78" t="s">
        <v>97</v>
      </c>
      <c r="P993" s="79" t="n">
        <f aca="false">COUNTIFS(임대자산!$I:$I,가맹점정보!F993,임대자산!$N:$N,가맹점정보!P$4)</f>
        <v>0</v>
      </c>
      <c r="Q993" s="80" t="n">
        <f aca="false">COUNTIFS(임대자산!$I:$I,가맹점정보!F993,임대자산!$N:$N,가맹점정보!Q$4)</f>
        <v>0</v>
      </c>
      <c r="R993" s="81" t="n">
        <f aca="false">COUNTIFS(임대자산!$I:$I,가맹점정보!F993,임대자산!$N:$N,가맹점정보!R$4)</f>
        <v>1</v>
      </c>
      <c r="S993" s="82" t="n">
        <v>55000</v>
      </c>
      <c r="T993" s="83" t="n">
        <v>0</v>
      </c>
      <c r="U993" s="80" t="n">
        <f aca="false">SUM(S993:T993)</f>
        <v>55000</v>
      </c>
      <c r="V993" s="84" t="s">
        <v>7</v>
      </c>
      <c r="W993" s="80" t="str">
        <f aca="true">
IF(D993="폐업","폐업",
IF(V993="면제","면제",
IF(AND(V993="정상",COUNTIFS(OFFSET(Y993,0,COUNTA(Y993:AV993)-1,1,-4),"미납")&gt;=3),"장기미납",
IF(AND(V993="정상",OFFSET(Y993,0,COUNTA(Y993:AV993)-1)&gt;=U993),"정상",
IF(AND(V993="정상",OFFSET(Y993,0,COUNTA(Y993:AV993)-1)=0),"정상",
"계약서 미작성")))))</f>
        <v>면제</v>
      </c>
      <c r="X993" s="81" t="str">
        <f aca="true">
IF(D993="폐업","폐업",
IF(AND(V993="정상",OFFSET(Y993,0,COUNTA(Y993:AV993)-1)="미납"),"미납",
IF(AND(V993="정상",OFFSET(Y993,0,COUNTA(Y993:AV993)-1)=0),"납부 시작 전",
IF(AND(V993="정상",OFFSET(Y993,0,COUNTA(Y993:AV993)-1)&gt;=U993),"정상",
IF(AND(V993="면제",OFFSET(Y993,0,COUNTA(Y993:AV993)-1)="면제"),"면제",
IF(AND(V993="면제",OFFSET(Y993,0,COUNTA(Y993:AV993)-1)=0),"면제",
"확인요청"))))))</f>
        <v>면제</v>
      </c>
      <c r="Y993" s="94" t="s">
        <v>7</v>
      </c>
      <c r="Z993" s="95" t="s">
        <v>7</v>
      </c>
      <c r="AA993" s="95" t="s">
        <v>7</v>
      </c>
      <c r="AB993" s="95" t="s">
        <v>7</v>
      </c>
      <c r="AC993" s="95" t="s">
        <v>7</v>
      </c>
      <c r="AD993" s="95" t="s">
        <v>7</v>
      </c>
      <c r="AE993" s="95" t="s">
        <v>7</v>
      </c>
      <c r="AF993" s="95" t="s">
        <v>7</v>
      </c>
      <c r="AG993" s="95" t="s">
        <v>7</v>
      </c>
      <c r="AH993" s="95" t="s">
        <v>7</v>
      </c>
      <c r="AI993" s="95" t="s">
        <v>7</v>
      </c>
      <c r="AJ993" s="96" t="s">
        <v>7</v>
      </c>
      <c r="AK993" s="97" t="s">
        <v>7</v>
      </c>
      <c r="AL993" s="95" t="s">
        <v>7</v>
      </c>
      <c r="AM993" s="90"/>
      <c r="AN993" s="90"/>
      <c r="AO993" s="90"/>
      <c r="AP993" s="90"/>
      <c r="AQ993" s="90"/>
      <c r="AR993" s="90"/>
      <c r="AS993" s="90"/>
      <c r="AT993" s="90"/>
      <c r="AU993" s="90"/>
      <c r="AV993" s="91"/>
      <c r="AX993" s="92"/>
    </row>
    <row r="994" customFormat="false" ht="15.65" hidden="false" customHeight="false" outlineLevel="0" collapsed="false">
      <c r="C994" s="72" t="n">
        <f aca="false">COUNTIFS($D$6:D994,"&lt;&gt;"&amp;"")</f>
        <v>989</v>
      </c>
      <c r="D994" s="73" t="s">
        <v>12</v>
      </c>
      <c r="E994" s="76" t="str">
        <f aca="false">
IF($D994="정상",INDEX(임대자산!$D$3:$R$3000,MATCH($F994,임대자산!$I$3:$I$3000,0),MATCH(E$3,임대자산!$D$3:$R$3,0)),
IF($D994="폐업",INDEX(폐업정보!$D$3:$R$3000,MATCH($F994,폐업정보!$I$3:$I$3000,0),MATCH(E$3,폐업정보!$D$3:$R$3,0)),
"Error"))</f>
        <v>경상</v>
      </c>
      <c r="F99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B0989</v>
      </c>
      <c r="G994" s="76" t="str">
        <f aca="false">F994&amp;RANDBETWEEN(0,10)</f>
        <v>B09890</v>
      </c>
      <c r="H994" s="75" t="n">
        <f aca="false">
IF($D994="정상",INDEX(임대자산!$D$3:$R$3000,MATCH($F994,임대자산!$I$3:$I$3000,0),MATCH(H$4,임대자산!$D$3:$R$3,0)),
IF($D994="폐업",INDEX(폐업정보!$D$3:$R$3000,MATCH($F994,폐업정보!$I$3:$I$3000,0),MATCH(H$4,폐업정보!$D$3:$R$3,0)),
"Error"))</f>
        <v>45517</v>
      </c>
      <c r="I994" s="75" t="str">
        <f aca="false">
IF($D994="정상",INDEX(임대자산!$D$3:$R$3000,MATCH($F994,임대자산!$I$3:$I$3000,0),MATCH(I$4,임대자산!$D$3:$R$3,0)),
IF($D994="폐업",INDEX(폐업정보!$D$3:$R$3000,MATCH($F994,폐업정보!$I$3:$I$3000,0),MATCH(I$4,폐업정보!$D$3:$R$3,0)),
"Error"))</f>
        <v>A0989</v>
      </c>
      <c r="J994" s="75" t="str">
        <f aca="false">
IF($D994="정상",INDEX(임대자산!$D$3:$R$3000,MATCH($F994,임대자산!$I$3:$I$3000,0),MATCH(J$4,임대자산!$D$3:$R$3,0)),
IF($D994="폐업",INDEX(폐업정보!$D$3:$R$3000,MATCH($F994,폐업정보!$I$3:$I$3000,0),MATCH(J$4,폐업정보!$D$3:$R$3,0)),
"Error"))</f>
        <v>1050000000</v>
      </c>
      <c r="K994" s="75" t="str">
        <f aca="false">
IF($D994="정상",INDEX(임대자산!$D$3:$R$3000,MATCH($F994,임대자산!$I$3:$I$3000,0),MATCH(K$4,임대자산!$D$3:$R$3,0)),
IF($D994="폐업",INDEX(폐업정보!$D$3:$R$3000,MATCH($F994,폐업정보!$I$3:$I$3000,0),MATCH(K$4,폐업정보!$D$3:$R$3,0)),
"Error"))</f>
        <v>C0989</v>
      </c>
      <c r="L994" s="75" t="str">
        <f aca="false">
IF($D994="정상",INDEX(임대자산!$D$3:$R$3000,MATCH($F994,임대자산!$I$3:$I$3000,0),MATCH(L$4,임대자산!$D$3:$R$3,0)),
IF($D994="폐업",INDEX(폐업정보!$D$3:$R$3000,MATCH($F994,폐업정보!$I$3:$I$3000,0),MATCH(L$4,폐업정보!$D$3:$R$3,0)),
"Error"))</f>
        <v>D0989</v>
      </c>
      <c r="M994" s="76" t="s">
        <v>96</v>
      </c>
      <c r="N994" s="77"/>
      <c r="O994" s="78" t="s">
        <v>97</v>
      </c>
      <c r="P994" s="79" t="n">
        <f aca="false">COUNTIFS(임대자산!$I:$I,가맹점정보!F994,임대자산!$N:$N,가맹점정보!P$4)</f>
        <v>0</v>
      </c>
      <c r="Q994" s="80" t="n">
        <f aca="false">COUNTIFS(임대자산!$I:$I,가맹점정보!F994,임대자산!$N:$N,가맹점정보!Q$4)</f>
        <v>0</v>
      </c>
      <c r="R994" s="81" t="n">
        <f aca="false">COUNTIFS(임대자산!$I:$I,가맹점정보!F994,임대자산!$N:$N,가맹점정보!R$4)</f>
        <v>1</v>
      </c>
      <c r="S994" s="82" t="n">
        <v>88000</v>
      </c>
      <c r="T994" s="83" t="n">
        <v>0</v>
      </c>
      <c r="U994" s="80" t="n">
        <f aca="false">SUM(S994:T994)</f>
        <v>88000</v>
      </c>
      <c r="V994" s="84" t="s">
        <v>7</v>
      </c>
      <c r="W994" s="80" t="str">
        <f aca="true">
IF(D994="폐업","폐업",
IF(V994="면제","면제",
IF(AND(V994="정상",COUNTIFS(OFFSET(Y994,0,COUNTA(Y994:AV994)-1,1,-4),"미납")&gt;=3),"장기미납",
IF(AND(V994="정상",OFFSET(Y994,0,COUNTA(Y994:AV994)-1)&gt;=U994),"정상",
IF(AND(V994="정상",OFFSET(Y994,0,COUNTA(Y994:AV994)-1)=0),"정상",
"계약서 미작성")))))</f>
        <v>면제</v>
      </c>
      <c r="X994" s="81" t="str">
        <f aca="true">
IF(D994="폐업","폐업",
IF(AND(V994="정상",OFFSET(Y994,0,COUNTA(Y994:AV994)-1)="미납"),"미납",
IF(AND(V994="정상",OFFSET(Y994,0,COUNTA(Y994:AV994)-1)=0),"납부 시작 전",
IF(AND(V994="정상",OFFSET(Y994,0,COUNTA(Y994:AV994)-1)&gt;=U994),"정상",
IF(AND(V994="면제",OFFSET(Y994,0,COUNTA(Y994:AV994)-1)="면제"),"면제",
IF(AND(V994="면제",OFFSET(Y994,0,COUNTA(Y994:AV994)-1)=0),"면제",
"확인요청"))))))</f>
        <v>면제</v>
      </c>
      <c r="Y994" s="94" t="s">
        <v>7</v>
      </c>
      <c r="Z994" s="95" t="s">
        <v>7</v>
      </c>
      <c r="AA994" s="95" t="s">
        <v>7</v>
      </c>
      <c r="AB994" s="95" t="s">
        <v>7</v>
      </c>
      <c r="AC994" s="95" t="s">
        <v>7</v>
      </c>
      <c r="AD994" s="95" t="s">
        <v>7</v>
      </c>
      <c r="AE994" s="95" t="s">
        <v>7</v>
      </c>
      <c r="AF994" s="95" t="s">
        <v>7</v>
      </c>
      <c r="AG994" s="95" t="s">
        <v>7</v>
      </c>
      <c r="AH994" s="95" t="s">
        <v>7</v>
      </c>
      <c r="AI994" s="95" t="s">
        <v>7</v>
      </c>
      <c r="AJ994" s="96" t="s">
        <v>7</v>
      </c>
      <c r="AK994" s="97" t="s">
        <v>7</v>
      </c>
      <c r="AL994" s="95" t="s">
        <v>7</v>
      </c>
      <c r="AM994" s="90"/>
      <c r="AN994" s="90"/>
      <c r="AO994" s="90"/>
      <c r="AP994" s="90"/>
      <c r="AQ994" s="90"/>
      <c r="AR994" s="90"/>
      <c r="AS994" s="90"/>
      <c r="AT994" s="90"/>
      <c r="AU994" s="90"/>
      <c r="AV994" s="91"/>
      <c r="AX994" s="92"/>
    </row>
    <row r="995" customFormat="false" ht="15.65" hidden="false" customHeight="false" outlineLevel="0" collapsed="false">
      <c r="C995" s="72" t="n">
        <f aca="false">COUNTIFS($D$6:D995,"&lt;&gt;"&amp;"")</f>
        <v>990</v>
      </c>
      <c r="D995" s="73" t="s">
        <v>12</v>
      </c>
      <c r="E995" s="76" t="str">
        <f aca="false">
IF($D995="정상",INDEX(임대자산!$D$3:$R$3000,MATCH($F995,임대자산!$I$3:$I$3000,0),MATCH(E$3,임대자산!$D$3:$R$3,0)),
IF($D995="폐업",INDEX(폐업정보!$D$3:$R$3000,MATCH($F995,폐업정보!$I$3:$I$3000,0),MATCH(E$3,폐업정보!$D$3:$R$3,0)),
"Error"))</f>
        <v>경상</v>
      </c>
      <c r="F99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B0990</v>
      </c>
      <c r="G995" s="76" t="str">
        <f aca="false">F995&amp;RANDBETWEEN(0,10)</f>
        <v>B09909</v>
      </c>
      <c r="H995" s="75" t="n">
        <f aca="false">
IF($D995="정상",INDEX(임대자산!$D$3:$R$3000,MATCH($F995,임대자산!$I$3:$I$3000,0),MATCH(H$4,임대자산!$D$3:$R$3,0)),
IF($D995="폐업",INDEX(폐업정보!$D$3:$R$3000,MATCH($F995,폐업정보!$I$3:$I$3000,0),MATCH(H$4,폐업정보!$D$3:$R$3,0)),
"Error"))</f>
        <v>45517</v>
      </c>
      <c r="I995" s="75" t="str">
        <f aca="false">
IF($D995="정상",INDEX(임대자산!$D$3:$R$3000,MATCH($F995,임대자산!$I$3:$I$3000,0),MATCH(I$4,임대자산!$D$3:$R$3,0)),
IF($D995="폐업",INDEX(폐업정보!$D$3:$R$3000,MATCH($F995,폐업정보!$I$3:$I$3000,0),MATCH(I$4,폐업정보!$D$3:$R$3,0)),
"Error"))</f>
        <v>A0990</v>
      </c>
      <c r="J995" s="75" t="str">
        <f aca="false">
IF($D995="정상",INDEX(임대자산!$D$3:$R$3000,MATCH($F995,임대자산!$I$3:$I$3000,0),MATCH(J$4,임대자산!$D$3:$R$3,0)),
IF($D995="폐업",INDEX(폐업정보!$D$3:$R$3000,MATCH($F995,폐업정보!$I$3:$I$3000,0),MATCH(J$4,폐업정보!$D$3:$R$3,0)),
"Error"))</f>
        <v>3929800000</v>
      </c>
      <c r="K995" s="75" t="str">
        <f aca="false">
IF($D995="정상",INDEX(임대자산!$D$3:$R$3000,MATCH($F995,임대자산!$I$3:$I$3000,0),MATCH(K$4,임대자산!$D$3:$R$3,0)),
IF($D995="폐업",INDEX(폐업정보!$D$3:$R$3000,MATCH($F995,폐업정보!$I$3:$I$3000,0),MATCH(K$4,폐업정보!$D$3:$R$3,0)),
"Error"))</f>
        <v>C0990</v>
      </c>
      <c r="L995" s="75" t="str">
        <f aca="false">
IF($D995="정상",INDEX(임대자산!$D$3:$R$3000,MATCH($F995,임대자산!$I$3:$I$3000,0),MATCH(L$4,임대자산!$D$3:$R$3,0)),
IF($D995="폐업",INDEX(폐업정보!$D$3:$R$3000,MATCH($F995,폐업정보!$I$3:$I$3000,0),MATCH(L$4,폐업정보!$D$3:$R$3,0)),
"Error"))</f>
        <v>D0990</v>
      </c>
      <c r="M995" s="76" t="s">
        <v>96</v>
      </c>
      <c r="N995" s="77"/>
      <c r="O995" s="78" t="s">
        <v>97</v>
      </c>
      <c r="P995" s="79" t="n">
        <f aca="false">COUNTIFS(임대자산!$I:$I,가맹점정보!F995,임대자산!$N:$N,가맹점정보!P$4)</f>
        <v>0</v>
      </c>
      <c r="Q995" s="80" t="n">
        <f aca="false">COUNTIFS(임대자산!$I:$I,가맹점정보!F995,임대자산!$N:$N,가맹점정보!Q$4)</f>
        <v>0</v>
      </c>
      <c r="R995" s="81" t="n">
        <f aca="false">COUNTIFS(임대자산!$I:$I,가맹점정보!F995,임대자산!$N:$N,가맹점정보!R$4)</f>
        <v>1</v>
      </c>
      <c r="S995" s="82" t="n">
        <v>88000</v>
      </c>
      <c r="T995" s="83" t="n">
        <v>0</v>
      </c>
      <c r="U995" s="80" t="n">
        <f aca="false">SUM(S995:T995)</f>
        <v>88000</v>
      </c>
      <c r="V995" s="84" t="s">
        <v>7</v>
      </c>
      <c r="W995" s="80" t="str">
        <f aca="true">
IF(D995="폐업","폐업",
IF(V995="면제","면제",
IF(AND(V995="정상",COUNTIFS(OFFSET(Y995,0,COUNTA(Y995:AV995)-1,1,-4),"미납")&gt;=3),"장기미납",
IF(AND(V995="정상",OFFSET(Y995,0,COUNTA(Y995:AV995)-1)&gt;=U995),"정상",
IF(AND(V995="정상",OFFSET(Y995,0,COUNTA(Y995:AV995)-1)=0),"정상",
"계약서 미작성")))))</f>
        <v>면제</v>
      </c>
      <c r="X995" s="81" t="str">
        <f aca="true">
IF(D995="폐업","폐업",
IF(AND(V995="정상",OFFSET(Y995,0,COUNTA(Y995:AV995)-1)="미납"),"미납",
IF(AND(V995="정상",OFFSET(Y995,0,COUNTA(Y995:AV995)-1)=0),"납부 시작 전",
IF(AND(V995="정상",OFFSET(Y995,0,COUNTA(Y995:AV995)-1)&gt;=U995),"정상",
IF(AND(V995="면제",OFFSET(Y995,0,COUNTA(Y995:AV995)-1)="면제"),"면제",
IF(AND(V995="면제",OFFSET(Y995,0,COUNTA(Y995:AV995)-1)=0),"면제",
"확인요청"))))))</f>
        <v>면제</v>
      </c>
      <c r="Y995" s="94" t="s">
        <v>7</v>
      </c>
      <c r="Z995" s="95" t="s">
        <v>7</v>
      </c>
      <c r="AA995" s="95" t="s">
        <v>7</v>
      </c>
      <c r="AB995" s="95" t="s">
        <v>7</v>
      </c>
      <c r="AC995" s="95" t="s">
        <v>7</v>
      </c>
      <c r="AD995" s="95" t="s">
        <v>7</v>
      </c>
      <c r="AE995" s="95" t="s">
        <v>7</v>
      </c>
      <c r="AF995" s="95" t="s">
        <v>7</v>
      </c>
      <c r="AG995" s="95" t="s">
        <v>7</v>
      </c>
      <c r="AH995" s="95" t="s">
        <v>7</v>
      </c>
      <c r="AI995" s="95" t="s">
        <v>7</v>
      </c>
      <c r="AJ995" s="96" t="s">
        <v>7</v>
      </c>
      <c r="AK995" s="97" t="s">
        <v>7</v>
      </c>
      <c r="AL995" s="95" t="s">
        <v>7</v>
      </c>
      <c r="AM995" s="90"/>
      <c r="AN995" s="90"/>
      <c r="AO995" s="90"/>
      <c r="AP995" s="90"/>
      <c r="AQ995" s="90"/>
      <c r="AR995" s="90"/>
      <c r="AS995" s="90"/>
      <c r="AT995" s="90"/>
      <c r="AU995" s="90"/>
      <c r="AV995" s="91"/>
      <c r="AX995" s="92"/>
    </row>
    <row r="996" customFormat="false" ht="15.65" hidden="false" customHeight="false" outlineLevel="0" collapsed="false">
      <c r="C996" s="72" t="n">
        <f aca="false">COUNTIFS($D$6:D996,"&lt;&gt;"&amp;"")</f>
        <v>991</v>
      </c>
      <c r="D996" s="73" t="s">
        <v>12</v>
      </c>
      <c r="E996" s="76" t="str">
        <f aca="false">
IF($D996="정상",INDEX(임대자산!$D$3:$R$3000,MATCH($F996,임대자산!$I$3:$I$3000,0),MATCH(E$3,임대자산!$D$3:$R$3,0)),
IF($D996="폐업",INDEX(폐업정보!$D$3:$R$3000,MATCH($F996,폐업정보!$I$3:$I$3000,0),MATCH(E$3,폐업정보!$D$3:$R$3,0)),
"Error"))</f>
        <v>서울</v>
      </c>
      <c r="F99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B0991</v>
      </c>
      <c r="G996" s="76" t="str">
        <f aca="false">F996&amp;RANDBETWEEN(0,10)</f>
        <v>B09915</v>
      </c>
      <c r="H996" s="75" t="n">
        <f aca="false">
IF($D996="정상",INDEX(임대자산!$D$3:$R$3000,MATCH($F996,임대자산!$I$3:$I$3000,0),MATCH(H$4,임대자산!$D$3:$R$3,0)),
IF($D996="폐업",INDEX(폐업정보!$D$3:$R$3000,MATCH($F996,폐업정보!$I$3:$I$3000,0),MATCH(H$4,폐업정보!$D$3:$R$3,0)),
"Error"))</f>
        <v>45523</v>
      </c>
      <c r="I996" s="75" t="str">
        <f aca="false">
IF($D996="정상",INDEX(임대자산!$D$3:$R$3000,MATCH($F996,임대자산!$I$3:$I$3000,0),MATCH(I$4,임대자산!$D$3:$R$3,0)),
IF($D996="폐업",INDEX(폐업정보!$D$3:$R$3000,MATCH($F996,폐업정보!$I$3:$I$3000,0),MATCH(I$4,폐업정보!$D$3:$R$3,0)),
"Error"))</f>
        <v>A0991</v>
      </c>
      <c r="J996" s="75" t="str">
        <f aca="false">
IF($D996="정상",INDEX(임대자산!$D$3:$R$3000,MATCH($F996,임대자산!$I$3:$I$3000,0),MATCH(J$4,임대자산!$D$3:$R$3,0)),
IF($D996="폐업",INDEX(폐업정보!$D$3:$R$3000,MATCH($F996,폐업정보!$I$3:$I$3000,0),MATCH(J$4,폐업정보!$D$3:$R$3,0)),
"Error"))</f>
        <v>8863600000</v>
      </c>
      <c r="K996" s="75" t="str">
        <f aca="false">
IF($D996="정상",INDEX(임대자산!$D$3:$R$3000,MATCH($F996,임대자산!$I$3:$I$3000,0),MATCH(K$4,임대자산!$D$3:$R$3,0)),
IF($D996="폐업",INDEX(폐업정보!$D$3:$R$3000,MATCH($F996,폐업정보!$I$3:$I$3000,0),MATCH(K$4,폐업정보!$D$3:$R$3,0)),
"Error"))</f>
        <v>C0991</v>
      </c>
      <c r="L996" s="75" t="str">
        <f aca="false">
IF($D996="정상",INDEX(임대자산!$D$3:$R$3000,MATCH($F996,임대자산!$I$3:$I$3000,0),MATCH(L$4,임대자산!$D$3:$R$3,0)),
IF($D996="폐업",INDEX(폐업정보!$D$3:$R$3000,MATCH($F996,폐업정보!$I$3:$I$3000,0),MATCH(L$4,폐업정보!$D$3:$R$3,0)),
"Error"))</f>
        <v>D0991</v>
      </c>
      <c r="M996" s="76" t="s">
        <v>96</v>
      </c>
      <c r="N996" s="77"/>
      <c r="O996" s="78" t="s">
        <v>97</v>
      </c>
      <c r="P996" s="79" t="n">
        <f aca="false">COUNTIFS(임대자산!$I:$I,가맹점정보!F996,임대자산!$N:$N,가맹점정보!P$4)</f>
        <v>0</v>
      </c>
      <c r="Q996" s="80" t="n">
        <f aca="false">COUNTIFS(임대자산!$I:$I,가맹점정보!F996,임대자산!$N:$N,가맹점정보!Q$4)</f>
        <v>0</v>
      </c>
      <c r="R996" s="81" t="n">
        <f aca="false">COUNTIFS(임대자산!$I:$I,가맹점정보!F996,임대자산!$N:$N,가맹점정보!R$4)</f>
        <v>1</v>
      </c>
      <c r="S996" s="82" t="n">
        <v>88000</v>
      </c>
      <c r="T996" s="83" t="n">
        <v>0</v>
      </c>
      <c r="U996" s="80" t="n">
        <f aca="false">SUM(S996:T996)</f>
        <v>88000</v>
      </c>
      <c r="V996" s="84" t="s">
        <v>12</v>
      </c>
      <c r="W996" s="80" t="e">
        <f aca="true">
IF(D996="폐업","폐업",
IF(V996="면제","면제",
IF(AND(V996="정상",COUNTIFS(OFFSET(Y996,0,COUNTA(Y996:AV996)-1,1,-4),"미납")&gt;=3),"장기미납",
IF(AND(V996="정상",OFFSET(Y996,0,COUNTA(Y996:AV996)-1)&gt;=U996),"정상",
IF(AND(V996="정상",OFFSET(Y996,0,COUNTA(Y996:AV996)-1)=0),"정상",
"계약서 미작성")))))</f>
        <v>#VALUE!</v>
      </c>
      <c r="X996" s="81" t="str">
        <f aca="true">
IF(D996="폐업","폐업",
IF(AND(V996="정상",OFFSET(Y996,0,COUNTA(Y996:AV996)-1)="미납"),"미납",
IF(AND(V996="정상",OFFSET(Y996,0,COUNTA(Y996:AV996)-1)=0),"납부 시작 전",
IF(AND(V996="정상",OFFSET(Y996,0,COUNTA(Y996:AV996)-1)&gt;=U996),"정상",
IF(AND(V996="면제",OFFSET(Y996,0,COUNTA(Y996:AV996)-1)="면제"),"면제",
IF(AND(V996="면제",OFFSET(Y996,0,COUNTA(Y996:AV996)-1)=0),"면제",
"확인요청"))))))</f>
        <v>정상</v>
      </c>
      <c r="Y996" s="93" t="n">
        <v>88000</v>
      </c>
      <c r="Z996" s="90" t="n">
        <v>88000</v>
      </c>
      <c r="AA996" s="90" t="n">
        <v>88000</v>
      </c>
      <c r="AB996" s="90" t="n">
        <v>88000</v>
      </c>
      <c r="AC996" s="90" t="n">
        <v>88000</v>
      </c>
      <c r="AD996" s="90" t="n">
        <v>88000</v>
      </c>
      <c r="AE996" s="90" t="n">
        <v>88000</v>
      </c>
      <c r="AF996" s="90" t="n">
        <v>88000</v>
      </c>
      <c r="AG996" s="90" t="n">
        <v>88000</v>
      </c>
      <c r="AH996" s="90" t="n">
        <v>88000</v>
      </c>
      <c r="AI996" s="90" t="n">
        <v>88000</v>
      </c>
      <c r="AJ996" s="91" t="n">
        <v>88000</v>
      </c>
      <c r="AK996" s="89" t="n">
        <v>88000</v>
      </c>
      <c r="AL996" s="90" t="n">
        <v>88000</v>
      </c>
      <c r="AM996" s="90"/>
      <c r="AN996" s="90"/>
      <c r="AO996" s="90"/>
      <c r="AP996" s="90"/>
      <c r="AQ996" s="90"/>
      <c r="AR996" s="90"/>
      <c r="AS996" s="90"/>
      <c r="AT996" s="90"/>
      <c r="AU996" s="90"/>
      <c r="AV996" s="91"/>
      <c r="AX996" s="92"/>
    </row>
    <row r="997" customFormat="false" ht="15.65" hidden="false" customHeight="false" outlineLevel="0" collapsed="false">
      <c r="C997" s="72" t="n">
        <f aca="false">COUNTIFS($D$6:D997,"&lt;&gt;"&amp;"")</f>
        <v>992</v>
      </c>
      <c r="D997" s="73" t="s">
        <v>5</v>
      </c>
      <c r="E997" s="76" t="str">
        <f aca="false">
IF($D997="정상",INDEX(임대자산!$D$3:$R$3000,MATCH($F997,임대자산!$I$3:$I$3000,0),MATCH(E$3,임대자산!$D$3:$R$3,0)),
IF($D997="폐업",INDEX(폐업정보!$D$3:$R$3000,MATCH($F997,폐업정보!$I$3:$I$3000,0),MATCH(E$3,폐업정보!$D$3:$R$3,0)),
"Error"))</f>
        <v>서울</v>
      </c>
      <c r="F99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B0992</v>
      </c>
      <c r="G997" s="76" t="str">
        <f aca="false">F997&amp;RANDBETWEEN(0,10)</f>
        <v>B09920</v>
      </c>
      <c r="H997" s="75" t="n">
        <f aca="false">
IF($D997="정상",INDEX(임대자산!$D$3:$R$3000,MATCH($F997,임대자산!$I$3:$I$3000,0),MATCH(H$4,임대자산!$D$3:$R$3,0)),
IF($D997="폐업",INDEX(폐업정보!$D$3:$R$3000,MATCH($F997,폐업정보!$I$3:$I$3000,0),MATCH(H$4,폐업정보!$D$3:$R$3,0)),
"Error"))</f>
        <v>45523</v>
      </c>
      <c r="I997" s="75" t="str">
        <f aca="false">
IF($D997="정상",INDEX(임대자산!$D$3:$R$3000,MATCH($F997,임대자산!$I$3:$I$3000,0),MATCH(I$4,임대자산!$D$3:$R$3,0)),
IF($D997="폐업",INDEX(폐업정보!$D$3:$R$3000,MATCH($F997,폐업정보!$I$3:$I$3000,0),MATCH(I$4,폐업정보!$D$3:$R$3,0)),
"Error"))</f>
        <v>A0992</v>
      </c>
      <c r="J997" s="75" t="str">
        <f aca="false">
IF($D997="정상",INDEX(임대자산!$D$3:$R$3000,MATCH($F997,임대자산!$I$3:$I$3000,0),MATCH(J$4,임대자산!$D$3:$R$3,0)),
IF($D997="폐업",INDEX(폐업정보!$D$3:$R$3000,MATCH($F997,폐업정보!$I$3:$I$3000,0),MATCH(J$4,폐업정보!$D$3:$R$3,0)),
"Error"))</f>
        <v>9625700000</v>
      </c>
      <c r="K997" s="75" t="str">
        <f aca="false">
IF($D997="정상",INDEX(임대자산!$D$3:$R$3000,MATCH($F997,임대자산!$I$3:$I$3000,0),MATCH(K$4,임대자산!$D$3:$R$3,0)),
IF($D997="폐업",INDEX(폐업정보!$D$3:$R$3000,MATCH($F997,폐업정보!$I$3:$I$3000,0),MATCH(K$4,폐업정보!$D$3:$R$3,0)),
"Error"))</f>
        <v>C0992</v>
      </c>
      <c r="L997" s="75" t="str">
        <f aca="false">
IF($D997="정상",INDEX(임대자산!$D$3:$R$3000,MATCH($F997,임대자산!$I$3:$I$3000,0),MATCH(L$4,임대자산!$D$3:$R$3,0)),
IF($D997="폐업",INDEX(폐업정보!$D$3:$R$3000,MATCH($F997,폐업정보!$I$3:$I$3000,0),MATCH(L$4,폐업정보!$D$3:$R$3,0)),
"Error"))</f>
        <v>D0992</v>
      </c>
      <c r="M997" s="76" t="s">
        <v>96</v>
      </c>
      <c r="N997" s="77"/>
      <c r="O997" s="78" t="s">
        <v>97</v>
      </c>
      <c r="P997" s="79" t="n">
        <f aca="false">COUNTIFS(임대자산!$I:$I,가맹점정보!F997,임대자산!$N:$N,가맹점정보!P$4)</f>
        <v>0</v>
      </c>
      <c r="Q997" s="80" t="n">
        <f aca="false">COUNTIFS(임대자산!$I:$I,가맹점정보!F997,임대자산!$N:$N,가맹점정보!Q$4)</f>
        <v>0</v>
      </c>
      <c r="R997" s="81" t="n">
        <f aca="false">COUNTIFS(임대자산!$I:$I,가맹점정보!F997,임대자산!$N:$N,가맹점정보!R$4)</f>
        <v>0</v>
      </c>
      <c r="S997" s="82" t="n">
        <v>55000</v>
      </c>
      <c r="T997" s="83" t="n">
        <v>0</v>
      </c>
      <c r="U997" s="80" t="n">
        <f aca="false">SUM(S997:T997)</f>
        <v>55000</v>
      </c>
      <c r="V997" s="84" t="s">
        <v>12</v>
      </c>
      <c r="W997" s="80" t="str">
        <f aca="true">
IF(D997="폐업","폐업",
IF(V997="면제","면제",
IF(AND(V997="정상",COUNTIFS(OFFSET(Y997,0,COUNTA(Y997:AV997)-1,1,-4),"미납")&gt;=3),"장기미납",
IF(AND(V997="정상",OFFSET(Y997,0,COUNTA(Y997:AV997)-1)&gt;=U997),"정상",
IF(AND(V997="정상",OFFSET(Y997,0,COUNTA(Y997:AV997)-1)=0),"정상",
"계약서 미작성")))))</f>
        <v>폐업</v>
      </c>
      <c r="X997" s="81" t="str">
        <f aca="true">
IF(D997="폐업","폐업",
IF(AND(V997="정상",OFFSET(Y997,0,COUNTA(Y997:AV997)-1)="미납"),"미납",
IF(AND(V997="정상",OFFSET(Y997,0,COUNTA(Y997:AV997)-1)=0),"납부 시작 전",
IF(AND(V997="정상",OFFSET(Y997,0,COUNTA(Y997:AV997)-1)&gt;=U997),"정상",
IF(AND(V997="면제",OFFSET(Y997,0,COUNTA(Y997:AV997)-1)="면제"),"면제",
IF(AND(V997="면제",OFFSET(Y997,0,COUNTA(Y997:AV997)-1)=0),"면제",
"확인요청"))))))</f>
        <v>폐업</v>
      </c>
      <c r="Y997" s="93" t="n">
        <v>55000</v>
      </c>
      <c r="Z997" s="90" t="n">
        <v>55000</v>
      </c>
      <c r="AA997" s="90" t="n">
        <v>55000</v>
      </c>
      <c r="AB997" s="90" t="n">
        <v>55000</v>
      </c>
      <c r="AC997" s="90" t="n">
        <v>55000</v>
      </c>
      <c r="AD997" s="90" t="n">
        <v>55000</v>
      </c>
      <c r="AE997" s="90" t="n">
        <v>55000</v>
      </c>
      <c r="AF997" s="90" t="n">
        <v>55000</v>
      </c>
      <c r="AG997" s="90" t="n">
        <v>55000</v>
      </c>
      <c r="AH997" s="90" t="n">
        <v>55000</v>
      </c>
      <c r="AI997" s="90" t="n">
        <v>55000</v>
      </c>
      <c r="AJ997" s="91" t="n">
        <v>55000</v>
      </c>
      <c r="AK997" s="89" t="n">
        <v>55000</v>
      </c>
      <c r="AL997" s="90" t="n">
        <v>55000</v>
      </c>
      <c r="AM997" s="90"/>
      <c r="AN997" s="90"/>
      <c r="AO997" s="90"/>
      <c r="AP997" s="90"/>
      <c r="AQ997" s="90"/>
      <c r="AR997" s="90"/>
      <c r="AS997" s="90"/>
      <c r="AT997" s="90"/>
      <c r="AU997" s="90"/>
      <c r="AV997" s="91"/>
      <c r="AX997" s="92"/>
    </row>
    <row r="998" customFormat="false" ht="15.65" hidden="false" customHeight="false" outlineLevel="0" collapsed="false">
      <c r="C998" s="72" t="n">
        <f aca="false">COUNTIFS($D$6:D998,"&lt;&gt;"&amp;"")</f>
        <v>993</v>
      </c>
      <c r="D998" s="73" t="s">
        <v>5</v>
      </c>
      <c r="E998" s="76" t="str">
        <f aca="false">
IF($D998="정상",INDEX(임대자산!$D$3:$R$3000,MATCH($F998,임대자산!$I$3:$I$3000,0),MATCH(E$3,임대자산!$D$3:$R$3,0)),
IF($D998="폐업",INDEX(폐업정보!$D$3:$R$3000,MATCH($F998,폐업정보!$I$3:$I$3000,0),MATCH(E$3,폐업정보!$D$3:$R$3,0)),
"Error"))</f>
        <v>서울</v>
      </c>
      <c r="F99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B0993</v>
      </c>
      <c r="G998" s="76" t="str">
        <f aca="false">F998&amp;RANDBETWEEN(0,10)</f>
        <v>B099310</v>
      </c>
      <c r="H998" s="75" t="n">
        <f aca="false">
IF($D998="정상",INDEX(임대자산!$D$3:$R$3000,MATCH($F998,임대자산!$I$3:$I$3000,0),MATCH(H$4,임대자산!$D$3:$R$3,0)),
IF($D998="폐업",INDEX(폐업정보!$D$3:$R$3000,MATCH($F998,폐업정보!$I$3:$I$3000,0),MATCH(H$4,폐업정보!$D$3:$R$3,0)),
"Error"))</f>
        <v>45523</v>
      </c>
      <c r="I998" s="75" t="str">
        <f aca="false">
IF($D998="정상",INDEX(임대자산!$D$3:$R$3000,MATCH($F998,임대자산!$I$3:$I$3000,0),MATCH(I$4,임대자산!$D$3:$R$3,0)),
IF($D998="폐업",INDEX(폐업정보!$D$3:$R$3000,MATCH($F998,폐업정보!$I$3:$I$3000,0),MATCH(I$4,폐업정보!$D$3:$R$3,0)),
"Error"))</f>
        <v>A0993</v>
      </c>
      <c r="J998" s="75" t="str">
        <f aca="false">
IF($D998="정상",INDEX(임대자산!$D$3:$R$3000,MATCH($F998,임대자산!$I$3:$I$3000,0),MATCH(J$4,임대자산!$D$3:$R$3,0)),
IF($D998="폐업",INDEX(폐업정보!$D$3:$R$3000,MATCH($F998,폐업정보!$I$3:$I$3000,0),MATCH(J$4,폐업정보!$D$3:$R$3,0)),
"Error"))</f>
        <v>2475800000</v>
      </c>
      <c r="K998" s="75" t="str">
        <f aca="false">
IF($D998="정상",INDEX(임대자산!$D$3:$R$3000,MATCH($F998,임대자산!$I$3:$I$3000,0),MATCH(K$4,임대자산!$D$3:$R$3,0)),
IF($D998="폐업",INDEX(폐업정보!$D$3:$R$3000,MATCH($F998,폐업정보!$I$3:$I$3000,0),MATCH(K$4,폐업정보!$D$3:$R$3,0)),
"Error"))</f>
        <v>C0993</v>
      </c>
      <c r="L998" s="75" t="str">
        <f aca="false">
IF($D998="정상",INDEX(임대자산!$D$3:$R$3000,MATCH($F998,임대자산!$I$3:$I$3000,0),MATCH(L$4,임대자산!$D$3:$R$3,0)),
IF($D998="폐업",INDEX(폐업정보!$D$3:$R$3000,MATCH($F998,폐업정보!$I$3:$I$3000,0),MATCH(L$4,폐업정보!$D$3:$R$3,0)),
"Error"))</f>
        <v>D0993</v>
      </c>
      <c r="M998" s="76" t="s">
        <v>96</v>
      </c>
      <c r="N998" s="77"/>
      <c r="O998" s="78" t="s">
        <v>97</v>
      </c>
      <c r="P998" s="79" t="n">
        <f aca="false">COUNTIFS(임대자산!$I:$I,가맹점정보!F998,임대자산!$N:$N,가맹점정보!P$4)</f>
        <v>0</v>
      </c>
      <c r="Q998" s="80" t="n">
        <f aca="false">COUNTIFS(임대자산!$I:$I,가맹점정보!F998,임대자산!$N:$N,가맹점정보!Q$4)</f>
        <v>0</v>
      </c>
      <c r="R998" s="81" t="n">
        <f aca="false">COUNTIFS(임대자산!$I:$I,가맹점정보!F998,임대자산!$N:$N,가맹점정보!R$4)</f>
        <v>0</v>
      </c>
      <c r="S998" s="82" t="n">
        <v>55000</v>
      </c>
      <c r="T998" s="83" t="n">
        <v>0</v>
      </c>
      <c r="U998" s="80" t="n">
        <f aca="false">SUM(S998:T998)</f>
        <v>55000</v>
      </c>
      <c r="V998" s="84" t="s">
        <v>7</v>
      </c>
      <c r="W998" s="80" t="str">
        <f aca="true">
IF(D998="폐업","폐업",
IF(V998="면제","면제",
IF(AND(V998="정상",COUNTIFS(OFFSET(Y998,0,COUNTA(Y998:AV998)-1,1,-4),"미납")&gt;=3),"장기미납",
IF(AND(V998="정상",OFFSET(Y998,0,COUNTA(Y998:AV998)-1)&gt;=U998),"정상",
IF(AND(V998="정상",OFFSET(Y998,0,COUNTA(Y998:AV998)-1)=0),"정상",
"계약서 미작성")))))</f>
        <v>폐업</v>
      </c>
      <c r="X998" s="81" t="str">
        <f aca="true">
IF(D998="폐업","폐업",
IF(AND(V998="정상",OFFSET(Y998,0,COUNTA(Y998:AV998)-1)="미납"),"미납",
IF(AND(V998="정상",OFFSET(Y998,0,COUNTA(Y998:AV998)-1)=0),"납부 시작 전",
IF(AND(V998="정상",OFFSET(Y998,0,COUNTA(Y998:AV998)-1)&gt;=U998),"정상",
IF(AND(V998="면제",OFFSET(Y998,0,COUNTA(Y998:AV998)-1)="면제"),"면제",
IF(AND(V998="면제",OFFSET(Y998,0,COUNTA(Y998:AV998)-1)=0),"면제",
"확인요청"))))))</f>
        <v>폐업</v>
      </c>
      <c r="Y998" s="93" t="n">
        <v>55000</v>
      </c>
      <c r="Z998" s="90" t="n">
        <v>55000</v>
      </c>
      <c r="AA998" s="90" t="n">
        <v>55000</v>
      </c>
      <c r="AB998" s="90" t="n">
        <v>55000</v>
      </c>
      <c r="AC998" s="90" t="n">
        <v>55000</v>
      </c>
      <c r="AD998" s="90" t="n">
        <v>55000</v>
      </c>
      <c r="AE998" s="95" t="s">
        <v>62</v>
      </c>
      <c r="AF998" s="95" t="s">
        <v>62</v>
      </c>
      <c r="AG998" s="95" t="s">
        <v>7</v>
      </c>
      <c r="AH998" s="95" t="s">
        <v>7</v>
      </c>
      <c r="AI998" s="95" t="s">
        <v>7</v>
      </c>
      <c r="AJ998" s="96" t="s">
        <v>7</v>
      </c>
      <c r="AK998" s="97" t="s">
        <v>7</v>
      </c>
      <c r="AL998" s="95" t="s">
        <v>7</v>
      </c>
      <c r="AM998" s="90"/>
      <c r="AN998" s="90"/>
      <c r="AO998" s="90"/>
      <c r="AP998" s="90"/>
      <c r="AQ998" s="90"/>
      <c r="AR998" s="90"/>
      <c r="AS998" s="90"/>
      <c r="AT998" s="90"/>
      <c r="AU998" s="90"/>
      <c r="AV998" s="91"/>
      <c r="AX998" s="92"/>
    </row>
    <row r="999" customFormat="false" ht="15.65" hidden="false" customHeight="false" outlineLevel="0" collapsed="false">
      <c r="C999" s="72" t="n">
        <f aca="false">COUNTIFS($D$6:D999,"&lt;&gt;"&amp;"")</f>
        <v>994</v>
      </c>
      <c r="D999" s="73" t="s">
        <v>12</v>
      </c>
      <c r="E999" s="76" t="str">
        <f aca="false">
IF($D999="정상",INDEX(임대자산!$D$3:$R$3000,MATCH($F999,임대자산!$I$3:$I$3000,0),MATCH(E$3,임대자산!$D$3:$R$3,0)),
IF($D999="폐업",INDEX(폐업정보!$D$3:$R$3000,MATCH($F999,폐업정보!$I$3:$I$3000,0),MATCH(E$3,폐업정보!$D$3:$R$3,0)),
"Error"))</f>
        <v>서울</v>
      </c>
      <c r="F99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B0994</v>
      </c>
      <c r="G999" s="76" t="str">
        <f aca="false">F999&amp;RANDBETWEEN(0,10)</f>
        <v>B09949</v>
      </c>
      <c r="H999" s="75" t="n">
        <f aca="false">
IF($D999="정상",INDEX(임대자산!$D$3:$R$3000,MATCH($F999,임대자산!$I$3:$I$3000,0),MATCH(H$4,임대자산!$D$3:$R$3,0)),
IF($D999="폐업",INDEX(폐업정보!$D$3:$R$3000,MATCH($F999,폐업정보!$I$3:$I$3000,0),MATCH(H$4,폐업정보!$D$3:$R$3,0)),
"Error"))</f>
        <v>45405</v>
      </c>
      <c r="I999" s="75" t="str">
        <f aca="false">
IF($D999="정상",INDEX(임대자산!$D$3:$R$3000,MATCH($F999,임대자산!$I$3:$I$3000,0),MATCH(I$4,임대자산!$D$3:$R$3,0)),
IF($D999="폐업",INDEX(폐업정보!$D$3:$R$3000,MATCH($F999,폐업정보!$I$3:$I$3000,0),MATCH(I$4,폐업정보!$D$3:$R$3,0)),
"Error"))</f>
        <v>A0994</v>
      </c>
      <c r="J999" s="75" t="str">
        <f aca="false">
IF($D999="정상",INDEX(임대자산!$D$3:$R$3000,MATCH($F999,임대자산!$I$3:$I$3000,0),MATCH(J$4,임대자산!$D$3:$R$3,0)),
IF($D999="폐업",INDEX(폐업정보!$D$3:$R$3000,MATCH($F999,폐업정보!$I$3:$I$3000,0),MATCH(J$4,폐업정보!$D$3:$R$3,0)),
"Error"))</f>
        <v>1302800000</v>
      </c>
      <c r="K999" s="75" t="str">
        <f aca="false">
IF($D999="정상",INDEX(임대자산!$D$3:$R$3000,MATCH($F999,임대자산!$I$3:$I$3000,0),MATCH(K$4,임대자산!$D$3:$R$3,0)),
IF($D999="폐업",INDEX(폐업정보!$D$3:$R$3000,MATCH($F999,폐업정보!$I$3:$I$3000,0),MATCH(K$4,폐업정보!$D$3:$R$3,0)),
"Error"))</f>
        <v>C0994</v>
      </c>
      <c r="L999" s="75" t="str">
        <f aca="false">
IF($D999="정상",INDEX(임대자산!$D$3:$R$3000,MATCH($F999,임대자산!$I$3:$I$3000,0),MATCH(L$4,임대자산!$D$3:$R$3,0)),
IF($D999="폐업",INDEX(폐업정보!$D$3:$R$3000,MATCH($F999,폐업정보!$I$3:$I$3000,0),MATCH(L$4,폐업정보!$D$3:$R$3,0)),
"Error"))</f>
        <v>D0994</v>
      </c>
      <c r="M999" s="76" t="s">
        <v>96</v>
      </c>
      <c r="N999" s="77"/>
      <c r="O999" s="78" t="s">
        <v>97</v>
      </c>
      <c r="P999" s="79" t="n">
        <f aca="false">COUNTIFS(임대자산!$I:$I,가맹점정보!F999,임대자산!$N:$N,가맹점정보!P$4)</f>
        <v>0</v>
      </c>
      <c r="Q999" s="80" t="n">
        <f aca="false">COUNTIFS(임대자산!$I:$I,가맹점정보!F999,임대자산!$N:$N,가맹점정보!Q$4)</f>
        <v>0</v>
      </c>
      <c r="R999" s="81" t="n">
        <f aca="false">COUNTIFS(임대자산!$I:$I,가맹점정보!F999,임대자산!$N:$N,가맹점정보!R$4)</f>
        <v>1</v>
      </c>
      <c r="S999" s="82" t="n">
        <v>55000</v>
      </c>
      <c r="T999" s="83" t="n">
        <v>0</v>
      </c>
      <c r="U999" s="80" t="n">
        <f aca="false">SUM(S999:T999)</f>
        <v>55000</v>
      </c>
      <c r="V999" s="84" t="s">
        <v>12</v>
      </c>
      <c r="W999" s="80" t="e">
        <f aca="true">
IF(D999="폐업","폐업",
IF(V999="면제","면제",
IF(AND(V999="정상",COUNTIFS(OFFSET(Y999,0,COUNTA(Y999:AV999)-1,1,-4),"미납")&gt;=3),"장기미납",
IF(AND(V999="정상",OFFSET(Y999,0,COUNTA(Y999:AV999)-1)&gt;=U999),"정상",
IF(AND(V999="정상",OFFSET(Y999,0,COUNTA(Y999:AV999)-1)=0),"정상",
"계약서 미작성")))))</f>
        <v>#VALUE!</v>
      </c>
      <c r="X999" s="81" t="str">
        <f aca="true">
IF(D999="폐업","폐업",
IF(AND(V999="정상",OFFSET(Y999,0,COUNTA(Y999:AV999)-1)="미납"),"미납",
IF(AND(V999="정상",OFFSET(Y999,0,COUNTA(Y999:AV999)-1)=0),"납부 시작 전",
IF(AND(V999="정상",OFFSET(Y999,0,COUNTA(Y999:AV999)-1)&gt;=U999),"정상",
IF(AND(V999="면제",OFFSET(Y999,0,COUNTA(Y999:AV999)-1)="면제"),"면제",
IF(AND(V999="면제",OFFSET(Y999,0,COUNTA(Y999:AV999)-1)=0),"면제",
"확인요청"))))))</f>
        <v>정상</v>
      </c>
      <c r="Y999" s="93" t="n">
        <v>55000</v>
      </c>
      <c r="Z999" s="90" t="n">
        <v>55000</v>
      </c>
      <c r="AA999" s="90" t="n">
        <v>55000</v>
      </c>
      <c r="AB999" s="90" t="n">
        <v>55000</v>
      </c>
      <c r="AC999" s="90" t="s">
        <v>108</v>
      </c>
      <c r="AD999" s="90" t="n">
        <v>110000</v>
      </c>
      <c r="AE999" s="90" t="n">
        <v>55000</v>
      </c>
      <c r="AF999" s="90" t="n">
        <v>55000</v>
      </c>
      <c r="AG999" s="90" t="n">
        <v>55000</v>
      </c>
      <c r="AH999" s="90" t="n">
        <v>55000</v>
      </c>
      <c r="AI999" s="90" t="s">
        <v>107</v>
      </c>
      <c r="AJ999" s="91" t="n">
        <v>110000</v>
      </c>
      <c r="AK999" s="89" t="n">
        <v>55000</v>
      </c>
      <c r="AL999" s="90" t="n">
        <v>55000</v>
      </c>
      <c r="AM999" s="90"/>
      <c r="AN999" s="90"/>
      <c r="AO999" s="90"/>
      <c r="AP999" s="90"/>
      <c r="AQ999" s="90"/>
      <c r="AR999" s="90"/>
      <c r="AS999" s="90"/>
      <c r="AT999" s="90"/>
      <c r="AU999" s="90"/>
      <c r="AV999" s="91"/>
      <c r="AX999" s="92"/>
    </row>
    <row r="1000" customFormat="false" ht="15.65" hidden="false" customHeight="false" outlineLevel="0" collapsed="false">
      <c r="C1000" s="72" t="n">
        <f aca="false">COUNTIFS($D$6:D1000,"&lt;&gt;"&amp;"")</f>
        <v>995</v>
      </c>
      <c r="D1000" s="73" t="s">
        <v>12</v>
      </c>
      <c r="E1000" s="76" t="str">
        <f aca="false">
IF($D1000="정상",INDEX(임대자산!$D$3:$R$3000,MATCH($F1000,임대자산!$I$3:$I$3000,0),MATCH(E$3,임대자산!$D$3:$R$3,0)),
IF($D1000="폐업",INDEX(폐업정보!$D$3:$R$3000,MATCH($F1000,폐업정보!$I$3:$I$3000,0),MATCH(E$3,폐업정보!$D$3:$R$3,0)),
"Error"))</f>
        <v>서울</v>
      </c>
      <c r="F100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B0995</v>
      </c>
      <c r="G1000" s="76" t="str">
        <f aca="false">F1000&amp;RANDBETWEEN(0,10)</f>
        <v>B09951</v>
      </c>
      <c r="H1000" s="75" t="n">
        <f aca="false">
IF($D1000="정상",INDEX(임대자산!$D$3:$R$3000,MATCH($F1000,임대자산!$I$3:$I$3000,0),MATCH(H$4,임대자산!$D$3:$R$3,0)),
IF($D1000="폐업",INDEX(폐업정보!$D$3:$R$3000,MATCH($F1000,폐업정보!$I$3:$I$3000,0),MATCH(H$4,폐업정보!$D$3:$R$3,0)),
"Error"))</f>
        <v>45447</v>
      </c>
      <c r="I1000" s="75" t="str">
        <f aca="false">
IF($D1000="정상",INDEX(임대자산!$D$3:$R$3000,MATCH($F1000,임대자산!$I$3:$I$3000,0),MATCH(I$4,임대자산!$D$3:$R$3,0)),
IF($D1000="폐업",INDEX(폐업정보!$D$3:$R$3000,MATCH($F1000,폐업정보!$I$3:$I$3000,0),MATCH(I$4,폐업정보!$D$3:$R$3,0)),
"Error"))</f>
        <v>A0995</v>
      </c>
      <c r="J1000" s="75" t="str">
        <f aca="false">
IF($D1000="정상",INDEX(임대자산!$D$3:$R$3000,MATCH($F1000,임대자산!$I$3:$I$3000,0),MATCH(J$4,임대자산!$D$3:$R$3,0)),
IF($D1000="폐업",INDEX(폐업정보!$D$3:$R$3000,MATCH($F1000,폐업정보!$I$3:$I$3000,0),MATCH(J$4,폐업정보!$D$3:$R$3,0)),
"Error"))</f>
        <v>1437800000</v>
      </c>
      <c r="K1000" s="75" t="str">
        <f aca="false">
IF($D1000="정상",INDEX(임대자산!$D$3:$R$3000,MATCH($F1000,임대자산!$I$3:$I$3000,0),MATCH(K$4,임대자산!$D$3:$R$3,0)),
IF($D1000="폐업",INDEX(폐업정보!$D$3:$R$3000,MATCH($F1000,폐업정보!$I$3:$I$3000,0),MATCH(K$4,폐업정보!$D$3:$R$3,0)),
"Error"))</f>
        <v>C0995</v>
      </c>
      <c r="L1000" s="75" t="str">
        <f aca="false">
IF($D1000="정상",INDEX(임대자산!$D$3:$R$3000,MATCH($F1000,임대자산!$I$3:$I$3000,0),MATCH(L$4,임대자산!$D$3:$R$3,0)),
IF($D1000="폐업",INDEX(폐업정보!$D$3:$R$3000,MATCH($F1000,폐업정보!$I$3:$I$3000,0),MATCH(L$4,폐업정보!$D$3:$R$3,0)),
"Error"))</f>
        <v>D0995</v>
      </c>
      <c r="M1000" s="76" t="s">
        <v>96</v>
      </c>
      <c r="N1000" s="77"/>
      <c r="O1000" s="78" t="s">
        <v>97</v>
      </c>
      <c r="P1000" s="79" t="n">
        <f aca="false">COUNTIFS(임대자산!$I:$I,가맹점정보!F1000,임대자산!$N:$N,가맹점정보!P$4)</f>
        <v>0</v>
      </c>
      <c r="Q1000" s="80" t="n">
        <f aca="false">COUNTIFS(임대자산!$I:$I,가맹점정보!F1000,임대자산!$N:$N,가맹점정보!Q$4)</f>
        <v>0</v>
      </c>
      <c r="R1000" s="81" t="n">
        <f aca="false">COUNTIFS(임대자산!$I:$I,가맹점정보!F1000,임대자산!$N:$N,가맹점정보!R$4)</f>
        <v>1</v>
      </c>
      <c r="S1000" s="82" t="n">
        <v>88000</v>
      </c>
      <c r="T1000" s="83" t="n">
        <v>0</v>
      </c>
      <c r="U1000" s="80" t="n">
        <f aca="false">SUM(S1000:T1000)</f>
        <v>88000</v>
      </c>
      <c r="V1000" s="84" t="s">
        <v>7</v>
      </c>
      <c r="W1000" s="80" t="str">
        <f aca="true">
IF(D1000="폐업","폐업",
IF(V1000="면제","면제",
IF(AND(V1000="정상",COUNTIFS(OFFSET(Y1000,0,COUNTA(Y1000:AV1000)-1,1,-4),"미납")&gt;=3),"장기미납",
IF(AND(V1000="정상",OFFSET(Y1000,0,COUNTA(Y1000:AV1000)-1)&gt;=U1000),"정상",
IF(AND(V1000="정상",OFFSET(Y1000,0,COUNTA(Y1000:AV1000)-1)=0),"정상",
"계약서 미작성")))))</f>
        <v>면제</v>
      </c>
      <c r="X1000" s="81" t="str">
        <f aca="true">
IF(D1000="폐업","폐업",
IF(AND(V1000="정상",OFFSET(Y1000,0,COUNTA(Y1000:AV1000)-1)="미납"),"미납",
IF(AND(V1000="정상",OFFSET(Y1000,0,COUNTA(Y1000:AV1000)-1)=0),"납부 시작 전",
IF(AND(V1000="정상",OFFSET(Y1000,0,COUNTA(Y1000:AV1000)-1)&gt;=U1000),"정상",
IF(AND(V1000="면제",OFFSET(Y1000,0,COUNTA(Y1000:AV1000)-1)="면제"),"면제",
IF(AND(V1000="면제",OFFSET(Y1000,0,COUNTA(Y1000:AV1000)-1)=0),"면제",
"확인요청"))))))</f>
        <v>면제</v>
      </c>
      <c r="Y1000" s="94" t="s">
        <v>7</v>
      </c>
      <c r="Z1000" s="95" t="s">
        <v>7</v>
      </c>
      <c r="AA1000" s="95" t="s">
        <v>7</v>
      </c>
      <c r="AB1000" s="95" t="s">
        <v>7</v>
      </c>
      <c r="AC1000" s="95" t="s">
        <v>7</v>
      </c>
      <c r="AD1000" s="95" t="s">
        <v>7</v>
      </c>
      <c r="AE1000" s="95" t="s">
        <v>7</v>
      </c>
      <c r="AF1000" s="95" t="s">
        <v>7</v>
      </c>
      <c r="AG1000" s="95" t="s">
        <v>7</v>
      </c>
      <c r="AH1000" s="95" t="s">
        <v>7</v>
      </c>
      <c r="AI1000" s="95" t="s">
        <v>7</v>
      </c>
      <c r="AJ1000" s="96" t="s">
        <v>7</v>
      </c>
      <c r="AK1000" s="97" t="s">
        <v>7</v>
      </c>
      <c r="AL1000" s="95" t="s">
        <v>7</v>
      </c>
      <c r="AM1000" s="90"/>
      <c r="AN1000" s="90"/>
      <c r="AO1000" s="90"/>
      <c r="AP1000" s="90"/>
      <c r="AQ1000" s="90"/>
      <c r="AR1000" s="90"/>
      <c r="AS1000" s="90"/>
      <c r="AT1000" s="90"/>
      <c r="AU1000" s="90"/>
      <c r="AV1000" s="91"/>
      <c r="AX1000" s="92"/>
    </row>
    <row r="1001" customFormat="false" ht="15.65" hidden="false" customHeight="false" outlineLevel="0" collapsed="false">
      <c r="C1001" s="72" t="n">
        <f aca="false">COUNTIFS($D$6:D1001,"&lt;&gt;"&amp;"")</f>
        <v>996</v>
      </c>
      <c r="D1001" s="73" t="s">
        <v>12</v>
      </c>
      <c r="E1001" s="76" t="str">
        <f aca="false">
IF($D1001="정상",INDEX(임대자산!$D$3:$R$3000,MATCH($F1001,임대자산!$I$3:$I$3000,0),MATCH(E$3,임대자산!$D$3:$R$3,0)),
IF($D1001="폐업",INDEX(폐업정보!$D$3:$R$3000,MATCH($F1001,폐업정보!$I$3:$I$3000,0),MATCH(E$3,폐업정보!$D$3:$R$3,0)),
"Error"))</f>
        <v>서울</v>
      </c>
      <c r="F100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B0996</v>
      </c>
      <c r="G1001" s="76" t="str">
        <f aca="false">F1001&amp;RANDBETWEEN(0,10)</f>
        <v>B09969</v>
      </c>
      <c r="H1001" s="75" t="n">
        <f aca="false">
IF($D1001="정상",INDEX(임대자산!$D$3:$R$3000,MATCH($F1001,임대자산!$I$3:$I$3000,0),MATCH(H$4,임대자산!$D$3:$R$3,0)),
IF($D1001="폐업",INDEX(폐업정보!$D$3:$R$3000,MATCH($F1001,폐업정보!$I$3:$I$3000,0),MATCH(H$4,폐업정보!$D$3:$R$3,0)),
"Error"))</f>
        <v>45182</v>
      </c>
      <c r="I1001" s="75" t="str">
        <f aca="false">
IF($D1001="정상",INDEX(임대자산!$D$3:$R$3000,MATCH($F1001,임대자산!$I$3:$I$3000,0),MATCH(I$4,임대자산!$D$3:$R$3,0)),
IF($D1001="폐업",INDEX(폐업정보!$D$3:$R$3000,MATCH($F1001,폐업정보!$I$3:$I$3000,0),MATCH(I$4,폐업정보!$D$3:$R$3,0)),
"Error"))</f>
        <v>A0996</v>
      </c>
      <c r="J1001" s="75" t="str">
        <f aca="false">
IF($D1001="정상",INDEX(임대자산!$D$3:$R$3000,MATCH($F1001,임대자산!$I$3:$I$3000,0),MATCH(J$4,임대자산!$D$3:$R$3,0)),
IF($D1001="폐업",INDEX(폐업정보!$D$3:$R$3000,MATCH($F1001,폐업정보!$I$3:$I$3000,0),MATCH(J$4,폐업정보!$D$3:$R$3,0)),
"Error"))</f>
        <v>9154300000</v>
      </c>
      <c r="K1001" s="75" t="str">
        <f aca="false">
IF($D1001="정상",INDEX(임대자산!$D$3:$R$3000,MATCH($F1001,임대자산!$I$3:$I$3000,0),MATCH(K$4,임대자산!$D$3:$R$3,0)),
IF($D1001="폐업",INDEX(폐업정보!$D$3:$R$3000,MATCH($F1001,폐업정보!$I$3:$I$3000,0),MATCH(K$4,폐업정보!$D$3:$R$3,0)),
"Error"))</f>
        <v>C0996</v>
      </c>
      <c r="L1001" s="75" t="str">
        <f aca="false">
IF($D1001="정상",INDEX(임대자산!$D$3:$R$3000,MATCH($F1001,임대자산!$I$3:$I$3000,0),MATCH(L$4,임대자산!$D$3:$R$3,0)),
IF($D1001="폐업",INDEX(폐업정보!$D$3:$R$3000,MATCH($F1001,폐업정보!$I$3:$I$3000,0),MATCH(L$4,폐업정보!$D$3:$R$3,0)),
"Error"))</f>
        <v>D0996</v>
      </c>
      <c r="M1001" s="76" t="s">
        <v>96</v>
      </c>
      <c r="N1001" s="77"/>
      <c r="O1001" s="78" t="s">
        <v>97</v>
      </c>
      <c r="P1001" s="79" t="n">
        <f aca="false">COUNTIFS(임대자산!$I:$I,가맹점정보!F1001,임대자산!$N:$N,가맹점정보!P$4)</f>
        <v>0</v>
      </c>
      <c r="Q1001" s="80" t="n">
        <f aca="false">COUNTIFS(임대자산!$I:$I,가맹점정보!F1001,임대자산!$N:$N,가맹점정보!Q$4)</f>
        <v>0</v>
      </c>
      <c r="R1001" s="81" t="n">
        <f aca="false">COUNTIFS(임대자산!$I:$I,가맹점정보!F1001,임대자산!$N:$N,가맹점정보!R$4)</f>
        <v>1</v>
      </c>
      <c r="S1001" s="82" t="n">
        <v>55000</v>
      </c>
      <c r="T1001" s="83" t="n">
        <v>0</v>
      </c>
      <c r="U1001" s="80" t="n">
        <f aca="false">SUM(S1001:T1001)</f>
        <v>55000</v>
      </c>
      <c r="V1001" s="84" t="s">
        <v>12</v>
      </c>
      <c r="W1001" s="80" t="e">
        <f aca="true">
IF(D1001="폐업","폐업",
IF(V1001="면제","면제",
IF(AND(V1001="정상",COUNTIFS(OFFSET(Y1001,0,COUNTA(Y1001:AV1001)-1,1,-4),"미납")&gt;=3),"장기미납",
IF(AND(V1001="정상",OFFSET(Y1001,0,COUNTA(Y1001:AV1001)-1)&gt;=U1001),"정상",
IF(AND(V1001="정상",OFFSET(Y1001,0,COUNTA(Y1001:AV1001)-1)=0),"정상",
"계약서 미작성")))))</f>
        <v>#VALUE!</v>
      </c>
      <c r="X1001" s="81" t="str">
        <f aca="true">
IF(D1001="폐업","폐업",
IF(AND(V1001="정상",OFFSET(Y1001,0,COUNTA(Y1001:AV1001)-1)="미납"),"미납",
IF(AND(V1001="정상",OFFSET(Y1001,0,COUNTA(Y1001:AV1001)-1)=0),"납부 시작 전",
IF(AND(V1001="정상",OFFSET(Y1001,0,COUNTA(Y1001:AV1001)-1)&gt;=U1001),"정상",
IF(AND(V1001="면제",OFFSET(Y1001,0,COUNTA(Y1001:AV1001)-1)="면제"),"면제",
IF(AND(V1001="면제",OFFSET(Y1001,0,COUNTA(Y1001:AV1001)-1)=0),"면제",
"확인요청"))))))</f>
        <v>정상</v>
      </c>
      <c r="Y1001" s="93" t="n">
        <v>55000</v>
      </c>
      <c r="Z1001" s="90" t="n">
        <v>55000</v>
      </c>
      <c r="AA1001" s="90" t="n">
        <v>55000</v>
      </c>
      <c r="AB1001" s="90" t="n">
        <v>55000</v>
      </c>
      <c r="AC1001" s="90" t="n">
        <v>55000</v>
      </c>
      <c r="AD1001" s="90" t="n">
        <v>55000</v>
      </c>
      <c r="AE1001" s="90" t="n">
        <v>55000</v>
      </c>
      <c r="AF1001" s="90" t="n">
        <v>55000</v>
      </c>
      <c r="AG1001" s="90" t="n">
        <v>55000</v>
      </c>
      <c r="AH1001" s="90" t="n">
        <v>55000</v>
      </c>
      <c r="AI1001" s="90" t="n">
        <v>55000</v>
      </c>
      <c r="AJ1001" s="91" t="n">
        <v>55000</v>
      </c>
      <c r="AK1001" s="89" t="n">
        <v>55000</v>
      </c>
      <c r="AL1001" s="90" t="n">
        <v>55000</v>
      </c>
      <c r="AM1001" s="90"/>
      <c r="AN1001" s="90"/>
      <c r="AO1001" s="90"/>
      <c r="AP1001" s="90"/>
      <c r="AQ1001" s="90"/>
      <c r="AR1001" s="90"/>
      <c r="AS1001" s="90"/>
      <c r="AT1001" s="90"/>
      <c r="AU1001" s="90"/>
      <c r="AV1001" s="91"/>
      <c r="AX1001" s="92"/>
    </row>
    <row r="1002" customFormat="false" ht="15.65" hidden="false" customHeight="false" outlineLevel="0" collapsed="false">
      <c r="C1002" s="72" t="n">
        <f aca="false">COUNTIFS($D$6:D1002,"&lt;&gt;"&amp;"")</f>
        <v>997</v>
      </c>
      <c r="D1002" s="73" t="s">
        <v>12</v>
      </c>
      <c r="E1002" s="76" t="str">
        <f aca="false">
IF($D1002="정상",INDEX(임대자산!$D$3:$R$3000,MATCH($F1002,임대자산!$I$3:$I$3000,0),MATCH(E$3,임대자산!$D$3:$R$3,0)),
IF($D1002="폐업",INDEX(폐업정보!$D$3:$R$3000,MATCH($F1002,폐업정보!$I$3:$I$3000,0),MATCH(E$3,폐업정보!$D$3:$R$3,0)),
"Error"))</f>
        <v>서울</v>
      </c>
      <c r="F100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B0997</v>
      </c>
      <c r="G1002" s="76" t="str">
        <f aca="false">F1002&amp;RANDBETWEEN(0,10)</f>
        <v>B09973</v>
      </c>
      <c r="H1002" s="75" t="n">
        <f aca="false">
IF($D1002="정상",INDEX(임대자산!$D$3:$R$3000,MATCH($F1002,임대자산!$I$3:$I$3000,0),MATCH(H$4,임대자산!$D$3:$R$3,0)),
IF($D1002="폐업",INDEX(폐업정보!$D$3:$R$3000,MATCH($F1002,폐업정보!$I$3:$I$3000,0),MATCH(H$4,폐업정보!$D$3:$R$3,0)),
"Error"))</f>
        <v>46052</v>
      </c>
      <c r="I1002" s="75" t="str">
        <f aca="false">
IF($D1002="정상",INDEX(임대자산!$D$3:$R$3000,MATCH($F1002,임대자산!$I$3:$I$3000,0),MATCH(I$4,임대자산!$D$3:$R$3,0)),
IF($D1002="폐업",INDEX(폐업정보!$D$3:$R$3000,MATCH($F1002,폐업정보!$I$3:$I$3000,0),MATCH(I$4,폐업정보!$D$3:$R$3,0)),
"Error"))</f>
        <v>A0997</v>
      </c>
      <c r="J1002" s="75" t="str">
        <f aca="false">
IF($D1002="정상",INDEX(임대자산!$D$3:$R$3000,MATCH($F1002,임대자산!$I$3:$I$3000,0),MATCH(J$4,임대자산!$D$3:$R$3,0)),
IF($D1002="폐업",INDEX(폐업정보!$D$3:$R$3000,MATCH($F1002,폐업정보!$I$3:$I$3000,0),MATCH(J$4,폐업정보!$D$3:$R$3,0)),
"Error"))</f>
        <v>6842700000</v>
      </c>
      <c r="K1002" s="75" t="str">
        <f aca="false">
IF($D1002="정상",INDEX(임대자산!$D$3:$R$3000,MATCH($F1002,임대자산!$I$3:$I$3000,0),MATCH(K$4,임대자산!$D$3:$R$3,0)),
IF($D1002="폐업",INDEX(폐업정보!$D$3:$R$3000,MATCH($F1002,폐업정보!$I$3:$I$3000,0),MATCH(K$4,폐업정보!$D$3:$R$3,0)),
"Error"))</f>
        <v>C0997</v>
      </c>
      <c r="L1002" s="75" t="str">
        <f aca="false">
IF($D1002="정상",INDEX(임대자산!$D$3:$R$3000,MATCH($F1002,임대자산!$I$3:$I$3000,0),MATCH(L$4,임대자산!$D$3:$R$3,0)),
IF($D1002="폐업",INDEX(폐업정보!$D$3:$R$3000,MATCH($F1002,폐업정보!$I$3:$I$3000,0),MATCH(L$4,폐업정보!$D$3:$R$3,0)),
"Error"))</f>
        <v>D0997</v>
      </c>
      <c r="M1002" s="76" t="s">
        <v>96</v>
      </c>
      <c r="N1002" s="77"/>
      <c r="O1002" s="78" t="s">
        <v>97</v>
      </c>
      <c r="P1002" s="79" t="n">
        <f aca="false">COUNTIFS(임대자산!$I:$I,가맹점정보!F1002,임대자산!$N:$N,가맹점정보!P$4)</f>
        <v>0</v>
      </c>
      <c r="Q1002" s="80" t="n">
        <f aca="false">COUNTIFS(임대자산!$I:$I,가맹점정보!F1002,임대자산!$N:$N,가맹점정보!Q$4)</f>
        <v>0</v>
      </c>
      <c r="R1002" s="81" t="n">
        <f aca="false">COUNTIFS(임대자산!$I:$I,가맹점정보!F1002,임대자산!$N:$N,가맹점정보!R$4)</f>
        <v>1</v>
      </c>
      <c r="S1002" s="82" t="n">
        <v>55000</v>
      </c>
      <c r="T1002" s="83" t="n">
        <v>0</v>
      </c>
      <c r="U1002" s="80" t="n">
        <f aca="false">SUM(S1002:T1002)</f>
        <v>55000</v>
      </c>
      <c r="V1002" s="84" t="s">
        <v>7</v>
      </c>
      <c r="W1002" s="80" t="str">
        <f aca="true">
IF(D1002="폐업","폐업",
IF(V1002="면제","면제",
IF(AND(V1002="정상",COUNTIFS(OFFSET(Y1002,0,COUNTA(Y1002:AV1002)-1,1,-4),"미납")&gt;=3),"장기미납",
IF(AND(V1002="정상",OFFSET(Y1002,0,COUNTA(Y1002:AV1002)-1)&gt;=U1002),"정상",
IF(AND(V1002="정상",OFFSET(Y1002,0,COUNTA(Y1002:AV1002)-1)=0),"정상",
"계약서 미작성")))))</f>
        <v>면제</v>
      </c>
      <c r="X1002" s="81" t="str">
        <f aca="true">
IF(D1002="폐업","폐업",
IF(AND(V1002="정상",OFFSET(Y1002,0,COUNTA(Y1002:AV1002)-1)="미납"),"미납",
IF(AND(V1002="정상",OFFSET(Y1002,0,COUNTA(Y1002:AV1002)-1)=0),"납부 시작 전",
IF(AND(V1002="정상",OFFSET(Y1002,0,COUNTA(Y1002:AV1002)-1)&gt;=U1002),"정상",
IF(AND(V1002="면제",OFFSET(Y1002,0,COUNTA(Y1002:AV1002)-1)="면제"),"면제",
IF(AND(V1002="면제",OFFSET(Y1002,0,COUNTA(Y1002:AV1002)-1)=0),"면제",
"확인요청"))))))</f>
        <v>면제</v>
      </c>
      <c r="Y1002" s="94" t="s">
        <v>7</v>
      </c>
      <c r="Z1002" s="95" t="s">
        <v>7</v>
      </c>
      <c r="AA1002" s="95" t="s">
        <v>7</v>
      </c>
      <c r="AB1002" s="95" t="s">
        <v>7</v>
      </c>
      <c r="AC1002" s="95" t="s">
        <v>7</v>
      </c>
      <c r="AD1002" s="95" t="s">
        <v>7</v>
      </c>
      <c r="AE1002" s="95" t="s">
        <v>7</v>
      </c>
      <c r="AF1002" s="95" t="s">
        <v>7</v>
      </c>
      <c r="AG1002" s="95" t="s">
        <v>7</v>
      </c>
      <c r="AH1002" s="95" t="s">
        <v>7</v>
      </c>
      <c r="AI1002" s="95" t="s">
        <v>7</v>
      </c>
      <c r="AJ1002" s="96" t="s">
        <v>7</v>
      </c>
      <c r="AK1002" s="97" t="s">
        <v>7</v>
      </c>
      <c r="AL1002" s="95" t="s">
        <v>7</v>
      </c>
      <c r="AM1002" s="90"/>
      <c r="AN1002" s="90"/>
      <c r="AO1002" s="90"/>
      <c r="AP1002" s="90"/>
      <c r="AQ1002" s="90"/>
      <c r="AR1002" s="90"/>
      <c r="AS1002" s="90"/>
      <c r="AT1002" s="90"/>
      <c r="AU1002" s="90"/>
      <c r="AV1002" s="91"/>
      <c r="AX1002" s="92"/>
    </row>
    <row r="1003" customFormat="false" ht="15.65" hidden="false" customHeight="false" outlineLevel="0" collapsed="false">
      <c r="C1003" s="72" t="n">
        <f aca="false">COUNTIFS($D$6:D1003,"&lt;&gt;"&amp;"")</f>
        <v>998</v>
      </c>
      <c r="D1003" s="73" t="s">
        <v>12</v>
      </c>
      <c r="E1003" s="76" t="str">
        <f aca="false">
IF($D1003="정상",INDEX(임대자산!$D$3:$R$3000,MATCH($F1003,임대자산!$I$3:$I$3000,0),MATCH(E$3,임대자산!$D$3:$R$3,0)),
IF($D1003="폐업",INDEX(폐업정보!$D$3:$R$3000,MATCH($F1003,폐업정보!$I$3:$I$3000,0),MATCH(E$3,폐업정보!$D$3:$R$3,0)),
"Error"))</f>
        <v>서울</v>
      </c>
      <c r="F100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B0998</v>
      </c>
      <c r="G1003" s="76" t="str">
        <f aca="false">F1003&amp;RANDBETWEEN(0,10)</f>
        <v>B09983</v>
      </c>
      <c r="H1003" s="75" t="n">
        <f aca="false">
IF($D1003="정상",INDEX(임대자산!$D$3:$R$3000,MATCH($F1003,임대자산!$I$3:$I$3000,0),MATCH(H$4,임대자산!$D$3:$R$3,0)),
IF($D1003="폐업",INDEX(폐업정보!$D$3:$R$3000,MATCH($F1003,폐업정보!$I$3:$I$3000,0),MATCH(H$4,폐업정보!$D$3:$R$3,0)),
"Error"))</f>
        <v>46062</v>
      </c>
      <c r="I1003" s="75" t="str">
        <f aca="false">
IF($D1003="정상",INDEX(임대자산!$D$3:$R$3000,MATCH($F1003,임대자산!$I$3:$I$3000,0),MATCH(I$4,임대자산!$D$3:$R$3,0)),
IF($D1003="폐업",INDEX(폐업정보!$D$3:$R$3000,MATCH($F1003,폐업정보!$I$3:$I$3000,0),MATCH(I$4,폐업정보!$D$3:$R$3,0)),
"Error"))</f>
        <v>A0998</v>
      </c>
      <c r="J1003" s="75" t="str">
        <f aca="false">
IF($D1003="정상",INDEX(임대자산!$D$3:$R$3000,MATCH($F1003,임대자산!$I$3:$I$3000,0),MATCH(J$4,임대자산!$D$3:$R$3,0)),
IF($D1003="폐업",INDEX(폐업정보!$D$3:$R$3000,MATCH($F1003,폐업정보!$I$3:$I$3000,0),MATCH(J$4,폐업정보!$D$3:$R$3,0)),
"Error"))</f>
        <v>1983600000</v>
      </c>
      <c r="K1003" s="75" t="str">
        <f aca="false">
IF($D1003="정상",INDEX(임대자산!$D$3:$R$3000,MATCH($F1003,임대자산!$I$3:$I$3000,0),MATCH(K$4,임대자산!$D$3:$R$3,0)),
IF($D1003="폐업",INDEX(폐업정보!$D$3:$R$3000,MATCH($F1003,폐업정보!$I$3:$I$3000,0),MATCH(K$4,폐업정보!$D$3:$R$3,0)),
"Error"))</f>
        <v>C0998</v>
      </c>
      <c r="L1003" s="75" t="str">
        <f aca="false">
IF($D1003="정상",INDEX(임대자산!$D$3:$R$3000,MATCH($F1003,임대자산!$I$3:$I$3000,0),MATCH(L$4,임대자산!$D$3:$R$3,0)),
IF($D1003="폐업",INDEX(폐업정보!$D$3:$R$3000,MATCH($F1003,폐업정보!$I$3:$I$3000,0),MATCH(L$4,폐업정보!$D$3:$R$3,0)),
"Error"))</f>
        <v>D0998</v>
      </c>
      <c r="M1003" s="76" t="s">
        <v>96</v>
      </c>
      <c r="N1003" s="77"/>
      <c r="O1003" s="78" t="s">
        <v>97</v>
      </c>
      <c r="P1003" s="79" t="n">
        <f aca="false">COUNTIFS(임대자산!$I:$I,가맹점정보!F1003,임대자산!$N:$N,가맹점정보!P$4)</f>
        <v>0</v>
      </c>
      <c r="Q1003" s="80" t="n">
        <f aca="false">COUNTIFS(임대자산!$I:$I,가맹점정보!F1003,임대자산!$N:$N,가맹점정보!Q$4)</f>
        <v>0</v>
      </c>
      <c r="R1003" s="81" t="n">
        <f aca="false">COUNTIFS(임대자산!$I:$I,가맹점정보!F1003,임대자산!$N:$N,가맹점정보!R$4)</f>
        <v>1</v>
      </c>
      <c r="S1003" s="82" t="n">
        <v>55000</v>
      </c>
      <c r="T1003" s="83" t="n">
        <v>0</v>
      </c>
      <c r="U1003" s="80" t="n">
        <f aca="false">SUM(S1003:T1003)</f>
        <v>55000</v>
      </c>
      <c r="V1003" s="84" t="s">
        <v>12</v>
      </c>
      <c r="W1003" s="80" t="e">
        <f aca="true">
IF(D1003="폐업","폐업",
IF(V1003="면제","면제",
IF(AND(V1003="정상",COUNTIFS(OFFSET(Y1003,0,COUNTA(Y1003:AV1003)-1,1,-4),"미납")&gt;=3),"장기미납",
IF(AND(V1003="정상",OFFSET(Y1003,0,COUNTA(Y1003:AV1003)-1)&gt;=U1003),"정상",
IF(AND(V1003="정상",OFFSET(Y1003,0,COUNTA(Y1003:AV1003)-1)=0),"정상",
"계약서 미작성")))))</f>
        <v>#VALUE!</v>
      </c>
      <c r="X1003" s="81" t="str">
        <f aca="true">
IF(D1003="폐업","폐업",
IF(AND(V1003="정상",OFFSET(Y1003,0,COUNTA(Y1003:AV1003)-1)="미납"),"미납",
IF(AND(V1003="정상",OFFSET(Y1003,0,COUNTA(Y1003:AV1003)-1)=0),"납부 시작 전",
IF(AND(V1003="정상",OFFSET(Y1003,0,COUNTA(Y1003:AV1003)-1)&gt;=U1003),"정상",
IF(AND(V1003="면제",OFFSET(Y1003,0,COUNTA(Y1003:AV1003)-1)="면제"),"면제",
IF(AND(V1003="면제",OFFSET(Y1003,0,COUNTA(Y1003:AV1003)-1)=0),"면제",
"확인요청"))))))</f>
        <v>정상</v>
      </c>
      <c r="Y1003" s="93" t="n">
        <v>55000</v>
      </c>
      <c r="Z1003" s="90" t="n">
        <v>55000</v>
      </c>
      <c r="AA1003" s="90" t="n">
        <v>55000</v>
      </c>
      <c r="AB1003" s="90" t="n">
        <v>55000</v>
      </c>
      <c r="AC1003" s="90" t="n">
        <v>55000</v>
      </c>
      <c r="AD1003" s="90" t="n">
        <v>55000</v>
      </c>
      <c r="AE1003" s="90" t="n">
        <v>55000</v>
      </c>
      <c r="AF1003" s="90" t="n">
        <v>55000</v>
      </c>
      <c r="AG1003" s="90" t="n">
        <v>55000</v>
      </c>
      <c r="AH1003" s="90" t="n">
        <v>55000</v>
      </c>
      <c r="AI1003" s="90" t="n">
        <v>55000</v>
      </c>
      <c r="AJ1003" s="91" t="n">
        <v>55000</v>
      </c>
      <c r="AK1003" s="89" t="n">
        <v>55000</v>
      </c>
      <c r="AL1003" s="90" t="n">
        <v>55000</v>
      </c>
      <c r="AM1003" s="90"/>
      <c r="AN1003" s="90"/>
      <c r="AO1003" s="90"/>
      <c r="AP1003" s="90"/>
      <c r="AQ1003" s="90"/>
      <c r="AR1003" s="90"/>
      <c r="AS1003" s="90"/>
      <c r="AT1003" s="90"/>
      <c r="AU1003" s="90"/>
      <c r="AV1003" s="91"/>
      <c r="AX1003" s="92"/>
    </row>
    <row r="1004" customFormat="false" ht="15.65" hidden="false" customHeight="false" outlineLevel="0" collapsed="false">
      <c r="C1004" s="72" t="n">
        <f aca="false">COUNTIFS($D$6:D1004,"&lt;&gt;"&amp;"")</f>
        <v>999</v>
      </c>
      <c r="D1004" s="73" t="s">
        <v>12</v>
      </c>
      <c r="E1004" s="76" t="str">
        <f aca="false">
IF($D1004="정상",INDEX(임대자산!$D$3:$R$3000,MATCH($F1004,임대자산!$I$3:$I$3000,0),MATCH(E$3,임대자산!$D$3:$R$3,0)),
IF($D1004="폐업",INDEX(폐업정보!$D$3:$R$3000,MATCH($F1004,폐업정보!$I$3:$I$3000,0),MATCH(E$3,폐업정보!$D$3:$R$3,0)),
"Error"))</f>
        <v>서울</v>
      </c>
      <c r="F100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B0999</v>
      </c>
      <c r="G1004" s="76" t="str">
        <f aca="false">F1004&amp;RANDBETWEEN(0,10)</f>
        <v>B09994</v>
      </c>
      <c r="H1004" s="75" t="n">
        <f aca="false">
IF($D1004="정상",INDEX(임대자산!$D$3:$R$3000,MATCH($F1004,임대자산!$I$3:$I$3000,0),MATCH(H$4,임대자산!$D$3:$R$3,0)),
IF($D1004="폐업",INDEX(폐업정보!$D$3:$R$3000,MATCH($F1004,폐업정보!$I$3:$I$3000,0),MATCH(H$4,폐업정보!$D$3:$R$3,0)),
"Error"))</f>
        <v>45575</v>
      </c>
      <c r="I1004" s="75" t="str">
        <f aca="false">
IF($D1004="정상",INDEX(임대자산!$D$3:$R$3000,MATCH($F1004,임대자산!$I$3:$I$3000,0),MATCH(I$4,임대자산!$D$3:$R$3,0)),
IF($D1004="폐업",INDEX(폐업정보!$D$3:$R$3000,MATCH($F1004,폐업정보!$I$3:$I$3000,0),MATCH(I$4,폐업정보!$D$3:$R$3,0)),
"Error"))</f>
        <v>A0999</v>
      </c>
      <c r="J1004" s="75" t="str">
        <f aca="false">
IF($D1004="정상",INDEX(임대자산!$D$3:$R$3000,MATCH($F1004,임대자산!$I$3:$I$3000,0),MATCH(J$4,임대자산!$D$3:$R$3,0)),
IF($D1004="폐업",INDEX(폐업정보!$D$3:$R$3000,MATCH($F1004,폐업정보!$I$3:$I$3000,0),MATCH(J$4,폐업정보!$D$3:$R$3,0)),
"Error"))</f>
        <v>5533200000</v>
      </c>
      <c r="K1004" s="75" t="str">
        <f aca="false">
IF($D1004="정상",INDEX(임대자산!$D$3:$R$3000,MATCH($F1004,임대자산!$I$3:$I$3000,0),MATCH(K$4,임대자산!$D$3:$R$3,0)),
IF($D1004="폐업",INDEX(폐업정보!$D$3:$R$3000,MATCH($F1004,폐업정보!$I$3:$I$3000,0),MATCH(K$4,폐업정보!$D$3:$R$3,0)),
"Error"))</f>
        <v>C0999</v>
      </c>
      <c r="L1004" s="75" t="str">
        <f aca="false">
IF($D1004="정상",INDEX(임대자산!$D$3:$R$3000,MATCH($F1004,임대자산!$I$3:$I$3000,0),MATCH(L$4,임대자산!$D$3:$R$3,0)),
IF($D1004="폐업",INDEX(폐업정보!$D$3:$R$3000,MATCH($F1004,폐업정보!$I$3:$I$3000,0),MATCH(L$4,폐업정보!$D$3:$R$3,0)),
"Error"))</f>
        <v>D0999</v>
      </c>
      <c r="M1004" s="76" t="s">
        <v>96</v>
      </c>
      <c r="N1004" s="77"/>
      <c r="O1004" s="78" t="s">
        <v>97</v>
      </c>
      <c r="P1004" s="79" t="n">
        <f aca="false">COUNTIFS(임대자산!$I:$I,가맹점정보!F1004,임대자산!$N:$N,가맹점정보!P$4)</f>
        <v>0</v>
      </c>
      <c r="Q1004" s="80" t="n">
        <f aca="false">COUNTIFS(임대자산!$I:$I,가맹점정보!F1004,임대자산!$N:$N,가맹점정보!Q$4)</f>
        <v>0</v>
      </c>
      <c r="R1004" s="81" t="n">
        <f aca="false">COUNTIFS(임대자산!$I:$I,가맹점정보!F1004,임대자산!$N:$N,가맹점정보!R$4)</f>
        <v>1</v>
      </c>
      <c r="S1004" s="82" t="n">
        <v>55000</v>
      </c>
      <c r="T1004" s="83" t="n">
        <v>0</v>
      </c>
      <c r="U1004" s="80" t="n">
        <f aca="false">SUM(S1004:T1004)</f>
        <v>55000</v>
      </c>
      <c r="V1004" s="84" t="s">
        <v>12</v>
      </c>
      <c r="W1004" s="80" t="e">
        <f aca="true">
IF(D1004="폐업","폐업",
IF(V1004="면제","면제",
IF(AND(V1004="정상",COUNTIFS(OFFSET(Y1004,0,COUNTA(Y1004:AV1004)-1,1,-4),"미납")&gt;=3),"장기미납",
IF(AND(V1004="정상",OFFSET(Y1004,0,COUNTA(Y1004:AV1004)-1)&gt;=U1004),"정상",
IF(AND(V1004="정상",OFFSET(Y1004,0,COUNTA(Y1004:AV1004)-1)=0),"정상",
"계약서 미작성")))))</f>
        <v>#VALUE!</v>
      </c>
      <c r="X1004" s="81" t="str">
        <f aca="true">
IF(D1004="폐업","폐업",
IF(AND(V1004="정상",OFFSET(Y1004,0,COUNTA(Y1004:AV1004)-1)="미납"),"미납",
IF(AND(V1004="정상",OFFSET(Y1004,0,COUNTA(Y1004:AV1004)-1)=0),"납부 시작 전",
IF(AND(V1004="정상",OFFSET(Y1004,0,COUNTA(Y1004:AV1004)-1)&gt;=U1004),"정상",
IF(AND(V1004="면제",OFFSET(Y1004,0,COUNTA(Y1004:AV1004)-1)="면제"),"면제",
IF(AND(V1004="면제",OFFSET(Y1004,0,COUNTA(Y1004:AV1004)-1)=0),"면제",
"확인요청"))))))</f>
        <v>정상</v>
      </c>
      <c r="Y1004" s="93" t="n">
        <v>55000</v>
      </c>
      <c r="Z1004" s="90" t="n">
        <v>55000</v>
      </c>
      <c r="AA1004" s="90" t="n">
        <v>55000</v>
      </c>
      <c r="AB1004" s="90" t="n">
        <v>55000</v>
      </c>
      <c r="AC1004" s="90" t="n">
        <v>55000</v>
      </c>
      <c r="AD1004" s="90" t="n">
        <v>55000</v>
      </c>
      <c r="AE1004" s="90" t="s">
        <v>105</v>
      </c>
      <c r="AF1004" s="95" t="s">
        <v>62</v>
      </c>
      <c r="AG1004" s="90" t="n">
        <v>110000</v>
      </c>
      <c r="AH1004" s="90" t="n">
        <v>55000</v>
      </c>
      <c r="AI1004" s="90" t="n">
        <v>55000</v>
      </c>
      <c r="AJ1004" s="91" t="n">
        <v>55000</v>
      </c>
      <c r="AK1004" s="89" t="n">
        <v>55000</v>
      </c>
      <c r="AL1004" s="90" t="n">
        <v>55000</v>
      </c>
      <c r="AM1004" s="90"/>
      <c r="AN1004" s="90"/>
      <c r="AO1004" s="90"/>
      <c r="AP1004" s="90"/>
      <c r="AQ1004" s="90"/>
      <c r="AR1004" s="90"/>
      <c r="AS1004" s="90"/>
      <c r="AT1004" s="90"/>
      <c r="AU1004" s="90"/>
      <c r="AV1004" s="91"/>
      <c r="AX1004" s="92"/>
    </row>
    <row r="1005" customFormat="false" ht="15.65" hidden="false" customHeight="false" outlineLevel="0" collapsed="false">
      <c r="C1005" s="72" t="n">
        <f aca="false">COUNTIFS($D$6:D1005,"&lt;&gt;"&amp;"")</f>
        <v>1000</v>
      </c>
      <c r="D1005" s="73" t="s">
        <v>5</v>
      </c>
      <c r="E1005" s="76" t="str">
        <f aca="false">
IF($D1005="정상",INDEX(임대자산!$D$3:$R$3000,MATCH($F1005,임대자산!$I$3:$I$3000,0),MATCH(E$3,임대자산!$D$3:$R$3,0)),
IF($D1005="폐업",INDEX(폐업정보!$D$3:$R$3000,MATCH($F1005,폐업정보!$I$3:$I$3000,0),MATCH(E$3,폐업정보!$D$3:$R$3,0)),
"Error"))</f>
        <v>서울</v>
      </c>
      <c r="F100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B1000</v>
      </c>
      <c r="G1005" s="76" t="str">
        <f aca="false">F1005&amp;RANDBETWEEN(0,10)</f>
        <v>B10009</v>
      </c>
      <c r="H1005" s="75" t="n">
        <f aca="false">
IF($D1005="정상",INDEX(임대자산!$D$3:$R$3000,MATCH($F1005,임대자산!$I$3:$I$3000,0),MATCH(H$4,임대자산!$D$3:$R$3,0)),
IF($D1005="폐업",INDEX(폐업정보!$D$3:$R$3000,MATCH($F1005,폐업정보!$I$3:$I$3000,0),MATCH(H$4,폐업정보!$D$3:$R$3,0)),
"Error"))</f>
        <v>45575</v>
      </c>
      <c r="I1005" s="75" t="str">
        <f aca="false">
IF($D1005="정상",INDEX(임대자산!$D$3:$R$3000,MATCH($F1005,임대자산!$I$3:$I$3000,0),MATCH(I$4,임대자산!$D$3:$R$3,0)),
IF($D1005="폐업",INDEX(폐업정보!$D$3:$R$3000,MATCH($F1005,폐업정보!$I$3:$I$3000,0),MATCH(I$4,폐업정보!$D$3:$R$3,0)),
"Error"))</f>
        <v>A1000</v>
      </c>
      <c r="J1005" s="75" t="str">
        <f aca="false">
IF($D1005="정상",INDEX(임대자산!$D$3:$R$3000,MATCH($F1005,임대자산!$I$3:$I$3000,0),MATCH(J$4,임대자산!$D$3:$R$3,0)),
IF($D1005="폐업",INDEX(폐업정보!$D$3:$R$3000,MATCH($F1005,폐업정보!$I$3:$I$3000,0),MATCH(J$4,폐업정보!$D$3:$R$3,0)),
"Error"))</f>
        <v>4379500000</v>
      </c>
      <c r="K1005" s="75" t="str">
        <f aca="false">
IF($D1005="정상",INDEX(임대자산!$D$3:$R$3000,MATCH($F1005,임대자산!$I$3:$I$3000,0),MATCH(K$4,임대자산!$D$3:$R$3,0)),
IF($D1005="폐업",INDEX(폐업정보!$D$3:$R$3000,MATCH($F1005,폐업정보!$I$3:$I$3000,0),MATCH(K$4,폐업정보!$D$3:$R$3,0)),
"Error"))</f>
        <v>C1000</v>
      </c>
      <c r="L1005" s="75" t="str">
        <f aca="false">
IF($D1005="정상",INDEX(임대자산!$D$3:$R$3000,MATCH($F1005,임대자산!$I$3:$I$3000,0),MATCH(L$4,임대자산!$D$3:$R$3,0)),
IF($D1005="폐업",INDEX(폐업정보!$D$3:$R$3000,MATCH($F1005,폐업정보!$I$3:$I$3000,0),MATCH(L$4,폐업정보!$D$3:$R$3,0)),
"Error"))</f>
        <v>D1000</v>
      </c>
      <c r="M1005" s="76" t="s">
        <v>96</v>
      </c>
      <c r="N1005" s="77"/>
      <c r="O1005" s="78" t="s">
        <v>97</v>
      </c>
      <c r="P1005" s="79" t="n">
        <f aca="false">COUNTIFS(임대자산!$I:$I,가맹점정보!F1005,임대자산!$N:$N,가맹점정보!P$4)</f>
        <v>0</v>
      </c>
      <c r="Q1005" s="80" t="n">
        <f aca="false">COUNTIFS(임대자산!$I:$I,가맹점정보!F1005,임대자산!$N:$N,가맹점정보!Q$4)</f>
        <v>0</v>
      </c>
      <c r="R1005" s="81" t="n">
        <f aca="false">COUNTIFS(임대자산!$I:$I,가맹점정보!F1005,임대자산!$N:$N,가맹점정보!R$4)</f>
        <v>0</v>
      </c>
      <c r="S1005" s="82" t="n">
        <v>88000</v>
      </c>
      <c r="T1005" s="83" t="n">
        <v>0</v>
      </c>
      <c r="U1005" s="80" t="n">
        <f aca="false">SUM(S1005:T1005)</f>
        <v>88000</v>
      </c>
      <c r="V1005" s="84" t="s">
        <v>7</v>
      </c>
      <c r="W1005" s="80" t="str">
        <f aca="true">
IF(D1005="폐업","폐업",
IF(V1005="면제","면제",
IF(AND(V1005="정상",COUNTIFS(OFFSET(Y1005,0,COUNTA(Y1005:AV1005)-1,1,-4),"미납")&gt;=3),"장기미납",
IF(AND(V1005="정상",OFFSET(Y1005,0,COUNTA(Y1005:AV1005)-1)&gt;=U1005),"정상",
IF(AND(V1005="정상",OFFSET(Y1005,0,COUNTA(Y1005:AV1005)-1)=0),"정상",
"계약서 미작성")))))</f>
        <v>폐업</v>
      </c>
      <c r="X1005" s="81" t="str">
        <f aca="true">
IF(D1005="폐업","폐업",
IF(AND(V1005="정상",OFFSET(Y1005,0,COUNTA(Y1005:AV1005)-1)="미납"),"미납",
IF(AND(V1005="정상",OFFSET(Y1005,0,COUNTA(Y1005:AV1005)-1)=0),"납부 시작 전",
IF(AND(V1005="정상",OFFSET(Y1005,0,COUNTA(Y1005:AV1005)-1)&gt;=U1005),"정상",
IF(AND(V1005="면제",OFFSET(Y1005,0,COUNTA(Y1005:AV1005)-1)="면제"),"면제",
IF(AND(V1005="면제",OFFSET(Y1005,0,COUNTA(Y1005:AV1005)-1)=0),"면제",
"확인요청"))))))</f>
        <v>폐업</v>
      </c>
      <c r="Y1005" s="94" t="s">
        <v>7</v>
      </c>
      <c r="Z1005" s="95" t="s">
        <v>7</v>
      </c>
      <c r="AA1005" s="95" t="s">
        <v>7</v>
      </c>
      <c r="AB1005" s="95" t="s">
        <v>7</v>
      </c>
      <c r="AC1005" s="95" t="s">
        <v>7</v>
      </c>
      <c r="AD1005" s="95" t="s">
        <v>7</v>
      </c>
      <c r="AE1005" s="95" t="s">
        <v>7</v>
      </c>
      <c r="AF1005" s="95" t="s">
        <v>7</v>
      </c>
      <c r="AG1005" s="95" t="s">
        <v>7</v>
      </c>
      <c r="AH1005" s="95" t="s">
        <v>7</v>
      </c>
      <c r="AI1005" s="95" t="s">
        <v>7</v>
      </c>
      <c r="AJ1005" s="96" t="s">
        <v>7</v>
      </c>
      <c r="AK1005" s="97" t="s">
        <v>7</v>
      </c>
      <c r="AL1005" s="95" t="s">
        <v>7</v>
      </c>
      <c r="AM1005" s="90"/>
      <c r="AN1005" s="90"/>
      <c r="AO1005" s="90"/>
      <c r="AP1005" s="90"/>
      <c r="AQ1005" s="90"/>
      <c r="AR1005" s="90"/>
      <c r="AS1005" s="90"/>
      <c r="AT1005" s="90"/>
      <c r="AU1005" s="90"/>
      <c r="AV1005" s="91"/>
      <c r="AX1005" s="92"/>
    </row>
    <row r="1006" customFormat="false" ht="15.65" hidden="false" customHeight="false" outlineLevel="0" collapsed="false">
      <c r="C1006" s="72" t="n">
        <f aca="false">COUNTIFS($D$6:D1006,"&lt;&gt;"&amp;"")</f>
        <v>1001</v>
      </c>
      <c r="D1006" s="73" t="s">
        <v>12</v>
      </c>
      <c r="E1006" s="76" t="str">
        <f aca="false">
IF($D1006="정상",INDEX(임대자산!$D$3:$R$3000,MATCH($F1006,임대자산!$I$3:$I$3000,0),MATCH(E$3,임대자산!$D$3:$R$3,0)),
IF($D1006="폐업",INDEX(폐업정보!$D$3:$R$3000,MATCH($F1006,폐업정보!$I$3:$I$3000,0),MATCH(E$3,폐업정보!$D$3:$R$3,0)),
"Error"))</f>
        <v>서울</v>
      </c>
      <c r="F100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B1001</v>
      </c>
      <c r="G1006" s="76" t="str">
        <f aca="false">F1006&amp;RANDBETWEEN(0,10)</f>
        <v>B10014</v>
      </c>
      <c r="H1006" s="75" t="n">
        <f aca="false">
IF($D1006="정상",INDEX(임대자산!$D$3:$R$3000,MATCH($F1006,임대자산!$I$3:$I$3000,0),MATCH(H$4,임대자산!$D$3:$R$3,0)),
IF($D1006="폐업",INDEX(폐업정보!$D$3:$R$3000,MATCH($F1006,폐업정보!$I$3:$I$3000,0),MATCH(H$4,폐업정보!$D$3:$R$3,0)),
"Error"))</f>
        <v>45691</v>
      </c>
      <c r="I1006" s="75" t="str">
        <f aca="false">
IF($D1006="정상",INDEX(임대자산!$D$3:$R$3000,MATCH($F1006,임대자산!$I$3:$I$3000,0),MATCH(I$4,임대자산!$D$3:$R$3,0)),
IF($D1006="폐업",INDEX(폐업정보!$D$3:$R$3000,MATCH($F1006,폐업정보!$I$3:$I$3000,0),MATCH(I$4,폐업정보!$D$3:$R$3,0)),
"Error"))</f>
        <v>A1001</v>
      </c>
      <c r="J1006" s="75" t="str">
        <f aca="false">
IF($D1006="정상",INDEX(임대자산!$D$3:$R$3000,MATCH($F1006,임대자산!$I$3:$I$3000,0),MATCH(J$4,임대자산!$D$3:$R$3,0)),
IF($D1006="폐업",INDEX(폐업정보!$D$3:$R$3000,MATCH($F1006,폐업정보!$I$3:$I$3000,0),MATCH(J$4,폐업정보!$D$3:$R$3,0)),
"Error"))</f>
        <v>6292200000</v>
      </c>
      <c r="K1006" s="75" t="str">
        <f aca="false">
IF($D1006="정상",INDEX(임대자산!$D$3:$R$3000,MATCH($F1006,임대자산!$I$3:$I$3000,0),MATCH(K$4,임대자산!$D$3:$R$3,0)),
IF($D1006="폐업",INDEX(폐업정보!$D$3:$R$3000,MATCH($F1006,폐업정보!$I$3:$I$3000,0),MATCH(K$4,폐업정보!$D$3:$R$3,0)),
"Error"))</f>
        <v>C1001</v>
      </c>
      <c r="L1006" s="75" t="str">
        <f aca="false">
IF($D1006="정상",INDEX(임대자산!$D$3:$R$3000,MATCH($F1006,임대자산!$I$3:$I$3000,0),MATCH(L$4,임대자산!$D$3:$R$3,0)),
IF($D1006="폐업",INDEX(폐업정보!$D$3:$R$3000,MATCH($F1006,폐업정보!$I$3:$I$3000,0),MATCH(L$4,폐업정보!$D$3:$R$3,0)),
"Error"))</f>
        <v>D1001</v>
      </c>
      <c r="M1006" s="76" t="s">
        <v>96</v>
      </c>
      <c r="N1006" s="77"/>
      <c r="O1006" s="78" t="s">
        <v>97</v>
      </c>
      <c r="P1006" s="79" t="n">
        <f aca="false">COUNTIFS(임대자산!$I:$I,가맹점정보!F1006,임대자산!$N:$N,가맹점정보!P$4)</f>
        <v>0</v>
      </c>
      <c r="Q1006" s="80" t="n">
        <f aca="false">COUNTIFS(임대자산!$I:$I,가맹점정보!F1006,임대자산!$N:$N,가맹점정보!Q$4)</f>
        <v>0</v>
      </c>
      <c r="R1006" s="81" t="n">
        <f aca="false">COUNTIFS(임대자산!$I:$I,가맹점정보!F1006,임대자산!$N:$N,가맹점정보!R$4)</f>
        <v>1</v>
      </c>
      <c r="S1006" s="82" t="n">
        <v>88000</v>
      </c>
      <c r="T1006" s="83" t="n">
        <v>0</v>
      </c>
      <c r="U1006" s="80" t="n">
        <f aca="false">SUM(S1006:T1006)</f>
        <v>88000</v>
      </c>
      <c r="V1006" s="84" t="s">
        <v>7</v>
      </c>
      <c r="W1006" s="80" t="str">
        <f aca="true">
IF(D1006="폐업","폐업",
IF(V1006="면제","면제",
IF(AND(V1006="정상",COUNTIFS(OFFSET(Y1006,0,COUNTA(Y1006:AV1006)-1,1,-4),"미납")&gt;=3),"장기미납",
IF(AND(V1006="정상",OFFSET(Y1006,0,COUNTA(Y1006:AV1006)-1)&gt;=U1006),"정상",
IF(AND(V1006="정상",OFFSET(Y1006,0,COUNTA(Y1006:AV1006)-1)=0),"정상",
"계약서 미작성")))))</f>
        <v>면제</v>
      </c>
      <c r="X1006" s="81" t="str">
        <f aca="true">
IF(D1006="폐업","폐업",
IF(AND(V1006="정상",OFFSET(Y1006,0,COUNTA(Y1006:AV1006)-1)="미납"),"미납",
IF(AND(V1006="정상",OFFSET(Y1006,0,COUNTA(Y1006:AV1006)-1)=0),"납부 시작 전",
IF(AND(V1006="정상",OFFSET(Y1006,0,COUNTA(Y1006:AV1006)-1)&gt;=U1006),"정상",
IF(AND(V1006="면제",OFFSET(Y1006,0,COUNTA(Y1006:AV1006)-1)="면제"),"면제",
IF(AND(V1006="면제",OFFSET(Y1006,0,COUNTA(Y1006:AV1006)-1)=0),"면제",
"확인요청"))))))</f>
        <v>면제</v>
      </c>
      <c r="Y1006" s="94" t="s">
        <v>7</v>
      </c>
      <c r="Z1006" s="95" t="s">
        <v>7</v>
      </c>
      <c r="AA1006" s="95" t="s">
        <v>7</v>
      </c>
      <c r="AB1006" s="95" t="s">
        <v>7</v>
      </c>
      <c r="AC1006" s="95" t="s">
        <v>7</v>
      </c>
      <c r="AD1006" s="95" t="s">
        <v>7</v>
      </c>
      <c r="AE1006" s="95" t="s">
        <v>7</v>
      </c>
      <c r="AF1006" s="95" t="s">
        <v>7</v>
      </c>
      <c r="AG1006" s="95" t="s">
        <v>7</v>
      </c>
      <c r="AH1006" s="95" t="s">
        <v>7</v>
      </c>
      <c r="AI1006" s="95" t="s">
        <v>7</v>
      </c>
      <c r="AJ1006" s="96" t="s">
        <v>7</v>
      </c>
      <c r="AK1006" s="97" t="s">
        <v>7</v>
      </c>
      <c r="AL1006" s="95" t="s">
        <v>7</v>
      </c>
      <c r="AM1006" s="90"/>
      <c r="AN1006" s="90"/>
      <c r="AO1006" s="90"/>
      <c r="AP1006" s="90"/>
      <c r="AQ1006" s="90"/>
      <c r="AR1006" s="90"/>
      <c r="AS1006" s="90"/>
      <c r="AT1006" s="90"/>
      <c r="AU1006" s="90"/>
      <c r="AV1006" s="91"/>
      <c r="AX1006" s="92"/>
    </row>
    <row r="1007" customFormat="false" ht="15.65" hidden="false" customHeight="false" outlineLevel="0" collapsed="false">
      <c r="C1007" s="72" t="n">
        <f aca="false">COUNTIFS($D$6:D1007,"&lt;&gt;"&amp;"")</f>
        <v>1002</v>
      </c>
      <c r="D1007" s="73" t="s">
        <v>12</v>
      </c>
      <c r="E1007" s="76" t="str">
        <f aca="false">
IF($D1007="정상",INDEX(임대자산!$D$3:$R$3000,MATCH($F1007,임대자산!$I$3:$I$3000,0),MATCH(E$3,임대자산!$D$3:$R$3,0)),
IF($D1007="폐업",INDEX(폐업정보!$D$3:$R$3000,MATCH($F1007,폐업정보!$I$3:$I$3000,0),MATCH(E$3,폐업정보!$D$3:$R$3,0)),
"Error"))</f>
        <v>서울</v>
      </c>
      <c r="F100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B1002</v>
      </c>
      <c r="G1007" s="76" t="str">
        <f aca="false">F1007&amp;RANDBETWEEN(0,10)</f>
        <v>B10022</v>
      </c>
      <c r="H1007" s="75" t="n">
        <f aca="false">
IF($D1007="정상",INDEX(임대자산!$D$3:$R$3000,MATCH($F1007,임대자산!$I$3:$I$3000,0),MATCH(H$4,임대자산!$D$3:$R$3,0)),
IF($D1007="폐업",INDEX(폐업정보!$D$3:$R$3000,MATCH($F1007,폐업정보!$I$3:$I$3000,0),MATCH(H$4,폐업정보!$D$3:$R$3,0)),
"Error"))</f>
        <v>45728</v>
      </c>
      <c r="I1007" s="75" t="str">
        <f aca="false">
IF($D1007="정상",INDEX(임대자산!$D$3:$R$3000,MATCH($F1007,임대자산!$I$3:$I$3000,0),MATCH(I$4,임대자산!$D$3:$R$3,0)),
IF($D1007="폐업",INDEX(폐업정보!$D$3:$R$3000,MATCH($F1007,폐업정보!$I$3:$I$3000,0),MATCH(I$4,폐업정보!$D$3:$R$3,0)),
"Error"))</f>
        <v>A1002</v>
      </c>
      <c r="J1007" s="75" t="str">
        <f aca="false">
IF($D1007="정상",INDEX(임대자산!$D$3:$R$3000,MATCH($F1007,임대자산!$I$3:$I$3000,0),MATCH(J$4,임대자산!$D$3:$R$3,0)),
IF($D1007="폐업",INDEX(폐업정보!$D$3:$R$3000,MATCH($F1007,폐업정보!$I$3:$I$3000,0),MATCH(J$4,폐업정보!$D$3:$R$3,0)),
"Error"))</f>
        <v>9280800000</v>
      </c>
      <c r="K1007" s="75" t="str">
        <f aca="false">
IF($D1007="정상",INDEX(임대자산!$D$3:$R$3000,MATCH($F1007,임대자산!$I$3:$I$3000,0),MATCH(K$4,임대자산!$D$3:$R$3,0)),
IF($D1007="폐업",INDEX(폐업정보!$D$3:$R$3000,MATCH($F1007,폐업정보!$I$3:$I$3000,0),MATCH(K$4,폐업정보!$D$3:$R$3,0)),
"Error"))</f>
        <v>C1002</v>
      </c>
      <c r="L1007" s="75" t="str">
        <f aca="false">
IF($D1007="정상",INDEX(임대자산!$D$3:$R$3000,MATCH($F1007,임대자산!$I$3:$I$3000,0),MATCH(L$4,임대자산!$D$3:$R$3,0)),
IF($D1007="폐업",INDEX(폐업정보!$D$3:$R$3000,MATCH($F1007,폐업정보!$I$3:$I$3000,0),MATCH(L$4,폐업정보!$D$3:$R$3,0)),
"Error"))</f>
        <v>D1002</v>
      </c>
      <c r="M1007" s="76" t="s">
        <v>96</v>
      </c>
      <c r="N1007" s="77"/>
      <c r="O1007" s="78" t="s">
        <v>97</v>
      </c>
      <c r="P1007" s="79" t="n">
        <f aca="false">COUNTIFS(임대자산!$I:$I,가맹점정보!F1007,임대자산!$N:$N,가맹점정보!P$4)</f>
        <v>0</v>
      </c>
      <c r="Q1007" s="80" t="n">
        <f aca="false">COUNTIFS(임대자산!$I:$I,가맹점정보!F1007,임대자산!$N:$N,가맹점정보!Q$4)</f>
        <v>0</v>
      </c>
      <c r="R1007" s="81" t="n">
        <f aca="false">COUNTIFS(임대자산!$I:$I,가맹점정보!F1007,임대자산!$N:$N,가맹점정보!R$4)</f>
        <v>1</v>
      </c>
      <c r="S1007" s="82" t="n">
        <v>55000</v>
      </c>
      <c r="T1007" s="83" t="n">
        <v>0</v>
      </c>
      <c r="U1007" s="80" t="n">
        <f aca="false">SUM(S1007:T1007)</f>
        <v>55000</v>
      </c>
      <c r="V1007" s="84" t="s">
        <v>7</v>
      </c>
      <c r="W1007" s="80" t="str">
        <f aca="true">
IF(D1007="폐업","폐업",
IF(V1007="면제","면제",
IF(AND(V1007="정상",COUNTIFS(OFFSET(Y1007,0,COUNTA(Y1007:AV1007)-1,1,-4),"미납")&gt;=3),"장기미납",
IF(AND(V1007="정상",OFFSET(Y1007,0,COUNTA(Y1007:AV1007)-1)&gt;=U1007),"정상",
IF(AND(V1007="정상",OFFSET(Y1007,0,COUNTA(Y1007:AV1007)-1)=0),"정상",
"계약서 미작성")))))</f>
        <v>면제</v>
      </c>
      <c r="X1007" s="81" t="str">
        <f aca="true">
IF(D1007="폐업","폐업",
IF(AND(V1007="정상",OFFSET(Y1007,0,COUNTA(Y1007:AV1007)-1)="미납"),"미납",
IF(AND(V1007="정상",OFFSET(Y1007,0,COUNTA(Y1007:AV1007)-1)=0),"납부 시작 전",
IF(AND(V1007="정상",OFFSET(Y1007,0,COUNTA(Y1007:AV1007)-1)&gt;=U1007),"정상",
IF(AND(V1007="면제",OFFSET(Y1007,0,COUNTA(Y1007:AV1007)-1)="면제"),"면제",
IF(AND(V1007="면제",OFFSET(Y1007,0,COUNTA(Y1007:AV1007)-1)=0),"면제",
"확인요청"))))))</f>
        <v>면제</v>
      </c>
      <c r="Y1007" s="94" t="s">
        <v>7</v>
      </c>
      <c r="Z1007" s="95" t="s">
        <v>7</v>
      </c>
      <c r="AA1007" s="95" t="s">
        <v>7</v>
      </c>
      <c r="AB1007" s="95" t="s">
        <v>7</v>
      </c>
      <c r="AC1007" s="95" t="s">
        <v>7</v>
      </c>
      <c r="AD1007" s="95" t="s">
        <v>7</v>
      </c>
      <c r="AE1007" s="95" t="s">
        <v>7</v>
      </c>
      <c r="AF1007" s="95" t="s">
        <v>7</v>
      </c>
      <c r="AG1007" s="95" t="s">
        <v>7</v>
      </c>
      <c r="AH1007" s="95" t="s">
        <v>7</v>
      </c>
      <c r="AI1007" s="95" t="s">
        <v>7</v>
      </c>
      <c r="AJ1007" s="96" t="s">
        <v>7</v>
      </c>
      <c r="AK1007" s="97" t="s">
        <v>7</v>
      </c>
      <c r="AL1007" s="95" t="s">
        <v>7</v>
      </c>
      <c r="AM1007" s="90"/>
      <c r="AN1007" s="90"/>
      <c r="AO1007" s="90"/>
      <c r="AP1007" s="90"/>
      <c r="AQ1007" s="90"/>
      <c r="AR1007" s="90"/>
      <c r="AS1007" s="90"/>
      <c r="AT1007" s="90"/>
      <c r="AU1007" s="90"/>
      <c r="AV1007" s="91"/>
      <c r="AX1007" s="92"/>
    </row>
    <row r="1008" customFormat="false" ht="15.65" hidden="false" customHeight="false" outlineLevel="0" collapsed="false">
      <c r="C1008" s="72" t="n">
        <f aca="false">COUNTIFS($D$6:D1008,"&lt;&gt;"&amp;"")</f>
        <v>1003</v>
      </c>
      <c r="D1008" s="73" t="s">
        <v>12</v>
      </c>
      <c r="E1008" s="76" t="str">
        <f aca="false">
IF($D1008="정상",INDEX(임대자산!$D$3:$R$3000,MATCH($F1008,임대자산!$I$3:$I$3000,0),MATCH(E$3,임대자산!$D$3:$R$3,0)),
IF($D1008="폐업",INDEX(폐업정보!$D$3:$R$3000,MATCH($F1008,폐업정보!$I$3:$I$3000,0),MATCH(E$3,폐업정보!$D$3:$R$3,0)),
"Error"))</f>
        <v>서울</v>
      </c>
      <c r="F100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B1003</v>
      </c>
      <c r="G1008" s="76" t="str">
        <f aca="false">F1008&amp;RANDBETWEEN(0,10)</f>
        <v>B10031</v>
      </c>
      <c r="H1008" s="75" t="n">
        <f aca="false">
IF($D1008="정상",INDEX(임대자산!$D$3:$R$3000,MATCH($F1008,임대자산!$I$3:$I$3000,0),MATCH(H$4,임대자산!$D$3:$R$3,0)),
IF($D1008="폐업",INDEX(폐업정보!$D$3:$R$3000,MATCH($F1008,폐업정보!$I$3:$I$3000,0),MATCH(H$4,폐업정보!$D$3:$R$3,0)),
"Error"))</f>
        <v>45728</v>
      </c>
      <c r="I1008" s="75" t="str">
        <f aca="false">
IF($D1008="정상",INDEX(임대자산!$D$3:$R$3000,MATCH($F1008,임대자산!$I$3:$I$3000,0),MATCH(I$4,임대자산!$D$3:$R$3,0)),
IF($D1008="폐업",INDEX(폐업정보!$D$3:$R$3000,MATCH($F1008,폐업정보!$I$3:$I$3000,0),MATCH(I$4,폐업정보!$D$3:$R$3,0)),
"Error"))</f>
        <v>A1003</v>
      </c>
      <c r="J1008" s="75" t="str">
        <f aca="false">
IF($D1008="정상",INDEX(임대자산!$D$3:$R$3000,MATCH($F1008,임대자산!$I$3:$I$3000,0),MATCH(J$4,임대자산!$D$3:$R$3,0)),
IF($D1008="폐업",INDEX(폐업정보!$D$3:$R$3000,MATCH($F1008,폐업정보!$I$3:$I$3000,0),MATCH(J$4,폐업정보!$D$3:$R$3,0)),
"Error"))</f>
        <v>3028300000</v>
      </c>
      <c r="K1008" s="75" t="str">
        <f aca="false">
IF($D1008="정상",INDEX(임대자산!$D$3:$R$3000,MATCH($F1008,임대자산!$I$3:$I$3000,0),MATCH(K$4,임대자산!$D$3:$R$3,0)),
IF($D1008="폐업",INDEX(폐업정보!$D$3:$R$3000,MATCH($F1008,폐업정보!$I$3:$I$3000,0),MATCH(K$4,폐업정보!$D$3:$R$3,0)),
"Error"))</f>
        <v>C1003</v>
      </c>
      <c r="L1008" s="75" t="str">
        <f aca="false">
IF($D1008="정상",INDEX(임대자산!$D$3:$R$3000,MATCH($F1008,임대자산!$I$3:$I$3000,0),MATCH(L$4,임대자산!$D$3:$R$3,0)),
IF($D1008="폐업",INDEX(폐업정보!$D$3:$R$3000,MATCH($F1008,폐업정보!$I$3:$I$3000,0),MATCH(L$4,폐업정보!$D$3:$R$3,0)),
"Error"))</f>
        <v>D1003</v>
      </c>
      <c r="M1008" s="76" t="s">
        <v>96</v>
      </c>
      <c r="N1008" s="77"/>
      <c r="O1008" s="78" t="s">
        <v>97</v>
      </c>
      <c r="P1008" s="79" t="n">
        <f aca="false">COUNTIFS(임대자산!$I:$I,가맹점정보!F1008,임대자산!$N:$N,가맹점정보!P$4)</f>
        <v>0</v>
      </c>
      <c r="Q1008" s="80" t="n">
        <f aca="false">COUNTIFS(임대자산!$I:$I,가맹점정보!F1008,임대자산!$N:$N,가맹점정보!Q$4)</f>
        <v>0</v>
      </c>
      <c r="R1008" s="81" t="n">
        <f aca="false">COUNTIFS(임대자산!$I:$I,가맹점정보!F1008,임대자산!$N:$N,가맹점정보!R$4)</f>
        <v>1</v>
      </c>
      <c r="S1008" s="82" t="n">
        <v>55000</v>
      </c>
      <c r="T1008" s="83" t="n">
        <v>0</v>
      </c>
      <c r="U1008" s="80" t="n">
        <f aca="false">SUM(S1008:T1008)</f>
        <v>55000</v>
      </c>
      <c r="V1008" s="84" t="s">
        <v>7</v>
      </c>
      <c r="W1008" s="80" t="str">
        <f aca="true">
IF(D1008="폐업","폐업",
IF(V1008="면제","면제",
IF(AND(V1008="정상",COUNTIFS(OFFSET(Y1008,0,COUNTA(Y1008:AV1008)-1,1,-4),"미납")&gt;=3),"장기미납",
IF(AND(V1008="정상",OFFSET(Y1008,0,COUNTA(Y1008:AV1008)-1)&gt;=U1008),"정상",
IF(AND(V1008="정상",OFFSET(Y1008,0,COUNTA(Y1008:AV1008)-1)=0),"정상",
"계약서 미작성")))))</f>
        <v>면제</v>
      </c>
      <c r="X1008" s="81" t="str">
        <f aca="true">
IF(D1008="폐업","폐업",
IF(AND(V1008="정상",OFFSET(Y1008,0,COUNTA(Y1008:AV1008)-1)="미납"),"미납",
IF(AND(V1008="정상",OFFSET(Y1008,0,COUNTA(Y1008:AV1008)-1)=0),"납부 시작 전",
IF(AND(V1008="정상",OFFSET(Y1008,0,COUNTA(Y1008:AV1008)-1)&gt;=U1008),"정상",
IF(AND(V1008="면제",OFFSET(Y1008,0,COUNTA(Y1008:AV1008)-1)="면제"),"면제",
IF(AND(V1008="면제",OFFSET(Y1008,0,COUNTA(Y1008:AV1008)-1)=0),"면제",
"확인요청"))))))</f>
        <v>면제</v>
      </c>
      <c r="Y1008" s="94" t="s">
        <v>7</v>
      </c>
      <c r="Z1008" s="95" t="s">
        <v>7</v>
      </c>
      <c r="AA1008" s="95" t="s">
        <v>7</v>
      </c>
      <c r="AB1008" s="95" t="s">
        <v>7</v>
      </c>
      <c r="AC1008" s="95" t="s">
        <v>7</v>
      </c>
      <c r="AD1008" s="95" t="s">
        <v>7</v>
      </c>
      <c r="AE1008" s="95" t="s">
        <v>7</v>
      </c>
      <c r="AF1008" s="95" t="s">
        <v>7</v>
      </c>
      <c r="AG1008" s="95" t="s">
        <v>7</v>
      </c>
      <c r="AH1008" s="95" t="s">
        <v>7</v>
      </c>
      <c r="AI1008" s="95" t="s">
        <v>7</v>
      </c>
      <c r="AJ1008" s="96" t="s">
        <v>7</v>
      </c>
      <c r="AK1008" s="97" t="s">
        <v>7</v>
      </c>
      <c r="AL1008" s="95" t="s">
        <v>7</v>
      </c>
      <c r="AM1008" s="90"/>
      <c r="AN1008" s="90"/>
      <c r="AO1008" s="90"/>
      <c r="AP1008" s="90"/>
      <c r="AQ1008" s="90"/>
      <c r="AR1008" s="90"/>
      <c r="AS1008" s="90"/>
      <c r="AT1008" s="90"/>
      <c r="AU1008" s="90"/>
      <c r="AV1008" s="91"/>
      <c r="AX1008" s="92"/>
    </row>
    <row r="1009" customFormat="false" ht="15.65" hidden="false" customHeight="false" outlineLevel="0" collapsed="false">
      <c r="C1009" s="72" t="n">
        <f aca="false">COUNTIFS($D$6:D1009,"&lt;&gt;"&amp;"")</f>
        <v>1004</v>
      </c>
      <c r="D1009" s="73" t="s">
        <v>12</v>
      </c>
      <c r="E1009" s="76" t="str">
        <f aca="false">
IF($D1009="정상",INDEX(임대자산!$D$3:$R$3000,MATCH($F1009,임대자산!$I$3:$I$3000,0),MATCH(E$3,임대자산!$D$3:$R$3,0)),
IF($D1009="폐업",INDEX(폐업정보!$D$3:$R$3000,MATCH($F1009,폐업정보!$I$3:$I$3000,0),MATCH(E$3,폐업정보!$D$3:$R$3,0)),
"Error"))</f>
        <v>서울</v>
      </c>
      <c r="F100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B1004</v>
      </c>
      <c r="G1009" s="76" t="str">
        <f aca="false">F1009&amp;RANDBETWEEN(0,10)</f>
        <v>B10041</v>
      </c>
      <c r="H1009" s="75" t="n">
        <f aca="false">
IF($D1009="정상",INDEX(임대자산!$D$3:$R$3000,MATCH($F1009,임대자산!$I$3:$I$3000,0),MATCH(H$4,임대자산!$D$3:$R$3,0)),
IF($D1009="폐업",INDEX(폐업정보!$D$3:$R$3000,MATCH($F1009,폐업정보!$I$3:$I$3000,0),MATCH(H$4,폐업정보!$D$3:$R$3,0)),
"Error"))</f>
        <v>44656</v>
      </c>
      <c r="I1009" s="75" t="str">
        <f aca="false">
IF($D1009="정상",INDEX(임대자산!$D$3:$R$3000,MATCH($F1009,임대자산!$I$3:$I$3000,0),MATCH(I$4,임대자산!$D$3:$R$3,0)),
IF($D1009="폐업",INDEX(폐업정보!$D$3:$R$3000,MATCH($F1009,폐업정보!$I$3:$I$3000,0),MATCH(I$4,폐업정보!$D$3:$R$3,0)),
"Error"))</f>
        <v>A1004</v>
      </c>
      <c r="J1009" s="75" t="str">
        <f aca="false">
IF($D1009="정상",INDEX(임대자산!$D$3:$R$3000,MATCH($F1009,임대자산!$I$3:$I$3000,0),MATCH(J$4,임대자산!$D$3:$R$3,0)),
IF($D1009="폐업",INDEX(폐업정보!$D$3:$R$3000,MATCH($F1009,폐업정보!$I$3:$I$3000,0),MATCH(J$4,폐업정보!$D$3:$R$3,0)),
"Error"))</f>
        <v>8957000000</v>
      </c>
      <c r="K1009" s="75" t="str">
        <f aca="false">
IF($D1009="정상",INDEX(임대자산!$D$3:$R$3000,MATCH($F1009,임대자산!$I$3:$I$3000,0),MATCH(K$4,임대자산!$D$3:$R$3,0)),
IF($D1009="폐업",INDEX(폐업정보!$D$3:$R$3000,MATCH($F1009,폐업정보!$I$3:$I$3000,0),MATCH(K$4,폐업정보!$D$3:$R$3,0)),
"Error"))</f>
        <v>C1004</v>
      </c>
      <c r="L1009" s="75" t="str">
        <f aca="false">
IF($D1009="정상",INDEX(임대자산!$D$3:$R$3000,MATCH($F1009,임대자산!$I$3:$I$3000,0),MATCH(L$4,임대자산!$D$3:$R$3,0)),
IF($D1009="폐업",INDEX(폐업정보!$D$3:$R$3000,MATCH($F1009,폐업정보!$I$3:$I$3000,0),MATCH(L$4,폐업정보!$D$3:$R$3,0)),
"Error"))</f>
        <v>D1004</v>
      </c>
      <c r="M1009" s="76" t="s">
        <v>96</v>
      </c>
      <c r="N1009" s="77"/>
      <c r="O1009" s="78" t="s">
        <v>97</v>
      </c>
      <c r="P1009" s="79" t="n">
        <f aca="false">COUNTIFS(임대자산!$I:$I,가맹점정보!F1009,임대자산!$N:$N,가맹점정보!P$4)</f>
        <v>0</v>
      </c>
      <c r="Q1009" s="80" t="n">
        <f aca="false">COUNTIFS(임대자산!$I:$I,가맹점정보!F1009,임대자산!$N:$N,가맹점정보!Q$4)</f>
        <v>0</v>
      </c>
      <c r="R1009" s="81" t="n">
        <f aca="false">COUNTIFS(임대자산!$I:$I,가맹점정보!F1009,임대자산!$N:$N,가맹점정보!R$4)</f>
        <v>1</v>
      </c>
      <c r="S1009" s="82" t="n">
        <v>88000</v>
      </c>
      <c r="T1009" s="83" t="n">
        <v>0</v>
      </c>
      <c r="U1009" s="80" t="n">
        <f aca="false">SUM(S1009:T1009)</f>
        <v>88000</v>
      </c>
      <c r="V1009" s="84" t="s">
        <v>7</v>
      </c>
      <c r="W1009" s="80" t="str">
        <f aca="true">
IF(D1009="폐업","폐업",
IF(V1009="면제","면제",
IF(AND(V1009="정상",COUNTIFS(OFFSET(Y1009,0,COUNTA(Y1009:AV1009)-1,1,-4),"미납")&gt;=3),"장기미납",
IF(AND(V1009="정상",OFFSET(Y1009,0,COUNTA(Y1009:AV1009)-1)&gt;=U1009),"정상",
IF(AND(V1009="정상",OFFSET(Y1009,0,COUNTA(Y1009:AV1009)-1)=0),"정상",
"계약서 미작성")))))</f>
        <v>면제</v>
      </c>
      <c r="X1009" s="81" t="str">
        <f aca="true">
IF(D1009="폐업","폐업",
IF(AND(V1009="정상",OFFSET(Y1009,0,COUNTA(Y1009:AV1009)-1)="미납"),"미납",
IF(AND(V1009="정상",OFFSET(Y1009,0,COUNTA(Y1009:AV1009)-1)=0),"납부 시작 전",
IF(AND(V1009="정상",OFFSET(Y1009,0,COUNTA(Y1009:AV1009)-1)&gt;=U1009),"정상",
IF(AND(V1009="면제",OFFSET(Y1009,0,COUNTA(Y1009:AV1009)-1)="면제"),"면제",
IF(AND(V1009="면제",OFFSET(Y1009,0,COUNTA(Y1009:AV1009)-1)=0),"면제",
"확인요청"))))))</f>
        <v>면제</v>
      </c>
      <c r="Y1009" s="94" t="s">
        <v>7</v>
      </c>
      <c r="Z1009" s="95" t="s">
        <v>7</v>
      </c>
      <c r="AA1009" s="95" t="s">
        <v>7</v>
      </c>
      <c r="AB1009" s="95" t="s">
        <v>7</v>
      </c>
      <c r="AC1009" s="95" t="s">
        <v>7</v>
      </c>
      <c r="AD1009" s="95" t="s">
        <v>7</v>
      </c>
      <c r="AE1009" s="95" t="s">
        <v>7</v>
      </c>
      <c r="AF1009" s="95" t="s">
        <v>7</v>
      </c>
      <c r="AG1009" s="95" t="s">
        <v>7</v>
      </c>
      <c r="AH1009" s="95" t="s">
        <v>7</v>
      </c>
      <c r="AI1009" s="95" t="s">
        <v>7</v>
      </c>
      <c r="AJ1009" s="96" t="s">
        <v>7</v>
      </c>
      <c r="AK1009" s="97" t="s">
        <v>7</v>
      </c>
      <c r="AL1009" s="95" t="s">
        <v>7</v>
      </c>
      <c r="AM1009" s="90"/>
      <c r="AN1009" s="90"/>
      <c r="AO1009" s="90"/>
      <c r="AP1009" s="90"/>
      <c r="AQ1009" s="90"/>
      <c r="AR1009" s="90"/>
      <c r="AS1009" s="90"/>
      <c r="AT1009" s="90"/>
      <c r="AU1009" s="90"/>
      <c r="AV1009" s="91"/>
      <c r="AX1009" s="92"/>
    </row>
    <row r="1010" customFormat="false" ht="15.65" hidden="false" customHeight="false" outlineLevel="0" collapsed="false">
      <c r="C1010" s="72" t="n">
        <f aca="false">COUNTIFS($D$6:D1010,"&lt;&gt;"&amp;"")</f>
        <v>1005</v>
      </c>
      <c r="D1010" s="73" t="s">
        <v>12</v>
      </c>
      <c r="E1010" s="76" t="str">
        <f aca="false">
IF($D1010="정상",INDEX(임대자산!$D$3:$R$3000,MATCH($F1010,임대자산!$I$3:$I$3000,0),MATCH(E$3,임대자산!$D$3:$R$3,0)),
IF($D1010="폐업",INDEX(폐업정보!$D$3:$R$3000,MATCH($F1010,폐업정보!$I$3:$I$3000,0),MATCH(E$3,폐업정보!$D$3:$R$3,0)),
"Error"))</f>
        <v>서울</v>
      </c>
      <c r="F101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B1005</v>
      </c>
      <c r="G1010" s="76" t="str">
        <f aca="false">F1010&amp;RANDBETWEEN(0,10)</f>
        <v>B10053</v>
      </c>
      <c r="H1010" s="75" t="n">
        <f aca="false">
IF($D1010="정상",INDEX(임대자산!$D$3:$R$3000,MATCH($F1010,임대자산!$I$3:$I$3000,0),MATCH(H$4,임대자산!$D$3:$R$3,0)),
IF($D1010="폐업",INDEX(폐업정보!$D$3:$R$3000,MATCH($F1010,폐업정보!$I$3:$I$3000,0),MATCH(H$4,폐업정보!$D$3:$R$3,0)),
"Error"))</f>
        <v>44656</v>
      </c>
      <c r="I1010" s="75" t="str">
        <f aca="false">
IF($D1010="정상",INDEX(임대자산!$D$3:$R$3000,MATCH($F1010,임대자산!$I$3:$I$3000,0),MATCH(I$4,임대자산!$D$3:$R$3,0)),
IF($D1010="폐업",INDEX(폐업정보!$D$3:$R$3000,MATCH($F1010,폐업정보!$I$3:$I$3000,0),MATCH(I$4,폐업정보!$D$3:$R$3,0)),
"Error"))</f>
        <v>A1005</v>
      </c>
      <c r="J1010" s="75" t="str">
        <f aca="false">
IF($D1010="정상",INDEX(임대자산!$D$3:$R$3000,MATCH($F1010,임대자산!$I$3:$I$3000,0),MATCH(J$4,임대자산!$D$3:$R$3,0)),
IF($D1010="폐업",INDEX(폐업정보!$D$3:$R$3000,MATCH($F1010,폐업정보!$I$3:$I$3000,0),MATCH(J$4,폐업정보!$D$3:$R$3,0)),
"Error"))</f>
        <v>3122400000</v>
      </c>
      <c r="K1010" s="75" t="str">
        <f aca="false">
IF($D1010="정상",INDEX(임대자산!$D$3:$R$3000,MATCH($F1010,임대자산!$I$3:$I$3000,0),MATCH(K$4,임대자산!$D$3:$R$3,0)),
IF($D1010="폐업",INDEX(폐업정보!$D$3:$R$3000,MATCH($F1010,폐업정보!$I$3:$I$3000,0),MATCH(K$4,폐업정보!$D$3:$R$3,0)),
"Error"))</f>
        <v>C1005</v>
      </c>
      <c r="L1010" s="75" t="str">
        <f aca="false">
IF($D1010="정상",INDEX(임대자산!$D$3:$R$3000,MATCH($F1010,임대자산!$I$3:$I$3000,0),MATCH(L$4,임대자산!$D$3:$R$3,0)),
IF($D1010="폐업",INDEX(폐업정보!$D$3:$R$3000,MATCH($F1010,폐업정보!$I$3:$I$3000,0),MATCH(L$4,폐업정보!$D$3:$R$3,0)),
"Error"))</f>
        <v>D1005</v>
      </c>
      <c r="M1010" s="76" t="s">
        <v>96</v>
      </c>
      <c r="N1010" s="77"/>
      <c r="O1010" s="78" t="s">
        <v>97</v>
      </c>
      <c r="P1010" s="79" t="n">
        <f aca="false">COUNTIFS(임대자산!$I:$I,가맹점정보!F1010,임대자산!$N:$N,가맹점정보!P$4)</f>
        <v>0</v>
      </c>
      <c r="Q1010" s="80" t="n">
        <f aca="false">COUNTIFS(임대자산!$I:$I,가맹점정보!F1010,임대자산!$N:$N,가맹점정보!Q$4)</f>
        <v>0</v>
      </c>
      <c r="R1010" s="81" t="n">
        <f aca="false">COUNTIFS(임대자산!$I:$I,가맹점정보!F1010,임대자산!$N:$N,가맹점정보!R$4)</f>
        <v>1</v>
      </c>
      <c r="S1010" s="82" t="n">
        <v>88000</v>
      </c>
      <c r="T1010" s="83" t="n">
        <v>0</v>
      </c>
      <c r="U1010" s="80" t="n">
        <f aca="false">SUM(S1010:T1010)</f>
        <v>88000</v>
      </c>
      <c r="V1010" s="84" t="s">
        <v>7</v>
      </c>
      <c r="W1010" s="80" t="str">
        <f aca="true">
IF(D1010="폐업","폐업",
IF(V1010="면제","면제",
IF(AND(V1010="정상",COUNTIFS(OFFSET(Y1010,0,COUNTA(Y1010:AV1010)-1,1,-4),"미납")&gt;=3),"장기미납",
IF(AND(V1010="정상",OFFSET(Y1010,0,COUNTA(Y1010:AV1010)-1)&gt;=U1010),"정상",
IF(AND(V1010="정상",OFFSET(Y1010,0,COUNTA(Y1010:AV1010)-1)=0),"정상",
"계약서 미작성")))))</f>
        <v>면제</v>
      </c>
      <c r="X1010" s="81" t="str">
        <f aca="true">
IF(D1010="폐업","폐업",
IF(AND(V1010="정상",OFFSET(Y1010,0,COUNTA(Y1010:AV1010)-1)="미납"),"미납",
IF(AND(V1010="정상",OFFSET(Y1010,0,COUNTA(Y1010:AV1010)-1)=0),"납부 시작 전",
IF(AND(V1010="정상",OFFSET(Y1010,0,COUNTA(Y1010:AV1010)-1)&gt;=U1010),"정상",
IF(AND(V1010="면제",OFFSET(Y1010,0,COUNTA(Y1010:AV1010)-1)="면제"),"면제",
IF(AND(V1010="면제",OFFSET(Y1010,0,COUNTA(Y1010:AV1010)-1)=0),"면제",
"확인요청"))))))</f>
        <v>면제</v>
      </c>
      <c r="Y1010" s="94" t="s">
        <v>7</v>
      </c>
      <c r="Z1010" s="95" t="s">
        <v>7</v>
      </c>
      <c r="AA1010" s="95" t="s">
        <v>7</v>
      </c>
      <c r="AB1010" s="95" t="s">
        <v>7</v>
      </c>
      <c r="AC1010" s="95" t="s">
        <v>7</v>
      </c>
      <c r="AD1010" s="95" t="s">
        <v>7</v>
      </c>
      <c r="AE1010" s="95" t="s">
        <v>7</v>
      </c>
      <c r="AF1010" s="95" t="s">
        <v>7</v>
      </c>
      <c r="AG1010" s="95" t="s">
        <v>7</v>
      </c>
      <c r="AH1010" s="95" t="s">
        <v>7</v>
      </c>
      <c r="AI1010" s="95" t="s">
        <v>7</v>
      </c>
      <c r="AJ1010" s="96" t="s">
        <v>7</v>
      </c>
      <c r="AK1010" s="97" t="s">
        <v>7</v>
      </c>
      <c r="AL1010" s="95" t="s">
        <v>7</v>
      </c>
      <c r="AM1010" s="90"/>
      <c r="AN1010" s="90"/>
      <c r="AO1010" s="90"/>
      <c r="AP1010" s="90"/>
      <c r="AQ1010" s="90"/>
      <c r="AR1010" s="90"/>
      <c r="AS1010" s="90"/>
      <c r="AT1010" s="90"/>
      <c r="AU1010" s="90"/>
      <c r="AV1010" s="91"/>
      <c r="AX1010" s="92"/>
    </row>
    <row r="1011" customFormat="false" ht="15.65" hidden="false" customHeight="false" outlineLevel="0" collapsed="false">
      <c r="C1011" s="72" t="n">
        <f aca="false">COUNTIFS($D$6:D1011,"&lt;&gt;"&amp;"")</f>
        <v>1006</v>
      </c>
      <c r="D1011" s="73" t="s">
        <v>12</v>
      </c>
      <c r="E1011" s="76" t="str">
        <f aca="false">
IF($D1011="정상",INDEX(임대자산!$D$3:$R$3000,MATCH($F1011,임대자산!$I$3:$I$3000,0),MATCH(E$3,임대자산!$D$3:$R$3,0)),
IF($D1011="폐업",INDEX(폐업정보!$D$3:$R$3000,MATCH($F1011,폐업정보!$I$3:$I$3000,0),MATCH(E$3,폐업정보!$D$3:$R$3,0)),
"Error"))</f>
        <v>서울</v>
      </c>
      <c r="F101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B1006</v>
      </c>
      <c r="G1011" s="76" t="str">
        <f aca="false">F1011&amp;RANDBETWEEN(0,10)</f>
        <v>B10066</v>
      </c>
      <c r="H1011" s="75" t="n">
        <f aca="false">
IF($D1011="정상",INDEX(임대자산!$D$3:$R$3000,MATCH($F1011,임대자산!$I$3:$I$3000,0),MATCH(H$4,임대자산!$D$3:$R$3,0)),
IF($D1011="폐업",INDEX(폐업정보!$D$3:$R$3000,MATCH($F1011,폐업정보!$I$3:$I$3000,0),MATCH(H$4,폐업정보!$D$3:$R$3,0)),
"Error"))</f>
        <v>45453</v>
      </c>
      <c r="I1011" s="75" t="str">
        <f aca="false">
IF($D1011="정상",INDEX(임대자산!$D$3:$R$3000,MATCH($F1011,임대자산!$I$3:$I$3000,0),MATCH(I$4,임대자산!$D$3:$R$3,0)),
IF($D1011="폐업",INDEX(폐업정보!$D$3:$R$3000,MATCH($F1011,폐업정보!$I$3:$I$3000,0),MATCH(I$4,폐업정보!$D$3:$R$3,0)),
"Error"))</f>
        <v>A1006</v>
      </c>
      <c r="J1011" s="75" t="str">
        <f aca="false">
IF($D1011="정상",INDEX(임대자산!$D$3:$R$3000,MATCH($F1011,임대자산!$I$3:$I$3000,0),MATCH(J$4,임대자산!$D$3:$R$3,0)),
IF($D1011="폐업",INDEX(폐업정보!$D$3:$R$3000,MATCH($F1011,폐업정보!$I$3:$I$3000,0),MATCH(J$4,폐업정보!$D$3:$R$3,0)),
"Error"))</f>
        <v>6342800000</v>
      </c>
      <c r="K1011" s="75" t="str">
        <f aca="false">
IF($D1011="정상",INDEX(임대자산!$D$3:$R$3000,MATCH($F1011,임대자산!$I$3:$I$3000,0),MATCH(K$4,임대자산!$D$3:$R$3,0)),
IF($D1011="폐업",INDEX(폐업정보!$D$3:$R$3000,MATCH($F1011,폐업정보!$I$3:$I$3000,0),MATCH(K$4,폐업정보!$D$3:$R$3,0)),
"Error"))</f>
        <v>C1006</v>
      </c>
      <c r="L1011" s="75" t="str">
        <f aca="false">
IF($D1011="정상",INDEX(임대자산!$D$3:$R$3000,MATCH($F1011,임대자산!$I$3:$I$3000,0),MATCH(L$4,임대자산!$D$3:$R$3,0)),
IF($D1011="폐업",INDEX(폐업정보!$D$3:$R$3000,MATCH($F1011,폐업정보!$I$3:$I$3000,0),MATCH(L$4,폐업정보!$D$3:$R$3,0)),
"Error"))</f>
        <v>D1006</v>
      </c>
      <c r="M1011" s="76" t="s">
        <v>96</v>
      </c>
      <c r="N1011" s="77"/>
      <c r="O1011" s="78" t="s">
        <v>97</v>
      </c>
      <c r="P1011" s="79" t="n">
        <f aca="false">COUNTIFS(임대자산!$I:$I,가맹점정보!F1011,임대자산!$N:$N,가맹점정보!P$4)</f>
        <v>0</v>
      </c>
      <c r="Q1011" s="80" t="n">
        <f aca="false">COUNTIFS(임대자산!$I:$I,가맹점정보!F1011,임대자산!$N:$N,가맹점정보!Q$4)</f>
        <v>0</v>
      </c>
      <c r="R1011" s="81" t="n">
        <f aca="false">COUNTIFS(임대자산!$I:$I,가맹점정보!F1011,임대자산!$N:$N,가맹점정보!R$4)</f>
        <v>1</v>
      </c>
      <c r="S1011" s="82" t="n">
        <v>88000</v>
      </c>
      <c r="T1011" s="83" t="n">
        <v>0</v>
      </c>
      <c r="U1011" s="80" t="n">
        <f aca="false">SUM(S1011:T1011)</f>
        <v>88000</v>
      </c>
      <c r="V1011" s="84" t="s">
        <v>7</v>
      </c>
      <c r="W1011" s="80" t="str">
        <f aca="true">
IF(D1011="폐업","폐업",
IF(V1011="면제","면제",
IF(AND(V1011="정상",COUNTIFS(OFFSET(Y1011,0,COUNTA(Y1011:AV1011)-1,1,-4),"미납")&gt;=3),"장기미납",
IF(AND(V1011="정상",OFFSET(Y1011,0,COUNTA(Y1011:AV1011)-1)&gt;=U1011),"정상",
IF(AND(V1011="정상",OFFSET(Y1011,0,COUNTA(Y1011:AV1011)-1)=0),"정상",
"계약서 미작성")))))</f>
        <v>면제</v>
      </c>
      <c r="X1011" s="81" t="str">
        <f aca="true">
IF(D1011="폐업","폐업",
IF(AND(V1011="정상",OFFSET(Y1011,0,COUNTA(Y1011:AV1011)-1)="미납"),"미납",
IF(AND(V1011="정상",OFFSET(Y1011,0,COUNTA(Y1011:AV1011)-1)=0),"납부 시작 전",
IF(AND(V1011="정상",OFFSET(Y1011,0,COUNTA(Y1011:AV1011)-1)&gt;=U1011),"정상",
IF(AND(V1011="면제",OFFSET(Y1011,0,COUNTA(Y1011:AV1011)-1)="면제"),"면제",
IF(AND(V1011="면제",OFFSET(Y1011,0,COUNTA(Y1011:AV1011)-1)=0),"면제",
"확인요청"))))))</f>
        <v>면제</v>
      </c>
      <c r="Y1011" s="94" t="s">
        <v>7</v>
      </c>
      <c r="Z1011" s="95" t="s">
        <v>7</v>
      </c>
      <c r="AA1011" s="95" t="s">
        <v>7</v>
      </c>
      <c r="AB1011" s="95" t="s">
        <v>7</v>
      </c>
      <c r="AC1011" s="95" t="s">
        <v>7</v>
      </c>
      <c r="AD1011" s="95" t="s">
        <v>7</v>
      </c>
      <c r="AE1011" s="95" t="s">
        <v>7</v>
      </c>
      <c r="AF1011" s="95" t="s">
        <v>7</v>
      </c>
      <c r="AG1011" s="95" t="s">
        <v>7</v>
      </c>
      <c r="AH1011" s="95" t="s">
        <v>7</v>
      </c>
      <c r="AI1011" s="95" t="s">
        <v>7</v>
      </c>
      <c r="AJ1011" s="96" t="s">
        <v>7</v>
      </c>
      <c r="AK1011" s="97" t="s">
        <v>7</v>
      </c>
      <c r="AL1011" s="95" t="s">
        <v>7</v>
      </c>
      <c r="AM1011" s="90"/>
      <c r="AN1011" s="90"/>
      <c r="AO1011" s="90"/>
      <c r="AP1011" s="90"/>
      <c r="AQ1011" s="90"/>
      <c r="AR1011" s="90"/>
      <c r="AS1011" s="90"/>
      <c r="AT1011" s="90"/>
      <c r="AU1011" s="90"/>
      <c r="AV1011" s="91"/>
      <c r="AX1011" s="92"/>
    </row>
    <row r="1012" customFormat="false" ht="15.65" hidden="false" customHeight="false" outlineLevel="0" collapsed="false">
      <c r="C1012" s="72" t="n">
        <f aca="false">COUNTIFS($D$6:D1012,"&lt;&gt;"&amp;"")</f>
        <v>1007</v>
      </c>
      <c r="D1012" s="73" t="s">
        <v>12</v>
      </c>
      <c r="E1012" s="76" t="str">
        <f aca="false">
IF($D1012="정상",INDEX(임대자산!$D$3:$R$3000,MATCH($F1012,임대자산!$I$3:$I$3000,0),MATCH(E$3,임대자산!$D$3:$R$3,0)),
IF($D1012="폐업",INDEX(폐업정보!$D$3:$R$3000,MATCH($F1012,폐업정보!$I$3:$I$3000,0),MATCH(E$3,폐업정보!$D$3:$R$3,0)),
"Error"))</f>
        <v>서울</v>
      </c>
      <c r="F101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B1007</v>
      </c>
      <c r="G1012" s="76" t="str">
        <f aca="false">F1012&amp;RANDBETWEEN(0,10)</f>
        <v>B10073</v>
      </c>
      <c r="H1012" s="75" t="n">
        <f aca="false">
IF($D1012="정상",INDEX(임대자산!$D$3:$R$3000,MATCH($F1012,임대자산!$I$3:$I$3000,0),MATCH(H$4,임대자산!$D$3:$R$3,0)),
IF($D1012="폐업",INDEX(폐업정보!$D$3:$R$3000,MATCH($F1012,폐업정보!$I$3:$I$3000,0),MATCH(H$4,폐업정보!$D$3:$R$3,0)),
"Error"))</f>
        <v>45841</v>
      </c>
      <c r="I1012" s="75" t="str">
        <f aca="false">
IF($D1012="정상",INDEX(임대자산!$D$3:$R$3000,MATCH($F1012,임대자산!$I$3:$I$3000,0),MATCH(I$4,임대자산!$D$3:$R$3,0)),
IF($D1012="폐업",INDEX(폐업정보!$D$3:$R$3000,MATCH($F1012,폐업정보!$I$3:$I$3000,0),MATCH(I$4,폐업정보!$D$3:$R$3,0)),
"Error"))</f>
        <v>A1007</v>
      </c>
      <c r="J1012" s="75" t="str">
        <f aca="false">
IF($D1012="정상",INDEX(임대자산!$D$3:$R$3000,MATCH($F1012,임대자산!$I$3:$I$3000,0),MATCH(J$4,임대자산!$D$3:$R$3,0)),
IF($D1012="폐업",INDEX(폐업정보!$D$3:$R$3000,MATCH($F1012,폐업정보!$I$3:$I$3000,0),MATCH(J$4,폐업정보!$D$3:$R$3,0)),
"Error"))</f>
        <v>8591500000</v>
      </c>
      <c r="K1012" s="75" t="str">
        <f aca="false">
IF($D1012="정상",INDEX(임대자산!$D$3:$R$3000,MATCH($F1012,임대자산!$I$3:$I$3000,0),MATCH(K$4,임대자산!$D$3:$R$3,0)),
IF($D1012="폐업",INDEX(폐업정보!$D$3:$R$3000,MATCH($F1012,폐업정보!$I$3:$I$3000,0),MATCH(K$4,폐업정보!$D$3:$R$3,0)),
"Error"))</f>
        <v>C1007</v>
      </c>
      <c r="L1012" s="75" t="str">
        <f aca="false">
IF($D1012="정상",INDEX(임대자산!$D$3:$R$3000,MATCH($F1012,임대자산!$I$3:$I$3000,0),MATCH(L$4,임대자산!$D$3:$R$3,0)),
IF($D1012="폐업",INDEX(폐업정보!$D$3:$R$3000,MATCH($F1012,폐업정보!$I$3:$I$3000,0),MATCH(L$4,폐업정보!$D$3:$R$3,0)),
"Error"))</f>
        <v>D1007</v>
      </c>
      <c r="M1012" s="76" t="s">
        <v>96</v>
      </c>
      <c r="N1012" s="77"/>
      <c r="O1012" s="78" t="s">
        <v>97</v>
      </c>
      <c r="P1012" s="79" t="n">
        <f aca="false">COUNTIFS(임대자산!$I:$I,가맹점정보!F1012,임대자산!$N:$N,가맹점정보!P$4)</f>
        <v>0</v>
      </c>
      <c r="Q1012" s="80" t="n">
        <f aca="false">COUNTIFS(임대자산!$I:$I,가맹점정보!F1012,임대자산!$N:$N,가맹점정보!Q$4)</f>
        <v>0</v>
      </c>
      <c r="R1012" s="81" t="n">
        <f aca="false">COUNTIFS(임대자산!$I:$I,가맹점정보!F1012,임대자산!$N:$N,가맹점정보!R$4)</f>
        <v>1</v>
      </c>
      <c r="S1012" s="82" t="n">
        <v>88000</v>
      </c>
      <c r="T1012" s="83" t="n">
        <v>0</v>
      </c>
      <c r="U1012" s="80" t="n">
        <f aca="false">SUM(S1012:T1012)</f>
        <v>88000</v>
      </c>
      <c r="V1012" s="84" t="s">
        <v>7</v>
      </c>
      <c r="W1012" s="80" t="str">
        <f aca="true">
IF(D1012="폐업","폐업",
IF(V1012="면제","면제",
IF(AND(V1012="정상",COUNTIFS(OFFSET(Y1012,0,COUNTA(Y1012:AV1012)-1,1,-4),"미납")&gt;=3),"장기미납",
IF(AND(V1012="정상",OFFSET(Y1012,0,COUNTA(Y1012:AV1012)-1)&gt;=U1012),"정상",
IF(AND(V1012="정상",OFFSET(Y1012,0,COUNTA(Y1012:AV1012)-1)=0),"정상",
"계약서 미작성")))))</f>
        <v>면제</v>
      </c>
      <c r="X1012" s="81" t="str">
        <f aca="true">
IF(D1012="폐업","폐업",
IF(AND(V1012="정상",OFFSET(Y1012,0,COUNTA(Y1012:AV1012)-1)="미납"),"미납",
IF(AND(V1012="정상",OFFSET(Y1012,0,COUNTA(Y1012:AV1012)-1)=0),"납부 시작 전",
IF(AND(V1012="정상",OFFSET(Y1012,0,COUNTA(Y1012:AV1012)-1)&gt;=U1012),"정상",
IF(AND(V1012="면제",OFFSET(Y1012,0,COUNTA(Y1012:AV1012)-1)="면제"),"면제",
IF(AND(V1012="면제",OFFSET(Y1012,0,COUNTA(Y1012:AV1012)-1)=0),"면제",
"확인요청"))))))</f>
        <v>면제</v>
      </c>
      <c r="Y1012" s="94" t="s">
        <v>7</v>
      </c>
      <c r="Z1012" s="95" t="s">
        <v>7</v>
      </c>
      <c r="AA1012" s="95" t="s">
        <v>7</v>
      </c>
      <c r="AB1012" s="95" t="s">
        <v>7</v>
      </c>
      <c r="AC1012" s="95" t="s">
        <v>7</v>
      </c>
      <c r="AD1012" s="95" t="s">
        <v>7</v>
      </c>
      <c r="AE1012" s="95" t="s">
        <v>7</v>
      </c>
      <c r="AF1012" s="95" t="s">
        <v>7</v>
      </c>
      <c r="AG1012" s="95" t="s">
        <v>7</v>
      </c>
      <c r="AH1012" s="95" t="s">
        <v>7</v>
      </c>
      <c r="AI1012" s="95" t="s">
        <v>7</v>
      </c>
      <c r="AJ1012" s="96" t="s">
        <v>7</v>
      </c>
      <c r="AK1012" s="97" t="s">
        <v>7</v>
      </c>
      <c r="AL1012" s="95" t="s">
        <v>7</v>
      </c>
      <c r="AM1012" s="90"/>
      <c r="AN1012" s="90"/>
      <c r="AO1012" s="90"/>
      <c r="AP1012" s="90"/>
      <c r="AQ1012" s="90"/>
      <c r="AR1012" s="90"/>
      <c r="AS1012" s="90"/>
      <c r="AT1012" s="90"/>
      <c r="AU1012" s="90"/>
      <c r="AV1012" s="91"/>
      <c r="AX1012" s="92"/>
    </row>
    <row r="1013" customFormat="false" ht="15.65" hidden="false" customHeight="false" outlineLevel="0" collapsed="false">
      <c r="C1013" s="72" t="n">
        <f aca="false">COUNTIFS($D$6:D1013,"&lt;&gt;"&amp;"")</f>
        <v>1008</v>
      </c>
      <c r="D1013" s="73" t="s">
        <v>12</v>
      </c>
      <c r="E1013" s="76" t="str">
        <f aca="false">
IF($D1013="정상",INDEX(임대자산!$D$3:$R$3000,MATCH($F1013,임대자산!$I$3:$I$3000,0),MATCH(E$3,임대자산!$D$3:$R$3,0)),
IF($D1013="폐업",INDEX(폐업정보!$D$3:$R$3000,MATCH($F1013,폐업정보!$I$3:$I$3000,0),MATCH(E$3,폐업정보!$D$3:$R$3,0)),
"Error"))</f>
        <v>서울</v>
      </c>
      <c r="F101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B1008</v>
      </c>
      <c r="G1013" s="76" t="str">
        <f aca="false">F1013&amp;RANDBETWEEN(0,10)</f>
        <v>B10088</v>
      </c>
      <c r="H1013" s="75" t="n">
        <f aca="false">
IF($D1013="정상",INDEX(임대자산!$D$3:$R$3000,MATCH($F1013,임대자산!$I$3:$I$3000,0),MATCH(H$4,임대자산!$D$3:$R$3,0)),
IF($D1013="폐업",INDEX(폐업정보!$D$3:$R$3000,MATCH($F1013,폐업정보!$I$3:$I$3000,0),MATCH(H$4,폐업정보!$D$3:$R$3,0)),
"Error"))</f>
        <v>46043</v>
      </c>
      <c r="I1013" s="75" t="str">
        <f aca="false">
IF($D1013="정상",INDEX(임대자산!$D$3:$R$3000,MATCH($F1013,임대자산!$I$3:$I$3000,0),MATCH(I$4,임대자산!$D$3:$R$3,0)),
IF($D1013="폐업",INDEX(폐업정보!$D$3:$R$3000,MATCH($F1013,폐업정보!$I$3:$I$3000,0),MATCH(I$4,폐업정보!$D$3:$R$3,0)),
"Error"))</f>
        <v>A1008</v>
      </c>
      <c r="J1013" s="75" t="str">
        <f aca="false">
IF($D1013="정상",INDEX(임대자산!$D$3:$R$3000,MATCH($F1013,임대자산!$I$3:$I$3000,0),MATCH(J$4,임대자산!$D$3:$R$3,0)),
IF($D1013="폐업",INDEX(폐업정보!$D$3:$R$3000,MATCH($F1013,폐업정보!$I$3:$I$3000,0),MATCH(J$4,폐업정보!$D$3:$R$3,0)),
"Error"))</f>
        <v>4547800000</v>
      </c>
      <c r="K1013" s="75" t="str">
        <f aca="false">
IF($D1013="정상",INDEX(임대자산!$D$3:$R$3000,MATCH($F1013,임대자산!$I$3:$I$3000,0),MATCH(K$4,임대자산!$D$3:$R$3,0)),
IF($D1013="폐업",INDEX(폐업정보!$D$3:$R$3000,MATCH($F1013,폐업정보!$I$3:$I$3000,0),MATCH(K$4,폐업정보!$D$3:$R$3,0)),
"Error"))</f>
        <v>C1008</v>
      </c>
      <c r="L1013" s="75" t="str">
        <f aca="false">
IF($D1013="정상",INDEX(임대자산!$D$3:$R$3000,MATCH($F1013,임대자산!$I$3:$I$3000,0),MATCH(L$4,임대자산!$D$3:$R$3,0)),
IF($D1013="폐업",INDEX(폐업정보!$D$3:$R$3000,MATCH($F1013,폐업정보!$I$3:$I$3000,0),MATCH(L$4,폐업정보!$D$3:$R$3,0)),
"Error"))</f>
        <v>D1008</v>
      </c>
      <c r="M1013" s="76" t="s">
        <v>96</v>
      </c>
      <c r="N1013" s="77"/>
      <c r="O1013" s="78" t="s">
        <v>97</v>
      </c>
      <c r="P1013" s="79" t="n">
        <f aca="false">COUNTIFS(임대자산!$I:$I,가맹점정보!F1013,임대자산!$N:$N,가맹점정보!P$4)</f>
        <v>0</v>
      </c>
      <c r="Q1013" s="80" t="n">
        <f aca="false">COUNTIFS(임대자산!$I:$I,가맹점정보!F1013,임대자산!$N:$N,가맹점정보!Q$4)</f>
        <v>0</v>
      </c>
      <c r="R1013" s="81" t="n">
        <f aca="false">COUNTIFS(임대자산!$I:$I,가맹점정보!F1013,임대자산!$N:$N,가맹점정보!R$4)</f>
        <v>1</v>
      </c>
      <c r="S1013" s="82" t="n">
        <v>88000</v>
      </c>
      <c r="T1013" s="83" t="n">
        <v>0</v>
      </c>
      <c r="U1013" s="80" t="n">
        <f aca="false">SUM(S1013:T1013)</f>
        <v>88000</v>
      </c>
      <c r="V1013" s="84" t="s">
        <v>7</v>
      </c>
      <c r="W1013" s="80" t="str">
        <f aca="true">
IF(D1013="폐업","폐업",
IF(V1013="면제","면제",
IF(AND(V1013="정상",COUNTIFS(OFFSET(Y1013,0,COUNTA(Y1013:AV1013)-1,1,-4),"미납")&gt;=3),"장기미납",
IF(AND(V1013="정상",OFFSET(Y1013,0,COUNTA(Y1013:AV1013)-1)&gt;=U1013),"정상",
IF(AND(V1013="정상",OFFSET(Y1013,0,COUNTA(Y1013:AV1013)-1)=0),"정상",
"계약서 미작성")))))</f>
        <v>면제</v>
      </c>
      <c r="X1013" s="81" t="str">
        <f aca="true">
IF(D1013="폐업","폐업",
IF(AND(V1013="정상",OFFSET(Y1013,0,COUNTA(Y1013:AV1013)-1)="미납"),"미납",
IF(AND(V1013="정상",OFFSET(Y1013,0,COUNTA(Y1013:AV1013)-1)=0),"납부 시작 전",
IF(AND(V1013="정상",OFFSET(Y1013,0,COUNTA(Y1013:AV1013)-1)&gt;=U1013),"정상",
IF(AND(V1013="면제",OFFSET(Y1013,0,COUNTA(Y1013:AV1013)-1)="면제"),"면제",
IF(AND(V1013="면제",OFFSET(Y1013,0,COUNTA(Y1013:AV1013)-1)=0),"면제",
"확인요청"))))))</f>
        <v>면제</v>
      </c>
      <c r="Y1013" s="94" t="s">
        <v>7</v>
      </c>
      <c r="Z1013" s="95" t="s">
        <v>7</v>
      </c>
      <c r="AA1013" s="95" t="s">
        <v>7</v>
      </c>
      <c r="AB1013" s="95" t="s">
        <v>7</v>
      </c>
      <c r="AC1013" s="95" t="s">
        <v>7</v>
      </c>
      <c r="AD1013" s="95" t="s">
        <v>7</v>
      </c>
      <c r="AE1013" s="95" t="s">
        <v>7</v>
      </c>
      <c r="AF1013" s="95" t="s">
        <v>7</v>
      </c>
      <c r="AG1013" s="95" t="s">
        <v>7</v>
      </c>
      <c r="AH1013" s="95" t="s">
        <v>7</v>
      </c>
      <c r="AI1013" s="95" t="s">
        <v>7</v>
      </c>
      <c r="AJ1013" s="96" t="s">
        <v>7</v>
      </c>
      <c r="AK1013" s="97" t="s">
        <v>7</v>
      </c>
      <c r="AL1013" s="95" t="s">
        <v>7</v>
      </c>
      <c r="AM1013" s="90"/>
      <c r="AN1013" s="90"/>
      <c r="AO1013" s="90"/>
      <c r="AP1013" s="90"/>
      <c r="AQ1013" s="90"/>
      <c r="AR1013" s="90"/>
      <c r="AS1013" s="90"/>
      <c r="AT1013" s="90"/>
      <c r="AU1013" s="90"/>
      <c r="AV1013" s="91"/>
      <c r="AX1013" s="92"/>
    </row>
    <row r="1014" customFormat="false" ht="15.65" hidden="false" customHeight="false" outlineLevel="0" collapsed="false">
      <c r="C1014" s="72" t="n">
        <f aca="false">COUNTIFS($D$6:D1014,"&lt;&gt;"&amp;"")</f>
        <v>1009</v>
      </c>
      <c r="D1014" s="73" t="s">
        <v>12</v>
      </c>
      <c r="E1014" s="76" t="str">
        <f aca="false">
IF($D1014="정상",INDEX(임대자산!$D$3:$R$3000,MATCH($F1014,임대자산!$I$3:$I$3000,0),MATCH(E$3,임대자산!$D$3:$R$3,0)),
IF($D1014="폐업",INDEX(폐업정보!$D$3:$R$3000,MATCH($F1014,폐업정보!$I$3:$I$3000,0),MATCH(E$3,폐업정보!$D$3:$R$3,0)),
"Error"))</f>
        <v>서울</v>
      </c>
      <c r="F101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B1009</v>
      </c>
      <c r="G1014" s="76" t="str">
        <f aca="false">F1014&amp;RANDBETWEEN(0,10)</f>
        <v>B10095</v>
      </c>
      <c r="H1014" s="75" t="n">
        <f aca="false">
IF($D1014="정상",INDEX(임대자산!$D$3:$R$3000,MATCH($F1014,임대자산!$I$3:$I$3000,0),MATCH(H$4,임대자산!$D$3:$R$3,0)),
IF($D1014="폐업",INDEX(폐업정보!$D$3:$R$3000,MATCH($F1014,폐업정보!$I$3:$I$3000,0),MATCH(H$4,폐업정보!$D$3:$R$3,0)),
"Error"))</f>
        <v>44874</v>
      </c>
      <c r="I1014" s="75" t="str">
        <f aca="false">
IF($D1014="정상",INDEX(임대자산!$D$3:$R$3000,MATCH($F1014,임대자산!$I$3:$I$3000,0),MATCH(I$4,임대자산!$D$3:$R$3,0)),
IF($D1014="폐업",INDEX(폐업정보!$D$3:$R$3000,MATCH($F1014,폐업정보!$I$3:$I$3000,0),MATCH(I$4,폐업정보!$D$3:$R$3,0)),
"Error"))</f>
        <v>A1009</v>
      </c>
      <c r="J1014" s="75" t="str">
        <f aca="false">
IF($D1014="정상",INDEX(임대자산!$D$3:$R$3000,MATCH($F1014,임대자산!$I$3:$I$3000,0),MATCH(J$4,임대자산!$D$3:$R$3,0)),
IF($D1014="폐업",INDEX(폐업정보!$D$3:$R$3000,MATCH($F1014,폐업정보!$I$3:$I$3000,0),MATCH(J$4,폐업정보!$D$3:$R$3,0)),
"Error"))</f>
        <v>1641400000</v>
      </c>
      <c r="K1014" s="75" t="str">
        <f aca="false">
IF($D1014="정상",INDEX(임대자산!$D$3:$R$3000,MATCH($F1014,임대자산!$I$3:$I$3000,0),MATCH(K$4,임대자산!$D$3:$R$3,0)),
IF($D1014="폐업",INDEX(폐업정보!$D$3:$R$3000,MATCH($F1014,폐업정보!$I$3:$I$3000,0),MATCH(K$4,폐업정보!$D$3:$R$3,0)),
"Error"))</f>
        <v>C1009</v>
      </c>
      <c r="L1014" s="75" t="str">
        <f aca="false">
IF($D1014="정상",INDEX(임대자산!$D$3:$R$3000,MATCH($F1014,임대자산!$I$3:$I$3000,0),MATCH(L$4,임대자산!$D$3:$R$3,0)),
IF($D1014="폐업",INDEX(폐업정보!$D$3:$R$3000,MATCH($F1014,폐업정보!$I$3:$I$3000,0),MATCH(L$4,폐업정보!$D$3:$R$3,0)),
"Error"))</f>
        <v>D1009</v>
      </c>
      <c r="M1014" s="76" t="s">
        <v>96</v>
      </c>
      <c r="N1014" s="77"/>
      <c r="O1014" s="78" t="s">
        <v>97</v>
      </c>
      <c r="P1014" s="79" t="n">
        <f aca="false">COUNTIFS(임대자산!$I:$I,가맹점정보!F1014,임대자산!$N:$N,가맹점정보!P$4)</f>
        <v>0</v>
      </c>
      <c r="Q1014" s="80" t="n">
        <f aca="false">COUNTIFS(임대자산!$I:$I,가맹점정보!F1014,임대자산!$N:$N,가맹점정보!Q$4)</f>
        <v>0</v>
      </c>
      <c r="R1014" s="81" t="n">
        <f aca="false">COUNTIFS(임대자산!$I:$I,가맹점정보!F1014,임대자산!$N:$N,가맹점정보!R$4)</f>
        <v>1</v>
      </c>
      <c r="S1014" s="82" t="n">
        <v>88000</v>
      </c>
      <c r="T1014" s="83" t="n">
        <v>0</v>
      </c>
      <c r="U1014" s="80" t="n">
        <f aca="false">SUM(S1014:T1014)</f>
        <v>88000</v>
      </c>
      <c r="V1014" s="84" t="s">
        <v>7</v>
      </c>
      <c r="W1014" s="80" t="str">
        <f aca="true">
IF(D1014="폐업","폐업",
IF(V1014="면제","면제",
IF(AND(V1014="정상",COUNTIFS(OFFSET(Y1014,0,COUNTA(Y1014:AV1014)-1,1,-4),"미납")&gt;=3),"장기미납",
IF(AND(V1014="정상",OFFSET(Y1014,0,COUNTA(Y1014:AV1014)-1)&gt;=U1014),"정상",
IF(AND(V1014="정상",OFFSET(Y1014,0,COUNTA(Y1014:AV1014)-1)=0),"정상",
"계약서 미작성")))))</f>
        <v>면제</v>
      </c>
      <c r="X1014" s="81" t="str">
        <f aca="true">
IF(D1014="폐업","폐업",
IF(AND(V1014="정상",OFFSET(Y1014,0,COUNTA(Y1014:AV1014)-1)="미납"),"미납",
IF(AND(V1014="정상",OFFSET(Y1014,0,COUNTA(Y1014:AV1014)-1)=0),"납부 시작 전",
IF(AND(V1014="정상",OFFSET(Y1014,0,COUNTA(Y1014:AV1014)-1)&gt;=U1014),"정상",
IF(AND(V1014="면제",OFFSET(Y1014,0,COUNTA(Y1014:AV1014)-1)="면제"),"면제",
IF(AND(V1014="면제",OFFSET(Y1014,0,COUNTA(Y1014:AV1014)-1)=0),"면제",
"확인요청"))))))</f>
        <v>면제</v>
      </c>
      <c r="Y1014" s="94" t="s">
        <v>7</v>
      </c>
      <c r="Z1014" s="95" t="s">
        <v>7</v>
      </c>
      <c r="AA1014" s="95" t="s">
        <v>7</v>
      </c>
      <c r="AB1014" s="95" t="s">
        <v>7</v>
      </c>
      <c r="AC1014" s="95" t="s">
        <v>7</v>
      </c>
      <c r="AD1014" s="95" t="s">
        <v>7</v>
      </c>
      <c r="AE1014" s="95" t="s">
        <v>7</v>
      </c>
      <c r="AF1014" s="95" t="s">
        <v>7</v>
      </c>
      <c r="AG1014" s="95" t="s">
        <v>7</v>
      </c>
      <c r="AH1014" s="95" t="s">
        <v>7</v>
      </c>
      <c r="AI1014" s="95" t="s">
        <v>7</v>
      </c>
      <c r="AJ1014" s="96" t="s">
        <v>7</v>
      </c>
      <c r="AK1014" s="97" t="s">
        <v>7</v>
      </c>
      <c r="AL1014" s="95" t="s">
        <v>7</v>
      </c>
      <c r="AM1014" s="90"/>
      <c r="AN1014" s="90"/>
      <c r="AO1014" s="90"/>
      <c r="AP1014" s="90"/>
      <c r="AQ1014" s="90"/>
      <c r="AR1014" s="90"/>
      <c r="AS1014" s="90"/>
      <c r="AT1014" s="90"/>
      <c r="AU1014" s="90"/>
      <c r="AV1014" s="91"/>
      <c r="AX1014" s="92"/>
    </row>
    <row r="1015" customFormat="false" ht="15.65" hidden="false" customHeight="false" outlineLevel="0" collapsed="false">
      <c r="C1015" s="72" t="n">
        <f aca="false">COUNTIFS($D$6:D1015,"&lt;&gt;"&amp;"")</f>
        <v>1010</v>
      </c>
      <c r="D1015" s="73" t="s">
        <v>12</v>
      </c>
      <c r="E1015" s="76" t="str">
        <f aca="false">
IF($D1015="정상",INDEX(임대자산!$D$3:$R$3000,MATCH($F1015,임대자산!$I$3:$I$3000,0),MATCH(E$3,임대자산!$D$3:$R$3,0)),
IF($D1015="폐업",INDEX(폐업정보!$D$3:$R$3000,MATCH($F1015,폐업정보!$I$3:$I$3000,0),MATCH(E$3,폐업정보!$D$3:$R$3,0)),
"Error"))</f>
        <v>서울</v>
      </c>
      <c r="F101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B1010</v>
      </c>
      <c r="G1015" s="76" t="str">
        <f aca="false">F1015&amp;RANDBETWEEN(0,10)</f>
        <v>B10101</v>
      </c>
      <c r="H1015" s="75" t="n">
        <f aca="false">
IF($D1015="정상",INDEX(임대자산!$D$3:$R$3000,MATCH($F1015,임대자산!$I$3:$I$3000,0),MATCH(H$4,임대자산!$D$3:$R$3,0)),
IF($D1015="폐업",INDEX(폐업정보!$D$3:$R$3000,MATCH($F1015,폐업정보!$I$3:$I$3000,0),MATCH(H$4,폐업정보!$D$3:$R$3,0)),
"Error"))</f>
        <v>44907</v>
      </c>
      <c r="I1015" s="75" t="str">
        <f aca="false">
IF($D1015="정상",INDEX(임대자산!$D$3:$R$3000,MATCH($F1015,임대자산!$I$3:$I$3000,0),MATCH(I$4,임대자산!$D$3:$R$3,0)),
IF($D1015="폐업",INDEX(폐업정보!$D$3:$R$3000,MATCH($F1015,폐업정보!$I$3:$I$3000,0),MATCH(I$4,폐업정보!$D$3:$R$3,0)),
"Error"))</f>
        <v>A1010</v>
      </c>
      <c r="J1015" s="75" t="str">
        <f aca="false">
IF($D1015="정상",INDEX(임대자산!$D$3:$R$3000,MATCH($F1015,임대자산!$I$3:$I$3000,0),MATCH(J$4,임대자산!$D$3:$R$3,0)),
IF($D1015="폐업",INDEX(폐업정보!$D$3:$R$3000,MATCH($F1015,폐업정보!$I$3:$I$3000,0),MATCH(J$4,폐업정보!$D$3:$R$3,0)),
"Error"))</f>
        <v>9772000000</v>
      </c>
      <c r="K1015" s="75" t="str">
        <f aca="false">
IF($D1015="정상",INDEX(임대자산!$D$3:$R$3000,MATCH($F1015,임대자산!$I$3:$I$3000,0),MATCH(K$4,임대자산!$D$3:$R$3,0)),
IF($D1015="폐업",INDEX(폐업정보!$D$3:$R$3000,MATCH($F1015,폐업정보!$I$3:$I$3000,0),MATCH(K$4,폐업정보!$D$3:$R$3,0)),
"Error"))</f>
        <v>C1010</v>
      </c>
      <c r="L1015" s="75" t="str">
        <f aca="false">
IF($D1015="정상",INDEX(임대자산!$D$3:$R$3000,MATCH($F1015,임대자산!$I$3:$I$3000,0),MATCH(L$4,임대자산!$D$3:$R$3,0)),
IF($D1015="폐업",INDEX(폐업정보!$D$3:$R$3000,MATCH($F1015,폐업정보!$I$3:$I$3000,0),MATCH(L$4,폐업정보!$D$3:$R$3,0)),
"Error"))</f>
        <v>D1010</v>
      </c>
      <c r="M1015" s="76" t="s">
        <v>96</v>
      </c>
      <c r="N1015" s="77"/>
      <c r="O1015" s="78" t="s">
        <v>97</v>
      </c>
      <c r="P1015" s="79" t="n">
        <f aca="false">COUNTIFS(임대자산!$I:$I,가맹점정보!F1015,임대자산!$N:$N,가맹점정보!P$4)</f>
        <v>0</v>
      </c>
      <c r="Q1015" s="80" t="n">
        <f aca="false">COUNTIFS(임대자산!$I:$I,가맹점정보!F1015,임대자산!$N:$N,가맹점정보!Q$4)</f>
        <v>0</v>
      </c>
      <c r="R1015" s="81" t="n">
        <f aca="false">COUNTIFS(임대자산!$I:$I,가맹점정보!F1015,임대자산!$N:$N,가맹점정보!R$4)</f>
        <v>1</v>
      </c>
      <c r="S1015" s="82" t="n">
        <v>88000</v>
      </c>
      <c r="T1015" s="83" t="n">
        <v>0</v>
      </c>
      <c r="U1015" s="80" t="n">
        <f aca="false">SUM(S1015:T1015)</f>
        <v>88000</v>
      </c>
      <c r="V1015" s="84" t="s">
        <v>7</v>
      </c>
      <c r="W1015" s="80" t="str">
        <f aca="true">
IF(D1015="폐업","폐업",
IF(V1015="면제","면제",
IF(AND(V1015="정상",COUNTIFS(OFFSET(Y1015,0,COUNTA(Y1015:AV1015)-1,1,-4),"미납")&gt;=3),"장기미납",
IF(AND(V1015="정상",OFFSET(Y1015,0,COUNTA(Y1015:AV1015)-1)&gt;=U1015),"정상",
IF(AND(V1015="정상",OFFSET(Y1015,0,COUNTA(Y1015:AV1015)-1)=0),"정상",
"계약서 미작성")))))</f>
        <v>면제</v>
      </c>
      <c r="X1015" s="81" t="str">
        <f aca="true">
IF(D1015="폐업","폐업",
IF(AND(V1015="정상",OFFSET(Y1015,0,COUNTA(Y1015:AV1015)-1)="미납"),"미납",
IF(AND(V1015="정상",OFFSET(Y1015,0,COUNTA(Y1015:AV1015)-1)=0),"납부 시작 전",
IF(AND(V1015="정상",OFFSET(Y1015,0,COUNTA(Y1015:AV1015)-1)&gt;=U1015),"정상",
IF(AND(V1015="면제",OFFSET(Y1015,0,COUNTA(Y1015:AV1015)-1)="면제"),"면제",
IF(AND(V1015="면제",OFFSET(Y1015,0,COUNTA(Y1015:AV1015)-1)=0),"면제",
"확인요청"))))))</f>
        <v>면제</v>
      </c>
      <c r="Y1015" s="94" t="s">
        <v>7</v>
      </c>
      <c r="Z1015" s="95" t="s">
        <v>7</v>
      </c>
      <c r="AA1015" s="95" t="s">
        <v>7</v>
      </c>
      <c r="AB1015" s="95" t="s">
        <v>7</v>
      </c>
      <c r="AC1015" s="95" t="s">
        <v>7</v>
      </c>
      <c r="AD1015" s="95" t="s">
        <v>7</v>
      </c>
      <c r="AE1015" s="95" t="s">
        <v>7</v>
      </c>
      <c r="AF1015" s="95" t="s">
        <v>7</v>
      </c>
      <c r="AG1015" s="95" t="s">
        <v>7</v>
      </c>
      <c r="AH1015" s="95" t="s">
        <v>7</v>
      </c>
      <c r="AI1015" s="95" t="s">
        <v>7</v>
      </c>
      <c r="AJ1015" s="96" t="s">
        <v>7</v>
      </c>
      <c r="AK1015" s="97" t="s">
        <v>7</v>
      </c>
      <c r="AL1015" s="95" t="s">
        <v>7</v>
      </c>
      <c r="AM1015" s="90"/>
      <c r="AN1015" s="90"/>
      <c r="AO1015" s="90"/>
      <c r="AP1015" s="90"/>
      <c r="AQ1015" s="90"/>
      <c r="AR1015" s="90"/>
      <c r="AS1015" s="90"/>
      <c r="AT1015" s="90"/>
      <c r="AU1015" s="90"/>
      <c r="AV1015" s="91"/>
      <c r="AX1015" s="92"/>
    </row>
    <row r="1016" customFormat="false" ht="15.65" hidden="false" customHeight="false" outlineLevel="0" collapsed="false">
      <c r="C1016" s="72" t="n">
        <f aca="false">COUNTIFS($D$6:D1016,"&lt;&gt;"&amp;"")</f>
        <v>1011</v>
      </c>
      <c r="D1016" s="73" t="s">
        <v>12</v>
      </c>
      <c r="E1016" s="76" t="str">
        <f aca="false">
IF($D1016="정상",INDEX(임대자산!$D$3:$R$3000,MATCH($F1016,임대자산!$I$3:$I$3000,0),MATCH(E$3,임대자산!$D$3:$R$3,0)),
IF($D1016="폐업",INDEX(폐업정보!$D$3:$R$3000,MATCH($F1016,폐업정보!$I$3:$I$3000,0),MATCH(E$3,폐업정보!$D$3:$R$3,0)),
"Error"))</f>
        <v>서울</v>
      </c>
      <c r="F101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B1011</v>
      </c>
      <c r="G1016" s="76" t="str">
        <f aca="false">F1016&amp;RANDBETWEEN(0,10)</f>
        <v>B10119</v>
      </c>
      <c r="H1016" s="75" t="n">
        <f aca="false">
IF($D1016="정상",INDEX(임대자산!$D$3:$R$3000,MATCH($F1016,임대자산!$I$3:$I$3000,0),MATCH(H$4,임대자산!$D$3:$R$3,0)),
IF($D1016="폐업",INDEX(폐업정보!$D$3:$R$3000,MATCH($F1016,폐업정보!$I$3:$I$3000,0),MATCH(H$4,폐업정보!$D$3:$R$3,0)),
"Error"))</f>
        <v>44896</v>
      </c>
      <c r="I1016" s="75" t="str">
        <f aca="false">
IF($D1016="정상",INDEX(임대자산!$D$3:$R$3000,MATCH($F1016,임대자산!$I$3:$I$3000,0),MATCH(I$4,임대자산!$D$3:$R$3,0)),
IF($D1016="폐업",INDEX(폐업정보!$D$3:$R$3000,MATCH($F1016,폐업정보!$I$3:$I$3000,0),MATCH(I$4,폐업정보!$D$3:$R$3,0)),
"Error"))</f>
        <v>A1011</v>
      </c>
      <c r="J1016" s="75" t="str">
        <f aca="false">
IF($D1016="정상",INDEX(임대자산!$D$3:$R$3000,MATCH($F1016,임대자산!$I$3:$I$3000,0),MATCH(J$4,임대자산!$D$3:$R$3,0)),
IF($D1016="폐업",INDEX(폐업정보!$D$3:$R$3000,MATCH($F1016,폐업정보!$I$3:$I$3000,0),MATCH(J$4,폐업정보!$D$3:$R$3,0)),
"Error"))</f>
        <v>9096300000</v>
      </c>
      <c r="K1016" s="75" t="str">
        <f aca="false">
IF($D1016="정상",INDEX(임대자산!$D$3:$R$3000,MATCH($F1016,임대자산!$I$3:$I$3000,0),MATCH(K$4,임대자산!$D$3:$R$3,0)),
IF($D1016="폐업",INDEX(폐업정보!$D$3:$R$3000,MATCH($F1016,폐업정보!$I$3:$I$3000,0),MATCH(K$4,폐업정보!$D$3:$R$3,0)),
"Error"))</f>
        <v>C1011</v>
      </c>
      <c r="L1016" s="75" t="str">
        <f aca="false">
IF($D1016="정상",INDEX(임대자산!$D$3:$R$3000,MATCH($F1016,임대자산!$I$3:$I$3000,0),MATCH(L$4,임대자산!$D$3:$R$3,0)),
IF($D1016="폐업",INDEX(폐업정보!$D$3:$R$3000,MATCH($F1016,폐업정보!$I$3:$I$3000,0),MATCH(L$4,폐업정보!$D$3:$R$3,0)),
"Error"))</f>
        <v>D1011</v>
      </c>
      <c r="M1016" s="76" t="s">
        <v>96</v>
      </c>
      <c r="N1016" s="77"/>
      <c r="O1016" s="78" t="s">
        <v>97</v>
      </c>
      <c r="P1016" s="79" t="n">
        <f aca="false">COUNTIFS(임대자산!$I:$I,가맹점정보!F1016,임대자산!$N:$N,가맹점정보!P$4)</f>
        <v>0</v>
      </c>
      <c r="Q1016" s="80" t="n">
        <f aca="false">COUNTIFS(임대자산!$I:$I,가맹점정보!F1016,임대자산!$N:$N,가맹점정보!Q$4)</f>
        <v>0</v>
      </c>
      <c r="R1016" s="81" t="n">
        <f aca="false">COUNTIFS(임대자산!$I:$I,가맹점정보!F1016,임대자산!$N:$N,가맹점정보!R$4)</f>
        <v>1</v>
      </c>
      <c r="S1016" s="82" t="n">
        <v>88000</v>
      </c>
      <c r="T1016" s="83" t="n">
        <v>0</v>
      </c>
      <c r="U1016" s="80" t="n">
        <f aca="false">SUM(S1016:T1016)</f>
        <v>88000</v>
      </c>
      <c r="V1016" s="84" t="s">
        <v>12</v>
      </c>
      <c r="W1016" s="80" t="e">
        <f aca="true">
IF(D1016="폐업","폐업",
IF(V1016="면제","면제",
IF(AND(V1016="정상",COUNTIFS(OFFSET(Y1016,0,COUNTA(Y1016:AV1016)-1,1,-4),"미납")&gt;=3),"장기미납",
IF(AND(V1016="정상",OFFSET(Y1016,0,COUNTA(Y1016:AV1016)-1)&gt;=U1016),"정상",
IF(AND(V1016="정상",OFFSET(Y1016,0,COUNTA(Y1016:AV1016)-1)=0),"정상",
"계약서 미작성")))))</f>
        <v>#VALUE!</v>
      </c>
      <c r="X1016" s="81" t="str">
        <f aca="true">
IF(D1016="폐업","폐업",
IF(AND(V1016="정상",OFFSET(Y1016,0,COUNTA(Y1016:AV1016)-1)="미납"),"미납",
IF(AND(V1016="정상",OFFSET(Y1016,0,COUNTA(Y1016:AV1016)-1)=0),"납부 시작 전",
IF(AND(V1016="정상",OFFSET(Y1016,0,COUNTA(Y1016:AV1016)-1)&gt;=U1016),"정상",
IF(AND(V1016="면제",OFFSET(Y1016,0,COUNTA(Y1016:AV1016)-1)="면제"),"면제",
IF(AND(V1016="면제",OFFSET(Y1016,0,COUNTA(Y1016:AV1016)-1)=0),"면제",
"확인요청"))))))</f>
        <v>정상</v>
      </c>
      <c r="Y1016" s="93" t="n">
        <v>88000</v>
      </c>
      <c r="Z1016" s="90" t="n">
        <v>88000</v>
      </c>
      <c r="AA1016" s="90" t="n">
        <v>88000</v>
      </c>
      <c r="AB1016" s="90" t="n">
        <v>88000</v>
      </c>
      <c r="AC1016" s="90" t="n">
        <v>88000</v>
      </c>
      <c r="AD1016" s="90" t="n">
        <v>88000</v>
      </c>
      <c r="AE1016" s="90" t="n">
        <v>88000</v>
      </c>
      <c r="AF1016" s="90" t="n">
        <v>88000</v>
      </c>
      <c r="AG1016" s="90" t="n">
        <v>88000</v>
      </c>
      <c r="AH1016" s="90" t="n">
        <v>88000</v>
      </c>
      <c r="AI1016" s="90" t="n">
        <v>88000</v>
      </c>
      <c r="AJ1016" s="91" t="n">
        <v>88000</v>
      </c>
      <c r="AK1016" s="89" t="n">
        <v>88000</v>
      </c>
      <c r="AL1016" s="90" t="n">
        <v>88000</v>
      </c>
      <c r="AM1016" s="90"/>
      <c r="AN1016" s="90"/>
      <c r="AO1016" s="90"/>
      <c r="AP1016" s="90"/>
      <c r="AQ1016" s="90"/>
      <c r="AR1016" s="90"/>
      <c r="AS1016" s="90"/>
      <c r="AT1016" s="90"/>
      <c r="AU1016" s="90"/>
      <c r="AV1016" s="91"/>
      <c r="AX1016" s="92"/>
    </row>
    <row r="1017" customFormat="false" ht="15.65" hidden="false" customHeight="false" outlineLevel="0" collapsed="false">
      <c r="C1017" s="72" t="n">
        <f aca="false">COUNTIFS($D$6:D1017,"&lt;&gt;"&amp;"")</f>
        <v>1012</v>
      </c>
      <c r="D1017" s="73" t="s">
        <v>12</v>
      </c>
      <c r="E1017" s="76" t="str">
        <f aca="false">
IF($D1017="정상",INDEX(임대자산!$D$3:$R$3000,MATCH($F1017,임대자산!$I$3:$I$3000,0),MATCH(E$3,임대자산!$D$3:$R$3,0)),
IF($D1017="폐업",INDEX(폐업정보!$D$3:$R$3000,MATCH($F1017,폐업정보!$I$3:$I$3000,0),MATCH(E$3,폐업정보!$D$3:$R$3,0)),
"Error"))</f>
        <v>서울</v>
      </c>
      <c r="F101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B1012</v>
      </c>
      <c r="G1017" s="76" t="str">
        <f aca="false">F1017&amp;RANDBETWEEN(0,10)</f>
        <v>B10125</v>
      </c>
      <c r="H1017" s="75" t="n">
        <f aca="false">
IF($D1017="정상",INDEX(임대자산!$D$3:$R$3000,MATCH($F1017,임대자산!$I$3:$I$3000,0),MATCH(H$4,임대자산!$D$3:$R$3,0)),
IF($D1017="폐업",INDEX(폐업정보!$D$3:$R$3000,MATCH($F1017,폐업정보!$I$3:$I$3000,0),MATCH(H$4,폐업정보!$D$3:$R$3,0)),
"Error"))</f>
        <v>45399</v>
      </c>
      <c r="I1017" s="75" t="str">
        <f aca="false">
IF($D1017="정상",INDEX(임대자산!$D$3:$R$3000,MATCH($F1017,임대자산!$I$3:$I$3000,0),MATCH(I$4,임대자산!$D$3:$R$3,0)),
IF($D1017="폐업",INDEX(폐업정보!$D$3:$R$3000,MATCH($F1017,폐업정보!$I$3:$I$3000,0),MATCH(I$4,폐업정보!$D$3:$R$3,0)),
"Error"))</f>
        <v>A1012</v>
      </c>
      <c r="J1017" s="75" t="str">
        <f aca="false">
IF($D1017="정상",INDEX(임대자산!$D$3:$R$3000,MATCH($F1017,임대자산!$I$3:$I$3000,0),MATCH(J$4,임대자산!$D$3:$R$3,0)),
IF($D1017="폐업",INDEX(폐업정보!$D$3:$R$3000,MATCH($F1017,폐업정보!$I$3:$I$3000,0),MATCH(J$4,폐업정보!$D$3:$R$3,0)),
"Error"))</f>
        <v>2016800000</v>
      </c>
      <c r="K1017" s="75" t="str">
        <f aca="false">
IF($D1017="정상",INDEX(임대자산!$D$3:$R$3000,MATCH($F1017,임대자산!$I$3:$I$3000,0),MATCH(K$4,임대자산!$D$3:$R$3,0)),
IF($D1017="폐업",INDEX(폐업정보!$D$3:$R$3000,MATCH($F1017,폐업정보!$I$3:$I$3000,0),MATCH(K$4,폐업정보!$D$3:$R$3,0)),
"Error"))</f>
        <v>C1012</v>
      </c>
      <c r="L1017" s="75" t="str">
        <f aca="false">
IF($D1017="정상",INDEX(임대자산!$D$3:$R$3000,MATCH($F1017,임대자산!$I$3:$I$3000,0),MATCH(L$4,임대자산!$D$3:$R$3,0)),
IF($D1017="폐업",INDEX(폐업정보!$D$3:$R$3000,MATCH($F1017,폐업정보!$I$3:$I$3000,0),MATCH(L$4,폐업정보!$D$3:$R$3,0)),
"Error"))</f>
        <v>D1012</v>
      </c>
      <c r="M1017" s="76" t="s">
        <v>96</v>
      </c>
      <c r="N1017" s="77"/>
      <c r="O1017" s="78" t="s">
        <v>97</v>
      </c>
      <c r="P1017" s="79" t="n">
        <f aca="false">COUNTIFS(임대자산!$I:$I,가맹점정보!F1017,임대자산!$N:$N,가맹점정보!P$4)</f>
        <v>0</v>
      </c>
      <c r="Q1017" s="80" t="n">
        <f aca="false">COUNTIFS(임대자산!$I:$I,가맹점정보!F1017,임대자산!$N:$N,가맹점정보!Q$4)</f>
        <v>0</v>
      </c>
      <c r="R1017" s="81" t="n">
        <f aca="false">COUNTIFS(임대자산!$I:$I,가맹점정보!F1017,임대자산!$N:$N,가맹점정보!R$4)</f>
        <v>1</v>
      </c>
      <c r="S1017" s="82" t="n">
        <v>55000</v>
      </c>
      <c r="T1017" s="83" t="n">
        <v>0</v>
      </c>
      <c r="U1017" s="80" t="n">
        <f aca="false">SUM(S1017:T1017)</f>
        <v>55000</v>
      </c>
      <c r="V1017" s="84" t="s">
        <v>12</v>
      </c>
      <c r="W1017" s="80" t="e">
        <f aca="true">
IF(D1017="폐업","폐업",
IF(V1017="면제","면제",
IF(AND(V1017="정상",COUNTIFS(OFFSET(Y1017,0,COUNTA(Y1017:AV1017)-1,1,-4),"미납")&gt;=3),"장기미납",
IF(AND(V1017="정상",OFFSET(Y1017,0,COUNTA(Y1017:AV1017)-1)&gt;=U1017),"정상",
IF(AND(V1017="정상",OFFSET(Y1017,0,COUNTA(Y1017:AV1017)-1)=0),"정상",
"계약서 미작성")))))</f>
        <v>#VALUE!</v>
      </c>
      <c r="X1017" s="81" t="str">
        <f aca="true">
IF(D1017="폐업","폐업",
IF(AND(V1017="정상",OFFSET(Y1017,0,COUNTA(Y1017:AV1017)-1)="미납"),"미납",
IF(AND(V1017="정상",OFFSET(Y1017,0,COUNTA(Y1017:AV1017)-1)=0),"납부 시작 전",
IF(AND(V1017="정상",OFFSET(Y1017,0,COUNTA(Y1017:AV1017)-1)&gt;=U1017),"정상",
IF(AND(V1017="면제",OFFSET(Y1017,0,COUNTA(Y1017:AV1017)-1)="면제"),"면제",
IF(AND(V1017="면제",OFFSET(Y1017,0,COUNTA(Y1017:AV1017)-1)=0),"면제",
"확인요청"))))))</f>
        <v>정상</v>
      </c>
      <c r="Y1017" s="93" t="n">
        <v>55000</v>
      </c>
      <c r="Z1017" s="90" t="n">
        <v>55000</v>
      </c>
      <c r="AA1017" s="90" t="n">
        <v>55000</v>
      </c>
      <c r="AB1017" s="90" t="n">
        <v>55000</v>
      </c>
      <c r="AC1017" s="90" t="n">
        <v>55000</v>
      </c>
      <c r="AD1017" s="90" t="n">
        <v>55000</v>
      </c>
      <c r="AE1017" s="90" t="n">
        <v>55000</v>
      </c>
      <c r="AF1017" s="90" t="n">
        <v>55000</v>
      </c>
      <c r="AG1017" s="90" t="n">
        <v>55000</v>
      </c>
      <c r="AH1017" s="90" t="n">
        <v>55000</v>
      </c>
      <c r="AI1017" s="90" t="n">
        <v>55000</v>
      </c>
      <c r="AJ1017" s="91" t="n">
        <v>55000</v>
      </c>
      <c r="AK1017" s="89" t="n">
        <v>55000</v>
      </c>
      <c r="AL1017" s="90" t="n">
        <v>55000</v>
      </c>
      <c r="AM1017" s="90"/>
      <c r="AN1017" s="90"/>
      <c r="AO1017" s="90"/>
      <c r="AP1017" s="90"/>
      <c r="AQ1017" s="90"/>
      <c r="AR1017" s="90"/>
      <c r="AS1017" s="90"/>
      <c r="AT1017" s="90"/>
      <c r="AU1017" s="90"/>
      <c r="AV1017" s="91"/>
      <c r="AX1017" s="92"/>
    </row>
    <row r="1018" customFormat="false" ht="15.65" hidden="false" customHeight="false" outlineLevel="0" collapsed="false">
      <c r="C1018" s="72" t="n">
        <f aca="false">COUNTIFS($D$6:D1018,"&lt;&gt;"&amp;"")</f>
        <v>1013</v>
      </c>
      <c r="D1018" s="73" t="s">
        <v>12</v>
      </c>
      <c r="E1018" s="76" t="str">
        <f aca="false">
IF($D1018="정상",INDEX(임대자산!$D$3:$R$3000,MATCH($F1018,임대자산!$I$3:$I$3000,0),MATCH(E$3,임대자산!$D$3:$R$3,0)),
IF($D1018="폐업",INDEX(폐업정보!$D$3:$R$3000,MATCH($F1018,폐업정보!$I$3:$I$3000,0),MATCH(E$3,폐업정보!$D$3:$R$3,0)),
"Error"))</f>
        <v>서울</v>
      </c>
      <c r="F101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B1013</v>
      </c>
      <c r="G1018" s="76" t="str">
        <f aca="false">F1018&amp;RANDBETWEEN(0,10)</f>
        <v>B10134</v>
      </c>
      <c r="H1018" s="75" t="n">
        <f aca="false">
IF($D1018="정상",INDEX(임대자산!$D$3:$R$3000,MATCH($F1018,임대자산!$I$3:$I$3000,0),MATCH(H$4,임대자산!$D$3:$R$3,0)),
IF($D1018="폐업",INDEX(폐업정보!$D$3:$R$3000,MATCH($F1018,폐업정보!$I$3:$I$3000,0),MATCH(H$4,폐업정보!$D$3:$R$3,0)),
"Error"))</f>
        <v>45442</v>
      </c>
      <c r="I1018" s="75" t="str">
        <f aca="false">
IF($D1018="정상",INDEX(임대자산!$D$3:$R$3000,MATCH($F1018,임대자산!$I$3:$I$3000,0),MATCH(I$4,임대자산!$D$3:$R$3,0)),
IF($D1018="폐업",INDEX(폐업정보!$D$3:$R$3000,MATCH($F1018,폐업정보!$I$3:$I$3000,0),MATCH(I$4,폐업정보!$D$3:$R$3,0)),
"Error"))</f>
        <v>A1013</v>
      </c>
      <c r="J1018" s="75" t="str">
        <f aca="false">
IF($D1018="정상",INDEX(임대자산!$D$3:$R$3000,MATCH($F1018,임대자산!$I$3:$I$3000,0),MATCH(J$4,임대자산!$D$3:$R$3,0)),
IF($D1018="폐업",INDEX(폐업정보!$D$3:$R$3000,MATCH($F1018,폐업정보!$I$3:$I$3000,0),MATCH(J$4,폐업정보!$D$3:$R$3,0)),
"Error"))</f>
        <v>9476200000</v>
      </c>
      <c r="K1018" s="75" t="str">
        <f aca="false">
IF($D1018="정상",INDEX(임대자산!$D$3:$R$3000,MATCH($F1018,임대자산!$I$3:$I$3000,0),MATCH(K$4,임대자산!$D$3:$R$3,0)),
IF($D1018="폐업",INDEX(폐업정보!$D$3:$R$3000,MATCH($F1018,폐업정보!$I$3:$I$3000,0),MATCH(K$4,폐업정보!$D$3:$R$3,0)),
"Error"))</f>
        <v>C1013</v>
      </c>
      <c r="L1018" s="75" t="str">
        <f aca="false">
IF($D1018="정상",INDEX(임대자산!$D$3:$R$3000,MATCH($F1018,임대자산!$I$3:$I$3000,0),MATCH(L$4,임대자산!$D$3:$R$3,0)),
IF($D1018="폐업",INDEX(폐업정보!$D$3:$R$3000,MATCH($F1018,폐업정보!$I$3:$I$3000,0),MATCH(L$4,폐업정보!$D$3:$R$3,0)),
"Error"))</f>
        <v>D1013</v>
      </c>
      <c r="M1018" s="76" t="s">
        <v>96</v>
      </c>
      <c r="N1018" s="77"/>
      <c r="O1018" s="78" t="s">
        <v>97</v>
      </c>
      <c r="P1018" s="79" t="n">
        <f aca="false">COUNTIFS(임대자산!$I:$I,가맹점정보!F1018,임대자산!$N:$N,가맹점정보!P$4)</f>
        <v>0</v>
      </c>
      <c r="Q1018" s="80" t="n">
        <f aca="false">COUNTIFS(임대자산!$I:$I,가맹점정보!F1018,임대자산!$N:$N,가맹점정보!Q$4)</f>
        <v>0</v>
      </c>
      <c r="R1018" s="81" t="n">
        <f aca="false">COUNTIFS(임대자산!$I:$I,가맹점정보!F1018,임대자산!$N:$N,가맹점정보!R$4)</f>
        <v>1</v>
      </c>
      <c r="S1018" s="82" t="n">
        <v>88000</v>
      </c>
      <c r="T1018" s="83" t="n">
        <v>0</v>
      </c>
      <c r="U1018" s="80" t="n">
        <f aca="false">SUM(S1018:T1018)</f>
        <v>88000</v>
      </c>
      <c r="V1018" s="84" t="s">
        <v>7</v>
      </c>
      <c r="W1018" s="80" t="str">
        <f aca="true">
IF(D1018="폐업","폐업",
IF(V1018="면제","면제",
IF(AND(V1018="정상",COUNTIFS(OFFSET(Y1018,0,COUNTA(Y1018:AV1018)-1,1,-4),"미납")&gt;=3),"장기미납",
IF(AND(V1018="정상",OFFSET(Y1018,0,COUNTA(Y1018:AV1018)-1)&gt;=U1018),"정상",
IF(AND(V1018="정상",OFFSET(Y1018,0,COUNTA(Y1018:AV1018)-1)=0),"정상",
"계약서 미작성")))))</f>
        <v>면제</v>
      </c>
      <c r="X1018" s="81" t="str">
        <f aca="true">
IF(D1018="폐업","폐업",
IF(AND(V1018="정상",OFFSET(Y1018,0,COUNTA(Y1018:AV1018)-1)="미납"),"미납",
IF(AND(V1018="정상",OFFSET(Y1018,0,COUNTA(Y1018:AV1018)-1)=0),"납부 시작 전",
IF(AND(V1018="정상",OFFSET(Y1018,0,COUNTA(Y1018:AV1018)-1)&gt;=U1018),"정상",
IF(AND(V1018="면제",OFFSET(Y1018,0,COUNTA(Y1018:AV1018)-1)="면제"),"면제",
IF(AND(V1018="면제",OFFSET(Y1018,0,COUNTA(Y1018:AV1018)-1)=0),"면제",
"확인요청"))))))</f>
        <v>면제</v>
      </c>
      <c r="Y1018" s="94" t="s">
        <v>7</v>
      </c>
      <c r="Z1018" s="95" t="s">
        <v>7</v>
      </c>
      <c r="AA1018" s="95" t="s">
        <v>7</v>
      </c>
      <c r="AB1018" s="95" t="s">
        <v>7</v>
      </c>
      <c r="AC1018" s="95" t="s">
        <v>7</v>
      </c>
      <c r="AD1018" s="95" t="s">
        <v>7</v>
      </c>
      <c r="AE1018" s="95" t="s">
        <v>7</v>
      </c>
      <c r="AF1018" s="95" t="s">
        <v>7</v>
      </c>
      <c r="AG1018" s="95" t="s">
        <v>7</v>
      </c>
      <c r="AH1018" s="95" t="s">
        <v>7</v>
      </c>
      <c r="AI1018" s="95" t="s">
        <v>7</v>
      </c>
      <c r="AJ1018" s="96" t="s">
        <v>7</v>
      </c>
      <c r="AK1018" s="97" t="s">
        <v>7</v>
      </c>
      <c r="AL1018" s="95" t="s">
        <v>7</v>
      </c>
      <c r="AM1018" s="90"/>
      <c r="AN1018" s="90"/>
      <c r="AO1018" s="90"/>
      <c r="AP1018" s="90"/>
      <c r="AQ1018" s="90"/>
      <c r="AR1018" s="90"/>
      <c r="AS1018" s="90"/>
      <c r="AT1018" s="90"/>
      <c r="AU1018" s="90"/>
      <c r="AV1018" s="91"/>
      <c r="AX1018" s="92"/>
    </row>
    <row r="1019" customFormat="false" ht="15.65" hidden="false" customHeight="false" outlineLevel="0" collapsed="false">
      <c r="C1019" s="72" t="n">
        <f aca="false">COUNTIFS($D$6:D1019,"&lt;&gt;"&amp;"")</f>
        <v>1014</v>
      </c>
      <c r="D1019" s="73" t="s">
        <v>12</v>
      </c>
      <c r="E1019" s="76" t="str">
        <f aca="false">
IF($D1019="정상",INDEX(임대자산!$D$3:$R$3000,MATCH($F1019,임대자산!$I$3:$I$3000,0),MATCH(E$3,임대자산!$D$3:$R$3,0)),
IF($D1019="폐업",INDEX(폐업정보!$D$3:$R$3000,MATCH($F1019,폐업정보!$I$3:$I$3000,0),MATCH(E$3,폐업정보!$D$3:$R$3,0)),
"Error"))</f>
        <v>서울</v>
      </c>
      <c r="F101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B1014</v>
      </c>
      <c r="G1019" s="76" t="str">
        <f aca="false">F1019&amp;RANDBETWEEN(0,10)</f>
        <v>B10147</v>
      </c>
      <c r="H1019" s="75" t="n">
        <f aca="false">
IF($D1019="정상",INDEX(임대자산!$D$3:$R$3000,MATCH($F1019,임대자산!$I$3:$I$3000,0),MATCH(H$4,임대자산!$D$3:$R$3,0)),
IF($D1019="폐업",INDEX(폐업정보!$D$3:$R$3000,MATCH($F1019,폐업정보!$I$3:$I$3000,0),MATCH(H$4,폐업정보!$D$3:$R$3,0)),
"Error"))</f>
        <v>45812</v>
      </c>
      <c r="I1019" s="75" t="str">
        <f aca="false">
IF($D1019="정상",INDEX(임대자산!$D$3:$R$3000,MATCH($F1019,임대자산!$I$3:$I$3000,0),MATCH(I$4,임대자산!$D$3:$R$3,0)),
IF($D1019="폐업",INDEX(폐업정보!$D$3:$R$3000,MATCH($F1019,폐업정보!$I$3:$I$3000,0),MATCH(I$4,폐업정보!$D$3:$R$3,0)),
"Error"))</f>
        <v>A1014</v>
      </c>
      <c r="J1019" s="75" t="str">
        <f aca="false">
IF($D1019="정상",INDEX(임대자산!$D$3:$R$3000,MATCH($F1019,임대자산!$I$3:$I$3000,0),MATCH(J$4,임대자산!$D$3:$R$3,0)),
IF($D1019="폐업",INDEX(폐업정보!$D$3:$R$3000,MATCH($F1019,폐업정보!$I$3:$I$3000,0),MATCH(J$4,폐업정보!$D$3:$R$3,0)),
"Error"))</f>
        <v>7048900000</v>
      </c>
      <c r="K1019" s="75" t="str">
        <f aca="false">
IF($D1019="정상",INDEX(임대자산!$D$3:$R$3000,MATCH($F1019,임대자산!$I$3:$I$3000,0),MATCH(K$4,임대자산!$D$3:$R$3,0)),
IF($D1019="폐업",INDEX(폐업정보!$D$3:$R$3000,MATCH($F1019,폐업정보!$I$3:$I$3000,0),MATCH(K$4,폐업정보!$D$3:$R$3,0)),
"Error"))</f>
        <v>C1014</v>
      </c>
      <c r="L1019" s="75" t="str">
        <f aca="false">
IF($D1019="정상",INDEX(임대자산!$D$3:$R$3000,MATCH($F1019,임대자산!$I$3:$I$3000,0),MATCH(L$4,임대자산!$D$3:$R$3,0)),
IF($D1019="폐업",INDEX(폐업정보!$D$3:$R$3000,MATCH($F1019,폐업정보!$I$3:$I$3000,0),MATCH(L$4,폐업정보!$D$3:$R$3,0)),
"Error"))</f>
        <v>D1014</v>
      </c>
      <c r="M1019" s="76" t="s">
        <v>96</v>
      </c>
      <c r="N1019" s="77"/>
      <c r="O1019" s="78" t="s">
        <v>97</v>
      </c>
      <c r="P1019" s="79" t="n">
        <f aca="false">COUNTIFS(임대자산!$I:$I,가맹점정보!F1019,임대자산!$N:$N,가맹점정보!P$4)</f>
        <v>0</v>
      </c>
      <c r="Q1019" s="80" t="n">
        <f aca="false">COUNTIFS(임대자산!$I:$I,가맹점정보!F1019,임대자산!$N:$N,가맹점정보!Q$4)</f>
        <v>0</v>
      </c>
      <c r="R1019" s="81" t="n">
        <f aca="false">COUNTIFS(임대자산!$I:$I,가맹점정보!F1019,임대자산!$N:$N,가맹점정보!R$4)</f>
        <v>1</v>
      </c>
      <c r="S1019" s="82" t="n">
        <v>88000</v>
      </c>
      <c r="T1019" s="83" t="n">
        <v>0</v>
      </c>
      <c r="U1019" s="80" t="n">
        <f aca="false">SUM(S1019:T1019)</f>
        <v>88000</v>
      </c>
      <c r="V1019" s="84" t="s">
        <v>7</v>
      </c>
      <c r="W1019" s="80" t="str">
        <f aca="true">
IF(D1019="폐업","폐업",
IF(V1019="면제","면제",
IF(AND(V1019="정상",COUNTIFS(OFFSET(Y1019,0,COUNTA(Y1019:AV1019)-1,1,-4),"미납")&gt;=3),"장기미납",
IF(AND(V1019="정상",OFFSET(Y1019,0,COUNTA(Y1019:AV1019)-1)&gt;=U1019),"정상",
IF(AND(V1019="정상",OFFSET(Y1019,0,COUNTA(Y1019:AV1019)-1)=0),"정상",
"계약서 미작성")))))</f>
        <v>면제</v>
      </c>
      <c r="X1019" s="81" t="str">
        <f aca="true">
IF(D1019="폐업","폐업",
IF(AND(V1019="정상",OFFSET(Y1019,0,COUNTA(Y1019:AV1019)-1)="미납"),"미납",
IF(AND(V1019="정상",OFFSET(Y1019,0,COUNTA(Y1019:AV1019)-1)=0),"납부 시작 전",
IF(AND(V1019="정상",OFFSET(Y1019,0,COUNTA(Y1019:AV1019)-1)&gt;=U1019),"정상",
IF(AND(V1019="면제",OFFSET(Y1019,0,COUNTA(Y1019:AV1019)-1)="면제"),"면제",
IF(AND(V1019="면제",OFFSET(Y1019,0,COUNTA(Y1019:AV1019)-1)=0),"면제",
"확인요청"))))))</f>
        <v>면제</v>
      </c>
      <c r="Y1019" s="94" t="s">
        <v>7</v>
      </c>
      <c r="Z1019" s="95" t="s">
        <v>7</v>
      </c>
      <c r="AA1019" s="95" t="s">
        <v>7</v>
      </c>
      <c r="AB1019" s="95" t="s">
        <v>7</v>
      </c>
      <c r="AC1019" s="95" t="s">
        <v>7</v>
      </c>
      <c r="AD1019" s="95" t="s">
        <v>7</v>
      </c>
      <c r="AE1019" s="95" t="s">
        <v>7</v>
      </c>
      <c r="AF1019" s="95" t="s">
        <v>7</v>
      </c>
      <c r="AG1019" s="95" t="s">
        <v>7</v>
      </c>
      <c r="AH1019" s="95" t="s">
        <v>7</v>
      </c>
      <c r="AI1019" s="95" t="s">
        <v>7</v>
      </c>
      <c r="AJ1019" s="96" t="s">
        <v>7</v>
      </c>
      <c r="AK1019" s="97" t="s">
        <v>7</v>
      </c>
      <c r="AL1019" s="95" t="s">
        <v>7</v>
      </c>
      <c r="AM1019" s="90"/>
      <c r="AN1019" s="90"/>
      <c r="AO1019" s="90"/>
      <c r="AP1019" s="90"/>
      <c r="AQ1019" s="90"/>
      <c r="AR1019" s="90"/>
      <c r="AS1019" s="90"/>
      <c r="AT1019" s="90"/>
      <c r="AU1019" s="90"/>
      <c r="AV1019" s="91"/>
      <c r="AX1019" s="92"/>
    </row>
    <row r="1020" customFormat="false" ht="15.65" hidden="false" customHeight="false" outlineLevel="0" collapsed="false">
      <c r="C1020" s="72" t="n">
        <f aca="false">COUNTIFS($D$6:D1020,"&lt;&gt;"&amp;"")</f>
        <v>1015</v>
      </c>
      <c r="D1020" s="73" t="s">
        <v>12</v>
      </c>
      <c r="E1020" s="76" t="str">
        <f aca="false">
IF($D1020="정상",INDEX(임대자산!$D$3:$R$3000,MATCH($F1020,임대자산!$I$3:$I$3000,0),MATCH(E$3,임대자산!$D$3:$R$3,0)),
IF($D1020="폐업",INDEX(폐업정보!$D$3:$R$3000,MATCH($F1020,폐업정보!$I$3:$I$3000,0),MATCH(E$3,폐업정보!$D$3:$R$3,0)),
"Error"))</f>
        <v>서울</v>
      </c>
      <c r="F102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B1015</v>
      </c>
      <c r="G1020" s="76" t="str">
        <f aca="false">F1020&amp;RANDBETWEEN(0,10)</f>
        <v>B10154</v>
      </c>
      <c r="H1020" s="75" t="n">
        <f aca="false">
IF($D1020="정상",INDEX(임대자산!$D$3:$R$3000,MATCH($F1020,임대자산!$I$3:$I$3000,0),MATCH(H$4,임대자산!$D$3:$R$3,0)),
IF($D1020="폐업",INDEX(폐업정보!$D$3:$R$3000,MATCH($F1020,폐업정보!$I$3:$I$3000,0),MATCH(H$4,폐업정보!$D$3:$R$3,0)),
"Error"))</f>
        <v>44656</v>
      </c>
      <c r="I1020" s="75" t="str">
        <f aca="false">
IF($D1020="정상",INDEX(임대자산!$D$3:$R$3000,MATCH($F1020,임대자산!$I$3:$I$3000,0),MATCH(I$4,임대자산!$D$3:$R$3,0)),
IF($D1020="폐업",INDEX(폐업정보!$D$3:$R$3000,MATCH($F1020,폐업정보!$I$3:$I$3000,0),MATCH(I$4,폐업정보!$D$3:$R$3,0)),
"Error"))</f>
        <v>A1015</v>
      </c>
      <c r="J1020" s="75" t="str">
        <f aca="false">
IF($D1020="정상",INDEX(임대자산!$D$3:$R$3000,MATCH($F1020,임대자산!$I$3:$I$3000,0),MATCH(J$4,임대자산!$D$3:$R$3,0)),
IF($D1020="폐업",INDEX(폐업정보!$D$3:$R$3000,MATCH($F1020,폐업정보!$I$3:$I$3000,0),MATCH(J$4,폐업정보!$D$3:$R$3,0)),
"Error"))</f>
        <v>7021700000</v>
      </c>
      <c r="K1020" s="75" t="str">
        <f aca="false">
IF($D1020="정상",INDEX(임대자산!$D$3:$R$3000,MATCH($F1020,임대자산!$I$3:$I$3000,0),MATCH(K$4,임대자산!$D$3:$R$3,0)),
IF($D1020="폐업",INDEX(폐업정보!$D$3:$R$3000,MATCH($F1020,폐업정보!$I$3:$I$3000,0),MATCH(K$4,폐업정보!$D$3:$R$3,0)),
"Error"))</f>
        <v>C1015</v>
      </c>
      <c r="L1020" s="75" t="str">
        <f aca="false">
IF($D1020="정상",INDEX(임대자산!$D$3:$R$3000,MATCH($F1020,임대자산!$I$3:$I$3000,0),MATCH(L$4,임대자산!$D$3:$R$3,0)),
IF($D1020="폐업",INDEX(폐업정보!$D$3:$R$3000,MATCH($F1020,폐업정보!$I$3:$I$3000,0),MATCH(L$4,폐업정보!$D$3:$R$3,0)),
"Error"))</f>
        <v>D1015</v>
      </c>
      <c r="M1020" s="76" t="s">
        <v>96</v>
      </c>
      <c r="N1020" s="77"/>
      <c r="O1020" s="78" t="s">
        <v>97</v>
      </c>
      <c r="P1020" s="79" t="n">
        <f aca="false">COUNTIFS(임대자산!$I:$I,가맹점정보!F1020,임대자산!$N:$N,가맹점정보!P$4)</f>
        <v>0</v>
      </c>
      <c r="Q1020" s="80" t="n">
        <f aca="false">COUNTIFS(임대자산!$I:$I,가맹점정보!F1020,임대자산!$N:$N,가맹점정보!Q$4)</f>
        <v>0</v>
      </c>
      <c r="R1020" s="81" t="n">
        <f aca="false">COUNTIFS(임대자산!$I:$I,가맹점정보!F1020,임대자산!$N:$N,가맹점정보!R$4)</f>
        <v>1</v>
      </c>
      <c r="S1020" s="82" t="n">
        <v>88000</v>
      </c>
      <c r="T1020" s="83" t="n">
        <v>0</v>
      </c>
      <c r="U1020" s="80" t="n">
        <f aca="false">SUM(S1020:T1020)</f>
        <v>88000</v>
      </c>
      <c r="V1020" s="84" t="s">
        <v>7</v>
      </c>
      <c r="W1020" s="80" t="str">
        <f aca="true">
IF(D1020="폐업","폐업",
IF(V1020="면제","면제",
IF(AND(V1020="정상",COUNTIFS(OFFSET(Y1020,0,COUNTA(Y1020:AV1020)-1,1,-4),"미납")&gt;=3),"장기미납",
IF(AND(V1020="정상",OFFSET(Y1020,0,COUNTA(Y1020:AV1020)-1)&gt;=U1020),"정상",
IF(AND(V1020="정상",OFFSET(Y1020,0,COUNTA(Y1020:AV1020)-1)=0),"정상",
"계약서 미작성")))))</f>
        <v>면제</v>
      </c>
      <c r="X1020" s="81" t="str">
        <f aca="true">
IF(D1020="폐업","폐업",
IF(AND(V1020="정상",OFFSET(Y1020,0,COUNTA(Y1020:AV1020)-1)="미납"),"미납",
IF(AND(V1020="정상",OFFSET(Y1020,0,COUNTA(Y1020:AV1020)-1)=0),"납부 시작 전",
IF(AND(V1020="정상",OFFSET(Y1020,0,COUNTA(Y1020:AV1020)-1)&gt;=U1020),"정상",
IF(AND(V1020="면제",OFFSET(Y1020,0,COUNTA(Y1020:AV1020)-1)="면제"),"면제",
IF(AND(V1020="면제",OFFSET(Y1020,0,COUNTA(Y1020:AV1020)-1)=0),"면제",
"확인요청"))))))</f>
        <v>면제</v>
      </c>
      <c r="Y1020" s="94" t="s">
        <v>7</v>
      </c>
      <c r="Z1020" s="95" t="s">
        <v>7</v>
      </c>
      <c r="AA1020" s="95" t="s">
        <v>7</v>
      </c>
      <c r="AB1020" s="95" t="s">
        <v>7</v>
      </c>
      <c r="AC1020" s="95" t="s">
        <v>7</v>
      </c>
      <c r="AD1020" s="95" t="s">
        <v>7</v>
      </c>
      <c r="AE1020" s="95" t="s">
        <v>7</v>
      </c>
      <c r="AF1020" s="95" t="s">
        <v>7</v>
      </c>
      <c r="AG1020" s="95" t="s">
        <v>7</v>
      </c>
      <c r="AH1020" s="95" t="s">
        <v>7</v>
      </c>
      <c r="AI1020" s="95" t="s">
        <v>7</v>
      </c>
      <c r="AJ1020" s="96" t="s">
        <v>7</v>
      </c>
      <c r="AK1020" s="97" t="s">
        <v>7</v>
      </c>
      <c r="AL1020" s="95" t="s">
        <v>7</v>
      </c>
      <c r="AM1020" s="90"/>
      <c r="AN1020" s="90"/>
      <c r="AO1020" s="90"/>
      <c r="AP1020" s="90"/>
      <c r="AQ1020" s="90"/>
      <c r="AR1020" s="90"/>
      <c r="AS1020" s="90"/>
      <c r="AT1020" s="90"/>
      <c r="AU1020" s="90"/>
      <c r="AV1020" s="91"/>
      <c r="AX1020" s="92"/>
    </row>
    <row r="1021" customFormat="false" ht="15.65" hidden="false" customHeight="false" outlineLevel="0" collapsed="false">
      <c r="C1021" s="72" t="n">
        <f aca="false">COUNTIFS($D$6:D1021,"&lt;&gt;"&amp;"")</f>
        <v>1016</v>
      </c>
      <c r="D1021" s="73" t="s">
        <v>12</v>
      </c>
      <c r="E1021" s="76" t="str">
        <f aca="false">
IF($D1021="정상",INDEX(임대자산!$D$3:$R$3000,MATCH($F1021,임대자산!$I$3:$I$3000,0),MATCH(E$3,임대자산!$D$3:$R$3,0)),
IF($D1021="폐업",INDEX(폐업정보!$D$3:$R$3000,MATCH($F1021,폐업정보!$I$3:$I$3000,0),MATCH(E$3,폐업정보!$D$3:$R$3,0)),
"Error"))</f>
        <v>서울</v>
      </c>
      <c r="F102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B1016</v>
      </c>
      <c r="G1021" s="76" t="str">
        <f aca="false">F1021&amp;RANDBETWEEN(0,10)</f>
        <v>B10167</v>
      </c>
      <c r="H1021" s="75" t="n">
        <f aca="false">
IF($D1021="정상",INDEX(임대자산!$D$3:$R$3000,MATCH($F1021,임대자산!$I$3:$I$3000,0),MATCH(H$4,임대자산!$D$3:$R$3,0)),
IF($D1021="폐업",INDEX(폐업정보!$D$3:$R$3000,MATCH($F1021,폐업정보!$I$3:$I$3000,0),MATCH(H$4,폐업정보!$D$3:$R$3,0)),
"Error"))</f>
        <v>45894</v>
      </c>
      <c r="I1021" s="75" t="str">
        <f aca="false">
IF($D1021="정상",INDEX(임대자산!$D$3:$R$3000,MATCH($F1021,임대자산!$I$3:$I$3000,0),MATCH(I$4,임대자산!$D$3:$R$3,0)),
IF($D1021="폐업",INDEX(폐업정보!$D$3:$R$3000,MATCH($F1021,폐업정보!$I$3:$I$3000,0),MATCH(I$4,폐업정보!$D$3:$R$3,0)),
"Error"))</f>
        <v>A1016</v>
      </c>
      <c r="J1021" s="75" t="str">
        <f aca="false">
IF($D1021="정상",INDEX(임대자산!$D$3:$R$3000,MATCH($F1021,임대자산!$I$3:$I$3000,0),MATCH(J$4,임대자산!$D$3:$R$3,0)),
IF($D1021="폐업",INDEX(폐업정보!$D$3:$R$3000,MATCH($F1021,폐업정보!$I$3:$I$3000,0),MATCH(J$4,폐업정보!$D$3:$R$3,0)),
"Error"))</f>
        <v>7699800000</v>
      </c>
      <c r="K1021" s="75" t="str">
        <f aca="false">
IF($D1021="정상",INDEX(임대자산!$D$3:$R$3000,MATCH($F1021,임대자산!$I$3:$I$3000,0),MATCH(K$4,임대자산!$D$3:$R$3,0)),
IF($D1021="폐업",INDEX(폐업정보!$D$3:$R$3000,MATCH($F1021,폐업정보!$I$3:$I$3000,0),MATCH(K$4,폐업정보!$D$3:$R$3,0)),
"Error"))</f>
        <v>C1016</v>
      </c>
      <c r="L1021" s="75" t="str">
        <f aca="false">
IF($D1021="정상",INDEX(임대자산!$D$3:$R$3000,MATCH($F1021,임대자산!$I$3:$I$3000,0),MATCH(L$4,임대자산!$D$3:$R$3,0)),
IF($D1021="폐업",INDEX(폐업정보!$D$3:$R$3000,MATCH($F1021,폐업정보!$I$3:$I$3000,0),MATCH(L$4,폐업정보!$D$3:$R$3,0)),
"Error"))</f>
        <v>D1016</v>
      </c>
      <c r="M1021" s="76" t="s">
        <v>96</v>
      </c>
      <c r="N1021" s="77"/>
      <c r="O1021" s="78" t="s">
        <v>97</v>
      </c>
      <c r="P1021" s="79" t="n">
        <f aca="false">COUNTIFS(임대자산!$I:$I,가맹점정보!F1021,임대자산!$N:$N,가맹점정보!P$4)</f>
        <v>0</v>
      </c>
      <c r="Q1021" s="80" t="n">
        <f aca="false">COUNTIFS(임대자산!$I:$I,가맹점정보!F1021,임대자산!$N:$N,가맹점정보!Q$4)</f>
        <v>0</v>
      </c>
      <c r="R1021" s="81" t="n">
        <f aca="false">COUNTIFS(임대자산!$I:$I,가맹점정보!F1021,임대자산!$N:$N,가맹점정보!R$4)</f>
        <v>1</v>
      </c>
      <c r="S1021" s="82" t="n">
        <v>88000</v>
      </c>
      <c r="T1021" s="83" t="n">
        <v>0</v>
      </c>
      <c r="U1021" s="80" t="n">
        <f aca="false">SUM(S1021:T1021)</f>
        <v>88000</v>
      </c>
      <c r="V1021" s="84" t="s">
        <v>7</v>
      </c>
      <c r="W1021" s="80" t="str">
        <f aca="true">
IF(D1021="폐업","폐업",
IF(V1021="면제","면제",
IF(AND(V1021="정상",COUNTIFS(OFFSET(Y1021,0,COUNTA(Y1021:AV1021)-1,1,-4),"미납")&gt;=3),"장기미납",
IF(AND(V1021="정상",OFFSET(Y1021,0,COUNTA(Y1021:AV1021)-1)&gt;=U1021),"정상",
IF(AND(V1021="정상",OFFSET(Y1021,0,COUNTA(Y1021:AV1021)-1)=0),"정상",
"계약서 미작성")))))</f>
        <v>면제</v>
      </c>
      <c r="X1021" s="81" t="str">
        <f aca="true">
IF(D1021="폐업","폐업",
IF(AND(V1021="정상",OFFSET(Y1021,0,COUNTA(Y1021:AV1021)-1)="미납"),"미납",
IF(AND(V1021="정상",OFFSET(Y1021,0,COUNTA(Y1021:AV1021)-1)=0),"납부 시작 전",
IF(AND(V1021="정상",OFFSET(Y1021,0,COUNTA(Y1021:AV1021)-1)&gt;=U1021),"정상",
IF(AND(V1021="면제",OFFSET(Y1021,0,COUNTA(Y1021:AV1021)-1)="면제"),"면제",
IF(AND(V1021="면제",OFFSET(Y1021,0,COUNTA(Y1021:AV1021)-1)=0),"면제",
"확인요청"))))))</f>
        <v>면제</v>
      </c>
      <c r="Y1021" s="94" t="s">
        <v>7</v>
      </c>
      <c r="Z1021" s="95" t="s">
        <v>7</v>
      </c>
      <c r="AA1021" s="95" t="s">
        <v>7</v>
      </c>
      <c r="AB1021" s="95" t="s">
        <v>7</v>
      </c>
      <c r="AC1021" s="95" t="s">
        <v>7</v>
      </c>
      <c r="AD1021" s="95" t="s">
        <v>7</v>
      </c>
      <c r="AE1021" s="95" t="s">
        <v>7</v>
      </c>
      <c r="AF1021" s="95" t="s">
        <v>7</v>
      </c>
      <c r="AG1021" s="95" t="s">
        <v>7</v>
      </c>
      <c r="AH1021" s="95" t="s">
        <v>7</v>
      </c>
      <c r="AI1021" s="95" t="s">
        <v>7</v>
      </c>
      <c r="AJ1021" s="96" t="s">
        <v>7</v>
      </c>
      <c r="AK1021" s="97" t="s">
        <v>7</v>
      </c>
      <c r="AL1021" s="95" t="s">
        <v>7</v>
      </c>
      <c r="AM1021" s="90"/>
      <c r="AN1021" s="90"/>
      <c r="AO1021" s="90"/>
      <c r="AP1021" s="90"/>
      <c r="AQ1021" s="90"/>
      <c r="AR1021" s="90"/>
      <c r="AS1021" s="90"/>
      <c r="AT1021" s="90"/>
      <c r="AU1021" s="90"/>
      <c r="AV1021" s="91"/>
      <c r="AX1021" s="92"/>
    </row>
    <row r="1022" customFormat="false" ht="15.65" hidden="false" customHeight="false" outlineLevel="0" collapsed="false">
      <c r="C1022" s="72" t="n">
        <f aca="false">COUNTIFS($D$6:D1022,"&lt;&gt;"&amp;"")</f>
        <v>1017</v>
      </c>
      <c r="D1022" s="73" t="s">
        <v>12</v>
      </c>
      <c r="E1022" s="76" t="str">
        <f aca="false">
IF($D1022="정상",INDEX(임대자산!$D$3:$R$3000,MATCH($F1022,임대자산!$I$3:$I$3000,0),MATCH(E$3,임대자산!$D$3:$R$3,0)),
IF($D1022="폐업",INDEX(폐업정보!$D$3:$R$3000,MATCH($F1022,폐업정보!$I$3:$I$3000,0),MATCH(E$3,폐업정보!$D$3:$R$3,0)),
"Error"))</f>
        <v>서울</v>
      </c>
      <c r="F102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B1017</v>
      </c>
      <c r="G1022" s="76" t="str">
        <f aca="false">F1022&amp;RANDBETWEEN(0,10)</f>
        <v>B10173</v>
      </c>
      <c r="H1022" s="75" t="n">
        <f aca="false">
IF($D1022="정상",INDEX(임대자산!$D$3:$R$3000,MATCH($F1022,임대자산!$I$3:$I$3000,0),MATCH(H$4,임대자산!$D$3:$R$3,0)),
IF($D1022="폐업",INDEX(폐업정보!$D$3:$R$3000,MATCH($F1022,폐업정보!$I$3:$I$3000,0),MATCH(H$4,폐업정보!$D$3:$R$3,0)),
"Error"))</f>
        <v>45854</v>
      </c>
      <c r="I1022" s="75" t="str">
        <f aca="false">
IF($D1022="정상",INDEX(임대자산!$D$3:$R$3000,MATCH($F1022,임대자산!$I$3:$I$3000,0),MATCH(I$4,임대자산!$D$3:$R$3,0)),
IF($D1022="폐업",INDEX(폐업정보!$D$3:$R$3000,MATCH($F1022,폐업정보!$I$3:$I$3000,0),MATCH(I$4,폐업정보!$D$3:$R$3,0)),
"Error"))</f>
        <v>A1017</v>
      </c>
      <c r="J1022" s="75" t="str">
        <f aca="false">
IF($D1022="정상",INDEX(임대자산!$D$3:$R$3000,MATCH($F1022,임대자산!$I$3:$I$3000,0),MATCH(J$4,임대자산!$D$3:$R$3,0)),
IF($D1022="폐업",INDEX(폐업정보!$D$3:$R$3000,MATCH($F1022,폐업정보!$I$3:$I$3000,0),MATCH(J$4,폐업정보!$D$3:$R$3,0)),
"Error"))</f>
        <v>2642800000</v>
      </c>
      <c r="K1022" s="75" t="str">
        <f aca="false">
IF($D1022="정상",INDEX(임대자산!$D$3:$R$3000,MATCH($F1022,임대자산!$I$3:$I$3000,0),MATCH(K$4,임대자산!$D$3:$R$3,0)),
IF($D1022="폐업",INDEX(폐업정보!$D$3:$R$3000,MATCH($F1022,폐업정보!$I$3:$I$3000,0),MATCH(K$4,폐업정보!$D$3:$R$3,0)),
"Error"))</f>
        <v>C1017</v>
      </c>
      <c r="L1022" s="75" t="str">
        <f aca="false">
IF($D1022="정상",INDEX(임대자산!$D$3:$R$3000,MATCH($F1022,임대자산!$I$3:$I$3000,0),MATCH(L$4,임대자산!$D$3:$R$3,0)),
IF($D1022="폐업",INDEX(폐업정보!$D$3:$R$3000,MATCH($F1022,폐업정보!$I$3:$I$3000,0),MATCH(L$4,폐업정보!$D$3:$R$3,0)),
"Error"))</f>
        <v>D1017</v>
      </c>
      <c r="M1022" s="76" t="s">
        <v>96</v>
      </c>
      <c r="N1022" s="77"/>
      <c r="O1022" s="78" t="s">
        <v>97</v>
      </c>
      <c r="P1022" s="79" t="n">
        <f aca="false">COUNTIFS(임대자산!$I:$I,가맹점정보!F1022,임대자산!$N:$N,가맹점정보!P$4)</f>
        <v>0</v>
      </c>
      <c r="Q1022" s="80" t="n">
        <f aca="false">COUNTIFS(임대자산!$I:$I,가맹점정보!F1022,임대자산!$N:$N,가맹점정보!Q$4)</f>
        <v>0</v>
      </c>
      <c r="R1022" s="81" t="n">
        <f aca="false">COUNTIFS(임대자산!$I:$I,가맹점정보!F1022,임대자산!$N:$N,가맹점정보!R$4)</f>
        <v>1</v>
      </c>
      <c r="S1022" s="82" t="n">
        <v>88000</v>
      </c>
      <c r="T1022" s="83" t="n">
        <v>0</v>
      </c>
      <c r="U1022" s="80" t="n">
        <f aca="false">SUM(S1022:T1022)</f>
        <v>88000</v>
      </c>
      <c r="V1022" s="84" t="s">
        <v>7</v>
      </c>
      <c r="W1022" s="80" t="str">
        <f aca="true">
IF(D1022="폐업","폐업",
IF(V1022="면제","면제",
IF(AND(V1022="정상",COUNTIFS(OFFSET(Y1022,0,COUNTA(Y1022:AV1022)-1,1,-4),"미납")&gt;=3),"장기미납",
IF(AND(V1022="정상",OFFSET(Y1022,0,COUNTA(Y1022:AV1022)-1)&gt;=U1022),"정상",
IF(AND(V1022="정상",OFFSET(Y1022,0,COUNTA(Y1022:AV1022)-1)=0),"정상",
"계약서 미작성")))))</f>
        <v>면제</v>
      </c>
      <c r="X1022" s="81" t="str">
        <f aca="true">
IF(D1022="폐업","폐업",
IF(AND(V1022="정상",OFFSET(Y1022,0,COUNTA(Y1022:AV1022)-1)="미납"),"미납",
IF(AND(V1022="정상",OFFSET(Y1022,0,COUNTA(Y1022:AV1022)-1)=0),"납부 시작 전",
IF(AND(V1022="정상",OFFSET(Y1022,0,COUNTA(Y1022:AV1022)-1)&gt;=U1022),"정상",
IF(AND(V1022="면제",OFFSET(Y1022,0,COUNTA(Y1022:AV1022)-1)="면제"),"면제",
IF(AND(V1022="면제",OFFSET(Y1022,0,COUNTA(Y1022:AV1022)-1)=0),"면제",
"확인요청"))))))</f>
        <v>면제</v>
      </c>
      <c r="Y1022" s="94" t="s">
        <v>7</v>
      </c>
      <c r="Z1022" s="95" t="s">
        <v>7</v>
      </c>
      <c r="AA1022" s="95" t="s">
        <v>7</v>
      </c>
      <c r="AB1022" s="95" t="s">
        <v>7</v>
      </c>
      <c r="AC1022" s="95" t="s">
        <v>7</v>
      </c>
      <c r="AD1022" s="95" t="s">
        <v>7</v>
      </c>
      <c r="AE1022" s="95" t="s">
        <v>7</v>
      </c>
      <c r="AF1022" s="95" t="s">
        <v>7</v>
      </c>
      <c r="AG1022" s="95" t="s">
        <v>7</v>
      </c>
      <c r="AH1022" s="95" t="s">
        <v>7</v>
      </c>
      <c r="AI1022" s="95" t="s">
        <v>7</v>
      </c>
      <c r="AJ1022" s="96" t="s">
        <v>7</v>
      </c>
      <c r="AK1022" s="97" t="s">
        <v>7</v>
      </c>
      <c r="AL1022" s="95" t="s">
        <v>7</v>
      </c>
      <c r="AM1022" s="90"/>
      <c r="AN1022" s="90"/>
      <c r="AO1022" s="90"/>
      <c r="AP1022" s="90"/>
      <c r="AQ1022" s="90"/>
      <c r="AR1022" s="90"/>
      <c r="AS1022" s="90"/>
      <c r="AT1022" s="90"/>
      <c r="AU1022" s="90"/>
      <c r="AV1022" s="91"/>
      <c r="AX1022" s="92"/>
    </row>
    <row r="1023" customFormat="false" ht="15.65" hidden="false" customHeight="false" outlineLevel="0" collapsed="false">
      <c r="C1023" s="72" t="n">
        <f aca="false">COUNTIFS($D$6:D1023,"&lt;&gt;"&amp;"")</f>
        <v>1018</v>
      </c>
      <c r="D1023" s="73" t="s">
        <v>12</v>
      </c>
      <c r="E1023" s="76" t="str">
        <f aca="false">
IF($D1023="정상",INDEX(임대자산!$D$3:$R$3000,MATCH($F1023,임대자산!$I$3:$I$3000,0),MATCH(E$3,임대자산!$D$3:$R$3,0)),
IF($D1023="폐업",INDEX(폐업정보!$D$3:$R$3000,MATCH($F1023,폐업정보!$I$3:$I$3000,0),MATCH(E$3,폐업정보!$D$3:$R$3,0)),
"Error"))</f>
        <v>서울</v>
      </c>
      <c r="F102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B1018</v>
      </c>
      <c r="G1023" s="76" t="str">
        <f aca="false">F1023&amp;RANDBETWEEN(0,10)</f>
        <v>B10183</v>
      </c>
      <c r="H1023" s="75" t="n">
        <f aca="false">
IF($D1023="정상",INDEX(임대자산!$D$3:$R$3000,MATCH($F1023,임대자산!$I$3:$I$3000,0),MATCH(H$4,임대자산!$D$3:$R$3,0)),
IF($D1023="폐업",INDEX(폐업정보!$D$3:$R$3000,MATCH($F1023,폐업정보!$I$3:$I$3000,0),MATCH(H$4,폐업정보!$D$3:$R$3,0)),
"Error"))</f>
        <v>45854</v>
      </c>
      <c r="I1023" s="75" t="str">
        <f aca="false">
IF($D1023="정상",INDEX(임대자산!$D$3:$R$3000,MATCH($F1023,임대자산!$I$3:$I$3000,0),MATCH(I$4,임대자산!$D$3:$R$3,0)),
IF($D1023="폐업",INDEX(폐업정보!$D$3:$R$3000,MATCH($F1023,폐업정보!$I$3:$I$3000,0),MATCH(I$4,폐업정보!$D$3:$R$3,0)),
"Error"))</f>
        <v>A1018</v>
      </c>
      <c r="J1023" s="75" t="str">
        <f aca="false">
IF($D1023="정상",INDEX(임대자산!$D$3:$R$3000,MATCH($F1023,임대자산!$I$3:$I$3000,0),MATCH(J$4,임대자산!$D$3:$R$3,0)),
IF($D1023="폐업",INDEX(폐업정보!$D$3:$R$3000,MATCH($F1023,폐업정보!$I$3:$I$3000,0),MATCH(J$4,폐업정보!$D$3:$R$3,0)),
"Error"))</f>
        <v>6146400000</v>
      </c>
      <c r="K1023" s="75" t="str">
        <f aca="false">
IF($D1023="정상",INDEX(임대자산!$D$3:$R$3000,MATCH($F1023,임대자산!$I$3:$I$3000,0),MATCH(K$4,임대자산!$D$3:$R$3,0)),
IF($D1023="폐업",INDEX(폐업정보!$D$3:$R$3000,MATCH($F1023,폐업정보!$I$3:$I$3000,0),MATCH(K$4,폐업정보!$D$3:$R$3,0)),
"Error"))</f>
        <v>C1018</v>
      </c>
      <c r="L1023" s="75" t="str">
        <f aca="false">
IF($D1023="정상",INDEX(임대자산!$D$3:$R$3000,MATCH($F1023,임대자산!$I$3:$I$3000,0),MATCH(L$4,임대자산!$D$3:$R$3,0)),
IF($D1023="폐업",INDEX(폐업정보!$D$3:$R$3000,MATCH($F1023,폐업정보!$I$3:$I$3000,0),MATCH(L$4,폐업정보!$D$3:$R$3,0)),
"Error"))</f>
        <v>D1018</v>
      </c>
      <c r="M1023" s="76" t="s">
        <v>96</v>
      </c>
      <c r="N1023" s="77"/>
      <c r="O1023" s="78" t="s">
        <v>97</v>
      </c>
      <c r="P1023" s="79" t="n">
        <f aca="false">COUNTIFS(임대자산!$I:$I,가맹점정보!F1023,임대자산!$N:$N,가맹점정보!P$4)</f>
        <v>0</v>
      </c>
      <c r="Q1023" s="80" t="n">
        <f aca="false">COUNTIFS(임대자산!$I:$I,가맹점정보!F1023,임대자산!$N:$N,가맹점정보!Q$4)</f>
        <v>0</v>
      </c>
      <c r="R1023" s="81" t="n">
        <f aca="false">COUNTIFS(임대자산!$I:$I,가맹점정보!F1023,임대자산!$N:$N,가맹점정보!R$4)</f>
        <v>1</v>
      </c>
      <c r="S1023" s="82" t="n">
        <v>55000</v>
      </c>
      <c r="T1023" s="83" t="n">
        <v>0</v>
      </c>
      <c r="U1023" s="80" t="n">
        <f aca="false">SUM(S1023:T1023)</f>
        <v>55000</v>
      </c>
      <c r="V1023" s="84" t="s">
        <v>7</v>
      </c>
      <c r="W1023" s="80" t="str">
        <f aca="true">
IF(D1023="폐업","폐업",
IF(V1023="면제","면제",
IF(AND(V1023="정상",COUNTIFS(OFFSET(Y1023,0,COUNTA(Y1023:AV1023)-1,1,-4),"미납")&gt;=3),"장기미납",
IF(AND(V1023="정상",OFFSET(Y1023,0,COUNTA(Y1023:AV1023)-1)&gt;=U1023),"정상",
IF(AND(V1023="정상",OFFSET(Y1023,0,COUNTA(Y1023:AV1023)-1)=0),"정상",
"계약서 미작성")))))</f>
        <v>면제</v>
      </c>
      <c r="X1023" s="81" t="str">
        <f aca="true">
IF(D1023="폐업","폐업",
IF(AND(V1023="정상",OFFSET(Y1023,0,COUNTA(Y1023:AV1023)-1)="미납"),"미납",
IF(AND(V1023="정상",OFFSET(Y1023,0,COUNTA(Y1023:AV1023)-1)=0),"납부 시작 전",
IF(AND(V1023="정상",OFFSET(Y1023,0,COUNTA(Y1023:AV1023)-1)&gt;=U1023),"정상",
IF(AND(V1023="면제",OFFSET(Y1023,0,COUNTA(Y1023:AV1023)-1)="면제"),"면제",
IF(AND(V1023="면제",OFFSET(Y1023,0,COUNTA(Y1023:AV1023)-1)=0),"면제",
"확인요청"))))))</f>
        <v>면제</v>
      </c>
      <c r="Y1023" s="94" t="s">
        <v>7</v>
      </c>
      <c r="Z1023" s="95" t="s">
        <v>7</v>
      </c>
      <c r="AA1023" s="95" t="s">
        <v>7</v>
      </c>
      <c r="AB1023" s="95" t="s">
        <v>7</v>
      </c>
      <c r="AC1023" s="95" t="s">
        <v>7</v>
      </c>
      <c r="AD1023" s="95" t="s">
        <v>7</v>
      </c>
      <c r="AE1023" s="95" t="s">
        <v>7</v>
      </c>
      <c r="AF1023" s="95" t="s">
        <v>7</v>
      </c>
      <c r="AG1023" s="95" t="s">
        <v>7</v>
      </c>
      <c r="AH1023" s="95" t="s">
        <v>7</v>
      </c>
      <c r="AI1023" s="95" t="s">
        <v>7</v>
      </c>
      <c r="AJ1023" s="96" t="s">
        <v>7</v>
      </c>
      <c r="AK1023" s="97" t="s">
        <v>7</v>
      </c>
      <c r="AL1023" s="95" t="s">
        <v>7</v>
      </c>
      <c r="AM1023" s="90"/>
      <c r="AN1023" s="90"/>
      <c r="AO1023" s="90"/>
      <c r="AP1023" s="90"/>
      <c r="AQ1023" s="90"/>
      <c r="AR1023" s="90"/>
      <c r="AS1023" s="90"/>
      <c r="AT1023" s="90"/>
      <c r="AU1023" s="90"/>
      <c r="AV1023" s="91"/>
      <c r="AX1023" s="92"/>
    </row>
    <row r="1024" customFormat="false" ht="15.65" hidden="false" customHeight="false" outlineLevel="0" collapsed="false">
      <c r="C1024" s="72" t="n">
        <f aca="false">COUNTIFS($D$6:D1024,"&lt;&gt;"&amp;"")</f>
        <v>1019</v>
      </c>
      <c r="D1024" s="73" t="s">
        <v>12</v>
      </c>
      <c r="E1024" s="76" t="str">
        <f aca="false">
IF($D1024="정상",INDEX(임대자산!$D$3:$R$3000,MATCH($F1024,임대자산!$I$3:$I$3000,0),MATCH(E$3,임대자산!$D$3:$R$3,0)),
IF($D1024="폐업",INDEX(폐업정보!$D$3:$R$3000,MATCH($F1024,폐업정보!$I$3:$I$3000,0),MATCH(E$3,폐업정보!$D$3:$R$3,0)),
"Error"))</f>
        <v>서울</v>
      </c>
      <c r="F102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B1019</v>
      </c>
      <c r="G1024" s="76" t="str">
        <f aca="false">F1024&amp;RANDBETWEEN(0,10)</f>
        <v>B10197</v>
      </c>
      <c r="H1024" s="75" t="n">
        <f aca="false">
IF($D1024="정상",INDEX(임대자산!$D$3:$R$3000,MATCH($F1024,임대자산!$I$3:$I$3000,0),MATCH(H$4,임대자산!$D$3:$R$3,0)),
IF($D1024="폐업",INDEX(폐업정보!$D$3:$R$3000,MATCH($F1024,폐업정보!$I$3:$I$3000,0),MATCH(H$4,폐업정보!$D$3:$R$3,0)),
"Error"))</f>
        <v>45777</v>
      </c>
      <c r="I1024" s="75" t="str">
        <f aca="false">
IF($D1024="정상",INDEX(임대자산!$D$3:$R$3000,MATCH($F1024,임대자산!$I$3:$I$3000,0),MATCH(I$4,임대자산!$D$3:$R$3,0)),
IF($D1024="폐업",INDEX(폐업정보!$D$3:$R$3000,MATCH($F1024,폐업정보!$I$3:$I$3000,0),MATCH(I$4,폐업정보!$D$3:$R$3,0)),
"Error"))</f>
        <v>A1019</v>
      </c>
      <c r="J1024" s="75" t="str">
        <f aca="false">
IF($D1024="정상",INDEX(임대자산!$D$3:$R$3000,MATCH($F1024,임대자산!$I$3:$I$3000,0),MATCH(J$4,임대자산!$D$3:$R$3,0)),
IF($D1024="폐업",INDEX(폐업정보!$D$3:$R$3000,MATCH($F1024,폐업정보!$I$3:$I$3000,0),MATCH(J$4,폐업정보!$D$3:$R$3,0)),
"Error"))</f>
        <v>9570600000</v>
      </c>
      <c r="K1024" s="75" t="str">
        <f aca="false">
IF($D1024="정상",INDEX(임대자산!$D$3:$R$3000,MATCH($F1024,임대자산!$I$3:$I$3000,0),MATCH(K$4,임대자산!$D$3:$R$3,0)),
IF($D1024="폐업",INDEX(폐업정보!$D$3:$R$3000,MATCH($F1024,폐업정보!$I$3:$I$3000,0),MATCH(K$4,폐업정보!$D$3:$R$3,0)),
"Error"))</f>
        <v>C1019</v>
      </c>
      <c r="L1024" s="75" t="str">
        <f aca="false">
IF($D1024="정상",INDEX(임대자산!$D$3:$R$3000,MATCH($F1024,임대자산!$I$3:$I$3000,0),MATCH(L$4,임대자산!$D$3:$R$3,0)),
IF($D1024="폐업",INDEX(폐업정보!$D$3:$R$3000,MATCH($F1024,폐업정보!$I$3:$I$3000,0),MATCH(L$4,폐업정보!$D$3:$R$3,0)),
"Error"))</f>
        <v>D1019</v>
      </c>
      <c r="M1024" s="76" t="s">
        <v>96</v>
      </c>
      <c r="N1024" s="77"/>
      <c r="O1024" s="78" t="s">
        <v>97</v>
      </c>
      <c r="P1024" s="79" t="n">
        <f aca="false">COUNTIFS(임대자산!$I:$I,가맹점정보!F1024,임대자산!$N:$N,가맹점정보!P$4)</f>
        <v>0</v>
      </c>
      <c r="Q1024" s="80" t="n">
        <f aca="false">COUNTIFS(임대자산!$I:$I,가맹점정보!F1024,임대자산!$N:$N,가맹점정보!Q$4)</f>
        <v>0</v>
      </c>
      <c r="R1024" s="81" t="n">
        <f aca="false">COUNTIFS(임대자산!$I:$I,가맹점정보!F1024,임대자산!$N:$N,가맹점정보!R$4)</f>
        <v>1</v>
      </c>
      <c r="S1024" s="82" t="n">
        <v>55000</v>
      </c>
      <c r="T1024" s="83" t="n">
        <v>0</v>
      </c>
      <c r="U1024" s="80" t="n">
        <f aca="false">SUM(S1024:T1024)</f>
        <v>55000</v>
      </c>
      <c r="V1024" s="84" t="s">
        <v>7</v>
      </c>
      <c r="W1024" s="80" t="str">
        <f aca="true">
IF(D1024="폐업","폐업",
IF(V1024="면제","면제",
IF(AND(V1024="정상",COUNTIFS(OFFSET(Y1024,0,COUNTA(Y1024:AV1024)-1,1,-4),"미납")&gt;=3),"장기미납",
IF(AND(V1024="정상",OFFSET(Y1024,0,COUNTA(Y1024:AV1024)-1)&gt;=U1024),"정상",
IF(AND(V1024="정상",OFFSET(Y1024,0,COUNTA(Y1024:AV1024)-1)=0),"정상",
"계약서 미작성")))))</f>
        <v>면제</v>
      </c>
      <c r="X1024" s="81" t="str">
        <f aca="true">
IF(D1024="폐업","폐업",
IF(AND(V1024="정상",OFFSET(Y1024,0,COUNTA(Y1024:AV1024)-1)="미납"),"미납",
IF(AND(V1024="정상",OFFSET(Y1024,0,COUNTA(Y1024:AV1024)-1)=0),"납부 시작 전",
IF(AND(V1024="정상",OFFSET(Y1024,0,COUNTA(Y1024:AV1024)-1)&gt;=U1024),"정상",
IF(AND(V1024="면제",OFFSET(Y1024,0,COUNTA(Y1024:AV1024)-1)="면제"),"면제",
IF(AND(V1024="면제",OFFSET(Y1024,0,COUNTA(Y1024:AV1024)-1)=0),"면제",
"확인요청"))))))</f>
        <v>면제</v>
      </c>
      <c r="Y1024" s="94" t="s">
        <v>7</v>
      </c>
      <c r="Z1024" s="95" t="s">
        <v>7</v>
      </c>
      <c r="AA1024" s="95" t="s">
        <v>7</v>
      </c>
      <c r="AB1024" s="95" t="s">
        <v>7</v>
      </c>
      <c r="AC1024" s="95" t="s">
        <v>7</v>
      </c>
      <c r="AD1024" s="95" t="s">
        <v>7</v>
      </c>
      <c r="AE1024" s="95" t="s">
        <v>7</v>
      </c>
      <c r="AF1024" s="95" t="s">
        <v>7</v>
      </c>
      <c r="AG1024" s="95" t="s">
        <v>7</v>
      </c>
      <c r="AH1024" s="95" t="s">
        <v>7</v>
      </c>
      <c r="AI1024" s="95" t="s">
        <v>7</v>
      </c>
      <c r="AJ1024" s="96" t="s">
        <v>7</v>
      </c>
      <c r="AK1024" s="97" t="s">
        <v>7</v>
      </c>
      <c r="AL1024" s="95" t="s">
        <v>7</v>
      </c>
      <c r="AM1024" s="90"/>
      <c r="AN1024" s="90"/>
      <c r="AO1024" s="90"/>
      <c r="AP1024" s="90"/>
      <c r="AQ1024" s="90"/>
      <c r="AR1024" s="90"/>
      <c r="AS1024" s="90"/>
      <c r="AT1024" s="90"/>
      <c r="AU1024" s="90"/>
      <c r="AV1024" s="91"/>
      <c r="AX1024" s="92"/>
    </row>
    <row r="1025" customFormat="false" ht="15.65" hidden="false" customHeight="false" outlineLevel="0" collapsed="false">
      <c r="C1025" s="72" t="n">
        <f aca="false">COUNTIFS($D$6:D1025,"&lt;&gt;"&amp;"")</f>
        <v>1020</v>
      </c>
      <c r="D1025" s="73" t="s">
        <v>12</v>
      </c>
      <c r="E1025" s="76" t="str">
        <f aca="false">
IF($D1025="정상",INDEX(임대자산!$D$3:$R$3000,MATCH($F1025,임대자산!$I$3:$I$3000,0),MATCH(E$3,임대자산!$D$3:$R$3,0)),
IF($D1025="폐업",INDEX(폐업정보!$D$3:$R$3000,MATCH($F1025,폐업정보!$I$3:$I$3000,0),MATCH(E$3,폐업정보!$D$3:$R$3,0)),
"Error"))</f>
        <v>서울</v>
      </c>
      <c r="F102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B1020</v>
      </c>
      <c r="G1025" s="76" t="str">
        <f aca="false">F1025&amp;RANDBETWEEN(0,10)</f>
        <v>B10204</v>
      </c>
      <c r="H1025" s="75" t="n">
        <f aca="false">
IF($D1025="정상",INDEX(임대자산!$D$3:$R$3000,MATCH($F1025,임대자산!$I$3:$I$3000,0),MATCH(H$4,임대자산!$D$3:$R$3,0)),
IF($D1025="폐업",INDEX(폐업정보!$D$3:$R$3000,MATCH($F1025,폐업정보!$I$3:$I$3000,0),MATCH(H$4,폐업정보!$D$3:$R$3,0)),
"Error"))</f>
        <v>45820</v>
      </c>
      <c r="I1025" s="75" t="str">
        <f aca="false">
IF($D1025="정상",INDEX(임대자산!$D$3:$R$3000,MATCH($F1025,임대자산!$I$3:$I$3000,0),MATCH(I$4,임대자산!$D$3:$R$3,0)),
IF($D1025="폐업",INDEX(폐업정보!$D$3:$R$3000,MATCH($F1025,폐업정보!$I$3:$I$3000,0),MATCH(I$4,폐업정보!$D$3:$R$3,0)),
"Error"))</f>
        <v>A1020</v>
      </c>
      <c r="J1025" s="75" t="str">
        <f aca="false">
IF($D1025="정상",INDEX(임대자산!$D$3:$R$3000,MATCH($F1025,임대자산!$I$3:$I$3000,0),MATCH(J$4,임대자산!$D$3:$R$3,0)),
IF($D1025="폐업",INDEX(폐업정보!$D$3:$R$3000,MATCH($F1025,폐업정보!$I$3:$I$3000,0),MATCH(J$4,폐업정보!$D$3:$R$3,0)),
"Error"))</f>
        <v>6651800000</v>
      </c>
      <c r="K1025" s="75" t="str">
        <f aca="false">
IF($D1025="정상",INDEX(임대자산!$D$3:$R$3000,MATCH($F1025,임대자산!$I$3:$I$3000,0),MATCH(K$4,임대자산!$D$3:$R$3,0)),
IF($D1025="폐업",INDEX(폐업정보!$D$3:$R$3000,MATCH($F1025,폐업정보!$I$3:$I$3000,0),MATCH(K$4,폐업정보!$D$3:$R$3,0)),
"Error"))</f>
        <v>C1020</v>
      </c>
      <c r="L1025" s="75" t="str">
        <f aca="false">
IF($D1025="정상",INDEX(임대자산!$D$3:$R$3000,MATCH($F1025,임대자산!$I$3:$I$3000,0),MATCH(L$4,임대자산!$D$3:$R$3,0)),
IF($D1025="폐업",INDEX(폐업정보!$D$3:$R$3000,MATCH($F1025,폐업정보!$I$3:$I$3000,0),MATCH(L$4,폐업정보!$D$3:$R$3,0)),
"Error"))</f>
        <v>D1020</v>
      </c>
      <c r="M1025" s="76" t="s">
        <v>96</v>
      </c>
      <c r="N1025" s="77"/>
      <c r="O1025" s="78" t="s">
        <v>97</v>
      </c>
      <c r="P1025" s="79" t="n">
        <f aca="false">COUNTIFS(임대자산!$I:$I,가맹점정보!F1025,임대자산!$N:$N,가맹점정보!P$4)</f>
        <v>0</v>
      </c>
      <c r="Q1025" s="80" t="n">
        <f aca="false">COUNTIFS(임대자산!$I:$I,가맹점정보!F1025,임대자산!$N:$N,가맹점정보!Q$4)</f>
        <v>0</v>
      </c>
      <c r="R1025" s="81" t="n">
        <f aca="false">COUNTIFS(임대자산!$I:$I,가맹점정보!F1025,임대자산!$N:$N,가맹점정보!R$4)</f>
        <v>1</v>
      </c>
      <c r="S1025" s="82" t="n">
        <v>88000</v>
      </c>
      <c r="T1025" s="83" t="n">
        <v>0</v>
      </c>
      <c r="U1025" s="80" t="n">
        <f aca="false">SUM(S1025:T1025)</f>
        <v>88000</v>
      </c>
      <c r="V1025" s="84" t="s">
        <v>7</v>
      </c>
      <c r="W1025" s="80" t="str">
        <f aca="true">
IF(D1025="폐업","폐업",
IF(V1025="면제","면제",
IF(AND(V1025="정상",COUNTIFS(OFFSET(Y1025,0,COUNTA(Y1025:AV1025)-1,1,-4),"미납")&gt;=3),"장기미납",
IF(AND(V1025="정상",OFFSET(Y1025,0,COUNTA(Y1025:AV1025)-1)&gt;=U1025),"정상",
IF(AND(V1025="정상",OFFSET(Y1025,0,COUNTA(Y1025:AV1025)-1)=0),"정상",
"계약서 미작성")))))</f>
        <v>면제</v>
      </c>
      <c r="X1025" s="81" t="str">
        <f aca="true">
IF(D1025="폐업","폐업",
IF(AND(V1025="정상",OFFSET(Y1025,0,COUNTA(Y1025:AV1025)-1)="미납"),"미납",
IF(AND(V1025="정상",OFFSET(Y1025,0,COUNTA(Y1025:AV1025)-1)=0),"납부 시작 전",
IF(AND(V1025="정상",OFFSET(Y1025,0,COUNTA(Y1025:AV1025)-1)&gt;=U1025),"정상",
IF(AND(V1025="면제",OFFSET(Y1025,0,COUNTA(Y1025:AV1025)-1)="면제"),"면제",
IF(AND(V1025="면제",OFFSET(Y1025,0,COUNTA(Y1025:AV1025)-1)=0),"면제",
"확인요청"))))))</f>
        <v>면제</v>
      </c>
      <c r="Y1025" s="94" t="s">
        <v>7</v>
      </c>
      <c r="Z1025" s="95" t="s">
        <v>7</v>
      </c>
      <c r="AA1025" s="95" t="s">
        <v>7</v>
      </c>
      <c r="AB1025" s="95" t="s">
        <v>7</v>
      </c>
      <c r="AC1025" s="95" t="s">
        <v>7</v>
      </c>
      <c r="AD1025" s="95" t="s">
        <v>7</v>
      </c>
      <c r="AE1025" s="95" t="s">
        <v>7</v>
      </c>
      <c r="AF1025" s="95" t="s">
        <v>7</v>
      </c>
      <c r="AG1025" s="95" t="s">
        <v>7</v>
      </c>
      <c r="AH1025" s="95" t="s">
        <v>7</v>
      </c>
      <c r="AI1025" s="95" t="s">
        <v>7</v>
      </c>
      <c r="AJ1025" s="96" t="s">
        <v>7</v>
      </c>
      <c r="AK1025" s="97" t="s">
        <v>7</v>
      </c>
      <c r="AL1025" s="95" t="s">
        <v>7</v>
      </c>
      <c r="AM1025" s="90"/>
      <c r="AN1025" s="90"/>
      <c r="AO1025" s="90"/>
      <c r="AP1025" s="90"/>
      <c r="AQ1025" s="90"/>
      <c r="AR1025" s="90"/>
      <c r="AS1025" s="90"/>
      <c r="AT1025" s="90"/>
      <c r="AU1025" s="90"/>
      <c r="AV1025" s="91"/>
      <c r="AX1025" s="92"/>
    </row>
    <row r="1026" customFormat="false" ht="15.65" hidden="false" customHeight="false" outlineLevel="0" collapsed="false">
      <c r="C1026" s="72" t="n">
        <f aca="false">COUNTIFS($D$6:D1026,"&lt;&gt;"&amp;"")</f>
        <v>1021</v>
      </c>
      <c r="D1026" s="73" t="s">
        <v>12</v>
      </c>
      <c r="E1026" s="76" t="str">
        <f aca="false">
IF($D1026="정상",INDEX(임대자산!$D$3:$R$3000,MATCH($F1026,임대자산!$I$3:$I$3000,0),MATCH(E$3,임대자산!$D$3:$R$3,0)),
IF($D1026="폐업",INDEX(폐업정보!$D$3:$R$3000,MATCH($F1026,폐업정보!$I$3:$I$3000,0),MATCH(E$3,폐업정보!$D$3:$R$3,0)),
"Error"))</f>
        <v>서울</v>
      </c>
      <c r="F102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B1021</v>
      </c>
      <c r="G1026" s="76" t="str">
        <f aca="false">F1026&amp;RANDBETWEEN(0,10)</f>
        <v>B10215</v>
      </c>
      <c r="H1026" s="75" t="n">
        <f aca="false">
IF($D1026="정상",INDEX(임대자산!$D$3:$R$3000,MATCH($F1026,임대자산!$I$3:$I$3000,0),MATCH(H$4,임대자산!$D$3:$R$3,0)),
IF($D1026="폐업",INDEX(폐업정보!$D$3:$R$3000,MATCH($F1026,폐업정보!$I$3:$I$3000,0),MATCH(H$4,폐업정보!$D$3:$R$3,0)),
"Error"))</f>
        <v>45393</v>
      </c>
      <c r="I1026" s="75" t="str">
        <f aca="false">
IF($D1026="정상",INDEX(임대자산!$D$3:$R$3000,MATCH($F1026,임대자산!$I$3:$I$3000,0),MATCH(I$4,임대자산!$D$3:$R$3,0)),
IF($D1026="폐업",INDEX(폐업정보!$D$3:$R$3000,MATCH($F1026,폐업정보!$I$3:$I$3000,0),MATCH(I$4,폐업정보!$D$3:$R$3,0)),
"Error"))</f>
        <v>A1021</v>
      </c>
      <c r="J1026" s="75" t="str">
        <f aca="false">
IF($D1026="정상",INDEX(임대자산!$D$3:$R$3000,MATCH($F1026,임대자산!$I$3:$I$3000,0),MATCH(J$4,임대자산!$D$3:$R$3,0)),
IF($D1026="폐업",INDEX(폐업정보!$D$3:$R$3000,MATCH($F1026,폐업정보!$I$3:$I$3000,0),MATCH(J$4,폐업정보!$D$3:$R$3,0)),
"Error"))</f>
        <v>2974300000</v>
      </c>
      <c r="K1026" s="75" t="str">
        <f aca="false">
IF($D1026="정상",INDEX(임대자산!$D$3:$R$3000,MATCH($F1026,임대자산!$I$3:$I$3000,0),MATCH(K$4,임대자산!$D$3:$R$3,0)),
IF($D1026="폐업",INDEX(폐업정보!$D$3:$R$3000,MATCH($F1026,폐업정보!$I$3:$I$3000,0),MATCH(K$4,폐업정보!$D$3:$R$3,0)),
"Error"))</f>
        <v>C1021</v>
      </c>
      <c r="L1026" s="75" t="str">
        <f aca="false">
IF($D1026="정상",INDEX(임대자산!$D$3:$R$3000,MATCH($F1026,임대자산!$I$3:$I$3000,0),MATCH(L$4,임대자산!$D$3:$R$3,0)),
IF($D1026="폐업",INDEX(폐업정보!$D$3:$R$3000,MATCH($F1026,폐업정보!$I$3:$I$3000,0),MATCH(L$4,폐업정보!$D$3:$R$3,0)),
"Error"))</f>
        <v>D1021</v>
      </c>
      <c r="M1026" s="76" t="s">
        <v>96</v>
      </c>
      <c r="N1026" s="77"/>
      <c r="O1026" s="78" t="s">
        <v>97</v>
      </c>
      <c r="P1026" s="79" t="n">
        <f aca="false">COUNTIFS(임대자산!$I:$I,가맹점정보!F1026,임대자산!$N:$N,가맹점정보!P$4)</f>
        <v>0</v>
      </c>
      <c r="Q1026" s="80" t="n">
        <f aca="false">COUNTIFS(임대자산!$I:$I,가맹점정보!F1026,임대자산!$N:$N,가맹점정보!Q$4)</f>
        <v>0</v>
      </c>
      <c r="R1026" s="81" t="n">
        <f aca="false">COUNTIFS(임대자산!$I:$I,가맹점정보!F1026,임대자산!$N:$N,가맹점정보!R$4)</f>
        <v>1</v>
      </c>
      <c r="S1026" s="82" t="n">
        <v>55000</v>
      </c>
      <c r="T1026" s="83" t="n">
        <v>0</v>
      </c>
      <c r="U1026" s="80" t="n">
        <f aca="false">SUM(S1026:T1026)</f>
        <v>55000</v>
      </c>
      <c r="V1026" s="84" t="s">
        <v>7</v>
      </c>
      <c r="W1026" s="80" t="str">
        <f aca="true">
IF(D1026="폐업","폐업",
IF(V1026="면제","면제",
IF(AND(V1026="정상",COUNTIFS(OFFSET(Y1026,0,COUNTA(Y1026:AV1026)-1,1,-4),"미납")&gt;=3),"장기미납",
IF(AND(V1026="정상",OFFSET(Y1026,0,COUNTA(Y1026:AV1026)-1)&gt;=U1026),"정상",
IF(AND(V1026="정상",OFFSET(Y1026,0,COUNTA(Y1026:AV1026)-1)=0),"정상",
"계약서 미작성")))))</f>
        <v>면제</v>
      </c>
      <c r="X1026" s="81" t="str">
        <f aca="true">
IF(D1026="폐업","폐업",
IF(AND(V1026="정상",OFFSET(Y1026,0,COUNTA(Y1026:AV1026)-1)="미납"),"미납",
IF(AND(V1026="정상",OFFSET(Y1026,0,COUNTA(Y1026:AV1026)-1)=0),"납부 시작 전",
IF(AND(V1026="정상",OFFSET(Y1026,0,COUNTA(Y1026:AV1026)-1)&gt;=U1026),"정상",
IF(AND(V1026="면제",OFFSET(Y1026,0,COUNTA(Y1026:AV1026)-1)="면제"),"면제",
IF(AND(V1026="면제",OFFSET(Y1026,0,COUNTA(Y1026:AV1026)-1)=0),"면제",
"확인요청"))))))</f>
        <v>면제</v>
      </c>
      <c r="Y1026" s="94" t="s">
        <v>7</v>
      </c>
      <c r="Z1026" s="95" t="s">
        <v>7</v>
      </c>
      <c r="AA1026" s="95" t="s">
        <v>7</v>
      </c>
      <c r="AB1026" s="95" t="s">
        <v>7</v>
      </c>
      <c r="AC1026" s="95" t="s">
        <v>7</v>
      </c>
      <c r="AD1026" s="95" t="s">
        <v>7</v>
      </c>
      <c r="AE1026" s="95" t="s">
        <v>7</v>
      </c>
      <c r="AF1026" s="95" t="s">
        <v>7</v>
      </c>
      <c r="AG1026" s="95" t="s">
        <v>7</v>
      </c>
      <c r="AH1026" s="95" t="s">
        <v>7</v>
      </c>
      <c r="AI1026" s="95" t="s">
        <v>7</v>
      </c>
      <c r="AJ1026" s="96" t="s">
        <v>7</v>
      </c>
      <c r="AK1026" s="97" t="s">
        <v>7</v>
      </c>
      <c r="AL1026" s="95" t="s">
        <v>7</v>
      </c>
      <c r="AM1026" s="90"/>
      <c r="AN1026" s="90"/>
      <c r="AO1026" s="90"/>
      <c r="AP1026" s="90"/>
      <c r="AQ1026" s="90"/>
      <c r="AR1026" s="90"/>
      <c r="AS1026" s="90"/>
      <c r="AT1026" s="90"/>
      <c r="AU1026" s="90"/>
      <c r="AV1026" s="91"/>
      <c r="AX1026" s="92"/>
    </row>
    <row r="1027" customFormat="false" ht="15.65" hidden="false" customHeight="false" outlineLevel="0" collapsed="false">
      <c r="C1027" s="72" t="n">
        <f aca="false">COUNTIFS($D$6:D1027,"&lt;&gt;"&amp;"")</f>
        <v>1022</v>
      </c>
      <c r="D1027" s="73" t="s">
        <v>12</v>
      </c>
      <c r="E1027" s="76" t="str">
        <f aca="false">
IF($D1027="정상",INDEX(임대자산!$D$3:$R$3000,MATCH($F1027,임대자산!$I$3:$I$3000,0),MATCH(E$3,임대자산!$D$3:$R$3,0)),
IF($D1027="폐업",INDEX(폐업정보!$D$3:$R$3000,MATCH($F1027,폐업정보!$I$3:$I$3000,0),MATCH(E$3,폐업정보!$D$3:$R$3,0)),
"Error"))</f>
        <v>서울</v>
      </c>
      <c r="F102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B1022</v>
      </c>
      <c r="G1027" s="76" t="str">
        <f aca="false">F1027&amp;RANDBETWEEN(0,10)</f>
        <v>B10227</v>
      </c>
      <c r="H1027" s="75" t="n">
        <f aca="false">
IF($D1027="정상",INDEX(임대자산!$D$3:$R$3000,MATCH($F1027,임대자산!$I$3:$I$3000,0),MATCH(H$4,임대자산!$D$3:$R$3,0)),
IF($D1027="폐업",INDEX(폐업정보!$D$3:$R$3000,MATCH($F1027,폐업정보!$I$3:$I$3000,0),MATCH(H$4,폐업정보!$D$3:$R$3,0)),
"Error"))</f>
        <v>45393</v>
      </c>
      <c r="I1027" s="75" t="str">
        <f aca="false">
IF($D1027="정상",INDEX(임대자산!$D$3:$R$3000,MATCH($F1027,임대자산!$I$3:$I$3000,0),MATCH(I$4,임대자산!$D$3:$R$3,0)),
IF($D1027="폐업",INDEX(폐업정보!$D$3:$R$3000,MATCH($F1027,폐업정보!$I$3:$I$3000,0),MATCH(I$4,폐업정보!$D$3:$R$3,0)),
"Error"))</f>
        <v>A1022</v>
      </c>
      <c r="J1027" s="75" t="str">
        <f aca="false">
IF($D1027="정상",INDEX(임대자산!$D$3:$R$3000,MATCH($F1027,임대자산!$I$3:$I$3000,0),MATCH(J$4,임대자산!$D$3:$R$3,0)),
IF($D1027="폐업",INDEX(폐업정보!$D$3:$R$3000,MATCH($F1027,폐업정보!$I$3:$I$3000,0),MATCH(J$4,폐업정보!$D$3:$R$3,0)),
"Error"))</f>
        <v>6468700000</v>
      </c>
      <c r="K1027" s="75" t="str">
        <f aca="false">
IF($D1027="정상",INDEX(임대자산!$D$3:$R$3000,MATCH($F1027,임대자산!$I$3:$I$3000,0),MATCH(K$4,임대자산!$D$3:$R$3,0)),
IF($D1027="폐업",INDEX(폐업정보!$D$3:$R$3000,MATCH($F1027,폐업정보!$I$3:$I$3000,0),MATCH(K$4,폐업정보!$D$3:$R$3,0)),
"Error"))</f>
        <v>C1022</v>
      </c>
      <c r="L1027" s="75" t="str">
        <f aca="false">
IF($D1027="정상",INDEX(임대자산!$D$3:$R$3000,MATCH($F1027,임대자산!$I$3:$I$3000,0),MATCH(L$4,임대자산!$D$3:$R$3,0)),
IF($D1027="폐업",INDEX(폐업정보!$D$3:$R$3000,MATCH($F1027,폐업정보!$I$3:$I$3000,0),MATCH(L$4,폐업정보!$D$3:$R$3,0)),
"Error"))</f>
        <v>D1022</v>
      </c>
      <c r="M1027" s="76" t="s">
        <v>96</v>
      </c>
      <c r="N1027" s="77"/>
      <c r="O1027" s="78" t="s">
        <v>97</v>
      </c>
      <c r="P1027" s="79" t="n">
        <f aca="false">COUNTIFS(임대자산!$I:$I,가맹점정보!F1027,임대자산!$N:$N,가맹점정보!P$4)</f>
        <v>0</v>
      </c>
      <c r="Q1027" s="80" t="n">
        <f aca="false">COUNTIFS(임대자산!$I:$I,가맹점정보!F1027,임대자산!$N:$N,가맹점정보!Q$4)</f>
        <v>0</v>
      </c>
      <c r="R1027" s="81" t="n">
        <f aca="false">COUNTIFS(임대자산!$I:$I,가맹점정보!F1027,임대자산!$N:$N,가맹점정보!R$4)</f>
        <v>1</v>
      </c>
      <c r="S1027" s="82" t="n">
        <v>55000</v>
      </c>
      <c r="T1027" s="83" t="n">
        <v>0</v>
      </c>
      <c r="U1027" s="80" t="n">
        <f aca="false">SUM(S1027:T1027)</f>
        <v>55000</v>
      </c>
      <c r="V1027" s="84" t="s">
        <v>7</v>
      </c>
      <c r="W1027" s="80" t="str">
        <f aca="true">
IF(D1027="폐업","폐업",
IF(V1027="면제","면제",
IF(AND(V1027="정상",COUNTIFS(OFFSET(Y1027,0,COUNTA(Y1027:AV1027)-1,1,-4),"미납")&gt;=3),"장기미납",
IF(AND(V1027="정상",OFFSET(Y1027,0,COUNTA(Y1027:AV1027)-1)&gt;=U1027),"정상",
IF(AND(V1027="정상",OFFSET(Y1027,0,COUNTA(Y1027:AV1027)-1)=0),"정상",
"계약서 미작성")))))</f>
        <v>면제</v>
      </c>
      <c r="X1027" s="81" t="str">
        <f aca="true">
IF(D1027="폐업","폐업",
IF(AND(V1027="정상",OFFSET(Y1027,0,COUNTA(Y1027:AV1027)-1)="미납"),"미납",
IF(AND(V1027="정상",OFFSET(Y1027,0,COUNTA(Y1027:AV1027)-1)=0),"납부 시작 전",
IF(AND(V1027="정상",OFFSET(Y1027,0,COUNTA(Y1027:AV1027)-1)&gt;=U1027),"정상",
IF(AND(V1027="면제",OFFSET(Y1027,0,COUNTA(Y1027:AV1027)-1)="면제"),"면제",
IF(AND(V1027="면제",OFFSET(Y1027,0,COUNTA(Y1027:AV1027)-1)=0),"면제",
"확인요청"))))))</f>
        <v>면제</v>
      </c>
      <c r="Y1027" s="94" t="s">
        <v>7</v>
      </c>
      <c r="Z1027" s="95" t="s">
        <v>7</v>
      </c>
      <c r="AA1027" s="95" t="s">
        <v>7</v>
      </c>
      <c r="AB1027" s="95" t="s">
        <v>7</v>
      </c>
      <c r="AC1027" s="95" t="s">
        <v>7</v>
      </c>
      <c r="AD1027" s="95" t="s">
        <v>7</v>
      </c>
      <c r="AE1027" s="95" t="s">
        <v>7</v>
      </c>
      <c r="AF1027" s="95" t="s">
        <v>7</v>
      </c>
      <c r="AG1027" s="95" t="s">
        <v>7</v>
      </c>
      <c r="AH1027" s="95" t="s">
        <v>7</v>
      </c>
      <c r="AI1027" s="95" t="s">
        <v>7</v>
      </c>
      <c r="AJ1027" s="96" t="s">
        <v>7</v>
      </c>
      <c r="AK1027" s="97" t="s">
        <v>7</v>
      </c>
      <c r="AL1027" s="95" t="s">
        <v>7</v>
      </c>
      <c r="AM1027" s="90"/>
      <c r="AN1027" s="90"/>
      <c r="AO1027" s="90"/>
      <c r="AP1027" s="90"/>
      <c r="AQ1027" s="90"/>
      <c r="AR1027" s="90"/>
      <c r="AS1027" s="90"/>
      <c r="AT1027" s="90"/>
      <c r="AU1027" s="90"/>
      <c r="AV1027" s="91"/>
      <c r="AX1027" s="92"/>
    </row>
    <row r="1028" customFormat="false" ht="15.65" hidden="false" customHeight="false" outlineLevel="0" collapsed="false">
      <c r="C1028" s="72" t="n">
        <f aca="false">COUNTIFS($D$6:D1028,"&lt;&gt;"&amp;"")</f>
        <v>1023</v>
      </c>
      <c r="D1028" s="73" t="s">
        <v>12</v>
      </c>
      <c r="E1028" s="76" t="str">
        <f aca="false">
IF($D1028="정상",INDEX(임대자산!$D$3:$R$3000,MATCH($F1028,임대자산!$I$3:$I$3000,0),MATCH(E$3,임대자산!$D$3:$R$3,0)),
IF($D1028="폐업",INDEX(폐업정보!$D$3:$R$3000,MATCH($F1028,폐업정보!$I$3:$I$3000,0),MATCH(E$3,폐업정보!$D$3:$R$3,0)),
"Error"))</f>
        <v>서울</v>
      </c>
      <c r="F102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B1023</v>
      </c>
      <c r="G1028" s="76" t="str">
        <f aca="false">F1028&amp;RANDBETWEEN(0,10)</f>
        <v>B102310</v>
      </c>
      <c r="H1028" s="75" t="n">
        <f aca="false">
IF($D1028="정상",INDEX(임대자산!$D$3:$R$3000,MATCH($F1028,임대자산!$I$3:$I$3000,0),MATCH(H$4,임대자산!$D$3:$R$3,0)),
IF($D1028="폐업",INDEX(폐업정보!$D$3:$R$3000,MATCH($F1028,폐업정보!$I$3:$I$3000,0),MATCH(H$4,폐업정보!$D$3:$R$3,0)),
"Error"))</f>
        <v>44673</v>
      </c>
      <c r="I1028" s="75" t="str">
        <f aca="false">
IF($D1028="정상",INDEX(임대자산!$D$3:$R$3000,MATCH($F1028,임대자산!$I$3:$I$3000,0),MATCH(I$4,임대자산!$D$3:$R$3,0)),
IF($D1028="폐업",INDEX(폐업정보!$D$3:$R$3000,MATCH($F1028,폐업정보!$I$3:$I$3000,0),MATCH(I$4,폐업정보!$D$3:$R$3,0)),
"Error"))</f>
        <v>A1023</v>
      </c>
      <c r="J1028" s="75" t="str">
        <f aca="false">
IF($D1028="정상",INDEX(임대자산!$D$3:$R$3000,MATCH($F1028,임대자산!$I$3:$I$3000,0),MATCH(J$4,임대자산!$D$3:$R$3,0)),
IF($D1028="폐업",INDEX(폐업정보!$D$3:$R$3000,MATCH($F1028,폐업정보!$I$3:$I$3000,0),MATCH(J$4,폐업정보!$D$3:$R$3,0)),
"Error"))</f>
        <v>9663400000</v>
      </c>
      <c r="K1028" s="75" t="str">
        <f aca="false">
IF($D1028="정상",INDEX(임대자산!$D$3:$R$3000,MATCH($F1028,임대자산!$I$3:$I$3000,0),MATCH(K$4,임대자산!$D$3:$R$3,0)),
IF($D1028="폐업",INDEX(폐업정보!$D$3:$R$3000,MATCH($F1028,폐업정보!$I$3:$I$3000,0),MATCH(K$4,폐업정보!$D$3:$R$3,0)),
"Error"))</f>
        <v>C1023</v>
      </c>
      <c r="L1028" s="75" t="str">
        <f aca="false">
IF($D1028="정상",INDEX(임대자산!$D$3:$R$3000,MATCH($F1028,임대자산!$I$3:$I$3000,0),MATCH(L$4,임대자산!$D$3:$R$3,0)),
IF($D1028="폐업",INDEX(폐업정보!$D$3:$R$3000,MATCH($F1028,폐업정보!$I$3:$I$3000,0),MATCH(L$4,폐업정보!$D$3:$R$3,0)),
"Error"))</f>
        <v>D1023</v>
      </c>
      <c r="M1028" s="76" t="s">
        <v>96</v>
      </c>
      <c r="N1028" s="77"/>
      <c r="O1028" s="78" t="s">
        <v>97</v>
      </c>
      <c r="P1028" s="79" t="n">
        <f aca="false">COUNTIFS(임대자산!$I:$I,가맹점정보!F1028,임대자산!$N:$N,가맹점정보!P$4)</f>
        <v>0</v>
      </c>
      <c r="Q1028" s="80" t="n">
        <f aca="false">COUNTIFS(임대자산!$I:$I,가맹점정보!F1028,임대자산!$N:$N,가맹점정보!Q$4)</f>
        <v>0</v>
      </c>
      <c r="R1028" s="81" t="n">
        <f aca="false">COUNTIFS(임대자산!$I:$I,가맹점정보!F1028,임대자산!$N:$N,가맹점정보!R$4)</f>
        <v>1</v>
      </c>
      <c r="S1028" s="82" t="n">
        <v>55000</v>
      </c>
      <c r="T1028" s="83" t="n">
        <v>0</v>
      </c>
      <c r="U1028" s="80" t="n">
        <f aca="false">SUM(S1028:T1028)</f>
        <v>55000</v>
      </c>
      <c r="V1028" s="84" t="s">
        <v>7</v>
      </c>
      <c r="W1028" s="80" t="str">
        <f aca="true">
IF(D1028="폐업","폐업",
IF(V1028="면제","면제",
IF(AND(V1028="정상",COUNTIFS(OFFSET(Y1028,0,COUNTA(Y1028:AV1028)-1,1,-4),"미납")&gt;=3),"장기미납",
IF(AND(V1028="정상",OFFSET(Y1028,0,COUNTA(Y1028:AV1028)-1)&gt;=U1028),"정상",
IF(AND(V1028="정상",OFFSET(Y1028,0,COUNTA(Y1028:AV1028)-1)=0),"정상",
"계약서 미작성")))))</f>
        <v>면제</v>
      </c>
      <c r="X1028" s="81" t="str">
        <f aca="true">
IF(D1028="폐업","폐업",
IF(AND(V1028="정상",OFFSET(Y1028,0,COUNTA(Y1028:AV1028)-1)="미납"),"미납",
IF(AND(V1028="정상",OFFSET(Y1028,0,COUNTA(Y1028:AV1028)-1)=0),"납부 시작 전",
IF(AND(V1028="정상",OFFSET(Y1028,0,COUNTA(Y1028:AV1028)-1)&gt;=U1028),"정상",
IF(AND(V1028="면제",OFFSET(Y1028,0,COUNTA(Y1028:AV1028)-1)="면제"),"면제",
IF(AND(V1028="면제",OFFSET(Y1028,0,COUNTA(Y1028:AV1028)-1)=0),"면제",
"확인요청"))))))</f>
        <v>면제</v>
      </c>
      <c r="Y1028" s="94" t="s">
        <v>7</v>
      </c>
      <c r="Z1028" s="95" t="s">
        <v>7</v>
      </c>
      <c r="AA1028" s="95" t="s">
        <v>7</v>
      </c>
      <c r="AB1028" s="95" t="s">
        <v>7</v>
      </c>
      <c r="AC1028" s="95" t="s">
        <v>7</v>
      </c>
      <c r="AD1028" s="95" t="s">
        <v>7</v>
      </c>
      <c r="AE1028" s="95" t="s">
        <v>7</v>
      </c>
      <c r="AF1028" s="95" t="s">
        <v>7</v>
      </c>
      <c r="AG1028" s="95" t="s">
        <v>7</v>
      </c>
      <c r="AH1028" s="95" t="s">
        <v>7</v>
      </c>
      <c r="AI1028" s="95" t="s">
        <v>7</v>
      </c>
      <c r="AJ1028" s="96" t="s">
        <v>7</v>
      </c>
      <c r="AK1028" s="97" t="s">
        <v>7</v>
      </c>
      <c r="AL1028" s="95" t="s">
        <v>7</v>
      </c>
      <c r="AM1028" s="90"/>
      <c r="AN1028" s="90"/>
      <c r="AO1028" s="90"/>
      <c r="AP1028" s="90"/>
      <c r="AQ1028" s="90"/>
      <c r="AR1028" s="90"/>
      <c r="AS1028" s="90"/>
      <c r="AT1028" s="90"/>
      <c r="AU1028" s="90"/>
      <c r="AV1028" s="91"/>
      <c r="AX1028" s="92"/>
    </row>
    <row r="1029" customFormat="false" ht="15.65" hidden="false" customHeight="false" outlineLevel="0" collapsed="false">
      <c r="C1029" s="72" t="n">
        <f aca="false">COUNTIFS($D$6:D1029,"&lt;&gt;"&amp;"")</f>
        <v>1024</v>
      </c>
      <c r="D1029" s="73" t="s">
        <v>12</v>
      </c>
      <c r="E1029" s="76" t="str">
        <f aca="false">
IF($D1029="정상",INDEX(임대자산!$D$3:$R$3000,MATCH($F1029,임대자산!$I$3:$I$3000,0),MATCH(E$3,임대자산!$D$3:$R$3,0)),
IF($D1029="폐업",INDEX(폐업정보!$D$3:$R$3000,MATCH($F1029,폐업정보!$I$3:$I$3000,0),MATCH(E$3,폐업정보!$D$3:$R$3,0)),
"Error"))</f>
        <v>서울</v>
      </c>
      <c r="F102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B1024</v>
      </c>
      <c r="G1029" s="76" t="str">
        <f aca="false">F1029&amp;RANDBETWEEN(0,10)</f>
        <v>B10246</v>
      </c>
      <c r="H1029" s="75" t="n">
        <f aca="false">
IF($D1029="정상",INDEX(임대자산!$D$3:$R$3000,MATCH($F1029,임대자산!$I$3:$I$3000,0),MATCH(H$4,임대자산!$D$3:$R$3,0)),
IF($D1029="폐업",INDEX(폐업정보!$D$3:$R$3000,MATCH($F1029,폐업정보!$I$3:$I$3000,0),MATCH(H$4,폐업정보!$D$3:$R$3,0)),
"Error"))</f>
        <v>45476</v>
      </c>
      <c r="I1029" s="75" t="str">
        <f aca="false">
IF($D1029="정상",INDEX(임대자산!$D$3:$R$3000,MATCH($F1029,임대자산!$I$3:$I$3000,0),MATCH(I$4,임대자산!$D$3:$R$3,0)),
IF($D1029="폐업",INDEX(폐업정보!$D$3:$R$3000,MATCH($F1029,폐업정보!$I$3:$I$3000,0),MATCH(I$4,폐업정보!$D$3:$R$3,0)),
"Error"))</f>
        <v>A1024</v>
      </c>
      <c r="J1029" s="75" t="str">
        <f aca="false">
IF($D1029="정상",INDEX(임대자산!$D$3:$R$3000,MATCH($F1029,임대자산!$I$3:$I$3000,0),MATCH(J$4,임대자산!$D$3:$R$3,0)),
IF($D1029="폐업",INDEX(폐업정보!$D$3:$R$3000,MATCH($F1029,폐업정보!$I$3:$I$3000,0),MATCH(J$4,폐업정보!$D$3:$R$3,0)),
"Error"))</f>
        <v>3046700000</v>
      </c>
      <c r="K1029" s="75" t="str">
        <f aca="false">
IF($D1029="정상",INDEX(임대자산!$D$3:$R$3000,MATCH($F1029,임대자산!$I$3:$I$3000,0),MATCH(K$4,임대자산!$D$3:$R$3,0)),
IF($D1029="폐업",INDEX(폐업정보!$D$3:$R$3000,MATCH($F1029,폐업정보!$I$3:$I$3000,0),MATCH(K$4,폐업정보!$D$3:$R$3,0)),
"Error"))</f>
        <v>C1024</v>
      </c>
      <c r="L1029" s="75" t="str">
        <f aca="false">
IF($D1029="정상",INDEX(임대자산!$D$3:$R$3000,MATCH($F1029,임대자산!$I$3:$I$3000,0),MATCH(L$4,임대자산!$D$3:$R$3,0)),
IF($D1029="폐업",INDEX(폐업정보!$D$3:$R$3000,MATCH($F1029,폐업정보!$I$3:$I$3000,0),MATCH(L$4,폐업정보!$D$3:$R$3,0)),
"Error"))</f>
        <v>D1024</v>
      </c>
      <c r="M1029" s="76" t="s">
        <v>96</v>
      </c>
      <c r="N1029" s="77"/>
      <c r="O1029" s="78" t="s">
        <v>97</v>
      </c>
      <c r="P1029" s="79" t="n">
        <f aca="false">COUNTIFS(임대자산!$I:$I,가맹점정보!F1029,임대자산!$N:$N,가맹점정보!P$4)</f>
        <v>0</v>
      </c>
      <c r="Q1029" s="80" t="n">
        <f aca="false">COUNTIFS(임대자산!$I:$I,가맹점정보!F1029,임대자산!$N:$N,가맹점정보!Q$4)</f>
        <v>0</v>
      </c>
      <c r="R1029" s="81" t="n">
        <f aca="false">COUNTIFS(임대자산!$I:$I,가맹점정보!F1029,임대자산!$N:$N,가맹점정보!R$4)</f>
        <v>1</v>
      </c>
      <c r="S1029" s="82" t="n">
        <v>132000</v>
      </c>
      <c r="T1029" s="83" t="n">
        <v>0</v>
      </c>
      <c r="U1029" s="80" t="n">
        <f aca="false">SUM(S1029:T1029)</f>
        <v>132000</v>
      </c>
      <c r="V1029" s="84" t="s">
        <v>7</v>
      </c>
      <c r="W1029" s="80" t="str">
        <f aca="true">
IF(D1029="폐업","폐업",
IF(V1029="면제","면제",
IF(AND(V1029="정상",COUNTIFS(OFFSET(Y1029,0,COUNTA(Y1029:AV1029)-1,1,-4),"미납")&gt;=3),"장기미납",
IF(AND(V1029="정상",OFFSET(Y1029,0,COUNTA(Y1029:AV1029)-1)&gt;=U1029),"정상",
IF(AND(V1029="정상",OFFSET(Y1029,0,COUNTA(Y1029:AV1029)-1)=0),"정상",
"계약서 미작성")))))</f>
        <v>면제</v>
      </c>
      <c r="X1029" s="81" t="str">
        <f aca="true">
IF(D1029="폐업","폐업",
IF(AND(V1029="정상",OFFSET(Y1029,0,COUNTA(Y1029:AV1029)-1)="미납"),"미납",
IF(AND(V1029="정상",OFFSET(Y1029,0,COUNTA(Y1029:AV1029)-1)=0),"납부 시작 전",
IF(AND(V1029="정상",OFFSET(Y1029,0,COUNTA(Y1029:AV1029)-1)&gt;=U1029),"정상",
IF(AND(V1029="면제",OFFSET(Y1029,0,COUNTA(Y1029:AV1029)-1)="면제"),"면제",
IF(AND(V1029="면제",OFFSET(Y1029,0,COUNTA(Y1029:AV1029)-1)=0),"면제",
"확인요청"))))))</f>
        <v>면제</v>
      </c>
      <c r="Y1029" s="94" t="s">
        <v>7</v>
      </c>
      <c r="Z1029" s="95" t="s">
        <v>7</v>
      </c>
      <c r="AA1029" s="95" t="s">
        <v>7</v>
      </c>
      <c r="AB1029" s="95" t="s">
        <v>7</v>
      </c>
      <c r="AC1029" s="95" t="s">
        <v>7</v>
      </c>
      <c r="AD1029" s="95" t="s">
        <v>7</v>
      </c>
      <c r="AE1029" s="95" t="s">
        <v>7</v>
      </c>
      <c r="AF1029" s="95" t="s">
        <v>7</v>
      </c>
      <c r="AG1029" s="95" t="s">
        <v>7</v>
      </c>
      <c r="AH1029" s="95" t="s">
        <v>7</v>
      </c>
      <c r="AI1029" s="95" t="s">
        <v>7</v>
      </c>
      <c r="AJ1029" s="96" t="s">
        <v>7</v>
      </c>
      <c r="AK1029" s="97" t="s">
        <v>7</v>
      </c>
      <c r="AL1029" s="95" t="s">
        <v>7</v>
      </c>
      <c r="AM1029" s="90"/>
      <c r="AN1029" s="90"/>
      <c r="AO1029" s="90"/>
      <c r="AP1029" s="90"/>
      <c r="AQ1029" s="90"/>
      <c r="AR1029" s="90"/>
      <c r="AS1029" s="90"/>
      <c r="AT1029" s="90"/>
      <c r="AU1029" s="90"/>
      <c r="AV1029" s="91"/>
      <c r="AX1029" s="92"/>
    </row>
    <row r="1030" customFormat="false" ht="15.65" hidden="false" customHeight="false" outlineLevel="0" collapsed="false">
      <c r="C1030" s="72" t="n">
        <f aca="false">COUNTIFS($D$6:D1030,"&lt;&gt;"&amp;"")</f>
        <v>1025</v>
      </c>
      <c r="D1030" s="73" t="s">
        <v>12</v>
      </c>
      <c r="E1030" s="76" t="str">
        <f aca="false">
IF($D1030="정상",INDEX(임대자산!$D$3:$R$3000,MATCH($F1030,임대자산!$I$3:$I$3000,0),MATCH(E$3,임대자산!$D$3:$R$3,0)),
IF($D1030="폐업",INDEX(폐업정보!$D$3:$R$3000,MATCH($F1030,폐업정보!$I$3:$I$3000,0),MATCH(E$3,폐업정보!$D$3:$R$3,0)),
"Error"))</f>
        <v>서울</v>
      </c>
      <c r="F103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B1025</v>
      </c>
      <c r="G1030" s="76" t="str">
        <f aca="false">F1030&amp;RANDBETWEEN(0,10)</f>
        <v>B102510</v>
      </c>
      <c r="H1030" s="75" t="n">
        <f aca="false">
IF($D1030="정상",INDEX(임대자산!$D$3:$R$3000,MATCH($F1030,임대자산!$I$3:$I$3000,0),MATCH(H$4,임대자산!$D$3:$R$3,0)),
IF($D1030="폐업",INDEX(폐업정보!$D$3:$R$3000,MATCH($F1030,폐업정보!$I$3:$I$3000,0),MATCH(H$4,폐업정보!$D$3:$R$3,0)),
"Error"))</f>
        <v>45484</v>
      </c>
      <c r="I1030" s="75" t="str">
        <f aca="false">
IF($D1030="정상",INDEX(임대자산!$D$3:$R$3000,MATCH($F1030,임대자산!$I$3:$I$3000,0),MATCH(I$4,임대자산!$D$3:$R$3,0)),
IF($D1030="폐업",INDEX(폐업정보!$D$3:$R$3000,MATCH($F1030,폐업정보!$I$3:$I$3000,0),MATCH(I$4,폐업정보!$D$3:$R$3,0)),
"Error"))</f>
        <v>A1025</v>
      </c>
      <c r="J1030" s="75" t="str">
        <f aca="false">
IF($D1030="정상",INDEX(임대자산!$D$3:$R$3000,MATCH($F1030,임대자산!$I$3:$I$3000,0),MATCH(J$4,임대자산!$D$3:$R$3,0)),
IF($D1030="폐업",INDEX(폐업정보!$D$3:$R$3000,MATCH($F1030,폐업정보!$I$3:$I$3000,0),MATCH(J$4,폐업정보!$D$3:$R$3,0)),
"Error"))</f>
        <v>6000900000</v>
      </c>
      <c r="K1030" s="75" t="str">
        <f aca="false">
IF($D1030="정상",INDEX(임대자산!$D$3:$R$3000,MATCH($F1030,임대자산!$I$3:$I$3000,0),MATCH(K$4,임대자산!$D$3:$R$3,0)),
IF($D1030="폐업",INDEX(폐업정보!$D$3:$R$3000,MATCH($F1030,폐업정보!$I$3:$I$3000,0),MATCH(K$4,폐업정보!$D$3:$R$3,0)),
"Error"))</f>
        <v>C1025</v>
      </c>
      <c r="L1030" s="75" t="str">
        <f aca="false">
IF($D1030="정상",INDEX(임대자산!$D$3:$R$3000,MATCH($F1030,임대자산!$I$3:$I$3000,0),MATCH(L$4,임대자산!$D$3:$R$3,0)),
IF($D1030="폐업",INDEX(폐업정보!$D$3:$R$3000,MATCH($F1030,폐업정보!$I$3:$I$3000,0),MATCH(L$4,폐업정보!$D$3:$R$3,0)),
"Error"))</f>
        <v>D1025</v>
      </c>
      <c r="M1030" s="76" t="s">
        <v>96</v>
      </c>
      <c r="N1030" s="77"/>
      <c r="O1030" s="78" t="s">
        <v>97</v>
      </c>
      <c r="P1030" s="79" t="n">
        <f aca="false">COUNTIFS(임대자산!$I:$I,가맹점정보!F1030,임대자산!$N:$N,가맹점정보!P$4)</f>
        <v>0</v>
      </c>
      <c r="Q1030" s="80" t="n">
        <f aca="false">COUNTIFS(임대자산!$I:$I,가맹점정보!F1030,임대자산!$N:$N,가맹점정보!Q$4)</f>
        <v>0</v>
      </c>
      <c r="R1030" s="81" t="n">
        <f aca="false">COUNTIFS(임대자산!$I:$I,가맹점정보!F1030,임대자산!$N:$N,가맹점정보!R$4)</f>
        <v>1</v>
      </c>
      <c r="S1030" s="82" t="n">
        <v>55000</v>
      </c>
      <c r="T1030" s="83" t="n">
        <v>0</v>
      </c>
      <c r="U1030" s="80" t="n">
        <f aca="false">SUM(S1030:T1030)</f>
        <v>55000</v>
      </c>
      <c r="V1030" s="84" t="s">
        <v>7</v>
      </c>
      <c r="W1030" s="80" t="str">
        <f aca="true">
IF(D1030="폐업","폐업",
IF(V1030="면제","면제",
IF(AND(V1030="정상",COUNTIFS(OFFSET(Y1030,0,COUNTA(Y1030:AV1030)-1,1,-4),"미납")&gt;=3),"장기미납",
IF(AND(V1030="정상",OFFSET(Y1030,0,COUNTA(Y1030:AV1030)-1)&gt;=U1030),"정상",
IF(AND(V1030="정상",OFFSET(Y1030,0,COUNTA(Y1030:AV1030)-1)=0),"정상",
"계약서 미작성")))))</f>
        <v>면제</v>
      </c>
      <c r="X1030" s="81" t="str">
        <f aca="true">
IF(D1030="폐업","폐업",
IF(AND(V1030="정상",OFFSET(Y1030,0,COUNTA(Y1030:AV1030)-1)="미납"),"미납",
IF(AND(V1030="정상",OFFSET(Y1030,0,COUNTA(Y1030:AV1030)-1)=0),"납부 시작 전",
IF(AND(V1030="정상",OFFSET(Y1030,0,COUNTA(Y1030:AV1030)-1)&gt;=U1030),"정상",
IF(AND(V1030="면제",OFFSET(Y1030,0,COUNTA(Y1030:AV1030)-1)="면제"),"면제",
IF(AND(V1030="면제",OFFSET(Y1030,0,COUNTA(Y1030:AV1030)-1)=0),"면제",
"확인요청"))))))</f>
        <v>면제</v>
      </c>
      <c r="Y1030" s="94" t="s">
        <v>7</v>
      </c>
      <c r="Z1030" s="95" t="s">
        <v>7</v>
      </c>
      <c r="AA1030" s="95" t="s">
        <v>7</v>
      </c>
      <c r="AB1030" s="95" t="s">
        <v>7</v>
      </c>
      <c r="AC1030" s="95" t="s">
        <v>7</v>
      </c>
      <c r="AD1030" s="95" t="s">
        <v>7</v>
      </c>
      <c r="AE1030" s="95" t="s">
        <v>7</v>
      </c>
      <c r="AF1030" s="95" t="s">
        <v>7</v>
      </c>
      <c r="AG1030" s="95" t="s">
        <v>7</v>
      </c>
      <c r="AH1030" s="95" t="s">
        <v>7</v>
      </c>
      <c r="AI1030" s="95" t="s">
        <v>7</v>
      </c>
      <c r="AJ1030" s="96" t="s">
        <v>7</v>
      </c>
      <c r="AK1030" s="97" t="s">
        <v>7</v>
      </c>
      <c r="AL1030" s="95" t="s">
        <v>7</v>
      </c>
      <c r="AM1030" s="90"/>
      <c r="AN1030" s="90"/>
      <c r="AO1030" s="90"/>
      <c r="AP1030" s="90"/>
      <c r="AQ1030" s="90"/>
      <c r="AR1030" s="90"/>
      <c r="AS1030" s="90"/>
      <c r="AT1030" s="90"/>
      <c r="AU1030" s="90"/>
      <c r="AV1030" s="91"/>
      <c r="AX1030" s="92"/>
    </row>
    <row r="1031" customFormat="false" ht="15.65" hidden="false" customHeight="false" outlineLevel="0" collapsed="false">
      <c r="C1031" s="72" t="n">
        <f aca="false">COUNTIFS($D$6:D1031,"&lt;&gt;"&amp;"")</f>
        <v>1026</v>
      </c>
      <c r="D1031" s="73" t="s">
        <v>12</v>
      </c>
      <c r="E1031" s="76" t="str">
        <f aca="false">
IF($D1031="정상",INDEX(임대자산!$D$3:$R$3000,MATCH($F1031,임대자산!$I$3:$I$3000,0),MATCH(E$3,임대자산!$D$3:$R$3,0)),
IF($D1031="폐업",INDEX(폐업정보!$D$3:$R$3000,MATCH($F1031,폐업정보!$I$3:$I$3000,0),MATCH(E$3,폐업정보!$D$3:$R$3,0)),
"Error"))</f>
        <v>서울</v>
      </c>
      <c r="F103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B1026</v>
      </c>
      <c r="G1031" s="76" t="str">
        <f aca="false">F1031&amp;RANDBETWEEN(0,10)</f>
        <v>B10260</v>
      </c>
      <c r="H1031" s="75" t="n">
        <f aca="false">
IF($D1031="정상",INDEX(임대자산!$D$3:$R$3000,MATCH($F1031,임대자산!$I$3:$I$3000,0),MATCH(H$4,임대자산!$D$3:$R$3,0)),
IF($D1031="폐업",INDEX(폐업정보!$D$3:$R$3000,MATCH($F1031,폐업정보!$I$3:$I$3000,0),MATCH(H$4,폐업정보!$D$3:$R$3,0)),
"Error"))</f>
        <v>45810</v>
      </c>
      <c r="I1031" s="75" t="str">
        <f aca="false">
IF($D1031="정상",INDEX(임대자산!$D$3:$R$3000,MATCH($F1031,임대자산!$I$3:$I$3000,0),MATCH(I$4,임대자산!$D$3:$R$3,0)),
IF($D1031="폐업",INDEX(폐업정보!$D$3:$R$3000,MATCH($F1031,폐업정보!$I$3:$I$3000,0),MATCH(I$4,폐업정보!$D$3:$R$3,0)),
"Error"))</f>
        <v>A1026</v>
      </c>
      <c r="J1031" s="75" t="str">
        <f aca="false">
IF($D1031="정상",INDEX(임대자산!$D$3:$R$3000,MATCH($F1031,임대자산!$I$3:$I$3000,0),MATCH(J$4,임대자산!$D$3:$R$3,0)),
IF($D1031="폐업",INDEX(폐업정보!$D$3:$R$3000,MATCH($F1031,폐업정보!$I$3:$I$3000,0),MATCH(J$4,폐업정보!$D$3:$R$3,0)),
"Error"))</f>
        <v>2626700000</v>
      </c>
      <c r="K1031" s="75" t="str">
        <f aca="false">
IF($D1031="정상",INDEX(임대자산!$D$3:$R$3000,MATCH($F1031,임대자산!$I$3:$I$3000,0),MATCH(K$4,임대자산!$D$3:$R$3,0)),
IF($D1031="폐업",INDEX(폐업정보!$D$3:$R$3000,MATCH($F1031,폐업정보!$I$3:$I$3000,0),MATCH(K$4,폐업정보!$D$3:$R$3,0)),
"Error"))</f>
        <v>C1026</v>
      </c>
      <c r="L1031" s="75" t="str">
        <f aca="false">
IF($D1031="정상",INDEX(임대자산!$D$3:$R$3000,MATCH($F1031,임대자산!$I$3:$I$3000,0),MATCH(L$4,임대자산!$D$3:$R$3,0)),
IF($D1031="폐업",INDEX(폐업정보!$D$3:$R$3000,MATCH($F1031,폐업정보!$I$3:$I$3000,0),MATCH(L$4,폐업정보!$D$3:$R$3,0)),
"Error"))</f>
        <v>D1026</v>
      </c>
      <c r="M1031" s="76" t="s">
        <v>96</v>
      </c>
      <c r="N1031" s="77"/>
      <c r="O1031" s="78" t="s">
        <v>97</v>
      </c>
      <c r="P1031" s="79" t="n">
        <f aca="false">COUNTIFS(임대자산!$I:$I,가맹점정보!F1031,임대자산!$N:$N,가맹점정보!P$4)</f>
        <v>0</v>
      </c>
      <c r="Q1031" s="80" t="n">
        <f aca="false">COUNTIFS(임대자산!$I:$I,가맹점정보!F1031,임대자산!$N:$N,가맹점정보!Q$4)</f>
        <v>0</v>
      </c>
      <c r="R1031" s="81" t="n">
        <f aca="false">COUNTIFS(임대자산!$I:$I,가맹점정보!F1031,임대자산!$N:$N,가맹점정보!R$4)</f>
        <v>1</v>
      </c>
      <c r="S1031" s="82" t="n">
        <v>55000</v>
      </c>
      <c r="T1031" s="83" t="n">
        <v>0</v>
      </c>
      <c r="U1031" s="80" t="n">
        <f aca="false">SUM(S1031:T1031)</f>
        <v>55000</v>
      </c>
      <c r="V1031" s="84" t="s">
        <v>7</v>
      </c>
      <c r="W1031" s="80" t="str">
        <f aca="true">
IF(D1031="폐업","폐업",
IF(V1031="면제","면제",
IF(AND(V1031="정상",COUNTIFS(OFFSET(Y1031,0,COUNTA(Y1031:AV1031)-1,1,-4),"미납")&gt;=3),"장기미납",
IF(AND(V1031="정상",OFFSET(Y1031,0,COUNTA(Y1031:AV1031)-1)&gt;=U1031),"정상",
IF(AND(V1031="정상",OFFSET(Y1031,0,COUNTA(Y1031:AV1031)-1)=0),"정상",
"계약서 미작성")))))</f>
        <v>면제</v>
      </c>
      <c r="X1031" s="81" t="str">
        <f aca="true">
IF(D1031="폐업","폐업",
IF(AND(V1031="정상",OFFSET(Y1031,0,COUNTA(Y1031:AV1031)-1)="미납"),"미납",
IF(AND(V1031="정상",OFFSET(Y1031,0,COUNTA(Y1031:AV1031)-1)=0),"납부 시작 전",
IF(AND(V1031="정상",OFFSET(Y1031,0,COUNTA(Y1031:AV1031)-1)&gt;=U1031),"정상",
IF(AND(V1031="면제",OFFSET(Y1031,0,COUNTA(Y1031:AV1031)-1)="면제"),"면제",
IF(AND(V1031="면제",OFFSET(Y1031,0,COUNTA(Y1031:AV1031)-1)=0),"면제",
"확인요청"))))))</f>
        <v>면제</v>
      </c>
      <c r="Y1031" s="94" t="s">
        <v>7</v>
      </c>
      <c r="Z1031" s="95" t="s">
        <v>7</v>
      </c>
      <c r="AA1031" s="95" t="s">
        <v>7</v>
      </c>
      <c r="AB1031" s="95" t="s">
        <v>7</v>
      </c>
      <c r="AC1031" s="95" t="s">
        <v>7</v>
      </c>
      <c r="AD1031" s="95" t="s">
        <v>7</v>
      </c>
      <c r="AE1031" s="95" t="s">
        <v>7</v>
      </c>
      <c r="AF1031" s="95" t="s">
        <v>7</v>
      </c>
      <c r="AG1031" s="95" t="s">
        <v>7</v>
      </c>
      <c r="AH1031" s="95" t="s">
        <v>7</v>
      </c>
      <c r="AI1031" s="95" t="s">
        <v>7</v>
      </c>
      <c r="AJ1031" s="96" t="s">
        <v>7</v>
      </c>
      <c r="AK1031" s="97" t="s">
        <v>7</v>
      </c>
      <c r="AL1031" s="95" t="s">
        <v>7</v>
      </c>
      <c r="AM1031" s="90"/>
      <c r="AN1031" s="90"/>
      <c r="AO1031" s="90"/>
      <c r="AP1031" s="90"/>
      <c r="AQ1031" s="90"/>
      <c r="AR1031" s="90"/>
      <c r="AS1031" s="90"/>
      <c r="AT1031" s="90"/>
      <c r="AU1031" s="90"/>
      <c r="AV1031" s="91"/>
      <c r="AX1031" s="92"/>
    </row>
    <row r="1032" customFormat="false" ht="15.65" hidden="false" customHeight="false" outlineLevel="0" collapsed="false">
      <c r="C1032" s="72" t="n">
        <f aca="false">COUNTIFS($D$6:D1032,"&lt;&gt;"&amp;"")</f>
        <v>1027</v>
      </c>
      <c r="D1032" s="73" t="s">
        <v>12</v>
      </c>
      <c r="E1032" s="76" t="str">
        <f aca="false">
IF($D1032="정상",INDEX(임대자산!$D$3:$R$3000,MATCH($F1032,임대자산!$I$3:$I$3000,0),MATCH(E$3,임대자산!$D$3:$R$3,0)),
IF($D1032="폐업",INDEX(폐업정보!$D$3:$R$3000,MATCH($F1032,폐업정보!$I$3:$I$3000,0),MATCH(E$3,폐업정보!$D$3:$R$3,0)),
"Error"))</f>
        <v>서울</v>
      </c>
      <c r="F103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B1027</v>
      </c>
      <c r="G1032" s="76" t="str">
        <f aca="false">F1032&amp;RANDBETWEEN(0,10)</f>
        <v>B10277</v>
      </c>
      <c r="H1032" s="75" t="n">
        <f aca="false">
IF($D1032="정상",INDEX(임대자산!$D$3:$R$3000,MATCH($F1032,임대자산!$I$3:$I$3000,0),MATCH(H$4,임대자산!$D$3:$R$3,0)),
IF($D1032="폐업",INDEX(폐업정보!$D$3:$R$3000,MATCH($F1032,폐업정보!$I$3:$I$3000,0),MATCH(H$4,폐업정보!$D$3:$R$3,0)),
"Error"))</f>
        <v>45825</v>
      </c>
      <c r="I1032" s="75" t="str">
        <f aca="false">
IF($D1032="정상",INDEX(임대자산!$D$3:$R$3000,MATCH($F1032,임대자산!$I$3:$I$3000,0),MATCH(I$4,임대자산!$D$3:$R$3,0)),
IF($D1032="폐업",INDEX(폐업정보!$D$3:$R$3000,MATCH($F1032,폐업정보!$I$3:$I$3000,0),MATCH(I$4,폐업정보!$D$3:$R$3,0)),
"Error"))</f>
        <v>A1027</v>
      </c>
      <c r="J1032" s="75" t="str">
        <f aca="false">
IF($D1032="정상",INDEX(임대자산!$D$3:$R$3000,MATCH($F1032,임대자산!$I$3:$I$3000,0),MATCH(J$4,임대자산!$D$3:$R$3,0)),
IF($D1032="폐업",INDEX(폐업정보!$D$3:$R$3000,MATCH($F1032,폐업정보!$I$3:$I$3000,0),MATCH(J$4,폐업정보!$D$3:$R$3,0)),
"Error"))</f>
        <v>8967500000</v>
      </c>
      <c r="K1032" s="75" t="str">
        <f aca="false">
IF($D1032="정상",INDEX(임대자산!$D$3:$R$3000,MATCH($F1032,임대자산!$I$3:$I$3000,0),MATCH(K$4,임대자산!$D$3:$R$3,0)),
IF($D1032="폐업",INDEX(폐업정보!$D$3:$R$3000,MATCH($F1032,폐업정보!$I$3:$I$3000,0),MATCH(K$4,폐업정보!$D$3:$R$3,0)),
"Error"))</f>
        <v>C1027</v>
      </c>
      <c r="L1032" s="75" t="str">
        <f aca="false">
IF($D1032="정상",INDEX(임대자산!$D$3:$R$3000,MATCH($F1032,임대자산!$I$3:$I$3000,0),MATCH(L$4,임대자산!$D$3:$R$3,0)),
IF($D1032="폐업",INDEX(폐업정보!$D$3:$R$3000,MATCH($F1032,폐업정보!$I$3:$I$3000,0),MATCH(L$4,폐업정보!$D$3:$R$3,0)),
"Error"))</f>
        <v>D1027</v>
      </c>
      <c r="M1032" s="76" t="s">
        <v>96</v>
      </c>
      <c r="N1032" s="77"/>
      <c r="O1032" s="78" t="s">
        <v>97</v>
      </c>
      <c r="P1032" s="79" t="n">
        <f aca="false">COUNTIFS(임대자산!$I:$I,가맹점정보!F1032,임대자산!$N:$N,가맹점정보!P$4)</f>
        <v>0</v>
      </c>
      <c r="Q1032" s="80" t="n">
        <f aca="false">COUNTIFS(임대자산!$I:$I,가맹점정보!F1032,임대자산!$N:$N,가맹점정보!Q$4)</f>
        <v>0</v>
      </c>
      <c r="R1032" s="81" t="n">
        <f aca="false">COUNTIFS(임대자산!$I:$I,가맹점정보!F1032,임대자산!$N:$N,가맹점정보!R$4)</f>
        <v>1</v>
      </c>
      <c r="S1032" s="82" t="n">
        <v>55000</v>
      </c>
      <c r="T1032" s="83" t="n">
        <v>0</v>
      </c>
      <c r="U1032" s="80" t="n">
        <f aca="false">SUM(S1032:T1032)</f>
        <v>55000</v>
      </c>
      <c r="V1032" s="84" t="s">
        <v>12</v>
      </c>
      <c r="W1032" s="80" t="e">
        <f aca="true">
IF(D1032="폐업","폐업",
IF(V1032="면제","면제",
IF(AND(V1032="정상",COUNTIFS(OFFSET(Y1032,0,COUNTA(Y1032:AV1032)-1,1,-4),"미납")&gt;=3),"장기미납",
IF(AND(V1032="정상",OFFSET(Y1032,0,COUNTA(Y1032:AV1032)-1)&gt;=U1032),"정상",
IF(AND(V1032="정상",OFFSET(Y1032,0,COUNTA(Y1032:AV1032)-1)=0),"정상",
"계약서 미작성")))))</f>
        <v>#VALUE!</v>
      </c>
      <c r="X1032" s="81" t="str">
        <f aca="true">
IF(D1032="폐업","폐업",
IF(AND(V1032="정상",OFFSET(Y1032,0,COUNTA(Y1032:AV1032)-1)="미납"),"미납",
IF(AND(V1032="정상",OFFSET(Y1032,0,COUNTA(Y1032:AV1032)-1)=0),"납부 시작 전",
IF(AND(V1032="정상",OFFSET(Y1032,0,COUNTA(Y1032:AV1032)-1)&gt;=U1032),"정상",
IF(AND(V1032="면제",OFFSET(Y1032,0,COUNTA(Y1032:AV1032)-1)="면제"),"면제",
IF(AND(V1032="면제",OFFSET(Y1032,0,COUNTA(Y1032:AV1032)-1)=0),"면제",
"확인요청"))))))</f>
        <v>정상</v>
      </c>
      <c r="Y1032" s="93" t="n">
        <v>55000</v>
      </c>
      <c r="Z1032" s="90" t="n">
        <v>55000</v>
      </c>
      <c r="AA1032" s="90" t="n">
        <v>55000</v>
      </c>
      <c r="AB1032" s="90" t="n">
        <v>55000</v>
      </c>
      <c r="AC1032" s="90" t="n">
        <v>55000</v>
      </c>
      <c r="AD1032" s="90" t="n">
        <v>55000</v>
      </c>
      <c r="AE1032" s="90" t="n">
        <v>55000</v>
      </c>
      <c r="AF1032" s="90" t="n">
        <v>55000</v>
      </c>
      <c r="AG1032" s="90" t="n">
        <v>55000</v>
      </c>
      <c r="AH1032" s="90" t="n">
        <v>55000</v>
      </c>
      <c r="AI1032" s="90" t="n">
        <v>55000</v>
      </c>
      <c r="AJ1032" s="91" t="n">
        <v>55000</v>
      </c>
      <c r="AK1032" s="89" t="n">
        <v>55000</v>
      </c>
      <c r="AL1032" s="90" t="n">
        <v>55000</v>
      </c>
      <c r="AM1032" s="90"/>
      <c r="AN1032" s="90"/>
      <c r="AO1032" s="90"/>
      <c r="AP1032" s="90"/>
      <c r="AQ1032" s="90"/>
      <c r="AR1032" s="90"/>
      <c r="AS1032" s="90"/>
      <c r="AT1032" s="90"/>
      <c r="AU1032" s="90"/>
      <c r="AV1032" s="91"/>
      <c r="AX1032" s="92"/>
    </row>
    <row r="1033" customFormat="false" ht="15.65" hidden="false" customHeight="false" outlineLevel="0" collapsed="false">
      <c r="C1033" s="72" t="n">
        <f aca="false">COUNTIFS($D$6:D1033,"&lt;&gt;"&amp;"")</f>
        <v>1028</v>
      </c>
      <c r="D1033" s="73" t="s">
        <v>12</v>
      </c>
      <c r="E1033" s="76" t="str">
        <f aca="false">
IF($D1033="정상",INDEX(임대자산!$D$3:$R$3000,MATCH($F1033,임대자산!$I$3:$I$3000,0),MATCH(E$3,임대자산!$D$3:$R$3,0)),
IF($D1033="폐업",INDEX(폐업정보!$D$3:$R$3000,MATCH($F1033,폐업정보!$I$3:$I$3000,0),MATCH(E$3,폐업정보!$D$3:$R$3,0)),
"Error"))</f>
        <v>서울</v>
      </c>
      <c r="F103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B1028</v>
      </c>
      <c r="G1033" s="76" t="str">
        <f aca="false">F1033&amp;RANDBETWEEN(0,10)</f>
        <v>B10285</v>
      </c>
      <c r="H1033" s="75" t="n">
        <f aca="false">
IF($D1033="정상",INDEX(임대자산!$D$3:$R$3000,MATCH($F1033,임대자산!$I$3:$I$3000,0),MATCH(H$4,임대자산!$D$3:$R$3,0)),
IF($D1033="폐업",INDEX(폐업정보!$D$3:$R$3000,MATCH($F1033,폐업정보!$I$3:$I$3000,0),MATCH(H$4,폐업정보!$D$3:$R$3,0)),
"Error"))</f>
        <v>45715</v>
      </c>
      <c r="I1033" s="75" t="str">
        <f aca="false">
IF($D1033="정상",INDEX(임대자산!$D$3:$R$3000,MATCH($F1033,임대자산!$I$3:$I$3000,0),MATCH(I$4,임대자산!$D$3:$R$3,0)),
IF($D1033="폐업",INDEX(폐업정보!$D$3:$R$3000,MATCH($F1033,폐업정보!$I$3:$I$3000,0),MATCH(I$4,폐업정보!$D$3:$R$3,0)),
"Error"))</f>
        <v>A1028</v>
      </c>
      <c r="J1033" s="75" t="str">
        <f aca="false">
IF($D1033="정상",INDEX(임대자산!$D$3:$R$3000,MATCH($F1033,임대자산!$I$3:$I$3000,0),MATCH(J$4,임대자산!$D$3:$R$3,0)),
IF($D1033="폐업",INDEX(폐업정보!$D$3:$R$3000,MATCH($F1033,폐업정보!$I$3:$I$3000,0),MATCH(J$4,폐업정보!$D$3:$R$3,0)),
"Error"))</f>
        <v>3148900000</v>
      </c>
      <c r="K1033" s="75" t="str">
        <f aca="false">
IF($D1033="정상",INDEX(임대자산!$D$3:$R$3000,MATCH($F1033,임대자산!$I$3:$I$3000,0),MATCH(K$4,임대자산!$D$3:$R$3,0)),
IF($D1033="폐업",INDEX(폐업정보!$D$3:$R$3000,MATCH($F1033,폐업정보!$I$3:$I$3000,0),MATCH(K$4,폐업정보!$D$3:$R$3,0)),
"Error"))</f>
        <v>C1028</v>
      </c>
      <c r="L1033" s="75" t="str">
        <f aca="false">
IF($D1033="정상",INDEX(임대자산!$D$3:$R$3000,MATCH($F1033,임대자산!$I$3:$I$3000,0),MATCH(L$4,임대자산!$D$3:$R$3,0)),
IF($D1033="폐업",INDEX(폐업정보!$D$3:$R$3000,MATCH($F1033,폐업정보!$I$3:$I$3000,0),MATCH(L$4,폐업정보!$D$3:$R$3,0)),
"Error"))</f>
        <v>D1028</v>
      </c>
      <c r="M1033" s="76" t="s">
        <v>96</v>
      </c>
      <c r="N1033" s="77"/>
      <c r="O1033" s="78" t="s">
        <v>97</v>
      </c>
      <c r="P1033" s="79" t="n">
        <f aca="false">COUNTIFS(임대자산!$I:$I,가맹점정보!F1033,임대자산!$N:$N,가맹점정보!P$4)</f>
        <v>0</v>
      </c>
      <c r="Q1033" s="80" t="n">
        <f aca="false">COUNTIFS(임대자산!$I:$I,가맹점정보!F1033,임대자산!$N:$N,가맹점정보!Q$4)</f>
        <v>0</v>
      </c>
      <c r="R1033" s="81" t="n">
        <f aca="false">COUNTIFS(임대자산!$I:$I,가맹점정보!F1033,임대자산!$N:$N,가맹점정보!R$4)</f>
        <v>1</v>
      </c>
      <c r="S1033" s="82" t="n">
        <v>55000</v>
      </c>
      <c r="T1033" s="83" t="n">
        <v>0</v>
      </c>
      <c r="U1033" s="80" t="n">
        <f aca="false">SUM(S1033:T1033)</f>
        <v>55000</v>
      </c>
      <c r="V1033" s="84" t="s">
        <v>12</v>
      </c>
      <c r="W1033" s="80" t="e">
        <f aca="true">
IF(D1033="폐업","폐업",
IF(V1033="면제","면제",
IF(AND(V1033="정상",COUNTIFS(OFFSET(Y1033,0,COUNTA(Y1033:AV1033)-1,1,-4),"미납")&gt;=3),"장기미납",
IF(AND(V1033="정상",OFFSET(Y1033,0,COUNTA(Y1033:AV1033)-1)&gt;=U1033),"정상",
IF(AND(V1033="정상",OFFSET(Y1033,0,COUNTA(Y1033:AV1033)-1)=0),"정상",
"계약서 미작성")))))</f>
        <v>#VALUE!</v>
      </c>
      <c r="X1033" s="81" t="str">
        <f aca="true">
IF(D1033="폐업","폐업",
IF(AND(V1033="정상",OFFSET(Y1033,0,COUNTA(Y1033:AV1033)-1)="미납"),"미납",
IF(AND(V1033="정상",OFFSET(Y1033,0,COUNTA(Y1033:AV1033)-1)=0),"납부 시작 전",
IF(AND(V1033="정상",OFFSET(Y1033,0,COUNTA(Y1033:AV1033)-1)&gt;=U1033),"정상",
IF(AND(V1033="면제",OFFSET(Y1033,0,COUNTA(Y1033:AV1033)-1)="면제"),"면제",
IF(AND(V1033="면제",OFFSET(Y1033,0,COUNTA(Y1033:AV1033)-1)=0),"면제",
"확인요청"))))))</f>
        <v>정상</v>
      </c>
      <c r="Y1033" s="93" t="n">
        <v>55000</v>
      </c>
      <c r="Z1033" s="90" t="n">
        <v>55000</v>
      </c>
      <c r="AA1033" s="90" t="n">
        <v>55000</v>
      </c>
      <c r="AB1033" s="90" t="n">
        <v>55000</v>
      </c>
      <c r="AC1033" s="90" t="n">
        <v>55000</v>
      </c>
      <c r="AD1033" s="90" t="n">
        <v>55000</v>
      </c>
      <c r="AE1033" s="90" t="n">
        <v>55000</v>
      </c>
      <c r="AF1033" s="90" t="n">
        <v>55000</v>
      </c>
      <c r="AG1033" s="90" t="n">
        <v>55000</v>
      </c>
      <c r="AH1033" s="90" t="n">
        <v>55000</v>
      </c>
      <c r="AI1033" s="90" t="n">
        <v>55000</v>
      </c>
      <c r="AJ1033" s="91" t="n">
        <v>55000</v>
      </c>
      <c r="AK1033" s="89" t="n">
        <v>55000</v>
      </c>
      <c r="AL1033" s="90" t="n">
        <v>55000</v>
      </c>
      <c r="AM1033" s="90"/>
      <c r="AN1033" s="90"/>
      <c r="AO1033" s="90"/>
      <c r="AP1033" s="90"/>
      <c r="AQ1033" s="90"/>
      <c r="AR1033" s="90"/>
      <c r="AS1033" s="90"/>
      <c r="AT1033" s="90"/>
      <c r="AU1033" s="90"/>
      <c r="AV1033" s="91"/>
      <c r="AX1033" s="92"/>
    </row>
    <row r="1034" customFormat="false" ht="15.65" hidden="false" customHeight="false" outlineLevel="0" collapsed="false">
      <c r="C1034" s="72" t="n">
        <f aca="false">COUNTIFS($D$6:D1034,"&lt;&gt;"&amp;"")</f>
        <v>1029</v>
      </c>
      <c r="D1034" s="73" t="s">
        <v>12</v>
      </c>
      <c r="E1034" s="76" t="str">
        <f aca="false">
IF($D1034="정상",INDEX(임대자산!$D$3:$R$3000,MATCH($F1034,임대자산!$I$3:$I$3000,0),MATCH(E$3,임대자산!$D$3:$R$3,0)),
IF($D1034="폐업",INDEX(폐업정보!$D$3:$R$3000,MATCH($F1034,폐업정보!$I$3:$I$3000,0),MATCH(E$3,폐업정보!$D$3:$R$3,0)),
"Error"))</f>
        <v>서울</v>
      </c>
      <c r="F103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B1029</v>
      </c>
      <c r="G1034" s="76" t="str">
        <f aca="false">F1034&amp;RANDBETWEEN(0,10)</f>
        <v>B10293</v>
      </c>
      <c r="H1034" s="75" t="n">
        <f aca="false">
IF($D1034="정상",INDEX(임대자산!$D$3:$R$3000,MATCH($F1034,임대자산!$I$3:$I$3000,0),MATCH(H$4,임대자산!$D$3:$R$3,0)),
IF($D1034="폐업",INDEX(폐업정보!$D$3:$R$3000,MATCH($F1034,폐업정보!$I$3:$I$3000,0),MATCH(H$4,폐업정보!$D$3:$R$3,0)),
"Error"))</f>
        <v>44652</v>
      </c>
      <c r="I1034" s="75" t="str">
        <f aca="false">
IF($D1034="정상",INDEX(임대자산!$D$3:$R$3000,MATCH($F1034,임대자산!$I$3:$I$3000,0),MATCH(I$4,임대자산!$D$3:$R$3,0)),
IF($D1034="폐업",INDEX(폐업정보!$D$3:$R$3000,MATCH($F1034,폐업정보!$I$3:$I$3000,0),MATCH(I$4,폐업정보!$D$3:$R$3,0)),
"Error"))</f>
        <v>A1029</v>
      </c>
      <c r="J1034" s="75" t="str">
        <f aca="false">
IF($D1034="정상",INDEX(임대자산!$D$3:$R$3000,MATCH($F1034,임대자산!$I$3:$I$3000,0),MATCH(J$4,임대자산!$D$3:$R$3,0)),
IF($D1034="폐업",INDEX(폐업정보!$D$3:$R$3000,MATCH($F1034,폐업정보!$I$3:$I$3000,0),MATCH(J$4,폐업정보!$D$3:$R$3,0)),
"Error"))</f>
        <v>5981900000</v>
      </c>
      <c r="K1034" s="75" t="str">
        <f aca="false">
IF($D1034="정상",INDEX(임대자산!$D$3:$R$3000,MATCH($F1034,임대자산!$I$3:$I$3000,0),MATCH(K$4,임대자산!$D$3:$R$3,0)),
IF($D1034="폐업",INDEX(폐업정보!$D$3:$R$3000,MATCH($F1034,폐업정보!$I$3:$I$3000,0),MATCH(K$4,폐업정보!$D$3:$R$3,0)),
"Error"))</f>
        <v>C1029</v>
      </c>
      <c r="L1034" s="75" t="str">
        <f aca="false">
IF($D1034="정상",INDEX(임대자산!$D$3:$R$3000,MATCH($F1034,임대자산!$I$3:$I$3000,0),MATCH(L$4,임대자산!$D$3:$R$3,0)),
IF($D1034="폐업",INDEX(폐업정보!$D$3:$R$3000,MATCH($F1034,폐업정보!$I$3:$I$3000,0),MATCH(L$4,폐업정보!$D$3:$R$3,0)),
"Error"))</f>
        <v>D1029</v>
      </c>
      <c r="M1034" s="76" t="s">
        <v>96</v>
      </c>
      <c r="N1034" s="77"/>
      <c r="O1034" s="78" t="s">
        <v>97</v>
      </c>
      <c r="P1034" s="79" t="n">
        <f aca="false">COUNTIFS(임대자산!$I:$I,가맹점정보!F1034,임대자산!$N:$N,가맹점정보!P$4)</f>
        <v>0</v>
      </c>
      <c r="Q1034" s="80" t="n">
        <f aca="false">COUNTIFS(임대자산!$I:$I,가맹점정보!F1034,임대자산!$N:$N,가맹점정보!Q$4)</f>
        <v>0</v>
      </c>
      <c r="R1034" s="81" t="n">
        <f aca="false">COUNTIFS(임대자산!$I:$I,가맹점정보!F1034,임대자산!$N:$N,가맹점정보!R$4)</f>
        <v>1</v>
      </c>
      <c r="S1034" s="82" t="n">
        <v>88000</v>
      </c>
      <c r="T1034" s="83" t="n">
        <v>0</v>
      </c>
      <c r="U1034" s="80" t="n">
        <f aca="false">SUM(S1034:T1034)</f>
        <v>88000</v>
      </c>
      <c r="V1034" s="84" t="s">
        <v>7</v>
      </c>
      <c r="W1034" s="80" t="str">
        <f aca="true">
IF(D1034="폐업","폐업",
IF(V1034="면제","면제",
IF(AND(V1034="정상",COUNTIFS(OFFSET(Y1034,0,COUNTA(Y1034:AV1034)-1,1,-4),"미납")&gt;=3),"장기미납",
IF(AND(V1034="정상",OFFSET(Y1034,0,COUNTA(Y1034:AV1034)-1)&gt;=U1034),"정상",
IF(AND(V1034="정상",OFFSET(Y1034,0,COUNTA(Y1034:AV1034)-1)=0),"정상",
"계약서 미작성")))))</f>
        <v>면제</v>
      </c>
      <c r="X1034" s="81" t="str">
        <f aca="true">
IF(D1034="폐업","폐업",
IF(AND(V1034="정상",OFFSET(Y1034,0,COUNTA(Y1034:AV1034)-1)="미납"),"미납",
IF(AND(V1034="정상",OFFSET(Y1034,0,COUNTA(Y1034:AV1034)-1)=0),"납부 시작 전",
IF(AND(V1034="정상",OFFSET(Y1034,0,COUNTA(Y1034:AV1034)-1)&gt;=U1034),"정상",
IF(AND(V1034="면제",OFFSET(Y1034,0,COUNTA(Y1034:AV1034)-1)="면제"),"면제",
IF(AND(V1034="면제",OFFSET(Y1034,0,COUNTA(Y1034:AV1034)-1)=0),"면제",
"확인요청"))))))</f>
        <v>면제</v>
      </c>
      <c r="Y1034" s="93" t="n">
        <v>0</v>
      </c>
      <c r="Z1034" s="90" t="n">
        <v>0</v>
      </c>
      <c r="AA1034" s="90" t="n">
        <v>0</v>
      </c>
      <c r="AB1034" s="90" t="n">
        <v>0</v>
      </c>
      <c r="AC1034" s="90" t="n">
        <v>0</v>
      </c>
      <c r="AD1034" s="95" t="s">
        <v>7</v>
      </c>
      <c r="AE1034" s="95" t="s">
        <v>7</v>
      </c>
      <c r="AF1034" s="95" t="s">
        <v>7</v>
      </c>
      <c r="AG1034" s="95" t="s">
        <v>7</v>
      </c>
      <c r="AH1034" s="95" t="s">
        <v>7</v>
      </c>
      <c r="AI1034" s="95" t="s">
        <v>7</v>
      </c>
      <c r="AJ1034" s="96" t="s">
        <v>7</v>
      </c>
      <c r="AK1034" s="97" t="s">
        <v>7</v>
      </c>
      <c r="AL1034" s="95" t="s">
        <v>7</v>
      </c>
      <c r="AM1034" s="90"/>
      <c r="AN1034" s="90"/>
      <c r="AO1034" s="90"/>
      <c r="AP1034" s="90"/>
      <c r="AQ1034" s="90"/>
      <c r="AR1034" s="90"/>
      <c r="AS1034" s="90"/>
      <c r="AT1034" s="90"/>
      <c r="AU1034" s="90"/>
      <c r="AV1034" s="91"/>
      <c r="AX1034" s="92"/>
    </row>
    <row r="1035" customFormat="false" ht="15.65" hidden="false" customHeight="false" outlineLevel="0" collapsed="false">
      <c r="C1035" s="72" t="n">
        <f aca="false">COUNTIFS($D$6:D1035,"&lt;&gt;"&amp;"")</f>
        <v>1030</v>
      </c>
      <c r="D1035" s="73" t="s">
        <v>12</v>
      </c>
      <c r="E1035" s="76" t="str">
        <f aca="false">
IF($D1035="정상",INDEX(임대자산!$D$3:$R$3000,MATCH($F1035,임대자산!$I$3:$I$3000,0),MATCH(E$3,임대자산!$D$3:$R$3,0)),
IF($D1035="폐업",INDEX(폐업정보!$D$3:$R$3000,MATCH($F1035,폐업정보!$I$3:$I$3000,0),MATCH(E$3,폐업정보!$D$3:$R$3,0)),
"Error"))</f>
        <v>강원</v>
      </c>
      <c r="F103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B1030</v>
      </c>
      <c r="G1035" s="76" t="str">
        <f aca="false">F1035&amp;RANDBETWEEN(0,10)</f>
        <v>B10300</v>
      </c>
      <c r="H1035" s="75" t="n">
        <f aca="false">
IF($D1035="정상",INDEX(임대자산!$D$3:$R$3000,MATCH($F1035,임대자산!$I$3:$I$3000,0),MATCH(H$4,임대자산!$D$3:$R$3,0)),
IF($D1035="폐업",INDEX(폐업정보!$D$3:$R$3000,MATCH($F1035,폐업정보!$I$3:$I$3000,0),MATCH(H$4,폐업정보!$D$3:$R$3,0)),
"Error"))</f>
        <v>45770</v>
      </c>
      <c r="I1035" s="75" t="str">
        <f aca="false">
IF($D1035="정상",INDEX(임대자산!$D$3:$R$3000,MATCH($F1035,임대자산!$I$3:$I$3000,0),MATCH(I$4,임대자산!$D$3:$R$3,0)),
IF($D1035="폐업",INDEX(폐업정보!$D$3:$R$3000,MATCH($F1035,폐업정보!$I$3:$I$3000,0),MATCH(I$4,폐업정보!$D$3:$R$3,0)),
"Error"))</f>
        <v>A1030</v>
      </c>
      <c r="J1035" s="75" t="str">
        <f aca="false">
IF($D1035="정상",INDEX(임대자산!$D$3:$R$3000,MATCH($F1035,임대자산!$I$3:$I$3000,0),MATCH(J$4,임대자산!$D$3:$R$3,0)),
IF($D1035="폐업",INDEX(폐업정보!$D$3:$R$3000,MATCH($F1035,폐업정보!$I$3:$I$3000,0),MATCH(J$4,폐업정보!$D$3:$R$3,0)),
"Error"))</f>
        <v>4047700000</v>
      </c>
      <c r="K1035" s="75" t="str">
        <f aca="false">
IF($D1035="정상",INDEX(임대자산!$D$3:$R$3000,MATCH($F1035,임대자산!$I$3:$I$3000,0),MATCH(K$4,임대자산!$D$3:$R$3,0)),
IF($D1035="폐업",INDEX(폐업정보!$D$3:$R$3000,MATCH($F1035,폐업정보!$I$3:$I$3000,0),MATCH(K$4,폐업정보!$D$3:$R$3,0)),
"Error"))</f>
        <v>C1030</v>
      </c>
      <c r="L1035" s="75" t="str">
        <f aca="false">
IF($D1035="정상",INDEX(임대자산!$D$3:$R$3000,MATCH($F1035,임대자산!$I$3:$I$3000,0),MATCH(L$4,임대자산!$D$3:$R$3,0)),
IF($D1035="폐업",INDEX(폐업정보!$D$3:$R$3000,MATCH($F1035,폐업정보!$I$3:$I$3000,0),MATCH(L$4,폐업정보!$D$3:$R$3,0)),
"Error"))</f>
        <v>D1030</v>
      </c>
      <c r="M1035" s="76" t="s">
        <v>96</v>
      </c>
      <c r="N1035" s="77"/>
      <c r="O1035" s="78" t="s">
        <v>97</v>
      </c>
      <c r="P1035" s="79" t="n">
        <f aca="false">COUNTIFS(임대자산!$I:$I,가맹점정보!F1035,임대자산!$N:$N,가맹점정보!P$4)</f>
        <v>0</v>
      </c>
      <c r="Q1035" s="80" t="n">
        <f aca="false">COUNTIFS(임대자산!$I:$I,가맹점정보!F1035,임대자산!$N:$N,가맹점정보!Q$4)</f>
        <v>0</v>
      </c>
      <c r="R1035" s="81" t="n">
        <f aca="false">COUNTIFS(임대자산!$I:$I,가맹점정보!F1035,임대자산!$N:$N,가맹점정보!R$4)</f>
        <v>1</v>
      </c>
      <c r="S1035" s="82" t="n">
        <v>88000</v>
      </c>
      <c r="T1035" s="83" t="n">
        <v>0</v>
      </c>
      <c r="U1035" s="80" t="n">
        <f aca="false">SUM(S1035:T1035)</f>
        <v>88000</v>
      </c>
      <c r="V1035" s="84" t="s">
        <v>7</v>
      </c>
      <c r="W1035" s="80" t="str">
        <f aca="true">
IF(D1035="폐업","폐업",
IF(V1035="면제","면제",
IF(AND(V1035="정상",COUNTIFS(OFFSET(Y1035,0,COUNTA(Y1035:AV1035)-1,1,-4),"미납")&gt;=3),"장기미납",
IF(AND(V1035="정상",OFFSET(Y1035,0,COUNTA(Y1035:AV1035)-1)&gt;=U1035),"정상",
IF(AND(V1035="정상",OFFSET(Y1035,0,COUNTA(Y1035:AV1035)-1)=0),"정상",
"계약서 미작성")))))</f>
        <v>면제</v>
      </c>
      <c r="X1035" s="81" t="str">
        <f aca="true">
IF(D1035="폐업","폐업",
IF(AND(V1035="정상",OFFSET(Y1035,0,COUNTA(Y1035:AV1035)-1)="미납"),"미납",
IF(AND(V1035="정상",OFFSET(Y1035,0,COUNTA(Y1035:AV1035)-1)=0),"납부 시작 전",
IF(AND(V1035="정상",OFFSET(Y1035,0,COUNTA(Y1035:AV1035)-1)&gt;=U1035),"정상",
IF(AND(V1035="면제",OFFSET(Y1035,0,COUNTA(Y1035:AV1035)-1)="면제"),"면제",
IF(AND(V1035="면제",OFFSET(Y1035,0,COUNTA(Y1035:AV1035)-1)=0),"면제",
"확인요청"))))))</f>
        <v>면제</v>
      </c>
      <c r="Y1035" s="94" t="s">
        <v>7</v>
      </c>
      <c r="Z1035" s="95" t="s">
        <v>7</v>
      </c>
      <c r="AA1035" s="95" t="s">
        <v>7</v>
      </c>
      <c r="AB1035" s="95" t="s">
        <v>7</v>
      </c>
      <c r="AC1035" s="95" t="s">
        <v>7</v>
      </c>
      <c r="AD1035" s="95" t="s">
        <v>7</v>
      </c>
      <c r="AE1035" s="95" t="s">
        <v>7</v>
      </c>
      <c r="AF1035" s="95" t="s">
        <v>7</v>
      </c>
      <c r="AG1035" s="95" t="s">
        <v>7</v>
      </c>
      <c r="AH1035" s="95" t="s">
        <v>7</v>
      </c>
      <c r="AI1035" s="95" t="s">
        <v>7</v>
      </c>
      <c r="AJ1035" s="96" t="s">
        <v>7</v>
      </c>
      <c r="AK1035" s="97" t="s">
        <v>7</v>
      </c>
      <c r="AL1035" s="95" t="s">
        <v>7</v>
      </c>
      <c r="AM1035" s="90"/>
      <c r="AN1035" s="90"/>
      <c r="AO1035" s="90"/>
      <c r="AP1035" s="90"/>
      <c r="AQ1035" s="90"/>
      <c r="AR1035" s="90"/>
      <c r="AS1035" s="90"/>
      <c r="AT1035" s="90"/>
      <c r="AU1035" s="90"/>
      <c r="AV1035" s="91"/>
      <c r="AX1035" s="92"/>
    </row>
    <row r="1036" customFormat="false" ht="15.65" hidden="false" customHeight="false" outlineLevel="0" collapsed="false">
      <c r="C1036" s="72" t="n">
        <f aca="false">COUNTIFS($D$6:D1036,"&lt;&gt;"&amp;"")</f>
        <v>1031</v>
      </c>
      <c r="D1036" s="73" t="s">
        <v>12</v>
      </c>
      <c r="E1036" s="76" t="str">
        <f aca="false">
IF($D1036="정상",INDEX(임대자산!$D$3:$R$3000,MATCH($F1036,임대자산!$I$3:$I$3000,0),MATCH(E$3,임대자산!$D$3:$R$3,0)),
IF($D1036="폐업",INDEX(폐업정보!$D$3:$R$3000,MATCH($F1036,폐업정보!$I$3:$I$3000,0),MATCH(E$3,폐업정보!$D$3:$R$3,0)),
"Error"))</f>
        <v>강원</v>
      </c>
      <c r="F103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B1031</v>
      </c>
      <c r="G1036" s="76" t="str">
        <f aca="false">F1036&amp;RANDBETWEEN(0,10)</f>
        <v>B10310</v>
      </c>
      <c r="H1036" s="75" t="n">
        <f aca="false">
IF($D1036="정상",INDEX(임대자산!$D$3:$R$3000,MATCH($F1036,임대자산!$I$3:$I$3000,0),MATCH(H$4,임대자산!$D$3:$R$3,0)),
IF($D1036="폐업",INDEX(폐업정보!$D$3:$R$3000,MATCH($F1036,폐업정보!$I$3:$I$3000,0),MATCH(H$4,폐업정보!$D$3:$R$3,0)),
"Error"))</f>
        <v>46062</v>
      </c>
      <c r="I1036" s="75" t="str">
        <f aca="false">
IF($D1036="정상",INDEX(임대자산!$D$3:$R$3000,MATCH($F1036,임대자산!$I$3:$I$3000,0),MATCH(I$4,임대자산!$D$3:$R$3,0)),
IF($D1036="폐업",INDEX(폐업정보!$D$3:$R$3000,MATCH($F1036,폐업정보!$I$3:$I$3000,0),MATCH(I$4,폐업정보!$D$3:$R$3,0)),
"Error"))</f>
        <v>A1031</v>
      </c>
      <c r="J1036" s="75" t="str">
        <f aca="false">
IF($D1036="정상",INDEX(임대자산!$D$3:$R$3000,MATCH($F1036,임대자산!$I$3:$I$3000,0),MATCH(J$4,임대자산!$D$3:$R$3,0)),
IF($D1036="폐업",INDEX(폐업정보!$D$3:$R$3000,MATCH($F1036,폐업정보!$I$3:$I$3000,0),MATCH(J$4,폐업정보!$D$3:$R$3,0)),
"Error"))</f>
        <v>2548200000</v>
      </c>
      <c r="K1036" s="75" t="str">
        <f aca="false">
IF($D1036="정상",INDEX(임대자산!$D$3:$R$3000,MATCH($F1036,임대자산!$I$3:$I$3000,0),MATCH(K$4,임대자산!$D$3:$R$3,0)),
IF($D1036="폐업",INDEX(폐업정보!$D$3:$R$3000,MATCH($F1036,폐업정보!$I$3:$I$3000,0),MATCH(K$4,폐업정보!$D$3:$R$3,0)),
"Error"))</f>
        <v>C1031</v>
      </c>
      <c r="L1036" s="75" t="str">
        <f aca="false">
IF($D1036="정상",INDEX(임대자산!$D$3:$R$3000,MATCH($F1036,임대자산!$I$3:$I$3000,0),MATCH(L$4,임대자산!$D$3:$R$3,0)),
IF($D1036="폐업",INDEX(폐업정보!$D$3:$R$3000,MATCH($F1036,폐업정보!$I$3:$I$3000,0),MATCH(L$4,폐업정보!$D$3:$R$3,0)),
"Error"))</f>
        <v>D1031</v>
      </c>
      <c r="M1036" s="76" t="s">
        <v>96</v>
      </c>
      <c r="N1036" s="77"/>
      <c r="O1036" s="78" t="s">
        <v>97</v>
      </c>
      <c r="P1036" s="79" t="n">
        <f aca="false">COUNTIFS(임대자산!$I:$I,가맹점정보!F1036,임대자산!$N:$N,가맹점정보!P$4)</f>
        <v>0</v>
      </c>
      <c r="Q1036" s="80" t="n">
        <f aca="false">COUNTIFS(임대자산!$I:$I,가맹점정보!F1036,임대자산!$N:$N,가맹점정보!Q$4)</f>
        <v>0</v>
      </c>
      <c r="R1036" s="81" t="n">
        <f aca="false">COUNTIFS(임대자산!$I:$I,가맹점정보!F1036,임대자산!$N:$N,가맹점정보!R$4)</f>
        <v>1</v>
      </c>
      <c r="S1036" s="82" t="n">
        <v>55000</v>
      </c>
      <c r="T1036" s="83" t="n">
        <v>0</v>
      </c>
      <c r="U1036" s="80" t="n">
        <f aca="false">SUM(S1036:T1036)</f>
        <v>55000</v>
      </c>
      <c r="V1036" s="84" t="s">
        <v>12</v>
      </c>
      <c r="W1036" s="80" t="e">
        <f aca="true">
IF(D1036="폐업","폐업",
IF(V1036="면제","면제",
IF(AND(V1036="정상",COUNTIFS(OFFSET(Y1036,0,COUNTA(Y1036:AV1036)-1,1,-4),"미납")&gt;=3),"장기미납",
IF(AND(V1036="정상",OFFSET(Y1036,0,COUNTA(Y1036:AV1036)-1)&gt;=U1036),"정상",
IF(AND(V1036="정상",OFFSET(Y1036,0,COUNTA(Y1036:AV1036)-1)=0),"정상",
"계약서 미작성")))))</f>
        <v>#VALUE!</v>
      </c>
      <c r="X1036" s="81" t="str">
        <f aca="true">
IF(D1036="폐업","폐업",
IF(AND(V1036="정상",OFFSET(Y1036,0,COUNTA(Y1036:AV1036)-1)="미납"),"미납",
IF(AND(V1036="정상",OFFSET(Y1036,0,COUNTA(Y1036:AV1036)-1)=0),"납부 시작 전",
IF(AND(V1036="정상",OFFSET(Y1036,0,COUNTA(Y1036:AV1036)-1)&gt;=U1036),"정상",
IF(AND(V1036="면제",OFFSET(Y1036,0,COUNTA(Y1036:AV1036)-1)="면제"),"면제",
IF(AND(V1036="면제",OFFSET(Y1036,0,COUNTA(Y1036:AV1036)-1)=0),"면제",
"확인요청"))))))</f>
        <v>정상</v>
      </c>
      <c r="Y1036" s="93" t="n">
        <v>440000</v>
      </c>
      <c r="Z1036" s="90" t="n">
        <v>55000</v>
      </c>
      <c r="AA1036" s="90" t="n">
        <v>55000</v>
      </c>
      <c r="AB1036" s="90" t="n">
        <v>55000</v>
      </c>
      <c r="AC1036" s="90" t="n">
        <v>55000</v>
      </c>
      <c r="AD1036" s="90" t="n">
        <v>55000</v>
      </c>
      <c r="AE1036" s="90" t="n">
        <v>55000</v>
      </c>
      <c r="AF1036" s="90" t="n">
        <v>55000</v>
      </c>
      <c r="AG1036" s="90" t="n">
        <v>55000</v>
      </c>
      <c r="AH1036" s="90" t="n">
        <v>55000</v>
      </c>
      <c r="AI1036" s="90" t="n">
        <v>55000</v>
      </c>
      <c r="AJ1036" s="91" t="n">
        <v>55000</v>
      </c>
      <c r="AK1036" s="89" t="n">
        <v>55000</v>
      </c>
      <c r="AL1036" s="90" t="n">
        <v>55000</v>
      </c>
      <c r="AM1036" s="90"/>
      <c r="AN1036" s="90"/>
      <c r="AO1036" s="90"/>
      <c r="AP1036" s="90"/>
      <c r="AQ1036" s="90"/>
      <c r="AR1036" s="90"/>
      <c r="AS1036" s="90"/>
      <c r="AT1036" s="90"/>
      <c r="AU1036" s="90"/>
      <c r="AV1036" s="91"/>
      <c r="AX1036" s="92"/>
    </row>
    <row r="1037" customFormat="false" ht="15.65" hidden="false" customHeight="false" outlineLevel="0" collapsed="false">
      <c r="C1037" s="72" t="n">
        <f aca="false">COUNTIFS($D$6:D1037,"&lt;&gt;"&amp;"")</f>
        <v>1032</v>
      </c>
      <c r="D1037" s="73" t="s">
        <v>12</v>
      </c>
      <c r="E1037" s="76" t="str">
        <f aca="false">
IF($D1037="정상",INDEX(임대자산!$D$3:$R$3000,MATCH($F1037,임대자산!$I$3:$I$3000,0),MATCH(E$3,임대자산!$D$3:$R$3,0)),
IF($D1037="폐업",INDEX(폐업정보!$D$3:$R$3000,MATCH($F1037,폐업정보!$I$3:$I$3000,0),MATCH(E$3,폐업정보!$D$3:$R$3,0)),
"Error"))</f>
        <v>전라</v>
      </c>
      <c r="F103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B1032</v>
      </c>
      <c r="G1037" s="76" t="str">
        <f aca="false">F1037&amp;RANDBETWEEN(0,10)</f>
        <v>B10326</v>
      </c>
      <c r="H1037" s="75" t="n">
        <f aca="false">
IF($D1037="정상",INDEX(임대자산!$D$3:$R$3000,MATCH($F1037,임대자산!$I$3:$I$3000,0),MATCH(H$4,임대자산!$D$3:$R$3,0)),
IF($D1037="폐업",INDEX(폐업정보!$D$3:$R$3000,MATCH($F1037,폐업정보!$I$3:$I$3000,0),MATCH(H$4,폐업정보!$D$3:$R$3,0)),
"Error"))</f>
        <v>45412</v>
      </c>
      <c r="I1037" s="75" t="str">
        <f aca="false">
IF($D1037="정상",INDEX(임대자산!$D$3:$R$3000,MATCH($F1037,임대자산!$I$3:$I$3000,0),MATCH(I$4,임대자산!$D$3:$R$3,0)),
IF($D1037="폐업",INDEX(폐업정보!$D$3:$R$3000,MATCH($F1037,폐업정보!$I$3:$I$3000,0),MATCH(I$4,폐업정보!$D$3:$R$3,0)),
"Error"))</f>
        <v>A1032</v>
      </c>
      <c r="J1037" s="75" t="str">
        <f aca="false">
IF($D1037="정상",INDEX(임대자산!$D$3:$R$3000,MATCH($F1037,임대자산!$I$3:$I$3000,0),MATCH(J$4,임대자산!$D$3:$R$3,0)),
IF($D1037="폐업",INDEX(폐업정보!$D$3:$R$3000,MATCH($F1037,폐업정보!$I$3:$I$3000,0),MATCH(J$4,폐업정보!$D$3:$R$3,0)),
"Error"))</f>
        <v>3142400000</v>
      </c>
      <c r="K1037" s="75" t="str">
        <f aca="false">
IF($D1037="정상",INDEX(임대자산!$D$3:$R$3000,MATCH($F1037,임대자산!$I$3:$I$3000,0),MATCH(K$4,임대자산!$D$3:$R$3,0)),
IF($D1037="폐업",INDEX(폐업정보!$D$3:$R$3000,MATCH($F1037,폐업정보!$I$3:$I$3000,0),MATCH(K$4,폐업정보!$D$3:$R$3,0)),
"Error"))</f>
        <v>C1032</v>
      </c>
      <c r="L1037" s="75" t="str">
        <f aca="false">
IF($D1037="정상",INDEX(임대자산!$D$3:$R$3000,MATCH($F1037,임대자산!$I$3:$I$3000,0),MATCH(L$4,임대자산!$D$3:$R$3,0)),
IF($D1037="폐업",INDEX(폐업정보!$D$3:$R$3000,MATCH($F1037,폐업정보!$I$3:$I$3000,0),MATCH(L$4,폐업정보!$D$3:$R$3,0)),
"Error"))</f>
        <v>D1032</v>
      </c>
      <c r="M1037" s="76" t="s">
        <v>96</v>
      </c>
      <c r="N1037" s="77"/>
      <c r="O1037" s="78" t="s">
        <v>97</v>
      </c>
      <c r="P1037" s="79" t="n">
        <f aca="false">COUNTIFS(임대자산!$I:$I,가맹점정보!F1037,임대자산!$N:$N,가맹점정보!P$4)</f>
        <v>0</v>
      </c>
      <c r="Q1037" s="80" t="n">
        <f aca="false">COUNTIFS(임대자산!$I:$I,가맹점정보!F1037,임대자산!$N:$N,가맹점정보!Q$4)</f>
        <v>0</v>
      </c>
      <c r="R1037" s="81" t="n">
        <f aca="false">COUNTIFS(임대자산!$I:$I,가맹점정보!F1037,임대자산!$N:$N,가맹점정보!R$4)</f>
        <v>1</v>
      </c>
      <c r="S1037" s="82" t="n">
        <v>88000</v>
      </c>
      <c r="T1037" s="83" t="n">
        <v>0</v>
      </c>
      <c r="U1037" s="80" t="n">
        <f aca="false">SUM(S1037:T1037)</f>
        <v>88000</v>
      </c>
      <c r="V1037" s="84" t="s">
        <v>7</v>
      </c>
      <c r="W1037" s="80" t="str">
        <f aca="true">
IF(D1037="폐업","폐업",
IF(V1037="면제","면제",
IF(AND(V1037="정상",COUNTIFS(OFFSET(Y1037,0,COUNTA(Y1037:AV1037)-1,1,-4),"미납")&gt;=3),"장기미납",
IF(AND(V1037="정상",OFFSET(Y1037,0,COUNTA(Y1037:AV1037)-1)&gt;=U1037),"정상",
IF(AND(V1037="정상",OFFSET(Y1037,0,COUNTA(Y1037:AV1037)-1)=0),"정상",
"계약서 미작성")))))</f>
        <v>면제</v>
      </c>
      <c r="X1037" s="81" t="str">
        <f aca="true">
IF(D1037="폐업","폐업",
IF(AND(V1037="정상",OFFSET(Y1037,0,COUNTA(Y1037:AV1037)-1)="미납"),"미납",
IF(AND(V1037="정상",OFFSET(Y1037,0,COUNTA(Y1037:AV1037)-1)=0),"납부 시작 전",
IF(AND(V1037="정상",OFFSET(Y1037,0,COUNTA(Y1037:AV1037)-1)&gt;=U1037),"정상",
IF(AND(V1037="면제",OFFSET(Y1037,0,COUNTA(Y1037:AV1037)-1)="면제"),"면제",
IF(AND(V1037="면제",OFFSET(Y1037,0,COUNTA(Y1037:AV1037)-1)=0),"면제",
"확인요청"))))))</f>
        <v>면제</v>
      </c>
      <c r="Y1037" s="94" t="s">
        <v>7</v>
      </c>
      <c r="Z1037" s="95" t="s">
        <v>7</v>
      </c>
      <c r="AA1037" s="95" t="s">
        <v>7</v>
      </c>
      <c r="AB1037" s="95" t="s">
        <v>7</v>
      </c>
      <c r="AC1037" s="95" t="s">
        <v>7</v>
      </c>
      <c r="AD1037" s="95" t="s">
        <v>7</v>
      </c>
      <c r="AE1037" s="95" t="s">
        <v>7</v>
      </c>
      <c r="AF1037" s="95" t="s">
        <v>7</v>
      </c>
      <c r="AG1037" s="95" t="s">
        <v>7</v>
      </c>
      <c r="AH1037" s="95" t="s">
        <v>7</v>
      </c>
      <c r="AI1037" s="95" t="s">
        <v>7</v>
      </c>
      <c r="AJ1037" s="96" t="s">
        <v>7</v>
      </c>
      <c r="AK1037" s="97" t="s">
        <v>7</v>
      </c>
      <c r="AL1037" s="95" t="s">
        <v>7</v>
      </c>
      <c r="AM1037" s="90"/>
      <c r="AN1037" s="90"/>
      <c r="AO1037" s="90"/>
      <c r="AP1037" s="90"/>
      <c r="AQ1037" s="90"/>
      <c r="AR1037" s="90"/>
      <c r="AS1037" s="90"/>
      <c r="AT1037" s="90"/>
      <c r="AU1037" s="90"/>
      <c r="AV1037" s="91"/>
      <c r="AX1037" s="92"/>
    </row>
    <row r="1038" customFormat="false" ht="15.65" hidden="false" customHeight="false" outlineLevel="0" collapsed="false">
      <c r="C1038" s="72" t="n">
        <f aca="false">COUNTIFS($D$6:D1038,"&lt;&gt;"&amp;"")</f>
        <v>1033</v>
      </c>
      <c r="D1038" s="73" t="s">
        <v>12</v>
      </c>
      <c r="E1038" s="76" t="str">
        <f aca="false">
IF($D1038="정상",INDEX(임대자산!$D$3:$R$3000,MATCH($F1038,임대자산!$I$3:$I$3000,0),MATCH(E$3,임대자산!$D$3:$R$3,0)),
IF($D1038="폐업",INDEX(폐업정보!$D$3:$R$3000,MATCH($F1038,폐업정보!$I$3:$I$3000,0),MATCH(E$3,폐업정보!$D$3:$R$3,0)),
"Error"))</f>
        <v>전라</v>
      </c>
      <c r="F103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B1033</v>
      </c>
      <c r="G1038" s="76" t="str">
        <f aca="false">F1038&amp;RANDBETWEEN(0,10)</f>
        <v>B10334</v>
      </c>
      <c r="H1038" s="75" t="n">
        <f aca="false">
IF($D1038="정상",INDEX(임대자산!$D$3:$R$3000,MATCH($F1038,임대자산!$I$3:$I$3000,0),MATCH(H$4,임대자산!$D$3:$R$3,0)),
IF($D1038="폐업",INDEX(폐업정보!$D$3:$R$3000,MATCH($F1038,폐업정보!$I$3:$I$3000,0),MATCH(H$4,폐업정보!$D$3:$R$3,0)),
"Error"))</f>
        <v>45412</v>
      </c>
      <c r="I1038" s="75" t="str">
        <f aca="false">
IF($D1038="정상",INDEX(임대자산!$D$3:$R$3000,MATCH($F1038,임대자산!$I$3:$I$3000,0),MATCH(I$4,임대자산!$D$3:$R$3,0)),
IF($D1038="폐업",INDEX(폐업정보!$D$3:$R$3000,MATCH($F1038,폐업정보!$I$3:$I$3000,0),MATCH(I$4,폐업정보!$D$3:$R$3,0)),
"Error"))</f>
        <v>A1033</v>
      </c>
      <c r="J1038" s="75" t="str">
        <f aca="false">
IF($D1038="정상",INDEX(임대자산!$D$3:$R$3000,MATCH($F1038,임대자산!$I$3:$I$3000,0),MATCH(J$4,임대자산!$D$3:$R$3,0)),
IF($D1038="폐업",INDEX(폐업정보!$D$3:$R$3000,MATCH($F1038,폐업정보!$I$3:$I$3000,0),MATCH(J$4,폐업정보!$D$3:$R$3,0)),
"Error"))</f>
        <v>7123300000</v>
      </c>
      <c r="K1038" s="75" t="str">
        <f aca="false">
IF($D1038="정상",INDEX(임대자산!$D$3:$R$3000,MATCH($F1038,임대자산!$I$3:$I$3000,0),MATCH(K$4,임대자산!$D$3:$R$3,0)),
IF($D1038="폐업",INDEX(폐업정보!$D$3:$R$3000,MATCH($F1038,폐업정보!$I$3:$I$3000,0),MATCH(K$4,폐업정보!$D$3:$R$3,0)),
"Error"))</f>
        <v>C1033</v>
      </c>
      <c r="L1038" s="75" t="str">
        <f aca="false">
IF($D1038="정상",INDEX(임대자산!$D$3:$R$3000,MATCH($F1038,임대자산!$I$3:$I$3000,0),MATCH(L$4,임대자산!$D$3:$R$3,0)),
IF($D1038="폐업",INDEX(폐업정보!$D$3:$R$3000,MATCH($F1038,폐업정보!$I$3:$I$3000,0),MATCH(L$4,폐업정보!$D$3:$R$3,0)),
"Error"))</f>
        <v>D1033</v>
      </c>
      <c r="M1038" s="76" t="s">
        <v>96</v>
      </c>
      <c r="N1038" s="77"/>
      <c r="O1038" s="78" t="s">
        <v>97</v>
      </c>
      <c r="P1038" s="79" t="n">
        <f aca="false">COUNTIFS(임대자산!$I:$I,가맹점정보!F1038,임대자산!$N:$N,가맹점정보!P$4)</f>
        <v>0</v>
      </c>
      <c r="Q1038" s="80" t="n">
        <f aca="false">COUNTIFS(임대자산!$I:$I,가맹점정보!F1038,임대자산!$N:$N,가맹점정보!Q$4)</f>
        <v>0</v>
      </c>
      <c r="R1038" s="81" t="n">
        <f aca="false">COUNTIFS(임대자산!$I:$I,가맹점정보!F1038,임대자산!$N:$N,가맹점정보!R$4)</f>
        <v>1</v>
      </c>
      <c r="S1038" s="82" t="n">
        <v>22000</v>
      </c>
      <c r="T1038" s="83" t="n">
        <v>22000</v>
      </c>
      <c r="U1038" s="80" t="n">
        <f aca="false">SUM(S1038:T1038)</f>
        <v>44000</v>
      </c>
      <c r="V1038" s="84" t="s">
        <v>12</v>
      </c>
      <c r="W1038" s="80" t="e">
        <f aca="true">
IF(D1038="폐업","폐업",
IF(V1038="면제","면제",
IF(AND(V1038="정상",COUNTIFS(OFFSET(Y1038,0,COUNTA(Y1038:AV1038)-1,1,-4),"미납")&gt;=3),"장기미납",
IF(AND(V1038="정상",OFFSET(Y1038,0,COUNTA(Y1038:AV1038)-1)&gt;=U1038),"정상",
IF(AND(V1038="정상",OFFSET(Y1038,0,COUNTA(Y1038:AV1038)-1)=0),"정상",
"계약서 미작성")))))</f>
        <v>#VALUE!</v>
      </c>
      <c r="X1038" s="81" t="str">
        <f aca="true">
IF(D1038="폐업","폐업",
IF(AND(V1038="정상",OFFSET(Y1038,0,COUNTA(Y1038:AV1038)-1)="미납"),"미납",
IF(AND(V1038="정상",OFFSET(Y1038,0,COUNTA(Y1038:AV1038)-1)=0),"납부 시작 전",
IF(AND(V1038="정상",OFFSET(Y1038,0,COUNTA(Y1038:AV1038)-1)&gt;=U1038),"정상",
IF(AND(V1038="면제",OFFSET(Y1038,0,COUNTA(Y1038:AV1038)-1)="면제"),"면제",
IF(AND(V1038="면제",OFFSET(Y1038,0,COUNTA(Y1038:AV1038)-1)=0),"면제",
"확인요청"))))))</f>
        <v>정상</v>
      </c>
      <c r="Y1038" s="93" t="n">
        <v>44000</v>
      </c>
      <c r="Z1038" s="90" t="n">
        <v>44000</v>
      </c>
      <c r="AA1038" s="90" t="n">
        <v>44000</v>
      </c>
      <c r="AB1038" s="90" t="n">
        <v>44000</v>
      </c>
      <c r="AC1038" s="90" t="n">
        <v>44000</v>
      </c>
      <c r="AD1038" s="90" t="n">
        <v>44000</v>
      </c>
      <c r="AE1038" s="90" t="n">
        <v>44000</v>
      </c>
      <c r="AF1038" s="90" t="n">
        <v>44000</v>
      </c>
      <c r="AG1038" s="90" t="n">
        <v>44000</v>
      </c>
      <c r="AH1038" s="90" t="n">
        <v>44000</v>
      </c>
      <c r="AI1038" s="90" t="n">
        <v>44000</v>
      </c>
      <c r="AJ1038" s="91" t="n">
        <v>44000</v>
      </c>
      <c r="AK1038" s="89" t="n">
        <v>44000</v>
      </c>
      <c r="AL1038" s="90" t="n">
        <v>44000</v>
      </c>
      <c r="AM1038" s="90"/>
      <c r="AN1038" s="90"/>
      <c r="AO1038" s="90"/>
      <c r="AP1038" s="90"/>
      <c r="AQ1038" s="90"/>
      <c r="AR1038" s="90"/>
      <c r="AS1038" s="90"/>
      <c r="AT1038" s="90"/>
      <c r="AU1038" s="90"/>
      <c r="AV1038" s="91"/>
      <c r="AX1038" s="92"/>
    </row>
    <row r="1039" customFormat="false" ht="15.65" hidden="false" customHeight="false" outlineLevel="0" collapsed="false">
      <c r="C1039" s="72" t="n">
        <f aca="false">COUNTIFS($D$6:D1039,"&lt;&gt;"&amp;"")</f>
        <v>1034</v>
      </c>
      <c r="D1039" s="73" t="s">
        <v>12</v>
      </c>
      <c r="E1039" s="76" t="str">
        <f aca="false">
IF($D1039="정상",INDEX(임대자산!$D$3:$R$3000,MATCH($F1039,임대자산!$I$3:$I$3000,0),MATCH(E$3,임대자산!$D$3:$R$3,0)),
IF($D1039="폐업",INDEX(폐업정보!$D$3:$R$3000,MATCH($F1039,폐업정보!$I$3:$I$3000,0),MATCH(E$3,폐업정보!$D$3:$R$3,0)),
"Error"))</f>
        <v>서울</v>
      </c>
      <c r="F103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B1034</v>
      </c>
      <c r="G1039" s="76" t="str">
        <f aca="false">F1039&amp;RANDBETWEEN(0,10)</f>
        <v>B103410</v>
      </c>
      <c r="H1039" s="75" t="n">
        <f aca="false">
IF($D1039="정상",INDEX(임대자산!$D$3:$R$3000,MATCH($F1039,임대자산!$I$3:$I$3000,0),MATCH(H$4,임대자산!$D$3:$R$3,0)),
IF($D1039="폐업",INDEX(폐업정보!$D$3:$R$3000,MATCH($F1039,폐업정보!$I$3:$I$3000,0),MATCH(H$4,폐업정보!$D$3:$R$3,0)),
"Error"))</f>
        <v>45069</v>
      </c>
      <c r="I1039" s="75" t="str">
        <f aca="false">
IF($D1039="정상",INDEX(임대자산!$D$3:$R$3000,MATCH($F1039,임대자산!$I$3:$I$3000,0),MATCH(I$4,임대자산!$D$3:$R$3,0)),
IF($D1039="폐업",INDEX(폐업정보!$D$3:$R$3000,MATCH($F1039,폐업정보!$I$3:$I$3000,0),MATCH(I$4,폐업정보!$D$3:$R$3,0)),
"Error"))</f>
        <v>A1034</v>
      </c>
      <c r="J1039" s="75" t="str">
        <f aca="false">
IF($D1039="정상",INDEX(임대자산!$D$3:$R$3000,MATCH($F1039,임대자산!$I$3:$I$3000,0),MATCH(J$4,임대자산!$D$3:$R$3,0)),
IF($D1039="폐업",INDEX(폐업정보!$D$3:$R$3000,MATCH($F1039,폐업정보!$I$3:$I$3000,0),MATCH(J$4,폐업정보!$D$3:$R$3,0)),
"Error"))</f>
        <v>9440600000</v>
      </c>
      <c r="K1039" s="75" t="str">
        <f aca="false">
IF($D1039="정상",INDEX(임대자산!$D$3:$R$3000,MATCH($F1039,임대자산!$I$3:$I$3000,0),MATCH(K$4,임대자산!$D$3:$R$3,0)),
IF($D1039="폐업",INDEX(폐업정보!$D$3:$R$3000,MATCH($F1039,폐업정보!$I$3:$I$3000,0),MATCH(K$4,폐업정보!$D$3:$R$3,0)),
"Error"))</f>
        <v>C1034</v>
      </c>
      <c r="L1039" s="75" t="str">
        <f aca="false">
IF($D1039="정상",INDEX(임대자산!$D$3:$R$3000,MATCH($F1039,임대자산!$I$3:$I$3000,0),MATCH(L$4,임대자산!$D$3:$R$3,0)),
IF($D1039="폐업",INDEX(폐업정보!$D$3:$R$3000,MATCH($F1039,폐업정보!$I$3:$I$3000,0),MATCH(L$4,폐업정보!$D$3:$R$3,0)),
"Error"))</f>
        <v>D1034</v>
      </c>
      <c r="M1039" s="76" t="s">
        <v>96</v>
      </c>
      <c r="N1039" s="77"/>
      <c r="O1039" s="78" t="s">
        <v>97</v>
      </c>
      <c r="P1039" s="79" t="n">
        <f aca="false">COUNTIFS(임대자산!$I:$I,가맹점정보!F1039,임대자산!$N:$N,가맹점정보!P$4)</f>
        <v>0</v>
      </c>
      <c r="Q1039" s="80" t="n">
        <f aca="false">COUNTIFS(임대자산!$I:$I,가맹점정보!F1039,임대자산!$N:$N,가맹점정보!Q$4)</f>
        <v>0</v>
      </c>
      <c r="R1039" s="81" t="n">
        <f aca="false">COUNTIFS(임대자산!$I:$I,가맹점정보!F1039,임대자산!$N:$N,가맹점정보!R$4)</f>
        <v>1</v>
      </c>
      <c r="S1039" s="82" t="n">
        <v>55000</v>
      </c>
      <c r="T1039" s="83" t="n">
        <v>0</v>
      </c>
      <c r="U1039" s="80" t="n">
        <f aca="false">SUM(S1039:T1039)</f>
        <v>55000</v>
      </c>
      <c r="V1039" s="84" t="s">
        <v>12</v>
      </c>
      <c r="W1039" s="80" t="e">
        <f aca="true">
IF(D1039="폐업","폐업",
IF(V1039="면제","면제",
IF(AND(V1039="정상",COUNTIFS(OFFSET(Y1039,0,COUNTA(Y1039:AV1039)-1,1,-4),"미납")&gt;=3),"장기미납",
IF(AND(V1039="정상",OFFSET(Y1039,0,COUNTA(Y1039:AV1039)-1)&gt;=U1039),"정상",
IF(AND(V1039="정상",OFFSET(Y1039,0,COUNTA(Y1039:AV1039)-1)=0),"정상",
"계약서 미작성")))))</f>
        <v>#VALUE!</v>
      </c>
      <c r="X1039" s="81" t="str">
        <f aca="true">
IF(D1039="폐업","폐업",
IF(AND(V1039="정상",OFFSET(Y1039,0,COUNTA(Y1039:AV1039)-1)="미납"),"미납",
IF(AND(V1039="정상",OFFSET(Y1039,0,COUNTA(Y1039:AV1039)-1)=0),"납부 시작 전",
IF(AND(V1039="정상",OFFSET(Y1039,0,COUNTA(Y1039:AV1039)-1)&gt;=U1039),"정상",
IF(AND(V1039="면제",OFFSET(Y1039,0,COUNTA(Y1039:AV1039)-1)="면제"),"면제",
IF(AND(V1039="면제",OFFSET(Y1039,0,COUNTA(Y1039:AV1039)-1)=0),"면제",
"확인요청"))))))</f>
        <v>정상</v>
      </c>
      <c r="Y1039" s="93" t="n">
        <v>55000</v>
      </c>
      <c r="Z1039" s="90" t="n">
        <v>55000</v>
      </c>
      <c r="AA1039" s="90" t="n">
        <v>55000</v>
      </c>
      <c r="AB1039" s="90" t="n">
        <v>55000</v>
      </c>
      <c r="AC1039" s="90" t="n">
        <v>55000</v>
      </c>
      <c r="AD1039" s="90" t="n">
        <v>55000</v>
      </c>
      <c r="AE1039" s="90" t="n">
        <v>55000</v>
      </c>
      <c r="AF1039" s="90" t="n">
        <v>55000</v>
      </c>
      <c r="AG1039" s="90" t="n">
        <v>55000</v>
      </c>
      <c r="AH1039" s="90" t="n">
        <v>55000</v>
      </c>
      <c r="AI1039" s="90" t="n">
        <v>55000</v>
      </c>
      <c r="AJ1039" s="91" t="n">
        <v>55000</v>
      </c>
      <c r="AK1039" s="89" t="n">
        <v>55000</v>
      </c>
      <c r="AL1039" s="90" t="n">
        <v>55000</v>
      </c>
      <c r="AM1039" s="90"/>
      <c r="AN1039" s="90"/>
      <c r="AO1039" s="90"/>
      <c r="AP1039" s="90"/>
      <c r="AQ1039" s="90"/>
      <c r="AR1039" s="90"/>
      <c r="AS1039" s="90"/>
      <c r="AT1039" s="90"/>
      <c r="AU1039" s="90"/>
      <c r="AV1039" s="91"/>
      <c r="AX1039" s="92"/>
    </row>
    <row r="1040" customFormat="false" ht="15.65" hidden="false" customHeight="false" outlineLevel="0" collapsed="false">
      <c r="C1040" s="72" t="n">
        <f aca="false">COUNTIFS($D$6:D1040,"&lt;&gt;"&amp;"")</f>
        <v>1035</v>
      </c>
      <c r="D1040" s="73" t="s">
        <v>12</v>
      </c>
      <c r="E1040" s="76" t="str">
        <f aca="false">
IF($D1040="정상",INDEX(임대자산!$D$3:$R$3000,MATCH($F1040,임대자산!$I$3:$I$3000,0),MATCH(E$3,임대자산!$D$3:$R$3,0)),
IF($D1040="폐업",INDEX(폐업정보!$D$3:$R$3000,MATCH($F1040,폐업정보!$I$3:$I$3000,0),MATCH(E$3,폐업정보!$D$3:$R$3,0)),
"Error"))</f>
        <v>서울</v>
      </c>
      <c r="F104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B1035</v>
      </c>
      <c r="G1040" s="76" t="str">
        <f aca="false">F1040&amp;RANDBETWEEN(0,10)</f>
        <v>B10358</v>
      </c>
      <c r="H1040" s="75" t="n">
        <f aca="false">
IF($D1040="정상",INDEX(임대자산!$D$3:$R$3000,MATCH($F1040,임대자산!$I$3:$I$3000,0),MATCH(H$4,임대자산!$D$3:$R$3,0)),
IF($D1040="폐업",INDEX(폐업정보!$D$3:$R$3000,MATCH($F1040,폐업정보!$I$3:$I$3000,0),MATCH(H$4,폐업정보!$D$3:$R$3,0)),
"Error"))</f>
        <v>44700</v>
      </c>
      <c r="I1040" s="75" t="str">
        <f aca="false">
IF($D1040="정상",INDEX(임대자산!$D$3:$R$3000,MATCH($F1040,임대자산!$I$3:$I$3000,0),MATCH(I$4,임대자산!$D$3:$R$3,0)),
IF($D1040="폐업",INDEX(폐업정보!$D$3:$R$3000,MATCH($F1040,폐업정보!$I$3:$I$3000,0),MATCH(I$4,폐업정보!$D$3:$R$3,0)),
"Error"))</f>
        <v>A1035</v>
      </c>
      <c r="J1040" s="75" t="str">
        <f aca="false">
IF($D1040="정상",INDEX(임대자산!$D$3:$R$3000,MATCH($F1040,임대자산!$I$3:$I$3000,0),MATCH(J$4,임대자산!$D$3:$R$3,0)),
IF($D1040="폐업",INDEX(폐업정보!$D$3:$R$3000,MATCH($F1040,폐업정보!$I$3:$I$3000,0),MATCH(J$4,폐업정보!$D$3:$R$3,0)),
"Error"))</f>
        <v>1772200000</v>
      </c>
      <c r="K1040" s="75" t="str">
        <f aca="false">
IF($D1040="정상",INDEX(임대자산!$D$3:$R$3000,MATCH($F1040,임대자산!$I$3:$I$3000,0),MATCH(K$4,임대자산!$D$3:$R$3,0)),
IF($D1040="폐업",INDEX(폐업정보!$D$3:$R$3000,MATCH($F1040,폐업정보!$I$3:$I$3000,0),MATCH(K$4,폐업정보!$D$3:$R$3,0)),
"Error"))</f>
        <v>C1035</v>
      </c>
      <c r="L1040" s="75" t="str">
        <f aca="false">
IF($D1040="정상",INDEX(임대자산!$D$3:$R$3000,MATCH($F1040,임대자산!$I$3:$I$3000,0),MATCH(L$4,임대자산!$D$3:$R$3,0)),
IF($D1040="폐업",INDEX(폐업정보!$D$3:$R$3000,MATCH($F1040,폐업정보!$I$3:$I$3000,0),MATCH(L$4,폐업정보!$D$3:$R$3,0)),
"Error"))</f>
        <v>D1035</v>
      </c>
      <c r="M1040" s="76" t="s">
        <v>96</v>
      </c>
      <c r="N1040" s="77"/>
      <c r="O1040" s="78" t="s">
        <v>97</v>
      </c>
      <c r="P1040" s="79" t="n">
        <f aca="false">COUNTIFS(임대자산!$I:$I,가맹점정보!F1040,임대자산!$N:$N,가맹점정보!P$4)</f>
        <v>0</v>
      </c>
      <c r="Q1040" s="80" t="n">
        <f aca="false">COUNTIFS(임대자산!$I:$I,가맹점정보!F1040,임대자산!$N:$N,가맹점정보!Q$4)</f>
        <v>0</v>
      </c>
      <c r="R1040" s="81" t="n">
        <f aca="false">COUNTIFS(임대자산!$I:$I,가맹점정보!F1040,임대자산!$N:$N,가맹점정보!R$4)</f>
        <v>1</v>
      </c>
      <c r="S1040" s="82" t="n">
        <v>55000</v>
      </c>
      <c r="T1040" s="83" t="n">
        <v>0</v>
      </c>
      <c r="U1040" s="80" t="n">
        <f aca="false">SUM(S1040:T1040)</f>
        <v>55000</v>
      </c>
      <c r="V1040" s="84" t="s">
        <v>12</v>
      </c>
      <c r="W1040" s="80" t="e">
        <f aca="true">
IF(D1040="폐업","폐업",
IF(V1040="면제","면제",
IF(AND(V1040="정상",COUNTIFS(OFFSET(Y1040,0,COUNTA(Y1040:AV1040)-1,1,-4),"미납")&gt;=3),"장기미납",
IF(AND(V1040="정상",OFFSET(Y1040,0,COUNTA(Y1040:AV1040)-1)&gt;=U1040),"정상",
IF(AND(V1040="정상",OFFSET(Y1040,0,COUNTA(Y1040:AV1040)-1)=0),"정상",
"계약서 미작성")))))</f>
        <v>#VALUE!</v>
      </c>
      <c r="X1040" s="81" t="str">
        <f aca="true">
IF(D1040="폐업","폐업",
IF(AND(V1040="정상",OFFSET(Y1040,0,COUNTA(Y1040:AV1040)-1)="미납"),"미납",
IF(AND(V1040="정상",OFFSET(Y1040,0,COUNTA(Y1040:AV1040)-1)=0),"납부 시작 전",
IF(AND(V1040="정상",OFFSET(Y1040,0,COUNTA(Y1040:AV1040)-1)&gt;=U1040),"정상",
IF(AND(V1040="면제",OFFSET(Y1040,0,COUNTA(Y1040:AV1040)-1)="면제"),"면제",
IF(AND(V1040="면제",OFFSET(Y1040,0,COUNTA(Y1040:AV1040)-1)=0),"면제",
"확인요청"))))))</f>
        <v>정상</v>
      </c>
      <c r="Y1040" s="93" t="n">
        <v>55000</v>
      </c>
      <c r="Z1040" s="90" t="n">
        <v>55000</v>
      </c>
      <c r="AA1040" s="90" t="n">
        <v>55000</v>
      </c>
      <c r="AB1040" s="90" t="n">
        <v>55000</v>
      </c>
      <c r="AC1040" s="90" t="n">
        <v>55000</v>
      </c>
      <c r="AD1040" s="90" t="n">
        <v>55000</v>
      </c>
      <c r="AE1040" s="90" t="n">
        <v>55000</v>
      </c>
      <c r="AF1040" s="90" t="n">
        <v>55000</v>
      </c>
      <c r="AG1040" s="90" t="n">
        <v>55000</v>
      </c>
      <c r="AH1040" s="90" t="n">
        <v>55000</v>
      </c>
      <c r="AI1040" s="90" t="n">
        <v>55000</v>
      </c>
      <c r="AJ1040" s="91" t="n">
        <v>55000</v>
      </c>
      <c r="AK1040" s="89" t="n">
        <v>55000</v>
      </c>
      <c r="AL1040" s="90" t="n">
        <v>55000</v>
      </c>
      <c r="AM1040" s="90"/>
      <c r="AN1040" s="90"/>
      <c r="AO1040" s="90"/>
      <c r="AP1040" s="90"/>
      <c r="AQ1040" s="90"/>
      <c r="AR1040" s="90"/>
      <c r="AS1040" s="90"/>
      <c r="AT1040" s="90"/>
      <c r="AU1040" s="90"/>
      <c r="AV1040" s="91"/>
      <c r="AX1040" s="92"/>
    </row>
    <row r="1041" customFormat="false" ht="15.65" hidden="false" customHeight="false" outlineLevel="0" collapsed="false">
      <c r="C1041" s="72" t="n">
        <f aca="false">COUNTIFS($D$6:D1041,"&lt;&gt;"&amp;"")</f>
        <v>1036</v>
      </c>
      <c r="D1041" s="73" t="s">
        <v>12</v>
      </c>
      <c r="E1041" s="76" t="str">
        <f aca="false">
IF($D1041="정상",INDEX(임대자산!$D$3:$R$3000,MATCH($F1041,임대자산!$I$3:$I$3000,0),MATCH(E$3,임대자산!$D$3:$R$3,0)),
IF($D1041="폐업",INDEX(폐업정보!$D$3:$R$3000,MATCH($F1041,폐업정보!$I$3:$I$3000,0),MATCH(E$3,폐업정보!$D$3:$R$3,0)),
"Error"))</f>
        <v>서울</v>
      </c>
      <c r="F104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B1036</v>
      </c>
      <c r="G1041" s="76" t="str">
        <f aca="false">F1041&amp;RANDBETWEEN(0,10)</f>
        <v>B10369</v>
      </c>
      <c r="H1041" s="75" t="n">
        <f aca="false">
IF($D1041="정상",INDEX(임대자산!$D$3:$R$3000,MATCH($F1041,임대자산!$I$3:$I$3000,0),MATCH(H$4,임대자산!$D$3:$R$3,0)),
IF($D1041="폐업",INDEX(폐업정보!$D$3:$R$3000,MATCH($F1041,폐업정보!$I$3:$I$3000,0),MATCH(H$4,폐업정보!$D$3:$R$3,0)),
"Error"))</f>
        <v>45656</v>
      </c>
      <c r="I1041" s="75" t="str">
        <f aca="false">
IF($D1041="정상",INDEX(임대자산!$D$3:$R$3000,MATCH($F1041,임대자산!$I$3:$I$3000,0),MATCH(I$4,임대자산!$D$3:$R$3,0)),
IF($D1041="폐업",INDEX(폐업정보!$D$3:$R$3000,MATCH($F1041,폐업정보!$I$3:$I$3000,0),MATCH(I$4,폐업정보!$D$3:$R$3,0)),
"Error"))</f>
        <v>A1036</v>
      </c>
      <c r="J1041" s="75" t="str">
        <f aca="false">
IF($D1041="정상",INDEX(임대자산!$D$3:$R$3000,MATCH($F1041,임대자산!$I$3:$I$3000,0),MATCH(J$4,임대자산!$D$3:$R$3,0)),
IF($D1041="폐업",INDEX(폐업정보!$D$3:$R$3000,MATCH($F1041,폐업정보!$I$3:$I$3000,0),MATCH(J$4,폐업정보!$D$3:$R$3,0)),
"Error"))</f>
        <v>1524200000</v>
      </c>
      <c r="K1041" s="75" t="str">
        <f aca="false">
IF($D1041="정상",INDEX(임대자산!$D$3:$R$3000,MATCH($F1041,임대자산!$I$3:$I$3000,0),MATCH(K$4,임대자산!$D$3:$R$3,0)),
IF($D1041="폐업",INDEX(폐업정보!$D$3:$R$3000,MATCH($F1041,폐업정보!$I$3:$I$3000,0),MATCH(K$4,폐업정보!$D$3:$R$3,0)),
"Error"))</f>
        <v>C1036</v>
      </c>
      <c r="L1041" s="75" t="str">
        <f aca="false">
IF($D1041="정상",INDEX(임대자산!$D$3:$R$3000,MATCH($F1041,임대자산!$I$3:$I$3000,0),MATCH(L$4,임대자산!$D$3:$R$3,0)),
IF($D1041="폐업",INDEX(폐업정보!$D$3:$R$3000,MATCH($F1041,폐업정보!$I$3:$I$3000,0),MATCH(L$4,폐업정보!$D$3:$R$3,0)),
"Error"))</f>
        <v>D1036</v>
      </c>
      <c r="M1041" s="76" t="s">
        <v>96</v>
      </c>
      <c r="N1041" s="77"/>
      <c r="O1041" s="78" t="s">
        <v>97</v>
      </c>
      <c r="P1041" s="79" t="n">
        <f aca="false">COUNTIFS(임대자산!$I:$I,가맹점정보!F1041,임대자산!$N:$N,가맹점정보!P$4)</f>
        <v>0</v>
      </c>
      <c r="Q1041" s="80" t="n">
        <f aca="false">COUNTIFS(임대자산!$I:$I,가맹점정보!F1041,임대자산!$N:$N,가맹점정보!Q$4)</f>
        <v>0</v>
      </c>
      <c r="R1041" s="81" t="n">
        <f aca="false">COUNTIFS(임대자산!$I:$I,가맹점정보!F1041,임대자산!$N:$N,가맹점정보!R$4)</f>
        <v>1</v>
      </c>
      <c r="S1041" s="82" t="n">
        <v>88000</v>
      </c>
      <c r="T1041" s="83" t="n">
        <v>0</v>
      </c>
      <c r="U1041" s="80" t="n">
        <f aca="false">SUM(S1041:T1041)</f>
        <v>88000</v>
      </c>
      <c r="V1041" s="84" t="s">
        <v>7</v>
      </c>
      <c r="W1041" s="80" t="str">
        <f aca="true">
IF(D1041="폐업","폐업",
IF(V1041="면제","면제",
IF(AND(V1041="정상",COUNTIFS(OFFSET(Y1041,0,COUNTA(Y1041:AV1041)-1,1,-4),"미납")&gt;=3),"장기미납",
IF(AND(V1041="정상",OFFSET(Y1041,0,COUNTA(Y1041:AV1041)-1)&gt;=U1041),"정상",
IF(AND(V1041="정상",OFFSET(Y1041,0,COUNTA(Y1041:AV1041)-1)=0),"정상",
"계약서 미작성")))))</f>
        <v>면제</v>
      </c>
      <c r="X1041" s="81" t="str">
        <f aca="true">
IF(D1041="폐업","폐업",
IF(AND(V1041="정상",OFFSET(Y1041,0,COUNTA(Y1041:AV1041)-1)="미납"),"미납",
IF(AND(V1041="정상",OFFSET(Y1041,0,COUNTA(Y1041:AV1041)-1)=0),"납부 시작 전",
IF(AND(V1041="정상",OFFSET(Y1041,0,COUNTA(Y1041:AV1041)-1)&gt;=U1041),"정상",
IF(AND(V1041="면제",OFFSET(Y1041,0,COUNTA(Y1041:AV1041)-1)="면제"),"면제",
IF(AND(V1041="면제",OFFSET(Y1041,0,COUNTA(Y1041:AV1041)-1)=0),"면제",
"확인요청"))))))</f>
        <v>면제</v>
      </c>
      <c r="Y1041" s="94" t="s">
        <v>7</v>
      </c>
      <c r="Z1041" s="95" t="s">
        <v>7</v>
      </c>
      <c r="AA1041" s="95" t="s">
        <v>7</v>
      </c>
      <c r="AB1041" s="95" t="s">
        <v>7</v>
      </c>
      <c r="AC1041" s="95" t="s">
        <v>7</v>
      </c>
      <c r="AD1041" s="95" t="s">
        <v>7</v>
      </c>
      <c r="AE1041" s="95" t="s">
        <v>7</v>
      </c>
      <c r="AF1041" s="95" t="s">
        <v>7</v>
      </c>
      <c r="AG1041" s="95" t="s">
        <v>7</v>
      </c>
      <c r="AH1041" s="95" t="s">
        <v>7</v>
      </c>
      <c r="AI1041" s="95" t="s">
        <v>7</v>
      </c>
      <c r="AJ1041" s="96" t="s">
        <v>7</v>
      </c>
      <c r="AK1041" s="97" t="s">
        <v>7</v>
      </c>
      <c r="AL1041" s="95" t="s">
        <v>7</v>
      </c>
      <c r="AM1041" s="90"/>
      <c r="AN1041" s="90"/>
      <c r="AO1041" s="90"/>
      <c r="AP1041" s="90"/>
      <c r="AQ1041" s="90"/>
      <c r="AR1041" s="90"/>
      <c r="AS1041" s="90"/>
      <c r="AT1041" s="90"/>
      <c r="AU1041" s="90"/>
      <c r="AV1041" s="91"/>
      <c r="AX1041" s="92"/>
    </row>
    <row r="1042" customFormat="false" ht="15.65" hidden="false" customHeight="false" outlineLevel="0" collapsed="false">
      <c r="C1042" s="72" t="n">
        <f aca="false">COUNTIFS($D$6:D1042,"&lt;&gt;"&amp;"")</f>
        <v>1037</v>
      </c>
      <c r="D1042" s="73" t="s">
        <v>12</v>
      </c>
      <c r="E1042" s="76" t="str">
        <f aca="false">
IF($D1042="정상",INDEX(임대자산!$D$3:$R$3000,MATCH($F1042,임대자산!$I$3:$I$3000,0),MATCH(E$3,임대자산!$D$3:$R$3,0)),
IF($D1042="폐업",INDEX(폐업정보!$D$3:$R$3000,MATCH($F1042,폐업정보!$I$3:$I$3000,0),MATCH(E$3,폐업정보!$D$3:$R$3,0)),
"Error"))</f>
        <v>경상</v>
      </c>
      <c r="F104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B1037</v>
      </c>
      <c r="G1042" s="76" t="str">
        <f aca="false">F1042&amp;RANDBETWEEN(0,10)</f>
        <v>B10372</v>
      </c>
      <c r="H1042" s="75" t="n">
        <f aca="false">
IF($D1042="정상",INDEX(임대자산!$D$3:$R$3000,MATCH($F1042,임대자산!$I$3:$I$3000,0),MATCH(H$4,임대자산!$D$3:$R$3,0)),
IF($D1042="폐업",INDEX(폐업정보!$D$3:$R$3000,MATCH($F1042,폐업정보!$I$3:$I$3000,0),MATCH(H$4,폐업정보!$D$3:$R$3,0)),
"Error"))</f>
        <v>45272</v>
      </c>
      <c r="I1042" s="75" t="str">
        <f aca="false">
IF($D1042="정상",INDEX(임대자산!$D$3:$R$3000,MATCH($F1042,임대자산!$I$3:$I$3000,0),MATCH(I$4,임대자산!$D$3:$R$3,0)),
IF($D1042="폐업",INDEX(폐업정보!$D$3:$R$3000,MATCH($F1042,폐업정보!$I$3:$I$3000,0),MATCH(I$4,폐업정보!$D$3:$R$3,0)),
"Error"))</f>
        <v>A1037</v>
      </c>
      <c r="J1042" s="75" t="str">
        <f aca="false">
IF($D1042="정상",INDEX(임대자산!$D$3:$R$3000,MATCH($F1042,임대자산!$I$3:$I$3000,0),MATCH(J$4,임대자산!$D$3:$R$3,0)),
IF($D1042="폐업",INDEX(폐업정보!$D$3:$R$3000,MATCH($F1042,폐업정보!$I$3:$I$3000,0),MATCH(J$4,폐업정보!$D$3:$R$3,0)),
"Error"))</f>
        <v>2771200000</v>
      </c>
      <c r="K1042" s="75" t="str">
        <f aca="false">
IF($D1042="정상",INDEX(임대자산!$D$3:$R$3000,MATCH($F1042,임대자산!$I$3:$I$3000,0),MATCH(K$4,임대자산!$D$3:$R$3,0)),
IF($D1042="폐업",INDEX(폐업정보!$D$3:$R$3000,MATCH($F1042,폐업정보!$I$3:$I$3000,0),MATCH(K$4,폐업정보!$D$3:$R$3,0)),
"Error"))</f>
        <v>C1037</v>
      </c>
      <c r="L1042" s="75" t="str">
        <f aca="false">
IF($D1042="정상",INDEX(임대자산!$D$3:$R$3000,MATCH($F1042,임대자산!$I$3:$I$3000,0),MATCH(L$4,임대자산!$D$3:$R$3,0)),
IF($D1042="폐업",INDEX(폐업정보!$D$3:$R$3000,MATCH($F1042,폐업정보!$I$3:$I$3000,0),MATCH(L$4,폐업정보!$D$3:$R$3,0)),
"Error"))</f>
        <v>D1037</v>
      </c>
      <c r="M1042" s="76" t="s">
        <v>96</v>
      </c>
      <c r="N1042" s="77"/>
      <c r="O1042" s="78" t="s">
        <v>97</v>
      </c>
      <c r="P1042" s="79" t="n">
        <f aca="false">COUNTIFS(임대자산!$I:$I,가맹점정보!F1042,임대자산!$N:$N,가맹점정보!P$4)</f>
        <v>0</v>
      </c>
      <c r="Q1042" s="80" t="n">
        <f aca="false">COUNTIFS(임대자산!$I:$I,가맹점정보!F1042,임대자산!$N:$N,가맹점정보!Q$4)</f>
        <v>0</v>
      </c>
      <c r="R1042" s="81" t="n">
        <f aca="false">COUNTIFS(임대자산!$I:$I,가맹점정보!F1042,임대자산!$N:$N,가맹점정보!R$4)</f>
        <v>1</v>
      </c>
      <c r="S1042" s="82" t="n">
        <v>55000</v>
      </c>
      <c r="T1042" s="83" t="n">
        <v>0</v>
      </c>
      <c r="U1042" s="80" t="n">
        <f aca="false">SUM(S1042:T1042)</f>
        <v>55000</v>
      </c>
      <c r="V1042" s="84" t="s">
        <v>7</v>
      </c>
      <c r="W1042" s="80" t="str">
        <f aca="true">
IF(D1042="폐업","폐업",
IF(V1042="면제","면제",
IF(AND(V1042="정상",COUNTIFS(OFFSET(Y1042,0,COUNTA(Y1042:AV1042)-1,1,-4),"미납")&gt;=3),"장기미납",
IF(AND(V1042="정상",OFFSET(Y1042,0,COUNTA(Y1042:AV1042)-1)&gt;=U1042),"정상",
IF(AND(V1042="정상",OFFSET(Y1042,0,COUNTA(Y1042:AV1042)-1)=0),"정상",
"계약서 미작성")))))</f>
        <v>면제</v>
      </c>
      <c r="X1042" s="81" t="str">
        <f aca="true">
IF(D1042="폐업","폐업",
IF(AND(V1042="정상",OFFSET(Y1042,0,COUNTA(Y1042:AV1042)-1)="미납"),"미납",
IF(AND(V1042="정상",OFFSET(Y1042,0,COUNTA(Y1042:AV1042)-1)=0),"납부 시작 전",
IF(AND(V1042="정상",OFFSET(Y1042,0,COUNTA(Y1042:AV1042)-1)&gt;=U1042),"정상",
IF(AND(V1042="면제",OFFSET(Y1042,0,COUNTA(Y1042:AV1042)-1)="면제"),"면제",
IF(AND(V1042="면제",OFFSET(Y1042,0,COUNTA(Y1042:AV1042)-1)=0),"면제",
"확인요청"))))))</f>
        <v>면제</v>
      </c>
      <c r="Y1042" s="94" t="s">
        <v>7</v>
      </c>
      <c r="Z1042" s="95" t="s">
        <v>7</v>
      </c>
      <c r="AA1042" s="95" t="s">
        <v>7</v>
      </c>
      <c r="AB1042" s="95" t="s">
        <v>7</v>
      </c>
      <c r="AC1042" s="95" t="s">
        <v>7</v>
      </c>
      <c r="AD1042" s="95" t="s">
        <v>7</v>
      </c>
      <c r="AE1042" s="95" t="s">
        <v>7</v>
      </c>
      <c r="AF1042" s="95" t="s">
        <v>7</v>
      </c>
      <c r="AG1042" s="95" t="s">
        <v>7</v>
      </c>
      <c r="AH1042" s="95" t="s">
        <v>7</v>
      </c>
      <c r="AI1042" s="95" t="s">
        <v>7</v>
      </c>
      <c r="AJ1042" s="96" t="s">
        <v>7</v>
      </c>
      <c r="AK1042" s="97" t="s">
        <v>7</v>
      </c>
      <c r="AL1042" s="95" t="s">
        <v>7</v>
      </c>
      <c r="AM1042" s="90"/>
      <c r="AN1042" s="90"/>
      <c r="AO1042" s="90"/>
      <c r="AP1042" s="90"/>
      <c r="AQ1042" s="90"/>
      <c r="AR1042" s="90"/>
      <c r="AS1042" s="90"/>
      <c r="AT1042" s="90"/>
      <c r="AU1042" s="90"/>
      <c r="AV1042" s="91"/>
      <c r="AX1042" s="92"/>
    </row>
    <row r="1043" customFormat="false" ht="15.65" hidden="false" customHeight="false" outlineLevel="0" collapsed="false">
      <c r="C1043" s="72" t="n">
        <f aca="false">COUNTIFS($D$6:D1043,"&lt;&gt;"&amp;"")</f>
        <v>1038</v>
      </c>
      <c r="D1043" s="73" t="s">
        <v>12</v>
      </c>
      <c r="E1043" s="76" t="str">
        <f aca="false">
IF($D1043="정상",INDEX(임대자산!$D$3:$R$3000,MATCH($F1043,임대자산!$I$3:$I$3000,0),MATCH(E$3,임대자산!$D$3:$R$3,0)),
IF($D1043="폐업",INDEX(폐업정보!$D$3:$R$3000,MATCH($F1043,폐업정보!$I$3:$I$3000,0),MATCH(E$3,폐업정보!$D$3:$R$3,0)),
"Error"))</f>
        <v>서울</v>
      </c>
      <c r="F104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B1038</v>
      </c>
      <c r="G1043" s="76" t="str">
        <f aca="false">F1043&amp;RANDBETWEEN(0,10)</f>
        <v>B10385</v>
      </c>
      <c r="H1043" s="75" t="n">
        <f aca="false">
IF($D1043="정상",INDEX(임대자산!$D$3:$R$3000,MATCH($F1043,임대자산!$I$3:$I$3000,0),MATCH(H$4,임대자산!$D$3:$R$3,0)),
IF($D1043="폐업",INDEX(폐업정보!$D$3:$R$3000,MATCH($F1043,폐업정보!$I$3:$I$3000,0),MATCH(H$4,폐업정보!$D$3:$R$3,0)),
"Error"))</f>
        <v>46002</v>
      </c>
      <c r="I1043" s="75" t="str">
        <f aca="false">
IF($D1043="정상",INDEX(임대자산!$D$3:$R$3000,MATCH($F1043,임대자산!$I$3:$I$3000,0),MATCH(I$4,임대자산!$D$3:$R$3,0)),
IF($D1043="폐업",INDEX(폐업정보!$D$3:$R$3000,MATCH($F1043,폐업정보!$I$3:$I$3000,0),MATCH(I$4,폐업정보!$D$3:$R$3,0)),
"Error"))</f>
        <v>A1038</v>
      </c>
      <c r="J1043" s="75" t="str">
        <f aca="false">
IF($D1043="정상",INDEX(임대자산!$D$3:$R$3000,MATCH($F1043,임대자산!$I$3:$I$3000,0),MATCH(J$4,임대자산!$D$3:$R$3,0)),
IF($D1043="폐업",INDEX(폐업정보!$D$3:$R$3000,MATCH($F1043,폐업정보!$I$3:$I$3000,0),MATCH(J$4,폐업정보!$D$3:$R$3,0)),
"Error"))</f>
        <v>2929600000</v>
      </c>
      <c r="K1043" s="75" t="str">
        <f aca="false">
IF($D1043="정상",INDEX(임대자산!$D$3:$R$3000,MATCH($F1043,임대자산!$I$3:$I$3000,0),MATCH(K$4,임대자산!$D$3:$R$3,0)),
IF($D1043="폐업",INDEX(폐업정보!$D$3:$R$3000,MATCH($F1043,폐업정보!$I$3:$I$3000,0),MATCH(K$4,폐업정보!$D$3:$R$3,0)),
"Error"))</f>
        <v>C1038</v>
      </c>
      <c r="L1043" s="75" t="str">
        <f aca="false">
IF($D1043="정상",INDEX(임대자산!$D$3:$R$3000,MATCH($F1043,임대자산!$I$3:$I$3000,0),MATCH(L$4,임대자산!$D$3:$R$3,0)),
IF($D1043="폐업",INDEX(폐업정보!$D$3:$R$3000,MATCH($F1043,폐업정보!$I$3:$I$3000,0),MATCH(L$4,폐업정보!$D$3:$R$3,0)),
"Error"))</f>
        <v>D1038</v>
      </c>
      <c r="M1043" s="76" t="s">
        <v>96</v>
      </c>
      <c r="N1043" s="77"/>
      <c r="O1043" s="78" t="s">
        <v>97</v>
      </c>
      <c r="P1043" s="79" t="n">
        <f aca="false">COUNTIFS(임대자산!$I:$I,가맹점정보!F1043,임대자산!$N:$N,가맹점정보!P$4)</f>
        <v>0</v>
      </c>
      <c r="Q1043" s="80" t="n">
        <f aca="false">COUNTIFS(임대자산!$I:$I,가맹점정보!F1043,임대자산!$N:$N,가맹점정보!Q$4)</f>
        <v>0</v>
      </c>
      <c r="R1043" s="81" t="n">
        <f aca="false">COUNTIFS(임대자산!$I:$I,가맹점정보!F1043,임대자산!$N:$N,가맹점정보!R$4)</f>
        <v>1</v>
      </c>
      <c r="S1043" s="82" t="n">
        <v>55000</v>
      </c>
      <c r="T1043" s="83" t="n">
        <v>0</v>
      </c>
      <c r="U1043" s="80" t="n">
        <f aca="false">SUM(S1043:T1043)</f>
        <v>55000</v>
      </c>
      <c r="V1043" s="84" t="s">
        <v>7</v>
      </c>
      <c r="W1043" s="80" t="str">
        <f aca="true">
IF(D1043="폐업","폐업",
IF(V1043="면제","면제",
IF(AND(V1043="정상",COUNTIFS(OFFSET(Y1043,0,COUNTA(Y1043:AV1043)-1,1,-4),"미납")&gt;=3),"장기미납",
IF(AND(V1043="정상",OFFSET(Y1043,0,COUNTA(Y1043:AV1043)-1)&gt;=U1043),"정상",
IF(AND(V1043="정상",OFFSET(Y1043,0,COUNTA(Y1043:AV1043)-1)=0),"정상",
"계약서 미작성")))))</f>
        <v>면제</v>
      </c>
      <c r="X1043" s="81" t="str">
        <f aca="true">
IF(D1043="폐업","폐업",
IF(AND(V1043="정상",OFFSET(Y1043,0,COUNTA(Y1043:AV1043)-1)="미납"),"미납",
IF(AND(V1043="정상",OFFSET(Y1043,0,COUNTA(Y1043:AV1043)-1)=0),"납부 시작 전",
IF(AND(V1043="정상",OFFSET(Y1043,0,COUNTA(Y1043:AV1043)-1)&gt;=U1043),"정상",
IF(AND(V1043="면제",OFFSET(Y1043,0,COUNTA(Y1043:AV1043)-1)="면제"),"면제",
IF(AND(V1043="면제",OFFSET(Y1043,0,COUNTA(Y1043:AV1043)-1)=0),"면제",
"확인요청"))))))</f>
        <v>면제</v>
      </c>
      <c r="Y1043" s="94" t="s">
        <v>7</v>
      </c>
      <c r="Z1043" s="95" t="s">
        <v>7</v>
      </c>
      <c r="AA1043" s="95" t="s">
        <v>7</v>
      </c>
      <c r="AB1043" s="95" t="s">
        <v>7</v>
      </c>
      <c r="AC1043" s="95" t="s">
        <v>7</v>
      </c>
      <c r="AD1043" s="95" t="s">
        <v>7</v>
      </c>
      <c r="AE1043" s="95" t="s">
        <v>7</v>
      </c>
      <c r="AF1043" s="95" t="s">
        <v>7</v>
      </c>
      <c r="AG1043" s="95" t="s">
        <v>7</v>
      </c>
      <c r="AH1043" s="95" t="s">
        <v>7</v>
      </c>
      <c r="AI1043" s="95" t="s">
        <v>7</v>
      </c>
      <c r="AJ1043" s="96" t="s">
        <v>7</v>
      </c>
      <c r="AK1043" s="97" t="s">
        <v>7</v>
      </c>
      <c r="AL1043" s="95" t="s">
        <v>7</v>
      </c>
      <c r="AM1043" s="90"/>
      <c r="AN1043" s="90"/>
      <c r="AO1043" s="90"/>
      <c r="AP1043" s="90"/>
      <c r="AQ1043" s="90"/>
      <c r="AR1043" s="90"/>
      <c r="AS1043" s="90"/>
      <c r="AT1043" s="90"/>
      <c r="AU1043" s="90"/>
      <c r="AV1043" s="91"/>
      <c r="AX1043" s="92"/>
    </row>
    <row r="1044" customFormat="false" ht="15.65" hidden="false" customHeight="false" outlineLevel="0" collapsed="false">
      <c r="C1044" s="72" t="n">
        <f aca="false">COUNTIFS($D$6:D1044,"&lt;&gt;"&amp;"")</f>
        <v>1039</v>
      </c>
      <c r="D1044" s="73" t="s">
        <v>12</v>
      </c>
      <c r="E1044" s="76" t="str">
        <f aca="false">
IF($D1044="정상",INDEX(임대자산!$D$3:$R$3000,MATCH($F1044,임대자산!$I$3:$I$3000,0),MATCH(E$3,임대자산!$D$3:$R$3,0)),
IF($D1044="폐업",INDEX(폐업정보!$D$3:$R$3000,MATCH($F1044,폐업정보!$I$3:$I$3000,0),MATCH(E$3,폐업정보!$D$3:$R$3,0)),
"Error"))</f>
        <v>서울</v>
      </c>
      <c r="F104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B1039</v>
      </c>
      <c r="G1044" s="76" t="str">
        <f aca="false">F1044&amp;RANDBETWEEN(0,10)</f>
        <v>B10391</v>
      </c>
      <c r="H1044" s="75" t="n">
        <f aca="false">
IF($D1044="정상",INDEX(임대자산!$D$3:$R$3000,MATCH($F1044,임대자산!$I$3:$I$3000,0),MATCH(H$4,임대자산!$D$3:$R$3,0)),
IF($D1044="폐업",INDEX(폐업정보!$D$3:$R$3000,MATCH($F1044,폐업정보!$I$3:$I$3000,0),MATCH(H$4,폐업정보!$D$3:$R$3,0)),
"Error"))</f>
        <v>44782</v>
      </c>
      <c r="I1044" s="75" t="str">
        <f aca="false">
IF($D1044="정상",INDEX(임대자산!$D$3:$R$3000,MATCH($F1044,임대자산!$I$3:$I$3000,0),MATCH(I$4,임대자산!$D$3:$R$3,0)),
IF($D1044="폐업",INDEX(폐업정보!$D$3:$R$3000,MATCH($F1044,폐업정보!$I$3:$I$3000,0),MATCH(I$4,폐업정보!$D$3:$R$3,0)),
"Error"))</f>
        <v>A1039</v>
      </c>
      <c r="J1044" s="75" t="str">
        <f aca="false">
IF($D1044="정상",INDEX(임대자산!$D$3:$R$3000,MATCH($F1044,임대자산!$I$3:$I$3000,0),MATCH(J$4,임대자산!$D$3:$R$3,0)),
IF($D1044="폐업",INDEX(폐업정보!$D$3:$R$3000,MATCH($F1044,폐업정보!$I$3:$I$3000,0),MATCH(J$4,폐업정보!$D$3:$R$3,0)),
"Error"))</f>
        <v>3115400000</v>
      </c>
      <c r="K1044" s="75" t="str">
        <f aca="false">
IF($D1044="정상",INDEX(임대자산!$D$3:$R$3000,MATCH($F1044,임대자산!$I$3:$I$3000,0),MATCH(K$4,임대자산!$D$3:$R$3,0)),
IF($D1044="폐업",INDEX(폐업정보!$D$3:$R$3000,MATCH($F1044,폐업정보!$I$3:$I$3000,0),MATCH(K$4,폐업정보!$D$3:$R$3,0)),
"Error"))</f>
        <v>C1039</v>
      </c>
      <c r="L1044" s="75" t="str">
        <f aca="false">
IF($D1044="정상",INDEX(임대자산!$D$3:$R$3000,MATCH($F1044,임대자산!$I$3:$I$3000,0),MATCH(L$4,임대자산!$D$3:$R$3,0)),
IF($D1044="폐업",INDEX(폐업정보!$D$3:$R$3000,MATCH($F1044,폐업정보!$I$3:$I$3000,0),MATCH(L$4,폐업정보!$D$3:$R$3,0)),
"Error"))</f>
        <v>D1039</v>
      </c>
      <c r="M1044" s="76" t="s">
        <v>96</v>
      </c>
      <c r="N1044" s="77"/>
      <c r="O1044" s="78" t="s">
        <v>97</v>
      </c>
      <c r="P1044" s="79" t="n">
        <f aca="false">COUNTIFS(임대자산!$I:$I,가맹점정보!F1044,임대자산!$N:$N,가맹점정보!P$4)</f>
        <v>0</v>
      </c>
      <c r="Q1044" s="80" t="n">
        <f aca="false">COUNTIFS(임대자산!$I:$I,가맹점정보!F1044,임대자산!$N:$N,가맹점정보!Q$4)</f>
        <v>0</v>
      </c>
      <c r="R1044" s="81" t="n">
        <f aca="false">COUNTIFS(임대자산!$I:$I,가맹점정보!F1044,임대자산!$N:$N,가맹점정보!R$4)</f>
        <v>1</v>
      </c>
      <c r="S1044" s="82" t="n">
        <v>55000</v>
      </c>
      <c r="T1044" s="83" t="n">
        <v>0</v>
      </c>
      <c r="U1044" s="80" t="n">
        <f aca="false">SUM(S1044:T1044)</f>
        <v>55000</v>
      </c>
      <c r="V1044" s="84" t="s">
        <v>7</v>
      </c>
      <c r="W1044" s="80" t="str">
        <f aca="true">
IF(D1044="폐업","폐업",
IF(V1044="면제","면제",
IF(AND(V1044="정상",COUNTIFS(OFFSET(Y1044,0,COUNTA(Y1044:AV1044)-1,1,-4),"미납")&gt;=3),"장기미납",
IF(AND(V1044="정상",OFFSET(Y1044,0,COUNTA(Y1044:AV1044)-1)&gt;=U1044),"정상",
IF(AND(V1044="정상",OFFSET(Y1044,0,COUNTA(Y1044:AV1044)-1)=0),"정상",
"계약서 미작성")))))</f>
        <v>면제</v>
      </c>
      <c r="X1044" s="81" t="str">
        <f aca="true">
IF(D1044="폐업","폐업",
IF(AND(V1044="정상",OFFSET(Y1044,0,COUNTA(Y1044:AV1044)-1)="미납"),"미납",
IF(AND(V1044="정상",OFFSET(Y1044,0,COUNTA(Y1044:AV1044)-1)=0),"납부 시작 전",
IF(AND(V1044="정상",OFFSET(Y1044,0,COUNTA(Y1044:AV1044)-1)&gt;=U1044),"정상",
IF(AND(V1044="면제",OFFSET(Y1044,0,COUNTA(Y1044:AV1044)-1)="면제"),"면제",
IF(AND(V1044="면제",OFFSET(Y1044,0,COUNTA(Y1044:AV1044)-1)=0),"면제",
"확인요청"))))))</f>
        <v>면제</v>
      </c>
      <c r="Y1044" s="94" t="s">
        <v>7</v>
      </c>
      <c r="Z1044" s="95" t="s">
        <v>7</v>
      </c>
      <c r="AA1044" s="95" t="s">
        <v>7</v>
      </c>
      <c r="AB1044" s="95" t="s">
        <v>7</v>
      </c>
      <c r="AC1044" s="95" t="s">
        <v>7</v>
      </c>
      <c r="AD1044" s="95" t="s">
        <v>7</v>
      </c>
      <c r="AE1044" s="95" t="s">
        <v>7</v>
      </c>
      <c r="AF1044" s="95" t="s">
        <v>7</v>
      </c>
      <c r="AG1044" s="95" t="s">
        <v>7</v>
      </c>
      <c r="AH1044" s="95" t="s">
        <v>7</v>
      </c>
      <c r="AI1044" s="95" t="s">
        <v>7</v>
      </c>
      <c r="AJ1044" s="96" t="s">
        <v>7</v>
      </c>
      <c r="AK1044" s="97" t="s">
        <v>7</v>
      </c>
      <c r="AL1044" s="95" t="s">
        <v>7</v>
      </c>
      <c r="AM1044" s="90"/>
      <c r="AN1044" s="90"/>
      <c r="AO1044" s="90"/>
      <c r="AP1044" s="90"/>
      <c r="AQ1044" s="90"/>
      <c r="AR1044" s="90"/>
      <c r="AS1044" s="90"/>
      <c r="AT1044" s="90"/>
      <c r="AU1044" s="90"/>
      <c r="AV1044" s="91"/>
      <c r="AX1044" s="92"/>
    </row>
    <row r="1045" customFormat="false" ht="15.65" hidden="false" customHeight="false" outlineLevel="0" collapsed="false">
      <c r="C1045" s="72" t="n">
        <f aca="false">COUNTIFS($D$6:D1045,"&lt;&gt;"&amp;"")</f>
        <v>1040</v>
      </c>
      <c r="D1045" s="73" t="s">
        <v>12</v>
      </c>
      <c r="E1045" s="76" t="str">
        <f aca="false">
IF($D1045="정상",INDEX(임대자산!$D$3:$R$3000,MATCH($F1045,임대자산!$I$3:$I$3000,0),MATCH(E$3,임대자산!$D$3:$R$3,0)),
IF($D1045="폐업",INDEX(폐업정보!$D$3:$R$3000,MATCH($F1045,폐업정보!$I$3:$I$3000,0),MATCH(E$3,폐업정보!$D$3:$R$3,0)),
"Error"))</f>
        <v>서울</v>
      </c>
      <c r="F104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B1040</v>
      </c>
      <c r="G1045" s="76" t="str">
        <f aca="false">F1045&amp;RANDBETWEEN(0,10)</f>
        <v>B10400</v>
      </c>
      <c r="H1045" s="75" t="n">
        <f aca="false">
IF($D1045="정상",INDEX(임대자산!$D$3:$R$3000,MATCH($F1045,임대자산!$I$3:$I$3000,0),MATCH(H$4,임대자산!$D$3:$R$3,0)),
IF($D1045="폐업",INDEX(폐업정보!$D$3:$R$3000,MATCH($F1045,폐업정보!$I$3:$I$3000,0),MATCH(H$4,폐업정보!$D$3:$R$3,0)),
"Error"))</f>
        <v>45261</v>
      </c>
      <c r="I1045" s="75" t="str">
        <f aca="false">
IF($D1045="정상",INDEX(임대자산!$D$3:$R$3000,MATCH($F1045,임대자산!$I$3:$I$3000,0),MATCH(I$4,임대자산!$D$3:$R$3,0)),
IF($D1045="폐업",INDEX(폐업정보!$D$3:$R$3000,MATCH($F1045,폐업정보!$I$3:$I$3000,0),MATCH(I$4,폐업정보!$D$3:$R$3,0)),
"Error"))</f>
        <v>A1040</v>
      </c>
      <c r="J1045" s="75" t="str">
        <f aca="false">
IF($D1045="정상",INDEX(임대자산!$D$3:$R$3000,MATCH($F1045,임대자산!$I$3:$I$3000,0),MATCH(J$4,임대자산!$D$3:$R$3,0)),
IF($D1045="폐업",INDEX(폐업정보!$D$3:$R$3000,MATCH($F1045,폐업정보!$I$3:$I$3000,0),MATCH(J$4,폐업정보!$D$3:$R$3,0)),
"Error"))</f>
        <v>9913200000</v>
      </c>
      <c r="K1045" s="75" t="str">
        <f aca="false">
IF($D1045="정상",INDEX(임대자산!$D$3:$R$3000,MATCH($F1045,임대자산!$I$3:$I$3000,0),MATCH(K$4,임대자산!$D$3:$R$3,0)),
IF($D1045="폐업",INDEX(폐업정보!$D$3:$R$3000,MATCH($F1045,폐업정보!$I$3:$I$3000,0),MATCH(K$4,폐업정보!$D$3:$R$3,0)),
"Error"))</f>
        <v>C1040</v>
      </c>
      <c r="L1045" s="75" t="str">
        <f aca="false">
IF($D1045="정상",INDEX(임대자산!$D$3:$R$3000,MATCH($F1045,임대자산!$I$3:$I$3000,0),MATCH(L$4,임대자산!$D$3:$R$3,0)),
IF($D1045="폐업",INDEX(폐업정보!$D$3:$R$3000,MATCH($F1045,폐업정보!$I$3:$I$3000,0),MATCH(L$4,폐업정보!$D$3:$R$3,0)),
"Error"))</f>
        <v>D1040</v>
      </c>
      <c r="M1045" s="76" t="s">
        <v>96</v>
      </c>
      <c r="N1045" s="77"/>
      <c r="O1045" s="78" t="s">
        <v>97</v>
      </c>
      <c r="P1045" s="79" t="n">
        <f aca="false">COUNTIFS(임대자산!$I:$I,가맹점정보!F1045,임대자산!$N:$N,가맹점정보!P$4)</f>
        <v>0</v>
      </c>
      <c r="Q1045" s="80" t="n">
        <f aca="false">COUNTIFS(임대자산!$I:$I,가맹점정보!F1045,임대자산!$N:$N,가맹점정보!Q$4)</f>
        <v>0</v>
      </c>
      <c r="R1045" s="81" t="n">
        <f aca="false">COUNTIFS(임대자산!$I:$I,가맹점정보!F1045,임대자산!$N:$N,가맹점정보!R$4)</f>
        <v>1</v>
      </c>
      <c r="S1045" s="82" t="n">
        <v>88000</v>
      </c>
      <c r="T1045" s="83" t="n">
        <v>0</v>
      </c>
      <c r="U1045" s="80" t="n">
        <f aca="false">SUM(S1045:T1045)</f>
        <v>88000</v>
      </c>
      <c r="V1045" s="84" t="s">
        <v>7</v>
      </c>
      <c r="W1045" s="80" t="str">
        <f aca="true">
IF(D1045="폐업","폐업",
IF(V1045="면제","면제",
IF(AND(V1045="정상",COUNTIFS(OFFSET(Y1045,0,COUNTA(Y1045:AV1045)-1,1,-4),"미납")&gt;=3),"장기미납",
IF(AND(V1045="정상",OFFSET(Y1045,0,COUNTA(Y1045:AV1045)-1)&gt;=U1045),"정상",
IF(AND(V1045="정상",OFFSET(Y1045,0,COUNTA(Y1045:AV1045)-1)=0),"정상",
"계약서 미작성")))))</f>
        <v>면제</v>
      </c>
      <c r="X1045" s="81" t="str">
        <f aca="true">
IF(D1045="폐업","폐업",
IF(AND(V1045="정상",OFFSET(Y1045,0,COUNTA(Y1045:AV1045)-1)="미납"),"미납",
IF(AND(V1045="정상",OFFSET(Y1045,0,COUNTA(Y1045:AV1045)-1)=0),"납부 시작 전",
IF(AND(V1045="정상",OFFSET(Y1045,0,COUNTA(Y1045:AV1045)-1)&gt;=U1045),"정상",
IF(AND(V1045="면제",OFFSET(Y1045,0,COUNTA(Y1045:AV1045)-1)="면제"),"면제",
IF(AND(V1045="면제",OFFSET(Y1045,0,COUNTA(Y1045:AV1045)-1)=0),"면제",
"확인요청"))))))</f>
        <v>면제</v>
      </c>
      <c r="Y1045" s="94" t="s">
        <v>7</v>
      </c>
      <c r="Z1045" s="95" t="s">
        <v>7</v>
      </c>
      <c r="AA1045" s="95" t="s">
        <v>7</v>
      </c>
      <c r="AB1045" s="95" t="s">
        <v>7</v>
      </c>
      <c r="AC1045" s="95" t="s">
        <v>7</v>
      </c>
      <c r="AD1045" s="95" t="s">
        <v>7</v>
      </c>
      <c r="AE1045" s="95" t="s">
        <v>7</v>
      </c>
      <c r="AF1045" s="95" t="s">
        <v>7</v>
      </c>
      <c r="AG1045" s="95" t="s">
        <v>7</v>
      </c>
      <c r="AH1045" s="95" t="s">
        <v>7</v>
      </c>
      <c r="AI1045" s="95" t="s">
        <v>7</v>
      </c>
      <c r="AJ1045" s="96" t="s">
        <v>7</v>
      </c>
      <c r="AK1045" s="97" t="s">
        <v>7</v>
      </c>
      <c r="AL1045" s="95" t="s">
        <v>7</v>
      </c>
      <c r="AM1045" s="90"/>
      <c r="AN1045" s="90"/>
      <c r="AO1045" s="90"/>
      <c r="AP1045" s="90"/>
      <c r="AQ1045" s="90"/>
      <c r="AR1045" s="90"/>
      <c r="AS1045" s="90"/>
      <c r="AT1045" s="90"/>
      <c r="AU1045" s="90"/>
      <c r="AV1045" s="91"/>
      <c r="AX1045" s="92"/>
    </row>
    <row r="1046" customFormat="false" ht="15.65" hidden="false" customHeight="false" outlineLevel="0" collapsed="false">
      <c r="C1046" s="72" t="n">
        <f aca="false">COUNTIFS($D$6:D1046,"&lt;&gt;"&amp;"")</f>
        <v>1041</v>
      </c>
      <c r="D1046" s="73" t="s">
        <v>12</v>
      </c>
      <c r="E1046" s="76" t="str">
        <f aca="false">
IF($D1046="정상",INDEX(임대자산!$D$3:$R$3000,MATCH($F1046,임대자산!$I$3:$I$3000,0),MATCH(E$3,임대자산!$D$3:$R$3,0)),
IF($D1046="폐업",INDEX(폐업정보!$D$3:$R$3000,MATCH($F1046,폐업정보!$I$3:$I$3000,0),MATCH(E$3,폐업정보!$D$3:$R$3,0)),
"Error"))</f>
        <v>서울</v>
      </c>
      <c r="F104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B1041</v>
      </c>
      <c r="G1046" s="76" t="str">
        <f aca="false">F1046&amp;RANDBETWEEN(0,10)</f>
        <v>B10418</v>
      </c>
      <c r="H1046" s="75" t="n">
        <f aca="false">
IF($D1046="정상",INDEX(임대자산!$D$3:$R$3000,MATCH($F1046,임대자산!$I$3:$I$3000,0),MATCH(H$4,임대자산!$D$3:$R$3,0)),
IF($D1046="폐업",INDEX(폐업정보!$D$3:$R$3000,MATCH($F1046,폐업정보!$I$3:$I$3000,0),MATCH(H$4,폐업정보!$D$3:$R$3,0)),
"Error"))</f>
        <v>45266</v>
      </c>
      <c r="I1046" s="75" t="str">
        <f aca="false">
IF($D1046="정상",INDEX(임대자산!$D$3:$R$3000,MATCH($F1046,임대자산!$I$3:$I$3000,0),MATCH(I$4,임대자산!$D$3:$R$3,0)),
IF($D1046="폐업",INDEX(폐업정보!$D$3:$R$3000,MATCH($F1046,폐업정보!$I$3:$I$3000,0),MATCH(I$4,폐업정보!$D$3:$R$3,0)),
"Error"))</f>
        <v>A1041</v>
      </c>
      <c r="J1046" s="75" t="str">
        <f aca="false">
IF($D1046="정상",INDEX(임대자산!$D$3:$R$3000,MATCH($F1046,임대자산!$I$3:$I$3000,0),MATCH(J$4,임대자산!$D$3:$R$3,0)),
IF($D1046="폐업",INDEX(폐업정보!$D$3:$R$3000,MATCH($F1046,폐업정보!$I$3:$I$3000,0),MATCH(J$4,폐업정보!$D$3:$R$3,0)),
"Error"))</f>
        <v>7154400000</v>
      </c>
      <c r="K1046" s="75" t="str">
        <f aca="false">
IF($D1046="정상",INDEX(임대자산!$D$3:$R$3000,MATCH($F1046,임대자산!$I$3:$I$3000,0),MATCH(K$4,임대자산!$D$3:$R$3,0)),
IF($D1046="폐업",INDEX(폐업정보!$D$3:$R$3000,MATCH($F1046,폐업정보!$I$3:$I$3000,0),MATCH(K$4,폐업정보!$D$3:$R$3,0)),
"Error"))</f>
        <v>C1041</v>
      </c>
      <c r="L1046" s="75" t="str">
        <f aca="false">
IF($D1046="정상",INDEX(임대자산!$D$3:$R$3000,MATCH($F1046,임대자산!$I$3:$I$3000,0),MATCH(L$4,임대자산!$D$3:$R$3,0)),
IF($D1046="폐업",INDEX(폐업정보!$D$3:$R$3000,MATCH($F1046,폐업정보!$I$3:$I$3000,0),MATCH(L$4,폐업정보!$D$3:$R$3,0)),
"Error"))</f>
        <v>D1041</v>
      </c>
      <c r="M1046" s="76" t="s">
        <v>96</v>
      </c>
      <c r="N1046" s="77"/>
      <c r="O1046" s="78" t="s">
        <v>97</v>
      </c>
      <c r="P1046" s="79" t="n">
        <f aca="false">COUNTIFS(임대자산!$I:$I,가맹점정보!F1046,임대자산!$N:$N,가맹점정보!P$4)</f>
        <v>0</v>
      </c>
      <c r="Q1046" s="80" t="n">
        <f aca="false">COUNTIFS(임대자산!$I:$I,가맹점정보!F1046,임대자산!$N:$N,가맹점정보!Q$4)</f>
        <v>0</v>
      </c>
      <c r="R1046" s="81" t="n">
        <f aca="false">COUNTIFS(임대자산!$I:$I,가맹점정보!F1046,임대자산!$N:$N,가맹점정보!R$4)</f>
        <v>1</v>
      </c>
      <c r="S1046" s="82" t="n">
        <v>88000</v>
      </c>
      <c r="T1046" s="83" t="n">
        <v>0</v>
      </c>
      <c r="U1046" s="80" t="n">
        <f aca="false">SUM(S1046:T1046)</f>
        <v>88000</v>
      </c>
      <c r="V1046" s="84" t="s">
        <v>7</v>
      </c>
      <c r="W1046" s="80" t="str">
        <f aca="true">
IF(D1046="폐업","폐업",
IF(V1046="면제","면제",
IF(AND(V1046="정상",COUNTIFS(OFFSET(Y1046,0,COUNTA(Y1046:AV1046)-1,1,-4),"미납")&gt;=3),"장기미납",
IF(AND(V1046="정상",OFFSET(Y1046,0,COUNTA(Y1046:AV1046)-1)&gt;=U1046),"정상",
IF(AND(V1046="정상",OFFSET(Y1046,0,COUNTA(Y1046:AV1046)-1)=0),"정상",
"계약서 미작성")))))</f>
        <v>면제</v>
      </c>
      <c r="X1046" s="81" t="str">
        <f aca="true">
IF(D1046="폐업","폐업",
IF(AND(V1046="정상",OFFSET(Y1046,0,COUNTA(Y1046:AV1046)-1)="미납"),"미납",
IF(AND(V1046="정상",OFFSET(Y1046,0,COUNTA(Y1046:AV1046)-1)=0),"납부 시작 전",
IF(AND(V1046="정상",OFFSET(Y1046,0,COUNTA(Y1046:AV1046)-1)&gt;=U1046),"정상",
IF(AND(V1046="면제",OFFSET(Y1046,0,COUNTA(Y1046:AV1046)-1)="면제"),"면제",
IF(AND(V1046="면제",OFFSET(Y1046,0,COUNTA(Y1046:AV1046)-1)=0),"면제",
"확인요청"))))))</f>
        <v>면제</v>
      </c>
      <c r="Y1046" s="94" t="s">
        <v>7</v>
      </c>
      <c r="Z1046" s="95" t="s">
        <v>7</v>
      </c>
      <c r="AA1046" s="95" t="s">
        <v>7</v>
      </c>
      <c r="AB1046" s="95" t="s">
        <v>7</v>
      </c>
      <c r="AC1046" s="95" t="s">
        <v>7</v>
      </c>
      <c r="AD1046" s="95" t="s">
        <v>7</v>
      </c>
      <c r="AE1046" s="95" t="s">
        <v>7</v>
      </c>
      <c r="AF1046" s="95" t="s">
        <v>7</v>
      </c>
      <c r="AG1046" s="95" t="s">
        <v>7</v>
      </c>
      <c r="AH1046" s="95" t="s">
        <v>7</v>
      </c>
      <c r="AI1046" s="95" t="s">
        <v>7</v>
      </c>
      <c r="AJ1046" s="96" t="s">
        <v>7</v>
      </c>
      <c r="AK1046" s="97" t="s">
        <v>7</v>
      </c>
      <c r="AL1046" s="95" t="s">
        <v>7</v>
      </c>
      <c r="AM1046" s="90"/>
      <c r="AN1046" s="90"/>
      <c r="AO1046" s="90"/>
      <c r="AP1046" s="90"/>
      <c r="AQ1046" s="90"/>
      <c r="AR1046" s="90"/>
      <c r="AS1046" s="90"/>
      <c r="AT1046" s="90"/>
      <c r="AU1046" s="90"/>
      <c r="AV1046" s="91"/>
      <c r="AX1046" s="92"/>
    </row>
    <row r="1047" customFormat="false" ht="15.65" hidden="false" customHeight="false" outlineLevel="0" collapsed="false">
      <c r="C1047" s="72" t="n">
        <f aca="false">COUNTIFS($D$6:D1047,"&lt;&gt;"&amp;"")</f>
        <v>1042</v>
      </c>
      <c r="D1047" s="73" t="s">
        <v>12</v>
      </c>
      <c r="E1047" s="76" t="str">
        <f aca="false">
IF($D1047="정상",INDEX(임대자산!$D$3:$R$3000,MATCH($F1047,임대자산!$I$3:$I$3000,0),MATCH(E$3,임대자산!$D$3:$R$3,0)),
IF($D1047="폐업",INDEX(폐업정보!$D$3:$R$3000,MATCH($F1047,폐업정보!$I$3:$I$3000,0),MATCH(E$3,폐업정보!$D$3:$R$3,0)),
"Error"))</f>
        <v>서울</v>
      </c>
      <c r="F104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B1042</v>
      </c>
      <c r="G1047" s="76" t="str">
        <f aca="false">F1047&amp;RANDBETWEEN(0,10)</f>
        <v>B10428</v>
      </c>
      <c r="H1047" s="75" t="n">
        <f aca="false">
IF($D1047="정상",INDEX(임대자산!$D$3:$R$3000,MATCH($F1047,임대자산!$I$3:$I$3000,0),MATCH(H$4,임대자산!$D$3:$R$3,0)),
IF($D1047="폐업",INDEX(폐업정보!$D$3:$R$3000,MATCH($F1047,폐업정보!$I$3:$I$3000,0),MATCH(H$4,폐업정보!$D$3:$R$3,0)),
"Error"))</f>
        <v>46062</v>
      </c>
      <c r="I1047" s="75" t="str">
        <f aca="false">
IF($D1047="정상",INDEX(임대자산!$D$3:$R$3000,MATCH($F1047,임대자산!$I$3:$I$3000,0),MATCH(I$4,임대자산!$D$3:$R$3,0)),
IF($D1047="폐업",INDEX(폐업정보!$D$3:$R$3000,MATCH($F1047,폐업정보!$I$3:$I$3000,0),MATCH(I$4,폐업정보!$D$3:$R$3,0)),
"Error"))</f>
        <v>A1042</v>
      </c>
      <c r="J1047" s="75" t="str">
        <f aca="false">
IF($D1047="정상",INDEX(임대자산!$D$3:$R$3000,MATCH($F1047,임대자산!$I$3:$I$3000,0),MATCH(J$4,임대자산!$D$3:$R$3,0)),
IF($D1047="폐업",INDEX(폐업정보!$D$3:$R$3000,MATCH($F1047,폐업정보!$I$3:$I$3000,0),MATCH(J$4,폐업정보!$D$3:$R$3,0)),
"Error"))</f>
        <v>8088100000</v>
      </c>
      <c r="K1047" s="75" t="str">
        <f aca="false">
IF($D1047="정상",INDEX(임대자산!$D$3:$R$3000,MATCH($F1047,임대자산!$I$3:$I$3000,0),MATCH(K$4,임대자산!$D$3:$R$3,0)),
IF($D1047="폐업",INDEX(폐업정보!$D$3:$R$3000,MATCH($F1047,폐업정보!$I$3:$I$3000,0),MATCH(K$4,폐업정보!$D$3:$R$3,0)),
"Error"))</f>
        <v>C1042</v>
      </c>
      <c r="L1047" s="75" t="str">
        <f aca="false">
IF($D1047="정상",INDEX(임대자산!$D$3:$R$3000,MATCH($F1047,임대자산!$I$3:$I$3000,0),MATCH(L$4,임대자산!$D$3:$R$3,0)),
IF($D1047="폐업",INDEX(폐업정보!$D$3:$R$3000,MATCH($F1047,폐업정보!$I$3:$I$3000,0),MATCH(L$4,폐업정보!$D$3:$R$3,0)),
"Error"))</f>
        <v>D1042</v>
      </c>
      <c r="M1047" s="76" t="s">
        <v>96</v>
      </c>
      <c r="N1047" s="77"/>
      <c r="O1047" s="78" t="s">
        <v>97</v>
      </c>
      <c r="P1047" s="79" t="n">
        <f aca="false">COUNTIFS(임대자산!$I:$I,가맹점정보!F1047,임대자산!$N:$N,가맹점정보!P$4)</f>
        <v>0</v>
      </c>
      <c r="Q1047" s="80" t="n">
        <f aca="false">COUNTIFS(임대자산!$I:$I,가맹점정보!F1047,임대자산!$N:$N,가맹점정보!Q$4)</f>
        <v>0</v>
      </c>
      <c r="R1047" s="81" t="n">
        <f aca="false">COUNTIFS(임대자산!$I:$I,가맹점정보!F1047,임대자산!$N:$N,가맹점정보!R$4)</f>
        <v>1</v>
      </c>
      <c r="S1047" s="82" t="n">
        <v>22000</v>
      </c>
      <c r="T1047" s="83" t="n">
        <v>22000</v>
      </c>
      <c r="U1047" s="80" t="n">
        <f aca="false">SUM(S1047:T1047)</f>
        <v>44000</v>
      </c>
      <c r="V1047" s="84" t="s">
        <v>12</v>
      </c>
      <c r="W1047" s="80" t="e">
        <f aca="true">
IF(D1047="폐업","폐업",
IF(V1047="면제","면제",
IF(AND(V1047="정상",COUNTIFS(OFFSET(Y1047,0,COUNTA(Y1047:AV1047)-1,1,-4),"미납")&gt;=3),"장기미납",
IF(AND(V1047="정상",OFFSET(Y1047,0,COUNTA(Y1047:AV1047)-1)&gt;=U1047),"정상",
IF(AND(V1047="정상",OFFSET(Y1047,0,COUNTA(Y1047:AV1047)-1)=0),"정상",
"계약서 미작성")))))</f>
        <v>#VALUE!</v>
      </c>
      <c r="X1047" s="81" t="str">
        <f aca="true">
IF(D1047="폐업","폐업",
IF(AND(V1047="정상",OFFSET(Y1047,0,COUNTA(Y1047:AV1047)-1)="미납"),"미납",
IF(AND(V1047="정상",OFFSET(Y1047,0,COUNTA(Y1047:AV1047)-1)=0),"납부 시작 전",
IF(AND(V1047="정상",OFFSET(Y1047,0,COUNTA(Y1047:AV1047)-1)&gt;=U1047),"정상",
IF(AND(V1047="면제",OFFSET(Y1047,0,COUNTA(Y1047:AV1047)-1)="면제"),"면제",
IF(AND(V1047="면제",OFFSET(Y1047,0,COUNTA(Y1047:AV1047)-1)=0),"면제",
"확인요청"))))))</f>
        <v>정상</v>
      </c>
      <c r="Y1047" s="93" t="n">
        <v>44000</v>
      </c>
      <c r="Z1047" s="90" t="n">
        <v>44000</v>
      </c>
      <c r="AA1047" s="90" t="n">
        <v>44000</v>
      </c>
      <c r="AB1047" s="90" t="n">
        <v>44000</v>
      </c>
      <c r="AC1047" s="90" t="n">
        <v>44000</v>
      </c>
      <c r="AD1047" s="90" t="n">
        <v>44000</v>
      </c>
      <c r="AE1047" s="90" t="n">
        <v>44000</v>
      </c>
      <c r="AF1047" s="90" t="n">
        <v>44000</v>
      </c>
      <c r="AG1047" s="90" t="n">
        <v>44000</v>
      </c>
      <c r="AH1047" s="90" t="n">
        <v>44000</v>
      </c>
      <c r="AI1047" s="90" t="n">
        <v>44000</v>
      </c>
      <c r="AJ1047" s="91" t="n">
        <v>44000</v>
      </c>
      <c r="AK1047" s="89" t="n">
        <v>44000</v>
      </c>
      <c r="AL1047" s="90" t="n">
        <v>44000</v>
      </c>
      <c r="AM1047" s="90"/>
      <c r="AN1047" s="90"/>
      <c r="AO1047" s="90"/>
      <c r="AP1047" s="90"/>
      <c r="AQ1047" s="90"/>
      <c r="AR1047" s="90"/>
      <c r="AS1047" s="90"/>
      <c r="AT1047" s="90"/>
      <c r="AU1047" s="90"/>
      <c r="AV1047" s="91"/>
      <c r="AX1047" s="92"/>
    </row>
    <row r="1048" customFormat="false" ht="15.65" hidden="false" customHeight="false" outlineLevel="0" collapsed="false">
      <c r="C1048" s="72" t="n">
        <f aca="false">COUNTIFS($D$6:D1048,"&lt;&gt;"&amp;"")</f>
        <v>1043</v>
      </c>
      <c r="D1048" s="73" t="s">
        <v>12</v>
      </c>
      <c r="E1048" s="76" t="str">
        <f aca="false">
IF($D1048="정상",INDEX(임대자산!$D$3:$R$3000,MATCH($F1048,임대자산!$I$3:$I$3000,0),MATCH(E$3,임대자산!$D$3:$R$3,0)),
IF($D1048="폐업",INDEX(폐업정보!$D$3:$R$3000,MATCH($F1048,폐업정보!$I$3:$I$3000,0),MATCH(E$3,폐업정보!$D$3:$R$3,0)),
"Error"))</f>
        <v>서울</v>
      </c>
      <c r="F104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B1043</v>
      </c>
      <c r="G1048" s="76" t="str">
        <f aca="false">F1048&amp;RANDBETWEEN(0,10)</f>
        <v>B10437</v>
      </c>
      <c r="H1048" s="75" t="n">
        <f aca="false">
IF($D1048="정상",INDEX(임대자산!$D$3:$R$3000,MATCH($F1048,임대자산!$I$3:$I$3000,0),MATCH(H$4,임대자산!$D$3:$R$3,0)),
IF($D1048="폐업",INDEX(폐업정보!$D$3:$R$3000,MATCH($F1048,폐업정보!$I$3:$I$3000,0),MATCH(H$4,폐업정보!$D$3:$R$3,0)),
"Error"))</f>
        <v>45671</v>
      </c>
      <c r="I1048" s="75" t="str">
        <f aca="false">
IF($D1048="정상",INDEX(임대자산!$D$3:$R$3000,MATCH($F1048,임대자산!$I$3:$I$3000,0),MATCH(I$4,임대자산!$D$3:$R$3,0)),
IF($D1048="폐업",INDEX(폐업정보!$D$3:$R$3000,MATCH($F1048,폐업정보!$I$3:$I$3000,0),MATCH(I$4,폐업정보!$D$3:$R$3,0)),
"Error"))</f>
        <v>A1043</v>
      </c>
      <c r="J1048" s="75" t="str">
        <f aca="false">
IF($D1048="정상",INDEX(임대자산!$D$3:$R$3000,MATCH($F1048,임대자산!$I$3:$I$3000,0),MATCH(J$4,임대자산!$D$3:$R$3,0)),
IF($D1048="폐업",INDEX(폐업정보!$D$3:$R$3000,MATCH($F1048,폐업정보!$I$3:$I$3000,0),MATCH(J$4,폐업정보!$D$3:$R$3,0)),
"Error"))</f>
        <v>1015200000</v>
      </c>
      <c r="K1048" s="75" t="str">
        <f aca="false">
IF($D1048="정상",INDEX(임대자산!$D$3:$R$3000,MATCH($F1048,임대자산!$I$3:$I$3000,0),MATCH(K$4,임대자산!$D$3:$R$3,0)),
IF($D1048="폐업",INDEX(폐업정보!$D$3:$R$3000,MATCH($F1048,폐업정보!$I$3:$I$3000,0),MATCH(K$4,폐업정보!$D$3:$R$3,0)),
"Error"))</f>
        <v>C1043</v>
      </c>
      <c r="L1048" s="75" t="str">
        <f aca="false">
IF($D1048="정상",INDEX(임대자산!$D$3:$R$3000,MATCH($F1048,임대자산!$I$3:$I$3000,0),MATCH(L$4,임대자산!$D$3:$R$3,0)),
IF($D1048="폐업",INDEX(폐업정보!$D$3:$R$3000,MATCH($F1048,폐업정보!$I$3:$I$3000,0),MATCH(L$4,폐업정보!$D$3:$R$3,0)),
"Error"))</f>
        <v>D1043</v>
      </c>
      <c r="M1048" s="76" t="s">
        <v>96</v>
      </c>
      <c r="N1048" s="77"/>
      <c r="O1048" s="78" t="s">
        <v>97</v>
      </c>
      <c r="P1048" s="79" t="n">
        <f aca="false">COUNTIFS(임대자산!$I:$I,가맹점정보!F1048,임대자산!$N:$N,가맹점정보!P$4)</f>
        <v>0</v>
      </c>
      <c r="Q1048" s="80" t="n">
        <f aca="false">COUNTIFS(임대자산!$I:$I,가맹점정보!F1048,임대자산!$N:$N,가맹점정보!Q$4)</f>
        <v>0</v>
      </c>
      <c r="R1048" s="81" t="n">
        <f aca="false">COUNTIFS(임대자산!$I:$I,가맹점정보!F1048,임대자산!$N:$N,가맹점정보!R$4)</f>
        <v>1</v>
      </c>
      <c r="S1048" s="82" t="n">
        <v>88000</v>
      </c>
      <c r="T1048" s="83" t="n">
        <v>0</v>
      </c>
      <c r="U1048" s="80" t="n">
        <f aca="false">SUM(S1048:T1048)</f>
        <v>88000</v>
      </c>
      <c r="V1048" s="84" t="s">
        <v>7</v>
      </c>
      <c r="W1048" s="80" t="str">
        <f aca="true">
IF(D1048="폐업","폐업",
IF(V1048="면제","면제",
IF(AND(V1048="정상",COUNTIFS(OFFSET(Y1048,0,COUNTA(Y1048:AV1048)-1,1,-4),"미납")&gt;=3),"장기미납",
IF(AND(V1048="정상",OFFSET(Y1048,0,COUNTA(Y1048:AV1048)-1)&gt;=U1048),"정상",
IF(AND(V1048="정상",OFFSET(Y1048,0,COUNTA(Y1048:AV1048)-1)=0),"정상",
"계약서 미작성")))))</f>
        <v>면제</v>
      </c>
      <c r="X1048" s="81" t="str">
        <f aca="true">
IF(D1048="폐업","폐업",
IF(AND(V1048="정상",OFFSET(Y1048,0,COUNTA(Y1048:AV1048)-1)="미납"),"미납",
IF(AND(V1048="정상",OFFSET(Y1048,0,COUNTA(Y1048:AV1048)-1)=0),"납부 시작 전",
IF(AND(V1048="정상",OFFSET(Y1048,0,COUNTA(Y1048:AV1048)-1)&gt;=U1048),"정상",
IF(AND(V1048="면제",OFFSET(Y1048,0,COUNTA(Y1048:AV1048)-1)="면제"),"면제",
IF(AND(V1048="면제",OFFSET(Y1048,0,COUNTA(Y1048:AV1048)-1)=0),"면제",
"확인요청"))))))</f>
        <v>면제</v>
      </c>
      <c r="Y1048" s="94" t="s">
        <v>7</v>
      </c>
      <c r="Z1048" s="95" t="s">
        <v>7</v>
      </c>
      <c r="AA1048" s="95" t="s">
        <v>7</v>
      </c>
      <c r="AB1048" s="95" t="s">
        <v>7</v>
      </c>
      <c r="AC1048" s="95" t="s">
        <v>7</v>
      </c>
      <c r="AD1048" s="95" t="s">
        <v>7</v>
      </c>
      <c r="AE1048" s="95" t="s">
        <v>7</v>
      </c>
      <c r="AF1048" s="95" t="s">
        <v>7</v>
      </c>
      <c r="AG1048" s="95" t="s">
        <v>7</v>
      </c>
      <c r="AH1048" s="95" t="s">
        <v>7</v>
      </c>
      <c r="AI1048" s="95" t="s">
        <v>7</v>
      </c>
      <c r="AJ1048" s="96" t="s">
        <v>7</v>
      </c>
      <c r="AK1048" s="97" t="s">
        <v>7</v>
      </c>
      <c r="AL1048" s="95" t="s">
        <v>7</v>
      </c>
      <c r="AM1048" s="90"/>
      <c r="AN1048" s="90"/>
      <c r="AO1048" s="90"/>
      <c r="AP1048" s="90"/>
      <c r="AQ1048" s="90"/>
      <c r="AR1048" s="90"/>
      <c r="AS1048" s="90"/>
      <c r="AT1048" s="90"/>
      <c r="AU1048" s="90"/>
      <c r="AV1048" s="91"/>
      <c r="AX1048" s="92"/>
    </row>
    <row r="1049" customFormat="false" ht="15.65" hidden="false" customHeight="false" outlineLevel="0" collapsed="false">
      <c r="C1049" s="72" t="n">
        <f aca="false">COUNTIFS($D$6:D1049,"&lt;&gt;"&amp;"")</f>
        <v>1044</v>
      </c>
      <c r="D1049" s="73" t="s">
        <v>12</v>
      </c>
      <c r="E1049" s="76" t="str">
        <f aca="false">
IF($D1049="정상",INDEX(임대자산!$D$3:$R$3000,MATCH($F1049,임대자산!$I$3:$I$3000,0),MATCH(E$3,임대자산!$D$3:$R$3,0)),
IF($D1049="폐업",INDEX(폐업정보!$D$3:$R$3000,MATCH($F1049,폐업정보!$I$3:$I$3000,0),MATCH(E$3,폐업정보!$D$3:$R$3,0)),
"Error"))</f>
        <v>서울</v>
      </c>
      <c r="F104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B1044</v>
      </c>
      <c r="G1049" s="76" t="str">
        <f aca="false">F1049&amp;RANDBETWEEN(0,10)</f>
        <v>B10443</v>
      </c>
      <c r="H1049" s="75" t="n">
        <f aca="false">
IF($D1049="정상",INDEX(임대자산!$D$3:$R$3000,MATCH($F1049,임대자산!$I$3:$I$3000,0),MATCH(H$4,임대자산!$D$3:$R$3,0)),
IF($D1049="폐업",INDEX(폐업정보!$D$3:$R$3000,MATCH($F1049,폐업정보!$I$3:$I$3000,0),MATCH(H$4,폐업정보!$D$3:$R$3,0)),
"Error"))</f>
        <v>45678</v>
      </c>
      <c r="I1049" s="75" t="str">
        <f aca="false">
IF($D1049="정상",INDEX(임대자산!$D$3:$R$3000,MATCH($F1049,임대자산!$I$3:$I$3000,0),MATCH(I$4,임대자산!$D$3:$R$3,0)),
IF($D1049="폐업",INDEX(폐업정보!$D$3:$R$3000,MATCH($F1049,폐업정보!$I$3:$I$3000,0),MATCH(I$4,폐업정보!$D$3:$R$3,0)),
"Error"))</f>
        <v>A1044</v>
      </c>
      <c r="J1049" s="75" t="str">
        <f aca="false">
IF($D1049="정상",INDEX(임대자산!$D$3:$R$3000,MATCH($F1049,임대자산!$I$3:$I$3000,0),MATCH(J$4,임대자산!$D$3:$R$3,0)),
IF($D1049="폐업",INDEX(폐업정보!$D$3:$R$3000,MATCH($F1049,폐업정보!$I$3:$I$3000,0),MATCH(J$4,폐업정보!$D$3:$R$3,0)),
"Error"))</f>
        <v>1325200000</v>
      </c>
      <c r="K1049" s="75" t="str">
        <f aca="false">
IF($D1049="정상",INDEX(임대자산!$D$3:$R$3000,MATCH($F1049,임대자산!$I$3:$I$3000,0),MATCH(K$4,임대자산!$D$3:$R$3,0)),
IF($D1049="폐업",INDEX(폐업정보!$D$3:$R$3000,MATCH($F1049,폐업정보!$I$3:$I$3000,0),MATCH(K$4,폐업정보!$D$3:$R$3,0)),
"Error"))</f>
        <v>C1044</v>
      </c>
      <c r="L1049" s="75" t="str">
        <f aca="false">
IF($D1049="정상",INDEX(임대자산!$D$3:$R$3000,MATCH($F1049,임대자산!$I$3:$I$3000,0),MATCH(L$4,임대자산!$D$3:$R$3,0)),
IF($D1049="폐업",INDEX(폐업정보!$D$3:$R$3000,MATCH($F1049,폐업정보!$I$3:$I$3000,0),MATCH(L$4,폐업정보!$D$3:$R$3,0)),
"Error"))</f>
        <v>D1044</v>
      </c>
      <c r="M1049" s="76" t="s">
        <v>96</v>
      </c>
      <c r="N1049" s="77"/>
      <c r="O1049" s="78" t="s">
        <v>97</v>
      </c>
      <c r="P1049" s="79" t="n">
        <f aca="false">COUNTIFS(임대자산!$I:$I,가맹점정보!F1049,임대자산!$N:$N,가맹점정보!P$4)</f>
        <v>0</v>
      </c>
      <c r="Q1049" s="80" t="n">
        <f aca="false">COUNTIFS(임대자산!$I:$I,가맹점정보!F1049,임대자산!$N:$N,가맹점정보!Q$4)</f>
        <v>0</v>
      </c>
      <c r="R1049" s="81" t="n">
        <f aca="false">COUNTIFS(임대자산!$I:$I,가맹점정보!F1049,임대자산!$N:$N,가맹점정보!R$4)</f>
        <v>1</v>
      </c>
      <c r="S1049" s="82" t="n">
        <v>88000</v>
      </c>
      <c r="T1049" s="83" t="n">
        <v>0</v>
      </c>
      <c r="U1049" s="80" t="n">
        <f aca="false">SUM(S1049:T1049)</f>
        <v>88000</v>
      </c>
      <c r="V1049" s="84" t="s">
        <v>7</v>
      </c>
      <c r="W1049" s="80" t="str">
        <f aca="true">
IF(D1049="폐업","폐업",
IF(V1049="면제","면제",
IF(AND(V1049="정상",COUNTIFS(OFFSET(Y1049,0,COUNTA(Y1049:AV1049)-1,1,-4),"미납")&gt;=3),"장기미납",
IF(AND(V1049="정상",OFFSET(Y1049,0,COUNTA(Y1049:AV1049)-1)&gt;=U1049),"정상",
IF(AND(V1049="정상",OFFSET(Y1049,0,COUNTA(Y1049:AV1049)-1)=0),"정상",
"계약서 미작성")))))</f>
        <v>면제</v>
      </c>
      <c r="X1049" s="81" t="str">
        <f aca="true">
IF(D1049="폐업","폐업",
IF(AND(V1049="정상",OFFSET(Y1049,0,COUNTA(Y1049:AV1049)-1)="미납"),"미납",
IF(AND(V1049="정상",OFFSET(Y1049,0,COUNTA(Y1049:AV1049)-1)=0),"납부 시작 전",
IF(AND(V1049="정상",OFFSET(Y1049,0,COUNTA(Y1049:AV1049)-1)&gt;=U1049),"정상",
IF(AND(V1049="면제",OFFSET(Y1049,0,COUNTA(Y1049:AV1049)-1)="면제"),"면제",
IF(AND(V1049="면제",OFFSET(Y1049,0,COUNTA(Y1049:AV1049)-1)=0),"면제",
"확인요청"))))))</f>
        <v>면제</v>
      </c>
      <c r="Y1049" s="94" t="s">
        <v>7</v>
      </c>
      <c r="Z1049" s="95" t="s">
        <v>7</v>
      </c>
      <c r="AA1049" s="95" t="s">
        <v>7</v>
      </c>
      <c r="AB1049" s="95" t="s">
        <v>7</v>
      </c>
      <c r="AC1049" s="95" t="s">
        <v>7</v>
      </c>
      <c r="AD1049" s="95" t="s">
        <v>7</v>
      </c>
      <c r="AE1049" s="95" t="s">
        <v>7</v>
      </c>
      <c r="AF1049" s="95" t="s">
        <v>7</v>
      </c>
      <c r="AG1049" s="95" t="s">
        <v>7</v>
      </c>
      <c r="AH1049" s="95" t="s">
        <v>7</v>
      </c>
      <c r="AI1049" s="95" t="s">
        <v>7</v>
      </c>
      <c r="AJ1049" s="96" t="s">
        <v>7</v>
      </c>
      <c r="AK1049" s="97" t="s">
        <v>7</v>
      </c>
      <c r="AL1049" s="95" t="s">
        <v>7</v>
      </c>
      <c r="AM1049" s="90"/>
      <c r="AN1049" s="90"/>
      <c r="AO1049" s="90"/>
      <c r="AP1049" s="90"/>
      <c r="AQ1049" s="90"/>
      <c r="AR1049" s="90"/>
      <c r="AS1049" s="90"/>
      <c r="AT1049" s="90"/>
      <c r="AU1049" s="90"/>
      <c r="AV1049" s="91"/>
      <c r="AX1049" s="92"/>
    </row>
    <row r="1050" customFormat="false" ht="15.65" hidden="false" customHeight="false" outlineLevel="0" collapsed="false">
      <c r="C1050" s="72" t="n">
        <f aca="false">COUNTIFS($D$6:D1050,"&lt;&gt;"&amp;"")</f>
        <v>1045</v>
      </c>
      <c r="D1050" s="73" t="s">
        <v>12</v>
      </c>
      <c r="E1050" s="76" t="str">
        <f aca="false">
IF($D1050="정상",INDEX(임대자산!$D$3:$R$3000,MATCH($F1050,임대자산!$I$3:$I$3000,0),MATCH(E$3,임대자산!$D$3:$R$3,0)),
IF($D1050="폐업",INDEX(폐업정보!$D$3:$R$3000,MATCH($F1050,폐업정보!$I$3:$I$3000,0),MATCH(E$3,폐업정보!$D$3:$R$3,0)),
"Error"))</f>
        <v>서울</v>
      </c>
      <c r="F105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B1045</v>
      </c>
      <c r="G1050" s="76" t="str">
        <f aca="false">F1050&amp;RANDBETWEEN(0,10)</f>
        <v>B10458</v>
      </c>
      <c r="H1050" s="75" t="n">
        <f aca="false">
IF($D1050="정상",INDEX(임대자산!$D$3:$R$3000,MATCH($F1050,임대자산!$I$3:$I$3000,0),MATCH(H$4,임대자산!$D$3:$R$3,0)),
IF($D1050="폐업",INDEX(폐업정보!$D$3:$R$3000,MATCH($F1050,폐업정보!$I$3:$I$3000,0),MATCH(H$4,폐업정보!$D$3:$R$3,0)),
"Error"))</f>
        <v>44699</v>
      </c>
      <c r="I1050" s="75" t="str">
        <f aca="false">
IF($D1050="정상",INDEX(임대자산!$D$3:$R$3000,MATCH($F1050,임대자산!$I$3:$I$3000,0),MATCH(I$4,임대자산!$D$3:$R$3,0)),
IF($D1050="폐업",INDEX(폐업정보!$D$3:$R$3000,MATCH($F1050,폐업정보!$I$3:$I$3000,0),MATCH(I$4,폐업정보!$D$3:$R$3,0)),
"Error"))</f>
        <v>A1045</v>
      </c>
      <c r="J1050" s="75" t="str">
        <f aca="false">
IF($D1050="정상",INDEX(임대자산!$D$3:$R$3000,MATCH($F1050,임대자산!$I$3:$I$3000,0),MATCH(J$4,임대자산!$D$3:$R$3,0)),
IF($D1050="폐업",INDEX(폐업정보!$D$3:$R$3000,MATCH($F1050,폐업정보!$I$3:$I$3000,0),MATCH(J$4,폐업정보!$D$3:$R$3,0)),
"Error"))</f>
        <v>4657400000</v>
      </c>
      <c r="K1050" s="75" t="str">
        <f aca="false">
IF($D1050="정상",INDEX(임대자산!$D$3:$R$3000,MATCH($F1050,임대자산!$I$3:$I$3000,0),MATCH(K$4,임대자산!$D$3:$R$3,0)),
IF($D1050="폐업",INDEX(폐업정보!$D$3:$R$3000,MATCH($F1050,폐업정보!$I$3:$I$3000,0),MATCH(K$4,폐업정보!$D$3:$R$3,0)),
"Error"))</f>
        <v>C1045</v>
      </c>
      <c r="L1050" s="75" t="str">
        <f aca="false">
IF($D1050="정상",INDEX(임대자산!$D$3:$R$3000,MATCH($F1050,임대자산!$I$3:$I$3000,0),MATCH(L$4,임대자산!$D$3:$R$3,0)),
IF($D1050="폐업",INDEX(폐업정보!$D$3:$R$3000,MATCH($F1050,폐업정보!$I$3:$I$3000,0),MATCH(L$4,폐업정보!$D$3:$R$3,0)),
"Error"))</f>
        <v>D1045</v>
      </c>
      <c r="M1050" s="76" t="s">
        <v>96</v>
      </c>
      <c r="N1050" s="77"/>
      <c r="O1050" s="78" t="s">
        <v>97</v>
      </c>
      <c r="P1050" s="79" t="n">
        <f aca="false">COUNTIFS(임대자산!$I:$I,가맹점정보!F1050,임대자산!$N:$N,가맹점정보!P$4)</f>
        <v>0</v>
      </c>
      <c r="Q1050" s="80" t="n">
        <f aca="false">COUNTIFS(임대자산!$I:$I,가맹점정보!F1050,임대자산!$N:$N,가맹점정보!Q$4)</f>
        <v>0</v>
      </c>
      <c r="R1050" s="81" t="n">
        <f aca="false">COUNTIFS(임대자산!$I:$I,가맹점정보!F1050,임대자산!$N:$N,가맹점정보!R$4)</f>
        <v>1</v>
      </c>
      <c r="S1050" s="82" t="n">
        <v>55000</v>
      </c>
      <c r="T1050" s="83" t="n">
        <v>0</v>
      </c>
      <c r="U1050" s="80" t="n">
        <f aca="false">SUM(S1050:T1050)</f>
        <v>55000</v>
      </c>
      <c r="V1050" s="84" t="s">
        <v>7</v>
      </c>
      <c r="W1050" s="80" t="str">
        <f aca="true">
IF(D1050="폐업","폐업",
IF(V1050="면제","면제",
IF(AND(V1050="정상",COUNTIFS(OFFSET(Y1050,0,COUNTA(Y1050:AV1050)-1,1,-4),"미납")&gt;=3),"장기미납",
IF(AND(V1050="정상",OFFSET(Y1050,0,COUNTA(Y1050:AV1050)-1)&gt;=U1050),"정상",
IF(AND(V1050="정상",OFFSET(Y1050,0,COUNTA(Y1050:AV1050)-1)=0),"정상",
"계약서 미작성")))))</f>
        <v>면제</v>
      </c>
      <c r="X1050" s="81" t="str">
        <f aca="true">
IF(D1050="폐업","폐업",
IF(AND(V1050="정상",OFFSET(Y1050,0,COUNTA(Y1050:AV1050)-1)="미납"),"미납",
IF(AND(V1050="정상",OFFSET(Y1050,0,COUNTA(Y1050:AV1050)-1)=0),"납부 시작 전",
IF(AND(V1050="정상",OFFSET(Y1050,0,COUNTA(Y1050:AV1050)-1)&gt;=U1050),"정상",
IF(AND(V1050="면제",OFFSET(Y1050,0,COUNTA(Y1050:AV1050)-1)="면제"),"면제",
IF(AND(V1050="면제",OFFSET(Y1050,0,COUNTA(Y1050:AV1050)-1)=0),"면제",
"확인요청"))))))</f>
        <v>면제</v>
      </c>
      <c r="Y1050" s="94" t="s">
        <v>7</v>
      </c>
      <c r="Z1050" s="95" t="s">
        <v>7</v>
      </c>
      <c r="AA1050" s="95" t="s">
        <v>7</v>
      </c>
      <c r="AB1050" s="95" t="s">
        <v>7</v>
      </c>
      <c r="AC1050" s="95" t="s">
        <v>7</v>
      </c>
      <c r="AD1050" s="95" t="s">
        <v>7</v>
      </c>
      <c r="AE1050" s="95" t="s">
        <v>7</v>
      </c>
      <c r="AF1050" s="95" t="s">
        <v>7</v>
      </c>
      <c r="AG1050" s="95" t="s">
        <v>7</v>
      </c>
      <c r="AH1050" s="95" t="s">
        <v>7</v>
      </c>
      <c r="AI1050" s="95" t="s">
        <v>7</v>
      </c>
      <c r="AJ1050" s="96" t="s">
        <v>7</v>
      </c>
      <c r="AK1050" s="97" t="s">
        <v>7</v>
      </c>
      <c r="AL1050" s="95" t="s">
        <v>7</v>
      </c>
      <c r="AM1050" s="90"/>
      <c r="AN1050" s="90"/>
      <c r="AO1050" s="90"/>
      <c r="AP1050" s="90"/>
      <c r="AQ1050" s="90"/>
      <c r="AR1050" s="90"/>
      <c r="AS1050" s="90"/>
      <c r="AT1050" s="90"/>
      <c r="AU1050" s="90"/>
      <c r="AV1050" s="91"/>
      <c r="AX1050" s="92"/>
    </row>
    <row r="1051" customFormat="false" ht="15.65" hidden="false" customHeight="false" outlineLevel="0" collapsed="false">
      <c r="C1051" s="72" t="n">
        <f aca="false">COUNTIFS($D$6:D1051,"&lt;&gt;"&amp;"")</f>
        <v>1046</v>
      </c>
      <c r="D1051" s="73" t="s">
        <v>12</v>
      </c>
      <c r="E1051" s="76" t="str">
        <f aca="false">
IF($D1051="정상",INDEX(임대자산!$D$3:$R$3000,MATCH($F1051,임대자산!$I$3:$I$3000,0),MATCH(E$3,임대자산!$D$3:$R$3,0)),
IF($D1051="폐업",INDEX(폐업정보!$D$3:$R$3000,MATCH($F1051,폐업정보!$I$3:$I$3000,0),MATCH(E$3,폐업정보!$D$3:$R$3,0)),
"Error"))</f>
        <v>서울</v>
      </c>
      <c r="F105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B1046</v>
      </c>
      <c r="G1051" s="76" t="str">
        <f aca="false">F1051&amp;RANDBETWEEN(0,10)</f>
        <v>B104610</v>
      </c>
      <c r="H1051" s="75" t="n">
        <f aca="false">
IF($D1051="정상",INDEX(임대자산!$D$3:$R$3000,MATCH($F1051,임대자산!$I$3:$I$3000,0),MATCH(H$4,임대자산!$D$3:$R$3,0)),
IF($D1051="폐업",INDEX(폐업정보!$D$3:$R$3000,MATCH($F1051,폐업정보!$I$3:$I$3000,0),MATCH(H$4,폐업정보!$D$3:$R$3,0)),
"Error"))</f>
        <v>44691</v>
      </c>
      <c r="I1051" s="75" t="str">
        <f aca="false">
IF($D1051="정상",INDEX(임대자산!$D$3:$R$3000,MATCH($F1051,임대자산!$I$3:$I$3000,0),MATCH(I$4,임대자산!$D$3:$R$3,0)),
IF($D1051="폐업",INDEX(폐업정보!$D$3:$R$3000,MATCH($F1051,폐업정보!$I$3:$I$3000,0),MATCH(I$4,폐업정보!$D$3:$R$3,0)),
"Error"))</f>
        <v>A1046</v>
      </c>
      <c r="J1051" s="75" t="str">
        <f aca="false">
IF($D1051="정상",INDEX(임대자산!$D$3:$R$3000,MATCH($F1051,임대자산!$I$3:$I$3000,0),MATCH(J$4,임대자산!$D$3:$R$3,0)),
IF($D1051="폐업",INDEX(폐업정보!$D$3:$R$3000,MATCH($F1051,폐업정보!$I$3:$I$3000,0),MATCH(J$4,폐업정보!$D$3:$R$3,0)),
"Error"))</f>
        <v>2039100000</v>
      </c>
      <c r="K1051" s="75" t="str">
        <f aca="false">
IF($D1051="정상",INDEX(임대자산!$D$3:$R$3000,MATCH($F1051,임대자산!$I$3:$I$3000,0),MATCH(K$4,임대자산!$D$3:$R$3,0)),
IF($D1051="폐업",INDEX(폐업정보!$D$3:$R$3000,MATCH($F1051,폐업정보!$I$3:$I$3000,0),MATCH(K$4,폐업정보!$D$3:$R$3,0)),
"Error"))</f>
        <v>C1046</v>
      </c>
      <c r="L1051" s="75" t="str">
        <f aca="false">
IF($D1051="정상",INDEX(임대자산!$D$3:$R$3000,MATCH($F1051,임대자산!$I$3:$I$3000,0),MATCH(L$4,임대자산!$D$3:$R$3,0)),
IF($D1051="폐업",INDEX(폐업정보!$D$3:$R$3000,MATCH($F1051,폐업정보!$I$3:$I$3000,0),MATCH(L$4,폐업정보!$D$3:$R$3,0)),
"Error"))</f>
        <v>D1046</v>
      </c>
      <c r="M1051" s="76" t="s">
        <v>96</v>
      </c>
      <c r="N1051" s="77"/>
      <c r="O1051" s="78" t="s">
        <v>97</v>
      </c>
      <c r="P1051" s="79" t="n">
        <f aca="false">COUNTIFS(임대자산!$I:$I,가맹점정보!F1051,임대자산!$N:$N,가맹점정보!P$4)</f>
        <v>0</v>
      </c>
      <c r="Q1051" s="80" t="n">
        <f aca="false">COUNTIFS(임대자산!$I:$I,가맹점정보!F1051,임대자산!$N:$N,가맹점정보!Q$4)</f>
        <v>0</v>
      </c>
      <c r="R1051" s="81" t="n">
        <f aca="false">COUNTIFS(임대자산!$I:$I,가맹점정보!F1051,임대자산!$N:$N,가맹점정보!R$4)</f>
        <v>1</v>
      </c>
      <c r="S1051" s="82" t="n">
        <v>55000</v>
      </c>
      <c r="T1051" s="83" t="n">
        <v>0</v>
      </c>
      <c r="U1051" s="80" t="n">
        <f aca="false">SUM(S1051:T1051)</f>
        <v>55000</v>
      </c>
      <c r="V1051" s="84" t="s">
        <v>7</v>
      </c>
      <c r="W1051" s="80" t="str">
        <f aca="true">
IF(D1051="폐업","폐업",
IF(V1051="면제","면제",
IF(AND(V1051="정상",COUNTIFS(OFFSET(Y1051,0,COUNTA(Y1051:AV1051)-1,1,-4),"미납")&gt;=3),"장기미납",
IF(AND(V1051="정상",OFFSET(Y1051,0,COUNTA(Y1051:AV1051)-1)&gt;=U1051),"정상",
IF(AND(V1051="정상",OFFSET(Y1051,0,COUNTA(Y1051:AV1051)-1)=0),"정상",
"계약서 미작성")))))</f>
        <v>면제</v>
      </c>
      <c r="X1051" s="81" t="str">
        <f aca="true">
IF(D1051="폐업","폐업",
IF(AND(V1051="정상",OFFSET(Y1051,0,COUNTA(Y1051:AV1051)-1)="미납"),"미납",
IF(AND(V1051="정상",OFFSET(Y1051,0,COUNTA(Y1051:AV1051)-1)=0),"납부 시작 전",
IF(AND(V1051="정상",OFFSET(Y1051,0,COUNTA(Y1051:AV1051)-1)&gt;=U1051),"정상",
IF(AND(V1051="면제",OFFSET(Y1051,0,COUNTA(Y1051:AV1051)-1)="면제"),"면제",
IF(AND(V1051="면제",OFFSET(Y1051,0,COUNTA(Y1051:AV1051)-1)=0),"면제",
"확인요청"))))))</f>
        <v>면제</v>
      </c>
      <c r="Y1051" s="94" t="s">
        <v>7</v>
      </c>
      <c r="Z1051" s="95" t="s">
        <v>7</v>
      </c>
      <c r="AA1051" s="95" t="s">
        <v>7</v>
      </c>
      <c r="AB1051" s="95" t="s">
        <v>7</v>
      </c>
      <c r="AC1051" s="95" t="s">
        <v>7</v>
      </c>
      <c r="AD1051" s="95" t="s">
        <v>7</v>
      </c>
      <c r="AE1051" s="95" t="s">
        <v>7</v>
      </c>
      <c r="AF1051" s="95" t="s">
        <v>7</v>
      </c>
      <c r="AG1051" s="95" t="s">
        <v>7</v>
      </c>
      <c r="AH1051" s="95" t="s">
        <v>7</v>
      </c>
      <c r="AI1051" s="95" t="s">
        <v>7</v>
      </c>
      <c r="AJ1051" s="96" t="s">
        <v>7</v>
      </c>
      <c r="AK1051" s="97" t="s">
        <v>7</v>
      </c>
      <c r="AL1051" s="95" t="s">
        <v>7</v>
      </c>
      <c r="AM1051" s="90"/>
      <c r="AN1051" s="90"/>
      <c r="AO1051" s="90"/>
      <c r="AP1051" s="90"/>
      <c r="AQ1051" s="90"/>
      <c r="AR1051" s="90"/>
      <c r="AS1051" s="90"/>
      <c r="AT1051" s="90"/>
      <c r="AU1051" s="90"/>
      <c r="AV1051" s="91"/>
      <c r="AX1051" s="92"/>
    </row>
    <row r="1052" customFormat="false" ht="15.65" hidden="false" customHeight="false" outlineLevel="0" collapsed="false">
      <c r="C1052" s="72" t="n">
        <f aca="false">COUNTIFS($D$6:D1052,"&lt;&gt;"&amp;"")</f>
        <v>1047</v>
      </c>
      <c r="D1052" s="73" t="s">
        <v>12</v>
      </c>
      <c r="E1052" s="76" t="str">
        <f aca="false">
IF($D1052="정상",INDEX(임대자산!$D$3:$R$3000,MATCH($F1052,임대자산!$I$3:$I$3000,0),MATCH(E$3,임대자산!$D$3:$R$3,0)),
IF($D1052="폐업",INDEX(폐업정보!$D$3:$R$3000,MATCH($F1052,폐업정보!$I$3:$I$3000,0),MATCH(E$3,폐업정보!$D$3:$R$3,0)),
"Error"))</f>
        <v>서울</v>
      </c>
      <c r="F105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B1047</v>
      </c>
      <c r="G1052" s="76" t="str">
        <f aca="false">F1052&amp;RANDBETWEEN(0,10)</f>
        <v>B10479</v>
      </c>
      <c r="H1052" s="75" t="n">
        <f aca="false">
IF($D1052="정상",INDEX(임대자산!$D$3:$R$3000,MATCH($F1052,임대자산!$I$3:$I$3000,0),MATCH(H$4,임대자산!$D$3:$R$3,0)),
IF($D1052="폐업",INDEX(폐업정보!$D$3:$R$3000,MATCH($F1052,폐업정보!$I$3:$I$3000,0),MATCH(H$4,폐업정보!$D$3:$R$3,0)),
"Error"))</f>
        <v>44691</v>
      </c>
      <c r="I1052" s="75" t="str">
        <f aca="false">
IF($D1052="정상",INDEX(임대자산!$D$3:$R$3000,MATCH($F1052,임대자산!$I$3:$I$3000,0),MATCH(I$4,임대자산!$D$3:$R$3,0)),
IF($D1052="폐업",INDEX(폐업정보!$D$3:$R$3000,MATCH($F1052,폐업정보!$I$3:$I$3000,0),MATCH(I$4,폐업정보!$D$3:$R$3,0)),
"Error"))</f>
        <v>A1047</v>
      </c>
      <c r="J1052" s="75" t="str">
        <f aca="false">
IF($D1052="정상",INDEX(임대자산!$D$3:$R$3000,MATCH($F1052,임대자산!$I$3:$I$3000,0),MATCH(J$4,임대자산!$D$3:$R$3,0)),
IF($D1052="폐업",INDEX(폐업정보!$D$3:$R$3000,MATCH($F1052,폐업정보!$I$3:$I$3000,0),MATCH(J$4,폐업정보!$D$3:$R$3,0)),
"Error"))</f>
        <v>5292400000</v>
      </c>
      <c r="K1052" s="75" t="str">
        <f aca="false">
IF($D1052="정상",INDEX(임대자산!$D$3:$R$3000,MATCH($F1052,임대자산!$I$3:$I$3000,0),MATCH(K$4,임대자산!$D$3:$R$3,0)),
IF($D1052="폐업",INDEX(폐업정보!$D$3:$R$3000,MATCH($F1052,폐업정보!$I$3:$I$3000,0),MATCH(K$4,폐업정보!$D$3:$R$3,0)),
"Error"))</f>
        <v>C1047</v>
      </c>
      <c r="L1052" s="75" t="str">
        <f aca="false">
IF($D1052="정상",INDEX(임대자산!$D$3:$R$3000,MATCH($F1052,임대자산!$I$3:$I$3000,0),MATCH(L$4,임대자산!$D$3:$R$3,0)),
IF($D1052="폐업",INDEX(폐업정보!$D$3:$R$3000,MATCH($F1052,폐업정보!$I$3:$I$3000,0),MATCH(L$4,폐업정보!$D$3:$R$3,0)),
"Error"))</f>
        <v>D1047</v>
      </c>
      <c r="M1052" s="76" t="s">
        <v>96</v>
      </c>
      <c r="N1052" s="77"/>
      <c r="O1052" s="78" t="s">
        <v>97</v>
      </c>
      <c r="P1052" s="79" t="n">
        <f aca="false">COUNTIFS(임대자산!$I:$I,가맹점정보!F1052,임대자산!$N:$N,가맹점정보!P$4)</f>
        <v>0</v>
      </c>
      <c r="Q1052" s="80" t="n">
        <f aca="false">COUNTIFS(임대자산!$I:$I,가맹점정보!F1052,임대자산!$N:$N,가맹점정보!Q$4)</f>
        <v>0</v>
      </c>
      <c r="R1052" s="81" t="n">
        <f aca="false">COUNTIFS(임대자산!$I:$I,가맹점정보!F1052,임대자산!$N:$N,가맹점정보!R$4)</f>
        <v>1</v>
      </c>
      <c r="S1052" s="82" t="n">
        <v>55000</v>
      </c>
      <c r="T1052" s="83" t="n">
        <v>0</v>
      </c>
      <c r="U1052" s="80" t="n">
        <f aca="false">SUM(S1052:T1052)</f>
        <v>55000</v>
      </c>
      <c r="V1052" s="84" t="s">
        <v>7</v>
      </c>
      <c r="W1052" s="80" t="str">
        <f aca="true">
IF(D1052="폐업","폐업",
IF(V1052="면제","면제",
IF(AND(V1052="정상",COUNTIFS(OFFSET(Y1052,0,COUNTA(Y1052:AV1052)-1,1,-4),"미납")&gt;=3),"장기미납",
IF(AND(V1052="정상",OFFSET(Y1052,0,COUNTA(Y1052:AV1052)-1)&gt;=U1052),"정상",
IF(AND(V1052="정상",OFFSET(Y1052,0,COUNTA(Y1052:AV1052)-1)=0),"정상",
"계약서 미작성")))))</f>
        <v>면제</v>
      </c>
      <c r="X1052" s="81" t="str">
        <f aca="true">
IF(D1052="폐업","폐업",
IF(AND(V1052="정상",OFFSET(Y1052,0,COUNTA(Y1052:AV1052)-1)="미납"),"미납",
IF(AND(V1052="정상",OFFSET(Y1052,0,COUNTA(Y1052:AV1052)-1)=0),"납부 시작 전",
IF(AND(V1052="정상",OFFSET(Y1052,0,COUNTA(Y1052:AV1052)-1)&gt;=U1052),"정상",
IF(AND(V1052="면제",OFFSET(Y1052,0,COUNTA(Y1052:AV1052)-1)="면제"),"면제",
IF(AND(V1052="면제",OFFSET(Y1052,0,COUNTA(Y1052:AV1052)-1)=0),"면제",
"확인요청"))))))</f>
        <v>면제</v>
      </c>
      <c r="Y1052" s="94" t="s">
        <v>7</v>
      </c>
      <c r="Z1052" s="95" t="s">
        <v>7</v>
      </c>
      <c r="AA1052" s="95" t="s">
        <v>7</v>
      </c>
      <c r="AB1052" s="95" t="s">
        <v>7</v>
      </c>
      <c r="AC1052" s="95" t="s">
        <v>7</v>
      </c>
      <c r="AD1052" s="95" t="s">
        <v>7</v>
      </c>
      <c r="AE1052" s="95" t="s">
        <v>7</v>
      </c>
      <c r="AF1052" s="95" t="s">
        <v>7</v>
      </c>
      <c r="AG1052" s="95" t="s">
        <v>7</v>
      </c>
      <c r="AH1052" s="95" t="s">
        <v>7</v>
      </c>
      <c r="AI1052" s="95" t="s">
        <v>7</v>
      </c>
      <c r="AJ1052" s="96" t="s">
        <v>7</v>
      </c>
      <c r="AK1052" s="97" t="s">
        <v>7</v>
      </c>
      <c r="AL1052" s="95" t="s">
        <v>7</v>
      </c>
      <c r="AM1052" s="90"/>
      <c r="AN1052" s="90"/>
      <c r="AO1052" s="90"/>
      <c r="AP1052" s="90"/>
      <c r="AQ1052" s="90"/>
      <c r="AR1052" s="90"/>
      <c r="AS1052" s="90"/>
      <c r="AT1052" s="90"/>
      <c r="AU1052" s="90"/>
      <c r="AV1052" s="91"/>
      <c r="AX1052" s="92"/>
    </row>
    <row r="1053" customFormat="false" ht="15.65" hidden="false" customHeight="false" outlineLevel="0" collapsed="false">
      <c r="C1053" s="72" t="n">
        <f aca="false">COUNTIFS($D$6:D1053,"&lt;&gt;"&amp;"")</f>
        <v>1048</v>
      </c>
      <c r="D1053" s="73" t="s">
        <v>12</v>
      </c>
      <c r="E1053" s="76" t="str">
        <f aca="false">
IF($D1053="정상",INDEX(임대자산!$D$3:$R$3000,MATCH($F1053,임대자산!$I$3:$I$3000,0),MATCH(E$3,임대자산!$D$3:$R$3,0)),
IF($D1053="폐업",INDEX(폐업정보!$D$3:$R$3000,MATCH($F1053,폐업정보!$I$3:$I$3000,0),MATCH(E$3,폐업정보!$D$3:$R$3,0)),
"Error"))</f>
        <v>서울</v>
      </c>
      <c r="F105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B1048</v>
      </c>
      <c r="G1053" s="76" t="str">
        <f aca="false">F1053&amp;RANDBETWEEN(0,10)</f>
        <v>B10483</v>
      </c>
      <c r="H1053" s="75" t="n">
        <f aca="false">
IF($D1053="정상",INDEX(임대자산!$D$3:$R$3000,MATCH($F1053,임대자산!$I$3:$I$3000,0),MATCH(H$4,임대자산!$D$3:$R$3,0)),
IF($D1053="폐업",INDEX(폐업정보!$D$3:$R$3000,MATCH($F1053,폐업정보!$I$3:$I$3000,0),MATCH(H$4,폐업정보!$D$3:$R$3,0)),
"Error"))</f>
        <v>45796</v>
      </c>
      <c r="I1053" s="75" t="str">
        <f aca="false">
IF($D1053="정상",INDEX(임대자산!$D$3:$R$3000,MATCH($F1053,임대자산!$I$3:$I$3000,0),MATCH(I$4,임대자산!$D$3:$R$3,0)),
IF($D1053="폐업",INDEX(폐업정보!$D$3:$R$3000,MATCH($F1053,폐업정보!$I$3:$I$3000,0),MATCH(I$4,폐업정보!$D$3:$R$3,0)),
"Error"))</f>
        <v>A1048</v>
      </c>
      <c r="J1053" s="75" t="str">
        <f aca="false">
IF($D1053="정상",INDEX(임대자산!$D$3:$R$3000,MATCH($F1053,임대자산!$I$3:$I$3000,0),MATCH(J$4,임대자산!$D$3:$R$3,0)),
IF($D1053="폐업",INDEX(폐업정보!$D$3:$R$3000,MATCH($F1053,폐업정보!$I$3:$I$3000,0),MATCH(J$4,폐업정보!$D$3:$R$3,0)),
"Error"))</f>
        <v>3876900000</v>
      </c>
      <c r="K1053" s="75" t="str">
        <f aca="false">
IF($D1053="정상",INDEX(임대자산!$D$3:$R$3000,MATCH($F1053,임대자산!$I$3:$I$3000,0),MATCH(K$4,임대자산!$D$3:$R$3,0)),
IF($D1053="폐업",INDEX(폐업정보!$D$3:$R$3000,MATCH($F1053,폐업정보!$I$3:$I$3000,0),MATCH(K$4,폐업정보!$D$3:$R$3,0)),
"Error"))</f>
        <v>C1048</v>
      </c>
      <c r="L1053" s="75" t="str">
        <f aca="false">
IF($D1053="정상",INDEX(임대자산!$D$3:$R$3000,MATCH($F1053,임대자산!$I$3:$I$3000,0),MATCH(L$4,임대자산!$D$3:$R$3,0)),
IF($D1053="폐업",INDEX(폐업정보!$D$3:$R$3000,MATCH($F1053,폐업정보!$I$3:$I$3000,0),MATCH(L$4,폐업정보!$D$3:$R$3,0)),
"Error"))</f>
        <v>D1048</v>
      </c>
      <c r="M1053" s="76" t="s">
        <v>96</v>
      </c>
      <c r="N1053" s="77"/>
      <c r="O1053" s="78" t="s">
        <v>97</v>
      </c>
      <c r="P1053" s="79" t="n">
        <f aca="false">COUNTIFS(임대자산!$I:$I,가맹점정보!F1053,임대자산!$N:$N,가맹점정보!P$4)</f>
        <v>0</v>
      </c>
      <c r="Q1053" s="80" t="n">
        <f aca="false">COUNTIFS(임대자산!$I:$I,가맹점정보!F1053,임대자산!$N:$N,가맹점정보!Q$4)</f>
        <v>0</v>
      </c>
      <c r="R1053" s="81" t="n">
        <f aca="false">COUNTIFS(임대자산!$I:$I,가맹점정보!F1053,임대자산!$N:$N,가맹점정보!R$4)</f>
        <v>1</v>
      </c>
      <c r="S1053" s="82" t="n">
        <v>88000</v>
      </c>
      <c r="T1053" s="83" t="n">
        <v>0</v>
      </c>
      <c r="U1053" s="80" t="n">
        <f aca="false">SUM(S1053:T1053)</f>
        <v>88000</v>
      </c>
      <c r="V1053" s="84" t="s">
        <v>7</v>
      </c>
      <c r="W1053" s="80" t="str">
        <f aca="true">
IF(D1053="폐업","폐업",
IF(V1053="면제","면제",
IF(AND(V1053="정상",COUNTIFS(OFFSET(Y1053,0,COUNTA(Y1053:AV1053)-1,1,-4),"미납")&gt;=3),"장기미납",
IF(AND(V1053="정상",OFFSET(Y1053,0,COUNTA(Y1053:AV1053)-1)&gt;=U1053),"정상",
IF(AND(V1053="정상",OFFSET(Y1053,0,COUNTA(Y1053:AV1053)-1)=0),"정상",
"계약서 미작성")))))</f>
        <v>면제</v>
      </c>
      <c r="X1053" s="81" t="str">
        <f aca="true">
IF(D1053="폐업","폐업",
IF(AND(V1053="정상",OFFSET(Y1053,0,COUNTA(Y1053:AV1053)-1)="미납"),"미납",
IF(AND(V1053="정상",OFFSET(Y1053,0,COUNTA(Y1053:AV1053)-1)=0),"납부 시작 전",
IF(AND(V1053="정상",OFFSET(Y1053,0,COUNTA(Y1053:AV1053)-1)&gt;=U1053),"정상",
IF(AND(V1053="면제",OFFSET(Y1053,0,COUNTA(Y1053:AV1053)-1)="면제"),"면제",
IF(AND(V1053="면제",OFFSET(Y1053,0,COUNTA(Y1053:AV1053)-1)=0),"면제",
"확인요청"))))))</f>
        <v>면제</v>
      </c>
      <c r="Y1053" s="94" t="s">
        <v>7</v>
      </c>
      <c r="Z1053" s="95" t="s">
        <v>7</v>
      </c>
      <c r="AA1053" s="95" t="s">
        <v>7</v>
      </c>
      <c r="AB1053" s="95" t="s">
        <v>7</v>
      </c>
      <c r="AC1053" s="95" t="s">
        <v>7</v>
      </c>
      <c r="AD1053" s="95" t="s">
        <v>7</v>
      </c>
      <c r="AE1053" s="95" t="s">
        <v>7</v>
      </c>
      <c r="AF1053" s="95" t="s">
        <v>7</v>
      </c>
      <c r="AG1053" s="95" t="s">
        <v>7</v>
      </c>
      <c r="AH1053" s="95" t="s">
        <v>7</v>
      </c>
      <c r="AI1053" s="95" t="s">
        <v>7</v>
      </c>
      <c r="AJ1053" s="96" t="s">
        <v>7</v>
      </c>
      <c r="AK1053" s="97" t="s">
        <v>7</v>
      </c>
      <c r="AL1053" s="95" t="s">
        <v>7</v>
      </c>
      <c r="AM1053" s="90"/>
      <c r="AN1053" s="90"/>
      <c r="AO1053" s="90"/>
      <c r="AP1053" s="90"/>
      <c r="AQ1053" s="90"/>
      <c r="AR1053" s="90"/>
      <c r="AS1053" s="90"/>
      <c r="AT1053" s="90"/>
      <c r="AU1053" s="90"/>
      <c r="AV1053" s="91"/>
      <c r="AX1053" s="92"/>
    </row>
    <row r="1054" customFormat="false" ht="15.65" hidden="false" customHeight="false" outlineLevel="0" collapsed="false">
      <c r="C1054" s="72" t="n">
        <f aca="false">COUNTIFS($D$6:D1054,"&lt;&gt;"&amp;"")</f>
        <v>1049</v>
      </c>
      <c r="D1054" s="73" t="s">
        <v>12</v>
      </c>
      <c r="E1054" s="76" t="str">
        <f aca="false">
IF($D1054="정상",INDEX(임대자산!$D$3:$R$3000,MATCH($F1054,임대자산!$I$3:$I$3000,0),MATCH(E$3,임대자산!$D$3:$R$3,0)),
IF($D1054="폐업",INDEX(폐업정보!$D$3:$R$3000,MATCH($F1054,폐업정보!$I$3:$I$3000,0),MATCH(E$3,폐업정보!$D$3:$R$3,0)),
"Error"))</f>
        <v>서울</v>
      </c>
      <c r="F105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B1049</v>
      </c>
      <c r="G1054" s="76" t="str">
        <f aca="false">F1054&amp;RANDBETWEEN(0,10)</f>
        <v>B10494</v>
      </c>
      <c r="H1054" s="75" t="n">
        <f aca="false">
IF($D1054="정상",INDEX(임대자산!$D$3:$R$3000,MATCH($F1054,임대자산!$I$3:$I$3000,0),MATCH(H$4,임대자산!$D$3:$R$3,0)),
IF($D1054="폐업",INDEX(폐업정보!$D$3:$R$3000,MATCH($F1054,폐업정보!$I$3:$I$3000,0),MATCH(H$4,폐업정보!$D$3:$R$3,0)),
"Error"))</f>
        <v>45798</v>
      </c>
      <c r="I1054" s="75" t="str">
        <f aca="false">
IF($D1054="정상",INDEX(임대자산!$D$3:$R$3000,MATCH($F1054,임대자산!$I$3:$I$3000,0),MATCH(I$4,임대자산!$D$3:$R$3,0)),
IF($D1054="폐업",INDEX(폐업정보!$D$3:$R$3000,MATCH($F1054,폐업정보!$I$3:$I$3000,0),MATCH(I$4,폐업정보!$D$3:$R$3,0)),
"Error"))</f>
        <v>A1049</v>
      </c>
      <c r="J1054" s="75" t="str">
        <f aca="false">
IF($D1054="정상",INDEX(임대자산!$D$3:$R$3000,MATCH($F1054,임대자산!$I$3:$I$3000,0),MATCH(J$4,임대자산!$D$3:$R$3,0)),
IF($D1054="폐업",INDEX(폐업정보!$D$3:$R$3000,MATCH($F1054,폐업정보!$I$3:$I$3000,0),MATCH(J$4,폐업정보!$D$3:$R$3,0)),
"Error"))</f>
        <v>3096000000</v>
      </c>
      <c r="K1054" s="75" t="str">
        <f aca="false">
IF($D1054="정상",INDEX(임대자산!$D$3:$R$3000,MATCH($F1054,임대자산!$I$3:$I$3000,0),MATCH(K$4,임대자산!$D$3:$R$3,0)),
IF($D1054="폐업",INDEX(폐업정보!$D$3:$R$3000,MATCH($F1054,폐업정보!$I$3:$I$3000,0),MATCH(K$4,폐업정보!$D$3:$R$3,0)),
"Error"))</f>
        <v>C1049</v>
      </c>
      <c r="L1054" s="75" t="str">
        <f aca="false">
IF($D1054="정상",INDEX(임대자산!$D$3:$R$3000,MATCH($F1054,임대자산!$I$3:$I$3000,0),MATCH(L$4,임대자산!$D$3:$R$3,0)),
IF($D1054="폐업",INDEX(폐업정보!$D$3:$R$3000,MATCH($F1054,폐업정보!$I$3:$I$3000,0),MATCH(L$4,폐업정보!$D$3:$R$3,0)),
"Error"))</f>
        <v>D1049</v>
      </c>
      <c r="M1054" s="76" t="s">
        <v>96</v>
      </c>
      <c r="N1054" s="77"/>
      <c r="O1054" s="78" t="s">
        <v>97</v>
      </c>
      <c r="P1054" s="79" t="n">
        <f aca="false">COUNTIFS(임대자산!$I:$I,가맹점정보!F1054,임대자산!$N:$N,가맹점정보!P$4)</f>
        <v>0</v>
      </c>
      <c r="Q1054" s="80" t="n">
        <f aca="false">COUNTIFS(임대자산!$I:$I,가맹점정보!F1054,임대자산!$N:$N,가맹점정보!Q$4)</f>
        <v>0</v>
      </c>
      <c r="R1054" s="81" t="n">
        <f aca="false">COUNTIFS(임대자산!$I:$I,가맹점정보!F1054,임대자산!$N:$N,가맹점정보!R$4)</f>
        <v>1</v>
      </c>
      <c r="S1054" s="82" t="n">
        <v>55000</v>
      </c>
      <c r="T1054" s="83" t="n">
        <v>0</v>
      </c>
      <c r="U1054" s="80" t="n">
        <f aca="false">SUM(S1054:T1054)</f>
        <v>55000</v>
      </c>
      <c r="V1054" s="84" t="s">
        <v>7</v>
      </c>
      <c r="W1054" s="80" t="str">
        <f aca="true">
IF(D1054="폐업","폐업",
IF(V1054="면제","면제",
IF(AND(V1054="정상",COUNTIFS(OFFSET(Y1054,0,COUNTA(Y1054:AV1054)-1,1,-4),"미납")&gt;=3),"장기미납",
IF(AND(V1054="정상",OFFSET(Y1054,0,COUNTA(Y1054:AV1054)-1)&gt;=U1054),"정상",
IF(AND(V1054="정상",OFFSET(Y1054,0,COUNTA(Y1054:AV1054)-1)=0),"정상",
"계약서 미작성")))))</f>
        <v>면제</v>
      </c>
      <c r="X1054" s="81" t="str">
        <f aca="true">
IF(D1054="폐업","폐업",
IF(AND(V1054="정상",OFFSET(Y1054,0,COUNTA(Y1054:AV1054)-1)="미납"),"미납",
IF(AND(V1054="정상",OFFSET(Y1054,0,COUNTA(Y1054:AV1054)-1)=0),"납부 시작 전",
IF(AND(V1054="정상",OFFSET(Y1054,0,COUNTA(Y1054:AV1054)-1)&gt;=U1054),"정상",
IF(AND(V1054="면제",OFFSET(Y1054,0,COUNTA(Y1054:AV1054)-1)="면제"),"면제",
IF(AND(V1054="면제",OFFSET(Y1054,0,COUNTA(Y1054:AV1054)-1)=0),"면제",
"확인요청"))))))</f>
        <v>면제</v>
      </c>
      <c r="Y1054" s="94" t="s">
        <v>7</v>
      </c>
      <c r="Z1054" s="95" t="s">
        <v>7</v>
      </c>
      <c r="AA1054" s="95" t="s">
        <v>7</v>
      </c>
      <c r="AB1054" s="95" t="s">
        <v>7</v>
      </c>
      <c r="AC1054" s="95" t="s">
        <v>7</v>
      </c>
      <c r="AD1054" s="95" t="s">
        <v>7</v>
      </c>
      <c r="AE1054" s="95" t="s">
        <v>7</v>
      </c>
      <c r="AF1054" s="95" t="s">
        <v>7</v>
      </c>
      <c r="AG1054" s="95" t="s">
        <v>7</v>
      </c>
      <c r="AH1054" s="95" t="s">
        <v>7</v>
      </c>
      <c r="AI1054" s="95" t="s">
        <v>7</v>
      </c>
      <c r="AJ1054" s="96" t="s">
        <v>7</v>
      </c>
      <c r="AK1054" s="97" t="s">
        <v>7</v>
      </c>
      <c r="AL1054" s="95" t="s">
        <v>7</v>
      </c>
      <c r="AM1054" s="90"/>
      <c r="AN1054" s="90"/>
      <c r="AO1054" s="90"/>
      <c r="AP1054" s="90"/>
      <c r="AQ1054" s="90"/>
      <c r="AR1054" s="90"/>
      <c r="AS1054" s="90"/>
      <c r="AT1054" s="90"/>
      <c r="AU1054" s="90"/>
      <c r="AV1054" s="91"/>
      <c r="AX1054" s="92"/>
    </row>
    <row r="1055" customFormat="false" ht="15.65" hidden="false" customHeight="false" outlineLevel="0" collapsed="false">
      <c r="C1055" s="72" t="n">
        <f aca="false">COUNTIFS($D$6:D1055,"&lt;&gt;"&amp;"")</f>
        <v>1050</v>
      </c>
      <c r="D1055" s="73" t="s">
        <v>12</v>
      </c>
      <c r="E1055" s="76" t="str">
        <f aca="false">
IF($D1055="정상",INDEX(임대자산!$D$3:$R$3000,MATCH($F1055,임대자산!$I$3:$I$3000,0),MATCH(E$3,임대자산!$D$3:$R$3,0)),
IF($D1055="폐업",INDEX(폐업정보!$D$3:$R$3000,MATCH($F1055,폐업정보!$I$3:$I$3000,0),MATCH(E$3,폐업정보!$D$3:$R$3,0)),
"Error"))</f>
        <v>서울</v>
      </c>
      <c r="F105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B1050</v>
      </c>
      <c r="G1055" s="76" t="str">
        <f aca="false">F1055&amp;RANDBETWEEN(0,10)</f>
        <v>B10509</v>
      </c>
      <c r="H1055" s="75" t="n">
        <f aca="false">
IF($D1055="정상",INDEX(임대자산!$D$3:$R$3000,MATCH($F1055,임대자산!$I$3:$I$3000,0),MATCH(H$4,임대자산!$D$3:$R$3,0)),
IF($D1055="폐업",INDEX(폐업정보!$D$3:$R$3000,MATCH($F1055,폐업정보!$I$3:$I$3000,0),MATCH(H$4,폐업정보!$D$3:$R$3,0)),
"Error"))</f>
        <v>44698</v>
      </c>
      <c r="I1055" s="75" t="str">
        <f aca="false">
IF($D1055="정상",INDEX(임대자산!$D$3:$R$3000,MATCH($F1055,임대자산!$I$3:$I$3000,0),MATCH(I$4,임대자산!$D$3:$R$3,0)),
IF($D1055="폐업",INDEX(폐업정보!$D$3:$R$3000,MATCH($F1055,폐업정보!$I$3:$I$3000,0),MATCH(I$4,폐업정보!$D$3:$R$3,0)),
"Error"))</f>
        <v>A1050</v>
      </c>
      <c r="J1055" s="75" t="str">
        <f aca="false">
IF($D1055="정상",INDEX(임대자산!$D$3:$R$3000,MATCH($F1055,임대자산!$I$3:$I$3000,0),MATCH(J$4,임대자산!$D$3:$R$3,0)),
IF($D1055="폐업",INDEX(폐업정보!$D$3:$R$3000,MATCH($F1055,폐업정보!$I$3:$I$3000,0),MATCH(J$4,폐업정보!$D$3:$R$3,0)),
"Error"))</f>
        <v>9660200000</v>
      </c>
      <c r="K1055" s="75" t="str">
        <f aca="false">
IF($D1055="정상",INDEX(임대자산!$D$3:$R$3000,MATCH($F1055,임대자산!$I$3:$I$3000,0),MATCH(K$4,임대자산!$D$3:$R$3,0)),
IF($D1055="폐업",INDEX(폐업정보!$D$3:$R$3000,MATCH($F1055,폐업정보!$I$3:$I$3000,0),MATCH(K$4,폐업정보!$D$3:$R$3,0)),
"Error"))</f>
        <v>C1050</v>
      </c>
      <c r="L1055" s="75" t="str">
        <f aca="false">
IF($D1055="정상",INDEX(임대자산!$D$3:$R$3000,MATCH($F1055,임대자산!$I$3:$I$3000,0),MATCH(L$4,임대자산!$D$3:$R$3,0)),
IF($D1055="폐업",INDEX(폐업정보!$D$3:$R$3000,MATCH($F1055,폐업정보!$I$3:$I$3000,0),MATCH(L$4,폐업정보!$D$3:$R$3,0)),
"Error"))</f>
        <v>D1050</v>
      </c>
      <c r="M1055" s="76" t="s">
        <v>96</v>
      </c>
      <c r="N1055" s="77"/>
      <c r="O1055" s="78" t="s">
        <v>97</v>
      </c>
      <c r="P1055" s="79" t="n">
        <f aca="false">COUNTIFS(임대자산!$I:$I,가맹점정보!F1055,임대자산!$N:$N,가맹점정보!P$4)</f>
        <v>0</v>
      </c>
      <c r="Q1055" s="80" t="n">
        <f aca="false">COUNTIFS(임대자산!$I:$I,가맹점정보!F1055,임대자산!$N:$N,가맹점정보!Q$4)</f>
        <v>0</v>
      </c>
      <c r="R1055" s="81" t="n">
        <f aca="false">COUNTIFS(임대자산!$I:$I,가맹점정보!F1055,임대자산!$N:$N,가맹점정보!R$4)</f>
        <v>1</v>
      </c>
      <c r="S1055" s="82" t="n">
        <v>88000</v>
      </c>
      <c r="T1055" s="83" t="n">
        <v>0</v>
      </c>
      <c r="U1055" s="80" t="n">
        <f aca="false">SUM(S1055:T1055)</f>
        <v>88000</v>
      </c>
      <c r="V1055" s="84" t="s">
        <v>7</v>
      </c>
      <c r="W1055" s="80" t="str">
        <f aca="true">
IF(D1055="폐업","폐업",
IF(V1055="면제","면제",
IF(AND(V1055="정상",COUNTIFS(OFFSET(Y1055,0,COUNTA(Y1055:AV1055)-1,1,-4),"미납")&gt;=3),"장기미납",
IF(AND(V1055="정상",OFFSET(Y1055,0,COUNTA(Y1055:AV1055)-1)&gt;=U1055),"정상",
IF(AND(V1055="정상",OFFSET(Y1055,0,COUNTA(Y1055:AV1055)-1)=0),"정상",
"계약서 미작성")))))</f>
        <v>면제</v>
      </c>
      <c r="X1055" s="81" t="str">
        <f aca="true">
IF(D1055="폐업","폐업",
IF(AND(V1055="정상",OFFSET(Y1055,0,COUNTA(Y1055:AV1055)-1)="미납"),"미납",
IF(AND(V1055="정상",OFFSET(Y1055,0,COUNTA(Y1055:AV1055)-1)=0),"납부 시작 전",
IF(AND(V1055="정상",OFFSET(Y1055,0,COUNTA(Y1055:AV1055)-1)&gt;=U1055),"정상",
IF(AND(V1055="면제",OFFSET(Y1055,0,COUNTA(Y1055:AV1055)-1)="면제"),"면제",
IF(AND(V1055="면제",OFFSET(Y1055,0,COUNTA(Y1055:AV1055)-1)=0),"면제",
"확인요청"))))))</f>
        <v>면제</v>
      </c>
      <c r="Y1055" s="94" t="s">
        <v>7</v>
      </c>
      <c r="Z1055" s="95" t="s">
        <v>7</v>
      </c>
      <c r="AA1055" s="95" t="s">
        <v>7</v>
      </c>
      <c r="AB1055" s="95" t="s">
        <v>7</v>
      </c>
      <c r="AC1055" s="95" t="s">
        <v>7</v>
      </c>
      <c r="AD1055" s="95" t="s">
        <v>7</v>
      </c>
      <c r="AE1055" s="95" t="s">
        <v>7</v>
      </c>
      <c r="AF1055" s="95" t="s">
        <v>7</v>
      </c>
      <c r="AG1055" s="95" t="s">
        <v>7</v>
      </c>
      <c r="AH1055" s="95" t="s">
        <v>7</v>
      </c>
      <c r="AI1055" s="95" t="s">
        <v>7</v>
      </c>
      <c r="AJ1055" s="96" t="s">
        <v>7</v>
      </c>
      <c r="AK1055" s="97" t="s">
        <v>7</v>
      </c>
      <c r="AL1055" s="95" t="s">
        <v>7</v>
      </c>
      <c r="AM1055" s="90"/>
      <c r="AN1055" s="90"/>
      <c r="AO1055" s="90"/>
      <c r="AP1055" s="90"/>
      <c r="AQ1055" s="90"/>
      <c r="AR1055" s="90"/>
      <c r="AS1055" s="90"/>
      <c r="AT1055" s="90"/>
      <c r="AU1055" s="90"/>
      <c r="AV1055" s="91"/>
      <c r="AX1055" s="92"/>
    </row>
    <row r="1056" customFormat="false" ht="15.65" hidden="false" customHeight="false" outlineLevel="0" collapsed="false">
      <c r="C1056" s="72" t="n">
        <f aca="false">COUNTIFS($D$6:D1056,"&lt;&gt;"&amp;"")</f>
        <v>1051</v>
      </c>
      <c r="D1056" s="73" t="s">
        <v>12</v>
      </c>
      <c r="E1056" s="76" t="str">
        <f aca="false">
IF($D1056="정상",INDEX(임대자산!$D$3:$R$3000,MATCH($F1056,임대자산!$I$3:$I$3000,0),MATCH(E$3,임대자산!$D$3:$R$3,0)),
IF($D1056="폐업",INDEX(폐업정보!$D$3:$R$3000,MATCH($F1056,폐업정보!$I$3:$I$3000,0),MATCH(E$3,폐업정보!$D$3:$R$3,0)),
"Error"))</f>
        <v>서울</v>
      </c>
      <c r="F105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B1051</v>
      </c>
      <c r="G1056" s="76" t="str">
        <f aca="false">F1056&amp;RANDBETWEEN(0,10)</f>
        <v>B10512</v>
      </c>
      <c r="H1056" s="75" t="n">
        <f aca="false">
IF($D1056="정상",INDEX(임대자산!$D$3:$R$3000,MATCH($F1056,임대자산!$I$3:$I$3000,0),MATCH(H$4,임대자산!$D$3:$R$3,0)),
IF($D1056="폐업",INDEX(폐업정보!$D$3:$R$3000,MATCH($F1056,폐업정보!$I$3:$I$3000,0),MATCH(H$4,폐업정보!$D$3:$R$3,0)),
"Error"))</f>
        <v>45421</v>
      </c>
      <c r="I1056" s="75" t="str">
        <f aca="false">
IF($D1056="정상",INDEX(임대자산!$D$3:$R$3000,MATCH($F1056,임대자산!$I$3:$I$3000,0),MATCH(I$4,임대자산!$D$3:$R$3,0)),
IF($D1056="폐업",INDEX(폐업정보!$D$3:$R$3000,MATCH($F1056,폐업정보!$I$3:$I$3000,0),MATCH(I$4,폐업정보!$D$3:$R$3,0)),
"Error"))</f>
        <v>A1051</v>
      </c>
      <c r="J1056" s="75" t="str">
        <f aca="false">
IF($D1056="정상",INDEX(임대자산!$D$3:$R$3000,MATCH($F1056,임대자산!$I$3:$I$3000,0),MATCH(J$4,임대자산!$D$3:$R$3,0)),
IF($D1056="폐업",INDEX(폐업정보!$D$3:$R$3000,MATCH($F1056,폐업정보!$I$3:$I$3000,0),MATCH(J$4,폐업정보!$D$3:$R$3,0)),
"Error"))</f>
        <v>7000200000</v>
      </c>
      <c r="K1056" s="75" t="str">
        <f aca="false">
IF($D1056="정상",INDEX(임대자산!$D$3:$R$3000,MATCH($F1056,임대자산!$I$3:$I$3000,0),MATCH(K$4,임대자산!$D$3:$R$3,0)),
IF($D1056="폐업",INDEX(폐업정보!$D$3:$R$3000,MATCH($F1056,폐업정보!$I$3:$I$3000,0),MATCH(K$4,폐업정보!$D$3:$R$3,0)),
"Error"))</f>
        <v>C1051</v>
      </c>
      <c r="L1056" s="75" t="str">
        <f aca="false">
IF($D1056="정상",INDEX(임대자산!$D$3:$R$3000,MATCH($F1056,임대자산!$I$3:$I$3000,0),MATCH(L$4,임대자산!$D$3:$R$3,0)),
IF($D1056="폐업",INDEX(폐업정보!$D$3:$R$3000,MATCH($F1056,폐업정보!$I$3:$I$3000,0),MATCH(L$4,폐업정보!$D$3:$R$3,0)),
"Error"))</f>
        <v>D1051</v>
      </c>
      <c r="M1056" s="76" t="s">
        <v>96</v>
      </c>
      <c r="N1056" s="77"/>
      <c r="O1056" s="78" t="s">
        <v>97</v>
      </c>
      <c r="P1056" s="79" t="n">
        <f aca="false">COUNTIFS(임대자산!$I:$I,가맹점정보!F1056,임대자산!$N:$N,가맹점정보!P$4)</f>
        <v>0</v>
      </c>
      <c r="Q1056" s="80" t="n">
        <f aca="false">COUNTIFS(임대자산!$I:$I,가맹점정보!F1056,임대자산!$N:$N,가맹점정보!Q$4)</f>
        <v>0</v>
      </c>
      <c r="R1056" s="81" t="n">
        <f aca="false">COUNTIFS(임대자산!$I:$I,가맹점정보!F1056,임대자산!$N:$N,가맹점정보!R$4)</f>
        <v>1</v>
      </c>
      <c r="S1056" s="82" t="n">
        <v>88000</v>
      </c>
      <c r="T1056" s="83" t="n">
        <v>0</v>
      </c>
      <c r="U1056" s="80" t="n">
        <f aca="false">SUM(S1056:T1056)</f>
        <v>88000</v>
      </c>
      <c r="V1056" s="84" t="s">
        <v>7</v>
      </c>
      <c r="W1056" s="80" t="str">
        <f aca="true">
IF(D1056="폐업","폐업",
IF(V1056="면제","면제",
IF(AND(V1056="정상",COUNTIFS(OFFSET(Y1056,0,COUNTA(Y1056:AV1056)-1,1,-4),"미납")&gt;=3),"장기미납",
IF(AND(V1056="정상",OFFSET(Y1056,0,COUNTA(Y1056:AV1056)-1)&gt;=U1056),"정상",
IF(AND(V1056="정상",OFFSET(Y1056,0,COUNTA(Y1056:AV1056)-1)=0),"정상",
"계약서 미작성")))))</f>
        <v>면제</v>
      </c>
      <c r="X1056" s="81" t="str">
        <f aca="true">
IF(D1056="폐업","폐업",
IF(AND(V1056="정상",OFFSET(Y1056,0,COUNTA(Y1056:AV1056)-1)="미납"),"미납",
IF(AND(V1056="정상",OFFSET(Y1056,0,COUNTA(Y1056:AV1056)-1)=0),"납부 시작 전",
IF(AND(V1056="정상",OFFSET(Y1056,0,COUNTA(Y1056:AV1056)-1)&gt;=U1056),"정상",
IF(AND(V1056="면제",OFFSET(Y1056,0,COUNTA(Y1056:AV1056)-1)="면제"),"면제",
IF(AND(V1056="면제",OFFSET(Y1056,0,COUNTA(Y1056:AV1056)-1)=0),"면제",
"확인요청"))))))</f>
        <v>면제</v>
      </c>
      <c r="Y1056" s="94" t="s">
        <v>7</v>
      </c>
      <c r="Z1056" s="95" t="s">
        <v>7</v>
      </c>
      <c r="AA1056" s="95" t="s">
        <v>7</v>
      </c>
      <c r="AB1056" s="95" t="s">
        <v>7</v>
      </c>
      <c r="AC1056" s="95" t="s">
        <v>7</v>
      </c>
      <c r="AD1056" s="95" t="s">
        <v>7</v>
      </c>
      <c r="AE1056" s="95" t="s">
        <v>7</v>
      </c>
      <c r="AF1056" s="95" t="s">
        <v>7</v>
      </c>
      <c r="AG1056" s="95" t="s">
        <v>7</v>
      </c>
      <c r="AH1056" s="95" t="s">
        <v>7</v>
      </c>
      <c r="AI1056" s="95" t="s">
        <v>7</v>
      </c>
      <c r="AJ1056" s="96" t="s">
        <v>7</v>
      </c>
      <c r="AK1056" s="97" t="s">
        <v>7</v>
      </c>
      <c r="AL1056" s="95" t="s">
        <v>7</v>
      </c>
      <c r="AM1056" s="90"/>
      <c r="AN1056" s="90"/>
      <c r="AO1056" s="90"/>
      <c r="AP1056" s="90"/>
      <c r="AQ1056" s="90"/>
      <c r="AR1056" s="90"/>
      <c r="AS1056" s="90"/>
      <c r="AT1056" s="90"/>
      <c r="AU1056" s="90"/>
      <c r="AV1056" s="91"/>
      <c r="AX1056" s="92"/>
    </row>
    <row r="1057" customFormat="false" ht="15.65" hidden="false" customHeight="false" outlineLevel="0" collapsed="false">
      <c r="C1057" s="72" t="n">
        <f aca="false">COUNTIFS($D$6:D1057,"&lt;&gt;"&amp;"")</f>
        <v>1052</v>
      </c>
      <c r="D1057" s="73" t="s">
        <v>12</v>
      </c>
      <c r="E1057" s="76" t="str">
        <f aca="false">
IF($D1057="정상",INDEX(임대자산!$D$3:$R$3000,MATCH($F1057,임대자산!$I$3:$I$3000,0),MATCH(E$3,임대자산!$D$3:$R$3,0)),
IF($D1057="폐업",INDEX(폐업정보!$D$3:$R$3000,MATCH($F1057,폐업정보!$I$3:$I$3000,0),MATCH(E$3,폐업정보!$D$3:$R$3,0)),
"Error"))</f>
        <v>서울</v>
      </c>
      <c r="F105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B1052</v>
      </c>
      <c r="G1057" s="76" t="str">
        <f aca="false">F1057&amp;RANDBETWEEN(0,10)</f>
        <v>B10523</v>
      </c>
      <c r="H1057" s="75" t="n">
        <f aca="false">
IF($D1057="정상",INDEX(임대자산!$D$3:$R$3000,MATCH($F1057,임대자산!$I$3:$I$3000,0),MATCH(H$4,임대자산!$D$3:$R$3,0)),
IF($D1057="폐업",INDEX(폐업정보!$D$3:$R$3000,MATCH($F1057,폐업정보!$I$3:$I$3000,0),MATCH(H$4,폐업정보!$D$3:$R$3,0)),
"Error"))</f>
        <v>45947</v>
      </c>
      <c r="I1057" s="75" t="str">
        <f aca="false">
IF($D1057="정상",INDEX(임대자산!$D$3:$R$3000,MATCH($F1057,임대자산!$I$3:$I$3000,0),MATCH(I$4,임대자산!$D$3:$R$3,0)),
IF($D1057="폐업",INDEX(폐업정보!$D$3:$R$3000,MATCH($F1057,폐업정보!$I$3:$I$3000,0),MATCH(I$4,폐업정보!$D$3:$R$3,0)),
"Error"))</f>
        <v>A1052</v>
      </c>
      <c r="J1057" s="75" t="str">
        <f aca="false">
IF($D1057="정상",INDEX(임대자산!$D$3:$R$3000,MATCH($F1057,임대자산!$I$3:$I$3000,0),MATCH(J$4,임대자산!$D$3:$R$3,0)),
IF($D1057="폐업",INDEX(폐업정보!$D$3:$R$3000,MATCH($F1057,폐업정보!$I$3:$I$3000,0),MATCH(J$4,폐업정보!$D$3:$R$3,0)),
"Error"))</f>
        <v>5768300000</v>
      </c>
      <c r="K1057" s="75" t="str">
        <f aca="false">
IF($D1057="정상",INDEX(임대자산!$D$3:$R$3000,MATCH($F1057,임대자산!$I$3:$I$3000,0),MATCH(K$4,임대자산!$D$3:$R$3,0)),
IF($D1057="폐업",INDEX(폐업정보!$D$3:$R$3000,MATCH($F1057,폐업정보!$I$3:$I$3000,0),MATCH(K$4,폐업정보!$D$3:$R$3,0)),
"Error"))</f>
        <v>C1052</v>
      </c>
      <c r="L1057" s="75" t="str">
        <f aca="false">
IF($D1057="정상",INDEX(임대자산!$D$3:$R$3000,MATCH($F1057,임대자산!$I$3:$I$3000,0),MATCH(L$4,임대자산!$D$3:$R$3,0)),
IF($D1057="폐업",INDEX(폐업정보!$D$3:$R$3000,MATCH($F1057,폐업정보!$I$3:$I$3000,0),MATCH(L$4,폐업정보!$D$3:$R$3,0)),
"Error"))</f>
        <v>D1052</v>
      </c>
      <c r="M1057" s="76" t="s">
        <v>96</v>
      </c>
      <c r="N1057" s="77"/>
      <c r="O1057" s="78" t="s">
        <v>97</v>
      </c>
      <c r="P1057" s="79" t="n">
        <f aca="false">COUNTIFS(임대자산!$I:$I,가맹점정보!F1057,임대자산!$N:$N,가맹점정보!P$4)</f>
        <v>0</v>
      </c>
      <c r="Q1057" s="80" t="n">
        <f aca="false">COUNTIFS(임대자산!$I:$I,가맹점정보!F1057,임대자산!$N:$N,가맹점정보!Q$4)</f>
        <v>0</v>
      </c>
      <c r="R1057" s="81" t="n">
        <f aca="false">COUNTIFS(임대자산!$I:$I,가맹점정보!F1057,임대자산!$N:$N,가맹점정보!R$4)</f>
        <v>1</v>
      </c>
      <c r="S1057" s="82" t="n">
        <v>0</v>
      </c>
      <c r="T1057" s="83" t="n">
        <v>0</v>
      </c>
      <c r="U1057" s="80" t="n">
        <f aca="false">SUM(S1057:T1057)</f>
        <v>0</v>
      </c>
      <c r="V1057" s="84" t="s">
        <v>7</v>
      </c>
      <c r="W1057" s="80" t="str">
        <f aca="true">
IF(D1057="폐업","폐업",
IF(V1057="면제","면제",
IF(AND(V1057="정상",COUNTIFS(OFFSET(Y1057,0,COUNTA(Y1057:AV1057)-1,1,-4),"미납")&gt;=3),"장기미납",
IF(AND(V1057="정상",OFFSET(Y1057,0,COUNTA(Y1057:AV1057)-1)&gt;=U1057),"정상",
IF(AND(V1057="정상",OFFSET(Y1057,0,COUNTA(Y1057:AV1057)-1)=0),"정상",
"계약서 미작성")))))</f>
        <v>면제</v>
      </c>
      <c r="X1057" s="81" t="str">
        <f aca="true">
IF(D1057="폐업","폐업",
IF(AND(V1057="정상",OFFSET(Y1057,0,COUNTA(Y1057:AV1057)-1)="미납"),"미납",
IF(AND(V1057="정상",OFFSET(Y1057,0,COUNTA(Y1057:AV1057)-1)=0),"납부 시작 전",
IF(AND(V1057="정상",OFFSET(Y1057,0,COUNTA(Y1057:AV1057)-1)&gt;=U1057),"정상",
IF(AND(V1057="면제",OFFSET(Y1057,0,COUNTA(Y1057:AV1057)-1)="면제"),"면제",
IF(AND(V1057="면제",OFFSET(Y1057,0,COUNTA(Y1057:AV1057)-1)=0),"면제",
"확인요청"))))))</f>
        <v>면제</v>
      </c>
      <c r="Y1057" s="94" t="s">
        <v>7</v>
      </c>
      <c r="Z1057" s="95" t="s">
        <v>7</v>
      </c>
      <c r="AA1057" s="95" t="s">
        <v>7</v>
      </c>
      <c r="AB1057" s="95" t="s">
        <v>7</v>
      </c>
      <c r="AC1057" s="95" t="s">
        <v>7</v>
      </c>
      <c r="AD1057" s="95" t="s">
        <v>7</v>
      </c>
      <c r="AE1057" s="95" t="s">
        <v>7</v>
      </c>
      <c r="AF1057" s="95" t="s">
        <v>7</v>
      </c>
      <c r="AG1057" s="95" t="s">
        <v>7</v>
      </c>
      <c r="AH1057" s="95" t="s">
        <v>7</v>
      </c>
      <c r="AI1057" s="95" t="s">
        <v>7</v>
      </c>
      <c r="AJ1057" s="96" t="s">
        <v>7</v>
      </c>
      <c r="AK1057" s="97" t="s">
        <v>7</v>
      </c>
      <c r="AL1057" s="95" t="s">
        <v>7</v>
      </c>
      <c r="AM1057" s="90"/>
      <c r="AN1057" s="90"/>
      <c r="AO1057" s="90"/>
      <c r="AP1057" s="90"/>
      <c r="AQ1057" s="90"/>
      <c r="AR1057" s="90"/>
      <c r="AS1057" s="90"/>
      <c r="AT1057" s="90"/>
      <c r="AU1057" s="90"/>
      <c r="AV1057" s="91"/>
      <c r="AX1057" s="92"/>
    </row>
    <row r="1058" customFormat="false" ht="15.65" hidden="false" customHeight="false" outlineLevel="0" collapsed="false">
      <c r="C1058" s="72" t="n">
        <f aca="false">COUNTIFS($D$6:D1058,"&lt;&gt;"&amp;"")</f>
        <v>1053</v>
      </c>
      <c r="D1058" s="73" t="s">
        <v>12</v>
      </c>
      <c r="E1058" s="76" t="str">
        <f aca="false">
IF($D1058="정상",INDEX(임대자산!$D$3:$R$3000,MATCH($F1058,임대자산!$I$3:$I$3000,0),MATCH(E$3,임대자산!$D$3:$R$3,0)),
IF($D1058="폐업",INDEX(폐업정보!$D$3:$R$3000,MATCH($F1058,폐업정보!$I$3:$I$3000,0),MATCH(E$3,폐업정보!$D$3:$R$3,0)),
"Error"))</f>
        <v>서울</v>
      </c>
      <c r="F105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B1053</v>
      </c>
      <c r="G1058" s="76" t="str">
        <f aca="false">F1058&amp;RANDBETWEEN(0,10)</f>
        <v>B10539</v>
      </c>
      <c r="H1058" s="75" t="n">
        <f aca="false">
IF($D1058="정상",INDEX(임대자산!$D$3:$R$3000,MATCH($F1058,임대자산!$I$3:$I$3000,0),MATCH(H$4,임대자산!$D$3:$R$3,0)),
IF($D1058="폐업",INDEX(폐업정보!$D$3:$R$3000,MATCH($F1058,폐업정보!$I$3:$I$3000,0),MATCH(H$4,폐업정보!$D$3:$R$3,0)),
"Error"))</f>
        <v>45961</v>
      </c>
      <c r="I1058" s="75" t="str">
        <f aca="false">
IF($D1058="정상",INDEX(임대자산!$D$3:$R$3000,MATCH($F1058,임대자산!$I$3:$I$3000,0),MATCH(I$4,임대자산!$D$3:$R$3,0)),
IF($D1058="폐업",INDEX(폐업정보!$D$3:$R$3000,MATCH($F1058,폐업정보!$I$3:$I$3000,0),MATCH(I$4,폐업정보!$D$3:$R$3,0)),
"Error"))</f>
        <v>A1053</v>
      </c>
      <c r="J1058" s="75" t="str">
        <f aca="false">
IF($D1058="정상",INDEX(임대자산!$D$3:$R$3000,MATCH($F1058,임대자산!$I$3:$I$3000,0),MATCH(J$4,임대자산!$D$3:$R$3,0)),
IF($D1058="폐업",INDEX(폐업정보!$D$3:$R$3000,MATCH($F1058,폐업정보!$I$3:$I$3000,0),MATCH(J$4,폐업정보!$D$3:$R$3,0)),
"Error"))</f>
        <v>2198800000</v>
      </c>
      <c r="K1058" s="75" t="str">
        <f aca="false">
IF($D1058="정상",INDEX(임대자산!$D$3:$R$3000,MATCH($F1058,임대자산!$I$3:$I$3000,0),MATCH(K$4,임대자산!$D$3:$R$3,0)),
IF($D1058="폐업",INDEX(폐업정보!$D$3:$R$3000,MATCH($F1058,폐업정보!$I$3:$I$3000,0),MATCH(K$4,폐업정보!$D$3:$R$3,0)),
"Error"))</f>
        <v>C1053</v>
      </c>
      <c r="L1058" s="75" t="str">
        <f aca="false">
IF($D1058="정상",INDEX(임대자산!$D$3:$R$3000,MATCH($F1058,임대자산!$I$3:$I$3000,0),MATCH(L$4,임대자산!$D$3:$R$3,0)),
IF($D1058="폐업",INDEX(폐업정보!$D$3:$R$3000,MATCH($F1058,폐업정보!$I$3:$I$3000,0),MATCH(L$4,폐업정보!$D$3:$R$3,0)),
"Error"))</f>
        <v>D1053</v>
      </c>
      <c r="M1058" s="76" t="s">
        <v>96</v>
      </c>
      <c r="N1058" s="77"/>
      <c r="O1058" s="78" t="s">
        <v>97</v>
      </c>
      <c r="P1058" s="79" t="n">
        <f aca="false">COUNTIFS(임대자산!$I:$I,가맹점정보!F1058,임대자산!$N:$N,가맹점정보!P$4)</f>
        <v>0</v>
      </c>
      <c r="Q1058" s="80" t="n">
        <f aca="false">COUNTIFS(임대자산!$I:$I,가맹점정보!F1058,임대자산!$N:$N,가맹점정보!Q$4)</f>
        <v>0</v>
      </c>
      <c r="R1058" s="81" t="n">
        <f aca="false">COUNTIFS(임대자산!$I:$I,가맹점정보!F1058,임대자산!$N:$N,가맹점정보!R$4)</f>
        <v>1</v>
      </c>
      <c r="S1058" s="82" t="n">
        <v>55000</v>
      </c>
      <c r="T1058" s="83" t="n">
        <v>0</v>
      </c>
      <c r="U1058" s="80" t="n">
        <f aca="false">SUM(S1058:T1058)</f>
        <v>55000</v>
      </c>
      <c r="V1058" s="84" t="s">
        <v>7</v>
      </c>
      <c r="W1058" s="80" t="str">
        <f aca="true">
IF(D1058="폐업","폐업",
IF(V1058="면제","면제",
IF(AND(V1058="정상",COUNTIFS(OFFSET(Y1058,0,COUNTA(Y1058:AV1058)-1,1,-4),"미납")&gt;=3),"장기미납",
IF(AND(V1058="정상",OFFSET(Y1058,0,COUNTA(Y1058:AV1058)-1)&gt;=U1058),"정상",
IF(AND(V1058="정상",OFFSET(Y1058,0,COUNTA(Y1058:AV1058)-1)=0),"정상",
"계약서 미작성")))))</f>
        <v>면제</v>
      </c>
      <c r="X1058" s="81" t="str">
        <f aca="true">
IF(D1058="폐업","폐업",
IF(AND(V1058="정상",OFFSET(Y1058,0,COUNTA(Y1058:AV1058)-1)="미납"),"미납",
IF(AND(V1058="정상",OFFSET(Y1058,0,COUNTA(Y1058:AV1058)-1)=0),"납부 시작 전",
IF(AND(V1058="정상",OFFSET(Y1058,0,COUNTA(Y1058:AV1058)-1)&gt;=U1058),"정상",
IF(AND(V1058="면제",OFFSET(Y1058,0,COUNTA(Y1058:AV1058)-1)="면제"),"면제",
IF(AND(V1058="면제",OFFSET(Y1058,0,COUNTA(Y1058:AV1058)-1)=0),"면제",
"확인요청"))))))</f>
        <v>면제</v>
      </c>
      <c r="Y1058" s="94" t="s">
        <v>7</v>
      </c>
      <c r="Z1058" s="95" t="s">
        <v>7</v>
      </c>
      <c r="AA1058" s="95" t="s">
        <v>7</v>
      </c>
      <c r="AB1058" s="95" t="s">
        <v>7</v>
      </c>
      <c r="AC1058" s="95" t="s">
        <v>7</v>
      </c>
      <c r="AD1058" s="95" t="s">
        <v>7</v>
      </c>
      <c r="AE1058" s="95" t="s">
        <v>7</v>
      </c>
      <c r="AF1058" s="95" t="s">
        <v>7</v>
      </c>
      <c r="AG1058" s="95" t="s">
        <v>7</v>
      </c>
      <c r="AH1058" s="95" t="s">
        <v>7</v>
      </c>
      <c r="AI1058" s="95" t="s">
        <v>7</v>
      </c>
      <c r="AJ1058" s="96" t="s">
        <v>7</v>
      </c>
      <c r="AK1058" s="97" t="s">
        <v>7</v>
      </c>
      <c r="AL1058" s="95" t="s">
        <v>7</v>
      </c>
      <c r="AM1058" s="90"/>
      <c r="AN1058" s="90"/>
      <c r="AO1058" s="90"/>
      <c r="AP1058" s="90"/>
      <c r="AQ1058" s="90"/>
      <c r="AR1058" s="90"/>
      <c r="AS1058" s="90"/>
      <c r="AT1058" s="90"/>
      <c r="AU1058" s="90"/>
      <c r="AV1058" s="91"/>
      <c r="AX1058" s="92"/>
    </row>
    <row r="1059" customFormat="false" ht="15.65" hidden="false" customHeight="false" outlineLevel="0" collapsed="false">
      <c r="C1059" s="72" t="n">
        <f aca="false">COUNTIFS($D$6:D1059,"&lt;&gt;"&amp;"")</f>
        <v>1054</v>
      </c>
      <c r="D1059" s="73" t="s">
        <v>12</v>
      </c>
      <c r="E1059" s="76" t="str">
        <f aca="false">
IF($D1059="정상",INDEX(임대자산!$D$3:$R$3000,MATCH($F1059,임대자산!$I$3:$I$3000,0),MATCH(E$3,임대자산!$D$3:$R$3,0)),
IF($D1059="폐업",INDEX(폐업정보!$D$3:$R$3000,MATCH($F1059,폐업정보!$I$3:$I$3000,0),MATCH(E$3,폐업정보!$D$3:$R$3,0)),
"Error"))</f>
        <v>경상</v>
      </c>
      <c r="F105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B1054</v>
      </c>
      <c r="G1059" s="76" t="str">
        <f aca="false">F1059&amp;RANDBETWEEN(0,10)</f>
        <v>B105410</v>
      </c>
      <c r="H1059" s="75" t="n">
        <f aca="false">
IF($D1059="정상",INDEX(임대자산!$D$3:$R$3000,MATCH($F1059,임대자산!$I$3:$I$3000,0),MATCH(H$4,임대자산!$D$3:$R$3,0)),
IF($D1059="폐업",INDEX(폐업정보!$D$3:$R$3000,MATCH($F1059,폐업정보!$I$3:$I$3000,0),MATCH(H$4,폐업정보!$D$3:$R$3,0)),
"Error"))</f>
        <v>44677</v>
      </c>
      <c r="I1059" s="75" t="str">
        <f aca="false">
IF($D1059="정상",INDEX(임대자산!$D$3:$R$3000,MATCH($F1059,임대자산!$I$3:$I$3000,0),MATCH(I$4,임대자산!$D$3:$R$3,0)),
IF($D1059="폐업",INDEX(폐업정보!$D$3:$R$3000,MATCH($F1059,폐업정보!$I$3:$I$3000,0),MATCH(I$4,폐업정보!$D$3:$R$3,0)),
"Error"))</f>
        <v>A1054</v>
      </c>
      <c r="J1059" s="75" t="str">
        <f aca="false">
IF($D1059="정상",INDEX(임대자산!$D$3:$R$3000,MATCH($F1059,임대자산!$I$3:$I$3000,0),MATCH(J$4,임대자산!$D$3:$R$3,0)),
IF($D1059="폐업",INDEX(폐업정보!$D$3:$R$3000,MATCH($F1059,폐업정보!$I$3:$I$3000,0),MATCH(J$4,폐업정보!$D$3:$R$3,0)),
"Error"))</f>
        <v>8846400000</v>
      </c>
      <c r="K1059" s="75" t="str">
        <f aca="false">
IF($D1059="정상",INDEX(임대자산!$D$3:$R$3000,MATCH($F1059,임대자산!$I$3:$I$3000,0),MATCH(K$4,임대자산!$D$3:$R$3,0)),
IF($D1059="폐업",INDEX(폐업정보!$D$3:$R$3000,MATCH($F1059,폐업정보!$I$3:$I$3000,0),MATCH(K$4,폐업정보!$D$3:$R$3,0)),
"Error"))</f>
        <v>C1054</v>
      </c>
      <c r="L1059" s="75" t="str">
        <f aca="false">
IF($D1059="정상",INDEX(임대자산!$D$3:$R$3000,MATCH($F1059,임대자산!$I$3:$I$3000,0),MATCH(L$4,임대자산!$D$3:$R$3,0)),
IF($D1059="폐업",INDEX(폐업정보!$D$3:$R$3000,MATCH($F1059,폐업정보!$I$3:$I$3000,0),MATCH(L$4,폐업정보!$D$3:$R$3,0)),
"Error"))</f>
        <v>D1054</v>
      </c>
      <c r="M1059" s="76" t="s">
        <v>96</v>
      </c>
      <c r="N1059" s="77"/>
      <c r="O1059" s="78" t="s">
        <v>97</v>
      </c>
      <c r="P1059" s="79" t="n">
        <f aca="false">COUNTIFS(임대자산!$I:$I,가맹점정보!F1059,임대자산!$N:$N,가맹점정보!P$4)</f>
        <v>0</v>
      </c>
      <c r="Q1059" s="80" t="n">
        <f aca="false">COUNTIFS(임대자산!$I:$I,가맹점정보!F1059,임대자산!$N:$N,가맹점정보!Q$4)</f>
        <v>0</v>
      </c>
      <c r="R1059" s="81" t="n">
        <f aca="false">COUNTIFS(임대자산!$I:$I,가맹점정보!F1059,임대자산!$N:$N,가맹점정보!R$4)</f>
        <v>1</v>
      </c>
      <c r="S1059" s="82" t="n">
        <v>55000</v>
      </c>
      <c r="T1059" s="83" t="n">
        <v>0</v>
      </c>
      <c r="U1059" s="80" t="n">
        <f aca="false">SUM(S1059:T1059)</f>
        <v>55000</v>
      </c>
      <c r="V1059" s="84" t="s">
        <v>7</v>
      </c>
      <c r="W1059" s="80" t="str">
        <f aca="true">
IF(D1059="폐업","폐업",
IF(V1059="면제","면제",
IF(AND(V1059="정상",COUNTIFS(OFFSET(Y1059,0,COUNTA(Y1059:AV1059)-1,1,-4),"미납")&gt;=3),"장기미납",
IF(AND(V1059="정상",OFFSET(Y1059,0,COUNTA(Y1059:AV1059)-1)&gt;=U1059),"정상",
IF(AND(V1059="정상",OFFSET(Y1059,0,COUNTA(Y1059:AV1059)-1)=0),"정상",
"계약서 미작성")))))</f>
        <v>면제</v>
      </c>
      <c r="X1059" s="81" t="str">
        <f aca="true">
IF(D1059="폐업","폐업",
IF(AND(V1059="정상",OFFSET(Y1059,0,COUNTA(Y1059:AV1059)-1)="미납"),"미납",
IF(AND(V1059="정상",OFFSET(Y1059,0,COUNTA(Y1059:AV1059)-1)=0),"납부 시작 전",
IF(AND(V1059="정상",OFFSET(Y1059,0,COUNTA(Y1059:AV1059)-1)&gt;=U1059),"정상",
IF(AND(V1059="면제",OFFSET(Y1059,0,COUNTA(Y1059:AV1059)-1)="면제"),"면제",
IF(AND(V1059="면제",OFFSET(Y1059,0,COUNTA(Y1059:AV1059)-1)=0),"면제",
"확인요청"))))))</f>
        <v>면제</v>
      </c>
      <c r="Y1059" s="94" t="s">
        <v>7</v>
      </c>
      <c r="Z1059" s="95" t="s">
        <v>7</v>
      </c>
      <c r="AA1059" s="95" t="s">
        <v>7</v>
      </c>
      <c r="AB1059" s="95" t="s">
        <v>7</v>
      </c>
      <c r="AC1059" s="95" t="s">
        <v>7</v>
      </c>
      <c r="AD1059" s="95" t="s">
        <v>7</v>
      </c>
      <c r="AE1059" s="95" t="s">
        <v>7</v>
      </c>
      <c r="AF1059" s="95" t="s">
        <v>7</v>
      </c>
      <c r="AG1059" s="95" t="s">
        <v>7</v>
      </c>
      <c r="AH1059" s="95" t="s">
        <v>7</v>
      </c>
      <c r="AI1059" s="95" t="s">
        <v>7</v>
      </c>
      <c r="AJ1059" s="96" t="s">
        <v>7</v>
      </c>
      <c r="AK1059" s="97" t="s">
        <v>7</v>
      </c>
      <c r="AL1059" s="95" t="s">
        <v>7</v>
      </c>
      <c r="AM1059" s="90"/>
      <c r="AN1059" s="90"/>
      <c r="AO1059" s="90"/>
      <c r="AP1059" s="90"/>
      <c r="AQ1059" s="90"/>
      <c r="AR1059" s="90"/>
      <c r="AS1059" s="90"/>
      <c r="AT1059" s="90"/>
      <c r="AU1059" s="90"/>
      <c r="AV1059" s="91"/>
      <c r="AX1059" s="92"/>
    </row>
    <row r="1060" customFormat="false" ht="15.65" hidden="false" customHeight="false" outlineLevel="0" collapsed="false">
      <c r="C1060" s="72" t="n">
        <f aca="false">COUNTIFS($D$6:D1060,"&lt;&gt;"&amp;"")</f>
        <v>1055</v>
      </c>
      <c r="D1060" s="73" t="s">
        <v>12</v>
      </c>
      <c r="E1060" s="76" t="str">
        <f aca="false">
IF($D1060="정상",INDEX(임대자산!$D$3:$R$3000,MATCH($F1060,임대자산!$I$3:$I$3000,0),MATCH(E$3,임대자산!$D$3:$R$3,0)),
IF($D1060="폐업",INDEX(폐업정보!$D$3:$R$3000,MATCH($F1060,폐업정보!$I$3:$I$3000,0),MATCH(E$3,폐업정보!$D$3:$R$3,0)),
"Error"))</f>
        <v>경상</v>
      </c>
      <c r="F106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B1055</v>
      </c>
      <c r="G1060" s="76" t="str">
        <f aca="false">F1060&amp;RANDBETWEEN(0,10)</f>
        <v>B10559</v>
      </c>
      <c r="H1060" s="75" t="n">
        <f aca="false">
IF($D1060="정상",INDEX(임대자산!$D$3:$R$3000,MATCH($F1060,임대자산!$I$3:$I$3000,0),MATCH(H$4,임대자산!$D$3:$R$3,0)),
IF($D1060="폐업",INDEX(폐업정보!$D$3:$R$3000,MATCH($F1060,폐업정보!$I$3:$I$3000,0),MATCH(H$4,폐업정보!$D$3:$R$3,0)),
"Error"))</f>
        <v>44701</v>
      </c>
      <c r="I1060" s="75" t="str">
        <f aca="false">
IF($D1060="정상",INDEX(임대자산!$D$3:$R$3000,MATCH($F1060,임대자산!$I$3:$I$3000,0),MATCH(I$4,임대자산!$D$3:$R$3,0)),
IF($D1060="폐업",INDEX(폐업정보!$D$3:$R$3000,MATCH($F1060,폐업정보!$I$3:$I$3000,0),MATCH(I$4,폐업정보!$D$3:$R$3,0)),
"Error"))</f>
        <v>A1055</v>
      </c>
      <c r="J1060" s="75" t="str">
        <f aca="false">
IF($D1060="정상",INDEX(임대자산!$D$3:$R$3000,MATCH($F1060,임대자산!$I$3:$I$3000,0),MATCH(J$4,임대자산!$D$3:$R$3,0)),
IF($D1060="폐업",INDEX(폐업정보!$D$3:$R$3000,MATCH($F1060,폐업정보!$I$3:$I$3000,0),MATCH(J$4,폐업정보!$D$3:$R$3,0)),
"Error"))</f>
        <v>7765900000</v>
      </c>
      <c r="K1060" s="75" t="str">
        <f aca="false">
IF($D1060="정상",INDEX(임대자산!$D$3:$R$3000,MATCH($F1060,임대자산!$I$3:$I$3000,0),MATCH(K$4,임대자산!$D$3:$R$3,0)),
IF($D1060="폐업",INDEX(폐업정보!$D$3:$R$3000,MATCH($F1060,폐업정보!$I$3:$I$3000,0),MATCH(K$4,폐업정보!$D$3:$R$3,0)),
"Error"))</f>
        <v>C1055</v>
      </c>
      <c r="L1060" s="75" t="str">
        <f aca="false">
IF($D1060="정상",INDEX(임대자산!$D$3:$R$3000,MATCH($F1060,임대자산!$I$3:$I$3000,0),MATCH(L$4,임대자산!$D$3:$R$3,0)),
IF($D1060="폐업",INDEX(폐업정보!$D$3:$R$3000,MATCH($F1060,폐업정보!$I$3:$I$3000,0),MATCH(L$4,폐업정보!$D$3:$R$3,0)),
"Error"))</f>
        <v>D1055</v>
      </c>
      <c r="M1060" s="76" t="s">
        <v>96</v>
      </c>
      <c r="N1060" s="77"/>
      <c r="O1060" s="78" t="s">
        <v>97</v>
      </c>
      <c r="P1060" s="79" t="n">
        <f aca="false">COUNTIFS(임대자산!$I:$I,가맹점정보!F1060,임대자산!$N:$N,가맹점정보!P$4)</f>
        <v>0</v>
      </c>
      <c r="Q1060" s="80" t="n">
        <f aca="false">COUNTIFS(임대자산!$I:$I,가맹점정보!F1060,임대자산!$N:$N,가맹점정보!Q$4)</f>
        <v>0</v>
      </c>
      <c r="R1060" s="81" t="n">
        <f aca="false">COUNTIFS(임대자산!$I:$I,가맹점정보!F1060,임대자산!$N:$N,가맹점정보!R$4)</f>
        <v>1</v>
      </c>
      <c r="S1060" s="82" t="n">
        <v>55000</v>
      </c>
      <c r="T1060" s="83" t="n">
        <v>0</v>
      </c>
      <c r="U1060" s="80" t="n">
        <f aca="false">SUM(S1060:T1060)</f>
        <v>55000</v>
      </c>
      <c r="V1060" s="84" t="s">
        <v>7</v>
      </c>
      <c r="W1060" s="80" t="str">
        <f aca="true">
IF(D1060="폐업","폐업",
IF(V1060="면제","면제",
IF(AND(V1060="정상",COUNTIFS(OFFSET(Y1060,0,COUNTA(Y1060:AV1060)-1,1,-4),"미납")&gt;=3),"장기미납",
IF(AND(V1060="정상",OFFSET(Y1060,0,COUNTA(Y1060:AV1060)-1)&gt;=U1060),"정상",
IF(AND(V1060="정상",OFFSET(Y1060,0,COUNTA(Y1060:AV1060)-1)=0),"정상",
"계약서 미작성")))))</f>
        <v>면제</v>
      </c>
      <c r="X1060" s="81" t="str">
        <f aca="true">
IF(D1060="폐업","폐업",
IF(AND(V1060="정상",OFFSET(Y1060,0,COUNTA(Y1060:AV1060)-1)="미납"),"미납",
IF(AND(V1060="정상",OFFSET(Y1060,0,COUNTA(Y1060:AV1060)-1)=0),"납부 시작 전",
IF(AND(V1060="정상",OFFSET(Y1060,0,COUNTA(Y1060:AV1060)-1)&gt;=U1060),"정상",
IF(AND(V1060="면제",OFFSET(Y1060,0,COUNTA(Y1060:AV1060)-1)="면제"),"면제",
IF(AND(V1060="면제",OFFSET(Y1060,0,COUNTA(Y1060:AV1060)-1)=0),"면제",
"확인요청"))))))</f>
        <v>면제</v>
      </c>
      <c r="Y1060" s="94" t="s">
        <v>7</v>
      </c>
      <c r="Z1060" s="95" t="s">
        <v>7</v>
      </c>
      <c r="AA1060" s="95" t="s">
        <v>7</v>
      </c>
      <c r="AB1060" s="95" t="s">
        <v>7</v>
      </c>
      <c r="AC1060" s="95" t="s">
        <v>7</v>
      </c>
      <c r="AD1060" s="95" t="s">
        <v>7</v>
      </c>
      <c r="AE1060" s="95" t="s">
        <v>7</v>
      </c>
      <c r="AF1060" s="95" t="s">
        <v>7</v>
      </c>
      <c r="AG1060" s="95" t="s">
        <v>7</v>
      </c>
      <c r="AH1060" s="95" t="s">
        <v>7</v>
      </c>
      <c r="AI1060" s="95" t="s">
        <v>7</v>
      </c>
      <c r="AJ1060" s="96" t="s">
        <v>7</v>
      </c>
      <c r="AK1060" s="97" t="s">
        <v>7</v>
      </c>
      <c r="AL1060" s="95" t="s">
        <v>7</v>
      </c>
      <c r="AM1060" s="90"/>
      <c r="AN1060" s="90"/>
      <c r="AO1060" s="90"/>
      <c r="AP1060" s="90"/>
      <c r="AQ1060" s="90"/>
      <c r="AR1060" s="90"/>
      <c r="AS1060" s="90"/>
      <c r="AT1060" s="90"/>
      <c r="AU1060" s="90"/>
      <c r="AV1060" s="91"/>
      <c r="AX1060" s="92"/>
    </row>
    <row r="1061" customFormat="false" ht="15.65" hidden="false" customHeight="false" outlineLevel="0" collapsed="false">
      <c r="C1061" s="72" t="n">
        <f aca="false">COUNTIFS($D$6:D1061,"&lt;&gt;"&amp;"")</f>
        <v>1056</v>
      </c>
      <c r="D1061" s="73" t="s">
        <v>12</v>
      </c>
      <c r="E1061" s="76" t="str">
        <f aca="false">
IF($D1061="정상",INDEX(임대자산!$D$3:$R$3000,MATCH($F1061,임대자산!$I$3:$I$3000,0),MATCH(E$3,임대자산!$D$3:$R$3,0)),
IF($D1061="폐업",INDEX(폐업정보!$D$3:$R$3000,MATCH($F1061,폐업정보!$I$3:$I$3000,0),MATCH(E$3,폐업정보!$D$3:$R$3,0)),
"Error"))</f>
        <v>강원</v>
      </c>
      <c r="F106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B1056</v>
      </c>
      <c r="G1061" s="76" t="str">
        <f aca="false">F1061&amp;RANDBETWEEN(0,10)</f>
        <v>B10566</v>
      </c>
      <c r="H1061" s="75" t="n">
        <f aca="false">
IF($D1061="정상",INDEX(임대자산!$D$3:$R$3000,MATCH($F1061,임대자산!$I$3:$I$3000,0),MATCH(H$4,임대자산!$D$3:$R$3,0)),
IF($D1061="폐업",INDEX(폐업정보!$D$3:$R$3000,MATCH($F1061,폐업정보!$I$3:$I$3000,0),MATCH(H$4,폐업정보!$D$3:$R$3,0)),
"Error"))</f>
        <v>45672</v>
      </c>
      <c r="I1061" s="75" t="str">
        <f aca="false">
IF($D1061="정상",INDEX(임대자산!$D$3:$R$3000,MATCH($F1061,임대자산!$I$3:$I$3000,0),MATCH(I$4,임대자산!$D$3:$R$3,0)),
IF($D1061="폐업",INDEX(폐업정보!$D$3:$R$3000,MATCH($F1061,폐업정보!$I$3:$I$3000,0),MATCH(I$4,폐업정보!$D$3:$R$3,0)),
"Error"))</f>
        <v>A1056</v>
      </c>
      <c r="J1061" s="75" t="str">
        <f aca="false">
IF($D1061="정상",INDEX(임대자산!$D$3:$R$3000,MATCH($F1061,임대자산!$I$3:$I$3000,0),MATCH(J$4,임대자산!$D$3:$R$3,0)),
IF($D1061="폐업",INDEX(폐업정보!$D$3:$R$3000,MATCH($F1061,폐업정보!$I$3:$I$3000,0),MATCH(J$4,폐업정보!$D$3:$R$3,0)),
"Error"))</f>
        <v>6321600000</v>
      </c>
      <c r="K1061" s="75" t="str">
        <f aca="false">
IF($D1061="정상",INDEX(임대자산!$D$3:$R$3000,MATCH($F1061,임대자산!$I$3:$I$3000,0),MATCH(K$4,임대자산!$D$3:$R$3,0)),
IF($D1061="폐업",INDEX(폐업정보!$D$3:$R$3000,MATCH($F1061,폐업정보!$I$3:$I$3000,0),MATCH(K$4,폐업정보!$D$3:$R$3,0)),
"Error"))</f>
        <v>C1056</v>
      </c>
      <c r="L1061" s="75" t="str">
        <f aca="false">
IF($D1061="정상",INDEX(임대자산!$D$3:$R$3000,MATCH($F1061,임대자산!$I$3:$I$3000,0),MATCH(L$4,임대자산!$D$3:$R$3,0)),
IF($D1061="폐업",INDEX(폐업정보!$D$3:$R$3000,MATCH($F1061,폐업정보!$I$3:$I$3000,0),MATCH(L$4,폐업정보!$D$3:$R$3,0)),
"Error"))</f>
        <v>D1056</v>
      </c>
      <c r="M1061" s="76" t="s">
        <v>96</v>
      </c>
      <c r="N1061" s="77"/>
      <c r="O1061" s="78" t="s">
        <v>97</v>
      </c>
      <c r="P1061" s="79" t="n">
        <f aca="false">COUNTIFS(임대자산!$I:$I,가맹점정보!F1061,임대자산!$N:$N,가맹점정보!P$4)</f>
        <v>0</v>
      </c>
      <c r="Q1061" s="80" t="n">
        <f aca="false">COUNTIFS(임대자산!$I:$I,가맹점정보!F1061,임대자산!$N:$N,가맹점정보!Q$4)</f>
        <v>0</v>
      </c>
      <c r="R1061" s="81" t="n">
        <f aca="false">COUNTIFS(임대자산!$I:$I,가맹점정보!F1061,임대자산!$N:$N,가맹점정보!R$4)</f>
        <v>1</v>
      </c>
      <c r="S1061" s="82" t="n">
        <v>55000</v>
      </c>
      <c r="T1061" s="83" t="n">
        <v>0</v>
      </c>
      <c r="U1061" s="80" t="n">
        <f aca="false">SUM(S1061:T1061)</f>
        <v>55000</v>
      </c>
      <c r="V1061" s="84" t="s">
        <v>12</v>
      </c>
      <c r="W1061" s="80" t="e">
        <f aca="true">
IF(D1061="폐업","폐업",
IF(V1061="면제","면제",
IF(AND(V1061="정상",COUNTIFS(OFFSET(Y1061,0,COUNTA(Y1061:AV1061)-1,1,-4),"미납")&gt;=3),"장기미납",
IF(AND(V1061="정상",OFFSET(Y1061,0,COUNTA(Y1061:AV1061)-1)&gt;=U1061),"정상",
IF(AND(V1061="정상",OFFSET(Y1061,0,COUNTA(Y1061:AV1061)-1)=0),"정상",
"계약서 미작성")))))</f>
        <v>#VALUE!</v>
      </c>
      <c r="X1061" s="81" t="str">
        <f aca="true">
IF(D1061="폐업","폐업",
IF(AND(V1061="정상",OFFSET(Y1061,0,COUNTA(Y1061:AV1061)-1)="미납"),"미납",
IF(AND(V1061="정상",OFFSET(Y1061,0,COUNTA(Y1061:AV1061)-1)=0),"납부 시작 전",
IF(AND(V1061="정상",OFFSET(Y1061,0,COUNTA(Y1061:AV1061)-1)&gt;=U1061),"정상",
IF(AND(V1061="면제",OFFSET(Y1061,0,COUNTA(Y1061:AV1061)-1)="면제"),"면제",
IF(AND(V1061="면제",OFFSET(Y1061,0,COUNTA(Y1061:AV1061)-1)=0),"면제",
"확인요청"))))))</f>
        <v>정상</v>
      </c>
      <c r="Y1061" s="93" t="n">
        <v>55000</v>
      </c>
      <c r="Z1061" s="90" t="n">
        <v>55000</v>
      </c>
      <c r="AA1061" s="90" t="n">
        <v>55000</v>
      </c>
      <c r="AB1061" s="90" t="n">
        <v>55000</v>
      </c>
      <c r="AC1061" s="90" t="n">
        <v>55000</v>
      </c>
      <c r="AD1061" s="90" t="n">
        <v>55000</v>
      </c>
      <c r="AE1061" s="90" t="n">
        <v>55000</v>
      </c>
      <c r="AF1061" s="90" t="n">
        <v>55000</v>
      </c>
      <c r="AG1061" s="90" t="n">
        <v>55000</v>
      </c>
      <c r="AH1061" s="90" t="n">
        <v>55000</v>
      </c>
      <c r="AI1061" s="90" t="n">
        <v>55000</v>
      </c>
      <c r="AJ1061" s="91" t="n">
        <v>55000</v>
      </c>
      <c r="AK1061" s="89" t="n">
        <v>55000</v>
      </c>
      <c r="AL1061" s="90" t="n">
        <v>55000</v>
      </c>
      <c r="AM1061" s="90"/>
      <c r="AN1061" s="90"/>
      <c r="AO1061" s="90"/>
      <c r="AP1061" s="90"/>
      <c r="AQ1061" s="90"/>
      <c r="AR1061" s="90"/>
      <c r="AS1061" s="90"/>
      <c r="AT1061" s="90"/>
      <c r="AU1061" s="90"/>
      <c r="AV1061" s="91"/>
      <c r="AX1061" s="92"/>
    </row>
    <row r="1062" customFormat="false" ht="15.65" hidden="false" customHeight="false" outlineLevel="0" collapsed="false">
      <c r="C1062" s="72" t="n">
        <f aca="false">COUNTIFS($D$6:D1062,"&lt;&gt;"&amp;"")</f>
        <v>1057</v>
      </c>
      <c r="D1062" s="73" t="s">
        <v>12</v>
      </c>
      <c r="E1062" s="76" t="str">
        <f aca="false">
IF($D1062="정상",INDEX(임대자산!$D$3:$R$3000,MATCH($F1062,임대자산!$I$3:$I$3000,0),MATCH(E$3,임대자산!$D$3:$R$3,0)),
IF($D1062="폐업",INDEX(폐업정보!$D$3:$R$3000,MATCH($F1062,폐업정보!$I$3:$I$3000,0),MATCH(E$3,폐업정보!$D$3:$R$3,0)),
"Error"))</f>
        <v>강원</v>
      </c>
      <c r="F106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B1057</v>
      </c>
      <c r="G1062" s="76" t="str">
        <f aca="false">F1062&amp;RANDBETWEEN(0,10)</f>
        <v>B10570</v>
      </c>
      <c r="H1062" s="75" t="n">
        <f aca="false">
IF($D1062="정상",INDEX(임대자산!$D$3:$R$3000,MATCH($F1062,임대자산!$I$3:$I$3000,0),MATCH(H$4,임대자산!$D$3:$R$3,0)),
IF($D1062="폐업",INDEX(폐업정보!$D$3:$R$3000,MATCH($F1062,폐업정보!$I$3:$I$3000,0),MATCH(H$4,폐업정보!$D$3:$R$3,0)),
"Error"))</f>
        <v>45636</v>
      </c>
      <c r="I1062" s="75" t="str">
        <f aca="false">
IF($D1062="정상",INDEX(임대자산!$D$3:$R$3000,MATCH($F1062,임대자산!$I$3:$I$3000,0),MATCH(I$4,임대자산!$D$3:$R$3,0)),
IF($D1062="폐업",INDEX(폐업정보!$D$3:$R$3000,MATCH($F1062,폐업정보!$I$3:$I$3000,0),MATCH(I$4,폐업정보!$D$3:$R$3,0)),
"Error"))</f>
        <v>A1057</v>
      </c>
      <c r="J1062" s="75" t="str">
        <f aca="false">
IF($D1062="정상",INDEX(임대자산!$D$3:$R$3000,MATCH($F1062,임대자산!$I$3:$I$3000,0),MATCH(J$4,임대자산!$D$3:$R$3,0)),
IF($D1062="폐업",INDEX(폐업정보!$D$3:$R$3000,MATCH($F1062,폐업정보!$I$3:$I$3000,0),MATCH(J$4,폐업정보!$D$3:$R$3,0)),
"Error"))</f>
        <v>5647200000</v>
      </c>
      <c r="K1062" s="75" t="str">
        <f aca="false">
IF($D1062="정상",INDEX(임대자산!$D$3:$R$3000,MATCH($F1062,임대자산!$I$3:$I$3000,0),MATCH(K$4,임대자산!$D$3:$R$3,0)),
IF($D1062="폐업",INDEX(폐업정보!$D$3:$R$3000,MATCH($F1062,폐업정보!$I$3:$I$3000,0),MATCH(K$4,폐업정보!$D$3:$R$3,0)),
"Error"))</f>
        <v>C1057</v>
      </c>
      <c r="L1062" s="75" t="str">
        <f aca="false">
IF($D1062="정상",INDEX(임대자산!$D$3:$R$3000,MATCH($F1062,임대자산!$I$3:$I$3000,0),MATCH(L$4,임대자산!$D$3:$R$3,0)),
IF($D1062="폐업",INDEX(폐업정보!$D$3:$R$3000,MATCH($F1062,폐업정보!$I$3:$I$3000,0),MATCH(L$4,폐업정보!$D$3:$R$3,0)),
"Error"))</f>
        <v>D1057</v>
      </c>
      <c r="M1062" s="76" t="s">
        <v>96</v>
      </c>
      <c r="N1062" s="77"/>
      <c r="O1062" s="78" t="s">
        <v>97</v>
      </c>
      <c r="P1062" s="79" t="n">
        <f aca="false">COUNTIFS(임대자산!$I:$I,가맹점정보!F1062,임대자산!$N:$N,가맹점정보!P$4)</f>
        <v>0</v>
      </c>
      <c r="Q1062" s="80" t="n">
        <f aca="false">COUNTIFS(임대자산!$I:$I,가맹점정보!F1062,임대자산!$N:$N,가맹점정보!Q$4)</f>
        <v>0</v>
      </c>
      <c r="R1062" s="81" t="n">
        <f aca="false">COUNTIFS(임대자산!$I:$I,가맹점정보!F1062,임대자산!$N:$N,가맹점정보!R$4)</f>
        <v>1</v>
      </c>
      <c r="S1062" s="82" t="n">
        <v>88000</v>
      </c>
      <c r="T1062" s="83" t="n">
        <v>0</v>
      </c>
      <c r="U1062" s="80" t="n">
        <f aca="false">SUM(S1062:T1062)</f>
        <v>88000</v>
      </c>
      <c r="V1062" s="84" t="s">
        <v>7</v>
      </c>
      <c r="W1062" s="80" t="str">
        <f aca="true">
IF(D1062="폐업","폐업",
IF(V1062="면제","면제",
IF(AND(V1062="정상",COUNTIFS(OFFSET(Y1062,0,COUNTA(Y1062:AV1062)-1,1,-4),"미납")&gt;=3),"장기미납",
IF(AND(V1062="정상",OFFSET(Y1062,0,COUNTA(Y1062:AV1062)-1)&gt;=U1062),"정상",
IF(AND(V1062="정상",OFFSET(Y1062,0,COUNTA(Y1062:AV1062)-1)=0),"정상",
"계약서 미작성")))))</f>
        <v>면제</v>
      </c>
      <c r="X1062" s="81" t="str">
        <f aca="true">
IF(D1062="폐업","폐업",
IF(AND(V1062="정상",OFFSET(Y1062,0,COUNTA(Y1062:AV1062)-1)="미납"),"미납",
IF(AND(V1062="정상",OFFSET(Y1062,0,COUNTA(Y1062:AV1062)-1)=0),"납부 시작 전",
IF(AND(V1062="정상",OFFSET(Y1062,0,COUNTA(Y1062:AV1062)-1)&gt;=U1062),"정상",
IF(AND(V1062="면제",OFFSET(Y1062,0,COUNTA(Y1062:AV1062)-1)="면제"),"면제",
IF(AND(V1062="면제",OFFSET(Y1062,0,COUNTA(Y1062:AV1062)-1)=0),"면제",
"확인요청"))))))</f>
        <v>면제</v>
      </c>
      <c r="Y1062" s="94" t="s">
        <v>7</v>
      </c>
      <c r="Z1062" s="95" t="s">
        <v>7</v>
      </c>
      <c r="AA1062" s="95" t="s">
        <v>7</v>
      </c>
      <c r="AB1062" s="95" t="s">
        <v>7</v>
      </c>
      <c r="AC1062" s="95" t="s">
        <v>7</v>
      </c>
      <c r="AD1062" s="95" t="s">
        <v>7</v>
      </c>
      <c r="AE1062" s="95" t="s">
        <v>7</v>
      </c>
      <c r="AF1062" s="95" t="s">
        <v>7</v>
      </c>
      <c r="AG1062" s="95" t="s">
        <v>7</v>
      </c>
      <c r="AH1062" s="95" t="s">
        <v>7</v>
      </c>
      <c r="AI1062" s="95" t="s">
        <v>7</v>
      </c>
      <c r="AJ1062" s="96" t="s">
        <v>7</v>
      </c>
      <c r="AK1062" s="97" t="s">
        <v>7</v>
      </c>
      <c r="AL1062" s="95" t="s">
        <v>7</v>
      </c>
      <c r="AM1062" s="90"/>
      <c r="AN1062" s="90"/>
      <c r="AO1062" s="90"/>
      <c r="AP1062" s="90"/>
      <c r="AQ1062" s="90"/>
      <c r="AR1062" s="90"/>
      <c r="AS1062" s="90"/>
      <c r="AT1062" s="90"/>
      <c r="AU1062" s="90"/>
      <c r="AV1062" s="91"/>
      <c r="AX1062" s="92"/>
    </row>
    <row r="1063" customFormat="false" ht="15.65" hidden="false" customHeight="false" outlineLevel="0" collapsed="false">
      <c r="C1063" s="72" t="n">
        <f aca="false">COUNTIFS($D$6:D1063,"&lt;&gt;"&amp;"")</f>
        <v>1058</v>
      </c>
      <c r="D1063" s="73" t="s">
        <v>12</v>
      </c>
      <c r="E1063" s="76" t="str">
        <f aca="false">
IF($D1063="정상",INDEX(임대자산!$D$3:$R$3000,MATCH($F1063,임대자산!$I$3:$I$3000,0),MATCH(E$3,임대자산!$D$3:$R$3,0)),
IF($D1063="폐업",INDEX(폐업정보!$D$3:$R$3000,MATCH($F1063,폐업정보!$I$3:$I$3000,0),MATCH(E$3,폐업정보!$D$3:$R$3,0)),
"Error"))</f>
        <v>서울</v>
      </c>
      <c r="F106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B1058</v>
      </c>
      <c r="G1063" s="76" t="str">
        <f aca="false">F1063&amp;RANDBETWEEN(0,10)</f>
        <v>B10583</v>
      </c>
      <c r="H1063" s="75" t="n">
        <f aca="false">
IF($D1063="정상",INDEX(임대자산!$D$3:$R$3000,MATCH($F1063,임대자산!$I$3:$I$3000,0),MATCH(H$4,임대자산!$D$3:$R$3,0)),
IF($D1063="폐업",INDEX(폐업정보!$D$3:$R$3000,MATCH($F1063,폐업정보!$I$3:$I$3000,0),MATCH(H$4,폐업정보!$D$3:$R$3,0)),
"Error"))</f>
        <v>45343</v>
      </c>
      <c r="I1063" s="75" t="str">
        <f aca="false">
IF($D1063="정상",INDEX(임대자산!$D$3:$R$3000,MATCH($F1063,임대자산!$I$3:$I$3000,0),MATCH(I$4,임대자산!$D$3:$R$3,0)),
IF($D1063="폐업",INDEX(폐업정보!$D$3:$R$3000,MATCH($F1063,폐업정보!$I$3:$I$3000,0),MATCH(I$4,폐업정보!$D$3:$R$3,0)),
"Error"))</f>
        <v>A1058</v>
      </c>
      <c r="J1063" s="75" t="str">
        <f aca="false">
IF($D1063="정상",INDEX(임대자산!$D$3:$R$3000,MATCH($F1063,임대자산!$I$3:$I$3000,0),MATCH(J$4,임대자산!$D$3:$R$3,0)),
IF($D1063="폐업",INDEX(폐업정보!$D$3:$R$3000,MATCH($F1063,폐업정보!$I$3:$I$3000,0),MATCH(J$4,폐업정보!$D$3:$R$3,0)),
"Error"))</f>
        <v>4879800000</v>
      </c>
      <c r="K1063" s="75" t="str">
        <f aca="false">
IF($D1063="정상",INDEX(임대자산!$D$3:$R$3000,MATCH($F1063,임대자산!$I$3:$I$3000,0),MATCH(K$4,임대자산!$D$3:$R$3,0)),
IF($D1063="폐업",INDEX(폐업정보!$D$3:$R$3000,MATCH($F1063,폐업정보!$I$3:$I$3000,0),MATCH(K$4,폐업정보!$D$3:$R$3,0)),
"Error"))</f>
        <v>C1058</v>
      </c>
      <c r="L1063" s="75" t="str">
        <f aca="false">
IF($D1063="정상",INDEX(임대자산!$D$3:$R$3000,MATCH($F1063,임대자산!$I$3:$I$3000,0),MATCH(L$4,임대자산!$D$3:$R$3,0)),
IF($D1063="폐업",INDEX(폐업정보!$D$3:$R$3000,MATCH($F1063,폐업정보!$I$3:$I$3000,0),MATCH(L$4,폐업정보!$D$3:$R$3,0)),
"Error"))</f>
        <v>D1058</v>
      </c>
      <c r="M1063" s="76" t="s">
        <v>96</v>
      </c>
      <c r="N1063" s="77"/>
      <c r="O1063" s="78" t="s">
        <v>97</v>
      </c>
      <c r="P1063" s="79" t="n">
        <f aca="false">COUNTIFS(임대자산!$I:$I,가맹점정보!F1063,임대자산!$N:$N,가맹점정보!P$4)</f>
        <v>0</v>
      </c>
      <c r="Q1063" s="80" t="n">
        <f aca="false">COUNTIFS(임대자산!$I:$I,가맹점정보!F1063,임대자산!$N:$N,가맹점정보!Q$4)</f>
        <v>0</v>
      </c>
      <c r="R1063" s="81" t="n">
        <f aca="false">COUNTIFS(임대자산!$I:$I,가맹점정보!F1063,임대자산!$N:$N,가맹점정보!R$4)</f>
        <v>1</v>
      </c>
      <c r="S1063" s="82" t="n">
        <v>55000</v>
      </c>
      <c r="T1063" s="83" t="n">
        <v>0</v>
      </c>
      <c r="U1063" s="80" t="n">
        <f aca="false">SUM(S1063:T1063)</f>
        <v>55000</v>
      </c>
      <c r="V1063" s="84" t="s">
        <v>12</v>
      </c>
      <c r="W1063" s="80" t="e">
        <f aca="true">
IF(D1063="폐업","폐업",
IF(V1063="면제","면제",
IF(AND(V1063="정상",COUNTIFS(OFFSET(Y1063,0,COUNTA(Y1063:AV1063)-1,1,-4),"미납")&gt;=3),"장기미납",
IF(AND(V1063="정상",OFFSET(Y1063,0,COUNTA(Y1063:AV1063)-1)&gt;=U1063),"정상",
IF(AND(V1063="정상",OFFSET(Y1063,0,COUNTA(Y1063:AV1063)-1)=0),"정상",
"계약서 미작성")))))</f>
        <v>#VALUE!</v>
      </c>
      <c r="X1063" s="81" t="str">
        <f aca="true">
IF(D1063="폐업","폐업",
IF(AND(V1063="정상",OFFSET(Y1063,0,COUNTA(Y1063:AV1063)-1)="미납"),"미납",
IF(AND(V1063="정상",OFFSET(Y1063,0,COUNTA(Y1063:AV1063)-1)=0),"납부 시작 전",
IF(AND(V1063="정상",OFFSET(Y1063,0,COUNTA(Y1063:AV1063)-1)&gt;=U1063),"정상",
IF(AND(V1063="면제",OFFSET(Y1063,0,COUNTA(Y1063:AV1063)-1)="면제"),"면제",
IF(AND(V1063="면제",OFFSET(Y1063,0,COUNTA(Y1063:AV1063)-1)=0),"면제",
"확인요청"))))))</f>
        <v>미납</v>
      </c>
      <c r="Y1063" s="93" t="n">
        <v>55000</v>
      </c>
      <c r="Z1063" s="90" t="n">
        <v>55000</v>
      </c>
      <c r="AA1063" s="90" t="n">
        <v>55000</v>
      </c>
      <c r="AB1063" s="90" t="n">
        <v>55000</v>
      </c>
      <c r="AC1063" s="90" t="n">
        <v>55000</v>
      </c>
      <c r="AD1063" s="95" t="s">
        <v>7</v>
      </c>
      <c r="AE1063" s="95" t="s">
        <v>7</v>
      </c>
      <c r="AF1063" s="90" t="n">
        <v>55000</v>
      </c>
      <c r="AG1063" s="95" t="s">
        <v>62</v>
      </c>
      <c r="AH1063" s="90" t="n">
        <v>55000</v>
      </c>
      <c r="AI1063" s="95" t="s">
        <v>62</v>
      </c>
      <c r="AJ1063" s="96" t="s">
        <v>62</v>
      </c>
      <c r="AK1063" s="97" t="s">
        <v>62</v>
      </c>
      <c r="AL1063" s="95" t="s">
        <v>62</v>
      </c>
      <c r="AM1063" s="90"/>
      <c r="AN1063" s="90"/>
      <c r="AO1063" s="90"/>
      <c r="AP1063" s="90"/>
      <c r="AQ1063" s="90"/>
      <c r="AR1063" s="90"/>
      <c r="AS1063" s="90"/>
      <c r="AT1063" s="90"/>
      <c r="AU1063" s="90"/>
      <c r="AV1063" s="91"/>
      <c r="AX1063" s="92"/>
    </row>
    <row r="1064" customFormat="false" ht="15.65" hidden="false" customHeight="false" outlineLevel="0" collapsed="false">
      <c r="C1064" s="72" t="n">
        <f aca="false">COUNTIFS($D$6:D1064,"&lt;&gt;"&amp;"")</f>
        <v>1059</v>
      </c>
      <c r="D1064" s="73" t="s">
        <v>12</v>
      </c>
      <c r="E1064" s="76" t="str">
        <f aca="false">
IF($D1064="정상",INDEX(임대자산!$D$3:$R$3000,MATCH($F1064,임대자산!$I$3:$I$3000,0),MATCH(E$3,임대자산!$D$3:$R$3,0)),
IF($D1064="폐업",INDEX(폐업정보!$D$3:$R$3000,MATCH($F1064,폐업정보!$I$3:$I$3000,0),MATCH(E$3,폐업정보!$D$3:$R$3,0)),
"Error"))</f>
        <v>서울</v>
      </c>
      <c r="F106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B1059</v>
      </c>
      <c r="G1064" s="76" t="str">
        <f aca="false">F1064&amp;RANDBETWEEN(0,10)</f>
        <v>B10596</v>
      </c>
      <c r="H1064" s="75" t="n">
        <f aca="false">
IF($D1064="정상",INDEX(임대자산!$D$3:$R$3000,MATCH($F1064,임대자산!$I$3:$I$3000,0),MATCH(H$4,임대자산!$D$3:$R$3,0)),
IF($D1064="폐업",INDEX(폐업정보!$D$3:$R$3000,MATCH($F1064,폐업정보!$I$3:$I$3000,0),MATCH(H$4,폐업정보!$D$3:$R$3,0)),
"Error"))</f>
        <v>44720</v>
      </c>
      <c r="I1064" s="75" t="str">
        <f aca="false">
IF($D1064="정상",INDEX(임대자산!$D$3:$R$3000,MATCH($F1064,임대자산!$I$3:$I$3000,0),MATCH(I$4,임대자산!$D$3:$R$3,0)),
IF($D1064="폐업",INDEX(폐업정보!$D$3:$R$3000,MATCH($F1064,폐업정보!$I$3:$I$3000,0),MATCH(I$4,폐업정보!$D$3:$R$3,0)),
"Error"))</f>
        <v>A1059</v>
      </c>
      <c r="J1064" s="75" t="str">
        <f aca="false">
IF($D1064="정상",INDEX(임대자산!$D$3:$R$3000,MATCH($F1064,임대자산!$I$3:$I$3000,0),MATCH(J$4,임대자산!$D$3:$R$3,0)),
IF($D1064="폐업",INDEX(폐업정보!$D$3:$R$3000,MATCH($F1064,폐업정보!$I$3:$I$3000,0),MATCH(J$4,폐업정보!$D$3:$R$3,0)),
"Error"))</f>
        <v>4207100000</v>
      </c>
      <c r="K1064" s="75" t="str">
        <f aca="false">
IF($D1064="정상",INDEX(임대자산!$D$3:$R$3000,MATCH($F1064,임대자산!$I$3:$I$3000,0),MATCH(K$4,임대자산!$D$3:$R$3,0)),
IF($D1064="폐업",INDEX(폐업정보!$D$3:$R$3000,MATCH($F1064,폐업정보!$I$3:$I$3000,0),MATCH(K$4,폐업정보!$D$3:$R$3,0)),
"Error"))</f>
        <v>C1059</v>
      </c>
      <c r="L1064" s="75" t="str">
        <f aca="false">
IF($D1064="정상",INDEX(임대자산!$D$3:$R$3000,MATCH($F1064,임대자산!$I$3:$I$3000,0),MATCH(L$4,임대자산!$D$3:$R$3,0)),
IF($D1064="폐업",INDEX(폐업정보!$D$3:$R$3000,MATCH($F1064,폐업정보!$I$3:$I$3000,0),MATCH(L$4,폐업정보!$D$3:$R$3,0)),
"Error"))</f>
        <v>D1059</v>
      </c>
      <c r="M1064" s="76" t="s">
        <v>96</v>
      </c>
      <c r="N1064" s="77"/>
      <c r="O1064" s="78" t="s">
        <v>97</v>
      </c>
      <c r="P1064" s="79" t="n">
        <f aca="false">COUNTIFS(임대자산!$I:$I,가맹점정보!F1064,임대자산!$N:$N,가맹점정보!P$4)</f>
        <v>0</v>
      </c>
      <c r="Q1064" s="80" t="n">
        <f aca="false">COUNTIFS(임대자산!$I:$I,가맹점정보!F1064,임대자산!$N:$N,가맹점정보!Q$4)</f>
        <v>0</v>
      </c>
      <c r="R1064" s="81" t="n">
        <f aca="false">COUNTIFS(임대자산!$I:$I,가맹점정보!F1064,임대자산!$N:$N,가맹점정보!R$4)</f>
        <v>1</v>
      </c>
      <c r="S1064" s="82" t="n">
        <v>44000</v>
      </c>
      <c r="T1064" s="83" t="n">
        <v>44000</v>
      </c>
      <c r="U1064" s="80" t="n">
        <f aca="false">SUM(S1064:T1064)</f>
        <v>88000</v>
      </c>
      <c r="V1064" s="84" t="s">
        <v>12</v>
      </c>
      <c r="W1064" s="80" t="e">
        <f aca="true">
IF(D1064="폐업","폐업",
IF(V1064="면제","면제",
IF(AND(V1064="정상",COUNTIFS(OFFSET(Y1064,0,COUNTA(Y1064:AV1064)-1,1,-4),"미납")&gt;=3),"장기미납",
IF(AND(V1064="정상",OFFSET(Y1064,0,COUNTA(Y1064:AV1064)-1)&gt;=U1064),"정상",
IF(AND(V1064="정상",OFFSET(Y1064,0,COUNTA(Y1064:AV1064)-1)=0),"정상",
"계약서 미작성")))))</f>
        <v>#VALUE!</v>
      </c>
      <c r="X1064" s="81" t="str">
        <f aca="true">
IF(D1064="폐업","폐업",
IF(AND(V1064="정상",OFFSET(Y1064,0,COUNTA(Y1064:AV1064)-1)="미납"),"미납",
IF(AND(V1064="정상",OFFSET(Y1064,0,COUNTA(Y1064:AV1064)-1)=0),"납부 시작 전",
IF(AND(V1064="정상",OFFSET(Y1064,0,COUNTA(Y1064:AV1064)-1)&gt;=U1064),"정상",
IF(AND(V1064="면제",OFFSET(Y1064,0,COUNTA(Y1064:AV1064)-1)="면제"),"면제",
IF(AND(V1064="면제",OFFSET(Y1064,0,COUNTA(Y1064:AV1064)-1)=0),"면제",
"확인요청"))))))</f>
        <v>정상</v>
      </c>
      <c r="Y1064" s="93" t="n">
        <v>88000</v>
      </c>
      <c r="Z1064" s="90" t="n">
        <v>88000</v>
      </c>
      <c r="AA1064" s="90" t="n">
        <v>88000</v>
      </c>
      <c r="AB1064" s="90" t="n">
        <v>88000</v>
      </c>
      <c r="AC1064" s="90" t="n">
        <v>88000</v>
      </c>
      <c r="AD1064" s="90" t="n">
        <v>88000</v>
      </c>
      <c r="AE1064" s="90" t="n">
        <v>88000</v>
      </c>
      <c r="AF1064" s="90" t="n">
        <v>88000</v>
      </c>
      <c r="AG1064" s="90" t="n">
        <v>88000</v>
      </c>
      <c r="AH1064" s="90" t="n">
        <v>88000</v>
      </c>
      <c r="AI1064" s="90" t="n">
        <v>88000</v>
      </c>
      <c r="AJ1064" s="91" t="n">
        <v>88000</v>
      </c>
      <c r="AK1064" s="89" t="n">
        <v>88000</v>
      </c>
      <c r="AL1064" s="90" t="n">
        <v>88000</v>
      </c>
      <c r="AM1064" s="90"/>
      <c r="AN1064" s="90"/>
      <c r="AO1064" s="90"/>
      <c r="AP1064" s="90"/>
      <c r="AQ1064" s="90"/>
      <c r="AR1064" s="90"/>
      <c r="AS1064" s="90"/>
      <c r="AT1064" s="90"/>
      <c r="AU1064" s="90"/>
      <c r="AV1064" s="91"/>
      <c r="AX1064" s="92"/>
    </row>
    <row r="1065" customFormat="false" ht="15.65" hidden="false" customHeight="false" outlineLevel="0" collapsed="false">
      <c r="C1065" s="72" t="n">
        <f aca="false">COUNTIFS($D$6:D1065,"&lt;&gt;"&amp;"")</f>
        <v>1060</v>
      </c>
      <c r="D1065" s="73" t="s">
        <v>12</v>
      </c>
      <c r="E1065" s="76" t="str">
        <f aca="false">
IF($D1065="정상",INDEX(임대자산!$D$3:$R$3000,MATCH($F1065,임대자산!$I$3:$I$3000,0),MATCH(E$3,임대자산!$D$3:$R$3,0)),
IF($D1065="폐업",INDEX(폐업정보!$D$3:$R$3000,MATCH($F1065,폐업정보!$I$3:$I$3000,0),MATCH(E$3,폐업정보!$D$3:$R$3,0)),
"Error"))</f>
        <v>서울</v>
      </c>
      <c r="F106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B1060</v>
      </c>
      <c r="G1065" s="76" t="str">
        <f aca="false">F1065&amp;RANDBETWEEN(0,10)</f>
        <v>B106010</v>
      </c>
      <c r="H1065" s="75" t="n">
        <f aca="false">
IF($D1065="정상",INDEX(임대자산!$D$3:$R$3000,MATCH($F1065,임대자산!$I$3:$I$3000,0),MATCH(H$4,임대자산!$D$3:$R$3,0)),
IF($D1065="폐업",INDEX(폐업정보!$D$3:$R$3000,MATCH($F1065,폐업정보!$I$3:$I$3000,0),MATCH(H$4,폐업정보!$D$3:$R$3,0)),
"Error"))</f>
        <v>44720</v>
      </c>
      <c r="I1065" s="75" t="str">
        <f aca="false">
IF($D1065="정상",INDEX(임대자산!$D$3:$R$3000,MATCH($F1065,임대자산!$I$3:$I$3000,0),MATCH(I$4,임대자산!$D$3:$R$3,0)),
IF($D1065="폐업",INDEX(폐업정보!$D$3:$R$3000,MATCH($F1065,폐업정보!$I$3:$I$3000,0),MATCH(I$4,폐업정보!$D$3:$R$3,0)),
"Error"))</f>
        <v>A1060</v>
      </c>
      <c r="J1065" s="75" t="str">
        <f aca="false">
IF($D1065="정상",INDEX(임대자산!$D$3:$R$3000,MATCH($F1065,임대자산!$I$3:$I$3000,0),MATCH(J$4,임대자산!$D$3:$R$3,0)),
IF($D1065="폐업",INDEX(폐업정보!$D$3:$R$3000,MATCH($F1065,폐업정보!$I$3:$I$3000,0),MATCH(J$4,폐업정보!$D$3:$R$3,0)),
"Error"))</f>
        <v>4434500000</v>
      </c>
      <c r="K1065" s="75" t="str">
        <f aca="false">
IF($D1065="정상",INDEX(임대자산!$D$3:$R$3000,MATCH($F1065,임대자산!$I$3:$I$3000,0),MATCH(K$4,임대자산!$D$3:$R$3,0)),
IF($D1065="폐업",INDEX(폐업정보!$D$3:$R$3000,MATCH($F1065,폐업정보!$I$3:$I$3000,0),MATCH(K$4,폐업정보!$D$3:$R$3,0)),
"Error"))</f>
        <v>C1060</v>
      </c>
      <c r="L1065" s="75" t="str">
        <f aca="false">
IF($D1065="정상",INDEX(임대자산!$D$3:$R$3000,MATCH($F1065,임대자산!$I$3:$I$3000,0),MATCH(L$4,임대자산!$D$3:$R$3,0)),
IF($D1065="폐업",INDEX(폐업정보!$D$3:$R$3000,MATCH($F1065,폐업정보!$I$3:$I$3000,0),MATCH(L$4,폐업정보!$D$3:$R$3,0)),
"Error"))</f>
        <v>D1060</v>
      </c>
      <c r="M1065" s="76" t="s">
        <v>96</v>
      </c>
      <c r="N1065" s="77"/>
      <c r="O1065" s="78" t="s">
        <v>97</v>
      </c>
      <c r="P1065" s="79" t="n">
        <f aca="false">COUNTIFS(임대자산!$I:$I,가맹점정보!F1065,임대자산!$N:$N,가맹점정보!P$4)</f>
        <v>0</v>
      </c>
      <c r="Q1065" s="80" t="n">
        <f aca="false">COUNTIFS(임대자산!$I:$I,가맹점정보!F1065,임대자산!$N:$N,가맹점정보!Q$4)</f>
        <v>0</v>
      </c>
      <c r="R1065" s="81" t="n">
        <f aca="false">COUNTIFS(임대자산!$I:$I,가맹점정보!F1065,임대자산!$N:$N,가맹점정보!R$4)</f>
        <v>1</v>
      </c>
      <c r="S1065" s="82" t="n">
        <v>55000</v>
      </c>
      <c r="T1065" s="83" t="n">
        <v>0</v>
      </c>
      <c r="U1065" s="80" t="n">
        <f aca="false">SUM(S1065:T1065)</f>
        <v>55000</v>
      </c>
      <c r="V1065" s="84" t="s">
        <v>7</v>
      </c>
      <c r="W1065" s="80" t="str">
        <f aca="true">
IF(D1065="폐업","폐업",
IF(V1065="면제","면제",
IF(AND(V1065="정상",COUNTIFS(OFFSET(Y1065,0,COUNTA(Y1065:AV1065)-1,1,-4),"미납")&gt;=3),"장기미납",
IF(AND(V1065="정상",OFFSET(Y1065,0,COUNTA(Y1065:AV1065)-1)&gt;=U1065),"정상",
IF(AND(V1065="정상",OFFSET(Y1065,0,COUNTA(Y1065:AV1065)-1)=0),"정상",
"계약서 미작성")))))</f>
        <v>면제</v>
      </c>
      <c r="X1065" s="81" t="str">
        <f aca="true">
IF(D1065="폐업","폐업",
IF(AND(V1065="정상",OFFSET(Y1065,0,COUNTA(Y1065:AV1065)-1)="미납"),"미납",
IF(AND(V1065="정상",OFFSET(Y1065,0,COUNTA(Y1065:AV1065)-1)=0),"납부 시작 전",
IF(AND(V1065="정상",OFFSET(Y1065,0,COUNTA(Y1065:AV1065)-1)&gt;=U1065),"정상",
IF(AND(V1065="면제",OFFSET(Y1065,0,COUNTA(Y1065:AV1065)-1)="면제"),"면제",
IF(AND(V1065="면제",OFFSET(Y1065,0,COUNTA(Y1065:AV1065)-1)=0),"면제",
"확인요청"))))))</f>
        <v>면제</v>
      </c>
      <c r="Y1065" s="94" t="s">
        <v>7</v>
      </c>
      <c r="Z1065" s="95" t="s">
        <v>7</v>
      </c>
      <c r="AA1065" s="95" t="s">
        <v>7</v>
      </c>
      <c r="AB1065" s="95" t="s">
        <v>7</v>
      </c>
      <c r="AC1065" s="95" t="s">
        <v>7</v>
      </c>
      <c r="AD1065" s="95" t="s">
        <v>7</v>
      </c>
      <c r="AE1065" s="95" t="s">
        <v>7</v>
      </c>
      <c r="AF1065" s="95" t="s">
        <v>7</v>
      </c>
      <c r="AG1065" s="95" t="s">
        <v>7</v>
      </c>
      <c r="AH1065" s="95" t="s">
        <v>7</v>
      </c>
      <c r="AI1065" s="95" t="s">
        <v>7</v>
      </c>
      <c r="AJ1065" s="96" t="s">
        <v>7</v>
      </c>
      <c r="AK1065" s="97" t="s">
        <v>7</v>
      </c>
      <c r="AL1065" s="95" t="s">
        <v>7</v>
      </c>
      <c r="AM1065" s="90"/>
      <c r="AN1065" s="90"/>
      <c r="AO1065" s="90"/>
      <c r="AP1065" s="90"/>
      <c r="AQ1065" s="90"/>
      <c r="AR1065" s="90"/>
      <c r="AS1065" s="90"/>
      <c r="AT1065" s="90"/>
      <c r="AU1065" s="90"/>
      <c r="AV1065" s="91"/>
      <c r="AX1065" s="92"/>
    </row>
    <row r="1066" customFormat="false" ht="15.65" hidden="false" customHeight="false" outlineLevel="0" collapsed="false">
      <c r="C1066" s="72" t="n">
        <f aca="false">COUNTIFS($D$6:D1066,"&lt;&gt;"&amp;"")</f>
        <v>1061</v>
      </c>
      <c r="D1066" s="73" t="s">
        <v>12</v>
      </c>
      <c r="E1066" s="76" t="str">
        <f aca="false">
IF($D1066="정상",INDEX(임대자산!$D$3:$R$3000,MATCH($F1066,임대자산!$I$3:$I$3000,0),MATCH(E$3,임대자산!$D$3:$R$3,0)),
IF($D1066="폐업",INDEX(폐업정보!$D$3:$R$3000,MATCH($F1066,폐업정보!$I$3:$I$3000,0),MATCH(E$3,폐업정보!$D$3:$R$3,0)),
"Error"))</f>
        <v>서울</v>
      </c>
      <c r="F106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B1061</v>
      </c>
      <c r="G1066" s="76" t="str">
        <f aca="false">F1066&amp;RANDBETWEEN(0,10)</f>
        <v>B106110</v>
      </c>
      <c r="H1066" s="75" t="n">
        <f aca="false">
IF($D1066="정상",INDEX(임대자산!$D$3:$R$3000,MATCH($F1066,임대자산!$I$3:$I$3000,0),MATCH(H$4,임대자산!$D$3:$R$3,0)),
IF($D1066="폐업",INDEX(폐업정보!$D$3:$R$3000,MATCH($F1066,폐업정보!$I$3:$I$3000,0),MATCH(H$4,폐업정보!$D$3:$R$3,0)),
"Error"))</f>
        <v>44734</v>
      </c>
      <c r="I1066" s="75" t="str">
        <f aca="false">
IF($D1066="정상",INDEX(임대자산!$D$3:$R$3000,MATCH($F1066,임대자산!$I$3:$I$3000,0),MATCH(I$4,임대자산!$D$3:$R$3,0)),
IF($D1066="폐업",INDEX(폐업정보!$D$3:$R$3000,MATCH($F1066,폐업정보!$I$3:$I$3000,0),MATCH(I$4,폐업정보!$D$3:$R$3,0)),
"Error"))</f>
        <v>A1061</v>
      </c>
      <c r="J1066" s="75" t="str">
        <f aca="false">
IF($D1066="정상",INDEX(임대자산!$D$3:$R$3000,MATCH($F1066,임대자산!$I$3:$I$3000,0),MATCH(J$4,임대자산!$D$3:$R$3,0)),
IF($D1066="폐업",INDEX(폐업정보!$D$3:$R$3000,MATCH($F1066,폐업정보!$I$3:$I$3000,0),MATCH(J$4,폐업정보!$D$3:$R$3,0)),
"Error"))</f>
        <v>7677500000</v>
      </c>
      <c r="K1066" s="75" t="str">
        <f aca="false">
IF($D1066="정상",INDEX(임대자산!$D$3:$R$3000,MATCH($F1066,임대자산!$I$3:$I$3000,0),MATCH(K$4,임대자산!$D$3:$R$3,0)),
IF($D1066="폐업",INDEX(폐업정보!$D$3:$R$3000,MATCH($F1066,폐업정보!$I$3:$I$3000,0),MATCH(K$4,폐업정보!$D$3:$R$3,0)),
"Error"))</f>
        <v>C1061</v>
      </c>
      <c r="L1066" s="75" t="str">
        <f aca="false">
IF($D1066="정상",INDEX(임대자산!$D$3:$R$3000,MATCH($F1066,임대자산!$I$3:$I$3000,0),MATCH(L$4,임대자산!$D$3:$R$3,0)),
IF($D1066="폐업",INDEX(폐업정보!$D$3:$R$3000,MATCH($F1066,폐업정보!$I$3:$I$3000,0),MATCH(L$4,폐업정보!$D$3:$R$3,0)),
"Error"))</f>
        <v>D1061</v>
      </c>
      <c r="M1066" s="76" t="s">
        <v>96</v>
      </c>
      <c r="N1066" s="77"/>
      <c r="O1066" s="78" t="s">
        <v>97</v>
      </c>
      <c r="P1066" s="79" t="n">
        <f aca="false">COUNTIFS(임대자산!$I:$I,가맹점정보!F1066,임대자산!$N:$N,가맹점정보!P$4)</f>
        <v>0</v>
      </c>
      <c r="Q1066" s="80" t="n">
        <f aca="false">COUNTIFS(임대자산!$I:$I,가맹점정보!F1066,임대자산!$N:$N,가맹점정보!Q$4)</f>
        <v>0</v>
      </c>
      <c r="R1066" s="81" t="n">
        <f aca="false">COUNTIFS(임대자산!$I:$I,가맹점정보!F1066,임대자산!$N:$N,가맹점정보!R$4)</f>
        <v>1</v>
      </c>
      <c r="S1066" s="82" t="n">
        <v>55000</v>
      </c>
      <c r="T1066" s="83" t="n">
        <v>0</v>
      </c>
      <c r="U1066" s="80" t="n">
        <f aca="false">SUM(S1066:T1066)</f>
        <v>55000</v>
      </c>
      <c r="V1066" s="84" t="s">
        <v>7</v>
      </c>
      <c r="W1066" s="80" t="str">
        <f aca="true">
IF(D1066="폐업","폐업",
IF(V1066="면제","면제",
IF(AND(V1066="정상",COUNTIFS(OFFSET(Y1066,0,COUNTA(Y1066:AV1066)-1,1,-4),"미납")&gt;=3),"장기미납",
IF(AND(V1066="정상",OFFSET(Y1066,0,COUNTA(Y1066:AV1066)-1)&gt;=U1066),"정상",
IF(AND(V1066="정상",OFFSET(Y1066,0,COUNTA(Y1066:AV1066)-1)=0),"정상",
"계약서 미작성")))))</f>
        <v>면제</v>
      </c>
      <c r="X1066" s="81" t="str">
        <f aca="true">
IF(D1066="폐업","폐업",
IF(AND(V1066="정상",OFFSET(Y1066,0,COUNTA(Y1066:AV1066)-1)="미납"),"미납",
IF(AND(V1066="정상",OFFSET(Y1066,0,COUNTA(Y1066:AV1066)-1)=0),"납부 시작 전",
IF(AND(V1066="정상",OFFSET(Y1066,0,COUNTA(Y1066:AV1066)-1)&gt;=U1066),"정상",
IF(AND(V1066="면제",OFFSET(Y1066,0,COUNTA(Y1066:AV1066)-1)="면제"),"면제",
IF(AND(V1066="면제",OFFSET(Y1066,0,COUNTA(Y1066:AV1066)-1)=0),"면제",
"확인요청"))))))</f>
        <v>면제</v>
      </c>
      <c r="Y1066" s="93" t="n">
        <v>55000</v>
      </c>
      <c r="Z1066" s="90" t="n">
        <v>55000</v>
      </c>
      <c r="AA1066" s="90" t="n">
        <v>55000</v>
      </c>
      <c r="AB1066" s="90" t="n">
        <v>55000</v>
      </c>
      <c r="AC1066" s="90" t="n">
        <v>55000</v>
      </c>
      <c r="AD1066" s="90" t="n">
        <v>55000</v>
      </c>
      <c r="AE1066" s="90" t="n">
        <v>55000</v>
      </c>
      <c r="AF1066" s="90" t="n">
        <v>55000</v>
      </c>
      <c r="AG1066" s="90" t="n">
        <v>55000</v>
      </c>
      <c r="AH1066" s="90" t="n">
        <v>55000</v>
      </c>
      <c r="AI1066" s="90" t="n">
        <v>55000</v>
      </c>
      <c r="AJ1066" s="96" t="s">
        <v>7</v>
      </c>
      <c r="AK1066" s="97" t="s">
        <v>7</v>
      </c>
      <c r="AL1066" s="95" t="s">
        <v>7</v>
      </c>
      <c r="AM1066" s="90"/>
      <c r="AN1066" s="90"/>
      <c r="AO1066" s="90"/>
      <c r="AP1066" s="90"/>
      <c r="AQ1066" s="90"/>
      <c r="AR1066" s="90"/>
      <c r="AS1066" s="90"/>
      <c r="AT1066" s="90"/>
      <c r="AU1066" s="90"/>
      <c r="AV1066" s="91"/>
      <c r="AX1066" s="92"/>
    </row>
    <row r="1067" customFormat="false" ht="15.65" hidden="false" customHeight="false" outlineLevel="0" collapsed="false">
      <c r="C1067" s="72" t="n">
        <f aca="false">COUNTIFS($D$6:D1067,"&lt;&gt;"&amp;"")</f>
        <v>1062</v>
      </c>
      <c r="D1067" s="73" t="s">
        <v>12</v>
      </c>
      <c r="E1067" s="76" t="str">
        <f aca="false">
IF($D1067="정상",INDEX(임대자산!$D$3:$R$3000,MATCH($F1067,임대자산!$I$3:$I$3000,0),MATCH(E$3,임대자산!$D$3:$R$3,0)),
IF($D1067="폐업",INDEX(폐업정보!$D$3:$R$3000,MATCH($F1067,폐업정보!$I$3:$I$3000,0),MATCH(E$3,폐업정보!$D$3:$R$3,0)),
"Error"))</f>
        <v>서울</v>
      </c>
      <c r="F106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B1062</v>
      </c>
      <c r="G1067" s="76" t="str">
        <f aca="false">F1067&amp;RANDBETWEEN(0,10)</f>
        <v>B10624</v>
      </c>
      <c r="H1067" s="75" t="n">
        <f aca="false">
IF($D1067="정상",INDEX(임대자산!$D$3:$R$3000,MATCH($F1067,임대자산!$I$3:$I$3000,0),MATCH(H$4,임대자산!$D$3:$R$3,0)),
IF($D1067="폐업",INDEX(폐업정보!$D$3:$R$3000,MATCH($F1067,폐업정보!$I$3:$I$3000,0),MATCH(H$4,폐업정보!$D$3:$R$3,0)),
"Error"))</f>
        <v>44734</v>
      </c>
      <c r="I1067" s="75" t="str">
        <f aca="false">
IF($D1067="정상",INDEX(임대자산!$D$3:$R$3000,MATCH($F1067,임대자산!$I$3:$I$3000,0),MATCH(I$4,임대자산!$D$3:$R$3,0)),
IF($D1067="폐업",INDEX(폐업정보!$D$3:$R$3000,MATCH($F1067,폐업정보!$I$3:$I$3000,0),MATCH(I$4,폐업정보!$D$3:$R$3,0)),
"Error"))</f>
        <v>A1062</v>
      </c>
      <c r="J1067" s="75" t="str">
        <f aca="false">
IF($D1067="정상",INDEX(임대자산!$D$3:$R$3000,MATCH($F1067,임대자산!$I$3:$I$3000,0),MATCH(J$4,임대자산!$D$3:$R$3,0)),
IF($D1067="폐업",INDEX(폐업정보!$D$3:$R$3000,MATCH($F1067,폐업정보!$I$3:$I$3000,0),MATCH(J$4,폐업정보!$D$3:$R$3,0)),
"Error"))</f>
        <v>8475200000</v>
      </c>
      <c r="K1067" s="75" t="str">
        <f aca="false">
IF($D1067="정상",INDEX(임대자산!$D$3:$R$3000,MATCH($F1067,임대자산!$I$3:$I$3000,0),MATCH(K$4,임대자산!$D$3:$R$3,0)),
IF($D1067="폐업",INDEX(폐업정보!$D$3:$R$3000,MATCH($F1067,폐업정보!$I$3:$I$3000,0),MATCH(K$4,폐업정보!$D$3:$R$3,0)),
"Error"))</f>
        <v>C1062</v>
      </c>
      <c r="L1067" s="75" t="str">
        <f aca="false">
IF($D1067="정상",INDEX(임대자산!$D$3:$R$3000,MATCH($F1067,임대자산!$I$3:$I$3000,0),MATCH(L$4,임대자산!$D$3:$R$3,0)),
IF($D1067="폐업",INDEX(폐업정보!$D$3:$R$3000,MATCH($F1067,폐업정보!$I$3:$I$3000,0),MATCH(L$4,폐업정보!$D$3:$R$3,0)),
"Error"))</f>
        <v>D1062</v>
      </c>
      <c r="M1067" s="76" t="s">
        <v>96</v>
      </c>
      <c r="N1067" s="77"/>
      <c r="O1067" s="78" t="s">
        <v>97</v>
      </c>
      <c r="P1067" s="79" t="n">
        <f aca="false">COUNTIFS(임대자산!$I:$I,가맹점정보!F1067,임대자산!$N:$N,가맹점정보!P$4)</f>
        <v>0</v>
      </c>
      <c r="Q1067" s="80" t="n">
        <f aca="false">COUNTIFS(임대자산!$I:$I,가맹점정보!F1067,임대자산!$N:$N,가맹점정보!Q$4)</f>
        <v>0</v>
      </c>
      <c r="R1067" s="81" t="n">
        <f aca="false">COUNTIFS(임대자산!$I:$I,가맹점정보!F1067,임대자산!$N:$N,가맹점정보!R$4)</f>
        <v>1</v>
      </c>
      <c r="S1067" s="82" t="n">
        <v>55000</v>
      </c>
      <c r="T1067" s="83" t="n">
        <v>0</v>
      </c>
      <c r="U1067" s="80" t="n">
        <f aca="false">SUM(S1067:T1067)</f>
        <v>55000</v>
      </c>
      <c r="V1067" s="84" t="s">
        <v>7</v>
      </c>
      <c r="W1067" s="80" t="str">
        <f aca="true">
IF(D1067="폐업","폐업",
IF(V1067="면제","면제",
IF(AND(V1067="정상",COUNTIFS(OFFSET(Y1067,0,COUNTA(Y1067:AV1067)-1,1,-4),"미납")&gt;=3),"장기미납",
IF(AND(V1067="정상",OFFSET(Y1067,0,COUNTA(Y1067:AV1067)-1)&gt;=U1067),"정상",
IF(AND(V1067="정상",OFFSET(Y1067,0,COUNTA(Y1067:AV1067)-1)=0),"정상",
"계약서 미작성")))))</f>
        <v>면제</v>
      </c>
      <c r="X1067" s="81" t="str">
        <f aca="true">
IF(D1067="폐업","폐업",
IF(AND(V1067="정상",OFFSET(Y1067,0,COUNTA(Y1067:AV1067)-1)="미납"),"미납",
IF(AND(V1067="정상",OFFSET(Y1067,0,COUNTA(Y1067:AV1067)-1)=0),"납부 시작 전",
IF(AND(V1067="정상",OFFSET(Y1067,0,COUNTA(Y1067:AV1067)-1)&gt;=U1067),"정상",
IF(AND(V1067="면제",OFFSET(Y1067,0,COUNTA(Y1067:AV1067)-1)="면제"),"면제",
IF(AND(V1067="면제",OFFSET(Y1067,0,COUNTA(Y1067:AV1067)-1)=0),"면제",
"확인요청"))))))</f>
        <v>면제</v>
      </c>
      <c r="Y1067" s="93" t="n">
        <v>55000</v>
      </c>
      <c r="Z1067" s="90" t="n">
        <v>55000</v>
      </c>
      <c r="AA1067" s="90" t="n">
        <v>55000</v>
      </c>
      <c r="AB1067" s="90" t="n">
        <v>55000</v>
      </c>
      <c r="AC1067" s="90" t="n">
        <v>55000</v>
      </c>
      <c r="AD1067" s="90" t="n">
        <v>55000</v>
      </c>
      <c r="AE1067" s="90" t="n">
        <v>55000</v>
      </c>
      <c r="AF1067" s="90" t="n">
        <v>55000</v>
      </c>
      <c r="AG1067" s="90" t="n">
        <v>55000</v>
      </c>
      <c r="AH1067" s="90" t="n">
        <v>55000</v>
      </c>
      <c r="AI1067" s="90" t="n">
        <v>55000</v>
      </c>
      <c r="AJ1067" s="96" t="s">
        <v>7</v>
      </c>
      <c r="AK1067" s="97" t="s">
        <v>7</v>
      </c>
      <c r="AL1067" s="95" t="s">
        <v>7</v>
      </c>
      <c r="AM1067" s="90"/>
      <c r="AN1067" s="90"/>
      <c r="AO1067" s="90"/>
      <c r="AP1067" s="90"/>
      <c r="AQ1067" s="90"/>
      <c r="AR1067" s="90"/>
      <c r="AS1067" s="90"/>
      <c r="AT1067" s="90"/>
      <c r="AU1067" s="90"/>
      <c r="AV1067" s="91"/>
      <c r="AX1067" s="92"/>
    </row>
    <row r="1068" customFormat="false" ht="15.65" hidden="false" customHeight="false" outlineLevel="0" collapsed="false">
      <c r="C1068" s="72" t="n">
        <f aca="false">COUNTIFS($D$6:D1068,"&lt;&gt;"&amp;"")</f>
        <v>1063</v>
      </c>
      <c r="D1068" s="73" t="s">
        <v>12</v>
      </c>
      <c r="E1068" s="76" t="str">
        <f aca="false">
IF($D1068="정상",INDEX(임대자산!$D$3:$R$3000,MATCH($F1068,임대자산!$I$3:$I$3000,0),MATCH(E$3,임대자산!$D$3:$R$3,0)),
IF($D1068="폐업",INDEX(폐업정보!$D$3:$R$3000,MATCH($F1068,폐업정보!$I$3:$I$3000,0),MATCH(E$3,폐업정보!$D$3:$R$3,0)),
"Error"))</f>
        <v>서울</v>
      </c>
      <c r="F106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B1063</v>
      </c>
      <c r="G1068" s="76" t="str">
        <f aca="false">F1068&amp;RANDBETWEEN(0,10)</f>
        <v>B10631</v>
      </c>
      <c r="H1068" s="75" t="n">
        <f aca="false">
IF($D1068="정상",INDEX(임대자산!$D$3:$R$3000,MATCH($F1068,임대자산!$I$3:$I$3000,0),MATCH(H$4,임대자산!$D$3:$R$3,0)),
IF($D1068="폐업",INDEX(폐업정보!$D$3:$R$3000,MATCH($F1068,폐업정보!$I$3:$I$3000,0),MATCH(H$4,폐업정보!$D$3:$R$3,0)),
"Error"))</f>
        <v>45341</v>
      </c>
      <c r="I1068" s="75" t="str">
        <f aca="false">
IF($D1068="정상",INDEX(임대자산!$D$3:$R$3000,MATCH($F1068,임대자산!$I$3:$I$3000,0),MATCH(I$4,임대자산!$D$3:$R$3,0)),
IF($D1068="폐업",INDEX(폐업정보!$D$3:$R$3000,MATCH($F1068,폐업정보!$I$3:$I$3000,0),MATCH(I$4,폐업정보!$D$3:$R$3,0)),
"Error"))</f>
        <v>A1063</v>
      </c>
      <c r="J1068" s="75" t="str">
        <f aca="false">
IF($D1068="정상",INDEX(임대자산!$D$3:$R$3000,MATCH($F1068,임대자산!$I$3:$I$3000,0),MATCH(J$4,임대자산!$D$3:$R$3,0)),
IF($D1068="폐업",INDEX(폐업정보!$D$3:$R$3000,MATCH($F1068,폐업정보!$I$3:$I$3000,0),MATCH(J$4,폐업정보!$D$3:$R$3,0)),
"Error"))</f>
        <v>4950300000</v>
      </c>
      <c r="K1068" s="75" t="str">
        <f aca="false">
IF($D1068="정상",INDEX(임대자산!$D$3:$R$3000,MATCH($F1068,임대자산!$I$3:$I$3000,0),MATCH(K$4,임대자산!$D$3:$R$3,0)),
IF($D1068="폐업",INDEX(폐업정보!$D$3:$R$3000,MATCH($F1068,폐업정보!$I$3:$I$3000,0),MATCH(K$4,폐업정보!$D$3:$R$3,0)),
"Error"))</f>
        <v>C1063</v>
      </c>
      <c r="L1068" s="75" t="str">
        <f aca="false">
IF($D1068="정상",INDEX(임대자산!$D$3:$R$3000,MATCH($F1068,임대자산!$I$3:$I$3000,0),MATCH(L$4,임대자산!$D$3:$R$3,0)),
IF($D1068="폐업",INDEX(폐업정보!$D$3:$R$3000,MATCH($F1068,폐업정보!$I$3:$I$3000,0),MATCH(L$4,폐업정보!$D$3:$R$3,0)),
"Error"))</f>
        <v>D1063</v>
      </c>
      <c r="M1068" s="76" t="s">
        <v>96</v>
      </c>
      <c r="N1068" s="77"/>
      <c r="O1068" s="78" t="s">
        <v>97</v>
      </c>
      <c r="P1068" s="79" t="n">
        <f aca="false">COUNTIFS(임대자산!$I:$I,가맹점정보!F1068,임대자산!$N:$N,가맹점정보!P$4)</f>
        <v>0</v>
      </c>
      <c r="Q1068" s="80" t="n">
        <f aca="false">COUNTIFS(임대자산!$I:$I,가맹점정보!F1068,임대자산!$N:$N,가맹점정보!Q$4)</f>
        <v>0</v>
      </c>
      <c r="R1068" s="81" t="n">
        <f aca="false">COUNTIFS(임대자산!$I:$I,가맹점정보!F1068,임대자산!$N:$N,가맹점정보!R$4)</f>
        <v>1</v>
      </c>
      <c r="S1068" s="82" t="n">
        <v>55000</v>
      </c>
      <c r="T1068" s="83" t="n">
        <v>0</v>
      </c>
      <c r="U1068" s="80" t="n">
        <f aca="false">SUM(S1068:T1068)</f>
        <v>55000</v>
      </c>
      <c r="V1068" s="84" t="s">
        <v>12</v>
      </c>
      <c r="W1068" s="80" t="e">
        <f aca="true">
IF(D1068="폐업","폐업",
IF(V1068="면제","면제",
IF(AND(V1068="정상",COUNTIFS(OFFSET(Y1068,0,COUNTA(Y1068:AV1068)-1,1,-4),"미납")&gt;=3),"장기미납",
IF(AND(V1068="정상",OFFSET(Y1068,0,COUNTA(Y1068:AV1068)-1)&gt;=U1068),"정상",
IF(AND(V1068="정상",OFFSET(Y1068,0,COUNTA(Y1068:AV1068)-1)=0),"정상",
"계약서 미작성")))))</f>
        <v>#VALUE!</v>
      </c>
      <c r="X1068" s="81" t="str">
        <f aca="true">
IF(D1068="폐업","폐업",
IF(AND(V1068="정상",OFFSET(Y1068,0,COUNTA(Y1068:AV1068)-1)="미납"),"미납",
IF(AND(V1068="정상",OFFSET(Y1068,0,COUNTA(Y1068:AV1068)-1)=0),"납부 시작 전",
IF(AND(V1068="정상",OFFSET(Y1068,0,COUNTA(Y1068:AV1068)-1)&gt;=U1068),"정상",
IF(AND(V1068="면제",OFFSET(Y1068,0,COUNTA(Y1068:AV1068)-1)="면제"),"면제",
IF(AND(V1068="면제",OFFSET(Y1068,0,COUNTA(Y1068:AV1068)-1)=0),"면제",
"확인요청"))))))</f>
        <v>미납</v>
      </c>
      <c r="Y1068" s="93" t="n">
        <v>88000</v>
      </c>
      <c r="Z1068" s="90" t="n">
        <v>88000</v>
      </c>
      <c r="AA1068" s="90" t="n">
        <v>88000</v>
      </c>
      <c r="AB1068" s="90" t="n">
        <v>88000</v>
      </c>
      <c r="AC1068" s="95" t="s">
        <v>62</v>
      </c>
      <c r="AD1068" s="90" t="n">
        <v>88000</v>
      </c>
      <c r="AE1068" s="95" t="s">
        <v>62</v>
      </c>
      <c r="AF1068" s="95" t="s">
        <v>62</v>
      </c>
      <c r="AG1068" s="95" t="s">
        <v>62</v>
      </c>
      <c r="AH1068" s="95" t="s">
        <v>62</v>
      </c>
      <c r="AI1068" s="95" t="s">
        <v>62</v>
      </c>
      <c r="AJ1068" s="96" t="s">
        <v>62</v>
      </c>
      <c r="AK1068" s="89" t="n">
        <v>55000</v>
      </c>
      <c r="AL1068" s="95" t="s">
        <v>62</v>
      </c>
      <c r="AM1068" s="90"/>
      <c r="AN1068" s="90"/>
      <c r="AO1068" s="90"/>
      <c r="AP1068" s="90"/>
      <c r="AQ1068" s="90"/>
      <c r="AR1068" s="90"/>
      <c r="AS1068" s="90"/>
      <c r="AT1068" s="90"/>
      <c r="AU1068" s="90"/>
      <c r="AV1068" s="91"/>
      <c r="AX1068" s="92"/>
    </row>
    <row r="1069" customFormat="false" ht="15.65" hidden="false" customHeight="false" outlineLevel="0" collapsed="false">
      <c r="C1069" s="72" t="n">
        <f aca="false">COUNTIFS($D$6:D1069,"&lt;&gt;"&amp;"")</f>
        <v>1064</v>
      </c>
      <c r="D1069" s="73" t="s">
        <v>12</v>
      </c>
      <c r="E1069" s="76" t="str">
        <f aca="false">
IF($D1069="정상",INDEX(임대자산!$D$3:$R$3000,MATCH($F1069,임대자산!$I$3:$I$3000,0),MATCH(E$3,임대자산!$D$3:$R$3,0)),
IF($D1069="폐업",INDEX(폐업정보!$D$3:$R$3000,MATCH($F1069,폐업정보!$I$3:$I$3000,0),MATCH(E$3,폐업정보!$D$3:$R$3,0)),
"Error"))</f>
        <v>경상</v>
      </c>
      <c r="F106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B1064</v>
      </c>
      <c r="G1069" s="76" t="str">
        <f aca="false">F1069&amp;RANDBETWEEN(0,10)</f>
        <v>B10641</v>
      </c>
      <c r="H1069" s="75" t="n">
        <f aca="false">
IF($D1069="정상",INDEX(임대자산!$D$3:$R$3000,MATCH($F1069,임대자산!$I$3:$I$3000,0),MATCH(H$4,임대자산!$D$3:$R$3,0)),
IF($D1069="폐업",INDEX(폐업정보!$D$3:$R$3000,MATCH($F1069,폐업정보!$I$3:$I$3000,0),MATCH(H$4,폐업정보!$D$3:$R$3,0)),
"Error"))</f>
        <v>45345</v>
      </c>
      <c r="I1069" s="75" t="str">
        <f aca="false">
IF($D1069="정상",INDEX(임대자산!$D$3:$R$3000,MATCH($F1069,임대자산!$I$3:$I$3000,0),MATCH(I$4,임대자산!$D$3:$R$3,0)),
IF($D1069="폐업",INDEX(폐업정보!$D$3:$R$3000,MATCH($F1069,폐업정보!$I$3:$I$3000,0),MATCH(I$4,폐업정보!$D$3:$R$3,0)),
"Error"))</f>
        <v>A1064</v>
      </c>
      <c r="J1069" s="75" t="str">
        <f aca="false">
IF($D1069="정상",INDEX(임대자산!$D$3:$R$3000,MATCH($F1069,임대자산!$I$3:$I$3000,0),MATCH(J$4,임대자산!$D$3:$R$3,0)),
IF($D1069="폐업",INDEX(폐업정보!$D$3:$R$3000,MATCH($F1069,폐업정보!$I$3:$I$3000,0),MATCH(J$4,폐업정보!$D$3:$R$3,0)),
"Error"))</f>
        <v>5939500000</v>
      </c>
      <c r="K1069" s="75" t="str">
        <f aca="false">
IF($D1069="정상",INDEX(임대자산!$D$3:$R$3000,MATCH($F1069,임대자산!$I$3:$I$3000,0),MATCH(K$4,임대자산!$D$3:$R$3,0)),
IF($D1069="폐업",INDEX(폐업정보!$D$3:$R$3000,MATCH($F1069,폐업정보!$I$3:$I$3000,0),MATCH(K$4,폐업정보!$D$3:$R$3,0)),
"Error"))</f>
        <v>C1064</v>
      </c>
      <c r="L1069" s="75" t="str">
        <f aca="false">
IF($D1069="정상",INDEX(임대자산!$D$3:$R$3000,MATCH($F1069,임대자산!$I$3:$I$3000,0),MATCH(L$4,임대자산!$D$3:$R$3,0)),
IF($D1069="폐업",INDEX(폐업정보!$D$3:$R$3000,MATCH($F1069,폐업정보!$I$3:$I$3000,0),MATCH(L$4,폐업정보!$D$3:$R$3,0)),
"Error"))</f>
        <v>D1064</v>
      </c>
      <c r="M1069" s="76" t="s">
        <v>96</v>
      </c>
      <c r="N1069" s="77"/>
      <c r="O1069" s="78" t="s">
        <v>97</v>
      </c>
      <c r="P1069" s="79" t="n">
        <f aca="false">COUNTIFS(임대자산!$I:$I,가맹점정보!F1069,임대자산!$N:$N,가맹점정보!P$4)</f>
        <v>0</v>
      </c>
      <c r="Q1069" s="80" t="n">
        <f aca="false">COUNTIFS(임대자산!$I:$I,가맹점정보!F1069,임대자산!$N:$N,가맹점정보!Q$4)</f>
        <v>0</v>
      </c>
      <c r="R1069" s="81" t="n">
        <f aca="false">COUNTIFS(임대자산!$I:$I,가맹점정보!F1069,임대자산!$N:$N,가맹점정보!R$4)</f>
        <v>1</v>
      </c>
      <c r="S1069" s="82" t="n">
        <v>88000</v>
      </c>
      <c r="T1069" s="83" t="n">
        <v>0</v>
      </c>
      <c r="U1069" s="80" t="n">
        <f aca="false">SUM(S1069:T1069)</f>
        <v>88000</v>
      </c>
      <c r="V1069" s="84" t="s">
        <v>7</v>
      </c>
      <c r="W1069" s="80" t="str">
        <f aca="true">
IF(D1069="폐업","폐업",
IF(V1069="면제","면제",
IF(AND(V1069="정상",COUNTIFS(OFFSET(Y1069,0,COUNTA(Y1069:AV1069)-1,1,-4),"미납")&gt;=3),"장기미납",
IF(AND(V1069="정상",OFFSET(Y1069,0,COUNTA(Y1069:AV1069)-1)&gt;=U1069),"정상",
IF(AND(V1069="정상",OFFSET(Y1069,0,COUNTA(Y1069:AV1069)-1)=0),"정상",
"계약서 미작성")))))</f>
        <v>면제</v>
      </c>
      <c r="X1069" s="81" t="str">
        <f aca="true">
IF(D1069="폐업","폐업",
IF(AND(V1069="정상",OFFSET(Y1069,0,COUNTA(Y1069:AV1069)-1)="미납"),"미납",
IF(AND(V1069="정상",OFFSET(Y1069,0,COUNTA(Y1069:AV1069)-1)=0),"납부 시작 전",
IF(AND(V1069="정상",OFFSET(Y1069,0,COUNTA(Y1069:AV1069)-1)&gt;=U1069),"정상",
IF(AND(V1069="면제",OFFSET(Y1069,0,COUNTA(Y1069:AV1069)-1)="면제"),"면제",
IF(AND(V1069="면제",OFFSET(Y1069,0,COUNTA(Y1069:AV1069)-1)=0),"면제",
"확인요청"))))))</f>
        <v>면제</v>
      </c>
      <c r="Y1069" s="94" t="s">
        <v>7</v>
      </c>
      <c r="Z1069" s="95" t="s">
        <v>7</v>
      </c>
      <c r="AA1069" s="95" t="s">
        <v>7</v>
      </c>
      <c r="AB1069" s="95" t="s">
        <v>7</v>
      </c>
      <c r="AC1069" s="95" t="s">
        <v>7</v>
      </c>
      <c r="AD1069" s="95" t="s">
        <v>7</v>
      </c>
      <c r="AE1069" s="95" t="s">
        <v>7</v>
      </c>
      <c r="AF1069" s="95" t="s">
        <v>7</v>
      </c>
      <c r="AG1069" s="95" t="s">
        <v>7</v>
      </c>
      <c r="AH1069" s="95" t="s">
        <v>7</v>
      </c>
      <c r="AI1069" s="95" t="s">
        <v>7</v>
      </c>
      <c r="AJ1069" s="96" t="s">
        <v>7</v>
      </c>
      <c r="AK1069" s="97" t="s">
        <v>7</v>
      </c>
      <c r="AL1069" s="95" t="s">
        <v>7</v>
      </c>
      <c r="AM1069" s="90"/>
      <c r="AN1069" s="90"/>
      <c r="AO1069" s="90"/>
      <c r="AP1069" s="90"/>
      <c r="AQ1069" s="90"/>
      <c r="AR1069" s="90"/>
      <c r="AS1069" s="90"/>
      <c r="AT1069" s="90"/>
      <c r="AU1069" s="90"/>
      <c r="AV1069" s="91"/>
      <c r="AX1069" s="92"/>
    </row>
    <row r="1070" customFormat="false" ht="15.65" hidden="false" customHeight="false" outlineLevel="0" collapsed="false">
      <c r="C1070" s="72" t="n">
        <f aca="false">COUNTIFS($D$6:D1070,"&lt;&gt;"&amp;"")</f>
        <v>1065</v>
      </c>
      <c r="D1070" s="73" t="s">
        <v>12</v>
      </c>
      <c r="E1070" s="76" t="str">
        <f aca="false">
IF($D1070="정상",INDEX(임대자산!$D$3:$R$3000,MATCH($F1070,임대자산!$I$3:$I$3000,0),MATCH(E$3,임대자산!$D$3:$R$3,0)),
IF($D1070="폐업",INDEX(폐업정보!$D$3:$R$3000,MATCH($F1070,폐업정보!$I$3:$I$3000,0),MATCH(E$3,폐업정보!$D$3:$R$3,0)),
"Error"))</f>
        <v>서울</v>
      </c>
      <c r="F107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B1065</v>
      </c>
      <c r="G1070" s="76" t="str">
        <f aca="false">F1070&amp;RANDBETWEEN(0,10)</f>
        <v>B10652</v>
      </c>
      <c r="H1070" s="75" t="n">
        <f aca="false">
IF($D1070="정상",INDEX(임대자산!$D$3:$R$3000,MATCH($F1070,임대자산!$I$3:$I$3000,0),MATCH(H$4,임대자산!$D$3:$R$3,0)),
IF($D1070="폐업",INDEX(폐업정보!$D$3:$R$3000,MATCH($F1070,폐업정보!$I$3:$I$3000,0),MATCH(H$4,폐업정보!$D$3:$R$3,0)),
"Error"))</f>
        <v>44725</v>
      </c>
      <c r="I1070" s="75" t="str">
        <f aca="false">
IF($D1070="정상",INDEX(임대자산!$D$3:$R$3000,MATCH($F1070,임대자산!$I$3:$I$3000,0),MATCH(I$4,임대자산!$D$3:$R$3,0)),
IF($D1070="폐업",INDEX(폐업정보!$D$3:$R$3000,MATCH($F1070,폐업정보!$I$3:$I$3000,0),MATCH(I$4,폐업정보!$D$3:$R$3,0)),
"Error"))</f>
        <v>A1065</v>
      </c>
      <c r="J1070" s="75" t="str">
        <f aca="false">
IF($D1070="정상",INDEX(임대자산!$D$3:$R$3000,MATCH($F1070,임대자산!$I$3:$I$3000,0),MATCH(J$4,임대자산!$D$3:$R$3,0)),
IF($D1070="폐업",INDEX(폐업정보!$D$3:$R$3000,MATCH($F1070,폐업정보!$I$3:$I$3000,0),MATCH(J$4,폐업정보!$D$3:$R$3,0)),
"Error"))</f>
        <v>5669600000</v>
      </c>
      <c r="K1070" s="75" t="str">
        <f aca="false">
IF($D1070="정상",INDEX(임대자산!$D$3:$R$3000,MATCH($F1070,임대자산!$I$3:$I$3000,0),MATCH(K$4,임대자산!$D$3:$R$3,0)),
IF($D1070="폐업",INDEX(폐업정보!$D$3:$R$3000,MATCH($F1070,폐업정보!$I$3:$I$3000,0),MATCH(K$4,폐업정보!$D$3:$R$3,0)),
"Error"))</f>
        <v>C1065</v>
      </c>
      <c r="L1070" s="75" t="str">
        <f aca="false">
IF($D1070="정상",INDEX(임대자산!$D$3:$R$3000,MATCH($F1070,임대자산!$I$3:$I$3000,0),MATCH(L$4,임대자산!$D$3:$R$3,0)),
IF($D1070="폐업",INDEX(폐업정보!$D$3:$R$3000,MATCH($F1070,폐업정보!$I$3:$I$3000,0),MATCH(L$4,폐업정보!$D$3:$R$3,0)),
"Error"))</f>
        <v>D1065</v>
      </c>
      <c r="M1070" s="76" t="s">
        <v>96</v>
      </c>
      <c r="N1070" s="77"/>
      <c r="O1070" s="78" t="s">
        <v>97</v>
      </c>
      <c r="P1070" s="79" t="n">
        <f aca="false">COUNTIFS(임대자산!$I:$I,가맹점정보!F1070,임대자산!$N:$N,가맹점정보!P$4)</f>
        <v>0</v>
      </c>
      <c r="Q1070" s="80" t="n">
        <f aca="false">COUNTIFS(임대자산!$I:$I,가맹점정보!F1070,임대자산!$N:$N,가맹점정보!Q$4)</f>
        <v>0</v>
      </c>
      <c r="R1070" s="81" t="n">
        <f aca="false">COUNTIFS(임대자산!$I:$I,가맹점정보!F1070,임대자산!$N:$N,가맹점정보!R$4)</f>
        <v>1</v>
      </c>
      <c r="S1070" s="82" t="n">
        <v>55000</v>
      </c>
      <c r="T1070" s="83" t="n">
        <v>0</v>
      </c>
      <c r="U1070" s="80" t="n">
        <f aca="false">SUM(S1070:T1070)</f>
        <v>55000</v>
      </c>
      <c r="V1070" s="84" t="s">
        <v>12</v>
      </c>
      <c r="W1070" s="80" t="e">
        <f aca="true">
IF(D1070="폐업","폐업",
IF(V1070="면제","면제",
IF(AND(V1070="정상",COUNTIFS(OFFSET(Y1070,0,COUNTA(Y1070:AV1070)-1,1,-4),"미납")&gt;=3),"장기미납",
IF(AND(V1070="정상",OFFSET(Y1070,0,COUNTA(Y1070:AV1070)-1)&gt;=U1070),"정상",
IF(AND(V1070="정상",OFFSET(Y1070,0,COUNTA(Y1070:AV1070)-1)=0),"정상",
"계약서 미작성")))))</f>
        <v>#VALUE!</v>
      </c>
      <c r="X1070" s="81" t="str">
        <f aca="true">
IF(D1070="폐업","폐업",
IF(AND(V1070="정상",OFFSET(Y1070,0,COUNTA(Y1070:AV1070)-1)="미납"),"미납",
IF(AND(V1070="정상",OFFSET(Y1070,0,COUNTA(Y1070:AV1070)-1)=0),"납부 시작 전",
IF(AND(V1070="정상",OFFSET(Y1070,0,COUNTA(Y1070:AV1070)-1)&gt;=U1070),"정상",
IF(AND(V1070="면제",OFFSET(Y1070,0,COUNTA(Y1070:AV1070)-1)="면제"),"면제",
IF(AND(V1070="면제",OFFSET(Y1070,0,COUNTA(Y1070:AV1070)-1)=0),"면제",
"확인요청"))))))</f>
        <v>정상</v>
      </c>
      <c r="Y1070" s="93" t="n">
        <v>55000</v>
      </c>
      <c r="Z1070" s="90" t="n">
        <v>55000</v>
      </c>
      <c r="AA1070" s="90" t="n">
        <v>55000</v>
      </c>
      <c r="AB1070" s="90" t="n">
        <v>55000</v>
      </c>
      <c r="AC1070" s="90" t="n">
        <v>55000</v>
      </c>
      <c r="AD1070" s="90" t="n">
        <v>55000</v>
      </c>
      <c r="AE1070" s="90" t="n">
        <v>55000</v>
      </c>
      <c r="AF1070" s="90" t="n">
        <v>55000</v>
      </c>
      <c r="AG1070" s="90" t="n">
        <v>55000</v>
      </c>
      <c r="AH1070" s="90" t="n">
        <v>55000</v>
      </c>
      <c r="AI1070" s="90" t="n">
        <v>55000</v>
      </c>
      <c r="AJ1070" s="91" t="n">
        <v>55000</v>
      </c>
      <c r="AK1070" s="89" t="n">
        <v>55000</v>
      </c>
      <c r="AL1070" s="90" t="n">
        <v>55000</v>
      </c>
      <c r="AM1070" s="90"/>
      <c r="AN1070" s="90"/>
      <c r="AO1070" s="90"/>
      <c r="AP1070" s="90"/>
      <c r="AQ1070" s="90"/>
      <c r="AR1070" s="90"/>
      <c r="AS1070" s="90"/>
      <c r="AT1070" s="90"/>
      <c r="AU1070" s="90"/>
      <c r="AV1070" s="91"/>
      <c r="AX1070" s="92"/>
    </row>
    <row r="1071" customFormat="false" ht="15.65" hidden="false" customHeight="false" outlineLevel="0" collapsed="false">
      <c r="C1071" s="72" t="n">
        <f aca="false">COUNTIFS($D$6:D1071,"&lt;&gt;"&amp;"")</f>
        <v>1066</v>
      </c>
      <c r="D1071" s="73" t="s">
        <v>12</v>
      </c>
      <c r="E1071" s="76" t="str">
        <f aca="false">
IF($D1071="정상",INDEX(임대자산!$D$3:$R$3000,MATCH($F1071,임대자산!$I$3:$I$3000,0),MATCH(E$3,임대자산!$D$3:$R$3,0)),
IF($D1071="폐업",INDEX(폐업정보!$D$3:$R$3000,MATCH($F1071,폐업정보!$I$3:$I$3000,0),MATCH(E$3,폐업정보!$D$3:$R$3,0)),
"Error"))</f>
        <v>서울</v>
      </c>
      <c r="F107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B1066</v>
      </c>
      <c r="G1071" s="76" t="str">
        <f aca="false">F1071&amp;RANDBETWEEN(0,10)</f>
        <v>B10666</v>
      </c>
      <c r="H1071" s="75" t="n">
        <f aca="false">
IF($D1071="정상",INDEX(임대자산!$D$3:$R$3000,MATCH($F1071,임대자산!$I$3:$I$3000,0),MATCH(H$4,임대자산!$D$3:$R$3,0)),
IF($D1071="폐업",INDEX(폐업정보!$D$3:$R$3000,MATCH($F1071,폐업정보!$I$3:$I$3000,0),MATCH(H$4,폐업정보!$D$3:$R$3,0)),
"Error"))</f>
        <v>44725</v>
      </c>
      <c r="I1071" s="75" t="str">
        <f aca="false">
IF($D1071="정상",INDEX(임대자산!$D$3:$R$3000,MATCH($F1071,임대자산!$I$3:$I$3000,0),MATCH(I$4,임대자산!$D$3:$R$3,0)),
IF($D1071="폐업",INDEX(폐업정보!$D$3:$R$3000,MATCH($F1071,폐업정보!$I$3:$I$3000,0),MATCH(I$4,폐업정보!$D$3:$R$3,0)),
"Error"))</f>
        <v>A1066</v>
      </c>
      <c r="J1071" s="75" t="str">
        <f aca="false">
IF($D1071="정상",INDEX(임대자산!$D$3:$R$3000,MATCH($F1071,임대자산!$I$3:$I$3000,0),MATCH(J$4,임대자산!$D$3:$R$3,0)),
IF($D1071="폐업",INDEX(폐업정보!$D$3:$R$3000,MATCH($F1071,폐업정보!$I$3:$I$3000,0),MATCH(J$4,폐업정보!$D$3:$R$3,0)),
"Error"))</f>
        <v>4908400000</v>
      </c>
      <c r="K1071" s="75" t="str">
        <f aca="false">
IF($D1071="정상",INDEX(임대자산!$D$3:$R$3000,MATCH($F1071,임대자산!$I$3:$I$3000,0),MATCH(K$4,임대자산!$D$3:$R$3,0)),
IF($D1071="폐업",INDEX(폐업정보!$D$3:$R$3000,MATCH($F1071,폐업정보!$I$3:$I$3000,0),MATCH(K$4,폐업정보!$D$3:$R$3,0)),
"Error"))</f>
        <v>C1066</v>
      </c>
      <c r="L1071" s="75" t="str">
        <f aca="false">
IF($D1071="정상",INDEX(임대자산!$D$3:$R$3000,MATCH($F1071,임대자산!$I$3:$I$3000,0),MATCH(L$4,임대자산!$D$3:$R$3,0)),
IF($D1071="폐업",INDEX(폐업정보!$D$3:$R$3000,MATCH($F1071,폐업정보!$I$3:$I$3000,0),MATCH(L$4,폐업정보!$D$3:$R$3,0)),
"Error"))</f>
        <v>D1066</v>
      </c>
      <c r="M1071" s="76" t="s">
        <v>96</v>
      </c>
      <c r="N1071" s="77"/>
      <c r="O1071" s="78" t="s">
        <v>97</v>
      </c>
      <c r="P1071" s="79" t="n">
        <f aca="false">COUNTIFS(임대자산!$I:$I,가맹점정보!F1071,임대자산!$N:$N,가맹점정보!P$4)</f>
        <v>0</v>
      </c>
      <c r="Q1071" s="80" t="n">
        <f aca="false">COUNTIFS(임대자산!$I:$I,가맹점정보!F1071,임대자산!$N:$N,가맹점정보!Q$4)</f>
        <v>0</v>
      </c>
      <c r="R1071" s="81" t="n">
        <f aca="false">COUNTIFS(임대자산!$I:$I,가맹점정보!F1071,임대자산!$N:$N,가맹점정보!R$4)</f>
        <v>1</v>
      </c>
      <c r="S1071" s="82" t="n">
        <v>55000</v>
      </c>
      <c r="T1071" s="83" t="n">
        <v>0</v>
      </c>
      <c r="U1071" s="80" t="n">
        <f aca="false">SUM(S1071:T1071)</f>
        <v>55000</v>
      </c>
      <c r="V1071" s="84" t="s">
        <v>7</v>
      </c>
      <c r="W1071" s="80" t="str">
        <f aca="true">
IF(D1071="폐업","폐업",
IF(V1071="면제","면제",
IF(AND(V1071="정상",COUNTIFS(OFFSET(Y1071,0,COUNTA(Y1071:AV1071)-1,1,-4),"미납")&gt;=3),"장기미납",
IF(AND(V1071="정상",OFFSET(Y1071,0,COUNTA(Y1071:AV1071)-1)&gt;=U1071),"정상",
IF(AND(V1071="정상",OFFSET(Y1071,0,COUNTA(Y1071:AV1071)-1)=0),"정상",
"계약서 미작성")))))</f>
        <v>면제</v>
      </c>
      <c r="X1071" s="81" t="str">
        <f aca="true">
IF(D1071="폐업","폐업",
IF(AND(V1071="정상",OFFSET(Y1071,0,COUNTA(Y1071:AV1071)-1)="미납"),"미납",
IF(AND(V1071="정상",OFFSET(Y1071,0,COUNTA(Y1071:AV1071)-1)=0),"납부 시작 전",
IF(AND(V1071="정상",OFFSET(Y1071,0,COUNTA(Y1071:AV1071)-1)&gt;=U1071),"정상",
IF(AND(V1071="면제",OFFSET(Y1071,0,COUNTA(Y1071:AV1071)-1)="면제"),"면제",
IF(AND(V1071="면제",OFFSET(Y1071,0,COUNTA(Y1071:AV1071)-1)=0),"면제",
"확인요청"))))))</f>
        <v>면제</v>
      </c>
      <c r="Y1071" s="94" t="s">
        <v>7</v>
      </c>
      <c r="Z1071" s="95" t="s">
        <v>7</v>
      </c>
      <c r="AA1071" s="95" t="s">
        <v>7</v>
      </c>
      <c r="AB1071" s="95" t="s">
        <v>7</v>
      </c>
      <c r="AC1071" s="95" t="s">
        <v>7</v>
      </c>
      <c r="AD1071" s="95" t="s">
        <v>7</v>
      </c>
      <c r="AE1071" s="95" t="s">
        <v>7</v>
      </c>
      <c r="AF1071" s="95" t="s">
        <v>7</v>
      </c>
      <c r="AG1071" s="95" t="s">
        <v>7</v>
      </c>
      <c r="AH1071" s="95" t="s">
        <v>7</v>
      </c>
      <c r="AI1071" s="95" t="s">
        <v>7</v>
      </c>
      <c r="AJ1071" s="96" t="s">
        <v>7</v>
      </c>
      <c r="AK1071" s="97" t="s">
        <v>7</v>
      </c>
      <c r="AL1071" s="95" t="s">
        <v>7</v>
      </c>
      <c r="AM1071" s="90"/>
      <c r="AN1071" s="90"/>
      <c r="AO1071" s="90"/>
      <c r="AP1071" s="90"/>
      <c r="AQ1071" s="90"/>
      <c r="AR1071" s="90"/>
      <c r="AS1071" s="90"/>
      <c r="AT1071" s="90"/>
      <c r="AU1071" s="90"/>
      <c r="AV1071" s="91"/>
      <c r="AX1071" s="92"/>
    </row>
    <row r="1072" customFormat="false" ht="15.65" hidden="false" customHeight="false" outlineLevel="0" collapsed="false">
      <c r="C1072" s="72" t="n">
        <f aca="false">COUNTIFS($D$6:D1072,"&lt;&gt;"&amp;"")</f>
        <v>1067</v>
      </c>
      <c r="D1072" s="73" t="s">
        <v>12</v>
      </c>
      <c r="E1072" s="76" t="str">
        <f aca="false">
IF($D1072="정상",INDEX(임대자산!$D$3:$R$3000,MATCH($F1072,임대자산!$I$3:$I$3000,0),MATCH(E$3,임대자산!$D$3:$R$3,0)),
IF($D1072="폐업",INDEX(폐업정보!$D$3:$R$3000,MATCH($F1072,폐업정보!$I$3:$I$3000,0),MATCH(E$3,폐업정보!$D$3:$R$3,0)),
"Error"))</f>
        <v>서울</v>
      </c>
      <c r="F107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B1067</v>
      </c>
      <c r="G1072" s="76" t="str">
        <f aca="false">F1072&amp;RANDBETWEEN(0,10)</f>
        <v>B10675</v>
      </c>
      <c r="H1072" s="75" t="n">
        <f aca="false">
IF($D1072="정상",INDEX(임대자산!$D$3:$R$3000,MATCH($F1072,임대자산!$I$3:$I$3000,0),MATCH(H$4,임대자산!$D$3:$R$3,0)),
IF($D1072="폐업",INDEX(폐업정보!$D$3:$R$3000,MATCH($F1072,폐업정보!$I$3:$I$3000,0),MATCH(H$4,폐업정보!$D$3:$R$3,0)),
"Error"))</f>
        <v>44728</v>
      </c>
      <c r="I1072" s="75" t="str">
        <f aca="false">
IF($D1072="정상",INDEX(임대자산!$D$3:$R$3000,MATCH($F1072,임대자산!$I$3:$I$3000,0),MATCH(I$4,임대자산!$D$3:$R$3,0)),
IF($D1072="폐업",INDEX(폐업정보!$D$3:$R$3000,MATCH($F1072,폐업정보!$I$3:$I$3000,0),MATCH(I$4,폐업정보!$D$3:$R$3,0)),
"Error"))</f>
        <v>A1067</v>
      </c>
      <c r="J1072" s="75" t="str">
        <f aca="false">
IF($D1072="정상",INDEX(임대자산!$D$3:$R$3000,MATCH($F1072,임대자산!$I$3:$I$3000,0),MATCH(J$4,임대자산!$D$3:$R$3,0)),
IF($D1072="폐업",INDEX(폐업정보!$D$3:$R$3000,MATCH($F1072,폐업정보!$I$3:$I$3000,0),MATCH(J$4,폐업정보!$D$3:$R$3,0)),
"Error"))</f>
        <v>6193200000</v>
      </c>
      <c r="K1072" s="75" t="str">
        <f aca="false">
IF($D1072="정상",INDEX(임대자산!$D$3:$R$3000,MATCH($F1072,임대자산!$I$3:$I$3000,0),MATCH(K$4,임대자산!$D$3:$R$3,0)),
IF($D1072="폐업",INDEX(폐업정보!$D$3:$R$3000,MATCH($F1072,폐업정보!$I$3:$I$3000,0),MATCH(K$4,폐업정보!$D$3:$R$3,0)),
"Error"))</f>
        <v>C1067</v>
      </c>
      <c r="L1072" s="75" t="str">
        <f aca="false">
IF($D1072="정상",INDEX(임대자산!$D$3:$R$3000,MATCH($F1072,임대자산!$I$3:$I$3000,0),MATCH(L$4,임대자산!$D$3:$R$3,0)),
IF($D1072="폐업",INDEX(폐업정보!$D$3:$R$3000,MATCH($F1072,폐업정보!$I$3:$I$3000,0),MATCH(L$4,폐업정보!$D$3:$R$3,0)),
"Error"))</f>
        <v>D1067</v>
      </c>
      <c r="M1072" s="76" t="s">
        <v>96</v>
      </c>
      <c r="N1072" s="77"/>
      <c r="O1072" s="78" t="s">
        <v>97</v>
      </c>
      <c r="P1072" s="79" t="n">
        <f aca="false">COUNTIFS(임대자산!$I:$I,가맹점정보!F1072,임대자산!$N:$N,가맹점정보!P$4)</f>
        <v>0</v>
      </c>
      <c r="Q1072" s="80" t="n">
        <f aca="false">COUNTIFS(임대자산!$I:$I,가맹점정보!F1072,임대자산!$N:$N,가맹점정보!Q$4)</f>
        <v>0</v>
      </c>
      <c r="R1072" s="81" t="n">
        <f aca="false">COUNTIFS(임대자산!$I:$I,가맹점정보!F1072,임대자산!$N:$N,가맹점정보!R$4)</f>
        <v>1</v>
      </c>
      <c r="S1072" s="82" t="n">
        <v>55000</v>
      </c>
      <c r="T1072" s="83" t="n">
        <v>0</v>
      </c>
      <c r="U1072" s="80" t="n">
        <f aca="false">SUM(S1072:T1072)</f>
        <v>55000</v>
      </c>
      <c r="V1072" s="84" t="s">
        <v>12</v>
      </c>
      <c r="W1072" s="80" t="e">
        <f aca="true">
IF(D1072="폐업","폐업",
IF(V1072="면제","면제",
IF(AND(V1072="정상",COUNTIFS(OFFSET(Y1072,0,COUNTA(Y1072:AV1072)-1,1,-4),"미납")&gt;=3),"장기미납",
IF(AND(V1072="정상",OFFSET(Y1072,0,COUNTA(Y1072:AV1072)-1)&gt;=U1072),"정상",
IF(AND(V1072="정상",OFFSET(Y1072,0,COUNTA(Y1072:AV1072)-1)=0),"정상",
"계약서 미작성")))))</f>
        <v>#VALUE!</v>
      </c>
      <c r="X1072" s="81" t="str">
        <f aca="true">
IF(D1072="폐업","폐업",
IF(AND(V1072="정상",OFFSET(Y1072,0,COUNTA(Y1072:AV1072)-1)="미납"),"미납",
IF(AND(V1072="정상",OFFSET(Y1072,0,COUNTA(Y1072:AV1072)-1)=0),"납부 시작 전",
IF(AND(V1072="정상",OFFSET(Y1072,0,COUNTA(Y1072:AV1072)-1)&gt;=U1072),"정상",
IF(AND(V1072="면제",OFFSET(Y1072,0,COUNTA(Y1072:AV1072)-1)="면제"),"면제",
IF(AND(V1072="면제",OFFSET(Y1072,0,COUNTA(Y1072:AV1072)-1)=0),"면제",
"확인요청"))))))</f>
        <v>정상</v>
      </c>
      <c r="Y1072" s="93" t="n">
        <v>55000</v>
      </c>
      <c r="Z1072" s="90" t="n">
        <v>55000</v>
      </c>
      <c r="AA1072" s="90" t="n">
        <v>55000</v>
      </c>
      <c r="AB1072" s="90" t="n">
        <v>55000</v>
      </c>
      <c r="AC1072" s="90" t="n">
        <v>55000</v>
      </c>
      <c r="AD1072" s="90" t="n">
        <v>55000</v>
      </c>
      <c r="AE1072" s="90" t="n">
        <v>55000</v>
      </c>
      <c r="AF1072" s="90" t="n">
        <v>55000</v>
      </c>
      <c r="AG1072" s="90" t="n">
        <v>55000</v>
      </c>
      <c r="AH1072" s="90" t="n">
        <v>55000</v>
      </c>
      <c r="AI1072" s="90" t="n">
        <v>55000</v>
      </c>
      <c r="AJ1072" s="91" t="n">
        <v>55000</v>
      </c>
      <c r="AK1072" s="89" t="n">
        <v>55000</v>
      </c>
      <c r="AL1072" s="90" t="n">
        <v>55000</v>
      </c>
      <c r="AM1072" s="90"/>
      <c r="AN1072" s="90"/>
      <c r="AO1072" s="90"/>
      <c r="AP1072" s="90"/>
      <c r="AQ1072" s="90"/>
      <c r="AR1072" s="90"/>
      <c r="AS1072" s="90"/>
      <c r="AT1072" s="90"/>
      <c r="AU1072" s="90"/>
      <c r="AV1072" s="91"/>
      <c r="AX1072" s="92"/>
    </row>
    <row r="1073" customFormat="false" ht="15.65" hidden="false" customHeight="false" outlineLevel="0" collapsed="false">
      <c r="C1073" s="72" t="n">
        <f aca="false">COUNTIFS($D$6:D1073,"&lt;&gt;"&amp;"")</f>
        <v>1068</v>
      </c>
      <c r="D1073" s="73" t="s">
        <v>12</v>
      </c>
      <c r="E1073" s="76" t="str">
        <f aca="false">
IF($D1073="정상",INDEX(임대자산!$D$3:$R$3000,MATCH($F1073,임대자산!$I$3:$I$3000,0),MATCH(E$3,임대자산!$D$3:$R$3,0)),
IF($D1073="폐업",INDEX(폐업정보!$D$3:$R$3000,MATCH($F1073,폐업정보!$I$3:$I$3000,0),MATCH(E$3,폐업정보!$D$3:$R$3,0)),
"Error"))</f>
        <v>서울</v>
      </c>
      <c r="F107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B1068</v>
      </c>
      <c r="G1073" s="76" t="str">
        <f aca="false">F1073&amp;RANDBETWEEN(0,10)</f>
        <v>B10688</v>
      </c>
      <c r="H1073" s="75" t="n">
        <f aca="false">
IF($D1073="정상",INDEX(임대자산!$D$3:$R$3000,MATCH($F1073,임대자산!$I$3:$I$3000,0),MATCH(H$4,임대자산!$D$3:$R$3,0)),
IF($D1073="폐업",INDEX(폐업정보!$D$3:$R$3000,MATCH($F1073,폐업정보!$I$3:$I$3000,0),MATCH(H$4,폐업정보!$D$3:$R$3,0)),
"Error"))</f>
        <v>44719</v>
      </c>
      <c r="I1073" s="75" t="str">
        <f aca="false">
IF($D1073="정상",INDEX(임대자산!$D$3:$R$3000,MATCH($F1073,임대자산!$I$3:$I$3000,0),MATCH(I$4,임대자산!$D$3:$R$3,0)),
IF($D1073="폐업",INDEX(폐업정보!$D$3:$R$3000,MATCH($F1073,폐업정보!$I$3:$I$3000,0),MATCH(I$4,폐업정보!$D$3:$R$3,0)),
"Error"))</f>
        <v>A1068</v>
      </c>
      <c r="J1073" s="75" t="str">
        <f aca="false">
IF($D1073="정상",INDEX(임대자산!$D$3:$R$3000,MATCH($F1073,임대자산!$I$3:$I$3000,0),MATCH(J$4,임대자산!$D$3:$R$3,0)),
IF($D1073="폐업",INDEX(폐업정보!$D$3:$R$3000,MATCH($F1073,폐업정보!$I$3:$I$3000,0),MATCH(J$4,폐업정보!$D$3:$R$3,0)),
"Error"))</f>
        <v>4501100000</v>
      </c>
      <c r="K1073" s="75" t="str">
        <f aca="false">
IF($D1073="정상",INDEX(임대자산!$D$3:$R$3000,MATCH($F1073,임대자산!$I$3:$I$3000,0),MATCH(K$4,임대자산!$D$3:$R$3,0)),
IF($D1073="폐업",INDEX(폐업정보!$D$3:$R$3000,MATCH($F1073,폐업정보!$I$3:$I$3000,0),MATCH(K$4,폐업정보!$D$3:$R$3,0)),
"Error"))</f>
        <v>C1068</v>
      </c>
      <c r="L1073" s="75" t="str">
        <f aca="false">
IF($D1073="정상",INDEX(임대자산!$D$3:$R$3000,MATCH($F1073,임대자산!$I$3:$I$3000,0),MATCH(L$4,임대자산!$D$3:$R$3,0)),
IF($D1073="폐업",INDEX(폐업정보!$D$3:$R$3000,MATCH($F1073,폐업정보!$I$3:$I$3000,0),MATCH(L$4,폐업정보!$D$3:$R$3,0)),
"Error"))</f>
        <v>D1068</v>
      </c>
      <c r="M1073" s="76" t="s">
        <v>96</v>
      </c>
      <c r="N1073" s="77"/>
      <c r="O1073" s="78" t="s">
        <v>97</v>
      </c>
      <c r="P1073" s="79" t="n">
        <f aca="false">COUNTIFS(임대자산!$I:$I,가맹점정보!F1073,임대자산!$N:$N,가맹점정보!P$4)</f>
        <v>0</v>
      </c>
      <c r="Q1073" s="80" t="n">
        <f aca="false">COUNTIFS(임대자산!$I:$I,가맹점정보!F1073,임대자산!$N:$N,가맹점정보!Q$4)</f>
        <v>0</v>
      </c>
      <c r="R1073" s="81" t="n">
        <f aca="false">COUNTIFS(임대자산!$I:$I,가맹점정보!F1073,임대자산!$N:$N,가맹점정보!R$4)</f>
        <v>1</v>
      </c>
      <c r="S1073" s="82" t="n">
        <v>55000</v>
      </c>
      <c r="T1073" s="83" t="n">
        <v>0</v>
      </c>
      <c r="U1073" s="80" t="n">
        <f aca="false">SUM(S1073:T1073)</f>
        <v>55000</v>
      </c>
      <c r="V1073" s="84" t="s">
        <v>7</v>
      </c>
      <c r="W1073" s="80" t="str">
        <f aca="true">
IF(D1073="폐업","폐업",
IF(V1073="면제","면제",
IF(AND(V1073="정상",COUNTIFS(OFFSET(Y1073,0,COUNTA(Y1073:AV1073)-1,1,-4),"미납")&gt;=3),"장기미납",
IF(AND(V1073="정상",OFFSET(Y1073,0,COUNTA(Y1073:AV1073)-1)&gt;=U1073),"정상",
IF(AND(V1073="정상",OFFSET(Y1073,0,COUNTA(Y1073:AV1073)-1)=0),"정상",
"계약서 미작성")))))</f>
        <v>면제</v>
      </c>
      <c r="X1073" s="81" t="str">
        <f aca="true">
IF(D1073="폐업","폐업",
IF(AND(V1073="정상",OFFSET(Y1073,0,COUNTA(Y1073:AV1073)-1)="미납"),"미납",
IF(AND(V1073="정상",OFFSET(Y1073,0,COUNTA(Y1073:AV1073)-1)=0),"납부 시작 전",
IF(AND(V1073="정상",OFFSET(Y1073,0,COUNTA(Y1073:AV1073)-1)&gt;=U1073),"정상",
IF(AND(V1073="면제",OFFSET(Y1073,0,COUNTA(Y1073:AV1073)-1)="면제"),"면제",
IF(AND(V1073="면제",OFFSET(Y1073,0,COUNTA(Y1073:AV1073)-1)=0),"면제",
"확인요청"))))))</f>
        <v>면제</v>
      </c>
      <c r="Y1073" s="94" t="s">
        <v>7</v>
      </c>
      <c r="Z1073" s="95" t="s">
        <v>7</v>
      </c>
      <c r="AA1073" s="95" t="s">
        <v>7</v>
      </c>
      <c r="AB1073" s="95" t="s">
        <v>7</v>
      </c>
      <c r="AC1073" s="95" t="s">
        <v>7</v>
      </c>
      <c r="AD1073" s="95" t="s">
        <v>7</v>
      </c>
      <c r="AE1073" s="95" t="s">
        <v>7</v>
      </c>
      <c r="AF1073" s="95" t="s">
        <v>7</v>
      </c>
      <c r="AG1073" s="95" t="s">
        <v>7</v>
      </c>
      <c r="AH1073" s="95" t="s">
        <v>7</v>
      </c>
      <c r="AI1073" s="95" t="s">
        <v>7</v>
      </c>
      <c r="AJ1073" s="96" t="s">
        <v>7</v>
      </c>
      <c r="AK1073" s="97" t="s">
        <v>7</v>
      </c>
      <c r="AL1073" s="95" t="s">
        <v>7</v>
      </c>
      <c r="AM1073" s="90"/>
      <c r="AN1073" s="90"/>
      <c r="AO1073" s="90"/>
      <c r="AP1073" s="90"/>
      <c r="AQ1073" s="90"/>
      <c r="AR1073" s="90"/>
      <c r="AS1073" s="90"/>
      <c r="AT1073" s="90"/>
      <c r="AU1073" s="90"/>
      <c r="AV1073" s="91"/>
      <c r="AX1073" s="92"/>
    </row>
    <row r="1074" customFormat="false" ht="15.65" hidden="false" customHeight="false" outlineLevel="0" collapsed="false">
      <c r="C1074" s="72" t="n">
        <f aca="false">COUNTIFS($D$6:D1074,"&lt;&gt;"&amp;"")</f>
        <v>1069</v>
      </c>
      <c r="D1074" s="73" t="s">
        <v>12</v>
      </c>
      <c r="E1074" s="76" t="str">
        <f aca="false">
IF($D1074="정상",INDEX(임대자산!$D$3:$R$3000,MATCH($F1074,임대자산!$I$3:$I$3000,0),MATCH(E$3,임대자산!$D$3:$R$3,0)),
IF($D1074="폐업",INDEX(폐업정보!$D$3:$R$3000,MATCH($F1074,폐업정보!$I$3:$I$3000,0),MATCH(E$3,폐업정보!$D$3:$R$3,0)),
"Error"))</f>
        <v>서울</v>
      </c>
      <c r="F107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B1069</v>
      </c>
      <c r="G1074" s="76" t="str">
        <f aca="false">F1074&amp;RANDBETWEEN(0,10)</f>
        <v>B10697</v>
      </c>
      <c r="H1074" s="75" t="n">
        <f aca="false">
IF($D1074="정상",INDEX(임대자산!$D$3:$R$3000,MATCH($F1074,임대자산!$I$3:$I$3000,0),MATCH(H$4,임대자산!$D$3:$R$3,0)),
IF($D1074="폐업",INDEX(폐업정보!$D$3:$R$3000,MATCH($F1074,폐업정보!$I$3:$I$3000,0),MATCH(H$4,폐업정보!$D$3:$R$3,0)),
"Error"))</f>
        <v>44719</v>
      </c>
      <c r="I1074" s="75" t="str">
        <f aca="false">
IF($D1074="정상",INDEX(임대자산!$D$3:$R$3000,MATCH($F1074,임대자산!$I$3:$I$3000,0),MATCH(I$4,임대자산!$D$3:$R$3,0)),
IF($D1074="폐업",INDEX(폐업정보!$D$3:$R$3000,MATCH($F1074,폐업정보!$I$3:$I$3000,0),MATCH(I$4,폐업정보!$D$3:$R$3,0)),
"Error"))</f>
        <v>A1069</v>
      </c>
      <c r="J1074" s="75" t="str">
        <f aca="false">
IF($D1074="정상",INDEX(임대자산!$D$3:$R$3000,MATCH($F1074,임대자산!$I$3:$I$3000,0),MATCH(J$4,임대자산!$D$3:$R$3,0)),
IF($D1074="폐업",INDEX(폐업정보!$D$3:$R$3000,MATCH($F1074,폐업정보!$I$3:$I$3000,0),MATCH(J$4,폐업정보!$D$3:$R$3,0)),
"Error"))</f>
        <v>9099700000</v>
      </c>
      <c r="K1074" s="75" t="str">
        <f aca="false">
IF($D1074="정상",INDEX(임대자산!$D$3:$R$3000,MATCH($F1074,임대자산!$I$3:$I$3000,0),MATCH(K$4,임대자산!$D$3:$R$3,0)),
IF($D1074="폐업",INDEX(폐업정보!$D$3:$R$3000,MATCH($F1074,폐업정보!$I$3:$I$3000,0),MATCH(K$4,폐업정보!$D$3:$R$3,0)),
"Error"))</f>
        <v>C1069</v>
      </c>
      <c r="L1074" s="75" t="str">
        <f aca="false">
IF($D1074="정상",INDEX(임대자산!$D$3:$R$3000,MATCH($F1074,임대자산!$I$3:$I$3000,0),MATCH(L$4,임대자산!$D$3:$R$3,0)),
IF($D1074="폐업",INDEX(폐업정보!$D$3:$R$3000,MATCH($F1074,폐업정보!$I$3:$I$3000,0),MATCH(L$4,폐업정보!$D$3:$R$3,0)),
"Error"))</f>
        <v>D1069</v>
      </c>
      <c r="M1074" s="76" t="s">
        <v>96</v>
      </c>
      <c r="N1074" s="77"/>
      <c r="O1074" s="78" t="s">
        <v>97</v>
      </c>
      <c r="P1074" s="79" t="n">
        <f aca="false">COUNTIFS(임대자산!$I:$I,가맹점정보!F1074,임대자산!$N:$N,가맹점정보!P$4)</f>
        <v>0</v>
      </c>
      <c r="Q1074" s="80" t="n">
        <f aca="false">COUNTIFS(임대자산!$I:$I,가맹점정보!F1074,임대자산!$N:$N,가맹점정보!Q$4)</f>
        <v>0</v>
      </c>
      <c r="R1074" s="81" t="n">
        <f aca="false">COUNTIFS(임대자산!$I:$I,가맹점정보!F1074,임대자산!$N:$N,가맹점정보!R$4)</f>
        <v>1</v>
      </c>
      <c r="S1074" s="82" t="n">
        <v>22000</v>
      </c>
      <c r="T1074" s="83" t="n">
        <v>0</v>
      </c>
      <c r="U1074" s="80" t="n">
        <f aca="false">SUM(S1074:T1074)</f>
        <v>22000</v>
      </c>
      <c r="V1074" s="84" t="s">
        <v>12</v>
      </c>
      <c r="W1074" s="80" t="e">
        <f aca="true">
IF(D1074="폐업","폐업",
IF(V1074="면제","면제",
IF(AND(V1074="정상",COUNTIFS(OFFSET(Y1074,0,COUNTA(Y1074:AV1074)-1,1,-4),"미납")&gt;=3),"장기미납",
IF(AND(V1074="정상",OFFSET(Y1074,0,COUNTA(Y1074:AV1074)-1)&gt;=U1074),"정상",
IF(AND(V1074="정상",OFFSET(Y1074,0,COUNTA(Y1074:AV1074)-1)=0),"정상",
"계약서 미작성")))))</f>
        <v>#VALUE!</v>
      </c>
      <c r="X1074" s="81" t="str">
        <f aca="true">
IF(D1074="폐업","폐업",
IF(AND(V1074="정상",OFFSET(Y1074,0,COUNTA(Y1074:AV1074)-1)="미납"),"미납",
IF(AND(V1074="정상",OFFSET(Y1074,0,COUNTA(Y1074:AV1074)-1)=0),"납부 시작 전",
IF(AND(V1074="정상",OFFSET(Y1074,0,COUNTA(Y1074:AV1074)-1)&gt;=U1074),"정상",
IF(AND(V1074="면제",OFFSET(Y1074,0,COUNTA(Y1074:AV1074)-1)="면제"),"면제",
IF(AND(V1074="면제",OFFSET(Y1074,0,COUNTA(Y1074:AV1074)-1)=0),"면제",
"확인요청"))))))</f>
        <v>정상</v>
      </c>
      <c r="Y1074" s="93" t="n">
        <v>22000</v>
      </c>
      <c r="Z1074" s="90" t="n">
        <v>22000</v>
      </c>
      <c r="AA1074" s="90" t="n">
        <v>22000</v>
      </c>
      <c r="AB1074" s="90" t="n">
        <v>22000</v>
      </c>
      <c r="AC1074" s="90" t="n">
        <v>22000</v>
      </c>
      <c r="AD1074" s="90" t="n">
        <v>22000</v>
      </c>
      <c r="AE1074" s="90" t="n">
        <v>22000</v>
      </c>
      <c r="AF1074" s="90" t="n">
        <v>22000</v>
      </c>
      <c r="AG1074" s="90" t="n">
        <v>22000</v>
      </c>
      <c r="AH1074" s="90" t="n">
        <v>22000</v>
      </c>
      <c r="AI1074" s="90" t="n">
        <v>22000</v>
      </c>
      <c r="AJ1074" s="91" t="n">
        <v>22000</v>
      </c>
      <c r="AK1074" s="89" t="n">
        <v>22000</v>
      </c>
      <c r="AL1074" s="90" t="n">
        <v>22000</v>
      </c>
      <c r="AM1074" s="90"/>
      <c r="AN1074" s="90"/>
      <c r="AO1074" s="90"/>
      <c r="AP1074" s="90"/>
      <c r="AQ1074" s="90"/>
      <c r="AR1074" s="90"/>
      <c r="AS1074" s="90"/>
      <c r="AT1074" s="90"/>
      <c r="AU1074" s="90"/>
      <c r="AV1074" s="91"/>
      <c r="AX1074" s="92"/>
    </row>
    <row r="1075" customFormat="false" ht="15.65" hidden="false" customHeight="false" outlineLevel="0" collapsed="false">
      <c r="C1075" s="72" t="n">
        <f aca="false">COUNTIFS($D$6:D1075,"&lt;&gt;"&amp;"")</f>
        <v>1070</v>
      </c>
      <c r="D1075" s="73" t="s">
        <v>12</v>
      </c>
      <c r="E1075" s="76" t="str">
        <f aca="false">
IF($D1075="정상",INDEX(임대자산!$D$3:$R$3000,MATCH($F1075,임대자산!$I$3:$I$3000,0),MATCH(E$3,임대자산!$D$3:$R$3,0)),
IF($D1075="폐업",INDEX(폐업정보!$D$3:$R$3000,MATCH($F1075,폐업정보!$I$3:$I$3000,0),MATCH(E$3,폐업정보!$D$3:$R$3,0)),
"Error"))</f>
        <v>서울</v>
      </c>
      <c r="F107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B1070</v>
      </c>
      <c r="G1075" s="76" t="str">
        <f aca="false">F1075&amp;RANDBETWEEN(0,10)</f>
        <v>B10705</v>
      </c>
      <c r="H1075" s="75" t="n">
        <f aca="false">
IF($D1075="정상",INDEX(임대자산!$D$3:$R$3000,MATCH($F1075,임대자산!$I$3:$I$3000,0),MATCH(H$4,임대자산!$D$3:$R$3,0)),
IF($D1075="폐업",INDEX(폐업정보!$D$3:$R$3000,MATCH($F1075,폐업정보!$I$3:$I$3000,0),MATCH(H$4,폐업정보!$D$3:$R$3,0)),
"Error"))</f>
        <v>44719</v>
      </c>
      <c r="I1075" s="75" t="str">
        <f aca="false">
IF($D1075="정상",INDEX(임대자산!$D$3:$R$3000,MATCH($F1075,임대자산!$I$3:$I$3000,0),MATCH(I$4,임대자산!$D$3:$R$3,0)),
IF($D1075="폐업",INDEX(폐업정보!$D$3:$R$3000,MATCH($F1075,폐업정보!$I$3:$I$3000,0),MATCH(I$4,폐업정보!$D$3:$R$3,0)),
"Error"))</f>
        <v>A1070</v>
      </c>
      <c r="J1075" s="75" t="str">
        <f aca="false">
IF($D1075="정상",INDEX(임대자산!$D$3:$R$3000,MATCH($F1075,임대자산!$I$3:$I$3000,0),MATCH(J$4,임대자산!$D$3:$R$3,0)),
IF($D1075="폐업",INDEX(폐업정보!$D$3:$R$3000,MATCH($F1075,폐업정보!$I$3:$I$3000,0),MATCH(J$4,폐업정보!$D$3:$R$3,0)),
"Error"))</f>
        <v>9545100000</v>
      </c>
      <c r="K1075" s="75" t="str">
        <f aca="false">
IF($D1075="정상",INDEX(임대자산!$D$3:$R$3000,MATCH($F1075,임대자산!$I$3:$I$3000,0),MATCH(K$4,임대자산!$D$3:$R$3,0)),
IF($D1075="폐업",INDEX(폐업정보!$D$3:$R$3000,MATCH($F1075,폐업정보!$I$3:$I$3000,0),MATCH(K$4,폐업정보!$D$3:$R$3,0)),
"Error"))</f>
        <v>C1070</v>
      </c>
      <c r="L1075" s="75" t="str">
        <f aca="false">
IF($D1075="정상",INDEX(임대자산!$D$3:$R$3000,MATCH($F1075,임대자산!$I$3:$I$3000,0),MATCH(L$4,임대자산!$D$3:$R$3,0)),
IF($D1075="폐업",INDEX(폐업정보!$D$3:$R$3000,MATCH($F1075,폐업정보!$I$3:$I$3000,0),MATCH(L$4,폐업정보!$D$3:$R$3,0)),
"Error"))</f>
        <v>D1070</v>
      </c>
      <c r="M1075" s="76" t="s">
        <v>96</v>
      </c>
      <c r="N1075" s="77"/>
      <c r="O1075" s="78" t="s">
        <v>97</v>
      </c>
      <c r="P1075" s="79" t="n">
        <f aca="false">COUNTIFS(임대자산!$I:$I,가맹점정보!F1075,임대자산!$N:$N,가맹점정보!P$4)</f>
        <v>0</v>
      </c>
      <c r="Q1075" s="80" t="n">
        <f aca="false">COUNTIFS(임대자산!$I:$I,가맹점정보!F1075,임대자산!$N:$N,가맹점정보!Q$4)</f>
        <v>0</v>
      </c>
      <c r="R1075" s="81" t="n">
        <f aca="false">COUNTIFS(임대자산!$I:$I,가맹점정보!F1075,임대자산!$N:$N,가맹점정보!R$4)</f>
        <v>1</v>
      </c>
      <c r="S1075" s="82" t="n">
        <v>55000</v>
      </c>
      <c r="T1075" s="83" t="n">
        <v>0</v>
      </c>
      <c r="U1075" s="80" t="n">
        <f aca="false">SUM(S1075:T1075)</f>
        <v>55000</v>
      </c>
      <c r="V1075" s="84" t="s">
        <v>12</v>
      </c>
      <c r="W1075" s="80" t="e">
        <f aca="true">
IF(D1075="폐업","폐업",
IF(V1075="면제","면제",
IF(AND(V1075="정상",COUNTIFS(OFFSET(Y1075,0,COUNTA(Y1075:AV1075)-1,1,-4),"미납")&gt;=3),"장기미납",
IF(AND(V1075="정상",OFFSET(Y1075,0,COUNTA(Y1075:AV1075)-1)&gt;=U1075),"정상",
IF(AND(V1075="정상",OFFSET(Y1075,0,COUNTA(Y1075:AV1075)-1)=0),"정상",
"계약서 미작성")))))</f>
        <v>#VALUE!</v>
      </c>
      <c r="X1075" s="81" t="str">
        <f aca="true">
IF(D1075="폐업","폐업",
IF(AND(V1075="정상",OFFSET(Y1075,0,COUNTA(Y1075:AV1075)-1)="미납"),"미납",
IF(AND(V1075="정상",OFFSET(Y1075,0,COUNTA(Y1075:AV1075)-1)=0),"납부 시작 전",
IF(AND(V1075="정상",OFFSET(Y1075,0,COUNTA(Y1075:AV1075)-1)&gt;=U1075),"정상",
IF(AND(V1075="면제",OFFSET(Y1075,0,COUNTA(Y1075:AV1075)-1)="면제"),"면제",
IF(AND(V1075="면제",OFFSET(Y1075,0,COUNTA(Y1075:AV1075)-1)=0),"면제",
"확인요청"))))))</f>
        <v>정상</v>
      </c>
      <c r="Y1075" s="93" t="n">
        <v>55000</v>
      </c>
      <c r="Z1075" s="90" t="n">
        <v>55000</v>
      </c>
      <c r="AA1075" s="90" t="n">
        <v>55000</v>
      </c>
      <c r="AB1075" s="90" t="n">
        <v>55000</v>
      </c>
      <c r="AC1075" s="90" t="n">
        <v>55000</v>
      </c>
      <c r="AD1075" s="90" t="n">
        <v>55000</v>
      </c>
      <c r="AE1075" s="90" t="n">
        <v>55000</v>
      </c>
      <c r="AF1075" s="90" t="n">
        <v>55000</v>
      </c>
      <c r="AG1075" s="90" t="n">
        <v>55000</v>
      </c>
      <c r="AH1075" s="90" t="n">
        <v>55000</v>
      </c>
      <c r="AI1075" s="90" t="n">
        <v>55000</v>
      </c>
      <c r="AJ1075" s="91" t="n">
        <v>55000</v>
      </c>
      <c r="AK1075" s="89" t="n">
        <v>55000</v>
      </c>
      <c r="AL1075" s="90" t="n">
        <v>55000</v>
      </c>
      <c r="AM1075" s="90"/>
      <c r="AN1075" s="90"/>
      <c r="AO1075" s="90"/>
      <c r="AP1075" s="90"/>
      <c r="AQ1075" s="90"/>
      <c r="AR1075" s="90"/>
      <c r="AS1075" s="90"/>
      <c r="AT1075" s="90"/>
      <c r="AU1075" s="90"/>
      <c r="AV1075" s="91"/>
      <c r="AX1075" s="92"/>
    </row>
    <row r="1076" customFormat="false" ht="15.65" hidden="false" customHeight="false" outlineLevel="0" collapsed="false">
      <c r="C1076" s="72" t="n">
        <f aca="false">COUNTIFS($D$6:D1076,"&lt;&gt;"&amp;"")</f>
        <v>1071</v>
      </c>
      <c r="D1076" s="73" t="s">
        <v>12</v>
      </c>
      <c r="E1076" s="76" t="str">
        <f aca="false">
IF($D1076="정상",INDEX(임대자산!$D$3:$R$3000,MATCH($F1076,임대자산!$I$3:$I$3000,0),MATCH(E$3,임대자산!$D$3:$R$3,0)),
IF($D1076="폐업",INDEX(폐업정보!$D$3:$R$3000,MATCH($F1076,폐업정보!$I$3:$I$3000,0),MATCH(E$3,폐업정보!$D$3:$R$3,0)),
"Error"))</f>
        <v>서울</v>
      </c>
      <c r="F107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B1071</v>
      </c>
      <c r="G1076" s="76" t="str">
        <f aca="false">F1076&amp;RANDBETWEEN(0,10)</f>
        <v>B10712</v>
      </c>
      <c r="H1076" s="75" t="n">
        <f aca="false">
IF($D1076="정상",INDEX(임대자산!$D$3:$R$3000,MATCH($F1076,임대자산!$I$3:$I$3000,0),MATCH(H$4,임대자산!$D$3:$R$3,0)),
IF($D1076="폐업",INDEX(폐업정보!$D$3:$R$3000,MATCH($F1076,폐업정보!$I$3:$I$3000,0),MATCH(H$4,폐업정보!$D$3:$R$3,0)),
"Error"))</f>
        <v>44966</v>
      </c>
      <c r="I1076" s="75" t="str">
        <f aca="false">
IF($D1076="정상",INDEX(임대자산!$D$3:$R$3000,MATCH($F1076,임대자산!$I$3:$I$3000,0),MATCH(I$4,임대자산!$D$3:$R$3,0)),
IF($D1076="폐업",INDEX(폐업정보!$D$3:$R$3000,MATCH($F1076,폐업정보!$I$3:$I$3000,0),MATCH(I$4,폐업정보!$D$3:$R$3,0)),
"Error"))</f>
        <v>A1071</v>
      </c>
      <c r="J1076" s="75" t="str">
        <f aca="false">
IF($D1076="정상",INDEX(임대자산!$D$3:$R$3000,MATCH($F1076,임대자산!$I$3:$I$3000,0),MATCH(J$4,임대자산!$D$3:$R$3,0)),
IF($D1076="폐업",INDEX(폐업정보!$D$3:$R$3000,MATCH($F1076,폐업정보!$I$3:$I$3000,0),MATCH(J$4,폐업정보!$D$3:$R$3,0)),
"Error"))</f>
        <v>2793200000</v>
      </c>
      <c r="K1076" s="75" t="str">
        <f aca="false">
IF($D1076="정상",INDEX(임대자산!$D$3:$R$3000,MATCH($F1076,임대자산!$I$3:$I$3000,0),MATCH(K$4,임대자산!$D$3:$R$3,0)),
IF($D1076="폐업",INDEX(폐업정보!$D$3:$R$3000,MATCH($F1076,폐업정보!$I$3:$I$3000,0),MATCH(K$4,폐업정보!$D$3:$R$3,0)),
"Error"))</f>
        <v>C1071</v>
      </c>
      <c r="L1076" s="75" t="str">
        <f aca="false">
IF($D1076="정상",INDEX(임대자산!$D$3:$R$3000,MATCH($F1076,임대자산!$I$3:$I$3000,0),MATCH(L$4,임대자산!$D$3:$R$3,0)),
IF($D1076="폐업",INDEX(폐업정보!$D$3:$R$3000,MATCH($F1076,폐업정보!$I$3:$I$3000,0),MATCH(L$4,폐업정보!$D$3:$R$3,0)),
"Error"))</f>
        <v>D1071</v>
      </c>
      <c r="M1076" s="76" t="s">
        <v>96</v>
      </c>
      <c r="N1076" s="77"/>
      <c r="O1076" s="78" t="s">
        <v>97</v>
      </c>
      <c r="P1076" s="79" t="n">
        <f aca="false">COUNTIFS(임대자산!$I:$I,가맹점정보!F1076,임대자산!$N:$N,가맹점정보!P$4)</f>
        <v>0</v>
      </c>
      <c r="Q1076" s="80" t="n">
        <f aca="false">COUNTIFS(임대자산!$I:$I,가맹점정보!F1076,임대자산!$N:$N,가맹점정보!Q$4)</f>
        <v>0</v>
      </c>
      <c r="R1076" s="81" t="n">
        <f aca="false">COUNTIFS(임대자산!$I:$I,가맹점정보!F1076,임대자산!$N:$N,가맹점정보!R$4)</f>
        <v>1</v>
      </c>
      <c r="S1076" s="82" t="n">
        <v>55000</v>
      </c>
      <c r="T1076" s="83" t="n">
        <v>0</v>
      </c>
      <c r="U1076" s="80" t="n">
        <f aca="false">SUM(S1076:T1076)</f>
        <v>55000</v>
      </c>
      <c r="V1076" s="84" t="s">
        <v>12</v>
      </c>
      <c r="W1076" s="80" t="e">
        <f aca="true">
IF(D1076="폐업","폐업",
IF(V1076="면제","면제",
IF(AND(V1076="정상",COUNTIFS(OFFSET(Y1076,0,COUNTA(Y1076:AV1076)-1,1,-4),"미납")&gt;=3),"장기미납",
IF(AND(V1076="정상",OFFSET(Y1076,0,COUNTA(Y1076:AV1076)-1)&gt;=U1076),"정상",
IF(AND(V1076="정상",OFFSET(Y1076,0,COUNTA(Y1076:AV1076)-1)=0),"정상",
"계약서 미작성")))))</f>
        <v>#VALUE!</v>
      </c>
      <c r="X1076" s="81" t="str">
        <f aca="true">
IF(D1076="폐업","폐업",
IF(AND(V1076="정상",OFFSET(Y1076,0,COUNTA(Y1076:AV1076)-1)="미납"),"미납",
IF(AND(V1076="정상",OFFSET(Y1076,0,COUNTA(Y1076:AV1076)-1)=0),"납부 시작 전",
IF(AND(V1076="정상",OFFSET(Y1076,0,COUNTA(Y1076:AV1076)-1)&gt;=U1076),"정상",
IF(AND(V1076="면제",OFFSET(Y1076,0,COUNTA(Y1076:AV1076)-1)="면제"),"면제",
IF(AND(V1076="면제",OFFSET(Y1076,0,COUNTA(Y1076:AV1076)-1)=0),"면제",
"확인요청"))))))</f>
        <v>정상</v>
      </c>
      <c r="Y1076" s="93" t="n">
        <v>55000</v>
      </c>
      <c r="Z1076" s="90" t="n">
        <v>55000</v>
      </c>
      <c r="AA1076" s="90" t="n">
        <v>55000</v>
      </c>
      <c r="AB1076" s="90" t="n">
        <v>55000</v>
      </c>
      <c r="AC1076" s="90" t="n">
        <v>55000</v>
      </c>
      <c r="AD1076" s="90" t="n">
        <v>55000</v>
      </c>
      <c r="AE1076" s="90" t="n">
        <v>55000</v>
      </c>
      <c r="AF1076" s="90" t="n">
        <v>55000</v>
      </c>
      <c r="AG1076" s="90" t="n">
        <v>55000</v>
      </c>
      <c r="AH1076" s="90" t="n">
        <v>55000</v>
      </c>
      <c r="AI1076" s="90" t="n">
        <v>55000</v>
      </c>
      <c r="AJ1076" s="91" t="n">
        <v>55000</v>
      </c>
      <c r="AK1076" s="89" t="n">
        <v>55000</v>
      </c>
      <c r="AL1076" s="90" t="n">
        <v>55000</v>
      </c>
      <c r="AM1076" s="90"/>
      <c r="AN1076" s="90"/>
      <c r="AO1076" s="90"/>
      <c r="AP1076" s="90"/>
      <c r="AQ1076" s="90"/>
      <c r="AR1076" s="90"/>
      <c r="AS1076" s="90"/>
      <c r="AT1076" s="90"/>
      <c r="AU1076" s="90"/>
      <c r="AV1076" s="91"/>
      <c r="AX1076" s="92"/>
    </row>
    <row r="1077" customFormat="false" ht="15.65" hidden="false" customHeight="false" outlineLevel="0" collapsed="false">
      <c r="C1077" s="72" t="n">
        <f aca="false">COUNTIFS($D$6:D1077,"&lt;&gt;"&amp;"")</f>
        <v>1072</v>
      </c>
      <c r="D1077" s="73" t="s">
        <v>12</v>
      </c>
      <c r="E1077" s="76" t="str">
        <f aca="false">
IF($D1077="정상",INDEX(임대자산!$D$3:$R$3000,MATCH($F1077,임대자산!$I$3:$I$3000,0),MATCH(E$3,임대자산!$D$3:$R$3,0)),
IF($D1077="폐업",INDEX(폐업정보!$D$3:$R$3000,MATCH($F1077,폐업정보!$I$3:$I$3000,0),MATCH(E$3,폐업정보!$D$3:$R$3,0)),
"Error"))</f>
        <v>서울</v>
      </c>
      <c r="F107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B1072</v>
      </c>
      <c r="G1077" s="76" t="str">
        <f aca="false">F1077&amp;RANDBETWEEN(0,10)</f>
        <v>B10724</v>
      </c>
      <c r="H1077" s="75" t="n">
        <f aca="false">
IF($D1077="정상",INDEX(임대자산!$D$3:$R$3000,MATCH($F1077,임대자산!$I$3:$I$3000,0),MATCH(H$4,임대자산!$D$3:$R$3,0)),
IF($D1077="폐업",INDEX(폐업정보!$D$3:$R$3000,MATCH($F1077,폐업정보!$I$3:$I$3000,0),MATCH(H$4,폐업정보!$D$3:$R$3,0)),
"Error"))</f>
        <v>45996</v>
      </c>
      <c r="I1077" s="75" t="str">
        <f aca="false">
IF($D1077="정상",INDEX(임대자산!$D$3:$R$3000,MATCH($F1077,임대자산!$I$3:$I$3000,0),MATCH(I$4,임대자산!$D$3:$R$3,0)),
IF($D1077="폐업",INDEX(폐업정보!$D$3:$R$3000,MATCH($F1077,폐업정보!$I$3:$I$3000,0),MATCH(I$4,폐업정보!$D$3:$R$3,0)),
"Error"))</f>
        <v>A1072</v>
      </c>
      <c r="J1077" s="75" t="str">
        <f aca="false">
IF($D1077="정상",INDEX(임대자산!$D$3:$R$3000,MATCH($F1077,임대자산!$I$3:$I$3000,0),MATCH(J$4,임대자산!$D$3:$R$3,0)),
IF($D1077="폐업",INDEX(폐업정보!$D$3:$R$3000,MATCH($F1077,폐업정보!$I$3:$I$3000,0),MATCH(J$4,폐업정보!$D$3:$R$3,0)),
"Error"))</f>
        <v>1595100000</v>
      </c>
      <c r="K1077" s="75" t="str">
        <f aca="false">
IF($D1077="정상",INDEX(임대자산!$D$3:$R$3000,MATCH($F1077,임대자산!$I$3:$I$3000,0),MATCH(K$4,임대자산!$D$3:$R$3,0)),
IF($D1077="폐업",INDEX(폐업정보!$D$3:$R$3000,MATCH($F1077,폐업정보!$I$3:$I$3000,0),MATCH(K$4,폐업정보!$D$3:$R$3,0)),
"Error"))</f>
        <v>C1072</v>
      </c>
      <c r="L1077" s="75" t="str">
        <f aca="false">
IF($D1077="정상",INDEX(임대자산!$D$3:$R$3000,MATCH($F1077,임대자산!$I$3:$I$3000,0),MATCH(L$4,임대자산!$D$3:$R$3,0)),
IF($D1077="폐업",INDEX(폐업정보!$D$3:$R$3000,MATCH($F1077,폐업정보!$I$3:$I$3000,0),MATCH(L$4,폐업정보!$D$3:$R$3,0)),
"Error"))</f>
        <v>D1072</v>
      </c>
      <c r="M1077" s="76" t="s">
        <v>96</v>
      </c>
      <c r="N1077" s="77"/>
      <c r="O1077" s="78" t="s">
        <v>97</v>
      </c>
      <c r="P1077" s="79" t="n">
        <f aca="false">COUNTIFS(임대자산!$I:$I,가맹점정보!F1077,임대자산!$N:$N,가맹점정보!P$4)</f>
        <v>0</v>
      </c>
      <c r="Q1077" s="80" t="n">
        <f aca="false">COUNTIFS(임대자산!$I:$I,가맹점정보!F1077,임대자산!$N:$N,가맹점정보!Q$4)</f>
        <v>0</v>
      </c>
      <c r="R1077" s="81" t="n">
        <f aca="false">COUNTIFS(임대자산!$I:$I,가맹점정보!F1077,임대자산!$N:$N,가맹점정보!R$4)</f>
        <v>1</v>
      </c>
      <c r="S1077" s="82" t="n">
        <v>55000</v>
      </c>
      <c r="T1077" s="83" t="n">
        <v>0</v>
      </c>
      <c r="U1077" s="80" t="n">
        <f aca="false">SUM(S1077:T1077)</f>
        <v>55000</v>
      </c>
      <c r="V1077" s="84" t="s">
        <v>7</v>
      </c>
      <c r="W1077" s="80" t="str">
        <f aca="true">
IF(D1077="폐업","폐업",
IF(V1077="면제","면제",
IF(AND(V1077="정상",COUNTIFS(OFFSET(Y1077,0,COUNTA(Y1077:AV1077)-1,1,-4),"미납")&gt;=3),"장기미납",
IF(AND(V1077="정상",OFFSET(Y1077,0,COUNTA(Y1077:AV1077)-1)&gt;=U1077),"정상",
IF(AND(V1077="정상",OFFSET(Y1077,0,COUNTA(Y1077:AV1077)-1)=0),"정상",
"계약서 미작성")))))</f>
        <v>면제</v>
      </c>
      <c r="X1077" s="81" t="str">
        <f aca="true">
IF(D1077="폐업","폐업",
IF(AND(V1077="정상",OFFSET(Y1077,0,COUNTA(Y1077:AV1077)-1)="미납"),"미납",
IF(AND(V1077="정상",OFFSET(Y1077,0,COUNTA(Y1077:AV1077)-1)=0),"납부 시작 전",
IF(AND(V1077="정상",OFFSET(Y1077,0,COUNTA(Y1077:AV1077)-1)&gt;=U1077),"정상",
IF(AND(V1077="면제",OFFSET(Y1077,0,COUNTA(Y1077:AV1077)-1)="면제"),"면제",
IF(AND(V1077="면제",OFFSET(Y1077,0,COUNTA(Y1077:AV1077)-1)=0),"면제",
"확인요청"))))))</f>
        <v>면제</v>
      </c>
      <c r="Y1077" s="93" t="n">
        <v>55000</v>
      </c>
      <c r="Z1077" s="90" t="n">
        <v>55000</v>
      </c>
      <c r="AA1077" s="90" t="n">
        <v>55000</v>
      </c>
      <c r="AB1077" s="90" t="n">
        <v>55000</v>
      </c>
      <c r="AC1077" s="90" t="n">
        <v>0</v>
      </c>
      <c r="AD1077" s="95" t="s">
        <v>7</v>
      </c>
      <c r="AE1077" s="95" t="s">
        <v>7</v>
      </c>
      <c r="AF1077" s="95" t="s">
        <v>7</v>
      </c>
      <c r="AG1077" s="95" t="s">
        <v>7</v>
      </c>
      <c r="AH1077" s="95" t="s">
        <v>7</v>
      </c>
      <c r="AI1077" s="95" t="s">
        <v>7</v>
      </c>
      <c r="AJ1077" s="96" t="s">
        <v>7</v>
      </c>
      <c r="AK1077" s="97" t="s">
        <v>7</v>
      </c>
      <c r="AL1077" s="95" t="s">
        <v>7</v>
      </c>
      <c r="AM1077" s="90"/>
      <c r="AN1077" s="90"/>
      <c r="AO1077" s="90"/>
      <c r="AP1077" s="90"/>
      <c r="AQ1077" s="90"/>
      <c r="AR1077" s="90"/>
      <c r="AS1077" s="90"/>
      <c r="AT1077" s="90"/>
      <c r="AU1077" s="90"/>
      <c r="AV1077" s="91"/>
      <c r="AX1077" s="92"/>
    </row>
    <row r="1078" customFormat="false" ht="15.65" hidden="false" customHeight="false" outlineLevel="0" collapsed="false">
      <c r="C1078" s="72" t="n">
        <f aca="false">COUNTIFS($D$6:D1078,"&lt;&gt;"&amp;"")</f>
        <v>1073</v>
      </c>
      <c r="D1078" s="73" t="s">
        <v>12</v>
      </c>
      <c r="E1078" s="76" t="str">
        <f aca="false">
IF($D1078="정상",INDEX(임대자산!$D$3:$R$3000,MATCH($F1078,임대자산!$I$3:$I$3000,0),MATCH(E$3,임대자산!$D$3:$R$3,0)),
IF($D1078="폐업",INDEX(폐업정보!$D$3:$R$3000,MATCH($F1078,폐업정보!$I$3:$I$3000,0),MATCH(E$3,폐업정보!$D$3:$R$3,0)),
"Error"))</f>
        <v>서울</v>
      </c>
      <c r="F107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B1073</v>
      </c>
      <c r="G1078" s="76" t="str">
        <f aca="false">F1078&amp;RANDBETWEEN(0,10)</f>
        <v>B10731</v>
      </c>
      <c r="H1078" s="75" t="n">
        <f aca="false">
IF($D1078="정상",INDEX(임대자산!$D$3:$R$3000,MATCH($F1078,임대자산!$I$3:$I$3000,0),MATCH(H$4,임대자산!$D$3:$R$3,0)),
IF($D1078="폐업",INDEX(폐업정보!$D$3:$R$3000,MATCH($F1078,폐업정보!$I$3:$I$3000,0),MATCH(H$4,폐업정보!$D$3:$R$3,0)),
"Error"))</f>
        <v>44736</v>
      </c>
      <c r="I1078" s="75" t="str">
        <f aca="false">
IF($D1078="정상",INDEX(임대자산!$D$3:$R$3000,MATCH($F1078,임대자산!$I$3:$I$3000,0),MATCH(I$4,임대자산!$D$3:$R$3,0)),
IF($D1078="폐업",INDEX(폐업정보!$D$3:$R$3000,MATCH($F1078,폐업정보!$I$3:$I$3000,0),MATCH(I$4,폐업정보!$D$3:$R$3,0)),
"Error"))</f>
        <v>A1073</v>
      </c>
      <c r="J1078" s="75" t="str">
        <f aca="false">
IF($D1078="정상",INDEX(임대자산!$D$3:$R$3000,MATCH($F1078,임대자산!$I$3:$I$3000,0),MATCH(J$4,임대자산!$D$3:$R$3,0)),
IF($D1078="폐업",INDEX(폐업정보!$D$3:$R$3000,MATCH($F1078,폐업정보!$I$3:$I$3000,0),MATCH(J$4,폐업정보!$D$3:$R$3,0)),
"Error"))</f>
        <v>4857200000</v>
      </c>
      <c r="K1078" s="75" t="str">
        <f aca="false">
IF($D1078="정상",INDEX(임대자산!$D$3:$R$3000,MATCH($F1078,임대자산!$I$3:$I$3000,0),MATCH(K$4,임대자산!$D$3:$R$3,0)),
IF($D1078="폐업",INDEX(폐업정보!$D$3:$R$3000,MATCH($F1078,폐업정보!$I$3:$I$3000,0),MATCH(K$4,폐업정보!$D$3:$R$3,0)),
"Error"))</f>
        <v>C1073</v>
      </c>
      <c r="L1078" s="75" t="str">
        <f aca="false">
IF($D1078="정상",INDEX(임대자산!$D$3:$R$3000,MATCH($F1078,임대자산!$I$3:$I$3000,0),MATCH(L$4,임대자산!$D$3:$R$3,0)),
IF($D1078="폐업",INDEX(폐업정보!$D$3:$R$3000,MATCH($F1078,폐업정보!$I$3:$I$3000,0),MATCH(L$4,폐업정보!$D$3:$R$3,0)),
"Error"))</f>
        <v>D1073</v>
      </c>
      <c r="M1078" s="76" t="s">
        <v>96</v>
      </c>
      <c r="N1078" s="77"/>
      <c r="O1078" s="78" t="s">
        <v>97</v>
      </c>
      <c r="P1078" s="79" t="n">
        <f aca="false">COUNTIFS(임대자산!$I:$I,가맹점정보!F1078,임대자산!$N:$N,가맹점정보!P$4)</f>
        <v>0</v>
      </c>
      <c r="Q1078" s="80" t="n">
        <f aca="false">COUNTIFS(임대자산!$I:$I,가맹점정보!F1078,임대자산!$N:$N,가맹점정보!Q$4)</f>
        <v>0</v>
      </c>
      <c r="R1078" s="81" t="n">
        <f aca="false">COUNTIFS(임대자산!$I:$I,가맹점정보!F1078,임대자산!$N:$N,가맹점정보!R$4)</f>
        <v>1</v>
      </c>
      <c r="S1078" s="82" t="n">
        <v>88000</v>
      </c>
      <c r="T1078" s="83" t="n">
        <v>0</v>
      </c>
      <c r="U1078" s="80" t="n">
        <f aca="false">SUM(S1078:T1078)</f>
        <v>88000</v>
      </c>
      <c r="V1078" s="84" t="s">
        <v>12</v>
      </c>
      <c r="W1078" s="80" t="e">
        <f aca="true">
IF(D1078="폐업","폐업",
IF(V1078="면제","면제",
IF(AND(V1078="정상",COUNTIFS(OFFSET(Y1078,0,COUNTA(Y1078:AV1078)-1,1,-4),"미납")&gt;=3),"장기미납",
IF(AND(V1078="정상",OFFSET(Y1078,0,COUNTA(Y1078:AV1078)-1)&gt;=U1078),"정상",
IF(AND(V1078="정상",OFFSET(Y1078,0,COUNTA(Y1078:AV1078)-1)=0),"정상",
"계약서 미작성")))))</f>
        <v>#VALUE!</v>
      </c>
      <c r="X1078" s="81" t="str">
        <f aca="true">
IF(D1078="폐업","폐업",
IF(AND(V1078="정상",OFFSET(Y1078,0,COUNTA(Y1078:AV1078)-1)="미납"),"미납",
IF(AND(V1078="정상",OFFSET(Y1078,0,COUNTA(Y1078:AV1078)-1)=0),"납부 시작 전",
IF(AND(V1078="정상",OFFSET(Y1078,0,COUNTA(Y1078:AV1078)-1)&gt;=U1078),"정상",
IF(AND(V1078="면제",OFFSET(Y1078,0,COUNTA(Y1078:AV1078)-1)="면제"),"면제",
IF(AND(V1078="면제",OFFSET(Y1078,0,COUNTA(Y1078:AV1078)-1)=0),"면제",
"확인요청"))))))</f>
        <v>정상</v>
      </c>
      <c r="Y1078" s="93" t="n">
        <v>88000</v>
      </c>
      <c r="Z1078" s="90" t="n">
        <v>88000</v>
      </c>
      <c r="AA1078" s="90" t="n">
        <v>88000</v>
      </c>
      <c r="AB1078" s="90" t="n">
        <v>88000</v>
      </c>
      <c r="AC1078" s="90" t="n">
        <v>88000</v>
      </c>
      <c r="AD1078" s="90" t="n">
        <v>88000</v>
      </c>
      <c r="AE1078" s="90" t="n">
        <v>88000</v>
      </c>
      <c r="AF1078" s="90" t="n">
        <v>88000</v>
      </c>
      <c r="AG1078" s="90" t="n">
        <v>88000</v>
      </c>
      <c r="AH1078" s="90" t="n">
        <v>88000</v>
      </c>
      <c r="AI1078" s="90" t="n">
        <v>88000</v>
      </c>
      <c r="AJ1078" s="91" t="n">
        <v>88000</v>
      </c>
      <c r="AK1078" s="89" t="n">
        <v>88000</v>
      </c>
      <c r="AL1078" s="90" t="n">
        <v>88000</v>
      </c>
      <c r="AM1078" s="90"/>
      <c r="AN1078" s="90"/>
      <c r="AO1078" s="90"/>
      <c r="AP1078" s="90"/>
      <c r="AQ1078" s="90"/>
      <c r="AR1078" s="90"/>
      <c r="AS1078" s="90"/>
      <c r="AT1078" s="90"/>
      <c r="AU1078" s="90"/>
      <c r="AV1078" s="91"/>
      <c r="AX1078" s="92"/>
    </row>
    <row r="1079" customFormat="false" ht="15.65" hidden="false" customHeight="false" outlineLevel="0" collapsed="false">
      <c r="C1079" s="72" t="n">
        <f aca="false">COUNTIFS($D$6:D1079,"&lt;&gt;"&amp;"")</f>
        <v>1074</v>
      </c>
      <c r="D1079" s="73" t="s">
        <v>12</v>
      </c>
      <c r="E1079" s="76" t="str">
        <f aca="false">
IF($D1079="정상",INDEX(임대자산!$D$3:$R$3000,MATCH($F1079,임대자산!$I$3:$I$3000,0),MATCH(E$3,임대자산!$D$3:$R$3,0)),
IF($D1079="폐업",INDEX(폐업정보!$D$3:$R$3000,MATCH($F1079,폐업정보!$I$3:$I$3000,0),MATCH(E$3,폐업정보!$D$3:$R$3,0)),
"Error"))</f>
        <v>서울</v>
      </c>
      <c r="F107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B1074</v>
      </c>
      <c r="G1079" s="76" t="str">
        <f aca="false">F1079&amp;RANDBETWEEN(0,10)</f>
        <v>B10746</v>
      </c>
      <c r="H1079" s="75" t="n">
        <f aca="false">
IF($D1079="정상",INDEX(임대자산!$D$3:$R$3000,MATCH($F1079,임대자산!$I$3:$I$3000,0),MATCH(H$4,임대자산!$D$3:$R$3,0)),
IF($D1079="폐업",INDEX(폐업정보!$D$3:$R$3000,MATCH($F1079,폐업정보!$I$3:$I$3000,0),MATCH(H$4,폐업정보!$D$3:$R$3,0)),
"Error"))</f>
        <v>44715</v>
      </c>
      <c r="I1079" s="75" t="str">
        <f aca="false">
IF($D1079="정상",INDEX(임대자산!$D$3:$R$3000,MATCH($F1079,임대자산!$I$3:$I$3000,0),MATCH(I$4,임대자산!$D$3:$R$3,0)),
IF($D1079="폐업",INDEX(폐업정보!$D$3:$R$3000,MATCH($F1079,폐업정보!$I$3:$I$3000,0),MATCH(I$4,폐업정보!$D$3:$R$3,0)),
"Error"))</f>
        <v>A1074</v>
      </c>
      <c r="J1079" s="75" t="str">
        <f aca="false">
IF($D1079="정상",INDEX(임대자산!$D$3:$R$3000,MATCH($F1079,임대자산!$I$3:$I$3000,0),MATCH(J$4,임대자산!$D$3:$R$3,0)),
IF($D1079="폐업",INDEX(폐업정보!$D$3:$R$3000,MATCH($F1079,폐업정보!$I$3:$I$3000,0),MATCH(J$4,폐업정보!$D$3:$R$3,0)),
"Error"))</f>
        <v>6098100000</v>
      </c>
      <c r="K1079" s="75" t="str">
        <f aca="false">
IF($D1079="정상",INDEX(임대자산!$D$3:$R$3000,MATCH($F1079,임대자산!$I$3:$I$3000,0),MATCH(K$4,임대자산!$D$3:$R$3,0)),
IF($D1079="폐업",INDEX(폐업정보!$D$3:$R$3000,MATCH($F1079,폐업정보!$I$3:$I$3000,0),MATCH(K$4,폐업정보!$D$3:$R$3,0)),
"Error"))</f>
        <v>C1074</v>
      </c>
      <c r="L1079" s="75" t="str">
        <f aca="false">
IF($D1079="정상",INDEX(임대자산!$D$3:$R$3000,MATCH($F1079,임대자산!$I$3:$I$3000,0),MATCH(L$4,임대자산!$D$3:$R$3,0)),
IF($D1079="폐업",INDEX(폐업정보!$D$3:$R$3000,MATCH($F1079,폐업정보!$I$3:$I$3000,0),MATCH(L$4,폐업정보!$D$3:$R$3,0)),
"Error"))</f>
        <v>D1074</v>
      </c>
      <c r="M1079" s="76" t="s">
        <v>96</v>
      </c>
      <c r="N1079" s="77"/>
      <c r="O1079" s="78" t="s">
        <v>97</v>
      </c>
      <c r="P1079" s="79" t="n">
        <f aca="false">COUNTIFS(임대자산!$I:$I,가맹점정보!F1079,임대자산!$N:$N,가맹점정보!P$4)</f>
        <v>0</v>
      </c>
      <c r="Q1079" s="80" t="n">
        <f aca="false">COUNTIFS(임대자산!$I:$I,가맹점정보!F1079,임대자산!$N:$N,가맹점정보!Q$4)</f>
        <v>0</v>
      </c>
      <c r="R1079" s="81" t="n">
        <f aca="false">COUNTIFS(임대자산!$I:$I,가맹점정보!F1079,임대자산!$N:$N,가맹점정보!R$4)</f>
        <v>1</v>
      </c>
      <c r="S1079" s="82" t="n">
        <v>55000</v>
      </c>
      <c r="T1079" s="83" t="n">
        <v>0</v>
      </c>
      <c r="U1079" s="80" t="n">
        <f aca="false">SUM(S1079:T1079)</f>
        <v>55000</v>
      </c>
      <c r="V1079" s="84" t="s">
        <v>12</v>
      </c>
      <c r="W1079" s="80" t="e">
        <f aca="true">
IF(D1079="폐업","폐업",
IF(V1079="면제","면제",
IF(AND(V1079="정상",COUNTIFS(OFFSET(Y1079,0,COUNTA(Y1079:AV1079)-1,1,-4),"미납")&gt;=3),"장기미납",
IF(AND(V1079="정상",OFFSET(Y1079,0,COUNTA(Y1079:AV1079)-1)&gt;=U1079),"정상",
IF(AND(V1079="정상",OFFSET(Y1079,0,COUNTA(Y1079:AV1079)-1)=0),"정상",
"계약서 미작성")))))</f>
        <v>#VALUE!</v>
      </c>
      <c r="X1079" s="81" t="str">
        <f aca="true">
IF(D1079="폐업","폐업",
IF(AND(V1079="정상",OFFSET(Y1079,0,COUNTA(Y1079:AV1079)-1)="미납"),"미납",
IF(AND(V1079="정상",OFFSET(Y1079,0,COUNTA(Y1079:AV1079)-1)=0),"납부 시작 전",
IF(AND(V1079="정상",OFFSET(Y1079,0,COUNTA(Y1079:AV1079)-1)&gt;=U1079),"정상",
IF(AND(V1079="면제",OFFSET(Y1079,0,COUNTA(Y1079:AV1079)-1)="면제"),"면제",
IF(AND(V1079="면제",OFFSET(Y1079,0,COUNTA(Y1079:AV1079)-1)=0),"면제",
"확인요청"))))))</f>
        <v>정상</v>
      </c>
      <c r="Y1079" s="93" t="n">
        <v>55000</v>
      </c>
      <c r="Z1079" s="90" t="n">
        <v>55000</v>
      </c>
      <c r="AA1079" s="90" t="n">
        <v>55000</v>
      </c>
      <c r="AB1079" s="90" t="n">
        <v>55000</v>
      </c>
      <c r="AC1079" s="90" t="n">
        <v>55000</v>
      </c>
      <c r="AD1079" s="90" t="n">
        <v>55000</v>
      </c>
      <c r="AE1079" s="95" t="s">
        <v>62</v>
      </c>
      <c r="AF1079" s="90" t="n">
        <v>55000</v>
      </c>
      <c r="AG1079" s="95" t="s">
        <v>62</v>
      </c>
      <c r="AH1079" s="90" t="n">
        <v>55000</v>
      </c>
      <c r="AI1079" s="90" t="n">
        <v>55000</v>
      </c>
      <c r="AJ1079" s="96" t="s">
        <v>62</v>
      </c>
      <c r="AK1079" s="89" t="n">
        <v>55000</v>
      </c>
      <c r="AL1079" s="90" t="n">
        <v>55000</v>
      </c>
      <c r="AM1079" s="90"/>
      <c r="AN1079" s="90"/>
      <c r="AO1079" s="90"/>
      <c r="AP1079" s="90"/>
      <c r="AQ1079" s="90"/>
      <c r="AR1079" s="90"/>
      <c r="AS1079" s="90"/>
      <c r="AT1079" s="90"/>
      <c r="AU1079" s="90"/>
      <c r="AV1079" s="91"/>
      <c r="AX1079" s="92"/>
    </row>
    <row r="1080" customFormat="false" ht="15.65" hidden="false" customHeight="false" outlineLevel="0" collapsed="false">
      <c r="C1080" s="72" t="n">
        <f aca="false">COUNTIFS($D$6:D1080,"&lt;&gt;"&amp;"")</f>
        <v>1075</v>
      </c>
      <c r="D1080" s="73" t="s">
        <v>12</v>
      </c>
      <c r="E1080" s="76" t="str">
        <f aca="false">
IF($D1080="정상",INDEX(임대자산!$D$3:$R$3000,MATCH($F1080,임대자산!$I$3:$I$3000,0),MATCH(E$3,임대자산!$D$3:$R$3,0)),
IF($D1080="폐업",INDEX(폐업정보!$D$3:$R$3000,MATCH($F1080,폐업정보!$I$3:$I$3000,0),MATCH(E$3,폐업정보!$D$3:$R$3,0)),
"Error"))</f>
        <v>서울</v>
      </c>
      <c r="F108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B1075</v>
      </c>
      <c r="G1080" s="76" t="str">
        <f aca="false">F1080&amp;RANDBETWEEN(0,10)</f>
        <v>B10757</v>
      </c>
      <c r="H1080" s="75" t="n">
        <f aca="false">
IF($D1080="정상",INDEX(임대자산!$D$3:$R$3000,MATCH($F1080,임대자산!$I$3:$I$3000,0),MATCH(H$4,임대자산!$D$3:$R$3,0)),
IF($D1080="폐업",INDEX(폐업정보!$D$3:$R$3000,MATCH($F1080,폐업정보!$I$3:$I$3000,0),MATCH(H$4,폐업정보!$D$3:$R$3,0)),
"Error"))</f>
        <v>44827</v>
      </c>
      <c r="I1080" s="75" t="str">
        <f aca="false">
IF($D1080="정상",INDEX(임대자산!$D$3:$R$3000,MATCH($F1080,임대자산!$I$3:$I$3000,0),MATCH(I$4,임대자산!$D$3:$R$3,0)),
IF($D1080="폐업",INDEX(폐업정보!$D$3:$R$3000,MATCH($F1080,폐업정보!$I$3:$I$3000,0),MATCH(I$4,폐업정보!$D$3:$R$3,0)),
"Error"))</f>
        <v>A1075</v>
      </c>
      <c r="J1080" s="75" t="str">
        <f aca="false">
IF($D1080="정상",INDEX(임대자산!$D$3:$R$3000,MATCH($F1080,임대자산!$I$3:$I$3000,0),MATCH(J$4,임대자산!$D$3:$R$3,0)),
IF($D1080="폐업",INDEX(폐업정보!$D$3:$R$3000,MATCH($F1080,폐업정보!$I$3:$I$3000,0),MATCH(J$4,폐업정보!$D$3:$R$3,0)),
"Error"))</f>
        <v>1224000000</v>
      </c>
      <c r="K1080" s="75" t="str">
        <f aca="false">
IF($D1080="정상",INDEX(임대자산!$D$3:$R$3000,MATCH($F1080,임대자산!$I$3:$I$3000,0),MATCH(K$4,임대자산!$D$3:$R$3,0)),
IF($D1080="폐업",INDEX(폐업정보!$D$3:$R$3000,MATCH($F1080,폐업정보!$I$3:$I$3000,0),MATCH(K$4,폐업정보!$D$3:$R$3,0)),
"Error"))</f>
        <v>C1075</v>
      </c>
      <c r="L1080" s="75" t="str">
        <f aca="false">
IF($D1080="정상",INDEX(임대자산!$D$3:$R$3000,MATCH($F1080,임대자산!$I$3:$I$3000,0),MATCH(L$4,임대자산!$D$3:$R$3,0)),
IF($D1080="폐업",INDEX(폐업정보!$D$3:$R$3000,MATCH($F1080,폐업정보!$I$3:$I$3000,0),MATCH(L$4,폐업정보!$D$3:$R$3,0)),
"Error"))</f>
        <v>D1075</v>
      </c>
      <c r="M1080" s="76" t="s">
        <v>96</v>
      </c>
      <c r="N1080" s="77"/>
      <c r="O1080" s="78" t="s">
        <v>97</v>
      </c>
      <c r="P1080" s="79" t="n">
        <f aca="false">COUNTIFS(임대자산!$I:$I,가맹점정보!F1080,임대자산!$N:$N,가맹점정보!P$4)</f>
        <v>0</v>
      </c>
      <c r="Q1080" s="80" t="n">
        <f aca="false">COUNTIFS(임대자산!$I:$I,가맹점정보!F1080,임대자산!$N:$N,가맹점정보!Q$4)</f>
        <v>0</v>
      </c>
      <c r="R1080" s="81" t="n">
        <f aca="false">COUNTIFS(임대자산!$I:$I,가맹점정보!F1080,임대자산!$N:$N,가맹점정보!R$4)</f>
        <v>1</v>
      </c>
      <c r="S1080" s="82" t="n">
        <v>55000</v>
      </c>
      <c r="T1080" s="83" t="n">
        <v>0</v>
      </c>
      <c r="U1080" s="80" t="n">
        <f aca="false">SUM(S1080:T1080)</f>
        <v>55000</v>
      </c>
      <c r="V1080" s="84" t="s">
        <v>12</v>
      </c>
      <c r="W1080" s="80" t="e">
        <f aca="true">
IF(D1080="폐업","폐업",
IF(V1080="면제","면제",
IF(AND(V1080="정상",COUNTIFS(OFFSET(Y1080,0,COUNTA(Y1080:AV1080)-1,1,-4),"미납")&gt;=3),"장기미납",
IF(AND(V1080="정상",OFFSET(Y1080,0,COUNTA(Y1080:AV1080)-1)&gt;=U1080),"정상",
IF(AND(V1080="정상",OFFSET(Y1080,0,COUNTA(Y1080:AV1080)-1)=0),"정상",
"계약서 미작성")))))</f>
        <v>#VALUE!</v>
      </c>
      <c r="X1080" s="81" t="str">
        <f aca="true">
IF(D1080="폐업","폐업",
IF(AND(V1080="정상",OFFSET(Y1080,0,COUNTA(Y1080:AV1080)-1)="미납"),"미납",
IF(AND(V1080="정상",OFFSET(Y1080,0,COUNTA(Y1080:AV1080)-1)=0),"납부 시작 전",
IF(AND(V1080="정상",OFFSET(Y1080,0,COUNTA(Y1080:AV1080)-1)&gt;=U1080),"정상",
IF(AND(V1080="면제",OFFSET(Y1080,0,COUNTA(Y1080:AV1080)-1)="면제"),"면제",
IF(AND(V1080="면제",OFFSET(Y1080,0,COUNTA(Y1080:AV1080)-1)=0),"면제",
"확인요청"))))))</f>
        <v>정상</v>
      </c>
      <c r="Y1080" s="93" t="n">
        <v>55000</v>
      </c>
      <c r="Z1080" s="90" t="n">
        <v>55000</v>
      </c>
      <c r="AA1080" s="90" t="n">
        <v>55000</v>
      </c>
      <c r="AB1080" s="90" t="n">
        <v>55000</v>
      </c>
      <c r="AC1080" s="90" t="n">
        <v>55000</v>
      </c>
      <c r="AD1080" s="90" t="n">
        <v>55000</v>
      </c>
      <c r="AE1080" s="90" t="n">
        <v>55000</v>
      </c>
      <c r="AF1080" s="90" t="n">
        <v>55000</v>
      </c>
      <c r="AG1080" s="90" t="n">
        <v>55000</v>
      </c>
      <c r="AH1080" s="90" t="n">
        <v>55000</v>
      </c>
      <c r="AI1080" s="90" t="n">
        <v>55000</v>
      </c>
      <c r="AJ1080" s="91" t="n">
        <v>55000</v>
      </c>
      <c r="AK1080" s="89" t="n">
        <v>55000</v>
      </c>
      <c r="AL1080" s="90" t="n">
        <v>55000</v>
      </c>
      <c r="AM1080" s="90"/>
      <c r="AN1080" s="90"/>
      <c r="AO1080" s="90"/>
      <c r="AP1080" s="90"/>
      <c r="AQ1080" s="90"/>
      <c r="AR1080" s="90"/>
      <c r="AS1080" s="90"/>
      <c r="AT1080" s="90"/>
      <c r="AU1080" s="90"/>
      <c r="AV1080" s="91"/>
      <c r="AX1080" s="92"/>
    </row>
    <row r="1081" customFormat="false" ht="15.65" hidden="false" customHeight="false" outlineLevel="0" collapsed="false">
      <c r="C1081" s="72" t="n">
        <f aca="false">COUNTIFS($D$6:D1081,"&lt;&gt;"&amp;"")</f>
        <v>1076</v>
      </c>
      <c r="D1081" s="73" t="s">
        <v>12</v>
      </c>
      <c r="E1081" s="76" t="str">
        <f aca="false">
IF($D1081="정상",INDEX(임대자산!$D$3:$R$3000,MATCH($F1081,임대자산!$I$3:$I$3000,0),MATCH(E$3,임대자산!$D$3:$R$3,0)),
IF($D1081="폐업",INDEX(폐업정보!$D$3:$R$3000,MATCH($F1081,폐업정보!$I$3:$I$3000,0),MATCH(E$3,폐업정보!$D$3:$R$3,0)),
"Error"))</f>
        <v>서울</v>
      </c>
      <c r="F108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B1076</v>
      </c>
      <c r="G1081" s="76" t="str">
        <f aca="false">F1081&amp;RANDBETWEEN(0,10)</f>
        <v>B10767</v>
      </c>
      <c r="H1081" s="75" t="n">
        <f aca="false">
IF($D1081="정상",INDEX(임대자산!$D$3:$R$3000,MATCH($F1081,임대자산!$I$3:$I$3000,0),MATCH(H$4,임대자산!$D$3:$R$3,0)),
IF($D1081="폐업",INDEX(폐업정보!$D$3:$R$3000,MATCH($F1081,폐업정보!$I$3:$I$3000,0),MATCH(H$4,폐업정보!$D$3:$R$3,0)),
"Error"))</f>
        <v>44715</v>
      </c>
      <c r="I1081" s="75" t="str">
        <f aca="false">
IF($D1081="정상",INDEX(임대자산!$D$3:$R$3000,MATCH($F1081,임대자산!$I$3:$I$3000,0),MATCH(I$4,임대자산!$D$3:$R$3,0)),
IF($D1081="폐업",INDEX(폐업정보!$D$3:$R$3000,MATCH($F1081,폐업정보!$I$3:$I$3000,0),MATCH(I$4,폐업정보!$D$3:$R$3,0)),
"Error"))</f>
        <v>A1076</v>
      </c>
      <c r="J1081" s="75" t="str">
        <f aca="false">
IF($D1081="정상",INDEX(임대자산!$D$3:$R$3000,MATCH($F1081,임대자산!$I$3:$I$3000,0),MATCH(J$4,임대자산!$D$3:$R$3,0)),
IF($D1081="폐업",INDEX(폐업정보!$D$3:$R$3000,MATCH($F1081,폐업정보!$I$3:$I$3000,0),MATCH(J$4,폐업정보!$D$3:$R$3,0)),
"Error"))</f>
        <v>6459700000</v>
      </c>
      <c r="K1081" s="75" t="str">
        <f aca="false">
IF($D1081="정상",INDEX(임대자산!$D$3:$R$3000,MATCH($F1081,임대자산!$I$3:$I$3000,0),MATCH(K$4,임대자산!$D$3:$R$3,0)),
IF($D1081="폐업",INDEX(폐업정보!$D$3:$R$3000,MATCH($F1081,폐업정보!$I$3:$I$3000,0),MATCH(K$4,폐업정보!$D$3:$R$3,0)),
"Error"))</f>
        <v>C1076</v>
      </c>
      <c r="L1081" s="75" t="str">
        <f aca="false">
IF($D1081="정상",INDEX(임대자산!$D$3:$R$3000,MATCH($F1081,임대자산!$I$3:$I$3000,0),MATCH(L$4,임대자산!$D$3:$R$3,0)),
IF($D1081="폐업",INDEX(폐업정보!$D$3:$R$3000,MATCH($F1081,폐업정보!$I$3:$I$3000,0),MATCH(L$4,폐업정보!$D$3:$R$3,0)),
"Error"))</f>
        <v>D1076</v>
      </c>
      <c r="M1081" s="76" t="s">
        <v>96</v>
      </c>
      <c r="N1081" s="77"/>
      <c r="O1081" s="78" t="s">
        <v>97</v>
      </c>
      <c r="P1081" s="79" t="n">
        <f aca="false">COUNTIFS(임대자산!$I:$I,가맹점정보!F1081,임대자산!$N:$N,가맹점정보!P$4)</f>
        <v>0</v>
      </c>
      <c r="Q1081" s="80" t="n">
        <f aca="false">COUNTIFS(임대자산!$I:$I,가맹점정보!F1081,임대자산!$N:$N,가맹점정보!Q$4)</f>
        <v>0</v>
      </c>
      <c r="R1081" s="81" t="n">
        <f aca="false">COUNTIFS(임대자산!$I:$I,가맹점정보!F1081,임대자산!$N:$N,가맹점정보!R$4)</f>
        <v>1</v>
      </c>
      <c r="S1081" s="82" t="n">
        <v>55000</v>
      </c>
      <c r="T1081" s="83" t="n">
        <v>0</v>
      </c>
      <c r="U1081" s="80" t="n">
        <f aca="false">SUM(S1081:T1081)</f>
        <v>55000</v>
      </c>
      <c r="V1081" s="84" t="s">
        <v>12</v>
      </c>
      <c r="W1081" s="80" t="e">
        <f aca="true">
IF(D1081="폐업","폐업",
IF(V1081="면제","면제",
IF(AND(V1081="정상",COUNTIFS(OFFSET(Y1081,0,COUNTA(Y1081:AV1081)-1,1,-4),"미납")&gt;=3),"장기미납",
IF(AND(V1081="정상",OFFSET(Y1081,0,COUNTA(Y1081:AV1081)-1)&gt;=U1081),"정상",
IF(AND(V1081="정상",OFFSET(Y1081,0,COUNTA(Y1081:AV1081)-1)=0),"정상",
"계약서 미작성")))))</f>
        <v>#VALUE!</v>
      </c>
      <c r="X1081" s="81" t="str">
        <f aca="true">
IF(D1081="폐업","폐업",
IF(AND(V1081="정상",OFFSET(Y1081,0,COUNTA(Y1081:AV1081)-1)="미납"),"미납",
IF(AND(V1081="정상",OFFSET(Y1081,0,COUNTA(Y1081:AV1081)-1)=0),"납부 시작 전",
IF(AND(V1081="정상",OFFSET(Y1081,0,COUNTA(Y1081:AV1081)-1)&gt;=U1081),"정상",
IF(AND(V1081="면제",OFFSET(Y1081,0,COUNTA(Y1081:AV1081)-1)="면제"),"면제",
IF(AND(V1081="면제",OFFSET(Y1081,0,COUNTA(Y1081:AV1081)-1)=0),"면제",
"확인요청"))))))</f>
        <v>정상</v>
      </c>
      <c r="Y1081" s="93" t="n">
        <v>55000</v>
      </c>
      <c r="Z1081" s="90" t="n">
        <v>55000</v>
      </c>
      <c r="AA1081" s="90" t="n">
        <v>55000</v>
      </c>
      <c r="AB1081" s="90" t="n">
        <v>55000</v>
      </c>
      <c r="AC1081" s="90" t="n">
        <v>55000</v>
      </c>
      <c r="AD1081" s="90" t="n">
        <v>55000</v>
      </c>
      <c r="AE1081" s="90" t="n">
        <v>55000</v>
      </c>
      <c r="AF1081" s="90" t="n">
        <v>55000</v>
      </c>
      <c r="AG1081" s="90" t="n">
        <v>55000</v>
      </c>
      <c r="AH1081" s="90" t="n">
        <v>55000</v>
      </c>
      <c r="AI1081" s="90" t="n">
        <v>55000</v>
      </c>
      <c r="AJ1081" s="91" t="n">
        <v>55000</v>
      </c>
      <c r="AK1081" s="89" t="n">
        <v>55000</v>
      </c>
      <c r="AL1081" s="90" t="n">
        <v>55000</v>
      </c>
      <c r="AM1081" s="90"/>
      <c r="AN1081" s="90"/>
      <c r="AO1081" s="90"/>
      <c r="AP1081" s="90"/>
      <c r="AQ1081" s="90"/>
      <c r="AR1081" s="90"/>
      <c r="AS1081" s="90"/>
      <c r="AT1081" s="90"/>
      <c r="AU1081" s="90"/>
      <c r="AV1081" s="91"/>
      <c r="AX1081" s="92"/>
    </row>
    <row r="1082" customFormat="false" ht="15.65" hidden="false" customHeight="false" outlineLevel="0" collapsed="false">
      <c r="C1082" s="72" t="n">
        <f aca="false">COUNTIFS($D$6:D1082,"&lt;&gt;"&amp;"")</f>
        <v>1077</v>
      </c>
      <c r="D1082" s="73" t="s">
        <v>12</v>
      </c>
      <c r="E1082" s="76" t="str">
        <f aca="false">
IF($D1082="정상",INDEX(임대자산!$D$3:$R$3000,MATCH($F1082,임대자산!$I$3:$I$3000,0),MATCH(E$3,임대자산!$D$3:$R$3,0)),
IF($D1082="폐업",INDEX(폐업정보!$D$3:$R$3000,MATCH($F1082,폐업정보!$I$3:$I$3000,0),MATCH(E$3,폐업정보!$D$3:$R$3,0)),
"Error"))</f>
        <v>서울</v>
      </c>
      <c r="F108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B1077</v>
      </c>
      <c r="G1082" s="76" t="str">
        <f aca="false">F1082&amp;RANDBETWEEN(0,10)</f>
        <v>B107710</v>
      </c>
      <c r="H1082" s="75" t="n">
        <f aca="false">
IF($D1082="정상",INDEX(임대자산!$D$3:$R$3000,MATCH($F1082,임대자산!$I$3:$I$3000,0),MATCH(H$4,임대자산!$D$3:$R$3,0)),
IF($D1082="폐업",INDEX(폐업정보!$D$3:$R$3000,MATCH($F1082,폐업정보!$I$3:$I$3000,0),MATCH(H$4,폐업정보!$D$3:$R$3,0)),
"Error"))</f>
        <v>44711</v>
      </c>
      <c r="I1082" s="75" t="str">
        <f aca="false">
IF($D1082="정상",INDEX(임대자산!$D$3:$R$3000,MATCH($F1082,임대자산!$I$3:$I$3000,0),MATCH(I$4,임대자산!$D$3:$R$3,0)),
IF($D1082="폐업",INDEX(폐업정보!$D$3:$R$3000,MATCH($F1082,폐업정보!$I$3:$I$3000,0),MATCH(I$4,폐업정보!$D$3:$R$3,0)),
"Error"))</f>
        <v>A1077</v>
      </c>
      <c r="J1082" s="75" t="str">
        <f aca="false">
IF($D1082="정상",INDEX(임대자산!$D$3:$R$3000,MATCH($F1082,임대자산!$I$3:$I$3000,0),MATCH(J$4,임대자산!$D$3:$R$3,0)),
IF($D1082="폐업",INDEX(폐업정보!$D$3:$R$3000,MATCH($F1082,폐업정보!$I$3:$I$3000,0),MATCH(J$4,폐업정보!$D$3:$R$3,0)),
"Error"))</f>
        <v>7449000000</v>
      </c>
      <c r="K1082" s="75" t="str">
        <f aca="false">
IF($D1082="정상",INDEX(임대자산!$D$3:$R$3000,MATCH($F1082,임대자산!$I$3:$I$3000,0),MATCH(K$4,임대자산!$D$3:$R$3,0)),
IF($D1082="폐업",INDEX(폐업정보!$D$3:$R$3000,MATCH($F1082,폐업정보!$I$3:$I$3000,0),MATCH(K$4,폐업정보!$D$3:$R$3,0)),
"Error"))</f>
        <v>C1077</v>
      </c>
      <c r="L1082" s="75" t="str">
        <f aca="false">
IF($D1082="정상",INDEX(임대자산!$D$3:$R$3000,MATCH($F1082,임대자산!$I$3:$I$3000,0),MATCH(L$4,임대자산!$D$3:$R$3,0)),
IF($D1082="폐업",INDEX(폐업정보!$D$3:$R$3000,MATCH($F1082,폐업정보!$I$3:$I$3000,0),MATCH(L$4,폐업정보!$D$3:$R$3,0)),
"Error"))</f>
        <v>D1077</v>
      </c>
      <c r="M1082" s="76" t="s">
        <v>96</v>
      </c>
      <c r="N1082" s="77"/>
      <c r="O1082" s="78" t="s">
        <v>97</v>
      </c>
      <c r="P1082" s="79" t="n">
        <f aca="false">COUNTIFS(임대자산!$I:$I,가맹점정보!F1082,임대자산!$N:$N,가맹점정보!P$4)</f>
        <v>0</v>
      </c>
      <c r="Q1082" s="80" t="n">
        <f aca="false">COUNTIFS(임대자산!$I:$I,가맹점정보!F1082,임대자산!$N:$N,가맹점정보!Q$4)</f>
        <v>0</v>
      </c>
      <c r="R1082" s="81" t="n">
        <f aca="false">COUNTIFS(임대자산!$I:$I,가맹점정보!F1082,임대자산!$N:$N,가맹점정보!R$4)</f>
        <v>1</v>
      </c>
      <c r="S1082" s="82" t="n">
        <v>55000</v>
      </c>
      <c r="T1082" s="83" t="n">
        <v>0</v>
      </c>
      <c r="U1082" s="80" t="n">
        <f aca="false">SUM(S1082:T1082)</f>
        <v>55000</v>
      </c>
      <c r="V1082" s="84" t="s">
        <v>12</v>
      </c>
      <c r="W1082" s="80" t="e">
        <f aca="true">
IF(D1082="폐업","폐업",
IF(V1082="면제","면제",
IF(AND(V1082="정상",COUNTIFS(OFFSET(Y1082,0,COUNTA(Y1082:AV1082)-1,1,-4),"미납")&gt;=3),"장기미납",
IF(AND(V1082="정상",OFFSET(Y1082,0,COUNTA(Y1082:AV1082)-1)&gt;=U1082),"정상",
IF(AND(V1082="정상",OFFSET(Y1082,0,COUNTA(Y1082:AV1082)-1)=0),"정상",
"계약서 미작성")))))</f>
        <v>#VALUE!</v>
      </c>
      <c r="X1082" s="81" t="str">
        <f aca="true">
IF(D1082="폐업","폐업",
IF(AND(V1082="정상",OFFSET(Y1082,0,COUNTA(Y1082:AV1082)-1)="미납"),"미납",
IF(AND(V1082="정상",OFFSET(Y1082,0,COUNTA(Y1082:AV1082)-1)=0),"납부 시작 전",
IF(AND(V1082="정상",OFFSET(Y1082,0,COUNTA(Y1082:AV1082)-1)&gt;=U1082),"정상",
IF(AND(V1082="면제",OFFSET(Y1082,0,COUNTA(Y1082:AV1082)-1)="면제"),"면제",
IF(AND(V1082="면제",OFFSET(Y1082,0,COUNTA(Y1082:AV1082)-1)=0),"면제",
"확인요청"))))))</f>
        <v>정상</v>
      </c>
      <c r="Y1082" s="93" t="n">
        <v>55000</v>
      </c>
      <c r="Z1082" s="90" t="n">
        <v>55000</v>
      </c>
      <c r="AA1082" s="90" t="n">
        <v>55000</v>
      </c>
      <c r="AB1082" s="90" t="n">
        <v>55000</v>
      </c>
      <c r="AC1082" s="90" t="n">
        <v>55000</v>
      </c>
      <c r="AD1082" s="90" t="n">
        <v>55000</v>
      </c>
      <c r="AE1082" s="90" t="n">
        <v>55000</v>
      </c>
      <c r="AF1082" s="90" t="n">
        <v>55000</v>
      </c>
      <c r="AG1082" s="90" t="n">
        <v>55000</v>
      </c>
      <c r="AH1082" s="90" t="n">
        <v>55000</v>
      </c>
      <c r="AI1082" s="90" t="n">
        <v>55000</v>
      </c>
      <c r="AJ1082" s="91" t="n">
        <v>55000</v>
      </c>
      <c r="AK1082" s="89" t="n">
        <v>55000</v>
      </c>
      <c r="AL1082" s="90" t="n">
        <v>55000</v>
      </c>
      <c r="AM1082" s="90"/>
      <c r="AN1082" s="90"/>
      <c r="AO1082" s="90"/>
      <c r="AP1082" s="90"/>
      <c r="AQ1082" s="90"/>
      <c r="AR1082" s="90"/>
      <c r="AS1082" s="90"/>
      <c r="AT1082" s="90"/>
      <c r="AU1082" s="90"/>
      <c r="AV1082" s="91"/>
      <c r="AX1082" s="92"/>
    </row>
    <row r="1083" customFormat="false" ht="15.65" hidden="false" customHeight="false" outlineLevel="0" collapsed="false">
      <c r="C1083" s="72" t="n">
        <f aca="false">COUNTIFS($D$6:D1083,"&lt;&gt;"&amp;"")</f>
        <v>1078</v>
      </c>
      <c r="D1083" s="73" t="s">
        <v>12</v>
      </c>
      <c r="E1083" s="76" t="str">
        <f aca="false">
IF($D1083="정상",INDEX(임대자산!$D$3:$R$3000,MATCH($F1083,임대자산!$I$3:$I$3000,0),MATCH(E$3,임대자산!$D$3:$R$3,0)),
IF($D1083="폐업",INDEX(폐업정보!$D$3:$R$3000,MATCH($F1083,폐업정보!$I$3:$I$3000,0),MATCH(E$3,폐업정보!$D$3:$R$3,0)),
"Error"))</f>
        <v>서울</v>
      </c>
      <c r="F108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B1078</v>
      </c>
      <c r="G1083" s="76" t="str">
        <f aca="false">F1083&amp;RANDBETWEEN(0,10)</f>
        <v>B10785</v>
      </c>
      <c r="H1083" s="75" t="n">
        <f aca="false">
IF($D1083="정상",INDEX(임대자산!$D$3:$R$3000,MATCH($F1083,임대자산!$I$3:$I$3000,0),MATCH(H$4,임대자산!$D$3:$R$3,0)),
IF($D1083="폐업",INDEX(폐업정보!$D$3:$R$3000,MATCH($F1083,폐업정보!$I$3:$I$3000,0),MATCH(H$4,폐업정보!$D$3:$R$3,0)),
"Error"))</f>
        <v>44711</v>
      </c>
      <c r="I1083" s="75" t="str">
        <f aca="false">
IF($D1083="정상",INDEX(임대자산!$D$3:$R$3000,MATCH($F1083,임대자산!$I$3:$I$3000,0),MATCH(I$4,임대자산!$D$3:$R$3,0)),
IF($D1083="폐업",INDEX(폐업정보!$D$3:$R$3000,MATCH($F1083,폐업정보!$I$3:$I$3000,0),MATCH(I$4,폐업정보!$D$3:$R$3,0)),
"Error"))</f>
        <v>A1078</v>
      </c>
      <c r="J1083" s="75" t="str">
        <f aca="false">
IF($D1083="정상",INDEX(임대자산!$D$3:$R$3000,MATCH($F1083,임대자산!$I$3:$I$3000,0),MATCH(J$4,임대자산!$D$3:$R$3,0)),
IF($D1083="폐업",INDEX(폐업정보!$D$3:$R$3000,MATCH($F1083,폐업정보!$I$3:$I$3000,0),MATCH(J$4,폐업정보!$D$3:$R$3,0)),
"Error"))</f>
        <v>1916300000</v>
      </c>
      <c r="K1083" s="75" t="str">
        <f aca="false">
IF($D1083="정상",INDEX(임대자산!$D$3:$R$3000,MATCH($F1083,임대자산!$I$3:$I$3000,0),MATCH(K$4,임대자산!$D$3:$R$3,0)),
IF($D1083="폐업",INDEX(폐업정보!$D$3:$R$3000,MATCH($F1083,폐업정보!$I$3:$I$3000,0),MATCH(K$4,폐업정보!$D$3:$R$3,0)),
"Error"))</f>
        <v>C1078</v>
      </c>
      <c r="L1083" s="75" t="str">
        <f aca="false">
IF($D1083="정상",INDEX(임대자산!$D$3:$R$3000,MATCH($F1083,임대자산!$I$3:$I$3000,0),MATCH(L$4,임대자산!$D$3:$R$3,0)),
IF($D1083="폐업",INDEX(폐업정보!$D$3:$R$3000,MATCH($F1083,폐업정보!$I$3:$I$3000,0),MATCH(L$4,폐업정보!$D$3:$R$3,0)),
"Error"))</f>
        <v>D1078</v>
      </c>
      <c r="M1083" s="76" t="s">
        <v>96</v>
      </c>
      <c r="N1083" s="77"/>
      <c r="O1083" s="78" t="s">
        <v>97</v>
      </c>
      <c r="P1083" s="79" t="n">
        <f aca="false">COUNTIFS(임대자산!$I:$I,가맹점정보!F1083,임대자산!$N:$N,가맹점정보!P$4)</f>
        <v>0</v>
      </c>
      <c r="Q1083" s="80" t="n">
        <f aca="false">COUNTIFS(임대자산!$I:$I,가맹점정보!F1083,임대자산!$N:$N,가맹점정보!Q$4)</f>
        <v>0</v>
      </c>
      <c r="R1083" s="81" t="n">
        <f aca="false">COUNTIFS(임대자산!$I:$I,가맹점정보!F1083,임대자산!$N:$N,가맹점정보!R$4)</f>
        <v>1</v>
      </c>
      <c r="S1083" s="82" t="n">
        <v>55000</v>
      </c>
      <c r="T1083" s="83" t="n">
        <v>0</v>
      </c>
      <c r="U1083" s="80" t="n">
        <f aca="false">SUM(S1083:T1083)</f>
        <v>55000</v>
      </c>
      <c r="V1083" s="84" t="s">
        <v>12</v>
      </c>
      <c r="W1083" s="80" t="e">
        <f aca="true">
IF(D1083="폐업","폐업",
IF(V1083="면제","면제",
IF(AND(V1083="정상",COUNTIFS(OFFSET(Y1083,0,COUNTA(Y1083:AV1083)-1,1,-4),"미납")&gt;=3),"장기미납",
IF(AND(V1083="정상",OFFSET(Y1083,0,COUNTA(Y1083:AV1083)-1)&gt;=U1083),"정상",
IF(AND(V1083="정상",OFFSET(Y1083,0,COUNTA(Y1083:AV1083)-1)=0),"정상",
"계약서 미작성")))))</f>
        <v>#VALUE!</v>
      </c>
      <c r="X1083" s="81" t="str">
        <f aca="true">
IF(D1083="폐업","폐업",
IF(AND(V1083="정상",OFFSET(Y1083,0,COUNTA(Y1083:AV1083)-1)="미납"),"미납",
IF(AND(V1083="정상",OFFSET(Y1083,0,COUNTA(Y1083:AV1083)-1)=0),"납부 시작 전",
IF(AND(V1083="정상",OFFSET(Y1083,0,COUNTA(Y1083:AV1083)-1)&gt;=U1083),"정상",
IF(AND(V1083="면제",OFFSET(Y1083,0,COUNTA(Y1083:AV1083)-1)="면제"),"면제",
IF(AND(V1083="면제",OFFSET(Y1083,0,COUNTA(Y1083:AV1083)-1)=0),"면제",
"확인요청"))))))</f>
        <v>정상</v>
      </c>
      <c r="Y1083" s="93" t="n">
        <v>55000</v>
      </c>
      <c r="Z1083" s="90" t="n">
        <v>55000</v>
      </c>
      <c r="AA1083" s="90" t="n">
        <v>55000</v>
      </c>
      <c r="AB1083" s="90" t="n">
        <v>55000</v>
      </c>
      <c r="AC1083" s="90" t="n">
        <v>55000</v>
      </c>
      <c r="AD1083" s="90" t="n">
        <v>55000</v>
      </c>
      <c r="AE1083" s="90" t="n">
        <v>55000</v>
      </c>
      <c r="AF1083" s="90" t="n">
        <v>55000</v>
      </c>
      <c r="AG1083" s="90" t="n">
        <v>55000</v>
      </c>
      <c r="AH1083" s="90" t="n">
        <v>55000</v>
      </c>
      <c r="AI1083" s="90" t="n">
        <v>55000</v>
      </c>
      <c r="AJ1083" s="91" t="n">
        <v>55000</v>
      </c>
      <c r="AK1083" s="89" t="n">
        <v>55000</v>
      </c>
      <c r="AL1083" s="90" t="n">
        <v>55000</v>
      </c>
      <c r="AM1083" s="90"/>
      <c r="AN1083" s="90"/>
      <c r="AO1083" s="90"/>
      <c r="AP1083" s="90"/>
      <c r="AQ1083" s="90"/>
      <c r="AR1083" s="90"/>
      <c r="AS1083" s="90"/>
      <c r="AT1083" s="90"/>
      <c r="AU1083" s="90"/>
      <c r="AV1083" s="91"/>
      <c r="AX1083" s="92"/>
    </row>
    <row r="1084" customFormat="false" ht="15.65" hidden="false" customHeight="false" outlineLevel="0" collapsed="false">
      <c r="C1084" s="72" t="n">
        <f aca="false">COUNTIFS($D$6:D1084,"&lt;&gt;"&amp;"")</f>
        <v>1079</v>
      </c>
      <c r="D1084" s="73" t="s">
        <v>12</v>
      </c>
      <c r="E1084" s="76" t="str">
        <f aca="false">
IF($D1084="정상",INDEX(임대자산!$D$3:$R$3000,MATCH($F1084,임대자산!$I$3:$I$3000,0),MATCH(E$3,임대자산!$D$3:$R$3,0)),
IF($D1084="폐업",INDEX(폐업정보!$D$3:$R$3000,MATCH($F1084,폐업정보!$I$3:$I$3000,0),MATCH(E$3,폐업정보!$D$3:$R$3,0)),
"Error"))</f>
        <v>서울</v>
      </c>
      <c r="F108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B1079</v>
      </c>
      <c r="G1084" s="76" t="str">
        <f aca="false">F1084&amp;RANDBETWEEN(0,10)</f>
        <v>B10799</v>
      </c>
      <c r="H1084" s="75" t="n">
        <f aca="false">
IF($D1084="정상",INDEX(임대자산!$D$3:$R$3000,MATCH($F1084,임대자산!$I$3:$I$3000,0),MATCH(H$4,임대자산!$D$3:$R$3,0)),
IF($D1084="폐업",INDEX(폐업정보!$D$3:$R$3000,MATCH($F1084,폐업정보!$I$3:$I$3000,0),MATCH(H$4,폐업정보!$D$3:$R$3,0)),
"Error"))</f>
        <v>45498</v>
      </c>
      <c r="I1084" s="75" t="str">
        <f aca="false">
IF($D1084="정상",INDEX(임대자산!$D$3:$R$3000,MATCH($F1084,임대자산!$I$3:$I$3000,0),MATCH(I$4,임대자산!$D$3:$R$3,0)),
IF($D1084="폐업",INDEX(폐업정보!$D$3:$R$3000,MATCH($F1084,폐업정보!$I$3:$I$3000,0),MATCH(I$4,폐업정보!$D$3:$R$3,0)),
"Error"))</f>
        <v>A1079</v>
      </c>
      <c r="J1084" s="75" t="str">
        <f aca="false">
IF($D1084="정상",INDEX(임대자산!$D$3:$R$3000,MATCH($F1084,임대자산!$I$3:$I$3000,0),MATCH(J$4,임대자산!$D$3:$R$3,0)),
IF($D1084="폐업",INDEX(폐업정보!$D$3:$R$3000,MATCH($F1084,폐업정보!$I$3:$I$3000,0),MATCH(J$4,폐업정보!$D$3:$R$3,0)),
"Error"))</f>
        <v>2008000000</v>
      </c>
      <c r="K1084" s="75" t="str">
        <f aca="false">
IF($D1084="정상",INDEX(임대자산!$D$3:$R$3000,MATCH($F1084,임대자산!$I$3:$I$3000,0),MATCH(K$4,임대자산!$D$3:$R$3,0)),
IF($D1084="폐업",INDEX(폐업정보!$D$3:$R$3000,MATCH($F1084,폐업정보!$I$3:$I$3000,0),MATCH(K$4,폐업정보!$D$3:$R$3,0)),
"Error"))</f>
        <v>C1079</v>
      </c>
      <c r="L1084" s="75" t="str">
        <f aca="false">
IF($D1084="정상",INDEX(임대자산!$D$3:$R$3000,MATCH($F1084,임대자산!$I$3:$I$3000,0),MATCH(L$4,임대자산!$D$3:$R$3,0)),
IF($D1084="폐업",INDEX(폐업정보!$D$3:$R$3000,MATCH($F1084,폐업정보!$I$3:$I$3000,0),MATCH(L$4,폐업정보!$D$3:$R$3,0)),
"Error"))</f>
        <v>D1079</v>
      </c>
      <c r="M1084" s="76" t="s">
        <v>96</v>
      </c>
      <c r="N1084" s="77"/>
      <c r="O1084" s="78" t="s">
        <v>97</v>
      </c>
      <c r="P1084" s="79" t="n">
        <f aca="false">COUNTIFS(임대자산!$I:$I,가맹점정보!F1084,임대자산!$N:$N,가맹점정보!P$4)</f>
        <v>0</v>
      </c>
      <c r="Q1084" s="80" t="n">
        <f aca="false">COUNTIFS(임대자산!$I:$I,가맹점정보!F1084,임대자산!$N:$N,가맹점정보!Q$4)</f>
        <v>0</v>
      </c>
      <c r="R1084" s="81" t="n">
        <f aca="false">COUNTIFS(임대자산!$I:$I,가맹점정보!F1084,임대자산!$N:$N,가맹점정보!R$4)</f>
        <v>1</v>
      </c>
      <c r="S1084" s="82" t="n">
        <v>55000</v>
      </c>
      <c r="T1084" s="83" t="n">
        <v>0</v>
      </c>
      <c r="U1084" s="80" t="n">
        <f aca="false">SUM(S1084:T1084)</f>
        <v>55000</v>
      </c>
      <c r="V1084" s="84" t="s">
        <v>12</v>
      </c>
      <c r="W1084" s="80" t="e">
        <f aca="true">
IF(D1084="폐업","폐업",
IF(V1084="면제","면제",
IF(AND(V1084="정상",COUNTIFS(OFFSET(Y1084,0,COUNTA(Y1084:AV1084)-1,1,-4),"미납")&gt;=3),"장기미납",
IF(AND(V1084="정상",OFFSET(Y1084,0,COUNTA(Y1084:AV1084)-1)&gt;=U1084),"정상",
IF(AND(V1084="정상",OFFSET(Y1084,0,COUNTA(Y1084:AV1084)-1)=0),"정상",
"계약서 미작성")))))</f>
        <v>#VALUE!</v>
      </c>
      <c r="X1084" s="81" t="str">
        <f aca="true">
IF(D1084="폐업","폐업",
IF(AND(V1084="정상",OFFSET(Y1084,0,COUNTA(Y1084:AV1084)-1)="미납"),"미납",
IF(AND(V1084="정상",OFFSET(Y1084,0,COUNTA(Y1084:AV1084)-1)=0),"납부 시작 전",
IF(AND(V1084="정상",OFFSET(Y1084,0,COUNTA(Y1084:AV1084)-1)&gt;=U1084),"정상",
IF(AND(V1084="면제",OFFSET(Y1084,0,COUNTA(Y1084:AV1084)-1)="면제"),"면제",
IF(AND(V1084="면제",OFFSET(Y1084,0,COUNTA(Y1084:AV1084)-1)=0),"면제",
"확인요청"))))))</f>
        <v>정상</v>
      </c>
      <c r="Y1084" s="93" t="n">
        <v>55000</v>
      </c>
      <c r="Z1084" s="90" t="n">
        <v>55000</v>
      </c>
      <c r="AA1084" s="90" t="n">
        <v>55000</v>
      </c>
      <c r="AB1084" s="90" t="n">
        <v>55000</v>
      </c>
      <c r="AC1084" s="90" t="n">
        <v>55000</v>
      </c>
      <c r="AD1084" s="90" t="n">
        <v>55000</v>
      </c>
      <c r="AE1084" s="90" t="n">
        <v>55000</v>
      </c>
      <c r="AF1084" s="90" t="n">
        <v>55000</v>
      </c>
      <c r="AG1084" s="90" t="n">
        <v>55000</v>
      </c>
      <c r="AH1084" s="90" t="n">
        <v>55000</v>
      </c>
      <c r="AI1084" s="90" t="n">
        <v>55000</v>
      </c>
      <c r="AJ1084" s="91" t="n">
        <v>55000</v>
      </c>
      <c r="AK1084" s="89" t="n">
        <v>55000</v>
      </c>
      <c r="AL1084" s="90" t="n">
        <v>55000</v>
      </c>
      <c r="AM1084" s="90"/>
      <c r="AN1084" s="90"/>
      <c r="AO1084" s="90"/>
      <c r="AP1084" s="90"/>
      <c r="AQ1084" s="90"/>
      <c r="AR1084" s="90"/>
      <c r="AS1084" s="90"/>
      <c r="AT1084" s="90"/>
      <c r="AU1084" s="90"/>
      <c r="AV1084" s="91"/>
      <c r="AX1084" s="92"/>
    </row>
    <row r="1085" customFormat="false" ht="15.65" hidden="false" customHeight="false" outlineLevel="0" collapsed="false">
      <c r="C1085" s="72" t="n">
        <f aca="false">COUNTIFS($D$6:D1085,"&lt;&gt;"&amp;"")</f>
        <v>1080</v>
      </c>
      <c r="D1085" s="73" t="s">
        <v>12</v>
      </c>
      <c r="E1085" s="76" t="str">
        <f aca="false">
IF($D1085="정상",INDEX(임대자산!$D$3:$R$3000,MATCH($F1085,임대자산!$I$3:$I$3000,0),MATCH(E$3,임대자산!$D$3:$R$3,0)),
IF($D1085="폐업",INDEX(폐업정보!$D$3:$R$3000,MATCH($F1085,폐업정보!$I$3:$I$3000,0),MATCH(E$3,폐업정보!$D$3:$R$3,0)),
"Error"))</f>
        <v>서울</v>
      </c>
      <c r="F108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B1080</v>
      </c>
      <c r="G1085" s="76" t="str">
        <f aca="false">F1085&amp;RANDBETWEEN(0,10)</f>
        <v>B108010</v>
      </c>
      <c r="H1085" s="75" t="n">
        <f aca="false">
IF($D1085="정상",INDEX(임대자산!$D$3:$R$3000,MATCH($F1085,임대자산!$I$3:$I$3000,0),MATCH(H$4,임대자산!$D$3:$R$3,0)),
IF($D1085="폐업",INDEX(폐업정보!$D$3:$R$3000,MATCH($F1085,폐업정보!$I$3:$I$3000,0),MATCH(H$4,폐업정보!$D$3:$R$3,0)),
"Error"))</f>
        <v>44712</v>
      </c>
      <c r="I1085" s="75" t="str">
        <f aca="false">
IF($D1085="정상",INDEX(임대자산!$D$3:$R$3000,MATCH($F1085,임대자산!$I$3:$I$3000,0),MATCH(I$4,임대자산!$D$3:$R$3,0)),
IF($D1085="폐업",INDEX(폐업정보!$D$3:$R$3000,MATCH($F1085,폐업정보!$I$3:$I$3000,0),MATCH(I$4,폐업정보!$D$3:$R$3,0)),
"Error"))</f>
        <v>A1080</v>
      </c>
      <c r="J1085" s="75" t="str">
        <f aca="false">
IF($D1085="정상",INDEX(임대자산!$D$3:$R$3000,MATCH($F1085,임대자산!$I$3:$I$3000,0),MATCH(J$4,임대자산!$D$3:$R$3,0)),
IF($D1085="폐업",INDEX(폐업정보!$D$3:$R$3000,MATCH($F1085,폐업정보!$I$3:$I$3000,0),MATCH(J$4,폐업정보!$D$3:$R$3,0)),
"Error"))</f>
        <v>8004900000</v>
      </c>
      <c r="K1085" s="75" t="str">
        <f aca="false">
IF($D1085="정상",INDEX(임대자산!$D$3:$R$3000,MATCH($F1085,임대자산!$I$3:$I$3000,0),MATCH(K$4,임대자산!$D$3:$R$3,0)),
IF($D1085="폐업",INDEX(폐업정보!$D$3:$R$3000,MATCH($F1085,폐업정보!$I$3:$I$3000,0),MATCH(K$4,폐업정보!$D$3:$R$3,0)),
"Error"))</f>
        <v>C1080</v>
      </c>
      <c r="L1085" s="75" t="str">
        <f aca="false">
IF($D1085="정상",INDEX(임대자산!$D$3:$R$3000,MATCH($F1085,임대자산!$I$3:$I$3000,0),MATCH(L$4,임대자산!$D$3:$R$3,0)),
IF($D1085="폐업",INDEX(폐업정보!$D$3:$R$3000,MATCH($F1085,폐업정보!$I$3:$I$3000,0),MATCH(L$4,폐업정보!$D$3:$R$3,0)),
"Error"))</f>
        <v>D1080</v>
      </c>
      <c r="M1085" s="76" t="s">
        <v>96</v>
      </c>
      <c r="N1085" s="77"/>
      <c r="O1085" s="78" t="s">
        <v>97</v>
      </c>
      <c r="P1085" s="79" t="n">
        <f aca="false">COUNTIFS(임대자산!$I:$I,가맹점정보!F1085,임대자산!$N:$N,가맹점정보!P$4)</f>
        <v>0</v>
      </c>
      <c r="Q1085" s="80" t="n">
        <f aca="false">COUNTIFS(임대자산!$I:$I,가맹점정보!F1085,임대자산!$N:$N,가맹점정보!Q$4)</f>
        <v>0</v>
      </c>
      <c r="R1085" s="81" t="n">
        <f aca="false">COUNTIFS(임대자산!$I:$I,가맹점정보!F1085,임대자산!$N:$N,가맹점정보!R$4)</f>
        <v>1</v>
      </c>
      <c r="S1085" s="82" t="n">
        <v>55000</v>
      </c>
      <c r="T1085" s="83" t="n">
        <v>0</v>
      </c>
      <c r="U1085" s="80" t="n">
        <f aca="false">SUM(S1085:T1085)</f>
        <v>55000</v>
      </c>
      <c r="V1085" s="84" t="s">
        <v>12</v>
      </c>
      <c r="W1085" s="80" t="e">
        <f aca="true">
IF(D1085="폐업","폐업",
IF(V1085="면제","면제",
IF(AND(V1085="정상",COUNTIFS(OFFSET(Y1085,0,COUNTA(Y1085:AV1085)-1,1,-4),"미납")&gt;=3),"장기미납",
IF(AND(V1085="정상",OFFSET(Y1085,0,COUNTA(Y1085:AV1085)-1)&gt;=U1085),"정상",
IF(AND(V1085="정상",OFFSET(Y1085,0,COUNTA(Y1085:AV1085)-1)=0),"정상",
"계약서 미작성")))))</f>
        <v>#VALUE!</v>
      </c>
      <c r="X1085" s="81" t="str">
        <f aca="true">
IF(D1085="폐업","폐업",
IF(AND(V1085="정상",OFFSET(Y1085,0,COUNTA(Y1085:AV1085)-1)="미납"),"미납",
IF(AND(V1085="정상",OFFSET(Y1085,0,COUNTA(Y1085:AV1085)-1)=0),"납부 시작 전",
IF(AND(V1085="정상",OFFSET(Y1085,0,COUNTA(Y1085:AV1085)-1)&gt;=U1085),"정상",
IF(AND(V1085="면제",OFFSET(Y1085,0,COUNTA(Y1085:AV1085)-1)="면제"),"면제",
IF(AND(V1085="면제",OFFSET(Y1085,0,COUNTA(Y1085:AV1085)-1)=0),"면제",
"확인요청"))))))</f>
        <v>정상</v>
      </c>
      <c r="Y1085" s="93" t="n">
        <v>55000</v>
      </c>
      <c r="Z1085" s="90" t="n">
        <v>55000</v>
      </c>
      <c r="AA1085" s="90" t="n">
        <v>55000</v>
      </c>
      <c r="AB1085" s="90" t="n">
        <v>55000</v>
      </c>
      <c r="AC1085" s="90" t="n">
        <v>55000</v>
      </c>
      <c r="AD1085" s="90" t="n">
        <v>55000</v>
      </c>
      <c r="AE1085" s="90" t="n">
        <v>55000</v>
      </c>
      <c r="AF1085" s="90" t="n">
        <v>55000</v>
      </c>
      <c r="AG1085" s="90" t="n">
        <v>55000</v>
      </c>
      <c r="AH1085" s="90" t="n">
        <v>55000</v>
      </c>
      <c r="AI1085" s="90" t="n">
        <v>55000</v>
      </c>
      <c r="AJ1085" s="91" t="n">
        <v>55000</v>
      </c>
      <c r="AK1085" s="89" t="n">
        <v>55000</v>
      </c>
      <c r="AL1085" s="90" t="n">
        <v>55000</v>
      </c>
      <c r="AM1085" s="90"/>
      <c r="AN1085" s="90"/>
      <c r="AO1085" s="90"/>
      <c r="AP1085" s="90"/>
      <c r="AQ1085" s="90"/>
      <c r="AR1085" s="90"/>
      <c r="AS1085" s="90"/>
      <c r="AT1085" s="90"/>
      <c r="AU1085" s="90"/>
      <c r="AV1085" s="91"/>
      <c r="AX1085" s="92"/>
    </row>
    <row r="1086" customFormat="false" ht="15.65" hidden="false" customHeight="false" outlineLevel="0" collapsed="false">
      <c r="C1086" s="72" t="n">
        <f aca="false">COUNTIFS($D$6:D1086,"&lt;&gt;"&amp;"")</f>
        <v>1081</v>
      </c>
      <c r="D1086" s="73" t="s">
        <v>12</v>
      </c>
      <c r="E1086" s="76" t="str">
        <f aca="false">
IF($D1086="정상",INDEX(임대자산!$D$3:$R$3000,MATCH($F1086,임대자산!$I$3:$I$3000,0),MATCH(E$3,임대자산!$D$3:$R$3,0)),
IF($D1086="폐업",INDEX(폐업정보!$D$3:$R$3000,MATCH($F1086,폐업정보!$I$3:$I$3000,0),MATCH(E$3,폐업정보!$D$3:$R$3,0)),
"Error"))</f>
        <v>서울</v>
      </c>
      <c r="F108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B1081</v>
      </c>
      <c r="G1086" s="76" t="str">
        <f aca="false">F1086&amp;RANDBETWEEN(0,10)</f>
        <v>B10810</v>
      </c>
      <c r="H1086" s="75" t="n">
        <f aca="false">
IF($D1086="정상",INDEX(임대자산!$D$3:$R$3000,MATCH($F1086,임대자산!$I$3:$I$3000,0),MATCH(H$4,임대자산!$D$3:$R$3,0)),
IF($D1086="폐업",INDEX(폐업정보!$D$3:$R$3000,MATCH($F1086,폐업정보!$I$3:$I$3000,0),MATCH(H$4,폐업정보!$D$3:$R$3,0)),
"Error"))</f>
        <v>44712</v>
      </c>
      <c r="I1086" s="75" t="str">
        <f aca="false">
IF($D1086="정상",INDEX(임대자산!$D$3:$R$3000,MATCH($F1086,임대자산!$I$3:$I$3000,0),MATCH(I$4,임대자산!$D$3:$R$3,0)),
IF($D1086="폐업",INDEX(폐업정보!$D$3:$R$3000,MATCH($F1086,폐업정보!$I$3:$I$3000,0),MATCH(I$4,폐업정보!$D$3:$R$3,0)),
"Error"))</f>
        <v>A1081</v>
      </c>
      <c r="J1086" s="75" t="str">
        <f aca="false">
IF($D1086="정상",INDEX(임대자산!$D$3:$R$3000,MATCH($F1086,임대자산!$I$3:$I$3000,0),MATCH(J$4,임대자산!$D$3:$R$3,0)),
IF($D1086="폐업",INDEX(폐업정보!$D$3:$R$3000,MATCH($F1086,폐업정보!$I$3:$I$3000,0),MATCH(J$4,폐업정보!$D$3:$R$3,0)),
"Error"))</f>
        <v>3353400000</v>
      </c>
      <c r="K1086" s="75" t="str">
        <f aca="false">
IF($D1086="정상",INDEX(임대자산!$D$3:$R$3000,MATCH($F1086,임대자산!$I$3:$I$3000,0),MATCH(K$4,임대자산!$D$3:$R$3,0)),
IF($D1086="폐업",INDEX(폐업정보!$D$3:$R$3000,MATCH($F1086,폐업정보!$I$3:$I$3000,0),MATCH(K$4,폐업정보!$D$3:$R$3,0)),
"Error"))</f>
        <v>C1081</v>
      </c>
      <c r="L1086" s="75" t="str">
        <f aca="false">
IF($D1086="정상",INDEX(임대자산!$D$3:$R$3000,MATCH($F1086,임대자산!$I$3:$I$3000,0),MATCH(L$4,임대자산!$D$3:$R$3,0)),
IF($D1086="폐업",INDEX(폐업정보!$D$3:$R$3000,MATCH($F1086,폐업정보!$I$3:$I$3000,0),MATCH(L$4,폐업정보!$D$3:$R$3,0)),
"Error"))</f>
        <v>D1081</v>
      </c>
      <c r="M1086" s="76" t="s">
        <v>96</v>
      </c>
      <c r="N1086" s="77"/>
      <c r="O1086" s="78" t="s">
        <v>97</v>
      </c>
      <c r="P1086" s="79" t="n">
        <f aca="false">COUNTIFS(임대자산!$I:$I,가맹점정보!F1086,임대자산!$N:$N,가맹점정보!P$4)</f>
        <v>0</v>
      </c>
      <c r="Q1086" s="80" t="n">
        <f aca="false">COUNTIFS(임대자산!$I:$I,가맹점정보!F1086,임대자산!$N:$N,가맹점정보!Q$4)</f>
        <v>0</v>
      </c>
      <c r="R1086" s="81" t="n">
        <f aca="false">COUNTIFS(임대자산!$I:$I,가맹점정보!F1086,임대자산!$N:$N,가맹점정보!R$4)</f>
        <v>1</v>
      </c>
      <c r="S1086" s="82" t="n">
        <v>55000</v>
      </c>
      <c r="T1086" s="83" t="n">
        <v>0</v>
      </c>
      <c r="U1086" s="80" t="n">
        <f aca="false">SUM(S1086:T1086)</f>
        <v>55000</v>
      </c>
      <c r="V1086" s="84" t="s">
        <v>12</v>
      </c>
      <c r="W1086" s="80" t="e">
        <f aca="true">
IF(D1086="폐업","폐업",
IF(V1086="면제","면제",
IF(AND(V1086="정상",COUNTIFS(OFFSET(Y1086,0,COUNTA(Y1086:AV1086)-1,1,-4),"미납")&gt;=3),"장기미납",
IF(AND(V1086="정상",OFFSET(Y1086,0,COUNTA(Y1086:AV1086)-1)&gt;=U1086),"정상",
IF(AND(V1086="정상",OFFSET(Y1086,0,COUNTA(Y1086:AV1086)-1)=0),"정상",
"계약서 미작성")))))</f>
        <v>#VALUE!</v>
      </c>
      <c r="X1086" s="81" t="str">
        <f aca="true">
IF(D1086="폐업","폐업",
IF(AND(V1086="정상",OFFSET(Y1086,0,COUNTA(Y1086:AV1086)-1)="미납"),"미납",
IF(AND(V1086="정상",OFFSET(Y1086,0,COUNTA(Y1086:AV1086)-1)=0),"납부 시작 전",
IF(AND(V1086="정상",OFFSET(Y1086,0,COUNTA(Y1086:AV1086)-1)&gt;=U1086),"정상",
IF(AND(V1086="면제",OFFSET(Y1086,0,COUNTA(Y1086:AV1086)-1)="면제"),"면제",
IF(AND(V1086="면제",OFFSET(Y1086,0,COUNTA(Y1086:AV1086)-1)=0),"면제",
"확인요청"))))))</f>
        <v>정상</v>
      </c>
      <c r="Y1086" s="93" t="n">
        <v>55000</v>
      </c>
      <c r="Z1086" s="90" t="n">
        <v>55000</v>
      </c>
      <c r="AA1086" s="90" t="n">
        <v>55000</v>
      </c>
      <c r="AB1086" s="90" t="n">
        <v>55000</v>
      </c>
      <c r="AC1086" s="90" t="n">
        <v>55000</v>
      </c>
      <c r="AD1086" s="90" t="n">
        <v>55000</v>
      </c>
      <c r="AE1086" s="90" t="n">
        <v>55000</v>
      </c>
      <c r="AF1086" s="90" t="n">
        <v>55000</v>
      </c>
      <c r="AG1086" s="90" t="n">
        <v>55000</v>
      </c>
      <c r="AH1086" s="90" t="n">
        <v>55000</v>
      </c>
      <c r="AI1086" s="90" t="n">
        <v>55000</v>
      </c>
      <c r="AJ1086" s="91" t="n">
        <v>55000</v>
      </c>
      <c r="AK1086" s="89" t="n">
        <v>55000</v>
      </c>
      <c r="AL1086" s="90" t="n">
        <v>55000</v>
      </c>
      <c r="AM1086" s="90"/>
      <c r="AN1086" s="90"/>
      <c r="AO1086" s="90"/>
      <c r="AP1086" s="90"/>
      <c r="AQ1086" s="90"/>
      <c r="AR1086" s="90"/>
      <c r="AS1086" s="90"/>
      <c r="AT1086" s="90"/>
      <c r="AU1086" s="90"/>
      <c r="AV1086" s="91"/>
      <c r="AX1086" s="92"/>
    </row>
    <row r="1087" customFormat="false" ht="15.65" hidden="false" customHeight="false" outlineLevel="0" collapsed="false">
      <c r="C1087" s="72" t="n">
        <f aca="false">COUNTIFS($D$6:D1087,"&lt;&gt;"&amp;"")</f>
        <v>1082</v>
      </c>
      <c r="D1087" s="73" t="s">
        <v>12</v>
      </c>
      <c r="E1087" s="76" t="str">
        <f aca="false">
IF($D1087="정상",INDEX(임대자산!$D$3:$R$3000,MATCH($F1087,임대자산!$I$3:$I$3000,0),MATCH(E$3,임대자산!$D$3:$R$3,0)),
IF($D1087="폐업",INDEX(폐업정보!$D$3:$R$3000,MATCH($F1087,폐업정보!$I$3:$I$3000,0),MATCH(E$3,폐업정보!$D$3:$R$3,0)),
"Error"))</f>
        <v>강원</v>
      </c>
      <c r="F108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B1082</v>
      </c>
      <c r="G1087" s="76" t="str">
        <f aca="false">F1087&amp;RANDBETWEEN(0,10)</f>
        <v>B10825</v>
      </c>
      <c r="H1087" s="75" t="n">
        <f aca="false">
IF($D1087="정상",INDEX(임대자산!$D$3:$R$3000,MATCH($F1087,임대자산!$I$3:$I$3000,0),MATCH(H$4,임대자산!$D$3:$R$3,0)),
IF($D1087="폐업",INDEX(폐업정보!$D$3:$R$3000,MATCH($F1087,폐업정보!$I$3:$I$3000,0),MATCH(H$4,폐업정보!$D$3:$R$3,0)),
"Error"))</f>
        <v>44726</v>
      </c>
      <c r="I1087" s="75" t="str">
        <f aca="false">
IF($D1087="정상",INDEX(임대자산!$D$3:$R$3000,MATCH($F1087,임대자산!$I$3:$I$3000,0),MATCH(I$4,임대자산!$D$3:$R$3,0)),
IF($D1087="폐업",INDEX(폐업정보!$D$3:$R$3000,MATCH($F1087,폐업정보!$I$3:$I$3000,0),MATCH(I$4,폐업정보!$D$3:$R$3,0)),
"Error"))</f>
        <v>A1082</v>
      </c>
      <c r="J1087" s="75" t="str">
        <f aca="false">
IF($D1087="정상",INDEX(임대자산!$D$3:$R$3000,MATCH($F1087,임대자산!$I$3:$I$3000,0),MATCH(J$4,임대자산!$D$3:$R$3,0)),
IF($D1087="폐업",INDEX(폐업정보!$D$3:$R$3000,MATCH($F1087,폐업정보!$I$3:$I$3000,0),MATCH(J$4,폐업정보!$D$3:$R$3,0)),
"Error"))</f>
        <v>9008400000</v>
      </c>
      <c r="K1087" s="75" t="str">
        <f aca="false">
IF($D1087="정상",INDEX(임대자산!$D$3:$R$3000,MATCH($F1087,임대자산!$I$3:$I$3000,0),MATCH(K$4,임대자산!$D$3:$R$3,0)),
IF($D1087="폐업",INDEX(폐업정보!$D$3:$R$3000,MATCH($F1087,폐업정보!$I$3:$I$3000,0),MATCH(K$4,폐업정보!$D$3:$R$3,0)),
"Error"))</f>
        <v>C1082</v>
      </c>
      <c r="L1087" s="75" t="str">
        <f aca="false">
IF($D1087="정상",INDEX(임대자산!$D$3:$R$3000,MATCH($F1087,임대자산!$I$3:$I$3000,0),MATCH(L$4,임대자산!$D$3:$R$3,0)),
IF($D1087="폐업",INDEX(폐업정보!$D$3:$R$3000,MATCH($F1087,폐업정보!$I$3:$I$3000,0),MATCH(L$4,폐업정보!$D$3:$R$3,0)),
"Error"))</f>
        <v>D1082</v>
      </c>
      <c r="M1087" s="76" t="s">
        <v>96</v>
      </c>
      <c r="N1087" s="77"/>
      <c r="O1087" s="78" t="s">
        <v>97</v>
      </c>
      <c r="P1087" s="79" t="n">
        <f aca="false">COUNTIFS(임대자산!$I:$I,가맹점정보!F1087,임대자산!$N:$N,가맹점정보!P$4)</f>
        <v>0</v>
      </c>
      <c r="Q1087" s="80" t="n">
        <f aca="false">COUNTIFS(임대자산!$I:$I,가맹점정보!F1087,임대자산!$N:$N,가맹점정보!Q$4)</f>
        <v>0</v>
      </c>
      <c r="R1087" s="81" t="n">
        <f aca="false">COUNTIFS(임대자산!$I:$I,가맹점정보!F1087,임대자산!$N:$N,가맹점정보!R$4)</f>
        <v>1</v>
      </c>
      <c r="S1087" s="82" t="n">
        <v>55000</v>
      </c>
      <c r="T1087" s="83" t="n">
        <v>0</v>
      </c>
      <c r="U1087" s="80" t="n">
        <f aca="false">SUM(S1087:T1087)</f>
        <v>55000</v>
      </c>
      <c r="V1087" s="84" t="s">
        <v>12</v>
      </c>
      <c r="W1087" s="80" t="e">
        <f aca="true">
IF(D1087="폐업","폐업",
IF(V1087="면제","면제",
IF(AND(V1087="정상",COUNTIFS(OFFSET(Y1087,0,COUNTA(Y1087:AV1087)-1,1,-4),"미납")&gt;=3),"장기미납",
IF(AND(V1087="정상",OFFSET(Y1087,0,COUNTA(Y1087:AV1087)-1)&gt;=U1087),"정상",
IF(AND(V1087="정상",OFFSET(Y1087,0,COUNTA(Y1087:AV1087)-1)=0),"정상",
"계약서 미작성")))))</f>
        <v>#VALUE!</v>
      </c>
      <c r="X1087" s="81" t="str">
        <f aca="true">
IF(D1087="폐업","폐업",
IF(AND(V1087="정상",OFFSET(Y1087,0,COUNTA(Y1087:AV1087)-1)="미납"),"미납",
IF(AND(V1087="정상",OFFSET(Y1087,0,COUNTA(Y1087:AV1087)-1)=0),"납부 시작 전",
IF(AND(V1087="정상",OFFSET(Y1087,0,COUNTA(Y1087:AV1087)-1)&gt;=U1087),"정상",
IF(AND(V1087="면제",OFFSET(Y1087,0,COUNTA(Y1087:AV1087)-1)="면제"),"면제",
IF(AND(V1087="면제",OFFSET(Y1087,0,COUNTA(Y1087:AV1087)-1)=0),"면제",
"확인요청"))))))</f>
        <v>미납</v>
      </c>
      <c r="Y1087" s="93" t="n">
        <v>55000</v>
      </c>
      <c r="Z1087" s="90" t="n">
        <v>55000</v>
      </c>
      <c r="AA1087" s="90" t="n">
        <v>55000</v>
      </c>
      <c r="AB1087" s="90" t="n">
        <v>55000</v>
      </c>
      <c r="AC1087" s="90" t="n">
        <v>55000</v>
      </c>
      <c r="AD1087" s="90" t="n">
        <v>55000</v>
      </c>
      <c r="AE1087" s="90" t="n">
        <v>55000</v>
      </c>
      <c r="AF1087" s="90" t="n">
        <v>55000</v>
      </c>
      <c r="AG1087" s="90" t="n">
        <v>55000</v>
      </c>
      <c r="AH1087" s="90" t="n">
        <v>55000</v>
      </c>
      <c r="AI1087" s="90" t="n">
        <v>55000</v>
      </c>
      <c r="AJ1087" s="91" t="n">
        <v>55000</v>
      </c>
      <c r="AK1087" s="89" t="n">
        <v>55000</v>
      </c>
      <c r="AL1087" s="95" t="s">
        <v>62</v>
      </c>
      <c r="AM1087" s="90"/>
      <c r="AN1087" s="90"/>
      <c r="AO1087" s="90"/>
      <c r="AP1087" s="90"/>
      <c r="AQ1087" s="90"/>
      <c r="AR1087" s="90"/>
      <c r="AS1087" s="90"/>
      <c r="AT1087" s="90"/>
      <c r="AU1087" s="90"/>
      <c r="AV1087" s="91"/>
      <c r="AX1087" s="92"/>
    </row>
    <row r="1088" customFormat="false" ht="15.65" hidden="false" customHeight="false" outlineLevel="0" collapsed="false">
      <c r="C1088" s="72" t="n">
        <f aca="false">COUNTIFS($D$6:D1088,"&lt;&gt;"&amp;"")</f>
        <v>1083</v>
      </c>
      <c r="D1088" s="73" t="s">
        <v>12</v>
      </c>
      <c r="E1088" s="76" t="str">
        <f aca="false">
IF($D1088="정상",INDEX(임대자산!$D$3:$R$3000,MATCH($F1088,임대자산!$I$3:$I$3000,0),MATCH(E$3,임대자산!$D$3:$R$3,0)),
IF($D1088="폐업",INDEX(폐업정보!$D$3:$R$3000,MATCH($F1088,폐업정보!$I$3:$I$3000,0),MATCH(E$3,폐업정보!$D$3:$R$3,0)),
"Error"))</f>
        <v>강원</v>
      </c>
      <c r="F108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B1083</v>
      </c>
      <c r="G1088" s="76" t="str">
        <f aca="false">F1088&amp;RANDBETWEEN(0,10)</f>
        <v>B10838</v>
      </c>
      <c r="H1088" s="75" t="n">
        <f aca="false">
IF($D1088="정상",INDEX(임대자산!$D$3:$R$3000,MATCH($F1088,임대자산!$I$3:$I$3000,0),MATCH(H$4,임대자산!$D$3:$R$3,0)),
IF($D1088="폐업",INDEX(폐업정보!$D$3:$R$3000,MATCH($F1088,폐업정보!$I$3:$I$3000,0),MATCH(H$4,폐업정보!$D$3:$R$3,0)),
"Error"))</f>
        <v>44726</v>
      </c>
      <c r="I1088" s="75" t="str">
        <f aca="false">
IF($D1088="정상",INDEX(임대자산!$D$3:$R$3000,MATCH($F1088,임대자산!$I$3:$I$3000,0),MATCH(I$4,임대자산!$D$3:$R$3,0)),
IF($D1088="폐업",INDEX(폐업정보!$D$3:$R$3000,MATCH($F1088,폐업정보!$I$3:$I$3000,0),MATCH(I$4,폐업정보!$D$3:$R$3,0)),
"Error"))</f>
        <v>A1083</v>
      </c>
      <c r="J1088" s="75" t="str">
        <f aca="false">
IF($D1088="정상",INDEX(임대자산!$D$3:$R$3000,MATCH($F1088,임대자산!$I$3:$I$3000,0),MATCH(J$4,임대자산!$D$3:$R$3,0)),
IF($D1088="폐업",INDEX(폐업정보!$D$3:$R$3000,MATCH($F1088,폐업정보!$I$3:$I$3000,0),MATCH(J$4,폐업정보!$D$3:$R$3,0)),
"Error"))</f>
        <v>1794600000</v>
      </c>
      <c r="K1088" s="75" t="str">
        <f aca="false">
IF($D1088="정상",INDEX(임대자산!$D$3:$R$3000,MATCH($F1088,임대자산!$I$3:$I$3000,0),MATCH(K$4,임대자산!$D$3:$R$3,0)),
IF($D1088="폐업",INDEX(폐업정보!$D$3:$R$3000,MATCH($F1088,폐업정보!$I$3:$I$3000,0),MATCH(K$4,폐업정보!$D$3:$R$3,0)),
"Error"))</f>
        <v>C1083</v>
      </c>
      <c r="L1088" s="75" t="str">
        <f aca="false">
IF($D1088="정상",INDEX(임대자산!$D$3:$R$3000,MATCH($F1088,임대자산!$I$3:$I$3000,0),MATCH(L$4,임대자산!$D$3:$R$3,0)),
IF($D1088="폐업",INDEX(폐업정보!$D$3:$R$3000,MATCH($F1088,폐업정보!$I$3:$I$3000,0),MATCH(L$4,폐업정보!$D$3:$R$3,0)),
"Error"))</f>
        <v>D1083</v>
      </c>
      <c r="M1088" s="76" t="s">
        <v>96</v>
      </c>
      <c r="N1088" s="77"/>
      <c r="O1088" s="78" t="s">
        <v>97</v>
      </c>
      <c r="P1088" s="79" t="n">
        <f aca="false">COUNTIFS(임대자산!$I:$I,가맹점정보!F1088,임대자산!$N:$N,가맹점정보!P$4)</f>
        <v>0</v>
      </c>
      <c r="Q1088" s="80" t="n">
        <f aca="false">COUNTIFS(임대자산!$I:$I,가맹점정보!F1088,임대자산!$N:$N,가맹점정보!Q$4)</f>
        <v>0</v>
      </c>
      <c r="R1088" s="81" t="n">
        <f aca="false">COUNTIFS(임대자산!$I:$I,가맹점정보!F1088,임대자산!$N:$N,가맹점정보!R$4)</f>
        <v>1</v>
      </c>
      <c r="S1088" s="82" t="n">
        <v>88000</v>
      </c>
      <c r="T1088" s="83" t="n">
        <v>44000</v>
      </c>
      <c r="U1088" s="80" t="n">
        <f aca="false">SUM(S1088:T1088)</f>
        <v>132000</v>
      </c>
      <c r="V1088" s="84" t="s">
        <v>7</v>
      </c>
      <c r="W1088" s="80" t="str">
        <f aca="true">
IF(D1088="폐업","폐업",
IF(V1088="면제","면제",
IF(AND(V1088="정상",COUNTIFS(OFFSET(Y1088,0,COUNTA(Y1088:AV1088)-1,1,-4),"미납")&gt;=3),"장기미납",
IF(AND(V1088="정상",OFFSET(Y1088,0,COUNTA(Y1088:AV1088)-1)&gt;=U1088),"정상",
IF(AND(V1088="정상",OFFSET(Y1088,0,COUNTA(Y1088:AV1088)-1)=0),"정상",
"계약서 미작성")))))</f>
        <v>면제</v>
      </c>
      <c r="X1088" s="81" t="str">
        <f aca="true">
IF(D1088="폐업","폐업",
IF(AND(V1088="정상",OFFSET(Y1088,0,COUNTA(Y1088:AV1088)-1)="미납"),"미납",
IF(AND(V1088="정상",OFFSET(Y1088,0,COUNTA(Y1088:AV1088)-1)=0),"납부 시작 전",
IF(AND(V1088="정상",OFFSET(Y1088,0,COUNTA(Y1088:AV1088)-1)&gt;=U1088),"정상",
IF(AND(V1088="면제",OFFSET(Y1088,0,COUNTA(Y1088:AV1088)-1)="면제"),"면제",
IF(AND(V1088="면제",OFFSET(Y1088,0,COUNTA(Y1088:AV1088)-1)=0),"면제",
"확인요청"))))))</f>
        <v>면제</v>
      </c>
      <c r="Y1088" s="94" t="s">
        <v>7</v>
      </c>
      <c r="Z1088" s="95" t="s">
        <v>7</v>
      </c>
      <c r="AA1088" s="95" t="s">
        <v>7</v>
      </c>
      <c r="AB1088" s="95" t="s">
        <v>7</v>
      </c>
      <c r="AC1088" s="95" t="s">
        <v>7</v>
      </c>
      <c r="AD1088" s="95" t="s">
        <v>7</v>
      </c>
      <c r="AE1088" s="95" t="s">
        <v>7</v>
      </c>
      <c r="AF1088" s="95" t="s">
        <v>7</v>
      </c>
      <c r="AG1088" s="95" t="s">
        <v>7</v>
      </c>
      <c r="AH1088" s="95" t="s">
        <v>7</v>
      </c>
      <c r="AI1088" s="95" t="s">
        <v>7</v>
      </c>
      <c r="AJ1088" s="96" t="s">
        <v>7</v>
      </c>
      <c r="AK1088" s="97" t="s">
        <v>7</v>
      </c>
      <c r="AL1088" s="95" t="s">
        <v>7</v>
      </c>
      <c r="AM1088" s="90"/>
      <c r="AN1088" s="90"/>
      <c r="AO1088" s="90"/>
      <c r="AP1088" s="90"/>
      <c r="AQ1088" s="90"/>
      <c r="AR1088" s="90"/>
      <c r="AS1088" s="90"/>
      <c r="AT1088" s="90"/>
      <c r="AU1088" s="90"/>
      <c r="AV1088" s="91"/>
      <c r="AX1088" s="92"/>
    </row>
    <row r="1089" customFormat="false" ht="15.65" hidden="false" customHeight="false" outlineLevel="0" collapsed="false">
      <c r="C1089" s="72" t="n">
        <f aca="false">COUNTIFS($D$6:D1089,"&lt;&gt;"&amp;"")</f>
        <v>1084</v>
      </c>
      <c r="D1089" s="73" t="s">
        <v>5</v>
      </c>
      <c r="E1089" s="76" t="str">
        <f aca="false">
IF($D1089="정상",INDEX(임대자산!$D$3:$R$3000,MATCH($F1089,임대자산!$I$3:$I$3000,0),MATCH(E$3,임대자산!$D$3:$R$3,0)),
IF($D1089="폐업",INDEX(폐업정보!$D$3:$R$3000,MATCH($F1089,폐업정보!$I$3:$I$3000,0),MATCH(E$3,폐업정보!$D$3:$R$3,0)),
"Error"))</f>
        <v>강원</v>
      </c>
      <c r="F108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B1084</v>
      </c>
      <c r="G1089" s="76" t="str">
        <f aca="false">F1089&amp;RANDBETWEEN(0,10)</f>
        <v>B108410</v>
      </c>
      <c r="H1089" s="75" t="n">
        <f aca="false">
IF($D1089="정상",INDEX(임대자산!$D$3:$R$3000,MATCH($F1089,임대자산!$I$3:$I$3000,0),MATCH(H$4,임대자산!$D$3:$R$3,0)),
IF($D1089="폐업",INDEX(폐업정보!$D$3:$R$3000,MATCH($F1089,폐업정보!$I$3:$I$3000,0),MATCH(H$4,폐업정보!$D$3:$R$3,0)),
"Error"))</f>
        <v>44726</v>
      </c>
      <c r="I1089" s="75" t="str">
        <f aca="false">
IF($D1089="정상",INDEX(임대자산!$D$3:$R$3000,MATCH($F1089,임대자산!$I$3:$I$3000,0),MATCH(I$4,임대자산!$D$3:$R$3,0)),
IF($D1089="폐업",INDEX(폐업정보!$D$3:$R$3000,MATCH($F1089,폐업정보!$I$3:$I$3000,0),MATCH(I$4,폐업정보!$D$3:$R$3,0)),
"Error"))</f>
        <v>A1084</v>
      </c>
      <c r="J1089" s="75" t="str">
        <f aca="false">
IF($D1089="정상",INDEX(임대자산!$D$3:$R$3000,MATCH($F1089,임대자산!$I$3:$I$3000,0),MATCH(J$4,임대자산!$D$3:$R$3,0)),
IF($D1089="폐업",INDEX(폐업정보!$D$3:$R$3000,MATCH($F1089,폐업정보!$I$3:$I$3000,0),MATCH(J$4,폐업정보!$D$3:$R$3,0)),
"Error"))</f>
        <v>9820000000</v>
      </c>
      <c r="K1089" s="75" t="str">
        <f aca="false">
IF($D1089="정상",INDEX(임대자산!$D$3:$R$3000,MATCH($F1089,임대자산!$I$3:$I$3000,0),MATCH(K$4,임대자산!$D$3:$R$3,0)),
IF($D1089="폐업",INDEX(폐업정보!$D$3:$R$3000,MATCH($F1089,폐업정보!$I$3:$I$3000,0),MATCH(K$4,폐업정보!$D$3:$R$3,0)),
"Error"))</f>
        <v>C1084</v>
      </c>
      <c r="L1089" s="75" t="str">
        <f aca="false">
IF($D1089="정상",INDEX(임대자산!$D$3:$R$3000,MATCH($F1089,임대자산!$I$3:$I$3000,0),MATCH(L$4,임대자산!$D$3:$R$3,0)),
IF($D1089="폐업",INDEX(폐업정보!$D$3:$R$3000,MATCH($F1089,폐업정보!$I$3:$I$3000,0),MATCH(L$4,폐업정보!$D$3:$R$3,0)),
"Error"))</f>
        <v>D1084</v>
      </c>
      <c r="M1089" s="76" t="s">
        <v>96</v>
      </c>
      <c r="N1089" s="77"/>
      <c r="O1089" s="78" t="s">
        <v>97</v>
      </c>
      <c r="P1089" s="79" t="n">
        <f aca="false">COUNTIFS(임대자산!$I:$I,가맹점정보!F1089,임대자산!$N:$N,가맹점정보!P$4)</f>
        <v>0</v>
      </c>
      <c r="Q1089" s="80" t="n">
        <f aca="false">COUNTIFS(임대자산!$I:$I,가맹점정보!F1089,임대자산!$N:$N,가맹점정보!Q$4)</f>
        <v>0</v>
      </c>
      <c r="R1089" s="81" t="n">
        <f aca="false">COUNTIFS(임대자산!$I:$I,가맹점정보!F1089,임대자산!$N:$N,가맹점정보!R$4)</f>
        <v>0</v>
      </c>
      <c r="S1089" s="82" t="n">
        <v>55000</v>
      </c>
      <c r="T1089" s="83" t="n">
        <v>0</v>
      </c>
      <c r="U1089" s="80" t="n">
        <f aca="false">SUM(S1089:T1089)</f>
        <v>55000</v>
      </c>
      <c r="V1089" s="84" t="s">
        <v>7</v>
      </c>
      <c r="W1089" s="80" t="str">
        <f aca="true">
IF(D1089="폐업","폐업",
IF(V1089="면제","면제",
IF(AND(V1089="정상",COUNTIFS(OFFSET(Y1089,0,COUNTA(Y1089:AV1089)-1,1,-4),"미납")&gt;=3),"장기미납",
IF(AND(V1089="정상",OFFSET(Y1089,0,COUNTA(Y1089:AV1089)-1)&gt;=U1089),"정상",
IF(AND(V1089="정상",OFFSET(Y1089,0,COUNTA(Y1089:AV1089)-1)=0),"정상",
"계약서 미작성")))))</f>
        <v>폐업</v>
      </c>
      <c r="X1089" s="81" t="str">
        <f aca="true">
IF(D1089="폐업","폐업",
IF(AND(V1089="정상",OFFSET(Y1089,0,COUNTA(Y1089:AV1089)-1)="미납"),"미납",
IF(AND(V1089="정상",OFFSET(Y1089,0,COUNTA(Y1089:AV1089)-1)=0),"납부 시작 전",
IF(AND(V1089="정상",OFFSET(Y1089,0,COUNTA(Y1089:AV1089)-1)&gt;=U1089),"정상",
IF(AND(V1089="면제",OFFSET(Y1089,0,COUNTA(Y1089:AV1089)-1)="면제"),"면제",
IF(AND(V1089="면제",OFFSET(Y1089,0,COUNTA(Y1089:AV1089)-1)=0),"면제",
"확인요청"))))))</f>
        <v>폐업</v>
      </c>
      <c r="Y1089" s="94" t="s">
        <v>7</v>
      </c>
      <c r="Z1089" s="95" t="s">
        <v>7</v>
      </c>
      <c r="AA1089" s="95" t="s">
        <v>7</v>
      </c>
      <c r="AB1089" s="95" t="s">
        <v>7</v>
      </c>
      <c r="AC1089" s="95" t="s">
        <v>7</v>
      </c>
      <c r="AD1089" s="95" t="s">
        <v>7</v>
      </c>
      <c r="AE1089" s="90" t="n">
        <v>55000</v>
      </c>
      <c r="AF1089" s="90" t="n">
        <v>55000</v>
      </c>
      <c r="AG1089" s="90" t="n">
        <v>55000</v>
      </c>
      <c r="AH1089" s="95" t="s">
        <v>62</v>
      </c>
      <c r="AI1089" s="95" t="s">
        <v>62</v>
      </c>
      <c r="AJ1089" s="96" t="s">
        <v>62</v>
      </c>
      <c r="AK1089" s="97" t="s">
        <v>7</v>
      </c>
      <c r="AL1089" s="95" t="s">
        <v>7</v>
      </c>
      <c r="AM1089" s="90"/>
      <c r="AN1089" s="90"/>
      <c r="AO1089" s="90"/>
      <c r="AP1089" s="90"/>
      <c r="AQ1089" s="90"/>
      <c r="AR1089" s="90"/>
      <c r="AS1089" s="90"/>
      <c r="AT1089" s="90"/>
      <c r="AU1089" s="90"/>
      <c r="AV1089" s="91"/>
      <c r="AX1089" s="92"/>
    </row>
    <row r="1090" customFormat="false" ht="15.65" hidden="false" customHeight="false" outlineLevel="0" collapsed="false">
      <c r="C1090" s="72" t="n">
        <f aca="false">COUNTIFS($D$6:D1090,"&lt;&gt;"&amp;"")</f>
        <v>1085</v>
      </c>
      <c r="D1090" s="73" t="s">
        <v>12</v>
      </c>
      <c r="E1090" s="76" t="str">
        <f aca="false">
IF($D1090="정상",INDEX(임대자산!$D$3:$R$3000,MATCH($F1090,임대자산!$I$3:$I$3000,0),MATCH(E$3,임대자산!$D$3:$R$3,0)),
IF($D1090="폐업",INDEX(폐업정보!$D$3:$R$3000,MATCH($F1090,폐업정보!$I$3:$I$3000,0),MATCH(E$3,폐업정보!$D$3:$R$3,0)),
"Error"))</f>
        <v>경상</v>
      </c>
      <c r="F109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B1085</v>
      </c>
      <c r="G1090" s="76" t="str">
        <f aca="false">F1090&amp;RANDBETWEEN(0,10)</f>
        <v>B10859</v>
      </c>
      <c r="H1090" s="75" t="n">
        <f aca="false">
IF($D1090="정상",INDEX(임대자산!$D$3:$R$3000,MATCH($F1090,임대자산!$I$3:$I$3000,0),MATCH(H$4,임대자산!$D$3:$R$3,0)),
IF($D1090="폐업",INDEX(폐업정보!$D$3:$R$3000,MATCH($F1090,폐업정보!$I$3:$I$3000,0),MATCH(H$4,폐업정보!$D$3:$R$3,0)),
"Error"))</f>
        <v>45110</v>
      </c>
      <c r="I1090" s="75" t="str">
        <f aca="false">
IF($D1090="정상",INDEX(임대자산!$D$3:$R$3000,MATCH($F1090,임대자산!$I$3:$I$3000,0),MATCH(I$4,임대자산!$D$3:$R$3,0)),
IF($D1090="폐업",INDEX(폐업정보!$D$3:$R$3000,MATCH($F1090,폐업정보!$I$3:$I$3000,0),MATCH(I$4,폐업정보!$D$3:$R$3,0)),
"Error"))</f>
        <v>A1085</v>
      </c>
      <c r="J1090" s="75" t="str">
        <f aca="false">
IF($D1090="정상",INDEX(임대자산!$D$3:$R$3000,MATCH($F1090,임대자산!$I$3:$I$3000,0),MATCH(J$4,임대자산!$D$3:$R$3,0)),
IF($D1090="폐업",INDEX(폐업정보!$D$3:$R$3000,MATCH($F1090,폐업정보!$I$3:$I$3000,0),MATCH(J$4,폐업정보!$D$3:$R$3,0)),
"Error"))</f>
        <v>2803200000</v>
      </c>
      <c r="K1090" s="75" t="str">
        <f aca="false">
IF($D1090="정상",INDEX(임대자산!$D$3:$R$3000,MATCH($F1090,임대자산!$I$3:$I$3000,0),MATCH(K$4,임대자산!$D$3:$R$3,0)),
IF($D1090="폐업",INDEX(폐업정보!$D$3:$R$3000,MATCH($F1090,폐업정보!$I$3:$I$3000,0),MATCH(K$4,폐업정보!$D$3:$R$3,0)),
"Error"))</f>
        <v>C1085</v>
      </c>
      <c r="L1090" s="75" t="str">
        <f aca="false">
IF($D1090="정상",INDEX(임대자산!$D$3:$R$3000,MATCH($F1090,임대자산!$I$3:$I$3000,0),MATCH(L$4,임대자산!$D$3:$R$3,0)),
IF($D1090="폐업",INDEX(폐업정보!$D$3:$R$3000,MATCH($F1090,폐업정보!$I$3:$I$3000,0),MATCH(L$4,폐업정보!$D$3:$R$3,0)),
"Error"))</f>
        <v>D1085</v>
      </c>
      <c r="M1090" s="76" t="s">
        <v>96</v>
      </c>
      <c r="N1090" s="77"/>
      <c r="O1090" s="78" t="s">
        <v>97</v>
      </c>
      <c r="P1090" s="79" t="n">
        <f aca="false">COUNTIFS(임대자산!$I:$I,가맹점정보!F1090,임대자산!$N:$N,가맹점정보!P$4)</f>
        <v>0</v>
      </c>
      <c r="Q1090" s="80" t="n">
        <f aca="false">COUNTIFS(임대자산!$I:$I,가맹점정보!F1090,임대자산!$N:$N,가맹점정보!Q$4)</f>
        <v>0</v>
      </c>
      <c r="R1090" s="81" t="n">
        <f aca="false">COUNTIFS(임대자산!$I:$I,가맹점정보!F1090,임대자산!$N:$N,가맹점정보!R$4)</f>
        <v>1</v>
      </c>
      <c r="S1090" s="82" t="n">
        <v>88000</v>
      </c>
      <c r="T1090" s="83" t="n">
        <v>0</v>
      </c>
      <c r="U1090" s="80" t="n">
        <f aca="false">SUM(S1090:T1090)</f>
        <v>88000</v>
      </c>
      <c r="V1090" s="84" t="s">
        <v>12</v>
      </c>
      <c r="W1090" s="80" t="e">
        <f aca="true">
IF(D1090="폐업","폐업",
IF(V1090="면제","면제",
IF(AND(V1090="정상",COUNTIFS(OFFSET(Y1090,0,COUNTA(Y1090:AV1090)-1,1,-4),"미납")&gt;=3),"장기미납",
IF(AND(V1090="정상",OFFSET(Y1090,0,COUNTA(Y1090:AV1090)-1)&gt;=U1090),"정상",
IF(AND(V1090="정상",OFFSET(Y1090,0,COUNTA(Y1090:AV1090)-1)=0),"정상",
"계약서 미작성")))))</f>
        <v>#VALUE!</v>
      </c>
      <c r="X1090" s="81" t="str">
        <f aca="true">
IF(D1090="폐업","폐업",
IF(AND(V1090="정상",OFFSET(Y1090,0,COUNTA(Y1090:AV1090)-1)="미납"),"미납",
IF(AND(V1090="정상",OFFSET(Y1090,0,COUNTA(Y1090:AV1090)-1)=0),"납부 시작 전",
IF(AND(V1090="정상",OFFSET(Y1090,0,COUNTA(Y1090:AV1090)-1)&gt;=U1090),"정상",
IF(AND(V1090="면제",OFFSET(Y1090,0,COUNTA(Y1090:AV1090)-1)="면제"),"면제",
IF(AND(V1090="면제",OFFSET(Y1090,0,COUNTA(Y1090:AV1090)-1)=0),"면제",
"확인요청"))))))</f>
        <v>정상</v>
      </c>
      <c r="Y1090" s="93" t="n">
        <v>88000</v>
      </c>
      <c r="Z1090" s="90" t="n">
        <v>88000</v>
      </c>
      <c r="AA1090" s="90" t="n">
        <v>88000</v>
      </c>
      <c r="AB1090" s="90" t="n">
        <v>88000</v>
      </c>
      <c r="AC1090" s="90" t="n">
        <v>88000</v>
      </c>
      <c r="AD1090" s="90" t="n">
        <v>88000</v>
      </c>
      <c r="AE1090" s="90" t="n">
        <v>88000</v>
      </c>
      <c r="AF1090" s="90" t="n">
        <v>88000</v>
      </c>
      <c r="AG1090" s="90" t="n">
        <v>88000</v>
      </c>
      <c r="AH1090" s="90" t="n">
        <v>88000</v>
      </c>
      <c r="AI1090" s="90" t="n">
        <v>88000</v>
      </c>
      <c r="AJ1090" s="91" t="n">
        <v>88000</v>
      </c>
      <c r="AK1090" s="89" t="n">
        <v>88000</v>
      </c>
      <c r="AL1090" s="90" t="n">
        <v>88000</v>
      </c>
      <c r="AM1090" s="90"/>
      <c r="AN1090" s="90"/>
      <c r="AO1090" s="90"/>
      <c r="AP1090" s="90"/>
      <c r="AQ1090" s="90"/>
      <c r="AR1090" s="90"/>
      <c r="AS1090" s="90"/>
      <c r="AT1090" s="90"/>
      <c r="AU1090" s="90"/>
      <c r="AV1090" s="91"/>
      <c r="AX1090" s="92"/>
    </row>
    <row r="1091" customFormat="false" ht="15.65" hidden="false" customHeight="false" outlineLevel="0" collapsed="false">
      <c r="C1091" s="72" t="n">
        <f aca="false">COUNTIFS($D$6:D1091,"&lt;&gt;"&amp;"")</f>
        <v>1086</v>
      </c>
      <c r="D1091" s="73" t="s">
        <v>12</v>
      </c>
      <c r="E1091" s="76" t="str">
        <f aca="false">
IF($D1091="정상",INDEX(임대자산!$D$3:$R$3000,MATCH($F1091,임대자산!$I$3:$I$3000,0),MATCH(E$3,임대자산!$D$3:$R$3,0)),
IF($D1091="폐업",INDEX(폐업정보!$D$3:$R$3000,MATCH($F1091,폐업정보!$I$3:$I$3000,0),MATCH(E$3,폐업정보!$D$3:$R$3,0)),
"Error"))</f>
        <v>경상</v>
      </c>
      <c r="F109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B1086</v>
      </c>
      <c r="G1091" s="76" t="str">
        <f aca="false">F1091&amp;RANDBETWEEN(0,10)</f>
        <v>B10866</v>
      </c>
      <c r="H1091" s="75" t="n">
        <f aca="false">
IF($D1091="정상",INDEX(임대자산!$D$3:$R$3000,MATCH($F1091,임대자산!$I$3:$I$3000,0),MATCH(H$4,임대자산!$D$3:$R$3,0)),
IF($D1091="폐업",INDEX(폐업정보!$D$3:$R$3000,MATCH($F1091,폐업정보!$I$3:$I$3000,0),MATCH(H$4,폐업정보!$D$3:$R$3,0)),
"Error"))</f>
        <v>45174</v>
      </c>
      <c r="I1091" s="75" t="str">
        <f aca="false">
IF($D1091="정상",INDEX(임대자산!$D$3:$R$3000,MATCH($F1091,임대자산!$I$3:$I$3000,0),MATCH(I$4,임대자산!$D$3:$R$3,0)),
IF($D1091="폐업",INDEX(폐업정보!$D$3:$R$3000,MATCH($F1091,폐업정보!$I$3:$I$3000,0),MATCH(I$4,폐업정보!$D$3:$R$3,0)),
"Error"))</f>
        <v>A1086</v>
      </c>
      <c r="J1091" s="75" t="str">
        <f aca="false">
IF($D1091="정상",INDEX(임대자산!$D$3:$R$3000,MATCH($F1091,임대자산!$I$3:$I$3000,0),MATCH(J$4,임대자산!$D$3:$R$3,0)),
IF($D1091="폐업",INDEX(폐업정보!$D$3:$R$3000,MATCH($F1091,폐업정보!$I$3:$I$3000,0),MATCH(J$4,폐업정보!$D$3:$R$3,0)),
"Error"))</f>
        <v>9475400000</v>
      </c>
      <c r="K1091" s="75" t="str">
        <f aca="false">
IF($D1091="정상",INDEX(임대자산!$D$3:$R$3000,MATCH($F1091,임대자산!$I$3:$I$3000,0),MATCH(K$4,임대자산!$D$3:$R$3,0)),
IF($D1091="폐업",INDEX(폐업정보!$D$3:$R$3000,MATCH($F1091,폐업정보!$I$3:$I$3000,0),MATCH(K$4,폐업정보!$D$3:$R$3,0)),
"Error"))</f>
        <v>C1086</v>
      </c>
      <c r="L1091" s="75" t="str">
        <f aca="false">
IF($D1091="정상",INDEX(임대자산!$D$3:$R$3000,MATCH($F1091,임대자산!$I$3:$I$3000,0),MATCH(L$4,임대자산!$D$3:$R$3,0)),
IF($D1091="폐업",INDEX(폐업정보!$D$3:$R$3000,MATCH($F1091,폐업정보!$I$3:$I$3000,0),MATCH(L$4,폐업정보!$D$3:$R$3,0)),
"Error"))</f>
        <v>D1086</v>
      </c>
      <c r="M1091" s="76" t="s">
        <v>96</v>
      </c>
      <c r="N1091" s="77"/>
      <c r="O1091" s="78" t="s">
        <v>97</v>
      </c>
      <c r="P1091" s="79" t="n">
        <f aca="false">COUNTIFS(임대자산!$I:$I,가맹점정보!F1091,임대자산!$N:$N,가맹점정보!P$4)</f>
        <v>0</v>
      </c>
      <c r="Q1091" s="80" t="n">
        <f aca="false">COUNTIFS(임대자산!$I:$I,가맹점정보!F1091,임대자산!$N:$N,가맹점정보!Q$4)</f>
        <v>0</v>
      </c>
      <c r="R1091" s="81" t="n">
        <f aca="false">COUNTIFS(임대자산!$I:$I,가맹점정보!F1091,임대자산!$N:$N,가맹점정보!R$4)</f>
        <v>1</v>
      </c>
      <c r="S1091" s="82" t="n">
        <v>55000</v>
      </c>
      <c r="T1091" s="83" t="n">
        <v>0</v>
      </c>
      <c r="U1091" s="80" t="n">
        <f aca="false">SUM(S1091:T1091)</f>
        <v>55000</v>
      </c>
      <c r="V1091" s="84" t="s">
        <v>12</v>
      </c>
      <c r="W1091" s="80" t="e">
        <f aca="true">
IF(D1091="폐업","폐업",
IF(V1091="면제","면제",
IF(AND(V1091="정상",COUNTIFS(OFFSET(Y1091,0,COUNTA(Y1091:AV1091)-1,1,-4),"미납")&gt;=3),"장기미납",
IF(AND(V1091="정상",OFFSET(Y1091,0,COUNTA(Y1091:AV1091)-1)&gt;=U1091),"정상",
IF(AND(V1091="정상",OFFSET(Y1091,0,COUNTA(Y1091:AV1091)-1)=0),"정상",
"계약서 미작성")))))</f>
        <v>#VALUE!</v>
      </c>
      <c r="X1091" s="81" t="str">
        <f aca="true">
IF(D1091="폐업","폐업",
IF(AND(V1091="정상",OFFSET(Y1091,0,COUNTA(Y1091:AV1091)-1)="미납"),"미납",
IF(AND(V1091="정상",OFFSET(Y1091,0,COUNTA(Y1091:AV1091)-1)=0),"납부 시작 전",
IF(AND(V1091="정상",OFFSET(Y1091,0,COUNTA(Y1091:AV1091)-1)&gt;=U1091),"정상",
IF(AND(V1091="면제",OFFSET(Y1091,0,COUNTA(Y1091:AV1091)-1)="면제"),"면제",
IF(AND(V1091="면제",OFFSET(Y1091,0,COUNTA(Y1091:AV1091)-1)=0),"면제",
"확인요청"))))))</f>
        <v>미납</v>
      </c>
      <c r="Y1091" s="93" t="n">
        <v>55000</v>
      </c>
      <c r="Z1091" s="90" t="n">
        <v>55000</v>
      </c>
      <c r="AA1091" s="90" t="n">
        <v>55000</v>
      </c>
      <c r="AB1091" s="90" t="n">
        <v>55000</v>
      </c>
      <c r="AC1091" s="90" t="n">
        <v>55000</v>
      </c>
      <c r="AD1091" s="90" t="n">
        <v>55000</v>
      </c>
      <c r="AE1091" s="90" t="n">
        <v>55000</v>
      </c>
      <c r="AF1091" s="90" t="n">
        <v>55000</v>
      </c>
      <c r="AG1091" s="90" t="n">
        <v>55000</v>
      </c>
      <c r="AH1091" s="90" t="n">
        <v>55000</v>
      </c>
      <c r="AI1091" s="90" t="n">
        <v>55000</v>
      </c>
      <c r="AJ1091" s="91" t="n">
        <v>55000</v>
      </c>
      <c r="AK1091" s="89" t="n">
        <v>55000</v>
      </c>
      <c r="AL1091" s="95" t="s">
        <v>62</v>
      </c>
      <c r="AM1091" s="90"/>
      <c r="AN1091" s="90"/>
      <c r="AO1091" s="90"/>
      <c r="AP1091" s="90"/>
      <c r="AQ1091" s="90"/>
      <c r="AR1091" s="90"/>
      <c r="AS1091" s="90"/>
      <c r="AT1091" s="90"/>
      <c r="AU1091" s="90"/>
      <c r="AV1091" s="91"/>
      <c r="AX1091" s="92"/>
    </row>
    <row r="1092" customFormat="false" ht="15.65" hidden="false" customHeight="false" outlineLevel="0" collapsed="false">
      <c r="C1092" s="72" t="n">
        <f aca="false">COUNTIFS($D$6:D1092,"&lt;&gt;"&amp;"")</f>
        <v>1087</v>
      </c>
      <c r="D1092" s="73" t="s">
        <v>12</v>
      </c>
      <c r="E1092" s="76" t="str">
        <f aca="false">
IF($D1092="정상",INDEX(임대자산!$D$3:$R$3000,MATCH($F1092,임대자산!$I$3:$I$3000,0),MATCH(E$3,임대자산!$D$3:$R$3,0)),
IF($D1092="폐업",INDEX(폐업정보!$D$3:$R$3000,MATCH($F1092,폐업정보!$I$3:$I$3000,0),MATCH(E$3,폐업정보!$D$3:$R$3,0)),
"Error"))</f>
        <v>경상</v>
      </c>
      <c r="F109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B1087</v>
      </c>
      <c r="G1092" s="76" t="str">
        <f aca="false">F1092&amp;RANDBETWEEN(0,10)</f>
        <v>B10873</v>
      </c>
      <c r="H1092" s="75" t="n">
        <f aca="false">
IF($D1092="정상",INDEX(임대자산!$D$3:$R$3000,MATCH($F1092,임대자산!$I$3:$I$3000,0),MATCH(H$4,임대자산!$D$3:$R$3,0)),
IF($D1092="폐업",INDEX(폐업정보!$D$3:$R$3000,MATCH($F1092,폐업정보!$I$3:$I$3000,0),MATCH(H$4,폐업정보!$D$3:$R$3,0)),
"Error"))</f>
        <v>44747</v>
      </c>
      <c r="I1092" s="75" t="str">
        <f aca="false">
IF($D1092="정상",INDEX(임대자산!$D$3:$R$3000,MATCH($F1092,임대자산!$I$3:$I$3000,0),MATCH(I$4,임대자산!$D$3:$R$3,0)),
IF($D1092="폐업",INDEX(폐업정보!$D$3:$R$3000,MATCH($F1092,폐업정보!$I$3:$I$3000,0),MATCH(I$4,폐업정보!$D$3:$R$3,0)),
"Error"))</f>
        <v>A1087</v>
      </c>
      <c r="J1092" s="75" t="str">
        <f aca="false">
IF($D1092="정상",INDEX(임대자산!$D$3:$R$3000,MATCH($F1092,임대자산!$I$3:$I$3000,0),MATCH(J$4,임대자산!$D$3:$R$3,0)),
IF($D1092="폐업",INDEX(폐업정보!$D$3:$R$3000,MATCH($F1092,폐업정보!$I$3:$I$3000,0),MATCH(J$4,폐업정보!$D$3:$R$3,0)),
"Error"))</f>
        <v>6997100000</v>
      </c>
      <c r="K1092" s="75" t="str">
        <f aca="false">
IF($D1092="정상",INDEX(임대자산!$D$3:$R$3000,MATCH($F1092,임대자산!$I$3:$I$3000,0),MATCH(K$4,임대자산!$D$3:$R$3,0)),
IF($D1092="폐업",INDEX(폐업정보!$D$3:$R$3000,MATCH($F1092,폐업정보!$I$3:$I$3000,0),MATCH(K$4,폐업정보!$D$3:$R$3,0)),
"Error"))</f>
        <v>C1087</v>
      </c>
      <c r="L1092" s="75" t="str">
        <f aca="false">
IF($D1092="정상",INDEX(임대자산!$D$3:$R$3000,MATCH($F1092,임대자산!$I$3:$I$3000,0),MATCH(L$4,임대자산!$D$3:$R$3,0)),
IF($D1092="폐업",INDEX(폐업정보!$D$3:$R$3000,MATCH($F1092,폐업정보!$I$3:$I$3000,0),MATCH(L$4,폐업정보!$D$3:$R$3,0)),
"Error"))</f>
        <v>D1087</v>
      </c>
      <c r="M1092" s="76" t="s">
        <v>96</v>
      </c>
      <c r="N1092" s="77"/>
      <c r="O1092" s="78" t="s">
        <v>97</v>
      </c>
      <c r="P1092" s="79" t="n">
        <f aca="false">COUNTIFS(임대자산!$I:$I,가맹점정보!F1092,임대자산!$N:$N,가맹점정보!P$4)</f>
        <v>0</v>
      </c>
      <c r="Q1092" s="80" t="n">
        <f aca="false">COUNTIFS(임대자산!$I:$I,가맹점정보!F1092,임대자산!$N:$N,가맹점정보!Q$4)</f>
        <v>0</v>
      </c>
      <c r="R1092" s="81" t="n">
        <f aca="false">COUNTIFS(임대자산!$I:$I,가맹점정보!F1092,임대자산!$N:$N,가맹점정보!R$4)</f>
        <v>1</v>
      </c>
      <c r="S1092" s="82" t="n">
        <v>55000</v>
      </c>
      <c r="T1092" s="83" t="n">
        <v>0</v>
      </c>
      <c r="U1092" s="80" t="n">
        <f aca="false">SUM(S1092:T1092)</f>
        <v>55000</v>
      </c>
      <c r="V1092" s="84" t="s">
        <v>12</v>
      </c>
      <c r="W1092" s="80" t="e">
        <f aca="true">
IF(D1092="폐업","폐업",
IF(V1092="면제","면제",
IF(AND(V1092="정상",COUNTIFS(OFFSET(Y1092,0,COUNTA(Y1092:AV1092)-1,1,-4),"미납")&gt;=3),"장기미납",
IF(AND(V1092="정상",OFFSET(Y1092,0,COUNTA(Y1092:AV1092)-1)&gt;=U1092),"정상",
IF(AND(V1092="정상",OFFSET(Y1092,0,COUNTA(Y1092:AV1092)-1)=0),"정상",
"계약서 미작성")))))</f>
        <v>#VALUE!</v>
      </c>
      <c r="X1092" s="81" t="str">
        <f aca="true">
IF(D1092="폐업","폐업",
IF(AND(V1092="정상",OFFSET(Y1092,0,COUNTA(Y1092:AV1092)-1)="미납"),"미납",
IF(AND(V1092="정상",OFFSET(Y1092,0,COUNTA(Y1092:AV1092)-1)=0),"납부 시작 전",
IF(AND(V1092="정상",OFFSET(Y1092,0,COUNTA(Y1092:AV1092)-1)&gt;=U1092),"정상",
IF(AND(V1092="면제",OFFSET(Y1092,0,COUNTA(Y1092:AV1092)-1)="면제"),"면제",
IF(AND(V1092="면제",OFFSET(Y1092,0,COUNTA(Y1092:AV1092)-1)=0),"면제",
"확인요청"))))))</f>
        <v>정상</v>
      </c>
      <c r="Y1092" s="93" t="n">
        <v>55000</v>
      </c>
      <c r="Z1092" s="90" t="n">
        <v>55000</v>
      </c>
      <c r="AA1092" s="90" t="n">
        <v>55000</v>
      </c>
      <c r="AB1092" s="90" t="n">
        <v>55000</v>
      </c>
      <c r="AC1092" s="90" t="n">
        <v>55000</v>
      </c>
      <c r="AD1092" s="90" t="n">
        <v>55000</v>
      </c>
      <c r="AE1092" s="90" t="n">
        <v>55000</v>
      </c>
      <c r="AF1092" s="90" t="n">
        <v>55000</v>
      </c>
      <c r="AG1092" s="90" t="n">
        <v>55000</v>
      </c>
      <c r="AH1092" s="90" t="n">
        <v>55000</v>
      </c>
      <c r="AI1092" s="90" t="n">
        <v>55000</v>
      </c>
      <c r="AJ1092" s="91" t="n">
        <v>55000</v>
      </c>
      <c r="AK1092" s="89" t="n">
        <v>55000</v>
      </c>
      <c r="AL1092" s="90" t="n">
        <v>55000</v>
      </c>
      <c r="AM1092" s="90"/>
      <c r="AN1092" s="90"/>
      <c r="AO1092" s="90"/>
      <c r="AP1092" s="90"/>
      <c r="AQ1092" s="90"/>
      <c r="AR1092" s="90"/>
      <c r="AS1092" s="90"/>
      <c r="AT1092" s="90"/>
      <c r="AU1092" s="90"/>
      <c r="AV1092" s="91"/>
      <c r="AX1092" s="92"/>
    </row>
    <row r="1093" customFormat="false" ht="15.65" hidden="false" customHeight="false" outlineLevel="0" collapsed="false">
      <c r="C1093" s="72" t="n">
        <f aca="false">COUNTIFS($D$6:D1093,"&lt;&gt;"&amp;"")</f>
        <v>1088</v>
      </c>
      <c r="D1093" s="73" t="s">
        <v>12</v>
      </c>
      <c r="E1093" s="76" t="str">
        <f aca="false">
IF($D1093="정상",INDEX(임대자산!$D$3:$R$3000,MATCH($F1093,임대자산!$I$3:$I$3000,0),MATCH(E$3,임대자산!$D$3:$R$3,0)),
IF($D1093="폐업",INDEX(폐업정보!$D$3:$R$3000,MATCH($F1093,폐업정보!$I$3:$I$3000,0),MATCH(E$3,폐업정보!$D$3:$R$3,0)),
"Error"))</f>
        <v>서울</v>
      </c>
      <c r="F109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B1088</v>
      </c>
      <c r="G1093" s="76" t="str">
        <f aca="false">F1093&amp;RANDBETWEEN(0,10)</f>
        <v>B10883</v>
      </c>
      <c r="H1093" s="75" t="n">
        <f aca="false">
IF($D1093="정상",INDEX(임대자산!$D$3:$R$3000,MATCH($F1093,임대자산!$I$3:$I$3000,0),MATCH(H$4,임대자산!$D$3:$R$3,0)),
IF($D1093="폐업",INDEX(폐업정보!$D$3:$R$3000,MATCH($F1093,폐업정보!$I$3:$I$3000,0),MATCH(H$4,폐업정보!$D$3:$R$3,0)),
"Error"))</f>
        <v>45833</v>
      </c>
      <c r="I1093" s="75" t="str">
        <f aca="false">
IF($D1093="정상",INDEX(임대자산!$D$3:$R$3000,MATCH($F1093,임대자산!$I$3:$I$3000,0),MATCH(I$4,임대자산!$D$3:$R$3,0)),
IF($D1093="폐업",INDEX(폐업정보!$D$3:$R$3000,MATCH($F1093,폐업정보!$I$3:$I$3000,0),MATCH(I$4,폐업정보!$D$3:$R$3,0)),
"Error"))</f>
        <v>A1088</v>
      </c>
      <c r="J1093" s="75" t="str">
        <f aca="false">
IF($D1093="정상",INDEX(임대자산!$D$3:$R$3000,MATCH($F1093,임대자산!$I$3:$I$3000,0),MATCH(J$4,임대자산!$D$3:$R$3,0)),
IF($D1093="폐업",INDEX(폐업정보!$D$3:$R$3000,MATCH($F1093,폐업정보!$I$3:$I$3000,0),MATCH(J$4,폐업정보!$D$3:$R$3,0)),
"Error"))</f>
        <v>9390400000</v>
      </c>
      <c r="K1093" s="75" t="str">
        <f aca="false">
IF($D1093="정상",INDEX(임대자산!$D$3:$R$3000,MATCH($F1093,임대자산!$I$3:$I$3000,0),MATCH(K$4,임대자산!$D$3:$R$3,0)),
IF($D1093="폐업",INDEX(폐업정보!$D$3:$R$3000,MATCH($F1093,폐업정보!$I$3:$I$3000,0),MATCH(K$4,폐업정보!$D$3:$R$3,0)),
"Error"))</f>
        <v>C1088</v>
      </c>
      <c r="L1093" s="75" t="str">
        <f aca="false">
IF($D1093="정상",INDEX(임대자산!$D$3:$R$3000,MATCH($F1093,임대자산!$I$3:$I$3000,0),MATCH(L$4,임대자산!$D$3:$R$3,0)),
IF($D1093="폐업",INDEX(폐업정보!$D$3:$R$3000,MATCH($F1093,폐업정보!$I$3:$I$3000,0),MATCH(L$4,폐업정보!$D$3:$R$3,0)),
"Error"))</f>
        <v>D1088</v>
      </c>
      <c r="M1093" s="76" t="s">
        <v>96</v>
      </c>
      <c r="N1093" s="77"/>
      <c r="O1093" s="78" t="s">
        <v>97</v>
      </c>
      <c r="P1093" s="79" t="n">
        <f aca="false">COUNTIFS(임대자산!$I:$I,가맹점정보!F1093,임대자산!$N:$N,가맹점정보!P$4)</f>
        <v>0</v>
      </c>
      <c r="Q1093" s="80" t="n">
        <f aca="false">COUNTIFS(임대자산!$I:$I,가맹점정보!F1093,임대자산!$N:$N,가맹점정보!Q$4)</f>
        <v>0</v>
      </c>
      <c r="R1093" s="81" t="n">
        <f aca="false">COUNTIFS(임대자산!$I:$I,가맹점정보!F1093,임대자산!$N:$N,가맹점정보!R$4)</f>
        <v>1</v>
      </c>
      <c r="S1093" s="82" t="n">
        <v>55000</v>
      </c>
      <c r="T1093" s="83" t="n">
        <v>0</v>
      </c>
      <c r="U1093" s="80" t="n">
        <f aca="false">SUM(S1093:T1093)</f>
        <v>55000</v>
      </c>
      <c r="V1093" s="84" t="s">
        <v>12</v>
      </c>
      <c r="W1093" s="80" t="e">
        <f aca="true">
IF(D1093="폐업","폐업",
IF(V1093="면제","면제",
IF(AND(V1093="정상",COUNTIFS(OFFSET(Y1093,0,COUNTA(Y1093:AV1093)-1,1,-4),"미납")&gt;=3),"장기미납",
IF(AND(V1093="정상",OFFSET(Y1093,0,COUNTA(Y1093:AV1093)-1)&gt;=U1093),"정상",
IF(AND(V1093="정상",OFFSET(Y1093,0,COUNTA(Y1093:AV1093)-1)=0),"정상",
"계약서 미작성")))))</f>
        <v>#VALUE!</v>
      </c>
      <c r="X1093" s="81" t="str">
        <f aca="true">
IF(D1093="폐업","폐업",
IF(AND(V1093="정상",OFFSET(Y1093,0,COUNTA(Y1093:AV1093)-1)="미납"),"미납",
IF(AND(V1093="정상",OFFSET(Y1093,0,COUNTA(Y1093:AV1093)-1)=0),"납부 시작 전",
IF(AND(V1093="정상",OFFSET(Y1093,0,COUNTA(Y1093:AV1093)-1)&gt;=U1093),"정상",
IF(AND(V1093="면제",OFFSET(Y1093,0,COUNTA(Y1093:AV1093)-1)="면제"),"면제",
IF(AND(V1093="면제",OFFSET(Y1093,0,COUNTA(Y1093:AV1093)-1)=0),"면제",
"확인요청"))))))</f>
        <v>정상</v>
      </c>
      <c r="Y1093" s="93" t="n">
        <v>55000</v>
      </c>
      <c r="Z1093" s="90" t="n">
        <v>55000</v>
      </c>
      <c r="AA1093" s="90" t="n">
        <v>55000</v>
      </c>
      <c r="AB1093" s="90" t="n">
        <v>55000</v>
      </c>
      <c r="AC1093" s="90" t="n">
        <v>55000</v>
      </c>
      <c r="AD1093" s="90" t="n">
        <v>55000</v>
      </c>
      <c r="AE1093" s="90" t="n">
        <v>55000</v>
      </c>
      <c r="AF1093" s="90" t="n">
        <v>55000</v>
      </c>
      <c r="AG1093" s="90" t="n">
        <v>55000</v>
      </c>
      <c r="AH1093" s="90" t="n">
        <v>55000</v>
      </c>
      <c r="AI1093" s="90" t="n">
        <v>55000</v>
      </c>
      <c r="AJ1093" s="91" t="n">
        <v>55000</v>
      </c>
      <c r="AK1093" s="89" t="n">
        <v>55000</v>
      </c>
      <c r="AL1093" s="90" t="n">
        <v>55000</v>
      </c>
      <c r="AM1093" s="90"/>
      <c r="AN1093" s="90"/>
      <c r="AO1093" s="90"/>
      <c r="AP1093" s="90"/>
      <c r="AQ1093" s="90"/>
      <c r="AR1093" s="90"/>
      <c r="AS1093" s="90"/>
      <c r="AT1093" s="90"/>
      <c r="AU1093" s="90"/>
      <c r="AV1093" s="91"/>
      <c r="AX1093" s="92"/>
    </row>
    <row r="1094" customFormat="false" ht="15.65" hidden="false" customHeight="false" outlineLevel="0" collapsed="false">
      <c r="C1094" s="72" t="n">
        <f aca="false">COUNTIFS($D$6:D1094,"&lt;&gt;"&amp;"")</f>
        <v>1089</v>
      </c>
      <c r="D1094" s="73" t="s">
        <v>12</v>
      </c>
      <c r="E1094" s="76" t="str">
        <f aca="false">
IF($D1094="정상",INDEX(임대자산!$D$3:$R$3000,MATCH($F1094,임대자산!$I$3:$I$3000,0),MATCH(E$3,임대자산!$D$3:$R$3,0)),
IF($D1094="폐업",INDEX(폐업정보!$D$3:$R$3000,MATCH($F1094,폐업정보!$I$3:$I$3000,0),MATCH(E$3,폐업정보!$D$3:$R$3,0)),
"Error"))</f>
        <v>서울</v>
      </c>
      <c r="F109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B1089</v>
      </c>
      <c r="G1094" s="76" t="str">
        <f aca="false">F1094&amp;RANDBETWEEN(0,10)</f>
        <v>B10898</v>
      </c>
      <c r="H1094" s="75" t="n">
        <f aca="false">
IF($D1094="정상",INDEX(임대자산!$D$3:$R$3000,MATCH($F1094,임대자산!$I$3:$I$3000,0),MATCH(H$4,임대자산!$D$3:$R$3,0)),
IF($D1094="폐업",INDEX(폐업정보!$D$3:$R$3000,MATCH($F1094,폐업정보!$I$3:$I$3000,0),MATCH(H$4,폐업정보!$D$3:$R$3,0)),
"Error"))</f>
        <v>45833</v>
      </c>
      <c r="I1094" s="75" t="str">
        <f aca="false">
IF($D1094="정상",INDEX(임대자산!$D$3:$R$3000,MATCH($F1094,임대자산!$I$3:$I$3000,0),MATCH(I$4,임대자산!$D$3:$R$3,0)),
IF($D1094="폐업",INDEX(폐업정보!$D$3:$R$3000,MATCH($F1094,폐업정보!$I$3:$I$3000,0),MATCH(I$4,폐업정보!$D$3:$R$3,0)),
"Error"))</f>
        <v>A1089</v>
      </c>
      <c r="J1094" s="75" t="str">
        <f aca="false">
IF($D1094="정상",INDEX(임대자산!$D$3:$R$3000,MATCH($F1094,임대자산!$I$3:$I$3000,0),MATCH(J$4,임대자산!$D$3:$R$3,0)),
IF($D1094="폐업",INDEX(폐업정보!$D$3:$R$3000,MATCH($F1094,폐업정보!$I$3:$I$3000,0),MATCH(J$4,폐업정보!$D$3:$R$3,0)),
"Error"))</f>
        <v>6412900000</v>
      </c>
      <c r="K1094" s="75" t="str">
        <f aca="false">
IF($D1094="정상",INDEX(임대자산!$D$3:$R$3000,MATCH($F1094,임대자산!$I$3:$I$3000,0),MATCH(K$4,임대자산!$D$3:$R$3,0)),
IF($D1094="폐업",INDEX(폐업정보!$D$3:$R$3000,MATCH($F1094,폐업정보!$I$3:$I$3000,0),MATCH(K$4,폐업정보!$D$3:$R$3,0)),
"Error"))</f>
        <v>C1089</v>
      </c>
      <c r="L1094" s="75" t="str">
        <f aca="false">
IF($D1094="정상",INDEX(임대자산!$D$3:$R$3000,MATCH($F1094,임대자산!$I$3:$I$3000,0),MATCH(L$4,임대자산!$D$3:$R$3,0)),
IF($D1094="폐업",INDEX(폐업정보!$D$3:$R$3000,MATCH($F1094,폐업정보!$I$3:$I$3000,0),MATCH(L$4,폐업정보!$D$3:$R$3,0)),
"Error"))</f>
        <v>D1089</v>
      </c>
      <c r="M1094" s="76" t="s">
        <v>96</v>
      </c>
      <c r="N1094" s="77"/>
      <c r="O1094" s="78" t="s">
        <v>97</v>
      </c>
      <c r="P1094" s="79" t="n">
        <f aca="false">COUNTIFS(임대자산!$I:$I,가맹점정보!F1094,임대자산!$N:$N,가맹점정보!P$4)</f>
        <v>0</v>
      </c>
      <c r="Q1094" s="80" t="n">
        <f aca="false">COUNTIFS(임대자산!$I:$I,가맹점정보!F1094,임대자산!$N:$N,가맹점정보!Q$4)</f>
        <v>0</v>
      </c>
      <c r="R1094" s="81" t="n">
        <f aca="false">COUNTIFS(임대자산!$I:$I,가맹점정보!F1094,임대자산!$N:$N,가맹점정보!R$4)</f>
        <v>1</v>
      </c>
      <c r="S1094" s="82" t="n">
        <v>88000</v>
      </c>
      <c r="T1094" s="83" t="n">
        <v>0</v>
      </c>
      <c r="U1094" s="80" t="n">
        <f aca="false">SUM(S1094:T1094)</f>
        <v>88000</v>
      </c>
      <c r="V1094" s="84" t="s">
        <v>12</v>
      </c>
      <c r="W1094" s="80" t="e">
        <f aca="true">
IF(D1094="폐업","폐업",
IF(V1094="면제","면제",
IF(AND(V1094="정상",COUNTIFS(OFFSET(Y1094,0,COUNTA(Y1094:AV1094)-1,1,-4),"미납")&gt;=3),"장기미납",
IF(AND(V1094="정상",OFFSET(Y1094,0,COUNTA(Y1094:AV1094)-1)&gt;=U1094),"정상",
IF(AND(V1094="정상",OFFSET(Y1094,0,COUNTA(Y1094:AV1094)-1)=0),"정상",
"계약서 미작성")))))</f>
        <v>#VALUE!</v>
      </c>
      <c r="X1094" s="81" t="str">
        <f aca="true">
IF(D1094="폐업","폐업",
IF(AND(V1094="정상",OFFSET(Y1094,0,COUNTA(Y1094:AV1094)-1)="미납"),"미납",
IF(AND(V1094="정상",OFFSET(Y1094,0,COUNTA(Y1094:AV1094)-1)=0),"납부 시작 전",
IF(AND(V1094="정상",OFFSET(Y1094,0,COUNTA(Y1094:AV1094)-1)&gt;=U1094),"정상",
IF(AND(V1094="면제",OFFSET(Y1094,0,COUNTA(Y1094:AV1094)-1)="면제"),"면제",
IF(AND(V1094="면제",OFFSET(Y1094,0,COUNTA(Y1094:AV1094)-1)=0),"면제",
"확인요청"))))))</f>
        <v>정상</v>
      </c>
      <c r="Y1094" s="93" t="n">
        <v>88000</v>
      </c>
      <c r="Z1094" s="90" t="n">
        <v>88000</v>
      </c>
      <c r="AA1094" s="90" t="n">
        <v>88000</v>
      </c>
      <c r="AB1094" s="90" t="n">
        <v>88000</v>
      </c>
      <c r="AC1094" s="90" t="n">
        <v>88000</v>
      </c>
      <c r="AD1094" s="90" t="n">
        <v>88000</v>
      </c>
      <c r="AE1094" s="90" t="n">
        <v>88000</v>
      </c>
      <c r="AF1094" s="90" t="n">
        <v>88000</v>
      </c>
      <c r="AG1094" s="90" t="n">
        <v>88000</v>
      </c>
      <c r="AH1094" s="90" t="n">
        <v>88000</v>
      </c>
      <c r="AI1094" s="90" t="n">
        <v>88000</v>
      </c>
      <c r="AJ1094" s="91" t="n">
        <v>88000</v>
      </c>
      <c r="AK1094" s="89" t="n">
        <v>88000</v>
      </c>
      <c r="AL1094" s="90" t="n">
        <v>88000</v>
      </c>
      <c r="AM1094" s="90"/>
      <c r="AN1094" s="90"/>
      <c r="AO1094" s="90"/>
      <c r="AP1094" s="90"/>
      <c r="AQ1094" s="90"/>
      <c r="AR1094" s="90"/>
      <c r="AS1094" s="90"/>
      <c r="AT1094" s="90"/>
      <c r="AU1094" s="90"/>
      <c r="AV1094" s="91"/>
      <c r="AX1094" s="92"/>
    </row>
    <row r="1095" customFormat="false" ht="15.65" hidden="false" customHeight="false" outlineLevel="0" collapsed="false">
      <c r="C1095" s="72" t="n">
        <f aca="false">COUNTIFS($D$6:D1095,"&lt;&gt;"&amp;"")</f>
        <v>1090</v>
      </c>
      <c r="D1095" s="73" t="s">
        <v>12</v>
      </c>
      <c r="E1095" s="76" t="str">
        <f aca="false">
IF($D1095="정상",INDEX(임대자산!$D$3:$R$3000,MATCH($F1095,임대자산!$I$3:$I$3000,0),MATCH(E$3,임대자산!$D$3:$R$3,0)),
IF($D1095="폐업",INDEX(폐업정보!$D$3:$R$3000,MATCH($F1095,폐업정보!$I$3:$I$3000,0),MATCH(E$3,폐업정보!$D$3:$R$3,0)),
"Error"))</f>
        <v>서울</v>
      </c>
      <c r="F109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B1090</v>
      </c>
      <c r="G1095" s="76" t="str">
        <f aca="false">F1095&amp;RANDBETWEEN(0,10)</f>
        <v>B10904</v>
      </c>
      <c r="H1095" s="75" t="n">
        <f aca="false">
IF($D1095="정상",INDEX(임대자산!$D$3:$R$3000,MATCH($F1095,임대자산!$I$3:$I$3000,0),MATCH(H$4,임대자산!$D$3:$R$3,0)),
IF($D1095="폐업",INDEX(폐업정보!$D$3:$R$3000,MATCH($F1095,폐업정보!$I$3:$I$3000,0),MATCH(H$4,폐업정보!$D$3:$R$3,0)),
"Error"))</f>
        <v>45491</v>
      </c>
      <c r="I1095" s="75" t="str">
        <f aca="false">
IF($D1095="정상",INDEX(임대자산!$D$3:$R$3000,MATCH($F1095,임대자산!$I$3:$I$3000,0),MATCH(I$4,임대자산!$D$3:$R$3,0)),
IF($D1095="폐업",INDEX(폐업정보!$D$3:$R$3000,MATCH($F1095,폐업정보!$I$3:$I$3000,0),MATCH(I$4,폐업정보!$D$3:$R$3,0)),
"Error"))</f>
        <v>A1090</v>
      </c>
      <c r="J1095" s="75" t="str">
        <f aca="false">
IF($D1095="정상",INDEX(임대자산!$D$3:$R$3000,MATCH($F1095,임대자산!$I$3:$I$3000,0),MATCH(J$4,임대자산!$D$3:$R$3,0)),
IF($D1095="폐업",INDEX(폐업정보!$D$3:$R$3000,MATCH($F1095,폐업정보!$I$3:$I$3000,0),MATCH(J$4,폐업정보!$D$3:$R$3,0)),
"Error"))</f>
        <v>1357300000</v>
      </c>
      <c r="K1095" s="75" t="str">
        <f aca="false">
IF($D1095="정상",INDEX(임대자산!$D$3:$R$3000,MATCH($F1095,임대자산!$I$3:$I$3000,0),MATCH(K$4,임대자산!$D$3:$R$3,0)),
IF($D1095="폐업",INDEX(폐업정보!$D$3:$R$3000,MATCH($F1095,폐업정보!$I$3:$I$3000,0),MATCH(K$4,폐업정보!$D$3:$R$3,0)),
"Error"))</f>
        <v>C1090</v>
      </c>
      <c r="L1095" s="75" t="str">
        <f aca="false">
IF($D1095="정상",INDEX(임대자산!$D$3:$R$3000,MATCH($F1095,임대자산!$I$3:$I$3000,0),MATCH(L$4,임대자산!$D$3:$R$3,0)),
IF($D1095="폐업",INDEX(폐업정보!$D$3:$R$3000,MATCH($F1095,폐업정보!$I$3:$I$3000,0),MATCH(L$4,폐업정보!$D$3:$R$3,0)),
"Error"))</f>
        <v>D1090</v>
      </c>
      <c r="M1095" s="76" t="s">
        <v>96</v>
      </c>
      <c r="N1095" s="77"/>
      <c r="O1095" s="78" t="s">
        <v>97</v>
      </c>
      <c r="P1095" s="79" t="n">
        <f aca="false">COUNTIFS(임대자산!$I:$I,가맹점정보!F1095,임대자산!$N:$N,가맹점정보!P$4)</f>
        <v>0</v>
      </c>
      <c r="Q1095" s="80" t="n">
        <f aca="false">COUNTIFS(임대자산!$I:$I,가맹점정보!F1095,임대자산!$N:$N,가맹점정보!Q$4)</f>
        <v>0</v>
      </c>
      <c r="R1095" s="81" t="n">
        <f aca="false">COUNTIFS(임대자산!$I:$I,가맹점정보!F1095,임대자산!$N:$N,가맹점정보!R$4)</f>
        <v>1</v>
      </c>
      <c r="S1095" s="82" t="n">
        <v>55000</v>
      </c>
      <c r="T1095" s="83" t="n">
        <v>0</v>
      </c>
      <c r="U1095" s="80" t="n">
        <f aca="false">SUM(S1095:T1095)</f>
        <v>55000</v>
      </c>
      <c r="V1095" s="84" t="s">
        <v>12</v>
      </c>
      <c r="W1095" s="80" t="e">
        <f aca="true">
IF(D1095="폐업","폐업",
IF(V1095="면제","면제",
IF(AND(V1095="정상",COUNTIFS(OFFSET(Y1095,0,COUNTA(Y1095:AV1095)-1,1,-4),"미납")&gt;=3),"장기미납",
IF(AND(V1095="정상",OFFSET(Y1095,0,COUNTA(Y1095:AV1095)-1)&gt;=U1095),"정상",
IF(AND(V1095="정상",OFFSET(Y1095,0,COUNTA(Y1095:AV1095)-1)=0),"정상",
"계약서 미작성")))))</f>
        <v>#VALUE!</v>
      </c>
      <c r="X1095" s="81" t="str">
        <f aca="true">
IF(D1095="폐업","폐업",
IF(AND(V1095="정상",OFFSET(Y1095,0,COUNTA(Y1095:AV1095)-1)="미납"),"미납",
IF(AND(V1095="정상",OFFSET(Y1095,0,COUNTA(Y1095:AV1095)-1)=0),"납부 시작 전",
IF(AND(V1095="정상",OFFSET(Y1095,0,COUNTA(Y1095:AV1095)-1)&gt;=U1095),"정상",
IF(AND(V1095="면제",OFFSET(Y1095,0,COUNTA(Y1095:AV1095)-1)="면제"),"면제",
IF(AND(V1095="면제",OFFSET(Y1095,0,COUNTA(Y1095:AV1095)-1)=0),"면제",
"확인요청"))))))</f>
        <v>정상</v>
      </c>
      <c r="Y1095" s="93" t="n">
        <v>55000</v>
      </c>
      <c r="Z1095" s="90" t="n">
        <v>55000</v>
      </c>
      <c r="AA1095" s="90" t="n">
        <v>55000</v>
      </c>
      <c r="AB1095" s="90" t="n">
        <v>55000</v>
      </c>
      <c r="AC1095" s="90" t="n">
        <v>55000</v>
      </c>
      <c r="AD1095" s="90" t="n">
        <v>55000</v>
      </c>
      <c r="AE1095" s="90" t="n">
        <v>55000</v>
      </c>
      <c r="AF1095" s="90" t="n">
        <v>55000</v>
      </c>
      <c r="AG1095" s="90" t="n">
        <v>55000</v>
      </c>
      <c r="AH1095" s="90" t="n">
        <v>55000</v>
      </c>
      <c r="AI1095" s="90" t="n">
        <v>55000</v>
      </c>
      <c r="AJ1095" s="91" t="n">
        <v>55000</v>
      </c>
      <c r="AK1095" s="89" t="n">
        <v>55000</v>
      </c>
      <c r="AL1095" s="90" t="n">
        <v>55000</v>
      </c>
      <c r="AM1095" s="90"/>
      <c r="AN1095" s="90"/>
      <c r="AO1095" s="90"/>
      <c r="AP1095" s="90"/>
      <c r="AQ1095" s="90"/>
      <c r="AR1095" s="90"/>
      <c r="AS1095" s="90"/>
      <c r="AT1095" s="90"/>
      <c r="AU1095" s="90"/>
      <c r="AV1095" s="91"/>
      <c r="AX1095" s="92"/>
    </row>
    <row r="1096" customFormat="false" ht="15.65" hidden="false" customHeight="false" outlineLevel="0" collapsed="false">
      <c r="C1096" s="72" t="n">
        <f aca="false">COUNTIFS($D$6:D1096,"&lt;&gt;"&amp;"")</f>
        <v>1091</v>
      </c>
      <c r="D1096" s="73" t="s">
        <v>12</v>
      </c>
      <c r="E1096" s="76" t="str">
        <f aca="false">
IF($D1096="정상",INDEX(임대자산!$D$3:$R$3000,MATCH($F1096,임대자산!$I$3:$I$3000,0),MATCH(E$3,임대자산!$D$3:$R$3,0)),
IF($D1096="폐업",INDEX(폐업정보!$D$3:$R$3000,MATCH($F1096,폐업정보!$I$3:$I$3000,0),MATCH(E$3,폐업정보!$D$3:$R$3,0)),
"Error"))</f>
        <v>서울</v>
      </c>
      <c r="F109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B1091</v>
      </c>
      <c r="G1096" s="76" t="str">
        <f aca="false">F1096&amp;RANDBETWEEN(0,10)</f>
        <v>B10919</v>
      </c>
      <c r="H1096" s="75" t="n">
        <f aca="false">
IF($D1096="정상",INDEX(임대자산!$D$3:$R$3000,MATCH($F1096,임대자산!$I$3:$I$3000,0),MATCH(H$4,임대자산!$D$3:$R$3,0)),
IF($D1096="폐업",INDEX(폐업정보!$D$3:$R$3000,MATCH($F1096,폐업정보!$I$3:$I$3000,0),MATCH(H$4,폐업정보!$D$3:$R$3,0)),
"Error"))</f>
        <v>45484</v>
      </c>
      <c r="I1096" s="75" t="str">
        <f aca="false">
IF($D1096="정상",INDEX(임대자산!$D$3:$R$3000,MATCH($F1096,임대자산!$I$3:$I$3000,0),MATCH(I$4,임대자산!$D$3:$R$3,0)),
IF($D1096="폐업",INDEX(폐업정보!$D$3:$R$3000,MATCH($F1096,폐업정보!$I$3:$I$3000,0),MATCH(I$4,폐업정보!$D$3:$R$3,0)),
"Error"))</f>
        <v>A1091</v>
      </c>
      <c r="J1096" s="75" t="str">
        <f aca="false">
IF($D1096="정상",INDEX(임대자산!$D$3:$R$3000,MATCH($F1096,임대자산!$I$3:$I$3000,0),MATCH(J$4,임대자산!$D$3:$R$3,0)),
IF($D1096="폐업",INDEX(폐업정보!$D$3:$R$3000,MATCH($F1096,폐업정보!$I$3:$I$3000,0),MATCH(J$4,폐업정보!$D$3:$R$3,0)),
"Error"))</f>
        <v>3053800000</v>
      </c>
      <c r="K1096" s="75" t="str">
        <f aca="false">
IF($D1096="정상",INDEX(임대자산!$D$3:$R$3000,MATCH($F1096,임대자산!$I$3:$I$3000,0),MATCH(K$4,임대자산!$D$3:$R$3,0)),
IF($D1096="폐업",INDEX(폐업정보!$D$3:$R$3000,MATCH($F1096,폐업정보!$I$3:$I$3000,0),MATCH(K$4,폐업정보!$D$3:$R$3,0)),
"Error"))</f>
        <v>C1091</v>
      </c>
      <c r="L1096" s="75" t="str">
        <f aca="false">
IF($D1096="정상",INDEX(임대자산!$D$3:$R$3000,MATCH($F1096,임대자산!$I$3:$I$3000,0),MATCH(L$4,임대자산!$D$3:$R$3,0)),
IF($D1096="폐업",INDEX(폐업정보!$D$3:$R$3000,MATCH($F1096,폐업정보!$I$3:$I$3000,0),MATCH(L$4,폐업정보!$D$3:$R$3,0)),
"Error"))</f>
        <v>D1091</v>
      </c>
      <c r="M1096" s="76" t="s">
        <v>96</v>
      </c>
      <c r="N1096" s="77"/>
      <c r="O1096" s="78" t="s">
        <v>97</v>
      </c>
      <c r="P1096" s="79" t="n">
        <f aca="false">COUNTIFS(임대자산!$I:$I,가맹점정보!F1096,임대자산!$N:$N,가맹점정보!P$4)</f>
        <v>0</v>
      </c>
      <c r="Q1096" s="80" t="n">
        <f aca="false">COUNTIFS(임대자산!$I:$I,가맹점정보!F1096,임대자산!$N:$N,가맹점정보!Q$4)</f>
        <v>0</v>
      </c>
      <c r="R1096" s="81" t="n">
        <f aca="false">COUNTIFS(임대자산!$I:$I,가맹점정보!F1096,임대자산!$N:$N,가맹점정보!R$4)</f>
        <v>1</v>
      </c>
      <c r="S1096" s="82" t="n">
        <v>55000</v>
      </c>
      <c r="T1096" s="83" t="n">
        <v>0</v>
      </c>
      <c r="U1096" s="80" t="n">
        <f aca="false">SUM(S1096:T1096)</f>
        <v>55000</v>
      </c>
      <c r="V1096" s="84" t="s">
        <v>12</v>
      </c>
      <c r="W1096" s="80" t="e">
        <f aca="true">
IF(D1096="폐업","폐업",
IF(V1096="면제","면제",
IF(AND(V1096="정상",COUNTIFS(OFFSET(Y1096,0,COUNTA(Y1096:AV1096)-1,1,-4),"미납")&gt;=3),"장기미납",
IF(AND(V1096="정상",OFFSET(Y1096,0,COUNTA(Y1096:AV1096)-1)&gt;=U1096),"정상",
IF(AND(V1096="정상",OFFSET(Y1096,0,COUNTA(Y1096:AV1096)-1)=0),"정상",
"계약서 미작성")))))</f>
        <v>#VALUE!</v>
      </c>
      <c r="X1096" s="81" t="str">
        <f aca="true">
IF(D1096="폐업","폐업",
IF(AND(V1096="정상",OFFSET(Y1096,0,COUNTA(Y1096:AV1096)-1)="미납"),"미납",
IF(AND(V1096="정상",OFFSET(Y1096,0,COUNTA(Y1096:AV1096)-1)=0),"납부 시작 전",
IF(AND(V1096="정상",OFFSET(Y1096,0,COUNTA(Y1096:AV1096)-1)&gt;=U1096),"정상",
IF(AND(V1096="면제",OFFSET(Y1096,0,COUNTA(Y1096:AV1096)-1)="면제"),"면제",
IF(AND(V1096="면제",OFFSET(Y1096,0,COUNTA(Y1096:AV1096)-1)=0),"면제",
"확인요청"))))))</f>
        <v>미납</v>
      </c>
      <c r="Y1096" s="93" t="n">
        <v>55000</v>
      </c>
      <c r="Z1096" s="90" t="n">
        <v>55000</v>
      </c>
      <c r="AA1096" s="90" t="n">
        <v>55000</v>
      </c>
      <c r="AB1096" s="90" t="n">
        <v>55000</v>
      </c>
      <c r="AC1096" s="90" t="n">
        <v>55000</v>
      </c>
      <c r="AD1096" s="90" t="n">
        <v>55000</v>
      </c>
      <c r="AE1096" s="90" t="n">
        <v>55000</v>
      </c>
      <c r="AF1096" s="95" t="s">
        <v>62</v>
      </c>
      <c r="AG1096" s="95" t="s">
        <v>62</v>
      </c>
      <c r="AH1096" s="95" t="s">
        <v>62</v>
      </c>
      <c r="AI1096" s="95" t="s">
        <v>62</v>
      </c>
      <c r="AJ1096" s="96" t="s">
        <v>62</v>
      </c>
      <c r="AK1096" s="97" t="s">
        <v>62</v>
      </c>
      <c r="AL1096" s="95" t="s">
        <v>62</v>
      </c>
      <c r="AM1096" s="90"/>
      <c r="AN1096" s="90"/>
      <c r="AO1096" s="90"/>
      <c r="AP1096" s="90"/>
      <c r="AQ1096" s="90"/>
      <c r="AR1096" s="90"/>
      <c r="AS1096" s="90"/>
      <c r="AT1096" s="90"/>
      <c r="AU1096" s="90"/>
      <c r="AV1096" s="91"/>
      <c r="AX1096" s="92"/>
    </row>
    <row r="1097" customFormat="false" ht="15.65" hidden="false" customHeight="false" outlineLevel="0" collapsed="false">
      <c r="C1097" s="72" t="n">
        <f aca="false">COUNTIFS($D$6:D1097,"&lt;&gt;"&amp;"")</f>
        <v>1092</v>
      </c>
      <c r="D1097" s="73" t="s">
        <v>12</v>
      </c>
      <c r="E1097" s="76" t="str">
        <f aca="false">
IF($D1097="정상",INDEX(임대자산!$D$3:$R$3000,MATCH($F1097,임대자산!$I$3:$I$3000,0),MATCH(E$3,임대자산!$D$3:$R$3,0)),
IF($D1097="폐업",INDEX(폐업정보!$D$3:$R$3000,MATCH($F1097,폐업정보!$I$3:$I$3000,0),MATCH(E$3,폐업정보!$D$3:$R$3,0)),
"Error"))</f>
        <v>서울</v>
      </c>
      <c r="F109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B1092</v>
      </c>
      <c r="G1097" s="76" t="str">
        <f aca="false">F1097&amp;RANDBETWEEN(0,10)</f>
        <v>B10929</v>
      </c>
      <c r="H1097" s="75" t="n">
        <f aca="false">
IF($D1097="정상",INDEX(임대자산!$D$3:$R$3000,MATCH($F1097,임대자산!$I$3:$I$3000,0),MATCH(H$4,임대자산!$D$3:$R$3,0)),
IF($D1097="폐업",INDEX(폐업정보!$D$3:$R$3000,MATCH($F1097,폐업정보!$I$3:$I$3000,0),MATCH(H$4,폐업정보!$D$3:$R$3,0)),
"Error"))</f>
        <v>45981</v>
      </c>
      <c r="I1097" s="75" t="str">
        <f aca="false">
IF($D1097="정상",INDEX(임대자산!$D$3:$R$3000,MATCH($F1097,임대자산!$I$3:$I$3000,0),MATCH(I$4,임대자산!$D$3:$R$3,0)),
IF($D1097="폐업",INDEX(폐업정보!$D$3:$R$3000,MATCH($F1097,폐업정보!$I$3:$I$3000,0),MATCH(I$4,폐업정보!$D$3:$R$3,0)),
"Error"))</f>
        <v>A1092</v>
      </c>
      <c r="J1097" s="75" t="str">
        <f aca="false">
IF($D1097="정상",INDEX(임대자산!$D$3:$R$3000,MATCH($F1097,임대자산!$I$3:$I$3000,0),MATCH(J$4,임대자산!$D$3:$R$3,0)),
IF($D1097="폐업",INDEX(폐업정보!$D$3:$R$3000,MATCH($F1097,폐업정보!$I$3:$I$3000,0),MATCH(J$4,폐업정보!$D$3:$R$3,0)),
"Error"))</f>
        <v>1472900000</v>
      </c>
      <c r="K1097" s="75" t="str">
        <f aca="false">
IF($D1097="정상",INDEX(임대자산!$D$3:$R$3000,MATCH($F1097,임대자산!$I$3:$I$3000,0),MATCH(K$4,임대자산!$D$3:$R$3,0)),
IF($D1097="폐업",INDEX(폐업정보!$D$3:$R$3000,MATCH($F1097,폐업정보!$I$3:$I$3000,0),MATCH(K$4,폐업정보!$D$3:$R$3,0)),
"Error"))</f>
        <v>C1092</v>
      </c>
      <c r="L1097" s="75" t="str">
        <f aca="false">
IF($D1097="정상",INDEX(임대자산!$D$3:$R$3000,MATCH($F1097,임대자산!$I$3:$I$3000,0),MATCH(L$4,임대자산!$D$3:$R$3,0)),
IF($D1097="폐업",INDEX(폐업정보!$D$3:$R$3000,MATCH($F1097,폐업정보!$I$3:$I$3000,0),MATCH(L$4,폐업정보!$D$3:$R$3,0)),
"Error"))</f>
        <v>D1092</v>
      </c>
      <c r="M1097" s="76" t="s">
        <v>96</v>
      </c>
      <c r="N1097" s="77"/>
      <c r="O1097" s="78" t="s">
        <v>97</v>
      </c>
      <c r="P1097" s="79" t="n">
        <f aca="false">COUNTIFS(임대자산!$I:$I,가맹점정보!F1097,임대자산!$N:$N,가맹점정보!P$4)</f>
        <v>0</v>
      </c>
      <c r="Q1097" s="80" t="n">
        <f aca="false">COUNTIFS(임대자산!$I:$I,가맹점정보!F1097,임대자산!$N:$N,가맹점정보!Q$4)</f>
        <v>0</v>
      </c>
      <c r="R1097" s="81" t="n">
        <f aca="false">COUNTIFS(임대자산!$I:$I,가맹점정보!F1097,임대자산!$N:$N,가맹점정보!R$4)</f>
        <v>1</v>
      </c>
      <c r="S1097" s="82" t="n">
        <v>55000</v>
      </c>
      <c r="T1097" s="83" t="n">
        <v>0</v>
      </c>
      <c r="U1097" s="80" t="n">
        <f aca="false">SUM(S1097:T1097)</f>
        <v>55000</v>
      </c>
      <c r="V1097" s="84" t="s">
        <v>12</v>
      </c>
      <c r="W1097" s="80" t="e">
        <f aca="true">
IF(D1097="폐업","폐업",
IF(V1097="면제","면제",
IF(AND(V1097="정상",COUNTIFS(OFFSET(Y1097,0,COUNTA(Y1097:AV1097)-1,1,-4),"미납")&gt;=3),"장기미납",
IF(AND(V1097="정상",OFFSET(Y1097,0,COUNTA(Y1097:AV1097)-1)&gt;=U1097),"정상",
IF(AND(V1097="정상",OFFSET(Y1097,0,COUNTA(Y1097:AV1097)-1)=0),"정상",
"계약서 미작성")))))</f>
        <v>#VALUE!</v>
      </c>
      <c r="X1097" s="81" t="str">
        <f aca="true">
IF(D1097="폐업","폐업",
IF(AND(V1097="정상",OFFSET(Y1097,0,COUNTA(Y1097:AV1097)-1)="미납"),"미납",
IF(AND(V1097="정상",OFFSET(Y1097,0,COUNTA(Y1097:AV1097)-1)=0),"납부 시작 전",
IF(AND(V1097="정상",OFFSET(Y1097,0,COUNTA(Y1097:AV1097)-1)&gt;=U1097),"정상",
IF(AND(V1097="면제",OFFSET(Y1097,0,COUNTA(Y1097:AV1097)-1)="면제"),"면제",
IF(AND(V1097="면제",OFFSET(Y1097,0,COUNTA(Y1097:AV1097)-1)=0),"면제",
"확인요청"))))))</f>
        <v>정상</v>
      </c>
      <c r="Y1097" s="93" t="n">
        <v>55000</v>
      </c>
      <c r="Z1097" s="90" t="n">
        <v>55000</v>
      </c>
      <c r="AA1097" s="90" t="n">
        <v>55000</v>
      </c>
      <c r="AB1097" s="90" t="n">
        <v>55000</v>
      </c>
      <c r="AC1097" s="90" t="n">
        <v>55000</v>
      </c>
      <c r="AD1097" s="90" t="n">
        <v>55000</v>
      </c>
      <c r="AE1097" s="90" t="n">
        <v>55000</v>
      </c>
      <c r="AF1097" s="90" t="n">
        <v>55000</v>
      </c>
      <c r="AG1097" s="90" t="n">
        <v>55000</v>
      </c>
      <c r="AH1097" s="90" t="n">
        <v>55000</v>
      </c>
      <c r="AI1097" s="90" t="n">
        <v>55000</v>
      </c>
      <c r="AJ1097" s="91" t="n">
        <v>55000</v>
      </c>
      <c r="AK1097" s="89" t="n">
        <v>55000</v>
      </c>
      <c r="AL1097" s="90" t="n">
        <v>55000</v>
      </c>
      <c r="AM1097" s="90"/>
      <c r="AN1097" s="90"/>
      <c r="AO1097" s="90"/>
      <c r="AP1097" s="90"/>
      <c r="AQ1097" s="90"/>
      <c r="AR1097" s="90"/>
      <c r="AS1097" s="90"/>
      <c r="AT1097" s="90"/>
      <c r="AU1097" s="90"/>
      <c r="AV1097" s="91"/>
      <c r="AX1097" s="92"/>
    </row>
    <row r="1098" customFormat="false" ht="15.65" hidden="false" customHeight="false" outlineLevel="0" collapsed="false">
      <c r="C1098" s="72" t="n">
        <f aca="false">COUNTIFS($D$6:D1098,"&lt;&gt;"&amp;"")</f>
        <v>1093</v>
      </c>
      <c r="D1098" s="73" t="s">
        <v>12</v>
      </c>
      <c r="E1098" s="76" t="str">
        <f aca="false">
IF($D1098="정상",INDEX(임대자산!$D$3:$R$3000,MATCH($F1098,임대자산!$I$3:$I$3000,0),MATCH(E$3,임대자산!$D$3:$R$3,0)),
IF($D1098="폐업",INDEX(폐업정보!$D$3:$R$3000,MATCH($F1098,폐업정보!$I$3:$I$3000,0),MATCH(E$3,폐업정보!$D$3:$R$3,0)),
"Error"))</f>
        <v>서울</v>
      </c>
      <c r="F109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B1093</v>
      </c>
      <c r="G1098" s="76" t="str">
        <f aca="false">F1098&amp;RANDBETWEEN(0,10)</f>
        <v>B10931</v>
      </c>
      <c r="H1098" s="75" t="n">
        <f aca="false">
IF($D1098="정상",INDEX(임대자산!$D$3:$R$3000,MATCH($F1098,임대자산!$I$3:$I$3000,0),MATCH(H$4,임대자산!$D$3:$R$3,0)),
IF($D1098="폐업",INDEX(폐업정보!$D$3:$R$3000,MATCH($F1098,폐업정보!$I$3:$I$3000,0),MATCH(H$4,폐업정보!$D$3:$R$3,0)),
"Error"))</f>
        <v>45981</v>
      </c>
      <c r="I1098" s="75" t="str">
        <f aca="false">
IF($D1098="정상",INDEX(임대자산!$D$3:$R$3000,MATCH($F1098,임대자산!$I$3:$I$3000,0),MATCH(I$4,임대자산!$D$3:$R$3,0)),
IF($D1098="폐업",INDEX(폐업정보!$D$3:$R$3000,MATCH($F1098,폐업정보!$I$3:$I$3000,0),MATCH(I$4,폐업정보!$D$3:$R$3,0)),
"Error"))</f>
        <v>A1093</v>
      </c>
      <c r="J1098" s="75" t="str">
        <f aca="false">
IF($D1098="정상",INDEX(임대자산!$D$3:$R$3000,MATCH($F1098,임대자산!$I$3:$I$3000,0),MATCH(J$4,임대자산!$D$3:$R$3,0)),
IF($D1098="폐업",INDEX(폐업정보!$D$3:$R$3000,MATCH($F1098,폐업정보!$I$3:$I$3000,0),MATCH(J$4,폐업정보!$D$3:$R$3,0)),
"Error"))</f>
        <v>2774300000</v>
      </c>
      <c r="K1098" s="75" t="str">
        <f aca="false">
IF($D1098="정상",INDEX(임대자산!$D$3:$R$3000,MATCH($F1098,임대자산!$I$3:$I$3000,0),MATCH(K$4,임대자산!$D$3:$R$3,0)),
IF($D1098="폐업",INDEX(폐업정보!$D$3:$R$3000,MATCH($F1098,폐업정보!$I$3:$I$3000,0),MATCH(K$4,폐업정보!$D$3:$R$3,0)),
"Error"))</f>
        <v>C1093</v>
      </c>
      <c r="L1098" s="75" t="str">
        <f aca="false">
IF($D1098="정상",INDEX(임대자산!$D$3:$R$3000,MATCH($F1098,임대자산!$I$3:$I$3000,0),MATCH(L$4,임대자산!$D$3:$R$3,0)),
IF($D1098="폐업",INDEX(폐업정보!$D$3:$R$3000,MATCH($F1098,폐업정보!$I$3:$I$3000,0),MATCH(L$4,폐업정보!$D$3:$R$3,0)),
"Error"))</f>
        <v>D1093</v>
      </c>
      <c r="M1098" s="76" t="s">
        <v>96</v>
      </c>
      <c r="N1098" s="77"/>
      <c r="O1098" s="78" t="s">
        <v>97</v>
      </c>
      <c r="P1098" s="79" t="n">
        <f aca="false">COUNTIFS(임대자산!$I:$I,가맹점정보!F1098,임대자산!$N:$N,가맹점정보!P$4)</f>
        <v>0</v>
      </c>
      <c r="Q1098" s="80" t="n">
        <f aca="false">COUNTIFS(임대자산!$I:$I,가맹점정보!F1098,임대자산!$N:$N,가맹점정보!Q$4)</f>
        <v>0</v>
      </c>
      <c r="R1098" s="81" t="n">
        <f aca="false">COUNTIFS(임대자산!$I:$I,가맹점정보!F1098,임대자산!$N:$N,가맹점정보!R$4)</f>
        <v>1</v>
      </c>
      <c r="S1098" s="82" t="n">
        <v>88000</v>
      </c>
      <c r="T1098" s="83" t="n">
        <v>0</v>
      </c>
      <c r="U1098" s="80" t="n">
        <f aca="false">SUM(S1098:T1098)</f>
        <v>88000</v>
      </c>
      <c r="V1098" s="84" t="s">
        <v>7</v>
      </c>
      <c r="W1098" s="80" t="str">
        <f aca="true">
IF(D1098="폐업","폐업",
IF(V1098="면제","면제",
IF(AND(V1098="정상",COUNTIFS(OFFSET(Y1098,0,COUNTA(Y1098:AV1098)-1,1,-4),"미납")&gt;=3),"장기미납",
IF(AND(V1098="정상",OFFSET(Y1098,0,COUNTA(Y1098:AV1098)-1)&gt;=U1098),"정상",
IF(AND(V1098="정상",OFFSET(Y1098,0,COUNTA(Y1098:AV1098)-1)=0),"정상",
"계약서 미작성")))))</f>
        <v>면제</v>
      </c>
      <c r="X1098" s="81" t="str">
        <f aca="true">
IF(D1098="폐업","폐업",
IF(AND(V1098="정상",OFFSET(Y1098,0,COUNTA(Y1098:AV1098)-1)="미납"),"미납",
IF(AND(V1098="정상",OFFSET(Y1098,0,COUNTA(Y1098:AV1098)-1)=0),"납부 시작 전",
IF(AND(V1098="정상",OFFSET(Y1098,0,COUNTA(Y1098:AV1098)-1)&gt;=U1098),"정상",
IF(AND(V1098="면제",OFFSET(Y1098,0,COUNTA(Y1098:AV1098)-1)="면제"),"면제",
IF(AND(V1098="면제",OFFSET(Y1098,0,COUNTA(Y1098:AV1098)-1)=0),"면제",
"확인요청"))))))</f>
        <v>면제</v>
      </c>
      <c r="Y1098" s="94" t="s">
        <v>7</v>
      </c>
      <c r="Z1098" s="95" t="s">
        <v>7</v>
      </c>
      <c r="AA1098" s="95" t="s">
        <v>7</v>
      </c>
      <c r="AB1098" s="95" t="s">
        <v>7</v>
      </c>
      <c r="AC1098" s="95" t="s">
        <v>7</v>
      </c>
      <c r="AD1098" s="95" t="s">
        <v>7</v>
      </c>
      <c r="AE1098" s="95" t="s">
        <v>7</v>
      </c>
      <c r="AF1098" s="95" t="s">
        <v>7</v>
      </c>
      <c r="AG1098" s="95" t="s">
        <v>7</v>
      </c>
      <c r="AH1098" s="95" t="s">
        <v>7</v>
      </c>
      <c r="AI1098" s="95" t="s">
        <v>7</v>
      </c>
      <c r="AJ1098" s="96" t="s">
        <v>7</v>
      </c>
      <c r="AK1098" s="97" t="s">
        <v>7</v>
      </c>
      <c r="AL1098" s="95" t="s">
        <v>7</v>
      </c>
      <c r="AM1098" s="90"/>
      <c r="AN1098" s="90"/>
      <c r="AO1098" s="90"/>
      <c r="AP1098" s="90"/>
      <c r="AQ1098" s="90"/>
      <c r="AR1098" s="90"/>
      <c r="AS1098" s="90"/>
      <c r="AT1098" s="90"/>
      <c r="AU1098" s="90"/>
      <c r="AV1098" s="91"/>
      <c r="AX1098" s="92"/>
    </row>
    <row r="1099" customFormat="false" ht="15.65" hidden="false" customHeight="false" outlineLevel="0" collapsed="false">
      <c r="C1099" s="72" t="n">
        <f aca="false">COUNTIFS($D$6:D1099,"&lt;&gt;"&amp;"")</f>
        <v>1094</v>
      </c>
      <c r="D1099" s="73" t="s">
        <v>12</v>
      </c>
      <c r="E1099" s="76" t="str">
        <f aca="false">
IF($D1099="정상",INDEX(임대자산!$D$3:$R$3000,MATCH($F1099,임대자산!$I$3:$I$3000,0),MATCH(E$3,임대자산!$D$3:$R$3,0)),
IF($D1099="폐업",INDEX(폐업정보!$D$3:$R$3000,MATCH($F1099,폐업정보!$I$3:$I$3000,0),MATCH(E$3,폐업정보!$D$3:$R$3,0)),
"Error"))</f>
        <v>서울</v>
      </c>
      <c r="F109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B1094</v>
      </c>
      <c r="G1099" s="76" t="str">
        <f aca="false">F1099&amp;RANDBETWEEN(0,10)</f>
        <v>B109410</v>
      </c>
      <c r="H1099" s="75" t="n">
        <f aca="false">
IF($D1099="정상",INDEX(임대자산!$D$3:$R$3000,MATCH($F1099,임대자산!$I$3:$I$3000,0),MATCH(H$4,임대자산!$D$3:$R$3,0)),
IF($D1099="폐업",INDEX(폐업정보!$D$3:$R$3000,MATCH($F1099,폐업정보!$I$3:$I$3000,0),MATCH(H$4,폐업정보!$D$3:$R$3,0)),
"Error"))</f>
        <v>44742</v>
      </c>
      <c r="I1099" s="75" t="str">
        <f aca="false">
IF($D1099="정상",INDEX(임대자산!$D$3:$R$3000,MATCH($F1099,임대자산!$I$3:$I$3000,0),MATCH(I$4,임대자산!$D$3:$R$3,0)),
IF($D1099="폐업",INDEX(폐업정보!$D$3:$R$3000,MATCH($F1099,폐업정보!$I$3:$I$3000,0),MATCH(I$4,폐업정보!$D$3:$R$3,0)),
"Error"))</f>
        <v>A1094</v>
      </c>
      <c r="J1099" s="75" t="str">
        <f aca="false">
IF($D1099="정상",INDEX(임대자산!$D$3:$R$3000,MATCH($F1099,임대자산!$I$3:$I$3000,0),MATCH(J$4,임대자산!$D$3:$R$3,0)),
IF($D1099="폐업",INDEX(폐업정보!$D$3:$R$3000,MATCH($F1099,폐업정보!$I$3:$I$3000,0),MATCH(J$4,폐업정보!$D$3:$R$3,0)),
"Error"))</f>
        <v>3554100000</v>
      </c>
      <c r="K1099" s="75" t="str">
        <f aca="false">
IF($D1099="정상",INDEX(임대자산!$D$3:$R$3000,MATCH($F1099,임대자산!$I$3:$I$3000,0),MATCH(K$4,임대자산!$D$3:$R$3,0)),
IF($D1099="폐업",INDEX(폐업정보!$D$3:$R$3000,MATCH($F1099,폐업정보!$I$3:$I$3000,0),MATCH(K$4,폐업정보!$D$3:$R$3,0)),
"Error"))</f>
        <v>C1094</v>
      </c>
      <c r="L1099" s="75" t="str">
        <f aca="false">
IF($D1099="정상",INDEX(임대자산!$D$3:$R$3000,MATCH($F1099,임대자산!$I$3:$I$3000,0),MATCH(L$4,임대자산!$D$3:$R$3,0)),
IF($D1099="폐업",INDEX(폐업정보!$D$3:$R$3000,MATCH($F1099,폐업정보!$I$3:$I$3000,0),MATCH(L$4,폐업정보!$D$3:$R$3,0)),
"Error"))</f>
        <v>D1094</v>
      </c>
      <c r="M1099" s="76" t="s">
        <v>96</v>
      </c>
      <c r="N1099" s="77"/>
      <c r="O1099" s="78" t="s">
        <v>97</v>
      </c>
      <c r="P1099" s="79" t="n">
        <f aca="false">COUNTIFS(임대자산!$I:$I,가맹점정보!F1099,임대자산!$N:$N,가맹점정보!P$4)</f>
        <v>0</v>
      </c>
      <c r="Q1099" s="80" t="n">
        <f aca="false">COUNTIFS(임대자산!$I:$I,가맹점정보!F1099,임대자산!$N:$N,가맹점정보!Q$4)</f>
        <v>0</v>
      </c>
      <c r="R1099" s="81" t="n">
        <f aca="false">COUNTIFS(임대자산!$I:$I,가맹점정보!F1099,임대자산!$N:$N,가맹점정보!R$4)</f>
        <v>1</v>
      </c>
      <c r="S1099" s="82" t="n">
        <v>88000</v>
      </c>
      <c r="T1099" s="83" t="n">
        <v>0</v>
      </c>
      <c r="U1099" s="80" t="n">
        <f aca="false">SUM(S1099:T1099)</f>
        <v>88000</v>
      </c>
      <c r="V1099" s="84" t="s">
        <v>7</v>
      </c>
      <c r="W1099" s="80" t="str">
        <f aca="true">
IF(D1099="폐업","폐업",
IF(V1099="면제","면제",
IF(AND(V1099="정상",COUNTIFS(OFFSET(Y1099,0,COUNTA(Y1099:AV1099)-1,1,-4),"미납")&gt;=3),"장기미납",
IF(AND(V1099="정상",OFFSET(Y1099,0,COUNTA(Y1099:AV1099)-1)&gt;=U1099),"정상",
IF(AND(V1099="정상",OFFSET(Y1099,0,COUNTA(Y1099:AV1099)-1)=0),"정상",
"계약서 미작성")))))</f>
        <v>면제</v>
      </c>
      <c r="X1099" s="81" t="str">
        <f aca="true">
IF(D1099="폐업","폐업",
IF(AND(V1099="정상",OFFSET(Y1099,0,COUNTA(Y1099:AV1099)-1)="미납"),"미납",
IF(AND(V1099="정상",OFFSET(Y1099,0,COUNTA(Y1099:AV1099)-1)=0),"납부 시작 전",
IF(AND(V1099="정상",OFFSET(Y1099,0,COUNTA(Y1099:AV1099)-1)&gt;=U1099),"정상",
IF(AND(V1099="면제",OFFSET(Y1099,0,COUNTA(Y1099:AV1099)-1)="면제"),"면제",
IF(AND(V1099="면제",OFFSET(Y1099,0,COUNTA(Y1099:AV1099)-1)=0),"면제",
"확인요청"))))))</f>
        <v>면제</v>
      </c>
      <c r="Y1099" s="94" t="s">
        <v>7</v>
      </c>
      <c r="Z1099" s="95" t="s">
        <v>7</v>
      </c>
      <c r="AA1099" s="95" t="s">
        <v>7</v>
      </c>
      <c r="AB1099" s="95" t="s">
        <v>7</v>
      </c>
      <c r="AC1099" s="95" t="s">
        <v>7</v>
      </c>
      <c r="AD1099" s="95" t="s">
        <v>7</v>
      </c>
      <c r="AE1099" s="95" t="s">
        <v>7</v>
      </c>
      <c r="AF1099" s="95" t="s">
        <v>7</v>
      </c>
      <c r="AG1099" s="95" t="s">
        <v>7</v>
      </c>
      <c r="AH1099" s="95" t="s">
        <v>7</v>
      </c>
      <c r="AI1099" s="95" t="s">
        <v>7</v>
      </c>
      <c r="AJ1099" s="96" t="s">
        <v>7</v>
      </c>
      <c r="AK1099" s="97" t="s">
        <v>7</v>
      </c>
      <c r="AL1099" s="95" t="s">
        <v>7</v>
      </c>
      <c r="AM1099" s="90"/>
      <c r="AN1099" s="90"/>
      <c r="AO1099" s="90"/>
      <c r="AP1099" s="90"/>
      <c r="AQ1099" s="90"/>
      <c r="AR1099" s="90"/>
      <c r="AS1099" s="90"/>
      <c r="AT1099" s="90"/>
      <c r="AU1099" s="90"/>
      <c r="AV1099" s="91"/>
      <c r="AX1099" s="92"/>
    </row>
    <row r="1100" customFormat="false" ht="15.65" hidden="false" customHeight="false" outlineLevel="0" collapsed="false">
      <c r="C1100" s="72" t="n">
        <f aca="false">COUNTIFS($D$6:D1100,"&lt;&gt;"&amp;"")</f>
        <v>1095</v>
      </c>
      <c r="D1100" s="73" t="s">
        <v>12</v>
      </c>
      <c r="E1100" s="76" t="str">
        <f aca="false">
IF($D1100="정상",INDEX(임대자산!$D$3:$R$3000,MATCH($F1100,임대자산!$I$3:$I$3000,0),MATCH(E$3,임대자산!$D$3:$R$3,0)),
IF($D1100="폐업",INDEX(폐업정보!$D$3:$R$3000,MATCH($F1100,폐업정보!$I$3:$I$3000,0),MATCH(E$3,폐업정보!$D$3:$R$3,0)),
"Error"))</f>
        <v>서울</v>
      </c>
      <c r="F110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B1095</v>
      </c>
      <c r="G1100" s="76" t="str">
        <f aca="false">F1100&amp;RANDBETWEEN(0,10)</f>
        <v>B10958</v>
      </c>
      <c r="H1100" s="75" t="n">
        <f aca="false">
IF($D1100="정상",INDEX(임대자산!$D$3:$R$3000,MATCH($F1100,임대자산!$I$3:$I$3000,0),MATCH(H$4,임대자산!$D$3:$R$3,0)),
IF($D1100="폐업",INDEX(폐업정보!$D$3:$R$3000,MATCH($F1100,폐업정보!$I$3:$I$3000,0),MATCH(H$4,폐업정보!$D$3:$R$3,0)),
"Error"))</f>
        <v>45681</v>
      </c>
      <c r="I1100" s="75" t="str">
        <f aca="false">
IF($D1100="정상",INDEX(임대자산!$D$3:$R$3000,MATCH($F1100,임대자산!$I$3:$I$3000,0),MATCH(I$4,임대자산!$D$3:$R$3,0)),
IF($D1100="폐업",INDEX(폐업정보!$D$3:$R$3000,MATCH($F1100,폐업정보!$I$3:$I$3000,0),MATCH(I$4,폐업정보!$D$3:$R$3,0)),
"Error"))</f>
        <v>A1095</v>
      </c>
      <c r="J1100" s="75" t="str">
        <f aca="false">
IF($D1100="정상",INDEX(임대자산!$D$3:$R$3000,MATCH($F1100,임대자산!$I$3:$I$3000,0),MATCH(J$4,임대자산!$D$3:$R$3,0)),
IF($D1100="폐업",INDEX(폐업정보!$D$3:$R$3000,MATCH($F1100,폐업정보!$I$3:$I$3000,0),MATCH(J$4,폐업정보!$D$3:$R$3,0)),
"Error"))</f>
        <v>3533500000</v>
      </c>
      <c r="K1100" s="75" t="str">
        <f aca="false">
IF($D1100="정상",INDEX(임대자산!$D$3:$R$3000,MATCH($F1100,임대자산!$I$3:$I$3000,0),MATCH(K$4,임대자산!$D$3:$R$3,0)),
IF($D1100="폐업",INDEX(폐업정보!$D$3:$R$3000,MATCH($F1100,폐업정보!$I$3:$I$3000,0),MATCH(K$4,폐업정보!$D$3:$R$3,0)),
"Error"))</f>
        <v>C1095</v>
      </c>
      <c r="L1100" s="75" t="str">
        <f aca="false">
IF($D1100="정상",INDEX(임대자산!$D$3:$R$3000,MATCH($F1100,임대자산!$I$3:$I$3000,0),MATCH(L$4,임대자산!$D$3:$R$3,0)),
IF($D1100="폐업",INDEX(폐업정보!$D$3:$R$3000,MATCH($F1100,폐업정보!$I$3:$I$3000,0),MATCH(L$4,폐업정보!$D$3:$R$3,0)),
"Error"))</f>
        <v>D1095</v>
      </c>
      <c r="M1100" s="76" t="s">
        <v>96</v>
      </c>
      <c r="N1100" s="77"/>
      <c r="O1100" s="78" t="s">
        <v>97</v>
      </c>
      <c r="P1100" s="79" t="n">
        <f aca="false">COUNTIFS(임대자산!$I:$I,가맹점정보!F1100,임대자산!$N:$N,가맹점정보!P$4)</f>
        <v>0</v>
      </c>
      <c r="Q1100" s="80" t="n">
        <f aca="false">COUNTIFS(임대자산!$I:$I,가맹점정보!F1100,임대자산!$N:$N,가맹점정보!Q$4)</f>
        <v>0</v>
      </c>
      <c r="R1100" s="81" t="n">
        <f aca="false">COUNTIFS(임대자산!$I:$I,가맹점정보!F1100,임대자산!$N:$N,가맹점정보!R$4)</f>
        <v>1</v>
      </c>
      <c r="S1100" s="82" t="n">
        <v>27500</v>
      </c>
      <c r="T1100" s="83" t="n">
        <v>27500</v>
      </c>
      <c r="U1100" s="80" t="n">
        <f aca="false">SUM(S1100:T1100)</f>
        <v>55000</v>
      </c>
      <c r="V1100" s="84" t="s">
        <v>12</v>
      </c>
      <c r="W1100" s="80" t="e">
        <f aca="true">
IF(D1100="폐업","폐업",
IF(V1100="면제","면제",
IF(AND(V1100="정상",COUNTIFS(OFFSET(Y1100,0,COUNTA(Y1100:AV1100)-1,1,-4),"미납")&gt;=3),"장기미납",
IF(AND(V1100="정상",OFFSET(Y1100,0,COUNTA(Y1100:AV1100)-1)&gt;=U1100),"정상",
IF(AND(V1100="정상",OFFSET(Y1100,0,COUNTA(Y1100:AV1100)-1)=0),"정상",
"계약서 미작성")))))</f>
        <v>#VALUE!</v>
      </c>
      <c r="X1100" s="81" t="str">
        <f aca="true">
IF(D1100="폐업","폐업",
IF(AND(V1100="정상",OFFSET(Y1100,0,COUNTA(Y1100:AV1100)-1)="미납"),"미납",
IF(AND(V1100="정상",OFFSET(Y1100,0,COUNTA(Y1100:AV1100)-1)=0),"납부 시작 전",
IF(AND(V1100="정상",OFFSET(Y1100,0,COUNTA(Y1100:AV1100)-1)&gt;=U1100),"정상",
IF(AND(V1100="면제",OFFSET(Y1100,0,COUNTA(Y1100:AV1100)-1)="면제"),"면제",
IF(AND(V1100="면제",OFFSET(Y1100,0,COUNTA(Y1100:AV1100)-1)=0),"면제",
"확인요청"))))))</f>
        <v>정상</v>
      </c>
      <c r="Y1100" s="93" t="n">
        <v>55000</v>
      </c>
      <c r="Z1100" s="90" t="n">
        <v>55000</v>
      </c>
      <c r="AA1100" s="90" t="n">
        <v>55000</v>
      </c>
      <c r="AB1100" s="90" t="n">
        <v>55000</v>
      </c>
      <c r="AC1100" s="90" t="n">
        <v>55000</v>
      </c>
      <c r="AD1100" s="90" t="n">
        <v>55000</v>
      </c>
      <c r="AE1100" s="90" t="n">
        <v>55000</v>
      </c>
      <c r="AF1100" s="90" t="n">
        <v>55000</v>
      </c>
      <c r="AG1100" s="90" t="n">
        <v>55000</v>
      </c>
      <c r="AH1100" s="90" t="n">
        <v>55000</v>
      </c>
      <c r="AI1100" s="90" t="n">
        <v>55000</v>
      </c>
      <c r="AJ1100" s="91" t="n">
        <v>55000</v>
      </c>
      <c r="AK1100" s="89" t="n">
        <v>55000</v>
      </c>
      <c r="AL1100" s="90" t="n">
        <v>55000</v>
      </c>
      <c r="AM1100" s="90"/>
      <c r="AN1100" s="90"/>
      <c r="AO1100" s="90"/>
      <c r="AP1100" s="90"/>
      <c r="AQ1100" s="90"/>
      <c r="AR1100" s="90"/>
      <c r="AS1100" s="90"/>
      <c r="AT1100" s="90"/>
      <c r="AU1100" s="90"/>
      <c r="AV1100" s="91"/>
      <c r="AX1100" s="92"/>
    </row>
    <row r="1101" customFormat="false" ht="15.65" hidden="false" customHeight="false" outlineLevel="0" collapsed="false">
      <c r="C1101" s="72" t="n">
        <f aca="false">COUNTIFS($D$6:D1101,"&lt;&gt;"&amp;"")</f>
        <v>1096</v>
      </c>
      <c r="D1101" s="73" t="s">
        <v>12</v>
      </c>
      <c r="E1101" s="76" t="str">
        <f aca="false">
IF($D1101="정상",INDEX(임대자산!$D$3:$R$3000,MATCH($F1101,임대자산!$I$3:$I$3000,0),MATCH(E$3,임대자산!$D$3:$R$3,0)),
IF($D1101="폐업",INDEX(폐업정보!$D$3:$R$3000,MATCH($F1101,폐업정보!$I$3:$I$3000,0),MATCH(E$3,폐업정보!$D$3:$R$3,0)),
"Error"))</f>
        <v>서울</v>
      </c>
      <c r="F110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B1096</v>
      </c>
      <c r="G1101" s="76" t="str">
        <f aca="false">F1101&amp;RANDBETWEEN(0,10)</f>
        <v>B10969</v>
      </c>
      <c r="H1101" s="75" t="n">
        <f aca="false">
IF($D1101="정상",INDEX(임대자산!$D$3:$R$3000,MATCH($F1101,임대자산!$I$3:$I$3000,0),MATCH(H$4,임대자산!$D$3:$R$3,0)),
IF($D1101="폐업",INDEX(폐업정보!$D$3:$R$3000,MATCH($F1101,폐업정보!$I$3:$I$3000,0),MATCH(H$4,폐업정보!$D$3:$R$3,0)),
"Error"))</f>
        <v>44763</v>
      </c>
      <c r="I1101" s="75" t="str">
        <f aca="false">
IF($D1101="정상",INDEX(임대자산!$D$3:$R$3000,MATCH($F1101,임대자산!$I$3:$I$3000,0),MATCH(I$4,임대자산!$D$3:$R$3,0)),
IF($D1101="폐업",INDEX(폐업정보!$D$3:$R$3000,MATCH($F1101,폐업정보!$I$3:$I$3000,0),MATCH(I$4,폐업정보!$D$3:$R$3,0)),
"Error"))</f>
        <v>A1096</v>
      </c>
      <c r="J1101" s="75" t="str">
        <f aca="false">
IF($D1101="정상",INDEX(임대자산!$D$3:$R$3000,MATCH($F1101,임대자산!$I$3:$I$3000,0),MATCH(J$4,임대자산!$D$3:$R$3,0)),
IF($D1101="폐업",INDEX(폐업정보!$D$3:$R$3000,MATCH($F1101,폐업정보!$I$3:$I$3000,0),MATCH(J$4,폐업정보!$D$3:$R$3,0)),
"Error"))</f>
        <v>7262900000</v>
      </c>
      <c r="K1101" s="75" t="str">
        <f aca="false">
IF($D1101="정상",INDEX(임대자산!$D$3:$R$3000,MATCH($F1101,임대자산!$I$3:$I$3000,0),MATCH(K$4,임대자산!$D$3:$R$3,0)),
IF($D1101="폐업",INDEX(폐업정보!$D$3:$R$3000,MATCH($F1101,폐업정보!$I$3:$I$3000,0),MATCH(K$4,폐업정보!$D$3:$R$3,0)),
"Error"))</f>
        <v>C1096</v>
      </c>
      <c r="L1101" s="75" t="str">
        <f aca="false">
IF($D1101="정상",INDEX(임대자산!$D$3:$R$3000,MATCH($F1101,임대자산!$I$3:$I$3000,0),MATCH(L$4,임대자산!$D$3:$R$3,0)),
IF($D1101="폐업",INDEX(폐업정보!$D$3:$R$3000,MATCH($F1101,폐업정보!$I$3:$I$3000,0),MATCH(L$4,폐업정보!$D$3:$R$3,0)),
"Error"))</f>
        <v>D1096</v>
      </c>
      <c r="M1101" s="76" t="s">
        <v>96</v>
      </c>
      <c r="N1101" s="77"/>
      <c r="O1101" s="78" t="s">
        <v>97</v>
      </c>
      <c r="P1101" s="79" t="n">
        <f aca="false">COUNTIFS(임대자산!$I:$I,가맹점정보!F1101,임대자산!$N:$N,가맹점정보!P$4)</f>
        <v>0</v>
      </c>
      <c r="Q1101" s="80" t="n">
        <f aca="false">COUNTIFS(임대자산!$I:$I,가맹점정보!F1101,임대자산!$N:$N,가맹점정보!Q$4)</f>
        <v>0</v>
      </c>
      <c r="R1101" s="81" t="n">
        <f aca="false">COUNTIFS(임대자산!$I:$I,가맹점정보!F1101,임대자산!$N:$N,가맹점정보!R$4)</f>
        <v>1</v>
      </c>
      <c r="S1101" s="82" t="n">
        <v>55000</v>
      </c>
      <c r="T1101" s="83" t="n">
        <v>0</v>
      </c>
      <c r="U1101" s="80" t="n">
        <f aca="false">SUM(S1101:T1101)</f>
        <v>55000</v>
      </c>
      <c r="V1101" s="84" t="s">
        <v>12</v>
      </c>
      <c r="W1101" s="80" t="e">
        <f aca="true">
IF(D1101="폐업","폐업",
IF(V1101="면제","면제",
IF(AND(V1101="정상",COUNTIFS(OFFSET(Y1101,0,COUNTA(Y1101:AV1101)-1,1,-4),"미납")&gt;=3),"장기미납",
IF(AND(V1101="정상",OFFSET(Y1101,0,COUNTA(Y1101:AV1101)-1)&gt;=U1101),"정상",
IF(AND(V1101="정상",OFFSET(Y1101,0,COUNTA(Y1101:AV1101)-1)=0),"정상",
"계약서 미작성")))))</f>
        <v>#VALUE!</v>
      </c>
      <c r="X1101" s="81" t="str">
        <f aca="true">
IF(D1101="폐업","폐업",
IF(AND(V1101="정상",OFFSET(Y1101,0,COUNTA(Y1101:AV1101)-1)="미납"),"미납",
IF(AND(V1101="정상",OFFSET(Y1101,0,COUNTA(Y1101:AV1101)-1)=0),"납부 시작 전",
IF(AND(V1101="정상",OFFSET(Y1101,0,COUNTA(Y1101:AV1101)-1)&gt;=U1101),"정상",
IF(AND(V1101="면제",OFFSET(Y1101,0,COUNTA(Y1101:AV1101)-1)="면제"),"면제",
IF(AND(V1101="면제",OFFSET(Y1101,0,COUNTA(Y1101:AV1101)-1)=0),"면제",
"확인요청"))))))</f>
        <v>정상</v>
      </c>
      <c r="Y1101" s="93" t="n">
        <v>55000</v>
      </c>
      <c r="Z1101" s="90" t="n">
        <v>55000</v>
      </c>
      <c r="AA1101" s="90" t="n">
        <v>55000</v>
      </c>
      <c r="AB1101" s="90" t="n">
        <v>55000</v>
      </c>
      <c r="AC1101" s="90" t="n">
        <v>55000</v>
      </c>
      <c r="AD1101" s="90" t="n">
        <v>55000</v>
      </c>
      <c r="AE1101" s="90" t="n">
        <v>55000</v>
      </c>
      <c r="AF1101" s="90" t="n">
        <v>55000</v>
      </c>
      <c r="AG1101" s="90" t="n">
        <v>55000</v>
      </c>
      <c r="AH1101" s="90" t="n">
        <v>55000</v>
      </c>
      <c r="AI1101" s="90" t="n">
        <v>55000</v>
      </c>
      <c r="AJ1101" s="91" t="n">
        <v>55000</v>
      </c>
      <c r="AK1101" s="89" t="n">
        <v>55000</v>
      </c>
      <c r="AL1101" s="90" t="n">
        <v>55000</v>
      </c>
      <c r="AM1101" s="90"/>
      <c r="AN1101" s="90"/>
      <c r="AO1101" s="90"/>
      <c r="AP1101" s="90"/>
      <c r="AQ1101" s="90"/>
      <c r="AR1101" s="90"/>
      <c r="AS1101" s="90"/>
      <c r="AT1101" s="90"/>
      <c r="AU1101" s="90"/>
      <c r="AV1101" s="91"/>
      <c r="AX1101" s="92"/>
    </row>
    <row r="1102" customFormat="false" ht="15.65" hidden="false" customHeight="false" outlineLevel="0" collapsed="false">
      <c r="C1102" s="72" t="n">
        <f aca="false">COUNTIFS($D$6:D1102,"&lt;&gt;"&amp;"")</f>
        <v>1097</v>
      </c>
      <c r="D1102" s="73" t="s">
        <v>12</v>
      </c>
      <c r="E1102" s="76" t="str">
        <f aca="false">
IF($D1102="정상",INDEX(임대자산!$D$3:$R$3000,MATCH($F1102,임대자산!$I$3:$I$3000,0),MATCH(E$3,임대자산!$D$3:$R$3,0)),
IF($D1102="폐업",INDEX(폐업정보!$D$3:$R$3000,MATCH($F1102,폐업정보!$I$3:$I$3000,0),MATCH(E$3,폐업정보!$D$3:$R$3,0)),
"Error"))</f>
        <v>서울</v>
      </c>
      <c r="F110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B1097</v>
      </c>
      <c r="G1102" s="76" t="str">
        <f aca="false">F1102&amp;RANDBETWEEN(0,10)</f>
        <v>B10975</v>
      </c>
      <c r="H1102" s="75" t="n">
        <f aca="false">
IF($D1102="정상",INDEX(임대자산!$D$3:$R$3000,MATCH($F1102,임대자산!$I$3:$I$3000,0),MATCH(H$4,임대자산!$D$3:$R$3,0)),
IF($D1102="폐업",INDEX(폐업정보!$D$3:$R$3000,MATCH($F1102,폐업정보!$I$3:$I$3000,0),MATCH(H$4,폐업정보!$D$3:$R$3,0)),
"Error"))</f>
        <v>44768</v>
      </c>
      <c r="I1102" s="75" t="str">
        <f aca="false">
IF($D1102="정상",INDEX(임대자산!$D$3:$R$3000,MATCH($F1102,임대자산!$I$3:$I$3000,0),MATCH(I$4,임대자산!$D$3:$R$3,0)),
IF($D1102="폐업",INDEX(폐업정보!$D$3:$R$3000,MATCH($F1102,폐업정보!$I$3:$I$3000,0),MATCH(I$4,폐업정보!$D$3:$R$3,0)),
"Error"))</f>
        <v>A1097</v>
      </c>
      <c r="J1102" s="75" t="str">
        <f aca="false">
IF($D1102="정상",INDEX(임대자산!$D$3:$R$3000,MATCH($F1102,임대자산!$I$3:$I$3000,0),MATCH(J$4,임대자산!$D$3:$R$3,0)),
IF($D1102="폐업",INDEX(폐업정보!$D$3:$R$3000,MATCH($F1102,폐업정보!$I$3:$I$3000,0),MATCH(J$4,폐업정보!$D$3:$R$3,0)),
"Error"))</f>
        <v>3746800000</v>
      </c>
      <c r="K1102" s="75" t="str">
        <f aca="false">
IF($D1102="정상",INDEX(임대자산!$D$3:$R$3000,MATCH($F1102,임대자산!$I$3:$I$3000,0),MATCH(K$4,임대자산!$D$3:$R$3,0)),
IF($D1102="폐업",INDEX(폐업정보!$D$3:$R$3000,MATCH($F1102,폐업정보!$I$3:$I$3000,0),MATCH(K$4,폐업정보!$D$3:$R$3,0)),
"Error"))</f>
        <v>C1097</v>
      </c>
      <c r="L1102" s="75" t="str">
        <f aca="false">
IF($D1102="정상",INDEX(임대자산!$D$3:$R$3000,MATCH($F1102,임대자산!$I$3:$I$3000,0),MATCH(L$4,임대자산!$D$3:$R$3,0)),
IF($D1102="폐업",INDEX(폐업정보!$D$3:$R$3000,MATCH($F1102,폐업정보!$I$3:$I$3000,0),MATCH(L$4,폐업정보!$D$3:$R$3,0)),
"Error"))</f>
        <v>D1097</v>
      </c>
      <c r="M1102" s="76" t="s">
        <v>96</v>
      </c>
      <c r="N1102" s="77"/>
      <c r="O1102" s="78" t="s">
        <v>97</v>
      </c>
      <c r="P1102" s="79" t="n">
        <f aca="false">COUNTIFS(임대자산!$I:$I,가맹점정보!F1102,임대자산!$N:$N,가맹점정보!P$4)</f>
        <v>0</v>
      </c>
      <c r="Q1102" s="80" t="n">
        <f aca="false">COUNTIFS(임대자산!$I:$I,가맹점정보!F1102,임대자산!$N:$N,가맹점정보!Q$4)</f>
        <v>0</v>
      </c>
      <c r="R1102" s="81" t="n">
        <f aca="false">COUNTIFS(임대자산!$I:$I,가맹점정보!F1102,임대자산!$N:$N,가맹점정보!R$4)</f>
        <v>1</v>
      </c>
      <c r="S1102" s="82" t="n">
        <v>88000</v>
      </c>
      <c r="T1102" s="83" t="n">
        <v>0</v>
      </c>
      <c r="U1102" s="80" t="n">
        <f aca="false">SUM(S1102:T1102)</f>
        <v>88000</v>
      </c>
      <c r="V1102" s="84" t="s">
        <v>7</v>
      </c>
      <c r="W1102" s="80" t="str">
        <f aca="true">
IF(D1102="폐업","폐업",
IF(V1102="면제","면제",
IF(AND(V1102="정상",COUNTIFS(OFFSET(Y1102,0,COUNTA(Y1102:AV1102)-1,1,-4),"미납")&gt;=3),"장기미납",
IF(AND(V1102="정상",OFFSET(Y1102,0,COUNTA(Y1102:AV1102)-1)&gt;=U1102),"정상",
IF(AND(V1102="정상",OFFSET(Y1102,0,COUNTA(Y1102:AV1102)-1)=0),"정상",
"계약서 미작성")))))</f>
        <v>면제</v>
      </c>
      <c r="X1102" s="81" t="str">
        <f aca="true">
IF(D1102="폐업","폐업",
IF(AND(V1102="정상",OFFSET(Y1102,0,COUNTA(Y1102:AV1102)-1)="미납"),"미납",
IF(AND(V1102="정상",OFFSET(Y1102,0,COUNTA(Y1102:AV1102)-1)=0),"납부 시작 전",
IF(AND(V1102="정상",OFFSET(Y1102,0,COUNTA(Y1102:AV1102)-1)&gt;=U1102),"정상",
IF(AND(V1102="면제",OFFSET(Y1102,0,COUNTA(Y1102:AV1102)-1)="면제"),"면제",
IF(AND(V1102="면제",OFFSET(Y1102,0,COUNTA(Y1102:AV1102)-1)=0),"면제",
"확인요청"))))))</f>
        <v>면제</v>
      </c>
      <c r="Y1102" s="94" t="s">
        <v>7</v>
      </c>
      <c r="Z1102" s="95" t="s">
        <v>7</v>
      </c>
      <c r="AA1102" s="95" t="s">
        <v>7</v>
      </c>
      <c r="AB1102" s="95" t="s">
        <v>7</v>
      </c>
      <c r="AC1102" s="95" t="s">
        <v>7</v>
      </c>
      <c r="AD1102" s="95" t="s">
        <v>7</v>
      </c>
      <c r="AE1102" s="95" t="s">
        <v>7</v>
      </c>
      <c r="AF1102" s="95" t="s">
        <v>7</v>
      </c>
      <c r="AG1102" s="95" t="s">
        <v>7</v>
      </c>
      <c r="AH1102" s="95" t="s">
        <v>7</v>
      </c>
      <c r="AI1102" s="95" t="s">
        <v>7</v>
      </c>
      <c r="AJ1102" s="96" t="s">
        <v>7</v>
      </c>
      <c r="AK1102" s="97" t="s">
        <v>7</v>
      </c>
      <c r="AL1102" s="95" t="s">
        <v>7</v>
      </c>
      <c r="AM1102" s="90"/>
      <c r="AN1102" s="90"/>
      <c r="AO1102" s="90"/>
      <c r="AP1102" s="90"/>
      <c r="AQ1102" s="90"/>
      <c r="AR1102" s="90"/>
      <c r="AS1102" s="90"/>
      <c r="AT1102" s="90"/>
      <c r="AU1102" s="90"/>
      <c r="AV1102" s="91"/>
      <c r="AX1102" s="92"/>
    </row>
    <row r="1103" customFormat="false" ht="15.65" hidden="false" customHeight="false" outlineLevel="0" collapsed="false">
      <c r="C1103" s="72" t="n">
        <f aca="false">COUNTIFS($D$6:D1103,"&lt;&gt;"&amp;"")</f>
        <v>1098</v>
      </c>
      <c r="D1103" s="73" t="s">
        <v>12</v>
      </c>
      <c r="E1103" s="76" t="str">
        <f aca="false">
IF($D1103="정상",INDEX(임대자산!$D$3:$R$3000,MATCH($F1103,임대자산!$I$3:$I$3000,0),MATCH(E$3,임대자산!$D$3:$R$3,0)),
IF($D1103="폐업",INDEX(폐업정보!$D$3:$R$3000,MATCH($F1103,폐업정보!$I$3:$I$3000,0),MATCH(E$3,폐업정보!$D$3:$R$3,0)),
"Error"))</f>
        <v>서울</v>
      </c>
      <c r="F110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B1098</v>
      </c>
      <c r="G1103" s="76" t="str">
        <f aca="false">F1103&amp;RANDBETWEEN(0,10)</f>
        <v>B10983</v>
      </c>
      <c r="H1103" s="75" t="n">
        <f aca="false">
IF($D1103="정상",INDEX(임대자산!$D$3:$R$3000,MATCH($F1103,임대자산!$I$3:$I$3000,0),MATCH(H$4,임대자산!$D$3:$R$3,0)),
IF($D1103="폐업",INDEX(폐업정보!$D$3:$R$3000,MATCH($F1103,폐업정보!$I$3:$I$3000,0),MATCH(H$4,폐업정보!$D$3:$R$3,0)),
"Error"))</f>
        <v>44767</v>
      </c>
      <c r="I1103" s="75" t="str">
        <f aca="false">
IF($D1103="정상",INDEX(임대자산!$D$3:$R$3000,MATCH($F1103,임대자산!$I$3:$I$3000,0),MATCH(I$4,임대자산!$D$3:$R$3,0)),
IF($D1103="폐업",INDEX(폐업정보!$D$3:$R$3000,MATCH($F1103,폐업정보!$I$3:$I$3000,0),MATCH(I$4,폐업정보!$D$3:$R$3,0)),
"Error"))</f>
        <v>A1098</v>
      </c>
      <c r="J1103" s="75" t="str">
        <f aca="false">
IF($D1103="정상",INDEX(임대자산!$D$3:$R$3000,MATCH($F1103,임대자산!$I$3:$I$3000,0),MATCH(J$4,임대자산!$D$3:$R$3,0)),
IF($D1103="폐업",INDEX(폐업정보!$D$3:$R$3000,MATCH($F1103,폐업정보!$I$3:$I$3000,0),MATCH(J$4,폐업정보!$D$3:$R$3,0)),
"Error"))</f>
        <v>7273300000</v>
      </c>
      <c r="K1103" s="75" t="str">
        <f aca="false">
IF($D1103="정상",INDEX(임대자산!$D$3:$R$3000,MATCH($F1103,임대자산!$I$3:$I$3000,0),MATCH(K$4,임대자산!$D$3:$R$3,0)),
IF($D1103="폐업",INDEX(폐업정보!$D$3:$R$3000,MATCH($F1103,폐업정보!$I$3:$I$3000,0),MATCH(K$4,폐업정보!$D$3:$R$3,0)),
"Error"))</f>
        <v>C1098</v>
      </c>
      <c r="L1103" s="75" t="str">
        <f aca="false">
IF($D1103="정상",INDEX(임대자산!$D$3:$R$3000,MATCH($F1103,임대자산!$I$3:$I$3000,0),MATCH(L$4,임대자산!$D$3:$R$3,0)),
IF($D1103="폐업",INDEX(폐업정보!$D$3:$R$3000,MATCH($F1103,폐업정보!$I$3:$I$3000,0),MATCH(L$4,폐업정보!$D$3:$R$3,0)),
"Error"))</f>
        <v>D1098</v>
      </c>
      <c r="M1103" s="76" t="s">
        <v>96</v>
      </c>
      <c r="N1103" s="77"/>
      <c r="O1103" s="78" t="s">
        <v>97</v>
      </c>
      <c r="P1103" s="79" t="n">
        <f aca="false">COUNTIFS(임대자산!$I:$I,가맹점정보!F1103,임대자산!$N:$N,가맹점정보!P$4)</f>
        <v>0</v>
      </c>
      <c r="Q1103" s="80" t="n">
        <f aca="false">COUNTIFS(임대자산!$I:$I,가맹점정보!F1103,임대자산!$N:$N,가맹점정보!Q$4)</f>
        <v>0</v>
      </c>
      <c r="R1103" s="81" t="n">
        <f aca="false">COUNTIFS(임대자산!$I:$I,가맹점정보!F1103,임대자산!$N:$N,가맹점정보!R$4)</f>
        <v>1</v>
      </c>
      <c r="S1103" s="82" t="n">
        <v>88000</v>
      </c>
      <c r="T1103" s="83" t="n">
        <v>0</v>
      </c>
      <c r="U1103" s="80" t="n">
        <f aca="false">SUM(S1103:T1103)</f>
        <v>88000</v>
      </c>
      <c r="V1103" s="84" t="s">
        <v>7</v>
      </c>
      <c r="W1103" s="80" t="str">
        <f aca="true">
IF(D1103="폐업","폐업",
IF(V1103="면제","면제",
IF(AND(V1103="정상",COUNTIFS(OFFSET(Y1103,0,COUNTA(Y1103:AV1103)-1,1,-4),"미납")&gt;=3),"장기미납",
IF(AND(V1103="정상",OFFSET(Y1103,0,COUNTA(Y1103:AV1103)-1)&gt;=U1103),"정상",
IF(AND(V1103="정상",OFFSET(Y1103,0,COUNTA(Y1103:AV1103)-1)=0),"정상",
"계약서 미작성")))))</f>
        <v>면제</v>
      </c>
      <c r="X1103" s="81" t="str">
        <f aca="true">
IF(D1103="폐업","폐업",
IF(AND(V1103="정상",OFFSET(Y1103,0,COUNTA(Y1103:AV1103)-1)="미납"),"미납",
IF(AND(V1103="정상",OFFSET(Y1103,0,COUNTA(Y1103:AV1103)-1)=0),"납부 시작 전",
IF(AND(V1103="정상",OFFSET(Y1103,0,COUNTA(Y1103:AV1103)-1)&gt;=U1103),"정상",
IF(AND(V1103="면제",OFFSET(Y1103,0,COUNTA(Y1103:AV1103)-1)="면제"),"면제",
IF(AND(V1103="면제",OFFSET(Y1103,0,COUNTA(Y1103:AV1103)-1)=0),"면제",
"확인요청"))))))</f>
        <v>면제</v>
      </c>
      <c r="Y1103" s="94" t="s">
        <v>7</v>
      </c>
      <c r="Z1103" s="95" t="s">
        <v>7</v>
      </c>
      <c r="AA1103" s="95" t="s">
        <v>7</v>
      </c>
      <c r="AB1103" s="95" t="s">
        <v>7</v>
      </c>
      <c r="AC1103" s="95" t="s">
        <v>7</v>
      </c>
      <c r="AD1103" s="95" t="s">
        <v>7</v>
      </c>
      <c r="AE1103" s="95" t="s">
        <v>7</v>
      </c>
      <c r="AF1103" s="95" t="s">
        <v>7</v>
      </c>
      <c r="AG1103" s="95" t="s">
        <v>7</v>
      </c>
      <c r="AH1103" s="95" t="s">
        <v>7</v>
      </c>
      <c r="AI1103" s="95" t="s">
        <v>7</v>
      </c>
      <c r="AJ1103" s="96" t="s">
        <v>7</v>
      </c>
      <c r="AK1103" s="97" t="s">
        <v>7</v>
      </c>
      <c r="AL1103" s="95" t="s">
        <v>7</v>
      </c>
      <c r="AM1103" s="90"/>
      <c r="AN1103" s="90"/>
      <c r="AO1103" s="90"/>
      <c r="AP1103" s="90"/>
      <c r="AQ1103" s="90"/>
      <c r="AR1103" s="90"/>
      <c r="AS1103" s="90"/>
      <c r="AT1103" s="90"/>
      <c r="AU1103" s="90"/>
      <c r="AV1103" s="91"/>
      <c r="AX1103" s="92"/>
    </row>
    <row r="1104" customFormat="false" ht="15.65" hidden="false" customHeight="false" outlineLevel="0" collapsed="false">
      <c r="C1104" s="72" t="n">
        <f aca="false">COUNTIFS($D$6:D1104,"&lt;&gt;"&amp;"")</f>
        <v>1099</v>
      </c>
      <c r="D1104" s="73" t="s">
        <v>12</v>
      </c>
      <c r="E1104" s="76" t="str">
        <f aca="false">
IF($D1104="정상",INDEX(임대자산!$D$3:$R$3000,MATCH($F1104,임대자산!$I$3:$I$3000,0),MATCH(E$3,임대자산!$D$3:$R$3,0)),
IF($D1104="폐업",INDEX(폐업정보!$D$3:$R$3000,MATCH($F1104,폐업정보!$I$3:$I$3000,0),MATCH(E$3,폐업정보!$D$3:$R$3,0)),
"Error"))</f>
        <v>서울</v>
      </c>
      <c r="F110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B1099</v>
      </c>
      <c r="G1104" s="76" t="str">
        <f aca="false">F1104&amp;RANDBETWEEN(0,10)</f>
        <v>B10990</v>
      </c>
      <c r="H1104" s="75" t="n">
        <f aca="false">
IF($D1104="정상",INDEX(임대자산!$D$3:$R$3000,MATCH($F1104,임대자산!$I$3:$I$3000,0),MATCH(H$4,임대자산!$D$3:$R$3,0)),
IF($D1104="폐업",INDEX(폐업정보!$D$3:$R$3000,MATCH($F1104,폐업정보!$I$3:$I$3000,0),MATCH(H$4,폐업정보!$D$3:$R$3,0)),
"Error"))</f>
        <v>44763</v>
      </c>
      <c r="I1104" s="75" t="str">
        <f aca="false">
IF($D1104="정상",INDEX(임대자산!$D$3:$R$3000,MATCH($F1104,임대자산!$I$3:$I$3000,0),MATCH(I$4,임대자산!$D$3:$R$3,0)),
IF($D1104="폐업",INDEX(폐업정보!$D$3:$R$3000,MATCH($F1104,폐업정보!$I$3:$I$3000,0),MATCH(I$4,폐업정보!$D$3:$R$3,0)),
"Error"))</f>
        <v>A1099</v>
      </c>
      <c r="J1104" s="75" t="str">
        <f aca="false">
IF($D1104="정상",INDEX(임대자산!$D$3:$R$3000,MATCH($F1104,임대자산!$I$3:$I$3000,0),MATCH(J$4,임대자산!$D$3:$R$3,0)),
IF($D1104="폐업",INDEX(폐업정보!$D$3:$R$3000,MATCH($F1104,폐업정보!$I$3:$I$3000,0),MATCH(J$4,폐업정보!$D$3:$R$3,0)),
"Error"))</f>
        <v>8239100000</v>
      </c>
      <c r="K1104" s="75" t="str">
        <f aca="false">
IF($D1104="정상",INDEX(임대자산!$D$3:$R$3000,MATCH($F1104,임대자산!$I$3:$I$3000,0),MATCH(K$4,임대자산!$D$3:$R$3,0)),
IF($D1104="폐업",INDEX(폐업정보!$D$3:$R$3000,MATCH($F1104,폐업정보!$I$3:$I$3000,0),MATCH(K$4,폐업정보!$D$3:$R$3,0)),
"Error"))</f>
        <v>C1099</v>
      </c>
      <c r="L1104" s="75" t="str">
        <f aca="false">
IF($D1104="정상",INDEX(임대자산!$D$3:$R$3000,MATCH($F1104,임대자산!$I$3:$I$3000,0),MATCH(L$4,임대자산!$D$3:$R$3,0)),
IF($D1104="폐업",INDEX(폐업정보!$D$3:$R$3000,MATCH($F1104,폐업정보!$I$3:$I$3000,0),MATCH(L$4,폐업정보!$D$3:$R$3,0)),
"Error"))</f>
        <v>D1099</v>
      </c>
      <c r="M1104" s="76" t="s">
        <v>96</v>
      </c>
      <c r="N1104" s="77"/>
      <c r="O1104" s="78" t="s">
        <v>97</v>
      </c>
      <c r="P1104" s="79" t="n">
        <f aca="false">COUNTIFS(임대자산!$I:$I,가맹점정보!F1104,임대자산!$N:$N,가맹점정보!P$4)</f>
        <v>0</v>
      </c>
      <c r="Q1104" s="80" t="n">
        <f aca="false">COUNTIFS(임대자산!$I:$I,가맹점정보!F1104,임대자산!$N:$N,가맹점정보!Q$4)</f>
        <v>0</v>
      </c>
      <c r="R1104" s="81" t="n">
        <f aca="false">COUNTIFS(임대자산!$I:$I,가맹점정보!F1104,임대자산!$N:$N,가맹점정보!R$4)</f>
        <v>1</v>
      </c>
      <c r="S1104" s="82" t="n">
        <v>55000</v>
      </c>
      <c r="T1104" s="83" t="n">
        <v>0</v>
      </c>
      <c r="U1104" s="80" t="n">
        <f aca="false">SUM(S1104:T1104)</f>
        <v>55000</v>
      </c>
      <c r="V1104" s="84" t="s">
        <v>7</v>
      </c>
      <c r="W1104" s="80" t="str">
        <f aca="true">
IF(D1104="폐업","폐업",
IF(V1104="면제","면제",
IF(AND(V1104="정상",COUNTIFS(OFFSET(Y1104,0,COUNTA(Y1104:AV1104)-1,1,-4),"미납")&gt;=3),"장기미납",
IF(AND(V1104="정상",OFFSET(Y1104,0,COUNTA(Y1104:AV1104)-1)&gt;=U1104),"정상",
IF(AND(V1104="정상",OFFSET(Y1104,0,COUNTA(Y1104:AV1104)-1)=0),"정상",
"계약서 미작성")))))</f>
        <v>면제</v>
      </c>
      <c r="X1104" s="81" t="str">
        <f aca="true">
IF(D1104="폐업","폐업",
IF(AND(V1104="정상",OFFSET(Y1104,0,COUNTA(Y1104:AV1104)-1)="미납"),"미납",
IF(AND(V1104="정상",OFFSET(Y1104,0,COUNTA(Y1104:AV1104)-1)=0),"납부 시작 전",
IF(AND(V1104="정상",OFFSET(Y1104,0,COUNTA(Y1104:AV1104)-1)&gt;=U1104),"정상",
IF(AND(V1104="면제",OFFSET(Y1104,0,COUNTA(Y1104:AV1104)-1)="면제"),"면제",
IF(AND(V1104="면제",OFFSET(Y1104,0,COUNTA(Y1104:AV1104)-1)=0),"면제",
"확인요청"))))))</f>
        <v>면제</v>
      </c>
      <c r="Y1104" s="94" t="s">
        <v>7</v>
      </c>
      <c r="Z1104" s="95" t="s">
        <v>7</v>
      </c>
      <c r="AA1104" s="95" t="s">
        <v>7</v>
      </c>
      <c r="AB1104" s="95" t="s">
        <v>7</v>
      </c>
      <c r="AC1104" s="95" t="s">
        <v>7</v>
      </c>
      <c r="AD1104" s="95" t="s">
        <v>7</v>
      </c>
      <c r="AE1104" s="95" t="s">
        <v>7</v>
      </c>
      <c r="AF1104" s="95" t="s">
        <v>7</v>
      </c>
      <c r="AG1104" s="95" t="s">
        <v>7</v>
      </c>
      <c r="AH1104" s="95" t="s">
        <v>7</v>
      </c>
      <c r="AI1104" s="95" t="s">
        <v>7</v>
      </c>
      <c r="AJ1104" s="96" t="s">
        <v>7</v>
      </c>
      <c r="AK1104" s="97" t="s">
        <v>7</v>
      </c>
      <c r="AL1104" s="95" t="s">
        <v>7</v>
      </c>
      <c r="AM1104" s="90"/>
      <c r="AN1104" s="90"/>
      <c r="AO1104" s="90"/>
      <c r="AP1104" s="90"/>
      <c r="AQ1104" s="90"/>
      <c r="AR1104" s="90"/>
      <c r="AS1104" s="90"/>
      <c r="AT1104" s="90"/>
      <c r="AU1104" s="90"/>
      <c r="AV1104" s="91"/>
      <c r="AX1104" s="92"/>
    </row>
    <row r="1105" customFormat="false" ht="15.65" hidden="false" customHeight="false" outlineLevel="0" collapsed="false">
      <c r="C1105" s="72" t="n">
        <f aca="false">COUNTIFS($D$6:D1105,"&lt;&gt;"&amp;"")</f>
        <v>1100</v>
      </c>
      <c r="D1105" s="73" t="s">
        <v>12</v>
      </c>
      <c r="E1105" s="76" t="str">
        <f aca="false">
IF($D1105="정상",INDEX(임대자산!$D$3:$R$3000,MATCH($F1105,임대자산!$I$3:$I$3000,0),MATCH(E$3,임대자산!$D$3:$R$3,0)),
IF($D1105="폐업",INDEX(폐업정보!$D$3:$R$3000,MATCH($F1105,폐업정보!$I$3:$I$3000,0),MATCH(E$3,폐업정보!$D$3:$R$3,0)),
"Error"))</f>
        <v>서울</v>
      </c>
      <c r="F110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B1100</v>
      </c>
      <c r="G1105" s="76" t="str">
        <f aca="false">F1105&amp;RANDBETWEEN(0,10)</f>
        <v>B11002</v>
      </c>
      <c r="H1105" s="75" t="n">
        <f aca="false">
IF($D1105="정상",INDEX(임대자산!$D$3:$R$3000,MATCH($F1105,임대자산!$I$3:$I$3000,0),MATCH(H$4,임대자산!$D$3:$R$3,0)),
IF($D1105="폐업",INDEX(폐업정보!$D$3:$R$3000,MATCH($F1105,폐업정보!$I$3:$I$3000,0),MATCH(H$4,폐업정보!$D$3:$R$3,0)),
"Error"))</f>
        <v>45141</v>
      </c>
      <c r="I1105" s="75" t="str">
        <f aca="false">
IF($D1105="정상",INDEX(임대자산!$D$3:$R$3000,MATCH($F1105,임대자산!$I$3:$I$3000,0),MATCH(I$4,임대자산!$D$3:$R$3,0)),
IF($D1105="폐업",INDEX(폐업정보!$D$3:$R$3000,MATCH($F1105,폐업정보!$I$3:$I$3000,0),MATCH(I$4,폐업정보!$D$3:$R$3,0)),
"Error"))</f>
        <v>A1100</v>
      </c>
      <c r="J1105" s="75" t="str">
        <f aca="false">
IF($D1105="정상",INDEX(임대자산!$D$3:$R$3000,MATCH($F1105,임대자산!$I$3:$I$3000,0),MATCH(J$4,임대자산!$D$3:$R$3,0)),
IF($D1105="폐업",INDEX(폐업정보!$D$3:$R$3000,MATCH($F1105,폐업정보!$I$3:$I$3000,0),MATCH(J$4,폐업정보!$D$3:$R$3,0)),
"Error"))</f>
        <v>5057600000</v>
      </c>
      <c r="K1105" s="75" t="str">
        <f aca="false">
IF($D1105="정상",INDEX(임대자산!$D$3:$R$3000,MATCH($F1105,임대자산!$I$3:$I$3000,0),MATCH(K$4,임대자산!$D$3:$R$3,0)),
IF($D1105="폐업",INDEX(폐업정보!$D$3:$R$3000,MATCH($F1105,폐업정보!$I$3:$I$3000,0),MATCH(K$4,폐업정보!$D$3:$R$3,0)),
"Error"))</f>
        <v>C1100</v>
      </c>
      <c r="L1105" s="75" t="str">
        <f aca="false">
IF($D1105="정상",INDEX(임대자산!$D$3:$R$3000,MATCH($F1105,임대자산!$I$3:$I$3000,0),MATCH(L$4,임대자산!$D$3:$R$3,0)),
IF($D1105="폐업",INDEX(폐업정보!$D$3:$R$3000,MATCH($F1105,폐업정보!$I$3:$I$3000,0),MATCH(L$4,폐업정보!$D$3:$R$3,0)),
"Error"))</f>
        <v>D1100</v>
      </c>
      <c r="M1105" s="76" t="s">
        <v>96</v>
      </c>
      <c r="N1105" s="77"/>
      <c r="O1105" s="78" t="s">
        <v>97</v>
      </c>
      <c r="P1105" s="79" t="n">
        <f aca="false">COUNTIFS(임대자산!$I:$I,가맹점정보!F1105,임대자산!$N:$N,가맹점정보!P$4)</f>
        <v>0</v>
      </c>
      <c r="Q1105" s="80" t="n">
        <f aca="false">COUNTIFS(임대자산!$I:$I,가맹점정보!F1105,임대자산!$N:$N,가맹점정보!Q$4)</f>
        <v>0</v>
      </c>
      <c r="R1105" s="81" t="n">
        <f aca="false">COUNTIFS(임대자산!$I:$I,가맹점정보!F1105,임대자산!$N:$N,가맹점정보!R$4)</f>
        <v>1</v>
      </c>
      <c r="S1105" s="82" t="n">
        <v>55000</v>
      </c>
      <c r="T1105" s="83" t="n">
        <v>0</v>
      </c>
      <c r="U1105" s="80" t="n">
        <f aca="false">SUM(S1105:T1105)</f>
        <v>55000</v>
      </c>
      <c r="V1105" s="84" t="s">
        <v>12</v>
      </c>
      <c r="W1105" s="80" t="e">
        <f aca="true">
IF(D1105="폐업","폐업",
IF(V1105="면제","면제",
IF(AND(V1105="정상",COUNTIFS(OFFSET(Y1105,0,COUNTA(Y1105:AV1105)-1,1,-4),"미납")&gt;=3),"장기미납",
IF(AND(V1105="정상",OFFSET(Y1105,0,COUNTA(Y1105:AV1105)-1)&gt;=U1105),"정상",
IF(AND(V1105="정상",OFFSET(Y1105,0,COUNTA(Y1105:AV1105)-1)=0),"정상",
"계약서 미작성")))))</f>
        <v>#VALUE!</v>
      </c>
      <c r="X1105" s="81" t="str">
        <f aca="true">
IF(D1105="폐업","폐업",
IF(AND(V1105="정상",OFFSET(Y1105,0,COUNTA(Y1105:AV1105)-1)="미납"),"미납",
IF(AND(V1105="정상",OFFSET(Y1105,0,COUNTA(Y1105:AV1105)-1)=0),"납부 시작 전",
IF(AND(V1105="정상",OFFSET(Y1105,0,COUNTA(Y1105:AV1105)-1)&gt;=U1105),"정상",
IF(AND(V1105="면제",OFFSET(Y1105,0,COUNTA(Y1105:AV1105)-1)="면제"),"면제",
IF(AND(V1105="면제",OFFSET(Y1105,0,COUNTA(Y1105:AV1105)-1)=0),"면제",
"확인요청"))))))</f>
        <v>정상</v>
      </c>
      <c r="Y1105" s="94" t="s">
        <v>62</v>
      </c>
      <c r="Z1105" s="90" t="n">
        <v>55000</v>
      </c>
      <c r="AA1105" s="90" t="n">
        <v>55000</v>
      </c>
      <c r="AB1105" s="90" t="n">
        <v>55000</v>
      </c>
      <c r="AC1105" s="90" t="n">
        <v>55000</v>
      </c>
      <c r="AD1105" s="90" t="n">
        <v>55000</v>
      </c>
      <c r="AE1105" s="90" t="n">
        <v>55000</v>
      </c>
      <c r="AF1105" s="90" t="n">
        <v>55000</v>
      </c>
      <c r="AG1105" s="90" t="n">
        <v>55000</v>
      </c>
      <c r="AH1105" s="90" t="n">
        <v>55000</v>
      </c>
      <c r="AI1105" s="90" t="n">
        <v>55000</v>
      </c>
      <c r="AJ1105" s="91" t="n">
        <v>55000</v>
      </c>
      <c r="AK1105" s="89" t="n">
        <v>55000</v>
      </c>
      <c r="AL1105" s="90" t="n">
        <v>55000</v>
      </c>
      <c r="AM1105" s="90"/>
      <c r="AN1105" s="90"/>
      <c r="AO1105" s="90"/>
      <c r="AP1105" s="90"/>
      <c r="AQ1105" s="90"/>
      <c r="AR1105" s="90"/>
      <c r="AS1105" s="90"/>
      <c r="AT1105" s="90"/>
      <c r="AU1105" s="90"/>
      <c r="AV1105" s="91"/>
      <c r="AX1105" s="92"/>
    </row>
    <row r="1106" customFormat="false" ht="15.65" hidden="false" customHeight="false" outlineLevel="0" collapsed="false">
      <c r="C1106" s="72" t="n">
        <f aca="false">COUNTIFS($D$6:D1106,"&lt;&gt;"&amp;"")</f>
        <v>1101</v>
      </c>
      <c r="D1106" s="73" t="s">
        <v>12</v>
      </c>
      <c r="E1106" s="76" t="str">
        <f aca="false">
IF($D1106="정상",INDEX(임대자산!$D$3:$R$3000,MATCH($F1106,임대자산!$I$3:$I$3000,0),MATCH(E$3,임대자산!$D$3:$R$3,0)),
IF($D1106="폐업",INDEX(폐업정보!$D$3:$R$3000,MATCH($F1106,폐업정보!$I$3:$I$3000,0),MATCH(E$3,폐업정보!$D$3:$R$3,0)),
"Error"))</f>
        <v>서울</v>
      </c>
      <c r="F110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B1101</v>
      </c>
      <c r="G1106" s="76" t="str">
        <f aca="false">F1106&amp;RANDBETWEEN(0,10)</f>
        <v>B11019</v>
      </c>
      <c r="H1106" s="75" t="n">
        <f aca="false">
IF($D1106="정상",INDEX(임대자산!$D$3:$R$3000,MATCH($F1106,임대자산!$I$3:$I$3000,0),MATCH(H$4,임대자산!$D$3:$R$3,0)),
IF($D1106="폐업",INDEX(폐업정보!$D$3:$R$3000,MATCH($F1106,폐업정보!$I$3:$I$3000,0),MATCH(H$4,폐업정보!$D$3:$R$3,0)),
"Error"))</f>
        <v>45358</v>
      </c>
      <c r="I1106" s="75" t="str">
        <f aca="false">
IF($D1106="정상",INDEX(임대자산!$D$3:$R$3000,MATCH($F1106,임대자산!$I$3:$I$3000,0),MATCH(I$4,임대자산!$D$3:$R$3,0)),
IF($D1106="폐업",INDEX(폐업정보!$D$3:$R$3000,MATCH($F1106,폐업정보!$I$3:$I$3000,0),MATCH(I$4,폐업정보!$D$3:$R$3,0)),
"Error"))</f>
        <v>A1101</v>
      </c>
      <c r="J1106" s="75" t="str">
        <f aca="false">
IF($D1106="정상",INDEX(임대자산!$D$3:$R$3000,MATCH($F1106,임대자산!$I$3:$I$3000,0),MATCH(J$4,임대자산!$D$3:$R$3,0)),
IF($D1106="폐업",INDEX(폐업정보!$D$3:$R$3000,MATCH($F1106,폐업정보!$I$3:$I$3000,0),MATCH(J$4,폐업정보!$D$3:$R$3,0)),
"Error"))</f>
        <v>1991900000</v>
      </c>
      <c r="K1106" s="75" t="str">
        <f aca="false">
IF($D1106="정상",INDEX(임대자산!$D$3:$R$3000,MATCH($F1106,임대자산!$I$3:$I$3000,0),MATCH(K$4,임대자산!$D$3:$R$3,0)),
IF($D1106="폐업",INDEX(폐업정보!$D$3:$R$3000,MATCH($F1106,폐업정보!$I$3:$I$3000,0),MATCH(K$4,폐업정보!$D$3:$R$3,0)),
"Error"))</f>
        <v>C1101</v>
      </c>
      <c r="L1106" s="75" t="str">
        <f aca="false">
IF($D1106="정상",INDEX(임대자산!$D$3:$R$3000,MATCH($F1106,임대자산!$I$3:$I$3000,0),MATCH(L$4,임대자산!$D$3:$R$3,0)),
IF($D1106="폐업",INDEX(폐업정보!$D$3:$R$3000,MATCH($F1106,폐업정보!$I$3:$I$3000,0),MATCH(L$4,폐업정보!$D$3:$R$3,0)),
"Error"))</f>
        <v>D1101</v>
      </c>
      <c r="M1106" s="76" t="s">
        <v>96</v>
      </c>
      <c r="N1106" s="77"/>
      <c r="O1106" s="78" t="s">
        <v>97</v>
      </c>
      <c r="P1106" s="79" t="n">
        <f aca="false">COUNTIFS(임대자산!$I:$I,가맹점정보!F1106,임대자산!$N:$N,가맹점정보!P$4)</f>
        <v>0</v>
      </c>
      <c r="Q1106" s="80" t="n">
        <f aca="false">COUNTIFS(임대자산!$I:$I,가맹점정보!F1106,임대자산!$N:$N,가맹점정보!Q$4)</f>
        <v>0</v>
      </c>
      <c r="R1106" s="81" t="n">
        <f aca="false">COUNTIFS(임대자산!$I:$I,가맹점정보!F1106,임대자산!$N:$N,가맹점정보!R$4)</f>
        <v>1</v>
      </c>
      <c r="S1106" s="82" t="n">
        <v>88000</v>
      </c>
      <c r="T1106" s="83" t="n">
        <v>0</v>
      </c>
      <c r="U1106" s="80" t="n">
        <f aca="false">SUM(S1106:T1106)</f>
        <v>88000</v>
      </c>
      <c r="V1106" s="84" t="s">
        <v>7</v>
      </c>
      <c r="W1106" s="80" t="str">
        <f aca="true">
IF(D1106="폐업","폐업",
IF(V1106="면제","면제",
IF(AND(V1106="정상",COUNTIFS(OFFSET(Y1106,0,COUNTA(Y1106:AV1106)-1,1,-4),"미납")&gt;=3),"장기미납",
IF(AND(V1106="정상",OFFSET(Y1106,0,COUNTA(Y1106:AV1106)-1)&gt;=U1106),"정상",
IF(AND(V1106="정상",OFFSET(Y1106,0,COUNTA(Y1106:AV1106)-1)=0),"정상",
"계약서 미작성")))))</f>
        <v>면제</v>
      </c>
      <c r="X1106" s="81" t="str">
        <f aca="true">
IF(D1106="폐업","폐업",
IF(AND(V1106="정상",OFFSET(Y1106,0,COUNTA(Y1106:AV1106)-1)="미납"),"미납",
IF(AND(V1106="정상",OFFSET(Y1106,0,COUNTA(Y1106:AV1106)-1)=0),"납부 시작 전",
IF(AND(V1106="정상",OFFSET(Y1106,0,COUNTA(Y1106:AV1106)-1)&gt;=U1106),"정상",
IF(AND(V1106="면제",OFFSET(Y1106,0,COUNTA(Y1106:AV1106)-1)="면제"),"면제",
IF(AND(V1106="면제",OFFSET(Y1106,0,COUNTA(Y1106:AV1106)-1)=0),"면제",
"확인요청"))))))</f>
        <v>면제</v>
      </c>
      <c r="Y1106" s="94" t="s">
        <v>7</v>
      </c>
      <c r="Z1106" s="95" t="s">
        <v>7</v>
      </c>
      <c r="AA1106" s="95" t="s">
        <v>7</v>
      </c>
      <c r="AB1106" s="95" t="s">
        <v>7</v>
      </c>
      <c r="AC1106" s="95" t="s">
        <v>7</v>
      </c>
      <c r="AD1106" s="95" t="s">
        <v>7</v>
      </c>
      <c r="AE1106" s="95" t="s">
        <v>7</v>
      </c>
      <c r="AF1106" s="95" t="s">
        <v>7</v>
      </c>
      <c r="AG1106" s="95" t="s">
        <v>7</v>
      </c>
      <c r="AH1106" s="95" t="s">
        <v>7</v>
      </c>
      <c r="AI1106" s="95" t="s">
        <v>7</v>
      </c>
      <c r="AJ1106" s="96" t="s">
        <v>7</v>
      </c>
      <c r="AK1106" s="97" t="s">
        <v>7</v>
      </c>
      <c r="AL1106" s="95" t="s">
        <v>7</v>
      </c>
      <c r="AM1106" s="90"/>
      <c r="AN1106" s="90"/>
      <c r="AO1106" s="90"/>
      <c r="AP1106" s="90"/>
      <c r="AQ1106" s="90"/>
      <c r="AR1106" s="90"/>
      <c r="AS1106" s="90"/>
      <c r="AT1106" s="90"/>
      <c r="AU1106" s="90"/>
      <c r="AV1106" s="91"/>
      <c r="AX1106" s="92"/>
    </row>
    <row r="1107" customFormat="false" ht="15.65" hidden="false" customHeight="false" outlineLevel="0" collapsed="false">
      <c r="C1107" s="72" t="n">
        <f aca="false">COUNTIFS($D$6:D1107,"&lt;&gt;"&amp;"")</f>
        <v>1102</v>
      </c>
      <c r="D1107" s="73" t="s">
        <v>12</v>
      </c>
      <c r="E1107" s="76" t="str">
        <f aca="false">
IF($D1107="정상",INDEX(임대자산!$D$3:$R$3000,MATCH($F1107,임대자산!$I$3:$I$3000,0),MATCH(E$3,임대자산!$D$3:$R$3,0)),
IF($D1107="폐업",INDEX(폐업정보!$D$3:$R$3000,MATCH($F1107,폐업정보!$I$3:$I$3000,0),MATCH(E$3,폐업정보!$D$3:$R$3,0)),
"Error"))</f>
        <v>서울</v>
      </c>
      <c r="F110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B1102</v>
      </c>
      <c r="G1107" s="76" t="str">
        <f aca="false">F1107&amp;RANDBETWEEN(0,10)</f>
        <v>B11023</v>
      </c>
      <c r="H1107" s="75" t="n">
        <f aca="false">
IF($D1107="정상",INDEX(임대자산!$D$3:$R$3000,MATCH($F1107,임대자산!$I$3:$I$3000,0),MATCH(H$4,임대자산!$D$3:$R$3,0)),
IF($D1107="폐업",INDEX(폐업정보!$D$3:$R$3000,MATCH($F1107,폐업정보!$I$3:$I$3000,0),MATCH(H$4,폐업정보!$D$3:$R$3,0)),
"Error"))</f>
        <v>44761</v>
      </c>
      <c r="I1107" s="75" t="str">
        <f aca="false">
IF($D1107="정상",INDEX(임대자산!$D$3:$R$3000,MATCH($F1107,임대자산!$I$3:$I$3000,0),MATCH(I$4,임대자산!$D$3:$R$3,0)),
IF($D1107="폐업",INDEX(폐업정보!$D$3:$R$3000,MATCH($F1107,폐업정보!$I$3:$I$3000,0),MATCH(I$4,폐업정보!$D$3:$R$3,0)),
"Error"))</f>
        <v>A1102</v>
      </c>
      <c r="J1107" s="75" t="str">
        <f aca="false">
IF($D1107="정상",INDEX(임대자산!$D$3:$R$3000,MATCH($F1107,임대자산!$I$3:$I$3000,0),MATCH(J$4,임대자산!$D$3:$R$3,0)),
IF($D1107="폐업",INDEX(폐업정보!$D$3:$R$3000,MATCH($F1107,폐업정보!$I$3:$I$3000,0),MATCH(J$4,폐업정보!$D$3:$R$3,0)),
"Error"))</f>
        <v>7056300000</v>
      </c>
      <c r="K1107" s="75" t="str">
        <f aca="false">
IF($D1107="정상",INDEX(임대자산!$D$3:$R$3000,MATCH($F1107,임대자산!$I$3:$I$3000,0),MATCH(K$4,임대자산!$D$3:$R$3,0)),
IF($D1107="폐업",INDEX(폐업정보!$D$3:$R$3000,MATCH($F1107,폐업정보!$I$3:$I$3000,0),MATCH(K$4,폐업정보!$D$3:$R$3,0)),
"Error"))</f>
        <v>C1102</v>
      </c>
      <c r="L1107" s="75" t="str">
        <f aca="false">
IF($D1107="정상",INDEX(임대자산!$D$3:$R$3000,MATCH($F1107,임대자산!$I$3:$I$3000,0),MATCH(L$4,임대자산!$D$3:$R$3,0)),
IF($D1107="폐업",INDEX(폐업정보!$D$3:$R$3000,MATCH($F1107,폐업정보!$I$3:$I$3000,0),MATCH(L$4,폐업정보!$D$3:$R$3,0)),
"Error"))</f>
        <v>D1102</v>
      </c>
      <c r="M1107" s="76" t="s">
        <v>96</v>
      </c>
      <c r="N1107" s="77"/>
      <c r="O1107" s="78" t="s">
        <v>97</v>
      </c>
      <c r="P1107" s="79" t="n">
        <f aca="false">COUNTIFS(임대자산!$I:$I,가맹점정보!F1107,임대자산!$N:$N,가맹점정보!P$4)</f>
        <v>0</v>
      </c>
      <c r="Q1107" s="80" t="n">
        <f aca="false">COUNTIFS(임대자산!$I:$I,가맹점정보!F1107,임대자산!$N:$N,가맹점정보!Q$4)</f>
        <v>0</v>
      </c>
      <c r="R1107" s="81" t="n">
        <f aca="false">COUNTIFS(임대자산!$I:$I,가맹점정보!F1107,임대자산!$N:$N,가맹점정보!R$4)</f>
        <v>1</v>
      </c>
      <c r="S1107" s="82" t="n">
        <v>55000</v>
      </c>
      <c r="T1107" s="83" t="n">
        <v>0</v>
      </c>
      <c r="U1107" s="80" t="n">
        <f aca="false">SUM(S1107:T1107)</f>
        <v>55000</v>
      </c>
      <c r="V1107" s="84" t="s">
        <v>7</v>
      </c>
      <c r="W1107" s="80" t="str">
        <f aca="true">
IF(D1107="폐업","폐업",
IF(V1107="면제","면제",
IF(AND(V1107="정상",COUNTIFS(OFFSET(Y1107,0,COUNTA(Y1107:AV1107)-1,1,-4),"미납")&gt;=3),"장기미납",
IF(AND(V1107="정상",OFFSET(Y1107,0,COUNTA(Y1107:AV1107)-1)&gt;=U1107),"정상",
IF(AND(V1107="정상",OFFSET(Y1107,0,COUNTA(Y1107:AV1107)-1)=0),"정상",
"계약서 미작성")))))</f>
        <v>면제</v>
      </c>
      <c r="X1107" s="81" t="str">
        <f aca="true">
IF(D1107="폐업","폐업",
IF(AND(V1107="정상",OFFSET(Y1107,0,COUNTA(Y1107:AV1107)-1)="미납"),"미납",
IF(AND(V1107="정상",OFFSET(Y1107,0,COUNTA(Y1107:AV1107)-1)=0),"납부 시작 전",
IF(AND(V1107="정상",OFFSET(Y1107,0,COUNTA(Y1107:AV1107)-1)&gt;=U1107),"정상",
IF(AND(V1107="면제",OFFSET(Y1107,0,COUNTA(Y1107:AV1107)-1)="면제"),"면제",
IF(AND(V1107="면제",OFFSET(Y1107,0,COUNTA(Y1107:AV1107)-1)=0),"면제",
"확인요청"))))))</f>
        <v>면제</v>
      </c>
      <c r="Y1107" s="94" t="s">
        <v>7</v>
      </c>
      <c r="Z1107" s="95" t="s">
        <v>7</v>
      </c>
      <c r="AA1107" s="95" t="s">
        <v>7</v>
      </c>
      <c r="AB1107" s="95" t="s">
        <v>7</v>
      </c>
      <c r="AC1107" s="95" t="s">
        <v>7</v>
      </c>
      <c r="AD1107" s="95" t="s">
        <v>7</v>
      </c>
      <c r="AE1107" s="95" t="s">
        <v>7</v>
      </c>
      <c r="AF1107" s="95" t="s">
        <v>7</v>
      </c>
      <c r="AG1107" s="95" t="s">
        <v>7</v>
      </c>
      <c r="AH1107" s="95" t="s">
        <v>7</v>
      </c>
      <c r="AI1107" s="95" t="s">
        <v>7</v>
      </c>
      <c r="AJ1107" s="96" t="s">
        <v>7</v>
      </c>
      <c r="AK1107" s="97" t="s">
        <v>7</v>
      </c>
      <c r="AL1107" s="95" t="s">
        <v>7</v>
      </c>
      <c r="AM1107" s="90"/>
      <c r="AN1107" s="90"/>
      <c r="AO1107" s="90"/>
      <c r="AP1107" s="90"/>
      <c r="AQ1107" s="90"/>
      <c r="AR1107" s="90"/>
      <c r="AS1107" s="90"/>
      <c r="AT1107" s="90"/>
      <c r="AU1107" s="90"/>
      <c r="AV1107" s="91"/>
      <c r="AX1107" s="92"/>
    </row>
    <row r="1108" customFormat="false" ht="15.65" hidden="false" customHeight="false" outlineLevel="0" collapsed="false">
      <c r="C1108" s="72" t="n">
        <f aca="false">COUNTIFS($D$6:D1108,"&lt;&gt;"&amp;"")</f>
        <v>1103</v>
      </c>
      <c r="D1108" s="73" t="s">
        <v>5</v>
      </c>
      <c r="E1108" s="76" t="str">
        <f aca="false">
IF($D1108="정상",INDEX(임대자산!$D$3:$R$3000,MATCH($F1108,임대자산!$I$3:$I$3000,0),MATCH(E$3,임대자산!$D$3:$R$3,0)),
IF($D1108="폐업",INDEX(폐업정보!$D$3:$R$3000,MATCH($F1108,폐업정보!$I$3:$I$3000,0),MATCH(E$3,폐업정보!$D$3:$R$3,0)),
"Error"))</f>
        <v>서울</v>
      </c>
      <c r="F110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B1103</v>
      </c>
      <c r="G1108" s="76" t="str">
        <f aca="false">F1108&amp;RANDBETWEEN(0,10)</f>
        <v>B11034</v>
      </c>
      <c r="H1108" s="75" t="n">
        <f aca="false">
IF($D1108="정상",INDEX(임대자산!$D$3:$R$3000,MATCH($F1108,임대자산!$I$3:$I$3000,0),MATCH(H$4,임대자산!$D$3:$R$3,0)),
IF($D1108="폐업",INDEX(폐업정보!$D$3:$R$3000,MATCH($F1108,폐업정보!$I$3:$I$3000,0),MATCH(H$4,폐업정보!$D$3:$R$3,0)),
"Error"))</f>
        <v>44761</v>
      </c>
      <c r="I1108" s="75" t="str">
        <f aca="false">
IF($D1108="정상",INDEX(임대자산!$D$3:$R$3000,MATCH($F1108,임대자산!$I$3:$I$3000,0),MATCH(I$4,임대자산!$D$3:$R$3,0)),
IF($D1108="폐업",INDEX(폐업정보!$D$3:$R$3000,MATCH($F1108,폐업정보!$I$3:$I$3000,0),MATCH(I$4,폐업정보!$D$3:$R$3,0)),
"Error"))</f>
        <v>A1103</v>
      </c>
      <c r="J1108" s="75" t="str">
        <f aca="false">
IF($D1108="정상",INDEX(임대자산!$D$3:$R$3000,MATCH($F1108,임대자산!$I$3:$I$3000,0),MATCH(J$4,임대자산!$D$3:$R$3,0)),
IF($D1108="폐업",INDEX(폐업정보!$D$3:$R$3000,MATCH($F1108,폐업정보!$I$3:$I$3000,0),MATCH(J$4,폐업정보!$D$3:$R$3,0)),
"Error"))</f>
        <v>7236900000</v>
      </c>
      <c r="K1108" s="75" t="str">
        <f aca="false">
IF($D1108="정상",INDEX(임대자산!$D$3:$R$3000,MATCH($F1108,임대자산!$I$3:$I$3000,0),MATCH(K$4,임대자산!$D$3:$R$3,0)),
IF($D1108="폐업",INDEX(폐업정보!$D$3:$R$3000,MATCH($F1108,폐업정보!$I$3:$I$3000,0),MATCH(K$4,폐업정보!$D$3:$R$3,0)),
"Error"))</f>
        <v>C1103</v>
      </c>
      <c r="L1108" s="75" t="str">
        <f aca="false">
IF($D1108="정상",INDEX(임대자산!$D$3:$R$3000,MATCH($F1108,임대자산!$I$3:$I$3000,0),MATCH(L$4,임대자산!$D$3:$R$3,0)),
IF($D1108="폐업",INDEX(폐업정보!$D$3:$R$3000,MATCH($F1108,폐업정보!$I$3:$I$3000,0),MATCH(L$4,폐업정보!$D$3:$R$3,0)),
"Error"))</f>
        <v>D1103</v>
      </c>
      <c r="M1108" s="76" t="s">
        <v>96</v>
      </c>
      <c r="N1108" s="77"/>
      <c r="O1108" s="78" t="s">
        <v>97</v>
      </c>
      <c r="P1108" s="79" t="n">
        <f aca="false">COUNTIFS(임대자산!$I:$I,가맹점정보!F1108,임대자산!$N:$N,가맹점정보!P$4)</f>
        <v>0</v>
      </c>
      <c r="Q1108" s="80" t="n">
        <f aca="false">COUNTIFS(임대자산!$I:$I,가맹점정보!F1108,임대자산!$N:$N,가맹점정보!Q$4)</f>
        <v>0</v>
      </c>
      <c r="R1108" s="81" t="n">
        <f aca="false">COUNTIFS(임대자산!$I:$I,가맹점정보!F1108,임대자산!$N:$N,가맹점정보!R$4)</f>
        <v>0</v>
      </c>
      <c r="S1108" s="82" t="n">
        <v>88000</v>
      </c>
      <c r="T1108" s="83" t="n">
        <v>0</v>
      </c>
      <c r="U1108" s="80" t="n">
        <f aca="false">SUM(S1108:T1108)</f>
        <v>88000</v>
      </c>
      <c r="V1108" s="84" t="s">
        <v>7</v>
      </c>
      <c r="W1108" s="80" t="str">
        <f aca="true">
IF(D1108="폐업","폐업",
IF(V1108="면제","면제",
IF(AND(V1108="정상",COUNTIFS(OFFSET(Y1108,0,COUNTA(Y1108:AV1108)-1,1,-4),"미납")&gt;=3),"장기미납",
IF(AND(V1108="정상",OFFSET(Y1108,0,COUNTA(Y1108:AV1108)-1)&gt;=U1108),"정상",
IF(AND(V1108="정상",OFFSET(Y1108,0,COUNTA(Y1108:AV1108)-1)=0),"정상",
"계약서 미작성")))))</f>
        <v>폐업</v>
      </c>
      <c r="X1108" s="81" t="str">
        <f aca="true">
IF(D1108="폐업","폐업",
IF(AND(V1108="정상",OFFSET(Y1108,0,COUNTA(Y1108:AV1108)-1)="미납"),"미납",
IF(AND(V1108="정상",OFFSET(Y1108,0,COUNTA(Y1108:AV1108)-1)=0),"납부 시작 전",
IF(AND(V1108="정상",OFFSET(Y1108,0,COUNTA(Y1108:AV1108)-1)&gt;=U1108),"정상",
IF(AND(V1108="면제",OFFSET(Y1108,0,COUNTA(Y1108:AV1108)-1)="면제"),"면제",
IF(AND(V1108="면제",OFFSET(Y1108,0,COUNTA(Y1108:AV1108)-1)=0),"면제",
"확인요청"))))))</f>
        <v>폐업</v>
      </c>
      <c r="Y1108" s="94" t="s">
        <v>7</v>
      </c>
      <c r="Z1108" s="95" t="s">
        <v>7</v>
      </c>
      <c r="AA1108" s="95" t="s">
        <v>7</v>
      </c>
      <c r="AB1108" s="95" t="s">
        <v>7</v>
      </c>
      <c r="AC1108" s="95" t="s">
        <v>7</v>
      </c>
      <c r="AD1108" s="95" t="s">
        <v>7</v>
      </c>
      <c r="AE1108" s="95" t="s">
        <v>7</v>
      </c>
      <c r="AF1108" s="95" t="s">
        <v>7</v>
      </c>
      <c r="AG1108" s="95" t="s">
        <v>7</v>
      </c>
      <c r="AH1108" s="95" t="s">
        <v>7</v>
      </c>
      <c r="AI1108" s="95" t="s">
        <v>7</v>
      </c>
      <c r="AJ1108" s="96" t="s">
        <v>7</v>
      </c>
      <c r="AK1108" s="97" t="s">
        <v>7</v>
      </c>
      <c r="AL1108" s="95" t="s">
        <v>7</v>
      </c>
      <c r="AM1108" s="90"/>
      <c r="AN1108" s="90"/>
      <c r="AO1108" s="90"/>
      <c r="AP1108" s="90"/>
      <c r="AQ1108" s="90"/>
      <c r="AR1108" s="90"/>
      <c r="AS1108" s="90"/>
      <c r="AT1108" s="90"/>
      <c r="AU1108" s="90"/>
      <c r="AV1108" s="91"/>
      <c r="AX1108" s="92"/>
    </row>
    <row r="1109" customFormat="false" ht="15.65" hidden="false" customHeight="false" outlineLevel="0" collapsed="false">
      <c r="C1109" s="72" t="n">
        <f aca="false">COUNTIFS($D$6:D1109,"&lt;&gt;"&amp;"")</f>
        <v>1104</v>
      </c>
      <c r="D1109" s="73" t="s">
        <v>12</v>
      </c>
      <c r="E1109" s="76" t="str">
        <f aca="false">
IF($D1109="정상",INDEX(임대자산!$D$3:$R$3000,MATCH($F1109,임대자산!$I$3:$I$3000,0),MATCH(E$3,임대자산!$D$3:$R$3,0)),
IF($D1109="폐업",INDEX(폐업정보!$D$3:$R$3000,MATCH($F1109,폐업정보!$I$3:$I$3000,0),MATCH(E$3,폐업정보!$D$3:$R$3,0)),
"Error"))</f>
        <v>서울</v>
      </c>
      <c r="F110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B1104</v>
      </c>
      <c r="G1109" s="76" t="str">
        <f aca="false">F1109&amp;RANDBETWEEN(0,10)</f>
        <v>B11040</v>
      </c>
      <c r="H1109" s="75" t="n">
        <f aca="false">
IF($D1109="정상",INDEX(임대자산!$D$3:$R$3000,MATCH($F1109,임대자산!$I$3:$I$3000,0),MATCH(H$4,임대자산!$D$3:$R$3,0)),
IF($D1109="폐업",INDEX(폐업정보!$D$3:$R$3000,MATCH($F1109,폐업정보!$I$3:$I$3000,0),MATCH(H$4,폐업정보!$D$3:$R$3,0)),
"Error"))</f>
        <v>44762</v>
      </c>
      <c r="I1109" s="75" t="str">
        <f aca="false">
IF($D1109="정상",INDEX(임대자산!$D$3:$R$3000,MATCH($F1109,임대자산!$I$3:$I$3000,0),MATCH(I$4,임대자산!$D$3:$R$3,0)),
IF($D1109="폐업",INDEX(폐업정보!$D$3:$R$3000,MATCH($F1109,폐업정보!$I$3:$I$3000,0),MATCH(I$4,폐업정보!$D$3:$R$3,0)),
"Error"))</f>
        <v>A1104</v>
      </c>
      <c r="J1109" s="75" t="str">
        <f aca="false">
IF($D1109="정상",INDEX(임대자산!$D$3:$R$3000,MATCH($F1109,임대자산!$I$3:$I$3000,0),MATCH(J$4,임대자산!$D$3:$R$3,0)),
IF($D1109="폐업",INDEX(폐업정보!$D$3:$R$3000,MATCH($F1109,폐업정보!$I$3:$I$3000,0),MATCH(J$4,폐업정보!$D$3:$R$3,0)),
"Error"))</f>
        <v>1121900000</v>
      </c>
      <c r="K1109" s="75" t="str">
        <f aca="false">
IF($D1109="정상",INDEX(임대자산!$D$3:$R$3000,MATCH($F1109,임대자산!$I$3:$I$3000,0),MATCH(K$4,임대자산!$D$3:$R$3,0)),
IF($D1109="폐업",INDEX(폐업정보!$D$3:$R$3000,MATCH($F1109,폐업정보!$I$3:$I$3000,0),MATCH(K$4,폐업정보!$D$3:$R$3,0)),
"Error"))</f>
        <v>C1104</v>
      </c>
      <c r="L1109" s="75" t="str">
        <f aca="false">
IF($D1109="정상",INDEX(임대자산!$D$3:$R$3000,MATCH($F1109,임대자산!$I$3:$I$3000,0),MATCH(L$4,임대자산!$D$3:$R$3,0)),
IF($D1109="폐업",INDEX(폐업정보!$D$3:$R$3000,MATCH($F1109,폐업정보!$I$3:$I$3000,0),MATCH(L$4,폐업정보!$D$3:$R$3,0)),
"Error"))</f>
        <v>D1104</v>
      </c>
      <c r="M1109" s="76" t="s">
        <v>96</v>
      </c>
      <c r="N1109" s="77"/>
      <c r="O1109" s="78" t="s">
        <v>97</v>
      </c>
      <c r="P1109" s="79" t="n">
        <f aca="false">COUNTIFS(임대자산!$I:$I,가맹점정보!F1109,임대자산!$N:$N,가맹점정보!P$4)</f>
        <v>0</v>
      </c>
      <c r="Q1109" s="80" t="n">
        <f aca="false">COUNTIFS(임대자산!$I:$I,가맹점정보!F1109,임대자산!$N:$N,가맹점정보!Q$4)</f>
        <v>0</v>
      </c>
      <c r="R1109" s="81" t="n">
        <f aca="false">COUNTIFS(임대자산!$I:$I,가맹점정보!F1109,임대자산!$N:$N,가맹점정보!R$4)</f>
        <v>1</v>
      </c>
      <c r="S1109" s="82" t="n">
        <v>55000</v>
      </c>
      <c r="T1109" s="83" t="n">
        <v>0</v>
      </c>
      <c r="U1109" s="80" t="n">
        <f aca="false">SUM(S1109:T1109)</f>
        <v>55000</v>
      </c>
      <c r="V1109" s="84" t="s">
        <v>7</v>
      </c>
      <c r="W1109" s="80" t="str">
        <f aca="true">
IF(D1109="폐업","폐업",
IF(V1109="면제","면제",
IF(AND(V1109="정상",COUNTIFS(OFFSET(Y1109,0,COUNTA(Y1109:AV1109)-1,1,-4),"미납")&gt;=3),"장기미납",
IF(AND(V1109="정상",OFFSET(Y1109,0,COUNTA(Y1109:AV1109)-1)&gt;=U1109),"정상",
IF(AND(V1109="정상",OFFSET(Y1109,0,COUNTA(Y1109:AV1109)-1)=0),"정상",
"계약서 미작성")))))</f>
        <v>면제</v>
      </c>
      <c r="X1109" s="81" t="str">
        <f aca="true">
IF(D1109="폐업","폐업",
IF(AND(V1109="정상",OFFSET(Y1109,0,COUNTA(Y1109:AV1109)-1)="미납"),"미납",
IF(AND(V1109="정상",OFFSET(Y1109,0,COUNTA(Y1109:AV1109)-1)=0),"납부 시작 전",
IF(AND(V1109="정상",OFFSET(Y1109,0,COUNTA(Y1109:AV1109)-1)&gt;=U1109),"정상",
IF(AND(V1109="면제",OFFSET(Y1109,0,COUNTA(Y1109:AV1109)-1)="면제"),"면제",
IF(AND(V1109="면제",OFFSET(Y1109,0,COUNTA(Y1109:AV1109)-1)=0),"면제",
"확인요청"))))))</f>
        <v>면제</v>
      </c>
      <c r="Y1109" s="94" t="s">
        <v>7</v>
      </c>
      <c r="Z1109" s="95" t="s">
        <v>7</v>
      </c>
      <c r="AA1109" s="95" t="s">
        <v>7</v>
      </c>
      <c r="AB1109" s="95" t="s">
        <v>7</v>
      </c>
      <c r="AC1109" s="95" t="s">
        <v>7</v>
      </c>
      <c r="AD1109" s="95" t="s">
        <v>7</v>
      </c>
      <c r="AE1109" s="95" t="s">
        <v>7</v>
      </c>
      <c r="AF1109" s="95" t="s">
        <v>7</v>
      </c>
      <c r="AG1109" s="95" t="s">
        <v>7</v>
      </c>
      <c r="AH1109" s="95" t="s">
        <v>7</v>
      </c>
      <c r="AI1109" s="95" t="s">
        <v>7</v>
      </c>
      <c r="AJ1109" s="96" t="s">
        <v>7</v>
      </c>
      <c r="AK1109" s="97" t="s">
        <v>7</v>
      </c>
      <c r="AL1109" s="95" t="s">
        <v>7</v>
      </c>
      <c r="AM1109" s="90"/>
      <c r="AN1109" s="90"/>
      <c r="AO1109" s="90"/>
      <c r="AP1109" s="90"/>
      <c r="AQ1109" s="90"/>
      <c r="AR1109" s="90"/>
      <c r="AS1109" s="90"/>
      <c r="AT1109" s="90"/>
      <c r="AU1109" s="90"/>
      <c r="AV1109" s="91"/>
      <c r="AX1109" s="92"/>
    </row>
    <row r="1110" customFormat="false" ht="15.65" hidden="false" customHeight="false" outlineLevel="0" collapsed="false">
      <c r="C1110" s="72" t="n">
        <f aca="false">COUNTIFS($D$6:D1110,"&lt;&gt;"&amp;"")</f>
        <v>1105</v>
      </c>
      <c r="D1110" s="73" t="s">
        <v>12</v>
      </c>
      <c r="E1110" s="76" t="str">
        <f aca="false">
IF($D1110="정상",INDEX(임대자산!$D$3:$R$3000,MATCH($F1110,임대자산!$I$3:$I$3000,0),MATCH(E$3,임대자산!$D$3:$R$3,0)),
IF($D1110="폐업",INDEX(폐업정보!$D$3:$R$3000,MATCH($F1110,폐업정보!$I$3:$I$3000,0),MATCH(E$3,폐업정보!$D$3:$R$3,0)),
"Error"))</f>
        <v>서울</v>
      </c>
      <c r="F111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B1105</v>
      </c>
      <c r="G1110" s="76" t="str">
        <f aca="false">F1110&amp;RANDBETWEEN(0,10)</f>
        <v>B110510</v>
      </c>
      <c r="H1110" s="75" t="n">
        <f aca="false">
IF($D1110="정상",INDEX(임대자산!$D$3:$R$3000,MATCH($F1110,임대자산!$I$3:$I$3000,0),MATCH(H$4,임대자산!$D$3:$R$3,0)),
IF($D1110="폐업",INDEX(폐업정보!$D$3:$R$3000,MATCH($F1110,폐업정보!$I$3:$I$3000,0),MATCH(H$4,폐업정보!$D$3:$R$3,0)),
"Error"))</f>
        <v>44763</v>
      </c>
      <c r="I1110" s="75" t="str">
        <f aca="false">
IF($D1110="정상",INDEX(임대자산!$D$3:$R$3000,MATCH($F1110,임대자산!$I$3:$I$3000,0),MATCH(I$4,임대자산!$D$3:$R$3,0)),
IF($D1110="폐업",INDEX(폐업정보!$D$3:$R$3000,MATCH($F1110,폐업정보!$I$3:$I$3000,0),MATCH(I$4,폐업정보!$D$3:$R$3,0)),
"Error"))</f>
        <v>A1105</v>
      </c>
      <c r="J1110" s="75" t="str">
        <f aca="false">
IF($D1110="정상",INDEX(임대자산!$D$3:$R$3000,MATCH($F1110,임대자산!$I$3:$I$3000,0),MATCH(J$4,임대자산!$D$3:$R$3,0)),
IF($D1110="폐업",INDEX(폐업정보!$D$3:$R$3000,MATCH($F1110,폐업정보!$I$3:$I$3000,0),MATCH(J$4,폐업정보!$D$3:$R$3,0)),
"Error"))</f>
        <v>3302300000</v>
      </c>
      <c r="K1110" s="75" t="str">
        <f aca="false">
IF($D1110="정상",INDEX(임대자산!$D$3:$R$3000,MATCH($F1110,임대자산!$I$3:$I$3000,0),MATCH(K$4,임대자산!$D$3:$R$3,0)),
IF($D1110="폐업",INDEX(폐업정보!$D$3:$R$3000,MATCH($F1110,폐업정보!$I$3:$I$3000,0),MATCH(K$4,폐업정보!$D$3:$R$3,0)),
"Error"))</f>
        <v>C1105</v>
      </c>
      <c r="L1110" s="75" t="str">
        <f aca="false">
IF($D1110="정상",INDEX(임대자산!$D$3:$R$3000,MATCH($F1110,임대자산!$I$3:$I$3000,0),MATCH(L$4,임대자산!$D$3:$R$3,0)),
IF($D1110="폐업",INDEX(폐업정보!$D$3:$R$3000,MATCH($F1110,폐업정보!$I$3:$I$3000,0),MATCH(L$4,폐업정보!$D$3:$R$3,0)),
"Error"))</f>
        <v>D1105</v>
      </c>
      <c r="M1110" s="76" t="s">
        <v>96</v>
      </c>
      <c r="N1110" s="77"/>
      <c r="O1110" s="78" t="s">
        <v>97</v>
      </c>
      <c r="P1110" s="79" t="n">
        <f aca="false">COUNTIFS(임대자산!$I:$I,가맹점정보!F1110,임대자산!$N:$N,가맹점정보!P$4)</f>
        <v>0</v>
      </c>
      <c r="Q1110" s="80" t="n">
        <f aca="false">COUNTIFS(임대자산!$I:$I,가맹점정보!F1110,임대자산!$N:$N,가맹점정보!Q$4)</f>
        <v>0</v>
      </c>
      <c r="R1110" s="81" t="n">
        <f aca="false">COUNTIFS(임대자산!$I:$I,가맹점정보!F1110,임대자산!$N:$N,가맹점정보!R$4)</f>
        <v>1</v>
      </c>
      <c r="S1110" s="82" t="n">
        <v>88000</v>
      </c>
      <c r="T1110" s="83" t="n">
        <v>0</v>
      </c>
      <c r="U1110" s="80" t="n">
        <f aca="false">SUM(S1110:T1110)</f>
        <v>88000</v>
      </c>
      <c r="V1110" s="84" t="s">
        <v>7</v>
      </c>
      <c r="W1110" s="80" t="str">
        <f aca="true">
IF(D1110="폐업","폐업",
IF(V1110="면제","면제",
IF(AND(V1110="정상",COUNTIFS(OFFSET(Y1110,0,COUNTA(Y1110:AV1110)-1,1,-4),"미납")&gt;=3),"장기미납",
IF(AND(V1110="정상",OFFSET(Y1110,0,COUNTA(Y1110:AV1110)-1)&gt;=U1110),"정상",
IF(AND(V1110="정상",OFFSET(Y1110,0,COUNTA(Y1110:AV1110)-1)=0),"정상",
"계약서 미작성")))))</f>
        <v>면제</v>
      </c>
      <c r="X1110" s="81" t="str">
        <f aca="true">
IF(D1110="폐업","폐업",
IF(AND(V1110="정상",OFFSET(Y1110,0,COUNTA(Y1110:AV1110)-1)="미납"),"미납",
IF(AND(V1110="정상",OFFSET(Y1110,0,COUNTA(Y1110:AV1110)-1)=0),"납부 시작 전",
IF(AND(V1110="정상",OFFSET(Y1110,0,COUNTA(Y1110:AV1110)-1)&gt;=U1110),"정상",
IF(AND(V1110="면제",OFFSET(Y1110,0,COUNTA(Y1110:AV1110)-1)="면제"),"면제",
IF(AND(V1110="면제",OFFSET(Y1110,0,COUNTA(Y1110:AV1110)-1)=0),"면제",
"확인요청"))))))</f>
        <v>면제</v>
      </c>
      <c r="Y1110" s="94" t="s">
        <v>7</v>
      </c>
      <c r="Z1110" s="95" t="s">
        <v>7</v>
      </c>
      <c r="AA1110" s="95" t="s">
        <v>7</v>
      </c>
      <c r="AB1110" s="95" t="s">
        <v>7</v>
      </c>
      <c r="AC1110" s="95" t="s">
        <v>7</v>
      </c>
      <c r="AD1110" s="95" t="s">
        <v>7</v>
      </c>
      <c r="AE1110" s="95" t="s">
        <v>7</v>
      </c>
      <c r="AF1110" s="95" t="s">
        <v>7</v>
      </c>
      <c r="AG1110" s="95" t="s">
        <v>7</v>
      </c>
      <c r="AH1110" s="95" t="s">
        <v>7</v>
      </c>
      <c r="AI1110" s="95" t="s">
        <v>7</v>
      </c>
      <c r="AJ1110" s="96" t="s">
        <v>7</v>
      </c>
      <c r="AK1110" s="97" t="s">
        <v>7</v>
      </c>
      <c r="AL1110" s="95" t="s">
        <v>7</v>
      </c>
      <c r="AM1110" s="90"/>
      <c r="AN1110" s="90"/>
      <c r="AO1110" s="90"/>
      <c r="AP1110" s="90"/>
      <c r="AQ1110" s="90"/>
      <c r="AR1110" s="90"/>
      <c r="AS1110" s="90"/>
      <c r="AT1110" s="90"/>
      <c r="AU1110" s="90"/>
      <c r="AV1110" s="91"/>
      <c r="AX1110" s="92"/>
    </row>
    <row r="1111" customFormat="false" ht="15.65" hidden="false" customHeight="false" outlineLevel="0" collapsed="false">
      <c r="C1111" s="72" t="n">
        <f aca="false">COUNTIFS($D$6:D1111,"&lt;&gt;"&amp;"")</f>
        <v>1106</v>
      </c>
      <c r="D1111" s="73" t="s">
        <v>12</v>
      </c>
      <c r="E1111" s="76" t="str">
        <f aca="false">
IF($D1111="정상",INDEX(임대자산!$D$3:$R$3000,MATCH($F1111,임대자산!$I$3:$I$3000,0),MATCH(E$3,임대자산!$D$3:$R$3,0)),
IF($D1111="폐업",INDEX(폐업정보!$D$3:$R$3000,MATCH($F1111,폐업정보!$I$3:$I$3000,0),MATCH(E$3,폐업정보!$D$3:$R$3,0)),
"Error"))</f>
        <v>경기</v>
      </c>
      <c r="F111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B1106</v>
      </c>
      <c r="G1111" s="76" t="str">
        <f aca="false">F1111&amp;RANDBETWEEN(0,10)</f>
        <v>B11067</v>
      </c>
      <c r="H1111" s="75" t="n">
        <f aca="false">
IF($D1111="정상",INDEX(임대자산!$D$3:$R$3000,MATCH($F1111,임대자산!$I$3:$I$3000,0),MATCH(H$4,임대자산!$D$3:$R$3,0)),
IF($D1111="폐업",INDEX(폐업정보!$D$3:$R$3000,MATCH($F1111,폐업정보!$I$3:$I$3000,0),MATCH(H$4,폐업정보!$D$3:$R$3,0)),
"Error"))</f>
        <v>45400</v>
      </c>
      <c r="I1111" s="75" t="str">
        <f aca="false">
IF($D1111="정상",INDEX(임대자산!$D$3:$R$3000,MATCH($F1111,임대자산!$I$3:$I$3000,0),MATCH(I$4,임대자산!$D$3:$R$3,0)),
IF($D1111="폐업",INDEX(폐업정보!$D$3:$R$3000,MATCH($F1111,폐업정보!$I$3:$I$3000,0),MATCH(I$4,폐업정보!$D$3:$R$3,0)),
"Error"))</f>
        <v>A1106</v>
      </c>
      <c r="J1111" s="75" t="str">
        <f aca="false">
IF($D1111="정상",INDEX(임대자산!$D$3:$R$3000,MATCH($F1111,임대자산!$I$3:$I$3000,0),MATCH(J$4,임대자산!$D$3:$R$3,0)),
IF($D1111="폐업",INDEX(폐업정보!$D$3:$R$3000,MATCH($F1111,폐업정보!$I$3:$I$3000,0),MATCH(J$4,폐업정보!$D$3:$R$3,0)),
"Error"))</f>
        <v>9564300000</v>
      </c>
      <c r="K1111" s="75" t="str">
        <f aca="false">
IF($D1111="정상",INDEX(임대자산!$D$3:$R$3000,MATCH($F1111,임대자산!$I$3:$I$3000,0),MATCH(K$4,임대자산!$D$3:$R$3,0)),
IF($D1111="폐업",INDEX(폐업정보!$D$3:$R$3000,MATCH($F1111,폐업정보!$I$3:$I$3000,0),MATCH(K$4,폐업정보!$D$3:$R$3,0)),
"Error"))</f>
        <v>C1106</v>
      </c>
      <c r="L1111" s="75" t="str">
        <f aca="false">
IF($D1111="정상",INDEX(임대자산!$D$3:$R$3000,MATCH($F1111,임대자산!$I$3:$I$3000,0),MATCH(L$4,임대자산!$D$3:$R$3,0)),
IF($D1111="폐업",INDEX(폐업정보!$D$3:$R$3000,MATCH($F1111,폐업정보!$I$3:$I$3000,0),MATCH(L$4,폐업정보!$D$3:$R$3,0)),
"Error"))</f>
        <v>D1106</v>
      </c>
      <c r="M1111" s="76" t="s">
        <v>96</v>
      </c>
      <c r="N1111" s="77"/>
      <c r="O1111" s="78" t="s">
        <v>97</v>
      </c>
      <c r="P1111" s="79" t="n">
        <f aca="false">COUNTIFS(임대자산!$I:$I,가맹점정보!F1111,임대자산!$N:$N,가맹점정보!P$4)</f>
        <v>0</v>
      </c>
      <c r="Q1111" s="80" t="n">
        <f aca="false">COUNTIFS(임대자산!$I:$I,가맹점정보!F1111,임대자산!$N:$N,가맹점정보!Q$4)</f>
        <v>0</v>
      </c>
      <c r="R1111" s="81" t="n">
        <f aca="false">COUNTIFS(임대자산!$I:$I,가맹점정보!F1111,임대자산!$N:$N,가맹점정보!R$4)</f>
        <v>1</v>
      </c>
      <c r="S1111" s="82" t="n">
        <v>55000</v>
      </c>
      <c r="T1111" s="83" t="n">
        <v>0</v>
      </c>
      <c r="U1111" s="80" t="n">
        <f aca="false">SUM(S1111:T1111)</f>
        <v>55000</v>
      </c>
      <c r="V1111" s="84" t="s">
        <v>7</v>
      </c>
      <c r="W1111" s="80" t="str">
        <f aca="true">
IF(D1111="폐업","폐업",
IF(V1111="면제","면제",
IF(AND(V1111="정상",COUNTIFS(OFFSET(Y1111,0,COUNTA(Y1111:AV1111)-1,1,-4),"미납")&gt;=3),"장기미납",
IF(AND(V1111="정상",OFFSET(Y1111,0,COUNTA(Y1111:AV1111)-1)&gt;=U1111),"정상",
IF(AND(V1111="정상",OFFSET(Y1111,0,COUNTA(Y1111:AV1111)-1)=0),"정상",
"계약서 미작성")))))</f>
        <v>면제</v>
      </c>
      <c r="X1111" s="81" t="str">
        <f aca="true">
IF(D1111="폐업","폐업",
IF(AND(V1111="정상",OFFSET(Y1111,0,COUNTA(Y1111:AV1111)-1)="미납"),"미납",
IF(AND(V1111="정상",OFFSET(Y1111,0,COUNTA(Y1111:AV1111)-1)=0),"납부 시작 전",
IF(AND(V1111="정상",OFFSET(Y1111,0,COUNTA(Y1111:AV1111)-1)&gt;=U1111),"정상",
IF(AND(V1111="면제",OFFSET(Y1111,0,COUNTA(Y1111:AV1111)-1)="면제"),"면제",
IF(AND(V1111="면제",OFFSET(Y1111,0,COUNTA(Y1111:AV1111)-1)=0),"면제",
"확인요청"))))))</f>
        <v>면제</v>
      </c>
      <c r="Y1111" s="94" t="s">
        <v>7</v>
      </c>
      <c r="Z1111" s="95" t="s">
        <v>7</v>
      </c>
      <c r="AA1111" s="95" t="s">
        <v>7</v>
      </c>
      <c r="AB1111" s="95" t="s">
        <v>7</v>
      </c>
      <c r="AC1111" s="95" t="s">
        <v>7</v>
      </c>
      <c r="AD1111" s="95" t="s">
        <v>7</v>
      </c>
      <c r="AE1111" s="95" t="s">
        <v>7</v>
      </c>
      <c r="AF1111" s="95" t="s">
        <v>7</v>
      </c>
      <c r="AG1111" s="95" t="s">
        <v>7</v>
      </c>
      <c r="AH1111" s="95" t="s">
        <v>7</v>
      </c>
      <c r="AI1111" s="95" t="s">
        <v>7</v>
      </c>
      <c r="AJ1111" s="96" t="s">
        <v>7</v>
      </c>
      <c r="AK1111" s="97" t="s">
        <v>7</v>
      </c>
      <c r="AL1111" s="95" t="s">
        <v>7</v>
      </c>
      <c r="AM1111" s="90"/>
      <c r="AN1111" s="90"/>
      <c r="AO1111" s="90"/>
      <c r="AP1111" s="90"/>
      <c r="AQ1111" s="90"/>
      <c r="AR1111" s="90"/>
      <c r="AS1111" s="90"/>
      <c r="AT1111" s="90"/>
      <c r="AU1111" s="90"/>
      <c r="AV1111" s="91"/>
      <c r="AX1111" s="92"/>
    </row>
    <row r="1112" customFormat="false" ht="15.65" hidden="false" customHeight="false" outlineLevel="0" collapsed="false">
      <c r="C1112" s="72" t="n">
        <f aca="false">COUNTIFS($D$6:D1112,"&lt;&gt;"&amp;"")</f>
        <v>1107</v>
      </c>
      <c r="D1112" s="73" t="s">
        <v>12</v>
      </c>
      <c r="E1112" s="76" t="str">
        <f aca="false">
IF($D1112="정상",INDEX(임대자산!$D$3:$R$3000,MATCH($F1112,임대자산!$I$3:$I$3000,0),MATCH(E$3,임대자산!$D$3:$R$3,0)),
IF($D1112="폐업",INDEX(폐업정보!$D$3:$R$3000,MATCH($F1112,폐업정보!$I$3:$I$3000,0),MATCH(E$3,폐업정보!$D$3:$R$3,0)),
"Error"))</f>
        <v>서울</v>
      </c>
      <c r="F111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B1107</v>
      </c>
      <c r="G1112" s="76" t="str">
        <f aca="false">F1112&amp;RANDBETWEEN(0,10)</f>
        <v>B11075</v>
      </c>
      <c r="H1112" s="75" t="n">
        <f aca="false">
IF($D1112="정상",INDEX(임대자산!$D$3:$R$3000,MATCH($F1112,임대자산!$I$3:$I$3000,0),MATCH(H$4,임대자산!$D$3:$R$3,0)),
IF($D1112="폐업",INDEX(폐업정보!$D$3:$R$3000,MATCH($F1112,폐업정보!$I$3:$I$3000,0),MATCH(H$4,폐업정보!$D$3:$R$3,0)),
"Error"))</f>
        <v>45623</v>
      </c>
      <c r="I1112" s="75" t="str">
        <f aca="false">
IF($D1112="정상",INDEX(임대자산!$D$3:$R$3000,MATCH($F1112,임대자산!$I$3:$I$3000,0),MATCH(I$4,임대자산!$D$3:$R$3,0)),
IF($D1112="폐업",INDEX(폐업정보!$D$3:$R$3000,MATCH($F1112,폐업정보!$I$3:$I$3000,0),MATCH(I$4,폐업정보!$D$3:$R$3,0)),
"Error"))</f>
        <v>A1107</v>
      </c>
      <c r="J1112" s="75" t="str">
        <f aca="false">
IF($D1112="정상",INDEX(임대자산!$D$3:$R$3000,MATCH($F1112,임대자산!$I$3:$I$3000,0),MATCH(J$4,임대자산!$D$3:$R$3,0)),
IF($D1112="폐업",INDEX(폐업정보!$D$3:$R$3000,MATCH($F1112,폐업정보!$I$3:$I$3000,0),MATCH(J$4,폐업정보!$D$3:$R$3,0)),
"Error"))</f>
        <v>7000000000</v>
      </c>
      <c r="K1112" s="75" t="str">
        <f aca="false">
IF($D1112="정상",INDEX(임대자산!$D$3:$R$3000,MATCH($F1112,임대자산!$I$3:$I$3000,0),MATCH(K$4,임대자산!$D$3:$R$3,0)),
IF($D1112="폐업",INDEX(폐업정보!$D$3:$R$3000,MATCH($F1112,폐업정보!$I$3:$I$3000,0),MATCH(K$4,폐업정보!$D$3:$R$3,0)),
"Error"))</f>
        <v>C1107</v>
      </c>
      <c r="L1112" s="75" t="str">
        <f aca="false">
IF($D1112="정상",INDEX(임대자산!$D$3:$R$3000,MATCH($F1112,임대자산!$I$3:$I$3000,0),MATCH(L$4,임대자산!$D$3:$R$3,0)),
IF($D1112="폐업",INDEX(폐업정보!$D$3:$R$3000,MATCH($F1112,폐업정보!$I$3:$I$3000,0),MATCH(L$4,폐업정보!$D$3:$R$3,0)),
"Error"))</f>
        <v>D1107</v>
      </c>
      <c r="M1112" s="76" t="s">
        <v>96</v>
      </c>
      <c r="N1112" s="77"/>
      <c r="O1112" s="78" t="s">
        <v>97</v>
      </c>
      <c r="P1112" s="79" t="n">
        <f aca="false">COUNTIFS(임대자산!$I:$I,가맹점정보!F1112,임대자산!$N:$N,가맹점정보!P$4)</f>
        <v>0</v>
      </c>
      <c r="Q1112" s="80" t="n">
        <f aca="false">COUNTIFS(임대자산!$I:$I,가맹점정보!F1112,임대자산!$N:$N,가맹점정보!Q$4)</f>
        <v>0</v>
      </c>
      <c r="R1112" s="81" t="n">
        <f aca="false">COUNTIFS(임대자산!$I:$I,가맹점정보!F1112,임대자산!$N:$N,가맹점정보!R$4)</f>
        <v>1</v>
      </c>
      <c r="S1112" s="82" t="n">
        <v>55000</v>
      </c>
      <c r="T1112" s="83" t="n">
        <v>0</v>
      </c>
      <c r="U1112" s="80" t="n">
        <f aca="false">SUM(S1112:T1112)</f>
        <v>55000</v>
      </c>
      <c r="V1112" s="84" t="s">
        <v>12</v>
      </c>
      <c r="W1112" s="80" t="e">
        <f aca="true">
IF(D1112="폐업","폐업",
IF(V1112="면제","면제",
IF(AND(V1112="정상",COUNTIFS(OFFSET(Y1112,0,COUNTA(Y1112:AV1112)-1,1,-4),"미납")&gt;=3),"장기미납",
IF(AND(V1112="정상",OFFSET(Y1112,0,COUNTA(Y1112:AV1112)-1)&gt;=U1112),"정상",
IF(AND(V1112="정상",OFFSET(Y1112,0,COUNTA(Y1112:AV1112)-1)=0),"정상",
"계약서 미작성")))))</f>
        <v>#VALUE!</v>
      </c>
      <c r="X1112" s="81" t="str">
        <f aca="true">
IF(D1112="폐업","폐업",
IF(AND(V1112="정상",OFFSET(Y1112,0,COUNTA(Y1112:AV1112)-1)="미납"),"미납",
IF(AND(V1112="정상",OFFSET(Y1112,0,COUNTA(Y1112:AV1112)-1)=0),"납부 시작 전",
IF(AND(V1112="정상",OFFSET(Y1112,0,COUNTA(Y1112:AV1112)-1)&gt;=U1112),"정상",
IF(AND(V1112="면제",OFFSET(Y1112,0,COUNTA(Y1112:AV1112)-1)="면제"),"면제",
IF(AND(V1112="면제",OFFSET(Y1112,0,COUNTA(Y1112:AV1112)-1)=0),"면제",
"확인요청"))))))</f>
        <v>정상</v>
      </c>
      <c r="Y1112" s="93" t="n">
        <v>55000</v>
      </c>
      <c r="Z1112" s="90" t="n">
        <v>55000</v>
      </c>
      <c r="AA1112" s="90" t="n">
        <v>55000</v>
      </c>
      <c r="AB1112" s="90" t="n">
        <v>55000</v>
      </c>
      <c r="AC1112" s="90" t="n">
        <v>55000</v>
      </c>
      <c r="AD1112" s="90" t="n">
        <v>55000</v>
      </c>
      <c r="AE1112" s="90" t="n">
        <v>55000</v>
      </c>
      <c r="AF1112" s="90" t="n">
        <v>55000</v>
      </c>
      <c r="AG1112" s="90" t="n">
        <v>55000</v>
      </c>
      <c r="AH1112" s="90" t="n">
        <v>55000</v>
      </c>
      <c r="AI1112" s="90" t="n">
        <v>55000</v>
      </c>
      <c r="AJ1112" s="91" t="n">
        <v>55000</v>
      </c>
      <c r="AK1112" s="89" t="n">
        <v>55000</v>
      </c>
      <c r="AL1112" s="90" t="n">
        <v>55000</v>
      </c>
      <c r="AM1112" s="90"/>
      <c r="AN1112" s="90"/>
      <c r="AO1112" s="90"/>
      <c r="AP1112" s="90"/>
      <c r="AQ1112" s="90"/>
      <c r="AR1112" s="90"/>
      <c r="AS1112" s="90"/>
      <c r="AT1112" s="90"/>
      <c r="AU1112" s="90"/>
      <c r="AV1112" s="91"/>
      <c r="AX1112" s="92"/>
    </row>
    <row r="1113" customFormat="false" ht="15.65" hidden="false" customHeight="false" outlineLevel="0" collapsed="false">
      <c r="C1113" s="72" t="n">
        <f aca="false">COUNTIFS($D$6:D1113,"&lt;&gt;"&amp;"")</f>
        <v>1108</v>
      </c>
      <c r="D1113" s="73" t="s">
        <v>12</v>
      </c>
      <c r="E1113" s="76" t="str">
        <f aca="false">
IF($D1113="정상",INDEX(임대자산!$D$3:$R$3000,MATCH($F1113,임대자산!$I$3:$I$3000,0),MATCH(E$3,임대자산!$D$3:$R$3,0)),
IF($D1113="폐업",INDEX(폐업정보!$D$3:$R$3000,MATCH($F1113,폐업정보!$I$3:$I$3000,0),MATCH(E$3,폐업정보!$D$3:$R$3,0)),
"Error"))</f>
        <v>서울</v>
      </c>
      <c r="F111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B1108</v>
      </c>
      <c r="G1113" s="76" t="str">
        <f aca="false">F1113&amp;RANDBETWEEN(0,10)</f>
        <v>B11086</v>
      </c>
      <c r="H1113" s="75" t="n">
        <f aca="false">
IF($D1113="정상",INDEX(임대자산!$D$3:$R$3000,MATCH($F1113,임대자산!$I$3:$I$3000,0),MATCH(H$4,임대자산!$D$3:$R$3,0)),
IF($D1113="폐업",INDEX(폐업정보!$D$3:$R$3000,MATCH($F1113,폐업정보!$I$3:$I$3000,0),MATCH(H$4,폐업정보!$D$3:$R$3,0)),
"Error"))</f>
        <v>45693</v>
      </c>
      <c r="I1113" s="75" t="str">
        <f aca="false">
IF($D1113="정상",INDEX(임대자산!$D$3:$R$3000,MATCH($F1113,임대자산!$I$3:$I$3000,0),MATCH(I$4,임대자산!$D$3:$R$3,0)),
IF($D1113="폐업",INDEX(폐업정보!$D$3:$R$3000,MATCH($F1113,폐업정보!$I$3:$I$3000,0),MATCH(I$4,폐업정보!$D$3:$R$3,0)),
"Error"))</f>
        <v>A1108</v>
      </c>
      <c r="J1113" s="75" t="str">
        <f aca="false">
IF($D1113="정상",INDEX(임대자산!$D$3:$R$3000,MATCH($F1113,임대자산!$I$3:$I$3000,0),MATCH(J$4,임대자산!$D$3:$R$3,0)),
IF($D1113="폐업",INDEX(폐업정보!$D$3:$R$3000,MATCH($F1113,폐업정보!$I$3:$I$3000,0),MATCH(J$4,폐업정보!$D$3:$R$3,0)),
"Error"))</f>
        <v>9113100000</v>
      </c>
      <c r="K1113" s="75" t="str">
        <f aca="false">
IF($D1113="정상",INDEX(임대자산!$D$3:$R$3000,MATCH($F1113,임대자산!$I$3:$I$3000,0),MATCH(K$4,임대자산!$D$3:$R$3,0)),
IF($D1113="폐업",INDEX(폐업정보!$D$3:$R$3000,MATCH($F1113,폐업정보!$I$3:$I$3000,0),MATCH(K$4,폐업정보!$D$3:$R$3,0)),
"Error"))</f>
        <v>C1108</v>
      </c>
      <c r="L1113" s="75" t="str">
        <f aca="false">
IF($D1113="정상",INDEX(임대자산!$D$3:$R$3000,MATCH($F1113,임대자산!$I$3:$I$3000,0),MATCH(L$4,임대자산!$D$3:$R$3,0)),
IF($D1113="폐업",INDEX(폐업정보!$D$3:$R$3000,MATCH($F1113,폐업정보!$I$3:$I$3000,0),MATCH(L$4,폐업정보!$D$3:$R$3,0)),
"Error"))</f>
        <v>D1108</v>
      </c>
      <c r="M1113" s="76" t="s">
        <v>96</v>
      </c>
      <c r="N1113" s="77"/>
      <c r="O1113" s="78" t="s">
        <v>97</v>
      </c>
      <c r="P1113" s="79" t="n">
        <f aca="false">COUNTIFS(임대자산!$I:$I,가맹점정보!F1113,임대자산!$N:$N,가맹점정보!P$4)</f>
        <v>0</v>
      </c>
      <c r="Q1113" s="80" t="n">
        <f aca="false">COUNTIFS(임대자산!$I:$I,가맹점정보!F1113,임대자산!$N:$N,가맹점정보!Q$4)</f>
        <v>0</v>
      </c>
      <c r="R1113" s="81" t="n">
        <f aca="false">COUNTIFS(임대자산!$I:$I,가맹점정보!F1113,임대자산!$N:$N,가맹점정보!R$4)</f>
        <v>1</v>
      </c>
      <c r="S1113" s="82" t="n">
        <v>55000</v>
      </c>
      <c r="T1113" s="83" t="n">
        <v>0</v>
      </c>
      <c r="U1113" s="80" t="n">
        <f aca="false">SUM(S1113:T1113)</f>
        <v>55000</v>
      </c>
      <c r="V1113" s="84" t="s">
        <v>7</v>
      </c>
      <c r="W1113" s="80" t="str">
        <f aca="true">
IF(D1113="폐업","폐업",
IF(V1113="면제","면제",
IF(AND(V1113="정상",COUNTIFS(OFFSET(Y1113,0,COUNTA(Y1113:AV1113)-1,1,-4),"미납")&gt;=3),"장기미납",
IF(AND(V1113="정상",OFFSET(Y1113,0,COUNTA(Y1113:AV1113)-1)&gt;=U1113),"정상",
IF(AND(V1113="정상",OFFSET(Y1113,0,COUNTA(Y1113:AV1113)-1)=0),"정상",
"계약서 미작성")))))</f>
        <v>면제</v>
      </c>
      <c r="X1113" s="81" t="str">
        <f aca="true">
IF(D1113="폐업","폐업",
IF(AND(V1113="정상",OFFSET(Y1113,0,COUNTA(Y1113:AV1113)-1)="미납"),"미납",
IF(AND(V1113="정상",OFFSET(Y1113,0,COUNTA(Y1113:AV1113)-1)=0),"납부 시작 전",
IF(AND(V1113="정상",OFFSET(Y1113,0,COUNTA(Y1113:AV1113)-1)&gt;=U1113),"정상",
IF(AND(V1113="면제",OFFSET(Y1113,0,COUNTA(Y1113:AV1113)-1)="면제"),"면제",
IF(AND(V1113="면제",OFFSET(Y1113,0,COUNTA(Y1113:AV1113)-1)=0),"면제",
"확인요청"))))))</f>
        <v>면제</v>
      </c>
      <c r="Y1113" s="94" t="s">
        <v>7</v>
      </c>
      <c r="Z1113" s="95" t="s">
        <v>7</v>
      </c>
      <c r="AA1113" s="95" t="s">
        <v>7</v>
      </c>
      <c r="AB1113" s="95" t="s">
        <v>7</v>
      </c>
      <c r="AC1113" s="95" t="s">
        <v>7</v>
      </c>
      <c r="AD1113" s="95" t="s">
        <v>7</v>
      </c>
      <c r="AE1113" s="95" t="s">
        <v>7</v>
      </c>
      <c r="AF1113" s="95" t="s">
        <v>7</v>
      </c>
      <c r="AG1113" s="95" t="s">
        <v>7</v>
      </c>
      <c r="AH1113" s="95" t="s">
        <v>7</v>
      </c>
      <c r="AI1113" s="95" t="s">
        <v>7</v>
      </c>
      <c r="AJ1113" s="96" t="s">
        <v>7</v>
      </c>
      <c r="AK1113" s="97" t="s">
        <v>7</v>
      </c>
      <c r="AL1113" s="95" t="s">
        <v>7</v>
      </c>
      <c r="AM1113" s="90"/>
      <c r="AN1113" s="90"/>
      <c r="AO1113" s="90"/>
      <c r="AP1113" s="90"/>
      <c r="AQ1113" s="90"/>
      <c r="AR1113" s="90"/>
      <c r="AS1113" s="90"/>
      <c r="AT1113" s="90"/>
      <c r="AU1113" s="90"/>
      <c r="AV1113" s="91"/>
      <c r="AX1113" s="92"/>
    </row>
    <row r="1114" customFormat="false" ht="15.65" hidden="false" customHeight="false" outlineLevel="0" collapsed="false">
      <c r="C1114" s="72" t="n">
        <f aca="false">COUNTIFS($D$6:D1114,"&lt;&gt;"&amp;"")</f>
        <v>1109</v>
      </c>
      <c r="D1114" s="73" t="s">
        <v>12</v>
      </c>
      <c r="E1114" s="76" t="str">
        <f aca="false">
IF($D1114="정상",INDEX(임대자산!$D$3:$R$3000,MATCH($F1114,임대자산!$I$3:$I$3000,0),MATCH(E$3,임대자산!$D$3:$R$3,0)),
IF($D1114="폐업",INDEX(폐업정보!$D$3:$R$3000,MATCH($F1114,폐업정보!$I$3:$I$3000,0),MATCH(E$3,폐업정보!$D$3:$R$3,0)),
"Error"))</f>
        <v>서울</v>
      </c>
      <c r="F111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B1109</v>
      </c>
      <c r="G1114" s="76" t="str">
        <f aca="false">F1114&amp;RANDBETWEEN(0,10)</f>
        <v>B11094</v>
      </c>
      <c r="H1114" s="75" t="n">
        <f aca="false">
IF($D1114="정상",INDEX(임대자산!$D$3:$R$3000,MATCH($F1114,임대자산!$I$3:$I$3000,0),MATCH(H$4,임대자산!$D$3:$R$3,0)),
IF($D1114="폐업",INDEX(폐업정보!$D$3:$R$3000,MATCH($F1114,폐업정보!$I$3:$I$3000,0),MATCH(H$4,폐업정보!$D$3:$R$3,0)),
"Error"))</f>
        <v>45727</v>
      </c>
      <c r="I1114" s="75" t="str">
        <f aca="false">
IF($D1114="정상",INDEX(임대자산!$D$3:$R$3000,MATCH($F1114,임대자산!$I$3:$I$3000,0),MATCH(I$4,임대자산!$D$3:$R$3,0)),
IF($D1114="폐업",INDEX(폐업정보!$D$3:$R$3000,MATCH($F1114,폐업정보!$I$3:$I$3000,0),MATCH(I$4,폐업정보!$D$3:$R$3,0)),
"Error"))</f>
        <v>A1109</v>
      </c>
      <c r="J1114" s="75" t="str">
        <f aca="false">
IF($D1114="정상",INDEX(임대자산!$D$3:$R$3000,MATCH($F1114,임대자산!$I$3:$I$3000,0),MATCH(J$4,임대자산!$D$3:$R$3,0)),
IF($D1114="폐업",INDEX(폐업정보!$D$3:$R$3000,MATCH($F1114,폐업정보!$I$3:$I$3000,0),MATCH(J$4,폐업정보!$D$3:$R$3,0)),
"Error"))</f>
        <v>9940600000</v>
      </c>
      <c r="K1114" s="75" t="str">
        <f aca="false">
IF($D1114="정상",INDEX(임대자산!$D$3:$R$3000,MATCH($F1114,임대자산!$I$3:$I$3000,0),MATCH(K$4,임대자산!$D$3:$R$3,0)),
IF($D1114="폐업",INDEX(폐업정보!$D$3:$R$3000,MATCH($F1114,폐업정보!$I$3:$I$3000,0),MATCH(K$4,폐업정보!$D$3:$R$3,0)),
"Error"))</f>
        <v>C1109</v>
      </c>
      <c r="L1114" s="75" t="str">
        <f aca="false">
IF($D1114="정상",INDEX(임대자산!$D$3:$R$3000,MATCH($F1114,임대자산!$I$3:$I$3000,0),MATCH(L$4,임대자산!$D$3:$R$3,0)),
IF($D1114="폐업",INDEX(폐업정보!$D$3:$R$3000,MATCH($F1114,폐업정보!$I$3:$I$3000,0),MATCH(L$4,폐업정보!$D$3:$R$3,0)),
"Error"))</f>
        <v>D1109</v>
      </c>
      <c r="M1114" s="76" t="s">
        <v>96</v>
      </c>
      <c r="N1114" s="77"/>
      <c r="O1114" s="78" t="s">
        <v>97</v>
      </c>
      <c r="P1114" s="79" t="n">
        <f aca="false">COUNTIFS(임대자산!$I:$I,가맹점정보!F1114,임대자산!$N:$N,가맹점정보!P$4)</f>
        <v>0</v>
      </c>
      <c r="Q1114" s="80" t="n">
        <f aca="false">COUNTIFS(임대자산!$I:$I,가맹점정보!F1114,임대자산!$N:$N,가맹점정보!Q$4)</f>
        <v>0</v>
      </c>
      <c r="R1114" s="81" t="n">
        <f aca="false">COUNTIFS(임대자산!$I:$I,가맹점정보!F1114,임대자산!$N:$N,가맹점정보!R$4)</f>
        <v>1</v>
      </c>
      <c r="S1114" s="82" t="n">
        <v>55000</v>
      </c>
      <c r="T1114" s="83" t="n">
        <v>0</v>
      </c>
      <c r="U1114" s="80" t="n">
        <f aca="false">SUM(S1114:T1114)</f>
        <v>55000</v>
      </c>
      <c r="V1114" s="84" t="s">
        <v>7</v>
      </c>
      <c r="W1114" s="80" t="str">
        <f aca="true">
IF(D1114="폐업","폐업",
IF(V1114="면제","면제",
IF(AND(V1114="정상",COUNTIFS(OFFSET(Y1114,0,COUNTA(Y1114:AV1114)-1,1,-4),"미납")&gt;=3),"장기미납",
IF(AND(V1114="정상",OFFSET(Y1114,0,COUNTA(Y1114:AV1114)-1)&gt;=U1114),"정상",
IF(AND(V1114="정상",OFFSET(Y1114,0,COUNTA(Y1114:AV1114)-1)=0),"정상",
"계약서 미작성")))))</f>
        <v>면제</v>
      </c>
      <c r="X1114" s="81" t="str">
        <f aca="true">
IF(D1114="폐업","폐업",
IF(AND(V1114="정상",OFFSET(Y1114,0,COUNTA(Y1114:AV1114)-1)="미납"),"미납",
IF(AND(V1114="정상",OFFSET(Y1114,0,COUNTA(Y1114:AV1114)-1)=0),"납부 시작 전",
IF(AND(V1114="정상",OFFSET(Y1114,0,COUNTA(Y1114:AV1114)-1)&gt;=U1114),"정상",
IF(AND(V1114="면제",OFFSET(Y1114,0,COUNTA(Y1114:AV1114)-1)="면제"),"면제",
IF(AND(V1114="면제",OFFSET(Y1114,0,COUNTA(Y1114:AV1114)-1)=0),"면제",
"확인요청"))))))</f>
        <v>면제</v>
      </c>
      <c r="Y1114" s="94" t="s">
        <v>7</v>
      </c>
      <c r="Z1114" s="95" t="s">
        <v>7</v>
      </c>
      <c r="AA1114" s="95" t="s">
        <v>7</v>
      </c>
      <c r="AB1114" s="95" t="s">
        <v>7</v>
      </c>
      <c r="AC1114" s="95" t="s">
        <v>7</v>
      </c>
      <c r="AD1114" s="95" t="s">
        <v>7</v>
      </c>
      <c r="AE1114" s="95" t="s">
        <v>7</v>
      </c>
      <c r="AF1114" s="95" t="s">
        <v>7</v>
      </c>
      <c r="AG1114" s="95" t="s">
        <v>7</v>
      </c>
      <c r="AH1114" s="95" t="s">
        <v>7</v>
      </c>
      <c r="AI1114" s="95" t="s">
        <v>7</v>
      </c>
      <c r="AJ1114" s="96" t="s">
        <v>7</v>
      </c>
      <c r="AK1114" s="97" t="s">
        <v>7</v>
      </c>
      <c r="AL1114" s="95" t="s">
        <v>7</v>
      </c>
      <c r="AM1114" s="90"/>
      <c r="AN1114" s="90"/>
      <c r="AO1114" s="90"/>
      <c r="AP1114" s="90"/>
      <c r="AQ1114" s="90"/>
      <c r="AR1114" s="90"/>
      <c r="AS1114" s="90"/>
      <c r="AT1114" s="90"/>
      <c r="AU1114" s="90"/>
      <c r="AV1114" s="91"/>
      <c r="AX1114" s="92"/>
    </row>
    <row r="1115" customFormat="false" ht="15.65" hidden="false" customHeight="false" outlineLevel="0" collapsed="false">
      <c r="C1115" s="72" t="n">
        <f aca="false">COUNTIFS($D$6:D1115,"&lt;&gt;"&amp;"")</f>
        <v>1110</v>
      </c>
      <c r="D1115" s="73" t="s">
        <v>12</v>
      </c>
      <c r="E1115" s="76" t="str">
        <f aca="false">
IF($D1115="정상",INDEX(임대자산!$D$3:$R$3000,MATCH($F1115,임대자산!$I$3:$I$3000,0),MATCH(E$3,임대자산!$D$3:$R$3,0)),
IF($D1115="폐업",INDEX(폐업정보!$D$3:$R$3000,MATCH($F1115,폐업정보!$I$3:$I$3000,0),MATCH(E$3,폐업정보!$D$3:$R$3,0)),
"Error"))</f>
        <v>서울</v>
      </c>
      <c r="F111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B1110</v>
      </c>
      <c r="G1115" s="76" t="str">
        <f aca="false">F1115&amp;RANDBETWEEN(0,10)</f>
        <v>B11108</v>
      </c>
      <c r="H1115" s="75" t="n">
        <f aca="false">
IF($D1115="정상",INDEX(임대자산!$D$3:$R$3000,MATCH($F1115,임대자산!$I$3:$I$3000,0),MATCH(H$4,임대자산!$D$3:$R$3,0)),
IF($D1115="폐업",INDEX(폐업정보!$D$3:$R$3000,MATCH($F1115,폐업정보!$I$3:$I$3000,0),MATCH(H$4,폐업정보!$D$3:$R$3,0)),
"Error"))</f>
        <v>45447</v>
      </c>
      <c r="I1115" s="75" t="str">
        <f aca="false">
IF($D1115="정상",INDEX(임대자산!$D$3:$R$3000,MATCH($F1115,임대자산!$I$3:$I$3000,0),MATCH(I$4,임대자산!$D$3:$R$3,0)),
IF($D1115="폐업",INDEX(폐업정보!$D$3:$R$3000,MATCH($F1115,폐업정보!$I$3:$I$3000,0),MATCH(I$4,폐업정보!$D$3:$R$3,0)),
"Error"))</f>
        <v>A1110</v>
      </c>
      <c r="J1115" s="75" t="str">
        <f aca="false">
IF($D1115="정상",INDEX(임대자산!$D$3:$R$3000,MATCH($F1115,임대자산!$I$3:$I$3000,0),MATCH(J$4,임대자산!$D$3:$R$3,0)),
IF($D1115="폐업",INDEX(폐업정보!$D$3:$R$3000,MATCH($F1115,폐업정보!$I$3:$I$3000,0),MATCH(J$4,폐업정보!$D$3:$R$3,0)),
"Error"))</f>
        <v>9871400000</v>
      </c>
      <c r="K1115" s="75" t="str">
        <f aca="false">
IF($D1115="정상",INDEX(임대자산!$D$3:$R$3000,MATCH($F1115,임대자산!$I$3:$I$3000,0),MATCH(K$4,임대자산!$D$3:$R$3,0)),
IF($D1115="폐업",INDEX(폐업정보!$D$3:$R$3000,MATCH($F1115,폐업정보!$I$3:$I$3000,0),MATCH(K$4,폐업정보!$D$3:$R$3,0)),
"Error"))</f>
        <v>C1110</v>
      </c>
      <c r="L1115" s="75" t="str">
        <f aca="false">
IF($D1115="정상",INDEX(임대자산!$D$3:$R$3000,MATCH($F1115,임대자산!$I$3:$I$3000,0),MATCH(L$4,임대자산!$D$3:$R$3,0)),
IF($D1115="폐업",INDEX(폐업정보!$D$3:$R$3000,MATCH($F1115,폐업정보!$I$3:$I$3000,0),MATCH(L$4,폐업정보!$D$3:$R$3,0)),
"Error"))</f>
        <v>D1110</v>
      </c>
      <c r="M1115" s="76" t="s">
        <v>96</v>
      </c>
      <c r="N1115" s="77"/>
      <c r="O1115" s="78" t="s">
        <v>97</v>
      </c>
      <c r="P1115" s="79" t="n">
        <f aca="false">COUNTIFS(임대자산!$I:$I,가맹점정보!F1115,임대자산!$N:$N,가맹점정보!P$4)</f>
        <v>0</v>
      </c>
      <c r="Q1115" s="80" t="n">
        <f aca="false">COUNTIFS(임대자산!$I:$I,가맹점정보!F1115,임대자산!$N:$N,가맹점정보!Q$4)</f>
        <v>0</v>
      </c>
      <c r="R1115" s="81" t="n">
        <f aca="false">COUNTIFS(임대자산!$I:$I,가맹점정보!F1115,임대자산!$N:$N,가맹점정보!R$4)</f>
        <v>1</v>
      </c>
      <c r="S1115" s="82" t="n">
        <v>55000</v>
      </c>
      <c r="T1115" s="83" t="n">
        <v>0</v>
      </c>
      <c r="U1115" s="80" t="n">
        <f aca="false">SUM(S1115:T1115)</f>
        <v>55000</v>
      </c>
      <c r="V1115" s="84" t="s">
        <v>12</v>
      </c>
      <c r="W1115" s="80" t="e">
        <f aca="true">
IF(D1115="폐업","폐업",
IF(V1115="면제","면제",
IF(AND(V1115="정상",COUNTIFS(OFFSET(Y1115,0,COUNTA(Y1115:AV1115)-1,1,-4),"미납")&gt;=3),"장기미납",
IF(AND(V1115="정상",OFFSET(Y1115,0,COUNTA(Y1115:AV1115)-1)&gt;=U1115),"정상",
IF(AND(V1115="정상",OFFSET(Y1115,0,COUNTA(Y1115:AV1115)-1)=0),"정상",
"계약서 미작성")))))</f>
        <v>#VALUE!</v>
      </c>
      <c r="X1115" s="81" t="str">
        <f aca="true">
IF(D1115="폐업","폐업",
IF(AND(V1115="정상",OFFSET(Y1115,0,COUNTA(Y1115:AV1115)-1)="미납"),"미납",
IF(AND(V1115="정상",OFFSET(Y1115,0,COUNTA(Y1115:AV1115)-1)=0),"납부 시작 전",
IF(AND(V1115="정상",OFFSET(Y1115,0,COUNTA(Y1115:AV1115)-1)&gt;=U1115),"정상",
IF(AND(V1115="면제",OFFSET(Y1115,0,COUNTA(Y1115:AV1115)-1)="면제"),"면제",
IF(AND(V1115="면제",OFFSET(Y1115,0,COUNTA(Y1115:AV1115)-1)=0),"면제",
"확인요청"))))))</f>
        <v>정상</v>
      </c>
      <c r="Y1115" s="93" t="n">
        <v>55000</v>
      </c>
      <c r="Z1115" s="90" t="n">
        <v>55000</v>
      </c>
      <c r="AA1115" s="90" t="n">
        <v>55000</v>
      </c>
      <c r="AB1115" s="90" t="n">
        <v>55000</v>
      </c>
      <c r="AC1115" s="90" t="n">
        <v>55000</v>
      </c>
      <c r="AD1115" s="90" t="n">
        <v>55000</v>
      </c>
      <c r="AE1115" s="90" t="n">
        <v>55000</v>
      </c>
      <c r="AF1115" s="90" t="n">
        <v>55000</v>
      </c>
      <c r="AG1115" s="90" t="n">
        <v>55000</v>
      </c>
      <c r="AH1115" s="90" t="n">
        <v>55000</v>
      </c>
      <c r="AI1115" s="90" t="n">
        <v>55000</v>
      </c>
      <c r="AJ1115" s="91" t="n">
        <v>55000</v>
      </c>
      <c r="AK1115" s="89" t="n">
        <v>55000</v>
      </c>
      <c r="AL1115" s="90" t="n">
        <v>55000</v>
      </c>
      <c r="AM1115" s="90"/>
      <c r="AN1115" s="90"/>
      <c r="AO1115" s="90"/>
      <c r="AP1115" s="90"/>
      <c r="AQ1115" s="90"/>
      <c r="AR1115" s="90"/>
      <c r="AS1115" s="90"/>
      <c r="AT1115" s="90"/>
      <c r="AU1115" s="90"/>
      <c r="AV1115" s="91"/>
      <c r="AX1115" s="92"/>
    </row>
    <row r="1116" customFormat="false" ht="15.65" hidden="false" customHeight="false" outlineLevel="0" collapsed="false">
      <c r="C1116" s="72" t="n">
        <f aca="false">COUNTIFS($D$6:D1116,"&lt;&gt;"&amp;"")</f>
        <v>1111</v>
      </c>
      <c r="D1116" s="73" t="s">
        <v>12</v>
      </c>
      <c r="E1116" s="76" t="str">
        <f aca="false">
IF($D1116="정상",INDEX(임대자산!$D$3:$R$3000,MATCH($F1116,임대자산!$I$3:$I$3000,0),MATCH(E$3,임대자산!$D$3:$R$3,0)),
IF($D1116="폐업",INDEX(폐업정보!$D$3:$R$3000,MATCH($F1116,폐업정보!$I$3:$I$3000,0),MATCH(E$3,폐업정보!$D$3:$R$3,0)),
"Error"))</f>
        <v>서울</v>
      </c>
      <c r="F111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B1111</v>
      </c>
      <c r="G1116" s="76" t="str">
        <f aca="false">F1116&amp;RANDBETWEEN(0,10)</f>
        <v>B11117</v>
      </c>
      <c r="H1116" s="75" t="n">
        <f aca="false">
IF($D1116="정상",INDEX(임대자산!$D$3:$R$3000,MATCH($F1116,임대자산!$I$3:$I$3000,0),MATCH(H$4,임대자산!$D$3:$R$3,0)),
IF($D1116="폐업",INDEX(폐업정보!$D$3:$R$3000,MATCH($F1116,폐업정보!$I$3:$I$3000,0),MATCH(H$4,폐업정보!$D$3:$R$3,0)),
"Error"))</f>
        <v>44795</v>
      </c>
      <c r="I1116" s="75" t="str">
        <f aca="false">
IF($D1116="정상",INDEX(임대자산!$D$3:$R$3000,MATCH($F1116,임대자산!$I$3:$I$3000,0),MATCH(I$4,임대자산!$D$3:$R$3,0)),
IF($D1116="폐업",INDEX(폐업정보!$D$3:$R$3000,MATCH($F1116,폐업정보!$I$3:$I$3000,0),MATCH(I$4,폐업정보!$D$3:$R$3,0)),
"Error"))</f>
        <v>A1111</v>
      </c>
      <c r="J1116" s="75" t="str">
        <f aca="false">
IF($D1116="정상",INDEX(임대자산!$D$3:$R$3000,MATCH($F1116,임대자산!$I$3:$I$3000,0),MATCH(J$4,임대자산!$D$3:$R$3,0)),
IF($D1116="폐업",INDEX(폐업정보!$D$3:$R$3000,MATCH($F1116,폐업정보!$I$3:$I$3000,0),MATCH(J$4,폐업정보!$D$3:$R$3,0)),
"Error"))</f>
        <v>9943500000</v>
      </c>
      <c r="K1116" s="75" t="str">
        <f aca="false">
IF($D1116="정상",INDEX(임대자산!$D$3:$R$3000,MATCH($F1116,임대자산!$I$3:$I$3000,0),MATCH(K$4,임대자산!$D$3:$R$3,0)),
IF($D1116="폐업",INDEX(폐업정보!$D$3:$R$3000,MATCH($F1116,폐업정보!$I$3:$I$3000,0),MATCH(K$4,폐업정보!$D$3:$R$3,0)),
"Error"))</f>
        <v>C1111</v>
      </c>
      <c r="L1116" s="75" t="str">
        <f aca="false">
IF($D1116="정상",INDEX(임대자산!$D$3:$R$3000,MATCH($F1116,임대자산!$I$3:$I$3000,0),MATCH(L$4,임대자산!$D$3:$R$3,0)),
IF($D1116="폐업",INDEX(폐업정보!$D$3:$R$3000,MATCH($F1116,폐업정보!$I$3:$I$3000,0),MATCH(L$4,폐업정보!$D$3:$R$3,0)),
"Error"))</f>
        <v>D1111</v>
      </c>
      <c r="M1116" s="76" t="s">
        <v>96</v>
      </c>
      <c r="N1116" s="77"/>
      <c r="O1116" s="78" t="s">
        <v>97</v>
      </c>
      <c r="P1116" s="79" t="n">
        <f aca="false">COUNTIFS(임대자산!$I:$I,가맹점정보!F1116,임대자산!$N:$N,가맹점정보!P$4)</f>
        <v>0</v>
      </c>
      <c r="Q1116" s="80" t="n">
        <f aca="false">COUNTIFS(임대자산!$I:$I,가맹점정보!F1116,임대자산!$N:$N,가맹점정보!Q$4)</f>
        <v>0</v>
      </c>
      <c r="R1116" s="81" t="n">
        <f aca="false">COUNTIFS(임대자산!$I:$I,가맹점정보!F1116,임대자산!$N:$N,가맹점정보!R$4)</f>
        <v>1</v>
      </c>
      <c r="S1116" s="82" t="n">
        <v>88000</v>
      </c>
      <c r="T1116" s="83" t="n">
        <v>0</v>
      </c>
      <c r="U1116" s="80" t="n">
        <f aca="false">SUM(S1116:T1116)</f>
        <v>88000</v>
      </c>
      <c r="V1116" s="84" t="s">
        <v>7</v>
      </c>
      <c r="W1116" s="80" t="str">
        <f aca="true">
IF(D1116="폐업","폐업",
IF(V1116="면제","면제",
IF(AND(V1116="정상",COUNTIFS(OFFSET(Y1116,0,COUNTA(Y1116:AV1116)-1,1,-4),"미납")&gt;=3),"장기미납",
IF(AND(V1116="정상",OFFSET(Y1116,0,COUNTA(Y1116:AV1116)-1)&gt;=U1116),"정상",
IF(AND(V1116="정상",OFFSET(Y1116,0,COUNTA(Y1116:AV1116)-1)=0),"정상",
"계약서 미작성")))))</f>
        <v>면제</v>
      </c>
      <c r="X1116" s="81" t="str">
        <f aca="true">
IF(D1116="폐업","폐업",
IF(AND(V1116="정상",OFFSET(Y1116,0,COUNTA(Y1116:AV1116)-1)="미납"),"미납",
IF(AND(V1116="정상",OFFSET(Y1116,0,COUNTA(Y1116:AV1116)-1)=0),"납부 시작 전",
IF(AND(V1116="정상",OFFSET(Y1116,0,COUNTA(Y1116:AV1116)-1)&gt;=U1116),"정상",
IF(AND(V1116="면제",OFFSET(Y1116,0,COUNTA(Y1116:AV1116)-1)="면제"),"면제",
IF(AND(V1116="면제",OFFSET(Y1116,0,COUNTA(Y1116:AV1116)-1)=0),"면제",
"확인요청"))))))</f>
        <v>면제</v>
      </c>
      <c r="Y1116" s="94" t="s">
        <v>7</v>
      </c>
      <c r="Z1116" s="95" t="s">
        <v>7</v>
      </c>
      <c r="AA1116" s="95" t="s">
        <v>7</v>
      </c>
      <c r="AB1116" s="95" t="s">
        <v>7</v>
      </c>
      <c r="AC1116" s="95" t="s">
        <v>7</v>
      </c>
      <c r="AD1116" s="95" t="s">
        <v>7</v>
      </c>
      <c r="AE1116" s="95" t="s">
        <v>7</v>
      </c>
      <c r="AF1116" s="95" t="s">
        <v>7</v>
      </c>
      <c r="AG1116" s="95" t="s">
        <v>7</v>
      </c>
      <c r="AH1116" s="95" t="s">
        <v>7</v>
      </c>
      <c r="AI1116" s="95" t="s">
        <v>7</v>
      </c>
      <c r="AJ1116" s="96" t="s">
        <v>7</v>
      </c>
      <c r="AK1116" s="97" t="s">
        <v>7</v>
      </c>
      <c r="AL1116" s="95" t="s">
        <v>7</v>
      </c>
      <c r="AM1116" s="90"/>
      <c r="AN1116" s="90"/>
      <c r="AO1116" s="90"/>
      <c r="AP1116" s="90"/>
      <c r="AQ1116" s="90"/>
      <c r="AR1116" s="90"/>
      <c r="AS1116" s="90"/>
      <c r="AT1116" s="90"/>
      <c r="AU1116" s="90"/>
      <c r="AV1116" s="91"/>
      <c r="AX1116" s="92"/>
    </row>
    <row r="1117" customFormat="false" ht="15.65" hidden="false" customHeight="false" outlineLevel="0" collapsed="false">
      <c r="C1117" s="72" t="n">
        <f aca="false">COUNTIFS($D$6:D1117,"&lt;&gt;"&amp;"")</f>
        <v>1112</v>
      </c>
      <c r="D1117" s="73" t="s">
        <v>12</v>
      </c>
      <c r="E1117" s="76" t="str">
        <f aca="false">
IF($D1117="정상",INDEX(임대자산!$D$3:$R$3000,MATCH($F1117,임대자산!$I$3:$I$3000,0),MATCH(E$3,임대자산!$D$3:$R$3,0)),
IF($D1117="폐업",INDEX(폐업정보!$D$3:$R$3000,MATCH($F1117,폐업정보!$I$3:$I$3000,0),MATCH(E$3,폐업정보!$D$3:$R$3,0)),
"Error"))</f>
        <v>서울</v>
      </c>
      <c r="F111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B1112</v>
      </c>
      <c r="G1117" s="76" t="str">
        <f aca="false">F1117&amp;RANDBETWEEN(0,10)</f>
        <v>B11125</v>
      </c>
      <c r="H1117" s="75" t="n">
        <f aca="false">
IF($D1117="정상",INDEX(임대자산!$D$3:$R$3000,MATCH($F1117,임대자산!$I$3:$I$3000,0),MATCH(H$4,임대자산!$D$3:$R$3,0)),
IF($D1117="폐업",INDEX(폐업정보!$D$3:$R$3000,MATCH($F1117,폐업정보!$I$3:$I$3000,0),MATCH(H$4,폐업정보!$D$3:$R$3,0)),
"Error"))</f>
        <v>45904</v>
      </c>
      <c r="I1117" s="75" t="str">
        <f aca="false">
IF($D1117="정상",INDEX(임대자산!$D$3:$R$3000,MATCH($F1117,임대자산!$I$3:$I$3000,0),MATCH(I$4,임대자산!$D$3:$R$3,0)),
IF($D1117="폐업",INDEX(폐업정보!$D$3:$R$3000,MATCH($F1117,폐업정보!$I$3:$I$3000,0),MATCH(I$4,폐업정보!$D$3:$R$3,0)),
"Error"))</f>
        <v>A1112</v>
      </c>
      <c r="J1117" s="75" t="str">
        <f aca="false">
IF($D1117="정상",INDEX(임대자산!$D$3:$R$3000,MATCH($F1117,임대자산!$I$3:$I$3000,0),MATCH(J$4,임대자산!$D$3:$R$3,0)),
IF($D1117="폐업",INDEX(폐업정보!$D$3:$R$3000,MATCH($F1117,폐업정보!$I$3:$I$3000,0),MATCH(J$4,폐업정보!$D$3:$R$3,0)),
"Error"))</f>
        <v>6390400000</v>
      </c>
      <c r="K1117" s="75" t="str">
        <f aca="false">
IF($D1117="정상",INDEX(임대자산!$D$3:$R$3000,MATCH($F1117,임대자산!$I$3:$I$3000,0),MATCH(K$4,임대자산!$D$3:$R$3,0)),
IF($D1117="폐업",INDEX(폐업정보!$D$3:$R$3000,MATCH($F1117,폐업정보!$I$3:$I$3000,0),MATCH(K$4,폐업정보!$D$3:$R$3,0)),
"Error"))</f>
        <v>C1112</v>
      </c>
      <c r="L1117" s="75" t="str">
        <f aca="false">
IF($D1117="정상",INDEX(임대자산!$D$3:$R$3000,MATCH($F1117,임대자산!$I$3:$I$3000,0),MATCH(L$4,임대자산!$D$3:$R$3,0)),
IF($D1117="폐업",INDEX(폐업정보!$D$3:$R$3000,MATCH($F1117,폐업정보!$I$3:$I$3000,0),MATCH(L$4,폐업정보!$D$3:$R$3,0)),
"Error"))</f>
        <v>D1112</v>
      </c>
      <c r="M1117" s="76" t="s">
        <v>96</v>
      </c>
      <c r="N1117" s="77"/>
      <c r="O1117" s="78" t="s">
        <v>97</v>
      </c>
      <c r="P1117" s="79" t="n">
        <f aca="false">COUNTIFS(임대자산!$I:$I,가맹점정보!F1117,임대자산!$N:$N,가맹점정보!P$4)</f>
        <v>0</v>
      </c>
      <c r="Q1117" s="80" t="n">
        <f aca="false">COUNTIFS(임대자산!$I:$I,가맹점정보!F1117,임대자산!$N:$N,가맹점정보!Q$4)</f>
        <v>0</v>
      </c>
      <c r="R1117" s="81" t="n">
        <f aca="false">COUNTIFS(임대자산!$I:$I,가맹점정보!F1117,임대자산!$N:$N,가맹점정보!R$4)</f>
        <v>1</v>
      </c>
      <c r="S1117" s="82" t="n">
        <v>55000</v>
      </c>
      <c r="T1117" s="83" t="n">
        <v>0</v>
      </c>
      <c r="U1117" s="80" t="n">
        <f aca="false">SUM(S1117:T1117)</f>
        <v>55000</v>
      </c>
      <c r="V1117" s="84" t="s">
        <v>12</v>
      </c>
      <c r="W1117" s="80" t="e">
        <f aca="true">
IF(D1117="폐업","폐업",
IF(V1117="면제","면제",
IF(AND(V1117="정상",COUNTIFS(OFFSET(Y1117,0,COUNTA(Y1117:AV1117)-1,1,-4),"미납")&gt;=3),"장기미납",
IF(AND(V1117="정상",OFFSET(Y1117,0,COUNTA(Y1117:AV1117)-1)&gt;=U1117),"정상",
IF(AND(V1117="정상",OFFSET(Y1117,0,COUNTA(Y1117:AV1117)-1)=0),"정상",
"계약서 미작성")))))</f>
        <v>#VALUE!</v>
      </c>
      <c r="X1117" s="81" t="str">
        <f aca="true">
IF(D1117="폐업","폐업",
IF(AND(V1117="정상",OFFSET(Y1117,0,COUNTA(Y1117:AV1117)-1)="미납"),"미납",
IF(AND(V1117="정상",OFFSET(Y1117,0,COUNTA(Y1117:AV1117)-1)=0),"납부 시작 전",
IF(AND(V1117="정상",OFFSET(Y1117,0,COUNTA(Y1117:AV1117)-1)&gt;=U1117),"정상",
IF(AND(V1117="면제",OFFSET(Y1117,0,COUNTA(Y1117:AV1117)-1)="면제"),"면제",
IF(AND(V1117="면제",OFFSET(Y1117,0,COUNTA(Y1117:AV1117)-1)=0),"면제",
"확인요청"))))))</f>
        <v>정상</v>
      </c>
      <c r="Y1117" s="93" t="n">
        <v>55000</v>
      </c>
      <c r="Z1117" s="90" t="n">
        <v>55000</v>
      </c>
      <c r="AA1117" s="90" t="n">
        <v>55000</v>
      </c>
      <c r="AB1117" s="90" t="n">
        <v>55000</v>
      </c>
      <c r="AC1117" s="90" t="n">
        <v>55000</v>
      </c>
      <c r="AD1117" s="90" t="n">
        <v>55000</v>
      </c>
      <c r="AE1117" s="90" t="n">
        <v>55000</v>
      </c>
      <c r="AF1117" s="90" t="n">
        <v>55000</v>
      </c>
      <c r="AG1117" s="90" t="n">
        <v>55000</v>
      </c>
      <c r="AH1117" s="90" t="n">
        <v>55000</v>
      </c>
      <c r="AI1117" s="90" t="n">
        <v>55000</v>
      </c>
      <c r="AJ1117" s="91" t="n">
        <v>55000</v>
      </c>
      <c r="AK1117" s="89" t="n">
        <v>55000</v>
      </c>
      <c r="AL1117" s="90" t="n">
        <v>55000</v>
      </c>
      <c r="AM1117" s="90"/>
      <c r="AN1117" s="90"/>
      <c r="AO1117" s="90"/>
      <c r="AP1117" s="90"/>
      <c r="AQ1117" s="90"/>
      <c r="AR1117" s="90"/>
      <c r="AS1117" s="90"/>
      <c r="AT1117" s="90"/>
      <c r="AU1117" s="90"/>
      <c r="AV1117" s="91"/>
      <c r="AX1117" s="92"/>
    </row>
    <row r="1118" customFormat="false" ht="15.65" hidden="false" customHeight="false" outlineLevel="0" collapsed="false">
      <c r="C1118" s="72" t="n">
        <f aca="false">COUNTIFS($D$6:D1118,"&lt;&gt;"&amp;"")</f>
        <v>1113</v>
      </c>
      <c r="D1118" s="73" t="s">
        <v>12</v>
      </c>
      <c r="E1118" s="76" t="str">
        <f aca="false">
IF($D1118="정상",INDEX(임대자산!$D$3:$R$3000,MATCH($F1118,임대자산!$I$3:$I$3000,0),MATCH(E$3,임대자산!$D$3:$R$3,0)),
IF($D1118="폐업",INDEX(폐업정보!$D$3:$R$3000,MATCH($F1118,폐업정보!$I$3:$I$3000,0),MATCH(E$3,폐업정보!$D$3:$R$3,0)),
"Error"))</f>
        <v>서울</v>
      </c>
      <c r="F111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B1113</v>
      </c>
      <c r="G1118" s="76" t="str">
        <f aca="false">F1118&amp;RANDBETWEEN(0,10)</f>
        <v>B11135</v>
      </c>
      <c r="H1118" s="75" t="n">
        <f aca="false">
IF($D1118="정상",INDEX(임대자산!$D$3:$R$3000,MATCH($F1118,임대자산!$I$3:$I$3000,0),MATCH(H$4,임대자산!$D$3:$R$3,0)),
IF($D1118="폐업",INDEX(폐업정보!$D$3:$R$3000,MATCH($F1118,폐업정보!$I$3:$I$3000,0),MATCH(H$4,폐업정보!$D$3:$R$3,0)),
"Error"))</f>
        <v>45968</v>
      </c>
      <c r="I1118" s="75" t="str">
        <f aca="false">
IF($D1118="정상",INDEX(임대자산!$D$3:$R$3000,MATCH($F1118,임대자산!$I$3:$I$3000,0),MATCH(I$4,임대자산!$D$3:$R$3,0)),
IF($D1118="폐업",INDEX(폐업정보!$D$3:$R$3000,MATCH($F1118,폐업정보!$I$3:$I$3000,0),MATCH(I$4,폐업정보!$D$3:$R$3,0)),
"Error"))</f>
        <v>A1113</v>
      </c>
      <c r="J1118" s="75" t="str">
        <f aca="false">
IF($D1118="정상",INDEX(임대자산!$D$3:$R$3000,MATCH($F1118,임대자산!$I$3:$I$3000,0),MATCH(J$4,임대자산!$D$3:$R$3,0)),
IF($D1118="폐업",INDEX(폐업정보!$D$3:$R$3000,MATCH($F1118,폐업정보!$I$3:$I$3000,0),MATCH(J$4,폐업정보!$D$3:$R$3,0)),
"Error"))</f>
        <v>6181300000</v>
      </c>
      <c r="K1118" s="75" t="str">
        <f aca="false">
IF($D1118="정상",INDEX(임대자산!$D$3:$R$3000,MATCH($F1118,임대자산!$I$3:$I$3000,0),MATCH(K$4,임대자산!$D$3:$R$3,0)),
IF($D1118="폐업",INDEX(폐업정보!$D$3:$R$3000,MATCH($F1118,폐업정보!$I$3:$I$3000,0),MATCH(K$4,폐업정보!$D$3:$R$3,0)),
"Error"))</f>
        <v>C1113</v>
      </c>
      <c r="L1118" s="75" t="str">
        <f aca="false">
IF($D1118="정상",INDEX(임대자산!$D$3:$R$3000,MATCH($F1118,임대자산!$I$3:$I$3000,0),MATCH(L$4,임대자산!$D$3:$R$3,0)),
IF($D1118="폐업",INDEX(폐업정보!$D$3:$R$3000,MATCH($F1118,폐업정보!$I$3:$I$3000,0),MATCH(L$4,폐업정보!$D$3:$R$3,0)),
"Error"))</f>
        <v>D1113</v>
      </c>
      <c r="M1118" s="76" t="s">
        <v>96</v>
      </c>
      <c r="N1118" s="77"/>
      <c r="O1118" s="78" t="s">
        <v>97</v>
      </c>
      <c r="P1118" s="79" t="n">
        <f aca="false">COUNTIFS(임대자산!$I:$I,가맹점정보!F1118,임대자산!$N:$N,가맹점정보!P$4)</f>
        <v>0</v>
      </c>
      <c r="Q1118" s="80" t="n">
        <f aca="false">COUNTIFS(임대자산!$I:$I,가맹점정보!F1118,임대자산!$N:$N,가맹점정보!Q$4)</f>
        <v>0</v>
      </c>
      <c r="R1118" s="81" t="n">
        <f aca="false">COUNTIFS(임대자산!$I:$I,가맹점정보!F1118,임대자산!$N:$N,가맹점정보!R$4)</f>
        <v>1</v>
      </c>
      <c r="S1118" s="82" t="n">
        <v>88000</v>
      </c>
      <c r="T1118" s="83" t="n">
        <v>0</v>
      </c>
      <c r="U1118" s="80" t="n">
        <f aca="false">SUM(S1118:T1118)</f>
        <v>88000</v>
      </c>
      <c r="V1118" s="84" t="s">
        <v>7</v>
      </c>
      <c r="W1118" s="80" t="str">
        <f aca="true">
IF(D1118="폐업","폐업",
IF(V1118="면제","면제",
IF(AND(V1118="정상",COUNTIFS(OFFSET(Y1118,0,COUNTA(Y1118:AV1118)-1,1,-4),"미납")&gt;=3),"장기미납",
IF(AND(V1118="정상",OFFSET(Y1118,0,COUNTA(Y1118:AV1118)-1)&gt;=U1118),"정상",
IF(AND(V1118="정상",OFFSET(Y1118,0,COUNTA(Y1118:AV1118)-1)=0),"정상",
"계약서 미작성")))))</f>
        <v>면제</v>
      </c>
      <c r="X1118" s="81" t="str">
        <f aca="true">
IF(D1118="폐업","폐업",
IF(AND(V1118="정상",OFFSET(Y1118,0,COUNTA(Y1118:AV1118)-1)="미납"),"미납",
IF(AND(V1118="정상",OFFSET(Y1118,0,COUNTA(Y1118:AV1118)-1)=0),"납부 시작 전",
IF(AND(V1118="정상",OFFSET(Y1118,0,COUNTA(Y1118:AV1118)-1)&gt;=U1118),"정상",
IF(AND(V1118="면제",OFFSET(Y1118,0,COUNTA(Y1118:AV1118)-1)="면제"),"면제",
IF(AND(V1118="면제",OFFSET(Y1118,0,COUNTA(Y1118:AV1118)-1)=0),"면제",
"확인요청"))))))</f>
        <v>면제</v>
      </c>
      <c r="Y1118" s="94" t="s">
        <v>7</v>
      </c>
      <c r="Z1118" s="95" t="s">
        <v>7</v>
      </c>
      <c r="AA1118" s="95" t="s">
        <v>7</v>
      </c>
      <c r="AB1118" s="95" t="s">
        <v>7</v>
      </c>
      <c r="AC1118" s="95" t="s">
        <v>7</v>
      </c>
      <c r="AD1118" s="95" t="s">
        <v>7</v>
      </c>
      <c r="AE1118" s="95" t="s">
        <v>7</v>
      </c>
      <c r="AF1118" s="95" t="s">
        <v>7</v>
      </c>
      <c r="AG1118" s="95" t="s">
        <v>7</v>
      </c>
      <c r="AH1118" s="95" t="s">
        <v>7</v>
      </c>
      <c r="AI1118" s="95" t="s">
        <v>7</v>
      </c>
      <c r="AJ1118" s="96" t="s">
        <v>7</v>
      </c>
      <c r="AK1118" s="97" t="s">
        <v>7</v>
      </c>
      <c r="AL1118" s="95" t="s">
        <v>7</v>
      </c>
      <c r="AM1118" s="90"/>
      <c r="AN1118" s="90"/>
      <c r="AO1118" s="90"/>
      <c r="AP1118" s="90"/>
      <c r="AQ1118" s="90"/>
      <c r="AR1118" s="90"/>
      <c r="AS1118" s="90"/>
      <c r="AT1118" s="90"/>
      <c r="AU1118" s="90"/>
      <c r="AV1118" s="91"/>
      <c r="AX1118" s="92"/>
    </row>
    <row r="1119" customFormat="false" ht="15.65" hidden="false" customHeight="false" outlineLevel="0" collapsed="false">
      <c r="C1119" s="72" t="n">
        <f aca="false">COUNTIFS($D$6:D1119,"&lt;&gt;"&amp;"")</f>
        <v>1114</v>
      </c>
      <c r="D1119" s="73" t="s">
        <v>12</v>
      </c>
      <c r="E1119" s="76" t="str">
        <f aca="false">
IF($D1119="정상",INDEX(임대자산!$D$3:$R$3000,MATCH($F1119,임대자산!$I$3:$I$3000,0),MATCH(E$3,임대자산!$D$3:$R$3,0)),
IF($D1119="폐업",INDEX(폐업정보!$D$3:$R$3000,MATCH($F1119,폐업정보!$I$3:$I$3000,0),MATCH(E$3,폐업정보!$D$3:$R$3,0)),
"Error"))</f>
        <v>서울</v>
      </c>
      <c r="F111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B1114</v>
      </c>
      <c r="G1119" s="76" t="str">
        <f aca="false">F1119&amp;RANDBETWEEN(0,10)</f>
        <v>B11149</v>
      </c>
      <c r="H1119" s="75" t="n">
        <f aca="false">
IF($D1119="정상",INDEX(임대자산!$D$3:$R$3000,MATCH($F1119,임대자산!$I$3:$I$3000,0),MATCH(H$4,임대자산!$D$3:$R$3,0)),
IF($D1119="폐업",INDEX(폐업정보!$D$3:$R$3000,MATCH($F1119,폐업정보!$I$3:$I$3000,0),MATCH(H$4,폐업정보!$D$3:$R$3,0)),
"Error"))</f>
        <v>45797</v>
      </c>
      <c r="I1119" s="75" t="str">
        <f aca="false">
IF($D1119="정상",INDEX(임대자산!$D$3:$R$3000,MATCH($F1119,임대자산!$I$3:$I$3000,0),MATCH(I$4,임대자산!$D$3:$R$3,0)),
IF($D1119="폐업",INDEX(폐업정보!$D$3:$R$3000,MATCH($F1119,폐업정보!$I$3:$I$3000,0),MATCH(I$4,폐업정보!$D$3:$R$3,0)),
"Error"))</f>
        <v>A1114</v>
      </c>
      <c r="J1119" s="75" t="str">
        <f aca="false">
IF($D1119="정상",INDEX(임대자산!$D$3:$R$3000,MATCH($F1119,임대자산!$I$3:$I$3000,0),MATCH(J$4,임대자산!$D$3:$R$3,0)),
IF($D1119="폐업",INDEX(폐업정보!$D$3:$R$3000,MATCH($F1119,폐업정보!$I$3:$I$3000,0),MATCH(J$4,폐업정보!$D$3:$R$3,0)),
"Error"))</f>
        <v>3339300000</v>
      </c>
      <c r="K1119" s="75" t="str">
        <f aca="false">
IF($D1119="정상",INDEX(임대자산!$D$3:$R$3000,MATCH($F1119,임대자산!$I$3:$I$3000,0),MATCH(K$4,임대자산!$D$3:$R$3,0)),
IF($D1119="폐업",INDEX(폐업정보!$D$3:$R$3000,MATCH($F1119,폐업정보!$I$3:$I$3000,0),MATCH(K$4,폐업정보!$D$3:$R$3,0)),
"Error"))</f>
        <v>C1114</v>
      </c>
      <c r="L1119" s="75" t="str">
        <f aca="false">
IF($D1119="정상",INDEX(임대자산!$D$3:$R$3000,MATCH($F1119,임대자산!$I$3:$I$3000,0),MATCH(L$4,임대자산!$D$3:$R$3,0)),
IF($D1119="폐업",INDEX(폐업정보!$D$3:$R$3000,MATCH($F1119,폐업정보!$I$3:$I$3000,0),MATCH(L$4,폐업정보!$D$3:$R$3,0)),
"Error"))</f>
        <v>D1114</v>
      </c>
      <c r="M1119" s="76" t="s">
        <v>96</v>
      </c>
      <c r="N1119" s="77"/>
      <c r="O1119" s="78" t="s">
        <v>97</v>
      </c>
      <c r="P1119" s="79" t="n">
        <f aca="false">COUNTIFS(임대자산!$I:$I,가맹점정보!F1119,임대자산!$N:$N,가맹점정보!P$4)</f>
        <v>0</v>
      </c>
      <c r="Q1119" s="80" t="n">
        <f aca="false">COUNTIFS(임대자산!$I:$I,가맹점정보!F1119,임대자산!$N:$N,가맹점정보!Q$4)</f>
        <v>0</v>
      </c>
      <c r="R1119" s="81" t="n">
        <f aca="false">COUNTIFS(임대자산!$I:$I,가맹점정보!F1119,임대자산!$N:$N,가맹점정보!R$4)</f>
        <v>1</v>
      </c>
      <c r="S1119" s="82" t="n">
        <v>88000</v>
      </c>
      <c r="T1119" s="83" t="n">
        <v>0</v>
      </c>
      <c r="U1119" s="80" t="n">
        <f aca="false">SUM(S1119:T1119)</f>
        <v>88000</v>
      </c>
      <c r="V1119" s="84" t="s">
        <v>7</v>
      </c>
      <c r="W1119" s="80" t="str">
        <f aca="true">
IF(D1119="폐업","폐업",
IF(V1119="면제","면제",
IF(AND(V1119="정상",COUNTIFS(OFFSET(Y1119,0,COUNTA(Y1119:AV1119)-1,1,-4),"미납")&gt;=3),"장기미납",
IF(AND(V1119="정상",OFFSET(Y1119,0,COUNTA(Y1119:AV1119)-1)&gt;=U1119),"정상",
IF(AND(V1119="정상",OFFSET(Y1119,0,COUNTA(Y1119:AV1119)-1)=0),"정상",
"계약서 미작성")))))</f>
        <v>면제</v>
      </c>
      <c r="X1119" s="81" t="str">
        <f aca="true">
IF(D1119="폐업","폐업",
IF(AND(V1119="정상",OFFSET(Y1119,0,COUNTA(Y1119:AV1119)-1)="미납"),"미납",
IF(AND(V1119="정상",OFFSET(Y1119,0,COUNTA(Y1119:AV1119)-1)=0),"납부 시작 전",
IF(AND(V1119="정상",OFFSET(Y1119,0,COUNTA(Y1119:AV1119)-1)&gt;=U1119),"정상",
IF(AND(V1119="면제",OFFSET(Y1119,0,COUNTA(Y1119:AV1119)-1)="면제"),"면제",
IF(AND(V1119="면제",OFFSET(Y1119,0,COUNTA(Y1119:AV1119)-1)=0),"면제",
"확인요청"))))))</f>
        <v>면제</v>
      </c>
      <c r="Y1119" s="94" t="s">
        <v>7</v>
      </c>
      <c r="Z1119" s="95" t="s">
        <v>7</v>
      </c>
      <c r="AA1119" s="95" t="s">
        <v>7</v>
      </c>
      <c r="AB1119" s="95" t="s">
        <v>7</v>
      </c>
      <c r="AC1119" s="95" t="s">
        <v>7</v>
      </c>
      <c r="AD1119" s="95" t="s">
        <v>7</v>
      </c>
      <c r="AE1119" s="95" t="s">
        <v>7</v>
      </c>
      <c r="AF1119" s="95" t="s">
        <v>7</v>
      </c>
      <c r="AG1119" s="95" t="s">
        <v>7</v>
      </c>
      <c r="AH1119" s="95" t="s">
        <v>7</v>
      </c>
      <c r="AI1119" s="95" t="s">
        <v>7</v>
      </c>
      <c r="AJ1119" s="96" t="s">
        <v>7</v>
      </c>
      <c r="AK1119" s="97" t="s">
        <v>7</v>
      </c>
      <c r="AL1119" s="95" t="s">
        <v>7</v>
      </c>
      <c r="AM1119" s="90"/>
      <c r="AN1119" s="90"/>
      <c r="AO1119" s="90"/>
      <c r="AP1119" s="90"/>
      <c r="AQ1119" s="90"/>
      <c r="AR1119" s="90"/>
      <c r="AS1119" s="90"/>
      <c r="AT1119" s="90"/>
      <c r="AU1119" s="90"/>
      <c r="AV1119" s="91"/>
      <c r="AX1119" s="92"/>
    </row>
    <row r="1120" customFormat="false" ht="15.65" hidden="false" customHeight="false" outlineLevel="0" collapsed="false">
      <c r="C1120" s="72" t="n">
        <f aca="false">COUNTIFS($D$6:D1120,"&lt;&gt;"&amp;"")</f>
        <v>1115</v>
      </c>
      <c r="D1120" s="73" t="s">
        <v>12</v>
      </c>
      <c r="E1120" s="76" t="str">
        <f aca="false">
IF($D1120="정상",INDEX(임대자산!$D$3:$R$3000,MATCH($F1120,임대자산!$I$3:$I$3000,0),MATCH(E$3,임대자산!$D$3:$R$3,0)),
IF($D1120="폐업",INDEX(폐업정보!$D$3:$R$3000,MATCH($F1120,폐업정보!$I$3:$I$3000,0),MATCH(E$3,폐업정보!$D$3:$R$3,0)),
"Error"))</f>
        <v>서울</v>
      </c>
      <c r="F112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B1115</v>
      </c>
      <c r="G1120" s="76" t="str">
        <f aca="false">F1120&amp;RANDBETWEEN(0,10)</f>
        <v>B11157</v>
      </c>
      <c r="H1120" s="75" t="n">
        <f aca="false">
IF($D1120="정상",INDEX(임대자산!$D$3:$R$3000,MATCH($F1120,임대자산!$I$3:$I$3000,0),MATCH(H$4,임대자산!$D$3:$R$3,0)),
IF($D1120="폐업",INDEX(폐업정보!$D$3:$R$3000,MATCH($F1120,폐업정보!$I$3:$I$3000,0),MATCH(H$4,폐업정보!$D$3:$R$3,0)),
"Error"))</f>
        <v>44769</v>
      </c>
      <c r="I1120" s="75" t="str">
        <f aca="false">
IF($D1120="정상",INDEX(임대자산!$D$3:$R$3000,MATCH($F1120,임대자산!$I$3:$I$3000,0),MATCH(I$4,임대자산!$D$3:$R$3,0)),
IF($D1120="폐업",INDEX(폐업정보!$D$3:$R$3000,MATCH($F1120,폐업정보!$I$3:$I$3000,0),MATCH(I$4,폐업정보!$D$3:$R$3,0)),
"Error"))</f>
        <v>A1115</v>
      </c>
      <c r="J1120" s="75" t="str">
        <f aca="false">
IF($D1120="정상",INDEX(임대자산!$D$3:$R$3000,MATCH($F1120,임대자산!$I$3:$I$3000,0),MATCH(J$4,임대자산!$D$3:$R$3,0)),
IF($D1120="폐업",INDEX(폐업정보!$D$3:$R$3000,MATCH($F1120,폐업정보!$I$3:$I$3000,0),MATCH(J$4,폐업정보!$D$3:$R$3,0)),
"Error"))</f>
        <v>6372500000</v>
      </c>
      <c r="K1120" s="75" t="str">
        <f aca="false">
IF($D1120="정상",INDEX(임대자산!$D$3:$R$3000,MATCH($F1120,임대자산!$I$3:$I$3000,0),MATCH(K$4,임대자산!$D$3:$R$3,0)),
IF($D1120="폐업",INDEX(폐업정보!$D$3:$R$3000,MATCH($F1120,폐업정보!$I$3:$I$3000,0),MATCH(K$4,폐업정보!$D$3:$R$3,0)),
"Error"))</f>
        <v>C1115</v>
      </c>
      <c r="L1120" s="75" t="str">
        <f aca="false">
IF($D1120="정상",INDEX(임대자산!$D$3:$R$3000,MATCH($F1120,임대자산!$I$3:$I$3000,0),MATCH(L$4,임대자산!$D$3:$R$3,0)),
IF($D1120="폐업",INDEX(폐업정보!$D$3:$R$3000,MATCH($F1120,폐업정보!$I$3:$I$3000,0),MATCH(L$4,폐업정보!$D$3:$R$3,0)),
"Error"))</f>
        <v>D1115</v>
      </c>
      <c r="M1120" s="76" t="s">
        <v>96</v>
      </c>
      <c r="N1120" s="77"/>
      <c r="O1120" s="78" t="s">
        <v>97</v>
      </c>
      <c r="P1120" s="79" t="n">
        <f aca="false">COUNTIFS(임대자산!$I:$I,가맹점정보!F1120,임대자산!$N:$N,가맹점정보!P$4)</f>
        <v>0</v>
      </c>
      <c r="Q1120" s="80" t="n">
        <f aca="false">COUNTIFS(임대자산!$I:$I,가맹점정보!F1120,임대자산!$N:$N,가맹점정보!Q$4)</f>
        <v>0</v>
      </c>
      <c r="R1120" s="81" t="n">
        <f aca="false">COUNTIFS(임대자산!$I:$I,가맹점정보!F1120,임대자산!$N:$N,가맹점정보!R$4)</f>
        <v>1</v>
      </c>
      <c r="S1120" s="82" t="n">
        <v>55000</v>
      </c>
      <c r="T1120" s="83" t="n">
        <v>0</v>
      </c>
      <c r="U1120" s="80" t="n">
        <f aca="false">SUM(S1120:T1120)</f>
        <v>55000</v>
      </c>
      <c r="V1120" s="84" t="s">
        <v>7</v>
      </c>
      <c r="W1120" s="80" t="str">
        <f aca="true">
IF(D1120="폐업","폐업",
IF(V1120="면제","면제",
IF(AND(V1120="정상",COUNTIFS(OFFSET(Y1120,0,COUNTA(Y1120:AV1120)-1,1,-4),"미납")&gt;=3),"장기미납",
IF(AND(V1120="정상",OFFSET(Y1120,0,COUNTA(Y1120:AV1120)-1)&gt;=U1120),"정상",
IF(AND(V1120="정상",OFFSET(Y1120,0,COUNTA(Y1120:AV1120)-1)=0),"정상",
"계약서 미작성")))))</f>
        <v>면제</v>
      </c>
      <c r="X1120" s="81" t="str">
        <f aca="true">
IF(D1120="폐업","폐업",
IF(AND(V1120="정상",OFFSET(Y1120,0,COUNTA(Y1120:AV1120)-1)="미납"),"미납",
IF(AND(V1120="정상",OFFSET(Y1120,0,COUNTA(Y1120:AV1120)-1)=0),"납부 시작 전",
IF(AND(V1120="정상",OFFSET(Y1120,0,COUNTA(Y1120:AV1120)-1)&gt;=U1120),"정상",
IF(AND(V1120="면제",OFFSET(Y1120,0,COUNTA(Y1120:AV1120)-1)="면제"),"면제",
IF(AND(V1120="면제",OFFSET(Y1120,0,COUNTA(Y1120:AV1120)-1)=0),"면제",
"확인요청"))))))</f>
        <v>면제</v>
      </c>
      <c r="Y1120" s="94" t="s">
        <v>7</v>
      </c>
      <c r="Z1120" s="95" t="s">
        <v>7</v>
      </c>
      <c r="AA1120" s="95" t="s">
        <v>7</v>
      </c>
      <c r="AB1120" s="95" t="s">
        <v>7</v>
      </c>
      <c r="AC1120" s="95" t="s">
        <v>7</v>
      </c>
      <c r="AD1120" s="95" t="s">
        <v>7</v>
      </c>
      <c r="AE1120" s="95" t="s">
        <v>7</v>
      </c>
      <c r="AF1120" s="95" t="s">
        <v>7</v>
      </c>
      <c r="AG1120" s="95" t="s">
        <v>7</v>
      </c>
      <c r="AH1120" s="95" t="s">
        <v>7</v>
      </c>
      <c r="AI1120" s="95" t="s">
        <v>7</v>
      </c>
      <c r="AJ1120" s="96" t="s">
        <v>7</v>
      </c>
      <c r="AK1120" s="97" t="s">
        <v>7</v>
      </c>
      <c r="AL1120" s="95" t="s">
        <v>7</v>
      </c>
      <c r="AM1120" s="90"/>
      <c r="AN1120" s="90"/>
      <c r="AO1120" s="90"/>
      <c r="AP1120" s="90"/>
      <c r="AQ1120" s="90"/>
      <c r="AR1120" s="90"/>
      <c r="AS1120" s="90"/>
      <c r="AT1120" s="90"/>
      <c r="AU1120" s="90"/>
      <c r="AV1120" s="91"/>
      <c r="AX1120" s="92"/>
    </row>
    <row r="1121" customFormat="false" ht="15.65" hidden="false" customHeight="false" outlineLevel="0" collapsed="false">
      <c r="C1121" s="72" t="n">
        <f aca="false">COUNTIFS($D$6:D1121,"&lt;&gt;"&amp;"")</f>
        <v>1116</v>
      </c>
      <c r="D1121" s="73" t="s">
        <v>12</v>
      </c>
      <c r="E1121" s="76" t="str">
        <f aca="false">
IF($D1121="정상",INDEX(임대자산!$D$3:$R$3000,MATCH($F1121,임대자산!$I$3:$I$3000,0),MATCH(E$3,임대자산!$D$3:$R$3,0)),
IF($D1121="폐업",INDEX(폐업정보!$D$3:$R$3000,MATCH($F1121,폐업정보!$I$3:$I$3000,0),MATCH(E$3,폐업정보!$D$3:$R$3,0)),
"Error"))</f>
        <v>서울</v>
      </c>
      <c r="F112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B1116</v>
      </c>
      <c r="G1121" s="76" t="str">
        <f aca="false">F1121&amp;RANDBETWEEN(0,10)</f>
        <v>B11164</v>
      </c>
      <c r="H1121" s="75" t="n">
        <f aca="false">
IF($D1121="정상",INDEX(임대자산!$D$3:$R$3000,MATCH($F1121,임대자산!$I$3:$I$3000,0),MATCH(H$4,임대자산!$D$3:$R$3,0)),
IF($D1121="폐업",INDEX(폐업정보!$D$3:$R$3000,MATCH($F1121,폐업정보!$I$3:$I$3000,0),MATCH(H$4,폐업정보!$D$3:$R$3,0)),
"Error"))</f>
        <v>45849</v>
      </c>
      <c r="I1121" s="75" t="str">
        <f aca="false">
IF($D1121="정상",INDEX(임대자산!$D$3:$R$3000,MATCH($F1121,임대자산!$I$3:$I$3000,0),MATCH(I$4,임대자산!$D$3:$R$3,0)),
IF($D1121="폐업",INDEX(폐업정보!$D$3:$R$3000,MATCH($F1121,폐업정보!$I$3:$I$3000,0),MATCH(I$4,폐업정보!$D$3:$R$3,0)),
"Error"))</f>
        <v>A1116</v>
      </c>
      <c r="J1121" s="75" t="str">
        <f aca="false">
IF($D1121="정상",INDEX(임대자산!$D$3:$R$3000,MATCH($F1121,임대자산!$I$3:$I$3000,0),MATCH(J$4,임대자산!$D$3:$R$3,0)),
IF($D1121="폐업",INDEX(폐업정보!$D$3:$R$3000,MATCH($F1121,폐업정보!$I$3:$I$3000,0),MATCH(J$4,폐업정보!$D$3:$R$3,0)),
"Error"))</f>
        <v>4758400000</v>
      </c>
      <c r="K1121" s="75" t="str">
        <f aca="false">
IF($D1121="정상",INDEX(임대자산!$D$3:$R$3000,MATCH($F1121,임대자산!$I$3:$I$3000,0),MATCH(K$4,임대자산!$D$3:$R$3,0)),
IF($D1121="폐업",INDEX(폐업정보!$D$3:$R$3000,MATCH($F1121,폐업정보!$I$3:$I$3000,0),MATCH(K$4,폐업정보!$D$3:$R$3,0)),
"Error"))</f>
        <v>C1116</v>
      </c>
      <c r="L1121" s="75" t="str">
        <f aca="false">
IF($D1121="정상",INDEX(임대자산!$D$3:$R$3000,MATCH($F1121,임대자산!$I$3:$I$3000,0),MATCH(L$4,임대자산!$D$3:$R$3,0)),
IF($D1121="폐업",INDEX(폐업정보!$D$3:$R$3000,MATCH($F1121,폐업정보!$I$3:$I$3000,0),MATCH(L$4,폐업정보!$D$3:$R$3,0)),
"Error"))</f>
        <v>D1116</v>
      </c>
      <c r="M1121" s="76" t="s">
        <v>96</v>
      </c>
      <c r="N1121" s="77"/>
      <c r="O1121" s="78" t="s">
        <v>97</v>
      </c>
      <c r="P1121" s="79" t="n">
        <f aca="false">COUNTIFS(임대자산!$I:$I,가맹점정보!F1121,임대자산!$N:$N,가맹점정보!P$4)</f>
        <v>0</v>
      </c>
      <c r="Q1121" s="80" t="n">
        <f aca="false">COUNTIFS(임대자산!$I:$I,가맹점정보!F1121,임대자산!$N:$N,가맹점정보!Q$4)</f>
        <v>0</v>
      </c>
      <c r="R1121" s="81" t="n">
        <f aca="false">COUNTIFS(임대자산!$I:$I,가맹점정보!F1121,임대자산!$N:$N,가맹점정보!R$4)</f>
        <v>1</v>
      </c>
      <c r="S1121" s="82" t="n">
        <v>55000</v>
      </c>
      <c r="T1121" s="83" t="n">
        <v>0</v>
      </c>
      <c r="U1121" s="80" t="n">
        <f aca="false">SUM(S1121:T1121)</f>
        <v>55000</v>
      </c>
      <c r="V1121" s="84" t="s">
        <v>7</v>
      </c>
      <c r="W1121" s="80" t="str">
        <f aca="true">
IF(D1121="폐업","폐업",
IF(V1121="면제","면제",
IF(AND(V1121="정상",COUNTIFS(OFFSET(Y1121,0,COUNTA(Y1121:AV1121)-1,1,-4),"미납")&gt;=3),"장기미납",
IF(AND(V1121="정상",OFFSET(Y1121,0,COUNTA(Y1121:AV1121)-1)&gt;=U1121),"정상",
IF(AND(V1121="정상",OFFSET(Y1121,0,COUNTA(Y1121:AV1121)-1)=0),"정상",
"계약서 미작성")))))</f>
        <v>면제</v>
      </c>
      <c r="X1121" s="81" t="str">
        <f aca="true">
IF(D1121="폐업","폐업",
IF(AND(V1121="정상",OFFSET(Y1121,0,COUNTA(Y1121:AV1121)-1)="미납"),"미납",
IF(AND(V1121="정상",OFFSET(Y1121,0,COUNTA(Y1121:AV1121)-1)=0),"납부 시작 전",
IF(AND(V1121="정상",OFFSET(Y1121,0,COUNTA(Y1121:AV1121)-1)&gt;=U1121),"정상",
IF(AND(V1121="면제",OFFSET(Y1121,0,COUNTA(Y1121:AV1121)-1)="면제"),"면제",
IF(AND(V1121="면제",OFFSET(Y1121,0,COUNTA(Y1121:AV1121)-1)=0),"면제",
"확인요청"))))))</f>
        <v>면제</v>
      </c>
      <c r="Y1121" s="94" t="s">
        <v>7</v>
      </c>
      <c r="Z1121" s="95" t="s">
        <v>7</v>
      </c>
      <c r="AA1121" s="95" t="s">
        <v>7</v>
      </c>
      <c r="AB1121" s="95" t="s">
        <v>7</v>
      </c>
      <c r="AC1121" s="95" t="s">
        <v>7</v>
      </c>
      <c r="AD1121" s="95" t="s">
        <v>7</v>
      </c>
      <c r="AE1121" s="95" t="s">
        <v>7</v>
      </c>
      <c r="AF1121" s="95" t="s">
        <v>7</v>
      </c>
      <c r="AG1121" s="95" t="s">
        <v>7</v>
      </c>
      <c r="AH1121" s="95" t="s">
        <v>7</v>
      </c>
      <c r="AI1121" s="95" t="s">
        <v>7</v>
      </c>
      <c r="AJ1121" s="96" t="s">
        <v>7</v>
      </c>
      <c r="AK1121" s="97" t="s">
        <v>7</v>
      </c>
      <c r="AL1121" s="95" t="s">
        <v>7</v>
      </c>
      <c r="AM1121" s="90"/>
      <c r="AN1121" s="90"/>
      <c r="AO1121" s="90"/>
      <c r="AP1121" s="90"/>
      <c r="AQ1121" s="90"/>
      <c r="AR1121" s="90"/>
      <c r="AS1121" s="90"/>
      <c r="AT1121" s="90"/>
      <c r="AU1121" s="90"/>
      <c r="AV1121" s="91"/>
      <c r="AX1121" s="92"/>
    </row>
    <row r="1122" customFormat="false" ht="15.65" hidden="false" customHeight="false" outlineLevel="0" collapsed="false">
      <c r="C1122" s="72" t="n">
        <f aca="false">COUNTIFS($D$6:D1122,"&lt;&gt;"&amp;"")</f>
        <v>1117</v>
      </c>
      <c r="D1122" s="73" t="s">
        <v>12</v>
      </c>
      <c r="E1122" s="76" t="str">
        <f aca="false">
IF($D1122="정상",INDEX(임대자산!$D$3:$R$3000,MATCH($F1122,임대자산!$I$3:$I$3000,0),MATCH(E$3,임대자산!$D$3:$R$3,0)),
IF($D1122="폐업",INDEX(폐업정보!$D$3:$R$3000,MATCH($F1122,폐업정보!$I$3:$I$3000,0),MATCH(E$3,폐업정보!$D$3:$R$3,0)),
"Error"))</f>
        <v>경상</v>
      </c>
      <c r="F112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B1117</v>
      </c>
      <c r="G1122" s="76" t="str">
        <f aca="false">F1122&amp;RANDBETWEEN(0,10)</f>
        <v>B11171</v>
      </c>
      <c r="H1122" s="75" t="n">
        <f aca="false">
IF($D1122="정상",INDEX(임대자산!$D$3:$R$3000,MATCH($F1122,임대자산!$I$3:$I$3000,0),MATCH(H$4,임대자산!$D$3:$R$3,0)),
IF($D1122="폐업",INDEX(폐업정보!$D$3:$R$3000,MATCH($F1122,폐업정보!$I$3:$I$3000,0),MATCH(H$4,폐업정보!$D$3:$R$3,0)),
"Error"))</f>
        <v>45414</v>
      </c>
      <c r="I1122" s="75" t="str">
        <f aca="false">
IF($D1122="정상",INDEX(임대자산!$D$3:$R$3000,MATCH($F1122,임대자산!$I$3:$I$3000,0),MATCH(I$4,임대자산!$D$3:$R$3,0)),
IF($D1122="폐업",INDEX(폐업정보!$D$3:$R$3000,MATCH($F1122,폐업정보!$I$3:$I$3000,0),MATCH(I$4,폐업정보!$D$3:$R$3,0)),
"Error"))</f>
        <v>A1117</v>
      </c>
      <c r="J1122" s="75" t="str">
        <f aca="false">
IF($D1122="정상",INDEX(임대자산!$D$3:$R$3000,MATCH($F1122,임대자산!$I$3:$I$3000,0),MATCH(J$4,임대자산!$D$3:$R$3,0)),
IF($D1122="폐업",INDEX(폐업정보!$D$3:$R$3000,MATCH($F1122,폐업정보!$I$3:$I$3000,0),MATCH(J$4,폐업정보!$D$3:$R$3,0)),
"Error"))</f>
        <v>8738200000</v>
      </c>
      <c r="K1122" s="75" t="str">
        <f aca="false">
IF($D1122="정상",INDEX(임대자산!$D$3:$R$3000,MATCH($F1122,임대자산!$I$3:$I$3000,0),MATCH(K$4,임대자산!$D$3:$R$3,0)),
IF($D1122="폐업",INDEX(폐업정보!$D$3:$R$3000,MATCH($F1122,폐업정보!$I$3:$I$3000,0),MATCH(K$4,폐업정보!$D$3:$R$3,0)),
"Error"))</f>
        <v>C1117</v>
      </c>
      <c r="L1122" s="75" t="str">
        <f aca="false">
IF($D1122="정상",INDEX(임대자산!$D$3:$R$3000,MATCH($F1122,임대자산!$I$3:$I$3000,0),MATCH(L$4,임대자산!$D$3:$R$3,0)),
IF($D1122="폐업",INDEX(폐업정보!$D$3:$R$3000,MATCH($F1122,폐업정보!$I$3:$I$3000,0),MATCH(L$4,폐업정보!$D$3:$R$3,0)),
"Error"))</f>
        <v>D1117</v>
      </c>
      <c r="M1122" s="76" t="s">
        <v>96</v>
      </c>
      <c r="N1122" s="77"/>
      <c r="O1122" s="78" t="s">
        <v>97</v>
      </c>
      <c r="P1122" s="79" t="n">
        <f aca="false">COUNTIFS(임대자산!$I:$I,가맹점정보!F1122,임대자산!$N:$N,가맹점정보!P$4)</f>
        <v>0</v>
      </c>
      <c r="Q1122" s="80" t="n">
        <f aca="false">COUNTIFS(임대자산!$I:$I,가맹점정보!F1122,임대자산!$N:$N,가맹점정보!Q$4)</f>
        <v>0</v>
      </c>
      <c r="R1122" s="81" t="n">
        <f aca="false">COUNTIFS(임대자산!$I:$I,가맹점정보!F1122,임대자산!$N:$N,가맹점정보!R$4)</f>
        <v>1</v>
      </c>
      <c r="S1122" s="82" t="n">
        <v>55000</v>
      </c>
      <c r="T1122" s="83" t="n">
        <v>0</v>
      </c>
      <c r="U1122" s="80" t="n">
        <f aca="false">SUM(S1122:T1122)</f>
        <v>55000</v>
      </c>
      <c r="V1122" s="84" t="s">
        <v>7</v>
      </c>
      <c r="W1122" s="80" t="str">
        <f aca="true">
IF(D1122="폐업","폐업",
IF(V1122="면제","면제",
IF(AND(V1122="정상",COUNTIFS(OFFSET(Y1122,0,COUNTA(Y1122:AV1122)-1,1,-4),"미납")&gt;=3),"장기미납",
IF(AND(V1122="정상",OFFSET(Y1122,0,COUNTA(Y1122:AV1122)-1)&gt;=U1122),"정상",
IF(AND(V1122="정상",OFFSET(Y1122,0,COUNTA(Y1122:AV1122)-1)=0),"정상",
"계약서 미작성")))))</f>
        <v>면제</v>
      </c>
      <c r="X1122" s="81" t="str">
        <f aca="true">
IF(D1122="폐업","폐업",
IF(AND(V1122="정상",OFFSET(Y1122,0,COUNTA(Y1122:AV1122)-1)="미납"),"미납",
IF(AND(V1122="정상",OFFSET(Y1122,0,COUNTA(Y1122:AV1122)-1)=0),"납부 시작 전",
IF(AND(V1122="정상",OFFSET(Y1122,0,COUNTA(Y1122:AV1122)-1)&gt;=U1122),"정상",
IF(AND(V1122="면제",OFFSET(Y1122,0,COUNTA(Y1122:AV1122)-1)="면제"),"면제",
IF(AND(V1122="면제",OFFSET(Y1122,0,COUNTA(Y1122:AV1122)-1)=0),"면제",
"확인요청"))))))</f>
        <v>면제</v>
      </c>
      <c r="Y1122" s="94" t="s">
        <v>7</v>
      </c>
      <c r="Z1122" s="95" t="s">
        <v>7</v>
      </c>
      <c r="AA1122" s="95" t="s">
        <v>7</v>
      </c>
      <c r="AB1122" s="95" t="s">
        <v>7</v>
      </c>
      <c r="AC1122" s="95" t="s">
        <v>7</v>
      </c>
      <c r="AD1122" s="95" t="s">
        <v>7</v>
      </c>
      <c r="AE1122" s="95" t="s">
        <v>7</v>
      </c>
      <c r="AF1122" s="95" t="s">
        <v>7</v>
      </c>
      <c r="AG1122" s="95" t="s">
        <v>7</v>
      </c>
      <c r="AH1122" s="95" t="s">
        <v>7</v>
      </c>
      <c r="AI1122" s="95" t="s">
        <v>7</v>
      </c>
      <c r="AJ1122" s="96" t="s">
        <v>7</v>
      </c>
      <c r="AK1122" s="97" t="s">
        <v>7</v>
      </c>
      <c r="AL1122" s="95" t="s">
        <v>7</v>
      </c>
      <c r="AM1122" s="90"/>
      <c r="AN1122" s="90"/>
      <c r="AO1122" s="90"/>
      <c r="AP1122" s="90"/>
      <c r="AQ1122" s="90"/>
      <c r="AR1122" s="90"/>
      <c r="AS1122" s="90"/>
      <c r="AT1122" s="90"/>
      <c r="AU1122" s="90"/>
      <c r="AV1122" s="91"/>
      <c r="AX1122" s="92"/>
    </row>
    <row r="1123" customFormat="false" ht="15.65" hidden="false" customHeight="false" outlineLevel="0" collapsed="false">
      <c r="C1123" s="72" t="n">
        <f aca="false">COUNTIFS($D$6:D1123,"&lt;&gt;"&amp;"")</f>
        <v>1118</v>
      </c>
      <c r="D1123" s="73" t="s">
        <v>12</v>
      </c>
      <c r="E1123" s="76" t="str">
        <f aca="false">
IF($D1123="정상",INDEX(임대자산!$D$3:$R$3000,MATCH($F1123,임대자산!$I$3:$I$3000,0),MATCH(E$3,임대자산!$D$3:$R$3,0)),
IF($D1123="폐업",INDEX(폐업정보!$D$3:$R$3000,MATCH($F1123,폐업정보!$I$3:$I$3000,0),MATCH(E$3,폐업정보!$D$3:$R$3,0)),
"Error"))</f>
        <v>강원</v>
      </c>
      <c r="F112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B1118</v>
      </c>
      <c r="G1123" s="76" t="str">
        <f aca="false">F1123&amp;RANDBETWEEN(0,10)</f>
        <v>B11187</v>
      </c>
      <c r="H1123" s="75" t="n">
        <f aca="false">
IF($D1123="정상",INDEX(임대자산!$D$3:$R$3000,MATCH($F1123,임대자산!$I$3:$I$3000,0),MATCH(H$4,임대자산!$D$3:$R$3,0)),
IF($D1123="폐업",INDEX(폐업정보!$D$3:$R$3000,MATCH($F1123,폐업정보!$I$3:$I$3000,0),MATCH(H$4,폐업정보!$D$3:$R$3,0)),
"Error"))</f>
        <v>45656</v>
      </c>
      <c r="I1123" s="75" t="str">
        <f aca="false">
IF($D1123="정상",INDEX(임대자산!$D$3:$R$3000,MATCH($F1123,임대자산!$I$3:$I$3000,0),MATCH(I$4,임대자산!$D$3:$R$3,0)),
IF($D1123="폐업",INDEX(폐업정보!$D$3:$R$3000,MATCH($F1123,폐업정보!$I$3:$I$3000,0),MATCH(I$4,폐업정보!$D$3:$R$3,0)),
"Error"))</f>
        <v>A1118</v>
      </c>
      <c r="J1123" s="75" t="str">
        <f aca="false">
IF($D1123="정상",INDEX(임대자산!$D$3:$R$3000,MATCH($F1123,임대자산!$I$3:$I$3000,0),MATCH(J$4,임대자산!$D$3:$R$3,0)),
IF($D1123="폐업",INDEX(폐업정보!$D$3:$R$3000,MATCH($F1123,폐업정보!$I$3:$I$3000,0),MATCH(J$4,폐업정보!$D$3:$R$3,0)),
"Error"))</f>
        <v>2998000000</v>
      </c>
      <c r="K1123" s="75" t="str">
        <f aca="false">
IF($D1123="정상",INDEX(임대자산!$D$3:$R$3000,MATCH($F1123,임대자산!$I$3:$I$3000,0),MATCH(K$4,임대자산!$D$3:$R$3,0)),
IF($D1123="폐업",INDEX(폐업정보!$D$3:$R$3000,MATCH($F1123,폐업정보!$I$3:$I$3000,0),MATCH(K$4,폐업정보!$D$3:$R$3,0)),
"Error"))</f>
        <v>C1118</v>
      </c>
      <c r="L1123" s="75" t="str">
        <f aca="false">
IF($D1123="정상",INDEX(임대자산!$D$3:$R$3000,MATCH($F1123,임대자산!$I$3:$I$3000,0),MATCH(L$4,임대자산!$D$3:$R$3,0)),
IF($D1123="폐업",INDEX(폐업정보!$D$3:$R$3000,MATCH($F1123,폐업정보!$I$3:$I$3000,0),MATCH(L$4,폐업정보!$D$3:$R$3,0)),
"Error"))</f>
        <v>D1118</v>
      </c>
      <c r="M1123" s="76" t="s">
        <v>96</v>
      </c>
      <c r="N1123" s="77"/>
      <c r="O1123" s="78" t="s">
        <v>97</v>
      </c>
      <c r="P1123" s="79" t="n">
        <f aca="false">COUNTIFS(임대자산!$I:$I,가맹점정보!F1123,임대자산!$N:$N,가맹점정보!P$4)</f>
        <v>0</v>
      </c>
      <c r="Q1123" s="80" t="n">
        <f aca="false">COUNTIFS(임대자산!$I:$I,가맹점정보!F1123,임대자산!$N:$N,가맹점정보!Q$4)</f>
        <v>0</v>
      </c>
      <c r="R1123" s="81" t="n">
        <f aca="false">COUNTIFS(임대자산!$I:$I,가맹점정보!F1123,임대자산!$N:$N,가맹점정보!R$4)</f>
        <v>1</v>
      </c>
      <c r="S1123" s="82" t="n">
        <v>55000</v>
      </c>
      <c r="T1123" s="83" t="n">
        <v>0</v>
      </c>
      <c r="U1123" s="80" t="n">
        <f aca="false">SUM(S1123:T1123)</f>
        <v>55000</v>
      </c>
      <c r="V1123" s="84" t="s">
        <v>7</v>
      </c>
      <c r="W1123" s="80" t="str">
        <f aca="true">
IF(D1123="폐업","폐업",
IF(V1123="면제","면제",
IF(AND(V1123="정상",COUNTIFS(OFFSET(Y1123,0,COUNTA(Y1123:AV1123)-1,1,-4),"미납")&gt;=3),"장기미납",
IF(AND(V1123="정상",OFFSET(Y1123,0,COUNTA(Y1123:AV1123)-1)&gt;=U1123),"정상",
IF(AND(V1123="정상",OFFSET(Y1123,0,COUNTA(Y1123:AV1123)-1)=0),"정상",
"계약서 미작성")))))</f>
        <v>면제</v>
      </c>
      <c r="X1123" s="81" t="str">
        <f aca="true">
IF(D1123="폐업","폐업",
IF(AND(V1123="정상",OFFSET(Y1123,0,COUNTA(Y1123:AV1123)-1)="미납"),"미납",
IF(AND(V1123="정상",OFFSET(Y1123,0,COUNTA(Y1123:AV1123)-1)=0),"납부 시작 전",
IF(AND(V1123="정상",OFFSET(Y1123,0,COUNTA(Y1123:AV1123)-1)&gt;=U1123),"정상",
IF(AND(V1123="면제",OFFSET(Y1123,0,COUNTA(Y1123:AV1123)-1)="면제"),"면제",
IF(AND(V1123="면제",OFFSET(Y1123,0,COUNTA(Y1123:AV1123)-1)=0),"면제",
"확인요청"))))))</f>
        <v>면제</v>
      </c>
      <c r="Y1123" s="94" t="s">
        <v>7</v>
      </c>
      <c r="Z1123" s="95" t="s">
        <v>7</v>
      </c>
      <c r="AA1123" s="95" t="s">
        <v>7</v>
      </c>
      <c r="AB1123" s="95" t="s">
        <v>7</v>
      </c>
      <c r="AC1123" s="95" t="s">
        <v>7</v>
      </c>
      <c r="AD1123" s="95" t="s">
        <v>7</v>
      </c>
      <c r="AE1123" s="95" t="s">
        <v>7</v>
      </c>
      <c r="AF1123" s="95" t="s">
        <v>7</v>
      </c>
      <c r="AG1123" s="95" t="s">
        <v>7</v>
      </c>
      <c r="AH1123" s="95" t="s">
        <v>7</v>
      </c>
      <c r="AI1123" s="95" t="s">
        <v>7</v>
      </c>
      <c r="AJ1123" s="96" t="s">
        <v>7</v>
      </c>
      <c r="AK1123" s="97" t="s">
        <v>7</v>
      </c>
      <c r="AL1123" s="95" t="s">
        <v>7</v>
      </c>
      <c r="AM1123" s="90"/>
      <c r="AN1123" s="90"/>
      <c r="AO1123" s="90"/>
      <c r="AP1123" s="90"/>
      <c r="AQ1123" s="90"/>
      <c r="AR1123" s="90"/>
      <c r="AS1123" s="90"/>
      <c r="AT1123" s="90"/>
      <c r="AU1123" s="90"/>
      <c r="AV1123" s="91"/>
      <c r="AX1123" s="92"/>
    </row>
    <row r="1124" customFormat="false" ht="15.65" hidden="false" customHeight="false" outlineLevel="0" collapsed="false">
      <c r="C1124" s="72" t="n">
        <f aca="false">COUNTIFS($D$6:D1124,"&lt;&gt;"&amp;"")</f>
        <v>1119</v>
      </c>
      <c r="D1124" s="73" t="s">
        <v>12</v>
      </c>
      <c r="E1124" s="76" t="str">
        <f aca="false">
IF($D1124="정상",INDEX(임대자산!$D$3:$R$3000,MATCH($F1124,임대자산!$I$3:$I$3000,0),MATCH(E$3,임대자산!$D$3:$R$3,0)),
IF($D1124="폐업",INDEX(폐업정보!$D$3:$R$3000,MATCH($F1124,폐업정보!$I$3:$I$3000,0),MATCH(E$3,폐업정보!$D$3:$R$3,0)),
"Error"))</f>
        <v>서울</v>
      </c>
      <c r="F112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B1119</v>
      </c>
      <c r="G1124" s="76" t="str">
        <f aca="false">F1124&amp;RANDBETWEEN(0,10)</f>
        <v>B11195</v>
      </c>
      <c r="H1124" s="75" t="n">
        <f aca="false">
IF($D1124="정상",INDEX(임대자산!$D$3:$R$3000,MATCH($F1124,임대자산!$I$3:$I$3000,0),MATCH(H$4,임대자산!$D$3:$R$3,0)),
IF($D1124="폐업",INDEX(폐업정보!$D$3:$R$3000,MATCH($F1124,폐업정보!$I$3:$I$3000,0),MATCH(H$4,폐업정보!$D$3:$R$3,0)),
"Error"))</f>
        <v>45223</v>
      </c>
      <c r="I1124" s="75" t="str">
        <f aca="false">
IF($D1124="정상",INDEX(임대자산!$D$3:$R$3000,MATCH($F1124,임대자산!$I$3:$I$3000,0),MATCH(I$4,임대자산!$D$3:$R$3,0)),
IF($D1124="폐업",INDEX(폐업정보!$D$3:$R$3000,MATCH($F1124,폐업정보!$I$3:$I$3000,0),MATCH(I$4,폐업정보!$D$3:$R$3,0)),
"Error"))</f>
        <v>A1119</v>
      </c>
      <c r="J1124" s="75" t="str">
        <f aca="false">
IF($D1124="정상",INDEX(임대자산!$D$3:$R$3000,MATCH($F1124,임대자산!$I$3:$I$3000,0),MATCH(J$4,임대자산!$D$3:$R$3,0)),
IF($D1124="폐업",INDEX(폐업정보!$D$3:$R$3000,MATCH($F1124,폐업정보!$I$3:$I$3000,0),MATCH(J$4,폐업정보!$D$3:$R$3,0)),
"Error"))</f>
        <v>9092700000</v>
      </c>
      <c r="K1124" s="75" t="str">
        <f aca="false">
IF($D1124="정상",INDEX(임대자산!$D$3:$R$3000,MATCH($F1124,임대자산!$I$3:$I$3000,0),MATCH(K$4,임대자산!$D$3:$R$3,0)),
IF($D1124="폐업",INDEX(폐업정보!$D$3:$R$3000,MATCH($F1124,폐업정보!$I$3:$I$3000,0),MATCH(K$4,폐업정보!$D$3:$R$3,0)),
"Error"))</f>
        <v>C1119</v>
      </c>
      <c r="L1124" s="75" t="str">
        <f aca="false">
IF($D1124="정상",INDEX(임대자산!$D$3:$R$3000,MATCH($F1124,임대자산!$I$3:$I$3000,0),MATCH(L$4,임대자산!$D$3:$R$3,0)),
IF($D1124="폐업",INDEX(폐업정보!$D$3:$R$3000,MATCH($F1124,폐업정보!$I$3:$I$3000,0),MATCH(L$4,폐업정보!$D$3:$R$3,0)),
"Error"))</f>
        <v>D1119</v>
      </c>
      <c r="M1124" s="76" t="s">
        <v>96</v>
      </c>
      <c r="N1124" s="77"/>
      <c r="O1124" s="78" t="s">
        <v>97</v>
      </c>
      <c r="P1124" s="79" t="n">
        <f aca="false">COUNTIFS(임대자산!$I:$I,가맹점정보!F1124,임대자산!$N:$N,가맹점정보!P$4)</f>
        <v>0</v>
      </c>
      <c r="Q1124" s="80" t="n">
        <f aca="false">COUNTIFS(임대자산!$I:$I,가맹점정보!F1124,임대자산!$N:$N,가맹점정보!Q$4)</f>
        <v>0</v>
      </c>
      <c r="R1124" s="81" t="n">
        <f aca="false">COUNTIFS(임대자산!$I:$I,가맹점정보!F1124,임대자산!$N:$N,가맹점정보!R$4)</f>
        <v>1</v>
      </c>
      <c r="S1124" s="82" t="n">
        <v>88000</v>
      </c>
      <c r="T1124" s="83" t="n">
        <v>0</v>
      </c>
      <c r="U1124" s="80" t="n">
        <f aca="false">SUM(S1124:T1124)</f>
        <v>88000</v>
      </c>
      <c r="V1124" s="84" t="s">
        <v>12</v>
      </c>
      <c r="W1124" s="80" t="e">
        <f aca="true">
IF(D1124="폐업","폐업",
IF(V1124="면제","면제",
IF(AND(V1124="정상",COUNTIFS(OFFSET(Y1124,0,COUNTA(Y1124:AV1124)-1,1,-4),"미납")&gt;=3),"장기미납",
IF(AND(V1124="정상",OFFSET(Y1124,0,COUNTA(Y1124:AV1124)-1)&gt;=U1124),"정상",
IF(AND(V1124="정상",OFFSET(Y1124,0,COUNTA(Y1124:AV1124)-1)=0),"정상",
"계약서 미작성")))))</f>
        <v>#VALUE!</v>
      </c>
      <c r="X1124" s="81" t="str">
        <f aca="true">
IF(D1124="폐업","폐업",
IF(AND(V1124="정상",OFFSET(Y1124,0,COUNTA(Y1124:AV1124)-1)="미납"),"미납",
IF(AND(V1124="정상",OFFSET(Y1124,0,COUNTA(Y1124:AV1124)-1)=0),"납부 시작 전",
IF(AND(V1124="정상",OFFSET(Y1124,0,COUNTA(Y1124:AV1124)-1)&gt;=U1124),"정상",
IF(AND(V1124="면제",OFFSET(Y1124,0,COUNTA(Y1124:AV1124)-1)="면제"),"면제",
IF(AND(V1124="면제",OFFSET(Y1124,0,COUNTA(Y1124:AV1124)-1)=0),"면제",
"확인요청"))))))</f>
        <v>미납</v>
      </c>
      <c r="Y1124" s="93" t="n">
        <v>88000</v>
      </c>
      <c r="Z1124" s="90" t="n">
        <v>55000</v>
      </c>
      <c r="AA1124" s="90" t="n">
        <v>88000</v>
      </c>
      <c r="AB1124" s="90" t="n">
        <v>88000</v>
      </c>
      <c r="AC1124" s="90" t="n">
        <v>88000</v>
      </c>
      <c r="AD1124" s="90" t="n">
        <v>88000</v>
      </c>
      <c r="AE1124" s="90" t="n">
        <v>88000</v>
      </c>
      <c r="AF1124" s="90" t="n">
        <v>88000</v>
      </c>
      <c r="AG1124" s="95" t="s">
        <v>62</v>
      </c>
      <c r="AH1124" s="95" t="s">
        <v>62</v>
      </c>
      <c r="AI1124" s="95" t="s">
        <v>62</v>
      </c>
      <c r="AJ1124" s="96" t="s">
        <v>62</v>
      </c>
      <c r="AK1124" s="97" t="s">
        <v>62</v>
      </c>
      <c r="AL1124" s="95" t="s">
        <v>62</v>
      </c>
      <c r="AM1124" s="90"/>
      <c r="AN1124" s="90"/>
      <c r="AO1124" s="90"/>
      <c r="AP1124" s="90"/>
      <c r="AQ1124" s="90"/>
      <c r="AR1124" s="90"/>
      <c r="AS1124" s="90"/>
      <c r="AT1124" s="90"/>
      <c r="AU1124" s="90"/>
      <c r="AV1124" s="91"/>
      <c r="AX1124" s="92"/>
    </row>
    <row r="1125" customFormat="false" ht="15.65" hidden="false" customHeight="false" outlineLevel="0" collapsed="false">
      <c r="C1125" s="72" t="n">
        <f aca="false">COUNTIFS($D$6:D1125,"&lt;&gt;"&amp;"")</f>
        <v>1120</v>
      </c>
      <c r="D1125" s="73" t="s">
        <v>12</v>
      </c>
      <c r="E1125" s="76" t="str">
        <f aca="false">
IF($D1125="정상",INDEX(임대자산!$D$3:$R$3000,MATCH($F1125,임대자산!$I$3:$I$3000,0),MATCH(E$3,임대자산!$D$3:$R$3,0)),
IF($D1125="폐업",INDEX(폐업정보!$D$3:$R$3000,MATCH($F1125,폐업정보!$I$3:$I$3000,0),MATCH(E$3,폐업정보!$D$3:$R$3,0)),
"Error"))</f>
        <v>서울</v>
      </c>
      <c r="F112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B1120</v>
      </c>
      <c r="G1125" s="76" t="str">
        <f aca="false">F1125&amp;RANDBETWEEN(0,10)</f>
        <v>B11200</v>
      </c>
      <c r="H1125" s="75" t="n">
        <f aca="false">
IF($D1125="정상",INDEX(임대자산!$D$3:$R$3000,MATCH($F1125,임대자산!$I$3:$I$3000,0),MATCH(H$4,임대자산!$D$3:$R$3,0)),
IF($D1125="폐업",INDEX(폐업정보!$D$3:$R$3000,MATCH($F1125,폐업정보!$I$3:$I$3000,0),MATCH(H$4,폐업정보!$D$3:$R$3,0)),
"Error"))</f>
        <v>45216</v>
      </c>
      <c r="I1125" s="75" t="str">
        <f aca="false">
IF($D1125="정상",INDEX(임대자산!$D$3:$R$3000,MATCH($F1125,임대자산!$I$3:$I$3000,0),MATCH(I$4,임대자산!$D$3:$R$3,0)),
IF($D1125="폐업",INDEX(폐업정보!$D$3:$R$3000,MATCH($F1125,폐업정보!$I$3:$I$3000,0),MATCH(I$4,폐업정보!$D$3:$R$3,0)),
"Error"))</f>
        <v>A1120</v>
      </c>
      <c r="J1125" s="75" t="str">
        <f aca="false">
IF($D1125="정상",INDEX(임대자산!$D$3:$R$3000,MATCH($F1125,임대자산!$I$3:$I$3000,0),MATCH(J$4,임대자산!$D$3:$R$3,0)),
IF($D1125="폐업",INDEX(폐업정보!$D$3:$R$3000,MATCH($F1125,폐업정보!$I$3:$I$3000,0),MATCH(J$4,폐업정보!$D$3:$R$3,0)),
"Error"))</f>
        <v>9277500000</v>
      </c>
      <c r="K1125" s="75" t="str">
        <f aca="false">
IF($D1125="정상",INDEX(임대자산!$D$3:$R$3000,MATCH($F1125,임대자산!$I$3:$I$3000,0),MATCH(K$4,임대자산!$D$3:$R$3,0)),
IF($D1125="폐업",INDEX(폐업정보!$D$3:$R$3000,MATCH($F1125,폐업정보!$I$3:$I$3000,0),MATCH(K$4,폐업정보!$D$3:$R$3,0)),
"Error"))</f>
        <v>C1120</v>
      </c>
      <c r="L1125" s="75" t="str">
        <f aca="false">
IF($D1125="정상",INDEX(임대자산!$D$3:$R$3000,MATCH($F1125,임대자산!$I$3:$I$3000,0),MATCH(L$4,임대자산!$D$3:$R$3,0)),
IF($D1125="폐업",INDEX(폐업정보!$D$3:$R$3000,MATCH($F1125,폐업정보!$I$3:$I$3000,0),MATCH(L$4,폐업정보!$D$3:$R$3,0)),
"Error"))</f>
        <v>D1120</v>
      </c>
      <c r="M1125" s="76" t="s">
        <v>96</v>
      </c>
      <c r="N1125" s="77"/>
      <c r="O1125" s="78" t="s">
        <v>97</v>
      </c>
      <c r="P1125" s="79" t="n">
        <f aca="false">COUNTIFS(임대자산!$I:$I,가맹점정보!F1125,임대자산!$N:$N,가맹점정보!P$4)</f>
        <v>0</v>
      </c>
      <c r="Q1125" s="80" t="n">
        <f aca="false">COUNTIFS(임대자산!$I:$I,가맹점정보!F1125,임대자산!$N:$N,가맹점정보!Q$4)</f>
        <v>0</v>
      </c>
      <c r="R1125" s="81" t="n">
        <f aca="false">COUNTIFS(임대자산!$I:$I,가맹점정보!F1125,임대자산!$N:$N,가맹점정보!R$4)</f>
        <v>1</v>
      </c>
      <c r="S1125" s="82" t="n">
        <v>55000</v>
      </c>
      <c r="T1125" s="83" t="n">
        <v>0</v>
      </c>
      <c r="U1125" s="80" t="n">
        <f aca="false">SUM(S1125:T1125)</f>
        <v>55000</v>
      </c>
      <c r="V1125" s="84" t="s">
        <v>7</v>
      </c>
      <c r="W1125" s="80" t="str">
        <f aca="true">
IF(D1125="폐업","폐업",
IF(V1125="면제","면제",
IF(AND(V1125="정상",COUNTIFS(OFFSET(Y1125,0,COUNTA(Y1125:AV1125)-1,1,-4),"미납")&gt;=3),"장기미납",
IF(AND(V1125="정상",OFFSET(Y1125,0,COUNTA(Y1125:AV1125)-1)&gt;=U1125),"정상",
IF(AND(V1125="정상",OFFSET(Y1125,0,COUNTA(Y1125:AV1125)-1)=0),"정상",
"계약서 미작성")))))</f>
        <v>면제</v>
      </c>
      <c r="X1125" s="81" t="str">
        <f aca="true">
IF(D1125="폐업","폐업",
IF(AND(V1125="정상",OFFSET(Y1125,0,COUNTA(Y1125:AV1125)-1)="미납"),"미납",
IF(AND(V1125="정상",OFFSET(Y1125,0,COUNTA(Y1125:AV1125)-1)=0),"납부 시작 전",
IF(AND(V1125="정상",OFFSET(Y1125,0,COUNTA(Y1125:AV1125)-1)&gt;=U1125),"정상",
IF(AND(V1125="면제",OFFSET(Y1125,0,COUNTA(Y1125:AV1125)-1)="면제"),"면제",
IF(AND(V1125="면제",OFFSET(Y1125,0,COUNTA(Y1125:AV1125)-1)=0),"면제",
"확인요청"))))))</f>
        <v>면제</v>
      </c>
      <c r="Y1125" s="94" t="s">
        <v>7</v>
      </c>
      <c r="Z1125" s="95" t="s">
        <v>7</v>
      </c>
      <c r="AA1125" s="95" t="s">
        <v>7</v>
      </c>
      <c r="AB1125" s="95" t="s">
        <v>7</v>
      </c>
      <c r="AC1125" s="95" t="s">
        <v>7</v>
      </c>
      <c r="AD1125" s="95" t="s">
        <v>7</v>
      </c>
      <c r="AE1125" s="95" t="s">
        <v>7</v>
      </c>
      <c r="AF1125" s="95" t="s">
        <v>7</v>
      </c>
      <c r="AG1125" s="95" t="s">
        <v>7</v>
      </c>
      <c r="AH1125" s="95" t="s">
        <v>7</v>
      </c>
      <c r="AI1125" s="95" t="s">
        <v>7</v>
      </c>
      <c r="AJ1125" s="96" t="s">
        <v>7</v>
      </c>
      <c r="AK1125" s="97" t="s">
        <v>7</v>
      </c>
      <c r="AL1125" s="95" t="s">
        <v>7</v>
      </c>
      <c r="AM1125" s="90"/>
      <c r="AN1125" s="90"/>
      <c r="AO1125" s="90"/>
      <c r="AP1125" s="90"/>
      <c r="AQ1125" s="90"/>
      <c r="AR1125" s="90"/>
      <c r="AS1125" s="90"/>
      <c r="AT1125" s="90"/>
      <c r="AU1125" s="90"/>
      <c r="AV1125" s="91"/>
      <c r="AX1125" s="92"/>
    </row>
    <row r="1126" customFormat="false" ht="15.65" hidden="false" customHeight="false" outlineLevel="0" collapsed="false">
      <c r="C1126" s="72" t="n">
        <f aca="false">COUNTIFS($D$6:D1126,"&lt;&gt;"&amp;"")</f>
        <v>1121</v>
      </c>
      <c r="D1126" s="73" t="s">
        <v>12</v>
      </c>
      <c r="E1126" s="76" t="str">
        <f aca="false">
IF($D1126="정상",INDEX(임대자산!$D$3:$R$3000,MATCH($F1126,임대자산!$I$3:$I$3000,0),MATCH(E$3,임대자산!$D$3:$R$3,0)),
IF($D1126="폐업",INDEX(폐업정보!$D$3:$R$3000,MATCH($F1126,폐업정보!$I$3:$I$3000,0),MATCH(E$3,폐업정보!$D$3:$R$3,0)),
"Error"))</f>
        <v>서울</v>
      </c>
      <c r="F112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B1121</v>
      </c>
      <c r="G1126" s="76" t="str">
        <f aca="false">F1126&amp;RANDBETWEEN(0,10)</f>
        <v>B11219</v>
      </c>
      <c r="H1126" s="75" t="n">
        <f aca="false">
IF($D1126="정상",INDEX(임대자산!$D$3:$R$3000,MATCH($F1126,임대자산!$I$3:$I$3000,0),MATCH(H$4,임대자산!$D$3:$R$3,0)),
IF($D1126="폐업",INDEX(폐업정보!$D$3:$R$3000,MATCH($F1126,폐업정보!$I$3:$I$3000,0),MATCH(H$4,폐업정보!$D$3:$R$3,0)),
"Error"))</f>
        <v>44651</v>
      </c>
      <c r="I1126" s="75" t="str">
        <f aca="false">
IF($D1126="정상",INDEX(임대자산!$D$3:$R$3000,MATCH($F1126,임대자산!$I$3:$I$3000,0),MATCH(I$4,임대자산!$D$3:$R$3,0)),
IF($D1126="폐업",INDEX(폐업정보!$D$3:$R$3000,MATCH($F1126,폐업정보!$I$3:$I$3000,0),MATCH(I$4,폐업정보!$D$3:$R$3,0)),
"Error"))</f>
        <v>A1121</v>
      </c>
      <c r="J1126" s="75" t="str">
        <f aca="false">
IF($D1126="정상",INDEX(임대자산!$D$3:$R$3000,MATCH($F1126,임대자산!$I$3:$I$3000,0),MATCH(J$4,임대자산!$D$3:$R$3,0)),
IF($D1126="폐업",INDEX(폐업정보!$D$3:$R$3000,MATCH($F1126,폐업정보!$I$3:$I$3000,0),MATCH(J$4,폐업정보!$D$3:$R$3,0)),
"Error"))</f>
        <v>6494200000</v>
      </c>
      <c r="K1126" s="75" t="str">
        <f aca="false">
IF($D1126="정상",INDEX(임대자산!$D$3:$R$3000,MATCH($F1126,임대자산!$I$3:$I$3000,0),MATCH(K$4,임대자산!$D$3:$R$3,0)),
IF($D1126="폐업",INDEX(폐업정보!$D$3:$R$3000,MATCH($F1126,폐업정보!$I$3:$I$3000,0),MATCH(K$4,폐업정보!$D$3:$R$3,0)),
"Error"))</f>
        <v>C1121</v>
      </c>
      <c r="L1126" s="75" t="str">
        <f aca="false">
IF($D1126="정상",INDEX(임대자산!$D$3:$R$3000,MATCH($F1126,임대자산!$I$3:$I$3000,0),MATCH(L$4,임대자산!$D$3:$R$3,0)),
IF($D1126="폐업",INDEX(폐업정보!$D$3:$R$3000,MATCH($F1126,폐업정보!$I$3:$I$3000,0),MATCH(L$4,폐업정보!$D$3:$R$3,0)),
"Error"))</f>
        <v>D1121</v>
      </c>
      <c r="M1126" s="76" t="s">
        <v>96</v>
      </c>
      <c r="N1126" s="77"/>
      <c r="O1126" s="78" t="s">
        <v>97</v>
      </c>
      <c r="P1126" s="79" t="n">
        <f aca="false">COUNTIFS(임대자산!$I:$I,가맹점정보!F1126,임대자산!$N:$N,가맹점정보!P$4)</f>
        <v>0</v>
      </c>
      <c r="Q1126" s="80" t="n">
        <f aca="false">COUNTIFS(임대자산!$I:$I,가맹점정보!F1126,임대자산!$N:$N,가맹점정보!Q$4)</f>
        <v>0</v>
      </c>
      <c r="R1126" s="81" t="n">
        <f aca="false">COUNTIFS(임대자산!$I:$I,가맹점정보!F1126,임대자산!$N:$N,가맹점정보!R$4)</f>
        <v>1</v>
      </c>
      <c r="S1126" s="82" t="n">
        <v>55000</v>
      </c>
      <c r="T1126" s="83" t="n">
        <v>0</v>
      </c>
      <c r="U1126" s="80" t="n">
        <f aca="false">SUM(S1126:T1126)</f>
        <v>55000</v>
      </c>
      <c r="V1126" s="84" t="s">
        <v>12</v>
      </c>
      <c r="W1126" s="80" t="e">
        <f aca="true">
IF(D1126="폐업","폐업",
IF(V1126="면제","면제",
IF(AND(V1126="정상",COUNTIFS(OFFSET(Y1126,0,COUNTA(Y1126:AV1126)-1,1,-4),"미납")&gt;=3),"장기미납",
IF(AND(V1126="정상",OFFSET(Y1126,0,COUNTA(Y1126:AV1126)-1)&gt;=U1126),"정상",
IF(AND(V1126="정상",OFFSET(Y1126,0,COUNTA(Y1126:AV1126)-1)=0),"정상",
"계약서 미작성")))))</f>
        <v>#VALUE!</v>
      </c>
      <c r="X1126" s="81" t="str">
        <f aca="true">
IF(D1126="폐업","폐업",
IF(AND(V1126="정상",OFFSET(Y1126,0,COUNTA(Y1126:AV1126)-1)="미납"),"미납",
IF(AND(V1126="정상",OFFSET(Y1126,0,COUNTA(Y1126:AV1126)-1)=0),"납부 시작 전",
IF(AND(V1126="정상",OFFSET(Y1126,0,COUNTA(Y1126:AV1126)-1)&gt;=U1126),"정상",
IF(AND(V1126="면제",OFFSET(Y1126,0,COUNTA(Y1126:AV1126)-1)="면제"),"면제",
IF(AND(V1126="면제",OFFSET(Y1126,0,COUNTA(Y1126:AV1126)-1)=0),"면제",
"확인요청"))))))</f>
        <v>정상</v>
      </c>
      <c r="Y1126" s="93" t="n">
        <v>55000</v>
      </c>
      <c r="Z1126" s="90" t="n">
        <v>55000</v>
      </c>
      <c r="AA1126" s="90" t="n">
        <v>55000</v>
      </c>
      <c r="AB1126" s="90" t="n">
        <v>55000</v>
      </c>
      <c r="AC1126" s="90" t="n">
        <v>55000</v>
      </c>
      <c r="AD1126" s="90" t="n">
        <v>55000</v>
      </c>
      <c r="AE1126" s="90" t="n">
        <v>55000</v>
      </c>
      <c r="AF1126" s="90" t="n">
        <v>55000</v>
      </c>
      <c r="AG1126" s="90" t="n">
        <v>55000</v>
      </c>
      <c r="AH1126" s="90" t="n">
        <v>55000</v>
      </c>
      <c r="AI1126" s="90" t="n">
        <v>55000</v>
      </c>
      <c r="AJ1126" s="91" t="n">
        <v>55000</v>
      </c>
      <c r="AK1126" s="89" t="n">
        <v>55000</v>
      </c>
      <c r="AL1126" s="90" t="n">
        <v>55000</v>
      </c>
      <c r="AM1126" s="90"/>
      <c r="AN1126" s="90"/>
      <c r="AO1126" s="90"/>
      <c r="AP1126" s="90"/>
      <c r="AQ1126" s="90"/>
      <c r="AR1126" s="90"/>
      <c r="AS1126" s="90"/>
      <c r="AT1126" s="90"/>
      <c r="AU1126" s="90"/>
      <c r="AV1126" s="91"/>
      <c r="AX1126" s="92"/>
    </row>
    <row r="1127" customFormat="false" ht="15.65" hidden="false" customHeight="false" outlineLevel="0" collapsed="false">
      <c r="C1127" s="72" t="n">
        <f aca="false">COUNTIFS($D$6:D1127,"&lt;&gt;"&amp;"")</f>
        <v>1122</v>
      </c>
      <c r="D1127" s="73" t="s">
        <v>12</v>
      </c>
      <c r="E1127" s="76" t="str">
        <f aca="false">
IF($D1127="정상",INDEX(임대자산!$D$3:$R$3000,MATCH($F1127,임대자산!$I$3:$I$3000,0),MATCH(E$3,임대자산!$D$3:$R$3,0)),
IF($D1127="폐업",INDEX(폐업정보!$D$3:$R$3000,MATCH($F1127,폐업정보!$I$3:$I$3000,0),MATCH(E$3,폐업정보!$D$3:$R$3,0)),
"Error"))</f>
        <v>서울</v>
      </c>
      <c r="F112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B1122</v>
      </c>
      <c r="G1127" s="76" t="str">
        <f aca="false">F1127&amp;RANDBETWEEN(0,10)</f>
        <v>B11225</v>
      </c>
      <c r="H1127" s="75" t="n">
        <f aca="false">
IF($D1127="정상",INDEX(임대자산!$D$3:$R$3000,MATCH($F1127,임대자산!$I$3:$I$3000,0),MATCH(H$4,임대자산!$D$3:$R$3,0)),
IF($D1127="폐업",INDEX(폐업정보!$D$3:$R$3000,MATCH($F1127,폐업정보!$I$3:$I$3000,0),MATCH(H$4,폐업정보!$D$3:$R$3,0)),
"Error"))</f>
        <v>44651</v>
      </c>
      <c r="I1127" s="75" t="str">
        <f aca="false">
IF($D1127="정상",INDEX(임대자산!$D$3:$R$3000,MATCH($F1127,임대자산!$I$3:$I$3000,0),MATCH(I$4,임대자산!$D$3:$R$3,0)),
IF($D1127="폐업",INDEX(폐업정보!$D$3:$R$3000,MATCH($F1127,폐업정보!$I$3:$I$3000,0),MATCH(I$4,폐업정보!$D$3:$R$3,0)),
"Error"))</f>
        <v>A1122</v>
      </c>
      <c r="J1127" s="75" t="str">
        <f aca="false">
IF($D1127="정상",INDEX(임대자산!$D$3:$R$3000,MATCH($F1127,임대자산!$I$3:$I$3000,0),MATCH(J$4,임대자산!$D$3:$R$3,0)),
IF($D1127="폐업",INDEX(폐업정보!$D$3:$R$3000,MATCH($F1127,폐업정보!$I$3:$I$3000,0),MATCH(J$4,폐업정보!$D$3:$R$3,0)),
"Error"))</f>
        <v>2677400000</v>
      </c>
      <c r="K1127" s="75" t="str">
        <f aca="false">
IF($D1127="정상",INDEX(임대자산!$D$3:$R$3000,MATCH($F1127,임대자산!$I$3:$I$3000,0),MATCH(K$4,임대자산!$D$3:$R$3,0)),
IF($D1127="폐업",INDEX(폐업정보!$D$3:$R$3000,MATCH($F1127,폐업정보!$I$3:$I$3000,0),MATCH(K$4,폐업정보!$D$3:$R$3,0)),
"Error"))</f>
        <v>C1122</v>
      </c>
      <c r="L1127" s="75" t="str">
        <f aca="false">
IF($D1127="정상",INDEX(임대자산!$D$3:$R$3000,MATCH($F1127,임대자산!$I$3:$I$3000,0),MATCH(L$4,임대자산!$D$3:$R$3,0)),
IF($D1127="폐업",INDEX(폐업정보!$D$3:$R$3000,MATCH($F1127,폐업정보!$I$3:$I$3000,0),MATCH(L$4,폐업정보!$D$3:$R$3,0)),
"Error"))</f>
        <v>D1122</v>
      </c>
      <c r="M1127" s="76" t="s">
        <v>96</v>
      </c>
      <c r="N1127" s="77"/>
      <c r="O1127" s="78" t="s">
        <v>97</v>
      </c>
      <c r="P1127" s="79" t="n">
        <f aca="false">COUNTIFS(임대자산!$I:$I,가맹점정보!F1127,임대자산!$N:$N,가맹점정보!P$4)</f>
        <v>0</v>
      </c>
      <c r="Q1127" s="80" t="n">
        <f aca="false">COUNTIFS(임대자산!$I:$I,가맹점정보!F1127,임대자산!$N:$N,가맹점정보!Q$4)</f>
        <v>0</v>
      </c>
      <c r="R1127" s="81" t="n">
        <f aca="false">COUNTIFS(임대자산!$I:$I,가맹점정보!F1127,임대자산!$N:$N,가맹점정보!R$4)</f>
        <v>1</v>
      </c>
      <c r="S1127" s="82" t="n">
        <v>55000</v>
      </c>
      <c r="T1127" s="83" t="n">
        <v>0</v>
      </c>
      <c r="U1127" s="80" t="n">
        <f aca="false">SUM(S1127:T1127)</f>
        <v>55000</v>
      </c>
      <c r="V1127" s="84" t="s">
        <v>12</v>
      </c>
      <c r="W1127" s="80" t="e">
        <f aca="true">
IF(D1127="폐업","폐업",
IF(V1127="면제","면제",
IF(AND(V1127="정상",COUNTIFS(OFFSET(Y1127,0,COUNTA(Y1127:AV1127)-1,1,-4),"미납")&gt;=3),"장기미납",
IF(AND(V1127="정상",OFFSET(Y1127,0,COUNTA(Y1127:AV1127)-1)&gt;=U1127),"정상",
IF(AND(V1127="정상",OFFSET(Y1127,0,COUNTA(Y1127:AV1127)-1)=0),"정상",
"계약서 미작성")))))</f>
        <v>#VALUE!</v>
      </c>
      <c r="X1127" s="81" t="str">
        <f aca="true">
IF(D1127="폐업","폐업",
IF(AND(V1127="정상",OFFSET(Y1127,0,COUNTA(Y1127:AV1127)-1)="미납"),"미납",
IF(AND(V1127="정상",OFFSET(Y1127,0,COUNTA(Y1127:AV1127)-1)=0),"납부 시작 전",
IF(AND(V1127="정상",OFFSET(Y1127,0,COUNTA(Y1127:AV1127)-1)&gt;=U1127),"정상",
IF(AND(V1127="면제",OFFSET(Y1127,0,COUNTA(Y1127:AV1127)-1)="면제"),"면제",
IF(AND(V1127="면제",OFFSET(Y1127,0,COUNTA(Y1127:AV1127)-1)=0),"면제",
"확인요청"))))))</f>
        <v>정상</v>
      </c>
      <c r="Y1127" s="93" t="n">
        <v>55000</v>
      </c>
      <c r="Z1127" s="90" t="n">
        <v>55000</v>
      </c>
      <c r="AA1127" s="90" t="n">
        <v>55000</v>
      </c>
      <c r="AB1127" s="90" t="n">
        <v>55000</v>
      </c>
      <c r="AC1127" s="90" t="n">
        <v>55000</v>
      </c>
      <c r="AD1127" s="90" t="n">
        <v>55000</v>
      </c>
      <c r="AE1127" s="90" t="n">
        <v>55000</v>
      </c>
      <c r="AF1127" s="90" t="n">
        <v>55000</v>
      </c>
      <c r="AG1127" s="90" t="n">
        <v>55000</v>
      </c>
      <c r="AH1127" s="90" t="n">
        <v>55000</v>
      </c>
      <c r="AI1127" s="90" t="n">
        <v>55000</v>
      </c>
      <c r="AJ1127" s="91" t="n">
        <v>55000</v>
      </c>
      <c r="AK1127" s="89" t="n">
        <v>55000</v>
      </c>
      <c r="AL1127" s="90" t="n">
        <v>55000</v>
      </c>
      <c r="AM1127" s="90"/>
      <c r="AN1127" s="90"/>
      <c r="AO1127" s="90"/>
      <c r="AP1127" s="90"/>
      <c r="AQ1127" s="90"/>
      <c r="AR1127" s="90"/>
      <c r="AS1127" s="90"/>
      <c r="AT1127" s="90"/>
      <c r="AU1127" s="90"/>
      <c r="AV1127" s="91"/>
      <c r="AX1127" s="92"/>
    </row>
    <row r="1128" customFormat="false" ht="15.65" hidden="false" customHeight="false" outlineLevel="0" collapsed="false">
      <c r="C1128" s="72" t="n">
        <f aca="false">COUNTIFS($D$6:D1128,"&lt;&gt;"&amp;"")</f>
        <v>1123</v>
      </c>
      <c r="D1128" s="73" t="s">
        <v>5</v>
      </c>
      <c r="E1128" s="76" t="str">
        <f aca="false">
IF($D1128="정상",INDEX(임대자산!$D$3:$R$3000,MATCH($F1128,임대자산!$I$3:$I$3000,0),MATCH(E$3,임대자산!$D$3:$R$3,0)),
IF($D1128="폐업",INDEX(폐업정보!$D$3:$R$3000,MATCH($F1128,폐업정보!$I$3:$I$3000,0),MATCH(E$3,폐업정보!$D$3:$R$3,0)),
"Error"))</f>
        <v>서울</v>
      </c>
      <c r="F112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B1123</v>
      </c>
      <c r="G1128" s="76" t="str">
        <f aca="false">F1128&amp;RANDBETWEEN(0,10)</f>
        <v>B11237</v>
      </c>
      <c r="H1128" s="75" t="n">
        <f aca="false">
IF($D1128="정상",INDEX(임대자산!$D$3:$R$3000,MATCH($F1128,임대자산!$I$3:$I$3000,0),MATCH(H$4,임대자산!$D$3:$R$3,0)),
IF($D1128="폐업",INDEX(폐업정보!$D$3:$R$3000,MATCH($F1128,폐업정보!$I$3:$I$3000,0),MATCH(H$4,폐업정보!$D$3:$R$3,0)),
"Error"))</f>
        <v>44651</v>
      </c>
      <c r="I1128" s="75" t="str">
        <f aca="false">
IF($D1128="정상",INDEX(임대자산!$D$3:$R$3000,MATCH($F1128,임대자산!$I$3:$I$3000,0),MATCH(I$4,임대자산!$D$3:$R$3,0)),
IF($D1128="폐업",INDEX(폐업정보!$D$3:$R$3000,MATCH($F1128,폐업정보!$I$3:$I$3000,0),MATCH(I$4,폐업정보!$D$3:$R$3,0)),
"Error"))</f>
        <v>A1123</v>
      </c>
      <c r="J1128" s="75" t="str">
        <f aca="false">
IF($D1128="정상",INDEX(임대자산!$D$3:$R$3000,MATCH($F1128,임대자산!$I$3:$I$3000,0),MATCH(J$4,임대자산!$D$3:$R$3,0)),
IF($D1128="폐업",INDEX(폐업정보!$D$3:$R$3000,MATCH($F1128,폐업정보!$I$3:$I$3000,0),MATCH(J$4,폐업정보!$D$3:$R$3,0)),
"Error"))</f>
        <v>9674600000</v>
      </c>
      <c r="K1128" s="75" t="str">
        <f aca="false">
IF($D1128="정상",INDEX(임대자산!$D$3:$R$3000,MATCH($F1128,임대자산!$I$3:$I$3000,0),MATCH(K$4,임대자산!$D$3:$R$3,0)),
IF($D1128="폐업",INDEX(폐업정보!$D$3:$R$3000,MATCH($F1128,폐업정보!$I$3:$I$3000,0),MATCH(K$4,폐업정보!$D$3:$R$3,0)),
"Error"))</f>
        <v>C1123</v>
      </c>
      <c r="L1128" s="75" t="str">
        <f aca="false">
IF($D1128="정상",INDEX(임대자산!$D$3:$R$3000,MATCH($F1128,임대자산!$I$3:$I$3000,0),MATCH(L$4,임대자산!$D$3:$R$3,0)),
IF($D1128="폐업",INDEX(폐업정보!$D$3:$R$3000,MATCH($F1128,폐업정보!$I$3:$I$3000,0),MATCH(L$4,폐업정보!$D$3:$R$3,0)),
"Error"))</f>
        <v>D1123</v>
      </c>
      <c r="M1128" s="76" t="s">
        <v>96</v>
      </c>
      <c r="N1128" s="77"/>
      <c r="O1128" s="78" t="s">
        <v>97</v>
      </c>
      <c r="P1128" s="79" t="n">
        <f aca="false">COUNTIFS(임대자산!$I:$I,가맹점정보!F1128,임대자산!$N:$N,가맹점정보!P$4)</f>
        <v>0</v>
      </c>
      <c r="Q1128" s="80" t="n">
        <f aca="false">COUNTIFS(임대자산!$I:$I,가맹점정보!F1128,임대자산!$N:$N,가맹점정보!Q$4)</f>
        <v>0</v>
      </c>
      <c r="R1128" s="81" t="n">
        <f aca="false">COUNTIFS(임대자산!$I:$I,가맹점정보!F1128,임대자산!$N:$N,가맹점정보!R$4)</f>
        <v>0</v>
      </c>
      <c r="S1128" s="82" t="n">
        <v>88000</v>
      </c>
      <c r="T1128" s="83" t="n">
        <v>0</v>
      </c>
      <c r="U1128" s="80" t="n">
        <f aca="false">SUM(S1128:T1128)</f>
        <v>88000</v>
      </c>
      <c r="V1128" s="84" t="s">
        <v>7</v>
      </c>
      <c r="W1128" s="80" t="str">
        <f aca="true">
IF(D1128="폐업","폐업",
IF(V1128="면제","면제",
IF(AND(V1128="정상",COUNTIFS(OFFSET(Y1128,0,COUNTA(Y1128:AV1128)-1,1,-4),"미납")&gt;=3),"장기미납",
IF(AND(V1128="정상",OFFSET(Y1128,0,COUNTA(Y1128:AV1128)-1)&gt;=U1128),"정상",
IF(AND(V1128="정상",OFFSET(Y1128,0,COUNTA(Y1128:AV1128)-1)=0),"정상",
"계약서 미작성")))))</f>
        <v>폐업</v>
      </c>
      <c r="X1128" s="81" t="str">
        <f aca="true">
IF(D1128="폐업","폐업",
IF(AND(V1128="정상",OFFSET(Y1128,0,COUNTA(Y1128:AV1128)-1)="미납"),"미납",
IF(AND(V1128="정상",OFFSET(Y1128,0,COUNTA(Y1128:AV1128)-1)=0),"납부 시작 전",
IF(AND(V1128="정상",OFFSET(Y1128,0,COUNTA(Y1128:AV1128)-1)&gt;=U1128),"정상",
IF(AND(V1128="면제",OFFSET(Y1128,0,COUNTA(Y1128:AV1128)-1)="면제"),"면제",
IF(AND(V1128="면제",OFFSET(Y1128,0,COUNTA(Y1128:AV1128)-1)=0),"면제",
"확인요청"))))))</f>
        <v>폐업</v>
      </c>
      <c r="Y1128" s="94" t="s">
        <v>7</v>
      </c>
      <c r="Z1128" s="95" t="s">
        <v>7</v>
      </c>
      <c r="AA1128" s="95" t="s">
        <v>7</v>
      </c>
      <c r="AB1128" s="95" t="s">
        <v>7</v>
      </c>
      <c r="AC1128" s="95" t="s">
        <v>7</v>
      </c>
      <c r="AD1128" s="95" t="s">
        <v>7</v>
      </c>
      <c r="AE1128" s="95" t="s">
        <v>7</v>
      </c>
      <c r="AF1128" s="95" t="s">
        <v>7</v>
      </c>
      <c r="AG1128" s="95" t="s">
        <v>7</v>
      </c>
      <c r="AH1128" s="95" t="s">
        <v>7</v>
      </c>
      <c r="AI1128" s="95" t="s">
        <v>7</v>
      </c>
      <c r="AJ1128" s="96" t="s">
        <v>7</v>
      </c>
      <c r="AK1128" s="97" t="s">
        <v>7</v>
      </c>
      <c r="AL1128" s="95" t="s">
        <v>7</v>
      </c>
      <c r="AM1128" s="90"/>
      <c r="AN1128" s="90"/>
      <c r="AO1128" s="90"/>
      <c r="AP1128" s="90"/>
      <c r="AQ1128" s="90"/>
      <c r="AR1128" s="90"/>
      <c r="AS1128" s="90"/>
      <c r="AT1128" s="90"/>
      <c r="AU1128" s="90"/>
      <c r="AV1128" s="91"/>
      <c r="AX1128" s="92"/>
    </row>
    <row r="1129" customFormat="false" ht="15.65" hidden="false" customHeight="false" outlineLevel="0" collapsed="false">
      <c r="C1129" s="72" t="n">
        <f aca="false">COUNTIFS($D$6:D1129,"&lt;&gt;"&amp;"")</f>
        <v>1124</v>
      </c>
      <c r="D1129" s="73" t="s">
        <v>12</v>
      </c>
      <c r="E1129" s="76" t="str">
        <f aca="false">
IF($D1129="정상",INDEX(임대자산!$D$3:$R$3000,MATCH($F1129,임대자산!$I$3:$I$3000,0),MATCH(E$3,임대자산!$D$3:$R$3,0)),
IF($D1129="폐업",INDEX(폐업정보!$D$3:$R$3000,MATCH($F1129,폐업정보!$I$3:$I$3000,0),MATCH(E$3,폐업정보!$D$3:$R$3,0)),
"Error"))</f>
        <v>서울</v>
      </c>
      <c r="F112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B1124</v>
      </c>
      <c r="G1129" s="76" t="str">
        <f aca="false">F1129&amp;RANDBETWEEN(0,10)</f>
        <v>B11242</v>
      </c>
      <c r="H1129" s="75" t="n">
        <f aca="false">
IF($D1129="정상",INDEX(임대자산!$D$3:$R$3000,MATCH($F1129,임대자산!$I$3:$I$3000,0),MATCH(H$4,임대자산!$D$3:$R$3,0)),
IF($D1129="폐업",INDEX(폐업정보!$D$3:$R$3000,MATCH($F1129,폐업정보!$I$3:$I$3000,0),MATCH(H$4,폐업정보!$D$3:$R$3,0)),
"Error"))</f>
        <v>45428</v>
      </c>
      <c r="I1129" s="75" t="str">
        <f aca="false">
IF($D1129="정상",INDEX(임대자산!$D$3:$R$3000,MATCH($F1129,임대자산!$I$3:$I$3000,0),MATCH(I$4,임대자산!$D$3:$R$3,0)),
IF($D1129="폐업",INDEX(폐업정보!$D$3:$R$3000,MATCH($F1129,폐업정보!$I$3:$I$3000,0),MATCH(I$4,폐업정보!$D$3:$R$3,0)),
"Error"))</f>
        <v>A1124</v>
      </c>
      <c r="J1129" s="75" t="str">
        <f aca="false">
IF($D1129="정상",INDEX(임대자산!$D$3:$R$3000,MATCH($F1129,임대자산!$I$3:$I$3000,0),MATCH(J$4,임대자산!$D$3:$R$3,0)),
IF($D1129="폐업",INDEX(폐업정보!$D$3:$R$3000,MATCH($F1129,폐업정보!$I$3:$I$3000,0),MATCH(J$4,폐업정보!$D$3:$R$3,0)),
"Error"))</f>
        <v>9405100000</v>
      </c>
      <c r="K1129" s="75" t="str">
        <f aca="false">
IF($D1129="정상",INDEX(임대자산!$D$3:$R$3000,MATCH($F1129,임대자산!$I$3:$I$3000,0),MATCH(K$4,임대자산!$D$3:$R$3,0)),
IF($D1129="폐업",INDEX(폐업정보!$D$3:$R$3000,MATCH($F1129,폐업정보!$I$3:$I$3000,0),MATCH(K$4,폐업정보!$D$3:$R$3,0)),
"Error"))</f>
        <v>C1124</v>
      </c>
      <c r="L1129" s="75" t="str">
        <f aca="false">
IF($D1129="정상",INDEX(임대자산!$D$3:$R$3000,MATCH($F1129,임대자산!$I$3:$I$3000,0),MATCH(L$4,임대자산!$D$3:$R$3,0)),
IF($D1129="폐업",INDEX(폐업정보!$D$3:$R$3000,MATCH($F1129,폐업정보!$I$3:$I$3000,0),MATCH(L$4,폐업정보!$D$3:$R$3,0)),
"Error"))</f>
        <v>D1124</v>
      </c>
      <c r="M1129" s="76" t="s">
        <v>96</v>
      </c>
      <c r="N1129" s="77"/>
      <c r="O1129" s="78" t="s">
        <v>97</v>
      </c>
      <c r="P1129" s="79" t="n">
        <f aca="false">COUNTIFS(임대자산!$I:$I,가맹점정보!F1129,임대자산!$N:$N,가맹점정보!P$4)</f>
        <v>0</v>
      </c>
      <c r="Q1129" s="80" t="n">
        <f aca="false">COUNTIFS(임대자산!$I:$I,가맹점정보!F1129,임대자산!$N:$N,가맹점정보!Q$4)</f>
        <v>0</v>
      </c>
      <c r="R1129" s="81" t="n">
        <f aca="false">COUNTIFS(임대자산!$I:$I,가맹점정보!F1129,임대자산!$N:$N,가맹점정보!R$4)</f>
        <v>1</v>
      </c>
      <c r="S1129" s="82" t="n">
        <v>55000</v>
      </c>
      <c r="T1129" s="83" t="n">
        <v>0</v>
      </c>
      <c r="U1129" s="80" t="n">
        <f aca="false">SUM(S1129:T1129)</f>
        <v>55000</v>
      </c>
      <c r="V1129" s="84" t="s">
        <v>7</v>
      </c>
      <c r="W1129" s="80" t="str">
        <f aca="true">
IF(D1129="폐업","폐업",
IF(V1129="면제","면제",
IF(AND(V1129="정상",COUNTIFS(OFFSET(Y1129,0,COUNTA(Y1129:AV1129)-1,1,-4),"미납")&gt;=3),"장기미납",
IF(AND(V1129="정상",OFFSET(Y1129,0,COUNTA(Y1129:AV1129)-1)&gt;=U1129),"정상",
IF(AND(V1129="정상",OFFSET(Y1129,0,COUNTA(Y1129:AV1129)-1)=0),"정상",
"계약서 미작성")))))</f>
        <v>면제</v>
      </c>
      <c r="X1129" s="81" t="str">
        <f aca="true">
IF(D1129="폐업","폐업",
IF(AND(V1129="정상",OFFSET(Y1129,0,COUNTA(Y1129:AV1129)-1)="미납"),"미납",
IF(AND(V1129="정상",OFFSET(Y1129,0,COUNTA(Y1129:AV1129)-1)=0),"납부 시작 전",
IF(AND(V1129="정상",OFFSET(Y1129,0,COUNTA(Y1129:AV1129)-1)&gt;=U1129),"정상",
IF(AND(V1129="면제",OFFSET(Y1129,0,COUNTA(Y1129:AV1129)-1)="면제"),"면제",
IF(AND(V1129="면제",OFFSET(Y1129,0,COUNTA(Y1129:AV1129)-1)=0),"면제",
"확인요청"))))))</f>
        <v>면제</v>
      </c>
      <c r="Y1129" s="94" t="s">
        <v>7</v>
      </c>
      <c r="Z1129" s="95" t="s">
        <v>7</v>
      </c>
      <c r="AA1129" s="95" t="s">
        <v>7</v>
      </c>
      <c r="AB1129" s="95" t="s">
        <v>7</v>
      </c>
      <c r="AC1129" s="95" t="s">
        <v>7</v>
      </c>
      <c r="AD1129" s="95" t="s">
        <v>7</v>
      </c>
      <c r="AE1129" s="95" t="s">
        <v>7</v>
      </c>
      <c r="AF1129" s="95" t="s">
        <v>7</v>
      </c>
      <c r="AG1129" s="95" t="s">
        <v>7</v>
      </c>
      <c r="AH1129" s="95" t="s">
        <v>7</v>
      </c>
      <c r="AI1129" s="95" t="s">
        <v>7</v>
      </c>
      <c r="AJ1129" s="96" t="s">
        <v>7</v>
      </c>
      <c r="AK1129" s="97" t="s">
        <v>7</v>
      </c>
      <c r="AL1129" s="95" t="s">
        <v>7</v>
      </c>
      <c r="AM1129" s="90"/>
      <c r="AN1129" s="90"/>
      <c r="AO1129" s="90"/>
      <c r="AP1129" s="90"/>
      <c r="AQ1129" s="90"/>
      <c r="AR1129" s="90"/>
      <c r="AS1129" s="90"/>
      <c r="AT1129" s="90"/>
      <c r="AU1129" s="90"/>
      <c r="AV1129" s="91"/>
      <c r="AX1129" s="92"/>
    </row>
    <row r="1130" customFormat="false" ht="15.65" hidden="false" customHeight="false" outlineLevel="0" collapsed="false">
      <c r="C1130" s="72" t="n">
        <f aca="false">COUNTIFS($D$6:D1130,"&lt;&gt;"&amp;"")</f>
        <v>1125</v>
      </c>
      <c r="D1130" s="73" t="s">
        <v>12</v>
      </c>
      <c r="E1130" s="76" t="str">
        <f aca="false">
IF($D1130="정상",INDEX(임대자산!$D$3:$R$3000,MATCH($F1130,임대자산!$I$3:$I$3000,0),MATCH(E$3,임대자산!$D$3:$R$3,0)),
IF($D1130="폐업",INDEX(폐업정보!$D$3:$R$3000,MATCH($F1130,폐업정보!$I$3:$I$3000,0),MATCH(E$3,폐업정보!$D$3:$R$3,0)),
"Error"))</f>
        <v>서울</v>
      </c>
      <c r="F113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B1125</v>
      </c>
      <c r="G1130" s="76" t="str">
        <f aca="false">F1130&amp;RANDBETWEEN(0,10)</f>
        <v>B11253</v>
      </c>
      <c r="H1130" s="75" t="n">
        <f aca="false">
IF($D1130="정상",INDEX(임대자산!$D$3:$R$3000,MATCH($F1130,임대자산!$I$3:$I$3000,0),MATCH(H$4,임대자산!$D$3:$R$3,0)),
IF($D1130="폐업",INDEX(폐업정보!$D$3:$R$3000,MATCH($F1130,폐업정보!$I$3:$I$3000,0),MATCH(H$4,폐업정보!$D$3:$R$3,0)),
"Error"))</f>
        <v>45467</v>
      </c>
      <c r="I1130" s="75" t="str">
        <f aca="false">
IF($D1130="정상",INDEX(임대자산!$D$3:$R$3000,MATCH($F1130,임대자산!$I$3:$I$3000,0),MATCH(I$4,임대자산!$D$3:$R$3,0)),
IF($D1130="폐업",INDEX(폐업정보!$D$3:$R$3000,MATCH($F1130,폐업정보!$I$3:$I$3000,0),MATCH(I$4,폐업정보!$D$3:$R$3,0)),
"Error"))</f>
        <v>A1125</v>
      </c>
      <c r="J1130" s="75" t="str">
        <f aca="false">
IF($D1130="정상",INDEX(임대자산!$D$3:$R$3000,MATCH($F1130,임대자산!$I$3:$I$3000,0),MATCH(J$4,임대자산!$D$3:$R$3,0)),
IF($D1130="폐업",INDEX(폐업정보!$D$3:$R$3000,MATCH($F1130,폐업정보!$I$3:$I$3000,0),MATCH(J$4,폐업정보!$D$3:$R$3,0)),
"Error"))</f>
        <v>1780500000</v>
      </c>
      <c r="K1130" s="75" t="str">
        <f aca="false">
IF($D1130="정상",INDEX(임대자산!$D$3:$R$3000,MATCH($F1130,임대자산!$I$3:$I$3000,0),MATCH(K$4,임대자산!$D$3:$R$3,0)),
IF($D1130="폐업",INDEX(폐업정보!$D$3:$R$3000,MATCH($F1130,폐업정보!$I$3:$I$3000,0),MATCH(K$4,폐업정보!$D$3:$R$3,0)),
"Error"))</f>
        <v>C1125</v>
      </c>
      <c r="L1130" s="75" t="str">
        <f aca="false">
IF($D1130="정상",INDEX(임대자산!$D$3:$R$3000,MATCH($F1130,임대자산!$I$3:$I$3000,0),MATCH(L$4,임대자산!$D$3:$R$3,0)),
IF($D1130="폐업",INDEX(폐업정보!$D$3:$R$3000,MATCH($F1130,폐업정보!$I$3:$I$3000,0),MATCH(L$4,폐업정보!$D$3:$R$3,0)),
"Error"))</f>
        <v>D1125</v>
      </c>
      <c r="M1130" s="76" t="s">
        <v>96</v>
      </c>
      <c r="N1130" s="77"/>
      <c r="O1130" s="78" t="s">
        <v>97</v>
      </c>
      <c r="P1130" s="79" t="n">
        <f aca="false">COUNTIFS(임대자산!$I:$I,가맹점정보!F1130,임대자산!$N:$N,가맹점정보!P$4)</f>
        <v>0</v>
      </c>
      <c r="Q1130" s="80" t="n">
        <f aca="false">COUNTIFS(임대자산!$I:$I,가맹점정보!F1130,임대자산!$N:$N,가맹점정보!Q$4)</f>
        <v>0</v>
      </c>
      <c r="R1130" s="81" t="n">
        <f aca="false">COUNTIFS(임대자산!$I:$I,가맹점정보!F1130,임대자산!$N:$N,가맹점정보!R$4)</f>
        <v>1</v>
      </c>
      <c r="S1130" s="82" t="n">
        <v>55000</v>
      </c>
      <c r="T1130" s="83" t="n">
        <v>0</v>
      </c>
      <c r="U1130" s="80" t="n">
        <f aca="false">SUM(S1130:T1130)</f>
        <v>55000</v>
      </c>
      <c r="V1130" s="84" t="s">
        <v>7</v>
      </c>
      <c r="W1130" s="80" t="str">
        <f aca="true">
IF(D1130="폐업","폐업",
IF(V1130="면제","면제",
IF(AND(V1130="정상",COUNTIFS(OFFSET(Y1130,0,COUNTA(Y1130:AV1130)-1,1,-4),"미납")&gt;=3),"장기미납",
IF(AND(V1130="정상",OFFSET(Y1130,0,COUNTA(Y1130:AV1130)-1)&gt;=U1130),"정상",
IF(AND(V1130="정상",OFFSET(Y1130,0,COUNTA(Y1130:AV1130)-1)=0),"정상",
"계약서 미작성")))))</f>
        <v>면제</v>
      </c>
      <c r="X1130" s="81" t="str">
        <f aca="true">
IF(D1130="폐업","폐업",
IF(AND(V1130="정상",OFFSET(Y1130,0,COUNTA(Y1130:AV1130)-1)="미납"),"미납",
IF(AND(V1130="정상",OFFSET(Y1130,0,COUNTA(Y1130:AV1130)-1)=0),"납부 시작 전",
IF(AND(V1130="정상",OFFSET(Y1130,0,COUNTA(Y1130:AV1130)-1)&gt;=U1130),"정상",
IF(AND(V1130="면제",OFFSET(Y1130,0,COUNTA(Y1130:AV1130)-1)="면제"),"면제",
IF(AND(V1130="면제",OFFSET(Y1130,0,COUNTA(Y1130:AV1130)-1)=0),"면제",
"확인요청"))))))</f>
        <v>면제</v>
      </c>
      <c r="Y1130" s="94" t="s">
        <v>7</v>
      </c>
      <c r="Z1130" s="95" t="s">
        <v>7</v>
      </c>
      <c r="AA1130" s="95" t="s">
        <v>7</v>
      </c>
      <c r="AB1130" s="95" t="s">
        <v>7</v>
      </c>
      <c r="AC1130" s="95" t="s">
        <v>7</v>
      </c>
      <c r="AD1130" s="95" t="s">
        <v>7</v>
      </c>
      <c r="AE1130" s="95" t="s">
        <v>7</v>
      </c>
      <c r="AF1130" s="95" t="s">
        <v>7</v>
      </c>
      <c r="AG1130" s="95" t="s">
        <v>7</v>
      </c>
      <c r="AH1130" s="95" t="s">
        <v>7</v>
      </c>
      <c r="AI1130" s="95" t="s">
        <v>7</v>
      </c>
      <c r="AJ1130" s="96" t="s">
        <v>7</v>
      </c>
      <c r="AK1130" s="97" t="s">
        <v>7</v>
      </c>
      <c r="AL1130" s="95" t="s">
        <v>7</v>
      </c>
      <c r="AM1130" s="90"/>
      <c r="AN1130" s="90"/>
      <c r="AO1130" s="90"/>
      <c r="AP1130" s="90"/>
      <c r="AQ1130" s="90"/>
      <c r="AR1130" s="90"/>
      <c r="AS1130" s="90"/>
      <c r="AT1130" s="90"/>
      <c r="AU1130" s="90"/>
      <c r="AV1130" s="91"/>
      <c r="AX1130" s="92"/>
    </row>
    <row r="1131" customFormat="false" ht="15.65" hidden="false" customHeight="false" outlineLevel="0" collapsed="false">
      <c r="C1131" s="72" t="n">
        <f aca="false">COUNTIFS($D$6:D1131,"&lt;&gt;"&amp;"")</f>
        <v>1126</v>
      </c>
      <c r="D1131" s="73" t="s">
        <v>12</v>
      </c>
      <c r="E1131" s="76" t="str">
        <f aca="false">
IF($D1131="정상",INDEX(임대자산!$D$3:$R$3000,MATCH($F1131,임대자산!$I$3:$I$3000,0),MATCH(E$3,임대자산!$D$3:$R$3,0)),
IF($D1131="폐업",INDEX(폐업정보!$D$3:$R$3000,MATCH($F1131,폐업정보!$I$3:$I$3000,0),MATCH(E$3,폐업정보!$D$3:$R$3,0)),
"Error"))</f>
        <v>서울</v>
      </c>
      <c r="F113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B1126</v>
      </c>
      <c r="G1131" s="76" t="str">
        <f aca="false">F1131&amp;RANDBETWEEN(0,10)</f>
        <v>B11262</v>
      </c>
      <c r="H1131" s="75" t="n">
        <f aca="false">
IF($D1131="정상",INDEX(임대자산!$D$3:$R$3000,MATCH($F1131,임대자산!$I$3:$I$3000,0),MATCH(H$4,임대자산!$D$3:$R$3,0)),
IF($D1131="폐업",INDEX(폐업정보!$D$3:$R$3000,MATCH($F1131,폐업정보!$I$3:$I$3000,0),MATCH(H$4,폐업정보!$D$3:$R$3,0)),
"Error"))</f>
        <v>45467</v>
      </c>
      <c r="I1131" s="75" t="str">
        <f aca="false">
IF($D1131="정상",INDEX(임대자산!$D$3:$R$3000,MATCH($F1131,임대자산!$I$3:$I$3000,0),MATCH(I$4,임대자산!$D$3:$R$3,0)),
IF($D1131="폐업",INDEX(폐업정보!$D$3:$R$3000,MATCH($F1131,폐업정보!$I$3:$I$3000,0),MATCH(I$4,폐업정보!$D$3:$R$3,0)),
"Error"))</f>
        <v>A1126</v>
      </c>
      <c r="J1131" s="75" t="str">
        <f aca="false">
IF($D1131="정상",INDEX(임대자산!$D$3:$R$3000,MATCH($F1131,임대자산!$I$3:$I$3000,0),MATCH(J$4,임대자산!$D$3:$R$3,0)),
IF($D1131="폐업",INDEX(폐업정보!$D$3:$R$3000,MATCH($F1131,폐업정보!$I$3:$I$3000,0),MATCH(J$4,폐업정보!$D$3:$R$3,0)),
"Error"))</f>
        <v>4861700000</v>
      </c>
      <c r="K1131" s="75" t="str">
        <f aca="false">
IF($D1131="정상",INDEX(임대자산!$D$3:$R$3000,MATCH($F1131,임대자산!$I$3:$I$3000,0),MATCH(K$4,임대자산!$D$3:$R$3,0)),
IF($D1131="폐업",INDEX(폐업정보!$D$3:$R$3000,MATCH($F1131,폐업정보!$I$3:$I$3000,0),MATCH(K$4,폐업정보!$D$3:$R$3,0)),
"Error"))</f>
        <v>C1126</v>
      </c>
      <c r="L1131" s="75" t="str">
        <f aca="false">
IF($D1131="정상",INDEX(임대자산!$D$3:$R$3000,MATCH($F1131,임대자산!$I$3:$I$3000,0),MATCH(L$4,임대자산!$D$3:$R$3,0)),
IF($D1131="폐업",INDEX(폐업정보!$D$3:$R$3000,MATCH($F1131,폐업정보!$I$3:$I$3000,0),MATCH(L$4,폐업정보!$D$3:$R$3,0)),
"Error"))</f>
        <v>D1126</v>
      </c>
      <c r="M1131" s="76" t="s">
        <v>96</v>
      </c>
      <c r="N1131" s="77"/>
      <c r="O1131" s="78" t="s">
        <v>97</v>
      </c>
      <c r="P1131" s="79" t="n">
        <f aca="false">COUNTIFS(임대자산!$I:$I,가맹점정보!F1131,임대자산!$N:$N,가맹점정보!P$4)</f>
        <v>0</v>
      </c>
      <c r="Q1131" s="80" t="n">
        <f aca="false">COUNTIFS(임대자산!$I:$I,가맹점정보!F1131,임대자산!$N:$N,가맹점정보!Q$4)</f>
        <v>0</v>
      </c>
      <c r="R1131" s="81" t="n">
        <f aca="false">COUNTIFS(임대자산!$I:$I,가맹점정보!F1131,임대자산!$N:$N,가맹점정보!R$4)</f>
        <v>1</v>
      </c>
      <c r="S1131" s="82" t="n">
        <v>88000</v>
      </c>
      <c r="T1131" s="83" t="n">
        <v>0</v>
      </c>
      <c r="U1131" s="80" t="n">
        <f aca="false">SUM(S1131:T1131)</f>
        <v>88000</v>
      </c>
      <c r="V1131" s="84" t="s">
        <v>12</v>
      </c>
      <c r="W1131" s="80" t="e">
        <f aca="true">
IF(D1131="폐업","폐업",
IF(V1131="면제","면제",
IF(AND(V1131="정상",COUNTIFS(OFFSET(Y1131,0,COUNTA(Y1131:AV1131)-1,1,-4),"미납")&gt;=3),"장기미납",
IF(AND(V1131="정상",OFFSET(Y1131,0,COUNTA(Y1131:AV1131)-1)&gt;=U1131),"정상",
IF(AND(V1131="정상",OFFSET(Y1131,0,COUNTA(Y1131:AV1131)-1)=0),"정상",
"계약서 미작성")))))</f>
        <v>#VALUE!</v>
      </c>
      <c r="X1131" s="81" t="str">
        <f aca="true">
IF(D1131="폐업","폐업",
IF(AND(V1131="정상",OFFSET(Y1131,0,COUNTA(Y1131:AV1131)-1)="미납"),"미납",
IF(AND(V1131="정상",OFFSET(Y1131,0,COUNTA(Y1131:AV1131)-1)=0),"납부 시작 전",
IF(AND(V1131="정상",OFFSET(Y1131,0,COUNTA(Y1131:AV1131)-1)&gt;=U1131),"정상",
IF(AND(V1131="면제",OFFSET(Y1131,0,COUNTA(Y1131:AV1131)-1)="면제"),"면제",
IF(AND(V1131="면제",OFFSET(Y1131,0,COUNTA(Y1131:AV1131)-1)=0),"면제",
"확인요청"))))))</f>
        <v>정상</v>
      </c>
      <c r="Y1131" s="93" t="n">
        <v>88000</v>
      </c>
      <c r="Z1131" s="90" t="n">
        <v>88000</v>
      </c>
      <c r="AA1131" s="90" t="n">
        <v>88000</v>
      </c>
      <c r="AB1131" s="90" t="n">
        <v>88000</v>
      </c>
      <c r="AC1131" s="90" t="n">
        <v>88000</v>
      </c>
      <c r="AD1131" s="90" t="n">
        <v>88000</v>
      </c>
      <c r="AE1131" s="90" t="n">
        <v>88000</v>
      </c>
      <c r="AF1131" s="90" t="n">
        <v>88000</v>
      </c>
      <c r="AG1131" s="90" t="n">
        <v>88000</v>
      </c>
      <c r="AH1131" s="90" t="n">
        <v>88000</v>
      </c>
      <c r="AI1131" s="90" t="n">
        <v>88000</v>
      </c>
      <c r="AJ1131" s="91" t="n">
        <v>88000</v>
      </c>
      <c r="AK1131" s="89" t="n">
        <v>88000</v>
      </c>
      <c r="AL1131" s="90" t="n">
        <v>88000</v>
      </c>
      <c r="AM1131" s="90"/>
      <c r="AN1131" s="90"/>
      <c r="AO1131" s="90"/>
      <c r="AP1131" s="90"/>
      <c r="AQ1131" s="90"/>
      <c r="AR1131" s="90"/>
      <c r="AS1131" s="90"/>
      <c r="AT1131" s="90"/>
      <c r="AU1131" s="90"/>
      <c r="AV1131" s="91"/>
      <c r="AX1131" s="92"/>
    </row>
    <row r="1132" customFormat="false" ht="15.65" hidden="false" customHeight="false" outlineLevel="0" collapsed="false">
      <c r="C1132" s="72" t="n">
        <f aca="false">COUNTIFS($D$6:D1132,"&lt;&gt;"&amp;"")</f>
        <v>1127</v>
      </c>
      <c r="D1132" s="73" t="s">
        <v>12</v>
      </c>
      <c r="E1132" s="76" t="str">
        <f aca="false">
IF($D1132="정상",INDEX(임대자산!$D$3:$R$3000,MATCH($F1132,임대자산!$I$3:$I$3000,0),MATCH(E$3,임대자산!$D$3:$R$3,0)),
IF($D1132="폐업",INDEX(폐업정보!$D$3:$R$3000,MATCH($F1132,폐업정보!$I$3:$I$3000,0),MATCH(E$3,폐업정보!$D$3:$R$3,0)),
"Error"))</f>
        <v>서울</v>
      </c>
      <c r="F113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B1127</v>
      </c>
      <c r="G1132" s="76" t="str">
        <f aca="false">F1132&amp;RANDBETWEEN(0,10)</f>
        <v>B11278</v>
      </c>
      <c r="H1132" s="75" t="n">
        <f aca="false">
IF($D1132="정상",INDEX(임대자산!$D$3:$R$3000,MATCH($F1132,임대자산!$I$3:$I$3000,0),MATCH(H$4,임대자산!$D$3:$R$3,0)),
IF($D1132="폐업",INDEX(폐업정보!$D$3:$R$3000,MATCH($F1132,폐업정보!$I$3:$I$3000,0),MATCH(H$4,폐업정보!$D$3:$R$3,0)),
"Error"))</f>
        <v>46008</v>
      </c>
      <c r="I1132" s="75" t="str">
        <f aca="false">
IF($D1132="정상",INDEX(임대자산!$D$3:$R$3000,MATCH($F1132,임대자산!$I$3:$I$3000,0),MATCH(I$4,임대자산!$D$3:$R$3,0)),
IF($D1132="폐업",INDEX(폐업정보!$D$3:$R$3000,MATCH($F1132,폐업정보!$I$3:$I$3000,0),MATCH(I$4,폐업정보!$D$3:$R$3,0)),
"Error"))</f>
        <v>A1127</v>
      </c>
      <c r="J1132" s="75" t="str">
        <f aca="false">
IF($D1132="정상",INDEX(임대자산!$D$3:$R$3000,MATCH($F1132,임대자산!$I$3:$I$3000,0),MATCH(J$4,임대자산!$D$3:$R$3,0)),
IF($D1132="폐업",INDEX(폐업정보!$D$3:$R$3000,MATCH($F1132,폐업정보!$I$3:$I$3000,0),MATCH(J$4,폐업정보!$D$3:$R$3,0)),
"Error"))</f>
        <v>7898700000</v>
      </c>
      <c r="K1132" s="75" t="str">
        <f aca="false">
IF($D1132="정상",INDEX(임대자산!$D$3:$R$3000,MATCH($F1132,임대자산!$I$3:$I$3000,0),MATCH(K$4,임대자산!$D$3:$R$3,0)),
IF($D1132="폐업",INDEX(폐업정보!$D$3:$R$3000,MATCH($F1132,폐업정보!$I$3:$I$3000,0),MATCH(K$4,폐업정보!$D$3:$R$3,0)),
"Error"))</f>
        <v>C1127</v>
      </c>
      <c r="L1132" s="75" t="str">
        <f aca="false">
IF($D1132="정상",INDEX(임대자산!$D$3:$R$3000,MATCH($F1132,임대자산!$I$3:$I$3000,0),MATCH(L$4,임대자산!$D$3:$R$3,0)),
IF($D1132="폐업",INDEX(폐업정보!$D$3:$R$3000,MATCH($F1132,폐업정보!$I$3:$I$3000,0),MATCH(L$4,폐업정보!$D$3:$R$3,0)),
"Error"))</f>
        <v>D1127</v>
      </c>
      <c r="M1132" s="76" t="s">
        <v>96</v>
      </c>
      <c r="N1132" s="77"/>
      <c r="O1132" s="78" t="s">
        <v>97</v>
      </c>
      <c r="P1132" s="79" t="n">
        <f aca="false">COUNTIFS(임대자산!$I:$I,가맹점정보!F1132,임대자산!$N:$N,가맹점정보!P$4)</f>
        <v>0</v>
      </c>
      <c r="Q1132" s="80" t="n">
        <f aca="false">COUNTIFS(임대자산!$I:$I,가맹점정보!F1132,임대자산!$N:$N,가맹점정보!Q$4)</f>
        <v>0</v>
      </c>
      <c r="R1132" s="81" t="n">
        <f aca="false">COUNTIFS(임대자산!$I:$I,가맹점정보!F1132,임대자산!$N:$N,가맹점정보!R$4)</f>
        <v>1</v>
      </c>
      <c r="S1132" s="82" t="n">
        <v>55000</v>
      </c>
      <c r="T1132" s="83" t="n">
        <v>0</v>
      </c>
      <c r="U1132" s="80" t="n">
        <f aca="false">SUM(S1132:T1132)</f>
        <v>55000</v>
      </c>
      <c r="V1132" s="84" t="s">
        <v>12</v>
      </c>
      <c r="W1132" s="80" t="e">
        <f aca="true">
IF(D1132="폐업","폐업",
IF(V1132="면제","면제",
IF(AND(V1132="정상",COUNTIFS(OFFSET(Y1132,0,COUNTA(Y1132:AV1132)-1,1,-4),"미납")&gt;=3),"장기미납",
IF(AND(V1132="정상",OFFSET(Y1132,0,COUNTA(Y1132:AV1132)-1)&gt;=U1132),"정상",
IF(AND(V1132="정상",OFFSET(Y1132,0,COUNTA(Y1132:AV1132)-1)=0),"정상",
"계약서 미작성")))))</f>
        <v>#VALUE!</v>
      </c>
      <c r="X1132" s="81" t="str">
        <f aca="true">
IF(D1132="폐업","폐업",
IF(AND(V1132="정상",OFFSET(Y1132,0,COUNTA(Y1132:AV1132)-1)="미납"),"미납",
IF(AND(V1132="정상",OFFSET(Y1132,0,COUNTA(Y1132:AV1132)-1)=0),"납부 시작 전",
IF(AND(V1132="정상",OFFSET(Y1132,0,COUNTA(Y1132:AV1132)-1)&gt;=U1132),"정상",
IF(AND(V1132="면제",OFFSET(Y1132,0,COUNTA(Y1132:AV1132)-1)="면제"),"면제",
IF(AND(V1132="면제",OFFSET(Y1132,0,COUNTA(Y1132:AV1132)-1)=0),"면제",
"확인요청"))))))</f>
        <v>정상</v>
      </c>
      <c r="Y1132" s="93" t="n">
        <v>55000</v>
      </c>
      <c r="Z1132" s="90" t="n">
        <v>55000</v>
      </c>
      <c r="AA1132" s="90" t="n">
        <v>55000</v>
      </c>
      <c r="AB1132" s="90" t="n">
        <v>55000</v>
      </c>
      <c r="AC1132" s="90" t="n">
        <v>55000</v>
      </c>
      <c r="AD1132" s="90" t="n">
        <v>55000</v>
      </c>
      <c r="AE1132" s="90" t="n">
        <v>55000</v>
      </c>
      <c r="AF1132" s="90" t="n">
        <v>55000</v>
      </c>
      <c r="AG1132" s="90" t="n">
        <v>55000</v>
      </c>
      <c r="AH1132" s="90" t="n">
        <v>55000</v>
      </c>
      <c r="AI1132" s="90" t="n">
        <v>55000</v>
      </c>
      <c r="AJ1132" s="91" t="n">
        <v>55000</v>
      </c>
      <c r="AK1132" s="89" t="n">
        <v>55000</v>
      </c>
      <c r="AL1132" s="90" t="n">
        <v>55000</v>
      </c>
      <c r="AM1132" s="90"/>
      <c r="AN1132" s="90"/>
      <c r="AO1132" s="90"/>
      <c r="AP1132" s="90"/>
      <c r="AQ1132" s="90"/>
      <c r="AR1132" s="90"/>
      <c r="AS1132" s="90"/>
      <c r="AT1132" s="90"/>
      <c r="AU1132" s="90"/>
      <c r="AV1132" s="91"/>
      <c r="AX1132" s="92"/>
    </row>
    <row r="1133" customFormat="false" ht="15.65" hidden="false" customHeight="false" outlineLevel="0" collapsed="false">
      <c r="C1133" s="72" t="n">
        <f aca="false">COUNTIFS($D$6:D1133,"&lt;&gt;"&amp;"")</f>
        <v>1128</v>
      </c>
      <c r="D1133" s="73" t="s">
        <v>5</v>
      </c>
      <c r="E1133" s="76" t="str">
        <f aca="false">
IF($D1133="정상",INDEX(임대자산!$D$3:$R$3000,MATCH($F1133,임대자산!$I$3:$I$3000,0),MATCH(E$3,임대자산!$D$3:$R$3,0)),
IF($D1133="폐업",INDEX(폐업정보!$D$3:$R$3000,MATCH($F1133,폐업정보!$I$3:$I$3000,0),MATCH(E$3,폐업정보!$D$3:$R$3,0)),
"Error"))</f>
        <v>서울</v>
      </c>
      <c r="F113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B1128</v>
      </c>
      <c r="G1133" s="76" t="str">
        <f aca="false">F1133&amp;RANDBETWEEN(0,10)</f>
        <v>B11280</v>
      </c>
      <c r="H1133" s="75" t="n">
        <f aca="false">
IF($D1133="정상",INDEX(임대자산!$D$3:$R$3000,MATCH($F1133,임대자산!$I$3:$I$3000,0),MATCH(H$4,임대자산!$D$3:$R$3,0)),
IF($D1133="폐업",INDEX(폐업정보!$D$3:$R$3000,MATCH($F1133,폐업정보!$I$3:$I$3000,0),MATCH(H$4,폐업정보!$D$3:$R$3,0)),
"Error"))</f>
        <v>46008</v>
      </c>
      <c r="I1133" s="75" t="str">
        <f aca="false">
IF($D1133="정상",INDEX(임대자산!$D$3:$R$3000,MATCH($F1133,임대자산!$I$3:$I$3000,0),MATCH(I$4,임대자산!$D$3:$R$3,0)),
IF($D1133="폐업",INDEX(폐업정보!$D$3:$R$3000,MATCH($F1133,폐업정보!$I$3:$I$3000,0),MATCH(I$4,폐업정보!$D$3:$R$3,0)),
"Error"))</f>
        <v>A1128</v>
      </c>
      <c r="J1133" s="75" t="str">
        <f aca="false">
IF($D1133="정상",INDEX(임대자산!$D$3:$R$3000,MATCH($F1133,임대자산!$I$3:$I$3000,0),MATCH(J$4,임대자산!$D$3:$R$3,0)),
IF($D1133="폐업",INDEX(폐업정보!$D$3:$R$3000,MATCH($F1133,폐업정보!$I$3:$I$3000,0),MATCH(J$4,폐업정보!$D$3:$R$3,0)),
"Error"))</f>
        <v>9130900000</v>
      </c>
      <c r="K1133" s="75" t="str">
        <f aca="false">
IF($D1133="정상",INDEX(임대자산!$D$3:$R$3000,MATCH($F1133,임대자산!$I$3:$I$3000,0),MATCH(K$4,임대자산!$D$3:$R$3,0)),
IF($D1133="폐업",INDEX(폐업정보!$D$3:$R$3000,MATCH($F1133,폐업정보!$I$3:$I$3000,0),MATCH(K$4,폐업정보!$D$3:$R$3,0)),
"Error"))</f>
        <v>C1128</v>
      </c>
      <c r="L1133" s="75" t="str">
        <f aca="false">
IF($D1133="정상",INDEX(임대자산!$D$3:$R$3000,MATCH($F1133,임대자산!$I$3:$I$3000,0),MATCH(L$4,임대자산!$D$3:$R$3,0)),
IF($D1133="폐업",INDEX(폐업정보!$D$3:$R$3000,MATCH($F1133,폐업정보!$I$3:$I$3000,0),MATCH(L$4,폐업정보!$D$3:$R$3,0)),
"Error"))</f>
        <v>D1128</v>
      </c>
      <c r="M1133" s="76" t="s">
        <v>96</v>
      </c>
      <c r="N1133" s="77"/>
      <c r="O1133" s="78" t="s">
        <v>97</v>
      </c>
      <c r="P1133" s="79" t="n">
        <f aca="false">COUNTIFS(임대자산!$I:$I,가맹점정보!F1133,임대자산!$N:$N,가맹점정보!P$4)</f>
        <v>0</v>
      </c>
      <c r="Q1133" s="80" t="n">
        <f aca="false">COUNTIFS(임대자산!$I:$I,가맹점정보!F1133,임대자산!$N:$N,가맹점정보!Q$4)</f>
        <v>0</v>
      </c>
      <c r="R1133" s="81" t="n">
        <f aca="false">COUNTIFS(임대자산!$I:$I,가맹점정보!F1133,임대자산!$N:$N,가맹점정보!R$4)</f>
        <v>0</v>
      </c>
      <c r="S1133" s="82" t="n">
        <v>55000</v>
      </c>
      <c r="T1133" s="83" t="n">
        <v>0</v>
      </c>
      <c r="U1133" s="80" t="n">
        <f aca="false">SUM(S1133:T1133)</f>
        <v>55000</v>
      </c>
      <c r="V1133" s="84" t="s">
        <v>7</v>
      </c>
      <c r="W1133" s="80" t="str">
        <f aca="true">
IF(D1133="폐업","폐업",
IF(V1133="면제","면제",
IF(AND(V1133="정상",COUNTIFS(OFFSET(Y1133,0,COUNTA(Y1133:AV1133)-1,1,-4),"미납")&gt;=3),"장기미납",
IF(AND(V1133="정상",OFFSET(Y1133,0,COUNTA(Y1133:AV1133)-1)&gt;=U1133),"정상",
IF(AND(V1133="정상",OFFSET(Y1133,0,COUNTA(Y1133:AV1133)-1)=0),"정상",
"계약서 미작성")))))</f>
        <v>폐업</v>
      </c>
      <c r="X1133" s="81" t="str">
        <f aca="true">
IF(D1133="폐업","폐업",
IF(AND(V1133="정상",OFFSET(Y1133,0,COUNTA(Y1133:AV1133)-1)="미납"),"미납",
IF(AND(V1133="정상",OFFSET(Y1133,0,COUNTA(Y1133:AV1133)-1)=0),"납부 시작 전",
IF(AND(V1133="정상",OFFSET(Y1133,0,COUNTA(Y1133:AV1133)-1)&gt;=U1133),"정상",
IF(AND(V1133="면제",OFFSET(Y1133,0,COUNTA(Y1133:AV1133)-1)="면제"),"면제",
IF(AND(V1133="면제",OFFSET(Y1133,0,COUNTA(Y1133:AV1133)-1)=0),"면제",
"확인요청"))))))</f>
        <v>폐업</v>
      </c>
      <c r="Y1133" s="94" t="s">
        <v>7</v>
      </c>
      <c r="Z1133" s="95" t="s">
        <v>7</v>
      </c>
      <c r="AA1133" s="95" t="s">
        <v>7</v>
      </c>
      <c r="AB1133" s="95" t="s">
        <v>7</v>
      </c>
      <c r="AC1133" s="95" t="s">
        <v>7</v>
      </c>
      <c r="AD1133" s="95" t="s">
        <v>7</v>
      </c>
      <c r="AE1133" s="95" t="s">
        <v>7</v>
      </c>
      <c r="AF1133" s="95" t="s">
        <v>7</v>
      </c>
      <c r="AG1133" s="95" t="s">
        <v>7</v>
      </c>
      <c r="AH1133" s="95" t="s">
        <v>7</v>
      </c>
      <c r="AI1133" s="95" t="s">
        <v>7</v>
      </c>
      <c r="AJ1133" s="96" t="s">
        <v>7</v>
      </c>
      <c r="AK1133" s="97" t="s">
        <v>7</v>
      </c>
      <c r="AL1133" s="95" t="s">
        <v>7</v>
      </c>
      <c r="AM1133" s="90"/>
      <c r="AN1133" s="90"/>
      <c r="AO1133" s="90"/>
      <c r="AP1133" s="90"/>
      <c r="AQ1133" s="90"/>
      <c r="AR1133" s="90"/>
      <c r="AS1133" s="90"/>
      <c r="AT1133" s="90"/>
      <c r="AU1133" s="90"/>
      <c r="AV1133" s="91"/>
      <c r="AX1133" s="92"/>
    </row>
    <row r="1134" customFormat="false" ht="15.65" hidden="false" customHeight="false" outlineLevel="0" collapsed="false">
      <c r="C1134" s="72" t="n">
        <f aca="false">COUNTIFS($D$6:D1134,"&lt;&gt;"&amp;"")</f>
        <v>1129</v>
      </c>
      <c r="D1134" s="73" t="s">
        <v>12</v>
      </c>
      <c r="E1134" s="76" t="str">
        <f aca="false">
IF($D1134="정상",INDEX(임대자산!$D$3:$R$3000,MATCH($F1134,임대자산!$I$3:$I$3000,0),MATCH(E$3,임대자산!$D$3:$R$3,0)),
IF($D1134="폐업",INDEX(폐업정보!$D$3:$R$3000,MATCH($F1134,폐업정보!$I$3:$I$3000,0),MATCH(E$3,폐업정보!$D$3:$R$3,0)),
"Error"))</f>
        <v>서울</v>
      </c>
      <c r="F113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B1129</v>
      </c>
      <c r="G1134" s="76" t="str">
        <f aca="false">F1134&amp;RANDBETWEEN(0,10)</f>
        <v>B11295</v>
      </c>
      <c r="H1134" s="75" t="n">
        <f aca="false">
IF($D1134="정상",INDEX(임대자산!$D$3:$R$3000,MATCH($F1134,임대자산!$I$3:$I$3000,0),MATCH(H$4,임대자산!$D$3:$R$3,0)),
IF($D1134="폐업",INDEX(폐업정보!$D$3:$R$3000,MATCH($F1134,폐업정보!$I$3:$I$3000,0),MATCH(H$4,폐업정보!$D$3:$R$3,0)),
"Error"))</f>
        <v>45631</v>
      </c>
      <c r="I1134" s="75" t="str">
        <f aca="false">
IF($D1134="정상",INDEX(임대자산!$D$3:$R$3000,MATCH($F1134,임대자산!$I$3:$I$3000,0),MATCH(I$4,임대자산!$D$3:$R$3,0)),
IF($D1134="폐업",INDEX(폐업정보!$D$3:$R$3000,MATCH($F1134,폐업정보!$I$3:$I$3000,0),MATCH(I$4,폐업정보!$D$3:$R$3,0)),
"Error"))</f>
        <v>A1129</v>
      </c>
      <c r="J1134" s="75" t="str">
        <f aca="false">
IF($D1134="정상",INDEX(임대자산!$D$3:$R$3000,MATCH($F1134,임대자산!$I$3:$I$3000,0),MATCH(J$4,임대자산!$D$3:$R$3,0)),
IF($D1134="폐업",INDEX(폐업정보!$D$3:$R$3000,MATCH($F1134,폐업정보!$I$3:$I$3000,0),MATCH(J$4,폐업정보!$D$3:$R$3,0)),
"Error"))</f>
        <v>1267600000</v>
      </c>
      <c r="K1134" s="75" t="str">
        <f aca="false">
IF($D1134="정상",INDEX(임대자산!$D$3:$R$3000,MATCH($F1134,임대자산!$I$3:$I$3000,0),MATCH(K$4,임대자산!$D$3:$R$3,0)),
IF($D1134="폐업",INDEX(폐업정보!$D$3:$R$3000,MATCH($F1134,폐업정보!$I$3:$I$3000,0),MATCH(K$4,폐업정보!$D$3:$R$3,0)),
"Error"))</f>
        <v>C1129</v>
      </c>
      <c r="L1134" s="75" t="str">
        <f aca="false">
IF($D1134="정상",INDEX(임대자산!$D$3:$R$3000,MATCH($F1134,임대자산!$I$3:$I$3000,0),MATCH(L$4,임대자산!$D$3:$R$3,0)),
IF($D1134="폐업",INDEX(폐업정보!$D$3:$R$3000,MATCH($F1134,폐업정보!$I$3:$I$3000,0),MATCH(L$4,폐업정보!$D$3:$R$3,0)),
"Error"))</f>
        <v>D1129</v>
      </c>
      <c r="M1134" s="76" t="s">
        <v>96</v>
      </c>
      <c r="N1134" s="77"/>
      <c r="O1134" s="78" t="s">
        <v>97</v>
      </c>
      <c r="P1134" s="79" t="n">
        <f aca="false">COUNTIFS(임대자산!$I:$I,가맹점정보!F1134,임대자산!$N:$N,가맹점정보!P$4)</f>
        <v>0</v>
      </c>
      <c r="Q1134" s="80" t="n">
        <f aca="false">COUNTIFS(임대자산!$I:$I,가맹점정보!F1134,임대자산!$N:$N,가맹점정보!Q$4)</f>
        <v>0</v>
      </c>
      <c r="R1134" s="81" t="n">
        <f aca="false">COUNTIFS(임대자산!$I:$I,가맹점정보!F1134,임대자산!$N:$N,가맹점정보!R$4)</f>
        <v>1</v>
      </c>
      <c r="S1134" s="82" t="n">
        <v>55000</v>
      </c>
      <c r="T1134" s="83" t="n">
        <v>0</v>
      </c>
      <c r="U1134" s="80" t="n">
        <f aca="false">SUM(S1134:T1134)</f>
        <v>55000</v>
      </c>
      <c r="V1134" s="84" t="s">
        <v>7</v>
      </c>
      <c r="W1134" s="80" t="str">
        <f aca="true">
IF(D1134="폐업","폐업",
IF(V1134="면제","면제",
IF(AND(V1134="정상",COUNTIFS(OFFSET(Y1134,0,COUNTA(Y1134:AV1134)-1,1,-4),"미납")&gt;=3),"장기미납",
IF(AND(V1134="정상",OFFSET(Y1134,0,COUNTA(Y1134:AV1134)-1)&gt;=U1134),"정상",
IF(AND(V1134="정상",OFFSET(Y1134,0,COUNTA(Y1134:AV1134)-1)=0),"정상",
"계약서 미작성")))))</f>
        <v>면제</v>
      </c>
      <c r="X1134" s="81" t="str">
        <f aca="true">
IF(D1134="폐업","폐업",
IF(AND(V1134="정상",OFFSET(Y1134,0,COUNTA(Y1134:AV1134)-1)="미납"),"미납",
IF(AND(V1134="정상",OFFSET(Y1134,0,COUNTA(Y1134:AV1134)-1)=0),"납부 시작 전",
IF(AND(V1134="정상",OFFSET(Y1134,0,COUNTA(Y1134:AV1134)-1)&gt;=U1134),"정상",
IF(AND(V1134="면제",OFFSET(Y1134,0,COUNTA(Y1134:AV1134)-1)="면제"),"면제",
IF(AND(V1134="면제",OFFSET(Y1134,0,COUNTA(Y1134:AV1134)-1)=0),"면제",
"확인요청"))))))</f>
        <v>면제</v>
      </c>
      <c r="Y1134" s="94" t="s">
        <v>7</v>
      </c>
      <c r="Z1134" s="95" t="s">
        <v>7</v>
      </c>
      <c r="AA1134" s="95" t="s">
        <v>7</v>
      </c>
      <c r="AB1134" s="95" t="s">
        <v>7</v>
      </c>
      <c r="AC1134" s="95" t="s">
        <v>7</v>
      </c>
      <c r="AD1134" s="95" t="s">
        <v>7</v>
      </c>
      <c r="AE1134" s="95" t="s">
        <v>7</v>
      </c>
      <c r="AF1134" s="95" t="s">
        <v>7</v>
      </c>
      <c r="AG1134" s="95" t="s">
        <v>7</v>
      </c>
      <c r="AH1134" s="95" t="s">
        <v>7</v>
      </c>
      <c r="AI1134" s="95" t="s">
        <v>7</v>
      </c>
      <c r="AJ1134" s="96" t="s">
        <v>7</v>
      </c>
      <c r="AK1134" s="97" t="s">
        <v>7</v>
      </c>
      <c r="AL1134" s="95" t="s">
        <v>7</v>
      </c>
      <c r="AM1134" s="90"/>
      <c r="AN1134" s="90"/>
      <c r="AO1134" s="90"/>
      <c r="AP1134" s="90"/>
      <c r="AQ1134" s="90"/>
      <c r="AR1134" s="90"/>
      <c r="AS1134" s="90"/>
      <c r="AT1134" s="90"/>
      <c r="AU1134" s="90"/>
      <c r="AV1134" s="91"/>
      <c r="AX1134" s="92"/>
    </row>
    <row r="1135" customFormat="false" ht="15.65" hidden="false" customHeight="false" outlineLevel="0" collapsed="false">
      <c r="C1135" s="72" t="n">
        <f aca="false">COUNTIFS($D$6:D1135,"&lt;&gt;"&amp;"")</f>
        <v>1130</v>
      </c>
      <c r="D1135" s="73" t="s">
        <v>12</v>
      </c>
      <c r="E1135" s="76" t="str">
        <f aca="false">
IF($D1135="정상",INDEX(임대자산!$D$3:$R$3000,MATCH($F1135,임대자산!$I$3:$I$3000,0),MATCH(E$3,임대자산!$D$3:$R$3,0)),
IF($D1135="폐업",INDEX(폐업정보!$D$3:$R$3000,MATCH($F1135,폐업정보!$I$3:$I$3000,0),MATCH(E$3,폐업정보!$D$3:$R$3,0)),
"Error"))</f>
        <v>서울</v>
      </c>
      <c r="F113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B1130</v>
      </c>
      <c r="G1135" s="76" t="str">
        <f aca="false">F1135&amp;RANDBETWEEN(0,10)</f>
        <v>B11306</v>
      </c>
      <c r="H1135" s="75" t="n">
        <f aca="false">
IF($D1135="정상",INDEX(임대자산!$D$3:$R$3000,MATCH($F1135,임대자산!$I$3:$I$3000,0),MATCH(H$4,임대자산!$D$3:$R$3,0)),
IF($D1135="폐업",INDEX(폐업정보!$D$3:$R$3000,MATCH($F1135,폐업정보!$I$3:$I$3000,0),MATCH(H$4,폐업정보!$D$3:$R$3,0)),
"Error"))</f>
        <v>45631</v>
      </c>
      <c r="I1135" s="75" t="str">
        <f aca="false">
IF($D1135="정상",INDEX(임대자산!$D$3:$R$3000,MATCH($F1135,임대자산!$I$3:$I$3000,0),MATCH(I$4,임대자산!$D$3:$R$3,0)),
IF($D1135="폐업",INDEX(폐업정보!$D$3:$R$3000,MATCH($F1135,폐업정보!$I$3:$I$3000,0),MATCH(I$4,폐업정보!$D$3:$R$3,0)),
"Error"))</f>
        <v>A1130</v>
      </c>
      <c r="J1135" s="75" t="str">
        <f aca="false">
IF($D1135="정상",INDEX(임대자산!$D$3:$R$3000,MATCH($F1135,임대자산!$I$3:$I$3000,0),MATCH(J$4,임대자산!$D$3:$R$3,0)),
IF($D1135="폐업",INDEX(폐업정보!$D$3:$R$3000,MATCH($F1135,폐업정보!$I$3:$I$3000,0),MATCH(J$4,폐업정보!$D$3:$R$3,0)),
"Error"))</f>
        <v>9095200000</v>
      </c>
      <c r="K1135" s="75" t="str">
        <f aca="false">
IF($D1135="정상",INDEX(임대자산!$D$3:$R$3000,MATCH($F1135,임대자산!$I$3:$I$3000,0),MATCH(K$4,임대자산!$D$3:$R$3,0)),
IF($D1135="폐업",INDEX(폐업정보!$D$3:$R$3000,MATCH($F1135,폐업정보!$I$3:$I$3000,0),MATCH(K$4,폐업정보!$D$3:$R$3,0)),
"Error"))</f>
        <v>C1130</v>
      </c>
      <c r="L1135" s="75" t="str">
        <f aca="false">
IF($D1135="정상",INDEX(임대자산!$D$3:$R$3000,MATCH($F1135,임대자산!$I$3:$I$3000,0),MATCH(L$4,임대자산!$D$3:$R$3,0)),
IF($D1135="폐업",INDEX(폐업정보!$D$3:$R$3000,MATCH($F1135,폐업정보!$I$3:$I$3000,0),MATCH(L$4,폐업정보!$D$3:$R$3,0)),
"Error"))</f>
        <v>D1130</v>
      </c>
      <c r="M1135" s="76" t="s">
        <v>96</v>
      </c>
      <c r="N1135" s="77"/>
      <c r="O1135" s="78" t="s">
        <v>97</v>
      </c>
      <c r="P1135" s="79" t="n">
        <f aca="false">COUNTIFS(임대자산!$I:$I,가맹점정보!F1135,임대자산!$N:$N,가맹점정보!P$4)</f>
        <v>0</v>
      </c>
      <c r="Q1135" s="80" t="n">
        <f aca="false">COUNTIFS(임대자산!$I:$I,가맹점정보!F1135,임대자산!$N:$N,가맹점정보!Q$4)</f>
        <v>0</v>
      </c>
      <c r="R1135" s="81" t="n">
        <f aca="false">COUNTIFS(임대자산!$I:$I,가맹점정보!F1135,임대자산!$N:$N,가맹점정보!R$4)</f>
        <v>1</v>
      </c>
      <c r="S1135" s="82" t="n">
        <v>55000</v>
      </c>
      <c r="T1135" s="83" t="n">
        <v>0</v>
      </c>
      <c r="U1135" s="80" t="n">
        <f aca="false">SUM(S1135:T1135)</f>
        <v>55000</v>
      </c>
      <c r="V1135" s="84" t="s">
        <v>12</v>
      </c>
      <c r="W1135" s="80" t="e">
        <f aca="true">
IF(D1135="폐업","폐업",
IF(V1135="면제","면제",
IF(AND(V1135="정상",COUNTIFS(OFFSET(Y1135,0,COUNTA(Y1135:AV1135)-1,1,-4),"미납")&gt;=3),"장기미납",
IF(AND(V1135="정상",OFFSET(Y1135,0,COUNTA(Y1135:AV1135)-1)&gt;=U1135),"정상",
IF(AND(V1135="정상",OFFSET(Y1135,0,COUNTA(Y1135:AV1135)-1)=0),"정상",
"계약서 미작성")))))</f>
        <v>#VALUE!</v>
      </c>
      <c r="X1135" s="81" t="str">
        <f aca="true">
IF(D1135="폐업","폐업",
IF(AND(V1135="정상",OFFSET(Y1135,0,COUNTA(Y1135:AV1135)-1)="미납"),"미납",
IF(AND(V1135="정상",OFFSET(Y1135,0,COUNTA(Y1135:AV1135)-1)=0),"납부 시작 전",
IF(AND(V1135="정상",OFFSET(Y1135,0,COUNTA(Y1135:AV1135)-1)&gt;=U1135),"정상",
IF(AND(V1135="면제",OFFSET(Y1135,0,COUNTA(Y1135:AV1135)-1)="면제"),"면제",
IF(AND(V1135="면제",OFFSET(Y1135,0,COUNTA(Y1135:AV1135)-1)=0),"면제",
"확인요청"))))))</f>
        <v>정상</v>
      </c>
      <c r="Y1135" s="93" t="n">
        <v>55000</v>
      </c>
      <c r="Z1135" s="90" t="n">
        <v>55000</v>
      </c>
      <c r="AA1135" s="90" t="n">
        <v>55000</v>
      </c>
      <c r="AB1135" s="90" t="n">
        <v>55000</v>
      </c>
      <c r="AC1135" s="90" t="n">
        <v>55000</v>
      </c>
      <c r="AD1135" s="90" t="n">
        <v>55000</v>
      </c>
      <c r="AE1135" s="90" t="n">
        <v>55000</v>
      </c>
      <c r="AF1135" s="90" t="n">
        <v>55000</v>
      </c>
      <c r="AG1135" s="90" t="n">
        <v>55000</v>
      </c>
      <c r="AH1135" s="90" t="n">
        <v>55000</v>
      </c>
      <c r="AI1135" s="90" t="n">
        <v>55000</v>
      </c>
      <c r="AJ1135" s="91" t="n">
        <v>55000</v>
      </c>
      <c r="AK1135" s="89" t="n">
        <v>55000</v>
      </c>
      <c r="AL1135" s="90" t="n">
        <v>55000</v>
      </c>
      <c r="AM1135" s="90"/>
      <c r="AN1135" s="90"/>
      <c r="AO1135" s="90"/>
      <c r="AP1135" s="90"/>
      <c r="AQ1135" s="90"/>
      <c r="AR1135" s="90"/>
      <c r="AS1135" s="90"/>
      <c r="AT1135" s="90"/>
      <c r="AU1135" s="90"/>
      <c r="AV1135" s="91"/>
      <c r="AX1135" s="92"/>
    </row>
    <row r="1136" customFormat="false" ht="15.65" hidden="false" customHeight="false" outlineLevel="0" collapsed="false">
      <c r="C1136" s="72" t="n">
        <f aca="false">COUNTIFS($D$6:D1136,"&lt;&gt;"&amp;"")</f>
        <v>1131</v>
      </c>
      <c r="D1136" s="73" t="s">
        <v>12</v>
      </c>
      <c r="E1136" s="76" t="str">
        <f aca="false">
IF($D1136="정상",INDEX(임대자산!$D$3:$R$3000,MATCH($F1136,임대자산!$I$3:$I$3000,0),MATCH(E$3,임대자산!$D$3:$R$3,0)),
IF($D1136="폐업",INDEX(폐업정보!$D$3:$R$3000,MATCH($F1136,폐업정보!$I$3:$I$3000,0),MATCH(E$3,폐업정보!$D$3:$R$3,0)),
"Error"))</f>
        <v>서울</v>
      </c>
      <c r="F113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B1131</v>
      </c>
      <c r="G1136" s="76" t="str">
        <f aca="false">F1136&amp;RANDBETWEEN(0,10)</f>
        <v>B11318</v>
      </c>
      <c r="H1136" s="75" t="n">
        <f aca="false">
IF($D1136="정상",INDEX(임대자산!$D$3:$R$3000,MATCH($F1136,임대자산!$I$3:$I$3000,0),MATCH(H$4,임대자산!$D$3:$R$3,0)),
IF($D1136="폐업",INDEX(폐업정보!$D$3:$R$3000,MATCH($F1136,폐업정보!$I$3:$I$3000,0),MATCH(H$4,폐업정보!$D$3:$R$3,0)),
"Error"))</f>
        <v>45804</v>
      </c>
      <c r="I1136" s="75" t="str">
        <f aca="false">
IF($D1136="정상",INDEX(임대자산!$D$3:$R$3000,MATCH($F1136,임대자산!$I$3:$I$3000,0),MATCH(I$4,임대자산!$D$3:$R$3,0)),
IF($D1136="폐업",INDEX(폐업정보!$D$3:$R$3000,MATCH($F1136,폐업정보!$I$3:$I$3000,0),MATCH(I$4,폐업정보!$D$3:$R$3,0)),
"Error"))</f>
        <v>A1131</v>
      </c>
      <c r="J1136" s="75" t="str">
        <f aca="false">
IF($D1136="정상",INDEX(임대자산!$D$3:$R$3000,MATCH($F1136,임대자산!$I$3:$I$3000,0),MATCH(J$4,임대자산!$D$3:$R$3,0)),
IF($D1136="폐업",INDEX(폐업정보!$D$3:$R$3000,MATCH($F1136,폐업정보!$I$3:$I$3000,0),MATCH(J$4,폐업정보!$D$3:$R$3,0)),
"Error"))</f>
        <v>2510800000</v>
      </c>
      <c r="K1136" s="75" t="str">
        <f aca="false">
IF($D1136="정상",INDEX(임대자산!$D$3:$R$3000,MATCH($F1136,임대자산!$I$3:$I$3000,0),MATCH(K$4,임대자산!$D$3:$R$3,0)),
IF($D1136="폐업",INDEX(폐업정보!$D$3:$R$3000,MATCH($F1136,폐업정보!$I$3:$I$3000,0),MATCH(K$4,폐업정보!$D$3:$R$3,0)),
"Error"))</f>
        <v>C1131</v>
      </c>
      <c r="L1136" s="75" t="str">
        <f aca="false">
IF($D1136="정상",INDEX(임대자산!$D$3:$R$3000,MATCH($F1136,임대자산!$I$3:$I$3000,0),MATCH(L$4,임대자산!$D$3:$R$3,0)),
IF($D1136="폐업",INDEX(폐업정보!$D$3:$R$3000,MATCH($F1136,폐업정보!$I$3:$I$3000,0),MATCH(L$4,폐업정보!$D$3:$R$3,0)),
"Error"))</f>
        <v>D1131</v>
      </c>
      <c r="M1136" s="76" t="s">
        <v>96</v>
      </c>
      <c r="N1136" s="77"/>
      <c r="O1136" s="78" t="s">
        <v>97</v>
      </c>
      <c r="P1136" s="79" t="n">
        <f aca="false">COUNTIFS(임대자산!$I:$I,가맹점정보!F1136,임대자산!$N:$N,가맹점정보!P$4)</f>
        <v>0</v>
      </c>
      <c r="Q1136" s="80" t="n">
        <f aca="false">COUNTIFS(임대자산!$I:$I,가맹점정보!F1136,임대자산!$N:$N,가맹점정보!Q$4)</f>
        <v>0</v>
      </c>
      <c r="R1136" s="81" t="n">
        <f aca="false">COUNTIFS(임대자산!$I:$I,가맹점정보!F1136,임대자산!$N:$N,가맹점정보!R$4)</f>
        <v>1</v>
      </c>
      <c r="S1136" s="82" t="n">
        <v>55000</v>
      </c>
      <c r="T1136" s="83" t="n">
        <v>0</v>
      </c>
      <c r="U1136" s="80" t="n">
        <f aca="false">SUM(S1136:T1136)</f>
        <v>55000</v>
      </c>
      <c r="V1136" s="84" t="s">
        <v>12</v>
      </c>
      <c r="W1136" s="80" t="e">
        <f aca="true">
IF(D1136="폐업","폐업",
IF(V1136="면제","면제",
IF(AND(V1136="정상",COUNTIFS(OFFSET(Y1136,0,COUNTA(Y1136:AV1136)-1,1,-4),"미납")&gt;=3),"장기미납",
IF(AND(V1136="정상",OFFSET(Y1136,0,COUNTA(Y1136:AV1136)-1)&gt;=U1136),"정상",
IF(AND(V1136="정상",OFFSET(Y1136,0,COUNTA(Y1136:AV1136)-1)=0),"정상",
"계약서 미작성")))))</f>
        <v>#VALUE!</v>
      </c>
      <c r="X1136" s="81" t="str">
        <f aca="true">
IF(D1136="폐업","폐업",
IF(AND(V1136="정상",OFFSET(Y1136,0,COUNTA(Y1136:AV1136)-1)="미납"),"미납",
IF(AND(V1136="정상",OFFSET(Y1136,0,COUNTA(Y1136:AV1136)-1)=0),"납부 시작 전",
IF(AND(V1136="정상",OFFSET(Y1136,0,COUNTA(Y1136:AV1136)-1)&gt;=U1136),"정상",
IF(AND(V1136="면제",OFFSET(Y1136,0,COUNTA(Y1136:AV1136)-1)="면제"),"면제",
IF(AND(V1136="면제",OFFSET(Y1136,0,COUNTA(Y1136:AV1136)-1)=0),"면제",
"확인요청"))))))</f>
        <v>정상</v>
      </c>
      <c r="Y1136" s="93" t="n">
        <v>55000</v>
      </c>
      <c r="Z1136" s="90" t="n">
        <v>55000</v>
      </c>
      <c r="AA1136" s="90" t="n">
        <v>55000</v>
      </c>
      <c r="AB1136" s="90" t="n">
        <v>55000</v>
      </c>
      <c r="AC1136" s="90" t="n">
        <v>55000</v>
      </c>
      <c r="AD1136" s="90" t="n">
        <v>55000</v>
      </c>
      <c r="AE1136" s="90" t="n">
        <v>55000</v>
      </c>
      <c r="AF1136" s="90" t="n">
        <v>55000</v>
      </c>
      <c r="AG1136" s="90" t="n">
        <v>55000</v>
      </c>
      <c r="AH1136" s="90" t="n">
        <v>55000</v>
      </c>
      <c r="AI1136" s="90" t="n">
        <v>55000</v>
      </c>
      <c r="AJ1136" s="91" t="n">
        <v>55000</v>
      </c>
      <c r="AK1136" s="89" t="n">
        <v>55000</v>
      </c>
      <c r="AL1136" s="90" t="n">
        <v>55000</v>
      </c>
      <c r="AM1136" s="90"/>
      <c r="AN1136" s="90"/>
      <c r="AO1136" s="90"/>
      <c r="AP1136" s="90"/>
      <c r="AQ1136" s="90"/>
      <c r="AR1136" s="90"/>
      <c r="AS1136" s="90"/>
      <c r="AT1136" s="90"/>
      <c r="AU1136" s="90"/>
      <c r="AV1136" s="91"/>
      <c r="AX1136" s="92"/>
    </row>
    <row r="1137" customFormat="false" ht="15.65" hidden="false" customHeight="false" outlineLevel="0" collapsed="false">
      <c r="C1137" s="72" t="n">
        <f aca="false">COUNTIFS($D$6:D1137,"&lt;&gt;"&amp;"")</f>
        <v>1132</v>
      </c>
      <c r="D1137" s="73" t="s">
        <v>12</v>
      </c>
      <c r="E1137" s="76" t="str">
        <f aca="false">
IF($D1137="정상",INDEX(임대자산!$D$3:$R$3000,MATCH($F1137,임대자산!$I$3:$I$3000,0),MATCH(E$3,임대자산!$D$3:$R$3,0)),
IF($D1137="폐업",INDEX(폐업정보!$D$3:$R$3000,MATCH($F1137,폐업정보!$I$3:$I$3000,0),MATCH(E$3,폐업정보!$D$3:$R$3,0)),
"Error"))</f>
        <v>서울</v>
      </c>
      <c r="F113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B1132</v>
      </c>
      <c r="G1137" s="76" t="str">
        <f aca="false">F1137&amp;RANDBETWEEN(0,10)</f>
        <v>B11327</v>
      </c>
      <c r="H1137" s="75" t="n">
        <f aca="false">
IF($D1137="정상",INDEX(임대자산!$D$3:$R$3000,MATCH($F1137,임대자산!$I$3:$I$3000,0),MATCH(H$4,임대자산!$D$3:$R$3,0)),
IF($D1137="폐업",INDEX(폐업정보!$D$3:$R$3000,MATCH($F1137,폐업정보!$I$3:$I$3000,0),MATCH(H$4,폐업정보!$D$3:$R$3,0)),
"Error"))</f>
        <v>45408</v>
      </c>
      <c r="I1137" s="75" t="str">
        <f aca="false">
IF($D1137="정상",INDEX(임대자산!$D$3:$R$3000,MATCH($F1137,임대자산!$I$3:$I$3000,0),MATCH(I$4,임대자산!$D$3:$R$3,0)),
IF($D1137="폐업",INDEX(폐업정보!$D$3:$R$3000,MATCH($F1137,폐업정보!$I$3:$I$3000,0),MATCH(I$4,폐업정보!$D$3:$R$3,0)),
"Error"))</f>
        <v>A1132</v>
      </c>
      <c r="J1137" s="75" t="str">
        <f aca="false">
IF($D1137="정상",INDEX(임대자산!$D$3:$R$3000,MATCH($F1137,임대자산!$I$3:$I$3000,0),MATCH(J$4,임대자산!$D$3:$R$3,0)),
IF($D1137="폐업",INDEX(폐업정보!$D$3:$R$3000,MATCH($F1137,폐업정보!$I$3:$I$3000,0),MATCH(J$4,폐업정보!$D$3:$R$3,0)),
"Error"))</f>
        <v>1749800000</v>
      </c>
      <c r="K1137" s="75" t="str">
        <f aca="false">
IF($D1137="정상",INDEX(임대자산!$D$3:$R$3000,MATCH($F1137,임대자산!$I$3:$I$3000,0),MATCH(K$4,임대자산!$D$3:$R$3,0)),
IF($D1137="폐업",INDEX(폐업정보!$D$3:$R$3000,MATCH($F1137,폐업정보!$I$3:$I$3000,0),MATCH(K$4,폐업정보!$D$3:$R$3,0)),
"Error"))</f>
        <v>C1132</v>
      </c>
      <c r="L1137" s="75" t="str">
        <f aca="false">
IF($D1137="정상",INDEX(임대자산!$D$3:$R$3000,MATCH($F1137,임대자산!$I$3:$I$3000,0),MATCH(L$4,임대자산!$D$3:$R$3,0)),
IF($D1137="폐업",INDEX(폐업정보!$D$3:$R$3000,MATCH($F1137,폐업정보!$I$3:$I$3000,0),MATCH(L$4,폐업정보!$D$3:$R$3,0)),
"Error"))</f>
        <v>D1132</v>
      </c>
      <c r="M1137" s="76" t="s">
        <v>96</v>
      </c>
      <c r="N1137" s="77"/>
      <c r="O1137" s="78" t="s">
        <v>97</v>
      </c>
      <c r="P1137" s="79" t="n">
        <f aca="false">COUNTIFS(임대자산!$I:$I,가맹점정보!F1137,임대자산!$N:$N,가맹점정보!P$4)</f>
        <v>0</v>
      </c>
      <c r="Q1137" s="80" t="n">
        <f aca="false">COUNTIFS(임대자산!$I:$I,가맹점정보!F1137,임대자산!$N:$N,가맹점정보!Q$4)</f>
        <v>0</v>
      </c>
      <c r="R1137" s="81" t="n">
        <f aca="false">COUNTIFS(임대자산!$I:$I,가맹점정보!F1137,임대자산!$N:$N,가맹점정보!R$4)</f>
        <v>1</v>
      </c>
      <c r="S1137" s="82" t="n">
        <v>88000</v>
      </c>
      <c r="T1137" s="83" t="n">
        <v>0</v>
      </c>
      <c r="U1137" s="80" t="n">
        <f aca="false">SUM(S1137:T1137)</f>
        <v>88000</v>
      </c>
      <c r="V1137" s="84" t="s">
        <v>7</v>
      </c>
      <c r="W1137" s="80" t="str">
        <f aca="true">
IF(D1137="폐업","폐업",
IF(V1137="면제","면제",
IF(AND(V1137="정상",COUNTIFS(OFFSET(Y1137,0,COUNTA(Y1137:AV1137)-1,1,-4),"미납")&gt;=3),"장기미납",
IF(AND(V1137="정상",OFFSET(Y1137,0,COUNTA(Y1137:AV1137)-1)&gt;=U1137),"정상",
IF(AND(V1137="정상",OFFSET(Y1137,0,COUNTA(Y1137:AV1137)-1)=0),"정상",
"계약서 미작성")))))</f>
        <v>면제</v>
      </c>
      <c r="X1137" s="81" t="str">
        <f aca="true">
IF(D1137="폐업","폐업",
IF(AND(V1137="정상",OFFSET(Y1137,0,COUNTA(Y1137:AV1137)-1)="미납"),"미납",
IF(AND(V1137="정상",OFFSET(Y1137,0,COUNTA(Y1137:AV1137)-1)=0),"납부 시작 전",
IF(AND(V1137="정상",OFFSET(Y1137,0,COUNTA(Y1137:AV1137)-1)&gt;=U1137),"정상",
IF(AND(V1137="면제",OFFSET(Y1137,0,COUNTA(Y1137:AV1137)-1)="면제"),"면제",
IF(AND(V1137="면제",OFFSET(Y1137,0,COUNTA(Y1137:AV1137)-1)=0),"면제",
"확인요청"))))))</f>
        <v>면제</v>
      </c>
      <c r="Y1137" s="93" t="n">
        <v>88000</v>
      </c>
      <c r="Z1137" s="90" t="n">
        <v>88000</v>
      </c>
      <c r="AA1137" s="90" t="n">
        <v>88000</v>
      </c>
      <c r="AB1137" s="90" t="n">
        <v>88000</v>
      </c>
      <c r="AC1137" s="90" t="n">
        <v>88000</v>
      </c>
      <c r="AD1137" s="90" t="n">
        <v>88000</v>
      </c>
      <c r="AE1137" s="95" t="s">
        <v>62</v>
      </c>
      <c r="AF1137" s="95" t="s">
        <v>62</v>
      </c>
      <c r="AG1137" s="95" t="s">
        <v>62</v>
      </c>
      <c r="AH1137" s="95" t="s">
        <v>7</v>
      </c>
      <c r="AI1137" s="95" t="s">
        <v>7</v>
      </c>
      <c r="AJ1137" s="96" t="s">
        <v>7</v>
      </c>
      <c r="AK1137" s="97" t="s">
        <v>7</v>
      </c>
      <c r="AL1137" s="95" t="s">
        <v>7</v>
      </c>
      <c r="AM1137" s="90"/>
      <c r="AN1137" s="90"/>
      <c r="AO1137" s="90"/>
      <c r="AP1137" s="90"/>
      <c r="AQ1137" s="90"/>
      <c r="AR1137" s="90"/>
      <c r="AS1137" s="90"/>
      <c r="AT1137" s="90"/>
      <c r="AU1137" s="90"/>
      <c r="AV1137" s="91"/>
      <c r="AX1137" s="92"/>
    </row>
    <row r="1138" customFormat="false" ht="15.65" hidden="false" customHeight="false" outlineLevel="0" collapsed="false">
      <c r="C1138" s="72" t="n">
        <f aca="false">COUNTIFS($D$6:D1138,"&lt;&gt;"&amp;"")</f>
        <v>1133</v>
      </c>
      <c r="D1138" s="73" t="s">
        <v>12</v>
      </c>
      <c r="E1138" s="76" t="str">
        <f aca="false">
IF($D1138="정상",INDEX(임대자산!$D$3:$R$3000,MATCH($F1138,임대자산!$I$3:$I$3000,0),MATCH(E$3,임대자산!$D$3:$R$3,0)),
IF($D1138="폐업",INDEX(폐업정보!$D$3:$R$3000,MATCH($F1138,폐업정보!$I$3:$I$3000,0),MATCH(E$3,폐업정보!$D$3:$R$3,0)),
"Error"))</f>
        <v>서울</v>
      </c>
      <c r="F113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B1133</v>
      </c>
      <c r="G1138" s="76" t="str">
        <f aca="false">F1138&amp;RANDBETWEEN(0,10)</f>
        <v>B113310</v>
      </c>
      <c r="H1138" s="75" t="n">
        <f aca="false">
IF($D1138="정상",INDEX(임대자산!$D$3:$R$3000,MATCH($F1138,임대자산!$I$3:$I$3000,0),MATCH(H$4,임대자산!$D$3:$R$3,0)),
IF($D1138="폐업",INDEX(폐업정보!$D$3:$R$3000,MATCH($F1138,폐업정보!$I$3:$I$3000,0),MATCH(H$4,폐업정보!$D$3:$R$3,0)),
"Error"))</f>
        <v>46062</v>
      </c>
      <c r="I1138" s="75" t="str">
        <f aca="false">
IF($D1138="정상",INDEX(임대자산!$D$3:$R$3000,MATCH($F1138,임대자산!$I$3:$I$3000,0),MATCH(I$4,임대자산!$D$3:$R$3,0)),
IF($D1138="폐업",INDEX(폐업정보!$D$3:$R$3000,MATCH($F1138,폐업정보!$I$3:$I$3000,0),MATCH(I$4,폐업정보!$D$3:$R$3,0)),
"Error"))</f>
        <v>A1133</v>
      </c>
      <c r="J1138" s="75" t="str">
        <f aca="false">
IF($D1138="정상",INDEX(임대자산!$D$3:$R$3000,MATCH($F1138,임대자산!$I$3:$I$3000,0),MATCH(J$4,임대자산!$D$3:$R$3,0)),
IF($D1138="폐업",INDEX(폐업정보!$D$3:$R$3000,MATCH($F1138,폐업정보!$I$3:$I$3000,0),MATCH(J$4,폐업정보!$D$3:$R$3,0)),
"Error"))</f>
        <v>7006100000</v>
      </c>
      <c r="K1138" s="75" t="str">
        <f aca="false">
IF($D1138="정상",INDEX(임대자산!$D$3:$R$3000,MATCH($F1138,임대자산!$I$3:$I$3000,0),MATCH(K$4,임대자산!$D$3:$R$3,0)),
IF($D1138="폐업",INDEX(폐업정보!$D$3:$R$3000,MATCH($F1138,폐업정보!$I$3:$I$3000,0),MATCH(K$4,폐업정보!$D$3:$R$3,0)),
"Error"))</f>
        <v>C1133</v>
      </c>
      <c r="L1138" s="75" t="str">
        <f aca="false">
IF($D1138="정상",INDEX(임대자산!$D$3:$R$3000,MATCH($F1138,임대자산!$I$3:$I$3000,0),MATCH(L$4,임대자산!$D$3:$R$3,0)),
IF($D1138="폐업",INDEX(폐업정보!$D$3:$R$3000,MATCH($F1138,폐업정보!$I$3:$I$3000,0),MATCH(L$4,폐업정보!$D$3:$R$3,0)),
"Error"))</f>
        <v>D1133</v>
      </c>
      <c r="M1138" s="76" t="s">
        <v>96</v>
      </c>
      <c r="N1138" s="77"/>
      <c r="O1138" s="78" t="s">
        <v>97</v>
      </c>
      <c r="P1138" s="79" t="n">
        <f aca="false">COUNTIFS(임대자산!$I:$I,가맹점정보!F1138,임대자산!$N:$N,가맹점정보!P$4)</f>
        <v>0</v>
      </c>
      <c r="Q1138" s="80" t="n">
        <f aca="false">COUNTIFS(임대자산!$I:$I,가맹점정보!F1138,임대자산!$N:$N,가맹점정보!Q$4)</f>
        <v>0</v>
      </c>
      <c r="R1138" s="81" t="n">
        <f aca="false">COUNTIFS(임대자산!$I:$I,가맹점정보!F1138,임대자산!$N:$N,가맹점정보!R$4)</f>
        <v>1</v>
      </c>
      <c r="S1138" s="82" t="n">
        <v>55000</v>
      </c>
      <c r="T1138" s="83" t="n">
        <v>0</v>
      </c>
      <c r="U1138" s="80" t="n">
        <f aca="false">SUM(S1138:T1138)</f>
        <v>55000</v>
      </c>
      <c r="V1138" s="84" t="s">
        <v>12</v>
      </c>
      <c r="W1138" s="80" t="e">
        <f aca="true">
IF(D1138="폐업","폐업",
IF(V1138="면제","면제",
IF(AND(V1138="정상",COUNTIFS(OFFSET(Y1138,0,COUNTA(Y1138:AV1138)-1,1,-4),"미납")&gt;=3),"장기미납",
IF(AND(V1138="정상",OFFSET(Y1138,0,COUNTA(Y1138:AV1138)-1)&gt;=U1138),"정상",
IF(AND(V1138="정상",OFFSET(Y1138,0,COUNTA(Y1138:AV1138)-1)=0),"정상",
"계약서 미작성")))))</f>
        <v>#VALUE!</v>
      </c>
      <c r="X1138" s="81" t="str">
        <f aca="true">
IF(D1138="폐업","폐업",
IF(AND(V1138="정상",OFFSET(Y1138,0,COUNTA(Y1138:AV1138)-1)="미납"),"미납",
IF(AND(V1138="정상",OFFSET(Y1138,0,COUNTA(Y1138:AV1138)-1)=0),"납부 시작 전",
IF(AND(V1138="정상",OFFSET(Y1138,0,COUNTA(Y1138:AV1138)-1)&gt;=U1138),"정상",
IF(AND(V1138="면제",OFFSET(Y1138,0,COUNTA(Y1138:AV1138)-1)="면제"),"면제",
IF(AND(V1138="면제",OFFSET(Y1138,0,COUNTA(Y1138:AV1138)-1)=0),"면제",
"확인요청"))))))</f>
        <v>정상</v>
      </c>
      <c r="Y1138" s="93" t="n">
        <v>55000</v>
      </c>
      <c r="Z1138" s="90" t="n">
        <v>55000</v>
      </c>
      <c r="AA1138" s="90" t="n">
        <v>55000</v>
      </c>
      <c r="AB1138" s="90" t="n">
        <v>55000</v>
      </c>
      <c r="AC1138" s="90" t="n">
        <v>55000</v>
      </c>
      <c r="AD1138" s="90" t="n">
        <v>55000</v>
      </c>
      <c r="AE1138" s="90" t="n">
        <v>55000</v>
      </c>
      <c r="AF1138" s="90" t="n">
        <v>55000</v>
      </c>
      <c r="AG1138" s="90" t="n">
        <v>55000</v>
      </c>
      <c r="AH1138" s="90" t="n">
        <v>55000</v>
      </c>
      <c r="AI1138" s="90" t="n">
        <v>55000</v>
      </c>
      <c r="AJ1138" s="91" t="n">
        <v>55000</v>
      </c>
      <c r="AK1138" s="89" t="n">
        <v>55000</v>
      </c>
      <c r="AL1138" s="90" t="n">
        <v>55000</v>
      </c>
      <c r="AM1138" s="90"/>
      <c r="AN1138" s="90"/>
      <c r="AO1138" s="90"/>
      <c r="AP1138" s="90"/>
      <c r="AQ1138" s="90"/>
      <c r="AR1138" s="90"/>
      <c r="AS1138" s="90"/>
      <c r="AT1138" s="90"/>
      <c r="AU1138" s="90"/>
      <c r="AV1138" s="91"/>
      <c r="AX1138" s="92"/>
    </row>
    <row r="1139" customFormat="false" ht="15.65" hidden="false" customHeight="false" outlineLevel="0" collapsed="false">
      <c r="C1139" s="72" t="n">
        <f aca="false">COUNTIFS($D$6:D1139,"&lt;&gt;"&amp;"")</f>
        <v>1134</v>
      </c>
      <c r="D1139" s="73" t="s">
        <v>12</v>
      </c>
      <c r="E1139" s="76" t="str">
        <f aca="false">
IF($D1139="정상",INDEX(임대자산!$D$3:$R$3000,MATCH($F1139,임대자산!$I$3:$I$3000,0),MATCH(E$3,임대자산!$D$3:$R$3,0)),
IF($D1139="폐업",INDEX(폐업정보!$D$3:$R$3000,MATCH($F1139,폐업정보!$I$3:$I$3000,0),MATCH(E$3,폐업정보!$D$3:$R$3,0)),
"Error"))</f>
        <v>서울</v>
      </c>
      <c r="F113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B1134</v>
      </c>
      <c r="G1139" s="76" t="str">
        <f aca="false">F1139&amp;RANDBETWEEN(0,10)</f>
        <v>B11347</v>
      </c>
      <c r="H1139" s="75" t="n">
        <f aca="false">
IF($D1139="정상",INDEX(임대자산!$D$3:$R$3000,MATCH($F1139,임대자산!$I$3:$I$3000,0),MATCH(H$4,임대자산!$D$3:$R$3,0)),
IF($D1139="폐업",INDEX(폐업정보!$D$3:$R$3000,MATCH($F1139,폐업정보!$I$3:$I$3000,0),MATCH(H$4,폐업정보!$D$3:$R$3,0)),
"Error"))</f>
        <v>45670</v>
      </c>
      <c r="I1139" s="75" t="str">
        <f aca="false">
IF($D1139="정상",INDEX(임대자산!$D$3:$R$3000,MATCH($F1139,임대자산!$I$3:$I$3000,0),MATCH(I$4,임대자산!$D$3:$R$3,0)),
IF($D1139="폐업",INDEX(폐업정보!$D$3:$R$3000,MATCH($F1139,폐업정보!$I$3:$I$3000,0),MATCH(I$4,폐업정보!$D$3:$R$3,0)),
"Error"))</f>
        <v>A1134</v>
      </c>
      <c r="J1139" s="75" t="str">
        <f aca="false">
IF($D1139="정상",INDEX(임대자산!$D$3:$R$3000,MATCH($F1139,임대자산!$I$3:$I$3000,0),MATCH(J$4,임대자산!$D$3:$R$3,0)),
IF($D1139="폐업",INDEX(폐업정보!$D$3:$R$3000,MATCH($F1139,폐업정보!$I$3:$I$3000,0),MATCH(J$4,폐업정보!$D$3:$R$3,0)),
"Error"))</f>
        <v>6855000000</v>
      </c>
      <c r="K1139" s="75" t="str">
        <f aca="false">
IF($D1139="정상",INDEX(임대자산!$D$3:$R$3000,MATCH($F1139,임대자산!$I$3:$I$3000,0),MATCH(K$4,임대자산!$D$3:$R$3,0)),
IF($D1139="폐업",INDEX(폐업정보!$D$3:$R$3000,MATCH($F1139,폐업정보!$I$3:$I$3000,0),MATCH(K$4,폐업정보!$D$3:$R$3,0)),
"Error"))</f>
        <v>C1134</v>
      </c>
      <c r="L1139" s="75" t="str">
        <f aca="false">
IF($D1139="정상",INDEX(임대자산!$D$3:$R$3000,MATCH($F1139,임대자산!$I$3:$I$3000,0),MATCH(L$4,임대자산!$D$3:$R$3,0)),
IF($D1139="폐업",INDEX(폐업정보!$D$3:$R$3000,MATCH($F1139,폐업정보!$I$3:$I$3000,0),MATCH(L$4,폐업정보!$D$3:$R$3,0)),
"Error"))</f>
        <v>D1134</v>
      </c>
      <c r="M1139" s="76" t="s">
        <v>96</v>
      </c>
      <c r="N1139" s="77"/>
      <c r="O1139" s="78" t="s">
        <v>97</v>
      </c>
      <c r="P1139" s="79" t="n">
        <f aca="false">COUNTIFS(임대자산!$I:$I,가맹점정보!F1139,임대자산!$N:$N,가맹점정보!P$4)</f>
        <v>0</v>
      </c>
      <c r="Q1139" s="80" t="n">
        <f aca="false">COUNTIFS(임대자산!$I:$I,가맹점정보!F1139,임대자산!$N:$N,가맹점정보!Q$4)</f>
        <v>0</v>
      </c>
      <c r="R1139" s="81" t="n">
        <f aca="false">COUNTIFS(임대자산!$I:$I,가맹점정보!F1139,임대자산!$N:$N,가맹점정보!R$4)</f>
        <v>1</v>
      </c>
      <c r="S1139" s="82" t="n">
        <v>88000</v>
      </c>
      <c r="T1139" s="83" t="n">
        <v>0</v>
      </c>
      <c r="U1139" s="80" t="n">
        <f aca="false">SUM(S1139:T1139)</f>
        <v>88000</v>
      </c>
      <c r="V1139" s="84" t="s">
        <v>7</v>
      </c>
      <c r="W1139" s="80" t="str">
        <f aca="true">
IF(D1139="폐업","폐업",
IF(V1139="면제","면제",
IF(AND(V1139="정상",COUNTIFS(OFFSET(Y1139,0,COUNTA(Y1139:AV1139)-1,1,-4),"미납")&gt;=3),"장기미납",
IF(AND(V1139="정상",OFFSET(Y1139,0,COUNTA(Y1139:AV1139)-1)&gt;=U1139),"정상",
IF(AND(V1139="정상",OFFSET(Y1139,0,COUNTA(Y1139:AV1139)-1)=0),"정상",
"계약서 미작성")))))</f>
        <v>면제</v>
      </c>
      <c r="X1139" s="81" t="str">
        <f aca="true">
IF(D1139="폐업","폐업",
IF(AND(V1139="정상",OFFSET(Y1139,0,COUNTA(Y1139:AV1139)-1)="미납"),"미납",
IF(AND(V1139="정상",OFFSET(Y1139,0,COUNTA(Y1139:AV1139)-1)=0),"납부 시작 전",
IF(AND(V1139="정상",OFFSET(Y1139,0,COUNTA(Y1139:AV1139)-1)&gt;=U1139),"정상",
IF(AND(V1139="면제",OFFSET(Y1139,0,COUNTA(Y1139:AV1139)-1)="면제"),"면제",
IF(AND(V1139="면제",OFFSET(Y1139,0,COUNTA(Y1139:AV1139)-1)=0),"면제",
"확인요청"))))))</f>
        <v>면제</v>
      </c>
      <c r="Y1139" s="94" t="s">
        <v>7</v>
      </c>
      <c r="Z1139" s="95" t="s">
        <v>7</v>
      </c>
      <c r="AA1139" s="95" t="s">
        <v>7</v>
      </c>
      <c r="AB1139" s="95" t="s">
        <v>7</v>
      </c>
      <c r="AC1139" s="95" t="s">
        <v>7</v>
      </c>
      <c r="AD1139" s="95" t="s">
        <v>7</v>
      </c>
      <c r="AE1139" s="95" t="s">
        <v>7</v>
      </c>
      <c r="AF1139" s="95" t="s">
        <v>7</v>
      </c>
      <c r="AG1139" s="95" t="s">
        <v>7</v>
      </c>
      <c r="AH1139" s="95" t="s">
        <v>7</v>
      </c>
      <c r="AI1139" s="95" t="s">
        <v>7</v>
      </c>
      <c r="AJ1139" s="96" t="s">
        <v>7</v>
      </c>
      <c r="AK1139" s="97" t="s">
        <v>7</v>
      </c>
      <c r="AL1139" s="95" t="s">
        <v>7</v>
      </c>
      <c r="AM1139" s="90"/>
      <c r="AN1139" s="90"/>
      <c r="AO1139" s="90"/>
      <c r="AP1139" s="90"/>
      <c r="AQ1139" s="90"/>
      <c r="AR1139" s="90"/>
      <c r="AS1139" s="90"/>
      <c r="AT1139" s="90"/>
      <c r="AU1139" s="90"/>
      <c r="AV1139" s="91"/>
      <c r="AX1139" s="92"/>
    </row>
    <row r="1140" customFormat="false" ht="15.65" hidden="false" customHeight="false" outlineLevel="0" collapsed="false">
      <c r="C1140" s="72" t="n">
        <f aca="false">COUNTIFS($D$6:D1140,"&lt;&gt;"&amp;"")</f>
        <v>1135</v>
      </c>
      <c r="D1140" s="73" t="s">
        <v>12</v>
      </c>
      <c r="E1140" s="76" t="str">
        <f aca="false">
IF($D1140="정상",INDEX(임대자산!$D$3:$R$3000,MATCH($F1140,임대자산!$I$3:$I$3000,0),MATCH(E$3,임대자산!$D$3:$R$3,0)),
IF($D1140="폐업",INDEX(폐업정보!$D$3:$R$3000,MATCH($F1140,폐업정보!$I$3:$I$3000,0),MATCH(E$3,폐업정보!$D$3:$R$3,0)),
"Error"))</f>
        <v>서울</v>
      </c>
      <c r="F114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B1135</v>
      </c>
      <c r="G1140" s="76" t="str">
        <f aca="false">F1140&amp;RANDBETWEEN(0,10)</f>
        <v>B11350</v>
      </c>
      <c r="H1140" s="75" t="n">
        <f aca="false">
IF($D1140="정상",INDEX(임대자산!$D$3:$R$3000,MATCH($F1140,임대자산!$I$3:$I$3000,0),MATCH(H$4,임대자산!$D$3:$R$3,0)),
IF($D1140="폐업",INDEX(폐업정보!$D$3:$R$3000,MATCH($F1140,폐업정보!$I$3:$I$3000,0),MATCH(H$4,폐업정보!$D$3:$R$3,0)),
"Error"))</f>
        <v>44830</v>
      </c>
      <c r="I1140" s="75" t="str">
        <f aca="false">
IF($D1140="정상",INDEX(임대자산!$D$3:$R$3000,MATCH($F1140,임대자산!$I$3:$I$3000,0),MATCH(I$4,임대자산!$D$3:$R$3,0)),
IF($D1140="폐업",INDEX(폐업정보!$D$3:$R$3000,MATCH($F1140,폐업정보!$I$3:$I$3000,0),MATCH(I$4,폐업정보!$D$3:$R$3,0)),
"Error"))</f>
        <v>A1135</v>
      </c>
      <c r="J1140" s="75" t="str">
        <f aca="false">
IF($D1140="정상",INDEX(임대자산!$D$3:$R$3000,MATCH($F1140,임대자산!$I$3:$I$3000,0),MATCH(J$4,임대자산!$D$3:$R$3,0)),
IF($D1140="폐업",INDEX(폐업정보!$D$3:$R$3000,MATCH($F1140,폐업정보!$I$3:$I$3000,0),MATCH(J$4,폐업정보!$D$3:$R$3,0)),
"Error"))</f>
        <v>9165300000</v>
      </c>
      <c r="K1140" s="75" t="str">
        <f aca="false">
IF($D1140="정상",INDEX(임대자산!$D$3:$R$3000,MATCH($F1140,임대자산!$I$3:$I$3000,0),MATCH(K$4,임대자산!$D$3:$R$3,0)),
IF($D1140="폐업",INDEX(폐업정보!$D$3:$R$3000,MATCH($F1140,폐업정보!$I$3:$I$3000,0),MATCH(K$4,폐업정보!$D$3:$R$3,0)),
"Error"))</f>
        <v>C1135</v>
      </c>
      <c r="L1140" s="75" t="str">
        <f aca="false">
IF($D1140="정상",INDEX(임대자산!$D$3:$R$3000,MATCH($F1140,임대자산!$I$3:$I$3000,0),MATCH(L$4,임대자산!$D$3:$R$3,0)),
IF($D1140="폐업",INDEX(폐업정보!$D$3:$R$3000,MATCH($F1140,폐업정보!$I$3:$I$3000,0),MATCH(L$4,폐업정보!$D$3:$R$3,0)),
"Error"))</f>
        <v>D1135</v>
      </c>
      <c r="M1140" s="76" t="s">
        <v>96</v>
      </c>
      <c r="N1140" s="77"/>
      <c r="O1140" s="78" t="s">
        <v>97</v>
      </c>
      <c r="P1140" s="79" t="n">
        <f aca="false">COUNTIFS(임대자산!$I:$I,가맹점정보!F1140,임대자산!$N:$N,가맹점정보!P$4)</f>
        <v>0</v>
      </c>
      <c r="Q1140" s="80" t="n">
        <f aca="false">COUNTIFS(임대자산!$I:$I,가맹점정보!F1140,임대자산!$N:$N,가맹점정보!Q$4)</f>
        <v>0</v>
      </c>
      <c r="R1140" s="81" t="n">
        <f aca="false">COUNTIFS(임대자산!$I:$I,가맹점정보!F1140,임대자산!$N:$N,가맹점정보!R$4)</f>
        <v>1</v>
      </c>
      <c r="S1140" s="82" t="n">
        <v>55000</v>
      </c>
      <c r="T1140" s="83" t="n">
        <v>0</v>
      </c>
      <c r="U1140" s="80" t="n">
        <f aca="false">SUM(S1140:T1140)</f>
        <v>55000</v>
      </c>
      <c r="V1140" s="84" t="s">
        <v>7</v>
      </c>
      <c r="W1140" s="80" t="str">
        <f aca="true">
IF(D1140="폐업","폐업",
IF(V1140="면제","면제",
IF(AND(V1140="정상",COUNTIFS(OFFSET(Y1140,0,COUNTA(Y1140:AV1140)-1,1,-4),"미납")&gt;=3),"장기미납",
IF(AND(V1140="정상",OFFSET(Y1140,0,COUNTA(Y1140:AV1140)-1)&gt;=U1140),"정상",
IF(AND(V1140="정상",OFFSET(Y1140,0,COUNTA(Y1140:AV1140)-1)=0),"정상",
"계약서 미작성")))))</f>
        <v>면제</v>
      </c>
      <c r="X1140" s="81" t="str">
        <f aca="true">
IF(D1140="폐업","폐업",
IF(AND(V1140="정상",OFFSET(Y1140,0,COUNTA(Y1140:AV1140)-1)="미납"),"미납",
IF(AND(V1140="정상",OFFSET(Y1140,0,COUNTA(Y1140:AV1140)-1)=0),"납부 시작 전",
IF(AND(V1140="정상",OFFSET(Y1140,0,COUNTA(Y1140:AV1140)-1)&gt;=U1140),"정상",
IF(AND(V1140="면제",OFFSET(Y1140,0,COUNTA(Y1140:AV1140)-1)="면제"),"면제",
IF(AND(V1140="면제",OFFSET(Y1140,0,COUNTA(Y1140:AV1140)-1)=0),"면제",
"확인요청"))))))</f>
        <v>면제</v>
      </c>
      <c r="Y1140" s="93" t="n">
        <v>55000</v>
      </c>
      <c r="Z1140" s="90" t="n">
        <v>55000</v>
      </c>
      <c r="AA1140" s="90" t="n">
        <v>55000</v>
      </c>
      <c r="AB1140" s="90" t="n">
        <v>55000</v>
      </c>
      <c r="AC1140" s="90" t="n">
        <v>55000</v>
      </c>
      <c r="AD1140" s="90" t="n">
        <v>55000</v>
      </c>
      <c r="AE1140" s="90" t="n">
        <v>55000</v>
      </c>
      <c r="AF1140" s="90" t="n">
        <v>55000</v>
      </c>
      <c r="AG1140" s="90" t="n">
        <v>55000</v>
      </c>
      <c r="AH1140" s="90" t="n">
        <v>55000</v>
      </c>
      <c r="AI1140" s="90" t="n">
        <v>55000</v>
      </c>
      <c r="AJ1140" s="91" t="n">
        <v>55000</v>
      </c>
      <c r="AK1140" s="89" t="n">
        <v>55000</v>
      </c>
      <c r="AL1140" s="95" t="s">
        <v>7</v>
      </c>
      <c r="AM1140" s="90"/>
      <c r="AN1140" s="90"/>
      <c r="AO1140" s="90"/>
      <c r="AP1140" s="90"/>
      <c r="AQ1140" s="90"/>
      <c r="AR1140" s="90"/>
      <c r="AS1140" s="90"/>
      <c r="AT1140" s="90"/>
      <c r="AU1140" s="90"/>
      <c r="AV1140" s="91"/>
      <c r="AX1140" s="92"/>
    </row>
    <row r="1141" customFormat="false" ht="15.65" hidden="false" customHeight="false" outlineLevel="0" collapsed="false">
      <c r="C1141" s="72" t="n">
        <f aca="false">COUNTIFS($D$6:D1141,"&lt;&gt;"&amp;"")</f>
        <v>1136</v>
      </c>
      <c r="D1141" s="73" t="s">
        <v>12</v>
      </c>
      <c r="E1141" s="76" t="str">
        <f aca="false">
IF($D1141="정상",INDEX(임대자산!$D$3:$R$3000,MATCH($F1141,임대자산!$I$3:$I$3000,0),MATCH(E$3,임대자산!$D$3:$R$3,0)),
IF($D1141="폐업",INDEX(폐업정보!$D$3:$R$3000,MATCH($F1141,폐업정보!$I$3:$I$3000,0),MATCH(E$3,폐업정보!$D$3:$R$3,0)),
"Error"))</f>
        <v>강원</v>
      </c>
      <c r="F114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B1136</v>
      </c>
      <c r="G1141" s="76" t="str">
        <f aca="false">F1141&amp;RANDBETWEEN(0,10)</f>
        <v>B11364</v>
      </c>
      <c r="H1141" s="75" t="n">
        <f aca="false">
IF($D1141="정상",INDEX(임대자산!$D$3:$R$3000,MATCH($F1141,임대자산!$I$3:$I$3000,0),MATCH(H$4,임대자산!$D$3:$R$3,0)),
IF($D1141="폐업",INDEX(폐업정보!$D$3:$R$3000,MATCH($F1141,폐업정보!$I$3:$I$3000,0),MATCH(H$4,폐업정보!$D$3:$R$3,0)),
"Error"))</f>
        <v>45565</v>
      </c>
      <c r="I1141" s="75" t="str">
        <f aca="false">
IF($D1141="정상",INDEX(임대자산!$D$3:$R$3000,MATCH($F1141,임대자산!$I$3:$I$3000,0),MATCH(I$4,임대자산!$D$3:$R$3,0)),
IF($D1141="폐업",INDEX(폐업정보!$D$3:$R$3000,MATCH($F1141,폐업정보!$I$3:$I$3000,0),MATCH(I$4,폐업정보!$D$3:$R$3,0)),
"Error"))</f>
        <v>A1136</v>
      </c>
      <c r="J1141" s="75" t="str">
        <f aca="false">
IF($D1141="정상",INDEX(임대자산!$D$3:$R$3000,MATCH($F1141,임대자산!$I$3:$I$3000,0),MATCH(J$4,임대자산!$D$3:$R$3,0)),
IF($D1141="폐업",INDEX(폐업정보!$D$3:$R$3000,MATCH($F1141,폐업정보!$I$3:$I$3000,0),MATCH(J$4,폐업정보!$D$3:$R$3,0)),
"Error"))</f>
        <v>1970500000</v>
      </c>
      <c r="K1141" s="75" t="str">
        <f aca="false">
IF($D1141="정상",INDEX(임대자산!$D$3:$R$3000,MATCH($F1141,임대자산!$I$3:$I$3000,0),MATCH(K$4,임대자산!$D$3:$R$3,0)),
IF($D1141="폐업",INDEX(폐업정보!$D$3:$R$3000,MATCH($F1141,폐업정보!$I$3:$I$3000,0),MATCH(K$4,폐업정보!$D$3:$R$3,0)),
"Error"))</f>
        <v>C1136</v>
      </c>
      <c r="L1141" s="75" t="str">
        <f aca="false">
IF($D1141="정상",INDEX(임대자산!$D$3:$R$3000,MATCH($F1141,임대자산!$I$3:$I$3000,0),MATCH(L$4,임대자산!$D$3:$R$3,0)),
IF($D1141="폐업",INDEX(폐업정보!$D$3:$R$3000,MATCH($F1141,폐업정보!$I$3:$I$3000,0),MATCH(L$4,폐업정보!$D$3:$R$3,0)),
"Error"))</f>
        <v>D1136</v>
      </c>
      <c r="M1141" s="76" t="s">
        <v>96</v>
      </c>
      <c r="N1141" s="77"/>
      <c r="O1141" s="78" t="s">
        <v>97</v>
      </c>
      <c r="P1141" s="79" t="n">
        <f aca="false">COUNTIFS(임대자산!$I:$I,가맹점정보!F1141,임대자산!$N:$N,가맹점정보!P$4)</f>
        <v>0</v>
      </c>
      <c r="Q1141" s="80" t="n">
        <f aca="false">COUNTIFS(임대자산!$I:$I,가맹점정보!F1141,임대자산!$N:$N,가맹점정보!Q$4)</f>
        <v>0</v>
      </c>
      <c r="R1141" s="81" t="n">
        <f aca="false">COUNTIFS(임대자산!$I:$I,가맹점정보!F1141,임대자산!$N:$N,가맹점정보!R$4)</f>
        <v>1</v>
      </c>
      <c r="S1141" s="82" t="n">
        <v>55000</v>
      </c>
      <c r="T1141" s="83" t="n">
        <v>0</v>
      </c>
      <c r="U1141" s="80" t="n">
        <f aca="false">SUM(S1141:T1141)</f>
        <v>55000</v>
      </c>
      <c r="V1141" s="84" t="s">
        <v>7</v>
      </c>
      <c r="W1141" s="80" t="str">
        <f aca="true">
IF(D1141="폐업","폐업",
IF(V1141="면제","면제",
IF(AND(V1141="정상",COUNTIFS(OFFSET(Y1141,0,COUNTA(Y1141:AV1141)-1,1,-4),"미납")&gt;=3),"장기미납",
IF(AND(V1141="정상",OFFSET(Y1141,0,COUNTA(Y1141:AV1141)-1)&gt;=U1141),"정상",
IF(AND(V1141="정상",OFFSET(Y1141,0,COUNTA(Y1141:AV1141)-1)=0),"정상",
"계약서 미작성")))))</f>
        <v>면제</v>
      </c>
      <c r="X1141" s="81" t="str">
        <f aca="true">
IF(D1141="폐업","폐업",
IF(AND(V1141="정상",OFFSET(Y1141,0,COUNTA(Y1141:AV1141)-1)="미납"),"미납",
IF(AND(V1141="정상",OFFSET(Y1141,0,COUNTA(Y1141:AV1141)-1)=0),"납부 시작 전",
IF(AND(V1141="정상",OFFSET(Y1141,0,COUNTA(Y1141:AV1141)-1)&gt;=U1141),"정상",
IF(AND(V1141="면제",OFFSET(Y1141,0,COUNTA(Y1141:AV1141)-1)="면제"),"면제",
IF(AND(V1141="면제",OFFSET(Y1141,0,COUNTA(Y1141:AV1141)-1)=0),"면제",
"확인요청"))))))</f>
        <v>면제</v>
      </c>
      <c r="Y1141" s="94" t="s">
        <v>7</v>
      </c>
      <c r="Z1141" s="95" t="s">
        <v>7</v>
      </c>
      <c r="AA1141" s="95" t="s">
        <v>7</v>
      </c>
      <c r="AB1141" s="95" t="s">
        <v>7</v>
      </c>
      <c r="AC1141" s="95" t="s">
        <v>7</v>
      </c>
      <c r="AD1141" s="95" t="s">
        <v>7</v>
      </c>
      <c r="AE1141" s="95" t="s">
        <v>7</v>
      </c>
      <c r="AF1141" s="95" t="s">
        <v>7</v>
      </c>
      <c r="AG1141" s="95" t="s">
        <v>7</v>
      </c>
      <c r="AH1141" s="95" t="s">
        <v>7</v>
      </c>
      <c r="AI1141" s="95" t="s">
        <v>7</v>
      </c>
      <c r="AJ1141" s="96" t="s">
        <v>7</v>
      </c>
      <c r="AK1141" s="97" t="s">
        <v>7</v>
      </c>
      <c r="AL1141" s="95" t="s">
        <v>7</v>
      </c>
      <c r="AM1141" s="90"/>
      <c r="AN1141" s="90"/>
      <c r="AO1141" s="90"/>
      <c r="AP1141" s="90"/>
      <c r="AQ1141" s="90"/>
      <c r="AR1141" s="90"/>
      <c r="AS1141" s="90"/>
      <c r="AT1141" s="90"/>
      <c r="AU1141" s="90"/>
      <c r="AV1141" s="91"/>
      <c r="AX1141" s="92"/>
    </row>
    <row r="1142" customFormat="false" ht="15.65" hidden="false" customHeight="false" outlineLevel="0" collapsed="false">
      <c r="C1142" s="72" t="n">
        <f aca="false">COUNTIFS($D$6:D1142,"&lt;&gt;"&amp;"")</f>
        <v>1137</v>
      </c>
      <c r="D1142" s="73" t="s">
        <v>12</v>
      </c>
      <c r="E1142" s="76" t="str">
        <f aca="false">
IF($D1142="정상",INDEX(임대자산!$D$3:$R$3000,MATCH($F1142,임대자산!$I$3:$I$3000,0),MATCH(E$3,임대자산!$D$3:$R$3,0)),
IF($D1142="폐업",INDEX(폐업정보!$D$3:$R$3000,MATCH($F1142,폐업정보!$I$3:$I$3000,0),MATCH(E$3,폐업정보!$D$3:$R$3,0)),
"Error"))</f>
        <v>서울</v>
      </c>
      <c r="F114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B1137</v>
      </c>
      <c r="G1142" s="76" t="str">
        <f aca="false">F1142&amp;RANDBETWEEN(0,10)</f>
        <v>B11371</v>
      </c>
      <c r="H1142" s="75" t="n">
        <f aca="false">
IF($D1142="정상",INDEX(임대자산!$D$3:$R$3000,MATCH($F1142,임대자산!$I$3:$I$3000,0),MATCH(H$4,임대자산!$D$3:$R$3,0)),
IF($D1142="폐업",INDEX(폐업정보!$D$3:$R$3000,MATCH($F1142,폐업정보!$I$3:$I$3000,0),MATCH(H$4,폐업정보!$D$3:$R$3,0)),
"Error"))</f>
        <v>45336</v>
      </c>
      <c r="I1142" s="75" t="str">
        <f aca="false">
IF($D1142="정상",INDEX(임대자산!$D$3:$R$3000,MATCH($F1142,임대자산!$I$3:$I$3000,0),MATCH(I$4,임대자산!$D$3:$R$3,0)),
IF($D1142="폐업",INDEX(폐업정보!$D$3:$R$3000,MATCH($F1142,폐업정보!$I$3:$I$3000,0),MATCH(I$4,폐업정보!$D$3:$R$3,0)),
"Error"))</f>
        <v>A1137</v>
      </c>
      <c r="J1142" s="75" t="str">
        <f aca="false">
IF($D1142="정상",INDEX(임대자산!$D$3:$R$3000,MATCH($F1142,임대자산!$I$3:$I$3000,0),MATCH(J$4,임대자산!$D$3:$R$3,0)),
IF($D1142="폐업",INDEX(폐업정보!$D$3:$R$3000,MATCH($F1142,폐업정보!$I$3:$I$3000,0),MATCH(J$4,폐업정보!$D$3:$R$3,0)),
"Error"))</f>
        <v>4902500000</v>
      </c>
      <c r="K1142" s="75" t="str">
        <f aca="false">
IF($D1142="정상",INDEX(임대자산!$D$3:$R$3000,MATCH($F1142,임대자산!$I$3:$I$3000,0),MATCH(K$4,임대자산!$D$3:$R$3,0)),
IF($D1142="폐업",INDEX(폐업정보!$D$3:$R$3000,MATCH($F1142,폐업정보!$I$3:$I$3000,0),MATCH(K$4,폐업정보!$D$3:$R$3,0)),
"Error"))</f>
        <v>C1137</v>
      </c>
      <c r="L1142" s="75" t="str">
        <f aca="false">
IF($D1142="정상",INDEX(임대자산!$D$3:$R$3000,MATCH($F1142,임대자산!$I$3:$I$3000,0),MATCH(L$4,임대자산!$D$3:$R$3,0)),
IF($D1142="폐업",INDEX(폐업정보!$D$3:$R$3000,MATCH($F1142,폐업정보!$I$3:$I$3000,0),MATCH(L$4,폐업정보!$D$3:$R$3,0)),
"Error"))</f>
        <v>D1137</v>
      </c>
      <c r="M1142" s="76" t="s">
        <v>96</v>
      </c>
      <c r="N1142" s="77"/>
      <c r="O1142" s="78" t="s">
        <v>97</v>
      </c>
      <c r="P1142" s="79" t="n">
        <f aca="false">COUNTIFS(임대자산!$I:$I,가맹점정보!F1142,임대자산!$N:$N,가맹점정보!P$4)</f>
        <v>0</v>
      </c>
      <c r="Q1142" s="80" t="n">
        <f aca="false">COUNTIFS(임대자산!$I:$I,가맹점정보!F1142,임대자산!$N:$N,가맹점정보!Q$4)</f>
        <v>0</v>
      </c>
      <c r="R1142" s="81" t="n">
        <f aca="false">COUNTIFS(임대자산!$I:$I,가맹점정보!F1142,임대자산!$N:$N,가맹점정보!R$4)</f>
        <v>1</v>
      </c>
      <c r="S1142" s="82" t="n">
        <v>55000</v>
      </c>
      <c r="T1142" s="83" t="n">
        <v>0</v>
      </c>
      <c r="U1142" s="80" t="n">
        <f aca="false">SUM(S1142:T1142)</f>
        <v>55000</v>
      </c>
      <c r="V1142" s="84" t="s">
        <v>12</v>
      </c>
      <c r="W1142" s="80" t="e">
        <f aca="true">
IF(D1142="폐업","폐업",
IF(V1142="면제","면제",
IF(AND(V1142="정상",COUNTIFS(OFFSET(Y1142,0,COUNTA(Y1142:AV1142)-1,1,-4),"미납")&gt;=3),"장기미납",
IF(AND(V1142="정상",OFFSET(Y1142,0,COUNTA(Y1142:AV1142)-1)&gt;=U1142),"정상",
IF(AND(V1142="정상",OFFSET(Y1142,0,COUNTA(Y1142:AV1142)-1)=0),"정상",
"계약서 미작성")))))</f>
        <v>#VALUE!</v>
      </c>
      <c r="X1142" s="81" t="str">
        <f aca="true">
IF(D1142="폐업","폐업",
IF(AND(V1142="정상",OFFSET(Y1142,0,COUNTA(Y1142:AV1142)-1)="미납"),"미납",
IF(AND(V1142="정상",OFFSET(Y1142,0,COUNTA(Y1142:AV1142)-1)=0),"납부 시작 전",
IF(AND(V1142="정상",OFFSET(Y1142,0,COUNTA(Y1142:AV1142)-1)&gt;=U1142),"정상",
IF(AND(V1142="면제",OFFSET(Y1142,0,COUNTA(Y1142:AV1142)-1)="면제"),"면제",
IF(AND(V1142="면제",OFFSET(Y1142,0,COUNTA(Y1142:AV1142)-1)=0),"면제",
"확인요청"))))))</f>
        <v>정상</v>
      </c>
      <c r="Y1142" s="93" t="n">
        <v>55000</v>
      </c>
      <c r="Z1142" s="90" t="n">
        <v>55000</v>
      </c>
      <c r="AA1142" s="90" t="n">
        <v>55000</v>
      </c>
      <c r="AB1142" s="90" t="n">
        <v>55000</v>
      </c>
      <c r="AC1142" s="90" t="n">
        <v>55000</v>
      </c>
      <c r="AD1142" s="90" t="n">
        <v>55000</v>
      </c>
      <c r="AE1142" s="90" t="n">
        <v>55000</v>
      </c>
      <c r="AF1142" s="90" t="n">
        <v>55000</v>
      </c>
      <c r="AG1142" s="90" t="n">
        <v>55000</v>
      </c>
      <c r="AH1142" s="90" t="n">
        <v>55000</v>
      </c>
      <c r="AI1142" s="90" t="n">
        <v>55000</v>
      </c>
      <c r="AJ1142" s="91" t="n">
        <v>55000</v>
      </c>
      <c r="AK1142" s="89" t="n">
        <v>55000</v>
      </c>
      <c r="AL1142" s="90" t="n">
        <v>55000</v>
      </c>
      <c r="AM1142" s="90"/>
      <c r="AN1142" s="90"/>
      <c r="AO1142" s="90"/>
      <c r="AP1142" s="90"/>
      <c r="AQ1142" s="90"/>
      <c r="AR1142" s="90"/>
      <c r="AS1142" s="90"/>
      <c r="AT1142" s="90"/>
      <c r="AU1142" s="90"/>
      <c r="AV1142" s="91"/>
      <c r="AX1142" s="92"/>
    </row>
    <row r="1143" customFormat="false" ht="15.65" hidden="false" customHeight="false" outlineLevel="0" collapsed="false">
      <c r="C1143" s="72" t="n">
        <f aca="false">COUNTIFS($D$6:D1143,"&lt;&gt;"&amp;"")</f>
        <v>1138</v>
      </c>
      <c r="D1143" s="73" t="s">
        <v>12</v>
      </c>
      <c r="E1143" s="76" t="str">
        <f aca="false">
IF($D1143="정상",INDEX(임대자산!$D$3:$R$3000,MATCH($F1143,임대자산!$I$3:$I$3000,0),MATCH(E$3,임대자산!$D$3:$R$3,0)),
IF($D1143="폐업",INDEX(폐업정보!$D$3:$R$3000,MATCH($F1143,폐업정보!$I$3:$I$3000,0),MATCH(E$3,폐업정보!$D$3:$R$3,0)),
"Error"))</f>
        <v>강원</v>
      </c>
      <c r="F114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B1138</v>
      </c>
      <c r="G1143" s="76" t="str">
        <f aca="false">F1143&amp;RANDBETWEEN(0,10)</f>
        <v>B11387</v>
      </c>
      <c r="H1143" s="75" t="n">
        <f aca="false">
IF($D1143="정상",INDEX(임대자산!$D$3:$R$3000,MATCH($F1143,임대자산!$I$3:$I$3000,0),MATCH(H$4,임대자산!$D$3:$R$3,0)),
IF($D1143="폐업",INDEX(폐업정보!$D$3:$R$3000,MATCH($F1143,폐업정보!$I$3:$I$3000,0),MATCH(H$4,폐업정보!$D$3:$R$3,0)),
"Error"))</f>
        <v>44820</v>
      </c>
      <c r="I1143" s="75" t="str">
        <f aca="false">
IF($D1143="정상",INDEX(임대자산!$D$3:$R$3000,MATCH($F1143,임대자산!$I$3:$I$3000,0),MATCH(I$4,임대자산!$D$3:$R$3,0)),
IF($D1143="폐업",INDEX(폐업정보!$D$3:$R$3000,MATCH($F1143,폐업정보!$I$3:$I$3000,0),MATCH(I$4,폐업정보!$D$3:$R$3,0)),
"Error"))</f>
        <v>A1138</v>
      </c>
      <c r="J1143" s="75" t="str">
        <f aca="false">
IF($D1143="정상",INDEX(임대자산!$D$3:$R$3000,MATCH($F1143,임대자산!$I$3:$I$3000,0),MATCH(J$4,임대자산!$D$3:$R$3,0)),
IF($D1143="폐업",INDEX(폐업정보!$D$3:$R$3000,MATCH($F1143,폐업정보!$I$3:$I$3000,0),MATCH(J$4,폐업정보!$D$3:$R$3,0)),
"Error"))</f>
        <v>9757100000</v>
      </c>
      <c r="K1143" s="75" t="str">
        <f aca="false">
IF($D1143="정상",INDEX(임대자산!$D$3:$R$3000,MATCH($F1143,임대자산!$I$3:$I$3000,0),MATCH(K$4,임대자산!$D$3:$R$3,0)),
IF($D1143="폐업",INDEX(폐업정보!$D$3:$R$3000,MATCH($F1143,폐업정보!$I$3:$I$3000,0),MATCH(K$4,폐업정보!$D$3:$R$3,0)),
"Error"))</f>
        <v>C1138</v>
      </c>
      <c r="L1143" s="75" t="str">
        <f aca="false">
IF($D1143="정상",INDEX(임대자산!$D$3:$R$3000,MATCH($F1143,임대자산!$I$3:$I$3000,0),MATCH(L$4,임대자산!$D$3:$R$3,0)),
IF($D1143="폐업",INDEX(폐업정보!$D$3:$R$3000,MATCH($F1143,폐업정보!$I$3:$I$3000,0),MATCH(L$4,폐업정보!$D$3:$R$3,0)),
"Error"))</f>
        <v>D1138</v>
      </c>
      <c r="M1143" s="76" t="s">
        <v>96</v>
      </c>
      <c r="N1143" s="77"/>
      <c r="O1143" s="78" t="s">
        <v>97</v>
      </c>
      <c r="P1143" s="79" t="n">
        <f aca="false">COUNTIFS(임대자산!$I:$I,가맹점정보!F1143,임대자산!$N:$N,가맹점정보!P$4)</f>
        <v>0</v>
      </c>
      <c r="Q1143" s="80" t="n">
        <f aca="false">COUNTIFS(임대자산!$I:$I,가맹점정보!F1143,임대자산!$N:$N,가맹점정보!Q$4)</f>
        <v>0</v>
      </c>
      <c r="R1143" s="81" t="n">
        <f aca="false">COUNTIFS(임대자산!$I:$I,가맹점정보!F1143,임대자산!$N:$N,가맹점정보!R$4)</f>
        <v>1</v>
      </c>
      <c r="S1143" s="82" t="n">
        <v>55000</v>
      </c>
      <c r="T1143" s="83" t="n">
        <v>0</v>
      </c>
      <c r="U1143" s="80" t="n">
        <f aca="false">SUM(S1143:T1143)</f>
        <v>55000</v>
      </c>
      <c r="V1143" s="84" t="s">
        <v>12</v>
      </c>
      <c r="W1143" s="80" t="e">
        <f aca="true">
IF(D1143="폐업","폐업",
IF(V1143="면제","면제",
IF(AND(V1143="정상",COUNTIFS(OFFSET(Y1143,0,COUNTA(Y1143:AV1143)-1,1,-4),"미납")&gt;=3),"장기미납",
IF(AND(V1143="정상",OFFSET(Y1143,0,COUNTA(Y1143:AV1143)-1)&gt;=U1143),"정상",
IF(AND(V1143="정상",OFFSET(Y1143,0,COUNTA(Y1143:AV1143)-1)=0),"정상",
"계약서 미작성")))))</f>
        <v>#VALUE!</v>
      </c>
      <c r="X1143" s="81" t="str">
        <f aca="true">
IF(D1143="폐업","폐업",
IF(AND(V1143="정상",OFFSET(Y1143,0,COUNTA(Y1143:AV1143)-1)="미납"),"미납",
IF(AND(V1143="정상",OFFSET(Y1143,0,COUNTA(Y1143:AV1143)-1)=0),"납부 시작 전",
IF(AND(V1143="정상",OFFSET(Y1143,0,COUNTA(Y1143:AV1143)-1)&gt;=U1143),"정상",
IF(AND(V1143="면제",OFFSET(Y1143,0,COUNTA(Y1143:AV1143)-1)="면제"),"면제",
IF(AND(V1143="면제",OFFSET(Y1143,0,COUNTA(Y1143:AV1143)-1)=0),"면제",
"확인요청"))))))</f>
        <v>정상</v>
      </c>
      <c r="Y1143" s="93" t="n">
        <v>55000</v>
      </c>
      <c r="Z1143" s="90" t="n">
        <v>55000</v>
      </c>
      <c r="AA1143" s="90" t="n">
        <v>55000</v>
      </c>
      <c r="AB1143" s="90" t="n">
        <v>55000</v>
      </c>
      <c r="AC1143" s="90" t="n">
        <v>55000</v>
      </c>
      <c r="AD1143" s="90" t="n">
        <v>55000</v>
      </c>
      <c r="AE1143" s="90" t="n">
        <v>55000</v>
      </c>
      <c r="AF1143" s="90" t="n">
        <v>55000</v>
      </c>
      <c r="AG1143" s="90" t="n">
        <v>55000</v>
      </c>
      <c r="AH1143" s="90" t="n">
        <v>55000</v>
      </c>
      <c r="AI1143" s="90" t="n">
        <v>55000</v>
      </c>
      <c r="AJ1143" s="91" t="n">
        <v>55000</v>
      </c>
      <c r="AK1143" s="89" t="n">
        <v>55000</v>
      </c>
      <c r="AL1143" s="90" t="n">
        <v>55000</v>
      </c>
      <c r="AM1143" s="90"/>
      <c r="AN1143" s="90"/>
      <c r="AO1143" s="90"/>
      <c r="AP1143" s="90"/>
      <c r="AQ1143" s="90"/>
      <c r="AR1143" s="90"/>
      <c r="AS1143" s="90"/>
      <c r="AT1143" s="90"/>
      <c r="AU1143" s="90"/>
      <c r="AV1143" s="91"/>
      <c r="AX1143" s="92"/>
    </row>
    <row r="1144" customFormat="false" ht="15.65" hidden="false" customHeight="false" outlineLevel="0" collapsed="false">
      <c r="C1144" s="72" t="n">
        <f aca="false">COUNTIFS($D$6:D1144,"&lt;&gt;"&amp;"")</f>
        <v>1139</v>
      </c>
      <c r="D1144" s="73" t="s">
        <v>12</v>
      </c>
      <c r="E1144" s="76" t="str">
        <f aca="false">
IF($D1144="정상",INDEX(임대자산!$D$3:$R$3000,MATCH($F1144,임대자산!$I$3:$I$3000,0),MATCH(E$3,임대자산!$D$3:$R$3,0)),
IF($D1144="폐업",INDEX(폐업정보!$D$3:$R$3000,MATCH($F1144,폐업정보!$I$3:$I$3000,0),MATCH(E$3,폐업정보!$D$3:$R$3,0)),
"Error"))</f>
        <v>경기</v>
      </c>
      <c r="F114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B1139</v>
      </c>
      <c r="G1144" s="76" t="str">
        <f aca="false">F1144&amp;RANDBETWEEN(0,10)</f>
        <v>B11391</v>
      </c>
      <c r="H1144" s="75" t="n">
        <f aca="false">
IF($D1144="정상",INDEX(임대자산!$D$3:$R$3000,MATCH($F1144,임대자산!$I$3:$I$3000,0),MATCH(H$4,임대자산!$D$3:$R$3,0)),
IF($D1144="폐업",INDEX(폐업정보!$D$3:$R$3000,MATCH($F1144,폐업정보!$I$3:$I$3000,0),MATCH(H$4,폐업정보!$D$3:$R$3,0)),
"Error"))</f>
        <v>45943</v>
      </c>
      <c r="I1144" s="75" t="str">
        <f aca="false">
IF($D1144="정상",INDEX(임대자산!$D$3:$R$3000,MATCH($F1144,임대자산!$I$3:$I$3000,0),MATCH(I$4,임대자산!$D$3:$R$3,0)),
IF($D1144="폐업",INDEX(폐업정보!$D$3:$R$3000,MATCH($F1144,폐업정보!$I$3:$I$3000,0),MATCH(I$4,폐업정보!$D$3:$R$3,0)),
"Error"))</f>
        <v>A1139</v>
      </c>
      <c r="J1144" s="75" t="str">
        <f aca="false">
IF($D1144="정상",INDEX(임대자산!$D$3:$R$3000,MATCH($F1144,임대자산!$I$3:$I$3000,0),MATCH(J$4,임대자산!$D$3:$R$3,0)),
IF($D1144="폐업",INDEX(폐업정보!$D$3:$R$3000,MATCH($F1144,폐업정보!$I$3:$I$3000,0),MATCH(J$4,폐업정보!$D$3:$R$3,0)),
"Error"))</f>
        <v>1665700000</v>
      </c>
      <c r="K1144" s="75" t="str">
        <f aca="false">
IF($D1144="정상",INDEX(임대자산!$D$3:$R$3000,MATCH($F1144,임대자산!$I$3:$I$3000,0),MATCH(K$4,임대자산!$D$3:$R$3,0)),
IF($D1144="폐업",INDEX(폐업정보!$D$3:$R$3000,MATCH($F1144,폐업정보!$I$3:$I$3000,0),MATCH(K$4,폐업정보!$D$3:$R$3,0)),
"Error"))</f>
        <v>C1139</v>
      </c>
      <c r="L1144" s="75" t="str">
        <f aca="false">
IF($D1144="정상",INDEX(임대자산!$D$3:$R$3000,MATCH($F1144,임대자산!$I$3:$I$3000,0),MATCH(L$4,임대자산!$D$3:$R$3,0)),
IF($D1144="폐업",INDEX(폐업정보!$D$3:$R$3000,MATCH($F1144,폐업정보!$I$3:$I$3000,0),MATCH(L$4,폐업정보!$D$3:$R$3,0)),
"Error"))</f>
        <v>D1139</v>
      </c>
      <c r="M1144" s="76" t="s">
        <v>96</v>
      </c>
      <c r="N1144" s="77"/>
      <c r="O1144" s="78" t="s">
        <v>97</v>
      </c>
      <c r="P1144" s="79" t="n">
        <f aca="false">COUNTIFS(임대자산!$I:$I,가맹점정보!F1144,임대자산!$N:$N,가맹점정보!P$4)</f>
        <v>0</v>
      </c>
      <c r="Q1144" s="80" t="n">
        <f aca="false">COUNTIFS(임대자산!$I:$I,가맹점정보!F1144,임대자산!$N:$N,가맹점정보!Q$4)</f>
        <v>0</v>
      </c>
      <c r="R1144" s="81" t="n">
        <f aca="false">COUNTIFS(임대자산!$I:$I,가맹점정보!F1144,임대자산!$N:$N,가맹점정보!R$4)</f>
        <v>1</v>
      </c>
      <c r="S1144" s="82" t="n">
        <v>55000</v>
      </c>
      <c r="T1144" s="83" t="n">
        <v>0</v>
      </c>
      <c r="U1144" s="80" t="n">
        <f aca="false">SUM(S1144:T1144)</f>
        <v>55000</v>
      </c>
      <c r="V1144" s="84" t="s">
        <v>7</v>
      </c>
      <c r="W1144" s="80" t="str">
        <f aca="true">
IF(D1144="폐업","폐업",
IF(V1144="면제","면제",
IF(AND(V1144="정상",COUNTIFS(OFFSET(Y1144,0,COUNTA(Y1144:AV1144)-1,1,-4),"미납")&gt;=3),"장기미납",
IF(AND(V1144="정상",OFFSET(Y1144,0,COUNTA(Y1144:AV1144)-1)&gt;=U1144),"정상",
IF(AND(V1144="정상",OFFSET(Y1144,0,COUNTA(Y1144:AV1144)-1)=0),"정상",
"계약서 미작성")))))</f>
        <v>면제</v>
      </c>
      <c r="X1144" s="81" t="str">
        <f aca="true">
IF(D1144="폐업","폐업",
IF(AND(V1144="정상",OFFSET(Y1144,0,COUNTA(Y1144:AV1144)-1)="미납"),"미납",
IF(AND(V1144="정상",OFFSET(Y1144,0,COUNTA(Y1144:AV1144)-1)=0),"납부 시작 전",
IF(AND(V1144="정상",OFFSET(Y1144,0,COUNTA(Y1144:AV1144)-1)&gt;=U1144),"정상",
IF(AND(V1144="면제",OFFSET(Y1144,0,COUNTA(Y1144:AV1144)-1)="면제"),"면제",
IF(AND(V1144="면제",OFFSET(Y1144,0,COUNTA(Y1144:AV1144)-1)=0),"면제",
"확인요청"))))))</f>
        <v>면제</v>
      </c>
      <c r="Y1144" s="94" t="s">
        <v>7</v>
      </c>
      <c r="Z1144" s="95" t="s">
        <v>7</v>
      </c>
      <c r="AA1144" s="95" t="s">
        <v>7</v>
      </c>
      <c r="AB1144" s="95" t="s">
        <v>7</v>
      </c>
      <c r="AC1144" s="95" t="s">
        <v>7</v>
      </c>
      <c r="AD1144" s="95" t="s">
        <v>7</v>
      </c>
      <c r="AE1144" s="95" t="s">
        <v>7</v>
      </c>
      <c r="AF1144" s="95" t="s">
        <v>7</v>
      </c>
      <c r="AG1144" s="95" t="s">
        <v>7</v>
      </c>
      <c r="AH1144" s="95" t="s">
        <v>7</v>
      </c>
      <c r="AI1144" s="95" t="s">
        <v>7</v>
      </c>
      <c r="AJ1144" s="96" t="s">
        <v>7</v>
      </c>
      <c r="AK1144" s="97" t="s">
        <v>7</v>
      </c>
      <c r="AL1144" s="95" t="s">
        <v>7</v>
      </c>
      <c r="AM1144" s="90"/>
      <c r="AN1144" s="90"/>
      <c r="AO1144" s="90"/>
      <c r="AP1144" s="90"/>
      <c r="AQ1144" s="90"/>
      <c r="AR1144" s="90"/>
      <c r="AS1144" s="90"/>
      <c r="AT1144" s="90"/>
      <c r="AU1144" s="90"/>
      <c r="AV1144" s="91"/>
      <c r="AX1144" s="92"/>
    </row>
    <row r="1145" customFormat="false" ht="15.65" hidden="false" customHeight="false" outlineLevel="0" collapsed="false">
      <c r="C1145" s="72" t="n">
        <f aca="false">COUNTIFS($D$6:D1145,"&lt;&gt;"&amp;"")</f>
        <v>1140</v>
      </c>
      <c r="D1145" s="73" t="s">
        <v>12</v>
      </c>
      <c r="E1145" s="76" t="str">
        <f aca="false">
IF($D1145="정상",INDEX(임대자산!$D$3:$R$3000,MATCH($F1145,임대자산!$I$3:$I$3000,0),MATCH(E$3,임대자산!$D$3:$R$3,0)),
IF($D1145="폐업",INDEX(폐업정보!$D$3:$R$3000,MATCH($F1145,폐업정보!$I$3:$I$3000,0),MATCH(E$3,폐업정보!$D$3:$R$3,0)),
"Error"))</f>
        <v>경기</v>
      </c>
      <c r="F114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B1140</v>
      </c>
      <c r="G1145" s="76" t="str">
        <f aca="false">F1145&amp;RANDBETWEEN(0,10)</f>
        <v>B11401</v>
      </c>
      <c r="H1145" s="75" t="n">
        <f aca="false">
IF($D1145="정상",INDEX(임대자산!$D$3:$R$3000,MATCH($F1145,임대자산!$I$3:$I$3000,0),MATCH(H$4,임대자산!$D$3:$R$3,0)),
IF($D1145="폐업",INDEX(폐업정보!$D$3:$R$3000,MATCH($F1145,폐업정보!$I$3:$I$3000,0),MATCH(H$4,폐업정보!$D$3:$R$3,0)),
"Error"))</f>
        <v>45943</v>
      </c>
      <c r="I1145" s="75" t="str">
        <f aca="false">
IF($D1145="정상",INDEX(임대자산!$D$3:$R$3000,MATCH($F1145,임대자산!$I$3:$I$3000,0),MATCH(I$4,임대자산!$D$3:$R$3,0)),
IF($D1145="폐업",INDEX(폐업정보!$D$3:$R$3000,MATCH($F1145,폐업정보!$I$3:$I$3000,0),MATCH(I$4,폐업정보!$D$3:$R$3,0)),
"Error"))</f>
        <v>A1140</v>
      </c>
      <c r="J1145" s="75" t="str">
        <f aca="false">
IF($D1145="정상",INDEX(임대자산!$D$3:$R$3000,MATCH($F1145,임대자산!$I$3:$I$3000,0),MATCH(J$4,임대자산!$D$3:$R$3,0)),
IF($D1145="폐업",INDEX(폐업정보!$D$3:$R$3000,MATCH($F1145,폐업정보!$I$3:$I$3000,0),MATCH(J$4,폐업정보!$D$3:$R$3,0)),
"Error"))</f>
        <v>5393800000</v>
      </c>
      <c r="K1145" s="75" t="str">
        <f aca="false">
IF($D1145="정상",INDEX(임대자산!$D$3:$R$3000,MATCH($F1145,임대자산!$I$3:$I$3000,0),MATCH(K$4,임대자산!$D$3:$R$3,0)),
IF($D1145="폐업",INDEX(폐업정보!$D$3:$R$3000,MATCH($F1145,폐업정보!$I$3:$I$3000,0),MATCH(K$4,폐업정보!$D$3:$R$3,0)),
"Error"))</f>
        <v>C1140</v>
      </c>
      <c r="L1145" s="75" t="str">
        <f aca="false">
IF($D1145="정상",INDEX(임대자산!$D$3:$R$3000,MATCH($F1145,임대자산!$I$3:$I$3000,0),MATCH(L$4,임대자산!$D$3:$R$3,0)),
IF($D1145="폐업",INDEX(폐업정보!$D$3:$R$3000,MATCH($F1145,폐업정보!$I$3:$I$3000,0),MATCH(L$4,폐업정보!$D$3:$R$3,0)),
"Error"))</f>
        <v>D1140</v>
      </c>
      <c r="M1145" s="76" t="s">
        <v>96</v>
      </c>
      <c r="N1145" s="77"/>
      <c r="O1145" s="78" t="s">
        <v>97</v>
      </c>
      <c r="P1145" s="79" t="n">
        <f aca="false">COUNTIFS(임대자산!$I:$I,가맹점정보!F1145,임대자산!$N:$N,가맹점정보!P$4)</f>
        <v>0</v>
      </c>
      <c r="Q1145" s="80" t="n">
        <f aca="false">COUNTIFS(임대자산!$I:$I,가맹점정보!F1145,임대자산!$N:$N,가맹점정보!Q$4)</f>
        <v>0</v>
      </c>
      <c r="R1145" s="81" t="n">
        <f aca="false">COUNTIFS(임대자산!$I:$I,가맹점정보!F1145,임대자산!$N:$N,가맹점정보!R$4)</f>
        <v>1</v>
      </c>
      <c r="S1145" s="82" t="n">
        <v>88000</v>
      </c>
      <c r="T1145" s="83" t="n">
        <v>0</v>
      </c>
      <c r="U1145" s="80" t="n">
        <f aca="false">SUM(S1145:T1145)</f>
        <v>88000</v>
      </c>
      <c r="V1145" s="84" t="s">
        <v>12</v>
      </c>
      <c r="W1145" s="80" t="e">
        <f aca="true">
IF(D1145="폐업","폐업",
IF(V1145="면제","면제",
IF(AND(V1145="정상",COUNTIFS(OFFSET(Y1145,0,COUNTA(Y1145:AV1145)-1,1,-4),"미납")&gt;=3),"장기미납",
IF(AND(V1145="정상",OFFSET(Y1145,0,COUNTA(Y1145:AV1145)-1)&gt;=U1145),"정상",
IF(AND(V1145="정상",OFFSET(Y1145,0,COUNTA(Y1145:AV1145)-1)=0),"정상",
"계약서 미작성")))))</f>
        <v>#VALUE!</v>
      </c>
      <c r="X1145" s="81" t="str">
        <f aca="true">
IF(D1145="폐업","폐업",
IF(AND(V1145="정상",OFFSET(Y1145,0,COUNTA(Y1145:AV1145)-1)="미납"),"미납",
IF(AND(V1145="정상",OFFSET(Y1145,0,COUNTA(Y1145:AV1145)-1)=0),"납부 시작 전",
IF(AND(V1145="정상",OFFSET(Y1145,0,COUNTA(Y1145:AV1145)-1)&gt;=U1145),"정상",
IF(AND(V1145="면제",OFFSET(Y1145,0,COUNTA(Y1145:AV1145)-1)="면제"),"면제",
IF(AND(V1145="면제",OFFSET(Y1145,0,COUNTA(Y1145:AV1145)-1)=0),"면제",
"확인요청"))))))</f>
        <v>정상</v>
      </c>
      <c r="Y1145" s="93" t="n">
        <v>88000</v>
      </c>
      <c r="Z1145" s="90" t="n">
        <v>88000</v>
      </c>
      <c r="AA1145" s="90" t="n">
        <v>88000</v>
      </c>
      <c r="AB1145" s="90" t="n">
        <v>88000</v>
      </c>
      <c r="AC1145" s="90" t="n">
        <v>88000</v>
      </c>
      <c r="AD1145" s="90" t="n">
        <v>88000</v>
      </c>
      <c r="AE1145" s="90" t="n">
        <v>88000</v>
      </c>
      <c r="AF1145" s="90" t="n">
        <v>88000</v>
      </c>
      <c r="AG1145" s="90" t="n">
        <v>88000</v>
      </c>
      <c r="AH1145" s="90" t="n">
        <v>88000</v>
      </c>
      <c r="AI1145" s="90" t="n">
        <v>88000</v>
      </c>
      <c r="AJ1145" s="91" t="n">
        <v>88000</v>
      </c>
      <c r="AK1145" s="89" t="n">
        <v>88000</v>
      </c>
      <c r="AL1145" s="90" t="n">
        <v>88000</v>
      </c>
      <c r="AM1145" s="90"/>
      <c r="AN1145" s="90"/>
      <c r="AO1145" s="90"/>
      <c r="AP1145" s="90"/>
      <c r="AQ1145" s="90"/>
      <c r="AR1145" s="90"/>
      <c r="AS1145" s="90"/>
      <c r="AT1145" s="90"/>
      <c r="AU1145" s="90"/>
      <c r="AV1145" s="91"/>
      <c r="AX1145" s="92"/>
    </row>
    <row r="1146" customFormat="false" ht="15.65" hidden="false" customHeight="false" outlineLevel="0" collapsed="false">
      <c r="C1146" s="72" t="n">
        <f aca="false">COUNTIFS($D$6:D1146,"&lt;&gt;"&amp;"")</f>
        <v>1141</v>
      </c>
      <c r="D1146" s="73" t="s">
        <v>12</v>
      </c>
      <c r="E1146" s="76" t="str">
        <f aca="false">
IF($D1146="정상",INDEX(임대자산!$D$3:$R$3000,MATCH($F1146,임대자산!$I$3:$I$3000,0),MATCH(E$3,임대자산!$D$3:$R$3,0)),
IF($D1146="폐업",INDEX(폐업정보!$D$3:$R$3000,MATCH($F1146,폐업정보!$I$3:$I$3000,0),MATCH(E$3,폐업정보!$D$3:$R$3,0)),
"Error"))</f>
        <v>경기</v>
      </c>
      <c r="F114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B1141</v>
      </c>
      <c r="G1146" s="76" t="str">
        <f aca="false">F1146&amp;RANDBETWEEN(0,10)</f>
        <v>B114110</v>
      </c>
      <c r="H1146" s="75" t="n">
        <f aca="false">
IF($D1146="정상",INDEX(임대자산!$D$3:$R$3000,MATCH($F1146,임대자산!$I$3:$I$3000,0),MATCH(H$4,임대자산!$D$3:$R$3,0)),
IF($D1146="폐업",INDEX(폐업정보!$D$3:$R$3000,MATCH($F1146,폐업정보!$I$3:$I$3000,0),MATCH(H$4,폐업정보!$D$3:$R$3,0)),
"Error"))</f>
        <v>45943</v>
      </c>
      <c r="I1146" s="75" t="str">
        <f aca="false">
IF($D1146="정상",INDEX(임대자산!$D$3:$R$3000,MATCH($F1146,임대자산!$I$3:$I$3000,0),MATCH(I$4,임대자산!$D$3:$R$3,0)),
IF($D1146="폐업",INDEX(폐업정보!$D$3:$R$3000,MATCH($F1146,폐업정보!$I$3:$I$3000,0),MATCH(I$4,폐업정보!$D$3:$R$3,0)),
"Error"))</f>
        <v>A1141</v>
      </c>
      <c r="J1146" s="75" t="str">
        <f aca="false">
IF($D1146="정상",INDEX(임대자산!$D$3:$R$3000,MATCH($F1146,임대자산!$I$3:$I$3000,0),MATCH(J$4,임대자산!$D$3:$R$3,0)),
IF($D1146="폐업",INDEX(폐업정보!$D$3:$R$3000,MATCH($F1146,폐업정보!$I$3:$I$3000,0),MATCH(J$4,폐업정보!$D$3:$R$3,0)),
"Error"))</f>
        <v>7061200000</v>
      </c>
      <c r="K1146" s="75" t="str">
        <f aca="false">
IF($D1146="정상",INDEX(임대자산!$D$3:$R$3000,MATCH($F1146,임대자산!$I$3:$I$3000,0),MATCH(K$4,임대자산!$D$3:$R$3,0)),
IF($D1146="폐업",INDEX(폐업정보!$D$3:$R$3000,MATCH($F1146,폐업정보!$I$3:$I$3000,0),MATCH(K$4,폐업정보!$D$3:$R$3,0)),
"Error"))</f>
        <v>C1141</v>
      </c>
      <c r="L1146" s="75" t="str">
        <f aca="false">
IF($D1146="정상",INDEX(임대자산!$D$3:$R$3000,MATCH($F1146,임대자산!$I$3:$I$3000,0),MATCH(L$4,임대자산!$D$3:$R$3,0)),
IF($D1146="폐업",INDEX(폐업정보!$D$3:$R$3000,MATCH($F1146,폐업정보!$I$3:$I$3000,0),MATCH(L$4,폐업정보!$D$3:$R$3,0)),
"Error"))</f>
        <v>D1141</v>
      </c>
      <c r="M1146" s="76" t="s">
        <v>96</v>
      </c>
      <c r="N1146" s="77"/>
      <c r="O1146" s="78" t="s">
        <v>97</v>
      </c>
      <c r="P1146" s="79" t="n">
        <f aca="false">COUNTIFS(임대자산!$I:$I,가맹점정보!F1146,임대자산!$N:$N,가맹점정보!P$4)</f>
        <v>0</v>
      </c>
      <c r="Q1146" s="80" t="n">
        <f aca="false">COUNTIFS(임대자산!$I:$I,가맹점정보!F1146,임대자산!$N:$N,가맹점정보!Q$4)</f>
        <v>0</v>
      </c>
      <c r="R1146" s="81" t="n">
        <f aca="false">COUNTIFS(임대자산!$I:$I,가맹점정보!F1146,임대자산!$N:$N,가맹점정보!R$4)</f>
        <v>1</v>
      </c>
      <c r="S1146" s="82" t="n">
        <v>88000</v>
      </c>
      <c r="T1146" s="83" t="n">
        <v>0</v>
      </c>
      <c r="U1146" s="80" t="n">
        <f aca="false">SUM(S1146:T1146)</f>
        <v>88000</v>
      </c>
      <c r="V1146" s="84" t="s">
        <v>7</v>
      </c>
      <c r="W1146" s="80" t="str">
        <f aca="true">
IF(D1146="폐업","폐업",
IF(V1146="면제","면제",
IF(AND(V1146="정상",COUNTIFS(OFFSET(Y1146,0,COUNTA(Y1146:AV1146)-1,1,-4),"미납")&gt;=3),"장기미납",
IF(AND(V1146="정상",OFFSET(Y1146,0,COUNTA(Y1146:AV1146)-1)&gt;=U1146),"정상",
IF(AND(V1146="정상",OFFSET(Y1146,0,COUNTA(Y1146:AV1146)-1)=0),"정상",
"계약서 미작성")))))</f>
        <v>면제</v>
      </c>
      <c r="X1146" s="81" t="str">
        <f aca="true">
IF(D1146="폐업","폐업",
IF(AND(V1146="정상",OFFSET(Y1146,0,COUNTA(Y1146:AV1146)-1)="미납"),"미납",
IF(AND(V1146="정상",OFFSET(Y1146,0,COUNTA(Y1146:AV1146)-1)=0),"납부 시작 전",
IF(AND(V1146="정상",OFFSET(Y1146,0,COUNTA(Y1146:AV1146)-1)&gt;=U1146),"정상",
IF(AND(V1146="면제",OFFSET(Y1146,0,COUNTA(Y1146:AV1146)-1)="면제"),"면제",
IF(AND(V1146="면제",OFFSET(Y1146,0,COUNTA(Y1146:AV1146)-1)=0),"면제",
"확인요청"))))))</f>
        <v>면제</v>
      </c>
      <c r="Y1146" s="93" t="n">
        <v>55000</v>
      </c>
      <c r="Z1146" s="90" t="n">
        <v>55000</v>
      </c>
      <c r="AA1146" s="90" t="n">
        <v>55000</v>
      </c>
      <c r="AB1146" s="90" t="n">
        <v>55000</v>
      </c>
      <c r="AC1146" s="90" t="n">
        <v>0</v>
      </c>
      <c r="AD1146" s="95" t="s">
        <v>7</v>
      </c>
      <c r="AE1146" s="95" t="s">
        <v>7</v>
      </c>
      <c r="AF1146" s="95" t="s">
        <v>7</v>
      </c>
      <c r="AG1146" s="95" t="s">
        <v>7</v>
      </c>
      <c r="AH1146" s="95" t="s">
        <v>7</v>
      </c>
      <c r="AI1146" s="95" t="s">
        <v>7</v>
      </c>
      <c r="AJ1146" s="96" t="s">
        <v>7</v>
      </c>
      <c r="AK1146" s="97" t="s">
        <v>7</v>
      </c>
      <c r="AL1146" s="95" t="s">
        <v>7</v>
      </c>
      <c r="AM1146" s="90"/>
      <c r="AN1146" s="90"/>
      <c r="AO1146" s="90"/>
      <c r="AP1146" s="90"/>
      <c r="AQ1146" s="90"/>
      <c r="AR1146" s="90"/>
      <c r="AS1146" s="90"/>
      <c r="AT1146" s="90"/>
      <c r="AU1146" s="90"/>
      <c r="AV1146" s="91"/>
      <c r="AX1146" s="92"/>
    </row>
    <row r="1147" customFormat="false" ht="15.65" hidden="false" customHeight="false" outlineLevel="0" collapsed="false">
      <c r="C1147" s="72" t="n">
        <f aca="false">COUNTIFS($D$6:D1147,"&lt;&gt;"&amp;"")</f>
        <v>1142</v>
      </c>
      <c r="D1147" s="73" t="s">
        <v>12</v>
      </c>
      <c r="E1147" s="76" t="str">
        <f aca="false">
IF($D1147="정상",INDEX(임대자산!$D$3:$R$3000,MATCH($F1147,임대자산!$I$3:$I$3000,0),MATCH(E$3,임대자산!$D$3:$R$3,0)),
IF($D1147="폐업",INDEX(폐업정보!$D$3:$R$3000,MATCH($F1147,폐업정보!$I$3:$I$3000,0),MATCH(E$3,폐업정보!$D$3:$R$3,0)),
"Error"))</f>
        <v>서울</v>
      </c>
      <c r="F114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B1142</v>
      </c>
      <c r="G1147" s="76" t="str">
        <f aca="false">F1147&amp;RANDBETWEEN(0,10)</f>
        <v>B11424</v>
      </c>
      <c r="H1147" s="75" t="n">
        <f aca="false">
IF($D1147="정상",INDEX(임대자산!$D$3:$R$3000,MATCH($F1147,임대자산!$I$3:$I$3000,0),MATCH(H$4,임대자산!$D$3:$R$3,0)),
IF($D1147="폐업",INDEX(폐업정보!$D$3:$R$3000,MATCH($F1147,폐업정보!$I$3:$I$3000,0),MATCH(H$4,폐업정보!$D$3:$R$3,0)),
"Error"))</f>
        <v>44861</v>
      </c>
      <c r="I1147" s="75" t="str">
        <f aca="false">
IF($D1147="정상",INDEX(임대자산!$D$3:$R$3000,MATCH($F1147,임대자산!$I$3:$I$3000,0),MATCH(I$4,임대자산!$D$3:$R$3,0)),
IF($D1147="폐업",INDEX(폐업정보!$D$3:$R$3000,MATCH($F1147,폐업정보!$I$3:$I$3000,0),MATCH(I$4,폐업정보!$D$3:$R$3,0)),
"Error"))</f>
        <v>A1142</v>
      </c>
      <c r="J1147" s="75" t="str">
        <f aca="false">
IF($D1147="정상",INDEX(임대자산!$D$3:$R$3000,MATCH($F1147,임대자산!$I$3:$I$3000,0),MATCH(J$4,임대자산!$D$3:$R$3,0)),
IF($D1147="폐업",INDEX(폐업정보!$D$3:$R$3000,MATCH($F1147,폐업정보!$I$3:$I$3000,0),MATCH(J$4,폐업정보!$D$3:$R$3,0)),
"Error"))</f>
        <v>4908400000</v>
      </c>
      <c r="K1147" s="75" t="str">
        <f aca="false">
IF($D1147="정상",INDEX(임대자산!$D$3:$R$3000,MATCH($F1147,임대자산!$I$3:$I$3000,0),MATCH(K$4,임대자산!$D$3:$R$3,0)),
IF($D1147="폐업",INDEX(폐업정보!$D$3:$R$3000,MATCH($F1147,폐업정보!$I$3:$I$3000,0),MATCH(K$4,폐업정보!$D$3:$R$3,0)),
"Error"))</f>
        <v>C1142</v>
      </c>
      <c r="L1147" s="75" t="str">
        <f aca="false">
IF($D1147="정상",INDEX(임대자산!$D$3:$R$3000,MATCH($F1147,임대자산!$I$3:$I$3000,0),MATCH(L$4,임대자산!$D$3:$R$3,0)),
IF($D1147="폐업",INDEX(폐업정보!$D$3:$R$3000,MATCH($F1147,폐업정보!$I$3:$I$3000,0),MATCH(L$4,폐업정보!$D$3:$R$3,0)),
"Error"))</f>
        <v>D1142</v>
      </c>
      <c r="M1147" s="76" t="s">
        <v>96</v>
      </c>
      <c r="N1147" s="77"/>
      <c r="O1147" s="78" t="s">
        <v>97</v>
      </c>
      <c r="P1147" s="79" t="n">
        <f aca="false">COUNTIFS(임대자산!$I:$I,가맹점정보!F1147,임대자산!$N:$N,가맹점정보!P$4)</f>
        <v>0</v>
      </c>
      <c r="Q1147" s="80" t="n">
        <f aca="false">COUNTIFS(임대자산!$I:$I,가맹점정보!F1147,임대자산!$N:$N,가맹점정보!Q$4)</f>
        <v>0</v>
      </c>
      <c r="R1147" s="81" t="n">
        <f aca="false">COUNTIFS(임대자산!$I:$I,가맹점정보!F1147,임대자산!$N:$N,가맹점정보!R$4)</f>
        <v>1</v>
      </c>
      <c r="S1147" s="82" t="n">
        <v>55000</v>
      </c>
      <c r="T1147" s="83" t="n">
        <v>0</v>
      </c>
      <c r="U1147" s="80" t="n">
        <f aca="false">SUM(S1147:T1147)</f>
        <v>55000</v>
      </c>
      <c r="V1147" s="84" t="s">
        <v>12</v>
      </c>
      <c r="W1147" s="80" t="e">
        <f aca="true">
IF(D1147="폐업","폐업",
IF(V1147="면제","면제",
IF(AND(V1147="정상",COUNTIFS(OFFSET(Y1147,0,COUNTA(Y1147:AV1147)-1,1,-4),"미납")&gt;=3),"장기미납",
IF(AND(V1147="정상",OFFSET(Y1147,0,COUNTA(Y1147:AV1147)-1)&gt;=U1147),"정상",
IF(AND(V1147="정상",OFFSET(Y1147,0,COUNTA(Y1147:AV1147)-1)=0),"정상",
"계약서 미작성")))))</f>
        <v>#VALUE!</v>
      </c>
      <c r="X1147" s="81" t="str">
        <f aca="true">
IF(D1147="폐업","폐업",
IF(AND(V1147="정상",OFFSET(Y1147,0,COUNTA(Y1147:AV1147)-1)="미납"),"미납",
IF(AND(V1147="정상",OFFSET(Y1147,0,COUNTA(Y1147:AV1147)-1)=0),"납부 시작 전",
IF(AND(V1147="정상",OFFSET(Y1147,0,COUNTA(Y1147:AV1147)-1)&gt;=U1147),"정상",
IF(AND(V1147="면제",OFFSET(Y1147,0,COUNTA(Y1147:AV1147)-1)="면제"),"면제",
IF(AND(V1147="면제",OFFSET(Y1147,0,COUNTA(Y1147:AV1147)-1)=0),"면제",
"확인요청"))))))</f>
        <v>정상</v>
      </c>
      <c r="Y1147" s="93" t="n">
        <v>55000</v>
      </c>
      <c r="Z1147" s="90" t="n">
        <v>55000</v>
      </c>
      <c r="AA1147" s="90" t="n">
        <v>55000</v>
      </c>
      <c r="AB1147" s="90" t="n">
        <v>55000</v>
      </c>
      <c r="AC1147" s="90" t="n">
        <v>55000</v>
      </c>
      <c r="AD1147" s="90" t="n">
        <v>55000</v>
      </c>
      <c r="AE1147" s="90" t="n">
        <v>55000</v>
      </c>
      <c r="AF1147" s="90" t="n">
        <v>55000</v>
      </c>
      <c r="AG1147" s="90" t="n">
        <v>55000</v>
      </c>
      <c r="AH1147" s="90" t="n">
        <v>55000</v>
      </c>
      <c r="AI1147" s="90" t="n">
        <v>55000</v>
      </c>
      <c r="AJ1147" s="91" t="n">
        <v>55000</v>
      </c>
      <c r="AK1147" s="89" t="n">
        <v>55000</v>
      </c>
      <c r="AL1147" s="90" t="n">
        <v>55000</v>
      </c>
      <c r="AM1147" s="90"/>
      <c r="AN1147" s="90"/>
      <c r="AO1147" s="90"/>
      <c r="AP1147" s="90"/>
      <c r="AQ1147" s="90"/>
      <c r="AR1147" s="90"/>
      <c r="AS1147" s="90"/>
      <c r="AT1147" s="90"/>
      <c r="AU1147" s="90"/>
      <c r="AV1147" s="91"/>
      <c r="AX1147" s="92"/>
    </row>
    <row r="1148" customFormat="false" ht="15.65" hidden="false" customHeight="false" outlineLevel="0" collapsed="false">
      <c r="C1148" s="72" t="n">
        <f aca="false">COUNTIFS($D$6:D1148,"&lt;&gt;"&amp;"")</f>
        <v>1143</v>
      </c>
      <c r="D1148" s="73" t="s">
        <v>12</v>
      </c>
      <c r="E1148" s="76" t="str">
        <f aca="false">
IF($D1148="정상",INDEX(임대자산!$D$3:$R$3000,MATCH($F1148,임대자산!$I$3:$I$3000,0),MATCH(E$3,임대자산!$D$3:$R$3,0)),
IF($D1148="폐업",INDEX(폐업정보!$D$3:$R$3000,MATCH($F1148,폐업정보!$I$3:$I$3000,0),MATCH(E$3,폐업정보!$D$3:$R$3,0)),
"Error"))</f>
        <v>서울</v>
      </c>
      <c r="F114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B1143</v>
      </c>
      <c r="G1148" s="76" t="str">
        <f aca="false">F1148&amp;RANDBETWEEN(0,10)</f>
        <v>B11430</v>
      </c>
      <c r="H1148" s="75" t="n">
        <f aca="false">
IF($D1148="정상",INDEX(임대자산!$D$3:$R$3000,MATCH($F1148,임대자산!$I$3:$I$3000,0),MATCH(H$4,임대자산!$D$3:$R$3,0)),
IF($D1148="폐업",INDEX(폐업정보!$D$3:$R$3000,MATCH($F1148,폐업정보!$I$3:$I$3000,0),MATCH(H$4,폐업정보!$D$3:$R$3,0)),
"Error"))</f>
        <v>44861</v>
      </c>
      <c r="I1148" s="75" t="str">
        <f aca="false">
IF($D1148="정상",INDEX(임대자산!$D$3:$R$3000,MATCH($F1148,임대자산!$I$3:$I$3000,0),MATCH(I$4,임대자산!$D$3:$R$3,0)),
IF($D1148="폐업",INDEX(폐업정보!$D$3:$R$3000,MATCH($F1148,폐업정보!$I$3:$I$3000,0),MATCH(I$4,폐업정보!$D$3:$R$3,0)),
"Error"))</f>
        <v>A1143</v>
      </c>
      <c r="J1148" s="75" t="str">
        <f aca="false">
IF($D1148="정상",INDEX(임대자산!$D$3:$R$3000,MATCH($F1148,임대자산!$I$3:$I$3000,0),MATCH(J$4,임대자산!$D$3:$R$3,0)),
IF($D1148="폐업",INDEX(폐업정보!$D$3:$R$3000,MATCH($F1148,폐업정보!$I$3:$I$3000,0),MATCH(J$4,폐업정보!$D$3:$R$3,0)),
"Error"))</f>
        <v>4661000000</v>
      </c>
      <c r="K1148" s="75" t="str">
        <f aca="false">
IF($D1148="정상",INDEX(임대자산!$D$3:$R$3000,MATCH($F1148,임대자산!$I$3:$I$3000,0),MATCH(K$4,임대자산!$D$3:$R$3,0)),
IF($D1148="폐업",INDEX(폐업정보!$D$3:$R$3000,MATCH($F1148,폐업정보!$I$3:$I$3000,0),MATCH(K$4,폐업정보!$D$3:$R$3,0)),
"Error"))</f>
        <v>C1143</v>
      </c>
      <c r="L1148" s="75" t="str">
        <f aca="false">
IF($D1148="정상",INDEX(임대자산!$D$3:$R$3000,MATCH($F1148,임대자산!$I$3:$I$3000,0),MATCH(L$4,임대자산!$D$3:$R$3,0)),
IF($D1148="폐업",INDEX(폐업정보!$D$3:$R$3000,MATCH($F1148,폐업정보!$I$3:$I$3000,0),MATCH(L$4,폐업정보!$D$3:$R$3,0)),
"Error"))</f>
        <v>D1143</v>
      </c>
      <c r="M1148" s="76" t="s">
        <v>96</v>
      </c>
      <c r="N1148" s="77"/>
      <c r="O1148" s="78" t="s">
        <v>97</v>
      </c>
      <c r="P1148" s="79" t="n">
        <f aca="false">COUNTIFS(임대자산!$I:$I,가맹점정보!F1148,임대자산!$N:$N,가맹점정보!P$4)</f>
        <v>0</v>
      </c>
      <c r="Q1148" s="80" t="n">
        <f aca="false">COUNTIFS(임대자산!$I:$I,가맹점정보!F1148,임대자산!$N:$N,가맹점정보!Q$4)</f>
        <v>0</v>
      </c>
      <c r="R1148" s="81" t="n">
        <f aca="false">COUNTIFS(임대자산!$I:$I,가맹점정보!F1148,임대자산!$N:$N,가맹점정보!R$4)</f>
        <v>1</v>
      </c>
      <c r="S1148" s="82" t="n">
        <v>55000</v>
      </c>
      <c r="T1148" s="83" t="n">
        <v>0</v>
      </c>
      <c r="U1148" s="80" t="n">
        <f aca="false">SUM(S1148:T1148)</f>
        <v>55000</v>
      </c>
      <c r="V1148" s="84" t="s">
        <v>12</v>
      </c>
      <c r="W1148" s="80" t="e">
        <f aca="true">
IF(D1148="폐업","폐업",
IF(V1148="면제","면제",
IF(AND(V1148="정상",COUNTIFS(OFFSET(Y1148,0,COUNTA(Y1148:AV1148)-1,1,-4),"미납")&gt;=3),"장기미납",
IF(AND(V1148="정상",OFFSET(Y1148,0,COUNTA(Y1148:AV1148)-1)&gt;=U1148),"정상",
IF(AND(V1148="정상",OFFSET(Y1148,0,COUNTA(Y1148:AV1148)-1)=0),"정상",
"계약서 미작성")))))</f>
        <v>#VALUE!</v>
      </c>
      <c r="X1148" s="81" t="str">
        <f aca="true">
IF(D1148="폐업","폐업",
IF(AND(V1148="정상",OFFSET(Y1148,0,COUNTA(Y1148:AV1148)-1)="미납"),"미납",
IF(AND(V1148="정상",OFFSET(Y1148,0,COUNTA(Y1148:AV1148)-1)=0),"납부 시작 전",
IF(AND(V1148="정상",OFFSET(Y1148,0,COUNTA(Y1148:AV1148)-1)&gt;=U1148),"정상",
IF(AND(V1148="면제",OFFSET(Y1148,0,COUNTA(Y1148:AV1148)-1)="면제"),"면제",
IF(AND(V1148="면제",OFFSET(Y1148,0,COUNTA(Y1148:AV1148)-1)=0),"면제",
"확인요청"))))))</f>
        <v>정상</v>
      </c>
      <c r="Y1148" s="93" t="n">
        <v>55000</v>
      </c>
      <c r="Z1148" s="90" t="n">
        <v>55000</v>
      </c>
      <c r="AA1148" s="90" t="n">
        <v>55000</v>
      </c>
      <c r="AB1148" s="90" t="n">
        <v>55000</v>
      </c>
      <c r="AC1148" s="90" t="n">
        <v>55000</v>
      </c>
      <c r="AD1148" s="95" t="s">
        <v>7</v>
      </c>
      <c r="AE1148" s="95" t="s">
        <v>7</v>
      </c>
      <c r="AF1148" s="95" t="s">
        <v>7</v>
      </c>
      <c r="AG1148" s="95" t="s">
        <v>7</v>
      </c>
      <c r="AH1148" s="95" t="s">
        <v>7</v>
      </c>
      <c r="AI1148" s="90" t="n">
        <v>55000</v>
      </c>
      <c r="AJ1148" s="91" t="n">
        <v>55000</v>
      </c>
      <c r="AK1148" s="89" t="n">
        <v>55000</v>
      </c>
      <c r="AL1148" s="90" t="n">
        <v>55000</v>
      </c>
      <c r="AM1148" s="90"/>
      <c r="AN1148" s="90"/>
      <c r="AO1148" s="90"/>
      <c r="AP1148" s="90"/>
      <c r="AQ1148" s="90"/>
      <c r="AR1148" s="90"/>
      <c r="AS1148" s="90"/>
      <c r="AT1148" s="90"/>
      <c r="AU1148" s="90"/>
      <c r="AV1148" s="91"/>
      <c r="AX1148" s="92"/>
    </row>
    <row r="1149" customFormat="false" ht="15.65" hidden="false" customHeight="false" outlineLevel="0" collapsed="false">
      <c r="C1149" s="72" t="n">
        <f aca="false">COUNTIFS($D$6:D1149,"&lt;&gt;"&amp;"")</f>
        <v>1144</v>
      </c>
      <c r="D1149" s="73" t="s">
        <v>12</v>
      </c>
      <c r="E1149" s="76" t="str">
        <f aca="false">
IF($D1149="정상",INDEX(임대자산!$D$3:$R$3000,MATCH($F1149,임대자산!$I$3:$I$3000,0),MATCH(E$3,임대자산!$D$3:$R$3,0)),
IF($D1149="폐업",INDEX(폐업정보!$D$3:$R$3000,MATCH($F1149,폐업정보!$I$3:$I$3000,0),MATCH(E$3,폐업정보!$D$3:$R$3,0)),
"Error"))</f>
        <v>서울</v>
      </c>
      <c r="F114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B1144</v>
      </c>
      <c r="G1149" s="76" t="str">
        <f aca="false">F1149&amp;RANDBETWEEN(0,10)</f>
        <v>B11449</v>
      </c>
      <c r="H1149" s="75" t="n">
        <f aca="false">
IF($D1149="정상",INDEX(임대자산!$D$3:$R$3000,MATCH($F1149,임대자산!$I$3:$I$3000,0),MATCH(H$4,임대자산!$D$3:$R$3,0)),
IF($D1149="폐업",INDEX(폐업정보!$D$3:$R$3000,MATCH($F1149,폐업정보!$I$3:$I$3000,0),MATCH(H$4,폐업정보!$D$3:$R$3,0)),
"Error"))</f>
        <v>44861</v>
      </c>
      <c r="I1149" s="75" t="str">
        <f aca="false">
IF($D1149="정상",INDEX(임대자산!$D$3:$R$3000,MATCH($F1149,임대자산!$I$3:$I$3000,0),MATCH(I$4,임대자산!$D$3:$R$3,0)),
IF($D1149="폐업",INDEX(폐업정보!$D$3:$R$3000,MATCH($F1149,폐업정보!$I$3:$I$3000,0),MATCH(I$4,폐업정보!$D$3:$R$3,0)),
"Error"))</f>
        <v>A1144</v>
      </c>
      <c r="J1149" s="75" t="str">
        <f aca="false">
IF($D1149="정상",INDEX(임대자산!$D$3:$R$3000,MATCH($F1149,임대자산!$I$3:$I$3000,0),MATCH(J$4,임대자산!$D$3:$R$3,0)),
IF($D1149="폐업",INDEX(폐업정보!$D$3:$R$3000,MATCH($F1149,폐업정보!$I$3:$I$3000,0),MATCH(J$4,폐업정보!$D$3:$R$3,0)),
"Error"))</f>
        <v>4651700000</v>
      </c>
      <c r="K1149" s="75" t="str">
        <f aca="false">
IF($D1149="정상",INDEX(임대자산!$D$3:$R$3000,MATCH($F1149,임대자산!$I$3:$I$3000,0),MATCH(K$4,임대자산!$D$3:$R$3,0)),
IF($D1149="폐업",INDEX(폐업정보!$D$3:$R$3000,MATCH($F1149,폐업정보!$I$3:$I$3000,0),MATCH(K$4,폐업정보!$D$3:$R$3,0)),
"Error"))</f>
        <v>C1144</v>
      </c>
      <c r="L1149" s="75" t="str">
        <f aca="false">
IF($D1149="정상",INDEX(임대자산!$D$3:$R$3000,MATCH($F1149,임대자산!$I$3:$I$3000,0),MATCH(L$4,임대자산!$D$3:$R$3,0)),
IF($D1149="폐업",INDEX(폐업정보!$D$3:$R$3000,MATCH($F1149,폐업정보!$I$3:$I$3000,0),MATCH(L$4,폐업정보!$D$3:$R$3,0)),
"Error"))</f>
        <v>D1144</v>
      </c>
      <c r="M1149" s="76" t="s">
        <v>96</v>
      </c>
      <c r="N1149" s="77"/>
      <c r="O1149" s="78" t="s">
        <v>97</v>
      </c>
      <c r="P1149" s="79" t="n">
        <f aca="false">COUNTIFS(임대자산!$I:$I,가맹점정보!F1149,임대자산!$N:$N,가맹점정보!P$4)</f>
        <v>0</v>
      </c>
      <c r="Q1149" s="80" t="n">
        <f aca="false">COUNTIFS(임대자산!$I:$I,가맹점정보!F1149,임대자산!$N:$N,가맹점정보!Q$4)</f>
        <v>0</v>
      </c>
      <c r="R1149" s="81" t="n">
        <f aca="false">COUNTIFS(임대자산!$I:$I,가맹점정보!F1149,임대자산!$N:$N,가맹점정보!R$4)</f>
        <v>1</v>
      </c>
      <c r="S1149" s="82" t="n">
        <v>55000</v>
      </c>
      <c r="T1149" s="83" t="n">
        <v>0</v>
      </c>
      <c r="U1149" s="80" t="n">
        <f aca="false">SUM(S1149:T1149)</f>
        <v>55000</v>
      </c>
      <c r="V1149" s="84" t="s">
        <v>12</v>
      </c>
      <c r="W1149" s="80" t="e">
        <f aca="true">
IF(D1149="폐업","폐업",
IF(V1149="면제","면제",
IF(AND(V1149="정상",COUNTIFS(OFFSET(Y1149,0,COUNTA(Y1149:AV1149)-1,1,-4),"미납")&gt;=3),"장기미납",
IF(AND(V1149="정상",OFFSET(Y1149,0,COUNTA(Y1149:AV1149)-1)&gt;=U1149),"정상",
IF(AND(V1149="정상",OFFSET(Y1149,0,COUNTA(Y1149:AV1149)-1)=0),"정상",
"계약서 미작성")))))</f>
        <v>#VALUE!</v>
      </c>
      <c r="X1149" s="81" t="str">
        <f aca="true">
IF(D1149="폐업","폐업",
IF(AND(V1149="정상",OFFSET(Y1149,0,COUNTA(Y1149:AV1149)-1)="미납"),"미납",
IF(AND(V1149="정상",OFFSET(Y1149,0,COUNTA(Y1149:AV1149)-1)=0),"납부 시작 전",
IF(AND(V1149="정상",OFFSET(Y1149,0,COUNTA(Y1149:AV1149)-1)&gt;=U1149),"정상",
IF(AND(V1149="면제",OFFSET(Y1149,0,COUNTA(Y1149:AV1149)-1)="면제"),"면제",
IF(AND(V1149="면제",OFFSET(Y1149,0,COUNTA(Y1149:AV1149)-1)=0),"면제",
"확인요청"))))))</f>
        <v>정상</v>
      </c>
      <c r="Y1149" s="93" t="n">
        <v>55000</v>
      </c>
      <c r="Z1149" s="90" t="n">
        <v>55000</v>
      </c>
      <c r="AA1149" s="90" t="n">
        <v>55000</v>
      </c>
      <c r="AB1149" s="90" t="n">
        <v>55000</v>
      </c>
      <c r="AC1149" s="90" t="n">
        <v>55000</v>
      </c>
      <c r="AD1149" s="90" t="n">
        <v>55000</v>
      </c>
      <c r="AE1149" s="90" t="n">
        <v>55000</v>
      </c>
      <c r="AF1149" s="90" t="n">
        <v>55000</v>
      </c>
      <c r="AG1149" s="90" t="n">
        <v>55000</v>
      </c>
      <c r="AH1149" s="90" t="n">
        <v>55000</v>
      </c>
      <c r="AI1149" s="90" t="n">
        <v>55000</v>
      </c>
      <c r="AJ1149" s="91" t="n">
        <v>55000</v>
      </c>
      <c r="AK1149" s="89" t="n">
        <v>55000</v>
      </c>
      <c r="AL1149" s="90" t="n">
        <v>55000</v>
      </c>
      <c r="AM1149" s="90"/>
      <c r="AN1149" s="90"/>
      <c r="AO1149" s="90"/>
      <c r="AP1149" s="90"/>
      <c r="AQ1149" s="90"/>
      <c r="AR1149" s="90"/>
      <c r="AS1149" s="90"/>
      <c r="AT1149" s="90"/>
      <c r="AU1149" s="90"/>
      <c r="AV1149" s="91"/>
      <c r="AX1149" s="92"/>
    </row>
    <row r="1150" customFormat="false" ht="15.65" hidden="false" customHeight="false" outlineLevel="0" collapsed="false">
      <c r="C1150" s="72" t="n">
        <f aca="false">COUNTIFS($D$6:D1150,"&lt;&gt;"&amp;"")</f>
        <v>1145</v>
      </c>
      <c r="D1150" s="73" t="s">
        <v>12</v>
      </c>
      <c r="E1150" s="76" t="str">
        <f aca="false">
IF($D1150="정상",INDEX(임대자산!$D$3:$R$3000,MATCH($F1150,임대자산!$I$3:$I$3000,0),MATCH(E$3,임대자산!$D$3:$R$3,0)),
IF($D1150="폐업",INDEX(폐업정보!$D$3:$R$3000,MATCH($F1150,폐업정보!$I$3:$I$3000,0),MATCH(E$3,폐업정보!$D$3:$R$3,0)),
"Error"))</f>
        <v>서울</v>
      </c>
      <c r="F115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B1145</v>
      </c>
      <c r="G1150" s="76" t="str">
        <f aca="false">F1150&amp;RANDBETWEEN(0,10)</f>
        <v>B11454</v>
      </c>
      <c r="H1150" s="75" t="n">
        <f aca="false">
IF($D1150="정상",INDEX(임대자산!$D$3:$R$3000,MATCH($F1150,임대자산!$I$3:$I$3000,0),MATCH(H$4,임대자산!$D$3:$R$3,0)),
IF($D1150="폐업",INDEX(폐업정보!$D$3:$R$3000,MATCH($F1150,폐업정보!$I$3:$I$3000,0),MATCH(H$4,폐업정보!$D$3:$R$3,0)),
"Error"))</f>
        <v>44861</v>
      </c>
      <c r="I1150" s="75" t="str">
        <f aca="false">
IF($D1150="정상",INDEX(임대자산!$D$3:$R$3000,MATCH($F1150,임대자산!$I$3:$I$3000,0),MATCH(I$4,임대자산!$D$3:$R$3,0)),
IF($D1150="폐업",INDEX(폐업정보!$D$3:$R$3000,MATCH($F1150,폐업정보!$I$3:$I$3000,0),MATCH(I$4,폐업정보!$D$3:$R$3,0)),
"Error"))</f>
        <v>A1145</v>
      </c>
      <c r="J1150" s="75" t="str">
        <f aca="false">
IF($D1150="정상",INDEX(임대자산!$D$3:$R$3000,MATCH($F1150,임대자산!$I$3:$I$3000,0),MATCH(J$4,임대자산!$D$3:$R$3,0)),
IF($D1150="폐업",INDEX(폐업정보!$D$3:$R$3000,MATCH($F1150,폐업정보!$I$3:$I$3000,0),MATCH(J$4,폐업정보!$D$3:$R$3,0)),
"Error"))</f>
        <v>8159000000</v>
      </c>
      <c r="K1150" s="75" t="str">
        <f aca="false">
IF($D1150="정상",INDEX(임대자산!$D$3:$R$3000,MATCH($F1150,임대자산!$I$3:$I$3000,0),MATCH(K$4,임대자산!$D$3:$R$3,0)),
IF($D1150="폐업",INDEX(폐업정보!$D$3:$R$3000,MATCH($F1150,폐업정보!$I$3:$I$3000,0),MATCH(K$4,폐업정보!$D$3:$R$3,0)),
"Error"))</f>
        <v>C1145</v>
      </c>
      <c r="L1150" s="75" t="str">
        <f aca="false">
IF($D1150="정상",INDEX(임대자산!$D$3:$R$3000,MATCH($F1150,임대자산!$I$3:$I$3000,0),MATCH(L$4,임대자산!$D$3:$R$3,0)),
IF($D1150="폐업",INDEX(폐업정보!$D$3:$R$3000,MATCH($F1150,폐업정보!$I$3:$I$3000,0),MATCH(L$4,폐업정보!$D$3:$R$3,0)),
"Error"))</f>
        <v>D1145</v>
      </c>
      <c r="M1150" s="76" t="s">
        <v>96</v>
      </c>
      <c r="N1150" s="77"/>
      <c r="O1150" s="78" t="s">
        <v>97</v>
      </c>
      <c r="P1150" s="79" t="n">
        <f aca="false">COUNTIFS(임대자산!$I:$I,가맹점정보!F1150,임대자산!$N:$N,가맹점정보!P$4)</f>
        <v>0</v>
      </c>
      <c r="Q1150" s="80" t="n">
        <f aca="false">COUNTIFS(임대자산!$I:$I,가맹점정보!F1150,임대자산!$N:$N,가맹점정보!Q$4)</f>
        <v>0</v>
      </c>
      <c r="R1150" s="81" t="n">
        <f aca="false">COUNTIFS(임대자산!$I:$I,가맹점정보!F1150,임대자산!$N:$N,가맹점정보!R$4)</f>
        <v>1</v>
      </c>
      <c r="S1150" s="82" t="n">
        <v>55000</v>
      </c>
      <c r="T1150" s="83" t="n">
        <v>0</v>
      </c>
      <c r="U1150" s="80" t="n">
        <f aca="false">SUM(S1150:T1150)</f>
        <v>55000</v>
      </c>
      <c r="V1150" s="84" t="s">
        <v>12</v>
      </c>
      <c r="W1150" s="80" t="e">
        <f aca="true">
IF(D1150="폐업","폐업",
IF(V1150="면제","면제",
IF(AND(V1150="정상",COUNTIFS(OFFSET(Y1150,0,COUNTA(Y1150:AV1150)-1,1,-4),"미납")&gt;=3),"장기미납",
IF(AND(V1150="정상",OFFSET(Y1150,0,COUNTA(Y1150:AV1150)-1)&gt;=U1150),"정상",
IF(AND(V1150="정상",OFFSET(Y1150,0,COUNTA(Y1150:AV1150)-1)=0),"정상",
"계약서 미작성")))))</f>
        <v>#VALUE!</v>
      </c>
      <c r="X1150" s="81" t="str">
        <f aca="true">
IF(D1150="폐업","폐업",
IF(AND(V1150="정상",OFFSET(Y1150,0,COUNTA(Y1150:AV1150)-1)="미납"),"미납",
IF(AND(V1150="정상",OFFSET(Y1150,0,COUNTA(Y1150:AV1150)-1)=0),"납부 시작 전",
IF(AND(V1150="정상",OFFSET(Y1150,0,COUNTA(Y1150:AV1150)-1)&gt;=U1150),"정상",
IF(AND(V1150="면제",OFFSET(Y1150,0,COUNTA(Y1150:AV1150)-1)="면제"),"면제",
IF(AND(V1150="면제",OFFSET(Y1150,0,COUNTA(Y1150:AV1150)-1)=0),"면제",
"확인요청"))))))</f>
        <v>정상</v>
      </c>
      <c r="Y1150" s="93" t="n">
        <v>55000</v>
      </c>
      <c r="Z1150" s="90" t="n">
        <v>55000</v>
      </c>
      <c r="AA1150" s="90" t="n">
        <v>55000</v>
      </c>
      <c r="AB1150" s="90" t="n">
        <v>55000</v>
      </c>
      <c r="AC1150" s="90" t="n">
        <v>55000</v>
      </c>
      <c r="AD1150" s="90" t="n">
        <v>55000</v>
      </c>
      <c r="AE1150" s="90" t="n">
        <v>55000</v>
      </c>
      <c r="AF1150" s="90" t="n">
        <v>55000</v>
      </c>
      <c r="AG1150" s="90" t="n">
        <v>55000</v>
      </c>
      <c r="AH1150" s="90" t="n">
        <v>55000</v>
      </c>
      <c r="AI1150" s="90" t="n">
        <v>55000</v>
      </c>
      <c r="AJ1150" s="91" t="n">
        <v>55000</v>
      </c>
      <c r="AK1150" s="89" t="n">
        <v>55000</v>
      </c>
      <c r="AL1150" s="90" t="n">
        <v>55000</v>
      </c>
      <c r="AM1150" s="90"/>
      <c r="AN1150" s="90"/>
      <c r="AO1150" s="90"/>
      <c r="AP1150" s="90"/>
      <c r="AQ1150" s="90"/>
      <c r="AR1150" s="90"/>
      <c r="AS1150" s="90"/>
      <c r="AT1150" s="90"/>
      <c r="AU1150" s="90"/>
      <c r="AV1150" s="91"/>
      <c r="AX1150" s="92"/>
    </row>
    <row r="1151" customFormat="false" ht="15.65" hidden="false" customHeight="false" outlineLevel="0" collapsed="false">
      <c r="C1151" s="72" t="n">
        <f aca="false">COUNTIFS($D$6:D1151,"&lt;&gt;"&amp;"")</f>
        <v>1146</v>
      </c>
      <c r="D1151" s="73" t="s">
        <v>12</v>
      </c>
      <c r="E1151" s="76" t="str">
        <f aca="false">
IF($D1151="정상",INDEX(임대자산!$D$3:$R$3000,MATCH($F1151,임대자산!$I$3:$I$3000,0),MATCH(E$3,임대자산!$D$3:$R$3,0)),
IF($D1151="폐업",INDEX(폐업정보!$D$3:$R$3000,MATCH($F1151,폐업정보!$I$3:$I$3000,0),MATCH(E$3,폐업정보!$D$3:$R$3,0)),
"Error"))</f>
        <v>서울</v>
      </c>
      <c r="F115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B1146</v>
      </c>
      <c r="G1151" s="76" t="str">
        <f aca="false">F1151&amp;RANDBETWEEN(0,10)</f>
        <v>B11466</v>
      </c>
      <c r="H1151" s="75" t="n">
        <f aca="false">
IF($D1151="정상",INDEX(임대자산!$D$3:$R$3000,MATCH($F1151,임대자산!$I$3:$I$3000,0),MATCH(H$4,임대자산!$D$3:$R$3,0)),
IF($D1151="폐업",INDEX(폐업정보!$D$3:$R$3000,MATCH($F1151,폐업정보!$I$3:$I$3000,0),MATCH(H$4,폐업정보!$D$3:$R$3,0)),
"Error"))</f>
        <v>45316</v>
      </c>
      <c r="I1151" s="75" t="str">
        <f aca="false">
IF($D1151="정상",INDEX(임대자산!$D$3:$R$3000,MATCH($F1151,임대자산!$I$3:$I$3000,0),MATCH(I$4,임대자산!$D$3:$R$3,0)),
IF($D1151="폐업",INDEX(폐업정보!$D$3:$R$3000,MATCH($F1151,폐업정보!$I$3:$I$3000,0),MATCH(I$4,폐업정보!$D$3:$R$3,0)),
"Error"))</f>
        <v>A1146</v>
      </c>
      <c r="J1151" s="75" t="str">
        <f aca="false">
IF($D1151="정상",INDEX(임대자산!$D$3:$R$3000,MATCH($F1151,임대자산!$I$3:$I$3000,0),MATCH(J$4,임대자산!$D$3:$R$3,0)),
IF($D1151="폐업",INDEX(폐업정보!$D$3:$R$3000,MATCH($F1151,폐업정보!$I$3:$I$3000,0),MATCH(J$4,폐업정보!$D$3:$R$3,0)),
"Error"))</f>
        <v>7468100000</v>
      </c>
      <c r="K1151" s="75" t="str">
        <f aca="false">
IF($D1151="정상",INDEX(임대자산!$D$3:$R$3000,MATCH($F1151,임대자산!$I$3:$I$3000,0),MATCH(K$4,임대자산!$D$3:$R$3,0)),
IF($D1151="폐업",INDEX(폐업정보!$D$3:$R$3000,MATCH($F1151,폐업정보!$I$3:$I$3000,0),MATCH(K$4,폐업정보!$D$3:$R$3,0)),
"Error"))</f>
        <v>C1146</v>
      </c>
      <c r="L1151" s="75" t="str">
        <f aca="false">
IF($D1151="정상",INDEX(임대자산!$D$3:$R$3000,MATCH($F1151,임대자산!$I$3:$I$3000,0),MATCH(L$4,임대자산!$D$3:$R$3,0)),
IF($D1151="폐업",INDEX(폐업정보!$D$3:$R$3000,MATCH($F1151,폐업정보!$I$3:$I$3000,0),MATCH(L$4,폐업정보!$D$3:$R$3,0)),
"Error"))</f>
        <v>D1146</v>
      </c>
      <c r="M1151" s="76" t="s">
        <v>96</v>
      </c>
      <c r="N1151" s="77"/>
      <c r="O1151" s="78" t="s">
        <v>97</v>
      </c>
      <c r="P1151" s="79" t="n">
        <f aca="false">COUNTIFS(임대자산!$I:$I,가맹점정보!F1151,임대자산!$N:$N,가맹점정보!P$4)</f>
        <v>0</v>
      </c>
      <c r="Q1151" s="80" t="n">
        <f aca="false">COUNTIFS(임대자산!$I:$I,가맹점정보!F1151,임대자산!$N:$N,가맹점정보!Q$4)</f>
        <v>0</v>
      </c>
      <c r="R1151" s="81" t="n">
        <f aca="false">COUNTIFS(임대자산!$I:$I,가맹점정보!F1151,임대자산!$N:$N,가맹점정보!R$4)</f>
        <v>1</v>
      </c>
      <c r="S1151" s="82" t="n">
        <v>55000</v>
      </c>
      <c r="T1151" s="83" t="n">
        <v>0</v>
      </c>
      <c r="U1151" s="80" t="n">
        <f aca="false">SUM(S1151:T1151)</f>
        <v>55000</v>
      </c>
      <c r="V1151" s="84" t="s">
        <v>7</v>
      </c>
      <c r="W1151" s="80" t="str">
        <f aca="true">
IF(D1151="폐업","폐업",
IF(V1151="면제","면제",
IF(AND(V1151="정상",COUNTIFS(OFFSET(Y1151,0,COUNTA(Y1151:AV1151)-1,1,-4),"미납")&gt;=3),"장기미납",
IF(AND(V1151="정상",OFFSET(Y1151,0,COUNTA(Y1151:AV1151)-1)&gt;=U1151),"정상",
IF(AND(V1151="정상",OFFSET(Y1151,0,COUNTA(Y1151:AV1151)-1)=0),"정상",
"계약서 미작성")))))</f>
        <v>면제</v>
      </c>
      <c r="X1151" s="81" t="str">
        <f aca="true">
IF(D1151="폐업","폐업",
IF(AND(V1151="정상",OFFSET(Y1151,0,COUNTA(Y1151:AV1151)-1)="미납"),"미납",
IF(AND(V1151="정상",OFFSET(Y1151,0,COUNTA(Y1151:AV1151)-1)=0),"납부 시작 전",
IF(AND(V1151="정상",OFFSET(Y1151,0,COUNTA(Y1151:AV1151)-1)&gt;=U1151),"정상",
IF(AND(V1151="면제",OFFSET(Y1151,0,COUNTA(Y1151:AV1151)-1)="면제"),"면제",
IF(AND(V1151="면제",OFFSET(Y1151,0,COUNTA(Y1151:AV1151)-1)=0),"면제",
"확인요청"))))))</f>
        <v>면제</v>
      </c>
      <c r="Y1151" s="94" t="s">
        <v>7</v>
      </c>
      <c r="Z1151" s="95" t="s">
        <v>7</v>
      </c>
      <c r="AA1151" s="95" t="s">
        <v>7</v>
      </c>
      <c r="AB1151" s="95" t="s">
        <v>7</v>
      </c>
      <c r="AC1151" s="95" t="s">
        <v>7</v>
      </c>
      <c r="AD1151" s="95" t="s">
        <v>7</v>
      </c>
      <c r="AE1151" s="95" t="s">
        <v>7</v>
      </c>
      <c r="AF1151" s="95" t="s">
        <v>7</v>
      </c>
      <c r="AG1151" s="95" t="s">
        <v>7</v>
      </c>
      <c r="AH1151" s="95" t="s">
        <v>7</v>
      </c>
      <c r="AI1151" s="95" t="s">
        <v>7</v>
      </c>
      <c r="AJ1151" s="96" t="s">
        <v>7</v>
      </c>
      <c r="AK1151" s="97" t="s">
        <v>7</v>
      </c>
      <c r="AL1151" s="95" t="s">
        <v>7</v>
      </c>
      <c r="AM1151" s="90"/>
      <c r="AN1151" s="90"/>
      <c r="AO1151" s="90"/>
      <c r="AP1151" s="90"/>
      <c r="AQ1151" s="90"/>
      <c r="AR1151" s="90"/>
      <c r="AS1151" s="90"/>
      <c r="AT1151" s="90"/>
      <c r="AU1151" s="90"/>
      <c r="AV1151" s="91"/>
      <c r="AX1151" s="92"/>
    </row>
    <row r="1152" customFormat="false" ht="15.65" hidden="false" customHeight="false" outlineLevel="0" collapsed="false">
      <c r="C1152" s="72" t="n">
        <f aca="false">COUNTIFS($D$6:D1152,"&lt;&gt;"&amp;"")</f>
        <v>1147</v>
      </c>
      <c r="D1152" s="73" t="s">
        <v>12</v>
      </c>
      <c r="E1152" s="76" t="str">
        <f aca="false">
IF($D1152="정상",INDEX(임대자산!$D$3:$R$3000,MATCH($F1152,임대자산!$I$3:$I$3000,0),MATCH(E$3,임대자산!$D$3:$R$3,0)),
IF($D1152="폐업",INDEX(폐업정보!$D$3:$R$3000,MATCH($F1152,폐업정보!$I$3:$I$3000,0),MATCH(E$3,폐업정보!$D$3:$R$3,0)),
"Error"))</f>
        <v>서울</v>
      </c>
      <c r="F115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B1147</v>
      </c>
      <c r="G1152" s="76" t="str">
        <f aca="false">F1152&amp;RANDBETWEEN(0,10)</f>
        <v>B11477</v>
      </c>
      <c r="H1152" s="75" t="n">
        <f aca="false">
IF($D1152="정상",INDEX(임대자산!$D$3:$R$3000,MATCH($F1152,임대자산!$I$3:$I$3000,0),MATCH(H$4,임대자산!$D$3:$R$3,0)),
IF($D1152="폐업",INDEX(폐업정보!$D$3:$R$3000,MATCH($F1152,폐업정보!$I$3:$I$3000,0),MATCH(H$4,폐업정보!$D$3:$R$3,0)),
"Error"))</f>
        <v>45316</v>
      </c>
      <c r="I1152" s="75" t="str">
        <f aca="false">
IF($D1152="정상",INDEX(임대자산!$D$3:$R$3000,MATCH($F1152,임대자산!$I$3:$I$3000,0),MATCH(I$4,임대자산!$D$3:$R$3,0)),
IF($D1152="폐업",INDEX(폐업정보!$D$3:$R$3000,MATCH($F1152,폐업정보!$I$3:$I$3000,0),MATCH(I$4,폐업정보!$D$3:$R$3,0)),
"Error"))</f>
        <v>A1147</v>
      </c>
      <c r="J1152" s="75" t="str">
        <f aca="false">
IF($D1152="정상",INDEX(임대자산!$D$3:$R$3000,MATCH($F1152,임대자산!$I$3:$I$3000,0),MATCH(J$4,임대자산!$D$3:$R$3,0)),
IF($D1152="폐업",INDEX(폐업정보!$D$3:$R$3000,MATCH($F1152,폐업정보!$I$3:$I$3000,0),MATCH(J$4,폐업정보!$D$3:$R$3,0)),
"Error"))</f>
        <v>8170600000</v>
      </c>
      <c r="K1152" s="75" t="str">
        <f aca="false">
IF($D1152="정상",INDEX(임대자산!$D$3:$R$3000,MATCH($F1152,임대자산!$I$3:$I$3000,0),MATCH(K$4,임대자산!$D$3:$R$3,0)),
IF($D1152="폐업",INDEX(폐업정보!$D$3:$R$3000,MATCH($F1152,폐업정보!$I$3:$I$3000,0),MATCH(K$4,폐업정보!$D$3:$R$3,0)),
"Error"))</f>
        <v>C1147</v>
      </c>
      <c r="L1152" s="75" t="str">
        <f aca="false">
IF($D1152="정상",INDEX(임대자산!$D$3:$R$3000,MATCH($F1152,임대자산!$I$3:$I$3000,0),MATCH(L$4,임대자산!$D$3:$R$3,0)),
IF($D1152="폐업",INDEX(폐업정보!$D$3:$R$3000,MATCH($F1152,폐업정보!$I$3:$I$3000,0),MATCH(L$4,폐업정보!$D$3:$R$3,0)),
"Error"))</f>
        <v>D1147</v>
      </c>
      <c r="M1152" s="76" t="s">
        <v>96</v>
      </c>
      <c r="N1152" s="77"/>
      <c r="O1152" s="78" t="s">
        <v>97</v>
      </c>
      <c r="P1152" s="79" t="n">
        <f aca="false">COUNTIFS(임대자산!$I:$I,가맹점정보!F1152,임대자산!$N:$N,가맹점정보!P$4)</f>
        <v>0</v>
      </c>
      <c r="Q1152" s="80" t="n">
        <f aca="false">COUNTIFS(임대자산!$I:$I,가맹점정보!F1152,임대자산!$N:$N,가맹점정보!Q$4)</f>
        <v>0</v>
      </c>
      <c r="R1152" s="81" t="n">
        <f aca="false">COUNTIFS(임대자산!$I:$I,가맹점정보!F1152,임대자산!$N:$N,가맹점정보!R$4)</f>
        <v>1</v>
      </c>
      <c r="S1152" s="82" t="n">
        <v>55000</v>
      </c>
      <c r="T1152" s="83" t="n">
        <v>0</v>
      </c>
      <c r="U1152" s="80" t="n">
        <f aca="false">SUM(S1152:T1152)</f>
        <v>55000</v>
      </c>
      <c r="V1152" s="84" t="s">
        <v>7</v>
      </c>
      <c r="W1152" s="80" t="str">
        <f aca="true">
IF(D1152="폐업","폐업",
IF(V1152="면제","면제",
IF(AND(V1152="정상",COUNTIFS(OFFSET(Y1152,0,COUNTA(Y1152:AV1152)-1,1,-4),"미납")&gt;=3),"장기미납",
IF(AND(V1152="정상",OFFSET(Y1152,0,COUNTA(Y1152:AV1152)-1)&gt;=U1152),"정상",
IF(AND(V1152="정상",OFFSET(Y1152,0,COUNTA(Y1152:AV1152)-1)=0),"정상",
"계약서 미작성")))))</f>
        <v>면제</v>
      </c>
      <c r="X1152" s="81" t="str">
        <f aca="true">
IF(D1152="폐업","폐업",
IF(AND(V1152="정상",OFFSET(Y1152,0,COUNTA(Y1152:AV1152)-1)="미납"),"미납",
IF(AND(V1152="정상",OFFSET(Y1152,0,COUNTA(Y1152:AV1152)-1)=0),"납부 시작 전",
IF(AND(V1152="정상",OFFSET(Y1152,0,COUNTA(Y1152:AV1152)-1)&gt;=U1152),"정상",
IF(AND(V1152="면제",OFFSET(Y1152,0,COUNTA(Y1152:AV1152)-1)="면제"),"면제",
IF(AND(V1152="면제",OFFSET(Y1152,0,COUNTA(Y1152:AV1152)-1)=0),"면제",
"확인요청"))))))</f>
        <v>면제</v>
      </c>
      <c r="Y1152" s="94" t="s">
        <v>7</v>
      </c>
      <c r="Z1152" s="95" t="s">
        <v>7</v>
      </c>
      <c r="AA1152" s="95" t="s">
        <v>7</v>
      </c>
      <c r="AB1152" s="95" t="s">
        <v>7</v>
      </c>
      <c r="AC1152" s="95" t="s">
        <v>7</v>
      </c>
      <c r="AD1152" s="95" t="s">
        <v>7</v>
      </c>
      <c r="AE1152" s="95" t="s">
        <v>7</v>
      </c>
      <c r="AF1152" s="95" t="s">
        <v>7</v>
      </c>
      <c r="AG1152" s="95" t="s">
        <v>7</v>
      </c>
      <c r="AH1152" s="95" t="s">
        <v>7</v>
      </c>
      <c r="AI1152" s="95" t="s">
        <v>7</v>
      </c>
      <c r="AJ1152" s="96" t="s">
        <v>7</v>
      </c>
      <c r="AK1152" s="89" t="n">
        <v>55000</v>
      </c>
      <c r="AL1152" s="95" t="s">
        <v>7</v>
      </c>
      <c r="AM1152" s="90"/>
      <c r="AN1152" s="90"/>
      <c r="AO1152" s="90"/>
      <c r="AP1152" s="90"/>
      <c r="AQ1152" s="90"/>
      <c r="AR1152" s="90"/>
      <c r="AS1152" s="90"/>
      <c r="AT1152" s="90"/>
      <c r="AU1152" s="90"/>
      <c r="AV1152" s="91"/>
      <c r="AX1152" s="92"/>
    </row>
    <row r="1153" customFormat="false" ht="15.65" hidden="false" customHeight="false" outlineLevel="0" collapsed="false">
      <c r="C1153" s="72" t="n">
        <f aca="false">COUNTIFS($D$6:D1153,"&lt;&gt;"&amp;"")</f>
        <v>1148</v>
      </c>
      <c r="D1153" s="73" t="s">
        <v>12</v>
      </c>
      <c r="E1153" s="76" t="str">
        <f aca="false">
IF($D1153="정상",INDEX(임대자산!$D$3:$R$3000,MATCH($F1153,임대자산!$I$3:$I$3000,0),MATCH(E$3,임대자산!$D$3:$R$3,0)),
IF($D1153="폐업",INDEX(폐업정보!$D$3:$R$3000,MATCH($F1153,폐업정보!$I$3:$I$3000,0),MATCH(E$3,폐업정보!$D$3:$R$3,0)),
"Error"))</f>
        <v>경상</v>
      </c>
      <c r="F115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B1148</v>
      </c>
      <c r="G1153" s="76" t="str">
        <f aca="false">F1153&amp;RANDBETWEEN(0,10)</f>
        <v>B11483</v>
      </c>
      <c r="H1153" s="75" t="n">
        <f aca="false">
IF($D1153="정상",INDEX(임대자산!$D$3:$R$3000,MATCH($F1153,임대자산!$I$3:$I$3000,0),MATCH(H$4,임대자산!$D$3:$R$3,0)),
IF($D1153="폐업",INDEX(폐업정보!$D$3:$R$3000,MATCH($F1153,폐업정보!$I$3:$I$3000,0),MATCH(H$4,폐업정보!$D$3:$R$3,0)),
"Error"))</f>
        <v>45961</v>
      </c>
      <c r="I1153" s="75" t="str">
        <f aca="false">
IF($D1153="정상",INDEX(임대자산!$D$3:$R$3000,MATCH($F1153,임대자산!$I$3:$I$3000,0),MATCH(I$4,임대자산!$D$3:$R$3,0)),
IF($D1153="폐업",INDEX(폐업정보!$D$3:$R$3000,MATCH($F1153,폐업정보!$I$3:$I$3000,0),MATCH(I$4,폐업정보!$D$3:$R$3,0)),
"Error"))</f>
        <v>A1148</v>
      </c>
      <c r="J1153" s="75" t="str">
        <f aca="false">
IF($D1153="정상",INDEX(임대자산!$D$3:$R$3000,MATCH($F1153,임대자산!$I$3:$I$3000,0),MATCH(J$4,임대자산!$D$3:$R$3,0)),
IF($D1153="폐업",INDEX(폐업정보!$D$3:$R$3000,MATCH($F1153,폐업정보!$I$3:$I$3000,0),MATCH(J$4,폐업정보!$D$3:$R$3,0)),
"Error"))</f>
        <v>8556900000</v>
      </c>
      <c r="K1153" s="75" t="str">
        <f aca="false">
IF($D1153="정상",INDEX(임대자산!$D$3:$R$3000,MATCH($F1153,임대자산!$I$3:$I$3000,0),MATCH(K$4,임대자산!$D$3:$R$3,0)),
IF($D1153="폐업",INDEX(폐업정보!$D$3:$R$3000,MATCH($F1153,폐업정보!$I$3:$I$3000,0),MATCH(K$4,폐업정보!$D$3:$R$3,0)),
"Error"))</f>
        <v>C1148</v>
      </c>
      <c r="L1153" s="75" t="str">
        <f aca="false">
IF($D1153="정상",INDEX(임대자산!$D$3:$R$3000,MATCH($F1153,임대자산!$I$3:$I$3000,0),MATCH(L$4,임대자산!$D$3:$R$3,0)),
IF($D1153="폐업",INDEX(폐업정보!$D$3:$R$3000,MATCH($F1153,폐업정보!$I$3:$I$3000,0),MATCH(L$4,폐업정보!$D$3:$R$3,0)),
"Error"))</f>
        <v>D1148</v>
      </c>
      <c r="M1153" s="76" t="s">
        <v>96</v>
      </c>
      <c r="N1153" s="77"/>
      <c r="O1153" s="78" t="s">
        <v>97</v>
      </c>
      <c r="P1153" s="79" t="n">
        <f aca="false">COUNTIFS(임대자산!$I:$I,가맹점정보!F1153,임대자산!$N:$N,가맹점정보!P$4)</f>
        <v>0</v>
      </c>
      <c r="Q1153" s="80" t="n">
        <f aca="false">COUNTIFS(임대자산!$I:$I,가맹점정보!F1153,임대자산!$N:$N,가맹점정보!Q$4)</f>
        <v>0</v>
      </c>
      <c r="R1153" s="81" t="n">
        <f aca="false">COUNTIFS(임대자산!$I:$I,가맹점정보!F1153,임대자산!$N:$N,가맹점정보!R$4)</f>
        <v>1</v>
      </c>
      <c r="S1153" s="82" t="n">
        <v>55000</v>
      </c>
      <c r="T1153" s="83" t="n">
        <v>0</v>
      </c>
      <c r="U1153" s="80" t="n">
        <f aca="false">SUM(S1153:T1153)</f>
        <v>55000</v>
      </c>
      <c r="V1153" s="84" t="s">
        <v>12</v>
      </c>
      <c r="W1153" s="80" t="e">
        <f aca="true">
IF(D1153="폐업","폐업",
IF(V1153="면제","면제",
IF(AND(V1153="정상",COUNTIFS(OFFSET(Y1153,0,COUNTA(Y1153:AV1153)-1,1,-4),"미납")&gt;=3),"장기미납",
IF(AND(V1153="정상",OFFSET(Y1153,0,COUNTA(Y1153:AV1153)-1)&gt;=U1153),"정상",
IF(AND(V1153="정상",OFFSET(Y1153,0,COUNTA(Y1153:AV1153)-1)=0),"정상",
"계약서 미작성")))))</f>
        <v>#VALUE!</v>
      </c>
      <c r="X1153" s="81" t="str">
        <f aca="true">
IF(D1153="폐업","폐업",
IF(AND(V1153="정상",OFFSET(Y1153,0,COUNTA(Y1153:AV1153)-1)="미납"),"미납",
IF(AND(V1153="정상",OFFSET(Y1153,0,COUNTA(Y1153:AV1153)-1)=0),"납부 시작 전",
IF(AND(V1153="정상",OFFSET(Y1153,0,COUNTA(Y1153:AV1153)-1)&gt;=U1153),"정상",
IF(AND(V1153="면제",OFFSET(Y1153,0,COUNTA(Y1153:AV1153)-1)="면제"),"면제",
IF(AND(V1153="면제",OFFSET(Y1153,0,COUNTA(Y1153:AV1153)-1)=0),"면제",
"확인요청"))))))</f>
        <v>정상</v>
      </c>
      <c r="Y1153" s="93" t="n">
        <v>55000</v>
      </c>
      <c r="Z1153" s="90" t="n">
        <v>55000</v>
      </c>
      <c r="AA1153" s="90" t="n">
        <v>55000</v>
      </c>
      <c r="AB1153" s="90" t="n">
        <v>55000</v>
      </c>
      <c r="AC1153" s="90" t="n">
        <v>55000</v>
      </c>
      <c r="AD1153" s="90" t="n">
        <v>55000</v>
      </c>
      <c r="AE1153" s="90" t="n">
        <v>55000</v>
      </c>
      <c r="AF1153" s="90" t="n">
        <v>55000</v>
      </c>
      <c r="AG1153" s="90" t="n">
        <v>55000</v>
      </c>
      <c r="AH1153" s="90" t="n">
        <v>55000</v>
      </c>
      <c r="AI1153" s="90" t="n">
        <v>55000</v>
      </c>
      <c r="AJ1153" s="91" t="n">
        <v>55000</v>
      </c>
      <c r="AK1153" s="89" t="n">
        <v>55000</v>
      </c>
      <c r="AL1153" s="90" t="n">
        <v>55000</v>
      </c>
      <c r="AM1153" s="90"/>
      <c r="AN1153" s="90"/>
      <c r="AO1153" s="90"/>
      <c r="AP1153" s="90"/>
      <c r="AQ1153" s="90"/>
      <c r="AR1153" s="90"/>
      <c r="AS1153" s="90"/>
      <c r="AT1153" s="90"/>
      <c r="AU1153" s="90"/>
      <c r="AV1153" s="91"/>
      <c r="AX1153" s="92"/>
    </row>
    <row r="1154" customFormat="false" ht="15.65" hidden="false" customHeight="false" outlineLevel="0" collapsed="false">
      <c r="C1154" s="72" t="n">
        <f aca="false">COUNTIFS($D$6:D1154,"&lt;&gt;"&amp;"")</f>
        <v>1149</v>
      </c>
      <c r="D1154" s="73" t="s">
        <v>12</v>
      </c>
      <c r="E1154" s="76" t="str">
        <f aca="false">
IF($D1154="정상",INDEX(임대자산!$D$3:$R$3000,MATCH($F1154,임대자산!$I$3:$I$3000,0),MATCH(E$3,임대자산!$D$3:$R$3,0)),
IF($D1154="폐업",INDEX(폐업정보!$D$3:$R$3000,MATCH($F1154,폐업정보!$I$3:$I$3000,0),MATCH(E$3,폐업정보!$D$3:$R$3,0)),
"Error"))</f>
        <v>서울</v>
      </c>
      <c r="F115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B1149</v>
      </c>
      <c r="G1154" s="76" t="str">
        <f aca="false">F1154&amp;RANDBETWEEN(0,10)</f>
        <v>B11499</v>
      </c>
      <c r="H1154" s="75" t="n">
        <f aca="false">
IF($D1154="정상",INDEX(임대자산!$D$3:$R$3000,MATCH($F1154,임대자산!$I$3:$I$3000,0),MATCH(H$4,임대자산!$D$3:$R$3,0)),
IF($D1154="폐업",INDEX(폐업정보!$D$3:$R$3000,MATCH($F1154,폐업정보!$I$3:$I$3000,0),MATCH(H$4,폐업정보!$D$3:$R$3,0)),
"Error"))</f>
        <v>44831</v>
      </c>
      <c r="I1154" s="75" t="str">
        <f aca="false">
IF($D1154="정상",INDEX(임대자산!$D$3:$R$3000,MATCH($F1154,임대자산!$I$3:$I$3000,0),MATCH(I$4,임대자산!$D$3:$R$3,0)),
IF($D1154="폐업",INDEX(폐업정보!$D$3:$R$3000,MATCH($F1154,폐업정보!$I$3:$I$3000,0),MATCH(I$4,폐업정보!$D$3:$R$3,0)),
"Error"))</f>
        <v>A1149</v>
      </c>
      <c r="J1154" s="75" t="str">
        <f aca="false">
IF($D1154="정상",INDEX(임대자산!$D$3:$R$3000,MATCH($F1154,임대자산!$I$3:$I$3000,0),MATCH(J$4,임대자산!$D$3:$R$3,0)),
IF($D1154="폐업",INDEX(폐업정보!$D$3:$R$3000,MATCH($F1154,폐업정보!$I$3:$I$3000,0),MATCH(J$4,폐업정보!$D$3:$R$3,0)),
"Error"))</f>
        <v>7051400000</v>
      </c>
      <c r="K1154" s="75" t="str">
        <f aca="false">
IF($D1154="정상",INDEX(임대자산!$D$3:$R$3000,MATCH($F1154,임대자산!$I$3:$I$3000,0),MATCH(K$4,임대자산!$D$3:$R$3,0)),
IF($D1154="폐업",INDEX(폐업정보!$D$3:$R$3000,MATCH($F1154,폐업정보!$I$3:$I$3000,0),MATCH(K$4,폐업정보!$D$3:$R$3,0)),
"Error"))</f>
        <v>C1149</v>
      </c>
      <c r="L1154" s="75" t="str">
        <f aca="false">
IF($D1154="정상",INDEX(임대자산!$D$3:$R$3000,MATCH($F1154,임대자산!$I$3:$I$3000,0),MATCH(L$4,임대자산!$D$3:$R$3,0)),
IF($D1154="폐업",INDEX(폐업정보!$D$3:$R$3000,MATCH($F1154,폐업정보!$I$3:$I$3000,0),MATCH(L$4,폐업정보!$D$3:$R$3,0)),
"Error"))</f>
        <v>D1149</v>
      </c>
      <c r="M1154" s="76" t="s">
        <v>96</v>
      </c>
      <c r="N1154" s="77"/>
      <c r="O1154" s="78" t="s">
        <v>97</v>
      </c>
      <c r="P1154" s="79" t="n">
        <f aca="false">COUNTIFS(임대자산!$I:$I,가맹점정보!F1154,임대자산!$N:$N,가맹점정보!P$4)</f>
        <v>0</v>
      </c>
      <c r="Q1154" s="80" t="n">
        <f aca="false">COUNTIFS(임대자산!$I:$I,가맹점정보!F1154,임대자산!$N:$N,가맹점정보!Q$4)</f>
        <v>0</v>
      </c>
      <c r="R1154" s="81" t="n">
        <f aca="false">COUNTIFS(임대자산!$I:$I,가맹점정보!F1154,임대자산!$N:$N,가맹점정보!R$4)</f>
        <v>1</v>
      </c>
      <c r="S1154" s="82" t="n">
        <v>55000</v>
      </c>
      <c r="T1154" s="83" t="n">
        <v>0</v>
      </c>
      <c r="U1154" s="80" t="n">
        <f aca="false">SUM(S1154:T1154)</f>
        <v>55000</v>
      </c>
      <c r="V1154" s="84" t="s">
        <v>12</v>
      </c>
      <c r="W1154" s="80" t="e">
        <f aca="true">
IF(D1154="폐업","폐업",
IF(V1154="면제","면제",
IF(AND(V1154="정상",COUNTIFS(OFFSET(Y1154,0,COUNTA(Y1154:AV1154)-1,1,-4),"미납")&gt;=3),"장기미납",
IF(AND(V1154="정상",OFFSET(Y1154,0,COUNTA(Y1154:AV1154)-1)&gt;=U1154),"정상",
IF(AND(V1154="정상",OFFSET(Y1154,0,COUNTA(Y1154:AV1154)-1)=0),"정상",
"계약서 미작성")))))</f>
        <v>#VALUE!</v>
      </c>
      <c r="X1154" s="81" t="str">
        <f aca="true">
IF(D1154="폐업","폐업",
IF(AND(V1154="정상",OFFSET(Y1154,0,COUNTA(Y1154:AV1154)-1)="미납"),"미납",
IF(AND(V1154="정상",OFFSET(Y1154,0,COUNTA(Y1154:AV1154)-1)=0),"납부 시작 전",
IF(AND(V1154="정상",OFFSET(Y1154,0,COUNTA(Y1154:AV1154)-1)&gt;=U1154),"정상",
IF(AND(V1154="면제",OFFSET(Y1154,0,COUNTA(Y1154:AV1154)-1)="면제"),"면제",
IF(AND(V1154="면제",OFFSET(Y1154,0,COUNTA(Y1154:AV1154)-1)=0),"면제",
"확인요청"))))))</f>
        <v>정상</v>
      </c>
      <c r="Y1154" s="93" t="n">
        <v>55000</v>
      </c>
      <c r="Z1154" s="90" t="n">
        <v>55000</v>
      </c>
      <c r="AA1154" s="90" t="n">
        <v>55000</v>
      </c>
      <c r="AB1154" s="90" t="n">
        <v>55000</v>
      </c>
      <c r="AC1154" s="90" t="n">
        <v>55000</v>
      </c>
      <c r="AD1154" s="90" t="n">
        <v>55000</v>
      </c>
      <c r="AE1154" s="90" t="n">
        <v>55000</v>
      </c>
      <c r="AF1154" s="90" t="n">
        <v>55000</v>
      </c>
      <c r="AG1154" s="90" t="n">
        <v>55000</v>
      </c>
      <c r="AH1154" s="90" t="n">
        <v>55000</v>
      </c>
      <c r="AI1154" s="90" t="n">
        <v>55000</v>
      </c>
      <c r="AJ1154" s="91" t="n">
        <v>55000</v>
      </c>
      <c r="AK1154" s="89" t="n">
        <v>55000</v>
      </c>
      <c r="AL1154" s="90" t="n">
        <v>55000</v>
      </c>
      <c r="AM1154" s="90"/>
      <c r="AN1154" s="90"/>
      <c r="AO1154" s="90"/>
      <c r="AP1154" s="90"/>
      <c r="AQ1154" s="90"/>
      <c r="AR1154" s="90"/>
      <c r="AS1154" s="90"/>
      <c r="AT1154" s="90"/>
      <c r="AU1154" s="90"/>
      <c r="AV1154" s="91"/>
      <c r="AX1154" s="92"/>
    </row>
    <row r="1155" customFormat="false" ht="15.65" hidden="false" customHeight="false" outlineLevel="0" collapsed="false">
      <c r="C1155" s="72" t="n">
        <f aca="false">COUNTIFS($D$6:D1155,"&lt;&gt;"&amp;"")</f>
        <v>1150</v>
      </c>
      <c r="D1155" s="73" t="s">
        <v>12</v>
      </c>
      <c r="E1155" s="76" t="str">
        <f aca="false">
IF($D1155="정상",INDEX(임대자산!$D$3:$R$3000,MATCH($F1155,임대자산!$I$3:$I$3000,0),MATCH(E$3,임대자산!$D$3:$R$3,0)),
IF($D1155="폐업",INDEX(폐업정보!$D$3:$R$3000,MATCH($F1155,폐업정보!$I$3:$I$3000,0),MATCH(E$3,폐업정보!$D$3:$R$3,0)),
"Error"))</f>
        <v>서울</v>
      </c>
      <c r="F115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B1150</v>
      </c>
      <c r="G1155" s="76" t="str">
        <f aca="false">F1155&amp;RANDBETWEEN(0,10)</f>
        <v>B11501</v>
      </c>
      <c r="H1155" s="75" t="n">
        <f aca="false">
IF($D1155="정상",INDEX(임대자산!$D$3:$R$3000,MATCH($F1155,임대자산!$I$3:$I$3000,0),MATCH(H$4,임대자산!$D$3:$R$3,0)),
IF($D1155="폐업",INDEX(폐업정보!$D$3:$R$3000,MATCH($F1155,폐업정보!$I$3:$I$3000,0),MATCH(H$4,폐업정보!$D$3:$R$3,0)),
"Error"))</f>
        <v>44831</v>
      </c>
      <c r="I1155" s="75" t="str">
        <f aca="false">
IF($D1155="정상",INDEX(임대자산!$D$3:$R$3000,MATCH($F1155,임대자산!$I$3:$I$3000,0),MATCH(I$4,임대자산!$D$3:$R$3,0)),
IF($D1155="폐업",INDEX(폐업정보!$D$3:$R$3000,MATCH($F1155,폐업정보!$I$3:$I$3000,0),MATCH(I$4,폐업정보!$D$3:$R$3,0)),
"Error"))</f>
        <v>A1150</v>
      </c>
      <c r="J1155" s="75" t="str">
        <f aca="false">
IF($D1155="정상",INDEX(임대자산!$D$3:$R$3000,MATCH($F1155,임대자산!$I$3:$I$3000,0),MATCH(J$4,임대자산!$D$3:$R$3,0)),
IF($D1155="폐업",INDEX(폐업정보!$D$3:$R$3000,MATCH($F1155,폐업정보!$I$3:$I$3000,0),MATCH(J$4,폐업정보!$D$3:$R$3,0)),
"Error"))</f>
        <v>3639000000</v>
      </c>
      <c r="K1155" s="75" t="str">
        <f aca="false">
IF($D1155="정상",INDEX(임대자산!$D$3:$R$3000,MATCH($F1155,임대자산!$I$3:$I$3000,0),MATCH(K$4,임대자산!$D$3:$R$3,0)),
IF($D1155="폐업",INDEX(폐업정보!$D$3:$R$3000,MATCH($F1155,폐업정보!$I$3:$I$3000,0),MATCH(K$4,폐업정보!$D$3:$R$3,0)),
"Error"))</f>
        <v>C1150</v>
      </c>
      <c r="L1155" s="75" t="str">
        <f aca="false">
IF($D1155="정상",INDEX(임대자산!$D$3:$R$3000,MATCH($F1155,임대자산!$I$3:$I$3000,0),MATCH(L$4,임대자산!$D$3:$R$3,0)),
IF($D1155="폐업",INDEX(폐업정보!$D$3:$R$3000,MATCH($F1155,폐업정보!$I$3:$I$3000,0),MATCH(L$4,폐업정보!$D$3:$R$3,0)),
"Error"))</f>
        <v>D1150</v>
      </c>
      <c r="M1155" s="76" t="s">
        <v>96</v>
      </c>
      <c r="N1155" s="77"/>
      <c r="O1155" s="78" t="s">
        <v>97</v>
      </c>
      <c r="P1155" s="79" t="n">
        <f aca="false">COUNTIFS(임대자산!$I:$I,가맹점정보!F1155,임대자산!$N:$N,가맹점정보!P$4)</f>
        <v>0</v>
      </c>
      <c r="Q1155" s="80" t="n">
        <f aca="false">COUNTIFS(임대자산!$I:$I,가맹점정보!F1155,임대자산!$N:$N,가맹점정보!Q$4)</f>
        <v>0</v>
      </c>
      <c r="R1155" s="81" t="n">
        <f aca="false">COUNTIFS(임대자산!$I:$I,가맹점정보!F1155,임대자산!$N:$N,가맹점정보!R$4)</f>
        <v>1</v>
      </c>
      <c r="S1155" s="82" t="n">
        <v>55000</v>
      </c>
      <c r="T1155" s="83" t="n">
        <v>0</v>
      </c>
      <c r="U1155" s="80" t="n">
        <f aca="false">SUM(S1155:T1155)</f>
        <v>55000</v>
      </c>
      <c r="V1155" s="84" t="s">
        <v>12</v>
      </c>
      <c r="W1155" s="80" t="e">
        <f aca="true">
IF(D1155="폐업","폐업",
IF(V1155="면제","면제",
IF(AND(V1155="정상",COUNTIFS(OFFSET(Y1155,0,COUNTA(Y1155:AV1155)-1,1,-4),"미납")&gt;=3),"장기미납",
IF(AND(V1155="정상",OFFSET(Y1155,0,COUNTA(Y1155:AV1155)-1)&gt;=U1155),"정상",
IF(AND(V1155="정상",OFFSET(Y1155,0,COUNTA(Y1155:AV1155)-1)=0),"정상",
"계약서 미작성")))))</f>
        <v>#VALUE!</v>
      </c>
      <c r="X1155" s="81" t="str">
        <f aca="true">
IF(D1155="폐업","폐업",
IF(AND(V1155="정상",OFFSET(Y1155,0,COUNTA(Y1155:AV1155)-1)="미납"),"미납",
IF(AND(V1155="정상",OFFSET(Y1155,0,COUNTA(Y1155:AV1155)-1)=0),"납부 시작 전",
IF(AND(V1155="정상",OFFSET(Y1155,0,COUNTA(Y1155:AV1155)-1)&gt;=U1155),"정상",
IF(AND(V1155="면제",OFFSET(Y1155,0,COUNTA(Y1155:AV1155)-1)="면제"),"면제",
IF(AND(V1155="면제",OFFSET(Y1155,0,COUNTA(Y1155:AV1155)-1)=0),"면제",
"확인요청"))))))</f>
        <v>정상</v>
      </c>
      <c r="Y1155" s="93" t="n">
        <v>55000</v>
      </c>
      <c r="Z1155" s="90" t="n">
        <v>55000</v>
      </c>
      <c r="AA1155" s="90" t="n">
        <v>55000</v>
      </c>
      <c r="AB1155" s="90" t="n">
        <v>55000</v>
      </c>
      <c r="AC1155" s="90" t="n">
        <v>55000</v>
      </c>
      <c r="AD1155" s="90" t="n">
        <v>55000</v>
      </c>
      <c r="AE1155" s="90" t="n">
        <v>55000</v>
      </c>
      <c r="AF1155" s="90" t="n">
        <v>55000</v>
      </c>
      <c r="AG1155" s="90" t="n">
        <v>55000</v>
      </c>
      <c r="AH1155" s="90" t="n">
        <v>55000</v>
      </c>
      <c r="AI1155" s="90" t="n">
        <v>55000</v>
      </c>
      <c r="AJ1155" s="91" t="n">
        <v>55000</v>
      </c>
      <c r="AK1155" s="89" t="n">
        <v>55000</v>
      </c>
      <c r="AL1155" s="90" t="n">
        <v>55000</v>
      </c>
      <c r="AM1155" s="90"/>
      <c r="AN1155" s="90"/>
      <c r="AO1155" s="90"/>
      <c r="AP1155" s="90"/>
      <c r="AQ1155" s="90"/>
      <c r="AR1155" s="90"/>
      <c r="AS1155" s="90"/>
      <c r="AT1155" s="90"/>
      <c r="AU1155" s="90"/>
      <c r="AV1155" s="91"/>
      <c r="AX1155" s="92"/>
    </row>
    <row r="1156" customFormat="false" ht="15.65" hidden="false" customHeight="false" outlineLevel="0" collapsed="false">
      <c r="C1156" s="72" t="n">
        <f aca="false">COUNTIFS($D$6:D1156,"&lt;&gt;"&amp;"")</f>
        <v>1151</v>
      </c>
      <c r="D1156" s="73" t="s">
        <v>12</v>
      </c>
      <c r="E1156" s="76" t="str">
        <f aca="false">
IF($D1156="정상",INDEX(임대자산!$D$3:$R$3000,MATCH($F1156,임대자산!$I$3:$I$3000,0),MATCH(E$3,임대자산!$D$3:$R$3,0)),
IF($D1156="폐업",INDEX(폐업정보!$D$3:$R$3000,MATCH($F1156,폐업정보!$I$3:$I$3000,0),MATCH(E$3,폐업정보!$D$3:$R$3,0)),
"Error"))</f>
        <v>서울</v>
      </c>
      <c r="F115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B1151</v>
      </c>
      <c r="G1156" s="76" t="str">
        <f aca="false">F1156&amp;RANDBETWEEN(0,10)</f>
        <v>B115110</v>
      </c>
      <c r="H1156" s="75" t="n">
        <f aca="false">
IF($D1156="정상",INDEX(임대자산!$D$3:$R$3000,MATCH($F1156,임대자산!$I$3:$I$3000,0),MATCH(H$4,임대자산!$D$3:$R$3,0)),
IF($D1156="폐업",INDEX(폐업정보!$D$3:$R$3000,MATCH($F1156,폐업정보!$I$3:$I$3000,0),MATCH(H$4,폐업정보!$D$3:$R$3,0)),
"Error"))</f>
        <v>44834</v>
      </c>
      <c r="I1156" s="75" t="str">
        <f aca="false">
IF($D1156="정상",INDEX(임대자산!$D$3:$R$3000,MATCH($F1156,임대자산!$I$3:$I$3000,0),MATCH(I$4,임대자산!$D$3:$R$3,0)),
IF($D1156="폐업",INDEX(폐업정보!$D$3:$R$3000,MATCH($F1156,폐업정보!$I$3:$I$3000,0),MATCH(I$4,폐업정보!$D$3:$R$3,0)),
"Error"))</f>
        <v>A1151</v>
      </c>
      <c r="J1156" s="75" t="str">
        <f aca="false">
IF($D1156="정상",INDEX(임대자산!$D$3:$R$3000,MATCH($F1156,임대자산!$I$3:$I$3000,0),MATCH(J$4,임대자산!$D$3:$R$3,0)),
IF($D1156="폐업",INDEX(폐업정보!$D$3:$R$3000,MATCH($F1156,폐업정보!$I$3:$I$3000,0),MATCH(J$4,폐업정보!$D$3:$R$3,0)),
"Error"))</f>
        <v>4156300000</v>
      </c>
      <c r="K1156" s="75" t="str">
        <f aca="false">
IF($D1156="정상",INDEX(임대자산!$D$3:$R$3000,MATCH($F1156,임대자산!$I$3:$I$3000,0),MATCH(K$4,임대자산!$D$3:$R$3,0)),
IF($D1156="폐업",INDEX(폐업정보!$D$3:$R$3000,MATCH($F1156,폐업정보!$I$3:$I$3000,0),MATCH(K$4,폐업정보!$D$3:$R$3,0)),
"Error"))</f>
        <v>C1151</v>
      </c>
      <c r="L1156" s="75" t="str">
        <f aca="false">
IF($D1156="정상",INDEX(임대자산!$D$3:$R$3000,MATCH($F1156,임대자산!$I$3:$I$3000,0),MATCH(L$4,임대자산!$D$3:$R$3,0)),
IF($D1156="폐업",INDEX(폐업정보!$D$3:$R$3000,MATCH($F1156,폐업정보!$I$3:$I$3000,0),MATCH(L$4,폐업정보!$D$3:$R$3,0)),
"Error"))</f>
        <v>D1151</v>
      </c>
      <c r="M1156" s="76" t="s">
        <v>96</v>
      </c>
      <c r="N1156" s="77"/>
      <c r="O1156" s="78" t="s">
        <v>97</v>
      </c>
      <c r="P1156" s="79" t="n">
        <f aca="false">COUNTIFS(임대자산!$I:$I,가맹점정보!F1156,임대자산!$N:$N,가맹점정보!P$4)</f>
        <v>0</v>
      </c>
      <c r="Q1156" s="80" t="n">
        <f aca="false">COUNTIFS(임대자산!$I:$I,가맹점정보!F1156,임대자산!$N:$N,가맹점정보!Q$4)</f>
        <v>0</v>
      </c>
      <c r="R1156" s="81" t="n">
        <f aca="false">COUNTIFS(임대자산!$I:$I,가맹점정보!F1156,임대자산!$N:$N,가맹점정보!R$4)</f>
        <v>1</v>
      </c>
      <c r="S1156" s="82" t="n">
        <v>55000</v>
      </c>
      <c r="T1156" s="83" t="n">
        <v>0</v>
      </c>
      <c r="U1156" s="80" t="n">
        <f aca="false">SUM(S1156:T1156)</f>
        <v>55000</v>
      </c>
      <c r="V1156" s="84" t="s">
        <v>7</v>
      </c>
      <c r="W1156" s="80" t="str">
        <f aca="true">
IF(D1156="폐업","폐업",
IF(V1156="면제","면제",
IF(AND(V1156="정상",COUNTIFS(OFFSET(Y1156,0,COUNTA(Y1156:AV1156)-1,1,-4),"미납")&gt;=3),"장기미납",
IF(AND(V1156="정상",OFFSET(Y1156,0,COUNTA(Y1156:AV1156)-1)&gt;=U1156),"정상",
IF(AND(V1156="정상",OFFSET(Y1156,0,COUNTA(Y1156:AV1156)-1)=0),"정상",
"계약서 미작성")))))</f>
        <v>면제</v>
      </c>
      <c r="X1156" s="81" t="str">
        <f aca="true">
IF(D1156="폐업","폐업",
IF(AND(V1156="정상",OFFSET(Y1156,0,COUNTA(Y1156:AV1156)-1)="미납"),"미납",
IF(AND(V1156="정상",OFFSET(Y1156,0,COUNTA(Y1156:AV1156)-1)=0),"납부 시작 전",
IF(AND(V1156="정상",OFFSET(Y1156,0,COUNTA(Y1156:AV1156)-1)&gt;=U1156),"정상",
IF(AND(V1156="면제",OFFSET(Y1156,0,COUNTA(Y1156:AV1156)-1)="면제"),"면제",
IF(AND(V1156="면제",OFFSET(Y1156,0,COUNTA(Y1156:AV1156)-1)=0),"면제",
"확인요청"))))))</f>
        <v>면제</v>
      </c>
      <c r="Y1156" s="94" t="s">
        <v>7</v>
      </c>
      <c r="Z1156" s="95" t="s">
        <v>7</v>
      </c>
      <c r="AA1156" s="95" t="s">
        <v>7</v>
      </c>
      <c r="AB1156" s="95" t="s">
        <v>7</v>
      </c>
      <c r="AC1156" s="95" t="s">
        <v>7</v>
      </c>
      <c r="AD1156" s="95" t="s">
        <v>7</v>
      </c>
      <c r="AE1156" s="95" t="s">
        <v>7</v>
      </c>
      <c r="AF1156" s="95" t="s">
        <v>7</v>
      </c>
      <c r="AG1156" s="95" t="s">
        <v>7</v>
      </c>
      <c r="AH1156" s="95" t="s">
        <v>7</v>
      </c>
      <c r="AI1156" s="95" t="s">
        <v>7</v>
      </c>
      <c r="AJ1156" s="96" t="s">
        <v>7</v>
      </c>
      <c r="AK1156" s="97" t="s">
        <v>7</v>
      </c>
      <c r="AL1156" s="95" t="s">
        <v>7</v>
      </c>
      <c r="AM1156" s="90"/>
      <c r="AN1156" s="90"/>
      <c r="AO1156" s="90"/>
      <c r="AP1156" s="90"/>
      <c r="AQ1156" s="90"/>
      <c r="AR1156" s="90"/>
      <c r="AS1156" s="90"/>
      <c r="AT1156" s="90"/>
      <c r="AU1156" s="90"/>
      <c r="AV1156" s="91"/>
      <c r="AX1156" s="92"/>
    </row>
    <row r="1157" customFormat="false" ht="15.65" hidden="false" customHeight="false" outlineLevel="0" collapsed="false">
      <c r="C1157" s="72" t="n">
        <f aca="false">COUNTIFS($D$6:D1157,"&lt;&gt;"&amp;"")</f>
        <v>1152</v>
      </c>
      <c r="D1157" s="73" t="s">
        <v>12</v>
      </c>
      <c r="E1157" s="76" t="str">
        <f aca="false">
IF($D1157="정상",INDEX(임대자산!$D$3:$R$3000,MATCH($F1157,임대자산!$I$3:$I$3000,0),MATCH(E$3,임대자산!$D$3:$R$3,0)),
IF($D1157="폐업",INDEX(폐업정보!$D$3:$R$3000,MATCH($F1157,폐업정보!$I$3:$I$3000,0),MATCH(E$3,폐업정보!$D$3:$R$3,0)),
"Error"))</f>
        <v>서울</v>
      </c>
      <c r="F115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B1152</v>
      </c>
      <c r="G1157" s="76" t="str">
        <f aca="false">F1157&amp;RANDBETWEEN(0,10)</f>
        <v>B11528</v>
      </c>
      <c r="H1157" s="75" t="n">
        <f aca="false">
IF($D1157="정상",INDEX(임대자산!$D$3:$R$3000,MATCH($F1157,임대자산!$I$3:$I$3000,0),MATCH(H$4,임대자산!$D$3:$R$3,0)),
IF($D1157="폐업",INDEX(폐업정보!$D$3:$R$3000,MATCH($F1157,폐업정보!$I$3:$I$3000,0),MATCH(H$4,폐업정보!$D$3:$R$3,0)),
"Error"))</f>
        <v>44832</v>
      </c>
      <c r="I1157" s="75" t="str">
        <f aca="false">
IF($D1157="정상",INDEX(임대자산!$D$3:$R$3000,MATCH($F1157,임대자산!$I$3:$I$3000,0),MATCH(I$4,임대자산!$D$3:$R$3,0)),
IF($D1157="폐업",INDEX(폐업정보!$D$3:$R$3000,MATCH($F1157,폐업정보!$I$3:$I$3000,0),MATCH(I$4,폐업정보!$D$3:$R$3,0)),
"Error"))</f>
        <v>A1152</v>
      </c>
      <c r="J1157" s="75" t="str">
        <f aca="false">
IF($D1157="정상",INDEX(임대자산!$D$3:$R$3000,MATCH($F1157,임대자산!$I$3:$I$3000,0),MATCH(J$4,임대자산!$D$3:$R$3,0)),
IF($D1157="폐업",INDEX(폐업정보!$D$3:$R$3000,MATCH($F1157,폐업정보!$I$3:$I$3000,0),MATCH(J$4,폐업정보!$D$3:$R$3,0)),
"Error"))</f>
        <v>6705500000</v>
      </c>
      <c r="K1157" s="75" t="str">
        <f aca="false">
IF($D1157="정상",INDEX(임대자산!$D$3:$R$3000,MATCH($F1157,임대자산!$I$3:$I$3000,0),MATCH(K$4,임대자산!$D$3:$R$3,0)),
IF($D1157="폐업",INDEX(폐업정보!$D$3:$R$3000,MATCH($F1157,폐업정보!$I$3:$I$3000,0),MATCH(K$4,폐업정보!$D$3:$R$3,0)),
"Error"))</f>
        <v>C1152</v>
      </c>
      <c r="L1157" s="75" t="str">
        <f aca="false">
IF($D1157="정상",INDEX(임대자산!$D$3:$R$3000,MATCH($F1157,임대자산!$I$3:$I$3000,0),MATCH(L$4,임대자산!$D$3:$R$3,0)),
IF($D1157="폐업",INDEX(폐업정보!$D$3:$R$3000,MATCH($F1157,폐업정보!$I$3:$I$3000,0),MATCH(L$4,폐업정보!$D$3:$R$3,0)),
"Error"))</f>
        <v>D1152</v>
      </c>
      <c r="M1157" s="76" t="s">
        <v>96</v>
      </c>
      <c r="N1157" s="77"/>
      <c r="O1157" s="78" t="s">
        <v>97</v>
      </c>
      <c r="P1157" s="79" t="n">
        <f aca="false">COUNTIFS(임대자산!$I:$I,가맹점정보!F1157,임대자산!$N:$N,가맹점정보!P$4)</f>
        <v>0</v>
      </c>
      <c r="Q1157" s="80" t="n">
        <f aca="false">COUNTIFS(임대자산!$I:$I,가맹점정보!F1157,임대자산!$N:$N,가맹점정보!Q$4)</f>
        <v>0</v>
      </c>
      <c r="R1157" s="81" t="n">
        <f aca="false">COUNTIFS(임대자산!$I:$I,가맹점정보!F1157,임대자산!$N:$N,가맹점정보!R$4)</f>
        <v>1</v>
      </c>
      <c r="S1157" s="82" t="n">
        <v>88000</v>
      </c>
      <c r="T1157" s="83" t="n">
        <v>0</v>
      </c>
      <c r="U1157" s="80" t="n">
        <f aca="false">SUM(S1157:T1157)</f>
        <v>88000</v>
      </c>
      <c r="V1157" s="84" t="s">
        <v>7</v>
      </c>
      <c r="W1157" s="80" t="str">
        <f aca="true">
IF(D1157="폐업","폐업",
IF(V1157="면제","면제",
IF(AND(V1157="정상",COUNTIFS(OFFSET(Y1157,0,COUNTA(Y1157:AV1157)-1,1,-4),"미납")&gt;=3),"장기미납",
IF(AND(V1157="정상",OFFSET(Y1157,0,COUNTA(Y1157:AV1157)-1)&gt;=U1157),"정상",
IF(AND(V1157="정상",OFFSET(Y1157,0,COUNTA(Y1157:AV1157)-1)=0),"정상",
"계약서 미작성")))))</f>
        <v>면제</v>
      </c>
      <c r="X1157" s="81" t="str">
        <f aca="true">
IF(D1157="폐업","폐업",
IF(AND(V1157="정상",OFFSET(Y1157,0,COUNTA(Y1157:AV1157)-1)="미납"),"미납",
IF(AND(V1157="정상",OFFSET(Y1157,0,COUNTA(Y1157:AV1157)-1)=0),"납부 시작 전",
IF(AND(V1157="정상",OFFSET(Y1157,0,COUNTA(Y1157:AV1157)-1)&gt;=U1157),"정상",
IF(AND(V1157="면제",OFFSET(Y1157,0,COUNTA(Y1157:AV1157)-1)="면제"),"면제",
IF(AND(V1157="면제",OFFSET(Y1157,0,COUNTA(Y1157:AV1157)-1)=0),"면제",
"확인요청"))))))</f>
        <v>면제</v>
      </c>
      <c r="Y1157" s="94" t="s">
        <v>7</v>
      </c>
      <c r="Z1157" s="95" t="s">
        <v>7</v>
      </c>
      <c r="AA1157" s="95" t="s">
        <v>7</v>
      </c>
      <c r="AB1157" s="95" t="s">
        <v>7</v>
      </c>
      <c r="AC1157" s="95" t="s">
        <v>7</v>
      </c>
      <c r="AD1157" s="95" t="s">
        <v>7</v>
      </c>
      <c r="AE1157" s="95" t="s">
        <v>7</v>
      </c>
      <c r="AF1157" s="95" t="s">
        <v>7</v>
      </c>
      <c r="AG1157" s="95" t="s">
        <v>7</v>
      </c>
      <c r="AH1157" s="95" t="s">
        <v>7</v>
      </c>
      <c r="AI1157" s="95" t="s">
        <v>7</v>
      </c>
      <c r="AJ1157" s="96" t="s">
        <v>7</v>
      </c>
      <c r="AK1157" s="97" t="s">
        <v>7</v>
      </c>
      <c r="AL1157" s="95" t="s">
        <v>7</v>
      </c>
      <c r="AM1157" s="90"/>
      <c r="AN1157" s="90"/>
      <c r="AO1157" s="90"/>
      <c r="AP1157" s="90"/>
      <c r="AQ1157" s="90"/>
      <c r="AR1157" s="90"/>
      <c r="AS1157" s="90"/>
      <c r="AT1157" s="90"/>
      <c r="AU1157" s="90"/>
      <c r="AV1157" s="91"/>
      <c r="AX1157" s="92"/>
    </row>
    <row r="1158" customFormat="false" ht="15.65" hidden="false" customHeight="false" outlineLevel="0" collapsed="false">
      <c r="C1158" s="72" t="n">
        <f aca="false">COUNTIFS($D$6:D1158,"&lt;&gt;"&amp;"")</f>
        <v>1153</v>
      </c>
      <c r="D1158" s="73" t="s">
        <v>12</v>
      </c>
      <c r="E1158" s="76" t="str">
        <f aca="false">
IF($D1158="정상",INDEX(임대자산!$D$3:$R$3000,MATCH($F1158,임대자산!$I$3:$I$3000,0),MATCH(E$3,임대자산!$D$3:$R$3,0)),
IF($D1158="폐업",INDEX(폐업정보!$D$3:$R$3000,MATCH($F1158,폐업정보!$I$3:$I$3000,0),MATCH(E$3,폐업정보!$D$3:$R$3,0)),
"Error"))</f>
        <v>서울</v>
      </c>
      <c r="F115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B1153</v>
      </c>
      <c r="G1158" s="76" t="str">
        <f aca="false">F1158&amp;RANDBETWEEN(0,10)</f>
        <v>B11533</v>
      </c>
      <c r="H1158" s="75" t="n">
        <f aca="false">
IF($D1158="정상",INDEX(임대자산!$D$3:$R$3000,MATCH($F1158,임대자산!$I$3:$I$3000,0),MATCH(H$4,임대자산!$D$3:$R$3,0)),
IF($D1158="폐업",INDEX(폐업정보!$D$3:$R$3000,MATCH($F1158,폐업정보!$I$3:$I$3000,0),MATCH(H$4,폐업정보!$D$3:$R$3,0)),
"Error"))</f>
        <v>45107</v>
      </c>
      <c r="I1158" s="75" t="str">
        <f aca="false">
IF($D1158="정상",INDEX(임대자산!$D$3:$R$3000,MATCH($F1158,임대자산!$I$3:$I$3000,0),MATCH(I$4,임대자산!$D$3:$R$3,0)),
IF($D1158="폐업",INDEX(폐업정보!$D$3:$R$3000,MATCH($F1158,폐업정보!$I$3:$I$3000,0),MATCH(I$4,폐업정보!$D$3:$R$3,0)),
"Error"))</f>
        <v>A1153</v>
      </c>
      <c r="J1158" s="75" t="str">
        <f aca="false">
IF($D1158="정상",INDEX(임대자산!$D$3:$R$3000,MATCH($F1158,임대자산!$I$3:$I$3000,0),MATCH(J$4,임대자산!$D$3:$R$3,0)),
IF($D1158="폐업",INDEX(폐업정보!$D$3:$R$3000,MATCH($F1158,폐업정보!$I$3:$I$3000,0),MATCH(J$4,폐업정보!$D$3:$R$3,0)),
"Error"))</f>
        <v>7304700000</v>
      </c>
      <c r="K1158" s="75" t="str">
        <f aca="false">
IF($D1158="정상",INDEX(임대자산!$D$3:$R$3000,MATCH($F1158,임대자산!$I$3:$I$3000,0),MATCH(K$4,임대자산!$D$3:$R$3,0)),
IF($D1158="폐업",INDEX(폐업정보!$D$3:$R$3000,MATCH($F1158,폐업정보!$I$3:$I$3000,0),MATCH(K$4,폐업정보!$D$3:$R$3,0)),
"Error"))</f>
        <v>C1153</v>
      </c>
      <c r="L1158" s="75" t="str">
        <f aca="false">
IF($D1158="정상",INDEX(임대자산!$D$3:$R$3000,MATCH($F1158,임대자산!$I$3:$I$3000,0),MATCH(L$4,임대자산!$D$3:$R$3,0)),
IF($D1158="폐업",INDEX(폐업정보!$D$3:$R$3000,MATCH($F1158,폐업정보!$I$3:$I$3000,0),MATCH(L$4,폐업정보!$D$3:$R$3,0)),
"Error"))</f>
        <v>D1153</v>
      </c>
      <c r="M1158" s="76" t="s">
        <v>96</v>
      </c>
      <c r="N1158" s="77"/>
      <c r="O1158" s="78" t="s">
        <v>97</v>
      </c>
      <c r="P1158" s="79" t="n">
        <f aca="false">COUNTIFS(임대자산!$I:$I,가맹점정보!F1158,임대자산!$N:$N,가맹점정보!P$4)</f>
        <v>0</v>
      </c>
      <c r="Q1158" s="80" t="n">
        <f aca="false">COUNTIFS(임대자산!$I:$I,가맹점정보!F1158,임대자산!$N:$N,가맹점정보!Q$4)</f>
        <v>0</v>
      </c>
      <c r="R1158" s="81" t="n">
        <f aca="false">COUNTIFS(임대자산!$I:$I,가맹점정보!F1158,임대자산!$N:$N,가맹점정보!R$4)</f>
        <v>1</v>
      </c>
      <c r="S1158" s="82" t="n">
        <v>55000</v>
      </c>
      <c r="T1158" s="83" t="n">
        <v>0</v>
      </c>
      <c r="U1158" s="80" t="n">
        <f aca="false">SUM(S1158:T1158)</f>
        <v>55000</v>
      </c>
      <c r="V1158" s="84" t="s">
        <v>7</v>
      </c>
      <c r="W1158" s="80" t="str">
        <f aca="true">
IF(D1158="폐업","폐업",
IF(V1158="면제","면제",
IF(AND(V1158="정상",COUNTIFS(OFFSET(Y1158,0,COUNTA(Y1158:AV1158)-1,1,-4),"미납")&gt;=3),"장기미납",
IF(AND(V1158="정상",OFFSET(Y1158,0,COUNTA(Y1158:AV1158)-1)&gt;=U1158),"정상",
IF(AND(V1158="정상",OFFSET(Y1158,0,COUNTA(Y1158:AV1158)-1)=0),"정상",
"계약서 미작성")))))</f>
        <v>면제</v>
      </c>
      <c r="X1158" s="81" t="str">
        <f aca="true">
IF(D1158="폐업","폐업",
IF(AND(V1158="정상",OFFSET(Y1158,0,COUNTA(Y1158:AV1158)-1)="미납"),"미납",
IF(AND(V1158="정상",OFFSET(Y1158,0,COUNTA(Y1158:AV1158)-1)=0),"납부 시작 전",
IF(AND(V1158="정상",OFFSET(Y1158,0,COUNTA(Y1158:AV1158)-1)&gt;=U1158),"정상",
IF(AND(V1158="면제",OFFSET(Y1158,0,COUNTA(Y1158:AV1158)-1)="면제"),"면제",
IF(AND(V1158="면제",OFFSET(Y1158,0,COUNTA(Y1158:AV1158)-1)=0),"면제",
"확인요청"))))))</f>
        <v>면제</v>
      </c>
      <c r="Y1158" s="94" t="s">
        <v>7</v>
      </c>
      <c r="Z1158" s="95" t="s">
        <v>7</v>
      </c>
      <c r="AA1158" s="95" t="s">
        <v>7</v>
      </c>
      <c r="AB1158" s="95" t="s">
        <v>7</v>
      </c>
      <c r="AC1158" s="95" t="s">
        <v>7</v>
      </c>
      <c r="AD1158" s="95" t="s">
        <v>7</v>
      </c>
      <c r="AE1158" s="95" t="s">
        <v>7</v>
      </c>
      <c r="AF1158" s="95" t="s">
        <v>7</v>
      </c>
      <c r="AG1158" s="95" t="s">
        <v>7</v>
      </c>
      <c r="AH1158" s="95" t="s">
        <v>7</v>
      </c>
      <c r="AI1158" s="95" t="s">
        <v>7</v>
      </c>
      <c r="AJ1158" s="96" t="s">
        <v>7</v>
      </c>
      <c r="AK1158" s="97" t="s">
        <v>7</v>
      </c>
      <c r="AL1158" s="95" t="s">
        <v>7</v>
      </c>
      <c r="AM1158" s="90"/>
      <c r="AN1158" s="90"/>
      <c r="AO1158" s="90"/>
      <c r="AP1158" s="90"/>
      <c r="AQ1158" s="90"/>
      <c r="AR1158" s="90"/>
      <c r="AS1158" s="90"/>
      <c r="AT1158" s="90"/>
      <c r="AU1158" s="90"/>
      <c r="AV1158" s="91"/>
      <c r="AX1158" s="92"/>
    </row>
    <row r="1159" customFormat="false" ht="15.65" hidden="false" customHeight="false" outlineLevel="0" collapsed="false">
      <c r="C1159" s="72" t="n">
        <f aca="false">COUNTIFS($D$6:D1159,"&lt;&gt;"&amp;"")</f>
        <v>1154</v>
      </c>
      <c r="D1159" s="73" t="s">
        <v>12</v>
      </c>
      <c r="E1159" s="76" t="str">
        <f aca="false">
IF($D1159="정상",INDEX(임대자산!$D$3:$R$3000,MATCH($F1159,임대자산!$I$3:$I$3000,0),MATCH(E$3,임대자산!$D$3:$R$3,0)),
IF($D1159="폐업",INDEX(폐업정보!$D$3:$R$3000,MATCH($F1159,폐업정보!$I$3:$I$3000,0),MATCH(E$3,폐업정보!$D$3:$R$3,0)),
"Error"))</f>
        <v>강원</v>
      </c>
      <c r="F115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B1154</v>
      </c>
      <c r="G1159" s="76" t="str">
        <f aca="false">F1159&amp;RANDBETWEEN(0,10)</f>
        <v>B11543</v>
      </c>
      <c r="H1159" s="75" t="n">
        <f aca="false">
IF($D1159="정상",INDEX(임대자산!$D$3:$R$3000,MATCH($F1159,임대자산!$I$3:$I$3000,0),MATCH(H$4,임대자산!$D$3:$R$3,0)),
IF($D1159="폐업",INDEX(폐업정보!$D$3:$R$3000,MATCH($F1159,폐업정보!$I$3:$I$3000,0),MATCH(H$4,폐업정보!$D$3:$R$3,0)),
"Error"))</f>
        <v>45492</v>
      </c>
      <c r="I1159" s="75" t="str">
        <f aca="false">
IF($D1159="정상",INDEX(임대자산!$D$3:$R$3000,MATCH($F1159,임대자산!$I$3:$I$3000,0),MATCH(I$4,임대자산!$D$3:$R$3,0)),
IF($D1159="폐업",INDEX(폐업정보!$D$3:$R$3000,MATCH($F1159,폐업정보!$I$3:$I$3000,0),MATCH(I$4,폐업정보!$D$3:$R$3,0)),
"Error"))</f>
        <v>A1154</v>
      </c>
      <c r="J1159" s="75" t="str">
        <f aca="false">
IF($D1159="정상",INDEX(임대자산!$D$3:$R$3000,MATCH($F1159,임대자산!$I$3:$I$3000,0),MATCH(J$4,임대자산!$D$3:$R$3,0)),
IF($D1159="폐업",INDEX(폐업정보!$D$3:$R$3000,MATCH($F1159,폐업정보!$I$3:$I$3000,0),MATCH(J$4,폐업정보!$D$3:$R$3,0)),
"Error"))</f>
        <v>7123500000</v>
      </c>
      <c r="K1159" s="75" t="str">
        <f aca="false">
IF($D1159="정상",INDEX(임대자산!$D$3:$R$3000,MATCH($F1159,임대자산!$I$3:$I$3000,0),MATCH(K$4,임대자산!$D$3:$R$3,0)),
IF($D1159="폐업",INDEX(폐업정보!$D$3:$R$3000,MATCH($F1159,폐업정보!$I$3:$I$3000,0),MATCH(K$4,폐업정보!$D$3:$R$3,0)),
"Error"))</f>
        <v>C1154</v>
      </c>
      <c r="L1159" s="75" t="str">
        <f aca="false">
IF($D1159="정상",INDEX(임대자산!$D$3:$R$3000,MATCH($F1159,임대자산!$I$3:$I$3000,0),MATCH(L$4,임대자산!$D$3:$R$3,0)),
IF($D1159="폐업",INDEX(폐업정보!$D$3:$R$3000,MATCH($F1159,폐업정보!$I$3:$I$3000,0),MATCH(L$4,폐업정보!$D$3:$R$3,0)),
"Error"))</f>
        <v>D1154</v>
      </c>
      <c r="M1159" s="76" t="s">
        <v>96</v>
      </c>
      <c r="N1159" s="77"/>
      <c r="O1159" s="78" t="s">
        <v>97</v>
      </c>
      <c r="P1159" s="79" t="n">
        <f aca="false">COUNTIFS(임대자산!$I:$I,가맹점정보!F1159,임대자산!$N:$N,가맹점정보!P$4)</f>
        <v>0</v>
      </c>
      <c r="Q1159" s="80" t="n">
        <f aca="false">COUNTIFS(임대자산!$I:$I,가맹점정보!F1159,임대자산!$N:$N,가맹점정보!Q$4)</f>
        <v>0</v>
      </c>
      <c r="R1159" s="81" t="n">
        <f aca="false">COUNTIFS(임대자산!$I:$I,가맹점정보!F1159,임대자산!$N:$N,가맹점정보!R$4)</f>
        <v>1</v>
      </c>
      <c r="S1159" s="82" t="n">
        <v>44000</v>
      </c>
      <c r="T1159" s="83" t="n">
        <v>44000</v>
      </c>
      <c r="U1159" s="80" t="n">
        <f aca="false">SUM(S1159:T1159)</f>
        <v>88000</v>
      </c>
      <c r="V1159" s="84" t="s">
        <v>12</v>
      </c>
      <c r="W1159" s="80" t="e">
        <f aca="true">
IF(D1159="폐업","폐업",
IF(V1159="면제","면제",
IF(AND(V1159="정상",COUNTIFS(OFFSET(Y1159,0,COUNTA(Y1159:AV1159)-1,1,-4),"미납")&gt;=3),"장기미납",
IF(AND(V1159="정상",OFFSET(Y1159,0,COUNTA(Y1159:AV1159)-1)&gt;=U1159),"정상",
IF(AND(V1159="정상",OFFSET(Y1159,0,COUNTA(Y1159:AV1159)-1)=0),"정상",
"계약서 미작성")))))</f>
        <v>#VALUE!</v>
      </c>
      <c r="X1159" s="81" t="str">
        <f aca="true">
IF(D1159="폐업","폐업",
IF(AND(V1159="정상",OFFSET(Y1159,0,COUNTA(Y1159:AV1159)-1)="미납"),"미납",
IF(AND(V1159="정상",OFFSET(Y1159,0,COUNTA(Y1159:AV1159)-1)=0),"납부 시작 전",
IF(AND(V1159="정상",OFFSET(Y1159,0,COUNTA(Y1159:AV1159)-1)&gt;=U1159),"정상",
IF(AND(V1159="면제",OFFSET(Y1159,0,COUNTA(Y1159:AV1159)-1)="면제"),"면제",
IF(AND(V1159="면제",OFFSET(Y1159,0,COUNTA(Y1159:AV1159)-1)=0),"면제",
"확인요청"))))))</f>
        <v>정상</v>
      </c>
      <c r="Y1159" s="93" t="n">
        <v>88000</v>
      </c>
      <c r="Z1159" s="90" t="n">
        <v>88000</v>
      </c>
      <c r="AA1159" s="90" t="n">
        <v>88000</v>
      </c>
      <c r="AB1159" s="90" t="n">
        <v>88000</v>
      </c>
      <c r="AC1159" s="90" t="n">
        <v>88000</v>
      </c>
      <c r="AD1159" s="90" t="n">
        <v>88000</v>
      </c>
      <c r="AE1159" s="90" t="n">
        <v>88000</v>
      </c>
      <c r="AF1159" s="90" t="n">
        <v>88000</v>
      </c>
      <c r="AG1159" s="90" t="n">
        <v>88000</v>
      </c>
      <c r="AH1159" s="90" t="n">
        <v>88000</v>
      </c>
      <c r="AI1159" s="90" t="n">
        <v>88000</v>
      </c>
      <c r="AJ1159" s="91" t="n">
        <v>88000</v>
      </c>
      <c r="AK1159" s="89" t="n">
        <v>88000</v>
      </c>
      <c r="AL1159" s="90" t="n">
        <v>88000</v>
      </c>
      <c r="AM1159" s="90"/>
      <c r="AN1159" s="90"/>
      <c r="AO1159" s="90"/>
      <c r="AP1159" s="90"/>
      <c r="AQ1159" s="90"/>
      <c r="AR1159" s="90"/>
      <c r="AS1159" s="90"/>
      <c r="AT1159" s="90"/>
      <c r="AU1159" s="90"/>
      <c r="AV1159" s="91"/>
      <c r="AX1159" s="92"/>
    </row>
    <row r="1160" customFormat="false" ht="15.65" hidden="false" customHeight="false" outlineLevel="0" collapsed="false">
      <c r="C1160" s="72" t="n">
        <f aca="false">COUNTIFS($D$6:D1160,"&lt;&gt;"&amp;"")</f>
        <v>1155</v>
      </c>
      <c r="D1160" s="73" t="s">
        <v>12</v>
      </c>
      <c r="E1160" s="76" t="str">
        <f aca="false">
IF($D1160="정상",INDEX(임대자산!$D$3:$R$3000,MATCH($F1160,임대자산!$I$3:$I$3000,0),MATCH(E$3,임대자산!$D$3:$R$3,0)),
IF($D1160="폐업",INDEX(폐업정보!$D$3:$R$3000,MATCH($F1160,폐업정보!$I$3:$I$3000,0),MATCH(E$3,폐업정보!$D$3:$R$3,0)),
"Error"))</f>
        <v>경기</v>
      </c>
      <c r="F116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B1155</v>
      </c>
      <c r="G1160" s="76" t="str">
        <f aca="false">F1160&amp;RANDBETWEEN(0,10)</f>
        <v>B11554</v>
      </c>
      <c r="H1160" s="75" t="n">
        <f aca="false">
IF($D1160="정상",INDEX(임대자산!$D$3:$R$3000,MATCH($F1160,임대자산!$I$3:$I$3000,0),MATCH(H$4,임대자산!$D$3:$R$3,0)),
IF($D1160="폐업",INDEX(폐업정보!$D$3:$R$3000,MATCH($F1160,폐업정보!$I$3:$I$3000,0),MATCH(H$4,폐업정보!$D$3:$R$3,0)),
"Error"))</f>
        <v>45237</v>
      </c>
      <c r="I1160" s="75" t="str">
        <f aca="false">
IF($D1160="정상",INDEX(임대자산!$D$3:$R$3000,MATCH($F1160,임대자산!$I$3:$I$3000,0),MATCH(I$4,임대자산!$D$3:$R$3,0)),
IF($D1160="폐업",INDEX(폐업정보!$D$3:$R$3000,MATCH($F1160,폐업정보!$I$3:$I$3000,0),MATCH(I$4,폐업정보!$D$3:$R$3,0)),
"Error"))</f>
        <v>A1155</v>
      </c>
      <c r="J1160" s="75" t="str">
        <f aca="false">
IF($D1160="정상",INDEX(임대자산!$D$3:$R$3000,MATCH($F1160,임대자산!$I$3:$I$3000,0),MATCH(J$4,임대자산!$D$3:$R$3,0)),
IF($D1160="폐업",INDEX(폐업정보!$D$3:$R$3000,MATCH($F1160,폐업정보!$I$3:$I$3000,0),MATCH(J$4,폐업정보!$D$3:$R$3,0)),
"Error"))</f>
        <v>4267100000</v>
      </c>
      <c r="K1160" s="75" t="str">
        <f aca="false">
IF($D1160="정상",INDEX(임대자산!$D$3:$R$3000,MATCH($F1160,임대자산!$I$3:$I$3000,0),MATCH(K$4,임대자산!$D$3:$R$3,0)),
IF($D1160="폐업",INDEX(폐업정보!$D$3:$R$3000,MATCH($F1160,폐업정보!$I$3:$I$3000,0),MATCH(K$4,폐업정보!$D$3:$R$3,0)),
"Error"))</f>
        <v>C1155</v>
      </c>
      <c r="L1160" s="75" t="str">
        <f aca="false">
IF($D1160="정상",INDEX(임대자산!$D$3:$R$3000,MATCH($F1160,임대자산!$I$3:$I$3000,0),MATCH(L$4,임대자산!$D$3:$R$3,0)),
IF($D1160="폐업",INDEX(폐업정보!$D$3:$R$3000,MATCH($F1160,폐업정보!$I$3:$I$3000,0),MATCH(L$4,폐업정보!$D$3:$R$3,0)),
"Error"))</f>
        <v>D1155</v>
      </c>
      <c r="M1160" s="76" t="s">
        <v>96</v>
      </c>
      <c r="N1160" s="77"/>
      <c r="O1160" s="78" t="s">
        <v>97</v>
      </c>
      <c r="P1160" s="79" t="n">
        <f aca="false">COUNTIFS(임대자산!$I:$I,가맹점정보!F1160,임대자산!$N:$N,가맹점정보!P$4)</f>
        <v>0</v>
      </c>
      <c r="Q1160" s="80" t="n">
        <f aca="false">COUNTIFS(임대자산!$I:$I,가맹점정보!F1160,임대자산!$N:$N,가맹점정보!Q$4)</f>
        <v>0</v>
      </c>
      <c r="R1160" s="81" t="n">
        <f aca="false">COUNTIFS(임대자산!$I:$I,가맹점정보!F1160,임대자산!$N:$N,가맹점정보!R$4)</f>
        <v>1</v>
      </c>
      <c r="S1160" s="82" t="n">
        <v>55000</v>
      </c>
      <c r="T1160" s="83" t="n">
        <v>0</v>
      </c>
      <c r="U1160" s="80" t="n">
        <f aca="false">SUM(S1160:T1160)</f>
        <v>55000</v>
      </c>
      <c r="V1160" s="84" t="s">
        <v>12</v>
      </c>
      <c r="W1160" s="80" t="e">
        <f aca="true">
IF(D1160="폐업","폐업",
IF(V1160="면제","면제",
IF(AND(V1160="정상",COUNTIFS(OFFSET(Y1160,0,COUNTA(Y1160:AV1160)-1,1,-4),"미납")&gt;=3),"장기미납",
IF(AND(V1160="정상",OFFSET(Y1160,0,COUNTA(Y1160:AV1160)-1)&gt;=U1160),"정상",
IF(AND(V1160="정상",OFFSET(Y1160,0,COUNTA(Y1160:AV1160)-1)=0),"정상",
"계약서 미작성")))))</f>
        <v>#VALUE!</v>
      </c>
      <c r="X1160" s="81" t="str">
        <f aca="true">
IF(D1160="폐업","폐업",
IF(AND(V1160="정상",OFFSET(Y1160,0,COUNTA(Y1160:AV1160)-1)="미납"),"미납",
IF(AND(V1160="정상",OFFSET(Y1160,0,COUNTA(Y1160:AV1160)-1)=0),"납부 시작 전",
IF(AND(V1160="정상",OFFSET(Y1160,0,COUNTA(Y1160:AV1160)-1)&gt;=U1160),"정상",
IF(AND(V1160="면제",OFFSET(Y1160,0,COUNTA(Y1160:AV1160)-1)="면제"),"면제",
IF(AND(V1160="면제",OFFSET(Y1160,0,COUNTA(Y1160:AV1160)-1)=0),"면제",
"확인요청"))))))</f>
        <v>정상</v>
      </c>
      <c r="Y1160" s="93" t="n">
        <v>55000</v>
      </c>
      <c r="Z1160" s="90" t="n">
        <v>55000</v>
      </c>
      <c r="AA1160" s="90" t="n">
        <v>55000</v>
      </c>
      <c r="AB1160" s="90" t="n">
        <v>55000</v>
      </c>
      <c r="AC1160" s="90" t="n">
        <v>55000</v>
      </c>
      <c r="AD1160" s="90" t="n">
        <v>55000</v>
      </c>
      <c r="AE1160" s="90" t="n">
        <v>55000</v>
      </c>
      <c r="AF1160" s="90" t="n">
        <v>55000</v>
      </c>
      <c r="AG1160" s="90" t="n">
        <v>55000</v>
      </c>
      <c r="AH1160" s="90" t="n">
        <v>55000</v>
      </c>
      <c r="AI1160" s="90" t="n">
        <v>55000</v>
      </c>
      <c r="AJ1160" s="91" t="n">
        <v>55000</v>
      </c>
      <c r="AK1160" s="89" t="n">
        <v>55000</v>
      </c>
      <c r="AL1160" s="90" t="n">
        <v>55000</v>
      </c>
      <c r="AM1160" s="90"/>
      <c r="AN1160" s="90"/>
      <c r="AO1160" s="90"/>
      <c r="AP1160" s="90"/>
      <c r="AQ1160" s="90"/>
      <c r="AR1160" s="90"/>
      <c r="AS1160" s="90"/>
      <c r="AT1160" s="90"/>
      <c r="AU1160" s="90"/>
      <c r="AV1160" s="91"/>
      <c r="AX1160" s="92"/>
    </row>
    <row r="1161" customFormat="false" ht="15.65" hidden="false" customHeight="false" outlineLevel="0" collapsed="false">
      <c r="C1161" s="72" t="n">
        <f aca="false">COUNTIFS($D$6:D1161,"&lt;&gt;"&amp;"")</f>
        <v>1156</v>
      </c>
      <c r="D1161" s="73" t="s">
        <v>12</v>
      </c>
      <c r="E1161" s="76" t="str">
        <f aca="false">
IF($D1161="정상",INDEX(임대자산!$D$3:$R$3000,MATCH($F1161,임대자산!$I$3:$I$3000,0),MATCH(E$3,임대자산!$D$3:$R$3,0)),
IF($D1161="폐업",INDEX(폐업정보!$D$3:$R$3000,MATCH($F1161,폐업정보!$I$3:$I$3000,0),MATCH(E$3,폐업정보!$D$3:$R$3,0)),
"Error"))</f>
        <v>강원</v>
      </c>
      <c r="F116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B1156</v>
      </c>
      <c r="G1161" s="76" t="str">
        <f aca="false">F1161&amp;RANDBETWEEN(0,10)</f>
        <v>B11562</v>
      </c>
      <c r="H1161" s="75" t="n">
        <f aca="false">
IF($D1161="정상",INDEX(임대자산!$D$3:$R$3000,MATCH($F1161,임대자산!$I$3:$I$3000,0),MATCH(H$4,임대자산!$D$3:$R$3,0)),
IF($D1161="폐업",INDEX(폐업정보!$D$3:$R$3000,MATCH($F1161,폐업정보!$I$3:$I$3000,0),MATCH(H$4,폐업정보!$D$3:$R$3,0)),
"Error"))</f>
        <v>44834</v>
      </c>
      <c r="I1161" s="75" t="str">
        <f aca="false">
IF($D1161="정상",INDEX(임대자산!$D$3:$R$3000,MATCH($F1161,임대자산!$I$3:$I$3000,0),MATCH(I$4,임대자산!$D$3:$R$3,0)),
IF($D1161="폐업",INDEX(폐업정보!$D$3:$R$3000,MATCH($F1161,폐업정보!$I$3:$I$3000,0),MATCH(I$4,폐업정보!$D$3:$R$3,0)),
"Error"))</f>
        <v>A1156</v>
      </c>
      <c r="J1161" s="75" t="str">
        <f aca="false">
IF($D1161="정상",INDEX(임대자산!$D$3:$R$3000,MATCH($F1161,임대자산!$I$3:$I$3000,0),MATCH(J$4,임대자산!$D$3:$R$3,0)),
IF($D1161="폐업",INDEX(폐업정보!$D$3:$R$3000,MATCH($F1161,폐업정보!$I$3:$I$3000,0),MATCH(J$4,폐업정보!$D$3:$R$3,0)),
"Error"))</f>
        <v>8162800000</v>
      </c>
      <c r="K1161" s="75" t="str">
        <f aca="false">
IF($D1161="정상",INDEX(임대자산!$D$3:$R$3000,MATCH($F1161,임대자산!$I$3:$I$3000,0),MATCH(K$4,임대자산!$D$3:$R$3,0)),
IF($D1161="폐업",INDEX(폐업정보!$D$3:$R$3000,MATCH($F1161,폐업정보!$I$3:$I$3000,0),MATCH(K$4,폐업정보!$D$3:$R$3,0)),
"Error"))</f>
        <v>C1156</v>
      </c>
      <c r="L1161" s="75" t="str">
        <f aca="false">
IF($D1161="정상",INDEX(임대자산!$D$3:$R$3000,MATCH($F1161,임대자산!$I$3:$I$3000,0),MATCH(L$4,임대자산!$D$3:$R$3,0)),
IF($D1161="폐업",INDEX(폐업정보!$D$3:$R$3000,MATCH($F1161,폐업정보!$I$3:$I$3000,0),MATCH(L$4,폐업정보!$D$3:$R$3,0)),
"Error"))</f>
        <v>D1156</v>
      </c>
      <c r="M1161" s="76" t="s">
        <v>96</v>
      </c>
      <c r="N1161" s="77"/>
      <c r="O1161" s="78" t="s">
        <v>97</v>
      </c>
      <c r="P1161" s="79" t="n">
        <f aca="false">COUNTIFS(임대자산!$I:$I,가맹점정보!F1161,임대자산!$N:$N,가맹점정보!P$4)</f>
        <v>0</v>
      </c>
      <c r="Q1161" s="80" t="n">
        <f aca="false">COUNTIFS(임대자산!$I:$I,가맹점정보!F1161,임대자산!$N:$N,가맹점정보!Q$4)</f>
        <v>0</v>
      </c>
      <c r="R1161" s="81" t="n">
        <f aca="false">COUNTIFS(임대자산!$I:$I,가맹점정보!F1161,임대자산!$N:$N,가맹점정보!R$4)</f>
        <v>1</v>
      </c>
      <c r="S1161" s="82" t="n">
        <v>44000</v>
      </c>
      <c r="T1161" s="83" t="n">
        <v>44000</v>
      </c>
      <c r="U1161" s="80" t="n">
        <f aca="false">SUM(S1161:T1161)</f>
        <v>88000</v>
      </c>
      <c r="V1161" s="84" t="s">
        <v>7</v>
      </c>
      <c r="W1161" s="80" t="str">
        <f aca="true">
IF(D1161="폐업","폐업",
IF(V1161="면제","면제",
IF(AND(V1161="정상",COUNTIFS(OFFSET(Y1161,0,COUNTA(Y1161:AV1161)-1,1,-4),"미납")&gt;=3),"장기미납",
IF(AND(V1161="정상",OFFSET(Y1161,0,COUNTA(Y1161:AV1161)-1)&gt;=U1161),"정상",
IF(AND(V1161="정상",OFFSET(Y1161,0,COUNTA(Y1161:AV1161)-1)=0),"정상",
"계약서 미작성")))))</f>
        <v>면제</v>
      </c>
      <c r="X1161" s="81" t="str">
        <f aca="true">
IF(D1161="폐업","폐업",
IF(AND(V1161="정상",OFFSET(Y1161,0,COUNTA(Y1161:AV1161)-1)="미납"),"미납",
IF(AND(V1161="정상",OFFSET(Y1161,0,COUNTA(Y1161:AV1161)-1)=0),"납부 시작 전",
IF(AND(V1161="정상",OFFSET(Y1161,0,COUNTA(Y1161:AV1161)-1)&gt;=U1161),"정상",
IF(AND(V1161="면제",OFFSET(Y1161,0,COUNTA(Y1161:AV1161)-1)="면제"),"면제",
IF(AND(V1161="면제",OFFSET(Y1161,0,COUNTA(Y1161:AV1161)-1)=0),"면제",
"확인요청"))))))</f>
        <v>면제</v>
      </c>
      <c r="Y1161" s="93" t="n">
        <v>88000</v>
      </c>
      <c r="Z1161" s="90" t="n">
        <v>88000</v>
      </c>
      <c r="AA1161" s="90" t="n">
        <v>88000</v>
      </c>
      <c r="AB1161" s="90" t="n">
        <v>88000</v>
      </c>
      <c r="AC1161" s="90" t="n">
        <v>88000</v>
      </c>
      <c r="AD1161" s="90" t="n">
        <v>88000</v>
      </c>
      <c r="AE1161" s="90" t="n">
        <v>88000</v>
      </c>
      <c r="AF1161" s="90" t="n">
        <v>88000</v>
      </c>
      <c r="AG1161" s="90" t="n">
        <v>88000</v>
      </c>
      <c r="AH1161" s="90" t="n">
        <v>88000</v>
      </c>
      <c r="AI1161" s="90" t="n">
        <v>88000</v>
      </c>
      <c r="AJ1161" s="91" t="n">
        <v>88000</v>
      </c>
      <c r="AK1161" s="89" t="n">
        <v>88000</v>
      </c>
      <c r="AL1161" s="95" t="s">
        <v>7</v>
      </c>
      <c r="AM1161" s="90"/>
      <c r="AN1161" s="90"/>
      <c r="AO1161" s="90"/>
      <c r="AP1161" s="90"/>
      <c r="AQ1161" s="90"/>
      <c r="AR1161" s="90"/>
      <c r="AS1161" s="90"/>
      <c r="AT1161" s="90"/>
      <c r="AU1161" s="90"/>
      <c r="AV1161" s="91"/>
      <c r="AX1161" s="92"/>
    </row>
    <row r="1162" customFormat="false" ht="15.65" hidden="false" customHeight="false" outlineLevel="0" collapsed="false">
      <c r="C1162" s="72" t="n">
        <f aca="false">COUNTIFS($D$6:D1162,"&lt;&gt;"&amp;"")</f>
        <v>1157</v>
      </c>
      <c r="D1162" s="73" t="s">
        <v>12</v>
      </c>
      <c r="E1162" s="76" t="str">
        <f aca="false">
IF($D1162="정상",INDEX(임대자산!$D$3:$R$3000,MATCH($F1162,임대자산!$I$3:$I$3000,0),MATCH(E$3,임대자산!$D$3:$R$3,0)),
IF($D1162="폐업",INDEX(폐업정보!$D$3:$R$3000,MATCH($F1162,폐업정보!$I$3:$I$3000,0),MATCH(E$3,폐업정보!$D$3:$R$3,0)),
"Error"))</f>
        <v>강원</v>
      </c>
      <c r="F116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B1157</v>
      </c>
      <c r="G1162" s="76" t="str">
        <f aca="false">F1162&amp;RANDBETWEEN(0,10)</f>
        <v>B11574</v>
      </c>
      <c r="H1162" s="75" t="n">
        <f aca="false">
IF($D1162="정상",INDEX(임대자산!$D$3:$R$3000,MATCH($F1162,임대자산!$I$3:$I$3000,0),MATCH(H$4,임대자산!$D$3:$R$3,0)),
IF($D1162="폐업",INDEX(폐업정보!$D$3:$R$3000,MATCH($F1162,폐업정보!$I$3:$I$3000,0),MATCH(H$4,폐업정보!$D$3:$R$3,0)),
"Error"))</f>
        <v>44804</v>
      </c>
      <c r="I1162" s="75" t="str">
        <f aca="false">
IF($D1162="정상",INDEX(임대자산!$D$3:$R$3000,MATCH($F1162,임대자산!$I$3:$I$3000,0),MATCH(I$4,임대자산!$D$3:$R$3,0)),
IF($D1162="폐업",INDEX(폐업정보!$D$3:$R$3000,MATCH($F1162,폐업정보!$I$3:$I$3000,0),MATCH(I$4,폐업정보!$D$3:$R$3,0)),
"Error"))</f>
        <v>A1157</v>
      </c>
      <c r="J1162" s="75" t="str">
        <f aca="false">
IF($D1162="정상",INDEX(임대자산!$D$3:$R$3000,MATCH($F1162,임대자산!$I$3:$I$3000,0),MATCH(J$4,임대자산!$D$3:$R$3,0)),
IF($D1162="폐업",INDEX(폐업정보!$D$3:$R$3000,MATCH($F1162,폐업정보!$I$3:$I$3000,0),MATCH(J$4,폐업정보!$D$3:$R$3,0)),
"Error"))</f>
        <v>5365500000</v>
      </c>
      <c r="K1162" s="75" t="str">
        <f aca="false">
IF($D1162="정상",INDEX(임대자산!$D$3:$R$3000,MATCH($F1162,임대자산!$I$3:$I$3000,0),MATCH(K$4,임대자산!$D$3:$R$3,0)),
IF($D1162="폐업",INDEX(폐업정보!$D$3:$R$3000,MATCH($F1162,폐업정보!$I$3:$I$3000,0),MATCH(K$4,폐업정보!$D$3:$R$3,0)),
"Error"))</f>
        <v>C1157</v>
      </c>
      <c r="L1162" s="75" t="str">
        <f aca="false">
IF($D1162="정상",INDEX(임대자산!$D$3:$R$3000,MATCH($F1162,임대자산!$I$3:$I$3000,0),MATCH(L$4,임대자산!$D$3:$R$3,0)),
IF($D1162="폐업",INDEX(폐업정보!$D$3:$R$3000,MATCH($F1162,폐업정보!$I$3:$I$3000,0),MATCH(L$4,폐업정보!$D$3:$R$3,0)),
"Error"))</f>
        <v>D1157</v>
      </c>
      <c r="M1162" s="76" t="s">
        <v>96</v>
      </c>
      <c r="N1162" s="77"/>
      <c r="O1162" s="78" t="s">
        <v>97</v>
      </c>
      <c r="P1162" s="79" t="n">
        <f aca="false">COUNTIFS(임대자산!$I:$I,가맹점정보!F1162,임대자산!$N:$N,가맹점정보!P$4)</f>
        <v>0</v>
      </c>
      <c r="Q1162" s="80" t="n">
        <f aca="false">COUNTIFS(임대자산!$I:$I,가맹점정보!F1162,임대자산!$N:$N,가맹점정보!Q$4)</f>
        <v>0</v>
      </c>
      <c r="R1162" s="81" t="n">
        <f aca="false">COUNTIFS(임대자산!$I:$I,가맹점정보!F1162,임대자산!$N:$N,가맹점정보!R$4)</f>
        <v>1</v>
      </c>
      <c r="S1162" s="82" t="n">
        <v>55000</v>
      </c>
      <c r="T1162" s="83" t="n">
        <v>0</v>
      </c>
      <c r="U1162" s="80" t="n">
        <f aca="false">SUM(S1162:T1162)</f>
        <v>55000</v>
      </c>
      <c r="V1162" s="84" t="s">
        <v>7</v>
      </c>
      <c r="W1162" s="80" t="str">
        <f aca="true">
IF(D1162="폐업","폐업",
IF(V1162="면제","면제",
IF(AND(V1162="정상",COUNTIFS(OFFSET(Y1162,0,COUNTA(Y1162:AV1162)-1,1,-4),"미납")&gt;=3),"장기미납",
IF(AND(V1162="정상",OFFSET(Y1162,0,COUNTA(Y1162:AV1162)-1)&gt;=U1162),"정상",
IF(AND(V1162="정상",OFFSET(Y1162,0,COUNTA(Y1162:AV1162)-1)=0),"정상",
"계약서 미작성")))))</f>
        <v>면제</v>
      </c>
      <c r="X1162" s="81" t="str">
        <f aca="true">
IF(D1162="폐업","폐업",
IF(AND(V1162="정상",OFFSET(Y1162,0,COUNTA(Y1162:AV1162)-1)="미납"),"미납",
IF(AND(V1162="정상",OFFSET(Y1162,0,COUNTA(Y1162:AV1162)-1)=0),"납부 시작 전",
IF(AND(V1162="정상",OFFSET(Y1162,0,COUNTA(Y1162:AV1162)-1)&gt;=U1162),"정상",
IF(AND(V1162="면제",OFFSET(Y1162,0,COUNTA(Y1162:AV1162)-1)="면제"),"면제",
IF(AND(V1162="면제",OFFSET(Y1162,0,COUNTA(Y1162:AV1162)-1)=0),"면제",
"확인요청"))))))</f>
        <v>면제</v>
      </c>
      <c r="Y1162" s="94" t="s">
        <v>7</v>
      </c>
      <c r="Z1162" s="95" t="s">
        <v>7</v>
      </c>
      <c r="AA1162" s="95" t="s">
        <v>7</v>
      </c>
      <c r="AB1162" s="95" t="s">
        <v>7</v>
      </c>
      <c r="AC1162" s="95" t="s">
        <v>7</v>
      </c>
      <c r="AD1162" s="95" t="s">
        <v>7</v>
      </c>
      <c r="AE1162" s="95" t="s">
        <v>7</v>
      </c>
      <c r="AF1162" s="95" t="s">
        <v>7</v>
      </c>
      <c r="AG1162" s="95" t="s">
        <v>7</v>
      </c>
      <c r="AH1162" s="95" t="s">
        <v>7</v>
      </c>
      <c r="AI1162" s="95" t="s">
        <v>7</v>
      </c>
      <c r="AJ1162" s="96" t="s">
        <v>7</v>
      </c>
      <c r="AK1162" s="97" t="s">
        <v>7</v>
      </c>
      <c r="AL1162" s="95" t="s">
        <v>7</v>
      </c>
      <c r="AM1162" s="90"/>
      <c r="AN1162" s="90"/>
      <c r="AO1162" s="90"/>
      <c r="AP1162" s="90"/>
      <c r="AQ1162" s="90"/>
      <c r="AR1162" s="90"/>
      <c r="AS1162" s="90"/>
      <c r="AT1162" s="90"/>
      <c r="AU1162" s="90"/>
      <c r="AV1162" s="91"/>
      <c r="AX1162" s="92"/>
    </row>
    <row r="1163" customFormat="false" ht="15.65" hidden="false" customHeight="false" outlineLevel="0" collapsed="false">
      <c r="C1163" s="72" t="n">
        <f aca="false">COUNTIFS($D$6:D1163,"&lt;&gt;"&amp;"")</f>
        <v>1158</v>
      </c>
      <c r="D1163" s="73" t="s">
        <v>12</v>
      </c>
      <c r="E1163" s="76" t="str">
        <f aca="false">
IF($D1163="정상",INDEX(임대자산!$D$3:$R$3000,MATCH($F1163,임대자산!$I$3:$I$3000,0),MATCH(E$3,임대자산!$D$3:$R$3,0)),
IF($D1163="폐업",INDEX(폐업정보!$D$3:$R$3000,MATCH($F1163,폐업정보!$I$3:$I$3000,0),MATCH(E$3,폐업정보!$D$3:$R$3,0)),
"Error"))</f>
        <v>경기</v>
      </c>
      <c r="F116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B1158</v>
      </c>
      <c r="G1163" s="76" t="str">
        <f aca="false">F1163&amp;RANDBETWEEN(0,10)</f>
        <v>B11580</v>
      </c>
      <c r="H1163" s="75" t="n">
        <f aca="false">
IF($D1163="정상",INDEX(임대자산!$D$3:$R$3000,MATCH($F1163,임대자산!$I$3:$I$3000,0),MATCH(H$4,임대자산!$D$3:$R$3,0)),
IF($D1163="폐업",INDEX(폐업정보!$D$3:$R$3000,MATCH($F1163,폐업정보!$I$3:$I$3000,0),MATCH(H$4,폐업정보!$D$3:$R$3,0)),
"Error"))</f>
        <v>44845</v>
      </c>
      <c r="I1163" s="75" t="str">
        <f aca="false">
IF($D1163="정상",INDEX(임대자산!$D$3:$R$3000,MATCH($F1163,임대자산!$I$3:$I$3000,0),MATCH(I$4,임대자산!$D$3:$R$3,0)),
IF($D1163="폐업",INDEX(폐업정보!$D$3:$R$3000,MATCH($F1163,폐업정보!$I$3:$I$3000,0),MATCH(I$4,폐업정보!$D$3:$R$3,0)),
"Error"))</f>
        <v>A1158</v>
      </c>
      <c r="J1163" s="75" t="str">
        <f aca="false">
IF($D1163="정상",INDEX(임대자산!$D$3:$R$3000,MATCH($F1163,임대자산!$I$3:$I$3000,0),MATCH(J$4,임대자산!$D$3:$R$3,0)),
IF($D1163="폐업",INDEX(폐업정보!$D$3:$R$3000,MATCH($F1163,폐업정보!$I$3:$I$3000,0),MATCH(J$4,폐업정보!$D$3:$R$3,0)),
"Error"))</f>
        <v>7722500000</v>
      </c>
      <c r="K1163" s="75" t="str">
        <f aca="false">
IF($D1163="정상",INDEX(임대자산!$D$3:$R$3000,MATCH($F1163,임대자산!$I$3:$I$3000,0),MATCH(K$4,임대자산!$D$3:$R$3,0)),
IF($D1163="폐업",INDEX(폐업정보!$D$3:$R$3000,MATCH($F1163,폐업정보!$I$3:$I$3000,0),MATCH(K$4,폐업정보!$D$3:$R$3,0)),
"Error"))</f>
        <v>C1158</v>
      </c>
      <c r="L1163" s="75" t="str">
        <f aca="false">
IF($D1163="정상",INDEX(임대자산!$D$3:$R$3000,MATCH($F1163,임대자산!$I$3:$I$3000,0),MATCH(L$4,임대자산!$D$3:$R$3,0)),
IF($D1163="폐업",INDEX(폐업정보!$D$3:$R$3000,MATCH($F1163,폐업정보!$I$3:$I$3000,0),MATCH(L$4,폐업정보!$D$3:$R$3,0)),
"Error"))</f>
        <v>D1158</v>
      </c>
      <c r="M1163" s="76" t="s">
        <v>96</v>
      </c>
      <c r="N1163" s="77"/>
      <c r="O1163" s="78" t="s">
        <v>97</v>
      </c>
      <c r="P1163" s="79" t="n">
        <f aca="false">COUNTIFS(임대자산!$I:$I,가맹점정보!F1163,임대자산!$N:$N,가맹점정보!P$4)</f>
        <v>0</v>
      </c>
      <c r="Q1163" s="80" t="n">
        <f aca="false">COUNTIFS(임대자산!$I:$I,가맹점정보!F1163,임대자산!$N:$N,가맹점정보!Q$4)</f>
        <v>0</v>
      </c>
      <c r="R1163" s="81" t="n">
        <f aca="false">COUNTIFS(임대자산!$I:$I,가맹점정보!F1163,임대자산!$N:$N,가맹점정보!R$4)</f>
        <v>1</v>
      </c>
      <c r="S1163" s="82" t="n">
        <v>55000</v>
      </c>
      <c r="T1163" s="83" t="n">
        <v>0</v>
      </c>
      <c r="U1163" s="80" t="n">
        <f aca="false">SUM(S1163:T1163)</f>
        <v>55000</v>
      </c>
      <c r="V1163" s="84" t="s">
        <v>12</v>
      </c>
      <c r="W1163" s="80" t="e">
        <f aca="true">
IF(D1163="폐업","폐업",
IF(V1163="면제","면제",
IF(AND(V1163="정상",COUNTIFS(OFFSET(Y1163,0,COUNTA(Y1163:AV1163)-1,1,-4),"미납")&gt;=3),"장기미납",
IF(AND(V1163="정상",OFFSET(Y1163,0,COUNTA(Y1163:AV1163)-1)&gt;=U1163),"정상",
IF(AND(V1163="정상",OFFSET(Y1163,0,COUNTA(Y1163:AV1163)-1)=0),"정상",
"계약서 미작성")))))</f>
        <v>#VALUE!</v>
      </c>
      <c r="X1163" s="81" t="str">
        <f aca="true">
IF(D1163="폐업","폐업",
IF(AND(V1163="정상",OFFSET(Y1163,0,COUNTA(Y1163:AV1163)-1)="미납"),"미납",
IF(AND(V1163="정상",OFFSET(Y1163,0,COUNTA(Y1163:AV1163)-1)=0),"납부 시작 전",
IF(AND(V1163="정상",OFFSET(Y1163,0,COUNTA(Y1163:AV1163)-1)&gt;=U1163),"정상",
IF(AND(V1163="면제",OFFSET(Y1163,0,COUNTA(Y1163:AV1163)-1)="면제"),"면제",
IF(AND(V1163="면제",OFFSET(Y1163,0,COUNTA(Y1163:AV1163)-1)=0),"면제",
"확인요청"))))))</f>
        <v>정상</v>
      </c>
      <c r="Y1163" s="93" t="s">
        <v>99</v>
      </c>
      <c r="Z1163" s="90" t="n">
        <v>110000</v>
      </c>
      <c r="AA1163" s="90" t="n">
        <v>55000</v>
      </c>
      <c r="AB1163" s="90" t="n">
        <v>55000</v>
      </c>
      <c r="AC1163" s="90" t="n">
        <v>55000</v>
      </c>
      <c r="AD1163" s="90" t="n">
        <v>55000</v>
      </c>
      <c r="AE1163" s="90" t="n">
        <v>55000</v>
      </c>
      <c r="AF1163" s="90" t="n">
        <v>55000</v>
      </c>
      <c r="AG1163" s="90" t="n">
        <v>55000</v>
      </c>
      <c r="AH1163" s="90" t="n">
        <v>55000</v>
      </c>
      <c r="AI1163" s="90" t="n">
        <v>55000</v>
      </c>
      <c r="AJ1163" s="91" t="n">
        <v>55000</v>
      </c>
      <c r="AK1163" s="89" t="n">
        <v>55000</v>
      </c>
      <c r="AL1163" s="90" t="n">
        <v>55000</v>
      </c>
      <c r="AM1163" s="90"/>
      <c r="AN1163" s="90"/>
      <c r="AO1163" s="90"/>
      <c r="AP1163" s="90"/>
      <c r="AQ1163" s="90"/>
      <c r="AR1163" s="90"/>
      <c r="AS1163" s="90"/>
      <c r="AT1163" s="90"/>
      <c r="AU1163" s="90"/>
      <c r="AV1163" s="91"/>
      <c r="AX1163" s="92"/>
    </row>
    <row r="1164" customFormat="false" ht="15.65" hidden="false" customHeight="false" outlineLevel="0" collapsed="false">
      <c r="C1164" s="72" t="n">
        <f aca="false">COUNTIFS($D$6:D1164,"&lt;&gt;"&amp;"")</f>
        <v>1159</v>
      </c>
      <c r="D1164" s="73" t="s">
        <v>12</v>
      </c>
      <c r="E1164" s="76" t="str">
        <f aca="false">
IF($D1164="정상",INDEX(임대자산!$D$3:$R$3000,MATCH($F1164,임대자산!$I$3:$I$3000,0),MATCH(E$3,임대자산!$D$3:$R$3,0)),
IF($D1164="폐업",INDEX(폐업정보!$D$3:$R$3000,MATCH($F1164,폐업정보!$I$3:$I$3000,0),MATCH(E$3,폐업정보!$D$3:$R$3,0)),
"Error"))</f>
        <v>경기</v>
      </c>
      <c r="F116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B1159</v>
      </c>
      <c r="G1164" s="76" t="str">
        <f aca="false">F1164&amp;RANDBETWEEN(0,10)</f>
        <v>B11597</v>
      </c>
      <c r="H1164" s="75" t="n">
        <f aca="false">
IF($D1164="정상",INDEX(임대자산!$D$3:$R$3000,MATCH($F1164,임대자산!$I$3:$I$3000,0),MATCH(H$4,임대자산!$D$3:$R$3,0)),
IF($D1164="폐업",INDEX(폐업정보!$D$3:$R$3000,MATCH($F1164,폐업정보!$I$3:$I$3000,0),MATCH(H$4,폐업정보!$D$3:$R$3,0)),
"Error"))</f>
        <v>44845</v>
      </c>
      <c r="I1164" s="75" t="str">
        <f aca="false">
IF($D1164="정상",INDEX(임대자산!$D$3:$R$3000,MATCH($F1164,임대자산!$I$3:$I$3000,0),MATCH(I$4,임대자산!$D$3:$R$3,0)),
IF($D1164="폐업",INDEX(폐업정보!$D$3:$R$3000,MATCH($F1164,폐업정보!$I$3:$I$3000,0),MATCH(I$4,폐업정보!$D$3:$R$3,0)),
"Error"))</f>
        <v>A1159</v>
      </c>
      <c r="J1164" s="75" t="str">
        <f aca="false">
IF($D1164="정상",INDEX(임대자산!$D$3:$R$3000,MATCH($F1164,임대자산!$I$3:$I$3000,0),MATCH(J$4,임대자산!$D$3:$R$3,0)),
IF($D1164="폐업",INDEX(폐업정보!$D$3:$R$3000,MATCH($F1164,폐업정보!$I$3:$I$3000,0),MATCH(J$4,폐업정보!$D$3:$R$3,0)),
"Error"))</f>
        <v>9811100000</v>
      </c>
      <c r="K1164" s="75" t="str">
        <f aca="false">
IF($D1164="정상",INDEX(임대자산!$D$3:$R$3000,MATCH($F1164,임대자산!$I$3:$I$3000,0),MATCH(K$4,임대자산!$D$3:$R$3,0)),
IF($D1164="폐업",INDEX(폐업정보!$D$3:$R$3000,MATCH($F1164,폐업정보!$I$3:$I$3000,0),MATCH(K$4,폐업정보!$D$3:$R$3,0)),
"Error"))</f>
        <v>C1159</v>
      </c>
      <c r="L1164" s="75" t="str">
        <f aca="false">
IF($D1164="정상",INDEX(임대자산!$D$3:$R$3000,MATCH($F1164,임대자산!$I$3:$I$3000,0),MATCH(L$4,임대자산!$D$3:$R$3,0)),
IF($D1164="폐업",INDEX(폐업정보!$D$3:$R$3000,MATCH($F1164,폐업정보!$I$3:$I$3000,0),MATCH(L$4,폐업정보!$D$3:$R$3,0)),
"Error"))</f>
        <v>D1159</v>
      </c>
      <c r="M1164" s="76" t="s">
        <v>96</v>
      </c>
      <c r="N1164" s="77"/>
      <c r="O1164" s="78" t="s">
        <v>97</v>
      </c>
      <c r="P1164" s="79" t="n">
        <f aca="false">COUNTIFS(임대자산!$I:$I,가맹점정보!F1164,임대자산!$N:$N,가맹점정보!P$4)</f>
        <v>0</v>
      </c>
      <c r="Q1164" s="80" t="n">
        <f aca="false">COUNTIFS(임대자산!$I:$I,가맹점정보!F1164,임대자산!$N:$N,가맹점정보!Q$4)</f>
        <v>0</v>
      </c>
      <c r="R1164" s="81" t="n">
        <f aca="false">COUNTIFS(임대자산!$I:$I,가맹점정보!F1164,임대자산!$N:$N,가맹점정보!R$4)</f>
        <v>1</v>
      </c>
      <c r="S1164" s="82" t="n">
        <v>55000</v>
      </c>
      <c r="T1164" s="83" t="n">
        <v>0</v>
      </c>
      <c r="U1164" s="80" t="n">
        <f aca="false">SUM(S1164:T1164)</f>
        <v>55000</v>
      </c>
      <c r="V1164" s="84" t="s">
        <v>12</v>
      </c>
      <c r="W1164" s="80" t="e">
        <f aca="true">
IF(D1164="폐업","폐업",
IF(V1164="면제","면제",
IF(AND(V1164="정상",COUNTIFS(OFFSET(Y1164,0,COUNTA(Y1164:AV1164)-1,1,-4),"미납")&gt;=3),"장기미납",
IF(AND(V1164="정상",OFFSET(Y1164,0,COUNTA(Y1164:AV1164)-1)&gt;=U1164),"정상",
IF(AND(V1164="정상",OFFSET(Y1164,0,COUNTA(Y1164:AV1164)-1)=0),"정상",
"계약서 미작성")))))</f>
        <v>#VALUE!</v>
      </c>
      <c r="X1164" s="81" t="str">
        <f aca="true">
IF(D1164="폐업","폐업",
IF(AND(V1164="정상",OFFSET(Y1164,0,COUNTA(Y1164:AV1164)-1)="미납"),"미납",
IF(AND(V1164="정상",OFFSET(Y1164,0,COUNTA(Y1164:AV1164)-1)=0),"납부 시작 전",
IF(AND(V1164="정상",OFFSET(Y1164,0,COUNTA(Y1164:AV1164)-1)&gt;=U1164),"정상",
IF(AND(V1164="면제",OFFSET(Y1164,0,COUNTA(Y1164:AV1164)-1)="면제"),"면제",
IF(AND(V1164="면제",OFFSET(Y1164,0,COUNTA(Y1164:AV1164)-1)=0),"면제",
"확인요청"))))))</f>
        <v>정상</v>
      </c>
      <c r="Y1164" s="93" t="n">
        <v>55000</v>
      </c>
      <c r="Z1164" s="90" t="n">
        <v>55000</v>
      </c>
      <c r="AA1164" s="90" t="n">
        <v>55000</v>
      </c>
      <c r="AB1164" s="90" t="n">
        <v>55000</v>
      </c>
      <c r="AC1164" s="90" t="n">
        <v>55000</v>
      </c>
      <c r="AD1164" s="90" t="n">
        <v>55000</v>
      </c>
      <c r="AE1164" s="90" t="n">
        <v>55000</v>
      </c>
      <c r="AF1164" s="90" t="n">
        <v>55000</v>
      </c>
      <c r="AG1164" s="90" t="n">
        <v>55000</v>
      </c>
      <c r="AH1164" s="90" t="n">
        <v>55000</v>
      </c>
      <c r="AI1164" s="90" t="n">
        <v>55000</v>
      </c>
      <c r="AJ1164" s="91" t="n">
        <v>55000</v>
      </c>
      <c r="AK1164" s="89" t="n">
        <v>55000</v>
      </c>
      <c r="AL1164" s="90" t="n">
        <v>55000</v>
      </c>
      <c r="AM1164" s="90"/>
      <c r="AN1164" s="90"/>
      <c r="AO1164" s="90"/>
      <c r="AP1164" s="90"/>
      <c r="AQ1164" s="90"/>
      <c r="AR1164" s="90"/>
      <c r="AS1164" s="90"/>
      <c r="AT1164" s="90"/>
      <c r="AU1164" s="90"/>
      <c r="AV1164" s="91"/>
      <c r="AX1164" s="92"/>
    </row>
    <row r="1165" customFormat="false" ht="15.65" hidden="false" customHeight="false" outlineLevel="0" collapsed="false">
      <c r="C1165" s="72" t="n">
        <f aca="false">COUNTIFS($D$6:D1165,"&lt;&gt;"&amp;"")</f>
        <v>1160</v>
      </c>
      <c r="D1165" s="73" t="s">
        <v>12</v>
      </c>
      <c r="E1165" s="76" t="str">
        <f aca="false">
IF($D1165="정상",INDEX(임대자산!$D$3:$R$3000,MATCH($F1165,임대자산!$I$3:$I$3000,0),MATCH(E$3,임대자산!$D$3:$R$3,0)),
IF($D1165="폐업",INDEX(폐업정보!$D$3:$R$3000,MATCH($F1165,폐업정보!$I$3:$I$3000,0),MATCH(E$3,폐업정보!$D$3:$R$3,0)),
"Error"))</f>
        <v>전라</v>
      </c>
      <c r="F116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B1160</v>
      </c>
      <c r="G1165" s="76" t="str">
        <f aca="false">F1165&amp;RANDBETWEEN(0,10)</f>
        <v>B11602</v>
      </c>
      <c r="H1165" s="75" t="n">
        <f aca="false">
IF($D1165="정상",INDEX(임대자산!$D$3:$R$3000,MATCH($F1165,임대자산!$I$3:$I$3000,0),MATCH(H$4,임대자산!$D$3:$R$3,0)),
IF($D1165="폐업",INDEX(폐업정보!$D$3:$R$3000,MATCH($F1165,폐업정보!$I$3:$I$3000,0),MATCH(H$4,폐업정보!$D$3:$R$3,0)),
"Error"))</f>
        <v>45505</v>
      </c>
      <c r="I1165" s="75" t="str">
        <f aca="false">
IF($D1165="정상",INDEX(임대자산!$D$3:$R$3000,MATCH($F1165,임대자산!$I$3:$I$3000,0),MATCH(I$4,임대자산!$D$3:$R$3,0)),
IF($D1165="폐업",INDEX(폐업정보!$D$3:$R$3000,MATCH($F1165,폐업정보!$I$3:$I$3000,0),MATCH(I$4,폐업정보!$D$3:$R$3,0)),
"Error"))</f>
        <v>A1160</v>
      </c>
      <c r="J1165" s="75" t="str">
        <f aca="false">
IF($D1165="정상",INDEX(임대자산!$D$3:$R$3000,MATCH($F1165,임대자산!$I$3:$I$3000,0),MATCH(J$4,임대자산!$D$3:$R$3,0)),
IF($D1165="폐업",INDEX(폐업정보!$D$3:$R$3000,MATCH($F1165,폐업정보!$I$3:$I$3000,0),MATCH(J$4,폐업정보!$D$3:$R$3,0)),
"Error"))</f>
        <v>2267800000</v>
      </c>
      <c r="K1165" s="75" t="str">
        <f aca="false">
IF($D1165="정상",INDEX(임대자산!$D$3:$R$3000,MATCH($F1165,임대자산!$I$3:$I$3000,0),MATCH(K$4,임대자산!$D$3:$R$3,0)),
IF($D1165="폐업",INDEX(폐업정보!$D$3:$R$3000,MATCH($F1165,폐업정보!$I$3:$I$3000,0),MATCH(K$4,폐업정보!$D$3:$R$3,0)),
"Error"))</f>
        <v>C1160</v>
      </c>
      <c r="L1165" s="75" t="str">
        <f aca="false">
IF($D1165="정상",INDEX(임대자산!$D$3:$R$3000,MATCH($F1165,임대자산!$I$3:$I$3000,0),MATCH(L$4,임대자산!$D$3:$R$3,0)),
IF($D1165="폐업",INDEX(폐업정보!$D$3:$R$3000,MATCH($F1165,폐업정보!$I$3:$I$3000,0),MATCH(L$4,폐업정보!$D$3:$R$3,0)),
"Error"))</f>
        <v>D1160</v>
      </c>
      <c r="M1165" s="76" t="s">
        <v>96</v>
      </c>
      <c r="N1165" s="77"/>
      <c r="O1165" s="78" t="s">
        <v>97</v>
      </c>
      <c r="P1165" s="79" t="n">
        <f aca="false">COUNTIFS(임대자산!$I:$I,가맹점정보!F1165,임대자산!$N:$N,가맹점정보!P$4)</f>
        <v>0</v>
      </c>
      <c r="Q1165" s="80" t="n">
        <f aca="false">COUNTIFS(임대자산!$I:$I,가맹점정보!F1165,임대자산!$N:$N,가맹점정보!Q$4)</f>
        <v>0</v>
      </c>
      <c r="R1165" s="81" t="n">
        <f aca="false">COUNTIFS(임대자산!$I:$I,가맹점정보!F1165,임대자산!$N:$N,가맹점정보!R$4)</f>
        <v>1</v>
      </c>
      <c r="S1165" s="82" t="n">
        <v>55000</v>
      </c>
      <c r="T1165" s="83" t="n">
        <v>0</v>
      </c>
      <c r="U1165" s="80" t="n">
        <f aca="false">SUM(S1165:T1165)</f>
        <v>55000</v>
      </c>
      <c r="V1165" s="84" t="s">
        <v>7</v>
      </c>
      <c r="W1165" s="80" t="str">
        <f aca="true">
IF(D1165="폐업","폐업",
IF(V1165="면제","면제",
IF(AND(V1165="정상",COUNTIFS(OFFSET(Y1165,0,COUNTA(Y1165:AV1165)-1,1,-4),"미납")&gt;=3),"장기미납",
IF(AND(V1165="정상",OFFSET(Y1165,0,COUNTA(Y1165:AV1165)-1)&gt;=U1165),"정상",
IF(AND(V1165="정상",OFFSET(Y1165,0,COUNTA(Y1165:AV1165)-1)=0),"정상",
"계약서 미작성")))))</f>
        <v>면제</v>
      </c>
      <c r="X1165" s="81" t="str">
        <f aca="true">
IF(D1165="폐업","폐업",
IF(AND(V1165="정상",OFFSET(Y1165,0,COUNTA(Y1165:AV1165)-1)="미납"),"미납",
IF(AND(V1165="정상",OFFSET(Y1165,0,COUNTA(Y1165:AV1165)-1)=0),"납부 시작 전",
IF(AND(V1165="정상",OFFSET(Y1165,0,COUNTA(Y1165:AV1165)-1)&gt;=U1165),"정상",
IF(AND(V1165="면제",OFFSET(Y1165,0,COUNTA(Y1165:AV1165)-1)="면제"),"면제",
IF(AND(V1165="면제",OFFSET(Y1165,0,COUNTA(Y1165:AV1165)-1)=0),"면제",
"확인요청"))))))</f>
        <v>면제</v>
      </c>
      <c r="Y1165" s="94" t="s">
        <v>7</v>
      </c>
      <c r="Z1165" s="95" t="s">
        <v>7</v>
      </c>
      <c r="AA1165" s="95" t="s">
        <v>7</v>
      </c>
      <c r="AB1165" s="95" t="s">
        <v>7</v>
      </c>
      <c r="AC1165" s="95" t="s">
        <v>7</v>
      </c>
      <c r="AD1165" s="95" t="s">
        <v>7</v>
      </c>
      <c r="AE1165" s="95" t="s">
        <v>7</v>
      </c>
      <c r="AF1165" s="95" t="s">
        <v>7</v>
      </c>
      <c r="AG1165" s="95" t="s">
        <v>7</v>
      </c>
      <c r="AH1165" s="95" t="s">
        <v>7</v>
      </c>
      <c r="AI1165" s="95" t="s">
        <v>7</v>
      </c>
      <c r="AJ1165" s="96" t="s">
        <v>7</v>
      </c>
      <c r="AK1165" s="97" t="s">
        <v>7</v>
      </c>
      <c r="AL1165" s="95" t="s">
        <v>7</v>
      </c>
      <c r="AM1165" s="90"/>
      <c r="AN1165" s="90"/>
      <c r="AO1165" s="90"/>
      <c r="AP1165" s="90"/>
      <c r="AQ1165" s="90"/>
      <c r="AR1165" s="90"/>
      <c r="AS1165" s="90"/>
      <c r="AT1165" s="90"/>
      <c r="AU1165" s="90"/>
      <c r="AV1165" s="91"/>
      <c r="AX1165" s="92"/>
    </row>
    <row r="1166" customFormat="false" ht="15.65" hidden="false" customHeight="false" outlineLevel="0" collapsed="false">
      <c r="C1166" s="72" t="n">
        <f aca="false">COUNTIFS($D$6:D1166,"&lt;&gt;"&amp;"")</f>
        <v>1161</v>
      </c>
      <c r="D1166" s="73" t="s">
        <v>12</v>
      </c>
      <c r="E1166" s="76" t="str">
        <f aca="false">
IF($D1166="정상",INDEX(임대자산!$D$3:$R$3000,MATCH($F1166,임대자산!$I$3:$I$3000,0),MATCH(E$3,임대자산!$D$3:$R$3,0)),
IF($D1166="폐업",INDEX(폐업정보!$D$3:$R$3000,MATCH($F1166,폐업정보!$I$3:$I$3000,0),MATCH(E$3,폐업정보!$D$3:$R$3,0)),
"Error"))</f>
        <v>강원</v>
      </c>
      <c r="F116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B1161</v>
      </c>
      <c r="G1166" s="76" t="str">
        <f aca="false">F1166&amp;RANDBETWEEN(0,10)</f>
        <v>B11617</v>
      </c>
      <c r="H1166" s="75" t="n">
        <f aca="false">
IF($D1166="정상",INDEX(임대자산!$D$3:$R$3000,MATCH($F1166,임대자산!$I$3:$I$3000,0),MATCH(H$4,임대자산!$D$3:$R$3,0)),
IF($D1166="폐업",INDEX(폐업정보!$D$3:$R$3000,MATCH($F1166,폐업정보!$I$3:$I$3000,0),MATCH(H$4,폐업정보!$D$3:$R$3,0)),
"Error"))</f>
        <v>46062</v>
      </c>
      <c r="I1166" s="75" t="str">
        <f aca="false">
IF($D1166="정상",INDEX(임대자산!$D$3:$R$3000,MATCH($F1166,임대자산!$I$3:$I$3000,0),MATCH(I$4,임대자산!$D$3:$R$3,0)),
IF($D1166="폐업",INDEX(폐업정보!$D$3:$R$3000,MATCH($F1166,폐업정보!$I$3:$I$3000,0),MATCH(I$4,폐업정보!$D$3:$R$3,0)),
"Error"))</f>
        <v>A1161</v>
      </c>
      <c r="J1166" s="75" t="str">
        <f aca="false">
IF($D1166="정상",INDEX(임대자산!$D$3:$R$3000,MATCH($F1166,임대자산!$I$3:$I$3000,0),MATCH(J$4,임대자산!$D$3:$R$3,0)),
IF($D1166="폐업",INDEX(폐업정보!$D$3:$R$3000,MATCH($F1166,폐업정보!$I$3:$I$3000,0),MATCH(J$4,폐업정보!$D$3:$R$3,0)),
"Error"))</f>
        <v>5534800000</v>
      </c>
      <c r="K1166" s="75" t="str">
        <f aca="false">
IF($D1166="정상",INDEX(임대자산!$D$3:$R$3000,MATCH($F1166,임대자산!$I$3:$I$3000,0),MATCH(K$4,임대자산!$D$3:$R$3,0)),
IF($D1166="폐업",INDEX(폐업정보!$D$3:$R$3000,MATCH($F1166,폐업정보!$I$3:$I$3000,0),MATCH(K$4,폐업정보!$D$3:$R$3,0)),
"Error"))</f>
        <v>C1161</v>
      </c>
      <c r="L1166" s="75" t="str">
        <f aca="false">
IF($D1166="정상",INDEX(임대자산!$D$3:$R$3000,MATCH($F1166,임대자산!$I$3:$I$3000,0),MATCH(L$4,임대자산!$D$3:$R$3,0)),
IF($D1166="폐업",INDEX(폐업정보!$D$3:$R$3000,MATCH($F1166,폐업정보!$I$3:$I$3000,0),MATCH(L$4,폐업정보!$D$3:$R$3,0)),
"Error"))</f>
        <v>D1161</v>
      </c>
      <c r="M1166" s="76" t="s">
        <v>96</v>
      </c>
      <c r="N1166" s="77"/>
      <c r="O1166" s="78" t="s">
        <v>97</v>
      </c>
      <c r="P1166" s="79" t="n">
        <f aca="false">COUNTIFS(임대자산!$I:$I,가맹점정보!F1166,임대자산!$N:$N,가맹점정보!P$4)</f>
        <v>0</v>
      </c>
      <c r="Q1166" s="80" t="n">
        <f aca="false">COUNTIFS(임대자산!$I:$I,가맹점정보!F1166,임대자산!$N:$N,가맹점정보!Q$4)</f>
        <v>0</v>
      </c>
      <c r="R1166" s="81" t="n">
        <f aca="false">COUNTIFS(임대자산!$I:$I,가맹점정보!F1166,임대자산!$N:$N,가맹점정보!R$4)</f>
        <v>1</v>
      </c>
      <c r="S1166" s="82" t="n">
        <v>88000</v>
      </c>
      <c r="T1166" s="83" t="n">
        <v>0</v>
      </c>
      <c r="U1166" s="80" t="n">
        <f aca="false">SUM(S1166:T1166)</f>
        <v>88000</v>
      </c>
      <c r="V1166" s="84" t="s">
        <v>7</v>
      </c>
      <c r="W1166" s="80" t="str">
        <f aca="true">
IF(D1166="폐업","폐업",
IF(V1166="면제","면제",
IF(AND(V1166="정상",COUNTIFS(OFFSET(Y1166,0,COUNTA(Y1166:AV1166)-1,1,-4),"미납")&gt;=3),"장기미납",
IF(AND(V1166="정상",OFFSET(Y1166,0,COUNTA(Y1166:AV1166)-1)&gt;=U1166),"정상",
IF(AND(V1166="정상",OFFSET(Y1166,0,COUNTA(Y1166:AV1166)-1)=0),"정상",
"계약서 미작성")))))</f>
        <v>면제</v>
      </c>
      <c r="X1166" s="81" t="str">
        <f aca="true">
IF(D1166="폐업","폐업",
IF(AND(V1166="정상",OFFSET(Y1166,0,COUNTA(Y1166:AV1166)-1)="미납"),"미납",
IF(AND(V1166="정상",OFFSET(Y1166,0,COUNTA(Y1166:AV1166)-1)=0),"납부 시작 전",
IF(AND(V1166="정상",OFFSET(Y1166,0,COUNTA(Y1166:AV1166)-1)&gt;=U1166),"정상",
IF(AND(V1166="면제",OFFSET(Y1166,0,COUNTA(Y1166:AV1166)-1)="면제"),"면제",
IF(AND(V1166="면제",OFFSET(Y1166,0,COUNTA(Y1166:AV1166)-1)=0),"면제",
"확인요청"))))))</f>
        <v>면제</v>
      </c>
      <c r="Y1166" s="94" t="s">
        <v>7</v>
      </c>
      <c r="Z1166" s="95" t="s">
        <v>7</v>
      </c>
      <c r="AA1166" s="95" t="s">
        <v>7</v>
      </c>
      <c r="AB1166" s="95" t="s">
        <v>7</v>
      </c>
      <c r="AC1166" s="95" t="s">
        <v>7</v>
      </c>
      <c r="AD1166" s="95" t="s">
        <v>7</v>
      </c>
      <c r="AE1166" s="95" t="s">
        <v>7</v>
      </c>
      <c r="AF1166" s="95" t="s">
        <v>7</v>
      </c>
      <c r="AG1166" s="95" t="s">
        <v>7</v>
      </c>
      <c r="AH1166" s="95" t="s">
        <v>7</v>
      </c>
      <c r="AI1166" s="95" t="s">
        <v>7</v>
      </c>
      <c r="AJ1166" s="96" t="s">
        <v>7</v>
      </c>
      <c r="AK1166" s="97" t="s">
        <v>7</v>
      </c>
      <c r="AL1166" s="95" t="s">
        <v>7</v>
      </c>
      <c r="AM1166" s="90"/>
      <c r="AN1166" s="90"/>
      <c r="AO1166" s="90"/>
      <c r="AP1166" s="90"/>
      <c r="AQ1166" s="90"/>
      <c r="AR1166" s="90"/>
      <c r="AS1166" s="90"/>
      <c r="AT1166" s="90"/>
      <c r="AU1166" s="90"/>
      <c r="AV1166" s="91"/>
      <c r="AX1166" s="92"/>
    </row>
    <row r="1167" customFormat="false" ht="15.65" hidden="false" customHeight="false" outlineLevel="0" collapsed="false">
      <c r="C1167" s="72" t="n">
        <f aca="false">COUNTIFS($D$6:D1167,"&lt;&gt;"&amp;"")</f>
        <v>1162</v>
      </c>
      <c r="D1167" s="73" t="s">
        <v>12</v>
      </c>
      <c r="E1167" s="76" t="str">
        <f aca="false">
IF($D1167="정상",INDEX(임대자산!$D$3:$R$3000,MATCH($F1167,임대자산!$I$3:$I$3000,0),MATCH(E$3,임대자산!$D$3:$R$3,0)),
IF($D1167="폐업",INDEX(폐업정보!$D$3:$R$3000,MATCH($F1167,폐업정보!$I$3:$I$3000,0),MATCH(E$3,폐업정보!$D$3:$R$3,0)),
"Error"))</f>
        <v>서울</v>
      </c>
      <c r="F116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B1162</v>
      </c>
      <c r="G1167" s="76" t="str">
        <f aca="false">F1167&amp;RANDBETWEEN(0,10)</f>
        <v>B11627</v>
      </c>
      <c r="H1167" s="75" t="n">
        <f aca="false">
IF($D1167="정상",INDEX(임대자산!$D$3:$R$3000,MATCH($F1167,임대자산!$I$3:$I$3000,0),MATCH(H$4,임대자산!$D$3:$R$3,0)),
IF($D1167="폐업",INDEX(폐업정보!$D$3:$R$3000,MATCH($F1167,폐업정보!$I$3:$I$3000,0),MATCH(H$4,폐업정보!$D$3:$R$3,0)),
"Error"))</f>
        <v>45716</v>
      </c>
      <c r="I1167" s="75" t="str">
        <f aca="false">
IF($D1167="정상",INDEX(임대자산!$D$3:$R$3000,MATCH($F1167,임대자산!$I$3:$I$3000,0),MATCH(I$4,임대자산!$D$3:$R$3,0)),
IF($D1167="폐업",INDEX(폐업정보!$D$3:$R$3000,MATCH($F1167,폐업정보!$I$3:$I$3000,0),MATCH(I$4,폐업정보!$D$3:$R$3,0)),
"Error"))</f>
        <v>A1162</v>
      </c>
      <c r="J1167" s="75" t="str">
        <f aca="false">
IF($D1167="정상",INDEX(임대자산!$D$3:$R$3000,MATCH($F1167,임대자산!$I$3:$I$3000,0),MATCH(J$4,임대자산!$D$3:$R$3,0)),
IF($D1167="폐업",INDEX(폐업정보!$D$3:$R$3000,MATCH($F1167,폐업정보!$I$3:$I$3000,0),MATCH(J$4,폐업정보!$D$3:$R$3,0)),
"Error"))</f>
        <v>8795800000</v>
      </c>
      <c r="K1167" s="75" t="str">
        <f aca="false">
IF($D1167="정상",INDEX(임대자산!$D$3:$R$3000,MATCH($F1167,임대자산!$I$3:$I$3000,0),MATCH(K$4,임대자산!$D$3:$R$3,0)),
IF($D1167="폐업",INDEX(폐업정보!$D$3:$R$3000,MATCH($F1167,폐업정보!$I$3:$I$3000,0),MATCH(K$4,폐업정보!$D$3:$R$3,0)),
"Error"))</f>
        <v>C1162</v>
      </c>
      <c r="L1167" s="75" t="str">
        <f aca="false">
IF($D1167="정상",INDEX(임대자산!$D$3:$R$3000,MATCH($F1167,임대자산!$I$3:$I$3000,0),MATCH(L$4,임대자산!$D$3:$R$3,0)),
IF($D1167="폐업",INDEX(폐업정보!$D$3:$R$3000,MATCH($F1167,폐업정보!$I$3:$I$3000,0),MATCH(L$4,폐업정보!$D$3:$R$3,0)),
"Error"))</f>
        <v>D1162</v>
      </c>
      <c r="M1167" s="76" t="s">
        <v>96</v>
      </c>
      <c r="N1167" s="77"/>
      <c r="O1167" s="78" t="s">
        <v>97</v>
      </c>
      <c r="P1167" s="79" t="n">
        <f aca="false">COUNTIFS(임대자산!$I:$I,가맹점정보!F1167,임대자산!$N:$N,가맹점정보!P$4)</f>
        <v>0</v>
      </c>
      <c r="Q1167" s="80" t="n">
        <f aca="false">COUNTIFS(임대자산!$I:$I,가맹점정보!F1167,임대자산!$N:$N,가맹점정보!Q$4)</f>
        <v>0</v>
      </c>
      <c r="R1167" s="81" t="n">
        <f aca="false">COUNTIFS(임대자산!$I:$I,가맹점정보!F1167,임대자산!$N:$N,가맹점정보!R$4)</f>
        <v>1</v>
      </c>
      <c r="S1167" s="82" t="n">
        <v>55000</v>
      </c>
      <c r="T1167" s="83" t="n">
        <v>0</v>
      </c>
      <c r="U1167" s="80" t="n">
        <f aca="false">SUM(S1167:T1167)</f>
        <v>55000</v>
      </c>
      <c r="V1167" s="84" t="s">
        <v>7</v>
      </c>
      <c r="W1167" s="80" t="str">
        <f aca="true">
IF(D1167="폐업","폐업",
IF(V1167="면제","면제",
IF(AND(V1167="정상",COUNTIFS(OFFSET(Y1167,0,COUNTA(Y1167:AV1167)-1,1,-4),"미납")&gt;=3),"장기미납",
IF(AND(V1167="정상",OFFSET(Y1167,0,COUNTA(Y1167:AV1167)-1)&gt;=U1167),"정상",
IF(AND(V1167="정상",OFFSET(Y1167,0,COUNTA(Y1167:AV1167)-1)=0),"정상",
"계약서 미작성")))))</f>
        <v>면제</v>
      </c>
      <c r="X1167" s="81" t="str">
        <f aca="true">
IF(D1167="폐업","폐업",
IF(AND(V1167="정상",OFFSET(Y1167,0,COUNTA(Y1167:AV1167)-1)="미납"),"미납",
IF(AND(V1167="정상",OFFSET(Y1167,0,COUNTA(Y1167:AV1167)-1)=0),"납부 시작 전",
IF(AND(V1167="정상",OFFSET(Y1167,0,COUNTA(Y1167:AV1167)-1)&gt;=U1167),"정상",
IF(AND(V1167="면제",OFFSET(Y1167,0,COUNTA(Y1167:AV1167)-1)="면제"),"면제",
IF(AND(V1167="면제",OFFSET(Y1167,0,COUNTA(Y1167:AV1167)-1)=0),"면제",
"확인요청"))))))</f>
        <v>면제</v>
      </c>
      <c r="Y1167" s="94" t="s">
        <v>7</v>
      </c>
      <c r="Z1167" s="95" t="s">
        <v>7</v>
      </c>
      <c r="AA1167" s="95" t="s">
        <v>7</v>
      </c>
      <c r="AB1167" s="95" t="s">
        <v>7</v>
      </c>
      <c r="AC1167" s="95" t="s">
        <v>7</v>
      </c>
      <c r="AD1167" s="95" t="s">
        <v>7</v>
      </c>
      <c r="AE1167" s="95" t="s">
        <v>7</v>
      </c>
      <c r="AF1167" s="95" t="s">
        <v>7</v>
      </c>
      <c r="AG1167" s="95" t="s">
        <v>7</v>
      </c>
      <c r="AH1167" s="95" t="s">
        <v>7</v>
      </c>
      <c r="AI1167" s="95" t="s">
        <v>7</v>
      </c>
      <c r="AJ1167" s="96" t="s">
        <v>7</v>
      </c>
      <c r="AK1167" s="97" t="s">
        <v>7</v>
      </c>
      <c r="AL1167" s="95" t="s">
        <v>7</v>
      </c>
      <c r="AM1167" s="90"/>
      <c r="AN1167" s="90"/>
      <c r="AO1167" s="90"/>
      <c r="AP1167" s="90"/>
      <c r="AQ1167" s="90"/>
      <c r="AR1167" s="90"/>
      <c r="AS1167" s="90"/>
      <c r="AT1167" s="90"/>
      <c r="AU1167" s="90"/>
      <c r="AV1167" s="91"/>
      <c r="AX1167" s="92"/>
    </row>
    <row r="1168" customFormat="false" ht="15.65" hidden="false" customHeight="false" outlineLevel="0" collapsed="false">
      <c r="C1168" s="72" t="n">
        <f aca="false">COUNTIFS($D$6:D1168,"&lt;&gt;"&amp;"")</f>
        <v>1163</v>
      </c>
      <c r="D1168" s="73" t="s">
        <v>12</v>
      </c>
      <c r="E1168" s="76" t="str">
        <f aca="false">
IF($D1168="정상",INDEX(임대자산!$D$3:$R$3000,MATCH($F1168,임대자산!$I$3:$I$3000,0),MATCH(E$3,임대자산!$D$3:$R$3,0)),
IF($D1168="폐업",INDEX(폐업정보!$D$3:$R$3000,MATCH($F1168,폐업정보!$I$3:$I$3000,0),MATCH(E$3,폐업정보!$D$3:$R$3,0)),
"Error"))</f>
        <v>서울</v>
      </c>
      <c r="F116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B1163</v>
      </c>
      <c r="G1168" s="76" t="str">
        <f aca="false">F1168&amp;RANDBETWEEN(0,10)</f>
        <v>B11632</v>
      </c>
      <c r="H1168" s="75" t="n">
        <f aca="false">
IF($D1168="정상",INDEX(임대자산!$D$3:$R$3000,MATCH($F1168,임대자산!$I$3:$I$3000,0),MATCH(H$4,임대자산!$D$3:$R$3,0)),
IF($D1168="폐업",INDEX(폐업정보!$D$3:$R$3000,MATCH($F1168,폐업정보!$I$3:$I$3000,0),MATCH(H$4,폐업정보!$D$3:$R$3,0)),
"Error"))</f>
        <v>45959</v>
      </c>
      <c r="I1168" s="75" t="str">
        <f aca="false">
IF($D1168="정상",INDEX(임대자산!$D$3:$R$3000,MATCH($F1168,임대자산!$I$3:$I$3000,0),MATCH(I$4,임대자산!$D$3:$R$3,0)),
IF($D1168="폐업",INDEX(폐업정보!$D$3:$R$3000,MATCH($F1168,폐업정보!$I$3:$I$3000,0),MATCH(I$4,폐업정보!$D$3:$R$3,0)),
"Error"))</f>
        <v>A1163</v>
      </c>
      <c r="J1168" s="75" t="str">
        <f aca="false">
IF($D1168="정상",INDEX(임대자산!$D$3:$R$3000,MATCH($F1168,임대자산!$I$3:$I$3000,0),MATCH(J$4,임대자산!$D$3:$R$3,0)),
IF($D1168="폐업",INDEX(폐업정보!$D$3:$R$3000,MATCH($F1168,폐업정보!$I$3:$I$3000,0),MATCH(J$4,폐업정보!$D$3:$R$3,0)),
"Error"))</f>
        <v>4724800000</v>
      </c>
      <c r="K1168" s="75" t="str">
        <f aca="false">
IF($D1168="정상",INDEX(임대자산!$D$3:$R$3000,MATCH($F1168,임대자산!$I$3:$I$3000,0),MATCH(K$4,임대자산!$D$3:$R$3,0)),
IF($D1168="폐업",INDEX(폐업정보!$D$3:$R$3000,MATCH($F1168,폐업정보!$I$3:$I$3000,0),MATCH(K$4,폐업정보!$D$3:$R$3,0)),
"Error"))</f>
        <v>C1163</v>
      </c>
      <c r="L1168" s="75" t="str">
        <f aca="false">
IF($D1168="정상",INDEX(임대자산!$D$3:$R$3000,MATCH($F1168,임대자산!$I$3:$I$3000,0),MATCH(L$4,임대자산!$D$3:$R$3,0)),
IF($D1168="폐업",INDEX(폐업정보!$D$3:$R$3000,MATCH($F1168,폐업정보!$I$3:$I$3000,0),MATCH(L$4,폐업정보!$D$3:$R$3,0)),
"Error"))</f>
        <v>D1163</v>
      </c>
      <c r="M1168" s="76" t="s">
        <v>96</v>
      </c>
      <c r="N1168" s="77"/>
      <c r="O1168" s="78" t="s">
        <v>97</v>
      </c>
      <c r="P1168" s="79" t="n">
        <f aca="false">COUNTIFS(임대자산!$I:$I,가맹점정보!F1168,임대자산!$N:$N,가맹점정보!P$4)</f>
        <v>0</v>
      </c>
      <c r="Q1168" s="80" t="n">
        <f aca="false">COUNTIFS(임대자산!$I:$I,가맹점정보!F1168,임대자산!$N:$N,가맹점정보!Q$4)</f>
        <v>0</v>
      </c>
      <c r="R1168" s="81" t="n">
        <f aca="false">COUNTIFS(임대자산!$I:$I,가맹점정보!F1168,임대자산!$N:$N,가맹점정보!R$4)</f>
        <v>1</v>
      </c>
      <c r="S1168" s="82" t="n">
        <v>88000</v>
      </c>
      <c r="T1168" s="83" t="n">
        <v>0</v>
      </c>
      <c r="U1168" s="80" t="n">
        <f aca="false">SUM(S1168:T1168)</f>
        <v>88000</v>
      </c>
      <c r="V1168" s="84" t="s">
        <v>7</v>
      </c>
      <c r="W1168" s="80" t="str">
        <f aca="true">
IF(D1168="폐업","폐업",
IF(V1168="면제","면제",
IF(AND(V1168="정상",COUNTIFS(OFFSET(Y1168,0,COUNTA(Y1168:AV1168)-1,1,-4),"미납")&gt;=3),"장기미납",
IF(AND(V1168="정상",OFFSET(Y1168,0,COUNTA(Y1168:AV1168)-1)&gt;=U1168),"정상",
IF(AND(V1168="정상",OFFSET(Y1168,0,COUNTA(Y1168:AV1168)-1)=0),"정상",
"계약서 미작성")))))</f>
        <v>면제</v>
      </c>
      <c r="X1168" s="81" t="str">
        <f aca="true">
IF(D1168="폐업","폐업",
IF(AND(V1168="정상",OFFSET(Y1168,0,COUNTA(Y1168:AV1168)-1)="미납"),"미납",
IF(AND(V1168="정상",OFFSET(Y1168,0,COUNTA(Y1168:AV1168)-1)=0),"납부 시작 전",
IF(AND(V1168="정상",OFFSET(Y1168,0,COUNTA(Y1168:AV1168)-1)&gt;=U1168),"정상",
IF(AND(V1168="면제",OFFSET(Y1168,0,COUNTA(Y1168:AV1168)-1)="면제"),"면제",
IF(AND(V1168="면제",OFFSET(Y1168,0,COUNTA(Y1168:AV1168)-1)=0),"면제",
"확인요청"))))))</f>
        <v>면제</v>
      </c>
      <c r="Y1168" s="94" t="s">
        <v>7</v>
      </c>
      <c r="Z1168" s="95" t="s">
        <v>7</v>
      </c>
      <c r="AA1168" s="95" t="s">
        <v>7</v>
      </c>
      <c r="AB1168" s="95" t="s">
        <v>7</v>
      </c>
      <c r="AC1168" s="95" t="s">
        <v>7</v>
      </c>
      <c r="AD1168" s="95" t="s">
        <v>7</v>
      </c>
      <c r="AE1168" s="95" t="s">
        <v>7</v>
      </c>
      <c r="AF1168" s="95" t="s">
        <v>7</v>
      </c>
      <c r="AG1168" s="95" t="s">
        <v>7</v>
      </c>
      <c r="AH1168" s="95" t="s">
        <v>7</v>
      </c>
      <c r="AI1168" s="95" t="s">
        <v>7</v>
      </c>
      <c r="AJ1168" s="96" t="s">
        <v>7</v>
      </c>
      <c r="AK1168" s="97" t="s">
        <v>7</v>
      </c>
      <c r="AL1168" s="95" t="s">
        <v>7</v>
      </c>
      <c r="AM1168" s="90"/>
      <c r="AN1168" s="90"/>
      <c r="AO1168" s="90"/>
      <c r="AP1168" s="90"/>
      <c r="AQ1168" s="90"/>
      <c r="AR1168" s="90"/>
      <c r="AS1168" s="90"/>
      <c r="AT1168" s="90"/>
      <c r="AU1168" s="90"/>
      <c r="AV1168" s="91"/>
      <c r="AX1168" s="92"/>
    </row>
    <row r="1169" customFormat="false" ht="15.65" hidden="false" customHeight="false" outlineLevel="0" collapsed="false">
      <c r="C1169" s="72" t="n">
        <f aca="false">COUNTIFS($D$6:D1169,"&lt;&gt;"&amp;"")</f>
        <v>1164</v>
      </c>
      <c r="D1169" s="73" t="s">
        <v>5</v>
      </c>
      <c r="E1169" s="76" t="str">
        <f aca="false">
IF($D1169="정상",INDEX(임대자산!$D$3:$R$3000,MATCH($F1169,임대자산!$I$3:$I$3000,0),MATCH(E$3,임대자산!$D$3:$R$3,0)),
IF($D1169="폐업",INDEX(폐업정보!$D$3:$R$3000,MATCH($F1169,폐업정보!$I$3:$I$3000,0),MATCH(E$3,폐업정보!$D$3:$R$3,0)),
"Error"))</f>
        <v>서울</v>
      </c>
      <c r="F116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B1164</v>
      </c>
      <c r="G1169" s="76" t="str">
        <f aca="false">F1169&amp;RANDBETWEEN(0,10)</f>
        <v>B11645</v>
      </c>
      <c r="H1169" s="75" t="n">
        <f aca="false">
IF($D1169="정상",INDEX(임대자산!$D$3:$R$3000,MATCH($F1169,임대자산!$I$3:$I$3000,0),MATCH(H$4,임대자산!$D$3:$R$3,0)),
IF($D1169="폐업",INDEX(폐업정보!$D$3:$R$3000,MATCH($F1169,폐업정보!$I$3:$I$3000,0),MATCH(H$4,폐업정보!$D$3:$R$3,0)),
"Error"))</f>
        <v>45959</v>
      </c>
      <c r="I1169" s="75" t="str">
        <f aca="false">
IF($D1169="정상",INDEX(임대자산!$D$3:$R$3000,MATCH($F1169,임대자산!$I$3:$I$3000,0),MATCH(I$4,임대자산!$D$3:$R$3,0)),
IF($D1169="폐업",INDEX(폐업정보!$D$3:$R$3000,MATCH($F1169,폐업정보!$I$3:$I$3000,0),MATCH(I$4,폐업정보!$D$3:$R$3,0)),
"Error"))</f>
        <v>A1164</v>
      </c>
      <c r="J1169" s="75" t="str">
        <f aca="false">
IF($D1169="정상",INDEX(임대자산!$D$3:$R$3000,MATCH($F1169,임대자산!$I$3:$I$3000,0),MATCH(J$4,임대자산!$D$3:$R$3,0)),
IF($D1169="폐업",INDEX(폐업정보!$D$3:$R$3000,MATCH($F1169,폐업정보!$I$3:$I$3000,0),MATCH(J$4,폐업정보!$D$3:$R$3,0)),
"Error"))</f>
        <v>7124200000</v>
      </c>
      <c r="K1169" s="75" t="str">
        <f aca="false">
IF($D1169="정상",INDEX(임대자산!$D$3:$R$3000,MATCH($F1169,임대자산!$I$3:$I$3000,0),MATCH(K$4,임대자산!$D$3:$R$3,0)),
IF($D1169="폐업",INDEX(폐업정보!$D$3:$R$3000,MATCH($F1169,폐업정보!$I$3:$I$3000,0),MATCH(K$4,폐업정보!$D$3:$R$3,0)),
"Error"))</f>
        <v>C1164</v>
      </c>
      <c r="L1169" s="75" t="str">
        <f aca="false">
IF($D1169="정상",INDEX(임대자산!$D$3:$R$3000,MATCH($F1169,임대자산!$I$3:$I$3000,0),MATCH(L$4,임대자산!$D$3:$R$3,0)),
IF($D1169="폐업",INDEX(폐업정보!$D$3:$R$3000,MATCH($F1169,폐업정보!$I$3:$I$3000,0),MATCH(L$4,폐업정보!$D$3:$R$3,0)),
"Error"))</f>
        <v>D1164</v>
      </c>
      <c r="M1169" s="76" t="s">
        <v>96</v>
      </c>
      <c r="N1169" s="77"/>
      <c r="O1169" s="78" t="s">
        <v>97</v>
      </c>
      <c r="P1169" s="79" t="n">
        <f aca="false">COUNTIFS(임대자산!$I:$I,가맹점정보!F1169,임대자산!$N:$N,가맹점정보!P$4)</f>
        <v>0</v>
      </c>
      <c r="Q1169" s="80" t="n">
        <f aca="false">COUNTIFS(임대자산!$I:$I,가맹점정보!F1169,임대자산!$N:$N,가맹점정보!Q$4)</f>
        <v>0</v>
      </c>
      <c r="R1169" s="81" t="n">
        <f aca="false">COUNTIFS(임대자산!$I:$I,가맹점정보!F1169,임대자산!$N:$N,가맹점정보!R$4)</f>
        <v>0</v>
      </c>
      <c r="S1169" s="82" t="n">
        <v>27500</v>
      </c>
      <c r="T1169" s="83" t="n">
        <v>27500</v>
      </c>
      <c r="U1169" s="80" t="n">
        <f aca="false">SUM(S1169:T1169)</f>
        <v>55000</v>
      </c>
      <c r="V1169" s="84" t="s">
        <v>12</v>
      </c>
      <c r="W1169" s="80" t="str">
        <f aca="true">
IF(D1169="폐업","폐업",
IF(V1169="면제","면제",
IF(AND(V1169="정상",COUNTIFS(OFFSET(Y1169,0,COUNTA(Y1169:AV1169)-1,1,-4),"미납")&gt;=3),"장기미납",
IF(AND(V1169="정상",OFFSET(Y1169,0,COUNTA(Y1169:AV1169)-1)&gt;=U1169),"정상",
IF(AND(V1169="정상",OFFSET(Y1169,0,COUNTA(Y1169:AV1169)-1)=0),"정상",
"계약서 미작성")))))</f>
        <v>폐업</v>
      </c>
      <c r="X1169" s="81" t="str">
        <f aca="true">
IF(D1169="폐업","폐업",
IF(AND(V1169="정상",OFFSET(Y1169,0,COUNTA(Y1169:AV1169)-1)="미납"),"미납",
IF(AND(V1169="정상",OFFSET(Y1169,0,COUNTA(Y1169:AV1169)-1)=0),"납부 시작 전",
IF(AND(V1169="정상",OFFSET(Y1169,0,COUNTA(Y1169:AV1169)-1)&gt;=U1169),"정상",
IF(AND(V1169="면제",OFFSET(Y1169,0,COUNTA(Y1169:AV1169)-1)="면제"),"면제",
IF(AND(V1169="면제",OFFSET(Y1169,0,COUNTA(Y1169:AV1169)-1)=0),"면제",
"확인요청"))))))</f>
        <v>폐업</v>
      </c>
      <c r="Y1169" s="93" t="n">
        <v>88000</v>
      </c>
      <c r="Z1169" s="90" t="n">
        <v>88000</v>
      </c>
      <c r="AA1169" s="90" t="n">
        <v>88000</v>
      </c>
      <c r="AB1169" s="90" t="n">
        <v>88000</v>
      </c>
      <c r="AC1169" s="90" t="n">
        <v>88000</v>
      </c>
      <c r="AD1169" s="90" t="n">
        <v>88000</v>
      </c>
      <c r="AE1169" s="90" t="n">
        <v>88000</v>
      </c>
      <c r="AF1169" s="90" t="n">
        <v>88000</v>
      </c>
      <c r="AG1169" s="90" t="n">
        <v>88000</v>
      </c>
      <c r="AH1169" s="90" t="n">
        <v>88000</v>
      </c>
      <c r="AI1169" s="90" t="n">
        <v>88000</v>
      </c>
      <c r="AJ1169" s="96" t="s">
        <v>62</v>
      </c>
      <c r="AK1169" s="89" t="n">
        <v>88000</v>
      </c>
      <c r="AL1169" s="90" t="n">
        <v>55000</v>
      </c>
      <c r="AM1169" s="90"/>
      <c r="AN1169" s="90"/>
      <c r="AO1169" s="90"/>
      <c r="AP1169" s="90"/>
      <c r="AQ1169" s="90"/>
      <c r="AR1169" s="90"/>
      <c r="AS1169" s="90"/>
      <c r="AT1169" s="90"/>
      <c r="AU1169" s="90"/>
      <c r="AV1169" s="91"/>
      <c r="AX1169" s="92"/>
    </row>
    <row r="1170" customFormat="false" ht="15.65" hidden="false" customHeight="false" outlineLevel="0" collapsed="false">
      <c r="C1170" s="72" t="n">
        <f aca="false">COUNTIFS($D$6:D1170,"&lt;&gt;"&amp;"")</f>
        <v>1165</v>
      </c>
      <c r="D1170" s="73" t="s">
        <v>12</v>
      </c>
      <c r="E1170" s="76" t="str">
        <f aca="false">
IF($D1170="정상",INDEX(임대자산!$D$3:$R$3000,MATCH($F1170,임대자산!$I$3:$I$3000,0),MATCH(E$3,임대자산!$D$3:$R$3,0)),
IF($D1170="폐업",INDEX(폐업정보!$D$3:$R$3000,MATCH($F1170,폐업정보!$I$3:$I$3000,0),MATCH(E$3,폐업정보!$D$3:$R$3,0)),
"Error"))</f>
        <v>서울</v>
      </c>
      <c r="F117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B1165</v>
      </c>
      <c r="G1170" s="76" t="str">
        <f aca="false">F1170&amp;RANDBETWEEN(0,10)</f>
        <v>B11654</v>
      </c>
      <c r="H1170" s="75" t="n">
        <f aca="false">
IF($D1170="정상",INDEX(임대자산!$D$3:$R$3000,MATCH($F1170,임대자산!$I$3:$I$3000,0),MATCH(H$4,임대자산!$D$3:$R$3,0)),
IF($D1170="폐업",INDEX(폐업정보!$D$3:$R$3000,MATCH($F1170,폐업정보!$I$3:$I$3000,0),MATCH(H$4,폐업정보!$D$3:$R$3,0)),
"Error"))</f>
        <v>44882</v>
      </c>
      <c r="I1170" s="75" t="str">
        <f aca="false">
IF($D1170="정상",INDEX(임대자산!$D$3:$R$3000,MATCH($F1170,임대자산!$I$3:$I$3000,0),MATCH(I$4,임대자산!$D$3:$R$3,0)),
IF($D1170="폐업",INDEX(폐업정보!$D$3:$R$3000,MATCH($F1170,폐업정보!$I$3:$I$3000,0),MATCH(I$4,폐업정보!$D$3:$R$3,0)),
"Error"))</f>
        <v>A1165</v>
      </c>
      <c r="J1170" s="75" t="str">
        <f aca="false">
IF($D1170="정상",INDEX(임대자산!$D$3:$R$3000,MATCH($F1170,임대자산!$I$3:$I$3000,0),MATCH(J$4,임대자산!$D$3:$R$3,0)),
IF($D1170="폐업",INDEX(폐업정보!$D$3:$R$3000,MATCH($F1170,폐업정보!$I$3:$I$3000,0),MATCH(J$4,폐업정보!$D$3:$R$3,0)),
"Error"))</f>
        <v>4130800000</v>
      </c>
      <c r="K1170" s="75" t="str">
        <f aca="false">
IF($D1170="정상",INDEX(임대자산!$D$3:$R$3000,MATCH($F1170,임대자산!$I$3:$I$3000,0),MATCH(K$4,임대자산!$D$3:$R$3,0)),
IF($D1170="폐업",INDEX(폐업정보!$D$3:$R$3000,MATCH($F1170,폐업정보!$I$3:$I$3000,0),MATCH(K$4,폐업정보!$D$3:$R$3,0)),
"Error"))</f>
        <v>C1165</v>
      </c>
      <c r="L1170" s="75" t="str">
        <f aca="false">
IF($D1170="정상",INDEX(임대자산!$D$3:$R$3000,MATCH($F1170,임대자산!$I$3:$I$3000,0),MATCH(L$4,임대자산!$D$3:$R$3,0)),
IF($D1170="폐업",INDEX(폐업정보!$D$3:$R$3000,MATCH($F1170,폐업정보!$I$3:$I$3000,0),MATCH(L$4,폐업정보!$D$3:$R$3,0)),
"Error"))</f>
        <v>D1165</v>
      </c>
      <c r="M1170" s="76" t="s">
        <v>96</v>
      </c>
      <c r="N1170" s="77"/>
      <c r="O1170" s="78" t="s">
        <v>97</v>
      </c>
      <c r="P1170" s="79" t="n">
        <f aca="false">COUNTIFS(임대자산!$I:$I,가맹점정보!F1170,임대자산!$N:$N,가맹점정보!P$4)</f>
        <v>0</v>
      </c>
      <c r="Q1170" s="80" t="n">
        <f aca="false">COUNTIFS(임대자산!$I:$I,가맹점정보!F1170,임대자산!$N:$N,가맹점정보!Q$4)</f>
        <v>0</v>
      </c>
      <c r="R1170" s="81" t="n">
        <f aca="false">COUNTIFS(임대자산!$I:$I,가맹점정보!F1170,임대자산!$N:$N,가맹점정보!R$4)</f>
        <v>1</v>
      </c>
      <c r="S1170" s="82" t="n">
        <v>44000</v>
      </c>
      <c r="T1170" s="83" t="n">
        <v>44000</v>
      </c>
      <c r="U1170" s="80" t="n">
        <f aca="false">SUM(S1170:T1170)</f>
        <v>88000</v>
      </c>
      <c r="V1170" s="84" t="s">
        <v>12</v>
      </c>
      <c r="W1170" s="80" t="e">
        <f aca="true">
IF(D1170="폐업","폐업",
IF(V1170="면제","면제",
IF(AND(V1170="정상",COUNTIFS(OFFSET(Y1170,0,COUNTA(Y1170:AV1170)-1,1,-4),"미납")&gt;=3),"장기미납",
IF(AND(V1170="정상",OFFSET(Y1170,0,COUNTA(Y1170:AV1170)-1)&gt;=U1170),"정상",
IF(AND(V1170="정상",OFFSET(Y1170,0,COUNTA(Y1170:AV1170)-1)=0),"정상",
"계약서 미작성")))))</f>
        <v>#VALUE!</v>
      </c>
      <c r="X1170" s="81" t="str">
        <f aca="true">
IF(D1170="폐업","폐업",
IF(AND(V1170="정상",OFFSET(Y1170,0,COUNTA(Y1170:AV1170)-1)="미납"),"미납",
IF(AND(V1170="정상",OFFSET(Y1170,0,COUNTA(Y1170:AV1170)-1)=0),"납부 시작 전",
IF(AND(V1170="정상",OFFSET(Y1170,0,COUNTA(Y1170:AV1170)-1)&gt;=U1170),"정상",
IF(AND(V1170="면제",OFFSET(Y1170,0,COUNTA(Y1170:AV1170)-1)="면제"),"면제",
IF(AND(V1170="면제",OFFSET(Y1170,0,COUNTA(Y1170:AV1170)-1)=0),"면제",
"확인요청"))))))</f>
        <v>정상</v>
      </c>
      <c r="Y1170" s="93" t="n">
        <v>88000</v>
      </c>
      <c r="Z1170" s="90" t="n">
        <v>88000</v>
      </c>
      <c r="AA1170" s="90" t="n">
        <v>88000</v>
      </c>
      <c r="AB1170" s="90" t="n">
        <v>88000</v>
      </c>
      <c r="AC1170" s="90" t="n">
        <v>88000</v>
      </c>
      <c r="AD1170" s="90" t="n">
        <v>88000</v>
      </c>
      <c r="AE1170" s="90" t="n">
        <v>88000</v>
      </c>
      <c r="AF1170" s="90" t="n">
        <v>88000</v>
      </c>
      <c r="AG1170" s="90" t="n">
        <v>88000</v>
      </c>
      <c r="AH1170" s="90" t="n">
        <v>88000</v>
      </c>
      <c r="AI1170" s="90" t="n">
        <v>88000</v>
      </c>
      <c r="AJ1170" s="91" t="n">
        <v>88000</v>
      </c>
      <c r="AK1170" s="89" t="n">
        <v>88000</v>
      </c>
      <c r="AL1170" s="90" t="n">
        <v>88000</v>
      </c>
      <c r="AM1170" s="90"/>
      <c r="AN1170" s="90"/>
      <c r="AO1170" s="90"/>
      <c r="AP1170" s="90"/>
      <c r="AQ1170" s="90"/>
      <c r="AR1170" s="90"/>
      <c r="AS1170" s="90"/>
      <c r="AT1170" s="90"/>
      <c r="AU1170" s="90"/>
      <c r="AV1170" s="91"/>
      <c r="AX1170" s="92"/>
    </row>
    <row r="1171" customFormat="false" ht="15.65" hidden="false" customHeight="false" outlineLevel="0" collapsed="false">
      <c r="C1171" s="72" t="n">
        <f aca="false">COUNTIFS($D$6:D1171,"&lt;&gt;"&amp;"")</f>
        <v>1166</v>
      </c>
      <c r="D1171" s="73" t="s">
        <v>12</v>
      </c>
      <c r="E1171" s="76" t="str">
        <f aca="false">
IF($D1171="정상",INDEX(임대자산!$D$3:$R$3000,MATCH($F1171,임대자산!$I$3:$I$3000,0),MATCH(E$3,임대자산!$D$3:$R$3,0)),
IF($D1171="폐업",INDEX(폐업정보!$D$3:$R$3000,MATCH($F1171,폐업정보!$I$3:$I$3000,0),MATCH(E$3,폐업정보!$D$3:$R$3,0)),
"Error"))</f>
        <v>서울</v>
      </c>
      <c r="F117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B1166</v>
      </c>
      <c r="G1171" s="76" t="str">
        <f aca="false">F1171&amp;RANDBETWEEN(0,10)</f>
        <v>B11667</v>
      </c>
      <c r="H1171" s="75" t="n">
        <f aca="false">
IF($D1171="정상",INDEX(임대자산!$D$3:$R$3000,MATCH($F1171,임대자산!$I$3:$I$3000,0),MATCH(H$4,임대자산!$D$3:$R$3,0)),
IF($D1171="폐업",INDEX(폐업정보!$D$3:$R$3000,MATCH($F1171,폐업정보!$I$3:$I$3000,0),MATCH(H$4,폐업정보!$D$3:$R$3,0)),
"Error"))</f>
        <v>44868</v>
      </c>
      <c r="I1171" s="75" t="str">
        <f aca="false">
IF($D1171="정상",INDEX(임대자산!$D$3:$R$3000,MATCH($F1171,임대자산!$I$3:$I$3000,0),MATCH(I$4,임대자산!$D$3:$R$3,0)),
IF($D1171="폐업",INDEX(폐업정보!$D$3:$R$3000,MATCH($F1171,폐업정보!$I$3:$I$3000,0),MATCH(I$4,폐업정보!$D$3:$R$3,0)),
"Error"))</f>
        <v>A1166</v>
      </c>
      <c r="J1171" s="75" t="str">
        <f aca="false">
IF($D1171="정상",INDEX(임대자산!$D$3:$R$3000,MATCH($F1171,임대자산!$I$3:$I$3000,0),MATCH(J$4,임대자산!$D$3:$R$3,0)),
IF($D1171="폐업",INDEX(폐업정보!$D$3:$R$3000,MATCH($F1171,폐업정보!$I$3:$I$3000,0),MATCH(J$4,폐업정보!$D$3:$R$3,0)),
"Error"))</f>
        <v>1308000000</v>
      </c>
      <c r="K1171" s="75" t="str">
        <f aca="false">
IF($D1171="정상",INDEX(임대자산!$D$3:$R$3000,MATCH($F1171,임대자산!$I$3:$I$3000,0),MATCH(K$4,임대자산!$D$3:$R$3,0)),
IF($D1171="폐업",INDEX(폐업정보!$D$3:$R$3000,MATCH($F1171,폐업정보!$I$3:$I$3000,0),MATCH(K$4,폐업정보!$D$3:$R$3,0)),
"Error"))</f>
        <v>C1166</v>
      </c>
      <c r="L1171" s="75" t="str">
        <f aca="false">
IF($D1171="정상",INDEX(임대자산!$D$3:$R$3000,MATCH($F1171,임대자산!$I$3:$I$3000,0),MATCH(L$4,임대자산!$D$3:$R$3,0)),
IF($D1171="폐업",INDEX(폐업정보!$D$3:$R$3000,MATCH($F1171,폐업정보!$I$3:$I$3000,0),MATCH(L$4,폐업정보!$D$3:$R$3,0)),
"Error"))</f>
        <v>D1166</v>
      </c>
      <c r="M1171" s="76" t="s">
        <v>96</v>
      </c>
      <c r="N1171" s="77"/>
      <c r="O1171" s="78" t="s">
        <v>97</v>
      </c>
      <c r="P1171" s="79" t="n">
        <f aca="false">COUNTIFS(임대자산!$I:$I,가맹점정보!F1171,임대자산!$N:$N,가맹점정보!P$4)</f>
        <v>0</v>
      </c>
      <c r="Q1171" s="80" t="n">
        <f aca="false">COUNTIFS(임대자산!$I:$I,가맹점정보!F1171,임대자산!$N:$N,가맹점정보!Q$4)</f>
        <v>0</v>
      </c>
      <c r="R1171" s="81" t="n">
        <f aca="false">COUNTIFS(임대자산!$I:$I,가맹점정보!F1171,임대자산!$N:$N,가맹점정보!R$4)</f>
        <v>1</v>
      </c>
      <c r="S1171" s="82" t="n">
        <v>27500</v>
      </c>
      <c r="T1171" s="83" t="n">
        <v>27500</v>
      </c>
      <c r="U1171" s="80" t="n">
        <f aca="false">SUM(S1171:T1171)</f>
        <v>55000</v>
      </c>
      <c r="V1171" s="84" t="s">
        <v>12</v>
      </c>
      <c r="W1171" s="80" t="e">
        <f aca="true">
IF(D1171="폐업","폐업",
IF(V1171="면제","면제",
IF(AND(V1171="정상",COUNTIFS(OFFSET(Y1171,0,COUNTA(Y1171:AV1171)-1,1,-4),"미납")&gt;=3),"장기미납",
IF(AND(V1171="정상",OFFSET(Y1171,0,COUNTA(Y1171:AV1171)-1)&gt;=U1171),"정상",
IF(AND(V1171="정상",OFFSET(Y1171,0,COUNTA(Y1171:AV1171)-1)=0),"정상",
"계약서 미작성")))))</f>
        <v>#VALUE!</v>
      </c>
      <c r="X1171" s="81" t="str">
        <f aca="true">
IF(D1171="폐업","폐업",
IF(AND(V1171="정상",OFFSET(Y1171,0,COUNTA(Y1171:AV1171)-1)="미납"),"미납",
IF(AND(V1171="정상",OFFSET(Y1171,0,COUNTA(Y1171:AV1171)-1)=0),"납부 시작 전",
IF(AND(V1171="정상",OFFSET(Y1171,0,COUNTA(Y1171:AV1171)-1)&gt;=U1171),"정상",
IF(AND(V1171="면제",OFFSET(Y1171,0,COUNTA(Y1171:AV1171)-1)="면제"),"면제",
IF(AND(V1171="면제",OFFSET(Y1171,0,COUNTA(Y1171:AV1171)-1)=0),"면제",
"확인요청"))))))</f>
        <v>정상</v>
      </c>
      <c r="Y1171" s="93" t="n">
        <v>55000</v>
      </c>
      <c r="Z1171" s="90" t="n">
        <v>55000</v>
      </c>
      <c r="AA1171" s="90" t="n">
        <v>55000</v>
      </c>
      <c r="AB1171" s="90" t="n">
        <v>55000</v>
      </c>
      <c r="AC1171" s="90" t="n">
        <v>55000</v>
      </c>
      <c r="AD1171" s="90" t="n">
        <v>55000</v>
      </c>
      <c r="AE1171" s="90" t="n">
        <v>55000</v>
      </c>
      <c r="AF1171" s="90" t="n">
        <v>55000</v>
      </c>
      <c r="AG1171" s="90" t="n">
        <v>55000</v>
      </c>
      <c r="AH1171" s="90" t="n">
        <v>55000</v>
      </c>
      <c r="AI1171" s="90" t="n">
        <v>55000</v>
      </c>
      <c r="AJ1171" s="91" t="n">
        <v>55000</v>
      </c>
      <c r="AK1171" s="89" t="n">
        <v>55000</v>
      </c>
      <c r="AL1171" s="90" t="n">
        <v>55000</v>
      </c>
      <c r="AM1171" s="90"/>
      <c r="AN1171" s="90"/>
      <c r="AO1171" s="90"/>
      <c r="AP1171" s="90"/>
      <c r="AQ1171" s="90"/>
      <c r="AR1171" s="90"/>
      <c r="AS1171" s="90"/>
      <c r="AT1171" s="90"/>
      <c r="AU1171" s="90"/>
      <c r="AV1171" s="91"/>
      <c r="AX1171" s="92"/>
    </row>
    <row r="1172" customFormat="false" ht="15.65" hidden="false" customHeight="false" outlineLevel="0" collapsed="false">
      <c r="C1172" s="72" t="n">
        <f aca="false">COUNTIFS($D$6:D1172,"&lt;&gt;"&amp;"")</f>
        <v>1167</v>
      </c>
      <c r="D1172" s="73" t="s">
        <v>12</v>
      </c>
      <c r="E1172" s="76" t="str">
        <f aca="false">
IF($D1172="정상",INDEX(임대자산!$D$3:$R$3000,MATCH($F1172,임대자산!$I$3:$I$3000,0),MATCH(E$3,임대자산!$D$3:$R$3,0)),
IF($D1172="폐업",INDEX(폐업정보!$D$3:$R$3000,MATCH($F1172,폐업정보!$I$3:$I$3000,0),MATCH(E$3,폐업정보!$D$3:$R$3,0)),
"Error"))</f>
        <v>서울</v>
      </c>
      <c r="F117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B1167</v>
      </c>
      <c r="G1172" s="76" t="str">
        <f aca="false">F1172&amp;RANDBETWEEN(0,10)</f>
        <v>B11676</v>
      </c>
      <c r="H1172" s="75" t="n">
        <f aca="false">
IF($D1172="정상",INDEX(임대자산!$D$3:$R$3000,MATCH($F1172,임대자산!$I$3:$I$3000,0),MATCH(H$4,임대자산!$D$3:$R$3,0)),
IF($D1172="폐업",INDEX(폐업정보!$D$3:$R$3000,MATCH($F1172,폐업정보!$I$3:$I$3000,0),MATCH(H$4,폐업정보!$D$3:$R$3,0)),
"Error"))</f>
        <v>44865</v>
      </c>
      <c r="I1172" s="75" t="str">
        <f aca="false">
IF($D1172="정상",INDEX(임대자산!$D$3:$R$3000,MATCH($F1172,임대자산!$I$3:$I$3000,0),MATCH(I$4,임대자산!$D$3:$R$3,0)),
IF($D1172="폐업",INDEX(폐업정보!$D$3:$R$3000,MATCH($F1172,폐업정보!$I$3:$I$3000,0),MATCH(I$4,폐업정보!$D$3:$R$3,0)),
"Error"))</f>
        <v>A1167</v>
      </c>
      <c r="J1172" s="75" t="str">
        <f aca="false">
IF($D1172="정상",INDEX(임대자산!$D$3:$R$3000,MATCH($F1172,임대자산!$I$3:$I$3000,0),MATCH(J$4,임대자산!$D$3:$R$3,0)),
IF($D1172="폐업",INDEX(폐업정보!$D$3:$R$3000,MATCH($F1172,폐업정보!$I$3:$I$3000,0),MATCH(J$4,폐업정보!$D$3:$R$3,0)),
"Error"))</f>
        <v>1799900000</v>
      </c>
      <c r="K1172" s="75" t="str">
        <f aca="false">
IF($D1172="정상",INDEX(임대자산!$D$3:$R$3000,MATCH($F1172,임대자산!$I$3:$I$3000,0),MATCH(K$4,임대자산!$D$3:$R$3,0)),
IF($D1172="폐업",INDEX(폐업정보!$D$3:$R$3000,MATCH($F1172,폐업정보!$I$3:$I$3000,0),MATCH(K$4,폐업정보!$D$3:$R$3,0)),
"Error"))</f>
        <v>C1167</v>
      </c>
      <c r="L1172" s="75" t="str">
        <f aca="false">
IF($D1172="정상",INDEX(임대자산!$D$3:$R$3000,MATCH($F1172,임대자산!$I$3:$I$3000,0),MATCH(L$4,임대자산!$D$3:$R$3,0)),
IF($D1172="폐업",INDEX(폐업정보!$D$3:$R$3000,MATCH($F1172,폐업정보!$I$3:$I$3000,0),MATCH(L$4,폐업정보!$D$3:$R$3,0)),
"Error"))</f>
        <v>D1167</v>
      </c>
      <c r="M1172" s="76" t="s">
        <v>96</v>
      </c>
      <c r="N1172" s="77"/>
      <c r="O1172" s="78" t="s">
        <v>97</v>
      </c>
      <c r="P1172" s="79" t="n">
        <f aca="false">COUNTIFS(임대자산!$I:$I,가맹점정보!F1172,임대자산!$N:$N,가맹점정보!P$4)</f>
        <v>0</v>
      </c>
      <c r="Q1172" s="80" t="n">
        <f aca="false">COUNTIFS(임대자산!$I:$I,가맹점정보!F1172,임대자산!$N:$N,가맹점정보!Q$4)</f>
        <v>0</v>
      </c>
      <c r="R1172" s="81" t="n">
        <f aca="false">COUNTIFS(임대자산!$I:$I,가맹점정보!F1172,임대자산!$N:$N,가맹점정보!R$4)</f>
        <v>1</v>
      </c>
      <c r="S1172" s="82" t="n">
        <v>44000</v>
      </c>
      <c r="T1172" s="83" t="n">
        <v>0</v>
      </c>
      <c r="U1172" s="80" t="n">
        <f aca="false">SUM(S1172:T1172)</f>
        <v>44000</v>
      </c>
      <c r="V1172" s="84" t="s">
        <v>12</v>
      </c>
      <c r="W1172" s="80" t="e">
        <f aca="true">
IF(D1172="폐업","폐업",
IF(V1172="면제","면제",
IF(AND(V1172="정상",COUNTIFS(OFFSET(Y1172,0,COUNTA(Y1172:AV1172)-1,1,-4),"미납")&gt;=3),"장기미납",
IF(AND(V1172="정상",OFFSET(Y1172,0,COUNTA(Y1172:AV1172)-1)&gt;=U1172),"정상",
IF(AND(V1172="정상",OFFSET(Y1172,0,COUNTA(Y1172:AV1172)-1)=0),"정상",
"계약서 미작성")))))</f>
        <v>#VALUE!</v>
      </c>
      <c r="X1172" s="81" t="str">
        <f aca="true">
IF(D1172="폐업","폐업",
IF(AND(V1172="정상",OFFSET(Y1172,0,COUNTA(Y1172:AV1172)-1)="미납"),"미납",
IF(AND(V1172="정상",OFFSET(Y1172,0,COUNTA(Y1172:AV1172)-1)=0),"납부 시작 전",
IF(AND(V1172="정상",OFFSET(Y1172,0,COUNTA(Y1172:AV1172)-1)&gt;=U1172),"정상",
IF(AND(V1172="면제",OFFSET(Y1172,0,COUNTA(Y1172:AV1172)-1)="면제"),"면제",
IF(AND(V1172="면제",OFFSET(Y1172,0,COUNTA(Y1172:AV1172)-1)=0),"면제",
"확인요청"))))))</f>
        <v>정상</v>
      </c>
      <c r="Y1172" s="93" t="n">
        <v>44000</v>
      </c>
      <c r="Z1172" s="90" t="n">
        <v>44000</v>
      </c>
      <c r="AA1172" s="90" t="n">
        <v>44000</v>
      </c>
      <c r="AB1172" s="90" t="n">
        <v>44000</v>
      </c>
      <c r="AC1172" s="90" t="n">
        <v>44000</v>
      </c>
      <c r="AD1172" s="90" t="n">
        <v>44000</v>
      </c>
      <c r="AE1172" s="90" t="n">
        <v>44000</v>
      </c>
      <c r="AF1172" s="90" t="s">
        <v>105</v>
      </c>
      <c r="AG1172" s="90" t="n">
        <v>88000</v>
      </c>
      <c r="AH1172" s="90" t="n">
        <v>44000</v>
      </c>
      <c r="AI1172" s="90" t="n">
        <v>44000</v>
      </c>
      <c r="AJ1172" s="91" t="n">
        <v>44000</v>
      </c>
      <c r="AK1172" s="89" t="n">
        <v>44000</v>
      </c>
      <c r="AL1172" s="90" t="n">
        <v>44000</v>
      </c>
      <c r="AM1172" s="90"/>
      <c r="AN1172" s="90"/>
      <c r="AO1172" s="90"/>
      <c r="AP1172" s="90"/>
      <c r="AQ1172" s="90"/>
      <c r="AR1172" s="90"/>
      <c r="AS1172" s="90"/>
      <c r="AT1172" s="90"/>
      <c r="AU1172" s="90"/>
      <c r="AV1172" s="91"/>
      <c r="AX1172" s="92"/>
    </row>
    <row r="1173" customFormat="false" ht="15.65" hidden="false" customHeight="false" outlineLevel="0" collapsed="false">
      <c r="C1173" s="72" t="n">
        <f aca="false">COUNTIFS($D$6:D1173,"&lt;&gt;"&amp;"")</f>
        <v>1168</v>
      </c>
      <c r="D1173" s="73" t="s">
        <v>12</v>
      </c>
      <c r="E1173" s="76" t="str">
        <f aca="false">
IF($D1173="정상",INDEX(임대자산!$D$3:$R$3000,MATCH($F1173,임대자산!$I$3:$I$3000,0),MATCH(E$3,임대자산!$D$3:$R$3,0)),
IF($D1173="폐업",INDEX(폐업정보!$D$3:$R$3000,MATCH($F1173,폐업정보!$I$3:$I$3000,0),MATCH(E$3,폐업정보!$D$3:$R$3,0)),
"Error"))</f>
        <v>강원</v>
      </c>
      <c r="F117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B1168</v>
      </c>
      <c r="G1173" s="76" t="str">
        <f aca="false">F1173&amp;RANDBETWEEN(0,10)</f>
        <v>B11688</v>
      </c>
      <c r="H1173" s="75" t="n">
        <f aca="false">
IF($D1173="정상",INDEX(임대자산!$D$3:$R$3000,MATCH($F1173,임대자산!$I$3:$I$3000,0),MATCH(H$4,임대자산!$D$3:$R$3,0)),
IF($D1173="폐업",INDEX(폐업정보!$D$3:$R$3000,MATCH($F1173,폐업정보!$I$3:$I$3000,0),MATCH(H$4,폐업정보!$D$3:$R$3,0)),
"Error"))</f>
        <v>45275</v>
      </c>
      <c r="I1173" s="75" t="str">
        <f aca="false">
IF($D1173="정상",INDEX(임대자산!$D$3:$R$3000,MATCH($F1173,임대자산!$I$3:$I$3000,0),MATCH(I$4,임대자산!$D$3:$R$3,0)),
IF($D1173="폐업",INDEX(폐업정보!$D$3:$R$3000,MATCH($F1173,폐업정보!$I$3:$I$3000,0),MATCH(I$4,폐업정보!$D$3:$R$3,0)),
"Error"))</f>
        <v>A1168</v>
      </c>
      <c r="J1173" s="75" t="str">
        <f aca="false">
IF($D1173="정상",INDEX(임대자산!$D$3:$R$3000,MATCH($F1173,임대자산!$I$3:$I$3000,0),MATCH(J$4,임대자산!$D$3:$R$3,0)),
IF($D1173="폐업",INDEX(폐업정보!$D$3:$R$3000,MATCH($F1173,폐업정보!$I$3:$I$3000,0),MATCH(J$4,폐업정보!$D$3:$R$3,0)),
"Error"))</f>
        <v>7294900000</v>
      </c>
      <c r="K1173" s="75" t="str">
        <f aca="false">
IF($D1173="정상",INDEX(임대자산!$D$3:$R$3000,MATCH($F1173,임대자산!$I$3:$I$3000,0),MATCH(K$4,임대자산!$D$3:$R$3,0)),
IF($D1173="폐업",INDEX(폐업정보!$D$3:$R$3000,MATCH($F1173,폐업정보!$I$3:$I$3000,0),MATCH(K$4,폐업정보!$D$3:$R$3,0)),
"Error"))</f>
        <v>C1168</v>
      </c>
      <c r="L1173" s="75" t="str">
        <f aca="false">
IF($D1173="정상",INDEX(임대자산!$D$3:$R$3000,MATCH($F1173,임대자산!$I$3:$I$3000,0),MATCH(L$4,임대자산!$D$3:$R$3,0)),
IF($D1173="폐업",INDEX(폐업정보!$D$3:$R$3000,MATCH($F1173,폐업정보!$I$3:$I$3000,0),MATCH(L$4,폐업정보!$D$3:$R$3,0)),
"Error"))</f>
        <v>D1168</v>
      </c>
      <c r="M1173" s="76" t="s">
        <v>96</v>
      </c>
      <c r="N1173" s="77"/>
      <c r="O1173" s="78" t="s">
        <v>97</v>
      </c>
      <c r="P1173" s="79" t="n">
        <f aca="false">COUNTIFS(임대자산!$I:$I,가맹점정보!F1173,임대자산!$N:$N,가맹점정보!P$4)</f>
        <v>0</v>
      </c>
      <c r="Q1173" s="80" t="n">
        <f aca="false">COUNTIFS(임대자산!$I:$I,가맹점정보!F1173,임대자산!$N:$N,가맹점정보!Q$4)</f>
        <v>0</v>
      </c>
      <c r="R1173" s="81" t="n">
        <f aca="false">COUNTIFS(임대자산!$I:$I,가맹점정보!F1173,임대자산!$N:$N,가맹점정보!R$4)</f>
        <v>1</v>
      </c>
      <c r="S1173" s="82" t="n">
        <v>55000</v>
      </c>
      <c r="T1173" s="83" t="n">
        <v>0</v>
      </c>
      <c r="U1173" s="80" t="n">
        <f aca="false">SUM(S1173:T1173)</f>
        <v>55000</v>
      </c>
      <c r="V1173" s="84" t="s">
        <v>12</v>
      </c>
      <c r="W1173" s="80" t="e">
        <f aca="true">
IF(D1173="폐업","폐업",
IF(V1173="면제","면제",
IF(AND(V1173="정상",COUNTIFS(OFFSET(Y1173,0,COUNTA(Y1173:AV1173)-1,1,-4),"미납")&gt;=3),"장기미납",
IF(AND(V1173="정상",OFFSET(Y1173,0,COUNTA(Y1173:AV1173)-1)&gt;=U1173),"정상",
IF(AND(V1173="정상",OFFSET(Y1173,0,COUNTA(Y1173:AV1173)-1)=0),"정상",
"계약서 미작성")))))</f>
        <v>#VALUE!</v>
      </c>
      <c r="X1173" s="81" t="str">
        <f aca="true">
IF(D1173="폐업","폐업",
IF(AND(V1173="정상",OFFSET(Y1173,0,COUNTA(Y1173:AV1173)-1)="미납"),"미납",
IF(AND(V1173="정상",OFFSET(Y1173,0,COUNTA(Y1173:AV1173)-1)=0),"납부 시작 전",
IF(AND(V1173="정상",OFFSET(Y1173,0,COUNTA(Y1173:AV1173)-1)&gt;=U1173),"정상",
IF(AND(V1173="면제",OFFSET(Y1173,0,COUNTA(Y1173:AV1173)-1)="면제"),"면제",
IF(AND(V1173="면제",OFFSET(Y1173,0,COUNTA(Y1173:AV1173)-1)=0),"면제",
"확인요청"))))))</f>
        <v>정상</v>
      </c>
      <c r="Y1173" s="93" t="n">
        <v>55000</v>
      </c>
      <c r="Z1173" s="90" t="n">
        <v>55000</v>
      </c>
      <c r="AA1173" s="90" t="n">
        <v>55000</v>
      </c>
      <c r="AB1173" s="90" t="n">
        <v>55000</v>
      </c>
      <c r="AC1173" s="90" t="n">
        <v>55000</v>
      </c>
      <c r="AD1173" s="90" t="n">
        <v>55000</v>
      </c>
      <c r="AE1173" s="90" t="n">
        <v>55000</v>
      </c>
      <c r="AF1173" s="90" t="n">
        <v>55000</v>
      </c>
      <c r="AG1173" s="90" t="n">
        <v>55000</v>
      </c>
      <c r="AH1173" s="90" t="n">
        <v>55000</v>
      </c>
      <c r="AI1173" s="90" t="n">
        <v>55000</v>
      </c>
      <c r="AJ1173" s="91" t="n">
        <v>55000</v>
      </c>
      <c r="AK1173" s="89" t="n">
        <v>55000</v>
      </c>
      <c r="AL1173" s="90" t="n">
        <v>55000</v>
      </c>
      <c r="AM1173" s="90"/>
      <c r="AN1173" s="90"/>
      <c r="AO1173" s="90"/>
      <c r="AP1173" s="90"/>
      <c r="AQ1173" s="90"/>
      <c r="AR1173" s="90"/>
      <c r="AS1173" s="90"/>
      <c r="AT1173" s="90"/>
      <c r="AU1173" s="90"/>
      <c r="AV1173" s="91"/>
      <c r="AX1173" s="92"/>
    </row>
    <row r="1174" customFormat="false" ht="15.65" hidden="false" customHeight="false" outlineLevel="0" collapsed="false">
      <c r="C1174" s="72" t="n">
        <f aca="false">COUNTIFS($D$6:D1174,"&lt;&gt;"&amp;"")</f>
        <v>1169</v>
      </c>
      <c r="D1174" s="73" t="s">
        <v>12</v>
      </c>
      <c r="E1174" s="76" t="str">
        <f aca="false">
IF($D1174="정상",INDEX(임대자산!$D$3:$R$3000,MATCH($F1174,임대자산!$I$3:$I$3000,0),MATCH(E$3,임대자산!$D$3:$R$3,0)),
IF($D1174="폐업",INDEX(폐업정보!$D$3:$R$3000,MATCH($F1174,폐업정보!$I$3:$I$3000,0),MATCH(E$3,폐업정보!$D$3:$R$3,0)),
"Error"))</f>
        <v>전라</v>
      </c>
      <c r="F117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B1169</v>
      </c>
      <c r="G1174" s="76" t="str">
        <f aca="false">F1174&amp;RANDBETWEEN(0,10)</f>
        <v>B11695</v>
      </c>
      <c r="H1174" s="75" t="n">
        <f aca="false">
IF($D1174="정상",INDEX(임대자산!$D$3:$R$3000,MATCH($F1174,임대자산!$I$3:$I$3000,0),MATCH(H$4,임대자산!$D$3:$R$3,0)),
IF($D1174="폐업",INDEX(폐업정보!$D$3:$R$3000,MATCH($F1174,폐업정보!$I$3:$I$3000,0),MATCH(H$4,폐업정보!$D$3:$R$3,0)),
"Error"))</f>
        <v>44904</v>
      </c>
      <c r="I1174" s="75" t="str">
        <f aca="false">
IF($D1174="정상",INDEX(임대자산!$D$3:$R$3000,MATCH($F1174,임대자산!$I$3:$I$3000,0),MATCH(I$4,임대자산!$D$3:$R$3,0)),
IF($D1174="폐업",INDEX(폐업정보!$D$3:$R$3000,MATCH($F1174,폐업정보!$I$3:$I$3000,0),MATCH(I$4,폐업정보!$D$3:$R$3,0)),
"Error"))</f>
        <v>A1169</v>
      </c>
      <c r="J1174" s="75" t="str">
        <f aca="false">
IF($D1174="정상",INDEX(임대자산!$D$3:$R$3000,MATCH($F1174,임대자산!$I$3:$I$3000,0),MATCH(J$4,임대자산!$D$3:$R$3,0)),
IF($D1174="폐업",INDEX(폐업정보!$D$3:$R$3000,MATCH($F1174,폐업정보!$I$3:$I$3000,0),MATCH(J$4,폐업정보!$D$3:$R$3,0)),
"Error"))</f>
        <v>2528500000</v>
      </c>
      <c r="K1174" s="75" t="str">
        <f aca="false">
IF($D1174="정상",INDEX(임대자산!$D$3:$R$3000,MATCH($F1174,임대자산!$I$3:$I$3000,0),MATCH(K$4,임대자산!$D$3:$R$3,0)),
IF($D1174="폐업",INDEX(폐업정보!$D$3:$R$3000,MATCH($F1174,폐업정보!$I$3:$I$3000,0),MATCH(K$4,폐업정보!$D$3:$R$3,0)),
"Error"))</f>
        <v>C1169</v>
      </c>
      <c r="L1174" s="75" t="str">
        <f aca="false">
IF($D1174="정상",INDEX(임대자산!$D$3:$R$3000,MATCH($F1174,임대자산!$I$3:$I$3000,0),MATCH(L$4,임대자산!$D$3:$R$3,0)),
IF($D1174="폐업",INDEX(폐업정보!$D$3:$R$3000,MATCH($F1174,폐업정보!$I$3:$I$3000,0),MATCH(L$4,폐업정보!$D$3:$R$3,0)),
"Error"))</f>
        <v>D1169</v>
      </c>
      <c r="M1174" s="76" t="s">
        <v>96</v>
      </c>
      <c r="N1174" s="77"/>
      <c r="O1174" s="78" t="s">
        <v>97</v>
      </c>
      <c r="P1174" s="79" t="n">
        <f aca="false">COUNTIFS(임대자산!$I:$I,가맹점정보!F1174,임대자산!$N:$N,가맹점정보!P$4)</f>
        <v>0</v>
      </c>
      <c r="Q1174" s="80" t="n">
        <f aca="false">COUNTIFS(임대자산!$I:$I,가맹점정보!F1174,임대자산!$N:$N,가맹점정보!Q$4)</f>
        <v>0</v>
      </c>
      <c r="R1174" s="81" t="n">
        <f aca="false">COUNTIFS(임대자산!$I:$I,가맹점정보!F1174,임대자산!$N:$N,가맹점정보!R$4)</f>
        <v>1</v>
      </c>
      <c r="S1174" s="82" t="n">
        <v>55000</v>
      </c>
      <c r="T1174" s="83" t="n">
        <v>0</v>
      </c>
      <c r="U1174" s="80" t="n">
        <f aca="false">SUM(S1174:T1174)</f>
        <v>55000</v>
      </c>
      <c r="V1174" s="84" t="s">
        <v>7</v>
      </c>
      <c r="W1174" s="80" t="str">
        <f aca="true">
IF(D1174="폐업","폐업",
IF(V1174="면제","면제",
IF(AND(V1174="정상",COUNTIFS(OFFSET(Y1174,0,COUNTA(Y1174:AV1174)-1,1,-4),"미납")&gt;=3),"장기미납",
IF(AND(V1174="정상",OFFSET(Y1174,0,COUNTA(Y1174:AV1174)-1)&gt;=U1174),"정상",
IF(AND(V1174="정상",OFFSET(Y1174,0,COUNTA(Y1174:AV1174)-1)=0),"정상",
"계약서 미작성")))))</f>
        <v>면제</v>
      </c>
      <c r="X1174" s="81" t="str">
        <f aca="true">
IF(D1174="폐업","폐업",
IF(AND(V1174="정상",OFFSET(Y1174,0,COUNTA(Y1174:AV1174)-1)="미납"),"미납",
IF(AND(V1174="정상",OFFSET(Y1174,0,COUNTA(Y1174:AV1174)-1)=0),"납부 시작 전",
IF(AND(V1174="정상",OFFSET(Y1174,0,COUNTA(Y1174:AV1174)-1)&gt;=U1174),"정상",
IF(AND(V1174="면제",OFFSET(Y1174,0,COUNTA(Y1174:AV1174)-1)="면제"),"면제",
IF(AND(V1174="면제",OFFSET(Y1174,0,COUNTA(Y1174:AV1174)-1)=0),"면제",
"확인요청"))))))</f>
        <v>면제</v>
      </c>
      <c r="Y1174" s="94" t="s">
        <v>7</v>
      </c>
      <c r="Z1174" s="95" t="s">
        <v>7</v>
      </c>
      <c r="AA1174" s="95" t="s">
        <v>7</v>
      </c>
      <c r="AB1174" s="95" t="s">
        <v>7</v>
      </c>
      <c r="AC1174" s="95" t="s">
        <v>7</v>
      </c>
      <c r="AD1174" s="95" t="s">
        <v>7</v>
      </c>
      <c r="AE1174" s="95" t="s">
        <v>7</v>
      </c>
      <c r="AF1174" s="95" t="s">
        <v>7</v>
      </c>
      <c r="AG1174" s="95" t="s">
        <v>7</v>
      </c>
      <c r="AH1174" s="95" t="s">
        <v>7</v>
      </c>
      <c r="AI1174" s="95" t="s">
        <v>7</v>
      </c>
      <c r="AJ1174" s="96" t="s">
        <v>7</v>
      </c>
      <c r="AK1174" s="97" t="s">
        <v>7</v>
      </c>
      <c r="AL1174" s="95" t="s">
        <v>7</v>
      </c>
      <c r="AM1174" s="90"/>
      <c r="AN1174" s="90"/>
      <c r="AO1174" s="90"/>
      <c r="AP1174" s="90"/>
      <c r="AQ1174" s="90"/>
      <c r="AR1174" s="90"/>
      <c r="AS1174" s="90"/>
      <c r="AT1174" s="90"/>
      <c r="AU1174" s="90"/>
      <c r="AV1174" s="91"/>
      <c r="AX1174" s="92"/>
    </row>
    <row r="1175" customFormat="false" ht="15.65" hidden="false" customHeight="false" outlineLevel="0" collapsed="false">
      <c r="C1175" s="72" t="n">
        <f aca="false">COUNTIFS($D$6:D1175,"&lt;&gt;"&amp;"")</f>
        <v>1170</v>
      </c>
      <c r="D1175" s="73" t="s">
        <v>12</v>
      </c>
      <c r="E1175" s="76" t="str">
        <f aca="false">
IF($D1175="정상",INDEX(임대자산!$D$3:$R$3000,MATCH($F1175,임대자산!$I$3:$I$3000,0),MATCH(E$3,임대자산!$D$3:$R$3,0)),
IF($D1175="폐업",INDEX(폐업정보!$D$3:$R$3000,MATCH($F1175,폐업정보!$I$3:$I$3000,0),MATCH(E$3,폐업정보!$D$3:$R$3,0)),
"Error"))</f>
        <v>서울</v>
      </c>
      <c r="F117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B1170</v>
      </c>
      <c r="G1175" s="76" t="str">
        <f aca="false">F1175&amp;RANDBETWEEN(0,10)</f>
        <v>B11707</v>
      </c>
      <c r="H1175" s="75" t="n">
        <f aca="false">
IF($D1175="정상",INDEX(임대자산!$D$3:$R$3000,MATCH($F1175,임대자산!$I$3:$I$3000,0),MATCH(H$4,임대자산!$D$3:$R$3,0)),
IF($D1175="폐업",INDEX(폐업정보!$D$3:$R$3000,MATCH($F1175,폐업정보!$I$3:$I$3000,0),MATCH(H$4,폐업정보!$D$3:$R$3,0)),
"Error"))</f>
        <v>44728</v>
      </c>
      <c r="I1175" s="75" t="str">
        <f aca="false">
IF($D1175="정상",INDEX(임대자산!$D$3:$R$3000,MATCH($F1175,임대자산!$I$3:$I$3000,0),MATCH(I$4,임대자산!$D$3:$R$3,0)),
IF($D1175="폐업",INDEX(폐업정보!$D$3:$R$3000,MATCH($F1175,폐업정보!$I$3:$I$3000,0),MATCH(I$4,폐업정보!$D$3:$R$3,0)),
"Error"))</f>
        <v>A1170</v>
      </c>
      <c r="J1175" s="75" t="str">
        <f aca="false">
IF($D1175="정상",INDEX(임대자산!$D$3:$R$3000,MATCH($F1175,임대자산!$I$3:$I$3000,0),MATCH(J$4,임대자산!$D$3:$R$3,0)),
IF($D1175="폐업",INDEX(폐업정보!$D$3:$R$3000,MATCH($F1175,폐업정보!$I$3:$I$3000,0),MATCH(J$4,폐업정보!$D$3:$R$3,0)),
"Error"))</f>
        <v>8272300000</v>
      </c>
      <c r="K1175" s="75" t="str">
        <f aca="false">
IF($D1175="정상",INDEX(임대자산!$D$3:$R$3000,MATCH($F1175,임대자산!$I$3:$I$3000,0),MATCH(K$4,임대자산!$D$3:$R$3,0)),
IF($D1175="폐업",INDEX(폐업정보!$D$3:$R$3000,MATCH($F1175,폐업정보!$I$3:$I$3000,0),MATCH(K$4,폐업정보!$D$3:$R$3,0)),
"Error"))</f>
        <v>C1170</v>
      </c>
      <c r="L1175" s="75" t="str">
        <f aca="false">
IF($D1175="정상",INDEX(임대자산!$D$3:$R$3000,MATCH($F1175,임대자산!$I$3:$I$3000,0),MATCH(L$4,임대자산!$D$3:$R$3,0)),
IF($D1175="폐업",INDEX(폐업정보!$D$3:$R$3000,MATCH($F1175,폐업정보!$I$3:$I$3000,0),MATCH(L$4,폐업정보!$D$3:$R$3,0)),
"Error"))</f>
        <v>D1170</v>
      </c>
      <c r="M1175" s="76" t="s">
        <v>96</v>
      </c>
      <c r="N1175" s="77"/>
      <c r="O1175" s="78" t="s">
        <v>97</v>
      </c>
      <c r="P1175" s="79" t="n">
        <f aca="false">COUNTIFS(임대자산!$I:$I,가맹점정보!F1175,임대자산!$N:$N,가맹점정보!P$4)</f>
        <v>0</v>
      </c>
      <c r="Q1175" s="80" t="n">
        <f aca="false">COUNTIFS(임대자산!$I:$I,가맹점정보!F1175,임대자산!$N:$N,가맹점정보!Q$4)</f>
        <v>0</v>
      </c>
      <c r="R1175" s="81" t="n">
        <f aca="false">COUNTIFS(임대자산!$I:$I,가맹점정보!F1175,임대자산!$N:$N,가맹점정보!R$4)</f>
        <v>1</v>
      </c>
      <c r="S1175" s="82" t="n">
        <v>55000</v>
      </c>
      <c r="T1175" s="83" t="n">
        <v>0</v>
      </c>
      <c r="U1175" s="80" t="n">
        <f aca="false">SUM(S1175:T1175)</f>
        <v>55000</v>
      </c>
      <c r="V1175" s="84" t="s">
        <v>12</v>
      </c>
      <c r="W1175" s="80" t="e">
        <f aca="true">
IF(D1175="폐업","폐업",
IF(V1175="면제","면제",
IF(AND(V1175="정상",COUNTIFS(OFFSET(Y1175,0,COUNTA(Y1175:AV1175)-1,1,-4),"미납")&gt;=3),"장기미납",
IF(AND(V1175="정상",OFFSET(Y1175,0,COUNTA(Y1175:AV1175)-1)&gt;=U1175),"정상",
IF(AND(V1175="정상",OFFSET(Y1175,0,COUNTA(Y1175:AV1175)-1)=0),"정상",
"계약서 미작성")))))</f>
        <v>#VALUE!</v>
      </c>
      <c r="X1175" s="81" t="str">
        <f aca="true">
IF(D1175="폐업","폐업",
IF(AND(V1175="정상",OFFSET(Y1175,0,COUNTA(Y1175:AV1175)-1)="미납"),"미납",
IF(AND(V1175="정상",OFFSET(Y1175,0,COUNTA(Y1175:AV1175)-1)=0),"납부 시작 전",
IF(AND(V1175="정상",OFFSET(Y1175,0,COUNTA(Y1175:AV1175)-1)&gt;=U1175),"정상",
IF(AND(V1175="면제",OFFSET(Y1175,0,COUNTA(Y1175:AV1175)-1)="면제"),"면제",
IF(AND(V1175="면제",OFFSET(Y1175,0,COUNTA(Y1175:AV1175)-1)=0),"면제",
"확인요청"))))))</f>
        <v>정상</v>
      </c>
      <c r="Y1175" s="93" t="n">
        <v>55000</v>
      </c>
      <c r="Z1175" s="90" t="n">
        <v>55000</v>
      </c>
      <c r="AA1175" s="90" t="n">
        <v>55000</v>
      </c>
      <c r="AB1175" s="90" t="n">
        <v>55000</v>
      </c>
      <c r="AC1175" s="90" t="n">
        <v>55000</v>
      </c>
      <c r="AD1175" s="90" t="n">
        <v>55000</v>
      </c>
      <c r="AE1175" s="90" t="n">
        <v>55000</v>
      </c>
      <c r="AF1175" s="90" t="n">
        <v>55000</v>
      </c>
      <c r="AG1175" s="90" t="n">
        <v>55000</v>
      </c>
      <c r="AH1175" s="90" t="n">
        <v>55000</v>
      </c>
      <c r="AI1175" s="90" t="n">
        <v>55000</v>
      </c>
      <c r="AJ1175" s="91" t="n">
        <v>55000</v>
      </c>
      <c r="AK1175" s="89" t="n">
        <v>55000</v>
      </c>
      <c r="AL1175" s="90" t="n">
        <v>55000</v>
      </c>
      <c r="AM1175" s="90"/>
      <c r="AN1175" s="90"/>
      <c r="AO1175" s="90"/>
      <c r="AP1175" s="90"/>
      <c r="AQ1175" s="90"/>
      <c r="AR1175" s="90"/>
      <c r="AS1175" s="90"/>
      <c r="AT1175" s="90"/>
      <c r="AU1175" s="90"/>
      <c r="AV1175" s="91"/>
      <c r="AX1175" s="92"/>
    </row>
    <row r="1176" customFormat="false" ht="15.65" hidden="false" customHeight="false" outlineLevel="0" collapsed="false">
      <c r="C1176" s="72" t="n">
        <f aca="false">COUNTIFS($D$6:D1176,"&lt;&gt;"&amp;"")</f>
        <v>1171</v>
      </c>
      <c r="D1176" s="73" t="s">
        <v>12</v>
      </c>
      <c r="E1176" s="76" t="str">
        <f aca="false">
IF($D1176="정상",INDEX(임대자산!$D$3:$R$3000,MATCH($F1176,임대자산!$I$3:$I$3000,0),MATCH(E$3,임대자산!$D$3:$R$3,0)),
IF($D1176="폐업",INDEX(폐업정보!$D$3:$R$3000,MATCH($F1176,폐업정보!$I$3:$I$3000,0),MATCH(E$3,폐업정보!$D$3:$R$3,0)),
"Error"))</f>
        <v>서울</v>
      </c>
      <c r="F117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B1171</v>
      </c>
      <c r="G1176" s="76" t="str">
        <f aca="false">F1176&amp;RANDBETWEEN(0,10)</f>
        <v>B11711</v>
      </c>
      <c r="H1176" s="75" t="n">
        <f aca="false">
IF($D1176="정상",INDEX(임대자산!$D$3:$R$3000,MATCH($F1176,임대자산!$I$3:$I$3000,0),MATCH(H$4,임대자산!$D$3:$R$3,0)),
IF($D1176="폐업",INDEX(폐업정보!$D$3:$R$3000,MATCH($F1176,폐업정보!$I$3:$I$3000,0),MATCH(H$4,폐업정보!$D$3:$R$3,0)),
"Error"))</f>
        <v>45945</v>
      </c>
      <c r="I1176" s="75" t="str">
        <f aca="false">
IF($D1176="정상",INDEX(임대자산!$D$3:$R$3000,MATCH($F1176,임대자산!$I$3:$I$3000,0),MATCH(I$4,임대자산!$D$3:$R$3,0)),
IF($D1176="폐업",INDEX(폐업정보!$D$3:$R$3000,MATCH($F1176,폐업정보!$I$3:$I$3000,0),MATCH(I$4,폐업정보!$D$3:$R$3,0)),
"Error"))</f>
        <v>A1171</v>
      </c>
      <c r="J1176" s="75" t="str">
        <f aca="false">
IF($D1176="정상",INDEX(임대자산!$D$3:$R$3000,MATCH($F1176,임대자산!$I$3:$I$3000,0),MATCH(J$4,임대자산!$D$3:$R$3,0)),
IF($D1176="폐업",INDEX(폐업정보!$D$3:$R$3000,MATCH($F1176,폐업정보!$I$3:$I$3000,0),MATCH(J$4,폐업정보!$D$3:$R$3,0)),
"Error"))</f>
        <v>6883500000</v>
      </c>
      <c r="K1176" s="75" t="str">
        <f aca="false">
IF($D1176="정상",INDEX(임대자산!$D$3:$R$3000,MATCH($F1176,임대자산!$I$3:$I$3000,0),MATCH(K$4,임대자산!$D$3:$R$3,0)),
IF($D1176="폐업",INDEX(폐업정보!$D$3:$R$3000,MATCH($F1176,폐업정보!$I$3:$I$3000,0),MATCH(K$4,폐업정보!$D$3:$R$3,0)),
"Error"))</f>
        <v>C1171</v>
      </c>
      <c r="L1176" s="75" t="str">
        <f aca="false">
IF($D1176="정상",INDEX(임대자산!$D$3:$R$3000,MATCH($F1176,임대자산!$I$3:$I$3000,0),MATCH(L$4,임대자산!$D$3:$R$3,0)),
IF($D1176="폐업",INDEX(폐업정보!$D$3:$R$3000,MATCH($F1176,폐업정보!$I$3:$I$3000,0),MATCH(L$4,폐업정보!$D$3:$R$3,0)),
"Error"))</f>
        <v>D1171</v>
      </c>
      <c r="M1176" s="76" t="s">
        <v>96</v>
      </c>
      <c r="N1176" s="77"/>
      <c r="O1176" s="78" t="s">
        <v>97</v>
      </c>
      <c r="P1176" s="79" t="n">
        <f aca="false">COUNTIFS(임대자산!$I:$I,가맹점정보!F1176,임대자산!$N:$N,가맹점정보!P$4)</f>
        <v>0</v>
      </c>
      <c r="Q1176" s="80" t="n">
        <f aca="false">COUNTIFS(임대자산!$I:$I,가맹점정보!F1176,임대자산!$N:$N,가맹점정보!Q$4)</f>
        <v>0</v>
      </c>
      <c r="R1176" s="81" t="n">
        <f aca="false">COUNTIFS(임대자산!$I:$I,가맹점정보!F1176,임대자산!$N:$N,가맹점정보!R$4)</f>
        <v>1</v>
      </c>
      <c r="S1176" s="82" t="n">
        <v>55000</v>
      </c>
      <c r="T1176" s="83" t="n">
        <v>0</v>
      </c>
      <c r="U1176" s="80" t="n">
        <f aca="false">SUM(S1176:T1176)</f>
        <v>55000</v>
      </c>
      <c r="V1176" s="84" t="s">
        <v>12</v>
      </c>
      <c r="W1176" s="80" t="e">
        <f aca="true">
IF(D1176="폐업","폐업",
IF(V1176="면제","면제",
IF(AND(V1176="정상",COUNTIFS(OFFSET(Y1176,0,COUNTA(Y1176:AV1176)-1,1,-4),"미납")&gt;=3),"장기미납",
IF(AND(V1176="정상",OFFSET(Y1176,0,COUNTA(Y1176:AV1176)-1)&gt;=U1176),"정상",
IF(AND(V1176="정상",OFFSET(Y1176,0,COUNTA(Y1176:AV1176)-1)=0),"정상",
"계약서 미작성")))))</f>
        <v>#VALUE!</v>
      </c>
      <c r="X1176" s="81" t="str">
        <f aca="true">
IF(D1176="폐업","폐업",
IF(AND(V1176="정상",OFFSET(Y1176,0,COUNTA(Y1176:AV1176)-1)="미납"),"미납",
IF(AND(V1176="정상",OFFSET(Y1176,0,COUNTA(Y1176:AV1176)-1)=0),"납부 시작 전",
IF(AND(V1176="정상",OFFSET(Y1176,0,COUNTA(Y1176:AV1176)-1)&gt;=U1176),"정상",
IF(AND(V1176="면제",OFFSET(Y1176,0,COUNTA(Y1176:AV1176)-1)="면제"),"면제",
IF(AND(V1176="면제",OFFSET(Y1176,0,COUNTA(Y1176:AV1176)-1)=0),"면제",
"확인요청"))))))</f>
        <v>정상</v>
      </c>
      <c r="Y1176" s="93" t="n">
        <v>55000</v>
      </c>
      <c r="Z1176" s="90" t="n">
        <v>55000</v>
      </c>
      <c r="AA1176" s="90" t="n">
        <v>55000</v>
      </c>
      <c r="AB1176" s="90" t="n">
        <v>55000</v>
      </c>
      <c r="AC1176" s="90" t="n">
        <v>55000</v>
      </c>
      <c r="AD1176" s="90" t="n">
        <v>55000</v>
      </c>
      <c r="AE1176" s="90" t="n">
        <v>55000</v>
      </c>
      <c r="AF1176" s="90" t="n">
        <v>55000</v>
      </c>
      <c r="AG1176" s="90" t="n">
        <v>55000</v>
      </c>
      <c r="AH1176" s="90" t="n">
        <v>55000</v>
      </c>
      <c r="AI1176" s="90" t="n">
        <v>55000</v>
      </c>
      <c r="AJ1176" s="91" t="n">
        <v>55000</v>
      </c>
      <c r="AK1176" s="89" t="n">
        <v>55000</v>
      </c>
      <c r="AL1176" s="90" t="n">
        <v>55000</v>
      </c>
      <c r="AM1176" s="90"/>
      <c r="AN1176" s="90"/>
      <c r="AO1176" s="90"/>
      <c r="AP1176" s="90"/>
      <c r="AQ1176" s="90"/>
      <c r="AR1176" s="90"/>
      <c r="AS1176" s="90"/>
      <c r="AT1176" s="90"/>
      <c r="AU1176" s="90"/>
      <c r="AV1176" s="91"/>
      <c r="AX1176" s="92"/>
    </row>
    <row r="1177" customFormat="false" ht="15.65" hidden="false" customHeight="false" outlineLevel="0" collapsed="false">
      <c r="C1177" s="72" t="n">
        <f aca="false">COUNTIFS($D$6:D1177,"&lt;&gt;"&amp;"")</f>
        <v>1172</v>
      </c>
      <c r="D1177" s="73" t="s">
        <v>12</v>
      </c>
      <c r="E1177" s="76" t="str">
        <f aca="false">
IF($D1177="정상",INDEX(임대자산!$D$3:$R$3000,MATCH($F1177,임대자산!$I$3:$I$3000,0),MATCH(E$3,임대자산!$D$3:$R$3,0)),
IF($D1177="폐업",INDEX(폐업정보!$D$3:$R$3000,MATCH($F1177,폐업정보!$I$3:$I$3000,0),MATCH(E$3,폐업정보!$D$3:$R$3,0)),
"Error"))</f>
        <v>서울</v>
      </c>
      <c r="F117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B1172</v>
      </c>
      <c r="G1177" s="76" t="str">
        <f aca="false">F1177&amp;RANDBETWEEN(0,10)</f>
        <v>B117210</v>
      </c>
      <c r="H1177" s="75" t="n">
        <f aca="false">
IF($D1177="정상",INDEX(임대자산!$D$3:$R$3000,MATCH($F1177,임대자산!$I$3:$I$3000,0),MATCH(H$4,임대자산!$D$3:$R$3,0)),
IF($D1177="폐업",INDEX(폐업정보!$D$3:$R$3000,MATCH($F1177,폐업정보!$I$3:$I$3000,0),MATCH(H$4,폐업정보!$D$3:$R$3,0)),
"Error"))</f>
        <v>44735</v>
      </c>
      <c r="I1177" s="75" t="str">
        <f aca="false">
IF($D1177="정상",INDEX(임대자산!$D$3:$R$3000,MATCH($F1177,임대자산!$I$3:$I$3000,0),MATCH(I$4,임대자산!$D$3:$R$3,0)),
IF($D1177="폐업",INDEX(폐업정보!$D$3:$R$3000,MATCH($F1177,폐업정보!$I$3:$I$3000,0),MATCH(I$4,폐업정보!$D$3:$R$3,0)),
"Error"))</f>
        <v>A1172</v>
      </c>
      <c r="J1177" s="75" t="str">
        <f aca="false">
IF($D1177="정상",INDEX(임대자산!$D$3:$R$3000,MATCH($F1177,임대자산!$I$3:$I$3000,0),MATCH(J$4,임대자산!$D$3:$R$3,0)),
IF($D1177="폐업",INDEX(폐업정보!$D$3:$R$3000,MATCH($F1177,폐업정보!$I$3:$I$3000,0),MATCH(J$4,폐업정보!$D$3:$R$3,0)),
"Error"))</f>
        <v>3186500000</v>
      </c>
      <c r="K1177" s="75" t="str">
        <f aca="false">
IF($D1177="정상",INDEX(임대자산!$D$3:$R$3000,MATCH($F1177,임대자산!$I$3:$I$3000,0),MATCH(K$4,임대자산!$D$3:$R$3,0)),
IF($D1177="폐업",INDEX(폐업정보!$D$3:$R$3000,MATCH($F1177,폐업정보!$I$3:$I$3000,0),MATCH(K$4,폐업정보!$D$3:$R$3,0)),
"Error"))</f>
        <v>C1172</v>
      </c>
      <c r="L1177" s="75" t="str">
        <f aca="false">
IF($D1177="정상",INDEX(임대자산!$D$3:$R$3000,MATCH($F1177,임대자산!$I$3:$I$3000,0),MATCH(L$4,임대자산!$D$3:$R$3,0)),
IF($D1177="폐업",INDEX(폐업정보!$D$3:$R$3000,MATCH($F1177,폐업정보!$I$3:$I$3000,0),MATCH(L$4,폐업정보!$D$3:$R$3,0)),
"Error"))</f>
        <v>D1172</v>
      </c>
      <c r="M1177" s="76" t="s">
        <v>96</v>
      </c>
      <c r="N1177" s="77"/>
      <c r="O1177" s="78" t="s">
        <v>97</v>
      </c>
      <c r="P1177" s="79" t="n">
        <f aca="false">COUNTIFS(임대자산!$I:$I,가맹점정보!F1177,임대자산!$N:$N,가맹점정보!P$4)</f>
        <v>0</v>
      </c>
      <c r="Q1177" s="80" t="n">
        <f aca="false">COUNTIFS(임대자산!$I:$I,가맹점정보!F1177,임대자산!$N:$N,가맹점정보!Q$4)</f>
        <v>0</v>
      </c>
      <c r="R1177" s="81" t="n">
        <f aca="false">COUNTIFS(임대자산!$I:$I,가맹점정보!F1177,임대자산!$N:$N,가맹점정보!R$4)</f>
        <v>1</v>
      </c>
      <c r="S1177" s="82" t="n">
        <v>55000</v>
      </c>
      <c r="T1177" s="83" t="n">
        <v>0</v>
      </c>
      <c r="U1177" s="80" t="n">
        <f aca="false">SUM(S1177:T1177)</f>
        <v>55000</v>
      </c>
      <c r="V1177" s="84" t="s">
        <v>12</v>
      </c>
      <c r="W1177" s="80" t="e">
        <f aca="true">
IF(D1177="폐업","폐업",
IF(V1177="면제","면제",
IF(AND(V1177="정상",COUNTIFS(OFFSET(Y1177,0,COUNTA(Y1177:AV1177)-1,1,-4),"미납")&gt;=3),"장기미납",
IF(AND(V1177="정상",OFFSET(Y1177,0,COUNTA(Y1177:AV1177)-1)&gt;=U1177),"정상",
IF(AND(V1177="정상",OFFSET(Y1177,0,COUNTA(Y1177:AV1177)-1)=0),"정상",
"계약서 미작성")))))</f>
        <v>#VALUE!</v>
      </c>
      <c r="X1177" s="81" t="str">
        <f aca="true">
IF(D1177="폐업","폐업",
IF(AND(V1177="정상",OFFSET(Y1177,0,COUNTA(Y1177:AV1177)-1)="미납"),"미납",
IF(AND(V1177="정상",OFFSET(Y1177,0,COUNTA(Y1177:AV1177)-1)=0),"납부 시작 전",
IF(AND(V1177="정상",OFFSET(Y1177,0,COUNTA(Y1177:AV1177)-1)&gt;=U1177),"정상",
IF(AND(V1177="면제",OFFSET(Y1177,0,COUNTA(Y1177:AV1177)-1)="면제"),"면제",
IF(AND(V1177="면제",OFFSET(Y1177,0,COUNTA(Y1177:AV1177)-1)=0),"면제",
"확인요청"))))))</f>
        <v>정상</v>
      </c>
      <c r="Y1177" s="93" t="n">
        <v>55000</v>
      </c>
      <c r="Z1177" s="90" t="n">
        <v>55000</v>
      </c>
      <c r="AA1177" s="90" t="n">
        <v>55000</v>
      </c>
      <c r="AB1177" s="90" t="n">
        <v>55000</v>
      </c>
      <c r="AC1177" s="90" t="n">
        <v>55000</v>
      </c>
      <c r="AD1177" s="90" t="n">
        <v>55000</v>
      </c>
      <c r="AE1177" s="90" t="n">
        <v>55000</v>
      </c>
      <c r="AF1177" s="90" t="n">
        <v>55000</v>
      </c>
      <c r="AG1177" s="90" t="n">
        <v>55000</v>
      </c>
      <c r="AH1177" s="90" t="n">
        <v>55000</v>
      </c>
      <c r="AI1177" s="90" t="n">
        <v>55000</v>
      </c>
      <c r="AJ1177" s="91" t="n">
        <v>55000</v>
      </c>
      <c r="AK1177" s="89" t="n">
        <v>55000</v>
      </c>
      <c r="AL1177" s="90" t="n">
        <v>55000</v>
      </c>
      <c r="AM1177" s="90"/>
      <c r="AN1177" s="90"/>
      <c r="AO1177" s="90"/>
      <c r="AP1177" s="90"/>
      <c r="AQ1177" s="90"/>
      <c r="AR1177" s="90"/>
      <c r="AS1177" s="90"/>
      <c r="AT1177" s="90"/>
      <c r="AU1177" s="90"/>
      <c r="AV1177" s="91"/>
      <c r="AX1177" s="92"/>
    </row>
    <row r="1178" customFormat="false" ht="15.65" hidden="false" customHeight="false" outlineLevel="0" collapsed="false">
      <c r="C1178" s="72" t="n">
        <f aca="false">COUNTIFS($D$6:D1178,"&lt;&gt;"&amp;"")</f>
        <v>1173</v>
      </c>
      <c r="D1178" s="73" t="s">
        <v>12</v>
      </c>
      <c r="E1178" s="76" t="str">
        <f aca="false">
IF($D1178="정상",INDEX(임대자산!$D$3:$R$3000,MATCH($F1178,임대자산!$I$3:$I$3000,0),MATCH(E$3,임대자산!$D$3:$R$3,0)),
IF($D1178="폐업",INDEX(폐업정보!$D$3:$R$3000,MATCH($F1178,폐업정보!$I$3:$I$3000,0),MATCH(E$3,폐업정보!$D$3:$R$3,0)),
"Error"))</f>
        <v>서울</v>
      </c>
      <c r="F117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B1173</v>
      </c>
      <c r="G1178" s="76" t="str">
        <f aca="false">F1178&amp;RANDBETWEEN(0,10)</f>
        <v>B11733</v>
      </c>
      <c r="H1178" s="75" t="n">
        <f aca="false">
IF($D1178="정상",INDEX(임대자산!$D$3:$R$3000,MATCH($F1178,임대자산!$I$3:$I$3000,0),MATCH(H$4,임대자산!$D$3:$R$3,0)),
IF($D1178="폐업",INDEX(폐업정보!$D$3:$R$3000,MATCH($F1178,폐업정보!$I$3:$I$3000,0),MATCH(H$4,폐업정보!$D$3:$R$3,0)),
"Error"))</f>
        <v>45625</v>
      </c>
      <c r="I1178" s="75" t="str">
        <f aca="false">
IF($D1178="정상",INDEX(임대자산!$D$3:$R$3000,MATCH($F1178,임대자산!$I$3:$I$3000,0),MATCH(I$4,임대자산!$D$3:$R$3,0)),
IF($D1178="폐업",INDEX(폐업정보!$D$3:$R$3000,MATCH($F1178,폐업정보!$I$3:$I$3000,0),MATCH(I$4,폐업정보!$D$3:$R$3,0)),
"Error"))</f>
        <v>A1173</v>
      </c>
      <c r="J1178" s="75" t="str">
        <f aca="false">
IF($D1178="정상",INDEX(임대자산!$D$3:$R$3000,MATCH($F1178,임대자산!$I$3:$I$3000,0),MATCH(J$4,임대자산!$D$3:$R$3,0)),
IF($D1178="폐업",INDEX(폐업정보!$D$3:$R$3000,MATCH($F1178,폐업정보!$I$3:$I$3000,0),MATCH(J$4,폐업정보!$D$3:$R$3,0)),
"Error"))</f>
        <v>8203700000</v>
      </c>
      <c r="K1178" s="75" t="str">
        <f aca="false">
IF($D1178="정상",INDEX(임대자산!$D$3:$R$3000,MATCH($F1178,임대자산!$I$3:$I$3000,0),MATCH(K$4,임대자산!$D$3:$R$3,0)),
IF($D1178="폐업",INDEX(폐업정보!$D$3:$R$3000,MATCH($F1178,폐업정보!$I$3:$I$3000,0),MATCH(K$4,폐업정보!$D$3:$R$3,0)),
"Error"))</f>
        <v>C1173</v>
      </c>
      <c r="L1178" s="75" t="str">
        <f aca="false">
IF($D1178="정상",INDEX(임대자산!$D$3:$R$3000,MATCH($F1178,임대자산!$I$3:$I$3000,0),MATCH(L$4,임대자산!$D$3:$R$3,0)),
IF($D1178="폐업",INDEX(폐업정보!$D$3:$R$3000,MATCH($F1178,폐업정보!$I$3:$I$3000,0),MATCH(L$4,폐업정보!$D$3:$R$3,0)),
"Error"))</f>
        <v>D1173</v>
      </c>
      <c r="M1178" s="76" t="s">
        <v>96</v>
      </c>
      <c r="N1178" s="77"/>
      <c r="O1178" s="78" t="s">
        <v>97</v>
      </c>
      <c r="P1178" s="79" t="n">
        <f aca="false">COUNTIFS(임대자산!$I:$I,가맹점정보!F1178,임대자산!$N:$N,가맹점정보!P$4)</f>
        <v>0</v>
      </c>
      <c r="Q1178" s="80" t="n">
        <f aca="false">COUNTIFS(임대자산!$I:$I,가맹점정보!F1178,임대자산!$N:$N,가맹점정보!Q$4)</f>
        <v>0</v>
      </c>
      <c r="R1178" s="81" t="n">
        <f aca="false">COUNTIFS(임대자산!$I:$I,가맹점정보!F1178,임대자산!$N:$N,가맹점정보!R$4)</f>
        <v>1</v>
      </c>
      <c r="S1178" s="82" t="n">
        <v>55000</v>
      </c>
      <c r="T1178" s="83" t="n">
        <v>0</v>
      </c>
      <c r="U1178" s="80" t="n">
        <f aca="false">SUM(S1178:T1178)</f>
        <v>55000</v>
      </c>
      <c r="V1178" s="84" t="s">
        <v>7</v>
      </c>
      <c r="W1178" s="80" t="str">
        <f aca="true">
IF(D1178="폐업","폐업",
IF(V1178="면제","면제",
IF(AND(V1178="정상",COUNTIFS(OFFSET(Y1178,0,COUNTA(Y1178:AV1178)-1,1,-4),"미납")&gt;=3),"장기미납",
IF(AND(V1178="정상",OFFSET(Y1178,0,COUNTA(Y1178:AV1178)-1)&gt;=U1178),"정상",
IF(AND(V1178="정상",OFFSET(Y1178,0,COUNTA(Y1178:AV1178)-1)=0),"정상",
"계약서 미작성")))))</f>
        <v>면제</v>
      </c>
      <c r="X1178" s="81" t="str">
        <f aca="true">
IF(D1178="폐업","폐업",
IF(AND(V1178="정상",OFFSET(Y1178,0,COUNTA(Y1178:AV1178)-1)="미납"),"미납",
IF(AND(V1178="정상",OFFSET(Y1178,0,COUNTA(Y1178:AV1178)-1)=0),"납부 시작 전",
IF(AND(V1178="정상",OFFSET(Y1178,0,COUNTA(Y1178:AV1178)-1)&gt;=U1178),"정상",
IF(AND(V1178="면제",OFFSET(Y1178,0,COUNTA(Y1178:AV1178)-1)="면제"),"면제",
IF(AND(V1178="면제",OFFSET(Y1178,0,COUNTA(Y1178:AV1178)-1)=0),"면제",
"확인요청"))))))</f>
        <v>면제</v>
      </c>
      <c r="Y1178" s="94" t="s">
        <v>7</v>
      </c>
      <c r="Z1178" s="95" t="s">
        <v>7</v>
      </c>
      <c r="AA1178" s="95" t="s">
        <v>7</v>
      </c>
      <c r="AB1178" s="95" t="s">
        <v>7</v>
      </c>
      <c r="AC1178" s="95" t="s">
        <v>7</v>
      </c>
      <c r="AD1178" s="95" t="s">
        <v>7</v>
      </c>
      <c r="AE1178" s="95" t="s">
        <v>7</v>
      </c>
      <c r="AF1178" s="95" t="s">
        <v>7</v>
      </c>
      <c r="AG1178" s="95" t="s">
        <v>7</v>
      </c>
      <c r="AH1178" s="95" t="s">
        <v>7</v>
      </c>
      <c r="AI1178" s="95" t="s">
        <v>7</v>
      </c>
      <c r="AJ1178" s="96" t="s">
        <v>7</v>
      </c>
      <c r="AK1178" s="97" t="s">
        <v>7</v>
      </c>
      <c r="AL1178" s="95" t="s">
        <v>7</v>
      </c>
      <c r="AM1178" s="90"/>
      <c r="AN1178" s="90"/>
      <c r="AO1178" s="90"/>
      <c r="AP1178" s="90"/>
      <c r="AQ1178" s="90"/>
      <c r="AR1178" s="90"/>
      <c r="AS1178" s="90"/>
      <c r="AT1178" s="90"/>
      <c r="AU1178" s="90"/>
      <c r="AV1178" s="91"/>
      <c r="AX1178" s="92"/>
    </row>
    <row r="1179" customFormat="false" ht="15.65" hidden="false" customHeight="false" outlineLevel="0" collapsed="false">
      <c r="C1179" s="72" t="n">
        <f aca="false">COUNTIFS($D$6:D1179,"&lt;&gt;"&amp;"")</f>
        <v>1174</v>
      </c>
      <c r="D1179" s="73" t="s">
        <v>12</v>
      </c>
      <c r="E1179" s="76" t="str">
        <f aca="false">
IF($D1179="정상",INDEX(임대자산!$D$3:$R$3000,MATCH($F1179,임대자산!$I$3:$I$3000,0),MATCH(E$3,임대자산!$D$3:$R$3,0)),
IF($D1179="폐업",INDEX(폐업정보!$D$3:$R$3000,MATCH($F1179,폐업정보!$I$3:$I$3000,0),MATCH(E$3,폐업정보!$D$3:$R$3,0)),
"Error"))</f>
        <v>서울</v>
      </c>
      <c r="F117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B1174</v>
      </c>
      <c r="G1179" s="76" t="str">
        <f aca="false">F1179&amp;RANDBETWEEN(0,10)</f>
        <v>B11743</v>
      </c>
      <c r="H1179" s="75" t="n">
        <f aca="false">
IF($D1179="정상",INDEX(임대자산!$D$3:$R$3000,MATCH($F1179,임대자산!$I$3:$I$3000,0),MATCH(H$4,임대자산!$D$3:$R$3,0)),
IF($D1179="폐업",INDEX(폐업정보!$D$3:$R$3000,MATCH($F1179,폐업정보!$I$3:$I$3000,0),MATCH(H$4,폐업정보!$D$3:$R$3,0)),
"Error"))</f>
        <v>44936</v>
      </c>
      <c r="I1179" s="75" t="str">
        <f aca="false">
IF($D1179="정상",INDEX(임대자산!$D$3:$R$3000,MATCH($F1179,임대자산!$I$3:$I$3000,0),MATCH(I$4,임대자산!$D$3:$R$3,0)),
IF($D1179="폐업",INDEX(폐업정보!$D$3:$R$3000,MATCH($F1179,폐업정보!$I$3:$I$3000,0),MATCH(I$4,폐업정보!$D$3:$R$3,0)),
"Error"))</f>
        <v>A1174</v>
      </c>
      <c r="J1179" s="75" t="str">
        <f aca="false">
IF($D1179="정상",INDEX(임대자산!$D$3:$R$3000,MATCH($F1179,임대자산!$I$3:$I$3000,0),MATCH(J$4,임대자산!$D$3:$R$3,0)),
IF($D1179="폐업",INDEX(폐업정보!$D$3:$R$3000,MATCH($F1179,폐업정보!$I$3:$I$3000,0),MATCH(J$4,폐업정보!$D$3:$R$3,0)),
"Error"))</f>
        <v>5919500000</v>
      </c>
      <c r="K1179" s="75" t="str">
        <f aca="false">
IF($D1179="정상",INDEX(임대자산!$D$3:$R$3000,MATCH($F1179,임대자산!$I$3:$I$3000,0),MATCH(K$4,임대자산!$D$3:$R$3,0)),
IF($D1179="폐업",INDEX(폐업정보!$D$3:$R$3000,MATCH($F1179,폐업정보!$I$3:$I$3000,0),MATCH(K$4,폐업정보!$D$3:$R$3,0)),
"Error"))</f>
        <v>C1174</v>
      </c>
      <c r="L1179" s="75" t="str">
        <f aca="false">
IF($D1179="정상",INDEX(임대자산!$D$3:$R$3000,MATCH($F1179,임대자산!$I$3:$I$3000,0),MATCH(L$4,임대자산!$D$3:$R$3,0)),
IF($D1179="폐업",INDEX(폐업정보!$D$3:$R$3000,MATCH($F1179,폐업정보!$I$3:$I$3000,0),MATCH(L$4,폐업정보!$D$3:$R$3,0)),
"Error"))</f>
        <v>D1174</v>
      </c>
      <c r="M1179" s="76" t="s">
        <v>96</v>
      </c>
      <c r="N1179" s="77"/>
      <c r="O1179" s="78" t="s">
        <v>97</v>
      </c>
      <c r="P1179" s="79" t="n">
        <f aca="false">COUNTIFS(임대자산!$I:$I,가맹점정보!F1179,임대자산!$N:$N,가맹점정보!P$4)</f>
        <v>0</v>
      </c>
      <c r="Q1179" s="80" t="n">
        <f aca="false">COUNTIFS(임대자산!$I:$I,가맹점정보!F1179,임대자산!$N:$N,가맹점정보!Q$4)</f>
        <v>0</v>
      </c>
      <c r="R1179" s="81" t="n">
        <f aca="false">COUNTIFS(임대자산!$I:$I,가맹점정보!F1179,임대자산!$N:$N,가맹점정보!R$4)</f>
        <v>1</v>
      </c>
      <c r="S1179" s="82" t="n">
        <v>55000</v>
      </c>
      <c r="T1179" s="83" t="n">
        <v>0</v>
      </c>
      <c r="U1179" s="80" t="n">
        <f aca="false">SUM(S1179:T1179)</f>
        <v>55000</v>
      </c>
      <c r="V1179" s="84" t="s">
        <v>12</v>
      </c>
      <c r="W1179" s="80" t="e">
        <f aca="true">
IF(D1179="폐업","폐업",
IF(V1179="면제","면제",
IF(AND(V1179="정상",COUNTIFS(OFFSET(Y1179,0,COUNTA(Y1179:AV1179)-1,1,-4),"미납")&gt;=3),"장기미납",
IF(AND(V1179="정상",OFFSET(Y1179,0,COUNTA(Y1179:AV1179)-1)&gt;=U1179),"정상",
IF(AND(V1179="정상",OFFSET(Y1179,0,COUNTA(Y1179:AV1179)-1)=0),"정상",
"계약서 미작성")))))</f>
        <v>#VALUE!</v>
      </c>
      <c r="X1179" s="81" t="str">
        <f aca="true">
IF(D1179="폐업","폐업",
IF(AND(V1179="정상",OFFSET(Y1179,0,COUNTA(Y1179:AV1179)-1)="미납"),"미납",
IF(AND(V1179="정상",OFFSET(Y1179,0,COUNTA(Y1179:AV1179)-1)=0),"납부 시작 전",
IF(AND(V1179="정상",OFFSET(Y1179,0,COUNTA(Y1179:AV1179)-1)&gt;=U1179),"정상",
IF(AND(V1179="면제",OFFSET(Y1179,0,COUNTA(Y1179:AV1179)-1)="면제"),"면제",
IF(AND(V1179="면제",OFFSET(Y1179,0,COUNTA(Y1179:AV1179)-1)=0),"면제",
"확인요청"))))))</f>
        <v>정상</v>
      </c>
      <c r="Y1179" s="93" t="n">
        <v>55000</v>
      </c>
      <c r="Z1179" s="90" t="n">
        <v>0</v>
      </c>
      <c r="AA1179" s="90" t="n">
        <v>55000</v>
      </c>
      <c r="AB1179" s="90" t="n">
        <v>55000</v>
      </c>
      <c r="AC1179" s="90" t="n">
        <v>55000</v>
      </c>
      <c r="AD1179" s="90" t="n">
        <v>55000</v>
      </c>
      <c r="AE1179" s="90" t="n">
        <v>55000</v>
      </c>
      <c r="AF1179" s="90" t="n">
        <v>55000</v>
      </c>
      <c r="AG1179" s="90" t="n">
        <v>55000</v>
      </c>
      <c r="AH1179" s="90" t="n">
        <v>55000</v>
      </c>
      <c r="AI1179" s="90" t="n">
        <v>55000</v>
      </c>
      <c r="AJ1179" s="91" t="n">
        <v>55000</v>
      </c>
      <c r="AK1179" s="89" t="n">
        <v>55000</v>
      </c>
      <c r="AL1179" s="90" t="n">
        <v>55000</v>
      </c>
      <c r="AM1179" s="90"/>
      <c r="AN1179" s="90"/>
      <c r="AO1179" s="90"/>
      <c r="AP1179" s="90"/>
      <c r="AQ1179" s="90"/>
      <c r="AR1179" s="90"/>
      <c r="AS1179" s="90"/>
      <c r="AT1179" s="90"/>
      <c r="AU1179" s="90"/>
      <c r="AV1179" s="91"/>
      <c r="AX1179" s="92"/>
    </row>
    <row r="1180" customFormat="false" ht="15.65" hidden="false" customHeight="false" outlineLevel="0" collapsed="false">
      <c r="C1180" s="72" t="n">
        <f aca="false">COUNTIFS($D$6:D1180,"&lt;&gt;"&amp;"")</f>
        <v>1175</v>
      </c>
      <c r="D1180" s="73" t="s">
        <v>12</v>
      </c>
      <c r="E1180" s="76" t="str">
        <f aca="false">
IF($D1180="정상",INDEX(임대자산!$D$3:$R$3000,MATCH($F1180,임대자산!$I$3:$I$3000,0),MATCH(E$3,임대자산!$D$3:$R$3,0)),
IF($D1180="폐업",INDEX(폐업정보!$D$3:$R$3000,MATCH($F1180,폐업정보!$I$3:$I$3000,0),MATCH(E$3,폐업정보!$D$3:$R$3,0)),
"Error"))</f>
        <v>강원</v>
      </c>
      <c r="F118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B1175</v>
      </c>
      <c r="G1180" s="76" t="str">
        <f aca="false">F1180&amp;RANDBETWEEN(0,10)</f>
        <v>B11750</v>
      </c>
      <c r="H1180" s="75" t="n">
        <f aca="false">
IF($D1180="정상",INDEX(임대자산!$D$3:$R$3000,MATCH($F1180,임대자산!$I$3:$I$3000,0),MATCH(H$4,임대자산!$D$3:$R$3,0)),
IF($D1180="폐업",INDEX(폐업정보!$D$3:$R$3000,MATCH($F1180,폐업정보!$I$3:$I$3000,0),MATCH(H$4,폐업정보!$D$3:$R$3,0)),
"Error"))</f>
        <v>45512</v>
      </c>
      <c r="I1180" s="75" t="str">
        <f aca="false">
IF($D1180="정상",INDEX(임대자산!$D$3:$R$3000,MATCH($F1180,임대자산!$I$3:$I$3000,0),MATCH(I$4,임대자산!$D$3:$R$3,0)),
IF($D1180="폐업",INDEX(폐업정보!$D$3:$R$3000,MATCH($F1180,폐업정보!$I$3:$I$3000,0),MATCH(I$4,폐업정보!$D$3:$R$3,0)),
"Error"))</f>
        <v>A1175</v>
      </c>
      <c r="J1180" s="75" t="str">
        <f aca="false">
IF($D1180="정상",INDEX(임대자산!$D$3:$R$3000,MATCH($F1180,임대자산!$I$3:$I$3000,0),MATCH(J$4,임대자산!$D$3:$R$3,0)),
IF($D1180="폐업",INDEX(폐업정보!$D$3:$R$3000,MATCH($F1180,폐업정보!$I$3:$I$3000,0),MATCH(J$4,폐업정보!$D$3:$R$3,0)),
"Error"))</f>
        <v>2084600000</v>
      </c>
      <c r="K1180" s="75" t="str">
        <f aca="false">
IF($D1180="정상",INDEX(임대자산!$D$3:$R$3000,MATCH($F1180,임대자산!$I$3:$I$3000,0),MATCH(K$4,임대자산!$D$3:$R$3,0)),
IF($D1180="폐업",INDEX(폐업정보!$D$3:$R$3000,MATCH($F1180,폐업정보!$I$3:$I$3000,0),MATCH(K$4,폐업정보!$D$3:$R$3,0)),
"Error"))</f>
        <v>C1175</v>
      </c>
      <c r="L1180" s="75" t="str">
        <f aca="false">
IF($D1180="정상",INDEX(임대자산!$D$3:$R$3000,MATCH($F1180,임대자산!$I$3:$I$3000,0),MATCH(L$4,임대자산!$D$3:$R$3,0)),
IF($D1180="폐업",INDEX(폐업정보!$D$3:$R$3000,MATCH($F1180,폐업정보!$I$3:$I$3000,0),MATCH(L$4,폐업정보!$D$3:$R$3,0)),
"Error"))</f>
        <v>D1175</v>
      </c>
      <c r="M1180" s="76" t="s">
        <v>96</v>
      </c>
      <c r="N1180" s="77"/>
      <c r="O1180" s="78" t="s">
        <v>97</v>
      </c>
      <c r="P1180" s="79" t="n">
        <f aca="false">COUNTIFS(임대자산!$I:$I,가맹점정보!F1180,임대자산!$N:$N,가맹점정보!P$4)</f>
        <v>0</v>
      </c>
      <c r="Q1180" s="80" t="n">
        <f aca="false">COUNTIFS(임대자산!$I:$I,가맹점정보!F1180,임대자산!$N:$N,가맹점정보!Q$4)</f>
        <v>0</v>
      </c>
      <c r="R1180" s="81" t="n">
        <f aca="false">COUNTIFS(임대자산!$I:$I,가맹점정보!F1180,임대자산!$N:$N,가맹점정보!R$4)</f>
        <v>1</v>
      </c>
      <c r="S1180" s="82" t="n">
        <v>55000</v>
      </c>
      <c r="T1180" s="83" t="n">
        <v>0</v>
      </c>
      <c r="U1180" s="80" t="n">
        <f aca="false">SUM(S1180:T1180)</f>
        <v>55000</v>
      </c>
      <c r="V1180" s="84" t="s">
        <v>12</v>
      </c>
      <c r="W1180" s="80" t="e">
        <f aca="true">
IF(D1180="폐업","폐업",
IF(V1180="면제","면제",
IF(AND(V1180="정상",COUNTIFS(OFFSET(Y1180,0,COUNTA(Y1180:AV1180)-1,1,-4),"미납")&gt;=3),"장기미납",
IF(AND(V1180="정상",OFFSET(Y1180,0,COUNTA(Y1180:AV1180)-1)&gt;=U1180),"정상",
IF(AND(V1180="정상",OFFSET(Y1180,0,COUNTA(Y1180:AV1180)-1)=0),"정상",
"계약서 미작성")))))</f>
        <v>#VALUE!</v>
      </c>
      <c r="X1180" s="81" t="str">
        <f aca="true">
IF(D1180="폐업","폐업",
IF(AND(V1180="정상",OFFSET(Y1180,0,COUNTA(Y1180:AV1180)-1)="미납"),"미납",
IF(AND(V1180="정상",OFFSET(Y1180,0,COUNTA(Y1180:AV1180)-1)=0),"납부 시작 전",
IF(AND(V1180="정상",OFFSET(Y1180,0,COUNTA(Y1180:AV1180)-1)&gt;=U1180),"정상",
IF(AND(V1180="면제",OFFSET(Y1180,0,COUNTA(Y1180:AV1180)-1)="면제"),"면제",
IF(AND(V1180="면제",OFFSET(Y1180,0,COUNTA(Y1180:AV1180)-1)=0),"면제",
"확인요청"))))))</f>
        <v>정상</v>
      </c>
      <c r="Y1180" s="93" t="n">
        <v>55000</v>
      </c>
      <c r="Z1180" s="90" t="n">
        <v>55000</v>
      </c>
      <c r="AA1180" s="90" t="n">
        <v>55000</v>
      </c>
      <c r="AB1180" s="90" t="n">
        <v>55000</v>
      </c>
      <c r="AC1180" s="90" t="n">
        <v>55000</v>
      </c>
      <c r="AD1180" s="90" t="n">
        <v>55000</v>
      </c>
      <c r="AE1180" s="90" t="n">
        <v>55000</v>
      </c>
      <c r="AF1180" s="90" t="n">
        <v>55000</v>
      </c>
      <c r="AG1180" s="90" t="n">
        <v>55000</v>
      </c>
      <c r="AH1180" s="90" t="n">
        <v>55000</v>
      </c>
      <c r="AI1180" s="90" t="n">
        <v>55000</v>
      </c>
      <c r="AJ1180" s="91" t="n">
        <v>55000</v>
      </c>
      <c r="AK1180" s="89" t="n">
        <v>55000</v>
      </c>
      <c r="AL1180" s="90" t="n">
        <v>55000</v>
      </c>
      <c r="AM1180" s="90"/>
      <c r="AN1180" s="90"/>
      <c r="AO1180" s="90"/>
      <c r="AP1180" s="90"/>
      <c r="AQ1180" s="90"/>
      <c r="AR1180" s="90"/>
      <c r="AS1180" s="90"/>
      <c r="AT1180" s="90"/>
      <c r="AU1180" s="90"/>
      <c r="AV1180" s="91"/>
      <c r="AX1180" s="92"/>
    </row>
    <row r="1181" customFormat="false" ht="15.65" hidden="false" customHeight="false" outlineLevel="0" collapsed="false">
      <c r="C1181" s="72" t="n">
        <f aca="false">COUNTIFS($D$6:D1181,"&lt;&gt;"&amp;"")</f>
        <v>1176</v>
      </c>
      <c r="D1181" s="73" t="s">
        <v>12</v>
      </c>
      <c r="E1181" s="76" t="str">
        <f aca="false">
IF($D1181="정상",INDEX(임대자산!$D$3:$R$3000,MATCH($F1181,임대자산!$I$3:$I$3000,0),MATCH(E$3,임대자산!$D$3:$R$3,0)),
IF($D1181="폐업",INDEX(폐업정보!$D$3:$R$3000,MATCH($F1181,폐업정보!$I$3:$I$3000,0),MATCH(E$3,폐업정보!$D$3:$R$3,0)),
"Error"))</f>
        <v>서울</v>
      </c>
      <c r="F118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B1176</v>
      </c>
      <c r="G1181" s="76" t="str">
        <f aca="false">F1181&amp;RANDBETWEEN(0,10)</f>
        <v>B11765</v>
      </c>
      <c r="H1181" s="75" t="n">
        <f aca="false">
IF($D1181="정상",INDEX(임대자산!$D$3:$R$3000,MATCH($F1181,임대자산!$I$3:$I$3000,0),MATCH(H$4,임대자산!$D$3:$R$3,0)),
IF($D1181="폐업",INDEX(폐업정보!$D$3:$R$3000,MATCH($F1181,폐업정보!$I$3:$I$3000,0),MATCH(H$4,폐업정보!$D$3:$R$3,0)),
"Error"))</f>
        <v>45572</v>
      </c>
      <c r="I1181" s="75" t="str">
        <f aca="false">
IF($D1181="정상",INDEX(임대자산!$D$3:$R$3000,MATCH($F1181,임대자산!$I$3:$I$3000,0),MATCH(I$4,임대자산!$D$3:$R$3,0)),
IF($D1181="폐업",INDEX(폐업정보!$D$3:$R$3000,MATCH($F1181,폐업정보!$I$3:$I$3000,0),MATCH(I$4,폐업정보!$D$3:$R$3,0)),
"Error"))</f>
        <v>A1176</v>
      </c>
      <c r="J1181" s="75" t="str">
        <f aca="false">
IF($D1181="정상",INDEX(임대자산!$D$3:$R$3000,MATCH($F1181,임대자산!$I$3:$I$3000,0),MATCH(J$4,임대자산!$D$3:$R$3,0)),
IF($D1181="폐업",INDEX(폐업정보!$D$3:$R$3000,MATCH($F1181,폐업정보!$I$3:$I$3000,0),MATCH(J$4,폐업정보!$D$3:$R$3,0)),
"Error"))</f>
        <v>5509200000</v>
      </c>
      <c r="K1181" s="75" t="str">
        <f aca="false">
IF($D1181="정상",INDEX(임대자산!$D$3:$R$3000,MATCH($F1181,임대자산!$I$3:$I$3000,0),MATCH(K$4,임대자산!$D$3:$R$3,0)),
IF($D1181="폐업",INDEX(폐업정보!$D$3:$R$3000,MATCH($F1181,폐업정보!$I$3:$I$3000,0),MATCH(K$4,폐업정보!$D$3:$R$3,0)),
"Error"))</f>
        <v>C1176</v>
      </c>
      <c r="L1181" s="75" t="str">
        <f aca="false">
IF($D1181="정상",INDEX(임대자산!$D$3:$R$3000,MATCH($F1181,임대자산!$I$3:$I$3000,0),MATCH(L$4,임대자산!$D$3:$R$3,0)),
IF($D1181="폐업",INDEX(폐업정보!$D$3:$R$3000,MATCH($F1181,폐업정보!$I$3:$I$3000,0),MATCH(L$4,폐업정보!$D$3:$R$3,0)),
"Error"))</f>
        <v>D1176</v>
      </c>
      <c r="M1181" s="76" t="s">
        <v>96</v>
      </c>
      <c r="N1181" s="77"/>
      <c r="O1181" s="78" t="s">
        <v>97</v>
      </c>
      <c r="P1181" s="79" t="n">
        <f aca="false">COUNTIFS(임대자산!$I:$I,가맹점정보!F1181,임대자산!$N:$N,가맹점정보!P$4)</f>
        <v>0</v>
      </c>
      <c r="Q1181" s="80" t="n">
        <f aca="false">COUNTIFS(임대자산!$I:$I,가맹점정보!F1181,임대자산!$N:$N,가맹점정보!Q$4)</f>
        <v>0</v>
      </c>
      <c r="R1181" s="81" t="n">
        <f aca="false">COUNTIFS(임대자산!$I:$I,가맹점정보!F1181,임대자산!$N:$N,가맹점정보!R$4)</f>
        <v>1</v>
      </c>
      <c r="S1181" s="82" t="n">
        <v>55000</v>
      </c>
      <c r="T1181" s="83" t="n">
        <v>0</v>
      </c>
      <c r="U1181" s="80" t="n">
        <f aca="false">SUM(S1181:T1181)</f>
        <v>55000</v>
      </c>
      <c r="V1181" s="84" t="s">
        <v>7</v>
      </c>
      <c r="W1181" s="80" t="str">
        <f aca="true">
IF(D1181="폐업","폐업",
IF(V1181="면제","면제",
IF(AND(V1181="정상",COUNTIFS(OFFSET(Y1181,0,COUNTA(Y1181:AV1181)-1,1,-4),"미납")&gt;=3),"장기미납",
IF(AND(V1181="정상",OFFSET(Y1181,0,COUNTA(Y1181:AV1181)-1)&gt;=U1181),"정상",
IF(AND(V1181="정상",OFFSET(Y1181,0,COUNTA(Y1181:AV1181)-1)=0),"정상",
"계약서 미작성")))))</f>
        <v>면제</v>
      </c>
      <c r="X1181" s="81" t="str">
        <f aca="true">
IF(D1181="폐업","폐업",
IF(AND(V1181="정상",OFFSET(Y1181,0,COUNTA(Y1181:AV1181)-1)="미납"),"미납",
IF(AND(V1181="정상",OFFSET(Y1181,0,COUNTA(Y1181:AV1181)-1)=0),"납부 시작 전",
IF(AND(V1181="정상",OFFSET(Y1181,0,COUNTA(Y1181:AV1181)-1)&gt;=U1181),"정상",
IF(AND(V1181="면제",OFFSET(Y1181,0,COUNTA(Y1181:AV1181)-1)="면제"),"면제",
IF(AND(V1181="면제",OFFSET(Y1181,0,COUNTA(Y1181:AV1181)-1)=0),"면제",
"확인요청"))))))</f>
        <v>면제</v>
      </c>
      <c r="Y1181" s="94" t="s">
        <v>7</v>
      </c>
      <c r="Z1181" s="95" t="s">
        <v>7</v>
      </c>
      <c r="AA1181" s="95" t="s">
        <v>7</v>
      </c>
      <c r="AB1181" s="95" t="s">
        <v>7</v>
      </c>
      <c r="AC1181" s="95" t="s">
        <v>7</v>
      </c>
      <c r="AD1181" s="95" t="s">
        <v>7</v>
      </c>
      <c r="AE1181" s="95" t="s">
        <v>7</v>
      </c>
      <c r="AF1181" s="95" t="s">
        <v>7</v>
      </c>
      <c r="AG1181" s="95" t="s">
        <v>7</v>
      </c>
      <c r="AH1181" s="95" t="s">
        <v>7</v>
      </c>
      <c r="AI1181" s="95" t="s">
        <v>7</v>
      </c>
      <c r="AJ1181" s="96" t="s">
        <v>7</v>
      </c>
      <c r="AK1181" s="97" t="s">
        <v>7</v>
      </c>
      <c r="AL1181" s="95" t="s">
        <v>7</v>
      </c>
      <c r="AM1181" s="90"/>
      <c r="AN1181" s="90"/>
      <c r="AO1181" s="90"/>
      <c r="AP1181" s="90"/>
      <c r="AQ1181" s="90"/>
      <c r="AR1181" s="90"/>
      <c r="AS1181" s="90"/>
      <c r="AT1181" s="90"/>
      <c r="AU1181" s="90"/>
      <c r="AV1181" s="91"/>
      <c r="AX1181" s="92"/>
    </row>
    <row r="1182" customFormat="false" ht="15.65" hidden="false" customHeight="false" outlineLevel="0" collapsed="false">
      <c r="C1182" s="72" t="n">
        <f aca="false">COUNTIFS($D$6:D1182,"&lt;&gt;"&amp;"")</f>
        <v>1177</v>
      </c>
      <c r="D1182" s="73" t="s">
        <v>12</v>
      </c>
      <c r="E1182" s="76" t="str">
        <f aca="false">
IF($D1182="정상",INDEX(임대자산!$D$3:$R$3000,MATCH($F1182,임대자산!$I$3:$I$3000,0),MATCH(E$3,임대자산!$D$3:$R$3,0)),
IF($D1182="폐업",INDEX(폐업정보!$D$3:$R$3000,MATCH($F1182,폐업정보!$I$3:$I$3000,0),MATCH(E$3,폐업정보!$D$3:$R$3,0)),
"Error"))</f>
        <v>서울</v>
      </c>
      <c r="F118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B1177</v>
      </c>
      <c r="G1182" s="76" t="str">
        <f aca="false">F1182&amp;RANDBETWEEN(0,10)</f>
        <v>B11770</v>
      </c>
      <c r="H1182" s="75" t="n">
        <f aca="false">
IF($D1182="정상",INDEX(임대자산!$D$3:$R$3000,MATCH($F1182,임대자산!$I$3:$I$3000,0),MATCH(H$4,임대자산!$D$3:$R$3,0)),
IF($D1182="폐업",INDEX(폐업정보!$D$3:$R$3000,MATCH($F1182,폐업정보!$I$3:$I$3000,0),MATCH(H$4,폐업정보!$D$3:$R$3,0)),
"Error"))</f>
        <v>44972</v>
      </c>
      <c r="I1182" s="75" t="str">
        <f aca="false">
IF($D1182="정상",INDEX(임대자산!$D$3:$R$3000,MATCH($F1182,임대자산!$I$3:$I$3000,0),MATCH(I$4,임대자산!$D$3:$R$3,0)),
IF($D1182="폐업",INDEX(폐업정보!$D$3:$R$3000,MATCH($F1182,폐업정보!$I$3:$I$3000,0),MATCH(I$4,폐업정보!$D$3:$R$3,0)),
"Error"))</f>
        <v>A1177</v>
      </c>
      <c r="J1182" s="75" t="str">
        <f aca="false">
IF($D1182="정상",INDEX(임대자산!$D$3:$R$3000,MATCH($F1182,임대자산!$I$3:$I$3000,0),MATCH(J$4,임대자산!$D$3:$R$3,0)),
IF($D1182="폐업",INDEX(폐업정보!$D$3:$R$3000,MATCH($F1182,폐업정보!$I$3:$I$3000,0),MATCH(J$4,폐업정보!$D$3:$R$3,0)),
"Error"))</f>
        <v>6539200000</v>
      </c>
      <c r="K1182" s="75" t="str">
        <f aca="false">
IF($D1182="정상",INDEX(임대자산!$D$3:$R$3000,MATCH($F1182,임대자산!$I$3:$I$3000,0),MATCH(K$4,임대자산!$D$3:$R$3,0)),
IF($D1182="폐업",INDEX(폐업정보!$D$3:$R$3000,MATCH($F1182,폐업정보!$I$3:$I$3000,0),MATCH(K$4,폐업정보!$D$3:$R$3,0)),
"Error"))</f>
        <v>C1177</v>
      </c>
      <c r="L1182" s="75" t="str">
        <f aca="false">
IF($D1182="정상",INDEX(임대자산!$D$3:$R$3000,MATCH($F1182,임대자산!$I$3:$I$3000,0),MATCH(L$4,임대자산!$D$3:$R$3,0)),
IF($D1182="폐업",INDEX(폐업정보!$D$3:$R$3000,MATCH($F1182,폐업정보!$I$3:$I$3000,0),MATCH(L$4,폐업정보!$D$3:$R$3,0)),
"Error"))</f>
        <v>D1177</v>
      </c>
      <c r="M1182" s="76" t="s">
        <v>96</v>
      </c>
      <c r="N1182" s="77"/>
      <c r="O1182" s="78" t="s">
        <v>97</v>
      </c>
      <c r="P1182" s="79" t="n">
        <f aca="false">COUNTIFS(임대자산!$I:$I,가맹점정보!F1182,임대자산!$N:$N,가맹점정보!P$4)</f>
        <v>0</v>
      </c>
      <c r="Q1182" s="80" t="n">
        <f aca="false">COUNTIFS(임대자산!$I:$I,가맹점정보!F1182,임대자산!$N:$N,가맹점정보!Q$4)</f>
        <v>0</v>
      </c>
      <c r="R1182" s="81" t="n">
        <f aca="false">COUNTIFS(임대자산!$I:$I,가맹점정보!F1182,임대자산!$N:$N,가맹점정보!R$4)</f>
        <v>1</v>
      </c>
      <c r="S1182" s="82" t="n">
        <v>55000</v>
      </c>
      <c r="T1182" s="83" t="n">
        <v>0</v>
      </c>
      <c r="U1182" s="80" t="n">
        <f aca="false">SUM(S1182:T1182)</f>
        <v>55000</v>
      </c>
      <c r="V1182" s="84" t="s">
        <v>12</v>
      </c>
      <c r="W1182" s="80" t="e">
        <f aca="true">
IF(D1182="폐업","폐업",
IF(V1182="면제","면제",
IF(AND(V1182="정상",COUNTIFS(OFFSET(Y1182,0,COUNTA(Y1182:AV1182)-1,1,-4),"미납")&gt;=3),"장기미납",
IF(AND(V1182="정상",OFFSET(Y1182,0,COUNTA(Y1182:AV1182)-1)&gt;=U1182),"정상",
IF(AND(V1182="정상",OFFSET(Y1182,0,COUNTA(Y1182:AV1182)-1)=0),"정상",
"계약서 미작성")))))</f>
        <v>#VALUE!</v>
      </c>
      <c r="X1182" s="81" t="str">
        <f aca="true">
IF(D1182="폐업","폐업",
IF(AND(V1182="정상",OFFSET(Y1182,0,COUNTA(Y1182:AV1182)-1)="미납"),"미납",
IF(AND(V1182="정상",OFFSET(Y1182,0,COUNTA(Y1182:AV1182)-1)=0),"납부 시작 전",
IF(AND(V1182="정상",OFFSET(Y1182,0,COUNTA(Y1182:AV1182)-1)&gt;=U1182),"정상",
IF(AND(V1182="면제",OFFSET(Y1182,0,COUNTA(Y1182:AV1182)-1)="면제"),"면제",
IF(AND(V1182="면제",OFFSET(Y1182,0,COUNTA(Y1182:AV1182)-1)=0),"면제",
"확인요청"))))))</f>
        <v>정상</v>
      </c>
      <c r="Y1182" s="93" t="n">
        <v>55000</v>
      </c>
      <c r="Z1182" s="90" t="n">
        <v>55000</v>
      </c>
      <c r="AA1182" s="90" t="n">
        <v>55000</v>
      </c>
      <c r="AB1182" s="90" t="n">
        <v>55000</v>
      </c>
      <c r="AC1182" s="90" t="n">
        <v>55000</v>
      </c>
      <c r="AD1182" s="90" t="n">
        <v>55000</v>
      </c>
      <c r="AE1182" s="90" t="n">
        <v>55000</v>
      </c>
      <c r="AF1182" s="90" t="n">
        <v>55000</v>
      </c>
      <c r="AG1182" s="90" t="n">
        <v>55000</v>
      </c>
      <c r="AH1182" s="90" t="n">
        <v>55000</v>
      </c>
      <c r="AI1182" s="90" t="n">
        <v>55000</v>
      </c>
      <c r="AJ1182" s="91" t="n">
        <v>55000</v>
      </c>
      <c r="AK1182" s="89" t="n">
        <v>55000</v>
      </c>
      <c r="AL1182" s="90" t="n">
        <v>55000</v>
      </c>
      <c r="AM1182" s="90"/>
      <c r="AN1182" s="90"/>
      <c r="AO1182" s="90"/>
      <c r="AP1182" s="90"/>
      <c r="AQ1182" s="90"/>
      <c r="AR1182" s="90"/>
      <c r="AS1182" s="90"/>
      <c r="AT1182" s="90"/>
      <c r="AU1182" s="90"/>
      <c r="AV1182" s="91"/>
      <c r="AX1182" s="92"/>
    </row>
    <row r="1183" customFormat="false" ht="15.65" hidden="false" customHeight="false" outlineLevel="0" collapsed="false">
      <c r="C1183" s="72" t="n">
        <f aca="false">COUNTIFS($D$6:D1183,"&lt;&gt;"&amp;"")</f>
        <v>1178</v>
      </c>
      <c r="D1183" s="73" t="s">
        <v>12</v>
      </c>
      <c r="E1183" s="76" t="str">
        <f aca="false">
IF($D1183="정상",INDEX(임대자산!$D$3:$R$3000,MATCH($F1183,임대자산!$I$3:$I$3000,0),MATCH(E$3,임대자산!$D$3:$R$3,0)),
IF($D1183="폐업",INDEX(폐업정보!$D$3:$R$3000,MATCH($F1183,폐업정보!$I$3:$I$3000,0),MATCH(E$3,폐업정보!$D$3:$R$3,0)),
"Error"))</f>
        <v>서울</v>
      </c>
      <c r="F118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B1178</v>
      </c>
      <c r="G1183" s="76" t="str">
        <f aca="false">F1183&amp;RANDBETWEEN(0,10)</f>
        <v>B11785</v>
      </c>
      <c r="H1183" s="75" t="n">
        <f aca="false">
IF($D1183="정상",INDEX(임대자산!$D$3:$R$3000,MATCH($F1183,임대자산!$I$3:$I$3000,0),MATCH(H$4,임대자산!$D$3:$R$3,0)),
IF($D1183="폐업",INDEX(폐업정보!$D$3:$R$3000,MATCH($F1183,폐업정보!$I$3:$I$3000,0),MATCH(H$4,폐업정보!$D$3:$R$3,0)),
"Error"))</f>
        <v>44978</v>
      </c>
      <c r="I1183" s="75" t="str">
        <f aca="false">
IF($D1183="정상",INDEX(임대자산!$D$3:$R$3000,MATCH($F1183,임대자산!$I$3:$I$3000,0),MATCH(I$4,임대자산!$D$3:$R$3,0)),
IF($D1183="폐업",INDEX(폐업정보!$D$3:$R$3000,MATCH($F1183,폐업정보!$I$3:$I$3000,0),MATCH(I$4,폐업정보!$D$3:$R$3,0)),
"Error"))</f>
        <v>A1178</v>
      </c>
      <c r="J1183" s="75" t="str">
        <f aca="false">
IF($D1183="정상",INDEX(임대자산!$D$3:$R$3000,MATCH($F1183,임대자산!$I$3:$I$3000,0),MATCH(J$4,임대자산!$D$3:$R$3,0)),
IF($D1183="폐업",INDEX(폐업정보!$D$3:$R$3000,MATCH($F1183,폐업정보!$I$3:$I$3000,0),MATCH(J$4,폐업정보!$D$3:$R$3,0)),
"Error"))</f>
        <v>6650100000</v>
      </c>
      <c r="K1183" s="75" t="str">
        <f aca="false">
IF($D1183="정상",INDEX(임대자산!$D$3:$R$3000,MATCH($F1183,임대자산!$I$3:$I$3000,0),MATCH(K$4,임대자산!$D$3:$R$3,0)),
IF($D1183="폐업",INDEX(폐업정보!$D$3:$R$3000,MATCH($F1183,폐업정보!$I$3:$I$3000,0),MATCH(K$4,폐업정보!$D$3:$R$3,0)),
"Error"))</f>
        <v>C1178</v>
      </c>
      <c r="L1183" s="75" t="str">
        <f aca="false">
IF($D1183="정상",INDEX(임대자산!$D$3:$R$3000,MATCH($F1183,임대자산!$I$3:$I$3000,0),MATCH(L$4,임대자산!$D$3:$R$3,0)),
IF($D1183="폐업",INDEX(폐업정보!$D$3:$R$3000,MATCH($F1183,폐업정보!$I$3:$I$3000,0),MATCH(L$4,폐업정보!$D$3:$R$3,0)),
"Error"))</f>
        <v>D1178</v>
      </c>
      <c r="M1183" s="76" t="s">
        <v>96</v>
      </c>
      <c r="N1183" s="77"/>
      <c r="O1183" s="78" t="s">
        <v>97</v>
      </c>
      <c r="P1183" s="79" t="n">
        <f aca="false">COUNTIFS(임대자산!$I:$I,가맹점정보!F1183,임대자산!$N:$N,가맹점정보!P$4)</f>
        <v>0</v>
      </c>
      <c r="Q1183" s="80" t="n">
        <f aca="false">COUNTIFS(임대자산!$I:$I,가맹점정보!F1183,임대자산!$N:$N,가맹점정보!Q$4)</f>
        <v>0</v>
      </c>
      <c r="R1183" s="81" t="n">
        <f aca="false">COUNTIFS(임대자산!$I:$I,가맹점정보!F1183,임대자산!$N:$N,가맹점정보!R$4)</f>
        <v>1</v>
      </c>
      <c r="S1183" s="82" t="n">
        <v>55000</v>
      </c>
      <c r="T1183" s="83" t="n">
        <v>0</v>
      </c>
      <c r="U1183" s="80" t="n">
        <f aca="false">SUM(S1183:T1183)</f>
        <v>55000</v>
      </c>
      <c r="V1183" s="84" t="s">
        <v>12</v>
      </c>
      <c r="W1183" s="80" t="e">
        <f aca="true">
IF(D1183="폐업","폐업",
IF(V1183="면제","면제",
IF(AND(V1183="정상",COUNTIFS(OFFSET(Y1183,0,COUNTA(Y1183:AV1183)-1,1,-4),"미납")&gt;=3),"장기미납",
IF(AND(V1183="정상",OFFSET(Y1183,0,COUNTA(Y1183:AV1183)-1)&gt;=U1183),"정상",
IF(AND(V1183="정상",OFFSET(Y1183,0,COUNTA(Y1183:AV1183)-1)=0),"정상",
"계약서 미작성")))))</f>
        <v>#VALUE!</v>
      </c>
      <c r="X1183" s="81" t="str">
        <f aca="true">
IF(D1183="폐업","폐업",
IF(AND(V1183="정상",OFFSET(Y1183,0,COUNTA(Y1183:AV1183)-1)="미납"),"미납",
IF(AND(V1183="정상",OFFSET(Y1183,0,COUNTA(Y1183:AV1183)-1)=0),"납부 시작 전",
IF(AND(V1183="정상",OFFSET(Y1183,0,COUNTA(Y1183:AV1183)-1)&gt;=U1183),"정상",
IF(AND(V1183="면제",OFFSET(Y1183,0,COUNTA(Y1183:AV1183)-1)="면제"),"면제",
IF(AND(V1183="면제",OFFSET(Y1183,0,COUNTA(Y1183:AV1183)-1)=0),"면제",
"확인요청"))))))</f>
        <v>정상</v>
      </c>
      <c r="Y1183" s="93" t="n">
        <v>55000</v>
      </c>
      <c r="Z1183" s="90" t="n">
        <v>55000</v>
      </c>
      <c r="AA1183" s="90" t="n">
        <v>55000</v>
      </c>
      <c r="AB1183" s="90" t="n">
        <v>55000</v>
      </c>
      <c r="AC1183" s="90" t="n">
        <v>55000</v>
      </c>
      <c r="AD1183" s="90" t="n">
        <v>55000</v>
      </c>
      <c r="AE1183" s="90" t="n">
        <v>55000</v>
      </c>
      <c r="AF1183" s="90" t="n">
        <v>55000</v>
      </c>
      <c r="AG1183" s="90" t="n">
        <v>55000</v>
      </c>
      <c r="AH1183" s="90" t="n">
        <v>55000</v>
      </c>
      <c r="AI1183" s="90" t="n">
        <v>55000</v>
      </c>
      <c r="AJ1183" s="91" t="n">
        <v>55000</v>
      </c>
      <c r="AK1183" s="89" t="n">
        <v>55000</v>
      </c>
      <c r="AL1183" s="90" t="n">
        <v>55000</v>
      </c>
      <c r="AM1183" s="90"/>
      <c r="AN1183" s="90"/>
      <c r="AO1183" s="90"/>
      <c r="AP1183" s="90"/>
      <c r="AQ1183" s="90"/>
      <c r="AR1183" s="90"/>
      <c r="AS1183" s="90"/>
      <c r="AT1183" s="90"/>
      <c r="AU1183" s="90"/>
      <c r="AV1183" s="91"/>
      <c r="AX1183" s="92"/>
    </row>
    <row r="1184" customFormat="false" ht="15.65" hidden="false" customHeight="false" outlineLevel="0" collapsed="false">
      <c r="C1184" s="72" t="n">
        <f aca="false">COUNTIFS($D$6:D1184,"&lt;&gt;"&amp;"")</f>
        <v>1179</v>
      </c>
      <c r="D1184" s="73" t="s">
        <v>12</v>
      </c>
      <c r="E1184" s="76" t="str">
        <f aca="false">
IF($D1184="정상",INDEX(임대자산!$D$3:$R$3000,MATCH($F1184,임대자산!$I$3:$I$3000,0),MATCH(E$3,임대자산!$D$3:$R$3,0)),
IF($D1184="폐업",INDEX(폐업정보!$D$3:$R$3000,MATCH($F1184,폐업정보!$I$3:$I$3000,0),MATCH(E$3,폐업정보!$D$3:$R$3,0)),
"Error"))</f>
        <v>서울</v>
      </c>
      <c r="F118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B1179</v>
      </c>
      <c r="G1184" s="76" t="str">
        <f aca="false">F1184&amp;RANDBETWEEN(0,10)</f>
        <v>B11799</v>
      </c>
      <c r="H1184" s="75" t="n">
        <f aca="false">
IF($D1184="정상",INDEX(임대자산!$D$3:$R$3000,MATCH($F1184,임대자산!$I$3:$I$3000,0),MATCH(H$4,임대자산!$D$3:$R$3,0)),
IF($D1184="폐업",INDEX(폐업정보!$D$3:$R$3000,MATCH($F1184,폐업정보!$I$3:$I$3000,0),MATCH(H$4,폐업정보!$D$3:$R$3,0)),
"Error"))</f>
        <v>44952</v>
      </c>
      <c r="I1184" s="75" t="str">
        <f aca="false">
IF($D1184="정상",INDEX(임대자산!$D$3:$R$3000,MATCH($F1184,임대자산!$I$3:$I$3000,0),MATCH(I$4,임대자산!$D$3:$R$3,0)),
IF($D1184="폐업",INDEX(폐업정보!$D$3:$R$3000,MATCH($F1184,폐업정보!$I$3:$I$3000,0),MATCH(I$4,폐업정보!$D$3:$R$3,0)),
"Error"))</f>
        <v>A1179</v>
      </c>
      <c r="J1184" s="75" t="str">
        <f aca="false">
IF($D1184="정상",INDEX(임대자산!$D$3:$R$3000,MATCH($F1184,임대자산!$I$3:$I$3000,0),MATCH(J$4,임대자산!$D$3:$R$3,0)),
IF($D1184="폐업",INDEX(폐업정보!$D$3:$R$3000,MATCH($F1184,폐업정보!$I$3:$I$3000,0),MATCH(J$4,폐업정보!$D$3:$R$3,0)),
"Error"))</f>
        <v>5862000000</v>
      </c>
      <c r="K1184" s="75" t="str">
        <f aca="false">
IF($D1184="정상",INDEX(임대자산!$D$3:$R$3000,MATCH($F1184,임대자산!$I$3:$I$3000,0),MATCH(K$4,임대자산!$D$3:$R$3,0)),
IF($D1184="폐업",INDEX(폐업정보!$D$3:$R$3000,MATCH($F1184,폐업정보!$I$3:$I$3000,0),MATCH(K$4,폐업정보!$D$3:$R$3,0)),
"Error"))</f>
        <v>C1179</v>
      </c>
      <c r="L1184" s="75" t="str">
        <f aca="false">
IF($D1184="정상",INDEX(임대자산!$D$3:$R$3000,MATCH($F1184,임대자산!$I$3:$I$3000,0),MATCH(L$4,임대자산!$D$3:$R$3,0)),
IF($D1184="폐업",INDEX(폐업정보!$D$3:$R$3000,MATCH($F1184,폐업정보!$I$3:$I$3000,0),MATCH(L$4,폐업정보!$D$3:$R$3,0)),
"Error"))</f>
        <v>D1179</v>
      </c>
      <c r="M1184" s="76" t="s">
        <v>96</v>
      </c>
      <c r="N1184" s="77"/>
      <c r="O1184" s="78" t="s">
        <v>97</v>
      </c>
      <c r="P1184" s="79" t="n">
        <f aca="false">COUNTIFS(임대자산!$I:$I,가맹점정보!F1184,임대자산!$N:$N,가맹점정보!P$4)</f>
        <v>0</v>
      </c>
      <c r="Q1184" s="80" t="n">
        <f aca="false">COUNTIFS(임대자산!$I:$I,가맹점정보!F1184,임대자산!$N:$N,가맹점정보!Q$4)</f>
        <v>0</v>
      </c>
      <c r="R1184" s="81" t="n">
        <f aca="false">COUNTIFS(임대자산!$I:$I,가맹점정보!F1184,임대자산!$N:$N,가맹점정보!R$4)</f>
        <v>1</v>
      </c>
      <c r="S1184" s="82" t="n">
        <v>55000</v>
      </c>
      <c r="T1184" s="83" t="n">
        <v>0</v>
      </c>
      <c r="U1184" s="80" t="n">
        <f aca="false">SUM(S1184:T1184)</f>
        <v>55000</v>
      </c>
      <c r="V1184" s="84" t="s">
        <v>12</v>
      </c>
      <c r="W1184" s="80" t="e">
        <f aca="true">
IF(D1184="폐업","폐업",
IF(V1184="면제","면제",
IF(AND(V1184="정상",COUNTIFS(OFFSET(Y1184,0,COUNTA(Y1184:AV1184)-1,1,-4),"미납")&gt;=3),"장기미납",
IF(AND(V1184="정상",OFFSET(Y1184,0,COUNTA(Y1184:AV1184)-1)&gt;=U1184),"정상",
IF(AND(V1184="정상",OFFSET(Y1184,0,COUNTA(Y1184:AV1184)-1)=0),"정상",
"계약서 미작성")))))</f>
        <v>#VALUE!</v>
      </c>
      <c r="X1184" s="81" t="str">
        <f aca="true">
IF(D1184="폐업","폐업",
IF(AND(V1184="정상",OFFSET(Y1184,0,COUNTA(Y1184:AV1184)-1)="미납"),"미납",
IF(AND(V1184="정상",OFFSET(Y1184,0,COUNTA(Y1184:AV1184)-1)=0),"납부 시작 전",
IF(AND(V1184="정상",OFFSET(Y1184,0,COUNTA(Y1184:AV1184)-1)&gt;=U1184),"정상",
IF(AND(V1184="면제",OFFSET(Y1184,0,COUNTA(Y1184:AV1184)-1)="면제"),"면제",
IF(AND(V1184="면제",OFFSET(Y1184,0,COUNTA(Y1184:AV1184)-1)=0),"면제",
"확인요청"))))))</f>
        <v>정상</v>
      </c>
      <c r="Y1184" s="93" t="n">
        <v>55000</v>
      </c>
      <c r="Z1184" s="90" t="n">
        <v>55000</v>
      </c>
      <c r="AA1184" s="90" t="n">
        <v>55000</v>
      </c>
      <c r="AB1184" s="90" t="n">
        <v>55000</v>
      </c>
      <c r="AC1184" s="90" t="n">
        <v>55000</v>
      </c>
      <c r="AD1184" s="90" t="n">
        <v>55000</v>
      </c>
      <c r="AE1184" s="90" t="n">
        <v>55000</v>
      </c>
      <c r="AF1184" s="90" t="n">
        <v>55000</v>
      </c>
      <c r="AG1184" s="90" t="n">
        <v>55000</v>
      </c>
      <c r="AH1184" s="90" t="n">
        <v>55000</v>
      </c>
      <c r="AI1184" s="90" t="n">
        <v>55000</v>
      </c>
      <c r="AJ1184" s="91" t="n">
        <v>55000</v>
      </c>
      <c r="AK1184" s="89" t="n">
        <v>55000</v>
      </c>
      <c r="AL1184" s="90" t="n">
        <v>55000</v>
      </c>
      <c r="AM1184" s="90"/>
      <c r="AN1184" s="90"/>
      <c r="AO1184" s="90"/>
      <c r="AP1184" s="90"/>
      <c r="AQ1184" s="90"/>
      <c r="AR1184" s="90"/>
      <c r="AS1184" s="90"/>
      <c r="AT1184" s="90"/>
      <c r="AU1184" s="90"/>
      <c r="AV1184" s="91"/>
      <c r="AX1184" s="92"/>
    </row>
    <row r="1185" customFormat="false" ht="15.65" hidden="false" customHeight="false" outlineLevel="0" collapsed="false">
      <c r="C1185" s="72" t="n">
        <f aca="false">COUNTIFS($D$6:D1185,"&lt;&gt;"&amp;"")</f>
        <v>1180</v>
      </c>
      <c r="D1185" s="73" t="s">
        <v>12</v>
      </c>
      <c r="E1185" s="76" t="str">
        <f aca="false">
IF($D1185="정상",INDEX(임대자산!$D$3:$R$3000,MATCH($F1185,임대자산!$I$3:$I$3000,0),MATCH(E$3,임대자산!$D$3:$R$3,0)),
IF($D1185="폐업",INDEX(폐업정보!$D$3:$R$3000,MATCH($F1185,폐업정보!$I$3:$I$3000,0),MATCH(E$3,폐업정보!$D$3:$R$3,0)),
"Error"))</f>
        <v>서울</v>
      </c>
      <c r="F118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B1180</v>
      </c>
      <c r="G1185" s="76" t="str">
        <f aca="false">F1185&amp;RANDBETWEEN(0,10)</f>
        <v>B11802</v>
      </c>
      <c r="H1185" s="75" t="n">
        <f aca="false">
IF($D1185="정상",INDEX(임대자산!$D$3:$R$3000,MATCH($F1185,임대자산!$I$3:$I$3000,0),MATCH(H$4,임대자산!$D$3:$R$3,0)),
IF($D1185="폐업",INDEX(폐업정보!$D$3:$R$3000,MATCH($F1185,폐업정보!$I$3:$I$3000,0),MATCH(H$4,폐업정보!$D$3:$R$3,0)),
"Error"))</f>
        <v>45953</v>
      </c>
      <c r="I1185" s="75" t="str">
        <f aca="false">
IF($D1185="정상",INDEX(임대자산!$D$3:$R$3000,MATCH($F1185,임대자산!$I$3:$I$3000,0),MATCH(I$4,임대자산!$D$3:$R$3,0)),
IF($D1185="폐업",INDEX(폐업정보!$D$3:$R$3000,MATCH($F1185,폐업정보!$I$3:$I$3000,0),MATCH(I$4,폐업정보!$D$3:$R$3,0)),
"Error"))</f>
        <v>A1180</v>
      </c>
      <c r="J1185" s="75" t="str">
        <f aca="false">
IF($D1185="정상",INDEX(임대자산!$D$3:$R$3000,MATCH($F1185,임대자산!$I$3:$I$3000,0),MATCH(J$4,임대자산!$D$3:$R$3,0)),
IF($D1185="폐업",INDEX(폐업정보!$D$3:$R$3000,MATCH($F1185,폐업정보!$I$3:$I$3000,0),MATCH(J$4,폐업정보!$D$3:$R$3,0)),
"Error"))</f>
        <v>7786000000</v>
      </c>
      <c r="K1185" s="75" t="str">
        <f aca="false">
IF($D1185="정상",INDEX(임대자산!$D$3:$R$3000,MATCH($F1185,임대자산!$I$3:$I$3000,0),MATCH(K$4,임대자산!$D$3:$R$3,0)),
IF($D1185="폐업",INDEX(폐업정보!$D$3:$R$3000,MATCH($F1185,폐업정보!$I$3:$I$3000,0),MATCH(K$4,폐업정보!$D$3:$R$3,0)),
"Error"))</f>
        <v>C1180</v>
      </c>
      <c r="L1185" s="75" t="str">
        <f aca="false">
IF($D1185="정상",INDEX(임대자산!$D$3:$R$3000,MATCH($F1185,임대자산!$I$3:$I$3000,0),MATCH(L$4,임대자산!$D$3:$R$3,0)),
IF($D1185="폐업",INDEX(폐업정보!$D$3:$R$3000,MATCH($F1185,폐업정보!$I$3:$I$3000,0),MATCH(L$4,폐업정보!$D$3:$R$3,0)),
"Error"))</f>
        <v>D1180</v>
      </c>
      <c r="M1185" s="76" t="s">
        <v>96</v>
      </c>
      <c r="N1185" s="77"/>
      <c r="O1185" s="78" t="s">
        <v>97</v>
      </c>
      <c r="P1185" s="79" t="n">
        <f aca="false">COUNTIFS(임대자산!$I:$I,가맹점정보!F1185,임대자산!$N:$N,가맹점정보!P$4)</f>
        <v>0</v>
      </c>
      <c r="Q1185" s="80" t="n">
        <f aca="false">COUNTIFS(임대자산!$I:$I,가맹점정보!F1185,임대자산!$N:$N,가맹점정보!Q$4)</f>
        <v>0</v>
      </c>
      <c r="R1185" s="81" t="n">
        <f aca="false">COUNTIFS(임대자산!$I:$I,가맹점정보!F1185,임대자산!$N:$N,가맹점정보!R$4)</f>
        <v>1</v>
      </c>
      <c r="S1185" s="82" t="n">
        <v>55000</v>
      </c>
      <c r="T1185" s="83" t="n">
        <v>22000</v>
      </c>
      <c r="U1185" s="80" t="n">
        <f aca="false">SUM(S1185:T1185)</f>
        <v>77000</v>
      </c>
      <c r="V1185" s="84" t="s">
        <v>7</v>
      </c>
      <c r="W1185" s="80" t="str">
        <f aca="true">
IF(D1185="폐업","폐업",
IF(V1185="면제","면제",
IF(AND(V1185="정상",COUNTIFS(OFFSET(Y1185,0,COUNTA(Y1185:AV1185)-1,1,-4),"미납")&gt;=3),"장기미납",
IF(AND(V1185="정상",OFFSET(Y1185,0,COUNTA(Y1185:AV1185)-1)&gt;=U1185),"정상",
IF(AND(V1185="정상",OFFSET(Y1185,0,COUNTA(Y1185:AV1185)-1)=0),"정상",
"계약서 미작성")))))</f>
        <v>면제</v>
      </c>
      <c r="X1185" s="81" t="str">
        <f aca="true">
IF(D1185="폐업","폐업",
IF(AND(V1185="정상",OFFSET(Y1185,0,COUNTA(Y1185:AV1185)-1)="미납"),"미납",
IF(AND(V1185="정상",OFFSET(Y1185,0,COUNTA(Y1185:AV1185)-1)=0),"납부 시작 전",
IF(AND(V1185="정상",OFFSET(Y1185,0,COUNTA(Y1185:AV1185)-1)&gt;=U1185),"정상",
IF(AND(V1185="면제",OFFSET(Y1185,0,COUNTA(Y1185:AV1185)-1)="면제"),"면제",
IF(AND(V1185="면제",OFFSET(Y1185,0,COUNTA(Y1185:AV1185)-1)=0),"면제",
"확인요청"))))))</f>
        <v>면제</v>
      </c>
      <c r="Y1185" s="94" t="s">
        <v>7</v>
      </c>
      <c r="Z1185" s="95" t="s">
        <v>7</v>
      </c>
      <c r="AA1185" s="95" t="s">
        <v>7</v>
      </c>
      <c r="AB1185" s="95" t="s">
        <v>7</v>
      </c>
      <c r="AC1185" s="95" t="s">
        <v>7</v>
      </c>
      <c r="AD1185" s="95" t="s">
        <v>7</v>
      </c>
      <c r="AE1185" s="95" t="s">
        <v>7</v>
      </c>
      <c r="AF1185" s="95" t="s">
        <v>7</v>
      </c>
      <c r="AG1185" s="95" t="s">
        <v>7</v>
      </c>
      <c r="AH1185" s="95" t="s">
        <v>7</v>
      </c>
      <c r="AI1185" s="95" t="s">
        <v>7</v>
      </c>
      <c r="AJ1185" s="96" t="s">
        <v>7</v>
      </c>
      <c r="AK1185" s="97" t="s">
        <v>7</v>
      </c>
      <c r="AL1185" s="95" t="s">
        <v>7</v>
      </c>
      <c r="AM1185" s="90"/>
      <c r="AN1185" s="90"/>
      <c r="AO1185" s="90"/>
      <c r="AP1185" s="90"/>
      <c r="AQ1185" s="90"/>
      <c r="AR1185" s="90"/>
      <c r="AS1185" s="90"/>
      <c r="AT1185" s="90"/>
      <c r="AU1185" s="90"/>
      <c r="AV1185" s="91"/>
      <c r="AX1185" s="92"/>
    </row>
    <row r="1186" customFormat="false" ht="15.65" hidden="false" customHeight="false" outlineLevel="0" collapsed="false">
      <c r="C1186" s="72" t="n">
        <f aca="false">COUNTIFS($D$6:D1186,"&lt;&gt;"&amp;"")</f>
        <v>1181</v>
      </c>
      <c r="D1186" s="73" t="s">
        <v>12</v>
      </c>
      <c r="E1186" s="76" t="str">
        <f aca="false">
IF($D1186="정상",INDEX(임대자산!$D$3:$R$3000,MATCH($F1186,임대자산!$I$3:$I$3000,0),MATCH(E$3,임대자산!$D$3:$R$3,0)),
IF($D1186="폐업",INDEX(폐업정보!$D$3:$R$3000,MATCH($F1186,폐업정보!$I$3:$I$3000,0),MATCH(E$3,폐업정보!$D$3:$R$3,0)),
"Error"))</f>
        <v>서울</v>
      </c>
      <c r="F118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B1181</v>
      </c>
      <c r="G1186" s="76" t="str">
        <f aca="false">F1186&amp;RANDBETWEEN(0,10)</f>
        <v>B118110</v>
      </c>
      <c r="H1186" s="75" t="n">
        <f aca="false">
IF($D1186="정상",INDEX(임대자산!$D$3:$R$3000,MATCH($F1186,임대자산!$I$3:$I$3000,0),MATCH(H$4,임대자산!$D$3:$R$3,0)),
IF($D1186="폐업",INDEX(폐업정보!$D$3:$R$3000,MATCH($F1186,폐업정보!$I$3:$I$3000,0),MATCH(H$4,폐업정보!$D$3:$R$3,0)),
"Error"))</f>
        <v>45475</v>
      </c>
      <c r="I1186" s="75" t="str">
        <f aca="false">
IF($D1186="정상",INDEX(임대자산!$D$3:$R$3000,MATCH($F1186,임대자산!$I$3:$I$3000,0),MATCH(I$4,임대자산!$D$3:$R$3,0)),
IF($D1186="폐업",INDEX(폐업정보!$D$3:$R$3000,MATCH($F1186,폐업정보!$I$3:$I$3000,0),MATCH(I$4,폐업정보!$D$3:$R$3,0)),
"Error"))</f>
        <v>A1181</v>
      </c>
      <c r="J1186" s="75" t="str">
        <f aca="false">
IF($D1186="정상",INDEX(임대자산!$D$3:$R$3000,MATCH($F1186,임대자산!$I$3:$I$3000,0),MATCH(J$4,임대자산!$D$3:$R$3,0)),
IF($D1186="폐업",INDEX(폐업정보!$D$3:$R$3000,MATCH($F1186,폐업정보!$I$3:$I$3000,0),MATCH(J$4,폐업정보!$D$3:$R$3,0)),
"Error"))</f>
        <v>4784400000</v>
      </c>
      <c r="K1186" s="75" t="str">
        <f aca="false">
IF($D1186="정상",INDEX(임대자산!$D$3:$R$3000,MATCH($F1186,임대자산!$I$3:$I$3000,0),MATCH(K$4,임대자산!$D$3:$R$3,0)),
IF($D1186="폐업",INDEX(폐업정보!$D$3:$R$3000,MATCH($F1186,폐업정보!$I$3:$I$3000,0),MATCH(K$4,폐업정보!$D$3:$R$3,0)),
"Error"))</f>
        <v>C1181</v>
      </c>
      <c r="L1186" s="75" t="str">
        <f aca="false">
IF($D1186="정상",INDEX(임대자산!$D$3:$R$3000,MATCH($F1186,임대자산!$I$3:$I$3000,0),MATCH(L$4,임대자산!$D$3:$R$3,0)),
IF($D1186="폐업",INDEX(폐업정보!$D$3:$R$3000,MATCH($F1186,폐업정보!$I$3:$I$3000,0),MATCH(L$4,폐업정보!$D$3:$R$3,0)),
"Error"))</f>
        <v>D1181</v>
      </c>
      <c r="M1186" s="76" t="s">
        <v>96</v>
      </c>
      <c r="N1186" s="77"/>
      <c r="O1186" s="78" t="s">
        <v>97</v>
      </c>
      <c r="P1186" s="79" t="n">
        <f aca="false">COUNTIFS(임대자산!$I:$I,가맹점정보!F1186,임대자산!$N:$N,가맹점정보!P$4)</f>
        <v>0</v>
      </c>
      <c r="Q1186" s="80" t="n">
        <f aca="false">COUNTIFS(임대자산!$I:$I,가맹점정보!F1186,임대자산!$N:$N,가맹점정보!Q$4)</f>
        <v>0</v>
      </c>
      <c r="R1186" s="81" t="n">
        <f aca="false">COUNTIFS(임대자산!$I:$I,가맹점정보!F1186,임대자산!$N:$N,가맹점정보!R$4)</f>
        <v>1</v>
      </c>
      <c r="S1186" s="82" t="n">
        <v>55000</v>
      </c>
      <c r="T1186" s="83" t="n">
        <v>0</v>
      </c>
      <c r="U1186" s="80" t="n">
        <f aca="false">SUM(S1186:T1186)</f>
        <v>55000</v>
      </c>
      <c r="V1186" s="84" t="s">
        <v>12</v>
      </c>
      <c r="W1186" s="80" t="e">
        <f aca="true">
IF(D1186="폐업","폐업",
IF(V1186="면제","면제",
IF(AND(V1186="정상",COUNTIFS(OFFSET(Y1186,0,COUNTA(Y1186:AV1186)-1,1,-4),"미납")&gt;=3),"장기미납",
IF(AND(V1186="정상",OFFSET(Y1186,0,COUNTA(Y1186:AV1186)-1)&gt;=U1186),"정상",
IF(AND(V1186="정상",OFFSET(Y1186,0,COUNTA(Y1186:AV1186)-1)=0),"정상",
"계약서 미작성")))))</f>
        <v>#VALUE!</v>
      </c>
      <c r="X1186" s="81" t="str">
        <f aca="true">
IF(D1186="폐업","폐업",
IF(AND(V1186="정상",OFFSET(Y1186,0,COUNTA(Y1186:AV1186)-1)="미납"),"미납",
IF(AND(V1186="정상",OFFSET(Y1186,0,COUNTA(Y1186:AV1186)-1)=0),"납부 시작 전",
IF(AND(V1186="정상",OFFSET(Y1186,0,COUNTA(Y1186:AV1186)-1)&gt;=U1186),"정상",
IF(AND(V1186="면제",OFFSET(Y1186,0,COUNTA(Y1186:AV1186)-1)="면제"),"면제",
IF(AND(V1186="면제",OFFSET(Y1186,0,COUNTA(Y1186:AV1186)-1)=0),"면제",
"확인요청"))))))</f>
        <v>미납</v>
      </c>
      <c r="Y1186" s="93" t="n">
        <v>55000</v>
      </c>
      <c r="Z1186" s="90" t="n">
        <v>55000</v>
      </c>
      <c r="AA1186" s="90" t="n">
        <v>55000</v>
      </c>
      <c r="AB1186" s="90" t="n">
        <v>55000</v>
      </c>
      <c r="AC1186" s="90" t="n">
        <v>55000</v>
      </c>
      <c r="AD1186" s="90" t="n">
        <v>55000</v>
      </c>
      <c r="AE1186" s="90" t="n">
        <v>55000</v>
      </c>
      <c r="AF1186" s="90" t="n">
        <v>55000</v>
      </c>
      <c r="AG1186" s="90" t="n">
        <v>55000</v>
      </c>
      <c r="AH1186" s="90" t="n">
        <v>55000</v>
      </c>
      <c r="AI1186" s="90" t="n">
        <v>55000</v>
      </c>
      <c r="AJ1186" s="91" t="n">
        <v>55000</v>
      </c>
      <c r="AK1186" s="89" t="n">
        <v>55000</v>
      </c>
      <c r="AL1186" s="95" t="s">
        <v>62</v>
      </c>
      <c r="AM1186" s="90"/>
      <c r="AN1186" s="90"/>
      <c r="AO1186" s="90"/>
      <c r="AP1186" s="90"/>
      <c r="AQ1186" s="90"/>
      <c r="AR1186" s="90"/>
      <c r="AS1186" s="90"/>
      <c r="AT1186" s="90"/>
      <c r="AU1186" s="90"/>
      <c r="AV1186" s="91"/>
      <c r="AX1186" s="92"/>
    </row>
    <row r="1187" customFormat="false" ht="15.65" hidden="false" customHeight="false" outlineLevel="0" collapsed="false">
      <c r="C1187" s="72" t="n">
        <f aca="false">COUNTIFS($D$6:D1187,"&lt;&gt;"&amp;"")</f>
        <v>1182</v>
      </c>
      <c r="D1187" s="73" t="s">
        <v>12</v>
      </c>
      <c r="E1187" s="76" t="str">
        <f aca="false">
IF($D1187="정상",INDEX(임대자산!$D$3:$R$3000,MATCH($F1187,임대자산!$I$3:$I$3000,0),MATCH(E$3,임대자산!$D$3:$R$3,0)),
IF($D1187="폐업",INDEX(폐업정보!$D$3:$R$3000,MATCH($F1187,폐업정보!$I$3:$I$3000,0),MATCH(E$3,폐업정보!$D$3:$R$3,0)),
"Error"))</f>
        <v>서울</v>
      </c>
      <c r="F118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B1182</v>
      </c>
      <c r="G1187" s="76" t="str">
        <f aca="false">F1187&amp;RANDBETWEEN(0,10)</f>
        <v>B11827</v>
      </c>
      <c r="H1187" s="75" t="n">
        <f aca="false">
IF($D1187="정상",INDEX(임대자산!$D$3:$R$3000,MATCH($F1187,임대자산!$I$3:$I$3000,0),MATCH(H$4,임대자산!$D$3:$R$3,0)),
IF($D1187="폐업",INDEX(폐업정보!$D$3:$R$3000,MATCH($F1187,폐업정보!$I$3:$I$3000,0),MATCH(H$4,폐업정보!$D$3:$R$3,0)),
"Error"))</f>
        <v>44952</v>
      </c>
      <c r="I1187" s="75" t="str">
        <f aca="false">
IF($D1187="정상",INDEX(임대자산!$D$3:$R$3000,MATCH($F1187,임대자산!$I$3:$I$3000,0),MATCH(I$4,임대자산!$D$3:$R$3,0)),
IF($D1187="폐업",INDEX(폐업정보!$D$3:$R$3000,MATCH($F1187,폐업정보!$I$3:$I$3000,0),MATCH(I$4,폐업정보!$D$3:$R$3,0)),
"Error"))</f>
        <v>A1182</v>
      </c>
      <c r="J1187" s="75" t="str">
        <f aca="false">
IF($D1187="정상",INDEX(임대자산!$D$3:$R$3000,MATCH($F1187,임대자산!$I$3:$I$3000,0),MATCH(J$4,임대자산!$D$3:$R$3,0)),
IF($D1187="폐업",INDEX(폐업정보!$D$3:$R$3000,MATCH($F1187,폐업정보!$I$3:$I$3000,0),MATCH(J$4,폐업정보!$D$3:$R$3,0)),
"Error"))</f>
        <v>6928600000</v>
      </c>
      <c r="K1187" s="75" t="str">
        <f aca="false">
IF($D1187="정상",INDEX(임대자산!$D$3:$R$3000,MATCH($F1187,임대자산!$I$3:$I$3000,0),MATCH(K$4,임대자산!$D$3:$R$3,0)),
IF($D1187="폐업",INDEX(폐업정보!$D$3:$R$3000,MATCH($F1187,폐업정보!$I$3:$I$3000,0),MATCH(K$4,폐업정보!$D$3:$R$3,0)),
"Error"))</f>
        <v>C1182</v>
      </c>
      <c r="L1187" s="75" t="str">
        <f aca="false">
IF($D1187="정상",INDEX(임대자산!$D$3:$R$3000,MATCH($F1187,임대자산!$I$3:$I$3000,0),MATCH(L$4,임대자산!$D$3:$R$3,0)),
IF($D1187="폐업",INDEX(폐업정보!$D$3:$R$3000,MATCH($F1187,폐업정보!$I$3:$I$3000,0),MATCH(L$4,폐업정보!$D$3:$R$3,0)),
"Error"))</f>
        <v>D1182</v>
      </c>
      <c r="M1187" s="76" t="s">
        <v>96</v>
      </c>
      <c r="N1187" s="77"/>
      <c r="O1187" s="78" t="s">
        <v>97</v>
      </c>
      <c r="P1187" s="79" t="n">
        <f aca="false">COUNTIFS(임대자산!$I:$I,가맹점정보!F1187,임대자산!$N:$N,가맹점정보!P$4)</f>
        <v>0</v>
      </c>
      <c r="Q1187" s="80" t="n">
        <f aca="false">COUNTIFS(임대자산!$I:$I,가맹점정보!F1187,임대자산!$N:$N,가맹점정보!Q$4)</f>
        <v>0</v>
      </c>
      <c r="R1187" s="81" t="n">
        <f aca="false">COUNTIFS(임대자산!$I:$I,가맹점정보!F1187,임대자산!$N:$N,가맹점정보!R$4)</f>
        <v>1</v>
      </c>
      <c r="S1187" s="82" t="n">
        <v>55000</v>
      </c>
      <c r="T1187" s="83" t="n">
        <v>0</v>
      </c>
      <c r="U1187" s="80" t="n">
        <f aca="false">SUM(S1187:T1187)</f>
        <v>55000</v>
      </c>
      <c r="V1187" s="84" t="s">
        <v>12</v>
      </c>
      <c r="W1187" s="80" t="e">
        <f aca="true">
IF(D1187="폐업","폐업",
IF(V1187="면제","면제",
IF(AND(V1187="정상",COUNTIFS(OFFSET(Y1187,0,COUNTA(Y1187:AV1187)-1,1,-4),"미납")&gt;=3),"장기미납",
IF(AND(V1187="정상",OFFSET(Y1187,0,COUNTA(Y1187:AV1187)-1)&gt;=U1187),"정상",
IF(AND(V1187="정상",OFFSET(Y1187,0,COUNTA(Y1187:AV1187)-1)=0),"정상",
"계약서 미작성")))))</f>
        <v>#VALUE!</v>
      </c>
      <c r="X1187" s="81" t="str">
        <f aca="true">
IF(D1187="폐업","폐업",
IF(AND(V1187="정상",OFFSET(Y1187,0,COUNTA(Y1187:AV1187)-1)="미납"),"미납",
IF(AND(V1187="정상",OFFSET(Y1187,0,COUNTA(Y1187:AV1187)-1)=0),"납부 시작 전",
IF(AND(V1187="정상",OFFSET(Y1187,0,COUNTA(Y1187:AV1187)-1)&gt;=U1187),"정상",
IF(AND(V1187="면제",OFFSET(Y1187,0,COUNTA(Y1187:AV1187)-1)="면제"),"면제",
IF(AND(V1187="면제",OFFSET(Y1187,0,COUNTA(Y1187:AV1187)-1)=0),"면제",
"확인요청"))))))</f>
        <v>정상</v>
      </c>
      <c r="Y1187" s="93" t="n">
        <v>55000</v>
      </c>
      <c r="Z1187" s="90" t="n">
        <v>55000</v>
      </c>
      <c r="AA1187" s="90" t="n">
        <v>55000</v>
      </c>
      <c r="AB1187" s="90" t="n">
        <v>55000</v>
      </c>
      <c r="AC1187" s="90" t="n">
        <v>55000</v>
      </c>
      <c r="AD1187" s="90" t="n">
        <v>55000</v>
      </c>
      <c r="AE1187" s="90" t="n">
        <v>55000</v>
      </c>
      <c r="AF1187" s="90" t="n">
        <v>55000</v>
      </c>
      <c r="AG1187" s="90" t="n">
        <v>55000</v>
      </c>
      <c r="AH1187" s="90" t="n">
        <v>55000</v>
      </c>
      <c r="AI1187" s="90" t="n">
        <v>55000</v>
      </c>
      <c r="AJ1187" s="91" t="n">
        <v>55000</v>
      </c>
      <c r="AK1187" s="89" t="n">
        <v>55000</v>
      </c>
      <c r="AL1187" s="90" t="n">
        <v>55000</v>
      </c>
      <c r="AM1187" s="90"/>
      <c r="AN1187" s="90"/>
      <c r="AO1187" s="90"/>
      <c r="AP1187" s="90"/>
      <c r="AQ1187" s="90"/>
      <c r="AR1187" s="90"/>
      <c r="AS1187" s="90"/>
      <c r="AT1187" s="90"/>
      <c r="AU1187" s="90"/>
      <c r="AV1187" s="91"/>
      <c r="AX1187" s="92"/>
    </row>
    <row r="1188" customFormat="false" ht="15.65" hidden="false" customHeight="false" outlineLevel="0" collapsed="false">
      <c r="C1188" s="72" t="n">
        <f aca="false">COUNTIFS($D$6:D1188,"&lt;&gt;"&amp;"")</f>
        <v>1183</v>
      </c>
      <c r="D1188" s="73" t="s">
        <v>12</v>
      </c>
      <c r="E1188" s="76" t="str">
        <f aca="false">
IF($D1188="정상",INDEX(임대자산!$D$3:$R$3000,MATCH($F1188,임대자산!$I$3:$I$3000,0),MATCH(E$3,임대자산!$D$3:$R$3,0)),
IF($D1188="폐업",INDEX(폐업정보!$D$3:$R$3000,MATCH($F1188,폐업정보!$I$3:$I$3000,0),MATCH(E$3,폐업정보!$D$3:$R$3,0)),
"Error"))</f>
        <v>서울</v>
      </c>
      <c r="F118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B1183</v>
      </c>
      <c r="G1188" s="76" t="str">
        <f aca="false">F1188&amp;RANDBETWEEN(0,10)</f>
        <v>B11835</v>
      </c>
      <c r="H1188" s="75" t="n">
        <f aca="false">
IF($D1188="정상",INDEX(임대자산!$D$3:$R$3000,MATCH($F1188,임대자산!$I$3:$I$3000,0),MATCH(H$4,임대자산!$D$3:$R$3,0)),
IF($D1188="폐업",INDEX(폐업정보!$D$3:$R$3000,MATCH($F1188,폐업정보!$I$3:$I$3000,0),MATCH(H$4,폐업정보!$D$3:$R$3,0)),
"Error"))</f>
        <v>44967</v>
      </c>
      <c r="I1188" s="75" t="str">
        <f aca="false">
IF($D1188="정상",INDEX(임대자산!$D$3:$R$3000,MATCH($F1188,임대자산!$I$3:$I$3000,0),MATCH(I$4,임대자산!$D$3:$R$3,0)),
IF($D1188="폐업",INDEX(폐업정보!$D$3:$R$3000,MATCH($F1188,폐업정보!$I$3:$I$3000,0),MATCH(I$4,폐업정보!$D$3:$R$3,0)),
"Error"))</f>
        <v>A1183</v>
      </c>
      <c r="J1188" s="75" t="str">
        <f aca="false">
IF($D1188="정상",INDEX(임대자산!$D$3:$R$3000,MATCH($F1188,임대자산!$I$3:$I$3000,0),MATCH(J$4,임대자산!$D$3:$R$3,0)),
IF($D1188="폐업",INDEX(폐업정보!$D$3:$R$3000,MATCH($F1188,폐업정보!$I$3:$I$3000,0),MATCH(J$4,폐업정보!$D$3:$R$3,0)),
"Error"))</f>
        <v>9810500000</v>
      </c>
      <c r="K1188" s="75" t="str">
        <f aca="false">
IF($D1188="정상",INDEX(임대자산!$D$3:$R$3000,MATCH($F1188,임대자산!$I$3:$I$3000,0),MATCH(K$4,임대자산!$D$3:$R$3,0)),
IF($D1188="폐업",INDEX(폐업정보!$D$3:$R$3000,MATCH($F1188,폐업정보!$I$3:$I$3000,0),MATCH(K$4,폐업정보!$D$3:$R$3,0)),
"Error"))</f>
        <v>C1183</v>
      </c>
      <c r="L1188" s="75" t="str">
        <f aca="false">
IF($D1188="정상",INDEX(임대자산!$D$3:$R$3000,MATCH($F1188,임대자산!$I$3:$I$3000,0),MATCH(L$4,임대자산!$D$3:$R$3,0)),
IF($D1188="폐업",INDEX(폐업정보!$D$3:$R$3000,MATCH($F1188,폐업정보!$I$3:$I$3000,0),MATCH(L$4,폐업정보!$D$3:$R$3,0)),
"Error"))</f>
        <v>D1183</v>
      </c>
      <c r="M1188" s="76" t="s">
        <v>96</v>
      </c>
      <c r="N1188" s="77"/>
      <c r="O1188" s="78" t="s">
        <v>97</v>
      </c>
      <c r="P1188" s="79" t="n">
        <f aca="false">COUNTIFS(임대자산!$I:$I,가맹점정보!F1188,임대자산!$N:$N,가맹점정보!P$4)</f>
        <v>0</v>
      </c>
      <c r="Q1188" s="80" t="n">
        <f aca="false">COUNTIFS(임대자산!$I:$I,가맹점정보!F1188,임대자산!$N:$N,가맹점정보!Q$4)</f>
        <v>0</v>
      </c>
      <c r="R1188" s="81" t="n">
        <f aca="false">COUNTIFS(임대자산!$I:$I,가맹점정보!F1188,임대자산!$N:$N,가맹점정보!R$4)</f>
        <v>1</v>
      </c>
      <c r="S1188" s="82" t="n">
        <v>55000</v>
      </c>
      <c r="T1188" s="83" t="n">
        <v>0</v>
      </c>
      <c r="U1188" s="80" t="n">
        <f aca="false">SUM(S1188:T1188)</f>
        <v>55000</v>
      </c>
      <c r="V1188" s="84" t="s">
        <v>12</v>
      </c>
      <c r="W1188" s="80" t="e">
        <f aca="true">
IF(D1188="폐업","폐업",
IF(V1188="면제","면제",
IF(AND(V1188="정상",COUNTIFS(OFFSET(Y1188,0,COUNTA(Y1188:AV1188)-1,1,-4),"미납")&gt;=3),"장기미납",
IF(AND(V1188="정상",OFFSET(Y1188,0,COUNTA(Y1188:AV1188)-1)&gt;=U1188),"정상",
IF(AND(V1188="정상",OFFSET(Y1188,0,COUNTA(Y1188:AV1188)-1)=0),"정상",
"계약서 미작성")))))</f>
        <v>#VALUE!</v>
      </c>
      <c r="X1188" s="81" t="str">
        <f aca="true">
IF(D1188="폐업","폐업",
IF(AND(V1188="정상",OFFSET(Y1188,0,COUNTA(Y1188:AV1188)-1)="미납"),"미납",
IF(AND(V1188="정상",OFFSET(Y1188,0,COUNTA(Y1188:AV1188)-1)=0),"납부 시작 전",
IF(AND(V1188="정상",OFFSET(Y1188,0,COUNTA(Y1188:AV1188)-1)&gt;=U1188),"정상",
IF(AND(V1188="면제",OFFSET(Y1188,0,COUNTA(Y1188:AV1188)-1)="면제"),"면제",
IF(AND(V1188="면제",OFFSET(Y1188,0,COUNTA(Y1188:AV1188)-1)=0),"면제",
"확인요청"))))))</f>
        <v>정상</v>
      </c>
      <c r="Y1188" s="93" t="n">
        <v>55000</v>
      </c>
      <c r="Z1188" s="90" t="n">
        <v>55000</v>
      </c>
      <c r="AA1188" s="90" t="n">
        <v>55000</v>
      </c>
      <c r="AB1188" s="90" t="n">
        <v>55000</v>
      </c>
      <c r="AC1188" s="90" t="n">
        <v>55000</v>
      </c>
      <c r="AD1188" s="90" t="n">
        <v>55000</v>
      </c>
      <c r="AE1188" s="90" t="n">
        <v>55000</v>
      </c>
      <c r="AF1188" s="90" t="n">
        <v>55000</v>
      </c>
      <c r="AG1188" s="90" t="n">
        <v>55000</v>
      </c>
      <c r="AH1188" s="90" t="n">
        <v>55000</v>
      </c>
      <c r="AI1188" s="90" t="n">
        <v>55000</v>
      </c>
      <c r="AJ1188" s="91" t="n">
        <v>55000</v>
      </c>
      <c r="AK1188" s="89" t="n">
        <v>55000</v>
      </c>
      <c r="AL1188" s="90" t="n">
        <v>55000</v>
      </c>
      <c r="AM1188" s="90"/>
      <c r="AN1188" s="90"/>
      <c r="AO1188" s="90"/>
      <c r="AP1188" s="90"/>
      <c r="AQ1188" s="90"/>
      <c r="AR1188" s="90"/>
      <c r="AS1188" s="90"/>
      <c r="AT1188" s="90"/>
      <c r="AU1188" s="90"/>
      <c r="AV1188" s="91"/>
      <c r="AX1188" s="92"/>
    </row>
    <row r="1189" customFormat="false" ht="15.65" hidden="false" customHeight="false" outlineLevel="0" collapsed="false">
      <c r="C1189" s="72" t="n">
        <f aca="false">COUNTIFS($D$6:D1189,"&lt;&gt;"&amp;"")</f>
        <v>1184</v>
      </c>
      <c r="D1189" s="73" t="s">
        <v>12</v>
      </c>
      <c r="E1189" s="76" t="str">
        <f aca="false">
IF($D1189="정상",INDEX(임대자산!$D$3:$R$3000,MATCH($F1189,임대자산!$I$3:$I$3000,0),MATCH(E$3,임대자산!$D$3:$R$3,0)),
IF($D1189="폐업",INDEX(폐업정보!$D$3:$R$3000,MATCH($F1189,폐업정보!$I$3:$I$3000,0),MATCH(E$3,폐업정보!$D$3:$R$3,0)),
"Error"))</f>
        <v>서울</v>
      </c>
      <c r="F118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B1184</v>
      </c>
      <c r="G1189" s="76" t="str">
        <f aca="false">F1189&amp;RANDBETWEEN(0,10)</f>
        <v>B11840</v>
      </c>
      <c r="H1189" s="75" t="n">
        <f aca="false">
IF($D1189="정상",INDEX(임대자산!$D$3:$R$3000,MATCH($F1189,임대자산!$I$3:$I$3000,0),MATCH(H$4,임대자산!$D$3:$R$3,0)),
IF($D1189="폐업",INDEX(폐업정보!$D$3:$R$3000,MATCH($F1189,폐업정보!$I$3:$I$3000,0),MATCH(H$4,폐업정보!$D$3:$R$3,0)),
"Error"))</f>
        <v>45008</v>
      </c>
      <c r="I1189" s="75" t="str">
        <f aca="false">
IF($D1189="정상",INDEX(임대자산!$D$3:$R$3000,MATCH($F1189,임대자산!$I$3:$I$3000,0),MATCH(I$4,임대자산!$D$3:$R$3,0)),
IF($D1189="폐업",INDEX(폐업정보!$D$3:$R$3000,MATCH($F1189,폐업정보!$I$3:$I$3000,0),MATCH(I$4,폐업정보!$D$3:$R$3,0)),
"Error"))</f>
        <v>A1184</v>
      </c>
      <c r="J1189" s="75" t="str">
        <f aca="false">
IF($D1189="정상",INDEX(임대자산!$D$3:$R$3000,MATCH($F1189,임대자산!$I$3:$I$3000,0),MATCH(J$4,임대자산!$D$3:$R$3,0)),
IF($D1189="폐업",INDEX(폐업정보!$D$3:$R$3000,MATCH($F1189,폐업정보!$I$3:$I$3000,0),MATCH(J$4,폐업정보!$D$3:$R$3,0)),
"Error"))</f>
        <v>4844000000</v>
      </c>
      <c r="K1189" s="75" t="str">
        <f aca="false">
IF($D1189="정상",INDEX(임대자산!$D$3:$R$3000,MATCH($F1189,임대자산!$I$3:$I$3000,0),MATCH(K$4,임대자산!$D$3:$R$3,0)),
IF($D1189="폐업",INDEX(폐업정보!$D$3:$R$3000,MATCH($F1189,폐업정보!$I$3:$I$3000,0),MATCH(K$4,폐업정보!$D$3:$R$3,0)),
"Error"))</f>
        <v>C1184</v>
      </c>
      <c r="L1189" s="75" t="str">
        <f aca="false">
IF($D1189="정상",INDEX(임대자산!$D$3:$R$3000,MATCH($F1189,임대자산!$I$3:$I$3000,0),MATCH(L$4,임대자산!$D$3:$R$3,0)),
IF($D1189="폐업",INDEX(폐업정보!$D$3:$R$3000,MATCH($F1189,폐업정보!$I$3:$I$3000,0),MATCH(L$4,폐업정보!$D$3:$R$3,0)),
"Error"))</f>
        <v>D1184</v>
      </c>
      <c r="M1189" s="76" t="s">
        <v>96</v>
      </c>
      <c r="N1189" s="77"/>
      <c r="O1189" s="78" t="s">
        <v>97</v>
      </c>
      <c r="P1189" s="79" t="n">
        <f aca="false">COUNTIFS(임대자산!$I:$I,가맹점정보!F1189,임대자산!$N:$N,가맹점정보!P$4)</f>
        <v>0</v>
      </c>
      <c r="Q1189" s="80" t="n">
        <f aca="false">COUNTIFS(임대자산!$I:$I,가맹점정보!F1189,임대자산!$N:$N,가맹점정보!Q$4)</f>
        <v>0</v>
      </c>
      <c r="R1189" s="81" t="n">
        <f aca="false">COUNTIFS(임대자산!$I:$I,가맹점정보!F1189,임대자산!$N:$N,가맹점정보!R$4)</f>
        <v>1</v>
      </c>
      <c r="S1189" s="82" t="n">
        <v>88000</v>
      </c>
      <c r="T1189" s="83" t="n">
        <v>0</v>
      </c>
      <c r="U1189" s="80" t="n">
        <f aca="false">SUM(S1189:T1189)</f>
        <v>88000</v>
      </c>
      <c r="V1189" s="84" t="s">
        <v>7</v>
      </c>
      <c r="W1189" s="80" t="str">
        <f aca="true">
IF(D1189="폐업","폐업",
IF(V1189="면제","면제",
IF(AND(V1189="정상",COUNTIFS(OFFSET(Y1189,0,COUNTA(Y1189:AV1189)-1,1,-4),"미납")&gt;=3),"장기미납",
IF(AND(V1189="정상",OFFSET(Y1189,0,COUNTA(Y1189:AV1189)-1)&gt;=U1189),"정상",
IF(AND(V1189="정상",OFFSET(Y1189,0,COUNTA(Y1189:AV1189)-1)=0),"정상",
"계약서 미작성")))))</f>
        <v>면제</v>
      </c>
      <c r="X1189" s="81" t="str">
        <f aca="true">
IF(D1189="폐업","폐업",
IF(AND(V1189="정상",OFFSET(Y1189,0,COUNTA(Y1189:AV1189)-1)="미납"),"미납",
IF(AND(V1189="정상",OFFSET(Y1189,0,COUNTA(Y1189:AV1189)-1)=0),"납부 시작 전",
IF(AND(V1189="정상",OFFSET(Y1189,0,COUNTA(Y1189:AV1189)-1)&gt;=U1189),"정상",
IF(AND(V1189="면제",OFFSET(Y1189,0,COUNTA(Y1189:AV1189)-1)="면제"),"면제",
IF(AND(V1189="면제",OFFSET(Y1189,0,COUNTA(Y1189:AV1189)-1)=0),"면제",
"확인요청"))))))</f>
        <v>면제</v>
      </c>
      <c r="Y1189" s="94" t="s">
        <v>7</v>
      </c>
      <c r="Z1189" s="95" t="s">
        <v>7</v>
      </c>
      <c r="AA1189" s="95" t="s">
        <v>7</v>
      </c>
      <c r="AB1189" s="95" t="s">
        <v>7</v>
      </c>
      <c r="AC1189" s="95" t="s">
        <v>7</v>
      </c>
      <c r="AD1189" s="95" t="s">
        <v>7</v>
      </c>
      <c r="AE1189" s="95" t="s">
        <v>7</v>
      </c>
      <c r="AF1189" s="95" t="s">
        <v>7</v>
      </c>
      <c r="AG1189" s="95" t="s">
        <v>7</v>
      </c>
      <c r="AH1189" s="95" t="s">
        <v>7</v>
      </c>
      <c r="AI1189" s="95" t="s">
        <v>7</v>
      </c>
      <c r="AJ1189" s="96" t="s">
        <v>7</v>
      </c>
      <c r="AK1189" s="97" t="s">
        <v>7</v>
      </c>
      <c r="AL1189" s="95" t="s">
        <v>7</v>
      </c>
      <c r="AM1189" s="90"/>
      <c r="AN1189" s="90"/>
      <c r="AO1189" s="90"/>
      <c r="AP1189" s="90"/>
      <c r="AQ1189" s="90"/>
      <c r="AR1189" s="90"/>
      <c r="AS1189" s="90"/>
      <c r="AT1189" s="90"/>
      <c r="AU1189" s="90"/>
      <c r="AV1189" s="91"/>
      <c r="AX1189" s="92"/>
    </row>
    <row r="1190" customFormat="false" ht="15.65" hidden="false" customHeight="false" outlineLevel="0" collapsed="false">
      <c r="C1190" s="72" t="n">
        <f aca="false">COUNTIFS($D$6:D1190,"&lt;&gt;"&amp;"")</f>
        <v>1185</v>
      </c>
      <c r="D1190" s="73" t="s">
        <v>12</v>
      </c>
      <c r="E1190" s="76" t="str">
        <f aca="false">
IF($D1190="정상",INDEX(임대자산!$D$3:$R$3000,MATCH($F1190,임대자산!$I$3:$I$3000,0),MATCH(E$3,임대자산!$D$3:$R$3,0)),
IF($D1190="폐업",INDEX(폐업정보!$D$3:$R$3000,MATCH($F1190,폐업정보!$I$3:$I$3000,0),MATCH(E$3,폐업정보!$D$3:$R$3,0)),
"Error"))</f>
        <v>서울</v>
      </c>
      <c r="F119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B1185</v>
      </c>
      <c r="G1190" s="76" t="str">
        <f aca="false">F1190&amp;RANDBETWEEN(0,10)</f>
        <v>B11858</v>
      </c>
      <c r="H1190" s="75" t="n">
        <f aca="false">
IF($D1190="정상",INDEX(임대자산!$D$3:$R$3000,MATCH($F1190,임대자산!$I$3:$I$3000,0),MATCH(H$4,임대자산!$D$3:$R$3,0)),
IF($D1190="폐업",INDEX(폐업정보!$D$3:$R$3000,MATCH($F1190,폐업정보!$I$3:$I$3000,0),MATCH(H$4,폐업정보!$D$3:$R$3,0)),
"Error"))</f>
        <v>44999</v>
      </c>
      <c r="I1190" s="75" t="str">
        <f aca="false">
IF($D1190="정상",INDEX(임대자산!$D$3:$R$3000,MATCH($F1190,임대자산!$I$3:$I$3000,0),MATCH(I$4,임대자산!$D$3:$R$3,0)),
IF($D1190="폐업",INDEX(폐업정보!$D$3:$R$3000,MATCH($F1190,폐업정보!$I$3:$I$3000,0),MATCH(I$4,폐업정보!$D$3:$R$3,0)),
"Error"))</f>
        <v>A1185</v>
      </c>
      <c r="J1190" s="75" t="str">
        <f aca="false">
IF($D1190="정상",INDEX(임대자산!$D$3:$R$3000,MATCH($F1190,임대자산!$I$3:$I$3000,0),MATCH(J$4,임대자산!$D$3:$R$3,0)),
IF($D1190="폐업",INDEX(폐업정보!$D$3:$R$3000,MATCH($F1190,폐업정보!$I$3:$I$3000,0),MATCH(J$4,폐업정보!$D$3:$R$3,0)),
"Error"))</f>
        <v>9163600000</v>
      </c>
      <c r="K1190" s="75" t="str">
        <f aca="false">
IF($D1190="정상",INDEX(임대자산!$D$3:$R$3000,MATCH($F1190,임대자산!$I$3:$I$3000,0),MATCH(K$4,임대자산!$D$3:$R$3,0)),
IF($D1190="폐업",INDEX(폐업정보!$D$3:$R$3000,MATCH($F1190,폐업정보!$I$3:$I$3000,0),MATCH(K$4,폐업정보!$D$3:$R$3,0)),
"Error"))</f>
        <v>C1185</v>
      </c>
      <c r="L1190" s="75" t="str">
        <f aca="false">
IF($D1190="정상",INDEX(임대자산!$D$3:$R$3000,MATCH($F1190,임대자산!$I$3:$I$3000,0),MATCH(L$4,임대자산!$D$3:$R$3,0)),
IF($D1190="폐업",INDEX(폐업정보!$D$3:$R$3000,MATCH($F1190,폐업정보!$I$3:$I$3000,0),MATCH(L$4,폐업정보!$D$3:$R$3,0)),
"Error"))</f>
        <v>D1185</v>
      </c>
      <c r="M1190" s="76" t="s">
        <v>96</v>
      </c>
      <c r="N1190" s="77"/>
      <c r="O1190" s="78" t="s">
        <v>97</v>
      </c>
      <c r="P1190" s="79" t="n">
        <f aca="false">COUNTIFS(임대자산!$I:$I,가맹점정보!F1190,임대자산!$N:$N,가맹점정보!P$4)</f>
        <v>0</v>
      </c>
      <c r="Q1190" s="80" t="n">
        <f aca="false">COUNTIFS(임대자산!$I:$I,가맹점정보!F1190,임대자산!$N:$N,가맹점정보!Q$4)</f>
        <v>0</v>
      </c>
      <c r="R1190" s="81" t="n">
        <f aca="false">COUNTIFS(임대자산!$I:$I,가맹점정보!F1190,임대자산!$N:$N,가맹점정보!R$4)</f>
        <v>1</v>
      </c>
      <c r="S1190" s="82" t="n">
        <v>88000</v>
      </c>
      <c r="T1190" s="83" t="n">
        <v>0</v>
      </c>
      <c r="U1190" s="80" t="n">
        <f aca="false">SUM(S1190:T1190)</f>
        <v>88000</v>
      </c>
      <c r="V1190" s="84" t="s">
        <v>7</v>
      </c>
      <c r="W1190" s="80" t="str">
        <f aca="true">
IF(D1190="폐업","폐업",
IF(V1190="면제","면제",
IF(AND(V1190="정상",COUNTIFS(OFFSET(Y1190,0,COUNTA(Y1190:AV1190)-1,1,-4),"미납")&gt;=3),"장기미납",
IF(AND(V1190="정상",OFFSET(Y1190,0,COUNTA(Y1190:AV1190)-1)&gt;=U1190),"정상",
IF(AND(V1190="정상",OFFSET(Y1190,0,COUNTA(Y1190:AV1190)-1)=0),"정상",
"계약서 미작성")))))</f>
        <v>면제</v>
      </c>
      <c r="X1190" s="81" t="str">
        <f aca="true">
IF(D1190="폐업","폐업",
IF(AND(V1190="정상",OFFSET(Y1190,0,COUNTA(Y1190:AV1190)-1)="미납"),"미납",
IF(AND(V1190="정상",OFFSET(Y1190,0,COUNTA(Y1190:AV1190)-1)=0),"납부 시작 전",
IF(AND(V1190="정상",OFFSET(Y1190,0,COUNTA(Y1190:AV1190)-1)&gt;=U1190),"정상",
IF(AND(V1190="면제",OFFSET(Y1190,0,COUNTA(Y1190:AV1190)-1)="면제"),"면제",
IF(AND(V1190="면제",OFFSET(Y1190,0,COUNTA(Y1190:AV1190)-1)=0),"면제",
"확인요청"))))))</f>
        <v>면제</v>
      </c>
      <c r="Y1190" s="94" t="s">
        <v>7</v>
      </c>
      <c r="Z1190" s="95" t="s">
        <v>7</v>
      </c>
      <c r="AA1190" s="95" t="s">
        <v>7</v>
      </c>
      <c r="AB1190" s="95" t="s">
        <v>7</v>
      </c>
      <c r="AC1190" s="95" t="s">
        <v>7</v>
      </c>
      <c r="AD1190" s="95" t="s">
        <v>7</v>
      </c>
      <c r="AE1190" s="95" t="s">
        <v>7</v>
      </c>
      <c r="AF1190" s="95" t="s">
        <v>7</v>
      </c>
      <c r="AG1190" s="95" t="s">
        <v>7</v>
      </c>
      <c r="AH1190" s="95" t="s">
        <v>7</v>
      </c>
      <c r="AI1190" s="95" t="s">
        <v>7</v>
      </c>
      <c r="AJ1190" s="96" t="s">
        <v>7</v>
      </c>
      <c r="AK1190" s="97" t="s">
        <v>7</v>
      </c>
      <c r="AL1190" s="95" t="s">
        <v>7</v>
      </c>
      <c r="AM1190" s="90"/>
      <c r="AN1190" s="90"/>
      <c r="AO1190" s="90"/>
      <c r="AP1190" s="90"/>
      <c r="AQ1190" s="90"/>
      <c r="AR1190" s="90"/>
      <c r="AS1190" s="90"/>
      <c r="AT1190" s="90"/>
      <c r="AU1190" s="90"/>
      <c r="AV1190" s="91"/>
      <c r="AX1190" s="92"/>
    </row>
    <row r="1191" customFormat="false" ht="15.65" hidden="false" customHeight="false" outlineLevel="0" collapsed="false">
      <c r="C1191" s="72" t="n">
        <f aca="false">COUNTIFS($D$6:D1191,"&lt;&gt;"&amp;"")</f>
        <v>1186</v>
      </c>
      <c r="D1191" s="73" t="s">
        <v>12</v>
      </c>
      <c r="E1191" s="76" t="str">
        <f aca="false">
IF($D1191="정상",INDEX(임대자산!$D$3:$R$3000,MATCH($F1191,임대자산!$I$3:$I$3000,0),MATCH(E$3,임대자산!$D$3:$R$3,0)),
IF($D1191="폐업",INDEX(폐업정보!$D$3:$R$3000,MATCH($F1191,폐업정보!$I$3:$I$3000,0),MATCH(E$3,폐업정보!$D$3:$R$3,0)),
"Error"))</f>
        <v>서울</v>
      </c>
      <c r="F119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B1186</v>
      </c>
      <c r="G1191" s="76" t="str">
        <f aca="false">F1191&amp;RANDBETWEEN(0,10)</f>
        <v>B11869</v>
      </c>
      <c r="H1191" s="75" t="n">
        <f aca="false">
IF($D1191="정상",INDEX(임대자산!$D$3:$R$3000,MATCH($F1191,임대자산!$I$3:$I$3000,0),MATCH(H$4,임대자산!$D$3:$R$3,0)),
IF($D1191="폐업",INDEX(폐업정보!$D$3:$R$3000,MATCH($F1191,폐업정보!$I$3:$I$3000,0),MATCH(H$4,폐업정보!$D$3:$R$3,0)),
"Error"))</f>
        <v>44999</v>
      </c>
      <c r="I1191" s="75" t="str">
        <f aca="false">
IF($D1191="정상",INDEX(임대자산!$D$3:$R$3000,MATCH($F1191,임대자산!$I$3:$I$3000,0),MATCH(I$4,임대자산!$D$3:$R$3,0)),
IF($D1191="폐업",INDEX(폐업정보!$D$3:$R$3000,MATCH($F1191,폐업정보!$I$3:$I$3000,0),MATCH(I$4,폐업정보!$D$3:$R$3,0)),
"Error"))</f>
        <v>A1186</v>
      </c>
      <c r="J1191" s="75" t="str">
        <f aca="false">
IF($D1191="정상",INDEX(임대자산!$D$3:$R$3000,MATCH($F1191,임대자산!$I$3:$I$3000,0),MATCH(J$4,임대자산!$D$3:$R$3,0)),
IF($D1191="폐업",INDEX(폐업정보!$D$3:$R$3000,MATCH($F1191,폐업정보!$I$3:$I$3000,0),MATCH(J$4,폐업정보!$D$3:$R$3,0)),
"Error"))</f>
        <v>4687500000</v>
      </c>
      <c r="K1191" s="75" t="str">
        <f aca="false">
IF($D1191="정상",INDEX(임대자산!$D$3:$R$3000,MATCH($F1191,임대자산!$I$3:$I$3000,0),MATCH(K$4,임대자산!$D$3:$R$3,0)),
IF($D1191="폐업",INDEX(폐업정보!$D$3:$R$3000,MATCH($F1191,폐업정보!$I$3:$I$3000,0),MATCH(K$4,폐업정보!$D$3:$R$3,0)),
"Error"))</f>
        <v>C1186</v>
      </c>
      <c r="L1191" s="75" t="str">
        <f aca="false">
IF($D1191="정상",INDEX(임대자산!$D$3:$R$3000,MATCH($F1191,임대자산!$I$3:$I$3000,0),MATCH(L$4,임대자산!$D$3:$R$3,0)),
IF($D1191="폐업",INDEX(폐업정보!$D$3:$R$3000,MATCH($F1191,폐업정보!$I$3:$I$3000,0),MATCH(L$4,폐업정보!$D$3:$R$3,0)),
"Error"))</f>
        <v>D1186</v>
      </c>
      <c r="M1191" s="76" t="s">
        <v>96</v>
      </c>
      <c r="N1191" s="77"/>
      <c r="O1191" s="78" t="s">
        <v>97</v>
      </c>
      <c r="P1191" s="79" t="n">
        <f aca="false">COUNTIFS(임대자산!$I:$I,가맹점정보!F1191,임대자산!$N:$N,가맹점정보!P$4)</f>
        <v>0</v>
      </c>
      <c r="Q1191" s="80" t="n">
        <f aca="false">COUNTIFS(임대자산!$I:$I,가맹점정보!F1191,임대자산!$N:$N,가맹점정보!Q$4)</f>
        <v>0</v>
      </c>
      <c r="R1191" s="81" t="n">
        <f aca="false">COUNTIFS(임대자산!$I:$I,가맹점정보!F1191,임대자산!$N:$N,가맹점정보!R$4)</f>
        <v>1</v>
      </c>
      <c r="S1191" s="82" t="n">
        <v>55000</v>
      </c>
      <c r="T1191" s="83" t="n">
        <v>0</v>
      </c>
      <c r="U1191" s="80" t="n">
        <f aca="false">SUM(S1191:T1191)</f>
        <v>55000</v>
      </c>
      <c r="V1191" s="84" t="s">
        <v>12</v>
      </c>
      <c r="W1191" s="80" t="e">
        <f aca="true">
IF(D1191="폐업","폐업",
IF(V1191="면제","면제",
IF(AND(V1191="정상",COUNTIFS(OFFSET(Y1191,0,COUNTA(Y1191:AV1191)-1,1,-4),"미납")&gt;=3),"장기미납",
IF(AND(V1191="정상",OFFSET(Y1191,0,COUNTA(Y1191:AV1191)-1)&gt;=U1191),"정상",
IF(AND(V1191="정상",OFFSET(Y1191,0,COUNTA(Y1191:AV1191)-1)=0),"정상",
"계약서 미작성")))))</f>
        <v>#VALUE!</v>
      </c>
      <c r="X1191" s="81" t="str">
        <f aca="true">
IF(D1191="폐업","폐업",
IF(AND(V1191="정상",OFFSET(Y1191,0,COUNTA(Y1191:AV1191)-1)="미납"),"미납",
IF(AND(V1191="정상",OFFSET(Y1191,0,COUNTA(Y1191:AV1191)-1)=0),"납부 시작 전",
IF(AND(V1191="정상",OFFSET(Y1191,0,COUNTA(Y1191:AV1191)-1)&gt;=U1191),"정상",
IF(AND(V1191="면제",OFFSET(Y1191,0,COUNTA(Y1191:AV1191)-1)="면제"),"면제",
IF(AND(V1191="면제",OFFSET(Y1191,0,COUNTA(Y1191:AV1191)-1)=0),"면제",
"확인요청"))))))</f>
        <v>정상</v>
      </c>
      <c r="Y1191" s="93" t="n">
        <v>55000</v>
      </c>
      <c r="Z1191" s="90" t="n">
        <v>55000</v>
      </c>
      <c r="AA1191" s="90" t="n">
        <v>55000</v>
      </c>
      <c r="AB1191" s="90" t="n">
        <v>55000</v>
      </c>
      <c r="AC1191" s="90" t="n">
        <v>55000</v>
      </c>
      <c r="AD1191" s="90" t="n">
        <v>55000</v>
      </c>
      <c r="AE1191" s="90" t="n">
        <v>55000</v>
      </c>
      <c r="AF1191" s="90" t="n">
        <v>55000</v>
      </c>
      <c r="AG1191" s="90" t="n">
        <v>55000</v>
      </c>
      <c r="AH1191" s="90" t="n">
        <v>55000</v>
      </c>
      <c r="AI1191" s="90" t="n">
        <v>55000</v>
      </c>
      <c r="AJ1191" s="91" t="n">
        <v>55000</v>
      </c>
      <c r="AK1191" s="89" t="n">
        <v>55000</v>
      </c>
      <c r="AL1191" s="90" t="n">
        <v>55000</v>
      </c>
      <c r="AM1191" s="90"/>
      <c r="AN1191" s="90"/>
      <c r="AO1191" s="90"/>
      <c r="AP1191" s="90"/>
      <c r="AQ1191" s="90"/>
      <c r="AR1191" s="90"/>
      <c r="AS1191" s="90"/>
      <c r="AT1191" s="90"/>
      <c r="AU1191" s="90"/>
      <c r="AV1191" s="91"/>
      <c r="AX1191" s="92"/>
    </row>
    <row r="1192" customFormat="false" ht="15.65" hidden="false" customHeight="false" outlineLevel="0" collapsed="false">
      <c r="C1192" s="72" t="n">
        <f aca="false">COUNTIFS($D$6:D1192,"&lt;&gt;"&amp;"")</f>
        <v>1187</v>
      </c>
      <c r="D1192" s="73" t="s">
        <v>12</v>
      </c>
      <c r="E1192" s="76" t="str">
        <f aca="false">
IF($D1192="정상",INDEX(임대자산!$D$3:$R$3000,MATCH($F1192,임대자산!$I$3:$I$3000,0),MATCH(E$3,임대자산!$D$3:$R$3,0)),
IF($D1192="폐업",INDEX(폐업정보!$D$3:$R$3000,MATCH($F1192,폐업정보!$I$3:$I$3000,0),MATCH(E$3,폐업정보!$D$3:$R$3,0)),
"Error"))</f>
        <v>서울</v>
      </c>
      <c r="F119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B1187</v>
      </c>
      <c r="G1192" s="76" t="str">
        <f aca="false">F1192&amp;RANDBETWEEN(0,10)</f>
        <v>B11876</v>
      </c>
      <c r="H1192" s="75" t="n">
        <f aca="false">
IF($D1192="정상",INDEX(임대자산!$D$3:$R$3000,MATCH($F1192,임대자산!$I$3:$I$3000,0),MATCH(H$4,임대자산!$D$3:$R$3,0)),
IF($D1192="폐업",INDEX(폐업정보!$D$3:$R$3000,MATCH($F1192,폐업정보!$I$3:$I$3000,0),MATCH(H$4,폐업정보!$D$3:$R$3,0)),
"Error"))</f>
        <v>45877</v>
      </c>
      <c r="I1192" s="75" t="str">
        <f aca="false">
IF($D1192="정상",INDEX(임대자산!$D$3:$R$3000,MATCH($F1192,임대자산!$I$3:$I$3000,0),MATCH(I$4,임대자산!$D$3:$R$3,0)),
IF($D1192="폐업",INDEX(폐업정보!$D$3:$R$3000,MATCH($F1192,폐업정보!$I$3:$I$3000,0),MATCH(I$4,폐업정보!$D$3:$R$3,0)),
"Error"))</f>
        <v>A1187</v>
      </c>
      <c r="J1192" s="75" t="str">
        <f aca="false">
IF($D1192="정상",INDEX(임대자산!$D$3:$R$3000,MATCH($F1192,임대자산!$I$3:$I$3000,0),MATCH(J$4,임대자산!$D$3:$R$3,0)),
IF($D1192="폐업",INDEX(폐업정보!$D$3:$R$3000,MATCH($F1192,폐업정보!$I$3:$I$3000,0),MATCH(J$4,폐업정보!$D$3:$R$3,0)),
"Error"))</f>
        <v>8153500000</v>
      </c>
      <c r="K1192" s="75" t="str">
        <f aca="false">
IF($D1192="정상",INDEX(임대자산!$D$3:$R$3000,MATCH($F1192,임대자산!$I$3:$I$3000,0),MATCH(K$4,임대자산!$D$3:$R$3,0)),
IF($D1192="폐업",INDEX(폐업정보!$D$3:$R$3000,MATCH($F1192,폐업정보!$I$3:$I$3000,0),MATCH(K$4,폐업정보!$D$3:$R$3,0)),
"Error"))</f>
        <v>C1187</v>
      </c>
      <c r="L1192" s="75" t="str">
        <f aca="false">
IF($D1192="정상",INDEX(임대자산!$D$3:$R$3000,MATCH($F1192,임대자산!$I$3:$I$3000,0),MATCH(L$4,임대자산!$D$3:$R$3,0)),
IF($D1192="폐업",INDEX(폐업정보!$D$3:$R$3000,MATCH($F1192,폐업정보!$I$3:$I$3000,0),MATCH(L$4,폐업정보!$D$3:$R$3,0)),
"Error"))</f>
        <v>D1187</v>
      </c>
      <c r="M1192" s="76" t="s">
        <v>96</v>
      </c>
      <c r="N1192" s="77"/>
      <c r="O1192" s="78" t="s">
        <v>97</v>
      </c>
      <c r="P1192" s="79" t="n">
        <f aca="false">COUNTIFS(임대자산!$I:$I,가맹점정보!F1192,임대자산!$N:$N,가맹점정보!P$4)</f>
        <v>0</v>
      </c>
      <c r="Q1192" s="80" t="n">
        <f aca="false">COUNTIFS(임대자산!$I:$I,가맹점정보!F1192,임대자산!$N:$N,가맹점정보!Q$4)</f>
        <v>0</v>
      </c>
      <c r="R1192" s="81" t="n">
        <f aca="false">COUNTIFS(임대자산!$I:$I,가맹점정보!F1192,임대자산!$N:$N,가맹점정보!R$4)</f>
        <v>1</v>
      </c>
      <c r="S1192" s="82" t="n">
        <v>55000</v>
      </c>
      <c r="T1192" s="83" t="n">
        <v>0</v>
      </c>
      <c r="U1192" s="80" t="n">
        <f aca="false">SUM(S1192:T1192)</f>
        <v>55000</v>
      </c>
      <c r="V1192" s="84" t="s">
        <v>12</v>
      </c>
      <c r="W1192" s="80" t="e">
        <f aca="true">
IF(D1192="폐업","폐업",
IF(V1192="면제","면제",
IF(AND(V1192="정상",COUNTIFS(OFFSET(Y1192,0,COUNTA(Y1192:AV1192)-1,1,-4),"미납")&gt;=3),"장기미납",
IF(AND(V1192="정상",OFFSET(Y1192,0,COUNTA(Y1192:AV1192)-1)&gt;=U1192),"정상",
IF(AND(V1192="정상",OFFSET(Y1192,0,COUNTA(Y1192:AV1192)-1)=0),"정상",
"계약서 미작성")))))</f>
        <v>#VALUE!</v>
      </c>
      <c r="X1192" s="81" t="str">
        <f aca="true">
IF(D1192="폐업","폐업",
IF(AND(V1192="정상",OFFSET(Y1192,0,COUNTA(Y1192:AV1192)-1)="미납"),"미납",
IF(AND(V1192="정상",OFFSET(Y1192,0,COUNTA(Y1192:AV1192)-1)=0),"납부 시작 전",
IF(AND(V1192="정상",OFFSET(Y1192,0,COUNTA(Y1192:AV1192)-1)&gt;=U1192),"정상",
IF(AND(V1192="면제",OFFSET(Y1192,0,COUNTA(Y1192:AV1192)-1)="면제"),"면제",
IF(AND(V1192="면제",OFFSET(Y1192,0,COUNTA(Y1192:AV1192)-1)=0),"면제",
"확인요청"))))))</f>
        <v>정상</v>
      </c>
      <c r="Y1192" s="93" t="n">
        <v>55000</v>
      </c>
      <c r="Z1192" s="90" t="n">
        <v>55000</v>
      </c>
      <c r="AA1192" s="90" t="n">
        <v>55000</v>
      </c>
      <c r="AB1192" s="90" t="n">
        <v>55000</v>
      </c>
      <c r="AC1192" s="90" t="s">
        <v>103</v>
      </c>
      <c r="AD1192" s="95" t="s">
        <v>62</v>
      </c>
      <c r="AE1192" s="90" t="n">
        <v>110000</v>
      </c>
      <c r="AF1192" s="90" t="n">
        <v>55000</v>
      </c>
      <c r="AG1192" s="90" t="n">
        <v>55000</v>
      </c>
      <c r="AH1192" s="90" t="n">
        <v>55000</v>
      </c>
      <c r="AI1192" s="90" t="n">
        <v>55000</v>
      </c>
      <c r="AJ1192" s="91" t="n">
        <v>55000</v>
      </c>
      <c r="AK1192" s="89" t="n">
        <v>55000</v>
      </c>
      <c r="AL1192" s="90" t="n">
        <v>55000</v>
      </c>
      <c r="AM1192" s="90"/>
      <c r="AN1192" s="90"/>
      <c r="AO1192" s="90"/>
      <c r="AP1192" s="90"/>
      <c r="AQ1192" s="90"/>
      <c r="AR1192" s="90"/>
      <c r="AS1192" s="90"/>
      <c r="AT1192" s="90"/>
      <c r="AU1192" s="90"/>
      <c r="AV1192" s="91"/>
      <c r="AX1192" s="92"/>
    </row>
    <row r="1193" customFormat="false" ht="15.65" hidden="false" customHeight="false" outlineLevel="0" collapsed="false">
      <c r="C1193" s="72" t="n">
        <f aca="false">COUNTIFS($D$6:D1193,"&lt;&gt;"&amp;"")</f>
        <v>1188</v>
      </c>
      <c r="D1193" s="73" t="s">
        <v>12</v>
      </c>
      <c r="E1193" s="76" t="str">
        <f aca="false">
IF($D1193="정상",INDEX(임대자산!$D$3:$R$3000,MATCH($F1193,임대자산!$I$3:$I$3000,0),MATCH(E$3,임대자산!$D$3:$R$3,0)),
IF($D1193="폐업",INDEX(폐업정보!$D$3:$R$3000,MATCH($F1193,폐업정보!$I$3:$I$3000,0),MATCH(E$3,폐업정보!$D$3:$R$3,0)),
"Error"))</f>
        <v>서울</v>
      </c>
      <c r="F119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B1188</v>
      </c>
      <c r="G1193" s="76" t="str">
        <f aca="false">F1193&amp;RANDBETWEEN(0,10)</f>
        <v>B11880</v>
      </c>
      <c r="H1193" s="75" t="n">
        <f aca="false">
IF($D1193="정상",INDEX(임대자산!$D$3:$R$3000,MATCH($F1193,임대자산!$I$3:$I$3000,0),MATCH(H$4,임대자산!$D$3:$R$3,0)),
IF($D1193="폐업",INDEX(폐업정보!$D$3:$R$3000,MATCH($F1193,폐업정보!$I$3:$I$3000,0),MATCH(H$4,폐업정보!$D$3:$R$3,0)),
"Error"))</f>
        <v>45007</v>
      </c>
      <c r="I1193" s="75" t="str">
        <f aca="false">
IF($D1193="정상",INDEX(임대자산!$D$3:$R$3000,MATCH($F1193,임대자산!$I$3:$I$3000,0),MATCH(I$4,임대자산!$D$3:$R$3,0)),
IF($D1193="폐업",INDEX(폐업정보!$D$3:$R$3000,MATCH($F1193,폐업정보!$I$3:$I$3000,0),MATCH(I$4,폐업정보!$D$3:$R$3,0)),
"Error"))</f>
        <v>A1188</v>
      </c>
      <c r="J1193" s="75" t="str">
        <f aca="false">
IF($D1193="정상",INDEX(임대자산!$D$3:$R$3000,MATCH($F1193,임대자산!$I$3:$I$3000,0),MATCH(J$4,임대자산!$D$3:$R$3,0)),
IF($D1193="폐업",INDEX(폐업정보!$D$3:$R$3000,MATCH($F1193,폐업정보!$I$3:$I$3000,0),MATCH(J$4,폐업정보!$D$3:$R$3,0)),
"Error"))</f>
        <v>3424200000</v>
      </c>
      <c r="K1193" s="75" t="str">
        <f aca="false">
IF($D1193="정상",INDEX(임대자산!$D$3:$R$3000,MATCH($F1193,임대자산!$I$3:$I$3000,0),MATCH(K$4,임대자산!$D$3:$R$3,0)),
IF($D1193="폐업",INDEX(폐업정보!$D$3:$R$3000,MATCH($F1193,폐업정보!$I$3:$I$3000,0),MATCH(K$4,폐업정보!$D$3:$R$3,0)),
"Error"))</f>
        <v>C1188</v>
      </c>
      <c r="L1193" s="75" t="str">
        <f aca="false">
IF($D1193="정상",INDEX(임대자산!$D$3:$R$3000,MATCH($F1193,임대자산!$I$3:$I$3000,0),MATCH(L$4,임대자산!$D$3:$R$3,0)),
IF($D1193="폐업",INDEX(폐업정보!$D$3:$R$3000,MATCH($F1193,폐업정보!$I$3:$I$3000,0),MATCH(L$4,폐업정보!$D$3:$R$3,0)),
"Error"))</f>
        <v>D1188</v>
      </c>
      <c r="M1193" s="76" t="s">
        <v>96</v>
      </c>
      <c r="N1193" s="77"/>
      <c r="O1193" s="78" t="s">
        <v>97</v>
      </c>
      <c r="P1193" s="79" t="n">
        <f aca="false">COUNTIFS(임대자산!$I:$I,가맹점정보!F1193,임대자산!$N:$N,가맹점정보!P$4)</f>
        <v>0</v>
      </c>
      <c r="Q1193" s="80" t="n">
        <f aca="false">COUNTIFS(임대자산!$I:$I,가맹점정보!F1193,임대자산!$N:$N,가맹점정보!Q$4)</f>
        <v>0</v>
      </c>
      <c r="R1193" s="81" t="n">
        <f aca="false">COUNTIFS(임대자산!$I:$I,가맹점정보!F1193,임대자산!$N:$N,가맹점정보!R$4)</f>
        <v>1</v>
      </c>
      <c r="S1193" s="82" t="n">
        <v>88000</v>
      </c>
      <c r="T1193" s="83" t="n">
        <v>0</v>
      </c>
      <c r="U1193" s="80" t="n">
        <f aca="false">SUM(S1193:T1193)</f>
        <v>88000</v>
      </c>
      <c r="V1193" s="84" t="s">
        <v>7</v>
      </c>
      <c r="W1193" s="80" t="str">
        <f aca="true">
IF(D1193="폐업","폐업",
IF(V1193="면제","면제",
IF(AND(V1193="정상",COUNTIFS(OFFSET(Y1193,0,COUNTA(Y1193:AV1193)-1,1,-4),"미납")&gt;=3),"장기미납",
IF(AND(V1193="정상",OFFSET(Y1193,0,COUNTA(Y1193:AV1193)-1)&gt;=U1193),"정상",
IF(AND(V1193="정상",OFFSET(Y1193,0,COUNTA(Y1193:AV1193)-1)=0),"정상",
"계약서 미작성")))))</f>
        <v>면제</v>
      </c>
      <c r="X1193" s="81" t="str">
        <f aca="true">
IF(D1193="폐업","폐업",
IF(AND(V1193="정상",OFFSET(Y1193,0,COUNTA(Y1193:AV1193)-1)="미납"),"미납",
IF(AND(V1193="정상",OFFSET(Y1193,0,COUNTA(Y1193:AV1193)-1)=0),"납부 시작 전",
IF(AND(V1193="정상",OFFSET(Y1193,0,COUNTA(Y1193:AV1193)-1)&gt;=U1193),"정상",
IF(AND(V1193="면제",OFFSET(Y1193,0,COUNTA(Y1193:AV1193)-1)="면제"),"면제",
IF(AND(V1193="면제",OFFSET(Y1193,0,COUNTA(Y1193:AV1193)-1)=0),"면제",
"확인요청"))))))</f>
        <v>면제</v>
      </c>
      <c r="Y1193" s="94" t="s">
        <v>7</v>
      </c>
      <c r="Z1193" s="95" t="s">
        <v>7</v>
      </c>
      <c r="AA1193" s="95" t="s">
        <v>7</v>
      </c>
      <c r="AB1193" s="95" t="s">
        <v>7</v>
      </c>
      <c r="AC1193" s="95" t="s">
        <v>7</v>
      </c>
      <c r="AD1193" s="95" t="s">
        <v>7</v>
      </c>
      <c r="AE1193" s="95" t="s">
        <v>7</v>
      </c>
      <c r="AF1193" s="95" t="s">
        <v>7</v>
      </c>
      <c r="AG1193" s="95" t="s">
        <v>7</v>
      </c>
      <c r="AH1193" s="95" t="s">
        <v>7</v>
      </c>
      <c r="AI1193" s="95" t="s">
        <v>7</v>
      </c>
      <c r="AJ1193" s="96" t="s">
        <v>7</v>
      </c>
      <c r="AK1193" s="97" t="s">
        <v>7</v>
      </c>
      <c r="AL1193" s="95" t="s">
        <v>7</v>
      </c>
      <c r="AM1193" s="90"/>
      <c r="AN1193" s="90"/>
      <c r="AO1193" s="90"/>
      <c r="AP1193" s="90"/>
      <c r="AQ1193" s="90"/>
      <c r="AR1193" s="90"/>
      <c r="AS1193" s="90"/>
      <c r="AT1193" s="90"/>
      <c r="AU1193" s="90"/>
      <c r="AV1193" s="91"/>
      <c r="AX1193" s="92"/>
    </row>
    <row r="1194" customFormat="false" ht="15.65" hidden="false" customHeight="false" outlineLevel="0" collapsed="false">
      <c r="C1194" s="72" t="n">
        <f aca="false">COUNTIFS($D$6:D1194,"&lt;&gt;"&amp;"")</f>
        <v>1189</v>
      </c>
      <c r="D1194" s="73" t="s">
        <v>12</v>
      </c>
      <c r="E1194" s="76" t="str">
        <f aca="false">
IF($D1194="정상",INDEX(임대자산!$D$3:$R$3000,MATCH($F1194,임대자산!$I$3:$I$3000,0),MATCH(E$3,임대자산!$D$3:$R$3,0)),
IF($D1194="폐업",INDEX(폐업정보!$D$3:$R$3000,MATCH($F1194,폐업정보!$I$3:$I$3000,0),MATCH(E$3,폐업정보!$D$3:$R$3,0)),
"Error"))</f>
        <v>서울</v>
      </c>
      <c r="F119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B1189</v>
      </c>
      <c r="G1194" s="76" t="str">
        <f aca="false">F1194&amp;RANDBETWEEN(0,10)</f>
        <v>B11893</v>
      </c>
      <c r="H1194" s="75" t="n">
        <f aca="false">
IF($D1194="정상",INDEX(임대자산!$D$3:$R$3000,MATCH($F1194,임대자산!$I$3:$I$3000,0),MATCH(H$4,임대자산!$D$3:$R$3,0)),
IF($D1194="폐업",INDEX(폐업정보!$D$3:$R$3000,MATCH($F1194,폐업정보!$I$3:$I$3000,0),MATCH(H$4,폐업정보!$D$3:$R$3,0)),
"Error"))</f>
        <v>44993</v>
      </c>
      <c r="I1194" s="75" t="str">
        <f aca="false">
IF($D1194="정상",INDEX(임대자산!$D$3:$R$3000,MATCH($F1194,임대자산!$I$3:$I$3000,0),MATCH(I$4,임대자산!$D$3:$R$3,0)),
IF($D1194="폐업",INDEX(폐업정보!$D$3:$R$3000,MATCH($F1194,폐업정보!$I$3:$I$3000,0),MATCH(I$4,폐업정보!$D$3:$R$3,0)),
"Error"))</f>
        <v>A1189</v>
      </c>
      <c r="J1194" s="75" t="str">
        <f aca="false">
IF($D1194="정상",INDEX(임대자산!$D$3:$R$3000,MATCH($F1194,임대자산!$I$3:$I$3000,0),MATCH(J$4,임대자산!$D$3:$R$3,0)),
IF($D1194="폐업",INDEX(폐업정보!$D$3:$R$3000,MATCH($F1194,폐업정보!$I$3:$I$3000,0),MATCH(J$4,폐업정보!$D$3:$R$3,0)),
"Error"))</f>
        <v>7082700000</v>
      </c>
      <c r="K1194" s="75" t="str">
        <f aca="false">
IF($D1194="정상",INDEX(임대자산!$D$3:$R$3000,MATCH($F1194,임대자산!$I$3:$I$3000,0),MATCH(K$4,임대자산!$D$3:$R$3,0)),
IF($D1194="폐업",INDEX(폐업정보!$D$3:$R$3000,MATCH($F1194,폐업정보!$I$3:$I$3000,0),MATCH(K$4,폐업정보!$D$3:$R$3,0)),
"Error"))</f>
        <v>C1189</v>
      </c>
      <c r="L1194" s="75" t="str">
        <f aca="false">
IF($D1194="정상",INDEX(임대자산!$D$3:$R$3000,MATCH($F1194,임대자산!$I$3:$I$3000,0),MATCH(L$4,임대자산!$D$3:$R$3,0)),
IF($D1194="폐업",INDEX(폐업정보!$D$3:$R$3000,MATCH($F1194,폐업정보!$I$3:$I$3000,0),MATCH(L$4,폐업정보!$D$3:$R$3,0)),
"Error"))</f>
        <v>D1189</v>
      </c>
      <c r="M1194" s="76" t="s">
        <v>96</v>
      </c>
      <c r="N1194" s="77"/>
      <c r="O1194" s="78" t="s">
        <v>97</v>
      </c>
      <c r="P1194" s="79" t="n">
        <f aca="false">COUNTIFS(임대자산!$I:$I,가맹점정보!F1194,임대자산!$N:$N,가맹점정보!P$4)</f>
        <v>0</v>
      </c>
      <c r="Q1194" s="80" t="n">
        <f aca="false">COUNTIFS(임대자산!$I:$I,가맹점정보!F1194,임대자산!$N:$N,가맹점정보!Q$4)</f>
        <v>0</v>
      </c>
      <c r="R1194" s="81" t="n">
        <f aca="false">COUNTIFS(임대자산!$I:$I,가맹점정보!F1194,임대자산!$N:$N,가맹점정보!R$4)</f>
        <v>1</v>
      </c>
      <c r="S1194" s="82" t="n">
        <v>55000</v>
      </c>
      <c r="T1194" s="83" t="n">
        <v>0</v>
      </c>
      <c r="U1194" s="80" t="n">
        <f aca="false">SUM(S1194:T1194)</f>
        <v>55000</v>
      </c>
      <c r="V1194" s="84" t="s">
        <v>7</v>
      </c>
      <c r="W1194" s="80" t="str">
        <f aca="true">
IF(D1194="폐업","폐업",
IF(V1194="면제","면제",
IF(AND(V1194="정상",COUNTIFS(OFFSET(Y1194,0,COUNTA(Y1194:AV1194)-1,1,-4),"미납")&gt;=3),"장기미납",
IF(AND(V1194="정상",OFFSET(Y1194,0,COUNTA(Y1194:AV1194)-1)&gt;=U1194),"정상",
IF(AND(V1194="정상",OFFSET(Y1194,0,COUNTA(Y1194:AV1194)-1)=0),"정상",
"계약서 미작성")))))</f>
        <v>면제</v>
      </c>
      <c r="X1194" s="81" t="str">
        <f aca="true">
IF(D1194="폐업","폐업",
IF(AND(V1194="정상",OFFSET(Y1194,0,COUNTA(Y1194:AV1194)-1)="미납"),"미납",
IF(AND(V1194="정상",OFFSET(Y1194,0,COUNTA(Y1194:AV1194)-1)=0),"납부 시작 전",
IF(AND(V1194="정상",OFFSET(Y1194,0,COUNTA(Y1194:AV1194)-1)&gt;=U1194),"정상",
IF(AND(V1194="면제",OFFSET(Y1194,0,COUNTA(Y1194:AV1194)-1)="면제"),"면제",
IF(AND(V1194="면제",OFFSET(Y1194,0,COUNTA(Y1194:AV1194)-1)=0),"면제",
"확인요청"))))))</f>
        <v>면제</v>
      </c>
      <c r="Y1194" s="94" t="s">
        <v>7</v>
      </c>
      <c r="Z1194" s="95" t="s">
        <v>7</v>
      </c>
      <c r="AA1194" s="95" t="s">
        <v>7</v>
      </c>
      <c r="AB1194" s="95" t="s">
        <v>7</v>
      </c>
      <c r="AC1194" s="95" t="s">
        <v>7</v>
      </c>
      <c r="AD1194" s="95" t="s">
        <v>7</v>
      </c>
      <c r="AE1194" s="95" t="s">
        <v>7</v>
      </c>
      <c r="AF1194" s="95" t="s">
        <v>7</v>
      </c>
      <c r="AG1194" s="95" t="s">
        <v>7</v>
      </c>
      <c r="AH1194" s="95" t="s">
        <v>7</v>
      </c>
      <c r="AI1194" s="95" t="s">
        <v>7</v>
      </c>
      <c r="AJ1194" s="96" t="s">
        <v>7</v>
      </c>
      <c r="AK1194" s="97" t="s">
        <v>7</v>
      </c>
      <c r="AL1194" s="95" t="s">
        <v>7</v>
      </c>
      <c r="AM1194" s="90"/>
      <c r="AN1194" s="90"/>
      <c r="AO1194" s="90"/>
      <c r="AP1194" s="90"/>
      <c r="AQ1194" s="90"/>
      <c r="AR1194" s="90"/>
      <c r="AS1194" s="90"/>
      <c r="AT1194" s="90"/>
      <c r="AU1194" s="90"/>
      <c r="AV1194" s="91"/>
      <c r="AX1194" s="92"/>
    </row>
    <row r="1195" customFormat="false" ht="15.65" hidden="false" customHeight="false" outlineLevel="0" collapsed="false">
      <c r="C1195" s="72" t="n">
        <f aca="false">COUNTIFS($D$6:D1195,"&lt;&gt;"&amp;"")</f>
        <v>1190</v>
      </c>
      <c r="D1195" s="73" t="s">
        <v>12</v>
      </c>
      <c r="E1195" s="76" t="str">
        <f aca="false">
IF($D1195="정상",INDEX(임대자산!$D$3:$R$3000,MATCH($F1195,임대자산!$I$3:$I$3000,0),MATCH(E$3,임대자산!$D$3:$R$3,0)),
IF($D1195="폐업",INDEX(폐업정보!$D$3:$R$3000,MATCH($F1195,폐업정보!$I$3:$I$3000,0),MATCH(E$3,폐업정보!$D$3:$R$3,0)),
"Error"))</f>
        <v>서울</v>
      </c>
      <c r="F119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B1190</v>
      </c>
      <c r="G1195" s="76" t="str">
        <f aca="false">F1195&amp;RANDBETWEEN(0,10)</f>
        <v>B11901</v>
      </c>
      <c r="H1195" s="75" t="n">
        <f aca="false">
IF($D1195="정상",INDEX(임대자산!$D$3:$R$3000,MATCH($F1195,임대자산!$I$3:$I$3000,0),MATCH(H$4,임대자산!$D$3:$R$3,0)),
IF($D1195="폐업",INDEX(폐업정보!$D$3:$R$3000,MATCH($F1195,폐업정보!$I$3:$I$3000,0),MATCH(H$4,폐업정보!$D$3:$R$3,0)),
"Error"))</f>
        <v>45006</v>
      </c>
      <c r="I1195" s="75" t="str">
        <f aca="false">
IF($D1195="정상",INDEX(임대자산!$D$3:$R$3000,MATCH($F1195,임대자산!$I$3:$I$3000,0),MATCH(I$4,임대자산!$D$3:$R$3,0)),
IF($D1195="폐업",INDEX(폐업정보!$D$3:$R$3000,MATCH($F1195,폐업정보!$I$3:$I$3000,0),MATCH(I$4,폐업정보!$D$3:$R$3,0)),
"Error"))</f>
        <v>A1190</v>
      </c>
      <c r="J1195" s="75" t="str">
        <f aca="false">
IF($D1195="정상",INDEX(임대자산!$D$3:$R$3000,MATCH($F1195,임대자산!$I$3:$I$3000,0),MATCH(J$4,임대자산!$D$3:$R$3,0)),
IF($D1195="폐업",INDEX(폐업정보!$D$3:$R$3000,MATCH($F1195,폐업정보!$I$3:$I$3000,0),MATCH(J$4,폐업정보!$D$3:$R$3,0)),
"Error"))</f>
        <v>5761800000</v>
      </c>
      <c r="K1195" s="75" t="str">
        <f aca="false">
IF($D1195="정상",INDEX(임대자산!$D$3:$R$3000,MATCH($F1195,임대자산!$I$3:$I$3000,0),MATCH(K$4,임대자산!$D$3:$R$3,0)),
IF($D1195="폐업",INDEX(폐업정보!$D$3:$R$3000,MATCH($F1195,폐업정보!$I$3:$I$3000,0),MATCH(K$4,폐업정보!$D$3:$R$3,0)),
"Error"))</f>
        <v>C1190</v>
      </c>
      <c r="L1195" s="75" t="str">
        <f aca="false">
IF($D1195="정상",INDEX(임대자산!$D$3:$R$3000,MATCH($F1195,임대자산!$I$3:$I$3000,0),MATCH(L$4,임대자산!$D$3:$R$3,0)),
IF($D1195="폐업",INDEX(폐업정보!$D$3:$R$3000,MATCH($F1195,폐업정보!$I$3:$I$3000,0),MATCH(L$4,폐업정보!$D$3:$R$3,0)),
"Error"))</f>
        <v>D1190</v>
      </c>
      <c r="M1195" s="76" t="s">
        <v>96</v>
      </c>
      <c r="N1195" s="77"/>
      <c r="O1195" s="78" t="s">
        <v>97</v>
      </c>
      <c r="P1195" s="79" t="n">
        <f aca="false">COUNTIFS(임대자산!$I:$I,가맹점정보!F1195,임대자산!$N:$N,가맹점정보!P$4)</f>
        <v>0</v>
      </c>
      <c r="Q1195" s="80" t="n">
        <f aca="false">COUNTIFS(임대자산!$I:$I,가맹점정보!F1195,임대자산!$N:$N,가맹점정보!Q$4)</f>
        <v>0</v>
      </c>
      <c r="R1195" s="81" t="n">
        <f aca="false">COUNTIFS(임대자산!$I:$I,가맹점정보!F1195,임대자산!$N:$N,가맹점정보!R$4)</f>
        <v>1</v>
      </c>
      <c r="S1195" s="82" t="n">
        <v>55000</v>
      </c>
      <c r="T1195" s="83" t="n">
        <v>0</v>
      </c>
      <c r="U1195" s="80" t="n">
        <f aca="false">SUM(S1195:T1195)</f>
        <v>55000</v>
      </c>
      <c r="V1195" s="84" t="s">
        <v>12</v>
      </c>
      <c r="W1195" s="80" t="e">
        <f aca="true">
IF(D1195="폐업","폐업",
IF(V1195="면제","면제",
IF(AND(V1195="정상",COUNTIFS(OFFSET(Y1195,0,COUNTA(Y1195:AV1195)-1,1,-4),"미납")&gt;=3),"장기미납",
IF(AND(V1195="정상",OFFSET(Y1195,0,COUNTA(Y1195:AV1195)-1)&gt;=U1195),"정상",
IF(AND(V1195="정상",OFFSET(Y1195,0,COUNTA(Y1195:AV1195)-1)=0),"정상",
"계약서 미작성")))))</f>
        <v>#VALUE!</v>
      </c>
      <c r="X1195" s="81" t="str">
        <f aca="true">
IF(D1195="폐업","폐업",
IF(AND(V1195="정상",OFFSET(Y1195,0,COUNTA(Y1195:AV1195)-1)="미납"),"미납",
IF(AND(V1195="정상",OFFSET(Y1195,0,COUNTA(Y1195:AV1195)-1)=0),"납부 시작 전",
IF(AND(V1195="정상",OFFSET(Y1195,0,COUNTA(Y1195:AV1195)-1)&gt;=U1195),"정상",
IF(AND(V1195="면제",OFFSET(Y1195,0,COUNTA(Y1195:AV1195)-1)="면제"),"면제",
IF(AND(V1195="면제",OFFSET(Y1195,0,COUNTA(Y1195:AV1195)-1)=0),"면제",
"확인요청"))))))</f>
        <v>정상</v>
      </c>
      <c r="Y1195" s="93" t="n">
        <v>55000</v>
      </c>
      <c r="Z1195" s="90" t="n">
        <v>55000</v>
      </c>
      <c r="AA1195" s="90" t="n">
        <v>55000</v>
      </c>
      <c r="AB1195" s="90" t="n">
        <v>55000</v>
      </c>
      <c r="AC1195" s="90" t="n">
        <v>55000</v>
      </c>
      <c r="AD1195" s="90" t="n">
        <v>55000</v>
      </c>
      <c r="AE1195" s="90" t="n">
        <v>55000</v>
      </c>
      <c r="AF1195" s="90" t="n">
        <v>55000</v>
      </c>
      <c r="AG1195" s="90" t="n">
        <v>55000</v>
      </c>
      <c r="AH1195" s="90" t="n">
        <v>55000</v>
      </c>
      <c r="AI1195" s="90" t="n">
        <v>55000</v>
      </c>
      <c r="AJ1195" s="91" t="n">
        <v>55000</v>
      </c>
      <c r="AK1195" s="89" t="n">
        <v>55000</v>
      </c>
      <c r="AL1195" s="90" t="n">
        <v>55000</v>
      </c>
      <c r="AM1195" s="90"/>
      <c r="AN1195" s="90"/>
      <c r="AO1195" s="90"/>
      <c r="AP1195" s="90"/>
      <c r="AQ1195" s="90"/>
      <c r="AR1195" s="90"/>
      <c r="AS1195" s="90"/>
      <c r="AT1195" s="90"/>
      <c r="AU1195" s="90"/>
      <c r="AV1195" s="91"/>
      <c r="AX1195" s="92"/>
    </row>
    <row r="1196" customFormat="false" ht="15.65" hidden="false" customHeight="false" outlineLevel="0" collapsed="false">
      <c r="C1196" s="72" t="n">
        <f aca="false">COUNTIFS($D$6:D1196,"&lt;&gt;"&amp;"")</f>
        <v>1191</v>
      </c>
      <c r="D1196" s="73" t="s">
        <v>12</v>
      </c>
      <c r="E1196" s="76" t="str">
        <f aca="false">
IF($D1196="정상",INDEX(임대자산!$D$3:$R$3000,MATCH($F1196,임대자산!$I$3:$I$3000,0),MATCH(E$3,임대자산!$D$3:$R$3,0)),
IF($D1196="폐업",INDEX(폐업정보!$D$3:$R$3000,MATCH($F1196,폐업정보!$I$3:$I$3000,0),MATCH(E$3,폐업정보!$D$3:$R$3,0)),
"Error"))</f>
        <v>서울</v>
      </c>
      <c r="F119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B1191</v>
      </c>
      <c r="G1196" s="76" t="str">
        <f aca="false">F1196&amp;RANDBETWEEN(0,10)</f>
        <v>B11914</v>
      </c>
      <c r="H1196" s="75" t="n">
        <f aca="false">
IF($D1196="정상",INDEX(임대자산!$D$3:$R$3000,MATCH($F1196,임대자산!$I$3:$I$3000,0),MATCH(H$4,임대자산!$D$3:$R$3,0)),
IF($D1196="폐업",INDEX(폐업정보!$D$3:$R$3000,MATCH($F1196,폐업정보!$I$3:$I$3000,0),MATCH(H$4,폐업정보!$D$3:$R$3,0)),
"Error"))</f>
        <v>44984</v>
      </c>
      <c r="I1196" s="75" t="str">
        <f aca="false">
IF($D1196="정상",INDEX(임대자산!$D$3:$R$3000,MATCH($F1196,임대자산!$I$3:$I$3000,0),MATCH(I$4,임대자산!$D$3:$R$3,0)),
IF($D1196="폐업",INDEX(폐업정보!$D$3:$R$3000,MATCH($F1196,폐업정보!$I$3:$I$3000,0),MATCH(I$4,폐업정보!$D$3:$R$3,0)),
"Error"))</f>
        <v>A1191</v>
      </c>
      <c r="J1196" s="75" t="str">
        <f aca="false">
IF($D1196="정상",INDEX(임대자산!$D$3:$R$3000,MATCH($F1196,임대자산!$I$3:$I$3000,0),MATCH(J$4,임대자산!$D$3:$R$3,0)),
IF($D1196="폐업",INDEX(폐업정보!$D$3:$R$3000,MATCH($F1196,폐업정보!$I$3:$I$3000,0),MATCH(J$4,폐업정보!$D$3:$R$3,0)),
"Error"))</f>
        <v>2812000000</v>
      </c>
      <c r="K1196" s="75" t="str">
        <f aca="false">
IF($D1196="정상",INDEX(임대자산!$D$3:$R$3000,MATCH($F1196,임대자산!$I$3:$I$3000,0),MATCH(K$4,임대자산!$D$3:$R$3,0)),
IF($D1196="폐업",INDEX(폐업정보!$D$3:$R$3000,MATCH($F1196,폐업정보!$I$3:$I$3000,0),MATCH(K$4,폐업정보!$D$3:$R$3,0)),
"Error"))</f>
        <v>C1191</v>
      </c>
      <c r="L1196" s="75" t="str">
        <f aca="false">
IF($D1196="정상",INDEX(임대자산!$D$3:$R$3000,MATCH($F1196,임대자산!$I$3:$I$3000,0),MATCH(L$4,임대자산!$D$3:$R$3,0)),
IF($D1196="폐업",INDEX(폐업정보!$D$3:$R$3000,MATCH($F1196,폐업정보!$I$3:$I$3000,0),MATCH(L$4,폐업정보!$D$3:$R$3,0)),
"Error"))</f>
        <v>D1191</v>
      </c>
      <c r="M1196" s="76" t="s">
        <v>96</v>
      </c>
      <c r="N1196" s="77"/>
      <c r="O1196" s="78" t="s">
        <v>97</v>
      </c>
      <c r="P1196" s="79" t="n">
        <f aca="false">COUNTIFS(임대자산!$I:$I,가맹점정보!F1196,임대자산!$N:$N,가맹점정보!P$4)</f>
        <v>0</v>
      </c>
      <c r="Q1196" s="80" t="n">
        <f aca="false">COUNTIFS(임대자산!$I:$I,가맹점정보!F1196,임대자산!$N:$N,가맹점정보!Q$4)</f>
        <v>0</v>
      </c>
      <c r="R1196" s="81" t="n">
        <f aca="false">COUNTIFS(임대자산!$I:$I,가맹점정보!F1196,임대자산!$N:$N,가맹점정보!R$4)</f>
        <v>1</v>
      </c>
      <c r="S1196" s="82" t="n">
        <v>55000</v>
      </c>
      <c r="T1196" s="83" t="n">
        <v>0</v>
      </c>
      <c r="U1196" s="80" t="n">
        <f aca="false">SUM(S1196:T1196)</f>
        <v>55000</v>
      </c>
      <c r="V1196" s="84" t="s">
        <v>7</v>
      </c>
      <c r="W1196" s="80" t="str">
        <f aca="true">
IF(D1196="폐업","폐업",
IF(V1196="면제","면제",
IF(AND(V1196="정상",COUNTIFS(OFFSET(Y1196,0,COUNTA(Y1196:AV1196)-1,1,-4),"미납")&gt;=3),"장기미납",
IF(AND(V1196="정상",OFFSET(Y1196,0,COUNTA(Y1196:AV1196)-1)&gt;=U1196),"정상",
IF(AND(V1196="정상",OFFSET(Y1196,0,COUNTA(Y1196:AV1196)-1)=0),"정상",
"계약서 미작성")))))</f>
        <v>면제</v>
      </c>
      <c r="X1196" s="81" t="str">
        <f aca="true">
IF(D1196="폐업","폐업",
IF(AND(V1196="정상",OFFSET(Y1196,0,COUNTA(Y1196:AV1196)-1)="미납"),"미납",
IF(AND(V1196="정상",OFFSET(Y1196,0,COUNTA(Y1196:AV1196)-1)=0),"납부 시작 전",
IF(AND(V1196="정상",OFFSET(Y1196,0,COUNTA(Y1196:AV1196)-1)&gt;=U1196),"정상",
IF(AND(V1196="면제",OFFSET(Y1196,0,COUNTA(Y1196:AV1196)-1)="면제"),"면제",
IF(AND(V1196="면제",OFFSET(Y1196,0,COUNTA(Y1196:AV1196)-1)=0),"면제",
"확인요청"))))))</f>
        <v>면제</v>
      </c>
      <c r="Y1196" s="94" t="s">
        <v>7</v>
      </c>
      <c r="Z1196" s="95" t="s">
        <v>7</v>
      </c>
      <c r="AA1196" s="95" t="s">
        <v>7</v>
      </c>
      <c r="AB1196" s="95" t="s">
        <v>7</v>
      </c>
      <c r="AC1196" s="95" t="s">
        <v>7</v>
      </c>
      <c r="AD1196" s="95" t="s">
        <v>7</v>
      </c>
      <c r="AE1196" s="95" t="s">
        <v>7</v>
      </c>
      <c r="AF1196" s="95" t="s">
        <v>7</v>
      </c>
      <c r="AG1196" s="95" t="s">
        <v>7</v>
      </c>
      <c r="AH1196" s="95" t="s">
        <v>7</v>
      </c>
      <c r="AI1196" s="95" t="s">
        <v>7</v>
      </c>
      <c r="AJ1196" s="96" t="s">
        <v>7</v>
      </c>
      <c r="AK1196" s="97" t="s">
        <v>7</v>
      </c>
      <c r="AL1196" s="95" t="s">
        <v>7</v>
      </c>
      <c r="AM1196" s="90"/>
      <c r="AN1196" s="90"/>
      <c r="AO1196" s="90"/>
      <c r="AP1196" s="90"/>
      <c r="AQ1196" s="90"/>
      <c r="AR1196" s="90"/>
      <c r="AS1196" s="90"/>
      <c r="AT1196" s="90"/>
      <c r="AU1196" s="90"/>
      <c r="AV1196" s="91"/>
      <c r="AX1196" s="92"/>
    </row>
    <row r="1197" customFormat="false" ht="15.65" hidden="false" customHeight="false" outlineLevel="0" collapsed="false">
      <c r="C1197" s="72" t="n">
        <f aca="false">COUNTIFS($D$6:D1197,"&lt;&gt;"&amp;"")</f>
        <v>1192</v>
      </c>
      <c r="D1197" s="73" t="s">
        <v>12</v>
      </c>
      <c r="E1197" s="76" t="str">
        <f aca="false">
IF($D1197="정상",INDEX(임대자산!$D$3:$R$3000,MATCH($F1197,임대자산!$I$3:$I$3000,0),MATCH(E$3,임대자산!$D$3:$R$3,0)),
IF($D1197="폐업",INDEX(폐업정보!$D$3:$R$3000,MATCH($F1197,폐업정보!$I$3:$I$3000,0),MATCH(E$3,폐업정보!$D$3:$R$3,0)),
"Error"))</f>
        <v>서울</v>
      </c>
      <c r="F119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B1192</v>
      </c>
      <c r="G1197" s="76" t="str">
        <f aca="false">F1197&amp;RANDBETWEEN(0,10)</f>
        <v>B11929</v>
      </c>
      <c r="H1197" s="75" t="n">
        <f aca="false">
IF($D1197="정상",INDEX(임대자산!$D$3:$R$3000,MATCH($F1197,임대자산!$I$3:$I$3000,0),MATCH(H$4,임대자산!$D$3:$R$3,0)),
IF($D1197="폐업",INDEX(폐업정보!$D$3:$R$3000,MATCH($F1197,폐업정보!$I$3:$I$3000,0),MATCH(H$4,폐업정보!$D$3:$R$3,0)),
"Error"))</f>
        <v>44985</v>
      </c>
      <c r="I1197" s="75" t="str">
        <f aca="false">
IF($D1197="정상",INDEX(임대자산!$D$3:$R$3000,MATCH($F1197,임대자산!$I$3:$I$3000,0),MATCH(I$4,임대자산!$D$3:$R$3,0)),
IF($D1197="폐업",INDEX(폐업정보!$D$3:$R$3000,MATCH($F1197,폐업정보!$I$3:$I$3000,0),MATCH(I$4,폐업정보!$D$3:$R$3,0)),
"Error"))</f>
        <v>A1192</v>
      </c>
      <c r="J1197" s="75" t="str">
        <f aca="false">
IF($D1197="정상",INDEX(임대자산!$D$3:$R$3000,MATCH($F1197,임대자산!$I$3:$I$3000,0),MATCH(J$4,임대자산!$D$3:$R$3,0)),
IF($D1197="폐업",INDEX(폐업정보!$D$3:$R$3000,MATCH($F1197,폐업정보!$I$3:$I$3000,0),MATCH(J$4,폐업정보!$D$3:$R$3,0)),
"Error"))</f>
        <v>8051600000</v>
      </c>
      <c r="K1197" s="75" t="str">
        <f aca="false">
IF($D1197="정상",INDEX(임대자산!$D$3:$R$3000,MATCH($F1197,임대자산!$I$3:$I$3000,0),MATCH(K$4,임대자산!$D$3:$R$3,0)),
IF($D1197="폐업",INDEX(폐업정보!$D$3:$R$3000,MATCH($F1197,폐업정보!$I$3:$I$3000,0),MATCH(K$4,폐업정보!$D$3:$R$3,0)),
"Error"))</f>
        <v>C1192</v>
      </c>
      <c r="L1197" s="75" t="str">
        <f aca="false">
IF($D1197="정상",INDEX(임대자산!$D$3:$R$3000,MATCH($F1197,임대자산!$I$3:$I$3000,0),MATCH(L$4,임대자산!$D$3:$R$3,0)),
IF($D1197="폐업",INDEX(폐업정보!$D$3:$R$3000,MATCH($F1197,폐업정보!$I$3:$I$3000,0),MATCH(L$4,폐업정보!$D$3:$R$3,0)),
"Error"))</f>
        <v>D1192</v>
      </c>
      <c r="M1197" s="76" t="s">
        <v>96</v>
      </c>
      <c r="N1197" s="77"/>
      <c r="O1197" s="78" t="s">
        <v>97</v>
      </c>
      <c r="P1197" s="79" t="n">
        <f aca="false">COUNTIFS(임대자산!$I:$I,가맹점정보!F1197,임대자산!$N:$N,가맹점정보!P$4)</f>
        <v>0</v>
      </c>
      <c r="Q1197" s="80" t="n">
        <f aca="false">COUNTIFS(임대자산!$I:$I,가맹점정보!F1197,임대자산!$N:$N,가맹점정보!Q$4)</f>
        <v>0</v>
      </c>
      <c r="R1197" s="81" t="n">
        <f aca="false">COUNTIFS(임대자산!$I:$I,가맹점정보!F1197,임대자산!$N:$N,가맹점정보!R$4)</f>
        <v>1</v>
      </c>
      <c r="S1197" s="82" t="n">
        <v>55000</v>
      </c>
      <c r="T1197" s="83" t="n">
        <v>0</v>
      </c>
      <c r="U1197" s="80" t="n">
        <f aca="false">SUM(S1197:T1197)</f>
        <v>55000</v>
      </c>
      <c r="V1197" s="84" t="s">
        <v>7</v>
      </c>
      <c r="W1197" s="80" t="str">
        <f aca="true">
IF(D1197="폐업","폐업",
IF(V1197="면제","면제",
IF(AND(V1197="정상",COUNTIFS(OFFSET(Y1197,0,COUNTA(Y1197:AV1197)-1,1,-4),"미납")&gt;=3),"장기미납",
IF(AND(V1197="정상",OFFSET(Y1197,0,COUNTA(Y1197:AV1197)-1)&gt;=U1197),"정상",
IF(AND(V1197="정상",OFFSET(Y1197,0,COUNTA(Y1197:AV1197)-1)=0),"정상",
"계약서 미작성")))))</f>
        <v>면제</v>
      </c>
      <c r="X1197" s="81" t="str">
        <f aca="true">
IF(D1197="폐업","폐업",
IF(AND(V1197="정상",OFFSET(Y1197,0,COUNTA(Y1197:AV1197)-1)="미납"),"미납",
IF(AND(V1197="정상",OFFSET(Y1197,0,COUNTA(Y1197:AV1197)-1)=0),"납부 시작 전",
IF(AND(V1197="정상",OFFSET(Y1197,0,COUNTA(Y1197:AV1197)-1)&gt;=U1197),"정상",
IF(AND(V1197="면제",OFFSET(Y1197,0,COUNTA(Y1197:AV1197)-1)="면제"),"면제",
IF(AND(V1197="면제",OFFSET(Y1197,0,COUNTA(Y1197:AV1197)-1)=0),"면제",
"확인요청"))))))</f>
        <v>면제</v>
      </c>
      <c r="Y1197" s="94" t="s">
        <v>7</v>
      </c>
      <c r="Z1197" s="95" t="s">
        <v>7</v>
      </c>
      <c r="AA1197" s="95" t="s">
        <v>7</v>
      </c>
      <c r="AB1197" s="95" t="s">
        <v>7</v>
      </c>
      <c r="AC1197" s="95" t="s">
        <v>7</v>
      </c>
      <c r="AD1197" s="95" t="s">
        <v>7</v>
      </c>
      <c r="AE1197" s="95" t="s">
        <v>7</v>
      </c>
      <c r="AF1197" s="95" t="s">
        <v>7</v>
      </c>
      <c r="AG1197" s="95" t="s">
        <v>7</v>
      </c>
      <c r="AH1197" s="95" t="s">
        <v>7</v>
      </c>
      <c r="AI1197" s="95" t="s">
        <v>7</v>
      </c>
      <c r="AJ1197" s="96" t="s">
        <v>7</v>
      </c>
      <c r="AK1197" s="97" t="s">
        <v>7</v>
      </c>
      <c r="AL1197" s="95" t="s">
        <v>7</v>
      </c>
      <c r="AM1197" s="90"/>
      <c r="AN1197" s="90"/>
      <c r="AO1197" s="90"/>
      <c r="AP1197" s="90"/>
      <c r="AQ1197" s="90"/>
      <c r="AR1197" s="90"/>
      <c r="AS1197" s="90"/>
      <c r="AT1197" s="90"/>
      <c r="AU1197" s="90"/>
      <c r="AV1197" s="91"/>
      <c r="AX1197" s="92"/>
    </row>
    <row r="1198" customFormat="false" ht="15.65" hidden="false" customHeight="false" outlineLevel="0" collapsed="false">
      <c r="C1198" s="72" t="n">
        <f aca="false">COUNTIFS($D$6:D1198,"&lt;&gt;"&amp;"")</f>
        <v>1193</v>
      </c>
      <c r="D1198" s="73" t="s">
        <v>12</v>
      </c>
      <c r="E1198" s="76" t="str">
        <f aca="false">
IF($D1198="정상",INDEX(임대자산!$D$3:$R$3000,MATCH($F1198,임대자산!$I$3:$I$3000,0),MATCH(E$3,임대자산!$D$3:$R$3,0)),
IF($D1198="폐업",INDEX(폐업정보!$D$3:$R$3000,MATCH($F1198,폐업정보!$I$3:$I$3000,0),MATCH(E$3,폐업정보!$D$3:$R$3,0)),
"Error"))</f>
        <v>서울</v>
      </c>
      <c r="F119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B1193</v>
      </c>
      <c r="G1198" s="76" t="str">
        <f aca="false">F1198&amp;RANDBETWEEN(0,10)</f>
        <v>B11937</v>
      </c>
      <c r="H1198" s="75" t="n">
        <f aca="false">
IF($D1198="정상",INDEX(임대자산!$D$3:$R$3000,MATCH($F1198,임대자산!$I$3:$I$3000,0),MATCH(H$4,임대자산!$D$3:$R$3,0)),
IF($D1198="폐업",INDEX(폐업정보!$D$3:$R$3000,MATCH($F1198,폐업정보!$I$3:$I$3000,0),MATCH(H$4,폐업정보!$D$3:$R$3,0)),
"Error"))</f>
        <v>44984</v>
      </c>
      <c r="I1198" s="75" t="str">
        <f aca="false">
IF($D1198="정상",INDEX(임대자산!$D$3:$R$3000,MATCH($F1198,임대자산!$I$3:$I$3000,0),MATCH(I$4,임대자산!$D$3:$R$3,0)),
IF($D1198="폐업",INDEX(폐업정보!$D$3:$R$3000,MATCH($F1198,폐업정보!$I$3:$I$3000,0),MATCH(I$4,폐업정보!$D$3:$R$3,0)),
"Error"))</f>
        <v>A1193</v>
      </c>
      <c r="J1198" s="75" t="str">
        <f aca="false">
IF($D1198="정상",INDEX(임대자산!$D$3:$R$3000,MATCH($F1198,임대자산!$I$3:$I$3000,0),MATCH(J$4,임대자산!$D$3:$R$3,0)),
IF($D1198="폐업",INDEX(폐업정보!$D$3:$R$3000,MATCH($F1198,폐업정보!$I$3:$I$3000,0),MATCH(J$4,폐업정보!$D$3:$R$3,0)),
"Error"))</f>
        <v>3490200000</v>
      </c>
      <c r="K1198" s="75" t="str">
        <f aca="false">
IF($D1198="정상",INDEX(임대자산!$D$3:$R$3000,MATCH($F1198,임대자산!$I$3:$I$3000,0),MATCH(K$4,임대자산!$D$3:$R$3,0)),
IF($D1198="폐업",INDEX(폐업정보!$D$3:$R$3000,MATCH($F1198,폐업정보!$I$3:$I$3000,0),MATCH(K$4,폐업정보!$D$3:$R$3,0)),
"Error"))</f>
        <v>C1193</v>
      </c>
      <c r="L1198" s="75" t="str">
        <f aca="false">
IF($D1198="정상",INDEX(임대자산!$D$3:$R$3000,MATCH($F1198,임대자산!$I$3:$I$3000,0),MATCH(L$4,임대자산!$D$3:$R$3,0)),
IF($D1198="폐업",INDEX(폐업정보!$D$3:$R$3000,MATCH($F1198,폐업정보!$I$3:$I$3000,0),MATCH(L$4,폐업정보!$D$3:$R$3,0)),
"Error"))</f>
        <v>D1193</v>
      </c>
      <c r="M1198" s="76" t="s">
        <v>96</v>
      </c>
      <c r="N1198" s="77"/>
      <c r="O1198" s="78" t="s">
        <v>97</v>
      </c>
      <c r="P1198" s="79" t="n">
        <f aca="false">COUNTIFS(임대자산!$I:$I,가맹점정보!F1198,임대자산!$N:$N,가맹점정보!P$4)</f>
        <v>0</v>
      </c>
      <c r="Q1198" s="80" t="n">
        <f aca="false">COUNTIFS(임대자산!$I:$I,가맹점정보!F1198,임대자산!$N:$N,가맹점정보!Q$4)</f>
        <v>0</v>
      </c>
      <c r="R1198" s="81" t="n">
        <f aca="false">COUNTIFS(임대자산!$I:$I,가맹점정보!F1198,임대자산!$N:$N,가맹점정보!R$4)</f>
        <v>1</v>
      </c>
      <c r="S1198" s="82" t="n">
        <v>55000</v>
      </c>
      <c r="T1198" s="83" t="n">
        <v>0</v>
      </c>
      <c r="U1198" s="80" t="n">
        <f aca="false">SUM(S1198:T1198)</f>
        <v>55000</v>
      </c>
      <c r="V1198" s="84" t="s">
        <v>7</v>
      </c>
      <c r="W1198" s="80" t="str">
        <f aca="true">
IF(D1198="폐업","폐업",
IF(V1198="면제","면제",
IF(AND(V1198="정상",COUNTIFS(OFFSET(Y1198,0,COUNTA(Y1198:AV1198)-1,1,-4),"미납")&gt;=3),"장기미납",
IF(AND(V1198="정상",OFFSET(Y1198,0,COUNTA(Y1198:AV1198)-1)&gt;=U1198),"정상",
IF(AND(V1198="정상",OFFSET(Y1198,0,COUNTA(Y1198:AV1198)-1)=0),"정상",
"계약서 미작성")))))</f>
        <v>면제</v>
      </c>
      <c r="X1198" s="81" t="str">
        <f aca="true">
IF(D1198="폐업","폐업",
IF(AND(V1198="정상",OFFSET(Y1198,0,COUNTA(Y1198:AV1198)-1)="미납"),"미납",
IF(AND(V1198="정상",OFFSET(Y1198,0,COUNTA(Y1198:AV1198)-1)=0),"납부 시작 전",
IF(AND(V1198="정상",OFFSET(Y1198,0,COUNTA(Y1198:AV1198)-1)&gt;=U1198),"정상",
IF(AND(V1198="면제",OFFSET(Y1198,0,COUNTA(Y1198:AV1198)-1)="면제"),"면제",
IF(AND(V1198="면제",OFFSET(Y1198,0,COUNTA(Y1198:AV1198)-1)=0),"면제",
"확인요청"))))))</f>
        <v>면제</v>
      </c>
      <c r="Y1198" s="94" t="s">
        <v>7</v>
      </c>
      <c r="Z1198" s="95" t="s">
        <v>7</v>
      </c>
      <c r="AA1198" s="95" t="s">
        <v>7</v>
      </c>
      <c r="AB1198" s="95" t="s">
        <v>7</v>
      </c>
      <c r="AC1198" s="95" t="s">
        <v>7</v>
      </c>
      <c r="AD1198" s="95" t="s">
        <v>7</v>
      </c>
      <c r="AE1198" s="95" t="s">
        <v>7</v>
      </c>
      <c r="AF1198" s="95" t="s">
        <v>7</v>
      </c>
      <c r="AG1198" s="95" t="s">
        <v>7</v>
      </c>
      <c r="AH1198" s="95" t="s">
        <v>7</v>
      </c>
      <c r="AI1198" s="95" t="s">
        <v>7</v>
      </c>
      <c r="AJ1198" s="96" t="s">
        <v>7</v>
      </c>
      <c r="AK1198" s="97" t="s">
        <v>7</v>
      </c>
      <c r="AL1198" s="95" t="s">
        <v>7</v>
      </c>
      <c r="AM1198" s="90"/>
      <c r="AN1198" s="90"/>
      <c r="AO1198" s="90"/>
      <c r="AP1198" s="90"/>
      <c r="AQ1198" s="90"/>
      <c r="AR1198" s="90"/>
      <c r="AS1198" s="90"/>
      <c r="AT1198" s="90"/>
      <c r="AU1198" s="90"/>
      <c r="AV1198" s="91"/>
      <c r="AX1198" s="92"/>
    </row>
    <row r="1199" customFormat="false" ht="15.65" hidden="false" customHeight="false" outlineLevel="0" collapsed="false">
      <c r="C1199" s="72" t="n">
        <f aca="false">COUNTIFS($D$6:D1199,"&lt;&gt;"&amp;"")</f>
        <v>1194</v>
      </c>
      <c r="D1199" s="73" t="s">
        <v>12</v>
      </c>
      <c r="E1199" s="76" t="str">
        <f aca="false">
IF($D1199="정상",INDEX(임대자산!$D$3:$R$3000,MATCH($F1199,임대자산!$I$3:$I$3000,0),MATCH(E$3,임대자산!$D$3:$R$3,0)),
IF($D1199="폐업",INDEX(폐업정보!$D$3:$R$3000,MATCH($F1199,폐업정보!$I$3:$I$3000,0),MATCH(E$3,폐업정보!$D$3:$R$3,0)),
"Error"))</f>
        <v>서울</v>
      </c>
      <c r="F119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B1194</v>
      </c>
      <c r="G1199" s="76" t="str">
        <f aca="false">F1199&amp;RANDBETWEEN(0,10)</f>
        <v>B11942</v>
      </c>
      <c r="H1199" s="75" t="n">
        <f aca="false">
IF($D1199="정상",INDEX(임대자산!$D$3:$R$3000,MATCH($F1199,임대자산!$I$3:$I$3000,0),MATCH(H$4,임대자산!$D$3:$R$3,0)),
IF($D1199="폐업",INDEX(폐업정보!$D$3:$R$3000,MATCH($F1199,폐업정보!$I$3:$I$3000,0),MATCH(H$4,폐업정보!$D$3:$R$3,0)),
"Error"))</f>
        <v>45099</v>
      </c>
      <c r="I1199" s="75" t="str">
        <f aca="false">
IF($D1199="정상",INDEX(임대자산!$D$3:$R$3000,MATCH($F1199,임대자산!$I$3:$I$3000,0),MATCH(I$4,임대자산!$D$3:$R$3,0)),
IF($D1199="폐업",INDEX(폐업정보!$D$3:$R$3000,MATCH($F1199,폐업정보!$I$3:$I$3000,0),MATCH(I$4,폐업정보!$D$3:$R$3,0)),
"Error"))</f>
        <v>A1194</v>
      </c>
      <c r="J1199" s="75" t="str">
        <f aca="false">
IF($D1199="정상",INDEX(임대자산!$D$3:$R$3000,MATCH($F1199,임대자산!$I$3:$I$3000,0),MATCH(J$4,임대자산!$D$3:$R$3,0)),
IF($D1199="폐업",INDEX(폐업정보!$D$3:$R$3000,MATCH($F1199,폐업정보!$I$3:$I$3000,0),MATCH(J$4,폐업정보!$D$3:$R$3,0)),
"Error"))</f>
        <v>5723900000</v>
      </c>
      <c r="K1199" s="75" t="str">
        <f aca="false">
IF($D1199="정상",INDEX(임대자산!$D$3:$R$3000,MATCH($F1199,임대자산!$I$3:$I$3000,0),MATCH(K$4,임대자산!$D$3:$R$3,0)),
IF($D1199="폐업",INDEX(폐업정보!$D$3:$R$3000,MATCH($F1199,폐업정보!$I$3:$I$3000,0),MATCH(K$4,폐업정보!$D$3:$R$3,0)),
"Error"))</f>
        <v>C1194</v>
      </c>
      <c r="L1199" s="75" t="str">
        <f aca="false">
IF($D1199="정상",INDEX(임대자산!$D$3:$R$3000,MATCH($F1199,임대자산!$I$3:$I$3000,0),MATCH(L$4,임대자산!$D$3:$R$3,0)),
IF($D1199="폐업",INDEX(폐업정보!$D$3:$R$3000,MATCH($F1199,폐업정보!$I$3:$I$3000,0),MATCH(L$4,폐업정보!$D$3:$R$3,0)),
"Error"))</f>
        <v>D1194</v>
      </c>
      <c r="M1199" s="76" t="s">
        <v>96</v>
      </c>
      <c r="N1199" s="77"/>
      <c r="O1199" s="78" t="s">
        <v>97</v>
      </c>
      <c r="P1199" s="79" t="n">
        <f aca="false">COUNTIFS(임대자산!$I:$I,가맹점정보!F1199,임대자산!$N:$N,가맹점정보!P$4)</f>
        <v>0</v>
      </c>
      <c r="Q1199" s="80" t="n">
        <f aca="false">COUNTIFS(임대자산!$I:$I,가맹점정보!F1199,임대자산!$N:$N,가맹점정보!Q$4)</f>
        <v>0</v>
      </c>
      <c r="R1199" s="81" t="n">
        <f aca="false">COUNTIFS(임대자산!$I:$I,가맹점정보!F1199,임대자산!$N:$N,가맹점정보!R$4)</f>
        <v>1</v>
      </c>
      <c r="S1199" s="82" t="n">
        <v>55000</v>
      </c>
      <c r="T1199" s="83" t="n">
        <v>0</v>
      </c>
      <c r="U1199" s="80" t="n">
        <f aca="false">SUM(S1199:T1199)</f>
        <v>55000</v>
      </c>
      <c r="V1199" s="84" t="s">
        <v>12</v>
      </c>
      <c r="W1199" s="80" t="e">
        <f aca="true">
IF(D1199="폐업","폐업",
IF(V1199="면제","면제",
IF(AND(V1199="정상",COUNTIFS(OFFSET(Y1199,0,COUNTA(Y1199:AV1199)-1,1,-4),"미납")&gt;=3),"장기미납",
IF(AND(V1199="정상",OFFSET(Y1199,0,COUNTA(Y1199:AV1199)-1)&gt;=U1199),"정상",
IF(AND(V1199="정상",OFFSET(Y1199,0,COUNTA(Y1199:AV1199)-1)=0),"정상",
"계약서 미작성")))))</f>
        <v>#VALUE!</v>
      </c>
      <c r="X1199" s="81" t="str">
        <f aca="true">
IF(D1199="폐업","폐업",
IF(AND(V1199="정상",OFFSET(Y1199,0,COUNTA(Y1199:AV1199)-1)="미납"),"미납",
IF(AND(V1199="정상",OFFSET(Y1199,0,COUNTA(Y1199:AV1199)-1)=0),"납부 시작 전",
IF(AND(V1199="정상",OFFSET(Y1199,0,COUNTA(Y1199:AV1199)-1)&gt;=U1199),"정상",
IF(AND(V1199="면제",OFFSET(Y1199,0,COUNTA(Y1199:AV1199)-1)="면제"),"면제",
IF(AND(V1199="면제",OFFSET(Y1199,0,COUNTA(Y1199:AV1199)-1)=0),"면제",
"확인요청"))))))</f>
        <v>미납</v>
      </c>
      <c r="Y1199" s="93" t="n">
        <v>55000</v>
      </c>
      <c r="Z1199" s="90" t="n">
        <v>55000</v>
      </c>
      <c r="AA1199" s="90" t="n">
        <v>55000</v>
      </c>
      <c r="AB1199" s="90" t="n">
        <v>55000</v>
      </c>
      <c r="AC1199" s="90" t="n">
        <v>55000</v>
      </c>
      <c r="AD1199" s="90" t="n">
        <v>55000</v>
      </c>
      <c r="AE1199" s="90" t="n">
        <v>55000</v>
      </c>
      <c r="AF1199" s="90" t="n">
        <v>55000</v>
      </c>
      <c r="AG1199" s="90" t="n">
        <v>55000</v>
      </c>
      <c r="AH1199" s="90" t="n">
        <v>55000</v>
      </c>
      <c r="AI1199" s="90" t="n">
        <v>55000</v>
      </c>
      <c r="AJ1199" s="91" t="n">
        <v>55000</v>
      </c>
      <c r="AK1199" s="89" t="n">
        <v>55000</v>
      </c>
      <c r="AL1199" s="95" t="s">
        <v>62</v>
      </c>
      <c r="AM1199" s="90"/>
      <c r="AN1199" s="90"/>
      <c r="AO1199" s="90"/>
      <c r="AP1199" s="90"/>
      <c r="AQ1199" s="90"/>
      <c r="AR1199" s="90"/>
      <c r="AS1199" s="90"/>
      <c r="AT1199" s="90"/>
      <c r="AU1199" s="90"/>
      <c r="AV1199" s="91"/>
      <c r="AX1199" s="92"/>
    </row>
    <row r="1200" customFormat="false" ht="15.65" hidden="false" customHeight="false" outlineLevel="0" collapsed="false">
      <c r="C1200" s="72" t="n">
        <f aca="false">COUNTIFS($D$6:D1200,"&lt;&gt;"&amp;"")</f>
        <v>1195</v>
      </c>
      <c r="D1200" s="73" t="s">
        <v>12</v>
      </c>
      <c r="E1200" s="76" t="str">
        <f aca="false">
IF($D1200="정상",INDEX(임대자산!$D$3:$R$3000,MATCH($F1200,임대자산!$I$3:$I$3000,0),MATCH(E$3,임대자산!$D$3:$R$3,0)),
IF($D1200="폐업",INDEX(폐업정보!$D$3:$R$3000,MATCH($F1200,폐업정보!$I$3:$I$3000,0),MATCH(E$3,폐업정보!$D$3:$R$3,0)),
"Error"))</f>
        <v>서울</v>
      </c>
      <c r="F120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B1195</v>
      </c>
      <c r="G1200" s="76" t="str">
        <f aca="false">F1200&amp;RANDBETWEEN(0,10)</f>
        <v>B11950</v>
      </c>
      <c r="H1200" s="75" t="n">
        <f aca="false">
IF($D1200="정상",INDEX(임대자산!$D$3:$R$3000,MATCH($F1200,임대자산!$I$3:$I$3000,0),MATCH(H$4,임대자산!$D$3:$R$3,0)),
IF($D1200="폐업",INDEX(폐업정보!$D$3:$R$3000,MATCH($F1200,폐업정보!$I$3:$I$3000,0),MATCH(H$4,폐업정보!$D$3:$R$3,0)),
"Error"))</f>
        <v>44985</v>
      </c>
      <c r="I1200" s="75" t="str">
        <f aca="false">
IF($D1200="정상",INDEX(임대자산!$D$3:$R$3000,MATCH($F1200,임대자산!$I$3:$I$3000,0),MATCH(I$4,임대자산!$D$3:$R$3,0)),
IF($D1200="폐업",INDEX(폐업정보!$D$3:$R$3000,MATCH($F1200,폐업정보!$I$3:$I$3000,0),MATCH(I$4,폐업정보!$D$3:$R$3,0)),
"Error"))</f>
        <v>A1195</v>
      </c>
      <c r="J1200" s="75" t="str">
        <f aca="false">
IF($D1200="정상",INDEX(임대자산!$D$3:$R$3000,MATCH($F1200,임대자산!$I$3:$I$3000,0),MATCH(J$4,임대자산!$D$3:$R$3,0)),
IF($D1200="폐업",INDEX(폐업정보!$D$3:$R$3000,MATCH($F1200,폐업정보!$I$3:$I$3000,0),MATCH(J$4,폐업정보!$D$3:$R$3,0)),
"Error"))</f>
        <v>2628200000</v>
      </c>
      <c r="K1200" s="75" t="str">
        <f aca="false">
IF($D1200="정상",INDEX(임대자산!$D$3:$R$3000,MATCH($F1200,임대자산!$I$3:$I$3000,0),MATCH(K$4,임대자산!$D$3:$R$3,0)),
IF($D1200="폐업",INDEX(폐업정보!$D$3:$R$3000,MATCH($F1200,폐업정보!$I$3:$I$3000,0),MATCH(K$4,폐업정보!$D$3:$R$3,0)),
"Error"))</f>
        <v>C1195</v>
      </c>
      <c r="L1200" s="75" t="str">
        <f aca="false">
IF($D1200="정상",INDEX(임대자산!$D$3:$R$3000,MATCH($F1200,임대자산!$I$3:$I$3000,0),MATCH(L$4,임대자산!$D$3:$R$3,0)),
IF($D1200="폐업",INDEX(폐업정보!$D$3:$R$3000,MATCH($F1200,폐업정보!$I$3:$I$3000,0),MATCH(L$4,폐업정보!$D$3:$R$3,0)),
"Error"))</f>
        <v>D1195</v>
      </c>
      <c r="M1200" s="76" t="s">
        <v>96</v>
      </c>
      <c r="N1200" s="77"/>
      <c r="O1200" s="78" t="s">
        <v>97</v>
      </c>
      <c r="P1200" s="79" t="n">
        <f aca="false">COUNTIFS(임대자산!$I:$I,가맹점정보!F1200,임대자산!$N:$N,가맹점정보!P$4)</f>
        <v>0</v>
      </c>
      <c r="Q1200" s="80" t="n">
        <f aca="false">COUNTIFS(임대자산!$I:$I,가맹점정보!F1200,임대자산!$N:$N,가맹점정보!Q$4)</f>
        <v>0</v>
      </c>
      <c r="R1200" s="81" t="n">
        <f aca="false">COUNTIFS(임대자산!$I:$I,가맹점정보!F1200,임대자산!$N:$N,가맹점정보!R$4)</f>
        <v>1</v>
      </c>
      <c r="S1200" s="82" t="n">
        <v>55000</v>
      </c>
      <c r="T1200" s="83" t="n">
        <v>0</v>
      </c>
      <c r="U1200" s="80" t="n">
        <f aca="false">SUM(S1200:T1200)</f>
        <v>55000</v>
      </c>
      <c r="V1200" s="84" t="s">
        <v>12</v>
      </c>
      <c r="W1200" s="80" t="e">
        <f aca="true">
IF(D1200="폐업","폐업",
IF(V1200="면제","면제",
IF(AND(V1200="정상",COUNTIFS(OFFSET(Y1200,0,COUNTA(Y1200:AV1200)-1,1,-4),"미납")&gt;=3),"장기미납",
IF(AND(V1200="정상",OFFSET(Y1200,0,COUNTA(Y1200:AV1200)-1)&gt;=U1200),"정상",
IF(AND(V1200="정상",OFFSET(Y1200,0,COUNTA(Y1200:AV1200)-1)=0),"정상",
"계약서 미작성")))))</f>
        <v>#VALUE!</v>
      </c>
      <c r="X1200" s="81" t="str">
        <f aca="true">
IF(D1200="폐업","폐업",
IF(AND(V1200="정상",OFFSET(Y1200,0,COUNTA(Y1200:AV1200)-1)="미납"),"미납",
IF(AND(V1200="정상",OFFSET(Y1200,0,COUNTA(Y1200:AV1200)-1)=0),"납부 시작 전",
IF(AND(V1200="정상",OFFSET(Y1200,0,COUNTA(Y1200:AV1200)-1)&gt;=U1200),"정상",
IF(AND(V1200="면제",OFFSET(Y1200,0,COUNTA(Y1200:AV1200)-1)="면제"),"면제",
IF(AND(V1200="면제",OFFSET(Y1200,0,COUNTA(Y1200:AV1200)-1)=0),"면제",
"확인요청"))))))</f>
        <v>정상</v>
      </c>
      <c r="Y1200" s="93" t="n">
        <v>55000</v>
      </c>
      <c r="Z1200" s="90" t="n">
        <v>55000</v>
      </c>
      <c r="AA1200" s="90" t="n">
        <v>55000</v>
      </c>
      <c r="AB1200" s="90" t="n">
        <v>55000</v>
      </c>
      <c r="AC1200" s="90" t="n">
        <v>55000</v>
      </c>
      <c r="AD1200" s="90" t="n">
        <v>55000</v>
      </c>
      <c r="AE1200" s="95" t="s">
        <v>62</v>
      </c>
      <c r="AF1200" s="90" t="n">
        <v>55000</v>
      </c>
      <c r="AG1200" s="90" t="n">
        <v>55000</v>
      </c>
      <c r="AH1200" s="90" t="n">
        <v>55000</v>
      </c>
      <c r="AI1200" s="90" t="n">
        <v>55000</v>
      </c>
      <c r="AJ1200" s="91" t="n">
        <v>55000</v>
      </c>
      <c r="AK1200" s="89" t="n">
        <v>55000</v>
      </c>
      <c r="AL1200" s="90" t="n">
        <v>55000</v>
      </c>
      <c r="AM1200" s="90"/>
      <c r="AN1200" s="90"/>
      <c r="AO1200" s="90"/>
      <c r="AP1200" s="90"/>
      <c r="AQ1200" s="90"/>
      <c r="AR1200" s="90"/>
      <c r="AS1200" s="90"/>
      <c r="AT1200" s="90"/>
      <c r="AU1200" s="90"/>
      <c r="AV1200" s="91"/>
      <c r="AX1200" s="92"/>
    </row>
    <row r="1201" customFormat="false" ht="15.65" hidden="false" customHeight="false" outlineLevel="0" collapsed="false">
      <c r="C1201" s="72" t="n">
        <f aca="false">COUNTIFS($D$6:D1201,"&lt;&gt;"&amp;"")</f>
        <v>1196</v>
      </c>
      <c r="D1201" s="73" t="s">
        <v>12</v>
      </c>
      <c r="E1201" s="76" t="str">
        <f aca="false">
IF($D1201="정상",INDEX(임대자산!$D$3:$R$3000,MATCH($F1201,임대자산!$I$3:$I$3000,0),MATCH(E$3,임대자산!$D$3:$R$3,0)),
IF($D1201="폐업",INDEX(폐업정보!$D$3:$R$3000,MATCH($F1201,폐업정보!$I$3:$I$3000,0),MATCH(E$3,폐업정보!$D$3:$R$3,0)),
"Error"))</f>
        <v>서울</v>
      </c>
      <c r="F120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B1196</v>
      </c>
      <c r="G1201" s="76" t="str">
        <f aca="false">F1201&amp;RANDBETWEEN(0,10)</f>
        <v>B11963</v>
      </c>
      <c r="H1201" s="75" t="n">
        <f aca="false">
IF($D1201="정상",INDEX(임대자산!$D$3:$R$3000,MATCH($F1201,임대자산!$I$3:$I$3000,0),MATCH(H$4,임대자산!$D$3:$R$3,0)),
IF($D1201="폐업",INDEX(폐업정보!$D$3:$R$3000,MATCH($F1201,폐업정보!$I$3:$I$3000,0),MATCH(H$4,폐업정보!$D$3:$R$3,0)),
"Error"))</f>
        <v>45405</v>
      </c>
      <c r="I1201" s="75" t="str">
        <f aca="false">
IF($D1201="정상",INDEX(임대자산!$D$3:$R$3000,MATCH($F1201,임대자산!$I$3:$I$3000,0),MATCH(I$4,임대자산!$D$3:$R$3,0)),
IF($D1201="폐업",INDEX(폐업정보!$D$3:$R$3000,MATCH($F1201,폐업정보!$I$3:$I$3000,0),MATCH(I$4,폐업정보!$D$3:$R$3,0)),
"Error"))</f>
        <v>A1196</v>
      </c>
      <c r="J1201" s="75" t="str">
        <f aca="false">
IF($D1201="정상",INDEX(임대자산!$D$3:$R$3000,MATCH($F1201,임대자산!$I$3:$I$3000,0),MATCH(J$4,임대자산!$D$3:$R$3,0)),
IF($D1201="폐업",INDEX(폐업정보!$D$3:$R$3000,MATCH($F1201,폐업정보!$I$3:$I$3000,0),MATCH(J$4,폐업정보!$D$3:$R$3,0)),
"Error"))</f>
        <v>6027500000</v>
      </c>
      <c r="K1201" s="75" t="str">
        <f aca="false">
IF($D1201="정상",INDEX(임대자산!$D$3:$R$3000,MATCH($F1201,임대자산!$I$3:$I$3000,0),MATCH(K$4,임대자산!$D$3:$R$3,0)),
IF($D1201="폐업",INDEX(폐업정보!$D$3:$R$3000,MATCH($F1201,폐업정보!$I$3:$I$3000,0),MATCH(K$4,폐업정보!$D$3:$R$3,0)),
"Error"))</f>
        <v>C1196</v>
      </c>
      <c r="L1201" s="75" t="str">
        <f aca="false">
IF($D1201="정상",INDEX(임대자산!$D$3:$R$3000,MATCH($F1201,임대자산!$I$3:$I$3000,0),MATCH(L$4,임대자산!$D$3:$R$3,0)),
IF($D1201="폐업",INDEX(폐업정보!$D$3:$R$3000,MATCH($F1201,폐업정보!$I$3:$I$3000,0),MATCH(L$4,폐업정보!$D$3:$R$3,0)),
"Error"))</f>
        <v>D1196</v>
      </c>
      <c r="M1201" s="76" t="s">
        <v>96</v>
      </c>
      <c r="N1201" s="77"/>
      <c r="O1201" s="78" t="s">
        <v>97</v>
      </c>
      <c r="P1201" s="79" t="n">
        <f aca="false">COUNTIFS(임대자산!$I:$I,가맹점정보!F1201,임대자산!$N:$N,가맹점정보!P$4)</f>
        <v>0</v>
      </c>
      <c r="Q1201" s="80" t="n">
        <f aca="false">COUNTIFS(임대자산!$I:$I,가맹점정보!F1201,임대자산!$N:$N,가맹점정보!Q$4)</f>
        <v>0</v>
      </c>
      <c r="R1201" s="81" t="n">
        <f aca="false">COUNTIFS(임대자산!$I:$I,가맹점정보!F1201,임대자산!$N:$N,가맹점정보!R$4)</f>
        <v>1</v>
      </c>
      <c r="S1201" s="82" t="n">
        <v>55000</v>
      </c>
      <c r="T1201" s="83" t="n">
        <v>0</v>
      </c>
      <c r="U1201" s="80" t="n">
        <f aca="false">SUM(S1201:T1201)</f>
        <v>55000</v>
      </c>
      <c r="V1201" s="84" t="s">
        <v>7</v>
      </c>
      <c r="W1201" s="80" t="str">
        <f aca="true">
IF(D1201="폐업","폐업",
IF(V1201="면제","면제",
IF(AND(V1201="정상",COUNTIFS(OFFSET(Y1201,0,COUNTA(Y1201:AV1201)-1,1,-4),"미납")&gt;=3),"장기미납",
IF(AND(V1201="정상",OFFSET(Y1201,0,COUNTA(Y1201:AV1201)-1)&gt;=U1201),"정상",
IF(AND(V1201="정상",OFFSET(Y1201,0,COUNTA(Y1201:AV1201)-1)=0),"정상",
"계약서 미작성")))))</f>
        <v>면제</v>
      </c>
      <c r="X1201" s="81" t="str">
        <f aca="true">
IF(D1201="폐업","폐업",
IF(AND(V1201="정상",OFFSET(Y1201,0,COUNTA(Y1201:AV1201)-1)="미납"),"미납",
IF(AND(V1201="정상",OFFSET(Y1201,0,COUNTA(Y1201:AV1201)-1)=0),"납부 시작 전",
IF(AND(V1201="정상",OFFSET(Y1201,0,COUNTA(Y1201:AV1201)-1)&gt;=U1201),"정상",
IF(AND(V1201="면제",OFFSET(Y1201,0,COUNTA(Y1201:AV1201)-1)="면제"),"면제",
IF(AND(V1201="면제",OFFSET(Y1201,0,COUNTA(Y1201:AV1201)-1)=0),"면제",
"확인요청"))))))</f>
        <v>면제</v>
      </c>
      <c r="Y1201" s="94" t="s">
        <v>7</v>
      </c>
      <c r="Z1201" s="95" t="s">
        <v>7</v>
      </c>
      <c r="AA1201" s="95" t="s">
        <v>7</v>
      </c>
      <c r="AB1201" s="95" t="s">
        <v>7</v>
      </c>
      <c r="AC1201" s="95" t="s">
        <v>7</v>
      </c>
      <c r="AD1201" s="95" t="s">
        <v>7</v>
      </c>
      <c r="AE1201" s="95" t="s">
        <v>7</v>
      </c>
      <c r="AF1201" s="95" t="s">
        <v>7</v>
      </c>
      <c r="AG1201" s="95" t="s">
        <v>7</v>
      </c>
      <c r="AH1201" s="95" t="s">
        <v>7</v>
      </c>
      <c r="AI1201" s="95" t="s">
        <v>7</v>
      </c>
      <c r="AJ1201" s="96" t="s">
        <v>7</v>
      </c>
      <c r="AK1201" s="97" t="s">
        <v>7</v>
      </c>
      <c r="AL1201" s="95" t="s">
        <v>7</v>
      </c>
      <c r="AM1201" s="90"/>
      <c r="AN1201" s="90"/>
      <c r="AO1201" s="90"/>
      <c r="AP1201" s="90"/>
      <c r="AQ1201" s="90"/>
      <c r="AR1201" s="90"/>
      <c r="AS1201" s="90"/>
      <c r="AT1201" s="90"/>
      <c r="AU1201" s="90"/>
      <c r="AV1201" s="91"/>
      <c r="AX1201" s="92"/>
    </row>
    <row r="1202" customFormat="false" ht="15.65" hidden="false" customHeight="false" outlineLevel="0" collapsed="false">
      <c r="C1202" s="72" t="n">
        <f aca="false">COUNTIFS($D$6:D1202,"&lt;&gt;"&amp;"")</f>
        <v>1197</v>
      </c>
      <c r="D1202" s="73" t="s">
        <v>12</v>
      </c>
      <c r="E1202" s="76" t="str">
        <f aca="false">
IF($D1202="정상",INDEX(임대자산!$D$3:$R$3000,MATCH($F1202,임대자산!$I$3:$I$3000,0),MATCH(E$3,임대자산!$D$3:$R$3,0)),
IF($D1202="폐업",INDEX(폐업정보!$D$3:$R$3000,MATCH($F1202,폐업정보!$I$3:$I$3000,0),MATCH(E$3,폐업정보!$D$3:$R$3,0)),
"Error"))</f>
        <v>서울</v>
      </c>
      <c r="F120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B1197</v>
      </c>
      <c r="G1202" s="76" t="str">
        <f aca="false">F1202&amp;RANDBETWEEN(0,10)</f>
        <v>B11973</v>
      </c>
      <c r="H1202" s="75" t="n">
        <f aca="false">
IF($D1202="정상",INDEX(임대자산!$D$3:$R$3000,MATCH($F1202,임대자산!$I$3:$I$3000,0),MATCH(H$4,임대자산!$D$3:$R$3,0)),
IF($D1202="폐업",INDEX(폐업정보!$D$3:$R$3000,MATCH($F1202,폐업정보!$I$3:$I$3000,0),MATCH(H$4,폐업정보!$D$3:$R$3,0)),
"Error"))</f>
        <v>45999</v>
      </c>
      <c r="I1202" s="75" t="str">
        <f aca="false">
IF($D1202="정상",INDEX(임대자산!$D$3:$R$3000,MATCH($F1202,임대자산!$I$3:$I$3000,0),MATCH(I$4,임대자산!$D$3:$R$3,0)),
IF($D1202="폐업",INDEX(폐업정보!$D$3:$R$3000,MATCH($F1202,폐업정보!$I$3:$I$3000,0),MATCH(I$4,폐업정보!$D$3:$R$3,0)),
"Error"))</f>
        <v>A1197</v>
      </c>
      <c r="J1202" s="75" t="str">
        <f aca="false">
IF($D1202="정상",INDEX(임대자산!$D$3:$R$3000,MATCH($F1202,임대자산!$I$3:$I$3000,0),MATCH(J$4,임대자산!$D$3:$R$3,0)),
IF($D1202="폐업",INDEX(폐업정보!$D$3:$R$3000,MATCH($F1202,폐업정보!$I$3:$I$3000,0),MATCH(J$4,폐업정보!$D$3:$R$3,0)),
"Error"))</f>
        <v>7694900000</v>
      </c>
      <c r="K1202" s="75" t="str">
        <f aca="false">
IF($D1202="정상",INDEX(임대자산!$D$3:$R$3000,MATCH($F1202,임대자산!$I$3:$I$3000,0),MATCH(K$4,임대자산!$D$3:$R$3,0)),
IF($D1202="폐업",INDEX(폐업정보!$D$3:$R$3000,MATCH($F1202,폐업정보!$I$3:$I$3000,0),MATCH(K$4,폐업정보!$D$3:$R$3,0)),
"Error"))</f>
        <v>C1197</v>
      </c>
      <c r="L1202" s="75" t="str">
        <f aca="false">
IF($D1202="정상",INDEX(임대자산!$D$3:$R$3000,MATCH($F1202,임대자산!$I$3:$I$3000,0),MATCH(L$4,임대자산!$D$3:$R$3,0)),
IF($D1202="폐업",INDEX(폐업정보!$D$3:$R$3000,MATCH($F1202,폐업정보!$I$3:$I$3000,0),MATCH(L$4,폐업정보!$D$3:$R$3,0)),
"Error"))</f>
        <v>D1197</v>
      </c>
      <c r="M1202" s="76" t="s">
        <v>96</v>
      </c>
      <c r="N1202" s="77"/>
      <c r="O1202" s="78" t="s">
        <v>97</v>
      </c>
      <c r="P1202" s="79" t="n">
        <f aca="false">COUNTIFS(임대자산!$I:$I,가맹점정보!F1202,임대자산!$N:$N,가맹점정보!P$4)</f>
        <v>0</v>
      </c>
      <c r="Q1202" s="80" t="n">
        <f aca="false">COUNTIFS(임대자산!$I:$I,가맹점정보!F1202,임대자산!$N:$N,가맹점정보!Q$4)</f>
        <v>0</v>
      </c>
      <c r="R1202" s="81" t="n">
        <f aca="false">COUNTIFS(임대자산!$I:$I,가맹점정보!F1202,임대자산!$N:$N,가맹점정보!R$4)</f>
        <v>1</v>
      </c>
      <c r="S1202" s="82" t="n">
        <v>88000</v>
      </c>
      <c r="T1202" s="83" t="n">
        <v>0</v>
      </c>
      <c r="U1202" s="80" t="n">
        <f aca="false">SUM(S1202:T1202)</f>
        <v>88000</v>
      </c>
      <c r="V1202" s="84" t="s">
        <v>7</v>
      </c>
      <c r="W1202" s="80" t="str">
        <f aca="true">
IF(D1202="폐업","폐업",
IF(V1202="면제","면제",
IF(AND(V1202="정상",COUNTIFS(OFFSET(Y1202,0,COUNTA(Y1202:AV1202)-1,1,-4),"미납")&gt;=3),"장기미납",
IF(AND(V1202="정상",OFFSET(Y1202,0,COUNTA(Y1202:AV1202)-1)&gt;=U1202),"정상",
IF(AND(V1202="정상",OFFSET(Y1202,0,COUNTA(Y1202:AV1202)-1)=0),"정상",
"계약서 미작성")))))</f>
        <v>면제</v>
      </c>
      <c r="X1202" s="81" t="str">
        <f aca="true">
IF(D1202="폐업","폐업",
IF(AND(V1202="정상",OFFSET(Y1202,0,COUNTA(Y1202:AV1202)-1)="미납"),"미납",
IF(AND(V1202="정상",OFFSET(Y1202,0,COUNTA(Y1202:AV1202)-1)=0),"납부 시작 전",
IF(AND(V1202="정상",OFFSET(Y1202,0,COUNTA(Y1202:AV1202)-1)&gt;=U1202),"정상",
IF(AND(V1202="면제",OFFSET(Y1202,0,COUNTA(Y1202:AV1202)-1)="면제"),"면제",
IF(AND(V1202="면제",OFFSET(Y1202,0,COUNTA(Y1202:AV1202)-1)=0),"면제",
"확인요청"))))))</f>
        <v>면제</v>
      </c>
      <c r="Y1202" s="94" t="s">
        <v>7</v>
      </c>
      <c r="Z1202" s="95" t="s">
        <v>7</v>
      </c>
      <c r="AA1202" s="95" t="s">
        <v>7</v>
      </c>
      <c r="AB1202" s="95" t="s">
        <v>7</v>
      </c>
      <c r="AC1202" s="95" t="s">
        <v>7</v>
      </c>
      <c r="AD1202" s="95" t="s">
        <v>7</v>
      </c>
      <c r="AE1202" s="95" t="s">
        <v>7</v>
      </c>
      <c r="AF1202" s="95" t="s">
        <v>7</v>
      </c>
      <c r="AG1202" s="95" t="s">
        <v>7</v>
      </c>
      <c r="AH1202" s="95" t="s">
        <v>7</v>
      </c>
      <c r="AI1202" s="95" t="s">
        <v>7</v>
      </c>
      <c r="AJ1202" s="96" t="s">
        <v>7</v>
      </c>
      <c r="AK1202" s="97" t="s">
        <v>7</v>
      </c>
      <c r="AL1202" s="95" t="s">
        <v>7</v>
      </c>
      <c r="AM1202" s="90"/>
      <c r="AN1202" s="90"/>
      <c r="AO1202" s="90"/>
      <c r="AP1202" s="90"/>
      <c r="AQ1202" s="90"/>
      <c r="AR1202" s="90"/>
      <c r="AS1202" s="90"/>
      <c r="AT1202" s="90"/>
      <c r="AU1202" s="90"/>
      <c r="AV1202" s="91"/>
      <c r="AX1202" s="92"/>
    </row>
    <row r="1203" customFormat="false" ht="15.65" hidden="false" customHeight="false" outlineLevel="0" collapsed="false">
      <c r="C1203" s="72" t="n">
        <f aca="false">COUNTIFS($D$6:D1203,"&lt;&gt;"&amp;"")</f>
        <v>1198</v>
      </c>
      <c r="D1203" s="73" t="s">
        <v>12</v>
      </c>
      <c r="E1203" s="76" t="str">
        <f aca="false">
IF($D1203="정상",INDEX(임대자산!$D$3:$R$3000,MATCH($F1203,임대자산!$I$3:$I$3000,0),MATCH(E$3,임대자산!$D$3:$R$3,0)),
IF($D1203="폐업",INDEX(폐업정보!$D$3:$R$3000,MATCH($F1203,폐업정보!$I$3:$I$3000,0),MATCH(E$3,폐업정보!$D$3:$R$3,0)),
"Error"))</f>
        <v>서울</v>
      </c>
      <c r="F120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B1198</v>
      </c>
      <c r="G1203" s="76" t="str">
        <f aca="false">F1203&amp;RANDBETWEEN(0,10)</f>
        <v>B11984</v>
      </c>
      <c r="H1203" s="75" t="n">
        <f aca="false">
IF($D1203="정상",INDEX(임대자산!$D$3:$R$3000,MATCH($F1203,임대자산!$I$3:$I$3000,0),MATCH(H$4,임대자산!$D$3:$R$3,0)),
IF($D1203="폐업",INDEX(폐업정보!$D$3:$R$3000,MATCH($F1203,폐업정보!$I$3:$I$3000,0),MATCH(H$4,폐업정보!$D$3:$R$3,0)),
"Error"))</f>
        <v>44994</v>
      </c>
      <c r="I1203" s="75" t="str">
        <f aca="false">
IF($D1203="정상",INDEX(임대자산!$D$3:$R$3000,MATCH($F1203,임대자산!$I$3:$I$3000,0),MATCH(I$4,임대자산!$D$3:$R$3,0)),
IF($D1203="폐업",INDEX(폐업정보!$D$3:$R$3000,MATCH($F1203,폐업정보!$I$3:$I$3000,0),MATCH(I$4,폐업정보!$D$3:$R$3,0)),
"Error"))</f>
        <v>A1198</v>
      </c>
      <c r="J1203" s="75" t="str">
        <f aca="false">
IF($D1203="정상",INDEX(임대자산!$D$3:$R$3000,MATCH($F1203,임대자산!$I$3:$I$3000,0),MATCH(J$4,임대자산!$D$3:$R$3,0)),
IF($D1203="폐업",INDEX(폐업정보!$D$3:$R$3000,MATCH($F1203,폐업정보!$I$3:$I$3000,0),MATCH(J$4,폐업정보!$D$3:$R$3,0)),
"Error"))</f>
        <v>7872000000</v>
      </c>
      <c r="K1203" s="75" t="str">
        <f aca="false">
IF($D1203="정상",INDEX(임대자산!$D$3:$R$3000,MATCH($F1203,임대자산!$I$3:$I$3000,0),MATCH(K$4,임대자산!$D$3:$R$3,0)),
IF($D1203="폐업",INDEX(폐업정보!$D$3:$R$3000,MATCH($F1203,폐업정보!$I$3:$I$3000,0),MATCH(K$4,폐업정보!$D$3:$R$3,0)),
"Error"))</f>
        <v>C1198</v>
      </c>
      <c r="L1203" s="75" t="str">
        <f aca="false">
IF($D1203="정상",INDEX(임대자산!$D$3:$R$3000,MATCH($F1203,임대자산!$I$3:$I$3000,0),MATCH(L$4,임대자산!$D$3:$R$3,0)),
IF($D1203="폐업",INDEX(폐업정보!$D$3:$R$3000,MATCH($F1203,폐업정보!$I$3:$I$3000,0),MATCH(L$4,폐업정보!$D$3:$R$3,0)),
"Error"))</f>
        <v>D1198</v>
      </c>
      <c r="M1203" s="76" t="s">
        <v>96</v>
      </c>
      <c r="N1203" s="77"/>
      <c r="O1203" s="78" t="s">
        <v>97</v>
      </c>
      <c r="P1203" s="79" t="n">
        <f aca="false">COUNTIFS(임대자산!$I:$I,가맹점정보!F1203,임대자산!$N:$N,가맹점정보!P$4)</f>
        <v>0</v>
      </c>
      <c r="Q1203" s="80" t="n">
        <f aca="false">COUNTIFS(임대자산!$I:$I,가맹점정보!F1203,임대자산!$N:$N,가맹점정보!Q$4)</f>
        <v>0</v>
      </c>
      <c r="R1203" s="81" t="n">
        <f aca="false">COUNTIFS(임대자산!$I:$I,가맹점정보!F1203,임대자산!$N:$N,가맹점정보!R$4)</f>
        <v>1</v>
      </c>
      <c r="S1203" s="82" t="n">
        <v>88000</v>
      </c>
      <c r="T1203" s="83" t="n">
        <v>0</v>
      </c>
      <c r="U1203" s="80" t="n">
        <f aca="false">SUM(S1203:T1203)</f>
        <v>88000</v>
      </c>
      <c r="V1203" s="84" t="s">
        <v>7</v>
      </c>
      <c r="W1203" s="80" t="str">
        <f aca="true">
IF(D1203="폐업","폐업",
IF(V1203="면제","면제",
IF(AND(V1203="정상",COUNTIFS(OFFSET(Y1203,0,COUNTA(Y1203:AV1203)-1,1,-4),"미납")&gt;=3),"장기미납",
IF(AND(V1203="정상",OFFSET(Y1203,0,COUNTA(Y1203:AV1203)-1)&gt;=U1203),"정상",
IF(AND(V1203="정상",OFFSET(Y1203,0,COUNTA(Y1203:AV1203)-1)=0),"정상",
"계약서 미작성")))))</f>
        <v>면제</v>
      </c>
      <c r="X1203" s="81" t="str">
        <f aca="true">
IF(D1203="폐업","폐업",
IF(AND(V1203="정상",OFFSET(Y1203,0,COUNTA(Y1203:AV1203)-1)="미납"),"미납",
IF(AND(V1203="정상",OFFSET(Y1203,0,COUNTA(Y1203:AV1203)-1)=0),"납부 시작 전",
IF(AND(V1203="정상",OFFSET(Y1203,0,COUNTA(Y1203:AV1203)-1)&gt;=U1203),"정상",
IF(AND(V1203="면제",OFFSET(Y1203,0,COUNTA(Y1203:AV1203)-1)="면제"),"면제",
IF(AND(V1203="면제",OFFSET(Y1203,0,COUNTA(Y1203:AV1203)-1)=0),"면제",
"확인요청"))))))</f>
        <v>면제</v>
      </c>
      <c r="Y1203" s="94" t="s">
        <v>62</v>
      </c>
      <c r="Z1203" s="90" t="n">
        <v>0</v>
      </c>
      <c r="AA1203" s="90" t="n">
        <v>0</v>
      </c>
      <c r="AB1203" s="90" t="n">
        <v>0</v>
      </c>
      <c r="AC1203" s="90" t="n">
        <v>0</v>
      </c>
      <c r="AD1203" s="95" t="s">
        <v>7</v>
      </c>
      <c r="AE1203" s="95" t="s">
        <v>7</v>
      </c>
      <c r="AF1203" s="95" t="s">
        <v>7</v>
      </c>
      <c r="AG1203" s="95" t="s">
        <v>7</v>
      </c>
      <c r="AH1203" s="95" t="s">
        <v>7</v>
      </c>
      <c r="AI1203" s="95" t="s">
        <v>7</v>
      </c>
      <c r="AJ1203" s="96" t="s">
        <v>7</v>
      </c>
      <c r="AK1203" s="97" t="s">
        <v>7</v>
      </c>
      <c r="AL1203" s="95" t="s">
        <v>7</v>
      </c>
      <c r="AM1203" s="90"/>
      <c r="AN1203" s="90"/>
      <c r="AO1203" s="90"/>
      <c r="AP1203" s="90"/>
      <c r="AQ1203" s="90"/>
      <c r="AR1203" s="90"/>
      <c r="AS1203" s="90"/>
      <c r="AT1203" s="90"/>
      <c r="AU1203" s="90"/>
      <c r="AV1203" s="91"/>
      <c r="AX1203" s="92"/>
    </row>
    <row r="1204" customFormat="false" ht="15.65" hidden="false" customHeight="false" outlineLevel="0" collapsed="false">
      <c r="C1204" s="72" t="n">
        <f aca="false">COUNTIFS($D$6:D1204,"&lt;&gt;"&amp;"")</f>
        <v>1199</v>
      </c>
      <c r="D1204" s="73" t="s">
        <v>12</v>
      </c>
      <c r="E1204" s="76" t="str">
        <f aca="false">
IF($D1204="정상",INDEX(임대자산!$D$3:$R$3000,MATCH($F1204,임대자산!$I$3:$I$3000,0),MATCH(E$3,임대자산!$D$3:$R$3,0)),
IF($D1204="폐업",INDEX(폐업정보!$D$3:$R$3000,MATCH($F1204,폐업정보!$I$3:$I$3000,0),MATCH(E$3,폐업정보!$D$3:$R$3,0)),
"Error"))</f>
        <v>서울</v>
      </c>
      <c r="F120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B1199</v>
      </c>
      <c r="G1204" s="76" t="str">
        <f aca="false">F1204&amp;RANDBETWEEN(0,10)</f>
        <v>B11992</v>
      </c>
      <c r="H1204" s="75" t="n">
        <f aca="false">
IF($D1204="정상",INDEX(임대자산!$D$3:$R$3000,MATCH($F1204,임대자산!$I$3:$I$3000,0),MATCH(H$4,임대자산!$D$3:$R$3,0)),
IF($D1204="폐업",INDEX(폐업정보!$D$3:$R$3000,MATCH($F1204,폐업정보!$I$3:$I$3000,0),MATCH(H$4,폐업정보!$D$3:$R$3,0)),
"Error"))</f>
        <v>45679</v>
      </c>
      <c r="I1204" s="75" t="str">
        <f aca="false">
IF($D1204="정상",INDEX(임대자산!$D$3:$R$3000,MATCH($F1204,임대자산!$I$3:$I$3000,0),MATCH(I$4,임대자산!$D$3:$R$3,0)),
IF($D1204="폐업",INDEX(폐업정보!$D$3:$R$3000,MATCH($F1204,폐업정보!$I$3:$I$3000,0),MATCH(I$4,폐업정보!$D$3:$R$3,0)),
"Error"))</f>
        <v>A1199</v>
      </c>
      <c r="J1204" s="75" t="str">
        <f aca="false">
IF($D1204="정상",INDEX(임대자산!$D$3:$R$3000,MATCH($F1204,임대자산!$I$3:$I$3000,0),MATCH(J$4,임대자산!$D$3:$R$3,0)),
IF($D1204="폐업",INDEX(폐업정보!$D$3:$R$3000,MATCH($F1204,폐업정보!$I$3:$I$3000,0),MATCH(J$4,폐업정보!$D$3:$R$3,0)),
"Error"))</f>
        <v>1626300000</v>
      </c>
      <c r="K1204" s="75" t="str">
        <f aca="false">
IF($D1204="정상",INDEX(임대자산!$D$3:$R$3000,MATCH($F1204,임대자산!$I$3:$I$3000,0),MATCH(K$4,임대자산!$D$3:$R$3,0)),
IF($D1204="폐업",INDEX(폐업정보!$D$3:$R$3000,MATCH($F1204,폐업정보!$I$3:$I$3000,0),MATCH(K$4,폐업정보!$D$3:$R$3,0)),
"Error"))</f>
        <v>C1199</v>
      </c>
      <c r="L1204" s="75" t="str">
        <f aca="false">
IF($D1204="정상",INDEX(임대자산!$D$3:$R$3000,MATCH($F1204,임대자산!$I$3:$I$3000,0),MATCH(L$4,임대자산!$D$3:$R$3,0)),
IF($D1204="폐업",INDEX(폐업정보!$D$3:$R$3000,MATCH($F1204,폐업정보!$I$3:$I$3000,0),MATCH(L$4,폐업정보!$D$3:$R$3,0)),
"Error"))</f>
        <v>D1199</v>
      </c>
      <c r="M1204" s="76" t="s">
        <v>96</v>
      </c>
      <c r="N1204" s="77"/>
      <c r="O1204" s="78" t="s">
        <v>97</v>
      </c>
      <c r="P1204" s="79" t="n">
        <f aca="false">COUNTIFS(임대자산!$I:$I,가맹점정보!F1204,임대자산!$N:$N,가맹점정보!P$4)</f>
        <v>0</v>
      </c>
      <c r="Q1204" s="80" t="n">
        <f aca="false">COUNTIFS(임대자산!$I:$I,가맹점정보!F1204,임대자산!$N:$N,가맹점정보!Q$4)</f>
        <v>0</v>
      </c>
      <c r="R1204" s="81" t="n">
        <f aca="false">COUNTIFS(임대자산!$I:$I,가맹점정보!F1204,임대자산!$N:$N,가맹점정보!R$4)</f>
        <v>1</v>
      </c>
      <c r="S1204" s="82" t="n">
        <v>55000</v>
      </c>
      <c r="T1204" s="83" t="n">
        <v>0</v>
      </c>
      <c r="U1204" s="80" t="n">
        <f aca="false">SUM(S1204:T1204)</f>
        <v>55000</v>
      </c>
      <c r="V1204" s="84" t="s">
        <v>12</v>
      </c>
      <c r="W1204" s="80" t="e">
        <f aca="true">
IF(D1204="폐업","폐업",
IF(V1204="면제","면제",
IF(AND(V1204="정상",COUNTIFS(OFFSET(Y1204,0,COUNTA(Y1204:AV1204)-1,1,-4),"미납")&gt;=3),"장기미납",
IF(AND(V1204="정상",OFFSET(Y1204,0,COUNTA(Y1204:AV1204)-1)&gt;=U1204),"정상",
IF(AND(V1204="정상",OFFSET(Y1204,0,COUNTA(Y1204:AV1204)-1)=0),"정상",
"계약서 미작성")))))</f>
        <v>#VALUE!</v>
      </c>
      <c r="X1204" s="81" t="str">
        <f aca="true">
IF(D1204="폐업","폐업",
IF(AND(V1204="정상",OFFSET(Y1204,0,COUNTA(Y1204:AV1204)-1)="미납"),"미납",
IF(AND(V1204="정상",OFFSET(Y1204,0,COUNTA(Y1204:AV1204)-1)=0),"납부 시작 전",
IF(AND(V1204="정상",OFFSET(Y1204,0,COUNTA(Y1204:AV1204)-1)&gt;=U1204),"정상",
IF(AND(V1204="면제",OFFSET(Y1204,0,COUNTA(Y1204:AV1204)-1)="면제"),"면제",
IF(AND(V1204="면제",OFFSET(Y1204,0,COUNTA(Y1204:AV1204)-1)=0),"면제",
"확인요청"))))))</f>
        <v>정상</v>
      </c>
      <c r="Y1204" s="93" t="n">
        <v>55000</v>
      </c>
      <c r="Z1204" s="90" t="n">
        <v>55000</v>
      </c>
      <c r="AA1204" s="90" t="n">
        <v>55000</v>
      </c>
      <c r="AB1204" s="90" t="n">
        <v>55000</v>
      </c>
      <c r="AC1204" s="90" t="n">
        <v>55000</v>
      </c>
      <c r="AD1204" s="90" t="n">
        <v>55000</v>
      </c>
      <c r="AE1204" s="90" t="n">
        <v>55000</v>
      </c>
      <c r="AF1204" s="90" t="n">
        <v>55000</v>
      </c>
      <c r="AG1204" s="90" t="n">
        <v>55000</v>
      </c>
      <c r="AH1204" s="90" t="n">
        <v>55000</v>
      </c>
      <c r="AI1204" s="90" t="n">
        <v>55000</v>
      </c>
      <c r="AJ1204" s="91" t="n">
        <v>55000</v>
      </c>
      <c r="AK1204" s="89" t="n">
        <v>55000</v>
      </c>
      <c r="AL1204" s="90" t="n">
        <v>55000</v>
      </c>
      <c r="AM1204" s="90"/>
      <c r="AN1204" s="90"/>
      <c r="AO1204" s="90"/>
      <c r="AP1204" s="90"/>
      <c r="AQ1204" s="90"/>
      <c r="AR1204" s="90"/>
      <c r="AS1204" s="90"/>
      <c r="AT1204" s="90"/>
      <c r="AU1204" s="90"/>
      <c r="AV1204" s="91"/>
      <c r="AX1204" s="92"/>
    </row>
    <row r="1205" customFormat="false" ht="15.65" hidden="false" customHeight="false" outlineLevel="0" collapsed="false">
      <c r="C1205" s="72" t="n">
        <f aca="false">COUNTIFS($D$6:D1205,"&lt;&gt;"&amp;"")</f>
        <v>1200</v>
      </c>
      <c r="D1205" s="73" t="s">
        <v>12</v>
      </c>
      <c r="E1205" s="76" t="str">
        <f aca="false">
IF($D1205="정상",INDEX(임대자산!$D$3:$R$3000,MATCH($F1205,임대자산!$I$3:$I$3000,0),MATCH(E$3,임대자산!$D$3:$R$3,0)),
IF($D1205="폐업",INDEX(폐업정보!$D$3:$R$3000,MATCH($F1205,폐업정보!$I$3:$I$3000,0),MATCH(E$3,폐업정보!$D$3:$R$3,0)),
"Error"))</f>
        <v>서울</v>
      </c>
      <c r="F120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B1200</v>
      </c>
      <c r="G1205" s="76" t="str">
        <f aca="false">F1205&amp;RANDBETWEEN(0,10)</f>
        <v>B12007</v>
      </c>
      <c r="H1205" s="75" t="n">
        <f aca="false">
IF($D1205="정상",INDEX(임대자산!$D$3:$R$3000,MATCH($F1205,임대자산!$I$3:$I$3000,0),MATCH(H$4,임대자산!$D$3:$R$3,0)),
IF($D1205="폐업",INDEX(폐업정보!$D$3:$R$3000,MATCH($F1205,폐업정보!$I$3:$I$3000,0),MATCH(H$4,폐업정보!$D$3:$R$3,0)),
"Error"))</f>
        <v>45804</v>
      </c>
      <c r="I1205" s="75" t="str">
        <f aca="false">
IF($D1205="정상",INDEX(임대자산!$D$3:$R$3000,MATCH($F1205,임대자산!$I$3:$I$3000,0),MATCH(I$4,임대자산!$D$3:$R$3,0)),
IF($D1205="폐업",INDEX(폐업정보!$D$3:$R$3000,MATCH($F1205,폐업정보!$I$3:$I$3000,0),MATCH(I$4,폐업정보!$D$3:$R$3,0)),
"Error"))</f>
        <v>A1200</v>
      </c>
      <c r="J1205" s="75" t="str">
        <f aca="false">
IF($D1205="정상",INDEX(임대자산!$D$3:$R$3000,MATCH($F1205,임대자산!$I$3:$I$3000,0),MATCH(J$4,임대자산!$D$3:$R$3,0)),
IF($D1205="폐업",INDEX(폐업정보!$D$3:$R$3000,MATCH($F1205,폐업정보!$I$3:$I$3000,0),MATCH(J$4,폐업정보!$D$3:$R$3,0)),
"Error"))</f>
        <v>3334300000</v>
      </c>
      <c r="K1205" s="75" t="str">
        <f aca="false">
IF($D1205="정상",INDEX(임대자산!$D$3:$R$3000,MATCH($F1205,임대자산!$I$3:$I$3000,0),MATCH(K$4,임대자산!$D$3:$R$3,0)),
IF($D1205="폐업",INDEX(폐업정보!$D$3:$R$3000,MATCH($F1205,폐업정보!$I$3:$I$3000,0),MATCH(K$4,폐업정보!$D$3:$R$3,0)),
"Error"))</f>
        <v>C1200</v>
      </c>
      <c r="L1205" s="75" t="str">
        <f aca="false">
IF($D1205="정상",INDEX(임대자산!$D$3:$R$3000,MATCH($F1205,임대자산!$I$3:$I$3000,0),MATCH(L$4,임대자산!$D$3:$R$3,0)),
IF($D1205="폐업",INDEX(폐업정보!$D$3:$R$3000,MATCH($F1205,폐업정보!$I$3:$I$3000,0),MATCH(L$4,폐업정보!$D$3:$R$3,0)),
"Error"))</f>
        <v>D1200</v>
      </c>
      <c r="M1205" s="76" t="s">
        <v>96</v>
      </c>
      <c r="N1205" s="77"/>
      <c r="O1205" s="78" t="s">
        <v>97</v>
      </c>
      <c r="P1205" s="79" t="n">
        <f aca="false">COUNTIFS(임대자산!$I:$I,가맹점정보!F1205,임대자산!$N:$N,가맹점정보!P$4)</f>
        <v>0</v>
      </c>
      <c r="Q1205" s="80" t="n">
        <f aca="false">COUNTIFS(임대자산!$I:$I,가맹점정보!F1205,임대자산!$N:$N,가맹점정보!Q$4)</f>
        <v>0</v>
      </c>
      <c r="R1205" s="81" t="n">
        <f aca="false">COUNTIFS(임대자산!$I:$I,가맹점정보!F1205,임대자산!$N:$N,가맹점정보!R$4)</f>
        <v>1</v>
      </c>
      <c r="S1205" s="82" t="n">
        <v>55000</v>
      </c>
      <c r="T1205" s="83" t="n">
        <v>0</v>
      </c>
      <c r="U1205" s="80" t="n">
        <f aca="false">SUM(S1205:T1205)</f>
        <v>55000</v>
      </c>
      <c r="V1205" s="84" t="s">
        <v>12</v>
      </c>
      <c r="W1205" s="80" t="e">
        <f aca="true">
IF(D1205="폐업","폐업",
IF(V1205="면제","면제",
IF(AND(V1205="정상",COUNTIFS(OFFSET(Y1205,0,COUNTA(Y1205:AV1205)-1,1,-4),"미납")&gt;=3),"장기미납",
IF(AND(V1205="정상",OFFSET(Y1205,0,COUNTA(Y1205:AV1205)-1)&gt;=U1205),"정상",
IF(AND(V1205="정상",OFFSET(Y1205,0,COUNTA(Y1205:AV1205)-1)=0),"정상",
"계약서 미작성")))))</f>
        <v>#VALUE!</v>
      </c>
      <c r="X1205" s="81" t="str">
        <f aca="true">
IF(D1205="폐업","폐업",
IF(AND(V1205="정상",OFFSET(Y1205,0,COUNTA(Y1205:AV1205)-1)="미납"),"미납",
IF(AND(V1205="정상",OFFSET(Y1205,0,COUNTA(Y1205:AV1205)-1)=0),"납부 시작 전",
IF(AND(V1205="정상",OFFSET(Y1205,0,COUNTA(Y1205:AV1205)-1)&gt;=U1205),"정상",
IF(AND(V1205="면제",OFFSET(Y1205,0,COUNTA(Y1205:AV1205)-1)="면제"),"면제",
IF(AND(V1205="면제",OFFSET(Y1205,0,COUNTA(Y1205:AV1205)-1)=0),"면제",
"확인요청"))))))</f>
        <v>정상</v>
      </c>
      <c r="Y1205" s="93" t="n">
        <v>55000</v>
      </c>
      <c r="Z1205" s="90" t="n">
        <v>55000</v>
      </c>
      <c r="AA1205" s="90" t="n">
        <v>55000</v>
      </c>
      <c r="AB1205" s="90" t="n">
        <v>55000</v>
      </c>
      <c r="AC1205" s="90" t="n">
        <v>55000</v>
      </c>
      <c r="AD1205" s="90" t="n">
        <v>55000</v>
      </c>
      <c r="AE1205" s="90" t="n">
        <v>55000</v>
      </c>
      <c r="AF1205" s="90" t="n">
        <v>55000</v>
      </c>
      <c r="AG1205" s="90" t="n">
        <v>55000</v>
      </c>
      <c r="AH1205" s="90" t="n">
        <v>55000</v>
      </c>
      <c r="AI1205" s="90" t="n">
        <v>55000</v>
      </c>
      <c r="AJ1205" s="96" t="s">
        <v>62</v>
      </c>
      <c r="AK1205" s="89" t="n">
        <v>55000</v>
      </c>
      <c r="AL1205" s="90" t="n">
        <v>55000</v>
      </c>
      <c r="AM1205" s="90"/>
      <c r="AN1205" s="90"/>
      <c r="AO1205" s="90"/>
      <c r="AP1205" s="90"/>
      <c r="AQ1205" s="90"/>
      <c r="AR1205" s="90"/>
      <c r="AS1205" s="90"/>
      <c r="AT1205" s="90"/>
      <c r="AU1205" s="90"/>
      <c r="AV1205" s="91"/>
      <c r="AX1205" s="92"/>
    </row>
    <row r="1206" customFormat="false" ht="15.65" hidden="false" customHeight="false" outlineLevel="0" collapsed="false">
      <c r="C1206" s="72" t="n">
        <f aca="false">COUNTIFS($D$6:D1206,"&lt;&gt;"&amp;"")</f>
        <v>1201</v>
      </c>
      <c r="D1206" s="73" t="s">
        <v>12</v>
      </c>
      <c r="E1206" s="76" t="str">
        <f aca="false">
IF($D1206="정상",INDEX(임대자산!$D$3:$R$3000,MATCH($F1206,임대자산!$I$3:$I$3000,0),MATCH(E$3,임대자산!$D$3:$R$3,0)),
IF($D1206="폐업",INDEX(폐업정보!$D$3:$R$3000,MATCH($F1206,폐업정보!$I$3:$I$3000,0),MATCH(E$3,폐업정보!$D$3:$R$3,0)),
"Error"))</f>
        <v>서울</v>
      </c>
      <c r="F120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B1201</v>
      </c>
      <c r="G1206" s="76" t="str">
        <f aca="false">F1206&amp;RANDBETWEEN(0,10)</f>
        <v>B12018</v>
      </c>
      <c r="H1206" s="75" t="n">
        <f aca="false">
IF($D1206="정상",INDEX(임대자산!$D$3:$R$3000,MATCH($F1206,임대자산!$I$3:$I$3000,0),MATCH(H$4,임대자산!$D$3:$R$3,0)),
IF($D1206="폐업",INDEX(폐업정보!$D$3:$R$3000,MATCH($F1206,폐업정보!$I$3:$I$3000,0),MATCH(H$4,폐업정보!$D$3:$R$3,0)),
"Error"))</f>
        <v>45379</v>
      </c>
      <c r="I1206" s="75" t="str">
        <f aca="false">
IF($D1206="정상",INDEX(임대자산!$D$3:$R$3000,MATCH($F1206,임대자산!$I$3:$I$3000,0),MATCH(I$4,임대자산!$D$3:$R$3,0)),
IF($D1206="폐업",INDEX(폐업정보!$D$3:$R$3000,MATCH($F1206,폐업정보!$I$3:$I$3000,0),MATCH(I$4,폐업정보!$D$3:$R$3,0)),
"Error"))</f>
        <v>A1201</v>
      </c>
      <c r="J1206" s="75" t="str">
        <f aca="false">
IF($D1206="정상",INDEX(임대자산!$D$3:$R$3000,MATCH($F1206,임대자산!$I$3:$I$3000,0),MATCH(J$4,임대자산!$D$3:$R$3,0)),
IF($D1206="폐업",INDEX(폐업정보!$D$3:$R$3000,MATCH($F1206,폐업정보!$I$3:$I$3000,0),MATCH(J$4,폐업정보!$D$3:$R$3,0)),
"Error"))</f>
        <v>3618900000</v>
      </c>
      <c r="K1206" s="75" t="str">
        <f aca="false">
IF($D1206="정상",INDEX(임대자산!$D$3:$R$3000,MATCH($F1206,임대자산!$I$3:$I$3000,0),MATCH(K$4,임대자산!$D$3:$R$3,0)),
IF($D1206="폐업",INDEX(폐업정보!$D$3:$R$3000,MATCH($F1206,폐업정보!$I$3:$I$3000,0),MATCH(K$4,폐업정보!$D$3:$R$3,0)),
"Error"))</f>
        <v>C1201</v>
      </c>
      <c r="L1206" s="75" t="str">
        <f aca="false">
IF($D1206="정상",INDEX(임대자산!$D$3:$R$3000,MATCH($F1206,임대자산!$I$3:$I$3000,0),MATCH(L$4,임대자산!$D$3:$R$3,0)),
IF($D1206="폐업",INDEX(폐업정보!$D$3:$R$3000,MATCH($F1206,폐업정보!$I$3:$I$3000,0),MATCH(L$4,폐업정보!$D$3:$R$3,0)),
"Error"))</f>
        <v>D1201</v>
      </c>
      <c r="M1206" s="76" t="s">
        <v>96</v>
      </c>
      <c r="N1206" s="77"/>
      <c r="O1206" s="78" t="s">
        <v>97</v>
      </c>
      <c r="P1206" s="79" t="n">
        <f aca="false">COUNTIFS(임대자산!$I:$I,가맹점정보!F1206,임대자산!$N:$N,가맹점정보!P$4)</f>
        <v>0</v>
      </c>
      <c r="Q1206" s="80" t="n">
        <f aca="false">COUNTIFS(임대자산!$I:$I,가맹점정보!F1206,임대자산!$N:$N,가맹점정보!Q$4)</f>
        <v>0</v>
      </c>
      <c r="R1206" s="81" t="n">
        <f aca="false">COUNTIFS(임대자산!$I:$I,가맹점정보!F1206,임대자산!$N:$N,가맹점정보!R$4)</f>
        <v>1</v>
      </c>
      <c r="S1206" s="82" t="n">
        <v>55000</v>
      </c>
      <c r="T1206" s="83" t="n">
        <v>0</v>
      </c>
      <c r="U1206" s="80" t="n">
        <f aca="false">SUM(S1206:T1206)</f>
        <v>55000</v>
      </c>
      <c r="V1206" s="84" t="s">
        <v>12</v>
      </c>
      <c r="W1206" s="80" t="e">
        <f aca="true">
IF(D1206="폐업","폐업",
IF(V1206="면제","면제",
IF(AND(V1206="정상",COUNTIFS(OFFSET(Y1206,0,COUNTA(Y1206:AV1206)-1,1,-4),"미납")&gt;=3),"장기미납",
IF(AND(V1206="정상",OFFSET(Y1206,0,COUNTA(Y1206:AV1206)-1)&gt;=U1206),"정상",
IF(AND(V1206="정상",OFFSET(Y1206,0,COUNTA(Y1206:AV1206)-1)=0),"정상",
"계약서 미작성")))))</f>
        <v>#VALUE!</v>
      </c>
      <c r="X1206" s="81" t="str">
        <f aca="true">
IF(D1206="폐업","폐업",
IF(AND(V1206="정상",OFFSET(Y1206,0,COUNTA(Y1206:AV1206)-1)="미납"),"미납",
IF(AND(V1206="정상",OFFSET(Y1206,0,COUNTA(Y1206:AV1206)-1)=0),"납부 시작 전",
IF(AND(V1206="정상",OFFSET(Y1206,0,COUNTA(Y1206:AV1206)-1)&gt;=U1206),"정상",
IF(AND(V1206="면제",OFFSET(Y1206,0,COUNTA(Y1206:AV1206)-1)="면제"),"면제",
IF(AND(V1206="면제",OFFSET(Y1206,0,COUNTA(Y1206:AV1206)-1)=0),"면제",
"확인요청"))))))</f>
        <v>정상</v>
      </c>
      <c r="Y1206" s="93" t="n">
        <v>55000</v>
      </c>
      <c r="Z1206" s="90" t="n">
        <v>55000</v>
      </c>
      <c r="AA1206" s="90" t="n">
        <v>55000</v>
      </c>
      <c r="AB1206" s="90" t="n">
        <v>55000</v>
      </c>
      <c r="AC1206" s="90" t="n">
        <v>55000</v>
      </c>
      <c r="AD1206" s="90" t="n">
        <v>55000</v>
      </c>
      <c r="AE1206" s="90" t="n">
        <v>55000</v>
      </c>
      <c r="AF1206" s="90" t="n">
        <v>55000</v>
      </c>
      <c r="AG1206" s="90" t="n">
        <v>55000</v>
      </c>
      <c r="AH1206" s="90" t="n">
        <v>55000</v>
      </c>
      <c r="AI1206" s="90" t="n">
        <v>55000</v>
      </c>
      <c r="AJ1206" s="96" t="s">
        <v>62</v>
      </c>
      <c r="AK1206" s="89" t="n">
        <v>55000</v>
      </c>
      <c r="AL1206" s="90" t="n">
        <v>55000</v>
      </c>
      <c r="AM1206" s="90"/>
      <c r="AN1206" s="90"/>
      <c r="AO1206" s="90"/>
      <c r="AP1206" s="90"/>
      <c r="AQ1206" s="90"/>
      <c r="AR1206" s="90"/>
      <c r="AS1206" s="90"/>
      <c r="AT1206" s="90"/>
      <c r="AU1206" s="90"/>
      <c r="AV1206" s="91"/>
      <c r="AX1206" s="92"/>
    </row>
    <row r="1207" customFormat="false" ht="15.65" hidden="false" customHeight="false" outlineLevel="0" collapsed="false">
      <c r="C1207" s="72" t="n">
        <f aca="false">COUNTIFS($D$6:D1207,"&lt;&gt;"&amp;"")</f>
        <v>1202</v>
      </c>
      <c r="D1207" s="73" t="s">
        <v>12</v>
      </c>
      <c r="E1207" s="76" t="str">
        <f aca="false">
IF($D1207="정상",INDEX(임대자산!$D$3:$R$3000,MATCH($F1207,임대자산!$I$3:$I$3000,0),MATCH(E$3,임대자산!$D$3:$R$3,0)),
IF($D1207="폐업",INDEX(폐업정보!$D$3:$R$3000,MATCH($F1207,폐업정보!$I$3:$I$3000,0),MATCH(E$3,폐업정보!$D$3:$R$3,0)),
"Error"))</f>
        <v>서울</v>
      </c>
      <c r="F120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B1202</v>
      </c>
      <c r="G1207" s="76" t="str">
        <f aca="false">F1207&amp;RANDBETWEEN(0,10)</f>
        <v>B120210</v>
      </c>
      <c r="H1207" s="75" t="n">
        <f aca="false">
IF($D1207="정상",INDEX(임대자산!$D$3:$R$3000,MATCH($F1207,임대자산!$I$3:$I$3000,0),MATCH(H$4,임대자산!$D$3:$R$3,0)),
IF($D1207="폐업",INDEX(폐업정보!$D$3:$R$3000,MATCH($F1207,폐업정보!$I$3:$I$3000,0),MATCH(H$4,폐업정보!$D$3:$R$3,0)),
"Error"))</f>
        <v>45379</v>
      </c>
      <c r="I1207" s="75" t="str">
        <f aca="false">
IF($D1207="정상",INDEX(임대자산!$D$3:$R$3000,MATCH($F1207,임대자산!$I$3:$I$3000,0),MATCH(I$4,임대자산!$D$3:$R$3,0)),
IF($D1207="폐업",INDEX(폐업정보!$D$3:$R$3000,MATCH($F1207,폐업정보!$I$3:$I$3000,0),MATCH(I$4,폐업정보!$D$3:$R$3,0)),
"Error"))</f>
        <v>A1202</v>
      </c>
      <c r="J1207" s="75" t="str">
        <f aca="false">
IF($D1207="정상",INDEX(임대자산!$D$3:$R$3000,MATCH($F1207,임대자산!$I$3:$I$3000,0),MATCH(J$4,임대자산!$D$3:$R$3,0)),
IF($D1207="폐업",INDEX(폐업정보!$D$3:$R$3000,MATCH($F1207,폐업정보!$I$3:$I$3000,0),MATCH(J$4,폐업정보!$D$3:$R$3,0)),
"Error"))</f>
        <v>6252600000</v>
      </c>
      <c r="K1207" s="75" t="str">
        <f aca="false">
IF($D1207="정상",INDEX(임대자산!$D$3:$R$3000,MATCH($F1207,임대자산!$I$3:$I$3000,0),MATCH(K$4,임대자산!$D$3:$R$3,0)),
IF($D1207="폐업",INDEX(폐업정보!$D$3:$R$3000,MATCH($F1207,폐업정보!$I$3:$I$3000,0),MATCH(K$4,폐업정보!$D$3:$R$3,0)),
"Error"))</f>
        <v>C1202</v>
      </c>
      <c r="L1207" s="75" t="str">
        <f aca="false">
IF($D1207="정상",INDEX(임대자산!$D$3:$R$3000,MATCH($F1207,임대자산!$I$3:$I$3000,0),MATCH(L$4,임대자산!$D$3:$R$3,0)),
IF($D1207="폐업",INDEX(폐업정보!$D$3:$R$3000,MATCH($F1207,폐업정보!$I$3:$I$3000,0),MATCH(L$4,폐업정보!$D$3:$R$3,0)),
"Error"))</f>
        <v>D1202</v>
      </c>
      <c r="M1207" s="76" t="s">
        <v>96</v>
      </c>
      <c r="N1207" s="77"/>
      <c r="O1207" s="78" t="s">
        <v>97</v>
      </c>
      <c r="P1207" s="79" t="n">
        <f aca="false">COUNTIFS(임대자산!$I:$I,가맹점정보!F1207,임대자산!$N:$N,가맹점정보!P$4)</f>
        <v>0</v>
      </c>
      <c r="Q1207" s="80" t="n">
        <f aca="false">COUNTIFS(임대자산!$I:$I,가맹점정보!F1207,임대자산!$N:$N,가맹점정보!Q$4)</f>
        <v>0</v>
      </c>
      <c r="R1207" s="81" t="n">
        <f aca="false">COUNTIFS(임대자산!$I:$I,가맹점정보!F1207,임대자산!$N:$N,가맹점정보!R$4)</f>
        <v>1</v>
      </c>
      <c r="S1207" s="82" t="n">
        <v>55000</v>
      </c>
      <c r="T1207" s="83" t="n">
        <v>0</v>
      </c>
      <c r="U1207" s="80" t="n">
        <f aca="false">SUM(S1207:T1207)</f>
        <v>55000</v>
      </c>
      <c r="V1207" s="84" t="s">
        <v>7</v>
      </c>
      <c r="W1207" s="80" t="str">
        <f aca="true">
IF(D1207="폐업","폐업",
IF(V1207="면제","면제",
IF(AND(V1207="정상",COUNTIFS(OFFSET(Y1207,0,COUNTA(Y1207:AV1207)-1,1,-4),"미납")&gt;=3),"장기미납",
IF(AND(V1207="정상",OFFSET(Y1207,0,COUNTA(Y1207:AV1207)-1)&gt;=U1207),"정상",
IF(AND(V1207="정상",OFFSET(Y1207,0,COUNTA(Y1207:AV1207)-1)=0),"정상",
"계약서 미작성")))))</f>
        <v>면제</v>
      </c>
      <c r="X1207" s="81" t="str">
        <f aca="true">
IF(D1207="폐업","폐업",
IF(AND(V1207="정상",OFFSET(Y1207,0,COUNTA(Y1207:AV1207)-1)="미납"),"미납",
IF(AND(V1207="정상",OFFSET(Y1207,0,COUNTA(Y1207:AV1207)-1)=0),"납부 시작 전",
IF(AND(V1207="정상",OFFSET(Y1207,0,COUNTA(Y1207:AV1207)-1)&gt;=U1207),"정상",
IF(AND(V1207="면제",OFFSET(Y1207,0,COUNTA(Y1207:AV1207)-1)="면제"),"면제",
IF(AND(V1207="면제",OFFSET(Y1207,0,COUNTA(Y1207:AV1207)-1)=0),"면제",
"확인요청"))))))</f>
        <v>면제</v>
      </c>
      <c r="Y1207" s="94" t="s">
        <v>7</v>
      </c>
      <c r="Z1207" s="95" t="s">
        <v>7</v>
      </c>
      <c r="AA1207" s="95" t="s">
        <v>7</v>
      </c>
      <c r="AB1207" s="95" t="s">
        <v>7</v>
      </c>
      <c r="AC1207" s="95" t="s">
        <v>7</v>
      </c>
      <c r="AD1207" s="95" t="s">
        <v>7</v>
      </c>
      <c r="AE1207" s="95" t="s">
        <v>7</v>
      </c>
      <c r="AF1207" s="95" t="s">
        <v>7</v>
      </c>
      <c r="AG1207" s="95" t="s">
        <v>7</v>
      </c>
      <c r="AH1207" s="95" t="s">
        <v>7</v>
      </c>
      <c r="AI1207" s="95" t="s">
        <v>7</v>
      </c>
      <c r="AJ1207" s="96" t="s">
        <v>7</v>
      </c>
      <c r="AK1207" s="97" t="s">
        <v>7</v>
      </c>
      <c r="AL1207" s="95" t="s">
        <v>7</v>
      </c>
      <c r="AM1207" s="90"/>
      <c r="AN1207" s="90"/>
      <c r="AO1207" s="90"/>
      <c r="AP1207" s="90"/>
      <c r="AQ1207" s="90"/>
      <c r="AR1207" s="90"/>
      <c r="AS1207" s="90"/>
      <c r="AT1207" s="90"/>
      <c r="AU1207" s="90"/>
      <c r="AV1207" s="91"/>
      <c r="AX1207" s="92"/>
    </row>
    <row r="1208" customFormat="false" ht="15.65" hidden="false" customHeight="false" outlineLevel="0" collapsed="false">
      <c r="C1208" s="72" t="n">
        <f aca="false">COUNTIFS($D$6:D1208,"&lt;&gt;"&amp;"")</f>
        <v>1203</v>
      </c>
      <c r="D1208" s="73" t="s">
        <v>12</v>
      </c>
      <c r="E1208" s="76" t="str">
        <f aca="false">
IF($D1208="정상",INDEX(임대자산!$D$3:$R$3000,MATCH($F1208,임대자산!$I$3:$I$3000,0),MATCH(E$3,임대자산!$D$3:$R$3,0)),
IF($D1208="폐업",INDEX(폐업정보!$D$3:$R$3000,MATCH($F1208,폐업정보!$I$3:$I$3000,0),MATCH(E$3,폐업정보!$D$3:$R$3,0)),
"Error"))</f>
        <v>서울</v>
      </c>
      <c r="F120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B1203</v>
      </c>
      <c r="G1208" s="76" t="str">
        <f aca="false">F1208&amp;RANDBETWEEN(0,10)</f>
        <v>B12032</v>
      </c>
      <c r="H1208" s="75" t="n">
        <f aca="false">
IF($D1208="정상",INDEX(임대자산!$D$3:$R$3000,MATCH($F1208,임대자산!$I$3:$I$3000,0),MATCH(H$4,임대자산!$D$3:$R$3,0)),
IF($D1208="폐업",INDEX(폐업정보!$D$3:$R$3000,MATCH($F1208,폐업정보!$I$3:$I$3000,0),MATCH(H$4,폐업정보!$D$3:$R$3,0)),
"Error"))</f>
        <v>44998</v>
      </c>
      <c r="I1208" s="75" t="str">
        <f aca="false">
IF($D1208="정상",INDEX(임대자산!$D$3:$R$3000,MATCH($F1208,임대자산!$I$3:$I$3000,0),MATCH(I$4,임대자산!$D$3:$R$3,0)),
IF($D1208="폐업",INDEX(폐업정보!$D$3:$R$3000,MATCH($F1208,폐업정보!$I$3:$I$3000,0),MATCH(I$4,폐업정보!$D$3:$R$3,0)),
"Error"))</f>
        <v>A1203</v>
      </c>
      <c r="J1208" s="75" t="str">
        <f aca="false">
IF($D1208="정상",INDEX(임대자산!$D$3:$R$3000,MATCH($F1208,임대자산!$I$3:$I$3000,0),MATCH(J$4,임대자산!$D$3:$R$3,0)),
IF($D1208="폐업",INDEX(폐업정보!$D$3:$R$3000,MATCH($F1208,폐업정보!$I$3:$I$3000,0),MATCH(J$4,폐업정보!$D$3:$R$3,0)),
"Error"))</f>
        <v>4714600000</v>
      </c>
      <c r="K1208" s="75" t="str">
        <f aca="false">
IF($D1208="정상",INDEX(임대자산!$D$3:$R$3000,MATCH($F1208,임대자산!$I$3:$I$3000,0),MATCH(K$4,임대자산!$D$3:$R$3,0)),
IF($D1208="폐업",INDEX(폐업정보!$D$3:$R$3000,MATCH($F1208,폐업정보!$I$3:$I$3000,0),MATCH(K$4,폐업정보!$D$3:$R$3,0)),
"Error"))</f>
        <v>C1203</v>
      </c>
      <c r="L1208" s="75" t="str">
        <f aca="false">
IF($D1208="정상",INDEX(임대자산!$D$3:$R$3000,MATCH($F1208,임대자산!$I$3:$I$3000,0),MATCH(L$4,임대자산!$D$3:$R$3,0)),
IF($D1208="폐업",INDEX(폐업정보!$D$3:$R$3000,MATCH($F1208,폐업정보!$I$3:$I$3000,0),MATCH(L$4,폐업정보!$D$3:$R$3,0)),
"Error"))</f>
        <v>D1203</v>
      </c>
      <c r="M1208" s="76" t="s">
        <v>96</v>
      </c>
      <c r="N1208" s="77"/>
      <c r="O1208" s="78" t="s">
        <v>97</v>
      </c>
      <c r="P1208" s="79" t="n">
        <f aca="false">COUNTIFS(임대자산!$I:$I,가맹점정보!F1208,임대자산!$N:$N,가맹점정보!P$4)</f>
        <v>0</v>
      </c>
      <c r="Q1208" s="80" t="n">
        <f aca="false">COUNTIFS(임대자산!$I:$I,가맹점정보!F1208,임대자산!$N:$N,가맹점정보!Q$4)</f>
        <v>0</v>
      </c>
      <c r="R1208" s="81" t="n">
        <f aca="false">COUNTIFS(임대자산!$I:$I,가맹점정보!F1208,임대자산!$N:$N,가맹점정보!R$4)</f>
        <v>1</v>
      </c>
      <c r="S1208" s="82" t="n">
        <v>55000</v>
      </c>
      <c r="T1208" s="83" t="n">
        <v>0</v>
      </c>
      <c r="U1208" s="80" t="n">
        <f aca="false">SUM(S1208:T1208)</f>
        <v>55000</v>
      </c>
      <c r="V1208" s="84" t="s">
        <v>12</v>
      </c>
      <c r="W1208" s="80" t="e">
        <f aca="true">
IF(D1208="폐업","폐업",
IF(V1208="면제","면제",
IF(AND(V1208="정상",COUNTIFS(OFFSET(Y1208,0,COUNTA(Y1208:AV1208)-1,1,-4),"미납")&gt;=3),"장기미납",
IF(AND(V1208="정상",OFFSET(Y1208,0,COUNTA(Y1208:AV1208)-1)&gt;=U1208),"정상",
IF(AND(V1208="정상",OFFSET(Y1208,0,COUNTA(Y1208:AV1208)-1)=0),"정상",
"계약서 미작성")))))</f>
        <v>#VALUE!</v>
      </c>
      <c r="X1208" s="81" t="str">
        <f aca="true">
IF(D1208="폐업","폐업",
IF(AND(V1208="정상",OFFSET(Y1208,0,COUNTA(Y1208:AV1208)-1)="미납"),"미납",
IF(AND(V1208="정상",OFFSET(Y1208,0,COUNTA(Y1208:AV1208)-1)=0),"납부 시작 전",
IF(AND(V1208="정상",OFFSET(Y1208,0,COUNTA(Y1208:AV1208)-1)&gt;=U1208),"정상",
IF(AND(V1208="면제",OFFSET(Y1208,0,COUNTA(Y1208:AV1208)-1)="면제"),"면제",
IF(AND(V1208="면제",OFFSET(Y1208,0,COUNTA(Y1208:AV1208)-1)=0),"면제",
"확인요청"))))))</f>
        <v>정상</v>
      </c>
      <c r="Y1208" s="93" t="n">
        <v>55000</v>
      </c>
      <c r="Z1208" s="90" t="n">
        <v>55000</v>
      </c>
      <c r="AA1208" s="90" t="n">
        <v>55000</v>
      </c>
      <c r="AB1208" s="90" t="n">
        <v>55000</v>
      </c>
      <c r="AC1208" s="90" t="n">
        <v>55000</v>
      </c>
      <c r="AD1208" s="90" t="n">
        <v>55000</v>
      </c>
      <c r="AE1208" s="90" t="n">
        <v>55000</v>
      </c>
      <c r="AF1208" s="90" t="n">
        <v>55000</v>
      </c>
      <c r="AG1208" s="90" t="n">
        <v>55000</v>
      </c>
      <c r="AH1208" s="90" t="n">
        <v>55000</v>
      </c>
      <c r="AI1208" s="90" t="n">
        <v>55000</v>
      </c>
      <c r="AJ1208" s="91" t="n">
        <v>55000</v>
      </c>
      <c r="AK1208" s="89" t="n">
        <v>55000</v>
      </c>
      <c r="AL1208" s="90" t="n">
        <v>55000</v>
      </c>
      <c r="AM1208" s="90"/>
      <c r="AN1208" s="90"/>
      <c r="AO1208" s="90"/>
      <c r="AP1208" s="90"/>
      <c r="AQ1208" s="90"/>
      <c r="AR1208" s="90"/>
      <c r="AS1208" s="90"/>
      <c r="AT1208" s="90"/>
      <c r="AU1208" s="90"/>
      <c r="AV1208" s="91"/>
      <c r="AX1208" s="92"/>
    </row>
    <row r="1209" customFormat="false" ht="15.65" hidden="false" customHeight="false" outlineLevel="0" collapsed="false">
      <c r="C1209" s="72" t="n">
        <f aca="false">COUNTIFS($D$6:D1209,"&lt;&gt;"&amp;"")</f>
        <v>1204</v>
      </c>
      <c r="D1209" s="73" t="s">
        <v>12</v>
      </c>
      <c r="E1209" s="76" t="str">
        <f aca="false">
IF($D1209="정상",INDEX(임대자산!$D$3:$R$3000,MATCH($F1209,임대자산!$I$3:$I$3000,0),MATCH(E$3,임대자산!$D$3:$R$3,0)),
IF($D1209="폐업",INDEX(폐업정보!$D$3:$R$3000,MATCH($F1209,폐업정보!$I$3:$I$3000,0),MATCH(E$3,폐업정보!$D$3:$R$3,0)),
"Error"))</f>
        <v>서울</v>
      </c>
      <c r="F120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B1204</v>
      </c>
      <c r="G1209" s="76" t="str">
        <f aca="false">F1209&amp;RANDBETWEEN(0,10)</f>
        <v>B120410</v>
      </c>
      <c r="H1209" s="75" t="n">
        <f aca="false">
IF($D1209="정상",INDEX(임대자산!$D$3:$R$3000,MATCH($F1209,임대자산!$I$3:$I$3000,0),MATCH(H$4,임대자산!$D$3:$R$3,0)),
IF($D1209="폐업",INDEX(폐업정보!$D$3:$R$3000,MATCH($F1209,폐업정보!$I$3:$I$3000,0),MATCH(H$4,폐업정보!$D$3:$R$3,0)),
"Error"))</f>
        <v>45482</v>
      </c>
      <c r="I1209" s="75" t="str">
        <f aca="false">
IF($D1209="정상",INDEX(임대자산!$D$3:$R$3000,MATCH($F1209,임대자산!$I$3:$I$3000,0),MATCH(I$4,임대자산!$D$3:$R$3,0)),
IF($D1209="폐업",INDEX(폐업정보!$D$3:$R$3000,MATCH($F1209,폐업정보!$I$3:$I$3000,0),MATCH(I$4,폐업정보!$D$3:$R$3,0)),
"Error"))</f>
        <v>A1204</v>
      </c>
      <c r="J1209" s="75" t="str">
        <f aca="false">
IF($D1209="정상",INDEX(임대자산!$D$3:$R$3000,MATCH($F1209,임대자산!$I$3:$I$3000,0),MATCH(J$4,임대자산!$D$3:$R$3,0)),
IF($D1209="폐업",INDEX(폐업정보!$D$3:$R$3000,MATCH($F1209,폐업정보!$I$3:$I$3000,0),MATCH(J$4,폐업정보!$D$3:$R$3,0)),
"Error"))</f>
        <v>4366000000</v>
      </c>
      <c r="K1209" s="75" t="str">
        <f aca="false">
IF($D1209="정상",INDEX(임대자산!$D$3:$R$3000,MATCH($F1209,임대자산!$I$3:$I$3000,0),MATCH(K$4,임대자산!$D$3:$R$3,0)),
IF($D1209="폐업",INDEX(폐업정보!$D$3:$R$3000,MATCH($F1209,폐업정보!$I$3:$I$3000,0),MATCH(K$4,폐업정보!$D$3:$R$3,0)),
"Error"))</f>
        <v>C1204</v>
      </c>
      <c r="L1209" s="75" t="str">
        <f aca="false">
IF($D1209="정상",INDEX(임대자산!$D$3:$R$3000,MATCH($F1209,임대자산!$I$3:$I$3000,0),MATCH(L$4,임대자산!$D$3:$R$3,0)),
IF($D1209="폐업",INDEX(폐업정보!$D$3:$R$3000,MATCH($F1209,폐업정보!$I$3:$I$3000,0),MATCH(L$4,폐업정보!$D$3:$R$3,0)),
"Error"))</f>
        <v>D1204</v>
      </c>
      <c r="M1209" s="76" t="s">
        <v>96</v>
      </c>
      <c r="N1209" s="77"/>
      <c r="O1209" s="78" t="s">
        <v>97</v>
      </c>
      <c r="P1209" s="79" t="n">
        <f aca="false">COUNTIFS(임대자산!$I:$I,가맹점정보!F1209,임대자산!$N:$N,가맹점정보!P$4)</f>
        <v>0</v>
      </c>
      <c r="Q1209" s="80" t="n">
        <f aca="false">COUNTIFS(임대자산!$I:$I,가맹점정보!F1209,임대자산!$N:$N,가맹점정보!Q$4)</f>
        <v>0</v>
      </c>
      <c r="R1209" s="81" t="n">
        <f aca="false">COUNTIFS(임대자산!$I:$I,가맹점정보!F1209,임대자산!$N:$N,가맹점정보!R$4)</f>
        <v>1</v>
      </c>
      <c r="S1209" s="82" t="n">
        <v>55000</v>
      </c>
      <c r="T1209" s="83" t="n">
        <v>0</v>
      </c>
      <c r="U1209" s="80" t="n">
        <f aca="false">SUM(S1209:T1209)</f>
        <v>55000</v>
      </c>
      <c r="V1209" s="84" t="s">
        <v>12</v>
      </c>
      <c r="W1209" s="80" t="e">
        <f aca="true">
IF(D1209="폐업","폐업",
IF(V1209="면제","면제",
IF(AND(V1209="정상",COUNTIFS(OFFSET(Y1209,0,COUNTA(Y1209:AV1209)-1,1,-4),"미납")&gt;=3),"장기미납",
IF(AND(V1209="정상",OFFSET(Y1209,0,COUNTA(Y1209:AV1209)-1)&gt;=U1209),"정상",
IF(AND(V1209="정상",OFFSET(Y1209,0,COUNTA(Y1209:AV1209)-1)=0),"정상",
"계약서 미작성")))))</f>
        <v>#VALUE!</v>
      </c>
      <c r="X1209" s="81" t="str">
        <f aca="true">
IF(D1209="폐업","폐업",
IF(AND(V1209="정상",OFFSET(Y1209,0,COUNTA(Y1209:AV1209)-1)="미납"),"미납",
IF(AND(V1209="정상",OFFSET(Y1209,0,COUNTA(Y1209:AV1209)-1)=0),"납부 시작 전",
IF(AND(V1209="정상",OFFSET(Y1209,0,COUNTA(Y1209:AV1209)-1)&gt;=U1209),"정상",
IF(AND(V1209="면제",OFFSET(Y1209,0,COUNTA(Y1209:AV1209)-1)="면제"),"면제",
IF(AND(V1209="면제",OFFSET(Y1209,0,COUNTA(Y1209:AV1209)-1)=0),"면제",
"확인요청"))))))</f>
        <v>정상</v>
      </c>
      <c r="Y1209" s="93" t="n">
        <v>55000</v>
      </c>
      <c r="Z1209" s="90" t="n">
        <v>55000</v>
      </c>
      <c r="AA1209" s="90" t="n">
        <v>55000</v>
      </c>
      <c r="AB1209" s="90" t="n">
        <v>55000</v>
      </c>
      <c r="AC1209" s="90" t="n">
        <v>55000</v>
      </c>
      <c r="AD1209" s="90" t="n">
        <v>55000</v>
      </c>
      <c r="AE1209" s="90" t="n">
        <v>55000</v>
      </c>
      <c r="AF1209" s="90" t="n">
        <v>55000</v>
      </c>
      <c r="AG1209" s="90" t="n">
        <v>55000</v>
      </c>
      <c r="AH1209" s="90" t="n">
        <v>55000</v>
      </c>
      <c r="AI1209" s="90" t="n">
        <v>55000</v>
      </c>
      <c r="AJ1209" s="91" t="n">
        <v>55000</v>
      </c>
      <c r="AK1209" s="89" t="n">
        <v>55000</v>
      </c>
      <c r="AL1209" s="90" t="n">
        <v>55000</v>
      </c>
      <c r="AM1209" s="90"/>
      <c r="AN1209" s="90"/>
      <c r="AO1209" s="90"/>
      <c r="AP1209" s="90"/>
      <c r="AQ1209" s="90"/>
      <c r="AR1209" s="90"/>
      <c r="AS1209" s="90"/>
      <c r="AT1209" s="90"/>
      <c r="AU1209" s="90"/>
      <c r="AV1209" s="91"/>
      <c r="AX1209" s="92"/>
    </row>
    <row r="1210" customFormat="false" ht="15.65" hidden="false" customHeight="false" outlineLevel="0" collapsed="false">
      <c r="C1210" s="72" t="n">
        <f aca="false">COUNTIFS($D$6:D1210,"&lt;&gt;"&amp;"")</f>
        <v>1205</v>
      </c>
      <c r="D1210" s="73" t="s">
        <v>12</v>
      </c>
      <c r="E1210" s="76" t="str">
        <f aca="false">
IF($D1210="정상",INDEX(임대자산!$D$3:$R$3000,MATCH($F1210,임대자산!$I$3:$I$3000,0),MATCH(E$3,임대자산!$D$3:$R$3,0)),
IF($D1210="폐업",INDEX(폐업정보!$D$3:$R$3000,MATCH($F1210,폐업정보!$I$3:$I$3000,0),MATCH(E$3,폐업정보!$D$3:$R$3,0)),
"Error"))</f>
        <v>강원</v>
      </c>
      <c r="F121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B1205</v>
      </c>
      <c r="G1210" s="76" t="str">
        <f aca="false">F1210&amp;RANDBETWEEN(0,10)</f>
        <v>B12054</v>
      </c>
      <c r="H1210" s="75" t="n">
        <f aca="false">
IF($D1210="정상",INDEX(임대자산!$D$3:$R$3000,MATCH($F1210,임대자산!$I$3:$I$3000,0),MATCH(H$4,임대자산!$D$3:$R$3,0)),
IF($D1210="폐업",INDEX(폐업정보!$D$3:$R$3000,MATCH($F1210,폐업정보!$I$3:$I$3000,0),MATCH(H$4,폐업정보!$D$3:$R$3,0)),
"Error"))</f>
        <v>45020</v>
      </c>
      <c r="I1210" s="75" t="str">
        <f aca="false">
IF($D1210="정상",INDEX(임대자산!$D$3:$R$3000,MATCH($F1210,임대자산!$I$3:$I$3000,0),MATCH(I$4,임대자산!$D$3:$R$3,0)),
IF($D1210="폐업",INDEX(폐업정보!$D$3:$R$3000,MATCH($F1210,폐업정보!$I$3:$I$3000,0),MATCH(I$4,폐업정보!$D$3:$R$3,0)),
"Error"))</f>
        <v>A1205</v>
      </c>
      <c r="J1210" s="75" t="str">
        <f aca="false">
IF($D1210="정상",INDEX(임대자산!$D$3:$R$3000,MATCH($F1210,임대자산!$I$3:$I$3000,0),MATCH(J$4,임대자산!$D$3:$R$3,0)),
IF($D1210="폐업",INDEX(폐업정보!$D$3:$R$3000,MATCH($F1210,폐업정보!$I$3:$I$3000,0),MATCH(J$4,폐업정보!$D$3:$R$3,0)),
"Error"))</f>
        <v>8877200000</v>
      </c>
      <c r="K1210" s="75" t="str">
        <f aca="false">
IF($D1210="정상",INDEX(임대자산!$D$3:$R$3000,MATCH($F1210,임대자산!$I$3:$I$3000,0),MATCH(K$4,임대자산!$D$3:$R$3,0)),
IF($D1210="폐업",INDEX(폐업정보!$D$3:$R$3000,MATCH($F1210,폐업정보!$I$3:$I$3000,0),MATCH(K$4,폐업정보!$D$3:$R$3,0)),
"Error"))</f>
        <v>C1205</v>
      </c>
      <c r="L1210" s="75" t="str">
        <f aca="false">
IF($D1210="정상",INDEX(임대자산!$D$3:$R$3000,MATCH($F1210,임대자산!$I$3:$I$3000,0),MATCH(L$4,임대자산!$D$3:$R$3,0)),
IF($D1210="폐업",INDEX(폐업정보!$D$3:$R$3000,MATCH($F1210,폐업정보!$I$3:$I$3000,0),MATCH(L$4,폐업정보!$D$3:$R$3,0)),
"Error"))</f>
        <v>D1205</v>
      </c>
      <c r="M1210" s="76" t="s">
        <v>96</v>
      </c>
      <c r="N1210" s="77"/>
      <c r="O1210" s="78" t="s">
        <v>97</v>
      </c>
      <c r="P1210" s="79" t="n">
        <f aca="false">COUNTIFS(임대자산!$I:$I,가맹점정보!F1210,임대자산!$N:$N,가맹점정보!P$4)</f>
        <v>0</v>
      </c>
      <c r="Q1210" s="80" t="n">
        <f aca="false">COUNTIFS(임대자산!$I:$I,가맹점정보!F1210,임대자산!$N:$N,가맹점정보!Q$4)</f>
        <v>0</v>
      </c>
      <c r="R1210" s="81" t="n">
        <f aca="false">COUNTIFS(임대자산!$I:$I,가맹점정보!F1210,임대자산!$N:$N,가맹점정보!R$4)</f>
        <v>1</v>
      </c>
      <c r="S1210" s="82" t="n">
        <v>88000</v>
      </c>
      <c r="T1210" s="83" t="n">
        <v>0</v>
      </c>
      <c r="U1210" s="80" t="n">
        <f aca="false">SUM(S1210:T1210)</f>
        <v>88000</v>
      </c>
      <c r="V1210" s="84" t="s">
        <v>12</v>
      </c>
      <c r="W1210" s="80" t="e">
        <f aca="true">
IF(D1210="폐업","폐업",
IF(V1210="면제","면제",
IF(AND(V1210="정상",COUNTIFS(OFFSET(Y1210,0,COUNTA(Y1210:AV1210)-1,1,-4),"미납")&gt;=3),"장기미납",
IF(AND(V1210="정상",OFFSET(Y1210,0,COUNTA(Y1210:AV1210)-1)&gt;=U1210),"정상",
IF(AND(V1210="정상",OFFSET(Y1210,0,COUNTA(Y1210:AV1210)-1)=0),"정상",
"계약서 미작성")))))</f>
        <v>#VALUE!</v>
      </c>
      <c r="X1210" s="81" t="str">
        <f aca="true">
IF(D1210="폐업","폐업",
IF(AND(V1210="정상",OFFSET(Y1210,0,COUNTA(Y1210:AV1210)-1)="미납"),"미납",
IF(AND(V1210="정상",OFFSET(Y1210,0,COUNTA(Y1210:AV1210)-1)=0),"납부 시작 전",
IF(AND(V1210="정상",OFFSET(Y1210,0,COUNTA(Y1210:AV1210)-1)&gt;=U1210),"정상",
IF(AND(V1210="면제",OFFSET(Y1210,0,COUNTA(Y1210:AV1210)-1)="면제"),"면제",
IF(AND(V1210="면제",OFFSET(Y1210,0,COUNTA(Y1210:AV1210)-1)=0),"면제",
"확인요청"))))))</f>
        <v>정상</v>
      </c>
      <c r="Y1210" s="93" t="n">
        <v>88000</v>
      </c>
      <c r="Z1210" s="90" t="n">
        <v>88000</v>
      </c>
      <c r="AA1210" s="90" t="n">
        <v>88000</v>
      </c>
      <c r="AB1210" s="90" t="n">
        <v>88000</v>
      </c>
      <c r="AC1210" s="90" t="n">
        <v>88000</v>
      </c>
      <c r="AD1210" s="90" t="n">
        <v>88000</v>
      </c>
      <c r="AE1210" s="90" t="n">
        <v>88000</v>
      </c>
      <c r="AF1210" s="95" t="s">
        <v>62</v>
      </c>
      <c r="AG1210" s="90" t="n">
        <v>88000</v>
      </c>
      <c r="AH1210" s="95" t="s">
        <v>62</v>
      </c>
      <c r="AI1210" s="90" t="n">
        <v>88000</v>
      </c>
      <c r="AJ1210" s="96" t="s">
        <v>62</v>
      </c>
      <c r="AK1210" s="97" t="s">
        <v>62</v>
      </c>
      <c r="AL1210" s="90" t="n">
        <v>88000</v>
      </c>
      <c r="AM1210" s="90"/>
      <c r="AN1210" s="90"/>
      <c r="AO1210" s="90"/>
      <c r="AP1210" s="90"/>
      <c r="AQ1210" s="90"/>
      <c r="AR1210" s="90"/>
      <c r="AS1210" s="90"/>
      <c r="AT1210" s="90"/>
      <c r="AU1210" s="90"/>
      <c r="AV1210" s="91"/>
      <c r="AX1210" s="92"/>
    </row>
    <row r="1211" customFormat="false" ht="15.65" hidden="false" customHeight="false" outlineLevel="0" collapsed="false">
      <c r="C1211" s="72" t="n">
        <f aca="false">COUNTIFS($D$6:D1211,"&lt;&gt;"&amp;"")</f>
        <v>1206</v>
      </c>
      <c r="D1211" s="73" t="s">
        <v>12</v>
      </c>
      <c r="E1211" s="76" t="str">
        <f aca="false">
IF($D1211="정상",INDEX(임대자산!$D$3:$R$3000,MATCH($F1211,임대자산!$I$3:$I$3000,0),MATCH(E$3,임대자산!$D$3:$R$3,0)),
IF($D1211="폐업",INDEX(폐업정보!$D$3:$R$3000,MATCH($F1211,폐업정보!$I$3:$I$3000,0),MATCH(E$3,폐업정보!$D$3:$R$3,0)),
"Error"))</f>
        <v>서울</v>
      </c>
      <c r="F121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B1206</v>
      </c>
      <c r="G1211" s="76" t="str">
        <f aca="false">F1211&amp;RANDBETWEEN(0,10)</f>
        <v>B120610</v>
      </c>
      <c r="H1211" s="75" t="n">
        <f aca="false">
IF($D1211="정상",INDEX(임대자산!$D$3:$R$3000,MATCH($F1211,임대자산!$I$3:$I$3000,0),MATCH(H$4,임대자산!$D$3:$R$3,0)),
IF($D1211="폐업",INDEX(폐업정보!$D$3:$R$3000,MATCH($F1211,폐업정보!$I$3:$I$3000,0),MATCH(H$4,폐업정보!$D$3:$R$3,0)),
"Error"))</f>
        <v>45026</v>
      </c>
      <c r="I1211" s="75" t="str">
        <f aca="false">
IF($D1211="정상",INDEX(임대자산!$D$3:$R$3000,MATCH($F1211,임대자산!$I$3:$I$3000,0),MATCH(I$4,임대자산!$D$3:$R$3,0)),
IF($D1211="폐업",INDEX(폐업정보!$D$3:$R$3000,MATCH($F1211,폐업정보!$I$3:$I$3000,0),MATCH(I$4,폐업정보!$D$3:$R$3,0)),
"Error"))</f>
        <v>A1206</v>
      </c>
      <c r="J1211" s="75" t="str">
        <f aca="false">
IF($D1211="정상",INDEX(임대자산!$D$3:$R$3000,MATCH($F1211,임대자산!$I$3:$I$3000,0),MATCH(J$4,임대자산!$D$3:$R$3,0)),
IF($D1211="폐업",INDEX(폐업정보!$D$3:$R$3000,MATCH($F1211,폐업정보!$I$3:$I$3000,0),MATCH(J$4,폐업정보!$D$3:$R$3,0)),
"Error"))</f>
        <v>4848500000</v>
      </c>
      <c r="K1211" s="75" t="str">
        <f aca="false">
IF($D1211="정상",INDEX(임대자산!$D$3:$R$3000,MATCH($F1211,임대자산!$I$3:$I$3000,0),MATCH(K$4,임대자산!$D$3:$R$3,0)),
IF($D1211="폐업",INDEX(폐업정보!$D$3:$R$3000,MATCH($F1211,폐업정보!$I$3:$I$3000,0),MATCH(K$4,폐업정보!$D$3:$R$3,0)),
"Error"))</f>
        <v>C1206</v>
      </c>
      <c r="L1211" s="75" t="str">
        <f aca="false">
IF($D1211="정상",INDEX(임대자산!$D$3:$R$3000,MATCH($F1211,임대자산!$I$3:$I$3000,0),MATCH(L$4,임대자산!$D$3:$R$3,0)),
IF($D1211="폐업",INDEX(폐업정보!$D$3:$R$3000,MATCH($F1211,폐업정보!$I$3:$I$3000,0),MATCH(L$4,폐업정보!$D$3:$R$3,0)),
"Error"))</f>
        <v>D1206</v>
      </c>
      <c r="M1211" s="76" t="s">
        <v>96</v>
      </c>
      <c r="N1211" s="77"/>
      <c r="O1211" s="78" t="s">
        <v>97</v>
      </c>
      <c r="P1211" s="79" t="n">
        <f aca="false">COUNTIFS(임대자산!$I:$I,가맹점정보!F1211,임대자산!$N:$N,가맹점정보!P$4)</f>
        <v>0</v>
      </c>
      <c r="Q1211" s="80" t="n">
        <f aca="false">COUNTIFS(임대자산!$I:$I,가맹점정보!F1211,임대자산!$N:$N,가맹점정보!Q$4)</f>
        <v>0</v>
      </c>
      <c r="R1211" s="81" t="n">
        <f aca="false">COUNTIFS(임대자산!$I:$I,가맹점정보!F1211,임대자산!$N:$N,가맹점정보!R$4)</f>
        <v>1</v>
      </c>
      <c r="S1211" s="82" t="n">
        <v>55000</v>
      </c>
      <c r="T1211" s="83" t="n">
        <v>0</v>
      </c>
      <c r="U1211" s="80" t="n">
        <f aca="false">SUM(S1211:T1211)</f>
        <v>55000</v>
      </c>
      <c r="V1211" s="84" t="s">
        <v>12</v>
      </c>
      <c r="W1211" s="80" t="e">
        <f aca="true">
IF(D1211="폐업","폐업",
IF(V1211="면제","면제",
IF(AND(V1211="정상",COUNTIFS(OFFSET(Y1211,0,COUNTA(Y1211:AV1211)-1,1,-4),"미납")&gt;=3),"장기미납",
IF(AND(V1211="정상",OFFSET(Y1211,0,COUNTA(Y1211:AV1211)-1)&gt;=U1211),"정상",
IF(AND(V1211="정상",OFFSET(Y1211,0,COUNTA(Y1211:AV1211)-1)=0),"정상",
"계약서 미작성")))))</f>
        <v>#VALUE!</v>
      </c>
      <c r="X1211" s="81" t="str">
        <f aca="true">
IF(D1211="폐업","폐업",
IF(AND(V1211="정상",OFFSET(Y1211,0,COUNTA(Y1211:AV1211)-1)="미납"),"미납",
IF(AND(V1211="정상",OFFSET(Y1211,0,COUNTA(Y1211:AV1211)-1)=0),"납부 시작 전",
IF(AND(V1211="정상",OFFSET(Y1211,0,COUNTA(Y1211:AV1211)-1)&gt;=U1211),"정상",
IF(AND(V1211="면제",OFFSET(Y1211,0,COUNTA(Y1211:AV1211)-1)="면제"),"면제",
IF(AND(V1211="면제",OFFSET(Y1211,0,COUNTA(Y1211:AV1211)-1)=0),"면제",
"확인요청"))))))</f>
        <v>정상</v>
      </c>
      <c r="Y1211" s="93" t="n">
        <v>55000</v>
      </c>
      <c r="Z1211" s="90" t="n">
        <v>55000</v>
      </c>
      <c r="AA1211" s="90" t="n">
        <v>55000</v>
      </c>
      <c r="AB1211" s="90" t="n">
        <v>55000</v>
      </c>
      <c r="AC1211" s="90" t="n">
        <v>55000</v>
      </c>
      <c r="AD1211" s="90" t="n">
        <v>55000</v>
      </c>
      <c r="AE1211" s="90" t="n">
        <v>55000</v>
      </c>
      <c r="AF1211" s="90" t="n">
        <v>55000</v>
      </c>
      <c r="AG1211" s="90" t="n">
        <v>55000</v>
      </c>
      <c r="AH1211" s="95" t="s">
        <v>62</v>
      </c>
      <c r="AI1211" s="95" t="s">
        <v>62</v>
      </c>
      <c r="AJ1211" s="91" t="n">
        <v>55000</v>
      </c>
      <c r="AK1211" s="89" t="n">
        <v>55000</v>
      </c>
      <c r="AL1211" s="90" t="n">
        <v>55000</v>
      </c>
      <c r="AM1211" s="90"/>
      <c r="AN1211" s="90"/>
      <c r="AO1211" s="90"/>
      <c r="AP1211" s="90"/>
      <c r="AQ1211" s="90"/>
      <c r="AR1211" s="90"/>
      <c r="AS1211" s="90"/>
      <c r="AT1211" s="90"/>
      <c r="AU1211" s="90"/>
      <c r="AV1211" s="91"/>
      <c r="AX1211" s="92"/>
    </row>
    <row r="1212" customFormat="false" ht="15.65" hidden="false" customHeight="false" outlineLevel="0" collapsed="false">
      <c r="C1212" s="72" t="n">
        <f aca="false">COUNTIFS($D$6:D1212,"&lt;&gt;"&amp;"")</f>
        <v>1207</v>
      </c>
      <c r="D1212" s="73" t="s">
        <v>12</v>
      </c>
      <c r="E1212" s="76" t="str">
        <f aca="false">
IF($D1212="정상",INDEX(임대자산!$D$3:$R$3000,MATCH($F1212,임대자산!$I$3:$I$3000,0),MATCH(E$3,임대자산!$D$3:$R$3,0)),
IF($D1212="폐업",INDEX(폐업정보!$D$3:$R$3000,MATCH($F1212,폐업정보!$I$3:$I$3000,0),MATCH(E$3,폐업정보!$D$3:$R$3,0)),
"Error"))</f>
        <v>서울</v>
      </c>
      <c r="F121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B1207</v>
      </c>
      <c r="G1212" s="76" t="str">
        <f aca="false">F1212&amp;RANDBETWEEN(0,10)</f>
        <v>B12074</v>
      </c>
      <c r="H1212" s="75" t="n">
        <f aca="false">
IF($D1212="정상",INDEX(임대자산!$D$3:$R$3000,MATCH($F1212,임대자산!$I$3:$I$3000,0),MATCH(H$4,임대자산!$D$3:$R$3,0)),
IF($D1212="폐업",INDEX(폐업정보!$D$3:$R$3000,MATCH($F1212,폐업정보!$I$3:$I$3000,0),MATCH(H$4,폐업정보!$D$3:$R$3,0)),
"Error"))</f>
        <v>45014</v>
      </c>
      <c r="I1212" s="75" t="str">
        <f aca="false">
IF($D1212="정상",INDEX(임대자산!$D$3:$R$3000,MATCH($F1212,임대자산!$I$3:$I$3000,0),MATCH(I$4,임대자산!$D$3:$R$3,0)),
IF($D1212="폐업",INDEX(폐업정보!$D$3:$R$3000,MATCH($F1212,폐업정보!$I$3:$I$3000,0),MATCH(I$4,폐업정보!$D$3:$R$3,0)),
"Error"))</f>
        <v>A1207</v>
      </c>
      <c r="J1212" s="75" t="str">
        <f aca="false">
IF($D1212="정상",INDEX(임대자산!$D$3:$R$3000,MATCH($F1212,임대자산!$I$3:$I$3000,0),MATCH(J$4,임대자산!$D$3:$R$3,0)),
IF($D1212="폐업",INDEX(폐업정보!$D$3:$R$3000,MATCH($F1212,폐업정보!$I$3:$I$3000,0),MATCH(J$4,폐업정보!$D$3:$R$3,0)),
"Error"))</f>
        <v>3822700000</v>
      </c>
      <c r="K1212" s="75" t="str">
        <f aca="false">
IF($D1212="정상",INDEX(임대자산!$D$3:$R$3000,MATCH($F1212,임대자산!$I$3:$I$3000,0),MATCH(K$4,임대자산!$D$3:$R$3,0)),
IF($D1212="폐업",INDEX(폐업정보!$D$3:$R$3000,MATCH($F1212,폐업정보!$I$3:$I$3000,0),MATCH(K$4,폐업정보!$D$3:$R$3,0)),
"Error"))</f>
        <v>C1207</v>
      </c>
      <c r="L1212" s="75" t="str">
        <f aca="false">
IF($D1212="정상",INDEX(임대자산!$D$3:$R$3000,MATCH($F1212,임대자산!$I$3:$I$3000,0),MATCH(L$4,임대자산!$D$3:$R$3,0)),
IF($D1212="폐업",INDEX(폐업정보!$D$3:$R$3000,MATCH($F1212,폐업정보!$I$3:$I$3000,0),MATCH(L$4,폐업정보!$D$3:$R$3,0)),
"Error"))</f>
        <v>D1207</v>
      </c>
      <c r="M1212" s="76" t="s">
        <v>96</v>
      </c>
      <c r="N1212" s="77"/>
      <c r="O1212" s="78" t="s">
        <v>97</v>
      </c>
      <c r="P1212" s="79" t="n">
        <f aca="false">COUNTIFS(임대자산!$I:$I,가맹점정보!F1212,임대자산!$N:$N,가맹점정보!P$4)</f>
        <v>0</v>
      </c>
      <c r="Q1212" s="80" t="n">
        <f aca="false">COUNTIFS(임대자산!$I:$I,가맹점정보!F1212,임대자산!$N:$N,가맹점정보!Q$4)</f>
        <v>0</v>
      </c>
      <c r="R1212" s="81" t="n">
        <f aca="false">COUNTIFS(임대자산!$I:$I,가맹점정보!F1212,임대자산!$N:$N,가맹점정보!R$4)</f>
        <v>1</v>
      </c>
      <c r="S1212" s="82" t="n">
        <v>55000</v>
      </c>
      <c r="T1212" s="83" t="n">
        <v>0</v>
      </c>
      <c r="U1212" s="80" t="n">
        <f aca="false">SUM(S1212:T1212)</f>
        <v>55000</v>
      </c>
      <c r="V1212" s="84" t="s">
        <v>7</v>
      </c>
      <c r="W1212" s="80" t="str">
        <f aca="true">
IF(D1212="폐업","폐업",
IF(V1212="면제","면제",
IF(AND(V1212="정상",COUNTIFS(OFFSET(Y1212,0,COUNTA(Y1212:AV1212)-1,1,-4),"미납")&gt;=3),"장기미납",
IF(AND(V1212="정상",OFFSET(Y1212,0,COUNTA(Y1212:AV1212)-1)&gt;=U1212),"정상",
IF(AND(V1212="정상",OFFSET(Y1212,0,COUNTA(Y1212:AV1212)-1)=0),"정상",
"계약서 미작성")))))</f>
        <v>면제</v>
      </c>
      <c r="X1212" s="81" t="str">
        <f aca="true">
IF(D1212="폐업","폐업",
IF(AND(V1212="정상",OFFSET(Y1212,0,COUNTA(Y1212:AV1212)-1)="미납"),"미납",
IF(AND(V1212="정상",OFFSET(Y1212,0,COUNTA(Y1212:AV1212)-1)=0),"납부 시작 전",
IF(AND(V1212="정상",OFFSET(Y1212,0,COUNTA(Y1212:AV1212)-1)&gt;=U1212),"정상",
IF(AND(V1212="면제",OFFSET(Y1212,0,COUNTA(Y1212:AV1212)-1)="면제"),"면제",
IF(AND(V1212="면제",OFFSET(Y1212,0,COUNTA(Y1212:AV1212)-1)=0),"면제",
"확인요청"))))))</f>
        <v>면제</v>
      </c>
      <c r="Y1212" s="94" t="s">
        <v>7</v>
      </c>
      <c r="Z1212" s="95" t="s">
        <v>7</v>
      </c>
      <c r="AA1212" s="95" t="s">
        <v>7</v>
      </c>
      <c r="AB1212" s="95" t="s">
        <v>7</v>
      </c>
      <c r="AC1212" s="95" t="s">
        <v>7</v>
      </c>
      <c r="AD1212" s="95" t="s">
        <v>7</v>
      </c>
      <c r="AE1212" s="95" t="s">
        <v>7</v>
      </c>
      <c r="AF1212" s="95" t="s">
        <v>7</v>
      </c>
      <c r="AG1212" s="95" t="s">
        <v>7</v>
      </c>
      <c r="AH1212" s="95" t="s">
        <v>7</v>
      </c>
      <c r="AI1212" s="95" t="s">
        <v>7</v>
      </c>
      <c r="AJ1212" s="96" t="s">
        <v>7</v>
      </c>
      <c r="AK1212" s="97" t="s">
        <v>7</v>
      </c>
      <c r="AL1212" s="95" t="s">
        <v>7</v>
      </c>
      <c r="AM1212" s="90"/>
      <c r="AN1212" s="90"/>
      <c r="AO1212" s="90"/>
      <c r="AP1212" s="90"/>
      <c r="AQ1212" s="90"/>
      <c r="AR1212" s="90"/>
      <c r="AS1212" s="90"/>
      <c r="AT1212" s="90"/>
      <c r="AU1212" s="90"/>
      <c r="AV1212" s="91"/>
      <c r="AX1212" s="92"/>
    </row>
    <row r="1213" customFormat="false" ht="15.65" hidden="false" customHeight="false" outlineLevel="0" collapsed="false">
      <c r="C1213" s="72" t="n">
        <f aca="false">COUNTIFS($D$6:D1213,"&lt;&gt;"&amp;"")</f>
        <v>1208</v>
      </c>
      <c r="D1213" s="73" t="s">
        <v>12</v>
      </c>
      <c r="E1213" s="76" t="str">
        <f aca="false">
IF($D1213="정상",INDEX(임대자산!$D$3:$R$3000,MATCH($F1213,임대자산!$I$3:$I$3000,0),MATCH(E$3,임대자산!$D$3:$R$3,0)),
IF($D1213="폐업",INDEX(폐업정보!$D$3:$R$3000,MATCH($F1213,폐업정보!$I$3:$I$3000,0),MATCH(E$3,폐업정보!$D$3:$R$3,0)),
"Error"))</f>
        <v>서울</v>
      </c>
      <c r="F121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B1208</v>
      </c>
      <c r="G1213" s="76" t="str">
        <f aca="false">F1213&amp;RANDBETWEEN(0,10)</f>
        <v>B12082</v>
      </c>
      <c r="H1213" s="75" t="n">
        <f aca="false">
IF($D1213="정상",INDEX(임대자산!$D$3:$R$3000,MATCH($F1213,임대자산!$I$3:$I$3000,0),MATCH(H$4,임대자산!$D$3:$R$3,0)),
IF($D1213="폐업",INDEX(폐업정보!$D$3:$R$3000,MATCH($F1213,폐업정보!$I$3:$I$3000,0),MATCH(H$4,폐업정보!$D$3:$R$3,0)),
"Error"))</f>
        <v>45015</v>
      </c>
      <c r="I1213" s="75" t="str">
        <f aca="false">
IF($D1213="정상",INDEX(임대자산!$D$3:$R$3000,MATCH($F1213,임대자산!$I$3:$I$3000,0),MATCH(I$4,임대자산!$D$3:$R$3,0)),
IF($D1213="폐업",INDEX(폐업정보!$D$3:$R$3000,MATCH($F1213,폐업정보!$I$3:$I$3000,0),MATCH(I$4,폐업정보!$D$3:$R$3,0)),
"Error"))</f>
        <v>A1208</v>
      </c>
      <c r="J1213" s="75" t="str">
        <f aca="false">
IF($D1213="정상",INDEX(임대자산!$D$3:$R$3000,MATCH($F1213,임대자산!$I$3:$I$3000,0),MATCH(J$4,임대자산!$D$3:$R$3,0)),
IF($D1213="폐업",INDEX(폐업정보!$D$3:$R$3000,MATCH($F1213,폐업정보!$I$3:$I$3000,0),MATCH(J$4,폐업정보!$D$3:$R$3,0)),
"Error"))</f>
        <v>9213700000</v>
      </c>
      <c r="K1213" s="75" t="str">
        <f aca="false">
IF($D1213="정상",INDEX(임대자산!$D$3:$R$3000,MATCH($F1213,임대자산!$I$3:$I$3000,0),MATCH(K$4,임대자산!$D$3:$R$3,0)),
IF($D1213="폐업",INDEX(폐업정보!$D$3:$R$3000,MATCH($F1213,폐업정보!$I$3:$I$3000,0),MATCH(K$4,폐업정보!$D$3:$R$3,0)),
"Error"))</f>
        <v>C1208</v>
      </c>
      <c r="L1213" s="75" t="str">
        <f aca="false">
IF($D1213="정상",INDEX(임대자산!$D$3:$R$3000,MATCH($F1213,임대자산!$I$3:$I$3000,0),MATCH(L$4,임대자산!$D$3:$R$3,0)),
IF($D1213="폐업",INDEX(폐업정보!$D$3:$R$3000,MATCH($F1213,폐업정보!$I$3:$I$3000,0),MATCH(L$4,폐업정보!$D$3:$R$3,0)),
"Error"))</f>
        <v>D1208</v>
      </c>
      <c r="M1213" s="76" t="s">
        <v>96</v>
      </c>
      <c r="N1213" s="77"/>
      <c r="O1213" s="78" t="s">
        <v>97</v>
      </c>
      <c r="P1213" s="79" t="n">
        <f aca="false">COUNTIFS(임대자산!$I:$I,가맹점정보!F1213,임대자산!$N:$N,가맹점정보!P$4)</f>
        <v>0</v>
      </c>
      <c r="Q1213" s="80" t="n">
        <f aca="false">COUNTIFS(임대자산!$I:$I,가맹점정보!F1213,임대자산!$N:$N,가맹점정보!Q$4)</f>
        <v>0</v>
      </c>
      <c r="R1213" s="81" t="n">
        <f aca="false">COUNTIFS(임대자산!$I:$I,가맹점정보!F1213,임대자산!$N:$N,가맹점정보!R$4)</f>
        <v>1</v>
      </c>
      <c r="S1213" s="82" t="n">
        <v>55000</v>
      </c>
      <c r="T1213" s="83" t="n">
        <v>0</v>
      </c>
      <c r="U1213" s="80" t="n">
        <f aca="false">SUM(S1213:T1213)</f>
        <v>55000</v>
      </c>
      <c r="V1213" s="84" t="s">
        <v>12</v>
      </c>
      <c r="W1213" s="80" t="e">
        <f aca="true">
IF(D1213="폐업","폐업",
IF(V1213="면제","면제",
IF(AND(V1213="정상",COUNTIFS(OFFSET(Y1213,0,COUNTA(Y1213:AV1213)-1,1,-4),"미납")&gt;=3),"장기미납",
IF(AND(V1213="정상",OFFSET(Y1213,0,COUNTA(Y1213:AV1213)-1)&gt;=U1213),"정상",
IF(AND(V1213="정상",OFFSET(Y1213,0,COUNTA(Y1213:AV1213)-1)=0),"정상",
"계약서 미작성")))))</f>
        <v>#VALUE!</v>
      </c>
      <c r="X1213" s="81" t="str">
        <f aca="true">
IF(D1213="폐업","폐업",
IF(AND(V1213="정상",OFFSET(Y1213,0,COUNTA(Y1213:AV1213)-1)="미납"),"미납",
IF(AND(V1213="정상",OFFSET(Y1213,0,COUNTA(Y1213:AV1213)-1)=0),"납부 시작 전",
IF(AND(V1213="정상",OFFSET(Y1213,0,COUNTA(Y1213:AV1213)-1)&gt;=U1213),"정상",
IF(AND(V1213="면제",OFFSET(Y1213,0,COUNTA(Y1213:AV1213)-1)="면제"),"면제",
IF(AND(V1213="면제",OFFSET(Y1213,0,COUNTA(Y1213:AV1213)-1)=0),"면제",
"확인요청"))))))</f>
        <v>정상</v>
      </c>
      <c r="Y1213" s="93" t="n">
        <v>55000</v>
      </c>
      <c r="Z1213" s="90" t="n">
        <v>55000</v>
      </c>
      <c r="AA1213" s="90" t="n">
        <v>55000</v>
      </c>
      <c r="AB1213" s="90" t="n">
        <v>55000</v>
      </c>
      <c r="AC1213" s="90" t="n">
        <v>55000</v>
      </c>
      <c r="AD1213" s="90" t="n">
        <v>55000</v>
      </c>
      <c r="AE1213" s="90" t="n">
        <v>55000</v>
      </c>
      <c r="AF1213" s="90" t="n">
        <v>55000</v>
      </c>
      <c r="AG1213" s="90" t="n">
        <v>55000</v>
      </c>
      <c r="AH1213" s="90" t="n">
        <v>55000</v>
      </c>
      <c r="AI1213" s="90" t="n">
        <v>55000</v>
      </c>
      <c r="AJ1213" s="91" t="n">
        <v>55000</v>
      </c>
      <c r="AK1213" s="89" t="n">
        <v>55000</v>
      </c>
      <c r="AL1213" s="90" t="n">
        <v>55000</v>
      </c>
      <c r="AM1213" s="90"/>
      <c r="AN1213" s="90"/>
      <c r="AO1213" s="90"/>
      <c r="AP1213" s="90"/>
      <c r="AQ1213" s="90"/>
      <c r="AR1213" s="90"/>
      <c r="AS1213" s="90"/>
      <c r="AT1213" s="90"/>
      <c r="AU1213" s="90"/>
      <c r="AV1213" s="91"/>
      <c r="AX1213" s="92"/>
    </row>
    <row r="1214" customFormat="false" ht="15.65" hidden="false" customHeight="false" outlineLevel="0" collapsed="false">
      <c r="C1214" s="72" t="n">
        <f aca="false">COUNTIFS($D$6:D1214,"&lt;&gt;"&amp;"")</f>
        <v>1209</v>
      </c>
      <c r="D1214" s="73" t="s">
        <v>12</v>
      </c>
      <c r="E1214" s="76" t="str">
        <f aca="false">
IF($D1214="정상",INDEX(임대자산!$D$3:$R$3000,MATCH($F1214,임대자산!$I$3:$I$3000,0),MATCH(E$3,임대자산!$D$3:$R$3,0)),
IF($D1214="폐업",INDEX(폐업정보!$D$3:$R$3000,MATCH($F1214,폐업정보!$I$3:$I$3000,0),MATCH(E$3,폐업정보!$D$3:$R$3,0)),
"Error"))</f>
        <v>서울</v>
      </c>
      <c r="F121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B1209</v>
      </c>
      <c r="G1214" s="76" t="str">
        <f aca="false">F1214&amp;RANDBETWEEN(0,10)</f>
        <v>B12090</v>
      </c>
      <c r="H1214" s="75" t="n">
        <f aca="false">
IF($D1214="정상",INDEX(임대자산!$D$3:$R$3000,MATCH($F1214,임대자산!$I$3:$I$3000,0),MATCH(H$4,임대자산!$D$3:$R$3,0)),
IF($D1214="폐업",INDEX(폐업정보!$D$3:$R$3000,MATCH($F1214,폐업정보!$I$3:$I$3000,0),MATCH(H$4,폐업정보!$D$3:$R$3,0)),
"Error"))</f>
        <v>45015</v>
      </c>
      <c r="I1214" s="75" t="str">
        <f aca="false">
IF($D1214="정상",INDEX(임대자산!$D$3:$R$3000,MATCH($F1214,임대자산!$I$3:$I$3000,0),MATCH(I$4,임대자산!$D$3:$R$3,0)),
IF($D1214="폐업",INDEX(폐업정보!$D$3:$R$3000,MATCH($F1214,폐업정보!$I$3:$I$3000,0),MATCH(I$4,폐업정보!$D$3:$R$3,0)),
"Error"))</f>
        <v>A1209</v>
      </c>
      <c r="J1214" s="75" t="str">
        <f aca="false">
IF($D1214="정상",INDEX(임대자산!$D$3:$R$3000,MATCH($F1214,임대자산!$I$3:$I$3000,0),MATCH(J$4,임대자산!$D$3:$R$3,0)),
IF($D1214="폐업",INDEX(폐업정보!$D$3:$R$3000,MATCH($F1214,폐업정보!$I$3:$I$3000,0),MATCH(J$4,폐업정보!$D$3:$R$3,0)),
"Error"))</f>
        <v>3650700000</v>
      </c>
      <c r="K1214" s="75" t="str">
        <f aca="false">
IF($D1214="정상",INDEX(임대자산!$D$3:$R$3000,MATCH($F1214,임대자산!$I$3:$I$3000,0),MATCH(K$4,임대자산!$D$3:$R$3,0)),
IF($D1214="폐업",INDEX(폐업정보!$D$3:$R$3000,MATCH($F1214,폐업정보!$I$3:$I$3000,0),MATCH(K$4,폐업정보!$D$3:$R$3,0)),
"Error"))</f>
        <v>C1209</v>
      </c>
      <c r="L1214" s="75" t="str">
        <f aca="false">
IF($D1214="정상",INDEX(임대자산!$D$3:$R$3000,MATCH($F1214,임대자산!$I$3:$I$3000,0),MATCH(L$4,임대자산!$D$3:$R$3,0)),
IF($D1214="폐업",INDEX(폐업정보!$D$3:$R$3000,MATCH($F1214,폐업정보!$I$3:$I$3000,0),MATCH(L$4,폐업정보!$D$3:$R$3,0)),
"Error"))</f>
        <v>D1209</v>
      </c>
      <c r="M1214" s="76" t="s">
        <v>96</v>
      </c>
      <c r="N1214" s="77"/>
      <c r="O1214" s="78" t="s">
        <v>97</v>
      </c>
      <c r="P1214" s="79" t="n">
        <f aca="false">COUNTIFS(임대자산!$I:$I,가맹점정보!F1214,임대자산!$N:$N,가맹점정보!P$4)</f>
        <v>0</v>
      </c>
      <c r="Q1214" s="80" t="n">
        <f aca="false">COUNTIFS(임대자산!$I:$I,가맹점정보!F1214,임대자산!$N:$N,가맹점정보!Q$4)</f>
        <v>0</v>
      </c>
      <c r="R1214" s="81" t="n">
        <f aca="false">COUNTIFS(임대자산!$I:$I,가맹점정보!F1214,임대자산!$N:$N,가맹점정보!R$4)</f>
        <v>1</v>
      </c>
      <c r="S1214" s="82" t="n">
        <v>55000</v>
      </c>
      <c r="T1214" s="83" t="n">
        <v>0</v>
      </c>
      <c r="U1214" s="80" t="n">
        <f aca="false">SUM(S1214:T1214)</f>
        <v>55000</v>
      </c>
      <c r="V1214" s="84" t="s">
        <v>12</v>
      </c>
      <c r="W1214" s="80" t="e">
        <f aca="true">
IF(D1214="폐업","폐업",
IF(V1214="면제","면제",
IF(AND(V1214="정상",COUNTIFS(OFFSET(Y1214,0,COUNTA(Y1214:AV1214)-1,1,-4),"미납")&gt;=3),"장기미납",
IF(AND(V1214="정상",OFFSET(Y1214,0,COUNTA(Y1214:AV1214)-1)&gt;=U1214),"정상",
IF(AND(V1214="정상",OFFSET(Y1214,0,COUNTA(Y1214:AV1214)-1)=0),"정상",
"계약서 미작성")))))</f>
        <v>#VALUE!</v>
      </c>
      <c r="X1214" s="81" t="str">
        <f aca="true">
IF(D1214="폐업","폐업",
IF(AND(V1214="정상",OFFSET(Y1214,0,COUNTA(Y1214:AV1214)-1)="미납"),"미납",
IF(AND(V1214="정상",OFFSET(Y1214,0,COUNTA(Y1214:AV1214)-1)=0),"납부 시작 전",
IF(AND(V1214="정상",OFFSET(Y1214,0,COUNTA(Y1214:AV1214)-1)&gt;=U1214),"정상",
IF(AND(V1214="면제",OFFSET(Y1214,0,COUNTA(Y1214:AV1214)-1)="면제"),"면제",
IF(AND(V1214="면제",OFFSET(Y1214,0,COUNTA(Y1214:AV1214)-1)=0),"면제",
"확인요청"))))))</f>
        <v>정상</v>
      </c>
      <c r="Y1214" s="93" t="n">
        <v>55000</v>
      </c>
      <c r="Z1214" s="90" t="n">
        <v>55000</v>
      </c>
      <c r="AA1214" s="90" t="n">
        <v>55000</v>
      </c>
      <c r="AB1214" s="90" t="n">
        <v>55000</v>
      </c>
      <c r="AC1214" s="90" t="n">
        <v>55000</v>
      </c>
      <c r="AD1214" s="90" t="n">
        <v>55000</v>
      </c>
      <c r="AE1214" s="90" t="n">
        <v>55000</v>
      </c>
      <c r="AF1214" s="90" t="n">
        <v>55000</v>
      </c>
      <c r="AG1214" s="90" t="n">
        <v>55000</v>
      </c>
      <c r="AH1214" s="90" t="n">
        <v>55000</v>
      </c>
      <c r="AI1214" s="90" t="n">
        <v>55000</v>
      </c>
      <c r="AJ1214" s="91" t="n">
        <v>55000</v>
      </c>
      <c r="AK1214" s="89" t="n">
        <v>55000</v>
      </c>
      <c r="AL1214" s="90" t="n">
        <v>55000</v>
      </c>
      <c r="AM1214" s="90"/>
      <c r="AN1214" s="90"/>
      <c r="AO1214" s="90"/>
      <c r="AP1214" s="90"/>
      <c r="AQ1214" s="90"/>
      <c r="AR1214" s="90"/>
      <c r="AS1214" s="90"/>
      <c r="AT1214" s="90"/>
      <c r="AU1214" s="90"/>
      <c r="AV1214" s="91"/>
      <c r="AX1214" s="92"/>
    </row>
    <row r="1215" customFormat="false" ht="15.65" hidden="false" customHeight="false" outlineLevel="0" collapsed="false">
      <c r="C1215" s="72" t="n">
        <f aca="false">COUNTIFS($D$6:D1215,"&lt;&gt;"&amp;"")</f>
        <v>1210</v>
      </c>
      <c r="D1215" s="73" t="s">
        <v>12</v>
      </c>
      <c r="E1215" s="76" t="str">
        <f aca="false">
IF($D1215="정상",INDEX(임대자산!$D$3:$R$3000,MATCH($F1215,임대자산!$I$3:$I$3000,0),MATCH(E$3,임대자산!$D$3:$R$3,0)),
IF($D1215="폐업",INDEX(폐업정보!$D$3:$R$3000,MATCH($F1215,폐업정보!$I$3:$I$3000,0),MATCH(E$3,폐업정보!$D$3:$R$3,0)),
"Error"))</f>
        <v>강원</v>
      </c>
      <c r="F121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B1210</v>
      </c>
      <c r="G1215" s="76" t="str">
        <f aca="false">F1215&amp;RANDBETWEEN(0,10)</f>
        <v>B12100</v>
      </c>
      <c r="H1215" s="75" t="n">
        <f aca="false">
IF($D1215="정상",INDEX(임대자산!$D$3:$R$3000,MATCH($F1215,임대자산!$I$3:$I$3000,0),MATCH(H$4,임대자산!$D$3:$R$3,0)),
IF($D1215="폐업",INDEX(폐업정보!$D$3:$R$3000,MATCH($F1215,폐업정보!$I$3:$I$3000,0),MATCH(H$4,폐업정보!$D$3:$R$3,0)),
"Error"))</f>
        <v>45058</v>
      </c>
      <c r="I1215" s="75" t="str">
        <f aca="false">
IF($D1215="정상",INDEX(임대자산!$D$3:$R$3000,MATCH($F1215,임대자산!$I$3:$I$3000,0),MATCH(I$4,임대자산!$D$3:$R$3,0)),
IF($D1215="폐업",INDEX(폐업정보!$D$3:$R$3000,MATCH($F1215,폐업정보!$I$3:$I$3000,0),MATCH(I$4,폐업정보!$D$3:$R$3,0)),
"Error"))</f>
        <v>A1210</v>
      </c>
      <c r="J1215" s="75" t="str">
        <f aca="false">
IF($D1215="정상",INDEX(임대자산!$D$3:$R$3000,MATCH($F1215,임대자산!$I$3:$I$3000,0),MATCH(J$4,임대자산!$D$3:$R$3,0)),
IF($D1215="폐업",INDEX(폐업정보!$D$3:$R$3000,MATCH($F1215,폐업정보!$I$3:$I$3000,0),MATCH(J$4,폐업정보!$D$3:$R$3,0)),
"Error"))</f>
        <v>5092200000</v>
      </c>
      <c r="K1215" s="75" t="str">
        <f aca="false">
IF($D1215="정상",INDEX(임대자산!$D$3:$R$3000,MATCH($F1215,임대자산!$I$3:$I$3000,0),MATCH(K$4,임대자산!$D$3:$R$3,0)),
IF($D1215="폐업",INDEX(폐업정보!$D$3:$R$3000,MATCH($F1215,폐업정보!$I$3:$I$3000,0),MATCH(K$4,폐업정보!$D$3:$R$3,0)),
"Error"))</f>
        <v>C1210</v>
      </c>
      <c r="L1215" s="75" t="str">
        <f aca="false">
IF($D1215="정상",INDEX(임대자산!$D$3:$R$3000,MATCH($F1215,임대자산!$I$3:$I$3000,0),MATCH(L$4,임대자산!$D$3:$R$3,0)),
IF($D1215="폐업",INDEX(폐업정보!$D$3:$R$3000,MATCH($F1215,폐업정보!$I$3:$I$3000,0),MATCH(L$4,폐업정보!$D$3:$R$3,0)),
"Error"))</f>
        <v>D1210</v>
      </c>
      <c r="M1215" s="76" t="s">
        <v>96</v>
      </c>
      <c r="N1215" s="77"/>
      <c r="O1215" s="78" t="s">
        <v>97</v>
      </c>
      <c r="P1215" s="79" t="n">
        <f aca="false">COUNTIFS(임대자산!$I:$I,가맹점정보!F1215,임대자산!$N:$N,가맹점정보!P$4)</f>
        <v>0</v>
      </c>
      <c r="Q1215" s="80" t="n">
        <f aca="false">COUNTIFS(임대자산!$I:$I,가맹점정보!F1215,임대자산!$N:$N,가맹점정보!Q$4)</f>
        <v>0</v>
      </c>
      <c r="R1215" s="81" t="n">
        <f aca="false">COUNTIFS(임대자산!$I:$I,가맹점정보!F1215,임대자산!$N:$N,가맹점정보!R$4)</f>
        <v>1</v>
      </c>
      <c r="S1215" s="82" t="n">
        <v>55000</v>
      </c>
      <c r="T1215" s="83" t="n">
        <v>0</v>
      </c>
      <c r="U1215" s="80" t="n">
        <f aca="false">SUM(S1215:T1215)</f>
        <v>55000</v>
      </c>
      <c r="V1215" s="84" t="s">
        <v>12</v>
      </c>
      <c r="W1215" s="80" t="e">
        <f aca="true">
IF(D1215="폐업","폐업",
IF(V1215="면제","면제",
IF(AND(V1215="정상",COUNTIFS(OFFSET(Y1215,0,COUNTA(Y1215:AV1215)-1,1,-4),"미납")&gt;=3),"장기미납",
IF(AND(V1215="정상",OFFSET(Y1215,0,COUNTA(Y1215:AV1215)-1)&gt;=U1215),"정상",
IF(AND(V1215="정상",OFFSET(Y1215,0,COUNTA(Y1215:AV1215)-1)=0),"정상",
"계약서 미작성")))))</f>
        <v>#VALUE!</v>
      </c>
      <c r="X1215" s="81" t="str">
        <f aca="true">
IF(D1215="폐업","폐업",
IF(AND(V1215="정상",OFFSET(Y1215,0,COUNTA(Y1215:AV1215)-1)="미납"),"미납",
IF(AND(V1215="정상",OFFSET(Y1215,0,COUNTA(Y1215:AV1215)-1)=0),"납부 시작 전",
IF(AND(V1215="정상",OFFSET(Y1215,0,COUNTA(Y1215:AV1215)-1)&gt;=U1215),"정상",
IF(AND(V1215="면제",OFFSET(Y1215,0,COUNTA(Y1215:AV1215)-1)="면제"),"면제",
IF(AND(V1215="면제",OFFSET(Y1215,0,COUNTA(Y1215:AV1215)-1)=0),"면제",
"확인요청"))))))</f>
        <v>정상</v>
      </c>
      <c r="Y1215" s="93" t="n">
        <v>55000</v>
      </c>
      <c r="Z1215" s="90" t="n">
        <v>55000</v>
      </c>
      <c r="AA1215" s="90" t="n">
        <v>55000</v>
      </c>
      <c r="AB1215" s="90" t="n">
        <v>55000</v>
      </c>
      <c r="AC1215" s="90" t="n">
        <v>55000</v>
      </c>
      <c r="AD1215" s="90" t="n">
        <v>55000</v>
      </c>
      <c r="AE1215" s="90" t="n">
        <v>55000</v>
      </c>
      <c r="AF1215" s="90" t="n">
        <v>55000</v>
      </c>
      <c r="AG1215" s="90" t="n">
        <v>55000</v>
      </c>
      <c r="AH1215" s="90" t="n">
        <v>55000</v>
      </c>
      <c r="AI1215" s="90" t="n">
        <v>55000</v>
      </c>
      <c r="AJ1215" s="91" t="n">
        <v>55000</v>
      </c>
      <c r="AK1215" s="89" t="n">
        <v>55000</v>
      </c>
      <c r="AL1215" s="90" t="n">
        <v>55000</v>
      </c>
      <c r="AM1215" s="90"/>
      <c r="AN1215" s="90"/>
      <c r="AO1215" s="90"/>
      <c r="AP1215" s="90"/>
      <c r="AQ1215" s="90"/>
      <c r="AR1215" s="90"/>
      <c r="AS1215" s="90"/>
      <c r="AT1215" s="90"/>
      <c r="AU1215" s="90"/>
      <c r="AV1215" s="91"/>
      <c r="AX1215" s="92"/>
    </row>
    <row r="1216" customFormat="false" ht="15.65" hidden="false" customHeight="false" outlineLevel="0" collapsed="false">
      <c r="C1216" s="72" t="n">
        <f aca="false">COUNTIFS($D$6:D1216,"&lt;&gt;"&amp;"")</f>
        <v>1211</v>
      </c>
      <c r="D1216" s="73" t="s">
        <v>12</v>
      </c>
      <c r="E1216" s="76" t="str">
        <f aca="false">
IF($D1216="정상",INDEX(임대자산!$D$3:$R$3000,MATCH($F1216,임대자산!$I$3:$I$3000,0),MATCH(E$3,임대자산!$D$3:$R$3,0)),
IF($D1216="폐업",INDEX(폐업정보!$D$3:$R$3000,MATCH($F1216,폐업정보!$I$3:$I$3000,0),MATCH(E$3,폐업정보!$D$3:$R$3,0)),
"Error"))</f>
        <v>경상</v>
      </c>
      <c r="F121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B1211</v>
      </c>
      <c r="G1216" s="76" t="str">
        <f aca="false">F1216&amp;RANDBETWEEN(0,10)</f>
        <v>B12113</v>
      </c>
      <c r="H1216" s="75" t="n">
        <f aca="false">
IF($D1216="정상",INDEX(임대자산!$D$3:$R$3000,MATCH($F1216,임대자산!$I$3:$I$3000,0),MATCH(H$4,임대자산!$D$3:$R$3,0)),
IF($D1216="폐업",INDEX(폐업정보!$D$3:$R$3000,MATCH($F1216,폐업정보!$I$3:$I$3000,0),MATCH(H$4,폐업정보!$D$3:$R$3,0)),
"Error"))</f>
        <v>44719</v>
      </c>
      <c r="I1216" s="75" t="str">
        <f aca="false">
IF($D1216="정상",INDEX(임대자산!$D$3:$R$3000,MATCH($F1216,임대자산!$I$3:$I$3000,0),MATCH(I$4,임대자산!$D$3:$R$3,0)),
IF($D1216="폐업",INDEX(폐업정보!$D$3:$R$3000,MATCH($F1216,폐업정보!$I$3:$I$3000,0),MATCH(I$4,폐업정보!$D$3:$R$3,0)),
"Error"))</f>
        <v>A1211</v>
      </c>
      <c r="J1216" s="75" t="str">
        <f aca="false">
IF($D1216="정상",INDEX(임대자산!$D$3:$R$3000,MATCH($F1216,임대자산!$I$3:$I$3000,0),MATCH(J$4,임대자산!$D$3:$R$3,0)),
IF($D1216="폐업",INDEX(폐업정보!$D$3:$R$3000,MATCH($F1216,폐업정보!$I$3:$I$3000,0),MATCH(J$4,폐업정보!$D$3:$R$3,0)),
"Error"))</f>
        <v>4559200000</v>
      </c>
      <c r="K1216" s="75" t="str">
        <f aca="false">
IF($D1216="정상",INDEX(임대자산!$D$3:$R$3000,MATCH($F1216,임대자산!$I$3:$I$3000,0),MATCH(K$4,임대자산!$D$3:$R$3,0)),
IF($D1216="폐업",INDEX(폐업정보!$D$3:$R$3000,MATCH($F1216,폐업정보!$I$3:$I$3000,0),MATCH(K$4,폐업정보!$D$3:$R$3,0)),
"Error"))</f>
        <v>C1211</v>
      </c>
      <c r="L1216" s="75" t="str">
        <f aca="false">
IF($D1216="정상",INDEX(임대자산!$D$3:$R$3000,MATCH($F1216,임대자산!$I$3:$I$3000,0),MATCH(L$4,임대자산!$D$3:$R$3,0)),
IF($D1216="폐업",INDEX(폐업정보!$D$3:$R$3000,MATCH($F1216,폐업정보!$I$3:$I$3000,0),MATCH(L$4,폐업정보!$D$3:$R$3,0)),
"Error"))</f>
        <v>D1211</v>
      </c>
      <c r="M1216" s="76" t="s">
        <v>96</v>
      </c>
      <c r="N1216" s="77"/>
      <c r="O1216" s="78" t="s">
        <v>97</v>
      </c>
      <c r="P1216" s="79" t="n">
        <f aca="false">COUNTIFS(임대자산!$I:$I,가맹점정보!F1216,임대자산!$N:$N,가맹점정보!P$4)</f>
        <v>0</v>
      </c>
      <c r="Q1216" s="80" t="n">
        <f aca="false">COUNTIFS(임대자산!$I:$I,가맹점정보!F1216,임대자산!$N:$N,가맹점정보!Q$4)</f>
        <v>0</v>
      </c>
      <c r="R1216" s="81" t="n">
        <f aca="false">COUNTIFS(임대자산!$I:$I,가맹점정보!F1216,임대자산!$N:$N,가맹점정보!R$4)</f>
        <v>1</v>
      </c>
      <c r="S1216" s="82" t="n">
        <v>55000</v>
      </c>
      <c r="T1216" s="83" t="n">
        <v>0</v>
      </c>
      <c r="U1216" s="80" t="n">
        <f aca="false">SUM(S1216:T1216)</f>
        <v>55000</v>
      </c>
      <c r="V1216" s="84" t="s">
        <v>12</v>
      </c>
      <c r="W1216" s="80" t="e">
        <f aca="true">
IF(D1216="폐업","폐업",
IF(V1216="면제","면제",
IF(AND(V1216="정상",COUNTIFS(OFFSET(Y1216,0,COUNTA(Y1216:AV1216)-1,1,-4),"미납")&gt;=3),"장기미납",
IF(AND(V1216="정상",OFFSET(Y1216,0,COUNTA(Y1216:AV1216)-1)&gt;=U1216),"정상",
IF(AND(V1216="정상",OFFSET(Y1216,0,COUNTA(Y1216:AV1216)-1)=0),"정상",
"계약서 미작성")))))</f>
        <v>#VALUE!</v>
      </c>
      <c r="X1216" s="81" t="str">
        <f aca="true">
IF(D1216="폐업","폐업",
IF(AND(V1216="정상",OFFSET(Y1216,0,COUNTA(Y1216:AV1216)-1)="미납"),"미납",
IF(AND(V1216="정상",OFFSET(Y1216,0,COUNTA(Y1216:AV1216)-1)=0),"납부 시작 전",
IF(AND(V1216="정상",OFFSET(Y1216,0,COUNTA(Y1216:AV1216)-1)&gt;=U1216),"정상",
IF(AND(V1216="면제",OFFSET(Y1216,0,COUNTA(Y1216:AV1216)-1)="면제"),"면제",
IF(AND(V1216="면제",OFFSET(Y1216,0,COUNTA(Y1216:AV1216)-1)=0),"면제",
"확인요청"))))))</f>
        <v>정상</v>
      </c>
      <c r="Y1216" s="93" t="n">
        <v>55000</v>
      </c>
      <c r="Z1216" s="90" t="n">
        <v>55000</v>
      </c>
      <c r="AA1216" s="90" t="n">
        <v>55000</v>
      </c>
      <c r="AB1216" s="90" t="n">
        <v>55000</v>
      </c>
      <c r="AC1216" s="90" t="n">
        <v>55000</v>
      </c>
      <c r="AD1216" s="90" t="n">
        <v>55000</v>
      </c>
      <c r="AE1216" s="90" t="n">
        <v>55000</v>
      </c>
      <c r="AF1216" s="90" t="n">
        <v>55000</v>
      </c>
      <c r="AG1216" s="90" t="n">
        <v>55000</v>
      </c>
      <c r="AH1216" s="90" t="n">
        <v>55000</v>
      </c>
      <c r="AI1216" s="90" t="n">
        <v>55000</v>
      </c>
      <c r="AJ1216" s="91" t="n">
        <v>55000</v>
      </c>
      <c r="AK1216" s="89" t="n">
        <v>55000</v>
      </c>
      <c r="AL1216" s="90" t="n">
        <v>55000</v>
      </c>
      <c r="AM1216" s="90"/>
      <c r="AN1216" s="90"/>
      <c r="AO1216" s="90"/>
      <c r="AP1216" s="90"/>
      <c r="AQ1216" s="90"/>
      <c r="AR1216" s="90"/>
      <c r="AS1216" s="90"/>
      <c r="AT1216" s="90"/>
      <c r="AU1216" s="90"/>
      <c r="AV1216" s="91"/>
      <c r="AX1216" s="92"/>
    </row>
    <row r="1217" customFormat="false" ht="15.65" hidden="false" customHeight="false" outlineLevel="0" collapsed="false">
      <c r="C1217" s="72" t="n">
        <f aca="false">COUNTIFS($D$6:D1217,"&lt;&gt;"&amp;"")</f>
        <v>1212</v>
      </c>
      <c r="D1217" s="73" t="s">
        <v>12</v>
      </c>
      <c r="E1217" s="76" t="str">
        <f aca="false">
IF($D1217="정상",INDEX(임대자산!$D$3:$R$3000,MATCH($F1217,임대자산!$I$3:$I$3000,0),MATCH(E$3,임대자산!$D$3:$R$3,0)),
IF($D1217="폐업",INDEX(폐업정보!$D$3:$R$3000,MATCH($F1217,폐업정보!$I$3:$I$3000,0),MATCH(E$3,폐업정보!$D$3:$R$3,0)),
"Error"))</f>
        <v>서울</v>
      </c>
      <c r="F121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B1212</v>
      </c>
      <c r="G1217" s="76" t="str">
        <f aca="false">F1217&amp;RANDBETWEEN(0,10)</f>
        <v>B12124</v>
      </c>
      <c r="H1217" s="75" t="n">
        <f aca="false">
IF($D1217="정상",INDEX(임대자산!$D$3:$R$3000,MATCH($F1217,임대자산!$I$3:$I$3000,0),MATCH(H$4,임대자산!$D$3:$R$3,0)),
IF($D1217="폐업",INDEX(폐업정보!$D$3:$R$3000,MATCH($F1217,폐업정보!$I$3:$I$3000,0),MATCH(H$4,폐업정보!$D$3:$R$3,0)),
"Error"))</f>
        <v>45803</v>
      </c>
      <c r="I1217" s="75" t="str">
        <f aca="false">
IF($D1217="정상",INDEX(임대자산!$D$3:$R$3000,MATCH($F1217,임대자산!$I$3:$I$3000,0),MATCH(I$4,임대자산!$D$3:$R$3,0)),
IF($D1217="폐업",INDEX(폐업정보!$D$3:$R$3000,MATCH($F1217,폐업정보!$I$3:$I$3000,0),MATCH(I$4,폐업정보!$D$3:$R$3,0)),
"Error"))</f>
        <v>A1212</v>
      </c>
      <c r="J1217" s="75" t="str">
        <f aca="false">
IF($D1217="정상",INDEX(임대자산!$D$3:$R$3000,MATCH($F1217,임대자산!$I$3:$I$3000,0),MATCH(J$4,임대자산!$D$3:$R$3,0)),
IF($D1217="폐업",INDEX(폐업정보!$D$3:$R$3000,MATCH($F1217,폐업정보!$I$3:$I$3000,0),MATCH(J$4,폐업정보!$D$3:$R$3,0)),
"Error"))</f>
        <v>7923900000</v>
      </c>
      <c r="K1217" s="75" t="str">
        <f aca="false">
IF($D1217="정상",INDEX(임대자산!$D$3:$R$3000,MATCH($F1217,임대자산!$I$3:$I$3000,0),MATCH(K$4,임대자산!$D$3:$R$3,0)),
IF($D1217="폐업",INDEX(폐업정보!$D$3:$R$3000,MATCH($F1217,폐업정보!$I$3:$I$3000,0),MATCH(K$4,폐업정보!$D$3:$R$3,0)),
"Error"))</f>
        <v>C1212</v>
      </c>
      <c r="L1217" s="75" t="str">
        <f aca="false">
IF($D1217="정상",INDEX(임대자산!$D$3:$R$3000,MATCH($F1217,임대자산!$I$3:$I$3000,0),MATCH(L$4,임대자산!$D$3:$R$3,0)),
IF($D1217="폐업",INDEX(폐업정보!$D$3:$R$3000,MATCH($F1217,폐업정보!$I$3:$I$3000,0),MATCH(L$4,폐업정보!$D$3:$R$3,0)),
"Error"))</f>
        <v>D1212</v>
      </c>
      <c r="M1217" s="76" t="s">
        <v>96</v>
      </c>
      <c r="N1217" s="77"/>
      <c r="O1217" s="78" t="s">
        <v>97</v>
      </c>
      <c r="P1217" s="79" t="n">
        <f aca="false">COUNTIFS(임대자산!$I:$I,가맹점정보!F1217,임대자산!$N:$N,가맹점정보!P$4)</f>
        <v>0</v>
      </c>
      <c r="Q1217" s="80" t="n">
        <f aca="false">COUNTIFS(임대자산!$I:$I,가맹점정보!F1217,임대자산!$N:$N,가맹점정보!Q$4)</f>
        <v>0</v>
      </c>
      <c r="R1217" s="81" t="n">
        <f aca="false">COUNTIFS(임대자산!$I:$I,가맹점정보!F1217,임대자산!$N:$N,가맹점정보!R$4)</f>
        <v>1</v>
      </c>
      <c r="S1217" s="82" t="n">
        <v>55000</v>
      </c>
      <c r="T1217" s="83" t="n">
        <v>0</v>
      </c>
      <c r="U1217" s="80" t="n">
        <f aca="false">SUM(S1217:T1217)</f>
        <v>55000</v>
      </c>
      <c r="V1217" s="84" t="s">
        <v>12</v>
      </c>
      <c r="W1217" s="80" t="e">
        <f aca="true">
IF(D1217="폐업","폐업",
IF(V1217="면제","면제",
IF(AND(V1217="정상",COUNTIFS(OFFSET(Y1217,0,COUNTA(Y1217:AV1217)-1,1,-4),"미납")&gt;=3),"장기미납",
IF(AND(V1217="정상",OFFSET(Y1217,0,COUNTA(Y1217:AV1217)-1)&gt;=U1217),"정상",
IF(AND(V1217="정상",OFFSET(Y1217,0,COUNTA(Y1217:AV1217)-1)=0),"정상",
"계약서 미작성")))))</f>
        <v>#VALUE!</v>
      </c>
      <c r="X1217" s="81" t="str">
        <f aca="true">
IF(D1217="폐업","폐업",
IF(AND(V1217="정상",OFFSET(Y1217,0,COUNTA(Y1217:AV1217)-1)="미납"),"미납",
IF(AND(V1217="정상",OFFSET(Y1217,0,COUNTA(Y1217:AV1217)-1)=0),"납부 시작 전",
IF(AND(V1217="정상",OFFSET(Y1217,0,COUNTA(Y1217:AV1217)-1)&gt;=U1217),"정상",
IF(AND(V1217="면제",OFFSET(Y1217,0,COUNTA(Y1217:AV1217)-1)="면제"),"면제",
IF(AND(V1217="면제",OFFSET(Y1217,0,COUNTA(Y1217:AV1217)-1)=0),"면제",
"확인요청"))))))</f>
        <v>정상</v>
      </c>
      <c r="Y1217" s="93" t="n">
        <v>55000</v>
      </c>
      <c r="Z1217" s="90" t="n">
        <v>55000</v>
      </c>
      <c r="AA1217" s="90" t="n">
        <v>55000</v>
      </c>
      <c r="AB1217" s="90" t="n">
        <v>55000</v>
      </c>
      <c r="AC1217" s="90" t="n">
        <v>55000</v>
      </c>
      <c r="AD1217" s="90" t="n">
        <v>55000</v>
      </c>
      <c r="AE1217" s="90" t="n">
        <v>55000</v>
      </c>
      <c r="AF1217" s="90" t="n">
        <v>55000</v>
      </c>
      <c r="AG1217" s="90" t="n">
        <v>55000</v>
      </c>
      <c r="AH1217" s="90" t="n">
        <v>55000</v>
      </c>
      <c r="AI1217" s="90" t="n">
        <v>55000</v>
      </c>
      <c r="AJ1217" s="91" t="n">
        <v>55000</v>
      </c>
      <c r="AK1217" s="89" t="n">
        <v>55000</v>
      </c>
      <c r="AL1217" s="90" t="n">
        <v>55000</v>
      </c>
      <c r="AM1217" s="90"/>
      <c r="AN1217" s="90"/>
      <c r="AO1217" s="90"/>
      <c r="AP1217" s="90"/>
      <c r="AQ1217" s="90"/>
      <c r="AR1217" s="90"/>
      <c r="AS1217" s="90"/>
      <c r="AT1217" s="90"/>
      <c r="AU1217" s="90"/>
      <c r="AV1217" s="91"/>
      <c r="AX1217" s="92"/>
    </row>
    <row r="1218" customFormat="false" ht="15.65" hidden="false" customHeight="false" outlineLevel="0" collapsed="false">
      <c r="C1218" s="72" t="n">
        <f aca="false">COUNTIFS($D$6:D1218,"&lt;&gt;"&amp;"")</f>
        <v>1213</v>
      </c>
      <c r="D1218" s="73" t="s">
        <v>12</v>
      </c>
      <c r="E1218" s="76" t="str">
        <f aca="false">
IF($D1218="정상",INDEX(임대자산!$D$3:$R$3000,MATCH($F1218,임대자산!$I$3:$I$3000,0),MATCH(E$3,임대자산!$D$3:$R$3,0)),
IF($D1218="폐업",INDEX(폐업정보!$D$3:$R$3000,MATCH($F1218,폐업정보!$I$3:$I$3000,0),MATCH(E$3,폐업정보!$D$3:$R$3,0)),
"Error"))</f>
        <v>서울</v>
      </c>
      <c r="F121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B1213</v>
      </c>
      <c r="G1218" s="76" t="str">
        <f aca="false">F1218&amp;RANDBETWEEN(0,10)</f>
        <v>B121310</v>
      </c>
      <c r="H1218" s="75" t="n">
        <f aca="false">
IF($D1218="정상",INDEX(임대자산!$D$3:$R$3000,MATCH($F1218,임대자산!$I$3:$I$3000,0),MATCH(H$4,임대자산!$D$3:$R$3,0)),
IF($D1218="폐업",INDEX(폐업정보!$D$3:$R$3000,MATCH($F1218,폐업정보!$I$3:$I$3000,0),MATCH(H$4,폐업정보!$D$3:$R$3,0)),
"Error"))</f>
        <v>44817</v>
      </c>
      <c r="I1218" s="75" t="str">
        <f aca="false">
IF($D1218="정상",INDEX(임대자산!$D$3:$R$3000,MATCH($F1218,임대자산!$I$3:$I$3000,0),MATCH(I$4,임대자산!$D$3:$R$3,0)),
IF($D1218="폐업",INDEX(폐업정보!$D$3:$R$3000,MATCH($F1218,폐업정보!$I$3:$I$3000,0),MATCH(I$4,폐업정보!$D$3:$R$3,0)),
"Error"))</f>
        <v>A1213</v>
      </c>
      <c r="J1218" s="75" t="str">
        <f aca="false">
IF($D1218="정상",INDEX(임대자산!$D$3:$R$3000,MATCH($F1218,임대자산!$I$3:$I$3000,0),MATCH(J$4,임대자산!$D$3:$R$3,0)),
IF($D1218="폐업",INDEX(폐업정보!$D$3:$R$3000,MATCH($F1218,폐업정보!$I$3:$I$3000,0),MATCH(J$4,폐업정보!$D$3:$R$3,0)),
"Error"))</f>
        <v>8607700000</v>
      </c>
      <c r="K1218" s="75" t="str">
        <f aca="false">
IF($D1218="정상",INDEX(임대자산!$D$3:$R$3000,MATCH($F1218,임대자산!$I$3:$I$3000,0),MATCH(K$4,임대자산!$D$3:$R$3,0)),
IF($D1218="폐업",INDEX(폐업정보!$D$3:$R$3000,MATCH($F1218,폐업정보!$I$3:$I$3000,0),MATCH(K$4,폐업정보!$D$3:$R$3,0)),
"Error"))</f>
        <v>C1213</v>
      </c>
      <c r="L1218" s="75" t="str">
        <f aca="false">
IF($D1218="정상",INDEX(임대자산!$D$3:$R$3000,MATCH($F1218,임대자산!$I$3:$I$3000,0),MATCH(L$4,임대자산!$D$3:$R$3,0)),
IF($D1218="폐업",INDEX(폐업정보!$D$3:$R$3000,MATCH($F1218,폐업정보!$I$3:$I$3000,0),MATCH(L$4,폐업정보!$D$3:$R$3,0)),
"Error"))</f>
        <v>D1213</v>
      </c>
      <c r="M1218" s="76" t="s">
        <v>96</v>
      </c>
      <c r="N1218" s="77"/>
      <c r="O1218" s="78" t="s">
        <v>97</v>
      </c>
      <c r="P1218" s="79" t="n">
        <f aca="false">COUNTIFS(임대자산!$I:$I,가맹점정보!F1218,임대자산!$N:$N,가맹점정보!P$4)</f>
        <v>0</v>
      </c>
      <c r="Q1218" s="80" t="n">
        <f aca="false">COUNTIFS(임대자산!$I:$I,가맹점정보!F1218,임대자산!$N:$N,가맹점정보!Q$4)</f>
        <v>0</v>
      </c>
      <c r="R1218" s="81" t="n">
        <f aca="false">COUNTIFS(임대자산!$I:$I,가맹점정보!F1218,임대자산!$N:$N,가맹점정보!R$4)</f>
        <v>1</v>
      </c>
      <c r="S1218" s="82" t="n">
        <v>55000</v>
      </c>
      <c r="T1218" s="83" t="n">
        <v>0</v>
      </c>
      <c r="U1218" s="80" t="n">
        <f aca="false">SUM(S1218:T1218)</f>
        <v>55000</v>
      </c>
      <c r="V1218" s="84" t="s">
        <v>12</v>
      </c>
      <c r="W1218" s="80" t="e">
        <f aca="true">
IF(D1218="폐업","폐업",
IF(V1218="면제","면제",
IF(AND(V1218="정상",COUNTIFS(OFFSET(Y1218,0,COUNTA(Y1218:AV1218)-1,1,-4),"미납")&gt;=3),"장기미납",
IF(AND(V1218="정상",OFFSET(Y1218,0,COUNTA(Y1218:AV1218)-1)&gt;=U1218),"정상",
IF(AND(V1218="정상",OFFSET(Y1218,0,COUNTA(Y1218:AV1218)-1)=0),"정상",
"계약서 미작성")))))</f>
        <v>#VALUE!</v>
      </c>
      <c r="X1218" s="81" t="str">
        <f aca="true">
IF(D1218="폐업","폐업",
IF(AND(V1218="정상",OFFSET(Y1218,0,COUNTA(Y1218:AV1218)-1)="미납"),"미납",
IF(AND(V1218="정상",OFFSET(Y1218,0,COUNTA(Y1218:AV1218)-1)=0),"납부 시작 전",
IF(AND(V1218="정상",OFFSET(Y1218,0,COUNTA(Y1218:AV1218)-1)&gt;=U1218),"정상",
IF(AND(V1218="면제",OFFSET(Y1218,0,COUNTA(Y1218:AV1218)-1)="면제"),"면제",
IF(AND(V1218="면제",OFFSET(Y1218,0,COUNTA(Y1218:AV1218)-1)=0),"면제",
"확인요청"))))))</f>
        <v>정상</v>
      </c>
      <c r="Y1218" s="93" t="n">
        <v>55000</v>
      </c>
      <c r="Z1218" s="90" t="n">
        <v>55000</v>
      </c>
      <c r="AA1218" s="90" t="n">
        <v>55000</v>
      </c>
      <c r="AB1218" s="90" t="n">
        <v>55000</v>
      </c>
      <c r="AC1218" s="90" t="n">
        <v>55000</v>
      </c>
      <c r="AD1218" s="90" t="n">
        <v>55000</v>
      </c>
      <c r="AE1218" s="90" t="n">
        <v>55000</v>
      </c>
      <c r="AF1218" s="90" t="n">
        <v>55000</v>
      </c>
      <c r="AG1218" s="90" t="n">
        <v>55000</v>
      </c>
      <c r="AH1218" s="90" t="n">
        <v>55000</v>
      </c>
      <c r="AI1218" s="90" t="n">
        <v>55000</v>
      </c>
      <c r="AJ1218" s="91" t="n">
        <v>55000</v>
      </c>
      <c r="AK1218" s="89" t="n">
        <v>55000</v>
      </c>
      <c r="AL1218" s="90" t="n">
        <v>55000</v>
      </c>
      <c r="AM1218" s="90"/>
      <c r="AN1218" s="90"/>
      <c r="AO1218" s="90"/>
      <c r="AP1218" s="90"/>
      <c r="AQ1218" s="90"/>
      <c r="AR1218" s="90"/>
      <c r="AS1218" s="90"/>
      <c r="AT1218" s="90"/>
      <c r="AU1218" s="90"/>
      <c r="AV1218" s="91"/>
      <c r="AX1218" s="92"/>
    </row>
    <row r="1219" customFormat="false" ht="15.65" hidden="false" customHeight="false" outlineLevel="0" collapsed="false">
      <c r="C1219" s="72" t="n">
        <f aca="false">COUNTIFS($D$6:D1219,"&lt;&gt;"&amp;"")</f>
        <v>1214</v>
      </c>
      <c r="D1219" s="73" t="s">
        <v>12</v>
      </c>
      <c r="E1219" s="76" t="str">
        <f aca="false">
IF($D1219="정상",INDEX(임대자산!$D$3:$R$3000,MATCH($F1219,임대자산!$I$3:$I$3000,0),MATCH(E$3,임대자산!$D$3:$R$3,0)),
IF($D1219="폐업",INDEX(폐업정보!$D$3:$R$3000,MATCH($F1219,폐업정보!$I$3:$I$3000,0),MATCH(E$3,폐업정보!$D$3:$R$3,0)),
"Error"))</f>
        <v>서울</v>
      </c>
      <c r="F121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B1214</v>
      </c>
      <c r="G1219" s="76" t="str">
        <f aca="false">F1219&amp;RANDBETWEEN(0,10)</f>
        <v>B12142</v>
      </c>
      <c r="H1219" s="75" t="n">
        <f aca="false">
IF($D1219="정상",INDEX(임대자산!$D$3:$R$3000,MATCH($F1219,임대자산!$I$3:$I$3000,0),MATCH(H$4,임대자산!$D$3:$R$3,0)),
IF($D1219="폐업",INDEX(폐업정보!$D$3:$R$3000,MATCH($F1219,폐업정보!$I$3:$I$3000,0),MATCH(H$4,폐업정보!$D$3:$R$3,0)),
"Error"))</f>
        <v>44853</v>
      </c>
      <c r="I1219" s="75" t="str">
        <f aca="false">
IF($D1219="정상",INDEX(임대자산!$D$3:$R$3000,MATCH($F1219,임대자산!$I$3:$I$3000,0),MATCH(I$4,임대자산!$D$3:$R$3,0)),
IF($D1219="폐업",INDEX(폐업정보!$D$3:$R$3000,MATCH($F1219,폐업정보!$I$3:$I$3000,0),MATCH(I$4,폐업정보!$D$3:$R$3,0)),
"Error"))</f>
        <v>A1214</v>
      </c>
      <c r="J1219" s="75" t="str">
        <f aca="false">
IF($D1219="정상",INDEX(임대자산!$D$3:$R$3000,MATCH($F1219,임대자산!$I$3:$I$3000,0),MATCH(J$4,임대자산!$D$3:$R$3,0)),
IF($D1219="폐업",INDEX(폐업정보!$D$3:$R$3000,MATCH($F1219,폐업정보!$I$3:$I$3000,0),MATCH(J$4,폐업정보!$D$3:$R$3,0)),
"Error"))</f>
        <v>6740000000</v>
      </c>
      <c r="K1219" s="75" t="str">
        <f aca="false">
IF($D1219="정상",INDEX(임대자산!$D$3:$R$3000,MATCH($F1219,임대자산!$I$3:$I$3000,0),MATCH(K$4,임대자산!$D$3:$R$3,0)),
IF($D1219="폐업",INDEX(폐업정보!$D$3:$R$3000,MATCH($F1219,폐업정보!$I$3:$I$3000,0),MATCH(K$4,폐업정보!$D$3:$R$3,0)),
"Error"))</f>
        <v>C1214</v>
      </c>
      <c r="L1219" s="75" t="str">
        <f aca="false">
IF($D1219="정상",INDEX(임대자산!$D$3:$R$3000,MATCH($F1219,임대자산!$I$3:$I$3000,0),MATCH(L$4,임대자산!$D$3:$R$3,0)),
IF($D1219="폐업",INDEX(폐업정보!$D$3:$R$3000,MATCH($F1219,폐업정보!$I$3:$I$3000,0),MATCH(L$4,폐업정보!$D$3:$R$3,0)),
"Error"))</f>
        <v>D1214</v>
      </c>
      <c r="M1219" s="76" t="s">
        <v>96</v>
      </c>
      <c r="N1219" s="77"/>
      <c r="O1219" s="78" t="s">
        <v>97</v>
      </c>
      <c r="P1219" s="79" t="n">
        <f aca="false">COUNTIFS(임대자산!$I:$I,가맹점정보!F1219,임대자산!$N:$N,가맹점정보!P$4)</f>
        <v>0</v>
      </c>
      <c r="Q1219" s="80" t="n">
        <f aca="false">COUNTIFS(임대자산!$I:$I,가맹점정보!F1219,임대자산!$N:$N,가맹점정보!Q$4)</f>
        <v>0</v>
      </c>
      <c r="R1219" s="81" t="n">
        <f aca="false">COUNTIFS(임대자산!$I:$I,가맹점정보!F1219,임대자산!$N:$N,가맹점정보!R$4)</f>
        <v>1</v>
      </c>
      <c r="S1219" s="82" t="n">
        <v>55000</v>
      </c>
      <c r="T1219" s="83" t="n">
        <v>0</v>
      </c>
      <c r="U1219" s="80" t="n">
        <f aca="false">SUM(S1219:T1219)</f>
        <v>55000</v>
      </c>
      <c r="V1219" s="84" t="s">
        <v>12</v>
      </c>
      <c r="W1219" s="80" t="e">
        <f aca="true">
IF(D1219="폐업","폐업",
IF(V1219="면제","면제",
IF(AND(V1219="정상",COUNTIFS(OFFSET(Y1219,0,COUNTA(Y1219:AV1219)-1,1,-4),"미납")&gt;=3),"장기미납",
IF(AND(V1219="정상",OFFSET(Y1219,0,COUNTA(Y1219:AV1219)-1)&gt;=U1219),"정상",
IF(AND(V1219="정상",OFFSET(Y1219,0,COUNTA(Y1219:AV1219)-1)=0),"정상",
"계약서 미작성")))))</f>
        <v>#VALUE!</v>
      </c>
      <c r="X1219" s="81" t="str">
        <f aca="true">
IF(D1219="폐업","폐업",
IF(AND(V1219="정상",OFFSET(Y1219,0,COUNTA(Y1219:AV1219)-1)="미납"),"미납",
IF(AND(V1219="정상",OFFSET(Y1219,0,COUNTA(Y1219:AV1219)-1)=0),"납부 시작 전",
IF(AND(V1219="정상",OFFSET(Y1219,0,COUNTA(Y1219:AV1219)-1)&gt;=U1219),"정상",
IF(AND(V1219="면제",OFFSET(Y1219,0,COUNTA(Y1219:AV1219)-1)="면제"),"면제",
IF(AND(V1219="면제",OFFSET(Y1219,0,COUNTA(Y1219:AV1219)-1)=0),"면제",
"확인요청"))))))</f>
        <v>정상</v>
      </c>
      <c r="Y1219" s="93" t="n">
        <v>55000</v>
      </c>
      <c r="Z1219" s="90" t="n">
        <v>55000</v>
      </c>
      <c r="AA1219" s="90" t="n">
        <v>55000</v>
      </c>
      <c r="AB1219" s="90" t="n">
        <v>55000</v>
      </c>
      <c r="AC1219" s="90" t="n">
        <v>55000</v>
      </c>
      <c r="AD1219" s="90" t="n">
        <v>55000</v>
      </c>
      <c r="AE1219" s="90" t="n">
        <v>55000</v>
      </c>
      <c r="AF1219" s="90" t="n">
        <v>55000</v>
      </c>
      <c r="AG1219" s="90" t="n">
        <v>55000</v>
      </c>
      <c r="AH1219" s="90" t="n">
        <v>55000</v>
      </c>
      <c r="AI1219" s="90" t="n">
        <v>55000</v>
      </c>
      <c r="AJ1219" s="91" t="n">
        <v>55000</v>
      </c>
      <c r="AK1219" s="89" t="n">
        <v>55000</v>
      </c>
      <c r="AL1219" s="90" t="n">
        <v>55000</v>
      </c>
      <c r="AM1219" s="90"/>
      <c r="AN1219" s="90"/>
      <c r="AO1219" s="90"/>
      <c r="AP1219" s="90"/>
      <c r="AQ1219" s="90"/>
      <c r="AR1219" s="90"/>
      <c r="AS1219" s="90"/>
      <c r="AT1219" s="90"/>
      <c r="AU1219" s="90"/>
      <c r="AV1219" s="91"/>
      <c r="AX1219" s="92"/>
    </row>
    <row r="1220" customFormat="false" ht="15.65" hidden="false" customHeight="false" outlineLevel="0" collapsed="false">
      <c r="C1220" s="72" t="n">
        <f aca="false">COUNTIFS($D$6:D1220,"&lt;&gt;"&amp;"")</f>
        <v>1215</v>
      </c>
      <c r="D1220" s="73" t="s">
        <v>12</v>
      </c>
      <c r="E1220" s="76" t="str">
        <f aca="false">
IF($D1220="정상",INDEX(임대자산!$D$3:$R$3000,MATCH($F1220,임대자산!$I$3:$I$3000,0),MATCH(E$3,임대자산!$D$3:$R$3,0)),
IF($D1220="폐업",INDEX(폐업정보!$D$3:$R$3000,MATCH($F1220,폐업정보!$I$3:$I$3000,0),MATCH(E$3,폐업정보!$D$3:$R$3,0)),
"Error"))</f>
        <v>서울</v>
      </c>
      <c r="F122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B1215</v>
      </c>
      <c r="G1220" s="76" t="str">
        <f aca="false">F1220&amp;RANDBETWEEN(0,10)</f>
        <v>B12152</v>
      </c>
      <c r="H1220" s="75" t="n">
        <f aca="false">
IF($D1220="정상",INDEX(임대자산!$D$3:$R$3000,MATCH($F1220,임대자산!$I$3:$I$3000,0),MATCH(H$4,임대자산!$D$3:$R$3,0)),
IF($D1220="폐업",INDEX(폐업정보!$D$3:$R$3000,MATCH($F1220,폐업정보!$I$3:$I$3000,0),MATCH(H$4,폐업정보!$D$3:$R$3,0)),
"Error"))</f>
        <v>44853</v>
      </c>
      <c r="I1220" s="75" t="str">
        <f aca="false">
IF($D1220="정상",INDEX(임대자산!$D$3:$R$3000,MATCH($F1220,임대자산!$I$3:$I$3000,0),MATCH(I$4,임대자산!$D$3:$R$3,0)),
IF($D1220="폐업",INDEX(폐업정보!$D$3:$R$3000,MATCH($F1220,폐업정보!$I$3:$I$3000,0),MATCH(I$4,폐업정보!$D$3:$R$3,0)),
"Error"))</f>
        <v>A1215</v>
      </c>
      <c r="J1220" s="75" t="str">
        <f aca="false">
IF($D1220="정상",INDEX(임대자산!$D$3:$R$3000,MATCH($F1220,임대자산!$I$3:$I$3000,0),MATCH(J$4,임대자산!$D$3:$R$3,0)),
IF($D1220="폐업",INDEX(폐업정보!$D$3:$R$3000,MATCH($F1220,폐업정보!$I$3:$I$3000,0),MATCH(J$4,폐업정보!$D$3:$R$3,0)),
"Error"))</f>
        <v>8715400000</v>
      </c>
      <c r="K1220" s="75" t="str">
        <f aca="false">
IF($D1220="정상",INDEX(임대자산!$D$3:$R$3000,MATCH($F1220,임대자산!$I$3:$I$3000,0),MATCH(K$4,임대자산!$D$3:$R$3,0)),
IF($D1220="폐업",INDEX(폐업정보!$D$3:$R$3000,MATCH($F1220,폐업정보!$I$3:$I$3000,0),MATCH(K$4,폐업정보!$D$3:$R$3,0)),
"Error"))</f>
        <v>C1215</v>
      </c>
      <c r="L1220" s="75" t="str">
        <f aca="false">
IF($D1220="정상",INDEX(임대자산!$D$3:$R$3000,MATCH($F1220,임대자산!$I$3:$I$3000,0),MATCH(L$4,임대자산!$D$3:$R$3,0)),
IF($D1220="폐업",INDEX(폐업정보!$D$3:$R$3000,MATCH($F1220,폐업정보!$I$3:$I$3000,0),MATCH(L$4,폐업정보!$D$3:$R$3,0)),
"Error"))</f>
        <v>D1215</v>
      </c>
      <c r="M1220" s="76" t="s">
        <v>96</v>
      </c>
      <c r="N1220" s="77"/>
      <c r="O1220" s="78" t="s">
        <v>97</v>
      </c>
      <c r="P1220" s="79" t="n">
        <f aca="false">COUNTIFS(임대자산!$I:$I,가맹점정보!F1220,임대자산!$N:$N,가맹점정보!P$4)</f>
        <v>0</v>
      </c>
      <c r="Q1220" s="80" t="n">
        <f aca="false">COUNTIFS(임대자산!$I:$I,가맹점정보!F1220,임대자산!$N:$N,가맹점정보!Q$4)</f>
        <v>0</v>
      </c>
      <c r="R1220" s="81" t="n">
        <f aca="false">COUNTIFS(임대자산!$I:$I,가맹점정보!F1220,임대자산!$N:$N,가맹점정보!R$4)</f>
        <v>1</v>
      </c>
      <c r="S1220" s="82" t="n">
        <v>55000</v>
      </c>
      <c r="T1220" s="83" t="n">
        <v>0</v>
      </c>
      <c r="U1220" s="80" t="n">
        <f aca="false">SUM(S1220:T1220)</f>
        <v>55000</v>
      </c>
      <c r="V1220" s="84" t="s">
        <v>12</v>
      </c>
      <c r="W1220" s="80" t="e">
        <f aca="true">
IF(D1220="폐업","폐업",
IF(V1220="면제","면제",
IF(AND(V1220="정상",COUNTIFS(OFFSET(Y1220,0,COUNTA(Y1220:AV1220)-1,1,-4),"미납")&gt;=3),"장기미납",
IF(AND(V1220="정상",OFFSET(Y1220,0,COUNTA(Y1220:AV1220)-1)&gt;=U1220),"정상",
IF(AND(V1220="정상",OFFSET(Y1220,0,COUNTA(Y1220:AV1220)-1)=0),"정상",
"계약서 미작성")))))</f>
        <v>#VALUE!</v>
      </c>
      <c r="X1220" s="81" t="str">
        <f aca="true">
IF(D1220="폐업","폐업",
IF(AND(V1220="정상",OFFSET(Y1220,0,COUNTA(Y1220:AV1220)-1)="미납"),"미납",
IF(AND(V1220="정상",OFFSET(Y1220,0,COUNTA(Y1220:AV1220)-1)=0),"납부 시작 전",
IF(AND(V1220="정상",OFFSET(Y1220,0,COUNTA(Y1220:AV1220)-1)&gt;=U1220),"정상",
IF(AND(V1220="면제",OFFSET(Y1220,0,COUNTA(Y1220:AV1220)-1)="면제"),"면제",
IF(AND(V1220="면제",OFFSET(Y1220,0,COUNTA(Y1220:AV1220)-1)=0),"면제",
"확인요청"))))))</f>
        <v>정상</v>
      </c>
      <c r="Y1220" s="93" t="n">
        <v>55000</v>
      </c>
      <c r="Z1220" s="90" t="n">
        <v>55000</v>
      </c>
      <c r="AA1220" s="90" t="n">
        <v>55000</v>
      </c>
      <c r="AB1220" s="90" t="n">
        <v>55000</v>
      </c>
      <c r="AC1220" s="90" t="n">
        <v>55000</v>
      </c>
      <c r="AD1220" s="90" t="n">
        <v>55000</v>
      </c>
      <c r="AE1220" s="90" t="n">
        <v>55000</v>
      </c>
      <c r="AF1220" s="90" t="n">
        <v>55000</v>
      </c>
      <c r="AG1220" s="90" t="n">
        <v>55000</v>
      </c>
      <c r="AH1220" s="90" t="n">
        <v>55000</v>
      </c>
      <c r="AI1220" s="90" t="n">
        <v>55000</v>
      </c>
      <c r="AJ1220" s="91" t="n">
        <v>55000</v>
      </c>
      <c r="AK1220" s="89" t="n">
        <v>55000</v>
      </c>
      <c r="AL1220" s="90" t="n">
        <v>55000</v>
      </c>
      <c r="AM1220" s="90"/>
      <c r="AN1220" s="90"/>
      <c r="AO1220" s="90"/>
      <c r="AP1220" s="90"/>
      <c r="AQ1220" s="90"/>
      <c r="AR1220" s="90"/>
      <c r="AS1220" s="90"/>
      <c r="AT1220" s="90"/>
      <c r="AU1220" s="90"/>
      <c r="AV1220" s="91"/>
      <c r="AX1220" s="92"/>
    </row>
    <row r="1221" customFormat="false" ht="15.65" hidden="false" customHeight="false" outlineLevel="0" collapsed="false">
      <c r="C1221" s="72" t="n">
        <f aca="false">COUNTIFS($D$6:D1221,"&lt;&gt;"&amp;"")</f>
        <v>1216</v>
      </c>
      <c r="D1221" s="73" t="s">
        <v>12</v>
      </c>
      <c r="E1221" s="76" t="str">
        <f aca="false">
IF($D1221="정상",INDEX(임대자산!$D$3:$R$3000,MATCH($F1221,임대자산!$I$3:$I$3000,0),MATCH(E$3,임대자산!$D$3:$R$3,0)),
IF($D1221="폐업",INDEX(폐업정보!$D$3:$R$3000,MATCH($F1221,폐업정보!$I$3:$I$3000,0),MATCH(E$3,폐업정보!$D$3:$R$3,0)),
"Error"))</f>
        <v>서울</v>
      </c>
      <c r="F122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B1216</v>
      </c>
      <c r="G1221" s="76" t="str">
        <f aca="false">F1221&amp;RANDBETWEEN(0,10)</f>
        <v>B12162</v>
      </c>
      <c r="H1221" s="75" t="n">
        <f aca="false">
IF($D1221="정상",INDEX(임대자산!$D$3:$R$3000,MATCH($F1221,임대자산!$I$3:$I$3000,0),MATCH(H$4,임대자산!$D$3:$R$3,0)),
IF($D1221="폐업",INDEX(폐업정보!$D$3:$R$3000,MATCH($F1221,폐업정보!$I$3:$I$3000,0),MATCH(H$4,폐업정보!$D$3:$R$3,0)),
"Error"))</f>
        <v>45048</v>
      </c>
      <c r="I1221" s="75" t="str">
        <f aca="false">
IF($D1221="정상",INDEX(임대자산!$D$3:$R$3000,MATCH($F1221,임대자산!$I$3:$I$3000,0),MATCH(I$4,임대자산!$D$3:$R$3,0)),
IF($D1221="폐업",INDEX(폐업정보!$D$3:$R$3000,MATCH($F1221,폐업정보!$I$3:$I$3000,0),MATCH(I$4,폐업정보!$D$3:$R$3,0)),
"Error"))</f>
        <v>A1216</v>
      </c>
      <c r="J1221" s="75" t="str">
        <f aca="false">
IF($D1221="정상",INDEX(임대자산!$D$3:$R$3000,MATCH($F1221,임대자산!$I$3:$I$3000,0),MATCH(J$4,임대자산!$D$3:$R$3,0)),
IF($D1221="폐업",INDEX(폐업정보!$D$3:$R$3000,MATCH($F1221,폐업정보!$I$3:$I$3000,0),MATCH(J$4,폐업정보!$D$3:$R$3,0)),
"Error"))</f>
        <v>2749500000</v>
      </c>
      <c r="K1221" s="75" t="str">
        <f aca="false">
IF($D1221="정상",INDEX(임대자산!$D$3:$R$3000,MATCH($F1221,임대자산!$I$3:$I$3000,0),MATCH(K$4,임대자산!$D$3:$R$3,0)),
IF($D1221="폐업",INDEX(폐업정보!$D$3:$R$3000,MATCH($F1221,폐업정보!$I$3:$I$3000,0),MATCH(K$4,폐업정보!$D$3:$R$3,0)),
"Error"))</f>
        <v>C1216</v>
      </c>
      <c r="L1221" s="75" t="str">
        <f aca="false">
IF($D1221="정상",INDEX(임대자산!$D$3:$R$3000,MATCH($F1221,임대자산!$I$3:$I$3000,0),MATCH(L$4,임대자산!$D$3:$R$3,0)),
IF($D1221="폐업",INDEX(폐업정보!$D$3:$R$3000,MATCH($F1221,폐업정보!$I$3:$I$3000,0),MATCH(L$4,폐업정보!$D$3:$R$3,0)),
"Error"))</f>
        <v>D1216</v>
      </c>
      <c r="M1221" s="76" t="s">
        <v>96</v>
      </c>
      <c r="N1221" s="77"/>
      <c r="O1221" s="78" t="s">
        <v>97</v>
      </c>
      <c r="P1221" s="79" t="n">
        <f aca="false">COUNTIFS(임대자산!$I:$I,가맹점정보!F1221,임대자산!$N:$N,가맹점정보!P$4)</f>
        <v>0</v>
      </c>
      <c r="Q1221" s="80" t="n">
        <f aca="false">COUNTIFS(임대자산!$I:$I,가맹점정보!F1221,임대자산!$N:$N,가맹점정보!Q$4)</f>
        <v>0</v>
      </c>
      <c r="R1221" s="81" t="n">
        <f aca="false">COUNTIFS(임대자산!$I:$I,가맹점정보!F1221,임대자산!$N:$N,가맹점정보!R$4)</f>
        <v>1</v>
      </c>
      <c r="S1221" s="82" t="n">
        <v>55000</v>
      </c>
      <c r="T1221" s="83" t="n">
        <v>0</v>
      </c>
      <c r="U1221" s="80" t="n">
        <f aca="false">SUM(S1221:T1221)</f>
        <v>55000</v>
      </c>
      <c r="V1221" s="84" t="s">
        <v>12</v>
      </c>
      <c r="W1221" s="80" t="e">
        <f aca="true">
IF(D1221="폐업","폐업",
IF(V1221="면제","면제",
IF(AND(V1221="정상",COUNTIFS(OFFSET(Y1221,0,COUNTA(Y1221:AV1221)-1,1,-4),"미납")&gt;=3),"장기미납",
IF(AND(V1221="정상",OFFSET(Y1221,0,COUNTA(Y1221:AV1221)-1)&gt;=U1221),"정상",
IF(AND(V1221="정상",OFFSET(Y1221,0,COUNTA(Y1221:AV1221)-1)=0),"정상",
"계약서 미작성")))))</f>
        <v>#VALUE!</v>
      </c>
      <c r="X1221" s="81" t="str">
        <f aca="true">
IF(D1221="폐업","폐업",
IF(AND(V1221="정상",OFFSET(Y1221,0,COUNTA(Y1221:AV1221)-1)="미납"),"미납",
IF(AND(V1221="정상",OFFSET(Y1221,0,COUNTA(Y1221:AV1221)-1)=0),"납부 시작 전",
IF(AND(V1221="정상",OFFSET(Y1221,0,COUNTA(Y1221:AV1221)-1)&gt;=U1221),"정상",
IF(AND(V1221="면제",OFFSET(Y1221,0,COUNTA(Y1221:AV1221)-1)="면제"),"면제",
IF(AND(V1221="면제",OFFSET(Y1221,0,COUNTA(Y1221:AV1221)-1)=0),"면제",
"확인요청"))))))</f>
        <v>정상</v>
      </c>
      <c r="Y1221" s="93" t="n">
        <v>55000</v>
      </c>
      <c r="Z1221" s="90" t="n">
        <v>55000</v>
      </c>
      <c r="AA1221" s="90" t="n">
        <v>55000</v>
      </c>
      <c r="AB1221" s="90" t="n">
        <v>55000</v>
      </c>
      <c r="AC1221" s="90" t="n">
        <v>55000</v>
      </c>
      <c r="AD1221" s="90" t="n">
        <v>55000</v>
      </c>
      <c r="AE1221" s="90" t="n">
        <v>55000</v>
      </c>
      <c r="AF1221" s="90" t="n">
        <v>55000</v>
      </c>
      <c r="AG1221" s="90" t="n">
        <v>55000</v>
      </c>
      <c r="AH1221" s="95" t="s">
        <v>62</v>
      </c>
      <c r="AI1221" s="90" t="n">
        <v>55000</v>
      </c>
      <c r="AJ1221" s="91" t="n">
        <v>55000</v>
      </c>
      <c r="AK1221" s="89" t="n">
        <v>55000</v>
      </c>
      <c r="AL1221" s="90" t="n">
        <v>55000</v>
      </c>
      <c r="AM1221" s="90"/>
      <c r="AN1221" s="90"/>
      <c r="AO1221" s="90"/>
      <c r="AP1221" s="90"/>
      <c r="AQ1221" s="90"/>
      <c r="AR1221" s="90"/>
      <c r="AS1221" s="90"/>
      <c r="AT1221" s="90"/>
      <c r="AU1221" s="90"/>
      <c r="AV1221" s="91"/>
      <c r="AX1221" s="92"/>
    </row>
    <row r="1222" customFormat="false" ht="15.65" hidden="false" customHeight="false" outlineLevel="0" collapsed="false">
      <c r="C1222" s="72" t="n">
        <f aca="false">COUNTIFS($D$6:D1222,"&lt;&gt;"&amp;"")</f>
        <v>1217</v>
      </c>
      <c r="D1222" s="73" t="s">
        <v>12</v>
      </c>
      <c r="E1222" s="76" t="str">
        <f aca="false">
IF($D1222="정상",INDEX(임대자산!$D$3:$R$3000,MATCH($F1222,임대자산!$I$3:$I$3000,0),MATCH(E$3,임대자산!$D$3:$R$3,0)),
IF($D1222="폐업",INDEX(폐업정보!$D$3:$R$3000,MATCH($F1222,폐업정보!$I$3:$I$3000,0),MATCH(E$3,폐업정보!$D$3:$R$3,0)),
"Error"))</f>
        <v>서울</v>
      </c>
      <c r="F122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B1217</v>
      </c>
      <c r="G1222" s="76" t="str">
        <f aca="false">F1222&amp;RANDBETWEEN(0,10)</f>
        <v>B12178</v>
      </c>
      <c r="H1222" s="75" t="n">
        <f aca="false">
IF($D1222="정상",INDEX(임대자산!$D$3:$R$3000,MATCH($F1222,임대자산!$I$3:$I$3000,0),MATCH(H$4,임대자산!$D$3:$R$3,0)),
IF($D1222="폐업",INDEX(폐업정보!$D$3:$R$3000,MATCH($F1222,폐업정보!$I$3:$I$3000,0),MATCH(H$4,폐업정보!$D$3:$R$3,0)),
"Error"))</f>
        <v>46003</v>
      </c>
      <c r="I1222" s="75" t="str">
        <f aca="false">
IF($D1222="정상",INDEX(임대자산!$D$3:$R$3000,MATCH($F1222,임대자산!$I$3:$I$3000,0),MATCH(I$4,임대자산!$D$3:$R$3,0)),
IF($D1222="폐업",INDEX(폐업정보!$D$3:$R$3000,MATCH($F1222,폐업정보!$I$3:$I$3000,0),MATCH(I$4,폐업정보!$D$3:$R$3,0)),
"Error"))</f>
        <v>A1217</v>
      </c>
      <c r="J1222" s="75" t="str">
        <f aca="false">
IF($D1222="정상",INDEX(임대자산!$D$3:$R$3000,MATCH($F1222,임대자산!$I$3:$I$3000,0),MATCH(J$4,임대자산!$D$3:$R$3,0)),
IF($D1222="폐업",INDEX(폐업정보!$D$3:$R$3000,MATCH($F1222,폐업정보!$I$3:$I$3000,0),MATCH(J$4,폐업정보!$D$3:$R$3,0)),
"Error"))</f>
        <v>2814700000</v>
      </c>
      <c r="K1222" s="75" t="str">
        <f aca="false">
IF($D1222="정상",INDEX(임대자산!$D$3:$R$3000,MATCH($F1222,임대자산!$I$3:$I$3000,0),MATCH(K$4,임대자산!$D$3:$R$3,0)),
IF($D1222="폐업",INDEX(폐업정보!$D$3:$R$3000,MATCH($F1222,폐업정보!$I$3:$I$3000,0),MATCH(K$4,폐업정보!$D$3:$R$3,0)),
"Error"))</f>
        <v>C1217</v>
      </c>
      <c r="L1222" s="75" t="str">
        <f aca="false">
IF($D1222="정상",INDEX(임대자산!$D$3:$R$3000,MATCH($F1222,임대자산!$I$3:$I$3000,0),MATCH(L$4,임대자산!$D$3:$R$3,0)),
IF($D1222="폐업",INDEX(폐업정보!$D$3:$R$3000,MATCH($F1222,폐업정보!$I$3:$I$3000,0),MATCH(L$4,폐업정보!$D$3:$R$3,0)),
"Error"))</f>
        <v>D1217</v>
      </c>
      <c r="M1222" s="76" t="s">
        <v>96</v>
      </c>
      <c r="N1222" s="77"/>
      <c r="O1222" s="78" t="s">
        <v>97</v>
      </c>
      <c r="P1222" s="79" t="n">
        <f aca="false">COUNTIFS(임대자산!$I:$I,가맹점정보!F1222,임대자산!$N:$N,가맹점정보!P$4)</f>
        <v>0</v>
      </c>
      <c r="Q1222" s="80" t="n">
        <f aca="false">COUNTIFS(임대자산!$I:$I,가맹점정보!F1222,임대자산!$N:$N,가맹점정보!Q$4)</f>
        <v>0</v>
      </c>
      <c r="R1222" s="81" t="n">
        <f aca="false">COUNTIFS(임대자산!$I:$I,가맹점정보!F1222,임대자산!$N:$N,가맹점정보!R$4)</f>
        <v>1</v>
      </c>
      <c r="S1222" s="82" t="n">
        <v>55000</v>
      </c>
      <c r="T1222" s="83" t="n">
        <v>0</v>
      </c>
      <c r="U1222" s="80" t="n">
        <f aca="false">SUM(S1222:T1222)</f>
        <v>55000</v>
      </c>
      <c r="V1222" s="84" t="s">
        <v>12</v>
      </c>
      <c r="W1222" s="80" t="e">
        <f aca="true">
IF(D1222="폐업","폐업",
IF(V1222="면제","면제",
IF(AND(V1222="정상",COUNTIFS(OFFSET(Y1222,0,COUNTA(Y1222:AV1222)-1,1,-4),"미납")&gt;=3),"장기미납",
IF(AND(V1222="정상",OFFSET(Y1222,0,COUNTA(Y1222:AV1222)-1)&gt;=U1222),"정상",
IF(AND(V1222="정상",OFFSET(Y1222,0,COUNTA(Y1222:AV1222)-1)=0),"정상",
"계약서 미작성")))))</f>
        <v>#VALUE!</v>
      </c>
      <c r="X1222" s="81" t="str">
        <f aca="true">
IF(D1222="폐업","폐업",
IF(AND(V1222="정상",OFFSET(Y1222,0,COUNTA(Y1222:AV1222)-1)="미납"),"미납",
IF(AND(V1222="정상",OFFSET(Y1222,0,COUNTA(Y1222:AV1222)-1)=0),"납부 시작 전",
IF(AND(V1222="정상",OFFSET(Y1222,0,COUNTA(Y1222:AV1222)-1)&gt;=U1222),"정상",
IF(AND(V1222="면제",OFFSET(Y1222,0,COUNTA(Y1222:AV1222)-1)="면제"),"면제",
IF(AND(V1222="면제",OFFSET(Y1222,0,COUNTA(Y1222:AV1222)-1)=0),"면제",
"확인요청"))))))</f>
        <v>정상</v>
      </c>
      <c r="Y1222" s="93" t="n">
        <v>55000</v>
      </c>
      <c r="Z1222" s="90" t="n">
        <v>55000</v>
      </c>
      <c r="AA1222" s="90" t="n">
        <v>55000</v>
      </c>
      <c r="AB1222" s="90" t="n">
        <v>55000</v>
      </c>
      <c r="AC1222" s="90" t="n">
        <v>55000</v>
      </c>
      <c r="AD1222" s="90" t="n">
        <v>55000</v>
      </c>
      <c r="AE1222" s="90" t="n">
        <v>55000</v>
      </c>
      <c r="AF1222" s="90" t="n">
        <v>55000</v>
      </c>
      <c r="AG1222" s="90" t="n">
        <v>55000</v>
      </c>
      <c r="AH1222" s="90" t="n">
        <v>55000</v>
      </c>
      <c r="AI1222" s="90" t="n">
        <v>55000</v>
      </c>
      <c r="AJ1222" s="91" t="n">
        <v>55000</v>
      </c>
      <c r="AK1222" s="89" t="n">
        <v>55000</v>
      </c>
      <c r="AL1222" s="90" t="n">
        <v>55000</v>
      </c>
      <c r="AM1222" s="90"/>
      <c r="AN1222" s="90"/>
      <c r="AO1222" s="90"/>
      <c r="AP1222" s="90"/>
      <c r="AQ1222" s="90"/>
      <c r="AR1222" s="90"/>
      <c r="AS1222" s="90"/>
      <c r="AT1222" s="90"/>
      <c r="AU1222" s="90"/>
      <c r="AV1222" s="91"/>
      <c r="AX1222" s="92"/>
    </row>
    <row r="1223" customFormat="false" ht="15.65" hidden="false" customHeight="false" outlineLevel="0" collapsed="false">
      <c r="C1223" s="72" t="n">
        <f aca="false">COUNTIFS($D$6:D1223,"&lt;&gt;"&amp;"")</f>
        <v>1218</v>
      </c>
      <c r="D1223" s="73" t="s">
        <v>12</v>
      </c>
      <c r="E1223" s="76" t="str">
        <f aca="false">
IF($D1223="정상",INDEX(임대자산!$D$3:$R$3000,MATCH($F1223,임대자산!$I$3:$I$3000,0),MATCH(E$3,임대자산!$D$3:$R$3,0)),
IF($D1223="폐업",INDEX(폐업정보!$D$3:$R$3000,MATCH($F1223,폐업정보!$I$3:$I$3000,0),MATCH(E$3,폐업정보!$D$3:$R$3,0)),
"Error"))</f>
        <v>서울</v>
      </c>
      <c r="F122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B1218</v>
      </c>
      <c r="G1223" s="76" t="str">
        <f aca="false">F1223&amp;RANDBETWEEN(0,10)</f>
        <v>B12183</v>
      </c>
      <c r="H1223" s="75" t="n">
        <f aca="false">
IF($D1223="정상",INDEX(임대자산!$D$3:$R$3000,MATCH($F1223,임대자산!$I$3:$I$3000,0),MATCH(H$4,임대자산!$D$3:$R$3,0)),
IF($D1223="폐업",INDEX(폐업정보!$D$3:$R$3000,MATCH($F1223,폐업정보!$I$3:$I$3000,0),MATCH(H$4,폐업정보!$D$3:$R$3,0)),
"Error"))</f>
        <v>45236</v>
      </c>
      <c r="I1223" s="75" t="str">
        <f aca="false">
IF($D1223="정상",INDEX(임대자산!$D$3:$R$3000,MATCH($F1223,임대자산!$I$3:$I$3000,0),MATCH(I$4,임대자산!$D$3:$R$3,0)),
IF($D1223="폐업",INDEX(폐업정보!$D$3:$R$3000,MATCH($F1223,폐업정보!$I$3:$I$3000,0),MATCH(I$4,폐업정보!$D$3:$R$3,0)),
"Error"))</f>
        <v>A1218</v>
      </c>
      <c r="J1223" s="75" t="str">
        <f aca="false">
IF($D1223="정상",INDEX(임대자산!$D$3:$R$3000,MATCH($F1223,임대자산!$I$3:$I$3000,0),MATCH(J$4,임대자산!$D$3:$R$3,0)),
IF($D1223="폐업",INDEX(폐업정보!$D$3:$R$3000,MATCH($F1223,폐업정보!$I$3:$I$3000,0),MATCH(J$4,폐업정보!$D$3:$R$3,0)),
"Error"))</f>
        <v>7178700000</v>
      </c>
      <c r="K1223" s="75" t="str">
        <f aca="false">
IF($D1223="정상",INDEX(임대자산!$D$3:$R$3000,MATCH($F1223,임대자산!$I$3:$I$3000,0),MATCH(K$4,임대자산!$D$3:$R$3,0)),
IF($D1223="폐업",INDEX(폐업정보!$D$3:$R$3000,MATCH($F1223,폐업정보!$I$3:$I$3000,0),MATCH(K$4,폐업정보!$D$3:$R$3,0)),
"Error"))</f>
        <v>C1218</v>
      </c>
      <c r="L1223" s="75" t="str">
        <f aca="false">
IF($D1223="정상",INDEX(임대자산!$D$3:$R$3000,MATCH($F1223,임대자산!$I$3:$I$3000,0),MATCH(L$4,임대자산!$D$3:$R$3,0)),
IF($D1223="폐업",INDEX(폐업정보!$D$3:$R$3000,MATCH($F1223,폐업정보!$I$3:$I$3000,0),MATCH(L$4,폐업정보!$D$3:$R$3,0)),
"Error"))</f>
        <v>D1218</v>
      </c>
      <c r="M1223" s="76" t="s">
        <v>96</v>
      </c>
      <c r="N1223" s="77"/>
      <c r="O1223" s="78" t="s">
        <v>97</v>
      </c>
      <c r="P1223" s="79" t="n">
        <f aca="false">COUNTIFS(임대자산!$I:$I,가맹점정보!F1223,임대자산!$N:$N,가맹점정보!P$4)</f>
        <v>0</v>
      </c>
      <c r="Q1223" s="80" t="n">
        <f aca="false">COUNTIFS(임대자산!$I:$I,가맹점정보!F1223,임대자산!$N:$N,가맹점정보!Q$4)</f>
        <v>0</v>
      </c>
      <c r="R1223" s="81" t="n">
        <f aca="false">COUNTIFS(임대자산!$I:$I,가맹점정보!F1223,임대자산!$N:$N,가맹점정보!R$4)</f>
        <v>1</v>
      </c>
      <c r="S1223" s="82" t="n">
        <v>55000</v>
      </c>
      <c r="T1223" s="83" t="n">
        <v>0</v>
      </c>
      <c r="U1223" s="80" t="n">
        <f aca="false">SUM(S1223:T1223)</f>
        <v>55000</v>
      </c>
      <c r="V1223" s="84" t="s">
        <v>12</v>
      </c>
      <c r="W1223" s="80" t="e">
        <f aca="true">
IF(D1223="폐업","폐업",
IF(V1223="면제","면제",
IF(AND(V1223="정상",COUNTIFS(OFFSET(Y1223,0,COUNTA(Y1223:AV1223)-1,1,-4),"미납")&gt;=3),"장기미납",
IF(AND(V1223="정상",OFFSET(Y1223,0,COUNTA(Y1223:AV1223)-1)&gt;=U1223),"정상",
IF(AND(V1223="정상",OFFSET(Y1223,0,COUNTA(Y1223:AV1223)-1)=0),"정상",
"계약서 미작성")))))</f>
        <v>#VALUE!</v>
      </c>
      <c r="X1223" s="81" t="str">
        <f aca="true">
IF(D1223="폐업","폐업",
IF(AND(V1223="정상",OFFSET(Y1223,0,COUNTA(Y1223:AV1223)-1)="미납"),"미납",
IF(AND(V1223="정상",OFFSET(Y1223,0,COUNTA(Y1223:AV1223)-1)=0),"납부 시작 전",
IF(AND(V1223="정상",OFFSET(Y1223,0,COUNTA(Y1223:AV1223)-1)&gt;=U1223),"정상",
IF(AND(V1223="면제",OFFSET(Y1223,0,COUNTA(Y1223:AV1223)-1)="면제"),"면제",
IF(AND(V1223="면제",OFFSET(Y1223,0,COUNTA(Y1223:AV1223)-1)=0),"면제",
"확인요청"))))))</f>
        <v>미납</v>
      </c>
      <c r="Y1223" s="93" t="n">
        <v>55000</v>
      </c>
      <c r="Z1223" s="90" t="n">
        <v>55000</v>
      </c>
      <c r="AA1223" s="90" t="n">
        <v>55000</v>
      </c>
      <c r="AB1223" s="90" t="n">
        <v>55000</v>
      </c>
      <c r="AC1223" s="90" t="n">
        <v>55000</v>
      </c>
      <c r="AD1223" s="90" t="n">
        <v>55000</v>
      </c>
      <c r="AE1223" s="90" t="n">
        <v>55000</v>
      </c>
      <c r="AF1223" s="90" t="n">
        <v>55000</v>
      </c>
      <c r="AG1223" s="90" t="n">
        <v>55000</v>
      </c>
      <c r="AH1223" s="90" t="n">
        <v>55000</v>
      </c>
      <c r="AI1223" s="90" t="n">
        <v>55000</v>
      </c>
      <c r="AJ1223" s="91" t="n">
        <v>55000</v>
      </c>
      <c r="AK1223" s="89" t="n">
        <v>55000</v>
      </c>
      <c r="AL1223" s="95" t="s">
        <v>62</v>
      </c>
      <c r="AM1223" s="90"/>
      <c r="AN1223" s="90"/>
      <c r="AO1223" s="90"/>
      <c r="AP1223" s="90"/>
      <c r="AQ1223" s="90"/>
      <c r="AR1223" s="90"/>
      <c r="AS1223" s="90"/>
      <c r="AT1223" s="90"/>
      <c r="AU1223" s="90"/>
      <c r="AV1223" s="91"/>
      <c r="AX1223" s="92"/>
    </row>
    <row r="1224" customFormat="false" ht="15.65" hidden="false" customHeight="false" outlineLevel="0" collapsed="false">
      <c r="C1224" s="72" t="n">
        <f aca="false">COUNTIFS($D$6:D1224,"&lt;&gt;"&amp;"")</f>
        <v>1219</v>
      </c>
      <c r="D1224" s="73" t="s">
        <v>12</v>
      </c>
      <c r="E1224" s="76" t="str">
        <f aca="false">
IF($D1224="정상",INDEX(임대자산!$D$3:$R$3000,MATCH($F1224,임대자산!$I$3:$I$3000,0),MATCH(E$3,임대자산!$D$3:$R$3,0)),
IF($D1224="폐업",INDEX(폐업정보!$D$3:$R$3000,MATCH($F1224,폐업정보!$I$3:$I$3000,0),MATCH(E$3,폐업정보!$D$3:$R$3,0)),
"Error"))</f>
        <v>서울</v>
      </c>
      <c r="F122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B1219</v>
      </c>
      <c r="G1224" s="76" t="str">
        <f aca="false">F1224&amp;RANDBETWEEN(0,10)</f>
        <v>B121910</v>
      </c>
      <c r="H1224" s="75" t="n">
        <f aca="false">
IF($D1224="정상",INDEX(임대자산!$D$3:$R$3000,MATCH($F1224,임대자산!$I$3:$I$3000,0),MATCH(H$4,임대자산!$D$3:$R$3,0)),
IF($D1224="폐업",INDEX(폐업정보!$D$3:$R$3000,MATCH($F1224,폐업정보!$I$3:$I$3000,0),MATCH(H$4,폐업정보!$D$3:$R$3,0)),
"Error"))</f>
        <v>45978</v>
      </c>
      <c r="I1224" s="75" t="str">
        <f aca="false">
IF($D1224="정상",INDEX(임대자산!$D$3:$R$3000,MATCH($F1224,임대자산!$I$3:$I$3000,0),MATCH(I$4,임대자산!$D$3:$R$3,0)),
IF($D1224="폐업",INDEX(폐업정보!$D$3:$R$3000,MATCH($F1224,폐업정보!$I$3:$I$3000,0),MATCH(I$4,폐업정보!$D$3:$R$3,0)),
"Error"))</f>
        <v>A1219</v>
      </c>
      <c r="J1224" s="75" t="str">
        <f aca="false">
IF($D1224="정상",INDEX(임대자산!$D$3:$R$3000,MATCH($F1224,임대자산!$I$3:$I$3000,0),MATCH(J$4,임대자산!$D$3:$R$3,0)),
IF($D1224="폐업",INDEX(폐업정보!$D$3:$R$3000,MATCH($F1224,폐업정보!$I$3:$I$3000,0),MATCH(J$4,폐업정보!$D$3:$R$3,0)),
"Error"))</f>
        <v>7739200000</v>
      </c>
      <c r="K1224" s="75" t="str">
        <f aca="false">
IF($D1224="정상",INDEX(임대자산!$D$3:$R$3000,MATCH($F1224,임대자산!$I$3:$I$3000,0),MATCH(K$4,임대자산!$D$3:$R$3,0)),
IF($D1224="폐업",INDEX(폐업정보!$D$3:$R$3000,MATCH($F1224,폐업정보!$I$3:$I$3000,0),MATCH(K$4,폐업정보!$D$3:$R$3,0)),
"Error"))</f>
        <v>C1219</v>
      </c>
      <c r="L1224" s="75" t="str">
        <f aca="false">
IF($D1224="정상",INDEX(임대자산!$D$3:$R$3000,MATCH($F1224,임대자산!$I$3:$I$3000,0),MATCH(L$4,임대자산!$D$3:$R$3,0)),
IF($D1224="폐업",INDEX(폐업정보!$D$3:$R$3000,MATCH($F1224,폐업정보!$I$3:$I$3000,0),MATCH(L$4,폐업정보!$D$3:$R$3,0)),
"Error"))</f>
        <v>D1219</v>
      </c>
      <c r="M1224" s="76" t="s">
        <v>96</v>
      </c>
      <c r="N1224" s="77"/>
      <c r="O1224" s="78" t="s">
        <v>97</v>
      </c>
      <c r="P1224" s="79" t="n">
        <f aca="false">COUNTIFS(임대자산!$I:$I,가맹점정보!F1224,임대자산!$N:$N,가맹점정보!P$4)</f>
        <v>0</v>
      </c>
      <c r="Q1224" s="80" t="n">
        <f aca="false">COUNTIFS(임대자산!$I:$I,가맹점정보!F1224,임대자산!$N:$N,가맹점정보!Q$4)</f>
        <v>0</v>
      </c>
      <c r="R1224" s="81" t="n">
        <f aca="false">COUNTIFS(임대자산!$I:$I,가맹점정보!F1224,임대자산!$N:$N,가맹점정보!R$4)</f>
        <v>1</v>
      </c>
      <c r="S1224" s="82" t="n">
        <v>55000</v>
      </c>
      <c r="T1224" s="83" t="n">
        <v>0</v>
      </c>
      <c r="U1224" s="80" t="n">
        <f aca="false">SUM(S1224:T1224)</f>
        <v>55000</v>
      </c>
      <c r="V1224" s="84" t="s">
        <v>12</v>
      </c>
      <c r="W1224" s="80" t="e">
        <f aca="true">
IF(D1224="폐업","폐업",
IF(V1224="면제","면제",
IF(AND(V1224="정상",COUNTIFS(OFFSET(Y1224,0,COUNTA(Y1224:AV1224)-1,1,-4),"미납")&gt;=3),"장기미납",
IF(AND(V1224="정상",OFFSET(Y1224,0,COUNTA(Y1224:AV1224)-1)&gt;=U1224),"정상",
IF(AND(V1224="정상",OFFSET(Y1224,0,COUNTA(Y1224:AV1224)-1)=0),"정상",
"계약서 미작성")))))</f>
        <v>#VALUE!</v>
      </c>
      <c r="X1224" s="81" t="str">
        <f aca="true">
IF(D1224="폐업","폐업",
IF(AND(V1224="정상",OFFSET(Y1224,0,COUNTA(Y1224:AV1224)-1)="미납"),"미납",
IF(AND(V1224="정상",OFFSET(Y1224,0,COUNTA(Y1224:AV1224)-1)=0),"납부 시작 전",
IF(AND(V1224="정상",OFFSET(Y1224,0,COUNTA(Y1224:AV1224)-1)&gt;=U1224),"정상",
IF(AND(V1224="면제",OFFSET(Y1224,0,COUNTA(Y1224:AV1224)-1)="면제"),"면제",
IF(AND(V1224="면제",OFFSET(Y1224,0,COUNTA(Y1224:AV1224)-1)=0),"면제",
"확인요청"))))))</f>
        <v>정상</v>
      </c>
      <c r="Y1224" s="93" t="n">
        <v>55000</v>
      </c>
      <c r="Z1224" s="90" t="n">
        <v>55000</v>
      </c>
      <c r="AA1224" s="90" t="n">
        <v>55000</v>
      </c>
      <c r="AB1224" s="90" t="n">
        <v>55000</v>
      </c>
      <c r="AC1224" s="90" t="n">
        <v>55000</v>
      </c>
      <c r="AD1224" s="90" t="n">
        <v>55000</v>
      </c>
      <c r="AE1224" s="90" t="n">
        <v>55000</v>
      </c>
      <c r="AF1224" s="90" t="n">
        <v>55000</v>
      </c>
      <c r="AG1224" s="90" t="n">
        <v>55000</v>
      </c>
      <c r="AH1224" s="90" t="n">
        <v>55000</v>
      </c>
      <c r="AI1224" s="90" t="n">
        <v>55000</v>
      </c>
      <c r="AJ1224" s="91" t="n">
        <v>55000</v>
      </c>
      <c r="AK1224" s="89" t="n">
        <v>55000</v>
      </c>
      <c r="AL1224" s="90" t="n">
        <v>55000</v>
      </c>
      <c r="AM1224" s="90"/>
      <c r="AN1224" s="90"/>
      <c r="AO1224" s="90"/>
      <c r="AP1224" s="90"/>
      <c r="AQ1224" s="90"/>
      <c r="AR1224" s="90"/>
      <c r="AS1224" s="90"/>
      <c r="AT1224" s="90"/>
      <c r="AU1224" s="90"/>
      <c r="AV1224" s="91"/>
      <c r="AX1224" s="92"/>
    </row>
    <row r="1225" customFormat="false" ht="15.65" hidden="false" customHeight="false" outlineLevel="0" collapsed="false">
      <c r="C1225" s="72" t="n">
        <f aca="false">COUNTIFS($D$6:D1225,"&lt;&gt;"&amp;"")</f>
        <v>1220</v>
      </c>
      <c r="D1225" s="73" t="s">
        <v>12</v>
      </c>
      <c r="E1225" s="76" t="str">
        <f aca="false">
IF($D1225="정상",INDEX(임대자산!$D$3:$R$3000,MATCH($F1225,임대자산!$I$3:$I$3000,0),MATCH(E$3,임대자산!$D$3:$R$3,0)),
IF($D1225="폐업",INDEX(폐업정보!$D$3:$R$3000,MATCH($F1225,폐업정보!$I$3:$I$3000,0),MATCH(E$3,폐업정보!$D$3:$R$3,0)),
"Error"))</f>
        <v>서울</v>
      </c>
      <c r="F122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B1220</v>
      </c>
      <c r="G1225" s="76" t="str">
        <f aca="false">F1225&amp;RANDBETWEEN(0,10)</f>
        <v>B12203</v>
      </c>
      <c r="H1225" s="75" t="n">
        <f aca="false">
IF($D1225="정상",INDEX(임대자산!$D$3:$R$3000,MATCH($F1225,임대자산!$I$3:$I$3000,0),MATCH(H$4,임대자산!$D$3:$R$3,0)),
IF($D1225="폐업",INDEX(폐업정보!$D$3:$R$3000,MATCH($F1225,폐업정보!$I$3:$I$3000,0),MATCH(H$4,폐업정보!$D$3:$R$3,0)),
"Error"))</f>
        <v>45233</v>
      </c>
      <c r="I1225" s="75" t="str">
        <f aca="false">
IF($D1225="정상",INDEX(임대자산!$D$3:$R$3000,MATCH($F1225,임대자산!$I$3:$I$3000,0),MATCH(I$4,임대자산!$D$3:$R$3,0)),
IF($D1225="폐업",INDEX(폐업정보!$D$3:$R$3000,MATCH($F1225,폐업정보!$I$3:$I$3000,0),MATCH(I$4,폐업정보!$D$3:$R$3,0)),
"Error"))</f>
        <v>A1220</v>
      </c>
      <c r="J1225" s="75" t="str">
        <f aca="false">
IF($D1225="정상",INDEX(임대자산!$D$3:$R$3000,MATCH($F1225,임대자산!$I$3:$I$3000,0),MATCH(J$4,임대자산!$D$3:$R$3,0)),
IF($D1225="폐업",INDEX(폐업정보!$D$3:$R$3000,MATCH($F1225,폐업정보!$I$3:$I$3000,0),MATCH(J$4,폐업정보!$D$3:$R$3,0)),
"Error"))</f>
        <v>9510300000</v>
      </c>
      <c r="K1225" s="75" t="str">
        <f aca="false">
IF($D1225="정상",INDEX(임대자산!$D$3:$R$3000,MATCH($F1225,임대자산!$I$3:$I$3000,0),MATCH(K$4,임대자산!$D$3:$R$3,0)),
IF($D1225="폐업",INDEX(폐업정보!$D$3:$R$3000,MATCH($F1225,폐업정보!$I$3:$I$3000,0),MATCH(K$4,폐업정보!$D$3:$R$3,0)),
"Error"))</f>
        <v>C1220</v>
      </c>
      <c r="L1225" s="75" t="str">
        <f aca="false">
IF($D1225="정상",INDEX(임대자산!$D$3:$R$3000,MATCH($F1225,임대자산!$I$3:$I$3000,0),MATCH(L$4,임대자산!$D$3:$R$3,0)),
IF($D1225="폐업",INDEX(폐업정보!$D$3:$R$3000,MATCH($F1225,폐업정보!$I$3:$I$3000,0),MATCH(L$4,폐업정보!$D$3:$R$3,0)),
"Error"))</f>
        <v>D1220</v>
      </c>
      <c r="M1225" s="76" t="s">
        <v>96</v>
      </c>
      <c r="N1225" s="77"/>
      <c r="O1225" s="78" t="s">
        <v>97</v>
      </c>
      <c r="P1225" s="79" t="n">
        <f aca="false">COUNTIFS(임대자산!$I:$I,가맹점정보!F1225,임대자산!$N:$N,가맹점정보!P$4)</f>
        <v>0</v>
      </c>
      <c r="Q1225" s="80" t="n">
        <f aca="false">COUNTIFS(임대자산!$I:$I,가맹점정보!F1225,임대자산!$N:$N,가맹점정보!Q$4)</f>
        <v>0</v>
      </c>
      <c r="R1225" s="81" t="n">
        <f aca="false">COUNTIFS(임대자산!$I:$I,가맹점정보!F1225,임대자산!$N:$N,가맹점정보!R$4)</f>
        <v>1</v>
      </c>
      <c r="S1225" s="82" t="n">
        <v>55000</v>
      </c>
      <c r="T1225" s="83" t="n">
        <v>0</v>
      </c>
      <c r="U1225" s="80" t="n">
        <f aca="false">SUM(S1225:T1225)</f>
        <v>55000</v>
      </c>
      <c r="V1225" s="84" t="s">
        <v>12</v>
      </c>
      <c r="W1225" s="80" t="e">
        <f aca="true">
IF(D1225="폐업","폐업",
IF(V1225="면제","면제",
IF(AND(V1225="정상",COUNTIFS(OFFSET(Y1225,0,COUNTA(Y1225:AV1225)-1,1,-4),"미납")&gt;=3),"장기미납",
IF(AND(V1225="정상",OFFSET(Y1225,0,COUNTA(Y1225:AV1225)-1)&gt;=U1225),"정상",
IF(AND(V1225="정상",OFFSET(Y1225,0,COUNTA(Y1225:AV1225)-1)=0),"정상",
"계약서 미작성")))))</f>
        <v>#VALUE!</v>
      </c>
      <c r="X1225" s="81" t="str">
        <f aca="true">
IF(D1225="폐업","폐업",
IF(AND(V1225="정상",OFFSET(Y1225,0,COUNTA(Y1225:AV1225)-1)="미납"),"미납",
IF(AND(V1225="정상",OFFSET(Y1225,0,COUNTA(Y1225:AV1225)-1)=0),"납부 시작 전",
IF(AND(V1225="정상",OFFSET(Y1225,0,COUNTA(Y1225:AV1225)-1)&gt;=U1225),"정상",
IF(AND(V1225="면제",OFFSET(Y1225,0,COUNTA(Y1225:AV1225)-1)="면제"),"면제",
IF(AND(V1225="면제",OFFSET(Y1225,0,COUNTA(Y1225:AV1225)-1)=0),"면제",
"확인요청"))))))</f>
        <v>정상</v>
      </c>
      <c r="Y1225" s="93" t="n">
        <v>55000</v>
      </c>
      <c r="Z1225" s="90" t="n">
        <v>55000</v>
      </c>
      <c r="AA1225" s="90" t="n">
        <v>55000</v>
      </c>
      <c r="AB1225" s="90" t="n">
        <v>55000</v>
      </c>
      <c r="AC1225" s="90" t="n">
        <v>55000</v>
      </c>
      <c r="AD1225" s="90" t="n">
        <v>55000</v>
      </c>
      <c r="AE1225" s="90" t="n">
        <v>55000</v>
      </c>
      <c r="AF1225" s="90" t="n">
        <v>55000</v>
      </c>
      <c r="AG1225" s="90" t="n">
        <v>55000</v>
      </c>
      <c r="AH1225" s="90" t="n">
        <v>55000</v>
      </c>
      <c r="AI1225" s="90" t="n">
        <v>55000</v>
      </c>
      <c r="AJ1225" s="91" t="n">
        <v>55000</v>
      </c>
      <c r="AK1225" s="89" t="n">
        <v>55000</v>
      </c>
      <c r="AL1225" s="90" t="n">
        <v>55000</v>
      </c>
      <c r="AM1225" s="90"/>
      <c r="AN1225" s="90"/>
      <c r="AO1225" s="90"/>
      <c r="AP1225" s="90"/>
      <c r="AQ1225" s="90"/>
      <c r="AR1225" s="90"/>
      <c r="AS1225" s="90"/>
      <c r="AT1225" s="90"/>
      <c r="AU1225" s="90"/>
      <c r="AV1225" s="91"/>
      <c r="AX1225" s="92"/>
    </row>
    <row r="1226" customFormat="false" ht="15.65" hidden="false" customHeight="false" outlineLevel="0" collapsed="false">
      <c r="C1226" s="72" t="n">
        <f aca="false">COUNTIFS($D$6:D1226,"&lt;&gt;"&amp;"")</f>
        <v>1221</v>
      </c>
      <c r="D1226" s="73" t="s">
        <v>12</v>
      </c>
      <c r="E1226" s="76" t="str">
        <f aca="false">
IF($D1226="정상",INDEX(임대자산!$D$3:$R$3000,MATCH($F1226,임대자산!$I$3:$I$3000,0),MATCH(E$3,임대자산!$D$3:$R$3,0)),
IF($D1226="폐업",INDEX(폐업정보!$D$3:$R$3000,MATCH($F1226,폐업정보!$I$3:$I$3000,0),MATCH(E$3,폐업정보!$D$3:$R$3,0)),
"Error"))</f>
        <v>서울</v>
      </c>
      <c r="F122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B1221</v>
      </c>
      <c r="G1226" s="76" t="str">
        <f aca="false">F1226&amp;RANDBETWEEN(0,10)</f>
        <v>B12213</v>
      </c>
      <c r="H1226" s="75" t="n">
        <f aca="false">
IF($D1226="정상",INDEX(임대자산!$D$3:$R$3000,MATCH($F1226,임대자산!$I$3:$I$3000,0),MATCH(H$4,임대자산!$D$3:$R$3,0)),
IF($D1226="폐업",INDEX(폐업정보!$D$3:$R$3000,MATCH($F1226,폐업정보!$I$3:$I$3000,0),MATCH(H$4,폐업정보!$D$3:$R$3,0)),
"Error"))</f>
        <v>45008</v>
      </c>
      <c r="I1226" s="75" t="str">
        <f aca="false">
IF($D1226="정상",INDEX(임대자산!$D$3:$R$3000,MATCH($F1226,임대자산!$I$3:$I$3000,0),MATCH(I$4,임대자산!$D$3:$R$3,0)),
IF($D1226="폐업",INDEX(폐업정보!$D$3:$R$3000,MATCH($F1226,폐업정보!$I$3:$I$3000,0),MATCH(I$4,폐업정보!$D$3:$R$3,0)),
"Error"))</f>
        <v>A1221</v>
      </c>
      <c r="J1226" s="75" t="str">
        <f aca="false">
IF($D1226="정상",INDEX(임대자산!$D$3:$R$3000,MATCH($F1226,임대자산!$I$3:$I$3000,0),MATCH(J$4,임대자산!$D$3:$R$3,0)),
IF($D1226="폐업",INDEX(폐업정보!$D$3:$R$3000,MATCH($F1226,폐업정보!$I$3:$I$3000,0),MATCH(J$4,폐업정보!$D$3:$R$3,0)),
"Error"))</f>
        <v>2870700000</v>
      </c>
      <c r="K1226" s="75" t="str">
        <f aca="false">
IF($D1226="정상",INDEX(임대자산!$D$3:$R$3000,MATCH($F1226,임대자산!$I$3:$I$3000,0),MATCH(K$4,임대자산!$D$3:$R$3,0)),
IF($D1226="폐업",INDEX(폐업정보!$D$3:$R$3000,MATCH($F1226,폐업정보!$I$3:$I$3000,0),MATCH(K$4,폐업정보!$D$3:$R$3,0)),
"Error"))</f>
        <v>C1221</v>
      </c>
      <c r="L1226" s="75" t="str">
        <f aca="false">
IF($D1226="정상",INDEX(임대자산!$D$3:$R$3000,MATCH($F1226,임대자산!$I$3:$I$3000,0),MATCH(L$4,임대자산!$D$3:$R$3,0)),
IF($D1226="폐업",INDEX(폐업정보!$D$3:$R$3000,MATCH($F1226,폐업정보!$I$3:$I$3000,0),MATCH(L$4,폐업정보!$D$3:$R$3,0)),
"Error"))</f>
        <v>D1221</v>
      </c>
      <c r="M1226" s="76" t="s">
        <v>96</v>
      </c>
      <c r="N1226" s="77"/>
      <c r="O1226" s="78" t="s">
        <v>97</v>
      </c>
      <c r="P1226" s="79" t="n">
        <f aca="false">COUNTIFS(임대자산!$I:$I,가맹점정보!F1226,임대자산!$N:$N,가맹점정보!P$4)</f>
        <v>0</v>
      </c>
      <c r="Q1226" s="80" t="n">
        <f aca="false">COUNTIFS(임대자산!$I:$I,가맹점정보!F1226,임대자산!$N:$N,가맹점정보!Q$4)</f>
        <v>0</v>
      </c>
      <c r="R1226" s="81" t="n">
        <f aca="false">COUNTIFS(임대자산!$I:$I,가맹점정보!F1226,임대자산!$N:$N,가맹점정보!R$4)</f>
        <v>1</v>
      </c>
      <c r="S1226" s="82" t="n">
        <v>55000</v>
      </c>
      <c r="T1226" s="83" t="n">
        <v>0</v>
      </c>
      <c r="U1226" s="80" t="n">
        <f aca="false">SUM(S1226:T1226)</f>
        <v>55000</v>
      </c>
      <c r="V1226" s="84" t="s">
        <v>7</v>
      </c>
      <c r="W1226" s="80" t="str">
        <f aca="true">
IF(D1226="폐업","폐업",
IF(V1226="면제","면제",
IF(AND(V1226="정상",COUNTIFS(OFFSET(Y1226,0,COUNTA(Y1226:AV1226)-1,1,-4),"미납")&gt;=3),"장기미납",
IF(AND(V1226="정상",OFFSET(Y1226,0,COUNTA(Y1226:AV1226)-1)&gt;=U1226),"정상",
IF(AND(V1226="정상",OFFSET(Y1226,0,COUNTA(Y1226:AV1226)-1)=0),"정상",
"계약서 미작성")))))</f>
        <v>면제</v>
      </c>
      <c r="X1226" s="81" t="str">
        <f aca="true">
IF(D1226="폐업","폐업",
IF(AND(V1226="정상",OFFSET(Y1226,0,COUNTA(Y1226:AV1226)-1)="미납"),"미납",
IF(AND(V1226="정상",OFFSET(Y1226,0,COUNTA(Y1226:AV1226)-1)=0),"납부 시작 전",
IF(AND(V1226="정상",OFFSET(Y1226,0,COUNTA(Y1226:AV1226)-1)&gt;=U1226),"정상",
IF(AND(V1226="면제",OFFSET(Y1226,0,COUNTA(Y1226:AV1226)-1)="면제"),"면제",
IF(AND(V1226="면제",OFFSET(Y1226,0,COUNTA(Y1226:AV1226)-1)=0),"면제",
"확인요청"))))))</f>
        <v>면제</v>
      </c>
      <c r="Y1226" s="94" t="s">
        <v>7</v>
      </c>
      <c r="Z1226" s="95" t="s">
        <v>7</v>
      </c>
      <c r="AA1226" s="95" t="s">
        <v>7</v>
      </c>
      <c r="AB1226" s="95" t="s">
        <v>7</v>
      </c>
      <c r="AC1226" s="95" t="s">
        <v>7</v>
      </c>
      <c r="AD1226" s="95" t="s">
        <v>7</v>
      </c>
      <c r="AE1226" s="95" t="s">
        <v>7</v>
      </c>
      <c r="AF1226" s="95" t="s">
        <v>7</v>
      </c>
      <c r="AG1226" s="95" t="s">
        <v>7</v>
      </c>
      <c r="AH1226" s="95" t="s">
        <v>7</v>
      </c>
      <c r="AI1226" s="95" t="s">
        <v>7</v>
      </c>
      <c r="AJ1226" s="96" t="s">
        <v>7</v>
      </c>
      <c r="AK1226" s="97" t="s">
        <v>7</v>
      </c>
      <c r="AL1226" s="95" t="s">
        <v>7</v>
      </c>
      <c r="AM1226" s="90"/>
      <c r="AN1226" s="90"/>
      <c r="AO1226" s="90"/>
      <c r="AP1226" s="90"/>
      <c r="AQ1226" s="90"/>
      <c r="AR1226" s="90"/>
      <c r="AS1226" s="90"/>
      <c r="AT1226" s="90"/>
      <c r="AU1226" s="90"/>
      <c r="AV1226" s="91"/>
      <c r="AX1226" s="92"/>
    </row>
    <row r="1227" customFormat="false" ht="15.65" hidden="false" customHeight="false" outlineLevel="0" collapsed="false">
      <c r="C1227" s="72" t="n">
        <f aca="false">COUNTIFS($D$6:D1227,"&lt;&gt;"&amp;"")</f>
        <v>1222</v>
      </c>
      <c r="D1227" s="73" t="s">
        <v>12</v>
      </c>
      <c r="E1227" s="76" t="str">
        <f aca="false">
IF($D1227="정상",INDEX(임대자산!$D$3:$R$3000,MATCH($F1227,임대자산!$I$3:$I$3000,0),MATCH(E$3,임대자산!$D$3:$R$3,0)),
IF($D1227="폐업",INDEX(폐업정보!$D$3:$R$3000,MATCH($F1227,폐업정보!$I$3:$I$3000,0),MATCH(E$3,폐업정보!$D$3:$R$3,0)),
"Error"))</f>
        <v>서울</v>
      </c>
      <c r="F122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B1222</v>
      </c>
      <c r="G1227" s="76" t="str">
        <f aca="false">F1227&amp;RANDBETWEEN(0,10)</f>
        <v>B12220</v>
      </c>
      <c r="H1227" s="75" t="n">
        <f aca="false">
IF($D1227="정상",INDEX(임대자산!$D$3:$R$3000,MATCH($F1227,임대자산!$I$3:$I$3000,0),MATCH(H$4,임대자산!$D$3:$R$3,0)),
IF($D1227="폐업",INDEX(폐업정보!$D$3:$R$3000,MATCH($F1227,폐업정보!$I$3:$I$3000,0),MATCH(H$4,폐업정보!$D$3:$R$3,0)),
"Error"))</f>
        <v>45840</v>
      </c>
      <c r="I1227" s="75" t="str">
        <f aca="false">
IF($D1227="정상",INDEX(임대자산!$D$3:$R$3000,MATCH($F1227,임대자산!$I$3:$I$3000,0),MATCH(I$4,임대자산!$D$3:$R$3,0)),
IF($D1227="폐업",INDEX(폐업정보!$D$3:$R$3000,MATCH($F1227,폐업정보!$I$3:$I$3000,0),MATCH(I$4,폐업정보!$D$3:$R$3,0)),
"Error"))</f>
        <v>A1222</v>
      </c>
      <c r="J1227" s="75" t="str">
        <f aca="false">
IF($D1227="정상",INDEX(임대자산!$D$3:$R$3000,MATCH($F1227,임대자산!$I$3:$I$3000,0),MATCH(J$4,임대자산!$D$3:$R$3,0)),
IF($D1227="폐업",INDEX(폐업정보!$D$3:$R$3000,MATCH($F1227,폐업정보!$I$3:$I$3000,0),MATCH(J$4,폐업정보!$D$3:$R$3,0)),
"Error"))</f>
        <v>2708700000</v>
      </c>
      <c r="K1227" s="75" t="str">
        <f aca="false">
IF($D1227="정상",INDEX(임대자산!$D$3:$R$3000,MATCH($F1227,임대자산!$I$3:$I$3000,0),MATCH(K$4,임대자산!$D$3:$R$3,0)),
IF($D1227="폐업",INDEX(폐업정보!$D$3:$R$3000,MATCH($F1227,폐업정보!$I$3:$I$3000,0),MATCH(K$4,폐업정보!$D$3:$R$3,0)),
"Error"))</f>
        <v>C1222</v>
      </c>
      <c r="L1227" s="75" t="str">
        <f aca="false">
IF($D1227="정상",INDEX(임대자산!$D$3:$R$3000,MATCH($F1227,임대자산!$I$3:$I$3000,0),MATCH(L$4,임대자산!$D$3:$R$3,0)),
IF($D1227="폐업",INDEX(폐업정보!$D$3:$R$3000,MATCH($F1227,폐업정보!$I$3:$I$3000,0),MATCH(L$4,폐업정보!$D$3:$R$3,0)),
"Error"))</f>
        <v>D1222</v>
      </c>
      <c r="M1227" s="76" t="s">
        <v>96</v>
      </c>
      <c r="N1227" s="77"/>
      <c r="O1227" s="78" t="s">
        <v>97</v>
      </c>
      <c r="P1227" s="79" t="n">
        <f aca="false">COUNTIFS(임대자산!$I:$I,가맹점정보!F1227,임대자산!$N:$N,가맹점정보!P$4)</f>
        <v>0</v>
      </c>
      <c r="Q1227" s="80" t="n">
        <f aca="false">COUNTIFS(임대자산!$I:$I,가맹점정보!F1227,임대자산!$N:$N,가맹점정보!Q$4)</f>
        <v>0</v>
      </c>
      <c r="R1227" s="81" t="n">
        <f aca="false">COUNTIFS(임대자산!$I:$I,가맹점정보!F1227,임대자산!$N:$N,가맹점정보!R$4)</f>
        <v>1</v>
      </c>
      <c r="S1227" s="82" t="n">
        <v>55000</v>
      </c>
      <c r="T1227" s="83" t="n">
        <v>0</v>
      </c>
      <c r="U1227" s="80" t="n">
        <f aca="false">SUM(S1227:T1227)</f>
        <v>55000</v>
      </c>
      <c r="V1227" s="84" t="s">
        <v>7</v>
      </c>
      <c r="W1227" s="80" t="str">
        <f aca="true">
IF(D1227="폐업","폐업",
IF(V1227="면제","면제",
IF(AND(V1227="정상",COUNTIFS(OFFSET(Y1227,0,COUNTA(Y1227:AV1227)-1,1,-4),"미납")&gt;=3),"장기미납",
IF(AND(V1227="정상",OFFSET(Y1227,0,COUNTA(Y1227:AV1227)-1)&gt;=U1227),"정상",
IF(AND(V1227="정상",OFFSET(Y1227,0,COUNTA(Y1227:AV1227)-1)=0),"정상",
"계약서 미작성")))))</f>
        <v>면제</v>
      </c>
      <c r="X1227" s="81" t="str">
        <f aca="true">
IF(D1227="폐업","폐업",
IF(AND(V1227="정상",OFFSET(Y1227,0,COUNTA(Y1227:AV1227)-1)="미납"),"미납",
IF(AND(V1227="정상",OFFSET(Y1227,0,COUNTA(Y1227:AV1227)-1)=0),"납부 시작 전",
IF(AND(V1227="정상",OFFSET(Y1227,0,COUNTA(Y1227:AV1227)-1)&gt;=U1227),"정상",
IF(AND(V1227="면제",OFFSET(Y1227,0,COUNTA(Y1227:AV1227)-1)="면제"),"면제",
IF(AND(V1227="면제",OFFSET(Y1227,0,COUNTA(Y1227:AV1227)-1)=0),"면제",
"확인요청"))))))</f>
        <v>면제</v>
      </c>
      <c r="Y1227" s="94" t="s">
        <v>7</v>
      </c>
      <c r="Z1227" s="95" t="s">
        <v>7</v>
      </c>
      <c r="AA1227" s="95" t="s">
        <v>7</v>
      </c>
      <c r="AB1227" s="95" t="s">
        <v>7</v>
      </c>
      <c r="AC1227" s="95" t="s">
        <v>7</v>
      </c>
      <c r="AD1227" s="95" t="s">
        <v>7</v>
      </c>
      <c r="AE1227" s="95" t="s">
        <v>7</v>
      </c>
      <c r="AF1227" s="95" t="s">
        <v>7</v>
      </c>
      <c r="AG1227" s="95" t="s">
        <v>7</v>
      </c>
      <c r="AH1227" s="95" t="s">
        <v>7</v>
      </c>
      <c r="AI1227" s="95" t="s">
        <v>7</v>
      </c>
      <c r="AJ1227" s="96" t="s">
        <v>7</v>
      </c>
      <c r="AK1227" s="97" t="s">
        <v>7</v>
      </c>
      <c r="AL1227" s="95" t="s">
        <v>7</v>
      </c>
      <c r="AM1227" s="90"/>
      <c r="AN1227" s="90"/>
      <c r="AO1227" s="90"/>
      <c r="AP1227" s="90"/>
      <c r="AQ1227" s="90"/>
      <c r="AR1227" s="90"/>
      <c r="AS1227" s="90"/>
      <c r="AT1227" s="90"/>
      <c r="AU1227" s="90"/>
      <c r="AV1227" s="91"/>
      <c r="AX1227" s="92"/>
    </row>
    <row r="1228" customFormat="false" ht="15.65" hidden="false" customHeight="false" outlineLevel="0" collapsed="false">
      <c r="C1228" s="72" t="n">
        <f aca="false">COUNTIFS($D$6:D1228,"&lt;&gt;"&amp;"")</f>
        <v>1223</v>
      </c>
      <c r="D1228" s="73" t="s">
        <v>12</v>
      </c>
      <c r="E1228" s="76" t="str">
        <f aca="false">
IF($D1228="정상",INDEX(임대자산!$D$3:$R$3000,MATCH($F1228,임대자산!$I$3:$I$3000,0),MATCH(E$3,임대자산!$D$3:$R$3,0)),
IF($D1228="폐업",INDEX(폐업정보!$D$3:$R$3000,MATCH($F1228,폐업정보!$I$3:$I$3000,0),MATCH(E$3,폐업정보!$D$3:$R$3,0)),
"Error"))</f>
        <v>서울</v>
      </c>
      <c r="F122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B1223</v>
      </c>
      <c r="G1228" s="76" t="str">
        <f aca="false">F1228&amp;RANDBETWEEN(0,10)</f>
        <v>B12235</v>
      </c>
      <c r="H1228" s="75" t="n">
        <f aca="false">
IF($D1228="정상",INDEX(임대자산!$D$3:$R$3000,MATCH($F1228,임대자산!$I$3:$I$3000,0),MATCH(H$4,임대자산!$D$3:$R$3,0)),
IF($D1228="폐업",INDEX(폐업정보!$D$3:$R$3000,MATCH($F1228,폐업정보!$I$3:$I$3000,0),MATCH(H$4,폐업정보!$D$3:$R$3,0)),
"Error"))</f>
        <v>45278</v>
      </c>
      <c r="I1228" s="75" t="str">
        <f aca="false">
IF($D1228="정상",INDEX(임대자산!$D$3:$R$3000,MATCH($F1228,임대자산!$I$3:$I$3000,0),MATCH(I$4,임대자산!$D$3:$R$3,0)),
IF($D1228="폐업",INDEX(폐업정보!$D$3:$R$3000,MATCH($F1228,폐업정보!$I$3:$I$3000,0),MATCH(I$4,폐업정보!$D$3:$R$3,0)),
"Error"))</f>
        <v>A1223</v>
      </c>
      <c r="J1228" s="75" t="str">
        <f aca="false">
IF($D1228="정상",INDEX(임대자산!$D$3:$R$3000,MATCH($F1228,임대자산!$I$3:$I$3000,0),MATCH(J$4,임대자산!$D$3:$R$3,0)),
IF($D1228="폐업",INDEX(폐업정보!$D$3:$R$3000,MATCH($F1228,폐업정보!$I$3:$I$3000,0),MATCH(J$4,폐업정보!$D$3:$R$3,0)),
"Error"))</f>
        <v>8503900000</v>
      </c>
      <c r="K1228" s="75" t="str">
        <f aca="false">
IF($D1228="정상",INDEX(임대자산!$D$3:$R$3000,MATCH($F1228,임대자산!$I$3:$I$3000,0),MATCH(K$4,임대자산!$D$3:$R$3,0)),
IF($D1228="폐업",INDEX(폐업정보!$D$3:$R$3000,MATCH($F1228,폐업정보!$I$3:$I$3000,0),MATCH(K$4,폐업정보!$D$3:$R$3,0)),
"Error"))</f>
        <v>C1223</v>
      </c>
      <c r="L1228" s="75" t="str">
        <f aca="false">
IF($D1228="정상",INDEX(임대자산!$D$3:$R$3000,MATCH($F1228,임대자산!$I$3:$I$3000,0),MATCH(L$4,임대자산!$D$3:$R$3,0)),
IF($D1228="폐업",INDEX(폐업정보!$D$3:$R$3000,MATCH($F1228,폐업정보!$I$3:$I$3000,0),MATCH(L$4,폐업정보!$D$3:$R$3,0)),
"Error"))</f>
        <v>D1223</v>
      </c>
      <c r="M1228" s="76" t="s">
        <v>96</v>
      </c>
      <c r="N1228" s="77"/>
      <c r="O1228" s="78" t="s">
        <v>97</v>
      </c>
      <c r="P1228" s="79" t="n">
        <f aca="false">COUNTIFS(임대자산!$I:$I,가맹점정보!F1228,임대자산!$N:$N,가맹점정보!P$4)</f>
        <v>0</v>
      </c>
      <c r="Q1228" s="80" t="n">
        <f aca="false">COUNTIFS(임대자산!$I:$I,가맹점정보!F1228,임대자산!$N:$N,가맹점정보!Q$4)</f>
        <v>0</v>
      </c>
      <c r="R1228" s="81" t="n">
        <f aca="false">COUNTIFS(임대자산!$I:$I,가맹점정보!F1228,임대자산!$N:$N,가맹점정보!R$4)</f>
        <v>1</v>
      </c>
      <c r="S1228" s="82" t="n">
        <v>55000</v>
      </c>
      <c r="T1228" s="83" t="n">
        <v>0</v>
      </c>
      <c r="U1228" s="80" t="n">
        <f aca="false">SUM(S1228:T1228)</f>
        <v>55000</v>
      </c>
      <c r="V1228" s="84" t="s">
        <v>12</v>
      </c>
      <c r="W1228" s="80" t="e">
        <f aca="true">
IF(D1228="폐업","폐업",
IF(V1228="면제","면제",
IF(AND(V1228="정상",COUNTIFS(OFFSET(Y1228,0,COUNTA(Y1228:AV1228)-1,1,-4),"미납")&gt;=3),"장기미납",
IF(AND(V1228="정상",OFFSET(Y1228,0,COUNTA(Y1228:AV1228)-1)&gt;=U1228),"정상",
IF(AND(V1228="정상",OFFSET(Y1228,0,COUNTA(Y1228:AV1228)-1)=0),"정상",
"계약서 미작성")))))</f>
        <v>#VALUE!</v>
      </c>
      <c r="X1228" s="81" t="str">
        <f aca="true">
IF(D1228="폐업","폐업",
IF(AND(V1228="정상",OFFSET(Y1228,0,COUNTA(Y1228:AV1228)-1)="미납"),"미납",
IF(AND(V1228="정상",OFFSET(Y1228,0,COUNTA(Y1228:AV1228)-1)=0),"납부 시작 전",
IF(AND(V1228="정상",OFFSET(Y1228,0,COUNTA(Y1228:AV1228)-1)&gt;=U1228),"정상",
IF(AND(V1228="면제",OFFSET(Y1228,0,COUNTA(Y1228:AV1228)-1)="면제"),"면제",
IF(AND(V1228="면제",OFFSET(Y1228,0,COUNTA(Y1228:AV1228)-1)=0),"면제",
"확인요청"))))))</f>
        <v>정상</v>
      </c>
      <c r="Y1228" s="93" t="n">
        <v>55000</v>
      </c>
      <c r="Z1228" s="90" t="n">
        <v>55000</v>
      </c>
      <c r="AA1228" s="90" t="n">
        <v>55000</v>
      </c>
      <c r="AB1228" s="90" t="n">
        <v>55000</v>
      </c>
      <c r="AC1228" s="90" t="n">
        <v>55000</v>
      </c>
      <c r="AD1228" s="90" t="n">
        <v>55000</v>
      </c>
      <c r="AE1228" s="90" t="n">
        <v>55000</v>
      </c>
      <c r="AF1228" s="90" t="n">
        <v>55000</v>
      </c>
      <c r="AG1228" s="90" t="n">
        <v>55000</v>
      </c>
      <c r="AH1228" s="90" t="n">
        <v>55000</v>
      </c>
      <c r="AI1228" s="90" t="n">
        <v>55000</v>
      </c>
      <c r="AJ1228" s="91" t="n">
        <v>55000</v>
      </c>
      <c r="AK1228" s="89" t="n">
        <v>55000</v>
      </c>
      <c r="AL1228" s="90" t="n">
        <v>55000</v>
      </c>
      <c r="AM1228" s="90"/>
      <c r="AN1228" s="90"/>
      <c r="AO1228" s="90"/>
      <c r="AP1228" s="90"/>
      <c r="AQ1228" s="90"/>
      <c r="AR1228" s="90"/>
      <c r="AS1228" s="90"/>
      <c r="AT1228" s="90"/>
      <c r="AU1228" s="90"/>
      <c r="AV1228" s="91"/>
      <c r="AX1228" s="92"/>
    </row>
    <row r="1229" customFormat="false" ht="15.65" hidden="false" customHeight="false" outlineLevel="0" collapsed="false">
      <c r="C1229" s="72" t="n">
        <f aca="false">COUNTIFS($D$6:D1229,"&lt;&gt;"&amp;"")</f>
        <v>1224</v>
      </c>
      <c r="D1229" s="73" t="s">
        <v>12</v>
      </c>
      <c r="E1229" s="76" t="str">
        <f aca="false">
IF($D1229="정상",INDEX(임대자산!$D$3:$R$3000,MATCH($F1229,임대자산!$I$3:$I$3000,0),MATCH(E$3,임대자산!$D$3:$R$3,0)),
IF($D1229="폐업",INDEX(폐업정보!$D$3:$R$3000,MATCH($F1229,폐업정보!$I$3:$I$3000,0),MATCH(E$3,폐업정보!$D$3:$R$3,0)),
"Error"))</f>
        <v>서울</v>
      </c>
      <c r="F122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B1224</v>
      </c>
      <c r="G1229" s="76" t="str">
        <f aca="false">F1229&amp;RANDBETWEEN(0,10)</f>
        <v>B12248</v>
      </c>
      <c r="H1229" s="75" t="n">
        <f aca="false">
IF($D1229="정상",INDEX(임대자산!$D$3:$R$3000,MATCH($F1229,임대자산!$I$3:$I$3000,0),MATCH(H$4,임대자산!$D$3:$R$3,0)),
IF($D1229="폐업",INDEX(폐업정보!$D$3:$R$3000,MATCH($F1229,폐업정보!$I$3:$I$3000,0),MATCH(H$4,폐업정보!$D$3:$R$3,0)),
"Error"))</f>
        <v>45278</v>
      </c>
      <c r="I1229" s="75" t="str">
        <f aca="false">
IF($D1229="정상",INDEX(임대자산!$D$3:$R$3000,MATCH($F1229,임대자산!$I$3:$I$3000,0),MATCH(I$4,임대자산!$D$3:$R$3,0)),
IF($D1229="폐업",INDEX(폐업정보!$D$3:$R$3000,MATCH($F1229,폐업정보!$I$3:$I$3000,0),MATCH(I$4,폐업정보!$D$3:$R$3,0)),
"Error"))</f>
        <v>A1224</v>
      </c>
      <c r="J1229" s="75" t="str">
        <f aca="false">
IF($D1229="정상",INDEX(임대자산!$D$3:$R$3000,MATCH($F1229,임대자산!$I$3:$I$3000,0),MATCH(J$4,임대자산!$D$3:$R$3,0)),
IF($D1229="폐업",INDEX(폐업정보!$D$3:$R$3000,MATCH($F1229,폐업정보!$I$3:$I$3000,0),MATCH(J$4,폐업정보!$D$3:$R$3,0)),
"Error"))</f>
        <v>7753600000</v>
      </c>
      <c r="K1229" s="75" t="str">
        <f aca="false">
IF($D1229="정상",INDEX(임대자산!$D$3:$R$3000,MATCH($F1229,임대자산!$I$3:$I$3000,0),MATCH(K$4,임대자산!$D$3:$R$3,0)),
IF($D1229="폐업",INDEX(폐업정보!$D$3:$R$3000,MATCH($F1229,폐업정보!$I$3:$I$3000,0),MATCH(K$4,폐업정보!$D$3:$R$3,0)),
"Error"))</f>
        <v>C1224</v>
      </c>
      <c r="L1229" s="75" t="str">
        <f aca="false">
IF($D1229="정상",INDEX(임대자산!$D$3:$R$3000,MATCH($F1229,임대자산!$I$3:$I$3000,0),MATCH(L$4,임대자산!$D$3:$R$3,0)),
IF($D1229="폐업",INDEX(폐업정보!$D$3:$R$3000,MATCH($F1229,폐업정보!$I$3:$I$3000,0),MATCH(L$4,폐업정보!$D$3:$R$3,0)),
"Error"))</f>
        <v>D1224</v>
      </c>
      <c r="M1229" s="76" t="s">
        <v>96</v>
      </c>
      <c r="N1229" s="77"/>
      <c r="O1229" s="78" t="s">
        <v>97</v>
      </c>
      <c r="P1229" s="79" t="n">
        <f aca="false">COUNTIFS(임대자산!$I:$I,가맹점정보!F1229,임대자산!$N:$N,가맹점정보!P$4)</f>
        <v>0</v>
      </c>
      <c r="Q1229" s="80" t="n">
        <f aca="false">COUNTIFS(임대자산!$I:$I,가맹점정보!F1229,임대자산!$N:$N,가맹점정보!Q$4)</f>
        <v>0</v>
      </c>
      <c r="R1229" s="81" t="n">
        <f aca="false">COUNTIFS(임대자산!$I:$I,가맹점정보!F1229,임대자산!$N:$N,가맹점정보!R$4)</f>
        <v>1</v>
      </c>
      <c r="S1229" s="82" t="n">
        <v>88000</v>
      </c>
      <c r="T1229" s="83" t="n">
        <v>0</v>
      </c>
      <c r="U1229" s="80" t="n">
        <f aca="false">SUM(S1229:T1229)</f>
        <v>88000</v>
      </c>
      <c r="V1229" s="84" t="s">
        <v>7</v>
      </c>
      <c r="W1229" s="80" t="str">
        <f aca="true">
IF(D1229="폐업","폐업",
IF(V1229="면제","면제",
IF(AND(V1229="정상",COUNTIFS(OFFSET(Y1229,0,COUNTA(Y1229:AV1229)-1,1,-4),"미납")&gt;=3),"장기미납",
IF(AND(V1229="정상",OFFSET(Y1229,0,COUNTA(Y1229:AV1229)-1)&gt;=U1229),"정상",
IF(AND(V1229="정상",OFFSET(Y1229,0,COUNTA(Y1229:AV1229)-1)=0),"정상",
"계약서 미작성")))))</f>
        <v>면제</v>
      </c>
      <c r="X1229" s="81" t="str">
        <f aca="true">
IF(D1229="폐업","폐업",
IF(AND(V1229="정상",OFFSET(Y1229,0,COUNTA(Y1229:AV1229)-1)="미납"),"미납",
IF(AND(V1229="정상",OFFSET(Y1229,0,COUNTA(Y1229:AV1229)-1)=0),"납부 시작 전",
IF(AND(V1229="정상",OFFSET(Y1229,0,COUNTA(Y1229:AV1229)-1)&gt;=U1229),"정상",
IF(AND(V1229="면제",OFFSET(Y1229,0,COUNTA(Y1229:AV1229)-1)="면제"),"면제",
IF(AND(V1229="면제",OFFSET(Y1229,0,COUNTA(Y1229:AV1229)-1)=0),"면제",
"확인요청"))))))</f>
        <v>면제</v>
      </c>
      <c r="Y1229" s="94" t="s">
        <v>7</v>
      </c>
      <c r="Z1229" s="95" t="s">
        <v>7</v>
      </c>
      <c r="AA1229" s="95" t="s">
        <v>7</v>
      </c>
      <c r="AB1229" s="95" t="s">
        <v>7</v>
      </c>
      <c r="AC1229" s="95" t="s">
        <v>7</v>
      </c>
      <c r="AD1229" s="95" t="s">
        <v>7</v>
      </c>
      <c r="AE1229" s="95" t="s">
        <v>7</v>
      </c>
      <c r="AF1229" s="95" t="s">
        <v>7</v>
      </c>
      <c r="AG1229" s="95" t="s">
        <v>7</v>
      </c>
      <c r="AH1229" s="95" t="s">
        <v>7</v>
      </c>
      <c r="AI1229" s="95" t="s">
        <v>7</v>
      </c>
      <c r="AJ1229" s="96" t="s">
        <v>7</v>
      </c>
      <c r="AK1229" s="97" t="s">
        <v>7</v>
      </c>
      <c r="AL1229" s="95" t="s">
        <v>7</v>
      </c>
      <c r="AM1229" s="90"/>
      <c r="AN1229" s="90"/>
      <c r="AO1229" s="90"/>
      <c r="AP1229" s="90"/>
      <c r="AQ1229" s="90"/>
      <c r="AR1229" s="90"/>
      <c r="AS1229" s="90"/>
      <c r="AT1229" s="90"/>
      <c r="AU1229" s="90"/>
      <c r="AV1229" s="91"/>
      <c r="AX1229" s="92"/>
    </row>
    <row r="1230" customFormat="false" ht="15.65" hidden="false" customHeight="false" outlineLevel="0" collapsed="false">
      <c r="C1230" s="72" t="n">
        <f aca="false">COUNTIFS($D$6:D1230,"&lt;&gt;"&amp;"")</f>
        <v>1225</v>
      </c>
      <c r="D1230" s="73" t="s">
        <v>12</v>
      </c>
      <c r="E1230" s="76" t="str">
        <f aca="false">
IF($D1230="정상",INDEX(임대자산!$D$3:$R$3000,MATCH($F1230,임대자산!$I$3:$I$3000,0),MATCH(E$3,임대자산!$D$3:$R$3,0)),
IF($D1230="폐업",INDEX(폐업정보!$D$3:$R$3000,MATCH($F1230,폐업정보!$I$3:$I$3000,0),MATCH(E$3,폐업정보!$D$3:$R$3,0)),
"Error"))</f>
        <v>서울</v>
      </c>
      <c r="F123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B1225</v>
      </c>
      <c r="G1230" s="76" t="str">
        <f aca="false">F1230&amp;RANDBETWEEN(0,10)</f>
        <v>B12259</v>
      </c>
      <c r="H1230" s="75" t="n">
        <f aca="false">
IF($D1230="정상",INDEX(임대자산!$D$3:$R$3000,MATCH($F1230,임대자산!$I$3:$I$3000,0),MATCH(H$4,임대자산!$D$3:$R$3,0)),
IF($D1230="폐업",INDEX(폐업정보!$D$3:$R$3000,MATCH($F1230,폐업정보!$I$3:$I$3000,0),MATCH(H$4,폐업정보!$D$3:$R$3,0)),
"Error"))</f>
        <v>46002</v>
      </c>
      <c r="I1230" s="75" t="str">
        <f aca="false">
IF($D1230="정상",INDEX(임대자산!$D$3:$R$3000,MATCH($F1230,임대자산!$I$3:$I$3000,0),MATCH(I$4,임대자산!$D$3:$R$3,0)),
IF($D1230="폐업",INDEX(폐업정보!$D$3:$R$3000,MATCH($F1230,폐업정보!$I$3:$I$3000,0),MATCH(I$4,폐업정보!$D$3:$R$3,0)),
"Error"))</f>
        <v>A1225</v>
      </c>
      <c r="J1230" s="75" t="str">
        <f aca="false">
IF($D1230="정상",INDEX(임대자산!$D$3:$R$3000,MATCH($F1230,임대자산!$I$3:$I$3000,0),MATCH(J$4,임대자산!$D$3:$R$3,0)),
IF($D1230="폐업",INDEX(폐업정보!$D$3:$R$3000,MATCH($F1230,폐업정보!$I$3:$I$3000,0),MATCH(J$4,폐업정보!$D$3:$R$3,0)),
"Error"))</f>
        <v>4244600000</v>
      </c>
      <c r="K1230" s="75" t="str">
        <f aca="false">
IF($D1230="정상",INDEX(임대자산!$D$3:$R$3000,MATCH($F1230,임대자산!$I$3:$I$3000,0),MATCH(K$4,임대자산!$D$3:$R$3,0)),
IF($D1230="폐업",INDEX(폐업정보!$D$3:$R$3000,MATCH($F1230,폐업정보!$I$3:$I$3000,0),MATCH(K$4,폐업정보!$D$3:$R$3,0)),
"Error"))</f>
        <v>C1225</v>
      </c>
      <c r="L1230" s="75" t="str">
        <f aca="false">
IF($D1230="정상",INDEX(임대자산!$D$3:$R$3000,MATCH($F1230,임대자산!$I$3:$I$3000,0),MATCH(L$4,임대자산!$D$3:$R$3,0)),
IF($D1230="폐업",INDEX(폐업정보!$D$3:$R$3000,MATCH($F1230,폐업정보!$I$3:$I$3000,0),MATCH(L$4,폐업정보!$D$3:$R$3,0)),
"Error"))</f>
        <v>D1225</v>
      </c>
      <c r="M1230" s="76" t="s">
        <v>96</v>
      </c>
      <c r="N1230" s="77"/>
      <c r="O1230" s="78" t="s">
        <v>97</v>
      </c>
      <c r="P1230" s="79" t="n">
        <f aca="false">COUNTIFS(임대자산!$I:$I,가맹점정보!F1230,임대자산!$N:$N,가맹점정보!P$4)</f>
        <v>0</v>
      </c>
      <c r="Q1230" s="80" t="n">
        <f aca="false">COUNTIFS(임대자산!$I:$I,가맹점정보!F1230,임대자산!$N:$N,가맹점정보!Q$4)</f>
        <v>0</v>
      </c>
      <c r="R1230" s="81" t="n">
        <f aca="false">COUNTIFS(임대자산!$I:$I,가맹점정보!F1230,임대자산!$N:$N,가맹점정보!R$4)</f>
        <v>1</v>
      </c>
      <c r="S1230" s="82" t="n">
        <v>55000</v>
      </c>
      <c r="T1230" s="83" t="n">
        <v>0</v>
      </c>
      <c r="U1230" s="80" t="n">
        <f aca="false">SUM(S1230:T1230)</f>
        <v>55000</v>
      </c>
      <c r="V1230" s="84" t="s">
        <v>7</v>
      </c>
      <c r="W1230" s="80" t="str">
        <f aca="true">
IF(D1230="폐업","폐업",
IF(V1230="면제","면제",
IF(AND(V1230="정상",COUNTIFS(OFFSET(Y1230,0,COUNTA(Y1230:AV1230)-1,1,-4),"미납")&gt;=3),"장기미납",
IF(AND(V1230="정상",OFFSET(Y1230,0,COUNTA(Y1230:AV1230)-1)&gt;=U1230),"정상",
IF(AND(V1230="정상",OFFSET(Y1230,0,COUNTA(Y1230:AV1230)-1)=0),"정상",
"계약서 미작성")))))</f>
        <v>면제</v>
      </c>
      <c r="X1230" s="81" t="str">
        <f aca="true">
IF(D1230="폐업","폐업",
IF(AND(V1230="정상",OFFSET(Y1230,0,COUNTA(Y1230:AV1230)-1)="미납"),"미납",
IF(AND(V1230="정상",OFFSET(Y1230,0,COUNTA(Y1230:AV1230)-1)=0),"납부 시작 전",
IF(AND(V1230="정상",OFFSET(Y1230,0,COUNTA(Y1230:AV1230)-1)&gt;=U1230),"정상",
IF(AND(V1230="면제",OFFSET(Y1230,0,COUNTA(Y1230:AV1230)-1)="면제"),"면제",
IF(AND(V1230="면제",OFFSET(Y1230,0,COUNTA(Y1230:AV1230)-1)=0),"면제",
"확인요청"))))))</f>
        <v>면제</v>
      </c>
      <c r="Y1230" s="94" t="s">
        <v>7</v>
      </c>
      <c r="Z1230" s="95" t="s">
        <v>7</v>
      </c>
      <c r="AA1230" s="95" t="s">
        <v>7</v>
      </c>
      <c r="AB1230" s="95" t="s">
        <v>7</v>
      </c>
      <c r="AC1230" s="95" t="s">
        <v>7</v>
      </c>
      <c r="AD1230" s="95" t="s">
        <v>7</v>
      </c>
      <c r="AE1230" s="95" t="s">
        <v>7</v>
      </c>
      <c r="AF1230" s="95" t="s">
        <v>7</v>
      </c>
      <c r="AG1230" s="95" t="s">
        <v>7</v>
      </c>
      <c r="AH1230" s="95" t="s">
        <v>7</v>
      </c>
      <c r="AI1230" s="95" t="s">
        <v>7</v>
      </c>
      <c r="AJ1230" s="96" t="s">
        <v>7</v>
      </c>
      <c r="AK1230" s="97" t="s">
        <v>7</v>
      </c>
      <c r="AL1230" s="95" t="s">
        <v>7</v>
      </c>
      <c r="AM1230" s="90"/>
      <c r="AN1230" s="90"/>
      <c r="AO1230" s="90"/>
      <c r="AP1230" s="90"/>
      <c r="AQ1230" s="90"/>
      <c r="AR1230" s="90"/>
      <c r="AS1230" s="90"/>
      <c r="AT1230" s="90"/>
      <c r="AU1230" s="90"/>
      <c r="AV1230" s="91"/>
      <c r="AX1230" s="92"/>
    </row>
    <row r="1231" customFormat="false" ht="15.65" hidden="false" customHeight="false" outlineLevel="0" collapsed="false">
      <c r="C1231" s="72" t="n">
        <f aca="false">COUNTIFS($D$6:D1231,"&lt;&gt;"&amp;"")</f>
        <v>1226</v>
      </c>
      <c r="D1231" s="73" t="s">
        <v>12</v>
      </c>
      <c r="E1231" s="76" t="str">
        <f aca="false">
IF($D1231="정상",INDEX(임대자산!$D$3:$R$3000,MATCH($F1231,임대자산!$I$3:$I$3000,0),MATCH(E$3,임대자산!$D$3:$R$3,0)),
IF($D1231="폐업",INDEX(폐업정보!$D$3:$R$3000,MATCH($F1231,폐업정보!$I$3:$I$3000,0),MATCH(E$3,폐업정보!$D$3:$R$3,0)),
"Error"))</f>
        <v>서울</v>
      </c>
      <c r="F123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B1226</v>
      </c>
      <c r="G1231" s="76" t="str">
        <f aca="false">F1231&amp;RANDBETWEEN(0,10)</f>
        <v>B12265</v>
      </c>
      <c r="H1231" s="75" t="n">
        <f aca="false">
IF($D1231="정상",INDEX(임대자산!$D$3:$R$3000,MATCH($F1231,임대자산!$I$3:$I$3000,0),MATCH(H$4,임대자산!$D$3:$R$3,0)),
IF($D1231="폐업",INDEX(폐업정보!$D$3:$R$3000,MATCH($F1231,폐업정보!$I$3:$I$3000,0),MATCH(H$4,폐업정보!$D$3:$R$3,0)),
"Error"))</f>
        <v>45160</v>
      </c>
      <c r="I1231" s="75" t="str">
        <f aca="false">
IF($D1231="정상",INDEX(임대자산!$D$3:$R$3000,MATCH($F1231,임대자산!$I$3:$I$3000,0),MATCH(I$4,임대자산!$D$3:$R$3,0)),
IF($D1231="폐업",INDEX(폐업정보!$D$3:$R$3000,MATCH($F1231,폐업정보!$I$3:$I$3000,0),MATCH(I$4,폐업정보!$D$3:$R$3,0)),
"Error"))</f>
        <v>A1226</v>
      </c>
      <c r="J1231" s="75" t="str">
        <f aca="false">
IF($D1231="정상",INDEX(임대자산!$D$3:$R$3000,MATCH($F1231,임대자산!$I$3:$I$3000,0),MATCH(J$4,임대자산!$D$3:$R$3,0)),
IF($D1231="폐업",INDEX(폐업정보!$D$3:$R$3000,MATCH($F1231,폐업정보!$I$3:$I$3000,0),MATCH(J$4,폐업정보!$D$3:$R$3,0)),
"Error"))</f>
        <v>5698900000</v>
      </c>
      <c r="K1231" s="75" t="str">
        <f aca="false">
IF($D1231="정상",INDEX(임대자산!$D$3:$R$3000,MATCH($F1231,임대자산!$I$3:$I$3000,0),MATCH(K$4,임대자산!$D$3:$R$3,0)),
IF($D1231="폐업",INDEX(폐업정보!$D$3:$R$3000,MATCH($F1231,폐업정보!$I$3:$I$3000,0),MATCH(K$4,폐업정보!$D$3:$R$3,0)),
"Error"))</f>
        <v>C1226</v>
      </c>
      <c r="L1231" s="75" t="str">
        <f aca="false">
IF($D1231="정상",INDEX(임대자산!$D$3:$R$3000,MATCH($F1231,임대자산!$I$3:$I$3000,0),MATCH(L$4,임대자산!$D$3:$R$3,0)),
IF($D1231="폐업",INDEX(폐업정보!$D$3:$R$3000,MATCH($F1231,폐업정보!$I$3:$I$3000,0),MATCH(L$4,폐업정보!$D$3:$R$3,0)),
"Error"))</f>
        <v>D1226</v>
      </c>
      <c r="M1231" s="76" t="s">
        <v>96</v>
      </c>
      <c r="N1231" s="77"/>
      <c r="O1231" s="78" t="s">
        <v>97</v>
      </c>
      <c r="P1231" s="79" t="n">
        <f aca="false">COUNTIFS(임대자산!$I:$I,가맹점정보!F1231,임대자산!$N:$N,가맹점정보!P$4)</f>
        <v>0</v>
      </c>
      <c r="Q1231" s="80" t="n">
        <f aca="false">COUNTIFS(임대자산!$I:$I,가맹점정보!F1231,임대자산!$N:$N,가맹점정보!Q$4)</f>
        <v>0</v>
      </c>
      <c r="R1231" s="81" t="n">
        <f aca="false">COUNTIFS(임대자산!$I:$I,가맹점정보!F1231,임대자산!$N:$N,가맹점정보!R$4)</f>
        <v>1</v>
      </c>
      <c r="S1231" s="82" t="n">
        <v>88000</v>
      </c>
      <c r="T1231" s="83" t="n">
        <v>0</v>
      </c>
      <c r="U1231" s="80" t="n">
        <f aca="false">SUM(S1231:T1231)</f>
        <v>88000</v>
      </c>
      <c r="V1231" s="84" t="s">
        <v>7</v>
      </c>
      <c r="W1231" s="80" t="str">
        <f aca="true">
IF(D1231="폐업","폐업",
IF(V1231="면제","면제",
IF(AND(V1231="정상",COUNTIFS(OFFSET(Y1231,0,COUNTA(Y1231:AV1231)-1,1,-4),"미납")&gt;=3),"장기미납",
IF(AND(V1231="정상",OFFSET(Y1231,0,COUNTA(Y1231:AV1231)-1)&gt;=U1231),"정상",
IF(AND(V1231="정상",OFFSET(Y1231,0,COUNTA(Y1231:AV1231)-1)=0),"정상",
"계약서 미작성")))))</f>
        <v>면제</v>
      </c>
      <c r="X1231" s="81" t="str">
        <f aca="true">
IF(D1231="폐업","폐업",
IF(AND(V1231="정상",OFFSET(Y1231,0,COUNTA(Y1231:AV1231)-1)="미납"),"미납",
IF(AND(V1231="정상",OFFSET(Y1231,0,COUNTA(Y1231:AV1231)-1)=0),"납부 시작 전",
IF(AND(V1231="정상",OFFSET(Y1231,0,COUNTA(Y1231:AV1231)-1)&gt;=U1231),"정상",
IF(AND(V1231="면제",OFFSET(Y1231,0,COUNTA(Y1231:AV1231)-1)="면제"),"면제",
IF(AND(V1231="면제",OFFSET(Y1231,0,COUNTA(Y1231:AV1231)-1)=0),"면제",
"확인요청"))))))</f>
        <v>면제</v>
      </c>
      <c r="Y1231" s="94" t="s">
        <v>7</v>
      </c>
      <c r="Z1231" s="95" t="s">
        <v>7</v>
      </c>
      <c r="AA1231" s="95" t="s">
        <v>7</v>
      </c>
      <c r="AB1231" s="95" t="s">
        <v>7</v>
      </c>
      <c r="AC1231" s="95" t="s">
        <v>7</v>
      </c>
      <c r="AD1231" s="95" t="s">
        <v>7</v>
      </c>
      <c r="AE1231" s="95" t="s">
        <v>7</v>
      </c>
      <c r="AF1231" s="95" t="s">
        <v>7</v>
      </c>
      <c r="AG1231" s="95" t="s">
        <v>7</v>
      </c>
      <c r="AH1231" s="95" t="s">
        <v>7</v>
      </c>
      <c r="AI1231" s="95" t="s">
        <v>7</v>
      </c>
      <c r="AJ1231" s="96" t="s">
        <v>7</v>
      </c>
      <c r="AK1231" s="97" t="s">
        <v>7</v>
      </c>
      <c r="AL1231" s="95" t="s">
        <v>7</v>
      </c>
      <c r="AM1231" s="90"/>
      <c r="AN1231" s="90"/>
      <c r="AO1231" s="90"/>
      <c r="AP1231" s="90"/>
      <c r="AQ1231" s="90"/>
      <c r="AR1231" s="90"/>
      <c r="AS1231" s="90"/>
      <c r="AT1231" s="90"/>
      <c r="AU1231" s="90"/>
      <c r="AV1231" s="91"/>
      <c r="AX1231" s="92"/>
    </row>
    <row r="1232" customFormat="false" ht="15.65" hidden="false" customHeight="false" outlineLevel="0" collapsed="false">
      <c r="C1232" s="72" t="n">
        <f aca="false">COUNTIFS($D$6:D1232,"&lt;&gt;"&amp;"")</f>
        <v>1227</v>
      </c>
      <c r="D1232" s="73" t="s">
        <v>12</v>
      </c>
      <c r="E1232" s="76" t="str">
        <f aca="false">
IF($D1232="정상",INDEX(임대자산!$D$3:$R$3000,MATCH($F1232,임대자산!$I$3:$I$3000,0),MATCH(E$3,임대자산!$D$3:$R$3,0)),
IF($D1232="폐업",INDEX(폐업정보!$D$3:$R$3000,MATCH($F1232,폐업정보!$I$3:$I$3000,0),MATCH(E$3,폐업정보!$D$3:$R$3,0)),
"Error"))</f>
        <v>서울</v>
      </c>
      <c r="F123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B1227</v>
      </c>
      <c r="G1232" s="76" t="str">
        <f aca="false">F1232&amp;RANDBETWEEN(0,10)</f>
        <v>B12272</v>
      </c>
      <c r="H1232" s="75" t="n">
        <f aca="false">
IF($D1232="정상",INDEX(임대자산!$D$3:$R$3000,MATCH($F1232,임대자산!$I$3:$I$3000,0),MATCH(H$4,임대자산!$D$3:$R$3,0)),
IF($D1232="폐업",INDEX(폐업정보!$D$3:$R$3000,MATCH($F1232,폐업정보!$I$3:$I$3000,0),MATCH(H$4,폐업정보!$D$3:$R$3,0)),
"Error"))</f>
        <v>44972</v>
      </c>
      <c r="I1232" s="75" t="str">
        <f aca="false">
IF($D1232="정상",INDEX(임대자산!$D$3:$R$3000,MATCH($F1232,임대자산!$I$3:$I$3000,0),MATCH(I$4,임대자산!$D$3:$R$3,0)),
IF($D1232="폐업",INDEX(폐업정보!$D$3:$R$3000,MATCH($F1232,폐업정보!$I$3:$I$3000,0),MATCH(I$4,폐업정보!$D$3:$R$3,0)),
"Error"))</f>
        <v>A1227</v>
      </c>
      <c r="J1232" s="75" t="str">
        <f aca="false">
IF($D1232="정상",INDEX(임대자산!$D$3:$R$3000,MATCH($F1232,임대자산!$I$3:$I$3000,0),MATCH(J$4,임대자산!$D$3:$R$3,0)),
IF($D1232="폐업",INDEX(폐업정보!$D$3:$R$3000,MATCH($F1232,폐업정보!$I$3:$I$3000,0),MATCH(J$4,폐업정보!$D$3:$R$3,0)),
"Error"))</f>
        <v>9459800000</v>
      </c>
      <c r="K1232" s="75" t="str">
        <f aca="false">
IF($D1232="정상",INDEX(임대자산!$D$3:$R$3000,MATCH($F1232,임대자산!$I$3:$I$3000,0),MATCH(K$4,임대자산!$D$3:$R$3,0)),
IF($D1232="폐업",INDEX(폐업정보!$D$3:$R$3000,MATCH($F1232,폐업정보!$I$3:$I$3000,0),MATCH(K$4,폐업정보!$D$3:$R$3,0)),
"Error"))</f>
        <v>C1227</v>
      </c>
      <c r="L1232" s="75" t="str">
        <f aca="false">
IF($D1232="정상",INDEX(임대자산!$D$3:$R$3000,MATCH($F1232,임대자산!$I$3:$I$3000,0),MATCH(L$4,임대자산!$D$3:$R$3,0)),
IF($D1232="폐업",INDEX(폐업정보!$D$3:$R$3000,MATCH($F1232,폐업정보!$I$3:$I$3000,0),MATCH(L$4,폐업정보!$D$3:$R$3,0)),
"Error"))</f>
        <v>D1227</v>
      </c>
      <c r="M1232" s="76" t="s">
        <v>96</v>
      </c>
      <c r="N1232" s="77"/>
      <c r="O1232" s="78" t="s">
        <v>97</v>
      </c>
      <c r="P1232" s="79" t="n">
        <f aca="false">COUNTIFS(임대자산!$I:$I,가맹점정보!F1232,임대자산!$N:$N,가맹점정보!P$4)</f>
        <v>0</v>
      </c>
      <c r="Q1232" s="80" t="n">
        <f aca="false">COUNTIFS(임대자산!$I:$I,가맹점정보!F1232,임대자산!$N:$N,가맹점정보!Q$4)</f>
        <v>0</v>
      </c>
      <c r="R1232" s="81" t="n">
        <f aca="false">COUNTIFS(임대자산!$I:$I,가맹점정보!F1232,임대자산!$N:$N,가맹점정보!R$4)</f>
        <v>1</v>
      </c>
      <c r="S1232" s="82" t="n">
        <v>55000</v>
      </c>
      <c r="T1232" s="83" t="n">
        <v>0</v>
      </c>
      <c r="U1232" s="80" t="n">
        <f aca="false">SUM(S1232:T1232)</f>
        <v>55000</v>
      </c>
      <c r="V1232" s="84" t="s">
        <v>7</v>
      </c>
      <c r="W1232" s="80" t="str">
        <f aca="true">
IF(D1232="폐업","폐업",
IF(V1232="면제","면제",
IF(AND(V1232="정상",COUNTIFS(OFFSET(Y1232,0,COUNTA(Y1232:AV1232)-1,1,-4),"미납")&gt;=3),"장기미납",
IF(AND(V1232="정상",OFFSET(Y1232,0,COUNTA(Y1232:AV1232)-1)&gt;=U1232),"정상",
IF(AND(V1232="정상",OFFSET(Y1232,0,COUNTA(Y1232:AV1232)-1)=0),"정상",
"계약서 미작성")))))</f>
        <v>면제</v>
      </c>
      <c r="X1232" s="81" t="str">
        <f aca="true">
IF(D1232="폐업","폐업",
IF(AND(V1232="정상",OFFSET(Y1232,0,COUNTA(Y1232:AV1232)-1)="미납"),"미납",
IF(AND(V1232="정상",OFFSET(Y1232,0,COUNTA(Y1232:AV1232)-1)=0),"납부 시작 전",
IF(AND(V1232="정상",OFFSET(Y1232,0,COUNTA(Y1232:AV1232)-1)&gt;=U1232),"정상",
IF(AND(V1232="면제",OFFSET(Y1232,0,COUNTA(Y1232:AV1232)-1)="면제"),"면제",
IF(AND(V1232="면제",OFFSET(Y1232,0,COUNTA(Y1232:AV1232)-1)=0),"면제",
"확인요청"))))))</f>
        <v>면제</v>
      </c>
      <c r="Y1232" s="94" t="s">
        <v>7</v>
      </c>
      <c r="Z1232" s="95" t="s">
        <v>7</v>
      </c>
      <c r="AA1232" s="95" t="s">
        <v>7</v>
      </c>
      <c r="AB1232" s="95" t="s">
        <v>7</v>
      </c>
      <c r="AC1232" s="95" t="s">
        <v>7</v>
      </c>
      <c r="AD1232" s="95" t="s">
        <v>7</v>
      </c>
      <c r="AE1232" s="95" t="s">
        <v>7</v>
      </c>
      <c r="AF1232" s="95" t="s">
        <v>7</v>
      </c>
      <c r="AG1232" s="95" t="s">
        <v>7</v>
      </c>
      <c r="AH1232" s="95" t="s">
        <v>7</v>
      </c>
      <c r="AI1232" s="95" t="s">
        <v>7</v>
      </c>
      <c r="AJ1232" s="96" t="s">
        <v>7</v>
      </c>
      <c r="AK1232" s="97" t="s">
        <v>7</v>
      </c>
      <c r="AL1232" s="95" t="s">
        <v>7</v>
      </c>
      <c r="AM1232" s="90"/>
      <c r="AN1232" s="90"/>
      <c r="AO1232" s="90"/>
      <c r="AP1232" s="90"/>
      <c r="AQ1232" s="90"/>
      <c r="AR1232" s="90"/>
      <c r="AS1232" s="90"/>
      <c r="AT1232" s="90"/>
      <c r="AU1232" s="90"/>
      <c r="AV1232" s="91"/>
      <c r="AX1232" s="92"/>
    </row>
    <row r="1233" customFormat="false" ht="15.65" hidden="false" customHeight="false" outlineLevel="0" collapsed="false">
      <c r="C1233" s="72" t="n">
        <f aca="false">COUNTIFS($D$6:D1233,"&lt;&gt;"&amp;"")</f>
        <v>1228</v>
      </c>
      <c r="D1233" s="73" t="s">
        <v>12</v>
      </c>
      <c r="E1233" s="76" t="str">
        <f aca="false">
IF($D1233="정상",INDEX(임대자산!$D$3:$R$3000,MATCH($F1233,임대자산!$I$3:$I$3000,0),MATCH(E$3,임대자산!$D$3:$R$3,0)),
IF($D1233="폐업",INDEX(폐업정보!$D$3:$R$3000,MATCH($F1233,폐업정보!$I$3:$I$3000,0),MATCH(E$3,폐업정보!$D$3:$R$3,0)),
"Error"))</f>
        <v>서울</v>
      </c>
      <c r="F123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B1228</v>
      </c>
      <c r="G1233" s="76" t="str">
        <f aca="false">F1233&amp;RANDBETWEEN(0,10)</f>
        <v>B12283</v>
      </c>
      <c r="H1233" s="75" t="n">
        <f aca="false">
IF($D1233="정상",INDEX(임대자산!$D$3:$R$3000,MATCH($F1233,임대자산!$I$3:$I$3000,0),MATCH(H$4,임대자산!$D$3:$R$3,0)),
IF($D1233="폐업",INDEX(폐업정보!$D$3:$R$3000,MATCH($F1233,폐업정보!$I$3:$I$3000,0),MATCH(H$4,폐업정보!$D$3:$R$3,0)),
"Error"))</f>
        <v>45238</v>
      </c>
      <c r="I1233" s="75" t="str">
        <f aca="false">
IF($D1233="정상",INDEX(임대자산!$D$3:$R$3000,MATCH($F1233,임대자산!$I$3:$I$3000,0),MATCH(I$4,임대자산!$D$3:$R$3,0)),
IF($D1233="폐업",INDEX(폐업정보!$D$3:$R$3000,MATCH($F1233,폐업정보!$I$3:$I$3000,0),MATCH(I$4,폐업정보!$D$3:$R$3,0)),
"Error"))</f>
        <v>A1228</v>
      </c>
      <c r="J1233" s="75" t="str">
        <f aca="false">
IF($D1233="정상",INDEX(임대자산!$D$3:$R$3000,MATCH($F1233,임대자산!$I$3:$I$3000,0),MATCH(J$4,임대자산!$D$3:$R$3,0)),
IF($D1233="폐업",INDEX(폐업정보!$D$3:$R$3000,MATCH($F1233,폐업정보!$I$3:$I$3000,0),MATCH(J$4,폐업정보!$D$3:$R$3,0)),
"Error"))</f>
        <v>3991300000</v>
      </c>
      <c r="K1233" s="75" t="str">
        <f aca="false">
IF($D1233="정상",INDEX(임대자산!$D$3:$R$3000,MATCH($F1233,임대자산!$I$3:$I$3000,0),MATCH(K$4,임대자산!$D$3:$R$3,0)),
IF($D1233="폐업",INDEX(폐업정보!$D$3:$R$3000,MATCH($F1233,폐업정보!$I$3:$I$3000,0),MATCH(K$4,폐업정보!$D$3:$R$3,0)),
"Error"))</f>
        <v>C1228</v>
      </c>
      <c r="L1233" s="75" t="str">
        <f aca="false">
IF($D1233="정상",INDEX(임대자산!$D$3:$R$3000,MATCH($F1233,임대자산!$I$3:$I$3000,0),MATCH(L$4,임대자산!$D$3:$R$3,0)),
IF($D1233="폐업",INDEX(폐업정보!$D$3:$R$3000,MATCH($F1233,폐업정보!$I$3:$I$3000,0),MATCH(L$4,폐업정보!$D$3:$R$3,0)),
"Error"))</f>
        <v>D1228</v>
      </c>
      <c r="M1233" s="76" t="s">
        <v>96</v>
      </c>
      <c r="N1233" s="77"/>
      <c r="O1233" s="78" t="s">
        <v>97</v>
      </c>
      <c r="P1233" s="79" t="n">
        <f aca="false">COUNTIFS(임대자산!$I:$I,가맹점정보!F1233,임대자산!$N:$N,가맹점정보!P$4)</f>
        <v>0</v>
      </c>
      <c r="Q1233" s="80" t="n">
        <f aca="false">COUNTIFS(임대자산!$I:$I,가맹점정보!F1233,임대자산!$N:$N,가맹점정보!Q$4)</f>
        <v>0</v>
      </c>
      <c r="R1233" s="81" t="n">
        <f aca="false">COUNTIFS(임대자산!$I:$I,가맹점정보!F1233,임대자산!$N:$N,가맹점정보!R$4)</f>
        <v>1</v>
      </c>
      <c r="S1233" s="82" t="n">
        <v>55000</v>
      </c>
      <c r="T1233" s="83" t="n">
        <v>0</v>
      </c>
      <c r="U1233" s="80" t="n">
        <f aca="false">SUM(S1233:T1233)</f>
        <v>55000</v>
      </c>
      <c r="V1233" s="84" t="s">
        <v>7</v>
      </c>
      <c r="W1233" s="80" t="str">
        <f aca="true">
IF(D1233="폐업","폐업",
IF(V1233="면제","면제",
IF(AND(V1233="정상",COUNTIFS(OFFSET(Y1233,0,COUNTA(Y1233:AV1233)-1,1,-4),"미납")&gt;=3),"장기미납",
IF(AND(V1233="정상",OFFSET(Y1233,0,COUNTA(Y1233:AV1233)-1)&gt;=U1233),"정상",
IF(AND(V1233="정상",OFFSET(Y1233,0,COUNTA(Y1233:AV1233)-1)=0),"정상",
"계약서 미작성")))))</f>
        <v>면제</v>
      </c>
      <c r="X1233" s="81" t="str">
        <f aca="true">
IF(D1233="폐업","폐업",
IF(AND(V1233="정상",OFFSET(Y1233,0,COUNTA(Y1233:AV1233)-1)="미납"),"미납",
IF(AND(V1233="정상",OFFSET(Y1233,0,COUNTA(Y1233:AV1233)-1)=0),"납부 시작 전",
IF(AND(V1233="정상",OFFSET(Y1233,0,COUNTA(Y1233:AV1233)-1)&gt;=U1233),"정상",
IF(AND(V1233="면제",OFFSET(Y1233,0,COUNTA(Y1233:AV1233)-1)="면제"),"면제",
IF(AND(V1233="면제",OFFSET(Y1233,0,COUNTA(Y1233:AV1233)-1)=0),"면제",
"확인요청"))))))</f>
        <v>면제</v>
      </c>
      <c r="Y1233" s="94" t="s">
        <v>7</v>
      </c>
      <c r="Z1233" s="95" t="s">
        <v>7</v>
      </c>
      <c r="AA1233" s="95" t="s">
        <v>7</v>
      </c>
      <c r="AB1233" s="95" t="s">
        <v>7</v>
      </c>
      <c r="AC1233" s="95" t="s">
        <v>7</v>
      </c>
      <c r="AD1233" s="95" t="s">
        <v>7</v>
      </c>
      <c r="AE1233" s="95" t="s">
        <v>7</v>
      </c>
      <c r="AF1233" s="95" t="s">
        <v>7</v>
      </c>
      <c r="AG1233" s="95" t="s">
        <v>7</v>
      </c>
      <c r="AH1233" s="95" t="s">
        <v>7</v>
      </c>
      <c r="AI1233" s="95" t="s">
        <v>7</v>
      </c>
      <c r="AJ1233" s="96" t="s">
        <v>7</v>
      </c>
      <c r="AK1233" s="97" t="s">
        <v>7</v>
      </c>
      <c r="AL1233" s="95" t="s">
        <v>7</v>
      </c>
      <c r="AM1233" s="90"/>
      <c r="AN1233" s="90"/>
      <c r="AO1233" s="90"/>
      <c r="AP1233" s="90"/>
      <c r="AQ1233" s="90"/>
      <c r="AR1233" s="90"/>
      <c r="AS1233" s="90"/>
      <c r="AT1233" s="90"/>
      <c r="AU1233" s="90"/>
      <c r="AV1233" s="91"/>
      <c r="AX1233" s="92"/>
    </row>
    <row r="1234" customFormat="false" ht="15.65" hidden="false" customHeight="false" outlineLevel="0" collapsed="false">
      <c r="C1234" s="72" t="n">
        <f aca="false">COUNTIFS($D$6:D1234,"&lt;&gt;"&amp;"")</f>
        <v>1229</v>
      </c>
      <c r="D1234" s="73" t="s">
        <v>12</v>
      </c>
      <c r="E1234" s="76" t="str">
        <f aca="false">
IF($D1234="정상",INDEX(임대자산!$D$3:$R$3000,MATCH($F1234,임대자산!$I$3:$I$3000,0),MATCH(E$3,임대자산!$D$3:$R$3,0)),
IF($D1234="폐업",INDEX(폐업정보!$D$3:$R$3000,MATCH($F1234,폐업정보!$I$3:$I$3000,0),MATCH(E$3,폐업정보!$D$3:$R$3,0)),
"Error"))</f>
        <v>서울</v>
      </c>
      <c r="F123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B1229</v>
      </c>
      <c r="G1234" s="76" t="str">
        <f aca="false">F1234&amp;RANDBETWEEN(0,10)</f>
        <v>B12290</v>
      </c>
      <c r="H1234" s="75" t="n">
        <f aca="false">
IF($D1234="정상",INDEX(임대자산!$D$3:$R$3000,MATCH($F1234,임대자산!$I$3:$I$3000,0),MATCH(H$4,임대자산!$D$3:$R$3,0)),
IF($D1234="폐업",INDEX(폐업정보!$D$3:$R$3000,MATCH($F1234,폐업정보!$I$3:$I$3000,0),MATCH(H$4,폐업정보!$D$3:$R$3,0)),
"Error"))</f>
        <v>45005</v>
      </c>
      <c r="I1234" s="75" t="str">
        <f aca="false">
IF($D1234="정상",INDEX(임대자산!$D$3:$R$3000,MATCH($F1234,임대자산!$I$3:$I$3000,0),MATCH(I$4,임대자산!$D$3:$R$3,0)),
IF($D1234="폐업",INDEX(폐업정보!$D$3:$R$3000,MATCH($F1234,폐업정보!$I$3:$I$3000,0),MATCH(I$4,폐업정보!$D$3:$R$3,0)),
"Error"))</f>
        <v>A1229</v>
      </c>
      <c r="J1234" s="75" t="str">
        <f aca="false">
IF($D1234="정상",INDEX(임대자산!$D$3:$R$3000,MATCH($F1234,임대자산!$I$3:$I$3000,0),MATCH(J$4,임대자산!$D$3:$R$3,0)),
IF($D1234="폐업",INDEX(폐업정보!$D$3:$R$3000,MATCH($F1234,폐업정보!$I$3:$I$3000,0),MATCH(J$4,폐업정보!$D$3:$R$3,0)),
"Error"))</f>
        <v>5342000000</v>
      </c>
      <c r="K1234" s="75" t="str">
        <f aca="false">
IF($D1234="정상",INDEX(임대자산!$D$3:$R$3000,MATCH($F1234,임대자산!$I$3:$I$3000,0),MATCH(K$4,임대자산!$D$3:$R$3,0)),
IF($D1234="폐업",INDEX(폐업정보!$D$3:$R$3000,MATCH($F1234,폐업정보!$I$3:$I$3000,0),MATCH(K$4,폐업정보!$D$3:$R$3,0)),
"Error"))</f>
        <v>C1229</v>
      </c>
      <c r="L1234" s="75" t="str">
        <f aca="false">
IF($D1234="정상",INDEX(임대자산!$D$3:$R$3000,MATCH($F1234,임대자산!$I$3:$I$3000,0),MATCH(L$4,임대자산!$D$3:$R$3,0)),
IF($D1234="폐업",INDEX(폐업정보!$D$3:$R$3000,MATCH($F1234,폐업정보!$I$3:$I$3000,0),MATCH(L$4,폐업정보!$D$3:$R$3,0)),
"Error"))</f>
        <v>D1229</v>
      </c>
      <c r="M1234" s="76" t="s">
        <v>96</v>
      </c>
      <c r="N1234" s="77"/>
      <c r="O1234" s="78" t="s">
        <v>97</v>
      </c>
      <c r="P1234" s="79" t="n">
        <f aca="false">COUNTIFS(임대자산!$I:$I,가맹점정보!F1234,임대자산!$N:$N,가맹점정보!P$4)</f>
        <v>0</v>
      </c>
      <c r="Q1234" s="80" t="n">
        <f aca="false">COUNTIFS(임대자산!$I:$I,가맹점정보!F1234,임대자산!$N:$N,가맹점정보!Q$4)</f>
        <v>0</v>
      </c>
      <c r="R1234" s="81" t="n">
        <f aca="false">COUNTIFS(임대자산!$I:$I,가맹점정보!F1234,임대자산!$N:$N,가맹점정보!R$4)</f>
        <v>1</v>
      </c>
      <c r="S1234" s="82" t="n">
        <v>88000</v>
      </c>
      <c r="T1234" s="83" t="n">
        <v>0</v>
      </c>
      <c r="U1234" s="80" t="n">
        <f aca="false">SUM(S1234:T1234)</f>
        <v>88000</v>
      </c>
      <c r="V1234" s="84" t="s">
        <v>7</v>
      </c>
      <c r="W1234" s="80" t="str">
        <f aca="true">
IF(D1234="폐업","폐업",
IF(V1234="면제","면제",
IF(AND(V1234="정상",COUNTIFS(OFFSET(Y1234,0,COUNTA(Y1234:AV1234)-1,1,-4),"미납")&gt;=3),"장기미납",
IF(AND(V1234="정상",OFFSET(Y1234,0,COUNTA(Y1234:AV1234)-1)&gt;=U1234),"정상",
IF(AND(V1234="정상",OFFSET(Y1234,0,COUNTA(Y1234:AV1234)-1)=0),"정상",
"계약서 미작성")))))</f>
        <v>면제</v>
      </c>
      <c r="X1234" s="81" t="str">
        <f aca="true">
IF(D1234="폐업","폐업",
IF(AND(V1234="정상",OFFSET(Y1234,0,COUNTA(Y1234:AV1234)-1)="미납"),"미납",
IF(AND(V1234="정상",OFFSET(Y1234,0,COUNTA(Y1234:AV1234)-1)=0),"납부 시작 전",
IF(AND(V1234="정상",OFFSET(Y1234,0,COUNTA(Y1234:AV1234)-1)&gt;=U1234),"정상",
IF(AND(V1234="면제",OFFSET(Y1234,0,COUNTA(Y1234:AV1234)-1)="면제"),"면제",
IF(AND(V1234="면제",OFFSET(Y1234,0,COUNTA(Y1234:AV1234)-1)=0),"면제",
"확인요청"))))))</f>
        <v>면제</v>
      </c>
      <c r="Y1234" s="94" t="s">
        <v>7</v>
      </c>
      <c r="Z1234" s="95" t="s">
        <v>7</v>
      </c>
      <c r="AA1234" s="95" t="s">
        <v>7</v>
      </c>
      <c r="AB1234" s="95" t="s">
        <v>7</v>
      </c>
      <c r="AC1234" s="95" t="s">
        <v>7</v>
      </c>
      <c r="AD1234" s="95" t="s">
        <v>7</v>
      </c>
      <c r="AE1234" s="95" t="s">
        <v>7</v>
      </c>
      <c r="AF1234" s="95" t="s">
        <v>7</v>
      </c>
      <c r="AG1234" s="95" t="s">
        <v>7</v>
      </c>
      <c r="AH1234" s="95" t="s">
        <v>7</v>
      </c>
      <c r="AI1234" s="95" t="s">
        <v>7</v>
      </c>
      <c r="AJ1234" s="96" t="s">
        <v>7</v>
      </c>
      <c r="AK1234" s="97" t="s">
        <v>7</v>
      </c>
      <c r="AL1234" s="95" t="s">
        <v>7</v>
      </c>
      <c r="AM1234" s="90"/>
      <c r="AN1234" s="90"/>
      <c r="AO1234" s="90"/>
      <c r="AP1234" s="90"/>
      <c r="AQ1234" s="90"/>
      <c r="AR1234" s="90"/>
      <c r="AS1234" s="90"/>
      <c r="AT1234" s="90"/>
      <c r="AU1234" s="90"/>
      <c r="AV1234" s="91"/>
      <c r="AX1234" s="92"/>
    </row>
    <row r="1235" customFormat="false" ht="15.65" hidden="false" customHeight="false" outlineLevel="0" collapsed="false">
      <c r="C1235" s="72" t="n">
        <f aca="false">COUNTIFS($D$6:D1235,"&lt;&gt;"&amp;"")</f>
        <v>1230</v>
      </c>
      <c r="D1235" s="73" t="s">
        <v>12</v>
      </c>
      <c r="E1235" s="76" t="str">
        <f aca="false">
IF($D1235="정상",INDEX(임대자산!$D$3:$R$3000,MATCH($F1235,임대자산!$I$3:$I$3000,0),MATCH(E$3,임대자산!$D$3:$R$3,0)),
IF($D1235="폐업",INDEX(폐업정보!$D$3:$R$3000,MATCH($F1235,폐업정보!$I$3:$I$3000,0),MATCH(E$3,폐업정보!$D$3:$R$3,0)),
"Error"))</f>
        <v>서울</v>
      </c>
      <c r="F123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B1230</v>
      </c>
      <c r="G1235" s="76" t="str">
        <f aca="false">F1235&amp;RANDBETWEEN(0,10)</f>
        <v>B12303</v>
      </c>
      <c r="H1235" s="75" t="n">
        <f aca="false">
IF($D1235="정상",INDEX(임대자산!$D$3:$R$3000,MATCH($F1235,임대자산!$I$3:$I$3000,0),MATCH(H$4,임대자산!$D$3:$R$3,0)),
IF($D1235="폐업",INDEX(폐업정보!$D$3:$R$3000,MATCH($F1235,폐업정보!$I$3:$I$3000,0),MATCH(H$4,폐업정보!$D$3:$R$3,0)),
"Error"))</f>
        <v>45005</v>
      </c>
      <c r="I1235" s="75" t="str">
        <f aca="false">
IF($D1235="정상",INDEX(임대자산!$D$3:$R$3000,MATCH($F1235,임대자산!$I$3:$I$3000,0),MATCH(I$4,임대자산!$D$3:$R$3,0)),
IF($D1235="폐업",INDEX(폐업정보!$D$3:$R$3000,MATCH($F1235,폐업정보!$I$3:$I$3000,0),MATCH(I$4,폐업정보!$D$3:$R$3,0)),
"Error"))</f>
        <v>A1230</v>
      </c>
      <c r="J1235" s="75" t="str">
        <f aca="false">
IF($D1235="정상",INDEX(임대자산!$D$3:$R$3000,MATCH($F1235,임대자산!$I$3:$I$3000,0),MATCH(J$4,임대자산!$D$3:$R$3,0)),
IF($D1235="폐업",INDEX(폐업정보!$D$3:$R$3000,MATCH($F1235,폐업정보!$I$3:$I$3000,0),MATCH(J$4,폐업정보!$D$3:$R$3,0)),
"Error"))</f>
        <v>4311400000</v>
      </c>
      <c r="K1235" s="75" t="str">
        <f aca="false">
IF($D1235="정상",INDEX(임대자산!$D$3:$R$3000,MATCH($F1235,임대자산!$I$3:$I$3000,0),MATCH(K$4,임대자산!$D$3:$R$3,0)),
IF($D1235="폐업",INDEX(폐업정보!$D$3:$R$3000,MATCH($F1235,폐업정보!$I$3:$I$3000,0),MATCH(K$4,폐업정보!$D$3:$R$3,0)),
"Error"))</f>
        <v>C1230</v>
      </c>
      <c r="L1235" s="75" t="str">
        <f aca="false">
IF($D1235="정상",INDEX(임대자산!$D$3:$R$3000,MATCH($F1235,임대자산!$I$3:$I$3000,0),MATCH(L$4,임대자산!$D$3:$R$3,0)),
IF($D1235="폐업",INDEX(폐업정보!$D$3:$R$3000,MATCH($F1235,폐업정보!$I$3:$I$3000,0),MATCH(L$4,폐업정보!$D$3:$R$3,0)),
"Error"))</f>
        <v>D1230</v>
      </c>
      <c r="M1235" s="76" t="s">
        <v>96</v>
      </c>
      <c r="N1235" s="77"/>
      <c r="O1235" s="78" t="s">
        <v>97</v>
      </c>
      <c r="P1235" s="79" t="n">
        <f aca="false">COUNTIFS(임대자산!$I:$I,가맹점정보!F1235,임대자산!$N:$N,가맹점정보!P$4)</f>
        <v>0</v>
      </c>
      <c r="Q1235" s="80" t="n">
        <f aca="false">COUNTIFS(임대자산!$I:$I,가맹점정보!F1235,임대자산!$N:$N,가맹점정보!Q$4)</f>
        <v>0</v>
      </c>
      <c r="R1235" s="81" t="n">
        <f aca="false">COUNTIFS(임대자산!$I:$I,가맹점정보!F1235,임대자산!$N:$N,가맹점정보!R$4)</f>
        <v>1</v>
      </c>
      <c r="S1235" s="82" t="n">
        <v>88000</v>
      </c>
      <c r="T1235" s="83" t="n">
        <v>0</v>
      </c>
      <c r="U1235" s="80" t="n">
        <f aca="false">SUM(S1235:T1235)</f>
        <v>88000</v>
      </c>
      <c r="V1235" s="84" t="s">
        <v>7</v>
      </c>
      <c r="W1235" s="80" t="str">
        <f aca="true">
IF(D1235="폐업","폐업",
IF(V1235="면제","면제",
IF(AND(V1235="정상",COUNTIFS(OFFSET(Y1235,0,COUNTA(Y1235:AV1235)-1,1,-4),"미납")&gt;=3),"장기미납",
IF(AND(V1235="정상",OFFSET(Y1235,0,COUNTA(Y1235:AV1235)-1)&gt;=U1235),"정상",
IF(AND(V1235="정상",OFFSET(Y1235,0,COUNTA(Y1235:AV1235)-1)=0),"정상",
"계약서 미작성")))))</f>
        <v>면제</v>
      </c>
      <c r="X1235" s="81" t="str">
        <f aca="true">
IF(D1235="폐업","폐업",
IF(AND(V1235="정상",OFFSET(Y1235,0,COUNTA(Y1235:AV1235)-1)="미납"),"미납",
IF(AND(V1235="정상",OFFSET(Y1235,0,COUNTA(Y1235:AV1235)-1)=0),"납부 시작 전",
IF(AND(V1235="정상",OFFSET(Y1235,0,COUNTA(Y1235:AV1235)-1)&gt;=U1235),"정상",
IF(AND(V1235="면제",OFFSET(Y1235,0,COUNTA(Y1235:AV1235)-1)="면제"),"면제",
IF(AND(V1235="면제",OFFSET(Y1235,0,COUNTA(Y1235:AV1235)-1)=0),"면제",
"확인요청"))))))</f>
        <v>면제</v>
      </c>
      <c r="Y1235" s="94" t="s">
        <v>7</v>
      </c>
      <c r="Z1235" s="95" t="s">
        <v>7</v>
      </c>
      <c r="AA1235" s="95" t="s">
        <v>7</v>
      </c>
      <c r="AB1235" s="95" t="s">
        <v>7</v>
      </c>
      <c r="AC1235" s="95" t="s">
        <v>7</v>
      </c>
      <c r="AD1235" s="95" t="s">
        <v>7</v>
      </c>
      <c r="AE1235" s="95" t="s">
        <v>7</v>
      </c>
      <c r="AF1235" s="95" t="s">
        <v>7</v>
      </c>
      <c r="AG1235" s="95" t="s">
        <v>7</v>
      </c>
      <c r="AH1235" s="95" t="s">
        <v>7</v>
      </c>
      <c r="AI1235" s="95" t="s">
        <v>7</v>
      </c>
      <c r="AJ1235" s="96" t="s">
        <v>7</v>
      </c>
      <c r="AK1235" s="97" t="s">
        <v>7</v>
      </c>
      <c r="AL1235" s="95" t="s">
        <v>7</v>
      </c>
      <c r="AM1235" s="90"/>
      <c r="AN1235" s="90"/>
      <c r="AO1235" s="90"/>
      <c r="AP1235" s="90"/>
      <c r="AQ1235" s="90"/>
      <c r="AR1235" s="90"/>
      <c r="AS1235" s="90"/>
      <c r="AT1235" s="90"/>
      <c r="AU1235" s="90"/>
      <c r="AV1235" s="91"/>
      <c r="AX1235" s="92"/>
    </row>
    <row r="1236" customFormat="false" ht="15.65" hidden="false" customHeight="false" outlineLevel="0" collapsed="false">
      <c r="C1236" s="72" t="n">
        <f aca="false">COUNTIFS($D$6:D1236,"&lt;&gt;"&amp;"")</f>
        <v>1231</v>
      </c>
      <c r="D1236" s="73" t="s">
        <v>12</v>
      </c>
      <c r="E1236" s="76" t="str">
        <f aca="false">
IF($D1236="정상",INDEX(임대자산!$D$3:$R$3000,MATCH($F1236,임대자산!$I$3:$I$3000,0),MATCH(E$3,임대자산!$D$3:$R$3,0)),
IF($D1236="폐업",INDEX(폐업정보!$D$3:$R$3000,MATCH($F1236,폐업정보!$I$3:$I$3000,0),MATCH(E$3,폐업정보!$D$3:$R$3,0)),
"Error"))</f>
        <v>서울</v>
      </c>
      <c r="F123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B1231</v>
      </c>
      <c r="G1236" s="76" t="str">
        <f aca="false">F1236&amp;RANDBETWEEN(0,10)</f>
        <v>B12312</v>
      </c>
      <c r="H1236" s="75" t="n">
        <f aca="false">
IF($D1236="정상",INDEX(임대자산!$D$3:$R$3000,MATCH($F1236,임대자산!$I$3:$I$3000,0),MATCH(H$4,임대자산!$D$3:$R$3,0)),
IF($D1236="폐업",INDEX(폐업정보!$D$3:$R$3000,MATCH($F1236,폐업정보!$I$3:$I$3000,0),MATCH(H$4,폐업정보!$D$3:$R$3,0)),
"Error"))</f>
        <v>45266</v>
      </c>
      <c r="I1236" s="75" t="str">
        <f aca="false">
IF($D1236="정상",INDEX(임대자산!$D$3:$R$3000,MATCH($F1236,임대자산!$I$3:$I$3000,0),MATCH(I$4,임대자산!$D$3:$R$3,0)),
IF($D1236="폐업",INDEX(폐업정보!$D$3:$R$3000,MATCH($F1236,폐업정보!$I$3:$I$3000,0),MATCH(I$4,폐업정보!$D$3:$R$3,0)),
"Error"))</f>
        <v>A1231</v>
      </c>
      <c r="J1236" s="75" t="str">
        <f aca="false">
IF($D1236="정상",INDEX(임대자산!$D$3:$R$3000,MATCH($F1236,임대자산!$I$3:$I$3000,0),MATCH(J$4,임대자산!$D$3:$R$3,0)),
IF($D1236="폐업",INDEX(폐업정보!$D$3:$R$3000,MATCH($F1236,폐업정보!$I$3:$I$3000,0),MATCH(J$4,폐업정보!$D$3:$R$3,0)),
"Error"))</f>
        <v>6660000000</v>
      </c>
      <c r="K1236" s="75" t="str">
        <f aca="false">
IF($D1236="정상",INDEX(임대자산!$D$3:$R$3000,MATCH($F1236,임대자산!$I$3:$I$3000,0),MATCH(K$4,임대자산!$D$3:$R$3,0)),
IF($D1236="폐업",INDEX(폐업정보!$D$3:$R$3000,MATCH($F1236,폐업정보!$I$3:$I$3000,0),MATCH(K$4,폐업정보!$D$3:$R$3,0)),
"Error"))</f>
        <v>C1231</v>
      </c>
      <c r="L1236" s="75" t="str">
        <f aca="false">
IF($D1236="정상",INDEX(임대자산!$D$3:$R$3000,MATCH($F1236,임대자산!$I$3:$I$3000,0),MATCH(L$4,임대자산!$D$3:$R$3,0)),
IF($D1236="폐업",INDEX(폐업정보!$D$3:$R$3000,MATCH($F1236,폐업정보!$I$3:$I$3000,0),MATCH(L$4,폐업정보!$D$3:$R$3,0)),
"Error"))</f>
        <v>D1231</v>
      </c>
      <c r="M1236" s="76" t="s">
        <v>96</v>
      </c>
      <c r="N1236" s="77"/>
      <c r="O1236" s="78" t="s">
        <v>97</v>
      </c>
      <c r="P1236" s="79" t="n">
        <f aca="false">COUNTIFS(임대자산!$I:$I,가맹점정보!F1236,임대자산!$N:$N,가맹점정보!P$4)</f>
        <v>0</v>
      </c>
      <c r="Q1236" s="80" t="n">
        <f aca="false">COUNTIFS(임대자산!$I:$I,가맹점정보!F1236,임대자산!$N:$N,가맹점정보!Q$4)</f>
        <v>0</v>
      </c>
      <c r="R1236" s="81" t="n">
        <f aca="false">COUNTIFS(임대자산!$I:$I,가맹점정보!F1236,임대자산!$N:$N,가맹점정보!R$4)</f>
        <v>1</v>
      </c>
      <c r="S1236" s="82" t="n">
        <v>55000</v>
      </c>
      <c r="T1236" s="83" t="n">
        <v>0</v>
      </c>
      <c r="U1236" s="80" t="n">
        <f aca="false">SUM(S1236:T1236)</f>
        <v>55000</v>
      </c>
      <c r="V1236" s="84" t="s">
        <v>7</v>
      </c>
      <c r="W1236" s="80" t="str">
        <f aca="true">
IF(D1236="폐업","폐업",
IF(V1236="면제","면제",
IF(AND(V1236="정상",COUNTIFS(OFFSET(Y1236,0,COUNTA(Y1236:AV1236)-1,1,-4),"미납")&gt;=3),"장기미납",
IF(AND(V1236="정상",OFFSET(Y1236,0,COUNTA(Y1236:AV1236)-1)&gt;=U1236),"정상",
IF(AND(V1236="정상",OFFSET(Y1236,0,COUNTA(Y1236:AV1236)-1)=0),"정상",
"계약서 미작성")))))</f>
        <v>면제</v>
      </c>
      <c r="X1236" s="81" t="str">
        <f aca="true">
IF(D1236="폐업","폐업",
IF(AND(V1236="정상",OFFSET(Y1236,0,COUNTA(Y1236:AV1236)-1)="미납"),"미납",
IF(AND(V1236="정상",OFFSET(Y1236,0,COUNTA(Y1236:AV1236)-1)=0),"납부 시작 전",
IF(AND(V1236="정상",OFFSET(Y1236,0,COUNTA(Y1236:AV1236)-1)&gt;=U1236),"정상",
IF(AND(V1236="면제",OFFSET(Y1236,0,COUNTA(Y1236:AV1236)-1)="면제"),"면제",
IF(AND(V1236="면제",OFFSET(Y1236,0,COUNTA(Y1236:AV1236)-1)=0),"면제",
"확인요청"))))))</f>
        <v>면제</v>
      </c>
      <c r="Y1236" s="94" t="s">
        <v>7</v>
      </c>
      <c r="Z1236" s="95" t="s">
        <v>7</v>
      </c>
      <c r="AA1236" s="95" t="s">
        <v>7</v>
      </c>
      <c r="AB1236" s="95" t="s">
        <v>7</v>
      </c>
      <c r="AC1236" s="95" t="s">
        <v>7</v>
      </c>
      <c r="AD1236" s="95" t="s">
        <v>7</v>
      </c>
      <c r="AE1236" s="95" t="s">
        <v>7</v>
      </c>
      <c r="AF1236" s="95" t="s">
        <v>7</v>
      </c>
      <c r="AG1236" s="95" t="s">
        <v>7</v>
      </c>
      <c r="AH1236" s="95" t="s">
        <v>7</v>
      </c>
      <c r="AI1236" s="95" t="s">
        <v>7</v>
      </c>
      <c r="AJ1236" s="96" t="s">
        <v>7</v>
      </c>
      <c r="AK1236" s="97" t="s">
        <v>7</v>
      </c>
      <c r="AL1236" s="95" t="s">
        <v>7</v>
      </c>
      <c r="AM1236" s="90"/>
      <c r="AN1236" s="90"/>
      <c r="AO1236" s="90"/>
      <c r="AP1236" s="90"/>
      <c r="AQ1236" s="90"/>
      <c r="AR1236" s="90"/>
      <c r="AS1236" s="90"/>
      <c r="AT1236" s="90"/>
      <c r="AU1236" s="90"/>
      <c r="AV1236" s="91"/>
      <c r="AX1236" s="92"/>
    </row>
    <row r="1237" customFormat="false" ht="15.65" hidden="false" customHeight="false" outlineLevel="0" collapsed="false">
      <c r="C1237" s="72" t="n">
        <f aca="false">COUNTIFS($D$6:D1237,"&lt;&gt;"&amp;"")</f>
        <v>1232</v>
      </c>
      <c r="D1237" s="73" t="s">
        <v>12</v>
      </c>
      <c r="E1237" s="76" t="str">
        <f aca="false">
IF($D1237="정상",INDEX(임대자산!$D$3:$R$3000,MATCH($F1237,임대자산!$I$3:$I$3000,0),MATCH(E$3,임대자산!$D$3:$R$3,0)),
IF($D1237="폐업",INDEX(폐업정보!$D$3:$R$3000,MATCH($F1237,폐업정보!$I$3:$I$3000,0),MATCH(E$3,폐업정보!$D$3:$R$3,0)),
"Error"))</f>
        <v>서울</v>
      </c>
      <c r="F123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B1232</v>
      </c>
      <c r="G1237" s="76" t="str">
        <f aca="false">F1237&amp;RANDBETWEEN(0,10)</f>
        <v>B12328</v>
      </c>
      <c r="H1237" s="75" t="n">
        <f aca="false">
IF($D1237="정상",INDEX(임대자산!$D$3:$R$3000,MATCH($F1237,임대자산!$I$3:$I$3000,0),MATCH(H$4,임대자산!$D$3:$R$3,0)),
IF($D1237="폐업",INDEX(폐업정보!$D$3:$R$3000,MATCH($F1237,폐업정보!$I$3:$I$3000,0),MATCH(H$4,폐업정보!$D$3:$R$3,0)),
"Error"))</f>
        <v>45307</v>
      </c>
      <c r="I1237" s="75" t="str">
        <f aca="false">
IF($D1237="정상",INDEX(임대자산!$D$3:$R$3000,MATCH($F1237,임대자산!$I$3:$I$3000,0),MATCH(I$4,임대자산!$D$3:$R$3,0)),
IF($D1237="폐업",INDEX(폐업정보!$D$3:$R$3000,MATCH($F1237,폐업정보!$I$3:$I$3000,0),MATCH(I$4,폐업정보!$D$3:$R$3,0)),
"Error"))</f>
        <v>A1232</v>
      </c>
      <c r="J1237" s="75" t="str">
        <f aca="false">
IF($D1237="정상",INDEX(임대자산!$D$3:$R$3000,MATCH($F1237,임대자산!$I$3:$I$3000,0),MATCH(J$4,임대자산!$D$3:$R$3,0)),
IF($D1237="폐업",INDEX(폐업정보!$D$3:$R$3000,MATCH($F1237,폐업정보!$I$3:$I$3000,0),MATCH(J$4,폐업정보!$D$3:$R$3,0)),
"Error"))</f>
        <v>5821600000</v>
      </c>
      <c r="K1237" s="75" t="str">
        <f aca="false">
IF($D1237="정상",INDEX(임대자산!$D$3:$R$3000,MATCH($F1237,임대자산!$I$3:$I$3000,0),MATCH(K$4,임대자산!$D$3:$R$3,0)),
IF($D1237="폐업",INDEX(폐업정보!$D$3:$R$3000,MATCH($F1237,폐업정보!$I$3:$I$3000,0),MATCH(K$4,폐업정보!$D$3:$R$3,0)),
"Error"))</f>
        <v>C1232</v>
      </c>
      <c r="L1237" s="75" t="str">
        <f aca="false">
IF($D1237="정상",INDEX(임대자산!$D$3:$R$3000,MATCH($F1237,임대자산!$I$3:$I$3000,0),MATCH(L$4,임대자산!$D$3:$R$3,0)),
IF($D1237="폐업",INDEX(폐업정보!$D$3:$R$3000,MATCH($F1237,폐업정보!$I$3:$I$3000,0),MATCH(L$4,폐업정보!$D$3:$R$3,0)),
"Error"))</f>
        <v>D1232</v>
      </c>
      <c r="M1237" s="76" t="s">
        <v>96</v>
      </c>
      <c r="N1237" s="77"/>
      <c r="O1237" s="78" t="s">
        <v>97</v>
      </c>
      <c r="P1237" s="79" t="n">
        <f aca="false">COUNTIFS(임대자산!$I:$I,가맹점정보!F1237,임대자산!$N:$N,가맹점정보!P$4)</f>
        <v>0</v>
      </c>
      <c r="Q1237" s="80" t="n">
        <f aca="false">COUNTIFS(임대자산!$I:$I,가맹점정보!F1237,임대자산!$N:$N,가맹점정보!Q$4)</f>
        <v>0</v>
      </c>
      <c r="R1237" s="81" t="n">
        <f aca="false">COUNTIFS(임대자산!$I:$I,가맹점정보!F1237,임대자산!$N:$N,가맹점정보!R$4)</f>
        <v>1</v>
      </c>
      <c r="S1237" s="82" t="n">
        <v>55000</v>
      </c>
      <c r="T1237" s="83" t="n">
        <v>0</v>
      </c>
      <c r="U1237" s="80" t="n">
        <f aca="false">SUM(S1237:T1237)</f>
        <v>55000</v>
      </c>
      <c r="V1237" s="84" t="s">
        <v>12</v>
      </c>
      <c r="W1237" s="80" t="e">
        <f aca="true">
IF(D1237="폐업","폐업",
IF(V1237="면제","면제",
IF(AND(V1237="정상",COUNTIFS(OFFSET(Y1237,0,COUNTA(Y1237:AV1237)-1,1,-4),"미납")&gt;=3),"장기미납",
IF(AND(V1237="정상",OFFSET(Y1237,0,COUNTA(Y1237:AV1237)-1)&gt;=U1237),"정상",
IF(AND(V1237="정상",OFFSET(Y1237,0,COUNTA(Y1237:AV1237)-1)=0),"정상",
"계약서 미작성")))))</f>
        <v>#VALUE!</v>
      </c>
      <c r="X1237" s="81" t="str">
        <f aca="true">
IF(D1237="폐업","폐업",
IF(AND(V1237="정상",OFFSET(Y1237,0,COUNTA(Y1237:AV1237)-1)="미납"),"미납",
IF(AND(V1237="정상",OFFSET(Y1237,0,COUNTA(Y1237:AV1237)-1)=0),"납부 시작 전",
IF(AND(V1237="정상",OFFSET(Y1237,0,COUNTA(Y1237:AV1237)-1)&gt;=U1237),"정상",
IF(AND(V1237="면제",OFFSET(Y1237,0,COUNTA(Y1237:AV1237)-1)="면제"),"면제",
IF(AND(V1237="면제",OFFSET(Y1237,0,COUNTA(Y1237:AV1237)-1)=0),"면제",
"확인요청"))))))</f>
        <v>정상</v>
      </c>
      <c r="Y1237" s="93" t="n">
        <v>55000</v>
      </c>
      <c r="Z1237" s="90" t="n">
        <v>55000</v>
      </c>
      <c r="AA1237" s="90" t="n">
        <v>55000</v>
      </c>
      <c r="AB1237" s="90" t="n">
        <v>55000</v>
      </c>
      <c r="AC1237" s="90" t="n">
        <v>55000</v>
      </c>
      <c r="AD1237" s="90" t="n">
        <v>55000</v>
      </c>
      <c r="AE1237" s="90" t="n">
        <v>55000</v>
      </c>
      <c r="AF1237" s="90" t="n">
        <v>55000</v>
      </c>
      <c r="AG1237" s="90" t="n">
        <v>55000</v>
      </c>
      <c r="AH1237" s="90" t="n">
        <v>55000</v>
      </c>
      <c r="AI1237" s="90" t="n">
        <v>55000</v>
      </c>
      <c r="AJ1237" s="91" t="n">
        <v>55000</v>
      </c>
      <c r="AK1237" s="89" t="n">
        <v>55000</v>
      </c>
      <c r="AL1237" s="90" t="n">
        <v>55000</v>
      </c>
      <c r="AM1237" s="90"/>
      <c r="AN1237" s="90"/>
      <c r="AO1237" s="90"/>
      <c r="AP1237" s="90"/>
      <c r="AQ1237" s="90"/>
      <c r="AR1237" s="90"/>
      <c r="AS1237" s="90"/>
      <c r="AT1237" s="90"/>
      <c r="AU1237" s="90"/>
      <c r="AV1237" s="91"/>
      <c r="AX1237" s="92"/>
    </row>
    <row r="1238" customFormat="false" ht="15.65" hidden="false" customHeight="false" outlineLevel="0" collapsed="false">
      <c r="C1238" s="72" t="n">
        <f aca="false">COUNTIFS($D$6:D1238,"&lt;&gt;"&amp;"")</f>
        <v>1233</v>
      </c>
      <c r="D1238" s="73" t="s">
        <v>12</v>
      </c>
      <c r="E1238" s="76" t="str">
        <f aca="false">
IF($D1238="정상",INDEX(임대자산!$D$3:$R$3000,MATCH($F1238,임대자산!$I$3:$I$3000,0),MATCH(E$3,임대자산!$D$3:$R$3,0)),
IF($D1238="폐업",INDEX(폐업정보!$D$3:$R$3000,MATCH($F1238,폐업정보!$I$3:$I$3000,0),MATCH(E$3,폐업정보!$D$3:$R$3,0)),
"Error"))</f>
        <v>서울</v>
      </c>
      <c r="F123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B1233</v>
      </c>
      <c r="G1238" s="76" t="str">
        <f aca="false">F1238&amp;RANDBETWEEN(0,10)</f>
        <v>B12330</v>
      </c>
      <c r="H1238" s="75" t="n">
        <f aca="false">
IF($D1238="정상",INDEX(임대자산!$D$3:$R$3000,MATCH($F1238,임대자산!$I$3:$I$3000,0),MATCH(H$4,임대자산!$D$3:$R$3,0)),
IF($D1238="폐업",INDEX(폐업정보!$D$3:$R$3000,MATCH($F1238,폐업정보!$I$3:$I$3000,0),MATCH(H$4,폐업정보!$D$3:$R$3,0)),
"Error"))</f>
        <v>45491</v>
      </c>
      <c r="I1238" s="75" t="str">
        <f aca="false">
IF($D1238="정상",INDEX(임대자산!$D$3:$R$3000,MATCH($F1238,임대자산!$I$3:$I$3000,0),MATCH(I$4,임대자산!$D$3:$R$3,0)),
IF($D1238="폐업",INDEX(폐업정보!$D$3:$R$3000,MATCH($F1238,폐업정보!$I$3:$I$3000,0),MATCH(I$4,폐업정보!$D$3:$R$3,0)),
"Error"))</f>
        <v>A1233</v>
      </c>
      <c r="J1238" s="75" t="str">
        <f aca="false">
IF($D1238="정상",INDEX(임대자산!$D$3:$R$3000,MATCH($F1238,임대자산!$I$3:$I$3000,0),MATCH(J$4,임대자산!$D$3:$R$3,0)),
IF($D1238="폐업",INDEX(폐업정보!$D$3:$R$3000,MATCH($F1238,폐업정보!$I$3:$I$3000,0),MATCH(J$4,폐업정보!$D$3:$R$3,0)),
"Error"))</f>
        <v>7724800000</v>
      </c>
      <c r="K1238" s="75" t="str">
        <f aca="false">
IF($D1238="정상",INDEX(임대자산!$D$3:$R$3000,MATCH($F1238,임대자산!$I$3:$I$3000,0),MATCH(K$4,임대자산!$D$3:$R$3,0)),
IF($D1238="폐업",INDEX(폐업정보!$D$3:$R$3000,MATCH($F1238,폐업정보!$I$3:$I$3000,0),MATCH(K$4,폐업정보!$D$3:$R$3,0)),
"Error"))</f>
        <v>C1233</v>
      </c>
      <c r="L1238" s="75" t="str">
        <f aca="false">
IF($D1238="정상",INDEX(임대자산!$D$3:$R$3000,MATCH($F1238,임대자산!$I$3:$I$3000,0),MATCH(L$4,임대자산!$D$3:$R$3,0)),
IF($D1238="폐업",INDEX(폐업정보!$D$3:$R$3000,MATCH($F1238,폐업정보!$I$3:$I$3000,0),MATCH(L$4,폐업정보!$D$3:$R$3,0)),
"Error"))</f>
        <v>D1233</v>
      </c>
      <c r="M1238" s="76" t="s">
        <v>96</v>
      </c>
      <c r="N1238" s="77"/>
      <c r="O1238" s="78" t="s">
        <v>97</v>
      </c>
      <c r="P1238" s="79" t="n">
        <f aca="false">COUNTIFS(임대자산!$I:$I,가맹점정보!F1238,임대자산!$N:$N,가맹점정보!P$4)</f>
        <v>0</v>
      </c>
      <c r="Q1238" s="80" t="n">
        <f aca="false">COUNTIFS(임대자산!$I:$I,가맹점정보!F1238,임대자산!$N:$N,가맹점정보!Q$4)</f>
        <v>0</v>
      </c>
      <c r="R1238" s="81" t="n">
        <f aca="false">COUNTIFS(임대자산!$I:$I,가맹점정보!F1238,임대자산!$N:$N,가맹점정보!R$4)</f>
        <v>1</v>
      </c>
      <c r="S1238" s="82" t="n">
        <v>55000</v>
      </c>
      <c r="T1238" s="83" t="n">
        <v>0</v>
      </c>
      <c r="U1238" s="80" t="n">
        <f aca="false">SUM(S1238:T1238)</f>
        <v>55000</v>
      </c>
      <c r="V1238" s="84" t="s">
        <v>12</v>
      </c>
      <c r="W1238" s="80" t="e">
        <f aca="true">
IF(D1238="폐업","폐업",
IF(V1238="면제","면제",
IF(AND(V1238="정상",COUNTIFS(OFFSET(Y1238,0,COUNTA(Y1238:AV1238)-1,1,-4),"미납")&gt;=3),"장기미납",
IF(AND(V1238="정상",OFFSET(Y1238,0,COUNTA(Y1238:AV1238)-1)&gt;=U1238),"정상",
IF(AND(V1238="정상",OFFSET(Y1238,0,COUNTA(Y1238:AV1238)-1)=0),"정상",
"계약서 미작성")))))</f>
        <v>#VALUE!</v>
      </c>
      <c r="X1238" s="81" t="str">
        <f aca="true">
IF(D1238="폐업","폐업",
IF(AND(V1238="정상",OFFSET(Y1238,0,COUNTA(Y1238:AV1238)-1)="미납"),"미납",
IF(AND(V1238="정상",OFFSET(Y1238,0,COUNTA(Y1238:AV1238)-1)=0),"납부 시작 전",
IF(AND(V1238="정상",OFFSET(Y1238,0,COUNTA(Y1238:AV1238)-1)&gt;=U1238),"정상",
IF(AND(V1238="면제",OFFSET(Y1238,0,COUNTA(Y1238:AV1238)-1)="면제"),"면제",
IF(AND(V1238="면제",OFFSET(Y1238,0,COUNTA(Y1238:AV1238)-1)=0),"면제",
"확인요청"))))))</f>
        <v>정상</v>
      </c>
      <c r="Y1238" s="93" t="n">
        <v>55000</v>
      </c>
      <c r="Z1238" s="90" t="n">
        <v>55000</v>
      </c>
      <c r="AA1238" s="90" t="n">
        <v>55000</v>
      </c>
      <c r="AB1238" s="90" t="n">
        <v>55000</v>
      </c>
      <c r="AC1238" s="90" t="n">
        <v>55000</v>
      </c>
      <c r="AD1238" s="90" t="n">
        <v>55000</v>
      </c>
      <c r="AE1238" s="90" t="n">
        <v>55000</v>
      </c>
      <c r="AF1238" s="90" t="n">
        <v>55000</v>
      </c>
      <c r="AG1238" s="90" t="n">
        <v>55000</v>
      </c>
      <c r="AH1238" s="90" t="n">
        <v>55000</v>
      </c>
      <c r="AI1238" s="90" t="n">
        <v>55000</v>
      </c>
      <c r="AJ1238" s="91" t="n">
        <v>55000</v>
      </c>
      <c r="AK1238" s="89" t="n">
        <v>55000</v>
      </c>
      <c r="AL1238" s="90" t="n">
        <v>55000</v>
      </c>
      <c r="AM1238" s="90"/>
      <c r="AN1238" s="90"/>
      <c r="AO1238" s="90"/>
      <c r="AP1238" s="90"/>
      <c r="AQ1238" s="90"/>
      <c r="AR1238" s="90"/>
      <c r="AS1238" s="90"/>
      <c r="AT1238" s="90"/>
      <c r="AU1238" s="90"/>
      <c r="AV1238" s="91"/>
      <c r="AX1238" s="92"/>
    </row>
    <row r="1239" customFormat="false" ht="15.65" hidden="false" customHeight="false" outlineLevel="0" collapsed="false">
      <c r="C1239" s="72" t="n">
        <f aca="false">COUNTIFS($D$6:D1239,"&lt;&gt;"&amp;"")</f>
        <v>1234</v>
      </c>
      <c r="D1239" s="73" t="s">
        <v>12</v>
      </c>
      <c r="E1239" s="76" t="str">
        <f aca="false">
IF($D1239="정상",INDEX(임대자산!$D$3:$R$3000,MATCH($F1239,임대자산!$I$3:$I$3000,0),MATCH(E$3,임대자산!$D$3:$R$3,0)),
IF($D1239="폐업",INDEX(폐업정보!$D$3:$R$3000,MATCH($F1239,폐업정보!$I$3:$I$3000,0),MATCH(E$3,폐업정보!$D$3:$R$3,0)),
"Error"))</f>
        <v>서울</v>
      </c>
      <c r="F123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B1234</v>
      </c>
      <c r="G1239" s="76" t="str">
        <f aca="false">F1239&amp;RANDBETWEEN(0,10)</f>
        <v>B12342</v>
      </c>
      <c r="H1239" s="75" t="n">
        <f aca="false">
IF($D1239="정상",INDEX(임대자산!$D$3:$R$3000,MATCH($F1239,임대자산!$I$3:$I$3000,0),MATCH(H$4,임대자산!$D$3:$R$3,0)),
IF($D1239="폐업",INDEX(폐업정보!$D$3:$R$3000,MATCH($F1239,폐업정보!$I$3:$I$3000,0),MATCH(H$4,폐업정보!$D$3:$R$3,0)),
"Error"))</f>
        <v>45351</v>
      </c>
      <c r="I1239" s="75" t="str">
        <f aca="false">
IF($D1239="정상",INDEX(임대자산!$D$3:$R$3000,MATCH($F1239,임대자산!$I$3:$I$3000,0),MATCH(I$4,임대자산!$D$3:$R$3,0)),
IF($D1239="폐업",INDEX(폐업정보!$D$3:$R$3000,MATCH($F1239,폐업정보!$I$3:$I$3000,0),MATCH(I$4,폐업정보!$D$3:$R$3,0)),
"Error"))</f>
        <v>A1234</v>
      </c>
      <c r="J1239" s="75" t="str">
        <f aca="false">
IF($D1239="정상",INDEX(임대자산!$D$3:$R$3000,MATCH($F1239,임대자산!$I$3:$I$3000,0),MATCH(J$4,임대자산!$D$3:$R$3,0)),
IF($D1239="폐업",INDEX(폐업정보!$D$3:$R$3000,MATCH($F1239,폐업정보!$I$3:$I$3000,0),MATCH(J$4,폐업정보!$D$3:$R$3,0)),
"Error"))</f>
        <v>2738200000</v>
      </c>
      <c r="K1239" s="75" t="str">
        <f aca="false">
IF($D1239="정상",INDEX(임대자산!$D$3:$R$3000,MATCH($F1239,임대자산!$I$3:$I$3000,0),MATCH(K$4,임대자산!$D$3:$R$3,0)),
IF($D1239="폐업",INDEX(폐업정보!$D$3:$R$3000,MATCH($F1239,폐업정보!$I$3:$I$3000,0),MATCH(K$4,폐업정보!$D$3:$R$3,0)),
"Error"))</f>
        <v>C1234</v>
      </c>
      <c r="L1239" s="75" t="str">
        <f aca="false">
IF($D1239="정상",INDEX(임대자산!$D$3:$R$3000,MATCH($F1239,임대자산!$I$3:$I$3000,0),MATCH(L$4,임대자산!$D$3:$R$3,0)),
IF($D1239="폐업",INDEX(폐업정보!$D$3:$R$3000,MATCH($F1239,폐업정보!$I$3:$I$3000,0),MATCH(L$4,폐업정보!$D$3:$R$3,0)),
"Error"))</f>
        <v>D1234</v>
      </c>
      <c r="M1239" s="76" t="s">
        <v>96</v>
      </c>
      <c r="N1239" s="77"/>
      <c r="O1239" s="78" t="s">
        <v>97</v>
      </c>
      <c r="P1239" s="79" t="n">
        <f aca="false">COUNTIFS(임대자산!$I:$I,가맹점정보!F1239,임대자산!$N:$N,가맹점정보!P$4)</f>
        <v>0</v>
      </c>
      <c r="Q1239" s="80" t="n">
        <f aca="false">COUNTIFS(임대자산!$I:$I,가맹점정보!F1239,임대자산!$N:$N,가맹점정보!Q$4)</f>
        <v>0</v>
      </c>
      <c r="R1239" s="81" t="n">
        <f aca="false">COUNTIFS(임대자산!$I:$I,가맹점정보!F1239,임대자산!$N:$N,가맹점정보!R$4)</f>
        <v>1</v>
      </c>
      <c r="S1239" s="82" t="n">
        <v>88000</v>
      </c>
      <c r="T1239" s="83" t="n">
        <v>0</v>
      </c>
      <c r="U1239" s="80" t="n">
        <f aca="false">SUM(S1239:T1239)</f>
        <v>88000</v>
      </c>
      <c r="V1239" s="84" t="s">
        <v>7</v>
      </c>
      <c r="W1239" s="80" t="str">
        <f aca="true">
IF(D1239="폐업","폐업",
IF(V1239="면제","면제",
IF(AND(V1239="정상",COUNTIFS(OFFSET(Y1239,0,COUNTA(Y1239:AV1239)-1,1,-4),"미납")&gt;=3),"장기미납",
IF(AND(V1239="정상",OFFSET(Y1239,0,COUNTA(Y1239:AV1239)-1)&gt;=U1239),"정상",
IF(AND(V1239="정상",OFFSET(Y1239,0,COUNTA(Y1239:AV1239)-1)=0),"정상",
"계약서 미작성")))))</f>
        <v>면제</v>
      </c>
      <c r="X1239" s="81" t="str">
        <f aca="true">
IF(D1239="폐업","폐업",
IF(AND(V1239="정상",OFFSET(Y1239,0,COUNTA(Y1239:AV1239)-1)="미납"),"미납",
IF(AND(V1239="정상",OFFSET(Y1239,0,COUNTA(Y1239:AV1239)-1)=0),"납부 시작 전",
IF(AND(V1239="정상",OFFSET(Y1239,0,COUNTA(Y1239:AV1239)-1)&gt;=U1239),"정상",
IF(AND(V1239="면제",OFFSET(Y1239,0,COUNTA(Y1239:AV1239)-1)="면제"),"면제",
IF(AND(V1239="면제",OFFSET(Y1239,0,COUNTA(Y1239:AV1239)-1)=0),"면제",
"확인요청"))))))</f>
        <v>면제</v>
      </c>
      <c r="Y1239" s="94" t="s">
        <v>7</v>
      </c>
      <c r="Z1239" s="95" t="s">
        <v>7</v>
      </c>
      <c r="AA1239" s="95" t="s">
        <v>7</v>
      </c>
      <c r="AB1239" s="95" t="s">
        <v>7</v>
      </c>
      <c r="AC1239" s="95" t="s">
        <v>7</v>
      </c>
      <c r="AD1239" s="95" t="s">
        <v>7</v>
      </c>
      <c r="AE1239" s="95" t="s">
        <v>7</v>
      </c>
      <c r="AF1239" s="95" t="s">
        <v>7</v>
      </c>
      <c r="AG1239" s="95" t="s">
        <v>7</v>
      </c>
      <c r="AH1239" s="95" t="s">
        <v>7</v>
      </c>
      <c r="AI1239" s="95" t="s">
        <v>7</v>
      </c>
      <c r="AJ1239" s="96" t="s">
        <v>7</v>
      </c>
      <c r="AK1239" s="97" t="s">
        <v>7</v>
      </c>
      <c r="AL1239" s="95" t="s">
        <v>7</v>
      </c>
      <c r="AM1239" s="90"/>
      <c r="AN1239" s="90"/>
      <c r="AO1239" s="90"/>
      <c r="AP1239" s="90"/>
      <c r="AQ1239" s="90"/>
      <c r="AR1239" s="90"/>
      <c r="AS1239" s="90"/>
      <c r="AT1239" s="90"/>
      <c r="AU1239" s="90"/>
      <c r="AV1239" s="91"/>
      <c r="AX1239" s="92"/>
    </row>
    <row r="1240" customFormat="false" ht="15.65" hidden="false" customHeight="false" outlineLevel="0" collapsed="false">
      <c r="C1240" s="72" t="n">
        <f aca="false">COUNTIFS($D$6:D1240,"&lt;&gt;"&amp;"")</f>
        <v>1235</v>
      </c>
      <c r="D1240" s="73" t="s">
        <v>12</v>
      </c>
      <c r="E1240" s="76" t="str">
        <f aca="false">
IF($D1240="정상",INDEX(임대자산!$D$3:$R$3000,MATCH($F1240,임대자산!$I$3:$I$3000,0),MATCH(E$3,임대자산!$D$3:$R$3,0)),
IF($D1240="폐업",INDEX(폐업정보!$D$3:$R$3000,MATCH($F1240,폐업정보!$I$3:$I$3000,0),MATCH(E$3,폐업정보!$D$3:$R$3,0)),
"Error"))</f>
        <v>서울</v>
      </c>
      <c r="F124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B1235</v>
      </c>
      <c r="G1240" s="76" t="str">
        <f aca="false">F1240&amp;RANDBETWEEN(0,10)</f>
        <v>B12354</v>
      </c>
      <c r="H1240" s="75" t="n">
        <f aca="false">
IF($D1240="정상",INDEX(임대자산!$D$3:$R$3000,MATCH($F1240,임대자산!$I$3:$I$3000,0),MATCH(H$4,임대자산!$D$3:$R$3,0)),
IF($D1240="폐업",INDEX(폐업정보!$D$3:$R$3000,MATCH($F1240,폐업정보!$I$3:$I$3000,0),MATCH(H$4,폐업정보!$D$3:$R$3,0)),
"Error"))</f>
        <v>45364</v>
      </c>
      <c r="I1240" s="75" t="str">
        <f aca="false">
IF($D1240="정상",INDEX(임대자산!$D$3:$R$3000,MATCH($F1240,임대자산!$I$3:$I$3000,0),MATCH(I$4,임대자산!$D$3:$R$3,0)),
IF($D1240="폐업",INDEX(폐업정보!$D$3:$R$3000,MATCH($F1240,폐업정보!$I$3:$I$3000,0),MATCH(I$4,폐업정보!$D$3:$R$3,0)),
"Error"))</f>
        <v>A1235</v>
      </c>
      <c r="J1240" s="75" t="str">
        <f aca="false">
IF($D1240="정상",INDEX(임대자산!$D$3:$R$3000,MATCH($F1240,임대자산!$I$3:$I$3000,0),MATCH(J$4,임대자산!$D$3:$R$3,0)),
IF($D1240="폐업",INDEX(폐업정보!$D$3:$R$3000,MATCH($F1240,폐업정보!$I$3:$I$3000,0),MATCH(J$4,폐업정보!$D$3:$R$3,0)),
"Error"))</f>
        <v>8195900000</v>
      </c>
      <c r="K1240" s="75" t="str">
        <f aca="false">
IF($D1240="정상",INDEX(임대자산!$D$3:$R$3000,MATCH($F1240,임대자산!$I$3:$I$3000,0),MATCH(K$4,임대자산!$D$3:$R$3,0)),
IF($D1240="폐업",INDEX(폐업정보!$D$3:$R$3000,MATCH($F1240,폐업정보!$I$3:$I$3000,0),MATCH(K$4,폐업정보!$D$3:$R$3,0)),
"Error"))</f>
        <v>C1235</v>
      </c>
      <c r="L1240" s="75" t="str">
        <f aca="false">
IF($D1240="정상",INDEX(임대자산!$D$3:$R$3000,MATCH($F1240,임대자산!$I$3:$I$3000,0),MATCH(L$4,임대자산!$D$3:$R$3,0)),
IF($D1240="폐업",INDEX(폐업정보!$D$3:$R$3000,MATCH($F1240,폐업정보!$I$3:$I$3000,0),MATCH(L$4,폐업정보!$D$3:$R$3,0)),
"Error"))</f>
        <v>D1235</v>
      </c>
      <c r="M1240" s="76" t="s">
        <v>96</v>
      </c>
      <c r="N1240" s="77"/>
      <c r="O1240" s="78" t="s">
        <v>97</v>
      </c>
      <c r="P1240" s="79" t="n">
        <f aca="false">COUNTIFS(임대자산!$I:$I,가맹점정보!F1240,임대자산!$N:$N,가맹점정보!P$4)</f>
        <v>0</v>
      </c>
      <c r="Q1240" s="80" t="n">
        <f aca="false">COUNTIFS(임대자산!$I:$I,가맹점정보!F1240,임대자산!$N:$N,가맹점정보!Q$4)</f>
        <v>0</v>
      </c>
      <c r="R1240" s="81" t="n">
        <f aca="false">COUNTIFS(임대자산!$I:$I,가맹점정보!F1240,임대자산!$N:$N,가맹점정보!R$4)</f>
        <v>1</v>
      </c>
      <c r="S1240" s="82" t="n">
        <v>55000</v>
      </c>
      <c r="T1240" s="83" t="n">
        <v>0</v>
      </c>
      <c r="U1240" s="80" t="n">
        <f aca="false">SUM(S1240:T1240)</f>
        <v>55000</v>
      </c>
      <c r="V1240" s="84" t="s">
        <v>12</v>
      </c>
      <c r="W1240" s="80" t="e">
        <f aca="true">
IF(D1240="폐업","폐업",
IF(V1240="면제","면제",
IF(AND(V1240="정상",COUNTIFS(OFFSET(Y1240,0,COUNTA(Y1240:AV1240)-1,1,-4),"미납")&gt;=3),"장기미납",
IF(AND(V1240="정상",OFFSET(Y1240,0,COUNTA(Y1240:AV1240)-1)&gt;=U1240),"정상",
IF(AND(V1240="정상",OFFSET(Y1240,0,COUNTA(Y1240:AV1240)-1)=0),"정상",
"계약서 미작성")))))</f>
        <v>#VALUE!</v>
      </c>
      <c r="X1240" s="81" t="str">
        <f aca="true">
IF(D1240="폐업","폐업",
IF(AND(V1240="정상",OFFSET(Y1240,0,COUNTA(Y1240:AV1240)-1)="미납"),"미납",
IF(AND(V1240="정상",OFFSET(Y1240,0,COUNTA(Y1240:AV1240)-1)=0),"납부 시작 전",
IF(AND(V1240="정상",OFFSET(Y1240,0,COUNTA(Y1240:AV1240)-1)&gt;=U1240),"정상",
IF(AND(V1240="면제",OFFSET(Y1240,0,COUNTA(Y1240:AV1240)-1)="면제"),"면제",
IF(AND(V1240="면제",OFFSET(Y1240,0,COUNTA(Y1240:AV1240)-1)=0),"면제",
"확인요청"))))))</f>
        <v>정상</v>
      </c>
      <c r="Y1240" s="93" t="n">
        <v>55000</v>
      </c>
      <c r="Z1240" s="90" t="n">
        <v>55000</v>
      </c>
      <c r="AA1240" s="90" t="n">
        <v>55000</v>
      </c>
      <c r="AB1240" s="90" t="n">
        <v>55000</v>
      </c>
      <c r="AC1240" s="90" t="n">
        <v>55000</v>
      </c>
      <c r="AD1240" s="90" t="n">
        <v>55000</v>
      </c>
      <c r="AE1240" s="90" t="n">
        <v>55000</v>
      </c>
      <c r="AF1240" s="90" t="n">
        <v>55000</v>
      </c>
      <c r="AG1240" s="90" t="n">
        <v>55000</v>
      </c>
      <c r="AH1240" s="90" t="n">
        <v>55000</v>
      </c>
      <c r="AI1240" s="90" t="n">
        <v>55000</v>
      </c>
      <c r="AJ1240" s="91" t="n">
        <v>55000</v>
      </c>
      <c r="AK1240" s="89" t="n">
        <v>55000</v>
      </c>
      <c r="AL1240" s="90" t="n">
        <v>55000</v>
      </c>
      <c r="AM1240" s="90"/>
      <c r="AN1240" s="90"/>
      <c r="AO1240" s="90"/>
      <c r="AP1240" s="90"/>
      <c r="AQ1240" s="90"/>
      <c r="AR1240" s="90"/>
      <c r="AS1240" s="90"/>
      <c r="AT1240" s="90"/>
      <c r="AU1240" s="90"/>
      <c r="AV1240" s="91"/>
      <c r="AX1240" s="92"/>
    </row>
    <row r="1241" customFormat="false" ht="15.65" hidden="false" customHeight="false" outlineLevel="0" collapsed="false">
      <c r="C1241" s="72" t="n">
        <f aca="false">COUNTIFS($D$6:D1241,"&lt;&gt;"&amp;"")</f>
        <v>1236</v>
      </c>
      <c r="D1241" s="73" t="s">
        <v>12</v>
      </c>
      <c r="E1241" s="76" t="str">
        <f aca="false">
IF($D1241="정상",INDEX(임대자산!$D$3:$R$3000,MATCH($F1241,임대자산!$I$3:$I$3000,0),MATCH(E$3,임대자산!$D$3:$R$3,0)),
IF($D1241="폐업",INDEX(폐업정보!$D$3:$R$3000,MATCH($F1241,폐업정보!$I$3:$I$3000,0),MATCH(E$3,폐업정보!$D$3:$R$3,0)),
"Error"))</f>
        <v>서울</v>
      </c>
      <c r="F124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B1236</v>
      </c>
      <c r="G1241" s="76" t="str">
        <f aca="false">F1241&amp;RANDBETWEEN(0,10)</f>
        <v>B12369</v>
      </c>
      <c r="H1241" s="75" t="n">
        <f aca="false">
IF($D1241="정상",INDEX(임대자산!$D$3:$R$3000,MATCH($F1241,임대자산!$I$3:$I$3000,0),MATCH(H$4,임대자산!$D$3:$R$3,0)),
IF($D1241="폐업",INDEX(폐업정보!$D$3:$R$3000,MATCH($F1241,폐업정보!$I$3:$I$3000,0),MATCH(H$4,폐업정보!$D$3:$R$3,0)),
"Error"))</f>
        <v>45362</v>
      </c>
      <c r="I1241" s="75" t="str">
        <f aca="false">
IF($D1241="정상",INDEX(임대자산!$D$3:$R$3000,MATCH($F1241,임대자산!$I$3:$I$3000,0),MATCH(I$4,임대자산!$D$3:$R$3,0)),
IF($D1241="폐업",INDEX(폐업정보!$D$3:$R$3000,MATCH($F1241,폐업정보!$I$3:$I$3000,0),MATCH(I$4,폐업정보!$D$3:$R$3,0)),
"Error"))</f>
        <v>A1236</v>
      </c>
      <c r="J1241" s="75" t="str">
        <f aca="false">
IF($D1241="정상",INDEX(임대자산!$D$3:$R$3000,MATCH($F1241,임대자산!$I$3:$I$3000,0),MATCH(J$4,임대자산!$D$3:$R$3,0)),
IF($D1241="폐업",INDEX(폐업정보!$D$3:$R$3000,MATCH($F1241,폐업정보!$I$3:$I$3000,0),MATCH(J$4,폐업정보!$D$3:$R$3,0)),
"Error"))</f>
        <v>9166500000</v>
      </c>
      <c r="K1241" s="75" t="str">
        <f aca="false">
IF($D1241="정상",INDEX(임대자산!$D$3:$R$3000,MATCH($F1241,임대자산!$I$3:$I$3000,0),MATCH(K$4,임대자산!$D$3:$R$3,0)),
IF($D1241="폐업",INDEX(폐업정보!$D$3:$R$3000,MATCH($F1241,폐업정보!$I$3:$I$3000,0),MATCH(K$4,폐업정보!$D$3:$R$3,0)),
"Error"))</f>
        <v>C1236</v>
      </c>
      <c r="L1241" s="75" t="str">
        <f aca="false">
IF($D1241="정상",INDEX(임대자산!$D$3:$R$3000,MATCH($F1241,임대자산!$I$3:$I$3000,0),MATCH(L$4,임대자산!$D$3:$R$3,0)),
IF($D1241="폐업",INDEX(폐업정보!$D$3:$R$3000,MATCH($F1241,폐업정보!$I$3:$I$3000,0),MATCH(L$4,폐업정보!$D$3:$R$3,0)),
"Error"))</f>
        <v>D1236</v>
      </c>
      <c r="M1241" s="76" t="s">
        <v>96</v>
      </c>
      <c r="N1241" s="77"/>
      <c r="O1241" s="78" t="s">
        <v>97</v>
      </c>
      <c r="P1241" s="79" t="n">
        <f aca="false">COUNTIFS(임대자산!$I:$I,가맹점정보!F1241,임대자산!$N:$N,가맹점정보!P$4)</f>
        <v>0</v>
      </c>
      <c r="Q1241" s="80" t="n">
        <f aca="false">COUNTIFS(임대자산!$I:$I,가맹점정보!F1241,임대자산!$N:$N,가맹점정보!Q$4)</f>
        <v>0</v>
      </c>
      <c r="R1241" s="81" t="n">
        <f aca="false">COUNTIFS(임대자산!$I:$I,가맹점정보!F1241,임대자산!$N:$N,가맹점정보!R$4)</f>
        <v>1</v>
      </c>
      <c r="S1241" s="82" t="n">
        <v>55000</v>
      </c>
      <c r="T1241" s="83" t="n">
        <v>0</v>
      </c>
      <c r="U1241" s="80" t="n">
        <f aca="false">SUM(S1241:T1241)</f>
        <v>55000</v>
      </c>
      <c r="V1241" s="84" t="s">
        <v>7</v>
      </c>
      <c r="W1241" s="80" t="str">
        <f aca="true">
IF(D1241="폐업","폐업",
IF(V1241="면제","면제",
IF(AND(V1241="정상",COUNTIFS(OFFSET(Y1241,0,COUNTA(Y1241:AV1241)-1,1,-4),"미납")&gt;=3),"장기미납",
IF(AND(V1241="정상",OFFSET(Y1241,0,COUNTA(Y1241:AV1241)-1)&gt;=U1241),"정상",
IF(AND(V1241="정상",OFFSET(Y1241,0,COUNTA(Y1241:AV1241)-1)=0),"정상",
"계약서 미작성")))))</f>
        <v>면제</v>
      </c>
      <c r="X1241" s="81" t="str">
        <f aca="true">
IF(D1241="폐업","폐업",
IF(AND(V1241="정상",OFFSET(Y1241,0,COUNTA(Y1241:AV1241)-1)="미납"),"미납",
IF(AND(V1241="정상",OFFSET(Y1241,0,COUNTA(Y1241:AV1241)-1)=0),"납부 시작 전",
IF(AND(V1241="정상",OFFSET(Y1241,0,COUNTA(Y1241:AV1241)-1)&gt;=U1241),"정상",
IF(AND(V1241="면제",OFFSET(Y1241,0,COUNTA(Y1241:AV1241)-1)="면제"),"면제",
IF(AND(V1241="면제",OFFSET(Y1241,0,COUNTA(Y1241:AV1241)-1)=0),"면제",
"확인요청"))))))</f>
        <v>면제</v>
      </c>
      <c r="Y1241" s="94" t="s">
        <v>7</v>
      </c>
      <c r="Z1241" s="95" t="s">
        <v>7</v>
      </c>
      <c r="AA1241" s="95" t="s">
        <v>7</v>
      </c>
      <c r="AB1241" s="95" t="s">
        <v>7</v>
      </c>
      <c r="AC1241" s="95" t="s">
        <v>7</v>
      </c>
      <c r="AD1241" s="95" t="s">
        <v>7</v>
      </c>
      <c r="AE1241" s="95" t="s">
        <v>7</v>
      </c>
      <c r="AF1241" s="95" t="s">
        <v>7</v>
      </c>
      <c r="AG1241" s="95" t="s">
        <v>7</v>
      </c>
      <c r="AH1241" s="95" t="s">
        <v>7</v>
      </c>
      <c r="AI1241" s="95" t="s">
        <v>7</v>
      </c>
      <c r="AJ1241" s="96" t="s">
        <v>7</v>
      </c>
      <c r="AK1241" s="97" t="s">
        <v>7</v>
      </c>
      <c r="AL1241" s="95" t="s">
        <v>7</v>
      </c>
      <c r="AM1241" s="90"/>
      <c r="AN1241" s="90"/>
      <c r="AO1241" s="90"/>
      <c r="AP1241" s="90"/>
      <c r="AQ1241" s="90"/>
      <c r="AR1241" s="90"/>
      <c r="AS1241" s="90"/>
      <c r="AT1241" s="90"/>
      <c r="AU1241" s="90"/>
      <c r="AV1241" s="91"/>
      <c r="AX1241" s="92"/>
    </row>
    <row r="1242" customFormat="false" ht="15.65" hidden="false" customHeight="false" outlineLevel="0" collapsed="false">
      <c r="C1242" s="72" t="n">
        <f aca="false">COUNTIFS($D$6:D1242,"&lt;&gt;"&amp;"")</f>
        <v>1237</v>
      </c>
      <c r="D1242" s="73" t="s">
        <v>12</v>
      </c>
      <c r="E1242" s="76" t="str">
        <f aca="false">
IF($D1242="정상",INDEX(임대자산!$D$3:$R$3000,MATCH($F1242,임대자산!$I$3:$I$3000,0),MATCH(E$3,임대자산!$D$3:$R$3,0)),
IF($D1242="폐업",INDEX(폐업정보!$D$3:$R$3000,MATCH($F1242,폐업정보!$I$3:$I$3000,0),MATCH(E$3,폐업정보!$D$3:$R$3,0)),
"Error"))</f>
        <v>서울</v>
      </c>
      <c r="F124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B1237</v>
      </c>
      <c r="G1242" s="76" t="str">
        <f aca="false">F1242&amp;RANDBETWEEN(0,10)</f>
        <v>B12372</v>
      </c>
      <c r="H1242" s="75" t="n">
        <f aca="false">
IF($D1242="정상",INDEX(임대자산!$D$3:$R$3000,MATCH($F1242,임대자산!$I$3:$I$3000,0),MATCH(H$4,임대자산!$D$3:$R$3,0)),
IF($D1242="폐업",INDEX(폐업정보!$D$3:$R$3000,MATCH($F1242,폐업정보!$I$3:$I$3000,0),MATCH(H$4,폐업정보!$D$3:$R$3,0)),
"Error"))</f>
        <v>45113</v>
      </c>
      <c r="I1242" s="75" t="str">
        <f aca="false">
IF($D1242="정상",INDEX(임대자산!$D$3:$R$3000,MATCH($F1242,임대자산!$I$3:$I$3000,0),MATCH(I$4,임대자산!$D$3:$R$3,0)),
IF($D1242="폐업",INDEX(폐업정보!$D$3:$R$3000,MATCH($F1242,폐업정보!$I$3:$I$3000,0),MATCH(I$4,폐업정보!$D$3:$R$3,0)),
"Error"))</f>
        <v>A1237</v>
      </c>
      <c r="J1242" s="75" t="str">
        <f aca="false">
IF($D1242="정상",INDEX(임대자산!$D$3:$R$3000,MATCH($F1242,임대자산!$I$3:$I$3000,0),MATCH(J$4,임대자산!$D$3:$R$3,0)),
IF($D1242="폐업",INDEX(폐업정보!$D$3:$R$3000,MATCH($F1242,폐업정보!$I$3:$I$3000,0),MATCH(J$4,폐업정보!$D$3:$R$3,0)),
"Error"))</f>
        <v>3622800000</v>
      </c>
      <c r="K1242" s="75" t="str">
        <f aca="false">
IF($D1242="정상",INDEX(임대자산!$D$3:$R$3000,MATCH($F1242,임대자산!$I$3:$I$3000,0),MATCH(K$4,임대자산!$D$3:$R$3,0)),
IF($D1242="폐업",INDEX(폐업정보!$D$3:$R$3000,MATCH($F1242,폐업정보!$I$3:$I$3000,0),MATCH(K$4,폐업정보!$D$3:$R$3,0)),
"Error"))</f>
        <v>C1237</v>
      </c>
      <c r="L1242" s="75" t="str">
        <f aca="false">
IF($D1242="정상",INDEX(임대자산!$D$3:$R$3000,MATCH($F1242,임대자산!$I$3:$I$3000,0),MATCH(L$4,임대자산!$D$3:$R$3,0)),
IF($D1242="폐업",INDEX(폐업정보!$D$3:$R$3000,MATCH($F1242,폐업정보!$I$3:$I$3000,0),MATCH(L$4,폐업정보!$D$3:$R$3,0)),
"Error"))</f>
        <v>D1237</v>
      </c>
      <c r="M1242" s="76" t="s">
        <v>96</v>
      </c>
      <c r="N1242" s="77"/>
      <c r="O1242" s="78" t="s">
        <v>97</v>
      </c>
      <c r="P1242" s="79" t="n">
        <f aca="false">COUNTIFS(임대자산!$I:$I,가맹점정보!F1242,임대자산!$N:$N,가맹점정보!P$4)</f>
        <v>0</v>
      </c>
      <c r="Q1242" s="80" t="n">
        <f aca="false">COUNTIFS(임대자산!$I:$I,가맹점정보!F1242,임대자산!$N:$N,가맹점정보!Q$4)</f>
        <v>0</v>
      </c>
      <c r="R1242" s="81" t="n">
        <f aca="false">COUNTIFS(임대자산!$I:$I,가맹점정보!F1242,임대자산!$N:$N,가맹점정보!R$4)</f>
        <v>1</v>
      </c>
      <c r="S1242" s="82" t="n">
        <v>55000</v>
      </c>
      <c r="T1242" s="83" t="n">
        <v>0</v>
      </c>
      <c r="U1242" s="80" t="n">
        <f aca="false">SUM(S1242:T1242)</f>
        <v>55000</v>
      </c>
      <c r="V1242" s="84" t="s">
        <v>7</v>
      </c>
      <c r="W1242" s="80" t="str">
        <f aca="true">
IF(D1242="폐업","폐업",
IF(V1242="면제","면제",
IF(AND(V1242="정상",COUNTIFS(OFFSET(Y1242,0,COUNTA(Y1242:AV1242)-1,1,-4),"미납")&gt;=3),"장기미납",
IF(AND(V1242="정상",OFFSET(Y1242,0,COUNTA(Y1242:AV1242)-1)&gt;=U1242),"정상",
IF(AND(V1242="정상",OFFSET(Y1242,0,COUNTA(Y1242:AV1242)-1)=0),"정상",
"계약서 미작성")))))</f>
        <v>면제</v>
      </c>
      <c r="X1242" s="81" t="str">
        <f aca="true">
IF(D1242="폐업","폐업",
IF(AND(V1242="정상",OFFSET(Y1242,0,COUNTA(Y1242:AV1242)-1)="미납"),"미납",
IF(AND(V1242="정상",OFFSET(Y1242,0,COUNTA(Y1242:AV1242)-1)=0),"납부 시작 전",
IF(AND(V1242="정상",OFFSET(Y1242,0,COUNTA(Y1242:AV1242)-1)&gt;=U1242),"정상",
IF(AND(V1242="면제",OFFSET(Y1242,0,COUNTA(Y1242:AV1242)-1)="면제"),"면제",
IF(AND(V1242="면제",OFFSET(Y1242,0,COUNTA(Y1242:AV1242)-1)=0),"면제",
"확인요청"))))))</f>
        <v>면제</v>
      </c>
      <c r="Y1242" s="94" t="s">
        <v>7</v>
      </c>
      <c r="Z1242" s="95" t="s">
        <v>7</v>
      </c>
      <c r="AA1242" s="95" t="s">
        <v>7</v>
      </c>
      <c r="AB1242" s="95" t="s">
        <v>7</v>
      </c>
      <c r="AC1242" s="95" t="s">
        <v>7</v>
      </c>
      <c r="AD1242" s="95" t="s">
        <v>7</v>
      </c>
      <c r="AE1242" s="95" t="s">
        <v>7</v>
      </c>
      <c r="AF1242" s="95" t="s">
        <v>7</v>
      </c>
      <c r="AG1242" s="95" t="s">
        <v>7</v>
      </c>
      <c r="AH1242" s="95" t="s">
        <v>7</v>
      </c>
      <c r="AI1242" s="95" t="s">
        <v>7</v>
      </c>
      <c r="AJ1242" s="96" t="s">
        <v>7</v>
      </c>
      <c r="AK1242" s="97" t="s">
        <v>7</v>
      </c>
      <c r="AL1242" s="95" t="s">
        <v>7</v>
      </c>
      <c r="AM1242" s="90"/>
      <c r="AN1242" s="90"/>
      <c r="AO1242" s="90"/>
      <c r="AP1242" s="90"/>
      <c r="AQ1242" s="90"/>
      <c r="AR1242" s="90"/>
      <c r="AS1242" s="90"/>
      <c r="AT1242" s="90"/>
      <c r="AU1242" s="90"/>
      <c r="AV1242" s="91"/>
      <c r="AX1242" s="92"/>
    </row>
    <row r="1243" customFormat="false" ht="15.65" hidden="false" customHeight="false" outlineLevel="0" collapsed="false">
      <c r="C1243" s="72" t="n">
        <f aca="false">COUNTIFS($D$6:D1243,"&lt;&gt;"&amp;"")</f>
        <v>1238</v>
      </c>
      <c r="D1243" s="73" t="s">
        <v>12</v>
      </c>
      <c r="E1243" s="76" t="str">
        <f aca="false">
IF($D1243="정상",INDEX(임대자산!$D$3:$R$3000,MATCH($F1243,임대자산!$I$3:$I$3000,0),MATCH(E$3,임대자산!$D$3:$R$3,0)),
IF($D1243="폐업",INDEX(폐업정보!$D$3:$R$3000,MATCH($F1243,폐업정보!$I$3:$I$3000,0),MATCH(E$3,폐업정보!$D$3:$R$3,0)),
"Error"))</f>
        <v>서울</v>
      </c>
      <c r="F124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B1238</v>
      </c>
      <c r="G1243" s="76" t="str">
        <f aca="false">F1243&amp;RANDBETWEEN(0,10)</f>
        <v>B12380</v>
      </c>
      <c r="H1243" s="75" t="n">
        <f aca="false">
IF($D1243="정상",INDEX(임대자산!$D$3:$R$3000,MATCH($F1243,임대자산!$I$3:$I$3000,0),MATCH(H$4,임대자산!$D$3:$R$3,0)),
IF($D1243="폐업",INDEX(폐업정보!$D$3:$R$3000,MATCH($F1243,폐업정보!$I$3:$I$3000,0),MATCH(H$4,폐업정보!$D$3:$R$3,0)),
"Error"))</f>
        <v>45170</v>
      </c>
      <c r="I1243" s="75" t="str">
        <f aca="false">
IF($D1243="정상",INDEX(임대자산!$D$3:$R$3000,MATCH($F1243,임대자산!$I$3:$I$3000,0),MATCH(I$4,임대자산!$D$3:$R$3,0)),
IF($D1243="폐업",INDEX(폐업정보!$D$3:$R$3000,MATCH($F1243,폐업정보!$I$3:$I$3000,0),MATCH(I$4,폐업정보!$D$3:$R$3,0)),
"Error"))</f>
        <v>A1238</v>
      </c>
      <c r="J1243" s="75" t="str">
        <f aca="false">
IF($D1243="정상",INDEX(임대자산!$D$3:$R$3000,MATCH($F1243,임대자산!$I$3:$I$3000,0),MATCH(J$4,임대자산!$D$3:$R$3,0)),
IF($D1243="폐업",INDEX(폐업정보!$D$3:$R$3000,MATCH($F1243,폐업정보!$I$3:$I$3000,0),MATCH(J$4,폐업정보!$D$3:$R$3,0)),
"Error"))</f>
        <v>9289900000</v>
      </c>
      <c r="K1243" s="75" t="str">
        <f aca="false">
IF($D1243="정상",INDEX(임대자산!$D$3:$R$3000,MATCH($F1243,임대자산!$I$3:$I$3000,0),MATCH(K$4,임대자산!$D$3:$R$3,0)),
IF($D1243="폐업",INDEX(폐업정보!$D$3:$R$3000,MATCH($F1243,폐업정보!$I$3:$I$3000,0),MATCH(K$4,폐업정보!$D$3:$R$3,0)),
"Error"))</f>
        <v>C1238</v>
      </c>
      <c r="L1243" s="75" t="str">
        <f aca="false">
IF($D1243="정상",INDEX(임대자산!$D$3:$R$3000,MATCH($F1243,임대자산!$I$3:$I$3000,0),MATCH(L$4,임대자산!$D$3:$R$3,0)),
IF($D1243="폐업",INDEX(폐업정보!$D$3:$R$3000,MATCH($F1243,폐업정보!$I$3:$I$3000,0),MATCH(L$4,폐업정보!$D$3:$R$3,0)),
"Error"))</f>
        <v>D1238</v>
      </c>
      <c r="M1243" s="76" t="s">
        <v>96</v>
      </c>
      <c r="N1243" s="77"/>
      <c r="O1243" s="78" t="s">
        <v>97</v>
      </c>
      <c r="P1243" s="79" t="n">
        <f aca="false">COUNTIFS(임대자산!$I:$I,가맹점정보!F1243,임대자산!$N:$N,가맹점정보!P$4)</f>
        <v>0</v>
      </c>
      <c r="Q1243" s="80" t="n">
        <f aca="false">COUNTIFS(임대자산!$I:$I,가맹점정보!F1243,임대자산!$N:$N,가맹점정보!Q$4)</f>
        <v>0</v>
      </c>
      <c r="R1243" s="81" t="n">
        <f aca="false">COUNTIFS(임대자산!$I:$I,가맹점정보!F1243,임대자산!$N:$N,가맹점정보!R$4)</f>
        <v>1</v>
      </c>
      <c r="S1243" s="82" t="n">
        <v>55000</v>
      </c>
      <c r="T1243" s="83" t="n">
        <v>0</v>
      </c>
      <c r="U1243" s="80" t="n">
        <f aca="false">SUM(S1243:T1243)</f>
        <v>55000</v>
      </c>
      <c r="V1243" s="84" t="s">
        <v>7</v>
      </c>
      <c r="W1243" s="80" t="str">
        <f aca="true">
IF(D1243="폐업","폐업",
IF(V1243="면제","면제",
IF(AND(V1243="정상",COUNTIFS(OFFSET(Y1243,0,COUNTA(Y1243:AV1243)-1,1,-4),"미납")&gt;=3),"장기미납",
IF(AND(V1243="정상",OFFSET(Y1243,0,COUNTA(Y1243:AV1243)-1)&gt;=U1243),"정상",
IF(AND(V1243="정상",OFFSET(Y1243,0,COUNTA(Y1243:AV1243)-1)=0),"정상",
"계약서 미작성")))))</f>
        <v>면제</v>
      </c>
      <c r="X1243" s="81" t="str">
        <f aca="true">
IF(D1243="폐업","폐업",
IF(AND(V1243="정상",OFFSET(Y1243,0,COUNTA(Y1243:AV1243)-1)="미납"),"미납",
IF(AND(V1243="정상",OFFSET(Y1243,0,COUNTA(Y1243:AV1243)-1)=0),"납부 시작 전",
IF(AND(V1243="정상",OFFSET(Y1243,0,COUNTA(Y1243:AV1243)-1)&gt;=U1243),"정상",
IF(AND(V1243="면제",OFFSET(Y1243,0,COUNTA(Y1243:AV1243)-1)="면제"),"면제",
IF(AND(V1243="면제",OFFSET(Y1243,0,COUNTA(Y1243:AV1243)-1)=0),"면제",
"확인요청"))))))</f>
        <v>면제</v>
      </c>
      <c r="Y1243" s="94" t="s">
        <v>7</v>
      </c>
      <c r="Z1243" s="95" t="s">
        <v>7</v>
      </c>
      <c r="AA1243" s="95" t="s">
        <v>7</v>
      </c>
      <c r="AB1243" s="95" t="s">
        <v>7</v>
      </c>
      <c r="AC1243" s="95" t="s">
        <v>7</v>
      </c>
      <c r="AD1243" s="95" t="s">
        <v>7</v>
      </c>
      <c r="AE1243" s="95" t="s">
        <v>7</v>
      </c>
      <c r="AF1243" s="95" t="s">
        <v>7</v>
      </c>
      <c r="AG1243" s="95" t="s">
        <v>7</v>
      </c>
      <c r="AH1243" s="95" t="s">
        <v>7</v>
      </c>
      <c r="AI1243" s="95" t="s">
        <v>7</v>
      </c>
      <c r="AJ1243" s="96" t="s">
        <v>7</v>
      </c>
      <c r="AK1243" s="97" t="s">
        <v>7</v>
      </c>
      <c r="AL1243" s="95" t="s">
        <v>7</v>
      </c>
      <c r="AM1243" s="90"/>
      <c r="AN1243" s="90"/>
      <c r="AO1243" s="90"/>
      <c r="AP1243" s="90"/>
      <c r="AQ1243" s="90"/>
      <c r="AR1243" s="90"/>
      <c r="AS1243" s="90"/>
      <c r="AT1243" s="90"/>
      <c r="AU1243" s="90"/>
      <c r="AV1243" s="91"/>
      <c r="AX1243" s="92"/>
    </row>
    <row r="1244" customFormat="false" ht="15.65" hidden="false" customHeight="false" outlineLevel="0" collapsed="false">
      <c r="C1244" s="72" t="n">
        <f aca="false">COUNTIFS($D$6:D1244,"&lt;&gt;"&amp;"")</f>
        <v>1239</v>
      </c>
      <c r="D1244" s="73" t="s">
        <v>12</v>
      </c>
      <c r="E1244" s="76" t="str">
        <f aca="false">
IF($D1244="정상",INDEX(임대자산!$D$3:$R$3000,MATCH($F1244,임대자산!$I$3:$I$3000,0),MATCH(E$3,임대자산!$D$3:$R$3,0)),
IF($D1244="폐업",INDEX(폐업정보!$D$3:$R$3000,MATCH($F1244,폐업정보!$I$3:$I$3000,0),MATCH(E$3,폐업정보!$D$3:$R$3,0)),
"Error"))</f>
        <v>서울</v>
      </c>
      <c r="F124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B1239</v>
      </c>
      <c r="G1244" s="76" t="str">
        <f aca="false">F1244&amp;RANDBETWEEN(0,10)</f>
        <v>B12390</v>
      </c>
      <c r="H1244" s="75" t="n">
        <f aca="false">
IF($D1244="정상",INDEX(임대자산!$D$3:$R$3000,MATCH($F1244,임대자산!$I$3:$I$3000,0),MATCH(H$4,임대자산!$D$3:$R$3,0)),
IF($D1244="폐업",INDEX(폐업정보!$D$3:$R$3000,MATCH($F1244,폐업정보!$I$3:$I$3000,0),MATCH(H$4,폐업정보!$D$3:$R$3,0)),
"Error"))</f>
        <v>45350</v>
      </c>
      <c r="I1244" s="75" t="str">
        <f aca="false">
IF($D1244="정상",INDEX(임대자산!$D$3:$R$3000,MATCH($F1244,임대자산!$I$3:$I$3000,0),MATCH(I$4,임대자산!$D$3:$R$3,0)),
IF($D1244="폐업",INDEX(폐업정보!$D$3:$R$3000,MATCH($F1244,폐업정보!$I$3:$I$3000,0),MATCH(I$4,폐업정보!$D$3:$R$3,0)),
"Error"))</f>
        <v>A1239</v>
      </c>
      <c r="J1244" s="75" t="str">
        <f aca="false">
IF($D1244="정상",INDEX(임대자산!$D$3:$R$3000,MATCH($F1244,임대자산!$I$3:$I$3000,0),MATCH(J$4,임대자산!$D$3:$R$3,0)),
IF($D1244="폐업",INDEX(폐업정보!$D$3:$R$3000,MATCH($F1244,폐업정보!$I$3:$I$3000,0),MATCH(J$4,폐업정보!$D$3:$R$3,0)),
"Error"))</f>
        <v>7067700000</v>
      </c>
      <c r="K1244" s="75" t="str">
        <f aca="false">
IF($D1244="정상",INDEX(임대자산!$D$3:$R$3000,MATCH($F1244,임대자산!$I$3:$I$3000,0),MATCH(K$4,임대자산!$D$3:$R$3,0)),
IF($D1244="폐업",INDEX(폐업정보!$D$3:$R$3000,MATCH($F1244,폐업정보!$I$3:$I$3000,0),MATCH(K$4,폐업정보!$D$3:$R$3,0)),
"Error"))</f>
        <v>C1239</v>
      </c>
      <c r="L1244" s="75" t="str">
        <f aca="false">
IF($D1244="정상",INDEX(임대자산!$D$3:$R$3000,MATCH($F1244,임대자산!$I$3:$I$3000,0),MATCH(L$4,임대자산!$D$3:$R$3,0)),
IF($D1244="폐업",INDEX(폐업정보!$D$3:$R$3000,MATCH($F1244,폐업정보!$I$3:$I$3000,0),MATCH(L$4,폐업정보!$D$3:$R$3,0)),
"Error"))</f>
        <v>D1239</v>
      </c>
      <c r="M1244" s="76" t="s">
        <v>96</v>
      </c>
      <c r="N1244" s="77"/>
      <c r="O1244" s="78" t="s">
        <v>97</v>
      </c>
      <c r="P1244" s="79" t="n">
        <f aca="false">COUNTIFS(임대자산!$I:$I,가맹점정보!F1244,임대자산!$N:$N,가맹점정보!P$4)</f>
        <v>0</v>
      </c>
      <c r="Q1244" s="80" t="n">
        <f aca="false">COUNTIFS(임대자산!$I:$I,가맹점정보!F1244,임대자산!$N:$N,가맹점정보!Q$4)</f>
        <v>0</v>
      </c>
      <c r="R1244" s="81" t="n">
        <f aca="false">COUNTIFS(임대자산!$I:$I,가맹점정보!F1244,임대자산!$N:$N,가맹점정보!R$4)</f>
        <v>1</v>
      </c>
      <c r="S1244" s="82" t="n">
        <v>88000</v>
      </c>
      <c r="T1244" s="83" t="n">
        <v>0</v>
      </c>
      <c r="U1244" s="80" t="n">
        <f aca="false">SUM(S1244:T1244)</f>
        <v>88000</v>
      </c>
      <c r="V1244" s="84" t="s">
        <v>7</v>
      </c>
      <c r="W1244" s="80" t="str">
        <f aca="true">
IF(D1244="폐업","폐업",
IF(V1244="면제","면제",
IF(AND(V1244="정상",COUNTIFS(OFFSET(Y1244,0,COUNTA(Y1244:AV1244)-1,1,-4),"미납")&gt;=3),"장기미납",
IF(AND(V1244="정상",OFFSET(Y1244,0,COUNTA(Y1244:AV1244)-1)&gt;=U1244),"정상",
IF(AND(V1244="정상",OFFSET(Y1244,0,COUNTA(Y1244:AV1244)-1)=0),"정상",
"계약서 미작성")))))</f>
        <v>면제</v>
      </c>
      <c r="X1244" s="81" t="str">
        <f aca="true">
IF(D1244="폐업","폐업",
IF(AND(V1244="정상",OFFSET(Y1244,0,COUNTA(Y1244:AV1244)-1)="미납"),"미납",
IF(AND(V1244="정상",OFFSET(Y1244,0,COUNTA(Y1244:AV1244)-1)=0),"납부 시작 전",
IF(AND(V1244="정상",OFFSET(Y1244,0,COUNTA(Y1244:AV1244)-1)&gt;=U1244),"정상",
IF(AND(V1244="면제",OFFSET(Y1244,0,COUNTA(Y1244:AV1244)-1)="면제"),"면제",
IF(AND(V1244="면제",OFFSET(Y1244,0,COUNTA(Y1244:AV1244)-1)=0),"면제",
"확인요청"))))))</f>
        <v>면제</v>
      </c>
      <c r="Y1244" s="94" t="s">
        <v>7</v>
      </c>
      <c r="Z1244" s="95" t="s">
        <v>7</v>
      </c>
      <c r="AA1244" s="95" t="s">
        <v>7</v>
      </c>
      <c r="AB1244" s="95" t="s">
        <v>7</v>
      </c>
      <c r="AC1244" s="95" t="s">
        <v>7</v>
      </c>
      <c r="AD1244" s="95" t="s">
        <v>7</v>
      </c>
      <c r="AE1244" s="95" t="s">
        <v>7</v>
      </c>
      <c r="AF1244" s="95" t="s">
        <v>7</v>
      </c>
      <c r="AG1244" s="95" t="s">
        <v>7</v>
      </c>
      <c r="AH1244" s="95" t="s">
        <v>7</v>
      </c>
      <c r="AI1244" s="95" t="s">
        <v>7</v>
      </c>
      <c r="AJ1244" s="96" t="s">
        <v>7</v>
      </c>
      <c r="AK1244" s="97" t="s">
        <v>7</v>
      </c>
      <c r="AL1244" s="95" t="s">
        <v>7</v>
      </c>
      <c r="AM1244" s="90"/>
      <c r="AN1244" s="90"/>
      <c r="AO1244" s="90"/>
      <c r="AP1244" s="90"/>
      <c r="AQ1244" s="90"/>
      <c r="AR1244" s="90"/>
      <c r="AS1244" s="90"/>
      <c r="AT1244" s="90"/>
      <c r="AU1244" s="90"/>
      <c r="AV1244" s="91"/>
      <c r="AX1244" s="92"/>
    </row>
    <row r="1245" customFormat="false" ht="15.65" hidden="false" customHeight="false" outlineLevel="0" collapsed="false">
      <c r="C1245" s="72" t="n">
        <f aca="false">COUNTIFS($D$6:D1245,"&lt;&gt;"&amp;"")</f>
        <v>1240</v>
      </c>
      <c r="D1245" s="73" t="s">
        <v>12</v>
      </c>
      <c r="E1245" s="76" t="str">
        <f aca="false">
IF($D1245="정상",INDEX(임대자산!$D$3:$R$3000,MATCH($F1245,임대자산!$I$3:$I$3000,0),MATCH(E$3,임대자산!$D$3:$R$3,0)),
IF($D1245="폐업",INDEX(폐업정보!$D$3:$R$3000,MATCH($F1245,폐업정보!$I$3:$I$3000,0),MATCH(E$3,폐업정보!$D$3:$R$3,0)),
"Error"))</f>
        <v>경기</v>
      </c>
      <c r="F124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B1240</v>
      </c>
      <c r="G1245" s="76" t="str">
        <f aca="false">F1245&amp;RANDBETWEEN(0,10)</f>
        <v>B124010</v>
      </c>
      <c r="H1245" s="75" t="n">
        <f aca="false">
IF($D1245="정상",INDEX(임대자산!$D$3:$R$3000,MATCH($F1245,임대자산!$I$3:$I$3000,0),MATCH(H$4,임대자산!$D$3:$R$3,0)),
IF($D1245="폐업",INDEX(폐업정보!$D$3:$R$3000,MATCH($F1245,폐업정보!$I$3:$I$3000,0),MATCH(H$4,폐업정보!$D$3:$R$3,0)),
"Error"))</f>
        <v>45400</v>
      </c>
      <c r="I1245" s="75" t="str">
        <f aca="false">
IF($D1245="정상",INDEX(임대자산!$D$3:$R$3000,MATCH($F1245,임대자산!$I$3:$I$3000,0),MATCH(I$4,임대자산!$D$3:$R$3,0)),
IF($D1245="폐업",INDEX(폐업정보!$D$3:$R$3000,MATCH($F1245,폐업정보!$I$3:$I$3000,0),MATCH(I$4,폐업정보!$D$3:$R$3,0)),
"Error"))</f>
        <v>A1240</v>
      </c>
      <c r="J1245" s="75" t="str">
        <f aca="false">
IF($D1245="정상",INDEX(임대자산!$D$3:$R$3000,MATCH($F1245,임대자산!$I$3:$I$3000,0),MATCH(J$4,임대자산!$D$3:$R$3,0)),
IF($D1245="폐업",INDEX(폐업정보!$D$3:$R$3000,MATCH($F1245,폐업정보!$I$3:$I$3000,0),MATCH(J$4,폐업정보!$D$3:$R$3,0)),
"Error"))</f>
        <v>9427400000</v>
      </c>
      <c r="K1245" s="75" t="str">
        <f aca="false">
IF($D1245="정상",INDEX(임대자산!$D$3:$R$3000,MATCH($F1245,임대자산!$I$3:$I$3000,0),MATCH(K$4,임대자산!$D$3:$R$3,0)),
IF($D1245="폐업",INDEX(폐업정보!$D$3:$R$3000,MATCH($F1245,폐업정보!$I$3:$I$3000,0),MATCH(K$4,폐업정보!$D$3:$R$3,0)),
"Error"))</f>
        <v>C1240</v>
      </c>
      <c r="L1245" s="75" t="str">
        <f aca="false">
IF($D1245="정상",INDEX(임대자산!$D$3:$R$3000,MATCH($F1245,임대자산!$I$3:$I$3000,0),MATCH(L$4,임대자산!$D$3:$R$3,0)),
IF($D1245="폐업",INDEX(폐업정보!$D$3:$R$3000,MATCH($F1245,폐업정보!$I$3:$I$3000,0),MATCH(L$4,폐업정보!$D$3:$R$3,0)),
"Error"))</f>
        <v>D1240</v>
      </c>
      <c r="M1245" s="76" t="s">
        <v>96</v>
      </c>
      <c r="N1245" s="77"/>
      <c r="O1245" s="78" t="s">
        <v>97</v>
      </c>
      <c r="P1245" s="79" t="n">
        <f aca="false">COUNTIFS(임대자산!$I:$I,가맹점정보!F1245,임대자산!$N:$N,가맹점정보!P$4)</f>
        <v>0</v>
      </c>
      <c r="Q1245" s="80" t="n">
        <f aca="false">COUNTIFS(임대자산!$I:$I,가맹점정보!F1245,임대자산!$N:$N,가맹점정보!Q$4)</f>
        <v>0</v>
      </c>
      <c r="R1245" s="81" t="n">
        <f aca="false">COUNTIFS(임대자산!$I:$I,가맹점정보!F1245,임대자산!$N:$N,가맹점정보!R$4)</f>
        <v>1</v>
      </c>
      <c r="S1245" s="82" t="n">
        <v>88000</v>
      </c>
      <c r="T1245" s="83" t="n">
        <v>0</v>
      </c>
      <c r="U1245" s="80" t="n">
        <f aca="false">SUM(S1245:T1245)</f>
        <v>88000</v>
      </c>
      <c r="V1245" s="84" t="s">
        <v>7</v>
      </c>
      <c r="W1245" s="80" t="str">
        <f aca="true">
IF(D1245="폐업","폐업",
IF(V1245="면제","면제",
IF(AND(V1245="정상",COUNTIFS(OFFSET(Y1245,0,COUNTA(Y1245:AV1245)-1,1,-4),"미납")&gt;=3),"장기미납",
IF(AND(V1245="정상",OFFSET(Y1245,0,COUNTA(Y1245:AV1245)-1)&gt;=U1245),"정상",
IF(AND(V1245="정상",OFFSET(Y1245,0,COUNTA(Y1245:AV1245)-1)=0),"정상",
"계약서 미작성")))))</f>
        <v>면제</v>
      </c>
      <c r="X1245" s="81" t="str">
        <f aca="true">
IF(D1245="폐업","폐업",
IF(AND(V1245="정상",OFFSET(Y1245,0,COUNTA(Y1245:AV1245)-1)="미납"),"미납",
IF(AND(V1245="정상",OFFSET(Y1245,0,COUNTA(Y1245:AV1245)-1)=0),"납부 시작 전",
IF(AND(V1245="정상",OFFSET(Y1245,0,COUNTA(Y1245:AV1245)-1)&gt;=U1245),"정상",
IF(AND(V1245="면제",OFFSET(Y1245,0,COUNTA(Y1245:AV1245)-1)="면제"),"면제",
IF(AND(V1245="면제",OFFSET(Y1245,0,COUNTA(Y1245:AV1245)-1)=0),"면제",
"확인요청"))))))</f>
        <v>면제</v>
      </c>
      <c r="Y1245" s="94" t="s">
        <v>7</v>
      </c>
      <c r="Z1245" s="95" t="s">
        <v>7</v>
      </c>
      <c r="AA1245" s="95" t="s">
        <v>7</v>
      </c>
      <c r="AB1245" s="95" t="s">
        <v>7</v>
      </c>
      <c r="AC1245" s="95" t="s">
        <v>7</v>
      </c>
      <c r="AD1245" s="95" t="s">
        <v>7</v>
      </c>
      <c r="AE1245" s="95" t="s">
        <v>7</v>
      </c>
      <c r="AF1245" s="95" t="s">
        <v>7</v>
      </c>
      <c r="AG1245" s="95" t="s">
        <v>7</v>
      </c>
      <c r="AH1245" s="95" t="s">
        <v>7</v>
      </c>
      <c r="AI1245" s="95" t="s">
        <v>7</v>
      </c>
      <c r="AJ1245" s="96" t="s">
        <v>7</v>
      </c>
      <c r="AK1245" s="97" t="s">
        <v>7</v>
      </c>
      <c r="AL1245" s="95" t="s">
        <v>7</v>
      </c>
      <c r="AM1245" s="90"/>
      <c r="AN1245" s="90"/>
      <c r="AO1245" s="90"/>
      <c r="AP1245" s="90"/>
      <c r="AQ1245" s="90"/>
      <c r="AR1245" s="90"/>
      <c r="AS1245" s="90"/>
      <c r="AT1245" s="90"/>
      <c r="AU1245" s="90"/>
      <c r="AV1245" s="91"/>
      <c r="AX1245" s="92"/>
    </row>
    <row r="1246" customFormat="false" ht="15.65" hidden="false" customHeight="false" outlineLevel="0" collapsed="false">
      <c r="C1246" s="72" t="n">
        <f aca="false">COUNTIFS($D$6:D1246,"&lt;&gt;"&amp;"")</f>
        <v>1241</v>
      </c>
      <c r="D1246" s="73" t="s">
        <v>12</v>
      </c>
      <c r="E1246" s="76" t="str">
        <f aca="false">
IF($D1246="정상",INDEX(임대자산!$D$3:$R$3000,MATCH($F1246,임대자산!$I$3:$I$3000,0),MATCH(E$3,임대자산!$D$3:$R$3,0)),
IF($D1246="폐업",INDEX(폐업정보!$D$3:$R$3000,MATCH($F1246,폐업정보!$I$3:$I$3000,0),MATCH(E$3,폐업정보!$D$3:$R$3,0)),
"Error"))</f>
        <v>서울</v>
      </c>
      <c r="F124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B1241</v>
      </c>
      <c r="G1246" s="76" t="str">
        <f aca="false">F1246&amp;RANDBETWEEN(0,10)</f>
        <v>B12414</v>
      </c>
      <c r="H1246" s="75" t="n">
        <f aca="false">
IF($D1246="정상",INDEX(임대자산!$D$3:$R$3000,MATCH($F1246,임대자산!$I$3:$I$3000,0),MATCH(H$4,임대자산!$D$3:$R$3,0)),
IF($D1246="폐업",INDEX(폐업정보!$D$3:$R$3000,MATCH($F1246,폐업정보!$I$3:$I$3000,0),MATCH(H$4,폐업정보!$D$3:$R$3,0)),
"Error"))</f>
        <v>46049</v>
      </c>
      <c r="I1246" s="75" t="str">
        <f aca="false">
IF($D1246="정상",INDEX(임대자산!$D$3:$R$3000,MATCH($F1246,임대자산!$I$3:$I$3000,0),MATCH(I$4,임대자산!$D$3:$R$3,0)),
IF($D1246="폐업",INDEX(폐업정보!$D$3:$R$3000,MATCH($F1246,폐업정보!$I$3:$I$3000,0),MATCH(I$4,폐업정보!$D$3:$R$3,0)),
"Error"))</f>
        <v>A1241</v>
      </c>
      <c r="J1246" s="75" t="str">
        <f aca="false">
IF($D1246="정상",INDEX(임대자산!$D$3:$R$3000,MATCH($F1246,임대자산!$I$3:$I$3000,0),MATCH(J$4,임대자산!$D$3:$R$3,0)),
IF($D1246="폐업",INDEX(폐업정보!$D$3:$R$3000,MATCH($F1246,폐업정보!$I$3:$I$3000,0),MATCH(J$4,폐업정보!$D$3:$R$3,0)),
"Error"))</f>
        <v>1010700000</v>
      </c>
      <c r="K1246" s="75" t="str">
        <f aca="false">
IF($D1246="정상",INDEX(임대자산!$D$3:$R$3000,MATCH($F1246,임대자산!$I$3:$I$3000,0),MATCH(K$4,임대자산!$D$3:$R$3,0)),
IF($D1246="폐업",INDEX(폐업정보!$D$3:$R$3000,MATCH($F1246,폐업정보!$I$3:$I$3000,0),MATCH(K$4,폐업정보!$D$3:$R$3,0)),
"Error"))</f>
        <v>C1241</v>
      </c>
      <c r="L1246" s="75" t="str">
        <f aca="false">
IF($D1246="정상",INDEX(임대자산!$D$3:$R$3000,MATCH($F1246,임대자산!$I$3:$I$3000,0),MATCH(L$4,임대자산!$D$3:$R$3,0)),
IF($D1246="폐업",INDEX(폐업정보!$D$3:$R$3000,MATCH($F1246,폐업정보!$I$3:$I$3000,0),MATCH(L$4,폐업정보!$D$3:$R$3,0)),
"Error"))</f>
        <v>D1241</v>
      </c>
      <c r="M1246" s="76" t="s">
        <v>96</v>
      </c>
      <c r="N1246" s="77"/>
      <c r="O1246" s="78" t="s">
        <v>97</v>
      </c>
      <c r="P1246" s="79" t="n">
        <f aca="false">COUNTIFS(임대자산!$I:$I,가맹점정보!F1246,임대자산!$N:$N,가맹점정보!P$4)</f>
        <v>0</v>
      </c>
      <c r="Q1246" s="80" t="n">
        <f aca="false">COUNTIFS(임대자산!$I:$I,가맹점정보!F1246,임대자산!$N:$N,가맹점정보!Q$4)</f>
        <v>0</v>
      </c>
      <c r="R1246" s="81" t="n">
        <f aca="false">COUNTIFS(임대자산!$I:$I,가맹점정보!F1246,임대자산!$N:$N,가맹점정보!R$4)</f>
        <v>1</v>
      </c>
      <c r="S1246" s="82" t="n">
        <v>55000</v>
      </c>
      <c r="T1246" s="83" t="n">
        <v>0</v>
      </c>
      <c r="U1246" s="80" t="n">
        <f aca="false">SUM(S1246:T1246)</f>
        <v>55000</v>
      </c>
      <c r="V1246" s="84" t="s">
        <v>7</v>
      </c>
      <c r="W1246" s="80" t="str">
        <f aca="true">
IF(D1246="폐업","폐업",
IF(V1246="면제","면제",
IF(AND(V1246="정상",COUNTIFS(OFFSET(Y1246,0,COUNTA(Y1246:AV1246)-1,1,-4),"미납")&gt;=3),"장기미납",
IF(AND(V1246="정상",OFFSET(Y1246,0,COUNTA(Y1246:AV1246)-1)&gt;=U1246),"정상",
IF(AND(V1246="정상",OFFSET(Y1246,0,COUNTA(Y1246:AV1246)-1)=0),"정상",
"계약서 미작성")))))</f>
        <v>면제</v>
      </c>
      <c r="X1246" s="81" t="str">
        <f aca="true">
IF(D1246="폐업","폐업",
IF(AND(V1246="정상",OFFSET(Y1246,0,COUNTA(Y1246:AV1246)-1)="미납"),"미납",
IF(AND(V1246="정상",OFFSET(Y1246,0,COUNTA(Y1246:AV1246)-1)=0),"납부 시작 전",
IF(AND(V1246="정상",OFFSET(Y1246,0,COUNTA(Y1246:AV1246)-1)&gt;=U1246),"정상",
IF(AND(V1246="면제",OFFSET(Y1246,0,COUNTA(Y1246:AV1246)-1)="면제"),"면제",
IF(AND(V1246="면제",OFFSET(Y1246,0,COUNTA(Y1246:AV1246)-1)=0),"면제",
"확인요청"))))))</f>
        <v>면제</v>
      </c>
      <c r="Y1246" s="94" t="s">
        <v>7</v>
      </c>
      <c r="Z1246" s="95" t="s">
        <v>7</v>
      </c>
      <c r="AA1246" s="95" t="s">
        <v>7</v>
      </c>
      <c r="AB1246" s="95" t="s">
        <v>7</v>
      </c>
      <c r="AC1246" s="95" t="s">
        <v>7</v>
      </c>
      <c r="AD1246" s="95" t="s">
        <v>7</v>
      </c>
      <c r="AE1246" s="95" t="s">
        <v>7</v>
      </c>
      <c r="AF1246" s="95" t="s">
        <v>7</v>
      </c>
      <c r="AG1246" s="95" t="s">
        <v>7</v>
      </c>
      <c r="AH1246" s="95" t="s">
        <v>7</v>
      </c>
      <c r="AI1246" s="95" t="s">
        <v>7</v>
      </c>
      <c r="AJ1246" s="96" t="s">
        <v>7</v>
      </c>
      <c r="AK1246" s="97" t="s">
        <v>7</v>
      </c>
      <c r="AL1246" s="95" t="s">
        <v>7</v>
      </c>
      <c r="AM1246" s="90"/>
      <c r="AN1246" s="90"/>
      <c r="AO1246" s="90"/>
      <c r="AP1246" s="90"/>
      <c r="AQ1246" s="90"/>
      <c r="AR1246" s="90"/>
      <c r="AS1246" s="90"/>
      <c r="AT1246" s="90"/>
      <c r="AU1246" s="90"/>
      <c r="AV1246" s="91"/>
      <c r="AX1246" s="92"/>
    </row>
    <row r="1247" customFormat="false" ht="15.65" hidden="false" customHeight="false" outlineLevel="0" collapsed="false">
      <c r="C1247" s="72" t="n">
        <f aca="false">COUNTIFS($D$6:D1247,"&lt;&gt;"&amp;"")</f>
        <v>1242</v>
      </c>
      <c r="D1247" s="73" t="s">
        <v>12</v>
      </c>
      <c r="E1247" s="76" t="str">
        <f aca="false">
IF($D1247="정상",INDEX(임대자산!$D$3:$R$3000,MATCH($F1247,임대자산!$I$3:$I$3000,0),MATCH(E$3,임대자산!$D$3:$R$3,0)),
IF($D1247="폐업",INDEX(폐업정보!$D$3:$R$3000,MATCH($F1247,폐업정보!$I$3:$I$3000,0),MATCH(E$3,폐업정보!$D$3:$R$3,0)),
"Error"))</f>
        <v>서울</v>
      </c>
      <c r="F124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B1242</v>
      </c>
      <c r="G1247" s="76" t="str">
        <f aca="false">F1247&amp;RANDBETWEEN(0,10)</f>
        <v>B12428</v>
      </c>
      <c r="H1247" s="75" t="n">
        <f aca="false">
IF($D1247="정상",INDEX(임대자산!$D$3:$R$3000,MATCH($F1247,임대자산!$I$3:$I$3000,0),MATCH(H$4,임대자산!$D$3:$R$3,0)),
IF($D1247="폐업",INDEX(폐업정보!$D$3:$R$3000,MATCH($F1247,폐업정보!$I$3:$I$3000,0),MATCH(H$4,폐업정보!$D$3:$R$3,0)),
"Error"))</f>
        <v>44805</v>
      </c>
      <c r="I1247" s="75" t="str">
        <f aca="false">
IF($D1247="정상",INDEX(임대자산!$D$3:$R$3000,MATCH($F1247,임대자산!$I$3:$I$3000,0),MATCH(I$4,임대자산!$D$3:$R$3,0)),
IF($D1247="폐업",INDEX(폐업정보!$D$3:$R$3000,MATCH($F1247,폐업정보!$I$3:$I$3000,0),MATCH(I$4,폐업정보!$D$3:$R$3,0)),
"Error"))</f>
        <v>A1242</v>
      </c>
      <c r="J1247" s="75" t="str">
        <f aca="false">
IF($D1247="정상",INDEX(임대자산!$D$3:$R$3000,MATCH($F1247,임대자산!$I$3:$I$3000,0),MATCH(J$4,임대자산!$D$3:$R$3,0)),
IF($D1247="폐업",INDEX(폐업정보!$D$3:$R$3000,MATCH($F1247,폐업정보!$I$3:$I$3000,0),MATCH(J$4,폐업정보!$D$3:$R$3,0)),
"Error"))</f>
        <v>7235900000</v>
      </c>
      <c r="K1247" s="75" t="str">
        <f aca="false">
IF($D1247="정상",INDEX(임대자산!$D$3:$R$3000,MATCH($F1247,임대자산!$I$3:$I$3000,0),MATCH(K$4,임대자산!$D$3:$R$3,0)),
IF($D1247="폐업",INDEX(폐업정보!$D$3:$R$3000,MATCH($F1247,폐업정보!$I$3:$I$3000,0),MATCH(K$4,폐업정보!$D$3:$R$3,0)),
"Error"))</f>
        <v>C1242</v>
      </c>
      <c r="L1247" s="75" t="str">
        <f aca="false">
IF($D1247="정상",INDEX(임대자산!$D$3:$R$3000,MATCH($F1247,임대자산!$I$3:$I$3000,0),MATCH(L$4,임대자산!$D$3:$R$3,0)),
IF($D1247="폐업",INDEX(폐업정보!$D$3:$R$3000,MATCH($F1247,폐업정보!$I$3:$I$3000,0),MATCH(L$4,폐업정보!$D$3:$R$3,0)),
"Error"))</f>
        <v>D1242</v>
      </c>
      <c r="M1247" s="76" t="s">
        <v>96</v>
      </c>
      <c r="N1247" s="77"/>
      <c r="O1247" s="78" t="s">
        <v>97</v>
      </c>
      <c r="P1247" s="79" t="n">
        <f aca="false">COUNTIFS(임대자산!$I:$I,가맹점정보!F1247,임대자산!$N:$N,가맹점정보!P$4)</f>
        <v>0</v>
      </c>
      <c r="Q1247" s="80" t="n">
        <f aca="false">COUNTIFS(임대자산!$I:$I,가맹점정보!F1247,임대자산!$N:$N,가맹점정보!Q$4)</f>
        <v>0</v>
      </c>
      <c r="R1247" s="81" t="n">
        <f aca="false">COUNTIFS(임대자산!$I:$I,가맹점정보!F1247,임대자산!$N:$N,가맹점정보!R$4)</f>
        <v>1</v>
      </c>
      <c r="S1247" s="82" t="n">
        <v>55000</v>
      </c>
      <c r="T1247" s="83" t="n">
        <v>0</v>
      </c>
      <c r="U1247" s="80" t="n">
        <f aca="false">SUM(S1247:T1247)</f>
        <v>55000</v>
      </c>
      <c r="V1247" s="84" t="s">
        <v>12</v>
      </c>
      <c r="W1247" s="80" t="e">
        <f aca="true">
IF(D1247="폐업","폐업",
IF(V1247="면제","면제",
IF(AND(V1247="정상",COUNTIFS(OFFSET(Y1247,0,COUNTA(Y1247:AV1247)-1,1,-4),"미납")&gt;=3),"장기미납",
IF(AND(V1247="정상",OFFSET(Y1247,0,COUNTA(Y1247:AV1247)-1)&gt;=U1247),"정상",
IF(AND(V1247="정상",OFFSET(Y1247,0,COUNTA(Y1247:AV1247)-1)=0),"정상",
"계약서 미작성")))))</f>
        <v>#VALUE!</v>
      </c>
      <c r="X1247" s="81" t="str">
        <f aca="true">
IF(D1247="폐업","폐업",
IF(AND(V1247="정상",OFFSET(Y1247,0,COUNTA(Y1247:AV1247)-1)="미납"),"미납",
IF(AND(V1247="정상",OFFSET(Y1247,0,COUNTA(Y1247:AV1247)-1)=0),"납부 시작 전",
IF(AND(V1247="정상",OFFSET(Y1247,0,COUNTA(Y1247:AV1247)-1)&gt;=U1247),"정상",
IF(AND(V1247="면제",OFFSET(Y1247,0,COUNTA(Y1247:AV1247)-1)="면제"),"면제",
IF(AND(V1247="면제",OFFSET(Y1247,0,COUNTA(Y1247:AV1247)-1)=0),"면제",
"확인요청"))))))</f>
        <v>정상</v>
      </c>
      <c r="Y1247" s="93" t="n">
        <v>55000</v>
      </c>
      <c r="Z1247" s="90" t="n">
        <v>55000</v>
      </c>
      <c r="AA1247" s="90" t="n">
        <v>55000</v>
      </c>
      <c r="AB1247" s="90" t="n">
        <v>55000</v>
      </c>
      <c r="AC1247" s="90" t="n">
        <v>55000</v>
      </c>
      <c r="AD1247" s="90" t="n">
        <v>55000</v>
      </c>
      <c r="AE1247" s="90" t="n">
        <v>55000</v>
      </c>
      <c r="AF1247" s="90" t="n">
        <v>55000</v>
      </c>
      <c r="AG1247" s="90" t="n">
        <v>55000</v>
      </c>
      <c r="AH1247" s="90" t="n">
        <v>55000</v>
      </c>
      <c r="AI1247" s="90" t="n">
        <v>55000</v>
      </c>
      <c r="AJ1247" s="91" t="n">
        <v>55000</v>
      </c>
      <c r="AK1247" s="89" t="n">
        <v>55000</v>
      </c>
      <c r="AL1247" s="90" t="n">
        <v>55000</v>
      </c>
      <c r="AM1247" s="90"/>
      <c r="AN1247" s="90"/>
      <c r="AO1247" s="90"/>
      <c r="AP1247" s="90"/>
      <c r="AQ1247" s="90"/>
      <c r="AR1247" s="90"/>
      <c r="AS1247" s="90"/>
      <c r="AT1247" s="90"/>
      <c r="AU1247" s="90"/>
      <c r="AV1247" s="91"/>
      <c r="AX1247" s="92"/>
    </row>
    <row r="1248" customFormat="false" ht="15.65" hidden="false" customHeight="false" outlineLevel="0" collapsed="false">
      <c r="C1248" s="72" t="n">
        <f aca="false">COUNTIFS($D$6:D1248,"&lt;&gt;"&amp;"")</f>
        <v>1243</v>
      </c>
      <c r="D1248" s="73" t="s">
        <v>12</v>
      </c>
      <c r="E1248" s="76" t="str">
        <f aca="false">
IF($D1248="정상",INDEX(임대자산!$D$3:$R$3000,MATCH($F1248,임대자산!$I$3:$I$3000,0),MATCH(E$3,임대자산!$D$3:$R$3,0)),
IF($D1248="폐업",INDEX(폐업정보!$D$3:$R$3000,MATCH($F1248,폐업정보!$I$3:$I$3000,0),MATCH(E$3,폐업정보!$D$3:$R$3,0)),
"Error"))</f>
        <v>서울</v>
      </c>
      <c r="F124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B1243</v>
      </c>
      <c r="G1248" s="76" t="str">
        <f aca="false">F1248&amp;RANDBETWEEN(0,10)</f>
        <v>B12433</v>
      </c>
      <c r="H1248" s="75" t="n">
        <f aca="false">
IF($D1248="정상",INDEX(임대자산!$D$3:$R$3000,MATCH($F1248,임대자산!$I$3:$I$3000,0),MATCH(H$4,임대자산!$D$3:$R$3,0)),
IF($D1248="폐업",INDEX(폐업정보!$D$3:$R$3000,MATCH($F1248,폐업정보!$I$3:$I$3000,0),MATCH(H$4,폐업정보!$D$3:$R$3,0)),
"Error"))</f>
        <v>45575</v>
      </c>
      <c r="I1248" s="75" t="str">
        <f aca="false">
IF($D1248="정상",INDEX(임대자산!$D$3:$R$3000,MATCH($F1248,임대자산!$I$3:$I$3000,0),MATCH(I$4,임대자산!$D$3:$R$3,0)),
IF($D1248="폐업",INDEX(폐업정보!$D$3:$R$3000,MATCH($F1248,폐업정보!$I$3:$I$3000,0),MATCH(I$4,폐업정보!$D$3:$R$3,0)),
"Error"))</f>
        <v>A1243</v>
      </c>
      <c r="J1248" s="75" t="str">
        <f aca="false">
IF($D1248="정상",INDEX(임대자산!$D$3:$R$3000,MATCH($F1248,임대자산!$I$3:$I$3000,0),MATCH(J$4,임대자산!$D$3:$R$3,0)),
IF($D1248="폐업",INDEX(폐업정보!$D$3:$R$3000,MATCH($F1248,폐업정보!$I$3:$I$3000,0),MATCH(J$4,폐업정보!$D$3:$R$3,0)),
"Error"))</f>
        <v>4331200000</v>
      </c>
      <c r="K1248" s="75" t="str">
        <f aca="false">
IF($D1248="정상",INDEX(임대자산!$D$3:$R$3000,MATCH($F1248,임대자산!$I$3:$I$3000,0),MATCH(K$4,임대자산!$D$3:$R$3,0)),
IF($D1248="폐업",INDEX(폐업정보!$D$3:$R$3000,MATCH($F1248,폐업정보!$I$3:$I$3000,0),MATCH(K$4,폐업정보!$D$3:$R$3,0)),
"Error"))</f>
        <v>C1243</v>
      </c>
      <c r="L1248" s="75" t="str">
        <f aca="false">
IF($D1248="정상",INDEX(임대자산!$D$3:$R$3000,MATCH($F1248,임대자산!$I$3:$I$3000,0),MATCH(L$4,임대자산!$D$3:$R$3,0)),
IF($D1248="폐업",INDEX(폐업정보!$D$3:$R$3000,MATCH($F1248,폐업정보!$I$3:$I$3000,0),MATCH(L$4,폐업정보!$D$3:$R$3,0)),
"Error"))</f>
        <v>D1243</v>
      </c>
      <c r="M1248" s="76" t="s">
        <v>96</v>
      </c>
      <c r="N1248" s="77"/>
      <c r="O1248" s="78" t="s">
        <v>97</v>
      </c>
      <c r="P1248" s="79" t="n">
        <f aca="false">COUNTIFS(임대자산!$I:$I,가맹점정보!F1248,임대자산!$N:$N,가맹점정보!P$4)</f>
        <v>0</v>
      </c>
      <c r="Q1248" s="80" t="n">
        <f aca="false">COUNTIFS(임대자산!$I:$I,가맹점정보!F1248,임대자산!$N:$N,가맹점정보!Q$4)</f>
        <v>0</v>
      </c>
      <c r="R1248" s="81" t="n">
        <f aca="false">COUNTIFS(임대자산!$I:$I,가맹점정보!F1248,임대자산!$N:$N,가맹점정보!R$4)</f>
        <v>1</v>
      </c>
      <c r="S1248" s="82" t="n">
        <v>55000</v>
      </c>
      <c r="T1248" s="83" t="n">
        <v>0</v>
      </c>
      <c r="U1248" s="80" t="n">
        <f aca="false">SUM(S1248:T1248)</f>
        <v>55000</v>
      </c>
      <c r="V1248" s="84" t="s">
        <v>7</v>
      </c>
      <c r="W1248" s="80" t="str">
        <f aca="true">
IF(D1248="폐업","폐업",
IF(V1248="면제","면제",
IF(AND(V1248="정상",COUNTIFS(OFFSET(Y1248,0,COUNTA(Y1248:AV1248)-1,1,-4),"미납")&gt;=3),"장기미납",
IF(AND(V1248="정상",OFFSET(Y1248,0,COUNTA(Y1248:AV1248)-1)&gt;=U1248),"정상",
IF(AND(V1248="정상",OFFSET(Y1248,0,COUNTA(Y1248:AV1248)-1)=0),"정상",
"계약서 미작성")))))</f>
        <v>면제</v>
      </c>
      <c r="X1248" s="81" t="str">
        <f aca="true">
IF(D1248="폐업","폐업",
IF(AND(V1248="정상",OFFSET(Y1248,0,COUNTA(Y1248:AV1248)-1)="미납"),"미납",
IF(AND(V1248="정상",OFFSET(Y1248,0,COUNTA(Y1248:AV1248)-1)=0),"납부 시작 전",
IF(AND(V1248="정상",OFFSET(Y1248,0,COUNTA(Y1248:AV1248)-1)&gt;=U1248),"정상",
IF(AND(V1248="면제",OFFSET(Y1248,0,COUNTA(Y1248:AV1248)-1)="면제"),"면제",
IF(AND(V1248="면제",OFFSET(Y1248,0,COUNTA(Y1248:AV1248)-1)=0),"면제",
"확인요청"))))))</f>
        <v>면제</v>
      </c>
      <c r="Y1248" s="94" t="s">
        <v>7</v>
      </c>
      <c r="Z1248" s="95" t="s">
        <v>7</v>
      </c>
      <c r="AA1248" s="95" t="s">
        <v>7</v>
      </c>
      <c r="AB1248" s="95" t="s">
        <v>7</v>
      </c>
      <c r="AC1248" s="95" t="s">
        <v>7</v>
      </c>
      <c r="AD1248" s="95" t="s">
        <v>7</v>
      </c>
      <c r="AE1248" s="95" t="s">
        <v>7</v>
      </c>
      <c r="AF1248" s="95" t="s">
        <v>7</v>
      </c>
      <c r="AG1248" s="95" t="s">
        <v>7</v>
      </c>
      <c r="AH1248" s="95" t="s">
        <v>7</v>
      </c>
      <c r="AI1248" s="95" t="s">
        <v>7</v>
      </c>
      <c r="AJ1248" s="96" t="s">
        <v>7</v>
      </c>
      <c r="AK1248" s="97" t="s">
        <v>7</v>
      </c>
      <c r="AL1248" s="95" t="s">
        <v>7</v>
      </c>
      <c r="AM1248" s="90"/>
      <c r="AN1248" s="90"/>
      <c r="AO1248" s="90"/>
      <c r="AP1248" s="90"/>
      <c r="AQ1248" s="90"/>
      <c r="AR1248" s="90"/>
      <c r="AS1248" s="90"/>
      <c r="AT1248" s="90"/>
      <c r="AU1248" s="90"/>
      <c r="AV1248" s="91"/>
      <c r="AX1248" s="92"/>
    </row>
    <row r="1249" customFormat="false" ht="15.65" hidden="false" customHeight="false" outlineLevel="0" collapsed="false">
      <c r="C1249" s="72" t="n">
        <f aca="false">COUNTIFS($D$6:D1249,"&lt;&gt;"&amp;"")</f>
        <v>1244</v>
      </c>
      <c r="D1249" s="73" t="s">
        <v>12</v>
      </c>
      <c r="E1249" s="76" t="str">
        <f aca="false">
IF($D1249="정상",INDEX(임대자산!$D$3:$R$3000,MATCH($F1249,임대자산!$I$3:$I$3000,0),MATCH(E$3,임대자산!$D$3:$R$3,0)),
IF($D1249="폐업",INDEX(폐업정보!$D$3:$R$3000,MATCH($F1249,폐업정보!$I$3:$I$3000,0),MATCH(E$3,폐업정보!$D$3:$R$3,0)),
"Error"))</f>
        <v>서울</v>
      </c>
      <c r="F124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B1244</v>
      </c>
      <c r="G1249" s="76" t="str">
        <f aca="false">F1249&amp;RANDBETWEEN(0,10)</f>
        <v>B124410</v>
      </c>
      <c r="H1249" s="75" t="n">
        <f aca="false">
IF($D1249="정상",INDEX(임대자산!$D$3:$R$3000,MATCH($F1249,임대자산!$I$3:$I$3000,0),MATCH(H$4,임대자산!$D$3:$R$3,0)),
IF($D1249="폐업",INDEX(폐업정보!$D$3:$R$3000,MATCH($F1249,폐업정보!$I$3:$I$3000,0),MATCH(H$4,폐업정보!$D$3:$R$3,0)),
"Error"))</f>
        <v>45518</v>
      </c>
      <c r="I1249" s="75" t="str">
        <f aca="false">
IF($D1249="정상",INDEX(임대자산!$D$3:$R$3000,MATCH($F1249,임대자산!$I$3:$I$3000,0),MATCH(I$4,임대자산!$D$3:$R$3,0)),
IF($D1249="폐업",INDEX(폐업정보!$D$3:$R$3000,MATCH($F1249,폐업정보!$I$3:$I$3000,0),MATCH(I$4,폐업정보!$D$3:$R$3,0)),
"Error"))</f>
        <v>A1244</v>
      </c>
      <c r="J1249" s="75" t="str">
        <f aca="false">
IF($D1249="정상",INDEX(임대자산!$D$3:$R$3000,MATCH($F1249,임대자산!$I$3:$I$3000,0),MATCH(J$4,임대자산!$D$3:$R$3,0)),
IF($D1249="폐업",INDEX(폐업정보!$D$3:$R$3000,MATCH($F1249,폐업정보!$I$3:$I$3000,0),MATCH(J$4,폐업정보!$D$3:$R$3,0)),
"Error"))</f>
        <v>4615100000</v>
      </c>
      <c r="K1249" s="75" t="str">
        <f aca="false">
IF($D1249="정상",INDEX(임대자산!$D$3:$R$3000,MATCH($F1249,임대자산!$I$3:$I$3000,0),MATCH(K$4,임대자산!$D$3:$R$3,0)),
IF($D1249="폐업",INDEX(폐업정보!$D$3:$R$3000,MATCH($F1249,폐업정보!$I$3:$I$3000,0),MATCH(K$4,폐업정보!$D$3:$R$3,0)),
"Error"))</f>
        <v>C1244</v>
      </c>
      <c r="L1249" s="75" t="str">
        <f aca="false">
IF($D1249="정상",INDEX(임대자산!$D$3:$R$3000,MATCH($F1249,임대자산!$I$3:$I$3000,0),MATCH(L$4,임대자산!$D$3:$R$3,0)),
IF($D1249="폐업",INDEX(폐업정보!$D$3:$R$3000,MATCH($F1249,폐업정보!$I$3:$I$3000,0),MATCH(L$4,폐업정보!$D$3:$R$3,0)),
"Error"))</f>
        <v>D1244</v>
      </c>
      <c r="M1249" s="76" t="s">
        <v>96</v>
      </c>
      <c r="N1249" s="77"/>
      <c r="O1249" s="78" t="s">
        <v>97</v>
      </c>
      <c r="P1249" s="79" t="n">
        <f aca="false">COUNTIFS(임대자산!$I:$I,가맹점정보!F1249,임대자산!$N:$N,가맹점정보!P$4)</f>
        <v>0</v>
      </c>
      <c r="Q1249" s="80" t="n">
        <f aca="false">COUNTIFS(임대자산!$I:$I,가맹점정보!F1249,임대자산!$N:$N,가맹점정보!Q$4)</f>
        <v>0</v>
      </c>
      <c r="R1249" s="81" t="n">
        <f aca="false">COUNTIFS(임대자산!$I:$I,가맹점정보!F1249,임대자산!$N:$N,가맹점정보!R$4)</f>
        <v>1</v>
      </c>
      <c r="S1249" s="82" t="n">
        <v>55000</v>
      </c>
      <c r="T1249" s="83" t="n">
        <v>0</v>
      </c>
      <c r="U1249" s="80" t="n">
        <f aca="false">SUM(S1249:T1249)</f>
        <v>55000</v>
      </c>
      <c r="V1249" s="84" t="s">
        <v>12</v>
      </c>
      <c r="W1249" s="80" t="e">
        <f aca="true">
IF(D1249="폐업","폐업",
IF(V1249="면제","면제",
IF(AND(V1249="정상",COUNTIFS(OFFSET(Y1249,0,COUNTA(Y1249:AV1249)-1,1,-4),"미납")&gt;=3),"장기미납",
IF(AND(V1249="정상",OFFSET(Y1249,0,COUNTA(Y1249:AV1249)-1)&gt;=U1249),"정상",
IF(AND(V1249="정상",OFFSET(Y1249,0,COUNTA(Y1249:AV1249)-1)=0),"정상",
"계약서 미작성")))))</f>
        <v>#VALUE!</v>
      </c>
      <c r="X1249" s="81" t="str">
        <f aca="true">
IF(D1249="폐업","폐업",
IF(AND(V1249="정상",OFFSET(Y1249,0,COUNTA(Y1249:AV1249)-1)="미납"),"미납",
IF(AND(V1249="정상",OFFSET(Y1249,0,COUNTA(Y1249:AV1249)-1)=0),"납부 시작 전",
IF(AND(V1249="정상",OFFSET(Y1249,0,COUNTA(Y1249:AV1249)-1)&gt;=U1249),"정상",
IF(AND(V1249="면제",OFFSET(Y1249,0,COUNTA(Y1249:AV1249)-1)="면제"),"면제",
IF(AND(V1249="면제",OFFSET(Y1249,0,COUNTA(Y1249:AV1249)-1)=0),"면제",
"확인요청"))))))</f>
        <v>정상</v>
      </c>
      <c r="Y1249" s="93" t="n">
        <v>55000</v>
      </c>
      <c r="Z1249" s="90" t="n">
        <v>55000</v>
      </c>
      <c r="AA1249" s="90" t="n">
        <v>55000</v>
      </c>
      <c r="AB1249" s="90" t="n">
        <v>55000</v>
      </c>
      <c r="AC1249" s="90" t="n">
        <v>55000</v>
      </c>
      <c r="AD1249" s="90" t="n">
        <v>55000</v>
      </c>
      <c r="AE1249" s="90" t="n">
        <v>55000</v>
      </c>
      <c r="AF1249" s="90" t="n">
        <v>55000</v>
      </c>
      <c r="AG1249" s="90" t="n">
        <v>55000</v>
      </c>
      <c r="AH1249" s="90" t="n">
        <v>55000</v>
      </c>
      <c r="AI1249" s="90" t="n">
        <v>55000</v>
      </c>
      <c r="AJ1249" s="91" t="n">
        <v>55000</v>
      </c>
      <c r="AK1249" s="89" t="n">
        <v>55000</v>
      </c>
      <c r="AL1249" s="90" t="n">
        <v>55000</v>
      </c>
      <c r="AM1249" s="90"/>
      <c r="AN1249" s="90"/>
      <c r="AO1249" s="90"/>
      <c r="AP1249" s="90"/>
      <c r="AQ1249" s="90"/>
      <c r="AR1249" s="90"/>
      <c r="AS1249" s="90"/>
      <c r="AT1249" s="90"/>
      <c r="AU1249" s="90"/>
      <c r="AV1249" s="91"/>
      <c r="AX1249" s="92"/>
    </row>
    <row r="1250" customFormat="false" ht="15.65" hidden="false" customHeight="false" outlineLevel="0" collapsed="false">
      <c r="C1250" s="72" t="n">
        <f aca="false">COUNTIFS($D$6:D1250,"&lt;&gt;"&amp;"")</f>
        <v>1245</v>
      </c>
      <c r="D1250" s="73" t="s">
        <v>12</v>
      </c>
      <c r="E1250" s="76" t="str">
        <f aca="false">
IF($D1250="정상",INDEX(임대자산!$D$3:$R$3000,MATCH($F1250,임대자산!$I$3:$I$3000,0),MATCH(E$3,임대자산!$D$3:$R$3,0)),
IF($D1250="폐업",INDEX(폐업정보!$D$3:$R$3000,MATCH($F1250,폐업정보!$I$3:$I$3000,0),MATCH(E$3,폐업정보!$D$3:$R$3,0)),
"Error"))</f>
        <v>서울</v>
      </c>
      <c r="F125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B1245</v>
      </c>
      <c r="G1250" s="76" t="str">
        <f aca="false">F1250&amp;RANDBETWEEN(0,10)</f>
        <v>B12456</v>
      </c>
      <c r="H1250" s="75" t="n">
        <f aca="false">
IF($D1250="정상",INDEX(임대자산!$D$3:$R$3000,MATCH($F1250,임대자산!$I$3:$I$3000,0),MATCH(H$4,임대자산!$D$3:$R$3,0)),
IF($D1250="폐업",INDEX(폐업정보!$D$3:$R$3000,MATCH($F1250,폐업정보!$I$3:$I$3000,0),MATCH(H$4,폐업정보!$D$3:$R$3,0)),
"Error"))</f>
        <v>45635</v>
      </c>
      <c r="I1250" s="75" t="str">
        <f aca="false">
IF($D1250="정상",INDEX(임대자산!$D$3:$R$3000,MATCH($F1250,임대자산!$I$3:$I$3000,0),MATCH(I$4,임대자산!$D$3:$R$3,0)),
IF($D1250="폐업",INDEX(폐업정보!$D$3:$R$3000,MATCH($F1250,폐업정보!$I$3:$I$3000,0),MATCH(I$4,폐업정보!$D$3:$R$3,0)),
"Error"))</f>
        <v>A1245</v>
      </c>
      <c r="J1250" s="75" t="str">
        <f aca="false">
IF($D1250="정상",INDEX(임대자산!$D$3:$R$3000,MATCH($F1250,임대자산!$I$3:$I$3000,0),MATCH(J$4,임대자산!$D$3:$R$3,0)),
IF($D1250="폐업",INDEX(폐업정보!$D$3:$R$3000,MATCH($F1250,폐업정보!$I$3:$I$3000,0),MATCH(J$4,폐업정보!$D$3:$R$3,0)),
"Error"))</f>
        <v>3310400000</v>
      </c>
      <c r="K1250" s="75" t="str">
        <f aca="false">
IF($D1250="정상",INDEX(임대자산!$D$3:$R$3000,MATCH($F1250,임대자산!$I$3:$I$3000,0),MATCH(K$4,임대자산!$D$3:$R$3,0)),
IF($D1250="폐업",INDEX(폐업정보!$D$3:$R$3000,MATCH($F1250,폐업정보!$I$3:$I$3000,0),MATCH(K$4,폐업정보!$D$3:$R$3,0)),
"Error"))</f>
        <v>C1245</v>
      </c>
      <c r="L1250" s="75" t="str">
        <f aca="false">
IF($D1250="정상",INDEX(임대자산!$D$3:$R$3000,MATCH($F1250,임대자산!$I$3:$I$3000,0),MATCH(L$4,임대자산!$D$3:$R$3,0)),
IF($D1250="폐업",INDEX(폐업정보!$D$3:$R$3000,MATCH($F1250,폐업정보!$I$3:$I$3000,0),MATCH(L$4,폐업정보!$D$3:$R$3,0)),
"Error"))</f>
        <v>D1245</v>
      </c>
      <c r="M1250" s="76" t="s">
        <v>96</v>
      </c>
      <c r="N1250" s="77"/>
      <c r="O1250" s="78" t="s">
        <v>97</v>
      </c>
      <c r="P1250" s="79" t="n">
        <f aca="false">COUNTIFS(임대자산!$I:$I,가맹점정보!F1250,임대자산!$N:$N,가맹점정보!P$4)</f>
        <v>0</v>
      </c>
      <c r="Q1250" s="80" t="n">
        <f aca="false">COUNTIFS(임대자산!$I:$I,가맹점정보!F1250,임대자산!$N:$N,가맹점정보!Q$4)</f>
        <v>0</v>
      </c>
      <c r="R1250" s="81" t="n">
        <f aca="false">COUNTIFS(임대자산!$I:$I,가맹점정보!F1250,임대자산!$N:$N,가맹점정보!R$4)</f>
        <v>1</v>
      </c>
      <c r="S1250" s="82" t="n">
        <v>88000</v>
      </c>
      <c r="T1250" s="83" t="n">
        <v>0</v>
      </c>
      <c r="U1250" s="80" t="n">
        <f aca="false">SUM(S1250:T1250)</f>
        <v>88000</v>
      </c>
      <c r="V1250" s="84" t="s">
        <v>7</v>
      </c>
      <c r="W1250" s="80" t="str">
        <f aca="true">
IF(D1250="폐업","폐업",
IF(V1250="면제","면제",
IF(AND(V1250="정상",COUNTIFS(OFFSET(Y1250,0,COUNTA(Y1250:AV1250)-1,1,-4),"미납")&gt;=3),"장기미납",
IF(AND(V1250="정상",OFFSET(Y1250,0,COUNTA(Y1250:AV1250)-1)&gt;=U1250),"정상",
IF(AND(V1250="정상",OFFSET(Y1250,0,COUNTA(Y1250:AV1250)-1)=0),"정상",
"계약서 미작성")))))</f>
        <v>면제</v>
      </c>
      <c r="X1250" s="81" t="str">
        <f aca="true">
IF(D1250="폐업","폐업",
IF(AND(V1250="정상",OFFSET(Y1250,0,COUNTA(Y1250:AV1250)-1)="미납"),"미납",
IF(AND(V1250="정상",OFFSET(Y1250,0,COUNTA(Y1250:AV1250)-1)=0),"납부 시작 전",
IF(AND(V1250="정상",OFFSET(Y1250,0,COUNTA(Y1250:AV1250)-1)&gt;=U1250),"정상",
IF(AND(V1250="면제",OFFSET(Y1250,0,COUNTA(Y1250:AV1250)-1)="면제"),"면제",
IF(AND(V1250="면제",OFFSET(Y1250,0,COUNTA(Y1250:AV1250)-1)=0),"면제",
"확인요청"))))))</f>
        <v>면제</v>
      </c>
      <c r="Y1250" s="94" t="s">
        <v>7</v>
      </c>
      <c r="Z1250" s="95" t="s">
        <v>7</v>
      </c>
      <c r="AA1250" s="95" t="s">
        <v>7</v>
      </c>
      <c r="AB1250" s="95" t="s">
        <v>7</v>
      </c>
      <c r="AC1250" s="95" t="s">
        <v>7</v>
      </c>
      <c r="AD1250" s="95" t="s">
        <v>7</v>
      </c>
      <c r="AE1250" s="95" t="s">
        <v>7</v>
      </c>
      <c r="AF1250" s="95" t="s">
        <v>7</v>
      </c>
      <c r="AG1250" s="95" t="s">
        <v>7</v>
      </c>
      <c r="AH1250" s="95" t="s">
        <v>7</v>
      </c>
      <c r="AI1250" s="95" t="s">
        <v>7</v>
      </c>
      <c r="AJ1250" s="96" t="s">
        <v>7</v>
      </c>
      <c r="AK1250" s="97" t="s">
        <v>7</v>
      </c>
      <c r="AL1250" s="95" t="s">
        <v>7</v>
      </c>
      <c r="AM1250" s="90"/>
      <c r="AN1250" s="90"/>
      <c r="AO1250" s="90"/>
      <c r="AP1250" s="90"/>
      <c r="AQ1250" s="90"/>
      <c r="AR1250" s="90"/>
      <c r="AS1250" s="90"/>
      <c r="AT1250" s="90"/>
      <c r="AU1250" s="90"/>
      <c r="AV1250" s="91"/>
      <c r="AX1250" s="92"/>
    </row>
    <row r="1251" customFormat="false" ht="15.65" hidden="false" customHeight="false" outlineLevel="0" collapsed="false">
      <c r="C1251" s="72" t="n">
        <f aca="false">COUNTIFS($D$6:D1251,"&lt;&gt;"&amp;"")</f>
        <v>1246</v>
      </c>
      <c r="D1251" s="73" t="s">
        <v>12</v>
      </c>
      <c r="E1251" s="76" t="str">
        <f aca="false">
IF($D1251="정상",INDEX(임대자산!$D$3:$R$3000,MATCH($F1251,임대자산!$I$3:$I$3000,0),MATCH(E$3,임대자산!$D$3:$R$3,0)),
IF($D1251="폐업",INDEX(폐업정보!$D$3:$R$3000,MATCH($F1251,폐업정보!$I$3:$I$3000,0),MATCH(E$3,폐업정보!$D$3:$R$3,0)),
"Error"))</f>
        <v>서울</v>
      </c>
      <c r="F125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B1246</v>
      </c>
      <c r="G1251" s="76" t="str">
        <f aca="false">F1251&amp;RANDBETWEEN(0,10)</f>
        <v>B12462</v>
      </c>
      <c r="H1251" s="75" t="n">
        <f aca="false">
IF($D1251="정상",INDEX(임대자산!$D$3:$R$3000,MATCH($F1251,임대자산!$I$3:$I$3000,0),MATCH(H$4,임대자산!$D$3:$R$3,0)),
IF($D1251="폐업",INDEX(폐업정보!$D$3:$R$3000,MATCH($F1251,폐업정보!$I$3:$I$3000,0),MATCH(H$4,폐업정보!$D$3:$R$3,0)),
"Error"))</f>
        <v>45341</v>
      </c>
      <c r="I1251" s="75" t="str">
        <f aca="false">
IF($D1251="정상",INDEX(임대자산!$D$3:$R$3000,MATCH($F1251,임대자산!$I$3:$I$3000,0),MATCH(I$4,임대자산!$D$3:$R$3,0)),
IF($D1251="폐업",INDEX(폐업정보!$D$3:$R$3000,MATCH($F1251,폐업정보!$I$3:$I$3000,0),MATCH(I$4,폐업정보!$D$3:$R$3,0)),
"Error"))</f>
        <v>A1246</v>
      </c>
      <c r="J1251" s="75" t="str">
        <f aca="false">
IF($D1251="정상",INDEX(임대자산!$D$3:$R$3000,MATCH($F1251,임대자산!$I$3:$I$3000,0),MATCH(J$4,임대자산!$D$3:$R$3,0)),
IF($D1251="폐업",INDEX(폐업정보!$D$3:$R$3000,MATCH($F1251,폐업정보!$I$3:$I$3000,0),MATCH(J$4,폐업정보!$D$3:$R$3,0)),
"Error"))</f>
        <v>3834900000</v>
      </c>
      <c r="K1251" s="75" t="str">
        <f aca="false">
IF($D1251="정상",INDEX(임대자산!$D$3:$R$3000,MATCH($F1251,임대자산!$I$3:$I$3000,0),MATCH(K$4,임대자산!$D$3:$R$3,0)),
IF($D1251="폐업",INDEX(폐업정보!$D$3:$R$3000,MATCH($F1251,폐업정보!$I$3:$I$3000,0),MATCH(K$4,폐업정보!$D$3:$R$3,0)),
"Error"))</f>
        <v>C1246</v>
      </c>
      <c r="L1251" s="75" t="str">
        <f aca="false">
IF($D1251="정상",INDEX(임대자산!$D$3:$R$3000,MATCH($F1251,임대자산!$I$3:$I$3000,0),MATCH(L$4,임대자산!$D$3:$R$3,0)),
IF($D1251="폐업",INDEX(폐업정보!$D$3:$R$3000,MATCH($F1251,폐업정보!$I$3:$I$3000,0),MATCH(L$4,폐업정보!$D$3:$R$3,0)),
"Error"))</f>
        <v>D1246</v>
      </c>
      <c r="M1251" s="76" t="s">
        <v>96</v>
      </c>
      <c r="N1251" s="77"/>
      <c r="O1251" s="78" t="s">
        <v>97</v>
      </c>
      <c r="P1251" s="79" t="n">
        <f aca="false">COUNTIFS(임대자산!$I:$I,가맹점정보!F1251,임대자산!$N:$N,가맹점정보!P$4)</f>
        <v>0</v>
      </c>
      <c r="Q1251" s="80" t="n">
        <f aca="false">COUNTIFS(임대자산!$I:$I,가맹점정보!F1251,임대자산!$N:$N,가맹점정보!Q$4)</f>
        <v>0</v>
      </c>
      <c r="R1251" s="81" t="n">
        <f aca="false">COUNTIFS(임대자산!$I:$I,가맹점정보!F1251,임대자산!$N:$N,가맹점정보!R$4)</f>
        <v>1</v>
      </c>
      <c r="S1251" s="82" t="n">
        <v>88000</v>
      </c>
      <c r="T1251" s="83" t="n">
        <v>0</v>
      </c>
      <c r="U1251" s="80" t="n">
        <f aca="false">SUM(S1251:T1251)</f>
        <v>88000</v>
      </c>
      <c r="V1251" s="84" t="s">
        <v>7</v>
      </c>
      <c r="W1251" s="80" t="str">
        <f aca="true">
IF(D1251="폐업","폐업",
IF(V1251="면제","면제",
IF(AND(V1251="정상",COUNTIFS(OFFSET(Y1251,0,COUNTA(Y1251:AV1251)-1,1,-4),"미납")&gt;=3),"장기미납",
IF(AND(V1251="정상",OFFSET(Y1251,0,COUNTA(Y1251:AV1251)-1)&gt;=U1251),"정상",
IF(AND(V1251="정상",OFFSET(Y1251,0,COUNTA(Y1251:AV1251)-1)=0),"정상",
"계약서 미작성")))))</f>
        <v>면제</v>
      </c>
      <c r="X1251" s="81" t="str">
        <f aca="true">
IF(D1251="폐업","폐업",
IF(AND(V1251="정상",OFFSET(Y1251,0,COUNTA(Y1251:AV1251)-1)="미납"),"미납",
IF(AND(V1251="정상",OFFSET(Y1251,0,COUNTA(Y1251:AV1251)-1)=0),"납부 시작 전",
IF(AND(V1251="정상",OFFSET(Y1251,0,COUNTA(Y1251:AV1251)-1)&gt;=U1251),"정상",
IF(AND(V1251="면제",OFFSET(Y1251,0,COUNTA(Y1251:AV1251)-1)="면제"),"면제",
IF(AND(V1251="면제",OFFSET(Y1251,0,COUNTA(Y1251:AV1251)-1)=0),"면제",
"확인요청"))))))</f>
        <v>면제</v>
      </c>
      <c r="Y1251" s="94" t="s">
        <v>7</v>
      </c>
      <c r="Z1251" s="95" t="s">
        <v>7</v>
      </c>
      <c r="AA1251" s="95" t="s">
        <v>7</v>
      </c>
      <c r="AB1251" s="95" t="s">
        <v>7</v>
      </c>
      <c r="AC1251" s="95" t="s">
        <v>7</v>
      </c>
      <c r="AD1251" s="95" t="s">
        <v>7</v>
      </c>
      <c r="AE1251" s="95" t="s">
        <v>7</v>
      </c>
      <c r="AF1251" s="95" t="s">
        <v>7</v>
      </c>
      <c r="AG1251" s="95" t="s">
        <v>7</v>
      </c>
      <c r="AH1251" s="95" t="s">
        <v>7</v>
      </c>
      <c r="AI1251" s="95" t="s">
        <v>7</v>
      </c>
      <c r="AJ1251" s="96" t="s">
        <v>7</v>
      </c>
      <c r="AK1251" s="97" t="s">
        <v>7</v>
      </c>
      <c r="AL1251" s="95" t="s">
        <v>7</v>
      </c>
      <c r="AM1251" s="90"/>
      <c r="AN1251" s="90"/>
      <c r="AO1251" s="90"/>
      <c r="AP1251" s="90"/>
      <c r="AQ1251" s="90"/>
      <c r="AR1251" s="90"/>
      <c r="AS1251" s="90"/>
      <c r="AT1251" s="90"/>
      <c r="AU1251" s="90"/>
      <c r="AV1251" s="91"/>
      <c r="AX1251" s="92"/>
    </row>
    <row r="1252" customFormat="false" ht="15.65" hidden="false" customHeight="false" outlineLevel="0" collapsed="false">
      <c r="C1252" s="72" t="n">
        <f aca="false">COUNTIFS($D$6:D1252,"&lt;&gt;"&amp;"")</f>
        <v>1247</v>
      </c>
      <c r="D1252" s="73" t="s">
        <v>12</v>
      </c>
      <c r="E1252" s="76" t="str">
        <f aca="false">
IF($D1252="정상",INDEX(임대자산!$D$3:$R$3000,MATCH($F1252,임대자산!$I$3:$I$3000,0),MATCH(E$3,임대자산!$D$3:$R$3,0)),
IF($D1252="폐업",INDEX(폐업정보!$D$3:$R$3000,MATCH($F1252,폐업정보!$I$3:$I$3000,0),MATCH(E$3,폐업정보!$D$3:$R$3,0)),
"Error"))</f>
        <v>서울</v>
      </c>
      <c r="F125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B1247</v>
      </c>
      <c r="G1252" s="76" t="str">
        <f aca="false">F1252&amp;RANDBETWEEN(0,10)</f>
        <v>B12470</v>
      </c>
      <c r="H1252" s="75" t="n">
        <f aca="false">
IF($D1252="정상",INDEX(임대자산!$D$3:$R$3000,MATCH($F1252,임대자산!$I$3:$I$3000,0),MATCH(H$4,임대자산!$D$3:$R$3,0)),
IF($D1252="폐업",INDEX(폐업정보!$D$3:$R$3000,MATCH($F1252,폐업정보!$I$3:$I$3000,0),MATCH(H$4,폐업정보!$D$3:$R$3,0)),
"Error"))</f>
        <v>45390</v>
      </c>
      <c r="I1252" s="75" t="str">
        <f aca="false">
IF($D1252="정상",INDEX(임대자산!$D$3:$R$3000,MATCH($F1252,임대자산!$I$3:$I$3000,0),MATCH(I$4,임대자산!$D$3:$R$3,0)),
IF($D1252="폐업",INDEX(폐업정보!$D$3:$R$3000,MATCH($F1252,폐업정보!$I$3:$I$3000,0),MATCH(I$4,폐업정보!$D$3:$R$3,0)),
"Error"))</f>
        <v>A1247</v>
      </c>
      <c r="J1252" s="75" t="str">
        <f aca="false">
IF($D1252="정상",INDEX(임대자산!$D$3:$R$3000,MATCH($F1252,임대자산!$I$3:$I$3000,0),MATCH(J$4,임대자산!$D$3:$R$3,0)),
IF($D1252="폐업",INDEX(폐업정보!$D$3:$R$3000,MATCH($F1252,폐업정보!$I$3:$I$3000,0),MATCH(J$4,폐업정보!$D$3:$R$3,0)),
"Error"))</f>
        <v>6642300000</v>
      </c>
      <c r="K1252" s="75" t="str">
        <f aca="false">
IF($D1252="정상",INDEX(임대자산!$D$3:$R$3000,MATCH($F1252,임대자산!$I$3:$I$3000,0),MATCH(K$4,임대자산!$D$3:$R$3,0)),
IF($D1252="폐업",INDEX(폐업정보!$D$3:$R$3000,MATCH($F1252,폐업정보!$I$3:$I$3000,0),MATCH(K$4,폐업정보!$D$3:$R$3,0)),
"Error"))</f>
        <v>C1247</v>
      </c>
      <c r="L1252" s="75" t="str">
        <f aca="false">
IF($D1252="정상",INDEX(임대자산!$D$3:$R$3000,MATCH($F1252,임대자산!$I$3:$I$3000,0),MATCH(L$4,임대자산!$D$3:$R$3,0)),
IF($D1252="폐업",INDEX(폐업정보!$D$3:$R$3000,MATCH($F1252,폐업정보!$I$3:$I$3000,0),MATCH(L$4,폐업정보!$D$3:$R$3,0)),
"Error"))</f>
        <v>D1247</v>
      </c>
      <c r="M1252" s="76" t="s">
        <v>96</v>
      </c>
      <c r="N1252" s="77"/>
      <c r="O1252" s="78" t="s">
        <v>97</v>
      </c>
      <c r="P1252" s="79" t="n">
        <f aca="false">COUNTIFS(임대자산!$I:$I,가맹점정보!F1252,임대자산!$N:$N,가맹점정보!P$4)</f>
        <v>0</v>
      </c>
      <c r="Q1252" s="80" t="n">
        <f aca="false">COUNTIFS(임대자산!$I:$I,가맹점정보!F1252,임대자산!$N:$N,가맹점정보!Q$4)</f>
        <v>0</v>
      </c>
      <c r="R1252" s="81" t="n">
        <f aca="false">COUNTIFS(임대자산!$I:$I,가맹점정보!F1252,임대자산!$N:$N,가맹점정보!R$4)</f>
        <v>1</v>
      </c>
      <c r="S1252" s="82" t="n">
        <v>88000</v>
      </c>
      <c r="T1252" s="83" t="n">
        <v>0</v>
      </c>
      <c r="U1252" s="80" t="n">
        <f aca="false">SUM(S1252:T1252)</f>
        <v>88000</v>
      </c>
      <c r="V1252" s="84" t="s">
        <v>7</v>
      </c>
      <c r="W1252" s="80" t="str">
        <f aca="true">
IF(D1252="폐업","폐업",
IF(V1252="면제","면제",
IF(AND(V1252="정상",COUNTIFS(OFFSET(Y1252,0,COUNTA(Y1252:AV1252)-1,1,-4),"미납")&gt;=3),"장기미납",
IF(AND(V1252="정상",OFFSET(Y1252,0,COUNTA(Y1252:AV1252)-1)&gt;=U1252),"정상",
IF(AND(V1252="정상",OFFSET(Y1252,0,COUNTA(Y1252:AV1252)-1)=0),"정상",
"계약서 미작성")))))</f>
        <v>면제</v>
      </c>
      <c r="X1252" s="81" t="str">
        <f aca="true">
IF(D1252="폐업","폐업",
IF(AND(V1252="정상",OFFSET(Y1252,0,COUNTA(Y1252:AV1252)-1)="미납"),"미납",
IF(AND(V1252="정상",OFFSET(Y1252,0,COUNTA(Y1252:AV1252)-1)=0),"납부 시작 전",
IF(AND(V1252="정상",OFFSET(Y1252,0,COUNTA(Y1252:AV1252)-1)&gt;=U1252),"정상",
IF(AND(V1252="면제",OFFSET(Y1252,0,COUNTA(Y1252:AV1252)-1)="면제"),"면제",
IF(AND(V1252="면제",OFFSET(Y1252,0,COUNTA(Y1252:AV1252)-1)=0),"면제",
"확인요청"))))))</f>
        <v>면제</v>
      </c>
      <c r="Y1252" s="94" t="s">
        <v>7</v>
      </c>
      <c r="Z1252" s="95" t="s">
        <v>7</v>
      </c>
      <c r="AA1252" s="95" t="s">
        <v>7</v>
      </c>
      <c r="AB1252" s="95" t="s">
        <v>7</v>
      </c>
      <c r="AC1252" s="95" t="s">
        <v>7</v>
      </c>
      <c r="AD1252" s="95" t="s">
        <v>7</v>
      </c>
      <c r="AE1252" s="95" t="s">
        <v>7</v>
      </c>
      <c r="AF1252" s="95" t="s">
        <v>7</v>
      </c>
      <c r="AG1252" s="95" t="s">
        <v>7</v>
      </c>
      <c r="AH1252" s="95" t="s">
        <v>7</v>
      </c>
      <c r="AI1252" s="95" t="s">
        <v>7</v>
      </c>
      <c r="AJ1252" s="96" t="s">
        <v>7</v>
      </c>
      <c r="AK1252" s="97" t="s">
        <v>7</v>
      </c>
      <c r="AL1252" s="95" t="s">
        <v>7</v>
      </c>
      <c r="AM1252" s="90"/>
      <c r="AN1252" s="90"/>
      <c r="AO1252" s="90"/>
      <c r="AP1252" s="90"/>
      <c r="AQ1252" s="90"/>
      <c r="AR1252" s="90"/>
      <c r="AS1252" s="90"/>
      <c r="AT1252" s="90"/>
      <c r="AU1252" s="90"/>
      <c r="AV1252" s="91"/>
      <c r="AX1252" s="92"/>
    </row>
    <row r="1253" customFormat="false" ht="15.65" hidden="false" customHeight="false" outlineLevel="0" collapsed="false">
      <c r="C1253" s="72" t="n">
        <f aca="false">COUNTIFS($D$6:D1253,"&lt;&gt;"&amp;"")</f>
        <v>1248</v>
      </c>
      <c r="D1253" s="73" t="s">
        <v>12</v>
      </c>
      <c r="E1253" s="76" t="str">
        <f aca="false">
IF($D1253="정상",INDEX(임대자산!$D$3:$R$3000,MATCH($F1253,임대자산!$I$3:$I$3000,0),MATCH(E$3,임대자산!$D$3:$R$3,0)),
IF($D1253="폐업",INDEX(폐업정보!$D$3:$R$3000,MATCH($F1253,폐업정보!$I$3:$I$3000,0),MATCH(E$3,폐업정보!$D$3:$R$3,0)),
"Error"))</f>
        <v>경상</v>
      </c>
      <c r="F125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B1248</v>
      </c>
      <c r="G1253" s="76" t="str">
        <f aca="false">F1253&amp;RANDBETWEEN(0,10)</f>
        <v>B12487</v>
      </c>
      <c r="H1253" s="75" t="n">
        <f aca="false">
IF($D1253="정상",INDEX(임대자산!$D$3:$R$3000,MATCH($F1253,임대자산!$I$3:$I$3000,0),MATCH(H$4,임대자산!$D$3:$R$3,0)),
IF($D1253="폐업",INDEX(폐업정보!$D$3:$R$3000,MATCH($F1253,폐업정보!$I$3:$I$3000,0),MATCH(H$4,폐업정보!$D$3:$R$3,0)),
"Error"))</f>
        <v>45573</v>
      </c>
      <c r="I1253" s="75" t="str">
        <f aca="false">
IF($D1253="정상",INDEX(임대자산!$D$3:$R$3000,MATCH($F1253,임대자산!$I$3:$I$3000,0),MATCH(I$4,임대자산!$D$3:$R$3,0)),
IF($D1253="폐업",INDEX(폐업정보!$D$3:$R$3000,MATCH($F1253,폐업정보!$I$3:$I$3000,0),MATCH(I$4,폐업정보!$D$3:$R$3,0)),
"Error"))</f>
        <v>A1248</v>
      </c>
      <c r="J1253" s="75" t="str">
        <f aca="false">
IF($D1253="정상",INDEX(임대자산!$D$3:$R$3000,MATCH($F1253,임대자산!$I$3:$I$3000,0),MATCH(J$4,임대자산!$D$3:$R$3,0)),
IF($D1253="폐업",INDEX(폐업정보!$D$3:$R$3000,MATCH($F1253,폐업정보!$I$3:$I$3000,0),MATCH(J$4,폐업정보!$D$3:$R$3,0)),
"Error"))</f>
        <v>2324900000</v>
      </c>
      <c r="K1253" s="75" t="str">
        <f aca="false">
IF($D1253="정상",INDEX(임대자산!$D$3:$R$3000,MATCH($F1253,임대자산!$I$3:$I$3000,0),MATCH(K$4,임대자산!$D$3:$R$3,0)),
IF($D1253="폐업",INDEX(폐업정보!$D$3:$R$3000,MATCH($F1253,폐업정보!$I$3:$I$3000,0),MATCH(K$4,폐업정보!$D$3:$R$3,0)),
"Error"))</f>
        <v>C1248</v>
      </c>
      <c r="L1253" s="75" t="str">
        <f aca="false">
IF($D1253="정상",INDEX(임대자산!$D$3:$R$3000,MATCH($F1253,임대자산!$I$3:$I$3000,0),MATCH(L$4,임대자산!$D$3:$R$3,0)),
IF($D1253="폐업",INDEX(폐업정보!$D$3:$R$3000,MATCH($F1253,폐업정보!$I$3:$I$3000,0),MATCH(L$4,폐업정보!$D$3:$R$3,0)),
"Error"))</f>
        <v>D1248</v>
      </c>
      <c r="M1253" s="76" t="s">
        <v>96</v>
      </c>
      <c r="N1253" s="77"/>
      <c r="O1253" s="78" t="s">
        <v>97</v>
      </c>
      <c r="P1253" s="79" t="n">
        <f aca="false">COUNTIFS(임대자산!$I:$I,가맹점정보!F1253,임대자산!$N:$N,가맹점정보!P$4)</f>
        <v>0</v>
      </c>
      <c r="Q1253" s="80" t="n">
        <f aca="false">COUNTIFS(임대자산!$I:$I,가맹점정보!F1253,임대자산!$N:$N,가맹점정보!Q$4)</f>
        <v>0</v>
      </c>
      <c r="R1253" s="81" t="n">
        <f aca="false">COUNTIFS(임대자산!$I:$I,가맹점정보!F1253,임대자산!$N:$N,가맹점정보!R$4)</f>
        <v>1</v>
      </c>
      <c r="S1253" s="82" t="n">
        <v>55000</v>
      </c>
      <c r="T1253" s="83" t="n">
        <v>0</v>
      </c>
      <c r="U1253" s="80" t="n">
        <f aca="false">SUM(S1253:T1253)</f>
        <v>55000</v>
      </c>
      <c r="V1253" s="84" t="s">
        <v>12</v>
      </c>
      <c r="W1253" s="80" t="e">
        <f aca="true">
IF(D1253="폐업","폐업",
IF(V1253="면제","면제",
IF(AND(V1253="정상",COUNTIFS(OFFSET(Y1253,0,COUNTA(Y1253:AV1253)-1,1,-4),"미납")&gt;=3),"장기미납",
IF(AND(V1253="정상",OFFSET(Y1253,0,COUNTA(Y1253:AV1253)-1)&gt;=U1253),"정상",
IF(AND(V1253="정상",OFFSET(Y1253,0,COUNTA(Y1253:AV1253)-1)=0),"정상",
"계약서 미작성")))))</f>
        <v>#VALUE!</v>
      </c>
      <c r="X1253" s="81" t="str">
        <f aca="true">
IF(D1253="폐업","폐업",
IF(AND(V1253="정상",OFFSET(Y1253,0,COUNTA(Y1253:AV1253)-1)="미납"),"미납",
IF(AND(V1253="정상",OFFSET(Y1253,0,COUNTA(Y1253:AV1253)-1)=0),"납부 시작 전",
IF(AND(V1253="정상",OFFSET(Y1253,0,COUNTA(Y1253:AV1253)-1)&gt;=U1253),"정상",
IF(AND(V1253="면제",OFFSET(Y1253,0,COUNTA(Y1253:AV1253)-1)="면제"),"면제",
IF(AND(V1253="면제",OFFSET(Y1253,0,COUNTA(Y1253:AV1253)-1)=0),"면제",
"확인요청"))))))</f>
        <v>정상</v>
      </c>
      <c r="Y1253" s="93" t="n">
        <v>55000</v>
      </c>
      <c r="Z1253" s="90" t="n">
        <v>55000</v>
      </c>
      <c r="AA1253" s="90" t="n">
        <v>55000</v>
      </c>
      <c r="AB1253" s="90" t="n">
        <v>55000</v>
      </c>
      <c r="AC1253" s="90" t="n">
        <v>55000</v>
      </c>
      <c r="AD1253" s="90" t="n">
        <v>55000</v>
      </c>
      <c r="AE1253" s="90" t="n">
        <v>55000</v>
      </c>
      <c r="AF1253" s="90" t="n">
        <v>55000</v>
      </c>
      <c r="AG1253" s="90" t="n">
        <v>55000</v>
      </c>
      <c r="AH1253" s="90" t="n">
        <v>55000</v>
      </c>
      <c r="AI1253" s="90" t="n">
        <v>55000</v>
      </c>
      <c r="AJ1253" s="91" t="n">
        <v>55000</v>
      </c>
      <c r="AK1253" s="89" t="n">
        <v>55000</v>
      </c>
      <c r="AL1253" s="90" t="n">
        <v>55000</v>
      </c>
      <c r="AM1253" s="90"/>
      <c r="AN1253" s="90"/>
      <c r="AO1253" s="90"/>
      <c r="AP1253" s="90"/>
      <c r="AQ1253" s="90"/>
      <c r="AR1253" s="90"/>
      <c r="AS1253" s="90"/>
      <c r="AT1253" s="90"/>
      <c r="AU1253" s="90"/>
      <c r="AV1253" s="91"/>
      <c r="AX1253" s="92"/>
    </row>
    <row r="1254" customFormat="false" ht="15.65" hidden="false" customHeight="false" outlineLevel="0" collapsed="false">
      <c r="C1254" s="72" t="n">
        <f aca="false">COUNTIFS($D$6:D1254,"&lt;&gt;"&amp;"")</f>
        <v>1249</v>
      </c>
      <c r="D1254" s="73" t="s">
        <v>12</v>
      </c>
      <c r="E1254" s="76" t="str">
        <f aca="false">
IF($D1254="정상",INDEX(임대자산!$D$3:$R$3000,MATCH($F1254,임대자산!$I$3:$I$3000,0),MATCH(E$3,임대자산!$D$3:$R$3,0)),
IF($D1254="폐업",INDEX(폐업정보!$D$3:$R$3000,MATCH($F1254,폐업정보!$I$3:$I$3000,0),MATCH(E$3,폐업정보!$D$3:$R$3,0)),
"Error"))</f>
        <v>경상</v>
      </c>
      <c r="F125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B1249</v>
      </c>
      <c r="G1254" s="76" t="str">
        <f aca="false">F1254&amp;RANDBETWEEN(0,10)</f>
        <v>B12496</v>
      </c>
      <c r="H1254" s="75" t="n">
        <f aca="false">
IF($D1254="정상",INDEX(임대자산!$D$3:$R$3000,MATCH($F1254,임대자산!$I$3:$I$3000,0),MATCH(H$4,임대자산!$D$3:$R$3,0)),
IF($D1254="폐업",INDEX(폐업정보!$D$3:$R$3000,MATCH($F1254,폐업정보!$I$3:$I$3000,0),MATCH(H$4,폐업정보!$D$3:$R$3,0)),
"Error"))</f>
        <v>45595</v>
      </c>
      <c r="I1254" s="75" t="str">
        <f aca="false">
IF($D1254="정상",INDEX(임대자산!$D$3:$R$3000,MATCH($F1254,임대자산!$I$3:$I$3000,0),MATCH(I$4,임대자산!$D$3:$R$3,0)),
IF($D1254="폐업",INDEX(폐업정보!$D$3:$R$3000,MATCH($F1254,폐업정보!$I$3:$I$3000,0),MATCH(I$4,폐업정보!$D$3:$R$3,0)),
"Error"))</f>
        <v>A1249</v>
      </c>
      <c r="J1254" s="75" t="str">
        <f aca="false">
IF($D1254="정상",INDEX(임대자산!$D$3:$R$3000,MATCH($F1254,임대자산!$I$3:$I$3000,0),MATCH(J$4,임대자산!$D$3:$R$3,0)),
IF($D1254="폐업",INDEX(폐업정보!$D$3:$R$3000,MATCH($F1254,폐업정보!$I$3:$I$3000,0),MATCH(J$4,폐업정보!$D$3:$R$3,0)),
"Error"))</f>
        <v>5876100000</v>
      </c>
      <c r="K1254" s="75" t="str">
        <f aca="false">
IF($D1254="정상",INDEX(임대자산!$D$3:$R$3000,MATCH($F1254,임대자산!$I$3:$I$3000,0),MATCH(K$4,임대자산!$D$3:$R$3,0)),
IF($D1254="폐업",INDEX(폐업정보!$D$3:$R$3000,MATCH($F1254,폐업정보!$I$3:$I$3000,0),MATCH(K$4,폐업정보!$D$3:$R$3,0)),
"Error"))</f>
        <v>C1249</v>
      </c>
      <c r="L1254" s="75" t="str">
        <f aca="false">
IF($D1254="정상",INDEX(임대자산!$D$3:$R$3000,MATCH($F1254,임대자산!$I$3:$I$3000,0),MATCH(L$4,임대자산!$D$3:$R$3,0)),
IF($D1254="폐업",INDEX(폐업정보!$D$3:$R$3000,MATCH($F1254,폐업정보!$I$3:$I$3000,0),MATCH(L$4,폐업정보!$D$3:$R$3,0)),
"Error"))</f>
        <v>D1249</v>
      </c>
      <c r="M1254" s="76" t="s">
        <v>96</v>
      </c>
      <c r="N1254" s="77"/>
      <c r="O1254" s="78" t="s">
        <v>97</v>
      </c>
      <c r="P1254" s="79" t="n">
        <f aca="false">COUNTIFS(임대자산!$I:$I,가맹점정보!F1254,임대자산!$N:$N,가맹점정보!P$4)</f>
        <v>0</v>
      </c>
      <c r="Q1254" s="80" t="n">
        <f aca="false">COUNTIFS(임대자산!$I:$I,가맹점정보!F1254,임대자산!$N:$N,가맹점정보!Q$4)</f>
        <v>0</v>
      </c>
      <c r="R1254" s="81" t="n">
        <f aca="false">COUNTIFS(임대자산!$I:$I,가맹점정보!F1254,임대자산!$N:$N,가맹점정보!R$4)</f>
        <v>1</v>
      </c>
      <c r="S1254" s="82" t="n">
        <v>55000</v>
      </c>
      <c r="T1254" s="83" t="n">
        <v>0</v>
      </c>
      <c r="U1254" s="80" t="n">
        <f aca="false">SUM(S1254:T1254)</f>
        <v>55000</v>
      </c>
      <c r="V1254" s="84" t="s">
        <v>7</v>
      </c>
      <c r="W1254" s="80" t="str">
        <f aca="true">
IF(D1254="폐업","폐업",
IF(V1254="면제","면제",
IF(AND(V1254="정상",COUNTIFS(OFFSET(Y1254,0,COUNTA(Y1254:AV1254)-1,1,-4),"미납")&gt;=3),"장기미납",
IF(AND(V1254="정상",OFFSET(Y1254,0,COUNTA(Y1254:AV1254)-1)&gt;=U1254),"정상",
IF(AND(V1254="정상",OFFSET(Y1254,0,COUNTA(Y1254:AV1254)-1)=0),"정상",
"계약서 미작성")))))</f>
        <v>면제</v>
      </c>
      <c r="X1254" s="81" t="str">
        <f aca="true">
IF(D1254="폐업","폐업",
IF(AND(V1254="정상",OFFSET(Y1254,0,COUNTA(Y1254:AV1254)-1)="미납"),"미납",
IF(AND(V1254="정상",OFFSET(Y1254,0,COUNTA(Y1254:AV1254)-1)=0),"납부 시작 전",
IF(AND(V1254="정상",OFFSET(Y1254,0,COUNTA(Y1254:AV1254)-1)&gt;=U1254),"정상",
IF(AND(V1254="면제",OFFSET(Y1254,0,COUNTA(Y1254:AV1254)-1)="면제"),"면제",
IF(AND(V1254="면제",OFFSET(Y1254,0,COUNTA(Y1254:AV1254)-1)=0),"면제",
"확인요청"))))))</f>
        <v>면제</v>
      </c>
      <c r="Y1254" s="94" t="s">
        <v>7</v>
      </c>
      <c r="Z1254" s="95" t="s">
        <v>7</v>
      </c>
      <c r="AA1254" s="95" t="s">
        <v>7</v>
      </c>
      <c r="AB1254" s="95" t="s">
        <v>7</v>
      </c>
      <c r="AC1254" s="95" t="s">
        <v>7</v>
      </c>
      <c r="AD1254" s="95" t="s">
        <v>7</v>
      </c>
      <c r="AE1254" s="95" t="s">
        <v>7</v>
      </c>
      <c r="AF1254" s="95" t="s">
        <v>7</v>
      </c>
      <c r="AG1254" s="95" t="s">
        <v>7</v>
      </c>
      <c r="AH1254" s="95" t="s">
        <v>7</v>
      </c>
      <c r="AI1254" s="95" t="s">
        <v>7</v>
      </c>
      <c r="AJ1254" s="96" t="s">
        <v>7</v>
      </c>
      <c r="AK1254" s="97" t="s">
        <v>7</v>
      </c>
      <c r="AL1254" s="95" t="s">
        <v>7</v>
      </c>
      <c r="AM1254" s="90"/>
      <c r="AN1254" s="90"/>
      <c r="AO1254" s="90"/>
      <c r="AP1254" s="90"/>
      <c r="AQ1254" s="90"/>
      <c r="AR1254" s="90"/>
      <c r="AS1254" s="90"/>
      <c r="AT1254" s="90"/>
      <c r="AU1254" s="90"/>
      <c r="AV1254" s="91"/>
      <c r="AX1254" s="92"/>
    </row>
    <row r="1255" customFormat="false" ht="15.65" hidden="false" customHeight="false" outlineLevel="0" collapsed="false">
      <c r="C1255" s="72" t="n">
        <f aca="false">COUNTIFS($D$6:D1255,"&lt;&gt;"&amp;"")</f>
        <v>1250</v>
      </c>
      <c r="D1255" s="73" t="s">
        <v>12</v>
      </c>
      <c r="E1255" s="76" t="str">
        <f aca="false">
IF($D1255="정상",INDEX(임대자산!$D$3:$R$3000,MATCH($F1255,임대자산!$I$3:$I$3000,0),MATCH(E$3,임대자산!$D$3:$R$3,0)),
IF($D1255="폐업",INDEX(폐업정보!$D$3:$R$3000,MATCH($F1255,폐업정보!$I$3:$I$3000,0),MATCH(E$3,폐업정보!$D$3:$R$3,0)),
"Error"))</f>
        <v>서울</v>
      </c>
      <c r="F125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B1250</v>
      </c>
      <c r="G1255" s="76" t="str">
        <f aca="false">F1255&amp;RANDBETWEEN(0,10)</f>
        <v>B12504</v>
      </c>
      <c r="H1255" s="75" t="n">
        <f aca="false">
IF($D1255="정상",INDEX(임대자산!$D$3:$R$3000,MATCH($F1255,임대자산!$I$3:$I$3000,0),MATCH(H$4,임대자산!$D$3:$R$3,0)),
IF($D1255="폐업",INDEX(폐업정보!$D$3:$R$3000,MATCH($F1255,폐업정보!$I$3:$I$3000,0),MATCH(H$4,폐업정보!$D$3:$R$3,0)),
"Error"))</f>
        <v>45491</v>
      </c>
      <c r="I1255" s="75" t="str">
        <f aca="false">
IF($D1255="정상",INDEX(임대자산!$D$3:$R$3000,MATCH($F1255,임대자산!$I$3:$I$3000,0),MATCH(I$4,임대자산!$D$3:$R$3,0)),
IF($D1255="폐업",INDEX(폐업정보!$D$3:$R$3000,MATCH($F1255,폐업정보!$I$3:$I$3000,0),MATCH(I$4,폐업정보!$D$3:$R$3,0)),
"Error"))</f>
        <v>A1250</v>
      </c>
      <c r="J1255" s="75" t="str">
        <f aca="false">
IF($D1255="정상",INDEX(임대자산!$D$3:$R$3000,MATCH($F1255,임대자산!$I$3:$I$3000,0),MATCH(J$4,임대자산!$D$3:$R$3,0)),
IF($D1255="폐업",INDEX(폐업정보!$D$3:$R$3000,MATCH($F1255,폐업정보!$I$3:$I$3000,0),MATCH(J$4,폐업정보!$D$3:$R$3,0)),
"Error"))</f>
        <v>9329400000</v>
      </c>
      <c r="K1255" s="75" t="str">
        <f aca="false">
IF($D1255="정상",INDEX(임대자산!$D$3:$R$3000,MATCH($F1255,임대자산!$I$3:$I$3000,0),MATCH(K$4,임대자산!$D$3:$R$3,0)),
IF($D1255="폐업",INDEX(폐업정보!$D$3:$R$3000,MATCH($F1255,폐업정보!$I$3:$I$3000,0),MATCH(K$4,폐업정보!$D$3:$R$3,0)),
"Error"))</f>
        <v>C1250</v>
      </c>
      <c r="L1255" s="75" t="str">
        <f aca="false">
IF($D1255="정상",INDEX(임대자산!$D$3:$R$3000,MATCH($F1255,임대자산!$I$3:$I$3000,0),MATCH(L$4,임대자산!$D$3:$R$3,0)),
IF($D1255="폐업",INDEX(폐업정보!$D$3:$R$3000,MATCH($F1255,폐업정보!$I$3:$I$3000,0),MATCH(L$4,폐업정보!$D$3:$R$3,0)),
"Error"))</f>
        <v>D1250</v>
      </c>
      <c r="M1255" s="76" t="s">
        <v>96</v>
      </c>
      <c r="N1255" s="77"/>
      <c r="O1255" s="78" t="s">
        <v>97</v>
      </c>
      <c r="P1255" s="79" t="n">
        <f aca="false">COUNTIFS(임대자산!$I:$I,가맹점정보!F1255,임대자산!$N:$N,가맹점정보!P$4)</f>
        <v>0</v>
      </c>
      <c r="Q1255" s="80" t="n">
        <f aca="false">COUNTIFS(임대자산!$I:$I,가맹점정보!F1255,임대자산!$N:$N,가맹점정보!Q$4)</f>
        <v>0</v>
      </c>
      <c r="R1255" s="81" t="n">
        <f aca="false">COUNTIFS(임대자산!$I:$I,가맹점정보!F1255,임대자산!$N:$N,가맹점정보!R$4)</f>
        <v>1</v>
      </c>
      <c r="S1255" s="82" t="n">
        <v>55000</v>
      </c>
      <c r="T1255" s="83" t="n">
        <v>0</v>
      </c>
      <c r="U1255" s="80" t="n">
        <f aca="false">SUM(S1255:T1255)</f>
        <v>55000</v>
      </c>
      <c r="V1255" s="84" t="s">
        <v>12</v>
      </c>
      <c r="W1255" s="80" t="e">
        <f aca="true">
IF(D1255="폐업","폐업",
IF(V1255="면제","면제",
IF(AND(V1255="정상",COUNTIFS(OFFSET(Y1255,0,COUNTA(Y1255:AV1255)-1,1,-4),"미납")&gt;=3),"장기미납",
IF(AND(V1255="정상",OFFSET(Y1255,0,COUNTA(Y1255:AV1255)-1)&gt;=U1255),"정상",
IF(AND(V1255="정상",OFFSET(Y1255,0,COUNTA(Y1255:AV1255)-1)=0),"정상",
"계약서 미작성")))))</f>
        <v>#VALUE!</v>
      </c>
      <c r="X1255" s="81" t="str">
        <f aca="true">
IF(D1255="폐업","폐업",
IF(AND(V1255="정상",OFFSET(Y1255,0,COUNTA(Y1255:AV1255)-1)="미납"),"미납",
IF(AND(V1255="정상",OFFSET(Y1255,0,COUNTA(Y1255:AV1255)-1)=0),"납부 시작 전",
IF(AND(V1255="정상",OFFSET(Y1255,0,COUNTA(Y1255:AV1255)-1)&gt;=U1255),"정상",
IF(AND(V1255="면제",OFFSET(Y1255,0,COUNTA(Y1255:AV1255)-1)="면제"),"면제",
IF(AND(V1255="면제",OFFSET(Y1255,0,COUNTA(Y1255:AV1255)-1)=0),"면제",
"확인요청"))))))</f>
        <v>정상</v>
      </c>
      <c r="Y1255" s="93" t="n">
        <v>55000</v>
      </c>
      <c r="Z1255" s="90" t="n">
        <v>55000</v>
      </c>
      <c r="AA1255" s="90" t="n">
        <v>55000</v>
      </c>
      <c r="AB1255" s="90" t="n">
        <v>55000</v>
      </c>
      <c r="AC1255" s="90" t="n">
        <v>55000</v>
      </c>
      <c r="AD1255" s="90" t="n">
        <v>55000</v>
      </c>
      <c r="AE1255" s="90" t="n">
        <v>55000</v>
      </c>
      <c r="AF1255" s="90" t="n">
        <v>55000</v>
      </c>
      <c r="AG1255" s="90" t="n">
        <v>55000</v>
      </c>
      <c r="AH1255" s="90" t="n">
        <v>55000</v>
      </c>
      <c r="AI1255" s="90" t="n">
        <v>55000</v>
      </c>
      <c r="AJ1255" s="91" t="n">
        <v>55000</v>
      </c>
      <c r="AK1255" s="89" t="n">
        <v>55000</v>
      </c>
      <c r="AL1255" s="90" t="n">
        <v>55000</v>
      </c>
      <c r="AM1255" s="90"/>
      <c r="AN1255" s="90"/>
      <c r="AO1255" s="90"/>
      <c r="AP1255" s="90"/>
      <c r="AQ1255" s="90"/>
      <c r="AR1255" s="90"/>
      <c r="AS1255" s="90"/>
      <c r="AT1255" s="90"/>
      <c r="AU1255" s="90"/>
      <c r="AV1255" s="91"/>
      <c r="AX1255" s="92"/>
    </row>
    <row r="1256" customFormat="false" ht="15.65" hidden="false" customHeight="false" outlineLevel="0" collapsed="false">
      <c r="C1256" s="72" t="n">
        <f aca="false">COUNTIFS($D$6:D1256,"&lt;&gt;"&amp;"")</f>
        <v>1251</v>
      </c>
      <c r="D1256" s="73" t="s">
        <v>12</v>
      </c>
      <c r="E1256" s="76" t="str">
        <f aca="false">
IF($D1256="정상",INDEX(임대자산!$D$3:$R$3000,MATCH($F1256,임대자산!$I$3:$I$3000,0),MATCH(E$3,임대자산!$D$3:$R$3,0)),
IF($D1256="폐업",INDEX(폐업정보!$D$3:$R$3000,MATCH($F1256,폐업정보!$I$3:$I$3000,0),MATCH(E$3,폐업정보!$D$3:$R$3,0)),
"Error"))</f>
        <v>서울</v>
      </c>
      <c r="F125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B1251</v>
      </c>
      <c r="G1256" s="76" t="str">
        <f aca="false">F1256&amp;RANDBETWEEN(0,10)</f>
        <v>B12511</v>
      </c>
      <c r="H1256" s="75" t="n">
        <f aca="false">
IF($D1256="정상",INDEX(임대자산!$D$3:$R$3000,MATCH($F1256,임대자산!$I$3:$I$3000,0),MATCH(H$4,임대자산!$D$3:$R$3,0)),
IF($D1256="폐업",INDEX(폐업정보!$D$3:$R$3000,MATCH($F1256,폐업정보!$I$3:$I$3000,0),MATCH(H$4,폐업정보!$D$3:$R$3,0)),
"Error"))</f>
        <v>45468</v>
      </c>
      <c r="I1256" s="75" t="str">
        <f aca="false">
IF($D1256="정상",INDEX(임대자산!$D$3:$R$3000,MATCH($F1256,임대자산!$I$3:$I$3000,0),MATCH(I$4,임대자산!$D$3:$R$3,0)),
IF($D1256="폐업",INDEX(폐업정보!$D$3:$R$3000,MATCH($F1256,폐업정보!$I$3:$I$3000,0),MATCH(I$4,폐업정보!$D$3:$R$3,0)),
"Error"))</f>
        <v>A1251</v>
      </c>
      <c r="J1256" s="75" t="str">
        <f aca="false">
IF($D1256="정상",INDEX(임대자산!$D$3:$R$3000,MATCH($F1256,임대자산!$I$3:$I$3000,0),MATCH(J$4,임대자산!$D$3:$R$3,0)),
IF($D1256="폐업",INDEX(폐업정보!$D$3:$R$3000,MATCH($F1256,폐업정보!$I$3:$I$3000,0),MATCH(J$4,폐업정보!$D$3:$R$3,0)),
"Error"))</f>
        <v>3893800000</v>
      </c>
      <c r="K1256" s="75" t="str">
        <f aca="false">
IF($D1256="정상",INDEX(임대자산!$D$3:$R$3000,MATCH($F1256,임대자산!$I$3:$I$3000,0),MATCH(K$4,임대자산!$D$3:$R$3,0)),
IF($D1256="폐업",INDEX(폐업정보!$D$3:$R$3000,MATCH($F1256,폐업정보!$I$3:$I$3000,0),MATCH(K$4,폐업정보!$D$3:$R$3,0)),
"Error"))</f>
        <v>C1251</v>
      </c>
      <c r="L1256" s="75" t="str">
        <f aca="false">
IF($D1256="정상",INDEX(임대자산!$D$3:$R$3000,MATCH($F1256,임대자산!$I$3:$I$3000,0),MATCH(L$4,임대자산!$D$3:$R$3,0)),
IF($D1256="폐업",INDEX(폐업정보!$D$3:$R$3000,MATCH($F1256,폐업정보!$I$3:$I$3000,0),MATCH(L$4,폐업정보!$D$3:$R$3,0)),
"Error"))</f>
        <v>D1251</v>
      </c>
      <c r="M1256" s="76" t="s">
        <v>96</v>
      </c>
      <c r="N1256" s="77"/>
      <c r="O1256" s="78" t="s">
        <v>97</v>
      </c>
      <c r="P1256" s="79" t="n">
        <f aca="false">COUNTIFS(임대자산!$I:$I,가맹점정보!F1256,임대자산!$N:$N,가맹점정보!P$4)</f>
        <v>0</v>
      </c>
      <c r="Q1256" s="80" t="n">
        <f aca="false">COUNTIFS(임대자산!$I:$I,가맹점정보!F1256,임대자산!$N:$N,가맹점정보!Q$4)</f>
        <v>0</v>
      </c>
      <c r="R1256" s="81" t="n">
        <f aca="false">COUNTIFS(임대자산!$I:$I,가맹점정보!F1256,임대자산!$N:$N,가맹점정보!R$4)</f>
        <v>1</v>
      </c>
      <c r="S1256" s="82" t="n">
        <v>88000</v>
      </c>
      <c r="T1256" s="83" t="n">
        <v>0</v>
      </c>
      <c r="U1256" s="80" t="n">
        <f aca="false">SUM(S1256:T1256)</f>
        <v>88000</v>
      </c>
      <c r="V1256" s="84" t="s">
        <v>7</v>
      </c>
      <c r="W1256" s="80" t="str">
        <f aca="true">
IF(D1256="폐업","폐업",
IF(V1256="면제","면제",
IF(AND(V1256="정상",COUNTIFS(OFFSET(Y1256,0,COUNTA(Y1256:AV1256)-1,1,-4),"미납")&gt;=3),"장기미납",
IF(AND(V1256="정상",OFFSET(Y1256,0,COUNTA(Y1256:AV1256)-1)&gt;=U1256),"정상",
IF(AND(V1256="정상",OFFSET(Y1256,0,COUNTA(Y1256:AV1256)-1)=0),"정상",
"계약서 미작성")))))</f>
        <v>면제</v>
      </c>
      <c r="X1256" s="81" t="str">
        <f aca="true">
IF(D1256="폐업","폐업",
IF(AND(V1256="정상",OFFSET(Y1256,0,COUNTA(Y1256:AV1256)-1)="미납"),"미납",
IF(AND(V1256="정상",OFFSET(Y1256,0,COUNTA(Y1256:AV1256)-1)=0),"납부 시작 전",
IF(AND(V1256="정상",OFFSET(Y1256,0,COUNTA(Y1256:AV1256)-1)&gt;=U1256),"정상",
IF(AND(V1256="면제",OFFSET(Y1256,0,COUNTA(Y1256:AV1256)-1)="면제"),"면제",
IF(AND(V1256="면제",OFFSET(Y1256,0,COUNTA(Y1256:AV1256)-1)=0),"면제",
"확인요청"))))))</f>
        <v>면제</v>
      </c>
      <c r="Y1256" s="94" t="s">
        <v>7</v>
      </c>
      <c r="Z1256" s="95" t="s">
        <v>7</v>
      </c>
      <c r="AA1256" s="95" t="s">
        <v>7</v>
      </c>
      <c r="AB1256" s="95" t="s">
        <v>7</v>
      </c>
      <c r="AC1256" s="95" t="s">
        <v>7</v>
      </c>
      <c r="AD1256" s="95" t="s">
        <v>7</v>
      </c>
      <c r="AE1256" s="95" t="s">
        <v>7</v>
      </c>
      <c r="AF1256" s="95" t="s">
        <v>7</v>
      </c>
      <c r="AG1256" s="95" t="s">
        <v>7</v>
      </c>
      <c r="AH1256" s="95" t="s">
        <v>7</v>
      </c>
      <c r="AI1256" s="95" t="s">
        <v>7</v>
      </c>
      <c r="AJ1256" s="96" t="s">
        <v>7</v>
      </c>
      <c r="AK1256" s="97" t="s">
        <v>7</v>
      </c>
      <c r="AL1256" s="95" t="s">
        <v>7</v>
      </c>
      <c r="AM1256" s="90"/>
      <c r="AN1256" s="90"/>
      <c r="AO1256" s="90"/>
      <c r="AP1256" s="90"/>
      <c r="AQ1256" s="90"/>
      <c r="AR1256" s="90"/>
      <c r="AS1256" s="90"/>
      <c r="AT1256" s="90"/>
      <c r="AU1256" s="90"/>
      <c r="AV1256" s="91"/>
      <c r="AX1256" s="92"/>
    </row>
    <row r="1257" customFormat="false" ht="15.65" hidden="false" customHeight="false" outlineLevel="0" collapsed="false">
      <c r="C1257" s="72" t="n">
        <f aca="false">COUNTIFS($D$6:D1257,"&lt;&gt;"&amp;"")</f>
        <v>1252</v>
      </c>
      <c r="D1257" s="73" t="s">
        <v>12</v>
      </c>
      <c r="E1257" s="76" t="str">
        <f aca="false">
IF($D1257="정상",INDEX(임대자산!$D$3:$R$3000,MATCH($F1257,임대자산!$I$3:$I$3000,0),MATCH(E$3,임대자산!$D$3:$R$3,0)),
IF($D1257="폐업",INDEX(폐업정보!$D$3:$R$3000,MATCH($F1257,폐업정보!$I$3:$I$3000,0),MATCH(E$3,폐업정보!$D$3:$R$3,0)),
"Error"))</f>
        <v>서울</v>
      </c>
      <c r="F125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B1252</v>
      </c>
      <c r="G1257" s="76" t="str">
        <f aca="false">F1257&amp;RANDBETWEEN(0,10)</f>
        <v>B12520</v>
      </c>
      <c r="H1257" s="75" t="n">
        <f aca="false">
IF($D1257="정상",INDEX(임대자산!$D$3:$R$3000,MATCH($F1257,임대자산!$I$3:$I$3000,0),MATCH(H$4,임대자산!$D$3:$R$3,0)),
IF($D1257="폐업",INDEX(폐업정보!$D$3:$R$3000,MATCH($F1257,폐업정보!$I$3:$I$3000,0),MATCH(H$4,폐업정보!$D$3:$R$3,0)),
"Error"))</f>
        <v>45471</v>
      </c>
      <c r="I1257" s="75" t="str">
        <f aca="false">
IF($D1257="정상",INDEX(임대자산!$D$3:$R$3000,MATCH($F1257,임대자산!$I$3:$I$3000,0),MATCH(I$4,임대자산!$D$3:$R$3,0)),
IF($D1257="폐업",INDEX(폐업정보!$D$3:$R$3000,MATCH($F1257,폐업정보!$I$3:$I$3000,0),MATCH(I$4,폐업정보!$D$3:$R$3,0)),
"Error"))</f>
        <v>A1252</v>
      </c>
      <c r="J1257" s="75" t="str">
        <f aca="false">
IF($D1257="정상",INDEX(임대자산!$D$3:$R$3000,MATCH($F1257,임대자산!$I$3:$I$3000,0),MATCH(J$4,임대자산!$D$3:$R$3,0)),
IF($D1257="폐업",INDEX(폐업정보!$D$3:$R$3000,MATCH($F1257,폐업정보!$I$3:$I$3000,0),MATCH(J$4,폐업정보!$D$3:$R$3,0)),
"Error"))</f>
        <v>6615600000</v>
      </c>
      <c r="K1257" s="75" t="str">
        <f aca="false">
IF($D1257="정상",INDEX(임대자산!$D$3:$R$3000,MATCH($F1257,임대자산!$I$3:$I$3000,0),MATCH(K$4,임대자산!$D$3:$R$3,0)),
IF($D1257="폐업",INDEX(폐업정보!$D$3:$R$3000,MATCH($F1257,폐업정보!$I$3:$I$3000,0),MATCH(K$4,폐업정보!$D$3:$R$3,0)),
"Error"))</f>
        <v>C1252</v>
      </c>
      <c r="L1257" s="75" t="str">
        <f aca="false">
IF($D1257="정상",INDEX(임대자산!$D$3:$R$3000,MATCH($F1257,임대자산!$I$3:$I$3000,0),MATCH(L$4,임대자산!$D$3:$R$3,0)),
IF($D1257="폐업",INDEX(폐업정보!$D$3:$R$3000,MATCH($F1257,폐업정보!$I$3:$I$3000,0),MATCH(L$4,폐업정보!$D$3:$R$3,0)),
"Error"))</f>
        <v>D1252</v>
      </c>
      <c r="M1257" s="76" t="s">
        <v>96</v>
      </c>
      <c r="N1257" s="77"/>
      <c r="O1257" s="78" t="s">
        <v>97</v>
      </c>
      <c r="P1257" s="79" t="n">
        <f aca="false">COUNTIFS(임대자산!$I:$I,가맹점정보!F1257,임대자산!$N:$N,가맹점정보!P$4)</f>
        <v>0</v>
      </c>
      <c r="Q1257" s="80" t="n">
        <f aca="false">COUNTIFS(임대자산!$I:$I,가맹점정보!F1257,임대자산!$N:$N,가맹점정보!Q$4)</f>
        <v>0</v>
      </c>
      <c r="R1257" s="81" t="n">
        <f aca="false">COUNTIFS(임대자산!$I:$I,가맹점정보!F1257,임대자산!$N:$N,가맹점정보!R$4)</f>
        <v>1</v>
      </c>
      <c r="S1257" s="82" t="n">
        <v>55000</v>
      </c>
      <c r="T1257" s="83" t="n">
        <v>0</v>
      </c>
      <c r="U1257" s="80" t="n">
        <f aca="false">SUM(S1257:T1257)</f>
        <v>55000</v>
      </c>
      <c r="V1257" s="84" t="s">
        <v>7</v>
      </c>
      <c r="W1257" s="80" t="str">
        <f aca="true">
IF(D1257="폐업","폐업",
IF(V1257="면제","면제",
IF(AND(V1257="정상",COUNTIFS(OFFSET(Y1257,0,COUNTA(Y1257:AV1257)-1,1,-4),"미납")&gt;=3),"장기미납",
IF(AND(V1257="정상",OFFSET(Y1257,0,COUNTA(Y1257:AV1257)-1)&gt;=U1257),"정상",
IF(AND(V1257="정상",OFFSET(Y1257,0,COUNTA(Y1257:AV1257)-1)=0),"정상",
"계약서 미작성")))))</f>
        <v>면제</v>
      </c>
      <c r="X1257" s="81" t="str">
        <f aca="true">
IF(D1257="폐업","폐업",
IF(AND(V1257="정상",OFFSET(Y1257,0,COUNTA(Y1257:AV1257)-1)="미납"),"미납",
IF(AND(V1257="정상",OFFSET(Y1257,0,COUNTA(Y1257:AV1257)-1)=0),"납부 시작 전",
IF(AND(V1257="정상",OFFSET(Y1257,0,COUNTA(Y1257:AV1257)-1)&gt;=U1257),"정상",
IF(AND(V1257="면제",OFFSET(Y1257,0,COUNTA(Y1257:AV1257)-1)="면제"),"면제",
IF(AND(V1257="면제",OFFSET(Y1257,0,COUNTA(Y1257:AV1257)-1)=0),"면제",
"확인요청"))))))</f>
        <v>면제</v>
      </c>
      <c r="Y1257" s="94" t="s">
        <v>7</v>
      </c>
      <c r="Z1257" s="95" t="s">
        <v>7</v>
      </c>
      <c r="AA1257" s="95" t="s">
        <v>7</v>
      </c>
      <c r="AB1257" s="95" t="s">
        <v>7</v>
      </c>
      <c r="AC1257" s="95" t="s">
        <v>7</v>
      </c>
      <c r="AD1257" s="95" t="s">
        <v>7</v>
      </c>
      <c r="AE1257" s="95" t="s">
        <v>7</v>
      </c>
      <c r="AF1257" s="95" t="s">
        <v>7</v>
      </c>
      <c r="AG1257" s="95" t="s">
        <v>7</v>
      </c>
      <c r="AH1257" s="95" t="s">
        <v>7</v>
      </c>
      <c r="AI1257" s="95" t="s">
        <v>7</v>
      </c>
      <c r="AJ1257" s="96" t="s">
        <v>7</v>
      </c>
      <c r="AK1257" s="97" t="s">
        <v>7</v>
      </c>
      <c r="AL1257" s="95" t="s">
        <v>7</v>
      </c>
      <c r="AM1257" s="90"/>
      <c r="AN1257" s="90"/>
      <c r="AO1257" s="90"/>
      <c r="AP1257" s="90"/>
      <c r="AQ1257" s="90"/>
      <c r="AR1257" s="90"/>
      <c r="AS1257" s="90"/>
      <c r="AT1257" s="90"/>
      <c r="AU1257" s="90"/>
      <c r="AV1257" s="91"/>
      <c r="AX1257" s="92"/>
    </row>
    <row r="1258" customFormat="false" ht="15.65" hidden="false" customHeight="false" outlineLevel="0" collapsed="false">
      <c r="C1258" s="72" t="n">
        <f aca="false">COUNTIFS($D$6:D1258,"&lt;&gt;"&amp;"")</f>
        <v>1253</v>
      </c>
      <c r="D1258" s="73" t="s">
        <v>12</v>
      </c>
      <c r="E1258" s="76" t="str">
        <f aca="false">
IF($D1258="정상",INDEX(임대자산!$D$3:$R$3000,MATCH($F1258,임대자산!$I$3:$I$3000,0),MATCH(E$3,임대자산!$D$3:$R$3,0)),
IF($D1258="폐업",INDEX(폐업정보!$D$3:$R$3000,MATCH($F1258,폐업정보!$I$3:$I$3000,0),MATCH(E$3,폐업정보!$D$3:$R$3,0)),
"Error"))</f>
        <v>서울</v>
      </c>
      <c r="F125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B1253</v>
      </c>
      <c r="G1258" s="76" t="str">
        <f aca="false">F1258&amp;RANDBETWEEN(0,10)</f>
        <v>B12535</v>
      </c>
      <c r="H1258" s="75" t="n">
        <f aca="false">
IF($D1258="정상",INDEX(임대자산!$D$3:$R$3000,MATCH($F1258,임대자산!$I$3:$I$3000,0),MATCH(H$4,임대자산!$D$3:$R$3,0)),
IF($D1258="폐업",INDEX(폐업정보!$D$3:$R$3000,MATCH($F1258,폐업정보!$I$3:$I$3000,0),MATCH(H$4,폐업정보!$D$3:$R$3,0)),
"Error"))</f>
        <v>45471</v>
      </c>
      <c r="I1258" s="75" t="str">
        <f aca="false">
IF($D1258="정상",INDEX(임대자산!$D$3:$R$3000,MATCH($F1258,임대자산!$I$3:$I$3000,0),MATCH(I$4,임대자산!$D$3:$R$3,0)),
IF($D1258="폐업",INDEX(폐업정보!$D$3:$R$3000,MATCH($F1258,폐업정보!$I$3:$I$3000,0),MATCH(I$4,폐업정보!$D$3:$R$3,0)),
"Error"))</f>
        <v>A1253</v>
      </c>
      <c r="J1258" s="75" t="str">
        <f aca="false">
IF($D1258="정상",INDEX(임대자산!$D$3:$R$3000,MATCH($F1258,임대자산!$I$3:$I$3000,0),MATCH(J$4,임대자산!$D$3:$R$3,0)),
IF($D1258="폐업",INDEX(폐업정보!$D$3:$R$3000,MATCH($F1258,폐업정보!$I$3:$I$3000,0),MATCH(J$4,폐업정보!$D$3:$R$3,0)),
"Error"))</f>
        <v>5055300000</v>
      </c>
      <c r="K1258" s="75" t="str">
        <f aca="false">
IF($D1258="정상",INDEX(임대자산!$D$3:$R$3000,MATCH($F1258,임대자산!$I$3:$I$3000,0),MATCH(K$4,임대자산!$D$3:$R$3,0)),
IF($D1258="폐업",INDEX(폐업정보!$D$3:$R$3000,MATCH($F1258,폐업정보!$I$3:$I$3000,0),MATCH(K$4,폐업정보!$D$3:$R$3,0)),
"Error"))</f>
        <v>C1253</v>
      </c>
      <c r="L1258" s="75" t="str">
        <f aca="false">
IF($D1258="정상",INDEX(임대자산!$D$3:$R$3000,MATCH($F1258,임대자산!$I$3:$I$3000,0),MATCH(L$4,임대자산!$D$3:$R$3,0)),
IF($D1258="폐업",INDEX(폐업정보!$D$3:$R$3000,MATCH($F1258,폐업정보!$I$3:$I$3000,0),MATCH(L$4,폐업정보!$D$3:$R$3,0)),
"Error"))</f>
        <v>D1253</v>
      </c>
      <c r="M1258" s="76" t="s">
        <v>96</v>
      </c>
      <c r="N1258" s="77"/>
      <c r="O1258" s="78" t="s">
        <v>97</v>
      </c>
      <c r="P1258" s="79" t="n">
        <f aca="false">COUNTIFS(임대자산!$I:$I,가맹점정보!F1258,임대자산!$N:$N,가맹점정보!P$4)</f>
        <v>0</v>
      </c>
      <c r="Q1258" s="80" t="n">
        <f aca="false">COUNTIFS(임대자산!$I:$I,가맹점정보!F1258,임대자산!$N:$N,가맹점정보!Q$4)</f>
        <v>0</v>
      </c>
      <c r="R1258" s="81" t="n">
        <f aca="false">COUNTIFS(임대자산!$I:$I,가맹점정보!F1258,임대자산!$N:$N,가맹점정보!R$4)</f>
        <v>1</v>
      </c>
      <c r="S1258" s="82" t="n">
        <v>88000</v>
      </c>
      <c r="T1258" s="83" t="n">
        <v>0</v>
      </c>
      <c r="U1258" s="80" t="n">
        <f aca="false">SUM(S1258:T1258)</f>
        <v>88000</v>
      </c>
      <c r="V1258" s="84" t="s">
        <v>7</v>
      </c>
      <c r="W1258" s="80" t="str">
        <f aca="true">
IF(D1258="폐업","폐업",
IF(V1258="면제","면제",
IF(AND(V1258="정상",COUNTIFS(OFFSET(Y1258,0,COUNTA(Y1258:AV1258)-1,1,-4),"미납")&gt;=3),"장기미납",
IF(AND(V1258="정상",OFFSET(Y1258,0,COUNTA(Y1258:AV1258)-1)&gt;=U1258),"정상",
IF(AND(V1258="정상",OFFSET(Y1258,0,COUNTA(Y1258:AV1258)-1)=0),"정상",
"계약서 미작성")))))</f>
        <v>면제</v>
      </c>
      <c r="X1258" s="81" t="str">
        <f aca="true">
IF(D1258="폐업","폐업",
IF(AND(V1258="정상",OFFSET(Y1258,0,COUNTA(Y1258:AV1258)-1)="미납"),"미납",
IF(AND(V1258="정상",OFFSET(Y1258,0,COUNTA(Y1258:AV1258)-1)=0),"납부 시작 전",
IF(AND(V1258="정상",OFFSET(Y1258,0,COUNTA(Y1258:AV1258)-1)&gt;=U1258),"정상",
IF(AND(V1258="면제",OFFSET(Y1258,0,COUNTA(Y1258:AV1258)-1)="면제"),"면제",
IF(AND(V1258="면제",OFFSET(Y1258,0,COUNTA(Y1258:AV1258)-1)=0),"면제",
"확인요청"))))))</f>
        <v>면제</v>
      </c>
      <c r="Y1258" s="94" t="s">
        <v>7</v>
      </c>
      <c r="Z1258" s="95" t="s">
        <v>7</v>
      </c>
      <c r="AA1258" s="95" t="s">
        <v>7</v>
      </c>
      <c r="AB1258" s="95" t="s">
        <v>7</v>
      </c>
      <c r="AC1258" s="95" t="s">
        <v>7</v>
      </c>
      <c r="AD1258" s="95" t="s">
        <v>7</v>
      </c>
      <c r="AE1258" s="95" t="s">
        <v>7</v>
      </c>
      <c r="AF1258" s="95" t="s">
        <v>7</v>
      </c>
      <c r="AG1258" s="95" t="s">
        <v>7</v>
      </c>
      <c r="AH1258" s="95" t="s">
        <v>7</v>
      </c>
      <c r="AI1258" s="95" t="s">
        <v>7</v>
      </c>
      <c r="AJ1258" s="96" t="s">
        <v>7</v>
      </c>
      <c r="AK1258" s="97" t="s">
        <v>7</v>
      </c>
      <c r="AL1258" s="95" t="s">
        <v>7</v>
      </c>
      <c r="AM1258" s="90"/>
      <c r="AN1258" s="90"/>
      <c r="AO1258" s="90"/>
      <c r="AP1258" s="90"/>
      <c r="AQ1258" s="90"/>
      <c r="AR1258" s="90"/>
      <c r="AS1258" s="90"/>
      <c r="AT1258" s="90"/>
      <c r="AU1258" s="90"/>
      <c r="AV1258" s="91"/>
      <c r="AX1258" s="92"/>
    </row>
    <row r="1259" customFormat="false" ht="15.65" hidden="false" customHeight="false" outlineLevel="0" collapsed="false">
      <c r="C1259" s="72" t="n">
        <f aca="false">COUNTIFS($D$6:D1259,"&lt;&gt;"&amp;"")</f>
        <v>1254</v>
      </c>
      <c r="D1259" s="73" t="s">
        <v>12</v>
      </c>
      <c r="E1259" s="76" t="str">
        <f aca="false">
IF($D1259="정상",INDEX(임대자산!$D$3:$R$3000,MATCH($F1259,임대자산!$I$3:$I$3000,0),MATCH(E$3,임대자산!$D$3:$R$3,0)),
IF($D1259="폐업",INDEX(폐업정보!$D$3:$R$3000,MATCH($F1259,폐업정보!$I$3:$I$3000,0),MATCH(E$3,폐업정보!$D$3:$R$3,0)),
"Error"))</f>
        <v>서울</v>
      </c>
      <c r="F125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B1254</v>
      </c>
      <c r="G1259" s="76" t="str">
        <f aca="false">F1259&amp;RANDBETWEEN(0,10)</f>
        <v>B12546</v>
      </c>
      <c r="H1259" s="75" t="n">
        <f aca="false">
IF($D1259="정상",INDEX(임대자산!$D$3:$R$3000,MATCH($F1259,임대자산!$I$3:$I$3000,0),MATCH(H$4,임대자산!$D$3:$R$3,0)),
IF($D1259="폐업",INDEX(폐업정보!$D$3:$R$3000,MATCH($F1259,폐업정보!$I$3:$I$3000,0),MATCH(H$4,폐업정보!$D$3:$R$3,0)),
"Error"))</f>
        <v>45442</v>
      </c>
      <c r="I1259" s="75" t="str">
        <f aca="false">
IF($D1259="정상",INDEX(임대자산!$D$3:$R$3000,MATCH($F1259,임대자산!$I$3:$I$3000,0),MATCH(I$4,임대자산!$D$3:$R$3,0)),
IF($D1259="폐업",INDEX(폐업정보!$D$3:$R$3000,MATCH($F1259,폐업정보!$I$3:$I$3000,0),MATCH(I$4,폐업정보!$D$3:$R$3,0)),
"Error"))</f>
        <v>A1254</v>
      </c>
      <c r="J1259" s="75" t="str">
        <f aca="false">
IF($D1259="정상",INDEX(임대자산!$D$3:$R$3000,MATCH($F1259,임대자산!$I$3:$I$3000,0),MATCH(J$4,임대자산!$D$3:$R$3,0)),
IF($D1259="폐업",INDEX(폐업정보!$D$3:$R$3000,MATCH($F1259,폐업정보!$I$3:$I$3000,0),MATCH(J$4,폐업정보!$D$3:$R$3,0)),
"Error"))</f>
        <v>2867800000</v>
      </c>
      <c r="K1259" s="75" t="str">
        <f aca="false">
IF($D1259="정상",INDEX(임대자산!$D$3:$R$3000,MATCH($F1259,임대자산!$I$3:$I$3000,0),MATCH(K$4,임대자산!$D$3:$R$3,0)),
IF($D1259="폐업",INDEX(폐업정보!$D$3:$R$3000,MATCH($F1259,폐업정보!$I$3:$I$3000,0),MATCH(K$4,폐업정보!$D$3:$R$3,0)),
"Error"))</f>
        <v>C1254</v>
      </c>
      <c r="L1259" s="75" t="str">
        <f aca="false">
IF($D1259="정상",INDEX(임대자산!$D$3:$R$3000,MATCH($F1259,임대자산!$I$3:$I$3000,0),MATCH(L$4,임대자산!$D$3:$R$3,0)),
IF($D1259="폐업",INDEX(폐업정보!$D$3:$R$3000,MATCH($F1259,폐업정보!$I$3:$I$3000,0),MATCH(L$4,폐업정보!$D$3:$R$3,0)),
"Error"))</f>
        <v>D1254</v>
      </c>
      <c r="M1259" s="76" t="s">
        <v>96</v>
      </c>
      <c r="N1259" s="77"/>
      <c r="O1259" s="78" t="s">
        <v>97</v>
      </c>
      <c r="P1259" s="79" t="n">
        <f aca="false">COUNTIFS(임대자산!$I:$I,가맹점정보!F1259,임대자산!$N:$N,가맹점정보!P$4)</f>
        <v>0</v>
      </c>
      <c r="Q1259" s="80" t="n">
        <f aca="false">COUNTIFS(임대자산!$I:$I,가맹점정보!F1259,임대자산!$N:$N,가맹점정보!Q$4)</f>
        <v>0</v>
      </c>
      <c r="R1259" s="81" t="n">
        <f aca="false">COUNTIFS(임대자산!$I:$I,가맹점정보!F1259,임대자산!$N:$N,가맹점정보!R$4)</f>
        <v>1</v>
      </c>
      <c r="S1259" s="82" t="n">
        <v>88000</v>
      </c>
      <c r="T1259" s="83" t="n">
        <v>0</v>
      </c>
      <c r="U1259" s="80" t="n">
        <f aca="false">SUM(S1259:T1259)</f>
        <v>88000</v>
      </c>
      <c r="V1259" s="84" t="s">
        <v>7</v>
      </c>
      <c r="W1259" s="80" t="str">
        <f aca="true">
IF(D1259="폐업","폐업",
IF(V1259="면제","면제",
IF(AND(V1259="정상",COUNTIFS(OFFSET(Y1259,0,COUNTA(Y1259:AV1259)-1,1,-4),"미납")&gt;=3),"장기미납",
IF(AND(V1259="정상",OFFSET(Y1259,0,COUNTA(Y1259:AV1259)-1)&gt;=U1259),"정상",
IF(AND(V1259="정상",OFFSET(Y1259,0,COUNTA(Y1259:AV1259)-1)=0),"정상",
"계약서 미작성")))))</f>
        <v>면제</v>
      </c>
      <c r="X1259" s="81" t="str">
        <f aca="true">
IF(D1259="폐업","폐업",
IF(AND(V1259="정상",OFFSET(Y1259,0,COUNTA(Y1259:AV1259)-1)="미납"),"미납",
IF(AND(V1259="정상",OFFSET(Y1259,0,COUNTA(Y1259:AV1259)-1)=0),"납부 시작 전",
IF(AND(V1259="정상",OFFSET(Y1259,0,COUNTA(Y1259:AV1259)-1)&gt;=U1259),"정상",
IF(AND(V1259="면제",OFFSET(Y1259,0,COUNTA(Y1259:AV1259)-1)="면제"),"면제",
IF(AND(V1259="면제",OFFSET(Y1259,0,COUNTA(Y1259:AV1259)-1)=0),"면제",
"확인요청"))))))</f>
        <v>면제</v>
      </c>
      <c r="Y1259" s="94" t="s">
        <v>7</v>
      </c>
      <c r="Z1259" s="95" t="s">
        <v>7</v>
      </c>
      <c r="AA1259" s="95" t="s">
        <v>7</v>
      </c>
      <c r="AB1259" s="95" t="s">
        <v>7</v>
      </c>
      <c r="AC1259" s="95" t="s">
        <v>7</v>
      </c>
      <c r="AD1259" s="95" t="s">
        <v>7</v>
      </c>
      <c r="AE1259" s="95" t="s">
        <v>7</v>
      </c>
      <c r="AF1259" s="95" t="s">
        <v>7</v>
      </c>
      <c r="AG1259" s="95" t="s">
        <v>7</v>
      </c>
      <c r="AH1259" s="95" t="s">
        <v>7</v>
      </c>
      <c r="AI1259" s="95" t="s">
        <v>7</v>
      </c>
      <c r="AJ1259" s="96" t="s">
        <v>7</v>
      </c>
      <c r="AK1259" s="97" t="s">
        <v>7</v>
      </c>
      <c r="AL1259" s="95" t="s">
        <v>7</v>
      </c>
      <c r="AM1259" s="90"/>
      <c r="AN1259" s="90"/>
      <c r="AO1259" s="90"/>
      <c r="AP1259" s="90"/>
      <c r="AQ1259" s="90"/>
      <c r="AR1259" s="90"/>
      <c r="AS1259" s="90"/>
      <c r="AT1259" s="90"/>
      <c r="AU1259" s="90"/>
      <c r="AV1259" s="91"/>
      <c r="AX1259" s="92"/>
    </row>
    <row r="1260" customFormat="false" ht="15.65" hidden="false" customHeight="false" outlineLevel="0" collapsed="false">
      <c r="C1260" s="72" t="n">
        <f aca="false">COUNTIFS($D$6:D1260,"&lt;&gt;"&amp;"")</f>
        <v>1255</v>
      </c>
      <c r="D1260" s="73" t="s">
        <v>12</v>
      </c>
      <c r="E1260" s="76" t="str">
        <f aca="false">
IF($D1260="정상",INDEX(임대자산!$D$3:$R$3000,MATCH($F1260,임대자산!$I$3:$I$3000,0),MATCH(E$3,임대자산!$D$3:$R$3,0)),
IF($D1260="폐업",INDEX(폐업정보!$D$3:$R$3000,MATCH($F1260,폐업정보!$I$3:$I$3000,0),MATCH(E$3,폐업정보!$D$3:$R$3,0)),
"Error"))</f>
        <v>서울</v>
      </c>
      <c r="F126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B1255</v>
      </c>
      <c r="G1260" s="76" t="str">
        <f aca="false">F1260&amp;RANDBETWEEN(0,10)</f>
        <v>B12550</v>
      </c>
      <c r="H1260" s="75" t="n">
        <f aca="false">
IF($D1260="정상",INDEX(임대자산!$D$3:$R$3000,MATCH($F1260,임대자산!$I$3:$I$3000,0),MATCH(H$4,임대자산!$D$3:$R$3,0)),
IF($D1260="폐업",INDEX(폐업정보!$D$3:$R$3000,MATCH($F1260,폐업정보!$I$3:$I$3000,0),MATCH(H$4,폐업정보!$D$3:$R$3,0)),
"Error"))</f>
        <v>45658</v>
      </c>
      <c r="I1260" s="75" t="str">
        <f aca="false">
IF($D1260="정상",INDEX(임대자산!$D$3:$R$3000,MATCH($F1260,임대자산!$I$3:$I$3000,0),MATCH(I$4,임대자산!$D$3:$R$3,0)),
IF($D1260="폐업",INDEX(폐업정보!$D$3:$R$3000,MATCH($F1260,폐업정보!$I$3:$I$3000,0),MATCH(I$4,폐업정보!$D$3:$R$3,0)),
"Error"))</f>
        <v>A1255</v>
      </c>
      <c r="J1260" s="75" t="str">
        <f aca="false">
IF($D1260="정상",INDEX(임대자산!$D$3:$R$3000,MATCH($F1260,임대자산!$I$3:$I$3000,0),MATCH(J$4,임대자산!$D$3:$R$3,0)),
IF($D1260="폐업",INDEX(폐업정보!$D$3:$R$3000,MATCH($F1260,폐업정보!$I$3:$I$3000,0),MATCH(J$4,폐업정보!$D$3:$R$3,0)),
"Error"))</f>
        <v>4944800000</v>
      </c>
      <c r="K1260" s="75" t="str">
        <f aca="false">
IF($D1260="정상",INDEX(임대자산!$D$3:$R$3000,MATCH($F1260,임대자산!$I$3:$I$3000,0),MATCH(K$4,임대자산!$D$3:$R$3,0)),
IF($D1260="폐업",INDEX(폐업정보!$D$3:$R$3000,MATCH($F1260,폐업정보!$I$3:$I$3000,0),MATCH(K$4,폐업정보!$D$3:$R$3,0)),
"Error"))</f>
        <v>C1255</v>
      </c>
      <c r="L1260" s="75" t="str">
        <f aca="false">
IF($D1260="정상",INDEX(임대자산!$D$3:$R$3000,MATCH($F1260,임대자산!$I$3:$I$3000,0),MATCH(L$4,임대자산!$D$3:$R$3,0)),
IF($D1260="폐업",INDEX(폐업정보!$D$3:$R$3000,MATCH($F1260,폐업정보!$I$3:$I$3000,0),MATCH(L$4,폐업정보!$D$3:$R$3,0)),
"Error"))</f>
        <v>D1255</v>
      </c>
      <c r="M1260" s="76" t="s">
        <v>96</v>
      </c>
      <c r="N1260" s="77"/>
      <c r="O1260" s="78" t="s">
        <v>97</v>
      </c>
      <c r="P1260" s="79" t="n">
        <f aca="false">COUNTIFS(임대자산!$I:$I,가맹점정보!F1260,임대자산!$N:$N,가맹점정보!P$4)</f>
        <v>0</v>
      </c>
      <c r="Q1260" s="80" t="n">
        <f aca="false">COUNTIFS(임대자산!$I:$I,가맹점정보!F1260,임대자산!$N:$N,가맹점정보!Q$4)</f>
        <v>0</v>
      </c>
      <c r="R1260" s="81" t="n">
        <f aca="false">COUNTIFS(임대자산!$I:$I,가맹점정보!F1260,임대자산!$N:$N,가맹점정보!R$4)</f>
        <v>1</v>
      </c>
      <c r="S1260" s="82" t="n">
        <v>55000</v>
      </c>
      <c r="T1260" s="83" t="n">
        <v>0</v>
      </c>
      <c r="U1260" s="80" t="n">
        <f aca="false">SUM(S1260:T1260)</f>
        <v>55000</v>
      </c>
      <c r="V1260" s="84" t="s">
        <v>7</v>
      </c>
      <c r="W1260" s="80" t="str">
        <f aca="true">
IF(D1260="폐업","폐업",
IF(V1260="면제","면제",
IF(AND(V1260="정상",COUNTIFS(OFFSET(Y1260,0,COUNTA(Y1260:AV1260)-1,1,-4),"미납")&gt;=3),"장기미납",
IF(AND(V1260="정상",OFFSET(Y1260,0,COUNTA(Y1260:AV1260)-1)&gt;=U1260),"정상",
IF(AND(V1260="정상",OFFSET(Y1260,0,COUNTA(Y1260:AV1260)-1)=0),"정상",
"계약서 미작성")))))</f>
        <v>면제</v>
      </c>
      <c r="X1260" s="81" t="str">
        <f aca="true">
IF(D1260="폐업","폐업",
IF(AND(V1260="정상",OFFSET(Y1260,0,COUNTA(Y1260:AV1260)-1)="미납"),"미납",
IF(AND(V1260="정상",OFFSET(Y1260,0,COUNTA(Y1260:AV1260)-1)=0),"납부 시작 전",
IF(AND(V1260="정상",OFFSET(Y1260,0,COUNTA(Y1260:AV1260)-1)&gt;=U1260),"정상",
IF(AND(V1260="면제",OFFSET(Y1260,0,COUNTA(Y1260:AV1260)-1)="면제"),"면제",
IF(AND(V1260="면제",OFFSET(Y1260,0,COUNTA(Y1260:AV1260)-1)=0),"면제",
"확인요청"))))))</f>
        <v>면제</v>
      </c>
      <c r="Y1260" s="94" t="s">
        <v>7</v>
      </c>
      <c r="Z1260" s="95" t="s">
        <v>7</v>
      </c>
      <c r="AA1260" s="95" t="s">
        <v>7</v>
      </c>
      <c r="AB1260" s="95" t="s">
        <v>7</v>
      </c>
      <c r="AC1260" s="95" t="s">
        <v>7</v>
      </c>
      <c r="AD1260" s="95" t="s">
        <v>7</v>
      </c>
      <c r="AE1260" s="95" t="s">
        <v>7</v>
      </c>
      <c r="AF1260" s="95" t="s">
        <v>7</v>
      </c>
      <c r="AG1260" s="95" t="s">
        <v>7</v>
      </c>
      <c r="AH1260" s="95" t="s">
        <v>7</v>
      </c>
      <c r="AI1260" s="95" t="s">
        <v>7</v>
      </c>
      <c r="AJ1260" s="96" t="s">
        <v>7</v>
      </c>
      <c r="AK1260" s="97" t="s">
        <v>7</v>
      </c>
      <c r="AL1260" s="95" t="s">
        <v>7</v>
      </c>
      <c r="AM1260" s="90"/>
      <c r="AN1260" s="90"/>
      <c r="AO1260" s="90"/>
      <c r="AP1260" s="90"/>
      <c r="AQ1260" s="90"/>
      <c r="AR1260" s="90"/>
      <c r="AS1260" s="90"/>
      <c r="AT1260" s="90"/>
      <c r="AU1260" s="90"/>
      <c r="AV1260" s="91"/>
      <c r="AX1260" s="92"/>
    </row>
    <row r="1261" customFormat="false" ht="15.65" hidden="false" customHeight="false" outlineLevel="0" collapsed="false">
      <c r="C1261" s="72" t="n">
        <f aca="false">COUNTIFS($D$6:D1261,"&lt;&gt;"&amp;"")</f>
        <v>1256</v>
      </c>
      <c r="D1261" s="73" t="s">
        <v>12</v>
      </c>
      <c r="E1261" s="76" t="str">
        <f aca="false">
IF($D1261="정상",INDEX(임대자산!$D$3:$R$3000,MATCH($F1261,임대자산!$I$3:$I$3000,0),MATCH(E$3,임대자산!$D$3:$R$3,0)),
IF($D1261="폐업",INDEX(폐업정보!$D$3:$R$3000,MATCH($F1261,폐업정보!$I$3:$I$3000,0),MATCH(E$3,폐업정보!$D$3:$R$3,0)),
"Error"))</f>
        <v>서울</v>
      </c>
      <c r="F126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B1256</v>
      </c>
      <c r="G1261" s="76" t="str">
        <f aca="false">F1261&amp;RANDBETWEEN(0,10)</f>
        <v>B12568</v>
      </c>
      <c r="H1261" s="75" t="n">
        <f aca="false">
IF($D1261="정상",INDEX(임대자산!$D$3:$R$3000,MATCH($F1261,임대자산!$I$3:$I$3000,0),MATCH(H$4,임대자산!$D$3:$R$3,0)),
IF($D1261="폐업",INDEX(폐업정보!$D$3:$R$3000,MATCH($F1261,폐업정보!$I$3:$I$3000,0),MATCH(H$4,폐업정보!$D$3:$R$3,0)),
"Error"))</f>
        <v>45393</v>
      </c>
      <c r="I1261" s="75" t="str">
        <f aca="false">
IF($D1261="정상",INDEX(임대자산!$D$3:$R$3000,MATCH($F1261,임대자산!$I$3:$I$3000,0),MATCH(I$4,임대자산!$D$3:$R$3,0)),
IF($D1261="폐업",INDEX(폐업정보!$D$3:$R$3000,MATCH($F1261,폐업정보!$I$3:$I$3000,0),MATCH(I$4,폐업정보!$D$3:$R$3,0)),
"Error"))</f>
        <v>A1256</v>
      </c>
      <c r="J1261" s="75" t="str">
        <f aca="false">
IF($D1261="정상",INDEX(임대자산!$D$3:$R$3000,MATCH($F1261,임대자산!$I$3:$I$3000,0),MATCH(J$4,임대자산!$D$3:$R$3,0)),
IF($D1261="폐업",INDEX(폐업정보!$D$3:$R$3000,MATCH($F1261,폐업정보!$I$3:$I$3000,0),MATCH(J$4,폐업정보!$D$3:$R$3,0)),
"Error"))</f>
        <v>4817600000</v>
      </c>
      <c r="K1261" s="75" t="str">
        <f aca="false">
IF($D1261="정상",INDEX(임대자산!$D$3:$R$3000,MATCH($F1261,임대자산!$I$3:$I$3000,0),MATCH(K$4,임대자산!$D$3:$R$3,0)),
IF($D1261="폐업",INDEX(폐업정보!$D$3:$R$3000,MATCH($F1261,폐업정보!$I$3:$I$3000,0),MATCH(K$4,폐업정보!$D$3:$R$3,0)),
"Error"))</f>
        <v>C1256</v>
      </c>
      <c r="L1261" s="75" t="str">
        <f aca="false">
IF($D1261="정상",INDEX(임대자산!$D$3:$R$3000,MATCH($F1261,임대자산!$I$3:$I$3000,0),MATCH(L$4,임대자산!$D$3:$R$3,0)),
IF($D1261="폐업",INDEX(폐업정보!$D$3:$R$3000,MATCH($F1261,폐업정보!$I$3:$I$3000,0),MATCH(L$4,폐업정보!$D$3:$R$3,0)),
"Error"))</f>
        <v>D1256</v>
      </c>
      <c r="M1261" s="76" t="s">
        <v>96</v>
      </c>
      <c r="N1261" s="77"/>
      <c r="O1261" s="78" t="s">
        <v>97</v>
      </c>
      <c r="P1261" s="79" t="n">
        <f aca="false">COUNTIFS(임대자산!$I:$I,가맹점정보!F1261,임대자산!$N:$N,가맹점정보!P$4)</f>
        <v>0</v>
      </c>
      <c r="Q1261" s="80" t="n">
        <f aca="false">COUNTIFS(임대자산!$I:$I,가맹점정보!F1261,임대자산!$N:$N,가맹점정보!Q$4)</f>
        <v>0</v>
      </c>
      <c r="R1261" s="81" t="n">
        <f aca="false">COUNTIFS(임대자산!$I:$I,가맹점정보!F1261,임대자산!$N:$N,가맹점정보!R$4)</f>
        <v>1</v>
      </c>
      <c r="S1261" s="82" t="n">
        <v>55000</v>
      </c>
      <c r="T1261" s="83" t="n">
        <v>0</v>
      </c>
      <c r="U1261" s="80" t="n">
        <f aca="false">SUM(S1261:T1261)</f>
        <v>55000</v>
      </c>
      <c r="V1261" s="84" t="s">
        <v>7</v>
      </c>
      <c r="W1261" s="80" t="str">
        <f aca="true">
IF(D1261="폐업","폐업",
IF(V1261="면제","면제",
IF(AND(V1261="정상",COUNTIFS(OFFSET(Y1261,0,COUNTA(Y1261:AV1261)-1,1,-4),"미납")&gt;=3),"장기미납",
IF(AND(V1261="정상",OFFSET(Y1261,0,COUNTA(Y1261:AV1261)-1)&gt;=U1261),"정상",
IF(AND(V1261="정상",OFFSET(Y1261,0,COUNTA(Y1261:AV1261)-1)=0),"정상",
"계약서 미작성")))))</f>
        <v>면제</v>
      </c>
      <c r="X1261" s="81" t="str">
        <f aca="true">
IF(D1261="폐업","폐업",
IF(AND(V1261="정상",OFFSET(Y1261,0,COUNTA(Y1261:AV1261)-1)="미납"),"미납",
IF(AND(V1261="정상",OFFSET(Y1261,0,COUNTA(Y1261:AV1261)-1)=0),"납부 시작 전",
IF(AND(V1261="정상",OFFSET(Y1261,0,COUNTA(Y1261:AV1261)-1)&gt;=U1261),"정상",
IF(AND(V1261="면제",OFFSET(Y1261,0,COUNTA(Y1261:AV1261)-1)="면제"),"면제",
IF(AND(V1261="면제",OFFSET(Y1261,0,COUNTA(Y1261:AV1261)-1)=0),"면제",
"확인요청"))))))</f>
        <v>면제</v>
      </c>
      <c r="Y1261" s="94" t="s">
        <v>7</v>
      </c>
      <c r="Z1261" s="95" t="s">
        <v>7</v>
      </c>
      <c r="AA1261" s="95" t="s">
        <v>7</v>
      </c>
      <c r="AB1261" s="95" t="s">
        <v>7</v>
      </c>
      <c r="AC1261" s="95" t="s">
        <v>7</v>
      </c>
      <c r="AD1261" s="95" t="s">
        <v>7</v>
      </c>
      <c r="AE1261" s="95" t="s">
        <v>7</v>
      </c>
      <c r="AF1261" s="95" t="s">
        <v>7</v>
      </c>
      <c r="AG1261" s="95" t="s">
        <v>7</v>
      </c>
      <c r="AH1261" s="95" t="s">
        <v>7</v>
      </c>
      <c r="AI1261" s="95" t="s">
        <v>7</v>
      </c>
      <c r="AJ1261" s="96" t="s">
        <v>7</v>
      </c>
      <c r="AK1261" s="97" t="s">
        <v>7</v>
      </c>
      <c r="AL1261" s="95" t="s">
        <v>7</v>
      </c>
      <c r="AM1261" s="90"/>
      <c r="AN1261" s="90"/>
      <c r="AO1261" s="90"/>
      <c r="AP1261" s="90"/>
      <c r="AQ1261" s="90"/>
      <c r="AR1261" s="90"/>
      <c r="AS1261" s="90"/>
      <c r="AT1261" s="90"/>
      <c r="AU1261" s="90"/>
      <c r="AV1261" s="91"/>
      <c r="AX1261" s="92"/>
    </row>
    <row r="1262" customFormat="false" ht="15.65" hidden="false" customHeight="false" outlineLevel="0" collapsed="false">
      <c r="C1262" s="72" t="n">
        <f aca="false">COUNTIFS($D$6:D1262,"&lt;&gt;"&amp;"")</f>
        <v>1257</v>
      </c>
      <c r="D1262" s="73" t="s">
        <v>12</v>
      </c>
      <c r="E1262" s="76" t="str">
        <f aca="false">
IF($D1262="정상",INDEX(임대자산!$D$3:$R$3000,MATCH($F1262,임대자산!$I$3:$I$3000,0),MATCH(E$3,임대자산!$D$3:$R$3,0)),
IF($D1262="폐업",INDEX(폐업정보!$D$3:$R$3000,MATCH($F1262,폐업정보!$I$3:$I$3000,0),MATCH(E$3,폐업정보!$D$3:$R$3,0)),
"Error"))</f>
        <v>강원</v>
      </c>
      <c r="F126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B1257</v>
      </c>
      <c r="G1262" s="76" t="str">
        <f aca="false">F1262&amp;RANDBETWEEN(0,10)</f>
        <v>B12570</v>
      </c>
      <c r="H1262" s="75" t="n">
        <f aca="false">
IF($D1262="정상",INDEX(임대자산!$D$3:$R$3000,MATCH($F1262,임대자산!$I$3:$I$3000,0),MATCH(H$4,임대자산!$D$3:$R$3,0)),
IF($D1262="폐업",INDEX(폐업정보!$D$3:$R$3000,MATCH($F1262,폐업정보!$I$3:$I$3000,0),MATCH(H$4,폐업정보!$D$3:$R$3,0)),
"Error"))</f>
        <v>45490</v>
      </c>
      <c r="I1262" s="75" t="str">
        <f aca="false">
IF($D1262="정상",INDEX(임대자산!$D$3:$R$3000,MATCH($F1262,임대자산!$I$3:$I$3000,0),MATCH(I$4,임대자산!$D$3:$R$3,0)),
IF($D1262="폐업",INDEX(폐업정보!$D$3:$R$3000,MATCH($F1262,폐업정보!$I$3:$I$3000,0),MATCH(I$4,폐업정보!$D$3:$R$3,0)),
"Error"))</f>
        <v>A1257</v>
      </c>
      <c r="J1262" s="75" t="str">
        <f aca="false">
IF($D1262="정상",INDEX(임대자산!$D$3:$R$3000,MATCH($F1262,임대자산!$I$3:$I$3000,0),MATCH(J$4,임대자산!$D$3:$R$3,0)),
IF($D1262="폐업",INDEX(폐업정보!$D$3:$R$3000,MATCH($F1262,폐업정보!$I$3:$I$3000,0),MATCH(J$4,폐업정보!$D$3:$R$3,0)),
"Error"))</f>
        <v>1669800000</v>
      </c>
      <c r="K1262" s="75" t="str">
        <f aca="false">
IF($D1262="정상",INDEX(임대자산!$D$3:$R$3000,MATCH($F1262,임대자산!$I$3:$I$3000,0),MATCH(K$4,임대자산!$D$3:$R$3,0)),
IF($D1262="폐업",INDEX(폐업정보!$D$3:$R$3000,MATCH($F1262,폐업정보!$I$3:$I$3000,0),MATCH(K$4,폐업정보!$D$3:$R$3,0)),
"Error"))</f>
        <v>C1257</v>
      </c>
      <c r="L1262" s="75" t="str">
        <f aca="false">
IF($D1262="정상",INDEX(임대자산!$D$3:$R$3000,MATCH($F1262,임대자산!$I$3:$I$3000,0),MATCH(L$4,임대자산!$D$3:$R$3,0)),
IF($D1262="폐업",INDEX(폐업정보!$D$3:$R$3000,MATCH($F1262,폐업정보!$I$3:$I$3000,0),MATCH(L$4,폐업정보!$D$3:$R$3,0)),
"Error"))</f>
        <v>D1257</v>
      </c>
      <c r="M1262" s="76" t="s">
        <v>96</v>
      </c>
      <c r="N1262" s="77"/>
      <c r="O1262" s="78" t="s">
        <v>97</v>
      </c>
      <c r="P1262" s="79" t="n">
        <f aca="false">COUNTIFS(임대자산!$I:$I,가맹점정보!F1262,임대자산!$N:$N,가맹점정보!P$4)</f>
        <v>0</v>
      </c>
      <c r="Q1262" s="80" t="n">
        <f aca="false">COUNTIFS(임대자산!$I:$I,가맹점정보!F1262,임대자산!$N:$N,가맹점정보!Q$4)</f>
        <v>0</v>
      </c>
      <c r="R1262" s="81" t="n">
        <f aca="false">COUNTIFS(임대자산!$I:$I,가맹점정보!F1262,임대자산!$N:$N,가맹점정보!R$4)</f>
        <v>1</v>
      </c>
      <c r="S1262" s="82" t="n">
        <v>55000</v>
      </c>
      <c r="T1262" s="83" t="n">
        <v>0</v>
      </c>
      <c r="U1262" s="80" t="n">
        <f aca="false">SUM(S1262:T1262)</f>
        <v>55000</v>
      </c>
      <c r="V1262" s="84" t="s">
        <v>7</v>
      </c>
      <c r="W1262" s="80" t="str">
        <f aca="true">
IF(D1262="폐업","폐업",
IF(V1262="면제","면제",
IF(AND(V1262="정상",COUNTIFS(OFFSET(Y1262,0,COUNTA(Y1262:AV1262)-1,1,-4),"미납")&gt;=3),"장기미납",
IF(AND(V1262="정상",OFFSET(Y1262,0,COUNTA(Y1262:AV1262)-1)&gt;=U1262),"정상",
IF(AND(V1262="정상",OFFSET(Y1262,0,COUNTA(Y1262:AV1262)-1)=0),"정상",
"계약서 미작성")))))</f>
        <v>면제</v>
      </c>
      <c r="X1262" s="81" t="str">
        <f aca="true">
IF(D1262="폐업","폐업",
IF(AND(V1262="정상",OFFSET(Y1262,0,COUNTA(Y1262:AV1262)-1)="미납"),"미납",
IF(AND(V1262="정상",OFFSET(Y1262,0,COUNTA(Y1262:AV1262)-1)=0),"납부 시작 전",
IF(AND(V1262="정상",OFFSET(Y1262,0,COUNTA(Y1262:AV1262)-1)&gt;=U1262),"정상",
IF(AND(V1262="면제",OFFSET(Y1262,0,COUNTA(Y1262:AV1262)-1)="면제"),"면제",
IF(AND(V1262="면제",OFFSET(Y1262,0,COUNTA(Y1262:AV1262)-1)=0),"면제",
"확인요청"))))))</f>
        <v>면제</v>
      </c>
      <c r="Y1262" s="94" t="s">
        <v>7</v>
      </c>
      <c r="Z1262" s="95" t="s">
        <v>7</v>
      </c>
      <c r="AA1262" s="95" t="s">
        <v>7</v>
      </c>
      <c r="AB1262" s="95" t="s">
        <v>7</v>
      </c>
      <c r="AC1262" s="95" t="s">
        <v>7</v>
      </c>
      <c r="AD1262" s="95" t="s">
        <v>7</v>
      </c>
      <c r="AE1262" s="95" t="s">
        <v>7</v>
      </c>
      <c r="AF1262" s="95" t="s">
        <v>7</v>
      </c>
      <c r="AG1262" s="95" t="s">
        <v>7</v>
      </c>
      <c r="AH1262" s="95" t="s">
        <v>7</v>
      </c>
      <c r="AI1262" s="95" t="s">
        <v>7</v>
      </c>
      <c r="AJ1262" s="96" t="s">
        <v>7</v>
      </c>
      <c r="AK1262" s="97" t="s">
        <v>7</v>
      </c>
      <c r="AL1262" s="95" t="s">
        <v>7</v>
      </c>
      <c r="AM1262" s="90"/>
      <c r="AN1262" s="90"/>
      <c r="AO1262" s="90"/>
      <c r="AP1262" s="90"/>
      <c r="AQ1262" s="90"/>
      <c r="AR1262" s="90"/>
      <c r="AS1262" s="90"/>
      <c r="AT1262" s="90"/>
      <c r="AU1262" s="90"/>
      <c r="AV1262" s="91"/>
      <c r="AX1262" s="92"/>
    </row>
    <row r="1263" customFormat="false" ht="15.65" hidden="false" customHeight="false" outlineLevel="0" collapsed="false">
      <c r="C1263" s="72" t="n">
        <f aca="false">COUNTIFS($D$6:D1263,"&lt;&gt;"&amp;"")</f>
        <v>1258</v>
      </c>
      <c r="D1263" s="73" t="s">
        <v>12</v>
      </c>
      <c r="E1263" s="76" t="str">
        <f aca="false">
IF($D1263="정상",INDEX(임대자산!$D$3:$R$3000,MATCH($F1263,임대자산!$I$3:$I$3000,0),MATCH(E$3,임대자산!$D$3:$R$3,0)),
IF($D1263="폐업",INDEX(폐업정보!$D$3:$R$3000,MATCH($F1263,폐업정보!$I$3:$I$3000,0),MATCH(E$3,폐업정보!$D$3:$R$3,0)),
"Error"))</f>
        <v>서울</v>
      </c>
      <c r="F126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B1258</v>
      </c>
      <c r="G1263" s="76" t="str">
        <f aca="false">F1263&amp;RANDBETWEEN(0,10)</f>
        <v>B12582</v>
      </c>
      <c r="H1263" s="75" t="n">
        <f aca="false">
IF($D1263="정상",INDEX(임대자산!$D$3:$R$3000,MATCH($F1263,임대자산!$I$3:$I$3000,0),MATCH(H$4,임대자산!$D$3:$R$3,0)),
IF($D1263="폐업",INDEX(폐업정보!$D$3:$R$3000,MATCH($F1263,폐업정보!$I$3:$I$3000,0),MATCH(H$4,폐업정보!$D$3:$R$3,0)),
"Error"))</f>
        <v>45776</v>
      </c>
      <c r="I1263" s="75" t="str">
        <f aca="false">
IF($D1263="정상",INDEX(임대자산!$D$3:$R$3000,MATCH($F1263,임대자산!$I$3:$I$3000,0),MATCH(I$4,임대자산!$D$3:$R$3,0)),
IF($D1263="폐업",INDEX(폐업정보!$D$3:$R$3000,MATCH($F1263,폐업정보!$I$3:$I$3000,0),MATCH(I$4,폐업정보!$D$3:$R$3,0)),
"Error"))</f>
        <v>A1258</v>
      </c>
      <c r="J1263" s="75" t="str">
        <f aca="false">
IF($D1263="정상",INDEX(임대자산!$D$3:$R$3000,MATCH($F1263,임대자산!$I$3:$I$3000,0),MATCH(J$4,임대자산!$D$3:$R$3,0)),
IF($D1263="폐업",INDEX(폐업정보!$D$3:$R$3000,MATCH($F1263,폐업정보!$I$3:$I$3000,0),MATCH(J$4,폐업정보!$D$3:$R$3,0)),
"Error"))</f>
        <v>5033200000</v>
      </c>
      <c r="K1263" s="75" t="str">
        <f aca="false">
IF($D1263="정상",INDEX(임대자산!$D$3:$R$3000,MATCH($F1263,임대자산!$I$3:$I$3000,0),MATCH(K$4,임대자산!$D$3:$R$3,0)),
IF($D1263="폐업",INDEX(폐업정보!$D$3:$R$3000,MATCH($F1263,폐업정보!$I$3:$I$3000,0),MATCH(K$4,폐업정보!$D$3:$R$3,0)),
"Error"))</f>
        <v>C1258</v>
      </c>
      <c r="L1263" s="75" t="str">
        <f aca="false">
IF($D1263="정상",INDEX(임대자산!$D$3:$R$3000,MATCH($F1263,임대자산!$I$3:$I$3000,0),MATCH(L$4,임대자산!$D$3:$R$3,0)),
IF($D1263="폐업",INDEX(폐업정보!$D$3:$R$3000,MATCH($F1263,폐업정보!$I$3:$I$3000,0),MATCH(L$4,폐업정보!$D$3:$R$3,0)),
"Error"))</f>
        <v>D1258</v>
      </c>
      <c r="M1263" s="76" t="s">
        <v>96</v>
      </c>
      <c r="N1263" s="77"/>
      <c r="O1263" s="78" t="s">
        <v>97</v>
      </c>
      <c r="P1263" s="79" t="n">
        <f aca="false">COUNTIFS(임대자산!$I:$I,가맹점정보!F1263,임대자산!$N:$N,가맹점정보!P$4)</f>
        <v>0</v>
      </c>
      <c r="Q1263" s="80" t="n">
        <f aca="false">COUNTIFS(임대자산!$I:$I,가맹점정보!F1263,임대자산!$N:$N,가맹점정보!Q$4)</f>
        <v>0</v>
      </c>
      <c r="R1263" s="81" t="n">
        <f aca="false">COUNTIFS(임대자산!$I:$I,가맹점정보!F1263,임대자산!$N:$N,가맹점정보!R$4)</f>
        <v>1</v>
      </c>
      <c r="S1263" s="82" t="n">
        <v>55000</v>
      </c>
      <c r="T1263" s="83" t="n">
        <v>0</v>
      </c>
      <c r="U1263" s="80" t="n">
        <f aca="false">SUM(S1263:T1263)</f>
        <v>55000</v>
      </c>
      <c r="V1263" s="84" t="s">
        <v>12</v>
      </c>
      <c r="W1263" s="80" t="e">
        <f aca="true">
IF(D1263="폐업","폐업",
IF(V1263="면제","면제",
IF(AND(V1263="정상",COUNTIFS(OFFSET(Y1263,0,COUNTA(Y1263:AV1263)-1,1,-4),"미납")&gt;=3),"장기미납",
IF(AND(V1263="정상",OFFSET(Y1263,0,COUNTA(Y1263:AV1263)-1)&gt;=U1263),"정상",
IF(AND(V1263="정상",OFFSET(Y1263,0,COUNTA(Y1263:AV1263)-1)=0),"정상",
"계약서 미작성")))))</f>
        <v>#VALUE!</v>
      </c>
      <c r="X1263" s="81" t="str">
        <f aca="true">
IF(D1263="폐업","폐업",
IF(AND(V1263="정상",OFFSET(Y1263,0,COUNTA(Y1263:AV1263)-1)="미납"),"미납",
IF(AND(V1263="정상",OFFSET(Y1263,0,COUNTA(Y1263:AV1263)-1)=0),"납부 시작 전",
IF(AND(V1263="정상",OFFSET(Y1263,0,COUNTA(Y1263:AV1263)-1)&gt;=U1263),"정상",
IF(AND(V1263="면제",OFFSET(Y1263,0,COUNTA(Y1263:AV1263)-1)="면제"),"면제",
IF(AND(V1263="면제",OFFSET(Y1263,0,COUNTA(Y1263:AV1263)-1)=0),"면제",
"확인요청"))))))</f>
        <v>정상</v>
      </c>
      <c r="Y1263" s="93" t="n">
        <v>55000</v>
      </c>
      <c r="Z1263" s="90" t="n">
        <v>55000</v>
      </c>
      <c r="AA1263" s="90" t="n">
        <v>55000</v>
      </c>
      <c r="AB1263" s="90" t="n">
        <v>55000</v>
      </c>
      <c r="AC1263" s="90" t="n">
        <v>55000</v>
      </c>
      <c r="AD1263" s="90" t="n">
        <v>55000</v>
      </c>
      <c r="AE1263" s="90" t="n">
        <v>55000</v>
      </c>
      <c r="AF1263" s="90" t="n">
        <v>55000</v>
      </c>
      <c r="AG1263" s="90" t="n">
        <v>55000</v>
      </c>
      <c r="AH1263" s="90" t="n">
        <v>55000</v>
      </c>
      <c r="AI1263" s="90" t="n">
        <v>55000</v>
      </c>
      <c r="AJ1263" s="91" t="n">
        <v>55000</v>
      </c>
      <c r="AK1263" s="89" t="n">
        <v>55000</v>
      </c>
      <c r="AL1263" s="90" t="n">
        <v>55000</v>
      </c>
      <c r="AM1263" s="90"/>
      <c r="AN1263" s="90"/>
      <c r="AO1263" s="90"/>
      <c r="AP1263" s="90"/>
      <c r="AQ1263" s="90"/>
      <c r="AR1263" s="90"/>
      <c r="AS1263" s="90"/>
      <c r="AT1263" s="90"/>
      <c r="AU1263" s="90"/>
      <c r="AV1263" s="91"/>
      <c r="AX1263" s="92"/>
    </row>
    <row r="1264" customFormat="false" ht="15.65" hidden="false" customHeight="false" outlineLevel="0" collapsed="false">
      <c r="C1264" s="72" t="n">
        <f aca="false">COUNTIFS($D$6:D1264,"&lt;&gt;"&amp;"")</f>
        <v>1259</v>
      </c>
      <c r="D1264" s="73" t="s">
        <v>12</v>
      </c>
      <c r="E1264" s="76" t="str">
        <f aca="false">
IF($D1264="정상",INDEX(임대자산!$D$3:$R$3000,MATCH($F1264,임대자산!$I$3:$I$3000,0),MATCH(E$3,임대자산!$D$3:$R$3,0)),
IF($D1264="폐업",INDEX(폐업정보!$D$3:$R$3000,MATCH($F1264,폐업정보!$I$3:$I$3000,0),MATCH(E$3,폐업정보!$D$3:$R$3,0)),
"Error"))</f>
        <v>서울</v>
      </c>
      <c r="F126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B1259</v>
      </c>
      <c r="G1264" s="76" t="str">
        <f aca="false">F1264&amp;RANDBETWEEN(0,10)</f>
        <v>B125910</v>
      </c>
      <c r="H1264" s="75" t="n">
        <f aca="false">
IF($D1264="정상",INDEX(임대자산!$D$3:$R$3000,MATCH($F1264,임대자산!$I$3:$I$3000,0),MATCH(H$4,임대자산!$D$3:$R$3,0)),
IF($D1264="폐업",INDEX(폐업정보!$D$3:$R$3000,MATCH($F1264,폐업정보!$I$3:$I$3000,0),MATCH(H$4,폐업정보!$D$3:$R$3,0)),
"Error"))</f>
        <v>45491</v>
      </c>
      <c r="I1264" s="75" t="str">
        <f aca="false">
IF($D1264="정상",INDEX(임대자산!$D$3:$R$3000,MATCH($F1264,임대자산!$I$3:$I$3000,0),MATCH(I$4,임대자산!$D$3:$R$3,0)),
IF($D1264="폐업",INDEX(폐업정보!$D$3:$R$3000,MATCH($F1264,폐업정보!$I$3:$I$3000,0),MATCH(I$4,폐업정보!$D$3:$R$3,0)),
"Error"))</f>
        <v>A1259</v>
      </c>
      <c r="J1264" s="75" t="str">
        <f aca="false">
IF($D1264="정상",INDEX(임대자산!$D$3:$R$3000,MATCH($F1264,임대자산!$I$3:$I$3000,0),MATCH(J$4,임대자산!$D$3:$R$3,0)),
IF($D1264="폐업",INDEX(폐업정보!$D$3:$R$3000,MATCH($F1264,폐업정보!$I$3:$I$3000,0),MATCH(J$4,폐업정보!$D$3:$R$3,0)),
"Error"))</f>
        <v>9937900000</v>
      </c>
      <c r="K1264" s="75" t="str">
        <f aca="false">
IF($D1264="정상",INDEX(임대자산!$D$3:$R$3000,MATCH($F1264,임대자산!$I$3:$I$3000,0),MATCH(K$4,임대자산!$D$3:$R$3,0)),
IF($D1264="폐업",INDEX(폐업정보!$D$3:$R$3000,MATCH($F1264,폐업정보!$I$3:$I$3000,0),MATCH(K$4,폐업정보!$D$3:$R$3,0)),
"Error"))</f>
        <v>C1259</v>
      </c>
      <c r="L1264" s="75" t="str">
        <f aca="false">
IF($D1264="정상",INDEX(임대자산!$D$3:$R$3000,MATCH($F1264,임대자산!$I$3:$I$3000,0),MATCH(L$4,임대자산!$D$3:$R$3,0)),
IF($D1264="폐업",INDEX(폐업정보!$D$3:$R$3000,MATCH($F1264,폐업정보!$I$3:$I$3000,0),MATCH(L$4,폐업정보!$D$3:$R$3,0)),
"Error"))</f>
        <v>D1259</v>
      </c>
      <c r="M1264" s="76" t="s">
        <v>96</v>
      </c>
      <c r="N1264" s="77"/>
      <c r="O1264" s="78" t="s">
        <v>97</v>
      </c>
      <c r="P1264" s="79" t="n">
        <f aca="false">COUNTIFS(임대자산!$I:$I,가맹점정보!F1264,임대자산!$N:$N,가맹점정보!P$4)</f>
        <v>0</v>
      </c>
      <c r="Q1264" s="80" t="n">
        <f aca="false">COUNTIFS(임대자산!$I:$I,가맹점정보!F1264,임대자산!$N:$N,가맹점정보!Q$4)</f>
        <v>0</v>
      </c>
      <c r="R1264" s="81" t="n">
        <f aca="false">COUNTIFS(임대자산!$I:$I,가맹점정보!F1264,임대자산!$N:$N,가맹점정보!R$4)</f>
        <v>1</v>
      </c>
      <c r="S1264" s="82" t="n">
        <v>55000</v>
      </c>
      <c r="T1264" s="83" t="n">
        <v>0</v>
      </c>
      <c r="U1264" s="80" t="n">
        <f aca="false">SUM(S1264:T1264)</f>
        <v>55000</v>
      </c>
      <c r="V1264" s="84" t="s">
        <v>7</v>
      </c>
      <c r="W1264" s="80" t="str">
        <f aca="true">
IF(D1264="폐업","폐업",
IF(V1264="면제","면제",
IF(AND(V1264="정상",COUNTIFS(OFFSET(Y1264,0,COUNTA(Y1264:AV1264)-1,1,-4),"미납")&gt;=3),"장기미납",
IF(AND(V1264="정상",OFFSET(Y1264,0,COUNTA(Y1264:AV1264)-1)&gt;=U1264),"정상",
IF(AND(V1264="정상",OFFSET(Y1264,0,COUNTA(Y1264:AV1264)-1)=0),"정상",
"계약서 미작성")))))</f>
        <v>면제</v>
      </c>
      <c r="X1264" s="81" t="str">
        <f aca="true">
IF(D1264="폐업","폐업",
IF(AND(V1264="정상",OFFSET(Y1264,0,COUNTA(Y1264:AV1264)-1)="미납"),"미납",
IF(AND(V1264="정상",OFFSET(Y1264,0,COUNTA(Y1264:AV1264)-1)=0),"납부 시작 전",
IF(AND(V1264="정상",OFFSET(Y1264,0,COUNTA(Y1264:AV1264)-1)&gt;=U1264),"정상",
IF(AND(V1264="면제",OFFSET(Y1264,0,COUNTA(Y1264:AV1264)-1)="면제"),"면제",
IF(AND(V1264="면제",OFFSET(Y1264,0,COUNTA(Y1264:AV1264)-1)=0),"면제",
"확인요청"))))))</f>
        <v>면제</v>
      </c>
      <c r="Y1264" s="94" t="s">
        <v>7</v>
      </c>
      <c r="Z1264" s="95" t="s">
        <v>7</v>
      </c>
      <c r="AA1264" s="95" t="s">
        <v>7</v>
      </c>
      <c r="AB1264" s="95" t="s">
        <v>7</v>
      </c>
      <c r="AC1264" s="95" t="s">
        <v>7</v>
      </c>
      <c r="AD1264" s="95" t="s">
        <v>7</v>
      </c>
      <c r="AE1264" s="95" t="s">
        <v>7</v>
      </c>
      <c r="AF1264" s="95" t="s">
        <v>7</v>
      </c>
      <c r="AG1264" s="95" t="s">
        <v>7</v>
      </c>
      <c r="AH1264" s="95" t="s">
        <v>7</v>
      </c>
      <c r="AI1264" s="95" t="s">
        <v>7</v>
      </c>
      <c r="AJ1264" s="96" t="s">
        <v>7</v>
      </c>
      <c r="AK1264" s="97" t="s">
        <v>7</v>
      </c>
      <c r="AL1264" s="95" t="s">
        <v>7</v>
      </c>
      <c r="AM1264" s="90"/>
      <c r="AN1264" s="90"/>
      <c r="AO1264" s="90"/>
      <c r="AP1264" s="90"/>
      <c r="AQ1264" s="90"/>
      <c r="AR1264" s="90"/>
      <c r="AS1264" s="90"/>
      <c r="AT1264" s="90"/>
      <c r="AU1264" s="90"/>
      <c r="AV1264" s="91"/>
      <c r="AX1264" s="92"/>
    </row>
    <row r="1265" customFormat="false" ht="15.65" hidden="false" customHeight="false" outlineLevel="0" collapsed="false">
      <c r="C1265" s="72" t="n">
        <f aca="false">COUNTIFS($D$6:D1265,"&lt;&gt;"&amp;"")</f>
        <v>1260</v>
      </c>
      <c r="D1265" s="73" t="s">
        <v>12</v>
      </c>
      <c r="E1265" s="76" t="str">
        <f aca="false">
IF($D1265="정상",INDEX(임대자산!$D$3:$R$3000,MATCH($F1265,임대자산!$I$3:$I$3000,0),MATCH(E$3,임대자산!$D$3:$R$3,0)),
IF($D1265="폐업",INDEX(폐업정보!$D$3:$R$3000,MATCH($F1265,폐업정보!$I$3:$I$3000,0),MATCH(E$3,폐업정보!$D$3:$R$3,0)),
"Error"))</f>
        <v>서울</v>
      </c>
      <c r="F126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B1260</v>
      </c>
      <c r="G1265" s="76" t="str">
        <f aca="false">F1265&amp;RANDBETWEEN(0,10)</f>
        <v>B12602</v>
      </c>
      <c r="H1265" s="75" t="n">
        <f aca="false">
IF($D1265="정상",INDEX(임대자산!$D$3:$R$3000,MATCH($F1265,임대자산!$I$3:$I$3000,0),MATCH(H$4,임대자산!$D$3:$R$3,0)),
IF($D1265="폐업",INDEX(폐업정보!$D$3:$R$3000,MATCH($F1265,폐업정보!$I$3:$I$3000,0),MATCH(H$4,폐업정보!$D$3:$R$3,0)),
"Error"))</f>
        <v>45547</v>
      </c>
      <c r="I1265" s="75" t="str">
        <f aca="false">
IF($D1265="정상",INDEX(임대자산!$D$3:$R$3000,MATCH($F1265,임대자산!$I$3:$I$3000,0),MATCH(I$4,임대자산!$D$3:$R$3,0)),
IF($D1265="폐업",INDEX(폐업정보!$D$3:$R$3000,MATCH($F1265,폐업정보!$I$3:$I$3000,0),MATCH(I$4,폐업정보!$D$3:$R$3,0)),
"Error"))</f>
        <v>A1260</v>
      </c>
      <c r="J1265" s="75" t="str">
        <f aca="false">
IF($D1265="정상",INDEX(임대자산!$D$3:$R$3000,MATCH($F1265,임대자산!$I$3:$I$3000,0),MATCH(J$4,임대자산!$D$3:$R$3,0)),
IF($D1265="폐업",INDEX(폐업정보!$D$3:$R$3000,MATCH($F1265,폐업정보!$I$3:$I$3000,0),MATCH(J$4,폐업정보!$D$3:$R$3,0)),
"Error"))</f>
        <v>7675800000</v>
      </c>
      <c r="K1265" s="75" t="str">
        <f aca="false">
IF($D1265="정상",INDEX(임대자산!$D$3:$R$3000,MATCH($F1265,임대자산!$I$3:$I$3000,0),MATCH(K$4,임대자산!$D$3:$R$3,0)),
IF($D1265="폐업",INDEX(폐업정보!$D$3:$R$3000,MATCH($F1265,폐업정보!$I$3:$I$3000,0),MATCH(K$4,폐업정보!$D$3:$R$3,0)),
"Error"))</f>
        <v>C1260</v>
      </c>
      <c r="L1265" s="75" t="str">
        <f aca="false">
IF($D1265="정상",INDEX(임대자산!$D$3:$R$3000,MATCH($F1265,임대자산!$I$3:$I$3000,0),MATCH(L$4,임대자산!$D$3:$R$3,0)),
IF($D1265="폐업",INDEX(폐업정보!$D$3:$R$3000,MATCH($F1265,폐업정보!$I$3:$I$3000,0),MATCH(L$4,폐업정보!$D$3:$R$3,0)),
"Error"))</f>
        <v>D1260</v>
      </c>
      <c r="M1265" s="76" t="s">
        <v>96</v>
      </c>
      <c r="N1265" s="77"/>
      <c r="O1265" s="78" t="s">
        <v>97</v>
      </c>
      <c r="P1265" s="79" t="n">
        <f aca="false">COUNTIFS(임대자산!$I:$I,가맹점정보!F1265,임대자산!$N:$N,가맹점정보!P$4)</f>
        <v>0</v>
      </c>
      <c r="Q1265" s="80" t="n">
        <f aca="false">COUNTIFS(임대자산!$I:$I,가맹점정보!F1265,임대자산!$N:$N,가맹점정보!Q$4)</f>
        <v>0</v>
      </c>
      <c r="R1265" s="81" t="n">
        <f aca="false">COUNTIFS(임대자산!$I:$I,가맹점정보!F1265,임대자산!$N:$N,가맹점정보!R$4)</f>
        <v>1</v>
      </c>
      <c r="S1265" s="82" t="n">
        <v>55000</v>
      </c>
      <c r="T1265" s="83" t="n">
        <v>0</v>
      </c>
      <c r="U1265" s="80" t="n">
        <f aca="false">SUM(S1265:T1265)</f>
        <v>55000</v>
      </c>
      <c r="V1265" s="84" t="s">
        <v>7</v>
      </c>
      <c r="W1265" s="80" t="str">
        <f aca="true">
IF(D1265="폐업","폐업",
IF(V1265="면제","면제",
IF(AND(V1265="정상",COUNTIFS(OFFSET(Y1265,0,COUNTA(Y1265:AV1265)-1,1,-4),"미납")&gt;=3),"장기미납",
IF(AND(V1265="정상",OFFSET(Y1265,0,COUNTA(Y1265:AV1265)-1)&gt;=U1265),"정상",
IF(AND(V1265="정상",OFFSET(Y1265,0,COUNTA(Y1265:AV1265)-1)=0),"정상",
"계약서 미작성")))))</f>
        <v>면제</v>
      </c>
      <c r="X1265" s="81" t="str">
        <f aca="true">
IF(D1265="폐업","폐업",
IF(AND(V1265="정상",OFFSET(Y1265,0,COUNTA(Y1265:AV1265)-1)="미납"),"미납",
IF(AND(V1265="정상",OFFSET(Y1265,0,COUNTA(Y1265:AV1265)-1)=0),"납부 시작 전",
IF(AND(V1265="정상",OFFSET(Y1265,0,COUNTA(Y1265:AV1265)-1)&gt;=U1265),"정상",
IF(AND(V1265="면제",OFFSET(Y1265,0,COUNTA(Y1265:AV1265)-1)="면제"),"면제",
IF(AND(V1265="면제",OFFSET(Y1265,0,COUNTA(Y1265:AV1265)-1)=0),"면제",
"확인요청"))))))</f>
        <v>면제</v>
      </c>
      <c r="Y1265" s="94" t="s">
        <v>7</v>
      </c>
      <c r="Z1265" s="95" t="s">
        <v>7</v>
      </c>
      <c r="AA1265" s="95" t="s">
        <v>7</v>
      </c>
      <c r="AB1265" s="95" t="s">
        <v>7</v>
      </c>
      <c r="AC1265" s="95" t="s">
        <v>7</v>
      </c>
      <c r="AD1265" s="95" t="s">
        <v>7</v>
      </c>
      <c r="AE1265" s="95" t="s">
        <v>7</v>
      </c>
      <c r="AF1265" s="95" t="s">
        <v>7</v>
      </c>
      <c r="AG1265" s="95" t="s">
        <v>7</v>
      </c>
      <c r="AH1265" s="95" t="s">
        <v>7</v>
      </c>
      <c r="AI1265" s="95" t="s">
        <v>7</v>
      </c>
      <c r="AJ1265" s="96" t="s">
        <v>7</v>
      </c>
      <c r="AK1265" s="97" t="s">
        <v>7</v>
      </c>
      <c r="AL1265" s="95" t="s">
        <v>7</v>
      </c>
      <c r="AM1265" s="90"/>
      <c r="AN1265" s="90"/>
      <c r="AO1265" s="90"/>
      <c r="AP1265" s="90"/>
      <c r="AQ1265" s="90"/>
      <c r="AR1265" s="90"/>
      <c r="AS1265" s="90"/>
      <c r="AT1265" s="90"/>
      <c r="AU1265" s="90"/>
      <c r="AV1265" s="91"/>
      <c r="AX1265" s="92"/>
    </row>
    <row r="1266" customFormat="false" ht="15.65" hidden="false" customHeight="false" outlineLevel="0" collapsed="false">
      <c r="C1266" s="72" t="n">
        <f aca="false">COUNTIFS($D$6:D1266,"&lt;&gt;"&amp;"")</f>
        <v>1261</v>
      </c>
      <c r="D1266" s="73" t="s">
        <v>12</v>
      </c>
      <c r="E1266" s="76" t="str">
        <f aca="false">
IF($D1266="정상",INDEX(임대자산!$D$3:$R$3000,MATCH($F1266,임대자산!$I$3:$I$3000,0),MATCH(E$3,임대자산!$D$3:$R$3,0)),
IF($D1266="폐업",INDEX(폐업정보!$D$3:$R$3000,MATCH($F1266,폐업정보!$I$3:$I$3000,0),MATCH(E$3,폐업정보!$D$3:$R$3,0)),
"Error"))</f>
        <v>서울</v>
      </c>
      <c r="F126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B1261</v>
      </c>
      <c r="G1266" s="76" t="str">
        <f aca="false">F1266&amp;RANDBETWEEN(0,10)</f>
        <v>B12617</v>
      </c>
      <c r="H1266" s="75" t="n">
        <f aca="false">
IF($D1266="정상",INDEX(임대자산!$D$3:$R$3000,MATCH($F1266,임대자산!$I$3:$I$3000,0),MATCH(H$4,임대자산!$D$3:$R$3,0)),
IF($D1266="폐업",INDEX(폐업정보!$D$3:$R$3000,MATCH($F1266,폐업정보!$I$3:$I$3000,0),MATCH(H$4,폐업정보!$D$3:$R$3,0)),
"Error"))</f>
        <v>45547</v>
      </c>
      <c r="I1266" s="75" t="str">
        <f aca="false">
IF($D1266="정상",INDEX(임대자산!$D$3:$R$3000,MATCH($F1266,임대자산!$I$3:$I$3000,0),MATCH(I$4,임대자산!$D$3:$R$3,0)),
IF($D1266="폐업",INDEX(폐업정보!$D$3:$R$3000,MATCH($F1266,폐업정보!$I$3:$I$3000,0),MATCH(I$4,폐업정보!$D$3:$R$3,0)),
"Error"))</f>
        <v>A1261</v>
      </c>
      <c r="J1266" s="75" t="str">
        <f aca="false">
IF($D1266="정상",INDEX(임대자산!$D$3:$R$3000,MATCH($F1266,임대자산!$I$3:$I$3000,0),MATCH(J$4,임대자산!$D$3:$R$3,0)),
IF($D1266="폐업",INDEX(폐업정보!$D$3:$R$3000,MATCH($F1266,폐업정보!$I$3:$I$3000,0),MATCH(J$4,폐업정보!$D$3:$R$3,0)),
"Error"))</f>
        <v>8134500000</v>
      </c>
      <c r="K1266" s="75" t="str">
        <f aca="false">
IF($D1266="정상",INDEX(임대자산!$D$3:$R$3000,MATCH($F1266,임대자산!$I$3:$I$3000,0),MATCH(K$4,임대자산!$D$3:$R$3,0)),
IF($D1266="폐업",INDEX(폐업정보!$D$3:$R$3000,MATCH($F1266,폐업정보!$I$3:$I$3000,0),MATCH(K$4,폐업정보!$D$3:$R$3,0)),
"Error"))</f>
        <v>C1261</v>
      </c>
      <c r="L1266" s="75" t="str">
        <f aca="false">
IF($D1266="정상",INDEX(임대자산!$D$3:$R$3000,MATCH($F1266,임대자산!$I$3:$I$3000,0),MATCH(L$4,임대자산!$D$3:$R$3,0)),
IF($D1266="폐업",INDEX(폐업정보!$D$3:$R$3000,MATCH($F1266,폐업정보!$I$3:$I$3000,0),MATCH(L$4,폐업정보!$D$3:$R$3,0)),
"Error"))</f>
        <v>D1261</v>
      </c>
      <c r="M1266" s="76" t="s">
        <v>96</v>
      </c>
      <c r="N1266" s="77"/>
      <c r="O1266" s="78" t="s">
        <v>97</v>
      </c>
      <c r="P1266" s="79" t="n">
        <f aca="false">COUNTIFS(임대자산!$I:$I,가맹점정보!F1266,임대자산!$N:$N,가맹점정보!P$4)</f>
        <v>0</v>
      </c>
      <c r="Q1266" s="80" t="n">
        <f aca="false">COUNTIFS(임대자산!$I:$I,가맹점정보!F1266,임대자산!$N:$N,가맹점정보!Q$4)</f>
        <v>0</v>
      </c>
      <c r="R1266" s="81" t="n">
        <f aca="false">COUNTIFS(임대자산!$I:$I,가맹점정보!F1266,임대자산!$N:$N,가맹점정보!R$4)</f>
        <v>1</v>
      </c>
      <c r="S1266" s="82" t="n">
        <v>55000</v>
      </c>
      <c r="T1266" s="83" t="n">
        <v>0</v>
      </c>
      <c r="U1266" s="80" t="n">
        <f aca="false">SUM(S1266:T1266)</f>
        <v>55000</v>
      </c>
      <c r="V1266" s="84" t="s">
        <v>12</v>
      </c>
      <c r="W1266" s="80" t="e">
        <f aca="true">
IF(D1266="폐업","폐업",
IF(V1266="면제","면제",
IF(AND(V1266="정상",COUNTIFS(OFFSET(Y1266,0,COUNTA(Y1266:AV1266)-1,1,-4),"미납")&gt;=3),"장기미납",
IF(AND(V1266="정상",OFFSET(Y1266,0,COUNTA(Y1266:AV1266)-1)&gt;=U1266),"정상",
IF(AND(V1266="정상",OFFSET(Y1266,0,COUNTA(Y1266:AV1266)-1)=0),"정상",
"계약서 미작성")))))</f>
        <v>#VALUE!</v>
      </c>
      <c r="X1266" s="81" t="str">
        <f aca="true">
IF(D1266="폐업","폐업",
IF(AND(V1266="정상",OFFSET(Y1266,0,COUNTA(Y1266:AV1266)-1)="미납"),"미납",
IF(AND(V1266="정상",OFFSET(Y1266,0,COUNTA(Y1266:AV1266)-1)=0),"납부 시작 전",
IF(AND(V1266="정상",OFFSET(Y1266,0,COUNTA(Y1266:AV1266)-1)&gt;=U1266),"정상",
IF(AND(V1266="면제",OFFSET(Y1266,0,COUNTA(Y1266:AV1266)-1)="면제"),"면제",
IF(AND(V1266="면제",OFFSET(Y1266,0,COUNTA(Y1266:AV1266)-1)=0),"면제",
"확인요청"))))))</f>
        <v>정상</v>
      </c>
      <c r="Y1266" s="93" t="n">
        <v>55000</v>
      </c>
      <c r="Z1266" s="90" t="n">
        <v>55000</v>
      </c>
      <c r="AA1266" s="90" t="n">
        <v>55000</v>
      </c>
      <c r="AB1266" s="90" t="n">
        <v>55000</v>
      </c>
      <c r="AC1266" s="90" t="n">
        <v>55000</v>
      </c>
      <c r="AD1266" s="90" t="n">
        <v>55000</v>
      </c>
      <c r="AE1266" s="90" t="n">
        <v>55000</v>
      </c>
      <c r="AF1266" s="90" t="n">
        <v>55000</v>
      </c>
      <c r="AG1266" s="90" t="n">
        <v>55000</v>
      </c>
      <c r="AH1266" s="90" t="n">
        <v>55000</v>
      </c>
      <c r="AI1266" s="90" t="n">
        <v>55000</v>
      </c>
      <c r="AJ1266" s="91" t="n">
        <v>55000</v>
      </c>
      <c r="AK1266" s="89" t="n">
        <v>55000</v>
      </c>
      <c r="AL1266" s="90" t="n">
        <v>55000</v>
      </c>
      <c r="AM1266" s="90"/>
      <c r="AN1266" s="90"/>
      <c r="AO1266" s="90"/>
      <c r="AP1266" s="90"/>
      <c r="AQ1266" s="90"/>
      <c r="AR1266" s="90"/>
      <c r="AS1266" s="90"/>
      <c r="AT1266" s="90"/>
      <c r="AU1266" s="90"/>
      <c r="AV1266" s="91"/>
      <c r="AX1266" s="92"/>
    </row>
    <row r="1267" customFormat="false" ht="15.65" hidden="false" customHeight="false" outlineLevel="0" collapsed="false">
      <c r="C1267" s="72" t="n">
        <f aca="false">COUNTIFS($D$6:D1267,"&lt;&gt;"&amp;"")</f>
        <v>1262</v>
      </c>
      <c r="D1267" s="73" t="s">
        <v>12</v>
      </c>
      <c r="E1267" s="76" t="str">
        <f aca="false">
IF($D1267="정상",INDEX(임대자산!$D$3:$R$3000,MATCH($F1267,임대자산!$I$3:$I$3000,0),MATCH(E$3,임대자산!$D$3:$R$3,0)),
IF($D1267="폐업",INDEX(폐업정보!$D$3:$R$3000,MATCH($F1267,폐업정보!$I$3:$I$3000,0),MATCH(E$3,폐업정보!$D$3:$R$3,0)),
"Error"))</f>
        <v>서울</v>
      </c>
      <c r="F126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B1262</v>
      </c>
      <c r="G1267" s="76" t="str">
        <f aca="false">F1267&amp;RANDBETWEEN(0,10)</f>
        <v>B12629</v>
      </c>
      <c r="H1267" s="75" t="n">
        <f aca="false">
IF($D1267="정상",INDEX(임대자산!$D$3:$R$3000,MATCH($F1267,임대자산!$I$3:$I$3000,0),MATCH(H$4,임대자산!$D$3:$R$3,0)),
IF($D1267="폐업",INDEX(폐업정보!$D$3:$R$3000,MATCH($F1267,폐업정보!$I$3:$I$3000,0),MATCH(H$4,폐업정보!$D$3:$R$3,0)),
"Error"))</f>
        <v>45919</v>
      </c>
      <c r="I1267" s="75" t="str">
        <f aca="false">
IF($D1267="정상",INDEX(임대자산!$D$3:$R$3000,MATCH($F1267,임대자산!$I$3:$I$3000,0),MATCH(I$4,임대자산!$D$3:$R$3,0)),
IF($D1267="폐업",INDEX(폐업정보!$D$3:$R$3000,MATCH($F1267,폐업정보!$I$3:$I$3000,0),MATCH(I$4,폐업정보!$D$3:$R$3,0)),
"Error"))</f>
        <v>A1262</v>
      </c>
      <c r="J1267" s="75" t="str">
        <f aca="false">
IF($D1267="정상",INDEX(임대자산!$D$3:$R$3000,MATCH($F1267,임대자산!$I$3:$I$3000,0),MATCH(J$4,임대자산!$D$3:$R$3,0)),
IF($D1267="폐업",INDEX(폐업정보!$D$3:$R$3000,MATCH($F1267,폐업정보!$I$3:$I$3000,0),MATCH(J$4,폐업정보!$D$3:$R$3,0)),
"Error"))</f>
        <v>6097600000</v>
      </c>
      <c r="K1267" s="75" t="str">
        <f aca="false">
IF($D1267="정상",INDEX(임대자산!$D$3:$R$3000,MATCH($F1267,임대자산!$I$3:$I$3000,0),MATCH(K$4,임대자산!$D$3:$R$3,0)),
IF($D1267="폐업",INDEX(폐업정보!$D$3:$R$3000,MATCH($F1267,폐업정보!$I$3:$I$3000,0),MATCH(K$4,폐업정보!$D$3:$R$3,0)),
"Error"))</f>
        <v>C1262</v>
      </c>
      <c r="L1267" s="75" t="str">
        <f aca="false">
IF($D1267="정상",INDEX(임대자산!$D$3:$R$3000,MATCH($F1267,임대자산!$I$3:$I$3000,0),MATCH(L$4,임대자산!$D$3:$R$3,0)),
IF($D1267="폐업",INDEX(폐업정보!$D$3:$R$3000,MATCH($F1267,폐업정보!$I$3:$I$3000,0),MATCH(L$4,폐업정보!$D$3:$R$3,0)),
"Error"))</f>
        <v>D1262</v>
      </c>
      <c r="M1267" s="76" t="s">
        <v>96</v>
      </c>
      <c r="N1267" s="77"/>
      <c r="O1267" s="78" t="s">
        <v>97</v>
      </c>
      <c r="P1267" s="79" t="n">
        <f aca="false">COUNTIFS(임대자산!$I:$I,가맹점정보!F1267,임대자산!$N:$N,가맹점정보!P$4)</f>
        <v>0</v>
      </c>
      <c r="Q1267" s="80" t="n">
        <f aca="false">COUNTIFS(임대자산!$I:$I,가맹점정보!F1267,임대자산!$N:$N,가맹점정보!Q$4)</f>
        <v>0</v>
      </c>
      <c r="R1267" s="81" t="n">
        <f aca="false">COUNTIFS(임대자산!$I:$I,가맹점정보!F1267,임대자산!$N:$N,가맹점정보!R$4)</f>
        <v>1</v>
      </c>
      <c r="S1267" s="82" t="n">
        <v>55000</v>
      </c>
      <c r="T1267" s="83" t="n">
        <v>0</v>
      </c>
      <c r="U1267" s="80" t="n">
        <f aca="false">SUM(S1267:T1267)</f>
        <v>55000</v>
      </c>
      <c r="V1267" s="84" t="s">
        <v>7</v>
      </c>
      <c r="W1267" s="80" t="str">
        <f aca="true">
IF(D1267="폐업","폐업",
IF(V1267="면제","면제",
IF(AND(V1267="정상",COUNTIFS(OFFSET(Y1267,0,COUNTA(Y1267:AV1267)-1,1,-4),"미납")&gt;=3),"장기미납",
IF(AND(V1267="정상",OFFSET(Y1267,0,COUNTA(Y1267:AV1267)-1)&gt;=U1267),"정상",
IF(AND(V1267="정상",OFFSET(Y1267,0,COUNTA(Y1267:AV1267)-1)=0),"정상",
"계약서 미작성")))))</f>
        <v>면제</v>
      </c>
      <c r="X1267" s="81" t="str">
        <f aca="true">
IF(D1267="폐업","폐업",
IF(AND(V1267="정상",OFFSET(Y1267,0,COUNTA(Y1267:AV1267)-1)="미납"),"미납",
IF(AND(V1267="정상",OFFSET(Y1267,0,COUNTA(Y1267:AV1267)-1)=0),"납부 시작 전",
IF(AND(V1267="정상",OFFSET(Y1267,0,COUNTA(Y1267:AV1267)-1)&gt;=U1267),"정상",
IF(AND(V1267="면제",OFFSET(Y1267,0,COUNTA(Y1267:AV1267)-1)="면제"),"면제",
IF(AND(V1267="면제",OFFSET(Y1267,0,COUNTA(Y1267:AV1267)-1)=0),"면제",
"확인요청"))))))</f>
        <v>면제</v>
      </c>
      <c r="Y1267" s="94" t="s">
        <v>7</v>
      </c>
      <c r="Z1267" s="95" t="s">
        <v>7</v>
      </c>
      <c r="AA1267" s="95" t="s">
        <v>7</v>
      </c>
      <c r="AB1267" s="95" t="s">
        <v>7</v>
      </c>
      <c r="AC1267" s="95" t="s">
        <v>7</v>
      </c>
      <c r="AD1267" s="95" t="s">
        <v>7</v>
      </c>
      <c r="AE1267" s="95" t="s">
        <v>7</v>
      </c>
      <c r="AF1267" s="95" t="s">
        <v>7</v>
      </c>
      <c r="AG1267" s="95" t="s">
        <v>7</v>
      </c>
      <c r="AH1267" s="95" t="s">
        <v>7</v>
      </c>
      <c r="AI1267" s="95" t="s">
        <v>7</v>
      </c>
      <c r="AJ1267" s="96" t="s">
        <v>7</v>
      </c>
      <c r="AK1267" s="97" t="s">
        <v>7</v>
      </c>
      <c r="AL1267" s="95" t="s">
        <v>7</v>
      </c>
      <c r="AM1267" s="90"/>
      <c r="AN1267" s="90"/>
      <c r="AO1267" s="90"/>
      <c r="AP1267" s="90"/>
      <c r="AQ1267" s="90"/>
      <c r="AR1267" s="90"/>
      <c r="AS1267" s="90"/>
      <c r="AT1267" s="90"/>
      <c r="AU1267" s="90"/>
      <c r="AV1267" s="91"/>
      <c r="AX1267" s="92"/>
    </row>
    <row r="1268" customFormat="false" ht="15.65" hidden="false" customHeight="false" outlineLevel="0" collapsed="false">
      <c r="C1268" s="72" t="n">
        <f aca="false">COUNTIFS($D$6:D1268,"&lt;&gt;"&amp;"")</f>
        <v>1263</v>
      </c>
      <c r="D1268" s="73" t="s">
        <v>12</v>
      </c>
      <c r="E1268" s="76" t="str">
        <f aca="false">
IF($D1268="정상",INDEX(임대자산!$D$3:$R$3000,MATCH($F1268,임대자산!$I$3:$I$3000,0),MATCH(E$3,임대자산!$D$3:$R$3,0)),
IF($D1268="폐업",INDEX(폐업정보!$D$3:$R$3000,MATCH($F1268,폐업정보!$I$3:$I$3000,0),MATCH(E$3,폐업정보!$D$3:$R$3,0)),
"Error"))</f>
        <v>강원</v>
      </c>
      <c r="F126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B1263</v>
      </c>
      <c r="G1268" s="76" t="str">
        <f aca="false">F1268&amp;RANDBETWEEN(0,10)</f>
        <v>B12632</v>
      </c>
      <c r="H1268" s="75" t="n">
        <f aca="false">
IF($D1268="정상",INDEX(임대자산!$D$3:$R$3000,MATCH($F1268,임대자산!$I$3:$I$3000,0),MATCH(H$4,임대자산!$D$3:$R$3,0)),
IF($D1268="폐업",INDEX(폐업정보!$D$3:$R$3000,MATCH($F1268,폐업정보!$I$3:$I$3000,0),MATCH(H$4,폐업정보!$D$3:$R$3,0)),
"Error"))</f>
        <v>45666</v>
      </c>
      <c r="I1268" s="75" t="str">
        <f aca="false">
IF($D1268="정상",INDEX(임대자산!$D$3:$R$3000,MATCH($F1268,임대자산!$I$3:$I$3000,0),MATCH(I$4,임대자산!$D$3:$R$3,0)),
IF($D1268="폐업",INDEX(폐업정보!$D$3:$R$3000,MATCH($F1268,폐업정보!$I$3:$I$3000,0),MATCH(I$4,폐업정보!$D$3:$R$3,0)),
"Error"))</f>
        <v>A1263</v>
      </c>
      <c r="J1268" s="75" t="str">
        <f aca="false">
IF($D1268="정상",INDEX(임대자산!$D$3:$R$3000,MATCH($F1268,임대자산!$I$3:$I$3000,0),MATCH(J$4,임대자산!$D$3:$R$3,0)),
IF($D1268="폐업",INDEX(폐업정보!$D$3:$R$3000,MATCH($F1268,폐업정보!$I$3:$I$3000,0),MATCH(J$4,폐업정보!$D$3:$R$3,0)),
"Error"))</f>
        <v>3969500000</v>
      </c>
      <c r="K1268" s="75" t="str">
        <f aca="false">
IF($D1268="정상",INDEX(임대자산!$D$3:$R$3000,MATCH($F1268,임대자산!$I$3:$I$3000,0),MATCH(K$4,임대자산!$D$3:$R$3,0)),
IF($D1268="폐업",INDEX(폐업정보!$D$3:$R$3000,MATCH($F1268,폐업정보!$I$3:$I$3000,0),MATCH(K$4,폐업정보!$D$3:$R$3,0)),
"Error"))</f>
        <v>C1263</v>
      </c>
      <c r="L1268" s="75" t="str">
        <f aca="false">
IF($D1268="정상",INDEX(임대자산!$D$3:$R$3000,MATCH($F1268,임대자산!$I$3:$I$3000,0),MATCH(L$4,임대자산!$D$3:$R$3,0)),
IF($D1268="폐업",INDEX(폐업정보!$D$3:$R$3000,MATCH($F1268,폐업정보!$I$3:$I$3000,0),MATCH(L$4,폐업정보!$D$3:$R$3,0)),
"Error"))</f>
        <v>D1263</v>
      </c>
      <c r="M1268" s="76" t="s">
        <v>96</v>
      </c>
      <c r="N1268" s="77"/>
      <c r="O1268" s="78" t="s">
        <v>97</v>
      </c>
      <c r="P1268" s="79" t="n">
        <f aca="false">COUNTIFS(임대자산!$I:$I,가맹점정보!F1268,임대자산!$N:$N,가맹점정보!P$4)</f>
        <v>0</v>
      </c>
      <c r="Q1268" s="80" t="n">
        <f aca="false">COUNTIFS(임대자산!$I:$I,가맹점정보!F1268,임대자산!$N:$N,가맹점정보!Q$4)</f>
        <v>0</v>
      </c>
      <c r="R1268" s="81" t="n">
        <f aca="false">COUNTIFS(임대자산!$I:$I,가맹점정보!F1268,임대자산!$N:$N,가맹점정보!R$4)</f>
        <v>1</v>
      </c>
      <c r="S1268" s="82" t="n">
        <v>88000</v>
      </c>
      <c r="T1268" s="83" t="n">
        <v>0</v>
      </c>
      <c r="U1268" s="80" t="n">
        <f aca="false">SUM(S1268:T1268)</f>
        <v>88000</v>
      </c>
      <c r="V1268" s="84" t="s">
        <v>7</v>
      </c>
      <c r="W1268" s="80" t="str">
        <f aca="true">
IF(D1268="폐업","폐업",
IF(V1268="면제","면제",
IF(AND(V1268="정상",COUNTIFS(OFFSET(Y1268,0,COUNTA(Y1268:AV1268)-1,1,-4),"미납")&gt;=3),"장기미납",
IF(AND(V1268="정상",OFFSET(Y1268,0,COUNTA(Y1268:AV1268)-1)&gt;=U1268),"정상",
IF(AND(V1268="정상",OFFSET(Y1268,0,COUNTA(Y1268:AV1268)-1)=0),"정상",
"계약서 미작성")))))</f>
        <v>면제</v>
      </c>
      <c r="X1268" s="81" t="str">
        <f aca="true">
IF(D1268="폐업","폐업",
IF(AND(V1268="정상",OFFSET(Y1268,0,COUNTA(Y1268:AV1268)-1)="미납"),"미납",
IF(AND(V1268="정상",OFFSET(Y1268,0,COUNTA(Y1268:AV1268)-1)=0),"납부 시작 전",
IF(AND(V1268="정상",OFFSET(Y1268,0,COUNTA(Y1268:AV1268)-1)&gt;=U1268),"정상",
IF(AND(V1268="면제",OFFSET(Y1268,0,COUNTA(Y1268:AV1268)-1)="면제"),"면제",
IF(AND(V1268="면제",OFFSET(Y1268,0,COUNTA(Y1268:AV1268)-1)=0),"면제",
"확인요청"))))))</f>
        <v>면제</v>
      </c>
      <c r="Y1268" s="94" t="s">
        <v>7</v>
      </c>
      <c r="Z1268" s="95" t="s">
        <v>7</v>
      </c>
      <c r="AA1268" s="95" t="s">
        <v>7</v>
      </c>
      <c r="AB1268" s="95" t="s">
        <v>7</v>
      </c>
      <c r="AC1268" s="95" t="s">
        <v>7</v>
      </c>
      <c r="AD1268" s="95" t="s">
        <v>7</v>
      </c>
      <c r="AE1268" s="95" t="s">
        <v>7</v>
      </c>
      <c r="AF1268" s="95" t="s">
        <v>7</v>
      </c>
      <c r="AG1268" s="95" t="s">
        <v>7</v>
      </c>
      <c r="AH1268" s="95" t="s">
        <v>7</v>
      </c>
      <c r="AI1268" s="95" t="s">
        <v>7</v>
      </c>
      <c r="AJ1268" s="96" t="s">
        <v>7</v>
      </c>
      <c r="AK1268" s="97" t="s">
        <v>7</v>
      </c>
      <c r="AL1268" s="95" t="s">
        <v>7</v>
      </c>
      <c r="AM1268" s="90"/>
      <c r="AN1268" s="90"/>
      <c r="AO1268" s="90"/>
      <c r="AP1268" s="90"/>
      <c r="AQ1268" s="90"/>
      <c r="AR1268" s="90"/>
      <c r="AS1268" s="90"/>
      <c r="AT1268" s="90"/>
      <c r="AU1268" s="90"/>
      <c r="AV1268" s="91"/>
      <c r="AX1268" s="92"/>
    </row>
    <row r="1269" customFormat="false" ht="15.65" hidden="false" customHeight="false" outlineLevel="0" collapsed="false">
      <c r="C1269" s="72" t="n">
        <f aca="false">COUNTIFS($D$6:D1269,"&lt;&gt;"&amp;"")</f>
        <v>1264</v>
      </c>
      <c r="D1269" s="73" t="s">
        <v>12</v>
      </c>
      <c r="E1269" s="76" t="str">
        <f aca="false">
IF($D1269="정상",INDEX(임대자산!$D$3:$R$3000,MATCH($F1269,임대자산!$I$3:$I$3000,0),MATCH(E$3,임대자산!$D$3:$R$3,0)),
IF($D1269="폐업",INDEX(폐업정보!$D$3:$R$3000,MATCH($F1269,폐업정보!$I$3:$I$3000,0),MATCH(E$3,폐업정보!$D$3:$R$3,0)),
"Error"))</f>
        <v>서울</v>
      </c>
      <c r="F126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B1264</v>
      </c>
      <c r="G1269" s="76" t="str">
        <f aca="false">F1269&amp;RANDBETWEEN(0,10)</f>
        <v>B12645</v>
      </c>
      <c r="H1269" s="75" t="n">
        <f aca="false">
IF($D1269="정상",INDEX(임대자산!$D$3:$R$3000,MATCH($F1269,임대자산!$I$3:$I$3000,0),MATCH(H$4,임대자산!$D$3:$R$3,0)),
IF($D1269="폐업",INDEX(폐업정보!$D$3:$R$3000,MATCH($F1269,폐업정보!$I$3:$I$3000,0),MATCH(H$4,폐업정보!$D$3:$R$3,0)),
"Error"))</f>
        <v>45902</v>
      </c>
      <c r="I1269" s="75" t="str">
        <f aca="false">
IF($D1269="정상",INDEX(임대자산!$D$3:$R$3000,MATCH($F1269,임대자산!$I$3:$I$3000,0),MATCH(I$4,임대자산!$D$3:$R$3,0)),
IF($D1269="폐업",INDEX(폐업정보!$D$3:$R$3000,MATCH($F1269,폐업정보!$I$3:$I$3000,0),MATCH(I$4,폐업정보!$D$3:$R$3,0)),
"Error"))</f>
        <v>A1264</v>
      </c>
      <c r="J1269" s="75" t="str">
        <f aca="false">
IF($D1269="정상",INDEX(임대자산!$D$3:$R$3000,MATCH($F1269,임대자산!$I$3:$I$3000,0),MATCH(J$4,임대자산!$D$3:$R$3,0)),
IF($D1269="폐업",INDEX(폐업정보!$D$3:$R$3000,MATCH($F1269,폐업정보!$I$3:$I$3000,0),MATCH(J$4,폐업정보!$D$3:$R$3,0)),
"Error"))</f>
        <v>7904400000</v>
      </c>
      <c r="K1269" s="75" t="str">
        <f aca="false">
IF($D1269="정상",INDEX(임대자산!$D$3:$R$3000,MATCH($F1269,임대자산!$I$3:$I$3000,0),MATCH(K$4,임대자산!$D$3:$R$3,0)),
IF($D1269="폐업",INDEX(폐업정보!$D$3:$R$3000,MATCH($F1269,폐업정보!$I$3:$I$3000,0),MATCH(K$4,폐업정보!$D$3:$R$3,0)),
"Error"))</f>
        <v>C1264</v>
      </c>
      <c r="L1269" s="75" t="str">
        <f aca="false">
IF($D1269="정상",INDEX(임대자산!$D$3:$R$3000,MATCH($F1269,임대자산!$I$3:$I$3000,0),MATCH(L$4,임대자산!$D$3:$R$3,0)),
IF($D1269="폐업",INDEX(폐업정보!$D$3:$R$3000,MATCH($F1269,폐업정보!$I$3:$I$3000,0),MATCH(L$4,폐업정보!$D$3:$R$3,0)),
"Error"))</f>
        <v>D1264</v>
      </c>
      <c r="M1269" s="76" t="s">
        <v>96</v>
      </c>
      <c r="N1269" s="77"/>
      <c r="O1269" s="78" t="s">
        <v>97</v>
      </c>
      <c r="P1269" s="79" t="n">
        <f aca="false">COUNTIFS(임대자산!$I:$I,가맹점정보!F1269,임대자산!$N:$N,가맹점정보!P$4)</f>
        <v>0</v>
      </c>
      <c r="Q1269" s="80" t="n">
        <f aca="false">COUNTIFS(임대자산!$I:$I,가맹점정보!F1269,임대자산!$N:$N,가맹점정보!Q$4)</f>
        <v>0</v>
      </c>
      <c r="R1269" s="81" t="n">
        <f aca="false">COUNTIFS(임대자산!$I:$I,가맹점정보!F1269,임대자산!$N:$N,가맹점정보!R$4)</f>
        <v>1</v>
      </c>
      <c r="S1269" s="82" t="n">
        <v>55000</v>
      </c>
      <c r="T1269" s="83" t="n">
        <v>0</v>
      </c>
      <c r="U1269" s="80" t="n">
        <f aca="false">SUM(S1269:T1269)</f>
        <v>55000</v>
      </c>
      <c r="V1269" s="84" t="s">
        <v>7</v>
      </c>
      <c r="W1269" s="80" t="str">
        <f aca="true">
IF(D1269="폐업","폐업",
IF(V1269="면제","면제",
IF(AND(V1269="정상",COUNTIFS(OFFSET(Y1269,0,COUNTA(Y1269:AV1269)-1,1,-4),"미납")&gt;=3),"장기미납",
IF(AND(V1269="정상",OFFSET(Y1269,0,COUNTA(Y1269:AV1269)-1)&gt;=U1269),"정상",
IF(AND(V1269="정상",OFFSET(Y1269,0,COUNTA(Y1269:AV1269)-1)=0),"정상",
"계약서 미작성")))))</f>
        <v>면제</v>
      </c>
      <c r="X1269" s="81" t="str">
        <f aca="true">
IF(D1269="폐업","폐업",
IF(AND(V1269="정상",OFFSET(Y1269,0,COUNTA(Y1269:AV1269)-1)="미납"),"미납",
IF(AND(V1269="정상",OFFSET(Y1269,0,COUNTA(Y1269:AV1269)-1)=0),"납부 시작 전",
IF(AND(V1269="정상",OFFSET(Y1269,0,COUNTA(Y1269:AV1269)-1)&gt;=U1269),"정상",
IF(AND(V1269="면제",OFFSET(Y1269,0,COUNTA(Y1269:AV1269)-1)="면제"),"면제",
IF(AND(V1269="면제",OFFSET(Y1269,0,COUNTA(Y1269:AV1269)-1)=0),"면제",
"확인요청"))))))</f>
        <v>면제</v>
      </c>
      <c r="Y1269" s="93" t="n">
        <v>55000</v>
      </c>
      <c r="Z1269" s="90" t="n">
        <v>55000</v>
      </c>
      <c r="AA1269" s="90" t="n">
        <v>55000</v>
      </c>
      <c r="AB1269" s="90" t="n">
        <v>55000</v>
      </c>
      <c r="AC1269" s="90" t="n">
        <v>55000</v>
      </c>
      <c r="AD1269" s="90" t="n">
        <v>55000</v>
      </c>
      <c r="AE1269" s="95" t="s">
        <v>7</v>
      </c>
      <c r="AF1269" s="95" t="s">
        <v>7</v>
      </c>
      <c r="AG1269" s="95" t="s">
        <v>7</v>
      </c>
      <c r="AH1269" s="95" t="s">
        <v>7</v>
      </c>
      <c r="AI1269" s="95" t="s">
        <v>7</v>
      </c>
      <c r="AJ1269" s="96" t="s">
        <v>7</v>
      </c>
      <c r="AK1269" s="97" t="s">
        <v>7</v>
      </c>
      <c r="AL1269" s="95" t="s">
        <v>7</v>
      </c>
      <c r="AM1269" s="90"/>
      <c r="AN1269" s="90"/>
      <c r="AO1269" s="90"/>
      <c r="AP1269" s="90"/>
      <c r="AQ1269" s="90"/>
      <c r="AR1269" s="90"/>
      <c r="AS1269" s="90"/>
      <c r="AT1269" s="90"/>
      <c r="AU1269" s="90"/>
      <c r="AV1269" s="91"/>
      <c r="AX1269" s="92"/>
    </row>
    <row r="1270" customFormat="false" ht="15.65" hidden="false" customHeight="false" outlineLevel="0" collapsed="false">
      <c r="C1270" s="72" t="n">
        <f aca="false">COUNTIFS($D$6:D1270,"&lt;&gt;"&amp;"")</f>
        <v>1265</v>
      </c>
      <c r="D1270" s="73" t="s">
        <v>5</v>
      </c>
      <c r="E1270" s="76" t="str">
        <f aca="false">
IF($D1270="정상",INDEX(임대자산!$D$3:$R$3000,MATCH($F1270,임대자산!$I$3:$I$3000,0),MATCH(E$3,임대자산!$D$3:$R$3,0)),
IF($D1270="폐업",INDEX(폐업정보!$D$3:$R$3000,MATCH($F1270,폐업정보!$I$3:$I$3000,0),MATCH(E$3,폐업정보!$D$3:$R$3,0)),
"Error"))</f>
        <v>서울</v>
      </c>
      <c r="F127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B1265</v>
      </c>
      <c r="G1270" s="76" t="str">
        <f aca="false">F1270&amp;RANDBETWEEN(0,10)</f>
        <v>B12655</v>
      </c>
      <c r="H1270" s="75" t="n">
        <f aca="false">
IF($D1270="정상",INDEX(임대자산!$D$3:$R$3000,MATCH($F1270,임대자산!$I$3:$I$3000,0),MATCH(H$4,임대자산!$D$3:$R$3,0)),
IF($D1270="폐업",INDEX(폐업정보!$D$3:$R$3000,MATCH($F1270,폐업정보!$I$3:$I$3000,0),MATCH(H$4,폐업정보!$D$3:$R$3,0)),
"Error"))</f>
        <v>45902</v>
      </c>
      <c r="I1270" s="75" t="str">
        <f aca="false">
IF($D1270="정상",INDEX(임대자산!$D$3:$R$3000,MATCH($F1270,임대자산!$I$3:$I$3000,0),MATCH(I$4,임대자산!$D$3:$R$3,0)),
IF($D1270="폐업",INDEX(폐업정보!$D$3:$R$3000,MATCH($F1270,폐업정보!$I$3:$I$3000,0),MATCH(I$4,폐업정보!$D$3:$R$3,0)),
"Error"))</f>
        <v>A1265</v>
      </c>
      <c r="J1270" s="75" t="str">
        <f aca="false">
IF($D1270="정상",INDEX(임대자산!$D$3:$R$3000,MATCH($F1270,임대자산!$I$3:$I$3000,0),MATCH(J$4,임대자산!$D$3:$R$3,0)),
IF($D1270="폐업",INDEX(폐업정보!$D$3:$R$3000,MATCH($F1270,폐업정보!$I$3:$I$3000,0),MATCH(J$4,폐업정보!$D$3:$R$3,0)),
"Error"))</f>
        <v>5477500000</v>
      </c>
      <c r="K1270" s="75" t="str">
        <f aca="false">
IF($D1270="정상",INDEX(임대자산!$D$3:$R$3000,MATCH($F1270,임대자산!$I$3:$I$3000,0),MATCH(K$4,임대자산!$D$3:$R$3,0)),
IF($D1270="폐업",INDEX(폐업정보!$D$3:$R$3000,MATCH($F1270,폐업정보!$I$3:$I$3000,0),MATCH(K$4,폐업정보!$D$3:$R$3,0)),
"Error"))</f>
        <v>C1265</v>
      </c>
      <c r="L1270" s="75" t="str">
        <f aca="false">
IF($D1270="정상",INDEX(임대자산!$D$3:$R$3000,MATCH($F1270,임대자산!$I$3:$I$3000,0),MATCH(L$4,임대자산!$D$3:$R$3,0)),
IF($D1270="폐업",INDEX(폐업정보!$D$3:$R$3000,MATCH($F1270,폐업정보!$I$3:$I$3000,0),MATCH(L$4,폐업정보!$D$3:$R$3,0)),
"Error"))</f>
        <v>D1265</v>
      </c>
      <c r="M1270" s="76" t="s">
        <v>96</v>
      </c>
      <c r="N1270" s="77"/>
      <c r="O1270" s="78" t="s">
        <v>97</v>
      </c>
      <c r="P1270" s="79" t="n">
        <f aca="false">COUNTIFS(임대자산!$I:$I,가맹점정보!F1270,임대자산!$N:$N,가맹점정보!P$4)</f>
        <v>0</v>
      </c>
      <c r="Q1270" s="80" t="n">
        <f aca="false">COUNTIFS(임대자산!$I:$I,가맹점정보!F1270,임대자산!$N:$N,가맹점정보!Q$4)</f>
        <v>0</v>
      </c>
      <c r="R1270" s="81" t="n">
        <f aca="false">COUNTIFS(임대자산!$I:$I,가맹점정보!F1270,임대자산!$N:$N,가맹점정보!R$4)</f>
        <v>0</v>
      </c>
      <c r="S1270" s="82" t="n">
        <v>55000</v>
      </c>
      <c r="T1270" s="83" t="n">
        <v>0</v>
      </c>
      <c r="U1270" s="80" t="n">
        <f aca="false">SUM(S1270:T1270)</f>
        <v>55000</v>
      </c>
      <c r="V1270" s="84" t="s">
        <v>7</v>
      </c>
      <c r="W1270" s="80" t="str">
        <f aca="true">
IF(D1270="폐업","폐업",
IF(V1270="면제","면제",
IF(AND(V1270="정상",COUNTIFS(OFFSET(Y1270,0,COUNTA(Y1270:AV1270)-1,1,-4),"미납")&gt;=3),"장기미납",
IF(AND(V1270="정상",OFFSET(Y1270,0,COUNTA(Y1270:AV1270)-1)&gt;=U1270),"정상",
IF(AND(V1270="정상",OFFSET(Y1270,0,COUNTA(Y1270:AV1270)-1)=0),"정상",
"계약서 미작성")))))</f>
        <v>폐업</v>
      </c>
      <c r="X1270" s="81" t="str">
        <f aca="true">
IF(D1270="폐업","폐업",
IF(AND(V1270="정상",OFFSET(Y1270,0,COUNTA(Y1270:AV1270)-1)="미납"),"미납",
IF(AND(V1270="정상",OFFSET(Y1270,0,COUNTA(Y1270:AV1270)-1)=0),"납부 시작 전",
IF(AND(V1270="정상",OFFSET(Y1270,0,COUNTA(Y1270:AV1270)-1)&gt;=U1270),"정상",
IF(AND(V1270="면제",OFFSET(Y1270,0,COUNTA(Y1270:AV1270)-1)="면제"),"면제",
IF(AND(V1270="면제",OFFSET(Y1270,0,COUNTA(Y1270:AV1270)-1)=0),"면제",
"확인요청"))))))</f>
        <v>폐업</v>
      </c>
      <c r="Y1270" s="94" t="s">
        <v>7</v>
      </c>
      <c r="Z1270" s="95" t="s">
        <v>7</v>
      </c>
      <c r="AA1270" s="95" t="s">
        <v>7</v>
      </c>
      <c r="AB1270" s="95" t="s">
        <v>7</v>
      </c>
      <c r="AC1270" s="95" t="s">
        <v>7</v>
      </c>
      <c r="AD1270" s="95" t="s">
        <v>7</v>
      </c>
      <c r="AE1270" s="95" t="s">
        <v>7</v>
      </c>
      <c r="AF1270" s="95" t="s">
        <v>7</v>
      </c>
      <c r="AG1270" s="95" t="s">
        <v>7</v>
      </c>
      <c r="AH1270" s="95" t="s">
        <v>7</v>
      </c>
      <c r="AI1270" s="95" t="s">
        <v>7</v>
      </c>
      <c r="AJ1270" s="96" t="s">
        <v>7</v>
      </c>
      <c r="AK1270" s="97" t="s">
        <v>7</v>
      </c>
      <c r="AL1270" s="95" t="s">
        <v>7</v>
      </c>
      <c r="AM1270" s="90"/>
      <c r="AN1270" s="90"/>
      <c r="AO1270" s="90"/>
      <c r="AP1270" s="90"/>
      <c r="AQ1270" s="90"/>
      <c r="AR1270" s="90"/>
      <c r="AS1270" s="90"/>
      <c r="AT1270" s="90"/>
      <c r="AU1270" s="90"/>
      <c r="AV1270" s="91"/>
      <c r="AX1270" s="92"/>
    </row>
    <row r="1271" customFormat="false" ht="15.65" hidden="false" customHeight="false" outlineLevel="0" collapsed="false">
      <c r="C1271" s="72" t="n">
        <f aca="false">COUNTIFS($D$6:D1271,"&lt;&gt;"&amp;"")</f>
        <v>1266</v>
      </c>
      <c r="D1271" s="73" t="s">
        <v>5</v>
      </c>
      <c r="E1271" s="76" t="str">
        <f aca="false">
IF($D1271="정상",INDEX(임대자산!$D$3:$R$3000,MATCH($F1271,임대자산!$I$3:$I$3000,0),MATCH(E$3,임대자산!$D$3:$R$3,0)),
IF($D1271="폐업",INDEX(폐업정보!$D$3:$R$3000,MATCH($F1271,폐업정보!$I$3:$I$3000,0),MATCH(E$3,폐업정보!$D$3:$R$3,0)),
"Error"))</f>
        <v>서울</v>
      </c>
      <c r="F127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B1266</v>
      </c>
      <c r="G1271" s="76" t="str">
        <f aca="false">F1271&amp;RANDBETWEEN(0,10)</f>
        <v>B12667</v>
      </c>
      <c r="H1271" s="75" t="n">
        <f aca="false">
IF($D1271="정상",INDEX(임대자산!$D$3:$R$3000,MATCH($F1271,임대자산!$I$3:$I$3000,0),MATCH(H$4,임대자산!$D$3:$R$3,0)),
IF($D1271="폐업",INDEX(폐업정보!$D$3:$R$3000,MATCH($F1271,폐업정보!$I$3:$I$3000,0),MATCH(H$4,폐업정보!$D$3:$R$3,0)),
"Error"))</f>
        <v>45902</v>
      </c>
      <c r="I1271" s="75" t="str">
        <f aca="false">
IF($D1271="정상",INDEX(임대자산!$D$3:$R$3000,MATCH($F1271,임대자산!$I$3:$I$3000,0),MATCH(I$4,임대자산!$D$3:$R$3,0)),
IF($D1271="폐업",INDEX(폐업정보!$D$3:$R$3000,MATCH($F1271,폐업정보!$I$3:$I$3000,0),MATCH(I$4,폐업정보!$D$3:$R$3,0)),
"Error"))</f>
        <v>A1266</v>
      </c>
      <c r="J1271" s="75" t="str">
        <f aca="false">
IF($D1271="정상",INDEX(임대자산!$D$3:$R$3000,MATCH($F1271,임대자산!$I$3:$I$3000,0),MATCH(J$4,임대자산!$D$3:$R$3,0)),
IF($D1271="폐업",INDEX(폐업정보!$D$3:$R$3000,MATCH($F1271,폐업정보!$I$3:$I$3000,0),MATCH(J$4,폐업정보!$D$3:$R$3,0)),
"Error"))</f>
        <v>3064500000</v>
      </c>
      <c r="K1271" s="75" t="str">
        <f aca="false">
IF($D1271="정상",INDEX(임대자산!$D$3:$R$3000,MATCH($F1271,임대자산!$I$3:$I$3000,0),MATCH(K$4,임대자산!$D$3:$R$3,0)),
IF($D1271="폐업",INDEX(폐업정보!$D$3:$R$3000,MATCH($F1271,폐업정보!$I$3:$I$3000,0),MATCH(K$4,폐업정보!$D$3:$R$3,0)),
"Error"))</f>
        <v>C1266</v>
      </c>
      <c r="L1271" s="75" t="str">
        <f aca="false">
IF($D1271="정상",INDEX(임대자산!$D$3:$R$3000,MATCH($F1271,임대자산!$I$3:$I$3000,0),MATCH(L$4,임대자산!$D$3:$R$3,0)),
IF($D1271="폐업",INDEX(폐업정보!$D$3:$R$3000,MATCH($F1271,폐업정보!$I$3:$I$3000,0),MATCH(L$4,폐업정보!$D$3:$R$3,0)),
"Error"))</f>
        <v>D1266</v>
      </c>
      <c r="M1271" s="76" t="s">
        <v>96</v>
      </c>
      <c r="N1271" s="77"/>
      <c r="O1271" s="78" t="s">
        <v>97</v>
      </c>
      <c r="P1271" s="79" t="n">
        <f aca="false">COUNTIFS(임대자산!$I:$I,가맹점정보!F1271,임대자산!$N:$N,가맹점정보!P$4)</f>
        <v>0</v>
      </c>
      <c r="Q1271" s="80" t="n">
        <f aca="false">COUNTIFS(임대자산!$I:$I,가맹점정보!F1271,임대자산!$N:$N,가맹점정보!Q$4)</f>
        <v>0</v>
      </c>
      <c r="R1271" s="81" t="n">
        <f aca="false">COUNTIFS(임대자산!$I:$I,가맹점정보!F1271,임대자산!$N:$N,가맹점정보!R$4)</f>
        <v>0</v>
      </c>
      <c r="S1271" s="82" t="n">
        <v>55000</v>
      </c>
      <c r="T1271" s="83" t="n">
        <v>0</v>
      </c>
      <c r="U1271" s="80" t="n">
        <f aca="false">SUM(S1271:T1271)</f>
        <v>55000</v>
      </c>
      <c r="V1271" s="84" t="s">
        <v>7</v>
      </c>
      <c r="W1271" s="80" t="str">
        <f aca="true">
IF(D1271="폐업","폐업",
IF(V1271="면제","면제",
IF(AND(V1271="정상",COUNTIFS(OFFSET(Y1271,0,COUNTA(Y1271:AV1271)-1,1,-4),"미납")&gt;=3),"장기미납",
IF(AND(V1271="정상",OFFSET(Y1271,0,COUNTA(Y1271:AV1271)-1)&gt;=U1271),"정상",
IF(AND(V1271="정상",OFFSET(Y1271,0,COUNTA(Y1271:AV1271)-1)=0),"정상",
"계약서 미작성")))))</f>
        <v>폐업</v>
      </c>
      <c r="X1271" s="81" t="str">
        <f aca="true">
IF(D1271="폐업","폐업",
IF(AND(V1271="정상",OFFSET(Y1271,0,COUNTA(Y1271:AV1271)-1)="미납"),"미납",
IF(AND(V1271="정상",OFFSET(Y1271,0,COUNTA(Y1271:AV1271)-1)=0),"납부 시작 전",
IF(AND(V1271="정상",OFFSET(Y1271,0,COUNTA(Y1271:AV1271)-1)&gt;=U1271),"정상",
IF(AND(V1271="면제",OFFSET(Y1271,0,COUNTA(Y1271:AV1271)-1)="면제"),"면제",
IF(AND(V1271="면제",OFFSET(Y1271,0,COUNTA(Y1271:AV1271)-1)=0),"면제",
"확인요청"))))))</f>
        <v>폐업</v>
      </c>
      <c r="Y1271" s="94" t="s">
        <v>7</v>
      </c>
      <c r="Z1271" s="95" t="s">
        <v>7</v>
      </c>
      <c r="AA1271" s="95" t="s">
        <v>7</v>
      </c>
      <c r="AB1271" s="95" t="s">
        <v>7</v>
      </c>
      <c r="AC1271" s="95" t="s">
        <v>7</v>
      </c>
      <c r="AD1271" s="95" t="s">
        <v>7</v>
      </c>
      <c r="AE1271" s="95" t="s">
        <v>7</v>
      </c>
      <c r="AF1271" s="95" t="s">
        <v>7</v>
      </c>
      <c r="AG1271" s="95" t="s">
        <v>7</v>
      </c>
      <c r="AH1271" s="95" t="s">
        <v>7</v>
      </c>
      <c r="AI1271" s="95" t="s">
        <v>7</v>
      </c>
      <c r="AJ1271" s="96" t="s">
        <v>7</v>
      </c>
      <c r="AK1271" s="97" t="s">
        <v>7</v>
      </c>
      <c r="AL1271" s="95" t="s">
        <v>7</v>
      </c>
      <c r="AM1271" s="90"/>
      <c r="AN1271" s="90"/>
      <c r="AO1271" s="90"/>
      <c r="AP1271" s="90"/>
      <c r="AQ1271" s="90"/>
      <c r="AR1271" s="90"/>
      <c r="AS1271" s="90"/>
      <c r="AT1271" s="90"/>
      <c r="AU1271" s="90"/>
      <c r="AV1271" s="91"/>
      <c r="AX1271" s="92"/>
    </row>
    <row r="1272" customFormat="false" ht="15.65" hidden="false" customHeight="false" outlineLevel="0" collapsed="false">
      <c r="C1272" s="72" t="n">
        <f aca="false">COUNTIFS($D$6:D1272,"&lt;&gt;"&amp;"")</f>
        <v>1267</v>
      </c>
      <c r="D1272" s="73" t="s">
        <v>12</v>
      </c>
      <c r="E1272" s="76" t="str">
        <f aca="false">
IF($D1272="정상",INDEX(임대자산!$D$3:$R$3000,MATCH($F1272,임대자산!$I$3:$I$3000,0),MATCH(E$3,임대자산!$D$3:$R$3,0)),
IF($D1272="폐업",INDEX(폐업정보!$D$3:$R$3000,MATCH($F1272,폐업정보!$I$3:$I$3000,0),MATCH(E$3,폐업정보!$D$3:$R$3,0)),
"Error"))</f>
        <v>강원</v>
      </c>
      <c r="F127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B1267</v>
      </c>
      <c r="G1272" s="76" t="str">
        <f aca="false">F1272&amp;RANDBETWEEN(0,10)</f>
        <v>B12677</v>
      </c>
      <c r="H1272" s="75" t="n">
        <f aca="false">
IF($D1272="정상",INDEX(임대자산!$D$3:$R$3000,MATCH($F1272,임대자산!$I$3:$I$3000,0),MATCH(H$4,임대자산!$D$3:$R$3,0)),
IF($D1272="폐업",INDEX(폐업정보!$D$3:$R$3000,MATCH($F1272,폐업정보!$I$3:$I$3000,0),MATCH(H$4,폐업정보!$D$3:$R$3,0)),
"Error"))</f>
        <v>45646</v>
      </c>
      <c r="I1272" s="75" t="str">
        <f aca="false">
IF($D1272="정상",INDEX(임대자산!$D$3:$R$3000,MATCH($F1272,임대자산!$I$3:$I$3000,0),MATCH(I$4,임대자산!$D$3:$R$3,0)),
IF($D1272="폐업",INDEX(폐업정보!$D$3:$R$3000,MATCH($F1272,폐업정보!$I$3:$I$3000,0),MATCH(I$4,폐업정보!$D$3:$R$3,0)),
"Error"))</f>
        <v>A1267</v>
      </c>
      <c r="J1272" s="75" t="str">
        <f aca="false">
IF($D1272="정상",INDEX(임대자산!$D$3:$R$3000,MATCH($F1272,임대자산!$I$3:$I$3000,0),MATCH(J$4,임대자산!$D$3:$R$3,0)),
IF($D1272="폐업",INDEX(폐업정보!$D$3:$R$3000,MATCH($F1272,폐업정보!$I$3:$I$3000,0),MATCH(J$4,폐업정보!$D$3:$R$3,0)),
"Error"))</f>
        <v>3701200000</v>
      </c>
      <c r="K1272" s="75" t="str">
        <f aca="false">
IF($D1272="정상",INDEX(임대자산!$D$3:$R$3000,MATCH($F1272,임대자산!$I$3:$I$3000,0),MATCH(K$4,임대자산!$D$3:$R$3,0)),
IF($D1272="폐업",INDEX(폐업정보!$D$3:$R$3000,MATCH($F1272,폐업정보!$I$3:$I$3000,0),MATCH(K$4,폐업정보!$D$3:$R$3,0)),
"Error"))</f>
        <v>C1267</v>
      </c>
      <c r="L1272" s="75" t="str">
        <f aca="false">
IF($D1272="정상",INDEX(임대자산!$D$3:$R$3000,MATCH($F1272,임대자산!$I$3:$I$3000,0),MATCH(L$4,임대자산!$D$3:$R$3,0)),
IF($D1272="폐업",INDEX(폐업정보!$D$3:$R$3000,MATCH($F1272,폐업정보!$I$3:$I$3000,0),MATCH(L$4,폐업정보!$D$3:$R$3,0)),
"Error"))</f>
        <v>D1267</v>
      </c>
      <c r="M1272" s="76" t="s">
        <v>96</v>
      </c>
      <c r="N1272" s="77"/>
      <c r="O1272" s="78" t="s">
        <v>97</v>
      </c>
      <c r="P1272" s="79" t="n">
        <f aca="false">COUNTIFS(임대자산!$I:$I,가맹점정보!F1272,임대자산!$N:$N,가맹점정보!P$4)</f>
        <v>0</v>
      </c>
      <c r="Q1272" s="80" t="n">
        <f aca="false">COUNTIFS(임대자산!$I:$I,가맹점정보!F1272,임대자산!$N:$N,가맹점정보!Q$4)</f>
        <v>0</v>
      </c>
      <c r="R1272" s="81" t="n">
        <f aca="false">COUNTIFS(임대자산!$I:$I,가맹점정보!F1272,임대자산!$N:$N,가맹점정보!R$4)</f>
        <v>1</v>
      </c>
      <c r="S1272" s="82" t="n">
        <v>88000</v>
      </c>
      <c r="T1272" s="83" t="n">
        <v>0</v>
      </c>
      <c r="U1272" s="80" t="n">
        <f aca="false">SUM(S1272:T1272)</f>
        <v>88000</v>
      </c>
      <c r="V1272" s="84" t="s">
        <v>7</v>
      </c>
      <c r="W1272" s="80" t="str">
        <f aca="true">
IF(D1272="폐업","폐업",
IF(V1272="면제","면제",
IF(AND(V1272="정상",COUNTIFS(OFFSET(Y1272,0,COUNTA(Y1272:AV1272)-1,1,-4),"미납")&gt;=3),"장기미납",
IF(AND(V1272="정상",OFFSET(Y1272,0,COUNTA(Y1272:AV1272)-1)&gt;=U1272),"정상",
IF(AND(V1272="정상",OFFSET(Y1272,0,COUNTA(Y1272:AV1272)-1)=0),"정상",
"계약서 미작성")))))</f>
        <v>면제</v>
      </c>
      <c r="X1272" s="81" t="str">
        <f aca="true">
IF(D1272="폐업","폐업",
IF(AND(V1272="정상",OFFSET(Y1272,0,COUNTA(Y1272:AV1272)-1)="미납"),"미납",
IF(AND(V1272="정상",OFFSET(Y1272,0,COUNTA(Y1272:AV1272)-1)=0),"납부 시작 전",
IF(AND(V1272="정상",OFFSET(Y1272,0,COUNTA(Y1272:AV1272)-1)&gt;=U1272),"정상",
IF(AND(V1272="면제",OFFSET(Y1272,0,COUNTA(Y1272:AV1272)-1)="면제"),"면제",
IF(AND(V1272="면제",OFFSET(Y1272,0,COUNTA(Y1272:AV1272)-1)=0),"면제",
"확인요청"))))))</f>
        <v>면제</v>
      </c>
      <c r="Y1272" s="94" t="s">
        <v>7</v>
      </c>
      <c r="Z1272" s="95" t="s">
        <v>7</v>
      </c>
      <c r="AA1272" s="95" t="s">
        <v>7</v>
      </c>
      <c r="AB1272" s="95" t="s">
        <v>7</v>
      </c>
      <c r="AC1272" s="95" t="s">
        <v>7</v>
      </c>
      <c r="AD1272" s="95" t="s">
        <v>7</v>
      </c>
      <c r="AE1272" s="95" t="s">
        <v>7</v>
      </c>
      <c r="AF1272" s="95" t="s">
        <v>7</v>
      </c>
      <c r="AG1272" s="95" t="s">
        <v>7</v>
      </c>
      <c r="AH1272" s="95" t="s">
        <v>7</v>
      </c>
      <c r="AI1272" s="95" t="s">
        <v>7</v>
      </c>
      <c r="AJ1272" s="96" t="s">
        <v>7</v>
      </c>
      <c r="AK1272" s="97" t="s">
        <v>7</v>
      </c>
      <c r="AL1272" s="95" t="s">
        <v>7</v>
      </c>
      <c r="AM1272" s="90"/>
      <c r="AN1272" s="90"/>
      <c r="AO1272" s="90"/>
      <c r="AP1272" s="90"/>
      <c r="AQ1272" s="90"/>
      <c r="AR1272" s="90"/>
      <c r="AS1272" s="90"/>
      <c r="AT1272" s="90"/>
      <c r="AU1272" s="90"/>
      <c r="AV1272" s="91"/>
      <c r="AX1272" s="92"/>
    </row>
    <row r="1273" customFormat="false" ht="15.65" hidden="false" customHeight="false" outlineLevel="0" collapsed="false">
      <c r="C1273" s="72" t="n">
        <f aca="false">COUNTIFS($D$6:D1273,"&lt;&gt;"&amp;"")</f>
        <v>1268</v>
      </c>
      <c r="D1273" s="73" t="s">
        <v>5</v>
      </c>
      <c r="E1273" s="76" t="str">
        <f aca="false">
IF($D1273="정상",INDEX(임대자산!$D$3:$R$3000,MATCH($F1273,임대자산!$I$3:$I$3000,0),MATCH(E$3,임대자산!$D$3:$R$3,0)),
IF($D1273="폐업",INDEX(폐업정보!$D$3:$R$3000,MATCH($F1273,폐업정보!$I$3:$I$3000,0),MATCH(E$3,폐업정보!$D$3:$R$3,0)),
"Error"))</f>
        <v>강원</v>
      </c>
      <c r="F127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B1268</v>
      </c>
      <c r="G1273" s="76" t="str">
        <f aca="false">F1273&amp;RANDBETWEEN(0,10)</f>
        <v>B126810</v>
      </c>
      <c r="H1273" s="75" t="n">
        <f aca="false">
IF($D1273="정상",INDEX(임대자산!$D$3:$R$3000,MATCH($F1273,임대자산!$I$3:$I$3000,0),MATCH(H$4,임대자산!$D$3:$R$3,0)),
IF($D1273="폐업",INDEX(폐업정보!$D$3:$R$3000,MATCH($F1273,폐업정보!$I$3:$I$3000,0),MATCH(H$4,폐업정보!$D$3:$R$3,0)),
"Error"))</f>
        <v>45646</v>
      </c>
      <c r="I1273" s="75" t="str">
        <f aca="false">
IF($D1273="정상",INDEX(임대자산!$D$3:$R$3000,MATCH($F1273,임대자산!$I$3:$I$3000,0),MATCH(I$4,임대자산!$D$3:$R$3,0)),
IF($D1273="폐업",INDEX(폐업정보!$D$3:$R$3000,MATCH($F1273,폐업정보!$I$3:$I$3000,0),MATCH(I$4,폐업정보!$D$3:$R$3,0)),
"Error"))</f>
        <v>A1268</v>
      </c>
      <c r="J1273" s="75" t="str">
        <f aca="false">
IF($D1273="정상",INDEX(임대자산!$D$3:$R$3000,MATCH($F1273,임대자산!$I$3:$I$3000,0),MATCH(J$4,임대자산!$D$3:$R$3,0)),
IF($D1273="폐업",INDEX(폐업정보!$D$3:$R$3000,MATCH($F1273,폐업정보!$I$3:$I$3000,0),MATCH(J$4,폐업정보!$D$3:$R$3,0)),
"Error"))</f>
        <v>9148300000</v>
      </c>
      <c r="K1273" s="75" t="str">
        <f aca="false">
IF($D1273="정상",INDEX(임대자산!$D$3:$R$3000,MATCH($F1273,임대자산!$I$3:$I$3000,0),MATCH(K$4,임대자산!$D$3:$R$3,0)),
IF($D1273="폐업",INDEX(폐업정보!$D$3:$R$3000,MATCH($F1273,폐업정보!$I$3:$I$3000,0),MATCH(K$4,폐업정보!$D$3:$R$3,0)),
"Error"))</f>
        <v>C1268</v>
      </c>
      <c r="L1273" s="75" t="str">
        <f aca="false">
IF($D1273="정상",INDEX(임대자산!$D$3:$R$3000,MATCH($F1273,임대자산!$I$3:$I$3000,0),MATCH(L$4,임대자산!$D$3:$R$3,0)),
IF($D1273="폐업",INDEX(폐업정보!$D$3:$R$3000,MATCH($F1273,폐업정보!$I$3:$I$3000,0),MATCH(L$4,폐업정보!$D$3:$R$3,0)),
"Error"))</f>
        <v>D1268</v>
      </c>
      <c r="M1273" s="76" t="s">
        <v>96</v>
      </c>
      <c r="N1273" s="77"/>
      <c r="O1273" s="78" t="s">
        <v>97</v>
      </c>
      <c r="P1273" s="79" t="n">
        <f aca="false">COUNTIFS(임대자산!$I:$I,가맹점정보!F1273,임대자산!$N:$N,가맹점정보!P$4)</f>
        <v>0</v>
      </c>
      <c r="Q1273" s="80" t="n">
        <f aca="false">COUNTIFS(임대자산!$I:$I,가맹점정보!F1273,임대자산!$N:$N,가맹점정보!Q$4)</f>
        <v>0</v>
      </c>
      <c r="R1273" s="81" t="n">
        <f aca="false">COUNTIFS(임대자산!$I:$I,가맹점정보!F1273,임대자산!$N:$N,가맹점정보!R$4)</f>
        <v>0</v>
      </c>
      <c r="S1273" s="82" t="n">
        <v>88000</v>
      </c>
      <c r="T1273" s="83" t="n">
        <v>0</v>
      </c>
      <c r="U1273" s="80" t="n">
        <f aca="false">SUM(S1273:T1273)</f>
        <v>88000</v>
      </c>
      <c r="V1273" s="84" t="s">
        <v>7</v>
      </c>
      <c r="W1273" s="80" t="str">
        <f aca="true">
IF(D1273="폐업","폐업",
IF(V1273="면제","면제",
IF(AND(V1273="정상",COUNTIFS(OFFSET(Y1273,0,COUNTA(Y1273:AV1273)-1,1,-4),"미납")&gt;=3),"장기미납",
IF(AND(V1273="정상",OFFSET(Y1273,0,COUNTA(Y1273:AV1273)-1)&gt;=U1273),"정상",
IF(AND(V1273="정상",OFFSET(Y1273,0,COUNTA(Y1273:AV1273)-1)=0),"정상",
"계약서 미작성")))))</f>
        <v>폐업</v>
      </c>
      <c r="X1273" s="81" t="str">
        <f aca="true">
IF(D1273="폐업","폐업",
IF(AND(V1273="정상",OFFSET(Y1273,0,COUNTA(Y1273:AV1273)-1)="미납"),"미납",
IF(AND(V1273="정상",OFFSET(Y1273,0,COUNTA(Y1273:AV1273)-1)=0),"납부 시작 전",
IF(AND(V1273="정상",OFFSET(Y1273,0,COUNTA(Y1273:AV1273)-1)&gt;=U1273),"정상",
IF(AND(V1273="면제",OFFSET(Y1273,0,COUNTA(Y1273:AV1273)-1)="면제"),"면제",
IF(AND(V1273="면제",OFFSET(Y1273,0,COUNTA(Y1273:AV1273)-1)=0),"면제",
"확인요청"))))))</f>
        <v>폐업</v>
      </c>
      <c r="Y1273" s="94" t="s">
        <v>7</v>
      </c>
      <c r="Z1273" s="95" t="s">
        <v>7</v>
      </c>
      <c r="AA1273" s="95" t="s">
        <v>7</v>
      </c>
      <c r="AB1273" s="95" t="s">
        <v>7</v>
      </c>
      <c r="AC1273" s="95" t="s">
        <v>7</v>
      </c>
      <c r="AD1273" s="95" t="s">
        <v>7</v>
      </c>
      <c r="AE1273" s="95" t="s">
        <v>7</v>
      </c>
      <c r="AF1273" s="95" t="s">
        <v>7</v>
      </c>
      <c r="AG1273" s="95" t="s">
        <v>7</v>
      </c>
      <c r="AH1273" s="95" t="s">
        <v>7</v>
      </c>
      <c r="AI1273" s="95" t="s">
        <v>7</v>
      </c>
      <c r="AJ1273" s="96" t="s">
        <v>7</v>
      </c>
      <c r="AK1273" s="97" t="s">
        <v>7</v>
      </c>
      <c r="AL1273" s="95" t="s">
        <v>7</v>
      </c>
      <c r="AM1273" s="90"/>
      <c r="AN1273" s="90"/>
      <c r="AO1273" s="90"/>
      <c r="AP1273" s="90"/>
      <c r="AQ1273" s="90"/>
      <c r="AR1273" s="90"/>
      <c r="AS1273" s="90"/>
      <c r="AT1273" s="90"/>
      <c r="AU1273" s="90"/>
      <c r="AV1273" s="91"/>
      <c r="AX1273" s="92"/>
    </row>
    <row r="1274" customFormat="false" ht="15.65" hidden="false" customHeight="false" outlineLevel="0" collapsed="false">
      <c r="C1274" s="72" t="n">
        <f aca="false">COUNTIFS($D$6:D1274,"&lt;&gt;"&amp;"")</f>
        <v>1269</v>
      </c>
      <c r="D1274" s="73" t="s">
        <v>12</v>
      </c>
      <c r="E1274" s="76" t="str">
        <f aca="false">
IF($D1274="정상",INDEX(임대자산!$D$3:$R$3000,MATCH($F1274,임대자산!$I$3:$I$3000,0),MATCH(E$3,임대자산!$D$3:$R$3,0)),
IF($D1274="폐업",INDEX(폐업정보!$D$3:$R$3000,MATCH($F1274,폐업정보!$I$3:$I$3000,0),MATCH(E$3,폐업정보!$D$3:$R$3,0)),
"Error"))</f>
        <v>강원</v>
      </c>
      <c r="F127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B1269</v>
      </c>
      <c r="G1274" s="76" t="str">
        <f aca="false">F1274&amp;RANDBETWEEN(0,10)</f>
        <v>B12699</v>
      </c>
      <c r="H1274" s="75" t="n">
        <f aca="false">
IF($D1274="정상",INDEX(임대자산!$D$3:$R$3000,MATCH($F1274,임대자산!$I$3:$I$3000,0),MATCH(H$4,임대자산!$D$3:$R$3,0)),
IF($D1274="폐업",INDEX(폐업정보!$D$3:$R$3000,MATCH($F1274,폐업정보!$I$3:$I$3000,0),MATCH(H$4,폐업정보!$D$3:$R$3,0)),
"Error"))</f>
        <v>45666</v>
      </c>
      <c r="I1274" s="75" t="str">
        <f aca="false">
IF($D1274="정상",INDEX(임대자산!$D$3:$R$3000,MATCH($F1274,임대자산!$I$3:$I$3000,0),MATCH(I$4,임대자산!$D$3:$R$3,0)),
IF($D1274="폐업",INDEX(폐업정보!$D$3:$R$3000,MATCH($F1274,폐업정보!$I$3:$I$3000,0),MATCH(I$4,폐업정보!$D$3:$R$3,0)),
"Error"))</f>
        <v>A1269</v>
      </c>
      <c r="J1274" s="75" t="str">
        <f aca="false">
IF($D1274="정상",INDEX(임대자산!$D$3:$R$3000,MATCH($F1274,임대자산!$I$3:$I$3000,0),MATCH(J$4,임대자산!$D$3:$R$3,0)),
IF($D1274="폐업",INDEX(폐업정보!$D$3:$R$3000,MATCH($F1274,폐업정보!$I$3:$I$3000,0),MATCH(J$4,폐업정보!$D$3:$R$3,0)),
"Error"))</f>
        <v>8649100000</v>
      </c>
      <c r="K1274" s="75" t="str">
        <f aca="false">
IF($D1274="정상",INDEX(임대자산!$D$3:$R$3000,MATCH($F1274,임대자산!$I$3:$I$3000,0),MATCH(K$4,임대자산!$D$3:$R$3,0)),
IF($D1274="폐업",INDEX(폐업정보!$D$3:$R$3000,MATCH($F1274,폐업정보!$I$3:$I$3000,0),MATCH(K$4,폐업정보!$D$3:$R$3,0)),
"Error"))</f>
        <v>C1269</v>
      </c>
      <c r="L1274" s="75" t="str">
        <f aca="false">
IF($D1274="정상",INDEX(임대자산!$D$3:$R$3000,MATCH($F1274,임대자산!$I$3:$I$3000,0),MATCH(L$4,임대자산!$D$3:$R$3,0)),
IF($D1274="폐업",INDEX(폐업정보!$D$3:$R$3000,MATCH($F1274,폐업정보!$I$3:$I$3000,0),MATCH(L$4,폐업정보!$D$3:$R$3,0)),
"Error"))</f>
        <v>D1269</v>
      </c>
      <c r="M1274" s="76" t="s">
        <v>96</v>
      </c>
      <c r="N1274" s="77"/>
      <c r="O1274" s="78" t="s">
        <v>97</v>
      </c>
      <c r="P1274" s="79" t="n">
        <f aca="false">COUNTIFS(임대자산!$I:$I,가맹점정보!F1274,임대자산!$N:$N,가맹점정보!P$4)</f>
        <v>0</v>
      </c>
      <c r="Q1274" s="80" t="n">
        <f aca="false">COUNTIFS(임대자산!$I:$I,가맹점정보!F1274,임대자산!$N:$N,가맹점정보!Q$4)</f>
        <v>0</v>
      </c>
      <c r="R1274" s="81" t="n">
        <f aca="false">COUNTIFS(임대자산!$I:$I,가맹점정보!F1274,임대자산!$N:$N,가맹점정보!R$4)</f>
        <v>1</v>
      </c>
      <c r="S1274" s="82" t="n">
        <v>55000</v>
      </c>
      <c r="T1274" s="83" t="n">
        <v>0</v>
      </c>
      <c r="U1274" s="80" t="n">
        <f aca="false">SUM(S1274:T1274)</f>
        <v>55000</v>
      </c>
      <c r="V1274" s="84" t="s">
        <v>12</v>
      </c>
      <c r="W1274" s="80" t="e">
        <f aca="true">
IF(D1274="폐업","폐업",
IF(V1274="면제","면제",
IF(AND(V1274="정상",COUNTIFS(OFFSET(Y1274,0,COUNTA(Y1274:AV1274)-1,1,-4),"미납")&gt;=3),"장기미납",
IF(AND(V1274="정상",OFFSET(Y1274,0,COUNTA(Y1274:AV1274)-1)&gt;=U1274),"정상",
IF(AND(V1274="정상",OFFSET(Y1274,0,COUNTA(Y1274:AV1274)-1)=0),"정상",
"계약서 미작성")))))</f>
        <v>#VALUE!</v>
      </c>
      <c r="X1274" s="81" t="str">
        <f aca="true">
IF(D1274="폐업","폐업",
IF(AND(V1274="정상",OFFSET(Y1274,0,COUNTA(Y1274:AV1274)-1)="미납"),"미납",
IF(AND(V1274="정상",OFFSET(Y1274,0,COUNTA(Y1274:AV1274)-1)=0),"납부 시작 전",
IF(AND(V1274="정상",OFFSET(Y1274,0,COUNTA(Y1274:AV1274)-1)&gt;=U1274),"정상",
IF(AND(V1274="면제",OFFSET(Y1274,0,COUNTA(Y1274:AV1274)-1)="면제"),"면제",
IF(AND(V1274="면제",OFFSET(Y1274,0,COUNTA(Y1274:AV1274)-1)=0),"면제",
"확인요청"))))))</f>
        <v>정상</v>
      </c>
      <c r="Y1274" s="93" t="n">
        <v>55000</v>
      </c>
      <c r="Z1274" s="90" t="n">
        <v>55000</v>
      </c>
      <c r="AA1274" s="90" t="n">
        <v>55000</v>
      </c>
      <c r="AB1274" s="90" t="n">
        <v>55000</v>
      </c>
      <c r="AC1274" s="90" t="n">
        <v>55000</v>
      </c>
      <c r="AD1274" s="90" t="n">
        <v>55000</v>
      </c>
      <c r="AE1274" s="90" t="n">
        <v>55000</v>
      </c>
      <c r="AF1274" s="90" t="n">
        <v>55000</v>
      </c>
      <c r="AG1274" s="90" t="n">
        <v>55000</v>
      </c>
      <c r="AH1274" s="90" t="n">
        <v>55000</v>
      </c>
      <c r="AI1274" s="90" t="n">
        <v>55000</v>
      </c>
      <c r="AJ1274" s="91" t="n">
        <v>55000</v>
      </c>
      <c r="AK1274" s="89" t="n">
        <v>55000</v>
      </c>
      <c r="AL1274" s="90" t="n">
        <v>55000</v>
      </c>
      <c r="AM1274" s="90"/>
      <c r="AN1274" s="90"/>
      <c r="AO1274" s="90"/>
      <c r="AP1274" s="90"/>
      <c r="AQ1274" s="90"/>
      <c r="AR1274" s="90"/>
      <c r="AS1274" s="90"/>
      <c r="AT1274" s="90"/>
      <c r="AU1274" s="90"/>
      <c r="AV1274" s="91"/>
      <c r="AX1274" s="92"/>
    </row>
    <row r="1275" customFormat="false" ht="15.65" hidden="false" customHeight="false" outlineLevel="0" collapsed="false">
      <c r="C1275" s="72" t="n">
        <f aca="false">COUNTIFS($D$6:D1275,"&lt;&gt;"&amp;"")</f>
        <v>1270</v>
      </c>
      <c r="D1275" s="73" t="s">
        <v>5</v>
      </c>
      <c r="E1275" s="76" t="str">
        <f aca="false">
IF($D1275="정상",INDEX(임대자산!$D$3:$R$3000,MATCH($F1275,임대자산!$I$3:$I$3000,0),MATCH(E$3,임대자산!$D$3:$R$3,0)),
IF($D1275="폐업",INDEX(폐업정보!$D$3:$R$3000,MATCH($F1275,폐업정보!$I$3:$I$3000,0),MATCH(E$3,폐업정보!$D$3:$R$3,0)),
"Error"))</f>
        <v>강원</v>
      </c>
      <c r="F127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B1270</v>
      </c>
      <c r="G1275" s="76" t="str">
        <f aca="false">F1275&amp;RANDBETWEEN(0,10)</f>
        <v>B12704</v>
      </c>
      <c r="H1275" s="75" t="n">
        <f aca="false">
IF($D1275="정상",INDEX(임대자산!$D$3:$R$3000,MATCH($F1275,임대자산!$I$3:$I$3000,0),MATCH(H$4,임대자산!$D$3:$R$3,0)),
IF($D1275="폐업",INDEX(폐업정보!$D$3:$R$3000,MATCH($F1275,폐업정보!$I$3:$I$3000,0),MATCH(H$4,폐업정보!$D$3:$R$3,0)),
"Error"))</f>
        <v>45666</v>
      </c>
      <c r="I1275" s="75" t="str">
        <f aca="false">
IF($D1275="정상",INDEX(임대자산!$D$3:$R$3000,MATCH($F1275,임대자산!$I$3:$I$3000,0),MATCH(I$4,임대자산!$D$3:$R$3,0)),
IF($D1275="폐업",INDEX(폐업정보!$D$3:$R$3000,MATCH($F1275,폐업정보!$I$3:$I$3000,0),MATCH(I$4,폐업정보!$D$3:$R$3,0)),
"Error"))</f>
        <v>A1270</v>
      </c>
      <c r="J1275" s="75" t="str">
        <f aca="false">
IF($D1275="정상",INDEX(임대자산!$D$3:$R$3000,MATCH($F1275,임대자산!$I$3:$I$3000,0),MATCH(J$4,임대자산!$D$3:$R$3,0)),
IF($D1275="폐업",INDEX(폐업정보!$D$3:$R$3000,MATCH($F1275,폐업정보!$I$3:$I$3000,0),MATCH(J$4,폐업정보!$D$3:$R$3,0)),
"Error"))</f>
        <v>4992200000</v>
      </c>
      <c r="K1275" s="75" t="str">
        <f aca="false">
IF($D1275="정상",INDEX(임대자산!$D$3:$R$3000,MATCH($F1275,임대자산!$I$3:$I$3000,0),MATCH(K$4,임대자산!$D$3:$R$3,0)),
IF($D1275="폐업",INDEX(폐업정보!$D$3:$R$3000,MATCH($F1275,폐업정보!$I$3:$I$3000,0),MATCH(K$4,폐업정보!$D$3:$R$3,0)),
"Error"))</f>
        <v>C1270</v>
      </c>
      <c r="L1275" s="75" t="str">
        <f aca="false">
IF($D1275="정상",INDEX(임대자산!$D$3:$R$3000,MATCH($F1275,임대자산!$I$3:$I$3000,0),MATCH(L$4,임대자산!$D$3:$R$3,0)),
IF($D1275="폐업",INDEX(폐업정보!$D$3:$R$3000,MATCH($F1275,폐업정보!$I$3:$I$3000,0),MATCH(L$4,폐업정보!$D$3:$R$3,0)),
"Error"))</f>
        <v>D1270</v>
      </c>
      <c r="M1275" s="76" t="s">
        <v>96</v>
      </c>
      <c r="N1275" s="77"/>
      <c r="O1275" s="78" t="s">
        <v>97</v>
      </c>
      <c r="P1275" s="79" t="n">
        <f aca="false">COUNTIFS(임대자산!$I:$I,가맹점정보!F1275,임대자산!$N:$N,가맹점정보!P$4)</f>
        <v>0</v>
      </c>
      <c r="Q1275" s="80" t="n">
        <f aca="false">COUNTIFS(임대자산!$I:$I,가맹점정보!F1275,임대자산!$N:$N,가맹점정보!Q$4)</f>
        <v>0</v>
      </c>
      <c r="R1275" s="81" t="n">
        <f aca="false">COUNTIFS(임대자산!$I:$I,가맹점정보!F1275,임대자산!$N:$N,가맹점정보!R$4)</f>
        <v>0</v>
      </c>
      <c r="S1275" s="82" t="n">
        <v>55000</v>
      </c>
      <c r="T1275" s="83" t="n">
        <v>0</v>
      </c>
      <c r="U1275" s="80" t="n">
        <f aca="false">SUM(S1275:T1275)</f>
        <v>55000</v>
      </c>
      <c r="V1275" s="84" t="s">
        <v>7</v>
      </c>
      <c r="W1275" s="80" t="str">
        <f aca="true">
IF(D1275="폐업","폐업",
IF(V1275="면제","면제",
IF(AND(V1275="정상",COUNTIFS(OFFSET(Y1275,0,COUNTA(Y1275:AV1275)-1,1,-4),"미납")&gt;=3),"장기미납",
IF(AND(V1275="정상",OFFSET(Y1275,0,COUNTA(Y1275:AV1275)-1)&gt;=U1275),"정상",
IF(AND(V1275="정상",OFFSET(Y1275,0,COUNTA(Y1275:AV1275)-1)=0),"정상",
"계약서 미작성")))))</f>
        <v>폐업</v>
      </c>
      <c r="X1275" s="81" t="str">
        <f aca="true">
IF(D1275="폐업","폐업",
IF(AND(V1275="정상",OFFSET(Y1275,0,COUNTA(Y1275:AV1275)-1)="미납"),"미납",
IF(AND(V1275="정상",OFFSET(Y1275,0,COUNTA(Y1275:AV1275)-1)=0),"납부 시작 전",
IF(AND(V1275="정상",OFFSET(Y1275,0,COUNTA(Y1275:AV1275)-1)&gt;=U1275),"정상",
IF(AND(V1275="면제",OFFSET(Y1275,0,COUNTA(Y1275:AV1275)-1)="면제"),"면제",
IF(AND(V1275="면제",OFFSET(Y1275,0,COUNTA(Y1275:AV1275)-1)=0),"면제",
"확인요청"))))))</f>
        <v>폐업</v>
      </c>
      <c r="Y1275" s="94" t="s">
        <v>7</v>
      </c>
      <c r="Z1275" s="95" t="s">
        <v>7</v>
      </c>
      <c r="AA1275" s="95" t="s">
        <v>7</v>
      </c>
      <c r="AB1275" s="95" t="s">
        <v>7</v>
      </c>
      <c r="AC1275" s="95" t="s">
        <v>7</v>
      </c>
      <c r="AD1275" s="95" t="s">
        <v>7</v>
      </c>
      <c r="AE1275" s="95" t="s">
        <v>7</v>
      </c>
      <c r="AF1275" s="95" t="s">
        <v>7</v>
      </c>
      <c r="AG1275" s="95" t="s">
        <v>7</v>
      </c>
      <c r="AH1275" s="95" t="s">
        <v>7</v>
      </c>
      <c r="AI1275" s="95" t="s">
        <v>7</v>
      </c>
      <c r="AJ1275" s="96" t="s">
        <v>7</v>
      </c>
      <c r="AK1275" s="97" t="s">
        <v>7</v>
      </c>
      <c r="AL1275" s="95" t="s">
        <v>7</v>
      </c>
      <c r="AM1275" s="90"/>
      <c r="AN1275" s="90"/>
      <c r="AO1275" s="90"/>
      <c r="AP1275" s="90"/>
      <c r="AQ1275" s="90"/>
      <c r="AR1275" s="90"/>
      <c r="AS1275" s="90"/>
      <c r="AT1275" s="90"/>
      <c r="AU1275" s="90"/>
      <c r="AV1275" s="91"/>
      <c r="AX1275" s="92"/>
    </row>
    <row r="1276" customFormat="false" ht="15.65" hidden="false" customHeight="false" outlineLevel="0" collapsed="false">
      <c r="C1276" s="72" t="n">
        <f aca="false">COUNTIFS($D$6:D1276,"&lt;&gt;"&amp;"")</f>
        <v>1271</v>
      </c>
      <c r="D1276" s="73" t="s">
        <v>12</v>
      </c>
      <c r="E1276" s="76" t="str">
        <f aca="false">
IF($D1276="정상",INDEX(임대자산!$D$3:$R$3000,MATCH($F1276,임대자산!$I$3:$I$3000,0),MATCH(E$3,임대자산!$D$3:$R$3,0)),
IF($D1276="폐업",INDEX(폐업정보!$D$3:$R$3000,MATCH($F1276,폐업정보!$I$3:$I$3000,0),MATCH(E$3,폐업정보!$D$3:$R$3,0)),
"Error"))</f>
        <v>서울</v>
      </c>
      <c r="F127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B1271</v>
      </c>
      <c r="G1276" s="76" t="str">
        <f aca="false">F1276&amp;RANDBETWEEN(0,10)</f>
        <v>B12712</v>
      </c>
      <c r="H1276" s="75" t="n">
        <f aca="false">
IF($D1276="정상",INDEX(임대자산!$D$3:$R$3000,MATCH($F1276,임대자산!$I$3:$I$3000,0),MATCH(H$4,임대자산!$D$3:$R$3,0)),
IF($D1276="폐업",INDEX(폐업정보!$D$3:$R$3000,MATCH($F1276,폐업정보!$I$3:$I$3000,0),MATCH(H$4,폐업정보!$D$3:$R$3,0)),
"Error"))</f>
        <v>45644</v>
      </c>
      <c r="I1276" s="75" t="str">
        <f aca="false">
IF($D1276="정상",INDEX(임대자산!$D$3:$R$3000,MATCH($F1276,임대자산!$I$3:$I$3000,0),MATCH(I$4,임대자산!$D$3:$R$3,0)),
IF($D1276="폐업",INDEX(폐업정보!$D$3:$R$3000,MATCH($F1276,폐업정보!$I$3:$I$3000,0),MATCH(I$4,폐업정보!$D$3:$R$3,0)),
"Error"))</f>
        <v>A1271</v>
      </c>
      <c r="J1276" s="75" t="str">
        <f aca="false">
IF($D1276="정상",INDEX(임대자산!$D$3:$R$3000,MATCH($F1276,임대자산!$I$3:$I$3000,0),MATCH(J$4,임대자산!$D$3:$R$3,0)),
IF($D1276="폐업",INDEX(폐업정보!$D$3:$R$3000,MATCH($F1276,폐업정보!$I$3:$I$3000,0),MATCH(J$4,폐업정보!$D$3:$R$3,0)),
"Error"))</f>
        <v>6166200000</v>
      </c>
      <c r="K1276" s="75" t="str">
        <f aca="false">
IF($D1276="정상",INDEX(임대자산!$D$3:$R$3000,MATCH($F1276,임대자산!$I$3:$I$3000,0),MATCH(K$4,임대자산!$D$3:$R$3,0)),
IF($D1276="폐업",INDEX(폐업정보!$D$3:$R$3000,MATCH($F1276,폐업정보!$I$3:$I$3000,0),MATCH(K$4,폐업정보!$D$3:$R$3,0)),
"Error"))</f>
        <v>C1271</v>
      </c>
      <c r="L1276" s="75" t="str">
        <f aca="false">
IF($D1276="정상",INDEX(임대자산!$D$3:$R$3000,MATCH($F1276,임대자산!$I$3:$I$3000,0),MATCH(L$4,임대자산!$D$3:$R$3,0)),
IF($D1276="폐업",INDEX(폐업정보!$D$3:$R$3000,MATCH($F1276,폐업정보!$I$3:$I$3000,0),MATCH(L$4,폐업정보!$D$3:$R$3,0)),
"Error"))</f>
        <v>D1271</v>
      </c>
      <c r="M1276" s="76" t="s">
        <v>96</v>
      </c>
      <c r="N1276" s="77"/>
      <c r="O1276" s="78" t="s">
        <v>97</v>
      </c>
      <c r="P1276" s="79" t="n">
        <f aca="false">COUNTIFS(임대자산!$I:$I,가맹점정보!F1276,임대자산!$N:$N,가맹점정보!P$4)</f>
        <v>0</v>
      </c>
      <c r="Q1276" s="80" t="n">
        <f aca="false">COUNTIFS(임대자산!$I:$I,가맹점정보!F1276,임대자산!$N:$N,가맹점정보!Q$4)</f>
        <v>0</v>
      </c>
      <c r="R1276" s="81" t="n">
        <f aca="false">COUNTIFS(임대자산!$I:$I,가맹점정보!F1276,임대자산!$N:$N,가맹점정보!R$4)</f>
        <v>1</v>
      </c>
      <c r="S1276" s="82" t="n">
        <v>55000</v>
      </c>
      <c r="T1276" s="83" t="n">
        <v>0</v>
      </c>
      <c r="U1276" s="80" t="n">
        <f aca="false">SUM(S1276:T1276)</f>
        <v>55000</v>
      </c>
      <c r="V1276" s="84" t="s">
        <v>7</v>
      </c>
      <c r="W1276" s="80" t="str">
        <f aca="true">
IF(D1276="폐업","폐업",
IF(V1276="면제","면제",
IF(AND(V1276="정상",COUNTIFS(OFFSET(Y1276,0,COUNTA(Y1276:AV1276)-1,1,-4),"미납")&gt;=3),"장기미납",
IF(AND(V1276="정상",OFFSET(Y1276,0,COUNTA(Y1276:AV1276)-1)&gt;=U1276),"정상",
IF(AND(V1276="정상",OFFSET(Y1276,0,COUNTA(Y1276:AV1276)-1)=0),"정상",
"계약서 미작성")))))</f>
        <v>면제</v>
      </c>
      <c r="X1276" s="81" t="str">
        <f aca="true">
IF(D1276="폐업","폐업",
IF(AND(V1276="정상",OFFSET(Y1276,0,COUNTA(Y1276:AV1276)-1)="미납"),"미납",
IF(AND(V1276="정상",OFFSET(Y1276,0,COUNTA(Y1276:AV1276)-1)=0),"납부 시작 전",
IF(AND(V1276="정상",OFFSET(Y1276,0,COUNTA(Y1276:AV1276)-1)&gt;=U1276),"정상",
IF(AND(V1276="면제",OFFSET(Y1276,0,COUNTA(Y1276:AV1276)-1)="면제"),"면제",
IF(AND(V1276="면제",OFFSET(Y1276,0,COUNTA(Y1276:AV1276)-1)=0),"면제",
"확인요청"))))))</f>
        <v>면제</v>
      </c>
      <c r="Y1276" s="94" t="s">
        <v>7</v>
      </c>
      <c r="Z1276" s="95" t="s">
        <v>7</v>
      </c>
      <c r="AA1276" s="95" t="s">
        <v>7</v>
      </c>
      <c r="AB1276" s="95" t="s">
        <v>7</v>
      </c>
      <c r="AC1276" s="95" t="s">
        <v>7</v>
      </c>
      <c r="AD1276" s="95" t="s">
        <v>7</v>
      </c>
      <c r="AE1276" s="95" t="s">
        <v>7</v>
      </c>
      <c r="AF1276" s="95" t="s">
        <v>7</v>
      </c>
      <c r="AG1276" s="95" t="s">
        <v>7</v>
      </c>
      <c r="AH1276" s="95" t="s">
        <v>7</v>
      </c>
      <c r="AI1276" s="95" t="s">
        <v>7</v>
      </c>
      <c r="AJ1276" s="96" t="s">
        <v>7</v>
      </c>
      <c r="AK1276" s="97" t="s">
        <v>7</v>
      </c>
      <c r="AL1276" s="95" t="s">
        <v>7</v>
      </c>
      <c r="AM1276" s="90"/>
      <c r="AN1276" s="90"/>
      <c r="AO1276" s="90"/>
      <c r="AP1276" s="90"/>
      <c r="AQ1276" s="90"/>
      <c r="AR1276" s="90"/>
      <c r="AS1276" s="90"/>
      <c r="AT1276" s="90"/>
      <c r="AU1276" s="90"/>
      <c r="AV1276" s="91"/>
      <c r="AX1276" s="92"/>
    </row>
    <row r="1277" customFormat="false" ht="15.65" hidden="false" customHeight="false" outlineLevel="0" collapsed="false">
      <c r="C1277" s="72" t="n">
        <f aca="false">COUNTIFS($D$6:D1277,"&lt;&gt;"&amp;"")</f>
        <v>1272</v>
      </c>
      <c r="D1277" s="73" t="s">
        <v>12</v>
      </c>
      <c r="E1277" s="76" t="str">
        <f aca="false">
IF($D1277="정상",INDEX(임대자산!$D$3:$R$3000,MATCH($F1277,임대자산!$I$3:$I$3000,0),MATCH(E$3,임대자산!$D$3:$R$3,0)),
IF($D1277="폐업",INDEX(폐업정보!$D$3:$R$3000,MATCH($F1277,폐업정보!$I$3:$I$3000,0),MATCH(E$3,폐업정보!$D$3:$R$3,0)),
"Error"))</f>
        <v>서울</v>
      </c>
      <c r="F127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B1272</v>
      </c>
      <c r="G1277" s="76" t="str">
        <f aca="false">F1277&amp;RANDBETWEEN(0,10)</f>
        <v>B12720</v>
      </c>
      <c r="H1277" s="75" t="n">
        <f aca="false">
IF($D1277="정상",INDEX(임대자산!$D$3:$R$3000,MATCH($F1277,임대자산!$I$3:$I$3000,0),MATCH(H$4,임대자산!$D$3:$R$3,0)),
IF($D1277="폐업",INDEX(폐업정보!$D$3:$R$3000,MATCH($F1277,폐업정보!$I$3:$I$3000,0),MATCH(H$4,폐업정보!$D$3:$R$3,0)),
"Error"))</f>
        <v>45868</v>
      </c>
      <c r="I1277" s="75" t="str">
        <f aca="false">
IF($D1277="정상",INDEX(임대자산!$D$3:$R$3000,MATCH($F1277,임대자산!$I$3:$I$3000,0),MATCH(I$4,임대자산!$D$3:$R$3,0)),
IF($D1277="폐업",INDEX(폐업정보!$D$3:$R$3000,MATCH($F1277,폐업정보!$I$3:$I$3000,0),MATCH(I$4,폐업정보!$D$3:$R$3,0)),
"Error"))</f>
        <v>A1272</v>
      </c>
      <c r="J1277" s="75" t="str">
        <f aca="false">
IF($D1277="정상",INDEX(임대자산!$D$3:$R$3000,MATCH($F1277,임대자산!$I$3:$I$3000,0),MATCH(J$4,임대자산!$D$3:$R$3,0)),
IF($D1277="폐업",INDEX(폐업정보!$D$3:$R$3000,MATCH($F1277,폐업정보!$I$3:$I$3000,0),MATCH(J$4,폐업정보!$D$3:$R$3,0)),
"Error"))</f>
        <v>2770000000</v>
      </c>
      <c r="K1277" s="75" t="str">
        <f aca="false">
IF($D1277="정상",INDEX(임대자산!$D$3:$R$3000,MATCH($F1277,임대자산!$I$3:$I$3000,0),MATCH(K$4,임대자산!$D$3:$R$3,0)),
IF($D1277="폐업",INDEX(폐업정보!$D$3:$R$3000,MATCH($F1277,폐업정보!$I$3:$I$3000,0),MATCH(K$4,폐업정보!$D$3:$R$3,0)),
"Error"))</f>
        <v>C1272</v>
      </c>
      <c r="L1277" s="75" t="str">
        <f aca="false">
IF($D1277="정상",INDEX(임대자산!$D$3:$R$3000,MATCH($F1277,임대자산!$I$3:$I$3000,0),MATCH(L$4,임대자산!$D$3:$R$3,0)),
IF($D1277="폐업",INDEX(폐업정보!$D$3:$R$3000,MATCH($F1277,폐업정보!$I$3:$I$3000,0),MATCH(L$4,폐업정보!$D$3:$R$3,0)),
"Error"))</f>
        <v>D1272</v>
      </c>
      <c r="M1277" s="76" t="s">
        <v>96</v>
      </c>
      <c r="N1277" s="77"/>
      <c r="O1277" s="78" t="s">
        <v>97</v>
      </c>
      <c r="P1277" s="79" t="n">
        <f aca="false">COUNTIFS(임대자산!$I:$I,가맹점정보!F1277,임대자산!$N:$N,가맹점정보!P$4)</f>
        <v>0</v>
      </c>
      <c r="Q1277" s="80" t="n">
        <f aca="false">COUNTIFS(임대자산!$I:$I,가맹점정보!F1277,임대자산!$N:$N,가맹점정보!Q$4)</f>
        <v>0</v>
      </c>
      <c r="R1277" s="81" t="n">
        <f aca="false">COUNTIFS(임대자산!$I:$I,가맹점정보!F1277,임대자산!$N:$N,가맹점정보!R$4)</f>
        <v>1</v>
      </c>
      <c r="S1277" s="82" t="n">
        <v>55000</v>
      </c>
      <c r="T1277" s="83" t="n">
        <v>0</v>
      </c>
      <c r="U1277" s="80" t="n">
        <f aca="false">SUM(S1277:T1277)</f>
        <v>55000</v>
      </c>
      <c r="V1277" s="84" t="s">
        <v>7</v>
      </c>
      <c r="W1277" s="80" t="str">
        <f aca="true">
IF(D1277="폐업","폐업",
IF(V1277="면제","면제",
IF(AND(V1277="정상",COUNTIFS(OFFSET(Y1277,0,COUNTA(Y1277:AV1277)-1,1,-4),"미납")&gt;=3),"장기미납",
IF(AND(V1277="정상",OFFSET(Y1277,0,COUNTA(Y1277:AV1277)-1)&gt;=U1277),"정상",
IF(AND(V1277="정상",OFFSET(Y1277,0,COUNTA(Y1277:AV1277)-1)=0),"정상",
"계약서 미작성")))))</f>
        <v>면제</v>
      </c>
      <c r="X1277" s="81" t="str">
        <f aca="true">
IF(D1277="폐업","폐업",
IF(AND(V1277="정상",OFFSET(Y1277,0,COUNTA(Y1277:AV1277)-1)="미납"),"미납",
IF(AND(V1277="정상",OFFSET(Y1277,0,COUNTA(Y1277:AV1277)-1)=0),"납부 시작 전",
IF(AND(V1277="정상",OFFSET(Y1277,0,COUNTA(Y1277:AV1277)-1)&gt;=U1277),"정상",
IF(AND(V1277="면제",OFFSET(Y1277,0,COUNTA(Y1277:AV1277)-1)="면제"),"면제",
IF(AND(V1277="면제",OFFSET(Y1277,0,COUNTA(Y1277:AV1277)-1)=0),"면제",
"확인요청"))))))</f>
        <v>면제</v>
      </c>
      <c r="Y1277" s="94" t="s">
        <v>7</v>
      </c>
      <c r="Z1277" s="95" t="s">
        <v>7</v>
      </c>
      <c r="AA1277" s="95" t="s">
        <v>7</v>
      </c>
      <c r="AB1277" s="95" t="s">
        <v>7</v>
      </c>
      <c r="AC1277" s="95" t="s">
        <v>7</v>
      </c>
      <c r="AD1277" s="95" t="s">
        <v>7</v>
      </c>
      <c r="AE1277" s="95" t="s">
        <v>7</v>
      </c>
      <c r="AF1277" s="95" t="s">
        <v>7</v>
      </c>
      <c r="AG1277" s="95" t="s">
        <v>7</v>
      </c>
      <c r="AH1277" s="95" t="s">
        <v>7</v>
      </c>
      <c r="AI1277" s="95" t="s">
        <v>7</v>
      </c>
      <c r="AJ1277" s="96" t="s">
        <v>7</v>
      </c>
      <c r="AK1277" s="97" t="s">
        <v>7</v>
      </c>
      <c r="AL1277" s="95" t="s">
        <v>7</v>
      </c>
      <c r="AM1277" s="90"/>
      <c r="AN1277" s="90"/>
      <c r="AO1277" s="90"/>
      <c r="AP1277" s="90"/>
      <c r="AQ1277" s="90"/>
      <c r="AR1277" s="90"/>
      <c r="AS1277" s="90"/>
      <c r="AT1277" s="90"/>
      <c r="AU1277" s="90"/>
      <c r="AV1277" s="91"/>
      <c r="AX1277" s="92"/>
    </row>
    <row r="1278" customFormat="false" ht="15.65" hidden="false" customHeight="false" outlineLevel="0" collapsed="false">
      <c r="C1278" s="72" t="n">
        <f aca="false">COUNTIFS($D$6:D1278,"&lt;&gt;"&amp;"")</f>
        <v>1273</v>
      </c>
      <c r="D1278" s="73" t="s">
        <v>12</v>
      </c>
      <c r="E1278" s="76" t="str">
        <f aca="false">
IF($D1278="정상",INDEX(임대자산!$D$3:$R$3000,MATCH($F1278,임대자산!$I$3:$I$3000,0),MATCH(E$3,임대자산!$D$3:$R$3,0)),
IF($D1278="폐업",INDEX(폐업정보!$D$3:$R$3000,MATCH($F1278,폐업정보!$I$3:$I$3000,0),MATCH(E$3,폐업정보!$D$3:$R$3,0)),
"Error"))</f>
        <v>서울</v>
      </c>
      <c r="F127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B1273</v>
      </c>
      <c r="G1278" s="76" t="str">
        <f aca="false">F1278&amp;RANDBETWEEN(0,10)</f>
        <v>B127310</v>
      </c>
      <c r="H1278" s="75" t="n">
        <f aca="false">
IF($D1278="정상",INDEX(임대자산!$D$3:$R$3000,MATCH($F1278,임대자산!$I$3:$I$3000,0),MATCH(H$4,임대자산!$D$3:$R$3,0)),
IF($D1278="폐업",INDEX(폐업정보!$D$3:$R$3000,MATCH($F1278,폐업정보!$I$3:$I$3000,0),MATCH(H$4,폐업정보!$D$3:$R$3,0)),
"Error"))</f>
        <v>45491</v>
      </c>
      <c r="I1278" s="75" t="str">
        <f aca="false">
IF($D1278="정상",INDEX(임대자산!$D$3:$R$3000,MATCH($F1278,임대자산!$I$3:$I$3000,0),MATCH(I$4,임대자산!$D$3:$R$3,0)),
IF($D1278="폐업",INDEX(폐업정보!$D$3:$R$3000,MATCH($F1278,폐업정보!$I$3:$I$3000,0),MATCH(I$4,폐업정보!$D$3:$R$3,0)),
"Error"))</f>
        <v>A1273</v>
      </c>
      <c r="J1278" s="75" t="str">
        <f aca="false">
IF($D1278="정상",INDEX(임대자산!$D$3:$R$3000,MATCH($F1278,임대자산!$I$3:$I$3000,0),MATCH(J$4,임대자산!$D$3:$R$3,0)),
IF($D1278="폐업",INDEX(폐업정보!$D$3:$R$3000,MATCH($F1278,폐업정보!$I$3:$I$3000,0),MATCH(J$4,폐업정보!$D$3:$R$3,0)),
"Error"))</f>
        <v>7381200000</v>
      </c>
      <c r="K1278" s="75" t="str">
        <f aca="false">
IF($D1278="정상",INDEX(임대자산!$D$3:$R$3000,MATCH($F1278,임대자산!$I$3:$I$3000,0),MATCH(K$4,임대자산!$D$3:$R$3,0)),
IF($D1278="폐업",INDEX(폐업정보!$D$3:$R$3000,MATCH($F1278,폐업정보!$I$3:$I$3000,0),MATCH(K$4,폐업정보!$D$3:$R$3,0)),
"Error"))</f>
        <v>C1273</v>
      </c>
      <c r="L1278" s="75" t="str">
        <f aca="false">
IF($D1278="정상",INDEX(임대자산!$D$3:$R$3000,MATCH($F1278,임대자산!$I$3:$I$3000,0),MATCH(L$4,임대자산!$D$3:$R$3,0)),
IF($D1278="폐업",INDEX(폐업정보!$D$3:$R$3000,MATCH($F1278,폐업정보!$I$3:$I$3000,0),MATCH(L$4,폐업정보!$D$3:$R$3,0)),
"Error"))</f>
        <v>D1273</v>
      </c>
      <c r="M1278" s="76" t="s">
        <v>96</v>
      </c>
      <c r="N1278" s="77"/>
      <c r="O1278" s="78" t="s">
        <v>97</v>
      </c>
      <c r="P1278" s="79" t="n">
        <f aca="false">COUNTIFS(임대자산!$I:$I,가맹점정보!F1278,임대자산!$N:$N,가맹점정보!P$4)</f>
        <v>0</v>
      </c>
      <c r="Q1278" s="80" t="n">
        <f aca="false">COUNTIFS(임대자산!$I:$I,가맹점정보!F1278,임대자산!$N:$N,가맹점정보!Q$4)</f>
        <v>0</v>
      </c>
      <c r="R1278" s="81" t="n">
        <f aca="false">COUNTIFS(임대자산!$I:$I,가맹점정보!F1278,임대자산!$N:$N,가맹점정보!R$4)</f>
        <v>1</v>
      </c>
      <c r="S1278" s="82" t="n">
        <v>55000</v>
      </c>
      <c r="T1278" s="83" t="n">
        <v>0</v>
      </c>
      <c r="U1278" s="80" t="n">
        <f aca="false">SUM(S1278:T1278)</f>
        <v>55000</v>
      </c>
      <c r="V1278" s="84" t="s">
        <v>7</v>
      </c>
      <c r="W1278" s="80" t="str">
        <f aca="true">
IF(D1278="폐업","폐업",
IF(V1278="면제","면제",
IF(AND(V1278="정상",COUNTIFS(OFFSET(Y1278,0,COUNTA(Y1278:AV1278)-1,1,-4),"미납")&gt;=3),"장기미납",
IF(AND(V1278="정상",OFFSET(Y1278,0,COUNTA(Y1278:AV1278)-1)&gt;=U1278),"정상",
IF(AND(V1278="정상",OFFSET(Y1278,0,COUNTA(Y1278:AV1278)-1)=0),"정상",
"계약서 미작성")))))</f>
        <v>면제</v>
      </c>
      <c r="X1278" s="81" t="str">
        <f aca="true">
IF(D1278="폐업","폐업",
IF(AND(V1278="정상",OFFSET(Y1278,0,COUNTA(Y1278:AV1278)-1)="미납"),"미납",
IF(AND(V1278="정상",OFFSET(Y1278,0,COUNTA(Y1278:AV1278)-1)=0),"납부 시작 전",
IF(AND(V1278="정상",OFFSET(Y1278,0,COUNTA(Y1278:AV1278)-1)&gt;=U1278),"정상",
IF(AND(V1278="면제",OFFSET(Y1278,0,COUNTA(Y1278:AV1278)-1)="면제"),"면제",
IF(AND(V1278="면제",OFFSET(Y1278,0,COUNTA(Y1278:AV1278)-1)=0),"면제",
"확인요청"))))))</f>
        <v>면제</v>
      </c>
      <c r="Y1278" s="94" t="s">
        <v>7</v>
      </c>
      <c r="Z1278" s="95" t="s">
        <v>7</v>
      </c>
      <c r="AA1278" s="95" t="s">
        <v>7</v>
      </c>
      <c r="AB1278" s="95" t="s">
        <v>7</v>
      </c>
      <c r="AC1278" s="95" t="s">
        <v>7</v>
      </c>
      <c r="AD1278" s="95" t="s">
        <v>7</v>
      </c>
      <c r="AE1278" s="95" t="s">
        <v>7</v>
      </c>
      <c r="AF1278" s="95" t="s">
        <v>7</v>
      </c>
      <c r="AG1278" s="95" t="s">
        <v>7</v>
      </c>
      <c r="AH1278" s="95" t="s">
        <v>7</v>
      </c>
      <c r="AI1278" s="95" t="s">
        <v>7</v>
      </c>
      <c r="AJ1278" s="96" t="s">
        <v>7</v>
      </c>
      <c r="AK1278" s="97" t="s">
        <v>7</v>
      </c>
      <c r="AL1278" s="95" t="s">
        <v>7</v>
      </c>
      <c r="AM1278" s="90"/>
      <c r="AN1278" s="90"/>
      <c r="AO1278" s="90"/>
      <c r="AP1278" s="90"/>
      <c r="AQ1278" s="90"/>
      <c r="AR1278" s="90"/>
      <c r="AS1278" s="90"/>
      <c r="AT1278" s="90"/>
      <c r="AU1278" s="90"/>
      <c r="AV1278" s="91"/>
      <c r="AX1278" s="92"/>
    </row>
    <row r="1279" customFormat="false" ht="15.65" hidden="false" customHeight="false" outlineLevel="0" collapsed="false">
      <c r="C1279" s="72" t="n">
        <f aca="false">COUNTIFS($D$6:D1279,"&lt;&gt;"&amp;"")</f>
        <v>1274</v>
      </c>
      <c r="D1279" s="73" t="s">
        <v>12</v>
      </c>
      <c r="E1279" s="76" t="str">
        <f aca="false">
IF($D1279="정상",INDEX(임대자산!$D$3:$R$3000,MATCH($F1279,임대자산!$I$3:$I$3000,0),MATCH(E$3,임대자산!$D$3:$R$3,0)),
IF($D1279="폐업",INDEX(폐업정보!$D$3:$R$3000,MATCH($F1279,폐업정보!$I$3:$I$3000,0),MATCH(E$3,폐업정보!$D$3:$R$3,0)),
"Error"))</f>
        <v>서울</v>
      </c>
      <c r="F127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B1274</v>
      </c>
      <c r="G1279" s="76" t="str">
        <f aca="false">F1279&amp;RANDBETWEEN(0,10)</f>
        <v>B127410</v>
      </c>
      <c r="H1279" s="75" t="n">
        <f aca="false">
IF($D1279="정상",INDEX(임대자산!$D$3:$R$3000,MATCH($F1279,임대자산!$I$3:$I$3000,0),MATCH(H$4,임대자산!$D$3:$R$3,0)),
IF($D1279="폐업",INDEX(폐업정보!$D$3:$R$3000,MATCH($F1279,폐업정보!$I$3:$I$3000,0),MATCH(H$4,폐업정보!$D$3:$R$3,0)),
"Error"))</f>
        <v>45630</v>
      </c>
      <c r="I1279" s="75" t="str">
        <f aca="false">
IF($D1279="정상",INDEX(임대자산!$D$3:$R$3000,MATCH($F1279,임대자산!$I$3:$I$3000,0),MATCH(I$4,임대자산!$D$3:$R$3,0)),
IF($D1279="폐업",INDEX(폐업정보!$D$3:$R$3000,MATCH($F1279,폐업정보!$I$3:$I$3000,0),MATCH(I$4,폐업정보!$D$3:$R$3,0)),
"Error"))</f>
        <v>A1274</v>
      </c>
      <c r="J1279" s="75" t="str">
        <f aca="false">
IF($D1279="정상",INDEX(임대자산!$D$3:$R$3000,MATCH($F1279,임대자산!$I$3:$I$3000,0),MATCH(J$4,임대자산!$D$3:$R$3,0)),
IF($D1279="폐업",INDEX(폐업정보!$D$3:$R$3000,MATCH($F1279,폐업정보!$I$3:$I$3000,0),MATCH(J$4,폐업정보!$D$3:$R$3,0)),
"Error"))</f>
        <v>7052300000</v>
      </c>
      <c r="K1279" s="75" t="str">
        <f aca="false">
IF($D1279="정상",INDEX(임대자산!$D$3:$R$3000,MATCH($F1279,임대자산!$I$3:$I$3000,0),MATCH(K$4,임대자산!$D$3:$R$3,0)),
IF($D1279="폐업",INDEX(폐업정보!$D$3:$R$3000,MATCH($F1279,폐업정보!$I$3:$I$3000,0),MATCH(K$4,폐업정보!$D$3:$R$3,0)),
"Error"))</f>
        <v>C1274</v>
      </c>
      <c r="L1279" s="75" t="str">
        <f aca="false">
IF($D1279="정상",INDEX(임대자산!$D$3:$R$3000,MATCH($F1279,임대자산!$I$3:$I$3000,0),MATCH(L$4,임대자산!$D$3:$R$3,0)),
IF($D1279="폐업",INDEX(폐업정보!$D$3:$R$3000,MATCH($F1279,폐업정보!$I$3:$I$3000,0),MATCH(L$4,폐업정보!$D$3:$R$3,0)),
"Error"))</f>
        <v>D1274</v>
      </c>
      <c r="M1279" s="76" t="s">
        <v>96</v>
      </c>
      <c r="N1279" s="77"/>
      <c r="O1279" s="78" t="s">
        <v>97</v>
      </c>
      <c r="P1279" s="79" t="n">
        <f aca="false">COUNTIFS(임대자산!$I:$I,가맹점정보!F1279,임대자산!$N:$N,가맹점정보!P$4)</f>
        <v>0</v>
      </c>
      <c r="Q1279" s="80" t="n">
        <f aca="false">COUNTIFS(임대자산!$I:$I,가맹점정보!F1279,임대자산!$N:$N,가맹점정보!Q$4)</f>
        <v>0</v>
      </c>
      <c r="R1279" s="81" t="n">
        <f aca="false">COUNTIFS(임대자산!$I:$I,가맹점정보!F1279,임대자산!$N:$N,가맹점정보!R$4)</f>
        <v>1</v>
      </c>
      <c r="S1279" s="82" t="n">
        <v>88000</v>
      </c>
      <c r="T1279" s="83" t="n">
        <v>0</v>
      </c>
      <c r="U1279" s="80" t="n">
        <f aca="false">SUM(S1279:T1279)</f>
        <v>88000</v>
      </c>
      <c r="V1279" s="84" t="s">
        <v>7</v>
      </c>
      <c r="W1279" s="80" t="str">
        <f aca="true">
IF(D1279="폐업","폐업",
IF(V1279="면제","면제",
IF(AND(V1279="정상",COUNTIFS(OFFSET(Y1279,0,COUNTA(Y1279:AV1279)-1,1,-4),"미납")&gt;=3),"장기미납",
IF(AND(V1279="정상",OFFSET(Y1279,0,COUNTA(Y1279:AV1279)-1)&gt;=U1279),"정상",
IF(AND(V1279="정상",OFFSET(Y1279,0,COUNTA(Y1279:AV1279)-1)=0),"정상",
"계약서 미작성")))))</f>
        <v>면제</v>
      </c>
      <c r="X1279" s="81" t="str">
        <f aca="true">
IF(D1279="폐업","폐업",
IF(AND(V1279="정상",OFFSET(Y1279,0,COUNTA(Y1279:AV1279)-1)="미납"),"미납",
IF(AND(V1279="정상",OFFSET(Y1279,0,COUNTA(Y1279:AV1279)-1)=0),"납부 시작 전",
IF(AND(V1279="정상",OFFSET(Y1279,0,COUNTA(Y1279:AV1279)-1)&gt;=U1279),"정상",
IF(AND(V1279="면제",OFFSET(Y1279,0,COUNTA(Y1279:AV1279)-1)="면제"),"면제",
IF(AND(V1279="면제",OFFSET(Y1279,0,COUNTA(Y1279:AV1279)-1)=0),"면제",
"확인요청"))))))</f>
        <v>면제</v>
      </c>
      <c r="Y1279" s="94" t="s">
        <v>7</v>
      </c>
      <c r="Z1279" s="95" t="s">
        <v>7</v>
      </c>
      <c r="AA1279" s="95" t="s">
        <v>7</v>
      </c>
      <c r="AB1279" s="95" t="s">
        <v>7</v>
      </c>
      <c r="AC1279" s="95" t="s">
        <v>7</v>
      </c>
      <c r="AD1279" s="95" t="s">
        <v>7</v>
      </c>
      <c r="AE1279" s="95" t="s">
        <v>7</v>
      </c>
      <c r="AF1279" s="95" t="s">
        <v>7</v>
      </c>
      <c r="AG1279" s="95" t="s">
        <v>7</v>
      </c>
      <c r="AH1279" s="95" t="s">
        <v>7</v>
      </c>
      <c r="AI1279" s="95" t="s">
        <v>7</v>
      </c>
      <c r="AJ1279" s="96" t="s">
        <v>7</v>
      </c>
      <c r="AK1279" s="97" t="s">
        <v>7</v>
      </c>
      <c r="AL1279" s="95" t="s">
        <v>7</v>
      </c>
      <c r="AM1279" s="90"/>
      <c r="AN1279" s="90"/>
      <c r="AO1279" s="90"/>
      <c r="AP1279" s="90"/>
      <c r="AQ1279" s="90"/>
      <c r="AR1279" s="90"/>
      <c r="AS1279" s="90"/>
      <c r="AT1279" s="90"/>
      <c r="AU1279" s="90"/>
      <c r="AV1279" s="91"/>
      <c r="AX1279" s="92"/>
    </row>
    <row r="1280" customFormat="false" ht="15.65" hidden="false" customHeight="false" outlineLevel="0" collapsed="false">
      <c r="C1280" s="72" t="n">
        <f aca="false">COUNTIFS($D$6:D1280,"&lt;&gt;"&amp;"")</f>
        <v>1275</v>
      </c>
      <c r="D1280" s="73" t="s">
        <v>12</v>
      </c>
      <c r="E1280" s="76" t="str">
        <f aca="false">
IF($D1280="정상",INDEX(임대자산!$D$3:$R$3000,MATCH($F1280,임대자산!$I$3:$I$3000,0),MATCH(E$3,임대자산!$D$3:$R$3,0)),
IF($D1280="폐업",INDEX(폐업정보!$D$3:$R$3000,MATCH($F1280,폐업정보!$I$3:$I$3000,0),MATCH(E$3,폐업정보!$D$3:$R$3,0)),
"Error"))</f>
        <v>서울</v>
      </c>
      <c r="F128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B1275</v>
      </c>
      <c r="G1280" s="76" t="str">
        <f aca="false">F1280&amp;RANDBETWEEN(0,10)</f>
        <v>B127510</v>
      </c>
      <c r="H1280" s="75" t="n">
        <f aca="false">
IF($D1280="정상",INDEX(임대자산!$D$3:$R$3000,MATCH($F1280,임대자산!$I$3:$I$3000,0),MATCH(H$4,임대자산!$D$3:$R$3,0)),
IF($D1280="폐업",INDEX(폐업정보!$D$3:$R$3000,MATCH($F1280,폐업정보!$I$3:$I$3000,0),MATCH(H$4,폐업정보!$D$3:$R$3,0)),
"Error"))</f>
        <v>45702</v>
      </c>
      <c r="I1280" s="75" t="str">
        <f aca="false">
IF($D1280="정상",INDEX(임대자산!$D$3:$R$3000,MATCH($F1280,임대자산!$I$3:$I$3000,0),MATCH(I$4,임대자산!$D$3:$R$3,0)),
IF($D1280="폐업",INDEX(폐업정보!$D$3:$R$3000,MATCH($F1280,폐업정보!$I$3:$I$3000,0),MATCH(I$4,폐업정보!$D$3:$R$3,0)),
"Error"))</f>
        <v>A1275</v>
      </c>
      <c r="J1280" s="75" t="str">
        <f aca="false">
IF($D1280="정상",INDEX(임대자산!$D$3:$R$3000,MATCH($F1280,임대자산!$I$3:$I$3000,0),MATCH(J$4,임대자산!$D$3:$R$3,0)),
IF($D1280="폐업",INDEX(폐업정보!$D$3:$R$3000,MATCH($F1280,폐업정보!$I$3:$I$3000,0),MATCH(J$4,폐업정보!$D$3:$R$3,0)),
"Error"))</f>
        <v>5609300000</v>
      </c>
      <c r="K1280" s="75" t="str">
        <f aca="false">
IF($D1280="정상",INDEX(임대자산!$D$3:$R$3000,MATCH($F1280,임대자산!$I$3:$I$3000,0),MATCH(K$4,임대자산!$D$3:$R$3,0)),
IF($D1280="폐업",INDEX(폐업정보!$D$3:$R$3000,MATCH($F1280,폐업정보!$I$3:$I$3000,0),MATCH(K$4,폐업정보!$D$3:$R$3,0)),
"Error"))</f>
        <v>C1275</v>
      </c>
      <c r="L1280" s="75" t="str">
        <f aca="false">
IF($D1280="정상",INDEX(임대자산!$D$3:$R$3000,MATCH($F1280,임대자산!$I$3:$I$3000,0),MATCH(L$4,임대자산!$D$3:$R$3,0)),
IF($D1280="폐업",INDEX(폐업정보!$D$3:$R$3000,MATCH($F1280,폐업정보!$I$3:$I$3000,0),MATCH(L$4,폐업정보!$D$3:$R$3,0)),
"Error"))</f>
        <v>D1275</v>
      </c>
      <c r="M1280" s="76" t="s">
        <v>96</v>
      </c>
      <c r="N1280" s="77"/>
      <c r="O1280" s="78" t="s">
        <v>97</v>
      </c>
      <c r="P1280" s="79" t="n">
        <f aca="false">COUNTIFS(임대자산!$I:$I,가맹점정보!F1280,임대자산!$N:$N,가맹점정보!P$4)</f>
        <v>0</v>
      </c>
      <c r="Q1280" s="80" t="n">
        <f aca="false">COUNTIFS(임대자산!$I:$I,가맹점정보!F1280,임대자산!$N:$N,가맹점정보!Q$4)</f>
        <v>0</v>
      </c>
      <c r="R1280" s="81" t="n">
        <f aca="false">COUNTIFS(임대자산!$I:$I,가맹점정보!F1280,임대자산!$N:$N,가맹점정보!R$4)</f>
        <v>1</v>
      </c>
      <c r="S1280" s="82" t="n">
        <v>88000</v>
      </c>
      <c r="T1280" s="83" t="n">
        <v>0</v>
      </c>
      <c r="U1280" s="80" t="n">
        <f aca="false">SUM(S1280:T1280)</f>
        <v>88000</v>
      </c>
      <c r="V1280" s="84" t="s">
        <v>7</v>
      </c>
      <c r="W1280" s="80" t="str">
        <f aca="true">
IF(D1280="폐업","폐업",
IF(V1280="면제","면제",
IF(AND(V1280="정상",COUNTIFS(OFFSET(Y1280,0,COUNTA(Y1280:AV1280)-1,1,-4),"미납")&gt;=3),"장기미납",
IF(AND(V1280="정상",OFFSET(Y1280,0,COUNTA(Y1280:AV1280)-1)&gt;=U1280),"정상",
IF(AND(V1280="정상",OFFSET(Y1280,0,COUNTA(Y1280:AV1280)-1)=0),"정상",
"계약서 미작성")))))</f>
        <v>면제</v>
      </c>
      <c r="X1280" s="81" t="str">
        <f aca="true">
IF(D1280="폐업","폐업",
IF(AND(V1280="정상",OFFSET(Y1280,0,COUNTA(Y1280:AV1280)-1)="미납"),"미납",
IF(AND(V1280="정상",OFFSET(Y1280,0,COUNTA(Y1280:AV1280)-1)=0),"납부 시작 전",
IF(AND(V1280="정상",OFFSET(Y1280,0,COUNTA(Y1280:AV1280)-1)&gt;=U1280),"정상",
IF(AND(V1280="면제",OFFSET(Y1280,0,COUNTA(Y1280:AV1280)-1)="면제"),"면제",
IF(AND(V1280="면제",OFFSET(Y1280,0,COUNTA(Y1280:AV1280)-1)=0),"면제",
"확인요청"))))))</f>
        <v>면제</v>
      </c>
      <c r="Y1280" s="94" t="s">
        <v>7</v>
      </c>
      <c r="Z1280" s="95" t="s">
        <v>7</v>
      </c>
      <c r="AA1280" s="95" t="s">
        <v>7</v>
      </c>
      <c r="AB1280" s="95" t="s">
        <v>7</v>
      </c>
      <c r="AC1280" s="95" t="s">
        <v>7</v>
      </c>
      <c r="AD1280" s="95" t="s">
        <v>7</v>
      </c>
      <c r="AE1280" s="95" t="s">
        <v>7</v>
      </c>
      <c r="AF1280" s="95" t="s">
        <v>7</v>
      </c>
      <c r="AG1280" s="95" t="s">
        <v>7</v>
      </c>
      <c r="AH1280" s="95" t="s">
        <v>7</v>
      </c>
      <c r="AI1280" s="95" t="s">
        <v>7</v>
      </c>
      <c r="AJ1280" s="96" t="s">
        <v>7</v>
      </c>
      <c r="AK1280" s="97" t="s">
        <v>7</v>
      </c>
      <c r="AL1280" s="95" t="s">
        <v>7</v>
      </c>
      <c r="AM1280" s="90"/>
      <c r="AN1280" s="90"/>
      <c r="AO1280" s="90"/>
      <c r="AP1280" s="90"/>
      <c r="AQ1280" s="90"/>
      <c r="AR1280" s="90"/>
      <c r="AS1280" s="90"/>
      <c r="AT1280" s="90"/>
      <c r="AU1280" s="90"/>
      <c r="AV1280" s="91"/>
      <c r="AX1280" s="92"/>
    </row>
    <row r="1281" customFormat="false" ht="15.65" hidden="false" customHeight="false" outlineLevel="0" collapsed="false">
      <c r="C1281" s="72" t="n">
        <f aca="false">COUNTIFS($D$6:D1281,"&lt;&gt;"&amp;"")</f>
        <v>1276</v>
      </c>
      <c r="D1281" s="73" t="s">
        <v>12</v>
      </c>
      <c r="E1281" s="76" t="str">
        <f aca="false">
IF($D1281="정상",INDEX(임대자산!$D$3:$R$3000,MATCH($F1281,임대자산!$I$3:$I$3000,0),MATCH(E$3,임대자산!$D$3:$R$3,0)),
IF($D1281="폐업",INDEX(폐업정보!$D$3:$R$3000,MATCH($F1281,폐업정보!$I$3:$I$3000,0),MATCH(E$3,폐업정보!$D$3:$R$3,0)),
"Error"))</f>
        <v>서울</v>
      </c>
      <c r="F128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B1276</v>
      </c>
      <c r="G1281" s="76" t="str">
        <f aca="false">F1281&amp;RANDBETWEEN(0,10)</f>
        <v>B12760</v>
      </c>
      <c r="H1281" s="75" t="n">
        <f aca="false">
IF($D1281="정상",INDEX(임대자산!$D$3:$R$3000,MATCH($F1281,임대자산!$I$3:$I$3000,0),MATCH(H$4,임대자산!$D$3:$R$3,0)),
IF($D1281="폐업",INDEX(폐업정보!$D$3:$R$3000,MATCH($F1281,폐업정보!$I$3:$I$3000,0),MATCH(H$4,폐업정보!$D$3:$R$3,0)),
"Error"))</f>
        <v>45734</v>
      </c>
      <c r="I1281" s="75" t="str">
        <f aca="false">
IF($D1281="정상",INDEX(임대자산!$D$3:$R$3000,MATCH($F1281,임대자산!$I$3:$I$3000,0),MATCH(I$4,임대자산!$D$3:$R$3,0)),
IF($D1281="폐업",INDEX(폐업정보!$D$3:$R$3000,MATCH($F1281,폐업정보!$I$3:$I$3000,0),MATCH(I$4,폐업정보!$D$3:$R$3,0)),
"Error"))</f>
        <v>A1276</v>
      </c>
      <c r="J1281" s="75" t="str">
        <f aca="false">
IF($D1281="정상",INDEX(임대자산!$D$3:$R$3000,MATCH($F1281,임대자산!$I$3:$I$3000,0),MATCH(J$4,임대자산!$D$3:$R$3,0)),
IF($D1281="폐업",INDEX(폐업정보!$D$3:$R$3000,MATCH($F1281,폐업정보!$I$3:$I$3000,0),MATCH(J$4,폐업정보!$D$3:$R$3,0)),
"Error"))</f>
        <v>8536200000</v>
      </c>
      <c r="K1281" s="75" t="str">
        <f aca="false">
IF($D1281="정상",INDEX(임대자산!$D$3:$R$3000,MATCH($F1281,임대자산!$I$3:$I$3000,0),MATCH(K$4,임대자산!$D$3:$R$3,0)),
IF($D1281="폐업",INDEX(폐업정보!$D$3:$R$3000,MATCH($F1281,폐업정보!$I$3:$I$3000,0),MATCH(K$4,폐업정보!$D$3:$R$3,0)),
"Error"))</f>
        <v>C1276</v>
      </c>
      <c r="L1281" s="75" t="str">
        <f aca="false">
IF($D1281="정상",INDEX(임대자산!$D$3:$R$3000,MATCH($F1281,임대자산!$I$3:$I$3000,0),MATCH(L$4,임대자산!$D$3:$R$3,0)),
IF($D1281="폐업",INDEX(폐업정보!$D$3:$R$3000,MATCH($F1281,폐업정보!$I$3:$I$3000,0),MATCH(L$4,폐업정보!$D$3:$R$3,0)),
"Error"))</f>
        <v>D1276</v>
      </c>
      <c r="M1281" s="76" t="s">
        <v>96</v>
      </c>
      <c r="N1281" s="77"/>
      <c r="O1281" s="78" t="s">
        <v>97</v>
      </c>
      <c r="P1281" s="79" t="n">
        <f aca="false">COUNTIFS(임대자산!$I:$I,가맹점정보!F1281,임대자산!$N:$N,가맹점정보!P$4)</f>
        <v>0</v>
      </c>
      <c r="Q1281" s="80" t="n">
        <f aca="false">COUNTIFS(임대자산!$I:$I,가맹점정보!F1281,임대자산!$N:$N,가맹점정보!Q$4)</f>
        <v>0</v>
      </c>
      <c r="R1281" s="81" t="n">
        <f aca="false">COUNTIFS(임대자산!$I:$I,가맹점정보!F1281,임대자산!$N:$N,가맹점정보!R$4)</f>
        <v>1</v>
      </c>
      <c r="S1281" s="82" t="n">
        <v>55000</v>
      </c>
      <c r="T1281" s="83" t="n">
        <v>0</v>
      </c>
      <c r="U1281" s="80" t="n">
        <f aca="false">SUM(S1281:T1281)</f>
        <v>55000</v>
      </c>
      <c r="V1281" s="84" t="s">
        <v>7</v>
      </c>
      <c r="W1281" s="80" t="str">
        <f aca="true">
IF(D1281="폐업","폐업",
IF(V1281="면제","면제",
IF(AND(V1281="정상",COUNTIFS(OFFSET(Y1281,0,COUNTA(Y1281:AV1281)-1,1,-4),"미납")&gt;=3),"장기미납",
IF(AND(V1281="정상",OFFSET(Y1281,0,COUNTA(Y1281:AV1281)-1)&gt;=U1281),"정상",
IF(AND(V1281="정상",OFFSET(Y1281,0,COUNTA(Y1281:AV1281)-1)=0),"정상",
"계약서 미작성")))))</f>
        <v>면제</v>
      </c>
      <c r="X1281" s="81" t="str">
        <f aca="true">
IF(D1281="폐업","폐업",
IF(AND(V1281="정상",OFFSET(Y1281,0,COUNTA(Y1281:AV1281)-1)="미납"),"미납",
IF(AND(V1281="정상",OFFSET(Y1281,0,COUNTA(Y1281:AV1281)-1)=0),"납부 시작 전",
IF(AND(V1281="정상",OFFSET(Y1281,0,COUNTA(Y1281:AV1281)-1)&gt;=U1281),"정상",
IF(AND(V1281="면제",OFFSET(Y1281,0,COUNTA(Y1281:AV1281)-1)="면제"),"면제",
IF(AND(V1281="면제",OFFSET(Y1281,0,COUNTA(Y1281:AV1281)-1)=0),"면제",
"확인요청"))))))</f>
        <v>면제</v>
      </c>
      <c r="Y1281" s="94" t="s">
        <v>7</v>
      </c>
      <c r="Z1281" s="95" t="s">
        <v>7</v>
      </c>
      <c r="AA1281" s="95" t="s">
        <v>7</v>
      </c>
      <c r="AB1281" s="95" t="s">
        <v>7</v>
      </c>
      <c r="AC1281" s="95" t="s">
        <v>7</v>
      </c>
      <c r="AD1281" s="95" t="s">
        <v>7</v>
      </c>
      <c r="AE1281" s="95" t="s">
        <v>7</v>
      </c>
      <c r="AF1281" s="95" t="s">
        <v>7</v>
      </c>
      <c r="AG1281" s="95" t="s">
        <v>7</v>
      </c>
      <c r="AH1281" s="95" t="s">
        <v>7</v>
      </c>
      <c r="AI1281" s="95" t="s">
        <v>7</v>
      </c>
      <c r="AJ1281" s="96" t="s">
        <v>7</v>
      </c>
      <c r="AK1281" s="97" t="s">
        <v>7</v>
      </c>
      <c r="AL1281" s="95" t="s">
        <v>7</v>
      </c>
      <c r="AM1281" s="90"/>
      <c r="AN1281" s="90"/>
      <c r="AO1281" s="90"/>
      <c r="AP1281" s="90"/>
      <c r="AQ1281" s="90"/>
      <c r="AR1281" s="90"/>
      <c r="AS1281" s="90"/>
      <c r="AT1281" s="90"/>
      <c r="AU1281" s="90"/>
      <c r="AV1281" s="91"/>
      <c r="AX1281" s="92"/>
    </row>
    <row r="1282" customFormat="false" ht="15.65" hidden="false" customHeight="false" outlineLevel="0" collapsed="false">
      <c r="C1282" s="72" t="n">
        <f aca="false">COUNTIFS($D$6:D1282,"&lt;&gt;"&amp;"")</f>
        <v>1277</v>
      </c>
      <c r="D1282" s="73" t="s">
        <v>12</v>
      </c>
      <c r="E1282" s="76" t="str">
        <f aca="false">
IF($D1282="정상",INDEX(임대자산!$D$3:$R$3000,MATCH($F1282,임대자산!$I$3:$I$3000,0),MATCH(E$3,임대자산!$D$3:$R$3,0)),
IF($D1282="폐업",INDEX(폐업정보!$D$3:$R$3000,MATCH($F1282,폐업정보!$I$3:$I$3000,0),MATCH(E$3,폐업정보!$D$3:$R$3,0)),
"Error"))</f>
        <v>서울</v>
      </c>
      <c r="F128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B1277</v>
      </c>
      <c r="G1282" s="76" t="str">
        <f aca="false">F1282&amp;RANDBETWEEN(0,10)</f>
        <v>B12774</v>
      </c>
      <c r="H1282" s="75" t="n">
        <f aca="false">
IF($D1282="정상",INDEX(임대자산!$D$3:$R$3000,MATCH($F1282,임대자산!$I$3:$I$3000,0),MATCH(H$4,임대자산!$D$3:$R$3,0)),
IF($D1282="폐업",INDEX(폐업정보!$D$3:$R$3000,MATCH($F1282,폐업정보!$I$3:$I$3000,0),MATCH(H$4,폐업정보!$D$3:$R$3,0)),
"Error"))</f>
        <v>45656</v>
      </c>
      <c r="I1282" s="75" t="str">
        <f aca="false">
IF($D1282="정상",INDEX(임대자산!$D$3:$R$3000,MATCH($F1282,임대자산!$I$3:$I$3000,0),MATCH(I$4,임대자산!$D$3:$R$3,0)),
IF($D1282="폐업",INDEX(폐업정보!$D$3:$R$3000,MATCH($F1282,폐업정보!$I$3:$I$3000,0),MATCH(I$4,폐업정보!$D$3:$R$3,0)),
"Error"))</f>
        <v>A1277</v>
      </c>
      <c r="J1282" s="75" t="str">
        <f aca="false">
IF($D1282="정상",INDEX(임대자산!$D$3:$R$3000,MATCH($F1282,임대자산!$I$3:$I$3000,0),MATCH(J$4,임대자산!$D$3:$R$3,0)),
IF($D1282="폐업",INDEX(폐업정보!$D$3:$R$3000,MATCH($F1282,폐업정보!$I$3:$I$3000,0),MATCH(J$4,폐업정보!$D$3:$R$3,0)),
"Error"))</f>
        <v>8171900000</v>
      </c>
      <c r="K1282" s="75" t="str">
        <f aca="false">
IF($D1282="정상",INDEX(임대자산!$D$3:$R$3000,MATCH($F1282,임대자산!$I$3:$I$3000,0),MATCH(K$4,임대자산!$D$3:$R$3,0)),
IF($D1282="폐업",INDEX(폐업정보!$D$3:$R$3000,MATCH($F1282,폐업정보!$I$3:$I$3000,0),MATCH(K$4,폐업정보!$D$3:$R$3,0)),
"Error"))</f>
        <v>C1277</v>
      </c>
      <c r="L1282" s="75" t="str">
        <f aca="false">
IF($D1282="정상",INDEX(임대자산!$D$3:$R$3000,MATCH($F1282,임대자산!$I$3:$I$3000,0),MATCH(L$4,임대자산!$D$3:$R$3,0)),
IF($D1282="폐업",INDEX(폐업정보!$D$3:$R$3000,MATCH($F1282,폐업정보!$I$3:$I$3000,0),MATCH(L$4,폐업정보!$D$3:$R$3,0)),
"Error"))</f>
        <v>D1277</v>
      </c>
      <c r="M1282" s="76" t="s">
        <v>96</v>
      </c>
      <c r="N1282" s="77"/>
      <c r="O1282" s="78" t="s">
        <v>97</v>
      </c>
      <c r="P1282" s="79" t="n">
        <f aca="false">COUNTIFS(임대자산!$I:$I,가맹점정보!F1282,임대자산!$N:$N,가맹점정보!P$4)</f>
        <v>0</v>
      </c>
      <c r="Q1282" s="80" t="n">
        <f aca="false">COUNTIFS(임대자산!$I:$I,가맹점정보!F1282,임대자산!$N:$N,가맹점정보!Q$4)</f>
        <v>0</v>
      </c>
      <c r="R1282" s="81" t="n">
        <f aca="false">COUNTIFS(임대자산!$I:$I,가맹점정보!F1282,임대자산!$N:$N,가맹점정보!R$4)</f>
        <v>1</v>
      </c>
      <c r="S1282" s="82" t="n">
        <v>55000</v>
      </c>
      <c r="T1282" s="83" t="n">
        <v>0</v>
      </c>
      <c r="U1282" s="80" t="n">
        <f aca="false">SUM(S1282:T1282)</f>
        <v>55000</v>
      </c>
      <c r="V1282" s="84" t="s">
        <v>7</v>
      </c>
      <c r="W1282" s="80" t="str">
        <f aca="true">
IF(D1282="폐업","폐업",
IF(V1282="면제","면제",
IF(AND(V1282="정상",COUNTIFS(OFFSET(Y1282,0,COUNTA(Y1282:AV1282)-1,1,-4),"미납")&gt;=3),"장기미납",
IF(AND(V1282="정상",OFFSET(Y1282,0,COUNTA(Y1282:AV1282)-1)&gt;=U1282),"정상",
IF(AND(V1282="정상",OFFSET(Y1282,0,COUNTA(Y1282:AV1282)-1)=0),"정상",
"계약서 미작성")))))</f>
        <v>면제</v>
      </c>
      <c r="X1282" s="81" t="str">
        <f aca="true">
IF(D1282="폐업","폐업",
IF(AND(V1282="정상",OFFSET(Y1282,0,COUNTA(Y1282:AV1282)-1)="미납"),"미납",
IF(AND(V1282="정상",OFFSET(Y1282,0,COUNTA(Y1282:AV1282)-1)=0),"납부 시작 전",
IF(AND(V1282="정상",OFFSET(Y1282,0,COUNTA(Y1282:AV1282)-1)&gt;=U1282),"정상",
IF(AND(V1282="면제",OFFSET(Y1282,0,COUNTA(Y1282:AV1282)-1)="면제"),"면제",
IF(AND(V1282="면제",OFFSET(Y1282,0,COUNTA(Y1282:AV1282)-1)=0),"면제",
"확인요청"))))))</f>
        <v>면제</v>
      </c>
      <c r="Y1282" s="94" t="s">
        <v>7</v>
      </c>
      <c r="Z1282" s="95" t="s">
        <v>7</v>
      </c>
      <c r="AA1282" s="95" t="s">
        <v>7</v>
      </c>
      <c r="AB1282" s="95" t="s">
        <v>7</v>
      </c>
      <c r="AC1282" s="95" t="s">
        <v>7</v>
      </c>
      <c r="AD1282" s="95" t="s">
        <v>7</v>
      </c>
      <c r="AE1282" s="95" t="s">
        <v>7</v>
      </c>
      <c r="AF1282" s="95" t="s">
        <v>7</v>
      </c>
      <c r="AG1282" s="95" t="s">
        <v>7</v>
      </c>
      <c r="AH1282" s="95" t="s">
        <v>7</v>
      </c>
      <c r="AI1282" s="95" t="s">
        <v>7</v>
      </c>
      <c r="AJ1282" s="96" t="s">
        <v>7</v>
      </c>
      <c r="AK1282" s="97" t="s">
        <v>7</v>
      </c>
      <c r="AL1282" s="95" t="s">
        <v>7</v>
      </c>
      <c r="AM1282" s="90"/>
      <c r="AN1282" s="90"/>
      <c r="AO1282" s="90"/>
      <c r="AP1282" s="90"/>
      <c r="AQ1282" s="90"/>
      <c r="AR1282" s="90"/>
      <c r="AS1282" s="90"/>
      <c r="AT1282" s="90"/>
      <c r="AU1282" s="90"/>
      <c r="AV1282" s="91"/>
      <c r="AX1282" s="92"/>
    </row>
    <row r="1283" customFormat="false" ht="15.65" hidden="false" customHeight="false" outlineLevel="0" collapsed="false">
      <c r="C1283" s="72" t="n">
        <f aca="false">COUNTIFS($D$6:D1283,"&lt;&gt;"&amp;"")</f>
        <v>1278</v>
      </c>
      <c r="D1283" s="73" t="s">
        <v>5</v>
      </c>
      <c r="E1283" s="76" t="str">
        <f aca="false">
IF($D1283="정상",INDEX(임대자산!$D$3:$R$3000,MATCH($F1283,임대자산!$I$3:$I$3000,0),MATCH(E$3,임대자산!$D$3:$R$3,0)),
IF($D1283="폐업",INDEX(폐업정보!$D$3:$R$3000,MATCH($F1283,폐업정보!$I$3:$I$3000,0),MATCH(E$3,폐업정보!$D$3:$R$3,0)),
"Error"))</f>
        <v>서울</v>
      </c>
      <c r="F128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B1278</v>
      </c>
      <c r="G1283" s="76" t="str">
        <f aca="false">F1283&amp;RANDBETWEEN(0,10)</f>
        <v>B12781</v>
      </c>
      <c r="H1283" s="75" t="n">
        <f aca="false">
IF($D1283="정상",INDEX(임대자산!$D$3:$R$3000,MATCH($F1283,임대자산!$I$3:$I$3000,0),MATCH(H$4,임대자산!$D$3:$R$3,0)),
IF($D1283="폐업",INDEX(폐업정보!$D$3:$R$3000,MATCH($F1283,폐업정보!$I$3:$I$3000,0),MATCH(H$4,폐업정보!$D$3:$R$3,0)),
"Error"))</f>
        <v>45656</v>
      </c>
      <c r="I1283" s="75" t="str">
        <f aca="false">
IF($D1283="정상",INDEX(임대자산!$D$3:$R$3000,MATCH($F1283,임대자산!$I$3:$I$3000,0),MATCH(I$4,임대자산!$D$3:$R$3,0)),
IF($D1283="폐업",INDEX(폐업정보!$D$3:$R$3000,MATCH($F1283,폐업정보!$I$3:$I$3000,0),MATCH(I$4,폐업정보!$D$3:$R$3,0)),
"Error"))</f>
        <v>A1278</v>
      </c>
      <c r="J1283" s="75" t="str">
        <f aca="false">
IF($D1283="정상",INDEX(임대자산!$D$3:$R$3000,MATCH($F1283,임대자산!$I$3:$I$3000,0),MATCH(J$4,임대자산!$D$3:$R$3,0)),
IF($D1283="폐업",INDEX(폐업정보!$D$3:$R$3000,MATCH($F1283,폐업정보!$I$3:$I$3000,0),MATCH(J$4,폐업정보!$D$3:$R$3,0)),
"Error"))</f>
        <v>5503900000</v>
      </c>
      <c r="K1283" s="75" t="str">
        <f aca="false">
IF($D1283="정상",INDEX(임대자산!$D$3:$R$3000,MATCH($F1283,임대자산!$I$3:$I$3000,0),MATCH(K$4,임대자산!$D$3:$R$3,0)),
IF($D1283="폐업",INDEX(폐업정보!$D$3:$R$3000,MATCH($F1283,폐업정보!$I$3:$I$3000,0),MATCH(K$4,폐업정보!$D$3:$R$3,0)),
"Error"))</f>
        <v>C1278</v>
      </c>
      <c r="L1283" s="75" t="str">
        <f aca="false">
IF($D1283="정상",INDEX(임대자산!$D$3:$R$3000,MATCH($F1283,임대자산!$I$3:$I$3000,0),MATCH(L$4,임대자산!$D$3:$R$3,0)),
IF($D1283="폐업",INDEX(폐업정보!$D$3:$R$3000,MATCH($F1283,폐업정보!$I$3:$I$3000,0),MATCH(L$4,폐업정보!$D$3:$R$3,0)),
"Error"))</f>
        <v>D1278</v>
      </c>
      <c r="M1283" s="76" t="s">
        <v>96</v>
      </c>
      <c r="N1283" s="77"/>
      <c r="O1283" s="78" t="s">
        <v>97</v>
      </c>
      <c r="P1283" s="79" t="n">
        <f aca="false">COUNTIFS(임대자산!$I:$I,가맹점정보!F1283,임대자산!$N:$N,가맹점정보!P$4)</f>
        <v>0</v>
      </c>
      <c r="Q1283" s="80" t="n">
        <f aca="false">COUNTIFS(임대자산!$I:$I,가맹점정보!F1283,임대자산!$N:$N,가맹점정보!Q$4)</f>
        <v>0</v>
      </c>
      <c r="R1283" s="81" t="n">
        <f aca="false">COUNTIFS(임대자산!$I:$I,가맹점정보!F1283,임대자산!$N:$N,가맹점정보!R$4)</f>
        <v>0</v>
      </c>
      <c r="S1283" s="82" t="n">
        <v>55000</v>
      </c>
      <c r="T1283" s="83" t="n">
        <v>0</v>
      </c>
      <c r="U1283" s="80" t="n">
        <f aca="false">SUM(S1283:T1283)</f>
        <v>55000</v>
      </c>
      <c r="V1283" s="84" t="s">
        <v>7</v>
      </c>
      <c r="W1283" s="80" t="str">
        <f aca="true">
IF(D1283="폐업","폐업",
IF(V1283="면제","면제",
IF(AND(V1283="정상",COUNTIFS(OFFSET(Y1283,0,COUNTA(Y1283:AV1283)-1,1,-4),"미납")&gt;=3),"장기미납",
IF(AND(V1283="정상",OFFSET(Y1283,0,COUNTA(Y1283:AV1283)-1)&gt;=U1283),"정상",
IF(AND(V1283="정상",OFFSET(Y1283,0,COUNTA(Y1283:AV1283)-1)=0),"정상",
"계약서 미작성")))))</f>
        <v>폐업</v>
      </c>
      <c r="X1283" s="81" t="str">
        <f aca="true">
IF(D1283="폐업","폐업",
IF(AND(V1283="정상",OFFSET(Y1283,0,COUNTA(Y1283:AV1283)-1)="미납"),"미납",
IF(AND(V1283="정상",OFFSET(Y1283,0,COUNTA(Y1283:AV1283)-1)=0),"납부 시작 전",
IF(AND(V1283="정상",OFFSET(Y1283,0,COUNTA(Y1283:AV1283)-1)&gt;=U1283),"정상",
IF(AND(V1283="면제",OFFSET(Y1283,0,COUNTA(Y1283:AV1283)-1)="면제"),"면제",
IF(AND(V1283="면제",OFFSET(Y1283,0,COUNTA(Y1283:AV1283)-1)=0),"면제",
"확인요청"))))))</f>
        <v>폐업</v>
      </c>
      <c r="Y1283" s="94" t="s">
        <v>7</v>
      </c>
      <c r="Z1283" s="95" t="s">
        <v>7</v>
      </c>
      <c r="AA1283" s="95" t="s">
        <v>7</v>
      </c>
      <c r="AB1283" s="95" t="s">
        <v>7</v>
      </c>
      <c r="AC1283" s="95" t="s">
        <v>7</v>
      </c>
      <c r="AD1283" s="95" t="s">
        <v>7</v>
      </c>
      <c r="AE1283" s="95" t="s">
        <v>7</v>
      </c>
      <c r="AF1283" s="95" t="s">
        <v>7</v>
      </c>
      <c r="AG1283" s="95" t="s">
        <v>7</v>
      </c>
      <c r="AH1283" s="95" t="s">
        <v>7</v>
      </c>
      <c r="AI1283" s="95" t="s">
        <v>7</v>
      </c>
      <c r="AJ1283" s="96" t="s">
        <v>7</v>
      </c>
      <c r="AK1283" s="97" t="s">
        <v>7</v>
      </c>
      <c r="AL1283" s="95" t="s">
        <v>7</v>
      </c>
      <c r="AM1283" s="90"/>
      <c r="AN1283" s="90"/>
      <c r="AO1283" s="90"/>
      <c r="AP1283" s="90"/>
      <c r="AQ1283" s="90"/>
      <c r="AR1283" s="90"/>
      <c r="AS1283" s="90"/>
      <c r="AT1283" s="90"/>
      <c r="AU1283" s="90"/>
      <c r="AV1283" s="91"/>
      <c r="AX1283" s="92"/>
    </row>
    <row r="1284" customFormat="false" ht="15.65" hidden="false" customHeight="false" outlineLevel="0" collapsed="false">
      <c r="C1284" s="72" t="n">
        <f aca="false">COUNTIFS($D$6:D1284,"&lt;&gt;"&amp;"")</f>
        <v>1279</v>
      </c>
      <c r="D1284" s="73" t="s">
        <v>12</v>
      </c>
      <c r="E1284" s="76" t="str">
        <f aca="false">
IF($D1284="정상",INDEX(임대자산!$D$3:$R$3000,MATCH($F1284,임대자산!$I$3:$I$3000,0),MATCH(E$3,임대자산!$D$3:$R$3,0)),
IF($D1284="폐업",INDEX(폐업정보!$D$3:$R$3000,MATCH($F1284,폐업정보!$I$3:$I$3000,0),MATCH(E$3,폐업정보!$D$3:$R$3,0)),
"Error"))</f>
        <v>서울</v>
      </c>
      <c r="F128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B1279</v>
      </c>
      <c r="G1284" s="76" t="str">
        <f aca="false">F1284&amp;RANDBETWEEN(0,10)</f>
        <v>B127910</v>
      </c>
      <c r="H1284" s="75" t="n">
        <f aca="false">
IF($D1284="정상",INDEX(임대자산!$D$3:$R$3000,MATCH($F1284,임대자산!$I$3:$I$3000,0),MATCH(H$4,임대자산!$D$3:$R$3,0)),
IF($D1284="폐업",INDEX(폐업정보!$D$3:$R$3000,MATCH($F1284,폐업정보!$I$3:$I$3000,0),MATCH(H$4,폐업정보!$D$3:$R$3,0)),
"Error"))</f>
        <v>45601</v>
      </c>
      <c r="I1284" s="75" t="str">
        <f aca="false">
IF($D1284="정상",INDEX(임대자산!$D$3:$R$3000,MATCH($F1284,임대자산!$I$3:$I$3000,0),MATCH(I$4,임대자산!$D$3:$R$3,0)),
IF($D1284="폐업",INDEX(폐업정보!$D$3:$R$3000,MATCH($F1284,폐업정보!$I$3:$I$3000,0),MATCH(I$4,폐업정보!$D$3:$R$3,0)),
"Error"))</f>
        <v>A1279</v>
      </c>
      <c r="J1284" s="75" t="str">
        <f aca="false">
IF($D1284="정상",INDEX(임대자산!$D$3:$R$3000,MATCH($F1284,임대자산!$I$3:$I$3000,0),MATCH(J$4,임대자산!$D$3:$R$3,0)),
IF($D1284="폐업",INDEX(폐업정보!$D$3:$R$3000,MATCH($F1284,폐업정보!$I$3:$I$3000,0),MATCH(J$4,폐업정보!$D$3:$R$3,0)),
"Error"))</f>
        <v>2290900000</v>
      </c>
      <c r="K1284" s="75" t="str">
        <f aca="false">
IF($D1284="정상",INDEX(임대자산!$D$3:$R$3000,MATCH($F1284,임대자산!$I$3:$I$3000,0),MATCH(K$4,임대자산!$D$3:$R$3,0)),
IF($D1284="폐업",INDEX(폐업정보!$D$3:$R$3000,MATCH($F1284,폐업정보!$I$3:$I$3000,0),MATCH(K$4,폐업정보!$D$3:$R$3,0)),
"Error"))</f>
        <v>C1279</v>
      </c>
      <c r="L1284" s="75" t="str">
        <f aca="false">
IF($D1284="정상",INDEX(임대자산!$D$3:$R$3000,MATCH($F1284,임대자산!$I$3:$I$3000,0),MATCH(L$4,임대자산!$D$3:$R$3,0)),
IF($D1284="폐업",INDEX(폐업정보!$D$3:$R$3000,MATCH($F1284,폐업정보!$I$3:$I$3000,0),MATCH(L$4,폐업정보!$D$3:$R$3,0)),
"Error"))</f>
        <v>D1279</v>
      </c>
      <c r="M1284" s="76" t="s">
        <v>96</v>
      </c>
      <c r="N1284" s="77"/>
      <c r="O1284" s="78" t="s">
        <v>97</v>
      </c>
      <c r="P1284" s="79" t="n">
        <f aca="false">COUNTIFS(임대자산!$I:$I,가맹점정보!F1284,임대자산!$N:$N,가맹점정보!P$4)</f>
        <v>0</v>
      </c>
      <c r="Q1284" s="80" t="n">
        <f aca="false">COUNTIFS(임대자산!$I:$I,가맹점정보!F1284,임대자산!$N:$N,가맹점정보!Q$4)</f>
        <v>0</v>
      </c>
      <c r="R1284" s="81" t="n">
        <f aca="false">COUNTIFS(임대자산!$I:$I,가맹점정보!F1284,임대자산!$N:$N,가맹점정보!R$4)</f>
        <v>1</v>
      </c>
      <c r="S1284" s="82" t="n">
        <v>55000</v>
      </c>
      <c r="T1284" s="83" t="n">
        <v>0</v>
      </c>
      <c r="U1284" s="80" t="n">
        <f aca="false">SUM(S1284:T1284)</f>
        <v>55000</v>
      </c>
      <c r="V1284" s="84" t="s">
        <v>12</v>
      </c>
      <c r="W1284" s="80" t="e">
        <f aca="true">
IF(D1284="폐업","폐업",
IF(V1284="면제","면제",
IF(AND(V1284="정상",COUNTIFS(OFFSET(Y1284,0,COUNTA(Y1284:AV1284)-1,1,-4),"미납")&gt;=3),"장기미납",
IF(AND(V1284="정상",OFFSET(Y1284,0,COUNTA(Y1284:AV1284)-1)&gt;=U1284),"정상",
IF(AND(V1284="정상",OFFSET(Y1284,0,COUNTA(Y1284:AV1284)-1)=0),"정상",
"계약서 미작성")))))</f>
        <v>#VALUE!</v>
      </c>
      <c r="X1284" s="81" t="str">
        <f aca="true">
IF(D1284="폐업","폐업",
IF(AND(V1284="정상",OFFSET(Y1284,0,COUNTA(Y1284:AV1284)-1)="미납"),"미납",
IF(AND(V1284="정상",OFFSET(Y1284,0,COUNTA(Y1284:AV1284)-1)=0),"납부 시작 전",
IF(AND(V1284="정상",OFFSET(Y1284,0,COUNTA(Y1284:AV1284)-1)&gt;=U1284),"정상",
IF(AND(V1284="면제",OFFSET(Y1284,0,COUNTA(Y1284:AV1284)-1)="면제"),"면제",
IF(AND(V1284="면제",OFFSET(Y1284,0,COUNTA(Y1284:AV1284)-1)=0),"면제",
"확인요청"))))))</f>
        <v>정상</v>
      </c>
      <c r="Y1284" s="93" t="n">
        <v>55000</v>
      </c>
      <c r="Z1284" s="90" t="n">
        <v>55000</v>
      </c>
      <c r="AA1284" s="90" t="n">
        <v>55000</v>
      </c>
      <c r="AB1284" s="90" t="n">
        <v>55000</v>
      </c>
      <c r="AC1284" s="90" t="n">
        <v>55000</v>
      </c>
      <c r="AD1284" s="90" t="n">
        <v>55000</v>
      </c>
      <c r="AE1284" s="90" t="n">
        <v>55000</v>
      </c>
      <c r="AF1284" s="90" t="n">
        <v>55000</v>
      </c>
      <c r="AG1284" s="90" t="n">
        <v>55000</v>
      </c>
      <c r="AH1284" s="90" t="n">
        <v>55000</v>
      </c>
      <c r="AI1284" s="90" t="n">
        <v>55000</v>
      </c>
      <c r="AJ1284" s="91" t="n">
        <v>55000</v>
      </c>
      <c r="AK1284" s="89" t="n">
        <v>55000</v>
      </c>
      <c r="AL1284" s="90" t="n">
        <v>55000</v>
      </c>
      <c r="AM1284" s="90"/>
      <c r="AN1284" s="90"/>
      <c r="AO1284" s="90"/>
      <c r="AP1284" s="90"/>
      <c r="AQ1284" s="90"/>
      <c r="AR1284" s="90"/>
      <c r="AS1284" s="90"/>
      <c r="AT1284" s="90"/>
      <c r="AU1284" s="90"/>
      <c r="AV1284" s="91"/>
      <c r="AX1284" s="92"/>
    </row>
    <row r="1285" customFormat="false" ht="15.65" hidden="false" customHeight="false" outlineLevel="0" collapsed="false">
      <c r="C1285" s="72" t="n">
        <f aca="false">COUNTIFS($D$6:D1285,"&lt;&gt;"&amp;"")</f>
        <v>1280</v>
      </c>
      <c r="D1285" s="73" t="s">
        <v>12</v>
      </c>
      <c r="E1285" s="76" t="str">
        <f aca="false">
IF($D1285="정상",INDEX(임대자산!$D$3:$R$3000,MATCH($F1285,임대자산!$I$3:$I$3000,0),MATCH(E$3,임대자산!$D$3:$R$3,0)),
IF($D1285="폐업",INDEX(폐업정보!$D$3:$R$3000,MATCH($F1285,폐업정보!$I$3:$I$3000,0),MATCH(E$3,폐업정보!$D$3:$R$3,0)),
"Error"))</f>
        <v>서울</v>
      </c>
      <c r="F128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B1280</v>
      </c>
      <c r="G1285" s="76" t="str">
        <f aca="false">F1285&amp;RANDBETWEEN(0,10)</f>
        <v>B12809</v>
      </c>
      <c r="H1285" s="75" t="n">
        <f aca="false">
IF($D1285="정상",INDEX(임대자산!$D$3:$R$3000,MATCH($F1285,임대자산!$I$3:$I$3000,0),MATCH(H$4,임대자산!$D$3:$R$3,0)),
IF($D1285="폐업",INDEX(폐업정보!$D$3:$R$3000,MATCH($F1285,폐업정보!$I$3:$I$3000,0),MATCH(H$4,폐업정보!$D$3:$R$3,0)),
"Error"))</f>
        <v>45604</v>
      </c>
      <c r="I1285" s="75" t="str">
        <f aca="false">
IF($D1285="정상",INDEX(임대자산!$D$3:$R$3000,MATCH($F1285,임대자산!$I$3:$I$3000,0),MATCH(I$4,임대자산!$D$3:$R$3,0)),
IF($D1285="폐업",INDEX(폐업정보!$D$3:$R$3000,MATCH($F1285,폐업정보!$I$3:$I$3000,0),MATCH(I$4,폐업정보!$D$3:$R$3,0)),
"Error"))</f>
        <v>A1280</v>
      </c>
      <c r="J1285" s="75" t="str">
        <f aca="false">
IF($D1285="정상",INDEX(임대자산!$D$3:$R$3000,MATCH($F1285,임대자산!$I$3:$I$3000,0),MATCH(J$4,임대자산!$D$3:$R$3,0)),
IF($D1285="폐업",INDEX(폐업정보!$D$3:$R$3000,MATCH($F1285,폐업정보!$I$3:$I$3000,0),MATCH(J$4,폐업정보!$D$3:$R$3,0)),
"Error"))</f>
        <v>8497100000</v>
      </c>
      <c r="K1285" s="75" t="str">
        <f aca="false">
IF($D1285="정상",INDEX(임대자산!$D$3:$R$3000,MATCH($F1285,임대자산!$I$3:$I$3000,0),MATCH(K$4,임대자산!$D$3:$R$3,0)),
IF($D1285="폐업",INDEX(폐업정보!$D$3:$R$3000,MATCH($F1285,폐업정보!$I$3:$I$3000,0),MATCH(K$4,폐업정보!$D$3:$R$3,0)),
"Error"))</f>
        <v>C1280</v>
      </c>
      <c r="L1285" s="75" t="str">
        <f aca="false">
IF($D1285="정상",INDEX(임대자산!$D$3:$R$3000,MATCH($F1285,임대자산!$I$3:$I$3000,0),MATCH(L$4,임대자산!$D$3:$R$3,0)),
IF($D1285="폐업",INDEX(폐업정보!$D$3:$R$3000,MATCH($F1285,폐업정보!$I$3:$I$3000,0),MATCH(L$4,폐업정보!$D$3:$R$3,0)),
"Error"))</f>
        <v>D1280</v>
      </c>
      <c r="M1285" s="76" t="s">
        <v>96</v>
      </c>
      <c r="N1285" s="77"/>
      <c r="O1285" s="78" t="s">
        <v>97</v>
      </c>
      <c r="P1285" s="79" t="n">
        <f aca="false">COUNTIFS(임대자산!$I:$I,가맹점정보!F1285,임대자산!$N:$N,가맹점정보!P$4)</f>
        <v>0</v>
      </c>
      <c r="Q1285" s="80" t="n">
        <f aca="false">COUNTIFS(임대자산!$I:$I,가맹점정보!F1285,임대자산!$N:$N,가맹점정보!Q$4)</f>
        <v>0</v>
      </c>
      <c r="R1285" s="81" t="n">
        <f aca="false">COUNTIFS(임대자산!$I:$I,가맹점정보!F1285,임대자산!$N:$N,가맹점정보!R$4)</f>
        <v>1</v>
      </c>
      <c r="S1285" s="82" t="n">
        <v>88000</v>
      </c>
      <c r="T1285" s="83" t="n">
        <v>0</v>
      </c>
      <c r="U1285" s="80" t="n">
        <f aca="false">SUM(S1285:T1285)</f>
        <v>88000</v>
      </c>
      <c r="V1285" s="84" t="s">
        <v>7</v>
      </c>
      <c r="W1285" s="80" t="str">
        <f aca="true">
IF(D1285="폐업","폐업",
IF(V1285="면제","면제",
IF(AND(V1285="정상",COUNTIFS(OFFSET(Y1285,0,COUNTA(Y1285:AV1285)-1,1,-4),"미납")&gt;=3),"장기미납",
IF(AND(V1285="정상",OFFSET(Y1285,0,COUNTA(Y1285:AV1285)-1)&gt;=U1285),"정상",
IF(AND(V1285="정상",OFFSET(Y1285,0,COUNTA(Y1285:AV1285)-1)=0),"정상",
"계약서 미작성")))))</f>
        <v>면제</v>
      </c>
      <c r="X1285" s="81" t="str">
        <f aca="true">
IF(D1285="폐업","폐업",
IF(AND(V1285="정상",OFFSET(Y1285,0,COUNTA(Y1285:AV1285)-1)="미납"),"미납",
IF(AND(V1285="정상",OFFSET(Y1285,0,COUNTA(Y1285:AV1285)-1)=0),"납부 시작 전",
IF(AND(V1285="정상",OFFSET(Y1285,0,COUNTA(Y1285:AV1285)-1)&gt;=U1285),"정상",
IF(AND(V1285="면제",OFFSET(Y1285,0,COUNTA(Y1285:AV1285)-1)="면제"),"면제",
IF(AND(V1285="면제",OFFSET(Y1285,0,COUNTA(Y1285:AV1285)-1)=0),"면제",
"확인요청"))))))</f>
        <v>면제</v>
      </c>
      <c r="Y1285" s="94" t="s">
        <v>7</v>
      </c>
      <c r="Z1285" s="95" t="s">
        <v>7</v>
      </c>
      <c r="AA1285" s="95" t="s">
        <v>7</v>
      </c>
      <c r="AB1285" s="95" t="s">
        <v>7</v>
      </c>
      <c r="AC1285" s="95" t="s">
        <v>7</v>
      </c>
      <c r="AD1285" s="95" t="s">
        <v>7</v>
      </c>
      <c r="AE1285" s="95" t="s">
        <v>7</v>
      </c>
      <c r="AF1285" s="95" t="s">
        <v>7</v>
      </c>
      <c r="AG1285" s="95" t="s">
        <v>7</v>
      </c>
      <c r="AH1285" s="95" t="s">
        <v>7</v>
      </c>
      <c r="AI1285" s="95" t="s">
        <v>7</v>
      </c>
      <c r="AJ1285" s="96" t="s">
        <v>7</v>
      </c>
      <c r="AK1285" s="97" t="s">
        <v>7</v>
      </c>
      <c r="AL1285" s="95" t="s">
        <v>7</v>
      </c>
      <c r="AM1285" s="90"/>
      <c r="AN1285" s="90"/>
      <c r="AO1285" s="90"/>
      <c r="AP1285" s="90"/>
      <c r="AQ1285" s="90"/>
      <c r="AR1285" s="90"/>
      <c r="AS1285" s="90"/>
      <c r="AT1285" s="90"/>
      <c r="AU1285" s="90"/>
      <c r="AV1285" s="91"/>
      <c r="AX1285" s="92"/>
    </row>
    <row r="1286" customFormat="false" ht="15.65" hidden="false" customHeight="false" outlineLevel="0" collapsed="false">
      <c r="C1286" s="72" t="n">
        <f aca="false">COUNTIFS($D$6:D1286,"&lt;&gt;"&amp;"")</f>
        <v>1281</v>
      </c>
      <c r="D1286" s="73" t="s">
        <v>12</v>
      </c>
      <c r="E1286" s="76" t="str">
        <f aca="false">
IF($D1286="정상",INDEX(임대자산!$D$3:$R$3000,MATCH($F1286,임대자산!$I$3:$I$3000,0),MATCH(E$3,임대자산!$D$3:$R$3,0)),
IF($D1286="폐업",INDEX(폐업정보!$D$3:$R$3000,MATCH($F1286,폐업정보!$I$3:$I$3000,0),MATCH(E$3,폐업정보!$D$3:$R$3,0)),
"Error"))</f>
        <v>서울</v>
      </c>
      <c r="F128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B1281</v>
      </c>
      <c r="G1286" s="76" t="str">
        <f aca="false">F1286&amp;RANDBETWEEN(0,10)</f>
        <v>B12812</v>
      </c>
      <c r="H1286" s="75" t="n">
        <f aca="false">
IF($D1286="정상",INDEX(임대자산!$D$3:$R$3000,MATCH($F1286,임대자산!$I$3:$I$3000,0),MATCH(H$4,임대자산!$D$3:$R$3,0)),
IF($D1286="폐업",INDEX(폐업정보!$D$3:$R$3000,MATCH($F1286,폐업정보!$I$3:$I$3000,0),MATCH(H$4,폐업정보!$D$3:$R$3,0)),
"Error"))</f>
        <v>45643</v>
      </c>
      <c r="I1286" s="75" t="str">
        <f aca="false">
IF($D1286="정상",INDEX(임대자산!$D$3:$R$3000,MATCH($F1286,임대자산!$I$3:$I$3000,0),MATCH(I$4,임대자산!$D$3:$R$3,0)),
IF($D1286="폐업",INDEX(폐업정보!$D$3:$R$3000,MATCH($F1286,폐업정보!$I$3:$I$3000,0),MATCH(I$4,폐업정보!$D$3:$R$3,0)),
"Error"))</f>
        <v>A1281</v>
      </c>
      <c r="J1286" s="75" t="str">
        <f aca="false">
IF($D1286="정상",INDEX(임대자산!$D$3:$R$3000,MATCH($F1286,임대자산!$I$3:$I$3000,0),MATCH(J$4,임대자산!$D$3:$R$3,0)),
IF($D1286="폐업",INDEX(폐업정보!$D$3:$R$3000,MATCH($F1286,폐업정보!$I$3:$I$3000,0),MATCH(J$4,폐업정보!$D$3:$R$3,0)),
"Error"))</f>
        <v>7334000000</v>
      </c>
      <c r="K1286" s="75" t="str">
        <f aca="false">
IF($D1286="정상",INDEX(임대자산!$D$3:$R$3000,MATCH($F1286,임대자산!$I$3:$I$3000,0),MATCH(K$4,임대자산!$D$3:$R$3,0)),
IF($D1286="폐업",INDEX(폐업정보!$D$3:$R$3000,MATCH($F1286,폐업정보!$I$3:$I$3000,0),MATCH(K$4,폐업정보!$D$3:$R$3,0)),
"Error"))</f>
        <v>C1281</v>
      </c>
      <c r="L1286" s="75" t="str">
        <f aca="false">
IF($D1286="정상",INDEX(임대자산!$D$3:$R$3000,MATCH($F1286,임대자산!$I$3:$I$3000,0),MATCH(L$4,임대자산!$D$3:$R$3,0)),
IF($D1286="폐업",INDEX(폐업정보!$D$3:$R$3000,MATCH($F1286,폐업정보!$I$3:$I$3000,0),MATCH(L$4,폐업정보!$D$3:$R$3,0)),
"Error"))</f>
        <v>D1281</v>
      </c>
      <c r="M1286" s="76" t="s">
        <v>96</v>
      </c>
      <c r="N1286" s="77"/>
      <c r="O1286" s="78" t="s">
        <v>97</v>
      </c>
      <c r="P1286" s="79" t="n">
        <f aca="false">COUNTIFS(임대자산!$I:$I,가맹점정보!F1286,임대자산!$N:$N,가맹점정보!P$4)</f>
        <v>0</v>
      </c>
      <c r="Q1286" s="80" t="n">
        <f aca="false">COUNTIFS(임대자산!$I:$I,가맹점정보!F1286,임대자산!$N:$N,가맹점정보!Q$4)</f>
        <v>0</v>
      </c>
      <c r="R1286" s="81" t="n">
        <f aca="false">COUNTIFS(임대자산!$I:$I,가맹점정보!F1286,임대자산!$N:$N,가맹점정보!R$4)</f>
        <v>1</v>
      </c>
      <c r="S1286" s="82" t="n">
        <v>88000</v>
      </c>
      <c r="T1286" s="83" t="n">
        <v>0</v>
      </c>
      <c r="U1286" s="80" t="n">
        <f aca="false">SUM(S1286:T1286)</f>
        <v>88000</v>
      </c>
      <c r="V1286" s="84" t="s">
        <v>7</v>
      </c>
      <c r="W1286" s="80" t="str">
        <f aca="true">
IF(D1286="폐업","폐업",
IF(V1286="면제","면제",
IF(AND(V1286="정상",COUNTIFS(OFFSET(Y1286,0,COUNTA(Y1286:AV1286)-1,1,-4),"미납")&gt;=3),"장기미납",
IF(AND(V1286="정상",OFFSET(Y1286,0,COUNTA(Y1286:AV1286)-1)&gt;=U1286),"정상",
IF(AND(V1286="정상",OFFSET(Y1286,0,COUNTA(Y1286:AV1286)-1)=0),"정상",
"계약서 미작성")))))</f>
        <v>면제</v>
      </c>
      <c r="X1286" s="81" t="str">
        <f aca="true">
IF(D1286="폐업","폐업",
IF(AND(V1286="정상",OFFSET(Y1286,0,COUNTA(Y1286:AV1286)-1)="미납"),"미납",
IF(AND(V1286="정상",OFFSET(Y1286,0,COUNTA(Y1286:AV1286)-1)=0),"납부 시작 전",
IF(AND(V1286="정상",OFFSET(Y1286,0,COUNTA(Y1286:AV1286)-1)&gt;=U1286),"정상",
IF(AND(V1286="면제",OFFSET(Y1286,0,COUNTA(Y1286:AV1286)-1)="면제"),"면제",
IF(AND(V1286="면제",OFFSET(Y1286,0,COUNTA(Y1286:AV1286)-1)=0),"면제",
"확인요청"))))))</f>
        <v>면제</v>
      </c>
      <c r="Y1286" s="94" t="s">
        <v>7</v>
      </c>
      <c r="Z1286" s="95" t="s">
        <v>7</v>
      </c>
      <c r="AA1286" s="95" t="s">
        <v>7</v>
      </c>
      <c r="AB1286" s="95" t="s">
        <v>7</v>
      </c>
      <c r="AC1286" s="95" t="s">
        <v>7</v>
      </c>
      <c r="AD1286" s="95" t="s">
        <v>7</v>
      </c>
      <c r="AE1286" s="95" t="s">
        <v>7</v>
      </c>
      <c r="AF1286" s="95" t="s">
        <v>7</v>
      </c>
      <c r="AG1286" s="95" t="s">
        <v>7</v>
      </c>
      <c r="AH1286" s="95" t="s">
        <v>7</v>
      </c>
      <c r="AI1286" s="95" t="s">
        <v>7</v>
      </c>
      <c r="AJ1286" s="96" t="s">
        <v>7</v>
      </c>
      <c r="AK1286" s="97" t="s">
        <v>7</v>
      </c>
      <c r="AL1286" s="95" t="s">
        <v>7</v>
      </c>
      <c r="AM1286" s="90"/>
      <c r="AN1286" s="90"/>
      <c r="AO1286" s="90"/>
      <c r="AP1286" s="90"/>
      <c r="AQ1286" s="90"/>
      <c r="AR1286" s="90"/>
      <c r="AS1286" s="90"/>
      <c r="AT1286" s="90"/>
      <c r="AU1286" s="90"/>
      <c r="AV1286" s="91"/>
      <c r="AX1286" s="92"/>
    </row>
    <row r="1287" customFormat="false" ht="15.65" hidden="false" customHeight="false" outlineLevel="0" collapsed="false">
      <c r="C1287" s="72" t="n">
        <f aca="false">COUNTIFS($D$6:D1287,"&lt;&gt;"&amp;"")</f>
        <v>1282</v>
      </c>
      <c r="D1287" s="73" t="s">
        <v>12</v>
      </c>
      <c r="E1287" s="76" t="str">
        <f aca="false">
IF($D1287="정상",INDEX(임대자산!$D$3:$R$3000,MATCH($F1287,임대자산!$I$3:$I$3000,0),MATCH(E$3,임대자산!$D$3:$R$3,0)),
IF($D1287="폐업",INDEX(폐업정보!$D$3:$R$3000,MATCH($F1287,폐업정보!$I$3:$I$3000,0),MATCH(E$3,폐업정보!$D$3:$R$3,0)),
"Error"))</f>
        <v>서울</v>
      </c>
      <c r="F128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B1282</v>
      </c>
      <c r="G1287" s="76" t="str">
        <f aca="false">F1287&amp;RANDBETWEEN(0,10)</f>
        <v>B12826</v>
      </c>
      <c r="H1287" s="75" t="n">
        <f aca="false">
IF($D1287="정상",INDEX(임대자산!$D$3:$R$3000,MATCH($F1287,임대자산!$I$3:$I$3000,0),MATCH(H$4,임대자산!$D$3:$R$3,0)),
IF($D1287="폐업",INDEX(폐업정보!$D$3:$R$3000,MATCH($F1287,폐업정보!$I$3:$I$3000,0),MATCH(H$4,폐업정보!$D$3:$R$3,0)),
"Error"))</f>
        <v>45646</v>
      </c>
      <c r="I1287" s="75" t="str">
        <f aca="false">
IF($D1287="정상",INDEX(임대자산!$D$3:$R$3000,MATCH($F1287,임대자산!$I$3:$I$3000,0),MATCH(I$4,임대자산!$D$3:$R$3,0)),
IF($D1287="폐업",INDEX(폐업정보!$D$3:$R$3000,MATCH($F1287,폐업정보!$I$3:$I$3000,0),MATCH(I$4,폐업정보!$D$3:$R$3,0)),
"Error"))</f>
        <v>A1282</v>
      </c>
      <c r="J1287" s="75" t="str">
        <f aca="false">
IF($D1287="정상",INDEX(임대자산!$D$3:$R$3000,MATCH($F1287,임대자산!$I$3:$I$3000,0),MATCH(J$4,임대자산!$D$3:$R$3,0)),
IF($D1287="폐업",INDEX(폐업정보!$D$3:$R$3000,MATCH($F1287,폐업정보!$I$3:$I$3000,0),MATCH(J$4,폐업정보!$D$3:$R$3,0)),
"Error"))</f>
        <v>9338700000</v>
      </c>
      <c r="K1287" s="75" t="str">
        <f aca="false">
IF($D1287="정상",INDEX(임대자산!$D$3:$R$3000,MATCH($F1287,임대자산!$I$3:$I$3000,0),MATCH(K$4,임대자산!$D$3:$R$3,0)),
IF($D1287="폐업",INDEX(폐업정보!$D$3:$R$3000,MATCH($F1287,폐업정보!$I$3:$I$3000,0),MATCH(K$4,폐업정보!$D$3:$R$3,0)),
"Error"))</f>
        <v>C1282</v>
      </c>
      <c r="L1287" s="75" t="str">
        <f aca="false">
IF($D1287="정상",INDEX(임대자산!$D$3:$R$3000,MATCH($F1287,임대자산!$I$3:$I$3000,0),MATCH(L$4,임대자산!$D$3:$R$3,0)),
IF($D1287="폐업",INDEX(폐업정보!$D$3:$R$3000,MATCH($F1287,폐업정보!$I$3:$I$3000,0),MATCH(L$4,폐업정보!$D$3:$R$3,0)),
"Error"))</f>
        <v>D1282</v>
      </c>
      <c r="M1287" s="76" t="s">
        <v>96</v>
      </c>
      <c r="N1287" s="77"/>
      <c r="O1287" s="78" t="s">
        <v>97</v>
      </c>
      <c r="P1287" s="79" t="n">
        <f aca="false">COUNTIFS(임대자산!$I:$I,가맹점정보!F1287,임대자산!$N:$N,가맹점정보!P$4)</f>
        <v>0</v>
      </c>
      <c r="Q1287" s="80" t="n">
        <f aca="false">COUNTIFS(임대자산!$I:$I,가맹점정보!F1287,임대자산!$N:$N,가맹점정보!Q$4)</f>
        <v>0</v>
      </c>
      <c r="R1287" s="81" t="n">
        <f aca="false">COUNTIFS(임대자산!$I:$I,가맹점정보!F1287,임대자산!$N:$N,가맹점정보!R$4)</f>
        <v>1</v>
      </c>
      <c r="S1287" s="82" t="n">
        <v>88000</v>
      </c>
      <c r="T1287" s="83" t="n">
        <v>0</v>
      </c>
      <c r="U1287" s="80" t="n">
        <f aca="false">SUM(S1287:T1287)</f>
        <v>88000</v>
      </c>
      <c r="V1287" s="84" t="s">
        <v>7</v>
      </c>
      <c r="W1287" s="80" t="str">
        <f aca="true">
IF(D1287="폐업","폐업",
IF(V1287="면제","면제",
IF(AND(V1287="정상",COUNTIFS(OFFSET(Y1287,0,COUNTA(Y1287:AV1287)-1,1,-4),"미납")&gt;=3),"장기미납",
IF(AND(V1287="정상",OFFSET(Y1287,0,COUNTA(Y1287:AV1287)-1)&gt;=U1287),"정상",
IF(AND(V1287="정상",OFFSET(Y1287,0,COUNTA(Y1287:AV1287)-1)=0),"정상",
"계약서 미작성")))))</f>
        <v>면제</v>
      </c>
      <c r="X1287" s="81" t="str">
        <f aca="true">
IF(D1287="폐업","폐업",
IF(AND(V1287="정상",OFFSET(Y1287,0,COUNTA(Y1287:AV1287)-1)="미납"),"미납",
IF(AND(V1287="정상",OFFSET(Y1287,0,COUNTA(Y1287:AV1287)-1)=0),"납부 시작 전",
IF(AND(V1287="정상",OFFSET(Y1287,0,COUNTA(Y1287:AV1287)-1)&gt;=U1287),"정상",
IF(AND(V1287="면제",OFFSET(Y1287,0,COUNTA(Y1287:AV1287)-1)="면제"),"면제",
IF(AND(V1287="면제",OFFSET(Y1287,0,COUNTA(Y1287:AV1287)-1)=0),"면제",
"확인요청"))))))</f>
        <v>면제</v>
      </c>
      <c r="Y1287" s="94" t="s">
        <v>7</v>
      </c>
      <c r="Z1287" s="95" t="s">
        <v>7</v>
      </c>
      <c r="AA1287" s="95" t="s">
        <v>7</v>
      </c>
      <c r="AB1287" s="95" t="s">
        <v>7</v>
      </c>
      <c r="AC1287" s="95" t="s">
        <v>7</v>
      </c>
      <c r="AD1287" s="95" t="s">
        <v>7</v>
      </c>
      <c r="AE1287" s="95" t="s">
        <v>7</v>
      </c>
      <c r="AF1287" s="95" t="s">
        <v>7</v>
      </c>
      <c r="AG1287" s="95" t="s">
        <v>7</v>
      </c>
      <c r="AH1287" s="95" t="s">
        <v>7</v>
      </c>
      <c r="AI1287" s="95" t="s">
        <v>7</v>
      </c>
      <c r="AJ1287" s="96" t="s">
        <v>7</v>
      </c>
      <c r="AK1287" s="97" t="s">
        <v>7</v>
      </c>
      <c r="AL1287" s="95" t="s">
        <v>7</v>
      </c>
      <c r="AM1287" s="90"/>
      <c r="AN1287" s="90"/>
      <c r="AO1287" s="90"/>
      <c r="AP1287" s="90"/>
      <c r="AQ1287" s="90"/>
      <c r="AR1287" s="90"/>
      <c r="AS1287" s="90"/>
      <c r="AT1287" s="90"/>
      <c r="AU1287" s="90"/>
      <c r="AV1287" s="91"/>
      <c r="AX1287" s="92"/>
    </row>
    <row r="1288" customFormat="false" ht="15.65" hidden="false" customHeight="false" outlineLevel="0" collapsed="false">
      <c r="C1288" s="72" t="n">
        <f aca="false">COUNTIFS($D$6:D1288,"&lt;&gt;"&amp;"")</f>
        <v>1283</v>
      </c>
      <c r="D1288" s="73" t="s">
        <v>12</v>
      </c>
      <c r="E1288" s="76" t="str">
        <f aca="false">
IF($D1288="정상",INDEX(임대자산!$D$3:$R$3000,MATCH($F1288,임대자산!$I$3:$I$3000,0),MATCH(E$3,임대자산!$D$3:$R$3,0)),
IF($D1288="폐업",INDEX(폐업정보!$D$3:$R$3000,MATCH($F1288,폐업정보!$I$3:$I$3000,0),MATCH(E$3,폐업정보!$D$3:$R$3,0)),
"Error"))</f>
        <v>경상</v>
      </c>
      <c r="F128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B1283</v>
      </c>
      <c r="G1288" s="76" t="str">
        <f aca="false">F1288&amp;RANDBETWEEN(0,10)</f>
        <v>B12836</v>
      </c>
      <c r="H1288" s="75" t="n">
        <f aca="false">
IF($D1288="정상",INDEX(임대자산!$D$3:$R$3000,MATCH($F1288,임대자산!$I$3:$I$3000,0),MATCH(H$4,임대자산!$D$3:$R$3,0)),
IF($D1288="폐업",INDEX(폐업정보!$D$3:$R$3000,MATCH($F1288,폐업정보!$I$3:$I$3000,0),MATCH(H$4,폐업정보!$D$3:$R$3,0)),
"Error"))</f>
        <v>45659</v>
      </c>
      <c r="I1288" s="75" t="str">
        <f aca="false">
IF($D1288="정상",INDEX(임대자산!$D$3:$R$3000,MATCH($F1288,임대자산!$I$3:$I$3000,0),MATCH(I$4,임대자산!$D$3:$R$3,0)),
IF($D1288="폐업",INDEX(폐업정보!$D$3:$R$3000,MATCH($F1288,폐업정보!$I$3:$I$3000,0),MATCH(I$4,폐업정보!$D$3:$R$3,0)),
"Error"))</f>
        <v>A1283</v>
      </c>
      <c r="J1288" s="75" t="str">
        <f aca="false">
IF($D1288="정상",INDEX(임대자산!$D$3:$R$3000,MATCH($F1288,임대자산!$I$3:$I$3000,0),MATCH(J$4,임대자산!$D$3:$R$3,0)),
IF($D1288="폐업",INDEX(폐업정보!$D$3:$R$3000,MATCH($F1288,폐업정보!$I$3:$I$3000,0),MATCH(J$4,폐업정보!$D$3:$R$3,0)),
"Error"))</f>
        <v>7035600000</v>
      </c>
      <c r="K1288" s="75" t="str">
        <f aca="false">
IF($D1288="정상",INDEX(임대자산!$D$3:$R$3000,MATCH($F1288,임대자산!$I$3:$I$3000,0),MATCH(K$4,임대자산!$D$3:$R$3,0)),
IF($D1288="폐업",INDEX(폐업정보!$D$3:$R$3000,MATCH($F1288,폐업정보!$I$3:$I$3000,0),MATCH(K$4,폐업정보!$D$3:$R$3,0)),
"Error"))</f>
        <v>C1283</v>
      </c>
      <c r="L1288" s="75" t="str">
        <f aca="false">
IF($D1288="정상",INDEX(임대자산!$D$3:$R$3000,MATCH($F1288,임대자산!$I$3:$I$3000,0),MATCH(L$4,임대자산!$D$3:$R$3,0)),
IF($D1288="폐업",INDEX(폐업정보!$D$3:$R$3000,MATCH($F1288,폐업정보!$I$3:$I$3000,0),MATCH(L$4,폐업정보!$D$3:$R$3,0)),
"Error"))</f>
        <v>D1283</v>
      </c>
      <c r="M1288" s="76" t="s">
        <v>96</v>
      </c>
      <c r="N1288" s="77"/>
      <c r="O1288" s="78" t="s">
        <v>97</v>
      </c>
      <c r="P1288" s="79" t="n">
        <f aca="false">COUNTIFS(임대자산!$I:$I,가맹점정보!F1288,임대자산!$N:$N,가맹점정보!P$4)</f>
        <v>0</v>
      </c>
      <c r="Q1288" s="80" t="n">
        <f aca="false">COUNTIFS(임대자산!$I:$I,가맹점정보!F1288,임대자산!$N:$N,가맹점정보!Q$4)</f>
        <v>0</v>
      </c>
      <c r="R1288" s="81" t="n">
        <f aca="false">COUNTIFS(임대자산!$I:$I,가맹점정보!F1288,임대자산!$N:$N,가맹점정보!R$4)</f>
        <v>1</v>
      </c>
      <c r="S1288" s="82" t="n">
        <v>55000</v>
      </c>
      <c r="T1288" s="83" t="n">
        <v>0</v>
      </c>
      <c r="U1288" s="80" t="n">
        <f aca="false">SUM(S1288:T1288)</f>
        <v>55000</v>
      </c>
      <c r="V1288" s="84" t="s">
        <v>12</v>
      </c>
      <c r="W1288" s="80" t="e">
        <f aca="true">
IF(D1288="폐업","폐업",
IF(V1288="면제","면제",
IF(AND(V1288="정상",COUNTIFS(OFFSET(Y1288,0,COUNTA(Y1288:AV1288)-1,1,-4),"미납")&gt;=3),"장기미납",
IF(AND(V1288="정상",OFFSET(Y1288,0,COUNTA(Y1288:AV1288)-1)&gt;=U1288),"정상",
IF(AND(V1288="정상",OFFSET(Y1288,0,COUNTA(Y1288:AV1288)-1)=0),"정상",
"계약서 미작성")))))</f>
        <v>#VALUE!</v>
      </c>
      <c r="X1288" s="81" t="str">
        <f aca="true">
IF(D1288="폐업","폐업",
IF(AND(V1288="정상",OFFSET(Y1288,0,COUNTA(Y1288:AV1288)-1)="미납"),"미납",
IF(AND(V1288="정상",OFFSET(Y1288,0,COUNTA(Y1288:AV1288)-1)=0),"납부 시작 전",
IF(AND(V1288="정상",OFFSET(Y1288,0,COUNTA(Y1288:AV1288)-1)&gt;=U1288),"정상",
IF(AND(V1288="면제",OFFSET(Y1288,0,COUNTA(Y1288:AV1288)-1)="면제"),"면제",
IF(AND(V1288="면제",OFFSET(Y1288,0,COUNTA(Y1288:AV1288)-1)=0),"면제",
"확인요청"))))))</f>
        <v>정상</v>
      </c>
      <c r="Y1288" s="94" t="s">
        <v>62</v>
      </c>
      <c r="Z1288" s="90" t="n">
        <v>55000</v>
      </c>
      <c r="AA1288" s="90" t="n">
        <v>55000</v>
      </c>
      <c r="AB1288" s="90" t="n">
        <v>55000</v>
      </c>
      <c r="AC1288" s="90" t="n">
        <v>55000</v>
      </c>
      <c r="AD1288" s="90" t="n">
        <v>55000</v>
      </c>
      <c r="AE1288" s="90" t="n">
        <v>55000</v>
      </c>
      <c r="AF1288" s="90" t="n">
        <v>55000</v>
      </c>
      <c r="AG1288" s="90" t="s">
        <v>100</v>
      </c>
      <c r="AH1288" s="90" t="n">
        <v>110000</v>
      </c>
      <c r="AI1288" s="90" t="n">
        <v>55000</v>
      </c>
      <c r="AJ1288" s="91" t="n">
        <v>55000</v>
      </c>
      <c r="AK1288" s="89" t="n">
        <v>55000</v>
      </c>
      <c r="AL1288" s="90" t="n">
        <v>55000</v>
      </c>
      <c r="AM1288" s="90"/>
      <c r="AN1288" s="90"/>
      <c r="AO1288" s="90"/>
      <c r="AP1288" s="90"/>
      <c r="AQ1288" s="90"/>
      <c r="AR1288" s="90"/>
      <c r="AS1288" s="90"/>
      <c r="AT1288" s="90"/>
      <c r="AU1288" s="90"/>
      <c r="AV1288" s="91"/>
      <c r="AX1288" s="92"/>
    </row>
    <row r="1289" customFormat="false" ht="15.65" hidden="false" customHeight="false" outlineLevel="0" collapsed="false">
      <c r="C1289" s="72" t="n">
        <f aca="false">COUNTIFS($D$6:D1289,"&lt;&gt;"&amp;"")</f>
        <v>1284</v>
      </c>
      <c r="D1289" s="73" t="s">
        <v>12</v>
      </c>
      <c r="E1289" s="76" t="str">
        <f aca="false">
IF($D1289="정상",INDEX(임대자산!$D$3:$R$3000,MATCH($F1289,임대자산!$I$3:$I$3000,0),MATCH(E$3,임대자산!$D$3:$R$3,0)),
IF($D1289="폐업",INDEX(폐업정보!$D$3:$R$3000,MATCH($F1289,폐업정보!$I$3:$I$3000,0),MATCH(E$3,폐업정보!$D$3:$R$3,0)),
"Error"))</f>
        <v>경상</v>
      </c>
      <c r="F128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B1284</v>
      </c>
      <c r="G1289" s="76" t="str">
        <f aca="false">F1289&amp;RANDBETWEEN(0,10)</f>
        <v>B12842</v>
      </c>
      <c r="H1289" s="75" t="n">
        <f aca="false">
IF($D1289="정상",INDEX(임대자산!$D$3:$R$3000,MATCH($F1289,임대자산!$I$3:$I$3000,0),MATCH(H$4,임대자산!$D$3:$R$3,0)),
IF($D1289="폐업",INDEX(폐업정보!$D$3:$R$3000,MATCH($F1289,폐업정보!$I$3:$I$3000,0),MATCH(H$4,폐업정보!$D$3:$R$3,0)),
"Error"))</f>
        <v>45659</v>
      </c>
      <c r="I1289" s="75" t="str">
        <f aca="false">
IF($D1289="정상",INDEX(임대자산!$D$3:$R$3000,MATCH($F1289,임대자산!$I$3:$I$3000,0),MATCH(I$4,임대자산!$D$3:$R$3,0)),
IF($D1289="폐업",INDEX(폐업정보!$D$3:$R$3000,MATCH($F1289,폐업정보!$I$3:$I$3000,0),MATCH(I$4,폐업정보!$D$3:$R$3,0)),
"Error"))</f>
        <v>A1284</v>
      </c>
      <c r="J1289" s="75" t="str">
        <f aca="false">
IF($D1289="정상",INDEX(임대자산!$D$3:$R$3000,MATCH($F1289,임대자산!$I$3:$I$3000,0),MATCH(J$4,임대자산!$D$3:$R$3,0)),
IF($D1289="폐업",INDEX(폐업정보!$D$3:$R$3000,MATCH($F1289,폐업정보!$I$3:$I$3000,0),MATCH(J$4,폐업정보!$D$3:$R$3,0)),
"Error"))</f>
        <v>1463700000</v>
      </c>
      <c r="K1289" s="75" t="str">
        <f aca="false">
IF($D1289="정상",INDEX(임대자산!$D$3:$R$3000,MATCH($F1289,임대자산!$I$3:$I$3000,0),MATCH(K$4,임대자산!$D$3:$R$3,0)),
IF($D1289="폐업",INDEX(폐업정보!$D$3:$R$3000,MATCH($F1289,폐업정보!$I$3:$I$3000,0),MATCH(K$4,폐업정보!$D$3:$R$3,0)),
"Error"))</f>
        <v>C1284</v>
      </c>
      <c r="L1289" s="75" t="str">
        <f aca="false">
IF($D1289="정상",INDEX(임대자산!$D$3:$R$3000,MATCH($F1289,임대자산!$I$3:$I$3000,0),MATCH(L$4,임대자산!$D$3:$R$3,0)),
IF($D1289="폐업",INDEX(폐업정보!$D$3:$R$3000,MATCH($F1289,폐업정보!$I$3:$I$3000,0),MATCH(L$4,폐업정보!$D$3:$R$3,0)),
"Error"))</f>
        <v>D1284</v>
      </c>
      <c r="M1289" s="76" t="s">
        <v>96</v>
      </c>
      <c r="N1289" s="77"/>
      <c r="O1289" s="78" t="s">
        <v>97</v>
      </c>
      <c r="P1289" s="79" t="n">
        <f aca="false">COUNTIFS(임대자산!$I:$I,가맹점정보!F1289,임대자산!$N:$N,가맹점정보!P$4)</f>
        <v>0</v>
      </c>
      <c r="Q1289" s="80" t="n">
        <f aca="false">COUNTIFS(임대자산!$I:$I,가맹점정보!F1289,임대자산!$N:$N,가맹점정보!Q$4)</f>
        <v>0</v>
      </c>
      <c r="R1289" s="81" t="n">
        <f aca="false">COUNTIFS(임대자산!$I:$I,가맹점정보!F1289,임대자산!$N:$N,가맹점정보!R$4)</f>
        <v>1</v>
      </c>
      <c r="S1289" s="82" t="n">
        <v>88000</v>
      </c>
      <c r="T1289" s="83" t="n">
        <v>0</v>
      </c>
      <c r="U1289" s="80" t="n">
        <f aca="false">SUM(S1289:T1289)</f>
        <v>88000</v>
      </c>
      <c r="V1289" s="84" t="s">
        <v>7</v>
      </c>
      <c r="W1289" s="80" t="str">
        <f aca="true">
IF(D1289="폐업","폐업",
IF(V1289="면제","면제",
IF(AND(V1289="정상",COUNTIFS(OFFSET(Y1289,0,COUNTA(Y1289:AV1289)-1,1,-4),"미납")&gt;=3),"장기미납",
IF(AND(V1289="정상",OFFSET(Y1289,0,COUNTA(Y1289:AV1289)-1)&gt;=U1289),"정상",
IF(AND(V1289="정상",OFFSET(Y1289,0,COUNTA(Y1289:AV1289)-1)=0),"정상",
"계약서 미작성")))))</f>
        <v>면제</v>
      </c>
      <c r="X1289" s="81" t="str">
        <f aca="true">
IF(D1289="폐업","폐업",
IF(AND(V1289="정상",OFFSET(Y1289,0,COUNTA(Y1289:AV1289)-1)="미납"),"미납",
IF(AND(V1289="정상",OFFSET(Y1289,0,COUNTA(Y1289:AV1289)-1)=0),"납부 시작 전",
IF(AND(V1289="정상",OFFSET(Y1289,0,COUNTA(Y1289:AV1289)-1)&gt;=U1289),"정상",
IF(AND(V1289="면제",OFFSET(Y1289,0,COUNTA(Y1289:AV1289)-1)="면제"),"면제",
IF(AND(V1289="면제",OFFSET(Y1289,0,COUNTA(Y1289:AV1289)-1)=0),"면제",
"확인요청"))))))</f>
        <v>면제</v>
      </c>
      <c r="Y1289" s="94" t="s">
        <v>7</v>
      </c>
      <c r="Z1289" s="95" t="s">
        <v>7</v>
      </c>
      <c r="AA1289" s="95" t="s">
        <v>7</v>
      </c>
      <c r="AB1289" s="95" t="s">
        <v>7</v>
      </c>
      <c r="AC1289" s="95" t="s">
        <v>7</v>
      </c>
      <c r="AD1289" s="95" t="s">
        <v>7</v>
      </c>
      <c r="AE1289" s="95" t="s">
        <v>7</v>
      </c>
      <c r="AF1289" s="95" t="s">
        <v>7</v>
      </c>
      <c r="AG1289" s="95" t="s">
        <v>7</v>
      </c>
      <c r="AH1289" s="95" t="s">
        <v>7</v>
      </c>
      <c r="AI1289" s="95" t="s">
        <v>7</v>
      </c>
      <c r="AJ1289" s="96" t="s">
        <v>7</v>
      </c>
      <c r="AK1289" s="97" t="s">
        <v>7</v>
      </c>
      <c r="AL1289" s="95" t="s">
        <v>7</v>
      </c>
      <c r="AM1289" s="90"/>
      <c r="AN1289" s="90"/>
      <c r="AO1289" s="90"/>
      <c r="AP1289" s="90"/>
      <c r="AQ1289" s="90"/>
      <c r="AR1289" s="90"/>
      <c r="AS1289" s="90"/>
      <c r="AT1289" s="90"/>
      <c r="AU1289" s="90"/>
      <c r="AV1289" s="91"/>
      <c r="AX1289" s="92"/>
    </row>
    <row r="1290" customFormat="false" ht="15.65" hidden="false" customHeight="false" outlineLevel="0" collapsed="false">
      <c r="C1290" s="72" t="n">
        <f aca="false">COUNTIFS($D$6:D1290,"&lt;&gt;"&amp;"")</f>
        <v>1285</v>
      </c>
      <c r="D1290" s="73" t="s">
        <v>12</v>
      </c>
      <c r="E1290" s="76" t="str">
        <f aca="false">
IF($D1290="정상",INDEX(임대자산!$D$3:$R$3000,MATCH($F1290,임대자산!$I$3:$I$3000,0),MATCH(E$3,임대자산!$D$3:$R$3,0)),
IF($D1290="폐업",INDEX(폐업정보!$D$3:$R$3000,MATCH($F1290,폐업정보!$I$3:$I$3000,0),MATCH(E$3,폐업정보!$D$3:$R$3,0)),
"Error"))</f>
        <v>서울</v>
      </c>
      <c r="F129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B1285</v>
      </c>
      <c r="G1290" s="76" t="str">
        <f aca="false">F1290&amp;RANDBETWEEN(0,10)</f>
        <v>B128510</v>
      </c>
      <c r="H1290" s="75" t="n">
        <f aca="false">
IF($D1290="정상",INDEX(임대자산!$D$3:$R$3000,MATCH($F1290,임대자산!$I$3:$I$3000,0),MATCH(H$4,임대자산!$D$3:$R$3,0)),
IF($D1290="폐업",INDEX(폐업정보!$D$3:$R$3000,MATCH($F1290,폐업정보!$I$3:$I$3000,0),MATCH(H$4,폐업정보!$D$3:$R$3,0)),
"Error"))</f>
        <v>45461</v>
      </c>
      <c r="I1290" s="75" t="str">
        <f aca="false">
IF($D1290="정상",INDEX(임대자산!$D$3:$R$3000,MATCH($F1290,임대자산!$I$3:$I$3000,0),MATCH(I$4,임대자산!$D$3:$R$3,0)),
IF($D1290="폐업",INDEX(폐업정보!$D$3:$R$3000,MATCH($F1290,폐업정보!$I$3:$I$3000,0),MATCH(I$4,폐업정보!$D$3:$R$3,0)),
"Error"))</f>
        <v>A1285</v>
      </c>
      <c r="J1290" s="75" t="str">
        <f aca="false">
IF($D1290="정상",INDEX(임대자산!$D$3:$R$3000,MATCH($F1290,임대자산!$I$3:$I$3000,0),MATCH(J$4,임대자산!$D$3:$R$3,0)),
IF($D1290="폐업",INDEX(폐업정보!$D$3:$R$3000,MATCH($F1290,폐업정보!$I$3:$I$3000,0),MATCH(J$4,폐업정보!$D$3:$R$3,0)),
"Error"))</f>
        <v>3185500000</v>
      </c>
      <c r="K1290" s="75" t="str">
        <f aca="false">
IF($D1290="정상",INDEX(임대자산!$D$3:$R$3000,MATCH($F1290,임대자산!$I$3:$I$3000,0),MATCH(K$4,임대자산!$D$3:$R$3,0)),
IF($D1290="폐업",INDEX(폐업정보!$D$3:$R$3000,MATCH($F1290,폐업정보!$I$3:$I$3000,0),MATCH(K$4,폐업정보!$D$3:$R$3,0)),
"Error"))</f>
        <v>C1285</v>
      </c>
      <c r="L1290" s="75" t="str">
        <f aca="false">
IF($D1290="정상",INDEX(임대자산!$D$3:$R$3000,MATCH($F1290,임대자산!$I$3:$I$3000,0),MATCH(L$4,임대자산!$D$3:$R$3,0)),
IF($D1290="폐업",INDEX(폐업정보!$D$3:$R$3000,MATCH($F1290,폐업정보!$I$3:$I$3000,0),MATCH(L$4,폐업정보!$D$3:$R$3,0)),
"Error"))</f>
        <v>D1285</v>
      </c>
      <c r="M1290" s="76" t="s">
        <v>96</v>
      </c>
      <c r="N1290" s="77"/>
      <c r="O1290" s="78" t="s">
        <v>97</v>
      </c>
      <c r="P1290" s="79" t="n">
        <f aca="false">COUNTIFS(임대자산!$I:$I,가맹점정보!F1290,임대자산!$N:$N,가맹점정보!P$4)</f>
        <v>0</v>
      </c>
      <c r="Q1290" s="80" t="n">
        <f aca="false">COUNTIFS(임대자산!$I:$I,가맹점정보!F1290,임대자산!$N:$N,가맹점정보!Q$4)</f>
        <v>0</v>
      </c>
      <c r="R1290" s="81" t="n">
        <f aca="false">COUNTIFS(임대자산!$I:$I,가맹점정보!F1290,임대자산!$N:$N,가맹점정보!R$4)</f>
        <v>1</v>
      </c>
      <c r="S1290" s="82" t="n">
        <v>88000</v>
      </c>
      <c r="T1290" s="83" t="n">
        <v>0</v>
      </c>
      <c r="U1290" s="80" t="n">
        <f aca="false">SUM(S1290:T1290)</f>
        <v>88000</v>
      </c>
      <c r="V1290" s="84" t="s">
        <v>7</v>
      </c>
      <c r="W1290" s="80" t="str">
        <f aca="true">
IF(D1290="폐업","폐업",
IF(V1290="면제","면제",
IF(AND(V1290="정상",COUNTIFS(OFFSET(Y1290,0,COUNTA(Y1290:AV1290)-1,1,-4),"미납")&gt;=3),"장기미납",
IF(AND(V1290="정상",OFFSET(Y1290,0,COUNTA(Y1290:AV1290)-1)&gt;=U1290),"정상",
IF(AND(V1290="정상",OFFSET(Y1290,0,COUNTA(Y1290:AV1290)-1)=0),"정상",
"계약서 미작성")))))</f>
        <v>면제</v>
      </c>
      <c r="X1290" s="81" t="str">
        <f aca="true">
IF(D1290="폐업","폐업",
IF(AND(V1290="정상",OFFSET(Y1290,0,COUNTA(Y1290:AV1290)-1)="미납"),"미납",
IF(AND(V1290="정상",OFFSET(Y1290,0,COUNTA(Y1290:AV1290)-1)=0),"납부 시작 전",
IF(AND(V1290="정상",OFFSET(Y1290,0,COUNTA(Y1290:AV1290)-1)&gt;=U1290),"정상",
IF(AND(V1290="면제",OFFSET(Y1290,0,COUNTA(Y1290:AV1290)-1)="면제"),"면제",
IF(AND(V1290="면제",OFFSET(Y1290,0,COUNTA(Y1290:AV1290)-1)=0),"면제",
"확인요청"))))))</f>
        <v>면제</v>
      </c>
      <c r="Y1290" s="94" t="s">
        <v>7</v>
      </c>
      <c r="Z1290" s="95" t="s">
        <v>7</v>
      </c>
      <c r="AA1290" s="95" t="s">
        <v>7</v>
      </c>
      <c r="AB1290" s="95" t="s">
        <v>7</v>
      </c>
      <c r="AC1290" s="95" t="s">
        <v>7</v>
      </c>
      <c r="AD1290" s="95" t="s">
        <v>7</v>
      </c>
      <c r="AE1290" s="95" t="s">
        <v>7</v>
      </c>
      <c r="AF1290" s="95" t="s">
        <v>7</v>
      </c>
      <c r="AG1290" s="95" t="s">
        <v>7</v>
      </c>
      <c r="AH1290" s="95" t="s">
        <v>7</v>
      </c>
      <c r="AI1290" s="95" t="s">
        <v>7</v>
      </c>
      <c r="AJ1290" s="96" t="s">
        <v>7</v>
      </c>
      <c r="AK1290" s="97" t="s">
        <v>7</v>
      </c>
      <c r="AL1290" s="95" t="s">
        <v>7</v>
      </c>
      <c r="AM1290" s="90"/>
      <c r="AN1290" s="90"/>
      <c r="AO1290" s="90"/>
      <c r="AP1290" s="90"/>
      <c r="AQ1290" s="90"/>
      <c r="AR1290" s="90"/>
      <c r="AS1290" s="90"/>
      <c r="AT1290" s="90"/>
      <c r="AU1290" s="90"/>
      <c r="AV1290" s="91"/>
      <c r="AX1290" s="92"/>
    </row>
    <row r="1291" customFormat="false" ht="15.65" hidden="false" customHeight="false" outlineLevel="0" collapsed="false">
      <c r="C1291" s="72" t="n">
        <f aca="false">COUNTIFS($D$6:D1291,"&lt;&gt;"&amp;"")</f>
        <v>1286</v>
      </c>
      <c r="D1291" s="73" t="s">
        <v>12</v>
      </c>
      <c r="E1291" s="76" t="str">
        <f aca="false">
IF($D1291="정상",INDEX(임대자산!$D$3:$R$3000,MATCH($F1291,임대자산!$I$3:$I$3000,0),MATCH(E$3,임대자산!$D$3:$R$3,0)),
IF($D1291="폐업",INDEX(폐업정보!$D$3:$R$3000,MATCH($F1291,폐업정보!$I$3:$I$3000,0),MATCH(E$3,폐업정보!$D$3:$R$3,0)),
"Error"))</f>
        <v>서울</v>
      </c>
      <c r="F129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B1286</v>
      </c>
      <c r="G1291" s="76" t="str">
        <f aca="false">F1291&amp;RANDBETWEEN(0,10)</f>
        <v>B128610</v>
      </c>
      <c r="H1291" s="75" t="n">
        <f aca="false">
IF($D1291="정상",INDEX(임대자산!$D$3:$R$3000,MATCH($F1291,임대자산!$I$3:$I$3000,0),MATCH(H$4,임대자산!$D$3:$R$3,0)),
IF($D1291="폐업",INDEX(폐업정보!$D$3:$R$3000,MATCH($F1291,폐업정보!$I$3:$I$3000,0),MATCH(H$4,폐업정보!$D$3:$R$3,0)),
"Error"))</f>
        <v>45034</v>
      </c>
      <c r="I1291" s="75" t="str">
        <f aca="false">
IF($D1291="정상",INDEX(임대자산!$D$3:$R$3000,MATCH($F1291,임대자산!$I$3:$I$3000,0),MATCH(I$4,임대자산!$D$3:$R$3,0)),
IF($D1291="폐업",INDEX(폐업정보!$D$3:$R$3000,MATCH($F1291,폐업정보!$I$3:$I$3000,0),MATCH(I$4,폐업정보!$D$3:$R$3,0)),
"Error"))</f>
        <v>A1286</v>
      </c>
      <c r="J1291" s="75" t="str">
        <f aca="false">
IF($D1291="정상",INDEX(임대자산!$D$3:$R$3000,MATCH($F1291,임대자산!$I$3:$I$3000,0),MATCH(J$4,임대자산!$D$3:$R$3,0)),
IF($D1291="폐업",INDEX(폐업정보!$D$3:$R$3000,MATCH($F1291,폐업정보!$I$3:$I$3000,0),MATCH(J$4,폐업정보!$D$3:$R$3,0)),
"Error"))</f>
        <v>1113500000</v>
      </c>
      <c r="K1291" s="75" t="str">
        <f aca="false">
IF($D1291="정상",INDEX(임대자산!$D$3:$R$3000,MATCH($F1291,임대자산!$I$3:$I$3000,0),MATCH(K$4,임대자산!$D$3:$R$3,0)),
IF($D1291="폐업",INDEX(폐업정보!$D$3:$R$3000,MATCH($F1291,폐업정보!$I$3:$I$3000,0),MATCH(K$4,폐업정보!$D$3:$R$3,0)),
"Error"))</f>
        <v>C1286</v>
      </c>
      <c r="L1291" s="75" t="str">
        <f aca="false">
IF($D1291="정상",INDEX(임대자산!$D$3:$R$3000,MATCH($F1291,임대자산!$I$3:$I$3000,0),MATCH(L$4,임대자산!$D$3:$R$3,0)),
IF($D1291="폐업",INDEX(폐업정보!$D$3:$R$3000,MATCH($F1291,폐업정보!$I$3:$I$3000,0),MATCH(L$4,폐업정보!$D$3:$R$3,0)),
"Error"))</f>
        <v>D1286</v>
      </c>
      <c r="M1291" s="76" t="s">
        <v>96</v>
      </c>
      <c r="N1291" s="77"/>
      <c r="O1291" s="78" t="s">
        <v>97</v>
      </c>
      <c r="P1291" s="79" t="n">
        <f aca="false">COUNTIFS(임대자산!$I:$I,가맹점정보!F1291,임대자산!$N:$N,가맹점정보!P$4)</f>
        <v>0</v>
      </c>
      <c r="Q1291" s="80" t="n">
        <f aca="false">COUNTIFS(임대자산!$I:$I,가맹점정보!F1291,임대자산!$N:$N,가맹점정보!Q$4)</f>
        <v>0</v>
      </c>
      <c r="R1291" s="81" t="n">
        <f aca="false">COUNTIFS(임대자산!$I:$I,가맹점정보!F1291,임대자산!$N:$N,가맹점정보!R$4)</f>
        <v>1</v>
      </c>
      <c r="S1291" s="82" t="n">
        <v>55000</v>
      </c>
      <c r="T1291" s="83" t="n">
        <v>0</v>
      </c>
      <c r="U1291" s="80" t="n">
        <f aca="false">SUM(S1291:T1291)</f>
        <v>55000</v>
      </c>
      <c r="V1291" s="84" t="s">
        <v>7</v>
      </c>
      <c r="W1291" s="80" t="str">
        <f aca="true">
IF(D1291="폐업","폐업",
IF(V1291="면제","면제",
IF(AND(V1291="정상",COUNTIFS(OFFSET(Y1291,0,COUNTA(Y1291:AV1291)-1,1,-4),"미납")&gt;=3),"장기미납",
IF(AND(V1291="정상",OFFSET(Y1291,0,COUNTA(Y1291:AV1291)-1)&gt;=U1291),"정상",
IF(AND(V1291="정상",OFFSET(Y1291,0,COUNTA(Y1291:AV1291)-1)=0),"정상",
"계약서 미작성")))))</f>
        <v>면제</v>
      </c>
      <c r="X1291" s="81" t="str">
        <f aca="true">
IF(D1291="폐업","폐업",
IF(AND(V1291="정상",OFFSET(Y1291,0,COUNTA(Y1291:AV1291)-1)="미납"),"미납",
IF(AND(V1291="정상",OFFSET(Y1291,0,COUNTA(Y1291:AV1291)-1)=0),"납부 시작 전",
IF(AND(V1291="정상",OFFSET(Y1291,0,COUNTA(Y1291:AV1291)-1)&gt;=U1291),"정상",
IF(AND(V1291="면제",OFFSET(Y1291,0,COUNTA(Y1291:AV1291)-1)="면제"),"면제",
IF(AND(V1291="면제",OFFSET(Y1291,0,COUNTA(Y1291:AV1291)-1)=0),"면제",
"확인요청"))))))</f>
        <v>면제</v>
      </c>
      <c r="Y1291" s="94" t="s">
        <v>7</v>
      </c>
      <c r="Z1291" s="95" t="s">
        <v>7</v>
      </c>
      <c r="AA1291" s="95" t="s">
        <v>7</v>
      </c>
      <c r="AB1291" s="95" t="s">
        <v>7</v>
      </c>
      <c r="AC1291" s="95" t="s">
        <v>7</v>
      </c>
      <c r="AD1291" s="95" t="s">
        <v>7</v>
      </c>
      <c r="AE1291" s="95" t="s">
        <v>7</v>
      </c>
      <c r="AF1291" s="95" t="s">
        <v>7</v>
      </c>
      <c r="AG1291" s="95" t="s">
        <v>7</v>
      </c>
      <c r="AH1291" s="95" t="s">
        <v>7</v>
      </c>
      <c r="AI1291" s="95" t="s">
        <v>7</v>
      </c>
      <c r="AJ1291" s="96" t="s">
        <v>7</v>
      </c>
      <c r="AK1291" s="97" t="s">
        <v>7</v>
      </c>
      <c r="AL1291" s="95" t="s">
        <v>7</v>
      </c>
      <c r="AM1291" s="90"/>
      <c r="AN1291" s="90"/>
      <c r="AO1291" s="90"/>
      <c r="AP1291" s="90"/>
      <c r="AQ1291" s="90"/>
      <c r="AR1291" s="90"/>
      <c r="AS1291" s="90"/>
      <c r="AT1291" s="90"/>
      <c r="AU1291" s="90"/>
      <c r="AV1291" s="91"/>
      <c r="AX1291" s="92"/>
    </row>
    <row r="1292" customFormat="false" ht="15.65" hidden="false" customHeight="false" outlineLevel="0" collapsed="false">
      <c r="C1292" s="72" t="n">
        <f aca="false">COUNTIFS($D$6:D1292,"&lt;&gt;"&amp;"")</f>
        <v>1287</v>
      </c>
      <c r="D1292" s="73" t="s">
        <v>12</v>
      </c>
      <c r="E1292" s="76" t="str">
        <f aca="false">
IF($D1292="정상",INDEX(임대자산!$D$3:$R$3000,MATCH($F1292,임대자산!$I$3:$I$3000,0),MATCH(E$3,임대자산!$D$3:$R$3,0)),
IF($D1292="폐업",INDEX(폐업정보!$D$3:$R$3000,MATCH($F1292,폐업정보!$I$3:$I$3000,0),MATCH(E$3,폐업정보!$D$3:$R$3,0)),
"Error"))</f>
        <v>서울</v>
      </c>
      <c r="F129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B1287</v>
      </c>
      <c r="G1292" s="76" t="str">
        <f aca="false">F1292&amp;RANDBETWEEN(0,10)</f>
        <v>B12874</v>
      </c>
      <c r="H1292" s="75" t="n">
        <f aca="false">
IF($D1292="정상",INDEX(임대자산!$D$3:$R$3000,MATCH($F1292,임대자산!$I$3:$I$3000,0),MATCH(H$4,임대자산!$D$3:$R$3,0)),
IF($D1292="폐업",INDEX(폐업정보!$D$3:$R$3000,MATCH($F1292,폐업정보!$I$3:$I$3000,0),MATCH(H$4,폐업정보!$D$3:$R$3,0)),
"Error"))</f>
        <v>45035</v>
      </c>
      <c r="I1292" s="75" t="str">
        <f aca="false">
IF($D1292="정상",INDEX(임대자산!$D$3:$R$3000,MATCH($F1292,임대자산!$I$3:$I$3000,0),MATCH(I$4,임대자산!$D$3:$R$3,0)),
IF($D1292="폐업",INDEX(폐업정보!$D$3:$R$3000,MATCH($F1292,폐업정보!$I$3:$I$3000,0),MATCH(I$4,폐업정보!$D$3:$R$3,0)),
"Error"))</f>
        <v>A1287</v>
      </c>
      <c r="J1292" s="75" t="str">
        <f aca="false">
IF($D1292="정상",INDEX(임대자산!$D$3:$R$3000,MATCH($F1292,임대자산!$I$3:$I$3000,0),MATCH(J$4,임대자산!$D$3:$R$3,0)),
IF($D1292="폐업",INDEX(폐업정보!$D$3:$R$3000,MATCH($F1292,폐업정보!$I$3:$I$3000,0),MATCH(J$4,폐업정보!$D$3:$R$3,0)),
"Error"))</f>
        <v>9405300000</v>
      </c>
      <c r="K1292" s="75" t="str">
        <f aca="false">
IF($D1292="정상",INDEX(임대자산!$D$3:$R$3000,MATCH($F1292,임대자산!$I$3:$I$3000,0),MATCH(K$4,임대자산!$D$3:$R$3,0)),
IF($D1292="폐업",INDEX(폐업정보!$D$3:$R$3000,MATCH($F1292,폐업정보!$I$3:$I$3000,0),MATCH(K$4,폐업정보!$D$3:$R$3,0)),
"Error"))</f>
        <v>C1287</v>
      </c>
      <c r="L1292" s="75" t="str">
        <f aca="false">
IF($D1292="정상",INDEX(임대자산!$D$3:$R$3000,MATCH($F1292,임대자산!$I$3:$I$3000,0),MATCH(L$4,임대자산!$D$3:$R$3,0)),
IF($D1292="폐업",INDEX(폐업정보!$D$3:$R$3000,MATCH($F1292,폐업정보!$I$3:$I$3000,0),MATCH(L$4,폐업정보!$D$3:$R$3,0)),
"Error"))</f>
        <v>D1287</v>
      </c>
      <c r="M1292" s="76" t="s">
        <v>96</v>
      </c>
      <c r="N1292" s="77"/>
      <c r="O1292" s="78" t="s">
        <v>97</v>
      </c>
      <c r="P1292" s="79" t="n">
        <f aca="false">COUNTIFS(임대자산!$I:$I,가맹점정보!F1292,임대자산!$N:$N,가맹점정보!P$4)</f>
        <v>0</v>
      </c>
      <c r="Q1292" s="80" t="n">
        <f aca="false">COUNTIFS(임대자산!$I:$I,가맹점정보!F1292,임대자산!$N:$N,가맹점정보!Q$4)</f>
        <v>0</v>
      </c>
      <c r="R1292" s="81" t="n">
        <f aca="false">COUNTIFS(임대자산!$I:$I,가맹점정보!F1292,임대자산!$N:$N,가맹점정보!R$4)</f>
        <v>1</v>
      </c>
      <c r="S1292" s="82" t="n">
        <v>55000</v>
      </c>
      <c r="T1292" s="83" t="n">
        <v>0</v>
      </c>
      <c r="U1292" s="80" t="n">
        <f aca="false">SUM(S1292:T1292)</f>
        <v>55000</v>
      </c>
      <c r="V1292" s="84" t="s">
        <v>7</v>
      </c>
      <c r="W1292" s="80" t="str">
        <f aca="true">
IF(D1292="폐업","폐업",
IF(V1292="면제","면제",
IF(AND(V1292="정상",COUNTIFS(OFFSET(Y1292,0,COUNTA(Y1292:AV1292)-1,1,-4),"미납")&gt;=3),"장기미납",
IF(AND(V1292="정상",OFFSET(Y1292,0,COUNTA(Y1292:AV1292)-1)&gt;=U1292),"정상",
IF(AND(V1292="정상",OFFSET(Y1292,0,COUNTA(Y1292:AV1292)-1)=0),"정상",
"계약서 미작성")))))</f>
        <v>면제</v>
      </c>
      <c r="X1292" s="81" t="str">
        <f aca="true">
IF(D1292="폐업","폐업",
IF(AND(V1292="정상",OFFSET(Y1292,0,COUNTA(Y1292:AV1292)-1)="미납"),"미납",
IF(AND(V1292="정상",OFFSET(Y1292,0,COUNTA(Y1292:AV1292)-1)=0),"납부 시작 전",
IF(AND(V1292="정상",OFFSET(Y1292,0,COUNTA(Y1292:AV1292)-1)&gt;=U1292),"정상",
IF(AND(V1292="면제",OFFSET(Y1292,0,COUNTA(Y1292:AV1292)-1)="면제"),"면제",
IF(AND(V1292="면제",OFFSET(Y1292,0,COUNTA(Y1292:AV1292)-1)=0),"면제",
"확인요청"))))))</f>
        <v>면제</v>
      </c>
      <c r="Y1292" s="94" t="s">
        <v>7</v>
      </c>
      <c r="Z1292" s="95" t="s">
        <v>7</v>
      </c>
      <c r="AA1292" s="95" t="s">
        <v>7</v>
      </c>
      <c r="AB1292" s="95" t="s">
        <v>7</v>
      </c>
      <c r="AC1292" s="95" t="s">
        <v>7</v>
      </c>
      <c r="AD1292" s="95" t="s">
        <v>7</v>
      </c>
      <c r="AE1292" s="95" t="s">
        <v>7</v>
      </c>
      <c r="AF1292" s="95" t="s">
        <v>7</v>
      </c>
      <c r="AG1292" s="95" t="s">
        <v>7</v>
      </c>
      <c r="AH1292" s="95" t="s">
        <v>7</v>
      </c>
      <c r="AI1292" s="95" t="s">
        <v>7</v>
      </c>
      <c r="AJ1292" s="96" t="s">
        <v>7</v>
      </c>
      <c r="AK1292" s="97" t="s">
        <v>7</v>
      </c>
      <c r="AL1292" s="95" t="s">
        <v>7</v>
      </c>
      <c r="AM1292" s="90"/>
      <c r="AN1292" s="90"/>
      <c r="AO1292" s="90"/>
      <c r="AP1292" s="90"/>
      <c r="AQ1292" s="90"/>
      <c r="AR1292" s="90"/>
      <c r="AS1292" s="90"/>
      <c r="AT1292" s="90"/>
      <c r="AU1292" s="90"/>
      <c r="AV1292" s="91"/>
      <c r="AX1292" s="92"/>
    </row>
    <row r="1293" customFormat="false" ht="15.65" hidden="false" customHeight="false" outlineLevel="0" collapsed="false">
      <c r="C1293" s="72" t="n">
        <f aca="false">COUNTIFS($D$6:D1293,"&lt;&gt;"&amp;"")</f>
        <v>1288</v>
      </c>
      <c r="D1293" s="73" t="s">
        <v>12</v>
      </c>
      <c r="E1293" s="76" t="str">
        <f aca="false">
IF($D1293="정상",INDEX(임대자산!$D$3:$R$3000,MATCH($F1293,임대자산!$I$3:$I$3000,0),MATCH(E$3,임대자산!$D$3:$R$3,0)),
IF($D1293="폐업",INDEX(폐업정보!$D$3:$R$3000,MATCH($F1293,폐업정보!$I$3:$I$3000,0),MATCH(E$3,폐업정보!$D$3:$R$3,0)),
"Error"))</f>
        <v>서울</v>
      </c>
      <c r="F129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B1288</v>
      </c>
      <c r="G1293" s="76" t="str">
        <f aca="false">F1293&amp;RANDBETWEEN(0,10)</f>
        <v>B12886</v>
      </c>
      <c r="H1293" s="75" t="n">
        <f aca="false">
IF($D1293="정상",INDEX(임대자산!$D$3:$R$3000,MATCH($F1293,임대자산!$I$3:$I$3000,0),MATCH(H$4,임대자산!$D$3:$R$3,0)),
IF($D1293="폐업",INDEX(폐업정보!$D$3:$R$3000,MATCH($F1293,폐업정보!$I$3:$I$3000,0),MATCH(H$4,폐업정보!$D$3:$R$3,0)),
"Error"))</f>
        <v>45041</v>
      </c>
      <c r="I1293" s="75" t="str">
        <f aca="false">
IF($D1293="정상",INDEX(임대자산!$D$3:$R$3000,MATCH($F1293,임대자산!$I$3:$I$3000,0),MATCH(I$4,임대자산!$D$3:$R$3,0)),
IF($D1293="폐업",INDEX(폐업정보!$D$3:$R$3000,MATCH($F1293,폐업정보!$I$3:$I$3000,0),MATCH(I$4,폐업정보!$D$3:$R$3,0)),
"Error"))</f>
        <v>A1288</v>
      </c>
      <c r="J1293" s="75" t="str">
        <f aca="false">
IF($D1293="정상",INDEX(임대자산!$D$3:$R$3000,MATCH($F1293,임대자산!$I$3:$I$3000,0),MATCH(J$4,임대자산!$D$3:$R$3,0)),
IF($D1293="폐업",INDEX(폐업정보!$D$3:$R$3000,MATCH($F1293,폐업정보!$I$3:$I$3000,0),MATCH(J$4,폐업정보!$D$3:$R$3,0)),
"Error"))</f>
        <v>9850100000</v>
      </c>
      <c r="K1293" s="75" t="str">
        <f aca="false">
IF($D1293="정상",INDEX(임대자산!$D$3:$R$3000,MATCH($F1293,임대자산!$I$3:$I$3000,0),MATCH(K$4,임대자산!$D$3:$R$3,0)),
IF($D1293="폐업",INDEX(폐업정보!$D$3:$R$3000,MATCH($F1293,폐업정보!$I$3:$I$3000,0),MATCH(K$4,폐업정보!$D$3:$R$3,0)),
"Error"))</f>
        <v>C1288</v>
      </c>
      <c r="L1293" s="75" t="str">
        <f aca="false">
IF($D1293="정상",INDEX(임대자산!$D$3:$R$3000,MATCH($F1293,임대자산!$I$3:$I$3000,0),MATCH(L$4,임대자산!$D$3:$R$3,0)),
IF($D1293="폐업",INDEX(폐업정보!$D$3:$R$3000,MATCH($F1293,폐업정보!$I$3:$I$3000,0),MATCH(L$4,폐업정보!$D$3:$R$3,0)),
"Error"))</f>
        <v>D1288</v>
      </c>
      <c r="M1293" s="76" t="s">
        <v>96</v>
      </c>
      <c r="N1293" s="77"/>
      <c r="O1293" s="78" t="s">
        <v>97</v>
      </c>
      <c r="P1293" s="79" t="n">
        <f aca="false">COUNTIFS(임대자산!$I:$I,가맹점정보!F1293,임대자산!$N:$N,가맹점정보!P$4)</f>
        <v>0</v>
      </c>
      <c r="Q1293" s="80" t="n">
        <f aca="false">COUNTIFS(임대자산!$I:$I,가맹점정보!F1293,임대자산!$N:$N,가맹점정보!Q$4)</f>
        <v>0</v>
      </c>
      <c r="R1293" s="81" t="n">
        <f aca="false">COUNTIFS(임대자산!$I:$I,가맹점정보!F1293,임대자산!$N:$N,가맹점정보!R$4)</f>
        <v>1</v>
      </c>
      <c r="S1293" s="82" t="n">
        <v>88000</v>
      </c>
      <c r="T1293" s="83" t="n">
        <v>0</v>
      </c>
      <c r="U1293" s="80" t="n">
        <f aca="false">SUM(S1293:T1293)</f>
        <v>88000</v>
      </c>
      <c r="V1293" s="84" t="s">
        <v>7</v>
      </c>
      <c r="W1293" s="80" t="str">
        <f aca="true">
IF(D1293="폐업","폐업",
IF(V1293="면제","면제",
IF(AND(V1293="정상",COUNTIFS(OFFSET(Y1293,0,COUNTA(Y1293:AV1293)-1,1,-4),"미납")&gt;=3),"장기미납",
IF(AND(V1293="정상",OFFSET(Y1293,0,COUNTA(Y1293:AV1293)-1)&gt;=U1293),"정상",
IF(AND(V1293="정상",OFFSET(Y1293,0,COUNTA(Y1293:AV1293)-1)=0),"정상",
"계약서 미작성")))))</f>
        <v>면제</v>
      </c>
      <c r="X1293" s="81" t="str">
        <f aca="true">
IF(D1293="폐업","폐업",
IF(AND(V1293="정상",OFFSET(Y1293,0,COUNTA(Y1293:AV1293)-1)="미납"),"미납",
IF(AND(V1293="정상",OFFSET(Y1293,0,COUNTA(Y1293:AV1293)-1)=0),"납부 시작 전",
IF(AND(V1293="정상",OFFSET(Y1293,0,COUNTA(Y1293:AV1293)-1)&gt;=U1293),"정상",
IF(AND(V1293="면제",OFFSET(Y1293,0,COUNTA(Y1293:AV1293)-1)="면제"),"면제",
IF(AND(V1293="면제",OFFSET(Y1293,0,COUNTA(Y1293:AV1293)-1)=0),"면제",
"확인요청"))))))</f>
        <v>면제</v>
      </c>
      <c r="Y1293" s="94" t="s">
        <v>7</v>
      </c>
      <c r="Z1293" s="95" t="s">
        <v>7</v>
      </c>
      <c r="AA1293" s="95" t="s">
        <v>7</v>
      </c>
      <c r="AB1293" s="95" t="s">
        <v>7</v>
      </c>
      <c r="AC1293" s="95" t="s">
        <v>7</v>
      </c>
      <c r="AD1293" s="95" t="s">
        <v>7</v>
      </c>
      <c r="AE1293" s="95" t="s">
        <v>7</v>
      </c>
      <c r="AF1293" s="95" t="s">
        <v>7</v>
      </c>
      <c r="AG1293" s="95" t="s">
        <v>7</v>
      </c>
      <c r="AH1293" s="95" t="s">
        <v>7</v>
      </c>
      <c r="AI1293" s="95" t="s">
        <v>7</v>
      </c>
      <c r="AJ1293" s="96" t="s">
        <v>7</v>
      </c>
      <c r="AK1293" s="97" t="s">
        <v>7</v>
      </c>
      <c r="AL1293" s="95" t="s">
        <v>7</v>
      </c>
      <c r="AM1293" s="90"/>
      <c r="AN1293" s="90"/>
      <c r="AO1293" s="90"/>
      <c r="AP1293" s="90"/>
      <c r="AQ1293" s="90"/>
      <c r="AR1293" s="90"/>
      <c r="AS1293" s="90"/>
      <c r="AT1293" s="90"/>
      <c r="AU1293" s="90"/>
      <c r="AV1293" s="91"/>
      <c r="AX1293" s="92"/>
    </row>
    <row r="1294" customFormat="false" ht="15.65" hidden="false" customHeight="false" outlineLevel="0" collapsed="false">
      <c r="C1294" s="72" t="n">
        <f aca="false">COUNTIFS($D$6:D1294,"&lt;&gt;"&amp;"")</f>
        <v>1289</v>
      </c>
      <c r="D1294" s="73" t="s">
        <v>12</v>
      </c>
      <c r="E1294" s="76" t="str">
        <f aca="false">
IF($D1294="정상",INDEX(임대자산!$D$3:$R$3000,MATCH($F1294,임대자산!$I$3:$I$3000,0),MATCH(E$3,임대자산!$D$3:$R$3,0)),
IF($D1294="폐업",INDEX(폐업정보!$D$3:$R$3000,MATCH($F1294,폐업정보!$I$3:$I$3000,0),MATCH(E$3,폐업정보!$D$3:$R$3,0)),
"Error"))</f>
        <v>서울</v>
      </c>
      <c r="F129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B1289</v>
      </c>
      <c r="G1294" s="76" t="str">
        <f aca="false">F1294&amp;RANDBETWEEN(0,10)</f>
        <v>B12899</v>
      </c>
      <c r="H1294" s="75" t="n">
        <f aca="false">
IF($D1294="정상",INDEX(임대자산!$D$3:$R$3000,MATCH($F1294,임대자산!$I$3:$I$3000,0),MATCH(H$4,임대자산!$D$3:$R$3,0)),
IF($D1294="폐업",INDEX(폐업정보!$D$3:$R$3000,MATCH($F1294,폐업정보!$I$3:$I$3000,0),MATCH(H$4,폐업정보!$D$3:$R$3,0)),
"Error"))</f>
        <v>45369</v>
      </c>
      <c r="I1294" s="75" t="str">
        <f aca="false">
IF($D1294="정상",INDEX(임대자산!$D$3:$R$3000,MATCH($F1294,임대자산!$I$3:$I$3000,0),MATCH(I$4,임대자산!$D$3:$R$3,0)),
IF($D1294="폐업",INDEX(폐업정보!$D$3:$R$3000,MATCH($F1294,폐업정보!$I$3:$I$3000,0),MATCH(I$4,폐업정보!$D$3:$R$3,0)),
"Error"))</f>
        <v>A1289</v>
      </c>
      <c r="J1294" s="75" t="str">
        <f aca="false">
IF($D1294="정상",INDEX(임대자산!$D$3:$R$3000,MATCH($F1294,임대자산!$I$3:$I$3000,0),MATCH(J$4,임대자산!$D$3:$R$3,0)),
IF($D1294="폐업",INDEX(폐업정보!$D$3:$R$3000,MATCH($F1294,폐업정보!$I$3:$I$3000,0),MATCH(J$4,폐업정보!$D$3:$R$3,0)),
"Error"))</f>
        <v>5606800000</v>
      </c>
      <c r="K1294" s="75" t="str">
        <f aca="false">
IF($D1294="정상",INDEX(임대자산!$D$3:$R$3000,MATCH($F1294,임대자산!$I$3:$I$3000,0),MATCH(K$4,임대자산!$D$3:$R$3,0)),
IF($D1294="폐업",INDEX(폐업정보!$D$3:$R$3000,MATCH($F1294,폐업정보!$I$3:$I$3000,0),MATCH(K$4,폐업정보!$D$3:$R$3,0)),
"Error"))</f>
        <v>C1289</v>
      </c>
      <c r="L1294" s="75" t="str">
        <f aca="false">
IF($D1294="정상",INDEX(임대자산!$D$3:$R$3000,MATCH($F1294,임대자산!$I$3:$I$3000,0),MATCH(L$4,임대자산!$D$3:$R$3,0)),
IF($D1294="폐업",INDEX(폐업정보!$D$3:$R$3000,MATCH($F1294,폐업정보!$I$3:$I$3000,0),MATCH(L$4,폐업정보!$D$3:$R$3,0)),
"Error"))</f>
        <v>D1289</v>
      </c>
      <c r="M1294" s="76" t="s">
        <v>96</v>
      </c>
      <c r="N1294" s="77"/>
      <c r="O1294" s="78" t="s">
        <v>97</v>
      </c>
      <c r="P1294" s="79" t="n">
        <f aca="false">COUNTIFS(임대자산!$I:$I,가맹점정보!F1294,임대자산!$N:$N,가맹점정보!P$4)</f>
        <v>0</v>
      </c>
      <c r="Q1294" s="80" t="n">
        <f aca="false">COUNTIFS(임대자산!$I:$I,가맹점정보!F1294,임대자산!$N:$N,가맹점정보!Q$4)</f>
        <v>0</v>
      </c>
      <c r="R1294" s="81" t="n">
        <f aca="false">COUNTIFS(임대자산!$I:$I,가맹점정보!F1294,임대자산!$N:$N,가맹점정보!R$4)</f>
        <v>1</v>
      </c>
      <c r="S1294" s="82" t="n">
        <v>88000</v>
      </c>
      <c r="T1294" s="83" t="n">
        <v>0</v>
      </c>
      <c r="U1294" s="80" t="n">
        <f aca="false">SUM(S1294:T1294)</f>
        <v>88000</v>
      </c>
      <c r="V1294" s="84" t="s">
        <v>7</v>
      </c>
      <c r="W1294" s="80" t="str">
        <f aca="true">
IF(D1294="폐업","폐업",
IF(V1294="면제","면제",
IF(AND(V1294="정상",COUNTIFS(OFFSET(Y1294,0,COUNTA(Y1294:AV1294)-1,1,-4),"미납")&gt;=3),"장기미납",
IF(AND(V1294="정상",OFFSET(Y1294,0,COUNTA(Y1294:AV1294)-1)&gt;=U1294),"정상",
IF(AND(V1294="정상",OFFSET(Y1294,0,COUNTA(Y1294:AV1294)-1)=0),"정상",
"계약서 미작성")))))</f>
        <v>면제</v>
      </c>
      <c r="X1294" s="81" t="str">
        <f aca="true">
IF(D1294="폐업","폐업",
IF(AND(V1294="정상",OFFSET(Y1294,0,COUNTA(Y1294:AV1294)-1)="미납"),"미납",
IF(AND(V1294="정상",OFFSET(Y1294,0,COUNTA(Y1294:AV1294)-1)=0),"납부 시작 전",
IF(AND(V1294="정상",OFFSET(Y1294,0,COUNTA(Y1294:AV1294)-1)&gt;=U1294),"정상",
IF(AND(V1294="면제",OFFSET(Y1294,0,COUNTA(Y1294:AV1294)-1)="면제"),"면제",
IF(AND(V1294="면제",OFFSET(Y1294,0,COUNTA(Y1294:AV1294)-1)=0),"면제",
"확인요청"))))))</f>
        <v>면제</v>
      </c>
      <c r="Y1294" s="94" t="s">
        <v>7</v>
      </c>
      <c r="Z1294" s="95" t="s">
        <v>7</v>
      </c>
      <c r="AA1294" s="95" t="s">
        <v>7</v>
      </c>
      <c r="AB1294" s="95" t="s">
        <v>7</v>
      </c>
      <c r="AC1294" s="95" t="s">
        <v>7</v>
      </c>
      <c r="AD1294" s="95" t="s">
        <v>7</v>
      </c>
      <c r="AE1294" s="95" t="s">
        <v>7</v>
      </c>
      <c r="AF1294" s="95" t="s">
        <v>7</v>
      </c>
      <c r="AG1294" s="95" t="s">
        <v>7</v>
      </c>
      <c r="AH1294" s="95" t="s">
        <v>7</v>
      </c>
      <c r="AI1294" s="95" t="s">
        <v>7</v>
      </c>
      <c r="AJ1294" s="96" t="s">
        <v>7</v>
      </c>
      <c r="AK1294" s="97" t="s">
        <v>7</v>
      </c>
      <c r="AL1294" s="95" t="s">
        <v>7</v>
      </c>
      <c r="AM1294" s="90"/>
      <c r="AN1294" s="90"/>
      <c r="AO1294" s="90"/>
      <c r="AP1294" s="90"/>
      <c r="AQ1294" s="90"/>
      <c r="AR1294" s="90"/>
      <c r="AS1294" s="90"/>
      <c r="AT1294" s="90"/>
      <c r="AU1294" s="90"/>
      <c r="AV1294" s="91"/>
      <c r="AX1294" s="92"/>
    </row>
    <row r="1295" customFormat="false" ht="15.65" hidden="false" customHeight="false" outlineLevel="0" collapsed="false">
      <c r="C1295" s="72" t="n">
        <f aca="false">COUNTIFS($D$6:D1295,"&lt;&gt;"&amp;"")</f>
        <v>1290</v>
      </c>
      <c r="D1295" s="73" t="s">
        <v>12</v>
      </c>
      <c r="E1295" s="76" t="str">
        <f aca="false">
IF($D1295="정상",INDEX(임대자산!$D$3:$R$3000,MATCH($F1295,임대자산!$I$3:$I$3000,0),MATCH(E$3,임대자산!$D$3:$R$3,0)),
IF($D1295="폐업",INDEX(폐업정보!$D$3:$R$3000,MATCH($F1295,폐업정보!$I$3:$I$3000,0),MATCH(E$3,폐업정보!$D$3:$R$3,0)),
"Error"))</f>
        <v>서울</v>
      </c>
      <c r="F129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B1290</v>
      </c>
      <c r="G1295" s="76" t="str">
        <f aca="false">F1295&amp;RANDBETWEEN(0,10)</f>
        <v>B12904</v>
      </c>
      <c r="H1295" s="75" t="n">
        <f aca="false">
IF($D1295="정상",INDEX(임대자산!$D$3:$R$3000,MATCH($F1295,임대자산!$I$3:$I$3000,0),MATCH(H$4,임대자산!$D$3:$R$3,0)),
IF($D1295="폐업",INDEX(폐업정보!$D$3:$R$3000,MATCH($F1295,폐업정보!$I$3:$I$3000,0),MATCH(H$4,폐업정보!$D$3:$R$3,0)),
"Error"))</f>
        <v>45369</v>
      </c>
      <c r="I1295" s="75" t="str">
        <f aca="false">
IF($D1295="정상",INDEX(임대자산!$D$3:$R$3000,MATCH($F1295,임대자산!$I$3:$I$3000,0),MATCH(I$4,임대자산!$D$3:$R$3,0)),
IF($D1295="폐업",INDEX(폐업정보!$D$3:$R$3000,MATCH($F1295,폐업정보!$I$3:$I$3000,0),MATCH(I$4,폐업정보!$D$3:$R$3,0)),
"Error"))</f>
        <v>A1290</v>
      </c>
      <c r="J1295" s="75" t="str">
        <f aca="false">
IF($D1295="정상",INDEX(임대자산!$D$3:$R$3000,MATCH($F1295,임대자산!$I$3:$I$3000,0),MATCH(J$4,임대자산!$D$3:$R$3,0)),
IF($D1295="폐업",INDEX(폐업정보!$D$3:$R$3000,MATCH($F1295,폐업정보!$I$3:$I$3000,0),MATCH(J$4,폐업정보!$D$3:$R$3,0)),
"Error"))</f>
        <v>1629400000</v>
      </c>
      <c r="K1295" s="75" t="str">
        <f aca="false">
IF($D1295="정상",INDEX(임대자산!$D$3:$R$3000,MATCH($F1295,임대자산!$I$3:$I$3000,0),MATCH(K$4,임대자산!$D$3:$R$3,0)),
IF($D1295="폐업",INDEX(폐업정보!$D$3:$R$3000,MATCH($F1295,폐업정보!$I$3:$I$3000,0),MATCH(K$4,폐업정보!$D$3:$R$3,0)),
"Error"))</f>
        <v>C1290</v>
      </c>
      <c r="L1295" s="75" t="str">
        <f aca="false">
IF($D1295="정상",INDEX(임대자산!$D$3:$R$3000,MATCH($F1295,임대자산!$I$3:$I$3000,0),MATCH(L$4,임대자산!$D$3:$R$3,0)),
IF($D1295="폐업",INDEX(폐업정보!$D$3:$R$3000,MATCH($F1295,폐업정보!$I$3:$I$3000,0),MATCH(L$4,폐업정보!$D$3:$R$3,0)),
"Error"))</f>
        <v>D1290</v>
      </c>
      <c r="M1295" s="76" t="s">
        <v>96</v>
      </c>
      <c r="N1295" s="77"/>
      <c r="O1295" s="78" t="s">
        <v>97</v>
      </c>
      <c r="P1295" s="79" t="n">
        <f aca="false">COUNTIFS(임대자산!$I:$I,가맹점정보!F1295,임대자산!$N:$N,가맹점정보!P$4)</f>
        <v>0</v>
      </c>
      <c r="Q1295" s="80" t="n">
        <f aca="false">COUNTIFS(임대자산!$I:$I,가맹점정보!F1295,임대자산!$N:$N,가맹점정보!Q$4)</f>
        <v>0</v>
      </c>
      <c r="R1295" s="81" t="n">
        <f aca="false">COUNTIFS(임대자산!$I:$I,가맹점정보!F1295,임대자산!$N:$N,가맹점정보!R$4)</f>
        <v>1</v>
      </c>
      <c r="S1295" s="82" t="n">
        <v>55000</v>
      </c>
      <c r="T1295" s="83" t="n">
        <v>0</v>
      </c>
      <c r="U1295" s="80" t="n">
        <f aca="false">SUM(S1295:T1295)</f>
        <v>55000</v>
      </c>
      <c r="V1295" s="84" t="s">
        <v>12</v>
      </c>
      <c r="W1295" s="80" t="e">
        <f aca="true">
IF(D1295="폐업","폐업",
IF(V1295="면제","면제",
IF(AND(V1295="정상",COUNTIFS(OFFSET(Y1295,0,COUNTA(Y1295:AV1295)-1,1,-4),"미납")&gt;=3),"장기미납",
IF(AND(V1295="정상",OFFSET(Y1295,0,COUNTA(Y1295:AV1295)-1)&gt;=U1295),"정상",
IF(AND(V1295="정상",OFFSET(Y1295,0,COUNTA(Y1295:AV1295)-1)=0),"정상",
"계약서 미작성")))))</f>
        <v>#VALUE!</v>
      </c>
      <c r="X1295" s="81" t="str">
        <f aca="true">
IF(D1295="폐업","폐업",
IF(AND(V1295="정상",OFFSET(Y1295,0,COUNTA(Y1295:AV1295)-1)="미납"),"미납",
IF(AND(V1295="정상",OFFSET(Y1295,0,COUNTA(Y1295:AV1295)-1)=0),"납부 시작 전",
IF(AND(V1295="정상",OFFSET(Y1295,0,COUNTA(Y1295:AV1295)-1)&gt;=U1295),"정상",
IF(AND(V1295="면제",OFFSET(Y1295,0,COUNTA(Y1295:AV1295)-1)="면제"),"면제",
IF(AND(V1295="면제",OFFSET(Y1295,0,COUNTA(Y1295:AV1295)-1)=0),"면제",
"확인요청"))))))</f>
        <v>정상</v>
      </c>
      <c r="Y1295" s="93" t="n">
        <v>55000</v>
      </c>
      <c r="Z1295" s="90" t="n">
        <v>55000</v>
      </c>
      <c r="AA1295" s="90" t="n">
        <v>55000</v>
      </c>
      <c r="AB1295" s="90" t="n">
        <v>55000</v>
      </c>
      <c r="AC1295" s="90" t="n">
        <v>55000</v>
      </c>
      <c r="AD1295" s="90" t="n">
        <v>55000</v>
      </c>
      <c r="AE1295" s="90" t="n">
        <v>55000</v>
      </c>
      <c r="AF1295" s="90" t="n">
        <v>55000</v>
      </c>
      <c r="AG1295" s="90" t="n">
        <v>55000</v>
      </c>
      <c r="AH1295" s="90" t="n">
        <v>55000</v>
      </c>
      <c r="AI1295" s="90" t="n">
        <v>55000</v>
      </c>
      <c r="AJ1295" s="91" t="n">
        <v>55000</v>
      </c>
      <c r="AK1295" s="89" t="n">
        <v>55000</v>
      </c>
      <c r="AL1295" s="90" t="n">
        <v>55000</v>
      </c>
      <c r="AM1295" s="90"/>
      <c r="AN1295" s="90"/>
      <c r="AO1295" s="90"/>
      <c r="AP1295" s="90"/>
      <c r="AQ1295" s="90"/>
      <c r="AR1295" s="90"/>
      <c r="AS1295" s="90"/>
      <c r="AT1295" s="90"/>
      <c r="AU1295" s="90"/>
      <c r="AV1295" s="91"/>
      <c r="AX1295" s="92"/>
    </row>
    <row r="1296" customFormat="false" ht="15.65" hidden="false" customHeight="false" outlineLevel="0" collapsed="false">
      <c r="C1296" s="72" t="n">
        <f aca="false">COUNTIFS($D$6:D1296,"&lt;&gt;"&amp;"")</f>
        <v>1291</v>
      </c>
      <c r="D1296" s="73" t="s">
        <v>12</v>
      </c>
      <c r="E1296" s="76" t="str">
        <f aca="false">
IF($D1296="정상",INDEX(임대자산!$D$3:$R$3000,MATCH($F1296,임대자산!$I$3:$I$3000,0),MATCH(E$3,임대자산!$D$3:$R$3,0)),
IF($D1296="폐업",INDEX(폐업정보!$D$3:$R$3000,MATCH($F1296,폐업정보!$I$3:$I$3000,0),MATCH(E$3,폐업정보!$D$3:$R$3,0)),
"Error"))</f>
        <v>서울</v>
      </c>
      <c r="F129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B1291</v>
      </c>
      <c r="G1296" s="76" t="str">
        <f aca="false">F1296&amp;RANDBETWEEN(0,10)</f>
        <v>B12917</v>
      </c>
      <c r="H1296" s="75" t="n">
        <f aca="false">
IF($D1296="정상",INDEX(임대자산!$D$3:$R$3000,MATCH($F1296,임대자산!$I$3:$I$3000,0),MATCH(H$4,임대자산!$D$3:$R$3,0)),
IF($D1296="폐업",INDEX(폐업정보!$D$3:$R$3000,MATCH($F1296,폐업정보!$I$3:$I$3000,0),MATCH(H$4,폐업정보!$D$3:$R$3,0)),
"Error"))</f>
        <v>45041</v>
      </c>
      <c r="I1296" s="75" t="str">
        <f aca="false">
IF($D1296="정상",INDEX(임대자산!$D$3:$R$3000,MATCH($F1296,임대자산!$I$3:$I$3000,0),MATCH(I$4,임대자산!$D$3:$R$3,0)),
IF($D1296="폐업",INDEX(폐업정보!$D$3:$R$3000,MATCH($F1296,폐업정보!$I$3:$I$3000,0),MATCH(I$4,폐업정보!$D$3:$R$3,0)),
"Error"))</f>
        <v>A1291</v>
      </c>
      <c r="J1296" s="75" t="str">
        <f aca="false">
IF($D1296="정상",INDEX(임대자산!$D$3:$R$3000,MATCH($F1296,임대자산!$I$3:$I$3000,0),MATCH(J$4,임대자산!$D$3:$R$3,0)),
IF($D1296="폐업",INDEX(폐업정보!$D$3:$R$3000,MATCH($F1296,폐업정보!$I$3:$I$3000,0),MATCH(J$4,폐업정보!$D$3:$R$3,0)),
"Error"))</f>
        <v>4736500000</v>
      </c>
      <c r="K1296" s="75" t="str">
        <f aca="false">
IF($D1296="정상",INDEX(임대자산!$D$3:$R$3000,MATCH($F1296,임대자산!$I$3:$I$3000,0),MATCH(K$4,임대자산!$D$3:$R$3,0)),
IF($D1296="폐업",INDEX(폐업정보!$D$3:$R$3000,MATCH($F1296,폐업정보!$I$3:$I$3000,0),MATCH(K$4,폐업정보!$D$3:$R$3,0)),
"Error"))</f>
        <v>C1291</v>
      </c>
      <c r="L1296" s="75" t="str">
        <f aca="false">
IF($D1296="정상",INDEX(임대자산!$D$3:$R$3000,MATCH($F1296,임대자산!$I$3:$I$3000,0),MATCH(L$4,임대자산!$D$3:$R$3,0)),
IF($D1296="폐업",INDEX(폐업정보!$D$3:$R$3000,MATCH($F1296,폐업정보!$I$3:$I$3000,0),MATCH(L$4,폐업정보!$D$3:$R$3,0)),
"Error"))</f>
        <v>D1291</v>
      </c>
      <c r="M1296" s="76" t="s">
        <v>96</v>
      </c>
      <c r="N1296" s="77"/>
      <c r="O1296" s="78" t="s">
        <v>97</v>
      </c>
      <c r="P1296" s="79" t="n">
        <f aca="false">COUNTIFS(임대자산!$I:$I,가맹점정보!F1296,임대자산!$N:$N,가맹점정보!P$4)</f>
        <v>0</v>
      </c>
      <c r="Q1296" s="80" t="n">
        <f aca="false">COUNTIFS(임대자산!$I:$I,가맹점정보!F1296,임대자산!$N:$N,가맹점정보!Q$4)</f>
        <v>0</v>
      </c>
      <c r="R1296" s="81" t="n">
        <f aca="false">COUNTIFS(임대자산!$I:$I,가맹점정보!F1296,임대자산!$N:$N,가맹점정보!R$4)</f>
        <v>1</v>
      </c>
      <c r="S1296" s="82" t="n">
        <v>55000</v>
      </c>
      <c r="T1296" s="83" t="n">
        <v>0</v>
      </c>
      <c r="U1296" s="80" t="n">
        <f aca="false">SUM(S1296:T1296)</f>
        <v>55000</v>
      </c>
      <c r="V1296" s="84" t="s">
        <v>12</v>
      </c>
      <c r="W1296" s="80" t="e">
        <f aca="true">
IF(D1296="폐업","폐업",
IF(V1296="면제","면제",
IF(AND(V1296="정상",COUNTIFS(OFFSET(Y1296,0,COUNTA(Y1296:AV1296)-1,1,-4),"미납")&gt;=3),"장기미납",
IF(AND(V1296="정상",OFFSET(Y1296,0,COUNTA(Y1296:AV1296)-1)&gt;=U1296),"정상",
IF(AND(V1296="정상",OFFSET(Y1296,0,COUNTA(Y1296:AV1296)-1)=0),"정상",
"계약서 미작성")))))</f>
        <v>#VALUE!</v>
      </c>
      <c r="X1296" s="81" t="str">
        <f aca="true">
IF(D1296="폐업","폐업",
IF(AND(V1296="정상",OFFSET(Y1296,0,COUNTA(Y1296:AV1296)-1)="미납"),"미납",
IF(AND(V1296="정상",OFFSET(Y1296,0,COUNTA(Y1296:AV1296)-1)=0),"납부 시작 전",
IF(AND(V1296="정상",OFFSET(Y1296,0,COUNTA(Y1296:AV1296)-1)&gt;=U1296),"정상",
IF(AND(V1296="면제",OFFSET(Y1296,0,COUNTA(Y1296:AV1296)-1)="면제"),"면제",
IF(AND(V1296="면제",OFFSET(Y1296,0,COUNTA(Y1296:AV1296)-1)=0),"면제",
"확인요청"))))))</f>
        <v>정상</v>
      </c>
      <c r="Y1296" s="93" t="n">
        <v>55000</v>
      </c>
      <c r="Z1296" s="90" t="n">
        <v>55000</v>
      </c>
      <c r="AA1296" s="90" t="n">
        <v>55000</v>
      </c>
      <c r="AB1296" s="90" t="n">
        <v>55000</v>
      </c>
      <c r="AC1296" s="90" t="n">
        <v>55000</v>
      </c>
      <c r="AD1296" s="90" t="n">
        <v>55000</v>
      </c>
      <c r="AE1296" s="90" t="n">
        <v>55000</v>
      </c>
      <c r="AF1296" s="90" t="n">
        <v>55000</v>
      </c>
      <c r="AG1296" s="90" t="n">
        <v>55000</v>
      </c>
      <c r="AH1296" s="90" t="n">
        <v>55000</v>
      </c>
      <c r="AI1296" s="90" t="n">
        <v>55000</v>
      </c>
      <c r="AJ1296" s="91" t="n">
        <v>55000</v>
      </c>
      <c r="AK1296" s="89" t="n">
        <v>55000</v>
      </c>
      <c r="AL1296" s="90" t="n">
        <v>55000</v>
      </c>
      <c r="AM1296" s="90"/>
      <c r="AN1296" s="90"/>
      <c r="AO1296" s="90"/>
      <c r="AP1296" s="90"/>
      <c r="AQ1296" s="90"/>
      <c r="AR1296" s="90"/>
      <c r="AS1296" s="90"/>
      <c r="AT1296" s="90"/>
      <c r="AU1296" s="90"/>
      <c r="AV1296" s="91"/>
      <c r="AX1296" s="92"/>
    </row>
    <row r="1297" customFormat="false" ht="15.65" hidden="false" customHeight="false" outlineLevel="0" collapsed="false">
      <c r="C1297" s="72" t="n">
        <f aca="false">COUNTIFS($D$6:D1297,"&lt;&gt;"&amp;"")</f>
        <v>1292</v>
      </c>
      <c r="D1297" s="73" t="s">
        <v>12</v>
      </c>
      <c r="E1297" s="76" t="str">
        <f aca="false">
IF($D1297="정상",INDEX(임대자산!$D$3:$R$3000,MATCH($F1297,임대자산!$I$3:$I$3000,0),MATCH(E$3,임대자산!$D$3:$R$3,0)),
IF($D1297="폐업",INDEX(폐업정보!$D$3:$R$3000,MATCH($F1297,폐업정보!$I$3:$I$3000,0),MATCH(E$3,폐업정보!$D$3:$R$3,0)),
"Error"))</f>
        <v>서울</v>
      </c>
      <c r="F129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B1292</v>
      </c>
      <c r="G1297" s="76" t="str">
        <f aca="false">F1297&amp;RANDBETWEEN(0,10)</f>
        <v>B12929</v>
      </c>
      <c r="H1297" s="75" t="n">
        <f aca="false">
IF($D1297="정상",INDEX(임대자산!$D$3:$R$3000,MATCH($F1297,임대자산!$I$3:$I$3000,0),MATCH(H$4,임대자산!$D$3:$R$3,0)),
IF($D1297="폐업",INDEX(폐업정보!$D$3:$R$3000,MATCH($F1297,폐업정보!$I$3:$I$3000,0),MATCH(H$4,폐업정보!$D$3:$R$3,0)),
"Error"))</f>
        <v>45028</v>
      </c>
      <c r="I1297" s="75" t="str">
        <f aca="false">
IF($D1297="정상",INDEX(임대자산!$D$3:$R$3000,MATCH($F1297,임대자산!$I$3:$I$3000,0),MATCH(I$4,임대자산!$D$3:$R$3,0)),
IF($D1297="폐업",INDEX(폐업정보!$D$3:$R$3000,MATCH($F1297,폐업정보!$I$3:$I$3000,0),MATCH(I$4,폐업정보!$D$3:$R$3,0)),
"Error"))</f>
        <v>A1292</v>
      </c>
      <c r="J1297" s="75" t="str">
        <f aca="false">
IF($D1297="정상",INDEX(임대자산!$D$3:$R$3000,MATCH($F1297,임대자산!$I$3:$I$3000,0),MATCH(J$4,임대자산!$D$3:$R$3,0)),
IF($D1297="폐업",INDEX(폐업정보!$D$3:$R$3000,MATCH($F1297,폐업정보!$I$3:$I$3000,0),MATCH(J$4,폐업정보!$D$3:$R$3,0)),
"Error"))</f>
        <v>4636200000</v>
      </c>
      <c r="K1297" s="75" t="str">
        <f aca="false">
IF($D1297="정상",INDEX(임대자산!$D$3:$R$3000,MATCH($F1297,임대자산!$I$3:$I$3000,0),MATCH(K$4,임대자산!$D$3:$R$3,0)),
IF($D1297="폐업",INDEX(폐업정보!$D$3:$R$3000,MATCH($F1297,폐업정보!$I$3:$I$3000,0),MATCH(K$4,폐업정보!$D$3:$R$3,0)),
"Error"))</f>
        <v>C1292</v>
      </c>
      <c r="L1297" s="75" t="str">
        <f aca="false">
IF($D1297="정상",INDEX(임대자산!$D$3:$R$3000,MATCH($F1297,임대자산!$I$3:$I$3000,0),MATCH(L$4,임대자산!$D$3:$R$3,0)),
IF($D1297="폐업",INDEX(폐업정보!$D$3:$R$3000,MATCH($F1297,폐업정보!$I$3:$I$3000,0),MATCH(L$4,폐업정보!$D$3:$R$3,0)),
"Error"))</f>
        <v>D1292</v>
      </c>
      <c r="M1297" s="76" t="s">
        <v>96</v>
      </c>
      <c r="N1297" s="77"/>
      <c r="O1297" s="78" t="s">
        <v>97</v>
      </c>
      <c r="P1297" s="79" t="n">
        <f aca="false">COUNTIFS(임대자산!$I:$I,가맹점정보!F1297,임대자산!$N:$N,가맹점정보!P$4)</f>
        <v>0</v>
      </c>
      <c r="Q1297" s="80" t="n">
        <f aca="false">COUNTIFS(임대자산!$I:$I,가맹점정보!F1297,임대자산!$N:$N,가맹점정보!Q$4)</f>
        <v>0</v>
      </c>
      <c r="R1297" s="81" t="n">
        <f aca="false">COUNTIFS(임대자산!$I:$I,가맹점정보!F1297,임대자산!$N:$N,가맹점정보!R$4)</f>
        <v>1</v>
      </c>
      <c r="S1297" s="82" t="n">
        <v>55000</v>
      </c>
      <c r="T1297" s="83" t="n">
        <v>0</v>
      </c>
      <c r="U1297" s="80" t="n">
        <f aca="false">SUM(S1297:T1297)</f>
        <v>55000</v>
      </c>
      <c r="V1297" s="84" t="s">
        <v>7</v>
      </c>
      <c r="W1297" s="80" t="str">
        <f aca="true">
IF(D1297="폐업","폐업",
IF(V1297="면제","면제",
IF(AND(V1297="정상",COUNTIFS(OFFSET(Y1297,0,COUNTA(Y1297:AV1297)-1,1,-4),"미납")&gt;=3),"장기미납",
IF(AND(V1297="정상",OFFSET(Y1297,0,COUNTA(Y1297:AV1297)-1)&gt;=U1297),"정상",
IF(AND(V1297="정상",OFFSET(Y1297,0,COUNTA(Y1297:AV1297)-1)=0),"정상",
"계약서 미작성")))))</f>
        <v>면제</v>
      </c>
      <c r="X1297" s="81" t="str">
        <f aca="true">
IF(D1297="폐업","폐업",
IF(AND(V1297="정상",OFFSET(Y1297,0,COUNTA(Y1297:AV1297)-1)="미납"),"미납",
IF(AND(V1297="정상",OFFSET(Y1297,0,COUNTA(Y1297:AV1297)-1)=0),"납부 시작 전",
IF(AND(V1297="정상",OFFSET(Y1297,0,COUNTA(Y1297:AV1297)-1)&gt;=U1297),"정상",
IF(AND(V1297="면제",OFFSET(Y1297,0,COUNTA(Y1297:AV1297)-1)="면제"),"면제",
IF(AND(V1297="면제",OFFSET(Y1297,0,COUNTA(Y1297:AV1297)-1)=0),"면제",
"확인요청"))))))</f>
        <v>면제</v>
      </c>
      <c r="Y1297" s="94" t="s">
        <v>7</v>
      </c>
      <c r="Z1297" s="95" t="s">
        <v>7</v>
      </c>
      <c r="AA1297" s="95" t="s">
        <v>7</v>
      </c>
      <c r="AB1297" s="95" t="s">
        <v>7</v>
      </c>
      <c r="AC1297" s="95" t="s">
        <v>7</v>
      </c>
      <c r="AD1297" s="95" t="s">
        <v>7</v>
      </c>
      <c r="AE1297" s="95" t="s">
        <v>7</v>
      </c>
      <c r="AF1297" s="95" t="s">
        <v>7</v>
      </c>
      <c r="AG1297" s="95" t="s">
        <v>7</v>
      </c>
      <c r="AH1297" s="95" t="s">
        <v>7</v>
      </c>
      <c r="AI1297" s="95" t="s">
        <v>7</v>
      </c>
      <c r="AJ1297" s="96" t="s">
        <v>7</v>
      </c>
      <c r="AK1297" s="97" t="s">
        <v>7</v>
      </c>
      <c r="AL1297" s="95" t="s">
        <v>7</v>
      </c>
      <c r="AM1297" s="90"/>
      <c r="AN1297" s="90"/>
      <c r="AO1297" s="90"/>
      <c r="AP1297" s="90"/>
      <c r="AQ1297" s="90"/>
      <c r="AR1297" s="90"/>
      <c r="AS1297" s="90"/>
      <c r="AT1297" s="90"/>
      <c r="AU1297" s="90"/>
      <c r="AV1297" s="91"/>
      <c r="AX1297" s="92"/>
    </row>
    <row r="1298" customFormat="false" ht="15.65" hidden="false" customHeight="false" outlineLevel="0" collapsed="false">
      <c r="C1298" s="72" t="n">
        <f aca="false">COUNTIFS($D$6:D1298,"&lt;&gt;"&amp;"")</f>
        <v>1293</v>
      </c>
      <c r="D1298" s="73" t="s">
        <v>12</v>
      </c>
      <c r="E1298" s="76" t="str">
        <f aca="false">
IF($D1298="정상",INDEX(임대자산!$D$3:$R$3000,MATCH($F1298,임대자산!$I$3:$I$3000,0),MATCH(E$3,임대자산!$D$3:$R$3,0)),
IF($D1298="폐업",INDEX(폐업정보!$D$3:$R$3000,MATCH($F1298,폐업정보!$I$3:$I$3000,0),MATCH(E$3,폐업정보!$D$3:$R$3,0)),
"Error"))</f>
        <v>서울</v>
      </c>
      <c r="F129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B1293</v>
      </c>
      <c r="G1298" s="76" t="str">
        <f aca="false">F1298&amp;RANDBETWEEN(0,10)</f>
        <v>B12931</v>
      </c>
      <c r="H1298" s="75" t="n">
        <f aca="false">
IF($D1298="정상",INDEX(임대자산!$D$3:$R$3000,MATCH($F1298,임대자산!$I$3:$I$3000,0),MATCH(H$4,임대자산!$D$3:$R$3,0)),
IF($D1298="폐업",INDEX(폐업정보!$D$3:$R$3000,MATCH($F1298,폐업정보!$I$3:$I$3000,0),MATCH(H$4,폐업정보!$D$3:$R$3,0)),
"Error"))</f>
        <v>45028</v>
      </c>
      <c r="I1298" s="75" t="str">
        <f aca="false">
IF($D1298="정상",INDEX(임대자산!$D$3:$R$3000,MATCH($F1298,임대자산!$I$3:$I$3000,0),MATCH(I$4,임대자산!$D$3:$R$3,0)),
IF($D1298="폐업",INDEX(폐업정보!$D$3:$R$3000,MATCH($F1298,폐업정보!$I$3:$I$3000,0),MATCH(I$4,폐업정보!$D$3:$R$3,0)),
"Error"))</f>
        <v>A1293</v>
      </c>
      <c r="J1298" s="75" t="str">
        <f aca="false">
IF($D1298="정상",INDEX(임대자산!$D$3:$R$3000,MATCH($F1298,임대자산!$I$3:$I$3000,0),MATCH(J$4,임대자산!$D$3:$R$3,0)),
IF($D1298="폐업",INDEX(폐업정보!$D$3:$R$3000,MATCH($F1298,폐업정보!$I$3:$I$3000,0),MATCH(J$4,폐업정보!$D$3:$R$3,0)),
"Error"))</f>
        <v>9986700000</v>
      </c>
      <c r="K1298" s="75" t="str">
        <f aca="false">
IF($D1298="정상",INDEX(임대자산!$D$3:$R$3000,MATCH($F1298,임대자산!$I$3:$I$3000,0),MATCH(K$4,임대자산!$D$3:$R$3,0)),
IF($D1298="폐업",INDEX(폐업정보!$D$3:$R$3000,MATCH($F1298,폐업정보!$I$3:$I$3000,0),MATCH(K$4,폐업정보!$D$3:$R$3,0)),
"Error"))</f>
        <v>C1293</v>
      </c>
      <c r="L1298" s="75" t="str">
        <f aca="false">
IF($D1298="정상",INDEX(임대자산!$D$3:$R$3000,MATCH($F1298,임대자산!$I$3:$I$3000,0),MATCH(L$4,임대자산!$D$3:$R$3,0)),
IF($D1298="폐업",INDEX(폐업정보!$D$3:$R$3000,MATCH($F1298,폐업정보!$I$3:$I$3000,0),MATCH(L$4,폐업정보!$D$3:$R$3,0)),
"Error"))</f>
        <v>D1293</v>
      </c>
      <c r="M1298" s="76" t="s">
        <v>96</v>
      </c>
      <c r="N1298" s="77"/>
      <c r="O1298" s="78" t="s">
        <v>97</v>
      </c>
      <c r="P1298" s="79" t="n">
        <f aca="false">COUNTIFS(임대자산!$I:$I,가맹점정보!F1298,임대자산!$N:$N,가맹점정보!P$4)</f>
        <v>0</v>
      </c>
      <c r="Q1298" s="80" t="n">
        <f aca="false">COUNTIFS(임대자산!$I:$I,가맹점정보!F1298,임대자산!$N:$N,가맹점정보!Q$4)</f>
        <v>0</v>
      </c>
      <c r="R1298" s="81" t="n">
        <f aca="false">COUNTIFS(임대자산!$I:$I,가맹점정보!F1298,임대자산!$N:$N,가맹점정보!R$4)</f>
        <v>1</v>
      </c>
      <c r="S1298" s="82" t="n">
        <v>88000</v>
      </c>
      <c r="T1298" s="83" t="n">
        <v>0</v>
      </c>
      <c r="U1298" s="80" t="n">
        <f aca="false">SUM(S1298:T1298)</f>
        <v>88000</v>
      </c>
      <c r="V1298" s="84" t="s">
        <v>7</v>
      </c>
      <c r="W1298" s="80" t="str">
        <f aca="true">
IF(D1298="폐업","폐업",
IF(V1298="면제","면제",
IF(AND(V1298="정상",COUNTIFS(OFFSET(Y1298,0,COUNTA(Y1298:AV1298)-1,1,-4),"미납")&gt;=3),"장기미납",
IF(AND(V1298="정상",OFFSET(Y1298,0,COUNTA(Y1298:AV1298)-1)&gt;=U1298),"정상",
IF(AND(V1298="정상",OFFSET(Y1298,0,COUNTA(Y1298:AV1298)-1)=0),"정상",
"계약서 미작성")))))</f>
        <v>면제</v>
      </c>
      <c r="X1298" s="81" t="str">
        <f aca="true">
IF(D1298="폐업","폐업",
IF(AND(V1298="정상",OFFSET(Y1298,0,COUNTA(Y1298:AV1298)-1)="미납"),"미납",
IF(AND(V1298="정상",OFFSET(Y1298,0,COUNTA(Y1298:AV1298)-1)=0),"납부 시작 전",
IF(AND(V1298="정상",OFFSET(Y1298,0,COUNTA(Y1298:AV1298)-1)&gt;=U1298),"정상",
IF(AND(V1298="면제",OFFSET(Y1298,0,COUNTA(Y1298:AV1298)-1)="면제"),"면제",
IF(AND(V1298="면제",OFFSET(Y1298,0,COUNTA(Y1298:AV1298)-1)=0),"면제",
"확인요청"))))))</f>
        <v>면제</v>
      </c>
      <c r="Y1298" s="94" t="s">
        <v>7</v>
      </c>
      <c r="Z1298" s="95" t="s">
        <v>7</v>
      </c>
      <c r="AA1298" s="95" t="s">
        <v>7</v>
      </c>
      <c r="AB1298" s="95" t="s">
        <v>7</v>
      </c>
      <c r="AC1298" s="95" t="s">
        <v>7</v>
      </c>
      <c r="AD1298" s="95" t="s">
        <v>7</v>
      </c>
      <c r="AE1298" s="95" t="s">
        <v>7</v>
      </c>
      <c r="AF1298" s="95" t="s">
        <v>7</v>
      </c>
      <c r="AG1298" s="95" t="s">
        <v>7</v>
      </c>
      <c r="AH1298" s="95" t="s">
        <v>7</v>
      </c>
      <c r="AI1298" s="95" t="s">
        <v>7</v>
      </c>
      <c r="AJ1298" s="96" t="s">
        <v>7</v>
      </c>
      <c r="AK1298" s="97" t="s">
        <v>7</v>
      </c>
      <c r="AL1298" s="95" t="s">
        <v>7</v>
      </c>
      <c r="AM1298" s="90"/>
      <c r="AN1298" s="90"/>
      <c r="AO1298" s="90"/>
      <c r="AP1298" s="90"/>
      <c r="AQ1298" s="90"/>
      <c r="AR1298" s="90"/>
      <c r="AS1298" s="90"/>
      <c r="AT1298" s="90"/>
      <c r="AU1298" s="90"/>
      <c r="AV1298" s="91"/>
      <c r="AX1298" s="92"/>
    </row>
    <row r="1299" customFormat="false" ht="15.65" hidden="false" customHeight="false" outlineLevel="0" collapsed="false">
      <c r="C1299" s="72" t="n">
        <f aca="false">COUNTIFS($D$6:D1299,"&lt;&gt;"&amp;"")</f>
        <v>1294</v>
      </c>
      <c r="D1299" s="73" t="s">
        <v>12</v>
      </c>
      <c r="E1299" s="76" t="str">
        <f aca="false">
IF($D1299="정상",INDEX(임대자산!$D$3:$R$3000,MATCH($F1299,임대자산!$I$3:$I$3000,0),MATCH(E$3,임대자산!$D$3:$R$3,0)),
IF($D1299="폐업",INDEX(폐업정보!$D$3:$R$3000,MATCH($F1299,폐업정보!$I$3:$I$3000,0),MATCH(E$3,폐업정보!$D$3:$R$3,0)),
"Error"))</f>
        <v>서울</v>
      </c>
      <c r="F129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B1294</v>
      </c>
      <c r="G1299" s="76" t="str">
        <f aca="false">F1299&amp;RANDBETWEEN(0,10)</f>
        <v>B12948</v>
      </c>
      <c r="H1299" s="75" t="n">
        <f aca="false">
IF($D1299="정상",INDEX(임대자산!$D$3:$R$3000,MATCH($F1299,임대자산!$I$3:$I$3000,0),MATCH(H$4,임대자산!$D$3:$R$3,0)),
IF($D1299="폐업",INDEX(폐업정보!$D$3:$R$3000,MATCH($F1299,폐업정보!$I$3:$I$3000,0),MATCH(H$4,폐업정보!$D$3:$R$3,0)),
"Error"))</f>
        <v>46000</v>
      </c>
      <c r="I1299" s="75" t="str">
        <f aca="false">
IF($D1299="정상",INDEX(임대자산!$D$3:$R$3000,MATCH($F1299,임대자산!$I$3:$I$3000,0),MATCH(I$4,임대자산!$D$3:$R$3,0)),
IF($D1299="폐업",INDEX(폐업정보!$D$3:$R$3000,MATCH($F1299,폐업정보!$I$3:$I$3000,0),MATCH(I$4,폐업정보!$D$3:$R$3,0)),
"Error"))</f>
        <v>A1294</v>
      </c>
      <c r="J1299" s="75" t="str">
        <f aca="false">
IF($D1299="정상",INDEX(임대자산!$D$3:$R$3000,MATCH($F1299,임대자산!$I$3:$I$3000,0),MATCH(J$4,임대자산!$D$3:$R$3,0)),
IF($D1299="폐업",INDEX(폐업정보!$D$3:$R$3000,MATCH($F1299,폐업정보!$I$3:$I$3000,0),MATCH(J$4,폐업정보!$D$3:$R$3,0)),
"Error"))</f>
        <v>9346100000</v>
      </c>
      <c r="K1299" s="75" t="str">
        <f aca="false">
IF($D1299="정상",INDEX(임대자산!$D$3:$R$3000,MATCH($F1299,임대자산!$I$3:$I$3000,0),MATCH(K$4,임대자산!$D$3:$R$3,0)),
IF($D1299="폐업",INDEX(폐업정보!$D$3:$R$3000,MATCH($F1299,폐업정보!$I$3:$I$3000,0),MATCH(K$4,폐업정보!$D$3:$R$3,0)),
"Error"))</f>
        <v>C1294</v>
      </c>
      <c r="L1299" s="75" t="str">
        <f aca="false">
IF($D1299="정상",INDEX(임대자산!$D$3:$R$3000,MATCH($F1299,임대자산!$I$3:$I$3000,0),MATCH(L$4,임대자산!$D$3:$R$3,0)),
IF($D1299="폐업",INDEX(폐업정보!$D$3:$R$3000,MATCH($F1299,폐업정보!$I$3:$I$3000,0),MATCH(L$4,폐업정보!$D$3:$R$3,0)),
"Error"))</f>
        <v>D1294</v>
      </c>
      <c r="M1299" s="76" t="s">
        <v>96</v>
      </c>
      <c r="N1299" s="77"/>
      <c r="O1299" s="78" t="s">
        <v>97</v>
      </c>
      <c r="P1299" s="79" t="n">
        <f aca="false">COUNTIFS(임대자산!$I:$I,가맹점정보!F1299,임대자산!$N:$N,가맹점정보!P$4)</f>
        <v>0</v>
      </c>
      <c r="Q1299" s="80" t="n">
        <f aca="false">COUNTIFS(임대자산!$I:$I,가맹점정보!F1299,임대자산!$N:$N,가맹점정보!Q$4)</f>
        <v>0</v>
      </c>
      <c r="R1299" s="81" t="n">
        <f aca="false">COUNTIFS(임대자산!$I:$I,가맹점정보!F1299,임대자산!$N:$N,가맹점정보!R$4)</f>
        <v>1</v>
      </c>
      <c r="S1299" s="82" t="n">
        <v>55000</v>
      </c>
      <c r="T1299" s="83" t="n">
        <v>0</v>
      </c>
      <c r="U1299" s="80" t="n">
        <f aca="false">SUM(S1299:T1299)</f>
        <v>55000</v>
      </c>
      <c r="V1299" s="84" t="s">
        <v>7</v>
      </c>
      <c r="W1299" s="80" t="str">
        <f aca="true">
IF(D1299="폐업","폐업",
IF(V1299="면제","면제",
IF(AND(V1299="정상",COUNTIFS(OFFSET(Y1299,0,COUNTA(Y1299:AV1299)-1,1,-4),"미납")&gt;=3),"장기미납",
IF(AND(V1299="정상",OFFSET(Y1299,0,COUNTA(Y1299:AV1299)-1)&gt;=U1299),"정상",
IF(AND(V1299="정상",OFFSET(Y1299,0,COUNTA(Y1299:AV1299)-1)=0),"정상",
"계약서 미작성")))))</f>
        <v>면제</v>
      </c>
      <c r="X1299" s="81" t="str">
        <f aca="true">
IF(D1299="폐업","폐업",
IF(AND(V1299="정상",OFFSET(Y1299,0,COUNTA(Y1299:AV1299)-1)="미납"),"미납",
IF(AND(V1299="정상",OFFSET(Y1299,0,COUNTA(Y1299:AV1299)-1)=0),"납부 시작 전",
IF(AND(V1299="정상",OFFSET(Y1299,0,COUNTA(Y1299:AV1299)-1)&gt;=U1299),"정상",
IF(AND(V1299="면제",OFFSET(Y1299,0,COUNTA(Y1299:AV1299)-1)="면제"),"면제",
IF(AND(V1299="면제",OFFSET(Y1299,0,COUNTA(Y1299:AV1299)-1)=0),"면제",
"확인요청"))))))</f>
        <v>면제</v>
      </c>
      <c r="Y1299" s="94" t="s">
        <v>7</v>
      </c>
      <c r="Z1299" s="95" t="s">
        <v>7</v>
      </c>
      <c r="AA1299" s="95" t="s">
        <v>7</v>
      </c>
      <c r="AB1299" s="95" t="s">
        <v>7</v>
      </c>
      <c r="AC1299" s="95" t="s">
        <v>7</v>
      </c>
      <c r="AD1299" s="95" t="s">
        <v>7</v>
      </c>
      <c r="AE1299" s="95" t="s">
        <v>7</v>
      </c>
      <c r="AF1299" s="95" t="s">
        <v>7</v>
      </c>
      <c r="AG1299" s="95" t="s">
        <v>7</v>
      </c>
      <c r="AH1299" s="95" t="s">
        <v>7</v>
      </c>
      <c r="AI1299" s="95" t="s">
        <v>7</v>
      </c>
      <c r="AJ1299" s="96" t="s">
        <v>7</v>
      </c>
      <c r="AK1299" s="97" t="s">
        <v>7</v>
      </c>
      <c r="AL1299" s="95" t="s">
        <v>7</v>
      </c>
      <c r="AM1299" s="90"/>
      <c r="AN1299" s="90"/>
      <c r="AO1299" s="90"/>
      <c r="AP1299" s="90"/>
      <c r="AQ1299" s="90"/>
      <c r="AR1299" s="90"/>
      <c r="AS1299" s="90"/>
      <c r="AT1299" s="90"/>
      <c r="AU1299" s="90"/>
      <c r="AV1299" s="91"/>
      <c r="AX1299" s="92"/>
    </row>
    <row r="1300" customFormat="false" ht="15.65" hidden="false" customHeight="false" outlineLevel="0" collapsed="false">
      <c r="C1300" s="72" t="n">
        <f aca="false">COUNTIFS($D$6:D1300,"&lt;&gt;"&amp;"")</f>
        <v>1295</v>
      </c>
      <c r="D1300" s="73" t="s">
        <v>12</v>
      </c>
      <c r="E1300" s="76" t="str">
        <f aca="false">
IF($D1300="정상",INDEX(임대자산!$D$3:$R$3000,MATCH($F1300,임대자산!$I$3:$I$3000,0),MATCH(E$3,임대자산!$D$3:$R$3,0)),
IF($D1300="폐업",INDEX(폐업정보!$D$3:$R$3000,MATCH($F1300,폐업정보!$I$3:$I$3000,0),MATCH(E$3,폐업정보!$D$3:$R$3,0)),
"Error"))</f>
        <v>서울</v>
      </c>
      <c r="F130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B1295</v>
      </c>
      <c r="G1300" s="76" t="str">
        <f aca="false">F1300&amp;RANDBETWEEN(0,10)</f>
        <v>B129510</v>
      </c>
      <c r="H1300" s="75" t="n">
        <f aca="false">
IF($D1300="정상",INDEX(임대자산!$D$3:$R$3000,MATCH($F1300,임대자산!$I$3:$I$3000,0),MATCH(H$4,임대자산!$D$3:$R$3,0)),
IF($D1300="폐업",INDEX(폐업정보!$D$3:$R$3000,MATCH($F1300,폐업정보!$I$3:$I$3000,0),MATCH(H$4,폐업정보!$D$3:$R$3,0)),
"Error"))</f>
        <v>45477</v>
      </c>
      <c r="I1300" s="75" t="str">
        <f aca="false">
IF($D1300="정상",INDEX(임대자산!$D$3:$R$3000,MATCH($F1300,임대자산!$I$3:$I$3000,0),MATCH(I$4,임대자산!$D$3:$R$3,0)),
IF($D1300="폐업",INDEX(폐업정보!$D$3:$R$3000,MATCH($F1300,폐업정보!$I$3:$I$3000,0),MATCH(I$4,폐업정보!$D$3:$R$3,0)),
"Error"))</f>
        <v>A1295</v>
      </c>
      <c r="J1300" s="75" t="str">
        <f aca="false">
IF($D1300="정상",INDEX(임대자산!$D$3:$R$3000,MATCH($F1300,임대자산!$I$3:$I$3000,0),MATCH(J$4,임대자산!$D$3:$R$3,0)),
IF($D1300="폐업",INDEX(폐업정보!$D$3:$R$3000,MATCH($F1300,폐업정보!$I$3:$I$3000,0),MATCH(J$4,폐업정보!$D$3:$R$3,0)),
"Error"))</f>
        <v>7378400000</v>
      </c>
      <c r="K1300" s="75" t="str">
        <f aca="false">
IF($D1300="정상",INDEX(임대자산!$D$3:$R$3000,MATCH($F1300,임대자산!$I$3:$I$3000,0),MATCH(K$4,임대자산!$D$3:$R$3,0)),
IF($D1300="폐업",INDEX(폐업정보!$D$3:$R$3000,MATCH($F1300,폐업정보!$I$3:$I$3000,0),MATCH(K$4,폐업정보!$D$3:$R$3,0)),
"Error"))</f>
        <v>C1295</v>
      </c>
      <c r="L1300" s="75" t="str">
        <f aca="false">
IF($D1300="정상",INDEX(임대자산!$D$3:$R$3000,MATCH($F1300,임대자산!$I$3:$I$3000,0),MATCH(L$4,임대자산!$D$3:$R$3,0)),
IF($D1300="폐업",INDEX(폐업정보!$D$3:$R$3000,MATCH($F1300,폐업정보!$I$3:$I$3000,0),MATCH(L$4,폐업정보!$D$3:$R$3,0)),
"Error"))</f>
        <v>D1295</v>
      </c>
      <c r="M1300" s="76" t="s">
        <v>96</v>
      </c>
      <c r="N1300" s="77"/>
      <c r="O1300" s="78" t="s">
        <v>97</v>
      </c>
      <c r="P1300" s="79" t="n">
        <f aca="false">COUNTIFS(임대자산!$I:$I,가맹점정보!F1300,임대자산!$N:$N,가맹점정보!P$4)</f>
        <v>0</v>
      </c>
      <c r="Q1300" s="80" t="n">
        <f aca="false">COUNTIFS(임대자산!$I:$I,가맹점정보!F1300,임대자산!$N:$N,가맹점정보!Q$4)</f>
        <v>0</v>
      </c>
      <c r="R1300" s="81" t="n">
        <f aca="false">COUNTIFS(임대자산!$I:$I,가맹점정보!F1300,임대자산!$N:$N,가맹점정보!R$4)</f>
        <v>1</v>
      </c>
      <c r="S1300" s="82" t="n">
        <v>88000</v>
      </c>
      <c r="T1300" s="83" t="n">
        <v>0</v>
      </c>
      <c r="U1300" s="80" t="n">
        <f aca="false">SUM(S1300:T1300)</f>
        <v>88000</v>
      </c>
      <c r="V1300" s="84" t="s">
        <v>7</v>
      </c>
      <c r="W1300" s="80" t="str">
        <f aca="true">
IF(D1300="폐업","폐업",
IF(V1300="면제","면제",
IF(AND(V1300="정상",COUNTIFS(OFFSET(Y1300,0,COUNTA(Y1300:AV1300)-1,1,-4),"미납")&gt;=3),"장기미납",
IF(AND(V1300="정상",OFFSET(Y1300,0,COUNTA(Y1300:AV1300)-1)&gt;=U1300),"정상",
IF(AND(V1300="정상",OFFSET(Y1300,0,COUNTA(Y1300:AV1300)-1)=0),"정상",
"계약서 미작성")))))</f>
        <v>면제</v>
      </c>
      <c r="X1300" s="81" t="str">
        <f aca="true">
IF(D1300="폐업","폐업",
IF(AND(V1300="정상",OFFSET(Y1300,0,COUNTA(Y1300:AV1300)-1)="미납"),"미납",
IF(AND(V1300="정상",OFFSET(Y1300,0,COUNTA(Y1300:AV1300)-1)=0),"납부 시작 전",
IF(AND(V1300="정상",OFFSET(Y1300,0,COUNTA(Y1300:AV1300)-1)&gt;=U1300),"정상",
IF(AND(V1300="면제",OFFSET(Y1300,0,COUNTA(Y1300:AV1300)-1)="면제"),"면제",
IF(AND(V1300="면제",OFFSET(Y1300,0,COUNTA(Y1300:AV1300)-1)=0),"면제",
"확인요청"))))))</f>
        <v>면제</v>
      </c>
      <c r="Y1300" s="94" t="s">
        <v>7</v>
      </c>
      <c r="Z1300" s="95" t="s">
        <v>7</v>
      </c>
      <c r="AA1300" s="95" t="s">
        <v>7</v>
      </c>
      <c r="AB1300" s="95" t="s">
        <v>7</v>
      </c>
      <c r="AC1300" s="95" t="s">
        <v>7</v>
      </c>
      <c r="AD1300" s="95" t="s">
        <v>7</v>
      </c>
      <c r="AE1300" s="95" t="s">
        <v>7</v>
      </c>
      <c r="AF1300" s="95" t="s">
        <v>7</v>
      </c>
      <c r="AG1300" s="95" t="s">
        <v>7</v>
      </c>
      <c r="AH1300" s="95" t="s">
        <v>7</v>
      </c>
      <c r="AI1300" s="95" t="s">
        <v>7</v>
      </c>
      <c r="AJ1300" s="96" t="s">
        <v>7</v>
      </c>
      <c r="AK1300" s="97" t="s">
        <v>7</v>
      </c>
      <c r="AL1300" s="95" t="s">
        <v>7</v>
      </c>
      <c r="AM1300" s="90"/>
      <c r="AN1300" s="90"/>
      <c r="AO1300" s="90"/>
      <c r="AP1300" s="90"/>
      <c r="AQ1300" s="90"/>
      <c r="AR1300" s="90"/>
      <c r="AS1300" s="90"/>
      <c r="AT1300" s="90"/>
      <c r="AU1300" s="90"/>
      <c r="AV1300" s="91"/>
      <c r="AX1300" s="92"/>
    </row>
    <row r="1301" customFormat="false" ht="15.65" hidden="false" customHeight="false" outlineLevel="0" collapsed="false">
      <c r="C1301" s="72" t="n">
        <f aca="false">COUNTIFS($D$6:D1301,"&lt;&gt;"&amp;"")</f>
        <v>1296</v>
      </c>
      <c r="D1301" s="73" t="s">
        <v>12</v>
      </c>
      <c r="E1301" s="76" t="str">
        <f aca="false">
IF($D1301="정상",INDEX(임대자산!$D$3:$R$3000,MATCH($F1301,임대자산!$I$3:$I$3000,0),MATCH(E$3,임대자산!$D$3:$R$3,0)),
IF($D1301="폐업",INDEX(폐업정보!$D$3:$R$3000,MATCH($F1301,폐업정보!$I$3:$I$3000,0),MATCH(E$3,폐업정보!$D$3:$R$3,0)),
"Error"))</f>
        <v>전라</v>
      </c>
      <c r="F130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B1296</v>
      </c>
      <c r="G1301" s="76" t="str">
        <f aca="false">F1301&amp;RANDBETWEEN(0,10)</f>
        <v>B12961</v>
      </c>
      <c r="H1301" s="75" t="n">
        <f aca="false">
IF($D1301="정상",INDEX(임대자산!$D$3:$R$3000,MATCH($F1301,임대자산!$I$3:$I$3000,0),MATCH(H$4,임대자산!$D$3:$R$3,0)),
IF($D1301="폐업",INDEX(폐업정보!$D$3:$R$3000,MATCH($F1301,폐업정보!$I$3:$I$3000,0),MATCH(H$4,폐업정보!$D$3:$R$3,0)),
"Error"))</f>
        <v>45037</v>
      </c>
      <c r="I1301" s="75" t="str">
        <f aca="false">
IF($D1301="정상",INDEX(임대자산!$D$3:$R$3000,MATCH($F1301,임대자산!$I$3:$I$3000,0),MATCH(I$4,임대자산!$D$3:$R$3,0)),
IF($D1301="폐업",INDEX(폐업정보!$D$3:$R$3000,MATCH($F1301,폐업정보!$I$3:$I$3000,0),MATCH(I$4,폐업정보!$D$3:$R$3,0)),
"Error"))</f>
        <v>A1296</v>
      </c>
      <c r="J1301" s="75" t="str">
        <f aca="false">
IF($D1301="정상",INDEX(임대자산!$D$3:$R$3000,MATCH($F1301,임대자산!$I$3:$I$3000,0),MATCH(J$4,임대자산!$D$3:$R$3,0)),
IF($D1301="폐업",INDEX(폐업정보!$D$3:$R$3000,MATCH($F1301,폐업정보!$I$3:$I$3000,0),MATCH(J$4,폐업정보!$D$3:$R$3,0)),
"Error"))</f>
        <v>7994700000</v>
      </c>
      <c r="K1301" s="75" t="str">
        <f aca="false">
IF($D1301="정상",INDEX(임대자산!$D$3:$R$3000,MATCH($F1301,임대자산!$I$3:$I$3000,0),MATCH(K$4,임대자산!$D$3:$R$3,0)),
IF($D1301="폐업",INDEX(폐업정보!$D$3:$R$3000,MATCH($F1301,폐업정보!$I$3:$I$3000,0),MATCH(K$4,폐업정보!$D$3:$R$3,0)),
"Error"))</f>
        <v>C1296</v>
      </c>
      <c r="L1301" s="75" t="str">
        <f aca="false">
IF($D1301="정상",INDEX(임대자산!$D$3:$R$3000,MATCH($F1301,임대자산!$I$3:$I$3000,0),MATCH(L$4,임대자산!$D$3:$R$3,0)),
IF($D1301="폐업",INDEX(폐업정보!$D$3:$R$3000,MATCH($F1301,폐업정보!$I$3:$I$3000,0),MATCH(L$4,폐업정보!$D$3:$R$3,0)),
"Error"))</f>
        <v>D1296</v>
      </c>
      <c r="M1301" s="76" t="s">
        <v>96</v>
      </c>
      <c r="N1301" s="77"/>
      <c r="O1301" s="78" t="s">
        <v>97</v>
      </c>
      <c r="P1301" s="79" t="n">
        <f aca="false">COUNTIFS(임대자산!$I:$I,가맹점정보!F1301,임대자산!$N:$N,가맹점정보!P$4)</f>
        <v>0</v>
      </c>
      <c r="Q1301" s="80" t="n">
        <f aca="false">COUNTIFS(임대자산!$I:$I,가맹점정보!F1301,임대자산!$N:$N,가맹점정보!Q$4)</f>
        <v>0</v>
      </c>
      <c r="R1301" s="81" t="n">
        <f aca="false">COUNTIFS(임대자산!$I:$I,가맹점정보!F1301,임대자산!$N:$N,가맹점정보!R$4)</f>
        <v>1</v>
      </c>
      <c r="S1301" s="82" t="n">
        <v>88000</v>
      </c>
      <c r="T1301" s="83" t="n">
        <v>0</v>
      </c>
      <c r="U1301" s="80" t="n">
        <f aca="false">SUM(S1301:T1301)</f>
        <v>88000</v>
      </c>
      <c r="V1301" s="84" t="s">
        <v>7</v>
      </c>
      <c r="W1301" s="80" t="str">
        <f aca="true">
IF(D1301="폐업","폐업",
IF(V1301="면제","면제",
IF(AND(V1301="정상",COUNTIFS(OFFSET(Y1301,0,COUNTA(Y1301:AV1301)-1,1,-4),"미납")&gt;=3),"장기미납",
IF(AND(V1301="정상",OFFSET(Y1301,0,COUNTA(Y1301:AV1301)-1)&gt;=U1301),"정상",
IF(AND(V1301="정상",OFFSET(Y1301,0,COUNTA(Y1301:AV1301)-1)=0),"정상",
"계약서 미작성")))))</f>
        <v>면제</v>
      </c>
      <c r="X1301" s="81" t="str">
        <f aca="true">
IF(D1301="폐업","폐업",
IF(AND(V1301="정상",OFFSET(Y1301,0,COUNTA(Y1301:AV1301)-1)="미납"),"미납",
IF(AND(V1301="정상",OFFSET(Y1301,0,COUNTA(Y1301:AV1301)-1)=0),"납부 시작 전",
IF(AND(V1301="정상",OFFSET(Y1301,0,COUNTA(Y1301:AV1301)-1)&gt;=U1301),"정상",
IF(AND(V1301="면제",OFFSET(Y1301,0,COUNTA(Y1301:AV1301)-1)="면제"),"면제",
IF(AND(V1301="면제",OFFSET(Y1301,0,COUNTA(Y1301:AV1301)-1)=0),"면제",
"확인요청"))))))</f>
        <v>면제</v>
      </c>
      <c r="Y1301" s="94" t="s">
        <v>7</v>
      </c>
      <c r="Z1301" s="95" t="s">
        <v>7</v>
      </c>
      <c r="AA1301" s="95" t="s">
        <v>7</v>
      </c>
      <c r="AB1301" s="95" t="s">
        <v>7</v>
      </c>
      <c r="AC1301" s="95" t="s">
        <v>7</v>
      </c>
      <c r="AD1301" s="95" t="s">
        <v>7</v>
      </c>
      <c r="AE1301" s="95" t="s">
        <v>7</v>
      </c>
      <c r="AF1301" s="95" t="s">
        <v>7</v>
      </c>
      <c r="AG1301" s="95" t="s">
        <v>7</v>
      </c>
      <c r="AH1301" s="95" t="s">
        <v>7</v>
      </c>
      <c r="AI1301" s="95" t="s">
        <v>7</v>
      </c>
      <c r="AJ1301" s="96" t="s">
        <v>7</v>
      </c>
      <c r="AK1301" s="97" t="s">
        <v>7</v>
      </c>
      <c r="AL1301" s="95" t="s">
        <v>7</v>
      </c>
      <c r="AM1301" s="90"/>
      <c r="AN1301" s="90"/>
      <c r="AO1301" s="90"/>
      <c r="AP1301" s="90"/>
      <c r="AQ1301" s="90"/>
      <c r="AR1301" s="90"/>
      <c r="AS1301" s="90"/>
      <c r="AT1301" s="90"/>
      <c r="AU1301" s="90"/>
      <c r="AV1301" s="91"/>
      <c r="AX1301" s="92"/>
    </row>
    <row r="1302" customFormat="false" ht="15.65" hidden="false" customHeight="false" outlineLevel="0" collapsed="false">
      <c r="C1302" s="72" t="n">
        <f aca="false">COUNTIFS($D$6:D1302,"&lt;&gt;"&amp;"")</f>
        <v>1297</v>
      </c>
      <c r="D1302" s="73" t="s">
        <v>12</v>
      </c>
      <c r="E1302" s="76" t="str">
        <f aca="false">
IF($D1302="정상",INDEX(임대자산!$D$3:$R$3000,MATCH($F1302,임대자산!$I$3:$I$3000,0),MATCH(E$3,임대자산!$D$3:$R$3,0)),
IF($D1302="폐업",INDEX(폐업정보!$D$3:$R$3000,MATCH($F1302,폐업정보!$I$3:$I$3000,0),MATCH(E$3,폐업정보!$D$3:$R$3,0)),
"Error"))</f>
        <v>경기</v>
      </c>
      <c r="F130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B1297</v>
      </c>
      <c r="G1302" s="76" t="str">
        <f aca="false">F1302&amp;RANDBETWEEN(0,10)</f>
        <v>B12973</v>
      </c>
      <c r="H1302" s="75" t="n">
        <f aca="false">
IF($D1302="정상",INDEX(임대자산!$D$3:$R$3000,MATCH($F1302,임대자산!$I$3:$I$3000,0),MATCH(H$4,임대자산!$D$3:$R$3,0)),
IF($D1302="폐업",INDEX(폐업정보!$D$3:$R$3000,MATCH($F1302,폐업정보!$I$3:$I$3000,0),MATCH(H$4,폐업정보!$D$3:$R$3,0)),
"Error"))</f>
        <v>45343</v>
      </c>
      <c r="I1302" s="75" t="str">
        <f aca="false">
IF($D1302="정상",INDEX(임대자산!$D$3:$R$3000,MATCH($F1302,임대자산!$I$3:$I$3000,0),MATCH(I$4,임대자산!$D$3:$R$3,0)),
IF($D1302="폐업",INDEX(폐업정보!$D$3:$R$3000,MATCH($F1302,폐업정보!$I$3:$I$3000,0),MATCH(I$4,폐업정보!$D$3:$R$3,0)),
"Error"))</f>
        <v>A1297</v>
      </c>
      <c r="J1302" s="75" t="str">
        <f aca="false">
IF($D1302="정상",INDEX(임대자산!$D$3:$R$3000,MATCH($F1302,임대자산!$I$3:$I$3000,0),MATCH(J$4,임대자산!$D$3:$R$3,0)),
IF($D1302="폐업",INDEX(폐업정보!$D$3:$R$3000,MATCH($F1302,폐업정보!$I$3:$I$3000,0),MATCH(J$4,폐업정보!$D$3:$R$3,0)),
"Error"))</f>
        <v>6033300000</v>
      </c>
      <c r="K1302" s="75" t="str">
        <f aca="false">
IF($D1302="정상",INDEX(임대자산!$D$3:$R$3000,MATCH($F1302,임대자산!$I$3:$I$3000,0),MATCH(K$4,임대자산!$D$3:$R$3,0)),
IF($D1302="폐업",INDEX(폐업정보!$D$3:$R$3000,MATCH($F1302,폐업정보!$I$3:$I$3000,0),MATCH(K$4,폐업정보!$D$3:$R$3,0)),
"Error"))</f>
        <v>C1297</v>
      </c>
      <c r="L1302" s="75" t="str">
        <f aca="false">
IF($D1302="정상",INDEX(임대자산!$D$3:$R$3000,MATCH($F1302,임대자산!$I$3:$I$3000,0),MATCH(L$4,임대자산!$D$3:$R$3,0)),
IF($D1302="폐업",INDEX(폐업정보!$D$3:$R$3000,MATCH($F1302,폐업정보!$I$3:$I$3000,0),MATCH(L$4,폐업정보!$D$3:$R$3,0)),
"Error"))</f>
        <v>D1297</v>
      </c>
      <c r="M1302" s="76" t="s">
        <v>96</v>
      </c>
      <c r="N1302" s="77"/>
      <c r="O1302" s="78" t="s">
        <v>97</v>
      </c>
      <c r="P1302" s="79" t="n">
        <f aca="false">COUNTIFS(임대자산!$I:$I,가맹점정보!F1302,임대자산!$N:$N,가맹점정보!P$4)</f>
        <v>0</v>
      </c>
      <c r="Q1302" s="80" t="n">
        <f aca="false">COUNTIFS(임대자산!$I:$I,가맹점정보!F1302,임대자산!$N:$N,가맹점정보!Q$4)</f>
        <v>0</v>
      </c>
      <c r="R1302" s="81" t="n">
        <f aca="false">COUNTIFS(임대자산!$I:$I,가맹점정보!F1302,임대자산!$N:$N,가맹점정보!R$4)</f>
        <v>1</v>
      </c>
      <c r="S1302" s="82" t="n">
        <v>55000</v>
      </c>
      <c r="T1302" s="83" t="n">
        <v>0</v>
      </c>
      <c r="U1302" s="80" t="n">
        <f aca="false">SUM(S1302:T1302)</f>
        <v>55000</v>
      </c>
      <c r="V1302" s="84" t="s">
        <v>7</v>
      </c>
      <c r="W1302" s="80" t="str">
        <f aca="true">
IF(D1302="폐업","폐업",
IF(V1302="면제","면제",
IF(AND(V1302="정상",COUNTIFS(OFFSET(Y1302,0,COUNTA(Y1302:AV1302)-1,1,-4),"미납")&gt;=3),"장기미납",
IF(AND(V1302="정상",OFFSET(Y1302,0,COUNTA(Y1302:AV1302)-1)&gt;=U1302),"정상",
IF(AND(V1302="정상",OFFSET(Y1302,0,COUNTA(Y1302:AV1302)-1)=0),"정상",
"계약서 미작성")))))</f>
        <v>면제</v>
      </c>
      <c r="X1302" s="81" t="str">
        <f aca="true">
IF(D1302="폐업","폐업",
IF(AND(V1302="정상",OFFSET(Y1302,0,COUNTA(Y1302:AV1302)-1)="미납"),"미납",
IF(AND(V1302="정상",OFFSET(Y1302,0,COUNTA(Y1302:AV1302)-1)=0),"납부 시작 전",
IF(AND(V1302="정상",OFFSET(Y1302,0,COUNTA(Y1302:AV1302)-1)&gt;=U1302),"정상",
IF(AND(V1302="면제",OFFSET(Y1302,0,COUNTA(Y1302:AV1302)-1)="면제"),"면제",
IF(AND(V1302="면제",OFFSET(Y1302,0,COUNTA(Y1302:AV1302)-1)=0),"면제",
"확인요청"))))))</f>
        <v>면제</v>
      </c>
      <c r="Y1302" s="94" t="s">
        <v>7</v>
      </c>
      <c r="Z1302" s="95" t="s">
        <v>7</v>
      </c>
      <c r="AA1302" s="95" t="s">
        <v>7</v>
      </c>
      <c r="AB1302" s="95" t="s">
        <v>7</v>
      </c>
      <c r="AC1302" s="95" t="s">
        <v>7</v>
      </c>
      <c r="AD1302" s="95" t="s">
        <v>7</v>
      </c>
      <c r="AE1302" s="95" t="s">
        <v>7</v>
      </c>
      <c r="AF1302" s="95" t="s">
        <v>7</v>
      </c>
      <c r="AG1302" s="95" t="s">
        <v>7</v>
      </c>
      <c r="AH1302" s="95" t="s">
        <v>7</v>
      </c>
      <c r="AI1302" s="95" t="s">
        <v>7</v>
      </c>
      <c r="AJ1302" s="96" t="s">
        <v>7</v>
      </c>
      <c r="AK1302" s="97" t="s">
        <v>7</v>
      </c>
      <c r="AL1302" s="95" t="s">
        <v>7</v>
      </c>
      <c r="AM1302" s="90"/>
      <c r="AN1302" s="90"/>
      <c r="AO1302" s="90"/>
      <c r="AP1302" s="90"/>
      <c r="AQ1302" s="90"/>
      <c r="AR1302" s="90"/>
      <c r="AS1302" s="90"/>
      <c r="AT1302" s="90"/>
      <c r="AU1302" s="90"/>
      <c r="AV1302" s="91"/>
      <c r="AX1302" s="92"/>
    </row>
    <row r="1303" customFormat="false" ht="15.65" hidden="false" customHeight="false" outlineLevel="0" collapsed="false">
      <c r="C1303" s="72" t="n">
        <f aca="false">COUNTIFS($D$6:D1303,"&lt;&gt;"&amp;"")</f>
        <v>1298</v>
      </c>
      <c r="D1303" s="73" t="s">
        <v>12</v>
      </c>
      <c r="E1303" s="76" t="str">
        <f aca="false">
IF($D1303="정상",INDEX(임대자산!$D$3:$R$3000,MATCH($F1303,임대자산!$I$3:$I$3000,0),MATCH(E$3,임대자산!$D$3:$R$3,0)),
IF($D1303="폐업",INDEX(폐업정보!$D$3:$R$3000,MATCH($F1303,폐업정보!$I$3:$I$3000,0),MATCH(E$3,폐업정보!$D$3:$R$3,0)),
"Error"))</f>
        <v>서울</v>
      </c>
      <c r="F130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B1298</v>
      </c>
      <c r="G1303" s="76" t="str">
        <f aca="false">F1303&amp;RANDBETWEEN(0,10)</f>
        <v>B12989</v>
      </c>
      <c r="H1303" s="75" t="n">
        <f aca="false">
IF($D1303="정상",INDEX(임대자산!$D$3:$R$3000,MATCH($F1303,임대자산!$I$3:$I$3000,0),MATCH(H$4,임대자산!$D$3:$R$3,0)),
IF($D1303="폐업",INDEX(폐업정보!$D$3:$R$3000,MATCH($F1303,폐업정보!$I$3:$I$3000,0),MATCH(H$4,폐업정보!$D$3:$R$3,0)),
"Error"))</f>
        <v>45043</v>
      </c>
      <c r="I1303" s="75" t="str">
        <f aca="false">
IF($D1303="정상",INDEX(임대자산!$D$3:$R$3000,MATCH($F1303,임대자산!$I$3:$I$3000,0),MATCH(I$4,임대자산!$D$3:$R$3,0)),
IF($D1303="폐업",INDEX(폐업정보!$D$3:$R$3000,MATCH($F1303,폐업정보!$I$3:$I$3000,0),MATCH(I$4,폐업정보!$D$3:$R$3,0)),
"Error"))</f>
        <v>A1298</v>
      </c>
      <c r="J1303" s="75" t="str">
        <f aca="false">
IF($D1303="정상",INDEX(임대자산!$D$3:$R$3000,MATCH($F1303,임대자산!$I$3:$I$3000,0),MATCH(J$4,임대자산!$D$3:$R$3,0)),
IF($D1303="폐업",INDEX(폐업정보!$D$3:$R$3000,MATCH($F1303,폐업정보!$I$3:$I$3000,0),MATCH(J$4,폐업정보!$D$3:$R$3,0)),
"Error"))</f>
        <v>5573500000</v>
      </c>
      <c r="K1303" s="75" t="str">
        <f aca="false">
IF($D1303="정상",INDEX(임대자산!$D$3:$R$3000,MATCH($F1303,임대자산!$I$3:$I$3000,0),MATCH(K$4,임대자산!$D$3:$R$3,0)),
IF($D1303="폐업",INDEX(폐업정보!$D$3:$R$3000,MATCH($F1303,폐업정보!$I$3:$I$3000,0),MATCH(K$4,폐업정보!$D$3:$R$3,0)),
"Error"))</f>
        <v>C1298</v>
      </c>
      <c r="L1303" s="75" t="str">
        <f aca="false">
IF($D1303="정상",INDEX(임대자산!$D$3:$R$3000,MATCH($F1303,임대자산!$I$3:$I$3000,0),MATCH(L$4,임대자산!$D$3:$R$3,0)),
IF($D1303="폐업",INDEX(폐업정보!$D$3:$R$3000,MATCH($F1303,폐업정보!$I$3:$I$3000,0),MATCH(L$4,폐업정보!$D$3:$R$3,0)),
"Error"))</f>
        <v>D1298</v>
      </c>
      <c r="M1303" s="76" t="s">
        <v>96</v>
      </c>
      <c r="N1303" s="77"/>
      <c r="O1303" s="78" t="s">
        <v>97</v>
      </c>
      <c r="P1303" s="79" t="n">
        <f aca="false">COUNTIFS(임대자산!$I:$I,가맹점정보!F1303,임대자산!$N:$N,가맹점정보!P$4)</f>
        <v>0</v>
      </c>
      <c r="Q1303" s="80" t="n">
        <f aca="false">COUNTIFS(임대자산!$I:$I,가맹점정보!F1303,임대자산!$N:$N,가맹점정보!Q$4)</f>
        <v>0</v>
      </c>
      <c r="R1303" s="81" t="n">
        <f aca="false">COUNTIFS(임대자산!$I:$I,가맹점정보!F1303,임대자산!$N:$N,가맹점정보!R$4)</f>
        <v>1</v>
      </c>
      <c r="S1303" s="82" t="n">
        <v>88000</v>
      </c>
      <c r="T1303" s="83" t="n">
        <v>0</v>
      </c>
      <c r="U1303" s="80" t="n">
        <f aca="false">SUM(S1303:T1303)</f>
        <v>88000</v>
      </c>
      <c r="V1303" s="84" t="s">
        <v>7</v>
      </c>
      <c r="W1303" s="80" t="str">
        <f aca="true">
IF(D1303="폐업","폐업",
IF(V1303="면제","면제",
IF(AND(V1303="정상",COUNTIFS(OFFSET(Y1303,0,COUNTA(Y1303:AV1303)-1,1,-4),"미납")&gt;=3),"장기미납",
IF(AND(V1303="정상",OFFSET(Y1303,0,COUNTA(Y1303:AV1303)-1)&gt;=U1303),"정상",
IF(AND(V1303="정상",OFFSET(Y1303,0,COUNTA(Y1303:AV1303)-1)=0),"정상",
"계약서 미작성")))))</f>
        <v>면제</v>
      </c>
      <c r="X1303" s="81" t="str">
        <f aca="true">
IF(D1303="폐업","폐업",
IF(AND(V1303="정상",OFFSET(Y1303,0,COUNTA(Y1303:AV1303)-1)="미납"),"미납",
IF(AND(V1303="정상",OFFSET(Y1303,0,COUNTA(Y1303:AV1303)-1)=0),"납부 시작 전",
IF(AND(V1303="정상",OFFSET(Y1303,0,COUNTA(Y1303:AV1303)-1)&gt;=U1303),"정상",
IF(AND(V1303="면제",OFFSET(Y1303,0,COUNTA(Y1303:AV1303)-1)="면제"),"면제",
IF(AND(V1303="면제",OFFSET(Y1303,0,COUNTA(Y1303:AV1303)-1)=0),"면제",
"확인요청"))))))</f>
        <v>면제</v>
      </c>
      <c r="Y1303" s="94" t="s">
        <v>7</v>
      </c>
      <c r="Z1303" s="95" t="s">
        <v>7</v>
      </c>
      <c r="AA1303" s="95" t="s">
        <v>7</v>
      </c>
      <c r="AB1303" s="95" t="s">
        <v>7</v>
      </c>
      <c r="AC1303" s="95" t="s">
        <v>7</v>
      </c>
      <c r="AD1303" s="95" t="s">
        <v>7</v>
      </c>
      <c r="AE1303" s="95" t="s">
        <v>7</v>
      </c>
      <c r="AF1303" s="95" t="s">
        <v>7</v>
      </c>
      <c r="AG1303" s="95" t="s">
        <v>7</v>
      </c>
      <c r="AH1303" s="95" t="s">
        <v>7</v>
      </c>
      <c r="AI1303" s="95" t="s">
        <v>7</v>
      </c>
      <c r="AJ1303" s="96" t="s">
        <v>7</v>
      </c>
      <c r="AK1303" s="97" t="s">
        <v>7</v>
      </c>
      <c r="AL1303" s="95" t="s">
        <v>7</v>
      </c>
      <c r="AM1303" s="90"/>
      <c r="AN1303" s="90"/>
      <c r="AO1303" s="90"/>
      <c r="AP1303" s="90"/>
      <c r="AQ1303" s="90"/>
      <c r="AR1303" s="90"/>
      <c r="AS1303" s="90"/>
      <c r="AT1303" s="90"/>
      <c r="AU1303" s="90"/>
      <c r="AV1303" s="91"/>
      <c r="AX1303" s="92"/>
    </row>
    <row r="1304" customFormat="false" ht="15.65" hidden="false" customHeight="false" outlineLevel="0" collapsed="false">
      <c r="C1304" s="72" t="n">
        <f aca="false">COUNTIFS($D$6:D1304,"&lt;&gt;"&amp;"")</f>
        <v>1299</v>
      </c>
      <c r="D1304" s="73" t="s">
        <v>12</v>
      </c>
      <c r="E1304" s="76" t="str">
        <f aca="false">
IF($D1304="정상",INDEX(임대자산!$D$3:$R$3000,MATCH($F1304,임대자산!$I$3:$I$3000,0),MATCH(E$3,임대자산!$D$3:$R$3,0)),
IF($D1304="폐업",INDEX(폐업정보!$D$3:$R$3000,MATCH($F1304,폐업정보!$I$3:$I$3000,0),MATCH(E$3,폐업정보!$D$3:$R$3,0)),
"Error"))</f>
        <v>서울</v>
      </c>
      <c r="F130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B1299</v>
      </c>
      <c r="G1304" s="76" t="str">
        <f aca="false">F1304&amp;RANDBETWEEN(0,10)</f>
        <v>B12996</v>
      </c>
      <c r="H1304" s="75" t="n">
        <f aca="false">
IF($D1304="정상",INDEX(임대자산!$D$3:$R$3000,MATCH($F1304,임대자산!$I$3:$I$3000,0),MATCH(H$4,임대자산!$D$3:$R$3,0)),
IF($D1304="폐업",INDEX(폐업정보!$D$3:$R$3000,MATCH($F1304,폐업정보!$I$3:$I$3000,0),MATCH(H$4,폐업정보!$D$3:$R$3,0)),
"Error"))</f>
        <v>45055</v>
      </c>
      <c r="I1304" s="75" t="str">
        <f aca="false">
IF($D1304="정상",INDEX(임대자산!$D$3:$R$3000,MATCH($F1304,임대자산!$I$3:$I$3000,0),MATCH(I$4,임대자산!$D$3:$R$3,0)),
IF($D1304="폐업",INDEX(폐업정보!$D$3:$R$3000,MATCH($F1304,폐업정보!$I$3:$I$3000,0),MATCH(I$4,폐업정보!$D$3:$R$3,0)),
"Error"))</f>
        <v>A1299</v>
      </c>
      <c r="J1304" s="75" t="str">
        <f aca="false">
IF($D1304="정상",INDEX(임대자산!$D$3:$R$3000,MATCH($F1304,임대자산!$I$3:$I$3000,0),MATCH(J$4,임대자산!$D$3:$R$3,0)),
IF($D1304="폐업",INDEX(폐업정보!$D$3:$R$3000,MATCH($F1304,폐업정보!$I$3:$I$3000,0),MATCH(J$4,폐업정보!$D$3:$R$3,0)),
"Error"))</f>
        <v>4542500000</v>
      </c>
      <c r="K1304" s="75" t="str">
        <f aca="false">
IF($D1304="정상",INDEX(임대자산!$D$3:$R$3000,MATCH($F1304,임대자산!$I$3:$I$3000,0),MATCH(K$4,임대자산!$D$3:$R$3,0)),
IF($D1304="폐업",INDEX(폐업정보!$D$3:$R$3000,MATCH($F1304,폐업정보!$I$3:$I$3000,0),MATCH(K$4,폐업정보!$D$3:$R$3,0)),
"Error"))</f>
        <v>C1299</v>
      </c>
      <c r="L1304" s="75" t="str">
        <f aca="false">
IF($D1304="정상",INDEX(임대자산!$D$3:$R$3000,MATCH($F1304,임대자산!$I$3:$I$3000,0),MATCH(L$4,임대자산!$D$3:$R$3,0)),
IF($D1304="폐업",INDEX(폐업정보!$D$3:$R$3000,MATCH($F1304,폐업정보!$I$3:$I$3000,0),MATCH(L$4,폐업정보!$D$3:$R$3,0)),
"Error"))</f>
        <v>D1299</v>
      </c>
      <c r="M1304" s="76" t="s">
        <v>96</v>
      </c>
      <c r="N1304" s="77"/>
      <c r="O1304" s="78" t="s">
        <v>97</v>
      </c>
      <c r="P1304" s="79" t="n">
        <f aca="false">COUNTIFS(임대자산!$I:$I,가맹점정보!F1304,임대자산!$N:$N,가맹점정보!P$4)</f>
        <v>0</v>
      </c>
      <c r="Q1304" s="80" t="n">
        <f aca="false">COUNTIFS(임대자산!$I:$I,가맹점정보!F1304,임대자산!$N:$N,가맹점정보!Q$4)</f>
        <v>0</v>
      </c>
      <c r="R1304" s="81" t="n">
        <f aca="false">COUNTIFS(임대자산!$I:$I,가맹점정보!F1304,임대자산!$N:$N,가맹점정보!R$4)</f>
        <v>1</v>
      </c>
      <c r="S1304" s="82" t="n">
        <v>88000</v>
      </c>
      <c r="T1304" s="83" t="n">
        <v>0</v>
      </c>
      <c r="U1304" s="80" t="n">
        <f aca="false">SUM(S1304:T1304)</f>
        <v>88000</v>
      </c>
      <c r="V1304" s="84" t="s">
        <v>7</v>
      </c>
      <c r="W1304" s="80" t="str">
        <f aca="true">
IF(D1304="폐업","폐업",
IF(V1304="면제","면제",
IF(AND(V1304="정상",COUNTIFS(OFFSET(Y1304,0,COUNTA(Y1304:AV1304)-1,1,-4),"미납")&gt;=3),"장기미납",
IF(AND(V1304="정상",OFFSET(Y1304,0,COUNTA(Y1304:AV1304)-1)&gt;=U1304),"정상",
IF(AND(V1304="정상",OFFSET(Y1304,0,COUNTA(Y1304:AV1304)-1)=0),"정상",
"계약서 미작성")))))</f>
        <v>면제</v>
      </c>
      <c r="X1304" s="81" t="str">
        <f aca="true">
IF(D1304="폐업","폐업",
IF(AND(V1304="정상",OFFSET(Y1304,0,COUNTA(Y1304:AV1304)-1)="미납"),"미납",
IF(AND(V1304="정상",OFFSET(Y1304,0,COUNTA(Y1304:AV1304)-1)=0),"납부 시작 전",
IF(AND(V1304="정상",OFFSET(Y1304,0,COUNTA(Y1304:AV1304)-1)&gt;=U1304),"정상",
IF(AND(V1304="면제",OFFSET(Y1304,0,COUNTA(Y1304:AV1304)-1)="면제"),"면제",
IF(AND(V1304="면제",OFFSET(Y1304,0,COUNTA(Y1304:AV1304)-1)=0),"면제",
"확인요청"))))))</f>
        <v>면제</v>
      </c>
      <c r="Y1304" s="94" t="s">
        <v>7</v>
      </c>
      <c r="Z1304" s="95" t="s">
        <v>7</v>
      </c>
      <c r="AA1304" s="95" t="s">
        <v>7</v>
      </c>
      <c r="AB1304" s="95" t="s">
        <v>7</v>
      </c>
      <c r="AC1304" s="95" t="s">
        <v>7</v>
      </c>
      <c r="AD1304" s="95" t="s">
        <v>7</v>
      </c>
      <c r="AE1304" s="95" t="s">
        <v>7</v>
      </c>
      <c r="AF1304" s="95" t="s">
        <v>7</v>
      </c>
      <c r="AG1304" s="95" t="s">
        <v>7</v>
      </c>
      <c r="AH1304" s="95" t="s">
        <v>7</v>
      </c>
      <c r="AI1304" s="95" t="s">
        <v>7</v>
      </c>
      <c r="AJ1304" s="96" t="s">
        <v>7</v>
      </c>
      <c r="AK1304" s="97" t="s">
        <v>7</v>
      </c>
      <c r="AL1304" s="95" t="s">
        <v>7</v>
      </c>
      <c r="AM1304" s="90"/>
      <c r="AN1304" s="90"/>
      <c r="AO1304" s="90"/>
      <c r="AP1304" s="90"/>
      <c r="AQ1304" s="90"/>
      <c r="AR1304" s="90"/>
      <c r="AS1304" s="90"/>
      <c r="AT1304" s="90"/>
      <c r="AU1304" s="90"/>
      <c r="AV1304" s="91"/>
      <c r="AX1304" s="92"/>
    </row>
    <row r="1305" customFormat="false" ht="15.65" hidden="false" customHeight="false" outlineLevel="0" collapsed="false">
      <c r="C1305" s="72" t="n">
        <f aca="false">COUNTIFS($D$6:D1305,"&lt;&gt;"&amp;"")</f>
        <v>1300</v>
      </c>
      <c r="D1305" s="73" t="s">
        <v>12</v>
      </c>
      <c r="E1305" s="76" t="str">
        <f aca="false">
IF($D1305="정상",INDEX(임대자산!$D$3:$R$3000,MATCH($F1305,임대자산!$I$3:$I$3000,0),MATCH(E$3,임대자산!$D$3:$R$3,0)),
IF($D1305="폐업",INDEX(폐업정보!$D$3:$R$3000,MATCH($F1305,폐업정보!$I$3:$I$3000,0),MATCH(E$3,폐업정보!$D$3:$R$3,0)),
"Error"))</f>
        <v>서울</v>
      </c>
      <c r="F130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B1300</v>
      </c>
      <c r="G1305" s="76" t="str">
        <f aca="false">F1305&amp;RANDBETWEEN(0,10)</f>
        <v>B13000</v>
      </c>
      <c r="H1305" s="75" t="n">
        <f aca="false">
IF($D1305="정상",INDEX(임대자산!$D$3:$R$3000,MATCH($F1305,임대자산!$I$3:$I$3000,0),MATCH(H$4,임대자산!$D$3:$R$3,0)),
IF($D1305="폐업",INDEX(폐업정보!$D$3:$R$3000,MATCH($F1305,폐업정보!$I$3:$I$3000,0),MATCH(H$4,폐업정보!$D$3:$R$3,0)),
"Error"))</f>
        <v>45190</v>
      </c>
      <c r="I1305" s="75" t="str">
        <f aca="false">
IF($D1305="정상",INDEX(임대자산!$D$3:$R$3000,MATCH($F1305,임대자산!$I$3:$I$3000,0),MATCH(I$4,임대자산!$D$3:$R$3,0)),
IF($D1305="폐업",INDEX(폐업정보!$D$3:$R$3000,MATCH($F1305,폐업정보!$I$3:$I$3000,0),MATCH(I$4,폐업정보!$D$3:$R$3,0)),
"Error"))</f>
        <v>A1300</v>
      </c>
      <c r="J1305" s="75" t="str">
        <f aca="false">
IF($D1305="정상",INDEX(임대자산!$D$3:$R$3000,MATCH($F1305,임대자산!$I$3:$I$3000,0),MATCH(J$4,임대자산!$D$3:$R$3,0)),
IF($D1305="폐업",INDEX(폐업정보!$D$3:$R$3000,MATCH($F1305,폐업정보!$I$3:$I$3000,0),MATCH(J$4,폐업정보!$D$3:$R$3,0)),
"Error"))</f>
        <v>3301600000</v>
      </c>
      <c r="K1305" s="75" t="str">
        <f aca="false">
IF($D1305="정상",INDEX(임대자산!$D$3:$R$3000,MATCH($F1305,임대자산!$I$3:$I$3000,0),MATCH(K$4,임대자산!$D$3:$R$3,0)),
IF($D1305="폐업",INDEX(폐업정보!$D$3:$R$3000,MATCH($F1305,폐업정보!$I$3:$I$3000,0),MATCH(K$4,폐업정보!$D$3:$R$3,0)),
"Error"))</f>
        <v>C1300</v>
      </c>
      <c r="L1305" s="75" t="str">
        <f aca="false">
IF($D1305="정상",INDEX(임대자산!$D$3:$R$3000,MATCH($F1305,임대자산!$I$3:$I$3000,0),MATCH(L$4,임대자산!$D$3:$R$3,0)),
IF($D1305="폐업",INDEX(폐업정보!$D$3:$R$3000,MATCH($F1305,폐업정보!$I$3:$I$3000,0),MATCH(L$4,폐업정보!$D$3:$R$3,0)),
"Error"))</f>
        <v>D1300</v>
      </c>
      <c r="M1305" s="76" t="s">
        <v>96</v>
      </c>
      <c r="N1305" s="77"/>
      <c r="O1305" s="78" t="s">
        <v>97</v>
      </c>
      <c r="P1305" s="79" t="n">
        <f aca="false">COUNTIFS(임대자산!$I:$I,가맹점정보!F1305,임대자산!$N:$N,가맹점정보!P$4)</f>
        <v>0</v>
      </c>
      <c r="Q1305" s="80" t="n">
        <f aca="false">COUNTIFS(임대자산!$I:$I,가맹점정보!F1305,임대자산!$N:$N,가맹점정보!Q$4)</f>
        <v>0</v>
      </c>
      <c r="R1305" s="81" t="n">
        <f aca="false">COUNTIFS(임대자산!$I:$I,가맹점정보!F1305,임대자산!$N:$N,가맹점정보!R$4)</f>
        <v>1</v>
      </c>
      <c r="S1305" s="82" t="n">
        <v>55000</v>
      </c>
      <c r="T1305" s="83" t="n">
        <v>0</v>
      </c>
      <c r="U1305" s="80" t="n">
        <f aca="false">SUM(S1305:T1305)</f>
        <v>55000</v>
      </c>
      <c r="V1305" s="84" t="s">
        <v>12</v>
      </c>
      <c r="W1305" s="80" t="e">
        <f aca="true">
IF(D1305="폐업","폐업",
IF(V1305="면제","면제",
IF(AND(V1305="정상",COUNTIFS(OFFSET(Y1305,0,COUNTA(Y1305:AV1305)-1,1,-4),"미납")&gt;=3),"장기미납",
IF(AND(V1305="정상",OFFSET(Y1305,0,COUNTA(Y1305:AV1305)-1)&gt;=U1305),"정상",
IF(AND(V1305="정상",OFFSET(Y1305,0,COUNTA(Y1305:AV1305)-1)=0),"정상",
"계약서 미작성")))))</f>
        <v>#VALUE!</v>
      </c>
      <c r="X1305" s="81" t="str">
        <f aca="true">
IF(D1305="폐업","폐업",
IF(AND(V1305="정상",OFFSET(Y1305,0,COUNTA(Y1305:AV1305)-1)="미납"),"미납",
IF(AND(V1305="정상",OFFSET(Y1305,0,COUNTA(Y1305:AV1305)-1)=0),"납부 시작 전",
IF(AND(V1305="정상",OFFSET(Y1305,0,COUNTA(Y1305:AV1305)-1)&gt;=U1305),"정상",
IF(AND(V1305="면제",OFFSET(Y1305,0,COUNTA(Y1305:AV1305)-1)="면제"),"면제",
IF(AND(V1305="면제",OFFSET(Y1305,0,COUNTA(Y1305:AV1305)-1)=0),"면제",
"확인요청"))))))</f>
        <v>정상</v>
      </c>
      <c r="Y1305" s="93" t="n">
        <v>55000</v>
      </c>
      <c r="Z1305" s="90" t="n">
        <v>55000</v>
      </c>
      <c r="AA1305" s="90" t="n">
        <v>55000</v>
      </c>
      <c r="AB1305" s="90" t="n">
        <v>55000</v>
      </c>
      <c r="AC1305" s="90" t="n">
        <v>55000</v>
      </c>
      <c r="AD1305" s="90" t="n">
        <v>55000</v>
      </c>
      <c r="AE1305" s="90" t="n">
        <v>55000</v>
      </c>
      <c r="AF1305" s="90" t="n">
        <v>55000</v>
      </c>
      <c r="AG1305" s="90" t="n">
        <v>55000</v>
      </c>
      <c r="AH1305" s="90" t="n">
        <v>55000</v>
      </c>
      <c r="AI1305" s="90" t="n">
        <v>55000</v>
      </c>
      <c r="AJ1305" s="91" t="n">
        <v>55000</v>
      </c>
      <c r="AK1305" s="89" t="n">
        <v>55000</v>
      </c>
      <c r="AL1305" s="90" t="n">
        <v>55000</v>
      </c>
      <c r="AM1305" s="90"/>
      <c r="AN1305" s="90"/>
      <c r="AO1305" s="90"/>
      <c r="AP1305" s="90"/>
      <c r="AQ1305" s="90"/>
      <c r="AR1305" s="90"/>
      <c r="AS1305" s="90"/>
      <c r="AT1305" s="90"/>
      <c r="AU1305" s="90"/>
      <c r="AV1305" s="91"/>
      <c r="AX1305" s="92"/>
    </row>
    <row r="1306" customFormat="false" ht="15.65" hidden="false" customHeight="false" outlineLevel="0" collapsed="false">
      <c r="C1306" s="72" t="n">
        <f aca="false">COUNTIFS($D$6:D1306,"&lt;&gt;"&amp;"")</f>
        <v>1301</v>
      </c>
      <c r="D1306" s="73" t="s">
        <v>12</v>
      </c>
      <c r="E1306" s="76" t="str">
        <f aca="false">
IF($D1306="정상",INDEX(임대자산!$D$3:$R$3000,MATCH($F1306,임대자산!$I$3:$I$3000,0),MATCH(E$3,임대자산!$D$3:$R$3,0)),
IF($D1306="폐업",INDEX(폐업정보!$D$3:$R$3000,MATCH($F1306,폐업정보!$I$3:$I$3000,0),MATCH(E$3,폐업정보!$D$3:$R$3,0)),
"Error"))</f>
        <v>강원</v>
      </c>
      <c r="F130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B1301</v>
      </c>
      <c r="G1306" s="76" t="str">
        <f aca="false">F1306&amp;RANDBETWEEN(0,10)</f>
        <v>B13011</v>
      </c>
      <c r="H1306" s="75" t="n">
        <f aca="false">
IF($D1306="정상",INDEX(임대자산!$D$3:$R$3000,MATCH($F1306,임대자산!$I$3:$I$3000,0),MATCH(H$4,임대자산!$D$3:$R$3,0)),
IF($D1306="폐업",INDEX(폐업정보!$D$3:$R$3000,MATCH($F1306,폐업정보!$I$3:$I$3000,0),MATCH(H$4,폐업정보!$D$3:$R$3,0)),
"Error"))</f>
        <v>45096</v>
      </c>
      <c r="I1306" s="75" t="str">
        <f aca="false">
IF($D1306="정상",INDEX(임대자산!$D$3:$R$3000,MATCH($F1306,임대자산!$I$3:$I$3000,0),MATCH(I$4,임대자산!$D$3:$R$3,0)),
IF($D1306="폐업",INDEX(폐업정보!$D$3:$R$3000,MATCH($F1306,폐업정보!$I$3:$I$3000,0),MATCH(I$4,폐업정보!$D$3:$R$3,0)),
"Error"))</f>
        <v>A1301</v>
      </c>
      <c r="J1306" s="75" t="str">
        <f aca="false">
IF($D1306="정상",INDEX(임대자산!$D$3:$R$3000,MATCH($F1306,임대자산!$I$3:$I$3000,0),MATCH(J$4,임대자산!$D$3:$R$3,0)),
IF($D1306="폐업",INDEX(폐업정보!$D$3:$R$3000,MATCH($F1306,폐업정보!$I$3:$I$3000,0),MATCH(J$4,폐업정보!$D$3:$R$3,0)),
"Error"))</f>
        <v>1196100000</v>
      </c>
      <c r="K1306" s="75" t="str">
        <f aca="false">
IF($D1306="정상",INDEX(임대자산!$D$3:$R$3000,MATCH($F1306,임대자산!$I$3:$I$3000,0),MATCH(K$4,임대자산!$D$3:$R$3,0)),
IF($D1306="폐업",INDEX(폐업정보!$D$3:$R$3000,MATCH($F1306,폐업정보!$I$3:$I$3000,0),MATCH(K$4,폐업정보!$D$3:$R$3,0)),
"Error"))</f>
        <v>C1301</v>
      </c>
      <c r="L1306" s="75" t="str">
        <f aca="false">
IF($D1306="정상",INDEX(임대자산!$D$3:$R$3000,MATCH($F1306,임대자산!$I$3:$I$3000,0),MATCH(L$4,임대자산!$D$3:$R$3,0)),
IF($D1306="폐업",INDEX(폐업정보!$D$3:$R$3000,MATCH($F1306,폐업정보!$I$3:$I$3000,0),MATCH(L$4,폐업정보!$D$3:$R$3,0)),
"Error"))</f>
        <v>D1301</v>
      </c>
      <c r="M1306" s="76" t="s">
        <v>96</v>
      </c>
      <c r="N1306" s="77"/>
      <c r="O1306" s="78" t="s">
        <v>97</v>
      </c>
      <c r="P1306" s="79" t="n">
        <f aca="false">COUNTIFS(임대자산!$I:$I,가맹점정보!F1306,임대자산!$N:$N,가맹점정보!P$4)</f>
        <v>0</v>
      </c>
      <c r="Q1306" s="80" t="n">
        <f aca="false">COUNTIFS(임대자산!$I:$I,가맹점정보!F1306,임대자산!$N:$N,가맹점정보!Q$4)</f>
        <v>0</v>
      </c>
      <c r="R1306" s="81" t="n">
        <f aca="false">COUNTIFS(임대자산!$I:$I,가맹점정보!F1306,임대자산!$N:$N,가맹점정보!R$4)</f>
        <v>1</v>
      </c>
      <c r="S1306" s="82" t="n">
        <v>55000</v>
      </c>
      <c r="T1306" s="83" t="n">
        <v>0</v>
      </c>
      <c r="U1306" s="80" t="n">
        <f aca="false">SUM(S1306:T1306)</f>
        <v>55000</v>
      </c>
      <c r="V1306" s="84" t="s">
        <v>7</v>
      </c>
      <c r="W1306" s="80" t="str">
        <f aca="true">
IF(D1306="폐업","폐업",
IF(V1306="면제","면제",
IF(AND(V1306="정상",COUNTIFS(OFFSET(Y1306,0,COUNTA(Y1306:AV1306)-1,1,-4),"미납")&gt;=3),"장기미납",
IF(AND(V1306="정상",OFFSET(Y1306,0,COUNTA(Y1306:AV1306)-1)&gt;=U1306),"정상",
IF(AND(V1306="정상",OFFSET(Y1306,0,COUNTA(Y1306:AV1306)-1)=0),"정상",
"계약서 미작성")))))</f>
        <v>면제</v>
      </c>
      <c r="X1306" s="81" t="str">
        <f aca="true">
IF(D1306="폐업","폐업",
IF(AND(V1306="정상",OFFSET(Y1306,0,COUNTA(Y1306:AV1306)-1)="미납"),"미납",
IF(AND(V1306="정상",OFFSET(Y1306,0,COUNTA(Y1306:AV1306)-1)=0),"납부 시작 전",
IF(AND(V1306="정상",OFFSET(Y1306,0,COUNTA(Y1306:AV1306)-1)&gt;=U1306),"정상",
IF(AND(V1306="면제",OFFSET(Y1306,0,COUNTA(Y1306:AV1306)-1)="면제"),"면제",
IF(AND(V1306="면제",OFFSET(Y1306,0,COUNTA(Y1306:AV1306)-1)=0),"면제",
"확인요청"))))))</f>
        <v>면제</v>
      </c>
      <c r="Y1306" s="94" t="s">
        <v>7</v>
      </c>
      <c r="Z1306" s="95" t="s">
        <v>7</v>
      </c>
      <c r="AA1306" s="95" t="s">
        <v>7</v>
      </c>
      <c r="AB1306" s="95" t="s">
        <v>7</v>
      </c>
      <c r="AC1306" s="95" t="s">
        <v>7</v>
      </c>
      <c r="AD1306" s="95" t="s">
        <v>7</v>
      </c>
      <c r="AE1306" s="95" t="s">
        <v>7</v>
      </c>
      <c r="AF1306" s="95" t="s">
        <v>7</v>
      </c>
      <c r="AG1306" s="95" t="s">
        <v>7</v>
      </c>
      <c r="AH1306" s="95" t="s">
        <v>7</v>
      </c>
      <c r="AI1306" s="95" t="s">
        <v>7</v>
      </c>
      <c r="AJ1306" s="96" t="s">
        <v>7</v>
      </c>
      <c r="AK1306" s="97" t="s">
        <v>7</v>
      </c>
      <c r="AL1306" s="95" t="s">
        <v>7</v>
      </c>
      <c r="AM1306" s="90"/>
      <c r="AN1306" s="90"/>
      <c r="AO1306" s="90"/>
      <c r="AP1306" s="90"/>
      <c r="AQ1306" s="90"/>
      <c r="AR1306" s="90"/>
      <c r="AS1306" s="90"/>
      <c r="AT1306" s="90"/>
      <c r="AU1306" s="90"/>
      <c r="AV1306" s="91"/>
      <c r="AX1306" s="92"/>
    </row>
    <row r="1307" customFormat="false" ht="15.65" hidden="false" customHeight="false" outlineLevel="0" collapsed="false">
      <c r="C1307" s="72" t="n">
        <f aca="false">COUNTIFS($D$6:D1307,"&lt;&gt;"&amp;"")</f>
        <v>1302</v>
      </c>
      <c r="D1307" s="73" t="s">
        <v>12</v>
      </c>
      <c r="E1307" s="76" t="str">
        <f aca="false">
IF($D1307="정상",INDEX(임대자산!$D$3:$R$3000,MATCH($F1307,임대자산!$I$3:$I$3000,0),MATCH(E$3,임대자산!$D$3:$R$3,0)),
IF($D1307="폐업",INDEX(폐업정보!$D$3:$R$3000,MATCH($F1307,폐업정보!$I$3:$I$3000,0),MATCH(E$3,폐업정보!$D$3:$R$3,0)),
"Error"))</f>
        <v>강원</v>
      </c>
      <c r="F130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B1302</v>
      </c>
      <c r="G1307" s="76" t="str">
        <f aca="false">F1307&amp;RANDBETWEEN(0,10)</f>
        <v>B13023</v>
      </c>
      <c r="H1307" s="75" t="n">
        <f aca="false">
IF($D1307="정상",INDEX(임대자산!$D$3:$R$3000,MATCH($F1307,임대자산!$I$3:$I$3000,0),MATCH(H$4,임대자산!$D$3:$R$3,0)),
IF($D1307="폐업",INDEX(폐업정보!$D$3:$R$3000,MATCH($F1307,폐업정보!$I$3:$I$3000,0),MATCH(H$4,폐업정보!$D$3:$R$3,0)),
"Error"))</f>
        <v>45091</v>
      </c>
      <c r="I1307" s="75" t="str">
        <f aca="false">
IF($D1307="정상",INDEX(임대자산!$D$3:$R$3000,MATCH($F1307,임대자산!$I$3:$I$3000,0),MATCH(I$4,임대자산!$D$3:$R$3,0)),
IF($D1307="폐업",INDEX(폐업정보!$D$3:$R$3000,MATCH($F1307,폐업정보!$I$3:$I$3000,0),MATCH(I$4,폐업정보!$D$3:$R$3,0)),
"Error"))</f>
        <v>A1302</v>
      </c>
      <c r="J1307" s="75" t="str">
        <f aca="false">
IF($D1307="정상",INDEX(임대자산!$D$3:$R$3000,MATCH($F1307,임대자산!$I$3:$I$3000,0),MATCH(J$4,임대자산!$D$3:$R$3,0)),
IF($D1307="폐업",INDEX(폐업정보!$D$3:$R$3000,MATCH($F1307,폐업정보!$I$3:$I$3000,0),MATCH(J$4,폐업정보!$D$3:$R$3,0)),
"Error"))</f>
        <v>6873800000</v>
      </c>
      <c r="K1307" s="75" t="str">
        <f aca="false">
IF($D1307="정상",INDEX(임대자산!$D$3:$R$3000,MATCH($F1307,임대자산!$I$3:$I$3000,0),MATCH(K$4,임대자산!$D$3:$R$3,0)),
IF($D1307="폐업",INDEX(폐업정보!$D$3:$R$3000,MATCH($F1307,폐업정보!$I$3:$I$3000,0),MATCH(K$4,폐업정보!$D$3:$R$3,0)),
"Error"))</f>
        <v>C1302</v>
      </c>
      <c r="L1307" s="75" t="str">
        <f aca="false">
IF($D1307="정상",INDEX(임대자산!$D$3:$R$3000,MATCH($F1307,임대자산!$I$3:$I$3000,0),MATCH(L$4,임대자산!$D$3:$R$3,0)),
IF($D1307="폐업",INDEX(폐업정보!$D$3:$R$3000,MATCH($F1307,폐업정보!$I$3:$I$3000,0),MATCH(L$4,폐업정보!$D$3:$R$3,0)),
"Error"))</f>
        <v>D1302</v>
      </c>
      <c r="M1307" s="76" t="s">
        <v>96</v>
      </c>
      <c r="N1307" s="77"/>
      <c r="O1307" s="78" t="s">
        <v>97</v>
      </c>
      <c r="P1307" s="79" t="n">
        <f aca="false">COUNTIFS(임대자산!$I:$I,가맹점정보!F1307,임대자산!$N:$N,가맹점정보!P$4)</f>
        <v>0</v>
      </c>
      <c r="Q1307" s="80" t="n">
        <f aca="false">COUNTIFS(임대자산!$I:$I,가맹점정보!F1307,임대자산!$N:$N,가맹점정보!Q$4)</f>
        <v>0</v>
      </c>
      <c r="R1307" s="81" t="n">
        <f aca="false">COUNTIFS(임대자산!$I:$I,가맹점정보!F1307,임대자산!$N:$N,가맹점정보!R$4)</f>
        <v>1</v>
      </c>
      <c r="S1307" s="82" t="n">
        <v>55000</v>
      </c>
      <c r="T1307" s="83" t="n">
        <v>0</v>
      </c>
      <c r="U1307" s="80" t="n">
        <f aca="false">SUM(S1307:T1307)</f>
        <v>55000</v>
      </c>
      <c r="V1307" s="84" t="s">
        <v>7</v>
      </c>
      <c r="W1307" s="80" t="str">
        <f aca="true">
IF(D1307="폐업","폐업",
IF(V1307="면제","면제",
IF(AND(V1307="정상",COUNTIFS(OFFSET(Y1307,0,COUNTA(Y1307:AV1307)-1,1,-4),"미납")&gt;=3),"장기미납",
IF(AND(V1307="정상",OFFSET(Y1307,0,COUNTA(Y1307:AV1307)-1)&gt;=U1307),"정상",
IF(AND(V1307="정상",OFFSET(Y1307,0,COUNTA(Y1307:AV1307)-1)=0),"정상",
"계약서 미작성")))))</f>
        <v>면제</v>
      </c>
      <c r="X1307" s="81" t="str">
        <f aca="true">
IF(D1307="폐업","폐업",
IF(AND(V1307="정상",OFFSET(Y1307,0,COUNTA(Y1307:AV1307)-1)="미납"),"미납",
IF(AND(V1307="정상",OFFSET(Y1307,0,COUNTA(Y1307:AV1307)-1)=0),"납부 시작 전",
IF(AND(V1307="정상",OFFSET(Y1307,0,COUNTA(Y1307:AV1307)-1)&gt;=U1307),"정상",
IF(AND(V1307="면제",OFFSET(Y1307,0,COUNTA(Y1307:AV1307)-1)="면제"),"면제",
IF(AND(V1307="면제",OFFSET(Y1307,0,COUNTA(Y1307:AV1307)-1)=0),"면제",
"확인요청"))))))</f>
        <v>면제</v>
      </c>
      <c r="Y1307" s="94" t="s">
        <v>7</v>
      </c>
      <c r="Z1307" s="95" t="s">
        <v>7</v>
      </c>
      <c r="AA1307" s="95" t="s">
        <v>7</v>
      </c>
      <c r="AB1307" s="95" t="s">
        <v>7</v>
      </c>
      <c r="AC1307" s="95" t="s">
        <v>7</v>
      </c>
      <c r="AD1307" s="95" t="s">
        <v>7</v>
      </c>
      <c r="AE1307" s="95" t="s">
        <v>7</v>
      </c>
      <c r="AF1307" s="95" t="s">
        <v>7</v>
      </c>
      <c r="AG1307" s="95" t="s">
        <v>7</v>
      </c>
      <c r="AH1307" s="95" t="s">
        <v>7</v>
      </c>
      <c r="AI1307" s="95" t="s">
        <v>7</v>
      </c>
      <c r="AJ1307" s="96" t="s">
        <v>7</v>
      </c>
      <c r="AK1307" s="97" t="s">
        <v>7</v>
      </c>
      <c r="AL1307" s="95" t="s">
        <v>7</v>
      </c>
      <c r="AM1307" s="90"/>
      <c r="AN1307" s="90"/>
      <c r="AO1307" s="90"/>
      <c r="AP1307" s="90"/>
      <c r="AQ1307" s="90"/>
      <c r="AR1307" s="90"/>
      <c r="AS1307" s="90"/>
      <c r="AT1307" s="90"/>
      <c r="AU1307" s="90"/>
      <c r="AV1307" s="91"/>
      <c r="AX1307" s="92"/>
    </row>
    <row r="1308" customFormat="false" ht="15.65" hidden="false" customHeight="false" outlineLevel="0" collapsed="false">
      <c r="C1308" s="72" t="n">
        <f aca="false">COUNTIFS($D$6:D1308,"&lt;&gt;"&amp;"")</f>
        <v>1303</v>
      </c>
      <c r="D1308" s="73" t="s">
        <v>12</v>
      </c>
      <c r="E1308" s="76" t="str">
        <f aca="false">
IF($D1308="정상",INDEX(임대자산!$D$3:$R$3000,MATCH($F1308,임대자산!$I$3:$I$3000,0),MATCH(E$3,임대자산!$D$3:$R$3,0)),
IF($D1308="폐업",INDEX(폐업정보!$D$3:$R$3000,MATCH($F1308,폐업정보!$I$3:$I$3000,0),MATCH(E$3,폐업정보!$D$3:$R$3,0)),
"Error"))</f>
        <v>강원</v>
      </c>
      <c r="F130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B1303</v>
      </c>
      <c r="G1308" s="76" t="str">
        <f aca="false">F1308&amp;RANDBETWEEN(0,10)</f>
        <v>B13031</v>
      </c>
      <c r="H1308" s="75" t="n">
        <f aca="false">
IF($D1308="정상",INDEX(임대자산!$D$3:$R$3000,MATCH($F1308,임대자산!$I$3:$I$3000,0),MATCH(H$4,임대자산!$D$3:$R$3,0)),
IF($D1308="폐업",INDEX(폐업정보!$D$3:$R$3000,MATCH($F1308,폐업정보!$I$3:$I$3000,0),MATCH(H$4,폐업정보!$D$3:$R$3,0)),
"Error"))</f>
        <v>45909</v>
      </c>
      <c r="I1308" s="75" t="str">
        <f aca="false">
IF($D1308="정상",INDEX(임대자산!$D$3:$R$3000,MATCH($F1308,임대자산!$I$3:$I$3000,0),MATCH(I$4,임대자산!$D$3:$R$3,0)),
IF($D1308="폐업",INDEX(폐업정보!$D$3:$R$3000,MATCH($F1308,폐업정보!$I$3:$I$3000,0),MATCH(I$4,폐업정보!$D$3:$R$3,0)),
"Error"))</f>
        <v>A1303</v>
      </c>
      <c r="J1308" s="75" t="str">
        <f aca="false">
IF($D1308="정상",INDEX(임대자산!$D$3:$R$3000,MATCH($F1308,임대자산!$I$3:$I$3000,0),MATCH(J$4,임대자산!$D$3:$R$3,0)),
IF($D1308="폐업",INDEX(폐업정보!$D$3:$R$3000,MATCH($F1308,폐업정보!$I$3:$I$3000,0),MATCH(J$4,폐업정보!$D$3:$R$3,0)),
"Error"))</f>
        <v>9493700000</v>
      </c>
      <c r="K1308" s="75" t="str">
        <f aca="false">
IF($D1308="정상",INDEX(임대자산!$D$3:$R$3000,MATCH($F1308,임대자산!$I$3:$I$3000,0),MATCH(K$4,임대자산!$D$3:$R$3,0)),
IF($D1308="폐업",INDEX(폐업정보!$D$3:$R$3000,MATCH($F1308,폐업정보!$I$3:$I$3000,0),MATCH(K$4,폐업정보!$D$3:$R$3,0)),
"Error"))</f>
        <v>C1303</v>
      </c>
      <c r="L1308" s="75" t="str">
        <f aca="false">
IF($D1308="정상",INDEX(임대자산!$D$3:$R$3000,MATCH($F1308,임대자산!$I$3:$I$3000,0),MATCH(L$4,임대자산!$D$3:$R$3,0)),
IF($D1308="폐업",INDEX(폐업정보!$D$3:$R$3000,MATCH($F1308,폐업정보!$I$3:$I$3000,0),MATCH(L$4,폐업정보!$D$3:$R$3,0)),
"Error"))</f>
        <v>D1303</v>
      </c>
      <c r="M1308" s="76" t="s">
        <v>96</v>
      </c>
      <c r="N1308" s="77"/>
      <c r="O1308" s="78" t="s">
        <v>97</v>
      </c>
      <c r="P1308" s="79" t="n">
        <f aca="false">COUNTIFS(임대자산!$I:$I,가맹점정보!F1308,임대자산!$N:$N,가맹점정보!P$4)</f>
        <v>0</v>
      </c>
      <c r="Q1308" s="80" t="n">
        <f aca="false">COUNTIFS(임대자산!$I:$I,가맹점정보!F1308,임대자산!$N:$N,가맹점정보!Q$4)</f>
        <v>0</v>
      </c>
      <c r="R1308" s="81" t="n">
        <f aca="false">COUNTIFS(임대자산!$I:$I,가맹점정보!F1308,임대자산!$N:$N,가맹점정보!R$4)</f>
        <v>1</v>
      </c>
      <c r="S1308" s="82" t="n">
        <v>55000</v>
      </c>
      <c r="T1308" s="83" t="n">
        <v>0</v>
      </c>
      <c r="U1308" s="80" t="n">
        <f aca="false">SUM(S1308:T1308)</f>
        <v>55000</v>
      </c>
      <c r="V1308" s="84" t="s">
        <v>12</v>
      </c>
      <c r="W1308" s="80" t="e">
        <f aca="true">
IF(D1308="폐업","폐업",
IF(V1308="면제","면제",
IF(AND(V1308="정상",COUNTIFS(OFFSET(Y1308,0,COUNTA(Y1308:AV1308)-1,1,-4),"미납")&gt;=3),"장기미납",
IF(AND(V1308="정상",OFFSET(Y1308,0,COUNTA(Y1308:AV1308)-1)&gt;=U1308),"정상",
IF(AND(V1308="정상",OFFSET(Y1308,0,COUNTA(Y1308:AV1308)-1)=0),"정상",
"계약서 미작성")))))</f>
        <v>#VALUE!</v>
      </c>
      <c r="X1308" s="81" t="str">
        <f aca="true">
IF(D1308="폐업","폐업",
IF(AND(V1308="정상",OFFSET(Y1308,0,COUNTA(Y1308:AV1308)-1)="미납"),"미납",
IF(AND(V1308="정상",OFFSET(Y1308,0,COUNTA(Y1308:AV1308)-1)=0),"납부 시작 전",
IF(AND(V1308="정상",OFFSET(Y1308,0,COUNTA(Y1308:AV1308)-1)&gt;=U1308),"정상",
IF(AND(V1308="면제",OFFSET(Y1308,0,COUNTA(Y1308:AV1308)-1)="면제"),"면제",
IF(AND(V1308="면제",OFFSET(Y1308,0,COUNTA(Y1308:AV1308)-1)=0),"면제",
"확인요청"))))))</f>
        <v>정상</v>
      </c>
      <c r="Y1308" s="93" t="n">
        <v>55000</v>
      </c>
      <c r="Z1308" s="90" t="n">
        <v>55000</v>
      </c>
      <c r="AA1308" s="90" t="n">
        <v>55000</v>
      </c>
      <c r="AB1308" s="90" t="n">
        <v>55000</v>
      </c>
      <c r="AC1308" s="90" t="n">
        <v>55000</v>
      </c>
      <c r="AD1308" s="90" t="n">
        <v>55000</v>
      </c>
      <c r="AE1308" s="90" t="n">
        <v>55000</v>
      </c>
      <c r="AF1308" s="90" t="n">
        <v>55000</v>
      </c>
      <c r="AG1308" s="90" t="n">
        <v>55000</v>
      </c>
      <c r="AH1308" s="90" t="n">
        <v>55000</v>
      </c>
      <c r="AI1308" s="90" t="n">
        <v>55000</v>
      </c>
      <c r="AJ1308" s="91" t="n">
        <v>55000</v>
      </c>
      <c r="AK1308" s="89" t="n">
        <v>55000</v>
      </c>
      <c r="AL1308" s="90" t="n">
        <v>55000</v>
      </c>
      <c r="AM1308" s="90"/>
      <c r="AN1308" s="90"/>
      <c r="AO1308" s="90"/>
      <c r="AP1308" s="90"/>
      <c r="AQ1308" s="90"/>
      <c r="AR1308" s="90"/>
      <c r="AS1308" s="90"/>
      <c r="AT1308" s="90"/>
      <c r="AU1308" s="90"/>
      <c r="AV1308" s="91"/>
      <c r="AX1308" s="92"/>
    </row>
    <row r="1309" customFormat="false" ht="15.65" hidden="false" customHeight="false" outlineLevel="0" collapsed="false">
      <c r="C1309" s="72" t="n">
        <f aca="false">COUNTIFS($D$6:D1309,"&lt;&gt;"&amp;"")</f>
        <v>1304</v>
      </c>
      <c r="D1309" s="73" t="s">
        <v>12</v>
      </c>
      <c r="E1309" s="76" t="str">
        <f aca="false">
IF($D1309="정상",INDEX(임대자산!$D$3:$R$3000,MATCH($F1309,임대자산!$I$3:$I$3000,0),MATCH(E$3,임대자산!$D$3:$R$3,0)),
IF($D1309="폐업",INDEX(폐업정보!$D$3:$R$3000,MATCH($F1309,폐업정보!$I$3:$I$3000,0),MATCH(E$3,폐업정보!$D$3:$R$3,0)),
"Error"))</f>
        <v>서울</v>
      </c>
      <c r="F130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B1304</v>
      </c>
      <c r="G1309" s="76" t="str">
        <f aca="false">F1309&amp;RANDBETWEEN(0,10)</f>
        <v>B13040</v>
      </c>
      <c r="H1309" s="75" t="n">
        <f aca="false">
IF($D1309="정상",INDEX(임대자산!$D$3:$R$3000,MATCH($F1309,임대자산!$I$3:$I$3000,0),MATCH(H$4,임대자산!$D$3:$R$3,0)),
IF($D1309="폐업",INDEX(폐업정보!$D$3:$R$3000,MATCH($F1309,폐업정보!$I$3:$I$3000,0),MATCH(H$4,폐업정보!$D$3:$R$3,0)),
"Error"))</f>
        <v>45096</v>
      </c>
      <c r="I1309" s="75" t="str">
        <f aca="false">
IF($D1309="정상",INDEX(임대자산!$D$3:$R$3000,MATCH($F1309,임대자산!$I$3:$I$3000,0),MATCH(I$4,임대자산!$D$3:$R$3,0)),
IF($D1309="폐업",INDEX(폐업정보!$D$3:$R$3000,MATCH($F1309,폐업정보!$I$3:$I$3000,0),MATCH(I$4,폐업정보!$D$3:$R$3,0)),
"Error"))</f>
        <v>A1304</v>
      </c>
      <c r="J1309" s="75" t="str">
        <f aca="false">
IF($D1309="정상",INDEX(임대자산!$D$3:$R$3000,MATCH($F1309,임대자산!$I$3:$I$3000,0),MATCH(J$4,임대자산!$D$3:$R$3,0)),
IF($D1309="폐업",INDEX(폐업정보!$D$3:$R$3000,MATCH($F1309,폐업정보!$I$3:$I$3000,0),MATCH(J$4,폐업정보!$D$3:$R$3,0)),
"Error"))</f>
        <v>4051200000</v>
      </c>
      <c r="K1309" s="75" t="str">
        <f aca="false">
IF($D1309="정상",INDEX(임대자산!$D$3:$R$3000,MATCH($F1309,임대자산!$I$3:$I$3000,0),MATCH(K$4,임대자산!$D$3:$R$3,0)),
IF($D1309="폐업",INDEX(폐업정보!$D$3:$R$3000,MATCH($F1309,폐업정보!$I$3:$I$3000,0),MATCH(K$4,폐업정보!$D$3:$R$3,0)),
"Error"))</f>
        <v>C1304</v>
      </c>
      <c r="L1309" s="75" t="str">
        <f aca="false">
IF($D1309="정상",INDEX(임대자산!$D$3:$R$3000,MATCH($F1309,임대자산!$I$3:$I$3000,0),MATCH(L$4,임대자산!$D$3:$R$3,0)),
IF($D1309="폐업",INDEX(폐업정보!$D$3:$R$3000,MATCH($F1309,폐업정보!$I$3:$I$3000,0),MATCH(L$4,폐업정보!$D$3:$R$3,0)),
"Error"))</f>
        <v>D1304</v>
      </c>
      <c r="M1309" s="76" t="s">
        <v>96</v>
      </c>
      <c r="N1309" s="77"/>
      <c r="O1309" s="78" t="s">
        <v>97</v>
      </c>
      <c r="P1309" s="79" t="n">
        <f aca="false">COUNTIFS(임대자산!$I:$I,가맹점정보!F1309,임대자산!$N:$N,가맹점정보!P$4)</f>
        <v>0</v>
      </c>
      <c r="Q1309" s="80" t="n">
        <f aca="false">COUNTIFS(임대자산!$I:$I,가맹점정보!F1309,임대자산!$N:$N,가맹점정보!Q$4)</f>
        <v>0</v>
      </c>
      <c r="R1309" s="81" t="n">
        <f aca="false">COUNTIFS(임대자산!$I:$I,가맹점정보!F1309,임대자산!$N:$N,가맹점정보!R$4)</f>
        <v>1</v>
      </c>
      <c r="S1309" s="82" t="n">
        <v>88000</v>
      </c>
      <c r="T1309" s="83" t="n">
        <v>0</v>
      </c>
      <c r="U1309" s="80" t="n">
        <f aca="false">SUM(S1309:T1309)</f>
        <v>88000</v>
      </c>
      <c r="V1309" s="84" t="s">
        <v>7</v>
      </c>
      <c r="W1309" s="80" t="str">
        <f aca="true">
IF(D1309="폐업","폐업",
IF(V1309="면제","면제",
IF(AND(V1309="정상",COUNTIFS(OFFSET(Y1309,0,COUNTA(Y1309:AV1309)-1,1,-4),"미납")&gt;=3),"장기미납",
IF(AND(V1309="정상",OFFSET(Y1309,0,COUNTA(Y1309:AV1309)-1)&gt;=U1309),"정상",
IF(AND(V1309="정상",OFFSET(Y1309,0,COUNTA(Y1309:AV1309)-1)=0),"정상",
"계약서 미작성")))))</f>
        <v>면제</v>
      </c>
      <c r="X1309" s="81" t="str">
        <f aca="true">
IF(D1309="폐업","폐업",
IF(AND(V1309="정상",OFFSET(Y1309,0,COUNTA(Y1309:AV1309)-1)="미납"),"미납",
IF(AND(V1309="정상",OFFSET(Y1309,0,COUNTA(Y1309:AV1309)-1)=0),"납부 시작 전",
IF(AND(V1309="정상",OFFSET(Y1309,0,COUNTA(Y1309:AV1309)-1)&gt;=U1309),"정상",
IF(AND(V1309="면제",OFFSET(Y1309,0,COUNTA(Y1309:AV1309)-1)="면제"),"면제",
IF(AND(V1309="면제",OFFSET(Y1309,0,COUNTA(Y1309:AV1309)-1)=0),"면제",
"확인요청"))))))</f>
        <v>면제</v>
      </c>
      <c r="Y1309" s="94" t="s">
        <v>7</v>
      </c>
      <c r="Z1309" s="95" t="s">
        <v>7</v>
      </c>
      <c r="AA1309" s="95" t="s">
        <v>7</v>
      </c>
      <c r="AB1309" s="95" t="s">
        <v>7</v>
      </c>
      <c r="AC1309" s="95" t="s">
        <v>7</v>
      </c>
      <c r="AD1309" s="95" t="s">
        <v>7</v>
      </c>
      <c r="AE1309" s="95" t="s">
        <v>7</v>
      </c>
      <c r="AF1309" s="95" t="s">
        <v>7</v>
      </c>
      <c r="AG1309" s="95" t="s">
        <v>7</v>
      </c>
      <c r="AH1309" s="95" t="s">
        <v>7</v>
      </c>
      <c r="AI1309" s="95" t="s">
        <v>7</v>
      </c>
      <c r="AJ1309" s="96" t="s">
        <v>7</v>
      </c>
      <c r="AK1309" s="97" t="s">
        <v>7</v>
      </c>
      <c r="AL1309" s="95" t="s">
        <v>7</v>
      </c>
      <c r="AM1309" s="90"/>
      <c r="AN1309" s="90"/>
      <c r="AO1309" s="90"/>
      <c r="AP1309" s="90"/>
      <c r="AQ1309" s="90"/>
      <c r="AR1309" s="90"/>
      <c r="AS1309" s="90"/>
      <c r="AT1309" s="90"/>
      <c r="AU1309" s="90"/>
      <c r="AV1309" s="91"/>
      <c r="AX1309" s="92"/>
    </row>
    <row r="1310" customFormat="false" ht="15.65" hidden="false" customHeight="false" outlineLevel="0" collapsed="false">
      <c r="C1310" s="72" t="n">
        <f aca="false">COUNTIFS($D$6:D1310,"&lt;&gt;"&amp;"")</f>
        <v>1305</v>
      </c>
      <c r="D1310" s="73" t="s">
        <v>5</v>
      </c>
      <c r="E1310" s="76" t="str">
        <f aca="false">
IF($D1310="정상",INDEX(임대자산!$D$3:$R$3000,MATCH($F1310,임대자산!$I$3:$I$3000,0),MATCH(E$3,임대자산!$D$3:$R$3,0)),
IF($D1310="폐업",INDEX(폐업정보!$D$3:$R$3000,MATCH($F1310,폐업정보!$I$3:$I$3000,0),MATCH(E$3,폐업정보!$D$3:$R$3,0)),
"Error"))</f>
        <v>서울</v>
      </c>
      <c r="F131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B1305</v>
      </c>
      <c r="G1310" s="76" t="str">
        <f aca="false">F1310&amp;RANDBETWEEN(0,10)</f>
        <v>B13051</v>
      </c>
      <c r="H1310" s="75" t="n">
        <f aca="false">
IF($D1310="정상",INDEX(임대자산!$D$3:$R$3000,MATCH($F1310,임대자산!$I$3:$I$3000,0),MATCH(H$4,임대자산!$D$3:$R$3,0)),
IF($D1310="폐업",INDEX(폐업정보!$D$3:$R$3000,MATCH($F1310,폐업정보!$I$3:$I$3000,0),MATCH(H$4,폐업정보!$D$3:$R$3,0)),
"Error"))</f>
        <v>45096</v>
      </c>
      <c r="I1310" s="75" t="str">
        <f aca="false">
IF($D1310="정상",INDEX(임대자산!$D$3:$R$3000,MATCH($F1310,임대자산!$I$3:$I$3000,0),MATCH(I$4,임대자산!$D$3:$R$3,0)),
IF($D1310="폐업",INDEX(폐업정보!$D$3:$R$3000,MATCH($F1310,폐업정보!$I$3:$I$3000,0),MATCH(I$4,폐업정보!$D$3:$R$3,0)),
"Error"))</f>
        <v>A1305</v>
      </c>
      <c r="J1310" s="75" t="str">
        <f aca="false">
IF($D1310="정상",INDEX(임대자산!$D$3:$R$3000,MATCH($F1310,임대자산!$I$3:$I$3000,0),MATCH(J$4,임대자산!$D$3:$R$3,0)),
IF($D1310="폐업",INDEX(폐업정보!$D$3:$R$3000,MATCH($F1310,폐업정보!$I$3:$I$3000,0),MATCH(J$4,폐업정보!$D$3:$R$3,0)),
"Error"))</f>
        <v>8295200000</v>
      </c>
      <c r="K1310" s="75" t="str">
        <f aca="false">
IF($D1310="정상",INDEX(임대자산!$D$3:$R$3000,MATCH($F1310,임대자산!$I$3:$I$3000,0),MATCH(K$4,임대자산!$D$3:$R$3,0)),
IF($D1310="폐업",INDEX(폐업정보!$D$3:$R$3000,MATCH($F1310,폐업정보!$I$3:$I$3000,0),MATCH(K$4,폐업정보!$D$3:$R$3,0)),
"Error"))</f>
        <v>C1305</v>
      </c>
      <c r="L1310" s="75" t="str">
        <f aca="false">
IF($D1310="정상",INDEX(임대자산!$D$3:$R$3000,MATCH($F1310,임대자산!$I$3:$I$3000,0),MATCH(L$4,임대자산!$D$3:$R$3,0)),
IF($D1310="폐업",INDEX(폐업정보!$D$3:$R$3000,MATCH($F1310,폐업정보!$I$3:$I$3000,0),MATCH(L$4,폐업정보!$D$3:$R$3,0)),
"Error"))</f>
        <v>D1305</v>
      </c>
      <c r="M1310" s="76" t="s">
        <v>96</v>
      </c>
      <c r="N1310" s="77"/>
      <c r="O1310" s="78" t="s">
        <v>97</v>
      </c>
      <c r="P1310" s="79" t="n">
        <f aca="false">COUNTIFS(임대자산!$I:$I,가맹점정보!F1310,임대자산!$N:$N,가맹점정보!P$4)</f>
        <v>0</v>
      </c>
      <c r="Q1310" s="80" t="n">
        <f aca="false">COUNTIFS(임대자산!$I:$I,가맹점정보!F1310,임대자산!$N:$N,가맹점정보!Q$4)</f>
        <v>0</v>
      </c>
      <c r="R1310" s="81" t="n">
        <f aca="false">COUNTIFS(임대자산!$I:$I,가맹점정보!F1310,임대자산!$N:$N,가맹점정보!R$4)</f>
        <v>0</v>
      </c>
      <c r="S1310" s="82" t="n">
        <v>88000</v>
      </c>
      <c r="T1310" s="83" t="n">
        <v>0</v>
      </c>
      <c r="U1310" s="80" t="n">
        <f aca="false">SUM(S1310:T1310)</f>
        <v>88000</v>
      </c>
      <c r="V1310" s="84" t="s">
        <v>7</v>
      </c>
      <c r="W1310" s="80" t="str">
        <f aca="true">
IF(D1310="폐업","폐업",
IF(V1310="면제","면제",
IF(AND(V1310="정상",COUNTIFS(OFFSET(Y1310,0,COUNTA(Y1310:AV1310)-1,1,-4),"미납")&gt;=3),"장기미납",
IF(AND(V1310="정상",OFFSET(Y1310,0,COUNTA(Y1310:AV1310)-1)&gt;=U1310),"정상",
IF(AND(V1310="정상",OFFSET(Y1310,0,COUNTA(Y1310:AV1310)-1)=0),"정상",
"계약서 미작성")))))</f>
        <v>폐업</v>
      </c>
      <c r="X1310" s="81" t="str">
        <f aca="true">
IF(D1310="폐업","폐업",
IF(AND(V1310="정상",OFFSET(Y1310,0,COUNTA(Y1310:AV1310)-1)="미납"),"미납",
IF(AND(V1310="정상",OFFSET(Y1310,0,COUNTA(Y1310:AV1310)-1)=0),"납부 시작 전",
IF(AND(V1310="정상",OFFSET(Y1310,0,COUNTA(Y1310:AV1310)-1)&gt;=U1310),"정상",
IF(AND(V1310="면제",OFFSET(Y1310,0,COUNTA(Y1310:AV1310)-1)="면제"),"면제",
IF(AND(V1310="면제",OFFSET(Y1310,0,COUNTA(Y1310:AV1310)-1)=0),"면제",
"확인요청"))))))</f>
        <v>폐업</v>
      </c>
      <c r="Y1310" s="94" t="s">
        <v>7</v>
      </c>
      <c r="Z1310" s="95" t="s">
        <v>7</v>
      </c>
      <c r="AA1310" s="95" t="s">
        <v>7</v>
      </c>
      <c r="AB1310" s="95" t="s">
        <v>7</v>
      </c>
      <c r="AC1310" s="95" t="s">
        <v>7</v>
      </c>
      <c r="AD1310" s="95" t="s">
        <v>7</v>
      </c>
      <c r="AE1310" s="95" t="s">
        <v>7</v>
      </c>
      <c r="AF1310" s="95" t="s">
        <v>7</v>
      </c>
      <c r="AG1310" s="95" t="s">
        <v>7</v>
      </c>
      <c r="AH1310" s="95" t="s">
        <v>7</v>
      </c>
      <c r="AI1310" s="95" t="s">
        <v>7</v>
      </c>
      <c r="AJ1310" s="96" t="s">
        <v>7</v>
      </c>
      <c r="AK1310" s="97" t="s">
        <v>7</v>
      </c>
      <c r="AL1310" s="95" t="s">
        <v>7</v>
      </c>
      <c r="AM1310" s="90"/>
      <c r="AN1310" s="90"/>
      <c r="AO1310" s="90"/>
      <c r="AP1310" s="90"/>
      <c r="AQ1310" s="90"/>
      <c r="AR1310" s="90"/>
      <c r="AS1310" s="90"/>
      <c r="AT1310" s="90"/>
      <c r="AU1310" s="90"/>
      <c r="AV1310" s="91"/>
      <c r="AX1310" s="92"/>
    </row>
    <row r="1311" customFormat="false" ht="15.65" hidden="false" customHeight="false" outlineLevel="0" collapsed="false">
      <c r="C1311" s="72" t="n">
        <f aca="false">COUNTIFS($D$6:D1311,"&lt;&gt;"&amp;"")</f>
        <v>1306</v>
      </c>
      <c r="D1311" s="73" t="s">
        <v>12</v>
      </c>
      <c r="E1311" s="76" t="str">
        <f aca="false">
IF($D1311="정상",INDEX(임대자산!$D$3:$R$3000,MATCH($F1311,임대자산!$I$3:$I$3000,0),MATCH(E$3,임대자산!$D$3:$R$3,0)),
IF($D1311="폐업",INDEX(폐업정보!$D$3:$R$3000,MATCH($F1311,폐업정보!$I$3:$I$3000,0),MATCH(E$3,폐업정보!$D$3:$R$3,0)),
"Error"))</f>
        <v>서울</v>
      </c>
      <c r="F131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B1306</v>
      </c>
      <c r="G1311" s="76" t="str">
        <f aca="false">F1311&amp;RANDBETWEEN(0,10)</f>
        <v>B13061</v>
      </c>
      <c r="H1311" s="75" t="n">
        <f aca="false">
IF($D1311="정상",INDEX(임대자산!$D$3:$R$3000,MATCH($F1311,임대자산!$I$3:$I$3000,0),MATCH(H$4,임대자산!$D$3:$R$3,0)),
IF($D1311="폐업",INDEX(폐업정보!$D$3:$R$3000,MATCH($F1311,폐업정보!$I$3:$I$3000,0),MATCH(H$4,폐업정보!$D$3:$R$3,0)),
"Error"))</f>
        <v>45441</v>
      </c>
      <c r="I1311" s="75" t="str">
        <f aca="false">
IF($D1311="정상",INDEX(임대자산!$D$3:$R$3000,MATCH($F1311,임대자산!$I$3:$I$3000,0),MATCH(I$4,임대자산!$D$3:$R$3,0)),
IF($D1311="폐업",INDEX(폐업정보!$D$3:$R$3000,MATCH($F1311,폐업정보!$I$3:$I$3000,0),MATCH(I$4,폐업정보!$D$3:$R$3,0)),
"Error"))</f>
        <v>A1306</v>
      </c>
      <c r="J1311" s="75" t="str">
        <f aca="false">
IF($D1311="정상",INDEX(임대자산!$D$3:$R$3000,MATCH($F1311,임대자산!$I$3:$I$3000,0),MATCH(J$4,임대자산!$D$3:$R$3,0)),
IF($D1311="폐업",INDEX(폐업정보!$D$3:$R$3000,MATCH($F1311,폐업정보!$I$3:$I$3000,0),MATCH(J$4,폐업정보!$D$3:$R$3,0)),
"Error"))</f>
        <v>5522700000</v>
      </c>
      <c r="K1311" s="75" t="str">
        <f aca="false">
IF($D1311="정상",INDEX(임대자산!$D$3:$R$3000,MATCH($F1311,임대자산!$I$3:$I$3000,0),MATCH(K$4,임대자산!$D$3:$R$3,0)),
IF($D1311="폐업",INDEX(폐업정보!$D$3:$R$3000,MATCH($F1311,폐업정보!$I$3:$I$3000,0),MATCH(K$4,폐업정보!$D$3:$R$3,0)),
"Error"))</f>
        <v>C1306</v>
      </c>
      <c r="L1311" s="75" t="str">
        <f aca="false">
IF($D1311="정상",INDEX(임대자산!$D$3:$R$3000,MATCH($F1311,임대자산!$I$3:$I$3000,0),MATCH(L$4,임대자산!$D$3:$R$3,0)),
IF($D1311="폐업",INDEX(폐업정보!$D$3:$R$3000,MATCH($F1311,폐업정보!$I$3:$I$3000,0),MATCH(L$4,폐업정보!$D$3:$R$3,0)),
"Error"))</f>
        <v>D1306</v>
      </c>
      <c r="M1311" s="76" t="s">
        <v>96</v>
      </c>
      <c r="N1311" s="77"/>
      <c r="O1311" s="78" t="s">
        <v>97</v>
      </c>
      <c r="P1311" s="79" t="n">
        <f aca="false">COUNTIFS(임대자산!$I:$I,가맹점정보!F1311,임대자산!$N:$N,가맹점정보!P$4)</f>
        <v>0</v>
      </c>
      <c r="Q1311" s="80" t="n">
        <f aca="false">COUNTIFS(임대자산!$I:$I,가맹점정보!F1311,임대자산!$N:$N,가맹점정보!Q$4)</f>
        <v>0</v>
      </c>
      <c r="R1311" s="81" t="n">
        <f aca="false">COUNTIFS(임대자산!$I:$I,가맹점정보!F1311,임대자산!$N:$N,가맹점정보!R$4)</f>
        <v>1</v>
      </c>
      <c r="S1311" s="82" t="n">
        <v>55000</v>
      </c>
      <c r="T1311" s="83" t="n">
        <v>0</v>
      </c>
      <c r="U1311" s="80" t="n">
        <f aca="false">SUM(S1311:T1311)</f>
        <v>55000</v>
      </c>
      <c r="V1311" s="84" t="s">
        <v>7</v>
      </c>
      <c r="W1311" s="80" t="str">
        <f aca="true">
IF(D1311="폐업","폐업",
IF(V1311="면제","면제",
IF(AND(V1311="정상",COUNTIFS(OFFSET(Y1311,0,COUNTA(Y1311:AV1311)-1,1,-4),"미납")&gt;=3),"장기미납",
IF(AND(V1311="정상",OFFSET(Y1311,0,COUNTA(Y1311:AV1311)-1)&gt;=U1311),"정상",
IF(AND(V1311="정상",OFFSET(Y1311,0,COUNTA(Y1311:AV1311)-1)=0),"정상",
"계약서 미작성")))))</f>
        <v>면제</v>
      </c>
      <c r="X1311" s="81" t="str">
        <f aca="true">
IF(D1311="폐업","폐업",
IF(AND(V1311="정상",OFFSET(Y1311,0,COUNTA(Y1311:AV1311)-1)="미납"),"미납",
IF(AND(V1311="정상",OFFSET(Y1311,0,COUNTA(Y1311:AV1311)-1)=0),"납부 시작 전",
IF(AND(V1311="정상",OFFSET(Y1311,0,COUNTA(Y1311:AV1311)-1)&gt;=U1311),"정상",
IF(AND(V1311="면제",OFFSET(Y1311,0,COUNTA(Y1311:AV1311)-1)="면제"),"면제",
IF(AND(V1311="면제",OFFSET(Y1311,0,COUNTA(Y1311:AV1311)-1)=0),"면제",
"확인요청"))))))</f>
        <v>면제</v>
      </c>
      <c r="Y1311" s="94" t="s">
        <v>7</v>
      </c>
      <c r="Z1311" s="95" t="s">
        <v>7</v>
      </c>
      <c r="AA1311" s="95" t="s">
        <v>7</v>
      </c>
      <c r="AB1311" s="95" t="s">
        <v>7</v>
      </c>
      <c r="AC1311" s="95" t="s">
        <v>7</v>
      </c>
      <c r="AD1311" s="95" t="s">
        <v>7</v>
      </c>
      <c r="AE1311" s="95" t="s">
        <v>7</v>
      </c>
      <c r="AF1311" s="95" t="s">
        <v>7</v>
      </c>
      <c r="AG1311" s="95" t="s">
        <v>7</v>
      </c>
      <c r="AH1311" s="95" t="s">
        <v>7</v>
      </c>
      <c r="AI1311" s="95" t="s">
        <v>7</v>
      </c>
      <c r="AJ1311" s="96" t="s">
        <v>7</v>
      </c>
      <c r="AK1311" s="97" t="s">
        <v>7</v>
      </c>
      <c r="AL1311" s="95" t="s">
        <v>7</v>
      </c>
      <c r="AM1311" s="90"/>
      <c r="AN1311" s="90"/>
      <c r="AO1311" s="90"/>
      <c r="AP1311" s="90"/>
      <c r="AQ1311" s="90"/>
      <c r="AR1311" s="90"/>
      <c r="AS1311" s="90"/>
      <c r="AT1311" s="90"/>
      <c r="AU1311" s="90"/>
      <c r="AV1311" s="91"/>
      <c r="AX1311" s="92"/>
    </row>
    <row r="1312" customFormat="false" ht="15.65" hidden="false" customHeight="false" outlineLevel="0" collapsed="false">
      <c r="C1312" s="72" t="n">
        <f aca="false">COUNTIFS($D$6:D1312,"&lt;&gt;"&amp;"")</f>
        <v>1307</v>
      </c>
      <c r="D1312" s="73" t="s">
        <v>12</v>
      </c>
      <c r="E1312" s="76" t="str">
        <f aca="false">
IF($D1312="정상",INDEX(임대자산!$D$3:$R$3000,MATCH($F1312,임대자산!$I$3:$I$3000,0),MATCH(E$3,임대자산!$D$3:$R$3,0)),
IF($D1312="폐업",INDEX(폐업정보!$D$3:$R$3000,MATCH($F1312,폐업정보!$I$3:$I$3000,0),MATCH(E$3,폐업정보!$D$3:$R$3,0)),
"Error"))</f>
        <v>서울</v>
      </c>
      <c r="F131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B1307</v>
      </c>
      <c r="G1312" s="76" t="str">
        <f aca="false">F1312&amp;RANDBETWEEN(0,10)</f>
        <v>B13073</v>
      </c>
      <c r="H1312" s="75" t="n">
        <f aca="false">
IF($D1312="정상",INDEX(임대자산!$D$3:$R$3000,MATCH($F1312,임대자산!$I$3:$I$3000,0),MATCH(H$4,임대자산!$D$3:$R$3,0)),
IF($D1312="폐업",INDEX(폐업정보!$D$3:$R$3000,MATCH($F1312,폐업정보!$I$3:$I$3000,0),MATCH(H$4,폐업정보!$D$3:$R$3,0)),
"Error"))</f>
        <v>45085</v>
      </c>
      <c r="I1312" s="75" t="str">
        <f aca="false">
IF($D1312="정상",INDEX(임대자산!$D$3:$R$3000,MATCH($F1312,임대자산!$I$3:$I$3000,0),MATCH(I$4,임대자산!$D$3:$R$3,0)),
IF($D1312="폐업",INDEX(폐업정보!$D$3:$R$3000,MATCH($F1312,폐업정보!$I$3:$I$3000,0),MATCH(I$4,폐업정보!$D$3:$R$3,0)),
"Error"))</f>
        <v>A1307</v>
      </c>
      <c r="J1312" s="75" t="str">
        <f aca="false">
IF($D1312="정상",INDEX(임대자산!$D$3:$R$3000,MATCH($F1312,임대자산!$I$3:$I$3000,0),MATCH(J$4,임대자산!$D$3:$R$3,0)),
IF($D1312="폐업",INDEX(폐업정보!$D$3:$R$3000,MATCH($F1312,폐업정보!$I$3:$I$3000,0),MATCH(J$4,폐업정보!$D$3:$R$3,0)),
"Error"))</f>
        <v>8818300000</v>
      </c>
      <c r="K1312" s="75" t="str">
        <f aca="false">
IF($D1312="정상",INDEX(임대자산!$D$3:$R$3000,MATCH($F1312,임대자산!$I$3:$I$3000,0),MATCH(K$4,임대자산!$D$3:$R$3,0)),
IF($D1312="폐업",INDEX(폐업정보!$D$3:$R$3000,MATCH($F1312,폐업정보!$I$3:$I$3000,0),MATCH(K$4,폐업정보!$D$3:$R$3,0)),
"Error"))</f>
        <v>C1307</v>
      </c>
      <c r="L1312" s="75" t="str">
        <f aca="false">
IF($D1312="정상",INDEX(임대자산!$D$3:$R$3000,MATCH($F1312,임대자산!$I$3:$I$3000,0),MATCH(L$4,임대자산!$D$3:$R$3,0)),
IF($D1312="폐업",INDEX(폐업정보!$D$3:$R$3000,MATCH($F1312,폐업정보!$I$3:$I$3000,0),MATCH(L$4,폐업정보!$D$3:$R$3,0)),
"Error"))</f>
        <v>D1307</v>
      </c>
      <c r="M1312" s="76" t="s">
        <v>96</v>
      </c>
      <c r="N1312" s="77"/>
      <c r="O1312" s="78" t="s">
        <v>97</v>
      </c>
      <c r="P1312" s="79" t="n">
        <f aca="false">COUNTIFS(임대자산!$I:$I,가맹점정보!F1312,임대자산!$N:$N,가맹점정보!P$4)</f>
        <v>0</v>
      </c>
      <c r="Q1312" s="80" t="n">
        <f aca="false">COUNTIFS(임대자산!$I:$I,가맹점정보!F1312,임대자산!$N:$N,가맹점정보!Q$4)</f>
        <v>0</v>
      </c>
      <c r="R1312" s="81" t="n">
        <f aca="false">COUNTIFS(임대자산!$I:$I,가맹점정보!F1312,임대자산!$N:$N,가맹점정보!R$4)</f>
        <v>1</v>
      </c>
      <c r="S1312" s="82" t="n">
        <v>88000</v>
      </c>
      <c r="T1312" s="83" t="n">
        <v>0</v>
      </c>
      <c r="U1312" s="80" t="n">
        <f aca="false">SUM(S1312:T1312)</f>
        <v>88000</v>
      </c>
      <c r="V1312" s="84" t="s">
        <v>7</v>
      </c>
      <c r="W1312" s="80" t="str">
        <f aca="true">
IF(D1312="폐업","폐업",
IF(V1312="면제","면제",
IF(AND(V1312="정상",COUNTIFS(OFFSET(Y1312,0,COUNTA(Y1312:AV1312)-1,1,-4),"미납")&gt;=3),"장기미납",
IF(AND(V1312="정상",OFFSET(Y1312,0,COUNTA(Y1312:AV1312)-1)&gt;=U1312),"정상",
IF(AND(V1312="정상",OFFSET(Y1312,0,COUNTA(Y1312:AV1312)-1)=0),"정상",
"계약서 미작성")))))</f>
        <v>면제</v>
      </c>
      <c r="X1312" s="81" t="str">
        <f aca="true">
IF(D1312="폐업","폐업",
IF(AND(V1312="정상",OFFSET(Y1312,0,COUNTA(Y1312:AV1312)-1)="미납"),"미납",
IF(AND(V1312="정상",OFFSET(Y1312,0,COUNTA(Y1312:AV1312)-1)=0),"납부 시작 전",
IF(AND(V1312="정상",OFFSET(Y1312,0,COUNTA(Y1312:AV1312)-1)&gt;=U1312),"정상",
IF(AND(V1312="면제",OFFSET(Y1312,0,COUNTA(Y1312:AV1312)-1)="면제"),"면제",
IF(AND(V1312="면제",OFFSET(Y1312,0,COUNTA(Y1312:AV1312)-1)=0),"면제",
"확인요청"))))))</f>
        <v>면제</v>
      </c>
      <c r="Y1312" s="94" t="s">
        <v>7</v>
      </c>
      <c r="Z1312" s="95" t="s">
        <v>7</v>
      </c>
      <c r="AA1312" s="95" t="s">
        <v>7</v>
      </c>
      <c r="AB1312" s="95" t="s">
        <v>7</v>
      </c>
      <c r="AC1312" s="95" t="s">
        <v>7</v>
      </c>
      <c r="AD1312" s="95" t="s">
        <v>7</v>
      </c>
      <c r="AE1312" s="95" t="s">
        <v>7</v>
      </c>
      <c r="AF1312" s="95" t="s">
        <v>7</v>
      </c>
      <c r="AG1312" s="95" t="s">
        <v>7</v>
      </c>
      <c r="AH1312" s="95" t="s">
        <v>7</v>
      </c>
      <c r="AI1312" s="95" t="s">
        <v>7</v>
      </c>
      <c r="AJ1312" s="96" t="s">
        <v>7</v>
      </c>
      <c r="AK1312" s="97" t="s">
        <v>7</v>
      </c>
      <c r="AL1312" s="95" t="s">
        <v>7</v>
      </c>
      <c r="AM1312" s="90"/>
      <c r="AN1312" s="90"/>
      <c r="AO1312" s="90"/>
      <c r="AP1312" s="90"/>
      <c r="AQ1312" s="90"/>
      <c r="AR1312" s="90"/>
      <c r="AS1312" s="90"/>
      <c r="AT1312" s="90"/>
      <c r="AU1312" s="90"/>
      <c r="AV1312" s="91"/>
      <c r="AX1312" s="92"/>
    </row>
    <row r="1313" customFormat="false" ht="15.65" hidden="false" customHeight="false" outlineLevel="0" collapsed="false">
      <c r="C1313" s="72" t="n">
        <f aca="false">COUNTIFS($D$6:D1313,"&lt;&gt;"&amp;"")</f>
        <v>1308</v>
      </c>
      <c r="D1313" s="73" t="s">
        <v>12</v>
      </c>
      <c r="E1313" s="76" t="str">
        <f aca="false">
IF($D1313="정상",INDEX(임대자산!$D$3:$R$3000,MATCH($F1313,임대자산!$I$3:$I$3000,0),MATCH(E$3,임대자산!$D$3:$R$3,0)),
IF($D1313="폐업",INDEX(폐업정보!$D$3:$R$3000,MATCH($F1313,폐업정보!$I$3:$I$3000,0),MATCH(E$3,폐업정보!$D$3:$R$3,0)),
"Error"))</f>
        <v>강원</v>
      </c>
      <c r="F131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B1308</v>
      </c>
      <c r="G1313" s="76" t="str">
        <f aca="false">F1313&amp;RANDBETWEEN(0,10)</f>
        <v>B13080</v>
      </c>
      <c r="H1313" s="75" t="n">
        <f aca="false">
IF($D1313="정상",INDEX(임대자산!$D$3:$R$3000,MATCH($F1313,임대자산!$I$3:$I$3000,0),MATCH(H$4,임대자산!$D$3:$R$3,0)),
IF($D1313="폐업",INDEX(폐업정보!$D$3:$R$3000,MATCH($F1313,폐업정보!$I$3:$I$3000,0),MATCH(H$4,폐업정보!$D$3:$R$3,0)),
"Error"))</f>
        <v>45558</v>
      </c>
      <c r="I1313" s="75" t="str">
        <f aca="false">
IF($D1313="정상",INDEX(임대자산!$D$3:$R$3000,MATCH($F1313,임대자산!$I$3:$I$3000,0),MATCH(I$4,임대자산!$D$3:$R$3,0)),
IF($D1313="폐업",INDEX(폐업정보!$D$3:$R$3000,MATCH($F1313,폐업정보!$I$3:$I$3000,0),MATCH(I$4,폐업정보!$D$3:$R$3,0)),
"Error"))</f>
        <v>A1308</v>
      </c>
      <c r="J1313" s="75" t="str">
        <f aca="false">
IF($D1313="정상",INDEX(임대자산!$D$3:$R$3000,MATCH($F1313,임대자산!$I$3:$I$3000,0),MATCH(J$4,임대자산!$D$3:$R$3,0)),
IF($D1313="폐업",INDEX(폐업정보!$D$3:$R$3000,MATCH($F1313,폐업정보!$I$3:$I$3000,0),MATCH(J$4,폐업정보!$D$3:$R$3,0)),
"Error"))</f>
        <v>8279800000</v>
      </c>
      <c r="K1313" s="75" t="str">
        <f aca="false">
IF($D1313="정상",INDEX(임대자산!$D$3:$R$3000,MATCH($F1313,임대자산!$I$3:$I$3000,0),MATCH(K$4,임대자산!$D$3:$R$3,0)),
IF($D1313="폐업",INDEX(폐업정보!$D$3:$R$3000,MATCH($F1313,폐업정보!$I$3:$I$3000,0),MATCH(K$4,폐업정보!$D$3:$R$3,0)),
"Error"))</f>
        <v>C1308</v>
      </c>
      <c r="L1313" s="75" t="str">
        <f aca="false">
IF($D1313="정상",INDEX(임대자산!$D$3:$R$3000,MATCH($F1313,임대자산!$I$3:$I$3000,0),MATCH(L$4,임대자산!$D$3:$R$3,0)),
IF($D1313="폐업",INDEX(폐업정보!$D$3:$R$3000,MATCH($F1313,폐업정보!$I$3:$I$3000,0),MATCH(L$4,폐업정보!$D$3:$R$3,0)),
"Error"))</f>
        <v>D1308</v>
      </c>
      <c r="M1313" s="76" t="s">
        <v>96</v>
      </c>
      <c r="N1313" s="77"/>
      <c r="O1313" s="78" t="s">
        <v>97</v>
      </c>
      <c r="P1313" s="79" t="n">
        <f aca="false">COUNTIFS(임대자산!$I:$I,가맹점정보!F1313,임대자산!$N:$N,가맹점정보!P$4)</f>
        <v>0</v>
      </c>
      <c r="Q1313" s="80" t="n">
        <f aca="false">COUNTIFS(임대자산!$I:$I,가맹점정보!F1313,임대자산!$N:$N,가맹점정보!Q$4)</f>
        <v>0</v>
      </c>
      <c r="R1313" s="81" t="n">
        <f aca="false">COUNTIFS(임대자산!$I:$I,가맹점정보!F1313,임대자산!$N:$N,가맹점정보!R$4)</f>
        <v>1</v>
      </c>
      <c r="S1313" s="82" t="n">
        <v>55000</v>
      </c>
      <c r="T1313" s="83" t="n">
        <v>0</v>
      </c>
      <c r="U1313" s="80" t="n">
        <f aca="false">SUM(S1313:T1313)</f>
        <v>55000</v>
      </c>
      <c r="V1313" s="84" t="s">
        <v>12</v>
      </c>
      <c r="W1313" s="80" t="e">
        <f aca="true">
IF(D1313="폐업","폐업",
IF(V1313="면제","면제",
IF(AND(V1313="정상",COUNTIFS(OFFSET(Y1313,0,COUNTA(Y1313:AV1313)-1,1,-4),"미납")&gt;=3),"장기미납",
IF(AND(V1313="정상",OFFSET(Y1313,0,COUNTA(Y1313:AV1313)-1)&gt;=U1313),"정상",
IF(AND(V1313="정상",OFFSET(Y1313,0,COUNTA(Y1313:AV1313)-1)=0),"정상",
"계약서 미작성")))))</f>
        <v>#VALUE!</v>
      </c>
      <c r="X1313" s="81" t="str">
        <f aca="true">
IF(D1313="폐업","폐업",
IF(AND(V1313="정상",OFFSET(Y1313,0,COUNTA(Y1313:AV1313)-1)="미납"),"미납",
IF(AND(V1313="정상",OFFSET(Y1313,0,COUNTA(Y1313:AV1313)-1)=0),"납부 시작 전",
IF(AND(V1313="정상",OFFSET(Y1313,0,COUNTA(Y1313:AV1313)-1)&gt;=U1313),"정상",
IF(AND(V1313="면제",OFFSET(Y1313,0,COUNTA(Y1313:AV1313)-1)="면제"),"면제",
IF(AND(V1313="면제",OFFSET(Y1313,0,COUNTA(Y1313:AV1313)-1)=0),"면제",
"확인요청"))))))</f>
        <v>정상</v>
      </c>
      <c r="Y1313" s="93" t="n">
        <v>55000</v>
      </c>
      <c r="Z1313" s="90" t="n">
        <v>55000</v>
      </c>
      <c r="AA1313" s="90" t="n">
        <v>55000</v>
      </c>
      <c r="AB1313" s="90" t="n">
        <v>55000</v>
      </c>
      <c r="AC1313" s="90" t="n">
        <v>55000</v>
      </c>
      <c r="AD1313" s="90" t="n">
        <v>55000</v>
      </c>
      <c r="AE1313" s="90" t="n">
        <v>55000</v>
      </c>
      <c r="AF1313" s="90" t="n">
        <v>55000</v>
      </c>
      <c r="AG1313" s="90" t="n">
        <v>55000</v>
      </c>
      <c r="AH1313" s="90" t="n">
        <v>55000</v>
      </c>
      <c r="AI1313" s="90" t="n">
        <v>55000</v>
      </c>
      <c r="AJ1313" s="91" t="n">
        <v>55000</v>
      </c>
      <c r="AK1313" s="89" t="n">
        <v>55000</v>
      </c>
      <c r="AL1313" s="90" t="n">
        <v>55000</v>
      </c>
      <c r="AM1313" s="90"/>
      <c r="AN1313" s="90"/>
      <c r="AO1313" s="90"/>
      <c r="AP1313" s="90"/>
      <c r="AQ1313" s="90"/>
      <c r="AR1313" s="90"/>
      <c r="AS1313" s="90"/>
      <c r="AT1313" s="90"/>
      <c r="AU1313" s="90"/>
      <c r="AV1313" s="91"/>
      <c r="AX1313" s="92"/>
    </row>
    <row r="1314" customFormat="false" ht="15.65" hidden="false" customHeight="false" outlineLevel="0" collapsed="false">
      <c r="C1314" s="72" t="n">
        <f aca="false">COUNTIFS($D$6:D1314,"&lt;&gt;"&amp;"")</f>
        <v>1309</v>
      </c>
      <c r="D1314" s="73" t="s">
        <v>12</v>
      </c>
      <c r="E1314" s="76" t="str">
        <f aca="false">
IF($D1314="정상",INDEX(임대자산!$D$3:$R$3000,MATCH($F1314,임대자산!$I$3:$I$3000,0),MATCH(E$3,임대자산!$D$3:$R$3,0)),
IF($D1314="폐업",INDEX(폐업정보!$D$3:$R$3000,MATCH($F1314,폐업정보!$I$3:$I$3000,0),MATCH(E$3,폐업정보!$D$3:$R$3,0)),
"Error"))</f>
        <v>서울</v>
      </c>
      <c r="F131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B1309</v>
      </c>
      <c r="G1314" s="76" t="str">
        <f aca="false">F1314&amp;RANDBETWEEN(0,10)</f>
        <v>B13096</v>
      </c>
      <c r="H1314" s="75" t="n">
        <f aca="false">
IF($D1314="정상",INDEX(임대자산!$D$3:$R$3000,MATCH($F1314,임대자산!$I$3:$I$3000,0),MATCH(H$4,임대자산!$D$3:$R$3,0)),
IF($D1314="폐업",INDEX(폐업정보!$D$3:$R$3000,MATCH($F1314,폐업정보!$I$3:$I$3000,0),MATCH(H$4,폐업정보!$D$3:$R$3,0)),
"Error"))</f>
        <v>45090</v>
      </c>
      <c r="I1314" s="75" t="str">
        <f aca="false">
IF($D1314="정상",INDEX(임대자산!$D$3:$R$3000,MATCH($F1314,임대자산!$I$3:$I$3000,0),MATCH(I$4,임대자산!$D$3:$R$3,0)),
IF($D1314="폐업",INDEX(폐업정보!$D$3:$R$3000,MATCH($F1314,폐업정보!$I$3:$I$3000,0),MATCH(I$4,폐업정보!$D$3:$R$3,0)),
"Error"))</f>
        <v>A1309</v>
      </c>
      <c r="J1314" s="75" t="str">
        <f aca="false">
IF($D1314="정상",INDEX(임대자산!$D$3:$R$3000,MATCH($F1314,임대자산!$I$3:$I$3000,0),MATCH(J$4,임대자산!$D$3:$R$3,0)),
IF($D1314="폐업",INDEX(폐업정보!$D$3:$R$3000,MATCH($F1314,폐업정보!$I$3:$I$3000,0),MATCH(J$4,폐업정보!$D$3:$R$3,0)),
"Error"))</f>
        <v>1857300000</v>
      </c>
      <c r="K1314" s="75" t="str">
        <f aca="false">
IF($D1314="정상",INDEX(임대자산!$D$3:$R$3000,MATCH($F1314,임대자산!$I$3:$I$3000,0),MATCH(K$4,임대자산!$D$3:$R$3,0)),
IF($D1314="폐업",INDEX(폐업정보!$D$3:$R$3000,MATCH($F1314,폐업정보!$I$3:$I$3000,0),MATCH(K$4,폐업정보!$D$3:$R$3,0)),
"Error"))</f>
        <v>C1309</v>
      </c>
      <c r="L1314" s="75" t="str">
        <f aca="false">
IF($D1314="정상",INDEX(임대자산!$D$3:$R$3000,MATCH($F1314,임대자산!$I$3:$I$3000,0),MATCH(L$4,임대자산!$D$3:$R$3,0)),
IF($D1314="폐업",INDEX(폐업정보!$D$3:$R$3000,MATCH($F1314,폐업정보!$I$3:$I$3000,0),MATCH(L$4,폐업정보!$D$3:$R$3,0)),
"Error"))</f>
        <v>D1309</v>
      </c>
      <c r="M1314" s="76" t="s">
        <v>96</v>
      </c>
      <c r="N1314" s="77"/>
      <c r="O1314" s="78" t="s">
        <v>97</v>
      </c>
      <c r="P1314" s="79" t="n">
        <f aca="false">COUNTIFS(임대자산!$I:$I,가맹점정보!F1314,임대자산!$N:$N,가맹점정보!P$4)</f>
        <v>0</v>
      </c>
      <c r="Q1314" s="80" t="n">
        <f aca="false">COUNTIFS(임대자산!$I:$I,가맹점정보!F1314,임대자산!$N:$N,가맹점정보!Q$4)</f>
        <v>0</v>
      </c>
      <c r="R1314" s="81" t="n">
        <f aca="false">COUNTIFS(임대자산!$I:$I,가맹점정보!F1314,임대자산!$N:$N,가맹점정보!R$4)</f>
        <v>1</v>
      </c>
      <c r="S1314" s="82" t="n">
        <v>88000</v>
      </c>
      <c r="T1314" s="83" t="n">
        <v>0</v>
      </c>
      <c r="U1314" s="80" t="n">
        <f aca="false">SUM(S1314:T1314)</f>
        <v>88000</v>
      </c>
      <c r="V1314" s="84" t="s">
        <v>7</v>
      </c>
      <c r="W1314" s="80" t="str">
        <f aca="true">
IF(D1314="폐업","폐업",
IF(V1314="면제","면제",
IF(AND(V1314="정상",COUNTIFS(OFFSET(Y1314,0,COUNTA(Y1314:AV1314)-1,1,-4),"미납")&gt;=3),"장기미납",
IF(AND(V1314="정상",OFFSET(Y1314,0,COUNTA(Y1314:AV1314)-1)&gt;=U1314),"정상",
IF(AND(V1314="정상",OFFSET(Y1314,0,COUNTA(Y1314:AV1314)-1)=0),"정상",
"계약서 미작성")))))</f>
        <v>면제</v>
      </c>
      <c r="X1314" s="81" t="str">
        <f aca="true">
IF(D1314="폐업","폐업",
IF(AND(V1314="정상",OFFSET(Y1314,0,COUNTA(Y1314:AV1314)-1)="미납"),"미납",
IF(AND(V1314="정상",OFFSET(Y1314,0,COUNTA(Y1314:AV1314)-1)=0),"납부 시작 전",
IF(AND(V1314="정상",OFFSET(Y1314,0,COUNTA(Y1314:AV1314)-1)&gt;=U1314),"정상",
IF(AND(V1314="면제",OFFSET(Y1314,0,COUNTA(Y1314:AV1314)-1)="면제"),"면제",
IF(AND(V1314="면제",OFFSET(Y1314,0,COUNTA(Y1314:AV1314)-1)=0),"면제",
"확인요청"))))))</f>
        <v>면제</v>
      </c>
      <c r="Y1314" s="94" t="s">
        <v>7</v>
      </c>
      <c r="Z1314" s="95" t="s">
        <v>7</v>
      </c>
      <c r="AA1314" s="95" t="s">
        <v>7</v>
      </c>
      <c r="AB1314" s="95" t="s">
        <v>7</v>
      </c>
      <c r="AC1314" s="95" t="s">
        <v>7</v>
      </c>
      <c r="AD1314" s="95" t="s">
        <v>7</v>
      </c>
      <c r="AE1314" s="95" t="s">
        <v>7</v>
      </c>
      <c r="AF1314" s="95" t="s">
        <v>7</v>
      </c>
      <c r="AG1314" s="95" t="s">
        <v>7</v>
      </c>
      <c r="AH1314" s="95" t="s">
        <v>7</v>
      </c>
      <c r="AI1314" s="95" t="s">
        <v>7</v>
      </c>
      <c r="AJ1314" s="96" t="s">
        <v>7</v>
      </c>
      <c r="AK1314" s="97" t="s">
        <v>7</v>
      </c>
      <c r="AL1314" s="95" t="s">
        <v>7</v>
      </c>
      <c r="AM1314" s="90"/>
      <c r="AN1314" s="90"/>
      <c r="AO1314" s="90"/>
      <c r="AP1314" s="90"/>
      <c r="AQ1314" s="90"/>
      <c r="AR1314" s="90"/>
      <c r="AS1314" s="90"/>
      <c r="AT1314" s="90"/>
      <c r="AU1314" s="90"/>
      <c r="AV1314" s="91"/>
      <c r="AX1314" s="92"/>
    </row>
    <row r="1315" customFormat="false" ht="15.65" hidden="false" customHeight="false" outlineLevel="0" collapsed="false">
      <c r="C1315" s="72" t="n">
        <f aca="false">COUNTIFS($D$6:D1315,"&lt;&gt;"&amp;"")</f>
        <v>1310</v>
      </c>
      <c r="D1315" s="73" t="s">
        <v>12</v>
      </c>
      <c r="E1315" s="76" t="str">
        <f aca="false">
IF($D1315="정상",INDEX(임대자산!$D$3:$R$3000,MATCH($F1315,임대자산!$I$3:$I$3000,0),MATCH(E$3,임대자산!$D$3:$R$3,0)),
IF($D1315="폐업",INDEX(폐업정보!$D$3:$R$3000,MATCH($F1315,폐업정보!$I$3:$I$3000,0),MATCH(E$3,폐업정보!$D$3:$R$3,0)),
"Error"))</f>
        <v>서울</v>
      </c>
      <c r="F131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B1310</v>
      </c>
      <c r="G1315" s="76" t="str">
        <f aca="false">F1315&amp;RANDBETWEEN(0,10)</f>
        <v>B13103</v>
      </c>
      <c r="H1315" s="75" t="n">
        <f aca="false">
IF($D1315="정상",INDEX(임대자산!$D$3:$R$3000,MATCH($F1315,임대자산!$I$3:$I$3000,0),MATCH(H$4,임대자산!$D$3:$R$3,0)),
IF($D1315="폐업",INDEX(폐업정보!$D$3:$R$3000,MATCH($F1315,폐업정보!$I$3:$I$3000,0),MATCH(H$4,폐업정보!$D$3:$R$3,0)),
"Error"))</f>
        <v>45657</v>
      </c>
      <c r="I1315" s="75" t="str">
        <f aca="false">
IF($D1315="정상",INDEX(임대자산!$D$3:$R$3000,MATCH($F1315,임대자산!$I$3:$I$3000,0),MATCH(I$4,임대자산!$D$3:$R$3,0)),
IF($D1315="폐업",INDEX(폐업정보!$D$3:$R$3000,MATCH($F1315,폐업정보!$I$3:$I$3000,0),MATCH(I$4,폐업정보!$D$3:$R$3,0)),
"Error"))</f>
        <v>A1310</v>
      </c>
      <c r="J1315" s="75" t="str">
        <f aca="false">
IF($D1315="정상",INDEX(임대자산!$D$3:$R$3000,MATCH($F1315,임대자산!$I$3:$I$3000,0),MATCH(J$4,임대자산!$D$3:$R$3,0)),
IF($D1315="폐업",INDEX(폐업정보!$D$3:$R$3000,MATCH($F1315,폐업정보!$I$3:$I$3000,0),MATCH(J$4,폐업정보!$D$3:$R$3,0)),
"Error"))</f>
        <v>6696900000</v>
      </c>
      <c r="K1315" s="75" t="str">
        <f aca="false">
IF($D1315="정상",INDEX(임대자산!$D$3:$R$3000,MATCH($F1315,임대자산!$I$3:$I$3000,0),MATCH(K$4,임대자산!$D$3:$R$3,0)),
IF($D1315="폐업",INDEX(폐업정보!$D$3:$R$3000,MATCH($F1315,폐업정보!$I$3:$I$3000,0),MATCH(K$4,폐업정보!$D$3:$R$3,0)),
"Error"))</f>
        <v>C1310</v>
      </c>
      <c r="L1315" s="75" t="str">
        <f aca="false">
IF($D1315="정상",INDEX(임대자산!$D$3:$R$3000,MATCH($F1315,임대자산!$I$3:$I$3000,0),MATCH(L$4,임대자산!$D$3:$R$3,0)),
IF($D1315="폐업",INDEX(폐업정보!$D$3:$R$3000,MATCH($F1315,폐업정보!$I$3:$I$3000,0),MATCH(L$4,폐업정보!$D$3:$R$3,0)),
"Error"))</f>
        <v>D1310</v>
      </c>
      <c r="M1315" s="76" t="s">
        <v>96</v>
      </c>
      <c r="N1315" s="77"/>
      <c r="O1315" s="78" t="s">
        <v>97</v>
      </c>
      <c r="P1315" s="79" t="n">
        <f aca="false">COUNTIFS(임대자산!$I:$I,가맹점정보!F1315,임대자산!$N:$N,가맹점정보!P$4)</f>
        <v>0</v>
      </c>
      <c r="Q1315" s="80" t="n">
        <f aca="false">COUNTIFS(임대자산!$I:$I,가맹점정보!F1315,임대자산!$N:$N,가맹점정보!Q$4)</f>
        <v>0</v>
      </c>
      <c r="R1315" s="81" t="n">
        <f aca="false">COUNTIFS(임대자산!$I:$I,가맹점정보!F1315,임대자산!$N:$N,가맹점정보!R$4)</f>
        <v>1</v>
      </c>
      <c r="S1315" s="82" t="n">
        <v>55000</v>
      </c>
      <c r="T1315" s="83" t="n">
        <v>0</v>
      </c>
      <c r="U1315" s="80" t="n">
        <f aca="false">SUM(S1315:T1315)</f>
        <v>55000</v>
      </c>
      <c r="V1315" s="84" t="s">
        <v>12</v>
      </c>
      <c r="W1315" s="80" t="e">
        <f aca="true">
IF(D1315="폐업","폐업",
IF(V1315="면제","면제",
IF(AND(V1315="정상",COUNTIFS(OFFSET(Y1315,0,COUNTA(Y1315:AV1315)-1,1,-4),"미납")&gt;=3),"장기미납",
IF(AND(V1315="정상",OFFSET(Y1315,0,COUNTA(Y1315:AV1315)-1)&gt;=U1315),"정상",
IF(AND(V1315="정상",OFFSET(Y1315,0,COUNTA(Y1315:AV1315)-1)=0),"정상",
"계약서 미작성")))))</f>
        <v>#VALUE!</v>
      </c>
      <c r="X1315" s="81" t="str">
        <f aca="true">
IF(D1315="폐업","폐업",
IF(AND(V1315="정상",OFFSET(Y1315,0,COUNTA(Y1315:AV1315)-1)="미납"),"미납",
IF(AND(V1315="정상",OFFSET(Y1315,0,COUNTA(Y1315:AV1315)-1)=0),"납부 시작 전",
IF(AND(V1315="정상",OFFSET(Y1315,0,COUNTA(Y1315:AV1315)-1)&gt;=U1315),"정상",
IF(AND(V1315="면제",OFFSET(Y1315,0,COUNTA(Y1315:AV1315)-1)="면제"),"면제",
IF(AND(V1315="면제",OFFSET(Y1315,0,COUNTA(Y1315:AV1315)-1)=0),"면제",
"확인요청"))))))</f>
        <v>정상</v>
      </c>
      <c r="Y1315" s="93" t="n">
        <v>55000</v>
      </c>
      <c r="Z1315" s="90" t="n">
        <v>55000</v>
      </c>
      <c r="AA1315" s="90" t="n">
        <v>55000</v>
      </c>
      <c r="AB1315" s="90" t="n">
        <v>55000</v>
      </c>
      <c r="AC1315" s="90" t="n">
        <v>55000</v>
      </c>
      <c r="AD1315" s="90" t="n">
        <v>55000</v>
      </c>
      <c r="AE1315" s="90" t="n">
        <v>55000</v>
      </c>
      <c r="AF1315" s="90" t="n">
        <v>55000</v>
      </c>
      <c r="AG1315" s="90" t="n">
        <v>55000</v>
      </c>
      <c r="AH1315" s="90" t="n">
        <v>55000</v>
      </c>
      <c r="AI1315" s="90" t="n">
        <v>55000</v>
      </c>
      <c r="AJ1315" s="91" t="n">
        <v>55000</v>
      </c>
      <c r="AK1315" s="89" t="n">
        <v>55000</v>
      </c>
      <c r="AL1315" s="90" t="n">
        <v>55000</v>
      </c>
      <c r="AM1315" s="90"/>
      <c r="AN1315" s="90"/>
      <c r="AO1315" s="90"/>
      <c r="AP1315" s="90"/>
      <c r="AQ1315" s="90"/>
      <c r="AR1315" s="90"/>
      <c r="AS1315" s="90"/>
      <c r="AT1315" s="90"/>
      <c r="AU1315" s="90"/>
      <c r="AV1315" s="91"/>
      <c r="AX1315" s="92"/>
    </row>
    <row r="1316" customFormat="false" ht="15.65" hidden="false" customHeight="false" outlineLevel="0" collapsed="false">
      <c r="C1316" s="72" t="n">
        <f aca="false">COUNTIFS($D$6:D1316,"&lt;&gt;"&amp;"")</f>
        <v>1311</v>
      </c>
      <c r="D1316" s="73" t="s">
        <v>12</v>
      </c>
      <c r="E1316" s="76" t="str">
        <f aca="false">
IF($D1316="정상",INDEX(임대자산!$D$3:$R$3000,MATCH($F1316,임대자산!$I$3:$I$3000,0),MATCH(E$3,임대자산!$D$3:$R$3,0)),
IF($D1316="폐업",INDEX(폐업정보!$D$3:$R$3000,MATCH($F1316,폐업정보!$I$3:$I$3000,0),MATCH(E$3,폐업정보!$D$3:$R$3,0)),
"Error"))</f>
        <v>서울</v>
      </c>
      <c r="F131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B1311</v>
      </c>
      <c r="G1316" s="76" t="str">
        <f aca="false">F1316&amp;RANDBETWEEN(0,10)</f>
        <v>B13110</v>
      </c>
      <c r="H1316" s="75" t="n">
        <f aca="false">
IF($D1316="정상",INDEX(임대자산!$D$3:$R$3000,MATCH($F1316,임대자산!$I$3:$I$3000,0),MATCH(H$4,임대자산!$D$3:$R$3,0)),
IF($D1316="폐업",INDEX(폐업정보!$D$3:$R$3000,MATCH($F1316,폐업정보!$I$3:$I$3000,0),MATCH(H$4,폐업정보!$D$3:$R$3,0)),
"Error"))</f>
        <v>45644</v>
      </c>
      <c r="I1316" s="75" t="str">
        <f aca="false">
IF($D1316="정상",INDEX(임대자산!$D$3:$R$3000,MATCH($F1316,임대자산!$I$3:$I$3000,0),MATCH(I$4,임대자산!$D$3:$R$3,0)),
IF($D1316="폐업",INDEX(폐업정보!$D$3:$R$3000,MATCH($F1316,폐업정보!$I$3:$I$3000,0),MATCH(I$4,폐업정보!$D$3:$R$3,0)),
"Error"))</f>
        <v>A1311</v>
      </c>
      <c r="J1316" s="75" t="str">
        <f aca="false">
IF($D1316="정상",INDEX(임대자산!$D$3:$R$3000,MATCH($F1316,임대자산!$I$3:$I$3000,0),MATCH(J$4,임대자산!$D$3:$R$3,0)),
IF($D1316="폐업",INDEX(폐업정보!$D$3:$R$3000,MATCH($F1316,폐업정보!$I$3:$I$3000,0),MATCH(J$4,폐업정보!$D$3:$R$3,0)),
"Error"))</f>
        <v>8781700000</v>
      </c>
      <c r="K1316" s="75" t="str">
        <f aca="false">
IF($D1316="정상",INDEX(임대자산!$D$3:$R$3000,MATCH($F1316,임대자산!$I$3:$I$3000,0),MATCH(K$4,임대자산!$D$3:$R$3,0)),
IF($D1316="폐업",INDEX(폐업정보!$D$3:$R$3000,MATCH($F1316,폐업정보!$I$3:$I$3000,0),MATCH(K$4,폐업정보!$D$3:$R$3,0)),
"Error"))</f>
        <v>C1311</v>
      </c>
      <c r="L1316" s="75" t="str">
        <f aca="false">
IF($D1316="정상",INDEX(임대자산!$D$3:$R$3000,MATCH($F1316,임대자산!$I$3:$I$3000,0),MATCH(L$4,임대자산!$D$3:$R$3,0)),
IF($D1316="폐업",INDEX(폐업정보!$D$3:$R$3000,MATCH($F1316,폐업정보!$I$3:$I$3000,0),MATCH(L$4,폐업정보!$D$3:$R$3,0)),
"Error"))</f>
        <v>D1311</v>
      </c>
      <c r="M1316" s="76" t="s">
        <v>96</v>
      </c>
      <c r="N1316" s="77"/>
      <c r="O1316" s="78" t="s">
        <v>97</v>
      </c>
      <c r="P1316" s="79" t="n">
        <f aca="false">COUNTIFS(임대자산!$I:$I,가맹점정보!F1316,임대자산!$N:$N,가맹점정보!P$4)</f>
        <v>0</v>
      </c>
      <c r="Q1316" s="80" t="n">
        <f aca="false">COUNTIFS(임대자산!$I:$I,가맹점정보!F1316,임대자산!$N:$N,가맹점정보!Q$4)</f>
        <v>0</v>
      </c>
      <c r="R1316" s="81" t="n">
        <f aca="false">COUNTIFS(임대자산!$I:$I,가맹점정보!F1316,임대자산!$N:$N,가맹점정보!R$4)</f>
        <v>1</v>
      </c>
      <c r="S1316" s="82" t="n">
        <v>88000</v>
      </c>
      <c r="T1316" s="83" t="n">
        <v>0</v>
      </c>
      <c r="U1316" s="80" t="n">
        <f aca="false">SUM(S1316:T1316)</f>
        <v>88000</v>
      </c>
      <c r="V1316" s="84" t="s">
        <v>7</v>
      </c>
      <c r="W1316" s="80" t="str">
        <f aca="true">
IF(D1316="폐업","폐업",
IF(V1316="면제","면제",
IF(AND(V1316="정상",COUNTIFS(OFFSET(Y1316,0,COUNTA(Y1316:AV1316)-1,1,-4),"미납")&gt;=3),"장기미납",
IF(AND(V1316="정상",OFFSET(Y1316,0,COUNTA(Y1316:AV1316)-1)&gt;=U1316),"정상",
IF(AND(V1316="정상",OFFSET(Y1316,0,COUNTA(Y1316:AV1316)-1)=0),"정상",
"계약서 미작성")))))</f>
        <v>면제</v>
      </c>
      <c r="X1316" s="81" t="str">
        <f aca="true">
IF(D1316="폐업","폐업",
IF(AND(V1316="정상",OFFSET(Y1316,0,COUNTA(Y1316:AV1316)-1)="미납"),"미납",
IF(AND(V1316="정상",OFFSET(Y1316,0,COUNTA(Y1316:AV1316)-1)=0),"납부 시작 전",
IF(AND(V1316="정상",OFFSET(Y1316,0,COUNTA(Y1316:AV1316)-1)&gt;=U1316),"정상",
IF(AND(V1316="면제",OFFSET(Y1316,0,COUNTA(Y1316:AV1316)-1)="면제"),"면제",
IF(AND(V1316="면제",OFFSET(Y1316,0,COUNTA(Y1316:AV1316)-1)=0),"면제",
"확인요청"))))))</f>
        <v>면제</v>
      </c>
      <c r="Y1316" s="94" t="s">
        <v>7</v>
      </c>
      <c r="Z1316" s="95" t="s">
        <v>7</v>
      </c>
      <c r="AA1316" s="95" t="s">
        <v>7</v>
      </c>
      <c r="AB1316" s="95" t="s">
        <v>7</v>
      </c>
      <c r="AC1316" s="95" t="s">
        <v>7</v>
      </c>
      <c r="AD1316" s="95" t="s">
        <v>7</v>
      </c>
      <c r="AE1316" s="95" t="s">
        <v>7</v>
      </c>
      <c r="AF1316" s="95" t="s">
        <v>7</v>
      </c>
      <c r="AG1316" s="95" t="s">
        <v>7</v>
      </c>
      <c r="AH1316" s="95" t="s">
        <v>7</v>
      </c>
      <c r="AI1316" s="95" t="s">
        <v>7</v>
      </c>
      <c r="AJ1316" s="96" t="s">
        <v>7</v>
      </c>
      <c r="AK1316" s="97" t="s">
        <v>7</v>
      </c>
      <c r="AL1316" s="95" t="s">
        <v>7</v>
      </c>
      <c r="AM1316" s="90"/>
      <c r="AN1316" s="90"/>
      <c r="AO1316" s="90"/>
      <c r="AP1316" s="90"/>
      <c r="AQ1316" s="90"/>
      <c r="AR1316" s="90"/>
      <c r="AS1316" s="90"/>
      <c r="AT1316" s="90"/>
      <c r="AU1316" s="90"/>
      <c r="AV1316" s="91"/>
      <c r="AX1316" s="92"/>
    </row>
    <row r="1317" customFormat="false" ht="15.65" hidden="false" customHeight="false" outlineLevel="0" collapsed="false">
      <c r="C1317" s="72" t="n">
        <f aca="false">COUNTIFS($D$6:D1317,"&lt;&gt;"&amp;"")</f>
        <v>1312</v>
      </c>
      <c r="D1317" s="73" t="s">
        <v>12</v>
      </c>
      <c r="E1317" s="76" t="str">
        <f aca="false">
IF($D1317="정상",INDEX(임대자산!$D$3:$R$3000,MATCH($F1317,임대자산!$I$3:$I$3000,0),MATCH(E$3,임대자산!$D$3:$R$3,0)),
IF($D1317="폐업",INDEX(폐업정보!$D$3:$R$3000,MATCH($F1317,폐업정보!$I$3:$I$3000,0),MATCH(E$3,폐업정보!$D$3:$R$3,0)),
"Error"))</f>
        <v>서울</v>
      </c>
      <c r="F131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B1312</v>
      </c>
      <c r="G1317" s="76" t="str">
        <f aca="false">F1317&amp;RANDBETWEEN(0,10)</f>
        <v>B13127</v>
      </c>
      <c r="H1317" s="75" t="n">
        <f aca="false">
IF($D1317="정상",INDEX(임대자산!$D$3:$R$3000,MATCH($F1317,임대자산!$I$3:$I$3000,0),MATCH(H$4,임대자산!$D$3:$R$3,0)),
IF($D1317="폐업",INDEX(폐업정보!$D$3:$R$3000,MATCH($F1317,폐업정보!$I$3:$I$3000,0),MATCH(H$4,폐업정보!$D$3:$R$3,0)),
"Error"))</f>
        <v>45981</v>
      </c>
      <c r="I1317" s="75" t="str">
        <f aca="false">
IF($D1317="정상",INDEX(임대자산!$D$3:$R$3000,MATCH($F1317,임대자산!$I$3:$I$3000,0),MATCH(I$4,임대자산!$D$3:$R$3,0)),
IF($D1317="폐업",INDEX(폐업정보!$D$3:$R$3000,MATCH($F1317,폐업정보!$I$3:$I$3000,0),MATCH(I$4,폐업정보!$D$3:$R$3,0)),
"Error"))</f>
        <v>A1312</v>
      </c>
      <c r="J1317" s="75" t="str">
        <f aca="false">
IF($D1317="정상",INDEX(임대자산!$D$3:$R$3000,MATCH($F1317,임대자산!$I$3:$I$3000,0),MATCH(J$4,임대자산!$D$3:$R$3,0)),
IF($D1317="폐업",INDEX(폐업정보!$D$3:$R$3000,MATCH($F1317,폐업정보!$I$3:$I$3000,0),MATCH(J$4,폐업정보!$D$3:$R$3,0)),
"Error"))</f>
        <v>2348100000</v>
      </c>
      <c r="K1317" s="75" t="str">
        <f aca="false">
IF($D1317="정상",INDEX(임대자산!$D$3:$R$3000,MATCH($F1317,임대자산!$I$3:$I$3000,0),MATCH(K$4,임대자산!$D$3:$R$3,0)),
IF($D1317="폐업",INDEX(폐업정보!$D$3:$R$3000,MATCH($F1317,폐업정보!$I$3:$I$3000,0),MATCH(K$4,폐업정보!$D$3:$R$3,0)),
"Error"))</f>
        <v>C1312</v>
      </c>
      <c r="L1317" s="75" t="str">
        <f aca="false">
IF($D1317="정상",INDEX(임대자산!$D$3:$R$3000,MATCH($F1317,임대자산!$I$3:$I$3000,0),MATCH(L$4,임대자산!$D$3:$R$3,0)),
IF($D1317="폐업",INDEX(폐업정보!$D$3:$R$3000,MATCH($F1317,폐업정보!$I$3:$I$3000,0),MATCH(L$4,폐업정보!$D$3:$R$3,0)),
"Error"))</f>
        <v>D1312</v>
      </c>
      <c r="M1317" s="76" t="s">
        <v>96</v>
      </c>
      <c r="N1317" s="77"/>
      <c r="O1317" s="78" t="s">
        <v>97</v>
      </c>
      <c r="P1317" s="79" t="n">
        <f aca="false">COUNTIFS(임대자산!$I:$I,가맹점정보!F1317,임대자산!$N:$N,가맹점정보!P$4)</f>
        <v>0</v>
      </c>
      <c r="Q1317" s="80" t="n">
        <f aca="false">COUNTIFS(임대자산!$I:$I,가맹점정보!F1317,임대자산!$N:$N,가맹점정보!Q$4)</f>
        <v>0</v>
      </c>
      <c r="R1317" s="81" t="n">
        <f aca="false">COUNTIFS(임대자산!$I:$I,가맹점정보!F1317,임대자산!$N:$N,가맹점정보!R$4)</f>
        <v>1</v>
      </c>
      <c r="S1317" s="82" t="n">
        <v>88000</v>
      </c>
      <c r="T1317" s="83" t="n">
        <v>0</v>
      </c>
      <c r="U1317" s="80" t="n">
        <f aca="false">SUM(S1317:T1317)</f>
        <v>88000</v>
      </c>
      <c r="V1317" s="84" t="s">
        <v>7</v>
      </c>
      <c r="W1317" s="80" t="str">
        <f aca="true">
IF(D1317="폐업","폐업",
IF(V1317="면제","면제",
IF(AND(V1317="정상",COUNTIFS(OFFSET(Y1317,0,COUNTA(Y1317:AV1317)-1,1,-4),"미납")&gt;=3),"장기미납",
IF(AND(V1317="정상",OFFSET(Y1317,0,COUNTA(Y1317:AV1317)-1)&gt;=U1317),"정상",
IF(AND(V1317="정상",OFFSET(Y1317,0,COUNTA(Y1317:AV1317)-1)=0),"정상",
"계약서 미작성")))))</f>
        <v>면제</v>
      </c>
      <c r="X1317" s="81" t="str">
        <f aca="true">
IF(D1317="폐업","폐업",
IF(AND(V1317="정상",OFFSET(Y1317,0,COUNTA(Y1317:AV1317)-1)="미납"),"미납",
IF(AND(V1317="정상",OFFSET(Y1317,0,COUNTA(Y1317:AV1317)-1)=0),"납부 시작 전",
IF(AND(V1317="정상",OFFSET(Y1317,0,COUNTA(Y1317:AV1317)-1)&gt;=U1317),"정상",
IF(AND(V1317="면제",OFFSET(Y1317,0,COUNTA(Y1317:AV1317)-1)="면제"),"면제",
IF(AND(V1317="면제",OFFSET(Y1317,0,COUNTA(Y1317:AV1317)-1)=0),"면제",
"확인요청"))))))</f>
        <v>면제</v>
      </c>
      <c r="Y1317" s="94" t="s">
        <v>7</v>
      </c>
      <c r="Z1317" s="95" t="s">
        <v>7</v>
      </c>
      <c r="AA1317" s="95" t="s">
        <v>7</v>
      </c>
      <c r="AB1317" s="95" t="s">
        <v>7</v>
      </c>
      <c r="AC1317" s="95" t="s">
        <v>7</v>
      </c>
      <c r="AD1317" s="95" t="s">
        <v>7</v>
      </c>
      <c r="AE1317" s="95" t="s">
        <v>7</v>
      </c>
      <c r="AF1317" s="95" t="s">
        <v>7</v>
      </c>
      <c r="AG1317" s="95" t="s">
        <v>7</v>
      </c>
      <c r="AH1317" s="95" t="s">
        <v>7</v>
      </c>
      <c r="AI1317" s="95" t="s">
        <v>7</v>
      </c>
      <c r="AJ1317" s="96" t="s">
        <v>7</v>
      </c>
      <c r="AK1317" s="97" t="s">
        <v>7</v>
      </c>
      <c r="AL1317" s="95" t="s">
        <v>7</v>
      </c>
      <c r="AM1317" s="90"/>
      <c r="AN1317" s="90"/>
      <c r="AO1317" s="90"/>
      <c r="AP1317" s="90"/>
      <c r="AQ1317" s="90"/>
      <c r="AR1317" s="90"/>
      <c r="AS1317" s="90"/>
      <c r="AT1317" s="90"/>
      <c r="AU1317" s="90"/>
      <c r="AV1317" s="91"/>
      <c r="AX1317" s="92"/>
    </row>
    <row r="1318" customFormat="false" ht="15.65" hidden="false" customHeight="false" outlineLevel="0" collapsed="false">
      <c r="C1318" s="72" t="n">
        <f aca="false">COUNTIFS($D$6:D1318,"&lt;&gt;"&amp;"")</f>
        <v>1313</v>
      </c>
      <c r="D1318" s="73" t="s">
        <v>12</v>
      </c>
      <c r="E1318" s="76" t="str">
        <f aca="false">
IF($D1318="정상",INDEX(임대자산!$D$3:$R$3000,MATCH($F1318,임대자산!$I$3:$I$3000,0),MATCH(E$3,임대자산!$D$3:$R$3,0)),
IF($D1318="폐업",INDEX(폐업정보!$D$3:$R$3000,MATCH($F1318,폐업정보!$I$3:$I$3000,0),MATCH(E$3,폐업정보!$D$3:$R$3,0)),
"Error"))</f>
        <v>서울</v>
      </c>
      <c r="F131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B1313</v>
      </c>
      <c r="G1318" s="76" t="str">
        <f aca="false">F1318&amp;RANDBETWEEN(0,10)</f>
        <v>B13131</v>
      </c>
      <c r="H1318" s="75" t="n">
        <f aca="false">
IF($D1318="정상",INDEX(임대자산!$D$3:$R$3000,MATCH($F1318,임대자산!$I$3:$I$3000,0),MATCH(H$4,임대자산!$D$3:$R$3,0)),
IF($D1318="폐업",INDEX(폐업정보!$D$3:$R$3000,MATCH($F1318,폐업정보!$I$3:$I$3000,0),MATCH(H$4,폐업정보!$D$3:$R$3,0)),
"Error"))</f>
        <v>45803</v>
      </c>
      <c r="I1318" s="75" t="str">
        <f aca="false">
IF($D1318="정상",INDEX(임대자산!$D$3:$R$3000,MATCH($F1318,임대자산!$I$3:$I$3000,0),MATCH(I$4,임대자산!$D$3:$R$3,0)),
IF($D1318="폐업",INDEX(폐업정보!$D$3:$R$3000,MATCH($F1318,폐업정보!$I$3:$I$3000,0),MATCH(I$4,폐업정보!$D$3:$R$3,0)),
"Error"))</f>
        <v>A1313</v>
      </c>
      <c r="J1318" s="75" t="str">
        <f aca="false">
IF($D1318="정상",INDEX(임대자산!$D$3:$R$3000,MATCH($F1318,임대자산!$I$3:$I$3000,0),MATCH(J$4,임대자산!$D$3:$R$3,0)),
IF($D1318="폐업",INDEX(폐업정보!$D$3:$R$3000,MATCH($F1318,폐업정보!$I$3:$I$3000,0),MATCH(J$4,폐업정보!$D$3:$R$3,0)),
"Error"))</f>
        <v>5326900000</v>
      </c>
      <c r="K1318" s="75" t="str">
        <f aca="false">
IF($D1318="정상",INDEX(임대자산!$D$3:$R$3000,MATCH($F1318,임대자산!$I$3:$I$3000,0),MATCH(K$4,임대자산!$D$3:$R$3,0)),
IF($D1318="폐업",INDEX(폐업정보!$D$3:$R$3000,MATCH($F1318,폐업정보!$I$3:$I$3000,0),MATCH(K$4,폐업정보!$D$3:$R$3,0)),
"Error"))</f>
        <v>C1313</v>
      </c>
      <c r="L1318" s="75" t="str">
        <f aca="false">
IF($D1318="정상",INDEX(임대자산!$D$3:$R$3000,MATCH($F1318,임대자산!$I$3:$I$3000,0),MATCH(L$4,임대자산!$D$3:$R$3,0)),
IF($D1318="폐업",INDEX(폐업정보!$D$3:$R$3000,MATCH($F1318,폐업정보!$I$3:$I$3000,0),MATCH(L$4,폐업정보!$D$3:$R$3,0)),
"Error"))</f>
        <v>D1313</v>
      </c>
      <c r="M1318" s="76" t="s">
        <v>96</v>
      </c>
      <c r="N1318" s="77"/>
      <c r="O1318" s="78" t="s">
        <v>97</v>
      </c>
      <c r="P1318" s="79" t="n">
        <f aca="false">COUNTIFS(임대자산!$I:$I,가맹점정보!F1318,임대자산!$N:$N,가맹점정보!P$4)</f>
        <v>0</v>
      </c>
      <c r="Q1318" s="80" t="n">
        <f aca="false">COUNTIFS(임대자산!$I:$I,가맹점정보!F1318,임대자산!$N:$N,가맹점정보!Q$4)</f>
        <v>0</v>
      </c>
      <c r="R1318" s="81" t="n">
        <f aca="false">COUNTIFS(임대자산!$I:$I,가맹점정보!F1318,임대자산!$N:$N,가맹점정보!R$4)</f>
        <v>1</v>
      </c>
      <c r="S1318" s="82" t="n">
        <v>55000</v>
      </c>
      <c r="T1318" s="83" t="n">
        <v>0</v>
      </c>
      <c r="U1318" s="80" t="n">
        <f aca="false">SUM(S1318:T1318)</f>
        <v>55000</v>
      </c>
      <c r="V1318" s="84" t="s">
        <v>7</v>
      </c>
      <c r="W1318" s="80" t="str">
        <f aca="true">
IF(D1318="폐업","폐업",
IF(V1318="면제","면제",
IF(AND(V1318="정상",COUNTIFS(OFFSET(Y1318,0,COUNTA(Y1318:AV1318)-1,1,-4),"미납")&gt;=3),"장기미납",
IF(AND(V1318="정상",OFFSET(Y1318,0,COUNTA(Y1318:AV1318)-1)&gt;=U1318),"정상",
IF(AND(V1318="정상",OFFSET(Y1318,0,COUNTA(Y1318:AV1318)-1)=0),"정상",
"계약서 미작성")))))</f>
        <v>면제</v>
      </c>
      <c r="X1318" s="81" t="str">
        <f aca="true">
IF(D1318="폐업","폐업",
IF(AND(V1318="정상",OFFSET(Y1318,0,COUNTA(Y1318:AV1318)-1)="미납"),"미납",
IF(AND(V1318="정상",OFFSET(Y1318,0,COUNTA(Y1318:AV1318)-1)=0),"납부 시작 전",
IF(AND(V1318="정상",OFFSET(Y1318,0,COUNTA(Y1318:AV1318)-1)&gt;=U1318),"정상",
IF(AND(V1318="면제",OFFSET(Y1318,0,COUNTA(Y1318:AV1318)-1)="면제"),"면제",
IF(AND(V1318="면제",OFFSET(Y1318,0,COUNTA(Y1318:AV1318)-1)=0),"면제",
"확인요청"))))))</f>
        <v>면제</v>
      </c>
      <c r="Y1318" s="94" t="s">
        <v>7</v>
      </c>
      <c r="Z1318" s="95" t="s">
        <v>7</v>
      </c>
      <c r="AA1318" s="95" t="s">
        <v>7</v>
      </c>
      <c r="AB1318" s="95" t="s">
        <v>7</v>
      </c>
      <c r="AC1318" s="95" t="s">
        <v>7</v>
      </c>
      <c r="AD1318" s="95" t="s">
        <v>7</v>
      </c>
      <c r="AE1318" s="95" t="s">
        <v>7</v>
      </c>
      <c r="AF1318" s="95" t="s">
        <v>7</v>
      </c>
      <c r="AG1318" s="95" t="s">
        <v>7</v>
      </c>
      <c r="AH1318" s="95" t="s">
        <v>7</v>
      </c>
      <c r="AI1318" s="95" t="s">
        <v>7</v>
      </c>
      <c r="AJ1318" s="96" t="s">
        <v>7</v>
      </c>
      <c r="AK1318" s="97" t="s">
        <v>7</v>
      </c>
      <c r="AL1318" s="95" t="s">
        <v>7</v>
      </c>
      <c r="AM1318" s="90"/>
      <c r="AN1318" s="90"/>
      <c r="AO1318" s="90"/>
      <c r="AP1318" s="90"/>
      <c r="AQ1318" s="90"/>
      <c r="AR1318" s="90"/>
      <c r="AS1318" s="90"/>
      <c r="AT1318" s="90"/>
      <c r="AU1318" s="90"/>
      <c r="AV1318" s="91"/>
      <c r="AX1318" s="92"/>
    </row>
    <row r="1319" customFormat="false" ht="15.65" hidden="false" customHeight="false" outlineLevel="0" collapsed="false">
      <c r="C1319" s="72" t="n">
        <f aca="false">COUNTIFS($D$6:D1319,"&lt;&gt;"&amp;"")</f>
        <v>1314</v>
      </c>
      <c r="D1319" s="73" t="s">
        <v>12</v>
      </c>
      <c r="E1319" s="76" t="str">
        <f aca="false">
IF($D1319="정상",INDEX(임대자산!$D$3:$R$3000,MATCH($F1319,임대자산!$I$3:$I$3000,0),MATCH(E$3,임대자산!$D$3:$R$3,0)),
IF($D1319="폐업",INDEX(폐업정보!$D$3:$R$3000,MATCH($F1319,폐업정보!$I$3:$I$3000,0),MATCH(E$3,폐업정보!$D$3:$R$3,0)),
"Error"))</f>
        <v>강원</v>
      </c>
      <c r="F131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B1314</v>
      </c>
      <c r="G1319" s="76" t="str">
        <f aca="false">F1319&amp;RANDBETWEEN(0,10)</f>
        <v>B13142</v>
      </c>
      <c r="H1319" s="75" t="n">
        <f aca="false">
IF($D1319="정상",INDEX(임대자산!$D$3:$R$3000,MATCH($F1319,임대자산!$I$3:$I$3000,0),MATCH(H$4,임대자산!$D$3:$R$3,0)),
IF($D1319="폐업",INDEX(폐업정보!$D$3:$R$3000,MATCH($F1319,폐업정보!$I$3:$I$3000,0),MATCH(H$4,폐업정보!$D$3:$R$3,0)),
"Error"))</f>
        <v>45155</v>
      </c>
      <c r="I1319" s="75" t="str">
        <f aca="false">
IF($D1319="정상",INDEX(임대자산!$D$3:$R$3000,MATCH($F1319,임대자산!$I$3:$I$3000,0),MATCH(I$4,임대자산!$D$3:$R$3,0)),
IF($D1319="폐업",INDEX(폐업정보!$D$3:$R$3000,MATCH($F1319,폐업정보!$I$3:$I$3000,0),MATCH(I$4,폐업정보!$D$3:$R$3,0)),
"Error"))</f>
        <v>A1314</v>
      </c>
      <c r="J1319" s="75" t="str">
        <f aca="false">
IF($D1319="정상",INDEX(임대자산!$D$3:$R$3000,MATCH($F1319,임대자산!$I$3:$I$3000,0),MATCH(J$4,임대자산!$D$3:$R$3,0)),
IF($D1319="폐업",INDEX(폐업정보!$D$3:$R$3000,MATCH($F1319,폐업정보!$I$3:$I$3000,0),MATCH(J$4,폐업정보!$D$3:$R$3,0)),
"Error"))</f>
        <v>6668400000</v>
      </c>
      <c r="K1319" s="75" t="str">
        <f aca="false">
IF($D1319="정상",INDEX(임대자산!$D$3:$R$3000,MATCH($F1319,임대자산!$I$3:$I$3000,0),MATCH(K$4,임대자산!$D$3:$R$3,0)),
IF($D1319="폐업",INDEX(폐업정보!$D$3:$R$3000,MATCH($F1319,폐업정보!$I$3:$I$3000,0),MATCH(K$4,폐업정보!$D$3:$R$3,0)),
"Error"))</f>
        <v>C1314</v>
      </c>
      <c r="L1319" s="75" t="str">
        <f aca="false">
IF($D1319="정상",INDEX(임대자산!$D$3:$R$3000,MATCH($F1319,임대자산!$I$3:$I$3000,0),MATCH(L$4,임대자산!$D$3:$R$3,0)),
IF($D1319="폐업",INDEX(폐업정보!$D$3:$R$3000,MATCH($F1319,폐업정보!$I$3:$I$3000,0),MATCH(L$4,폐업정보!$D$3:$R$3,0)),
"Error"))</f>
        <v>D1314</v>
      </c>
      <c r="M1319" s="76" t="s">
        <v>96</v>
      </c>
      <c r="N1319" s="77"/>
      <c r="O1319" s="78" t="s">
        <v>97</v>
      </c>
      <c r="P1319" s="79" t="n">
        <f aca="false">COUNTIFS(임대자산!$I:$I,가맹점정보!F1319,임대자산!$N:$N,가맹점정보!P$4)</f>
        <v>0</v>
      </c>
      <c r="Q1319" s="80" t="n">
        <f aca="false">COUNTIFS(임대자산!$I:$I,가맹점정보!F1319,임대자산!$N:$N,가맹점정보!Q$4)</f>
        <v>0</v>
      </c>
      <c r="R1319" s="81" t="n">
        <f aca="false">COUNTIFS(임대자산!$I:$I,가맹점정보!F1319,임대자산!$N:$N,가맹점정보!R$4)</f>
        <v>1</v>
      </c>
      <c r="S1319" s="82" t="n">
        <v>55000</v>
      </c>
      <c r="T1319" s="83" t="n">
        <v>0</v>
      </c>
      <c r="U1319" s="80" t="n">
        <f aca="false">SUM(S1319:T1319)</f>
        <v>55000</v>
      </c>
      <c r="V1319" s="84" t="s">
        <v>7</v>
      </c>
      <c r="W1319" s="80" t="str">
        <f aca="true">
IF(D1319="폐업","폐업",
IF(V1319="면제","면제",
IF(AND(V1319="정상",COUNTIFS(OFFSET(Y1319,0,COUNTA(Y1319:AV1319)-1,1,-4),"미납")&gt;=3),"장기미납",
IF(AND(V1319="정상",OFFSET(Y1319,0,COUNTA(Y1319:AV1319)-1)&gt;=U1319),"정상",
IF(AND(V1319="정상",OFFSET(Y1319,0,COUNTA(Y1319:AV1319)-1)=0),"정상",
"계약서 미작성")))))</f>
        <v>면제</v>
      </c>
      <c r="X1319" s="81" t="str">
        <f aca="true">
IF(D1319="폐업","폐업",
IF(AND(V1319="정상",OFFSET(Y1319,0,COUNTA(Y1319:AV1319)-1)="미납"),"미납",
IF(AND(V1319="정상",OFFSET(Y1319,0,COUNTA(Y1319:AV1319)-1)=0),"납부 시작 전",
IF(AND(V1319="정상",OFFSET(Y1319,0,COUNTA(Y1319:AV1319)-1)&gt;=U1319),"정상",
IF(AND(V1319="면제",OFFSET(Y1319,0,COUNTA(Y1319:AV1319)-1)="면제"),"면제",
IF(AND(V1319="면제",OFFSET(Y1319,0,COUNTA(Y1319:AV1319)-1)=0),"면제",
"확인요청"))))))</f>
        <v>면제</v>
      </c>
      <c r="Y1319" s="94" t="s">
        <v>7</v>
      </c>
      <c r="Z1319" s="95" t="s">
        <v>7</v>
      </c>
      <c r="AA1319" s="95" t="s">
        <v>7</v>
      </c>
      <c r="AB1319" s="95" t="s">
        <v>7</v>
      </c>
      <c r="AC1319" s="95" t="s">
        <v>7</v>
      </c>
      <c r="AD1319" s="95" t="s">
        <v>7</v>
      </c>
      <c r="AE1319" s="95" t="s">
        <v>7</v>
      </c>
      <c r="AF1319" s="95" t="s">
        <v>7</v>
      </c>
      <c r="AG1319" s="95" t="s">
        <v>7</v>
      </c>
      <c r="AH1319" s="95" t="s">
        <v>7</v>
      </c>
      <c r="AI1319" s="95" t="s">
        <v>7</v>
      </c>
      <c r="AJ1319" s="96" t="s">
        <v>7</v>
      </c>
      <c r="AK1319" s="97" t="s">
        <v>7</v>
      </c>
      <c r="AL1319" s="95" t="s">
        <v>7</v>
      </c>
      <c r="AM1319" s="90"/>
      <c r="AN1319" s="90"/>
      <c r="AO1319" s="90"/>
      <c r="AP1319" s="90"/>
      <c r="AQ1319" s="90"/>
      <c r="AR1319" s="90"/>
      <c r="AS1319" s="90"/>
      <c r="AT1319" s="90"/>
      <c r="AU1319" s="90"/>
      <c r="AV1319" s="91"/>
      <c r="AX1319" s="92"/>
    </row>
    <row r="1320" customFormat="false" ht="15.65" hidden="false" customHeight="false" outlineLevel="0" collapsed="false">
      <c r="C1320" s="72" t="n">
        <f aca="false">COUNTIFS($D$6:D1320,"&lt;&gt;"&amp;"")</f>
        <v>1315</v>
      </c>
      <c r="D1320" s="73" t="s">
        <v>5</v>
      </c>
      <c r="E1320" s="76" t="str">
        <f aca="false">
IF($D1320="정상",INDEX(임대자산!$D$3:$R$3000,MATCH($F1320,임대자산!$I$3:$I$3000,0),MATCH(E$3,임대자산!$D$3:$R$3,0)),
IF($D1320="폐업",INDEX(폐업정보!$D$3:$R$3000,MATCH($F1320,폐업정보!$I$3:$I$3000,0),MATCH(E$3,폐업정보!$D$3:$R$3,0)),
"Error"))</f>
        <v>강원</v>
      </c>
      <c r="F132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B1315</v>
      </c>
      <c r="G1320" s="76" t="str">
        <f aca="false">F1320&amp;RANDBETWEEN(0,10)</f>
        <v>B13156</v>
      </c>
      <c r="H1320" s="75" t="n">
        <f aca="false">
IF($D1320="정상",INDEX(임대자산!$D$3:$R$3000,MATCH($F1320,임대자산!$I$3:$I$3000,0),MATCH(H$4,임대자산!$D$3:$R$3,0)),
IF($D1320="폐업",INDEX(폐업정보!$D$3:$R$3000,MATCH($F1320,폐업정보!$I$3:$I$3000,0),MATCH(H$4,폐업정보!$D$3:$R$3,0)),
"Error"))</f>
        <v>45155</v>
      </c>
      <c r="I1320" s="75" t="str">
        <f aca="false">
IF($D1320="정상",INDEX(임대자산!$D$3:$R$3000,MATCH($F1320,임대자산!$I$3:$I$3000,0),MATCH(I$4,임대자산!$D$3:$R$3,0)),
IF($D1320="폐업",INDEX(폐업정보!$D$3:$R$3000,MATCH($F1320,폐업정보!$I$3:$I$3000,0),MATCH(I$4,폐업정보!$D$3:$R$3,0)),
"Error"))</f>
        <v>A1315</v>
      </c>
      <c r="J1320" s="75" t="str">
        <f aca="false">
IF($D1320="정상",INDEX(임대자산!$D$3:$R$3000,MATCH($F1320,임대자산!$I$3:$I$3000,0),MATCH(J$4,임대자산!$D$3:$R$3,0)),
IF($D1320="폐업",INDEX(폐업정보!$D$3:$R$3000,MATCH($F1320,폐업정보!$I$3:$I$3000,0),MATCH(J$4,폐업정보!$D$3:$R$3,0)),
"Error"))</f>
        <v>3917000000</v>
      </c>
      <c r="K1320" s="75" t="str">
        <f aca="false">
IF($D1320="정상",INDEX(임대자산!$D$3:$R$3000,MATCH($F1320,임대자산!$I$3:$I$3000,0),MATCH(K$4,임대자산!$D$3:$R$3,0)),
IF($D1320="폐업",INDEX(폐업정보!$D$3:$R$3000,MATCH($F1320,폐업정보!$I$3:$I$3000,0),MATCH(K$4,폐업정보!$D$3:$R$3,0)),
"Error"))</f>
        <v>C1315</v>
      </c>
      <c r="L1320" s="75" t="str">
        <f aca="false">
IF($D1320="정상",INDEX(임대자산!$D$3:$R$3000,MATCH($F1320,임대자산!$I$3:$I$3000,0),MATCH(L$4,임대자산!$D$3:$R$3,0)),
IF($D1320="폐업",INDEX(폐업정보!$D$3:$R$3000,MATCH($F1320,폐업정보!$I$3:$I$3000,0),MATCH(L$4,폐업정보!$D$3:$R$3,0)),
"Error"))</f>
        <v>D1315</v>
      </c>
      <c r="M1320" s="76" t="s">
        <v>96</v>
      </c>
      <c r="N1320" s="77"/>
      <c r="O1320" s="78" t="s">
        <v>97</v>
      </c>
      <c r="P1320" s="79" t="n">
        <f aca="false">COUNTIFS(임대자산!$I:$I,가맹점정보!F1320,임대자산!$N:$N,가맹점정보!P$4)</f>
        <v>0</v>
      </c>
      <c r="Q1320" s="80" t="n">
        <f aca="false">COUNTIFS(임대자산!$I:$I,가맹점정보!F1320,임대자산!$N:$N,가맹점정보!Q$4)</f>
        <v>0</v>
      </c>
      <c r="R1320" s="81" t="n">
        <f aca="false">COUNTIFS(임대자산!$I:$I,가맹점정보!F1320,임대자산!$N:$N,가맹점정보!R$4)</f>
        <v>0</v>
      </c>
      <c r="S1320" s="82" t="n">
        <v>88000</v>
      </c>
      <c r="T1320" s="83" t="n">
        <v>0</v>
      </c>
      <c r="U1320" s="80" t="n">
        <f aca="false">SUM(S1320:T1320)</f>
        <v>88000</v>
      </c>
      <c r="V1320" s="84" t="s">
        <v>7</v>
      </c>
      <c r="W1320" s="80" t="str">
        <f aca="true">
IF(D1320="폐업","폐업",
IF(V1320="면제","면제",
IF(AND(V1320="정상",COUNTIFS(OFFSET(Y1320,0,COUNTA(Y1320:AV1320)-1,1,-4),"미납")&gt;=3),"장기미납",
IF(AND(V1320="정상",OFFSET(Y1320,0,COUNTA(Y1320:AV1320)-1)&gt;=U1320),"정상",
IF(AND(V1320="정상",OFFSET(Y1320,0,COUNTA(Y1320:AV1320)-1)=0),"정상",
"계약서 미작성")))))</f>
        <v>폐업</v>
      </c>
      <c r="X1320" s="81" t="str">
        <f aca="true">
IF(D1320="폐업","폐업",
IF(AND(V1320="정상",OFFSET(Y1320,0,COUNTA(Y1320:AV1320)-1)="미납"),"미납",
IF(AND(V1320="정상",OFFSET(Y1320,0,COUNTA(Y1320:AV1320)-1)=0),"납부 시작 전",
IF(AND(V1320="정상",OFFSET(Y1320,0,COUNTA(Y1320:AV1320)-1)&gt;=U1320),"정상",
IF(AND(V1320="면제",OFFSET(Y1320,0,COUNTA(Y1320:AV1320)-1)="면제"),"면제",
IF(AND(V1320="면제",OFFSET(Y1320,0,COUNTA(Y1320:AV1320)-1)=0),"면제",
"확인요청"))))))</f>
        <v>폐업</v>
      </c>
      <c r="Y1320" s="94" t="s">
        <v>7</v>
      </c>
      <c r="Z1320" s="95" t="s">
        <v>7</v>
      </c>
      <c r="AA1320" s="95" t="s">
        <v>7</v>
      </c>
      <c r="AB1320" s="95" t="s">
        <v>7</v>
      </c>
      <c r="AC1320" s="95" t="s">
        <v>7</v>
      </c>
      <c r="AD1320" s="95" t="s">
        <v>7</v>
      </c>
      <c r="AE1320" s="95" t="s">
        <v>7</v>
      </c>
      <c r="AF1320" s="95" t="s">
        <v>7</v>
      </c>
      <c r="AG1320" s="95" t="s">
        <v>7</v>
      </c>
      <c r="AH1320" s="95" t="s">
        <v>7</v>
      </c>
      <c r="AI1320" s="95" t="s">
        <v>7</v>
      </c>
      <c r="AJ1320" s="96" t="s">
        <v>7</v>
      </c>
      <c r="AK1320" s="97" t="s">
        <v>7</v>
      </c>
      <c r="AL1320" s="95" t="s">
        <v>7</v>
      </c>
      <c r="AM1320" s="90"/>
      <c r="AN1320" s="90"/>
      <c r="AO1320" s="90"/>
      <c r="AP1320" s="90"/>
      <c r="AQ1320" s="90"/>
      <c r="AR1320" s="90"/>
      <c r="AS1320" s="90"/>
      <c r="AT1320" s="90"/>
      <c r="AU1320" s="90"/>
      <c r="AV1320" s="91"/>
      <c r="AX1320" s="92"/>
    </row>
    <row r="1321" customFormat="false" ht="15.65" hidden="false" customHeight="false" outlineLevel="0" collapsed="false">
      <c r="C1321" s="72" t="n">
        <f aca="false">COUNTIFS($D$6:D1321,"&lt;&gt;"&amp;"")</f>
        <v>1316</v>
      </c>
      <c r="D1321" s="73" t="s">
        <v>12</v>
      </c>
      <c r="E1321" s="76" t="str">
        <f aca="false">
IF($D1321="정상",INDEX(임대자산!$D$3:$R$3000,MATCH($F1321,임대자산!$I$3:$I$3000,0),MATCH(E$3,임대자산!$D$3:$R$3,0)),
IF($D1321="폐업",INDEX(폐업정보!$D$3:$R$3000,MATCH($F1321,폐업정보!$I$3:$I$3000,0),MATCH(E$3,폐업정보!$D$3:$R$3,0)),
"Error"))</f>
        <v>서울</v>
      </c>
      <c r="F132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B1316</v>
      </c>
      <c r="G1321" s="76" t="str">
        <f aca="false">F1321&amp;RANDBETWEEN(0,10)</f>
        <v>B13160</v>
      </c>
      <c r="H1321" s="75" t="n">
        <f aca="false">
IF($D1321="정상",INDEX(임대자산!$D$3:$R$3000,MATCH($F1321,임대자산!$I$3:$I$3000,0),MATCH(H$4,임대자산!$D$3:$R$3,0)),
IF($D1321="폐업",INDEX(폐업정보!$D$3:$R$3000,MATCH($F1321,폐업정보!$I$3:$I$3000,0),MATCH(H$4,폐업정보!$D$3:$R$3,0)),
"Error"))</f>
        <v>45147</v>
      </c>
      <c r="I1321" s="75" t="str">
        <f aca="false">
IF($D1321="정상",INDEX(임대자산!$D$3:$R$3000,MATCH($F1321,임대자산!$I$3:$I$3000,0),MATCH(I$4,임대자산!$D$3:$R$3,0)),
IF($D1321="폐업",INDEX(폐업정보!$D$3:$R$3000,MATCH($F1321,폐업정보!$I$3:$I$3000,0),MATCH(I$4,폐업정보!$D$3:$R$3,0)),
"Error"))</f>
        <v>A1316</v>
      </c>
      <c r="J1321" s="75" t="str">
        <f aca="false">
IF($D1321="정상",INDEX(임대자산!$D$3:$R$3000,MATCH($F1321,임대자산!$I$3:$I$3000,0),MATCH(J$4,임대자산!$D$3:$R$3,0)),
IF($D1321="폐업",INDEX(폐업정보!$D$3:$R$3000,MATCH($F1321,폐업정보!$I$3:$I$3000,0),MATCH(J$4,폐업정보!$D$3:$R$3,0)),
"Error"))</f>
        <v>3838400000</v>
      </c>
      <c r="K1321" s="75" t="str">
        <f aca="false">
IF($D1321="정상",INDEX(임대자산!$D$3:$R$3000,MATCH($F1321,임대자산!$I$3:$I$3000,0),MATCH(K$4,임대자산!$D$3:$R$3,0)),
IF($D1321="폐업",INDEX(폐업정보!$D$3:$R$3000,MATCH($F1321,폐업정보!$I$3:$I$3000,0),MATCH(K$4,폐업정보!$D$3:$R$3,0)),
"Error"))</f>
        <v>C1316</v>
      </c>
      <c r="L1321" s="75" t="str">
        <f aca="false">
IF($D1321="정상",INDEX(임대자산!$D$3:$R$3000,MATCH($F1321,임대자산!$I$3:$I$3000,0),MATCH(L$4,임대자산!$D$3:$R$3,0)),
IF($D1321="폐업",INDEX(폐업정보!$D$3:$R$3000,MATCH($F1321,폐업정보!$I$3:$I$3000,0),MATCH(L$4,폐업정보!$D$3:$R$3,0)),
"Error"))</f>
        <v>D1316</v>
      </c>
      <c r="M1321" s="76" t="s">
        <v>96</v>
      </c>
      <c r="N1321" s="77"/>
      <c r="O1321" s="78" t="s">
        <v>97</v>
      </c>
      <c r="P1321" s="79" t="n">
        <f aca="false">COUNTIFS(임대자산!$I:$I,가맹점정보!F1321,임대자산!$N:$N,가맹점정보!P$4)</f>
        <v>0</v>
      </c>
      <c r="Q1321" s="80" t="n">
        <f aca="false">COUNTIFS(임대자산!$I:$I,가맹점정보!F1321,임대자산!$N:$N,가맹점정보!Q$4)</f>
        <v>0</v>
      </c>
      <c r="R1321" s="81" t="n">
        <f aca="false">COUNTIFS(임대자산!$I:$I,가맹점정보!F1321,임대자산!$N:$N,가맹점정보!R$4)</f>
        <v>1</v>
      </c>
      <c r="S1321" s="82" t="n">
        <v>55000</v>
      </c>
      <c r="T1321" s="83" t="n">
        <v>0</v>
      </c>
      <c r="U1321" s="80" t="n">
        <f aca="false">SUM(S1321:T1321)</f>
        <v>55000</v>
      </c>
      <c r="V1321" s="84" t="s">
        <v>7</v>
      </c>
      <c r="W1321" s="80" t="str">
        <f aca="true">
IF(D1321="폐업","폐업",
IF(V1321="면제","면제",
IF(AND(V1321="정상",COUNTIFS(OFFSET(Y1321,0,COUNTA(Y1321:AV1321)-1,1,-4),"미납")&gt;=3),"장기미납",
IF(AND(V1321="정상",OFFSET(Y1321,0,COUNTA(Y1321:AV1321)-1)&gt;=U1321),"정상",
IF(AND(V1321="정상",OFFSET(Y1321,0,COUNTA(Y1321:AV1321)-1)=0),"정상",
"계약서 미작성")))))</f>
        <v>면제</v>
      </c>
      <c r="X1321" s="81" t="str">
        <f aca="true">
IF(D1321="폐업","폐업",
IF(AND(V1321="정상",OFFSET(Y1321,0,COUNTA(Y1321:AV1321)-1)="미납"),"미납",
IF(AND(V1321="정상",OFFSET(Y1321,0,COUNTA(Y1321:AV1321)-1)=0),"납부 시작 전",
IF(AND(V1321="정상",OFFSET(Y1321,0,COUNTA(Y1321:AV1321)-1)&gt;=U1321),"정상",
IF(AND(V1321="면제",OFFSET(Y1321,0,COUNTA(Y1321:AV1321)-1)="면제"),"면제",
IF(AND(V1321="면제",OFFSET(Y1321,0,COUNTA(Y1321:AV1321)-1)=0),"면제",
"확인요청"))))))</f>
        <v>면제</v>
      </c>
      <c r="Y1321" s="94" t="s">
        <v>7</v>
      </c>
      <c r="Z1321" s="95" t="s">
        <v>7</v>
      </c>
      <c r="AA1321" s="95" t="s">
        <v>7</v>
      </c>
      <c r="AB1321" s="95" t="s">
        <v>7</v>
      </c>
      <c r="AC1321" s="95" t="s">
        <v>7</v>
      </c>
      <c r="AD1321" s="95" t="s">
        <v>7</v>
      </c>
      <c r="AE1321" s="95" t="s">
        <v>7</v>
      </c>
      <c r="AF1321" s="95" t="s">
        <v>7</v>
      </c>
      <c r="AG1321" s="95" t="s">
        <v>7</v>
      </c>
      <c r="AH1321" s="95" t="s">
        <v>7</v>
      </c>
      <c r="AI1321" s="95" t="s">
        <v>7</v>
      </c>
      <c r="AJ1321" s="96" t="s">
        <v>7</v>
      </c>
      <c r="AK1321" s="97" t="s">
        <v>7</v>
      </c>
      <c r="AL1321" s="95" t="s">
        <v>7</v>
      </c>
      <c r="AM1321" s="90"/>
      <c r="AN1321" s="90"/>
      <c r="AO1321" s="90"/>
      <c r="AP1321" s="90"/>
      <c r="AQ1321" s="90"/>
      <c r="AR1321" s="90"/>
      <c r="AS1321" s="90"/>
      <c r="AT1321" s="90"/>
      <c r="AU1321" s="90"/>
      <c r="AV1321" s="91"/>
      <c r="AX1321" s="92"/>
    </row>
    <row r="1322" customFormat="false" ht="15.65" hidden="false" customHeight="false" outlineLevel="0" collapsed="false">
      <c r="C1322" s="72" t="n">
        <f aca="false">COUNTIFS($D$6:D1322,"&lt;&gt;"&amp;"")</f>
        <v>1317</v>
      </c>
      <c r="D1322" s="73" t="s">
        <v>12</v>
      </c>
      <c r="E1322" s="76" t="str">
        <f aca="false">
IF($D1322="정상",INDEX(임대자산!$D$3:$R$3000,MATCH($F1322,임대자산!$I$3:$I$3000,0),MATCH(E$3,임대자산!$D$3:$R$3,0)),
IF($D1322="폐업",INDEX(폐업정보!$D$3:$R$3000,MATCH($F1322,폐업정보!$I$3:$I$3000,0),MATCH(E$3,폐업정보!$D$3:$R$3,0)),
"Error"))</f>
        <v>서울</v>
      </c>
      <c r="F132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B1317</v>
      </c>
      <c r="G1322" s="76" t="str">
        <f aca="false">F1322&amp;RANDBETWEEN(0,10)</f>
        <v>B13170</v>
      </c>
      <c r="H1322" s="75" t="n">
        <f aca="false">
IF($D1322="정상",INDEX(임대자산!$D$3:$R$3000,MATCH($F1322,임대자산!$I$3:$I$3000,0),MATCH(H$4,임대자산!$D$3:$R$3,0)),
IF($D1322="폐업",INDEX(폐업정보!$D$3:$R$3000,MATCH($F1322,폐업정보!$I$3:$I$3000,0),MATCH(H$4,폐업정보!$D$3:$R$3,0)),
"Error"))</f>
        <v>45141</v>
      </c>
      <c r="I1322" s="75" t="str">
        <f aca="false">
IF($D1322="정상",INDEX(임대자산!$D$3:$R$3000,MATCH($F1322,임대자산!$I$3:$I$3000,0),MATCH(I$4,임대자산!$D$3:$R$3,0)),
IF($D1322="폐업",INDEX(폐업정보!$D$3:$R$3000,MATCH($F1322,폐업정보!$I$3:$I$3000,0),MATCH(I$4,폐업정보!$D$3:$R$3,0)),
"Error"))</f>
        <v>A1317</v>
      </c>
      <c r="J1322" s="75" t="str">
        <f aca="false">
IF($D1322="정상",INDEX(임대자산!$D$3:$R$3000,MATCH($F1322,임대자산!$I$3:$I$3000,0),MATCH(J$4,임대자산!$D$3:$R$3,0)),
IF($D1322="폐업",INDEX(폐업정보!$D$3:$R$3000,MATCH($F1322,폐업정보!$I$3:$I$3000,0),MATCH(J$4,폐업정보!$D$3:$R$3,0)),
"Error"))</f>
        <v>1670900000</v>
      </c>
      <c r="K1322" s="75" t="str">
        <f aca="false">
IF($D1322="정상",INDEX(임대자산!$D$3:$R$3000,MATCH($F1322,임대자산!$I$3:$I$3000,0),MATCH(K$4,임대자산!$D$3:$R$3,0)),
IF($D1322="폐업",INDEX(폐업정보!$D$3:$R$3000,MATCH($F1322,폐업정보!$I$3:$I$3000,0),MATCH(K$4,폐업정보!$D$3:$R$3,0)),
"Error"))</f>
        <v>C1317</v>
      </c>
      <c r="L1322" s="75" t="str">
        <f aca="false">
IF($D1322="정상",INDEX(임대자산!$D$3:$R$3000,MATCH($F1322,임대자산!$I$3:$I$3000,0),MATCH(L$4,임대자산!$D$3:$R$3,0)),
IF($D1322="폐업",INDEX(폐업정보!$D$3:$R$3000,MATCH($F1322,폐업정보!$I$3:$I$3000,0),MATCH(L$4,폐업정보!$D$3:$R$3,0)),
"Error"))</f>
        <v>D1317</v>
      </c>
      <c r="M1322" s="76" t="s">
        <v>96</v>
      </c>
      <c r="N1322" s="77"/>
      <c r="O1322" s="78" t="s">
        <v>97</v>
      </c>
      <c r="P1322" s="79" t="n">
        <f aca="false">COUNTIFS(임대자산!$I:$I,가맹점정보!F1322,임대자산!$N:$N,가맹점정보!P$4)</f>
        <v>0</v>
      </c>
      <c r="Q1322" s="80" t="n">
        <f aca="false">COUNTIFS(임대자산!$I:$I,가맹점정보!F1322,임대자산!$N:$N,가맹점정보!Q$4)</f>
        <v>0</v>
      </c>
      <c r="R1322" s="81" t="n">
        <f aca="false">COUNTIFS(임대자산!$I:$I,가맹점정보!F1322,임대자산!$N:$N,가맹점정보!R$4)</f>
        <v>1</v>
      </c>
      <c r="S1322" s="82" t="n">
        <v>55000</v>
      </c>
      <c r="T1322" s="83" t="n">
        <v>0</v>
      </c>
      <c r="U1322" s="80" t="n">
        <f aca="false">SUM(S1322:T1322)</f>
        <v>55000</v>
      </c>
      <c r="V1322" s="84" t="s">
        <v>12</v>
      </c>
      <c r="W1322" s="80" t="e">
        <f aca="true">
IF(D1322="폐업","폐업",
IF(V1322="면제","면제",
IF(AND(V1322="정상",COUNTIFS(OFFSET(Y1322,0,COUNTA(Y1322:AV1322)-1,1,-4),"미납")&gt;=3),"장기미납",
IF(AND(V1322="정상",OFFSET(Y1322,0,COUNTA(Y1322:AV1322)-1)&gt;=U1322),"정상",
IF(AND(V1322="정상",OFFSET(Y1322,0,COUNTA(Y1322:AV1322)-1)=0),"정상",
"계약서 미작성")))))</f>
        <v>#VALUE!</v>
      </c>
      <c r="X1322" s="81" t="str">
        <f aca="true">
IF(D1322="폐업","폐업",
IF(AND(V1322="정상",OFFSET(Y1322,0,COUNTA(Y1322:AV1322)-1)="미납"),"미납",
IF(AND(V1322="정상",OFFSET(Y1322,0,COUNTA(Y1322:AV1322)-1)=0),"납부 시작 전",
IF(AND(V1322="정상",OFFSET(Y1322,0,COUNTA(Y1322:AV1322)-1)&gt;=U1322),"정상",
IF(AND(V1322="면제",OFFSET(Y1322,0,COUNTA(Y1322:AV1322)-1)="면제"),"면제",
IF(AND(V1322="면제",OFFSET(Y1322,0,COUNTA(Y1322:AV1322)-1)=0),"면제",
"확인요청"))))))</f>
        <v>정상</v>
      </c>
      <c r="Y1322" s="93" t="n">
        <v>55000</v>
      </c>
      <c r="Z1322" s="90" t="n">
        <v>55000</v>
      </c>
      <c r="AA1322" s="90" t="n">
        <v>55000</v>
      </c>
      <c r="AB1322" s="90" t="n">
        <v>55000</v>
      </c>
      <c r="AC1322" s="90" t="n">
        <v>55000</v>
      </c>
      <c r="AD1322" s="90" t="n">
        <v>55000</v>
      </c>
      <c r="AE1322" s="90" t="n">
        <v>55000</v>
      </c>
      <c r="AF1322" s="90" t="n">
        <v>55000</v>
      </c>
      <c r="AG1322" s="90" t="n">
        <v>55000</v>
      </c>
      <c r="AH1322" s="90" t="n">
        <v>55000</v>
      </c>
      <c r="AI1322" s="90" t="n">
        <v>55000</v>
      </c>
      <c r="AJ1322" s="91" t="n">
        <v>55000</v>
      </c>
      <c r="AK1322" s="89" t="n">
        <v>55000</v>
      </c>
      <c r="AL1322" s="90" t="n">
        <v>55000</v>
      </c>
      <c r="AM1322" s="90"/>
      <c r="AN1322" s="90"/>
      <c r="AO1322" s="90"/>
      <c r="AP1322" s="90"/>
      <c r="AQ1322" s="90"/>
      <c r="AR1322" s="90"/>
      <c r="AS1322" s="90"/>
      <c r="AT1322" s="90"/>
      <c r="AU1322" s="90"/>
      <c r="AV1322" s="91"/>
      <c r="AX1322" s="92"/>
    </row>
    <row r="1323" customFormat="false" ht="15.65" hidden="false" customHeight="false" outlineLevel="0" collapsed="false">
      <c r="C1323" s="72" t="n">
        <f aca="false">COUNTIFS($D$6:D1323,"&lt;&gt;"&amp;"")</f>
        <v>1318</v>
      </c>
      <c r="D1323" s="73" t="s">
        <v>12</v>
      </c>
      <c r="E1323" s="76" t="str">
        <f aca="false">
IF($D1323="정상",INDEX(임대자산!$D$3:$R$3000,MATCH($F1323,임대자산!$I$3:$I$3000,0),MATCH(E$3,임대자산!$D$3:$R$3,0)),
IF($D1323="폐업",INDEX(폐업정보!$D$3:$R$3000,MATCH($F1323,폐업정보!$I$3:$I$3000,0),MATCH(E$3,폐업정보!$D$3:$R$3,0)),
"Error"))</f>
        <v>서울</v>
      </c>
      <c r="F132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B1318</v>
      </c>
      <c r="G1323" s="76" t="str">
        <f aca="false">F1323&amp;RANDBETWEEN(0,10)</f>
        <v>B13184</v>
      </c>
      <c r="H1323" s="75" t="n">
        <f aca="false">
IF($D1323="정상",INDEX(임대자산!$D$3:$R$3000,MATCH($F1323,임대자산!$I$3:$I$3000,0),MATCH(H$4,임대자산!$D$3:$R$3,0)),
IF($D1323="폐업",INDEX(폐업정보!$D$3:$R$3000,MATCH($F1323,폐업정보!$I$3:$I$3000,0),MATCH(H$4,폐업정보!$D$3:$R$3,0)),
"Error"))</f>
        <v>45159</v>
      </c>
      <c r="I1323" s="75" t="str">
        <f aca="false">
IF($D1323="정상",INDEX(임대자산!$D$3:$R$3000,MATCH($F1323,임대자산!$I$3:$I$3000,0),MATCH(I$4,임대자산!$D$3:$R$3,0)),
IF($D1323="폐업",INDEX(폐업정보!$D$3:$R$3000,MATCH($F1323,폐업정보!$I$3:$I$3000,0),MATCH(I$4,폐업정보!$D$3:$R$3,0)),
"Error"))</f>
        <v>A1318</v>
      </c>
      <c r="J1323" s="75" t="str">
        <f aca="false">
IF($D1323="정상",INDEX(임대자산!$D$3:$R$3000,MATCH($F1323,임대자산!$I$3:$I$3000,0),MATCH(J$4,임대자산!$D$3:$R$3,0)),
IF($D1323="폐업",INDEX(폐업정보!$D$3:$R$3000,MATCH($F1323,폐업정보!$I$3:$I$3000,0),MATCH(J$4,폐업정보!$D$3:$R$3,0)),
"Error"))</f>
        <v>6854600000</v>
      </c>
      <c r="K1323" s="75" t="str">
        <f aca="false">
IF($D1323="정상",INDEX(임대자산!$D$3:$R$3000,MATCH($F1323,임대자산!$I$3:$I$3000,0),MATCH(K$4,임대자산!$D$3:$R$3,0)),
IF($D1323="폐업",INDEX(폐업정보!$D$3:$R$3000,MATCH($F1323,폐업정보!$I$3:$I$3000,0),MATCH(K$4,폐업정보!$D$3:$R$3,0)),
"Error"))</f>
        <v>C1318</v>
      </c>
      <c r="L1323" s="75" t="str">
        <f aca="false">
IF($D1323="정상",INDEX(임대자산!$D$3:$R$3000,MATCH($F1323,임대자산!$I$3:$I$3000,0),MATCH(L$4,임대자산!$D$3:$R$3,0)),
IF($D1323="폐업",INDEX(폐업정보!$D$3:$R$3000,MATCH($F1323,폐업정보!$I$3:$I$3000,0),MATCH(L$4,폐업정보!$D$3:$R$3,0)),
"Error"))</f>
        <v>D1318</v>
      </c>
      <c r="M1323" s="76" t="s">
        <v>96</v>
      </c>
      <c r="N1323" s="77"/>
      <c r="O1323" s="78" t="s">
        <v>97</v>
      </c>
      <c r="P1323" s="79" t="n">
        <f aca="false">COUNTIFS(임대자산!$I:$I,가맹점정보!F1323,임대자산!$N:$N,가맹점정보!P$4)</f>
        <v>0</v>
      </c>
      <c r="Q1323" s="80" t="n">
        <f aca="false">COUNTIFS(임대자산!$I:$I,가맹점정보!F1323,임대자산!$N:$N,가맹점정보!Q$4)</f>
        <v>0</v>
      </c>
      <c r="R1323" s="81" t="n">
        <f aca="false">COUNTIFS(임대자산!$I:$I,가맹점정보!F1323,임대자산!$N:$N,가맹점정보!R$4)</f>
        <v>1</v>
      </c>
      <c r="S1323" s="82" t="n">
        <v>88000</v>
      </c>
      <c r="T1323" s="83" t="n">
        <v>0</v>
      </c>
      <c r="U1323" s="80" t="n">
        <f aca="false">SUM(S1323:T1323)</f>
        <v>88000</v>
      </c>
      <c r="V1323" s="84" t="s">
        <v>7</v>
      </c>
      <c r="W1323" s="80" t="str">
        <f aca="true">
IF(D1323="폐업","폐업",
IF(V1323="면제","면제",
IF(AND(V1323="정상",COUNTIFS(OFFSET(Y1323,0,COUNTA(Y1323:AV1323)-1,1,-4),"미납")&gt;=3),"장기미납",
IF(AND(V1323="정상",OFFSET(Y1323,0,COUNTA(Y1323:AV1323)-1)&gt;=U1323),"정상",
IF(AND(V1323="정상",OFFSET(Y1323,0,COUNTA(Y1323:AV1323)-1)=0),"정상",
"계약서 미작성")))))</f>
        <v>면제</v>
      </c>
      <c r="X1323" s="81" t="str">
        <f aca="true">
IF(D1323="폐업","폐업",
IF(AND(V1323="정상",OFFSET(Y1323,0,COUNTA(Y1323:AV1323)-1)="미납"),"미납",
IF(AND(V1323="정상",OFFSET(Y1323,0,COUNTA(Y1323:AV1323)-1)=0),"납부 시작 전",
IF(AND(V1323="정상",OFFSET(Y1323,0,COUNTA(Y1323:AV1323)-1)&gt;=U1323),"정상",
IF(AND(V1323="면제",OFFSET(Y1323,0,COUNTA(Y1323:AV1323)-1)="면제"),"면제",
IF(AND(V1323="면제",OFFSET(Y1323,0,COUNTA(Y1323:AV1323)-1)=0),"면제",
"확인요청"))))))</f>
        <v>면제</v>
      </c>
      <c r="Y1323" s="94" t="s">
        <v>7</v>
      </c>
      <c r="Z1323" s="95" t="s">
        <v>7</v>
      </c>
      <c r="AA1323" s="95" t="s">
        <v>7</v>
      </c>
      <c r="AB1323" s="95" t="s">
        <v>7</v>
      </c>
      <c r="AC1323" s="95" t="s">
        <v>7</v>
      </c>
      <c r="AD1323" s="95" t="s">
        <v>7</v>
      </c>
      <c r="AE1323" s="95" t="s">
        <v>7</v>
      </c>
      <c r="AF1323" s="95" t="s">
        <v>7</v>
      </c>
      <c r="AG1323" s="95" t="s">
        <v>7</v>
      </c>
      <c r="AH1323" s="95" t="s">
        <v>7</v>
      </c>
      <c r="AI1323" s="95" t="s">
        <v>7</v>
      </c>
      <c r="AJ1323" s="96" t="s">
        <v>7</v>
      </c>
      <c r="AK1323" s="97" t="s">
        <v>7</v>
      </c>
      <c r="AL1323" s="95" t="s">
        <v>7</v>
      </c>
      <c r="AM1323" s="90"/>
      <c r="AN1323" s="90"/>
      <c r="AO1323" s="90"/>
      <c r="AP1323" s="90"/>
      <c r="AQ1323" s="90"/>
      <c r="AR1323" s="90"/>
      <c r="AS1323" s="90"/>
      <c r="AT1323" s="90"/>
      <c r="AU1323" s="90"/>
      <c r="AV1323" s="91"/>
      <c r="AX1323" s="92"/>
    </row>
    <row r="1324" customFormat="false" ht="15.65" hidden="false" customHeight="false" outlineLevel="0" collapsed="false">
      <c r="C1324" s="72" t="n">
        <f aca="false">COUNTIFS($D$6:D1324,"&lt;&gt;"&amp;"")</f>
        <v>1319</v>
      </c>
      <c r="D1324" s="73" t="s">
        <v>12</v>
      </c>
      <c r="E1324" s="76" t="str">
        <f aca="false">
IF($D1324="정상",INDEX(임대자산!$D$3:$R$3000,MATCH($F1324,임대자산!$I$3:$I$3000,0),MATCH(E$3,임대자산!$D$3:$R$3,0)),
IF($D1324="폐업",INDEX(폐업정보!$D$3:$R$3000,MATCH($F1324,폐업정보!$I$3:$I$3000,0),MATCH(E$3,폐업정보!$D$3:$R$3,0)),
"Error"))</f>
        <v>서울</v>
      </c>
      <c r="F132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B1319</v>
      </c>
      <c r="G1324" s="76" t="str">
        <f aca="false">F1324&amp;RANDBETWEEN(0,10)</f>
        <v>B13190</v>
      </c>
      <c r="H1324" s="75" t="n">
        <f aca="false">
IF($D1324="정상",INDEX(임대자산!$D$3:$R$3000,MATCH($F1324,임대자산!$I$3:$I$3000,0),MATCH(H$4,임대자산!$D$3:$R$3,0)),
IF($D1324="폐업",INDEX(폐업정보!$D$3:$R$3000,MATCH($F1324,폐업정보!$I$3:$I$3000,0),MATCH(H$4,폐업정보!$D$3:$R$3,0)),
"Error"))</f>
        <v>45167</v>
      </c>
      <c r="I1324" s="75" t="str">
        <f aca="false">
IF($D1324="정상",INDEX(임대자산!$D$3:$R$3000,MATCH($F1324,임대자산!$I$3:$I$3000,0),MATCH(I$4,임대자산!$D$3:$R$3,0)),
IF($D1324="폐업",INDEX(폐업정보!$D$3:$R$3000,MATCH($F1324,폐업정보!$I$3:$I$3000,0),MATCH(I$4,폐업정보!$D$3:$R$3,0)),
"Error"))</f>
        <v>A1319</v>
      </c>
      <c r="J1324" s="75" t="str">
        <f aca="false">
IF($D1324="정상",INDEX(임대자산!$D$3:$R$3000,MATCH($F1324,임대자산!$I$3:$I$3000,0),MATCH(J$4,임대자산!$D$3:$R$3,0)),
IF($D1324="폐업",INDEX(폐업정보!$D$3:$R$3000,MATCH($F1324,폐업정보!$I$3:$I$3000,0),MATCH(J$4,폐업정보!$D$3:$R$3,0)),
"Error"))</f>
        <v>6885800000</v>
      </c>
      <c r="K1324" s="75" t="str">
        <f aca="false">
IF($D1324="정상",INDEX(임대자산!$D$3:$R$3000,MATCH($F1324,임대자산!$I$3:$I$3000,0),MATCH(K$4,임대자산!$D$3:$R$3,0)),
IF($D1324="폐업",INDEX(폐업정보!$D$3:$R$3000,MATCH($F1324,폐업정보!$I$3:$I$3000,0),MATCH(K$4,폐업정보!$D$3:$R$3,0)),
"Error"))</f>
        <v>C1319</v>
      </c>
      <c r="L1324" s="75" t="str">
        <f aca="false">
IF($D1324="정상",INDEX(임대자산!$D$3:$R$3000,MATCH($F1324,임대자산!$I$3:$I$3000,0),MATCH(L$4,임대자산!$D$3:$R$3,0)),
IF($D1324="폐업",INDEX(폐업정보!$D$3:$R$3000,MATCH($F1324,폐업정보!$I$3:$I$3000,0),MATCH(L$4,폐업정보!$D$3:$R$3,0)),
"Error"))</f>
        <v>D1319</v>
      </c>
      <c r="M1324" s="76" t="s">
        <v>96</v>
      </c>
      <c r="N1324" s="77"/>
      <c r="O1324" s="78" t="s">
        <v>97</v>
      </c>
      <c r="P1324" s="79" t="n">
        <f aca="false">COUNTIFS(임대자산!$I:$I,가맹점정보!F1324,임대자산!$N:$N,가맹점정보!P$4)</f>
        <v>0</v>
      </c>
      <c r="Q1324" s="80" t="n">
        <f aca="false">COUNTIFS(임대자산!$I:$I,가맹점정보!F1324,임대자산!$N:$N,가맹점정보!Q$4)</f>
        <v>0</v>
      </c>
      <c r="R1324" s="81" t="n">
        <f aca="false">COUNTIFS(임대자산!$I:$I,가맹점정보!F1324,임대자산!$N:$N,가맹점정보!R$4)</f>
        <v>1</v>
      </c>
      <c r="S1324" s="82" t="n">
        <v>55000</v>
      </c>
      <c r="T1324" s="83" t="n">
        <v>0</v>
      </c>
      <c r="U1324" s="80" t="n">
        <f aca="false">SUM(S1324:T1324)</f>
        <v>55000</v>
      </c>
      <c r="V1324" s="84" t="s">
        <v>7</v>
      </c>
      <c r="W1324" s="80" t="str">
        <f aca="true">
IF(D1324="폐업","폐업",
IF(V1324="면제","면제",
IF(AND(V1324="정상",COUNTIFS(OFFSET(Y1324,0,COUNTA(Y1324:AV1324)-1,1,-4),"미납")&gt;=3),"장기미납",
IF(AND(V1324="정상",OFFSET(Y1324,0,COUNTA(Y1324:AV1324)-1)&gt;=U1324),"정상",
IF(AND(V1324="정상",OFFSET(Y1324,0,COUNTA(Y1324:AV1324)-1)=0),"정상",
"계약서 미작성")))))</f>
        <v>면제</v>
      </c>
      <c r="X1324" s="81" t="str">
        <f aca="true">
IF(D1324="폐업","폐업",
IF(AND(V1324="정상",OFFSET(Y1324,0,COUNTA(Y1324:AV1324)-1)="미납"),"미납",
IF(AND(V1324="정상",OFFSET(Y1324,0,COUNTA(Y1324:AV1324)-1)=0),"납부 시작 전",
IF(AND(V1324="정상",OFFSET(Y1324,0,COUNTA(Y1324:AV1324)-1)&gt;=U1324),"정상",
IF(AND(V1324="면제",OFFSET(Y1324,0,COUNTA(Y1324:AV1324)-1)="면제"),"면제",
IF(AND(V1324="면제",OFFSET(Y1324,0,COUNTA(Y1324:AV1324)-1)=0),"면제",
"확인요청"))))))</f>
        <v>면제</v>
      </c>
      <c r="Y1324" s="94" t="s">
        <v>7</v>
      </c>
      <c r="Z1324" s="95" t="s">
        <v>7</v>
      </c>
      <c r="AA1324" s="95" t="s">
        <v>7</v>
      </c>
      <c r="AB1324" s="95" t="s">
        <v>7</v>
      </c>
      <c r="AC1324" s="95" t="s">
        <v>7</v>
      </c>
      <c r="AD1324" s="95" t="s">
        <v>7</v>
      </c>
      <c r="AE1324" s="95" t="s">
        <v>7</v>
      </c>
      <c r="AF1324" s="95" t="s">
        <v>7</v>
      </c>
      <c r="AG1324" s="95" t="s">
        <v>7</v>
      </c>
      <c r="AH1324" s="95" t="s">
        <v>7</v>
      </c>
      <c r="AI1324" s="95" t="s">
        <v>7</v>
      </c>
      <c r="AJ1324" s="96" t="s">
        <v>7</v>
      </c>
      <c r="AK1324" s="97" t="s">
        <v>7</v>
      </c>
      <c r="AL1324" s="95" t="s">
        <v>7</v>
      </c>
      <c r="AM1324" s="90"/>
      <c r="AN1324" s="90"/>
      <c r="AO1324" s="90"/>
      <c r="AP1324" s="90"/>
      <c r="AQ1324" s="90"/>
      <c r="AR1324" s="90"/>
      <c r="AS1324" s="90"/>
      <c r="AT1324" s="90"/>
      <c r="AU1324" s="90"/>
      <c r="AV1324" s="91"/>
      <c r="AX1324" s="92"/>
    </row>
    <row r="1325" customFormat="false" ht="15.65" hidden="false" customHeight="false" outlineLevel="0" collapsed="false">
      <c r="C1325" s="72" t="n">
        <f aca="false">COUNTIFS($D$6:D1325,"&lt;&gt;"&amp;"")</f>
        <v>1320</v>
      </c>
      <c r="D1325" s="73" t="s">
        <v>12</v>
      </c>
      <c r="E1325" s="76" t="str">
        <f aca="false">
IF($D1325="정상",INDEX(임대자산!$D$3:$R$3000,MATCH($F1325,임대자산!$I$3:$I$3000,0),MATCH(E$3,임대자산!$D$3:$R$3,0)),
IF($D1325="폐업",INDEX(폐업정보!$D$3:$R$3000,MATCH($F1325,폐업정보!$I$3:$I$3000,0),MATCH(E$3,폐업정보!$D$3:$R$3,0)),
"Error"))</f>
        <v>경기</v>
      </c>
      <c r="F132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B1320</v>
      </c>
      <c r="G1325" s="76" t="str">
        <f aca="false">F1325&amp;RANDBETWEEN(0,10)</f>
        <v>B13205</v>
      </c>
      <c r="H1325" s="75" t="n">
        <f aca="false">
IF($D1325="정상",INDEX(임대자산!$D$3:$R$3000,MATCH($F1325,임대자산!$I$3:$I$3000,0),MATCH(H$4,임대자산!$D$3:$R$3,0)),
IF($D1325="폐업",INDEX(폐업정보!$D$3:$R$3000,MATCH($F1325,폐업정보!$I$3:$I$3000,0),MATCH(H$4,폐업정보!$D$3:$R$3,0)),
"Error"))</f>
        <v>45175</v>
      </c>
      <c r="I1325" s="75" t="str">
        <f aca="false">
IF($D1325="정상",INDEX(임대자산!$D$3:$R$3000,MATCH($F1325,임대자산!$I$3:$I$3000,0),MATCH(I$4,임대자산!$D$3:$R$3,0)),
IF($D1325="폐업",INDEX(폐업정보!$D$3:$R$3000,MATCH($F1325,폐업정보!$I$3:$I$3000,0),MATCH(I$4,폐업정보!$D$3:$R$3,0)),
"Error"))</f>
        <v>A1320</v>
      </c>
      <c r="J1325" s="75" t="str">
        <f aca="false">
IF($D1325="정상",INDEX(임대자산!$D$3:$R$3000,MATCH($F1325,임대자산!$I$3:$I$3000,0),MATCH(J$4,임대자산!$D$3:$R$3,0)),
IF($D1325="폐업",INDEX(폐업정보!$D$3:$R$3000,MATCH($F1325,폐업정보!$I$3:$I$3000,0),MATCH(J$4,폐업정보!$D$3:$R$3,0)),
"Error"))</f>
        <v>8064800000</v>
      </c>
      <c r="K1325" s="75" t="str">
        <f aca="false">
IF($D1325="정상",INDEX(임대자산!$D$3:$R$3000,MATCH($F1325,임대자산!$I$3:$I$3000,0),MATCH(K$4,임대자산!$D$3:$R$3,0)),
IF($D1325="폐업",INDEX(폐업정보!$D$3:$R$3000,MATCH($F1325,폐업정보!$I$3:$I$3000,0),MATCH(K$4,폐업정보!$D$3:$R$3,0)),
"Error"))</f>
        <v>C1320</v>
      </c>
      <c r="L1325" s="75" t="str">
        <f aca="false">
IF($D1325="정상",INDEX(임대자산!$D$3:$R$3000,MATCH($F1325,임대자산!$I$3:$I$3000,0),MATCH(L$4,임대자산!$D$3:$R$3,0)),
IF($D1325="폐업",INDEX(폐업정보!$D$3:$R$3000,MATCH($F1325,폐업정보!$I$3:$I$3000,0),MATCH(L$4,폐업정보!$D$3:$R$3,0)),
"Error"))</f>
        <v>D1320</v>
      </c>
      <c r="M1325" s="76" t="s">
        <v>96</v>
      </c>
      <c r="N1325" s="77"/>
      <c r="O1325" s="78" t="s">
        <v>97</v>
      </c>
      <c r="P1325" s="79" t="n">
        <f aca="false">COUNTIFS(임대자산!$I:$I,가맹점정보!F1325,임대자산!$N:$N,가맹점정보!P$4)</f>
        <v>0</v>
      </c>
      <c r="Q1325" s="80" t="n">
        <f aca="false">COUNTIFS(임대자산!$I:$I,가맹점정보!F1325,임대자산!$N:$N,가맹점정보!Q$4)</f>
        <v>0</v>
      </c>
      <c r="R1325" s="81" t="n">
        <f aca="false">COUNTIFS(임대자산!$I:$I,가맹점정보!F1325,임대자산!$N:$N,가맹점정보!R$4)</f>
        <v>1</v>
      </c>
      <c r="S1325" s="82" t="n">
        <v>88000</v>
      </c>
      <c r="T1325" s="83" t="n">
        <v>0</v>
      </c>
      <c r="U1325" s="80" t="n">
        <f aca="false">SUM(S1325:T1325)</f>
        <v>88000</v>
      </c>
      <c r="V1325" s="84" t="s">
        <v>7</v>
      </c>
      <c r="W1325" s="80" t="str">
        <f aca="true">
IF(D1325="폐업","폐업",
IF(V1325="면제","면제",
IF(AND(V1325="정상",COUNTIFS(OFFSET(Y1325,0,COUNTA(Y1325:AV1325)-1,1,-4),"미납")&gt;=3),"장기미납",
IF(AND(V1325="정상",OFFSET(Y1325,0,COUNTA(Y1325:AV1325)-1)&gt;=U1325),"정상",
IF(AND(V1325="정상",OFFSET(Y1325,0,COUNTA(Y1325:AV1325)-1)=0),"정상",
"계약서 미작성")))))</f>
        <v>면제</v>
      </c>
      <c r="X1325" s="81" t="str">
        <f aca="true">
IF(D1325="폐업","폐업",
IF(AND(V1325="정상",OFFSET(Y1325,0,COUNTA(Y1325:AV1325)-1)="미납"),"미납",
IF(AND(V1325="정상",OFFSET(Y1325,0,COUNTA(Y1325:AV1325)-1)=0),"납부 시작 전",
IF(AND(V1325="정상",OFFSET(Y1325,0,COUNTA(Y1325:AV1325)-1)&gt;=U1325),"정상",
IF(AND(V1325="면제",OFFSET(Y1325,0,COUNTA(Y1325:AV1325)-1)="면제"),"면제",
IF(AND(V1325="면제",OFFSET(Y1325,0,COUNTA(Y1325:AV1325)-1)=0),"면제",
"확인요청"))))))</f>
        <v>면제</v>
      </c>
      <c r="Y1325" s="94" t="s">
        <v>7</v>
      </c>
      <c r="Z1325" s="95" t="s">
        <v>7</v>
      </c>
      <c r="AA1325" s="95" t="s">
        <v>7</v>
      </c>
      <c r="AB1325" s="95" t="s">
        <v>7</v>
      </c>
      <c r="AC1325" s="95" t="s">
        <v>7</v>
      </c>
      <c r="AD1325" s="95" t="s">
        <v>7</v>
      </c>
      <c r="AE1325" s="95" t="s">
        <v>7</v>
      </c>
      <c r="AF1325" s="95" t="s">
        <v>7</v>
      </c>
      <c r="AG1325" s="95" t="s">
        <v>7</v>
      </c>
      <c r="AH1325" s="95" t="s">
        <v>7</v>
      </c>
      <c r="AI1325" s="95" t="s">
        <v>7</v>
      </c>
      <c r="AJ1325" s="96" t="s">
        <v>7</v>
      </c>
      <c r="AK1325" s="97" t="s">
        <v>7</v>
      </c>
      <c r="AL1325" s="95" t="s">
        <v>7</v>
      </c>
      <c r="AM1325" s="90"/>
      <c r="AN1325" s="90"/>
      <c r="AO1325" s="90"/>
      <c r="AP1325" s="90"/>
      <c r="AQ1325" s="90"/>
      <c r="AR1325" s="90"/>
      <c r="AS1325" s="90"/>
      <c r="AT1325" s="90"/>
      <c r="AU1325" s="90"/>
      <c r="AV1325" s="91"/>
      <c r="AX1325" s="92"/>
    </row>
    <row r="1326" customFormat="false" ht="15.65" hidden="false" customHeight="false" outlineLevel="0" collapsed="false">
      <c r="C1326" s="72" t="n">
        <f aca="false">COUNTIFS($D$6:D1326,"&lt;&gt;"&amp;"")</f>
        <v>1321</v>
      </c>
      <c r="D1326" s="73" t="s">
        <v>12</v>
      </c>
      <c r="E1326" s="76" t="str">
        <f aca="false">
IF($D1326="정상",INDEX(임대자산!$D$3:$R$3000,MATCH($F1326,임대자산!$I$3:$I$3000,0),MATCH(E$3,임대자산!$D$3:$R$3,0)),
IF($D1326="폐업",INDEX(폐업정보!$D$3:$R$3000,MATCH($F1326,폐업정보!$I$3:$I$3000,0),MATCH(E$3,폐업정보!$D$3:$R$3,0)),
"Error"))</f>
        <v>서울</v>
      </c>
      <c r="F132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B1321</v>
      </c>
      <c r="G1326" s="76" t="str">
        <f aca="false">F1326&amp;RANDBETWEEN(0,10)</f>
        <v>B13218</v>
      </c>
      <c r="H1326" s="75" t="n">
        <f aca="false">
IF($D1326="정상",INDEX(임대자산!$D$3:$R$3000,MATCH($F1326,임대자산!$I$3:$I$3000,0),MATCH(H$4,임대자산!$D$3:$R$3,0)),
IF($D1326="폐업",INDEX(폐업정보!$D$3:$R$3000,MATCH($F1326,폐업정보!$I$3:$I$3000,0),MATCH(H$4,폐업정보!$D$3:$R$3,0)),
"Error"))</f>
        <v>45182</v>
      </c>
      <c r="I1326" s="75" t="str">
        <f aca="false">
IF($D1326="정상",INDEX(임대자산!$D$3:$R$3000,MATCH($F1326,임대자산!$I$3:$I$3000,0),MATCH(I$4,임대자산!$D$3:$R$3,0)),
IF($D1326="폐업",INDEX(폐업정보!$D$3:$R$3000,MATCH($F1326,폐업정보!$I$3:$I$3000,0),MATCH(I$4,폐업정보!$D$3:$R$3,0)),
"Error"))</f>
        <v>A1321</v>
      </c>
      <c r="J1326" s="75" t="str">
        <f aca="false">
IF($D1326="정상",INDEX(임대자산!$D$3:$R$3000,MATCH($F1326,임대자산!$I$3:$I$3000,0),MATCH(J$4,임대자산!$D$3:$R$3,0)),
IF($D1326="폐업",INDEX(폐업정보!$D$3:$R$3000,MATCH($F1326,폐업정보!$I$3:$I$3000,0),MATCH(J$4,폐업정보!$D$3:$R$3,0)),
"Error"))</f>
        <v>3549100000</v>
      </c>
      <c r="K1326" s="75" t="str">
        <f aca="false">
IF($D1326="정상",INDEX(임대자산!$D$3:$R$3000,MATCH($F1326,임대자산!$I$3:$I$3000,0),MATCH(K$4,임대자산!$D$3:$R$3,0)),
IF($D1326="폐업",INDEX(폐업정보!$D$3:$R$3000,MATCH($F1326,폐업정보!$I$3:$I$3000,0),MATCH(K$4,폐업정보!$D$3:$R$3,0)),
"Error"))</f>
        <v>C1321</v>
      </c>
      <c r="L1326" s="75" t="str">
        <f aca="false">
IF($D1326="정상",INDEX(임대자산!$D$3:$R$3000,MATCH($F1326,임대자산!$I$3:$I$3000,0),MATCH(L$4,임대자산!$D$3:$R$3,0)),
IF($D1326="폐업",INDEX(폐업정보!$D$3:$R$3000,MATCH($F1326,폐업정보!$I$3:$I$3000,0),MATCH(L$4,폐업정보!$D$3:$R$3,0)),
"Error"))</f>
        <v>D1321</v>
      </c>
      <c r="M1326" s="76" t="s">
        <v>96</v>
      </c>
      <c r="N1326" s="77"/>
      <c r="O1326" s="78" t="s">
        <v>97</v>
      </c>
      <c r="P1326" s="79" t="n">
        <f aca="false">COUNTIFS(임대자산!$I:$I,가맹점정보!F1326,임대자산!$N:$N,가맹점정보!P$4)</f>
        <v>0</v>
      </c>
      <c r="Q1326" s="80" t="n">
        <f aca="false">COUNTIFS(임대자산!$I:$I,가맹점정보!F1326,임대자산!$N:$N,가맹점정보!Q$4)</f>
        <v>0</v>
      </c>
      <c r="R1326" s="81" t="n">
        <f aca="false">COUNTIFS(임대자산!$I:$I,가맹점정보!F1326,임대자산!$N:$N,가맹점정보!R$4)</f>
        <v>1</v>
      </c>
      <c r="S1326" s="82" t="n">
        <v>88000</v>
      </c>
      <c r="T1326" s="83" t="n">
        <v>0</v>
      </c>
      <c r="U1326" s="80" t="n">
        <f aca="false">SUM(S1326:T1326)</f>
        <v>88000</v>
      </c>
      <c r="V1326" s="84" t="s">
        <v>7</v>
      </c>
      <c r="W1326" s="80" t="str">
        <f aca="true">
IF(D1326="폐업","폐업",
IF(V1326="면제","면제",
IF(AND(V1326="정상",COUNTIFS(OFFSET(Y1326,0,COUNTA(Y1326:AV1326)-1,1,-4),"미납")&gt;=3),"장기미납",
IF(AND(V1326="정상",OFFSET(Y1326,0,COUNTA(Y1326:AV1326)-1)&gt;=U1326),"정상",
IF(AND(V1326="정상",OFFSET(Y1326,0,COUNTA(Y1326:AV1326)-1)=0),"정상",
"계약서 미작성")))))</f>
        <v>면제</v>
      </c>
      <c r="X1326" s="81" t="str">
        <f aca="true">
IF(D1326="폐업","폐업",
IF(AND(V1326="정상",OFFSET(Y1326,0,COUNTA(Y1326:AV1326)-1)="미납"),"미납",
IF(AND(V1326="정상",OFFSET(Y1326,0,COUNTA(Y1326:AV1326)-1)=0),"납부 시작 전",
IF(AND(V1326="정상",OFFSET(Y1326,0,COUNTA(Y1326:AV1326)-1)&gt;=U1326),"정상",
IF(AND(V1326="면제",OFFSET(Y1326,0,COUNTA(Y1326:AV1326)-1)="면제"),"면제",
IF(AND(V1326="면제",OFFSET(Y1326,0,COUNTA(Y1326:AV1326)-1)=0),"면제",
"확인요청"))))))</f>
        <v>면제</v>
      </c>
      <c r="Y1326" s="94" t="s">
        <v>7</v>
      </c>
      <c r="Z1326" s="95" t="s">
        <v>7</v>
      </c>
      <c r="AA1326" s="95" t="s">
        <v>7</v>
      </c>
      <c r="AB1326" s="95" t="s">
        <v>7</v>
      </c>
      <c r="AC1326" s="95" t="s">
        <v>7</v>
      </c>
      <c r="AD1326" s="95" t="s">
        <v>7</v>
      </c>
      <c r="AE1326" s="95" t="s">
        <v>7</v>
      </c>
      <c r="AF1326" s="95" t="s">
        <v>7</v>
      </c>
      <c r="AG1326" s="95" t="s">
        <v>7</v>
      </c>
      <c r="AH1326" s="95" t="s">
        <v>7</v>
      </c>
      <c r="AI1326" s="95" t="s">
        <v>7</v>
      </c>
      <c r="AJ1326" s="96" t="s">
        <v>7</v>
      </c>
      <c r="AK1326" s="97" t="s">
        <v>7</v>
      </c>
      <c r="AL1326" s="95" t="s">
        <v>7</v>
      </c>
      <c r="AM1326" s="90"/>
      <c r="AN1326" s="90"/>
      <c r="AO1326" s="90"/>
      <c r="AP1326" s="90"/>
      <c r="AQ1326" s="90"/>
      <c r="AR1326" s="90"/>
      <c r="AS1326" s="90"/>
      <c r="AT1326" s="90"/>
      <c r="AU1326" s="90"/>
      <c r="AV1326" s="91"/>
      <c r="AX1326" s="92"/>
    </row>
    <row r="1327" customFormat="false" ht="15.65" hidden="false" customHeight="false" outlineLevel="0" collapsed="false">
      <c r="C1327" s="72" t="n">
        <f aca="false">COUNTIFS($D$6:D1327,"&lt;&gt;"&amp;"")</f>
        <v>1322</v>
      </c>
      <c r="D1327" s="73" t="s">
        <v>12</v>
      </c>
      <c r="E1327" s="76" t="str">
        <f aca="false">
IF($D1327="정상",INDEX(임대자산!$D$3:$R$3000,MATCH($F1327,임대자산!$I$3:$I$3000,0),MATCH(E$3,임대자산!$D$3:$R$3,0)),
IF($D1327="폐업",INDEX(폐업정보!$D$3:$R$3000,MATCH($F1327,폐업정보!$I$3:$I$3000,0),MATCH(E$3,폐업정보!$D$3:$R$3,0)),
"Error"))</f>
        <v>강원</v>
      </c>
      <c r="F132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B1322</v>
      </c>
      <c r="G1327" s="76" t="str">
        <f aca="false">F1327&amp;RANDBETWEEN(0,10)</f>
        <v>B13220</v>
      </c>
      <c r="H1327" s="75" t="n">
        <f aca="false">
IF($D1327="정상",INDEX(임대자산!$D$3:$R$3000,MATCH($F1327,임대자산!$I$3:$I$3000,0),MATCH(H$4,임대자산!$D$3:$R$3,0)),
IF($D1327="폐업",INDEX(폐업정보!$D$3:$R$3000,MATCH($F1327,폐업정보!$I$3:$I$3000,0),MATCH(H$4,폐업정보!$D$3:$R$3,0)),
"Error"))</f>
        <v>45929</v>
      </c>
      <c r="I1327" s="75" t="str">
        <f aca="false">
IF($D1327="정상",INDEX(임대자산!$D$3:$R$3000,MATCH($F1327,임대자산!$I$3:$I$3000,0),MATCH(I$4,임대자산!$D$3:$R$3,0)),
IF($D1327="폐업",INDEX(폐업정보!$D$3:$R$3000,MATCH($F1327,폐업정보!$I$3:$I$3000,0),MATCH(I$4,폐업정보!$D$3:$R$3,0)),
"Error"))</f>
        <v>A1322</v>
      </c>
      <c r="J1327" s="75" t="str">
        <f aca="false">
IF($D1327="정상",INDEX(임대자산!$D$3:$R$3000,MATCH($F1327,임대자산!$I$3:$I$3000,0),MATCH(J$4,임대자산!$D$3:$R$3,0)),
IF($D1327="폐업",INDEX(폐업정보!$D$3:$R$3000,MATCH($F1327,폐업정보!$I$3:$I$3000,0),MATCH(J$4,폐업정보!$D$3:$R$3,0)),
"Error"))</f>
        <v>5303300000</v>
      </c>
      <c r="K1327" s="75" t="str">
        <f aca="false">
IF($D1327="정상",INDEX(임대자산!$D$3:$R$3000,MATCH($F1327,임대자산!$I$3:$I$3000,0),MATCH(K$4,임대자산!$D$3:$R$3,0)),
IF($D1327="폐업",INDEX(폐업정보!$D$3:$R$3000,MATCH($F1327,폐업정보!$I$3:$I$3000,0),MATCH(K$4,폐업정보!$D$3:$R$3,0)),
"Error"))</f>
        <v>C1322</v>
      </c>
      <c r="L1327" s="75" t="str">
        <f aca="false">
IF($D1327="정상",INDEX(임대자산!$D$3:$R$3000,MATCH($F1327,임대자산!$I$3:$I$3000,0),MATCH(L$4,임대자산!$D$3:$R$3,0)),
IF($D1327="폐업",INDEX(폐업정보!$D$3:$R$3000,MATCH($F1327,폐업정보!$I$3:$I$3000,0),MATCH(L$4,폐업정보!$D$3:$R$3,0)),
"Error"))</f>
        <v>D1322</v>
      </c>
      <c r="M1327" s="76" t="s">
        <v>96</v>
      </c>
      <c r="N1327" s="77"/>
      <c r="O1327" s="78" t="s">
        <v>97</v>
      </c>
      <c r="P1327" s="79" t="n">
        <f aca="false">COUNTIFS(임대자산!$I:$I,가맹점정보!F1327,임대자산!$N:$N,가맹점정보!P$4)</f>
        <v>0</v>
      </c>
      <c r="Q1327" s="80" t="n">
        <f aca="false">COUNTIFS(임대자산!$I:$I,가맹점정보!F1327,임대자산!$N:$N,가맹점정보!Q$4)</f>
        <v>0</v>
      </c>
      <c r="R1327" s="81" t="n">
        <f aca="false">COUNTIFS(임대자산!$I:$I,가맹점정보!F1327,임대자산!$N:$N,가맹점정보!R$4)</f>
        <v>1</v>
      </c>
      <c r="S1327" s="82" t="n">
        <v>55000</v>
      </c>
      <c r="T1327" s="83" t="n">
        <v>0</v>
      </c>
      <c r="U1327" s="80" t="n">
        <f aca="false">SUM(S1327:T1327)</f>
        <v>55000</v>
      </c>
      <c r="V1327" s="84" t="s">
        <v>7</v>
      </c>
      <c r="W1327" s="80" t="str">
        <f aca="true">
IF(D1327="폐업","폐업",
IF(V1327="면제","면제",
IF(AND(V1327="정상",COUNTIFS(OFFSET(Y1327,0,COUNTA(Y1327:AV1327)-1,1,-4),"미납")&gt;=3),"장기미납",
IF(AND(V1327="정상",OFFSET(Y1327,0,COUNTA(Y1327:AV1327)-1)&gt;=U1327),"정상",
IF(AND(V1327="정상",OFFSET(Y1327,0,COUNTA(Y1327:AV1327)-1)=0),"정상",
"계약서 미작성")))))</f>
        <v>면제</v>
      </c>
      <c r="X1327" s="81" t="str">
        <f aca="true">
IF(D1327="폐업","폐업",
IF(AND(V1327="정상",OFFSET(Y1327,0,COUNTA(Y1327:AV1327)-1)="미납"),"미납",
IF(AND(V1327="정상",OFFSET(Y1327,0,COUNTA(Y1327:AV1327)-1)=0),"납부 시작 전",
IF(AND(V1327="정상",OFFSET(Y1327,0,COUNTA(Y1327:AV1327)-1)&gt;=U1327),"정상",
IF(AND(V1327="면제",OFFSET(Y1327,0,COUNTA(Y1327:AV1327)-1)="면제"),"면제",
IF(AND(V1327="면제",OFFSET(Y1327,0,COUNTA(Y1327:AV1327)-1)=0),"면제",
"확인요청"))))))</f>
        <v>면제</v>
      </c>
      <c r="Y1327" s="94" t="s">
        <v>7</v>
      </c>
      <c r="Z1327" s="95" t="s">
        <v>7</v>
      </c>
      <c r="AA1327" s="95" t="s">
        <v>7</v>
      </c>
      <c r="AB1327" s="95" t="s">
        <v>7</v>
      </c>
      <c r="AC1327" s="95" t="s">
        <v>7</v>
      </c>
      <c r="AD1327" s="95" t="s">
        <v>7</v>
      </c>
      <c r="AE1327" s="95" t="s">
        <v>7</v>
      </c>
      <c r="AF1327" s="95" t="s">
        <v>7</v>
      </c>
      <c r="AG1327" s="95" t="s">
        <v>7</v>
      </c>
      <c r="AH1327" s="95" t="s">
        <v>7</v>
      </c>
      <c r="AI1327" s="95" t="s">
        <v>7</v>
      </c>
      <c r="AJ1327" s="96" t="s">
        <v>7</v>
      </c>
      <c r="AK1327" s="97" t="s">
        <v>7</v>
      </c>
      <c r="AL1327" s="95" t="s">
        <v>7</v>
      </c>
      <c r="AM1327" s="90"/>
      <c r="AN1327" s="90"/>
      <c r="AO1327" s="90"/>
      <c r="AP1327" s="90"/>
      <c r="AQ1327" s="90"/>
      <c r="AR1327" s="90"/>
      <c r="AS1327" s="90"/>
      <c r="AT1327" s="90"/>
      <c r="AU1327" s="90"/>
      <c r="AV1327" s="91"/>
      <c r="AX1327" s="92"/>
    </row>
    <row r="1328" customFormat="false" ht="15.65" hidden="false" customHeight="false" outlineLevel="0" collapsed="false">
      <c r="C1328" s="72" t="n">
        <f aca="false">COUNTIFS($D$6:D1328,"&lt;&gt;"&amp;"")</f>
        <v>1323</v>
      </c>
      <c r="D1328" s="73" t="s">
        <v>12</v>
      </c>
      <c r="E1328" s="76" t="str">
        <f aca="false">
IF($D1328="정상",INDEX(임대자산!$D$3:$R$3000,MATCH($F1328,임대자산!$I$3:$I$3000,0),MATCH(E$3,임대자산!$D$3:$R$3,0)),
IF($D1328="폐업",INDEX(폐업정보!$D$3:$R$3000,MATCH($F1328,폐업정보!$I$3:$I$3000,0),MATCH(E$3,폐업정보!$D$3:$R$3,0)),
"Error"))</f>
        <v>서울</v>
      </c>
      <c r="F132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B1323</v>
      </c>
      <c r="G1328" s="76" t="str">
        <f aca="false">F1328&amp;RANDBETWEEN(0,10)</f>
        <v>B13231</v>
      </c>
      <c r="H1328" s="75" t="n">
        <f aca="false">
IF($D1328="정상",INDEX(임대자산!$D$3:$R$3000,MATCH($F1328,임대자산!$I$3:$I$3000,0),MATCH(H$4,임대자산!$D$3:$R$3,0)),
IF($D1328="폐업",INDEX(폐업정보!$D$3:$R$3000,MATCH($F1328,폐업정보!$I$3:$I$3000,0),MATCH(H$4,폐업정보!$D$3:$R$3,0)),
"Error"))</f>
        <v>45771</v>
      </c>
      <c r="I1328" s="75" t="str">
        <f aca="false">
IF($D1328="정상",INDEX(임대자산!$D$3:$R$3000,MATCH($F1328,임대자산!$I$3:$I$3000,0),MATCH(I$4,임대자산!$D$3:$R$3,0)),
IF($D1328="폐업",INDEX(폐업정보!$D$3:$R$3000,MATCH($F1328,폐업정보!$I$3:$I$3000,0),MATCH(I$4,폐업정보!$D$3:$R$3,0)),
"Error"))</f>
        <v>A1323</v>
      </c>
      <c r="J1328" s="75" t="str">
        <f aca="false">
IF($D1328="정상",INDEX(임대자산!$D$3:$R$3000,MATCH($F1328,임대자산!$I$3:$I$3000,0),MATCH(J$4,임대자산!$D$3:$R$3,0)),
IF($D1328="폐업",INDEX(폐업정보!$D$3:$R$3000,MATCH($F1328,폐업정보!$I$3:$I$3000,0),MATCH(J$4,폐업정보!$D$3:$R$3,0)),
"Error"))</f>
        <v>7583600000</v>
      </c>
      <c r="K1328" s="75" t="str">
        <f aca="false">
IF($D1328="정상",INDEX(임대자산!$D$3:$R$3000,MATCH($F1328,임대자산!$I$3:$I$3000,0),MATCH(K$4,임대자산!$D$3:$R$3,0)),
IF($D1328="폐업",INDEX(폐업정보!$D$3:$R$3000,MATCH($F1328,폐업정보!$I$3:$I$3000,0),MATCH(K$4,폐업정보!$D$3:$R$3,0)),
"Error"))</f>
        <v>C1323</v>
      </c>
      <c r="L1328" s="75" t="str">
        <f aca="false">
IF($D1328="정상",INDEX(임대자산!$D$3:$R$3000,MATCH($F1328,임대자산!$I$3:$I$3000,0),MATCH(L$4,임대자산!$D$3:$R$3,0)),
IF($D1328="폐업",INDEX(폐업정보!$D$3:$R$3000,MATCH($F1328,폐업정보!$I$3:$I$3000,0),MATCH(L$4,폐업정보!$D$3:$R$3,0)),
"Error"))</f>
        <v>D1323</v>
      </c>
      <c r="M1328" s="76" t="s">
        <v>96</v>
      </c>
      <c r="N1328" s="77"/>
      <c r="O1328" s="78" t="s">
        <v>97</v>
      </c>
      <c r="P1328" s="79" t="n">
        <f aca="false">COUNTIFS(임대자산!$I:$I,가맹점정보!F1328,임대자산!$N:$N,가맹점정보!P$4)</f>
        <v>0</v>
      </c>
      <c r="Q1328" s="80" t="n">
        <f aca="false">COUNTIFS(임대자산!$I:$I,가맹점정보!F1328,임대자산!$N:$N,가맹점정보!Q$4)</f>
        <v>0</v>
      </c>
      <c r="R1328" s="81" t="n">
        <f aca="false">COUNTIFS(임대자산!$I:$I,가맹점정보!F1328,임대자산!$N:$N,가맹점정보!R$4)</f>
        <v>1</v>
      </c>
      <c r="S1328" s="82" t="n">
        <v>55000</v>
      </c>
      <c r="T1328" s="83" t="n">
        <v>0</v>
      </c>
      <c r="U1328" s="80" t="n">
        <f aca="false">SUM(S1328:T1328)</f>
        <v>55000</v>
      </c>
      <c r="V1328" s="84" t="s">
        <v>7</v>
      </c>
      <c r="W1328" s="80" t="str">
        <f aca="true">
IF(D1328="폐업","폐업",
IF(V1328="면제","면제",
IF(AND(V1328="정상",COUNTIFS(OFFSET(Y1328,0,COUNTA(Y1328:AV1328)-1,1,-4),"미납")&gt;=3),"장기미납",
IF(AND(V1328="정상",OFFSET(Y1328,0,COUNTA(Y1328:AV1328)-1)&gt;=U1328),"정상",
IF(AND(V1328="정상",OFFSET(Y1328,0,COUNTA(Y1328:AV1328)-1)=0),"정상",
"계약서 미작성")))))</f>
        <v>면제</v>
      </c>
      <c r="X1328" s="81" t="str">
        <f aca="true">
IF(D1328="폐업","폐업",
IF(AND(V1328="정상",OFFSET(Y1328,0,COUNTA(Y1328:AV1328)-1)="미납"),"미납",
IF(AND(V1328="정상",OFFSET(Y1328,0,COUNTA(Y1328:AV1328)-1)=0),"납부 시작 전",
IF(AND(V1328="정상",OFFSET(Y1328,0,COUNTA(Y1328:AV1328)-1)&gt;=U1328),"정상",
IF(AND(V1328="면제",OFFSET(Y1328,0,COUNTA(Y1328:AV1328)-1)="면제"),"면제",
IF(AND(V1328="면제",OFFSET(Y1328,0,COUNTA(Y1328:AV1328)-1)=0),"면제",
"확인요청"))))))</f>
        <v>면제</v>
      </c>
      <c r="Y1328" s="94" t="s">
        <v>7</v>
      </c>
      <c r="Z1328" s="95" t="s">
        <v>7</v>
      </c>
      <c r="AA1328" s="95" t="s">
        <v>7</v>
      </c>
      <c r="AB1328" s="95" t="s">
        <v>7</v>
      </c>
      <c r="AC1328" s="95" t="s">
        <v>7</v>
      </c>
      <c r="AD1328" s="95" t="s">
        <v>7</v>
      </c>
      <c r="AE1328" s="95" t="s">
        <v>7</v>
      </c>
      <c r="AF1328" s="95" t="s">
        <v>7</v>
      </c>
      <c r="AG1328" s="95" t="s">
        <v>7</v>
      </c>
      <c r="AH1328" s="95" t="s">
        <v>7</v>
      </c>
      <c r="AI1328" s="95" t="s">
        <v>7</v>
      </c>
      <c r="AJ1328" s="96" t="s">
        <v>7</v>
      </c>
      <c r="AK1328" s="97" t="s">
        <v>7</v>
      </c>
      <c r="AL1328" s="95" t="s">
        <v>7</v>
      </c>
      <c r="AM1328" s="90"/>
      <c r="AN1328" s="90"/>
      <c r="AO1328" s="90"/>
      <c r="AP1328" s="90"/>
      <c r="AQ1328" s="90"/>
      <c r="AR1328" s="90"/>
      <c r="AS1328" s="90"/>
      <c r="AT1328" s="90"/>
      <c r="AU1328" s="90"/>
      <c r="AV1328" s="91"/>
      <c r="AX1328" s="92"/>
    </row>
    <row r="1329" customFormat="false" ht="15.65" hidden="false" customHeight="false" outlineLevel="0" collapsed="false">
      <c r="C1329" s="72" t="n">
        <f aca="false">COUNTIFS($D$6:D1329,"&lt;&gt;"&amp;"")</f>
        <v>1324</v>
      </c>
      <c r="D1329" s="73" t="s">
        <v>12</v>
      </c>
      <c r="E1329" s="76" t="str">
        <f aca="false">
IF($D1329="정상",INDEX(임대자산!$D$3:$R$3000,MATCH($F1329,임대자산!$I$3:$I$3000,0),MATCH(E$3,임대자산!$D$3:$R$3,0)),
IF($D1329="폐업",INDEX(폐업정보!$D$3:$R$3000,MATCH($F1329,폐업정보!$I$3:$I$3000,0),MATCH(E$3,폐업정보!$D$3:$R$3,0)),
"Error"))</f>
        <v>서울</v>
      </c>
      <c r="F132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B1324</v>
      </c>
      <c r="G1329" s="76" t="str">
        <f aca="false">F1329&amp;RANDBETWEEN(0,10)</f>
        <v>B13247</v>
      </c>
      <c r="H1329" s="75" t="n">
        <f aca="false">
IF($D1329="정상",INDEX(임대자산!$D$3:$R$3000,MATCH($F1329,임대자산!$I$3:$I$3000,0),MATCH(H$4,임대자산!$D$3:$R$3,0)),
IF($D1329="폐업",INDEX(폐업정보!$D$3:$R$3000,MATCH($F1329,폐업정보!$I$3:$I$3000,0),MATCH(H$4,폐업정보!$D$3:$R$3,0)),
"Error"))</f>
        <v>45972</v>
      </c>
      <c r="I1329" s="75" t="str">
        <f aca="false">
IF($D1329="정상",INDEX(임대자산!$D$3:$R$3000,MATCH($F1329,임대자산!$I$3:$I$3000,0),MATCH(I$4,임대자산!$D$3:$R$3,0)),
IF($D1329="폐업",INDEX(폐업정보!$D$3:$R$3000,MATCH($F1329,폐업정보!$I$3:$I$3000,0),MATCH(I$4,폐업정보!$D$3:$R$3,0)),
"Error"))</f>
        <v>A1324</v>
      </c>
      <c r="J1329" s="75" t="str">
        <f aca="false">
IF($D1329="정상",INDEX(임대자산!$D$3:$R$3000,MATCH($F1329,임대자산!$I$3:$I$3000,0),MATCH(J$4,임대자산!$D$3:$R$3,0)),
IF($D1329="폐업",INDEX(폐업정보!$D$3:$R$3000,MATCH($F1329,폐업정보!$I$3:$I$3000,0),MATCH(J$4,폐업정보!$D$3:$R$3,0)),
"Error"))</f>
        <v>6460300000</v>
      </c>
      <c r="K1329" s="75" t="str">
        <f aca="false">
IF($D1329="정상",INDEX(임대자산!$D$3:$R$3000,MATCH($F1329,임대자산!$I$3:$I$3000,0),MATCH(K$4,임대자산!$D$3:$R$3,0)),
IF($D1329="폐업",INDEX(폐업정보!$D$3:$R$3000,MATCH($F1329,폐업정보!$I$3:$I$3000,0),MATCH(K$4,폐업정보!$D$3:$R$3,0)),
"Error"))</f>
        <v>C1324</v>
      </c>
      <c r="L1329" s="75" t="str">
        <f aca="false">
IF($D1329="정상",INDEX(임대자산!$D$3:$R$3000,MATCH($F1329,임대자산!$I$3:$I$3000,0),MATCH(L$4,임대자산!$D$3:$R$3,0)),
IF($D1329="폐업",INDEX(폐업정보!$D$3:$R$3000,MATCH($F1329,폐업정보!$I$3:$I$3000,0),MATCH(L$4,폐업정보!$D$3:$R$3,0)),
"Error"))</f>
        <v>D1324</v>
      </c>
      <c r="M1329" s="76" t="s">
        <v>96</v>
      </c>
      <c r="N1329" s="77"/>
      <c r="O1329" s="78" t="s">
        <v>97</v>
      </c>
      <c r="P1329" s="79" t="n">
        <f aca="false">COUNTIFS(임대자산!$I:$I,가맹점정보!F1329,임대자산!$N:$N,가맹점정보!P$4)</f>
        <v>0</v>
      </c>
      <c r="Q1329" s="80" t="n">
        <f aca="false">COUNTIFS(임대자산!$I:$I,가맹점정보!F1329,임대자산!$N:$N,가맹점정보!Q$4)</f>
        <v>0</v>
      </c>
      <c r="R1329" s="81" t="n">
        <f aca="false">COUNTIFS(임대자산!$I:$I,가맹점정보!F1329,임대자산!$N:$N,가맹점정보!R$4)</f>
        <v>1</v>
      </c>
      <c r="S1329" s="82" t="n">
        <v>88000</v>
      </c>
      <c r="T1329" s="83" t="n">
        <v>0</v>
      </c>
      <c r="U1329" s="80" t="n">
        <f aca="false">SUM(S1329:T1329)</f>
        <v>88000</v>
      </c>
      <c r="V1329" s="84" t="s">
        <v>7</v>
      </c>
      <c r="W1329" s="80" t="str">
        <f aca="true">
IF(D1329="폐업","폐업",
IF(V1329="면제","면제",
IF(AND(V1329="정상",COUNTIFS(OFFSET(Y1329,0,COUNTA(Y1329:AV1329)-1,1,-4),"미납")&gt;=3),"장기미납",
IF(AND(V1329="정상",OFFSET(Y1329,0,COUNTA(Y1329:AV1329)-1)&gt;=U1329),"정상",
IF(AND(V1329="정상",OFFSET(Y1329,0,COUNTA(Y1329:AV1329)-1)=0),"정상",
"계약서 미작성")))))</f>
        <v>면제</v>
      </c>
      <c r="X1329" s="81" t="str">
        <f aca="true">
IF(D1329="폐업","폐업",
IF(AND(V1329="정상",OFFSET(Y1329,0,COUNTA(Y1329:AV1329)-1)="미납"),"미납",
IF(AND(V1329="정상",OFFSET(Y1329,0,COUNTA(Y1329:AV1329)-1)=0),"납부 시작 전",
IF(AND(V1329="정상",OFFSET(Y1329,0,COUNTA(Y1329:AV1329)-1)&gt;=U1329),"정상",
IF(AND(V1329="면제",OFFSET(Y1329,0,COUNTA(Y1329:AV1329)-1)="면제"),"면제",
IF(AND(V1329="면제",OFFSET(Y1329,0,COUNTA(Y1329:AV1329)-1)=0),"면제",
"확인요청"))))))</f>
        <v>면제</v>
      </c>
      <c r="Y1329" s="94" t="s">
        <v>7</v>
      </c>
      <c r="Z1329" s="95" t="s">
        <v>7</v>
      </c>
      <c r="AA1329" s="95" t="s">
        <v>7</v>
      </c>
      <c r="AB1329" s="95" t="s">
        <v>7</v>
      </c>
      <c r="AC1329" s="95" t="s">
        <v>7</v>
      </c>
      <c r="AD1329" s="95" t="s">
        <v>7</v>
      </c>
      <c r="AE1329" s="95" t="s">
        <v>7</v>
      </c>
      <c r="AF1329" s="95" t="s">
        <v>7</v>
      </c>
      <c r="AG1329" s="95" t="s">
        <v>7</v>
      </c>
      <c r="AH1329" s="95" t="s">
        <v>7</v>
      </c>
      <c r="AI1329" s="95" t="s">
        <v>7</v>
      </c>
      <c r="AJ1329" s="96" t="s">
        <v>7</v>
      </c>
      <c r="AK1329" s="97" t="s">
        <v>7</v>
      </c>
      <c r="AL1329" s="95" t="s">
        <v>7</v>
      </c>
      <c r="AM1329" s="90"/>
      <c r="AN1329" s="90"/>
      <c r="AO1329" s="90"/>
      <c r="AP1329" s="90"/>
      <c r="AQ1329" s="90"/>
      <c r="AR1329" s="90"/>
      <c r="AS1329" s="90"/>
      <c r="AT1329" s="90"/>
      <c r="AU1329" s="90"/>
      <c r="AV1329" s="91"/>
      <c r="AX1329" s="92"/>
    </row>
    <row r="1330" customFormat="false" ht="15.65" hidden="false" customHeight="false" outlineLevel="0" collapsed="false">
      <c r="C1330" s="72" t="n">
        <f aca="false">COUNTIFS($D$6:D1330,"&lt;&gt;"&amp;"")</f>
        <v>1325</v>
      </c>
      <c r="D1330" s="73" t="s">
        <v>12</v>
      </c>
      <c r="E1330" s="76" t="str">
        <f aca="false">
IF($D1330="정상",INDEX(임대자산!$D$3:$R$3000,MATCH($F1330,임대자산!$I$3:$I$3000,0),MATCH(E$3,임대자산!$D$3:$R$3,0)),
IF($D1330="폐업",INDEX(폐업정보!$D$3:$R$3000,MATCH($F1330,폐업정보!$I$3:$I$3000,0),MATCH(E$3,폐업정보!$D$3:$R$3,0)),
"Error"))</f>
        <v>서울</v>
      </c>
      <c r="F133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B1325</v>
      </c>
      <c r="G1330" s="76" t="str">
        <f aca="false">F1330&amp;RANDBETWEEN(0,10)</f>
        <v>B13250</v>
      </c>
      <c r="H1330" s="75" t="n">
        <f aca="false">
IF($D1330="정상",INDEX(임대자산!$D$3:$R$3000,MATCH($F1330,임대자산!$I$3:$I$3000,0),MATCH(H$4,임대자산!$D$3:$R$3,0)),
IF($D1330="폐업",INDEX(폐업정보!$D$3:$R$3000,MATCH($F1330,폐업정보!$I$3:$I$3000,0),MATCH(H$4,폐업정보!$D$3:$R$3,0)),
"Error"))</f>
        <v>45978</v>
      </c>
      <c r="I1330" s="75" t="str">
        <f aca="false">
IF($D1330="정상",INDEX(임대자산!$D$3:$R$3000,MATCH($F1330,임대자산!$I$3:$I$3000,0),MATCH(I$4,임대자산!$D$3:$R$3,0)),
IF($D1330="폐업",INDEX(폐업정보!$D$3:$R$3000,MATCH($F1330,폐업정보!$I$3:$I$3000,0),MATCH(I$4,폐업정보!$D$3:$R$3,0)),
"Error"))</f>
        <v>A1325</v>
      </c>
      <c r="J1330" s="75" t="str">
        <f aca="false">
IF($D1330="정상",INDEX(임대자산!$D$3:$R$3000,MATCH($F1330,임대자산!$I$3:$I$3000,0),MATCH(J$4,임대자산!$D$3:$R$3,0)),
IF($D1330="폐업",INDEX(폐업정보!$D$3:$R$3000,MATCH($F1330,폐업정보!$I$3:$I$3000,0),MATCH(J$4,폐업정보!$D$3:$R$3,0)),
"Error"))</f>
        <v>3386900000</v>
      </c>
      <c r="K1330" s="75" t="str">
        <f aca="false">
IF($D1330="정상",INDEX(임대자산!$D$3:$R$3000,MATCH($F1330,임대자산!$I$3:$I$3000,0),MATCH(K$4,임대자산!$D$3:$R$3,0)),
IF($D1330="폐업",INDEX(폐업정보!$D$3:$R$3000,MATCH($F1330,폐업정보!$I$3:$I$3000,0),MATCH(K$4,폐업정보!$D$3:$R$3,0)),
"Error"))</f>
        <v>C1325</v>
      </c>
      <c r="L1330" s="75" t="str">
        <f aca="false">
IF($D1330="정상",INDEX(임대자산!$D$3:$R$3000,MATCH($F1330,임대자산!$I$3:$I$3000,0),MATCH(L$4,임대자산!$D$3:$R$3,0)),
IF($D1330="폐업",INDEX(폐업정보!$D$3:$R$3000,MATCH($F1330,폐업정보!$I$3:$I$3000,0),MATCH(L$4,폐업정보!$D$3:$R$3,0)),
"Error"))</f>
        <v>D1325</v>
      </c>
      <c r="M1330" s="76" t="s">
        <v>96</v>
      </c>
      <c r="N1330" s="77"/>
      <c r="O1330" s="78" t="s">
        <v>97</v>
      </c>
      <c r="P1330" s="79" t="n">
        <f aca="false">COUNTIFS(임대자산!$I:$I,가맹점정보!F1330,임대자산!$N:$N,가맹점정보!P$4)</f>
        <v>0</v>
      </c>
      <c r="Q1330" s="80" t="n">
        <f aca="false">COUNTIFS(임대자산!$I:$I,가맹점정보!F1330,임대자산!$N:$N,가맹점정보!Q$4)</f>
        <v>0</v>
      </c>
      <c r="R1330" s="81" t="n">
        <f aca="false">COUNTIFS(임대자산!$I:$I,가맹점정보!F1330,임대자산!$N:$N,가맹점정보!R$4)</f>
        <v>1</v>
      </c>
      <c r="S1330" s="82" t="n">
        <v>55000</v>
      </c>
      <c r="T1330" s="83" t="n">
        <v>0</v>
      </c>
      <c r="U1330" s="80" t="n">
        <f aca="false">SUM(S1330:T1330)</f>
        <v>55000</v>
      </c>
      <c r="V1330" s="84" t="s">
        <v>7</v>
      </c>
      <c r="W1330" s="80" t="str">
        <f aca="true">
IF(D1330="폐업","폐업",
IF(V1330="면제","면제",
IF(AND(V1330="정상",COUNTIFS(OFFSET(Y1330,0,COUNTA(Y1330:AV1330)-1,1,-4),"미납")&gt;=3),"장기미납",
IF(AND(V1330="정상",OFFSET(Y1330,0,COUNTA(Y1330:AV1330)-1)&gt;=U1330),"정상",
IF(AND(V1330="정상",OFFSET(Y1330,0,COUNTA(Y1330:AV1330)-1)=0),"정상",
"계약서 미작성")))))</f>
        <v>면제</v>
      </c>
      <c r="X1330" s="81" t="str">
        <f aca="true">
IF(D1330="폐업","폐업",
IF(AND(V1330="정상",OFFSET(Y1330,0,COUNTA(Y1330:AV1330)-1)="미납"),"미납",
IF(AND(V1330="정상",OFFSET(Y1330,0,COUNTA(Y1330:AV1330)-1)=0),"납부 시작 전",
IF(AND(V1330="정상",OFFSET(Y1330,0,COUNTA(Y1330:AV1330)-1)&gt;=U1330),"정상",
IF(AND(V1330="면제",OFFSET(Y1330,0,COUNTA(Y1330:AV1330)-1)="면제"),"면제",
IF(AND(V1330="면제",OFFSET(Y1330,0,COUNTA(Y1330:AV1330)-1)=0),"면제",
"확인요청"))))))</f>
        <v>면제</v>
      </c>
      <c r="Y1330" s="94" t="s">
        <v>7</v>
      </c>
      <c r="Z1330" s="95" t="s">
        <v>7</v>
      </c>
      <c r="AA1330" s="95" t="s">
        <v>7</v>
      </c>
      <c r="AB1330" s="95" t="s">
        <v>7</v>
      </c>
      <c r="AC1330" s="95" t="s">
        <v>7</v>
      </c>
      <c r="AD1330" s="95" t="s">
        <v>7</v>
      </c>
      <c r="AE1330" s="95" t="s">
        <v>7</v>
      </c>
      <c r="AF1330" s="95" t="s">
        <v>7</v>
      </c>
      <c r="AG1330" s="95" t="s">
        <v>7</v>
      </c>
      <c r="AH1330" s="95" t="s">
        <v>7</v>
      </c>
      <c r="AI1330" s="95" t="s">
        <v>7</v>
      </c>
      <c r="AJ1330" s="96" t="s">
        <v>7</v>
      </c>
      <c r="AK1330" s="97" t="s">
        <v>7</v>
      </c>
      <c r="AL1330" s="95" t="s">
        <v>7</v>
      </c>
      <c r="AM1330" s="90"/>
      <c r="AN1330" s="90"/>
      <c r="AO1330" s="90"/>
      <c r="AP1330" s="90"/>
      <c r="AQ1330" s="90"/>
      <c r="AR1330" s="90"/>
      <c r="AS1330" s="90"/>
      <c r="AT1330" s="90"/>
      <c r="AU1330" s="90"/>
      <c r="AV1330" s="91"/>
      <c r="AX1330" s="92"/>
    </row>
    <row r="1331" customFormat="false" ht="15.65" hidden="false" customHeight="false" outlineLevel="0" collapsed="false">
      <c r="C1331" s="72" t="n">
        <f aca="false">COUNTIFS($D$6:D1331,"&lt;&gt;"&amp;"")</f>
        <v>1326</v>
      </c>
      <c r="D1331" s="73" t="s">
        <v>12</v>
      </c>
      <c r="E1331" s="76" t="str">
        <f aca="false">
IF($D1331="정상",INDEX(임대자산!$D$3:$R$3000,MATCH($F1331,임대자산!$I$3:$I$3000,0),MATCH(E$3,임대자산!$D$3:$R$3,0)),
IF($D1331="폐업",INDEX(폐업정보!$D$3:$R$3000,MATCH($F1331,폐업정보!$I$3:$I$3000,0),MATCH(E$3,폐업정보!$D$3:$R$3,0)),
"Error"))</f>
        <v>서울</v>
      </c>
      <c r="F133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B1326</v>
      </c>
      <c r="G1331" s="76" t="str">
        <f aca="false">F1331&amp;RANDBETWEEN(0,10)</f>
        <v>B13265</v>
      </c>
      <c r="H1331" s="75" t="n">
        <f aca="false">
IF($D1331="정상",INDEX(임대자산!$D$3:$R$3000,MATCH($F1331,임대자산!$I$3:$I$3000,0),MATCH(H$4,임대자산!$D$3:$R$3,0)),
IF($D1331="폐업",INDEX(폐업정보!$D$3:$R$3000,MATCH($F1331,폐업정보!$I$3:$I$3000,0),MATCH(H$4,폐업정보!$D$3:$R$3,0)),
"Error"))</f>
        <v>45932</v>
      </c>
      <c r="I1331" s="75" t="str">
        <f aca="false">
IF($D1331="정상",INDEX(임대자산!$D$3:$R$3000,MATCH($F1331,임대자산!$I$3:$I$3000,0),MATCH(I$4,임대자산!$D$3:$R$3,0)),
IF($D1331="폐업",INDEX(폐업정보!$D$3:$R$3000,MATCH($F1331,폐업정보!$I$3:$I$3000,0),MATCH(I$4,폐업정보!$D$3:$R$3,0)),
"Error"))</f>
        <v>A1326</v>
      </c>
      <c r="J1331" s="75" t="str">
        <f aca="false">
IF($D1331="정상",INDEX(임대자산!$D$3:$R$3000,MATCH($F1331,임대자산!$I$3:$I$3000,0),MATCH(J$4,임대자산!$D$3:$R$3,0)),
IF($D1331="폐업",INDEX(폐업정보!$D$3:$R$3000,MATCH($F1331,폐업정보!$I$3:$I$3000,0),MATCH(J$4,폐업정보!$D$3:$R$3,0)),
"Error"))</f>
        <v>9659100000</v>
      </c>
      <c r="K1331" s="75" t="str">
        <f aca="false">
IF($D1331="정상",INDEX(임대자산!$D$3:$R$3000,MATCH($F1331,임대자산!$I$3:$I$3000,0),MATCH(K$4,임대자산!$D$3:$R$3,0)),
IF($D1331="폐업",INDEX(폐업정보!$D$3:$R$3000,MATCH($F1331,폐업정보!$I$3:$I$3000,0),MATCH(K$4,폐업정보!$D$3:$R$3,0)),
"Error"))</f>
        <v>C1326</v>
      </c>
      <c r="L1331" s="75" t="str">
        <f aca="false">
IF($D1331="정상",INDEX(임대자산!$D$3:$R$3000,MATCH($F1331,임대자산!$I$3:$I$3000,0),MATCH(L$4,임대자산!$D$3:$R$3,0)),
IF($D1331="폐업",INDEX(폐업정보!$D$3:$R$3000,MATCH($F1331,폐업정보!$I$3:$I$3000,0),MATCH(L$4,폐업정보!$D$3:$R$3,0)),
"Error"))</f>
        <v>D1326</v>
      </c>
      <c r="M1331" s="76" t="s">
        <v>96</v>
      </c>
      <c r="N1331" s="77"/>
      <c r="O1331" s="78" t="s">
        <v>97</v>
      </c>
      <c r="P1331" s="79" t="n">
        <f aca="false">COUNTIFS(임대자산!$I:$I,가맹점정보!F1331,임대자산!$N:$N,가맹점정보!P$4)</f>
        <v>0</v>
      </c>
      <c r="Q1331" s="80" t="n">
        <f aca="false">COUNTIFS(임대자산!$I:$I,가맹점정보!F1331,임대자산!$N:$N,가맹점정보!Q$4)</f>
        <v>0</v>
      </c>
      <c r="R1331" s="81" t="n">
        <f aca="false">COUNTIFS(임대자산!$I:$I,가맹점정보!F1331,임대자산!$N:$N,가맹점정보!R$4)</f>
        <v>1</v>
      </c>
      <c r="S1331" s="82" t="n">
        <v>55000</v>
      </c>
      <c r="T1331" s="83" t="n">
        <v>0</v>
      </c>
      <c r="U1331" s="80" t="n">
        <f aca="false">SUM(S1331:T1331)</f>
        <v>55000</v>
      </c>
      <c r="V1331" s="84" t="s">
        <v>12</v>
      </c>
      <c r="W1331" s="80" t="e">
        <f aca="true">
IF(D1331="폐업","폐업",
IF(V1331="면제","면제",
IF(AND(V1331="정상",COUNTIFS(OFFSET(Y1331,0,COUNTA(Y1331:AV1331)-1,1,-4),"미납")&gt;=3),"장기미납",
IF(AND(V1331="정상",OFFSET(Y1331,0,COUNTA(Y1331:AV1331)-1)&gt;=U1331),"정상",
IF(AND(V1331="정상",OFFSET(Y1331,0,COUNTA(Y1331:AV1331)-1)=0),"정상",
"계약서 미작성")))))</f>
        <v>#VALUE!</v>
      </c>
      <c r="X1331" s="81" t="str">
        <f aca="true">
IF(D1331="폐업","폐업",
IF(AND(V1331="정상",OFFSET(Y1331,0,COUNTA(Y1331:AV1331)-1)="미납"),"미납",
IF(AND(V1331="정상",OFFSET(Y1331,0,COUNTA(Y1331:AV1331)-1)=0),"납부 시작 전",
IF(AND(V1331="정상",OFFSET(Y1331,0,COUNTA(Y1331:AV1331)-1)&gt;=U1331),"정상",
IF(AND(V1331="면제",OFFSET(Y1331,0,COUNTA(Y1331:AV1331)-1)="면제"),"면제",
IF(AND(V1331="면제",OFFSET(Y1331,0,COUNTA(Y1331:AV1331)-1)=0),"면제",
"확인요청"))))))</f>
        <v>정상</v>
      </c>
      <c r="Y1331" s="93" t="n">
        <v>55000</v>
      </c>
      <c r="Z1331" s="90" t="n">
        <v>55000</v>
      </c>
      <c r="AA1331" s="90" t="n">
        <v>55000</v>
      </c>
      <c r="AB1331" s="90" t="n">
        <v>55000</v>
      </c>
      <c r="AC1331" s="90" t="n">
        <v>55000</v>
      </c>
      <c r="AD1331" s="90" t="n">
        <v>55000</v>
      </c>
      <c r="AE1331" s="90" t="n">
        <v>55000</v>
      </c>
      <c r="AF1331" s="90" t="n">
        <v>55000</v>
      </c>
      <c r="AG1331" s="90" t="n">
        <v>55000</v>
      </c>
      <c r="AH1331" s="90" t="n">
        <v>55000</v>
      </c>
      <c r="AI1331" s="90" t="n">
        <v>55000</v>
      </c>
      <c r="AJ1331" s="91" t="n">
        <v>55000</v>
      </c>
      <c r="AK1331" s="89" t="n">
        <v>55000</v>
      </c>
      <c r="AL1331" s="90" t="n">
        <v>55000</v>
      </c>
      <c r="AM1331" s="90"/>
      <c r="AN1331" s="90"/>
      <c r="AO1331" s="90"/>
      <c r="AP1331" s="90"/>
      <c r="AQ1331" s="90"/>
      <c r="AR1331" s="90"/>
      <c r="AS1331" s="90"/>
      <c r="AT1331" s="90"/>
      <c r="AU1331" s="90"/>
      <c r="AV1331" s="91"/>
      <c r="AX1331" s="92"/>
    </row>
    <row r="1332" customFormat="false" ht="15.65" hidden="false" customHeight="false" outlineLevel="0" collapsed="false">
      <c r="C1332" s="72" t="n">
        <f aca="false">COUNTIFS($D$6:D1332,"&lt;&gt;"&amp;"")</f>
        <v>1327</v>
      </c>
      <c r="D1332" s="73" t="s">
        <v>12</v>
      </c>
      <c r="E1332" s="76" t="str">
        <f aca="false">
IF($D1332="정상",INDEX(임대자산!$D$3:$R$3000,MATCH($F1332,임대자산!$I$3:$I$3000,0),MATCH(E$3,임대자산!$D$3:$R$3,0)),
IF($D1332="폐업",INDEX(폐업정보!$D$3:$R$3000,MATCH($F1332,폐업정보!$I$3:$I$3000,0),MATCH(E$3,폐업정보!$D$3:$R$3,0)),
"Error"))</f>
        <v>서울</v>
      </c>
      <c r="F133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B1327</v>
      </c>
      <c r="G1332" s="76" t="str">
        <f aca="false">F1332&amp;RANDBETWEEN(0,10)</f>
        <v>B13278</v>
      </c>
      <c r="H1332" s="75" t="n">
        <f aca="false">
IF($D1332="정상",INDEX(임대자산!$D$3:$R$3000,MATCH($F1332,임대자산!$I$3:$I$3000,0),MATCH(H$4,임대자산!$D$3:$R$3,0)),
IF($D1332="폐업",INDEX(폐업정보!$D$3:$R$3000,MATCH($F1332,폐업정보!$I$3:$I$3000,0),MATCH(H$4,폐업정보!$D$3:$R$3,0)),
"Error"))</f>
        <v>45182</v>
      </c>
      <c r="I1332" s="75" t="str">
        <f aca="false">
IF($D1332="정상",INDEX(임대자산!$D$3:$R$3000,MATCH($F1332,임대자산!$I$3:$I$3000,0),MATCH(I$4,임대자산!$D$3:$R$3,0)),
IF($D1332="폐업",INDEX(폐업정보!$D$3:$R$3000,MATCH($F1332,폐업정보!$I$3:$I$3000,0),MATCH(I$4,폐업정보!$D$3:$R$3,0)),
"Error"))</f>
        <v>A1327</v>
      </c>
      <c r="J1332" s="75" t="str">
        <f aca="false">
IF($D1332="정상",INDEX(임대자산!$D$3:$R$3000,MATCH($F1332,임대자산!$I$3:$I$3000,0),MATCH(J$4,임대자산!$D$3:$R$3,0)),
IF($D1332="폐업",INDEX(폐업정보!$D$3:$R$3000,MATCH($F1332,폐업정보!$I$3:$I$3000,0),MATCH(J$4,폐업정보!$D$3:$R$3,0)),
"Error"))</f>
        <v>4548000000</v>
      </c>
      <c r="K1332" s="75" t="str">
        <f aca="false">
IF($D1332="정상",INDEX(임대자산!$D$3:$R$3000,MATCH($F1332,임대자산!$I$3:$I$3000,0),MATCH(K$4,임대자산!$D$3:$R$3,0)),
IF($D1332="폐업",INDEX(폐업정보!$D$3:$R$3000,MATCH($F1332,폐업정보!$I$3:$I$3000,0),MATCH(K$4,폐업정보!$D$3:$R$3,0)),
"Error"))</f>
        <v>C1327</v>
      </c>
      <c r="L1332" s="75" t="str">
        <f aca="false">
IF($D1332="정상",INDEX(임대자산!$D$3:$R$3000,MATCH($F1332,임대자산!$I$3:$I$3000,0),MATCH(L$4,임대자산!$D$3:$R$3,0)),
IF($D1332="폐업",INDEX(폐업정보!$D$3:$R$3000,MATCH($F1332,폐업정보!$I$3:$I$3000,0),MATCH(L$4,폐업정보!$D$3:$R$3,0)),
"Error"))</f>
        <v>D1327</v>
      </c>
      <c r="M1332" s="76" t="s">
        <v>96</v>
      </c>
      <c r="N1332" s="77"/>
      <c r="O1332" s="78" t="s">
        <v>97</v>
      </c>
      <c r="P1332" s="79" t="n">
        <f aca="false">COUNTIFS(임대자산!$I:$I,가맹점정보!F1332,임대자산!$N:$N,가맹점정보!P$4)</f>
        <v>0</v>
      </c>
      <c r="Q1332" s="80" t="n">
        <f aca="false">COUNTIFS(임대자산!$I:$I,가맹점정보!F1332,임대자산!$N:$N,가맹점정보!Q$4)</f>
        <v>0</v>
      </c>
      <c r="R1332" s="81" t="n">
        <f aca="false">COUNTIFS(임대자산!$I:$I,가맹점정보!F1332,임대자산!$N:$N,가맹점정보!R$4)</f>
        <v>1</v>
      </c>
      <c r="S1332" s="82" t="n">
        <v>88000</v>
      </c>
      <c r="T1332" s="83" t="n">
        <v>0</v>
      </c>
      <c r="U1332" s="80" t="n">
        <f aca="false">SUM(S1332:T1332)</f>
        <v>88000</v>
      </c>
      <c r="V1332" s="84" t="s">
        <v>7</v>
      </c>
      <c r="W1332" s="80" t="str">
        <f aca="true">
IF(D1332="폐업","폐업",
IF(V1332="면제","면제",
IF(AND(V1332="정상",COUNTIFS(OFFSET(Y1332,0,COUNTA(Y1332:AV1332)-1,1,-4),"미납")&gt;=3),"장기미납",
IF(AND(V1332="정상",OFFSET(Y1332,0,COUNTA(Y1332:AV1332)-1)&gt;=U1332),"정상",
IF(AND(V1332="정상",OFFSET(Y1332,0,COUNTA(Y1332:AV1332)-1)=0),"정상",
"계약서 미작성")))))</f>
        <v>면제</v>
      </c>
      <c r="X1332" s="81" t="str">
        <f aca="true">
IF(D1332="폐업","폐업",
IF(AND(V1332="정상",OFFSET(Y1332,0,COUNTA(Y1332:AV1332)-1)="미납"),"미납",
IF(AND(V1332="정상",OFFSET(Y1332,0,COUNTA(Y1332:AV1332)-1)=0),"납부 시작 전",
IF(AND(V1332="정상",OFFSET(Y1332,0,COUNTA(Y1332:AV1332)-1)&gt;=U1332),"정상",
IF(AND(V1332="면제",OFFSET(Y1332,0,COUNTA(Y1332:AV1332)-1)="면제"),"면제",
IF(AND(V1332="면제",OFFSET(Y1332,0,COUNTA(Y1332:AV1332)-1)=0),"면제",
"확인요청"))))))</f>
        <v>면제</v>
      </c>
      <c r="Y1332" s="94" t="s">
        <v>7</v>
      </c>
      <c r="Z1332" s="95" t="s">
        <v>7</v>
      </c>
      <c r="AA1332" s="95" t="s">
        <v>7</v>
      </c>
      <c r="AB1332" s="95" t="s">
        <v>7</v>
      </c>
      <c r="AC1332" s="95" t="s">
        <v>7</v>
      </c>
      <c r="AD1332" s="95" t="s">
        <v>7</v>
      </c>
      <c r="AE1332" s="95" t="s">
        <v>7</v>
      </c>
      <c r="AF1332" s="95" t="s">
        <v>7</v>
      </c>
      <c r="AG1332" s="95" t="s">
        <v>7</v>
      </c>
      <c r="AH1332" s="95" t="s">
        <v>7</v>
      </c>
      <c r="AI1332" s="95" t="s">
        <v>7</v>
      </c>
      <c r="AJ1332" s="96" t="s">
        <v>7</v>
      </c>
      <c r="AK1332" s="97" t="s">
        <v>7</v>
      </c>
      <c r="AL1332" s="95" t="s">
        <v>7</v>
      </c>
      <c r="AM1332" s="90"/>
      <c r="AN1332" s="90"/>
      <c r="AO1332" s="90"/>
      <c r="AP1332" s="90"/>
      <c r="AQ1332" s="90"/>
      <c r="AR1332" s="90"/>
      <c r="AS1332" s="90"/>
      <c r="AT1332" s="90"/>
      <c r="AU1332" s="90"/>
      <c r="AV1332" s="91"/>
      <c r="AX1332" s="92"/>
    </row>
    <row r="1333" customFormat="false" ht="15.65" hidden="false" customHeight="false" outlineLevel="0" collapsed="false">
      <c r="C1333" s="72" t="n">
        <f aca="false">COUNTIFS($D$6:D1333,"&lt;&gt;"&amp;"")</f>
        <v>1328</v>
      </c>
      <c r="D1333" s="73" t="s">
        <v>12</v>
      </c>
      <c r="E1333" s="76" t="str">
        <f aca="false">
IF($D1333="정상",INDEX(임대자산!$D$3:$R$3000,MATCH($F1333,임대자산!$I$3:$I$3000,0),MATCH(E$3,임대자산!$D$3:$R$3,0)),
IF($D1333="폐업",INDEX(폐업정보!$D$3:$R$3000,MATCH($F1333,폐업정보!$I$3:$I$3000,0),MATCH(E$3,폐업정보!$D$3:$R$3,0)),
"Error"))</f>
        <v>서울</v>
      </c>
      <c r="F133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B1328</v>
      </c>
      <c r="G1333" s="76" t="str">
        <f aca="false">F1333&amp;RANDBETWEEN(0,10)</f>
        <v>B13286</v>
      </c>
      <c r="H1333" s="75" t="n">
        <f aca="false">
IF($D1333="정상",INDEX(임대자산!$D$3:$R$3000,MATCH($F1333,임대자산!$I$3:$I$3000,0),MATCH(H$4,임대자산!$D$3:$R$3,0)),
IF($D1333="폐업",INDEX(폐업정보!$D$3:$R$3000,MATCH($F1333,폐업정보!$I$3:$I$3000,0),MATCH(H$4,폐업정보!$D$3:$R$3,0)),
"Error"))</f>
        <v>45715</v>
      </c>
      <c r="I1333" s="75" t="str">
        <f aca="false">
IF($D1333="정상",INDEX(임대자산!$D$3:$R$3000,MATCH($F1333,임대자산!$I$3:$I$3000,0),MATCH(I$4,임대자산!$D$3:$R$3,0)),
IF($D1333="폐업",INDEX(폐업정보!$D$3:$R$3000,MATCH($F1333,폐업정보!$I$3:$I$3000,0),MATCH(I$4,폐업정보!$D$3:$R$3,0)),
"Error"))</f>
        <v>A1328</v>
      </c>
      <c r="J1333" s="75" t="str">
        <f aca="false">
IF($D1333="정상",INDEX(임대자산!$D$3:$R$3000,MATCH($F1333,임대자산!$I$3:$I$3000,0),MATCH(J$4,임대자산!$D$3:$R$3,0)),
IF($D1333="폐업",INDEX(폐업정보!$D$3:$R$3000,MATCH($F1333,폐업정보!$I$3:$I$3000,0),MATCH(J$4,폐업정보!$D$3:$R$3,0)),
"Error"))</f>
        <v>9128600000</v>
      </c>
      <c r="K1333" s="75" t="str">
        <f aca="false">
IF($D1333="정상",INDEX(임대자산!$D$3:$R$3000,MATCH($F1333,임대자산!$I$3:$I$3000,0),MATCH(K$4,임대자산!$D$3:$R$3,0)),
IF($D1333="폐업",INDEX(폐업정보!$D$3:$R$3000,MATCH($F1333,폐업정보!$I$3:$I$3000,0),MATCH(K$4,폐업정보!$D$3:$R$3,0)),
"Error"))</f>
        <v>C1328</v>
      </c>
      <c r="L1333" s="75" t="str">
        <f aca="false">
IF($D1333="정상",INDEX(임대자산!$D$3:$R$3000,MATCH($F1333,임대자산!$I$3:$I$3000,0),MATCH(L$4,임대자산!$D$3:$R$3,0)),
IF($D1333="폐업",INDEX(폐업정보!$D$3:$R$3000,MATCH($F1333,폐업정보!$I$3:$I$3000,0),MATCH(L$4,폐업정보!$D$3:$R$3,0)),
"Error"))</f>
        <v>D1328</v>
      </c>
      <c r="M1333" s="76" t="s">
        <v>96</v>
      </c>
      <c r="N1333" s="77"/>
      <c r="O1333" s="78" t="s">
        <v>97</v>
      </c>
      <c r="P1333" s="79" t="n">
        <f aca="false">COUNTIFS(임대자산!$I:$I,가맹점정보!F1333,임대자산!$N:$N,가맹점정보!P$4)</f>
        <v>0</v>
      </c>
      <c r="Q1333" s="80" t="n">
        <f aca="false">COUNTIFS(임대자산!$I:$I,가맹점정보!F1333,임대자산!$N:$N,가맹점정보!Q$4)</f>
        <v>0</v>
      </c>
      <c r="R1333" s="81" t="n">
        <f aca="false">COUNTIFS(임대자산!$I:$I,가맹점정보!F1333,임대자산!$N:$N,가맹점정보!R$4)</f>
        <v>1</v>
      </c>
      <c r="S1333" s="82" t="n">
        <v>88000</v>
      </c>
      <c r="T1333" s="83" t="n">
        <v>0</v>
      </c>
      <c r="U1333" s="80" t="n">
        <f aca="false">SUM(S1333:T1333)</f>
        <v>88000</v>
      </c>
      <c r="V1333" s="84" t="s">
        <v>7</v>
      </c>
      <c r="W1333" s="80" t="str">
        <f aca="true">
IF(D1333="폐업","폐업",
IF(V1333="면제","면제",
IF(AND(V1333="정상",COUNTIFS(OFFSET(Y1333,0,COUNTA(Y1333:AV1333)-1,1,-4),"미납")&gt;=3),"장기미납",
IF(AND(V1333="정상",OFFSET(Y1333,0,COUNTA(Y1333:AV1333)-1)&gt;=U1333),"정상",
IF(AND(V1333="정상",OFFSET(Y1333,0,COUNTA(Y1333:AV1333)-1)=0),"정상",
"계약서 미작성")))))</f>
        <v>면제</v>
      </c>
      <c r="X1333" s="81" t="str">
        <f aca="true">
IF(D1333="폐업","폐업",
IF(AND(V1333="정상",OFFSET(Y1333,0,COUNTA(Y1333:AV1333)-1)="미납"),"미납",
IF(AND(V1333="정상",OFFSET(Y1333,0,COUNTA(Y1333:AV1333)-1)=0),"납부 시작 전",
IF(AND(V1333="정상",OFFSET(Y1333,0,COUNTA(Y1333:AV1333)-1)&gt;=U1333),"정상",
IF(AND(V1333="면제",OFFSET(Y1333,0,COUNTA(Y1333:AV1333)-1)="면제"),"면제",
IF(AND(V1333="면제",OFFSET(Y1333,0,COUNTA(Y1333:AV1333)-1)=0),"면제",
"확인요청"))))))</f>
        <v>면제</v>
      </c>
      <c r="Y1333" s="94" t="s">
        <v>7</v>
      </c>
      <c r="Z1333" s="95" t="s">
        <v>7</v>
      </c>
      <c r="AA1333" s="95" t="s">
        <v>7</v>
      </c>
      <c r="AB1333" s="95" t="s">
        <v>7</v>
      </c>
      <c r="AC1333" s="95" t="s">
        <v>7</v>
      </c>
      <c r="AD1333" s="95" t="s">
        <v>7</v>
      </c>
      <c r="AE1333" s="95" t="s">
        <v>7</v>
      </c>
      <c r="AF1333" s="95" t="s">
        <v>7</v>
      </c>
      <c r="AG1333" s="95" t="s">
        <v>7</v>
      </c>
      <c r="AH1333" s="95" t="s">
        <v>7</v>
      </c>
      <c r="AI1333" s="95" t="s">
        <v>7</v>
      </c>
      <c r="AJ1333" s="96" t="s">
        <v>7</v>
      </c>
      <c r="AK1333" s="97" t="s">
        <v>7</v>
      </c>
      <c r="AL1333" s="95" t="s">
        <v>7</v>
      </c>
      <c r="AM1333" s="90"/>
      <c r="AN1333" s="90"/>
      <c r="AO1333" s="90"/>
      <c r="AP1333" s="90"/>
      <c r="AQ1333" s="90"/>
      <c r="AR1333" s="90"/>
      <c r="AS1333" s="90"/>
      <c r="AT1333" s="90"/>
      <c r="AU1333" s="90"/>
      <c r="AV1333" s="91"/>
      <c r="AX1333" s="92"/>
    </row>
    <row r="1334" customFormat="false" ht="15.65" hidden="false" customHeight="false" outlineLevel="0" collapsed="false">
      <c r="C1334" s="72" t="n">
        <f aca="false">COUNTIFS($D$6:D1334,"&lt;&gt;"&amp;"")</f>
        <v>1329</v>
      </c>
      <c r="D1334" s="73" t="s">
        <v>12</v>
      </c>
      <c r="E1334" s="76" t="str">
        <f aca="false">
IF($D1334="정상",INDEX(임대자산!$D$3:$R$3000,MATCH($F1334,임대자산!$I$3:$I$3000,0),MATCH(E$3,임대자산!$D$3:$R$3,0)),
IF($D1334="폐업",INDEX(폐업정보!$D$3:$R$3000,MATCH($F1334,폐업정보!$I$3:$I$3000,0),MATCH(E$3,폐업정보!$D$3:$R$3,0)),
"Error"))</f>
        <v>서울</v>
      </c>
      <c r="F133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B1329</v>
      </c>
      <c r="G1334" s="76" t="str">
        <f aca="false">F1334&amp;RANDBETWEEN(0,10)</f>
        <v>B13294</v>
      </c>
      <c r="H1334" s="75" t="n">
        <f aca="false">
IF($D1334="정상",INDEX(임대자산!$D$3:$R$3000,MATCH($F1334,임대자산!$I$3:$I$3000,0),MATCH(H$4,임대자산!$D$3:$R$3,0)),
IF($D1334="폐업",INDEX(폐업정보!$D$3:$R$3000,MATCH($F1334,폐업정보!$I$3:$I$3000,0),MATCH(H$4,폐업정보!$D$3:$R$3,0)),
"Error"))</f>
        <v>45789</v>
      </c>
      <c r="I1334" s="75" t="str">
        <f aca="false">
IF($D1334="정상",INDEX(임대자산!$D$3:$R$3000,MATCH($F1334,임대자산!$I$3:$I$3000,0),MATCH(I$4,임대자산!$D$3:$R$3,0)),
IF($D1334="폐업",INDEX(폐업정보!$D$3:$R$3000,MATCH($F1334,폐업정보!$I$3:$I$3000,0),MATCH(I$4,폐업정보!$D$3:$R$3,0)),
"Error"))</f>
        <v>A1329</v>
      </c>
      <c r="J1334" s="75" t="str">
        <f aca="false">
IF($D1334="정상",INDEX(임대자산!$D$3:$R$3000,MATCH($F1334,임대자산!$I$3:$I$3000,0),MATCH(J$4,임대자산!$D$3:$R$3,0)),
IF($D1334="폐업",INDEX(폐업정보!$D$3:$R$3000,MATCH($F1334,폐업정보!$I$3:$I$3000,0),MATCH(J$4,폐업정보!$D$3:$R$3,0)),
"Error"))</f>
        <v>2497500000</v>
      </c>
      <c r="K1334" s="75" t="str">
        <f aca="false">
IF($D1334="정상",INDEX(임대자산!$D$3:$R$3000,MATCH($F1334,임대자산!$I$3:$I$3000,0),MATCH(K$4,임대자산!$D$3:$R$3,0)),
IF($D1334="폐업",INDEX(폐업정보!$D$3:$R$3000,MATCH($F1334,폐업정보!$I$3:$I$3000,0),MATCH(K$4,폐업정보!$D$3:$R$3,0)),
"Error"))</f>
        <v>C1329</v>
      </c>
      <c r="L1334" s="75" t="str">
        <f aca="false">
IF($D1334="정상",INDEX(임대자산!$D$3:$R$3000,MATCH($F1334,임대자산!$I$3:$I$3000,0),MATCH(L$4,임대자산!$D$3:$R$3,0)),
IF($D1334="폐업",INDEX(폐업정보!$D$3:$R$3000,MATCH($F1334,폐업정보!$I$3:$I$3000,0),MATCH(L$4,폐업정보!$D$3:$R$3,0)),
"Error"))</f>
        <v>D1329</v>
      </c>
      <c r="M1334" s="76" t="s">
        <v>96</v>
      </c>
      <c r="N1334" s="77"/>
      <c r="O1334" s="78" t="s">
        <v>97</v>
      </c>
      <c r="P1334" s="79" t="n">
        <f aca="false">COUNTIFS(임대자산!$I:$I,가맹점정보!F1334,임대자산!$N:$N,가맹점정보!P$4)</f>
        <v>0</v>
      </c>
      <c r="Q1334" s="80" t="n">
        <f aca="false">COUNTIFS(임대자산!$I:$I,가맹점정보!F1334,임대자산!$N:$N,가맹점정보!Q$4)</f>
        <v>0</v>
      </c>
      <c r="R1334" s="81" t="n">
        <f aca="false">COUNTIFS(임대자산!$I:$I,가맹점정보!F1334,임대자산!$N:$N,가맹점정보!R$4)</f>
        <v>1</v>
      </c>
      <c r="S1334" s="82" t="n">
        <v>55000</v>
      </c>
      <c r="T1334" s="83" t="n">
        <v>0</v>
      </c>
      <c r="U1334" s="80" t="n">
        <f aca="false">SUM(S1334:T1334)</f>
        <v>55000</v>
      </c>
      <c r="V1334" s="84" t="s">
        <v>7</v>
      </c>
      <c r="W1334" s="80" t="str">
        <f aca="true">
IF(D1334="폐업","폐업",
IF(V1334="면제","면제",
IF(AND(V1334="정상",COUNTIFS(OFFSET(Y1334,0,COUNTA(Y1334:AV1334)-1,1,-4),"미납")&gt;=3),"장기미납",
IF(AND(V1334="정상",OFFSET(Y1334,0,COUNTA(Y1334:AV1334)-1)&gt;=U1334),"정상",
IF(AND(V1334="정상",OFFSET(Y1334,0,COUNTA(Y1334:AV1334)-1)=0),"정상",
"계약서 미작성")))))</f>
        <v>면제</v>
      </c>
      <c r="X1334" s="81" t="str">
        <f aca="true">
IF(D1334="폐업","폐업",
IF(AND(V1334="정상",OFFSET(Y1334,0,COUNTA(Y1334:AV1334)-1)="미납"),"미납",
IF(AND(V1334="정상",OFFSET(Y1334,0,COUNTA(Y1334:AV1334)-1)=0),"납부 시작 전",
IF(AND(V1334="정상",OFFSET(Y1334,0,COUNTA(Y1334:AV1334)-1)&gt;=U1334),"정상",
IF(AND(V1334="면제",OFFSET(Y1334,0,COUNTA(Y1334:AV1334)-1)="면제"),"면제",
IF(AND(V1334="면제",OFFSET(Y1334,0,COUNTA(Y1334:AV1334)-1)=0),"면제",
"확인요청"))))))</f>
        <v>면제</v>
      </c>
      <c r="Y1334" s="94" t="s">
        <v>7</v>
      </c>
      <c r="Z1334" s="95" t="s">
        <v>7</v>
      </c>
      <c r="AA1334" s="95" t="s">
        <v>7</v>
      </c>
      <c r="AB1334" s="95" t="s">
        <v>7</v>
      </c>
      <c r="AC1334" s="95" t="s">
        <v>7</v>
      </c>
      <c r="AD1334" s="95" t="s">
        <v>7</v>
      </c>
      <c r="AE1334" s="95" t="s">
        <v>7</v>
      </c>
      <c r="AF1334" s="95" t="s">
        <v>7</v>
      </c>
      <c r="AG1334" s="95" t="s">
        <v>7</v>
      </c>
      <c r="AH1334" s="95" t="s">
        <v>7</v>
      </c>
      <c r="AI1334" s="95" t="s">
        <v>7</v>
      </c>
      <c r="AJ1334" s="96" t="s">
        <v>7</v>
      </c>
      <c r="AK1334" s="97" t="s">
        <v>7</v>
      </c>
      <c r="AL1334" s="95" t="s">
        <v>7</v>
      </c>
      <c r="AM1334" s="90"/>
      <c r="AN1334" s="90"/>
      <c r="AO1334" s="90"/>
      <c r="AP1334" s="90"/>
      <c r="AQ1334" s="90"/>
      <c r="AR1334" s="90"/>
      <c r="AS1334" s="90"/>
      <c r="AT1334" s="90"/>
      <c r="AU1334" s="90"/>
      <c r="AV1334" s="91"/>
      <c r="AX1334" s="92"/>
    </row>
    <row r="1335" customFormat="false" ht="15.65" hidden="false" customHeight="false" outlineLevel="0" collapsed="false">
      <c r="C1335" s="72" t="n">
        <f aca="false">COUNTIFS($D$6:D1335,"&lt;&gt;"&amp;"")</f>
        <v>1330</v>
      </c>
      <c r="D1335" s="73" t="s">
        <v>12</v>
      </c>
      <c r="E1335" s="76" t="str">
        <f aca="false">
IF($D1335="정상",INDEX(임대자산!$D$3:$R$3000,MATCH($F1335,임대자산!$I$3:$I$3000,0),MATCH(E$3,임대자산!$D$3:$R$3,0)),
IF($D1335="폐업",INDEX(폐업정보!$D$3:$R$3000,MATCH($F1335,폐업정보!$I$3:$I$3000,0),MATCH(E$3,폐업정보!$D$3:$R$3,0)),
"Error"))</f>
        <v>경기</v>
      </c>
      <c r="F133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B1330</v>
      </c>
      <c r="G1335" s="76" t="str">
        <f aca="false">F1335&amp;RANDBETWEEN(0,10)</f>
        <v>B13306</v>
      </c>
      <c r="H1335" s="75" t="n">
        <f aca="false">
IF($D1335="정상",INDEX(임대자산!$D$3:$R$3000,MATCH($F1335,임대자산!$I$3:$I$3000,0),MATCH(H$4,임대자산!$D$3:$R$3,0)),
IF($D1335="폐업",INDEX(폐업정보!$D$3:$R$3000,MATCH($F1335,폐업정보!$I$3:$I$3000,0),MATCH(H$4,폐업정보!$D$3:$R$3,0)),
"Error"))</f>
        <v>45188</v>
      </c>
      <c r="I1335" s="75" t="str">
        <f aca="false">
IF($D1335="정상",INDEX(임대자산!$D$3:$R$3000,MATCH($F1335,임대자산!$I$3:$I$3000,0),MATCH(I$4,임대자산!$D$3:$R$3,0)),
IF($D1335="폐업",INDEX(폐업정보!$D$3:$R$3000,MATCH($F1335,폐업정보!$I$3:$I$3000,0),MATCH(I$4,폐업정보!$D$3:$R$3,0)),
"Error"))</f>
        <v>A1330</v>
      </c>
      <c r="J1335" s="75" t="str">
        <f aca="false">
IF($D1335="정상",INDEX(임대자산!$D$3:$R$3000,MATCH($F1335,임대자산!$I$3:$I$3000,0),MATCH(J$4,임대자산!$D$3:$R$3,0)),
IF($D1335="폐업",INDEX(폐업정보!$D$3:$R$3000,MATCH($F1335,폐업정보!$I$3:$I$3000,0),MATCH(J$4,폐업정보!$D$3:$R$3,0)),
"Error"))</f>
        <v>5832000000</v>
      </c>
      <c r="K1335" s="75" t="str">
        <f aca="false">
IF($D1335="정상",INDEX(임대자산!$D$3:$R$3000,MATCH($F1335,임대자산!$I$3:$I$3000,0),MATCH(K$4,임대자산!$D$3:$R$3,0)),
IF($D1335="폐업",INDEX(폐업정보!$D$3:$R$3000,MATCH($F1335,폐업정보!$I$3:$I$3000,0),MATCH(K$4,폐업정보!$D$3:$R$3,0)),
"Error"))</f>
        <v>C1330</v>
      </c>
      <c r="L1335" s="75" t="str">
        <f aca="false">
IF($D1335="정상",INDEX(임대자산!$D$3:$R$3000,MATCH($F1335,임대자산!$I$3:$I$3000,0),MATCH(L$4,임대자산!$D$3:$R$3,0)),
IF($D1335="폐업",INDEX(폐업정보!$D$3:$R$3000,MATCH($F1335,폐업정보!$I$3:$I$3000,0),MATCH(L$4,폐업정보!$D$3:$R$3,0)),
"Error"))</f>
        <v>D1330</v>
      </c>
      <c r="M1335" s="76" t="s">
        <v>96</v>
      </c>
      <c r="N1335" s="77"/>
      <c r="O1335" s="78" t="s">
        <v>97</v>
      </c>
      <c r="P1335" s="79" t="n">
        <f aca="false">COUNTIFS(임대자산!$I:$I,가맹점정보!F1335,임대자산!$N:$N,가맹점정보!P$4)</f>
        <v>0</v>
      </c>
      <c r="Q1335" s="80" t="n">
        <f aca="false">COUNTIFS(임대자산!$I:$I,가맹점정보!F1335,임대자산!$N:$N,가맹점정보!Q$4)</f>
        <v>0</v>
      </c>
      <c r="R1335" s="81" t="n">
        <f aca="false">COUNTIFS(임대자산!$I:$I,가맹점정보!F1335,임대자산!$N:$N,가맹점정보!R$4)</f>
        <v>1</v>
      </c>
      <c r="S1335" s="82" t="n">
        <v>55000</v>
      </c>
      <c r="T1335" s="83" t="n">
        <v>0</v>
      </c>
      <c r="U1335" s="80" t="n">
        <f aca="false">SUM(S1335:T1335)</f>
        <v>55000</v>
      </c>
      <c r="V1335" s="84" t="s">
        <v>7</v>
      </c>
      <c r="W1335" s="80" t="str">
        <f aca="true">
IF(D1335="폐업","폐업",
IF(V1335="면제","면제",
IF(AND(V1335="정상",COUNTIFS(OFFSET(Y1335,0,COUNTA(Y1335:AV1335)-1,1,-4),"미납")&gt;=3),"장기미납",
IF(AND(V1335="정상",OFFSET(Y1335,0,COUNTA(Y1335:AV1335)-1)&gt;=U1335),"정상",
IF(AND(V1335="정상",OFFSET(Y1335,0,COUNTA(Y1335:AV1335)-1)=0),"정상",
"계약서 미작성")))))</f>
        <v>면제</v>
      </c>
      <c r="X1335" s="81" t="str">
        <f aca="true">
IF(D1335="폐업","폐업",
IF(AND(V1335="정상",OFFSET(Y1335,0,COUNTA(Y1335:AV1335)-1)="미납"),"미납",
IF(AND(V1335="정상",OFFSET(Y1335,0,COUNTA(Y1335:AV1335)-1)=0),"납부 시작 전",
IF(AND(V1335="정상",OFFSET(Y1335,0,COUNTA(Y1335:AV1335)-1)&gt;=U1335),"정상",
IF(AND(V1335="면제",OFFSET(Y1335,0,COUNTA(Y1335:AV1335)-1)="면제"),"면제",
IF(AND(V1335="면제",OFFSET(Y1335,0,COUNTA(Y1335:AV1335)-1)=0),"면제",
"확인요청"))))))</f>
        <v>면제</v>
      </c>
      <c r="Y1335" s="94" t="s">
        <v>7</v>
      </c>
      <c r="Z1335" s="95" t="s">
        <v>7</v>
      </c>
      <c r="AA1335" s="95" t="s">
        <v>7</v>
      </c>
      <c r="AB1335" s="95" t="s">
        <v>7</v>
      </c>
      <c r="AC1335" s="95" t="s">
        <v>7</v>
      </c>
      <c r="AD1335" s="95" t="s">
        <v>7</v>
      </c>
      <c r="AE1335" s="95" t="s">
        <v>7</v>
      </c>
      <c r="AF1335" s="95" t="s">
        <v>7</v>
      </c>
      <c r="AG1335" s="95" t="s">
        <v>7</v>
      </c>
      <c r="AH1335" s="95" t="s">
        <v>7</v>
      </c>
      <c r="AI1335" s="95" t="s">
        <v>7</v>
      </c>
      <c r="AJ1335" s="96" t="s">
        <v>7</v>
      </c>
      <c r="AK1335" s="97" t="s">
        <v>7</v>
      </c>
      <c r="AL1335" s="95" t="s">
        <v>7</v>
      </c>
      <c r="AM1335" s="90"/>
      <c r="AN1335" s="90"/>
      <c r="AO1335" s="90"/>
      <c r="AP1335" s="90"/>
      <c r="AQ1335" s="90"/>
      <c r="AR1335" s="90"/>
      <c r="AS1335" s="90"/>
      <c r="AT1335" s="90"/>
      <c r="AU1335" s="90"/>
      <c r="AV1335" s="91"/>
      <c r="AX1335" s="92"/>
    </row>
    <row r="1336" customFormat="false" ht="15.65" hidden="false" customHeight="false" outlineLevel="0" collapsed="false">
      <c r="C1336" s="72" t="n">
        <f aca="false">COUNTIFS($D$6:D1336,"&lt;&gt;"&amp;"")</f>
        <v>1331</v>
      </c>
      <c r="D1336" s="73" t="s">
        <v>12</v>
      </c>
      <c r="E1336" s="76" t="str">
        <f aca="false">
IF($D1336="정상",INDEX(임대자산!$D$3:$R$3000,MATCH($F1336,임대자산!$I$3:$I$3000,0),MATCH(E$3,임대자산!$D$3:$R$3,0)),
IF($D1336="폐업",INDEX(폐업정보!$D$3:$R$3000,MATCH($F1336,폐업정보!$I$3:$I$3000,0),MATCH(E$3,폐업정보!$D$3:$R$3,0)),
"Error"))</f>
        <v>경기</v>
      </c>
      <c r="F133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B1331</v>
      </c>
      <c r="G1336" s="76" t="str">
        <f aca="false">F1336&amp;RANDBETWEEN(0,10)</f>
        <v>B13313</v>
      </c>
      <c r="H1336" s="75" t="n">
        <f aca="false">
IF($D1336="정상",INDEX(임대자산!$D$3:$R$3000,MATCH($F1336,임대자산!$I$3:$I$3000,0),MATCH(H$4,임대자산!$D$3:$R$3,0)),
IF($D1336="폐업",INDEX(폐업정보!$D$3:$R$3000,MATCH($F1336,폐업정보!$I$3:$I$3000,0),MATCH(H$4,폐업정보!$D$3:$R$3,0)),
"Error"))</f>
        <v>45188</v>
      </c>
      <c r="I1336" s="75" t="str">
        <f aca="false">
IF($D1336="정상",INDEX(임대자산!$D$3:$R$3000,MATCH($F1336,임대자산!$I$3:$I$3000,0),MATCH(I$4,임대자산!$D$3:$R$3,0)),
IF($D1336="폐업",INDEX(폐업정보!$D$3:$R$3000,MATCH($F1336,폐업정보!$I$3:$I$3000,0),MATCH(I$4,폐업정보!$D$3:$R$3,0)),
"Error"))</f>
        <v>A1331</v>
      </c>
      <c r="J1336" s="75" t="str">
        <f aca="false">
IF($D1336="정상",INDEX(임대자산!$D$3:$R$3000,MATCH($F1336,임대자산!$I$3:$I$3000,0),MATCH(J$4,임대자산!$D$3:$R$3,0)),
IF($D1336="폐업",INDEX(폐업정보!$D$3:$R$3000,MATCH($F1336,폐업정보!$I$3:$I$3000,0),MATCH(J$4,폐업정보!$D$3:$R$3,0)),
"Error"))</f>
        <v>6922600000</v>
      </c>
      <c r="K1336" s="75" t="str">
        <f aca="false">
IF($D1336="정상",INDEX(임대자산!$D$3:$R$3000,MATCH($F1336,임대자산!$I$3:$I$3000,0),MATCH(K$4,임대자산!$D$3:$R$3,0)),
IF($D1336="폐업",INDEX(폐업정보!$D$3:$R$3000,MATCH($F1336,폐업정보!$I$3:$I$3000,0),MATCH(K$4,폐업정보!$D$3:$R$3,0)),
"Error"))</f>
        <v>C1331</v>
      </c>
      <c r="L1336" s="75" t="str">
        <f aca="false">
IF($D1336="정상",INDEX(임대자산!$D$3:$R$3000,MATCH($F1336,임대자산!$I$3:$I$3000,0),MATCH(L$4,임대자산!$D$3:$R$3,0)),
IF($D1336="폐업",INDEX(폐업정보!$D$3:$R$3000,MATCH($F1336,폐업정보!$I$3:$I$3000,0),MATCH(L$4,폐업정보!$D$3:$R$3,0)),
"Error"))</f>
        <v>D1331</v>
      </c>
      <c r="M1336" s="76" t="s">
        <v>96</v>
      </c>
      <c r="N1336" s="77"/>
      <c r="O1336" s="78" t="s">
        <v>97</v>
      </c>
      <c r="P1336" s="79" t="n">
        <f aca="false">COUNTIFS(임대자산!$I:$I,가맹점정보!F1336,임대자산!$N:$N,가맹점정보!P$4)</f>
        <v>0</v>
      </c>
      <c r="Q1336" s="80" t="n">
        <f aca="false">COUNTIFS(임대자산!$I:$I,가맹점정보!F1336,임대자산!$N:$N,가맹점정보!Q$4)</f>
        <v>0</v>
      </c>
      <c r="R1336" s="81" t="n">
        <f aca="false">COUNTIFS(임대자산!$I:$I,가맹점정보!F1336,임대자산!$N:$N,가맹점정보!R$4)</f>
        <v>1</v>
      </c>
      <c r="S1336" s="82" t="n">
        <v>55000</v>
      </c>
      <c r="T1336" s="83" t="n">
        <v>0</v>
      </c>
      <c r="U1336" s="80" t="n">
        <f aca="false">SUM(S1336:T1336)</f>
        <v>55000</v>
      </c>
      <c r="V1336" s="84" t="s">
        <v>7</v>
      </c>
      <c r="W1336" s="80" t="str">
        <f aca="true">
IF(D1336="폐업","폐업",
IF(V1336="면제","면제",
IF(AND(V1336="정상",COUNTIFS(OFFSET(Y1336,0,COUNTA(Y1336:AV1336)-1,1,-4),"미납")&gt;=3),"장기미납",
IF(AND(V1336="정상",OFFSET(Y1336,0,COUNTA(Y1336:AV1336)-1)&gt;=U1336),"정상",
IF(AND(V1336="정상",OFFSET(Y1336,0,COUNTA(Y1336:AV1336)-1)=0),"정상",
"계약서 미작성")))))</f>
        <v>면제</v>
      </c>
      <c r="X1336" s="81" t="str">
        <f aca="true">
IF(D1336="폐업","폐업",
IF(AND(V1336="정상",OFFSET(Y1336,0,COUNTA(Y1336:AV1336)-1)="미납"),"미납",
IF(AND(V1336="정상",OFFSET(Y1336,0,COUNTA(Y1336:AV1336)-1)=0),"납부 시작 전",
IF(AND(V1336="정상",OFFSET(Y1336,0,COUNTA(Y1336:AV1336)-1)&gt;=U1336),"정상",
IF(AND(V1336="면제",OFFSET(Y1336,0,COUNTA(Y1336:AV1336)-1)="면제"),"면제",
IF(AND(V1336="면제",OFFSET(Y1336,0,COUNTA(Y1336:AV1336)-1)=0),"면제",
"확인요청"))))))</f>
        <v>면제</v>
      </c>
      <c r="Y1336" s="94" t="s">
        <v>7</v>
      </c>
      <c r="Z1336" s="95" t="s">
        <v>7</v>
      </c>
      <c r="AA1336" s="95" t="s">
        <v>7</v>
      </c>
      <c r="AB1336" s="95" t="s">
        <v>7</v>
      </c>
      <c r="AC1336" s="95" t="s">
        <v>7</v>
      </c>
      <c r="AD1336" s="95" t="s">
        <v>7</v>
      </c>
      <c r="AE1336" s="95" t="s">
        <v>7</v>
      </c>
      <c r="AF1336" s="95" t="s">
        <v>7</v>
      </c>
      <c r="AG1336" s="95" t="s">
        <v>7</v>
      </c>
      <c r="AH1336" s="95" t="s">
        <v>7</v>
      </c>
      <c r="AI1336" s="95" t="s">
        <v>7</v>
      </c>
      <c r="AJ1336" s="96" t="s">
        <v>7</v>
      </c>
      <c r="AK1336" s="97" t="s">
        <v>7</v>
      </c>
      <c r="AL1336" s="95" t="s">
        <v>7</v>
      </c>
      <c r="AM1336" s="90"/>
      <c r="AN1336" s="90"/>
      <c r="AO1336" s="90"/>
      <c r="AP1336" s="90"/>
      <c r="AQ1336" s="90"/>
      <c r="AR1336" s="90"/>
      <c r="AS1336" s="90"/>
      <c r="AT1336" s="90"/>
      <c r="AU1336" s="90"/>
      <c r="AV1336" s="91"/>
      <c r="AX1336" s="92"/>
    </row>
    <row r="1337" customFormat="false" ht="15.65" hidden="false" customHeight="false" outlineLevel="0" collapsed="false">
      <c r="C1337" s="72" t="n">
        <f aca="false">COUNTIFS($D$6:D1337,"&lt;&gt;"&amp;"")</f>
        <v>1332</v>
      </c>
      <c r="D1337" s="73" t="s">
        <v>12</v>
      </c>
      <c r="E1337" s="76" t="str">
        <f aca="false">
IF($D1337="정상",INDEX(임대자산!$D$3:$R$3000,MATCH($F1337,임대자산!$I$3:$I$3000,0),MATCH(E$3,임대자산!$D$3:$R$3,0)),
IF($D1337="폐업",INDEX(폐업정보!$D$3:$R$3000,MATCH($F1337,폐업정보!$I$3:$I$3000,0),MATCH(E$3,폐업정보!$D$3:$R$3,0)),
"Error"))</f>
        <v>강원</v>
      </c>
      <c r="F133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B1332</v>
      </c>
      <c r="G1337" s="76" t="str">
        <f aca="false">F1337&amp;RANDBETWEEN(0,10)</f>
        <v>B13324</v>
      </c>
      <c r="H1337" s="75" t="n">
        <f aca="false">
IF($D1337="정상",INDEX(임대자산!$D$3:$R$3000,MATCH($F1337,임대자산!$I$3:$I$3000,0),MATCH(H$4,임대자산!$D$3:$R$3,0)),
IF($D1337="폐업",INDEX(폐업정보!$D$3:$R$3000,MATCH($F1337,폐업정보!$I$3:$I$3000,0),MATCH(H$4,폐업정보!$D$3:$R$3,0)),
"Error"))</f>
        <v>45175</v>
      </c>
      <c r="I1337" s="75" t="str">
        <f aca="false">
IF($D1337="정상",INDEX(임대자산!$D$3:$R$3000,MATCH($F1337,임대자산!$I$3:$I$3000,0),MATCH(I$4,임대자산!$D$3:$R$3,0)),
IF($D1337="폐업",INDEX(폐업정보!$D$3:$R$3000,MATCH($F1337,폐업정보!$I$3:$I$3000,0),MATCH(I$4,폐업정보!$D$3:$R$3,0)),
"Error"))</f>
        <v>A1332</v>
      </c>
      <c r="J1337" s="75" t="str">
        <f aca="false">
IF($D1337="정상",INDEX(임대자산!$D$3:$R$3000,MATCH($F1337,임대자산!$I$3:$I$3000,0),MATCH(J$4,임대자산!$D$3:$R$3,0)),
IF($D1337="폐업",INDEX(폐업정보!$D$3:$R$3000,MATCH($F1337,폐업정보!$I$3:$I$3000,0),MATCH(J$4,폐업정보!$D$3:$R$3,0)),
"Error"))</f>
        <v>4543600000</v>
      </c>
      <c r="K1337" s="75" t="str">
        <f aca="false">
IF($D1337="정상",INDEX(임대자산!$D$3:$R$3000,MATCH($F1337,임대자산!$I$3:$I$3000,0),MATCH(K$4,임대자산!$D$3:$R$3,0)),
IF($D1337="폐업",INDEX(폐업정보!$D$3:$R$3000,MATCH($F1337,폐업정보!$I$3:$I$3000,0),MATCH(K$4,폐업정보!$D$3:$R$3,0)),
"Error"))</f>
        <v>C1332</v>
      </c>
      <c r="L1337" s="75" t="str">
        <f aca="false">
IF($D1337="정상",INDEX(임대자산!$D$3:$R$3000,MATCH($F1337,임대자산!$I$3:$I$3000,0),MATCH(L$4,임대자산!$D$3:$R$3,0)),
IF($D1337="폐업",INDEX(폐업정보!$D$3:$R$3000,MATCH($F1337,폐업정보!$I$3:$I$3000,0),MATCH(L$4,폐업정보!$D$3:$R$3,0)),
"Error"))</f>
        <v>D1332</v>
      </c>
      <c r="M1337" s="76" t="s">
        <v>96</v>
      </c>
      <c r="N1337" s="77"/>
      <c r="O1337" s="78" t="s">
        <v>97</v>
      </c>
      <c r="P1337" s="79" t="n">
        <f aca="false">COUNTIFS(임대자산!$I:$I,가맹점정보!F1337,임대자산!$N:$N,가맹점정보!P$4)</f>
        <v>0</v>
      </c>
      <c r="Q1337" s="80" t="n">
        <f aca="false">COUNTIFS(임대자산!$I:$I,가맹점정보!F1337,임대자산!$N:$N,가맹점정보!Q$4)</f>
        <v>0</v>
      </c>
      <c r="R1337" s="81" t="n">
        <f aca="false">COUNTIFS(임대자산!$I:$I,가맹점정보!F1337,임대자산!$N:$N,가맹점정보!R$4)</f>
        <v>1</v>
      </c>
      <c r="S1337" s="82" t="n">
        <v>55000</v>
      </c>
      <c r="T1337" s="83" t="n">
        <v>0</v>
      </c>
      <c r="U1337" s="80" t="n">
        <f aca="false">SUM(S1337:T1337)</f>
        <v>55000</v>
      </c>
      <c r="V1337" s="84" t="s">
        <v>7</v>
      </c>
      <c r="W1337" s="80" t="str">
        <f aca="true">
IF(D1337="폐업","폐업",
IF(V1337="면제","면제",
IF(AND(V1337="정상",COUNTIFS(OFFSET(Y1337,0,COUNTA(Y1337:AV1337)-1,1,-4),"미납")&gt;=3),"장기미납",
IF(AND(V1337="정상",OFFSET(Y1337,0,COUNTA(Y1337:AV1337)-1)&gt;=U1337),"정상",
IF(AND(V1337="정상",OFFSET(Y1337,0,COUNTA(Y1337:AV1337)-1)=0),"정상",
"계약서 미작성")))))</f>
        <v>면제</v>
      </c>
      <c r="X1337" s="81" t="str">
        <f aca="true">
IF(D1337="폐업","폐업",
IF(AND(V1337="정상",OFFSET(Y1337,0,COUNTA(Y1337:AV1337)-1)="미납"),"미납",
IF(AND(V1337="정상",OFFSET(Y1337,0,COUNTA(Y1337:AV1337)-1)=0),"납부 시작 전",
IF(AND(V1337="정상",OFFSET(Y1337,0,COUNTA(Y1337:AV1337)-1)&gt;=U1337),"정상",
IF(AND(V1337="면제",OFFSET(Y1337,0,COUNTA(Y1337:AV1337)-1)="면제"),"면제",
IF(AND(V1337="면제",OFFSET(Y1337,0,COUNTA(Y1337:AV1337)-1)=0),"면제",
"확인요청"))))))</f>
        <v>면제</v>
      </c>
      <c r="Y1337" s="94" t="s">
        <v>7</v>
      </c>
      <c r="Z1337" s="95" t="s">
        <v>7</v>
      </c>
      <c r="AA1337" s="95" t="s">
        <v>7</v>
      </c>
      <c r="AB1337" s="95" t="s">
        <v>7</v>
      </c>
      <c r="AC1337" s="95" t="s">
        <v>7</v>
      </c>
      <c r="AD1337" s="95" t="s">
        <v>7</v>
      </c>
      <c r="AE1337" s="95" t="s">
        <v>7</v>
      </c>
      <c r="AF1337" s="95" t="s">
        <v>7</v>
      </c>
      <c r="AG1337" s="95" t="s">
        <v>7</v>
      </c>
      <c r="AH1337" s="95" t="s">
        <v>7</v>
      </c>
      <c r="AI1337" s="95" t="s">
        <v>7</v>
      </c>
      <c r="AJ1337" s="96" t="s">
        <v>7</v>
      </c>
      <c r="AK1337" s="97" t="s">
        <v>7</v>
      </c>
      <c r="AL1337" s="95" t="s">
        <v>7</v>
      </c>
      <c r="AM1337" s="90"/>
      <c r="AN1337" s="90"/>
      <c r="AO1337" s="90"/>
      <c r="AP1337" s="90"/>
      <c r="AQ1337" s="90"/>
      <c r="AR1337" s="90"/>
      <c r="AS1337" s="90"/>
      <c r="AT1337" s="90"/>
      <c r="AU1337" s="90"/>
      <c r="AV1337" s="91"/>
      <c r="AX1337" s="92"/>
    </row>
    <row r="1338" customFormat="false" ht="15.65" hidden="false" customHeight="false" outlineLevel="0" collapsed="false">
      <c r="C1338" s="72" t="n">
        <f aca="false">COUNTIFS($D$6:D1338,"&lt;&gt;"&amp;"")</f>
        <v>1333</v>
      </c>
      <c r="D1338" s="73" t="s">
        <v>12</v>
      </c>
      <c r="E1338" s="76" t="str">
        <f aca="false">
IF($D1338="정상",INDEX(임대자산!$D$3:$R$3000,MATCH($F1338,임대자산!$I$3:$I$3000,0),MATCH(E$3,임대자산!$D$3:$R$3,0)),
IF($D1338="폐업",INDEX(폐업정보!$D$3:$R$3000,MATCH($F1338,폐업정보!$I$3:$I$3000,0),MATCH(E$3,폐업정보!$D$3:$R$3,0)),
"Error"))</f>
        <v>강원</v>
      </c>
      <c r="F133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B1333</v>
      </c>
      <c r="G1338" s="76" t="str">
        <f aca="false">F1338&amp;RANDBETWEEN(0,10)</f>
        <v>B13332</v>
      </c>
      <c r="H1338" s="75" t="n">
        <f aca="false">
IF($D1338="정상",INDEX(임대자산!$D$3:$R$3000,MATCH($F1338,임대자산!$I$3:$I$3000,0),MATCH(H$4,임대자산!$D$3:$R$3,0)),
IF($D1338="폐업",INDEX(폐업정보!$D$3:$R$3000,MATCH($F1338,폐업정보!$I$3:$I$3000,0),MATCH(H$4,폐업정보!$D$3:$R$3,0)),
"Error"))</f>
        <v>45175</v>
      </c>
      <c r="I1338" s="75" t="str">
        <f aca="false">
IF($D1338="정상",INDEX(임대자산!$D$3:$R$3000,MATCH($F1338,임대자산!$I$3:$I$3000,0),MATCH(I$4,임대자산!$D$3:$R$3,0)),
IF($D1338="폐업",INDEX(폐업정보!$D$3:$R$3000,MATCH($F1338,폐업정보!$I$3:$I$3000,0),MATCH(I$4,폐업정보!$D$3:$R$3,0)),
"Error"))</f>
        <v>A1333</v>
      </c>
      <c r="J1338" s="75" t="str">
        <f aca="false">
IF($D1338="정상",INDEX(임대자산!$D$3:$R$3000,MATCH($F1338,임대자산!$I$3:$I$3000,0),MATCH(J$4,임대자산!$D$3:$R$3,0)),
IF($D1338="폐업",INDEX(폐업정보!$D$3:$R$3000,MATCH($F1338,폐업정보!$I$3:$I$3000,0),MATCH(J$4,폐업정보!$D$3:$R$3,0)),
"Error"))</f>
        <v>1119000000</v>
      </c>
      <c r="K1338" s="75" t="str">
        <f aca="false">
IF($D1338="정상",INDEX(임대자산!$D$3:$R$3000,MATCH($F1338,임대자산!$I$3:$I$3000,0),MATCH(K$4,임대자산!$D$3:$R$3,0)),
IF($D1338="폐업",INDEX(폐업정보!$D$3:$R$3000,MATCH($F1338,폐업정보!$I$3:$I$3000,0),MATCH(K$4,폐업정보!$D$3:$R$3,0)),
"Error"))</f>
        <v>C1333</v>
      </c>
      <c r="L1338" s="75" t="str">
        <f aca="false">
IF($D1338="정상",INDEX(임대자산!$D$3:$R$3000,MATCH($F1338,임대자산!$I$3:$I$3000,0),MATCH(L$4,임대자산!$D$3:$R$3,0)),
IF($D1338="폐업",INDEX(폐업정보!$D$3:$R$3000,MATCH($F1338,폐업정보!$I$3:$I$3000,0),MATCH(L$4,폐업정보!$D$3:$R$3,0)),
"Error"))</f>
        <v>D1333</v>
      </c>
      <c r="M1338" s="76" t="s">
        <v>96</v>
      </c>
      <c r="N1338" s="77"/>
      <c r="O1338" s="78" t="s">
        <v>97</v>
      </c>
      <c r="P1338" s="79" t="n">
        <f aca="false">COUNTIFS(임대자산!$I:$I,가맹점정보!F1338,임대자산!$N:$N,가맹점정보!P$4)</f>
        <v>0</v>
      </c>
      <c r="Q1338" s="80" t="n">
        <f aca="false">COUNTIFS(임대자산!$I:$I,가맹점정보!F1338,임대자산!$N:$N,가맹점정보!Q$4)</f>
        <v>0</v>
      </c>
      <c r="R1338" s="81" t="n">
        <f aca="false">COUNTIFS(임대자산!$I:$I,가맹점정보!F1338,임대자산!$N:$N,가맹점정보!R$4)</f>
        <v>1</v>
      </c>
      <c r="S1338" s="82" t="n">
        <v>55000</v>
      </c>
      <c r="T1338" s="83" t="n">
        <v>0</v>
      </c>
      <c r="U1338" s="80" t="n">
        <f aca="false">SUM(S1338:T1338)</f>
        <v>55000</v>
      </c>
      <c r="V1338" s="84" t="s">
        <v>12</v>
      </c>
      <c r="W1338" s="80" t="e">
        <f aca="true">
IF(D1338="폐업","폐업",
IF(V1338="면제","면제",
IF(AND(V1338="정상",COUNTIFS(OFFSET(Y1338,0,COUNTA(Y1338:AV1338)-1,1,-4),"미납")&gt;=3),"장기미납",
IF(AND(V1338="정상",OFFSET(Y1338,0,COUNTA(Y1338:AV1338)-1)&gt;=U1338),"정상",
IF(AND(V1338="정상",OFFSET(Y1338,0,COUNTA(Y1338:AV1338)-1)=0),"정상",
"계약서 미작성")))))</f>
        <v>#VALUE!</v>
      </c>
      <c r="X1338" s="81" t="str">
        <f aca="true">
IF(D1338="폐업","폐업",
IF(AND(V1338="정상",OFFSET(Y1338,0,COUNTA(Y1338:AV1338)-1)="미납"),"미납",
IF(AND(V1338="정상",OFFSET(Y1338,0,COUNTA(Y1338:AV1338)-1)=0),"납부 시작 전",
IF(AND(V1338="정상",OFFSET(Y1338,0,COUNTA(Y1338:AV1338)-1)&gt;=U1338),"정상",
IF(AND(V1338="면제",OFFSET(Y1338,0,COUNTA(Y1338:AV1338)-1)="면제"),"면제",
IF(AND(V1338="면제",OFFSET(Y1338,0,COUNTA(Y1338:AV1338)-1)=0),"면제",
"확인요청"))))))</f>
        <v>정상</v>
      </c>
      <c r="Y1338" s="93" t="n">
        <v>55000</v>
      </c>
      <c r="Z1338" s="90" t="n">
        <v>55000</v>
      </c>
      <c r="AA1338" s="90" t="n">
        <v>55000</v>
      </c>
      <c r="AB1338" s="90" t="n">
        <v>55000</v>
      </c>
      <c r="AC1338" s="90" t="n">
        <v>55000</v>
      </c>
      <c r="AD1338" s="90" t="n">
        <v>55000</v>
      </c>
      <c r="AE1338" s="90" t="n">
        <v>55000</v>
      </c>
      <c r="AF1338" s="90" t="n">
        <v>55000</v>
      </c>
      <c r="AG1338" s="90" t="n">
        <v>55000</v>
      </c>
      <c r="AH1338" s="90" t="n">
        <v>55000</v>
      </c>
      <c r="AI1338" s="90" t="n">
        <v>55000</v>
      </c>
      <c r="AJ1338" s="91" t="n">
        <v>55000</v>
      </c>
      <c r="AK1338" s="89" t="n">
        <v>55000</v>
      </c>
      <c r="AL1338" s="90" t="n">
        <v>55000</v>
      </c>
      <c r="AM1338" s="90"/>
      <c r="AN1338" s="90"/>
      <c r="AO1338" s="90"/>
      <c r="AP1338" s="90"/>
      <c r="AQ1338" s="90"/>
      <c r="AR1338" s="90"/>
      <c r="AS1338" s="90"/>
      <c r="AT1338" s="90"/>
      <c r="AU1338" s="90"/>
      <c r="AV1338" s="91"/>
      <c r="AX1338" s="92"/>
    </row>
    <row r="1339" customFormat="false" ht="15.65" hidden="false" customHeight="false" outlineLevel="0" collapsed="false">
      <c r="C1339" s="72" t="n">
        <f aca="false">COUNTIFS($D$6:D1339,"&lt;&gt;"&amp;"")</f>
        <v>1334</v>
      </c>
      <c r="D1339" s="73" t="s">
        <v>12</v>
      </c>
      <c r="E1339" s="76" t="str">
        <f aca="false">
IF($D1339="정상",INDEX(임대자산!$D$3:$R$3000,MATCH($F1339,임대자산!$I$3:$I$3000,0),MATCH(E$3,임대자산!$D$3:$R$3,0)),
IF($D1339="폐업",INDEX(폐업정보!$D$3:$R$3000,MATCH($F1339,폐업정보!$I$3:$I$3000,0),MATCH(E$3,폐업정보!$D$3:$R$3,0)),
"Error"))</f>
        <v>강원</v>
      </c>
      <c r="F133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B1334</v>
      </c>
      <c r="G1339" s="76" t="str">
        <f aca="false">F1339&amp;RANDBETWEEN(0,10)</f>
        <v>B13346</v>
      </c>
      <c r="H1339" s="75" t="n">
        <f aca="false">
IF($D1339="정상",INDEX(임대자산!$D$3:$R$3000,MATCH($F1339,임대자산!$I$3:$I$3000,0),MATCH(H$4,임대자산!$D$3:$R$3,0)),
IF($D1339="폐업",INDEX(폐업정보!$D$3:$R$3000,MATCH($F1339,폐업정보!$I$3:$I$3000,0),MATCH(H$4,폐업정보!$D$3:$R$3,0)),
"Error"))</f>
        <v>45189</v>
      </c>
      <c r="I1339" s="75" t="str">
        <f aca="false">
IF($D1339="정상",INDEX(임대자산!$D$3:$R$3000,MATCH($F1339,임대자산!$I$3:$I$3000,0),MATCH(I$4,임대자산!$D$3:$R$3,0)),
IF($D1339="폐업",INDEX(폐업정보!$D$3:$R$3000,MATCH($F1339,폐업정보!$I$3:$I$3000,0),MATCH(I$4,폐업정보!$D$3:$R$3,0)),
"Error"))</f>
        <v>A1334</v>
      </c>
      <c r="J1339" s="75" t="str">
        <f aca="false">
IF($D1339="정상",INDEX(임대자산!$D$3:$R$3000,MATCH($F1339,임대자산!$I$3:$I$3000,0),MATCH(J$4,임대자산!$D$3:$R$3,0)),
IF($D1339="폐업",INDEX(폐업정보!$D$3:$R$3000,MATCH($F1339,폐업정보!$I$3:$I$3000,0),MATCH(J$4,폐업정보!$D$3:$R$3,0)),
"Error"))</f>
        <v>1439700000</v>
      </c>
      <c r="K1339" s="75" t="str">
        <f aca="false">
IF($D1339="정상",INDEX(임대자산!$D$3:$R$3000,MATCH($F1339,임대자산!$I$3:$I$3000,0),MATCH(K$4,임대자산!$D$3:$R$3,0)),
IF($D1339="폐업",INDEX(폐업정보!$D$3:$R$3000,MATCH($F1339,폐업정보!$I$3:$I$3000,0),MATCH(K$4,폐업정보!$D$3:$R$3,0)),
"Error"))</f>
        <v>C1334</v>
      </c>
      <c r="L1339" s="75" t="str">
        <f aca="false">
IF($D1339="정상",INDEX(임대자산!$D$3:$R$3000,MATCH($F1339,임대자산!$I$3:$I$3000,0),MATCH(L$4,임대자산!$D$3:$R$3,0)),
IF($D1339="폐업",INDEX(폐업정보!$D$3:$R$3000,MATCH($F1339,폐업정보!$I$3:$I$3000,0),MATCH(L$4,폐업정보!$D$3:$R$3,0)),
"Error"))</f>
        <v>D1334</v>
      </c>
      <c r="M1339" s="76" t="s">
        <v>96</v>
      </c>
      <c r="N1339" s="77"/>
      <c r="O1339" s="78" t="s">
        <v>97</v>
      </c>
      <c r="P1339" s="79" t="n">
        <f aca="false">COUNTIFS(임대자산!$I:$I,가맹점정보!F1339,임대자산!$N:$N,가맹점정보!P$4)</f>
        <v>0</v>
      </c>
      <c r="Q1339" s="80" t="n">
        <f aca="false">COUNTIFS(임대자산!$I:$I,가맹점정보!F1339,임대자산!$N:$N,가맹점정보!Q$4)</f>
        <v>0</v>
      </c>
      <c r="R1339" s="81" t="n">
        <f aca="false">COUNTIFS(임대자산!$I:$I,가맹점정보!F1339,임대자산!$N:$N,가맹점정보!R$4)</f>
        <v>1</v>
      </c>
      <c r="S1339" s="82" t="n">
        <v>132000</v>
      </c>
      <c r="T1339" s="83" t="n">
        <v>0</v>
      </c>
      <c r="U1339" s="80" t="n">
        <f aca="false">SUM(S1339:T1339)</f>
        <v>132000</v>
      </c>
      <c r="V1339" s="84" t="s">
        <v>7</v>
      </c>
      <c r="W1339" s="80" t="str">
        <f aca="true">
IF(D1339="폐업","폐업",
IF(V1339="면제","면제",
IF(AND(V1339="정상",COUNTIFS(OFFSET(Y1339,0,COUNTA(Y1339:AV1339)-1,1,-4),"미납")&gt;=3),"장기미납",
IF(AND(V1339="정상",OFFSET(Y1339,0,COUNTA(Y1339:AV1339)-1)&gt;=U1339),"정상",
IF(AND(V1339="정상",OFFSET(Y1339,0,COUNTA(Y1339:AV1339)-1)=0),"정상",
"계약서 미작성")))))</f>
        <v>면제</v>
      </c>
      <c r="X1339" s="81" t="str">
        <f aca="true">
IF(D1339="폐업","폐업",
IF(AND(V1339="정상",OFFSET(Y1339,0,COUNTA(Y1339:AV1339)-1)="미납"),"미납",
IF(AND(V1339="정상",OFFSET(Y1339,0,COUNTA(Y1339:AV1339)-1)=0),"납부 시작 전",
IF(AND(V1339="정상",OFFSET(Y1339,0,COUNTA(Y1339:AV1339)-1)&gt;=U1339),"정상",
IF(AND(V1339="면제",OFFSET(Y1339,0,COUNTA(Y1339:AV1339)-1)="면제"),"면제",
IF(AND(V1339="면제",OFFSET(Y1339,0,COUNTA(Y1339:AV1339)-1)=0),"면제",
"확인요청"))))))</f>
        <v>면제</v>
      </c>
      <c r="Y1339" s="94" t="s">
        <v>7</v>
      </c>
      <c r="Z1339" s="95" t="s">
        <v>7</v>
      </c>
      <c r="AA1339" s="95" t="s">
        <v>7</v>
      </c>
      <c r="AB1339" s="95" t="s">
        <v>7</v>
      </c>
      <c r="AC1339" s="95" t="s">
        <v>7</v>
      </c>
      <c r="AD1339" s="95" t="s">
        <v>7</v>
      </c>
      <c r="AE1339" s="95" t="s">
        <v>7</v>
      </c>
      <c r="AF1339" s="95" t="s">
        <v>7</v>
      </c>
      <c r="AG1339" s="95" t="s">
        <v>7</v>
      </c>
      <c r="AH1339" s="95" t="s">
        <v>7</v>
      </c>
      <c r="AI1339" s="95" t="s">
        <v>7</v>
      </c>
      <c r="AJ1339" s="96" t="s">
        <v>7</v>
      </c>
      <c r="AK1339" s="97" t="s">
        <v>7</v>
      </c>
      <c r="AL1339" s="95" t="s">
        <v>7</v>
      </c>
      <c r="AM1339" s="90"/>
      <c r="AN1339" s="90"/>
      <c r="AO1339" s="90"/>
      <c r="AP1339" s="90"/>
      <c r="AQ1339" s="90"/>
      <c r="AR1339" s="90"/>
      <c r="AS1339" s="90"/>
      <c r="AT1339" s="90"/>
      <c r="AU1339" s="90"/>
      <c r="AV1339" s="91"/>
      <c r="AX1339" s="92"/>
    </row>
    <row r="1340" customFormat="false" ht="15.65" hidden="false" customHeight="false" outlineLevel="0" collapsed="false">
      <c r="C1340" s="72" t="n">
        <f aca="false">COUNTIFS($D$6:D1340,"&lt;&gt;"&amp;"")</f>
        <v>1335</v>
      </c>
      <c r="D1340" s="73" t="s">
        <v>12</v>
      </c>
      <c r="E1340" s="76" t="str">
        <f aca="false">
IF($D1340="정상",INDEX(임대자산!$D$3:$R$3000,MATCH($F1340,임대자산!$I$3:$I$3000,0),MATCH(E$3,임대자산!$D$3:$R$3,0)),
IF($D1340="폐업",INDEX(폐업정보!$D$3:$R$3000,MATCH($F1340,폐업정보!$I$3:$I$3000,0),MATCH(E$3,폐업정보!$D$3:$R$3,0)),
"Error"))</f>
        <v>경상</v>
      </c>
      <c r="F134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B1335</v>
      </c>
      <c r="G1340" s="76" t="str">
        <f aca="false">F1340&amp;RANDBETWEEN(0,10)</f>
        <v>B13350</v>
      </c>
      <c r="H1340" s="75" t="n">
        <f aca="false">
IF($D1340="정상",INDEX(임대자산!$D$3:$R$3000,MATCH($F1340,임대자산!$I$3:$I$3000,0),MATCH(H$4,임대자산!$D$3:$R$3,0)),
IF($D1340="폐업",INDEX(폐업정보!$D$3:$R$3000,MATCH($F1340,폐업정보!$I$3:$I$3000,0),MATCH(H$4,폐업정보!$D$3:$R$3,0)),
"Error"))</f>
        <v>45191</v>
      </c>
      <c r="I1340" s="75" t="str">
        <f aca="false">
IF($D1340="정상",INDEX(임대자산!$D$3:$R$3000,MATCH($F1340,임대자산!$I$3:$I$3000,0),MATCH(I$4,임대자산!$D$3:$R$3,0)),
IF($D1340="폐업",INDEX(폐업정보!$D$3:$R$3000,MATCH($F1340,폐업정보!$I$3:$I$3000,0),MATCH(I$4,폐업정보!$D$3:$R$3,0)),
"Error"))</f>
        <v>A1335</v>
      </c>
      <c r="J1340" s="75" t="str">
        <f aca="false">
IF($D1340="정상",INDEX(임대자산!$D$3:$R$3000,MATCH($F1340,임대자산!$I$3:$I$3000,0),MATCH(J$4,임대자산!$D$3:$R$3,0)),
IF($D1340="폐업",INDEX(폐업정보!$D$3:$R$3000,MATCH($F1340,폐업정보!$I$3:$I$3000,0),MATCH(J$4,폐업정보!$D$3:$R$3,0)),
"Error"))</f>
        <v>5145500000</v>
      </c>
      <c r="K1340" s="75" t="str">
        <f aca="false">
IF($D1340="정상",INDEX(임대자산!$D$3:$R$3000,MATCH($F1340,임대자산!$I$3:$I$3000,0),MATCH(K$4,임대자산!$D$3:$R$3,0)),
IF($D1340="폐업",INDEX(폐업정보!$D$3:$R$3000,MATCH($F1340,폐업정보!$I$3:$I$3000,0),MATCH(K$4,폐업정보!$D$3:$R$3,0)),
"Error"))</f>
        <v>C1335</v>
      </c>
      <c r="L1340" s="75" t="str">
        <f aca="false">
IF($D1340="정상",INDEX(임대자산!$D$3:$R$3000,MATCH($F1340,임대자산!$I$3:$I$3000,0),MATCH(L$4,임대자산!$D$3:$R$3,0)),
IF($D1340="폐업",INDEX(폐업정보!$D$3:$R$3000,MATCH($F1340,폐업정보!$I$3:$I$3000,0),MATCH(L$4,폐업정보!$D$3:$R$3,0)),
"Error"))</f>
        <v>D1335</v>
      </c>
      <c r="M1340" s="76" t="s">
        <v>96</v>
      </c>
      <c r="N1340" s="77"/>
      <c r="O1340" s="78" t="s">
        <v>97</v>
      </c>
      <c r="P1340" s="79" t="n">
        <f aca="false">COUNTIFS(임대자산!$I:$I,가맹점정보!F1340,임대자산!$N:$N,가맹점정보!P$4)</f>
        <v>0</v>
      </c>
      <c r="Q1340" s="80" t="n">
        <f aca="false">COUNTIFS(임대자산!$I:$I,가맹점정보!F1340,임대자산!$N:$N,가맹점정보!Q$4)</f>
        <v>0</v>
      </c>
      <c r="R1340" s="81" t="n">
        <f aca="false">COUNTIFS(임대자산!$I:$I,가맹점정보!F1340,임대자산!$N:$N,가맹점정보!R$4)</f>
        <v>1</v>
      </c>
      <c r="S1340" s="82" t="n">
        <v>88000</v>
      </c>
      <c r="T1340" s="83" t="n">
        <v>0</v>
      </c>
      <c r="U1340" s="80" t="n">
        <f aca="false">SUM(S1340:T1340)</f>
        <v>88000</v>
      </c>
      <c r="V1340" s="84" t="s">
        <v>7</v>
      </c>
      <c r="W1340" s="80" t="str">
        <f aca="true">
IF(D1340="폐업","폐업",
IF(V1340="면제","면제",
IF(AND(V1340="정상",COUNTIFS(OFFSET(Y1340,0,COUNTA(Y1340:AV1340)-1,1,-4),"미납")&gt;=3),"장기미납",
IF(AND(V1340="정상",OFFSET(Y1340,0,COUNTA(Y1340:AV1340)-1)&gt;=U1340),"정상",
IF(AND(V1340="정상",OFFSET(Y1340,0,COUNTA(Y1340:AV1340)-1)=0),"정상",
"계약서 미작성")))))</f>
        <v>면제</v>
      </c>
      <c r="X1340" s="81" t="str">
        <f aca="true">
IF(D1340="폐업","폐업",
IF(AND(V1340="정상",OFFSET(Y1340,0,COUNTA(Y1340:AV1340)-1)="미납"),"미납",
IF(AND(V1340="정상",OFFSET(Y1340,0,COUNTA(Y1340:AV1340)-1)=0),"납부 시작 전",
IF(AND(V1340="정상",OFFSET(Y1340,0,COUNTA(Y1340:AV1340)-1)&gt;=U1340),"정상",
IF(AND(V1340="면제",OFFSET(Y1340,0,COUNTA(Y1340:AV1340)-1)="면제"),"면제",
IF(AND(V1340="면제",OFFSET(Y1340,0,COUNTA(Y1340:AV1340)-1)=0),"면제",
"확인요청"))))))</f>
        <v>면제</v>
      </c>
      <c r="Y1340" s="94" t="s">
        <v>7</v>
      </c>
      <c r="Z1340" s="95" t="s">
        <v>7</v>
      </c>
      <c r="AA1340" s="95" t="s">
        <v>7</v>
      </c>
      <c r="AB1340" s="95" t="s">
        <v>7</v>
      </c>
      <c r="AC1340" s="95" t="s">
        <v>7</v>
      </c>
      <c r="AD1340" s="95" t="s">
        <v>7</v>
      </c>
      <c r="AE1340" s="95" t="s">
        <v>7</v>
      </c>
      <c r="AF1340" s="95" t="s">
        <v>7</v>
      </c>
      <c r="AG1340" s="95" t="s">
        <v>7</v>
      </c>
      <c r="AH1340" s="95" t="s">
        <v>7</v>
      </c>
      <c r="AI1340" s="95" t="s">
        <v>7</v>
      </c>
      <c r="AJ1340" s="96" t="s">
        <v>7</v>
      </c>
      <c r="AK1340" s="97" t="s">
        <v>7</v>
      </c>
      <c r="AL1340" s="95" t="s">
        <v>7</v>
      </c>
      <c r="AM1340" s="90"/>
      <c r="AN1340" s="90"/>
      <c r="AO1340" s="90"/>
      <c r="AP1340" s="90"/>
      <c r="AQ1340" s="90"/>
      <c r="AR1340" s="90"/>
      <c r="AS1340" s="90"/>
      <c r="AT1340" s="90"/>
      <c r="AU1340" s="90"/>
      <c r="AV1340" s="91"/>
      <c r="AX1340" s="92"/>
    </row>
    <row r="1341" customFormat="false" ht="15.65" hidden="false" customHeight="false" outlineLevel="0" collapsed="false">
      <c r="C1341" s="72" t="n">
        <f aca="false">COUNTIFS($D$6:D1341,"&lt;&gt;"&amp;"")</f>
        <v>1336</v>
      </c>
      <c r="D1341" s="73" t="s">
        <v>12</v>
      </c>
      <c r="E1341" s="76" t="str">
        <f aca="false">
IF($D1341="정상",INDEX(임대자산!$D$3:$R$3000,MATCH($F1341,임대자산!$I$3:$I$3000,0),MATCH(E$3,임대자산!$D$3:$R$3,0)),
IF($D1341="폐업",INDEX(폐업정보!$D$3:$R$3000,MATCH($F1341,폐업정보!$I$3:$I$3000,0),MATCH(E$3,폐업정보!$D$3:$R$3,0)),
"Error"))</f>
        <v>강원</v>
      </c>
      <c r="F134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B1336</v>
      </c>
      <c r="G1341" s="76" t="str">
        <f aca="false">F1341&amp;RANDBETWEEN(0,10)</f>
        <v>B13361</v>
      </c>
      <c r="H1341" s="75" t="n">
        <f aca="false">
IF($D1341="정상",INDEX(임대자산!$D$3:$R$3000,MATCH($F1341,임대자산!$I$3:$I$3000,0),MATCH(H$4,임대자산!$D$3:$R$3,0)),
IF($D1341="폐업",INDEX(폐업정보!$D$3:$R$3000,MATCH($F1341,폐업정보!$I$3:$I$3000,0),MATCH(H$4,폐업정보!$D$3:$R$3,0)),
"Error"))</f>
        <v>45209</v>
      </c>
      <c r="I1341" s="75" t="str">
        <f aca="false">
IF($D1341="정상",INDEX(임대자산!$D$3:$R$3000,MATCH($F1341,임대자산!$I$3:$I$3000,0),MATCH(I$4,임대자산!$D$3:$R$3,0)),
IF($D1341="폐업",INDEX(폐업정보!$D$3:$R$3000,MATCH($F1341,폐업정보!$I$3:$I$3000,0),MATCH(I$4,폐업정보!$D$3:$R$3,0)),
"Error"))</f>
        <v>A1336</v>
      </c>
      <c r="J1341" s="75" t="str">
        <f aca="false">
IF($D1341="정상",INDEX(임대자산!$D$3:$R$3000,MATCH($F1341,임대자산!$I$3:$I$3000,0),MATCH(J$4,임대자산!$D$3:$R$3,0)),
IF($D1341="폐업",INDEX(폐업정보!$D$3:$R$3000,MATCH($F1341,폐업정보!$I$3:$I$3000,0),MATCH(J$4,폐업정보!$D$3:$R$3,0)),
"Error"))</f>
        <v>3520600000</v>
      </c>
      <c r="K1341" s="75" t="str">
        <f aca="false">
IF($D1341="정상",INDEX(임대자산!$D$3:$R$3000,MATCH($F1341,임대자산!$I$3:$I$3000,0),MATCH(K$4,임대자산!$D$3:$R$3,0)),
IF($D1341="폐업",INDEX(폐업정보!$D$3:$R$3000,MATCH($F1341,폐업정보!$I$3:$I$3000,0),MATCH(K$4,폐업정보!$D$3:$R$3,0)),
"Error"))</f>
        <v>C1336</v>
      </c>
      <c r="L1341" s="75" t="str">
        <f aca="false">
IF($D1341="정상",INDEX(임대자산!$D$3:$R$3000,MATCH($F1341,임대자산!$I$3:$I$3000,0),MATCH(L$4,임대자산!$D$3:$R$3,0)),
IF($D1341="폐업",INDEX(폐업정보!$D$3:$R$3000,MATCH($F1341,폐업정보!$I$3:$I$3000,0),MATCH(L$4,폐업정보!$D$3:$R$3,0)),
"Error"))</f>
        <v>D1336</v>
      </c>
      <c r="M1341" s="76" t="s">
        <v>96</v>
      </c>
      <c r="N1341" s="77"/>
      <c r="O1341" s="78" t="s">
        <v>97</v>
      </c>
      <c r="P1341" s="79" t="n">
        <f aca="false">COUNTIFS(임대자산!$I:$I,가맹점정보!F1341,임대자산!$N:$N,가맹점정보!P$4)</f>
        <v>0</v>
      </c>
      <c r="Q1341" s="80" t="n">
        <f aca="false">COUNTIFS(임대자산!$I:$I,가맹점정보!F1341,임대자산!$N:$N,가맹점정보!Q$4)</f>
        <v>0</v>
      </c>
      <c r="R1341" s="81" t="n">
        <f aca="false">COUNTIFS(임대자산!$I:$I,가맹점정보!F1341,임대자산!$N:$N,가맹점정보!R$4)</f>
        <v>1</v>
      </c>
      <c r="S1341" s="82" t="n">
        <v>55000</v>
      </c>
      <c r="T1341" s="83" t="n">
        <v>0</v>
      </c>
      <c r="U1341" s="80" t="n">
        <f aca="false">SUM(S1341:T1341)</f>
        <v>55000</v>
      </c>
      <c r="V1341" s="84" t="s">
        <v>7</v>
      </c>
      <c r="W1341" s="80" t="str">
        <f aca="true">
IF(D1341="폐업","폐업",
IF(V1341="면제","면제",
IF(AND(V1341="정상",COUNTIFS(OFFSET(Y1341,0,COUNTA(Y1341:AV1341)-1,1,-4),"미납")&gt;=3),"장기미납",
IF(AND(V1341="정상",OFFSET(Y1341,0,COUNTA(Y1341:AV1341)-1)&gt;=U1341),"정상",
IF(AND(V1341="정상",OFFSET(Y1341,0,COUNTA(Y1341:AV1341)-1)=0),"정상",
"계약서 미작성")))))</f>
        <v>면제</v>
      </c>
      <c r="X1341" s="81" t="str">
        <f aca="true">
IF(D1341="폐업","폐업",
IF(AND(V1341="정상",OFFSET(Y1341,0,COUNTA(Y1341:AV1341)-1)="미납"),"미납",
IF(AND(V1341="정상",OFFSET(Y1341,0,COUNTA(Y1341:AV1341)-1)=0),"납부 시작 전",
IF(AND(V1341="정상",OFFSET(Y1341,0,COUNTA(Y1341:AV1341)-1)&gt;=U1341),"정상",
IF(AND(V1341="면제",OFFSET(Y1341,0,COUNTA(Y1341:AV1341)-1)="면제"),"면제",
IF(AND(V1341="면제",OFFSET(Y1341,0,COUNTA(Y1341:AV1341)-1)=0),"면제",
"확인요청"))))))</f>
        <v>면제</v>
      </c>
      <c r="Y1341" s="94" t="s">
        <v>7</v>
      </c>
      <c r="Z1341" s="95" t="s">
        <v>7</v>
      </c>
      <c r="AA1341" s="95" t="s">
        <v>7</v>
      </c>
      <c r="AB1341" s="95" t="s">
        <v>7</v>
      </c>
      <c r="AC1341" s="95" t="s">
        <v>7</v>
      </c>
      <c r="AD1341" s="95" t="s">
        <v>7</v>
      </c>
      <c r="AE1341" s="95" t="s">
        <v>7</v>
      </c>
      <c r="AF1341" s="95" t="s">
        <v>7</v>
      </c>
      <c r="AG1341" s="95" t="s">
        <v>7</v>
      </c>
      <c r="AH1341" s="95" t="s">
        <v>7</v>
      </c>
      <c r="AI1341" s="95" t="s">
        <v>7</v>
      </c>
      <c r="AJ1341" s="96" t="s">
        <v>7</v>
      </c>
      <c r="AK1341" s="97" t="s">
        <v>7</v>
      </c>
      <c r="AL1341" s="95" t="s">
        <v>7</v>
      </c>
      <c r="AM1341" s="90"/>
      <c r="AN1341" s="90"/>
      <c r="AO1341" s="90"/>
      <c r="AP1341" s="90"/>
      <c r="AQ1341" s="90"/>
      <c r="AR1341" s="90"/>
      <c r="AS1341" s="90"/>
      <c r="AT1341" s="90"/>
      <c r="AU1341" s="90"/>
      <c r="AV1341" s="91"/>
      <c r="AX1341" s="92"/>
    </row>
    <row r="1342" customFormat="false" ht="15.65" hidden="false" customHeight="false" outlineLevel="0" collapsed="false">
      <c r="C1342" s="72" t="n">
        <f aca="false">COUNTIFS($D$6:D1342,"&lt;&gt;"&amp;"")</f>
        <v>1337</v>
      </c>
      <c r="D1342" s="73" t="s">
        <v>12</v>
      </c>
      <c r="E1342" s="76" t="str">
        <f aca="false">
IF($D1342="정상",INDEX(임대자산!$D$3:$R$3000,MATCH($F1342,임대자산!$I$3:$I$3000,0),MATCH(E$3,임대자산!$D$3:$R$3,0)),
IF($D1342="폐업",INDEX(폐업정보!$D$3:$R$3000,MATCH($F1342,폐업정보!$I$3:$I$3000,0),MATCH(E$3,폐업정보!$D$3:$R$3,0)),
"Error"))</f>
        <v>경상</v>
      </c>
      <c r="F134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B1337</v>
      </c>
      <c r="G1342" s="76" t="str">
        <f aca="false">F1342&amp;RANDBETWEEN(0,10)</f>
        <v>B13376</v>
      </c>
      <c r="H1342" s="75" t="n">
        <f aca="false">
IF($D1342="정상",INDEX(임대자산!$D$3:$R$3000,MATCH($F1342,임대자산!$I$3:$I$3000,0),MATCH(H$4,임대자산!$D$3:$R$3,0)),
IF($D1342="폐업",INDEX(폐업정보!$D$3:$R$3000,MATCH($F1342,폐업정보!$I$3:$I$3000,0),MATCH(H$4,폐업정보!$D$3:$R$3,0)),
"Error"))</f>
        <v>45211</v>
      </c>
      <c r="I1342" s="75" t="str">
        <f aca="false">
IF($D1342="정상",INDEX(임대자산!$D$3:$R$3000,MATCH($F1342,임대자산!$I$3:$I$3000,0),MATCH(I$4,임대자산!$D$3:$R$3,0)),
IF($D1342="폐업",INDEX(폐업정보!$D$3:$R$3000,MATCH($F1342,폐업정보!$I$3:$I$3000,0),MATCH(I$4,폐업정보!$D$3:$R$3,0)),
"Error"))</f>
        <v>A1337</v>
      </c>
      <c r="J1342" s="75" t="str">
        <f aca="false">
IF($D1342="정상",INDEX(임대자산!$D$3:$R$3000,MATCH($F1342,임대자산!$I$3:$I$3000,0),MATCH(J$4,임대자산!$D$3:$R$3,0)),
IF($D1342="폐업",INDEX(폐업정보!$D$3:$R$3000,MATCH($F1342,폐업정보!$I$3:$I$3000,0),MATCH(J$4,폐업정보!$D$3:$R$3,0)),
"Error"))</f>
        <v>3103700000</v>
      </c>
      <c r="K1342" s="75" t="str">
        <f aca="false">
IF($D1342="정상",INDEX(임대자산!$D$3:$R$3000,MATCH($F1342,임대자산!$I$3:$I$3000,0),MATCH(K$4,임대자산!$D$3:$R$3,0)),
IF($D1342="폐업",INDEX(폐업정보!$D$3:$R$3000,MATCH($F1342,폐업정보!$I$3:$I$3000,0),MATCH(K$4,폐업정보!$D$3:$R$3,0)),
"Error"))</f>
        <v>C1337</v>
      </c>
      <c r="L1342" s="75" t="str">
        <f aca="false">
IF($D1342="정상",INDEX(임대자산!$D$3:$R$3000,MATCH($F1342,임대자산!$I$3:$I$3000,0),MATCH(L$4,임대자산!$D$3:$R$3,0)),
IF($D1342="폐업",INDEX(폐업정보!$D$3:$R$3000,MATCH($F1342,폐업정보!$I$3:$I$3000,0),MATCH(L$4,폐업정보!$D$3:$R$3,0)),
"Error"))</f>
        <v>D1337</v>
      </c>
      <c r="M1342" s="76" t="s">
        <v>96</v>
      </c>
      <c r="N1342" s="77"/>
      <c r="O1342" s="78" t="s">
        <v>97</v>
      </c>
      <c r="P1342" s="79" t="n">
        <f aca="false">COUNTIFS(임대자산!$I:$I,가맹점정보!F1342,임대자산!$N:$N,가맹점정보!P$4)</f>
        <v>0</v>
      </c>
      <c r="Q1342" s="80" t="n">
        <f aca="false">COUNTIFS(임대자산!$I:$I,가맹점정보!F1342,임대자산!$N:$N,가맹점정보!Q$4)</f>
        <v>0</v>
      </c>
      <c r="R1342" s="81" t="n">
        <f aca="false">COUNTIFS(임대자산!$I:$I,가맹점정보!F1342,임대자산!$N:$N,가맹점정보!R$4)</f>
        <v>1</v>
      </c>
      <c r="S1342" s="82" t="n">
        <v>55000</v>
      </c>
      <c r="T1342" s="83" t="n">
        <v>0</v>
      </c>
      <c r="U1342" s="80" t="n">
        <f aca="false">SUM(S1342:T1342)</f>
        <v>55000</v>
      </c>
      <c r="V1342" s="84" t="s">
        <v>7</v>
      </c>
      <c r="W1342" s="80" t="str">
        <f aca="true">
IF(D1342="폐업","폐업",
IF(V1342="면제","면제",
IF(AND(V1342="정상",COUNTIFS(OFFSET(Y1342,0,COUNTA(Y1342:AV1342)-1,1,-4),"미납")&gt;=3),"장기미납",
IF(AND(V1342="정상",OFFSET(Y1342,0,COUNTA(Y1342:AV1342)-1)&gt;=U1342),"정상",
IF(AND(V1342="정상",OFFSET(Y1342,0,COUNTA(Y1342:AV1342)-1)=0),"정상",
"계약서 미작성")))))</f>
        <v>면제</v>
      </c>
      <c r="X1342" s="81" t="str">
        <f aca="true">
IF(D1342="폐업","폐업",
IF(AND(V1342="정상",OFFSET(Y1342,0,COUNTA(Y1342:AV1342)-1)="미납"),"미납",
IF(AND(V1342="정상",OFFSET(Y1342,0,COUNTA(Y1342:AV1342)-1)=0),"납부 시작 전",
IF(AND(V1342="정상",OFFSET(Y1342,0,COUNTA(Y1342:AV1342)-1)&gt;=U1342),"정상",
IF(AND(V1342="면제",OFFSET(Y1342,0,COUNTA(Y1342:AV1342)-1)="면제"),"면제",
IF(AND(V1342="면제",OFFSET(Y1342,0,COUNTA(Y1342:AV1342)-1)=0),"면제",
"확인요청"))))))</f>
        <v>면제</v>
      </c>
      <c r="Y1342" s="94" t="s">
        <v>7</v>
      </c>
      <c r="Z1342" s="95" t="s">
        <v>7</v>
      </c>
      <c r="AA1342" s="95" t="s">
        <v>7</v>
      </c>
      <c r="AB1342" s="95" t="s">
        <v>7</v>
      </c>
      <c r="AC1342" s="95" t="s">
        <v>7</v>
      </c>
      <c r="AD1342" s="95" t="s">
        <v>7</v>
      </c>
      <c r="AE1342" s="95" t="s">
        <v>7</v>
      </c>
      <c r="AF1342" s="95" t="s">
        <v>7</v>
      </c>
      <c r="AG1342" s="95" t="s">
        <v>7</v>
      </c>
      <c r="AH1342" s="95" t="s">
        <v>7</v>
      </c>
      <c r="AI1342" s="95" t="s">
        <v>7</v>
      </c>
      <c r="AJ1342" s="96" t="s">
        <v>7</v>
      </c>
      <c r="AK1342" s="97" t="s">
        <v>7</v>
      </c>
      <c r="AL1342" s="95" t="s">
        <v>7</v>
      </c>
      <c r="AM1342" s="90"/>
      <c r="AN1342" s="90"/>
      <c r="AO1342" s="90"/>
      <c r="AP1342" s="90"/>
      <c r="AQ1342" s="90"/>
      <c r="AR1342" s="90"/>
      <c r="AS1342" s="90"/>
      <c r="AT1342" s="90"/>
      <c r="AU1342" s="90"/>
      <c r="AV1342" s="91"/>
      <c r="AX1342" s="92"/>
    </row>
    <row r="1343" customFormat="false" ht="15.65" hidden="false" customHeight="false" outlineLevel="0" collapsed="false">
      <c r="C1343" s="72" t="n">
        <f aca="false">COUNTIFS($D$6:D1343,"&lt;&gt;"&amp;"")</f>
        <v>1338</v>
      </c>
      <c r="D1343" s="73" t="s">
        <v>12</v>
      </c>
      <c r="E1343" s="76" t="str">
        <f aca="false">
IF($D1343="정상",INDEX(임대자산!$D$3:$R$3000,MATCH($F1343,임대자산!$I$3:$I$3000,0),MATCH(E$3,임대자산!$D$3:$R$3,0)),
IF($D1343="폐업",INDEX(폐업정보!$D$3:$R$3000,MATCH($F1343,폐업정보!$I$3:$I$3000,0),MATCH(E$3,폐업정보!$D$3:$R$3,0)),
"Error"))</f>
        <v>경상</v>
      </c>
      <c r="F134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B1338</v>
      </c>
      <c r="G1343" s="76" t="str">
        <f aca="false">F1343&amp;RANDBETWEEN(0,10)</f>
        <v>B13386</v>
      </c>
      <c r="H1343" s="75" t="n">
        <f aca="false">
IF($D1343="정상",INDEX(임대자산!$D$3:$R$3000,MATCH($F1343,임대자산!$I$3:$I$3000,0),MATCH(H$4,임대자산!$D$3:$R$3,0)),
IF($D1343="폐업",INDEX(폐업정보!$D$3:$R$3000,MATCH($F1343,폐업정보!$I$3:$I$3000,0),MATCH(H$4,폐업정보!$D$3:$R$3,0)),
"Error"))</f>
        <v>45216</v>
      </c>
      <c r="I1343" s="75" t="str">
        <f aca="false">
IF($D1343="정상",INDEX(임대자산!$D$3:$R$3000,MATCH($F1343,임대자산!$I$3:$I$3000,0),MATCH(I$4,임대자산!$D$3:$R$3,0)),
IF($D1343="폐업",INDEX(폐업정보!$D$3:$R$3000,MATCH($F1343,폐업정보!$I$3:$I$3000,0),MATCH(I$4,폐업정보!$D$3:$R$3,0)),
"Error"))</f>
        <v>A1338</v>
      </c>
      <c r="J1343" s="75" t="str">
        <f aca="false">
IF($D1343="정상",INDEX(임대자산!$D$3:$R$3000,MATCH($F1343,임대자산!$I$3:$I$3000,0),MATCH(J$4,임대자산!$D$3:$R$3,0)),
IF($D1343="폐업",INDEX(폐업정보!$D$3:$R$3000,MATCH($F1343,폐업정보!$I$3:$I$3000,0),MATCH(J$4,폐업정보!$D$3:$R$3,0)),
"Error"))</f>
        <v>3666600000</v>
      </c>
      <c r="K1343" s="75" t="str">
        <f aca="false">
IF($D1343="정상",INDEX(임대자산!$D$3:$R$3000,MATCH($F1343,임대자산!$I$3:$I$3000,0),MATCH(K$4,임대자산!$D$3:$R$3,0)),
IF($D1343="폐업",INDEX(폐업정보!$D$3:$R$3000,MATCH($F1343,폐업정보!$I$3:$I$3000,0),MATCH(K$4,폐업정보!$D$3:$R$3,0)),
"Error"))</f>
        <v>C1338</v>
      </c>
      <c r="L1343" s="75" t="str">
        <f aca="false">
IF($D1343="정상",INDEX(임대자산!$D$3:$R$3000,MATCH($F1343,임대자산!$I$3:$I$3000,0),MATCH(L$4,임대자산!$D$3:$R$3,0)),
IF($D1343="폐업",INDEX(폐업정보!$D$3:$R$3000,MATCH($F1343,폐업정보!$I$3:$I$3000,0),MATCH(L$4,폐업정보!$D$3:$R$3,0)),
"Error"))</f>
        <v>D1338</v>
      </c>
      <c r="M1343" s="76" t="s">
        <v>96</v>
      </c>
      <c r="N1343" s="77"/>
      <c r="O1343" s="78" t="s">
        <v>97</v>
      </c>
      <c r="P1343" s="79" t="n">
        <f aca="false">COUNTIFS(임대자산!$I:$I,가맹점정보!F1343,임대자산!$N:$N,가맹점정보!P$4)</f>
        <v>0</v>
      </c>
      <c r="Q1343" s="80" t="n">
        <f aca="false">COUNTIFS(임대자산!$I:$I,가맹점정보!F1343,임대자산!$N:$N,가맹점정보!Q$4)</f>
        <v>0</v>
      </c>
      <c r="R1343" s="81" t="n">
        <f aca="false">COUNTIFS(임대자산!$I:$I,가맹점정보!F1343,임대자산!$N:$N,가맹점정보!R$4)</f>
        <v>1</v>
      </c>
      <c r="S1343" s="82" t="n">
        <v>88000</v>
      </c>
      <c r="T1343" s="83" t="n">
        <v>0</v>
      </c>
      <c r="U1343" s="80" t="n">
        <f aca="false">SUM(S1343:T1343)</f>
        <v>88000</v>
      </c>
      <c r="V1343" s="84" t="s">
        <v>7</v>
      </c>
      <c r="W1343" s="80" t="str">
        <f aca="true">
IF(D1343="폐업","폐업",
IF(V1343="면제","면제",
IF(AND(V1343="정상",COUNTIFS(OFFSET(Y1343,0,COUNTA(Y1343:AV1343)-1,1,-4),"미납")&gt;=3),"장기미납",
IF(AND(V1343="정상",OFFSET(Y1343,0,COUNTA(Y1343:AV1343)-1)&gt;=U1343),"정상",
IF(AND(V1343="정상",OFFSET(Y1343,0,COUNTA(Y1343:AV1343)-1)=0),"정상",
"계약서 미작성")))))</f>
        <v>면제</v>
      </c>
      <c r="X1343" s="81" t="str">
        <f aca="true">
IF(D1343="폐업","폐업",
IF(AND(V1343="정상",OFFSET(Y1343,0,COUNTA(Y1343:AV1343)-1)="미납"),"미납",
IF(AND(V1343="정상",OFFSET(Y1343,0,COUNTA(Y1343:AV1343)-1)=0),"납부 시작 전",
IF(AND(V1343="정상",OFFSET(Y1343,0,COUNTA(Y1343:AV1343)-1)&gt;=U1343),"정상",
IF(AND(V1343="면제",OFFSET(Y1343,0,COUNTA(Y1343:AV1343)-1)="면제"),"면제",
IF(AND(V1343="면제",OFFSET(Y1343,0,COUNTA(Y1343:AV1343)-1)=0),"면제",
"확인요청"))))))</f>
        <v>면제</v>
      </c>
      <c r="Y1343" s="94" t="s">
        <v>7</v>
      </c>
      <c r="Z1343" s="95" t="s">
        <v>7</v>
      </c>
      <c r="AA1343" s="95" t="s">
        <v>7</v>
      </c>
      <c r="AB1343" s="95" t="s">
        <v>7</v>
      </c>
      <c r="AC1343" s="95" t="s">
        <v>7</v>
      </c>
      <c r="AD1343" s="95" t="s">
        <v>7</v>
      </c>
      <c r="AE1343" s="95" t="s">
        <v>7</v>
      </c>
      <c r="AF1343" s="95" t="s">
        <v>7</v>
      </c>
      <c r="AG1343" s="95" t="s">
        <v>7</v>
      </c>
      <c r="AH1343" s="95" t="s">
        <v>7</v>
      </c>
      <c r="AI1343" s="95" t="s">
        <v>7</v>
      </c>
      <c r="AJ1343" s="96" t="s">
        <v>7</v>
      </c>
      <c r="AK1343" s="97" t="s">
        <v>7</v>
      </c>
      <c r="AL1343" s="95" t="s">
        <v>7</v>
      </c>
      <c r="AM1343" s="90"/>
      <c r="AN1343" s="90"/>
      <c r="AO1343" s="90"/>
      <c r="AP1343" s="90"/>
      <c r="AQ1343" s="90"/>
      <c r="AR1343" s="90"/>
      <c r="AS1343" s="90"/>
      <c r="AT1343" s="90"/>
      <c r="AU1343" s="90"/>
      <c r="AV1343" s="91"/>
      <c r="AX1343" s="92"/>
    </row>
    <row r="1344" customFormat="false" ht="15.65" hidden="false" customHeight="false" outlineLevel="0" collapsed="false">
      <c r="C1344" s="72" t="n">
        <f aca="false">COUNTIFS($D$6:D1344,"&lt;&gt;"&amp;"")</f>
        <v>1339</v>
      </c>
      <c r="D1344" s="73" t="s">
        <v>12</v>
      </c>
      <c r="E1344" s="76" t="str">
        <f aca="false">
IF($D1344="정상",INDEX(임대자산!$D$3:$R$3000,MATCH($F1344,임대자산!$I$3:$I$3000,0),MATCH(E$3,임대자산!$D$3:$R$3,0)),
IF($D1344="폐업",INDEX(폐업정보!$D$3:$R$3000,MATCH($F1344,폐업정보!$I$3:$I$3000,0),MATCH(E$3,폐업정보!$D$3:$R$3,0)),
"Error"))</f>
        <v>전라</v>
      </c>
      <c r="F134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B1339</v>
      </c>
      <c r="G1344" s="76" t="str">
        <f aca="false">F1344&amp;RANDBETWEEN(0,10)</f>
        <v>B13395</v>
      </c>
      <c r="H1344" s="75" t="n">
        <f aca="false">
IF($D1344="정상",INDEX(임대자산!$D$3:$R$3000,MATCH($F1344,임대자산!$I$3:$I$3000,0),MATCH(H$4,임대자산!$D$3:$R$3,0)),
IF($D1344="폐업",INDEX(폐업정보!$D$3:$R$3000,MATCH($F1344,폐업정보!$I$3:$I$3000,0),MATCH(H$4,폐업정보!$D$3:$R$3,0)),
"Error"))</f>
        <v>45191</v>
      </c>
      <c r="I1344" s="75" t="str">
        <f aca="false">
IF($D1344="정상",INDEX(임대자산!$D$3:$R$3000,MATCH($F1344,임대자산!$I$3:$I$3000,0),MATCH(I$4,임대자산!$D$3:$R$3,0)),
IF($D1344="폐업",INDEX(폐업정보!$D$3:$R$3000,MATCH($F1344,폐업정보!$I$3:$I$3000,0),MATCH(I$4,폐업정보!$D$3:$R$3,0)),
"Error"))</f>
        <v>A1339</v>
      </c>
      <c r="J1344" s="75" t="str">
        <f aca="false">
IF($D1344="정상",INDEX(임대자산!$D$3:$R$3000,MATCH($F1344,임대자산!$I$3:$I$3000,0),MATCH(J$4,임대자산!$D$3:$R$3,0)),
IF($D1344="폐업",INDEX(폐업정보!$D$3:$R$3000,MATCH($F1344,폐업정보!$I$3:$I$3000,0),MATCH(J$4,폐업정보!$D$3:$R$3,0)),
"Error"))</f>
        <v>7283100000</v>
      </c>
      <c r="K1344" s="75" t="str">
        <f aca="false">
IF($D1344="정상",INDEX(임대자산!$D$3:$R$3000,MATCH($F1344,임대자산!$I$3:$I$3000,0),MATCH(K$4,임대자산!$D$3:$R$3,0)),
IF($D1344="폐업",INDEX(폐업정보!$D$3:$R$3000,MATCH($F1344,폐업정보!$I$3:$I$3000,0),MATCH(K$4,폐업정보!$D$3:$R$3,0)),
"Error"))</f>
        <v>C1339</v>
      </c>
      <c r="L1344" s="75" t="str">
        <f aca="false">
IF($D1344="정상",INDEX(임대자산!$D$3:$R$3000,MATCH($F1344,임대자산!$I$3:$I$3000,0),MATCH(L$4,임대자산!$D$3:$R$3,0)),
IF($D1344="폐업",INDEX(폐업정보!$D$3:$R$3000,MATCH($F1344,폐업정보!$I$3:$I$3000,0),MATCH(L$4,폐업정보!$D$3:$R$3,0)),
"Error"))</f>
        <v>D1339</v>
      </c>
      <c r="M1344" s="76" t="s">
        <v>96</v>
      </c>
      <c r="N1344" s="77"/>
      <c r="O1344" s="78" t="s">
        <v>97</v>
      </c>
      <c r="P1344" s="79" t="n">
        <f aca="false">COUNTIFS(임대자산!$I:$I,가맹점정보!F1344,임대자산!$N:$N,가맹점정보!P$4)</f>
        <v>0</v>
      </c>
      <c r="Q1344" s="80" t="n">
        <f aca="false">COUNTIFS(임대자산!$I:$I,가맹점정보!F1344,임대자산!$N:$N,가맹점정보!Q$4)</f>
        <v>0</v>
      </c>
      <c r="R1344" s="81" t="n">
        <f aca="false">COUNTIFS(임대자산!$I:$I,가맹점정보!F1344,임대자산!$N:$N,가맹점정보!R$4)</f>
        <v>1</v>
      </c>
      <c r="S1344" s="82" t="n">
        <v>0</v>
      </c>
      <c r="T1344" s="83" t="n">
        <v>0</v>
      </c>
      <c r="U1344" s="80" t="n">
        <f aca="false">SUM(S1344:T1344)</f>
        <v>0</v>
      </c>
      <c r="V1344" s="84" t="s">
        <v>7</v>
      </c>
      <c r="W1344" s="80" t="str">
        <f aca="true">
IF(D1344="폐업","폐업",
IF(V1344="면제","면제",
IF(AND(V1344="정상",COUNTIFS(OFFSET(Y1344,0,COUNTA(Y1344:AV1344)-1,1,-4),"미납")&gt;=3),"장기미납",
IF(AND(V1344="정상",OFFSET(Y1344,0,COUNTA(Y1344:AV1344)-1)&gt;=U1344),"정상",
IF(AND(V1344="정상",OFFSET(Y1344,0,COUNTA(Y1344:AV1344)-1)=0),"정상",
"계약서 미작성")))))</f>
        <v>면제</v>
      </c>
      <c r="X1344" s="81" t="str">
        <f aca="true">
IF(D1344="폐업","폐업",
IF(AND(V1344="정상",OFFSET(Y1344,0,COUNTA(Y1344:AV1344)-1)="미납"),"미납",
IF(AND(V1344="정상",OFFSET(Y1344,0,COUNTA(Y1344:AV1344)-1)=0),"납부 시작 전",
IF(AND(V1344="정상",OFFSET(Y1344,0,COUNTA(Y1344:AV1344)-1)&gt;=U1344),"정상",
IF(AND(V1344="면제",OFFSET(Y1344,0,COUNTA(Y1344:AV1344)-1)="면제"),"면제",
IF(AND(V1344="면제",OFFSET(Y1344,0,COUNTA(Y1344:AV1344)-1)=0),"면제",
"확인요청"))))))</f>
        <v>면제</v>
      </c>
      <c r="Y1344" s="94" t="s">
        <v>7</v>
      </c>
      <c r="Z1344" s="95" t="s">
        <v>7</v>
      </c>
      <c r="AA1344" s="95" t="s">
        <v>7</v>
      </c>
      <c r="AB1344" s="95" t="s">
        <v>7</v>
      </c>
      <c r="AC1344" s="95" t="s">
        <v>7</v>
      </c>
      <c r="AD1344" s="95" t="s">
        <v>7</v>
      </c>
      <c r="AE1344" s="95" t="s">
        <v>7</v>
      </c>
      <c r="AF1344" s="95" t="s">
        <v>7</v>
      </c>
      <c r="AG1344" s="95" t="s">
        <v>7</v>
      </c>
      <c r="AH1344" s="95" t="s">
        <v>7</v>
      </c>
      <c r="AI1344" s="95" t="s">
        <v>7</v>
      </c>
      <c r="AJ1344" s="96" t="s">
        <v>7</v>
      </c>
      <c r="AK1344" s="97" t="s">
        <v>7</v>
      </c>
      <c r="AL1344" s="95" t="s">
        <v>7</v>
      </c>
      <c r="AM1344" s="90"/>
      <c r="AN1344" s="90"/>
      <c r="AO1344" s="90"/>
      <c r="AP1344" s="90"/>
      <c r="AQ1344" s="90"/>
      <c r="AR1344" s="90"/>
      <c r="AS1344" s="90"/>
      <c r="AT1344" s="90"/>
      <c r="AU1344" s="90"/>
      <c r="AV1344" s="91"/>
      <c r="AX1344" s="92"/>
    </row>
    <row r="1345" customFormat="false" ht="15.65" hidden="false" customHeight="false" outlineLevel="0" collapsed="false">
      <c r="C1345" s="72" t="n">
        <f aca="false">COUNTIFS($D$6:D1345,"&lt;&gt;"&amp;"")</f>
        <v>1340</v>
      </c>
      <c r="D1345" s="73" t="s">
        <v>12</v>
      </c>
      <c r="E1345" s="76" t="str">
        <f aca="false">
IF($D1345="정상",INDEX(임대자산!$D$3:$R$3000,MATCH($F1345,임대자산!$I$3:$I$3000,0),MATCH(E$3,임대자산!$D$3:$R$3,0)),
IF($D1345="폐업",INDEX(폐업정보!$D$3:$R$3000,MATCH($F1345,폐업정보!$I$3:$I$3000,0),MATCH(E$3,폐업정보!$D$3:$R$3,0)),
"Error"))</f>
        <v>서울</v>
      </c>
      <c r="F134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B1340</v>
      </c>
      <c r="G1345" s="76" t="str">
        <f aca="false">F1345&amp;RANDBETWEEN(0,10)</f>
        <v>B13402</v>
      </c>
      <c r="H1345" s="75" t="n">
        <f aca="false">
IF($D1345="정상",INDEX(임대자산!$D$3:$R$3000,MATCH($F1345,임대자산!$I$3:$I$3000,0),MATCH(H$4,임대자산!$D$3:$R$3,0)),
IF($D1345="폐업",INDEX(폐업정보!$D$3:$R$3000,MATCH($F1345,폐업정보!$I$3:$I$3000,0),MATCH(H$4,폐업정보!$D$3:$R$3,0)),
"Error"))</f>
        <v>45189</v>
      </c>
      <c r="I1345" s="75" t="str">
        <f aca="false">
IF($D1345="정상",INDEX(임대자산!$D$3:$R$3000,MATCH($F1345,임대자산!$I$3:$I$3000,0),MATCH(I$4,임대자산!$D$3:$R$3,0)),
IF($D1345="폐업",INDEX(폐업정보!$D$3:$R$3000,MATCH($F1345,폐업정보!$I$3:$I$3000,0),MATCH(I$4,폐업정보!$D$3:$R$3,0)),
"Error"))</f>
        <v>A1340</v>
      </c>
      <c r="J1345" s="75" t="str">
        <f aca="false">
IF($D1345="정상",INDEX(임대자산!$D$3:$R$3000,MATCH($F1345,임대자산!$I$3:$I$3000,0),MATCH(J$4,임대자산!$D$3:$R$3,0)),
IF($D1345="폐업",INDEX(폐업정보!$D$3:$R$3000,MATCH($F1345,폐업정보!$I$3:$I$3000,0),MATCH(J$4,폐업정보!$D$3:$R$3,0)),
"Error"))</f>
        <v>2510300000</v>
      </c>
      <c r="K1345" s="75" t="str">
        <f aca="false">
IF($D1345="정상",INDEX(임대자산!$D$3:$R$3000,MATCH($F1345,임대자산!$I$3:$I$3000,0),MATCH(K$4,임대자산!$D$3:$R$3,0)),
IF($D1345="폐업",INDEX(폐업정보!$D$3:$R$3000,MATCH($F1345,폐업정보!$I$3:$I$3000,0),MATCH(K$4,폐업정보!$D$3:$R$3,0)),
"Error"))</f>
        <v>C1340</v>
      </c>
      <c r="L1345" s="75" t="str">
        <f aca="false">
IF($D1345="정상",INDEX(임대자산!$D$3:$R$3000,MATCH($F1345,임대자산!$I$3:$I$3000,0),MATCH(L$4,임대자산!$D$3:$R$3,0)),
IF($D1345="폐업",INDEX(폐업정보!$D$3:$R$3000,MATCH($F1345,폐업정보!$I$3:$I$3000,0),MATCH(L$4,폐업정보!$D$3:$R$3,0)),
"Error"))</f>
        <v>D1340</v>
      </c>
      <c r="M1345" s="76" t="s">
        <v>96</v>
      </c>
      <c r="N1345" s="77"/>
      <c r="O1345" s="78" t="s">
        <v>97</v>
      </c>
      <c r="P1345" s="79" t="n">
        <f aca="false">COUNTIFS(임대자산!$I:$I,가맹점정보!F1345,임대자산!$N:$N,가맹점정보!P$4)</f>
        <v>0</v>
      </c>
      <c r="Q1345" s="80" t="n">
        <f aca="false">COUNTIFS(임대자산!$I:$I,가맹점정보!F1345,임대자산!$N:$N,가맹점정보!Q$4)</f>
        <v>0</v>
      </c>
      <c r="R1345" s="81" t="n">
        <f aca="false">COUNTIFS(임대자산!$I:$I,가맹점정보!F1345,임대자산!$N:$N,가맹점정보!R$4)</f>
        <v>1</v>
      </c>
      <c r="S1345" s="82" t="n">
        <v>55000</v>
      </c>
      <c r="T1345" s="83" t="n">
        <v>0</v>
      </c>
      <c r="U1345" s="80" t="n">
        <f aca="false">SUM(S1345:T1345)</f>
        <v>55000</v>
      </c>
      <c r="V1345" s="84" t="s">
        <v>7</v>
      </c>
      <c r="W1345" s="80" t="str">
        <f aca="true">
IF(D1345="폐업","폐업",
IF(V1345="면제","면제",
IF(AND(V1345="정상",COUNTIFS(OFFSET(Y1345,0,COUNTA(Y1345:AV1345)-1,1,-4),"미납")&gt;=3),"장기미납",
IF(AND(V1345="정상",OFFSET(Y1345,0,COUNTA(Y1345:AV1345)-1)&gt;=U1345),"정상",
IF(AND(V1345="정상",OFFSET(Y1345,0,COUNTA(Y1345:AV1345)-1)=0),"정상",
"계약서 미작성")))))</f>
        <v>면제</v>
      </c>
      <c r="X1345" s="81" t="str">
        <f aca="true">
IF(D1345="폐업","폐업",
IF(AND(V1345="정상",OFFSET(Y1345,0,COUNTA(Y1345:AV1345)-1)="미납"),"미납",
IF(AND(V1345="정상",OFFSET(Y1345,0,COUNTA(Y1345:AV1345)-1)=0),"납부 시작 전",
IF(AND(V1345="정상",OFFSET(Y1345,0,COUNTA(Y1345:AV1345)-1)&gt;=U1345),"정상",
IF(AND(V1345="면제",OFFSET(Y1345,0,COUNTA(Y1345:AV1345)-1)="면제"),"면제",
IF(AND(V1345="면제",OFFSET(Y1345,0,COUNTA(Y1345:AV1345)-1)=0),"면제",
"확인요청"))))))</f>
        <v>면제</v>
      </c>
      <c r="Y1345" s="94" t="s">
        <v>7</v>
      </c>
      <c r="Z1345" s="95" t="s">
        <v>7</v>
      </c>
      <c r="AA1345" s="95" t="s">
        <v>7</v>
      </c>
      <c r="AB1345" s="95" t="s">
        <v>7</v>
      </c>
      <c r="AC1345" s="95" t="s">
        <v>7</v>
      </c>
      <c r="AD1345" s="95" t="s">
        <v>7</v>
      </c>
      <c r="AE1345" s="95" t="s">
        <v>7</v>
      </c>
      <c r="AF1345" s="95" t="s">
        <v>7</v>
      </c>
      <c r="AG1345" s="95" t="s">
        <v>7</v>
      </c>
      <c r="AH1345" s="95" t="s">
        <v>7</v>
      </c>
      <c r="AI1345" s="95" t="s">
        <v>7</v>
      </c>
      <c r="AJ1345" s="96" t="s">
        <v>7</v>
      </c>
      <c r="AK1345" s="97" t="s">
        <v>7</v>
      </c>
      <c r="AL1345" s="95" t="s">
        <v>7</v>
      </c>
      <c r="AM1345" s="90"/>
      <c r="AN1345" s="90"/>
      <c r="AO1345" s="90"/>
      <c r="AP1345" s="90"/>
      <c r="AQ1345" s="90"/>
      <c r="AR1345" s="90"/>
      <c r="AS1345" s="90"/>
      <c r="AT1345" s="90"/>
      <c r="AU1345" s="90"/>
      <c r="AV1345" s="91"/>
      <c r="AX1345" s="92"/>
    </row>
    <row r="1346" customFormat="false" ht="15.65" hidden="false" customHeight="false" outlineLevel="0" collapsed="false">
      <c r="C1346" s="72" t="n">
        <f aca="false">COUNTIFS($D$6:D1346,"&lt;&gt;"&amp;"")</f>
        <v>1341</v>
      </c>
      <c r="D1346" s="73" t="s">
        <v>12</v>
      </c>
      <c r="E1346" s="76" t="str">
        <f aca="false">
IF($D1346="정상",INDEX(임대자산!$D$3:$R$3000,MATCH($F1346,임대자산!$I$3:$I$3000,0),MATCH(E$3,임대자산!$D$3:$R$3,0)),
IF($D1346="폐업",INDEX(폐업정보!$D$3:$R$3000,MATCH($F1346,폐업정보!$I$3:$I$3000,0),MATCH(E$3,폐업정보!$D$3:$R$3,0)),
"Error"))</f>
        <v>서울</v>
      </c>
      <c r="F134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B1341</v>
      </c>
      <c r="G1346" s="76" t="str">
        <f aca="false">F1346&amp;RANDBETWEEN(0,10)</f>
        <v>B13418</v>
      </c>
      <c r="H1346" s="75" t="n">
        <f aca="false">
IF($D1346="정상",INDEX(임대자산!$D$3:$R$3000,MATCH($F1346,임대자산!$I$3:$I$3000,0),MATCH(H$4,임대자산!$D$3:$R$3,0)),
IF($D1346="폐업",INDEX(폐업정보!$D$3:$R$3000,MATCH($F1346,폐업정보!$I$3:$I$3000,0),MATCH(H$4,폐업정보!$D$3:$R$3,0)),
"Error"))</f>
        <v>45216</v>
      </c>
      <c r="I1346" s="75" t="str">
        <f aca="false">
IF($D1346="정상",INDEX(임대자산!$D$3:$R$3000,MATCH($F1346,임대자산!$I$3:$I$3000,0),MATCH(I$4,임대자산!$D$3:$R$3,0)),
IF($D1346="폐업",INDEX(폐업정보!$D$3:$R$3000,MATCH($F1346,폐업정보!$I$3:$I$3000,0),MATCH(I$4,폐업정보!$D$3:$R$3,0)),
"Error"))</f>
        <v>A1341</v>
      </c>
      <c r="J1346" s="75" t="str">
        <f aca="false">
IF($D1346="정상",INDEX(임대자산!$D$3:$R$3000,MATCH($F1346,임대자산!$I$3:$I$3000,0),MATCH(J$4,임대자산!$D$3:$R$3,0)),
IF($D1346="폐업",INDEX(폐업정보!$D$3:$R$3000,MATCH($F1346,폐업정보!$I$3:$I$3000,0),MATCH(J$4,폐업정보!$D$3:$R$3,0)),
"Error"))</f>
        <v>7048900000</v>
      </c>
      <c r="K1346" s="75" t="str">
        <f aca="false">
IF($D1346="정상",INDEX(임대자산!$D$3:$R$3000,MATCH($F1346,임대자산!$I$3:$I$3000,0),MATCH(K$4,임대자산!$D$3:$R$3,0)),
IF($D1346="폐업",INDEX(폐업정보!$D$3:$R$3000,MATCH($F1346,폐업정보!$I$3:$I$3000,0),MATCH(K$4,폐업정보!$D$3:$R$3,0)),
"Error"))</f>
        <v>C1341</v>
      </c>
      <c r="L1346" s="75" t="str">
        <f aca="false">
IF($D1346="정상",INDEX(임대자산!$D$3:$R$3000,MATCH($F1346,임대자산!$I$3:$I$3000,0),MATCH(L$4,임대자산!$D$3:$R$3,0)),
IF($D1346="폐업",INDEX(폐업정보!$D$3:$R$3000,MATCH($F1346,폐업정보!$I$3:$I$3000,0),MATCH(L$4,폐업정보!$D$3:$R$3,0)),
"Error"))</f>
        <v>D1341</v>
      </c>
      <c r="M1346" s="76" t="s">
        <v>96</v>
      </c>
      <c r="N1346" s="77"/>
      <c r="O1346" s="78" t="s">
        <v>97</v>
      </c>
      <c r="P1346" s="79" t="n">
        <f aca="false">COUNTIFS(임대자산!$I:$I,가맹점정보!F1346,임대자산!$N:$N,가맹점정보!P$4)</f>
        <v>0</v>
      </c>
      <c r="Q1346" s="80" t="n">
        <f aca="false">COUNTIFS(임대자산!$I:$I,가맹점정보!F1346,임대자산!$N:$N,가맹점정보!Q$4)</f>
        <v>0</v>
      </c>
      <c r="R1346" s="81" t="n">
        <f aca="false">COUNTIFS(임대자산!$I:$I,가맹점정보!F1346,임대자산!$N:$N,가맹점정보!R$4)</f>
        <v>1</v>
      </c>
      <c r="S1346" s="82" t="n">
        <v>55000</v>
      </c>
      <c r="T1346" s="83" t="n">
        <v>0</v>
      </c>
      <c r="U1346" s="80" t="n">
        <f aca="false">SUM(S1346:T1346)</f>
        <v>55000</v>
      </c>
      <c r="V1346" s="84" t="s">
        <v>7</v>
      </c>
      <c r="W1346" s="80" t="str">
        <f aca="true">
IF(D1346="폐업","폐업",
IF(V1346="면제","면제",
IF(AND(V1346="정상",COUNTIFS(OFFSET(Y1346,0,COUNTA(Y1346:AV1346)-1,1,-4),"미납")&gt;=3),"장기미납",
IF(AND(V1346="정상",OFFSET(Y1346,0,COUNTA(Y1346:AV1346)-1)&gt;=U1346),"정상",
IF(AND(V1346="정상",OFFSET(Y1346,0,COUNTA(Y1346:AV1346)-1)=0),"정상",
"계약서 미작성")))))</f>
        <v>면제</v>
      </c>
      <c r="X1346" s="81" t="str">
        <f aca="true">
IF(D1346="폐업","폐업",
IF(AND(V1346="정상",OFFSET(Y1346,0,COUNTA(Y1346:AV1346)-1)="미납"),"미납",
IF(AND(V1346="정상",OFFSET(Y1346,0,COUNTA(Y1346:AV1346)-1)=0),"납부 시작 전",
IF(AND(V1346="정상",OFFSET(Y1346,0,COUNTA(Y1346:AV1346)-1)&gt;=U1346),"정상",
IF(AND(V1346="면제",OFFSET(Y1346,0,COUNTA(Y1346:AV1346)-1)="면제"),"면제",
IF(AND(V1346="면제",OFFSET(Y1346,0,COUNTA(Y1346:AV1346)-1)=0),"면제",
"확인요청"))))))</f>
        <v>면제</v>
      </c>
      <c r="Y1346" s="94" t="s">
        <v>7</v>
      </c>
      <c r="Z1346" s="95" t="s">
        <v>7</v>
      </c>
      <c r="AA1346" s="95" t="s">
        <v>7</v>
      </c>
      <c r="AB1346" s="95" t="s">
        <v>7</v>
      </c>
      <c r="AC1346" s="95" t="s">
        <v>7</v>
      </c>
      <c r="AD1346" s="95" t="s">
        <v>7</v>
      </c>
      <c r="AE1346" s="95" t="s">
        <v>7</v>
      </c>
      <c r="AF1346" s="95" t="s">
        <v>7</v>
      </c>
      <c r="AG1346" s="95" t="s">
        <v>7</v>
      </c>
      <c r="AH1346" s="95" t="s">
        <v>7</v>
      </c>
      <c r="AI1346" s="95" t="s">
        <v>7</v>
      </c>
      <c r="AJ1346" s="96" t="s">
        <v>7</v>
      </c>
      <c r="AK1346" s="97" t="s">
        <v>7</v>
      </c>
      <c r="AL1346" s="95" t="s">
        <v>7</v>
      </c>
      <c r="AM1346" s="90"/>
      <c r="AN1346" s="90"/>
      <c r="AO1346" s="90"/>
      <c r="AP1346" s="90"/>
      <c r="AQ1346" s="90"/>
      <c r="AR1346" s="90"/>
      <c r="AS1346" s="90"/>
      <c r="AT1346" s="90"/>
      <c r="AU1346" s="90"/>
      <c r="AV1346" s="91"/>
      <c r="AX1346" s="92"/>
    </row>
    <row r="1347" customFormat="false" ht="15.65" hidden="false" customHeight="false" outlineLevel="0" collapsed="false">
      <c r="C1347" s="72" t="n">
        <f aca="false">COUNTIFS($D$6:D1347,"&lt;&gt;"&amp;"")</f>
        <v>1342</v>
      </c>
      <c r="D1347" s="73" t="s">
        <v>12</v>
      </c>
      <c r="E1347" s="76" t="str">
        <f aca="false">
IF($D1347="정상",INDEX(임대자산!$D$3:$R$3000,MATCH($F1347,임대자산!$I$3:$I$3000,0),MATCH(E$3,임대자산!$D$3:$R$3,0)),
IF($D1347="폐업",INDEX(폐업정보!$D$3:$R$3000,MATCH($F1347,폐업정보!$I$3:$I$3000,0),MATCH(E$3,폐업정보!$D$3:$R$3,0)),
"Error"))</f>
        <v>경상</v>
      </c>
      <c r="F134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B1342</v>
      </c>
      <c r="G1347" s="76" t="str">
        <f aca="false">F1347&amp;RANDBETWEEN(0,10)</f>
        <v>B13421</v>
      </c>
      <c r="H1347" s="75" t="n">
        <f aca="false">
IF($D1347="정상",INDEX(임대자산!$D$3:$R$3000,MATCH($F1347,임대자산!$I$3:$I$3000,0),MATCH(H$4,임대자산!$D$3:$R$3,0)),
IF($D1347="폐업",INDEX(폐업정보!$D$3:$R$3000,MATCH($F1347,폐업정보!$I$3:$I$3000,0),MATCH(H$4,폐업정보!$D$3:$R$3,0)),
"Error"))</f>
        <v>45229</v>
      </c>
      <c r="I1347" s="75" t="str">
        <f aca="false">
IF($D1347="정상",INDEX(임대자산!$D$3:$R$3000,MATCH($F1347,임대자산!$I$3:$I$3000,0),MATCH(I$4,임대자산!$D$3:$R$3,0)),
IF($D1347="폐업",INDEX(폐업정보!$D$3:$R$3000,MATCH($F1347,폐업정보!$I$3:$I$3000,0),MATCH(I$4,폐업정보!$D$3:$R$3,0)),
"Error"))</f>
        <v>A1342</v>
      </c>
      <c r="J1347" s="75" t="str">
        <f aca="false">
IF($D1347="정상",INDEX(임대자산!$D$3:$R$3000,MATCH($F1347,임대자산!$I$3:$I$3000,0),MATCH(J$4,임대자산!$D$3:$R$3,0)),
IF($D1347="폐업",INDEX(폐업정보!$D$3:$R$3000,MATCH($F1347,폐업정보!$I$3:$I$3000,0),MATCH(J$4,폐업정보!$D$3:$R$3,0)),
"Error"))</f>
        <v>6194000000</v>
      </c>
      <c r="K1347" s="75" t="str">
        <f aca="false">
IF($D1347="정상",INDEX(임대자산!$D$3:$R$3000,MATCH($F1347,임대자산!$I$3:$I$3000,0),MATCH(K$4,임대자산!$D$3:$R$3,0)),
IF($D1347="폐업",INDEX(폐업정보!$D$3:$R$3000,MATCH($F1347,폐업정보!$I$3:$I$3000,0),MATCH(K$4,폐업정보!$D$3:$R$3,0)),
"Error"))</f>
        <v>C1342</v>
      </c>
      <c r="L1347" s="75" t="str">
        <f aca="false">
IF($D1347="정상",INDEX(임대자산!$D$3:$R$3000,MATCH($F1347,임대자산!$I$3:$I$3000,0),MATCH(L$4,임대자산!$D$3:$R$3,0)),
IF($D1347="폐업",INDEX(폐업정보!$D$3:$R$3000,MATCH($F1347,폐업정보!$I$3:$I$3000,0),MATCH(L$4,폐업정보!$D$3:$R$3,0)),
"Error"))</f>
        <v>D1342</v>
      </c>
      <c r="M1347" s="76" t="s">
        <v>96</v>
      </c>
      <c r="N1347" s="77"/>
      <c r="O1347" s="78" t="s">
        <v>97</v>
      </c>
      <c r="P1347" s="79" t="n">
        <f aca="false">COUNTIFS(임대자산!$I:$I,가맹점정보!F1347,임대자산!$N:$N,가맹점정보!P$4)</f>
        <v>0</v>
      </c>
      <c r="Q1347" s="80" t="n">
        <f aca="false">COUNTIFS(임대자산!$I:$I,가맹점정보!F1347,임대자산!$N:$N,가맹점정보!Q$4)</f>
        <v>0</v>
      </c>
      <c r="R1347" s="81" t="n">
        <f aca="false">COUNTIFS(임대자산!$I:$I,가맹점정보!F1347,임대자산!$N:$N,가맹점정보!R$4)</f>
        <v>1</v>
      </c>
      <c r="S1347" s="82" t="n">
        <v>55000</v>
      </c>
      <c r="T1347" s="83" t="n">
        <v>0</v>
      </c>
      <c r="U1347" s="80" t="n">
        <f aca="false">SUM(S1347:T1347)</f>
        <v>55000</v>
      </c>
      <c r="V1347" s="84" t="s">
        <v>7</v>
      </c>
      <c r="W1347" s="80" t="str">
        <f aca="true">
IF(D1347="폐업","폐업",
IF(V1347="면제","면제",
IF(AND(V1347="정상",COUNTIFS(OFFSET(Y1347,0,COUNTA(Y1347:AV1347)-1,1,-4),"미납")&gt;=3),"장기미납",
IF(AND(V1347="정상",OFFSET(Y1347,0,COUNTA(Y1347:AV1347)-1)&gt;=U1347),"정상",
IF(AND(V1347="정상",OFFSET(Y1347,0,COUNTA(Y1347:AV1347)-1)=0),"정상",
"계약서 미작성")))))</f>
        <v>면제</v>
      </c>
      <c r="X1347" s="81" t="str">
        <f aca="true">
IF(D1347="폐업","폐업",
IF(AND(V1347="정상",OFFSET(Y1347,0,COUNTA(Y1347:AV1347)-1)="미납"),"미납",
IF(AND(V1347="정상",OFFSET(Y1347,0,COUNTA(Y1347:AV1347)-1)=0),"납부 시작 전",
IF(AND(V1347="정상",OFFSET(Y1347,0,COUNTA(Y1347:AV1347)-1)&gt;=U1347),"정상",
IF(AND(V1347="면제",OFFSET(Y1347,0,COUNTA(Y1347:AV1347)-1)="면제"),"면제",
IF(AND(V1347="면제",OFFSET(Y1347,0,COUNTA(Y1347:AV1347)-1)=0),"면제",
"확인요청"))))))</f>
        <v>면제</v>
      </c>
      <c r="Y1347" s="94" t="s">
        <v>7</v>
      </c>
      <c r="Z1347" s="95" t="s">
        <v>7</v>
      </c>
      <c r="AA1347" s="95" t="s">
        <v>7</v>
      </c>
      <c r="AB1347" s="95" t="s">
        <v>7</v>
      </c>
      <c r="AC1347" s="95" t="s">
        <v>7</v>
      </c>
      <c r="AD1347" s="95" t="s">
        <v>7</v>
      </c>
      <c r="AE1347" s="95" t="s">
        <v>7</v>
      </c>
      <c r="AF1347" s="95" t="s">
        <v>7</v>
      </c>
      <c r="AG1347" s="95" t="s">
        <v>7</v>
      </c>
      <c r="AH1347" s="95" t="s">
        <v>7</v>
      </c>
      <c r="AI1347" s="95" t="s">
        <v>7</v>
      </c>
      <c r="AJ1347" s="96" t="s">
        <v>7</v>
      </c>
      <c r="AK1347" s="97" t="s">
        <v>7</v>
      </c>
      <c r="AL1347" s="95" t="s">
        <v>7</v>
      </c>
      <c r="AM1347" s="90"/>
      <c r="AN1347" s="90"/>
      <c r="AO1347" s="90"/>
      <c r="AP1347" s="90"/>
      <c r="AQ1347" s="90"/>
      <c r="AR1347" s="90"/>
      <c r="AS1347" s="90"/>
      <c r="AT1347" s="90"/>
      <c r="AU1347" s="90"/>
      <c r="AV1347" s="91"/>
      <c r="AX1347" s="92"/>
    </row>
    <row r="1348" customFormat="false" ht="15.65" hidden="false" customHeight="false" outlineLevel="0" collapsed="false">
      <c r="C1348" s="72" t="n">
        <f aca="false">COUNTIFS($D$6:D1348,"&lt;&gt;"&amp;"")</f>
        <v>1343</v>
      </c>
      <c r="D1348" s="73" t="s">
        <v>12</v>
      </c>
      <c r="E1348" s="76" t="str">
        <f aca="false">
IF($D1348="정상",INDEX(임대자산!$D$3:$R$3000,MATCH($F1348,임대자산!$I$3:$I$3000,0),MATCH(E$3,임대자산!$D$3:$R$3,0)),
IF($D1348="폐업",INDEX(폐업정보!$D$3:$R$3000,MATCH($F1348,폐업정보!$I$3:$I$3000,0),MATCH(E$3,폐업정보!$D$3:$R$3,0)),
"Error"))</f>
        <v>강원</v>
      </c>
      <c r="F134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B1343</v>
      </c>
      <c r="G1348" s="76" t="str">
        <f aca="false">F1348&amp;RANDBETWEEN(0,10)</f>
        <v>B13436</v>
      </c>
      <c r="H1348" s="75" t="n">
        <f aca="false">
IF($D1348="정상",INDEX(임대자산!$D$3:$R$3000,MATCH($F1348,임대자산!$I$3:$I$3000,0),MATCH(H$4,임대자산!$D$3:$R$3,0)),
IF($D1348="폐업",INDEX(폐업정보!$D$3:$R$3000,MATCH($F1348,폐업정보!$I$3:$I$3000,0),MATCH(H$4,폐업정보!$D$3:$R$3,0)),
"Error"))</f>
        <v>45230</v>
      </c>
      <c r="I1348" s="75" t="str">
        <f aca="false">
IF($D1348="정상",INDEX(임대자산!$D$3:$R$3000,MATCH($F1348,임대자산!$I$3:$I$3000,0),MATCH(I$4,임대자산!$D$3:$R$3,0)),
IF($D1348="폐업",INDEX(폐업정보!$D$3:$R$3000,MATCH($F1348,폐업정보!$I$3:$I$3000,0),MATCH(I$4,폐업정보!$D$3:$R$3,0)),
"Error"))</f>
        <v>A1343</v>
      </c>
      <c r="J1348" s="75" t="str">
        <f aca="false">
IF($D1348="정상",INDEX(임대자산!$D$3:$R$3000,MATCH($F1348,임대자산!$I$3:$I$3000,0),MATCH(J$4,임대자산!$D$3:$R$3,0)),
IF($D1348="폐업",INDEX(폐업정보!$D$3:$R$3000,MATCH($F1348,폐업정보!$I$3:$I$3000,0),MATCH(J$4,폐업정보!$D$3:$R$3,0)),
"Error"))</f>
        <v>5006000000</v>
      </c>
      <c r="K1348" s="75" t="str">
        <f aca="false">
IF($D1348="정상",INDEX(임대자산!$D$3:$R$3000,MATCH($F1348,임대자산!$I$3:$I$3000,0),MATCH(K$4,임대자산!$D$3:$R$3,0)),
IF($D1348="폐업",INDEX(폐업정보!$D$3:$R$3000,MATCH($F1348,폐업정보!$I$3:$I$3000,0),MATCH(K$4,폐업정보!$D$3:$R$3,0)),
"Error"))</f>
        <v>C1343</v>
      </c>
      <c r="L1348" s="75" t="str">
        <f aca="false">
IF($D1348="정상",INDEX(임대자산!$D$3:$R$3000,MATCH($F1348,임대자산!$I$3:$I$3000,0),MATCH(L$4,임대자산!$D$3:$R$3,0)),
IF($D1348="폐업",INDEX(폐업정보!$D$3:$R$3000,MATCH($F1348,폐업정보!$I$3:$I$3000,0),MATCH(L$4,폐업정보!$D$3:$R$3,0)),
"Error"))</f>
        <v>D1343</v>
      </c>
      <c r="M1348" s="76" t="s">
        <v>96</v>
      </c>
      <c r="N1348" s="77"/>
      <c r="O1348" s="78" t="s">
        <v>97</v>
      </c>
      <c r="P1348" s="79" t="n">
        <f aca="false">COUNTIFS(임대자산!$I:$I,가맹점정보!F1348,임대자산!$N:$N,가맹점정보!P$4)</f>
        <v>0</v>
      </c>
      <c r="Q1348" s="80" t="n">
        <f aca="false">COUNTIFS(임대자산!$I:$I,가맹점정보!F1348,임대자산!$N:$N,가맹점정보!Q$4)</f>
        <v>0</v>
      </c>
      <c r="R1348" s="81" t="n">
        <f aca="false">COUNTIFS(임대자산!$I:$I,가맹점정보!F1348,임대자산!$N:$N,가맹점정보!R$4)</f>
        <v>1</v>
      </c>
      <c r="S1348" s="82" t="n">
        <v>88000</v>
      </c>
      <c r="T1348" s="83" t="n">
        <v>0</v>
      </c>
      <c r="U1348" s="80" t="n">
        <f aca="false">SUM(S1348:T1348)</f>
        <v>88000</v>
      </c>
      <c r="V1348" s="84" t="s">
        <v>12</v>
      </c>
      <c r="W1348" s="80" t="e">
        <f aca="true">
IF(D1348="폐업","폐업",
IF(V1348="면제","면제",
IF(AND(V1348="정상",COUNTIFS(OFFSET(Y1348,0,COUNTA(Y1348:AV1348)-1,1,-4),"미납")&gt;=3),"장기미납",
IF(AND(V1348="정상",OFFSET(Y1348,0,COUNTA(Y1348:AV1348)-1)&gt;=U1348),"정상",
IF(AND(V1348="정상",OFFSET(Y1348,0,COUNTA(Y1348:AV1348)-1)=0),"정상",
"계약서 미작성")))))</f>
        <v>#VALUE!</v>
      </c>
      <c r="X1348" s="81" t="str">
        <f aca="true">
IF(D1348="폐업","폐업",
IF(AND(V1348="정상",OFFSET(Y1348,0,COUNTA(Y1348:AV1348)-1)="미납"),"미납",
IF(AND(V1348="정상",OFFSET(Y1348,0,COUNTA(Y1348:AV1348)-1)=0),"납부 시작 전",
IF(AND(V1348="정상",OFFSET(Y1348,0,COUNTA(Y1348:AV1348)-1)&gt;=U1348),"정상",
IF(AND(V1348="면제",OFFSET(Y1348,0,COUNTA(Y1348:AV1348)-1)="면제"),"면제",
IF(AND(V1348="면제",OFFSET(Y1348,0,COUNTA(Y1348:AV1348)-1)=0),"면제",
"확인요청"))))))</f>
        <v>정상</v>
      </c>
      <c r="Y1348" s="93" t="n">
        <v>88000</v>
      </c>
      <c r="Z1348" s="90" t="n">
        <v>88000</v>
      </c>
      <c r="AA1348" s="90" t="n">
        <v>88000</v>
      </c>
      <c r="AB1348" s="90" t="n">
        <v>88000</v>
      </c>
      <c r="AC1348" s="90" t="n">
        <v>88000</v>
      </c>
      <c r="AD1348" s="90" t="n">
        <v>88000</v>
      </c>
      <c r="AE1348" s="90" t="n">
        <v>88000</v>
      </c>
      <c r="AF1348" s="90" t="n">
        <v>88000</v>
      </c>
      <c r="AG1348" s="90" t="n">
        <v>88000</v>
      </c>
      <c r="AH1348" s="90" t="n">
        <v>88000</v>
      </c>
      <c r="AI1348" s="90" t="n">
        <v>88000</v>
      </c>
      <c r="AJ1348" s="91" t="n">
        <v>88000</v>
      </c>
      <c r="AK1348" s="89" t="n">
        <v>88000</v>
      </c>
      <c r="AL1348" s="90" t="n">
        <v>88000</v>
      </c>
      <c r="AM1348" s="90"/>
      <c r="AN1348" s="90"/>
      <c r="AO1348" s="90"/>
      <c r="AP1348" s="90"/>
      <c r="AQ1348" s="90"/>
      <c r="AR1348" s="90"/>
      <c r="AS1348" s="90"/>
      <c r="AT1348" s="90"/>
      <c r="AU1348" s="90"/>
      <c r="AV1348" s="91"/>
      <c r="AX1348" s="92"/>
    </row>
    <row r="1349" customFormat="false" ht="15.65" hidden="false" customHeight="false" outlineLevel="0" collapsed="false">
      <c r="C1349" s="72" t="n">
        <f aca="false">COUNTIFS($D$6:D1349,"&lt;&gt;"&amp;"")</f>
        <v>1344</v>
      </c>
      <c r="D1349" s="73" t="s">
        <v>12</v>
      </c>
      <c r="E1349" s="76" t="str">
        <f aca="false">
IF($D1349="정상",INDEX(임대자산!$D$3:$R$3000,MATCH($F1349,임대자산!$I$3:$I$3000,0),MATCH(E$3,임대자산!$D$3:$R$3,0)),
IF($D1349="폐업",INDEX(폐업정보!$D$3:$R$3000,MATCH($F1349,폐업정보!$I$3:$I$3000,0),MATCH(E$3,폐업정보!$D$3:$R$3,0)),
"Error"))</f>
        <v>전라</v>
      </c>
      <c r="F134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B1344</v>
      </c>
      <c r="G1349" s="76" t="str">
        <f aca="false">F1349&amp;RANDBETWEEN(0,10)</f>
        <v>B13443</v>
      </c>
      <c r="H1349" s="75" t="n">
        <f aca="false">
IF($D1349="정상",INDEX(임대자산!$D$3:$R$3000,MATCH($F1349,임대자산!$I$3:$I$3000,0),MATCH(H$4,임대자산!$D$3:$R$3,0)),
IF($D1349="폐업",INDEX(폐업정보!$D$3:$R$3000,MATCH($F1349,폐업정보!$I$3:$I$3000,0),MATCH(H$4,폐업정보!$D$3:$R$3,0)),
"Error"))</f>
        <v>45195</v>
      </c>
      <c r="I1349" s="75" t="str">
        <f aca="false">
IF($D1349="정상",INDEX(임대자산!$D$3:$R$3000,MATCH($F1349,임대자산!$I$3:$I$3000,0),MATCH(I$4,임대자산!$D$3:$R$3,0)),
IF($D1349="폐업",INDEX(폐업정보!$D$3:$R$3000,MATCH($F1349,폐업정보!$I$3:$I$3000,0),MATCH(I$4,폐업정보!$D$3:$R$3,0)),
"Error"))</f>
        <v>A1344</v>
      </c>
      <c r="J1349" s="75" t="str">
        <f aca="false">
IF($D1349="정상",INDEX(임대자산!$D$3:$R$3000,MATCH($F1349,임대자산!$I$3:$I$3000,0),MATCH(J$4,임대자산!$D$3:$R$3,0)),
IF($D1349="폐업",INDEX(폐업정보!$D$3:$R$3000,MATCH($F1349,폐업정보!$I$3:$I$3000,0),MATCH(J$4,폐업정보!$D$3:$R$3,0)),
"Error"))</f>
        <v>2713200000</v>
      </c>
      <c r="K1349" s="75" t="str">
        <f aca="false">
IF($D1349="정상",INDEX(임대자산!$D$3:$R$3000,MATCH($F1349,임대자산!$I$3:$I$3000,0),MATCH(K$4,임대자산!$D$3:$R$3,0)),
IF($D1349="폐업",INDEX(폐업정보!$D$3:$R$3000,MATCH($F1349,폐업정보!$I$3:$I$3000,0),MATCH(K$4,폐업정보!$D$3:$R$3,0)),
"Error"))</f>
        <v>C1344</v>
      </c>
      <c r="L1349" s="75" t="str">
        <f aca="false">
IF($D1349="정상",INDEX(임대자산!$D$3:$R$3000,MATCH($F1349,임대자산!$I$3:$I$3000,0),MATCH(L$4,임대자산!$D$3:$R$3,0)),
IF($D1349="폐업",INDEX(폐업정보!$D$3:$R$3000,MATCH($F1349,폐업정보!$I$3:$I$3000,0),MATCH(L$4,폐업정보!$D$3:$R$3,0)),
"Error"))</f>
        <v>D1344</v>
      </c>
      <c r="M1349" s="76" t="s">
        <v>96</v>
      </c>
      <c r="N1349" s="77"/>
      <c r="O1349" s="78" t="s">
        <v>97</v>
      </c>
      <c r="P1349" s="79" t="n">
        <f aca="false">COUNTIFS(임대자산!$I:$I,가맹점정보!F1349,임대자산!$N:$N,가맹점정보!P$4)</f>
        <v>0</v>
      </c>
      <c r="Q1349" s="80" t="n">
        <f aca="false">COUNTIFS(임대자산!$I:$I,가맹점정보!F1349,임대자산!$N:$N,가맹점정보!Q$4)</f>
        <v>0</v>
      </c>
      <c r="R1349" s="81" t="n">
        <f aca="false">COUNTIFS(임대자산!$I:$I,가맹점정보!F1349,임대자산!$N:$N,가맹점정보!R$4)</f>
        <v>1</v>
      </c>
      <c r="S1349" s="82" t="n">
        <v>55000</v>
      </c>
      <c r="T1349" s="83" t="n">
        <v>0</v>
      </c>
      <c r="U1349" s="80" t="n">
        <f aca="false">SUM(S1349:T1349)</f>
        <v>55000</v>
      </c>
      <c r="V1349" s="84" t="s">
        <v>7</v>
      </c>
      <c r="W1349" s="80" t="str">
        <f aca="true">
IF(D1349="폐업","폐업",
IF(V1349="면제","면제",
IF(AND(V1349="정상",COUNTIFS(OFFSET(Y1349,0,COUNTA(Y1349:AV1349)-1,1,-4),"미납")&gt;=3),"장기미납",
IF(AND(V1349="정상",OFFSET(Y1349,0,COUNTA(Y1349:AV1349)-1)&gt;=U1349),"정상",
IF(AND(V1349="정상",OFFSET(Y1349,0,COUNTA(Y1349:AV1349)-1)=0),"정상",
"계약서 미작성")))))</f>
        <v>면제</v>
      </c>
      <c r="X1349" s="81" t="str">
        <f aca="true">
IF(D1349="폐업","폐업",
IF(AND(V1349="정상",OFFSET(Y1349,0,COUNTA(Y1349:AV1349)-1)="미납"),"미납",
IF(AND(V1349="정상",OFFSET(Y1349,0,COUNTA(Y1349:AV1349)-1)=0),"납부 시작 전",
IF(AND(V1349="정상",OFFSET(Y1349,0,COUNTA(Y1349:AV1349)-1)&gt;=U1349),"정상",
IF(AND(V1349="면제",OFFSET(Y1349,0,COUNTA(Y1349:AV1349)-1)="면제"),"면제",
IF(AND(V1349="면제",OFFSET(Y1349,0,COUNTA(Y1349:AV1349)-1)=0),"면제",
"확인요청"))))))</f>
        <v>면제</v>
      </c>
      <c r="Y1349" s="94" t="s">
        <v>7</v>
      </c>
      <c r="Z1349" s="95" t="s">
        <v>7</v>
      </c>
      <c r="AA1349" s="95" t="s">
        <v>7</v>
      </c>
      <c r="AB1349" s="95" t="s">
        <v>7</v>
      </c>
      <c r="AC1349" s="95" t="s">
        <v>7</v>
      </c>
      <c r="AD1349" s="95" t="s">
        <v>7</v>
      </c>
      <c r="AE1349" s="95" t="s">
        <v>7</v>
      </c>
      <c r="AF1349" s="95" t="s">
        <v>7</v>
      </c>
      <c r="AG1349" s="95" t="s">
        <v>7</v>
      </c>
      <c r="AH1349" s="95" t="s">
        <v>7</v>
      </c>
      <c r="AI1349" s="95" t="s">
        <v>7</v>
      </c>
      <c r="AJ1349" s="96" t="s">
        <v>7</v>
      </c>
      <c r="AK1349" s="97" t="s">
        <v>7</v>
      </c>
      <c r="AL1349" s="95" t="s">
        <v>7</v>
      </c>
      <c r="AM1349" s="90"/>
      <c r="AN1349" s="90"/>
      <c r="AO1349" s="90"/>
      <c r="AP1349" s="90"/>
      <c r="AQ1349" s="90"/>
      <c r="AR1349" s="90"/>
      <c r="AS1349" s="90"/>
      <c r="AT1349" s="90"/>
      <c r="AU1349" s="90"/>
      <c r="AV1349" s="91"/>
      <c r="AX1349" s="92"/>
    </row>
    <row r="1350" customFormat="false" ht="15.65" hidden="false" customHeight="false" outlineLevel="0" collapsed="false">
      <c r="C1350" s="72" t="n">
        <f aca="false">COUNTIFS($D$6:D1350,"&lt;&gt;"&amp;"")</f>
        <v>1345</v>
      </c>
      <c r="D1350" s="73" t="s">
        <v>12</v>
      </c>
      <c r="E1350" s="76" t="str">
        <f aca="false">
IF($D1350="정상",INDEX(임대자산!$D$3:$R$3000,MATCH($F1350,임대자산!$I$3:$I$3000,0),MATCH(E$3,임대자산!$D$3:$R$3,0)),
IF($D1350="폐업",INDEX(폐업정보!$D$3:$R$3000,MATCH($F1350,폐업정보!$I$3:$I$3000,0),MATCH(E$3,폐업정보!$D$3:$R$3,0)),
"Error"))</f>
        <v>서울</v>
      </c>
      <c r="F135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B1345</v>
      </c>
      <c r="G1350" s="76" t="str">
        <f aca="false">F1350&amp;RANDBETWEEN(0,10)</f>
        <v>B13453</v>
      </c>
      <c r="H1350" s="75" t="n">
        <f aca="false">
IF($D1350="정상",INDEX(임대자산!$D$3:$R$3000,MATCH($F1350,임대자산!$I$3:$I$3000,0),MATCH(H$4,임대자산!$D$3:$R$3,0)),
IF($D1350="폐업",INDEX(폐업정보!$D$3:$R$3000,MATCH($F1350,폐업정보!$I$3:$I$3000,0),MATCH(H$4,폐업정보!$D$3:$R$3,0)),
"Error"))</f>
        <v>45138</v>
      </c>
      <c r="I1350" s="75" t="str">
        <f aca="false">
IF($D1350="정상",INDEX(임대자산!$D$3:$R$3000,MATCH($F1350,임대자산!$I$3:$I$3000,0),MATCH(I$4,임대자산!$D$3:$R$3,0)),
IF($D1350="폐업",INDEX(폐업정보!$D$3:$R$3000,MATCH($F1350,폐업정보!$I$3:$I$3000,0),MATCH(I$4,폐업정보!$D$3:$R$3,0)),
"Error"))</f>
        <v>A1345</v>
      </c>
      <c r="J1350" s="75" t="str">
        <f aca="false">
IF($D1350="정상",INDEX(임대자산!$D$3:$R$3000,MATCH($F1350,임대자산!$I$3:$I$3000,0),MATCH(J$4,임대자산!$D$3:$R$3,0)),
IF($D1350="폐업",INDEX(폐업정보!$D$3:$R$3000,MATCH($F1350,폐업정보!$I$3:$I$3000,0),MATCH(J$4,폐업정보!$D$3:$R$3,0)),
"Error"))</f>
        <v>2590200000</v>
      </c>
      <c r="K1350" s="75" t="str">
        <f aca="false">
IF($D1350="정상",INDEX(임대자산!$D$3:$R$3000,MATCH($F1350,임대자산!$I$3:$I$3000,0),MATCH(K$4,임대자산!$D$3:$R$3,0)),
IF($D1350="폐업",INDEX(폐업정보!$D$3:$R$3000,MATCH($F1350,폐업정보!$I$3:$I$3000,0),MATCH(K$4,폐업정보!$D$3:$R$3,0)),
"Error"))</f>
        <v>C1345</v>
      </c>
      <c r="L1350" s="75" t="str">
        <f aca="false">
IF($D1350="정상",INDEX(임대자산!$D$3:$R$3000,MATCH($F1350,임대자산!$I$3:$I$3000,0),MATCH(L$4,임대자산!$D$3:$R$3,0)),
IF($D1350="폐업",INDEX(폐업정보!$D$3:$R$3000,MATCH($F1350,폐업정보!$I$3:$I$3000,0),MATCH(L$4,폐업정보!$D$3:$R$3,0)),
"Error"))</f>
        <v>D1345</v>
      </c>
      <c r="M1350" s="76" t="s">
        <v>96</v>
      </c>
      <c r="N1350" s="77"/>
      <c r="O1350" s="78" t="s">
        <v>97</v>
      </c>
      <c r="P1350" s="79" t="n">
        <f aca="false">COUNTIFS(임대자산!$I:$I,가맹점정보!F1350,임대자산!$N:$N,가맹점정보!P$4)</f>
        <v>0</v>
      </c>
      <c r="Q1350" s="80" t="n">
        <f aca="false">COUNTIFS(임대자산!$I:$I,가맹점정보!F1350,임대자산!$N:$N,가맹점정보!Q$4)</f>
        <v>0</v>
      </c>
      <c r="R1350" s="81" t="n">
        <f aca="false">COUNTIFS(임대자산!$I:$I,가맹점정보!F1350,임대자산!$N:$N,가맹점정보!R$4)</f>
        <v>1</v>
      </c>
      <c r="S1350" s="82" t="n">
        <v>88000</v>
      </c>
      <c r="T1350" s="83" t="n">
        <v>0</v>
      </c>
      <c r="U1350" s="80" t="n">
        <f aca="false">SUM(S1350:T1350)</f>
        <v>88000</v>
      </c>
      <c r="V1350" s="84" t="s">
        <v>7</v>
      </c>
      <c r="W1350" s="80" t="str">
        <f aca="true">
IF(D1350="폐업","폐업",
IF(V1350="면제","면제",
IF(AND(V1350="정상",COUNTIFS(OFFSET(Y1350,0,COUNTA(Y1350:AV1350)-1,1,-4),"미납")&gt;=3),"장기미납",
IF(AND(V1350="정상",OFFSET(Y1350,0,COUNTA(Y1350:AV1350)-1)&gt;=U1350),"정상",
IF(AND(V1350="정상",OFFSET(Y1350,0,COUNTA(Y1350:AV1350)-1)=0),"정상",
"계약서 미작성")))))</f>
        <v>면제</v>
      </c>
      <c r="X1350" s="81" t="str">
        <f aca="true">
IF(D1350="폐업","폐업",
IF(AND(V1350="정상",OFFSET(Y1350,0,COUNTA(Y1350:AV1350)-1)="미납"),"미납",
IF(AND(V1350="정상",OFFSET(Y1350,0,COUNTA(Y1350:AV1350)-1)=0),"납부 시작 전",
IF(AND(V1350="정상",OFFSET(Y1350,0,COUNTA(Y1350:AV1350)-1)&gt;=U1350),"정상",
IF(AND(V1350="면제",OFFSET(Y1350,0,COUNTA(Y1350:AV1350)-1)="면제"),"면제",
IF(AND(V1350="면제",OFFSET(Y1350,0,COUNTA(Y1350:AV1350)-1)=0),"면제",
"확인요청"))))))</f>
        <v>면제</v>
      </c>
      <c r="Y1350" s="94" t="s">
        <v>7</v>
      </c>
      <c r="Z1350" s="95" t="s">
        <v>7</v>
      </c>
      <c r="AA1350" s="95" t="s">
        <v>7</v>
      </c>
      <c r="AB1350" s="95" t="s">
        <v>7</v>
      </c>
      <c r="AC1350" s="95" t="s">
        <v>7</v>
      </c>
      <c r="AD1350" s="95" t="s">
        <v>7</v>
      </c>
      <c r="AE1350" s="95" t="s">
        <v>7</v>
      </c>
      <c r="AF1350" s="95" t="s">
        <v>7</v>
      </c>
      <c r="AG1350" s="95" t="s">
        <v>7</v>
      </c>
      <c r="AH1350" s="95" t="s">
        <v>7</v>
      </c>
      <c r="AI1350" s="95" t="s">
        <v>7</v>
      </c>
      <c r="AJ1350" s="96" t="s">
        <v>7</v>
      </c>
      <c r="AK1350" s="97" t="s">
        <v>7</v>
      </c>
      <c r="AL1350" s="95" t="s">
        <v>7</v>
      </c>
      <c r="AM1350" s="90"/>
      <c r="AN1350" s="90"/>
      <c r="AO1350" s="90"/>
      <c r="AP1350" s="90"/>
      <c r="AQ1350" s="90"/>
      <c r="AR1350" s="90"/>
      <c r="AS1350" s="90"/>
      <c r="AT1350" s="90"/>
      <c r="AU1350" s="90"/>
      <c r="AV1350" s="91"/>
      <c r="AX1350" s="92"/>
    </row>
    <row r="1351" customFormat="false" ht="15.65" hidden="false" customHeight="false" outlineLevel="0" collapsed="false">
      <c r="C1351" s="72" t="n">
        <f aca="false">COUNTIFS($D$6:D1351,"&lt;&gt;"&amp;"")</f>
        <v>1346</v>
      </c>
      <c r="D1351" s="73" t="s">
        <v>12</v>
      </c>
      <c r="E1351" s="76" t="str">
        <f aca="false">
IF($D1351="정상",INDEX(임대자산!$D$3:$R$3000,MATCH($F1351,임대자산!$I$3:$I$3000,0),MATCH(E$3,임대자산!$D$3:$R$3,0)),
IF($D1351="폐업",INDEX(폐업정보!$D$3:$R$3000,MATCH($F1351,폐업정보!$I$3:$I$3000,0),MATCH(E$3,폐업정보!$D$3:$R$3,0)),
"Error"))</f>
        <v>전라</v>
      </c>
      <c r="F135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B1346</v>
      </c>
      <c r="G1351" s="76" t="str">
        <f aca="false">F1351&amp;RANDBETWEEN(0,10)</f>
        <v>B13462</v>
      </c>
      <c r="H1351" s="75" t="n">
        <f aca="false">
IF($D1351="정상",INDEX(임대자산!$D$3:$R$3000,MATCH($F1351,임대자산!$I$3:$I$3000,0),MATCH(H$4,임대자산!$D$3:$R$3,0)),
IF($D1351="폐업",INDEX(폐업정보!$D$3:$R$3000,MATCH($F1351,폐업정보!$I$3:$I$3000,0),MATCH(H$4,폐업정보!$D$3:$R$3,0)),
"Error"))</f>
        <v>45229</v>
      </c>
      <c r="I1351" s="75" t="str">
        <f aca="false">
IF($D1351="정상",INDEX(임대자산!$D$3:$R$3000,MATCH($F1351,임대자산!$I$3:$I$3000,0),MATCH(I$4,임대자산!$D$3:$R$3,0)),
IF($D1351="폐업",INDEX(폐업정보!$D$3:$R$3000,MATCH($F1351,폐업정보!$I$3:$I$3000,0),MATCH(I$4,폐업정보!$D$3:$R$3,0)),
"Error"))</f>
        <v>A1346</v>
      </c>
      <c r="J1351" s="75" t="str">
        <f aca="false">
IF($D1351="정상",INDEX(임대자산!$D$3:$R$3000,MATCH($F1351,임대자산!$I$3:$I$3000,0),MATCH(J$4,임대자산!$D$3:$R$3,0)),
IF($D1351="폐업",INDEX(폐업정보!$D$3:$R$3000,MATCH($F1351,폐업정보!$I$3:$I$3000,0),MATCH(J$4,폐업정보!$D$3:$R$3,0)),
"Error"))</f>
        <v>5245900000</v>
      </c>
      <c r="K1351" s="75" t="str">
        <f aca="false">
IF($D1351="정상",INDEX(임대자산!$D$3:$R$3000,MATCH($F1351,임대자산!$I$3:$I$3000,0),MATCH(K$4,임대자산!$D$3:$R$3,0)),
IF($D1351="폐업",INDEX(폐업정보!$D$3:$R$3000,MATCH($F1351,폐업정보!$I$3:$I$3000,0),MATCH(K$4,폐업정보!$D$3:$R$3,0)),
"Error"))</f>
        <v>C1346</v>
      </c>
      <c r="L1351" s="75" t="str">
        <f aca="false">
IF($D1351="정상",INDEX(임대자산!$D$3:$R$3000,MATCH($F1351,임대자산!$I$3:$I$3000,0),MATCH(L$4,임대자산!$D$3:$R$3,0)),
IF($D1351="폐업",INDEX(폐업정보!$D$3:$R$3000,MATCH($F1351,폐업정보!$I$3:$I$3000,0),MATCH(L$4,폐업정보!$D$3:$R$3,0)),
"Error"))</f>
        <v>D1346</v>
      </c>
      <c r="M1351" s="76" t="s">
        <v>96</v>
      </c>
      <c r="N1351" s="77"/>
      <c r="O1351" s="78" t="s">
        <v>97</v>
      </c>
      <c r="P1351" s="79" t="n">
        <f aca="false">COUNTIFS(임대자산!$I:$I,가맹점정보!F1351,임대자산!$N:$N,가맹점정보!P$4)</f>
        <v>0</v>
      </c>
      <c r="Q1351" s="80" t="n">
        <f aca="false">COUNTIFS(임대자산!$I:$I,가맹점정보!F1351,임대자산!$N:$N,가맹점정보!Q$4)</f>
        <v>0</v>
      </c>
      <c r="R1351" s="81" t="n">
        <f aca="false">COUNTIFS(임대자산!$I:$I,가맹점정보!F1351,임대자산!$N:$N,가맹점정보!R$4)</f>
        <v>1</v>
      </c>
      <c r="S1351" s="82" t="n">
        <v>55000</v>
      </c>
      <c r="T1351" s="83" t="n">
        <v>0</v>
      </c>
      <c r="U1351" s="80" t="n">
        <f aca="false">SUM(S1351:T1351)</f>
        <v>55000</v>
      </c>
      <c r="V1351" s="84" t="s">
        <v>12</v>
      </c>
      <c r="W1351" s="80" t="e">
        <f aca="true">
IF(D1351="폐업","폐업",
IF(V1351="면제","면제",
IF(AND(V1351="정상",COUNTIFS(OFFSET(Y1351,0,COUNTA(Y1351:AV1351)-1,1,-4),"미납")&gt;=3),"장기미납",
IF(AND(V1351="정상",OFFSET(Y1351,0,COUNTA(Y1351:AV1351)-1)&gt;=U1351),"정상",
IF(AND(V1351="정상",OFFSET(Y1351,0,COUNTA(Y1351:AV1351)-1)=0),"정상",
"계약서 미작성")))))</f>
        <v>#VALUE!</v>
      </c>
      <c r="X1351" s="81" t="str">
        <f aca="true">
IF(D1351="폐업","폐업",
IF(AND(V1351="정상",OFFSET(Y1351,0,COUNTA(Y1351:AV1351)-1)="미납"),"미납",
IF(AND(V1351="정상",OFFSET(Y1351,0,COUNTA(Y1351:AV1351)-1)=0),"납부 시작 전",
IF(AND(V1351="정상",OFFSET(Y1351,0,COUNTA(Y1351:AV1351)-1)&gt;=U1351),"정상",
IF(AND(V1351="면제",OFFSET(Y1351,0,COUNTA(Y1351:AV1351)-1)="면제"),"면제",
IF(AND(V1351="면제",OFFSET(Y1351,0,COUNTA(Y1351:AV1351)-1)=0),"면제",
"확인요청"))))))</f>
        <v>정상</v>
      </c>
      <c r="Y1351" s="93" t="n">
        <v>55000</v>
      </c>
      <c r="Z1351" s="90" t="n">
        <v>55000</v>
      </c>
      <c r="AA1351" s="90" t="n">
        <v>55000</v>
      </c>
      <c r="AB1351" s="90" t="n">
        <v>55000</v>
      </c>
      <c r="AC1351" s="90" t="n">
        <v>55000</v>
      </c>
      <c r="AD1351" s="90" t="n">
        <v>55000</v>
      </c>
      <c r="AE1351" s="90" t="n">
        <v>55000</v>
      </c>
      <c r="AF1351" s="90" t="n">
        <v>55000</v>
      </c>
      <c r="AG1351" s="90" t="n">
        <v>55000</v>
      </c>
      <c r="AH1351" s="90" t="n">
        <v>55000</v>
      </c>
      <c r="AI1351" s="90" t="n">
        <v>55000</v>
      </c>
      <c r="AJ1351" s="91" t="n">
        <v>55000</v>
      </c>
      <c r="AK1351" s="89" t="n">
        <v>55000</v>
      </c>
      <c r="AL1351" s="90" t="n">
        <v>55000</v>
      </c>
      <c r="AM1351" s="90"/>
      <c r="AN1351" s="90"/>
      <c r="AO1351" s="90"/>
      <c r="AP1351" s="90"/>
      <c r="AQ1351" s="90"/>
      <c r="AR1351" s="90"/>
      <c r="AS1351" s="90"/>
      <c r="AT1351" s="90"/>
      <c r="AU1351" s="90"/>
      <c r="AV1351" s="91"/>
      <c r="AX1351" s="92"/>
    </row>
    <row r="1352" customFormat="false" ht="15.65" hidden="false" customHeight="false" outlineLevel="0" collapsed="false">
      <c r="C1352" s="72" t="n">
        <f aca="false">COUNTIFS($D$6:D1352,"&lt;&gt;"&amp;"")</f>
        <v>1347</v>
      </c>
      <c r="D1352" s="73" t="s">
        <v>12</v>
      </c>
      <c r="E1352" s="76" t="str">
        <f aca="false">
IF($D1352="정상",INDEX(임대자산!$D$3:$R$3000,MATCH($F1352,임대자산!$I$3:$I$3000,0),MATCH(E$3,임대자산!$D$3:$R$3,0)),
IF($D1352="폐업",INDEX(폐업정보!$D$3:$R$3000,MATCH($F1352,폐업정보!$I$3:$I$3000,0),MATCH(E$3,폐업정보!$D$3:$R$3,0)),
"Error"))</f>
        <v>전라</v>
      </c>
      <c r="F135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B1347</v>
      </c>
      <c r="G1352" s="76" t="str">
        <f aca="false">F1352&amp;RANDBETWEEN(0,10)</f>
        <v>B13473</v>
      </c>
      <c r="H1352" s="75" t="n">
        <f aca="false">
IF($D1352="정상",INDEX(임대자산!$D$3:$R$3000,MATCH($F1352,임대자산!$I$3:$I$3000,0),MATCH(H$4,임대자산!$D$3:$R$3,0)),
IF($D1352="폐업",INDEX(폐업정보!$D$3:$R$3000,MATCH($F1352,폐업정보!$I$3:$I$3000,0),MATCH(H$4,폐업정보!$D$3:$R$3,0)),
"Error"))</f>
        <v>45195</v>
      </c>
      <c r="I1352" s="75" t="str">
        <f aca="false">
IF($D1352="정상",INDEX(임대자산!$D$3:$R$3000,MATCH($F1352,임대자산!$I$3:$I$3000,0),MATCH(I$4,임대자산!$D$3:$R$3,0)),
IF($D1352="폐업",INDEX(폐업정보!$D$3:$R$3000,MATCH($F1352,폐업정보!$I$3:$I$3000,0),MATCH(I$4,폐업정보!$D$3:$R$3,0)),
"Error"))</f>
        <v>A1347</v>
      </c>
      <c r="J1352" s="75" t="str">
        <f aca="false">
IF($D1352="정상",INDEX(임대자산!$D$3:$R$3000,MATCH($F1352,임대자산!$I$3:$I$3000,0),MATCH(J$4,임대자산!$D$3:$R$3,0)),
IF($D1352="폐업",INDEX(폐업정보!$D$3:$R$3000,MATCH($F1352,폐업정보!$I$3:$I$3000,0),MATCH(J$4,폐업정보!$D$3:$R$3,0)),
"Error"))</f>
        <v>2776300000</v>
      </c>
      <c r="K1352" s="75" t="str">
        <f aca="false">
IF($D1352="정상",INDEX(임대자산!$D$3:$R$3000,MATCH($F1352,임대자산!$I$3:$I$3000,0),MATCH(K$4,임대자산!$D$3:$R$3,0)),
IF($D1352="폐업",INDEX(폐업정보!$D$3:$R$3000,MATCH($F1352,폐업정보!$I$3:$I$3000,0),MATCH(K$4,폐업정보!$D$3:$R$3,0)),
"Error"))</f>
        <v>C1347</v>
      </c>
      <c r="L1352" s="75" t="str">
        <f aca="false">
IF($D1352="정상",INDEX(임대자산!$D$3:$R$3000,MATCH($F1352,임대자산!$I$3:$I$3000,0),MATCH(L$4,임대자산!$D$3:$R$3,0)),
IF($D1352="폐업",INDEX(폐업정보!$D$3:$R$3000,MATCH($F1352,폐업정보!$I$3:$I$3000,0),MATCH(L$4,폐업정보!$D$3:$R$3,0)),
"Error"))</f>
        <v>D1347</v>
      </c>
      <c r="M1352" s="76" t="s">
        <v>96</v>
      </c>
      <c r="N1352" s="77"/>
      <c r="O1352" s="78" t="s">
        <v>97</v>
      </c>
      <c r="P1352" s="79" t="n">
        <f aca="false">COUNTIFS(임대자산!$I:$I,가맹점정보!F1352,임대자산!$N:$N,가맹점정보!P$4)</f>
        <v>0</v>
      </c>
      <c r="Q1352" s="80" t="n">
        <f aca="false">COUNTIFS(임대자산!$I:$I,가맹점정보!F1352,임대자산!$N:$N,가맹점정보!Q$4)</f>
        <v>0</v>
      </c>
      <c r="R1352" s="81" t="n">
        <f aca="false">COUNTIFS(임대자산!$I:$I,가맹점정보!F1352,임대자산!$N:$N,가맹점정보!R$4)</f>
        <v>1</v>
      </c>
      <c r="S1352" s="82" t="n">
        <v>88000</v>
      </c>
      <c r="T1352" s="83" t="n">
        <v>0</v>
      </c>
      <c r="U1352" s="80" t="n">
        <f aca="false">SUM(S1352:T1352)</f>
        <v>88000</v>
      </c>
      <c r="V1352" s="84" t="s">
        <v>7</v>
      </c>
      <c r="W1352" s="80" t="str">
        <f aca="true">
IF(D1352="폐업","폐업",
IF(V1352="면제","면제",
IF(AND(V1352="정상",COUNTIFS(OFFSET(Y1352,0,COUNTA(Y1352:AV1352)-1,1,-4),"미납")&gt;=3),"장기미납",
IF(AND(V1352="정상",OFFSET(Y1352,0,COUNTA(Y1352:AV1352)-1)&gt;=U1352),"정상",
IF(AND(V1352="정상",OFFSET(Y1352,0,COUNTA(Y1352:AV1352)-1)=0),"정상",
"계약서 미작성")))))</f>
        <v>면제</v>
      </c>
      <c r="X1352" s="81" t="str">
        <f aca="true">
IF(D1352="폐업","폐업",
IF(AND(V1352="정상",OFFSET(Y1352,0,COUNTA(Y1352:AV1352)-1)="미납"),"미납",
IF(AND(V1352="정상",OFFSET(Y1352,0,COUNTA(Y1352:AV1352)-1)=0),"납부 시작 전",
IF(AND(V1352="정상",OFFSET(Y1352,0,COUNTA(Y1352:AV1352)-1)&gt;=U1352),"정상",
IF(AND(V1352="면제",OFFSET(Y1352,0,COUNTA(Y1352:AV1352)-1)="면제"),"면제",
IF(AND(V1352="면제",OFFSET(Y1352,0,COUNTA(Y1352:AV1352)-1)=0),"면제",
"확인요청"))))))</f>
        <v>면제</v>
      </c>
      <c r="Y1352" s="94" t="s">
        <v>7</v>
      </c>
      <c r="Z1352" s="95" t="s">
        <v>7</v>
      </c>
      <c r="AA1352" s="95" t="s">
        <v>7</v>
      </c>
      <c r="AB1352" s="95" t="s">
        <v>7</v>
      </c>
      <c r="AC1352" s="95" t="s">
        <v>7</v>
      </c>
      <c r="AD1352" s="95" t="s">
        <v>7</v>
      </c>
      <c r="AE1352" s="95" t="s">
        <v>7</v>
      </c>
      <c r="AF1352" s="95" t="s">
        <v>7</v>
      </c>
      <c r="AG1352" s="95" t="s">
        <v>7</v>
      </c>
      <c r="AH1352" s="95" t="s">
        <v>7</v>
      </c>
      <c r="AI1352" s="95" t="s">
        <v>7</v>
      </c>
      <c r="AJ1352" s="96" t="s">
        <v>7</v>
      </c>
      <c r="AK1352" s="97" t="s">
        <v>7</v>
      </c>
      <c r="AL1352" s="95" t="s">
        <v>7</v>
      </c>
      <c r="AM1352" s="90"/>
      <c r="AN1352" s="90"/>
      <c r="AO1352" s="90"/>
      <c r="AP1352" s="90"/>
      <c r="AQ1352" s="90"/>
      <c r="AR1352" s="90"/>
      <c r="AS1352" s="90"/>
      <c r="AT1352" s="90"/>
      <c r="AU1352" s="90"/>
      <c r="AV1352" s="91"/>
      <c r="AX1352" s="92"/>
    </row>
    <row r="1353" customFormat="false" ht="15.65" hidden="false" customHeight="false" outlineLevel="0" collapsed="false">
      <c r="C1353" s="72" t="n">
        <f aca="false">COUNTIFS($D$6:D1353,"&lt;&gt;"&amp;"")</f>
        <v>1348</v>
      </c>
      <c r="D1353" s="73" t="s">
        <v>12</v>
      </c>
      <c r="E1353" s="76" t="str">
        <f aca="false">
IF($D1353="정상",INDEX(임대자산!$D$3:$R$3000,MATCH($F1353,임대자산!$I$3:$I$3000,0),MATCH(E$3,임대자산!$D$3:$R$3,0)),
IF($D1353="폐업",INDEX(폐업정보!$D$3:$R$3000,MATCH($F1353,폐업정보!$I$3:$I$3000,0),MATCH(E$3,폐업정보!$D$3:$R$3,0)),
"Error"))</f>
        <v>서울</v>
      </c>
      <c r="F135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B1348</v>
      </c>
      <c r="G1353" s="76" t="str">
        <f aca="false">F1353&amp;RANDBETWEEN(0,10)</f>
        <v>B13484</v>
      </c>
      <c r="H1353" s="75" t="n">
        <f aca="false">
IF($D1353="정상",INDEX(임대자산!$D$3:$R$3000,MATCH($F1353,임대자산!$I$3:$I$3000,0),MATCH(H$4,임대자산!$D$3:$R$3,0)),
IF($D1353="폐업",INDEX(폐업정보!$D$3:$R$3000,MATCH($F1353,폐업정보!$I$3:$I$3000,0),MATCH(H$4,폐업정보!$D$3:$R$3,0)),
"Error"))</f>
        <v>45064</v>
      </c>
      <c r="I1353" s="75" t="str">
        <f aca="false">
IF($D1353="정상",INDEX(임대자산!$D$3:$R$3000,MATCH($F1353,임대자산!$I$3:$I$3000,0),MATCH(I$4,임대자산!$D$3:$R$3,0)),
IF($D1353="폐업",INDEX(폐업정보!$D$3:$R$3000,MATCH($F1353,폐업정보!$I$3:$I$3000,0),MATCH(I$4,폐업정보!$D$3:$R$3,0)),
"Error"))</f>
        <v>A1348</v>
      </c>
      <c r="J1353" s="75" t="str">
        <f aca="false">
IF($D1353="정상",INDEX(임대자산!$D$3:$R$3000,MATCH($F1353,임대자산!$I$3:$I$3000,0),MATCH(J$4,임대자산!$D$3:$R$3,0)),
IF($D1353="폐업",INDEX(폐업정보!$D$3:$R$3000,MATCH($F1353,폐업정보!$I$3:$I$3000,0),MATCH(J$4,폐업정보!$D$3:$R$3,0)),
"Error"))</f>
        <v>7536500000</v>
      </c>
      <c r="K1353" s="75" t="str">
        <f aca="false">
IF($D1353="정상",INDEX(임대자산!$D$3:$R$3000,MATCH($F1353,임대자산!$I$3:$I$3000,0),MATCH(K$4,임대자산!$D$3:$R$3,0)),
IF($D1353="폐업",INDEX(폐업정보!$D$3:$R$3000,MATCH($F1353,폐업정보!$I$3:$I$3000,0),MATCH(K$4,폐업정보!$D$3:$R$3,0)),
"Error"))</f>
        <v>C1348</v>
      </c>
      <c r="L1353" s="75" t="str">
        <f aca="false">
IF($D1353="정상",INDEX(임대자산!$D$3:$R$3000,MATCH($F1353,임대자산!$I$3:$I$3000,0),MATCH(L$4,임대자산!$D$3:$R$3,0)),
IF($D1353="폐업",INDEX(폐업정보!$D$3:$R$3000,MATCH($F1353,폐업정보!$I$3:$I$3000,0),MATCH(L$4,폐업정보!$D$3:$R$3,0)),
"Error"))</f>
        <v>D1348</v>
      </c>
      <c r="M1353" s="76" t="s">
        <v>96</v>
      </c>
      <c r="N1353" s="77"/>
      <c r="O1353" s="78" t="s">
        <v>97</v>
      </c>
      <c r="P1353" s="79" t="n">
        <f aca="false">COUNTIFS(임대자산!$I:$I,가맹점정보!F1353,임대자산!$N:$N,가맹점정보!P$4)</f>
        <v>0</v>
      </c>
      <c r="Q1353" s="80" t="n">
        <f aca="false">COUNTIFS(임대자산!$I:$I,가맹점정보!F1353,임대자산!$N:$N,가맹점정보!Q$4)</f>
        <v>0</v>
      </c>
      <c r="R1353" s="81" t="n">
        <f aca="false">COUNTIFS(임대자산!$I:$I,가맹점정보!F1353,임대자산!$N:$N,가맹점정보!R$4)</f>
        <v>1</v>
      </c>
      <c r="S1353" s="82" t="n">
        <v>55000</v>
      </c>
      <c r="T1353" s="83" t="n">
        <v>0</v>
      </c>
      <c r="U1353" s="80" t="n">
        <f aca="false">SUM(S1353:T1353)</f>
        <v>55000</v>
      </c>
      <c r="V1353" s="84" t="s">
        <v>7</v>
      </c>
      <c r="W1353" s="80" t="str">
        <f aca="true">
IF(D1353="폐업","폐업",
IF(V1353="면제","면제",
IF(AND(V1353="정상",COUNTIFS(OFFSET(Y1353,0,COUNTA(Y1353:AV1353)-1,1,-4),"미납")&gt;=3),"장기미납",
IF(AND(V1353="정상",OFFSET(Y1353,0,COUNTA(Y1353:AV1353)-1)&gt;=U1353),"정상",
IF(AND(V1353="정상",OFFSET(Y1353,0,COUNTA(Y1353:AV1353)-1)=0),"정상",
"계약서 미작성")))))</f>
        <v>면제</v>
      </c>
      <c r="X1353" s="81" t="str">
        <f aca="true">
IF(D1353="폐업","폐업",
IF(AND(V1353="정상",OFFSET(Y1353,0,COUNTA(Y1353:AV1353)-1)="미납"),"미납",
IF(AND(V1353="정상",OFFSET(Y1353,0,COUNTA(Y1353:AV1353)-1)=0),"납부 시작 전",
IF(AND(V1353="정상",OFFSET(Y1353,0,COUNTA(Y1353:AV1353)-1)&gt;=U1353),"정상",
IF(AND(V1353="면제",OFFSET(Y1353,0,COUNTA(Y1353:AV1353)-1)="면제"),"면제",
IF(AND(V1353="면제",OFFSET(Y1353,0,COUNTA(Y1353:AV1353)-1)=0),"면제",
"확인요청"))))))</f>
        <v>면제</v>
      </c>
      <c r="Y1353" s="94" t="s">
        <v>7</v>
      </c>
      <c r="Z1353" s="95" t="s">
        <v>7</v>
      </c>
      <c r="AA1353" s="95" t="s">
        <v>7</v>
      </c>
      <c r="AB1353" s="95" t="s">
        <v>7</v>
      </c>
      <c r="AC1353" s="95" t="s">
        <v>7</v>
      </c>
      <c r="AD1353" s="95" t="s">
        <v>7</v>
      </c>
      <c r="AE1353" s="95" t="s">
        <v>7</v>
      </c>
      <c r="AF1353" s="95" t="s">
        <v>7</v>
      </c>
      <c r="AG1353" s="95" t="s">
        <v>7</v>
      </c>
      <c r="AH1353" s="95" t="s">
        <v>7</v>
      </c>
      <c r="AI1353" s="95" t="s">
        <v>7</v>
      </c>
      <c r="AJ1353" s="96" t="s">
        <v>7</v>
      </c>
      <c r="AK1353" s="97" t="s">
        <v>7</v>
      </c>
      <c r="AL1353" s="95" t="s">
        <v>7</v>
      </c>
      <c r="AM1353" s="90"/>
      <c r="AN1353" s="90"/>
      <c r="AO1353" s="90"/>
      <c r="AP1353" s="90"/>
      <c r="AQ1353" s="90"/>
      <c r="AR1353" s="90"/>
      <c r="AS1353" s="90"/>
      <c r="AT1353" s="90"/>
      <c r="AU1353" s="90"/>
      <c r="AV1353" s="91"/>
      <c r="AX1353" s="92"/>
    </row>
    <row r="1354" customFormat="false" ht="15.65" hidden="false" customHeight="false" outlineLevel="0" collapsed="false">
      <c r="C1354" s="72" t="n">
        <f aca="false">COUNTIFS($D$6:D1354,"&lt;&gt;"&amp;"")</f>
        <v>1349</v>
      </c>
      <c r="D1354" s="73" t="s">
        <v>12</v>
      </c>
      <c r="E1354" s="76" t="str">
        <f aca="false">
IF($D1354="정상",INDEX(임대자산!$D$3:$R$3000,MATCH($F1354,임대자산!$I$3:$I$3000,0),MATCH(E$3,임대자산!$D$3:$R$3,0)),
IF($D1354="폐업",INDEX(폐업정보!$D$3:$R$3000,MATCH($F1354,폐업정보!$I$3:$I$3000,0),MATCH(E$3,폐업정보!$D$3:$R$3,0)),
"Error"))</f>
        <v>서울</v>
      </c>
      <c r="F135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B1349</v>
      </c>
      <c r="G1354" s="76" t="str">
        <f aca="false">F1354&amp;RANDBETWEEN(0,10)</f>
        <v>B13496</v>
      </c>
      <c r="H1354" s="75" t="n">
        <f aca="false">
IF($D1354="정상",INDEX(임대자산!$D$3:$R$3000,MATCH($F1354,임대자산!$I$3:$I$3000,0),MATCH(H$4,임대자산!$D$3:$R$3,0)),
IF($D1354="폐업",INDEX(폐업정보!$D$3:$R$3000,MATCH($F1354,폐업정보!$I$3:$I$3000,0),MATCH(H$4,폐업정보!$D$3:$R$3,0)),
"Error"))</f>
        <v>45229</v>
      </c>
      <c r="I1354" s="75" t="str">
        <f aca="false">
IF($D1354="정상",INDEX(임대자산!$D$3:$R$3000,MATCH($F1354,임대자산!$I$3:$I$3000,0),MATCH(I$4,임대자산!$D$3:$R$3,0)),
IF($D1354="폐업",INDEX(폐업정보!$D$3:$R$3000,MATCH($F1354,폐업정보!$I$3:$I$3000,0),MATCH(I$4,폐업정보!$D$3:$R$3,0)),
"Error"))</f>
        <v>A1349</v>
      </c>
      <c r="J1354" s="75" t="str">
        <f aca="false">
IF($D1354="정상",INDEX(임대자산!$D$3:$R$3000,MATCH($F1354,임대자산!$I$3:$I$3000,0),MATCH(J$4,임대자산!$D$3:$R$3,0)),
IF($D1354="폐업",INDEX(폐업정보!$D$3:$R$3000,MATCH($F1354,폐업정보!$I$3:$I$3000,0),MATCH(J$4,폐업정보!$D$3:$R$3,0)),
"Error"))</f>
        <v>2270000000</v>
      </c>
      <c r="K1354" s="75" t="str">
        <f aca="false">
IF($D1354="정상",INDEX(임대자산!$D$3:$R$3000,MATCH($F1354,임대자산!$I$3:$I$3000,0),MATCH(K$4,임대자산!$D$3:$R$3,0)),
IF($D1354="폐업",INDEX(폐업정보!$D$3:$R$3000,MATCH($F1354,폐업정보!$I$3:$I$3000,0),MATCH(K$4,폐업정보!$D$3:$R$3,0)),
"Error"))</f>
        <v>C1349</v>
      </c>
      <c r="L1354" s="75" t="str">
        <f aca="false">
IF($D1354="정상",INDEX(임대자산!$D$3:$R$3000,MATCH($F1354,임대자산!$I$3:$I$3000,0),MATCH(L$4,임대자산!$D$3:$R$3,0)),
IF($D1354="폐업",INDEX(폐업정보!$D$3:$R$3000,MATCH($F1354,폐업정보!$I$3:$I$3000,0),MATCH(L$4,폐업정보!$D$3:$R$3,0)),
"Error"))</f>
        <v>D1349</v>
      </c>
      <c r="M1354" s="76" t="s">
        <v>96</v>
      </c>
      <c r="N1354" s="77"/>
      <c r="O1354" s="78" t="s">
        <v>97</v>
      </c>
      <c r="P1354" s="79" t="n">
        <f aca="false">COUNTIFS(임대자산!$I:$I,가맹점정보!F1354,임대자산!$N:$N,가맹점정보!P$4)</f>
        <v>0</v>
      </c>
      <c r="Q1354" s="80" t="n">
        <f aca="false">COUNTIFS(임대자산!$I:$I,가맹점정보!F1354,임대자산!$N:$N,가맹점정보!Q$4)</f>
        <v>0</v>
      </c>
      <c r="R1354" s="81" t="n">
        <f aca="false">COUNTIFS(임대자산!$I:$I,가맹점정보!F1354,임대자산!$N:$N,가맹점정보!R$4)</f>
        <v>1</v>
      </c>
      <c r="S1354" s="82" t="n">
        <v>88000</v>
      </c>
      <c r="T1354" s="83" t="n">
        <v>0</v>
      </c>
      <c r="U1354" s="80" t="n">
        <f aca="false">SUM(S1354:T1354)</f>
        <v>88000</v>
      </c>
      <c r="V1354" s="84" t="s">
        <v>7</v>
      </c>
      <c r="W1354" s="80" t="str">
        <f aca="true">
IF(D1354="폐업","폐업",
IF(V1354="면제","면제",
IF(AND(V1354="정상",COUNTIFS(OFFSET(Y1354,0,COUNTA(Y1354:AV1354)-1,1,-4),"미납")&gt;=3),"장기미납",
IF(AND(V1354="정상",OFFSET(Y1354,0,COUNTA(Y1354:AV1354)-1)&gt;=U1354),"정상",
IF(AND(V1354="정상",OFFSET(Y1354,0,COUNTA(Y1354:AV1354)-1)=0),"정상",
"계약서 미작성")))))</f>
        <v>면제</v>
      </c>
      <c r="X1354" s="81" t="str">
        <f aca="true">
IF(D1354="폐업","폐업",
IF(AND(V1354="정상",OFFSET(Y1354,0,COUNTA(Y1354:AV1354)-1)="미납"),"미납",
IF(AND(V1354="정상",OFFSET(Y1354,0,COUNTA(Y1354:AV1354)-1)=0),"납부 시작 전",
IF(AND(V1354="정상",OFFSET(Y1354,0,COUNTA(Y1354:AV1354)-1)&gt;=U1354),"정상",
IF(AND(V1354="면제",OFFSET(Y1354,0,COUNTA(Y1354:AV1354)-1)="면제"),"면제",
IF(AND(V1354="면제",OFFSET(Y1354,0,COUNTA(Y1354:AV1354)-1)=0),"면제",
"확인요청"))))))</f>
        <v>면제</v>
      </c>
      <c r="Y1354" s="94" t="s">
        <v>7</v>
      </c>
      <c r="Z1354" s="95" t="s">
        <v>7</v>
      </c>
      <c r="AA1354" s="95" t="s">
        <v>7</v>
      </c>
      <c r="AB1354" s="95" t="s">
        <v>7</v>
      </c>
      <c r="AC1354" s="95" t="s">
        <v>7</v>
      </c>
      <c r="AD1354" s="95" t="s">
        <v>7</v>
      </c>
      <c r="AE1354" s="95" t="s">
        <v>7</v>
      </c>
      <c r="AF1354" s="95" t="s">
        <v>7</v>
      </c>
      <c r="AG1354" s="95" t="s">
        <v>7</v>
      </c>
      <c r="AH1354" s="95" t="s">
        <v>7</v>
      </c>
      <c r="AI1354" s="95" t="s">
        <v>7</v>
      </c>
      <c r="AJ1354" s="96" t="s">
        <v>7</v>
      </c>
      <c r="AK1354" s="97" t="s">
        <v>7</v>
      </c>
      <c r="AL1354" s="95" t="s">
        <v>7</v>
      </c>
      <c r="AM1354" s="90"/>
      <c r="AN1354" s="90"/>
      <c r="AO1354" s="90"/>
      <c r="AP1354" s="90"/>
      <c r="AQ1354" s="90"/>
      <c r="AR1354" s="90"/>
      <c r="AS1354" s="90"/>
      <c r="AT1354" s="90"/>
      <c r="AU1354" s="90"/>
      <c r="AV1354" s="91"/>
      <c r="AX1354" s="92"/>
    </row>
    <row r="1355" customFormat="false" ht="15.65" hidden="false" customHeight="false" outlineLevel="0" collapsed="false">
      <c r="C1355" s="72" t="n">
        <f aca="false">COUNTIFS($D$6:D1355,"&lt;&gt;"&amp;"")</f>
        <v>1350</v>
      </c>
      <c r="D1355" s="73" t="s">
        <v>12</v>
      </c>
      <c r="E1355" s="76" t="str">
        <f aca="false">
IF($D1355="정상",INDEX(임대자산!$D$3:$R$3000,MATCH($F1355,임대자산!$I$3:$I$3000,0),MATCH(E$3,임대자산!$D$3:$R$3,0)),
IF($D1355="폐업",INDEX(폐업정보!$D$3:$R$3000,MATCH($F1355,폐업정보!$I$3:$I$3000,0),MATCH(E$3,폐업정보!$D$3:$R$3,0)),
"Error"))</f>
        <v>서울</v>
      </c>
      <c r="F135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B1350</v>
      </c>
      <c r="G1355" s="76" t="str">
        <f aca="false">F1355&amp;RANDBETWEEN(0,10)</f>
        <v>B13506</v>
      </c>
      <c r="H1355" s="75" t="n">
        <f aca="false">
IF($D1355="정상",INDEX(임대자산!$D$3:$R$3000,MATCH($F1355,임대자산!$I$3:$I$3000,0),MATCH(H$4,임대자산!$D$3:$R$3,0)),
IF($D1355="폐업",INDEX(폐업정보!$D$3:$R$3000,MATCH($F1355,폐업정보!$I$3:$I$3000,0),MATCH(H$4,폐업정보!$D$3:$R$3,0)),
"Error"))</f>
        <v>45222</v>
      </c>
      <c r="I1355" s="75" t="str">
        <f aca="false">
IF($D1355="정상",INDEX(임대자산!$D$3:$R$3000,MATCH($F1355,임대자산!$I$3:$I$3000,0),MATCH(I$4,임대자산!$D$3:$R$3,0)),
IF($D1355="폐업",INDEX(폐업정보!$D$3:$R$3000,MATCH($F1355,폐업정보!$I$3:$I$3000,0),MATCH(I$4,폐업정보!$D$3:$R$3,0)),
"Error"))</f>
        <v>A1350</v>
      </c>
      <c r="J1355" s="75" t="str">
        <f aca="false">
IF($D1355="정상",INDEX(임대자산!$D$3:$R$3000,MATCH($F1355,임대자산!$I$3:$I$3000,0),MATCH(J$4,임대자산!$D$3:$R$3,0)),
IF($D1355="폐업",INDEX(폐업정보!$D$3:$R$3000,MATCH($F1355,폐업정보!$I$3:$I$3000,0),MATCH(J$4,폐업정보!$D$3:$R$3,0)),
"Error"))</f>
        <v>4710600000</v>
      </c>
      <c r="K1355" s="75" t="str">
        <f aca="false">
IF($D1355="정상",INDEX(임대자산!$D$3:$R$3000,MATCH($F1355,임대자산!$I$3:$I$3000,0),MATCH(K$4,임대자산!$D$3:$R$3,0)),
IF($D1355="폐업",INDEX(폐업정보!$D$3:$R$3000,MATCH($F1355,폐업정보!$I$3:$I$3000,0),MATCH(K$4,폐업정보!$D$3:$R$3,0)),
"Error"))</f>
        <v>C1350</v>
      </c>
      <c r="L1355" s="75" t="str">
        <f aca="false">
IF($D1355="정상",INDEX(임대자산!$D$3:$R$3000,MATCH($F1355,임대자산!$I$3:$I$3000,0),MATCH(L$4,임대자산!$D$3:$R$3,0)),
IF($D1355="폐업",INDEX(폐업정보!$D$3:$R$3000,MATCH($F1355,폐업정보!$I$3:$I$3000,0),MATCH(L$4,폐업정보!$D$3:$R$3,0)),
"Error"))</f>
        <v>D1350</v>
      </c>
      <c r="M1355" s="76" t="s">
        <v>96</v>
      </c>
      <c r="N1355" s="77"/>
      <c r="O1355" s="78" t="s">
        <v>97</v>
      </c>
      <c r="P1355" s="79" t="n">
        <f aca="false">COUNTIFS(임대자산!$I:$I,가맹점정보!F1355,임대자산!$N:$N,가맹점정보!P$4)</f>
        <v>0</v>
      </c>
      <c r="Q1355" s="80" t="n">
        <f aca="false">COUNTIFS(임대자산!$I:$I,가맹점정보!F1355,임대자산!$N:$N,가맹점정보!Q$4)</f>
        <v>0</v>
      </c>
      <c r="R1355" s="81" t="n">
        <f aca="false">COUNTIFS(임대자산!$I:$I,가맹점정보!F1355,임대자산!$N:$N,가맹점정보!R$4)</f>
        <v>1</v>
      </c>
      <c r="S1355" s="82" t="n">
        <v>55000</v>
      </c>
      <c r="T1355" s="83" t="n">
        <v>0</v>
      </c>
      <c r="U1355" s="80" t="n">
        <f aca="false">SUM(S1355:T1355)</f>
        <v>55000</v>
      </c>
      <c r="V1355" s="84" t="s">
        <v>7</v>
      </c>
      <c r="W1355" s="80" t="str">
        <f aca="true">
IF(D1355="폐업","폐업",
IF(V1355="면제","면제",
IF(AND(V1355="정상",COUNTIFS(OFFSET(Y1355,0,COUNTA(Y1355:AV1355)-1,1,-4),"미납")&gt;=3),"장기미납",
IF(AND(V1355="정상",OFFSET(Y1355,0,COUNTA(Y1355:AV1355)-1)&gt;=U1355),"정상",
IF(AND(V1355="정상",OFFSET(Y1355,0,COUNTA(Y1355:AV1355)-1)=0),"정상",
"계약서 미작성")))))</f>
        <v>면제</v>
      </c>
      <c r="X1355" s="81" t="str">
        <f aca="true">
IF(D1355="폐업","폐업",
IF(AND(V1355="정상",OFFSET(Y1355,0,COUNTA(Y1355:AV1355)-1)="미납"),"미납",
IF(AND(V1355="정상",OFFSET(Y1355,0,COUNTA(Y1355:AV1355)-1)=0),"납부 시작 전",
IF(AND(V1355="정상",OFFSET(Y1355,0,COUNTA(Y1355:AV1355)-1)&gt;=U1355),"정상",
IF(AND(V1355="면제",OFFSET(Y1355,0,COUNTA(Y1355:AV1355)-1)="면제"),"면제",
IF(AND(V1355="면제",OFFSET(Y1355,0,COUNTA(Y1355:AV1355)-1)=0),"면제",
"확인요청"))))))</f>
        <v>면제</v>
      </c>
      <c r="Y1355" s="94" t="s">
        <v>7</v>
      </c>
      <c r="Z1355" s="95" t="s">
        <v>7</v>
      </c>
      <c r="AA1355" s="95" t="s">
        <v>7</v>
      </c>
      <c r="AB1355" s="95" t="s">
        <v>7</v>
      </c>
      <c r="AC1355" s="95" t="s">
        <v>7</v>
      </c>
      <c r="AD1355" s="95" t="s">
        <v>7</v>
      </c>
      <c r="AE1355" s="95" t="s">
        <v>7</v>
      </c>
      <c r="AF1355" s="95" t="s">
        <v>7</v>
      </c>
      <c r="AG1355" s="95" t="s">
        <v>7</v>
      </c>
      <c r="AH1355" s="95" t="s">
        <v>7</v>
      </c>
      <c r="AI1355" s="95" t="s">
        <v>7</v>
      </c>
      <c r="AJ1355" s="96" t="s">
        <v>7</v>
      </c>
      <c r="AK1355" s="97" t="s">
        <v>7</v>
      </c>
      <c r="AL1355" s="95" t="s">
        <v>7</v>
      </c>
      <c r="AM1355" s="90"/>
      <c r="AN1355" s="90"/>
      <c r="AO1355" s="90"/>
      <c r="AP1355" s="90"/>
      <c r="AQ1355" s="90"/>
      <c r="AR1355" s="90"/>
      <c r="AS1355" s="90"/>
      <c r="AT1355" s="90"/>
      <c r="AU1355" s="90"/>
      <c r="AV1355" s="91"/>
      <c r="AX1355" s="92"/>
    </row>
    <row r="1356" customFormat="false" ht="15.65" hidden="false" customHeight="false" outlineLevel="0" collapsed="false">
      <c r="C1356" s="72" t="n">
        <f aca="false">COUNTIFS($D$6:D1356,"&lt;&gt;"&amp;"")</f>
        <v>1351</v>
      </c>
      <c r="D1356" s="73" t="s">
        <v>12</v>
      </c>
      <c r="E1356" s="76" t="str">
        <f aca="false">
IF($D1356="정상",INDEX(임대자산!$D$3:$R$3000,MATCH($F1356,임대자산!$I$3:$I$3000,0),MATCH(E$3,임대자산!$D$3:$R$3,0)),
IF($D1356="폐업",INDEX(폐업정보!$D$3:$R$3000,MATCH($F1356,폐업정보!$I$3:$I$3000,0),MATCH(E$3,폐업정보!$D$3:$R$3,0)),
"Error"))</f>
        <v>서울</v>
      </c>
      <c r="F135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B1351</v>
      </c>
      <c r="G1356" s="76" t="str">
        <f aca="false">F1356&amp;RANDBETWEEN(0,10)</f>
        <v>B135110</v>
      </c>
      <c r="H1356" s="75" t="n">
        <f aca="false">
IF($D1356="정상",INDEX(임대자산!$D$3:$R$3000,MATCH($F1356,임대자산!$I$3:$I$3000,0),MATCH(H$4,임대자산!$D$3:$R$3,0)),
IF($D1356="폐업",INDEX(폐업정보!$D$3:$R$3000,MATCH($F1356,폐업정보!$I$3:$I$3000,0),MATCH(H$4,폐업정보!$D$3:$R$3,0)),
"Error"))</f>
        <v>45237</v>
      </c>
      <c r="I1356" s="75" t="str">
        <f aca="false">
IF($D1356="정상",INDEX(임대자산!$D$3:$R$3000,MATCH($F1356,임대자산!$I$3:$I$3000,0),MATCH(I$4,임대자산!$D$3:$R$3,0)),
IF($D1356="폐업",INDEX(폐업정보!$D$3:$R$3000,MATCH($F1356,폐업정보!$I$3:$I$3000,0),MATCH(I$4,폐업정보!$D$3:$R$3,0)),
"Error"))</f>
        <v>A1351</v>
      </c>
      <c r="J1356" s="75" t="str">
        <f aca="false">
IF($D1356="정상",INDEX(임대자산!$D$3:$R$3000,MATCH($F1356,임대자산!$I$3:$I$3000,0),MATCH(J$4,임대자산!$D$3:$R$3,0)),
IF($D1356="폐업",INDEX(폐업정보!$D$3:$R$3000,MATCH($F1356,폐업정보!$I$3:$I$3000,0),MATCH(J$4,폐업정보!$D$3:$R$3,0)),
"Error"))</f>
        <v>4610800000</v>
      </c>
      <c r="K1356" s="75" t="str">
        <f aca="false">
IF($D1356="정상",INDEX(임대자산!$D$3:$R$3000,MATCH($F1356,임대자산!$I$3:$I$3000,0),MATCH(K$4,임대자산!$D$3:$R$3,0)),
IF($D1356="폐업",INDEX(폐업정보!$D$3:$R$3000,MATCH($F1356,폐업정보!$I$3:$I$3000,0),MATCH(K$4,폐업정보!$D$3:$R$3,0)),
"Error"))</f>
        <v>C1351</v>
      </c>
      <c r="L1356" s="75" t="str">
        <f aca="false">
IF($D1356="정상",INDEX(임대자산!$D$3:$R$3000,MATCH($F1356,임대자산!$I$3:$I$3000,0),MATCH(L$4,임대자산!$D$3:$R$3,0)),
IF($D1356="폐업",INDEX(폐업정보!$D$3:$R$3000,MATCH($F1356,폐업정보!$I$3:$I$3000,0),MATCH(L$4,폐업정보!$D$3:$R$3,0)),
"Error"))</f>
        <v>D1351</v>
      </c>
      <c r="M1356" s="76" t="s">
        <v>96</v>
      </c>
      <c r="N1356" s="77"/>
      <c r="O1356" s="78" t="s">
        <v>97</v>
      </c>
      <c r="P1356" s="79" t="n">
        <f aca="false">COUNTIFS(임대자산!$I:$I,가맹점정보!F1356,임대자산!$N:$N,가맹점정보!P$4)</f>
        <v>0</v>
      </c>
      <c r="Q1356" s="80" t="n">
        <f aca="false">COUNTIFS(임대자산!$I:$I,가맹점정보!F1356,임대자산!$N:$N,가맹점정보!Q$4)</f>
        <v>0</v>
      </c>
      <c r="R1356" s="81" t="n">
        <f aca="false">COUNTIFS(임대자산!$I:$I,가맹점정보!F1356,임대자산!$N:$N,가맹점정보!R$4)</f>
        <v>1</v>
      </c>
      <c r="S1356" s="82" t="n">
        <v>55000</v>
      </c>
      <c r="T1356" s="83" t="n">
        <v>0</v>
      </c>
      <c r="U1356" s="80" t="n">
        <f aca="false">SUM(S1356:T1356)</f>
        <v>55000</v>
      </c>
      <c r="V1356" s="84" t="s">
        <v>12</v>
      </c>
      <c r="W1356" s="80" t="e">
        <f aca="true">
IF(D1356="폐업","폐업",
IF(V1356="면제","면제",
IF(AND(V1356="정상",COUNTIFS(OFFSET(Y1356,0,COUNTA(Y1356:AV1356)-1,1,-4),"미납")&gt;=3),"장기미납",
IF(AND(V1356="정상",OFFSET(Y1356,0,COUNTA(Y1356:AV1356)-1)&gt;=U1356),"정상",
IF(AND(V1356="정상",OFFSET(Y1356,0,COUNTA(Y1356:AV1356)-1)=0),"정상",
"계약서 미작성")))))</f>
        <v>#VALUE!</v>
      </c>
      <c r="X1356" s="81" t="str">
        <f aca="true">
IF(D1356="폐업","폐업",
IF(AND(V1356="정상",OFFSET(Y1356,0,COUNTA(Y1356:AV1356)-1)="미납"),"미납",
IF(AND(V1356="정상",OFFSET(Y1356,0,COUNTA(Y1356:AV1356)-1)=0),"납부 시작 전",
IF(AND(V1356="정상",OFFSET(Y1356,0,COUNTA(Y1356:AV1356)-1)&gt;=U1356),"정상",
IF(AND(V1356="면제",OFFSET(Y1356,0,COUNTA(Y1356:AV1356)-1)="면제"),"면제",
IF(AND(V1356="면제",OFFSET(Y1356,0,COUNTA(Y1356:AV1356)-1)=0),"면제",
"확인요청"))))))</f>
        <v>정상</v>
      </c>
      <c r="Y1356" s="93" t="n">
        <v>55000</v>
      </c>
      <c r="Z1356" s="90" t="n">
        <v>55000</v>
      </c>
      <c r="AA1356" s="90" t="n">
        <v>55000</v>
      </c>
      <c r="AB1356" s="90" t="n">
        <v>55000</v>
      </c>
      <c r="AC1356" s="90" t="n">
        <v>55000</v>
      </c>
      <c r="AD1356" s="90" t="n">
        <v>55000</v>
      </c>
      <c r="AE1356" s="90" t="n">
        <v>55000</v>
      </c>
      <c r="AF1356" s="90" t="n">
        <v>55000</v>
      </c>
      <c r="AG1356" s="90" t="n">
        <v>55000</v>
      </c>
      <c r="AH1356" s="90" t="n">
        <v>55000</v>
      </c>
      <c r="AI1356" s="90" t="n">
        <v>55000</v>
      </c>
      <c r="AJ1356" s="91" t="n">
        <v>55000</v>
      </c>
      <c r="AK1356" s="89" t="n">
        <v>55000</v>
      </c>
      <c r="AL1356" s="90" t="n">
        <v>55000</v>
      </c>
      <c r="AM1356" s="90"/>
      <c r="AN1356" s="90"/>
      <c r="AO1356" s="90"/>
      <c r="AP1356" s="90"/>
      <c r="AQ1356" s="90"/>
      <c r="AR1356" s="90"/>
      <c r="AS1356" s="90"/>
      <c r="AT1356" s="90"/>
      <c r="AU1356" s="90"/>
      <c r="AV1356" s="91"/>
      <c r="AX1356" s="92"/>
    </row>
    <row r="1357" customFormat="false" ht="15.65" hidden="false" customHeight="false" outlineLevel="0" collapsed="false">
      <c r="C1357" s="72" t="n">
        <f aca="false">COUNTIFS($D$6:D1357,"&lt;&gt;"&amp;"")</f>
        <v>1352</v>
      </c>
      <c r="D1357" s="73" t="s">
        <v>12</v>
      </c>
      <c r="E1357" s="76" t="str">
        <f aca="false">
IF($D1357="정상",INDEX(임대자산!$D$3:$R$3000,MATCH($F1357,임대자산!$I$3:$I$3000,0),MATCH(E$3,임대자산!$D$3:$R$3,0)),
IF($D1357="폐업",INDEX(폐업정보!$D$3:$R$3000,MATCH($F1357,폐업정보!$I$3:$I$3000,0),MATCH(E$3,폐업정보!$D$3:$R$3,0)),
"Error"))</f>
        <v>서울</v>
      </c>
      <c r="F135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B1352</v>
      </c>
      <c r="G1357" s="76" t="str">
        <f aca="false">F1357&amp;RANDBETWEEN(0,10)</f>
        <v>B13529</v>
      </c>
      <c r="H1357" s="75" t="n">
        <f aca="false">
IF($D1357="정상",INDEX(임대자산!$D$3:$R$3000,MATCH($F1357,임대자산!$I$3:$I$3000,0),MATCH(H$4,임대자산!$D$3:$R$3,0)),
IF($D1357="폐업",INDEX(폐업정보!$D$3:$R$3000,MATCH($F1357,폐업정보!$I$3:$I$3000,0),MATCH(H$4,폐업정보!$D$3:$R$3,0)),
"Error"))</f>
        <v>45533</v>
      </c>
      <c r="I1357" s="75" t="str">
        <f aca="false">
IF($D1357="정상",INDEX(임대자산!$D$3:$R$3000,MATCH($F1357,임대자산!$I$3:$I$3000,0),MATCH(I$4,임대자산!$D$3:$R$3,0)),
IF($D1357="폐업",INDEX(폐업정보!$D$3:$R$3000,MATCH($F1357,폐업정보!$I$3:$I$3000,0),MATCH(I$4,폐업정보!$D$3:$R$3,0)),
"Error"))</f>
        <v>A1352</v>
      </c>
      <c r="J1357" s="75" t="str">
        <f aca="false">
IF($D1357="정상",INDEX(임대자산!$D$3:$R$3000,MATCH($F1357,임대자산!$I$3:$I$3000,0),MATCH(J$4,임대자산!$D$3:$R$3,0)),
IF($D1357="폐업",INDEX(폐업정보!$D$3:$R$3000,MATCH($F1357,폐업정보!$I$3:$I$3000,0),MATCH(J$4,폐업정보!$D$3:$R$3,0)),
"Error"))</f>
        <v>5788800000</v>
      </c>
      <c r="K1357" s="75" t="str">
        <f aca="false">
IF($D1357="정상",INDEX(임대자산!$D$3:$R$3000,MATCH($F1357,임대자산!$I$3:$I$3000,0),MATCH(K$4,임대자산!$D$3:$R$3,0)),
IF($D1357="폐업",INDEX(폐업정보!$D$3:$R$3000,MATCH($F1357,폐업정보!$I$3:$I$3000,0),MATCH(K$4,폐업정보!$D$3:$R$3,0)),
"Error"))</f>
        <v>C1352</v>
      </c>
      <c r="L1357" s="75" t="str">
        <f aca="false">
IF($D1357="정상",INDEX(임대자산!$D$3:$R$3000,MATCH($F1357,임대자산!$I$3:$I$3000,0),MATCH(L$4,임대자산!$D$3:$R$3,0)),
IF($D1357="폐업",INDEX(폐업정보!$D$3:$R$3000,MATCH($F1357,폐업정보!$I$3:$I$3000,0),MATCH(L$4,폐업정보!$D$3:$R$3,0)),
"Error"))</f>
        <v>D1352</v>
      </c>
      <c r="M1357" s="76" t="s">
        <v>96</v>
      </c>
      <c r="N1357" s="77"/>
      <c r="O1357" s="78" t="s">
        <v>97</v>
      </c>
      <c r="P1357" s="79" t="n">
        <f aca="false">COUNTIFS(임대자산!$I:$I,가맹점정보!F1357,임대자산!$N:$N,가맹점정보!P$4)</f>
        <v>0</v>
      </c>
      <c r="Q1357" s="80" t="n">
        <f aca="false">COUNTIFS(임대자산!$I:$I,가맹점정보!F1357,임대자산!$N:$N,가맹점정보!Q$4)</f>
        <v>0</v>
      </c>
      <c r="R1357" s="81" t="n">
        <f aca="false">COUNTIFS(임대자산!$I:$I,가맹점정보!F1357,임대자산!$N:$N,가맹점정보!R$4)</f>
        <v>1</v>
      </c>
      <c r="S1357" s="82" t="n">
        <v>88000</v>
      </c>
      <c r="T1357" s="83" t="n">
        <v>0</v>
      </c>
      <c r="U1357" s="80" t="n">
        <f aca="false">SUM(S1357:T1357)</f>
        <v>88000</v>
      </c>
      <c r="V1357" s="84" t="s">
        <v>7</v>
      </c>
      <c r="W1357" s="80" t="str">
        <f aca="true">
IF(D1357="폐업","폐업",
IF(V1357="면제","면제",
IF(AND(V1357="정상",COUNTIFS(OFFSET(Y1357,0,COUNTA(Y1357:AV1357)-1,1,-4),"미납")&gt;=3),"장기미납",
IF(AND(V1357="정상",OFFSET(Y1357,0,COUNTA(Y1357:AV1357)-1)&gt;=U1357),"정상",
IF(AND(V1357="정상",OFFSET(Y1357,0,COUNTA(Y1357:AV1357)-1)=0),"정상",
"계약서 미작성")))))</f>
        <v>면제</v>
      </c>
      <c r="X1357" s="81" t="str">
        <f aca="true">
IF(D1357="폐업","폐업",
IF(AND(V1357="정상",OFFSET(Y1357,0,COUNTA(Y1357:AV1357)-1)="미납"),"미납",
IF(AND(V1357="정상",OFFSET(Y1357,0,COUNTA(Y1357:AV1357)-1)=0),"납부 시작 전",
IF(AND(V1357="정상",OFFSET(Y1357,0,COUNTA(Y1357:AV1357)-1)&gt;=U1357),"정상",
IF(AND(V1357="면제",OFFSET(Y1357,0,COUNTA(Y1357:AV1357)-1)="면제"),"면제",
IF(AND(V1357="면제",OFFSET(Y1357,0,COUNTA(Y1357:AV1357)-1)=0),"면제",
"확인요청"))))))</f>
        <v>면제</v>
      </c>
      <c r="Y1357" s="94" t="s">
        <v>7</v>
      </c>
      <c r="Z1357" s="95" t="s">
        <v>7</v>
      </c>
      <c r="AA1357" s="95" t="s">
        <v>7</v>
      </c>
      <c r="AB1357" s="95" t="s">
        <v>7</v>
      </c>
      <c r="AC1357" s="95" t="s">
        <v>7</v>
      </c>
      <c r="AD1357" s="95" t="s">
        <v>7</v>
      </c>
      <c r="AE1357" s="95" t="s">
        <v>7</v>
      </c>
      <c r="AF1357" s="95" t="s">
        <v>7</v>
      </c>
      <c r="AG1357" s="95" t="s">
        <v>7</v>
      </c>
      <c r="AH1357" s="95" t="s">
        <v>7</v>
      </c>
      <c r="AI1357" s="95" t="s">
        <v>7</v>
      </c>
      <c r="AJ1357" s="96" t="s">
        <v>7</v>
      </c>
      <c r="AK1357" s="97" t="s">
        <v>7</v>
      </c>
      <c r="AL1357" s="95" t="s">
        <v>7</v>
      </c>
      <c r="AM1357" s="90"/>
      <c r="AN1357" s="90"/>
      <c r="AO1357" s="90"/>
      <c r="AP1357" s="90"/>
      <c r="AQ1357" s="90"/>
      <c r="AR1357" s="90"/>
      <c r="AS1357" s="90"/>
      <c r="AT1357" s="90"/>
      <c r="AU1357" s="90"/>
      <c r="AV1357" s="91"/>
      <c r="AX1357" s="92"/>
    </row>
    <row r="1358" customFormat="false" ht="15.65" hidden="false" customHeight="false" outlineLevel="0" collapsed="false">
      <c r="C1358" s="72" t="n">
        <f aca="false">COUNTIFS($D$6:D1358,"&lt;&gt;"&amp;"")</f>
        <v>1353</v>
      </c>
      <c r="D1358" s="73" t="s">
        <v>12</v>
      </c>
      <c r="E1358" s="76" t="str">
        <f aca="false">
IF($D1358="정상",INDEX(임대자산!$D$3:$R$3000,MATCH($F1358,임대자산!$I$3:$I$3000,0),MATCH(E$3,임대자산!$D$3:$R$3,0)),
IF($D1358="폐업",INDEX(폐업정보!$D$3:$R$3000,MATCH($F1358,폐업정보!$I$3:$I$3000,0),MATCH(E$3,폐업정보!$D$3:$R$3,0)),
"Error"))</f>
        <v>서울</v>
      </c>
      <c r="F135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B1353</v>
      </c>
      <c r="G1358" s="76" t="str">
        <f aca="false">F1358&amp;RANDBETWEEN(0,10)</f>
        <v>B13530</v>
      </c>
      <c r="H1358" s="75" t="n">
        <f aca="false">
IF($D1358="정상",INDEX(임대자산!$D$3:$R$3000,MATCH($F1358,임대자산!$I$3:$I$3000,0),MATCH(H$4,임대자산!$D$3:$R$3,0)),
IF($D1358="폐업",INDEX(폐업정보!$D$3:$R$3000,MATCH($F1358,폐업정보!$I$3:$I$3000,0),MATCH(H$4,폐업정보!$D$3:$R$3,0)),
"Error"))</f>
        <v>45547</v>
      </c>
      <c r="I1358" s="75" t="str">
        <f aca="false">
IF($D1358="정상",INDEX(임대자산!$D$3:$R$3000,MATCH($F1358,임대자산!$I$3:$I$3000,0),MATCH(I$4,임대자산!$D$3:$R$3,0)),
IF($D1358="폐업",INDEX(폐업정보!$D$3:$R$3000,MATCH($F1358,폐업정보!$I$3:$I$3000,0),MATCH(I$4,폐업정보!$D$3:$R$3,0)),
"Error"))</f>
        <v>A1353</v>
      </c>
      <c r="J1358" s="75" t="str">
        <f aca="false">
IF($D1358="정상",INDEX(임대자산!$D$3:$R$3000,MATCH($F1358,임대자산!$I$3:$I$3000,0),MATCH(J$4,임대자산!$D$3:$R$3,0)),
IF($D1358="폐업",INDEX(폐업정보!$D$3:$R$3000,MATCH($F1358,폐업정보!$I$3:$I$3000,0),MATCH(J$4,폐업정보!$D$3:$R$3,0)),
"Error"))</f>
        <v>8823700000</v>
      </c>
      <c r="K1358" s="75" t="str">
        <f aca="false">
IF($D1358="정상",INDEX(임대자산!$D$3:$R$3000,MATCH($F1358,임대자산!$I$3:$I$3000,0),MATCH(K$4,임대자산!$D$3:$R$3,0)),
IF($D1358="폐업",INDEX(폐업정보!$D$3:$R$3000,MATCH($F1358,폐업정보!$I$3:$I$3000,0),MATCH(K$4,폐업정보!$D$3:$R$3,0)),
"Error"))</f>
        <v>C1353</v>
      </c>
      <c r="L1358" s="75" t="str">
        <f aca="false">
IF($D1358="정상",INDEX(임대자산!$D$3:$R$3000,MATCH($F1358,임대자산!$I$3:$I$3000,0),MATCH(L$4,임대자산!$D$3:$R$3,0)),
IF($D1358="폐업",INDEX(폐업정보!$D$3:$R$3000,MATCH($F1358,폐업정보!$I$3:$I$3000,0),MATCH(L$4,폐업정보!$D$3:$R$3,0)),
"Error"))</f>
        <v>D1353</v>
      </c>
      <c r="M1358" s="76" t="s">
        <v>96</v>
      </c>
      <c r="N1358" s="77"/>
      <c r="O1358" s="78" t="s">
        <v>97</v>
      </c>
      <c r="P1358" s="79" t="n">
        <f aca="false">COUNTIFS(임대자산!$I:$I,가맹점정보!F1358,임대자산!$N:$N,가맹점정보!P$4)</f>
        <v>0</v>
      </c>
      <c r="Q1358" s="80" t="n">
        <f aca="false">COUNTIFS(임대자산!$I:$I,가맹점정보!F1358,임대자산!$N:$N,가맹점정보!Q$4)</f>
        <v>0</v>
      </c>
      <c r="R1358" s="81" t="n">
        <f aca="false">COUNTIFS(임대자산!$I:$I,가맹점정보!F1358,임대자산!$N:$N,가맹점정보!R$4)</f>
        <v>1</v>
      </c>
      <c r="S1358" s="82" t="n">
        <v>55000</v>
      </c>
      <c r="T1358" s="83" t="n">
        <v>0</v>
      </c>
      <c r="U1358" s="80" t="n">
        <f aca="false">SUM(S1358:T1358)</f>
        <v>55000</v>
      </c>
      <c r="V1358" s="84" t="s">
        <v>12</v>
      </c>
      <c r="W1358" s="80" t="e">
        <f aca="true">
IF(D1358="폐업","폐업",
IF(V1358="면제","면제",
IF(AND(V1358="정상",COUNTIFS(OFFSET(Y1358,0,COUNTA(Y1358:AV1358)-1,1,-4),"미납")&gt;=3),"장기미납",
IF(AND(V1358="정상",OFFSET(Y1358,0,COUNTA(Y1358:AV1358)-1)&gt;=U1358),"정상",
IF(AND(V1358="정상",OFFSET(Y1358,0,COUNTA(Y1358:AV1358)-1)=0),"정상",
"계약서 미작성")))))</f>
        <v>#VALUE!</v>
      </c>
      <c r="X1358" s="81" t="str">
        <f aca="true">
IF(D1358="폐업","폐업",
IF(AND(V1358="정상",OFFSET(Y1358,0,COUNTA(Y1358:AV1358)-1)="미납"),"미납",
IF(AND(V1358="정상",OFFSET(Y1358,0,COUNTA(Y1358:AV1358)-1)=0),"납부 시작 전",
IF(AND(V1358="정상",OFFSET(Y1358,0,COUNTA(Y1358:AV1358)-1)&gt;=U1358),"정상",
IF(AND(V1358="면제",OFFSET(Y1358,0,COUNTA(Y1358:AV1358)-1)="면제"),"면제",
IF(AND(V1358="면제",OFFSET(Y1358,0,COUNTA(Y1358:AV1358)-1)=0),"면제",
"확인요청"))))))</f>
        <v>정상</v>
      </c>
      <c r="Y1358" s="93" t="n">
        <v>55000</v>
      </c>
      <c r="Z1358" s="90" t="n">
        <v>55000</v>
      </c>
      <c r="AA1358" s="90" t="n">
        <v>55000</v>
      </c>
      <c r="AB1358" s="90" t="n">
        <v>55000</v>
      </c>
      <c r="AC1358" s="90" t="n">
        <v>55000</v>
      </c>
      <c r="AD1358" s="90" t="n">
        <v>55000</v>
      </c>
      <c r="AE1358" s="90" t="n">
        <v>55000</v>
      </c>
      <c r="AF1358" s="90" t="n">
        <v>55000</v>
      </c>
      <c r="AG1358" s="90" t="n">
        <v>55000</v>
      </c>
      <c r="AH1358" s="90" t="n">
        <v>55000</v>
      </c>
      <c r="AI1358" s="90" t="n">
        <v>55000</v>
      </c>
      <c r="AJ1358" s="91" t="n">
        <v>55000</v>
      </c>
      <c r="AK1358" s="89" t="n">
        <v>55000</v>
      </c>
      <c r="AL1358" s="90" t="n">
        <v>55000</v>
      </c>
      <c r="AM1358" s="90"/>
      <c r="AN1358" s="90"/>
      <c r="AO1358" s="90"/>
      <c r="AP1358" s="90"/>
      <c r="AQ1358" s="90"/>
      <c r="AR1358" s="90"/>
      <c r="AS1358" s="90"/>
      <c r="AT1358" s="90"/>
      <c r="AU1358" s="90"/>
      <c r="AV1358" s="91"/>
      <c r="AX1358" s="92"/>
    </row>
    <row r="1359" customFormat="false" ht="15.65" hidden="false" customHeight="false" outlineLevel="0" collapsed="false">
      <c r="C1359" s="72" t="n">
        <f aca="false">COUNTIFS($D$6:D1359,"&lt;&gt;"&amp;"")</f>
        <v>1354</v>
      </c>
      <c r="D1359" s="73" t="s">
        <v>12</v>
      </c>
      <c r="E1359" s="76" t="str">
        <f aca="false">
IF($D1359="정상",INDEX(임대자산!$D$3:$R$3000,MATCH($F1359,임대자산!$I$3:$I$3000,0),MATCH(E$3,임대자산!$D$3:$R$3,0)),
IF($D1359="폐업",INDEX(폐업정보!$D$3:$R$3000,MATCH($F1359,폐업정보!$I$3:$I$3000,0),MATCH(E$3,폐업정보!$D$3:$R$3,0)),
"Error"))</f>
        <v>서울</v>
      </c>
      <c r="F135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B1354</v>
      </c>
      <c r="G1359" s="76" t="str">
        <f aca="false">F1359&amp;RANDBETWEEN(0,10)</f>
        <v>B135410</v>
      </c>
      <c r="H1359" s="75" t="n">
        <f aca="false">
IF($D1359="정상",INDEX(임대자산!$D$3:$R$3000,MATCH($F1359,임대자산!$I$3:$I$3000,0),MATCH(H$4,임대자산!$D$3:$R$3,0)),
IF($D1359="폐업",INDEX(폐업정보!$D$3:$R$3000,MATCH($F1359,폐업정보!$I$3:$I$3000,0),MATCH(H$4,폐업정보!$D$3:$R$3,0)),
"Error"))</f>
        <v>45974</v>
      </c>
      <c r="I1359" s="75" t="str">
        <f aca="false">
IF($D1359="정상",INDEX(임대자산!$D$3:$R$3000,MATCH($F1359,임대자산!$I$3:$I$3000,0),MATCH(I$4,임대자산!$D$3:$R$3,0)),
IF($D1359="폐업",INDEX(폐업정보!$D$3:$R$3000,MATCH($F1359,폐업정보!$I$3:$I$3000,0),MATCH(I$4,폐업정보!$D$3:$R$3,0)),
"Error"))</f>
        <v>A1354</v>
      </c>
      <c r="J1359" s="75" t="str">
        <f aca="false">
IF($D1359="정상",INDEX(임대자산!$D$3:$R$3000,MATCH($F1359,임대자산!$I$3:$I$3000,0),MATCH(J$4,임대자산!$D$3:$R$3,0)),
IF($D1359="폐업",INDEX(폐업정보!$D$3:$R$3000,MATCH($F1359,폐업정보!$I$3:$I$3000,0),MATCH(J$4,폐업정보!$D$3:$R$3,0)),
"Error"))</f>
        <v>8187400000</v>
      </c>
      <c r="K1359" s="75" t="str">
        <f aca="false">
IF($D1359="정상",INDEX(임대자산!$D$3:$R$3000,MATCH($F1359,임대자산!$I$3:$I$3000,0),MATCH(K$4,임대자산!$D$3:$R$3,0)),
IF($D1359="폐업",INDEX(폐업정보!$D$3:$R$3000,MATCH($F1359,폐업정보!$I$3:$I$3000,0),MATCH(K$4,폐업정보!$D$3:$R$3,0)),
"Error"))</f>
        <v>C1354</v>
      </c>
      <c r="L1359" s="75" t="str">
        <f aca="false">
IF($D1359="정상",INDEX(임대자산!$D$3:$R$3000,MATCH($F1359,임대자산!$I$3:$I$3000,0),MATCH(L$4,임대자산!$D$3:$R$3,0)),
IF($D1359="폐업",INDEX(폐업정보!$D$3:$R$3000,MATCH($F1359,폐업정보!$I$3:$I$3000,0),MATCH(L$4,폐업정보!$D$3:$R$3,0)),
"Error"))</f>
        <v>D1354</v>
      </c>
      <c r="M1359" s="76" t="s">
        <v>96</v>
      </c>
      <c r="N1359" s="77"/>
      <c r="O1359" s="78" t="s">
        <v>97</v>
      </c>
      <c r="P1359" s="79" t="n">
        <f aca="false">COUNTIFS(임대자산!$I:$I,가맹점정보!F1359,임대자산!$N:$N,가맹점정보!P$4)</f>
        <v>0</v>
      </c>
      <c r="Q1359" s="80" t="n">
        <f aca="false">COUNTIFS(임대자산!$I:$I,가맹점정보!F1359,임대자산!$N:$N,가맹점정보!Q$4)</f>
        <v>0</v>
      </c>
      <c r="R1359" s="81" t="n">
        <f aca="false">COUNTIFS(임대자산!$I:$I,가맹점정보!F1359,임대자산!$N:$N,가맹점정보!R$4)</f>
        <v>1</v>
      </c>
      <c r="S1359" s="82" t="n">
        <v>55000</v>
      </c>
      <c r="T1359" s="83" t="n">
        <v>0</v>
      </c>
      <c r="U1359" s="80" t="n">
        <f aca="false">SUM(S1359:T1359)</f>
        <v>55000</v>
      </c>
      <c r="V1359" s="84" t="s">
        <v>12</v>
      </c>
      <c r="W1359" s="80" t="e">
        <f aca="true">
IF(D1359="폐업","폐업",
IF(V1359="면제","면제",
IF(AND(V1359="정상",COUNTIFS(OFFSET(Y1359,0,COUNTA(Y1359:AV1359)-1,1,-4),"미납")&gt;=3),"장기미납",
IF(AND(V1359="정상",OFFSET(Y1359,0,COUNTA(Y1359:AV1359)-1)&gt;=U1359),"정상",
IF(AND(V1359="정상",OFFSET(Y1359,0,COUNTA(Y1359:AV1359)-1)=0),"정상",
"계약서 미작성")))))</f>
        <v>#VALUE!</v>
      </c>
      <c r="X1359" s="81" t="str">
        <f aca="true">
IF(D1359="폐업","폐업",
IF(AND(V1359="정상",OFFSET(Y1359,0,COUNTA(Y1359:AV1359)-1)="미납"),"미납",
IF(AND(V1359="정상",OFFSET(Y1359,0,COUNTA(Y1359:AV1359)-1)=0),"납부 시작 전",
IF(AND(V1359="정상",OFFSET(Y1359,0,COUNTA(Y1359:AV1359)-1)&gt;=U1359),"정상",
IF(AND(V1359="면제",OFFSET(Y1359,0,COUNTA(Y1359:AV1359)-1)="면제"),"면제",
IF(AND(V1359="면제",OFFSET(Y1359,0,COUNTA(Y1359:AV1359)-1)=0),"면제",
"확인요청"))))))</f>
        <v>정상</v>
      </c>
      <c r="Y1359" s="93" t="n">
        <v>55000</v>
      </c>
      <c r="Z1359" s="90" t="n">
        <v>55000</v>
      </c>
      <c r="AA1359" s="90" t="n">
        <v>55000</v>
      </c>
      <c r="AB1359" s="90" t="n">
        <v>55000</v>
      </c>
      <c r="AC1359" s="90" t="n">
        <v>55000</v>
      </c>
      <c r="AD1359" s="90" t="n">
        <v>55000</v>
      </c>
      <c r="AE1359" s="90" t="n">
        <v>55000</v>
      </c>
      <c r="AF1359" s="90" t="n">
        <v>55000</v>
      </c>
      <c r="AG1359" s="90" t="n">
        <v>55000</v>
      </c>
      <c r="AH1359" s="90" t="n">
        <v>55000</v>
      </c>
      <c r="AI1359" s="90" t="n">
        <v>55000</v>
      </c>
      <c r="AJ1359" s="91" t="n">
        <v>55000</v>
      </c>
      <c r="AK1359" s="89" t="n">
        <v>55000</v>
      </c>
      <c r="AL1359" s="90" t="n">
        <v>55000</v>
      </c>
      <c r="AM1359" s="90"/>
      <c r="AN1359" s="90"/>
      <c r="AO1359" s="90"/>
      <c r="AP1359" s="90"/>
      <c r="AQ1359" s="90"/>
      <c r="AR1359" s="90"/>
      <c r="AS1359" s="90"/>
      <c r="AT1359" s="90"/>
      <c r="AU1359" s="90"/>
      <c r="AV1359" s="91"/>
      <c r="AX1359" s="92"/>
    </row>
    <row r="1360" customFormat="false" ht="15.65" hidden="false" customHeight="false" outlineLevel="0" collapsed="false">
      <c r="C1360" s="72" t="n">
        <f aca="false">COUNTIFS($D$6:D1360,"&lt;&gt;"&amp;"")</f>
        <v>1355</v>
      </c>
      <c r="D1360" s="73" t="s">
        <v>12</v>
      </c>
      <c r="E1360" s="76" t="str">
        <f aca="false">
IF($D1360="정상",INDEX(임대자산!$D$3:$R$3000,MATCH($F1360,임대자산!$I$3:$I$3000,0),MATCH(E$3,임대자산!$D$3:$R$3,0)),
IF($D1360="폐업",INDEX(폐업정보!$D$3:$R$3000,MATCH($F1360,폐업정보!$I$3:$I$3000,0),MATCH(E$3,폐업정보!$D$3:$R$3,0)),
"Error"))</f>
        <v>서울</v>
      </c>
      <c r="F136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B1355</v>
      </c>
      <c r="G1360" s="76" t="str">
        <f aca="false">F1360&amp;RANDBETWEEN(0,10)</f>
        <v>B13552</v>
      </c>
      <c r="H1360" s="75" t="n">
        <f aca="false">
IF($D1360="정상",INDEX(임대자산!$D$3:$R$3000,MATCH($F1360,임대자산!$I$3:$I$3000,0),MATCH(H$4,임대자산!$D$3:$R$3,0)),
IF($D1360="폐업",INDEX(폐업정보!$D$3:$R$3000,MATCH($F1360,폐업정보!$I$3:$I$3000,0),MATCH(H$4,폐업정보!$D$3:$R$3,0)),
"Error"))</f>
        <v>45266</v>
      </c>
      <c r="I1360" s="75" t="str">
        <f aca="false">
IF($D1360="정상",INDEX(임대자산!$D$3:$R$3000,MATCH($F1360,임대자산!$I$3:$I$3000,0),MATCH(I$4,임대자산!$D$3:$R$3,0)),
IF($D1360="폐업",INDEX(폐업정보!$D$3:$R$3000,MATCH($F1360,폐업정보!$I$3:$I$3000,0),MATCH(I$4,폐업정보!$D$3:$R$3,0)),
"Error"))</f>
        <v>A1355</v>
      </c>
      <c r="J1360" s="75" t="str">
        <f aca="false">
IF($D1360="정상",INDEX(임대자산!$D$3:$R$3000,MATCH($F1360,임대자산!$I$3:$I$3000,0),MATCH(J$4,임대자산!$D$3:$R$3,0)),
IF($D1360="폐업",INDEX(폐업정보!$D$3:$R$3000,MATCH($F1360,폐업정보!$I$3:$I$3000,0),MATCH(J$4,폐업정보!$D$3:$R$3,0)),
"Error"))</f>
        <v>9373100000</v>
      </c>
      <c r="K1360" s="75" t="str">
        <f aca="false">
IF($D1360="정상",INDEX(임대자산!$D$3:$R$3000,MATCH($F1360,임대자산!$I$3:$I$3000,0),MATCH(K$4,임대자산!$D$3:$R$3,0)),
IF($D1360="폐업",INDEX(폐업정보!$D$3:$R$3000,MATCH($F1360,폐업정보!$I$3:$I$3000,0),MATCH(K$4,폐업정보!$D$3:$R$3,0)),
"Error"))</f>
        <v>C1355</v>
      </c>
      <c r="L1360" s="75" t="str">
        <f aca="false">
IF($D1360="정상",INDEX(임대자산!$D$3:$R$3000,MATCH($F1360,임대자산!$I$3:$I$3000,0),MATCH(L$4,임대자산!$D$3:$R$3,0)),
IF($D1360="폐업",INDEX(폐업정보!$D$3:$R$3000,MATCH($F1360,폐업정보!$I$3:$I$3000,0),MATCH(L$4,폐업정보!$D$3:$R$3,0)),
"Error"))</f>
        <v>D1355</v>
      </c>
      <c r="M1360" s="76" t="s">
        <v>96</v>
      </c>
      <c r="N1360" s="77"/>
      <c r="O1360" s="78" t="s">
        <v>97</v>
      </c>
      <c r="P1360" s="79" t="n">
        <f aca="false">COUNTIFS(임대자산!$I:$I,가맹점정보!F1360,임대자산!$N:$N,가맹점정보!P$4)</f>
        <v>0</v>
      </c>
      <c r="Q1360" s="80" t="n">
        <f aca="false">COUNTIFS(임대자산!$I:$I,가맹점정보!F1360,임대자산!$N:$N,가맹점정보!Q$4)</f>
        <v>0</v>
      </c>
      <c r="R1360" s="81" t="n">
        <f aca="false">COUNTIFS(임대자산!$I:$I,가맹점정보!F1360,임대자산!$N:$N,가맹점정보!R$4)</f>
        <v>1</v>
      </c>
      <c r="S1360" s="82" t="n">
        <v>55000</v>
      </c>
      <c r="T1360" s="83" t="n">
        <v>0</v>
      </c>
      <c r="U1360" s="80" t="n">
        <f aca="false">SUM(S1360:T1360)</f>
        <v>55000</v>
      </c>
      <c r="V1360" s="84" t="s">
        <v>7</v>
      </c>
      <c r="W1360" s="80" t="str">
        <f aca="true">
IF(D1360="폐업","폐업",
IF(V1360="면제","면제",
IF(AND(V1360="정상",COUNTIFS(OFFSET(Y1360,0,COUNTA(Y1360:AV1360)-1,1,-4),"미납")&gt;=3),"장기미납",
IF(AND(V1360="정상",OFFSET(Y1360,0,COUNTA(Y1360:AV1360)-1)&gt;=U1360),"정상",
IF(AND(V1360="정상",OFFSET(Y1360,0,COUNTA(Y1360:AV1360)-1)=0),"정상",
"계약서 미작성")))))</f>
        <v>면제</v>
      </c>
      <c r="X1360" s="81" t="str">
        <f aca="true">
IF(D1360="폐업","폐업",
IF(AND(V1360="정상",OFFSET(Y1360,0,COUNTA(Y1360:AV1360)-1)="미납"),"미납",
IF(AND(V1360="정상",OFFSET(Y1360,0,COUNTA(Y1360:AV1360)-1)=0),"납부 시작 전",
IF(AND(V1360="정상",OFFSET(Y1360,0,COUNTA(Y1360:AV1360)-1)&gt;=U1360),"정상",
IF(AND(V1360="면제",OFFSET(Y1360,0,COUNTA(Y1360:AV1360)-1)="면제"),"면제",
IF(AND(V1360="면제",OFFSET(Y1360,0,COUNTA(Y1360:AV1360)-1)=0),"면제",
"확인요청"))))))</f>
        <v>면제</v>
      </c>
      <c r="Y1360" s="94" t="s">
        <v>7</v>
      </c>
      <c r="Z1360" s="95" t="s">
        <v>7</v>
      </c>
      <c r="AA1360" s="95" t="s">
        <v>7</v>
      </c>
      <c r="AB1360" s="95" t="s">
        <v>7</v>
      </c>
      <c r="AC1360" s="95" t="s">
        <v>7</v>
      </c>
      <c r="AD1360" s="95" t="s">
        <v>7</v>
      </c>
      <c r="AE1360" s="95" t="s">
        <v>7</v>
      </c>
      <c r="AF1360" s="95" t="s">
        <v>7</v>
      </c>
      <c r="AG1360" s="95" t="s">
        <v>7</v>
      </c>
      <c r="AH1360" s="95" t="s">
        <v>7</v>
      </c>
      <c r="AI1360" s="95" t="s">
        <v>7</v>
      </c>
      <c r="AJ1360" s="96" t="s">
        <v>7</v>
      </c>
      <c r="AK1360" s="97" t="s">
        <v>7</v>
      </c>
      <c r="AL1360" s="95" t="s">
        <v>7</v>
      </c>
      <c r="AM1360" s="90"/>
      <c r="AN1360" s="90"/>
      <c r="AO1360" s="90"/>
      <c r="AP1360" s="90"/>
      <c r="AQ1360" s="90"/>
      <c r="AR1360" s="90"/>
      <c r="AS1360" s="90"/>
      <c r="AT1360" s="90"/>
      <c r="AU1360" s="90"/>
      <c r="AV1360" s="91"/>
      <c r="AX1360" s="92"/>
    </row>
    <row r="1361" customFormat="false" ht="15.65" hidden="false" customHeight="false" outlineLevel="0" collapsed="false">
      <c r="C1361" s="72" t="n">
        <f aca="false">COUNTIFS($D$6:D1361,"&lt;&gt;"&amp;"")</f>
        <v>1356</v>
      </c>
      <c r="D1361" s="73" t="s">
        <v>12</v>
      </c>
      <c r="E1361" s="76" t="str">
        <f aca="false">
IF($D1361="정상",INDEX(임대자산!$D$3:$R$3000,MATCH($F1361,임대자산!$I$3:$I$3000,0),MATCH(E$3,임대자산!$D$3:$R$3,0)),
IF($D1361="폐업",INDEX(폐업정보!$D$3:$R$3000,MATCH($F1361,폐업정보!$I$3:$I$3000,0),MATCH(E$3,폐업정보!$D$3:$R$3,0)),
"Error"))</f>
        <v>서울</v>
      </c>
      <c r="F136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B1356</v>
      </c>
      <c r="G1361" s="76" t="str">
        <f aca="false">F1361&amp;RANDBETWEEN(0,10)</f>
        <v>B13563</v>
      </c>
      <c r="H1361" s="75" t="n">
        <f aca="false">
IF($D1361="정상",INDEX(임대자산!$D$3:$R$3000,MATCH($F1361,임대자산!$I$3:$I$3000,0),MATCH(H$4,임대자산!$D$3:$R$3,0)),
IF($D1361="폐업",INDEX(폐업정보!$D$3:$R$3000,MATCH($F1361,폐업정보!$I$3:$I$3000,0),MATCH(H$4,폐업정보!$D$3:$R$3,0)),
"Error"))</f>
        <v>45265</v>
      </c>
      <c r="I1361" s="75" t="str">
        <f aca="false">
IF($D1361="정상",INDEX(임대자산!$D$3:$R$3000,MATCH($F1361,임대자산!$I$3:$I$3000,0),MATCH(I$4,임대자산!$D$3:$R$3,0)),
IF($D1361="폐업",INDEX(폐업정보!$D$3:$R$3000,MATCH($F1361,폐업정보!$I$3:$I$3000,0),MATCH(I$4,폐업정보!$D$3:$R$3,0)),
"Error"))</f>
        <v>A1356</v>
      </c>
      <c r="J1361" s="75" t="str">
        <f aca="false">
IF($D1361="정상",INDEX(임대자산!$D$3:$R$3000,MATCH($F1361,임대자산!$I$3:$I$3000,0),MATCH(J$4,임대자산!$D$3:$R$3,0)),
IF($D1361="폐업",INDEX(폐업정보!$D$3:$R$3000,MATCH($F1361,폐업정보!$I$3:$I$3000,0),MATCH(J$4,폐업정보!$D$3:$R$3,0)),
"Error"))</f>
        <v>2174100000</v>
      </c>
      <c r="K1361" s="75" t="str">
        <f aca="false">
IF($D1361="정상",INDEX(임대자산!$D$3:$R$3000,MATCH($F1361,임대자산!$I$3:$I$3000,0),MATCH(K$4,임대자산!$D$3:$R$3,0)),
IF($D1361="폐업",INDEX(폐업정보!$D$3:$R$3000,MATCH($F1361,폐업정보!$I$3:$I$3000,0),MATCH(K$4,폐업정보!$D$3:$R$3,0)),
"Error"))</f>
        <v>C1356</v>
      </c>
      <c r="L1361" s="75" t="str">
        <f aca="false">
IF($D1361="정상",INDEX(임대자산!$D$3:$R$3000,MATCH($F1361,임대자산!$I$3:$I$3000,0),MATCH(L$4,임대자산!$D$3:$R$3,0)),
IF($D1361="폐업",INDEX(폐업정보!$D$3:$R$3000,MATCH($F1361,폐업정보!$I$3:$I$3000,0),MATCH(L$4,폐업정보!$D$3:$R$3,0)),
"Error"))</f>
        <v>D1356</v>
      </c>
      <c r="M1361" s="76" t="s">
        <v>96</v>
      </c>
      <c r="N1361" s="77"/>
      <c r="O1361" s="78" t="s">
        <v>97</v>
      </c>
      <c r="P1361" s="79" t="n">
        <f aca="false">COUNTIFS(임대자산!$I:$I,가맹점정보!F1361,임대자산!$N:$N,가맹점정보!P$4)</f>
        <v>0</v>
      </c>
      <c r="Q1361" s="80" t="n">
        <f aca="false">COUNTIFS(임대자산!$I:$I,가맹점정보!F1361,임대자산!$N:$N,가맹점정보!Q$4)</f>
        <v>0</v>
      </c>
      <c r="R1361" s="81" t="n">
        <f aca="false">COUNTIFS(임대자산!$I:$I,가맹점정보!F1361,임대자산!$N:$N,가맹점정보!R$4)</f>
        <v>1</v>
      </c>
      <c r="S1361" s="82" t="n">
        <v>88000</v>
      </c>
      <c r="T1361" s="83" t="n">
        <v>0</v>
      </c>
      <c r="U1361" s="80" t="n">
        <f aca="false">SUM(S1361:T1361)</f>
        <v>88000</v>
      </c>
      <c r="V1361" s="84" t="s">
        <v>7</v>
      </c>
      <c r="W1361" s="80" t="str">
        <f aca="true">
IF(D1361="폐업","폐업",
IF(V1361="면제","면제",
IF(AND(V1361="정상",COUNTIFS(OFFSET(Y1361,0,COUNTA(Y1361:AV1361)-1,1,-4),"미납")&gt;=3),"장기미납",
IF(AND(V1361="정상",OFFSET(Y1361,0,COUNTA(Y1361:AV1361)-1)&gt;=U1361),"정상",
IF(AND(V1361="정상",OFFSET(Y1361,0,COUNTA(Y1361:AV1361)-1)=0),"정상",
"계약서 미작성")))))</f>
        <v>면제</v>
      </c>
      <c r="X1361" s="81" t="str">
        <f aca="true">
IF(D1361="폐업","폐업",
IF(AND(V1361="정상",OFFSET(Y1361,0,COUNTA(Y1361:AV1361)-1)="미납"),"미납",
IF(AND(V1361="정상",OFFSET(Y1361,0,COUNTA(Y1361:AV1361)-1)=0),"납부 시작 전",
IF(AND(V1361="정상",OFFSET(Y1361,0,COUNTA(Y1361:AV1361)-1)&gt;=U1361),"정상",
IF(AND(V1361="면제",OFFSET(Y1361,0,COUNTA(Y1361:AV1361)-1)="면제"),"면제",
IF(AND(V1361="면제",OFFSET(Y1361,0,COUNTA(Y1361:AV1361)-1)=0),"면제",
"확인요청"))))))</f>
        <v>면제</v>
      </c>
      <c r="Y1361" s="94" t="s">
        <v>7</v>
      </c>
      <c r="Z1361" s="95" t="s">
        <v>7</v>
      </c>
      <c r="AA1361" s="95" t="s">
        <v>7</v>
      </c>
      <c r="AB1361" s="95" t="s">
        <v>7</v>
      </c>
      <c r="AC1361" s="95" t="s">
        <v>7</v>
      </c>
      <c r="AD1361" s="95" t="s">
        <v>7</v>
      </c>
      <c r="AE1361" s="95" t="s">
        <v>7</v>
      </c>
      <c r="AF1361" s="95" t="s">
        <v>7</v>
      </c>
      <c r="AG1361" s="95" t="s">
        <v>7</v>
      </c>
      <c r="AH1361" s="95" t="s">
        <v>7</v>
      </c>
      <c r="AI1361" s="95" t="s">
        <v>7</v>
      </c>
      <c r="AJ1361" s="96" t="s">
        <v>7</v>
      </c>
      <c r="AK1361" s="97" t="s">
        <v>7</v>
      </c>
      <c r="AL1361" s="95" t="s">
        <v>7</v>
      </c>
      <c r="AM1361" s="90"/>
      <c r="AN1361" s="90"/>
      <c r="AO1361" s="90"/>
      <c r="AP1361" s="90"/>
      <c r="AQ1361" s="90"/>
      <c r="AR1361" s="90"/>
      <c r="AS1361" s="90"/>
      <c r="AT1361" s="90"/>
      <c r="AU1361" s="90"/>
      <c r="AV1361" s="91"/>
      <c r="AX1361" s="92"/>
    </row>
    <row r="1362" customFormat="false" ht="15.65" hidden="false" customHeight="false" outlineLevel="0" collapsed="false">
      <c r="C1362" s="72" t="n">
        <f aca="false">COUNTIFS($D$6:D1362,"&lt;&gt;"&amp;"")</f>
        <v>1357</v>
      </c>
      <c r="D1362" s="73" t="s">
        <v>12</v>
      </c>
      <c r="E1362" s="76" t="str">
        <f aca="false">
IF($D1362="정상",INDEX(임대자산!$D$3:$R$3000,MATCH($F1362,임대자산!$I$3:$I$3000,0),MATCH(E$3,임대자산!$D$3:$R$3,0)),
IF($D1362="폐업",INDEX(폐업정보!$D$3:$R$3000,MATCH($F1362,폐업정보!$I$3:$I$3000,0),MATCH(E$3,폐업정보!$D$3:$R$3,0)),
"Error"))</f>
        <v>전라</v>
      </c>
      <c r="F136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B1357</v>
      </c>
      <c r="G1362" s="76" t="str">
        <f aca="false">F1362&amp;RANDBETWEEN(0,10)</f>
        <v>B13574</v>
      </c>
      <c r="H1362" s="75" t="n">
        <f aca="false">
IF($D1362="정상",INDEX(임대자산!$D$3:$R$3000,MATCH($F1362,임대자산!$I$3:$I$3000,0),MATCH(H$4,임대자산!$D$3:$R$3,0)),
IF($D1362="폐업",INDEX(폐업정보!$D$3:$R$3000,MATCH($F1362,폐업정보!$I$3:$I$3000,0),MATCH(H$4,폐업정보!$D$3:$R$3,0)),
"Error"))</f>
        <v>45253</v>
      </c>
      <c r="I1362" s="75" t="str">
        <f aca="false">
IF($D1362="정상",INDEX(임대자산!$D$3:$R$3000,MATCH($F1362,임대자산!$I$3:$I$3000,0),MATCH(I$4,임대자산!$D$3:$R$3,0)),
IF($D1362="폐업",INDEX(폐업정보!$D$3:$R$3000,MATCH($F1362,폐업정보!$I$3:$I$3000,0),MATCH(I$4,폐업정보!$D$3:$R$3,0)),
"Error"))</f>
        <v>A1357</v>
      </c>
      <c r="J1362" s="75" t="str">
        <f aca="false">
IF($D1362="정상",INDEX(임대자산!$D$3:$R$3000,MATCH($F1362,임대자산!$I$3:$I$3000,0),MATCH(J$4,임대자산!$D$3:$R$3,0)),
IF($D1362="폐업",INDEX(폐업정보!$D$3:$R$3000,MATCH($F1362,폐업정보!$I$3:$I$3000,0),MATCH(J$4,폐업정보!$D$3:$R$3,0)),
"Error"))</f>
        <v>1224600000</v>
      </c>
      <c r="K1362" s="75" t="str">
        <f aca="false">
IF($D1362="정상",INDEX(임대자산!$D$3:$R$3000,MATCH($F1362,임대자산!$I$3:$I$3000,0),MATCH(K$4,임대자산!$D$3:$R$3,0)),
IF($D1362="폐업",INDEX(폐업정보!$D$3:$R$3000,MATCH($F1362,폐업정보!$I$3:$I$3000,0),MATCH(K$4,폐업정보!$D$3:$R$3,0)),
"Error"))</f>
        <v>C1357</v>
      </c>
      <c r="L1362" s="75" t="str">
        <f aca="false">
IF($D1362="정상",INDEX(임대자산!$D$3:$R$3000,MATCH($F1362,임대자산!$I$3:$I$3000,0),MATCH(L$4,임대자산!$D$3:$R$3,0)),
IF($D1362="폐업",INDEX(폐업정보!$D$3:$R$3000,MATCH($F1362,폐업정보!$I$3:$I$3000,0),MATCH(L$4,폐업정보!$D$3:$R$3,0)),
"Error"))</f>
        <v>D1357</v>
      </c>
      <c r="M1362" s="76" t="s">
        <v>96</v>
      </c>
      <c r="N1362" s="77"/>
      <c r="O1362" s="78" t="s">
        <v>97</v>
      </c>
      <c r="P1362" s="79" t="n">
        <f aca="false">COUNTIFS(임대자산!$I:$I,가맹점정보!F1362,임대자산!$N:$N,가맹점정보!P$4)</f>
        <v>0</v>
      </c>
      <c r="Q1362" s="80" t="n">
        <f aca="false">COUNTIFS(임대자산!$I:$I,가맹점정보!F1362,임대자산!$N:$N,가맹점정보!Q$4)</f>
        <v>0</v>
      </c>
      <c r="R1362" s="81" t="n">
        <f aca="false">COUNTIFS(임대자산!$I:$I,가맹점정보!F1362,임대자산!$N:$N,가맹점정보!R$4)</f>
        <v>1</v>
      </c>
      <c r="S1362" s="82" t="n">
        <v>88000</v>
      </c>
      <c r="T1362" s="83" t="n">
        <v>0</v>
      </c>
      <c r="U1362" s="80" t="n">
        <f aca="false">SUM(S1362:T1362)</f>
        <v>88000</v>
      </c>
      <c r="V1362" s="84" t="s">
        <v>7</v>
      </c>
      <c r="W1362" s="80" t="str">
        <f aca="true">
IF(D1362="폐업","폐업",
IF(V1362="면제","면제",
IF(AND(V1362="정상",COUNTIFS(OFFSET(Y1362,0,COUNTA(Y1362:AV1362)-1,1,-4),"미납")&gt;=3),"장기미납",
IF(AND(V1362="정상",OFFSET(Y1362,0,COUNTA(Y1362:AV1362)-1)&gt;=U1362),"정상",
IF(AND(V1362="정상",OFFSET(Y1362,0,COUNTA(Y1362:AV1362)-1)=0),"정상",
"계약서 미작성")))))</f>
        <v>면제</v>
      </c>
      <c r="X1362" s="81" t="str">
        <f aca="true">
IF(D1362="폐업","폐업",
IF(AND(V1362="정상",OFFSET(Y1362,0,COUNTA(Y1362:AV1362)-1)="미납"),"미납",
IF(AND(V1362="정상",OFFSET(Y1362,0,COUNTA(Y1362:AV1362)-1)=0),"납부 시작 전",
IF(AND(V1362="정상",OFFSET(Y1362,0,COUNTA(Y1362:AV1362)-1)&gt;=U1362),"정상",
IF(AND(V1362="면제",OFFSET(Y1362,0,COUNTA(Y1362:AV1362)-1)="면제"),"면제",
IF(AND(V1362="면제",OFFSET(Y1362,0,COUNTA(Y1362:AV1362)-1)=0),"면제",
"확인요청"))))))</f>
        <v>면제</v>
      </c>
      <c r="Y1362" s="94" t="s">
        <v>7</v>
      </c>
      <c r="Z1362" s="95" t="s">
        <v>7</v>
      </c>
      <c r="AA1362" s="95" t="s">
        <v>7</v>
      </c>
      <c r="AB1362" s="95" t="s">
        <v>7</v>
      </c>
      <c r="AC1362" s="95" t="s">
        <v>7</v>
      </c>
      <c r="AD1362" s="95" t="s">
        <v>7</v>
      </c>
      <c r="AE1362" s="95" t="s">
        <v>7</v>
      </c>
      <c r="AF1362" s="95" t="s">
        <v>7</v>
      </c>
      <c r="AG1362" s="95" t="s">
        <v>7</v>
      </c>
      <c r="AH1362" s="95" t="s">
        <v>7</v>
      </c>
      <c r="AI1362" s="95" t="s">
        <v>7</v>
      </c>
      <c r="AJ1362" s="96" t="s">
        <v>7</v>
      </c>
      <c r="AK1362" s="97" t="s">
        <v>7</v>
      </c>
      <c r="AL1362" s="95" t="s">
        <v>7</v>
      </c>
      <c r="AM1362" s="90"/>
      <c r="AN1362" s="90"/>
      <c r="AO1362" s="90"/>
      <c r="AP1362" s="90"/>
      <c r="AQ1362" s="90"/>
      <c r="AR1362" s="90"/>
      <c r="AS1362" s="90"/>
      <c r="AT1362" s="90"/>
      <c r="AU1362" s="90"/>
      <c r="AV1362" s="91"/>
      <c r="AX1362" s="92"/>
    </row>
    <row r="1363" customFormat="false" ht="15.65" hidden="false" customHeight="false" outlineLevel="0" collapsed="false">
      <c r="C1363" s="72" t="n">
        <f aca="false">COUNTIFS($D$6:D1363,"&lt;&gt;"&amp;"")</f>
        <v>1358</v>
      </c>
      <c r="D1363" s="73" t="s">
        <v>12</v>
      </c>
      <c r="E1363" s="76" t="str">
        <f aca="false">
IF($D1363="정상",INDEX(임대자산!$D$3:$R$3000,MATCH($F1363,임대자산!$I$3:$I$3000,0),MATCH(E$3,임대자산!$D$3:$R$3,0)),
IF($D1363="폐업",INDEX(폐업정보!$D$3:$R$3000,MATCH($F1363,폐업정보!$I$3:$I$3000,0),MATCH(E$3,폐업정보!$D$3:$R$3,0)),
"Error"))</f>
        <v>서울</v>
      </c>
      <c r="F136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B1358</v>
      </c>
      <c r="G1363" s="76" t="str">
        <f aca="false">F1363&amp;RANDBETWEEN(0,10)</f>
        <v>B13588</v>
      </c>
      <c r="H1363" s="75" t="n">
        <f aca="false">
IF($D1363="정상",INDEX(임대자산!$D$3:$R$3000,MATCH($F1363,임대자산!$I$3:$I$3000,0),MATCH(H$4,임대자산!$D$3:$R$3,0)),
IF($D1363="폐업",INDEX(폐업정보!$D$3:$R$3000,MATCH($F1363,폐업정보!$I$3:$I$3000,0),MATCH(H$4,폐업정보!$D$3:$R$3,0)),
"Error"))</f>
        <v>45286</v>
      </c>
      <c r="I1363" s="75" t="str">
        <f aca="false">
IF($D1363="정상",INDEX(임대자산!$D$3:$R$3000,MATCH($F1363,임대자산!$I$3:$I$3000,0),MATCH(I$4,임대자산!$D$3:$R$3,0)),
IF($D1363="폐업",INDEX(폐업정보!$D$3:$R$3000,MATCH($F1363,폐업정보!$I$3:$I$3000,0),MATCH(I$4,폐업정보!$D$3:$R$3,0)),
"Error"))</f>
        <v>A1358</v>
      </c>
      <c r="J1363" s="75" t="str">
        <f aca="false">
IF($D1363="정상",INDEX(임대자산!$D$3:$R$3000,MATCH($F1363,임대자산!$I$3:$I$3000,0),MATCH(J$4,임대자산!$D$3:$R$3,0)),
IF($D1363="폐업",INDEX(폐업정보!$D$3:$R$3000,MATCH($F1363,폐업정보!$I$3:$I$3000,0),MATCH(J$4,폐업정보!$D$3:$R$3,0)),
"Error"))</f>
        <v>7169100000</v>
      </c>
      <c r="K1363" s="75" t="str">
        <f aca="false">
IF($D1363="정상",INDEX(임대자산!$D$3:$R$3000,MATCH($F1363,임대자산!$I$3:$I$3000,0),MATCH(K$4,임대자산!$D$3:$R$3,0)),
IF($D1363="폐업",INDEX(폐업정보!$D$3:$R$3000,MATCH($F1363,폐업정보!$I$3:$I$3000,0),MATCH(K$4,폐업정보!$D$3:$R$3,0)),
"Error"))</f>
        <v>C1358</v>
      </c>
      <c r="L1363" s="75" t="str">
        <f aca="false">
IF($D1363="정상",INDEX(임대자산!$D$3:$R$3000,MATCH($F1363,임대자산!$I$3:$I$3000,0),MATCH(L$4,임대자산!$D$3:$R$3,0)),
IF($D1363="폐업",INDEX(폐업정보!$D$3:$R$3000,MATCH($F1363,폐업정보!$I$3:$I$3000,0),MATCH(L$4,폐업정보!$D$3:$R$3,0)),
"Error"))</f>
        <v>D1358</v>
      </c>
      <c r="M1363" s="76" t="s">
        <v>96</v>
      </c>
      <c r="N1363" s="77"/>
      <c r="O1363" s="78" t="s">
        <v>97</v>
      </c>
      <c r="P1363" s="79" t="n">
        <f aca="false">COUNTIFS(임대자산!$I:$I,가맹점정보!F1363,임대자산!$N:$N,가맹점정보!P$4)</f>
        <v>0</v>
      </c>
      <c r="Q1363" s="80" t="n">
        <f aca="false">COUNTIFS(임대자산!$I:$I,가맹점정보!F1363,임대자산!$N:$N,가맹점정보!Q$4)</f>
        <v>0</v>
      </c>
      <c r="R1363" s="81" t="n">
        <f aca="false">COUNTIFS(임대자산!$I:$I,가맹점정보!F1363,임대자산!$N:$N,가맹점정보!R$4)</f>
        <v>1</v>
      </c>
      <c r="S1363" s="82" t="n">
        <v>55000</v>
      </c>
      <c r="T1363" s="83" t="n">
        <v>0</v>
      </c>
      <c r="U1363" s="80" t="n">
        <f aca="false">SUM(S1363:T1363)</f>
        <v>55000</v>
      </c>
      <c r="V1363" s="84" t="s">
        <v>7</v>
      </c>
      <c r="W1363" s="80" t="str">
        <f aca="true">
IF(D1363="폐업","폐업",
IF(V1363="면제","면제",
IF(AND(V1363="정상",COUNTIFS(OFFSET(Y1363,0,COUNTA(Y1363:AV1363)-1,1,-4),"미납")&gt;=3),"장기미납",
IF(AND(V1363="정상",OFFSET(Y1363,0,COUNTA(Y1363:AV1363)-1)&gt;=U1363),"정상",
IF(AND(V1363="정상",OFFSET(Y1363,0,COUNTA(Y1363:AV1363)-1)=0),"정상",
"계약서 미작성")))))</f>
        <v>면제</v>
      </c>
      <c r="X1363" s="81" t="str">
        <f aca="true">
IF(D1363="폐업","폐업",
IF(AND(V1363="정상",OFFSET(Y1363,0,COUNTA(Y1363:AV1363)-1)="미납"),"미납",
IF(AND(V1363="정상",OFFSET(Y1363,0,COUNTA(Y1363:AV1363)-1)=0),"납부 시작 전",
IF(AND(V1363="정상",OFFSET(Y1363,0,COUNTA(Y1363:AV1363)-1)&gt;=U1363),"정상",
IF(AND(V1363="면제",OFFSET(Y1363,0,COUNTA(Y1363:AV1363)-1)="면제"),"면제",
IF(AND(V1363="면제",OFFSET(Y1363,0,COUNTA(Y1363:AV1363)-1)=0),"면제",
"확인요청"))))))</f>
        <v>면제</v>
      </c>
      <c r="Y1363" s="94" t="s">
        <v>7</v>
      </c>
      <c r="Z1363" s="95" t="s">
        <v>7</v>
      </c>
      <c r="AA1363" s="95" t="s">
        <v>7</v>
      </c>
      <c r="AB1363" s="95" t="s">
        <v>7</v>
      </c>
      <c r="AC1363" s="95" t="s">
        <v>7</v>
      </c>
      <c r="AD1363" s="95" t="s">
        <v>7</v>
      </c>
      <c r="AE1363" s="95" t="s">
        <v>7</v>
      </c>
      <c r="AF1363" s="95" t="s">
        <v>7</v>
      </c>
      <c r="AG1363" s="95" t="s">
        <v>7</v>
      </c>
      <c r="AH1363" s="95" t="s">
        <v>7</v>
      </c>
      <c r="AI1363" s="95" t="s">
        <v>7</v>
      </c>
      <c r="AJ1363" s="96" t="s">
        <v>7</v>
      </c>
      <c r="AK1363" s="97" t="s">
        <v>7</v>
      </c>
      <c r="AL1363" s="95" t="s">
        <v>7</v>
      </c>
      <c r="AM1363" s="90"/>
      <c r="AN1363" s="90"/>
      <c r="AO1363" s="90"/>
      <c r="AP1363" s="90"/>
      <c r="AQ1363" s="90"/>
      <c r="AR1363" s="90"/>
      <c r="AS1363" s="90"/>
      <c r="AT1363" s="90"/>
      <c r="AU1363" s="90"/>
      <c r="AV1363" s="91"/>
      <c r="AX1363" s="92"/>
    </row>
    <row r="1364" customFormat="false" ht="15.65" hidden="false" customHeight="false" outlineLevel="0" collapsed="false">
      <c r="C1364" s="72" t="n">
        <f aca="false">COUNTIFS($D$6:D1364,"&lt;&gt;"&amp;"")</f>
        <v>1359</v>
      </c>
      <c r="D1364" s="73" t="s">
        <v>12</v>
      </c>
      <c r="E1364" s="76" t="str">
        <f aca="false">
IF($D1364="정상",INDEX(임대자산!$D$3:$R$3000,MATCH($F1364,임대자산!$I$3:$I$3000,0),MATCH(E$3,임대자산!$D$3:$R$3,0)),
IF($D1364="폐업",INDEX(폐업정보!$D$3:$R$3000,MATCH($F1364,폐업정보!$I$3:$I$3000,0),MATCH(E$3,폐업정보!$D$3:$R$3,0)),
"Error"))</f>
        <v>강원</v>
      </c>
      <c r="F136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B1359</v>
      </c>
      <c r="G1364" s="76" t="str">
        <f aca="false">F1364&amp;RANDBETWEEN(0,10)</f>
        <v>B13591</v>
      </c>
      <c r="H1364" s="75" t="n">
        <f aca="false">
IF($D1364="정상",INDEX(임대자산!$D$3:$R$3000,MATCH($F1364,임대자산!$I$3:$I$3000,0),MATCH(H$4,임대자산!$D$3:$R$3,0)),
IF($D1364="폐업",INDEX(폐업정보!$D$3:$R$3000,MATCH($F1364,폐업정보!$I$3:$I$3000,0),MATCH(H$4,폐업정보!$D$3:$R$3,0)),
"Error"))</f>
        <v>45296</v>
      </c>
      <c r="I1364" s="75" t="str">
        <f aca="false">
IF($D1364="정상",INDEX(임대자산!$D$3:$R$3000,MATCH($F1364,임대자산!$I$3:$I$3000,0),MATCH(I$4,임대자산!$D$3:$R$3,0)),
IF($D1364="폐업",INDEX(폐업정보!$D$3:$R$3000,MATCH($F1364,폐업정보!$I$3:$I$3000,0),MATCH(I$4,폐업정보!$D$3:$R$3,0)),
"Error"))</f>
        <v>A1359</v>
      </c>
      <c r="J1364" s="75" t="str">
        <f aca="false">
IF($D1364="정상",INDEX(임대자산!$D$3:$R$3000,MATCH($F1364,임대자산!$I$3:$I$3000,0),MATCH(J$4,임대자산!$D$3:$R$3,0)),
IF($D1364="폐업",INDEX(폐업정보!$D$3:$R$3000,MATCH($F1364,폐업정보!$I$3:$I$3000,0),MATCH(J$4,폐업정보!$D$3:$R$3,0)),
"Error"))</f>
        <v>2452500000</v>
      </c>
      <c r="K1364" s="75" t="str">
        <f aca="false">
IF($D1364="정상",INDEX(임대자산!$D$3:$R$3000,MATCH($F1364,임대자산!$I$3:$I$3000,0),MATCH(K$4,임대자산!$D$3:$R$3,0)),
IF($D1364="폐업",INDEX(폐업정보!$D$3:$R$3000,MATCH($F1364,폐업정보!$I$3:$I$3000,0),MATCH(K$4,폐업정보!$D$3:$R$3,0)),
"Error"))</f>
        <v>C1359</v>
      </c>
      <c r="L1364" s="75" t="str">
        <f aca="false">
IF($D1364="정상",INDEX(임대자산!$D$3:$R$3000,MATCH($F1364,임대자산!$I$3:$I$3000,0),MATCH(L$4,임대자산!$D$3:$R$3,0)),
IF($D1364="폐업",INDEX(폐업정보!$D$3:$R$3000,MATCH($F1364,폐업정보!$I$3:$I$3000,0),MATCH(L$4,폐업정보!$D$3:$R$3,0)),
"Error"))</f>
        <v>D1359</v>
      </c>
      <c r="M1364" s="76" t="s">
        <v>96</v>
      </c>
      <c r="N1364" s="77"/>
      <c r="O1364" s="78" t="s">
        <v>97</v>
      </c>
      <c r="P1364" s="79" t="n">
        <f aca="false">COUNTIFS(임대자산!$I:$I,가맹점정보!F1364,임대자산!$N:$N,가맹점정보!P$4)</f>
        <v>0</v>
      </c>
      <c r="Q1364" s="80" t="n">
        <f aca="false">COUNTIFS(임대자산!$I:$I,가맹점정보!F1364,임대자산!$N:$N,가맹점정보!Q$4)</f>
        <v>0</v>
      </c>
      <c r="R1364" s="81" t="n">
        <f aca="false">COUNTIFS(임대자산!$I:$I,가맹점정보!F1364,임대자산!$N:$N,가맹점정보!R$4)</f>
        <v>1</v>
      </c>
      <c r="S1364" s="82" t="n">
        <v>55000</v>
      </c>
      <c r="T1364" s="83" t="n">
        <v>0</v>
      </c>
      <c r="U1364" s="80" t="n">
        <f aca="false">SUM(S1364:T1364)</f>
        <v>55000</v>
      </c>
      <c r="V1364" s="84" t="s">
        <v>7</v>
      </c>
      <c r="W1364" s="80" t="str">
        <f aca="true">
IF(D1364="폐업","폐업",
IF(V1364="면제","면제",
IF(AND(V1364="정상",COUNTIFS(OFFSET(Y1364,0,COUNTA(Y1364:AV1364)-1,1,-4),"미납")&gt;=3),"장기미납",
IF(AND(V1364="정상",OFFSET(Y1364,0,COUNTA(Y1364:AV1364)-1)&gt;=U1364),"정상",
IF(AND(V1364="정상",OFFSET(Y1364,0,COUNTA(Y1364:AV1364)-1)=0),"정상",
"계약서 미작성")))))</f>
        <v>면제</v>
      </c>
      <c r="X1364" s="81" t="str">
        <f aca="true">
IF(D1364="폐업","폐업",
IF(AND(V1364="정상",OFFSET(Y1364,0,COUNTA(Y1364:AV1364)-1)="미납"),"미납",
IF(AND(V1364="정상",OFFSET(Y1364,0,COUNTA(Y1364:AV1364)-1)=0),"납부 시작 전",
IF(AND(V1364="정상",OFFSET(Y1364,0,COUNTA(Y1364:AV1364)-1)&gt;=U1364),"정상",
IF(AND(V1364="면제",OFFSET(Y1364,0,COUNTA(Y1364:AV1364)-1)="면제"),"면제",
IF(AND(V1364="면제",OFFSET(Y1364,0,COUNTA(Y1364:AV1364)-1)=0),"면제",
"확인요청"))))))</f>
        <v>면제</v>
      </c>
      <c r="Y1364" s="94" t="s">
        <v>7</v>
      </c>
      <c r="Z1364" s="95" t="s">
        <v>7</v>
      </c>
      <c r="AA1364" s="95" t="s">
        <v>7</v>
      </c>
      <c r="AB1364" s="95" t="s">
        <v>7</v>
      </c>
      <c r="AC1364" s="95" t="s">
        <v>7</v>
      </c>
      <c r="AD1364" s="95" t="s">
        <v>7</v>
      </c>
      <c r="AE1364" s="95" t="s">
        <v>7</v>
      </c>
      <c r="AF1364" s="95" t="s">
        <v>7</v>
      </c>
      <c r="AG1364" s="95" t="s">
        <v>7</v>
      </c>
      <c r="AH1364" s="95" t="s">
        <v>7</v>
      </c>
      <c r="AI1364" s="95" t="s">
        <v>7</v>
      </c>
      <c r="AJ1364" s="96" t="s">
        <v>7</v>
      </c>
      <c r="AK1364" s="97" t="s">
        <v>7</v>
      </c>
      <c r="AL1364" s="95" t="s">
        <v>7</v>
      </c>
      <c r="AM1364" s="90"/>
      <c r="AN1364" s="90"/>
      <c r="AO1364" s="90"/>
      <c r="AP1364" s="90"/>
      <c r="AQ1364" s="90"/>
      <c r="AR1364" s="90"/>
      <c r="AS1364" s="90"/>
      <c r="AT1364" s="90"/>
      <c r="AU1364" s="90"/>
      <c r="AV1364" s="91"/>
      <c r="AX1364" s="92"/>
    </row>
    <row r="1365" customFormat="false" ht="15.65" hidden="false" customHeight="false" outlineLevel="0" collapsed="false">
      <c r="C1365" s="72" t="n">
        <f aca="false">COUNTIFS($D$6:D1365,"&lt;&gt;"&amp;"")</f>
        <v>1360</v>
      </c>
      <c r="D1365" s="73" t="s">
        <v>12</v>
      </c>
      <c r="E1365" s="76" t="str">
        <f aca="false">
IF($D1365="정상",INDEX(임대자산!$D$3:$R$3000,MATCH($F1365,임대자산!$I$3:$I$3000,0),MATCH(E$3,임대자산!$D$3:$R$3,0)),
IF($D1365="폐업",INDEX(폐업정보!$D$3:$R$3000,MATCH($F1365,폐업정보!$I$3:$I$3000,0),MATCH(E$3,폐업정보!$D$3:$R$3,0)),
"Error"))</f>
        <v>서울</v>
      </c>
      <c r="F136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B1360</v>
      </c>
      <c r="G1365" s="76" t="str">
        <f aca="false">F1365&amp;RANDBETWEEN(0,10)</f>
        <v>B13601</v>
      </c>
      <c r="H1365" s="75" t="n">
        <f aca="false">
IF($D1365="정상",INDEX(임대자산!$D$3:$R$3000,MATCH($F1365,임대자산!$I$3:$I$3000,0),MATCH(H$4,임대자산!$D$3:$R$3,0)),
IF($D1365="폐업",INDEX(폐업정보!$D$3:$R$3000,MATCH($F1365,폐업정보!$I$3:$I$3000,0),MATCH(H$4,폐업정보!$D$3:$R$3,0)),
"Error"))</f>
        <v>45306</v>
      </c>
      <c r="I1365" s="75" t="str">
        <f aca="false">
IF($D1365="정상",INDEX(임대자산!$D$3:$R$3000,MATCH($F1365,임대자산!$I$3:$I$3000,0),MATCH(I$4,임대자산!$D$3:$R$3,0)),
IF($D1365="폐업",INDEX(폐업정보!$D$3:$R$3000,MATCH($F1365,폐업정보!$I$3:$I$3000,0),MATCH(I$4,폐업정보!$D$3:$R$3,0)),
"Error"))</f>
        <v>A1360</v>
      </c>
      <c r="J1365" s="75" t="str">
        <f aca="false">
IF($D1365="정상",INDEX(임대자산!$D$3:$R$3000,MATCH($F1365,임대자산!$I$3:$I$3000,0),MATCH(J$4,임대자산!$D$3:$R$3,0)),
IF($D1365="폐업",INDEX(폐업정보!$D$3:$R$3000,MATCH($F1365,폐업정보!$I$3:$I$3000,0),MATCH(J$4,폐업정보!$D$3:$R$3,0)),
"Error"))</f>
        <v>7421900000</v>
      </c>
      <c r="K1365" s="75" t="str">
        <f aca="false">
IF($D1365="정상",INDEX(임대자산!$D$3:$R$3000,MATCH($F1365,임대자산!$I$3:$I$3000,0),MATCH(K$4,임대자산!$D$3:$R$3,0)),
IF($D1365="폐업",INDEX(폐업정보!$D$3:$R$3000,MATCH($F1365,폐업정보!$I$3:$I$3000,0),MATCH(K$4,폐업정보!$D$3:$R$3,0)),
"Error"))</f>
        <v>C1360</v>
      </c>
      <c r="L1365" s="75" t="str">
        <f aca="false">
IF($D1365="정상",INDEX(임대자산!$D$3:$R$3000,MATCH($F1365,임대자산!$I$3:$I$3000,0),MATCH(L$4,임대자산!$D$3:$R$3,0)),
IF($D1365="폐업",INDEX(폐업정보!$D$3:$R$3000,MATCH($F1365,폐업정보!$I$3:$I$3000,0),MATCH(L$4,폐업정보!$D$3:$R$3,0)),
"Error"))</f>
        <v>D1360</v>
      </c>
      <c r="M1365" s="76" t="s">
        <v>96</v>
      </c>
      <c r="N1365" s="77"/>
      <c r="O1365" s="78" t="s">
        <v>97</v>
      </c>
      <c r="P1365" s="79" t="n">
        <f aca="false">COUNTIFS(임대자산!$I:$I,가맹점정보!F1365,임대자산!$N:$N,가맹점정보!P$4)</f>
        <v>0</v>
      </c>
      <c r="Q1365" s="80" t="n">
        <f aca="false">COUNTIFS(임대자산!$I:$I,가맹점정보!F1365,임대자산!$N:$N,가맹점정보!Q$4)</f>
        <v>0</v>
      </c>
      <c r="R1365" s="81" t="n">
        <f aca="false">COUNTIFS(임대자산!$I:$I,가맹점정보!F1365,임대자산!$N:$N,가맹점정보!R$4)</f>
        <v>1</v>
      </c>
      <c r="S1365" s="82" t="n">
        <v>55000</v>
      </c>
      <c r="T1365" s="83" t="n">
        <v>0</v>
      </c>
      <c r="U1365" s="80" t="n">
        <f aca="false">SUM(S1365:T1365)</f>
        <v>55000</v>
      </c>
      <c r="V1365" s="84" t="s">
        <v>12</v>
      </c>
      <c r="W1365" s="80" t="e">
        <f aca="true">
IF(D1365="폐업","폐업",
IF(V1365="면제","면제",
IF(AND(V1365="정상",COUNTIFS(OFFSET(Y1365,0,COUNTA(Y1365:AV1365)-1,1,-4),"미납")&gt;=3),"장기미납",
IF(AND(V1365="정상",OFFSET(Y1365,0,COUNTA(Y1365:AV1365)-1)&gt;=U1365),"정상",
IF(AND(V1365="정상",OFFSET(Y1365,0,COUNTA(Y1365:AV1365)-1)=0),"정상",
"계약서 미작성")))))</f>
        <v>#VALUE!</v>
      </c>
      <c r="X1365" s="81" t="str">
        <f aca="true">
IF(D1365="폐업","폐업",
IF(AND(V1365="정상",OFFSET(Y1365,0,COUNTA(Y1365:AV1365)-1)="미납"),"미납",
IF(AND(V1365="정상",OFFSET(Y1365,0,COUNTA(Y1365:AV1365)-1)=0),"납부 시작 전",
IF(AND(V1365="정상",OFFSET(Y1365,0,COUNTA(Y1365:AV1365)-1)&gt;=U1365),"정상",
IF(AND(V1365="면제",OFFSET(Y1365,0,COUNTA(Y1365:AV1365)-1)="면제"),"면제",
IF(AND(V1365="면제",OFFSET(Y1365,0,COUNTA(Y1365:AV1365)-1)=0),"면제",
"확인요청"))))))</f>
        <v>정상</v>
      </c>
      <c r="Y1365" s="93" t="n">
        <v>55000</v>
      </c>
      <c r="Z1365" s="90" t="n">
        <v>55000</v>
      </c>
      <c r="AA1365" s="90" t="n">
        <v>55000</v>
      </c>
      <c r="AB1365" s="90" t="n">
        <v>55000</v>
      </c>
      <c r="AC1365" s="90" t="n">
        <v>55000</v>
      </c>
      <c r="AD1365" s="90" t="n">
        <v>55000</v>
      </c>
      <c r="AE1365" s="90" t="n">
        <v>55000</v>
      </c>
      <c r="AF1365" s="90" t="n">
        <v>55000</v>
      </c>
      <c r="AG1365" s="90" t="n">
        <v>55000</v>
      </c>
      <c r="AH1365" s="90" t="n">
        <v>55000</v>
      </c>
      <c r="AI1365" s="90" t="n">
        <v>55000</v>
      </c>
      <c r="AJ1365" s="91" t="n">
        <v>55000</v>
      </c>
      <c r="AK1365" s="89" t="n">
        <v>55000</v>
      </c>
      <c r="AL1365" s="90" t="n">
        <v>55000</v>
      </c>
      <c r="AM1365" s="90"/>
      <c r="AN1365" s="90"/>
      <c r="AO1365" s="90"/>
      <c r="AP1365" s="90"/>
      <c r="AQ1365" s="90"/>
      <c r="AR1365" s="90"/>
      <c r="AS1365" s="90"/>
      <c r="AT1365" s="90"/>
      <c r="AU1365" s="90"/>
      <c r="AV1365" s="91"/>
      <c r="AX1365" s="92"/>
    </row>
    <row r="1366" customFormat="false" ht="15.65" hidden="false" customHeight="false" outlineLevel="0" collapsed="false">
      <c r="C1366" s="72" t="n">
        <f aca="false">COUNTIFS($D$6:D1366,"&lt;&gt;"&amp;"")</f>
        <v>1361</v>
      </c>
      <c r="D1366" s="73" t="s">
        <v>12</v>
      </c>
      <c r="E1366" s="76" t="str">
        <f aca="false">
IF($D1366="정상",INDEX(임대자산!$D$3:$R$3000,MATCH($F1366,임대자산!$I$3:$I$3000,0),MATCH(E$3,임대자산!$D$3:$R$3,0)),
IF($D1366="폐업",INDEX(폐업정보!$D$3:$R$3000,MATCH($F1366,폐업정보!$I$3:$I$3000,0),MATCH(E$3,폐업정보!$D$3:$R$3,0)),
"Error"))</f>
        <v>서울</v>
      </c>
      <c r="F136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B1361</v>
      </c>
      <c r="G1366" s="76" t="str">
        <f aca="false">F1366&amp;RANDBETWEEN(0,10)</f>
        <v>B13618</v>
      </c>
      <c r="H1366" s="75" t="n">
        <f aca="false">
IF($D1366="정상",INDEX(임대자산!$D$3:$R$3000,MATCH($F1366,임대자산!$I$3:$I$3000,0),MATCH(H$4,임대자산!$D$3:$R$3,0)),
IF($D1366="폐업",INDEX(폐업정보!$D$3:$R$3000,MATCH($F1366,폐업정보!$I$3:$I$3000,0),MATCH(H$4,폐업정보!$D$3:$R$3,0)),
"Error"))</f>
        <v>45306</v>
      </c>
      <c r="I1366" s="75" t="str">
        <f aca="false">
IF($D1366="정상",INDEX(임대자산!$D$3:$R$3000,MATCH($F1366,임대자산!$I$3:$I$3000,0),MATCH(I$4,임대자산!$D$3:$R$3,0)),
IF($D1366="폐업",INDEX(폐업정보!$D$3:$R$3000,MATCH($F1366,폐업정보!$I$3:$I$3000,0),MATCH(I$4,폐업정보!$D$3:$R$3,0)),
"Error"))</f>
        <v>A1361</v>
      </c>
      <c r="J1366" s="75" t="str">
        <f aca="false">
IF($D1366="정상",INDEX(임대자산!$D$3:$R$3000,MATCH($F1366,임대자산!$I$3:$I$3000,0),MATCH(J$4,임대자산!$D$3:$R$3,0)),
IF($D1366="폐업",INDEX(폐업정보!$D$3:$R$3000,MATCH($F1366,폐업정보!$I$3:$I$3000,0),MATCH(J$4,폐업정보!$D$3:$R$3,0)),
"Error"))</f>
        <v>4863800000</v>
      </c>
      <c r="K1366" s="75" t="str">
        <f aca="false">
IF($D1366="정상",INDEX(임대자산!$D$3:$R$3000,MATCH($F1366,임대자산!$I$3:$I$3000,0),MATCH(K$4,임대자산!$D$3:$R$3,0)),
IF($D1366="폐업",INDEX(폐업정보!$D$3:$R$3000,MATCH($F1366,폐업정보!$I$3:$I$3000,0),MATCH(K$4,폐업정보!$D$3:$R$3,0)),
"Error"))</f>
        <v>C1361</v>
      </c>
      <c r="L1366" s="75" t="str">
        <f aca="false">
IF($D1366="정상",INDEX(임대자산!$D$3:$R$3000,MATCH($F1366,임대자산!$I$3:$I$3000,0),MATCH(L$4,임대자산!$D$3:$R$3,0)),
IF($D1366="폐업",INDEX(폐업정보!$D$3:$R$3000,MATCH($F1366,폐업정보!$I$3:$I$3000,0),MATCH(L$4,폐업정보!$D$3:$R$3,0)),
"Error"))</f>
        <v>D1361</v>
      </c>
      <c r="M1366" s="76" t="s">
        <v>96</v>
      </c>
      <c r="N1366" s="77"/>
      <c r="O1366" s="78" t="s">
        <v>97</v>
      </c>
      <c r="P1366" s="79" t="n">
        <f aca="false">COUNTIFS(임대자산!$I:$I,가맹점정보!F1366,임대자산!$N:$N,가맹점정보!P$4)</f>
        <v>0</v>
      </c>
      <c r="Q1366" s="80" t="n">
        <f aca="false">COUNTIFS(임대자산!$I:$I,가맹점정보!F1366,임대자산!$N:$N,가맹점정보!Q$4)</f>
        <v>0</v>
      </c>
      <c r="R1366" s="81" t="n">
        <f aca="false">COUNTIFS(임대자산!$I:$I,가맹점정보!F1366,임대자산!$N:$N,가맹점정보!R$4)</f>
        <v>1</v>
      </c>
      <c r="S1366" s="82" t="n">
        <v>55000</v>
      </c>
      <c r="T1366" s="83" t="n">
        <v>0</v>
      </c>
      <c r="U1366" s="80" t="n">
        <f aca="false">SUM(S1366:T1366)</f>
        <v>55000</v>
      </c>
      <c r="V1366" s="84" t="s">
        <v>7</v>
      </c>
      <c r="W1366" s="80" t="str">
        <f aca="true">
IF(D1366="폐업","폐업",
IF(V1366="면제","면제",
IF(AND(V1366="정상",COUNTIFS(OFFSET(Y1366,0,COUNTA(Y1366:AV1366)-1,1,-4),"미납")&gt;=3),"장기미납",
IF(AND(V1366="정상",OFFSET(Y1366,0,COUNTA(Y1366:AV1366)-1)&gt;=U1366),"정상",
IF(AND(V1366="정상",OFFSET(Y1366,0,COUNTA(Y1366:AV1366)-1)=0),"정상",
"계약서 미작성")))))</f>
        <v>면제</v>
      </c>
      <c r="X1366" s="81" t="str">
        <f aca="true">
IF(D1366="폐업","폐업",
IF(AND(V1366="정상",OFFSET(Y1366,0,COUNTA(Y1366:AV1366)-1)="미납"),"미납",
IF(AND(V1366="정상",OFFSET(Y1366,0,COUNTA(Y1366:AV1366)-1)=0),"납부 시작 전",
IF(AND(V1366="정상",OFFSET(Y1366,0,COUNTA(Y1366:AV1366)-1)&gt;=U1366),"정상",
IF(AND(V1366="면제",OFFSET(Y1366,0,COUNTA(Y1366:AV1366)-1)="면제"),"면제",
IF(AND(V1366="면제",OFFSET(Y1366,0,COUNTA(Y1366:AV1366)-1)=0),"면제",
"확인요청"))))))</f>
        <v>면제</v>
      </c>
      <c r="Y1366" s="94" t="s">
        <v>7</v>
      </c>
      <c r="Z1366" s="95" t="s">
        <v>7</v>
      </c>
      <c r="AA1366" s="95" t="s">
        <v>7</v>
      </c>
      <c r="AB1366" s="95" t="s">
        <v>7</v>
      </c>
      <c r="AC1366" s="95" t="s">
        <v>7</v>
      </c>
      <c r="AD1366" s="95" t="s">
        <v>7</v>
      </c>
      <c r="AE1366" s="95" t="s">
        <v>7</v>
      </c>
      <c r="AF1366" s="95" t="s">
        <v>7</v>
      </c>
      <c r="AG1366" s="95" t="s">
        <v>7</v>
      </c>
      <c r="AH1366" s="95" t="s">
        <v>7</v>
      </c>
      <c r="AI1366" s="95" t="s">
        <v>7</v>
      </c>
      <c r="AJ1366" s="96" t="s">
        <v>7</v>
      </c>
      <c r="AK1366" s="97" t="s">
        <v>7</v>
      </c>
      <c r="AL1366" s="95" t="s">
        <v>7</v>
      </c>
      <c r="AM1366" s="90"/>
      <c r="AN1366" s="90"/>
      <c r="AO1366" s="90"/>
      <c r="AP1366" s="90"/>
      <c r="AQ1366" s="90"/>
      <c r="AR1366" s="90"/>
      <c r="AS1366" s="90"/>
      <c r="AT1366" s="90"/>
      <c r="AU1366" s="90"/>
      <c r="AV1366" s="91"/>
      <c r="AX1366" s="92"/>
    </row>
    <row r="1367" customFormat="false" ht="15.65" hidden="false" customHeight="false" outlineLevel="0" collapsed="false">
      <c r="C1367" s="72" t="n">
        <f aca="false">COUNTIFS($D$6:D1367,"&lt;&gt;"&amp;"")</f>
        <v>1362</v>
      </c>
      <c r="D1367" s="73" t="s">
        <v>12</v>
      </c>
      <c r="E1367" s="76" t="str">
        <f aca="false">
IF($D1367="정상",INDEX(임대자산!$D$3:$R$3000,MATCH($F1367,임대자산!$I$3:$I$3000,0),MATCH(E$3,임대자산!$D$3:$R$3,0)),
IF($D1367="폐업",INDEX(폐업정보!$D$3:$R$3000,MATCH($F1367,폐업정보!$I$3:$I$3000,0),MATCH(E$3,폐업정보!$D$3:$R$3,0)),
"Error"))</f>
        <v>서울</v>
      </c>
      <c r="F136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B1362</v>
      </c>
      <c r="G1367" s="76" t="str">
        <f aca="false">F1367&amp;RANDBETWEEN(0,10)</f>
        <v>B13623</v>
      </c>
      <c r="H1367" s="75" t="n">
        <f aca="false">
IF($D1367="정상",INDEX(임대자산!$D$3:$R$3000,MATCH($F1367,임대자산!$I$3:$I$3000,0),MATCH(H$4,임대자산!$D$3:$R$3,0)),
IF($D1367="폐업",INDEX(폐업정보!$D$3:$R$3000,MATCH($F1367,폐업정보!$I$3:$I$3000,0),MATCH(H$4,폐업정보!$D$3:$R$3,0)),
"Error"))</f>
        <v>45281</v>
      </c>
      <c r="I1367" s="75" t="str">
        <f aca="false">
IF($D1367="정상",INDEX(임대자산!$D$3:$R$3000,MATCH($F1367,임대자산!$I$3:$I$3000,0),MATCH(I$4,임대자산!$D$3:$R$3,0)),
IF($D1367="폐업",INDEX(폐업정보!$D$3:$R$3000,MATCH($F1367,폐업정보!$I$3:$I$3000,0),MATCH(I$4,폐업정보!$D$3:$R$3,0)),
"Error"))</f>
        <v>A1362</v>
      </c>
      <c r="J1367" s="75" t="str">
        <f aca="false">
IF($D1367="정상",INDEX(임대자산!$D$3:$R$3000,MATCH($F1367,임대자산!$I$3:$I$3000,0),MATCH(J$4,임대자산!$D$3:$R$3,0)),
IF($D1367="폐업",INDEX(폐업정보!$D$3:$R$3000,MATCH($F1367,폐업정보!$I$3:$I$3000,0),MATCH(J$4,폐업정보!$D$3:$R$3,0)),
"Error"))</f>
        <v>3519900000</v>
      </c>
      <c r="K1367" s="75" t="str">
        <f aca="false">
IF($D1367="정상",INDEX(임대자산!$D$3:$R$3000,MATCH($F1367,임대자산!$I$3:$I$3000,0),MATCH(K$4,임대자산!$D$3:$R$3,0)),
IF($D1367="폐업",INDEX(폐업정보!$D$3:$R$3000,MATCH($F1367,폐업정보!$I$3:$I$3000,0),MATCH(K$4,폐업정보!$D$3:$R$3,0)),
"Error"))</f>
        <v>C1362</v>
      </c>
      <c r="L1367" s="75" t="str">
        <f aca="false">
IF($D1367="정상",INDEX(임대자산!$D$3:$R$3000,MATCH($F1367,임대자산!$I$3:$I$3000,0),MATCH(L$4,임대자산!$D$3:$R$3,0)),
IF($D1367="폐업",INDEX(폐업정보!$D$3:$R$3000,MATCH($F1367,폐업정보!$I$3:$I$3000,0),MATCH(L$4,폐업정보!$D$3:$R$3,0)),
"Error"))</f>
        <v>D1362</v>
      </c>
      <c r="M1367" s="76" t="s">
        <v>96</v>
      </c>
      <c r="N1367" s="77"/>
      <c r="O1367" s="78" t="s">
        <v>97</v>
      </c>
      <c r="P1367" s="79" t="n">
        <f aca="false">COUNTIFS(임대자산!$I:$I,가맹점정보!F1367,임대자산!$N:$N,가맹점정보!P$4)</f>
        <v>0</v>
      </c>
      <c r="Q1367" s="80" t="n">
        <f aca="false">COUNTIFS(임대자산!$I:$I,가맹점정보!F1367,임대자산!$N:$N,가맹점정보!Q$4)</f>
        <v>0</v>
      </c>
      <c r="R1367" s="81" t="n">
        <f aca="false">COUNTIFS(임대자산!$I:$I,가맹점정보!F1367,임대자산!$N:$N,가맹점정보!R$4)</f>
        <v>1</v>
      </c>
      <c r="S1367" s="82" t="n">
        <v>55000</v>
      </c>
      <c r="T1367" s="83" t="n">
        <v>0</v>
      </c>
      <c r="U1367" s="80" t="n">
        <f aca="false">SUM(S1367:T1367)</f>
        <v>55000</v>
      </c>
      <c r="V1367" s="84" t="s">
        <v>7</v>
      </c>
      <c r="W1367" s="80" t="str">
        <f aca="true">
IF(D1367="폐업","폐업",
IF(V1367="면제","면제",
IF(AND(V1367="정상",COUNTIFS(OFFSET(Y1367,0,COUNTA(Y1367:AV1367)-1,1,-4),"미납")&gt;=3),"장기미납",
IF(AND(V1367="정상",OFFSET(Y1367,0,COUNTA(Y1367:AV1367)-1)&gt;=U1367),"정상",
IF(AND(V1367="정상",OFFSET(Y1367,0,COUNTA(Y1367:AV1367)-1)=0),"정상",
"계약서 미작성")))))</f>
        <v>면제</v>
      </c>
      <c r="X1367" s="81" t="str">
        <f aca="true">
IF(D1367="폐업","폐업",
IF(AND(V1367="정상",OFFSET(Y1367,0,COUNTA(Y1367:AV1367)-1)="미납"),"미납",
IF(AND(V1367="정상",OFFSET(Y1367,0,COUNTA(Y1367:AV1367)-1)=0),"납부 시작 전",
IF(AND(V1367="정상",OFFSET(Y1367,0,COUNTA(Y1367:AV1367)-1)&gt;=U1367),"정상",
IF(AND(V1367="면제",OFFSET(Y1367,0,COUNTA(Y1367:AV1367)-1)="면제"),"면제",
IF(AND(V1367="면제",OFFSET(Y1367,0,COUNTA(Y1367:AV1367)-1)=0),"면제",
"확인요청"))))))</f>
        <v>면제</v>
      </c>
      <c r="Y1367" s="94" t="s">
        <v>7</v>
      </c>
      <c r="Z1367" s="95" t="s">
        <v>7</v>
      </c>
      <c r="AA1367" s="95" t="s">
        <v>7</v>
      </c>
      <c r="AB1367" s="95" t="s">
        <v>7</v>
      </c>
      <c r="AC1367" s="95" t="s">
        <v>7</v>
      </c>
      <c r="AD1367" s="95" t="s">
        <v>7</v>
      </c>
      <c r="AE1367" s="95" t="s">
        <v>7</v>
      </c>
      <c r="AF1367" s="95" t="s">
        <v>7</v>
      </c>
      <c r="AG1367" s="95" t="s">
        <v>7</v>
      </c>
      <c r="AH1367" s="95" t="s">
        <v>7</v>
      </c>
      <c r="AI1367" s="95" t="s">
        <v>7</v>
      </c>
      <c r="AJ1367" s="96" t="s">
        <v>7</v>
      </c>
      <c r="AK1367" s="97" t="s">
        <v>7</v>
      </c>
      <c r="AL1367" s="95" t="s">
        <v>7</v>
      </c>
      <c r="AM1367" s="90"/>
      <c r="AN1367" s="90"/>
      <c r="AO1367" s="90"/>
      <c r="AP1367" s="90"/>
      <c r="AQ1367" s="90"/>
      <c r="AR1367" s="90"/>
      <c r="AS1367" s="90"/>
      <c r="AT1367" s="90"/>
      <c r="AU1367" s="90"/>
      <c r="AV1367" s="91"/>
      <c r="AX1367" s="92"/>
    </row>
    <row r="1368" customFormat="false" ht="15.65" hidden="false" customHeight="false" outlineLevel="0" collapsed="false">
      <c r="C1368" s="72" t="n">
        <f aca="false">COUNTIFS($D$6:D1368,"&lt;&gt;"&amp;"")</f>
        <v>1363</v>
      </c>
      <c r="D1368" s="73" t="s">
        <v>12</v>
      </c>
      <c r="E1368" s="76" t="str">
        <f aca="false">
IF($D1368="정상",INDEX(임대자산!$D$3:$R$3000,MATCH($F1368,임대자산!$I$3:$I$3000,0),MATCH(E$3,임대자산!$D$3:$R$3,0)),
IF($D1368="폐업",INDEX(폐업정보!$D$3:$R$3000,MATCH($F1368,폐업정보!$I$3:$I$3000,0),MATCH(E$3,폐업정보!$D$3:$R$3,0)),
"Error"))</f>
        <v>서울</v>
      </c>
      <c r="F136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B1363</v>
      </c>
      <c r="G1368" s="76" t="str">
        <f aca="false">F1368&amp;RANDBETWEEN(0,10)</f>
        <v>B13637</v>
      </c>
      <c r="H1368" s="75" t="n">
        <f aca="false">
IF($D1368="정상",INDEX(임대자산!$D$3:$R$3000,MATCH($F1368,임대자산!$I$3:$I$3000,0),MATCH(H$4,임대자산!$D$3:$R$3,0)),
IF($D1368="폐업",INDEX(폐업정보!$D$3:$R$3000,MATCH($F1368,폐업정보!$I$3:$I$3000,0),MATCH(H$4,폐업정보!$D$3:$R$3,0)),
"Error"))</f>
        <v>45847</v>
      </c>
      <c r="I1368" s="75" t="str">
        <f aca="false">
IF($D1368="정상",INDEX(임대자산!$D$3:$R$3000,MATCH($F1368,임대자산!$I$3:$I$3000,0),MATCH(I$4,임대자산!$D$3:$R$3,0)),
IF($D1368="폐업",INDEX(폐업정보!$D$3:$R$3000,MATCH($F1368,폐업정보!$I$3:$I$3000,0),MATCH(I$4,폐업정보!$D$3:$R$3,0)),
"Error"))</f>
        <v>A1363</v>
      </c>
      <c r="J1368" s="75" t="str">
        <f aca="false">
IF($D1368="정상",INDEX(임대자산!$D$3:$R$3000,MATCH($F1368,임대자산!$I$3:$I$3000,0),MATCH(J$4,임대자산!$D$3:$R$3,0)),
IF($D1368="폐업",INDEX(폐업정보!$D$3:$R$3000,MATCH($F1368,폐업정보!$I$3:$I$3000,0),MATCH(J$4,폐업정보!$D$3:$R$3,0)),
"Error"))</f>
        <v>2851600000</v>
      </c>
      <c r="K1368" s="75" t="str">
        <f aca="false">
IF($D1368="정상",INDEX(임대자산!$D$3:$R$3000,MATCH($F1368,임대자산!$I$3:$I$3000,0),MATCH(K$4,임대자산!$D$3:$R$3,0)),
IF($D1368="폐업",INDEX(폐업정보!$D$3:$R$3000,MATCH($F1368,폐업정보!$I$3:$I$3000,0),MATCH(K$4,폐업정보!$D$3:$R$3,0)),
"Error"))</f>
        <v>C1363</v>
      </c>
      <c r="L1368" s="75" t="str">
        <f aca="false">
IF($D1368="정상",INDEX(임대자산!$D$3:$R$3000,MATCH($F1368,임대자산!$I$3:$I$3000,0),MATCH(L$4,임대자산!$D$3:$R$3,0)),
IF($D1368="폐업",INDEX(폐업정보!$D$3:$R$3000,MATCH($F1368,폐업정보!$I$3:$I$3000,0),MATCH(L$4,폐업정보!$D$3:$R$3,0)),
"Error"))</f>
        <v>D1363</v>
      </c>
      <c r="M1368" s="76" t="s">
        <v>96</v>
      </c>
      <c r="N1368" s="77"/>
      <c r="O1368" s="78" t="s">
        <v>97</v>
      </c>
      <c r="P1368" s="79" t="n">
        <f aca="false">COUNTIFS(임대자산!$I:$I,가맹점정보!F1368,임대자산!$N:$N,가맹점정보!P$4)</f>
        <v>0</v>
      </c>
      <c r="Q1368" s="80" t="n">
        <f aca="false">COUNTIFS(임대자산!$I:$I,가맹점정보!F1368,임대자산!$N:$N,가맹점정보!Q$4)</f>
        <v>0</v>
      </c>
      <c r="R1368" s="81" t="n">
        <f aca="false">COUNTIFS(임대자산!$I:$I,가맹점정보!F1368,임대자산!$N:$N,가맹점정보!R$4)</f>
        <v>1</v>
      </c>
      <c r="S1368" s="82" t="n">
        <v>55000</v>
      </c>
      <c r="T1368" s="83" t="n">
        <v>0</v>
      </c>
      <c r="U1368" s="80" t="n">
        <f aca="false">SUM(S1368:T1368)</f>
        <v>55000</v>
      </c>
      <c r="V1368" s="84" t="s">
        <v>7</v>
      </c>
      <c r="W1368" s="80" t="str">
        <f aca="true">
IF(D1368="폐업","폐업",
IF(V1368="면제","면제",
IF(AND(V1368="정상",COUNTIFS(OFFSET(Y1368,0,COUNTA(Y1368:AV1368)-1,1,-4),"미납")&gt;=3),"장기미납",
IF(AND(V1368="정상",OFFSET(Y1368,0,COUNTA(Y1368:AV1368)-1)&gt;=U1368),"정상",
IF(AND(V1368="정상",OFFSET(Y1368,0,COUNTA(Y1368:AV1368)-1)=0),"정상",
"계약서 미작성")))))</f>
        <v>면제</v>
      </c>
      <c r="X1368" s="81" t="str">
        <f aca="true">
IF(D1368="폐업","폐업",
IF(AND(V1368="정상",OFFSET(Y1368,0,COUNTA(Y1368:AV1368)-1)="미납"),"미납",
IF(AND(V1368="정상",OFFSET(Y1368,0,COUNTA(Y1368:AV1368)-1)=0),"납부 시작 전",
IF(AND(V1368="정상",OFFSET(Y1368,0,COUNTA(Y1368:AV1368)-1)&gt;=U1368),"정상",
IF(AND(V1368="면제",OFFSET(Y1368,0,COUNTA(Y1368:AV1368)-1)="면제"),"면제",
IF(AND(V1368="면제",OFFSET(Y1368,0,COUNTA(Y1368:AV1368)-1)=0),"면제",
"확인요청"))))))</f>
        <v>면제</v>
      </c>
      <c r="Y1368" s="94" t="s">
        <v>7</v>
      </c>
      <c r="Z1368" s="95" t="s">
        <v>7</v>
      </c>
      <c r="AA1368" s="95" t="s">
        <v>7</v>
      </c>
      <c r="AB1368" s="95" t="s">
        <v>7</v>
      </c>
      <c r="AC1368" s="95" t="s">
        <v>7</v>
      </c>
      <c r="AD1368" s="95" t="s">
        <v>7</v>
      </c>
      <c r="AE1368" s="95" t="s">
        <v>7</v>
      </c>
      <c r="AF1368" s="95" t="s">
        <v>7</v>
      </c>
      <c r="AG1368" s="95" t="s">
        <v>7</v>
      </c>
      <c r="AH1368" s="95" t="s">
        <v>7</v>
      </c>
      <c r="AI1368" s="95" t="s">
        <v>7</v>
      </c>
      <c r="AJ1368" s="96" t="s">
        <v>7</v>
      </c>
      <c r="AK1368" s="97" t="s">
        <v>7</v>
      </c>
      <c r="AL1368" s="95" t="s">
        <v>7</v>
      </c>
      <c r="AM1368" s="90"/>
      <c r="AN1368" s="90"/>
      <c r="AO1368" s="90"/>
      <c r="AP1368" s="90"/>
      <c r="AQ1368" s="90"/>
      <c r="AR1368" s="90"/>
      <c r="AS1368" s="90"/>
      <c r="AT1368" s="90"/>
      <c r="AU1368" s="90"/>
      <c r="AV1368" s="91"/>
      <c r="AX1368" s="92"/>
    </row>
    <row r="1369" customFormat="false" ht="15.65" hidden="false" customHeight="false" outlineLevel="0" collapsed="false">
      <c r="C1369" s="72" t="n">
        <f aca="false">COUNTIFS($D$6:D1369,"&lt;&gt;"&amp;"")</f>
        <v>1364</v>
      </c>
      <c r="D1369" s="73" t="s">
        <v>12</v>
      </c>
      <c r="E1369" s="76" t="str">
        <f aca="false">
IF($D1369="정상",INDEX(임대자산!$D$3:$R$3000,MATCH($F1369,임대자산!$I$3:$I$3000,0),MATCH(E$3,임대자산!$D$3:$R$3,0)),
IF($D1369="폐업",INDEX(폐업정보!$D$3:$R$3000,MATCH($F1369,폐업정보!$I$3:$I$3000,0),MATCH(E$3,폐업정보!$D$3:$R$3,0)),
"Error"))</f>
        <v>서울</v>
      </c>
      <c r="F136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B1364</v>
      </c>
      <c r="G1369" s="76" t="str">
        <f aca="false">F1369&amp;RANDBETWEEN(0,10)</f>
        <v>B13645</v>
      </c>
      <c r="H1369" s="75" t="n">
        <f aca="false">
IF($D1369="정상",INDEX(임대자산!$D$3:$R$3000,MATCH($F1369,임대자산!$I$3:$I$3000,0),MATCH(H$4,임대자산!$D$3:$R$3,0)),
IF($D1369="폐업",INDEX(폐업정보!$D$3:$R$3000,MATCH($F1369,폐업정보!$I$3:$I$3000,0),MATCH(H$4,폐업정보!$D$3:$R$3,0)),
"Error"))</f>
        <v>45957</v>
      </c>
      <c r="I1369" s="75" t="str">
        <f aca="false">
IF($D1369="정상",INDEX(임대자산!$D$3:$R$3000,MATCH($F1369,임대자산!$I$3:$I$3000,0),MATCH(I$4,임대자산!$D$3:$R$3,0)),
IF($D1369="폐업",INDEX(폐업정보!$D$3:$R$3000,MATCH($F1369,폐업정보!$I$3:$I$3000,0),MATCH(I$4,폐업정보!$D$3:$R$3,0)),
"Error"))</f>
        <v>A1364</v>
      </c>
      <c r="J1369" s="75" t="str">
        <f aca="false">
IF($D1369="정상",INDEX(임대자산!$D$3:$R$3000,MATCH($F1369,임대자산!$I$3:$I$3000,0),MATCH(J$4,임대자산!$D$3:$R$3,0)),
IF($D1369="폐업",INDEX(폐업정보!$D$3:$R$3000,MATCH($F1369,폐업정보!$I$3:$I$3000,0),MATCH(J$4,폐업정보!$D$3:$R$3,0)),
"Error"))</f>
        <v>2758700000</v>
      </c>
      <c r="K1369" s="75" t="str">
        <f aca="false">
IF($D1369="정상",INDEX(임대자산!$D$3:$R$3000,MATCH($F1369,임대자산!$I$3:$I$3000,0),MATCH(K$4,임대자산!$D$3:$R$3,0)),
IF($D1369="폐업",INDEX(폐업정보!$D$3:$R$3000,MATCH($F1369,폐업정보!$I$3:$I$3000,0),MATCH(K$4,폐업정보!$D$3:$R$3,0)),
"Error"))</f>
        <v>C1364</v>
      </c>
      <c r="L1369" s="75" t="str">
        <f aca="false">
IF($D1369="정상",INDEX(임대자산!$D$3:$R$3000,MATCH($F1369,임대자산!$I$3:$I$3000,0),MATCH(L$4,임대자산!$D$3:$R$3,0)),
IF($D1369="폐업",INDEX(폐업정보!$D$3:$R$3000,MATCH($F1369,폐업정보!$I$3:$I$3000,0),MATCH(L$4,폐업정보!$D$3:$R$3,0)),
"Error"))</f>
        <v>D1364</v>
      </c>
      <c r="M1369" s="76" t="s">
        <v>96</v>
      </c>
      <c r="N1369" s="77"/>
      <c r="O1369" s="78" t="s">
        <v>97</v>
      </c>
      <c r="P1369" s="79" t="n">
        <f aca="false">COUNTIFS(임대자산!$I:$I,가맹점정보!F1369,임대자산!$N:$N,가맹점정보!P$4)</f>
        <v>0</v>
      </c>
      <c r="Q1369" s="80" t="n">
        <f aca="false">COUNTIFS(임대자산!$I:$I,가맹점정보!F1369,임대자산!$N:$N,가맹점정보!Q$4)</f>
        <v>0</v>
      </c>
      <c r="R1369" s="81" t="n">
        <f aca="false">COUNTIFS(임대자산!$I:$I,가맹점정보!F1369,임대자산!$N:$N,가맹점정보!R$4)</f>
        <v>1</v>
      </c>
      <c r="S1369" s="82" t="n">
        <v>55000</v>
      </c>
      <c r="T1369" s="83" t="n">
        <v>0</v>
      </c>
      <c r="U1369" s="80" t="n">
        <f aca="false">SUM(S1369:T1369)</f>
        <v>55000</v>
      </c>
      <c r="V1369" s="84" t="s">
        <v>7</v>
      </c>
      <c r="W1369" s="80" t="str">
        <f aca="true">
IF(D1369="폐업","폐업",
IF(V1369="면제","면제",
IF(AND(V1369="정상",COUNTIFS(OFFSET(Y1369,0,COUNTA(Y1369:AV1369)-1,1,-4),"미납")&gt;=3),"장기미납",
IF(AND(V1369="정상",OFFSET(Y1369,0,COUNTA(Y1369:AV1369)-1)&gt;=U1369),"정상",
IF(AND(V1369="정상",OFFSET(Y1369,0,COUNTA(Y1369:AV1369)-1)=0),"정상",
"계약서 미작성")))))</f>
        <v>면제</v>
      </c>
      <c r="X1369" s="81" t="str">
        <f aca="true">
IF(D1369="폐업","폐업",
IF(AND(V1369="정상",OFFSET(Y1369,0,COUNTA(Y1369:AV1369)-1)="미납"),"미납",
IF(AND(V1369="정상",OFFSET(Y1369,0,COUNTA(Y1369:AV1369)-1)=0),"납부 시작 전",
IF(AND(V1369="정상",OFFSET(Y1369,0,COUNTA(Y1369:AV1369)-1)&gt;=U1369),"정상",
IF(AND(V1369="면제",OFFSET(Y1369,0,COUNTA(Y1369:AV1369)-1)="면제"),"면제",
IF(AND(V1369="면제",OFFSET(Y1369,0,COUNTA(Y1369:AV1369)-1)=0),"면제",
"확인요청"))))))</f>
        <v>면제</v>
      </c>
      <c r="Y1369" s="94" t="s">
        <v>7</v>
      </c>
      <c r="Z1369" s="95" t="s">
        <v>7</v>
      </c>
      <c r="AA1369" s="95" t="s">
        <v>7</v>
      </c>
      <c r="AB1369" s="95" t="s">
        <v>7</v>
      </c>
      <c r="AC1369" s="95" t="s">
        <v>7</v>
      </c>
      <c r="AD1369" s="95" t="s">
        <v>7</v>
      </c>
      <c r="AE1369" s="95" t="s">
        <v>7</v>
      </c>
      <c r="AF1369" s="95" t="s">
        <v>7</v>
      </c>
      <c r="AG1369" s="95" t="s">
        <v>7</v>
      </c>
      <c r="AH1369" s="95" t="s">
        <v>7</v>
      </c>
      <c r="AI1369" s="95" t="s">
        <v>7</v>
      </c>
      <c r="AJ1369" s="96" t="s">
        <v>7</v>
      </c>
      <c r="AK1369" s="97" t="s">
        <v>7</v>
      </c>
      <c r="AL1369" s="95" t="s">
        <v>7</v>
      </c>
      <c r="AM1369" s="90"/>
      <c r="AN1369" s="90"/>
      <c r="AO1369" s="90"/>
      <c r="AP1369" s="90"/>
      <c r="AQ1369" s="90"/>
      <c r="AR1369" s="90"/>
      <c r="AS1369" s="90"/>
      <c r="AT1369" s="90"/>
      <c r="AU1369" s="90"/>
      <c r="AV1369" s="91"/>
      <c r="AX1369" s="92"/>
    </row>
    <row r="1370" customFormat="false" ht="15.65" hidden="false" customHeight="false" outlineLevel="0" collapsed="false">
      <c r="C1370" s="72" t="n">
        <f aca="false">COUNTIFS($D$6:D1370,"&lt;&gt;"&amp;"")</f>
        <v>1365</v>
      </c>
      <c r="D1370" s="73" t="s">
        <v>12</v>
      </c>
      <c r="E1370" s="76" t="str">
        <f aca="false">
IF($D1370="정상",INDEX(임대자산!$D$3:$R$3000,MATCH($F1370,임대자산!$I$3:$I$3000,0),MATCH(E$3,임대자산!$D$3:$R$3,0)),
IF($D1370="폐업",INDEX(폐업정보!$D$3:$R$3000,MATCH($F1370,폐업정보!$I$3:$I$3000,0),MATCH(E$3,폐업정보!$D$3:$R$3,0)),
"Error"))</f>
        <v>경상</v>
      </c>
      <c r="F137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B1365</v>
      </c>
      <c r="G1370" s="76" t="str">
        <f aca="false">F1370&amp;RANDBETWEEN(0,10)</f>
        <v>B13659</v>
      </c>
      <c r="H1370" s="75" t="n">
        <f aca="false">
IF($D1370="정상",INDEX(임대자산!$D$3:$R$3000,MATCH($F1370,임대자산!$I$3:$I$3000,0),MATCH(H$4,임대자산!$D$3:$R$3,0)),
IF($D1370="폐업",INDEX(폐업정보!$D$3:$R$3000,MATCH($F1370,폐업정보!$I$3:$I$3000,0),MATCH(H$4,폐업정보!$D$3:$R$3,0)),
"Error"))</f>
        <v>45317</v>
      </c>
      <c r="I1370" s="75" t="str">
        <f aca="false">
IF($D1370="정상",INDEX(임대자산!$D$3:$R$3000,MATCH($F1370,임대자산!$I$3:$I$3000,0),MATCH(I$4,임대자산!$D$3:$R$3,0)),
IF($D1370="폐업",INDEX(폐업정보!$D$3:$R$3000,MATCH($F1370,폐업정보!$I$3:$I$3000,0),MATCH(I$4,폐업정보!$D$3:$R$3,0)),
"Error"))</f>
        <v>A1365</v>
      </c>
      <c r="J1370" s="75" t="str">
        <f aca="false">
IF($D1370="정상",INDEX(임대자산!$D$3:$R$3000,MATCH($F1370,임대자산!$I$3:$I$3000,0),MATCH(J$4,임대자산!$D$3:$R$3,0)),
IF($D1370="폐업",INDEX(폐업정보!$D$3:$R$3000,MATCH($F1370,폐업정보!$I$3:$I$3000,0),MATCH(J$4,폐업정보!$D$3:$R$3,0)),
"Error"))</f>
        <v>9351700000</v>
      </c>
      <c r="K1370" s="75" t="str">
        <f aca="false">
IF($D1370="정상",INDEX(임대자산!$D$3:$R$3000,MATCH($F1370,임대자산!$I$3:$I$3000,0),MATCH(K$4,임대자산!$D$3:$R$3,0)),
IF($D1370="폐업",INDEX(폐업정보!$D$3:$R$3000,MATCH($F1370,폐업정보!$I$3:$I$3000,0),MATCH(K$4,폐업정보!$D$3:$R$3,0)),
"Error"))</f>
        <v>C1365</v>
      </c>
      <c r="L1370" s="75" t="str">
        <f aca="false">
IF($D1370="정상",INDEX(임대자산!$D$3:$R$3000,MATCH($F1370,임대자산!$I$3:$I$3000,0),MATCH(L$4,임대자산!$D$3:$R$3,0)),
IF($D1370="폐업",INDEX(폐업정보!$D$3:$R$3000,MATCH($F1370,폐업정보!$I$3:$I$3000,0),MATCH(L$4,폐업정보!$D$3:$R$3,0)),
"Error"))</f>
        <v>D1365</v>
      </c>
      <c r="M1370" s="76" t="s">
        <v>96</v>
      </c>
      <c r="N1370" s="77"/>
      <c r="O1370" s="78" t="s">
        <v>97</v>
      </c>
      <c r="P1370" s="79" t="n">
        <f aca="false">COUNTIFS(임대자산!$I:$I,가맹점정보!F1370,임대자산!$N:$N,가맹점정보!P$4)</f>
        <v>0</v>
      </c>
      <c r="Q1370" s="80" t="n">
        <f aca="false">COUNTIFS(임대자산!$I:$I,가맹점정보!F1370,임대자산!$N:$N,가맹점정보!Q$4)</f>
        <v>0</v>
      </c>
      <c r="R1370" s="81" t="n">
        <f aca="false">COUNTIFS(임대자산!$I:$I,가맹점정보!F1370,임대자산!$N:$N,가맹점정보!R$4)</f>
        <v>1</v>
      </c>
      <c r="S1370" s="82" t="n">
        <v>55000</v>
      </c>
      <c r="T1370" s="83" t="n">
        <v>0</v>
      </c>
      <c r="U1370" s="80" t="n">
        <f aca="false">SUM(S1370:T1370)</f>
        <v>55000</v>
      </c>
      <c r="V1370" s="84" t="s">
        <v>7</v>
      </c>
      <c r="W1370" s="80" t="str">
        <f aca="true">
IF(D1370="폐업","폐업",
IF(V1370="면제","면제",
IF(AND(V1370="정상",COUNTIFS(OFFSET(Y1370,0,COUNTA(Y1370:AV1370)-1,1,-4),"미납")&gt;=3),"장기미납",
IF(AND(V1370="정상",OFFSET(Y1370,0,COUNTA(Y1370:AV1370)-1)&gt;=U1370),"정상",
IF(AND(V1370="정상",OFFSET(Y1370,0,COUNTA(Y1370:AV1370)-1)=0),"정상",
"계약서 미작성")))))</f>
        <v>면제</v>
      </c>
      <c r="X1370" s="81" t="str">
        <f aca="true">
IF(D1370="폐업","폐업",
IF(AND(V1370="정상",OFFSET(Y1370,0,COUNTA(Y1370:AV1370)-1)="미납"),"미납",
IF(AND(V1370="정상",OFFSET(Y1370,0,COUNTA(Y1370:AV1370)-1)=0),"납부 시작 전",
IF(AND(V1370="정상",OFFSET(Y1370,0,COUNTA(Y1370:AV1370)-1)&gt;=U1370),"정상",
IF(AND(V1370="면제",OFFSET(Y1370,0,COUNTA(Y1370:AV1370)-1)="면제"),"면제",
IF(AND(V1370="면제",OFFSET(Y1370,0,COUNTA(Y1370:AV1370)-1)=0),"면제",
"확인요청"))))))</f>
        <v>면제</v>
      </c>
      <c r="Y1370" s="94" t="s">
        <v>7</v>
      </c>
      <c r="Z1370" s="95" t="s">
        <v>7</v>
      </c>
      <c r="AA1370" s="95" t="s">
        <v>7</v>
      </c>
      <c r="AB1370" s="95" t="s">
        <v>7</v>
      </c>
      <c r="AC1370" s="95" t="s">
        <v>7</v>
      </c>
      <c r="AD1370" s="95" t="s">
        <v>7</v>
      </c>
      <c r="AE1370" s="95" t="s">
        <v>7</v>
      </c>
      <c r="AF1370" s="95" t="s">
        <v>7</v>
      </c>
      <c r="AG1370" s="95" t="s">
        <v>7</v>
      </c>
      <c r="AH1370" s="95" t="s">
        <v>7</v>
      </c>
      <c r="AI1370" s="95" t="s">
        <v>7</v>
      </c>
      <c r="AJ1370" s="96" t="s">
        <v>7</v>
      </c>
      <c r="AK1370" s="97" t="s">
        <v>7</v>
      </c>
      <c r="AL1370" s="95" t="s">
        <v>7</v>
      </c>
      <c r="AM1370" s="90"/>
      <c r="AN1370" s="90"/>
      <c r="AO1370" s="90"/>
      <c r="AP1370" s="90"/>
      <c r="AQ1370" s="90"/>
      <c r="AR1370" s="90"/>
      <c r="AS1370" s="90"/>
      <c r="AT1370" s="90"/>
      <c r="AU1370" s="90"/>
      <c r="AV1370" s="91"/>
      <c r="AX1370" s="92"/>
    </row>
    <row r="1371" customFormat="false" ht="15.65" hidden="false" customHeight="false" outlineLevel="0" collapsed="false">
      <c r="C1371" s="72" t="n">
        <f aca="false">COUNTIFS($D$6:D1371,"&lt;&gt;"&amp;"")</f>
        <v>1366</v>
      </c>
      <c r="D1371" s="73" t="s">
        <v>12</v>
      </c>
      <c r="E1371" s="76" t="str">
        <f aca="false">
IF($D1371="정상",INDEX(임대자산!$D$3:$R$3000,MATCH($F1371,임대자산!$I$3:$I$3000,0),MATCH(E$3,임대자산!$D$3:$R$3,0)),
IF($D1371="폐업",INDEX(폐업정보!$D$3:$R$3000,MATCH($F1371,폐업정보!$I$3:$I$3000,0),MATCH(E$3,폐업정보!$D$3:$R$3,0)),
"Error"))</f>
        <v>서울</v>
      </c>
      <c r="F137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B1366</v>
      </c>
      <c r="G1371" s="76" t="str">
        <f aca="false">F1371&amp;RANDBETWEEN(0,10)</f>
        <v>B13669</v>
      </c>
      <c r="H1371" s="75" t="n">
        <f aca="false">
IF($D1371="정상",INDEX(임대자산!$D$3:$R$3000,MATCH($F1371,임대자산!$I$3:$I$3000,0),MATCH(H$4,임대자산!$D$3:$R$3,0)),
IF($D1371="폐업",INDEX(폐업정보!$D$3:$R$3000,MATCH($F1371,폐업정보!$I$3:$I$3000,0),MATCH(H$4,폐업정보!$D$3:$R$3,0)),
"Error"))</f>
        <v>46062</v>
      </c>
      <c r="I1371" s="75" t="str">
        <f aca="false">
IF($D1371="정상",INDEX(임대자산!$D$3:$R$3000,MATCH($F1371,임대자산!$I$3:$I$3000,0),MATCH(I$4,임대자산!$D$3:$R$3,0)),
IF($D1371="폐업",INDEX(폐업정보!$D$3:$R$3000,MATCH($F1371,폐업정보!$I$3:$I$3000,0),MATCH(I$4,폐업정보!$D$3:$R$3,0)),
"Error"))</f>
        <v>A1366</v>
      </c>
      <c r="J1371" s="75" t="str">
        <f aca="false">
IF($D1371="정상",INDEX(임대자산!$D$3:$R$3000,MATCH($F1371,임대자산!$I$3:$I$3000,0),MATCH(J$4,임대자산!$D$3:$R$3,0)),
IF($D1371="폐업",INDEX(폐업정보!$D$3:$R$3000,MATCH($F1371,폐업정보!$I$3:$I$3000,0),MATCH(J$4,폐업정보!$D$3:$R$3,0)),
"Error"))</f>
        <v>4274900000</v>
      </c>
      <c r="K1371" s="75" t="str">
        <f aca="false">
IF($D1371="정상",INDEX(임대자산!$D$3:$R$3000,MATCH($F1371,임대자산!$I$3:$I$3000,0),MATCH(K$4,임대자산!$D$3:$R$3,0)),
IF($D1371="폐업",INDEX(폐업정보!$D$3:$R$3000,MATCH($F1371,폐업정보!$I$3:$I$3000,0),MATCH(K$4,폐업정보!$D$3:$R$3,0)),
"Error"))</f>
        <v>C1366</v>
      </c>
      <c r="L1371" s="75" t="str">
        <f aca="false">
IF($D1371="정상",INDEX(임대자산!$D$3:$R$3000,MATCH($F1371,임대자산!$I$3:$I$3000,0),MATCH(L$4,임대자산!$D$3:$R$3,0)),
IF($D1371="폐업",INDEX(폐업정보!$D$3:$R$3000,MATCH($F1371,폐업정보!$I$3:$I$3000,0),MATCH(L$4,폐업정보!$D$3:$R$3,0)),
"Error"))</f>
        <v>D1366</v>
      </c>
      <c r="M1371" s="76" t="s">
        <v>96</v>
      </c>
      <c r="N1371" s="77"/>
      <c r="O1371" s="78" t="s">
        <v>97</v>
      </c>
      <c r="P1371" s="79" t="n">
        <f aca="false">COUNTIFS(임대자산!$I:$I,가맹점정보!F1371,임대자산!$N:$N,가맹점정보!P$4)</f>
        <v>0</v>
      </c>
      <c r="Q1371" s="80" t="n">
        <f aca="false">COUNTIFS(임대자산!$I:$I,가맹점정보!F1371,임대자산!$N:$N,가맹점정보!Q$4)</f>
        <v>0</v>
      </c>
      <c r="R1371" s="81" t="n">
        <f aca="false">COUNTIFS(임대자산!$I:$I,가맹점정보!F1371,임대자산!$N:$N,가맹점정보!R$4)</f>
        <v>1</v>
      </c>
      <c r="S1371" s="82" t="n">
        <v>55000</v>
      </c>
      <c r="T1371" s="83" t="n">
        <v>0</v>
      </c>
      <c r="U1371" s="80" t="n">
        <f aca="false">SUM(S1371:T1371)</f>
        <v>55000</v>
      </c>
      <c r="V1371" s="84" t="s">
        <v>12</v>
      </c>
      <c r="W1371" s="80" t="e">
        <f aca="true">
IF(D1371="폐업","폐업",
IF(V1371="면제","면제",
IF(AND(V1371="정상",COUNTIFS(OFFSET(Y1371,0,COUNTA(Y1371:AV1371)-1,1,-4),"미납")&gt;=3),"장기미납",
IF(AND(V1371="정상",OFFSET(Y1371,0,COUNTA(Y1371:AV1371)-1)&gt;=U1371),"정상",
IF(AND(V1371="정상",OFFSET(Y1371,0,COUNTA(Y1371:AV1371)-1)=0),"정상",
"계약서 미작성")))))</f>
        <v>#VALUE!</v>
      </c>
      <c r="X1371" s="81" t="str">
        <f aca="true">
IF(D1371="폐업","폐업",
IF(AND(V1371="정상",OFFSET(Y1371,0,COUNTA(Y1371:AV1371)-1)="미납"),"미납",
IF(AND(V1371="정상",OFFSET(Y1371,0,COUNTA(Y1371:AV1371)-1)=0),"납부 시작 전",
IF(AND(V1371="정상",OFFSET(Y1371,0,COUNTA(Y1371:AV1371)-1)&gt;=U1371),"정상",
IF(AND(V1371="면제",OFFSET(Y1371,0,COUNTA(Y1371:AV1371)-1)="면제"),"면제",
IF(AND(V1371="면제",OFFSET(Y1371,0,COUNTA(Y1371:AV1371)-1)=0),"면제",
"확인요청"))))))</f>
        <v>정상</v>
      </c>
      <c r="Y1371" s="93" t="n">
        <v>55000</v>
      </c>
      <c r="Z1371" s="90" t="n">
        <v>55000</v>
      </c>
      <c r="AA1371" s="90" t="n">
        <v>55000</v>
      </c>
      <c r="AB1371" s="90" t="n">
        <v>55000</v>
      </c>
      <c r="AC1371" s="90" t="n">
        <v>55000</v>
      </c>
      <c r="AD1371" s="90" t="n">
        <v>55000</v>
      </c>
      <c r="AE1371" s="90" t="n">
        <v>55000</v>
      </c>
      <c r="AF1371" s="90" t="n">
        <v>55000</v>
      </c>
      <c r="AG1371" s="90" t="n">
        <v>55000</v>
      </c>
      <c r="AH1371" s="90" t="n">
        <v>55000</v>
      </c>
      <c r="AI1371" s="90" t="n">
        <v>55000</v>
      </c>
      <c r="AJ1371" s="91" t="n">
        <v>55000</v>
      </c>
      <c r="AK1371" s="89" t="n">
        <v>55000</v>
      </c>
      <c r="AL1371" s="90" t="n">
        <v>55000</v>
      </c>
      <c r="AM1371" s="90"/>
      <c r="AN1371" s="90"/>
      <c r="AO1371" s="90"/>
      <c r="AP1371" s="90"/>
      <c r="AQ1371" s="90"/>
      <c r="AR1371" s="90"/>
      <c r="AS1371" s="90"/>
      <c r="AT1371" s="90"/>
      <c r="AU1371" s="90"/>
      <c r="AV1371" s="91"/>
      <c r="AX1371" s="92"/>
    </row>
    <row r="1372" customFormat="false" ht="15.65" hidden="false" customHeight="false" outlineLevel="0" collapsed="false">
      <c r="C1372" s="72" t="n">
        <f aca="false">COUNTIFS($D$6:D1372,"&lt;&gt;"&amp;"")</f>
        <v>1367</v>
      </c>
      <c r="D1372" s="73" t="s">
        <v>12</v>
      </c>
      <c r="E1372" s="76" t="str">
        <f aca="false">
IF($D1372="정상",INDEX(임대자산!$D$3:$R$3000,MATCH($F1372,임대자산!$I$3:$I$3000,0),MATCH(E$3,임대자산!$D$3:$R$3,0)),
IF($D1372="폐업",INDEX(폐업정보!$D$3:$R$3000,MATCH($F1372,폐업정보!$I$3:$I$3000,0),MATCH(E$3,폐업정보!$D$3:$R$3,0)),
"Error"))</f>
        <v>강원</v>
      </c>
      <c r="F137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B1367</v>
      </c>
      <c r="G1372" s="76" t="str">
        <f aca="false">F1372&amp;RANDBETWEEN(0,10)</f>
        <v>B13676</v>
      </c>
      <c r="H1372" s="75" t="n">
        <f aca="false">
IF($D1372="정상",INDEX(임대자산!$D$3:$R$3000,MATCH($F1372,임대자산!$I$3:$I$3000,0),MATCH(H$4,임대자산!$D$3:$R$3,0)),
IF($D1372="폐업",INDEX(폐업정보!$D$3:$R$3000,MATCH($F1372,폐업정보!$I$3:$I$3000,0),MATCH(H$4,폐업정보!$D$3:$R$3,0)),
"Error"))</f>
        <v>45904</v>
      </c>
      <c r="I1372" s="75" t="str">
        <f aca="false">
IF($D1372="정상",INDEX(임대자산!$D$3:$R$3000,MATCH($F1372,임대자산!$I$3:$I$3000,0),MATCH(I$4,임대자산!$D$3:$R$3,0)),
IF($D1372="폐업",INDEX(폐업정보!$D$3:$R$3000,MATCH($F1372,폐업정보!$I$3:$I$3000,0),MATCH(I$4,폐업정보!$D$3:$R$3,0)),
"Error"))</f>
        <v>A1367</v>
      </c>
      <c r="J1372" s="75" t="str">
        <f aca="false">
IF($D1372="정상",INDEX(임대자산!$D$3:$R$3000,MATCH($F1372,임대자산!$I$3:$I$3000,0),MATCH(J$4,임대자산!$D$3:$R$3,0)),
IF($D1372="폐업",INDEX(폐업정보!$D$3:$R$3000,MATCH($F1372,폐업정보!$I$3:$I$3000,0),MATCH(J$4,폐업정보!$D$3:$R$3,0)),
"Error"))</f>
        <v>3282100000</v>
      </c>
      <c r="K1372" s="75" t="str">
        <f aca="false">
IF($D1372="정상",INDEX(임대자산!$D$3:$R$3000,MATCH($F1372,임대자산!$I$3:$I$3000,0),MATCH(K$4,임대자산!$D$3:$R$3,0)),
IF($D1372="폐업",INDEX(폐업정보!$D$3:$R$3000,MATCH($F1372,폐업정보!$I$3:$I$3000,0),MATCH(K$4,폐업정보!$D$3:$R$3,0)),
"Error"))</f>
        <v>C1367</v>
      </c>
      <c r="L1372" s="75" t="str">
        <f aca="false">
IF($D1372="정상",INDEX(임대자산!$D$3:$R$3000,MATCH($F1372,임대자산!$I$3:$I$3000,0),MATCH(L$4,임대자산!$D$3:$R$3,0)),
IF($D1372="폐업",INDEX(폐업정보!$D$3:$R$3000,MATCH($F1372,폐업정보!$I$3:$I$3000,0),MATCH(L$4,폐업정보!$D$3:$R$3,0)),
"Error"))</f>
        <v>D1367</v>
      </c>
      <c r="M1372" s="76" t="s">
        <v>96</v>
      </c>
      <c r="N1372" s="77"/>
      <c r="O1372" s="78" t="s">
        <v>97</v>
      </c>
      <c r="P1372" s="79" t="n">
        <f aca="false">COUNTIFS(임대자산!$I:$I,가맹점정보!F1372,임대자산!$N:$N,가맹점정보!P$4)</f>
        <v>0</v>
      </c>
      <c r="Q1372" s="80" t="n">
        <f aca="false">COUNTIFS(임대자산!$I:$I,가맹점정보!F1372,임대자산!$N:$N,가맹점정보!Q$4)</f>
        <v>0</v>
      </c>
      <c r="R1372" s="81" t="n">
        <f aca="false">COUNTIFS(임대자산!$I:$I,가맹점정보!F1372,임대자산!$N:$N,가맹점정보!R$4)</f>
        <v>1</v>
      </c>
      <c r="S1372" s="82" t="n">
        <v>88000</v>
      </c>
      <c r="T1372" s="83" t="n">
        <v>0</v>
      </c>
      <c r="U1372" s="80" t="n">
        <f aca="false">SUM(S1372:T1372)</f>
        <v>88000</v>
      </c>
      <c r="V1372" s="84" t="s">
        <v>7</v>
      </c>
      <c r="W1372" s="80" t="str">
        <f aca="true">
IF(D1372="폐업","폐업",
IF(V1372="면제","면제",
IF(AND(V1372="정상",COUNTIFS(OFFSET(Y1372,0,COUNTA(Y1372:AV1372)-1,1,-4),"미납")&gt;=3),"장기미납",
IF(AND(V1372="정상",OFFSET(Y1372,0,COUNTA(Y1372:AV1372)-1)&gt;=U1372),"정상",
IF(AND(V1372="정상",OFFSET(Y1372,0,COUNTA(Y1372:AV1372)-1)=0),"정상",
"계약서 미작성")))))</f>
        <v>면제</v>
      </c>
      <c r="X1372" s="81" t="str">
        <f aca="true">
IF(D1372="폐업","폐업",
IF(AND(V1372="정상",OFFSET(Y1372,0,COUNTA(Y1372:AV1372)-1)="미납"),"미납",
IF(AND(V1372="정상",OFFSET(Y1372,0,COUNTA(Y1372:AV1372)-1)=0),"납부 시작 전",
IF(AND(V1372="정상",OFFSET(Y1372,0,COUNTA(Y1372:AV1372)-1)&gt;=U1372),"정상",
IF(AND(V1372="면제",OFFSET(Y1372,0,COUNTA(Y1372:AV1372)-1)="면제"),"면제",
IF(AND(V1372="면제",OFFSET(Y1372,0,COUNTA(Y1372:AV1372)-1)=0),"면제",
"확인요청"))))))</f>
        <v>면제</v>
      </c>
      <c r="Y1372" s="94" t="s">
        <v>7</v>
      </c>
      <c r="Z1372" s="95" t="s">
        <v>7</v>
      </c>
      <c r="AA1372" s="95" t="s">
        <v>7</v>
      </c>
      <c r="AB1372" s="95" t="s">
        <v>7</v>
      </c>
      <c r="AC1372" s="95" t="s">
        <v>7</v>
      </c>
      <c r="AD1372" s="95" t="s">
        <v>7</v>
      </c>
      <c r="AE1372" s="95" t="s">
        <v>7</v>
      </c>
      <c r="AF1372" s="95" t="s">
        <v>7</v>
      </c>
      <c r="AG1372" s="95" t="s">
        <v>7</v>
      </c>
      <c r="AH1372" s="95" t="s">
        <v>7</v>
      </c>
      <c r="AI1372" s="95" t="s">
        <v>7</v>
      </c>
      <c r="AJ1372" s="96" t="s">
        <v>7</v>
      </c>
      <c r="AK1372" s="97" t="s">
        <v>7</v>
      </c>
      <c r="AL1372" s="95" t="s">
        <v>7</v>
      </c>
      <c r="AM1372" s="90"/>
      <c r="AN1372" s="90"/>
      <c r="AO1372" s="90"/>
      <c r="AP1372" s="90"/>
      <c r="AQ1372" s="90"/>
      <c r="AR1372" s="90"/>
      <c r="AS1372" s="90"/>
      <c r="AT1372" s="90"/>
      <c r="AU1372" s="90"/>
      <c r="AV1372" s="91"/>
      <c r="AX1372" s="92"/>
    </row>
    <row r="1373" customFormat="false" ht="15.65" hidden="false" customHeight="false" outlineLevel="0" collapsed="false">
      <c r="C1373" s="72" t="n">
        <f aca="false">COUNTIFS($D$6:D1373,"&lt;&gt;"&amp;"")</f>
        <v>1368</v>
      </c>
      <c r="D1373" s="73" t="s">
        <v>12</v>
      </c>
      <c r="E1373" s="76" t="str">
        <f aca="false">
IF($D1373="정상",INDEX(임대자산!$D$3:$R$3000,MATCH($F1373,임대자산!$I$3:$I$3000,0),MATCH(E$3,임대자산!$D$3:$R$3,0)),
IF($D1373="폐업",INDEX(폐업정보!$D$3:$R$3000,MATCH($F1373,폐업정보!$I$3:$I$3000,0),MATCH(E$3,폐업정보!$D$3:$R$3,0)),
"Error"))</f>
        <v>서울</v>
      </c>
      <c r="F137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B1368</v>
      </c>
      <c r="G1373" s="76" t="str">
        <f aca="false">F1373&amp;RANDBETWEEN(0,10)</f>
        <v>B13686</v>
      </c>
      <c r="H1373" s="75" t="n">
        <f aca="false">
IF($D1373="정상",INDEX(임대자산!$D$3:$R$3000,MATCH($F1373,임대자산!$I$3:$I$3000,0),MATCH(H$4,임대자산!$D$3:$R$3,0)),
IF($D1373="폐업",INDEX(폐업정보!$D$3:$R$3000,MATCH($F1373,폐업정보!$I$3:$I$3000,0),MATCH(H$4,폐업정보!$D$3:$R$3,0)),
"Error"))</f>
        <v>45307</v>
      </c>
      <c r="I1373" s="75" t="str">
        <f aca="false">
IF($D1373="정상",INDEX(임대자산!$D$3:$R$3000,MATCH($F1373,임대자산!$I$3:$I$3000,0),MATCH(I$4,임대자산!$D$3:$R$3,0)),
IF($D1373="폐업",INDEX(폐업정보!$D$3:$R$3000,MATCH($F1373,폐업정보!$I$3:$I$3000,0),MATCH(I$4,폐업정보!$D$3:$R$3,0)),
"Error"))</f>
        <v>A1368</v>
      </c>
      <c r="J1373" s="75" t="str">
        <f aca="false">
IF($D1373="정상",INDEX(임대자산!$D$3:$R$3000,MATCH($F1373,임대자산!$I$3:$I$3000,0),MATCH(J$4,임대자산!$D$3:$R$3,0)),
IF($D1373="폐업",INDEX(폐업정보!$D$3:$R$3000,MATCH($F1373,폐업정보!$I$3:$I$3000,0),MATCH(J$4,폐업정보!$D$3:$R$3,0)),
"Error"))</f>
        <v>4535800000</v>
      </c>
      <c r="K1373" s="75" t="str">
        <f aca="false">
IF($D1373="정상",INDEX(임대자산!$D$3:$R$3000,MATCH($F1373,임대자산!$I$3:$I$3000,0),MATCH(K$4,임대자산!$D$3:$R$3,0)),
IF($D1373="폐업",INDEX(폐업정보!$D$3:$R$3000,MATCH($F1373,폐업정보!$I$3:$I$3000,0),MATCH(K$4,폐업정보!$D$3:$R$3,0)),
"Error"))</f>
        <v>C1368</v>
      </c>
      <c r="L1373" s="75" t="str">
        <f aca="false">
IF($D1373="정상",INDEX(임대자산!$D$3:$R$3000,MATCH($F1373,임대자산!$I$3:$I$3000,0),MATCH(L$4,임대자산!$D$3:$R$3,0)),
IF($D1373="폐업",INDEX(폐업정보!$D$3:$R$3000,MATCH($F1373,폐업정보!$I$3:$I$3000,0),MATCH(L$4,폐업정보!$D$3:$R$3,0)),
"Error"))</f>
        <v>D1368</v>
      </c>
      <c r="M1373" s="76" t="s">
        <v>96</v>
      </c>
      <c r="N1373" s="77"/>
      <c r="O1373" s="78" t="s">
        <v>97</v>
      </c>
      <c r="P1373" s="79" t="n">
        <f aca="false">COUNTIFS(임대자산!$I:$I,가맹점정보!F1373,임대자산!$N:$N,가맹점정보!P$4)</f>
        <v>0</v>
      </c>
      <c r="Q1373" s="80" t="n">
        <f aca="false">COUNTIFS(임대자산!$I:$I,가맹점정보!F1373,임대자산!$N:$N,가맹점정보!Q$4)</f>
        <v>0</v>
      </c>
      <c r="R1373" s="81" t="n">
        <f aca="false">COUNTIFS(임대자산!$I:$I,가맹점정보!F1373,임대자산!$N:$N,가맹점정보!R$4)</f>
        <v>1</v>
      </c>
      <c r="S1373" s="82" t="n">
        <v>55000</v>
      </c>
      <c r="T1373" s="83" t="n">
        <v>0</v>
      </c>
      <c r="U1373" s="80" t="n">
        <f aca="false">SUM(S1373:T1373)</f>
        <v>55000</v>
      </c>
      <c r="V1373" s="84" t="s">
        <v>7</v>
      </c>
      <c r="W1373" s="80" t="str">
        <f aca="true">
IF(D1373="폐업","폐업",
IF(V1373="면제","면제",
IF(AND(V1373="정상",COUNTIFS(OFFSET(Y1373,0,COUNTA(Y1373:AV1373)-1,1,-4),"미납")&gt;=3),"장기미납",
IF(AND(V1373="정상",OFFSET(Y1373,0,COUNTA(Y1373:AV1373)-1)&gt;=U1373),"정상",
IF(AND(V1373="정상",OFFSET(Y1373,0,COUNTA(Y1373:AV1373)-1)=0),"정상",
"계약서 미작성")))))</f>
        <v>면제</v>
      </c>
      <c r="X1373" s="81" t="str">
        <f aca="true">
IF(D1373="폐업","폐업",
IF(AND(V1373="정상",OFFSET(Y1373,0,COUNTA(Y1373:AV1373)-1)="미납"),"미납",
IF(AND(V1373="정상",OFFSET(Y1373,0,COUNTA(Y1373:AV1373)-1)=0),"납부 시작 전",
IF(AND(V1373="정상",OFFSET(Y1373,0,COUNTA(Y1373:AV1373)-1)&gt;=U1373),"정상",
IF(AND(V1373="면제",OFFSET(Y1373,0,COUNTA(Y1373:AV1373)-1)="면제"),"면제",
IF(AND(V1373="면제",OFFSET(Y1373,0,COUNTA(Y1373:AV1373)-1)=0),"면제",
"확인요청"))))))</f>
        <v>면제</v>
      </c>
      <c r="Y1373" s="93" t="n">
        <v>55000</v>
      </c>
      <c r="Z1373" s="90" t="n">
        <v>55000</v>
      </c>
      <c r="AA1373" s="90" t="n">
        <v>55000</v>
      </c>
      <c r="AB1373" s="90" t="n">
        <v>55000</v>
      </c>
      <c r="AC1373" s="90" t="n">
        <v>55000</v>
      </c>
      <c r="AD1373" s="90" t="n">
        <v>55000</v>
      </c>
      <c r="AE1373" s="90" t="n">
        <v>55000</v>
      </c>
      <c r="AF1373" s="90" t="n">
        <v>55000</v>
      </c>
      <c r="AG1373" s="90" t="n">
        <v>55000</v>
      </c>
      <c r="AH1373" s="95" t="s">
        <v>62</v>
      </c>
      <c r="AI1373" s="95" t="s">
        <v>7</v>
      </c>
      <c r="AJ1373" s="96" t="s">
        <v>7</v>
      </c>
      <c r="AK1373" s="97" t="s">
        <v>7</v>
      </c>
      <c r="AL1373" s="95" t="s">
        <v>7</v>
      </c>
      <c r="AM1373" s="90"/>
      <c r="AN1373" s="90"/>
      <c r="AO1373" s="90"/>
      <c r="AP1373" s="90"/>
      <c r="AQ1373" s="90"/>
      <c r="AR1373" s="90"/>
      <c r="AS1373" s="90"/>
      <c r="AT1373" s="90"/>
      <c r="AU1373" s="90"/>
      <c r="AV1373" s="91"/>
      <c r="AX1373" s="92"/>
    </row>
    <row r="1374" customFormat="false" ht="15.65" hidden="false" customHeight="false" outlineLevel="0" collapsed="false">
      <c r="C1374" s="72" t="n">
        <f aca="false">COUNTIFS($D$6:D1374,"&lt;&gt;"&amp;"")</f>
        <v>1369</v>
      </c>
      <c r="D1374" s="73" t="s">
        <v>12</v>
      </c>
      <c r="E1374" s="76" t="str">
        <f aca="false">
IF($D1374="정상",INDEX(임대자산!$D$3:$R$3000,MATCH($F1374,임대자산!$I$3:$I$3000,0),MATCH(E$3,임대자산!$D$3:$R$3,0)),
IF($D1374="폐업",INDEX(폐업정보!$D$3:$R$3000,MATCH($F1374,폐업정보!$I$3:$I$3000,0),MATCH(E$3,폐업정보!$D$3:$R$3,0)),
"Error"))</f>
        <v>서울</v>
      </c>
      <c r="F137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B1369</v>
      </c>
      <c r="G1374" s="76" t="str">
        <f aca="false">F1374&amp;RANDBETWEEN(0,10)</f>
        <v>B13697</v>
      </c>
      <c r="H1374" s="75" t="n">
        <f aca="false">
IF($D1374="정상",INDEX(임대자산!$D$3:$R$3000,MATCH($F1374,임대자산!$I$3:$I$3000,0),MATCH(H$4,임대자산!$D$3:$R$3,0)),
IF($D1374="폐업",INDEX(폐업정보!$D$3:$R$3000,MATCH($F1374,폐업정보!$I$3:$I$3000,0),MATCH(H$4,폐업정보!$D$3:$R$3,0)),
"Error"))</f>
        <v>45323</v>
      </c>
      <c r="I1374" s="75" t="str">
        <f aca="false">
IF($D1374="정상",INDEX(임대자산!$D$3:$R$3000,MATCH($F1374,임대자산!$I$3:$I$3000,0),MATCH(I$4,임대자산!$D$3:$R$3,0)),
IF($D1374="폐업",INDEX(폐업정보!$D$3:$R$3000,MATCH($F1374,폐업정보!$I$3:$I$3000,0),MATCH(I$4,폐업정보!$D$3:$R$3,0)),
"Error"))</f>
        <v>A1369</v>
      </c>
      <c r="J1374" s="75" t="str">
        <f aca="false">
IF($D1374="정상",INDEX(임대자산!$D$3:$R$3000,MATCH($F1374,임대자산!$I$3:$I$3000,0),MATCH(J$4,임대자산!$D$3:$R$3,0)),
IF($D1374="폐업",INDEX(폐업정보!$D$3:$R$3000,MATCH($F1374,폐업정보!$I$3:$I$3000,0),MATCH(J$4,폐업정보!$D$3:$R$3,0)),
"Error"))</f>
        <v>7699300000</v>
      </c>
      <c r="K1374" s="75" t="str">
        <f aca="false">
IF($D1374="정상",INDEX(임대자산!$D$3:$R$3000,MATCH($F1374,임대자산!$I$3:$I$3000,0),MATCH(K$4,임대자산!$D$3:$R$3,0)),
IF($D1374="폐업",INDEX(폐업정보!$D$3:$R$3000,MATCH($F1374,폐업정보!$I$3:$I$3000,0),MATCH(K$4,폐업정보!$D$3:$R$3,0)),
"Error"))</f>
        <v>C1369</v>
      </c>
      <c r="L1374" s="75" t="str">
        <f aca="false">
IF($D1374="정상",INDEX(임대자산!$D$3:$R$3000,MATCH($F1374,임대자산!$I$3:$I$3000,0),MATCH(L$4,임대자산!$D$3:$R$3,0)),
IF($D1374="폐업",INDEX(폐업정보!$D$3:$R$3000,MATCH($F1374,폐업정보!$I$3:$I$3000,0),MATCH(L$4,폐업정보!$D$3:$R$3,0)),
"Error"))</f>
        <v>D1369</v>
      </c>
      <c r="M1374" s="76" t="s">
        <v>96</v>
      </c>
      <c r="N1374" s="77"/>
      <c r="O1374" s="78" t="s">
        <v>97</v>
      </c>
      <c r="P1374" s="79" t="n">
        <f aca="false">COUNTIFS(임대자산!$I:$I,가맹점정보!F1374,임대자산!$N:$N,가맹점정보!P$4)</f>
        <v>0</v>
      </c>
      <c r="Q1374" s="80" t="n">
        <f aca="false">COUNTIFS(임대자산!$I:$I,가맹점정보!F1374,임대자산!$N:$N,가맹점정보!Q$4)</f>
        <v>0</v>
      </c>
      <c r="R1374" s="81" t="n">
        <f aca="false">COUNTIFS(임대자산!$I:$I,가맹점정보!F1374,임대자산!$N:$N,가맹점정보!R$4)</f>
        <v>1</v>
      </c>
      <c r="S1374" s="82" t="n">
        <v>55000</v>
      </c>
      <c r="T1374" s="83" t="n">
        <v>0</v>
      </c>
      <c r="U1374" s="80" t="n">
        <f aca="false">SUM(S1374:T1374)</f>
        <v>55000</v>
      </c>
      <c r="V1374" s="84" t="s">
        <v>7</v>
      </c>
      <c r="W1374" s="80" t="str">
        <f aca="true">
IF(D1374="폐업","폐업",
IF(V1374="면제","면제",
IF(AND(V1374="정상",COUNTIFS(OFFSET(Y1374,0,COUNTA(Y1374:AV1374)-1,1,-4),"미납")&gt;=3),"장기미납",
IF(AND(V1374="정상",OFFSET(Y1374,0,COUNTA(Y1374:AV1374)-1)&gt;=U1374),"정상",
IF(AND(V1374="정상",OFFSET(Y1374,0,COUNTA(Y1374:AV1374)-1)=0),"정상",
"계약서 미작성")))))</f>
        <v>면제</v>
      </c>
      <c r="X1374" s="81" t="str">
        <f aca="true">
IF(D1374="폐업","폐업",
IF(AND(V1374="정상",OFFSET(Y1374,0,COUNTA(Y1374:AV1374)-1)="미납"),"미납",
IF(AND(V1374="정상",OFFSET(Y1374,0,COUNTA(Y1374:AV1374)-1)=0),"납부 시작 전",
IF(AND(V1374="정상",OFFSET(Y1374,0,COUNTA(Y1374:AV1374)-1)&gt;=U1374),"정상",
IF(AND(V1374="면제",OFFSET(Y1374,0,COUNTA(Y1374:AV1374)-1)="면제"),"면제",
IF(AND(V1374="면제",OFFSET(Y1374,0,COUNTA(Y1374:AV1374)-1)=0),"면제",
"확인요청"))))))</f>
        <v>면제</v>
      </c>
      <c r="Y1374" s="93" t="n">
        <v>55000</v>
      </c>
      <c r="Z1374" s="90" t="n">
        <v>55000</v>
      </c>
      <c r="AA1374" s="90" t="n">
        <v>55000</v>
      </c>
      <c r="AB1374" s="90" t="n">
        <v>55000</v>
      </c>
      <c r="AC1374" s="90" t="n">
        <v>55000</v>
      </c>
      <c r="AD1374" s="90" t="n">
        <v>55000</v>
      </c>
      <c r="AE1374" s="95" t="s">
        <v>7</v>
      </c>
      <c r="AF1374" s="95" t="s">
        <v>7</v>
      </c>
      <c r="AG1374" s="95" t="s">
        <v>7</v>
      </c>
      <c r="AH1374" s="95" t="s">
        <v>7</v>
      </c>
      <c r="AI1374" s="95" t="s">
        <v>7</v>
      </c>
      <c r="AJ1374" s="96" t="s">
        <v>7</v>
      </c>
      <c r="AK1374" s="97" t="s">
        <v>7</v>
      </c>
      <c r="AL1374" s="95" t="s">
        <v>7</v>
      </c>
      <c r="AM1374" s="90"/>
      <c r="AN1374" s="90"/>
      <c r="AO1374" s="90"/>
      <c r="AP1374" s="90"/>
      <c r="AQ1374" s="90"/>
      <c r="AR1374" s="90"/>
      <c r="AS1374" s="90"/>
      <c r="AT1374" s="90"/>
      <c r="AU1374" s="90"/>
      <c r="AV1374" s="91"/>
      <c r="AX1374" s="92"/>
    </row>
    <row r="1375" customFormat="false" ht="15.65" hidden="false" customHeight="false" outlineLevel="0" collapsed="false">
      <c r="C1375" s="72" t="n">
        <f aca="false">COUNTIFS($D$6:D1375,"&lt;&gt;"&amp;"")</f>
        <v>1370</v>
      </c>
      <c r="D1375" s="73" t="s">
        <v>12</v>
      </c>
      <c r="E1375" s="76" t="str">
        <f aca="false">
IF($D1375="정상",INDEX(임대자산!$D$3:$R$3000,MATCH($F1375,임대자산!$I$3:$I$3000,0),MATCH(E$3,임대자산!$D$3:$R$3,0)),
IF($D1375="폐업",INDEX(폐업정보!$D$3:$R$3000,MATCH($F1375,폐업정보!$I$3:$I$3000,0),MATCH(E$3,폐업정보!$D$3:$R$3,0)),
"Error"))</f>
        <v>강원</v>
      </c>
      <c r="F137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B1370</v>
      </c>
      <c r="G1375" s="76" t="str">
        <f aca="false">F1375&amp;RANDBETWEEN(0,10)</f>
        <v>B13707</v>
      </c>
      <c r="H1375" s="75" t="n">
        <f aca="false">
IF($D1375="정상",INDEX(임대자산!$D$3:$R$3000,MATCH($F1375,임대자산!$I$3:$I$3000,0),MATCH(H$4,임대자산!$D$3:$R$3,0)),
IF($D1375="폐업",INDEX(폐업정보!$D$3:$R$3000,MATCH($F1375,폐업정보!$I$3:$I$3000,0),MATCH(H$4,폐업정보!$D$3:$R$3,0)),
"Error"))</f>
        <v>45764</v>
      </c>
      <c r="I1375" s="75" t="str">
        <f aca="false">
IF($D1375="정상",INDEX(임대자산!$D$3:$R$3000,MATCH($F1375,임대자산!$I$3:$I$3000,0),MATCH(I$4,임대자산!$D$3:$R$3,0)),
IF($D1375="폐업",INDEX(폐업정보!$D$3:$R$3000,MATCH($F1375,폐업정보!$I$3:$I$3000,0),MATCH(I$4,폐업정보!$D$3:$R$3,0)),
"Error"))</f>
        <v>A1370</v>
      </c>
      <c r="J1375" s="75" t="str">
        <f aca="false">
IF($D1375="정상",INDEX(임대자산!$D$3:$R$3000,MATCH($F1375,임대자산!$I$3:$I$3000,0),MATCH(J$4,임대자산!$D$3:$R$3,0)),
IF($D1375="폐업",INDEX(폐업정보!$D$3:$R$3000,MATCH($F1375,폐업정보!$I$3:$I$3000,0),MATCH(J$4,폐업정보!$D$3:$R$3,0)),
"Error"))</f>
        <v>9848000000</v>
      </c>
      <c r="K1375" s="75" t="str">
        <f aca="false">
IF($D1375="정상",INDEX(임대자산!$D$3:$R$3000,MATCH($F1375,임대자산!$I$3:$I$3000,0),MATCH(K$4,임대자산!$D$3:$R$3,0)),
IF($D1375="폐업",INDEX(폐업정보!$D$3:$R$3000,MATCH($F1375,폐업정보!$I$3:$I$3000,0),MATCH(K$4,폐업정보!$D$3:$R$3,0)),
"Error"))</f>
        <v>C1370</v>
      </c>
      <c r="L1375" s="75" t="str">
        <f aca="false">
IF($D1375="정상",INDEX(임대자산!$D$3:$R$3000,MATCH($F1375,임대자산!$I$3:$I$3000,0),MATCH(L$4,임대자산!$D$3:$R$3,0)),
IF($D1375="폐업",INDEX(폐업정보!$D$3:$R$3000,MATCH($F1375,폐업정보!$I$3:$I$3000,0),MATCH(L$4,폐업정보!$D$3:$R$3,0)),
"Error"))</f>
        <v>D1370</v>
      </c>
      <c r="M1375" s="76" t="s">
        <v>96</v>
      </c>
      <c r="N1375" s="77"/>
      <c r="O1375" s="78" t="s">
        <v>97</v>
      </c>
      <c r="P1375" s="79" t="n">
        <f aca="false">COUNTIFS(임대자산!$I:$I,가맹점정보!F1375,임대자산!$N:$N,가맹점정보!P$4)</f>
        <v>0</v>
      </c>
      <c r="Q1375" s="80" t="n">
        <f aca="false">COUNTIFS(임대자산!$I:$I,가맹점정보!F1375,임대자산!$N:$N,가맹점정보!Q$4)</f>
        <v>0</v>
      </c>
      <c r="R1375" s="81" t="n">
        <f aca="false">COUNTIFS(임대자산!$I:$I,가맹점정보!F1375,임대자산!$N:$N,가맹점정보!R$4)</f>
        <v>1</v>
      </c>
      <c r="S1375" s="82" t="n">
        <v>55000</v>
      </c>
      <c r="T1375" s="83" t="n">
        <v>0</v>
      </c>
      <c r="U1375" s="80" t="n">
        <f aca="false">SUM(S1375:T1375)</f>
        <v>55000</v>
      </c>
      <c r="V1375" s="84" t="s">
        <v>12</v>
      </c>
      <c r="W1375" s="80" t="e">
        <f aca="true">
IF(D1375="폐업","폐업",
IF(V1375="면제","면제",
IF(AND(V1375="정상",COUNTIFS(OFFSET(Y1375,0,COUNTA(Y1375:AV1375)-1,1,-4),"미납")&gt;=3),"장기미납",
IF(AND(V1375="정상",OFFSET(Y1375,0,COUNTA(Y1375:AV1375)-1)&gt;=U1375),"정상",
IF(AND(V1375="정상",OFFSET(Y1375,0,COUNTA(Y1375:AV1375)-1)=0),"정상",
"계약서 미작성")))))</f>
        <v>#VALUE!</v>
      </c>
      <c r="X1375" s="81" t="str">
        <f aca="true">
IF(D1375="폐업","폐업",
IF(AND(V1375="정상",OFFSET(Y1375,0,COUNTA(Y1375:AV1375)-1)="미납"),"미납",
IF(AND(V1375="정상",OFFSET(Y1375,0,COUNTA(Y1375:AV1375)-1)=0),"납부 시작 전",
IF(AND(V1375="정상",OFFSET(Y1375,0,COUNTA(Y1375:AV1375)-1)&gt;=U1375),"정상",
IF(AND(V1375="면제",OFFSET(Y1375,0,COUNTA(Y1375:AV1375)-1)="면제"),"면제",
IF(AND(V1375="면제",OFFSET(Y1375,0,COUNTA(Y1375:AV1375)-1)=0),"면제",
"확인요청"))))))</f>
        <v>정상</v>
      </c>
      <c r="Y1375" s="93" t="n">
        <v>55000</v>
      </c>
      <c r="Z1375" s="90" t="n">
        <v>55000</v>
      </c>
      <c r="AA1375" s="90" t="n">
        <v>55000</v>
      </c>
      <c r="AB1375" s="90" t="n">
        <v>55000</v>
      </c>
      <c r="AC1375" s="90" t="n">
        <v>55000</v>
      </c>
      <c r="AD1375" s="90" t="n">
        <v>55000</v>
      </c>
      <c r="AE1375" s="90" t="n">
        <v>55000</v>
      </c>
      <c r="AF1375" s="90" t="n">
        <v>55000</v>
      </c>
      <c r="AG1375" s="90" t="n">
        <v>55000</v>
      </c>
      <c r="AH1375" s="90" t="n">
        <v>55000</v>
      </c>
      <c r="AI1375" s="90" t="n">
        <v>55000</v>
      </c>
      <c r="AJ1375" s="91" t="n">
        <v>55000</v>
      </c>
      <c r="AK1375" s="89" t="n">
        <v>55000</v>
      </c>
      <c r="AL1375" s="90" t="n">
        <v>55000</v>
      </c>
      <c r="AM1375" s="90"/>
      <c r="AN1375" s="90"/>
      <c r="AO1375" s="90"/>
      <c r="AP1375" s="90"/>
      <c r="AQ1375" s="90"/>
      <c r="AR1375" s="90"/>
      <c r="AS1375" s="90"/>
      <c r="AT1375" s="90"/>
      <c r="AU1375" s="90"/>
      <c r="AV1375" s="91"/>
      <c r="AX1375" s="92"/>
    </row>
    <row r="1376" customFormat="false" ht="15.65" hidden="false" customHeight="false" outlineLevel="0" collapsed="false">
      <c r="C1376" s="72" t="n">
        <f aca="false">COUNTIFS($D$6:D1376,"&lt;&gt;"&amp;"")</f>
        <v>1371</v>
      </c>
      <c r="D1376" s="73" t="s">
        <v>12</v>
      </c>
      <c r="E1376" s="76" t="str">
        <f aca="false">
IF($D1376="정상",INDEX(임대자산!$D$3:$R$3000,MATCH($F1376,임대자산!$I$3:$I$3000,0),MATCH(E$3,임대자산!$D$3:$R$3,0)),
IF($D1376="폐업",INDEX(폐업정보!$D$3:$R$3000,MATCH($F1376,폐업정보!$I$3:$I$3000,0),MATCH(E$3,폐업정보!$D$3:$R$3,0)),
"Error"))</f>
        <v>서울</v>
      </c>
      <c r="F137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B1371</v>
      </c>
      <c r="G1376" s="76" t="str">
        <f aca="false">F1376&amp;RANDBETWEEN(0,10)</f>
        <v>B13718</v>
      </c>
      <c r="H1376" s="75" t="n">
        <f aca="false">
IF($D1376="정상",INDEX(임대자산!$D$3:$R$3000,MATCH($F1376,임대자산!$I$3:$I$3000,0),MATCH(H$4,임대자산!$D$3:$R$3,0)),
IF($D1376="폐업",INDEX(폐업정보!$D$3:$R$3000,MATCH($F1376,폐업정보!$I$3:$I$3000,0),MATCH(H$4,폐업정보!$D$3:$R$3,0)),
"Error"))</f>
        <v>45441</v>
      </c>
      <c r="I1376" s="75" t="str">
        <f aca="false">
IF($D1376="정상",INDEX(임대자산!$D$3:$R$3000,MATCH($F1376,임대자산!$I$3:$I$3000,0),MATCH(I$4,임대자산!$D$3:$R$3,0)),
IF($D1376="폐업",INDEX(폐업정보!$D$3:$R$3000,MATCH($F1376,폐업정보!$I$3:$I$3000,0),MATCH(I$4,폐업정보!$D$3:$R$3,0)),
"Error"))</f>
        <v>A1371</v>
      </c>
      <c r="J1376" s="75" t="str">
        <f aca="false">
IF($D1376="정상",INDEX(임대자산!$D$3:$R$3000,MATCH($F1376,임대자산!$I$3:$I$3000,0),MATCH(J$4,임대자산!$D$3:$R$3,0)),
IF($D1376="폐업",INDEX(폐업정보!$D$3:$R$3000,MATCH($F1376,폐업정보!$I$3:$I$3000,0),MATCH(J$4,폐업정보!$D$3:$R$3,0)),
"Error"))</f>
        <v>2416100000</v>
      </c>
      <c r="K1376" s="75" t="str">
        <f aca="false">
IF($D1376="정상",INDEX(임대자산!$D$3:$R$3000,MATCH($F1376,임대자산!$I$3:$I$3000,0),MATCH(K$4,임대자산!$D$3:$R$3,0)),
IF($D1376="폐업",INDEX(폐업정보!$D$3:$R$3000,MATCH($F1376,폐업정보!$I$3:$I$3000,0),MATCH(K$4,폐업정보!$D$3:$R$3,0)),
"Error"))</f>
        <v>C1371</v>
      </c>
      <c r="L1376" s="75" t="str">
        <f aca="false">
IF($D1376="정상",INDEX(임대자산!$D$3:$R$3000,MATCH($F1376,임대자산!$I$3:$I$3000,0),MATCH(L$4,임대자산!$D$3:$R$3,0)),
IF($D1376="폐업",INDEX(폐업정보!$D$3:$R$3000,MATCH($F1376,폐업정보!$I$3:$I$3000,0),MATCH(L$4,폐업정보!$D$3:$R$3,0)),
"Error"))</f>
        <v>D1371</v>
      </c>
      <c r="M1376" s="76" t="s">
        <v>96</v>
      </c>
      <c r="N1376" s="77"/>
      <c r="O1376" s="78" t="s">
        <v>97</v>
      </c>
      <c r="P1376" s="79" t="n">
        <f aca="false">COUNTIFS(임대자산!$I:$I,가맹점정보!F1376,임대자산!$N:$N,가맹점정보!P$4)</f>
        <v>0</v>
      </c>
      <c r="Q1376" s="80" t="n">
        <f aca="false">COUNTIFS(임대자산!$I:$I,가맹점정보!F1376,임대자산!$N:$N,가맹점정보!Q$4)</f>
        <v>0</v>
      </c>
      <c r="R1376" s="81" t="n">
        <f aca="false">COUNTIFS(임대자산!$I:$I,가맹점정보!F1376,임대자산!$N:$N,가맹점정보!R$4)</f>
        <v>1</v>
      </c>
      <c r="S1376" s="82" t="n">
        <v>88000</v>
      </c>
      <c r="T1376" s="83" t="n">
        <v>0</v>
      </c>
      <c r="U1376" s="80" t="n">
        <f aca="false">SUM(S1376:T1376)</f>
        <v>88000</v>
      </c>
      <c r="V1376" s="84" t="s">
        <v>7</v>
      </c>
      <c r="W1376" s="80" t="str">
        <f aca="true">
IF(D1376="폐업","폐업",
IF(V1376="면제","면제",
IF(AND(V1376="정상",COUNTIFS(OFFSET(Y1376,0,COUNTA(Y1376:AV1376)-1,1,-4),"미납")&gt;=3),"장기미납",
IF(AND(V1376="정상",OFFSET(Y1376,0,COUNTA(Y1376:AV1376)-1)&gt;=U1376),"정상",
IF(AND(V1376="정상",OFFSET(Y1376,0,COUNTA(Y1376:AV1376)-1)=0),"정상",
"계약서 미작성")))))</f>
        <v>면제</v>
      </c>
      <c r="X1376" s="81" t="str">
        <f aca="true">
IF(D1376="폐업","폐업",
IF(AND(V1376="정상",OFFSET(Y1376,0,COUNTA(Y1376:AV1376)-1)="미납"),"미납",
IF(AND(V1376="정상",OFFSET(Y1376,0,COUNTA(Y1376:AV1376)-1)=0),"납부 시작 전",
IF(AND(V1376="정상",OFFSET(Y1376,0,COUNTA(Y1376:AV1376)-1)&gt;=U1376),"정상",
IF(AND(V1376="면제",OFFSET(Y1376,0,COUNTA(Y1376:AV1376)-1)="면제"),"면제",
IF(AND(V1376="면제",OFFSET(Y1376,0,COUNTA(Y1376:AV1376)-1)=0),"면제",
"확인요청"))))))</f>
        <v>면제</v>
      </c>
      <c r="Y1376" s="94" t="s">
        <v>7</v>
      </c>
      <c r="Z1376" s="95" t="s">
        <v>7</v>
      </c>
      <c r="AA1376" s="95" t="s">
        <v>7</v>
      </c>
      <c r="AB1376" s="95" t="s">
        <v>7</v>
      </c>
      <c r="AC1376" s="95" t="s">
        <v>7</v>
      </c>
      <c r="AD1376" s="95" t="s">
        <v>7</v>
      </c>
      <c r="AE1376" s="95" t="s">
        <v>7</v>
      </c>
      <c r="AF1376" s="95" t="s">
        <v>7</v>
      </c>
      <c r="AG1376" s="95" t="s">
        <v>7</v>
      </c>
      <c r="AH1376" s="95" t="s">
        <v>7</v>
      </c>
      <c r="AI1376" s="95" t="s">
        <v>7</v>
      </c>
      <c r="AJ1376" s="96" t="s">
        <v>7</v>
      </c>
      <c r="AK1376" s="97" t="s">
        <v>7</v>
      </c>
      <c r="AL1376" s="95" t="s">
        <v>7</v>
      </c>
      <c r="AM1376" s="90"/>
      <c r="AN1376" s="90"/>
      <c r="AO1376" s="90"/>
      <c r="AP1376" s="90"/>
      <c r="AQ1376" s="90"/>
      <c r="AR1376" s="90"/>
      <c r="AS1376" s="90"/>
      <c r="AT1376" s="90"/>
      <c r="AU1376" s="90"/>
      <c r="AV1376" s="91"/>
      <c r="AX1376" s="92"/>
    </row>
    <row r="1377" customFormat="false" ht="15.65" hidden="false" customHeight="false" outlineLevel="0" collapsed="false">
      <c r="C1377" s="72" t="n">
        <f aca="false">COUNTIFS($D$6:D1377,"&lt;&gt;"&amp;"")</f>
        <v>1372</v>
      </c>
      <c r="D1377" s="73" t="s">
        <v>12</v>
      </c>
      <c r="E1377" s="76" t="str">
        <f aca="false">
IF($D1377="정상",INDEX(임대자산!$D$3:$R$3000,MATCH($F1377,임대자산!$I$3:$I$3000,0),MATCH(E$3,임대자산!$D$3:$R$3,0)),
IF($D1377="폐업",INDEX(폐업정보!$D$3:$R$3000,MATCH($F1377,폐업정보!$I$3:$I$3000,0),MATCH(E$3,폐업정보!$D$3:$R$3,0)),
"Error"))</f>
        <v>경기</v>
      </c>
      <c r="F137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B1372</v>
      </c>
      <c r="G1377" s="76" t="str">
        <f aca="false">F1377&amp;RANDBETWEEN(0,10)</f>
        <v>B13728</v>
      </c>
      <c r="H1377" s="75" t="n">
        <f aca="false">
IF($D1377="정상",INDEX(임대자산!$D$3:$R$3000,MATCH($F1377,임대자산!$I$3:$I$3000,0),MATCH(H$4,임대자산!$D$3:$R$3,0)),
IF($D1377="폐업",INDEX(폐업정보!$D$3:$R$3000,MATCH($F1377,폐업정보!$I$3:$I$3000,0),MATCH(H$4,폐업정보!$D$3:$R$3,0)),
"Error"))</f>
        <v>45491</v>
      </c>
      <c r="I1377" s="75" t="str">
        <f aca="false">
IF($D1377="정상",INDEX(임대자산!$D$3:$R$3000,MATCH($F1377,임대자산!$I$3:$I$3000,0),MATCH(I$4,임대자산!$D$3:$R$3,0)),
IF($D1377="폐업",INDEX(폐업정보!$D$3:$R$3000,MATCH($F1377,폐업정보!$I$3:$I$3000,0),MATCH(I$4,폐업정보!$D$3:$R$3,0)),
"Error"))</f>
        <v>A1372</v>
      </c>
      <c r="J1377" s="75" t="str">
        <f aca="false">
IF($D1377="정상",INDEX(임대자산!$D$3:$R$3000,MATCH($F1377,임대자산!$I$3:$I$3000,0),MATCH(J$4,임대자산!$D$3:$R$3,0)),
IF($D1377="폐업",INDEX(폐업정보!$D$3:$R$3000,MATCH($F1377,폐업정보!$I$3:$I$3000,0),MATCH(J$4,폐업정보!$D$3:$R$3,0)),
"Error"))</f>
        <v>8593100000</v>
      </c>
      <c r="K1377" s="75" t="str">
        <f aca="false">
IF($D1377="정상",INDEX(임대자산!$D$3:$R$3000,MATCH($F1377,임대자산!$I$3:$I$3000,0),MATCH(K$4,임대자산!$D$3:$R$3,0)),
IF($D1377="폐업",INDEX(폐업정보!$D$3:$R$3000,MATCH($F1377,폐업정보!$I$3:$I$3000,0),MATCH(K$4,폐업정보!$D$3:$R$3,0)),
"Error"))</f>
        <v>C1372</v>
      </c>
      <c r="L1377" s="75" t="str">
        <f aca="false">
IF($D1377="정상",INDEX(임대자산!$D$3:$R$3000,MATCH($F1377,임대자산!$I$3:$I$3000,0),MATCH(L$4,임대자산!$D$3:$R$3,0)),
IF($D1377="폐업",INDEX(폐업정보!$D$3:$R$3000,MATCH($F1377,폐업정보!$I$3:$I$3000,0),MATCH(L$4,폐업정보!$D$3:$R$3,0)),
"Error"))</f>
        <v>D1372</v>
      </c>
      <c r="M1377" s="76" t="s">
        <v>96</v>
      </c>
      <c r="N1377" s="77"/>
      <c r="O1377" s="78" t="s">
        <v>97</v>
      </c>
      <c r="P1377" s="79" t="n">
        <f aca="false">COUNTIFS(임대자산!$I:$I,가맹점정보!F1377,임대자산!$N:$N,가맹점정보!P$4)</f>
        <v>0</v>
      </c>
      <c r="Q1377" s="80" t="n">
        <f aca="false">COUNTIFS(임대자산!$I:$I,가맹점정보!F1377,임대자산!$N:$N,가맹점정보!Q$4)</f>
        <v>0</v>
      </c>
      <c r="R1377" s="81" t="n">
        <f aca="false">COUNTIFS(임대자산!$I:$I,가맹점정보!F1377,임대자산!$N:$N,가맹점정보!R$4)</f>
        <v>1</v>
      </c>
      <c r="S1377" s="82" t="n">
        <v>88000</v>
      </c>
      <c r="T1377" s="83" t="n">
        <v>0</v>
      </c>
      <c r="U1377" s="80" t="n">
        <f aca="false">SUM(S1377:T1377)</f>
        <v>88000</v>
      </c>
      <c r="V1377" s="84" t="s">
        <v>7</v>
      </c>
      <c r="W1377" s="80" t="str">
        <f aca="true">
IF(D1377="폐업","폐업",
IF(V1377="면제","면제",
IF(AND(V1377="정상",COUNTIFS(OFFSET(Y1377,0,COUNTA(Y1377:AV1377)-1,1,-4),"미납")&gt;=3),"장기미납",
IF(AND(V1377="정상",OFFSET(Y1377,0,COUNTA(Y1377:AV1377)-1)&gt;=U1377),"정상",
IF(AND(V1377="정상",OFFSET(Y1377,0,COUNTA(Y1377:AV1377)-1)=0),"정상",
"계약서 미작성")))))</f>
        <v>면제</v>
      </c>
      <c r="X1377" s="81" t="str">
        <f aca="true">
IF(D1377="폐업","폐업",
IF(AND(V1377="정상",OFFSET(Y1377,0,COUNTA(Y1377:AV1377)-1)="미납"),"미납",
IF(AND(V1377="정상",OFFSET(Y1377,0,COUNTA(Y1377:AV1377)-1)=0),"납부 시작 전",
IF(AND(V1377="정상",OFFSET(Y1377,0,COUNTA(Y1377:AV1377)-1)&gt;=U1377),"정상",
IF(AND(V1377="면제",OFFSET(Y1377,0,COUNTA(Y1377:AV1377)-1)="면제"),"면제",
IF(AND(V1377="면제",OFFSET(Y1377,0,COUNTA(Y1377:AV1377)-1)=0),"면제",
"확인요청"))))))</f>
        <v>면제</v>
      </c>
      <c r="Y1377" s="94" t="s">
        <v>7</v>
      </c>
      <c r="Z1377" s="95" t="s">
        <v>7</v>
      </c>
      <c r="AA1377" s="95" t="s">
        <v>7</v>
      </c>
      <c r="AB1377" s="95" t="s">
        <v>7</v>
      </c>
      <c r="AC1377" s="95" t="s">
        <v>7</v>
      </c>
      <c r="AD1377" s="95" t="s">
        <v>7</v>
      </c>
      <c r="AE1377" s="95" t="s">
        <v>7</v>
      </c>
      <c r="AF1377" s="95" t="s">
        <v>7</v>
      </c>
      <c r="AG1377" s="95" t="s">
        <v>7</v>
      </c>
      <c r="AH1377" s="95" t="s">
        <v>7</v>
      </c>
      <c r="AI1377" s="95" t="s">
        <v>7</v>
      </c>
      <c r="AJ1377" s="96" t="s">
        <v>7</v>
      </c>
      <c r="AK1377" s="97" t="s">
        <v>7</v>
      </c>
      <c r="AL1377" s="95" t="s">
        <v>7</v>
      </c>
      <c r="AM1377" s="90"/>
      <c r="AN1377" s="90"/>
      <c r="AO1377" s="90"/>
      <c r="AP1377" s="90"/>
      <c r="AQ1377" s="90"/>
      <c r="AR1377" s="90"/>
      <c r="AS1377" s="90"/>
      <c r="AT1377" s="90"/>
      <c r="AU1377" s="90"/>
      <c r="AV1377" s="91"/>
      <c r="AX1377" s="92"/>
    </row>
    <row r="1378" customFormat="false" ht="15.65" hidden="false" customHeight="false" outlineLevel="0" collapsed="false">
      <c r="C1378" s="72" t="n">
        <f aca="false">COUNTIFS($D$6:D1378,"&lt;&gt;"&amp;"")</f>
        <v>1373</v>
      </c>
      <c r="D1378" s="73" t="s">
        <v>12</v>
      </c>
      <c r="E1378" s="76" t="str">
        <f aca="false">
IF($D1378="정상",INDEX(임대자산!$D$3:$R$3000,MATCH($F1378,임대자산!$I$3:$I$3000,0),MATCH(E$3,임대자산!$D$3:$R$3,0)),
IF($D1378="폐업",INDEX(폐업정보!$D$3:$R$3000,MATCH($F1378,폐업정보!$I$3:$I$3000,0),MATCH(E$3,폐업정보!$D$3:$R$3,0)),
"Error"))</f>
        <v>경상</v>
      </c>
      <c r="F137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B1373</v>
      </c>
      <c r="G1378" s="76" t="str">
        <f aca="false">F1378&amp;RANDBETWEEN(0,10)</f>
        <v>B13739</v>
      </c>
      <c r="H1378" s="75" t="n">
        <f aca="false">
IF($D1378="정상",INDEX(임대자산!$D$3:$R$3000,MATCH($F1378,임대자산!$I$3:$I$3000,0),MATCH(H$4,임대자산!$D$3:$R$3,0)),
IF($D1378="폐업",INDEX(폐업정보!$D$3:$R$3000,MATCH($F1378,폐업정보!$I$3:$I$3000,0),MATCH(H$4,폐업정보!$D$3:$R$3,0)),
"Error"))</f>
        <v>45567</v>
      </c>
      <c r="I1378" s="75" t="str">
        <f aca="false">
IF($D1378="정상",INDEX(임대자산!$D$3:$R$3000,MATCH($F1378,임대자산!$I$3:$I$3000,0),MATCH(I$4,임대자산!$D$3:$R$3,0)),
IF($D1378="폐업",INDEX(폐업정보!$D$3:$R$3000,MATCH($F1378,폐업정보!$I$3:$I$3000,0),MATCH(I$4,폐업정보!$D$3:$R$3,0)),
"Error"))</f>
        <v>A1373</v>
      </c>
      <c r="J1378" s="75" t="str">
        <f aca="false">
IF($D1378="정상",INDEX(임대자산!$D$3:$R$3000,MATCH($F1378,임대자산!$I$3:$I$3000,0),MATCH(J$4,임대자산!$D$3:$R$3,0)),
IF($D1378="폐업",INDEX(폐업정보!$D$3:$R$3000,MATCH($F1378,폐업정보!$I$3:$I$3000,0),MATCH(J$4,폐업정보!$D$3:$R$3,0)),
"Error"))</f>
        <v>3546900000</v>
      </c>
      <c r="K1378" s="75" t="str">
        <f aca="false">
IF($D1378="정상",INDEX(임대자산!$D$3:$R$3000,MATCH($F1378,임대자산!$I$3:$I$3000,0),MATCH(K$4,임대자산!$D$3:$R$3,0)),
IF($D1378="폐업",INDEX(폐업정보!$D$3:$R$3000,MATCH($F1378,폐업정보!$I$3:$I$3000,0),MATCH(K$4,폐업정보!$D$3:$R$3,0)),
"Error"))</f>
        <v>C1373</v>
      </c>
      <c r="L1378" s="75" t="str">
        <f aca="false">
IF($D1378="정상",INDEX(임대자산!$D$3:$R$3000,MATCH($F1378,임대자산!$I$3:$I$3000,0),MATCH(L$4,임대자산!$D$3:$R$3,0)),
IF($D1378="폐업",INDEX(폐업정보!$D$3:$R$3000,MATCH($F1378,폐업정보!$I$3:$I$3000,0),MATCH(L$4,폐업정보!$D$3:$R$3,0)),
"Error"))</f>
        <v>D1373</v>
      </c>
      <c r="M1378" s="76" t="s">
        <v>96</v>
      </c>
      <c r="N1378" s="77"/>
      <c r="O1378" s="78" t="s">
        <v>97</v>
      </c>
      <c r="P1378" s="79" t="n">
        <f aca="false">COUNTIFS(임대자산!$I:$I,가맹점정보!F1378,임대자산!$N:$N,가맹점정보!P$4)</f>
        <v>0</v>
      </c>
      <c r="Q1378" s="80" t="n">
        <f aca="false">COUNTIFS(임대자산!$I:$I,가맹점정보!F1378,임대자산!$N:$N,가맹점정보!Q$4)</f>
        <v>0</v>
      </c>
      <c r="R1378" s="81" t="n">
        <f aca="false">COUNTIFS(임대자산!$I:$I,가맹점정보!F1378,임대자산!$N:$N,가맹점정보!R$4)</f>
        <v>1</v>
      </c>
      <c r="S1378" s="82" t="n">
        <v>88000</v>
      </c>
      <c r="T1378" s="83" t="n">
        <v>0</v>
      </c>
      <c r="U1378" s="80" t="n">
        <f aca="false">SUM(S1378:T1378)</f>
        <v>88000</v>
      </c>
      <c r="V1378" s="84" t="s">
        <v>7</v>
      </c>
      <c r="W1378" s="80" t="str">
        <f aca="true">
IF(D1378="폐업","폐업",
IF(V1378="면제","면제",
IF(AND(V1378="정상",COUNTIFS(OFFSET(Y1378,0,COUNTA(Y1378:AV1378)-1,1,-4),"미납")&gt;=3),"장기미납",
IF(AND(V1378="정상",OFFSET(Y1378,0,COUNTA(Y1378:AV1378)-1)&gt;=U1378),"정상",
IF(AND(V1378="정상",OFFSET(Y1378,0,COUNTA(Y1378:AV1378)-1)=0),"정상",
"계약서 미작성")))))</f>
        <v>면제</v>
      </c>
      <c r="X1378" s="81" t="str">
        <f aca="true">
IF(D1378="폐업","폐업",
IF(AND(V1378="정상",OFFSET(Y1378,0,COUNTA(Y1378:AV1378)-1)="미납"),"미납",
IF(AND(V1378="정상",OFFSET(Y1378,0,COUNTA(Y1378:AV1378)-1)=0),"납부 시작 전",
IF(AND(V1378="정상",OFFSET(Y1378,0,COUNTA(Y1378:AV1378)-1)&gt;=U1378),"정상",
IF(AND(V1378="면제",OFFSET(Y1378,0,COUNTA(Y1378:AV1378)-1)="면제"),"면제",
IF(AND(V1378="면제",OFFSET(Y1378,0,COUNTA(Y1378:AV1378)-1)=0),"면제",
"확인요청"))))))</f>
        <v>면제</v>
      </c>
      <c r="Y1378" s="94" t="s">
        <v>7</v>
      </c>
      <c r="Z1378" s="95" t="s">
        <v>7</v>
      </c>
      <c r="AA1378" s="95" t="s">
        <v>7</v>
      </c>
      <c r="AB1378" s="95" t="s">
        <v>7</v>
      </c>
      <c r="AC1378" s="95" t="s">
        <v>7</v>
      </c>
      <c r="AD1378" s="95" t="s">
        <v>7</v>
      </c>
      <c r="AE1378" s="95" t="s">
        <v>7</v>
      </c>
      <c r="AF1378" s="95" t="s">
        <v>7</v>
      </c>
      <c r="AG1378" s="95" t="s">
        <v>7</v>
      </c>
      <c r="AH1378" s="95" t="s">
        <v>7</v>
      </c>
      <c r="AI1378" s="95" t="s">
        <v>7</v>
      </c>
      <c r="AJ1378" s="96" t="s">
        <v>7</v>
      </c>
      <c r="AK1378" s="97" t="s">
        <v>7</v>
      </c>
      <c r="AL1378" s="95" t="s">
        <v>7</v>
      </c>
      <c r="AM1378" s="90"/>
      <c r="AN1378" s="90"/>
      <c r="AO1378" s="90"/>
      <c r="AP1378" s="90"/>
      <c r="AQ1378" s="90"/>
      <c r="AR1378" s="90"/>
      <c r="AS1378" s="90"/>
      <c r="AT1378" s="90"/>
      <c r="AU1378" s="90"/>
      <c r="AV1378" s="91"/>
      <c r="AX1378" s="92"/>
    </row>
    <row r="1379" customFormat="false" ht="15.65" hidden="false" customHeight="false" outlineLevel="0" collapsed="false">
      <c r="C1379" s="72" t="n">
        <f aca="false">COUNTIFS($D$6:D1379,"&lt;&gt;"&amp;"")</f>
        <v>1374</v>
      </c>
      <c r="D1379" s="73" t="s">
        <v>12</v>
      </c>
      <c r="E1379" s="76" t="str">
        <f aca="false">
IF($D1379="정상",INDEX(임대자산!$D$3:$R$3000,MATCH($F1379,임대자산!$I$3:$I$3000,0),MATCH(E$3,임대자산!$D$3:$R$3,0)),
IF($D1379="폐업",INDEX(폐업정보!$D$3:$R$3000,MATCH($F1379,폐업정보!$I$3:$I$3000,0),MATCH(E$3,폐업정보!$D$3:$R$3,0)),
"Error"))</f>
        <v>강원</v>
      </c>
      <c r="F137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B1374</v>
      </c>
      <c r="G1379" s="76" t="str">
        <f aca="false">F1379&amp;RANDBETWEEN(0,10)</f>
        <v>B13746</v>
      </c>
      <c r="H1379" s="75" t="n">
        <f aca="false">
IF($D1379="정상",INDEX(임대자산!$D$3:$R$3000,MATCH($F1379,임대자산!$I$3:$I$3000,0),MATCH(H$4,임대자산!$D$3:$R$3,0)),
IF($D1379="폐업",INDEX(폐업정보!$D$3:$R$3000,MATCH($F1379,폐업정보!$I$3:$I$3000,0),MATCH(H$4,폐업정보!$D$3:$R$3,0)),
"Error"))</f>
        <v>46062</v>
      </c>
      <c r="I1379" s="75" t="str">
        <f aca="false">
IF($D1379="정상",INDEX(임대자산!$D$3:$R$3000,MATCH($F1379,임대자산!$I$3:$I$3000,0),MATCH(I$4,임대자산!$D$3:$R$3,0)),
IF($D1379="폐업",INDEX(폐업정보!$D$3:$R$3000,MATCH($F1379,폐업정보!$I$3:$I$3000,0),MATCH(I$4,폐업정보!$D$3:$R$3,0)),
"Error"))</f>
        <v>A1374</v>
      </c>
      <c r="J1379" s="75" t="str">
        <f aca="false">
IF($D1379="정상",INDEX(임대자산!$D$3:$R$3000,MATCH($F1379,임대자산!$I$3:$I$3000,0),MATCH(J$4,임대자산!$D$3:$R$3,0)),
IF($D1379="폐업",INDEX(폐업정보!$D$3:$R$3000,MATCH($F1379,폐업정보!$I$3:$I$3000,0),MATCH(J$4,폐업정보!$D$3:$R$3,0)),
"Error"))</f>
        <v>8578200000</v>
      </c>
      <c r="K1379" s="75" t="str">
        <f aca="false">
IF($D1379="정상",INDEX(임대자산!$D$3:$R$3000,MATCH($F1379,임대자산!$I$3:$I$3000,0),MATCH(K$4,임대자산!$D$3:$R$3,0)),
IF($D1379="폐업",INDEX(폐업정보!$D$3:$R$3000,MATCH($F1379,폐업정보!$I$3:$I$3000,0),MATCH(K$4,폐업정보!$D$3:$R$3,0)),
"Error"))</f>
        <v>C1374</v>
      </c>
      <c r="L1379" s="75" t="str">
        <f aca="false">
IF($D1379="정상",INDEX(임대자산!$D$3:$R$3000,MATCH($F1379,임대자산!$I$3:$I$3000,0),MATCH(L$4,임대자산!$D$3:$R$3,0)),
IF($D1379="폐업",INDEX(폐업정보!$D$3:$R$3000,MATCH($F1379,폐업정보!$I$3:$I$3000,0),MATCH(L$4,폐업정보!$D$3:$R$3,0)),
"Error"))</f>
        <v>D1374</v>
      </c>
      <c r="M1379" s="76" t="s">
        <v>96</v>
      </c>
      <c r="N1379" s="77"/>
      <c r="O1379" s="78" t="s">
        <v>97</v>
      </c>
      <c r="P1379" s="79" t="n">
        <f aca="false">COUNTIFS(임대자산!$I:$I,가맹점정보!F1379,임대자산!$N:$N,가맹점정보!P$4)</f>
        <v>0</v>
      </c>
      <c r="Q1379" s="80" t="n">
        <f aca="false">COUNTIFS(임대자산!$I:$I,가맹점정보!F1379,임대자산!$N:$N,가맹점정보!Q$4)</f>
        <v>0</v>
      </c>
      <c r="R1379" s="81" t="n">
        <f aca="false">COUNTIFS(임대자산!$I:$I,가맹점정보!F1379,임대자산!$N:$N,가맹점정보!R$4)</f>
        <v>1</v>
      </c>
      <c r="S1379" s="82" t="n">
        <v>88000</v>
      </c>
      <c r="T1379" s="83" t="n">
        <v>0</v>
      </c>
      <c r="U1379" s="80" t="n">
        <f aca="false">SUM(S1379:T1379)</f>
        <v>88000</v>
      </c>
      <c r="V1379" s="84" t="s">
        <v>7</v>
      </c>
      <c r="W1379" s="80" t="str">
        <f aca="true">
IF(D1379="폐업","폐업",
IF(V1379="면제","면제",
IF(AND(V1379="정상",COUNTIFS(OFFSET(Y1379,0,COUNTA(Y1379:AV1379)-1,1,-4),"미납")&gt;=3),"장기미납",
IF(AND(V1379="정상",OFFSET(Y1379,0,COUNTA(Y1379:AV1379)-1)&gt;=U1379),"정상",
IF(AND(V1379="정상",OFFSET(Y1379,0,COUNTA(Y1379:AV1379)-1)=0),"정상",
"계약서 미작성")))))</f>
        <v>면제</v>
      </c>
      <c r="X1379" s="81" t="str">
        <f aca="true">
IF(D1379="폐업","폐업",
IF(AND(V1379="정상",OFFSET(Y1379,0,COUNTA(Y1379:AV1379)-1)="미납"),"미납",
IF(AND(V1379="정상",OFFSET(Y1379,0,COUNTA(Y1379:AV1379)-1)=0),"납부 시작 전",
IF(AND(V1379="정상",OFFSET(Y1379,0,COUNTA(Y1379:AV1379)-1)&gt;=U1379),"정상",
IF(AND(V1379="면제",OFFSET(Y1379,0,COUNTA(Y1379:AV1379)-1)="면제"),"면제",
IF(AND(V1379="면제",OFFSET(Y1379,0,COUNTA(Y1379:AV1379)-1)=0),"면제",
"확인요청"))))))</f>
        <v>면제</v>
      </c>
      <c r="Y1379" s="94" t="s">
        <v>7</v>
      </c>
      <c r="Z1379" s="95" t="s">
        <v>7</v>
      </c>
      <c r="AA1379" s="95" t="s">
        <v>7</v>
      </c>
      <c r="AB1379" s="95" t="s">
        <v>7</v>
      </c>
      <c r="AC1379" s="95" t="s">
        <v>7</v>
      </c>
      <c r="AD1379" s="95" t="s">
        <v>7</v>
      </c>
      <c r="AE1379" s="95" t="s">
        <v>7</v>
      </c>
      <c r="AF1379" s="95" t="s">
        <v>7</v>
      </c>
      <c r="AG1379" s="95" t="s">
        <v>7</v>
      </c>
      <c r="AH1379" s="95" t="s">
        <v>7</v>
      </c>
      <c r="AI1379" s="95" t="s">
        <v>7</v>
      </c>
      <c r="AJ1379" s="96" t="s">
        <v>7</v>
      </c>
      <c r="AK1379" s="97" t="s">
        <v>7</v>
      </c>
      <c r="AL1379" s="95" t="s">
        <v>7</v>
      </c>
      <c r="AM1379" s="90"/>
      <c r="AN1379" s="90"/>
      <c r="AO1379" s="90"/>
      <c r="AP1379" s="90"/>
      <c r="AQ1379" s="90"/>
      <c r="AR1379" s="90"/>
      <c r="AS1379" s="90"/>
      <c r="AT1379" s="90"/>
      <c r="AU1379" s="90"/>
      <c r="AV1379" s="91"/>
      <c r="AX1379" s="92"/>
    </row>
    <row r="1380" customFormat="false" ht="15.65" hidden="false" customHeight="false" outlineLevel="0" collapsed="false">
      <c r="C1380" s="72" t="n">
        <f aca="false">COUNTIFS($D$6:D1380,"&lt;&gt;"&amp;"")</f>
        <v>1375</v>
      </c>
      <c r="D1380" s="73" t="s">
        <v>12</v>
      </c>
      <c r="E1380" s="76" t="str">
        <f aca="false">
IF($D1380="정상",INDEX(임대자산!$D$3:$R$3000,MATCH($F1380,임대자산!$I$3:$I$3000,0),MATCH(E$3,임대자산!$D$3:$R$3,0)),
IF($D1380="폐업",INDEX(폐업정보!$D$3:$R$3000,MATCH($F1380,폐업정보!$I$3:$I$3000,0),MATCH(E$3,폐업정보!$D$3:$R$3,0)),
"Error"))</f>
        <v>서울</v>
      </c>
      <c r="F138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B1375</v>
      </c>
      <c r="G1380" s="76" t="str">
        <f aca="false">F1380&amp;RANDBETWEEN(0,10)</f>
        <v>B13758</v>
      </c>
      <c r="H1380" s="75" t="n">
        <f aca="false">
IF($D1380="정상",INDEX(임대자산!$D$3:$R$3000,MATCH($F1380,임대자산!$I$3:$I$3000,0),MATCH(H$4,임대자산!$D$3:$R$3,0)),
IF($D1380="폐업",INDEX(폐업정보!$D$3:$R$3000,MATCH($F1380,폐업정보!$I$3:$I$3000,0),MATCH(H$4,폐업정보!$D$3:$R$3,0)),
"Error"))</f>
        <v>45876</v>
      </c>
      <c r="I1380" s="75" t="str">
        <f aca="false">
IF($D1380="정상",INDEX(임대자산!$D$3:$R$3000,MATCH($F1380,임대자산!$I$3:$I$3000,0),MATCH(I$4,임대자산!$D$3:$R$3,0)),
IF($D1380="폐업",INDEX(폐업정보!$D$3:$R$3000,MATCH($F1380,폐업정보!$I$3:$I$3000,0),MATCH(I$4,폐업정보!$D$3:$R$3,0)),
"Error"))</f>
        <v>A1375</v>
      </c>
      <c r="J1380" s="75" t="str">
        <f aca="false">
IF($D1380="정상",INDEX(임대자산!$D$3:$R$3000,MATCH($F1380,임대자산!$I$3:$I$3000,0),MATCH(J$4,임대자산!$D$3:$R$3,0)),
IF($D1380="폐업",INDEX(폐업정보!$D$3:$R$3000,MATCH($F1380,폐업정보!$I$3:$I$3000,0),MATCH(J$4,폐업정보!$D$3:$R$3,0)),
"Error"))</f>
        <v>3639000000</v>
      </c>
      <c r="K1380" s="75" t="str">
        <f aca="false">
IF($D1380="정상",INDEX(임대자산!$D$3:$R$3000,MATCH($F1380,임대자산!$I$3:$I$3000,0),MATCH(K$4,임대자산!$D$3:$R$3,0)),
IF($D1380="폐업",INDEX(폐업정보!$D$3:$R$3000,MATCH($F1380,폐업정보!$I$3:$I$3000,0),MATCH(K$4,폐업정보!$D$3:$R$3,0)),
"Error"))</f>
        <v>C1375</v>
      </c>
      <c r="L1380" s="75" t="str">
        <f aca="false">
IF($D1380="정상",INDEX(임대자산!$D$3:$R$3000,MATCH($F1380,임대자산!$I$3:$I$3000,0),MATCH(L$4,임대자산!$D$3:$R$3,0)),
IF($D1380="폐업",INDEX(폐업정보!$D$3:$R$3000,MATCH($F1380,폐업정보!$I$3:$I$3000,0),MATCH(L$4,폐업정보!$D$3:$R$3,0)),
"Error"))</f>
        <v>D1375</v>
      </c>
      <c r="M1380" s="76" t="s">
        <v>96</v>
      </c>
      <c r="N1380" s="77"/>
      <c r="O1380" s="78" t="s">
        <v>97</v>
      </c>
      <c r="P1380" s="79" t="n">
        <f aca="false">COUNTIFS(임대자산!$I:$I,가맹점정보!F1380,임대자산!$N:$N,가맹점정보!P$4)</f>
        <v>0</v>
      </c>
      <c r="Q1380" s="80" t="n">
        <f aca="false">COUNTIFS(임대자산!$I:$I,가맹점정보!F1380,임대자산!$N:$N,가맹점정보!Q$4)</f>
        <v>0</v>
      </c>
      <c r="R1380" s="81" t="n">
        <f aca="false">COUNTIFS(임대자산!$I:$I,가맹점정보!F1380,임대자산!$N:$N,가맹점정보!R$4)</f>
        <v>1</v>
      </c>
      <c r="S1380" s="82" t="n">
        <v>55000</v>
      </c>
      <c r="T1380" s="83" t="n">
        <v>0</v>
      </c>
      <c r="U1380" s="80" t="n">
        <f aca="false">SUM(S1380:T1380)</f>
        <v>55000</v>
      </c>
      <c r="V1380" s="84" t="s">
        <v>7</v>
      </c>
      <c r="W1380" s="80" t="str">
        <f aca="true">
IF(D1380="폐업","폐업",
IF(V1380="면제","면제",
IF(AND(V1380="정상",COUNTIFS(OFFSET(Y1380,0,COUNTA(Y1380:AV1380)-1,1,-4),"미납")&gt;=3),"장기미납",
IF(AND(V1380="정상",OFFSET(Y1380,0,COUNTA(Y1380:AV1380)-1)&gt;=U1380),"정상",
IF(AND(V1380="정상",OFFSET(Y1380,0,COUNTA(Y1380:AV1380)-1)=0),"정상",
"계약서 미작성")))))</f>
        <v>면제</v>
      </c>
      <c r="X1380" s="81" t="str">
        <f aca="true">
IF(D1380="폐업","폐업",
IF(AND(V1380="정상",OFFSET(Y1380,0,COUNTA(Y1380:AV1380)-1)="미납"),"미납",
IF(AND(V1380="정상",OFFSET(Y1380,0,COUNTA(Y1380:AV1380)-1)=0),"납부 시작 전",
IF(AND(V1380="정상",OFFSET(Y1380,0,COUNTA(Y1380:AV1380)-1)&gt;=U1380),"정상",
IF(AND(V1380="면제",OFFSET(Y1380,0,COUNTA(Y1380:AV1380)-1)="면제"),"면제",
IF(AND(V1380="면제",OFFSET(Y1380,0,COUNTA(Y1380:AV1380)-1)=0),"면제",
"확인요청"))))))</f>
        <v>면제</v>
      </c>
      <c r="Y1380" s="94" t="s">
        <v>7</v>
      </c>
      <c r="Z1380" s="95" t="s">
        <v>7</v>
      </c>
      <c r="AA1380" s="95" t="s">
        <v>7</v>
      </c>
      <c r="AB1380" s="95" t="s">
        <v>7</v>
      </c>
      <c r="AC1380" s="95" t="s">
        <v>7</v>
      </c>
      <c r="AD1380" s="95" t="s">
        <v>7</v>
      </c>
      <c r="AE1380" s="95" t="s">
        <v>7</v>
      </c>
      <c r="AF1380" s="95" t="s">
        <v>7</v>
      </c>
      <c r="AG1380" s="95" t="s">
        <v>7</v>
      </c>
      <c r="AH1380" s="95" t="s">
        <v>7</v>
      </c>
      <c r="AI1380" s="95" t="s">
        <v>7</v>
      </c>
      <c r="AJ1380" s="96" t="s">
        <v>7</v>
      </c>
      <c r="AK1380" s="97" t="s">
        <v>7</v>
      </c>
      <c r="AL1380" s="95" t="s">
        <v>7</v>
      </c>
      <c r="AM1380" s="90"/>
      <c r="AN1380" s="90"/>
      <c r="AO1380" s="90"/>
      <c r="AP1380" s="90"/>
      <c r="AQ1380" s="90"/>
      <c r="AR1380" s="90"/>
      <c r="AS1380" s="90"/>
      <c r="AT1380" s="90"/>
      <c r="AU1380" s="90"/>
      <c r="AV1380" s="91"/>
      <c r="AX1380" s="92"/>
    </row>
    <row r="1381" customFormat="false" ht="15.65" hidden="false" customHeight="false" outlineLevel="0" collapsed="false">
      <c r="C1381" s="72" t="n">
        <f aca="false">COUNTIFS($D$6:D1381,"&lt;&gt;"&amp;"")</f>
        <v>1376</v>
      </c>
      <c r="D1381" s="73" t="s">
        <v>12</v>
      </c>
      <c r="E1381" s="76" t="str">
        <f aca="false">
IF($D1381="정상",INDEX(임대자산!$D$3:$R$3000,MATCH($F1381,임대자산!$I$3:$I$3000,0),MATCH(E$3,임대자산!$D$3:$R$3,0)),
IF($D1381="폐업",INDEX(폐업정보!$D$3:$R$3000,MATCH($F1381,폐업정보!$I$3:$I$3000,0),MATCH(E$3,폐업정보!$D$3:$R$3,0)),
"Error"))</f>
        <v>강원</v>
      </c>
      <c r="F138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B1376</v>
      </c>
      <c r="G1381" s="76" t="str">
        <f aca="false">F1381&amp;RANDBETWEEN(0,10)</f>
        <v>B13764</v>
      </c>
      <c r="H1381" s="75" t="n">
        <f aca="false">
IF($D1381="정상",INDEX(임대자산!$D$3:$R$3000,MATCH($F1381,임대자산!$I$3:$I$3000,0),MATCH(H$4,임대자산!$D$3:$R$3,0)),
IF($D1381="폐업",INDEX(폐업정보!$D$3:$R$3000,MATCH($F1381,폐업정보!$I$3:$I$3000,0),MATCH(H$4,폐업정보!$D$3:$R$3,0)),
"Error"))</f>
        <v>45975</v>
      </c>
      <c r="I1381" s="75" t="str">
        <f aca="false">
IF($D1381="정상",INDEX(임대자산!$D$3:$R$3000,MATCH($F1381,임대자산!$I$3:$I$3000,0),MATCH(I$4,임대자산!$D$3:$R$3,0)),
IF($D1381="폐업",INDEX(폐업정보!$D$3:$R$3000,MATCH($F1381,폐업정보!$I$3:$I$3000,0),MATCH(I$4,폐업정보!$D$3:$R$3,0)),
"Error"))</f>
        <v>A1376</v>
      </c>
      <c r="J1381" s="75" t="str">
        <f aca="false">
IF($D1381="정상",INDEX(임대자산!$D$3:$R$3000,MATCH($F1381,임대자산!$I$3:$I$3000,0),MATCH(J$4,임대자산!$D$3:$R$3,0)),
IF($D1381="폐업",INDEX(폐업정보!$D$3:$R$3000,MATCH($F1381,폐업정보!$I$3:$I$3000,0),MATCH(J$4,폐업정보!$D$3:$R$3,0)),
"Error"))</f>
        <v>1551500000</v>
      </c>
      <c r="K1381" s="75" t="str">
        <f aca="false">
IF($D1381="정상",INDEX(임대자산!$D$3:$R$3000,MATCH($F1381,임대자산!$I$3:$I$3000,0),MATCH(K$4,임대자산!$D$3:$R$3,0)),
IF($D1381="폐업",INDEX(폐업정보!$D$3:$R$3000,MATCH($F1381,폐업정보!$I$3:$I$3000,0),MATCH(K$4,폐업정보!$D$3:$R$3,0)),
"Error"))</f>
        <v>C1376</v>
      </c>
      <c r="L1381" s="75" t="str">
        <f aca="false">
IF($D1381="정상",INDEX(임대자산!$D$3:$R$3000,MATCH($F1381,임대자산!$I$3:$I$3000,0),MATCH(L$4,임대자산!$D$3:$R$3,0)),
IF($D1381="폐업",INDEX(폐업정보!$D$3:$R$3000,MATCH($F1381,폐업정보!$I$3:$I$3000,0),MATCH(L$4,폐업정보!$D$3:$R$3,0)),
"Error"))</f>
        <v>D1376</v>
      </c>
      <c r="M1381" s="76" t="s">
        <v>96</v>
      </c>
      <c r="N1381" s="77"/>
      <c r="O1381" s="78" t="s">
        <v>97</v>
      </c>
      <c r="P1381" s="79" t="n">
        <f aca="false">COUNTIFS(임대자산!$I:$I,가맹점정보!F1381,임대자산!$N:$N,가맹점정보!P$4)</f>
        <v>0</v>
      </c>
      <c r="Q1381" s="80" t="n">
        <f aca="false">COUNTIFS(임대자산!$I:$I,가맹점정보!F1381,임대자산!$N:$N,가맹점정보!Q$4)</f>
        <v>0</v>
      </c>
      <c r="R1381" s="81" t="n">
        <f aca="false">COUNTIFS(임대자산!$I:$I,가맹점정보!F1381,임대자산!$N:$N,가맹점정보!R$4)</f>
        <v>1</v>
      </c>
      <c r="S1381" s="82" t="n">
        <v>55000</v>
      </c>
      <c r="T1381" s="83" t="n">
        <v>0</v>
      </c>
      <c r="U1381" s="80" t="n">
        <f aca="false">SUM(S1381:T1381)</f>
        <v>55000</v>
      </c>
      <c r="V1381" s="84" t="s">
        <v>7</v>
      </c>
      <c r="W1381" s="80" t="str">
        <f aca="true">
IF(D1381="폐업","폐업",
IF(V1381="면제","면제",
IF(AND(V1381="정상",COUNTIFS(OFFSET(Y1381,0,COUNTA(Y1381:AV1381)-1,1,-4),"미납")&gt;=3),"장기미납",
IF(AND(V1381="정상",OFFSET(Y1381,0,COUNTA(Y1381:AV1381)-1)&gt;=U1381),"정상",
IF(AND(V1381="정상",OFFSET(Y1381,0,COUNTA(Y1381:AV1381)-1)=0),"정상",
"계약서 미작성")))))</f>
        <v>면제</v>
      </c>
      <c r="X1381" s="81" t="str">
        <f aca="true">
IF(D1381="폐업","폐업",
IF(AND(V1381="정상",OFFSET(Y1381,0,COUNTA(Y1381:AV1381)-1)="미납"),"미납",
IF(AND(V1381="정상",OFFSET(Y1381,0,COUNTA(Y1381:AV1381)-1)=0),"납부 시작 전",
IF(AND(V1381="정상",OFFSET(Y1381,0,COUNTA(Y1381:AV1381)-1)&gt;=U1381),"정상",
IF(AND(V1381="면제",OFFSET(Y1381,0,COUNTA(Y1381:AV1381)-1)="면제"),"면제",
IF(AND(V1381="면제",OFFSET(Y1381,0,COUNTA(Y1381:AV1381)-1)=0),"면제",
"확인요청"))))))</f>
        <v>면제</v>
      </c>
      <c r="Y1381" s="94" t="s">
        <v>7</v>
      </c>
      <c r="Z1381" s="95" t="s">
        <v>7</v>
      </c>
      <c r="AA1381" s="95" t="s">
        <v>7</v>
      </c>
      <c r="AB1381" s="95" t="s">
        <v>7</v>
      </c>
      <c r="AC1381" s="95" t="s">
        <v>7</v>
      </c>
      <c r="AD1381" s="95" t="s">
        <v>7</v>
      </c>
      <c r="AE1381" s="95" t="s">
        <v>7</v>
      </c>
      <c r="AF1381" s="95" t="s">
        <v>7</v>
      </c>
      <c r="AG1381" s="95" t="s">
        <v>7</v>
      </c>
      <c r="AH1381" s="95" t="s">
        <v>7</v>
      </c>
      <c r="AI1381" s="95" t="s">
        <v>7</v>
      </c>
      <c r="AJ1381" s="96" t="s">
        <v>7</v>
      </c>
      <c r="AK1381" s="97" t="s">
        <v>7</v>
      </c>
      <c r="AL1381" s="95" t="s">
        <v>7</v>
      </c>
      <c r="AM1381" s="90"/>
      <c r="AN1381" s="90"/>
      <c r="AO1381" s="90"/>
      <c r="AP1381" s="90"/>
      <c r="AQ1381" s="90"/>
      <c r="AR1381" s="90"/>
      <c r="AS1381" s="90"/>
      <c r="AT1381" s="90"/>
      <c r="AU1381" s="90"/>
      <c r="AV1381" s="91"/>
      <c r="AX1381" s="92"/>
    </row>
    <row r="1382" customFormat="false" ht="15.65" hidden="false" customHeight="false" outlineLevel="0" collapsed="false">
      <c r="C1382" s="72" t="n">
        <f aca="false">COUNTIFS($D$6:D1382,"&lt;&gt;"&amp;"")</f>
        <v>1377</v>
      </c>
      <c r="D1382" s="73" t="s">
        <v>12</v>
      </c>
      <c r="E1382" s="76" t="str">
        <f aca="false">
IF($D1382="정상",INDEX(임대자산!$D$3:$R$3000,MATCH($F1382,임대자산!$I$3:$I$3000,0),MATCH(E$3,임대자산!$D$3:$R$3,0)),
IF($D1382="폐업",INDEX(폐업정보!$D$3:$R$3000,MATCH($F1382,폐업정보!$I$3:$I$3000,0),MATCH(E$3,폐업정보!$D$3:$R$3,0)),
"Error"))</f>
        <v>서울</v>
      </c>
      <c r="F138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B1377</v>
      </c>
      <c r="G1382" s="76" t="str">
        <f aca="false">F1382&amp;RANDBETWEEN(0,10)</f>
        <v>B13778</v>
      </c>
      <c r="H1382" s="75" t="n">
        <f aca="false">
IF($D1382="정상",INDEX(임대자산!$D$3:$R$3000,MATCH($F1382,임대자산!$I$3:$I$3000,0),MATCH(H$4,임대자산!$D$3:$R$3,0)),
IF($D1382="폐업",INDEX(폐업정보!$D$3:$R$3000,MATCH($F1382,폐업정보!$I$3:$I$3000,0),MATCH(H$4,폐업정보!$D$3:$R$3,0)),
"Error"))</f>
        <v>45649</v>
      </c>
      <c r="I1382" s="75" t="str">
        <f aca="false">
IF($D1382="정상",INDEX(임대자산!$D$3:$R$3000,MATCH($F1382,임대자산!$I$3:$I$3000,0),MATCH(I$4,임대자산!$D$3:$R$3,0)),
IF($D1382="폐업",INDEX(폐업정보!$D$3:$R$3000,MATCH($F1382,폐업정보!$I$3:$I$3000,0),MATCH(I$4,폐업정보!$D$3:$R$3,0)),
"Error"))</f>
        <v>A1377</v>
      </c>
      <c r="J1382" s="75" t="str">
        <f aca="false">
IF($D1382="정상",INDEX(임대자산!$D$3:$R$3000,MATCH($F1382,임대자산!$I$3:$I$3000,0),MATCH(J$4,임대자산!$D$3:$R$3,0)),
IF($D1382="폐업",INDEX(폐업정보!$D$3:$R$3000,MATCH($F1382,폐업정보!$I$3:$I$3000,0),MATCH(J$4,폐업정보!$D$3:$R$3,0)),
"Error"))</f>
        <v>8589300000</v>
      </c>
      <c r="K1382" s="75" t="str">
        <f aca="false">
IF($D1382="정상",INDEX(임대자산!$D$3:$R$3000,MATCH($F1382,임대자산!$I$3:$I$3000,0),MATCH(K$4,임대자산!$D$3:$R$3,0)),
IF($D1382="폐업",INDEX(폐업정보!$D$3:$R$3000,MATCH($F1382,폐업정보!$I$3:$I$3000,0),MATCH(K$4,폐업정보!$D$3:$R$3,0)),
"Error"))</f>
        <v>C1377</v>
      </c>
      <c r="L1382" s="75" t="str">
        <f aca="false">
IF($D1382="정상",INDEX(임대자산!$D$3:$R$3000,MATCH($F1382,임대자산!$I$3:$I$3000,0),MATCH(L$4,임대자산!$D$3:$R$3,0)),
IF($D1382="폐업",INDEX(폐업정보!$D$3:$R$3000,MATCH($F1382,폐업정보!$I$3:$I$3000,0),MATCH(L$4,폐업정보!$D$3:$R$3,0)),
"Error"))</f>
        <v>D1377</v>
      </c>
      <c r="M1382" s="76" t="s">
        <v>96</v>
      </c>
      <c r="N1382" s="77"/>
      <c r="O1382" s="78" t="s">
        <v>97</v>
      </c>
      <c r="P1382" s="79" t="n">
        <f aca="false">COUNTIFS(임대자산!$I:$I,가맹점정보!F1382,임대자산!$N:$N,가맹점정보!P$4)</f>
        <v>0</v>
      </c>
      <c r="Q1382" s="80" t="n">
        <f aca="false">COUNTIFS(임대자산!$I:$I,가맹점정보!F1382,임대자산!$N:$N,가맹점정보!Q$4)</f>
        <v>0</v>
      </c>
      <c r="R1382" s="81" t="n">
        <f aca="false">COUNTIFS(임대자산!$I:$I,가맹점정보!F1382,임대자산!$N:$N,가맹점정보!R$4)</f>
        <v>1</v>
      </c>
      <c r="S1382" s="82" t="n">
        <v>88000</v>
      </c>
      <c r="T1382" s="83" t="n">
        <v>0</v>
      </c>
      <c r="U1382" s="80" t="n">
        <f aca="false">SUM(S1382:T1382)</f>
        <v>88000</v>
      </c>
      <c r="V1382" s="84" t="s">
        <v>7</v>
      </c>
      <c r="W1382" s="80" t="str">
        <f aca="true">
IF(D1382="폐업","폐업",
IF(V1382="면제","면제",
IF(AND(V1382="정상",COUNTIFS(OFFSET(Y1382,0,COUNTA(Y1382:AV1382)-1,1,-4),"미납")&gt;=3),"장기미납",
IF(AND(V1382="정상",OFFSET(Y1382,0,COUNTA(Y1382:AV1382)-1)&gt;=U1382),"정상",
IF(AND(V1382="정상",OFFSET(Y1382,0,COUNTA(Y1382:AV1382)-1)=0),"정상",
"계약서 미작성")))))</f>
        <v>면제</v>
      </c>
      <c r="X1382" s="81" t="str">
        <f aca="true">
IF(D1382="폐업","폐업",
IF(AND(V1382="정상",OFFSET(Y1382,0,COUNTA(Y1382:AV1382)-1)="미납"),"미납",
IF(AND(V1382="정상",OFFSET(Y1382,0,COUNTA(Y1382:AV1382)-1)=0),"납부 시작 전",
IF(AND(V1382="정상",OFFSET(Y1382,0,COUNTA(Y1382:AV1382)-1)&gt;=U1382),"정상",
IF(AND(V1382="면제",OFFSET(Y1382,0,COUNTA(Y1382:AV1382)-1)="면제"),"면제",
IF(AND(V1382="면제",OFFSET(Y1382,0,COUNTA(Y1382:AV1382)-1)=0),"면제",
"확인요청"))))))</f>
        <v>면제</v>
      </c>
      <c r="Y1382" s="94" t="s">
        <v>7</v>
      </c>
      <c r="Z1382" s="95" t="s">
        <v>7</v>
      </c>
      <c r="AA1382" s="95" t="s">
        <v>7</v>
      </c>
      <c r="AB1382" s="95" t="s">
        <v>7</v>
      </c>
      <c r="AC1382" s="95" t="s">
        <v>7</v>
      </c>
      <c r="AD1382" s="95" t="s">
        <v>7</v>
      </c>
      <c r="AE1382" s="95" t="s">
        <v>7</v>
      </c>
      <c r="AF1382" s="95" t="s">
        <v>7</v>
      </c>
      <c r="AG1382" s="95" t="s">
        <v>7</v>
      </c>
      <c r="AH1382" s="95" t="s">
        <v>7</v>
      </c>
      <c r="AI1382" s="95" t="s">
        <v>7</v>
      </c>
      <c r="AJ1382" s="96" t="s">
        <v>7</v>
      </c>
      <c r="AK1382" s="97" t="s">
        <v>7</v>
      </c>
      <c r="AL1382" s="95" t="s">
        <v>7</v>
      </c>
      <c r="AM1382" s="90"/>
      <c r="AN1382" s="90"/>
      <c r="AO1382" s="90"/>
      <c r="AP1382" s="90"/>
      <c r="AQ1382" s="90"/>
      <c r="AR1382" s="90"/>
      <c r="AS1382" s="90"/>
      <c r="AT1382" s="90"/>
      <c r="AU1382" s="90"/>
      <c r="AV1382" s="91"/>
      <c r="AX1382" s="92"/>
    </row>
    <row r="1383" customFormat="false" ht="15.65" hidden="false" customHeight="false" outlineLevel="0" collapsed="false">
      <c r="C1383" s="72" t="n">
        <f aca="false">COUNTIFS($D$6:D1383,"&lt;&gt;"&amp;"")</f>
        <v>1378</v>
      </c>
      <c r="D1383" s="73" t="s">
        <v>12</v>
      </c>
      <c r="E1383" s="76" t="str">
        <f aca="false">
IF($D1383="정상",INDEX(임대자산!$D$3:$R$3000,MATCH($F1383,임대자산!$I$3:$I$3000,0),MATCH(E$3,임대자산!$D$3:$R$3,0)),
IF($D1383="폐업",INDEX(폐업정보!$D$3:$R$3000,MATCH($F1383,폐업정보!$I$3:$I$3000,0),MATCH(E$3,폐업정보!$D$3:$R$3,0)),
"Error"))</f>
        <v>서울</v>
      </c>
      <c r="F138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B1378</v>
      </c>
      <c r="G1383" s="76" t="str">
        <f aca="false">F1383&amp;RANDBETWEEN(0,10)</f>
        <v>B13789</v>
      </c>
      <c r="H1383" s="75" t="n">
        <f aca="false">
IF($D1383="정상",INDEX(임대자산!$D$3:$R$3000,MATCH($F1383,임대자산!$I$3:$I$3000,0),MATCH(H$4,임대자산!$D$3:$R$3,0)),
IF($D1383="폐업",INDEX(폐업정보!$D$3:$R$3000,MATCH($F1383,폐업정보!$I$3:$I$3000,0),MATCH(H$4,폐업정보!$D$3:$R$3,0)),
"Error"))</f>
        <v>45656</v>
      </c>
      <c r="I1383" s="75" t="str">
        <f aca="false">
IF($D1383="정상",INDEX(임대자산!$D$3:$R$3000,MATCH($F1383,임대자산!$I$3:$I$3000,0),MATCH(I$4,임대자산!$D$3:$R$3,0)),
IF($D1383="폐업",INDEX(폐업정보!$D$3:$R$3000,MATCH($F1383,폐업정보!$I$3:$I$3000,0),MATCH(I$4,폐업정보!$D$3:$R$3,0)),
"Error"))</f>
        <v>A1378</v>
      </c>
      <c r="J1383" s="75" t="str">
        <f aca="false">
IF($D1383="정상",INDEX(임대자산!$D$3:$R$3000,MATCH($F1383,임대자산!$I$3:$I$3000,0),MATCH(J$4,임대자산!$D$3:$R$3,0)),
IF($D1383="폐업",INDEX(폐업정보!$D$3:$R$3000,MATCH($F1383,폐업정보!$I$3:$I$3000,0),MATCH(J$4,폐업정보!$D$3:$R$3,0)),
"Error"))</f>
        <v>4584200000</v>
      </c>
      <c r="K1383" s="75" t="str">
        <f aca="false">
IF($D1383="정상",INDEX(임대자산!$D$3:$R$3000,MATCH($F1383,임대자산!$I$3:$I$3000,0),MATCH(K$4,임대자산!$D$3:$R$3,0)),
IF($D1383="폐업",INDEX(폐업정보!$D$3:$R$3000,MATCH($F1383,폐업정보!$I$3:$I$3000,0),MATCH(K$4,폐업정보!$D$3:$R$3,0)),
"Error"))</f>
        <v>C1378</v>
      </c>
      <c r="L1383" s="75" t="str">
        <f aca="false">
IF($D1383="정상",INDEX(임대자산!$D$3:$R$3000,MATCH($F1383,임대자산!$I$3:$I$3000,0),MATCH(L$4,임대자산!$D$3:$R$3,0)),
IF($D1383="폐업",INDEX(폐업정보!$D$3:$R$3000,MATCH($F1383,폐업정보!$I$3:$I$3000,0),MATCH(L$4,폐업정보!$D$3:$R$3,0)),
"Error"))</f>
        <v>D1378</v>
      </c>
      <c r="M1383" s="76" t="s">
        <v>96</v>
      </c>
      <c r="N1383" s="77"/>
      <c r="O1383" s="78" t="s">
        <v>97</v>
      </c>
      <c r="P1383" s="79" t="n">
        <f aca="false">COUNTIFS(임대자산!$I:$I,가맹점정보!F1383,임대자산!$N:$N,가맹점정보!P$4)</f>
        <v>0</v>
      </c>
      <c r="Q1383" s="80" t="n">
        <f aca="false">COUNTIFS(임대자산!$I:$I,가맹점정보!F1383,임대자산!$N:$N,가맹점정보!Q$4)</f>
        <v>0</v>
      </c>
      <c r="R1383" s="81" t="n">
        <f aca="false">COUNTIFS(임대자산!$I:$I,가맹점정보!F1383,임대자산!$N:$N,가맹점정보!R$4)</f>
        <v>1</v>
      </c>
      <c r="S1383" s="82" t="n">
        <v>55000</v>
      </c>
      <c r="T1383" s="83" t="n">
        <v>0</v>
      </c>
      <c r="U1383" s="80" t="n">
        <f aca="false">SUM(S1383:T1383)</f>
        <v>55000</v>
      </c>
      <c r="V1383" s="84" t="s">
        <v>12</v>
      </c>
      <c r="W1383" s="80" t="e">
        <f aca="true">
IF(D1383="폐업","폐업",
IF(V1383="면제","면제",
IF(AND(V1383="정상",COUNTIFS(OFFSET(Y1383,0,COUNTA(Y1383:AV1383)-1,1,-4),"미납")&gt;=3),"장기미납",
IF(AND(V1383="정상",OFFSET(Y1383,0,COUNTA(Y1383:AV1383)-1)&gt;=U1383),"정상",
IF(AND(V1383="정상",OFFSET(Y1383,0,COUNTA(Y1383:AV1383)-1)=0),"정상",
"계약서 미작성")))))</f>
        <v>#VALUE!</v>
      </c>
      <c r="X1383" s="81" t="str">
        <f aca="true">
IF(D1383="폐업","폐업",
IF(AND(V1383="정상",OFFSET(Y1383,0,COUNTA(Y1383:AV1383)-1)="미납"),"미납",
IF(AND(V1383="정상",OFFSET(Y1383,0,COUNTA(Y1383:AV1383)-1)=0),"납부 시작 전",
IF(AND(V1383="정상",OFFSET(Y1383,0,COUNTA(Y1383:AV1383)-1)&gt;=U1383),"정상",
IF(AND(V1383="면제",OFFSET(Y1383,0,COUNTA(Y1383:AV1383)-1)="면제"),"면제",
IF(AND(V1383="면제",OFFSET(Y1383,0,COUNTA(Y1383:AV1383)-1)=0),"면제",
"확인요청"))))))</f>
        <v>정상</v>
      </c>
      <c r="Y1383" s="94" t="s">
        <v>7</v>
      </c>
      <c r="Z1383" s="95" t="s">
        <v>7</v>
      </c>
      <c r="AA1383" s="95" t="s">
        <v>7</v>
      </c>
      <c r="AB1383" s="95" t="s">
        <v>7</v>
      </c>
      <c r="AC1383" s="95" t="s">
        <v>7</v>
      </c>
      <c r="AD1383" s="95" t="s">
        <v>7</v>
      </c>
      <c r="AE1383" s="95" t="s">
        <v>62</v>
      </c>
      <c r="AF1383" s="90" t="n">
        <v>55000</v>
      </c>
      <c r="AG1383" s="90" t="n">
        <v>55000</v>
      </c>
      <c r="AH1383" s="90" t="n">
        <v>55000</v>
      </c>
      <c r="AI1383" s="90" t="n">
        <v>55000</v>
      </c>
      <c r="AJ1383" s="91" t="n">
        <v>55000</v>
      </c>
      <c r="AK1383" s="89" t="n">
        <v>55000</v>
      </c>
      <c r="AL1383" s="90" t="n">
        <v>55000</v>
      </c>
      <c r="AM1383" s="90"/>
      <c r="AN1383" s="90"/>
      <c r="AO1383" s="90"/>
      <c r="AP1383" s="90"/>
      <c r="AQ1383" s="90"/>
      <c r="AR1383" s="90"/>
      <c r="AS1383" s="90"/>
      <c r="AT1383" s="90"/>
      <c r="AU1383" s="90"/>
      <c r="AV1383" s="91"/>
      <c r="AX1383" s="92"/>
    </row>
    <row r="1384" customFormat="false" ht="15.65" hidden="false" customHeight="false" outlineLevel="0" collapsed="false">
      <c r="C1384" s="72" t="n">
        <f aca="false">COUNTIFS($D$6:D1384,"&lt;&gt;"&amp;"")</f>
        <v>1379</v>
      </c>
      <c r="D1384" s="73" t="s">
        <v>12</v>
      </c>
      <c r="E1384" s="76" t="str">
        <f aca="false">
IF($D1384="정상",INDEX(임대자산!$D$3:$R$3000,MATCH($F1384,임대자산!$I$3:$I$3000,0),MATCH(E$3,임대자산!$D$3:$R$3,0)),
IF($D1384="폐업",INDEX(폐업정보!$D$3:$R$3000,MATCH($F1384,폐업정보!$I$3:$I$3000,0),MATCH(E$3,폐업정보!$D$3:$R$3,0)),
"Error"))</f>
        <v>서울</v>
      </c>
      <c r="F138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B1379</v>
      </c>
      <c r="G1384" s="76" t="str">
        <f aca="false">F1384&amp;RANDBETWEEN(0,10)</f>
        <v>B13793</v>
      </c>
      <c r="H1384" s="75" t="n">
        <f aca="false">
IF($D1384="정상",INDEX(임대자산!$D$3:$R$3000,MATCH($F1384,임대자산!$I$3:$I$3000,0),MATCH(H$4,임대자산!$D$3:$R$3,0)),
IF($D1384="폐업",INDEX(폐업정보!$D$3:$R$3000,MATCH($F1384,폐업정보!$I$3:$I$3000,0),MATCH(H$4,폐업정보!$D$3:$R$3,0)),
"Error"))</f>
        <v>45639</v>
      </c>
      <c r="I1384" s="75" t="str">
        <f aca="false">
IF($D1384="정상",INDEX(임대자산!$D$3:$R$3000,MATCH($F1384,임대자산!$I$3:$I$3000,0),MATCH(I$4,임대자산!$D$3:$R$3,0)),
IF($D1384="폐업",INDEX(폐업정보!$D$3:$R$3000,MATCH($F1384,폐업정보!$I$3:$I$3000,0),MATCH(I$4,폐업정보!$D$3:$R$3,0)),
"Error"))</f>
        <v>A1379</v>
      </c>
      <c r="J1384" s="75" t="str">
        <f aca="false">
IF($D1384="정상",INDEX(임대자산!$D$3:$R$3000,MATCH($F1384,임대자산!$I$3:$I$3000,0),MATCH(J$4,임대자산!$D$3:$R$3,0)),
IF($D1384="폐업",INDEX(폐업정보!$D$3:$R$3000,MATCH($F1384,폐업정보!$I$3:$I$3000,0),MATCH(J$4,폐업정보!$D$3:$R$3,0)),
"Error"))</f>
        <v>2277600000</v>
      </c>
      <c r="K1384" s="75" t="str">
        <f aca="false">
IF($D1384="정상",INDEX(임대자산!$D$3:$R$3000,MATCH($F1384,임대자산!$I$3:$I$3000,0),MATCH(K$4,임대자산!$D$3:$R$3,0)),
IF($D1384="폐업",INDEX(폐업정보!$D$3:$R$3000,MATCH($F1384,폐업정보!$I$3:$I$3000,0),MATCH(K$4,폐업정보!$D$3:$R$3,0)),
"Error"))</f>
        <v>C1379</v>
      </c>
      <c r="L1384" s="75" t="str">
        <f aca="false">
IF($D1384="정상",INDEX(임대자산!$D$3:$R$3000,MATCH($F1384,임대자산!$I$3:$I$3000,0),MATCH(L$4,임대자산!$D$3:$R$3,0)),
IF($D1384="폐업",INDEX(폐업정보!$D$3:$R$3000,MATCH($F1384,폐업정보!$I$3:$I$3000,0),MATCH(L$4,폐업정보!$D$3:$R$3,0)),
"Error"))</f>
        <v>D1379</v>
      </c>
      <c r="M1384" s="76" t="s">
        <v>96</v>
      </c>
      <c r="N1384" s="77"/>
      <c r="O1384" s="78" t="s">
        <v>97</v>
      </c>
      <c r="P1384" s="79" t="n">
        <f aca="false">COUNTIFS(임대자산!$I:$I,가맹점정보!F1384,임대자산!$N:$N,가맹점정보!P$4)</f>
        <v>0</v>
      </c>
      <c r="Q1384" s="80" t="n">
        <f aca="false">COUNTIFS(임대자산!$I:$I,가맹점정보!F1384,임대자산!$N:$N,가맹점정보!Q$4)</f>
        <v>0</v>
      </c>
      <c r="R1384" s="81" t="n">
        <f aca="false">COUNTIFS(임대자산!$I:$I,가맹점정보!F1384,임대자산!$N:$N,가맹점정보!R$4)</f>
        <v>1</v>
      </c>
      <c r="S1384" s="82" t="n">
        <v>55000</v>
      </c>
      <c r="T1384" s="83" t="n">
        <v>0</v>
      </c>
      <c r="U1384" s="80" t="n">
        <f aca="false">SUM(S1384:T1384)</f>
        <v>55000</v>
      </c>
      <c r="V1384" s="84" t="s">
        <v>7</v>
      </c>
      <c r="W1384" s="80" t="str">
        <f aca="true">
IF(D1384="폐업","폐업",
IF(V1384="면제","면제",
IF(AND(V1384="정상",COUNTIFS(OFFSET(Y1384,0,COUNTA(Y1384:AV1384)-1,1,-4),"미납")&gt;=3),"장기미납",
IF(AND(V1384="정상",OFFSET(Y1384,0,COUNTA(Y1384:AV1384)-1)&gt;=U1384),"정상",
IF(AND(V1384="정상",OFFSET(Y1384,0,COUNTA(Y1384:AV1384)-1)=0),"정상",
"계약서 미작성")))))</f>
        <v>면제</v>
      </c>
      <c r="X1384" s="81" t="str">
        <f aca="true">
IF(D1384="폐업","폐업",
IF(AND(V1384="정상",OFFSET(Y1384,0,COUNTA(Y1384:AV1384)-1)="미납"),"미납",
IF(AND(V1384="정상",OFFSET(Y1384,0,COUNTA(Y1384:AV1384)-1)=0),"납부 시작 전",
IF(AND(V1384="정상",OFFSET(Y1384,0,COUNTA(Y1384:AV1384)-1)&gt;=U1384),"정상",
IF(AND(V1384="면제",OFFSET(Y1384,0,COUNTA(Y1384:AV1384)-1)="면제"),"면제",
IF(AND(V1384="면제",OFFSET(Y1384,0,COUNTA(Y1384:AV1384)-1)=0),"면제",
"확인요청"))))))</f>
        <v>면제</v>
      </c>
      <c r="Y1384" s="94" t="s">
        <v>7</v>
      </c>
      <c r="Z1384" s="95" t="s">
        <v>7</v>
      </c>
      <c r="AA1384" s="95" t="s">
        <v>7</v>
      </c>
      <c r="AB1384" s="95" t="s">
        <v>7</v>
      </c>
      <c r="AC1384" s="95" t="s">
        <v>7</v>
      </c>
      <c r="AD1384" s="95" t="s">
        <v>7</v>
      </c>
      <c r="AE1384" s="95" t="s">
        <v>7</v>
      </c>
      <c r="AF1384" s="95" t="s">
        <v>7</v>
      </c>
      <c r="AG1384" s="95" t="s">
        <v>7</v>
      </c>
      <c r="AH1384" s="95" t="s">
        <v>7</v>
      </c>
      <c r="AI1384" s="95" t="s">
        <v>7</v>
      </c>
      <c r="AJ1384" s="96" t="s">
        <v>7</v>
      </c>
      <c r="AK1384" s="97" t="s">
        <v>7</v>
      </c>
      <c r="AL1384" s="95" t="s">
        <v>7</v>
      </c>
      <c r="AM1384" s="90"/>
      <c r="AN1384" s="90"/>
      <c r="AO1384" s="90"/>
      <c r="AP1384" s="90"/>
      <c r="AQ1384" s="90"/>
      <c r="AR1384" s="90"/>
      <c r="AS1384" s="90"/>
      <c r="AT1384" s="90"/>
      <c r="AU1384" s="90"/>
      <c r="AV1384" s="91"/>
      <c r="AX1384" s="92"/>
    </row>
    <row r="1385" customFormat="false" ht="15.65" hidden="false" customHeight="false" outlineLevel="0" collapsed="false">
      <c r="C1385" s="72" t="n">
        <f aca="false">COUNTIFS($D$6:D1385,"&lt;&gt;"&amp;"")</f>
        <v>1380</v>
      </c>
      <c r="D1385" s="73" t="s">
        <v>12</v>
      </c>
      <c r="E1385" s="76" t="str">
        <f aca="false">
IF($D1385="정상",INDEX(임대자산!$D$3:$R$3000,MATCH($F1385,임대자산!$I$3:$I$3000,0),MATCH(E$3,임대자산!$D$3:$R$3,0)),
IF($D1385="폐업",INDEX(폐업정보!$D$3:$R$3000,MATCH($F1385,폐업정보!$I$3:$I$3000,0),MATCH(E$3,폐업정보!$D$3:$R$3,0)),
"Error"))</f>
        <v>전라</v>
      </c>
      <c r="F138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B1380</v>
      </c>
      <c r="G1385" s="76" t="str">
        <f aca="false">F1385&amp;RANDBETWEEN(0,10)</f>
        <v>B13804</v>
      </c>
      <c r="H1385" s="75" t="n">
        <f aca="false">
IF($D1385="정상",INDEX(임대자산!$D$3:$R$3000,MATCH($F1385,임대자산!$I$3:$I$3000,0),MATCH(H$4,임대자산!$D$3:$R$3,0)),
IF($D1385="폐업",INDEX(폐업정보!$D$3:$R$3000,MATCH($F1385,폐업정보!$I$3:$I$3000,0),MATCH(H$4,폐업정보!$D$3:$R$3,0)),
"Error"))</f>
        <v>45735</v>
      </c>
      <c r="I1385" s="75" t="str">
        <f aca="false">
IF($D1385="정상",INDEX(임대자산!$D$3:$R$3000,MATCH($F1385,임대자산!$I$3:$I$3000,0),MATCH(I$4,임대자산!$D$3:$R$3,0)),
IF($D1385="폐업",INDEX(폐업정보!$D$3:$R$3000,MATCH($F1385,폐업정보!$I$3:$I$3000,0),MATCH(I$4,폐업정보!$D$3:$R$3,0)),
"Error"))</f>
        <v>A1380</v>
      </c>
      <c r="J1385" s="75" t="str">
        <f aca="false">
IF($D1385="정상",INDEX(임대자산!$D$3:$R$3000,MATCH($F1385,임대자산!$I$3:$I$3000,0),MATCH(J$4,임대자산!$D$3:$R$3,0)),
IF($D1385="폐업",INDEX(폐업정보!$D$3:$R$3000,MATCH($F1385,폐업정보!$I$3:$I$3000,0),MATCH(J$4,폐업정보!$D$3:$R$3,0)),
"Error"))</f>
        <v>5785800000</v>
      </c>
      <c r="K1385" s="75" t="str">
        <f aca="false">
IF($D1385="정상",INDEX(임대자산!$D$3:$R$3000,MATCH($F1385,임대자산!$I$3:$I$3000,0),MATCH(K$4,임대자산!$D$3:$R$3,0)),
IF($D1385="폐업",INDEX(폐업정보!$D$3:$R$3000,MATCH($F1385,폐업정보!$I$3:$I$3000,0),MATCH(K$4,폐업정보!$D$3:$R$3,0)),
"Error"))</f>
        <v>C1380</v>
      </c>
      <c r="L1385" s="75" t="str">
        <f aca="false">
IF($D1385="정상",INDEX(임대자산!$D$3:$R$3000,MATCH($F1385,임대자산!$I$3:$I$3000,0),MATCH(L$4,임대자산!$D$3:$R$3,0)),
IF($D1385="폐업",INDEX(폐업정보!$D$3:$R$3000,MATCH($F1385,폐업정보!$I$3:$I$3000,0),MATCH(L$4,폐업정보!$D$3:$R$3,0)),
"Error"))</f>
        <v>D1380</v>
      </c>
      <c r="M1385" s="76" t="s">
        <v>96</v>
      </c>
      <c r="N1385" s="77"/>
      <c r="O1385" s="78" t="s">
        <v>97</v>
      </c>
      <c r="P1385" s="79" t="n">
        <f aca="false">COUNTIFS(임대자산!$I:$I,가맹점정보!F1385,임대자산!$N:$N,가맹점정보!P$4)</f>
        <v>0</v>
      </c>
      <c r="Q1385" s="80" t="n">
        <f aca="false">COUNTIFS(임대자산!$I:$I,가맹점정보!F1385,임대자산!$N:$N,가맹점정보!Q$4)</f>
        <v>0</v>
      </c>
      <c r="R1385" s="81" t="n">
        <f aca="false">COUNTIFS(임대자산!$I:$I,가맹점정보!F1385,임대자산!$N:$N,가맹점정보!R$4)</f>
        <v>1</v>
      </c>
      <c r="S1385" s="82" t="n">
        <v>88000</v>
      </c>
      <c r="T1385" s="83" t="n">
        <v>0</v>
      </c>
      <c r="U1385" s="80" t="n">
        <f aca="false">SUM(S1385:T1385)</f>
        <v>88000</v>
      </c>
      <c r="V1385" s="84" t="s">
        <v>7</v>
      </c>
      <c r="W1385" s="80" t="str">
        <f aca="true">
IF(D1385="폐업","폐업",
IF(V1385="면제","면제",
IF(AND(V1385="정상",COUNTIFS(OFFSET(Y1385,0,COUNTA(Y1385:AV1385)-1,1,-4),"미납")&gt;=3),"장기미납",
IF(AND(V1385="정상",OFFSET(Y1385,0,COUNTA(Y1385:AV1385)-1)&gt;=U1385),"정상",
IF(AND(V1385="정상",OFFSET(Y1385,0,COUNTA(Y1385:AV1385)-1)=0),"정상",
"계약서 미작성")))))</f>
        <v>면제</v>
      </c>
      <c r="X1385" s="81" t="str">
        <f aca="true">
IF(D1385="폐업","폐업",
IF(AND(V1385="정상",OFFSET(Y1385,0,COUNTA(Y1385:AV1385)-1)="미납"),"미납",
IF(AND(V1385="정상",OFFSET(Y1385,0,COUNTA(Y1385:AV1385)-1)=0),"납부 시작 전",
IF(AND(V1385="정상",OFFSET(Y1385,0,COUNTA(Y1385:AV1385)-1)&gt;=U1385),"정상",
IF(AND(V1385="면제",OFFSET(Y1385,0,COUNTA(Y1385:AV1385)-1)="면제"),"면제",
IF(AND(V1385="면제",OFFSET(Y1385,0,COUNTA(Y1385:AV1385)-1)=0),"면제",
"확인요청"))))))</f>
        <v>면제</v>
      </c>
      <c r="Y1385" s="94" t="s">
        <v>7</v>
      </c>
      <c r="Z1385" s="95" t="s">
        <v>7</v>
      </c>
      <c r="AA1385" s="95" t="s">
        <v>7</v>
      </c>
      <c r="AB1385" s="95" t="s">
        <v>7</v>
      </c>
      <c r="AC1385" s="95" t="s">
        <v>7</v>
      </c>
      <c r="AD1385" s="95" t="s">
        <v>7</v>
      </c>
      <c r="AE1385" s="95" t="s">
        <v>7</v>
      </c>
      <c r="AF1385" s="95" t="s">
        <v>7</v>
      </c>
      <c r="AG1385" s="95" t="s">
        <v>7</v>
      </c>
      <c r="AH1385" s="95" t="s">
        <v>7</v>
      </c>
      <c r="AI1385" s="95" t="s">
        <v>7</v>
      </c>
      <c r="AJ1385" s="96" t="s">
        <v>7</v>
      </c>
      <c r="AK1385" s="97" t="s">
        <v>7</v>
      </c>
      <c r="AL1385" s="95" t="s">
        <v>7</v>
      </c>
      <c r="AM1385" s="90"/>
      <c r="AN1385" s="90"/>
      <c r="AO1385" s="90"/>
      <c r="AP1385" s="90"/>
      <c r="AQ1385" s="90"/>
      <c r="AR1385" s="90"/>
      <c r="AS1385" s="90"/>
      <c r="AT1385" s="90"/>
      <c r="AU1385" s="90"/>
      <c r="AV1385" s="91"/>
      <c r="AX1385" s="92"/>
    </row>
    <row r="1386" customFormat="false" ht="15.65" hidden="false" customHeight="false" outlineLevel="0" collapsed="false">
      <c r="C1386" s="72" t="n">
        <f aca="false">COUNTIFS($D$6:D1386,"&lt;&gt;"&amp;"")</f>
        <v>1381</v>
      </c>
      <c r="D1386" s="73" t="s">
        <v>12</v>
      </c>
      <c r="E1386" s="76" t="str">
        <f aca="false">
IF($D1386="정상",INDEX(임대자산!$D$3:$R$3000,MATCH($F1386,임대자산!$I$3:$I$3000,0),MATCH(E$3,임대자산!$D$3:$R$3,0)),
IF($D1386="폐업",INDEX(폐업정보!$D$3:$R$3000,MATCH($F1386,폐업정보!$I$3:$I$3000,0),MATCH(E$3,폐업정보!$D$3:$R$3,0)),
"Error"))</f>
        <v>서울</v>
      </c>
      <c r="F138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B1381</v>
      </c>
      <c r="G1386" s="76" t="str">
        <f aca="false">F1386&amp;RANDBETWEEN(0,10)</f>
        <v>B13816</v>
      </c>
      <c r="H1386" s="75" t="n">
        <f aca="false">
IF($D1386="정상",INDEX(임대자산!$D$3:$R$3000,MATCH($F1386,임대자산!$I$3:$I$3000,0),MATCH(H$4,임대자산!$D$3:$R$3,0)),
IF($D1386="폐업",INDEX(폐업정보!$D$3:$R$3000,MATCH($F1386,폐업정보!$I$3:$I$3000,0),MATCH(H$4,폐업정보!$D$3:$R$3,0)),
"Error"))</f>
        <v>45931</v>
      </c>
      <c r="I1386" s="75" t="str">
        <f aca="false">
IF($D1386="정상",INDEX(임대자산!$D$3:$R$3000,MATCH($F1386,임대자산!$I$3:$I$3000,0),MATCH(I$4,임대자산!$D$3:$R$3,0)),
IF($D1386="폐업",INDEX(폐업정보!$D$3:$R$3000,MATCH($F1386,폐업정보!$I$3:$I$3000,0),MATCH(I$4,폐업정보!$D$3:$R$3,0)),
"Error"))</f>
        <v>A1381</v>
      </c>
      <c r="J1386" s="75" t="str">
        <f aca="false">
IF($D1386="정상",INDEX(임대자산!$D$3:$R$3000,MATCH($F1386,임대자산!$I$3:$I$3000,0),MATCH(J$4,임대자산!$D$3:$R$3,0)),
IF($D1386="폐업",INDEX(폐업정보!$D$3:$R$3000,MATCH($F1386,폐업정보!$I$3:$I$3000,0),MATCH(J$4,폐업정보!$D$3:$R$3,0)),
"Error"))</f>
        <v>9971300000</v>
      </c>
      <c r="K1386" s="75" t="str">
        <f aca="false">
IF($D1386="정상",INDEX(임대자산!$D$3:$R$3000,MATCH($F1386,임대자산!$I$3:$I$3000,0),MATCH(K$4,임대자산!$D$3:$R$3,0)),
IF($D1386="폐업",INDEX(폐업정보!$D$3:$R$3000,MATCH($F1386,폐업정보!$I$3:$I$3000,0),MATCH(K$4,폐업정보!$D$3:$R$3,0)),
"Error"))</f>
        <v>C1381</v>
      </c>
      <c r="L1386" s="75" t="str">
        <f aca="false">
IF($D1386="정상",INDEX(임대자산!$D$3:$R$3000,MATCH($F1386,임대자산!$I$3:$I$3000,0),MATCH(L$4,임대자산!$D$3:$R$3,0)),
IF($D1386="폐업",INDEX(폐업정보!$D$3:$R$3000,MATCH($F1386,폐업정보!$I$3:$I$3000,0),MATCH(L$4,폐업정보!$D$3:$R$3,0)),
"Error"))</f>
        <v>D1381</v>
      </c>
      <c r="M1386" s="76" t="s">
        <v>96</v>
      </c>
      <c r="N1386" s="77"/>
      <c r="O1386" s="78" t="s">
        <v>97</v>
      </c>
      <c r="P1386" s="79" t="n">
        <f aca="false">COUNTIFS(임대자산!$I:$I,가맹점정보!F1386,임대자산!$N:$N,가맹점정보!P$4)</f>
        <v>0</v>
      </c>
      <c r="Q1386" s="80" t="n">
        <f aca="false">COUNTIFS(임대자산!$I:$I,가맹점정보!F1386,임대자산!$N:$N,가맹점정보!Q$4)</f>
        <v>0</v>
      </c>
      <c r="R1386" s="81" t="n">
        <f aca="false">COUNTIFS(임대자산!$I:$I,가맹점정보!F1386,임대자산!$N:$N,가맹점정보!R$4)</f>
        <v>1</v>
      </c>
      <c r="S1386" s="82" t="n">
        <v>88000</v>
      </c>
      <c r="T1386" s="83" t="n">
        <v>0</v>
      </c>
      <c r="U1386" s="80" t="n">
        <f aca="false">SUM(S1386:T1386)</f>
        <v>88000</v>
      </c>
      <c r="V1386" s="84" t="s">
        <v>7</v>
      </c>
      <c r="W1386" s="80" t="str">
        <f aca="true">
IF(D1386="폐업","폐업",
IF(V1386="면제","면제",
IF(AND(V1386="정상",COUNTIFS(OFFSET(Y1386,0,COUNTA(Y1386:AV1386)-1,1,-4),"미납")&gt;=3),"장기미납",
IF(AND(V1386="정상",OFFSET(Y1386,0,COUNTA(Y1386:AV1386)-1)&gt;=U1386),"정상",
IF(AND(V1386="정상",OFFSET(Y1386,0,COUNTA(Y1386:AV1386)-1)=0),"정상",
"계약서 미작성")))))</f>
        <v>면제</v>
      </c>
      <c r="X1386" s="81" t="str">
        <f aca="true">
IF(D1386="폐업","폐업",
IF(AND(V1386="정상",OFFSET(Y1386,0,COUNTA(Y1386:AV1386)-1)="미납"),"미납",
IF(AND(V1386="정상",OFFSET(Y1386,0,COUNTA(Y1386:AV1386)-1)=0),"납부 시작 전",
IF(AND(V1386="정상",OFFSET(Y1386,0,COUNTA(Y1386:AV1386)-1)&gt;=U1386),"정상",
IF(AND(V1386="면제",OFFSET(Y1386,0,COUNTA(Y1386:AV1386)-1)="면제"),"면제",
IF(AND(V1386="면제",OFFSET(Y1386,0,COUNTA(Y1386:AV1386)-1)=0),"면제",
"확인요청"))))))</f>
        <v>면제</v>
      </c>
      <c r="Y1386" s="94" t="s">
        <v>7</v>
      </c>
      <c r="Z1386" s="95" t="s">
        <v>7</v>
      </c>
      <c r="AA1386" s="95" t="s">
        <v>7</v>
      </c>
      <c r="AB1386" s="95" t="s">
        <v>7</v>
      </c>
      <c r="AC1386" s="95" t="s">
        <v>7</v>
      </c>
      <c r="AD1386" s="95" t="s">
        <v>7</v>
      </c>
      <c r="AE1386" s="95" t="s">
        <v>7</v>
      </c>
      <c r="AF1386" s="95" t="s">
        <v>7</v>
      </c>
      <c r="AG1386" s="95" t="s">
        <v>7</v>
      </c>
      <c r="AH1386" s="95" t="s">
        <v>7</v>
      </c>
      <c r="AI1386" s="95" t="s">
        <v>7</v>
      </c>
      <c r="AJ1386" s="96" t="s">
        <v>7</v>
      </c>
      <c r="AK1386" s="97" t="s">
        <v>7</v>
      </c>
      <c r="AL1386" s="95" t="s">
        <v>7</v>
      </c>
      <c r="AM1386" s="90"/>
      <c r="AN1386" s="90"/>
      <c r="AO1386" s="90"/>
      <c r="AP1386" s="90"/>
      <c r="AQ1386" s="90"/>
      <c r="AR1386" s="90"/>
      <c r="AS1386" s="90"/>
      <c r="AT1386" s="90"/>
      <c r="AU1386" s="90"/>
      <c r="AV1386" s="91"/>
      <c r="AX1386" s="92"/>
    </row>
    <row r="1387" customFormat="false" ht="15.65" hidden="false" customHeight="false" outlineLevel="0" collapsed="false">
      <c r="C1387" s="72" t="n">
        <f aca="false">COUNTIFS($D$6:D1387,"&lt;&gt;"&amp;"")</f>
        <v>1382</v>
      </c>
      <c r="D1387" s="73" t="s">
        <v>12</v>
      </c>
      <c r="E1387" s="76" t="str">
        <f aca="false">
IF($D1387="정상",INDEX(임대자산!$D$3:$R$3000,MATCH($F1387,임대자산!$I$3:$I$3000,0),MATCH(E$3,임대자산!$D$3:$R$3,0)),
IF($D1387="폐업",INDEX(폐업정보!$D$3:$R$3000,MATCH($F1387,폐업정보!$I$3:$I$3000,0),MATCH(E$3,폐업정보!$D$3:$R$3,0)),
"Error"))</f>
        <v>서울</v>
      </c>
      <c r="F138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B1382</v>
      </c>
      <c r="G1387" s="76" t="str">
        <f aca="false">F1387&amp;RANDBETWEEN(0,10)</f>
        <v>B13827</v>
      </c>
      <c r="H1387" s="75" t="n">
        <f aca="false">
IF($D1387="정상",INDEX(임대자산!$D$3:$R$3000,MATCH($F1387,임대자산!$I$3:$I$3000,0),MATCH(H$4,임대자산!$D$3:$R$3,0)),
IF($D1387="폐업",INDEX(폐업정보!$D$3:$R$3000,MATCH($F1387,폐업정보!$I$3:$I$3000,0),MATCH(H$4,폐업정보!$D$3:$R$3,0)),
"Error"))</f>
        <v>45911</v>
      </c>
      <c r="I1387" s="75" t="str">
        <f aca="false">
IF($D1387="정상",INDEX(임대자산!$D$3:$R$3000,MATCH($F1387,임대자산!$I$3:$I$3000,0),MATCH(I$4,임대자산!$D$3:$R$3,0)),
IF($D1387="폐업",INDEX(폐업정보!$D$3:$R$3000,MATCH($F1387,폐업정보!$I$3:$I$3000,0),MATCH(I$4,폐업정보!$D$3:$R$3,0)),
"Error"))</f>
        <v>A1382</v>
      </c>
      <c r="J1387" s="75" t="str">
        <f aca="false">
IF($D1387="정상",INDEX(임대자산!$D$3:$R$3000,MATCH($F1387,임대자산!$I$3:$I$3000,0),MATCH(J$4,임대자산!$D$3:$R$3,0)),
IF($D1387="폐업",INDEX(폐업정보!$D$3:$R$3000,MATCH($F1387,폐업정보!$I$3:$I$3000,0),MATCH(J$4,폐업정보!$D$3:$R$3,0)),
"Error"))</f>
        <v>8206600000</v>
      </c>
      <c r="K1387" s="75" t="str">
        <f aca="false">
IF($D1387="정상",INDEX(임대자산!$D$3:$R$3000,MATCH($F1387,임대자산!$I$3:$I$3000,0),MATCH(K$4,임대자산!$D$3:$R$3,0)),
IF($D1387="폐업",INDEX(폐업정보!$D$3:$R$3000,MATCH($F1387,폐업정보!$I$3:$I$3000,0),MATCH(K$4,폐업정보!$D$3:$R$3,0)),
"Error"))</f>
        <v>C1382</v>
      </c>
      <c r="L1387" s="75" t="str">
        <f aca="false">
IF($D1387="정상",INDEX(임대자산!$D$3:$R$3000,MATCH($F1387,임대자산!$I$3:$I$3000,0),MATCH(L$4,임대자산!$D$3:$R$3,0)),
IF($D1387="폐업",INDEX(폐업정보!$D$3:$R$3000,MATCH($F1387,폐업정보!$I$3:$I$3000,0),MATCH(L$4,폐업정보!$D$3:$R$3,0)),
"Error"))</f>
        <v>D1382</v>
      </c>
      <c r="M1387" s="76" t="s">
        <v>96</v>
      </c>
      <c r="N1387" s="77"/>
      <c r="O1387" s="78" t="s">
        <v>97</v>
      </c>
      <c r="P1387" s="79" t="n">
        <f aca="false">COUNTIFS(임대자산!$I:$I,가맹점정보!F1387,임대자산!$N:$N,가맹점정보!P$4)</f>
        <v>0</v>
      </c>
      <c r="Q1387" s="80" t="n">
        <f aca="false">COUNTIFS(임대자산!$I:$I,가맹점정보!F1387,임대자산!$N:$N,가맹점정보!Q$4)</f>
        <v>0</v>
      </c>
      <c r="R1387" s="81" t="n">
        <f aca="false">COUNTIFS(임대자산!$I:$I,가맹점정보!F1387,임대자산!$N:$N,가맹점정보!R$4)</f>
        <v>1</v>
      </c>
      <c r="S1387" s="82" t="n">
        <v>55000</v>
      </c>
      <c r="T1387" s="83" t="n">
        <v>0</v>
      </c>
      <c r="U1387" s="80" t="n">
        <f aca="false">SUM(S1387:T1387)</f>
        <v>55000</v>
      </c>
      <c r="V1387" s="84" t="s">
        <v>12</v>
      </c>
      <c r="W1387" s="80" t="e">
        <f aca="true">
IF(D1387="폐업","폐업",
IF(V1387="면제","면제",
IF(AND(V1387="정상",COUNTIFS(OFFSET(Y1387,0,COUNTA(Y1387:AV1387)-1,1,-4),"미납")&gt;=3),"장기미납",
IF(AND(V1387="정상",OFFSET(Y1387,0,COUNTA(Y1387:AV1387)-1)&gt;=U1387),"정상",
IF(AND(V1387="정상",OFFSET(Y1387,0,COUNTA(Y1387:AV1387)-1)=0),"정상",
"계약서 미작성")))))</f>
        <v>#VALUE!</v>
      </c>
      <c r="X1387" s="81" t="str">
        <f aca="true">
IF(D1387="폐업","폐업",
IF(AND(V1387="정상",OFFSET(Y1387,0,COUNTA(Y1387:AV1387)-1)="미납"),"미납",
IF(AND(V1387="정상",OFFSET(Y1387,0,COUNTA(Y1387:AV1387)-1)=0),"납부 시작 전",
IF(AND(V1387="정상",OFFSET(Y1387,0,COUNTA(Y1387:AV1387)-1)&gt;=U1387),"정상",
IF(AND(V1387="면제",OFFSET(Y1387,0,COUNTA(Y1387:AV1387)-1)="면제"),"면제",
IF(AND(V1387="면제",OFFSET(Y1387,0,COUNTA(Y1387:AV1387)-1)=0),"면제",
"확인요청"))))))</f>
        <v>정상</v>
      </c>
      <c r="Y1387" s="94" t="s">
        <v>62</v>
      </c>
      <c r="Z1387" s="90" t="n">
        <v>55000</v>
      </c>
      <c r="AA1387" s="90" t="n">
        <v>55000</v>
      </c>
      <c r="AB1387" s="90" t="n">
        <v>55000</v>
      </c>
      <c r="AC1387" s="90" t="n">
        <v>55000</v>
      </c>
      <c r="AD1387" s="90" t="n">
        <v>55000</v>
      </c>
      <c r="AE1387" s="90" t="n">
        <v>55000</v>
      </c>
      <c r="AF1387" s="90" t="n">
        <v>55000</v>
      </c>
      <c r="AG1387" s="90" t="n">
        <v>55000</v>
      </c>
      <c r="AH1387" s="90" t="n">
        <v>55000</v>
      </c>
      <c r="AI1387" s="90" t="n">
        <v>55000</v>
      </c>
      <c r="AJ1387" s="91" t="n">
        <v>55000</v>
      </c>
      <c r="AK1387" s="89" t="n">
        <v>55000</v>
      </c>
      <c r="AL1387" s="90" t="n">
        <v>55000</v>
      </c>
      <c r="AM1387" s="90"/>
      <c r="AN1387" s="90"/>
      <c r="AO1387" s="90"/>
      <c r="AP1387" s="90"/>
      <c r="AQ1387" s="90"/>
      <c r="AR1387" s="90"/>
      <c r="AS1387" s="90"/>
      <c r="AT1387" s="90"/>
      <c r="AU1387" s="90"/>
      <c r="AV1387" s="91"/>
      <c r="AX1387" s="92"/>
    </row>
    <row r="1388" customFormat="false" ht="15.65" hidden="false" customHeight="false" outlineLevel="0" collapsed="false">
      <c r="C1388" s="72" t="n">
        <f aca="false">COUNTIFS($D$6:D1388,"&lt;&gt;"&amp;"")</f>
        <v>1383</v>
      </c>
      <c r="D1388" s="73" t="s">
        <v>12</v>
      </c>
      <c r="E1388" s="76" t="str">
        <f aca="false">
IF($D1388="정상",INDEX(임대자산!$D$3:$R$3000,MATCH($F1388,임대자산!$I$3:$I$3000,0),MATCH(E$3,임대자산!$D$3:$R$3,0)),
IF($D1388="폐업",INDEX(폐업정보!$D$3:$R$3000,MATCH($F1388,폐업정보!$I$3:$I$3000,0),MATCH(E$3,폐업정보!$D$3:$R$3,0)),
"Error"))</f>
        <v>강원</v>
      </c>
      <c r="F138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B1383</v>
      </c>
      <c r="G1388" s="76" t="str">
        <f aca="false">F1388&amp;RANDBETWEEN(0,10)</f>
        <v>B13836</v>
      </c>
      <c r="H1388" s="75" t="n">
        <f aca="false">
IF($D1388="정상",INDEX(임대자산!$D$3:$R$3000,MATCH($F1388,임대자산!$I$3:$I$3000,0),MATCH(H$4,임대자산!$D$3:$R$3,0)),
IF($D1388="폐업",INDEX(폐업정보!$D$3:$R$3000,MATCH($F1388,폐업정보!$I$3:$I$3000,0),MATCH(H$4,폐업정보!$D$3:$R$3,0)),
"Error"))</f>
        <v>45369</v>
      </c>
      <c r="I1388" s="75" t="str">
        <f aca="false">
IF($D1388="정상",INDEX(임대자산!$D$3:$R$3000,MATCH($F1388,임대자산!$I$3:$I$3000,0),MATCH(I$4,임대자산!$D$3:$R$3,0)),
IF($D1388="폐업",INDEX(폐업정보!$D$3:$R$3000,MATCH($F1388,폐업정보!$I$3:$I$3000,0),MATCH(I$4,폐업정보!$D$3:$R$3,0)),
"Error"))</f>
        <v>A1383</v>
      </c>
      <c r="J1388" s="75" t="str">
        <f aca="false">
IF($D1388="정상",INDEX(임대자산!$D$3:$R$3000,MATCH($F1388,임대자산!$I$3:$I$3000,0),MATCH(J$4,임대자산!$D$3:$R$3,0)),
IF($D1388="폐업",INDEX(폐업정보!$D$3:$R$3000,MATCH($F1388,폐업정보!$I$3:$I$3000,0),MATCH(J$4,폐업정보!$D$3:$R$3,0)),
"Error"))</f>
        <v>2783800000</v>
      </c>
      <c r="K1388" s="75" t="str">
        <f aca="false">
IF($D1388="정상",INDEX(임대자산!$D$3:$R$3000,MATCH($F1388,임대자산!$I$3:$I$3000,0),MATCH(K$4,임대자산!$D$3:$R$3,0)),
IF($D1388="폐업",INDEX(폐업정보!$D$3:$R$3000,MATCH($F1388,폐업정보!$I$3:$I$3000,0),MATCH(K$4,폐업정보!$D$3:$R$3,0)),
"Error"))</f>
        <v>C1383</v>
      </c>
      <c r="L1388" s="75" t="str">
        <f aca="false">
IF($D1388="정상",INDEX(임대자산!$D$3:$R$3000,MATCH($F1388,임대자산!$I$3:$I$3000,0),MATCH(L$4,임대자산!$D$3:$R$3,0)),
IF($D1388="폐업",INDEX(폐업정보!$D$3:$R$3000,MATCH($F1388,폐업정보!$I$3:$I$3000,0),MATCH(L$4,폐업정보!$D$3:$R$3,0)),
"Error"))</f>
        <v>D1383</v>
      </c>
      <c r="M1388" s="76" t="s">
        <v>96</v>
      </c>
      <c r="N1388" s="77"/>
      <c r="O1388" s="78" t="s">
        <v>97</v>
      </c>
      <c r="P1388" s="79" t="n">
        <f aca="false">COUNTIFS(임대자산!$I:$I,가맹점정보!F1388,임대자산!$N:$N,가맹점정보!P$4)</f>
        <v>0</v>
      </c>
      <c r="Q1388" s="80" t="n">
        <f aca="false">COUNTIFS(임대자산!$I:$I,가맹점정보!F1388,임대자산!$N:$N,가맹점정보!Q$4)</f>
        <v>0</v>
      </c>
      <c r="R1388" s="81" t="n">
        <f aca="false">COUNTIFS(임대자산!$I:$I,가맹점정보!F1388,임대자산!$N:$N,가맹점정보!R$4)</f>
        <v>1</v>
      </c>
      <c r="S1388" s="82" t="n">
        <v>88000</v>
      </c>
      <c r="T1388" s="83" t="n">
        <v>0</v>
      </c>
      <c r="U1388" s="80" t="n">
        <f aca="false">SUM(S1388:T1388)</f>
        <v>88000</v>
      </c>
      <c r="V1388" s="84" t="s">
        <v>7</v>
      </c>
      <c r="W1388" s="80" t="str">
        <f aca="true">
IF(D1388="폐업","폐업",
IF(V1388="면제","면제",
IF(AND(V1388="정상",COUNTIFS(OFFSET(Y1388,0,COUNTA(Y1388:AV1388)-1,1,-4),"미납")&gt;=3),"장기미납",
IF(AND(V1388="정상",OFFSET(Y1388,0,COUNTA(Y1388:AV1388)-1)&gt;=U1388),"정상",
IF(AND(V1388="정상",OFFSET(Y1388,0,COUNTA(Y1388:AV1388)-1)=0),"정상",
"계약서 미작성")))))</f>
        <v>면제</v>
      </c>
      <c r="X1388" s="81" t="str">
        <f aca="true">
IF(D1388="폐업","폐업",
IF(AND(V1388="정상",OFFSET(Y1388,0,COUNTA(Y1388:AV1388)-1)="미납"),"미납",
IF(AND(V1388="정상",OFFSET(Y1388,0,COUNTA(Y1388:AV1388)-1)=0),"납부 시작 전",
IF(AND(V1388="정상",OFFSET(Y1388,0,COUNTA(Y1388:AV1388)-1)&gt;=U1388),"정상",
IF(AND(V1388="면제",OFFSET(Y1388,0,COUNTA(Y1388:AV1388)-1)="면제"),"면제",
IF(AND(V1388="면제",OFFSET(Y1388,0,COUNTA(Y1388:AV1388)-1)=0),"면제",
"확인요청"))))))</f>
        <v>면제</v>
      </c>
      <c r="Y1388" s="93" t="n">
        <v>55000</v>
      </c>
      <c r="Z1388" s="90" t="n">
        <v>55000</v>
      </c>
      <c r="AA1388" s="90" t="n">
        <v>55000</v>
      </c>
      <c r="AB1388" s="90" t="n">
        <v>55000</v>
      </c>
      <c r="AC1388" s="90" t="n">
        <v>55000</v>
      </c>
      <c r="AD1388" s="90" t="n">
        <v>55000</v>
      </c>
      <c r="AE1388" s="95" t="s">
        <v>7</v>
      </c>
      <c r="AF1388" s="95" t="s">
        <v>7</v>
      </c>
      <c r="AG1388" s="95" t="s">
        <v>7</v>
      </c>
      <c r="AH1388" s="95" t="s">
        <v>7</v>
      </c>
      <c r="AI1388" s="95" t="s">
        <v>7</v>
      </c>
      <c r="AJ1388" s="96" t="s">
        <v>7</v>
      </c>
      <c r="AK1388" s="97" t="s">
        <v>7</v>
      </c>
      <c r="AL1388" s="95" t="s">
        <v>7</v>
      </c>
      <c r="AM1388" s="90"/>
      <c r="AN1388" s="90"/>
      <c r="AO1388" s="90"/>
      <c r="AP1388" s="90"/>
      <c r="AQ1388" s="90"/>
      <c r="AR1388" s="90"/>
      <c r="AS1388" s="90"/>
      <c r="AT1388" s="90"/>
      <c r="AU1388" s="90"/>
      <c r="AV1388" s="91"/>
      <c r="AX1388" s="92"/>
    </row>
    <row r="1389" customFormat="false" ht="15.65" hidden="false" customHeight="false" outlineLevel="0" collapsed="false">
      <c r="C1389" s="72" t="n">
        <f aca="false">COUNTIFS($D$6:D1389,"&lt;&gt;"&amp;"")</f>
        <v>1384</v>
      </c>
      <c r="D1389" s="73" t="s">
        <v>12</v>
      </c>
      <c r="E1389" s="76" t="str">
        <f aca="false">
IF($D1389="정상",INDEX(임대자산!$D$3:$R$3000,MATCH($F1389,임대자산!$I$3:$I$3000,0),MATCH(E$3,임대자산!$D$3:$R$3,0)),
IF($D1389="폐업",INDEX(폐업정보!$D$3:$R$3000,MATCH($F1389,폐업정보!$I$3:$I$3000,0),MATCH(E$3,폐업정보!$D$3:$R$3,0)),
"Error"))</f>
        <v>강원</v>
      </c>
      <c r="F138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B1384</v>
      </c>
      <c r="G1389" s="76" t="str">
        <f aca="false">F1389&amp;RANDBETWEEN(0,10)</f>
        <v>B13846</v>
      </c>
      <c r="H1389" s="75" t="n">
        <f aca="false">
IF($D1389="정상",INDEX(임대자산!$D$3:$R$3000,MATCH($F1389,임대자산!$I$3:$I$3000,0),MATCH(H$4,임대자산!$D$3:$R$3,0)),
IF($D1389="폐업",INDEX(폐업정보!$D$3:$R$3000,MATCH($F1389,폐업정보!$I$3:$I$3000,0),MATCH(H$4,폐업정보!$D$3:$R$3,0)),
"Error"))</f>
        <v>45412</v>
      </c>
      <c r="I1389" s="75" t="str">
        <f aca="false">
IF($D1389="정상",INDEX(임대자산!$D$3:$R$3000,MATCH($F1389,임대자산!$I$3:$I$3000,0),MATCH(I$4,임대자산!$D$3:$R$3,0)),
IF($D1389="폐업",INDEX(폐업정보!$D$3:$R$3000,MATCH($F1389,폐업정보!$I$3:$I$3000,0),MATCH(I$4,폐업정보!$D$3:$R$3,0)),
"Error"))</f>
        <v>A1384</v>
      </c>
      <c r="J1389" s="75" t="str">
        <f aca="false">
IF($D1389="정상",INDEX(임대자산!$D$3:$R$3000,MATCH($F1389,임대자산!$I$3:$I$3000,0),MATCH(J$4,임대자산!$D$3:$R$3,0)),
IF($D1389="폐업",INDEX(폐업정보!$D$3:$R$3000,MATCH($F1389,폐업정보!$I$3:$I$3000,0),MATCH(J$4,폐업정보!$D$3:$R$3,0)),
"Error"))</f>
        <v>1854600000</v>
      </c>
      <c r="K1389" s="75" t="str">
        <f aca="false">
IF($D1389="정상",INDEX(임대자산!$D$3:$R$3000,MATCH($F1389,임대자산!$I$3:$I$3000,0),MATCH(K$4,임대자산!$D$3:$R$3,0)),
IF($D1389="폐업",INDEX(폐업정보!$D$3:$R$3000,MATCH($F1389,폐업정보!$I$3:$I$3000,0),MATCH(K$4,폐업정보!$D$3:$R$3,0)),
"Error"))</f>
        <v>C1384</v>
      </c>
      <c r="L1389" s="75" t="str">
        <f aca="false">
IF($D1389="정상",INDEX(임대자산!$D$3:$R$3000,MATCH($F1389,임대자산!$I$3:$I$3000,0),MATCH(L$4,임대자산!$D$3:$R$3,0)),
IF($D1389="폐업",INDEX(폐업정보!$D$3:$R$3000,MATCH($F1389,폐업정보!$I$3:$I$3000,0),MATCH(L$4,폐업정보!$D$3:$R$3,0)),
"Error"))</f>
        <v>D1384</v>
      </c>
      <c r="M1389" s="76" t="s">
        <v>96</v>
      </c>
      <c r="N1389" s="77"/>
      <c r="O1389" s="78" t="s">
        <v>97</v>
      </c>
      <c r="P1389" s="79" t="n">
        <f aca="false">COUNTIFS(임대자산!$I:$I,가맹점정보!F1389,임대자산!$N:$N,가맹점정보!P$4)</f>
        <v>0</v>
      </c>
      <c r="Q1389" s="80" t="n">
        <f aca="false">COUNTIFS(임대자산!$I:$I,가맹점정보!F1389,임대자산!$N:$N,가맹점정보!Q$4)</f>
        <v>0</v>
      </c>
      <c r="R1389" s="81" t="n">
        <f aca="false">COUNTIFS(임대자산!$I:$I,가맹점정보!F1389,임대자산!$N:$N,가맹점정보!R$4)</f>
        <v>1</v>
      </c>
      <c r="S1389" s="82" t="n">
        <v>55000</v>
      </c>
      <c r="T1389" s="83" t="n">
        <v>0</v>
      </c>
      <c r="U1389" s="80" t="n">
        <f aca="false">SUM(S1389:T1389)</f>
        <v>55000</v>
      </c>
      <c r="V1389" s="84" t="s">
        <v>7</v>
      </c>
      <c r="W1389" s="80" t="str">
        <f aca="true">
IF(D1389="폐업","폐업",
IF(V1389="면제","면제",
IF(AND(V1389="정상",COUNTIFS(OFFSET(Y1389,0,COUNTA(Y1389:AV1389)-1,1,-4),"미납")&gt;=3),"장기미납",
IF(AND(V1389="정상",OFFSET(Y1389,0,COUNTA(Y1389:AV1389)-1)&gt;=U1389),"정상",
IF(AND(V1389="정상",OFFSET(Y1389,0,COUNTA(Y1389:AV1389)-1)=0),"정상",
"계약서 미작성")))))</f>
        <v>면제</v>
      </c>
      <c r="X1389" s="81" t="str">
        <f aca="true">
IF(D1389="폐업","폐업",
IF(AND(V1389="정상",OFFSET(Y1389,0,COUNTA(Y1389:AV1389)-1)="미납"),"미납",
IF(AND(V1389="정상",OFFSET(Y1389,0,COUNTA(Y1389:AV1389)-1)=0),"납부 시작 전",
IF(AND(V1389="정상",OFFSET(Y1389,0,COUNTA(Y1389:AV1389)-1)&gt;=U1389),"정상",
IF(AND(V1389="면제",OFFSET(Y1389,0,COUNTA(Y1389:AV1389)-1)="면제"),"면제",
IF(AND(V1389="면제",OFFSET(Y1389,0,COUNTA(Y1389:AV1389)-1)=0),"면제",
"확인요청"))))))</f>
        <v>면제</v>
      </c>
      <c r="Y1389" s="94" t="s">
        <v>7</v>
      </c>
      <c r="Z1389" s="95" t="s">
        <v>7</v>
      </c>
      <c r="AA1389" s="95" t="s">
        <v>7</v>
      </c>
      <c r="AB1389" s="95" t="s">
        <v>7</v>
      </c>
      <c r="AC1389" s="95" t="s">
        <v>7</v>
      </c>
      <c r="AD1389" s="95" t="s">
        <v>7</v>
      </c>
      <c r="AE1389" s="95" t="s">
        <v>7</v>
      </c>
      <c r="AF1389" s="95" t="s">
        <v>7</v>
      </c>
      <c r="AG1389" s="95" t="s">
        <v>7</v>
      </c>
      <c r="AH1389" s="95" t="s">
        <v>7</v>
      </c>
      <c r="AI1389" s="95" t="s">
        <v>7</v>
      </c>
      <c r="AJ1389" s="96" t="s">
        <v>7</v>
      </c>
      <c r="AK1389" s="97" t="s">
        <v>7</v>
      </c>
      <c r="AL1389" s="95" t="s">
        <v>7</v>
      </c>
      <c r="AM1389" s="90"/>
      <c r="AN1389" s="90"/>
      <c r="AO1389" s="90"/>
      <c r="AP1389" s="90"/>
      <c r="AQ1389" s="90"/>
      <c r="AR1389" s="90"/>
      <c r="AS1389" s="90"/>
      <c r="AT1389" s="90"/>
      <c r="AU1389" s="90"/>
      <c r="AV1389" s="91"/>
      <c r="AX1389" s="92"/>
    </row>
    <row r="1390" customFormat="false" ht="15.65" hidden="false" customHeight="false" outlineLevel="0" collapsed="false">
      <c r="C1390" s="72" t="n">
        <f aca="false">COUNTIFS($D$6:D1390,"&lt;&gt;"&amp;"")</f>
        <v>1385</v>
      </c>
      <c r="D1390" s="73" t="s">
        <v>5</v>
      </c>
      <c r="E1390" s="76" t="str">
        <f aca="false">
IF($D1390="정상",INDEX(임대자산!$D$3:$R$3000,MATCH($F1390,임대자산!$I$3:$I$3000,0),MATCH(E$3,임대자산!$D$3:$R$3,0)),
IF($D1390="폐업",INDEX(폐업정보!$D$3:$R$3000,MATCH($F1390,폐업정보!$I$3:$I$3000,0),MATCH(E$3,폐업정보!$D$3:$R$3,0)),
"Error"))</f>
        <v>강원</v>
      </c>
      <c r="F139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B1385</v>
      </c>
      <c r="G1390" s="76" t="str">
        <f aca="false">F1390&amp;RANDBETWEEN(0,10)</f>
        <v>B13853</v>
      </c>
      <c r="H1390" s="75" t="n">
        <f aca="false">
IF($D1390="정상",INDEX(임대자산!$D$3:$R$3000,MATCH($F1390,임대자산!$I$3:$I$3000,0),MATCH(H$4,임대자산!$D$3:$R$3,0)),
IF($D1390="폐업",INDEX(폐업정보!$D$3:$R$3000,MATCH($F1390,폐업정보!$I$3:$I$3000,0),MATCH(H$4,폐업정보!$D$3:$R$3,0)),
"Error"))</f>
        <v>45412</v>
      </c>
      <c r="I1390" s="75" t="str">
        <f aca="false">
IF($D1390="정상",INDEX(임대자산!$D$3:$R$3000,MATCH($F1390,임대자산!$I$3:$I$3000,0),MATCH(I$4,임대자산!$D$3:$R$3,0)),
IF($D1390="폐업",INDEX(폐업정보!$D$3:$R$3000,MATCH($F1390,폐업정보!$I$3:$I$3000,0),MATCH(I$4,폐업정보!$D$3:$R$3,0)),
"Error"))</f>
        <v>A1385</v>
      </c>
      <c r="J1390" s="75" t="str">
        <f aca="false">
IF($D1390="정상",INDEX(임대자산!$D$3:$R$3000,MATCH($F1390,임대자산!$I$3:$I$3000,0),MATCH(J$4,임대자산!$D$3:$R$3,0)),
IF($D1390="폐업",INDEX(폐업정보!$D$3:$R$3000,MATCH($F1390,폐업정보!$I$3:$I$3000,0),MATCH(J$4,폐업정보!$D$3:$R$3,0)),
"Error"))</f>
        <v>5521000000</v>
      </c>
      <c r="K1390" s="75" t="str">
        <f aca="false">
IF($D1390="정상",INDEX(임대자산!$D$3:$R$3000,MATCH($F1390,임대자산!$I$3:$I$3000,0),MATCH(K$4,임대자산!$D$3:$R$3,0)),
IF($D1390="폐업",INDEX(폐업정보!$D$3:$R$3000,MATCH($F1390,폐업정보!$I$3:$I$3000,0),MATCH(K$4,폐업정보!$D$3:$R$3,0)),
"Error"))</f>
        <v>C1385</v>
      </c>
      <c r="L1390" s="75" t="str">
        <f aca="false">
IF($D1390="정상",INDEX(임대자산!$D$3:$R$3000,MATCH($F1390,임대자산!$I$3:$I$3000,0),MATCH(L$4,임대자산!$D$3:$R$3,0)),
IF($D1390="폐업",INDEX(폐업정보!$D$3:$R$3000,MATCH($F1390,폐업정보!$I$3:$I$3000,0),MATCH(L$4,폐업정보!$D$3:$R$3,0)),
"Error"))</f>
        <v>D1385</v>
      </c>
      <c r="M1390" s="76" t="s">
        <v>96</v>
      </c>
      <c r="N1390" s="77"/>
      <c r="O1390" s="78" t="s">
        <v>97</v>
      </c>
      <c r="P1390" s="79" t="n">
        <f aca="false">COUNTIFS(임대자산!$I:$I,가맹점정보!F1390,임대자산!$N:$N,가맹점정보!P$4)</f>
        <v>0</v>
      </c>
      <c r="Q1390" s="80" t="n">
        <f aca="false">COUNTIFS(임대자산!$I:$I,가맹점정보!F1390,임대자산!$N:$N,가맹점정보!Q$4)</f>
        <v>0</v>
      </c>
      <c r="R1390" s="81" t="n">
        <f aca="false">COUNTIFS(임대자산!$I:$I,가맹점정보!F1390,임대자산!$N:$N,가맹점정보!R$4)</f>
        <v>0</v>
      </c>
      <c r="S1390" s="82" t="n">
        <v>55000</v>
      </c>
      <c r="T1390" s="83" t="n">
        <v>0</v>
      </c>
      <c r="U1390" s="80" t="n">
        <f aca="false">SUM(S1390:T1390)</f>
        <v>55000</v>
      </c>
      <c r="V1390" s="84" t="s">
        <v>7</v>
      </c>
      <c r="W1390" s="80" t="str">
        <f aca="true">
IF(D1390="폐업","폐업",
IF(V1390="면제","면제",
IF(AND(V1390="정상",COUNTIFS(OFFSET(Y1390,0,COUNTA(Y1390:AV1390)-1,1,-4),"미납")&gt;=3),"장기미납",
IF(AND(V1390="정상",OFFSET(Y1390,0,COUNTA(Y1390:AV1390)-1)&gt;=U1390),"정상",
IF(AND(V1390="정상",OFFSET(Y1390,0,COUNTA(Y1390:AV1390)-1)=0),"정상",
"계약서 미작성")))))</f>
        <v>폐업</v>
      </c>
      <c r="X1390" s="81" t="str">
        <f aca="true">
IF(D1390="폐업","폐업",
IF(AND(V1390="정상",OFFSET(Y1390,0,COUNTA(Y1390:AV1390)-1)="미납"),"미납",
IF(AND(V1390="정상",OFFSET(Y1390,0,COUNTA(Y1390:AV1390)-1)=0),"납부 시작 전",
IF(AND(V1390="정상",OFFSET(Y1390,0,COUNTA(Y1390:AV1390)-1)&gt;=U1390),"정상",
IF(AND(V1390="면제",OFFSET(Y1390,0,COUNTA(Y1390:AV1390)-1)="면제"),"면제",
IF(AND(V1390="면제",OFFSET(Y1390,0,COUNTA(Y1390:AV1390)-1)=0),"면제",
"확인요청"))))))</f>
        <v>폐업</v>
      </c>
      <c r="Y1390" s="94" t="s">
        <v>7</v>
      </c>
      <c r="Z1390" s="95" t="s">
        <v>7</v>
      </c>
      <c r="AA1390" s="95" t="s">
        <v>7</v>
      </c>
      <c r="AB1390" s="95" t="s">
        <v>7</v>
      </c>
      <c r="AC1390" s="95" t="s">
        <v>7</v>
      </c>
      <c r="AD1390" s="95" t="s">
        <v>7</v>
      </c>
      <c r="AE1390" s="95" t="s">
        <v>7</v>
      </c>
      <c r="AF1390" s="95" t="s">
        <v>7</v>
      </c>
      <c r="AG1390" s="95" t="s">
        <v>7</v>
      </c>
      <c r="AH1390" s="95" t="s">
        <v>7</v>
      </c>
      <c r="AI1390" s="95" t="s">
        <v>7</v>
      </c>
      <c r="AJ1390" s="96" t="s">
        <v>7</v>
      </c>
      <c r="AK1390" s="97" t="s">
        <v>7</v>
      </c>
      <c r="AL1390" s="95" t="s">
        <v>7</v>
      </c>
      <c r="AM1390" s="90"/>
      <c r="AN1390" s="90"/>
      <c r="AO1390" s="90"/>
      <c r="AP1390" s="90"/>
      <c r="AQ1390" s="90"/>
      <c r="AR1390" s="90"/>
      <c r="AS1390" s="90"/>
      <c r="AT1390" s="90"/>
      <c r="AU1390" s="90"/>
      <c r="AV1390" s="91"/>
      <c r="AX1390" s="92"/>
    </row>
    <row r="1391" customFormat="false" ht="15.65" hidden="false" customHeight="false" outlineLevel="0" collapsed="false">
      <c r="C1391" s="72" t="n">
        <f aca="false">COUNTIFS($D$6:D1391,"&lt;&gt;"&amp;"")</f>
        <v>1386</v>
      </c>
      <c r="D1391" s="73" t="s">
        <v>12</v>
      </c>
      <c r="E1391" s="76" t="str">
        <f aca="false">
IF($D1391="정상",INDEX(임대자산!$D$3:$R$3000,MATCH($F1391,임대자산!$I$3:$I$3000,0),MATCH(E$3,임대자산!$D$3:$R$3,0)),
IF($D1391="폐업",INDEX(폐업정보!$D$3:$R$3000,MATCH($F1391,폐업정보!$I$3:$I$3000,0),MATCH(E$3,폐업정보!$D$3:$R$3,0)),
"Error"))</f>
        <v>서울</v>
      </c>
      <c r="F139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B1386</v>
      </c>
      <c r="G1391" s="76" t="str">
        <f aca="false">F1391&amp;RANDBETWEEN(0,10)</f>
        <v>B13863</v>
      </c>
      <c r="H1391" s="75" t="n">
        <f aca="false">
IF($D1391="정상",INDEX(임대자산!$D$3:$R$3000,MATCH($F1391,임대자산!$I$3:$I$3000,0),MATCH(H$4,임대자산!$D$3:$R$3,0)),
IF($D1391="폐업",INDEX(폐업정보!$D$3:$R$3000,MATCH($F1391,폐업정보!$I$3:$I$3000,0),MATCH(H$4,폐업정보!$D$3:$R$3,0)),
"Error"))</f>
        <v>45362</v>
      </c>
      <c r="I1391" s="75" t="str">
        <f aca="false">
IF($D1391="정상",INDEX(임대자산!$D$3:$R$3000,MATCH($F1391,임대자산!$I$3:$I$3000,0),MATCH(I$4,임대자산!$D$3:$R$3,0)),
IF($D1391="폐업",INDEX(폐업정보!$D$3:$R$3000,MATCH($F1391,폐업정보!$I$3:$I$3000,0),MATCH(I$4,폐업정보!$D$3:$R$3,0)),
"Error"))</f>
        <v>A1386</v>
      </c>
      <c r="J1391" s="75" t="str">
        <f aca="false">
IF($D1391="정상",INDEX(임대자산!$D$3:$R$3000,MATCH($F1391,임대자산!$I$3:$I$3000,0),MATCH(J$4,임대자산!$D$3:$R$3,0)),
IF($D1391="폐업",INDEX(폐업정보!$D$3:$R$3000,MATCH($F1391,폐업정보!$I$3:$I$3000,0),MATCH(J$4,폐업정보!$D$3:$R$3,0)),
"Error"))</f>
        <v>4925400000</v>
      </c>
      <c r="K1391" s="75" t="str">
        <f aca="false">
IF($D1391="정상",INDEX(임대자산!$D$3:$R$3000,MATCH($F1391,임대자산!$I$3:$I$3000,0),MATCH(K$4,임대자산!$D$3:$R$3,0)),
IF($D1391="폐업",INDEX(폐업정보!$D$3:$R$3000,MATCH($F1391,폐업정보!$I$3:$I$3000,0),MATCH(K$4,폐업정보!$D$3:$R$3,0)),
"Error"))</f>
        <v>C1386</v>
      </c>
      <c r="L1391" s="75" t="str">
        <f aca="false">
IF($D1391="정상",INDEX(임대자산!$D$3:$R$3000,MATCH($F1391,임대자산!$I$3:$I$3000,0),MATCH(L$4,임대자산!$D$3:$R$3,0)),
IF($D1391="폐업",INDEX(폐업정보!$D$3:$R$3000,MATCH($F1391,폐업정보!$I$3:$I$3000,0),MATCH(L$4,폐업정보!$D$3:$R$3,0)),
"Error"))</f>
        <v>D1386</v>
      </c>
      <c r="M1391" s="76" t="s">
        <v>96</v>
      </c>
      <c r="N1391" s="77"/>
      <c r="O1391" s="78" t="s">
        <v>97</v>
      </c>
      <c r="P1391" s="79" t="n">
        <f aca="false">COUNTIFS(임대자산!$I:$I,가맹점정보!F1391,임대자산!$N:$N,가맹점정보!P$4)</f>
        <v>0</v>
      </c>
      <c r="Q1391" s="80" t="n">
        <f aca="false">COUNTIFS(임대자산!$I:$I,가맹점정보!F1391,임대자산!$N:$N,가맹점정보!Q$4)</f>
        <v>0</v>
      </c>
      <c r="R1391" s="81" t="n">
        <f aca="false">COUNTIFS(임대자산!$I:$I,가맹점정보!F1391,임대자산!$N:$N,가맹점정보!R$4)</f>
        <v>1</v>
      </c>
      <c r="S1391" s="82" t="n">
        <v>55000</v>
      </c>
      <c r="T1391" s="83" t="n">
        <v>0</v>
      </c>
      <c r="U1391" s="80" t="n">
        <f aca="false">SUM(S1391:T1391)</f>
        <v>55000</v>
      </c>
      <c r="V1391" s="84" t="s">
        <v>7</v>
      </c>
      <c r="W1391" s="80" t="str">
        <f aca="true">
IF(D1391="폐업","폐업",
IF(V1391="면제","면제",
IF(AND(V1391="정상",COUNTIFS(OFFSET(Y1391,0,COUNTA(Y1391:AV1391)-1,1,-4),"미납")&gt;=3),"장기미납",
IF(AND(V1391="정상",OFFSET(Y1391,0,COUNTA(Y1391:AV1391)-1)&gt;=U1391),"정상",
IF(AND(V1391="정상",OFFSET(Y1391,0,COUNTA(Y1391:AV1391)-1)=0),"정상",
"계약서 미작성")))))</f>
        <v>면제</v>
      </c>
      <c r="X1391" s="81" t="str">
        <f aca="true">
IF(D1391="폐업","폐업",
IF(AND(V1391="정상",OFFSET(Y1391,0,COUNTA(Y1391:AV1391)-1)="미납"),"미납",
IF(AND(V1391="정상",OFFSET(Y1391,0,COUNTA(Y1391:AV1391)-1)=0),"납부 시작 전",
IF(AND(V1391="정상",OFFSET(Y1391,0,COUNTA(Y1391:AV1391)-1)&gt;=U1391),"정상",
IF(AND(V1391="면제",OFFSET(Y1391,0,COUNTA(Y1391:AV1391)-1)="면제"),"면제",
IF(AND(V1391="면제",OFFSET(Y1391,0,COUNTA(Y1391:AV1391)-1)=0),"면제",
"확인요청"))))))</f>
        <v>면제</v>
      </c>
      <c r="Y1391" s="94" t="s">
        <v>7</v>
      </c>
      <c r="Z1391" s="95" t="s">
        <v>7</v>
      </c>
      <c r="AA1391" s="95" t="s">
        <v>7</v>
      </c>
      <c r="AB1391" s="95" t="s">
        <v>7</v>
      </c>
      <c r="AC1391" s="95" t="s">
        <v>7</v>
      </c>
      <c r="AD1391" s="95" t="s">
        <v>7</v>
      </c>
      <c r="AE1391" s="95" t="s">
        <v>7</v>
      </c>
      <c r="AF1391" s="95" t="s">
        <v>7</v>
      </c>
      <c r="AG1391" s="95" t="s">
        <v>7</v>
      </c>
      <c r="AH1391" s="95" t="s">
        <v>7</v>
      </c>
      <c r="AI1391" s="95" t="s">
        <v>7</v>
      </c>
      <c r="AJ1391" s="96" t="s">
        <v>7</v>
      </c>
      <c r="AK1391" s="97" t="s">
        <v>7</v>
      </c>
      <c r="AL1391" s="95" t="s">
        <v>7</v>
      </c>
      <c r="AM1391" s="90"/>
      <c r="AN1391" s="90"/>
      <c r="AO1391" s="90"/>
      <c r="AP1391" s="90"/>
      <c r="AQ1391" s="90"/>
      <c r="AR1391" s="90"/>
      <c r="AS1391" s="90"/>
      <c r="AT1391" s="90"/>
      <c r="AU1391" s="90"/>
      <c r="AV1391" s="91"/>
      <c r="AX1391" s="92"/>
    </row>
    <row r="1392" customFormat="false" ht="15.65" hidden="false" customHeight="false" outlineLevel="0" collapsed="false">
      <c r="C1392" s="72" t="n">
        <f aca="false">COUNTIFS($D$6:D1392,"&lt;&gt;"&amp;"")</f>
        <v>1387</v>
      </c>
      <c r="D1392" s="73" t="s">
        <v>12</v>
      </c>
      <c r="E1392" s="76" t="str">
        <f aca="false">
IF($D1392="정상",INDEX(임대자산!$D$3:$R$3000,MATCH($F1392,임대자산!$I$3:$I$3000,0),MATCH(E$3,임대자산!$D$3:$R$3,0)),
IF($D1392="폐업",INDEX(폐업정보!$D$3:$R$3000,MATCH($F1392,폐업정보!$I$3:$I$3000,0),MATCH(E$3,폐업정보!$D$3:$R$3,0)),
"Error"))</f>
        <v>강원</v>
      </c>
      <c r="F139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B1387</v>
      </c>
      <c r="G1392" s="76" t="str">
        <f aca="false">F1392&amp;RANDBETWEEN(0,10)</f>
        <v>B13874</v>
      </c>
      <c r="H1392" s="75" t="n">
        <f aca="false">
IF($D1392="정상",INDEX(임대자산!$D$3:$R$3000,MATCH($F1392,임대자산!$I$3:$I$3000,0),MATCH(H$4,임대자산!$D$3:$R$3,0)),
IF($D1392="폐업",INDEX(폐업정보!$D$3:$R$3000,MATCH($F1392,폐업정보!$I$3:$I$3000,0),MATCH(H$4,폐업정보!$D$3:$R$3,0)),
"Error"))</f>
        <v>45349</v>
      </c>
      <c r="I1392" s="75" t="str">
        <f aca="false">
IF($D1392="정상",INDEX(임대자산!$D$3:$R$3000,MATCH($F1392,임대자산!$I$3:$I$3000,0),MATCH(I$4,임대자산!$D$3:$R$3,0)),
IF($D1392="폐업",INDEX(폐업정보!$D$3:$R$3000,MATCH($F1392,폐업정보!$I$3:$I$3000,0),MATCH(I$4,폐업정보!$D$3:$R$3,0)),
"Error"))</f>
        <v>A1387</v>
      </c>
      <c r="J1392" s="75" t="str">
        <f aca="false">
IF($D1392="정상",INDEX(임대자산!$D$3:$R$3000,MATCH($F1392,임대자산!$I$3:$I$3000,0),MATCH(J$4,임대자산!$D$3:$R$3,0)),
IF($D1392="폐업",INDEX(폐업정보!$D$3:$R$3000,MATCH($F1392,폐업정보!$I$3:$I$3000,0),MATCH(J$4,폐업정보!$D$3:$R$3,0)),
"Error"))</f>
        <v>2300100000</v>
      </c>
      <c r="K1392" s="75" t="str">
        <f aca="false">
IF($D1392="정상",INDEX(임대자산!$D$3:$R$3000,MATCH($F1392,임대자산!$I$3:$I$3000,0),MATCH(K$4,임대자산!$D$3:$R$3,0)),
IF($D1392="폐업",INDEX(폐업정보!$D$3:$R$3000,MATCH($F1392,폐업정보!$I$3:$I$3000,0),MATCH(K$4,폐업정보!$D$3:$R$3,0)),
"Error"))</f>
        <v>C1387</v>
      </c>
      <c r="L1392" s="75" t="str">
        <f aca="false">
IF($D1392="정상",INDEX(임대자산!$D$3:$R$3000,MATCH($F1392,임대자산!$I$3:$I$3000,0),MATCH(L$4,임대자산!$D$3:$R$3,0)),
IF($D1392="폐업",INDEX(폐업정보!$D$3:$R$3000,MATCH($F1392,폐업정보!$I$3:$I$3000,0),MATCH(L$4,폐업정보!$D$3:$R$3,0)),
"Error"))</f>
        <v>D1387</v>
      </c>
      <c r="M1392" s="76" t="s">
        <v>96</v>
      </c>
      <c r="N1392" s="77"/>
      <c r="O1392" s="78" t="s">
        <v>97</v>
      </c>
      <c r="P1392" s="79" t="n">
        <f aca="false">COUNTIFS(임대자산!$I:$I,가맹점정보!F1392,임대자산!$N:$N,가맹점정보!P$4)</f>
        <v>0</v>
      </c>
      <c r="Q1392" s="80" t="n">
        <f aca="false">COUNTIFS(임대자산!$I:$I,가맹점정보!F1392,임대자산!$N:$N,가맹점정보!Q$4)</f>
        <v>0</v>
      </c>
      <c r="R1392" s="81" t="n">
        <f aca="false">COUNTIFS(임대자산!$I:$I,가맹점정보!F1392,임대자산!$N:$N,가맹점정보!R$4)</f>
        <v>1</v>
      </c>
      <c r="S1392" s="82" t="n">
        <v>55000</v>
      </c>
      <c r="T1392" s="83" t="n">
        <v>0</v>
      </c>
      <c r="U1392" s="80" t="n">
        <f aca="false">SUM(S1392:T1392)</f>
        <v>55000</v>
      </c>
      <c r="V1392" s="84" t="s">
        <v>7</v>
      </c>
      <c r="W1392" s="80" t="str">
        <f aca="true">
IF(D1392="폐업","폐업",
IF(V1392="면제","면제",
IF(AND(V1392="정상",COUNTIFS(OFFSET(Y1392,0,COUNTA(Y1392:AV1392)-1,1,-4),"미납")&gt;=3),"장기미납",
IF(AND(V1392="정상",OFFSET(Y1392,0,COUNTA(Y1392:AV1392)-1)&gt;=U1392),"정상",
IF(AND(V1392="정상",OFFSET(Y1392,0,COUNTA(Y1392:AV1392)-1)=0),"정상",
"계약서 미작성")))))</f>
        <v>면제</v>
      </c>
      <c r="X1392" s="81" t="str">
        <f aca="true">
IF(D1392="폐업","폐업",
IF(AND(V1392="정상",OFFSET(Y1392,0,COUNTA(Y1392:AV1392)-1)="미납"),"미납",
IF(AND(V1392="정상",OFFSET(Y1392,0,COUNTA(Y1392:AV1392)-1)=0),"납부 시작 전",
IF(AND(V1392="정상",OFFSET(Y1392,0,COUNTA(Y1392:AV1392)-1)&gt;=U1392),"정상",
IF(AND(V1392="면제",OFFSET(Y1392,0,COUNTA(Y1392:AV1392)-1)="면제"),"면제",
IF(AND(V1392="면제",OFFSET(Y1392,0,COUNTA(Y1392:AV1392)-1)=0),"면제",
"확인요청"))))))</f>
        <v>면제</v>
      </c>
      <c r="Y1392" s="94" t="s">
        <v>7</v>
      </c>
      <c r="Z1392" s="95" t="s">
        <v>7</v>
      </c>
      <c r="AA1392" s="95" t="s">
        <v>7</v>
      </c>
      <c r="AB1392" s="95" t="s">
        <v>7</v>
      </c>
      <c r="AC1392" s="95" t="s">
        <v>7</v>
      </c>
      <c r="AD1392" s="95" t="s">
        <v>7</v>
      </c>
      <c r="AE1392" s="95" t="s">
        <v>7</v>
      </c>
      <c r="AF1392" s="95" t="s">
        <v>7</v>
      </c>
      <c r="AG1392" s="95" t="s">
        <v>7</v>
      </c>
      <c r="AH1392" s="95" t="s">
        <v>7</v>
      </c>
      <c r="AI1392" s="95" t="s">
        <v>7</v>
      </c>
      <c r="AJ1392" s="96" t="s">
        <v>7</v>
      </c>
      <c r="AK1392" s="97" t="s">
        <v>7</v>
      </c>
      <c r="AL1392" s="95" t="s">
        <v>7</v>
      </c>
      <c r="AM1392" s="90"/>
      <c r="AN1392" s="90"/>
      <c r="AO1392" s="90"/>
      <c r="AP1392" s="90"/>
      <c r="AQ1392" s="90"/>
      <c r="AR1392" s="90"/>
      <c r="AS1392" s="90"/>
      <c r="AT1392" s="90"/>
      <c r="AU1392" s="90"/>
      <c r="AV1392" s="91"/>
      <c r="AX1392" s="92"/>
    </row>
    <row r="1393" customFormat="false" ht="15.65" hidden="false" customHeight="false" outlineLevel="0" collapsed="false">
      <c r="C1393" s="72" t="n">
        <f aca="false">COUNTIFS($D$6:D1393,"&lt;&gt;"&amp;"")</f>
        <v>1388</v>
      </c>
      <c r="D1393" s="73" t="s">
        <v>12</v>
      </c>
      <c r="E1393" s="76" t="str">
        <f aca="false">
IF($D1393="정상",INDEX(임대자산!$D$3:$R$3000,MATCH($F1393,임대자산!$I$3:$I$3000,0),MATCH(E$3,임대자산!$D$3:$R$3,0)),
IF($D1393="폐업",INDEX(폐업정보!$D$3:$R$3000,MATCH($F1393,폐업정보!$I$3:$I$3000,0),MATCH(E$3,폐업정보!$D$3:$R$3,0)),
"Error"))</f>
        <v>경상</v>
      </c>
      <c r="F139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B1388</v>
      </c>
      <c r="G1393" s="76" t="str">
        <f aca="false">F1393&amp;RANDBETWEEN(0,10)</f>
        <v>B13885</v>
      </c>
      <c r="H1393" s="75" t="n">
        <f aca="false">
IF($D1393="정상",INDEX(임대자산!$D$3:$R$3000,MATCH($F1393,임대자산!$I$3:$I$3000,0),MATCH(H$4,임대자산!$D$3:$R$3,0)),
IF($D1393="폐업",INDEX(폐업정보!$D$3:$R$3000,MATCH($F1393,폐업정보!$I$3:$I$3000,0),MATCH(H$4,폐업정보!$D$3:$R$3,0)),
"Error"))</f>
        <v>45371</v>
      </c>
      <c r="I1393" s="75" t="str">
        <f aca="false">
IF($D1393="정상",INDEX(임대자산!$D$3:$R$3000,MATCH($F1393,임대자산!$I$3:$I$3000,0),MATCH(I$4,임대자산!$D$3:$R$3,0)),
IF($D1393="폐업",INDEX(폐업정보!$D$3:$R$3000,MATCH($F1393,폐업정보!$I$3:$I$3000,0),MATCH(I$4,폐업정보!$D$3:$R$3,0)),
"Error"))</f>
        <v>A1388</v>
      </c>
      <c r="J1393" s="75" t="str">
        <f aca="false">
IF($D1393="정상",INDEX(임대자산!$D$3:$R$3000,MATCH($F1393,임대자산!$I$3:$I$3000,0),MATCH(J$4,임대자산!$D$3:$R$3,0)),
IF($D1393="폐업",INDEX(폐업정보!$D$3:$R$3000,MATCH($F1393,폐업정보!$I$3:$I$3000,0),MATCH(J$4,폐업정보!$D$3:$R$3,0)),
"Error"))</f>
        <v>5518300000</v>
      </c>
      <c r="K1393" s="75" t="str">
        <f aca="false">
IF($D1393="정상",INDEX(임대자산!$D$3:$R$3000,MATCH($F1393,임대자산!$I$3:$I$3000,0),MATCH(K$4,임대자산!$D$3:$R$3,0)),
IF($D1393="폐업",INDEX(폐업정보!$D$3:$R$3000,MATCH($F1393,폐업정보!$I$3:$I$3000,0),MATCH(K$4,폐업정보!$D$3:$R$3,0)),
"Error"))</f>
        <v>C1388</v>
      </c>
      <c r="L1393" s="75" t="str">
        <f aca="false">
IF($D1393="정상",INDEX(임대자산!$D$3:$R$3000,MATCH($F1393,임대자산!$I$3:$I$3000,0),MATCH(L$4,임대자산!$D$3:$R$3,0)),
IF($D1393="폐업",INDEX(폐업정보!$D$3:$R$3000,MATCH($F1393,폐업정보!$I$3:$I$3000,0),MATCH(L$4,폐업정보!$D$3:$R$3,0)),
"Error"))</f>
        <v>D1388</v>
      </c>
      <c r="M1393" s="76" t="s">
        <v>96</v>
      </c>
      <c r="N1393" s="77"/>
      <c r="O1393" s="78" t="s">
        <v>97</v>
      </c>
      <c r="P1393" s="79" t="n">
        <f aca="false">COUNTIFS(임대자산!$I:$I,가맹점정보!F1393,임대자산!$N:$N,가맹점정보!P$4)</f>
        <v>0</v>
      </c>
      <c r="Q1393" s="80" t="n">
        <f aca="false">COUNTIFS(임대자산!$I:$I,가맹점정보!F1393,임대자산!$N:$N,가맹점정보!Q$4)</f>
        <v>0</v>
      </c>
      <c r="R1393" s="81" t="n">
        <f aca="false">COUNTIFS(임대자산!$I:$I,가맹점정보!F1393,임대자산!$N:$N,가맹점정보!R$4)</f>
        <v>1</v>
      </c>
      <c r="S1393" s="82" t="n">
        <v>55000</v>
      </c>
      <c r="T1393" s="83" t="n">
        <v>0</v>
      </c>
      <c r="U1393" s="80" t="n">
        <f aca="false">SUM(S1393:T1393)</f>
        <v>55000</v>
      </c>
      <c r="V1393" s="84" t="s">
        <v>7</v>
      </c>
      <c r="W1393" s="80" t="str">
        <f aca="true">
IF(D1393="폐업","폐업",
IF(V1393="면제","면제",
IF(AND(V1393="정상",COUNTIFS(OFFSET(Y1393,0,COUNTA(Y1393:AV1393)-1,1,-4),"미납")&gt;=3),"장기미납",
IF(AND(V1393="정상",OFFSET(Y1393,0,COUNTA(Y1393:AV1393)-1)&gt;=U1393),"정상",
IF(AND(V1393="정상",OFFSET(Y1393,0,COUNTA(Y1393:AV1393)-1)=0),"정상",
"계약서 미작성")))))</f>
        <v>면제</v>
      </c>
      <c r="X1393" s="81" t="str">
        <f aca="true">
IF(D1393="폐업","폐업",
IF(AND(V1393="정상",OFFSET(Y1393,0,COUNTA(Y1393:AV1393)-1)="미납"),"미납",
IF(AND(V1393="정상",OFFSET(Y1393,0,COUNTA(Y1393:AV1393)-1)=0),"납부 시작 전",
IF(AND(V1393="정상",OFFSET(Y1393,0,COUNTA(Y1393:AV1393)-1)&gt;=U1393),"정상",
IF(AND(V1393="면제",OFFSET(Y1393,0,COUNTA(Y1393:AV1393)-1)="면제"),"면제",
IF(AND(V1393="면제",OFFSET(Y1393,0,COUNTA(Y1393:AV1393)-1)=0),"면제",
"확인요청"))))))</f>
        <v>면제</v>
      </c>
      <c r="Y1393" s="94" t="s">
        <v>7</v>
      </c>
      <c r="Z1393" s="95" t="s">
        <v>7</v>
      </c>
      <c r="AA1393" s="95" t="s">
        <v>7</v>
      </c>
      <c r="AB1393" s="95" t="s">
        <v>7</v>
      </c>
      <c r="AC1393" s="95" t="s">
        <v>7</v>
      </c>
      <c r="AD1393" s="95" t="s">
        <v>7</v>
      </c>
      <c r="AE1393" s="95" t="s">
        <v>7</v>
      </c>
      <c r="AF1393" s="95" t="s">
        <v>7</v>
      </c>
      <c r="AG1393" s="95" t="s">
        <v>7</v>
      </c>
      <c r="AH1393" s="95" t="s">
        <v>7</v>
      </c>
      <c r="AI1393" s="95" t="s">
        <v>7</v>
      </c>
      <c r="AJ1393" s="96" t="s">
        <v>7</v>
      </c>
      <c r="AK1393" s="97" t="s">
        <v>7</v>
      </c>
      <c r="AL1393" s="95" t="s">
        <v>7</v>
      </c>
      <c r="AM1393" s="90"/>
      <c r="AN1393" s="90"/>
      <c r="AO1393" s="90"/>
      <c r="AP1393" s="90"/>
      <c r="AQ1393" s="90"/>
      <c r="AR1393" s="90"/>
      <c r="AS1393" s="90"/>
      <c r="AT1393" s="90"/>
      <c r="AU1393" s="90"/>
      <c r="AV1393" s="91"/>
      <c r="AX1393" s="92"/>
    </row>
    <row r="1394" customFormat="false" ht="15.65" hidden="false" customHeight="false" outlineLevel="0" collapsed="false">
      <c r="C1394" s="72" t="n">
        <f aca="false">COUNTIFS($D$6:D1394,"&lt;&gt;"&amp;"")</f>
        <v>1389</v>
      </c>
      <c r="D1394" s="73" t="s">
        <v>12</v>
      </c>
      <c r="E1394" s="76" t="str">
        <f aca="false">
IF($D1394="정상",INDEX(임대자산!$D$3:$R$3000,MATCH($F1394,임대자산!$I$3:$I$3000,0),MATCH(E$3,임대자산!$D$3:$R$3,0)),
IF($D1394="폐업",INDEX(폐업정보!$D$3:$R$3000,MATCH($F1394,폐업정보!$I$3:$I$3000,0),MATCH(E$3,폐업정보!$D$3:$R$3,0)),
"Error"))</f>
        <v>경기</v>
      </c>
      <c r="F139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B1389</v>
      </c>
      <c r="G1394" s="76" t="str">
        <f aca="false">F1394&amp;RANDBETWEEN(0,10)</f>
        <v>B13899</v>
      </c>
      <c r="H1394" s="75" t="n">
        <f aca="false">
IF($D1394="정상",INDEX(임대자산!$D$3:$R$3000,MATCH($F1394,임대자산!$I$3:$I$3000,0),MATCH(H$4,임대자산!$D$3:$R$3,0)),
IF($D1394="폐업",INDEX(폐업정보!$D$3:$R$3000,MATCH($F1394,폐업정보!$I$3:$I$3000,0),MATCH(H$4,폐업정보!$D$3:$R$3,0)),
"Error"))</f>
        <v>45370</v>
      </c>
      <c r="I1394" s="75" t="str">
        <f aca="false">
IF($D1394="정상",INDEX(임대자산!$D$3:$R$3000,MATCH($F1394,임대자산!$I$3:$I$3000,0),MATCH(I$4,임대자산!$D$3:$R$3,0)),
IF($D1394="폐업",INDEX(폐업정보!$D$3:$R$3000,MATCH($F1394,폐업정보!$I$3:$I$3000,0),MATCH(I$4,폐업정보!$D$3:$R$3,0)),
"Error"))</f>
        <v>A1389</v>
      </c>
      <c r="J1394" s="75" t="str">
        <f aca="false">
IF($D1394="정상",INDEX(임대자산!$D$3:$R$3000,MATCH($F1394,임대자산!$I$3:$I$3000,0),MATCH(J$4,임대자산!$D$3:$R$3,0)),
IF($D1394="폐업",INDEX(폐업정보!$D$3:$R$3000,MATCH($F1394,폐업정보!$I$3:$I$3000,0),MATCH(J$4,폐업정보!$D$3:$R$3,0)),
"Error"))</f>
        <v>1497000000</v>
      </c>
      <c r="K1394" s="75" t="str">
        <f aca="false">
IF($D1394="정상",INDEX(임대자산!$D$3:$R$3000,MATCH($F1394,임대자산!$I$3:$I$3000,0),MATCH(K$4,임대자산!$D$3:$R$3,0)),
IF($D1394="폐업",INDEX(폐업정보!$D$3:$R$3000,MATCH($F1394,폐업정보!$I$3:$I$3000,0),MATCH(K$4,폐업정보!$D$3:$R$3,0)),
"Error"))</f>
        <v>C1389</v>
      </c>
      <c r="L1394" s="75" t="str">
        <f aca="false">
IF($D1394="정상",INDEX(임대자산!$D$3:$R$3000,MATCH($F1394,임대자산!$I$3:$I$3000,0),MATCH(L$4,임대자산!$D$3:$R$3,0)),
IF($D1394="폐업",INDEX(폐업정보!$D$3:$R$3000,MATCH($F1394,폐업정보!$I$3:$I$3000,0),MATCH(L$4,폐업정보!$D$3:$R$3,0)),
"Error"))</f>
        <v>D1389</v>
      </c>
      <c r="M1394" s="76" t="s">
        <v>96</v>
      </c>
      <c r="N1394" s="77"/>
      <c r="O1394" s="78" t="s">
        <v>97</v>
      </c>
      <c r="P1394" s="79" t="n">
        <f aca="false">COUNTIFS(임대자산!$I:$I,가맹점정보!F1394,임대자산!$N:$N,가맹점정보!P$4)</f>
        <v>0</v>
      </c>
      <c r="Q1394" s="80" t="n">
        <f aca="false">COUNTIFS(임대자산!$I:$I,가맹점정보!F1394,임대자산!$N:$N,가맹점정보!Q$4)</f>
        <v>0</v>
      </c>
      <c r="R1394" s="81" t="n">
        <f aca="false">COUNTIFS(임대자산!$I:$I,가맹점정보!F1394,임대자산!$N:$N,가맹점정보!R$4)</f>
        <v>1</v>
      </c>
      <c r="S1394" s="82" t="n">
        <v>55000</v>
      </c>
      <c r="T1394" s="83" t="n">
        <v>0</v>
      </c>
      <c r="U1394" s="80" t="n">
        <f aca="false">SUM(S1394:T1394)</f>
        <v>55000</v>
      </c>
      <c r="V1394" s="84" t="s">
        <v>12</v>
      </c>
      <c r="W1394" s="80" t="e">
        <f aca="true">
IF(D1394="폐업","폐업",
IF(V1394="면제","면제",
IF(AND(V1394="정상",COUNTIFS(OFFSET(Y1394,0,COUNTA(Y1394:AV1394)-1,1,-4),"미납")&gt;=3),"장기미납",
IF(AND(V1394="정상",OFFSET(Y1394,0,COUNTA(Y1394:AV1394)-1)&gt;=U1394),"정상",
IF(AND(V1394="정상",OFFSET(Y1394,0,COUNTA(Y1394:AV1394)-1)=0),"정상",
"계약서 미작성")))))</f>
        <v>#VALUE!</v>
      </c>
      <c r="X1394" s="81" t="str">
        <f aca="true">
IF(D1394="폐업","폐업",
IF(AND(V1394="정상",OFFSET(Y1394,0,COUNTA(Y1394:AV1394)-1)="미납"),"미납",
IF(AND(V1394="정상",OFFSET(Y1394,0,COUNTA(Y1394:AV1394)-1)=0),"납부 시작 전",
IF(AND(V1394="정상",OFFSET(Y1394,0,COUNTA(Y1394:AV1394)-1)&gt;=U1394),"정상",
IF(AND(V1394="면제",OFFSET(Y1394,0,COUNTA(Y1394:AV1394)-1)="면제"),"면제",
IF(AND(V1394="면제",OFFSET(Y1394,0,COUNTA(Y1394:AV1394)-1)=0),"면제",
"확인요청"))))))</f>
        <v>미납</v>
      </c>
      <c r="Y1394" s="93" t="n">
        <v>55000</v>
      </c>
      <c r="Z1394" s="90" t="n">
        <v>55000</v>
      </c>
      <c r="AA1394" s="90" t="n">
        <v>55000</v>
      </c>
      <c r="AB1394" s="90" t="n">
        <v>55000</v>
      </c>
      <c r="AC1394" s="90" t="n">
        <v>55000</v>
      </c>
      <c r="AD1394" s="90" t="n">
        <v>55000</v>
      </c>
      <c r="AE1394" s="90" t="n">
        <v>55000</v>
      </c>
      <c r="AF1394" s="90" t="n">
        <v>55000</v>
      </c>
      <c r="AG1394" s="90" t="n">
        <v>55000</v>
      </c>
      <c r="AH1394" s="90" t="n">
        <v>55000</v>
      </c>
      <c r="AI1394" s="90" t="n">
        <v>55000</v>
      </c>
      <c r="AJ1394" s="96" t="s">
        <v>62</v>
      </c>
      <c r="AK1394" s="97" t="s">
        <v>62</v>
      </c>
      <c r="AL1394" s="95" t="s">
        <v>62</v>
      </c>
      <c r="AM1394" s="90"/>
      <c r="AN1394" s="90"/>
      <c r="AO1394" s="90"/>
      <c r="AP1394" s="90"/>
      <c r="AQ1394" s="90"/>
      <c r="AR1394" s="90"/>
      <c r="AS1394" s="90"/>
      <c r="AT1394" s="90"/>
      <c r="AU1394" s="90"/>
      <c r="AV1394" s="91"/>
      <c r="AX1394" s="92"/>
    </row>
    <row r="1395" customFormat="false" ht="15.65" hidden="false" customHeight="false" outlineLevel="0" collapsed="false">
      <c r="C1395" s="72" t="n">
        <f aca="false">COUNTIFS($D$6:D1395,"&lt;&gt;"&amp;"")</f>
        <v>1390</v>
      </c>
      <c r="D1395" s="73" t="s">
        <v>12</v>
      </c>
      <c r="E1395" s="76" t="str">
        <f aca="false">
IF($D1395="정상",INDEX(임대자산!$D$3:$R$3000,MATCH($F1395,임대자산!$I$3:$I$3000,0),MATCH(E$3,임대자산!$D$3:$R$3,0)),
IF($D1395="폐업",INDEX(폐업정보!$D$3:$R$3000,MATCH($F1395,폐업정보!$I$3:$I$3000,0),MATCH(E$3,폐업정보!$D$3:$R$3,0)),
"Error"))</f>
        <v>경기</v>
      </c>
      <c r="F139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B1390</v>
      </c>
      <c r="G1395" s="76" t="str">
        <f aca="false">F1395&amp;RANDBETWEEN(0,10)</f>
        <v>B13903</v>
      </c>
      <c r="H1395" s="75" t="n">
        <f aca="false">
IF($D1395="정상",INDEX(임대자산!$D$3:$R$3000,MATCH($F1395,임대자산!$I$3:$I$3000,0),MATCH(H$4,임대자산!$D$3:$R$3,0)),
IF($D1395="폐업",INDEX(폐업정보!$D$3:$R$3000,MATCH($F1395,폐업정보!$I$3:$I$3000,0),MATCH(H$4,폐업정보!$D$3:$R$3,0)),
"Error"))</f>
        <v>45370</v>
      </c>
      <c r="I1395" s="75" t="str">
        <f aca="false">
IF($D1395="정상",INDEX(임대자산!$D$3:$R$3000,MATCH($F1395,임대자산!$I$3:$I$3000,0),MATCH(I$4,임대자산!$D$3:$R$3,0)),
IF($D1395="폐업",INDEX(폐업정보!$D$3:$R$3000,MATCH($F1395,폐업정보!$I$3:$I$3000,0),MATCH(I$4,폐업정보!$D$3:$R$3,0)),
"Error"))</f>
        <v>A1390</v>
      </c>
      <c r="J1395" s="75" t="str">
        <f aca="false">
IF($D1395="정상",INDEX(임대자산!$D$3:$R$3000,MATCH($F1395,임대자산!$I$3:$I$3000,0),MATCH(J$4,임대자산!$D$3:$R$3,0)),
IF($D1395="폐업",INDEX(폐업정보!$D$3:$R$3000,MATCH($F1395,폐업정보!$I$3:$I$3000,0),MATCH(J$4,폐업정보!$D$3:$R$3,0)),
"Error"))</f>
        <v>6674600000</v>
      </c>
      <c r="K1395" s="75" t="str">
        <f aca="false">
IF($D1395="정상",INDEX(임대자산!$D$3:$R$3000,MATCH($F1395,임대자산!$I$3:$I$3000,0),MATCH(K$4,임대자산!$D$3:$R$3,0)),
IF($D1395="폐업",INDEX(폐업정보!$D$3:$R$3000,MATCH($F1395,폐업정보!$I$3:$I$3000,0),MATCH(K$4,폐업정보!$D$3:$R$3,0)),
"Error"))</f>
        <v>C1390</v>
      </c>
      <c r="L1395" s="75" t="str">
        <f aca="false">
IF($D1395="정상",INDEX(임대자산!$D$3:$R$3000,MATCH($F1395,임대자산!$I$3:$I$3000,0),MATCH(L$4,임대자산!$D$3:$R$3,0)),
IF($D1395="폐업",INDEX(폐업정보!$D$3:$R$3000,MATCH($F1395,폐업정보!$I$3:$I$3000,0),MATCH(L$4,폐업정보!$D$3:$R$3,0)),
"Error"))</f>
        <v>D1390</v>
      </c>
      <c r="M1395" s="76" t="s">
        <v>96</v>
      </c>
      <c r="N1395" s="77"/>
      <c r="O1395" s="78" t="s">
        <v>97</v>
      </c>
      <c r="P1395" s="79" t="n">
        <f aca="false">COUNTIFS(임대자산!$I:$I,가맹점정보!F1395,임대자산!$N:$N,가맹점정보!P$4)</f>
        <v>0</v>
      </c>
      <c r="Q1395" s="80" t="n">
        <f aca="false">COUNTIFS(임대자산!$I:$I,가맹점정보!F1395,임대자산!$N:$N,가맹점정보!Q$4)</f>
        <v>0</v>
      </c>
      <c r="R1395" s="81" t="n">
        <f aca="false">COUNTIFS(임대자산!$I:$I,가맹점정보!F1395,임대자산!$N:$N,가맹점정보!R$4)</f>
        <v>1</v>
      </c>
      <c r="S1395" s="82" t="n">
        <v>55000</v>
      </c>
      <c r="T1395" s="83" t="n">
        <v>0</v>
      </c>
      <c r="U1395" s="80" t="n">
        <f aca="false">SUM(S1395:T1395)</f>
        <v>55000</v>
      </c>
      <c r="V1395" s="84" t="s">
        <v>7</v>
      </c>
      <c r="W1395" s="80" t="str">
        <f aca="true">
IF(D1395="폐업","폐업",
IF(V1395="면제","면제",
IF(AND(V1395="정상",COUNTIFS(OFFSET(Y1395,0,COUNTA(Y1395:AV1395)-1,1,-4),"미납")&gt;=3),"장기미납",
IF(AND(V1395="정상",OFFSET(Y1395,0,COUNTA(Y1395:AV1395)-1)&gt;=U1395),"정상",
IF(AND(V1395="정상",OFFSET(Y1395,0,COUNTA(Y1395:AV1395)-1)=0),"정상",
"계약서 미작성")))))</f>
        <v>면제</v>
      </c>
      <c r="X1395" s="81" t="str">
        <f aca="true">
IF(D1395="폐업","폐업",
IF(AND(V1395="정상",OFFSET(Y1395,0,COUNTA(Y1395:AV1395)-1)="미납"),"미납",
IF(AND(V1395="정상",OFFSET(Y1395,0,COUNTA(Y1395:AV1395)-1)=0),"납부 시작 전",
IF(AND(V1395="정상",OFFSET(Y1395,0,COUNTA(Y1395:AV1395)-1)&gt;=U1395),"정상",
IF(AND(V1395="면제",OFFSET(Y1395,0,COUNTA(Y1395:AV1395)-1)="면제"),"면제",
IF(AND(V1395="면제",OFFSET(Y1395,0,COUNTA(Y1395:AV1395)-1)=0),"면제",
"확인요청"))))))</f>
        <v>면제</v>
      </c>
      <c r="Y1395" s="94" t="s">
        <v>7</v>
      </c>
      <c r="Z1395" s="95" t="s">
        <v>7</v>
      </c>
      <c r="AA1395" s="95" t="s">
        <v>7</v>
      </c>
      <c r="AB1395" s="95" t="s">
        <v>7</v>
      </c>
      <c r="AC1395" s="95" t="s">
        <v>7</v>
      </c>
      <c r="AD1395" s="95" t="s">
        <v>7</v>
      </c>
      <c r="AE1395" s="95" t="s">
        <v>7</v>
      </c>
      <c r="AF1395" s="95" t="s">
        <v>7</v>
      </c>
      <c r="AG1395" s="95" t="s">
        <v>7</v>
      </c>
      <c r="AH1395" s="95" t="s">
        <v>7</v>
      </c>
      <c r="AI1395" s="95" t="s">
        <v>7</v>
      </c>
      <c r="AJ1395" s="96" t="s">
        <v>7</v>
      </c>
      <c r="AK1395" s="97" t="s">
        <v>7</v>
      </c>
      <c r="AL1395" s="95" t="s">
        <v>7</v>
      </c>
      <c r="AM1395" s="90"/>
      <c r="AN1395" s="90"/>
      <c r="AO1395" s="90"/>
      <c r="AP1395" s="90"/>
      <c r="AQ1395" s="90"/>
      <c r="AR1395" s="90"/>
      <c r="AS1395" s="90"/>
      <c r="AT1395" s="90"/>
      <c r="AU1395" s="90"/>
      <c r="AV1395" s="91"/>
      <c r="AX1395" s="92"/>
    </row>
    <row r="1396" customFormat="false" ht="15.65" hidden="false" customHeight="false" outlineLevel="0" collapsed="false">
      <c r="C1396" s="72" t="n">
        <f aca="false">COUNTIFS($D$6:D1396,"&lt;&gt;"&amp;"")</f>
        <v>1391</v>
      </c>
      <c r="D1396" s="73" t="s">
        <v>12</v>
      </c>
      <c r="E1396" s="76" t="str">
        <f aca="false">
IF($D1396="정상",INDEX(임대자산!$D$3:$R$3000,MATCH($F1396,임대자산!$I$3:$I$3000,0),MATCH(E$3,임대자산!$D$3:$R$3,0)),
IF($D1396="폐업",INDEX(폐업정보!$D$3:$R$3000,MATCH($F1396,폐업정보!$I$3:$I$3000,0),MATCH(E$3,폐업정보!$D$3:$R$3,0)),
"Error"))</f>
        <v>경기</v>
      </c>
      <c r="F139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B1391</v>
      </c>
      <c r="G1396" s="76" t="str">
        <f aca="false">F1396&amp;RANDBETWEEN(0,10)</f>
        <v>B13911</v>
      </c>
      <c r="H1396" s="75" t="n">
        <f aca="false">
IF($D1396="정상",INDEX(임대자산!$D$3:$R$3000,MATCH($F1396,임대자산!$I$3:$I$3000,0),MATCH(H$4,임대자산!$D$3:$R$3,0)),
IF($D1396="폐업",INDEX(폐업정보!$D$3:$R$3000,MATCH($F1396,폐업정보!$I$3:$I$3000,0),MATCH(H$4,폐업정보!$D$3:$R$3,0)),
"Error"))</f>
        <v>45371</v>
      </c>
      <c r="I1396" s="75" t="str">
        <f aca="false">
IF($D1396="정상",INDEX(임대자산!$D$3:$R$3000,MATCH($F1396,임대자산!$I$3:$I$3000,0),MATCH(I$4,임대자산!$D$3:$R$3,0)),
IF($D1396="폐업",INDEX(폐업정보!$D$3:$R$3000,MATCH($F1396,폐업정보!$I$3:$I$3000,0),MATCH(I$4,폐업정보!$D$3:$R$3,0)),
"Error"))</f>
        <v>A1391</v>
      </c>
      <c r="J1396" s="75" t="str">
        <f aca="false">
IF($D1396="정상",INDEX(임대자산!$D$3:$R$3000,MATCH($F1396,임대자산!$I$3:$I$3000,0),MATCH(J$4,임대자산!$D$3:$R$3,0)),
IF($D1396="폐업",INDEX(폐업정보!$D$3:$R$3000,MATCH($F1396,폐업정보!$I$3:$I$3000,0),MATCH(J$4,폐업정보!$D$3:$R$3,0)),
"Error"))</f>
        <v>4080200000</v>
      </c>
      <c r="K1396" s="75" t="str">
        <f aca="false">
IF($D1396="정상",INDEX(임대자산!$D$3:$R$3000,MATCH($F1396,임대자산!$I$3:$I$3000,0),MATCH(K$4,임대자산!$D$3:$R$3,0)),
IF($D1396="폐업",INDEX(폐업정보!$D$3:$R$3000,MATCH($F1396,폐업정보!$I$3:$I$3000,0),MATCH(K$4,폐업정보!$D$3:$R$3,0)),
"Error"))</f>
        <v>C1391</v>
      </c>
      <c r="L1396" s="75" t="str">
        <f aca="false">
IF($D1396="정상",INDEX(임대자산!$D$3:$R$3000,MATCH($F1396,임대자산!$I$3:$I$3000,0),MATCH(L$4,임대자산!$D$3:$R$3,0)),
IF($D1396="폐업",INDEX(폐업정보!$D$3:$R$3000,MATCH($F1396,폐업정보!$I$3:$I$3000,0),MATCH(L$4,폐업정보!$D$3:$R$3,0)),
"Error"))</f>
        <v>D1391</v>
      </c>
      <c r="M1396" s="76" t="s">
        <v>96</v>
      </c>
      <c r="N1396" s="77"/>
      <c r="O1396" s="78" t="s">
        <v>97</v>
      </c>
      <c r="P1396" s="79" t="n">
        <f aca="false">COUNTIFS(임대자산!$I:$I,가맹점정보!F1396,임대자산!$N:$N,가맹점정보!P$4)</f>
        <v>0</v>
      </c>
      <c r="Q1396" s="80" t="n">
        <f aca="false">COUNTIFS(임대자산!$I:$I,가맹점정보!F1396,임대자산!$N:$N,가맹점정보!Q$4)</f>
        <v>0</v>
      </c>
      <c r="R1396" s="81" t="n">
        <f aca="false">COUNTIFS(임대자산!$I:$I,가맹점정보!F1396,임대자산!$N:$N,가맹점정보!R$4)</f>
        <v>1</v>
      </c>
      <c r="S1396" s="82" t="n">
        <v>88000</v>
      </c>
      <c r="T1396" s="83" t="n">
        <v>0</v>
      </c>
      <c r="U1396" s="80" t="n">
        <f aca="false">SUM(S1396:T1396)</f>
        <v>88000</v>
      </c>
      <c r="V1396" s="84" t="s">
        <v>7</v>
      </c>
      <c r="W1396" s="80" t="str">
        <f aca="true">
IF(D1396="폐업","폐업",
IF(V1396="면제","면제",
IF(AND(V1396="정상",COUNTIFS(OFFSET(Y1396,0,COUNTA(Y1396:AV1396)-1,1,-4),"미납")&gt;=3),"장기미납",
IF(AND(V1396="정상",OFFSET(Y1396,0,COUNTA(Y1396:AV1396)-1)&gt;=U1396),"정상",
IF(AND(V1396="정상",OFFSET(Y1396,0,COUNTA(Y1396:AV1396)-1)=0),"정상",
"계약서 미작성")))))</f>
        <v>면제</v>
      </c>
      <c r="X1396" s="81" t="str">
        <f aca="true">
IF(D1396="폐업","폐업",
IF(AND(V1396="정상",OFFSET(Y1396,0,COUNTA(Y1396:AV1396)-1)="미납"),"미납",
IF(AND(V1396="정상",OFFSET(Y1396,0,COUNTA(Y1396:AV1396)-1)=0),"납부 시작 전",
IF(AND(V1396="정상",OFFSET(Y1396,0,COUNTA(Y1396:AV1396)-1)&gt;=U1396),"정상",
IF(AND(V1396="면제",OFFSET(Y1396,0,COUNTA(Y1396:AV1396)-1)="면제"),"면제",
IF(AND(V1396="면제",OFFSET(Y1396,0,COUNTA(Y1396:AV1396)-1)=0),"면제",
"확인요청"))))))</f>
        <v>면제</v>
      </c>
      <c r="Y1396" s="94" t="s">
        <v>7</v>
      </c>
      <c r="Z1396" s="95" t="s">
        <v>7</v>
      </c>
      <c r="AA1396" s="95" t="s">
        <v>7</v>
      </c>
      <c r="AB1396" s="95" t="s">
        <v>7</v>
      </c>
      <c r="AC1396" s="95" t="s">
        <v>7</v>
      </c>
      <c r="AD1396" s="95" t="s">
        <v>7</v>
      </c>
      <c r="AE1396" s="95" t="s">
        <v>7</v>
      </c>
      <c r="AF1396" s="95" t="s">
        <v>7</v>
      </c>
      <c r="AG1396" s="95" t="s">
        <v>7</v>
      </c>
      <c r="AH1396" s="95" t="s">
        <v>7</v>
      </c>
      <c r="AI1396" s="95" t="s">
        <v>7</v>
      </c>
      <c r="AJ1396" s="96" t="s">
        <v>7</v>
      </c>
      <c r="AK1396" s="97" t="s">
        <v>7</v>
      </c>
      <c r="AL1396" s="95" t="s">
        <v>7</v>
      </c>
      <c r="AM1396" s="90"/>
      <c r="AN1396" s="90"/>
      <c r="AO1396" s="90"/>
      <c r="AP1396" s="90"/>
      <c r="AQ1396" s="90"/>
      <c r="AR1396" s="90"/>
      <c r="AS1396" s="90"/>
      <c r="AT1396" s="90"/>
      <c r="AU1396" s="90"/>
      <c r="AV1396" s="91"/>
      <c r="AX1396" s="92"/>
    </row>
    <row r="1397" customFormat="false" ht="15.65" hidden="false" customHeight="false" outlineLevel="0" collapsed="false">
      <c r="C1397" s="72" t="n">
        <f aca="false">COUNTIFS($D$6:D1397,"&lt;&gt;"&amp;"")</f>
        <v>1392</v>
      </c>
      <c r="D1397" s="73" t="s">
        <v>12</v>
      </c>
      <c r="E1397" s="76" t="str">
        <f aca="false">
IF($D1397="정상",INDEX(임대자산!$D$3:$R$3000,MATCH($F1397,임대자산!$I$3:$I$3000,0),MATCH(E$3,임대자산!$D$3:$R$3,0)),
IF($D1397="폐업",INDEX(폐업정보!$D$3:$R$3000,MATCH($F1397,폐업정보!$I$3:$I$3000,0),MATCH(E$3,폐업정보!$D$3:$R$3,0)),
"Error"))</f>
        <v>경기</v>
      </c>
      <c r="F139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B1392</v>
      </c>
      <c r="G1397" s="76" t="str">
        <f aca="false">F1397&amp;RANDBETWEEN(0,10)</f>
        <v>B139210</v>
      </c>
      <c r="H1397" s="75" t="n">
        <f aca="false">
IF($D1397="정상",INDEX(임대자산!$D$3:$R$3000,MATCH($F1397,임대자산!$I$3:$I$3000,0),MATCH(H$4,임대자산!$D$3:$R$3,0)),
IF($D1397="폐업",INDEX(폐업정보!$D$3:$R$3000,MATCH($F1397,폐업정보!$I$3:$I$3000,0),MATCH(H$4,폐업정보!$D$3:$R$3,0)),
"Error"))</f>
        <v>45371</v>
      </c>
      <c r="I1397" s="75" t="str">
        <f aca="false">
IF($D1397="정상",INDEX(임대자산!$D$3:$R$3000,MATCH($F1397,임대자산!$I$3:$I$3000,0),MATCH(I$4,임대자산!$D$3:$R$3,0)),
IF($D1397="폐업",INDEX(폐업정보!$D$3:$R$3000,MATCH($F1397,폐업정보!$I$3:$I$3000,0),MATCH(I$4,폐업정보!$D$3:$R$3,0)),
"Error"))</f>
        <v>A1392</v>
      </c>
      <c r="J1397" s="75" t="str">
        <f aca="false">
IF($D1397="정상",INDEX(임대자산!$D$3:$R$3000,MATCH($F1397,임대자산!$I$3:$I$3000,0),MATCH(J$4,임대자산!$D$3:$R$3,0)),
IF($D1397="폐업",INDEX(폐업정보!$D$3:$R$3000,MATCH($F1397,폐업정보!$I$3:$I$3000,0),MATCH(J$4,폐업정보!$D$3:$R$3,0)),
"Error"))</f>
        <v>4650100000</v>
      </c>
      <c r="K1397" s="75" t="str">
        <f aca="false">
IF($D1397="정상",INDEX(임대자산!$D$3:$R$3000,MATCH($F1397,임대자산!$I$3:$I$3000,0),MATCH(K$4,임대자산!$D$3:$R$3,0)),
IF($D1397="폐업",INDEX(폐업정보!$D$3:$R$3000,MATCH($F1397,폐업정보!$I$3:$I$3000,0),MATCH(K$4,폐업정보!$D$3:$R$3,0)),
"Error"))</f>
        <v>C1392</v>
      </c>
      <c r="L1397" s="75" t="str">
        <f aca="false">
IF($D1397="정상",INDEX(임대자산!$D$3:$R$3000,MATCH($F1397,임대자산!$I$3:$I$3000,0),MATCH(L$4,임대자산!$D$3:$R$3,0)),
IF($D1397="폐업",INDEX(폐업정보!$D$3:$R$3000,MATCH($F1397,폐업정보!$I$3:$I$3000,0),MATCH(L$4,폐업정보!$D$3:$R$3,0)),
"Error"))</f>
        <v>D1392</v>
      </c>
      <c r="M1397" s="76" t="s">
        <v>96</v>
      </c>
      <c r="N1397" s="77"/>
      <c r="O1397" s="78" t="s">
        <v>97</v>
      </c>
      <c r="P1397" s="79" t="n">
        <f aca="false">COUNTIFS(임대자산!$I:$I,가맹점정보!F1397,임대자산!$N:$N,가맹점정보!P$4)</f>
        <v>0</v>
      </c>
      <c r="Q1397" s="80" t="n">
        <f aca="false">COUNTIFS(임대자산!$I:$I,가맹점정보!F1397,임대자산!$N:$N,가맹점정보!Q$4)</f>
        <v>0</v>
      </c>
      <c r="R1397" s="81" t="n">
        <f aca="false">COUNTIFS(임대자산!$I:$I,가맹점정보!F1397,임대자산!$N:$N,가맹점정보!R$4)</f>
        <v>1</v>
      </c>
      <c r="S1397" s="82" t="n">
        <v>55000</v>
      </c>
      <c r="T1397" s="83" t="n">
        <v>0</v>
      </c>
      <c r="U1397" s="80" t="n">
        <f aca="false">SUM(S1397:T1397)</f>
        <v>55000</v>
      </c>
      <c r="V1397" s="84" t="s">
        <v>7</v>
      </c>
      <c r="W1397" s="80" t="str">
        <f aca="true">
IF(D1397="폐업","폐업",
IF(V1397="면제","면제",
IF(AND(V1397="정상",COUNTIFS(OFFSET(Y1397,0,COUNTA(Y1397:AV1397)-1,1,-4),"미납")&gt;=3),"장기미납",
IF(AND(V1397="정상",OFFSET(Y1397,0,COUNTA(Y1397:AV1397)-1)&gt;=U1397),"정상",
IF(AND(V1397="정상",OFFSET(Y1397,0,COUNTA(Y1397:AV1397)-1)=0),"정상",
"계약서 미작성")))))</f>
        <v>면제</v>
      </c>
      <c r="X1397" s="81" t="str">
        <f aca="true">
IF(D1397="폐업","폐업",
IF(AND(V1397="정상",OFFSET(Y1397,0,COUNTA(Y1397:AV1397)-1)="미납"),"미납",
IF(AND(V1397="정상",OFFSET(Y1397,0,COUNTA(Y1397:AV1397)-1)=0),"납부 시작 전",
IF(AND(V1397="정상",OFFSET(Y1397,0,COUNTA(Y1397:AV1397)-1)&gt;=U1397),"정상",
IF(AND(V1397="면제",OFFSET(Y1397,0,COUNTA(Y1397:AV1397)-1)="면제"),"면제",
IF(AND(V1397="면제",OFFSET(Y1397,0,COUNTA(Y1397:AV1397)-1)=0),"면제",
"확인요청"))))))</f>
        <v>면제</v>
      </c>
      <c r="Y1397" s="94" t="s">
        <v>7</v>
      </c>
      <c r="Z1397" s="95" t="s">
        <v>7</v>
      </c>
      <c r="AA1397" s="95" t="s">
        <v>7</v>
      </c>
      <c r="AB1397" s="95" t="s">
        <v>7</v>
      </c>
      <c r="AC1397" s="95" t="s">
        <v>7</v>
      </c>
      <c r="AD1397" s="95" t="s">
        <v>7</v>
      </c>
      <c r="AE1397" s="95" t="s">
        <v>7</v>
      </c>
      <c r="AF1397" s="95" t="s">
        <v>7</v>
      </c>
      <c r="AG1397" s="95" t="s">
        <v>7</v>
      </c>
      <c r="AH1397" s="95" t="s">
        <v>7</v>
      </c>
      <c r="AI1397" s="95" t="s">
        <v>7</v>
      </c>
      <c r="AJ1397" s="96" t="s">
        <v>7</v>
      </c>
      <c r="AK1397" s="97" t="s">
        <v>7</v>
      </c>
      <c r="AL1397" s="95" t="s">
        <v>7</v>
      </c>
      <c r="AM1397" s="90"/>
      <c r="AN1397" s="90"/>
      <c r="AO1397" s="90"/>
      <c r="AP1397" s="90"/>
      <c r="AQ1397" s="90"/>
      <c r="AR1397" s="90"/>
      <c r="AS1397" s="90"/>
      <c r="AT1397" s="90"/>
      <c r="AU1397" s="90"/>
      <c r="AV1397" s="91"/>
      <c r="AX1397" s="92"/>
    </row>
    <row r="1398" customFormat="false" ht="15.65" hidden="false" customHeight="false" outlineLevel="0" collapsed="false">
      <c r="C1398" s="72" t="n">
        <f aca="false">COUNTIFS($D$6:D1398,"&lt;&gt;"&amp;"")</f>
        <v>1393</v>
      </c>
      <c r="D1398" s="73" t="s">
        <v>12</v>
      </c>
      <c r="E1398" s="76" t="str">
        <f aca="false">
IF($D1398="정상",INDEX(임대자산!$D$3:$R$3000,MATCH($F1398,임대자산!$I$3:$I$3000,0),MATCH(E$3,임대자산!$D$3:$R$3,0)),
IF($D1398="폐업",INDEX(폐업정보!$D$3:$R$3000,MATCH($F1398,폐업정보!$I$3:$I$3000,0),MATCH(E$3,폐업정보!$D$3:$R$3,0)),
"Error"))</f>
        <v>서울</v>
      </c>
      <c r="F139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B1393</v>
      </c>
      <c r="G1398" s="76" t="str">
        <f aca="false">F1398&amp;RANDBETWEEN(0,10)</f>
        <v>B13936</v>
      </c>
      <c r="H1398" s="75" t="n">
        <f aca="false">
IF($D1398="정상",INDEX(임대자산!$D$3:$R$3000,MATCH($F1398,임대자산!$I$3:$I$3000,0),MATCH(H$4,임대자산!$D$3:$R$3,0)),
IF($D1398="폐업",INDEX(폐업정보!$D$3:$R$3000,MATCH($F1398,폐업정보!$I$3:$I$3000,0),MATCH(H$4,폐업정보!$D$3:$R$3,0)),
"Error"))</f>
        <v>45348</v>
      </c>
      <c r="I1398" s="75" t="str">
        <f aca="false">
IF($D1398="정상",INDEX(임대자산!$D$3:$R$3000,MATCH($F1398,임대자산!$I$3:$I$3000,0),MATCH(I$4,임대자산!$D$3:$R$3,0)),
IF($D1398="폐업",INDEX(폐업정보!$D$3:$R$3000,MATCH($F1398,폐업정보!$I$3:$I$3000,0),MATCH(I$4,폐업정보!$D$3:$R$3,0)),
"Error"))</f>
        <v>A1393</v>
      </c>
      <c r="J1398" s="75" t="str">
        <f aca="false">
IF($D1398="정상",INDEX(임대자산!$D$3:$R$3000,MATCH($F1398,임대자산!$I$3:$I$3000,0),MATCH(J$4,임대자산!$D$3:$R$3,0)),
IF($D1398="폐업",INDEX(폐업정보!$D$3:$R$3000,MATCH($F1398,폐업정보!$I$3:$I$3000,0),MATCH(J$4,폐업정보!$D$3:$R$3,0)),
"Error"))</f>
        <v>7173800000</v>
      </c>
      <c r="K1398" s="75" t="str">
        <f aca="false">
IF($D1398="정상",INDEX(임대자산!$D$3:$R$3000,MATCH($F1398,임대자산!$I$3:$I$3000,0),MATCH(K$4,임대자산!$D$3:$R$3,0)),
IF($D1398="폐업",INDEX(폐업정보!$D$3:$R$3000,MATCH($F1398,폐업정보!$I$3:$I$3000,0),MATCH(K$4,폐업정보!$D$3:$R$3,0)),
"Error"))</f>
        <v>C1393</v>
      </c>
      <c r="L1398" s="75" t="str">
        <f aca="false">
IF($D1398="정상",INDEX(임대자산!$D$3:$R$3000,MATCH($F1398,임대자산!$I$3:$I$3000,0),MATCH(L$4,임대자산!$D$3:$R$3,0)),
IF($D1398="폐업",INDEX(폐업정보!$D$3:$R$3000,MATCH($F1398,폐업정보!$I$3:$I$3000,0),MATCH(L$4,폐업정보!$D$3:$R$3,0)),
"Error"))</f>
        <v>D1393</v>
      </c>
      <c r="M1398" s="76" t="s">
        <v>96</v>
      </c>
      <c r="N1398" s="77"/>
      <c r="O1398" s="78" t="s">
        <v>97</v>
      </c>
      <c r="P1398" s="79" t="n">
        <f aca="false">COUNTIFS(임대자산!$I:$I,가맹점정보!F1398,임대자산!$N:$N,가맹점정보!P$4)</f>
        <v>0</v>
      </c>
      <c r="Q1398" s="80" t="n">
        <f aca="false">COUNTIFS(임대자산!$I:$I,가맹점정보!F1398,임대자산!$N:$N,가맹점정보!Q$4)</f>
        <v>0</v>
      </c>
      <c r="R1398" s="81" t="n">
        <f aca="false">COUNTIFS(임대자산!$I:$I,가맹점정보!F1398,임대자산!$N:$N,가맹점정보!R$4)</f>
        <v>1</v>
      </c>
      <c r="S1398" s="82" t="n">
        <v>55000</v>
      </c>
      <c r="T1398" s="83" t="n">
        <v>0</v>
      </c>
      <c r="U1398" s="80" t="n">
        <f aca="false">SUM(S1398:T1398)</f>
        <v>55000</v>
      </c>
      <c r="V1398" s="84" t="s">
        <v>7</v>
      </c>
      <c r="W1398" s="80" t="str">
        <f aca="true">
IF(D1398="폐업","폐업",
IF(V1398="면제","면제",
IF(AND(V1398="정상",COUNTIFS(OFFSET(Y1398,0,COUNTA(Y1398:AV1398)-1,1,-4),"미납")&gt;=3),"장기미납",
IF(AND(V1398="정상",OFFSET(Y1398,0,COUNTA(Y1398:AV1398)-1)&gt;=U1398),"정상",
IF(AND(V1398="정상",OFFSET(Y1398,0,COUNTA(Y1398:AV1398)-1)=0),"정상",
"계약서 미작성")))))</f>
        <v>면제</v>
      </c>
      <c r="X1398" s="81" t="str">
        <f aca="true">
IF(D1398="폐업","폐업",
IF(AND(V1398="정상",OFFSET(Y1398,0,COUNTA(Y1398:AV1398)-1)="미납"),"미납",
IF(AND(V1398="정상",OFFSET(Y1398,0,COUNTA(Y1398:AV1398)-1)=0),"납부 시작 전",
IF(AND(V1398="정상",OFFSET(Y1398,0,COUNTA(Y1398:AV1398)-1)&gt;=U1398),"정상",
IF(AND(V1398="면제",OFFSET(Y1398,0,COUNTA(Y1398:AV1398)-1)="면제"),"면제",
IF(AND(V1398="면제",OFFSET(Y1398,0,COUNTA(Y1398:AV1398)-1)=0),"면제",
"확인요청"))))))</f>
        <v>면제</v>
      </c>
      <c r="Y1398" s="94" t="s">
        <v>7</v>
      </c>
      <c r="Z1398" s="95" t="s">
        <v>7</v>
      </c>
      <c r="AA1398" s="95" t="s">
        <v>7</v>
      </c>
      <c r="AB1398" s="95" t="s">
        <v>7</v>
      </c>
      <c r="AC1398" s="95" t="s">
        <v>7</v>
      </c>
      <c r="AD1398" s="95" t="s">
        <v>7</v>
      </c>
      <c r="AE1398" s="95" t="s">
        <v>7</v>
      </c>
      <c r="AF1398" s="95" t="s">
        <v>7</v>
      </c>
      <c r="AG1398" s="95" t="s">
        <v>7</v>
      </c>
      <c r="AH1398" s="95" t="s">
        <v>7</v>
      </c>
      <c r="AI1398" s="95" t="s">
        <v>7</v>
      </c>
      <c r="AJ1398" s="96" t="s">
        <v>7</v>
      </c>
      <c r="AK1398" s="97" t="s">
        <v>7</v>
      </c>
      <c r="AL1398" s="95" t="s">
        <v>7</v>
      </c>
      <c r="AM1398" s="90"/>
      <c r="AN1398" s="90"/>
      <c r="AO1398" s="90"/>
      <c r="AP1398" s="90"/>
      <c r="AQ1398" s="90"/>
      <c r="AR1398" s="90"/>
      <c r="AS1398" s="90"/>
      <c r="AT1398" s="90"/>
      <c r="AU1398" s="90"/>
      <c r="AV1398" s="91"/>
      <c r="AX1398" s="92"/>
    </row>
    <row r="1399" customFormat="false" ht="15.65" hidden="false" customHeight="false" outlineLevel="0" collapsed="false">
      <c r="C1399" s="72" t="n">
        <f aca="false">COUNTIFS($D$6:D1399,"&lt;&gt;"&amp;"")</f>
        <v>1394</v>
      </c>
      <c r="D1399" s="73" t="s">
        <v>12</v>
      </c>
      <c r="E1399" s="76" t="str">
        <f aca="false">
IF($D1399="정상",INDEX(임대자산!$D$3:$R$3000,MATCH($F1399,임대자산!$I$3:$I$3000,0),MATCH(E$3,임대자산!$D$3:$R$3,0)),
IF($D1399="폐업",INDEX(폐업정보!$D$3:$R$3000,MATCH($F1399,폐업정보!$I$3:$I$3000,0),MATCH(E$3,폐업정보!$D$3:$R$3,0)),
"Error"))</f>
        <v>서울</v>
      </c>
      <c r="F139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B1394</v>
      </c>
      <c r="G1399" s="76" t="str">
        <f aca="false">F1399&amp;RANDBETWEEN(0,10)</f>
        <v>B139410</v>
      </c>
      <c r="H1399" s="75" t="n">
        <f aca="false">
IF($D1399="정상",INDEX(임대자산!$D$3:$R$3000,MATCH($F1399,임대자산!$I$3:$I$3000,0),MATCH(H$4,임대자산!$D$3:$R$3,0)),
IF($D1399="폐업",INDEX(폐업정보!$D$3:$R$3000,MATCH($F1399,폐업정보!$I$3:$I$3000,0),MATCH(H$4,폐업정보!$D$3:$R$3,0)),
"Error"))</f>
        <v>45348</v>
      </c>
      <c r="I1399" s="75" t="str">
        <f aca="false">
IF($D1399="정상",INDEX(임대자산!$D$3:$R$3000,MATCH($F1399,임대자산!$I$3:$I$3000,0),MATCH(I$4,임대자산!$D$3:$R$3,0)),
IF($D1399="폐업",INDEX(폐업정보!$D$3:$R$3000,MATCH($F1399,폐업정보!$I$3:$I$3000,0),MATCH(I$4,폐업정보!$D$3:$R$3,0)),
"Error"))</f>
        <v>A1394</v>
      </c>
      <c r="J1399" s="75" t="str">
        <f aca="false">
IF($D1399="정상",INDEX(임대자산!$D$3:$R$3000,MATCH($F1399,임대자산!$I$3:$I$3000,0),MATCH(J$4,임대자산!$D$3:$R$3,0)),
IF($D1399="폐업",INDEX(폐업정보!$D$3:$R$3000,MATCH($F1399,폐업정보!$I$3:$I$3000,0),MATCH(J$4,폐업정보!$D$3:$R$3,0)),
"Error"))</f>
        <v>4626700000</v>
      </c>
      <c r="K1399" s="75" t="str">
        <f aca="false">
IF($D1399="정상",INDEX(임대자산!$D$3:$R$3000,MATCH($F1399,임대자산!$I$3:$I$3000,0),MATCH(K$4,임대자산!$D$3:$R$3,0)),
IF($D1399="폐업",INDEX(폐업정보!$D$3:$R$3000,MATCH($F1399,폐업정보!$I$3:$I$3000,0),MATCH(K$4,폐업정보!$D$3:$R$3,0)),
"Error"))</f>
        <v>C1394</v>
      </c>
      <c r="L1399" s="75" t="str">
        <f aca="false">
IF($D1399="정상",INDEX(임대자산!$D$3:$R$3000,MATCH($F1399,임대자산!$I$3:$I$3000,0),MATCH(L$4,임대자산!$D$3:$R$3,0)),
IF($D1399="폐업",INDEX(폐업정보!$D$3:$R$3000,MATCH($F1399,폐업정보!$I$3:$I$3000,0),MATCH(L$4,폐업정보!$D$3:$R$3,0)),
"Error"))</f>
        <v>D1394</v>
      </c>
      <c r="M1399" s="76" t="s">
        <v>96</v>
      </c>
      <c r="N1399" s="77"/>
      <c r="O1399" s="78" t="s">
        <v>97</v>
      </c>
      <c r="P1399" s="79" t="n">
        <f aca="false">COUNTIFS(임대자산!$I:$I,가맹점정보!F1399,임대자산!$N:$N,가맹점정보!P$4)</f>
        <v>0</v>
      </c>
      <c r="Q1399" s="80" t="n">
        <f aca="false">COUNTIFS(임대자산!$I:$I,가맹점정보!F1399,임대자산!$N:$N,가맹점정보!Q$4)</f>
        <v>0</v>
      </c>
      <c r="R1399" s="81" t="n">
        <f aca="false">COUNTIFS(임대자산!$I:$I,가맹점정보!F1399,임대자산!$N:$N,가맹점정보!R$4)</f>
        <v>1</v>
      </c>
      <c r="S1399" s="82" t="n">
        <v>55000</v>
      </c>
      <c r="T1399" s="83" t="n">
        <v>0</v>
      </c>
      <c r="U1399" s="80" t="n">
        <f aca="false">SUM(S1399:T1399)</f>
        <v>55000</v>
      </c>
      <c r="V1399" s="84" t="s">
        <v>7</v>
      </c>
      <c r="W1399" s="80" t="str">
        <f aca="true">
IF(D1399="폐업","폐업",
IF(V1399="면제","면제",
IF(AND(V1399="정상",COUNTIFS(OFFSET(Y1399,0,COUNTA(Y1399:AV1399)-1,1,-4),"미납")&gt;=3),"장기미납",
IF(AND(V1399="정상",OFFSET(Y1399,0,COUNTA(Y1399:AV1399)-1)&gt;=U1399),"정상",
IF(AND(V1399="정상",OFFSET(Y1399,0,COUNTA(Y1399:AV1399)-1)=0),"정상",
"계약서 미작성")))))</f>
        <v>면제</v>
      </c>
      <c r="X1399" s="81" t="str">
        <f aca="true">
IF(D1399="폐업","폐업",
IF(AND(V1399="정상",OFFSET(Y1399,0,COUNTA(Y1399:AV1399)-1)="미납"),"미납",
IF(AND(V1399="정상",OFFSET(Y1399,0,COUNTA(Y1399:AV1399)-1)=0),"납부 시작 전",
IF(AND(V1399="정상",OFFSET(Y1399,0,COUNTA(Y1399:AV1399)-1)&gt;=U1399),"정상",
IF(AND(V1399="면제",OFFSET(Y1399,0,COUNTA(Y1399:AV1399)-1)="면제"),"면제",
IF(AND(V1399="면제",OFFSET(Y1399,0,COUNTA(Y1399:AV1399)-1)=0),"면제",
"확인요청"))))))</f>
        <v>면제</v>
      </c>
      <c r="Y1399" s="94" t="s">
        <v>7</v>
      </c>
      <c r="Z1399" s="95" t="s">
        <v>7</v>
      </c>
      <c r="AA1399" s="95" t="s">
        <v>7</v>
      </c>
      <c r="AB1399" s="95" t="s">
        <v>7</v>
      </c>
      <c r="AC1399" s="95" t="s">
        <v>7</v>
      </c>
      <c r="AD1399" s="95" t="s">
        <v>7</v>
      </c>
      <c r="AE1399" s="95" t="s">
        <v>7</v>
      </c>
      <c r="AF1399" s="95" t="s">
        <v>7</v>
      </c>
      <c r="AG1399" s="95" t="s">
        <v>7</v>
      </c>
      <c r="AH1399" s="95" t="s">
        <v>7</v>
      </c>
      <c r="AI1399" s="95" t="s">
        <v>7</v>
      </c>
      <c r="AJ1399" s="96" t="s">
        <v>7</v>
      </c>
      <c r="AK1399" s="97" t="s">
        <v>7</v>
      </c>
      <c r="AL1399" s="95" t="s">
        <v>7</v>
      </c>
      <c r="AM1399" s="90"/>
      <c r="AN1399" s="90"/>
      <c r="AO1399" s="90"/>
      <c r="AP1399" s="90"/>
      <c r="AQ1399" s="90"/>
      <c r="AR1399" s="90"/>
      <c r="AS1399" s="90"/>
      <c r="AT1399" s="90"/>
      <c r="AU1399" s="90"/>
      <c r="AV1399" s="91"/>
      <c r="AX1399" s="92"/>
    </row>
    <row r="1400" customFormat="false" ht="15.65" hidden="false" customHeight="false" outlineLevel="0" collapsed="false">
      <c r="C1400" s="72" t="n">
        <f aca="false">COUNTIFS($D$6:D1400,"&lt;&gt;"&amp;"")</f>
        <v>1395</v>
      </c>
      <c r="D1400" s="73" t="s">
        <v>12</v>
      </c>
      <c r="E1400" s="76" t="str">
        <f aca="false">
IF($D1400="정상",INDEX(임대자산!$D$3:$R$3000,MATCH($F1400,임대자산!$I$3:$I$3000,0),MATCH(E$3,임대자산!$D$3:$R$3,0)),
IF($D1400="폐업",INDEX(폐업정보!$D$3:$R$3000,MATCH($F1400,폐업정보!$I$3:$I$3000,0),MATCH(E$3,폐업정보!$D$3:$R$3,0)),
"Error"))</f>
        <v>경상</v>
      </c>
      <c r="F140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B1395</v>
      </c>
      <c r="G1400" s="76" t="str">
        <f aca="false">F1400&amp;RANDBETWEEN(0,10)</f>
        <v>B13957</v>
      </c>
      <c r="H1400" s="75" t="n">
        <f aca="false">
IF($D1400="정상",INDEX(임대자산!$D$3:$R$3000,MATCH($F1400,임대자산!$I$3:$I$3000,0),MATCH(H$4,임대자산!$D$3:$R$3,0)),
IF($D1400="폐업",INDEX(폐업정보!$D$3:$R$3000,MATCH($F1400,폐업정보!$I$3:$I$3000,0),MATCH(H$4,폐업정보!$D$3:$R$3,0)),
"Error"))</f>
        <v>45819</v>
      </c>
      <c r="I1400" s="75" t="str">
        <f aca="false">
IF($D1400="정상",INDEX(임대자산!$D$3:$R$3000,MATCH($F1400,임대자산!$I$3:$I$3000,0),MATCH(I$4,임대자산!$D$3:$R$3,0)),
IF($D1400="폐업",INDEX(폐업정보!$D$3:$R$3000,MATCH($F1400,폐업정보!$I$3:$I$3000,0),MATCH(I$4,폐업정보!$D$3:$R$3,0)),
"Error"))</f>
        <v>A1395</v>
      </c>
      <c r="J1400" s="75" t="str">
        <f aca="false">
IF($D1400="정상",INDEX(임대자산!$D$3:$R$3000,MATCH($F1400,임대자산!$I$3:$I$3000,0),MATCH(J$4,임대자산!$D$3:$R$3,0)),
IF($D1400="폐업",INDEX(폐업정보!$D$3:$R$3000,MATCH($F1400,폐업정보!$I$3:$I$3000,0),MATCH(J$4,폐업정보!$D$3:$R$3,0)),
"Error"))</f>
        <v>2540700000</v>
      </c>
      <c r="K1400" s="75" t="str">
        <f aca="false">
IF($D1400="정상",INDEX(임대자산!$D$3:$R$3000,MATCH($F1400,임대자산!$I$3:$I$3000,0),MATCH(K$4,임대자산!$D$3:$R$3,0)),
IF($D1400="폐업",INDEX(폐업정보!$D$3:$R$3000,MATCH($F1400,폐업정보!$I$3:$I$3000,0),MATCH(K$4,폐업정보!$D$3:$R$3,0)),
"Error"))</f>
        <v>C1395</v>
      </c>
      <c r="L1400" s="75" t="str">
        <f aca="false">
IF($D1400="정상",INDEX(임대자산!$D$3:$R$3000,MATCH($F1400,임대자산!$I$3:$I$3000,0),MATCH(L$4,임대자산!$D$3:$R$3,0)),
IF($D1400="폐업",INDEX(폐업정보!$D$3:$R$3000,MATCH($F1400,폐업정보!$I$3:$I$3000,0),MATCH(L$4,폐업정보!$D$3:$R$3,0)),
"Error"))</f>
        <v>D1395</v>
      </c>
      <c r="M1400" s="76" t="s">
        <v>96</v>
      </c>
      <c r="N1400" s="77"/>
      <c r="O1400" s="78" t="s">
        <v>97</v>
      </c>
      <c r="P1400" s="79" t="n">
        <f aca="false">COUNTIFS(임대자산!$I:$I,가맹점정보!F1400,임대자산!$N:$N,가맹점정보!P$4)</f>
        <v>0</v>
      </c>
      <c r="Q1400" s="80" t="n">
        <f aca="false">COUNTIFS(임대자산!$I:$I,가맹점정보!F1400,임대자산!$N:$N,가맹점정보!Q$4)</f>
        <v>0</v>
      </c>
      <c r="R1400" s="81" t="n">
        <f aca="false">COUNTIFS(임대자산!$I:$I,가맹점정보!F1400,임대자산!$N:$N,가맹점정보!R$4)</f>
        <v>1</v>
      </c>
      <c r="S1400" s="82" t="n">
        <v>55000</v>
      </c>
      <c r="T1400" s="83" t="n">
        <v>0</v>
      </c>
      <c r="U1400" s="80" t="n">
        <f aca="false">SUM(S1400:T1400)</f>
        <v>55000</v>
      </c>
      <c r="V1400" s="84" t="s">
        <v>7</v>
      </c>
      <c r="W1400" s="80" t="str">
        <f aca="true">
IF(D1400="폐업","폐업",
IF(V1400="면제","면제",
IF(AND(V1400="정상",COUNTIFS(OFFSET(Y1400,0,COUNTA(Y1400:AV1400)-1,1,-4),"미납")&gt;=3),"장기미납",
IF(AND(V1400="정상",OFFSET(Y1400,0,COUNTA(Y1400:AV1400)-1)&gt;=U1400),"정상",
IF(AND(V1400="정상",OFFSET(Y1400,0,COUNTA(Y1400:AV1400)-1)=0),"정상",
"계약서 미작성")))))</f>
        <v>면제</v>
      </c>
      <c r="X1400" s="81" t="str">
        <f aca="true">
IF(D1400="폐업","폐업",
IF(AND(V1400="정상",OFFSET(Y1400,0,COUNTA(Y1400:AV1400)-1)="미납"),"미납",
IF(AND(V1400="정상",OFFSET(Y1400,0,COUNTA(Y1400:AV1400)-1)=0),"납부 시작 전",
IF(AND(V1400="정상",OFFSET(Y1400,0,COUNTA(Y1400:AV1400)-1)&gt;=U1400),"정상",
IF(AND(V1400="면제",OFFSET(Y1400,0,COUNTA(Y1400:AV1400)-1)="면제"),"면제",
IF(AND(V1400="면제",OFFSET(Y1400,0,COUNTA(Y1400:AV1400)-1)=0),"면제",
"확인요청"))))))</f>
        <v>면제</v>
      </c>
      <c r="Y1400" s="94" t="s">
        <v>7</v>
      </c>
      <c r="Z1400" s="95" t="s">
        <v>7</v>
      </c>
      <c r="AA1400" s="95" t="s">
        <v>7</v>
      </c>
      <c r="AB1400" s="95" t="s">
        <v>7</v>
      </c>
      <c r="AC1400" s="95" t="s">
        <v>7</v>
      </c>
      <c r="AD1400" s="95" t="s">
        <v>7</v>
      </c>
      <c r="AE1400" s="95" t="s">
        <v>7</v>
      </c>
      <c r="AF1400" s="95" t="s">
        <v>7</v>
      </c>
      <c r="AG1400" s="95" t="s">
        <v>7</v>
      </c>
      <c r="AH1400" s="95" t="s">
        <v>7</v>
      </c>
      <c r="AI1400" s="95" t="s">
        <v>7</v>
      </c>
      <c r="AJ1400" s="96" t="s">
        <v>7</v>
      </c>
      <c r="AK1400" s="97" t="s">
        <v>7</v>
      </c>
      <c r="AL1400" s="95" t="s">
        <v>7</v>
      </c>
      <c r="AM1400" s="90"/>
      <c r="AN1400" s="90"/>
      <c r="AO1400" s="90"/>
      <c r="AP1400" s="90"/>
      <c r="AQ1400" s="90"/>
      <c r="AR1400" s="90"/>
      <c r="AS1400" s="90"/>
      <c r="AT1400" s="90"/>
      <c r="AU1400" s="90"/>
      <c r="AV1400" s="91"/>
      <c r="AX1400" s="92"/>
    </row>
    <row r="1401" customFormat="false" ht="15.65" hidden="false" customHeight="false" outlineLevel="0" collapsed="false">
      <c r="C1401" s="72" t="n">
        <f aca="false">COUNTIFS($D$6:D1401,"&lt;&gt;"&amp;"")</f>
        <v>1396</v>
      </c>
      <c r="D1401" s="73" t="s">
        <v>12</v>
      </c>
      <c r="E1401" s="76" t="str">
        <f aca="false">
IF($D1401="정상",INDEX(임대자산!$D$3:$R$3000,MATCH($F1401,임대자산!$I$3:$I$3000,0),MATCH(E$3,임대자산!$D$3:$R$3,0)),
IF($D1401="폐업",INDEX(폐업정보!$D$3:$R$3000,MATCH($F1401,폐업정보!$I$3:$I$3000,0),MATCH(E$3,폐업정보!$D$3:$R$3,0)),
"Error"))</f>
        <v>경상</v>
      </c>
      <c r="F140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B1396</v>
      </c>
      <c r="G1401" s="76" t="str">
        <f aca="false">F1401&amp;RANDBETWEEN(0,10)</f>
        <v>B13963</v>
      </c>
      <c r="H1401" s="75" t="n">
        <f aca="false">
IF($D1401="정상",INDEX(임대자산!$D$3:$R$3000,MATCH($F1401,임대자산!$I$3:$I$3000,0),MATCH(H$4,임대자산!$D$3:$R$3,0)),
IF($D1401="폐업",INDEX(폐업정보!$D$3:$R$3000,MATCH($F1401,폐업정보!$I$3:$I$3000,0),MATCH(H$4,폐업정보!$D$3:$R$3,0)),
"Error"))</f>
        <v>45819</v>
      </c>
      <c r="I1401" s="75" t="str">
        <f aca="false">
IF($D1401="정상",INDEX(임대자산!$D$3:$R$3000,MATCH($F1401,임대자산!$I$3:$I$3000,0),MATCH(I$4,임대자산!$D$3:$R$3,0)),
IF($D1401="폐업",INDEX(폐업정보!$D$3:$R$3000,MATCH($F1401,폐업정보!$I$3:$I$3000,0),MATCH(I$4,폐업정보!$D$3:$R$3,0)),
"Error"))</f>
        <v>A1396</v>
      </c>
      <c r="J1401" s="75" t="str">
        <f aca="false">
IF($D1401="정상",INDEX(임대자산!$D$3:$R$3000,MATCH($F1401,임대자산!$I$3:$I$3000,0),MATCH(J$4,임대자산!$D$3:$R$3,0)),
IF($D1401="폐업",INDEX(폐업정보!$D$3:$R$3000,MATCH($F1401,폐업정보!$I$3:$I$3000,0),MATCH(J$4,폐업정보!$D$3:$R$3,0)),
"Error"))</f>
        <v>1879600000</v>
      </c>
      <c r="K1401" s="75" t="str">
        <f aca="false">
IF($D1401="정상",INDEX(임대자산!$D$3:$R$3000,MATCH($F1401,임대자산!$I$3:$I$3000,0),MATCH(K$4,임대자산!$D$3:$R$3,0)),
IF($D1401="폐업",INDEX(폐업정보!$D$3:$R$3000,MATCH($F1401,폐업정보!$I$3:$I$3000,0),MATCH(K$4,폐업정보!$D$3:$R$3,0)),
"Error"))</f>
        <v>C1396</v>
      </c>
      <c r="L1401" s="75" t="str">
        <f aca="false">
IF($D1401="정상",INDEX(임대자산!$D$3:$R$3000,MATCH($F1401,임대자산!$I$3:$I$3000,0),MATCH(L$4,임대자산!$D$3:$R$3,0)),
IF($D1401="폐업",INDEX(폐업정보!$D$3:$R$3000,MATCH($F1401,폐업정보!$I$3:$I$3000,0),MATCH(L$4,폐업정보!$D$3:$R$3,0)),
"Error"))</f>
        <v>D1396</v>
      </c>
      <c r="M1401" s="76" t="s">
        <v>96</v>
      </c>
      <c r="N1401" s="77"/>
      <c r="O1401" s="78" t="s">
        <v>97</v>
      </c>
      <c r="P1401" s="79" t="n">
        <f aca="false">COUNTIFS(임대자산!$I:$I,가맹점정보!F1401,임대자산!$N:$N,가맹점정보!P$4)</f>
        <v>0</v>
      </c>
      <c r="Q1401" s="80" t="n">
        <f aca="false">COUNTIFS(임대자산!$I:$I,가맹점정보!F1401,임대자산!$N:$N,가맹점정보!Q$4)</f>
        <v>0</v>
      </c>
      <c r="R1401" s="81" t="n">
        <f aca="false">COUNTIFS(임대자산!$I:$I,가맹점정보!F1401,임대자산!$N:$N,가맹점정보!R$4)</f>
        <v>1</v>
      </c>
      <c r="S1401" s="82" t="n">
        <v>88000</v>
      </c>
      <c r="T1401" s="83" t="n">
        <v>0</v>
      </c>
      <c r="U1401" s="80" t="n">
        <f aca="false">SUM(S1401:T1401)</f>
        <v>88000</v>
      </c>
      <c r="V1401" s="84" t="s">
        <v>7</v>
      </c>
      <c r="W1401" s="80" t="str">
        <f aca="true">
IF(D1401="폐업","폐업",
IF(V1401="면제","면제",
IF(AND(V1401="정상",COUNTIFS(OFFSET(Y1401,0,COUNTA(Y1401:AV1401)-1,1,-4),"미납")&gt;=3),"장기미납",
IF(AND(V1401="정상",OFFSET(Y1401,0,COUNTA(Y1401:AV1401)-1)&gt;=U1401),"정상",
IF(AND(V1401="정상",OFFSET(Y1401,0,COUNTA(Y1401:AV1401)-1)=0),"정상",
"계약서 미작성")))))</f>
        <v>면제</v>
      </c>
      <c r="X1401" s="81" t="str">
        <f aca="true">
IF(D1401="폐업","폐업",
IF(AND(V1401="정상",OFFSET(Y1401,0,COUNTA(Y1401:AV1401)-1)="미납"),"미납",
IF(AND(V1401="정상",OFFSET(Y1401,0,COUNTA(Y1401:AV1401)-1)=0),"납부 시작 전",
IF(AND(V1401="정상",OFFSET(Y1401,0,COUNTA(Y1401:AV1401)-1)&gt;=U1401),"정상",
IF(AND(V1401="면제",OFFSET(Y1401,0,COUNTA(Y1401:AV1401)-1)="면제"),"면제",
IF(AND(V1401="면제",OFFSET(Y1401,0,COUNTA(Y1401:AV1401)-1)=0),"면제",
"확인요청"))))))</f>
        <v>면제</v>
      </c>
      <c r="Y1401" s="94" t="s">
        <v>7</v>
      </c>
      <c r="Z1401" s="95" t="s">
        <v>7</v>
      </c>
      <c r="AA1401" s="95" t="s">
        <v>7</v>
      </c>
      <c r="AB1401" s="95" t="s">
        <v>7</v>
      </c>
      <c r="AC1401" s="95" t="s">
        <v>7</v>
      </c>
      <c r="AD1401" s="95" t="s">
        <v>7</v>
      </c>
      <c r="AE1401" s="95" t="s">
        <v>7</v>
      </c>
      <c r="AF1401" s="95" t="s">
        <v>7</v>
      </c>
      <c r="AG1401" s="95" t="s">
        <v>7</v>
      </c>
      <c r="AH1401" s="95" t="s">
        <v>7</v>
      </c>
      <c r="AI1401" s="95" t="s">
        <v>7</v>
      </c>
      <c r="AJ1401" s="96" t="s">
        <v>7</v>
      </c>
      <c r="AK1401" s="97" t="s">
        <v>7</v>
      </c>
      <c r="AL1401" s="95" t="s">
        <v>7</v>
      </c>
      <c r="AM1401" s="90"/>
      <c r="AN1401" s="90"/>
      <c r="AO1401" s="90"/>
      <c r="AP1401" s="90"/>
      <c r="AQ1401" s="90"/>
      <c r="AR1401" s="90"/>
      <c r="AS1401" s="90"/>
      <c r="AT1401" s="90"/>
      <c r="AU1401" s="90"/>
      <c r="AV1401" s="91"/>
      <c r="AX1401" s="92"/>
    </row>
    <row r="1402" customFormat="false" ht="15.65" hidden="false" customHeight="false" outlineLevel="0" collapsed="false">
      <c r="C1402" s="72" t="n">
        <f aca="false">COUNTIFS($D$6:D1402,"&lt;&gt;"&amp;"")</f>
        <v>1397</v>
      </c>
      <c r="D1402" s="73" t="s">
        <v>12</v>
      </c>
      <c r="E1402" s="76" t="str">
        <f aca="false">
IF($D1402="정상",INDEX(임대자산!$D$3:$R$3000,MATCH($F1402,임대자산!$I$3:$I$3000,0),MATCH(E$3,임대자산!$D$3:$R$3,0)),
IF($D1402="폐업",INDEX(폐업정보!$D$3:$R$3000,MATCH($F1402,폐업정보!$I$3:$I$3000,0),MATCH(E$3,폐업정보!$D$3:$R$3,0)),
"Error"))</f>
        <v>경상</v>
      </c>
      <c r="F140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B1397</v>
      </c>
      <c r="G1402" s="76" t="str">
        <f aca="false">F1402&amp;RANDBETWEEN(0,10)</f>
        <v>B13970</v>
      </c>
      <c r="H1402" s="75" t="n">
        <f aca="false">
IF($D1402="정상",INDEX(임대자산!$D$3:$R$3000,MATCH($F1402,임대자산!$I$3:$I$3000,0),MATCH(H$4,임대자산!$D$3:$R$3,0)),
IF($D1402="폐업",INDEX(폐업정보!$D$3:$R$3000,MATCH($F1402,폐업정보!$I$3:$I$3000,0),MATCH(H$4,폐업정보!$D$3:$R$3,0)),
"Error"))</f>
        <v>45349</v>
      </c>
      <c r="I1402" s="75" t="str">
        <f aca="false">
IF($D1402="정상",INDEX(임대자산!$D$3:$R$3000,MATCH($F1402,임대자산!$I$3:$I$3000,0),MATCH(I$4,임대자산!$D$3:$R$3,0)),
IF($D1402="폐업",INDEX(폐업정보!$D$3:$R$3000,MATCH($F1402,폐업정보!$I$3:$I$3000,0),MATCH(I$4,폐업정보!$D$3:$R$3,0)),
"Error"))</f>
        <v>A1397</v>
      </c>
      <c r="J1402" s="75" t="str">
        <f aca="false">
IF($D1402="정상",INDEX(임대자산!$D$3:$R$3000,MATCH($F1402,임대자산!$I$3:$I$3000,0),MATCH(J$4,임대자산!$D$3:$R$3,0)),
IF($D1402="폐업",INDEX(폐업정보!$D$3:$R$3000,MATCH($F1402,폐업정보!$I$3:$I$3000,0),MATCH(J$4,폐업정보!$D$3:$R$3,0)),
"Error"))</f>
        <v>3186500000</v>
      </c>
      <c r="K1402" s="75" t="str">
        <f aca="false">
IF($D1402="정상",INDEX(임대자산!$D$3:$R$3000,MATCH($F1402,임대자산!$I$3:$I$3000,0),MATCH(K$4,임대자산!$D$3:$R$3,0)),
IF($D1402="폐업",INDEX(폐업정보!$D$3:$R$3000,MATCH($F1402,폐업정보!$I$3:$I$3000,0),MATCH(K$4,폐업정보!$D$3:$R$3,0)),
"Error"))</f>
        <v>C1397</v>
      </c>
      <c r="L1402" s="75" t="str">
        <f aca="false">
IF($D1402="정상",INDEX(임대자산!$D$3:$R$3000,MATCH($F1402,임대자산!$I$3:$I$3000,0),MATCH(L$4,임대자산!$D$3:$R$3,0)),
IF($D1402="폐업",INDEX(폐업정보!$D$3:$R$3000,MATCH($F1402,폐업정보!$I$3:$I$3000,0),MATCH(L$4,폐업정보!$D$3:$R$3,0)),
"Error"))</f>
        <v>D1397</v>
      </c>
      <c r="M1402" s="76" t="s">
        <v>96</v>
      </c>
      <c r="N1402" s="77"/>
      <c r="O1402" s="78" t="s">
        <v>97</v>
      </c>
      <c r="P1402" s="79" t="n">
        <f aca="false">COUNTIFS(임대자산!$I:$I,가맹점정보!F1402,임대자산!$N:$N,가맹점정보!P$4)</f>
        <v>0</v>
      </c>
      <c r="Q1402" s="80" t="n">
        <f aca="false">COUNTIFS(임대자산!$I:$I,가맹점정보!F1402,임대자산!$N:$N,가맹점정보!Q$4)</f>
        <v>0</v>
      </c>
      <c r="R1402" s="81" t="n">
        <f aca="false">COUNTIFS(임대자산!$I:$I,가맹점정보!F1402,임대자산!$N:$N,가맹점정보!R$4)</f>
        <v>1</v>
      </c>
      <c r="S1402" s="82" t="n">
        <v>88000</v>
      </c>
      <c r="T1402" s="83" t="n">
        <v>0</v>
      </c>
      <c r="U1402" s="80" t="n">
        <f aca="false">SUM(S1402:T1402)</f>
        <v>88000</v>
      </c>
      <c r="V1402" s="84" t="s">
        <v>7</v>
      </c>
      <c r="W1402" s="80" t="str">
        <f aca="true">
IF(D1402="폐업","폐업",
IF(V1402="면제","면제",
IF(AND(V1402="정상",COUNTIFS(OFFSET(Y1402,0,COUNTA(Y1402:AV1402)-1,1,-4),"미납")&gt;=3),"장기미납",
IF(AND(V1402="정상",OFFSET(Y1402,0,COUNTA(Y1402:AV1402)-1)&gt;=U1402),"정상",
IF(AND(V1402="정상",OFFSET(Y1402,0,COUNTA(Y1402:AV1402)-1)=0),"정상",
"계약서 미작성")))))</f>
        <v>면제</v>
      </c>
      <c r="X1402" s="81" t="str">
        <f aca="true">
IF(D1402="폐업","폐업",
IF(AND(V1402="정상",OFFSET(Y1402,0,COUNTA(Y1402:AV1402)-1)="미납"),"미납",
IF(AND(V1402="정상",OFFSET(Y1402,0,COUNTA(Y1402:AV1402)-1)=0),"납부 시작 전",
IF(AND(V1402="정상",OFFSET(Y1402,0,COUNTA(Y1402:AV1402)-1)&gt;=U1402),"정상",
IF(AND(V1402="면제",OFFSET(Y1402,0,COUNTA(Y1402:AV1402)-1)="면제"),"면제",
IF(AND(V1402="면제",OFFSET(Y1402,0,COUNTA(Y1402:AV1402)-1)=0),"면제",
"확인요청"))))))</f>
        <v>면제</v>
      </c>
      <c r="Y1402" s="94" t="s">
        <v>7</v>
      </c>
      <c r="Z1402" s="95" t="s">
        <v>7</v>
      </c>
      <c r="AA1402" s="95" t="s">
        <v>7</v>
      </c>
      <c r="AB1402" s="95" t="s">
        <v>7</v>
      </c>
      <c r="AC1402" s="95" t="s">
        <v>7</v>
      </c>
      <c r="AD1402" s="95" t="s">
        <v>7</v>
      </c>
      <c r="AE1402" s="95" t="s">
        <v>7</v>
      </c>
      <c r="AF1402" s="95" t="s">
        <v>7</v>
      </c>
      <c r="AG1402" s="95" t="s">
        <v>7</v>
      </c>
      <c r="AH1402" s="95" t="s">
        <v>7</v>
      </c>
      <c r="AI1402" s="95" t="s">
        <v>7</v>
      </c>
      <c r="AJ1402" s="96" t="s">
        <v>7</v>
      </c>
      <c r="AK1402" s="97" t="s">
        <v>7</v>
      </c>
      <c r="AL1402" s="95" t="s">
        <v>7</v>
      </c>
      <c r="AM1402" s="90"/>
      <c r="AN1402" s="90"/>
      <c r="AO1402" s="90"/>
      <c r="AP1402" s="90"/>
      <c r="AQ1402" s="90"/>
      <c r="AR1402" s="90"/>
      <c r="AS1402" s="90"/>
      <c r="AT1402" s="90"/>
      <c r="AU1402" s="90"/>
      <c r="AV1402" s="91"/>
      <c r="AX1402" s="92"/>
    </row>
    <row r="1403" customFormat="false" ht="15.65" hidden="false" customHeight="false" outlineLevel="0" collapsed="false">
      <c r="C1403" s="72" t="n">
        <f aca="false">COUNTIFS($D$6:D1403,"&lt;&gt;"&amp;"")</f>
        <v>1398</v>
      </c>
      <c r="D1403" s="73" t="s">
        <v>12</v>
      </c>
      <c r="E1403" s="76" t="str">
        <f aca="false">
IF($D1403="정상",INDEX(임대자산!$D$3:$R$3000,MATCH($F1403,임대자산!$I$3:$I$3000,0),MATCH(E$3,임대자산!$D$3:$R$3,0)),
IF($D1403="폐업",INDEX(폐업정보!$D$3:$R$3000,MATCH($F1403,폐업정보!$I$3:$I$3000,0),MATCH(E$3,폐업정보!$D$3:$R$3,0)),
"Error"))</f>
        <v>경기</v>
      </c>
      <c r="F140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B1398</v>
      </c>
      <c r="G1403" s="76" t="str">
        <f aca="false">F1403&amp;RANDBETWEEN(0,10)</f>
        <v>B139810</v>
      </c>
      <c r="H1403" s="75" t="n">
        <f aca="false">
IF($D1403="정상",INDEX(임대자산!$D$3:$R$3000,MATCH($F1403,임대자산!$I$3:$I$3000,0),MATCH(H$4,임대자산!$D$3:$R$3,0)),
IF($D1403="폐업",INDEX(폐업정보!$D$3:$R$3000,MATCH($F1403,폐업정보!$I$3:$I$3000,0),MATCH(H$4,폐업정보!$D$3:$R$3,0)),
"Error"))</f>
        <v>45365</v>
      </c>
      <c r="I1403" s="75" t="str">
        <f aca="false">
IF($D1403="정상",INDEX(임대자산!$D$3:$R$3000,MATCH($F1403,임대자산!$I$3:$I$3000,0),MATCH(I$4,임대자산!$D$3:$R$3,0)),
IF($D1403="폐업",INDEX(폐업정보!$D$3:$R$3000,MATCH($F1403,폐업정보!$I$3:$I$3000,0),MATCH(I$4,폐업정보!$D$3:$R$3,0)),
"Error"))</f>
        <v>A1398</v>
      </c>
      <c r="J1403" s="75" t="str">
        <f aca="false">
IF($D1403="정상",INDEX(임대자산!$D$3:$R$3000,MATCH($F1403,임대자산!$I$3:$I$3000,0),MATCH(J$4,임대자산!$D$3:$R$3,0)),
IF($D1403="폐업",INDEX(폐업정보!$D$3:$R$3000,MATCH($F1403,폐업정보!$I$3:$I$3000,0),MATCH(J$4,폐업정보!$D$3:$R$3,0)),
"Error"))</f>
        <v>5284900000</v>
      </c>
      <c r="K1403" s="75" t="str">
        <f aca="false">
IF($D1403="정상",INDEX(임대자산!$D$3:$R$3000,MATCH($F1403,임대자산!$I$3:$I$3000,0),MATCH(K$4,임대자산!$D$3:$R$3,0)),
IF($D1403="폐업",INDEX(폐업정보!$D$3:$R$3000,MATCH($F1403,폐업정보!$I$3:$I$3000,0),MATCH(K$4,폐업정보!$D$3:$R$3,0)),
"Error"))</f>
        <v>C1398</v>
      </c>
      <c r="L1403" s="75" t="str">
        <f aca="false">
IF($D1403="정상",INDEX(임대자산!$D$3:$R$3000,MATCH($F1403,임대자산!$I$3:$I$3000,0),MATCH(L$4,임대자산!$D$3:$R$3,0)),
IF($D1403="폐업",INDEX(폐업정보!$D$3:$R$3000,MATCH($F1403,폐업정보!$I$3:$I$3000,0),MATCH(L$4,폐업정보!$D$3:$R$3,0)),
"Error"))</f>
        <v>D1398</v>
      </c>
      <c r="M1403" s="76" t="s">
        <v>96</v>
      </c>
      <c r="N1403" s="77"/>
      <c r="O1403" s="78" t="s">
        <v>97</v>
      </c>
      <c r="P1403" s="79" t="n">
        <f aca="false">COUNTIFS(임대자산!$I:$I,가맹점정보!F1403,임대자산!$N:$N,가맹점정보!P$4)</f>
        <v>0</v>
      </c>
      <c r="Q1403" s="80" t="n">
        <f aca="false">COUNTIFS(임대자산!$I:$I,가맹점정보!F1403,임대자산!$N:$N,가맹점정보!Q$4)</f>
        <v>0</v>
      </c>
      <c r="R1403" s="81" t="n">
        <f aca="false">COUNTIFS(임대자산!$I:$I,가맹점정보!F1403,임대자산!$N:$N,가맹점정보!R$4)</f>
        <v>1</v>
      </c>
      <c r="S1403" s="82" t="n">
        <v>55000</v>
      </c>
      <c r="T1403" s="83" t="n">
        <v>0</v>
      </c>
      <c r="U1403" s="80" t="n">
        <f aca="false">SUM(S1403:T1403)</f>
        <v>55000</v>
      </c>
      <c r="V1403" s="84" t="s">
        <v>7</v>
      </c>
      <c r="W1403" s="80" t="str">
        <f aca="true">
IF(D1403="폐업","폐업",
IF(V1403="면제","면제",
IF(AND(V1403="정상",COUNTIFS(OFFSET(Y1403,0,COUNTA(Y1403:AV1403)-1,1,-4),"미납")&gt;=3),"장기미납",
IF(AND(V1403="정상",OFFSET(Y1403,0,COUNTA(Y1403:AV1403)-1)&gt;=U1403),"정상",
IF(AND(V1403="정상",OFFSET(Y1403,0,COUNTA(Y1403:AV1403)-1)=0),"정상",
"계약서 미작성")))))</f>
        <v>면제</v>
      </c>
      <c r="X1403" s="81" t="str">
        <f aca="true">
IF(D1403="폐업","폐업",
IF(AND(V1403="정상",OFFSET(Y1403,0,COUNTA(Y1403:AV1403)-1)="미납"),"미납",
IF(AND(V1403="정상",OFFSET(Y1403,0,COUNTA(Y1403:AV1403)-1)=0),"납부 시작 전",
IF(AND(V1403="정상",OFFSET(Y1403,0,COUNTA(Y1403:AV1403)-1)&gt;=U1403),"정상",
IF(AND(V1403="면제",OFFSET(Y1403,0,COUNTA(Y1403:AV1403)-1)="면제"),"면제",
IF(AND(V1403="면제",OFFSET(Y1403,0,COUNTA(Y1403:AV1403)-1)=0),"면제",
"확인요청"))))))</f>
        <v>면제</v>
      </c>
      <c r="Y1403" s="93" t="n">
        <v>55000</v>
      </c>
      <c r="Z1403" s="90" t="n">
        <v>55000</v>
      </c>
      <c r="AA1403" s="90" t="n">
        <v>55000</v>
      </c>
      <c r="AB1403" s="90" t="n">
        <v>55000</v>
      </c>
      <c r="AC1403" s="90" t="n">
        <v>55000</v>
      </c>
      <c r="AD1403" s="90" t="n">
        <v>55000</v>
      </c>
      <c r="AE1403" s="90" t="n">
        <v>55000</v>
      </c>
      <c r="AF1403" s="95" t="s">
        <v>62</v>
      </c>
      <c r="AG1403" s="95" t="s">
        <v>62</v>
      </c>
      <c r="AH1403" s="95" t="s">
        <v>62</v>
      </c>
      <c r="AI1403" s="95" t="s">
        <v>62</v>
      </c>
      <c r="AJ1403" s="96" t="s">
        <v>7</v>
      </c>
      <c r="AK1403" s="97" t="s">
        <v>7</v>
      </c>
      <c r="AL1403" s="95" t="s">
        <v>7</v>
      </c>
      <c r="AM1403" s="90"/>
      <c r="AN1403" s="90"/>
      <c r="AO1403" s="90"/>
      <c r="AP1403" s="90"/>
      <c r="AQ1403" s="90"/>
      <c r="AR1403" s="90"/>
      <c r="AS1403" s="90"/>
      <c r="AT1403" s="90"/>
      <c r="AU1403" s="90"/>
      <c r="AV1403" s="91"/>
      <c r="AX1403" s="92"/>
    </row>
    <row r="1404" customFormat="false" ht="15.65" hidden="false" customHeight="false" outlineLevel="0" collapsed="false">
      <c r="C1404" s="72" t="n">
        <f aca="false">COUNTIFS($D$6:D1404,"&lt;&gt;"&amp;"")</f>
        <v>1399</v>
      </c>
      <c r="D1404" s="73" t="s">
        <v>12</v>
      </c>
      <c r="E1404" s="76" t="str">
        <f aca="false">
IF($D1404="정상",INDEX(임대자산!$D$3:$R$3000,MATCH($F1404,임대자산!$I$3:$I$3000,0),MATCH(E$3,임대자산!$D$3:$R$3,0)),
IF($D1404="폐업",INDEX(폐업정보!$D$3:$R$3000,MATCH($F1404,폐업정보!$I$3:$I$3000,0),MATCH(E$3,폐업정보!$D$3:$R$3,0)),
"Error"))</f>
        <v>강원</v>
      </c>
      <c r="F140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B1399</v>
      </c>
      <c r="G1404" s="76" t="str">
        <f aca="false">F1404&amp;RANDBETWEEN(0,10)</f>
        <v>B13993</v>
      </c>
      <c r="H1404" s="75" t="n">
        <f aca="false">
IF($D1404="정상",INDEX(임대자산!$D$3:$R$3000,MATCH($F1404,임대자산!$I$3:$I$3000,0),MATCH(H$4,임대자산!$D$3:$R$3,0)),
IF($D1404="폐업",INDEX(폐업정보!$D$3:$R$3000,MATCH($F1404,폐업정보!$I$3:$I$3000,0),MATCH(H$4,폐업정보!$D$3:$R$3,0)),
"Error"))</f>
        <v>45373</v>
      </c>
      <c r="I1404" s="75" t="str">
        <f aca="false">
IF($D1404="정상",INDEX(임대자산!$D$3:$R$3000,MATCH($F1404,임대자산!$I$3:$I$3000,0),MATCH(I$4,임대자산!$D$3:$R$3,0)),
IF($D1404="폐업",INDEX(폐업정보!$D$3:$R$3000,MATCH($F1404,폐업정보!$I$3:$I$3000,0),MATCH(I$4,폐업정보!$D$3:$R$3,0)),
"Error"))</f>
        <v>A1399</v>
      </c>
      <c r="J1404" s="75" t="str">
        <f aca="false">
IF($D1404="정상",INDEX(임대자산!$D$3:$R$3000,MATCH($F1404,임대자산!$I$3:$I$3000,0),MATCH(J$4,임대자산!$D$3:$R$3,0)),
IF($D1404="폐업",INDEX(폐업정보!$D$3:$R$3000,MATCH($F1404,폐업정보!$I$3:$I$3000,0),MATCH(J$4,폐업정보!$D$3:$R$3,0)),
"Error"))</f>
        <v>6194600000</v>
      </c>
      <c r="K1404" s="75" t="str">
        <f aca="false">
IF($D1404="정상",INDEX(임대자산!$D$3:$R$3000,MATCH($F1404,임대자산!$I$3:$I$3000,0),MATCH(K$4,임대자산!$D$3:$R$3,0)),
IF($D1404="폐업",INDEX(폐업정보!$D$3:$R$3000,MATCH($F1404,폐업정보!$I$3:$I$3000,0),MATCH(K$4,폐업정보!$D$3:$R$3,0)),
"Error"))</f>
        <v>C1399</v>
      </c>
      <c r="L1404" s="75" t="str">
        <f aca="false">
IF($D1404="정상",INDEX(임대자산!$D$3:$R$3000,MATCH($F1404,임대자산!$I$3:$I$3000,0),MATCH(L$4,임대자산!$D$3:$R$3,0)),
IF($D1404="폐업",INDEX(폐업정보!$D$3:$R$3000,MATCH($F1404,폐업정보!$I$3:$I$3000,0),MATCH(L$4,폐업정보!$D$3:$R$3,0)),
"Error"))</f>
        <v>D1399</v>
      </c>
      <c r="M1404" s="76" t="s">
        <v>96</v>
      </c>
      <c r="N1404" s="77"/>
      <c r="O1404" s="78" t="s">
        <v>97</v>
      </c>
      <c r="P1404" s="79" t="n">
        <f aca="false">COUNTIFS(임대자산!$I:$I,가맹점정보!F1404,임대자산!$N:$N,가맹점정보!P$4)</f>
        <v>0</v>
      </c>
      <c r="Q1404" s="80" t="n">
        <f aca="false">COUNTIFS(임대자산!$I:$I,가맹점정보!F1404,임대자산!$N:$N,가맹점정보!Q$4)</f>
        <v>0</v>
      </c>
      <c r="R1404" s="81" t="n">
        <f aca="false">COUNTIFS(임대자산!$I:$I,가맹점정보!F1404,임대자산!$N:$N,가맹점정보!R$4)</f>
        <v>1</v>
      </c>
      <c r="S1404" s="82" t="n">
        <v>55000</v>
      </c>
      <c r="T1404" s="83" t="n">
        <v>0</v>
      </c>
      <c r="U1404" s="80" t="n">
        <f aca="false">SUM(S1404:T1404)</f>
        <v>55000</v>
      </c>
      <c r="V1404" s="84" t="s">
        <v>12</v>
      </c>
      <c r="W1404" s="80" t="e">
        <f aca="true">
IF(D1404="폐업","폐업",
IF(V1404="면제","면제",
IF(AND(V1404="정상",COUNTIFS(OFFSET(Y1404,0,COUNTA(Y1404:AV1404)-1,1,-4),"미납")&gt;=3),"장기미납",
IF(AND(V1404="정상",OFFSET(Y1404,0,COUNTA(Y1404:AV1404)-1)&gt;=U1404),"정상",
IF(AND(V1404="정상",OFFSET(Y1404,0,COUNTA(Y1404:AV1404)-1)=0),"정상",
"계약서 미작성")))))</f>
        <v>#VALUE!</v>
      </c>
      <c r="X1404" s="81" t="str">
        <f aca="true">
IF(D1404="폐업","폐업",
IF(AND(V1404="정상",OFFSET(Y1404,0,COUNTA(Y1404:AV1404)-1)="미납"),"미납",
IF(AND(V1404="정상",OFFSET(Y1404,0,COUNTA(Y1404:AV1404)-1)=0),"납부 시작 전",
IF(AND(V1404="정상",OFFSET(Y1404,0,COUNTA(Y1404:AV1404)-1)&gt;=U1404),"정상",
IF(AND(V1404="면제",OFFSET(Y1404,0,COUNTA(Y1404:AV1404)-1)="면제"),"면제",
IF(AND(V1404="면제",OFFSET(Y1404,0,COUNTA(Y1404:AV1404)-1)=0),"면제",
"확인요청"))))))</f>
        <v>미납</v>
      </c>
      <c r="Y1404" s="93" t="n">
        <v>55000</v>
      </c>
      <c r="Z1404" s="90" t="n">
        <v>55000</v>
      </c>
      <c r="AA1404" s="90" t="n">
        <v>55000</v>
      </c>
      <c r="AB1404" s="90" t="n">
        <v>55000</v>
      </c>
      <c r="AC1404" s="90" t="n">
        <v>55000</v>
      </c>
      <c r="AD1404" s="90" t="n">
        <v>55000</v>
      </c>
      <c r="AE1404" s="90" t="n">
        <v>55000</v>
      </c>
      <c r="AF1404" s="90" t="n">
        <v>55000</v>
      </c>
      <c r="AG1404" s="90" t="n">
        <v>55000</v>
      </c>
      <c r="AH1404" s="90" t="n">
        <v>55000</v>
      </c>
      <c r="AI1404" s="90" t="n">
        <v>55000</v>
      </c>
      <c r="AJ1404" s="91" t="n">
        <v>55000</v>
      </c>
      <c r="AK1404" s="89" t="n">
        <v>55000</v>
      </c>
      <c r="AL1404" s="95" t="s">
        <v>62</v>
      </c>
      <c r="AM1404" s="90"/>
      <c r="AN1404" s="90"/>
      <c r="AO1404" s="90"/>
      <c r="AP1404" s="90"/>
      <c r="AQ1404" s="90"/>
      <c r="AR1404" s="90"/>
      <c r="AS1404" s="90"/>
      <c r="AT1404" s="90"/>
      <c r="AU1404" s="90"/>
      <c r="AV1404" s="91"/>
      <c r="AX1404" s="92"/>
    </row>
    <row r="1405" customFormat="false" ht="15.65" hidden="false" customHeight="false" outlineLevel="0" collapsed="false">
      <c r="C1405" s="72" t="n">
        <f aca="false">COUNTIFS($D$6:D1405,"&lt;&gt;"&amp;"")</f>
        <v>1400</v>
      </c>
      <c r="D1405" s="73" t="s">
        <v>12</v>
      </c>
      <c r="E1405" s="76" t="str">
        <f aca="false">
IF($D1405="정상",INDEX(임대자산!$D$3:$R$3000,MATCH($F1405,임대자산!$I$3:$I$3000,0),MATCH(E$3,임대자산!$D$3:$R$3,0)),
IF($D1405="폐업",INDEX(폐업정보!$D$3:$R$3000,MATCH($F1405,폐업정보!$I$3:$I$3000,0),MATCH(E$3,폐업정보!$D$3:$R$3,0)),
"Error"))</f>
        <v>강원</v>
      </c>
      <c r="F140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B1400</v>
      </c>
      <c r="G1405" s="76" t="str">
        <f aca="false">F1405&amp;RANDBETWEEN(0,10)</f>
        <v>B14006</v>
      </c>
      <c r="H1405" s="75" t="n">
        <f aca="false">
IF($D1405="정상",INDEX(임대자산!$D$3:$R$3000,MATCH($F1405,임대자산!$I$3:$I$3000,0),MATCH(H$4,임대자산!$D$3:$R$3,0)),
IF($D1405="폐업",INDEX(폐업정보!$D$3:$R$3000,MATCH($F1405,폐업정보!$I$3:$I$3000,0),MATCH(H$4,폐업정보!$D$3:$R$3,0)),
"Error"))</f>
        <v>45373</v>
      </c>
      <c r="I1405" s="75" t="str">
        <f aca="false">
IF($D1405="정상",INDEX(임대자산!$D$3:$R$3000,MATCH($F1405,임대자산!$I$3:$I$3000,0),MATCH(I$4,임대자산!$D$3:$R$3,0)),
IF($D1405="폐업",INDEX(폐업정보!$D$3:$R$3000,MATCH($F1405,폐업정보!$I$3:$I$3000,0),MATCH(I$4,폐업정보!$D$3:$R$3,0)),
"Error"))</f>
        <v>A1400</v>
      </c>
      <c r="J1405" s="75" t="str">
        <f aca="false">
IF($D1405="정상",INDEX(임대자산!$D$3:$R$3000,MATCH($F1405,임대자산!$I$3:$I$3000,0),MATCH(J$4,임대자산!$D$3:$R$3,0)),
IF($D1405="폐업",INDEX(폐업정보!$D$3:$R$3000,MATCH($F1405,폐업정보!$I$3:$I$3000,0),MATCH(J$4,폐업정보!$D$3:$R$3,0)),
"Error"))</f>
        <v>5071800000</v>
      </c>
      <c r="K1405" s="75" t="str">
        <f aca="false">
IF($D1405="정상",INDEX(임대자산!$D$3:$R$3000,MATCH($F1405,임대자산!$I$3:$I$3000,0),MATCH(K$4,임대자산!$D$3:$R$3,0)),
IF($D1405="폐업",INDEX(폐업정보!$D$3:$R$3000,MATCH($F1405,폐업정보!$I$3:$I$3000,0),MATCH(K$4,폐업정보!$D$3:$R$3,0)),
"Error"))</f>
        <v>C1400</v>
      </c>
      <c r="L1405" s="75" t="str">
        <f aca="false">
IF($D1405="정상",INDEX(임대자산!$D$3:$R$3000,MATCH($F1405,임대자산!$I$3:$I$3000,0),MATCH(L$4,임대자산!$D$3:$R$3,0)),
IF($D1405="폐업",INDEX(폐업정보!$D$3:$R$3000,MATCH($F1405,폐업정보!$I$3:$I$3000,0),MATCH(L$4,폐업정보!$D$3:$R$3,0)),
"Error"))</f>
        <v>D1400</v>
      </c>
      <c r="M1405" s="76" t="s">
        <v>96</v>
      </c>
      <c r="N1405" s="77"/>
      <c r="O1405" s="78" t="s">
        <v>97</v>
      </c>
      <c r="P1405" s="79" t="n">
        <f aca="false">COUNTIFS(임대자산!$I:$I,가맹점정보!F1405,임대자산!$N:$N,가맹점정보!P$4)</f>
        <v>0</v>
      </c>
      <c r="Q1405" s="80" t="n">
        <f aca="false">COUNTIFS(임대자산!$I:$I,가맹점정보!F1405,임대자산!$N:$N,가맹점정보!Q$4)</f>
        <v>0</v>
      </c>
      <c r="R1405" s="81" t="n">
        <f aca="false">COUNTIFS(임대자산!$I:$I,가맹점정보!F1405,임대자산!$N:$N,가맹점정보!R$4)</f>
        <v>1</v>
      </c>
      <c r="S1405" s="82" t="n">
        <v>55000</v>
      </c>
      <c r="T1405" s="83" t="n">
        <v>0</v>
      </c>
      <c r="U1405" s="80" t="n">
        <f aca="false">SUM(S1405:T1405)</f>
        <v>55000</v>
      </c>
      <c r="V1405" s="84" t="s">
        <v>12</v>
      </c>
      <c r="W1405" s="80" t="e">
        <f aca="true">
IF(D1405="폐업","폐업",
IF(V1405="면제","면제",
IF(AND(V1405="정상",COUNTIFS(OFFSET(Y1405,0,COUNTA(Y1405:AV1405)-1,1,-4),"미납")&gt;=3),"장기미납",
IF(AND(V1405="정상",OFFSET(Y1405,0,COUNTA(Y1405:AV1405)-1)&gt;=U1405),"정상",
IF(AND(V1405="정상",OFFSET(Y1405,0,COUNTA(Y1405:AV1405)-1)=0),"정상",
"계약서 미작성")))))</f>
        <v>#VALUE!</v>
      </c>
      <c r="X1405" s="81" t="str">
        <f aca="true">
IF(D1405="폐업","폐업",
IF(AND(V1405="정상",OFFSET(Y1405,0,COUNTA(Y1405:AV1405)-1)="미납"),"미납",
IF(AND(V1405="정상",OFFSET(Y1405,0,COUNTA(Y1405:AV1405)-1)=0),"납부 시작 전",
IF(AND(V1405="정상",OFFSET(Y1405,0,COUNTA(Y1405:AV1405)-1)&gt;=U1405),"정상",
IF(AND(V1405="면제",OFFSET(Y1405,0,COUNTA(Y1405:AV1405)-1)="면제"),"면제",
IF(AND(V1405="면제",OFFSET(Y1405,0,COUNTA(Y1405:AV1405)-1)=0),"면제",
"확인요청"))))))</f>
        <v>정상</v>
      </c>
      <c r="Y1405" s="93" t="n">
        <v>55000</v>
      </c>
      <c r="Z1405" s="90" t="n">
        <v>55000</v>
      </c>
      <c r="AA1405" s="90" t="n">
        <v>55000</v>
      </c>
      <c r="AB1405" s="90" t="n">
        <v>55000</v>
      </c>
      <c r="AC1405" s="90" t="n">
        <v>55000</v>
      </c>
      <c r="AD1405" s="90" t="n">
        <v>55000</v>
      </c>
      <c r="AE1405" s="90" t="n">
        <v>55000</v>
      </c>
      <c r="AF1405" s="90" t="n">
        <v>55000</v>
      </c>
      <c r="AG1405" s="90" t="n">
        <v>55000</v>
      </c>
      <c r="AH1405" s="90" t="n">
        <v>55000</v>
      </c>
      <c r="AI1405" s="90" t="n">
        <v>55000</v>
      </c>
      <c r="AJ1405" s="91" t="n">
        <v>55000</v>
      </c>
      <c r="AK1405" s="89" t="n">
        <v>55000</v>
      </c>
      <c r="AL1405" s="90" t="n">
        <v>55000</v>
      </c>
      <c r="AM1405" s="90"/>
      <c r="AN1405" s="90"/>
      <c r="AO1405" s="90"/>
      <c r="AP1405" s="90"/>
      <c r="AQ1405" s="90"/>
      <c r="AR1405" s="90"/>
      <c r="AS1405" s="90"/>
      <c r="AT1405" s="90"/>
      <c r="AU1405" s="90"/>
      <c r="AV1405" s="91"/>
      <c r="AX1405" s="92"/>
    </row>
    <row r="1406" customFormat="false" ht="15.65" hidden="false" customHeight="false" outlineLevel="0" collapsed="false">
      <c r="C1406" s="72" t="n">
        <f aca="false">COUNTIFS($D$6:D1406,"&lt;&gt;"&amp;"")</f>
        <v>1401</v>
      </c>
      <c r="D1406" s="73" t="s">
        <v>12</v>
      </c>
      <c r="E1406" s="76" t="str">
        <f aca="false">
IF($D1406="정상",INDEX(임대자산!$D$3:$R$3000,MATCH($F1406,임대자산!$I$3:$I$3000,0),MATCH(E$3,임대자산!$D$3:$R$3,0)),
IF($D1406="폐업",INDEX(폐업정보!$D$3:$R$3000,MATCH($F1406,폐업정보!$I$3:$I$3000,0),MATCH(E$3,폐업정보!$D$3:$R$3,0)),
"Error"))</f>
        <v>경기</v>
      </c>
      <c r="F140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B1401</v>
      </c>
      <c r="G1406" s="76" t="str">
        <f aca="false">F1406&amp;RANDBETWEEN(0,10)</f>
        <v>B14012</v>
      </c>
      <c r="H1406" s="75" t="n">
        <f aca="false">
IF($D1406="정상",INDEX(임대자산!$D$3:$R$3000,MATCH($F1406,임대자산!$I$3:$I$3000,0),MATCH(H$4,임대자산!$D$3:$R$3,0)),
IF($D1406="폐업",INDEX(폐업정보!$D$3:$R$3000,MATCH($F1406,폐업정보!$I$3:$I$3000,0),MATCH(H$4,폐업정보!$D$3:$R$3,0)),
"Error"))</f>
        <v>45363</v>
      </c>
      <c r="I1406" s="75" t="str">
        <f aca="false">
IF($D1406="정상",INDEX(임대자산!$D$3:$R$3000,MATCH($F1406,임대자산!$I$3:$I$3000,0),MATCH(I$4,임대자산!$D$3:$R$3,0)),
IF($D1406="폐업",INDEX(폐업정보!$D$3:$R$3000,MATCH($F1406,폐업정보!$I$3:$I$3000,0),MATCH(I$4,폐업정보!$D$3:$R$3,0)),
"Error"))</f>
        <v>A1401</v>
      </c>
      <c r="J1406" s="75" t="str">
        <f aca="false">
IF($D1406="정상",INDEX(임대자산!$D$3:$R$3000,MATCH($F1406,임대자산!$I$3:$I$3000,0),MATCH(J$4,임대자산!$D$3:$R$3,0)),
IF($D1406="폐업",INDEX(폐업정보!$D$3:$R$3000,MATCH($F1406,폐업정보!$I$3:$I$3000,0),MATCH(J$4,폐업정보!$D$3:$R$3,0)),
"Error"))</f>
        <v>4353800000</v>
      </c>
      <c r="K1406" s="75" t="str">
        <f aca="false">
IF($D1406="정상",INDEX(임대자산!$D$3:$R$3000,MATCH($F1406,임대자산!$I$3:$I$3000,0),MATCH(K$4,임대자산!$D$3:$R$3,0)),
IF($D1406="폐업",INDEX(폐업정보!$D$3:$R$3000,MATCH($F1406,폐업정보!$I$3:$I$3000,0),MATCH(K$4,폐업정보!$D$3:$R$3,0)),
"Error"))</f>
        <v>C1401</v>
      </c>
      <c r="L1406" s="75" t="str">
        <f aca="false">
IF($D1406="정상",INDEX(임대자산!$D$3:$R$3000,MATCH($F1406,임대자산!$I$3:$I$3000,0),MATCH(L$4,임대자산!$D$3:$R$3,0)),
IF($D1406="폐업",INDEX(폐업정보!$D$3:$R$3000,MATCH($F1406,폐업정보!$I$3:$I$3000,0),MATCH(L$4,폐업정보!$D$3:$R$3,0)),
"Error"))</f>
        <v>D1401</v>
      </c>
      <c r="M1406" s="76" t="s">
        <v>96</v>
      </c>
      <c r="N1406" s="77"/>
      <c r="O1406" s="78" t="s">
        <v>97</v>
      </c>
      <c r="P1406" s="79" t="n">
        <f aca="false">COUNTIFS(임대자산!$I:$I,가맹점정보!F1406,임대자산!$N:$N,가맹점정보!P$4)</f>
        <v>0</v>
      </c>
      <c r="Q1406" s="80" t="n">
        <f aca="false">COUNTIFS(임대자산!$I:$I,가맹점정보!F1406,임대자산!$N:$N,가맹점정보!Q$4)</f>
        <v>0</v>
      </c>
      <c r="R1406" s="81" t="n">
        <f aca="false">COUNTIFS(임대자산!$I:$I,가맹점정보!F1406,임대자산!$N:$N,가맹점정보!R$4)</f>
        <v>1</v>
      </c>
      <c r="S1406" s="82" t="n">
        <v>55000</v>
      </c>
      <c r="T1406" s="83" t="n">
        <v>0</v>
      </c>
      <c r="U1406" s="80" t="n">
        <f aca="false">SUM(S1406:T1406)</f>
        <v>55000</v>
      </c>
      <c r="V1406" s="84" t="s">
        <v>7</v>
      </c>
      <c r="W1406" s="80" t="str">
        <f aca="true">
IF(D1406="폐업","폐업",
IF(V1406="면제","면제",
IF(AND(V1406="정상",COUNTIFS(OFFSET(Y1406,0,COUNTA(Y1406:AV1406)-1,1,-4),"미납")&gt;=3),"장기미납",
IF(AND(V1406="정상",OFFSET(Y1406,0,COUNTA(Y1406:AV1406)-1)&gt;=U1406),"정상",
IF(AND(V1406="정상",OFFSET(Y1406,0,COUNTA(Y1406:AV1406)-1)=0),"정상",
"계약서 미작성")))))</f>
        <v>면제</v>
      </c>
      <c r="X1406" s="81" t="str">
        <f aca="true">
IF(D1406="폐업","폐업",
IF(AND(V1406="정상",OFFSET(Y1406,0,COUNTA(Y1406:AV1406)-1)="미납"),"미납",
IF(AND(V1406="정상",OFFSET(Y1406,0,COUNTA(Y1406:AV1406)-1)=0),"납부 시작 전",
IF(AND(V1406="정상",OFFSET(Y1406,0,COUNTA(Y1406:AV1406)-1)&gt;=U1406),"정상",
IF(AND(V1406="면제",OFFSET(Y1406,0,COUNTA(Y1406:AV1406)-1)="면제"),"면제",
IF(AND(V1406="면제",OFFSET(Y1406,0,COUNTA(Y1406:AV1406)-1)=0),"면제",
"확인요청"))))))</f>
        <v>면제</v>
      </c>
      <c r="Y1406" s="94" t="s">
        <v>7</v>
      </c>
      <c r="Z1406" s="95" t="s">
        <v>7</v>
      </c>
      <c r="AA1406" s="95" t="s">
        <v>7</v>
      </c>
      <c r="AB1406" s="95" t="s">
        <v>7</v>
      </c>
      <c r="AC1406" s="95" t="s">
        <v>7</v>
      </c>
      <c r="AD1406" s="95" t="s">
        <v>7</v>
      </c>
      <c r="AE1406" s="95" t="s">
        <v>7</v>
      </c>
      <c r="AF1406" s="95" t="s">
        <v>7</v>
      </c>
      <c r="AG1406" s="95" t="s">
        <v>7</v>
      </c>
      <c r="AH1406" s="95" t="s">
        <v>7</v>
      </c>
      <c r="AI1406" s="95" t="s">
        <v>7</v>
      </c>
      <c r="AJ1406" s="96" t="s">
        <v>7</v>
      </c>
      <c r="AK1406" s="97" t="s">
        <v>7</v>
      </c>
      <c r="AL1406" s="95" t="s">
        <v>7</v>
      </c>
      <c r="AM1406" s="90"/>
      <c r="AN1406" s="90"/>
      <c r="AO1406" s="90"/>
      <c r="AP1406" s="90"/>
      <c r="AQ1406" s="90"/>
      <c r="AR1406" s="90"/>
      <c r="AS1406" s="90"/>
      <c r="AT1406" s="90"/>
      <c r="AU1406" s="90"/>
      <c r="AV1406" s="91"/>
      <c r="AX1406" s="92"/>
    </row>
    <row r="1407" customFormat="false" ht="15.65" hidden="false" customHeight="false" outlineLevel="0" collapsed="false">
      <c r="C1407" s="72" t="n">
        <f aca="false">COUNTIFS($D$6:D1407,"&lt;&gt;"&amp;"")</f>
        <v>1402</v>
      </c>
      <c r="D1407" s="73" t="s">
        <v>12</v>
      </c>
      <c r="E1407" s="76" t="str">
        <f aca="false">
IF($D1407="정상",INDEX(임대자산!$D$3:$R$3000,MATCH($F1407,임대자산!$I$3:$I$3000,0),MATCH(E$3,임대자산!$D$3:$R$3,0)),
IF($D1407="폐업",INDEX(폐업정보!$D$3:$R$3000,MATCH($F1407,폐업정보!$I$3:$I$3000,0),MATCH(E$3,폐업정보!$D$3:$R$3,0)),
"Error"))</f>
        <v>경기</v>
      </c>
      <c r="F140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B1402</v>
      </c>
      <c r="G1407" s="76" t="str">
        <f aca="false">F1407&amp;RANDBETWEEN(0,10)</f>
        <v>B14028</v>
      </c>
      <c r="H1407" s="75" t="n">
        <f aca="false">
IF($D1407="정상",INDEX(임대자산!$D$3:$R$3000,MATCH($F1407,임대자산!$I$3:$I$3000,0),MATCH(H$4,임대자산!$D$3:$R$3,0)),
IF($D1407="폐업",INDEX(폐업정보!$D$3:$R$3000,MATCH($F1407,폐업정보!$I$3:$I$3000,0),MATCH(H$4,폐업정보!$D$3:$R$3,0)),
"Error"))</f>
        <v>45363</v>
      </c>
      <c r="I1407" s="75" t="str">
        <f aca="false">
IF($D1407="정상",INDEX(임대자산!$D$3:$R$3000,MATCH($F1407,임대자산!$I$3:$I$3000,0),MATCH(I$4,임대자산!$D$3:$R$3,0)),
IF($D1407="폐업",INDEX(폐업정보!$D$3:$R$3000,MATCH($F1407,폐업정보!$I$3:$I$3000,0),MATCH(I$4,폐업정보!$D$3:$R$3,0)),
"Error"))</f>
        <v>A1402</v>
      </c>
      <c r="J1407" s="75" t="str">
        <f aca="false">
IF($D1407="정상",INDEX(임대자산!$D$3:$R$3000,MATCH($F1407,임대자산!$I$3:$I$3000,0),MATCH(J$4,임대자산!$D$3:$R$3,0)),
IF($D1407="폐업",INDEX(폐업정보!$D$3:$R$3000,MATCH($F1407,폐업정보!$I$3:$I$3000,0),MATCH(J$4,폐업정보!$D$3:$R$3,0)),
"Error"))</f>
        <v>9323700000</v>
      </c>
      <c r="K1407" s="75" t="str">
        <f aca="false">
IF($D1407="정상",INDEX(임대자산!$D$3:$R$3000,MATCH($F1407,임대자산!$I$3:$I$3000,0),MATCH(K$4,임대자산!$D$3:$R$3,0)),
IF($D1407="폐업",INDEX(폐업정보!$D$3:$R$3000,MATCH($F1407,폐업정보!$I$3:$I$3000,0),MATCH(K$4,폐업정보!$D$3:$R$3,0)),
"Error"))</f>
        <v>C1402</v>
      </c>
      <c r="L1407" s="75" t="str">
        <f aca="false">
IF($D1407="정상",INDEX(임대자산!$D$3:$R$3000,MATCH($F1407,임대자산!$I$3:$I$3000,0),MATCH(L$4,임대자산!$D$3:$R$3,0)),
IF($D1407="폐업",INDEX(폐업정보!$D$3:$R$3000,MATCH($F1407,폐업정보!$I$3:$I$3000,0),MATCH(L$4,폐업정보!$D$3:$R$3,0)),
"Error"))</f>
        <v>D1402</v>
      </c>
      <c r="M1407" s="76" t="s">
        <v>96</v>
      </c>
      <c r="N1407" s="77"/>
      <c r="O1407" s="78" t="s">
        <v>97</v>
      </c>
      <c r="P1407" s="79" t="n">
        <f aca="false">COUNTIFS(임대자산!$I:$I,가맹점정보!F1407,임대자산!$N:$N,가맹점정보!P$4)</f>
        <v>0</v>
      </c>
      <c r="Q1407" s="80" t="n">
        <f aca="false">COUNTIFS(임대자산!$I:$I,가맹점정보!F1407,임대자산!$N:$N,가맹점정보!Q$4)</f>
        <v>0</v>
      </c>
      <c r="R1407" s="81" t="n">
        <f aca="false">COUNTIFS(임대자산!$I:$I,가맹점정보!F1407,임대자산!$N:$N,가맹점정보!R$4)</f>
        <v>1</v>
      </c>
      <c r="S1407" s="82" t="n">
        <v>55000</v>
      </c>
      <c r="T1407" s="83" t="n">
        <v>0</v>
      </c>
      <c r="U1407" s="80" t="n">
        <f aca="false">SUM(S1407:T1407)</f>
        <v>55000</v>
      </c>
      <c r="V1407" s="84" t="s">
        <v>12</v>
      </c>
      <c r="W1407" s="80" t="e">
        <f aca="true">
IF(D1407="폐업","폐업",
IF(V1407="면제","면제",
IF(AND(V1407="정상",COUNTIFS(OFFSET(Y1407,0,COUNTA(Y1407:AV1407)-1,1,-4),"미납")&gt;=3),"장기미납",
IF(AND(V1407="정상",OFFSET(Y1407,0,COUNTA(Y1407:AV1407)-1)&gt;=U1407),"정상",
IF(AND(V1407="정상",OFFSET(Y1407,0,COUNTA(Y1407:AV1407)-1)=0),"정상",
"계약서 미작성")))))</f>
        <v>#VALUE!</v>
      </c>
      <c r="X1407" s="81" t="str">
        <f aca="true">
IF(D1407="폐업","폐업",
IF(AND(V1407="정상",OFFSET(Y1407,0,COUNTA(Y1407:AV1407)-1)="미납"),"미납",
IF(AND(V1407="정상",OFFSET(Y1407,0,COUNTA(Y1407:AV1407)-1)=0),"납부 시작 전",
IF(AND(V1407="정상",OFFSET(Y1407,0,COUNTA(Y1407:AV1407)-1)&gt;=U1407),"정상",
IF(AND(V1407="면제",OFFSET(Y1407,0,COUNTA(Y1407:AV1407)-1)="면제"),"면제",
IF(AND(V1407="면제",OFFSET(Y1407,0,COUNTA(Y1407:AV1407)-1)=0),"면제",
"확인요청"))))))</f>
        <v>정상</v>
      </c>
      <c r="Y1407" s="93" t="n">
        <v>55000</v>
      </c>
      <c r="Z1407" s="90" t="n">
        <v>55000</v>
      </c>
      <c r="AA1407" s="90" t="n">
        <v>55000</v>
      </c>
      <c r="AB1407" s="90" t="n">
        <v>55000</v>
      </c>
      <c r="AC1407" s="90" t="n">
        <v>55000</v>
      </c>
      <c r="AD1407" s="90" t="n">
        <v>55000</v>
      </c>
      <c r="AE1407" s="90" t="n">
        <v>55000</v>
      </c>
      <c r="AF1407" s="90" t="n">
        <v>55000</v>
      </c>
      <c r="AG1407" s="90" t="n">
        <v>55000</v>
      </c>
      <c r="AH1407" s="90" t="n">
        <v>55000</v>
      </c>
      <c r="AI1407" s="90" t="n">
        <v>55000</v>
      </c>
      <c r="AJ1407" s="91" t="n">
        <v>55000</v>
      </c>
      <c r="AK1407" s="89" t="n">
        <v>55000</v>
      </c>
      <c r="AL1407" s="90" t="n">
        <v>55000</v>
      </c>
      <c r="AM1407" s="90"/>
      <c r="AN1407" s="90"/>
      <c r="AO1407" s="90"/>
      <c r="AP1407" s="90"/>
      <c r="AQ1407" s="90"/>
      <c r="AR1407" s="90"/>
      <c r="AS1407" s="90"/>
      <c r="AT1407" s="90"/>
      <c r="AU1407" s="90"/>
      <c r="AV1407" s="91"/>
      <c r="AX1407" s="92"/>
    </row>
    <row r="1408" customFormat="false" ht="15.65" hidden="false" customHeight="false" outlineLevel="0" collapsed="false">
      <c r="C1408" s="72" t="n">
        <f aca="false">COUNTIFS($D$6:D1408,"&lt;&gt;"&amp;"")</f>
        <v>1403</v>
      </c>
      <c r="D1408" s="73" t="s">
        <v>12</v>
      </c>
      <c r="E1408" s="76" t="str">
        <f aca="false">
IF($D1408="정상",INDEX(임대자산!$D$3:$R$3000,MATCH($F1408,임대자산!$I$3:$I$3000,0),MATCH(E$3,임대자산!$D$3:$R$3,0)),
IF($D1408="폐업",INDEX(폐업정보!$D$3:$R$3000,MATCH($F1408,폐업정보!$I$3:$I$3000,0),MATCH(E$3,폐업정보!$D$3:$R$3,0)),
"Error"))</f>
        <v>경기</v>
      </c>
      <c r="F140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B1403</v>
      </c>
      <c r="G1408" s="76" t="str">
        <f aca="false">F1408&amp;RANDBETWEEN(0,10)</f>
        <v>B14032</v>
      </c>
      <c r="H1408" s="75" t="n">
        <f aca="false">
IF($D1408="정상",INDEX(임대자산!$D$3:$R$3000,MATCH($F1408,임대자산!$I$3:$I$3000,0),MATCH(H$4,임대자산!$D$3:$R$3,0)),
IF($D1408="폐업",INDEX(폐업정보!$D$3:$R$3000,MATCH($F1408,폐업정보!$I$3:$I$3000,0),MATCH(H$4,폐업정보!$D$3:$R$3,0)),
"Error"))</f>
        <v>45372</v>
      </c>
      <c r="I1408" s="75" t="str">
        <f aca="false">
IF($D1408="정상",INDEX(임대자산!$D$3:$R$3000,MATCH($F1408,임대자산!$I$3:$I$3000,0),MATCH(I$4,임대자산!$D$3:$R$3,0)),
IF($D1408="폐업",INDEX(폐업정보!$D$3:$R$3000,MATCH($F1408,폐업정보!$I$3:$I$3000,0),MATCH(I$4,폐업정보!$D$3:$R$3,0)),
"Error"))</f>
        <v>A1403</v>
      </c>
      <c r="J1408" s="75" t="str">
        <f aca="false">
IF($D1408="정상",INDEX(임대자산!$D$3:$R$3000,MATCH($F1408,임대자산!$I$3:$I$3000,0),MATCH(J$4,임대자산!$D$3:$R$3,0)),
IF($D1408="폐업",INDEX(폐업정보!$D$3:$R$3000,MATCH($F1408,폐업정보!$I$3:$I$3000,0),MATCH(J$4,폐업정보!$D$3:$R$3,0)),
"Error"))</f>
        <v>3315700000</v>
      </c>
      <c r="K1408" s="75" t="str">
        <f aca="false">
IF($D1408="정상",INDEX(임대자산!$D$3:$R$3000,MATCH($F1408,임대자산!$I$3:$I$3000,0),MATCH(K$4,임대자산!$D$3:$R$3,0)),
IF($D1408="폐업",INDEX(폐업정보!$D$3:$R$3000,MATCH($F1408,폐업정보!$I$3:$I$3000,0),MATCH(K$4,폐업정보!$D$3:$R$3,0)),
"Error"))</f>
        <v>C1403</v>
      </c>
      <c r="L1408" s="75" t="str">
        <f aca="false">
IF($D1408="정상",INDEX(임대자산!$D$3:$R$3000,MATCH($F1408,임대자산!$I$3:$I$3000,0),MATCH(L$4,임대자산!$D$3:$R$3,0)),
IF($D1408="폐업",INDEX(폐업정보!$D$3:$R$3000,MATCH($F1408,폐업정보!$I$3:$I$3000,0),MATCH(L$4,폐업정보!$D$3:$R$3,0)),
"Error"))</f>
        <v>D1403</v>
      </c>
      <c r="M1408" s="76" t="s">
        <v>96</v>
      </c>
      <c r="N1408" s="77"/>
      <c r="O1408" s="78" t="s">
        <v>97</v>
      </c>
      <c r="P1408" s="79" t="n">
        <f aca="false">COUNTIFS(임대자산!$I:$I,가맹점정보!F1408,임대자산!$N:$N,가맹점정보!P$4)</f>
        <v>0</v>
      </c>
      <c r="Q1408" s="80" t="n">
        <f aca="false">COUNTIFS(임대자산!$I:$I,가맹점정보!F1408,임대자산!$N:$N,가맹점정보!Q$4)</f>
        <v>0</v>
      </c>
      <c r="R1408" s="81" t="n">
        <f aca="false">COUNTIFS(임대자산!$I:$I,가맹점정보!F1408,임대자산!$N:$N,가맹점정보!R$4)</f>
        <v>1</v>
      </c>
      <c r="S1408" s="82" t="n">
        <v>55000</v>
      </c>
      <c r="T1408" s="83" t="n">
        <v>0</v>
      </c>
      <c r="U1408" s="80" t="n">
        <f aca="false">SUM(S1408:T1408)</f>
        <v>55000</v>
      </c>
      <c r="V1408" s="84" t="s">
        <v>7</v>
      </c>
      <c r="W1408" s="80" t="str">
        <f aca="true">
IF(D1408="폐업","폐업",
IF(V1408="면제","면제",
IF(AND(V1408="정상",COUNTIFS(OFFSET(Y1408,0,COUNTA(Y1408:AV1408)-1,1,-4),"미납")&gt;=3),"장기미납",
IF(AND(V1408="정상",OFFSET(Y1408,0,COUNTA(Y1408:AV1408)-1)&gt;=U1408),"정상",
IF(AND(V1408="정상",OFFSET(Y1408,0,COUNTA(Y1408:AV1408)-1)=0),"정상",
"계약서 미작성")))))</f>
        <v>면제</v>
      </c>
      <c r="X1408" s="81" t="str">
        <f aca="true">
IF(D1408="폐업","폐업",
IF(AND(V1408="정상",OFFSET(Y1408,0,COUNTA(Y1408:AV1408)-1)="미납"),"미납",
IF(AND(V1408="정상",OFFSET(Y1408,0,COUNTA(Y1408:AV1408)-1)=0),"납부 시작 전",
IF(AND(V1408="정상",OFFSET(Y1408,0,COUNTA(Y1408:AV1408)-1)&gt;=U1408),"정상",
IF(AND(V1408="면제",OFFSET(Y1408,0,COUNTA(Y1408:AV1408)-1)="면제"),"면제",
IF(AND(V1408="면제",OFFSET(Y1408,0,COUNTA(Y1408:AV1408)-1)=0),"면제",
"확인요청"))))))</f>
        <v>면제</v>
      </c>
      <c r="Y1408" s="94" t="s">
        <v>7</v>
      </c>
      <c r="Z1408" s="95" t="s">
        <v>7</v>
      </c>
      <c r="AA1408" s="95" t="s">
        <v>7</v>
      </c>
      <c r="AB1408" s="95" t="s">
        <v>7</v>
      </c>
      <c r="AC1408" s="95" t="s">
        <v>7</v>
      </c>
      <c r="AD1408" s="95" t="s">
        <v>7</v>
      </c>
      <c r="AE1408" s="95" t="s">
        <v>7</v>
      </c>
      <c r="AF1408" s="95" t="s">
        <v>7</v>
      </c>
      <c r="AG1408" s="95" t="s">
        <v>7</v>
      </c>
      <c r="AH1408" s="95" t="s">
        <v>7</v>
      </c>
      <c r="AI1408" s="95" t="s">
        <v>7</v>
      </c>
      <c r="AJ1408" s="96" t="s">
        <v>7</v>
      </c>
      <c r="AK1408" s="97" t="s">
        <v>7</v>
      </c>
      <c r="AL1408" s="95" t="s">
        <v>7</v>
      </c>
      <c r="AM1408" s="90"/>
      <c r="AN1408" s="90"/>
      <c r="AO1408" s="90"/>
      <c r="AP1408" s="90"/>
      <c r="AQ1408" s="90"/>
      <c r="AR1408" s="90"/>
      <c r="AS1408" s="90"/>
      <c r="AT1408" s="90"/>
      <c r="AU1408" s="90"/>
      <c r="AV1408" s="91"/>
      <c r="AX1408" s="92"/>
    </row>
    <row r="1409" customFormat="false" ht="15.65" hidden="false" customHeight="false" outlineLevel="0" collapsed="false">
      <c r="C1409" s="72" t="n">
        <f aca="false">COUNTIFS($D$6:D1409,"&lt;&gt;"&amp;"")</f>
        <v>1404</v>
      </c>
      <c r="D1409" s="73" t="s">
        <v>12</v>
      </c>
      <c r="E1409" s="76" t="str">
        <f aca="false">
IF($D1409="정상",INDEX(임대자산!$D$3:$R$3000,MATCH($F1409,임대자산!$I$3:$I$3000,0),MATCH(E$3,임대자산!$D$3:$R$3,0)),
IF($D1409="폐업",INDEX(폐업정보!$D$3:$R$3000,MATCH($F1409,폐업정보!$I$3:$I$3000,0),MATCH(E$3,폐업정보!$D$3:$R$3,0)),
"Error"))</f>
        <v>서울</v>
      </c>
      <c r="F140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B1404</v>
      </c>
      <c r="G1409" s="76" t="str">
        <f aca="false">F1409&amp;RANDBETWEEN(0,10)</f>
        <v>B14047</v>
      </c>
      <c r="H1409" s="75" t="n">
        <f aca="false">
IF($D1409="정상",INDEX(임대자산!$D$3:$R$3000,MATCH($F1409,임대자산!$I$3:$I$3000,0),MATCH(H$4,임대자산!$D$3:$R$3,0)),
IF($D1409="폐업",INDEX(폐업정보!$D$3:$R$3000,MATCH($F1409,폐업정보!$I$3:$I$3000,0),MATCH(H$4,폐업정보!$D$3:$R$3,0)),
"Error"))</f>
        <v>45376</v>
      </c>
      <c r="I1409" s="75" t="str">
        <f aca="false">
IF($D1409="정상",INDEX(임대자산!$D$3:$R$3000,MATCH($F1409,임대자산!$I$3:$I$3000,0),MATCH(I$4,임대자산!$D$3:$R$3,0)),
IF($D1409="폐업",INDEX(폐업정보!$D$3:$R$3000,MATCH($F1409,폐업정보!$I$3:$I$3000,0),MATCH(I$4,폐업정보!$D$3:$R$3,0)),
"Error"))</f>
        <v>A1404</v>
      </c>
      <c r="J1409" s="75" t="str">
        <f aca="false">
IF($D1409="정상",INDEX(임대자산!$D$3:$R$3000,MATCH($F1409,임대자산!$I$3:$I$3000,0),MATCH(J$4,임대자산!$D$3:$R$3,0)),
IF($D1409="폐업",INDEX(폐업정보!$D$3:$R$3000,MATCH($F1409,폐업정보!$I$3:$I$3000,0),MATCH(J$4,폐업정보!$D$3:$R$3,0)),
"Error"))</f>
        <v>4177600000</v>
      </c>
      <c r="K1409" s="75" t="str">
        <f aca="false">
IF($D1409="정상",INDEX(임대자산!$D$3:$R$3000,MATCH($F1409,임대자산!$I$3:$I$3000,0),MATCH(K$4,임대자산!$D$3:$R$3,0)),
IF($D1409="폐업",INDEX(폐업정보!$D$3:$R$3000,MATCH($F1409,폐업정보!$I$3:$I$3000,0),MATCH(K$4,폐업정보!$D$3:$R$3,0)),
"Error"))</f>
        <v>C1404</v>
      </c>
      <c r="L1409" s="75" t="str">
        <f aca="false">
IF($D1409="정상",INDEX(임대자산!$D$3:$R$3000,MATCH($F1409,임대자산!$I$3:$I$3000,0),MATCH(L$4,임대자산!$D$3:$R$3,0)),
IF($D1409="폐업",INDEX(폐업정보!$D$3:$R$3000,MATCH($F1409,폐업정보!$I$3:$I$3000,0),MATCH(L$4,폐업정보!$D$3:$R$3,0)),
"Error"))</f>
        <v>D1404</v>
      </c>
      <c r="M1409" s="76" t="s">
        <v>96</v>
      </c>
      <c r="N1409" s="77"/>
      <c r="O1409" s="78" t="s">
        <v>97</v>
      </c>
      <c r="P1409" s="79" t="n">
        <f aca="false">COUNTIFS(임대자산!$I:$I,가맹점정보!F1409,임대자산!$N:$N,가맹점정보!P$4)</f>
        <v>0</v>
      </c>
      <c r="Q1409" s="80" t="n">
        <f aca="false">COUNTIFS(임대자산!$I:$I,가맹점정보!F1409,임대자산!$N:$N,가맹점정보!Q$4)</f>
        <v>0</v>
      </c>
      <c r="R1409" s="81" t="n">
        <f aca="false">COUNTIFS(임대자산!$I:$I,가맹점정보!F1409,임대자산!$N:$N,가맹점정보!R$4)</f>
        <v>1</v>
      </c>
      <c r="S1409" s="82" t="n">
        <v>55000</v>
      </c>
      <c r="T1409" s="83" t="n">
        <v>0</v>
      </c>
      <c r="U1409" s="80" t="n">
        <f aca="false">SUM(S1409:T1409)</f>
        <v>55000</v>
      </c>
      <c r="V1409" s="84" t="s">
        <v>7</v>
      </c>
      <c r="W1409" s="80" t="str">
        <f aca="true">
IF(D1409="폐업","폐업",
IF(V1409="면제","면제",
IF(AND(V1409="정상",COUNTIFS(OFFSET(Y1409,0,COUNTA(Y1409:AV1409)-1,1,-4),"미납")&gt;=3),"장기미납",
IF(AND(V1409="정상",OFFSET(Y1409,0,COUNTA(Y1409:AV1409)-1)&gt;=U1409),"정상",
IF(AND(V1409="정상",OFFSET(Y1409,0,COUNTA(Y1409:AV1409)-1)=0),"정상",
"계약서 미작성")))))</f>
        <v>면제</v>
      </c>
      <c r="X1409" s="81" t="str">
        <f aca="true">
IF(D1409="폐업","폐업",
IF(AND(V1409="정상",OFFSET(Y1409,0,COUNTA(Y1409:AV1409)-1)="미납"),"미납",
IF(AND(V1409="정상",OFFSET(Y1409,0,COUNTA(Y1409:AV1409)-1)=0),"납부 시작 전",
IF(AND(V1409="정상",OFFSET(Y1409,0,COUNTA(Y1409:AV1409)-1)&gt;=U1409),"정상",
IF(AND(V1409="면제",OFFSET(Y1409,0,COUNTA(Y1409:AV1409)-1)="면제"),"면제",
IF(AND(V1409="면제",OFFSET(Y1409,0,COUNTA(Y1409:AV1409)-1)=0),"면제",
"확인요청"))))))</f>
        <v>면제</v>
      </c>
      <c r="Y1409" s="94" t="s">
        <v>7</v>
      </c>
      <c r="Z1409" s="95" t="s">
        <v>7</v>
      </c>
      <c r="AA1409" s="95" t="s">
        <v>7</v>
      </c>
      <c r="AB1409" s="95" t="s">
        <v>7</v>
      </c>
      <c r="AC1409" s="95" t="s">
        <v>7</v>
      </c>
      <c r="AD1409" s="95" t="s">
        <v>7</v>
      </c>
      <c r="AE1409" s="95" t="s">
        <v>7</v>
      </c>
      <c r="AF1409" s="95" t="s">
        <v>7</v>
      </c>
      <c r="AG1409" s="95" t="s">
        <v>7</v>
      </c>
      <c r="AH1409" s="95" t="s">
        <v>7</v>
      </c>
      <c r="AI1409" s="95" t="s">
        <v>7</v>
      </c>
      <c r="AJ1409" s="96" t="s">
        <v>7</v>
      </c>
      <c r="AK1409" s="97" t="s">
        <v>7</v>
      </c>
      <c r="AL1409" s="95" t="s">
        <v>7</v>
      </c>
      <c r="AM1409" s="90"/>
      <c r="AN1409" s="90"/>
      <c r="AO1409" s="90"/>
      <c r="AP1409" s="90"/>
      <c r="AQ1409" s="90"/>
      <c r="AR1409" s="90"/>
      <c r="AS1409" s="90"/>
      <c r="AT1409" s="90"/>
      <c r="AU1409" s="90"/>
      <c r="AV1409" s="91"/>
      <c r="AX1409" s="92"/>
    </row>
    <row r="1410" customFormat="false" ht="15.65" hidden="false" customHeight="false" outlineLevel="0" collapsed="false">
      <c r="C1410" s="72" t="n">
        <f aca="false">COUNTIFS($D$6:D1410,"&lt;&gt;"&amp;"")</f>
        <v>1405</v>
      </c>
      <c r="D1410" s="73" t="s">
        <v>12</v>
      </c>
      <c r="E1410" s="76" t="str">
        <f aca="false">
IF($D1410="정상",INDEX(임대자산!$D$3:$R$3000,MATCH($F1410,임대자산!$I$3:$I$3000,0),MATCH(E$3,임대자산!$D$3:$R$3,0)),
IF($D1410="폐업",INDEX(폐업정보!$D$3:$R$3000,MATCH($F1410,폐업정보!$I$3:$I$3000,0),MATCH(E$3,폐업정보!$D$3:$R$3,0)),
"Error"))</f>
        <v>경상</v>
      </c>
      <c r="F141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B1405</v>
      </c>
      <c r="G1410" s="76" t="str">
        <f aca="false">F1410&amp;RANDBETWEEN(0,10)</f>
        <v>B14053</v>
      </c>
      <c r="H1410" s="75" t="n">
        <f aca="false">
IF($D1410="정상",INDEX(임대자산!$D$3:$R$3000,MATCH($F1410,임대자산!$I$3:$I$3000,0),MATCH(H$4,임대자산!$D$3:$R$3,0)),
IF($D1410="폐업",INDEX(폐업정보!$D$3:$R$3000,MATCH($F1410,폐업정보!$I$3:$I$3000,0),MATCH(H$4,폐업정보!$D$3:$R$3,0)),
"Error"))</f>
        <v>45384</v>
      </c>
      <c r="I1410" s="75" t="str">
        <f aca="false">
IF($D1410="정상",INDEX(임대자산!$D$3:$R$3000,MATCH($F1410,임대자산!$I$3:$I$3000,0),MATCH(I$4,임대자산!$D$3:$R$3,0)),
IF($D1410="폐업",INDEX(폐업정보!$D$3:$R$3000,MATCH($F1410,폐업정보!$I$3:$I$3000,0),MATCH(I$4,폐업정보!$D$3:$R$3,0)),
"Error"))</f>
        <v>A1405</v>
      </c>
      <c r="J1410" s="75" t="str">
        <f aca="false">
IF($D1410="정상",INDEX(임대자산!$D$3:$R$3000,MATCH($F1410,임대자산!$I$3:$I$3000,0),MATCH(J$4,임대자산!$D$3:$R$3,0)),
IF($D1410="폐업",INDEX(폐업정보!$D$3:$R$3000,MATCH($F1410,폐업정보!$I$3:$I$3000,0),MATCH(J$4,폐업정보!$D$3:$R$3,0)),
"Error"))</f>
        <v>3676400000</v>
      </c>
      <c r="K1410" s="75" t="str">
        <f aca="false">
IF($D1410="정상",INDEX(임대자산!$D$3:$R$3000,MATCH($F1410,임대자산!$I$3:$I$3000,0),MATCH(K$4,임대자산!$D$3:$R$3,0)),
IF($D1410="폐업",INDEX(폐업정보!$D$3:$R$3000,MATCH($F1410,폐업정보!$I$3:$I$3000,0),MATCH(K$4,폐업정보!$D$3:$R$3,0)),
"Error"))</f>
        <v>C1405</v>
      </c>
      <c r="L1410" s="75" t="str">
        <f aca="false">
IF($D1410="정상",INDEX(임대자산!$D$3:$R$3000,MATCH($F1410,임대자산!$I$3:$I$3000,0),MATCH(L$4,임대자산!$D$3:$R$3,0)),
IF($D1410="폐업",INDEX(폐업정보!$D$3:$R$3000,MATCH($F1410,폐업정보!$I$3:$I$3000,0),MATCH(L$4,폐업정보!$D$3:$R$3,0)),
"Error"))</f>
        <v>D1405</v>
      </c>
      <c r="M1410" s="76" t="s">
        <v>96</v>
      </c>
      <c r="N1410" s="77"/>
      <c r="O1410" s="78" t="s">
        <v>97</v>
      </c>
      <c r="P1410" s="79" t="n">
        <f aca="false">COUNTIFS(임대자산!$I:$I,가맹점정보!F1410,임대자산!$N:$N,가맹점정보!P$4)</f>
        <v>0</v>
      </c>
      <c r="Q1410" s="80" t="n">
        <f aca="false">COUNTIFS(임대자산!$I:$I,가맹점정보!F1410,임대자산!$N:$N,가맹점정보!Q$4)</f>
        <v>0</v>
      </c>
      <c r="R1410" s="81" t="n">
        <f aca="false">COUNTIFS(임대자산!$I:$I,가맹점정보!F1410,임대자산!$N:$N,가맹점정보!R$4)</f>
        <v>1</v>
      </c>
      <c r="S1410" s="82" t="n">
        <v>55000</v>
      </c>
      <c r="T1410" s="83" t="n">
        <v>0</v>
      </c>
      <c r="U1410" s="80" t="n">
        <f aca="false">SUM(S1410:T1410)</f>
        <v>55000</v>
      </c>
      <c r="V1410" s="84" t="s">
        <v>7</v>
      </c>
      <c r="W1410" s="80" t="str">
        <f aca="true">
IF(D1410="폐업","폐업",
IF(V1410="면제","면제",
IF(AND(V1410="정상",COUNTIFS(OFFSET(Y1410,0,COUNTA(Y1410:AV1410)-1,1,-4),"미납")&gt;=3),"장기미납",
IF(AND(V1410="정상",OFFSET(Y1410,0,COUNTA(Y1410:AV1410)-1)&gt;=U1410),"정상",
IF(AND(V1410="정상",OFFSET(Y1410,0,COUNTA(Y1410:AV1410)-1)=0),"정상",
"계약서 미작성")))))</f>
        <v>면제</v>
      </c>
      <c r="X1410" s="81" t="str">
        <f aca="true">
IF(D1410="폐업","폐업",
IF(AND(V1410="정상",OFFSET(Y1410,0,COUNTA(Y1410:AV1410)-1)="미납"),"미납",
IF(AND(V1410="정상",OFFSET(Y1410,0,COUNTA(Y1410:AV1410)-1)=0),"납부 시작 전",
IF(AND(V1410="정상",OFFSET(Y1410,0,COUNTA(Y1410:AV1410)-1)&gt;=U1410),"정상",
IF(AND(V1410="면제",OFFSET(Y1410,0,COUNTA(Y1410:AV1410)-1)="면제"),"면제",
IF(AND(V1410="면제",OFFSET(Y1410,0,COUNTA(Y1410:AV1410)-1)=0),"면제",
"확인요청"))))))</f>
        <v>면제</v>
      </c>
      <c r="Y1410" s="94" t="s">
        <v>7</v>
      </c>
      <c r="Z1410" s="95" t="s">
        <v>7</v>
      </c>
      <c r="AA1410" s="95" t="s">
        <v>7</v>
      </c>
      <c r="AB1410" s="95" t="s">
        <v>7</v>
      </c>
      <c r="AC1410" s="95" t="s">
        <v>7</v>
      </c>
      <c r="AD1410" s="95" t="s">
        <v>7</v>
      </c>
      <c r="AE1410" s="95" t="s">
        <v>7</v>
      </c>
      <c r="AF1410" s="95" t="s">
        <v>7</v>
      </c>
      <c r="AG1410" s="95" t="s">
        <v>7</v>
      </c>
      <c r="AH1410" s="95" t="s">
        <v>7</v>
      </c>
      <c r="AI1410" s="95" t="s">
        <v>7</v>
      </c>
      <c r="AJ1410" s="96" t="s">
        <v>7</v>
      </c>
      <c r="AK1410" s="97" t="s">
        <v>7</v>
      </c>
      <c r="AL1410" s="95" t="s">
        <v>7</v>
      </c>
      <c r="AM1410" s="90"/>
      <c r="AN1410" s="90"/>
      <c r="AO1410" s="90"/>
      <c r="AP1410" s="90"/>
      <c r="AQ1410" s="90"/>
      <c r="AR1410" s="90"/>
      <c r="AS1410" s="90"/>
      <c r="AT1410" s="90"/>
      <c r="AU1410" s="90"/>
      <c r="AV1410" s="91"/>
      <c r="AX1410" s="92"/>
    </row>
    <row r="1411" customFormat="false" ht="15.65" hidden="false" customHeight="false" outlineLevel="0" collapsed="false">
      <c r="C1411" s="72" t="n">
        <f aca="false">COUNTIFS($D$6:D1411,"&lt;&gt;"&amp;"")</f>
        <v>1406</v>
      </c>
      <c r="D1411" s="73" t="s">
        <v>12</v>
      </c>
      <c r="E1411" s="76" t="str">
        <f aca="false">
IF($D1411="정상",INDEX(임대자산!$D$3:$R$3000,MATCH($F1411,임대자산!$I$3:$I$3000,0),MATCH(E$3,임대자산!$D$3:$R$3,0)),
IF($D1411="폐업",INDEX(폐업정보!$D$3:$R$3000,MATCH($F1411,폐업정보!$I$3:$I$3000,0),MATCH(E$3,폐업정보!$D$3:$R$3,0)),
"Error"))</f>
        <v>서울</v>
      </c>
      <c r="F141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B1406</v>
      </c>
      <c r="G1411" s="76" t="str">
        <f aca="false">F1411&amp;RANDBETWEEN(0,10)</f>
        <v>B14069</v>
      </c>
      <c r="H1411" s="75" t="n">
        <f aca="false">
IF($D1411="정상",INDEX(임대자산!$D$3:$R$3000,MATCH($F1411,임대자산!$I$3:$I$3000,0),MATCH(H$4,임대자산!$D$3:$R$3,0)),
IF($D1411="폐업",INDEX(폐업정보!$D$3:$R$3000,MATCH($F1411,폐업정보!$I$3:$I$3000,0),MATCH(H$4,폐업정보!$D$3:$R$3,0)),
"Error"))</f>
        <v>45657</v>
      </c>
      <c r="I1411" s="75" t="str">
        <f aca="false">
IF($D1411="정상",INDEX(임대자산!$D$3:$R$3000,MATCH($F1411,임대자산!$I$3:$I$3000,0),MATCH(I$4,임대자산!$D$3:$R$3,0)),
IF($D1411="폐업",INDEX(폐업정보!$D$3:$R$3000,MATCH($F1411,폐업정보!$I$3:$I$3000,0),MATCH(I$4,폐업정보!$D$3:$R$3,0)),
"Error"))</f>
        <v>A1406</v>
      </c>
      <c r="J1411" s="75" t="str">
        <f aca="false">
IF($D1411="정상",INDEX(임대자산!$D$3:$R$3000,MATCH($F1411,임대자산!$I$3:$I$3000,0),MATCH(J$4,임대자산!$D$3:$R$3,0)),
IF($D1411="폐업",INDEX(폐업정보!$D$3:$R$3000,MATCH($F1411,폐업정보!$I$3:$I$3000,0),MATCH(J$4,폐업정보!$D$3:$R$3,0)),
"Error"))</f>
        <v>5032000000</v>
      </c>
      <c r="K1411" s="75" t="str">
        <f aca="false">
IF($D1411="정상",INDEX(임대자산!$D$3:$R$3000,MATCH($F1411,임대자산!$I$3:$I$3000,0),MATCH(K$4,임대자산!$D$3:$R$3,0)),
IF($D1411="폐업",INDEX(폐업정보!$D$3:$R$3000,MATCH($F1411,폐업정보!$I$3:$I$3000,0),MATCH(K$4,폐업정보!$D$3:$R$3,0)),
"Error"))</f>
        <v>C1406</v>
      </c>
      <c r="L1411" s="75" t="str">
        <f aca="false">
IF($D1411="정상",INDEX(임대자산!$D$3:$R$3000,MATCH($F1411,임대자산!$I$3:$I$3000,0),MATCH(L$4,임대자산!$D$3:$R$3,0)),
IF($D1411="폐업",INDEX(폐업정보!$D$3:$R$3000,MATCH($F1411,폐업정보!$I$3:$I$3000,0),MATCH(L$4,폐업정보!$D$3:$R$3,0)),
"Error"))</f>
        <v>D1406</v>
      </c>
      <c r="M1411" s="76" t="s">
        <v>96</v>
      </c>
      <c r="N1411" s="77"/>
      <c r="O1411" s="78" t="s">
        <v>97</v>
      </c>
      <c r="P1411" s="79" t="n">
        <f aca="false">COUNTIFS(임대자산!$I:$I,가맹점정보!F1411,임대자산!$N:$N,가맹점정보!P$4)</f>
        <v>0</v>
      </c>
      <c r="Q1411" s="80" t="n">
        <f aca="false">COUNTIFS(임대자산!$I:$I,가맹점정보!F1411,임대자산!$N:$N,가맹점정보!Q$4)</f>
        <v>0</v>
      </c>
      <c r="R1411" s="81" t="n">
        <f aca="false">COUNTIFS(임대자산!$I:$I,가맹점정보!F1411,임대자산!$N:$N,가맹점정보!R$4)</f>
        <v>1</v>
      </c>
      <c r="S1411" s="82" t="n">
        <v>132000</v>
      </c>
      <c r="T1411" s="83" t="n">
        <v>0</v>
      </c>
      <c r="U1411" s="80" t="n">
        <f aca="false">SUM(S1411:T1411)</f>
        <v>132000</v>
      </c>
      <c r="V1411" s="84" t="s">
        <v>7</v>
      </c>
      <c r="W1411" s="80" t="str">
        <f aca="true">
IF(D1411="폐업","폐업",
IF(V1411="면제","면제",
IF(AND(V1411="정상",COUNTIFS(OFFSET(Y1411,0,COUNTA(Y1411:AV1411)-1,1,-4),"미납")&gt;=3),"장기미납",
IF(AND(V1411="정상",OFFSET(Y1411,0,COUNTA(Y1411:AV1411)-1)&gt;=U1411),"정상",
IF(AND(V1411="정상",OFFSET(Y1411,0,COUNTA(Y1411:AV1411)-1)=0),"정상",
"계약서 미작성")))))</f>
        <v>면제</v>
      </c>
      <c r="X1411" s="81" t="str">
        <f aca="true">
IF(D1411="폐업","폐업",
IF(AND(V1411="정상",OFFSET(Y1411,0,COUNTA(Y1411:AV1411)-1)="미납"),"미납",
IF(AND(V1411="정상",OFFSET(Y1411,0,COUNTA(Y1411:AV1411)-1)=0),"납부 시작 전",
IF(AND(V1411="정상",OFFSET(Y1411,0,COUNTA(Y1411:AV1411)-1)&gt;=U1411),"정상",
IF(AND(V1411="면제",OFFSET(Y1411,0,COUNTA(Y1411:AV1411)-1)="면제"),"면제",
IF(AND(V1411="면제",OFFSET(Y1411,0,COUNTA(Y1411:AV1411)-1)=0),"면제",
"확인요청"))))))</f>
        <v>면제</v>
      </c>
      <c r="Y1411" s="94" t="s">
        <v>7</v>
      </c>
      <c r="Z1411" s="95" t="s">
        <v>7</v>
      </c>
      <c r="AA1411" s="95" t="s">
        <v>7</v>
      </c>
      <c r="AB1411" s="95" t="s">
        <v>7</v>
      </c>
      <c r="AC1411" s="95" t="s">
        <v>7</v>
      </c>
      <c r="AD1411" s="95" t="s">
        <v>7</v>
      </c>
      <c r="AE1411" s="95" t="s">
        <v>7</v>
      </c>
      <c r="AF1411" s="95" t="s">
        <v>7</v>
      </c>
      <c r="AG1411" s="95" t="s">
        <v>7</v>
      </c>
      <c r="AH1411" s="95" t="s">
        <v>7</v>
      </c>
      <c r="AI1411" s="95" t="s">
        <v>7</v>
      </c>
      <c r="AJ1411" s="96" t="s">
        <v>7</v>
      </c>
      <c r="AK1411" s="97" t="s">
        <v>7</v>
      </c>
      <c r="AL1411" s="95" t="s">
        <v>7</v>
      </c>
      <c r="AM1411" s="90"/>
      <c r="AN1411" s="90"/>
      <c r="AO1411" s="90"/>
      <c r="AP1411" s="90"/>
      <c r="AQ1411" s="90"/>
      <c r="AR1411" s="90"/>
      <c r="AS1411" s="90"/>
      <c r="AT1411" s="90"/>
      <c r="AU1411" s="90"/>
      <c r="AV1411" s="91"/>
      <c r="AX1411" s="92"/>
    </row>
    <row r="1412" customFormat="false" ht="15.65" hidden="false" customHeight="false" outlineLevel="0" collapsed="false">
      <c r="C1412" s="72" t="n">
        <f aca="false">COUNTIFS($D$6:D1412,"&lt;&gt;"&amp;"")</f>
        <v>1407</v>
      </c>
      <c r="D1412" s="73" t="s">
        <v>12</v>
      </c>
      <c r="E1412" s="76" t="str">
        <f aca="false">
IF($D1412="정상",INDEX(임대자산!$D$3:$R$3000,MATCH($F1412,임대자산!$I$3:$I$3000,0),MATCH(E$3,임대자산!$D$3:$R$3,0)),
IF($D1412="폐업",INDEX(폐업정보!$D$3:$R$3000,MATCH($F1412,폐업정보!$I$3:$I$3000,0),MATCH(E$3,폐업정보!$D$3:$R$3,0)),
"Error"))</f>
        <v>경기</v>
      </c>
      <c r="F141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B1407</v>
      </c>
      <c r="G1412" s="76" t="str">
        <f aca="false">F1412&amp;RANDBETWEEN(0,10)</f>
        <v>B14075</v>
      </c>
      <c r="H1412" s="75" t="n">
        <f aca="false">
IF($D1412="정상",INDEX(임대자산!$D$3:$R$3000,MATCH($F1412,임대자산!$I$3:$I$3000,0),MATCH(H$4,임대자산!$D$3:$R$3,0)),
IF($D1412="폐업",INDEX(폐업정보!$D$3:$R$3000,MATCH($F1412,폐업정보!$I$3:$I$3000,0),MATCH(H$4,폐업정보!$D$3:$R$3,0)),
"Error"))</f>
        <v>45385</v>
      </c>
      <c r="I1412" s="75" t="str">
        <f aca="false">
IF($D1412="정상",INDEX(임대자산!$D$3:$R$3000,MATCH($F1412,임대자산!$I$3:$I$3000,0),MATCH(I$4,임대자산!$D$3:$R$3,0)),
IF($D1412="폐업",INDEX(폐업정보!$D$3:$R$3000,MATCH($F1412,폐업정보!$I$3:$I$3000,0),MATCH(I$4,폐업정보!$D$3:$R$3,0)),
"Error"))</f>
        <v>A1407</v>
      </c>
      <c r="J1412" s="75" t="str">
        <f aca="false">
IF($D1412="정상",INDEX(임대자산!$D$3:$R$3000,MATCH($F1412,임대자산!$I$3:$I$3000,0),MATCH(J$4,임대자산!$D$3:$R$3,0)),
IF($D1412="폐업",INDEX(폐업정보!$D$3:$R$3000,MATCH($F1412,폐업정보!$I$3:$I$3000,0),MATCH(J$4,폐업정보!$D$3:$R$3,0)),
"Error"))</f>
        <v>8526600000</v>
      </c>
      <c r="K1412" s="75" t="str">
        <f aca="false">
IF($D1412="정상",INDEX(임대자산!$D$3:$R$3000,MATCH($F1412,임대자산!$I$3:$I$3000,0),MATCH(K$4,임대자산!$D$3:$R$3,0)),
IF($D1412="폐업",INDEX(폐업정보!$D$3:$R$3000,MATCH($F1412,폐업정보!$I$3:$I$3000,0),MATCH(K$4,폐업정보!$D$3:$R$3,0)),
"Error"))</f>
        <v>C1407</v>
      </c>
      <c r="L1412" s="75" t="str">
        <f aca="false">
IF($D1412="정상",INDEX(임대자산!$D$3:$R$3000,MATCH($F1412,임대자산!$I$3:$I$3000,0),MATCH(L$4,임대자산!$D$3:$R$3,0)),
IF($D1412="폐업",INDEX(폐업정보!$D$3:$R$3000,MATCH($F1412,폐업정보!$I$3:$I$3000,0),MATCH(L$4,폐업정보!$D$3:$R$3,0)),
"Error"))</f>
        <v>D1407</v>
      </c>
      <c r="M1412" s="76" t="s">
        <v>96</v>
      </c>
      <c r="N1412" s="77"/>
      <c r="O1412" s="78" t="s">
        <v>97</v>
      </c>
      <c r="P1412" s="79" t="n">
        <f aca="false">COUNTIFS(임대자산!$I:$I,가맹점정보!F1412,임대자산!$N:$N,가맹점정보!P$4)</f>
        <v>0</v>
      </c>
      <c r="Q1412" s="80" t="n">
        <f aca="false">COUNTIFS(임대자산!$I:$I,가맹점정보!F1412,임대자산!$N:$N,가맹점정보!Q$4)</f>
        <v>0</v>
      </c>
      <c r="R1412" s="81" t="n">
        <f aca="false">COUNTIFS(임대자산!$I:$I,가맹점정보!F1412,임대자산!$N:$N,가맹점정보!R$4)</f>
        <v>1</v>
      </c>
      <c r="S1412" s="82" t="n">
        <v>55000</v>
      </c>
      <c r="T1412" s="83" t="n">
        <v>0</v>
      </c>
      <c r="U1412" s="80" t="n">
        <f aca="false">SUM(S1412:T1412)</f>
        <v>55000</v>
      </c>
      <c r="V1412" s="84" t="s">
        <v>7</v>
      </c>
      <c r="W1412" s="80" t="str">
        <f aca="true">
IF(D1412="폐업","폐업",
IF(V1412="면제","면제",
IF(AND(V1412="정상",COUNTIFS(OFFSET(Y1412,0,COUNTA(Y1412:AV1412)-1,1,-4),"미납")&gt;=3),"장기미납",
IF(AND(V1412="정상",OFFSET(Y1412,0,COUNTA(Y1412:AV1412)-1)&gt;=U1412),"정상",
IF(AND(V1412="정상",OFFSET(Y1412,0,COUNTA(Y1412:AV1412)-1)=0),"정상",
"계약서 미작성")))))</f>
        <v>면제</v>
      </c>
      <c r="X1412" s="81" t="str">
        <f aca="true">
IF(D1412="폐업","폐업",
IF(AND(V1412="정상",OFFSET(Y1412,0,COUNTA(Y1412:AV1412)-1)="미납"),"미납",
IF(AND(V1412="정상",OFFSET(Y1412,0,COUNTA(Y1412:AV1412)-1)=0),"납부 시작 전",
IF(AND(V1412="정상",OFFSET(Y1412,0,COUNTA(Y1412:AV1412)-1)&gt;=U1412),"정상",
IF(AND(V1412="면제",OFFSET(Y1412,0,COUNTA(Y1412:AV1412)-1)="면제"),"면제",
IF(AND(V1412="면제",OFFSET(Y1412,0,COUNTA(Y1412:AV1412)-1)=0),"면제",
"확인요청"))))))</f>
        <v>면제</v>
      </c>
      <c r="Y1412" s="94" t="s">
        <v>7</v>
      </c>
      <c r="Z1412" s="95" t="s">
        <v>7</v>
      </c>
      <c r="AA1412" s="95" t="s">
        <v>7</v>
      </c>
      <c r="AB1412" s="95" t="s">
        <v>7</v>
      </c>
      <c r="AC1412" s="95" t="s">
        <v>7</v>
      </c>
      <c r="AD1412" s="95" t="s">
        <v>7</v>
      </c>
      <c r="AE1412" s="95" t="s">
        <v>7</v>
      </c>
      <c r="AF1412" s="95" t="s">
        <v>7</v>
      </c>
      <c r="AG1412" s="95" t="s">
        <v>7</v>
      </c>
      <c r="AH1412" s="95" t="s">
        <v>7</v>
      </c>
      <c r="AI1412" s="95" t="s">
        <v>7</v>
      </c>
      <c r="AJ1412" s="96" t="s">
        <v>7</v>
      </c>
      <c r="AK1412" s="97" t="s">
        <v>7</v>
      </c>
      <c r="AL1412" s="95" t="s">
        <v>7</v>
      </c>
      <c r="AM1412" s="90"/>
      <c r="AN1412" s="90"/>
      <c r="AO1412" s="90"/>
      <c r="AP1412" s="90"/>
      <c r="AQ1412" s="90"/>
      <c r="AR1412" s="90"/>
      <c r="AS1412" s="90"/>
      <c r="AT1412" s="90"/>
      <c r="AU1412" s="90"/>
      <c r="AV1412" s="91"/>
      <c r="AX1412" s="92"/>
    </row>
    <row r="1413" customFormat="false" ht="15.65" hidden="false" customHeight="false" outlineLevel="0" collapsed="false">
      <c r="C1413" s="72" t="n">
        <f aca="false">COUNTIFS($D$6:D1413,"&lt;&gt;"&amp;"")</f>
        <v>1408</v>
      </c>
      <c r="D1413" s="73" t="s">
        <v>12</v>
      </c>
      <c r="E1413" s="76" t="str">
        <f aca="false">
IF($D1413="정상",INDEX(임대자산!$D$3:$R$3000,MATCH($F1413,임대자산!$I$3:$I$3000,0),MATCH(E$3,임대자산!$D$3:$R$3,0)),
IF($D1413="폐업",INDEX(폐업정보!$D$3:$R$3000,MATCH($F1413,폐업정보!$I$3:$I$3000,0),MATCH(E$3,폐업정보!$D$3:$R$3,0)),
"Error"))</f>
        <v>경기</v>
      </c>
      <c r="F141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B1408</v>
      </c>
      <c r="G1413" s="76" t="str">
        <f aca="false">F1413&amp;RANDBETWEEN(0,10)</f>
        <v>B14080</v>
      </c>
      <c r="H1413" s="75" t="n">
        <f aca="false">
IF($D1413="정상",INDEX(임대자산!$D$3:$R$3000,MATCH($F1413,임대자산!$I$3:$I$3000,0),MATCH(H$4,임대자산!$D$3:$R$3,0)),
IF($D1413="폐업",INDEX(폐업정보!$D$3:$R$3000,MATCH($F1413,폐업정보!$I$3:$I$3000,0),MATCH(H$4,폐업정보!$D$3:$R$3,0)),
"Error"))</f>
        <v>45385</v>
      </c>
      <c r="I1413" s="75" t="str">
        <f aca="false">
IF($D1413="정상",INDEX(임대자산!$D$3:$R$3000,MATCH($F1413,임대자산!$I$3:$I$3000,0),MATCH(I$4,임대자산!$D$3:$R$3,0)),
IF($D1413="폐업",INDEX(폐업정보!$D$3:$R$3000,MATCH($F1413,폐업정보!$I$3:$I$3000,0),MATCH(I$4,폐업정보!$D$3:$R$3,0)),
"Error"))</f>
        <v>A1408</v>
      </c>
      <c r="J1413" s="75" t="str">
        <f aca="false">
IF($D1413="정상",INDEX(임대자산!$D$3:$R$3000,MATCH($F1413,임대자산!$I$3:$I$3000,0),MATCH(J$4,임대자산!$D$3:$R$3,0)),
IF($D1413="폐업",INDEX(폐업정보!$D$3:$R$3000,MATCH($F1413,폐업정보!$I$3:$I$3000,0),MATCH(J$4,폐업정보!$D$3:$R$3,0)),
"Error"))</f>
        <v>2765400000</v>
      </c>
      <c r="K1413" s="75" t="str">
        <f aca="false">
IF($D1413="정상",INDEX(임대자산!$D$3:$R$3000,MATCH($F1413,임대자산!$I$3:$I$3000,0),MATCH(K$4,임대자산!$D$3:$R$3,0)),
IF($D1413="폐업",INDEX(폐업정보!$D$3:$R$3000,MATCH($F1413,폐업정보!$I$3:$I$3000,0),MATCH(K$4,폐업정보!$D$3:$R$3,0)),
"Error"))</f>
        <v>C1408</v>
      </c>
      <c r="L1413" s="75" t="str">
        <f aca="false">
IF($D1413="정상",INDEX(임대자산!$D$3:$R$3000,MATCH($F1413,임대자산!$I$3:$I$3000,0),MATCH(L$4,임대자산!$D$3:$R$3,0)),
IF($D1413="폐업",INDEX(폐업정보!$D$3:$R$3000,MATCH($F1413,폐업정보!$I$3:$I$3000,0),MATCH(L$4,폐업정보!$D$3:$R$3,0)),
"Error"))</f>
        <v>D1408</v>
      </c>
      <c r="M1413" s="76" t="s">
        <v>96</v>
      </c>
      <c r="N1413" s="77"/>
      <c r="O1413" s="78" t="s">
        <v>97</v>
      </c>
      <c r="P1413" s="79" t="n">
        <f aca="false">COUNTIFS(임대자산!$I:$I,가맹점정보!F1413,임대자산!$N:$N,가맹점정보!P$4)</f>
        <v>0</v>
      </c>
      <c r="Q1413" s="80" t="n">
        <f aca="false">COUNTIFS(임대자산!$I:$I,가맹점정보!F1413,임대자산!$N:$N,가맹점정보!Q$4)</f>
        <v>0</v>
      </c>
      <c r="R1413" s="81" t="n">
        <f aca="false">COUNTIFS(임대자산!$I:$I,가맹점정보!F1413,임대자산!$N:$N,가맹점정보!R$4)</f>
        <v>1</v>
      </c>
      <c r="S1413" s="82" t="n">
        <v>55000</v>
      </c>
      <c r="T1413" s="83" t="n">
        <v>0</v>
      </c>
      <c r="U1413" s="80" t="n">
        <f aca="false">SUM(S1413:T1413)</f>
        <v>55000</v>
      </c>
      <c r="V1413" s="84" t="s">
        <v>7</v>
      </c>
      <c r="W1413" s="80" t="str">
        <f aca="true">
IF(D1413="폐업","폐업",
IF(V1413="면제","면제",
IF(AND(V1413="정상",COUNTIFS(OFFSET(Y1413,0,COUNTA(Y1413:AV1413)-1,1,-4),"미납")&gt;=3),"장기미납",
IF(AND(V1413="정상",OFFSET(Y1413,0,COUNTA(Y1413:AV1413)-1)&gt;=U1413),"정상",
IF(AND(V1413="정상",OFFSET(Y1413,0,COUNTA(Y1413:AV1413)-1)=0),"정상",
"계약서 미작성")))))</f>
        <v>면제</v>
      </c>
      <c r="X1413" s="81" t="str">
        <f aca="true">
IF(D1413="폐업","폐업",
IF(AND(V1413="정상",OFFSET(Y1413,0,COUNTA(Y1413:AV1413)-1)="미납"),"미납",
IF(AND(V1413="정상",OFFSET(Y1413,0,COUNTA(Y1413:AV1413)-1)=0),"납부 시작 전",
IF(AND(V1413="정상",OFFSET(Y1413,0,COUNTA(Y1413:AV1413)-1)&gt;=U1413),"정상",
IF(AND(V1413="면제",OFFSET(Y1413,0,COUNTA(Y1413:AV1413)-1)="면제"),"면제",
IF(AND(V1413="면제",OFFSET(Y1413,0,COUNTA(Y1413:AV1413)-1)=0),"면제",
"확인요청"))))))</f>
        <v>면제</v>
      </c>
      <c r="Y1413" s="94" t="s">
        <v>7</v>
      </c>
      <c r="Z1413" s="95" t="s">
        <v>7</v>
      </c>
      <c r="AA1413" s="95" t="s">
        <v>7</v>
      </c>
      <c r="AB1413" s="95" t="s">
        <v>7</v>
      </c>
      <c r="AC1413" s="95" t="s">
        <v>7</v>
      </c>
      <c r="AD1413" s="95" t="s">
        <v>7</v>
      </c>
      <c r="AE1413" s="95" t="s">
        <v>7</v>
      </c>
      <c r="AF1413" s="95" t="s">
        <v>7</v>
      </c>
      <c r="AG1413" s="95" t="s">
        <v>7</v>
      </c>
      <c r="AH1413" s="95" t="s">
        <v>7</v>
      </c>
      <c r="AI1413" s="95" t="s">
        <v>7</v>
      </c>
      <c r="AJ1413" s="96" t="s">
        <v>7</v>
      </c>
      <c r="AK1413" s="97" t="s">
        <v>7</v>
      </c>
      <c r="AL1413" s="95" t="s">
        <v>7</v>
      </c>
      <c r="AM1413" s="90"/>
      <c r="AN1413" s="90"/>
      <c r="AO1413" s="90"/>
      <c r="AP1413" s="90"/>
      <c r="AQ1413" s="90"/>
      <c r="AR1413" s="90"/>
      <c r="AS1413" s="90"/>
      <c r="AT1413" s="90"/>
      <c r="AU1413" s="90"/>
      <c r="AV1413" s="91"/>
      <c r="AX1413" s="92"/>
    </row>
    <row r="1414" customFormat="false" ht="15.65" hidden="false" customHeight="false" outlineLevel="0" collapsed="false">
      <c r="C1414" s="72" t="n">
        <f aca="false">COUNTIFS($D$6:D1414,"&lt;&gt;"&amp;"")</f>
        <v>1409</v>
      </c>
      <c r="D1414" s="73" t="s">
        <v>12</v>
      </c>
      <c r="E1414" s="76" t="str">
        <f aca="false">
IF($D1414="정상",INDEX(임대자산!$D$3:$R$3000,MATCH($F1414,임대자산!$I$3:$I$3000,0),MATCH(E$3,임대자산!$D$3:$R$3,0)),
IF($D1414="폐업",INDEX(폐업정보!$D$3:$R$3000,MATCH($F1414,폐업정보!$I$3:$I$3000,0),MATCH(E$3,폐업정보!$D$3:$R$3,0)),
"Error"))</f>
        <v>서울</v>
      </c>
      <c r="F141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B1409</v>
      </c>
      <c r="G1414" s="76" t="str">
        <f aca="false">F1414&amp;RANDBETWEEN(0,10)</f>
        <v>B14096</v>
      </c>
      <c r="H1414" s="75" t="n">
        <f aca="false">
IF($D1414="정상",INDEX(임대자산!$D$3:$R$3000,MATCH($F1414,임대자산!$I$3:$I$3000,0),MATCH(H$4,임대자산!$D$3:$R$3,0)),
IF($D1414="폐업",INDEX(폐업정보!$D$3:$R$3000,MATCH($F1414,폐업정보!$I$3:$I$3000,0),MATCH(H$4,폐업정보!$D$3:$R$3,0)),
"Error"))</f>
        <v>45387</v>
      </c>
      <c r="I1414" s="75" t="str">
        <f aca="false">
IF($D1414="정상",INDEX(임대자산!$D$3:$R$3000,MATCH($F1414,임대자산!$I$3:$I$3000,0),MATCH(I$4,임대자산!$D$3:$R$3,0)),
IF($D1414="폐업",INDEX(폐업정보!$D$3:$R$3000,MATCH($F1414,폐업정보!$I$3:$I$3000,0),MATCH(I$4,폐업정보!$D$3:$R$3,0)),
"Error"))</f>
        <v>A1409</v>
      </c>
      <c r="J1414" s="75" t="str">
        <f aca="false">
IF($D1414="정상",INDEX(임대자산!$D$3:$R$3000,MATCH($F1414,임대자산!$I$3:$I$3000,0),MATCH(J$4,임대자산!$D$3:$R$3,0)),
IF($D1414="폐업",INDEX(폐업정보!$D$3:$R$3000,MATCH($F1414,폐업정보!$I$3:$I$3000,0),MATCH(J$4,폐업정보!$D$3:$R$3,0)),
"Error"))</f>
        <v>1884300000</v>
      </c>
      <c r="K1414" s="75" t="str">
        <f aca="false">
IF($D1414="정상",INDEX(임대자산!$D$3:$R$3000,MATCH($F1414,임대자산!$I$3:$I$3000,0),MATCH(K$4,임대자산!$D$3:$R$3,0)),
IF($D1414="폐업",INDEX(폐업정보!$D$3:$R$3000,MATCH($F1414,폐업정보!$I$3:$I$3000,0),MATCH(K$4,폐업정보!$D$3:$R$3,0)),
"Error"))</f>
        <v>C1409</v>
      </c>
      <c r="L1414" s="75" t="str">
        <f aca="false">
IF($D1414="정상",INDEX(임대자산!$D$3:$R$3000,MATCH($F1414,임대자산!$I$3:$I$3000,0),MATCH(L$4,임대자산!$D$3:$R$3,0)),
IF($D1414="폐업",INDEX(폐업정보!$D$3:$R$3000,MATCH($F1414,폐업정보!$I$3:$I$3000,0),MATCH(L$4,폐업정보!$D$3:$R$3,0)),
"Error"))</f>
        <v>D1409</v>
      </c>
      <c r="M1414" s="76" t="s">
        <v>96</v>
      </c>
      <c r="N1414" s="77"/>
      <c r="O1414" s="78" t="s">
        <v>97</v>
      </c>
      <c r="P1414" s="79" t="n">
        <f aca="false">COUNTIFS(임대자산!$I:$I,가맹점정보!F1414,임대자산!$N:$N,가맹점정보!P$4)</f>
        <v>0</v>
      </c>
      <c r="Q1414" s="80" t="n">
        <f aca="false">COUNTIFS(임대자산!$I:$I,가맹점정보!F1414,임대자산!$N:$N,가맹점정보!Q$4)</f>
        <v>0</v>
      </c>
      <c r="R1414" s="81" t="n">
        <f aca="false">COUNTIFS(임대자산!$I:$I,가맹점정보!F1414,임대자산!$N:$N,가맹점정보!R$4)</f>
        <v>1</v>
      </c>
      <c r="S1414" s="82" t="n">
        <v>55000</v>
      </c>
      <c r="T1414" s="83" t="n">
        <v>0</v>
      </c>
      <c r="U1414" s="80" t="n">
        <f aca="false">SUM(S1414:T1414)</f>
        <v>55000</v>
      </c>
      <c r="V1414" s="84" t="s">
        <v>7</v>
      </c>
      <c r="W1414" s="80" t="str">
        <f aca="true">
IF(D1414="폐업","폐업",
IF(V1414="면제","면제",
IF(AND(V1414="정상",COUNTIFS(OFFSET(Y1414,0,COUNTA(Y1414:AV1414)-1,1,-4),"미납")&gt;=3),"장기미납",
IF(AND(V1414="정상",OFFSET(Y1414,0,COUNTA(Y1414:AV1414)-1)&gt;=U1414),"정상",
IF(AND(V1414="정상",OFFSET(Y1414,0,COUNTA(Y1414:AV1414)-1)=0),"정상",
"계약서 미작성")))))</f>
        <v>면제</v>
      </c>
      <c r="X1414" s="81" t="str">
        <f aca="true">
IF(D1414="폐업","폐업",
IF(AND(V1414="정상",OFFSET(Y1414,0,COUNTA(Y1414:AV1414)-1)="미납"),"미납",
IF(AND(V1414="정상",OFFSET(Y1414,0,COUNTA(Y1414:AV1414)-1)=0),"납부 시작 전",
IF(AND(V1414="정상",OFFSET(Y1414,0,COUNTA(Y1414:AV1414)-1)&gt;=U1414),"정상",
IF(AND(V1414="면제",OFFSET(Y1414,0,COUNTA(Y1414:AV1414)-1)="면제"),"면제",
IF(AND(V1414="면제",OFFSET(Y1414,0,COUNTA(Y1414:AV1414)-1)=0),"면제",
"확인요청"))))))</f>
        <v>면제</v>
      </c>
      <c r="Y1414" s="94" t="s">
        <v>7</v>
      </c>
      <c r="Z1414" s="95" t="s">
        <v>7</v>
      </c>
      <c r="AA1414" s="95" t="s">
        <v>7</v>
      </c>
      <c r="AB1414" s="95" t="s">
        <v>7</v>
      </c>
      <c r="AC1414" s="95" t="s">
        <v>7</v>
      </c>
      <c r="AD1414" s="95" t="s">
        <v>7</v>
      </c>
      <c r="AE1414" s="95" t="s">
        <v>7</v>
      </c>
      <c r="AF1414" s="95" t="s">
        <v>7</v>
      </c>
      <c r="AG1414" s="95" t="s">
        <v>7</v>
      </c>
      <c r="AH1414" s="95" t="s">
        <v>7</v>
      </c>
      <c r="AI1414" s="95" t="s">
        <v>7</v>
      </c>
      <c r="AJ1414" s="96" t="s">
        <v>7</v>
      </c>
      <c r="AK1414" s="97" t="s">
        <v>7</v>
      </c>
      <c r="AL1414" s="95" t="s">
        <v>7</v>
      </c>
      <c r="AM1414" s="90"/>
      <c r="AN1414" s="90"/>
      <c r="AO1414" s="90"/>
      <c r="AP1414" s="90"/>
      <c r="AQ1414" s="90"/>
      <c r="AR1414" s="90"/>
      <c r="AS1414" s="90"/>
      <c r="AT1414" s="90"/>
      <c r="AU1414" s="90"/>
      <c r="AV1414" s="91"/>
      <c r="AX1414" s="92"/>
    </row>
    <row r="1415" customFormat="false" ht="15.65" hidden="false" customHeight="false" outlineLevel="0" collapsed="false">
      <c r="C1415" s="72" t="n">
        <f aca="false">COUNTIFS($D$6:D1415,"&lt;&gt;"&amp;"")</f>
        <v>1410</v>
      </c>
      <c r="D1415" s="73" t="s">
        <v>12</v>
      </c>
      <c r="E1415" s="76" t="str">
        <f aca="false">
IF($D1415="정상",INDEX(임대자산!$D$3:$R$3000,MATCH($F1415,임대자산!$I$3:$I$3000,0),MATCH(E$3,임대자산!$D$3:$R$3,0)),
IF($D1415="폐업",INDEX(폐업정보!$D$3:$R$3000,MATCH($F1415,폐업정보!$I$3:$I$3000,0),MATCH(E$3,폐업정보!$D$3:$R$3,0)),
"Error"))</f>
        <v>서울</v>
      </c>
      <c r="F141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B1410</v>
      </c>
      <c r="G1415" s="76" t="str">
        <f aca="false">F1415&amp;RANDBETWEEN(0,10)</f>
        <v>B14104</v>
      </c>
      <c r="H1415" s="75" t="n">
        <f aca="false">
IF($D1415="정상",INDEX(임대자산!$D$3:$R$3000,MATCH($F1415,임대자산!$I$3:$I$3000,0),MATCH(H$4,임대자산!$D$3:$R$3,0)),
IF($D1415="폐업",INDEX(폐업정보!$D$3:$R$3000,MATCH($F1415,폐업정보!$I$3:$I$3000,0),MATCH(H$4,폐업정보!$D$3:$R$3,0)),
"Error"))</f>
        <v>45383</v>
      </c>
      <c r="I1415" s="75" t="str">
        <f aca="false">
IF($D1415="정상",INDEX(임대자산!$D$3:$R$3000,MATCH($F1415,임대자산!$I$3:$I$3000,0),MATCH(I$4,임대자산!$D$3:$R$3,0)),
IF($D1415="폐업",INDEX(폐업정보!$D$3:$R$3000,MATCH($F1415,폐업정보!$I$3:$I$3000,0),MATCH(I$4,폐업정보!$D$3:$R$3,0)),
"Error"))</f>
        <v>A1410</v>
      </c>
      <c r="J1415" s="75" t="str">
        <f aca="false">
IF($D1415="정상",INDEX(임대자산!$D$3:$R$3000,MATCH($F1415,임대자산!$I$3:$I$3000,0),MATCH(J$4,임대자산!$D$3:$R$3,0)),
IF($D1415="폐업",INDEX(폐업정보!$D$3:$R$3000,MATCH($F1415,폐업정보!$I$3:$I$3000,0),MATCH(J$4,폐업정보!$D$3:$R$3,0)),
"Error"))</f>
        <v>1895400000</v>
      </c>
      <c r="K1415" s="75" t="str">
        <f aca="false">
IF($D1415="정상",INDEX(임대자산!$D$3:$R$3000,MATCH($F1415,임대자산!$I$3:$I$3000,0),MATCH(K$4,임대자산!$D$3:$R$3,0)),
IF($D1415="폐업",INDEX(폐업정보!$D$3:$R$3000,MATCH($F1415,폐업정보!$I$3:$I$3000,0),MATCH(K$4,폐업정보!$D$3:$R$3,0)),
"Error"))</f>
        <v>C1410</v>
      </c>
      <c r="L1415" s="75" t="str">
        <f aca="false">
IF($D1415="정상",INDEX(임대자산!$D$3:$R$3000,MATCH($F1415,임대자산!$I$3:$I$3000,0),MATCH(L$4,임대자산!$D$3:$R$3,0)),
IF($D1415="폐업",INDEX(폐업정보!$D$3:$R$3000,MATCH($F1415,폐업정보!$I$3:$I$3000,0),MATCH(L$4,폐업정보!$D$3:$R$3,0)),
"Error"))</f>
        <v>D1410</v>
      </c>
      <c r="M1415" s="76" t="s">
        <v>96</v>
      </c>
      <c r="N1415" s="77"/>
      <c r="O1415" s="78" t="s">
        <v>97</v>
      </c>
      <c r="P1415" s="79" t="n">
        <f aca="false">COUNTIFS(임대자산!$I:$I,가맹점정보!F1415,임대자산!$N:$N,가맹점정보!P$4)</f>
        <v>0</v>
      </c>
      <c r="Q1415" s="80" t="n">
        <f aca="false">COUNTIFS(임대자산!$I:$I,가맹점정보!F1415,임대자산!$N:$N,가맹점정보!Q$4)</f>
        <v>0</v>
      </c>
      <c r="R1415" s="81" t="n">
        <f aca="false">COUNTIFS(임대자산!$I:$I,가맹점정보!F1415,임대자산!$N:$N,가맹점정보!R$4)</f>
        <v>1</v>
      </c>
      <c r="S1415" s="82" t="n">
        <v>88000</v>
      </c>
      <c r="T1415" s="83" t="n">
        <v>0</v>
      </c>
      <c r="U1415" s="80" t="n">
        <f aca="false">SUM(S1415:T1415)</f>
        <v>88000</v>
      </c>
      <c r="V1415" s="84" t="s">
        <v>7</v>
      </c>
      <c r="W1415" s="80" t="str">
        <f aca="true">
IF(D1415="폐업","폐업",
IF(V1415="면제","면제",
IF(AND(V1415="정상",COUNTIFS(OFFSET(Y1415,0,COUNTA(Y1415:AV1415)-1,1,-4),"미납")&gt;=3),"장기미납",
IF(AND(V1415="정상",OFFSET(Y1415,0,COUNTA(Y1415:AV1415)-1)&gt;=U1415),"정상",
IF(AND(V1415="정상",OFFSET(Y1415,0,COUNTA(Y1415:AV1415)-1)=0),"정상",
"계약서 미작성")))))</f>
        <v>면제</v>
      </c>
      <c r="X1415" s="81" t="str">
        <f aca="true">
IF(D1415="폐업","폐업",
IF(AND(V1415="정상",OFFSET(Y1415,0,COUNTA(Y1415:AV1415)-1)="미납"),"미납",
IF(AND(V1415="정상",OFFSET(Y1415,0,COUNTA(Y1415:AV1415)-1)=0),"납부 시작 전",
IF(AND(V1415="정상",OFFSET(Y1415,0,COUNTA(Y1415:AV1415)-1)&gt;=U1415),"정상",
IF(AND(V1415="면제",OFFSET(Y1415,0,COUNTA(Y1415:AV1415)-1)="면제"),"면제",
IF(AND(V1415="면제",OFFSET(Y1415,0,COUNTA(Y1415:AV1415)-1)=0),"면제",
"확인요청"))))))</f>
        <v>면제</v>
      </c>
      <c r="Y1415" s="94" t="s">
        <v>7</v>
      </c>
      <c r="Z1415" s="95" t="s">
        <v>7</v>
      </c>
      <c r="AA1415" s="95" t="s">
        <v>7</v>
      </c>
      <c r="AB1415" s="95" t="s">
        <v>7</v>
      </c>
      <c r="AC1415" s="95" t="s">
        <v>7</v>
      </c>
      <c r="AD1415" s="95" t="s">
        <v>7</v>
      </c>
      <c r="AE1415" s="95" t="s">
        <v>7</v>
      </c>
      <c r="AF1415" s="95" t="s">
        <v>7</v>
      </c>
      <c r="AG1415" s="95" t="s">
        <v>7</v>
      </c>
      <c r="AH1415" s="95" t="s">
        <v>7</v>
      </c>
      <c r="AI1415" s="95" t="s">
        <v>7</v>
      </c>
      <c r="AJ1415" s="96" t="s">
        <v>7</v>
      </c>
      <c r="AK1415" s="97" t="s">
        <v>7</v>
      </c>
      <c r="AL1415" s="95" t="s">
        <v>7</v>
      </c>
      <c r="AM1415" s="90"/>
      <c r="AN1415" s="90"/>
      <c r="AO1415" s="90"/>
      <c r="AP1415" s="90"/>
      <c r="AQ1415" s="90"/>
      <c r="AR1415" s="90"/>
      <c r="AS1415" s="90"/>
      <c r="AT1415" s="90"/>
      <c r="AU1415" s="90"/>
      <c r="AV1415" s="91"/>
      <c r="AX1415" s="92"/>
    </row>
    <row r="1416" customFormat="false" ht="15.65" hidden="false" customHeight="false" outlineLevel="0" collapsed="false">
      <c r="C1416" s="72" t="n">
        <f aca="false">COUNTIFS($D$6:D1416,"&lt;&gt;"&amp;"")</f>
        <v>1411</v>
      </c>
      <c r="D1416" s="73" t="s">
        <v>12</v>
      </c>
      <c r="E1416" s="76" t="str">
        <f aca="false">
IF($D1416="정상",INDEX(임대자산!$D$3:$R$3000,MATCH($F1416,임대자산!$I$3:$I$3000,0),MATCH(E$3,임대자산!$D$3:$R$3,0)),
IF($D1416="폐업",INDEX(폐업정보!$D$3:$R$3000,MATCH($F1416,폐업정보!$I$3:$I$3000,0),MATCH(E$3,폐업정보!$D$3:$R$3,0)),
"Error"))</f>
        <v>경상</v>
      </c>
      <c r="F141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B1411</v>
      </c>
      <c r="G1416" s="76" t="str">
        <f aca="false">F1416&amp;RANDBETWEEN(0,10)</f>
        <v>B14118</v>
      </c>
      <c r="H1416" s="75" t="n">
        <f aca="false">
IF($D1416="정상",INDEX(임대자산!$D$3:$R$3000,MATCH($F1416,임대자산!$I$3:$I$3000,0),MATCH(H$4,임대자산!$D$3:$R$3,0)),
IF($D1416="폐업",INDEX(폐업정보!$D$3:$R$3000,MATCH($F1416,폐업정보!$I$3:$I$3000,0),MATCH(H$4,폐업정보!$D$3:$R$3,0)),
"Error"))</f>
        <v>45390</v>
      </c>
      <c r="I1416" s="75" t="str">
        <f aca="false">
IF($D1416="정상",INDEX(임대자산!$D$3:$R$3000,MATCH($F1416,임대자산!$I$3:$I$3000,0),MATCH(I$4,임대자산!$D$3:$R$3,0)),
IF($D1416="폐업",INDEX(폐업정보!$D$3:$R$3000,MATCH($F1416,폐업정보!$I$3:$I$3000,0),MATCH(I$4,폐업정보!$D$3:$R$3,0)),
"Error"))</f>
        <v>A1411</v>
      </c>
      <c r="J1416" s="75" t="str">
        <f aca="false">
IF($D1416="정상",INDEX(임대자산!$D$3:$R$3000,MATCH($F1416,임대자산!$I$3:$I$3000,0),MATCH(J$4,임대자산!$D$3:$R$3,0)),
IF($D1416="폐업",INDEX(폐업정보!$D$3:$R$3000,MATCH($F1416,폐업정보!$I$3:$I$3000,0),MATCH(J$4,폐업정보!$D$3:$R$3,0)),
"Error"))</f>
        <v>4872600000</v>
      </c>
      <c r="K1416" s="75" t="str">
        <f aca="false">
IF($D1416="정상",INDEX(임대자산!$D$3:$R$3000,MATCH($F1416,임대자산!$I$3:$I$3000,0),MATCH(K$4,임대자산!$D$3:$R$3,0)),
IF($D1416="폐업",INDEX(폐업정보!$D$3:$R$3000,MATCH($F1416,폐업정보!$I$3:$I$3000,0),MATCH(K$4,폐업정보!$D$3:$R$3,0)),
"Error"))</f>
        <v>C1411</v>
      </c>
      <c r="L1416" s="75" t="str">
        <f aca="false">
IF($D1416="정상",INDEX(임대자산!$D$3:$R$3000,MATCH($F1416,임대자산!$I$3:$I$3000,0),MATCH(L$4,임대자산!$D$3:$R$3,0)),
IF($D1416="폐업",INDEX(폐업정보!$D$3:$R$3000,MATCH($F1416,폐업정보!$I$3:$I$3000,0),MATCH(L$4,폐업정보!$D$3:$R$3,0)),
"Error"))</f>
        <v>D1411</v>
      </c>
      <c r="M1416" s="76" t="s">
        <v>96</v>
      </c>
      <c r="N1416" s="77"/>
      <c r="O1416" s="78" t="s">
        <v>97</v>
      </c>
      <c r="P1416" s="79" t="n">
        <f aca="false">COUNTIFS(임대자산!$I:$I,가맹점정보!F1416,임대자산!$N:$N,가맹점정보!P$4)</f>
        <v>0</v>
      </c>
      <c r="Q1416" s="80" t="n">
        <f aca="false">COUNTIFS(임대자산!$I:$I,가맹점정보!F1416,임대자산!$N:$N,가맹점정보!Q$4)</f>
        <v>0</v>
      </c>
      <c r="R1416" s="81" t="n">
        <f aca="false">COUNTIFS(임대자산!$I:$I,가맹점정보!F1416,임대자산!$N:$N,가맹점정보!R$4)</f>
        <v>1</v>
      </c>
      <c r="S1416" s="82" t="n">
        <v>55000</v>
      </c>
      <c r="T1416" s="83" t="n">
        <v>0</v>
      </c>
      <c r="U1416" s="80" t="n">
        <f aca="false">SUM(S1416:T1416)</f>
        <v>55000</v>
      </c>
      <c r="V1416" s="84" t="s">
        <v>7</v>
      </c>
      <c r="W1416" s="80" t="str">
        <f aca="true">
IF(D1416="폐업","폐업",
IF(V1416="면제","면제",
IF(AND(V1416="정상",COUNTIFS(OFFSET(Y1416,0,COUNTA(Y1416:AV1416)-1,1,-4),"미납")&gt;=3),"장기미납",
IF(AND(V1416="정상",OFFSET(Y1416,0,COUNTA(Y1416:AV1416)-1)&gt;=U1416),"정상",
IF(AND(V1416="정상",OFFSET(Y1416,0,COUNTA(Y1416:AV1416)-1)=0),"정상",
"계약서 미작성")))))</f>
        <v>면제</v>
      </c>
      <c r="X1416" s="81" t="str">
        <f aca="true">
IF(D1416="폐업","폐업",
IF(AND(V1416="정상",OFFSET(Y1416,0,COUNTA(Y1416:AV1416)-1)="미납"),"미납",
IF(AND(V1416="정상",OFFSET(Y1416,0,COUNTA(Y1416:AV1416)-1)=0),"납부 시작 전",
IF(AND(V1416="정상",OFFSET(Y1416,0,COUNTA(Y1416:AV1416)-1)&gt;=U1416),"정상",
IF(AND(V1416="면제",OFFSET(Y1416,0,COUNTA(Y1416:AV1416)-1)="면제"),"면제",
IF(AND(V1416="면제",OFFSET(Y1416,0,COUNTA(Y1416:AV1416)-1)=0),"면제",
"확인요청"))))))</f>
        <v>면제</v>
      </c>
      <c r="Y1416" s="94" t="s">
        <v>7</v>
      </c>
      <c r="Z1416" s="95" t="s">
        <v>7</v>
      </c>
      <c r="AA1416" s="95" t="s">
        <v>7</v>
      </c>
      <c r="AB1416" s="95" t="s">
        <v>7</v>
      </c>
      <c r="AC1416" s="95" t="s">
        <v>7</v>
      </c>
      <c r="AD1416" s="95" t="s">
        <v>7</v>
      </c>
      <c r="AE1416" s="95" t="s">
        <v>7</v>
      </c>
      <c r="AF1416" s="95" t="s">
        <v>7</v>
      </c>
      <c r="AG1416" s="95" t="s">
        <v>7</v>
      </c>
      <c r="AH1416" s="95" t="s">
        <v>7</v>
      </c>
      <c r="AI1416" s="95" t="s">
        <v>7</v>
      </c>
      <c r="AJ1416" s="96" t="s">
        <v>7</v>
      </c>
      <c r="AK1416" s="97" t="s">
        <v>7</v>
      </c>
      <c r="AL1416" s="95" t="s">
        <v>7</v>
      </c>
      <c r="AM1416" s="90"/>
      <c r="AN1416" s="90"/>
      <c r="AO1416" s="90"/>
      <c r="AP1416" s="90"/>
      <c r="AQ1416" s="90"/>
      <c r="AR1416" s="90"/>
      <c r="AS1416" s="90"/>
      <c r="AT1416" s="90"/>
      <c r="AU1416" s="90"/>
      <c r="AV1416" s="91"/>
      <c r="AX1416" s="92"/>
    </row>
    <row r="1417" customFormat="false" ht="15.65" hidden="false" customHeight="false" outlineLevel="0" collapsed="false">
      <c r="C1417" s="72" t="n">
        <f aca="false">COUNTIFS($D$6:D1417,"&lt;&gt;"&amp;"")</f>
        <v>1412</v>
      </c>
      <c r="D1417" s="73" t="s">
        <v>12</v>
      </c>
      <c r="E1417" s="76" t="str">
        <f aca="false">
IF($D1417="정상",INDEX(임대자산!$D$3:$R$3000,MATCH($F1417,임대자산!$I$3:$I$3000,0),MATCH(E$3,임대자산!$D$3:$R$3,0)),
IF($D1417="폐업",INDEX(폐업정보!$D$3:$R$3000,MATCH($F1417,폐업정보!$I$3:$I$3000,0),MATCH(E$3,폐업정보!$D$3:$R$3,0)),
"Error"))</f>
        <v>경상</v>
      </c>
      <c r="F141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B1412</v>
      </c>
      <c r="G1417" s="76" t="str">
        <f aca="false">F1417&amp;RANDBETWEEN(0,10)</f>
        <v>B14120</v>
      </c>
      <c r="H1417" s="75" t="n">
        <f aca="false">
IF($D1417="정상",INDEX(임대자산!$D$3:$R$3000,MATCH($F1417,임대자산!$I$3:$I$3000,0),MATCH(H$4,임대자산!$D$3:$R$3,0)),
IF($D1417="폐업",INDEX(폐업정보!$D$3:$R$3000,MATCH($F1417,폐업정보!$I$3:$I$3000,0),MATCH(H$4,폐업정보!$D$3:$R$3,0)),
"Error"))</f>
        <v>45390</v>
      </c>
      <c r="I1417" s="75" t="str">
        <f aca="false">
IF($D1417="정상",INDEX(임대자산!$D$3:$R$3000,MATCH($F1417,임대자산!$I$3:$I$3000,0),MATCH(I$4,임대자산!$D$3:$R$3,0)),
IF($D1417="폐업",INDEX(폐업정보!$D$3:$R$3000,MATCH($F1417,폐업정보!$I$3:$I$3000,0),MATCH(I$4,폐업정보!$D$3:$R$3,0)),
"Error"))</f>
        <v>A1412</v>
      </c>
      <c r="J1417" s="75" t="str">
        <f aca="false">
IF($D1417="정상",INDEX(임대자산!$D$3:$R$3000,MATCH($F1417,임대자산!$I$3:$I$3000,0),MATCH(J$4,임대자산!$D$3:$R$3,0)),
IF($D1417="폐업",INDEX(폐업정보!$D$3:$R$3000,MATCH($F1417,폐업정보!$I$3:$I$3000,0),MATCH(J$4,폐업정보!$D$3:$R$3,0)),
"Error"))</f>
        <v>6860800000</v>
      </c>
      <c r="K1417" s="75" t="str">
        <f aca="false">
IF($D1417="정상",INDEX(임대자산!$D$3:$R$3000,MATCH($F1417,임대자산!$I$3:$I$3000,0),MATCH(K$4,임대자산!$D$3:$R$3,0)),
IF($D1417="폐업",INDEX(폐업정보!$D$3:$R$3000,MATCH($F1417,폐업정보!$I$3:$I$3000,0),MATCH(K$4,폐업정보!$D$3:$R$3,0)),
"Error"))</f>
        <v>C1412</v>
      </c>
      <c r="L1417" s="75" t="str">
        <f aca="false">
IF($D1417="정상",INDEX(임대자산!$D$3:$R$3000,MATCH($F1417,임대자산!$I$3:$I$3000,0),MATCH(L$4,임대자산!$D$3:$R$3,0)),
IF($D1417="폐업",INDEX(폐업정보!$D$3:$R$3000,MATCH($F1417,폐업정보!$I$3:$I$3000,0),MATCH(L$4,폐업정보!$D$3:$R$3,0)),
"Error"))</f>
        <v>D1412</v>
      </c>
      <c r="M1417" s="76" t="s">
        <v>96</v>
      </c>
      <c r="N1417" s="77"/>
      <c r="O1417" s="78" t="s">
        <v>97</v>
      </c>
      <c r="P1417" s="79" t="n">
        <f aca="false">COUNTIFS(임대자산!$I:$I,가맹점정보!F1417,임대자산!$N:$N,가맹점정보!P$4)</f>
        <v>0</v>
      </c>
      <c r="Q1417" s="80" t="n">
        <f aca="false">COUNTIFS(임대자산!$I:$I,가맹점정보!F1417,임대자산!$N:$N,가맹점정보!Q$4)</f>
        <v>0</v>
      </c>
      <c r="R1417" s="81" t="n">
        <f aca="false">COUNTIFS(임대자산!$I:$I,가맹점정보!F1417,임대자산!$N:$N,가맹점정보!R$4)</f>
        <v>1</v>
      </c>
      <c r="S1417" s="82" t="n">
        <v>55000</v>
      </c>
      <c r="T1417" s="83" t="n">
        <v>0</v>
      </c>
      <c r="U1417" s="80" t="n">
        <f aca="false">SUM(S1417:T1417)</f>
        <v>55000</v>
      </c>
      <c r="V1417" s="84" t="s">
        <v>12</v>
      </c>
      <c r="W1417" s="80" t="e">
        <f aca="true">
IF(D1417="폐업","폐업",
IF(V1417="면제","면제",
IF(AND(V1417="정상",COUNTIFS(OFFSET(Y1417,0,COUNTA(Y1417:AV1417)-1,1,-4),"미납")&gt;=3),"장기미납",
IF(AND(V1417="정상",OFFSET(Y1417,0,COUNTA(Y1417:AV1417)-1)&gt;=U1417),"정상",
IF(AND(V1417="정상",OFFSET(Y1417,0,COUNTA(Y1417:AV1417)-1)=0),"정상",
"계약서 미작성")))))</f>
        <v>#VALUE!</v>
      </c>
      <c r="X1417" s="81" t="str">
        <f aca="true">
IF(D1417="폐업","폐업",
IF(AND(V1417="정상",OFFSET(Y1417,0,COUNTA(Y1417:AV1417)-1)="미납"),"미납",
IF(AND(V1417="정상",OFFSET(Y1417,0,COUNTA(Y1417:AV1417)-1)=0),"납부 시작 전",
IF(AND(V1417="정상",OFFSET(Y1417,0,COUNTA(Y1417:AV1417)-1)&gt;=U1417),"정상",
IF(AND(V1417="면제",OFFSET(Y1417,0,COUNTA(Y1417:AV1417)-1)="면제"),"면제",
IF(AND(V1417="면제",OFFSET(Y1417,0,COUNTA(Y1417:AV1417)-1)=0),"면제",
"확인요청"))))))</f>
        <v>정상</v>
      </c>
      <c r="Y1417" s="93" t="n">
        <v>55000</v>
      </c>
      <c r="Z1417" s="90" t="n">
        <v>55000</v>
      </c>
      <c r="AA1417" s="90" t="n">
        <v>55000</v>
      </c>
      <c r="AB1417" s="90" t="n">
        <v>55000</v>
      </c>
      <c r="AC1417" s="90" t="n">
        <v>55000</v>
      </c>
      <c r="AD1417" s="90" t="n">
        <v>55000</v>
      </c>
      <c r="AE1417" s="90" t="n">
        <v>55000</v>
      </c>
      <c r="AF1417" s="90" t="n">
        <v>55000</v>
      </c>
      <c r="AG1417" s="90" t="n">
        <v>55000</v>
      </c>
      <c r="AH1417" s="90" t="n">
        <v>55000</v>
      </c>
      <c r="AI1417" s="90" t="n">
        <v>55000</v>
      </c>
      <c r="AJ1417" s="91" t="n">
        <v>55000</v>
      </c>
      <c r="AK1417" s="89" t="n">
        <v>55000</v>
      </c>
      <c r="AL1417" s="90" t="n">
        <v>55000</v>
      </c>
      <c r="AM1417" s="90"/>
      <c r="AN1417" s="90"/>
      <c r="AO1417" s="90"/>
      <c r="AP1417" s="90"/>
      <c r="AQ1417" s="90"/>
      <c r="AR1417" s="90"/>
      <c r="AS1417" s="90"/>
      <c r="AT1417" s="90"/>
      <c r="AU1417" s="90"/>
      <c r="AV1417" s="91"/>
      <c r="AX1417" s="92"/>
    </row>
    <row r="1418" customFormat="false" ht="15.65" hidden="false" customHeight="false" outlineLevel="0" collapsed="false">
      <c r="C1418" s="72" t="n">
        <f aca="false">COUNTIFS($D$6:D1418,"&lt;&gt;"&amp;"")</f>
        <v>1413</v>
      </c>
      <c r="D1418" s="73" t="s">
        <v>12</v>
      </c>
      <c r="E1418" s="76" t="str">
        <f aca="false">
IF($D1418="정상",INDEX(임대자산!$D$3:$R$3000,MATCH($F1418,임대자산!$I$3:$I$3000,0),MATCH(E$3,임대자산!$D$3:$R$3,0)),
IF($D1418="폐업",INDEX(폐업정보!$D$3:$R$3000,MATCH($F1418,폐업정보!$I$3:$I$3000,0),MATCH(E$3,폐업정보!$D$3:$R$3,0)),
"Error"))</f>
        <v>경상</v>
      </c>
      <c r="F141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B1413</v>
      </c>
      <c r="G1418" s="76" t="str">
        <f aca="false">F1418&amp;RANDBETWEEN(0,10)</f>
        <v>B14136</v>
      </c>
      <c r="H1418" s="75" t="n">
        <f aca="false">
IF($D1418="정상",INDEX(임대자산!$D$3:$R$3000,MATCH($F1418,임대자산!$I$3:$I$3000,0),MATCH(H$4,임대자산!$D$3:$R$3,0)),
IF($D1418="폐업",INDEX(폐업정보!$D$3:$R$3000,MATCH($F1418,폐업정보!$I$3:$I$3000,0),MATCH(H$4,폐업정보!$D$3:$R$3,0)),
"Error"))</f>
        <v>45391</v>
      </c>
      <c r="I1418" s="75" t="str">
        <f aca="false">
IF($D1418="정상",INDEX(임대자산!$D$3:$R$3000,MATCH($F1418,임대자산!$I$3:$I$3000,0),MATCH(I$4,임대자산!$D$3:$R$3,0)),
IF($D1418="폐업",INDEX(폐업정보!$D$3:$R$3000,MATCH($F1418,폐업정보!$I$3:$I$3000,0),MATCH(I$4,폐업정보!$D$3:$R$3,0)),
"Error"))</f>
        <v>A1413</v>
      </c>
      <c r="J1418" s="75" t="str">
        <f aca="false">
IF($D1418="정상",INDEX(임대자산!$D$3:$R$3000,MATCH($F1418,임대자산!$I$3:$I$3000,0),MATCH(J$4,임대자산!$D$3:$R$3,0)),
IF($D1418="폐업",INDEX(폐업정보!$D$3:$R$3000,MATCH($F1418,폐업정보!$I$3:$I$3000,0),MATCH(J$4,폐업정보!$D$3:$R$3,0)),
"Error"))</f>
        <v>4804800000</v>
      </c>
      <c r="K1418" s="75" t="str">
        <f aca="false">
IF($D1418="정상",INDEX(임대자산!$D$3:$R$3000,MATCH($F1418,임대자산!$I$3:$I$3000,0),MATCH(K$4,임대자산!$D$3:$R$3,0)),
IF($D1418="폐업",INDEX(폐업정보!$D$3:$R$3000,MATCH($F1418,폐업정보!$I$3:$I$3000,0),MATCH(K$4,폐업정보!$D$3:$R$3,0)),
"Error"))</f>
        <v>C1413</v>
      </c>
      <c r="L1418" s="75" t="str">
        <f aca="false">
IF($D1418="정상",INDEX(임대자산!$D$3:$R$3000,MATCH($F1418,임대자산!$I$3:$I$3000,0),MATCH(L$4,임대자산!$D$3:$R$3,0)),
IF($D1418="폐업",INDEX(폐업정보!$D$3:$R$3000,MATCH($F1418,폐업정보!$I$3:$I$3000,0),MATCH(L$4,폐업정보!$D$3:$R$3,0)),
"Error"))</f>
        <v>D1413</v>
      </c>
      <c r="M1418" s="76" t="s">
        <v>96</v>
      </c>
      <c r="N1418" s="77"/>
      <c r="O1418" s="78" t="s">
        <v>97</v>
      </c>
      <c r="P1418" s="79" t="n">
        <f aca="false">COUNTIFS(임대자산!$I:$I,가맹점정보!F1418,임대자산!$N:$N,가맹점정보!P$4)</f>
        <v>0</v>
      </c>
      <c r="Q1418" s="80" t="n">
        <f aca="false">COUNTIFS(임대자산!$I:$I,가맹점정보!F1418,임대자산!$N:$N,가맹점정보!Q$4)</f>
        <v>0</v>
      </c>
      <c r="R1418" s="81" t="n">
        <f aca="false">COUNTIFS(임대자산!$I:$I,가맹점정보!F1418,임대자산!$N:$N,가맹점정보!R$4)</f>
        <v>1</v>
      </c>
      <c r="S1418" s="82" t="n">
        <v>88000</v>
      </c>
      <c r="T1418" s="83" t="n">
        <v>0</v>
      </c>
      <c r="U1418" s="80" t="n">
        <f aca="false">SUM(S1418:T1418)</f>
        <v>88000</v>
      </c>
      <c r="V1418" s="84" t="s">
        <v>7</v>
      </c>
      <c r="W1418" s="80" t="str">
        <f aca="true">
IF(D1418="폐업","폐업",
IF(V1418="면제","면제",
IF(AND(V1418="정상",COUNTIFS(OFFSET(Y1418,0,COUNTA(Y1418:AV1418)-1,1,-4),"미납")&gt;=3),"장기미납",
IF(AND(V1418="정상",OFFSET(Y1418,0,COUNTA(Y1418:AV1418)-1)&gt;=U1418),"정상",
IF(AND(V1418="정상",OFFSET(Y1418,0,COUNTA(Y1418:AV1418)-1)=0),"정상",
"계약서 미작성")))))</f>
        <v>면제</v>
      </c>
      <c r="X1418" s="81" t="str">
        <f aca="true">
IF(D1418="폐업","폐업",
IF(AND(V1418="정상",OFFSET(Y1418,0,COUNTA(Y1418:AV1418)-1)="미납"),"미납",
IF(AND(V1418="정상",OFFSET(Y1418,0,COUNTA(Y1418:AV1418)-1)=0),"납부 시작 전",
IF(AND(V1418="정상",OFFSET(Y1418,0,COUNTA(Y1418:AV1418)-1)&gt;=U1418),"정상",
IF(AND(V1418="면제",OFFSET(Y1418,0,COUNTA(Y1418:AV1418)-1)="면제"),"면제",
IF(AND(V1418="면제",OFFSET(Y1418,0,COUNTA(Y1418:AV1418)-1)=0),"면제",
"확인요청"))))))</f>
        <v>면제</v>
      </c>
      <c r="Y1418" s="94" t="s">
        <v>7</v>
      </c>
      <c r="Z1418" s="95" t="s">
        <v>7</v>
      </c>
      <c r="AA1418" s="95" t="s">
        <v>7</v>
      </c>
      <c r="AB1418" s="95" t="s">
        <v>7</v>
      </c>
      <c r="AC1418" s="95" t="s">
        <v>7</v>
      </c>
      <c r="AD1418" s="95" t="s">
        <v>7</v>
      </c>
      <c r="AE1418" s="95" t="s">
        <v>7</v>
      </c>
      <c r="AF1418" s="95" t="s">
        <v>7</v>
      </c>
      <c r="AG1418" s="95" t="s">
        <v>7</v>
      </c>
      <c r="AH1418" s="95" t="s">
        <v>7</v>
      </c>
      <c r="AI1418" s="95" t="s">
        <v>7</v>
      </c>
      <c r="AJ1418" s="96" t="s">
        <v>7</v>
      </c>
      <c r="AK1418" s="97" t="s">
        <v>7</v>
      </c>
      <c r="AL1418" s="95" t="s">
        <v>7</v>
      </c>
      <c r="AM1418" s="90"/>
      <c r="AN1418" s="90"/>
      <c r="AO1418" s="90"/>
      <c r="AP1418" s="90"/>
      <c r="AQ1418" s="90"/>
      <c r="AR1418" s="90"/>
      <c r="AS1418" s="90"/>
      <c r="AT1418" s="90"/>
      <c r="AU1418" s="90"/>
      <c r="AV1418" s="91"/>
      <c r="AX1418" s="92"/>
    </row>
    <row r="1419" customFormat="false" ht="15.65" hidden="false" customHeight="false" outlineLevel="0" collapsed="false">
      <c r="C1419" s="72" t="n">
        <f aca="false">COUNTIFS($D$6:D1419,"&lt;&gt;"&amp;"")</f>
        <v>1414</v>
      </c>
      <c r="D1419" s="73" t="s">
        <v>12</v>
      </c>
      <c r="E1419" s="76" t="str">
        <f aca="false">
IF($D1419="정상",INDEX(임대자산!$D$3:$R$3000,MATCH($F1419,임대자산!$I$3:$I$3000,0),MATCH(E$3,임대자산!$D$3:$R$3,0)),
IF($D1419="폐업",INDEX(폐업정보!$D$3:$R$3000,MATCH($F1419,폐업정보!$I$3:$I$3000,0),MATCH(E$3,폐업정보!$D$3:$R$3,0)),
"Error"))</f>
        <v>전라</v>
      </c>
      <c r="F141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B1414</v>
      </c>
      <c r="G1419" s="76" t="str">
        <f aca="false">F1419&amp;RANDBETWEEN(0,10)</f>
        <v>B14146</v>
      </c>
      <c r="H1419" s="75" t="n">
        <f aca="false">
IF($D1419="정상",INDEX(임대자산!$D$3:$R$3000,MATCH($F1419,임대자산!$I$3:$I$3000,0),MATCH(H$4,임대자산!$D$3:$R$3,0)),
IF($D1419="폐업",INDEX(폐업정보!$D$3:$R$3000,MATCH($F1419,폐업정보!$I$3:$I$3000,0),MATCH(H$4,폐업정보!$D$3:$R$3,0)),
"Error"))</f>
        <v>45378</v>
      </c>
      <c r="I1419" s="75" t="str">
        <f aca="false">
IF($D1419="정상",INDEX(임대자산!$D$3:$R$3000,MATCH($F1419,임대자산!$I$3:$I$3000,0),MATCH(I$4,임대자산!$D$3:$R$3,0)),
IF($D1419="폐업",INDEX(폐업정보!$D$3:$R$3000,MATCH($F1419,폐업정보!$I$3:$I$3000,0),MATCH(I$4,폐업정보!$D$3:$R$3,0)),
"Error"))</f>
        <v>A1414</v>
      </c>
      <c r="J1419" s="75" t="str">
        <f aca="false">
IF($D1419="정상",INDEX(임대자산!$D$3:$R$3000,MATCH($F1419,임대자산!$I$3:$I$3000,0),MATCH(J$4,임대자산!$D$3:$R$3,0)),
IF($D1419="폐업",INDEX(폐업정보!$D$3:$R$3000,MATCH($F1419,폐업정보!$I$3:$I$3000,0),MATCH(J$4,폐업정보!$D$3:$R$3,0)),
"Error"))</f>
        <v>1807800000</v>
      </c>
      <c r="K1419" s="75" t="str">
        <f aca="false">
IF($D1419="정상",INDEX(임대자산!$D$3:$R$3000,MATCH($F1419,임대자산!$I$3:$I$3000,0),MATCH(K$4,임대자산!$D$3:$R$3,0)),
IF($D1419="폐업",INDEX(폐업정보!$D$3:$R$3000,MATCH($F1419,폐업정보!$I$3:$I$3000,0),MATCH(K$4,폐업정보!$D$3:$R$3,0)),
"Error"))</f>
        <v>C1414</v>
      </c>
      <c r="L1419" s="75" t="str">
        <f aca="false">
IF($D1419="정상",INDEX(임대자산!$D$3:$R$3000,MATCH($F1419,임대자산!$I$3:$I$3000,0),MATCH(L$4,임대자산!$D$3:$R$3,0)),
IF($D1419="폐업",INDEX(폐업정보!$D$3:$R$3000,MATCH($F1419,폐업정보!$I$3:$I$3000,0),MATCH(L$4,폐업정보!$D$3:$R$3,0)),
"Error"))</f>
        <v>D1414</v>
      </c>
      <c r="M1419" s="76" t="s">
        <v>96</v>
      </c>
      <c r="N1419" s="77"/>
      <c r="O1419" s="78" t="s">
        <v>97</v>
      </c>
      <c r="P1419" s="79" t="n">
        <f aca="false">COUNTIFS(임대자산!$I:$I,가맹점정보!F1419,임대자산!$N:$N,가맹점정보!P$4)</f>
        <v>0</v>
      </c>
      <c r="Q1419" s="80" t="n">
        <f aca="false">COUNTIFS(임대자산!$I:$I,가맹점정보!F1419,임대자산!$N:$N,가맹점정보!Q$4)</f>
        <v>0</v>
      </c>
      <c r="R1419" s="81" t="n">
        <f aca="false">COUNTIFS(임대자산!$I:$I,가맹점정보!F1419,임대자산!$N:$N,가맹점정보!R$4)</f>
        <v>1</v>
      </c>
      <c r="S1419" s="82" t="n">
        <v>55000</v>
      </c>
      <c r="T1419" s="83" t="n">
        <v>0</v>
      </c>
      <c r="U1419" s="80" t="n">
        <f aca="false">SUM(S1419:T1419)</f>
        <v>55000</v>
      </c>
      <c r="V1419" s="84" t="s">
        <v>7</v>
      </c>
      <c r="W1419" s="80" t="str">
        <f aca="true">
IF(D1419="폐업","폐업",
IF(V1419="면제","면제",
IF(AND(V1419="정상",COUNTIFS(OFFSET(Y1419,0,COUNTA(Y1419:AV1419)-1,1,-4),"미납")&gt;=3),"장기미납",
IF(AND(V1419="정상",OFFSET(Y1419,0,COUNTA(Y1419:AV1419)-1)&gt;=U1419),"정상",
IF(AND(V1419="정상",OFFSET(Y1419,0,COUNTA(Y1419:AV1419)-1)=0),"정상",
"계약서 미작성")))))</f>
        <v>면제</v>
      </c>
      <c r="X1419" s="81" t="str">
        <f aca="true">
IF(D1419="폐업","폐업",
IF(AND(V1419="정상",OFFSET(Y1419,0,COUNTA(Y1419:AV1419)-1)="미납"),"미납",
IF(AND(V1419="정상",OFFSET(Y1419,0,COUNTA(Y1419:AV1419)-1)=0),"납부 시작 전",
IF(AND(V1419="정상",OFFSET(Y1419,0,COUNTA(Y1419:AV1419)-1)&gt;=U1419),"정상",
IF(AND(V1419="면제",OFFSET(Y1419,0,COUNTA(Y1419:AV1419)-1)="면제"),"면제",
IF(AND(V1419="면제",OFFSET(Y1419,0,COUNTA(Y1419:AV1419)-1)=0),"면제",
"확인요청"))))))</f>
        <v>면제</v>
      </c>
      <c r="Y1419" s="94" t="s">
        <v>7</v>
      </c>
      <c r="Z1419" s="95" t="s">
        <v>7</v>
      </c>
      <c r="AA1419" s="95" t="s">
        <v>7</v>
      </c>
      <c r="AB1419" s="95" t="s">
        <v>7</v>
      </c>
      <c r="AC1419" s="95" t="s">
        <v>7</v>
      </c>
      <c r="AD1419" s="95" t="s">
        <v>7</v>
      </c>
      <c r="AE1419" s="95" t="s">
        <v>7</v>
      </c>
      <c r="AF1419" s="95" t="s">
        <v>7</v>
      </c>
      <c r="AG1419" s="95" t="s">
        <v>7</v>
      </c>
      <c r="AH1419" s="95" t="s">
        <v>7</v>
      </c>
      <c r="AI1419" s="95" t="s">
        <v>7</v>
      </c>
      <c r="AJ1419" s="96" t="s">
        <v>7</v>
      </c>
      <c r="AK1419" s="97" t="s">
        <v>7</v>
      </c>
      <c r="AL1419" s="95" t="s">
        <v>7</v>
      </c>
      <c r="AM1419" s="90"/>
      <c r="AN1419" s="90"/>
      <c r="AO1419" s="90"/>
      <c r="AP1419" s="90"/>
      <c r="AQ1419" s="90"/>
      <c r="AR1419" s="90"/>
      <c r="AS1419" s="90"/>
      <c r="AT1419" s="90"/>
      <c r="AU1419" s="90"/>
      <c r="AV1419" s="91"/>
      <c r="AX1419" s="92"/>
    </row>
    <row r="1420" customFormat="false" ht="15.65" hidden="false" customHeight="false" outlineLevel="0" collapsed="false">
      <c r="C1420" s="72" t="n">
        <f aca="false">COUNTIFS($D$6:D1420,"&lt;&gt;"&amp;"")</f>
        <v>1415</v>
      </c>
      <c r="D1420" s="73" t="s">
        <v>12</v>
      </c>
      <c r="E1420" s="76" t="str">
        <f aca="false">
IF($D1420="정상",INDEX(임대자산!$D$3:$R$3000,MATCH($F1420,임대자산!$I$3:$I$3000,0),MATCH(E$3,임대자산!$D$3:$R$3,0)),
IF($D1420="폐업",INDEX(폐업정보!$D$3:$R$3000,MATCH($F1420,폐업정보!$I$3:$I$3000,0),MATCH(E$3,폐업정보!$D$3:$R$3,0)),
"Error"))</f>
        <v>전라</v>
      </c>
      <c r="F142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B1415</v>
      </c>
      <c r="G1420" s="76" t="str">
        <f aca="false">F1420&amp;RANDBETWEEN(0,10)</f>
        <v>B14152</v>
      </c>
      <c r="H1420" s="75" t="n">
        <f aca="false">
IF($D1420="정상",INDEX(임대자산!$D$3:$R$3000,MATCH($F1420,임대자산!$I$3:$I$3000,0),MATCH(H$4,임대자산!$D$3:$R$3,0)),
IF($D1420="폐업",INDEX(폐업정보!$D$3:$R$3000,MATCH($F1420,폐업정보!$I$3:$I$3000,0),MATCH(H$4,폐업정보!$D$3:$R$3,0)),
"Error"))</f>
        <v>45378</v>
      </c>
      <c r="I1420" s="75" t="str">
        <f aca="false">
IF($D1420="정상",INDEX(임대자산!$D$3:$R$3000,MATCH($F1420,임대자산!$I$3:$I$3000,0),MATCH(I$4,임대자산!$D$3:$R$3,0)),
IF($D1420="폐업",INDEX(폐업정보!$D$3:$R$3000,MATCH($F1420,폐업정보!$I$3:$I$3000,0),MATCH(I$4,폐업정보!$D$3:$R$3,0)),
"Error"))</f>
        <v>A1415</v>
      </c>
      <c r="J1420" s="75" t="str">
        <f aca="false">
IF($D1420="정상",INDEX(임대자산!$D$3:$R$3000,MATCH($F1420,임대자산!$I$3:$I$3000,0),MATCH(J$4,임대자산!$D$3:$R$3,0)),
IF($D1420="폐업",INDEX(폐업정보!$D$3:$R$3000,MATCH($F1420,폐업정보!$I$3:$I$3000,0),MATCH(J$4,폐업정보!$D$3:$R$3,0)),
"Error"))</f>
        <v>7769700000</v>
      </c>
      <c r="K1420" s="75" t="str">
        <f aca="false">
IF($D1420="정상",INDEX(임대자산!$D$3:$R$3000,MATCH($F1420,임대자산!$I$3:$I$3000,0),MATCH(K$4,임대자산!$D$3:$R$3,0)),
IF($D1420="폐업",INDEX(폐업정보!$D$3:$R$3000,MATCH($F1420,폐업정보!$I$3:$I$3000,0),MATCH(K$4,폐업정보!$D$3:$R$3,0)),
"Error"))</f>
        <v>C1415</v>
      </c>
      <c r="L1420" s="75" t="str">
        <f aca="false">
IF($D1420="정상",INDEX(임대자산!$D$3:$R$3000,MATCH($F1420,임대자산!$I$3:$I$3000,0),MATCH(L$4,임대자산!$D$3:$R$3,0)),
IF($D1420="폐업",INDEX(폐업정보!$D$3:$R$3000,MATCH($F1420,폐업정보!$I$3:$I$3000,0),MATCH(L$4,폐업정보!$D$3:$R$3,0)),
"Error"))</f>
        <v>D1415</v>
      </c>
      <c r="M1420" s="76" t="s">
        <v>96</v>
      </c>
      <c r="N1420" s="77"/>
      <c r="O1420" s="78" t="s">
        <v>97</v>
      </c>
      <c r="P1420" s="79" t="n">
        <f aca="false">COUNTIFS(임대자산!$I:$I,가맹점정보!F1420,임대자산!$N:$N,가맹점정보!P$4)</f>
        <v>0</v>
      </c>
      <c r="Q1420" s="80" t="n">
        <f aca="false">COUNTIFS(임대자산!$I:$I,가맹점정보!F1420,임대자산!$N:$N,가맹점정보!Q$4)</f>
        <v>0</v>
      </c>
      <c r="R1420" s="81" t="n">
        <f aca="false">COUNTIFS(임대자산!$I:$I,가맹점정보!F1420,임대자산!$N:$N,가맹점정보!R$4)</f>
        <v>1</v>
      </c>
      <c r="S1420" s="82" t="n">
        <v>88000</v>
      </c>
      <c r="T1420" s="83" t="n">
        <v>0</v>
      </c>
      <c r="U1420" s="80" t="n">
        <f aca="false">SUM(S1420:T1420)</f>
        <v>88000</v>
      </c>
      <c r="V1420" s="84" t="s">
        <v>7</v>
      </c>
      <c r="W1420" s="80" t="str">
        <f aca="true">
IF(D1420="폐업","폐업",
IF(V1420="면제","면제",
IF(AND(V1420="정상",COUNTIFS(OFFSET(Y1420,0,COUNTA(Y1420:AV1420)-1,1,-4),"미납")&gt;=3),"장기미납",
IF(AND(V1420="정상",OFFSET(Y1420,0,COUNTA(Y1420:AV1420)-1)&gt;=U1420),"정상",
IF(AND(V1420="정상",OFFSET(Y1420,0,COUNTA(Y1420:AV1420)-1)=0),"정상",
"계약서 미작성")))))</f>
        <v>면제</v>
      </c>
      <c r="X1420" s="81" t="str">
        <f aca="true">
IF(D1420="폐업","폐업",
IF(AND(V1420="정상",OFFSET(Y1420,0,COUNTA(Y1420:AV1420)-1)="미납"),"미납",
IF(AND(V1420="정상",OFFSET(Y1420,0,COUNTA(Y1420:AV1420)-1)=0),"납부 시작 전",
IF(AND(V1420="정상",OFFSET(Y1420,0,COUNTA(Y1420:AV1420)-1)&gt;=U1420),"정상",
IF(AND(V1420="면제",OFFSET(Y1420,0,COUNTA(Y1420:AV1420)-1)="면제"),"면제",
IF(AND(V1420="면제",OFFSET(Y1420,0,COUNTA(Y1420:AV1420)-1)=0),"면제",
"확인요청"))))))</f>
        <v>면제</v>
      </c>
      <c r="Y1420" s="94" t="s">
        <v>7</v>
      </c>
      <c r="Z1420" s="95" t="s">
        <v>7</v>
      </c>
      <c r="AA1420" s="95" t="s">
        <v>7</v>
      </c>
      <c r="AB1420" s="95" t="s">
        <v>7</v>
      </c>
      <c r="AC1420" s="95" t="s">
        <v>7</v>
      </c>
      <c r="AD1420" s="95" t="s">
        <v>7</v>
      </c>
      <c r="AE1420" s="95" t="s">
        <v>7</v>
      </c>
      <c r="AF1420" s="95" t="s">
        <v>7</v>
      </c>
      <c r="AG1420" s="95" t="s">
        <v>7</v>
      </c>
      <c r="AH1420" s="95" t="s">
        <v>7</v>
      </c>
      <c r="AI1420" s="95" t="s">
        <v>7</v>
      </c>
      <c r="AJ1420" s="96" t="s">
        <v>7</v>
      </c>
      <c r="AK1420" s="97" t="s">
        <v>7</v>
      </c>
      <c r="AL1420" s="95" t="s">
        <v>7</v>
      </c>
      <c r="AM1420" s="90"/>
      <c r="AN1420" s="90"/>
      <c r="AO1420" s="90"/>
      <c r="AP1420" s="90"/>
      <c r="AQ1420" s="90"/>
      <c r="AR1420" s="90"/>
      <c r="AS1420" s="90"/>
      <c r="AT1420" s="90"/>
      <c r="AU1420" s="90"/>
      <c r="AV1420" s="91"/>
      <c r="AX1420" s="92"/>
    </row>
    <row r="1421" customFormat="false" ht="15.65" hidden="false" customHeight="false" outlineLevel="0" collapsed="false">
      <c r="C1421" s="72" t="n">
        <f aca="false">COUNTIFS($D$6:D1421,"&lt;&gt;"&amp;"")</f>
        <v>1416</v>
      </c>
      <c r="D1421" s="73" t="s">
        <v>12</v>
      </c>
      <c r="E1421" s="76" t="str">
        <f aca="false">
IF($D1421="정상",INDEX(임대자산!$D$3:$R$3000,MATCH($F1421,임대자산!$I$3:$I$3000,0),MATCH(E$3,임대자산!$D$3:$R$3,0)),
IF($D1421="폐업",INDEX(폐업정보!$D$3:$R$3000,MATCH($F1421,폐업정보!$I$3:$I$3000,0),MATCH(E$3,폐업정보!$D$3:$R$3,0)),
"Error"))</f>
        <v>경기</v>
      </c>
      <c r="F142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B1416</v>
      </c>
      <c r="G1421" s="76" t="str">
        <f aca="false">F1421&amp;RANDBETWEEN(0,10)</f>
        <v>B14167</v>
      </c>
      <c r="H1421" s="75" t="n">
        <f aca="false">
IF($D1421="정상",INDEX(임대자산!$D$3:$R$3000,MATCH($F1421,임대자산!$I$3:$I$3000,0),MATCH(H$4,임대자산!$D$3:$R$3,0)),
IF($D1421="폐업",INDEX(폐업정보!$D$3:$R$3000,MATCH($F1421,폐업정보!$I$3:$I$3000,0),MATCH(H$4,폐업정보!$D$3:$R$3,0)),
"Error"))</f>
        <v>45398</v>
      </c>
      <c r="I1421" s="75" t="str">
        <f aca="false">
IF($D1421="정상",INDEX(임대자산!$D$3:$R$3000,MATCH($F1421,임대자산!$I$3:$I$3000,0),MATCH(I$4,임대자산!$D$3:$R$3,0)),
IF($D1421="폐업",INDEX(폐업정보!$D$3:$R$3000,MATCH($F1421,폐업정보!$I$3:$I$3000,0),MATCH(I$4,폐업정보!$D$3:$R$3,0)),
"Error"))</f>
        <v>A1416</v>
      </c>
      <c r="J1421" s="75" t="str">
        <f aca="false">
IF($D1421="정상",INDEX(임대자산!$D$3:$R$3000,MATCH($F1421,임대자산!$I$3:$I$3000,0),MATCH(J$4,임대자산!$D$3:$R$3,0)),
IF($D1421="폐업",INDEX(폐업정보!$D$3:$R$3000,MATCH($F1421,폐업정보!$I$3:$I$3000,0),MATCH(J$4,폐업정보!$D$3:$R$3,0)),
"Error"))</f>
        <v>6312600000</v>
      </c>
      <c r="K1421" s="75" t="str">
        <f aca="false">
IF($D1421="정상",INDEX(임대자산!$D$3:$R$3000,MATCH($F1421,임대자산!$I$3:$I$3000,0),MATCH(K$4,임대자산!$D$3:$R$3,0)),
IF($D1421="폐업",INDEX(폐업정보!$D$3:$R$3000,MATCH($F1421,폐업정보!$I$3:$I$3000,0),MATCH(K$4,폐업정보!$D$3:$R$3,0)),
"Error"))</f>
        <v>C1416</v>
      </c>
      <c r="L1421" s="75" t="str">
        <f aca="false">
IF($D1421="정상",INDEX(임대자산!$D$3:$R$3000,MATCH($F1421,임대자산!$I$3:$I$3000,0),MATCH(L$4,임대자산!$D$3:$R$3,0)),
IF($D1421="폐업",INDEX(폐업정보!$D$3:$R$3000,MATCH($F1421,폐업정보!$I$3:$I$3000,0),MATCH(L$4,폐업정보!$D$3:$R$3,0)),
"Error"))</f>
        <v>D1416</v>
      </c>
      <c r="M1421" s="76" t="s">
        <v>96</v>
      </c>
      <c r="N1421" s="77"/>
      <c r="O1421" s="78" t="s">
        <v>97</v>
      </c>
      <c r="P1421" s="79" t="n">
        <f aca="false">COUNTIFS(임대자산!$I:$I,가맹점정보!F1421,임대자산!$N:$N,가맹점정보!P$4)</f>
        <v>0</v>
      </c>
      <c r="Q1421" s="80" t="n">
        <f aca="false">COUNTIFS(임대자산!$I:$I,가맹점정보!F1421,임대자산!$N:$N,가맹점정보!Q$4)</f>
        <v>0</v>
      </c>
      <c r="R1421" s="81" t="n">
        <f aca="false">COUNTIFS(임대자산!$I:$I,가맹점정보!F1421,임대자산!$N:$N,가맹점정보!R$4)</f>
        <v>1</v>
      </c>
      <c r="S1421" s="82" t="n">
        <v>88000</v>
      </c>
      <c r="T1421" s="83" t="n">
        <v>0</v>
      </c>
      <c r="U1421" s="80" t="n">
        <f aca="false">SUM(S1421:T1421)</f>
        <v>88000</v>
      </c>
      <c r="V1421" s="84" t="s">
        <v>7</v>
      </c>
      <c r="W1421" s="80" t="str">
        <f aca="true">
IF(D1421="폐업","폐업",
IF(V1421="면제","면제",
IF(AND(V1421="정상",COUNTIFS(OFFSET(Y1421,0,COUNTA(Y1421:AV1421)-1,1,-4),"미납")&gt;=3),"장기미납",
IF(AND(V1421="정상",OFFSET(Y1421,0,COUNTA(Y1421:AV1421)-1)&gt;=U1421),"정상",
IF(AND(V1421="정상",OFFSET(Y1421,0,COUNTA(Y1421:AV1421)-1)=0),"정상",
"계약서 미작성")))))</f>
        <v>면제</v>
      </c>
      <c r="X1421" s="81" t="str">
        <f aca="true">
IF(D1421="폐업","폐업",
IF(AND(V1421="정상",OFFSET(Y1421,0,COUNTA(Y1421:AV1421)-1)="미납"),"미납",
IF(AND(V1421="정상",OFFSET(Y1421,0,COUNTA(Y1421:AV1421)-1)=0),"납부 시작 전",
IF(AND(V1421="정상",OFFSET(Y1421,0,COUNTA(Y1421:AV1421)-1)&gt;=U1421),"정상",
IF(AND(V1421="면제",OFFSET(Y1421,0,COUNTA(Y1421:AV1421)-1)="면제"),"면제",
IF(AND(V1421="면제",OFFSET(Y1421,0,COUNTA(Y1421:AV1421)-1)=0),"면제",
"확인요청"))))))</f>
        <v>면제</v>
      </c>
      <c r="Y1421" s="94" t="s">
        <v>7</v>
      </c>
      <c r="Z1421" s="95" t="s">
        <v>7</v>
      </c>
      <c r="AA1421" s="95" t="s">
        <v>7</v>
      </c>
      <c r="AB1421" s="95" t="s">
        <v>7</v>
      </c>
      <c r="AC1421" s="95" t="s">
        <v>7</v>
      </c>
      <c r="AD1421" s="95" t="s">
        <v>7</v>
      </c>
      <c r="AE1421" s="95" t="s">
        <v>7</v>
      </c>
      <c r="AF1421" s="95" t="s">
        <v>7</v>
      </c>
      <c r="AG1421" s="95" t="s">
        <v>7</v>
      </c>
      <c r="AH1421" s="95" t="s">
        <v>7</v>
      </c>
      <c r="AI1421" s="95" t="s">
        <v>7</v>
      </c>
      <c r="AJ1421" s="96" t="s">
        <v>7</v>
      </c>
      <c r="AK1421" s="97" t="s">
        <v>7</v>
      </c>
      <c r="AL1421" s="95" t="s">
        <v>7</v>
      </c>
      <c r="AM1421" s="90"/>
      <c r="AN1421" s="90"/>
      <c r="AO1421" s="90"/>
      <c r="AP1421" s="90"/>
      <c r="AQ1421" s="90"/>
      <c r="AR1421" s="90"/>
      <c r="AS1421" s="90"/>
      <c r="AT1421" s="90"/>
      <c r="AU1421" s="90"/>
      <c r="AV1421" s="91"/>
      <c r="AX1421" s="92"/>
    </row>
    <row r="1422" customFormat="false" ht="15.65" hidden="false" customHeight="false" outlineLevel="0" collapsed="false">
      <c r="C1422" s="72" t="n">
        <f aca="false">COUNTIFS($D$6:D1422,"&lt;&gt;"&amp;"")</f>
        <v>1417</v>
      </c>
      <c r="D1422" s="73" t="s">
        <v>12</v>
      </c>
      <c r="E1422" s="76" t="str">
        <f aca="false">
IF($D1422="정상",INDEX(임대자산!$D$3:$R$3000,MATCH($F1422,임대자산!$I$3:$I$3000,0),MATCH(E$3,임대자산!$D$3:$R$3,0)),
IF($D1422="폐업",INDEX(폐업정보!$D$3:$R$3000,MATCH($F1422,폐업정보!$I$3:$I$3000,0),MATCH(E$3,폐업정보!$D$3:$R$3,0)),
"Error"))</f>
        <v>경기</v>
      </c>
      <c r="F142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B1417</v>
      </c>
      <c r="G1422" s="76" t="str">
        <f aca="false">F1422&amp;RANDBETWEEN(0,10)</f>
        <v>B141710</v>
      </c>
      <c r="H1422" s="75" t="n">
        <f aca="false">
IF($D1422="정상",INDEX(임대자산!$D$3:$R$3000,MATCH($F1422,임대자산!$I$3:$I$3000,0),MATCH(H$4,임대자산!$D$3:$R$3,0)),
IF($D1422="폐업",INDEX(폐업정보!$D$3:$R$3000,MATCH($F1422,폐업정보!$I$3:$I$3000,0),MATCH(H$4,폐업정보!$D$3:$R$3,0)),
"Error"))</f>
        <v>45398</v>
      </c>
      <c r="I1422" s="75" t="str">
        <f aca="false">
IF($D1422="정상",INDEX(임대자산!$D$3:$R$3000,MATCH($F1422,임대자산!$I$3:$I$3000,0),MATCH(I$4,임대자산!$D$3:$R$3,0)),
IF($D1422="폐업",INDEX(폐업정보!$D$3:$R$3000,MATCH($F1422,폐업정보!$I$3:$I$3000,0),MATCH(I$4,폐업정보!$D$3:$R$3,0)),
"Error"))</f>
        <v>A1417</v>
      </c>
      <c r="J1422" s="75" t="str">
        <f aca="false">
IF($D1422="정상",INDEX(임대자산!$D$3:$R$3000,MATCH($F1422,임대자산!$I$3:$I$3000,0),MATCH(J$4,임대자산!$D$3:$R$3,0)),
IF($D1422="폐업",INDEX(폐업정보!$D$3:$R$3000,MATCH($F1422,폐업정보!$I$3:$I$3000,0),MATCH(J$4,폐업정보!$D$3:$R$3,0)),
"Error"))</f>
        <v>6340500000</v>
      </c>
      <c r="K1422" s="75" t="str">
        <f aca="false">
IF($D1422="정상",INDEX(임대자산!$D$3:$R$3000,MATCH($F1422,임대자산!$I$3:$I$3000,0),MATCH(K$4,임대자산!$D$3:$R$3,0)),
IF($D1422="폐업",INDEX(폐업정보!$D$3:$R$3000,MATCH($F1422,폐업정보!$I$3:$I$3000,0),MATCH(K$4,폐업정보!$D$3:$R$3,0)),
"Error"))</f>
        <v>C1417</v>
      </c>
      <c r="L1422" s="75" t="str">
        <f aca="false">
IF($D1422="정상",INDEX(임대자산!$D$3:$R$3000,MATCH($F1422,임대자산!$I$3:$I$3000,0),MATCH(L$4,임대자산!$D$3:$R$3,0)),
IF($D1422="폐업",INDEX(폐업정보!$D$3:$R$3000,MATCH($F1422,폐업정보!$I$3:$I$3000,0),MATCH(L$4,폐업정보!$D$3:$R$3,0)),
"Error"))</f>
        <v>D1417</v>
      </c>
      <c r="M1422" s="76" t="s">
        <v>96</v>
      </c>
      <c r="N1422" s="77"/>
      <c r="O1422" s="78" t="s">
        <v>97</v>
      </c>
      <c r="P1422" s="79" t="n">
        <f aca="false">COUNTIFS(임대자산!$I:$I,가맹점정보!F1422,임대자산!$N:$N,가맹점정보!P$4)</f>
        <v>0</v>
      </c>
      <c r="Q1422" s="80" t="n">
        <f aca="false">COUNTIFS(임대자산!$I:$I,가맹점정보!F1422,임대자산!$N:$N,가맹점정보!Q$4)</f>
        <v>0</v>
      </c>
      <c r="R1422" s="81" t="n">
        <f aca="false">COUNTIFS(임대자산!$I:$I,가맹점정보!F1422,임대자산!$N:$N,가맹점정보!R$4)</f>
        <v>1</v>
      </c>
      <c r="S1422" s="82" t="n">
        <v>55000</v>
      </c>
      <c r="T1422" s="83" t="n">
        <v>0</v>
      </c>
      <c r="U1422" s="80" t="n">
        <f aca="false">SUM(S1422:T1422)</f>
        <v>55000</v>
      </c>
      <c r="V1422" s="84" t="s">
        <v>7</v>
      </c>
      <c r="W1422" s="80" t="str">
        <f aca="true">
IF(D1422="폐업","폐업",
IF(V1422="면제","면제",
IF(AND(V1422="정상",COUNTIFS(OFFSET(Y1422,0,COUNTA(Y1422:AV1422)-1,1,-4),"미납")&gt;=3),"장기미납",
IF(AND(V1422="정상",OFFSET(Y1422,0,COUNTA(Y1422:AV1422)-1)&gt;=U1422),"정상",
IF(AND(V1422="정상",OFFSET(Y1422,0,COUNTA(Y1422:AV1422)-1)=0),"정상",
"계약서 미작성")))))</f>
        <v>면제</v>
      </c>
      <c r="X1422" s="81" t="str">
        <f aca="true">
IF(D1422="폐업","폐업",
IF(AND(V1422="정상",OFFSET(Y1422,0,COUNTA(Y1422:AV1422)-1)="미납"),"미납",
IF(AND(V1422="정상",OFFSET(Y1422,0,COUNTA(Y1422:AV1422)-1)=0),"납부 시작 전",
IF(AND(V1422="정상",OFFSET(Y1422,0,COUNTA(Y1422:AV1422)-1)&gt;=U1422),"정상",
IF(AND(V1422="면제",OFFSET(Y1422,0,COUNTA(Y1422:AV1422)-1)="면제"),"면제",
IF(AND(V1422="면제",OFFSET(Y1422,0,COUNTA(Y1422:AV1422)-1)=0),"면제",
"확인요청"))))))</f>
        <v>면제</v>
      </c>
      <c r="Y1422" s="94" t="s">
        <v>7</v>
      </c>
      <c r="Z1422" s="95" t="s">
        <v>7</v>
      </c>
      <c r="AA1422" s="95" t="s">
        <v>7</v>
      </c>
      <c r="AB1422" s="95" t="s">
        <v>7</v>
      </c>
      <c r="AC1422" s="95" t="s">
        <v>7</v>
      </c>
      <c r="AD1422" s="95" t="s">
        <v>7</v>
      </c>
      <c r="AE1422" s="95" t="s">
        <v>7</v>
      </c>
      <c r="AF1422" s="95" t="s">
        <v>7</v>
      </c>
      <c r="AG1422" s="95" t="s">
        <v>7</v>
      </c>
      <c r="AH1422" s="95" t="s">
        <v>7</v>
      </c>
      <c r="AI1422" s="95" t="s">
        <v>7</v>
      </c>
      <c r="AJ1422" s="96" t="s">
        <v>7</v>
      </c>
      <c r="AK1422" s="97" t="s">
        <v>7</v>
      </c>
      <c r="AL1422" s="95" t="s">
        <v>7</v>
      </c>
      <c r="AM1422" s="90"/>
      <c r="AN1422" s="90"/>
      <c r="AO1422" s="90"/>
      <c r="AP1422" s="90"/>
      <c r="AQ1422" s="90"/>
      <c r="AR1422" s="90"/>
      <c r="AS1422" s="90"/>
      <c r="AT1422" s="90"/>
      <c r="AU1422" s="90"/>
      <c r="AV1422" s="91"/>
      <c r="AX1422" s="92"/>
    </row>
    <row r="1423" customFormat="false" ht="15.65" hidden="false" customHeight="false" outlineLevel="0" collapsed="false">
      <c r="C1423" s="72" t="n">
        <f aca="false">COUNTIFS($D$6:D1423,"&lt;&gt;"&amp;"")</f>
        <v>1418</v>
      </c>
      <c r="D1423" s="73" t="s">
        <v>12</v>
      </c>
      <c r="E1423" s="76" t="str">
        <f aca="false">
IF($D1423="정상",INDEX(임대자산!$D$3:$R$3000,MATCH($F1423,임대자산!$I$3:$I$3000,0),MATCH(E$3,임대자산!$D$3:$R$3,0)),
IF($D1423="폐업",INDEX(폐업정보!$D$3:$R$3000,MATCH($F1423,폐업정보!$I$3:$I$3000,0),MATCH(E$3,폐업정보!$D$3:$R$3,0)),
"Error"))</f>
        <v>경기</v>
      </c>
      <c r="F142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B1418</v>
      </c>
      <c r="G1423" s="76" t="str">
        <f aca="false">F1423&amp;RANDBETWEEN(0,10)</f>
        <v>B14188</v>
      </c>
      <c r="H1423" s="75" t="n">
        <f aca="false">
IF($D1423="정상",INDEX(임대자산!$D$3:$R$3000,MATCH($F1423,임대자산!$I$3:$I$3000,0),MATCH(H$4,임대자산!$D$3:$R$3,0)),
IF($D1423="폐업",INDEX(폐업정보!$D$3:$R$3000,MATCH($F1423,폐업정보!$I$3:$I$3000,0),MATCH(H$4,폐업정보!$D$3:$R$3,0)),
"Error"))</f>
        <v>45394</v>
      </c>
      <c r="I1423" s="75" t="str">
        <f aca="false">
IF($D1423="정상",INDEX(임대자산!$D$3:$R$3000,MATCH($F1423,임대자산!$I$3:$I$3000,0),MATCH(I$4,임대자산!$D$3:$R$3,0)),
IF($D1423="폐업",INDEX(폐업정보!$D$3:$R$3000,MATCH($F1423,폐업정보!$I$3:$I$3000,0),MATCH(I$4,폐업정보!$D$3:$R$3,0)),
"Error"))</f>
        <v>A1418</v>
      </c>
      <c r="J1423" s="75" t="str">
        <f aca="false">
IF($D1423="정상",INDEX(임대자산!$D$3:$R$3000,MATCH($F1423,임대자산!$I$3:$I$3000,0),MATCH(J$4,임대자산!$D$3:$R$3,0)),
IF($D1423="폐업",INDEX(폐업정보!$D$3:$R$3000,MATCH($F1423,폐업정보!$I$3:$I$3000,0),MATCH(J$4,폐업정보!$D$3:$R$3,0)),
"Error"))</f>
        <v>2850800000</v>
      </c>
      <c r="K1423" s="75" t="str">
        <f aca="false">
IF($D1423="정상",INDEX(임대자산!$D$3:$R$3000,MATCH($F1423,임대자산!$I$3:$I$3000,0),MATCH(K$4,임대자산!$D$3:$R$3,0)),
IF($D1423="폐업",INDEX(폐업정보!$D$3:$R$3000,MATCH($F1423,폐업정보!$I$3:$I$3000,0),MATCH(K$4,폐업정보!$D$3:$R$3,0)),
"Error"))</f>
        <v>C1418</v>
      </c>
      <c r="L1423" s="75" t="str">
        <f aca="false">
IF($D1423="정상",INDEX(임대자산!$D$3:$R$3000,MATCH($F1423,임대자산!$I$3:$I$3000,0),MATCH(L$4,임대자산!$D$3:$R$3,0)),
IF($D1423="폐업",INDEX(폐업정보!$D$3:$R$3000,MATCH($F1423,폐업정보!$I$3:$I$3000,0),MATCH(L$4,폐업정보!$D$3:$R$3,0)),
"Error"))</f>
        <v>D1418</v>
      </c>
      <c r="M1423" s="76" t="s">
        <v>96</v>
      </c>
      <c r="N1423" s="77"/>
      <c r="O1423" s="78" t="s">
        <v>97</v>
      </c>
      <c r="P1423" s="79" t="n">
        <f aca="false">COUNTIFS(임대자산!$I:$I,가맹점정보!F1423,임대자산!$N:$N,가맹점정보!P$4)</f>
        <v>0</v>
      </c>
      <c r="Q1423" s="80" t="n">
        <f aca="false">COUNTIFS(임대자산!$I:$I,가맹점정보!F1423,임대자산!$N:$N,가맹점정보!Q$4)</f>
        <v>0</v>
      </c>
      <c r="R1423" s="81" t="n">
        <f aca="false">COUNTIFS(임대자산!$I:$I,가맹점정보!F1423,임대자산!$N:$N,가맹점정보!R$4)</f>
        <v>1</v>
      </c>
      <c r="S1423" s="82" t="n">
        <v>55000</v>
      </c>
      <c r="T1423" s="83" t="n">
        <v>0</v>
      </c>
      <c r="U1423" s="80" t="n">
        <f aca="false">SUM(S1423:T1423)</f>
        <v>55000</v>
      </c>
      <c r="V1423" s="84" t="s">
        <v>7</v>
      </c>
      <c r="W1423" s="80" t="str">
        <f aca="true">
IF(D1423="폐업","폐업",
IF(V1423="면제","면제",
IF(AND(V1423="정상",COUNTIFS(OFFSET(Y1423,0,COUNTA(Y1423:AV1423)-1,1,-4),"미납")&gt;=3),"장기미납",
IF(AND(V1423="정상",OFFSET(Y1423,0,COUNTA(Y1423:AV1423)-1)&gt;=U1423),"정상",
IF(AND(V1423="정상",OFFSET(Y1423,0,COUNTA(Y1423:AV1423)-1)=0),"정상",
"계약서 미작성")))))</f>
        <v>면제</v>
      </c>
      <c r="X1423" s="81" t="str">
        <f aca="true">
IF(D1423="폐업","폐업",
IF(AND(V1423="정상",OFFSET(Y1423,0,COUNTA(Y1423:AV1423)-1)="미납"),"미납",
IF(AND(V1423="정상",OFFSET(Y1423,0,COUNTA(Y1423:AV1423)-1)=0),"납부 시작 전",
IF(AND(V1423="정상",OFFSET(Y1423,0,COUNTA(Y1423:AV1423)-1)&gt;=U1423),"정상",
IF(AND(V1423="면제",OFFSET(Y1423,0,COUNTA(Y1423:AV1423)-1)="면제"),"면제",
IF(AND(V1423="면제",OFFSET(Y1423,0,COUNTA(Y1423:AV1423)-1)=0),"면제",
"확인요청"))))))</f>
        <v>면제</v>
      </c>
      <c r="Y1423" s="94" t="s">
        <v>7</v>
      </c>
      <c r="Z1423" s="95" t="s">
        <v>7</v>
      </c>
      <c r="AA1423" s="95" t="s">
        <v>7</v>
      </c>
      <c r="AB1423" s="95" t="s">
        <v>7</v>
      </c>
      <c r="AC1423" s="95" t="s">
        <v>7</v>
      </c>
      <c r="AD1423" s="95" t="s">
        <v>7</v>
      </c>
      <c r="AE1423" s="95" t="s">
        <v>7</v>
      </c>
      <c r="AF1423" s="95" t="s">
        <v>7</v>
      </c>
      <c r="AG1423" s="95" t="s">
        <v>7</v>
      </c>
      <c r="AH1423" s="95" t="s">
        <v>7</v>
      </c>
      <c r="AI1423" s="95" t="s">
        <v>7</v>
      </c>
      <c r="AJ1423" s="96" t="s">
        <v>7</v>
      </c>
      <c r="AK1423" s="97" t="s">
        <v>7</v>
      </c>
      <c r="AL1423" s="95" t="s">
        <v>7</v>
      </c>
      <c r="AM1423" s="90"/>
      <c r="AN1423" s="90"/>
      <c r="AO1423" s="90"/>
      <c r="AP1423" s="90"/>
      <c r="AQ1423" s="90"/>
      <c r="AR1423" s="90"/>
      <c r="AS1423" s="90"/>
      <c r="AT1423" s="90"/>
      <c r="AU1423" s="90"/>
      <c r="AV1423" s="91"/>
      <c r="AX1423" s="92"/>
    </row>
    <row r="1424" customFormat="false" ht="15.65" hidden="false" customHeight="false" outlineLevel="0" collapsed="false">
      <c r="C1424" s="72" t="n">
        <f aca="false">COUNTIFS($D$6:D1424,"&lt;&gt;"&amp;"")</f>
        <v>1419</v>
      </c>
      <c r="D1424" s="73" t="s">
        <v>12</v>
      </c>
      <c r="E1424" s="76" t="str">
        <f aca="false">
IF($D1424="정상",INDEX(임대자산!$D$3:$R$3000,MATCH($F1424,임대자산!$I$3:$I$3000,0),MATCH(E$3,임대자산!$D$3:$R$3,0)),
IF($D1424="폐업",INDEX(폐업정보!$D$3:$R$3000,MATCH($F1424,폐업정보!$I$3:$I$3000,0),MATCH(E$3,폐업정보!$D$3:$R$3,0)),
"Error"))</f>
        <v>경기</v>
      </c>
      <c r="F142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B1419</v>
      </c>
      <c r="G1424" s="76" t="str">
        <f aca="false">F1424&amp;RANDBETWEEN(0,10)</f>
        <v>B141910</v>
      </c>
      <c r="H1424" s="75" t="n">
        <f aca="false">
IF($D1424="정상",INDEX(임대자산!$D$3:$R$3000,MATCH($F1424,임대자산!$I$3:$I$3000,0),MATCH(H$4,임대자산!$D$3:$R$3,0)),
IF($D1424="폐업",INDEX(폐업정보!$D$3:$R$3000,MATCH($F1424,폐업정보!$I$3:$I$3000,0),MATCH(H$4,폐업정보!$D$3:$R$3,0)),
"Error"))</f>
        <v>45394</v>
      </c>
      <c r="I1424" s="75" t="str">
        <f aca="false">
IF($D1424="정상",INDEX(임대자산!$D$3:$R$3000,MATCH($F1424,임대자산!$I$3:$I$3000,0),MATCH(I$4,임대자산!$D$3:$R$3,0)),
IF($D1424="폐업",INDEX(폐업정보!$D$3:$R$3000,MATCH($F1424,폐업정보!$I$3:$I$3000,0),MATCH(I$4,폐업정보!$D$3:$R$3,0)),
"Error"))</f>
        <v>A1419</v>
      </c>
      <c r="J1424" s="75" t="str">
        <f aca="false">
IF($D1424="정상",INDEX(임대자산!$D$3:$R$3000,MATCH($F1424,임대자산!$I$3:$I$3000,0),MATCH(J$4,임대자산!$D$3:$R$3,0)),
IF($D1424="폐업",INDEX(폐업정보!$D$3:$R$3000,MATCH($F1424,폐업정보!$I$3:$I$3000,0),MATCH(J$4,폐업정보!$D$3:$R$3,0)),
"Error"))</f>
        <v>4685400000</v>
      </c>
      <c r="K1424" s="75" t="str">
        <f aca="false">
IF($D1424="정상",INDEX(임대자산!$D$3:$R$3000,MATCH($F1424,임대자산!$I$3:$I$3000,0),MATCH(K$4,임대자산!$D$3:$R$3,0)),
IF($D1424="폐업",INDEX(폐업정보!$D$3:$R$3000,MATCH($F1424,폐업정보!$I$3:$I$3000,0),MATCH(K$4,폐업정보!$D$3:$R$3,0)),
"Error"))</f>
        <v>C1419</v>
      </c>
      <c r="L1424" s="75" t="str">
        <f aca="false">
IF($D1424="정상",INDEX(임대자산!$D$3:$R$3000,MATCH($F1424,임대자산!$I$3:$I$3000,0),MATCH(L$4,임대자산!$D$3:$R$3,0)),
IF($D1424="폐업",INDEX(폐업정보!$D$3:$R$3000,MATCH($F1424,폐업정보!$I$3:$I$3000,0),MATCH(L$4,폐업정보!$D$3:$R$3,0)),
"Error"))</f>
        <v>D1419</v>
      </c>
      <c r="M1424" s="76" t="s">
        <v>96</v>
      </c>
      <c r="N1424" s="77"/>
      <c r="O1424" s="78" t="s">
        <v>97</v>
      </c>
      <c r="P1424" s="79" t="n">
        <f aca="false">COUNTIFS(임대자산!$I:$I,가맹점정보!F1424,임대자산!$N:$N,가맹점정보!P$4)</f>
        <v>0</v>
      </c>
      <c r="Q1424" s="80" t="n">
        <f aca="false">COUNTIFS(임대자산!$I:$I,가맹점정보!F1424,임대자산!$N:$N,가맹점정보!Q$4)</f>
        <v>0</v>
      </c>
      <c r="R1424" s="81" t="n">
        <f aca="false">COUNTIFS(임대자산!$I:$I,가맹점정보!F1424,임대자산!$N:$N,가맹점정보!R$4)</f>
        <v>1</v>
      </c>
      <c r="S1424" s="82" t="n">
        <v>55000</v>
      </c>
      <c r="T1424" s="83" t="n">
        <v>0</v>
      </c>
      <c r="U1424" s="80" t="n">
        <f aca="false">SUM(S1424:T1424)</f>
        <v>55000</v>
      </c>
      <c r="V1424" s="84" t="s">
        <v>7</v>
      </c>
      <c r="W1424" s="80" t="str">
        <f aca="true">
IF(D1424="폐업","폐업",
IF(V1424="면제","면제",
IF(AND(V1424="정상",COUNTIFS(OFFSET(Y1424,0,COUNTA(Y1424:AV1424)-1,1,-4),"미납")&gt;=3),"장기미납",
IF(AND(V1424="정상",OFFSET(Y1424,0,COUNTA(Y1424:AV1424)-1)&gt;=U1424),"정상",
IF(AND(V1424="정상",OFFSET(Y1424,0,COUNTA(Y1424:AV1424)-1)=0),"정상",
"계약서 미작성")))))</f>
        <v>면제</v>
      </c>
      <c r="X1424" s="81" t="str">
        <f aca="true">
IF(D1424="폐업","폐업",
IF(AND(V1424="정상",OFFSET(Y1424,0,COUNTA(Y1424:AV1424)-1)="미납"),"미납",
IF(AND(V1424="정상",OFFSET(Y1424,0,COUNTA(Y1424:AV1424)-1)=0),"납부 시작 전",
IF(AND(V1424="정상",OFFSET(Y1424,0,COUNTA(Y1424:AV1424)-1)&gt;=U1424),"정상",
IF(AND(V1424="면제",OFFSET(Y1424,0,COUNTA(Y1424:AV1424)-1)="면제"),"면제",
IF(AND(V1424="면제",OFFSET(Y1424,0,COUNTA(Y1424:AV1424)-1)=0),"면제",
"확인요청"))))))</f>
        <v>면제</v>
      </c>
      <c r="Y1424" s="94" t="s">
        <v>7</v>
      </c>
      <c r="Z1424" s="95" t="s">
        <v>7</v>
      </c>
      <c r="AA1424" s="95" t="s">
        <v>7</v>
      </c>
      <c r="AB1424" s="95" t="s">
        <v>7</v>
      </c>
      <c r="AC1424" s="95" t="s">
        <v>7</v>
      </c>
      <c r="AD1424" s="95" t="s">
        <v>7</v>
      </c>
      <c r="AE1424" s="95" t="s">
        <v>7</v>
      </c>
      <c r="AF1424" s="95" t="s">
        <v>7</v>
      </c>
      <c r="AG1424" s="95" t="s">
        <v>7</v>
      </c>
      <c r="AH1424" s="95" t="s">
        <v>7</v>
      </c>
      <c r="AI1424" s="95" t="s">
        <v>7</v>
      </c>
      <c r="AJ1424" s="96" t="s">
        <v>7</v>
      </c>
      <c r="AK1424" s="97" t="s">
        <v>7</v>
      </c>
      <c r="AL1424" s="95" t="s">
        <v>7</v>
      </c>
      <c r="AM1424" s="90"/>
      <c r="AN1424" s="90"/>
      <c r="AO1424" s="90"/>
      <c r="AP1424" s="90"/>
      <c r="AQ1424" s="90"/>
      <c r="AR1424" s="90"/>
      <c r="AS1424" s="90"/>
      <c r="AT1424" s="90"/>
      <c r="AU1424" s="90"/>
      <c r="AV1424" s="91"/>
      <c r="AX1424" s="92"/>
    </row>
    <row r="1425" customFormat="false" ht="15.65" hidden="false" customHeight="false" outlineLevel="0" collapsed="false">
      <c r="C1425" s="72" t="n">
        <f aca="false">COUNTIFS($D$6:D1425,"&lt;&gt;"&amp;"")</f>
        <v>1420</v>
      </c>
      <c r="D1425" s="73" t="s">
        <v>12</v>
      </c>
      <c r="E1425" s="76" t="str">
        <f aca="false">
IF($D1425="정상",INDEX(임대자산!$D$3:$R$3000,MATCH($F1425,임대자산!$I$3:$I$3000,0),MATCH(E$3,임대자산!$D$3:$R$3,0)),
IF($D1425="폐업",INDEX(폐업정보!$D$3:$R$3000,MATCH($F1425,폐업정보!$I$3:$I$3000,0),MATCH(E$3,폐업정보!$D$3:$R$3,0)),
"Error"))</f>
        <v>전라</v>
      </c>
      <c r="F142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B1420</v>
      </c>
      <c r="G1425" s="76" t="str">
        <f aca="false">F1425&amp;RANDBETWEEN(0,10)</f>
        <v>B14208</v>
      </c>
      <c r="H1425" s="75" t="n">
        <f aca="false">
IF($D1425="정상",INDEX(임대자산!$D$3:$R$3000,MATCH($F1425,임대자산!$I$3:$I$3000,0),MATCH(H$4,임대자산!$D$3:$R$3,0)),
IF($D1425="폐업",INDEX(폐업정보!$D$3:$R$3000,MATCH($F1425,폐업정보!$I$3:$I$3000,0),MATCH(H$4,폐업정보!$D$3:$R$3,0)),
"Error"))</f>
        <v>45379</v>
      </c>
      <c r="I1425" s="75" t="str">
        <f aca="false">
IF($D1425="정상",INDEX(임대자산!$D$3:$R$3000,MATCH($F1425,임대자산!$I$3:$I$3000,0),MATCH(I$4,임대자산!$D$3:$R$3,0)),
IF($D1425="폐업",INDEX(폐업정보!$D$3:$R$3000,MATCH($F1425,폐업정보!$I$3:$I$3000,0),MATCH(I$4,폐업정보!$D$3:$R$3,0)),
"Error"))</f>
        <v>A1420</v>
      </c>
      <c r="J1425" s="75" t="str">
        <f aca="false">
IF($D1425="정상",INDEX(임대자산!$D$3:$R$3000,MATCH($F1425,임대자산!$I$3:$I$3000,0),MATCH(J$4,임대자산!$D$3:$R$3,0)),
IF($D1425="폐업",INDEX(폐업정보!$D$3:$R$3000,MATCH($F1425,폐업정보!$I$3:$I$3000,0),MATCH(J$4,폐업정보!$D$3:$R$3,0)),
"Error"))</f>
        <v>1017900000</v>
      </c>
      <c r="K1425" s="75" t="str">
        <f aca="false">
IF($D1425="정상",INDEX(임대자산!$D$3:$R$3000,MATCH($F1425,임대자산!$I$3:$I$3000,0),MATCH(K$4,임대자산!$D$3:$R$3,0)),
IF($D1425="폐업",INDEX(폐업정보!$D$3:$R$3000,MATCH($F1425,폐업정보!$I$3:$I$3000,0),MATCH(K$4,폐업정보!$D$3:$R$3,0)),
"Error"))</f>
        <v>C1420</v>
      </c>
      <c r="L1425" s="75" t="str">
        <f aca="false">
IF($D1425="정상",INDEX(임대자산!$D$3:$R$3000,MATCH($F1425,임대자산!$I$3:$I$3000,0),MATCH(L$4,임대자산!$D$3:$R$3,0)),
IF($D1425="폐업",INDEX(폐업정보!$D$3:$R$3000,MATCH($F1425,폐업정보!$I$3:$I$3000,0),MATCH(L$4,폐업정보!$D$3:$R$3,0)),
"Error"))</f>
        <v>D1420</v>
      </c>
      <c r="M1425" s="76" t="s">
        <v>96</v>
      </c>
      <c r="N1425" s="77"/>
      <c r="O1425" s="78" t="s">
        <v>97</v>
      </c>
      <c r="P1425" s="79" t="n">
        <f aca="false">COUNTIFS(임대자산!$I:$I,가맹점정보!F1425,임대자산!$N:$N,가맹점정보!P$4)</f>
        <v>0</v>
      </c>
      <c r="Q1425" s="80" t="n">
        <f aca="false">COUNTIFS(임대자산!$I:$I,가맹점정보!F1425,임대자산!$N:$N,가맹점정보!Q$4)</f>
        <v>0</v>
      </c>
      <c r="R1425" s="81" t="n">
        <f aca="false">COUNTIFS(임대자산!$I:$I,가맹점정보!F1425,임대자산!$N:$N,가맹점정보!R$4)</f>
        <v>1</v>
      </c>
      <c r="S1425" s="82" t="n">
        <v>88000</v>
      </c>
      <c r="T1425" s="83" t="n">
        <v>0</v>
      </c>
      <c r="U1425" s="80" t="n">
        <f aca="false">SUM(S1425:T1425)</f>
        <v>88000</v>
      </c>
      <c r="V1425" s="84" t="s">
        <v>7</v>
      </c>
      <c r="W1425" s="80" t="str">
        <f aca="true">
IF(D1425="폐업","폐업",
IF(V1425="면제","면제",
IF(AND(V1425="정상",COUNTIFS(OFFSET(Y1425,0,COUNTA(Y1425:AV1425)-1,1,-4),"미납")&gt;=3),"장기미납",
IF(AND(V1425="정상",OFFSET(Y1425,0,COUNTA(Y1425:AV1425)-1)&gt;=U1425),"정상",
IF(AND(V1425="정상",OFFSET(Y1425,0,COUNTA(Y1425:AV1425)-1)=0),"정상",
"계약서 미작성")))))</f>
        <v>면제</v>
      </c>
      <c r="X1425" s="81" t="str">
        <f aca="true">
IF(D1425="폐업","폐업",
IF(AND(V1425="정상",OFFSET(Y1425,0,COUNTA(Y1425:AV1425)-1)="미납"),"미납",
IF(AND(V1425="정상",OFFSET(Y1425,0,COUNTA(Y1425:AV1425)-1)=0),"납부 시작 전",
IF(AND(V1425="정상",OFFSET(Y1425,0,COUNTA(Y1425:AV1425)-1)&gt;=U1425),"정상",
IF(AND(V1425="면제",OFFSET(Y1425,0,COUNTA(Y1425:AV1425)-1)="면제"),"면제",
IF(AND(V1425="면제",OFFSET(Y1425,0,COUNTA(Y1425:AV1425)-1)=0),"면제",
"확인요청"))))))</f>
        <v>면제</v>
      </c>
      <c r="Y1425" s="94" t="s">
        <v>7</v>
      </c>
      <c r="Z1425" s="95" t="s">
        <v>7</v>
      </c>
      <c r="AA1425" s="95" t="s">
        <v>7</v>
      </c>
      <c r="AB1425" s="95" t="s">
        <v>7</v>
      </c>
      <c r="AC1425" s="95" t="s">
        <v>7</v>
      </c>
      <c r="AD1425" s="95" t="s">
        <v>7</v>
      </c>
      <c r="AE1425" s="95" t="s">
        <v>7</v>
      </c>
      <c r="AF1425" s="95" t="s">
        <v>7</v>
      </c>
      <c r="AG1425" s="95" t="s">
        <v>7</v>
      </c>
      <c r="AH1425" s="95" t="s">
        <v>7</v>
      </c>
      <c r="AI1425" s="95" t="s">
        <v>7</v>
      </c>
      <c r="AJ1425" s="96" t="s">
        <v>7</v>
      </c>
      <c r="AK1425" s="97" t="s">
        <v>7</v>
      </c>
      <c r="AL1425" s="95" t="s">
        <v>7</v>
      </c>
      <c r="AM1425" s="90"/>
      <c r="AN1425" s="90"/>
      <c r="AO1425" s="90"/>
      <c r="AP1425" s="90"/>
      <c r="AQ1425" s="90"/>
      <c r="AR1425" s="90"/>
      <c r="AS1425" s="90"/>
      <c r="AT1425" s="90"/>
      <c r="AU1425" s="90"/>
      <c r="AV1425" s="91"/>
      <c r="AX1425" s="92"/>
    </row>
    <row r="1426" customFormat="false" ht="15.65" hidden="false" customHeight="false" outlineLevel="0" collapsed="false">
      <c r="C1426" s="72" t="n">
        <f aca="false">COUNTIFS($D$6:D1426,"&lt;&gt;"&amp;"")</f>
        <v>1421</v>
      </c>
      <c r="D1426" s="73" t="s">
        <v>12</v>
      </c>
      <c r="E1426" s="76" t="str">
        <f aca="false">
IF($D1426="정상",INDEX(임대자산!$D$3:$R$3000,MATCH($F1426,임대자산!$I$3:$I$3000,0),MATCH(E$3,임대자산!$D$3:$R$3,0)),
IF($D1426="폐업",INDEX(폐업정보!$D$3:$R$3000,MATCH($F1426,폐업정보!$I$3:$I$3000,0),MATCH(E$3,폐업정보!$D$3:$R$3,0)),
"Error"))</f>
        <v>전라</v>
      </c>
      <c r="F142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B1421</v>
      </c>
      <c r="G1426" s="76" t="str">
        <f aca="false">F1426&amp;RANDBETWEEN(0,10)</f>
        <v>B14216</v>
      </c>
      <c r="H1426" s="75" t="n">
        <f aca="false">
IF($D1426="정상",INDEX(임대자산!$D$3:$R$3000,MATCH($F1426,임대자산!$I$3:$I$3000,0),MATCH(H$4,임대자산!$D$3:$R$3,0)),
IF($D1426="폐업",INDEX(폐업정보!$D$3:$R$3000,MATCH($F1426,폐업정보!$I$3:$I$3000,0),MATCH(H$4,폐업정보!$D$3:$R$3,0)),
"Error"))</f>
        <v>45379</v>
      </c>
      <c r="I1426" s="75" t="str">
        <f aca="false">
IF($D1426="정상",INDEX(임대자산!$D$3:$R$3000,MATCH($F1426,임대자산!$I$3:$I$3000,0),MATCH(I$4,임대자산!$D$3:$R$3,0)),
IF($D1426="폐업",INDEX(폐업정보!$D$3:$R$3000,MATCH($F1426,폐업정보!$I$3:$I$3000,0),MATCH(I$4,폐업정보!$D$3:$R$3,0)),
"Error"))</f>
        <v>A1421</v>
      </c>
      <c r="J1426" s="75" t="str">
        <f aca="false">
IF($D1426="정상",INDEX(임대자산!$D$3:$R$3000,MATCH($F1426,임대자산!$I$3:$I$3000,0),MATCH(J$4,임대자산!$D$3:$R$3,0)),
IF($D1426="폐업",INDEX(폐업정보!$D$3:$R$3000,MATCH($F1426,폐업정보!$I$3:$I$3000,0),MATCH(J$4,폐업정보!$D$3:$R$3,0)),
"Error"))</f>
        <v>6266000000</v>
      </c>
      <c r="K1426" s="75" t="str">
        <f aca="false">
IF($D1426="정상",INDEX(임대자산!$D$3:$R$3000,MATCH($F1426,임대자산!$I$3:$I$3000,0),MATCH(K$4,임대자산!$D$3:$R$3,0)),
IF($D1426="폐업",INDEX(폐업정보!$D$3:$R$3000,MATCH($F1426,폐업정보!$I$3:$I$3000,0),MATCH(K$4,폐업정보!$D$3:$R$3,0)),
"Error"))</f>
        <v>C1421</v>
      </c>
      <c r="L1426" s="75" t="str">
        <f aca="false">
IF($D1426="정상",INDEX(임대자산!$D$3:$R$3000,MATCH($F1426,임대자산!$I$3:$I$3000,0),MATCH(L$4,임대자산!$D$3:$R$3,0)),
IF($D1426="폐업",INDEX(폐업정보!$D$3:$R$3000,MATCH($F1426,폐업정보!$I$3:$I$3000,0),MATCH(L$4,폐업정보!$D$3:$R$3,0)),
"Error"))</f>
        <v>D1421</v>
      </c>
      <c r="M1426" s="76" t="s">
        <v>96</v>
      </c>
      <c r="N1426" s="77"/>
      <c r="O1426" s="78" t="s">
        <v>97</v>
      </c>
      <c r="P1426" s="79" t="n">
        <f aca="false">COUNTIFS(임대자산!$I:$I,가맹점정보!F1426,임대자산!$N:$N,가맹점정보!P$4)</f>
        <v>0</v>
      </c>
      <c r="Q1426" s="80" t="n">
        <f aca="false">COUNTIFS(임대자산!$I:$I,가맹점정보!F1426,임대자산!$N:$N,가맹점정보!Q$4)</f>
        <v>0</v>
      </c>
      <c r="R1426" s="81" t="n">
        <f aca="false">COUNTIFS(임대자산!$I:$I,가맹점정보!F1426,임대자산!$N:$N,가맹점정보!R$4)</f>
        <v>1</v>
      </c>
      <c r="S1426" s="82" t="n">
        <v>55000</v>
      </c>
      <c r="T1426" s="83" t="n">
        <v>0</v>
      </c>
      <c r="U1426" s="80" t="n">
        <f aca="false">SUM(S1426:T1426)</f>
        <v>55000</v>
      </c>
      <c r="V1426" s="84" t="s">
        <v>12</v>
      </c>
      <c r="W1426" s="80" t="e">
        <f aca="true">
IF(D1426="폐업","폐업",
IF(V1426="면제","면제",
IF(AND(V1426="정상",COUNTIFS(OFFSET(Y1426,0,COUNTA(Y1426:AV1426)-1,1,-4),"미납")&gt;=3),"장기미납",
IF(AND(V1426="정상",OFFSET(Y1426,0,COUNTA(Y1426:AV1426)-1)&gt;=U1426),"정상",
IF(AND(V1426="정상",OFFSET(Y1426,0,COUNTA(Y1426:AV1426)-1)=0),"정상",
"계약서 미작성")))))</f>
        <v>#VALUE!</v>
      </c>
      <c r="X1426" s="81" t="str">
        <f aca="true">
IF(D1426="폐업","폐업",
IF(AND(V1426="정상",OFFSET(Y1426,0,COUNTA(Y1426:AV1426)-1)="미납"),"미납",
IF(AND(V1426="정상",OFFSET(Y1426,0,COUNTA(Y1426:AV1426)-1)=0),"납부 시작 전",
IF(AND(V1426="정상",OFFSET(Y1426,0,COUNTA(Y1426:AV1426)-1)&gt;=U1426),"정상",
IF(AND(V1426="면제",OFFSET(Y1426,0,COUNTA(Y1426:AV1426)-1)="면제"),"면제",
IF(AND(V1426="면제",OFFSET(Y1426,0,COUNTA(Y1426:AV1426)-1)=0),"면제",
"확인요청"))))))</f>
        <v>정상</v>
      </c>
      <c r="Y1426" s="93" t="n">
        <v>55000</v>
      </c>
      <c r="Z1426" s="90" t="n">
        <v>55000</v>
      </c>
      <c r="AA1426" s="90" t="n">
        <v>55000</v>
      </c>
      <c r="AB1426" s="90" t="n">
        <v>55000</v>
      </c>
      <c r="AC1426" s="90" t="n">
        <v>55000</v>
      </c>
      <c r="AD1426" s="90" t="n">
        <v>55000</v>
      </c>
      <c r="AE1426" s="90" t="n">
        <v>55000</v>
      </c>
      <c r="AF1426" s="90" t="n">
        <v>55000</v>
      </c>
      <c r="AG1426" s="90" t="n">
        <v>55000</v>
      </c>
      <c r="AH1426" s="90" t="n">
        <v>55000</v>
      </c>
      <c r="AI1426" s="90" t="n">
        <v>55000</v>
      </c>
      <c r="AJ1426" s="91" t="n">
        <v>55000</v>
      </c>
      <c r="AK1426" s="89" t="n">
        <v>55000</v>
      </c>
      <c r="AL1426" s="90" t="n">
        <v>55000</v>
      </c>
      <c r="AM1426" s="90"/>
      <c r="AN1426" s="90"/>
      <c r="AO1426" s="90"/>
      <c r="AP1426" s="90"/>
      <c r="AQ1426" s="90"/>
      <c r="AR1426" s="90"/>
      <c r="AS1426" s="90"/>
      <c r="AT1426" s="90"/>
      <c r="AU1426" s="90"/>
      <c r="AV1426" s="91"/>
      <c r="AX1426" s="92"/>
    </row>
    <row r="1427" customFormat="false" ht="15.65" hidden="false" customHeight="false" outlineLevel="0" collapsed="false">
      <c r="C1427" s="72" t="n">
        <f aca="false">COUNTIFS($D$6:D1427,"&lt;&gt;"&amp;"")</f>
        <v>1422</v>
      </c>
      <c r="D1427" s="73" t="s">
        <v>12</v>
      </c>
      <c r="E1427" s="76" t="str">
        <f aca="false">
IF($D1427="정상",INDEX(임대자산!$D$3:$R$3000,MATCH($F1427,임대자산!$I$3:$I$3000,0),MATCH(E$3,임대자산!$D$3:$R$3,0)),
IF($D1427="폐업",INDEX(폐업정보!$D$3:$R$3000,MATCH($F1427,폐업정보!$I$3:$I$3000,0),MATCH(E$3,폐업정보!$D$3:$R$3,0)),
"Error"))</f>
        <v>경상</v>
      </c>
      <c r="F142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B1422</v>
      </c>
      <c r="G1427" s="76" t="str">
        <f aca="false">F1427&amp;RANDBETWEEN(0,10)</f>
        <v>B14226</v>
      </c>
      <c r="H1427" s="75" t="n">
        <f aca="false">
IF($D1427="정상",INDEX(임대자산!$D$3:$R$3000,MATCH($F1427,임대자산!$I$3:$I$3000,0),MATCH(H$4,임대자산!$D$3:$R$3,0)),
IF($D1427="폐업",INDEX(폐업정보!$D$3:$R$3000,MATCH($F1427,폐업정보!$I$3:$I$3000,0),MATCH(H$4,폐업정보!$D$3:$R$3,0)),
"Error"))</f>
        <v>45397</v>
      </c>
      <c r="I1427" s="75" t="str">
        <f aca="false">
IF($D1427="정상",INDEX(임대자산!$D$3:$R$3000,MATCH($F1427,임대자산!$I$3:$I$3000,0),MATCH(I$4,임대자산!$D$3:$R$3,0)),
IF($D1427="폐업",INDEX(폐업정보!$D$3:$R$3000,MATCH($F1427,폐업정보!$I$3:$I$3000,0),MATCH(I$4,폐업정보!$D$3:$R$3,0)),
"Error"))</f>
        <v>A1422</v>
      </c>
      <c r="J1427" s="75" t="str">
        <f aca="false">
IF($D1427="정상",INDEX(임대자산!$D$3:$R$3000,MATCH($F1427,임대자산!$I$3:$I$3000,0),MATCH(J$4,임대자산!$D$3:$R$3,0)),
IF($D1427="폐업",INDEX(폐업정보!$D$3:$R$3000,MATCH($F1427,폐업정보!$I$3:$I$3000,0),MATCH(J$4,폐업정보!$D$3:$R$3,0)),
"Error"))</f>
        <v>6575800000</v>
      </c>
      <c r="K1427" s="75" t="str">
        <f aca="false">
IF($D1427="정상",INDEX(임대자산!$D$3:$R$3000,MATCH($F1427,임대자산!$I$3:$I$3000,0),MATCH(K$4,임대자산!$D$3:$R$3,0)),
IF($D1427="폐업",INDEX(폐업정보!$D$3:$R$3000,MATCH($F1427,폐업정보!$I$3:$I$3000,0),MATCH(K$4,폐업정보!$D$3:$R$3,0)),
"Error"))</f>
        <v>C1422</v>
      </c>
      <c r="L1427" s="75" t="str">
        <f aca="false">
IF($D1427="정상",INDEX(임대자산!$D$3:$R$3000,MATCH($F1427,임대자산!$I$3:$I$3000,0),MATCH(L$4,임대자산!$D$3:$R$3,0)),
IF($D1427="폐업",INDEX(폐업정보!$D$3:$R$3000,MATCH($F1427,폐업정보!$I$3:$I$3000,0),MATCH(L$4,폐업정보!$D$3:$R$3,0)),
"Error"))</f>
        <v>D1422</v>
      </c>
      <c r="M1427" s="76" t="s">
        <v>96</v>
      </c>
      <c r="N1427" s="77"/>
      <c r="O1427" s="78" t="s">
        <v>97</v>
      </c>
      <c r="P1427" s="79" t="n">
        <f aca="false">COUNTIFS(임대자산!$I:$I,가맹점정보!F1427,임대자산!$N:$N,가맹점정보!P$4)</f>
        <v>0</v>
      </c>
      <c r="Q1427" s="80" t="n">
        <f aca="false">COUNTIFS(임대자산!$I:$I,가맹점정보!F1427,임대자산!$N:$N,가맹점정보!Q$4)</f>
        <v>0</v>
      </c>
      <c r="R1427" s="81" t="n">
        <f aca="false">COUNTIFS(임대자산!$I:$I,가맹점정보!F1427,임대자산!$N:$N,가맹점정보!R$4)</f>
        <v>1</v>
      </c>
      <c r="S1427" s="82" t="n">
        <v>88000</v>
      </c>
      <c r="T1427" s="83" t="n">
        <v>0</v>
      </c>
      <c r="U1427" s="80" t="n">
        <f aca="false">SUM(S1427:T1427)</f>
        <v>88000</v>
      </c>
      <c r="V1427" s="84" t="s">
        <v>7</v>
      </c>
      <c r="W1427" s="80" t="str">
        <f aca="true">
IF(D1427="폐업","폐업",
IF(V1427="면제","면제",
IF(AND(V1427="정상",COUNTIFS(OFFSET(Y1427,0,COUNTA(Y1427:AV1427)-1,1,-4),"미납")&gt;=3),"장기미납",
IF(AND(V1427="정상",OFFSET(Y1427,0,COUNTA(Y1427:AV1427)-1)&gt;=U1427),"정상",
IF(AND(V1427="정상",OFFSET(Y1427,0,COUNTA(Y1427:AV1427)-1)=0),"정상",
"계약서 미작성")))))</f>
        <v>면제</v>
      </c>
      <c r="X1427" s="81" t="str">
        <f aca="true">
IF(D1427="폐업","폐업",
IF(AND(V1427="정상",OFFSET(Y1427,0,COUNTA(Y1427:AV1427)-1)="미납"),"미납",
IF(AND(V1427="정상",OFFSET(Y1427,0,COUNTA(Y1427:AV1427)-1)=0),"납부 시작 전",
IF(AND(V1427="정상",OFFSET(Y1427,0,COUNTA(Y1427:AV1427)-1)&gt;=U1427),"정상",
IF(AND(V1427="면제",OFFSET(Y1427,0,COUNTA(Y1427:AV1427)-1)="면제"),"면제",
IF(AND(V1427="면제",OFFSET(Y1427,0,COUNTA(Y1427:AV1427)-1)=0),"면제",
"확인요청"))))))</f>
        <v>면제</v>
      </c>
      <c r="Y1427" s="94" t="s">
        <v>7</v>
      </c>
      <c r="Z1427" s="95" t="s">
        <v>7</v>
      </c>
      <c r="AA1427" s="95" t="s">
        <v>7</v>
      </c>
      <c r="AB1427" s="95" t="s">
        <v>7</v>
      </c>
      <c r="AC1427" s="95" t="s">
        <v>7</v>
      </c>
      <c r="AD1427" s="95" t="s">
        <v>7</v>
      </c>
      <c r="AE1427" s="95" t="s">
        <v>7</v>
      </c>
      <c r="AF1427" s="95" t="s">
        <v>7</v>
      </c>
      <c r="AG1427" s="95" t="s">
        <v>7</v>
      </c>
      <c r="AH1427" s="95" t="s">
        <v>7</v>
      </c>
      <c r="AI1427" s="95" t="s">
        <v>7</v>
      </c>
      <c r="AJ1427" s="96" t="s">
        <v>7</v>
      </c>
      <c r="AK1427" s="97" t="s">
        <v>7</v>
      </c>
      <c r="AL1427" s="95" t="s">
        <v>7</v>
      </c>
      <c r="AM1427" s="90"/>
      <c r="AN1427" s="90"/>
      <c r="AO1427" s="90"/>
      <c r="AP1427" s="90"/>
      <c r="AQ1427" s="90"/>
      <c r="AR1427" s="90"/>
      <c r="AS1427" s="90"/>
      <c r="AT1427" s="90"/>
      <c r="AU1427" s="90"/>
      <c r="AV1427" s="91"/>
      <c r="AX1427" s="92"/>
    </row>
    <row r="1428" customFormat="false" ht="15.65" hidden="false" customHeight="false" outlineLevel="0" collapsed="false">
      <c r="C1428" s="72" t="n">
        <f aca="false">COUNTIFS($D$6:D1428,"&lt;&gt;"&amp;"")</f>
        <v>1423</v>
      </c>
      <c r="D1428" s="73" t="s">
        <v>12</v>
      </c>
      <c r="E1428" s="76" t="str">
        <f aca="false">
IF($D1428="정상",INDEX(임대자산!$D$3:$R$3000,MATCH($F1428,임대자산!$I$3:$I$3000,0),MATCH(E$3,임대자산!$D$3:$R$3,0)),
IF($D1428="폐업",INDEX(폐업정보!$D$3:$R$3000,MATCH($F1428,폐업정보!$I$3:$I$3000,0),MATCH(E$3,폐업정보!$D$3:$R$3,0)),
"Error"))</f>
        <v>경상</v>
      </c>
      <c r="F142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B1423</v>
      </c>
      <c r="G1428" s="76" t="str">
        <f aca="false">F1428&amp;RANDBETWEEN(0,10)</f>
        <v>B14235</v>
      </c>
      <c r="H1428" s="75" t="n">
        <f aca="false">
IF($D1428="정상",INDEX(임대자산!$D$3:$R$3000,MATCH($F1428,임대자산!$I$3:$I$3000,0),MATCH(H$4,임대자산!$D$3:$R$3,0)),
IF($D1428="폐업",INDEX(폐업정보!$D$3:$R$3000,MATCH($F1428,폐업정보!$I$3:$I$3000,0),MATCH(H$4,폐업정보!$D$3:$R$3,0)),
"Error"))</f>
        <v>45397</v>
      </c>
      <c r="I1428" s="75" t="str">
        <f aca="false">
IF($D1428="정상",INDEX(임대자산!$D$3:$R$3000,MATCH($F1428,임대자산!$I$3:$I$3000,0),MATCH(I$4,임대자산!$D$3:$R$3,0)),
IF($D1428="폐업",INDEX(폐업정보!$D$3:$R$3000,MATCH($F1428,폐업정보!$I$3:$I$3000,0),MATCH(I$4,폐업정보!$D$3:$R$3,0)),
"Error"))</f>
        <v>A1423</v>
      </c>
      <c r="J1428" s="75" t="str">
        <f aca="false">
IF($D1428="정상",INDEX(임대자산!$D$3:$R$3000,MATCH($F1428,임대자산!$I$3:$I$3000,0),MATCH(J$4,임대자산!$D$3:$R$3,0)),
IF($D1428="폐업",INDEX(폐업정보!$D$3:$R$3000,MATCH($F1428,폐업정보!$I$3:$I$3000,0),MATCH(J$4,폐업정보!$D$3:$R$3,0)),
"Error"))</f>
        <v>5359400000</v>
      </c>
      <c r="K1428" s="75" t="str">
        <f aca="false">
IF($D1428="정상",INDEX(임대자산!$D$3:$R$3000,MATCH($F1428,임대자산!$I$3:$I$3000,0),MATCH(K$4,임대자산!$D$3:$R$3,0)),
IF($D1428="폐업",INDEX(폐업정보!$D$3:$R$3000,MATCH($F1428,폐업정보!$I$3:$I$3000,0),MATCH(K$4,폐업정보!$D$3:$R$3,0)),
"Error"))</f>
        <v>C1423</v>
      </c>
      <c r="L1428" s="75" t="str">
        <f aca="false">
IF($D1428="정상",INDEX(임대자산!$D$3:$R$3000,MATCH($F1428,임대자산!$I$3:$I$3000,0),MATCH(L$4,임대자산!$D$3:$R$3,0)),
IF($D1428="폐업",INDEX(폐업정보!$D$3:$R$3000,MATCH($F1428,폐업정보!$I$3:$I$3000,0),MATCH(L$4,폐업정보!$D$3:$R$3,0)),
"Error"))</f>
        <v>D1423</v>
      </c>
      <c r="M1428" s="76" t="s">
        <v>96</v>
      </c>
      <c r="N1428" s="77"/>
      <c r="O1428" s="78" t="s">
        <v>97</v>
      </c>
      <c r="P1428" s="79" t="n">
        <f aca="false">COUNTIFS(임대자산!$I:$I,가맹점정보!F1428,임대자산!$N:$N,가맹점정보!P$4)</f>
        <v>0</v>
      </c>
      <c r="Q1428" s="80" t="n">
        <f aca="false">COUNTIFS(임대자산!$I:$I,가맹점정보!F1428,임대자산!$N:$N,가맹점정보!Q$4)</f>
        <v>0</v>
      </c>
      <c r="R1428" s="81" t="n">
        <f aca="false">COUNTIFS(임대자산!$I:$I,가맹점정보!F1428,임대자산!$N:$N,가맹점정보!R$4)</f>
        <v>1</v>
      </c>
      <c r="S1428" s="82" t="n">
        <v>55000</v>
      </c>
      <c r="T1428" s="83" t="n">
        <v>0</v>
      </c>
      <c r="U1428" s="80" t="n">
        <f aca="false">SUM(S1428:T1428)</f>
        <v>55000</v>
      </c>
      <c r="V1428" s="84" t="s">
        <v>7</v>
      </c>
      <c r="W1428" s="80" t="str">
        <f aca="true">
IF(D1428="폐업","폐업",
IF(V1428="면제","면제",
IF(AND(V1428="정상",COUNTIFS(OFFSET(Y1428,0,COUNTA(Y1428:AV1428)-1,1,-4),"미납")&gt;=3),"장기미납",
IF(AND(V1428="정상",OFFSET(Y1428,0,COUNTA(Y1428:AV1428)-1)&gt;=U1428),"정상",
IF(AND(V1428="정상",OFFSET(Y1428,0,COUNTA(Y1428:AV1428)-1)=0),"정상",
"계약서 미작성")))))</f>
        <v>면제</v>
      </c>
      <c r="X1428" s="81" t="str">
        <f aca="true">
IF(D1428="폐업","폐업",
IF(AND(V1428="정상",OFFSET(Y1428,0,COUNTA(Y1428:AV1428)-1)="미납"),"미납",
IF(AND(V1428="정상",OFFSET(Y1428,0,COUNTA(Y1428:AV1428)-1)=0),"납부 시작 전",
IF(AND(V1428="정상",OFFSET(Y1428,0,COUNTA(Y1428:AV1428)-1)&gt;=U1428),"정상",
IF(AND(V1428="면제",OFFSET(Y1428,0,COUNTA(Y1428:AV1428)-1)="면제"),"면제",
IF(AND(V1428="면제",OFFSET(Y1428,0,COUNTA(Y1428:AV1428)-1)=0),"면제",
"확인요청"))))))</f>
        <v>면제</v>
      </c>
      <c r="Y1428" s="94" t="s">
        <v>7</v>
      </c>
      <c r="Z1428" s="95" t="s">
        <v>7</v>
      </c>
      <c r="AA1428" s="95" t="s">
        <v>7</v>
      </c>
      <c r="AB1428" s="95" t="s">
        <v>7</v>
      </c>
      <c r="AC1428" s="95" t="s">
        <v>7</v>
      </c>
      <c r="AD1428" s="95" t="s">
        <v>7</v>
      </c>
      <c r="AE1428" s="95" t="s">
        <v>7</v>
      </c>
      <c r="AF1428" s="95" t="s">
        <v>7</v>
      </c>
      <c r="AG1428" s="95" t="s">
        <v>7</v>
      </c>
      <c r="AH1428" s="95" t="s">
        <v>7</v>
      </c>
      <c r="AI1428" s="95" t="s">
        <v>7</v>
      </c>
      <c r="AJ1428" s="96" t="s">
        <v>7</v>
      </c>
      <c r="AK1428" s="97" t="s">
        <v>7</v>
      </c>
      <c r="AL1428" s="95" t="s">
        <v>7</v>
      </c>
      <c r="AM1428" s="90"/>
      <c r="AN1428" s="90"/>
      <c r="AO1428" s="90"/>
      <c r="AP1428" s="90"/>
      <c r="AQ1428" s="90"/>
      <c r="AR1428" s="90"/>
      <c r="AS1428" s="90"/>
      <c r="AT1428" s="90"/>
      <c r="AU1428" s="90"/>
      <c r="AV1428" s="91"/>
      <c r="AX1428" s="92"/>
    </row>
    <row r="1429" customFormat="false" ht="15.65" hidden="false" customHeight="false" outlineLevel="0" collapsed="false">
      <c r="C1429" s="72" t="n">
        <f aca="false">COUNTIFS($D$6:D1429,"&lt;&gt;"&amp;"")</f>
        <v>1424</v>
      </c>
      <c r="D1429" s="73" t="s">
        <v>12</v>
      </c>
      <c r="E1429" s="76" t="str">
        <f aca="false">
IF($D1429="정상",INDEX(임대자산!$D$3:$R$3000,MATCH($F1429,임대자산!$I$3:$I$3000,0),MATCH(E$3,임대자산!$D$3:$R$3,0)),
IF($D1429="폐업",INDEX(폐업정보!$D$3:$R$3000,MATCH($F1429,폐업정보!$I$3:$I$3000,0),MATCH(E$3,폐업정보!$D$3:$R$3,0)),
"Error"))</f>
        <v>경상</v>
      </c>
      <c r="F142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B1424</v>
      </c>
      <c r="G1429" s="76" t="str">
        <f aca="false">F1429&amp;RANDBETWEEN(0,10)</f>
        <v>B14240</v>
      </c>
      <c r="H1429" s="75" t="n">
        <f aca="false">
IF($D1429="정상",INDEX(임대자산!$D$3:$R$3000,MATCH($F1429,임대자산!$I$3:$I$3000,0),MATCH(H$4,임대자산!$D$3:$R$3,0)),
IF($D1429="폐업",INDEX(폐업정보!$D$3:$R$3000,MATCH($F1429,폐업정보!$I$3:$I$3000,0),MATCH(H$4,폐업정보!$D$3:$R$3,0)),
"Error"))</f>
        <v>45397</v>
      </c>
      <c r="I1429" s="75" t="str">
        <f aca="false">
IF($D1429="정상",INDEX(임대자산!$D$3:$R$3000,MATCH($F1429,임대자산!$I$3:$I$3000,0),MATCH(I$4,임대자산!$D$3:$R$3,0)),
IF($D1429="폐업",INDEX(폐업정보!$D$3:$R$3000,MATCH($F1429,폐업정보!$I$3:$I$3000,0),MATCH(I$4,폐업정보!$D$3:$R$3,0)),
"Error"))</f>
        <v>A1424</v>
      </c>
      <c r="J1429" s="75" t="str">
        <f aca="false">
IF($D1429="정상",INDEX(임대자산!$D$3:$R$3000,MATCH($F1429,임대자산!$I$3:$I$3000,0),MATCH(J$4,임대자산!$D$3:$R$3,0)),
IF($D1429="폐업",INDEX(폐업정보!$D$3:$R$3000,MATCH($F1429,폐업정보!$I$3:$I$3000,0),MATCH(J$4,폐업정보!$D$3:$R$3,0)),
"Error"))</f>
        <v>2327200000</v>
      </c>
      <c r="K1429" s="75" t="str">
        <f aca="false">
IF($D1429="정상",INDEX(임대자산!$D$3:$R$3000,MATCH($F1429,임대자산!$I$3:$I$3000,0),MATCH(K$4,임대자산!$D$3:$R$3,0)),
IF($D1429="폐업",INDEX(폐업정보!$D$3:$R$3000,MATCH($F1429,폐업정보!$I$3:$I$3000,0),MATCH(K$4,폐업정보!$D$3:$R$3,0)),
"Error"))</f>
        <v>C1424</v>
      </c>
      <c r="L1429" s="75" t="str">
        <f aca="false">
IF($D1429="정상",INDEX(임대자산!$D$3:$R$3000,MATCH($F1429,임대자산!$I$3:$I$3000,0),MATCH(L$4,임대자산!$D$3:$R$3,0)),
IF($D1429="폐업",INDEX(폐업정보!$D$3:$R$3000,MATCH($F1429,폐업정보!$I$3:$I$3000,0),MATCH(L$4,폐업정보!$D$3:$R$3,0)),
"Error"))</f>
        <v>D1424</v>
      </c>
      <c r="M1429" s="76" t="s">
        <v>96</v>
      </c>
      <c r="N1429" s="77"/>
      <c r="O1429" s="78" t="s">
        <v>97</v>
      </c>
      <c r="P1429" s="79" t="n">
        <f aca="false">COUNTIFS(임대자산!$I:$I,가맹점정보!F1429,임대자산!$N:$N,가맹점정보!P$4)</f>
        <v>0</v>
      </c>
      <c r="Q1429" s="80" t="n">
        <f aca="false">COUNTIFS(임대자산!$I:$I,가맹점정보!F1429,임대자산!$N:$N,가맹점정보!Q$4)</f>
        <v>0</v>
      </c>
      <c r="R1429" s="81" t="n">
        <f aca="false">COUNTIFS(임대자산!$I:$I,가맹점정보!F1429,임대자산!$N:$N,가맹점정보!R$4)</f>
        <v>1</v>
      </c>
      <c r="S1429" s="82" t="n">
        <v>88000</v>
      </c>
      <c r="T1429" s="83" t="n">
        <v>0</v>
      </c>
      <c r="U1429" s="80" t="n">
        <f aca="false">SUM(S1429:T1429)</f>
        <v>88000</v>
      </c>
      <c r="V1429" s="84" t="s">
        <v>7</v>
      </c>
      <c r="W1429" s="80" t="str">
        <f aca="true">
IF(D1429="폐업","폐업",
IF(V1429="면제","면제",
IF(AND(V1429="정상",COUNTIFS(OFFSET(Y1429,0,COUNTA(Y1429:AV1429)-1,1,-4),"미납")&gt;=3),"장기미납",
IF(AND(V1429="정상",OFFSET(Y1429,0,COUNTA(Y1429:AV1429)-1)&gt;=U1429),"정상",
IF(AND(V1429="정상",OFFSET(Y1429,0,COUNTA(Y1429:AV1429)-1)=0),"정상",
"계약서 미작성")))))</f>
        <v>면제</v>
      </c>
      <c r="X1429" s="81" t="str">
        <f aca="true">
IF(D1429="폐업","폐업",
IF(AND(V1429="정상",OFFSET(Y1429,0,COUNTA(Y1429:AV1429)-1)="미납"),"미납",
IF(AND(V1429="정상",OFFSET(Y1429,0,COUNTA(Y1429:AV1429)-1)=0),"납부 시작 전",
IF(AND(V1429="정상",OFFSET(Y1429,0,COUNTA(Y1429:AV1429)-1)&gt;=U1429),"정상",
IF(AND(V1429="면제",OFFSET(Y1429,0,COUNTA(Y1429:AV1429)-1)="면제"),"면제",
IF(AND(V1429="면제",OFFSET(Y1429,0,COUNTA(Y1429:AV1429)-1)=0),"면제",
"확인요청"))))))</f>
        <v>면제</v>
      </c>
      <c r="Y1429" s="94" t="s">
        <v>7</v>
      </c>
      <c r="Z1429" s="95" t="s">
        <v>7</v>
      </c>
      <c r="AA1429" s="95" t="s">
        <v>7</v>
      </c>
      <c r="AB1429" s="95" t="s">
        <v>7</v>
      </c>
      <c r="AC1429" s="95" t="s">
        <v>7</v>
      </c>
      <c r="AD1429" s="95" t="s">
        <v>7</v>
      </c>
      <c r="AE1429" s="95" t="s">
        <v>7</v>
      </c>
      <c r="AF1429" s="95" t="s">
        <v>7</v>
      </c>
      <c r="AG1429" s="95" t="s">
        <v>7</v>
      </c>
      <c r="AH1429" s="95" t="s">
        <v>7</v>
      </c>
      <c r="AI1429" s="95" t="s">
        <v>7</v>
      </c>
      <c r="AJ1429" s="96" t="s">
        <v>7</v>
      </c>
      <c r="AK1429" s="97" t="s">
        <v>7</v>
      </c>
      <c r="AL1429" s="95" t="s">
        <v>7</v>
      </c>
      <c r="AM1429" s="90"/>
      <c r="AN1429" s="90"/>
      <c r="AO1429" s="90"/>
      <c r="AP1429" s="90"/>
      <c r="AQ1429" s="90"/>
      <c r="AR1429" s="90"/>
      <c r="AS1429" s="90"/>
      <c r="AT1429" s="90"/>
      <c r="AU1429" s="90"/>
      <c r="AV1429" s="91"/>
      <c r="AX1429" s="92"/>
    </row>
    <row r="1430" customFormat="false" ht="15.65" hidden="false" customHeight="false" outlineLevel="0" collapsed="false">
      <c r="C1430" s="72" t="n">
        <f aca="false">COUNTIFS($D$6:D1430,"&lt;&gt;"&amp;"")</f>
        <v>1425</v>
      </c>
      <c r="D1430" s="73" t="s">
        <v>12</v>
      </c>
      <c r="E1430" s="76" t="str">
        <f aca="false">
IF($D1430="정상",INDEX(임대자산!$D$3:$R$3000,MATCH($F1430,임대자산!$I$3:$I$3000,0),MATCH(E$3,임대자산!$D$3:$R$3,0)),
IF($D1430="폐업",INDEX(폐업정보!$D$3:$R$3000,MATCH($F1430,폐업정보!$I$3:$I$3000,0),MATCH(E$3,폐업정보!$D$3:$R$3,0)),
"Error"))</f>
        <v>경상</v>
      </c>
      <c r="F143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B1425</v>
      </c>
      <c r="G1430" s="76" t="str">
        <f aca="false">F1430&amp;RANDBETWEEN(0,10)</f>
        <v>B14250</v>
      </c>
      <c r="H1430" s="75" t="n">
        <f aca="false">
IF($D1430="정상",INDEX(임대자산!$D$3:$R$3000,MATCH($F1430,임대자산!$I$3:$I$3000,0),MATCH(H$4,임대자산!$D$3:$R$3,0)),
IF($D1430="폐업",INDEX(폐업정보!$D$3:$R$3000,MATCH($F1430,폐업정보!$I$3:$I$3000,0),MATCH(H$4,폐업정보!$D$3:$R$3,0)),
"Error"))</f>
        <v>45397</v>
      </c>
      <c r="I1430" s="75" t="str">
        <f aca="false">
IF($D1430="정상",INDEX(임대자산!$D$3:$R$3000,MATCH($F1430,임대자산!$I$3:$I$3000,0),MATCH(I$4,임대자산!$D$3:$R$3,0)),
IF($D1430="폐업",INDEX(폐업정보!$D$3:$R$3000,MATCH($F1430,폐업정보!$I$3:$I$3000,0),MATCH(I$4,폐업정보!$D$3:$R$3,0)),
"Error"))</f>
        <v>A1425</v>
      </c>
      <c r="J1430" s="75" t="str">
        <f aca="false">
IF($D1430="정상",INDEX(임대자산!$D$3:$R$3000,MATCH($F1430,임대자산!$I$3:$I$3000,0),MATCH(J$4,임대자산!$D$3:$R$3,0)),
IF($D1430="폐업",INDEX(폐업정보!$D$3:$R$3000,MATCH($F1430,폐업정보!$I$3:$I$3000,0),MATCH(J$4,폐업정보!$D$3:$R$3,0)),
"Error"))</f>
        <v>6004600000</v>
      </c>
      <c r="K1430" s="75" t="str">
        <f aca="false">
IF($D1430="정상",INDEX(임대자산!$D$3:$R$3000,MATCH($F1430,임대자산!$I$3:$I$3000,0),MATCH(K$4,임대자산!$D$3:$R$3,0)),
IF($D1430="폐업",INDEX(폐업정보!$D$3:$R$3000,MATCH($F1430,폐업정보!$I$3:$I$3000,0),MATCH(K$4,폐업정보!$D$3:$R$3,0)),
"Error"))</f>
        <v>C1425</v>
      </c>
      <c r="L1430" s="75" t="str">
        <f aca="false">
IF($D1430="정상",INDEX(임대자산!$D$3:$R$3000,MATCH($F1430,임대자산!$I$3:$I$3000,0),MATCH(L$4,임대자산!$D$3:$R$3,0)),
IF($D1430="폐업",INDEX(폐업정보!$D$3:$R$3000,MATCH($F1430,폐업정보!$I$3:$I$3000,0),MATCH(L$4,폐업정보!$D$3:$R$3,0)),
"Error"))</f>
        <v>D1425</v>
      </c>
      <c r="M1430" s="76" t="s">
        <v>96</v>
      </c>
      <c r="N1430" s="77"/>
      <c r="O1430" s="78" t="s">
        <v>97</v>
      </c>
      <c r="P1430" s="79" t="n">
        <f aca="false">COUNTIFS(임대자산!$I:$I,가맹점정보!F1430,임대자산!$N:$N,가맹점정보!P$4)</f>
        <v>0</v>
      </c>
      <c r="Q1430" s="80" t="n">
        <f aca="false">COUNTIFS(임대자산!$I:$I,가맹점정보!F1430,임대자산!$N:$N,가맹점정보!Q$4)</f>
        <v>0</v>
      </c>
      <c r="R1430" s="81" t="n">
        <f aca="false">COUNTIFS(임대자산!$I:$I,가맹점정보!F1430,임대자산!$N:$N,가맹점정보!R$4)</f>
        <v>1</v>
      </c>
      <c r="S1430" s="82" t="n">
        <v>55000</v>
      </c>
      <c r="T1430" s="83" t="n">
        <v>0</v>
      </c>
      <c r="U1430" s="80" t="n">
        <f aca="false">SUM(S1430:T1430)</f>
        <v>55000</v>
      </c>
      <c r="V1430" s="84" t="s">
        <v>7</v>
      </c>
      <c r="W1430" s="80" t="str">
        <f aca="true">
IF(D1430="폐업","폐업",
IF(V1430="면제","면제",
IF(AND(V1430="정상",COUNTIFS(OFFSET(Y1430,0,COUNTA(Y1430:AV1430)-1,1,-4),"미납")&gt;=3),"장기미납",
IF(AND(V1430="정상",OFFSET(Y1430,0,COUNTA(Y1430:AV1430)-1)&gt;=U1430),"정상",
IF(AND(V1430="정상",OFFSET(Y1430,0,COUNTA(Y1430:AV1430)-1)=0),"정상",
"계약서 미작성")))))</f>
        <v>면제</v>
      </c>
      <c r="X1430" s="81" t="str">
        <f aca="true">
IF(D1430="폐업","폐업",
IF(AND(V1430="정상",OFFSET(Y1430,0,COUNTA(Y1430:AV1430)-1)="미납"),"미납",
IF(AND(V1430="정상",OFFSET(Y1430,0,COUNTA(Y1430:AV1430)-1)=0),"납부 시작 전",
IF(AND(V1430="정상",OFFSET(Y1430,0,COUNTA(Y1430:AV1430)-1)&gt;=U1430),"정상",
IF(AND(V1430="면제",OFFSET(Y1430,0,COUNTA(Y1430:AV1430)-1)="면제"),"면제",
IF(AND(V1430="면제",OFFSET(Y1430,0,COUNTA(Y1430:AV1430)-1)=0),"면제",
"확인요청"))))))</f>
        <v>면제</v>
      </c>
      <c r="Y1430" s="94" t="s">
        <v>7</v>
      </c>
      <c r="Z1430" s="95" t="s">
        <v>7</v>
      </c>
      <c r="AA1430" s="95" t="s">
        <v>7</v>
      </c>
      <c r="AB1430" s="95" t="s">
        <v>7</v>
      </c>
      <c r="AC1430" s="95" t="s">
        <v>7</v>
      </c>
      <c r="AD1430" s="95" t="s">
        <v>7</v>
      </c>
      <c r="AE1430" s="95" t="s">
        <v>7</v>
      </c>
      <c r="AF1430" s="95" t="s">
        <v>7</v>
      </c>
      <c r="AG1430" s="95" t="s">
        <v>7</v>
      </c>
      <c r="AH1430" s="95" t="s">
        <v>7</v>
      </c>
      <c r="AI1430" s="95" t="s">
        <v>7</v>
      </c>
      <c r="AJ1430" s="96" t="s">
        <v>7</v>
      </c>
      <c r="AK1430" s="97" t="s">
        <v>7</v>
      </c>
      <c r="AL1430" s="95" t="s">
        <v>7</v>
      </c>
      <c r="AM1430" s="90"/>
      <c r="AN1430" s="90"/>
      <c r="AO1430" s="90"/>
      <c r="AP1430" s="90"/>
      <c r="AQ1430" s="90"/>
      <c r="AR1430" s="90"/>
      <c r="AS1430" s="90"/>
      <c r="AT1430" s="90"/>
      <c r="AU1430" s="90"/>
      <c r="AV1430" s="91"/>
      <c r="AX1430" s="92"/>
    </row>
    <row r="1431" customFormat="false" ht="15.65" hidden="false" customHeight="false" outlineLevel="0" collapsed="false">
      <c r="C1431" s="72" t="n">
        <f aca="false">COUNTIFS($D$6:D1431,"&lt;&gt;"&amp;"")</f>
        <v>1426</v>
      </c>
      <c r="D1431" s="73" t="s">
        <v>12</v>
      </c>
      <c r="E1431" s="76" t="str">
        <f aca="false">
IF($D1431="정상",INDEX(임대자산!$D$3:$R$3000,MATCH($F1431,임대자산!$I$3:$I$3000,0),MATCH(E$3,임대자산!$D$3:$R$3,0)),
IF($D1431="폐업",INDEX(폐업정보!$D$3:$R$3000,MATCH($F1431,폐업정보!$I$3:$I$3000,0),MATCH(E$3,폐업정보!$D$3:$R$3,0)),
"Error"))</f>
        <v>경상</v>
      </c>
      <c r="F143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B1426</v>
      </c>
      <c r="G1431" s="76" t="str">
        <f aca="false">F1431&amp;RANDBETWEEN(0,10)</f>
        <v>B14263</v>
      </c>
      <c r="H1431" s="75" t="n">
        <f aca="false">
IF($D1431="정상",INDEX(임대자산!$D$3:$R$3000,MATCH($F1431,임대자산!$I$3:$I$3000,0),MATCH(H$4,임대자산!$D$3:$R$3,0)),
IF($D1431="폐업",INDEX(폐업정보!$D$3:$R$3000,MATCH($F1431,폐업정보!$I$3:$I$3000,0),MATCH(H$4,폐업정보!$D$3:$R$3,0)),
"Error"))</f>
        <v>45526</v>
      </c>
      <c r="I1431" s="75" t="str">
        <f aca="false">
IF($D1431="정상",INDEX(임대자산!$D$3:$R$3000,MATCH($F1431,임대자산!$I$3:$I$3000,0),MATCH(I$4,임대자산!$D$3:$R$3,0)),
IF($D1431="폐업",INDEX(폐업정보!$D$3:$R$3000,MATCH($F1431,폐업정보!$I$3:$I$3000,0),MATCH(I$4,폐업정보!$D$3:$R$3,0)),
"Error"))</f>
        <v>A1426</v>
      </c>
      <c r="J1431" s="75" t="str">
        <f aca="false">
IF($D1431="정상",INDEX(임대자산!$D$3:$R$3000,MATCH($F1431,임대자산!$I$3:$I$3000,0),MATCH(J$4,임대자산!$D$3:$R$3,0)),
IF($D1431="폐업",INDEX(폐업정보!$D$3:$R$3000,MATCH($F1431,폐업정보!$I$3:$I$3000,0),MATCH(J$4,폐업정보!$D$3:$R$3,0)),
"Error"))</f>
        <v>2770900000</v>
      </c>
      <c r="K1431" s="75" t="str">
        <f aca="false">
IF($D1431="정상",INDEX(임대자산!$D$3:$R$3000,MATCH($F1431,임대자산!$I$3:$I$3000,0),MATCH(K$4,임대자산!$D$3:$R$3,0)),
IF($D1431="폐업",INDEX(폐업정보!$D$3:$R$3000,MATCH($F1431,폐업정보!$I$3:$I$3000,0),MATCH(K$4,폐업정보!$D$3:$R$3,0)),
"Error"))</f>
        <v>C1426</v>
      </c>
      <c r="L1431" s="75" t="str">
        <f aca="false">
IF($D1431="정상",INDEX(임대자산!$D$3:$R$3000,MATCH($F1431,임대자산!$I$3:$I$3000,0),MATCH(L$4,임대자산!$D$3:$R$3,0)),
IF($D1431="폐업",INDEX(폐업정보!$D$3:$R$3000,MATCH($F1431,폐업정보!$I$3:$I$3000,0),MATCH(L$4,폐업정보!$D$3:$R$3,0)),
"Error"))</f>
        <v>D1426</v>
      </c>
      <c r="M1431" s="76" t="s">
        <v>96</v>
      </c>
      <c r="N1431" s="77"/>
      <c r="O1431" s="78" t="s">
        <v>97</v>
      </c>
      <c r="P1431" s="79" t="n">
        <f aca="false">COUNTIFS(임대자산!$I:$I,가맹점정보!F1431,임대자산!$N:$N,가맹점정보!P$4)</f>
        <v>0</v>
      </c>
      <c r="Q1431" s="80" t="n">
        <f aca="false">COUNTIFS(임대자산!$I:$I,가맹점정보!F1431,임대자산!$N:$N,가맹점정보!Q$4)</f>
        <v>0</v>
      </c>
      <c r="R1431" s="81" t="n">
        <f aca="false">COUNTIFS(임대자산!$I:$I,가맹점정보!F1431,임대자산!$N:$N,가맹점정보!R$4)</f>
        <v>1</v>
      </c>
      <c r="S1431" s="82" t="n">
        <v>55000</v>
      </c>
      <c r="T1431" s="83" t="n">
        <v>0</v>
      </c>
      <c r="U1431" s="80" t="n">
        <f aca="false">SUM(S1431:T1431)</f>
        <v>55000</v>
      </c>
      <c r="V1431" s="84" t="s">
        <v>7</v>
      </c>
      <c r="W1431" s="80" t="str">
        <f aca="true">
IF(D1431="폐업","폐업",
IF(V1431="면제","면제",
IF(AND(V1431="정상",COUNTIFS(OFFSET(Y1431,0,COUNTA(Y1431:AV1431)-1,1,-4),"미납")&gt;=3),"장기미납",
IF(AND(V1431="정상",OFFSET(Y1431,0,COUNTA(Y1431:AV1431)-1)&gt;=U1431),"정상",
IF(AND(V1431="정상",OFFSET(Y1431,0,COUNTA(Y1431:AV1431)-1)=0),"정상",
"계약서 미작성")))))</f>
        <v>면제</v>
      </c>
      <c r="X1431" s="81" t="str">
        <f aca="true">
IF(D1431="폐업","폐업",
IF(AND(V1431="정상",OFFSET(Y1431,0,COUNTA(Y1431:AV1431)-1)="미납"),"미납",
IF(AND(V1431="정상",OFFSET(Y1431,0,COUNTA(Y1431:AV1431)-1)=0),"납부 시작 전",
IF(AND(V1431="정상",OFFSET(Y1431,0,COUNTA(Y1431:AV1431)-1)&gt;=U1431),"정상",
IF(AND(V1431="면제",OFFSET(Y1431,0,COUNTA(Y1431:AV1431)-1)="면제"),"면제",
IF(AND(V1431="면제",OFFSET(Y1431,0,COUNTA(Y1431:AV1431)-1)=0),"면제",
"확인요청"))))))</f>
        <v>면제</v>
      </c>
      <c r="Y1431" s="94" t="s">
        <v>7</v>
      </c>
      <c r="Z1431" s="95" t="s">
        <v>7</v>
      </c>
      <c r="AA1431" s="95" t="s">
        <v>7</v>
      </c>
      <c r="AB1431" s="95" t="s">
        <v>7</v>
      </c>
      <c r="AC1431" s="95" t="s">
        <v>7</v>
      </c>
      <c r="AD1431" s="95" t="s">
        <v>7</v>
      </c>
      <c r="AE1431" s="95" t="s">
        <v>7</v>
      </c>
      <c r="AF1431" s="95" t="s">
        <v>7</v>
      </c>
      <c r="AG1431" s="95" t="s">
        <v>7</v>
      </c>
      <c r="AH1431" s="95" t="s">
        <v>7</v>
      </c>
      <c r="AI1431" s="95" t="s">
        <v>7</v>
      </c>
      <c r="AJ1431" s="96" t="s">
        <v>7</v>
      </c>
      <c r="AK1431" s="97" t="s">
        <v>7</v>
      </c>
      <c r="AL1431" s="95" t="s">
        <v>7</v>
      </c>
      <c r="AM1431" s="90"/>
      <c r="AN1431" s="90"/>
      <c r="AO1431" s="90"/>
      <c r="AP1431" s="90"/>
      <c r="AQ1431" s="90"/>
      <c r="AR1431" s="90"/>
      <c r="AS1431" s="90"/>
      <c r="AT1431" s="90"/>
      <c r="AU1431" s="90"/>
      <c r="AV1431" s="91"/>
      <c r="AX1431" s="92"/>
    </row>
    <row r="1432" customFormat="false" ht="15.65" hidden="false" customHeight="false" outlineLevel="0" collapsed="false">
      <c r="C1432" s="72" t="n">
        <f aca="false">COUNTIFS($D$6:D1432,"&lt;&gt;"&amp;"")</f>
        <v>1427</v>
      </c>
      <c r="D1432" s="73" t="s">
        <v>12</v>
      </c>
      <c r="E1432" s="76" t="str">
        <f aca="false">
IF($D1432="정상",INDEX(임대자산!$D$3:$R$3000,MATCH($F1432,임대자산!$I$3:$I$3000,0),MATCH(E$3,임대자산!$D$3:$R$3,0)),
IF($D1432="폐업",INDEX(폐업정보!$D$3:$R$3000,MATCH($F1432,폐업정보!$I$3:$I$3000,0),MATCH(E$3,폐업정보!$D$3:$R$3,0)),
"Error"))</f>
        <v>경상</v>
      </c>
      <c r="F143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B1427</v>
      </c>
      <c r="G1432" s="76" t="str">
        <f aca="false">F1432&amp;RANDBETWEEN(0,10)</f>
        <v>B14279</v>
      </c>
      <c r="H1432" s="75" t="n">
        <f aca="false">
IF($D1432="정상",INDEX(임대자산!$D$3:$R$3000,MATCH($F1432,임대자산!$I$3:$I$3000,0),MATCH(H$4,임대자산!$D$3:$R$3,0)),
IF($D1432="폐업",INDEX(폐업정보!$D$3:$R$3000,MATCH($F1432,폐업정보!$I$3:$I$3000,0),MATCH(H$4,폐업정보!$D$3:$R$3,0)),
"Error"))</f>
        <v>45531</v>
      </c>
      <c r="I1432" s="75" t="str">
        <f aca="false">
IF($D1432="정상",INDEX(임대자산!$D$3:$R$3000,MATCH($F1432,임대자산!$I$3:$I$3000,0),MATCH(I$4,임대자산!$D$3:$R$3,0)),
IF($D1432="폐업",INDEX(폐업정보!$D$3:$R$3000,MATCH($F1432,폐업정보!$I$3:$I$3000,0),MATCH(I$4,폐업정보!$D$3:$R$3,0)),
"Error"))</f>
        <v>A1427</v>
      </c>
      <c r="J1432" s="75" t="str">
        <f aca="false">
IF($D1432="정상",INDEX(임대자산!$D$3:$R$3000,MATCH($F1432,임대자산!$I$3:$I$3000,0),MATCH(J$4,임대자산!$D$3:$R$3,0)),
IF($D1432="폐업",INDEX(폐업정보!$D$3:$R$3000,MATCH($F1432,폐업정보!$I$3:$I$3000,0),MATCH(J$4,폐업정보!$D$3:$R$3,0)),
"Error"))</f>
        <v>3825100000</v>
      </c>
      <c r="K1432" s="75" t="str">
        <f aca="false">
IF($D1432="정상",INDEX(임대자산!$D$3:$R$3000,MATCH($F1432,임대자산!$I$3:$I$3000,0),MATCH(K$4,임대자산!$D$3:$R$3,0)),
IF($D1432="폐업",INDEX(폐업정보!$D$3:$R$3000,MATCH($F1432,폐업정보!$I$3:$I$3000,0),MATCH(K$4,폐업정보!$D$3:$R$3,0)),
"Error"))</f>
        <v>C1427</v>
      </c>
      <c r="L1432" s="75" t="str">
        <f aca="false">
IF($D1432="정상",INDEX(임대자산!$D$3:$R$3000,MATCH($F1432,임대자산!$I$3:$I$3000,0),MATCH(L$4,임대자산!$D$3:$R$3,0)),
IF($D1432="폐업",INDEX(폐업정보!$D$3:$R$3000,MATCH($F1432,폐업정보!$I$3:$I$3000,0),MATCH(L$4,폐업정보!$D$3:$R$3,0)),
"Error"))</f>
        <v>D1427</v>
      </c>
      <c r="M1432" s="76" t="s">
        <v>96</v>
      </c>
      <c r="N1432" s="77"/>
      <c r="O1432" s="78" t="s">
        <v>97</v>
      </c>
      <c r="P1432" s="79" t="n">
        <f aca="false">COUNTIFS(임대자산!$I:$I,가맹점정보!F1432,임대자산!$N:$N,가맹점정보!P$4)</f>
        <v>0</v>
      </c>
      <c r="Q1432" s="80" t="n">
        <f aca="false">COUNTIFS(임대자산!$I:$I,가맹점정보!F1432,임대자산!$N:$N,가맹점정보!Q$4)</f>
        <v>0</v>
      </c>
      <c r="R1432" s="81" t="n">
        <f aca="false">COUNTIFS(임대자산!$I:$I,가맹점정보!F1432,임대자산!$N:$N,가맹점정보!R$4)</f>
        <v>1</v>
      </c>
      <c r="S1432" s="82" t="n">
        <v>88000</v>
      </c>
      <c r="T1432" s="83" t="n">
        <v>0</v>
      </c>
      <c r="U1432" s="80" t="n">
        <f aca="false">SUM(S1432:T1432)</f>
        <v>88000</v>
      </c>
      <c r="V1432" s="84" t="s">
        <v>7</v>
      </c>
      <c r="W1432" s="80" t="str">
        <f aca="true">
IF(D1432="폐업","폐업",
IF(V1432="면제","면제",
IF(AND(V1432="정상",COUNTIFS(OFFSET(Y1432,0,COUNTA(Y1432:AV1432)-1,1,-4),"미납")&gt;=3),"장기미납",
IF(AND(V1432="정상",OFFSET(Y1432,0,COUNTA(Y1432:AV1432)-1)&gt;=U1432),"정상",
IF(AND(V1432="정상",OFFSET(Y1432,0,COUNTA(Y1432:AV1432)-1)=0),"정상",
"계약서 미작성")))))</f>
        <v>면제</v>
      </c>
      <c r="X1432" s="81" t="str">
        <f aca="true">
IF(D1432="폐업","폐업",
IF(AND(V1432="정상",OFFSET(Y1432,0,COUNTA(Y1432:AV1432)-1)="미납"),"미납",
IF(AND(V1432="정상",OFFSET(Y1432,0,COUNTA(Y1432:AV1432)-1)=0),"납부 시작 전",
IF(AND(V1432="정상",OFFSET(Y1432,0,COUNTA(Y1432:AV1432)-1)&gt;=U1432),"정상",
IF(AND(V1432="면제",OFFSET(Y1432,0,COUNTA(Y1432:AV1432)-1)="면제"),"면제",
IF(AND(V1432="면제",OFFSET(Y1432,0,COUNTA(Y1432:AV1432)-1)=0),"면제",
"확인요청"))))))</f>
        <v>면제</v>
      </c>
      <c r="Y1432" s="94" t="s">
        <v>7</v>
      </c>
      <c r="Z1432" s="95" t="s">
        <v>7</v>
      </c>
      <c r="AA1432" s="95" t="s">
        <v>7</v>
      </c>
      <c r="AB1432" s="95" t="s">
        <v>7</v>
      </c>
      <c r="AC1432" s="95" t="s">
        <v>7</v>
      </c>
      <c r="AD1432" s="95" t="s">
        <v>7</v>
      </c>
      <c r="AE1432" s="95" t="s">
        <v>7</v>
      </c>
      <c r="AF1432" s="95" t="s">
        <v>7</v>
      </c>
      <c r="AG1432" s="95" t="s">
        <v>7</v>
      </c>
      <c r="AH1432" s="95" t="s">
        <v>7</v>
      </c>
      <c r="AI1432" s="95" t="s">
        <v>7</v>
      </c>
      <c r="AJ1432" s="96" t="s">
        <v>7</v>
      </c>
      <c r="AK1432" s="97" t="s">
        <v>7</v>
      </c>
      <c r="AL1432" s="95" t="s">
        <v>7</v>
      </c>
      <c r="AM1432" s="90"/>
      <c r="AN1432" s="90"/>
      <c r="AO1432" s="90"/>
      <c r="AP1432" s="90"/>
      <c r="AQ1432" s="90"/>
      <c r="AR1432" s="90"/>
      <c r="AS1432" s="90"/>
      <c r="AT1432" s="90"/>
      <c r="AU1432" s="90"/>
      <c r="AV1432" s="91"/>
      <c r="AX1432" s="92"/>
    </row>
    <row r="1433" customFormat="false" ht="15.65" hidden="false" customHeight="false" outlineLevel="0" collapsed="false">
      <c r="C1433" s="72" t="n">
        <f aca="false">COUNTIFS($D$6:D1433,"&lt;&gt;"&amp;"")</f>
        <v>1428</v>
      </c>
      <c r="D1433" s="73" t="s">
        <v>12</v>
      </c>
      <c r="E1433" s="76" t="str">
        <f aca="false">
IF($D1433="정상",INDEX(임대자산!$D$3:$R$3000,MATCH($F1433,임대자산!$I$3:$I$3000,0),MATCH(E$3,임대자산!$D$3:$R$3,0)),
IF($D1433="폐업",INDEX(폐업정보!$D$3:$R$3000,MATCH($F1433,폐업정보!$I$3:$I$3000,0),MATCH(E$3,폐업정보!$D$3:$R$3,0)),
"Error"))</f>
        <v>전라</v>
      </c>
      <c r="F143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B1428</v>
      </c>
      <c r="G1433" s="76" t="str">
        <f aca="false">F1433&amp;RANDBETWEEN(0,10)</f>
        <v>B14284</v>
      </c>
      <c r="H1433" s="75" t="n">
        <f aca="false">
IF($D1433="정상",INDEX(임대자산!$D$3:$R$3000,MATCH($F1433,임대자산!$I$3:$I$3000,0),MATCH(H$4,임대자산!$D$3:$R$3,0)),
IF($D1433="폐업",INDEX(폐업정보!$D$3:$R$3000,MATCH($F1433,폐업정보!$I$3:$I$3000,0),MATCH(H$4,폐업정보!$D$3:$R$3,0)),
"Error"))</f>
        <v>45393</v>
      </c>
      <c r="I1433" s="75" t="str">
        <f aca="false">
IF($D1433="정상",INDEX(임대자산!$D$3:$R$3000,MATCH($F1433,임대자산!$I$3:$I$3000,0),MATCH(I$4,임대자산!$D$3:$R$3,0)),
IF($D1433="폐업",INDEX(폐업정보!$D$3:$R$3000,MATCH($F1433,폐업정보!$I$3:$I$3000,0),MATCH(I$4,폐업정보!$D$3:$R$3,0)),
"Error"))</f>
        <v>A1428</v>
      </c>
      <c r="J1433" s="75" t="str">
        <f aca="false">
IF($D1433="정상",INDEX(임대자산!$D$3:$R$3000,MATCH($F1433,임대자산!$I$3:$I$3000,0),MATCH(J$4,임대자산!$D$3:$R$3,0)),
IF($D1433="폐업",INDEX(폐업정보!$D$3:$R$3000,MATCH($F1433,폐업정보!$I$3:$I$3000,0),MATCH(J$4,폐업정보!$D$3:$R$3,0)),
"Error"))</f>
        <v>5511900000</v>
      </c>
      <c r="K1433" s="75" t="str">
        <f aca="false">
IF($D1433="정상",INDEX(임대자산!$D$3:$R$3000,MATCH($F1433,임대자산!$I$3:$I$3000,0),MATCH(K$4,임대자산!$D$3:$R$3,0)),
IF($D1433="폐업",INDEX(폐업정보!$D$3:$R$3000,MATCH($F1433,폐업정보!$I$3:$I$3000,0),MATCH(K$4,폐업정보!$D$3:$R$3,0)),
"Error"))</f>
        <v>C1428</v>
      </c>
      <c r="L1433" s="75" t="str">
        <f aca="false">
IF($D1433="정상",INDEX(임대자산!$D$3:$R$3000,MATCH($F1433,임대자산!$I$3:$I$3000,0),MATCH(L$4,임대자산!$D$3:$R$3,0)),
IF($D1433="폐업",INDEX(폐업정보!$D$3:$R$3000,MATCH($F1433,폐업정보!$I$3:$I$3000,0),MATCH(L$4,폐업정보!$D$3:$R$3,0)),
"Error"))</f>
        <v>D1428</v>
      </c>
      <c r="M1433" s="76" t="s">
        <v>96</v>
      </c>
      <c r="N1433" s="77"/>
      <c r="O1433" s="78" t="s">
        <v>97</v>
      </c>
      <c r="P1433" s="79" t="n">
        <f aca="false">COUNTIFS(임대자산!$I:$I,가맹점정보!F1433,임대자산!$N:$N,가맹점정보!P$4)</f>
        <v>0</v>
      </c>
      <c r="Q1433" s="80" t="n">
        <f aca="false">COUNTIFS(임대자산!$I:$I,가맹점정보!F1433,임대자산!$N:$N,가맹점정보!Q$4)</f>
        <v>0</v>
      </c>
      <c r="R1433" s="81" t="n">
        <f aca="false">COUNTIFS(임대자산!$I:$I,가맹점정보!F1433,임대자산!$N:$N,가맹점정보!R$4)</f>
        <v>1</v>
      </c>
      <c r="S1433" s="82" t="n">
        <v>55000</v>
      </c>
      <c r="T1433" s="83" t="n">
        <v>0</v>
      </c>
      <c r="U1433" s="80" t="n">
        <f aca="false">SUM(S1433:T1433)</f>
        <v>55000</v>
      </c>
      <c r="V1433" s="84" t="s">
        <v>7</v>
      </c>
      <c r="W1433" s="80" t="str">
        <f aca="true">
IF(D1433="폐업","폐업",
IF(V1433="면제","면제",
IF(AND(V1433="정상",COUNTIFS(OFFSET(Y1433,0,COUNTA(Y1433:AV1433)-1,1,-4),"미납")&gt;=3),"장기미납",
IF(AND(V1433="정상",OFFSET(Y1433,0,COUNTA(Y1433:AV1433)-1)&gt;=U1433),"정상",
IF(AND(V1433="정상",OFFSET(Y1433,0,COUNTA(Y1433:AV1433)-1)=0),"정상",
"계약서 미작성")))))</f>
        <v>면제</v>
      </c>
      <c r="X1433" s="81" t="str">
        <f aca="true">
IF(D1433="폐업","폐업",
IF(AND(V1433="정상",OFFSET(Y1433,0,COUNTA(Y1433:AV1433)-1)="미납"),"미납",
IF(AND(V1433="정상",OFFSET(Y1433,0,COUNTA(Y1433:AV1433)-1)=0),"납부 시작 전",
IF(AND(V1433="정상",OFFSET(Y1433,0,COUNTA(Y1433:AV1433)-1)&gt;=U1433),"정상",
IF(AND(V1433="면제",OFFSET(Y1433,0,COUNTA(Y1433:AV1433)-1)="면제"),"면제",
IF(AND(V1433="면제",OFFSET(Y1433,0,COUNTA(Y1433:AV1433)-1)=0),"면제",
"확인요청"))))))</f>
        <v>면제</v>
      </c>
      <c r="Y1433" s="94" t="s">
        <v>7</v>
      </c>
      <c r="Z1433" s="95" t="s">
        <v>7</v>
      </c>
      <c r="AA1433" s="95" t="s">
        <v>7</v>
      </c>
      <c r="AB1433" s="95" t="s">
        <v>7</v>
      </c>
      <c r="AC1433" s="95" t="s">
        <v>7</v>
      </c>
      <c r="AD1433" s="95" t="s">
        <v>7</v>
      </c>
      <c r="AE1433" s="95" t="s">
        <v>7</v>
      </c>
      <c r="AF1433" s="95" t="s">
        <v>7</v>
      </c>
      <c r="AG1433" s="95" t="s">
        <v>7</v>
      </c>
      <c r="AH1433" s="95" t="s">
        <v>7</v>
      </c>
      <c r="AI1433" s="95" t="s">
        <v>7</v>
      </c>
      <c r="AJ1433" s="96" t="s">
        <v>7</v>
      </c>
      <c r="AK1433" s="97" t="s">
        <v>7</v>
      </c>
      <c r="AL1433" s="95" t="s">
        <v>7</v>
      </c>
      <c r="AM1433" s="90"/>
      <c r="AN1433" s="90"/>
      <c r="AO1433" s="90"/>
      <c r="AP1433" s="90"/>
      <c r="AQ1433" s="90"/>
      <c r="AR1433" s="90"/>
      <c r="AS1433" s="90"/>
      <c r="AT1433" s="90"/>
      <c r="AU1433" s="90"/>
      <c r="AV1433" s="91"/>
      <c r="AX1433" s="92"/>
    </row>
    <row r="1434" customFormat="false" ht="15.65" hidden="false" customHeight="false" outlineLevel="0" collapsed="false">
      <c r="C1434" s="72" t="n">
        <f aca="false">COUNTIFS($D$6:D1434,"&lt;&gt;"&amp;"")</f>
        <v>1429</v>
      </c>
      <c r="D1434" s="73" t="s">
        <v>12</v>
      </c>
      <c r="E1434" s="76" t="str">
        <f aca="false">
IF($D1434="정상",INDEX(임대자산!$D$3:$R$3000,MATCH($F1434,임대자산!$I$3:$I$3000,0),MATCH(E$3,임대자산!$D$3:$R$3,0)),
IF($D1434="폐업",INDEX(폐업정보!$D$3:$R$3000,MATCH($F1434,폐업정보!$I$3:$I$3000,0),MATCH(E$3,폐업정보!$D$3:$R$3,0)),
"Error"))</f>
        <v>서울</v>
      </c>
      <c r="F143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B1429</v>
      </c>
      <c r="G1434" s="76" t="str">
        <f aca="false">F1434&amp;RANDBETWEEN(0,10)</f>
        <v>B142910</v>
      </c>
      <c r="H1434" s="75" t="n">
        <f aca="false">
IF($D1434="정상",INDEX(임대자산!$D$3:$R$3000,MATCH($F1434,임대자산!$I$3:$I$3000,0),MATCH(H$4,임대자산!$D$3:$R$3,0)),
IF($D1434="폐업",INDEX(폐업정보!$D$3:$R$3000,MATCH($F1434,폐업정보!$I$3:$I$3000,0),MATCH(H$4,폐업정보!$D$3:$R$3,0)),
"Error"))</f>
        <v>45399</v>
      </c>
      <c r="I1434" s="75" t="str">
        <f aca="false">
IF($D1434="정상",INDEX(임대자산!$D$3:$R$3000,MATCH($F1434,임대자산!$I$3:$I$3000,0),MATCH(I$4,임대자산!$D$3:$R$3,0)),
IF($D1434="폐업",INDEX(폐업정보!$D$3:$R$3000,MATCH($F1434,폐업정보!$I$3:$I$3000,0),MATCH(I$4,폐업정보!$D$3:$R$3,0)),
"Error"))</f>
        <v>A1429</v>
      </c>
      <c r="J1434" s="75" t="str">
        <f aca="false">
IF($D1434="정상",INDEX(임대자산!$D$3:$R$3000,MATCH($F1434,임대자산!$I$3:$I$3000,0),MATCH(J$4,임대자산!$D$3:$R$3,0)),
IF($D1434="폐업",INDEX(폐업정보!$D$3:$R$3000,MATCH($F1434,폐업정보!$I$3:$I$3000,0),MATCH(J$4,폐업정보!$D$3:$R$3,0)),
"Error"))</f>
        <v>3506800000</v>
      </c>
      <c r="K1434" s="75" t="str">
        <f aca="false">
IF($D1434="정상",INDEX(임대자산!$D$3:$R$3000,MATCH($F1434,임대자산!$I$3:$I$3000,0),MATCH(K$4,임대자산!$D$3:$R$3,0)),
IF($D1434="폐업",INDEX(폐업정보!$D$3:$R$3000,MATCH($F1434,폐업정보!$I$3:$I$3000,0),MATCH(K$4,폐업정보!$D$3:$R$3,0)),
"Error"))</f>
        <v>C1429</v>
      </c>
      <c r="L1434" s="75" t="str">
        <f aca="false">
IF($D1434="정상",INDEX(임대자산!$D$3:$R$3000,MATCH($F1434,임대자산!$I$3:$I$3000,0),MATCH(L$4,임대자산!$D$3:$R$3,0)),
IF($D1434="폐업",INDEX(폐업정보!$D$3:$R$3000,MATCH($F1434,폐업정보!$I$3:$I$3000,0),MATCH(L$4,폐업정보!$D$3:$R$3,0)),
"Error"))</f>
        <v>D1429</v>
      </c>
      <c r="M1434" s="76" t="s">
        <v>96</v>
      </c>
      <c r="N1434" s="77"/>
      <c r="O1434" s="78" t="s">
        <v>97</v>
      </c>
      <c r="P1434" s="79" t="n">
        <f aca="false">COUNTIFS(임대자산!$I:$I,가맹점정보!F1434,임대자산!$N:$N,가맹점정보!P$4)</f>
        <v>0</v>
      </c>
      <c r="Q1434" s="80" t="n">
        <f aca="false">COUNTIFS(임대자산!$I:$I,가맹점정보!F1434,임대자산!$N:$N,가맹점정보!Q$4)</f>
        <v>0</v>
      </c>
      <c r="R1434" s="81" t="n">
        <f aca="false">COUNTIFS(임대자산!$I:$I,가맹점정보!F1434,임대자산!$N:$N,가맹점정보!R$4)</f>
        <v>1</v>
      </c>
      <c r="S1434" s="82" t="n">
        <v>55000</v>
      </c>
      <c r="T1434" s="83" t="n">
        <v>0</v>
      </c>
      <c r="U1434" s="80" t="n">
        <f aca="false">SUM(S1434:T1434)</f>
        <v>55000</v>
      </c>
      <c r="V1434" s="84" t="s">
        <v>7</v>
      </c>
      <c r="W1434" s="80" t="str">
        <f aca="true">
IF(D1434="폐업","폐업",
IF(V1434="면제","면제",
IF(AND(V1434="정상",COUNTIFS(OFFSET(Y1434,0,COUNTA(Y1434:AV1434)-1,1,-4),"미납")&gt;=3),"장기미납",
IF(AND(V1434="정상",OFFSET(Y1434,0,COUNTA(Y1434:AV1434)-1)&gt;=U1434),"정상",
IF(AND(V1434="정상",OFFSET(Y1434,0,COUNTA(Y1434:AV1434)-1)=0),"정상",
"계약서 미작성")))))</f>
        <v>면제</v>
      </c>
      <c r="X1434" s="81" t="str">
        <f aca="true">
IF(D1434="폐업","폐업",
IF(AND(V1434="정상",OFFSET(Y1434,0,COUNTA(Y1434:AV1434)-1)="미납"),"미납",
IF(AND(V1434="정상",OFFSET(Y1434,0,COUNTA(Y1434:AV1434)-1)=0),"납부 시작 전",
IF(AND(V1434="정상",OFFSET(Y1434,0,COUNTA(Y1434:AV1434)-1)&gt;=U1434),"정상",
IF(AND(V1434="면제",OFFSET(Y1434,0,COUNTA(Y1434:AV1434)-1)="면제"),"면제",
IF(AND(V1434="면제",OFFSET(Y1434,0,COUNTA(Y1434:AV1434)-1)=0),"면제",
"확인요청"))))))</f>
        <v>면제</v>
      </c>
      <c r="Y1434" s="94" t="s">
        <v>7</v>
      </c>
      <c r="Z1434" s="95" t="s">
        <v>7</v>
      </c>
      <c r="AA1434" s="95" t="s">
        <v>7</v>
      </c>
      <c r="AB1434" s="95" t="s">
        <v>7</v>
      </c>
      <c r="AC1434" s="95" t="s">
        <v>7</v>
      </c>
      <c r="AD1434" s="95" t="s">
        <v>7</v>
      </c>
      <c r="AE1434" s="95" t="s">
        <v>7</v>
      </c>
      <c r="AF1434" s="95" t="s">
        <v>7</v>
      </c>
      <c r="AG1434" s="95" t="s">
        <v>7</v>
      </c>
      <c r="AH1434" s="95" t="s">
        <v>7</v>
      </c>
      <c r="AI1434" s="95" t="s">
        <v>7</v>
      </c>
      <c r="AJ1434" s="96" t="s">
        <v>7</v>
      </c>
      <c r="AK1434" s="97" t="s">
        <v>7</v>
      </c>
      <c r="AL1434" s="95" t="s">
        <v>7</v>
      </c>
      <c r="AM1434" s="90"/>
      <c r="AN1434" s="90"/>
      <c r="AO1434" s="90"/>
      <c r="AP1434" s="90"/>
      <c r="AQ1434" s="90"/>
      <c r="AR1434" s="90"/>
      <c r="AS1434" s="90"/>
      <c r="AT1434" s="90"/>
      <c r="AU1434" s="90"/>
      <c r="AV1434" s="91"/>
      <c r="AX1434" s="92"/>
    </row>
    <row r="1435" customFormat="false" ht="15.65" hidden="false" customHeight="false" outlineLevel="0" collapsed="false">
      <c r="C1435" s="72" t="n">
        <f aca="false">COUNTIFS($D$6:D1435,"&lt;&gt;"&amp;"")</f>
        <v>1430</v>
      </c>
      <c r="D1435" s="73" t="s">
        <v>12</v>
      </c>
      <c r="E1435" s="76" t="str">
        <f aca="false">
IF($D1435="정상",INDEX(임대자산!$D$3:$R$3000,MATCH($F1435,임대자산!$I$3:$I$3000,0),MATCH(E$3,임대자산!$D$3:$R$3,0)),
IF($D1435="폐업",INDEX(폐업정보!$D$3:$R$3000,MATCH($F1435,폐업정보!$I$3:$I$3000,0),MATCH(E$3,폐업정보!$D$3:$R$3,0)),
"Error"))</f>
        <v>서울</v>
      </c>
      <c r="F143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B1430</v>
      </c>
      <c r="G1435" s="76" t="str">
        <f aca="false">F1435&amp;RANDBETWEEN(0,10)</f>
        <v>B143010</v>
      </c>
      <c r="H1435" s="75" t="n">
        <f aca="false">
IF($D1435="정상",INDEX(임대자산!$D$3:$R$3000,MATCH($F1435,임대자산!$I$3:$I$3000,0),MATCH(H$4,임대자산!$D$3:$R$3,0)),
IF($D1435="폐업",INDEX(폐업정보!$D$3:$R$3000,MATCH($F1435,폐업정보!$I$3:$I$3000,0),MATCH(H$4,폐업정보!$D$3:$R$3,0)),
"Error"))</f>
        <v>45398</v>
      </c>
      <c r="I1435" s="75" t="str">
        <f aca="false">
IF($D1435="정상",INDEX(임대자산!$D$3:$R$3000,MATCH($F1435,임대자산!$I$3:$I$3000,0),MATCH(I$4,임대자산!$D$3:$R$3,0)),
IF($D1435="폐업",INDEX(폐업정보!$D$3:$R$3000,MATCH($F1435,폐업정보!$I$3:$I$3000,0),MATCH(I$4,폐업정보!$D$3:$R$3,0)),
"Error"))</f>
        <v>A1430</v>
      </c>
      <c r="J1435" s="75" t="str">
        <f aca="false">
IF($D1435="정상",INDEX(임대자산!$D$3:$R$3000,MATCH($F1435,임대자산!$I$3:$I$3000,0),MATCH(J$4,임대자산!$D$3:$R$3,0)),
IF($D1435="폐업",INDEX(폐업정보!$D$3:$R$3000,MATCH($F1435,폐업정보!$I$3:$I$3000,0),MATCH(J$4,폐업정보!$D$3:$R$3,0)),
"Error"))</f>
        <v>6163900000</v>
      </c>
      <c r="K1435" s="75" t="str">
        <f aca="false">
IF($D1435="정상",INDEX(임대자산!$D$3:$R$3000,MATCH($F1435,임대자산!$I$3:$I$3000,0),MATCH(K$4,임대자산!$D$3:$R$3,0)),
IF($D1435="폐업",INDEX(폐업정보!$D$3:$R$3000,MATCH($F1435,폐업정보!$I$3:$I$3000,0),MATCH(K$4,폐업정보!$D$3:$R$3,0)),
"Error"))</f>
        <v>C1430</v>
      </c>
      <c r="L1435" s="75" t="str">
        <f aca="false">
IF($D1435="정상",INDEX(임대자산!$D$3:$R$3000,MATCH($F1435,임대자산!$I$3:$I$3000,0),MATCH(L$4,임대자산!$D$3:$R$3,0)),
IF($D1435="폐업",INDEX(폐업정보!$D$3:$R$3000,MATCH($F1435,폐업정보!$I$3:$I$3000,0),MATCH(L$4,폐업정보!$D$3:$R$3,0)),
"Error"))</f>
        <v>D1430</v>
      </c>
      <c r="M1435" s="76" t="s">
        <v>96</v>
      </c>
      <c r="N1435" s="77"/>
      <c r="O1435" s="78" t="s">
        <v>97</v>
      </c>
      <c r="P1435" s="79" t="n">
        <f aca="false">COUNTIFS(임대자산!$I:$I,가맹점정보!F1435,임대자산!$N:$N,가맹점정보!P$4)</f>
        <v>0</v>
      </c>
      <c r="Q1435" s="80" t="n">
        <f aca="false">COUNTIFS(임대자산!$I:$I,가맹점정보!F1435,임대자산!$N:$N,가맹점정보!Q$4)</f>
        <v>0</v>
      </c>
      <c r="R1435" s="81" t="n">
        <f aca="false">COUNTIFS(임대자산!$I:$I,가맹점정보!F1435,임대자산!$N:$N,가맹점정보!R$4)</f>
        <v>1</v>
      </c>
      <c r="S1435" s="82" t="n">
        <v>55000</v>
      </c>
      <c r="T1435" s="83" t="n">
        <v>0</v>
      </c>
      <c r="U1435" s="80" t="n">
        <f aca="false">SUM(S1435:T1435)</f>
        <v>55000</v>
      </c>
      <c r="V1435" s="84" t="s">
        <v>7</v>
      </c>
      <c r="W1435" s="80" t="str">
        <f aca="true">
IF(D1435="폐업","폐업",
IF(V1435="면제","면제",
IF(AND(V1435="정상",COUNTIFS(OFFSET(Y1435,0,COUNTA(Y1435:AV1435)-1,1,-4),"미납")&gt;=3),"장기미납",
IF(AND(V1435="정상",OFFSET(Y1435,0,COUNTA(Y1435:AV1435)-1)&gt;=U1435),"정상",
IF(AND(V1435="정상",OFFSET(Y1435,0,COUNTA(Y1435:AV1435)-1)=0),"정상",
"계약서 미작성")))))</f>
        <v>면제</v>
      </c>
      <c r="X1435" s="81" t="str">
        <f aca="true">
IF(D1435="폐업","폐업",
IF(AND(V1435="정상",OFFSET(Y1435,0,COUNTA(Y1435:AV1435)-1)="미납"),"미납",
IF(AND(V1435="정상",OFFSET(Y1435,0,COUNTA(Y1435:AV1435)-1)=0),"납부 시작 전",
IF(AND(V1435="정상",OFFSET(Y1435,0,COUNTA(Y1435:AV1435)-1)&gt;=U1435),"정상",
IF(AND(V1435="면제",OFFSET(Y1435,0,COUNTA(Y1435:AV1435)-1)="면제"),"면제",
IF(AND(V1435="면제",OFFSET(Y1435,0,COUNTA(Y1435:AV1435)-1)=0),"면제",
"확인요청"))))))</f>
        <v>면제</v>
      </c>
      <c r="Y1435" s="94" t="s">
        <v>7</v>
      </c>
      <c r="Z1435" s="95" t="s">
        <v>7</v>
      </c>
      <c r="AA1435" s="95" t="s">
        <v>7</v>
      </c>
      <c r="AB1435" s="95" t="s">
        <v>7</v>
      </c>
      <c r="AC1435" s="95" t="s">
        <v>7</v>
      </c>
      <c r="AD1435" s="95" t="s">
        <v>7</v>
      </c>
      <c r="AE1435" s="95" t="s">
        <v>7</v>
      </c>
      <c r="AF1435" s="95" t="s">
        <v>7</v>
      </c>
      <c r="AG1435" s="95" t="s">
        <v>7</v>
      </c>
      <c r="AH1435" s="95" t="s">
        <v>7</v>
      </c>
      <c r="AI1435" s="95" t="s">
        <v>7</v>
      </c>
      <c r="AJ1435" s="96" t="s">
        <v>7</v>
      </c>
      <c r="AK1435" s="97" t="s">
        <v>7</v>
      </c>
      <c r="AL1435" s="95" t="s">
        <v>7</v>
      </c>
      <c r="AM1435" s="90"/>
      <c r="AN1435" s="90"/>
      <c r="AO1435" s="90"/>
      <c r="AP1435" s="90"/>
      <c r="AQ1435" s="90"/>
      <c r="AR1435" s="90"/>
      <c r="AS1435" s="90"/>
      <c r="AT1435" s="90"/>
      <c r="AU1435" s="90"/>
      <c r="AV1435" s="91"/>
      <c r="AX1435" s="92"/>
    </row>
    <row r="1436" customFormat="false" ht="15.65" hidden="false" customHeight="false" outlineLevel="0" collapsed="false">
      <c r="C1436" s="72" t="n">
        <f aca="false">COUNTIFS($D$6:D1436,"&lt;&gt;"&amp;"")</f>
        <v>1431</v>
      </c>
      <c r="D1436" s="73" t="s">
        <v>12</v>
      </c>
      <c r="E1436" s="76" t="str">
        <f aca="false">
IF($D1436="정상",INDEX(임대자산!$D$3:$R$3000,MATCH($F1436,임대자산!$I$3:$I$3000,0),MATCH(E$3,임대자산!$D$3:$R$3,0)),
IF($D1436="폐업",INDEX(폐업정보!$D$3:$R$3000,MATCH($F1436,폐업정보!$I$3:$I$3000,0),MATCH(E$3,폐업정보!$D$3:$R$3,0)),
"Error"))</f>
        <v>경상</v>
      </c>
      <c r="F143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B1431</v>
      </c>
      <c r="G1436" s="76" t="str">
        <f aca="false">F1436&amp;RANDBETWEEN(0,10)</f>
        <v>B14311</v>
      </c>
      <c r="H1436" s="75" t="n">
        <f aca="false">
IF($D1436="정상",INDEX(임대자산!$D$3:$R$3000,MATCH($F1436,임대자산!$I$3:$I$3000,0),MATCH(H$4,임대자산!$D$3:$R$3,0)),
IF($D1436="폐업",INDEX(폐업정보!$D$3:$R$3000,MATCH($F1436,폐업정보!$I$3:$I$3000,0),MATCH(H$4,폐업정보!$D$3:$R$3,0)),
"Error"))</f>
        <v>45404</v>
      </c>
      <c r="I1436" s="75" t="str">
        <f aca="false">
IF($D1436="정상",INDEX(임대자산!$D$3:$R$3000,MATCH($F1436,임대자산!$I$3:$I$3000,0),MATCH(I$4,임대자산!$D$3:$R$3,0)),
IF($D1436="폐업",INDEX(폐업정보!$D$3:$R$3000,MATCH($F1436,폐업정보!$I$3:$I$3000,0),MATCH(I$4,폐업정보!$D$3:$R$3,0)),
"Error"))</f>
        <v>A1431</v>
      </c>
      <c r="J1436" s="75" t="str">
        <f aca="false">
IF($D1436="정상",INDEX(임대자산!$D$3:$R$3000,MATCH($F1436,임대자산!$I$3:$I$3000,0),MATCH(J$4,임대자산!$D$3:$R$3,0)),
IF($D1436="폐업",INDEX(폐업정보!$D$3:$R$3000,MATCH($F1436,폐업정보!$I$3:$I$3000,0),MATCH(J$4,폐업정보!$D$3:$R$3,0)),
"Error"))</f>
        <v>9908700000</v>
      </c>
      <c r="K1436" s="75" t="str">
        <f aca="false">
IF($D1436="정상",INDEX(임대자산!$D$3:$R$3000,MATCH($F1436,임대자산!$I$3:$I$3000,0),MATCH(K$4,임대자산!$D$3:$R$3,0)),
IF($D1436="폐업",INDEX(폐업정보!$D$3:$R$3000,MATCH($F1436,폐업정보!$I$3:$I$3000,0),MATCH(K$4,폐업정보!$D$3:$R$3,0)),
"Error"))</f>
        <v>C1431</v>
      </c>
      <c r="L1436" s="75" t="str">
        <f aca="false">
IF($D1436="정상",INDEX(임대자산!$D$3:$R$3000,MATCH($F1436,임대자산!$I$3:$I$3000,0),MATCH(L$4,임대자산!$D$3:$R$3,0)),
IF($D1436="폐업",INDEX(폐업정보!$D$3:$R$3000,MATCH($F1436,폐업정보!$I$3:$I$3000,0),MATCH(L$4,폐업정보!$D$3:$R$3,0)),
"Error"))</f>
        <v>D1431</v>
      </c>
      <c r="M1436" s="76" t="s">
        <v>96</v>
      </c>
      <c r="N1436" s="77"/>
      <c r="O1436" s="78" t="s">
        <v>97</v>
      </c>
      <c r="P1436" s="79" t="n">
        <f aca="false">COUNTIFS(임대자산!$I:$I,가맹점정보!F1436,임대자산!$N:$N,가맹점정보!P$4)</f>
        <v>0</v>
      </c>
      <c r="Q1436" s="80" t="n">
        <f aca="false">COUNTIFS(임대자산!$I:$I,가맹점정보!F1436,임대자산!$N:$N,가맹점정보!Q$4)</f>
        <v>0</v>
      </c>
      <c r="R1436" s="81" t="n">
        <f aca="false">COUNTIFS(임대자산!$I:$I,가맹점정보!F1436,임대자산!$N:$N,가맹점정보!R$4)</f>
        <v>1</v>
      </c>
      <c r="S1436" s="82" t="n">
        <v>55000</v>
      </c>
      <c r="T1436" s="83" t="n">
        <v>0</v>
      </c>
      <c r="U1436" s="80" t="n">
        <f aca="false">SUM(S1436:T1436)</f>
        <v>55000</v>
      </c>
      <c r="V1436" s="84" t="s">
        <v>12</v>
      </c>
      <c r="W1436" s="80" t="e">
        <f aca="true">
IF(D1436="폐업","폐업",
IF(V1436="면제","면제",
IF(AND(V1436="정상",COUNTIFS(OFFSET(Y1436,0,COUNTA(Y1436:AV1436)-1,1,-4),"미납")&gt;=3),"장기미납",
IF(AND(V1436="정상",OFFSET(Y1436,0,COUNTA(Y1436:AV1436)-1)&gt;=U1436),"정상",
IF(AND(V1436="정상",OFFSET(Y1436,0,COUNTA(Y1436:AV1436)-1)=0),"정상",
"계약서 미작성")))))</f>
        <v>#VALUE!</v>
      </c>
      <c r="X1436" s="81" t="str">
        <f aca="true">
IF(D1436="폐업","폐업",
IF(AND(V1436="정상",OFFSET(Y1436,0,COUNTA(Y1436:AV1436)-1)="미납"),"미납",
IF(AND(V1436="정상",OFFSET(Y1436,0,COUNTA(Y1436:AV1436)-1)=0),"납부 시작 전",
IF(AND(V1436="정상",OFFSET(Y1436,0,COUNTA(Y1436:AV1436)-1)&gt;=U1436),"정상",
IF(AND(V1436="면제",OFFSET(Y1436,0,COUNTA(Y1436:AV1436)-1)="면제"),"면제",
IF(AND(V1436="면제",OFFSET(Y1436,0,COUNTA(Y1436:AV1436)-1)=0),"면제",
"확인요청"))))))</f>
        <v>정상</v>
      </c>
      <c r="Y1436" s="93" t="n">
        <v>55000</v>
      </c>
      <c r="Z1436" s="90" t="n">
        <v>55000</v>
      </c>
      <c r="AA1436" s="90" t="n">
        <v>55000</v>
      </c>
      <c r="AB1436" s="90" t="n">
        <v>55000</v>
      </c>
      <c r="AC1436" s="90" t="n">
        <v>55000</v>
      </c>
      <c r="AD1436" s="90" t="n">
        <v>55000</v>
      </c>
      <c r="AE1436" s="90" t="n">
        <v>55000</v>
      </c>
      <c r="AF1436" s="90" t="n">
        <v>55000</v>
      </c>
      <c r="AG1436" s="90" t="n">
        <v>55000</v>
      </c>
      <c r="AH1436" s="90" t="n">
        <v>55000</v>
      </c>
      <c r="AI1436" s="90" t="n">
        <v>55000</v>
      </c>
      <c r="AJ1436" s="91" t="n">
        <v>55000</v>
      </c>
      <c r="AK1436" s="89" t="n">
        <v>55000</v>
      </c>
      <c r="AL1436" s="90" t="n">
        <v>55000</v>
      </c>
      <c r="AM1436" s="90"/>
      <c r="AN1436" s="90"/>
      <c r="AO1436" s="90"/>
      <c r="AP1436" s="90"/>
      <c r="AQ1436" s="90"/>
      <c r="AR1436" s="90"/>
      <c r="AS1436" s="90"/>
      <c r="AT1436" s="90"/>
      <c r="AU1436" s="90"/>
      <c r="AV1436" s="91"/>
      <c r="AX1436" s="92"/>
    </row>
    <row r="1437" customFormat="false" ht="15.65" hidden="false" customHeight="false" outlineLevel="0" collapsed="false">
      <c r="C1437" s="72" t="n">
        <f aca="false">COUNTIFS($D$6:D1437,"&lt;&gt;"&amp;"")</f>
        <v>1432</v>
      </c>
      <c r="D1437" s="73" t="s">
        <v>12</v>
      </c>
      <c r="E1437" s="76" t="str">
        <f aca="false">
IF($D1437="정상",INDEX(임대자산!$D$3:$R$3000,MATCH($F1437,임대자산!$I$3:$I$3000,0),MATCH(E$3,임대자산!$D$3:$R$3,0)),
IF($D1437="폐업",INDEX(폐업정보!$D$3:$R$3000,MATCH($F1437,폐업정보!$I$3:$I$3000,0),MATCH(E$3,폐업정보!$D$3:$R$3,0)),
"Error"))</f>
        <v>경상</v>
      </c>
      <c r="F143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B1432</v>
      </c>
      <c r="G1437" s="76" t="str">
        <f aca="false">F1437&amp;RANDBETWEEN(0,10)</f>
        <v>B14321</v>
      </c>
      <c r="H1437" s="75" t="n">
        <f aca="false">
IF($D1437="정상",INDEX(임대자산!$D$3:$R$3000,MATCH($F1437,임대자산!$I$3:$I$3000,0),MATCH(H$4,임대자산!$D$3:$R$3,0)),
IF($D1437="폐업",INDEX(폐업정보!$D$3:$R$3000,MATCH($F1437,폐업정보!$I$3:$I$3000,0),MATCH(H$4,폐업정보!$D$3:$R$3,0)),
"Error"))</f>
        <v>45404</v>
      </c>
      <c r="I1437" s="75" t="str">
        <f aca="false">
IF($D1437="정상",INDEX(임대자산!$D$3:$R$3000,MATCH($F1437,임대자산!$I$3:$I$3000,0),MATCH(I$4,임대자산!$D$3:$R$3,0)),
IF($D1437="폐업",INDEX(폐업정보!$D$3:$R$3000,MATCH($F1437,폐업정보!$I$3:$I$3000,0),MATCH(I$4,폐업정보!$D$3:$R$3,0)),
"Error"))</f>
        <v>A1432</v>
      </c>
      <c r="J1437" s="75" t="str">
        <f aca="false">
IF($D1437="정상",INDEX(임대자산!$D$3:$R$3000,MATCH($F1437,임대자산!$I$3:$I$3000,0),MATCH(J$4,임대자산!$D$3:$R$3,0)),
IF($D1437="폐업",INDEX(폐업정보!$D$3:$R$3000,MATCH($F1437,폐업정보!$I$3:$I$3000,0),MATCH(J$4,폐업정보!$D$3:$R$3,0)),
"Error"))</f>
        <v>6432100000</v>
      </c>
      <c r="K1437" s="75" t="str">
        <f aca="false">
IF($D1437="정상",INDEX(임대자산!$D$3:$R$3000,MATCH($F1437,임대자산!$I$3:$I$3000,0),MATCH(K$4,임대자산!$D$3:$R$3,0)),
IF($D1437="폐업",INDEX(폐업정보!$D$3:$R$3000,MATCH($F1437,폐업정보!$I$3:$I$3000,0),MATCH(K$4,폐업정보!$D$3:$R$3,0)),
"Error"))</f>
        <v>C1432</v>
      </c>
      <c r="L1437" s="75" t="str">
        <f aca="false">
IF($D1437="정상",INDEX(임대자산!$D$3:$R$3000,MATCH($F1437,임대자산!$I$3:$I$3000,0),MATCH(L$4,임대자산!$D$3:$R$3,0)),
IF($D1437="폐업",INDEX(폐업정보!$D$3:$R$3000,MATCH($F1437,폐업정보!$I$3:$I$3000,0),MATCH(L$4,폐업정보!$D$3:$R$3,0)),
"Error"))</f>
        <v>D1432</v>
      </c>
      <c r="M1437" s="76" t="s">
        <v>96</v>
      </c>
      <c r="N1437" s="77"/>
      <c r="O1437" s="78" t="s">
        <v>97</v>
      </c>
      <c r="P1437" s="79" t="n">
        <f aca="false">COUNTIFS(임대자산!$I:$I,가맹점정보!F1437,임대자산!$N:$N,가맹점정보!P$4)</f>
        <v>0</v>
      </c>
      <c r="Q1437" s="80" t="n">
        <f aca="false">COUNTIFS(임대자산!$I:$I,가맹점정보!F1437,임대자산!$N:$N,가맹점정보!Q$4)</f>
        <v>0</v>
      </c>
      <c r="R1437" s="81" t="n">
        <f aca="false">COUNTIFS(임대자산!$I:$I,가맹점정보!F1437,임대자산!$N:$N,가맹점정보!R$4)</f>
        <v>1</v>
      </c>
      <c r="S1437" s="82" t="n">
        <v>55000</v>
      </c>
      <c r="T1437" s="83" t="n">
        <v>0</v>
      </c>
      <c r="U1437" s="80" t="n">
        <f aca="false">SUM(S1437:T1437)</f>
        <v>55000</v>
      </c>
      <c r="V1437" s="84" t="s">
        <v>7</v>
      </c>
      <c r="W1437" s="80" t="str">
        <f aca="true">
IF(D1437="폐업","폐업",
IF(V1437="면제","면제",
IF(AND(V1437="정상",COUNTIFS(OFFSET(Y1437,0,COUNTA(Y1437:AV1437)-1,1,-4),"미납")&gt;=3),"장기미납",
IF(AND(V1437="정상",OFFSET(Y1437,0,COUNTA(Y1437:AV1437)-1)&gt;=U1437),"정상",
IF(AND(V1437="정상",OFFSET(Y1437,0,COUNTA(Y1437:AV1437)-1)=0),"정상",
"계약서 미작성")))))</f>
        <v>면제</v>
      </c>
      <c r="X1437" s="81" t="str">
        <f aca="true">
IF(D1437="폐업","폐업",
IF(AND(V1437="정상",OFFSET(Y1437,0,COUNTA(Y1437:AV1437)-1)="미납"),"미납",
IF(AND(V1437="정상",OFFSET(Y1437,0,COUNTA(Y1437:AV1437)-1)=0),"납부 시작 전",
IF(AND(V1437="정상",OFFSET(Y1437,0,COUNTA(Y1437:AV1437)-1)&gt;=U1437),"정상",
IF(AND(V1437="면제",OFFSET(Y1437,0,COUNTA(Y1437:AV1437)-1)="면제"),"면제",
IF(AND(V1437="면제",OFFSET(Y1437,0,COUNTA(Y1437:AV1437)-1)=0),"면제",
"확인요청"))))))</f>
        <v>면제</v>
      </c>
      <c r="Y1437" s="94" t="s">
        <v>7</v>
      </c>
      <c r="Z1437" s="95" t="s">
        <v>7</v>
      </c>
      <c r="AA1437" s="95" t="s">
        <v>7</v>
      </c>
      <c r="AB1437" s="95" t="s">
        <v>7</v>
      </c>
      <c r="AC1437" s="95" t="s">
        <v>7</v>
      </c>
      <c r="AD1437" s="95" t="s">
        <v>7</v>
      </c>
      <c r="AE1437" s="95" t="s">
        <v>7</v>
      </c>
      <c r="AF1437" s="95" t="s">
        <v>7</v>
      </c>
      <c r="AG1437" s="95" t="s">
        <v>7</v>
      </c>
      <c r="AH1437" s="95" t="s">
        <v>7</v>
      </c>
      <c r="AI1437" s="95" t="s">
        <v>7</v>
      </c>
      <c r="AJ1437" s="96" t="s">
        <v>7</v>
      </c>
      <c r="AK1437" s="97" t="s">
        <v>7</v>
      </c>
      <c r="AL1437" s="95" t="s">
        <v>7</v>
      </c>
      <c r="AM1437" s="90"/>
      <c r="AN1437" s="90"/>
      <c r="AO1437" s="90"/>
      <c r="AP1437" s="90"/>
      <c r="AQ1437" s="90"/>
      <c r="AR1437" s="90"/>
      <c r="AS1437" s="90"/>
      <c r="AT1437" s="90"/>
      <c r="AU1437" s="90"/>
      <c r="AV1437" s="91"/>
      <c r="AX1437" s="92"/>
    </row>
    <row r="1438" customFormat="false" ht="15.65" hidden="false" customHeight="false" outlineLevel="0" collapsed="false">
      <c r="C1438" s="72" t="n">
        <f aca="false">COUNTIFS($D$6:D1438,"&lt;&gt;"&amp;"")</f>
        <v>1433</v>
      </c>
      <c r="D1438" s="73" t="s">
        <v>12</v>
      </c>
      <c r="E1438" s="76" t="str">
        <f aca="false">
IF($D1438="정상",INDEX(임대자산!$D$3:$R$3000,MATCH($F1438,임대자산!$I$3:$I$3000,0),MATCH(E$3,임대자산!$D$3:$R$3,0)),
IF($D1438="폐업",INDEX(폐업정보!$D$3:$R$3000,MATCH($F1438,폐업정보!$I$3:$I$3000,0),MATCH(E$3,폐업정보!$D$3:$R$3,0)),
"Error"))</f>
        <v>서울</v>
      </c>
      <c r="F143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B1433</v>
      </c>
      <c r="G1438" s="76" t="str">
        <f aca="false">F1438&amp;RANDBETWEEN(0,10)</f>
        <v>B14335</v>
      </c>
      <c r="H1438" s="75" t="n">
        <f aca="false">
IF($D1438="정상",INDEX(임대자산!$D$3:$R$3000,MATCH($F1438,임대자산!$I$3:$I$3000,0),MATCH(H$4,임대자산!$D$3:$R$3,0)),
IF($D1438="폐업",INDEX(폐업정보!$D$3:$R$3000,MATCH($F1438,폐업정보!$I$3:$I$3000,0),MATCH(H$4,폐업정보!$D$3:$R$3,0)),
"Error"))</f>
        <v>45747</v>
      </c>
      <c r="I1438" s="75" t="str">
        <f aca="false">
IF($D1438="정상",INDEX(임대자산!$D$3:$R$3000,MATCH($F1438,임대자산!$I$3:$I$3000,0),MATCH(I$4,임대자산!$D$3:$R$3,0)),
IF($D1438="폐업",INDEX(폐업정보!$D$3:$R$3000,MATCH($F1438,폐업정보!$I$3:$I$3000,0),MATCH(I$4,폐업정보!$D$3:$R$3,0)),
"Error"))</f>
        <v>A1433</v>
      </c>
      <c r="J1438" s="75" t="str">
        <f aca="false">
IF($D1438="정상",INDEX(임대자산!$D$3:$R$3000,MATCH($F1438,임대자산!$I$3:$I$3000,0),MATCH(J$4,임대자산!$D$3:$R$3,0)),
IF($D1438="폐업",INDEX(폐업정보!$D$3:$R$3000,MATCH($F1438,폐업정보!$I$3:$I$3000,0),MATCH(J$4,폐업정보!$D$3:$R$3,0)),
"Error"))</f>
        <v>8754000000</v>
      </c>
      <c r="K1438" s="75" t="str">
        <f aca="false">
IF($D1438="정상",INDEX(임대자산!$D$3:$R$3000,MATCH($F1438,임대자산!$I$3:$I$3000,0),MATCH(K$4,임대자산!$D$3:$R$3,0)),
IF($D1438="폐업",INDEX(폐업정보!$D$3:$R$3000,MATCH($F1438,폐업정보!$I$3:$I$3000,0),MATCH(K$4,폐업정보!$D$3:$R$3,0)),
"Error"))</f>
        <v>C1433</v>
      </c>
      <c r="L1438" s="75" t="str">
        <f aca="false">
IF($D1438="정상",INDEX(임대자산!$D$3:$R$3000,MATCH($F1438,임대자산!$I$3:$I$3000,0),MATCH(L$4,임대자산!$D$3:$R$3,0)),
IF($D1438="폐업",INDEX(폐업정보!$D$3:$R$3000,MATCH($F1438,폐업정보!$I$3:$I$3000,0),MATCH(L$4,폐업정보!$D$3:$R$3,0)),
"Error"))</f>
        <v>D1433</v>
      </c>
      <c r="M1438" s="76" t="s">
        <v>96</v>
      </c>
      <c r="N1438" s="77"/>
      <c r="O1438" s="78" t="s">
        <v>97</v>
      </c>
      <c r="P1438" s="79" t="n">
        <f aca="false">COUNTIFS(임대자산!$I:$I,가맹점정보!F1438,임대자산!$N:$N,가맹점정보!P$4)</f>
        <v>0</v>
      </c>
      <c r="Q1438" s="80" t="n">
        <f aca="false">COUNTIFS(임대자산!$I:$I,가맹점정보!F1438,임대자산!$N:$N,가맹점정보!Q$4)</f>
        <v>0</v>
      </c>
      <c r="R1438" s="81" t="n">
        <f aca="false">COUNTIFS(임대자산!$I:$I,가맹점정보!F1438,임대자산!$N:$N,가맹점정보!R$4)</f>
        <v>1</v>
      </c>
      <c r="S1438" s="82" t="n">
        <v>55000</v>
      </c>
      <c r="T1438" s="83" t="n">
        <v>0</v>
      </c>
      <c r="U1438" s="80" t="n">
        <f aca="false">SUM(S1438:T1438)</f>
        <v>55000</v>
      </c>
      <c r="V1438" s="84" t="s">
        <v>7</v>
      </c>
      <c r="W1438" s="80" t="str">
        <f aca="true">
IF(D1438="폐업","폐업",
IF(V1438="면제","면제",
IF(AND(V1438="정상",COUNTIFS(OFFSET(Y1438,0,COUNTA(Y1438:AV1438)-1,1,-4),"미납")&gt;=3),"장기미납",
IF(AND(V1438="정상",OFFSET(Y1438,0,COUNTA(Y1438:AV1438)-1)&gt;=U1438),"정상",
IF(AND(V1438="정상",OFFSET(Y1438,0,COUNTA(Y1438:AV1438)-1)=0),"정상",
"계약서 미작성")))))</f>
        <v>면제</v>
      </c>
      <c r="X1438" s="81" t="str">
        <f aca="true">
IF(D1438="폐업","폐업",
IF(AND(V1438="정상",OFFSET(Y1438,0,COUNTA(Y1438:AV1438)-1)="미납"),"미납",
IF(AND(V1438="정상",OFFSET(Y1438,0,COUNTA(Y1438:AV1438)-1)=0),"납부 시작 전",
IF(AND(V1438="정상",OFFSET(Y1438,0,COUNTA(Y1438:AV1438)-1)&gt;=U1438),"정상",
IF(AND(V1438="면제",OFFSET(Y1438,0,COUNTA(Y1438:AV1438)-1)="면제"),"면제",
IF(AND(V1438="면제",OFFSET(Y1438,0,COUNTA(Y1438:AV1438)-1)=0),"면제",
"확인요청"))))))</f>
        <v>면제</v>
      </c>
      <c r="Y1438" s="94" t="s">
        <v>7</v>
      </c>
      <c r="Z1438" s="95" t="s">
        <v>7</v>
      </c>
      <c r="AA1438" s="95" t="s">
        <v>7</v>
      </c>
      <c r="AB1438" s="95" t="s">
        <v>7</v>
      </c>
      <c r="AC1438" s="95" t="s">
        <v>7</v>
      </c>
      <c r="AD1438" s="95" t="s">
        <v>7</v>
      </c>
      <c r="AE1438" s="95" t="s">
        <v>7</v>
      </c>
      <c r="AF1438" s="95" t="s">
        <v>7</v>
      </c>
      <c r="AG1438" s="95" t="s">
        <v>7</v>
      </c>
      <c r="AH1438" s="95" t="s">
        <v>7</v>
      </c>
      <c r="AI1438" s="95" t="s">
        <v>7</v>
      </c>
      <c r="AJ1438" s="96" t="s">
        <v>7</v>
      </c>
      <c r="AK1438" s="97" t="s">
        <v>7</v>
      </c>
      <c r="AL1438" s="95" t="s">
        <v>7</v>
      </c>
      <c r="AM1438" s="90"/>
      <c r="AN1438" s="90"/>
      <c r="AO1438" s="90"/>
      <c r="AP1438" s="90"/>
      <c r="AQ1438" s="90"/>
      <c r="AR1438" s="90"/>
      <c r="AS1438" s="90"/>
      <c r="AT1438" s="90"/>
      <c r="AU1438" s="90"/>
      <c r="AV1438" s="91"/>
      <c r="AX1438" s="92"/>
    </row>
    <row r="1439" customFormat="false" ht="15.65" hidden="false" customHeight="false" outlineLevel="0" collapsed="false">
      <c r="C1439" s="72" t="n">
        <f aca="false">COUNTIFS($D$6:D1439,"&lt;&gt;"&amp;"")</f>
        <v>1434</v>
      </c>
      <c r="D1439" s="73" t="s">
        <v>12</v>
      </c>
      <c r="E1439" s="76" t="str">
        <f aca="false">
IF($D1439="정상",INDEX(임대자산!$D$3:$R$3000,MATCH($F1439,임대자산!$I$3:$I$3000,0),MATCH(E$3,임대자산!$D$3:$R$3,0)),
IF($D1439="폐업",INDEX(폐업정보!$D$3:$R$3000,MATCH($F1439,폐업정보!$I$3:$I$3000,0),MATCH(E$3,폐업정보!$D$3:$R$3,0)),
"Error"))</f>
        <v>경상</v>
      </c>
      <c r="F143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B1434</v>
      </c>
      <c r="G1439" s="76" t="str">
        <f aca="false">F1439&amp;RANDBETWEEN(0,10)</f>
        <v>B14345</v>
      </c>
      <c r="H1439" s="75" t="n">
        <f aca="false">
IF($D1439="정상",INDEX(임대자산!$D$3:$R$3000,MATCH($F1439,임대자산!$I$3:$I$3000,0),MATCH(H$4,임대자산!$D$3:$R$3,0)),
IF($D1439="폐업",INDEX(폐업정보!$D$3:$R$3000,MATCH($F1439,폐업정보!$I$3:$I$3000,0),MATCH(H$4,폐업정보!$D$3:$R$3,0)),
"Error"))</f>
        <v>45420</v>
      </c>
      <c r="I1439" s="75" t="str">
        <f aca="false">
IF($D1439="정상",INDEX(임대자산!$D$3:$R$3000,MATCH($F1439,임대자산!$I$3:$I$3000,0),MATCH(I$4,임대자산!$D$3:$R$3,0)),
IF($D1439="폐업",INDEX(폐업정보!$D$3:$R$3000,MATCH($F1439,폐업정보!$I$3:$I$3000,0),MATCH(I$4,폐업정보!$D$3:$R$3,0)),
"Error"))</f>
        <v>A1434</v>
      </c>
      <c r="J1439" s="75" t="str">
        <f aca="false">
IF($D1439="정상",INDEX(임대자산!$D$3:$R$3000,MATCH($F1439,임대자산!$I$3:$I$3000,0),MATCH(J$4,임대자산!$D$3:$R$3,0)),
IF($D1439="폐업",INDEX(폐업정보!$D$3:$R$3000,MATCH($F1439,폐업정보!$I$3:$I$3000,0),MATCH(J$4,폐업정보!$D$3:$R$3,0)),
"Error"))</f>
        <v>6681800000</v>
      </c>
      <c r="K1439" s="75" t="str">
        <f aca="false">
IF($D1439="정상",INDEX(임대자산!$D$3:$R$3000,MATCH($F1439,임대자산!$I$3:$I$3000,0),MATCH(K$4,임대자산!$D$3:$R$3,0)),
IF($D1439="폐업",INDEX(폐업정보!$D$3:$R$3000,MATCH($F1439,폐업정보!$I$3:$I$3000,0),MATCH(K$4,폐업정보!$D$3:$R$3,0)),
"Error"))</f>
        <v>C1434</v>
      </c>
      <c r="L1439" s="75" t="str">
        <f aca="false">
IF($D1439="정상",INDEX(임대자산!$D$3:$R$3000,MATCH($F1439,임대자산!$I$3:$I$3000,0),MATCH(L$4,임대자산!$D$3:$R$3,0)),
IF($D1439="폐업",INDEX(폐업정보!$D$3:$R$3000,MATCH($F1439,폐업정보!$I$3:$I$3000,0),MATCH(L$4,폐업정보!$D$3:$R$3,0)),
"Error"))</f>
        <v>D1434</v>
      </c>
      <c r="M1439" s="76" t="s">
        <v>96</v>
      </c>
      <c r="N1439" s="77"/>
      <c r="O1439" s="78" t="s">
        <v>97</v>
      </c>
      <c r="P1439" s="79" t="n">
        <f aca="false">COUNTIFS(임대자산!$I:$I,가맹점정보!F1439,임대자산!$N:$N,가맹점정보!P$4)</f>
        <v>0</v>
      </c>
      <c r="Q1439" s="80" t="n">
        <f aca="false">COUNTIFS(임대자산!$I:$I,가맹점정보!F1439,임대자산!$N:$N,가맹점정보!Q$4)</f>
        <v>0</v>
      </c>
      <c r="R1439" s="81" t="n">
        <f aca="false">COUNTIFS(임대자산!$I:$I,가맹점정보!F1439,임대자산!$N:$N,가맹점정보!R$4)</f>
        <v>1</v>
      </c>
      <c r="S1439" s="82" t="n">
        <v>88000</v>
      </c>
      <c r="T1439" s="83" t="n">
        <v>0</v>
      </c>
      <c r="U1439" s="80" t="n">
        <f aca="false">SUM(S1439:T1439)</f>
        <v>88000</v>
      </c>
      <c r="V1439" s="84" t="s">
        <v>12</v>
      </c>
      <c r="W1439" s="80" t="e">
        <f aca="true">
IF(D1439="폐업","폐업",
IF(V1439="면제","면제",
IF(AND(V1439="정상",COUNTIFS(OFFSET(Y1439,0,COUNTA(Y1439:AV1439)-1,1,-4),"미납")&gt;=3),"장기미납",
IF(AND(V1439="정상",OFFSET(Y1439,0,COUNTA(Y1439:AV1439)-1)&gt;=U1439),"정상",
IF(AND(V1439="정상",OFFSET(Y1439,0,COUNTA(Y1439:AV1439)-1)=0),"정상",
"계약서 미작성")))))</f>
        <v>#VALUE!</v>
      </c>
      <c r="X1439" s="81" t="str">
        <f aca="true">
IF(D1439="폐업","폐업",
IF(AND(V1439="정상",OFFSET(Y1439,0,COUNTA(Y1439:AV1439)-1)="미납"),"미납",
IF(AND(V1439="정상",OFFSET(Y1439,0,COUNTA(Y1439:AV1439)-1)=0),"납부 시작 전",
IF(AND(V1439="정상",OFFSET(Y1439,0,COUNTA(Y1439:AV1439)-1)&gt;=U1439),"정상",
IF(AND(V1439="면제",OFFSET(Y1439,0,COUNTA(Y1439:AV1439)-1)="면제"),"면제",
IF(AND(V1439="면제",OFFSET(Y1439,0,COUNTA(Y1439:AV1439)-1)=0),"면제",
"확인요청"))))))</f>
        <v>정상</v>
      </c>
      <c r="Y1439" s="93" t="n">
        <v>88000</v>
      </c>
      <c r="Z1439" s="90" t="n">
        <v>88000</v>
      </c>
      <c r="AA1439" s="90" t="n">
        <v>88000</v>
      </c>
      <c r="AB1439" s="90" t="n">
        <v>88000</v>
      </c>
      <c r="AC1439" s="90" t="n">
        <v>88000</v>
      </c>
      <c r="AD1439" s="90" t="n">
        <v>88000</v>
      </c>
      <c r="AE1439" s="90" t="n">
        <v>88000</v>
      </c>
      <c r="AF1439" s="90" t="n">
        <v>88000</v>
      </c>
      <c r="AG1439" s="90" t="n">
        <v>88000</v>
      </c>
      <c r="AH1439" s="90" t="n">
        <v>88000</v>
      </c>
      <c r="AI1439" s="90" t="n">
        <v>88000</v>
      </c>
      <c r="AJ1439" s="91" t="n">
        <v>88000</v>
      </c>
      <c r="AK1439" s="89" t="n">
        <v>88000</v>
      </c>
      <c r="AL1439" s="90" t="n">
        <v>88000</v>
      </c>
      <c r="AM1439" s="90"/>
      <c r="AN1439" s="90"/>
      <c r="AO1439" s="90"/>
      <c r="AP1439" s="90"/>
      <c r="AQ1439" s="90"/>
      <c r="AR1439" s="90"/>
      <c r="AS1439" s="90"/>
      <c r="AT1439" s="90"/>
      <c r="AU1439" s="90"/>
      <c r="AV1439" s="91"/>
      <c r="AX1439" s="92"/>
    </row>
    <row r="1440" customFormat="false" ht="15.65" hidden="false" customHeight="false" outlineLevel="0" collapsed="false">
      <c r="C1440" s="72" t="n">
        <f aca="false">COUNTIFS($D$6:D1440,"&lt;&gt;"&amp;"")</f>
        <v>1435</v>
      </c>
      <c r="D1440" s="73" t="s">
        <v>12</v>
      </c>
      <c r="E1440" s="76" t="str">
        <f aca="false">
IF($D1440="정상",INDEX(임대자산!$D$3:$R$3000,MATCH($F1440,임대자산!$I$3:$I$3000,0),MATCH(E$3,임대자산!$D$3:$R$3,0)),
IF($D1440="폐업",INDEX(폐업정보!$D$3:$R$3000,MATCH($F1440,폐업정보!$I$3:$I$3000,0),MATCH(E$3,폐업정보!$D$3:$R$3,0)),
"Error"))</f>
        <v>경상</v>
      </c>
      <c r="F144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B1435</v>
      </c>
      <c r="G1440" s="76" t="str">
        <f aca="false">F1440&amp;RANDBETWEEN(0,10)</f>
        <v>B14351</v>
      </c>
      <c r="H1440" s="75" t="n">
        <f aca="false">
IF($D1440="정상",INDEX(임대자산!$D$3:$R$3000,MATCH($F1440,임대자산!$I$3:$I$3000,0),MATCH(H$4,임대자산!$D$3:$R$3,0)),
IF($D1440="폐업",INDEX(폐업정보!$D$3:$R$3000,MATCH($F1440,폐업정보!$I$3:$I$3000,0),MATCH(H$4,폐업정보!$D$3:$R$3,0)),
"Error"))</f>
        <v>45420</v>
      </c>
      <c r="I1440" s="75" t="str">
        <f aca="false">
IF($D1440="정상",INDEX(임대자산!$D$3:$R$3000,MATCH($F1440,임대자산!$I$3:$I$3000,0),MATCH(I$4,임대자산!$D$3:$R$3,0)),
IF($D1440="폐업",INDEX(폐업정보!$D$3:$R$3000,MATCH($F1440,폐업정보!$I$3:$I$3000,0),MATCH(I$4,폐업정보!$D$3:$R$3,0)),
"Error"))</f>
        <v>A1435</v>
      </c>
      <c r="J1440" s="75" t="str">
        <f aca="false">
IF($D1440="정상",INDEX(임대자산!$D$3:$R$3000,MATCH($F1440,임대자산!$I$3:$I$3000,0),MATCH(J$4,임대자산!$D$3:$R$3,0)),
IF($D1440="폐업",INDEX(폐업정보!$D$3:$R$3000,MATCH($F1440,폐업정보!$I$3:$I$3000,0),MATCH(J$4,폐업정보!$D$3:$R$3,0)),
"Error"))</f>
        <v>1958400000</v>
      </c>
      <c r="K1440" s="75" t="str">
        <f aca="false">
IF($D1440="정상",INDEX(임대자산!$D$3:$R$3000,MATCH($F1440,임대자산!$I$3:$I$3000,0),MATCH(K$4,임대자산!$D$3:$R$3,0)),
IF($D1440="폐업",INDEX(폐업정보!$D$3:$R$3000,MATCH($F1440,폐업정보!$I$3:$I$3000,0),MATCH(K$4,폐업정보!$D$3:$R$3,0)),
"Error"))</f>
        <v>C1435</v>
      </c>
      <c r="L1440" s="75" t="str">
        <f aca="false">
IF($D1440="정상",INDEX(임대자산!$D$3:$R$3000,MATCH($F1440,임대자산!$I$3:$I$3000,0),MATCH(L$4,임대자산!$D$3:$R$3,0)),
IF($D1440="폐업",INDEX(폐업정보!$D$3:$R$3000,MATCH($F1440,폐업정보!$I$3:$I$3000,0),MATCH(L$4,폐업정보!$D$3:$R$3,0)),
"Error"))</f>
        <v>D1435</v>
      </c>
      <c r="M1440" s="76" t="s">
        <v>96</v>
      </c>
      <c r="N1440" s="77"/>
      <c r="O1440" s="78" t="s">
        <v>97</v>
      </c>
      <c r="P1440" s="79" t="n">
        <f aca="false">COUNTIFS(임대자산!$I:$I,가맹점정보!F1440,임대자산!$N:$N,가맹점정보!P$4)</f>
        <v>0</v>
      </c>
      <c r="Q1440" s="80" t="n">
        <f aca="false">COUNTIFS(임대자산!$I:$I,가맹점정보!F1440,임대자산!$N:$N,가맹점정보!Q$4)</f>
        <v>0</v>
      </c>
      <c r="R1440" s="81" t="n">
        <f aca="false">COUNTIFS(임대자산!$I:$I,가맹점정보!F1440,임대자산!$N:$N,가맹점정보!R$4)</f>
        <v>1</v>
      </c>
      <c r="S1440" s="82" t="n">
        <v>55000</v>
      </c>
      <c r="T1440" s="83" t="n">
        <v>0</v>
      </c>
      <c r="U1440" s="80" t="n">
        <f aca="false">SUM(S1440:T1440)</f>
        <v>55000</v>
      </c>
      <c r="V1440" s="84" t="s">
        <v>7</v>
      </c>
      <c r="W1440" s="80" t="str">
        <f aca="true">
IF(D1440="폐업","폐업",
IF(V1440="면제","면제",
IF(AND(V1440="정상",COUNTIFS(OFFSET(Y1440,0,COUNTA(Y1440:AV1440)-1,1,-4),"미납")&gt;=3),"장기미납",
IF(AND(V1440="정상",OFFSET(Y1440,0,COUNTA(Y1440:AV1440)-1)&gt;=U1440),"정상",
IF(AND(V1440="정상",OFFSET(Y1440,0,COUNTA(Y1440:AV1440)-1)=0),"정상",
"계약서 미작성")))))</f>
        <v>면제</v>
      </c>
      <c r="X1440" s="81" t="str">
        <f aca="true">
IF(D1440="폐업","폐업",
IF(AND(V1440="정상",OFFSET(Y1440,0,COUNTA(Y1440:AV1440)-1)="미납"),"미납",
IF(AND(V1440="정상",OFFSET(Y1440,0,COUNTA(Y1440:AV1440)-1)=0),"납부 시작 전",
IF(AND(V1440="정상",OFFSET(Y1440,0,COUNTA(Y1440:AV1440)-1)&gt;=U1440),"정상",
IF(AND(V1440="면제",OFFSET(Y1440,0,COUNTA(Y1440:AV1440)-1)="면제"),"면제",
IF(AND(V1440="면제",OFFSET(Y1440,0,COUNTA(Y1440:AV1440)-1)=0),"면제",
"확인요청"))))))</f>
        <v>면제</v>
      </c>
      <c r="Y1440" s="94" t="s">
        <v>7</v>
      </c>
      <c r="Z1440" s="95" t="s">
        <v>7</v>
      </c>
      <c r="AA1440" s="95" t="s">
        <v>7</v>
      </c>
      <c r="AB1440" s="95" t="s">
        <v>7</v>
      </c>
      <c r="AC1440" s="95" t="s">
        <v>7</v>
      </c>
      <c r="AD1440" s="95" t="s">
        <v>7</v>
      </c>
      <c r="AE1440" s="95" t="s">
        <v>7</v>
      </c>
      <c r="AF1440" s="95" t="s">
        <v>7</v>
      </c>
      <c r="AG1440" s="95" t="s">
        <v>7</v>
      </c>
      <c r="AH1440" s="95" t="s">
        <v>7</v>
      </c>
      <c r="AI1440" s="95" t="s">
        <v>7</v>
      </c>
      <c r="AJ1440" s="96" t="s">
        <v>7</v>
      </c>
      <c r="AK1440" s="97" t="s">
        <v>7</v>
      </c>
      <c r="AL1440" s="95" t="s">
        <v>7</v>
      </c>
      <c r="AM1440" s="90"/>
      <c r="AN1440" s="90"/>
      <c r="AO1440" s="90"/>
      <c r="AP1440" s="90"/>
      <c r="AQ1440" s="90"/>
      <c r="AR1440" s="90"/>
      <c r="AS1440" s="90"/>
      <c r="AT1440" s="90"/>
      <c r="AU1440" s="90"/>
      <c r="AV1440" s="91"/>
      <c r="AX1440" s="92"/>
    </row>
    <row r="1441" customFormat="false" ht="15.65" hidden="false" customHeight="false" outlineLevel="0" collapsed="false">
      <c r="C1441" s="72" t="n">
        <f aca="false">COUNTIFS($D$6:D1441,"&lt;&gt;"&amp;"")</f>
        <v>1436</v>
      </c>
      <c r="D1441" s="73" t="s">
        <v>12</v>
      </c>
      <c r="E1441" s="76" t="str">
        <f aca="false">
IF($D1441="정상",INDEX(임대자산!$D$3:$R$3000,MATCH($F1441,임대자산!$I$3:$I$3000,0),MATCH(E$3,임대자산!$D$3:$R$3,0)),
IF($D1441="폐업",INDEX(폐업정보!$D$3:$R$3000,MATCH($F1441,폐업정보!$I$3:$I$3000,0),MATCH(E$3,폐업정보!$D$3:$R$3,0)),
"Error"))</f>
        <v>서울</v>
      </c>
      <c r="F144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B1436</v>
      </c>
      <c r="G1441" s="76" t="str">
        <f aca="false">F1441&amp;RANDBETWEEN(0,10)</f>
        <v>B14366</v>
      </c>
      <c r="H1441" s="75" t="n">
        <f aca="false">
IF($D1441="정상",INDEX(임대자산!$D$3:$R$3000,MATCH($F1441,임대자산!$I$3:$I$3000,0),MATCH(H$4,임대자산!$D$3:$R$3,0)),
IF($D1441="폐업",INDEX(폐업정보!$D$3:$R$3000,MATCH($F1441,폐업정보!$I$3:$I$3000,0),MATCH(H$4,폐업정보!$D$3:$R$3,0)),
"Error"))</f>
        <v>45426</v>
      </c>
      <c r="I1441" s="75" t="str">
        <f aca="false">
IF($D1441="정상",INDEX(임대자산!$D$3:$R$3000,MATCH($F1441,임대자산!$I$3:$I$3000,0),MATCH(I$4,임대자산!$D$3:$R$3,0)),
IF($D1441="폐업",INDEX(폐업정보!$D$3:$R$3000,MATCH($F1441,폐업정보!$I$3:$I$3000,0),MATCH(I$4,폐업정보!$D$3:$R$3,0)),
"Error"))</f>
        <v>A1436</v>
      </c>
      <c r="J1441" s="75" t="str">
        <f aca="false">
IF($D1441="정상",INDEX(임대자산!$D$3:$R$3000,MATCH($F1441,임대자산!$I$3:$I$3000,0),MATCH(J$4,임대자산!$D$3:$R$3,0)),
IF($D1441="폐업",INDEX(폐업정보!$D$3:$R$3000,MATCH($F1441,폐업정보!$I$3:$I$3000,0),MATCH(J$4,폐업정보!$D$3:$R$3,0)),
"Error"))</f>
        <v>7992700000</v>
      </c>
      <c r="K1441" s="75" t="str">
        <f aca="false">
IF($D1441="정상",INDEX(임대자산!$D$3:$R$3000,MATCH($F1441,임대자산!$I$3:$I$3000,0),MATCH(K$4,임대자산!$D$3:$R$3,0)),
IF($D1441="폐업",INDEX(폐업정보!$D$3:$R$3000,MATCH($F1441,폐업정보!$I$3:$I$3000,0),MATCH(K$4,폐업정보!$D$3:$R$3,0)),
"Error"))</f>
        <v>C1436</v>
      </c>
      <c r="L1441" s="75" t="str">
        <f aca="false">
IF($D1441="정상",INDEX(임대자산!$D$3:$R$3000,MATCH($F1441,임대자산!$I$3:$I$3000,0),MATCH(L$4,임대자산!$D$3:$R$3,0)),
IF($D1441="폐업",INDEX(폐업정보!$D$3:$R$3000,MATCH($F1441,폐업정보!$I$3:$I$3000,0),MATCH(L$4,폐업정보!$D$3:$R$3,0)),
"Error"))</f>
        <v>D1436</v>
      </c>
      <c r="M1441" s="76" t="s">
        <v>96</v>
      </c>
      <c r="N1441" s="77"/>
      <c r="O1441" s="78" t="s">
        <v>97</v>
      </c>
      <c r="P1441" s="79" t="n">
        <f aca="false">COUNTIFS(임대자산!$I:$I,가맹점정보!F1441,임대자산!$N:$N,가맹점정보!P$4)</f>
        <v>0</v>
      </c>
      <c r="Q1441" s="80" t="n">
        <f aca="false">COUNTIFS(임대자산!$I:$I,가맹점정보!F1441,임대자산!$N:$N,가맹점정보!Q$4)</f>
        <v>0</v>
      </c>
      <c r="R1441" s="81" t="n">
        <f aca="false">COUNTIFS(임대자산!$I:$I,가맹점정보!F1441,임대자산!$N:$N,가맹점정보!R$4)</f>
        <v>1</v>
      </c>
      <c r="S1441" s="82" t="n">
        <v>55000</v>
      </c>
      <c r="T1441" s="83" t="n">
        <v>0</v>
      </c>
      <c r="U1441" s="80" t="n">
        <f aca="false">SUM(S1441:T1441)</f>
        <v>55000</v>
      </c>
      <c r="V1441" s="84" t="s">
        <v>12</v>
      </c>
      <c r="W1441" s="80" t="e">
        <f aca="true">
IF(D1441="폐업","폐업",
IF(V1441="면제","면제",
IF(AND(V1441="정상",COUNTIFS(OFFSET(Y1441,0,COUNTA(Y1441:AV1441)-1,1,-4),"미납")&gt;=3),"장기미납",
IF(AND(V1441="정상",OFFSET(Y1441,0,COUNTA(Y1441:AV1441)-1)&gt;=U1441),"정상",
IF(AND(V1441="정상",OFFSET(Y1441,0,COUNTA(Y1441:AV1441)-1)=0),"정상",
"계약서 미작성")))))</f>
        <v>#VALUE!</v>
      </c>
      <c r="X1441" s="81" t="str">
        <f aca="true">
IF(D1441="폐업","폐업",
IF(AND(V1441="정상",OFFSET(Y1441,0,COUNTA(Y1441:AV1441)-1)="미납"),"미납",
IF(AND(V1441="정상",OFFSET(Y1441,0,COUNTA(Y1441:AV1441)-1)=0),"납부 시작 전",
IF(AND(V1441="정상",OFFSET(Y1441,0,COUNTA(Y1441:AV1441)-1)&gt;=U1441),"정상",
IF(AND(V1441="면제",OFFSET(Y1441,0,COUNTA(Y1441:AV1441)-1)="면제"),"면제",
IF(AND(V1441="면제",OFFSET(Y1441,0,COUNTA(Y1441:AV1441)-1)=0),"면제",
"확인요청"))))))</f>
        <v>정상</v>
      </c>
      <c r="Y1441" s="93" t="n">
        <v>55000</v>
      </c>
      <c r="Z1441" s="90" t="n">
        <v>55000</v>
      </c>
      <c r="AA1441" s="90" t="n">
        <v>55000</v>
      </c>
      <c r="AB1441" s="90" t="n">
        <v>55000</v>
      </c>
      <c r="AC1441" s="90" t="n">
        <v>55000</v>
      </c>
      <c r="AD1441" s="90" t="n">
        <v>55000</v>
      </c>
      <c r="AE1441" s="90" t="n">
        <v>55000</v>
      </c>
      <c r="AF1441" s="90" t="n">
        <v>55000</v>
      </c>
      <c r="AG1441" s="90" t="n">
        <v>55000</v>
      </c>
      <c r="AH1441" s="90" t="n">
        <v>55000</v>
      </c>
      <c r="AI1441" s="90" t="n">
        <v>55000</v>
      </c>
      <c r="AJ1441" s="91" t="n">
        <v>55000</v>
      </c>
      <c r="AK1441" s="89" t="n">
        <v>55000</v>
      </c>
      <c r="AL1441" s="90" t="n">
        <v>55000</v>
      </c>
      <c r="AM1441" s="90"/>
      <c r="AN1441" s="90"/>
      <c r="AO1441" s="90"/>
      <c r="AP1441" s="90"/>
      <c r="AQ1441" s="90"/>
      <c r="AR1441" s="90"/>
      <c r="AS1441" s="90"/>
      <c r="AT1441" s="90"/>
      <c r="AU1441" s="90"/>
      <c r="AV1441" s="91"/>
      <c r="AX1441" s="92"/>
    </row>
    <row r="1442" customFormat="false" ht="15.65" hidden="false" customHeight="false" outlineLevel="0" collapsed="false">
      <c r="C1442" s="72" t="n">
        <f aca="false">COUNTIFS($D$6:D1442,"&lt;&gt;"&amp;"")</f>
        <v>1437</v>
      </c>
      <c r="D1442" s="73" t="s">
        <v>12</v>
      </c>
      <c r="E1442" s="76" t="str">
        <f aca="false">
IF($D1442="정상",INDEX(임대자산!$D$3:$R$3000,MATCH($F1442,임대자산!$I$3:$I$3000,0),MATCH(E$3,임대자산!$D$3:$R$3,0)),
IF($D1442="폐업",INDEX(폐업정보!$D$3:$R$3000,MATCH($F1442,폐업정보!$I$3:$I$3000,0),MATCH(E$3,폐업정보!$D$3:$R$3,0)),
"Error"))</f>
        <v>서울</v>
      </c>
      <c r="F144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B1437</v>
      </c>
      <c r="G1442" s="76" t="str">
        <f aca="false">F1442&amp;RANDBETWEEN(0,10)</f>
        <v>B14370</v>
      </c>
      <c r="H1442" s="75" t="n">
        <f aca="false">
IF($D1442="정상",INDEX(임대자산!$D$3:$R$3000,MATCH($F1442,임대자산!$I$3:$I$3000,0),MATCH(H$4,임대자산!$D$3:$R$3,0)),
IF($D1442="폐업",INDEX(폐업정보!$D$3:$R$3000,MATCH($F1442,폐업정보!$I$3:$I$3000,0),MATCH(H$4,폐업정보!$D$3:$R$3,0)),
"Error"))</f>
        <v>45426</v>
      </c>
      <c r="I1442" s="75" t="str">
        <f aca="false">
IF($D1442="정상",INDEX(임대자산!$D$3:$R$3000,MATCH($F1442,임대자산!$I$3:$I$3000,0),MATCH(I$4,임대자산!$D$3:$R$3,0)),
IF($D1442="폐업",INDEX(폐업정보!$D$3:$R$3000,MATCH($F1442,폐업정보!$I$3:$I$3000,0),MATCH(I$4,폐업정보!$D$3:$R$3,0)),
"Error"))</f>
        <v>A1437</v>
      </c>
      <c r="J1442" s="75" t="str">
        <f aca="false">
IF($D1442="정상",INDEX(임대자산!$D$3:$R$3000,MATCH($F1442,임대자산!$I$3:$I$3000,0),MATCH(J$4,임대자산!$D$3:$R$3,0)),
IF($D1442="폐업",INDEX(폐업정보!$D$3:$R$3000,MATCH($F1442,폐업정보!$I$3:$I$3000,0),MATCH(J$4,폐업정보!$D$3:$R$3,0)),
"Error"))</f>
        <v>6177600000</v>
      </c>
      <c r="K1442" s="75" t="str">
        <f aca="false">
IF($D1442="정상",INDEX(임대자산!$D$3:$R$3000,MATCH($F1442,임대자산!$I$3:$I$3000,0),MATCH(K$4,임대자산!$D$3:$R$3,0)),
IF($D1442="폐업",INDEX(폐업정보!$D$3:$R$3000,MATCH($F1442,폐업정보!$I$3:$I$3000,0),MATCH(K$4,폐업정보!$D$3:$R$3,0)),
"Error"))</f>
        <v>C1437</v>
      </c>
      <c r="L1442" s="75" t="str">
        <f aca="false">
IF($D1442="정상",INDEX(임대자산!$D$3:$R$3000,MATCH($F1442,임대자산!$I$3:$I$3000,0),MATCH(L$4,임대자산!$D$3:$R$3,0)),
IF($D1442="폐업",INDEX(폐업정보!$D$3:$R$3000,MATCH($F1442,폐업정보!$I$3:$I$3000,0),MATCH(L$4,폐업정보!$D$3:$R$3,0)),
"Error"))</f>
        <v>D1437</v>
      </c>
      <c r="M1442" s="76" t="s">
        <v>96</v>
      </c>
      <c r="N1442" s="77"/>
      <c r="O1442" s="78" t="s">
        <v>97</v>
      </c>
      <c r="P1442" s="79" t="n">
        <f aca="false">COUNTIFS(임대자산!$I:$I,가맹점정보!F1442,임대자산!$N:$N,가맹점정보!P$4)</f>
        <v>0</v>
      </c>
      <c r="Q1442" s="80" t="n">
        <f aca="false">COUNTIFS(임대자산!$I:$I,가맹점정보!F1442,임대자산!$N:$N,가맹점정보!Q$4)</f>
        <v>0</v>
      </c>
      <c r="R1442" s="81" t="n">
        <f aca="false">COUNTIFS(임대자산!$I:$I,가맹점정보!F1442,임대자산!$N:$N,가맹점정보!R$4)</f>
        <v>1</v>
      </c>
      <c r="S1442" s="82" t="n">
        <v>55000</v>
      </c>
      <c r="T1442" s="83" t="n">
        <v>0</v>
      </c>
      <c r="U1442" s="80" t="n">
        <f aca="false">SUM(S1442:T1442)</f>
        <v>55000</v>
      </c>
      <c r="V1442" s="84" t="s">
        <v>7</v>
      </c>
      <c r="W1442" s="80" t="str">
        <f aca="true">
IF(D1442="폐업","폐업",
IF(V1442="면제","면제",
IF(AND(V1442="정상",COUNTIFS(OFFSET(Y1442,0,COUNTA(Y1442:AV1442)-1,1,-4),"미납")&gt;=3),"장기미납",
IF(AND(V1442="정상",OFFSET(Y1442,0,COUNTA(Y1442:AV1442)-1)&gt;=U1442),"정상",
IF(AND(V1442="정상",OFFSET(Y1442,0,COUNTA(Y1442:AV1442)-1)=0),"정상",
"계약서 미작성")))))</f>
        <v>면제</v>
      </c>
      <c r="X1442" s="81" t="str">
        <f aca="true">
IF(D1442="폐업","폐업",
IF(AND(V1442="정상",OFFSET(Y1442,0,COUNTA(Y1442:AV1442)-1)="미납"),"미납",
IF(AND(V1442="정상",OFFSET(Y1442,0,COUNTA(Y1442:AV1442)-1)=0),"납부 시작 전",
IF(AND(V1442="정상",OFFSET(Y1442,0,COUNTA(Y1442:AV1442)-1)&gt;=U1442),"정상",
IF(AND(V1442="면제",OFFSET(Y1442,0,COUNTA(Y1442:AV1442)-1)="면제"),"면제",
IF(AND(V1442="면제",OFFSET(Y1442,0,COUNTA(Y1442:AV1442)-1)=0),"면제",
"확인요청"))))))</f>
        <v>면제</v>
      </c>
      <c r="Y1442" s="94" t="s">
        <v>7</v>
      </c>
      <c r="Z1442" s="95" t="s">
        <v>7</v>
      </c>
      <c r="AA1442" s="95" t="s">
        <v>7</v>
      </c>
      <c r="AB1442" s="95" t="s">
        <v>7</v>
      </c>
      <c r="AC1442" s="95" t="s">
        <v>7</v>
      </c>
      <c r="AD1442" s="95" t="s">
        <v>7</v>
      </c>
      <c r="AE1442" s="95" t="s">
        <v>7</v>
      </c>
      <c r="AF1442" s="95" t="s">
        <v>7</v>
      </c>
      <c r="AG1442" s="95" t="s">
        <v>7</v>
      </c>
      <c r="AH1442" s="95" t="s">
        <v>7</v>
      </c>
      <c r="AI1442" s="95" t="s">
        <v>7</v>
      </c>
      <c r="AJ1442" s="96" t="s">
        <v>7</v>
      </c>
      <c r="AK1442" s="97" t="s">
        <v>7</v>
      </c>
      <c r="AL1442" s="95" t="s">
        <v>7</v>
      </c>
      <c r="AM1442" s="90"/>
      <c r="AN1442" s="90"/>
      <c r="AO1442" s="90"/>
      <c r="AP1442" s="90"/>
      <c r="AQ1442" s="90"/>
      <c r="AR1442" s="90"/>
      <c r="AS1442" s="90"/>
      <c r="AT1442" s="90"/>
      <c r="AU1442" s="90"/>
      <c r="AV1442" s="91"/>
      <c r="AX1442" s="92"/>
    </row>
    <row r="1443" customFormat="false" ht="15.65" hidden="false" customHeight="false" outlineLevel="0" collapsed="false">
      <c r="C1443" s="72" t="n">
        <f aca="false">COUNTIFS($D$6:D1443,"&lt;&gt;"&amp;"")</f>
        <v>1438</v>
      </c>
      <c r="D1443" s="73" t="s">
        <v>12</v>
      </c>
      <c r="E1443" s="76" t="str">
        <f aca="false">
IF($D1443="정상",INDEX(임대자산!$D$3:$R$3000,MATCH($F1443,임대자산!$I$3:$I$3000,0),MATCH(E$3,임대자산!$D$3:$R$3,0)),
IF($D1443="폐업",INDEX(폐업정보!$D$3:$R$3000,MATCH($F1443,폐업정보!$I$3:$I$3000,0),MATCH(E$3,폐업정보!$D$3:$R$3,0)),
"Error"))</f>
        <v>경기</v>
      </c>
      <c r="F144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B1438</v>
      </c>
      <c r="G1443" s="76" t="str">
        <f aca="false">F1443&amp;RANDBETWEEN(0,10)</f>
        <v>B14387</v>
      </c>
      <c r="H1443" s="75" t="n">
        <f aca="false">
IF($D1443="정상",INDEX(임대자산!$D$3:$R$3000,MATCH($F1443,임대자산!$I$3:$I$3000,0),MATCH(H$4,임대자산!$D$3:$R$3,0)),
IF($D1443="폐업",INDEX(폐업정보!$D$3:$R$3000,MATCH($F1443,폐업정보!$I$3:$I$3000,0),MATCH(H$4,폐업정보!$D$3:$R$3,0)),
"Error"))</f>
        <v>45565</v>
      </c>
      <c r="I1443" s="75" t="str">
        <f aca="false">
IF($D1443="정상",INDEX(임대자산!$D$3:$R$3000,MATCH($F1443,임대자산!$I$3:$I$3000,0),MATCH(I$4,임대자산!$D$3:$R$3,0)),
IF($D1443="폐업",INDEX(폐업정보!$D$3:$R$3000,MATCH($F1443,폐업정보!$I$3:$I$3000,0),MATCH(I$4,폐업정보!$D$3:$R$3,0)),
"Error"))</f>
        <v>A1438</v>
      </c>
      <c r="J1443" s="75" t="str">
        <f aca="false">
IF($D1443="정상",INDEX(임대자산!$D$3:$R$3000,MATCH($F1443,임대자산!$I$3:$I$3000,0),MATCH(J$4,임대자산!$D$3:$R$3,0)),
IF($D1443="폐업",INDEX(폐업정보!$D$3:$R$3000,MATCH($F1443,폐업정보!$I$3:$I$3000,0),MATCH(J$4,폐업정보!$D$3:$R$3,0)),
"Error"))</f>
        <v>8774100000</v>
      </c>
      <c r="K1443" s="75" t="str">
        <f aca="false">
IF($D1443="정상",INDEX(임대자산!$D$3:$R$3000,MATCH($F1443,임대자산!$I$3:$I$3000,0),MATCH(K$4,임대자산!$D$3:$R$3,0)),
IF($D1443="폐업",INDEX(폐업정보!$D$3:$R$3000,MATCH($F1443,폐업정보!$I$3:$I$3000,0),MATCH(K$4,폐업정보!$D$3:$R$3,0)),
"Error"))</f>
        <v>C1438</v>
      </c>
      <c r="L1443" s="75" t="str">
        <f aca="false">
IF($D1443="정상",INDEX(임대자산!$D$3:$R$3000,MATCH($F1443,임대자산!$I$3:$I$3000,0),MATCH(L$4,임대자산!$D$3:$R$3,0)),
IF($D1443="폐업",INDEX(폐업정보!$D$3:$R$3000,MATCH($F1443,폐업정보!$I$3:$I$3000,0),MATCH(L$4,폐업정보!$D$3:$R$3,0)),
"Error"))</f>
        <v>D1438</v>
      </c>
      <c r="M1443" s="76" t="s">
        <v>96</v>
      </c>
      <c r="N1443" s="77"/>
      <c r="O1443" s="78" t="s">
        <v>97</v>
      </c>
      <c r="P1443" s="79" t="n">
        <f aca="false">COUNTIFS(임대자산!$I:$I,가맹점정보!F1443,임대자산!$N:$N,가맹점정보!P$4)</f>
        <v>0</v>
      </c>
      <c r="Q1443" s="80" t="n">
        <f aca="false">COUNTIFS(임대자산!$I:$I,가맹점정보!F1443,임대자산!$N:$N,가맹점정보!Q$4)</f>
        <v>0</v>
      </c>
      <c r="R1443" s="81" t="n">
        <f aca="false">COUNTIFS(임대자산!$I:$I,가맹점정보!F1443,임대자산!$N:$N,가맹점정보!R$4)</f>
        <v>1</v>
      </c>
      <c r="S1443" s="82" t="n">
        <v>55000</v>
      </c>
      <c r="T1443" s="83" t="n">
        <v>0</v>
      </c>
      <c r="U1443" s="80" t="n">
        <f aca="false">SUM(S1443:T1443)</f>
        <v>55000</v>
      </c>
      <c r="V1443" s="84" t="s">
        <v>7</v>
      </c>
      <c r="W1443" s="80" t="str">
        <f aca="true">
IF(D1443="폐업","폐업",
IF(V1443="면제","면제",
IF(AND(V1443="정상",COUNTIFS(OFFSET(Y1443,0,COUNTA(Y1443:AV1443)-1,1,-4),"미납")&gt;=3),"장기미납",
IF(AND(V1443="정상",OFFSET(Y1443,0,COUNTA(Y1443:AV1443)-1)&gt;=U1443),"정상",
IF(AND(V1443="정상",OFFSET(Y1443,0,COUNTA(Y1443:AV1443)-1)=0),"정상",
"계약서 미작성")))))</f>
        <v>면제</v>
      </c>
      <c r="X1443" s="81" t="str">
        <f aca="true">
IF(D1443="폐업","폐업",
IF(AND(V1443="정상",OFFSET(Y1443,0,COUNTA(Y1443:AV1443)-1)="미납"),"미납",
IF(AND(V1443="정상",OFFSET(Y1443,0,COUNTA(Y1443:AV1443)-1)=0),"납부 시작 전",
IF(AND(V1443="정상",OFFSET(Y1443,0,COUNTA(Y1443:AV1443)-1)&gt;=U1443),"정상",
IF(AND(V1443="면제",OFFSET(Y1443,0,COUNTA(Y1443:AV1443)-1)="면제"),"면제",
IF(AND(V1443="면제",OFFSET(Y1443,0,COUNTA(Y1443:AV1443)-1)=0),"면제",
"확인요청"))))))</f>
        <v>면제</v>
      </c>
      <c r="Y1443" s="94" t="s">
        <v>7</v>
      </c>
      <c r="Z1443" s="95" t="s">
        <v>7</v>
      </c>
      <c r="AA1443" s="95" t="s">
        <v>7</v>
      </c>
      <c r="AB1443" s="95" t="s">
        <v>7</v>
      </c>
      <c r="AC1443" s="95" t="s">
        <v>7</v>
      </c>
      <c r="AD1443" s="95" t="s">
        <v>7</v>
      </c>
      <c r="AE1443" s="95" t="s">
        <v>7</v>
      </c>
      <c r="AF1443" s="95" t="s">
        <v>7</v>
      </c>
      <c r="AG1443" s="95" t="s">
        <v>7</v>
      </c>
      <c r="AH1443" s="95" t="s">
        <v>7</v>
      </c>
      <c r="AI1443" s="95" t="s">
        <v>7</v>
      </c>
      <c r="AJ1443" s="96" t="s">
        <v>7</v>
      </c>
      <c r="AK1443" s="97" t="s">
        <v>7</v>
      </c>
      <c r="AL1443" s="95" t="s">
        <v>7</v>
      </c>
      <c r="AM1443" s="90"/>
      <c r="AN1443" s="90"/>
      <c r="AO1443" s="90"/>
      <c r="AP1443" s="90"/>
      <c r="AQ1443" s="90"/>
      <c r="AR1443" s="90"/>
      <c r="AS1443" s="90"/>
      <c r="AT1443" s="90"/>
      <c r="AU1443" s="90"/>
      <c r="AV1443" s="91"/>
      <c r="AX1443" s="92"/>
    </row>
    <row r="1444" customFormat="false" ht="15.65" hidden="false" customHeight="false" outlineLevel="0" collapsed="false">
      <c r="C1444" s="72" t="n">
        <f aca="false">COUNTIFS($D$6:D1444,"&lt;&gt;"&amp;"")</f>
        <v>1439</v>
      </c>
      <c r="D1444" s="73" t="s">
        <v>12</v>
      </c>
      <c r="E1444" s="76" t="str">
        <f aca="false">
IF($D1444="정상",INDEX(임대자산!$D$3:$R$3000,MATCH($F1444,임대자산!$I$3:$I$3000,0),MATCH(E$3,임대자산!$D$3:$R$3,0)),
IF($D1444="폐업",INDEX(폐업정보!$D$3:$R$3000,MATCH($F1444,폐업정보!$I$3:$I$3000,0),MATCH(E$3,폐업정보!$D$3:$R$3,0)),
"Error"))</f>
        <v>경기</v>
      </c>
      <c r="F144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B1439</v>
      </c>
      <c r="G1444" s="76" t="str">
        <f aca="false">F1444&amp;RANDBETWEEN(0,10)</f>
        <v>B14393</v>
      </c>
      <c r="H1444" s="75" t="n">
        <f aca="false">
IF($D1444="정상",INDEX(임대자산!$D$3:$R$3000,MATCH($F1444,임대자산!$I$3:$I$3000,0),MATCH(H$4,임대자산!$D$3:$R$3,0)),
IF($D1444="폐업",INDEX(폐업정보!$D$3:$R$3000,MATCH($F1444,폐업정보!$I$3:$I$3000,0),MATCH(H$4,폐업정보!$D$3:$R$3,0)),
"Error"))</f>
        <v>45565</v>
      </c>
      <c r="I1444" s="75" t="str">
        <f aca="false">
IF($D1444="정상",INDEX(임대자산!$D$3:$R$3000,MATCH($F1444,임대자산!$I$3:$I$3000,0),MATCH(I$4,임대자산!$D$3:$R$3,0)),
IF($D1444="폐업",INDEX(폐업정보!$D$3:$R$3000,MATCH($F1444,폐업정보!$I$3:$I$3000,0),MATCH(I$4,폐업정보!$D$3:$R$3,0)),
"Error"))</f>
        <v>A1439</v>
      </c>
      <c r="J1444" s="75" t="str">
        <f aca="false">
IF($D1444="정상",INDEX(임대자산!$D$3:$R$3000,MATCH($F1444,임대자산!$I$3:$I$3000,0),MATCH(J$4,임대자산!$D$3:$R$3,0)),
IF($D1444="폐업",INDEX(폐업정보!$D$3:$R$3000,MATCH($F1444,폐업정보!$I$3:$I$3000,0),MATCH(J$4,폐업정보!$D$3:$R$3,0)),
"Error"))</f>
        <v>3921600000</v>
      </c>
      <c r="K1444" s="75" t="str">
        <f aca="false">
IF($D1444="정상",INDEX(임대자산!$D$3:$R$3000,MATCH($F1444,임대자산!$I$3:$I$3000,0),MATCH(K$4,임대자산!$D$3:$R$3,0)),
IF($D1444="폐업",INDEX(폐업정보!$D$3:$R$3000,MATCH($F1444,폐업정보!$I$3:$I$3000,0),MATCH(K$4,폐업정보!$D$3:$R$3,0)),
"Error"))</f>
        <v>C1439</v>
      </c>
      <c r="L1444" s="75" t="str">
        <f aca="false">
IF($D1444="정상",INDEX(임대자산!$D$3:$R$3000,MATCH($F1444,임대자산!$I$3:$I$3000,0),MATCH(L$4,임대자산!$D$3:$R$3,0)),
IF($D1444="폐업",INDEX(폐업정보!$D$3:$R$3000,MATCH($F1444,폐업정보!$I$3:$I$3000,0),MATCH(L$4,폐업정보!$D$3:$R$3,0)),
"Error"))</f>
        <v>D1439</v>
      </c>
      <c r="M1444" s="76" t="s">
        <v>96</v>
      </c>
      <c r="N1444" s="77"/>
      <c r="O1444" s="78" t="s">
        <v>97</v>
      </c>
      <c r="P1444" s="79" t="n">
        <f aca="false">COUNTIFS(임대자산!$I:$I,가맹점정보!F1444,임대자산!$N:$N,가맹점정보!P$4)</f>
        <v>0</v>
      </c>
      <c r="Q1444" s="80" t="n">
        <f aca="false">COUNTIFS(임대자산!$I:$I,가맹점정보!F1444,임대자산!$N:$N,가맹점정보!Q$4)</f>
        <v>0</v>
      </c>
      <c r="R1444" s="81" t="n">
        <f aca="false">COUNTIFS(임대자산!$I:$I,가맹점정보!F1444,임대자산!$N:$N,가맹점정보!R$4)</f>
        <v>1</v>
      </c>
      <c r="S1444" s="82" t="n">
        <v>88000</v>
      </c>
      <c r="T1444" s="83" t="n">
        <v>0</v>
      </c>
      <c r="U1444" s="80" t="n">
        <f aca="false">SUM(S1444:T1444)</f>
        <v>88000</v>
      </c>
      <c r="V1444" s="84" t="s">
        <v>7</v>
      </c>
      <c r="W1444" s="80" t="str">
        <f aca="true">
IF(D1444="폐업","폐업",
IF(V1444="면제","면제",
IF(AND(V1444="정상",COUNTIFS(OFFSET(Y1444,0,COUNTA(Y1444:AV1444)-1,1,-4),"미납")&gt;=3),"장기미납",
IF(AND(V1444="정상",OFFSET(Y1444,0,COUNTA(Y1444:AV1444)-1)&gt;=U1444),"정상",
IF(AND(V1444="정상",OFFSET(Y1444,0,COUNTA(Y1444:AV1444)-1)=0),"정상",
"계약서 미작성")))))</f>
        <v>면제</v>
      </c>
      <c r="X1444" s="81" t="str">
        <f aca="true">
IF(D1444="폐업","폐업",
IF(AND(V1444="정상",OFFSET(Y1444,0,COUNTA(Y1444:AV1444)-1)="미납"),"미납",
IF(AND(V1444="정상",OFFSET(Y1444,0,COUNTA(Y1444:AV1444)-1)=0),"납부 시작 전",
IF(AND(V1444="정상",OFFSET(Y1444,0,COUNTA(Y1444:AV1444)-1)&gt;=U1444),"정상",
IF(AND(V1444="면제",OFFSET(Y1444,0,COUNTA(Y1444:AV1444)-1)="면제"),"면제",
IF(AND(V1444="면제",OFFSET(Y1444,0,COUNTA(Y1444:AV1444)-1)=0),"면제",
"확인요청"))))))</f>
        <v>면제</v>
      </c>
      <c r="Y1444" s="94" t="s">
        <v>7</v>
      </c>
      <c r="Z1444" s="95" t="s">
        <v>7</v>
      </c>
      <c r="AA1444" s="95" t="s">
        <v>7</v>
      </c>
      <c r="AB1444" s="95" t="s">
        <v>7</v>
      </c>
      <c r="AC1444" s="95" t="s">
        <v>7</v>
      </c>
      <c r="AD1444" s="95" t="s">
        <v>7</v>
      </c>
      <c r="AE1444" s="95" t="s">
        <v>7</v>
      </c>
      <c r="AF1444" s="95" t="s">
        <v>7</v>
      </c>
      <c r="AG1444" s="95" t="s">
        <v>7</v>
      </c>
      <c r="AH1444" s="95" t="s">
        <v>7</v>
      </c>
      <c r="AI1444" s="95" t="s">
        <v>7</v>
      </c>
      <c r="AJ1444" s="96" t="s">
        <v>7</v>
      </c>
      <c r="AK1444" s="97" t="s">
        <v>7</v>
      </c>
      <c r="AL1444" s="95" t="s">
        <v>7</v>
      </c>
      <c r="AM1444" s="90"/>
      <c r="AN1444" s="90"/>
      <c r="AO1444" s="90"/>
      <c r="AP1444" s="90"/>
      <c r="AQ1444" s="90"/>
      <c r="AR1444" s="90"/>
      <c r="AS1444" s="90"/>
      <c r="AT1444" s="90"/>
      <c r="AU1444" s="90"/>
      <c r="AV1444" s="91"/>
      <c r="AX1444" s="92"/>
    </row>
    <row r="1445" customFormat="false" ht="15.65" hidden="false" customHeight="false" outlineLevel="0" collapsed="false">
      <c r="C1445" s="72" t="n">
        <f aca="false">COUNTIFS($D$6:D1445,"&lt;&gt;"&amp;"")</f>
        <v>1440</v>
      </c>
      <c r="D1445" s="73" t="s">
        <v>12</v>
      </c>
      <c r="E1445" s="76" t="str">
        <f aca="false">
IF($D1445="정상",INDEX(임대자산!$D$3:$R$3000,MATCH($F1445,임대자산!$I$3:$I$3000,0),MATCH(E$3,임대자산!$D$3:$R$3,0)),
IF($D1445="폐업",INDEX(폐업정보!$D$3:$R$3000,MATCH($F1445,폐업정보!$I$3:$I$3000,0),MATCH(E$3,폐업정보!$D$3:$R$3,0)),
"Error"))</f>
        <v>경상</v>
      </c>
      <c r="F144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B1440</v>
      </c>
      <c r="G1445" s="76" t="str">
        <f aca="false">F1445&amp;RANDBETWEEN(0,10)</f>
        <v>B14400</v>
      </c>
      <c r="H1445" s="75" t="n">
        <f aca="false">
IF($D1445="정상",INDEX(임대자산!$D$3:$R$3000,MATCH($F1445,임대자산!$I$3:$I$3000,0),MATCH(H$4,임대자산!$D$3:$R$3,0)),
IF($D1445="폐업",INDEX(폐업정보!$D$3:$R$3000,MATCH($F1445,폐업정보!$I$3:$I$3000,0),MATCH(H$4,폐업정보!$D$3:$R$3,0)),
"Error"))</f>
        <v>45826</v>
      </c>
      <c r="I1445" s="75" t="str">
        <f aca="false">
IF($D1445="정상",INDEX(임대자산!$D$3:$R$3000,MATCH($F1445,임대자산!$I$3:$I$3000,0),MATCH(I$4,임대자산!$D$3:$R$3,0)),
IF($D1445="폐업",INDEX(폐업정보!$D$3:$R$3000,MATCH($F1445,폐업정보!$I$3:$I$3000,0),MATCH(I$4,폐업정보!$D$3:$R$3,0)),
"Error"))</f>
        <v>A1440</v>
      </c>
      <c r="J1445" s="75" t="str">
        <f aca="false">
IF($D1445="정상",INDEX(임대자산!$D$3:$R$3000,MATCH($F1445,임대자산!$I$3:$I$3000,0),MATCH(J$4,임대자산!$D$3:$R$3,0)),
IF($D1445="폐업",INDEX(폐업정보!$D$3:$R$3000,MATCH($F1445,폐업정보!$I$3:$I$3000,0),MATCH(J$4,폐업정보!$D$3:$R$3,0)),
"Error"))</f>
        <v>1332300000</v>
      </c>
      <c r="K1445" s="75" t="str">
        <f aca="false">
IF($D1445="정상",INDEX(임대자산!$D$3:$R$3000,MATCH($F1445,임대자산!$I$3:$I$3000,0),MATCH(K$4,임대자산!$D$3:$R$3,0)),
IF($D1445="폐업",INDEX(폐업정보!$D$3:$R$3000,MATCH($F1445,폐업정보!$I$3:$I$3000,0),MATCH(K$4,폐업정보!$D$3:$R$3,0)),
"Error"))</f>
        <v>C1440</v>
      </c>
      <c r="L1445" s="75" t="str">
        <f aca="false">
IF($D1445="정상",INDEX(임대자산!$D$3:$R$3000,MATCH($F1445,임대자산!$I$3:$I$3000,0),MATCH(L$4,임대자산!$D$3:$R$3,0)),
IF($D1445="폐업",INDEX(폐업정보!$D$3:$R$3000,MATCH($F1445,폐업정보!$I$3:$I$3000,0),MATCH(L$4,폐업정보!$D$3:$R$3,0)),
"Error"))</f>
        <v>D1440</v>
      </c>
      <c r="M1445" s="76" t="s">
        <v>96</v>
      </c>
      <c r="N1445" s="77"/>
      <c r="O1445" s="78" t="s">
        <v>97</v>
      </c>
      <c r="P1445" s="79" t="n">
        <f aca="false">COUNTIFS(임대자산!$I:$I,가맹점정보!F1445,임대자산!$N:$N,가맹점정보!P$4)</f>
        <v>0</v>
      </c>
      <c r="Q1445" s="80" t="n">
        <f aca="false">COUNTIFS(임대자산!$I:$I,가맹점정보!F1445,임대자산!$N:$N,가맹점정보!Q$4)</f>
        <v>0</v>
      </c>
      <c r="R1445" s="81" t="n">
        <f aca="false">COUNTIFS(임대자산!$I:$I,가맹점정보!F1445,임대자산!$N:$N,가맹점정보!R$4)</f>
        <v>1</v>
      </c>
      <c r="S1445" s="82" t="n">
        <v>55000</v>
      </c>
      <c r="T1445" s="83" t="n">
        <v>0</v>
      </c>
      <c r="U1445" s="80" t="n">
        <f aca="false">SUM(S1445:T1445)</f>
        <v>55000</v>
      </c>
      <c r="V1445" s="84" t="s">
        <v>12</v>
      </c>
      <c r="W1445" s="80" t="e">
        <f aca="true">
IF(D1445="폐업","폐업",
IF(V1445="면제","면제",
IF(AND(V1445="정상",COUNTIFS(OFFSET(Y1445,0,COUNTA(Y1445:AV1445)-1,1,-4),"미납")&gt;=3),"장기미납",
IF(AND(V1445="정상",OFFSET(Y1445,0,COUNTA(Y1445:AV1445)-1)&gt;=U1445),"정상",
IF(AND(V1445="정상",OFFSET(Y1445,0,COUNTA(Y1445:AV1445)-1)=0),"정상",
"계약서 미작성")))))</f>
        <v>#VALUE!</v>
      </c>
      <c r="X1445" s="81" t="str">
        <f aca="true">
IF(D1445="폐업","폐업",
IF(AND(V1445="정상",OFFSET(Y1445,0,COUNTA(Y1445:AV1445)-1)="미납"),"미납",
IF(AND(V1445="정상",OFFSET(Y1445,0,COUNTA(Y1445:AV1445)-1)=0),"납부 시작 전",
IF(AND(V1445="정상",OFFSET(Y1445,0,COUNTA(Y1445:AV1445)-1)&gt;=U1445),"정상",
IF(AND(V1445="면제",OFFSET(Y1445,0,COUNTA(Y1445:AV1445)-1)="면제"),"면제",
IF(AND(V1445="면제",OFFSET(Y1445,0,COUNTA(Y1445:AV1445)-1)=0),"면제",
"확인요청"))))))</f>
        <v>정상</v>
      </c>
      <c r="Y1445" s="93" t="n">
        <v>55000</v>
      </c>
      <c r="Z1445" s="90" t="n">
        <v>55000</v>
      </c>
      <c r="AA1445" s="90" t="n">
        <v>55000</v>
      </c>
      <c r="AB1445" s="90" t="n">
        <v>55000</v>
      </c>
      <c r="AC1445" s="90" t="n">
        <v>55000</v>
      </c>
      <c r="AD1445" s="90" t="n">
        <v>55000</v>
      </c>
      <c r="AE1445" s="90" t="n">
        <v>55000</v>
      </c>
      <c r="AF1445" s="90" t="n">
        <v>55000</v>
      </c>
      <c r="AG1445" s="90" t="n">
        <v>55000</v>
      </c>
      <c r="AH1445" s="90" t="n">
        <v>55000</v>
      </c>
      <c r="AI1445" s="90" t="n">
        <v>55000</v>
      </c>
      <c r="AJ1445" s="91" t="n">
        <v>55000</v>
      </c>
      <c r="AK1445" s="89" t="n">
        <v>55000</v>
      </c>
      <c r="AL1445" s="90" t="n">
        <v>55000</v>
      </c>
      <c r="AM1445" s="90"/>
      <c r="AN1445" s="90"/>
      <c r="AO1445" s="90"/>
      <c r="AP1445" s="90"/>
      <c r="AQ1445" s="90"/>
      <c r="AR1445" s="90"/>
      <c r="AS1445" s="90"/>
      <c r="AT1445" s="90"/>
      <c r="AU1445" s="90"/>
      <c r="AV1445" s="91"/>
      <c r="AX1445" s="92"/>
    </row>
    <row r="1446" customFormat="false" ht="15.65" hidden="false" customHeight="false" outlineLevel="0" collapsed="false">
      <c r="C1446" s="72" t="n">
        <f aca="false">COUNTIFS($D$6:D1446,"&lt;&gt;"&amp;"")</f>
        <v>1441</v>
      </c>
      <c r="D1446" s="73" t="s">
        <v>12</v>
      </c>
      <c r="E1446" s="76" t="str">
        <f aca="false">
IF($D1446="정상",INDEX(임대자산!$D$3:$R$3000,MATCH($F1446,임대자산!$I$3:$I$3000,0),MATCH(E$3,임대자산!$D$3:$R$3,0)),
IF($D1446="폐업",INDEX(폐업정보!$D$3:$R$3000,MATCH($F1446,폐업정보!$I$3:$I$3000,0),MATCH(E$3,폐업정보!$D$3:$R$3,0)),
"Error"))</f>
        <v>경상</v>
      </c>
      <c r="F144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B1441</v>
      </c>
      <c r="G1446" s="76" t="str">
        <f aca="false">F1446&amp;RANDBETWEEN(0,10)</f>
        <v>B14411</v>
      </c>
      <c r="H1446" s="75" t="n">
        <f aca="false">
IF($D1446="정상",INDEX(임대자산!$D$3:$R$3000,MATCH($F1446,임대자산!$I$3:$I$3000,0),MATCH(H$4,임대자산!$D$3:$R$3,0)),
IF($D1446="폐업",INDEX(폐업정보!$D$3:$R$3000,MATCH($F1446,폐업정보!$I$3:$I$3000,0),MATCH(H$4,폐업정보!$D$3:$R$3,0)),
"Error"))</f>
        <v>45406</v>
      </c>
      <c r="I1446" s="75" t="str">
        <f aca="false">
IF($D1446="정상",INDEX(임대자산!$D$3:$R$3000,MATCH($F1446,임대자산!$I$3:$I$3000,0),MATCH(I$4,임대자산!$D$3:$R$3,0)),
IF($D1446="폐업",INDEX(폐업정보!$D$3:$R$3000,MATCH($F1446,폐업정보!$I$3:$I$3000,0),MATCH(I$4,폐업정보!$D$3:$R$3,0)),
"Error"))</f>
        <v>A1441</v>
      </c>
      <c r="J1446" s="75" t="str">
        <f aca="false">
IF($D1446="정상",INDEX(임대자산!$D$3:$R$3000,MATCH($F1446,임대자산!$I$3:$I$3000,0),MATCH(J$4,임대자산!$D$3:$R$3,0)),
IF($D1446="폐업",INDEX(폐업정보!$D$3:$R$3000,MATCH($F1446,폐업정보!$I$3:$I$3000,0),MATCH(J$4,폐업정보!$D$3:$R$3,0)),
"Error"))</f>
        <v>5171000000</v>
      </c>
      <c r="K1446" s="75" t="str">
        <f aca="false">
IF($D1446="정상",INDEX(임대자산!$D$3:$R$3000,MATCH($F1446,임대자산!$I$3:$I$3000,0),MATCH(K$4,임대자산!$D$3:$R$3,0)),
IF($D1446="폐업",INDEX(폐업정보!$D$3:$R$3000,MATCH($F1446,폐업정보!$I$3:$I$3000,0),MATCH(K$4,폐업정보!$D$3:$R$3,0)),
"Error"))</f>
        <v>C1441</v>
      </c>
      <c r="L1446" s="75" t="str">
        <f aca="false">
IF($D1446="정상",INDEX(임대자산!$D$3:$R$3000,MATCH($F1446,임대자산!$I$3:$I$3000,0),MATCH(L$4,임대자산!$D$3:$R$3,0)),
IF($D1446="폐업",INDEX(폐업정보!$D$3:$R$3000,MATCH($F1446,폐업정보!$I$3:$I$3000,0),MATCH(L$4,폐업정보!$D$3:$R$3,0)),
"Error"))</f>
        <v>D1441</v>
      </c>
      <c r="M1446" s="76" t="s">
        <v>96</v>
      </c>
      <c r="N1446" s="77"/>
      <c r="O1446" s="78" t="s">
        <v>97</v>
      </c>
      <c r="P1446" s="79" t="n">
        <f aca="false">COUNTIFS(임대자산!$I:$I,가맹점정보!F1446,임대자산!$N:$N,가맹점정보!P$4)</f>
        <v>0</v>
      </c>
      <c r="Q1446" s="80" t="n">
        <f aca="false">COUNTIFS(임대자산!$I:$I,가맹점정보!F1446,임대자산!$N:$N,가맹점정보!Q$4)</f>
        <v>0</v>
      </c>
      <c r="R1446" s="81" t="n">
        <f aca="false">COUNTIFS(임대자산!$I:$I,가맹점정보!F1446,임대자산!$N:$N,가맹점정보!R$4)</f>
        <v>1</v>
      </c>
      <c r="S1446" s="82" t="n">
        <v>55000</v>
      </c>
      <c r="T1446" s="83" t="n">
        <v>0</v>
      </c>
      <c r="U1446" s="80" t="n">
        <f aca="false">SUM(S1446:T1446)</f>
        <v>55000</v>
      </c>
      <c r="V1446" s="84" t="s">
        <v>7</v>
      </c>
      <c r="W1446" s="80" t="str">
        <f aca="true">
IF(D1446="폐업","폐업",
IF(V1446="면제","면제",
IF(AND(V1446="정상",COUNTIFS(OFFSET(Y1446,0,COUNTA(Y1446:AV1446)-1,1,-4),"미납")&gt;=3),"장기미납",
IF(AND(V1446="정상",OFFSET(Y1446,0,COUNTA(Y1446:AV1446)-1)&gt;=U1446),"정상",
IF(AND(V1446="정상",OFFSET(Y1446,0,COUNTA(Y1446:AV1446)-1)=0),"정상",
"계약서 미작성")))))</f>
        <v>면제</v>
      </c>
      <c r="X1446" s="81" t="str">
        <f aca="true">
IF(D1446="폐업","폐업",
IF(AND(V1446="정상",OFFSET(Y1446,0,COUNTA(Y1446:AV1446)-1)="미납"),"미납",
IF(AND(V1446="정상",OFFSET(Y1446,0,COUNTA(Y1446:AV1446)-1)=0),"납부 시작 전",
IF(AND(V1446="정상",OFFSET(Y1446,0,COUNTA(Y1446:AV1446)-1)&gt;=U1446),"정상",
IF(AND(V1446="면제",OFFSET(Y1446,0,COUNTA(Y1446:AV1446)-1)="면제"),"면제",
IF(AND(V1446="면제",OFFSET(Y1446,0,COUNTA(Y1446:AV1446)-1)=0),"면제",
"확인요청"))))))</f>
        <v>면제</v>
      </c>
      <c r="Y1446" s="94" t="s">
        <v>7</v>
      </c>
      <c r="Z1446" s="95" t="s">
        <v>7</v>
      </c>
      <c r="AA1446" s="95" t="s">
        <v>7</v>
      </c>
      <c r="AB1446" s="95" t="s">
        <v>7</v>
      </c>
      <c r="AC1446" s="95" t="s">
        <v>7</v>
      </c>
      <c r="AD1446" s="95" t="s">
        <v>7</v>
      </c>
      <c r="AE1446" s="95" t="s">
        <v>7</v>
      </c>
      <c r="AF1446" s="95" t="s">
        <v>7</v>
      </c>
      <c r="AG1446" s="95" t="s">
        <v>7</v>
      </c>
      <c r="AH1446" s="95" t="s">
        <v>7</v>
      </c>
      <c r="AI1446" s="95" t="s">
        <v>7</v>
      </c>
      <c r="AJ1446" s="96" t="s">
        <v>7</v>
      </c>
      <c r="AK1446" s="97" t="s">
        <v>7</v>
      </c>
      <c r="AL1446" s="95" t="s">
        <v>7</v>
      </c>
      <c r="AM1446" s="90"/>
      <c r="AN1446" s="90"/>
      <c r="AO1446" s="90"/>
      <c r="AP1446" s="90"/>
      <c r="AQ1446" s="90"/>
      <c r="AR1446" s="90"/>
      <c r="AS1446" s="90"/>
      <c r="AT1446" s="90"/>
      <c r="AU1446" s="90"/>
      <c r="AV1446" s="91"/>
      <c r="AX1446" s="92"/>
    </row>
    <row r="1447" customFormat="false" ht="15.65" hidden="false" customHeight="false" outlineLevel="0" collapsed="false">
      <c r="C1447" s="72" t="n">
        <f aca="false">COUNTIFS($D$6:D1447,"&lt;&gt;"&amp;"")</f>
        <v>1442</v>
      </c>
      <c r="D1447" s="73" t="s">
        <v>12</v>
      </c>
      <c r="E1447" s="76" t="str">
        <f aca="false">
IF($D1447="정상",INDEX(임대자산!$D$3:$R$3000,MATCH($F1447,임대자산!$I$3:$I$3000,0),MATCH(E$3,임대자산!$D$3:$R$3,0)),
IF($D1447="폐업",INDEX(폐업정보!$D$3:$R$3000,MATCH($F1447,폐업정보!$I$3:$I$3000,0),MATCH(E$3,폐업정보!$D$3:$R$3,0)),
"Error"))</f>
        <v>경상</v>
      </c>
      <c r="F144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B1442</v>
      </c>
      <c r="G1447" s="76" t="str">
        <f aca="false">F1447&amp;RANDBETWEEN(0,10)</f>
        <v>B14429</v>
      </c>
      <c r="H1447" s="75" t="n">
        <f aca="false">
IF($D1447="정상",INDEX(임대자산!$D$3:$R$3000,MATCH($F1447,임대자산!$I$3:$I$3000,0),MATCH(H$4,임대자산!$D$3:$R$3,0)),
IF($D1447="폐업",INDEX(폐업정보!$D$3:$R$3000,MATCH($F1447,폐업정보!$I$3:$I$3000,0),MATCH(H$4,폐업정보!$D$3:$R$3,0)),
"Error"))</f>
        <v>45406</v>
      </c>
      <c r="I1447" s="75" t="str">
        <f aca="false">
IF($D1447="정상",INDEX(임대자산!$D$3:$R$3000,MATCH($F1447,임대자산!$I$3:$I$3000,0),MATCH(I$4,임대자산!$D$3:$R$3,0)),
IF($D1447="폐업",INDEX(폐업정보!$D$3:$R$3000,MATCH($F1447,폐업정보!$I$3:$I$3000,0),MATCH(I$4,폐업정보!$D$3:$R$3,0)),
"Error"))</f>
        <v>A1442</v>
      </c>
      <c r="J1447" s="75" t="str">
        <f aca="false">
IF($D1447="정상",INDEX(임대자산!$D$3:$R$3000,MATCH($F1447,임대자산!$I$3:$I$3000,0),MATCH(J$4,임대자산!$D$3:$R$3,0)),
IF($D1447="폐업",INDEX(폐업정보!$D$3:$R$3000,MATCH($F1447,폐업정보!$I$3:$I$3000,0),MATCH(J$4,폐업정보!$D$3:$R$3,0)),
"Error"))</f>
        <v>8035600000</v>
      </c>
      <c r="K1447" s="75" t="str">
        <f aca="false">
IF($D1447="정상",INDEX(임대자산!$D$3:$R$3000,MATCH($F1447,임대자산!$I$3:$I$3000,0),MATCH(K$4,임대자산!$D$3:$R$3,0)),
IF($D1447="폐업",INDEX(폐업정보!$D$3:$R$3000,MATCH($F1447,폐업정보!$I$3:$I$3000,0),MATCH(K$4,폐업정보!$D$3:$R$3,0)),
"Error"))</f>
        <v>C1442</v>
      </c>
      <c r="L1447" s="75" t="str">
        <f aca="false">
IF($D1447="정상",INDEX(임대자산!$D$3:$R$3000,MATCH($F1447,임대자산!$I$3:$I$3000,0),MATCH(L$4,임대자산!$D$3:$R$3,0)),
IF($D1447="폐업",INDEX(폐업정보!$D$3:$R$3000,MATCH($F1447,폐업정보!$I$3:$I$3000,0),MATCH(L$4,폐업정보!$D$3:$R$3,0)),
"Error"))</f>
        <v>D1442</v>
      </c>
      <c r="M1447" s="76" t="s">
        <v>96</v>
      </c>
      <c r="N1447" s="77"/>
      <c r="O1447" s="78" t="s">
        <v>97</v>
      </c>
      <c r="P1447" s="79" t="n">
        <f aca="false">COUNTIFS(임대자산!$I:$I,가맹점정보!F1447,임대자산!$N:$N,가맹점정보!P$4)</f>
        <v>0</v>
      </c>
      <c r="Q1447" s="80" t="n">
        <f aca="false">COUNTIFS(임대자산!$I:$I,가맹점정보!F1447,임대자산!$N:$N,가맹점정보!Q$4)</f>
        <v>0</v>
      </c>
      <c r="R1447" s="81" t="n">
        <f aca="false">COUNTIFS(임대자산!$I:$I,가맹점정보!F1447,임대자산!$N:$N,가맹점정보!R$4)</f>
        <v>1</v>
      </c>
      <c r="S1447" s="82" t="n">
        <v>55000</v>
      </c>
      <c r="T1447" s="83" t="n">
        <v>0</v>
      </c>
      <c r="U1447" s="80" t="n">
        <f aca="false">SUM(S1447:T1447)</f>
        <v>55000</v>
      </c>
      <c r="V1447" s="84" t="s">
        <v>7</v>
      </c>
      <c r="W1447" s="80" t="str">
        <f aca="true">
IF(D1447="폐업","폐업",
IF(V1447="면제","면제",
IF(AND(V1447="정상",COUNTIFS(OFFSET(Y1447,0,COUNTA(Y1447:AV1447)-1,1,-4),"미납")&gt;=3),"장기미납",
IF(AND(V1447="정상",OFFSET(Y1447,0,COUNTA(Y1447:AV1447)-1)&gt;=U1447),"정상",
IF(AND(V1447="정상",OFFSET(Y1447,0,COUNTA(Y1447:AV1447)-1)=0),"정상",
"계약서 미작성")))))</f>
        <v>면제</v>
      </c>
      <c r="X1447" s="81" t="str">
        <f aca="true">
IF(D1447="폐업","폐업",
IF(AND(V1447="정상",OFFSET(Y1447,0,COUNTA(Y1447:AV1447)-1)="미납"),"미납",
IF(AND(V1447="정상",OFFSET(Y1447,0,COUNTA(Y1447:AV1447)-1)=0),"납부 시작 전",
IF(AND(V1447="정상",OFFSET(Y1447,0,COUNTA(Y1447:AV1447)-1)&gt;=U1447),"정상",
IF(AND(V1447="면제",OFFSET(Y1447,0,COUNTA(Y1447:AV1447)-1)="면제"),"면제",
IF(AND(V1447="면제",OFFSET(Y1447,0,COUNTA(Y1447:AV1447)-1)=0),"면제",
"확인요청"))))))</f>
        <v>면제</v>
      </c>
      <c r="Y1447" s="94" t="s">
        <v>7</v>
      </c>
      <c r="Z1447" s="95" t="s">
        <v>7</v>
      </c>
      <c r="AA1447" s="95" t="s">
        <v>7</v>
      </c>
      <c r="AB1447" s="95" t="s">
        <v>7</v>
      </c>
      <c r="AC1447" s="95" t="s">
        <v>7</v>
      </c>
      <c r="AD1447" s="95" t="s">
        <v>7</v>
      </c>
      <c r="AE1447" s="95" t="s">
        <v>7</v>
      </c>
      <c r="AF1447" s="95" t="s">
        <v>7</v>
      </c>
      <c r="AG1447" s="95" t="s">
        <v>7</v>
      </c>
      <c r="AH1447" s="95" t="s">
        <v>7</v>
      </c>
      <c r="AI1447" s="95" t="s">
        <v>7</v>
      </c>
      <c r="AJ1447" s="96" t="s">
        <v>7</v>
      </c>
      <c r="AK1447" s="97" t="s">
        <v>7</v>
      </c>
      <c r="AL1447" s="95" t="s">
        <v>7</v>
      </c>
      <c r="AM1447" s="90"/>
      <c r="AN1447" s="90"/>
      <c r="AO1447" s="90"/>
      <c r="AP1447" s="90"/>
      <c r="AQ1447" s="90"/>
      <c r="AR1447" s="90"/>
      <c r="AS1447" s="90"/>
      <c r="AT1447" s="90"/>
      <c r="AU1447" s="90"/>
      <c r="AV1447" s="91"/>
      <c r="AX1447" s="92"/>
    </row>
    <row r="1448" customFormat="false" ht="15.65" hidden="false" customHeight="false" outlineLevel="0" collapsed="false">
      <c r="C1448" s="72" t="n">
        <f aca="false">COUNTIFS($D$6:D1448,"&lt;&gt;"&amp;"")</f>
        <v>1443</v>
      </c>
      <c r="D1448" s="73" t="s">
        <v>12</v>
      </c>
      <c r="E1448" s="76" t="str">
        <f aca="false">
IF($D1448="정상",INDEX(임대자산!$D$3:$R$3000,MATCH($F1448,임대자산!$I$3:$I$3000,0),MATCH(E$3,임대자산!$D$3:$R$3,0)),
IF($D1448="폐업",INDEX(폐업정보!$D$3:$R$3000,MATCH($F1448,폐업정보!$I$3:$I$3000,0),MATCH(E$3,폐업정보!$D$3:$R$3,0)),
"Error"))</f>
        <v>경상</v>
      </c>
      <c r="F144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B1443</v>
      </c>
      <c r="G1448" s="76" t="str">
        <f aca="false">F1448&amp;RANDBETWEEN(0,10)</f>
        <v>B14438</v>
      </c>
      <c r="H1448" s="75" t="n">
        <f aca="false">
IF($D1448="정상",INDEX(임대자산!$D$3:$R$3000,MATCH($F1448,임대자산!$I$3:$I$3000,0),MATCH(H$4,임대자산!$D$3:$R$3,0)),
IF($D1448="폐업",INDEX(폐업정보!$D$3:$R$3000,MATCH($F1448,폐업정보!$I$3:$I$3000,0),MATCH(H$4,폐업정보!$D$3:$R$3,0)),
"Error"))</f>
        <v>45420</v>
      </c>
      <c r="I1448" s="75" t="str">
        <f aca="false">
IF($D1448="정상",INDEX(임대자산!$D$3:$R$3000,MATCH($F1448,임대자산!$I$3:$I$3000,0),MATCH(I$4,임대자산!$D$3:$R$3,0)),
IF($D1448="폐업",INDEX(폐업정보!$D$3:$R$3000,MATCH($F1448,폐업정보!$I$3:$I$3000,0),MATCH(I$4,폐업정보!$D$3:$R$3,0)),
"Error"))</f>
        <v>A1443</v>
      </c>
      <c r="J1448" s="75" t="str">
        <f aca="false">
IF($D1448="정상",INDEX(임대자산!$D$3:$R$3000,MATCH($F1448,임대자산!$I$3:$I$3000,0),MATCH(J$4,임대자산!$D$3:$R$3,0)),
IF($D1448="폐업",INDEX(폐업정보!$D$3:$R$3000,MATCH($F1448,폐업정보!$I$3:$I$3000,0),MATCH(J$4,폐업정보!$D$3:$R$3,0)),
"Error"))</f>
        <v>3247200000</v>
      </c>
      <c r="K1448" s="75" t="str">
        <f aca="false">
IF($D1448="정상",INDEX(임대자산!$D$3:$R$3000,MATCH($F1448,임대자산!$I$3:$I$3000,0),MATCH(K$4,임대자산!$D$3:$R$3,0)),
IF($D1448="폐업",INDEX(폐업정보!$D$3:$R$3000,MATCH($F1448,폐업정보!$I$3:$I$3000,0),MATCH(K$4,폐업정보!$D$3:$R$3,0)),
"Error"))</f>
        <v>C1443</v>
      </c>
      <c r="L1448" s="75" t="str">
        <f aca="false">
IF($D1448="정상",INDEX(임대자산!$D$3:$R$3000,MATCH($F1448,임대자산!$I$3:$I$3000,0),MATCH(L$4,임대자산!$D$3:$R$3,0)),
IF($D1448="폐업",INDEX(폐업정보!$D$3:$R$3000,MATCH($F1448,폐업정보!$I$3:$I$3000,0),MATCH(L$4,폐업정보!$D$3:$R$3,0)),
"Error"))</f>
        <v>D1443</v>
      </c>
      <c r="M1448" s="76" t="s">
        <v>96</v>
      </c>
      <c r="N1448" s="77"/>
      <c r="O1448" s="78" t="s">
        <v>97</v>
      </c>
      <c r="P1448" s="79" t="n">
        <f aca="false">COUNTIFS(임대자산!$I:$I,가맹점정보!F1448,임대자산!$N:$N,가맹점정보!P$4)</f>
        <v>0</v>
      </c>
      <c r="Q1448" s="80" t="n">
        <f aca="false">COUNTIFS(임대자산!$I:$I,가맹점정보!F1448,임대자산!$N:$N,가맹점정보!Q$4)</f>
        <v>0</v>
      </c>
      <c r="R1448" s="81" t="n">
        <f aca="false">COUNTIFS(임대자산!$I:$I,가맹점정보!F1448,임대자산!$N:$N,가맹점정보!R$4)</f>
        <v>1</v>
      </c>
      <c r="S1448" s="82" t="n">
        <v>132000</v>
      </c>
      <c r="T1448" s="83" t="n">
        <v>0</v>
      </c>
      <c r="U1448" s="80" t="n">
        <f aca="false">SUM(S1448:T1448)</f>
        <v>132000</v>
      </c>
      <c r="V1448" s="84" t="s">
        <v>7</v>
      </c>
      <c r="W1448" s="80" t="str">
        <f aca="true">
IF(D1448="폐업","폐업",
IF(V1448="면제","면제",
IF(AND(V1448="정상",COUNTIFS(OFFSET(Y1448,0,COUNTA(Y1448:AV1448)-1,1,-4),"미납")&gt;=3),"장기미납",
IF(AND(V1448="정상",OFFSET(Y1448,0,COUNTA(Y1448:AV1448)-1)&gt;=U1448),"정상",
IF(AND(V1448="정상",OFFSET(Y1448,0,COUNTA(Y1448:AV1448)-1)=0),"정상",
"계약서 미작성")))))</f>
        <v>면제</v>
      </c>
      <c r="X1448" s="81" t="str">
        <f aca="true">
IF(D1448="폐업","폐업",
IF(AND(V1448="정상",OFFSET(Y1448,0,COUNTA(Y1448:AV1448)-1)="미납"),"미납",
IF(AND(V1448="정상",OFFSET(Y1448,0,COUNTA(Y1448:AV1448)-1)=0),"납부 시작 전",
IF(AND(V1448="정상",OFFSET(Y1448,0,COUNTA(Y1448:AV1448)-1)&gt;=U1448),"정상",
IF(AND(V1448="면제",OFFSET(Y1448,0,COUNTA(Y1448:AV1448)-1)="면제"),"면제",
IF(AND(V1448="면제",OFFSET(Y1448,0,COUNTA(Y1448:AV1448)-1)=0),"면제",
"확인요청"))))))</f>
        <v>면제</v>
      </c>
      <c r="Y1448" s="94" t="s">
        <v>7</v>
      </c>
      <c r="Z1448" s="95" t="s">
        <v>7</v>
      </c>
      <c r="AA1448" s="95" t="s">
        <v>7</v>
      </c>
      <c r="AB1448" s="95" t="s">
        <v>7</v>
      </c>
      <c r="AC1448" s="95" t="s">
        <v>7</v>
      </c>
      <c r="AD1448" s="95" t="s">
        <v>7</v>
      </c>
      <c r="AE1448" s="95" t="s">
        <v>7</v>
      </c>
      <c r="AF1448" s="95" t="s">
        <v>7</v>
      </c>
      <c r="AG1448" s="95" t="s">
        <v>7</v>
      </c>
      <c r="AH1448" s="95" t="s">
        <v>7</v>
      </c>
      <c r="AI1448" s="95" t="s">
        <v>7</v>
      </c>
      <c r="AJ1448" s="96" t="s">
        <v>7</v>
      </c>
      <c r="AK1448" s="97" t="s">
        <v>7</v>
      </c>
      <c r="AL1448" s="95" t="s">
        <v>7</v>
      </c>
      <c r="AM1448" s="90"/>
      <c r="AN1448" s="90"/>
      <c r="AO1448" s="90"/>
      <c r="AP1448" s="90"/>
      <c r="AQ1448" s="90"/>
      <c r="AR1448" s="90"/>
      <c r="AS1448" s="90"/>
      <c r="AT1448" s="90"/>
      <c r="AU1448" s="90"/>
      <c r="AV1448" s="91"/>
      <c r="AX1448" s="92"/>
    </row>
    <row r="1449" customFormat="false" ht="15.65" hidden="false" customHeight="false" outlineLevel="0" collapsed="false">
      <c r="C1449" s="72" t="n">
        <f aca="false">COUNTIFS($D$6:D1449,"&lt;&gt;"&amp;"")</f>
        <v>1444</v>
      </c>
      <c r="D1449" s="73" t="s">
        <v>12</v>
      </c>
      <c r="E1449" s="76" t="str">
        <f aca="false">
IF($D1449="정상",INDEX(임대자산!$D$3:$R$3000,MATCH($F1449,임대자산!$I$3:$I$3000,0),MATCH(E$3,임대자산!$D$3:$R$3,0)),
IF($D1449="폐업",INDEX(폐업정보!$D$3:$R$3000,MATCH($F1449,폐업정보!$I$3:$I$3000,0),MATCH(E$3,폐업정보!$D$3:$R$3,0)),
"Error"))</f>
        <v>서울</v>
      </c>
      <c r="F144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B1444</v>
      </c>
      <c r="G1449" s="76" t="str">
        <f aca="false">F1449&amp;RANDBETWEEN(0,10)</f>
        <v>B144410</v>
      </c>
      <c r="H1449" s="75" t="n">
        <f aca="false">
IF($D1449="정상",INDEX(임대자산!$D$3:$R$3000,MATCH($F1449,임대자산!$I$3:$I$3000,0),MATCH(H$4,임대자산!$D$3:$R$3,0)),
IF($D1449="폐업",INDEX(폐업정보!$D$3:$R$3000,MATCH($F1449,폐업정보!$I$3:$I$3000,0),MATCH(H$4,폐업정보!$D$3:$R$3,0)),
"Error"))</f>
        <v>45407</v>
      </c>
      <c r="I1449" s="75" t="str">
        <f aca="false">
IF($D1449="정상",INDEX(임대자산!$D$3:$R$3000,MATCH($F1449,임대자산!$I$3:$I$3000,0),MATCH(I$4,임대자산!$D$3:$R$3,0)),
IF($D1449="폐업",INDEX(폐업정보!$D$3:$R$3000,MATCH($F1449,폐업정보!$I$3:$I$3000,0),MATCH(I$4,폐업정보!$D$3:$R$3,0)),
"Error"))</f>
        <v>A1444</v>
      </c>
      <c r="J1449" s="75" t="str">
        <f aca="false">
IF($D1449="정상",INDEX(임대자산!$D$3:$R$3000,MATCH($F1449,임대자산!$I$3:$I$3000,0),MATCH(J$4,임대자산!$D$3:$R$3,0)),
IF($D1449="폐업",INDEX(폐업정보!$D$3:$R$3000,MATCH($F1449,폐업정보!$I$3:$I$3000,0),MATCH(J$4,폐업정보!$D$3:$R$3,0)),
"Error"))</f>
        <v>8457200000</v>
      </c>
      <c r="K1449" s="75" t="str">
        <f aca="false">
IF($D1449="정상",INDEX(임대자산!$D$3:$R$3000,MATCH($F1449,임대자산!$I$3:$I$3000,0),MATCH(K$4,임대자산!$D$3:$R$3,0)),
IF($D1449="폐업",INDEX(폐업정보!$D$3:$R$3000,MATCH($F1449,폐업정보!$I$3:$I$3000,0),MATCH(K$4,폐업정보!$D$3:$R$3,0)),
"Error"))</f>
        <v>C1444</v>
      </c>
      <c r="L1449" s="75" t="str">
        <f aca="false">
IF($D1449="정상",INDEX(임대자산!$D$3:$R$3000,MATCH($F1449,임대자산!$I$3:$I$3000,0),MATCH(L$4,임대자산!$D$3:$R$3,0)),
IF($D1449="폐업",INDEX(폐업정보!$D$3:$R$3000,MATCH($F1449,폐업정보!$I$3:$I$3000,0),MATCH(L$4,폐업정보!$D$3:$R$3,0)),
"Error"))</f>
        <v>D1444</v>
      </c>
      <c r="M1449" s="76" t="s">
        <v>96</v>
      </c>
      <c r="N1449" s="77"/>
      <c r="O1449" s="78" t="s">
        <v>97</v>
      </c>
      <c r="P1449" s="79" t="n">
        <f aca="false">COUNTIFS(임대자산!$I:$I,가맹점정보!F1449,임대자산!$N:$N,가맹점정보!P$4)</f>
        <v>0</v>
      </c>
      <c r="Q1449" s="80" t="n">
        <f aca="false">COUNTIFS(임대자산!$I:$I,가맹점정보!F1449,임대자산!$N:$N,가맹점정보!Q$4)</f>
        <v>0</v>
      </c>
      <c r="R1449" s="81" t="n">
        <f aca="false">COUNTIFS(임대자산!$I:$I,가맹점정보!F1449,임대자산!$N:$N,가맹점정보!R$4)</f>
        <v>1</v>
      </c>
      <c r="S1449" s="82" t="n">
        <v>55000</v>
      </c>
      <c r="T1449" s="83" t="n">
        <v>0</v>
      </c>
      <c r="U1449" s="80" t="n">
        <f aca="false">SUM(S1449:T1449)</f>
        <v>55000</v>
      </c>
      <c r="V1449" s="84" t="s">
        <v>12</v>
      </c>
      <c r="W1449" s="80" t="e">
        <f aca="true">
IF(D1449="폐업","폐업",
IF(V1449="면제","면제",
IF(AND(V1449="정상",COUNTIFS(OFFSET(Y1449,0,COUNTA(Y1449:AV1449)-1,1,-4),"미납")&gt;=3),"장기미납",
IF(AND(V1449="정상",OFFSET(Y1449,0,COUNTA(Y1449:AV1449)-1)&gt;=U1449),"정상",
IF(AND(V1449="정상",OFFSET(Y1449,0,COUNTA(Y1449:AV1449)-1)=0),"정상",
"계약서 미작성")))))</f>
        <v>#VALUE!</v>
      </c>
      <c r="X1449" s="81" t="str">
        <f aca="true">
IF(D1449="폐업","폐업",
IF(AND(V1449="정상",OFFSET(Y1449,0,COUNTA(Y1449:AV1449)-1)="미납"),"미납",
IF(AND(V1449="정상",OFFSET(Y1449,0,COUNTA(Y1449:AV1449)-1)=0),"납부 시작 전",
IF(AND(V1449="정상",OFFSET(Y1449,0,COUNTA(Y1449:AV1449)-1)&gt;=U1449),"정상",
IF(AND(V1449="면제",OFFSET(Y1449,0,COUNTA(Y1449:AV1449)-1)="면제"),"면제",
IF(AND(V1449="면제",OFFSET(Y1449,0,COUNTA(Y1449:AV1449)-1)=0),"면제",
"확인요청"))))))</f>
        <v>미납</v>
      </c>
      <c r="Y1449" s="93" t="n">
        <v>55000</v>
      </c>
      <c r="Z1449" s="90" t="n">
        <v>55000</v>
      </c>
      <c r="AA1449" s="90" t="n">
        <v>55000</v>
      </c>
      <c r="AB1449" s="90" t="n">
        <v>55000</v>
      </c>
      <c r="AC1449" s="90" t="n">
        <v>55000</v>
      </c>
      <c r="AD1449" s="90" t="n">
        <v>55000</v>
      </c>
      <c r="AE1449" s="90" t="n">
        <v>55000</v>
      </c>
      <c r="AF1449" s="90" t="n">
        <v>55000</v>
      </c>
      <c r="AG1449" s="90" t="n">
        <v>55000</v>
      </c>
      <c r="AH1449" s="90" t="n">
        <v>55000</v>
      </c>
      <c r="AI1449" s="90" t="n">
        <v>55000</v>
      </c>
      <c r="AJ1449" s="91" t="n">
        <v>55000</v>
      </c>
      <c r="AK1449" s="97" t="s">
        <v>62</v>
      </c>
      <c r="AL1449" s="95" t="s">
        <v>62</v>
      </c>
      <c r="AM1449" s="90"/>
      <c r="AN1449" s="90"/>
      <c r="AO1449" s="90"/>
      <c r="AP1449" s="90"/>
      <c r="AQ1449" s="90"/>
      <c r="AR1449" s="90"/>
      <c r="AS1449" s="90"/>
      <c r="AT1449" s="90"/>
      <c r="AU1449" s="90"/>
      <c r="AV1449" s="91"/>
      <c r="AX1449" s="92"/>
    </row>
    <row r="1450" customFormat="false" ht="15.65" hidden="false" customHeight="false" outlineLevel="0" collapsed="false">
      <c r="C1450" s="72" t="n">
        <f aca="false">COUNTIFS($D$6:D1450,"&lt;&gt;"&amp;"")</f>
        <v>1445</v>
      </c>
      <c r="D1450" s="73" t="s">
        <v>12</v>
      </c>
      <c r="E1450" s="76" t="str">
        <f aca="false">
IF($D1450="정상",INDEX(임대자산!$D$3:$R$3000,MATCH($F1450,임대자산!$I$3:$I$3000,0),MATCH(E$3,임대자산!$D$3:$R$3,0)),
IF($D1450="폐업",INDEX(폐업정보!$D$3:$R$3000,MATCH($F1450,폐업정보!$I$3:$I$3000,0),MATCH(E$3,폐업정보!$D$3:$R$3,0)),
"Error"))</f>
        <v>서울</v>
      </c>
      <c r="F145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B1445</v>
      </c>
      <c r="G1450" s="76" t="str">
        <f aca="false">F1450&amp;RANDBETWEEN(0,10)</f>
        <v>B14455</v>
      </c>
      <c r="H1450" s="75" t="n">
        <f aca="false">
IF($D1450="정상",INDEX(임대자산!$D$3:$R$3000,MATCH($F1450,임대자산!$I$3:$I$3000,0),MATCH(H$4,임대자산!$D$3:$R$3,0)),
IF($D1450="폐업",INDEX(폐업정보!$D$3:$R$3000,MATCH($F1450,폐업정보!$I$3:$I$3000,0),MATCH(H$4,폐업정보!$D$3:$R$3,0)),
"Error"))</f>
        <v>45407</v>
      </c>
      <c r="I1450" s="75" t="str">
        <f aca="false">
IF($D1450="정상",INDEX(임대자산!$D$3:$R$3000,MATCH($F1450,임대자산!$I$3:$I$3000,0),MATCH(I$4,임대자산!$D$3:$R$3,0)),
IF($D1450="폐업",INDEX(폐업정보!$D$3:$R$3000,MATCH($F1450,폐업정보!$I$3:$I$3000,0),MATCH(I$4,폐업정보!$D$3:$R$3,0)),
"Error"))</f>
        <v>A1445</v>
      </c>
      <c r="J1450" s="75" t="str">
        <f aca="false">
IF($D1450="정상",INDEX(임대자산!$D$3:$R$3000,MATCH($F1450,임대자산!$I$3:$I$3000,0),MATCH(J$4,임대자산!$D$3:$R$3,0)),
IF($D1450="폐업",INDEX(폐업정보!$D$3:$R$3000,MATCH($F1450,폐업정보!$I$3:$I$3000,0),MATCH(J$4,폐업정보!$D$3:$R$3,0)),
"Error"))</f>
        <v>1134300000</v>
      </c>
      <c r="K1450" s="75" t="str">
        <f aca="false">
IF($D1450="정상",INDEX(임대자산!$D$3:$R$3000,MATCH($F1450,임대자산!$I$3:$I$3000,0),MATCH(K$4,임대자산!$D$3:$R$3,0)),
IF($D1450="폐업",INDEX(폐업정보!$D$3:$R$3000,MATCH($F1450,폐업정보!$I$3:$I$3000,0),MATCH(K$4,폐업정보!$D$3:$R$3,0)),
"Error"))</f>
        <v>C1445</v>
      </c>
      <c r="L1450" s="75" t="str">
        <f aca="false">
IF($D1450="정상",INDEX(임대자산!$D$3:$R$3000,MATCH($F1450,임대자산!$I$3:$I$3000,0),MATCH(L$4,임대자산!$D$3:$R$3,0)),
IF($D1450="폐업",INDEX(폐업정보!$D$3:$R$3000,MATCH($F1450,폐업정보!$I$3:$I$3000,0),MATCH(L$4,폐업정보!$D$3:$R$3,0)),
"Error"))</f>
        <v>D1445</v>
      </c>
      <c r="M1450" s="76" t="s">
        <v>96</v>
      </c>
      <c r="N1450" s="77"/>
      <c r="O1450" s="78" t="s">
        <v>97</v>
      </c>
      <c r="P1450" s="79" t="n">
        <f aca="false">COUNTIFS(임대자산!$I:$I,가맹점정보!F1450,임대자산!$N:$N,가맹점정보!P$4)</f>
        <v>0</v>
      </c>
      <c r="Q1450" s="80" t="n">
        <f aca="false">COUNTIFS(임대자산!$I:$I,가맹점정보!F1450,임대자산!$N:$N,가맹점정보!Q$4)</f>
        <v>0</v>
      </c>
      <c r="R1450" s="81" t="n">
        <f aca="false">COUNTIFS(임대자산!$I:$I,가맹점정보!F1450,임대자산!$N:$N,가맹점정보!R$4)</f>
        <v>1</v>
      </c>
      <c r="S1450" s="82" t="n">
        <v>55000</v>
      </c>
      <c r="T1450" s="83" t="n">
        <v>0</v>
      </c>
      <c r="U1450" s="80" t="n">
        <f aca="false">SUM(S1450:T1450)</f>
        <v>55000</v>
      </c>
      <c r="V1450" s="84" t="s">
        <v>12</v>
      </c>
      <c r="W1450" s="80" t="e">
        <f aca="true">
IF(D1450="폐업","폐업",
IF(V1450="면제","면제",
IF(AND(V1450="정상",COUNTIFS(OFFSET(Y1450,0,COUNTA(Y1450:AV1450)-1,1,-4),"미납")&gt;=3),"장기미납",
IF(AND(V1450="정상",OFFSET(Y1450,0,COUNTA(Y1450:AV1450)-1)&gt;=U1450),"정상",
IF(AND(V1450="정상",OFFSET(Y1450,0,COUNTA(Y1450:AV1450)-1)=0),"정상",
"계약서 미작성")))))</f>
        <v>#VALUE!</v>
      </c>
      <c r="X1450" s="81" t="str">
        <f aca="true">
IF(D1450="폐업","폐업",
IF(AND(V1450="정상",OFFSET(Y1450,0,COUNTA(Y1450:AV1450)-1)="미납"),"미납",
IF(AND(V1450="정상",OFFSET(Y1450,0,COUNTA(Y1450:AV1450)-1)=0),"납부 시작 전",
IF(AND(V1450="정상",OFFSET(Y1450,0,COUNTA(Y1450:AV1450)-1)&gt;=U1450),"정상",
IF(AND(V1450="면제",OFFSET(Y1450,0,COUNTA(Y1450:AV1450)-1)="면제"),"면제",
IF(AND(V1450="면제",OFFSET(Y1450,0,COUNTA(Y1450:AV1450)-1)=0),"면제",
"확인요청"))))))</f>
        <v>미납</v>
      </c>
      <c r="Y1450" s="93" t="s">
        <v>106</v>
      </c>
      <c r="Z1450" s="90" t="n">
        <v>55000</v>
      </c>
      <c r="AA1450" s="90" t="n">
        <v>110000</v>
      </c>
      <c r="AB1450" s="90" t="n">
        <v>55000</v>
      </c>
      <c r="AC1450" s="90" t="n">
        <v>55000</v>
      </c>
      <c r="AD1450" s="90" t="n">
        <v>55000</v>
      </c>
      <c r="AE1450" s="90" t="n">
        <v>55000</v>
      </c>
      <c r="AF1450" s="90" t="s">
        <v>105</v>
      </c>
      <c r="AG1450" s="90" t="n">
        <v>110000</v>
      </c>
      <c r="AH1450" s="90" t="n">
        <v>55000</v>
      </c>
      <c r="AI1450" s="90" t="s">
        <v>107</v>
      </c>
      <c r="AJ1450" s="91" t="n">
        <v>110000</v>
      </c>
      <c r="AK1450" s="89" t="n">
        <v>55000</v>
      </c>
      <c r="AL1450" s="95" t="s">
        <v>62</v>
      </c>
      <c r="AM1450" s="90"/>
      <c r="AN1450" s="90"/>
      <c r="AO1450" s="90"/>
      <c r="AP1450" s="90"/>
      <c r="AQ1450" s="90"/>
      <c r="AR1450" s="90"/>
      <c r="AS1450" s="90"/>
      <c r="AT1450" s="90"/>
      <c r="AU1450" s="90"/>
      <c r="AV1450" s="91"/>
      <c r="AX1450" s="92"/>
    </row>
    <row r="1451" customFormat="false" ht="15.65" hidden="false" customHeight="false" outlineLevel="0" collapsed="false">
      <c r="C1451" s="72" t="n">
        <f aca="false">COUNTIFS($D$6:D1451,"&lt;&gt;"&amp;"")</f>
        <v>1446</v>
      </c>
      <c r="D1451" s="73" t="s">
        <v>12</v>
      </c>
      <c r="E1451" s="76" t="str">
        <f aca="false">
IF($D1451="정상",INDEX(임대자산!$D$3:$R$3000,MATCH($F1451,임대자산!$I$3:$I$3000,0),MATCH(E$3,임대자산!$D$3:$R$3,0)),
IF($D1451="폐업",INDEX(폐업정보!$D$3:$R$3000,MATCH($F1451,폐업정보!$I$3:$I$3000,0),MATCH(E$3,폐업정보!$D$3:$R$3,0)),
"Error"))</f>
        <v>서울</v>
      </c>
      <c r="F145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B1446</v>
      </c>
      <c r="G1451" s="76" t="str">
        <f aca="false">F1451&amp;RANDBETWEEN(0,10)</f>
        <v>B14468</v>
      </c>
      <c r="H1451" s="75" t="n">
        <f aca="false">
IF($D1451="정상",INDEX(임대자산!$D$3:$R$3000,MATCH($F1451,임대자산!$I$3:$I$3000,0),MATCH(H$4,임대자산!$D$3:$R$3,0)),
IF($D1451="폐업",INDEX(폐업정보!$D$3:$R$3000,MATCH($F1451,폐업정보!$I$3:$I$3000,0),MATCH(H$4,폐업정보!$D$3:$R$3,0)),
"Error"))</f>
        <v>45429</v>
      </c>
      <c r="I1451" s="75" t="str">
        <f aca="false">
IF($D1451="정상",INDEX(임대자산!$D$3:$R$3000,MATCH($F1451,임대자산!$I$3:$I$3000,0),MATCH(I$4,임대자산!$D$3:$R$3,0)),
IF($D1451="폐업",INDEX(폐업정보!$D$3:$R$3000,MATCH($F1451,폐업정보!$I$3:$I$3000,0),MATCH(I$4,폐업정보!$D$3:$R$3,0)),
"Error"))</f>
        <v>A1446</v>
      </c>
      <c r="J1451" s="75" t="str">
        <f aca="false">
IF($D1451="정상",INDEX(임대자산!$D$3:$R$3000,MATCH($F1451,임대자산!$I$3:$I$3000,0),MATCH(J$4,임대자산!$D$3:$R$3,0)),
IF($D1451="폐업",INDEX(폐업정보!$D$3:$R$3000,MATCH($F1451,폐업정보!$I$3:$I$3000,0),MATCH(J$4,폐업정보!$D$3:$R$3,0)),
"Error"))</f>
        <v>6714800000</v>
      </c>
      <c r="K1451" s="75" t="str">
        <f aca="false">
IF($D1451="정상",INDEX(임대자산!$D$3:$R$3000,MATCH($F1451,임대자산!$I$3:$I$3000,0),MATCH(K$4,임대자산!$D$3:$R$3,0)),
IF($D1451="폐업",INDEX(폐업정보!$D$3:$R$3000,MATCH($F1451,폐업정보!$I$3:$I$3000,0),MATCH(K$4,폐업정보!$D$3:$R$3,0)),
"Error"))</f>
        <v>C1446</v>
      </c>
      <c r="L1451" s="75" t="str">
        <f aca="false">
IF($D1451="정상",INDEX(임대자산!$D$3:$R$3000,MATCH($F1451,임대자산!$I$3:$I$3000,0),MATCH(L$4,임대자산!$D$3:$R$3,0)),
IF($D1451="폐업",INDEX(폐업정보!$D$3:$R$3000,MATCH($F1451,폐업정보!$I$3:$I$3000,0),MATCH(L$4,폐업정보!$D$3:$R$3,0)),
"Error"))</f>
        <v>D1446</v>
      </c>
      <c r="M1451" s="76" t="s">
        <v>96</v>
      </c>
      <c r="N1451" s="77"/>
      <c r="O1451" s="78" t="s">
        <v>97</v>
      </c>
      <c r="P1451" s="79" t="n">
        <f aca="false">COUNTIFS(임대자산!$I:$I,가맹점정보!F1451,임대자산!$N:$N,가맹점정보!P$4)</f>
        <v>0</v>
      </c>
      <c r="Q1451" s="80" t="n">
        <f aca="false">COUNTIFS(임대자산!$I:$I,가맹점정보!F1451,임대자산!$N:$N,가맹점정보!Q$4)</f>
        <v>0</v>
      </c>
      <c r="R1451" s="81" t="n">
        <f aca="false">COUNTIFS(임대자산!$I:$I,가맹점정보!F1451,임대자산!$N:$N,가맹점정보!R$4)</f>
        <v>1</v>
      </c>
      <c r="S1451" s="82" t="n">
        <v>55000</v>
      </c>
      <c r="T1451" s="83" t="n">
        <v>0</v>
      </c>
      <c r="U1451" s="80" t="n">
        <f aca="false">SUM(S1451:T1451)</f>
        <v>55000</v>
      </c>
      <c r="V1451" s="84" t="s">
        <v>7</v>
      </c>
      <c r="W1451" s="80" t="str">
        <f aca="true">
IF(D1451="폐업","폐업",
IF(V1451="면제","면제",
IF(AND(V1451="정상",COUNTIFS(OFFSET(Y1451,0,COUNTA(Y1451:AV1451)-1,1,-4),"미납")&gt;=3),"장기미납",
IF(AND(V1451="정상",OFFSET(Y1451,0,COUNTA(Y1451:AV1451)-1)&gt;=U1451),"정상",
IF(AND(V1451="정상",OFFSET(Y1451,0,COUNTA(Y1451:AV1451)-1)=0),"정상",
"계약서 미작성")))))</f>
        <v>면제</v>
      </c>
      <c r="X1451" s="81" t="str">
        <f aca="true">
IF(D1451="폐업","폐업",
IF(AND(V1451="정상",OFFSET(Y1451,0,COUNTA(Y1451:AV1451)-1)="미납"),"미납",
IF(AND(V1451="정상",OFFSET(Y1451,0,COUNTA(Y1451:AV1451)-1)=0),"납부 시작 전",
IF(AND(V1451="정상",OFFSET(Y1451,0,COUNTA(Y1451:AV1451)-1)&gt;=U1451),"정상",
IF(AND(V1451="면제",OFFSET(Y1451,0,COUNTA(Y1451:AV1451)-1)="면제"),"면제",
IF(AND(V1451="면제",OFFSET(Y1451,0,COUNTA(Y1451:AV1451)-1)=0),"면제",
"확인요청"))))))</f>
        <v>면제</v>
      </c>
      <c r="Y1451" s="94" t="s">
        <v>7</v>
      </c>
      <c r="Z1451" s="95" t="s">
        <v>7</v>
      </c>
      <c r="AA1451" s="95" t="s">
        <v>7</v>
      </c>
      <c r="AB1451" s="95" t="s">
        <v>7</v>
      </c>
      <c r="AC1451" s="95" t="s">
        <v>7</v>
      </c>
      <c r="AD1451" s="95" t="s">
        <v>7</v>
      </c>
      <c r="AE1451" s="95" t="s">
        <v>7</v>
      </c>
      <c r="AF1451" s="95" t="s">
        <v>7</v>
      </c>
      <c r="AG1451" s="95" t="s">
        <v>7</v>
      </c>
      <c r="AH1451" s="95" t="s">
        <v>7</v>
      </c>
      <c r="AI1451" s="95" t="s">
        <v>7</v>
      </c>
      <c r="AJ1451" s="96" t="s">
        <v>7</v>
      </c>
      <c r="AK1451" s="97" t="s">
        <v>7</v>
      </c>
      <c r="AL1451" s="95" t="s">
        <v>7</v>
      </c>
      <c r="AM1451" s="90"/>
      <c r="AN1451" s="90"/>
      <c r="AO1451" s="90"/>
      <c r="AP1451" s="90"/>
      <c r="AQ1451" s="90"/>
      <c r="AR1451" s="90"/>
      <c r="AS1451" s="90"/>
      <c r="AT1451" s="90"/>
      <c r="AU1451" s="90"/>
      <c r="AV1451" s="91"/>
      <c r="AX1451" s="92"/>
    </row>
    <row r="1452" customFormat="false" ht="15.65" hidden="false" customHeight="false" outlineLevel="0" collapsed="false">
      <c r="C1452" s="72" t="n">
        <f aca="false">COUNTIFS($D$6:D1452,"&lt;&gt;"&amp;"")</f>
        <v>1447</v>
      </c>
      <c r="D1452" s="73" t="s">
        <v>12</v>
      </c>
      <c r="E1452" s="76" t="str">
        <f aca="false">
IF($D1452="정상",INDEX(임대자산!$D$3:$R$3000,MATCH($F1452,임대자산!$I$3:$I$3000,0),MATCH(E$3,임대자산!$D$3:$R$3,0)),
IF($D1452="폐업",INDEX(폐업정보!$D$3:$R$3000,MATCH($F1452,폐업정보!$I$3:$I$3000,0),MATCH(E$3,폐업정보!$D$3:$R$3,0)),
"Error"))</f>
        <v>서울</v>
      </c>
      <c r="F145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B1447</v>
      </c>
      <c r="G1452" s="76" t="str">
        <f aca="false">F1452&amp;RANDBETWEEN(0,10)</f>
        <v>B14476</v>
      </c>
      <c r="H1452" s="75" t="n">
        <f aca="false">
IF($D1452="정상",INDEX(임대자산!$D$3:$R$3000,MATCH($F1452,임대자산!$I$3:$I$3000,0),MATCH(H$4,임대자산!$D$3:$R$3,0)),
IF($D1452="폐업",INDEX(폐업정보!$D$3:$R$3000,MATCH($F1452,폐업정보!$I$3:$I$3000,0),MATCH(H$4,폐업정보!$D$3:$R$3,0)),
"Error"))</f>
        <v>45429</v>
      </c>
      <c r="I1452" s="75" t="str">
        <f aca="false">
IF($D1452="정상",INDEX(임대자산!$D$3:$R$3000,MATCH($F1452,임대자산!$I$3:$I$3000,0),MATCH(I$4,임대자산!$D$3:$R$3,0)),
IF($D1452="폐업",INDEX(폐업정보!$D$3:$R$3000,MATCH($F1452,폐업정보!$I$3:$I$3000,0),MATCH(I$4,폐업정보!$D$3:$R$3,0)),
"Error"))</f>
        <v>A1447</v>
      </c>
      <c r="J1452" s="75" t="str">
        <f aca="false">
IF($D1452="정상",INDEX(임대자산!$D$3:$R$3000,MATCH($F1452,임대자산!$I$3:$I$3000,0),MATCH(J$4,임대자산!$D$3:$R$3,0)),
IF($D1452="폐업",INDEX(폐업정보!$D$3:$R$3000,MATCH($F1452,폐업정보!$I$3:$I$3000,0),MATCH(J$4,폐업정보!$D$3:$R$3,0)),
"Error"))</f>
        <v>9871000000</v>
      </c>
      <c r="K1452" s="75" t="str">
        <f aca="false">
IF($D1452="정상",INDEX(임대자산!$D$3:$R$3000,MATCH($F1452,임대자산!$I$3:$I$3000,0),MATCH(K$4,임대자산!$D$3:$R$3,0)),
IF($D1452="폐업",INDEX(폐업정보!$D$3:$R$3000,MATCH($F1452,폐업정보!$I$3:$I$3000,0),MATCH(K$4,폐업정보!$D$3:$R$3,0)),
"Error"))</f>
        <v>C1447</v>
      </c>
      <c r="L1452" s="75" t="str">
        <f aca="false">
IF($D1452="정상",INDEX(임대자산!$D$3:$R$3000,MATCH($F1452,임대자산!$I$3:$I$3000,0),MATCH(L$4,임대자산!$D$3:$R$3,0)),
IF($D1452="폐업",INDEX(폐업정보!$D$3:$R$3000,MATCH($F1452,폐업정보!$I$3:$I$3000,0),MATCH(L$4,폐업정보!$D$3:$R$3,0)),
"Error"))</f>
        <v>D1447</v>
      </c>
      <c r="M1452" s="76" t="s">
        <v>96</v>
      </c>
      <c r="N1452" s="77"/>
      <c r="O1452" s="78" t="s">
        <v>97</v>
      </c>
      <c r="P1452" s="79" t="n">
        <f aca="false">COUNTIFS(임대자산!$I:$I,가맹점정보!F1452,임대자산!$N:$N,가맹점정보!P$4)</f>
        <v>0</v>
      </c>
      <c r="Q1452" s="80" t="n">
        <f aca="false">COUNTIFS(임대자산!$I:$I,가맹점정보!F1452,임대자산!$N:$N,가맹점정보!Q$4)</f>
        <v>0</v>
      </c>
      <c r="R1452" s="81" t="n">
        <f aca="false">COUNTIFS(임대자산!$I:$I,가맹점정보!F1452,임대자산!$N:$N,가맹점정보!R$4)</f>
        <v>1</v>
      </c>
      <c r="S1452" s="82" t="n">
        <v>55000</v>
      </c>
      <c r="T1452" s="83" t="n">
        <v>0</v>
      </c>
      <c r="U1452" s="80" t="n">
        <f aca="false">SUM(S1452:T1452)</f>
        <v>55000</v>
      </c>
      <c r="V1452" s="84" t="s">
        <v>12</v>
      </c>
      <c r="W1452" s="80" t="e">
        <f aca="true">
IF(D1452="폐업","폐업",
IF(V1452="면제","면제",
IF(AND(V1452="정상",COUNTIFS(OFFSET(Y1452,0,COUNTA(Y1452:AV1452)-1,1,-4),"미납")&gt;=3),"장기미납",
IF(AND(V1452="정상",OFFSET(Y1452,0,COUNTA(Y1452:AV1452)-1)&gt;=U1452),"정상",
IF(AND(V1452="정상",OFFSET(Y1452,0,COUNTA(Y1452:AV1452)-1)=0),"정상",
"계약서 미작성")))))</f>
        <v>#VALUE!</v>
      </c>
      <c r="X1452" s="81" t="str">
        <f aca="true">
IF(D1452="폐업","폐업",
IF(AND(V1452="정상",OFFSET(Y1452,0,COUNTA(Y1452:AV1452)-1)="미납"),"미납",
IF(AND(V1452="정상",OFFSET(Y1452,0,COUNTA(Y1452:AV1452)-1)=0),"납부 시작 전",
IF(AND(V1452="정상",OFFSET(Y1452,0,COUNTA(Y1452:AV1452)-1)&gt;=U1452),"정상",
IF(AND(V1452="면제",OFFSET(Y1452,0,COUNTA(Y1452:AV1452)-1)="면제"),"면제",
IF(AND(V1452="면제",OFFSET(Y1452,0,COUNTA(Y1452:AV1452)-1)=0),"면제",
"확인요청"))))))</f>
        <v>정상</v>
      </c>
      <c r="Y1452" s="93" t="n">
        <v>55000</v>
      </c>
      <c r="Z1452" s="90" t="n">
        <v>55000</v>
      </c>
      <c r="AA1452" s="90" t="n">
        <v>55000</v>
      </c>
      <c r="AB1452" s="90" t="n">
        <v>55000</v>
      </c>
      <c r="AC1452" s="90" t="n">
        <v>55000</v>
      </c>
      <c r="AD1452" s="90" t="n">
        <v>55000</v>
      </c>
      <c r="AE1452" s="90" t="n">
        <v>55000</v>
      </c>
      <c r="AF1452" s="90" t="n">
        <v>55000</v>
      </c>
      <c r="AG1452" s="90" t="n">
        <v>55000</v>
      </c>
      <c r="AH1452" s="90" t="n">
        <v>55000</v>
      </c>
      <c r="AI1452" s="90" t="n">
        <v>55000</v>
      </c>
      <c r="AJ1452" s="91" t="n">
        <v>55000</v>
      </c>
      <c r="AK1452" s="89" t="n">
        <v>55000</v>
      </c>
      <c r="AL1452" s="90" t="n">
        <v>55000</v>
      </c>
      <c r="AM1452" s="90"/>
      <c r="AN1452" s="90"/>
      <c r="AO1452" s="90"/>
      <c r="AP1452" s="90"/>
      <c r="AQ1452" s="90"/>
      <c r="AR1452" s="90"/>
      <c r="AS1452" s="90"/>
      <c r="AT1452" s="90"/>
      <c r="AU1452" s="90"/>
      <c r="AV1452" s="91"/>
      <c r="AX1452" s="92"/>
    </row>
    <row r="1453" customFormat="false" ht="15.65" hidden="false" customHeight="false" outlineLevel="0" collapsed="false">
      <c r="C1453" s="72" t="n">
        <f aca="false">COUNTIFS($D$6:D1453,"&lt;&gt;"&amp;"")</f>
        <v>1448</v>
      </c>
      <c r="D1453" s="73" t="s">
        <v>12</v>
      </c>
      <c r="E1453" s="76" t="str">
        <f aca="false">
IF($D1453="정상",INDEX(임대자산!$D$3:$R$3000,MATCH($F1453,임대자산!$I$3:$I$3000,0),MATCH(E$3,임대자산!$D$3:$R$3,0)),
IF($D1453="폐업",INDEX(폐업정보!$D$3:$R$3000,MATCH($F1453,폐업정보!$I$3:$I$3000,0),MATCH(E$3,폐업정보!$D$3:$R$3,0)),
"Error"))</f>
        <v>강원</v>
      </c>
      <c r="F145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B1448</v>
      </c>
      <c r="G1453" s="76" t="str">
        <f aca="false">F1453&amp;RANDBETWEEN(0,10)</f>
        <v>B14488</v>
      </c>
      <c r="H1453" s="75" t="n">
        <f aca="false">
IF($D1453="정상",INDEX(임대자산!$D$3:$R$3000,MATCH($F1453,임대자산!$I$3:$I$3000,0),MATCH(H$4,임대자산!$D$3:$R$3,0)),
IF($D1453="폐업",INDEX(폐업정보!$D$3:$R$3000,MATCH($F1453,폐업정보!$I$3:$I$3000,0),MATCH(H$4,폐업정보!$D$3:$R$3,0)),
"Error"))</f>
        <v>45406</v>
      </c>
      <c r="I1453" s="75" t="str">
        <f aca="false">
IF($D1453="정상",INDEX(임대자산!$D$3:$R$3000,MATCH($F1453,임대자산!$I$3:$I$3000,0),MATCH(I$4,임대자산!$D$3:$R$3,0)),
IF($D1453="폐업",INDEX(폐업정보!$D$3:$R$3000,MATCH($F1453,폐업정보!$I$3:$I$3000,0),MATCH(I$4,폐업정보!$D$3:$R$3,0)),
"Error"))</f>
        <v>A1448</v>
      </c>
      <c r="J1453" s="75" t="str">
        <f aca="false">
IF($D1453="정상",INDEX(임대자산!$D$3:$R$3000,MATCH($F1453,임대자산!$I$3:$I$3000,0),MATCH(J$4,임대자산!$D$3:$R$3,0)),
IF($D1453="폐업",INDEX(폐업정보!$D$3:$R$3000,MATCH($F1453,폐업정보!$I$3:$I$3000,0),MATCH(J$4,폐업정보!$D$3:$R$3,0)),
"Error"))</f>
        <v>4409600000</v>
      </c>
      <c r="K1453" s="75" t="str">
        <f aca="false">
IF($D1453="정상",INDEX(임대자산!$D$3:$R$3000,MATCH($F1453,임대자산!$I$3:$I$3000,0),MATCH(K$4,임대자산!$D$3:$R$3,0)),
IF($D1453="폐업",INDEX(폐업정보!$D$3:$R$3000,MATCH($F1453,폐업정보!$I$3:$I$3000,0),MATCH(K$4,폐업정보!$D$3:$R$3,0)),
"Error"))</f>
        <v>C1448</v>
      </c>
      <c r="L1453" s="75" t="str">
        <f aca="false">
IF($D1453="정상",INDEX(임대자산!$D$3:$R$3000,MATCH($F1453,임대자산!$I$3:$I$3000,0),MATCH(L$4,임대자산!$D$3:$R$3,0)),
IF($D1453="폐업",INDEX(폐업정보!$D$3:$R$3000,MATCH($F1453,폐업정보!$I$3:$I$3000,0),MATCH(L$4,폐업정보!$D$3:$R$3,0)),
"Error"))</f>
        <v>D1448</v>
      </c>
      <c r="M1453" s="76" t="s">
        <v>96</v>
      </c>
      <c r="N1453" s="77"/>
      <c r="O1453" s="78" t="s">
        <v>97</v>
      </c>
      <c r="P1453" s="79" t="n">
        <f aca="false">COUNTIFS(임대자산!$I:$I,가맹점정보!F1453,임대자산!$N:$N,가맹점정보!P$4)</f>
        <v>0</v>
      </c>
      <c r="Q1453" s="80" t="n">
        <f aca="false">COUNTIFS(임대자산!$I:$I,가맹점정보!F1453,임대자산!$N:$N,가맹점정보!Q$4)</f>
        <v>0</v>
      </c>
      <c r="R1453" s="81" t="n">
        <f aca="false">COUNTIFS(임대자산!$I:$I,가맹점정보!F1453,임대자산!$N:$N,가맹점정보!R$4)</f>
        <v>1</v>
      </c>
      <c r="S1453" s="82" t="n">
        <v>55000</v>
      </c>
      <c r="T1453" s="83" t="n">
        <v>0</v>
      </c>
      <c r="U1453" s="80" t="n">
        <f aca="false">SUM(S1453:T1453)</f>
        <v>55000</v>
      </c>
      <c r="V1453" s="84" t="s">
        <v>7</v>
      </c>
      <c r="W1453" s="80" t="str">
        <f aca="true">
IF(D1453="폐업","폐업",
IF(V1453="면제","면제",
IF(AND(V1453="정상",COUNTIFS(OFFSET(Y1453,0,COUNTA(Y1453:AV1453)-1,1,-4),"미납")&gt;=3),"장기미납",
IF(AND(V1453="정상",OFFSET(Y1453,0,COUNTA(Y1453:AV1453)-1)&gt;=U1453),"정상",
IF(AND(V1453="정상",OFFSET(Y1453,0,COUNTA(Y1453:AV1453)-1)=0),"정상",
"계약서 미작성")))))</f>
        <v>면제</v>
      </c>
      <c r="X1453" s="81" t="str">
        <f aca="true">
IF(D1453="폐업","폐업",
IF(AND(V1453="정상",OFFSET(Y1453,0,COUNTA(Y1453:AV1453)-1)="미납"),"미납",
IF(AND(V1453="정상",OFFSET(Y1453,0,COUNTA(Y1453:AV1453)-1)=0),"납부 시작 전",
IF(AND(V1453="정상",OFFSET(Y1453,0,COUNTA(Y1453:AV1453)-1)&gt;=U1453),"정상",
IF(AND(V1453="면제",OFFSET(Y1453,0,COUNTA(Y1453:AV1453)-1)="면제"),"면제",
IF(AND(V1453="면제",OFFSET(Y1453,0,COUNTA(Y1453:AV1453)-1)=0),"면제",
"확인요청"))))))</f>
        <v>면제</v>
      </c>
      <c r="Y1453" s="94" t="s">
        <v>7</v>
      </c>
      <c r="Z1453" s="95" t="s">
        <v>7</v>
      </c>
      <c r="AA1453" s="95" t="s">
        <v>7</v>
      </c>
      <c r="AB1453" s="95" t="s">
        <v>7</v>
      </c>
      <c r="AC1453" s="95" t="s">
        <v>7</v>
      </c>
      <c r="AD1453" s="95" t="s">
        <v>7</v>
      </c>
      <c r="AE1453" s="95" t="s">
        <v>7</v>
      </c>
      <c r="AF1453" s="95" t="s">
        <v>7</v>
      </c>
      <c r="AG1453" s="95" t="s">
        <v>7</v>
      </c>
      <c r="AH1453" s="95" t="s">
        <v>7</v>
      </c>
      <c r="AI1453" s="95" t="s">
        <v>7</v>
      </c>
      <c r="AJ1453" s="96" t="s">
        <v>7</v>
      </c>
      <c r="AK1453" s="97" t="s">
        <v>7</v>
      </c>
      <c r="AL1453" s="95" t="s">
        <v>7</v>
      </c>
      <c r="AM1453" s="90"/>
      <c r="AN1453" s="90"/>
      <c r="AO1453" s="90"/>
      <c r="AP1453" s="90"/>
      <c r="AQ1453" s="90"/>
      <c r="AR1453" s="90"/>
      <c r="AS1453" s="90"/>
      <c r="AT1453" s="90"/>
      <c r="AU1453" s="90"/>
      <c r="AV1453" s="91"/>
      <c r="AX1453" s="92"/>
    </row>
    <row r="1454" customFormat="false" ht="15.65" hidden="false" customHeight="false" outlineLevel="0" collapsed="false">
      <c r="C1454" s="72" t="n">
        <f aca="false">COUNTIFS($D$6:D1454,"&lt;&gt;"&amp;"")</f>
        <v>1449</v>
      </c>
      <c r="D1454" s="73" t="s">
        <v>12</v>
      </c>
      <c r="E1454" s="76" t="str">
        <f aca="false">
IF($D1454="정상",INDEX(임대자산!$D$3:$R$3000,MATCH($F1454,임대자산!$I$3:$I$3000,0),MATCH(E$3,임대자산!$D$3:$R$3,0)),
IF($D1454="폐업",INDEX(폐업정보!$D$3:$R$3000,MATCH($F1454,폐업정보!$I$3:$I$3000,0),MATCH(E$3,폐업정보!$D$3:$R$3,0)),
"Error"))</f>
        <v>강원</v>
      </c>
      <c r="F145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B1449</v>
      </c>
      <c r="G1454" s="76" t="str">
        <f aca="false">F1454&amp;RANDBETWEEN(0,10)</f>
        <v>B14492</v>
      </c>
      <c r="H1454" s="75" t="n">
        <f aca="false">
IF($D1454="정상",INDEX(임대자산!$D$3:$R$3000,MATCH($F1454,임대자산!$I$3:$I$3000,0),MATCH(H$4,임대자산!$D$3:$R$3,0)),
IF($D1454="폐업",INDEX(폐업정보!$D$3:$R$3000,MATCH($F1454,폐업정보!$I$3:$I$3000,0),MATCH(H$4,폐업정보!$D$3:$R$3,0)),
"Error"))</f>
        <v>45412</v>
      </c>
      <c r="I1454" s="75" t="str">
        <f aca="false">
IF($D1454="정상",INDEX(임대자산!$D$3:$R$3000,MATCH($F1454,임대자산!$I$3:$I$3000,0),MATCH(I$4,임대자산!$D$3:$R$3,0)),
IF($D1454="폐업",INDEX(폐업정보!$D$3:$R$3000,MATCH($F1454,폐업정보!$I$3:$I$3000,0),MATCH(I$4,폐업정보!$D$3:$R$3,0)),
"Error"))</f>
        <v>A1449</v>
      </c>
      <c r="J1454" s="75" t="str">
        <f aca="false">
IF($D1454="정상",INDEX(임대자산!$D$3:$R$3000,MATCH($F1454,임대자산!$I$3:$I$3000,0),MATCH(J$4,임대자산!$D$3:$R$3,0)),
IF($D1454="폐업",INDEX(폐업정보!$D$3:$R$3000,MATCH($F1454,폐업정보!$I$3:$I$3000,0),MATCH(J$4,폐업정보!$D$3:$R$3,0)),
"Error"))</f>
        <v>2782000000</v>
      </c>
      <c r="K1454" s="75" t="str">
        <f aca="false">
IF($D1454="정상",INDEX(임대자산!$D$3:$R$3000,MATCH($F1454,임대자산!$I$3:$I$3000,0),MATCH(K$4,임대자산!$D$3:$R$3,0)),
IF($D1454="폐업",INDEX(폐업정보!$D$3:$R$3000,MATCH($F1454,폐업정보!$I$3:$I$3000,0),MATCH(K$4,폐업정보!$D$3:$R$3,0)),
"Error"))</f>
        <v>C1449</v>
      </c>
      <c r="L1454" s="75" t="str">
        <f aca="false">
IF($D1454="정상",INDEX(임대자산!$D$3:$R$3000,MATCH($F1454,임대자산!$I$3:$I$3000,0),MATCH(L$4,임대자산!$D$3:$R$3,0)),
IF($D1454="폐업",INDEX(폐업정보!$D$3:$R$3000,MATCH($F1454,폐업정보!$I$3:$I$3000,0),MATCH(L$4,폐업정보!$D$3:$R$3,0)),
"Error"))</f>
        <v>D1449</v>
      </c>
      <c r="M1454" s="76" t="s">
        <v>96</v>
      </c>
      <c r="N1454" s="77"/>
      <c r="O1454" s="78" t="s">
        <v>97</v>
      </c>
      <c r="P1454" s="79" t="n">
        <f aca="false">COUNTIFS(임대자산!$I:$I,가맹점정보!F1454,임대자산!$N:$N,가맹점정보!P$4)</f>
        <v>0</v>
      </c>
      <c r="Q1454" s="80" t="n">
        <f aca="false">COUNTIFS(임대자산!$I:$I,가맹점정보!F1454,임대자산!$N:$N,가맹점정보!Q$4)</f>
        <v>0</v>
      </c>
      <c r="R1454" s="81" t="n">
        <f aca="false">COUNTIFS(임대자산!$I:$I,가맹점정보!F1454,임대자산!$N:$N,가맹점정보!R$4)</f>
        <v>1</v>
      </c>
      <c r="S1454" s="82" t="n">
        <v>55000</v>
      </c>
      <c r="T1454" s="83" t="n">
        <v>0</v>
      </c>
      <c r="U1454" s="80" t="n">
        <f aca="false">SUM(S1454:T1454)</f>
        <v>55000</v>
      </c>
      <c r="V1454" s="84" t="s">
        <v>12</v>
      </c>
      <c r="W1454" s="80" t="e">
        <f aca="true">
IF(D1454="폐업","폐업",
IF(V1454="면제","면제",
IF(AND(V1454="정상",COUNTIFS(OFFSET(Y1454,0,COUNTA(Y1454:AV1454)-1,1,-4),"미납")&gt;=3),"장기미납",
IF(AND(V1454="정상",OFFSET(Y1454,0,COUNTA(Y1454:AV1454)-1)&gt;=U1454),"정상",
IF(AND(V1454="정상",OFFSET(Y1454,0,COUNTA(Y1454:AV1454)-1)=0),"정상",
"계약서 미작성")))))</f>
        <v>#VALUE!</v>
      </c>
      <c r="X1454" s="81" t="str">
        <f aca="true">
IF(D1454="폐업","폐업",
IF(AND(V1454="정상",OFFSET(Y1454,0,COUNTA(Y1454:AV1454)-1)="미납"),"미납",
IF(AND(V1454="정상",OFFSET(Y1454,0,COUNTA(Y1454:AV1454)-1)=0),"납부 시작 전",
IF(AND(V1454="정상",OFFSET(Y1454,0,COUNTA(Y1454:AV1454)-1)&gt;=U1454),"정상",
IF(AND(V1454="면제",OFFSET(Y1454,0,COUNTA(Y1454:AV1454)-1)="면제"),"면제",
IF(AND(V1454="면제",OFFSET(Y1454,0,COUNTA(Y1454:AV1454)-1)=0),"면제",
"확인요청"))))))</f>
        <v>정상</v>
      </c>
      <c r="Y1454" s="93" t="n">
        <v>55000</v>
      </c>
      <c r="Z1454" s="90" t="n">
        <v>55000</v>
      </c>
      <c r="AA1454" s="90" t="n">
        <v>55000</v>
      </c>
      <c r="AB1454" s="90" t="n">
        <v>55000</v>
      </c>
      <c r="AC1454" s="90" t="n">
        <v>55000</v>
      </c>
      <c r="AD1454" s="90" t="n">
        <v>55000</v>
      </c>
      <c r="AE1454" s="90" t="n">
        <v>55000</v>
      </c>
      <c r="AF1454" s="90" t="n">
        <v>55000</v>
      </c>
      <c r="AG1454" s="90" t="n">
        <v>55000</v>
      </c>
      <c r="AH1454" s="90" t="n">
        <v>55000</v>
      </c>
      <c r="AI1454" s="90" t="n">
        <v>55000</v>
      </c>
      <c r="AJ1454" s="91" t="n">
        <v>55000</v>
      </c>
      <c r="AK1454" s="89" t="n">
        <v>55000</v>
      </c>
      <c r="AL1454" s="90" t="n">
        <v>55000</v>
      </c>
      <c r="AM1454" s="90"/>
      <c r="AN1454" s="90"/>
      <c r="AO1454" s="90"/>
      <c r="AP1454" s="90"/>
      <c r="AQ1454" s="90"/>
      <c r="AR1454" s="90"/>
      <c r="AS1454" s="90"/>
      <c r="AT1454" s="90"/>
      <c r="AU1454" s="90"/>
      <c r="AV1454" s="91"/>
      <c r="AX1454" s="92"/>
    </row>
    <row r="1455" customFormat="false" ht="15.65" hidden="false" customHeight="false" outlineLevel="0" collapsed="false">
      <c r="C1455" s="72" t="n">
        <f aca="false">COUNTIFS($D$6:D1455,"&lt;&gt;"&amp;"")</f>
        <v>1450</v>
      </c>
      <c r="D1455" s="73" t="s">
        <v>12</v>
      </c>
      <c r="E1455" s="76" t="str">
        <f aca="false">
IF($D1455="정상",INDEX(임대자산!$D$3:$R$3000,MATCH($F1455,임대자산!$I$3:$I$3000,0),MATCH(E$3,임대자산!$D$3:$R$3,0)),
IF($D1455="폐업",INDEX(폐업정보!$D$3:$R$3000,MATCH($F1455,폐업정보!$I$3:$I$3000,0),MATCH(E$3,폐업정보!$D$3:$R$3,0)),
"Error"))</f>
        <v>강원</v>
      </c>
      <c r="F145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B1450</v>
      </c>
      <c r="G1455" s="76" t="str">
        <f aca="false">F1455&amp;RANDBETWEEN(0,10)</f>
        <v>B14502</v>
      </c>
      <c r="H1455" s="75" t="n">
        <f aca="false">
IF($D1455="정상",INDEX(임대자산!$D$3:$R$3000,MATCH($F1455,임대자산!$I$3:$I$3000,0),MATCH(H$4,임대자산!$D$3:$R$3,0)),
IF($D1455="폐업",INDEX(폐업정보!$D$3:$R$3000,MATCH($F1455,폐업정보!$I$3:$I$3000,0),MATCH(H$4,폐업정보!$D$3:$R$3,0)),
"Error"))</f>
        <v>45415</v>
      </c>
      <c r="I1455" s="75" t="str">
        <f aca="false">
IF($D1455="정상",INDEX(임대자산!$D$3:$R$3000,MATCH($F1455,임대자산!$I$3:$I$3000,0),MATCH(I$4,임대자산!$D$3:$R$3,0)),
IF($D1455="폐업",INDEX(폐업정보!$D$3:$R$3000,MATCH($F1455,폐업정보!$I$3:$I$3000,0),MATCH(I$4,폐업정보!$D$3:$R$3,0)),
"Error"))</f>
        <v>A1450</v>
      </c>
      <c r="J1455" s="75" t="str">
        <f aca="false">
IF($D1455="정상",INDEX(임대자산!$D$3:$R$3000,MATCH($F1455,임대자산!$I$3:$I$3000,0),MATCH(J$4,임대자산!$D$3:$R$3,0)),
IF($D1455="폐업",INDEX(폐업정보!$D$3:$R$3000,MATCH($F1455,폐업정보!$I$3:$I$3000,0),MATCH(J$4,폐업정보!$D$3:$R$3,0)),
"Error"))</f>
        <v>8311200000</v>
      </c>
      <c r="K1455" s="75" t="str">
        <f aca="false">
IF($D1455="정상",INDEX(임대자산!$D$3:$R$3000,MATCH($F1455,임대자산!$I$3:$I$3000,0),MATCH(K$4,임대자산!$D$3:$R$3,0)),
IF($D1455="폐업",INDEX(폐업정보!$D$3:$R$3000,MATCH($F1455,폐업정보!$I$3:$I$3000,0),MATCH(K$4,폐업정보!$D$3:$R$3,0)),
"Error"))</f>
        <v>C1450</v>
      </c>
      <c r="L1455" s="75" t="str">
        <f aca="false">
IF($D1455="정상",INDEX(임대자산!$D$3:$R$3000,MATCH($F1455,임대자산!$I$3:$I$3000,0),MATCH(L$4,임대자산!$D$3:$R$3,0)),
IF($D1455="폐업",INDEX(폐업정보!$D$3:$R$3000,MATCH($F1455,폐업정보!$I$3:$I$3000,0),MATCH(L$4,폐업정보!$D$3:$R$3,0)),
"Error"))</f>
        <v>D1450</v>
      </c>
      <c r="M1455" s="76" t="s">
        <v>96</v>
      </c>
      <c r="N1455" s="77"/>
      <c r="O1455" s="78" t="s">
        <v>97</v>
      </c>
      <c r="P1455" s="79" t="n">
        <f aca="false">COUNTIFS(임대자산!$I:$I,가맹점정보!F1455,임대자산!$N:$N,가맹점정보!P$4)</f>
        <v>0</v>
      </c>
      <c r="Q1455" s="80" t="n">
        <f aca="false">COUNTIFS(임대자산!$I:$I,가맹점정보!F1455,임대자산!$N:$N,가맹점정보!Q$4)</f>
        <v>0</v>
      </c>
      <c r="R1455" s="81" t="n">
        <f aca="false">COUNTIFS(임대자산!$I:$I,가맹점정보!F1455,임대자산!$N:$N,가맹점정보!R$4)</f>
        <v>1</v>
      </c>
      <c r="S1455" s="82" t="n">
        <v>55000</v>
      </c>
      <c r="T1455" s="83" t="n">
        <v>0</v>
      </c>
      <c r="U1455" s="80" t="n">
        <f aca="false">SUM(S1455:T1455)</f>
        <v>55000</v>
      </c>
      <c r="V1455" s="84" t="s">
        <v>7</v>
      </c>
      <c r="W1455" s="80" t="str">
        <f aca="true">
IF(D1455="폐업","폐업",
IF(V1455="면제","면제",
IF(AND(V1455="정상",COUNTIFS(OFFSET(Y1455,0,COUNTA(Y1455:AV1455)-1,1,-4),"미납")&gt;=3),"장기미납",
IF(AND(V1455="정상",OFFSET(Y1455,0,COUNTA(Y1455:AV1455)-1)&gt;=U1455),"정상",
IF(AND(V1455="정상",OFFSET(Y1455,0,COUNTA(Y1455:AV1455)-1)=0),"정상",
"계약서 미작성")))))</f>
        <v>면제</v>
      </c>
      <c r="X1455" s="81" t="str">
        <f aca="true">
IF(D1455="폐업","폐업",
IF(AND(V1455="정상",OFFSET(Y1455,0,COUNTA(Y1455:AV1455)-1)="미납"),"미납",
IF(AND(V1455="정상",OFFSET(Y1455,0,COUNTA(Y1455:AV1455)-1)=0),"납부 시작 전",
IF(AND(V1455="정상",OFFSET(Y1455,0,COUNTA(Y1455:AV1455)-1)&gt;=U1455),"정상",
IF(AND(V1455="면제",OFFSET(Y1455,0,COUNTA(Y1455:AV1455)-1)="면제"),"면제",
IF(AND(V1455="면제",OFFSET(Y1455,0,COUNTA(Y1455:AV1455)-1)=0),"면제",
"확인요청"))))))</f>
        <v>면제</v>
      </c>
      <c r="Y1455" s="94" t="s">
        <v>7</v>
      </c>
      <c r="Z1455" s="95" t="s">
        <v>7</v>
      </c>
      <c r="AA1455" s="95" t="s">
        <v>7</v>
      </c>
      <c r="AB1455" s="95" t="s">
        <v>7</v>
      </c>
      <c r="AC1455" s="95" t="s">
        <v>7</v>
      </c>
      <c r="AD1455" s="95" t="s">
        <v>7</v>
      </c>
      <c r="AE1455" s="95" t="s">
        <v>7</v>
      </c>
      <c r="AF1455" s="95" t="s">
        <v>7</v>
      </c>
      <c r="AG1455" s="95" t="s">
        <v>7</v>
      </c>
      <c r="AH1455" s="95" t="s">
        <v>7</v>
      </c>
      <c r="AI1455" s="95" t="s">
        <v>7</v>
      </c>
      <c r="AJ1455" s="96" t="s">
        <v>7</v>
      </c>
      <c r="AK1455" s="97" t="s">
        <v>7</v>
      </c>
      <c r="AL1455" s="95" t="s">
        <v>7</v>
      </c>
      <c r="AM1455" s="90"/>
      <c r="AN1455" s="90"/>
      <c r="AO1455" s="90"/>
      <c r="AP1455" s="90"/>
      <c r="AQ1455" s="90"/>
      <c r="AR1455" s="90"/>
      <c r="AS1455" s="90"/>
      <c r="AT1455" s="90"/>
      <c r="AU1455" s="90"/>
      <c r="AV1455" s="91"/>
      <c r="AX1455" s="92"/>
    </row>
    <row r="1456" customFormat="false" ht="15.65" hidden="false" customHeight="false" outlineLevel="0" collapsed="false">
      <c r="C1456" s="72" t="n">
        <f aca="false">COUNTIFS($D$6:D1456,"&lt;&gt;"&amp;"")</f>
        <v>1451</v>
      </c>
      <c r="D1456" s="73" t="s">
        <v>12</v>
      </c>
      <c r="E1456" s="76" t="str">
        <f aca="false">
IF($D1456="정상",INDEX(임대자산!$D$3:$R$3000,MATCH($F1456,임대자산!$I$3:$I$3000,0),MATCH(E$3,임대자산!$D$3:$R$3,0)),
IF($D1456="폐업",INDEX(폐업정보!$D$3:$R$3000,MATCH($F1456,폐업정보!$I$3:$I$3000,0),MATCH(E$3,폐업정보!$D$3:$R$3,0)),
"Error"))</f>
        <v>전라</v>
      </c>
      <c r="F145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B1451</v>
      </c>
      <c r="G1456" s="76" t="str">
        <f aca="false">F1456&amp;RANDBETWEEN(0,10)</f>
        <v>B14512</v>
      </c>
      <c r="H1456" s="75" t="n">
        <f aca="false">
IF($D1456="정상",INDEX(임대자산!$D$3:$R$3000,MATCH($F1456,임대자산!$I$3:$I$3000,0),MATCH(H$4,임대자산!$D$3:$R$3,0)),
IF($D1456="폐업",INDEX(폐업정보!$D$3:$R$3000,MATCH($F1456,폐업정보!$I$3:$I$3000,0),MATCH(H$4,폐업정보!$D$3:$R$3,0)),
"Error"))</f>
        <v>45412</v>
      </c>
      <c r="I1456" s="75" t="str">
        <f aca="false">
IF($D1456="정상",INDEX(임대자산!$D$3:$R$3000,MATCH($F1456,임대자산!$I$3:$I$3000,0),MATCH(I$4,임대자산!$D$3:$R$3,0)),
IF($D1456="폐업",INDEX(폐업정보!$D$3:$R$3000,MATCH($F1456,폐업정보!$I$3:$I$3000,0),MATCH(I$4,폐업정보!$D$3:$R$3,0)),
"Error"))</f>
        <v>A1451</v>
      </c>
      <c r="J1456" s="75" t="str">
        <f aca="false">
IF($D1456="정상",INDEX(임대자산!$D$3:$R$3000,MATCH($F1456,임대자산!$I$3:$I$3000,0),MATCH(J$4,임대자산!$D$3:$R$3,0)),
IF($D1456="폐업",INDEX(폐업정보!$D$3:$R$3000,MATCH($F1456,폐업정보!$I$3:$I$3000,0),MATCH(J$4,폐업정보!$D$3:$R$3,0)),
"Error"))</f>
        <v>6955800000</v>
      </c>
      <c r="K1456" s="75" t="str">
        <f aca="false">
IF($D1456="정상",INDEX(임대자산!$D$3:$R$3000,MATCH($F1456,임대자산!$I$3:$I$3000,0),MATCH(K$4,임대자산!$D$3:$R$3,0)),
IF($D1456="폐업",INDEX(폐업정보!$D$3:$R$3000,MATCH($F1456,폐업정보!$I$3:$I$3000,0),MATCH(K$4,폐업정보!$D$3:$R$3,0)),
"Error"))</f>
        <v>C1451</v>
      </c>
      <c r="L1456" s="75" t="str">
        <f aca="false">
IF($D1456="정상",INDEX(임대자산!$D$3:$R$3000,MATCH($F1456,임대자산!$I$3:$I$3000,0),MATCH(L$4,임대자산!$D$3:$R$3,0)),
IF($D1456="폐업",INDEX(폐업정보!$D$3:$R$3000,MATCH($F1456,폐업정보!$I$3:$I$3000,0),MATCH(L$4,폐업정보!$D$3:$R$3,0)),
"Error"))</f>
        <v>D1451</v>
      </c>
      <c r="M1456" s="76" t="s">
        <v>96</v>
      </c>
      <c r="N1456" s="77"/>
      <c r="O1456" s="78" t="s">
        <v>97</v>
      </c>
      <c r="P1456" s="79" t="n">
        <f aca="false">COUNTIFS(임대자산!$I:$I,가맹점정보!F1456,임대자산!$N:$N,가맹점정보!P$4)</f>
        <v>0</v>
      </c>
      <c r="Q1456" s="80" t="n">
        <f aca="false">COUNTIFS(임대자산!$I:$I,가맹점정보!F1456,임대자산!$N:$N,가맹점정보!Q$4)</f>
        <v>0</v>
      </c>
      <c r="R1456" s="81" t="n">
        <f aca="false">COUNTIFS(임대자산!$I:$I,가맹점정보!F1456,임대자산!$N:$N,가맹점정보!R$4)</f>
        <v>1</v>
      </c>
      <c r="S1456" s="82" t="n">
        <v>55000</v>
      </c>
      <c r="T1456" s="83" t="n">
        <v>0</v>
      </c>
      <c r="U1456" s="80" t="n">
        <f aca="false">SUM(S1456:T1456)</f>
        <v>55000</v>
      </c>
      <c r="V1456" s="84" t="s">
        <v>7</v>
      </c>
      <c r="W1456" s="80" t="str">
        <f aca="true">
IF(D1456="폐업","폐업",
IF(V1456="면제","면제",
IF(AND(V1456="정상",COUNTIFS(OFFSET(Y1456,0,COUNTA(Y1456:AV1456)-1,1,-4),"미납")&gt;=3),"장기미납",
IF(AND(V1456="정상",OFFSET(Y1456,0,COUNTA(Y1456:AV1456)-1)&gt;=U1456),"정상",
IF(AND(V1456="정상",OFFSET(Y1456,0,COUNTA(Y1456:AV1456)-1)=0),"정상",
"계약서 미작성")))))</f>
        <v>면제</v>
      </c>
      <c r="X1456" s="81" t="str">
        <f aca="true">
IF(D1456="폐업","폐업",
IF(AND(V1456="정상",OFFSET(Y1456,0,COUNTA(Y1456:AV1456)-1)="미납"),"미납",
IF(AND(V1456="정상",OFFSET(Y1456,0,COUNTA(Y1456:AV1456)-1)=0),"납부 시작 전",
IF(AND(V1456="정상",OFFSET(Y1456,0,COUNTA(Y1456:AV1456)-1)&gt;=U1456),"정상",
IF(AND(V1456="면제",OFFSET(Y1456,0,COUNTA(Y1456:AV1456)-1)="면제"),"면제",
IF(AND(V1456="면제",OFFSET(Y1456,0,COUNTA(Y1456:AV1456)-1)=0),"면제",
"확인요청"))))))</f>
        <v>면제</v>
      </c>
      <c r="Y1456" s="94" t="s">
        <v>7</v>
      </c>
      <c r="Z1456" s="95" t="s">
        <v>7</v>
      </c>
      <c r="AA1456" s="95" t="s">
        <v>7</v>
      </c>
      <c r="AB1456" s="95" t="s">
        <v>7</v>
      </c>
      <c r="AC1456" s="95" t="s">
        <v>7</v>
      </c>
      <c r="AD1456" s="95" t="s">
        <v>7</v>
      </c>
      <c r="AE1456" s="95" t="s">
        <v>7</v>
      </c>
      <c r="AF1456" s="95" t="s">
        <v>7</v>
      </c>
      <c r="AG1456" s="95" t="s">
        <v>7</v>
      </c>
      <c r="AH1456" s="95" t="s">
        <v>7</v>
      </c>
      <c r="AI1456" s="95" t="s">
        <v>7</v>
      </c>
      <c r="AJ1456" s="96" t="s">
        <v>7</v>
      </c>
      <c r="AK1456" s="97" t="s">
        <v>7</v>
      </c>
      <c r="AL1456" s="95" t="s">
        <v>7</v>
      </c>
      <c r="AM1456" s="90"/>
      <c r="AN1456" s="90"/>
      <c r="AO1456" s="90"/>
      <c r="AP1456" s="90"/>
      <c r="AQ1456" s="90"/>
      <c r="AR1456" s="90"/>
      <c r="AS1456" s="90"/>
      <c r="AT1456" s="90"/>
      <c r="AU1456" s="90"/>
      <c r="AV1456" s="91"/>
      <c r="AX1456" s="92"/>
    </row>
    <row r="1457" customFormat="false" ht="15.65" hidden="false" customHeight="false" outlineLevel="0" collapsed="false">
      <c r="C1457" s="72" t="n">
        <f aca="false">COUNTIFS($D$6:D1457,"&lt;&gt;"&amp;"")</f>
        <v>1452</v>
      </c>
      <c r="D1457" s="73" t="s">
        <v>12</v>
      </c>
      <c r="E1457" s="76" t="str">
        <f aca="false">
IF($D1457="정상",INDEX(임대자산!$D$3:$R$3000,MATCH($F1457,임대자산!$I$3:$I$3000,0),MATCH(E$3,임대자산!$D$3:$R$3,0)),
IF($D1457="폐업",INDEX(폐업정보!$D$3:$R$3000,MATCH($F1457,폐업정보!$I$3:$I$3000,0),MATCH(E$3,폐업정보!$D$3:$R$3,0)),
"Error"))</f>
        <v>전라</v>
      </c>
      <c r="F145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B1452</v>
      </c>
      <c r="G1457" s="76" t="str">
        <f aca="false">F1457&amp;RANDBETWEEN(0,10)</f>
        <v>B14520</v>
      </c>
      <c r="H1457" s="75" t="n">
        <f aca="false">
IF($D1457="정상",INDEX(임대자산!$D$3:$R$3000,MATCH($F1457,임대자산!$I$3:$I$3000,0),MATCH(H$4,임대자산!$D$3:$R$3,0)),
IF($D1457="폐업",INDEX(폐업정보!$D$3:$R$3000,MATCH($F1457,폐업정보!$I$3:$I$3000,0),MATCH(H$4,폐업정보!$D$3:$R$3,0)),
"Error"))</f>
        <v>45412</v>
      </c>
      <c r="I1457" s="75" t="str">
        <f aca="false">
IF($D1457="정상",INDEX(임대자산!$D$3:$R$3000,MATCH($F1457,임대자산!$I$3:$I$3000,0),MATCH(I$4,임대자산!$D$3:$R$3,0)),
IF($D1457="폐업",INDEX(폐업정보!$D$3:$R$3000,MATCH($F1457,폐업정보!$I$3:$I$3000,0),MATCH(I$4,폐업정보!$D$3:$R$3,0)),
"Error"))</f>
        <v>A1452</v>
      </c>
      <c r="J1457" s="75" t="str">
        <f aca="false">
IF($D1457="정상",INDEX(임대자산!$D$3:$R$3000,MATCH($F1457,임대자산!$I$3:$I$3000,0),MATCH(J$4,임대자산!$D$3:$R$3,0)),
IF($D1457="폐업",INDEX(폐업정보!$D$3:$R$3000,MATCH($F1457,폐업정보!$I$3:$I$3000,0),MATCH(J$4,폐업정보!$D$3:$R$3,0)),
"Error"))</f>
        <v>7034000000</v>
      </c>
      <c r="K1457" s="75" t="str">
        <f aca="false">
IF($D1457="정상",INDEX(임대자산!$D$3:$R$3000,MATCH($F1457,임대자산!$I$3:$I$3000,0),MATCH(K$4,임대자산!$D$3:$R$3,0)),
IF($D1457="폐업",INDEX(폐업정보!$D$3:$R$3000,MATCH($F1457,폐업정보!$I$3:$I$3000,0),MATCH(K$4,폐업정보!$D$3:$R$3,0)),
"Error"))</f>
        <v>C1452</v>
      </c>
      <c r="L1457" s="75" t="str">
        <f aca="false">
IF($D1457="정상",INDEX(임대자산!$D$3:$R$3000,MATCH($F1457,임대자산!$I$3:$I$3000,0),MATCH(L$4,임대자산!$D$3:$R$3,0)),
IF($D1457="폐업",INDEX(폐업정보!$D$3:$R$3000,MATCH($F1457,폐업정보!$I$3:$I$3000,0),MATCH(L$4,폐업정보!$D$3:$R$3,0)),
"Error"))</f>
        <v>D1452</v>
      </c>
      <c r="M1457" s="76" t="s">
        <v>96</v>
      </c>
      <c r="N1457" s="77"/>
      <c r="O1457" s="78" t="s">
        <v>97</v>
      </c>
      <c r="P1457" s="79" t="n">
        <f aca="false">COUNTIFS(임대자산!$I:$I,가맹점정보!F1457,임대자산!$N:$N,가맹점정보!P$4)</f>
        <v>0</v>
      </c>
      <c r="Q1457" s="80" t="n">
        <f aca="false">COUNTIFS(임대자산!$I:$I,가맹점정보!F1457,임대자산!$N:$N,가맹점정보!Q$4)</f>
        <v>0</v>
      </c>
      <c r="R1457" s="81" t="n">
        <f aca="false">COUNTIFS(임대자산!$I:$I,가맹점정보!F1457,임대자산!$N:$N,가맹점정보!R$4)</f>
        <v>1</v>
      </c>
      <c r="S1457" s="82" t="n">
        <v>55000</v>
      </c>
      <c r="T1457" s="83" t="n">
        <v>0</v>
      </c>
      <c r="U1457" s="80" t="n">
        <f aca="false">SUM(S1457:T1457)</f>
        <v>55000</v>
      </c>
      <c r="V1457" s="84" t="s">
        <v>7</v>
      </c>
      <c r="W1457" s="80" t="str">
        <f aca="true">
IF(D1457="폐업","폐업",
IF(V1457="면제","면제",
IF(AND(V1457="정상",COUNTIFS(OFFSET(Y1457,0,COUNTA(Y1457:AV1457)-1,1,-4),"미납")&gt;=3),"장기미납",
IF(AND(V1457="정상",OFFSET(Y1457,0,COUNTA(Y1457:AV1457)-1)&gt;=U1457),"정상",
IF(AND(V1457="정상",OFFSET(Y1457,0,COUNTA(Y1457:AV1457)-1)=0),"정상",
"계약서 미작성")))))</f>
        <v>면제</v>
      </c>
      <c r="X1457" s="81" t="str">
        <f aca="true">
IF(D1457="폐업","폐업",
IF(AND(V1457="정상",OFFSET(Y1457,0,COUNTA(Y1457:AV1457)-1)="미납"),"미납",
IF(AND(V1457="정상",OFFSET(Y1457,0,COUNTA(Y1457:AV1457)-1)=0),"납부 시작 전",
IF(AND(V1457="정상",OFFSET(Y1457,0,COUNTA(Y1457:AV1457)-1)&gt;=U1457),"정상",
IF(AND(V1457="면제",OFFSET(Y1457,0,COUNTA(Y1457:AV1457)-1)="면제"),"면제",
IF(AND(V1457="면제",OFFSET(Y1457,0,COUNTA(Y1457:AV1457)-1)=0),"면제",
"확인요청"))))))</f>
        <v>면제</v>
      </c>
      <c r="Y1457" s="94" t="s">
        <v>7</v>
      </c>
      <c r="Z1457" s="95" t="s">
        <v>7</v>
      </c>
      <c r="AA1457" s="95" t="s">
        <v>7</v>
      </c>
      <c r="AB1457" s="95" t="s">
        <v>7</v>
      </c>
      <c r="AC1457" s="95" t="s">
        <v>7</v>
      </c>
      <c r="AD1457" s="95" t="s">
        <v>7</v>
      </c>
      <c r="AE1457" s="95" t="s">
        <v>7</v>
      </c>
      <c r="AF1457" s="95" t="s">
        <v>7</v>
      </c>
      <c r="AG1457" s="95" t="s">
        <v>7</v>
      </c>
      <c r="AH1457" s="95" t="s">
        <v>7</v>
      </c>
      <c r="AI1457" s="95" t="s">
        <v>7</v>
      </c>
      <c r="AJ1457" s="96" t="s">
        <v>7</v>
      </c>
      <c r="AK1457" s="97" t="s">
        <v>7</v>
      </c>
      <c r="AL1457" s="95" t="s">
        <v>7</v>
      </c>
      <c r="AM1457" s="90"/>
      <c r="AN1457" s="90"/>
      <c r="AO1457" s="90"/>
      <c r="AP1457" s="90"/>
      <c r="AQ1457" s="90"/>
      <c r="AR1457" s="90"/>
      <c r="AS1457" s="90"/>
      <c r="AT1457" s="90"/>
      <c r="AU1457" s="90"/>
      <c r="AV1457" s="91"/>
      <c r="AX1457" s="92"/>
    </row>
    <row r="1458" customFormat="false" ht="15.65" hidden="false" customHeight="false" outlineLevel="0" collapsed="false">
      <c r="C1458" s="72" t="n">
        <f aca="false">COUNTIFS($D$6:D1458,"&lt;&gt;"&amp;"")</f>
        <v>1453</v>
      </c>
      <c r="D1458" s="73" t="s">
        <v>12</v>
      </c>
      <c r="E1458" s="76" t="str">
        <f aca="false">
IF($D1458="정상",INDEX(임대자산!$D$3:$R$3000,MATCH($F1458,임대자산!$I$3:$I$3000,0),MATCH(E$3,임대자산!$D$3:$R$3,0)),
IF($D1458="폐업",INDEX(폐업정보!$D$3:$R$3000,MATCH($F1458,폐업정보!$I$3:$I$3000,0),MATCH(E$3,폐업정보!$D$3:$R$3,0)),
"Error"))</f>
        <v>강원</v>
      </c>
      <c r="F145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B1453</v>
      </c>
      <c r="G1458" s="76" t="str">
        <f aca="false">F1458&amp;RANDBETWEEN(0,10)</f>
        <v>B14539</v>
      </c>
      <c r="H1458" s="75" t="n">
        <f aca="false">
IF($D1458="정상",INDEX(임대자산!$D$3:$R$3000,MATCH($F1458,임대자산!$I$3:$I$3000,0),MATCH(H$4,임대자산!$D$3:$R$3,0)),
IF($D1458="폐업",INDEX(폐업정보!$D$3:$R$3000,MATCH($F1458,폐업정보!$I$3:$I$3000,0),MATCH(H$4,폐업정보!$D$3:$R$3,0)),
"Error"))</f>
        <v>45925</v>
      </c>
      <c r="I1458" s="75" t="str">
        <f aca="false">
IF($D1458="정상",INDEX(임대자산!$D$3:$R$3000,MATCH($F1458,임대자산!$I$3:$I$3000,0),MATCH(I$4,임대자산!$D$3:$R$3,0)),
IF($D1458="폐업",INDEX(폐업정보!$D$3:$R$3000,MATCH($F1458,폐업정보!$I$3:$I$3000,0),MATCH(I$4,폐업정보!$D$3:$R$3,0)),
"Error"))</f>
        <v>A1453</v>
      </c>
      <c r="J1458" s="75" t="str">
        <f aca="false">
IF($D1458="정상",INDEX(임대자산!$D$3:$R$3000,MATCH($F1458,임대자산!$I$3:$I$3000,0),MATCH(J$4,임대자산!$D$3:$R$3,0)),
IF($D1458="폐업",INDEX(폐업정보!$D$3:$R$3000,MATCH($F1458,폐업정보!$I$3:$I$3000,0),MATCH(J$4,폐업정보!$D$3:$R$3,0)),
"Error"))</f>
        <v>4185800000</v>
      </c>
      <c r="K1458" s="75" t="str">
        <f aca="false">
IF($D1458="정상",INDEX(임대자산!$D$3:$R$3000,MATCH($F1458,임대자산!$I$3:$I$3000,0),MATCH(K$4,임대자산!$D$3:$R$3,0)),
IF($D1458="폐업",INDEX(폐업정보!$D$3:$R$3000,MATCH($F1458,폐업정보!$I$3:$I$3000,0),MATCH(K$4,폐업정보!$D$3:$R$3,0)),
"Error"))</f>
        <v>C1453</v>
      </c>
      <c r="L1458" s="75" t="str">
        <f aca="false">
IF($D1458="정상",INDEX(임대자산!$D$3:$R$3000,MATCH($F1458,임대자산!$I$3:$I$3000,0),MATCH(L$4,임대자산!$D$3:$R$3,0)),
IF($D1458="폐업",INDEX(폐업정보!$D$3:$R$3000,MATCH($F1458,폐업정보!$I$3:$I$3000,0),MATCH(L$4,폐업정보!$D$3:$R$3,0)),
"Error"))</f>
        <v>D1453</v>
      </c>
      <c r="M1458" s="76" t="s">
        <v>96</v>
      </c>
      <c r="N1458" s="77"/>
      <c r="O1458" s="78" t="s">
        <v>97</v>
      </c>
      <c r="P1458" s="79" t="n">
        <f aca="false">COUNTIFS(임대자산!$I:$I,가맹점정보!F1458,임대자산!$N:$N,가맹점정보!P$4)</f>
        <v>0</v>
      </c>
      <c r="Q1458" s="80" t="n">
        <f aca="false">COUNTIFS(임대자산!$I:$I,가맹점정보!F1458,임대자산!$N:$N,가맹점정보!Q$4)</f>
        <v>0</v>
      </c>
      <c r="R1458" s="81" t="n">
        <f aca="false">COUNTIFS(임대자산!$I:$I,가맹점정보!F1458,임대자산!$N:$N,가맹점정보!R$4)</f>
        <v>1</v>
      </c>
      <c r="S1458" s="82" t="n">
        <v>55000</v>
      </c>
      <c r="T1458" s="83" t="n">
        <v>0</v>
      </c>
      <c r="U1458" s="80" t="n">
        <f aca="false">SUM(S1458:T1458)</f>
        <v>55000</v>
      </c>
      <c r="V1458" s="84" t="s">
        <v>7</v>
      </c>
      <c r="W1458" s="80" t="str">
        <f aca="true">
IF(D1458="폐업","폐업",
IF(V1458="면제","면제",
IF(AND(V1458="정상",COUNTIFS(OFFSET(Y1458,0,COUNTA(Y1458:AV1458)-1,1,-4),"미납")&gt;=3),"장기미납",
IF(AND(V1458="정상",OFFSET(Y1458,0,COUNTA(Y1458:AV1458)-1)&gt;=U1458),"정상",
IF(AND(V1458="정상",OFFSET(Y1458,0,COUNTA(Y1458:AV1458)-1)=0),"정상",
"계약서 미작성")))))</f>
        <v>면제</v>
      </c>
      <c r="X1458" s="81" t="str">
        <f aca="true">
IF(D1458="폐업","폐업",
IF(AND(V1458="정상",OFFSET(Y1458,0,COUNTA(Y1458:AV1458)-1)="미납"),"미납",
IF(AND(V1458="정상",OFFSET(Y1458,0,COUNTA(Y1458:AV1458)-1)=0),"납부 시작 전",
IF(AND(V1458="정상",OFFSET(Y1458,0,COUNTA(Y1458:AV1458)-1)&gt;=U1458),"정상",
IF(AND(V1458="면제",OFFSET(Y1458,0,COUNTA(Y1458:AV1458)-1)="면제"),"면제",
IF(AND(V1458="면제",OFFSET(Y1458,0,COUNTA(Y1458:AV1458)-1)=0),"면제",
"확인요청"))))))</f>
        <v>면제</v>
      </c>
      <c r="Y1458" s="94" t="s">
        <v>7</v>
      </c>
      <c r="Z1458" s="95" t="s">
        <v>7</v>
      </c>
      <c r="AA1458" s="95" t="s">
        <v>7</v>
      </c>
      <c r="AB1458" s="95" t="s">
        <v>7</v>
      </c>
      <c r="AC1458" s="95" t="s">
        <v>7</v>
      </c>
      <c r="AD1458" s="95" t="s">
        <v>7</v>
      </c>
      <c r="AE1458" s="95" t="s">
        <v>7</v>
      </c>
      <c r="AF1458" s="95" t="s">
        <v>7</v>
      </c>
      <c r="AG1458" s="95" t="s">
        <v>7</v>
      </c>
      <c r="AH1458" s="95" t="s">
        <v>7</v>
      </c>
      <c r="AI1458" s="95" t="s">
        <v>7</v>
      </c>
      <c r="AJ1458" s="96" t="s">
        <v>7</v>
      </c>
      <c r="AK1458" s="97" t="s">
        <v>7</v>
      </c>
      <c r="AL1458" s="95" t="s">
        <v>7</v>
      </c>
      <c r="AM1458" s="90"/>
      <c r="AN1458" s="90"/>
      <c r="AO1458" s="90"/>
      <c r="AP1458" s="90"/>
      <c r="AQ1458" s="90"/>
      <c r="AR1458" s="90"/>
      <c r="AS1458" s="90"/>
      <c r="AT1458" s="90"/>
      <c r="AU1458" s="90"/>
      <c r="AV1458" s="91"/>
      <c r="AX1458" s="92"/>
    </row>
    <row r="1459" customFormat="false" ht="15.65" hidden="false" customHeight="false" outlineLevel="0" collapsed="false">
      <c r="C1459" s="72" t="n">
        <f aca="false">COUNTIFS($D$6:D1459,"&lt;&gt;"&amp;"")</f>
        <v>1454</v>
      </c>
      <c r="D1459" s="73" t="s">
        <v>5</v>
      </c>
      <c r="E1459" s="76" t="str">
        <f aca="false">
IF($D1459="정상",INDEX(임대자산!$D$3:$R$3000,MATCH($F1459,임대자산!$I$3:$I$3000,0),MATCH(E$3,임대자산!$D$3:$R$3,0)),
IF($D1459="폐업",INDEX(폐업정보!$D$3:$R$3000,MATCH($F1459,폐업정보!$I$3:$I$3000,0),MATCH(E$3,폐업정보!$D$3:$R$3,0)),
"Error"))</f>
        <v>강원</v>
      </c>
      <c r="F145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B1454</v>
      </c>
      <c r="G1459" s="76" t="str">
        <f aca="false">F1459&amp;RANDBETWEEN(0,10)</f>
        <v>B14542</v>
      </c>
      <c r="H1459" s="75" t="n">
        <f aca="false">
IF($D1459="정상",INDEX(임대자산!$D$3:$R$3000,MATCH($F1459,임대자산!$I$3:$I$3000,0),MATCH(H$4,임대자산!$D$3:$R$3,0)),
IF($D1459="폐업",INDEX(폐업정보!$D$3:$R$3000,MATCH($F1459,폐업정보!$I$3:$I$3000,0),MATCH(H$4,폐업정보!$D$3:$R$3,0)),
"Error"))</f>
        <v>45925</v>
      </c>
      <c r="I1459" s="75" t="str">
        <f aca="false">
IF($D1459="정상",INDEX(임대자산!$D$3:$R$3000,MATCH($F1459,임대자산!$I$3:$I$3000,0),MATCH(I$4,임대자산!$D$3:$R$3,0)),
IF($D1459="폐업",INDEX(폐업정보!$D$3:$R$3000,MATCH($F1459,폐업정보!$I$3:$I$3000,0),MATCH(I$4,폐업정보!$D$3:$R$3,0)),
"Error"))</f>
        <v>A1454</v>
      </c>
      <c r="J1459" s="75" t="str">
        <f aca="false">
IF($D1459="정상",INDEX(임대자산!$D$3:$R$3000,MATCH($F1459,임대자산!$I$3:$I$3000,0),MATCH(J$4,임대자산!$D$3:$R$3,0)),
IF($D1459="폐업",INDEX(폐업정보!$D$3:$R$3000,MATCH($F1459,폐업정보!$I$3:$I$3000,0),MATCH(J$4,폐업정보!$D$3:$R$3,0)),
"Error"))</f>
        <v>7095300000</v>
      </c>
      <c r="K1459" s="75" t="str">
        <f aca="false">
IF($D1459="정상",INDEX(임대자산!$D$3:$R$3000,MATCH($F1459,임대자산!$I$3:$I$3000,0),MATCH(K$4,임대자산!$D$3:$R$3,0)),
IF($D1459="폐업",INDEX(폐업정보!$D$3:$R$3000,MATCH($F1459,폐업정보!$I$3:$I$3000,0),MATCH(K$4,폐업정보!$D$3:$R$3,0)),
"Error"))</f>
        <v>C1454</v>
      </c>
      <c r="L1459" s="75" t="str">
        <f aca="false">
IF($D1459="정상",INDEX(임대자산!$D$3:$R$3000,MATCH($F1459,임대자산!$I$3:$I$3000,0),MATCH(L$4,임대자산!$D$3:$R$3,0)),
IF($D1459="폐업",INDEX(폐업정보!$D$3:$R$3000,MATCH($F1459,폐업정보!$I$3:$I$3000,0),MATCH(L$4,폐업정보!$D$3:$R$3,0)),
"Error"))</f>
        <v>D1454</v>
      </c>
      <c r="M1459" s="76" t="s">
        <v>96</v>
      </c>
      <c r="N1459" s="77"/>
      <c r="O1459" s="78" t="s">
        <v>97</v>
      </c>
      <c r="P1459" s="79" t="n">
        <f aca="false">COUNTIFS(임대자산!$I:$I,가맹점정보!F1459,임대자산!$N:$N,가맹점정보!P$4)</f>
        <v>0</v>
      </c>
      <c r="Q1459" s="80" t="n">
        <f aca="false">COUNTIFS(임대자산!$I:$I,가맹점정보!F1459,임대자산!$N:$N,가맹점정보!Q$4)</f>
        <v>0</v>
      </c>
      <c r="R1459" s="81" t="n">
        <f aca="false">COUNTIFS(임대자산!$I:$I,가맹점정보!F1459,임대자산!$N:$N,가맹점정보!R$4)</f>
        <v>0</v>
      </c>
      <c r="S1459" s="82" t="n">
        <v>55000</v>
      </c>
      <c r="T1459" s="83" t="n">
        <v>0</v>
      </c>
      <c r="U1459" s="80" t="n">
        <f aca="false">SUM(S1459:T1459)</f>
        <v>55000</v>
      </c>
      <c r="V1459" s="84" t="s">
        <v>7</v>
      </c>
      <c r="W1459" s="80" t="str">
        <f aca="true">
IF(D1459="폐업","폐업",
IF(V1459="면제","면제",
IF(AND(V1459="정상",COUNTIFS(OFFSET(Y1459,0,COUNTA(Y1459:AV1459)-1,1,-4),"미납")&gt;=3),"장기미납",
IF(AND(V1459="정상",OFFSET(Y1459,0,COUNTA(Y1459:AV1459)-1)&gt;=U1459),"정상",
IF(AND(V1459="정상",OFFSET(Y1459,0,COUNTA(Y1459:AV1459)-1)=0),"정상",
"계약서 미작성")))))</f>
        <v>폐업</v>
      </c>
      <c r="X1459" s="81" t="str">
        <f aca="true">
IF(D1459="폐업","폐업",
IF(AND(V1459="정상",OFFSET(Y1459,0,COUNTA(Y1459:AV1459)-1)="미납"),"미납",
IF(AND(V1459="정상",OFFSET(Y1459,0,COUNTA(Y1459:AV1459)-1)=0),"납부 시작 전",
IF(AND(V1459="정상",OFFSET(Y1459,0,COUNTA(Y1459:AV1459)-1)&gt;=U1459),"정상",
IF(AND(V1459="면제",OFFSET(Y1459,0,COUNTA(Y1459:AV1459)-1)="면제"),"면제",
IF(AND(V1459="면제",OFFSET(Y1459,0,COUNTA(Y1459:AV1459)-1)=0),"면제",
"확인요청"))))))</f>
        <v>폐업</v>
      </c>
      <c r="Y1459" s="94" t="s">
        <v>7</v>
      </c>
      <c r="Z1459" s="95" t="s">
        <v>7</v>
      </c>
      <c r="AA1459" s="95" t="s">
        <v>7</v>
      </c>
      <c r="AB1459" s="95" t="s">
        <v>7</v>
      </c>
      <c r="AC1459" s="95" t="s">
        <v>7</v>
      </c>
      <c r="AD1459" s="95" t="s">
        <v>7</v>
      </c>
      <c r="AE1459" s="95" t="s">
        <v>7</v>
      </c>
      <c r="AF1459" s="95" t="s">
        <v>7</v>
      </c>
      <c r="AG1459" s="95" t="s">
        <v>7</v>
      </c>
      <c r="AH1459" s="95" t="s">
        <v>7</v>
      </c>
      <c r="AI1459" s="95" t="s">
        <v>7</v>
      </c>
      <c r="AJ1459" s="96" t="s">
        <v>7</v>
      </c>
      <c r="AK1459" s="97" t="s">
        <v>7</v>
      </c>
      <c r="AL1459" s="95" t="s">
        <v>7</v>
      </c>
      <c r="AM1459" s="90"/>
      <c r="AN1459" s="90"/>
      <c r="AO1459" s="90"/>
      <c r="AP1459" s="90"/>
      <c r="AQ1459" s="90"/>
      <c r="AR1459" s="90"/>
      <c r="AS1459" s="90"/>
      <c r="AT1459" s="90"/>
      <c r="AU1459" s="90"/>
      <c r="AV1459" s="91"/>
      <c r="AX1459" s="92"/>
    </row>
    <row r="1460" customFormat="false" ht="15.65" hidden="false" customHeight="false" outlineLevel="0" collapsed="false">
      <c r="C1460" s="72" t="n">
        <f aca="false">COUNTIFS($D$6:D1460,"&lt;&gt;"&amp;"")</f>
        <v>1455</v>
      </c>
      <c r="D1460" s="73" t="s">
        <v>5</v>
      </c>
      <c r="E1460" s="76" t="str">
        <f aca="false">
IF($D1460="정상",INDEX(임대자산!$D$3:$R$3000,MATCH($F1460,임대자산!$I$3:$I$3000,0),MATCH(E$3,임대자산!$D$3:$R$3,0)),
IF($D1460="폐업",INDEX(폐업정보!$D$3:$R$3000,MATCH($F1460,폐업정보!$I$3:$I$3000,0),MATCH(E$3,폐업정보!$D$3:$R$3,0)),
"Error"))</f>
        <v>강원</v>
      </c>
      <c r="F146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B1455</v>
      </c>
      <c r="G1460" s="76" t="str">
        <f aca="false">F1460&amp;RANDBETWEEN(0,10)</f>
        <v>B14552</v>
      </c>
      <c r="H1460" s="75" t="n">
        <f aca="false">
IF($D1460="정상",INDEX(임대자산!$D$3:$R$3000,MATCH($F1460,임대자산!$I$3:$I$3000,0),MATCH(H$4,임대자산!$D$3:$R$3,0)),
IF($D1460="폐업",INDEX(폐업정보!$D$3:$R$3000,MATCH($F1460,폐업정보!$I$3:$I$3000,0),MATCH(H$4,폐업정보!$D$3:$R$3,0)),
"Error"))</f>
        <v>45925</v>
      </c>
      <c r="I1460" s="75" t="str">
        <f aca="false">
IF($D1460="정상",INDEX(임대자산!$D$3:$R$3000,MATCH($F1460,임대자산!$I$3:$I$3000,0),MATCH(I$4,임대자산!$D$3:$R$3,0)),
IF($D1460="폐업",INDEX(폐업정보!$D$3:$R$3000,MATCH($F1460,폐업정보!$I$3:$I$3000,0),MATCH(I$4,폐업정보!$D$3:$R$3,0)),
"Error"))</f>
        <v>A1455</v>
      </c>
      <c r="J1460" s="75" t="str">
        <f aca="false">
IF($D1460="정상",INDEX(임대자산!$D$3:$R$3000,MATCH($F1460,임대자산!$I$3:$I$3000,0),MATCH(J$4,임대자산!$D$3:$R$3,0)),
IF($D1460="폐업",INDEX(폐업정보!$D$3:$R$3000,MATCH($F1460,폐업정보!$I$3:$I$3000,0),MATCH(J$4,폐업정보!$D$3:$R$3,0)),
"Error"))</f>
        <v>6905100000</v>
      </c>
      <c r="K1460" s="75" t="str">
        <f aca="false">
IF($D1460="정상",INDEX(임대자산!$D$3:$R$3000,MATCH($F1460,임대자산!$I$3:$I$3000,0),MATCH(K$4,임대자산!$D$3:$R$3,0)),
IF($D1460="폐업",INDEX(폐업정보!$D$3:$R$3000,MATCH($F1460,폐업정보!$I$3:$I$3000,0),MATCH(K$4,폐업정보!$D$3:$R$3,0)),
"Error"))</f>
        <v>C1455</v>
      </c>
      <c r="L1460" s="75" t="str">
        <f aca="false">
IF($D1460="정상",INDEX(임대자산!$D$3:$R$3000,MATCH($F1460,임대자산!$I$3:$I$3000,0),MATCH(L$4,임대자산!$D$3:$R$3,0)),
IF($D1460="폐업",INDEX(폐업정보!$D$3:$R$3000,MATCH($F1460,폐업정보!$I$3:$I$3000,0),MATCH(L$4,폐업정보!$D$3:$R$3,0)),
"Error"))</f>
        <v>D1455</v>
      </c>
      <c r="M1460" s="76" t="s">
        <v>96</v>
      </c>
      <c r="N1460" s="77"/>
      <c r="O1460" s="78" t="s">
        <v>97</v>
      </c>
      <c r="P1460" s="79" t="n">
        <f aca="false">COUNTIFS(임대자산!$I:$I,가맹점정보!F1460,임대자산!$N:$N,가맹점정보!P$4)</f>
        <v>0</v>
      </c>
      <c r="Q1460" s="80" t="n">
        <f aca="false">COUNTIFS(임대자산!$I:$I,가맹점정보!F1460,임대자산!$N:$N,가맹점정보!Q$4)</f>
        <v>0</v>
      </c>
      <c r="R1460" s="81" t="n">
        <f aca="false">COUNTIFS(임대자산!$I:$I,가맹점정보!F1460,임대자산!$N:$N,가맹점정보!R$4)</f>
        <v>0</v>
      </c>
      <c r="S1460" s="82" t="n">
        <v>55000</v>
      </c>
      <c r="T1460" s="83" t="n">
        <v>0</v>
      </c>
      <c r="U1460" s="80" t="n">
        <f aca="false">SUM(S1460:T1460)</f>
        <v>55000</v>
      </c>
      <c r="V1460" s="84" t="s">
        <v>7</v>
      </c>
      <c r="W1460" s="80" t="str">
        <f aca="true">
IF(D1460="폐업","폐업",
IF(V1460="면제","면제",
IF(AND(V1460="정상",COUNTIFS(OFFSET(Y1460,0,COUNTA(Y1460:AV1460)-1,1,-4),"미납")&gt;=3),"장기미납",
IF(AND(V1460="정상",OFFSET(Y1460,0,COUNTA(Y1460:AV1460)-1)&gt;=U1460),"정상",
IF(AND(V1460="정상",OFFSET(Y1460,0,COUNTA(Y1460:AV1460)-1)=0),"정상",
"계약서 미작성")))))</f>
        <v>폐업</v>
      </c>
      <c r="X1460" s="81" t="str">
        <f aca="true">
IF(D1460="폐업","폐업",
IF(AND(V1460="정상",OFFSET(Y1460,0,COUNTA(Y1460:AV1460)-1)="미납"),"미납",
IF(AND(V1460="정상",OFFSET(Y1460,0,COUNTA(Y1460:AV1460)-1)=0),"납부 시작 전",
IF(AND(V1460="정상",OFFSET(Y1460,0,COUNTA(Y1460:AV1460)-1)&gt;=U1460),"정상",
IF(AND(V1460="면제",OFFSET(Y1460,0,COUNTA(Y1460:AV1460)-1)="면제"),"면제",
IF(AND(V1460="면제",OFFSET(Y1460,0,COUNTA(Y1460:AV1460)-1)=0),"면제",
"확인요청"))))))</f>
        <v>폐업</v>
      </c>
      <c r="Y1460" s="94" t="s">
        <v>7</v>
      </c>
      <c r="Z1460" s="95" t="s">
        <v>7</v>
      </c>
      <c r="AA1460" s="95" t="s">
        <v>7</v>
      </c>
      <c r="AB1460" s="95" t="s">
        <v>7</v>
      </c>
      <c r="AC1460" s="95" t="s">
        <v>7</v>
      </c>
      <c r="AD1460" s="95" t="s">
        <v>7</v>
      </c>
      <c r="AE1460" s="95" t="s">
        <v>7</v>
      </c>
      <c r="AF1460" s="95" t="s">
        <v>7</v>
      </c>
      <c r="AG1460" s="95" t="s">
        <v>7</v>
      </c>
      <c r="AH1460" s="95" t="s">
        <v>7</v>
      </c>
      <c r="AI1460" s="95" t="s">
        <v>7</v>
      </c>
      <c r="AJ1460" s="96" t="s">
        <v>7</v>
      </c>
      <c r="AK1460" s="97" t="s">
        <v>7</v>
      </c>
      <c r="AL1460" s="95" t="s">
        <v>7</v>
      </c>
      <c r="AM1460" s="90"/>
      <c r="AN1460" s="90"/>
      <c r="AO1460" s="90"/>
      <c r="AP1460" s="90"/>
      <c r="AQ1460" s="90"/>
      <c r="AR1460" s="90"/>
      <c r="AS1460" s="90"/>
      <c r="AT1460" s="90"/>
      <c r="AU1460" s="90"/>
      <c r="AV1460" s="91"/>
      <c r="AX1460" s="92"/>
    </row>
    <row r="1461" customFormat="false" ht="15.65" hidden="false" customHeight="false" outlineLevel="0" collapsed="false">
      <c r="C1461" s="72" t="n">
        <f aca="false">COUNTIFS($D$6:D1461,"&lt;&gt;"&amp;"")</f>
        <v>1456</v>
      </c>
      <c r="D1461" s="73" t="s">
        <v>5</v>
      </c>
      <c r="E1461" s="76" t="str">
        <f aca="false">
IF($D1461="정상",INDEX(임대자산!$D$3:$R$3000,MATCH($F1461,임대자산!$I$3:$I$3000,0),MATCH(E$3,임대자산!$D$3:$R$3,0)),
IF($D1461="폐업",INDEX(폐업정보!$D$3:$R$3000,MATCH($F1461,폐업정보!$I$3:$I$3000,0),MATCH(E$3,폐업정보!$D$3:$R$3,0)),
"Error"))</f>
        <v>강원</v>
      </c>
      <c r="F146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B1456</v>
      </c>
      <c r="G1461" s="76" t="str">
        <f aca="false">F1461&amp;RANDBETWEEN(0,10)</f>
        <v>B14565</v>
      </c>
      <c r="H1461" s="75" t="n">
        <f aca="false">
IF($D1461="정상",INDEX(임대자산!$D$3:$R$3000,MATCH($F1461,임대자산!$I$3:$I$3000,0),MATCH(H$4,임대자산!$D$3:$R$3,0)),
IF($D1461="폐업",INDEX(폐업정보!$D$3:$R$3000,MATCH($F1461,폐업정보!$I$3:$I$3000,0),MATCH(H$4,폐업정보!$D$3:$R$3,0)),
"Error"))</f>
        <v>45925</v>
      </c>
      <c r="I1461" s="75" t="str">
        <f aca="false">
IF($D1461="정상",INDEX(임대자산!$D$3:$R$3000,MATCH($F1461,임대자산!$I$3:$I$3000,0),MATCH(I$4,임대자산!$D$3:$R$3,0)),
IF($D1461="폐업",INDEX(폐업정보!$D$3:$R$3000,MATCH($F1461,폐업정보!$I$3:$I$3000,0),MATCH(I$4,폐업정보!$D$3:$R$3,0)),
"Error"))</f>
        <v>A1456</v>
      </c>
      <c r="J1461" s="75" t="str">
        <f aca="false">
IF($D1461="정상",INDEX(임대자산!$D$3:$R$3000,MATCH($F1461,임대자산!$I$3:$I$3000,0),MATCH(J$4,임대자산!$D$3:$R$3,0)),
IF($D1461="폐업",INDEX(폐업정보!$D$3:$R$3000,MATCH($F1461,폐업정보!$I$3:$I$3000,0),MATCH(J$4,폐업정보!$D$3:$R$3,0)),
"Error"))</f>
        <v>4759400000</v>
      </c>
      <c r="K1461" s="75" t="str">
        <f aca="false">
IF($D1461="정상",INDEX(임대자산!$D$3:$R$3000,MATCH($F1461,임대자산!$I$3:$I$3000,0),MATCH(K$4,임대자산!$D$3:$R$3,0)),
IF($D1461="폐업",INDEX(폐업정보!$D$3:$R$3000,MATCH($F1461,폐업정보!$I$3:$I$3000,0),MATCH(K$4,폐업정보!$D$3:$R$3,0)),
"Error"))</f>
        <v>C1456</v>
      </c>
      <c r="L1461" s="75" t="str">
        <f aca="false">
IF($D1461="정상",INDEX(임대자산!$D$3:$R$3000,MATCH($F1461,임대자산!$I$3:$I$3000,0),MATCH(L$4,임대자산!$D$3:$R$3,0)),
IF($D1461="폐업",INDEX(폐업정보!$D$3:$R$3000,MATCH($F1461,폐업정보!$I$3:$I$3000,0),MATCH(L$4,폐업정보!$D$3:$R$3,0)),
"Error"))</f>
        <v>D1456</v>
      </c>
      <c r="M1461" s="76" t="s">
        <v>96</v>
      </c>
      <c r="N1461" s="77"/>
      <c r="O1461" s="78" t="s">
        <v>97</v>
      </c>
      <c r="P1461" s="79" t="n">
        <f aca="false">COUNTIFS(임대자산!$I:$I,가맹점정보!F1461,임대자산!$N:$N,가맹점정보!P$4)</f>
        <v>0</v>
      </c>
      <c r="Q1461" s="80" t="n">
        <f aca="false">COUNTIFS(임대자산!$I:$I,가맹점정보!F1461,임대자산!$N:$N,가맹점정보!Q$4)</f>
        <v>0</v>
      </c>
      <c r="R1461" s="81" t="n">
        <f aca="false">COUNTIFS(임대자산!$I:$I,가맹점정보!F1461,임대자산!$N:$N,가맹점정보!R$4)</f>
        <v>0</v>
      </c>
      <c r="S1461" s="82" t="n">
        <v>55000</v>
      </c>
      <c r="T1461" s="83" t="n">
        <v>0</v>
      </c>
      <c r="U1461" s="80" t="n">
        <f aca="false">SUM(S1461:T1461)</f>
        <v>55000</v>
      </c>
      <c r="V1461" s="84" t="s">
        <v>7</v>
      </c>
      <c r="W1461" s="80" t="str">
        <f aca="true">
IF(D1461="폐업","폐업",
IF(V1461="면제","면제",
IF(AND(V1461="정상",COUNTIFS(OFFSET(Y1461,0,COUNTA(Y1461:AV1461)-1,1,-4),"미납")&gt;=3),"장기미납",
IF(AND(V1461="정상",OFFSET(Y1461,0,COUNTA(Y1461:AV1461)-1)&gt;=U1461),"정상",
IF(AND(V1461="정상",OFFSET(Y1461,0,COUNTA(Y1461:AV1461)-1)=0),"정상",
"계약서 미작성")))))</f>
        <v>폐업</v>
      </c>
      <c r="X1461" s="81" t="str">
        <f aca="true">
IF(D1461="폐업","폐업",
IF(AND(V1461="정상",OFFSET(Y1461,0,COUNTA(Y1461:AV1461)-1)="미납"),"미납",
IF(AND(V1461="정상",OFFSET(Y1461,0,COUNTA(Y1461:AV1461)-1)=0),"납부 시작 전",
IF(AND(V1461="정상",OFFSET(Y1461,0,COUNTA(Y1461:AV1461)-1)&gt;=U1461),"정상",
IF(AND(V1461="면제",OFFSET(Y1461,0,COUNTA(Y1461:AV1461)-1)="면제"),"면제",
IF(AND(V1461="면제",OFFSET(Y1461,0,COUNTA(Y1461:AV1461)-1)=0),"면제",
"확인요청"))))))</f>
        <v>폐업</v>
      </c>
      <c r="Y1461" s="94" t="s">
        <v>7</v>
      </c>
      <c r="Z1461" s="95" t="s">
        <v>7</v>
      </c>
      <c r="AA1461" s="95" t="s">
        <v>7</v>
      </c>
      <c r="AB1461" s="95" t="s">
        <v>7</v>
      </c>
      <c r="AC1461" s="95" t="s">
        <v>7</v>
      </c>
      <c r="AD1461" s="95" t="s">
        <v>7</v>
      </c>
      <c r="AE1461" s="95" t="s">
        <v>7</v>
      </c>
      <c r="AF1461" s="95" t="s">
        <v>7</v>
      </c>
      <c r="AG1461" s="95" t="s">
        <v>7</v>
      </c>
      <c r="AH1461" s="95" t="s">
        <v>7</v>
      </c>
      <c r="AI1461" s="95" t="s">
        <v>7</v>
      </c>
      <c r="AJ1461" s="96" t="s">
        <v>7</v>
      </c>
      <c r="AK1461" s="97" t="s">
        <v>7</v>
      </c>
      <c r="AL1461" s="95" t="s">
        <v>7</v>
      </c>
      <c r="AM1461" s="90"/>
      <c r="AN1461" s="90"/>
      <c r="AO1461" s="90"/>
      <c r="AP1461" s="90"/>
      <c r="AQ1461" s="90"/>
      <c r="AR1461" s="90"/>
      <c r="AS1461" s="90"/>
      <c r="AT1461" s="90"/>
      <c r="AU1461" s="90"/>
      <c r="AV1461" s="91"/>
      <c r="AX1461" s="92"/>
    </row>
    <row r="1462" customFormat="false" ht="15.65" hidden="false" customHeight="false" outlineLevel="0" collapsed="false">
      <c r="C1462" s="72" t="n">
        <f aca="false">COUNTIFS($D$6:D1462,"&lt;&gt;"&amp;"")</f>
        <v>1457</v>
      </c>
      <c r="D1462" s="73" t="s">
        <v>12</v>
      </c>
      <c r="E1462" s="76" t="str">
        <f aca="false">
IF($D1462="정상",INDEX(임대자산!$D$3:$R$3000,MATCH($F1462,임대자산!$I$3:$I$3000,0),MATCH(E$3,임대자산!$D$3:$R$3,0)),
IF($D1462="폐업",INDEX(폐업정보!$D$3:$R$3000,MATCH($F1462,폐업정보!$I$3:$I$3000,0),MATCH(E$3,폐업정보!$D$3:$R$3,0)),
"Error"))</f>
        <v>서울</v>
      </c>
      <c r="F146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B1457</v>
      </c>
      <c r="G1462" s="76" t="str">
        <f aca="false">F1462&amp;RANDBETWEEN(0,10)</f>
        <v>B14573</v>
      </c>
      <c r="H1462" s="75" t="n">
        <f aca="false">
IF($D1462="정상",INDEX(임대자산!$D$3:$R$3000,MATCH($F1462,임대자산!$I$3:$I$3000,0),MATCH(H$4,임대자산!$D$3:$R$3,0)),
IF($D1462="폐업",INDEX(폐업정보!$D$3:$R$3000,MATCH($F1462,폐업정보!$I$3:$I$3000,0),MATCH(H$4,폐업정보!$D$3:$R$3,0)),
"Error"))</f>
        <v>46052</v>
      </c>
      <c r="I1462" s="75" t="str">
        <f aca="false">
IF($D1462="정상",INDEX(임대자산!$D$3:$R$3000,MATCH($F1462,임대자산!$I$3:$I$3000,0),MATCH(I$4,임대자산!$D$3:$R$3,0)),
IF($D1462="폐업",INDEX(폐업정보!$D$3:$R$3000,MATCH($F1462,폐업정보!$I$3:$I$3000,0),MATCH(I$4,폐업정보!$D$3:$R$3,0)),
"Error"))</f>
        <v>A1457</v>
      </c>
      <c r="J1462" s="75" t="str">
        <f aca="false">
IF($D1462="정상",INDEX(임대자산!$D$3:$R$3000,MATCH($F1462,임대자산!$I$3:$I$3000,0),MATCH(J$4,임대자산!$D$3:$R$3,0)),
IF($D1462="폐업",INDEX(폐업정보!$D$3:$R$3000,MATCH($F1462,폐업정보!$I$3:$I$3000,0),MATCH(J$4,폐업정보!$D$3:$R$3,0)),
"Error"))</f>
        <v>6907700000</v>
      </c>
      <c r="K1462" s="75" t="str">
        <f aca="false">
IF($D1462="정상",INDEX(임대자산!$D$3:$R$3000,MATCH($F1462,임대자산!$I$3:$I$3000,0),MATCH(K$4,임대자산!$D$3:$R$3,0)),
IF($D1462="폐업",INDEX(폐업정보!$D$3:$R$3000,MATCH($F1462,폐업정보!$I$3:$I$3000,0),MATCH(K$4,폐업정보!$D$3:$R$3,0)),
"Error"))</f>
        <v>C1457</v>
      </c>
      <c r="L1462" s="75" t="str">
        <f aca="false">
IF($D1462="정상",INDEX(임대자산!$D$3:$R$3000,MATCH($F1462,임대자산!$I$3:$I$3000,0),MATCH(L$4,임대자산!$D$3:$R$3,0)),
IF($D1462="폐업",INDEX(폐업정보!$D$3:$R$3000,MATCH($F1462,폐업정보!$I$3:$I$3000,0),MATCH(L$4,폐업정보!$D$3:$R$3,0)),
"Error"))</f>
        <v>D1457</v>
      </c>
      <c r="M1462" s="76" t="s">
        <v>96</v>
      </c>
      <c r="N1462" s="77"/>
      <c r="O1462" s="78" t="s">
        <v>97</v>
      </c>
      <c r="P1462" s="79" t="n">
        <f aca="false">COUNTIFS(임대자산!$I:$I,가맹점정보!F1462,임대자산!$N:$N,가맹점정보!P$4)</f>
        <v>0</v>
      </c>
      <c r="Q1462" s="80" t="n">
        <f aca="false">COUNTIFS(임대자산!$I:$I,가맹점정보!F1462,임대자산!$N:$N,가맹점정보!Q$4)</f>
        <v>0</v>
      </c>
      <c r="R1462" s="81" t="n">
        <f aca="false">COUNTIFS(임대자산!$I:$I,가맹점정보!F1462,임대자산!$N:$N,가맹점정보!R$4)</f>
        <v>1</v>
      </c>
      <c r="S1462" s="82" t="n">
        <v>88000</v>
      </c>
      <c r="T1462" s="83" t="n">
        <v>0</v>
      </c>
      <c r="U1462" s="80" t="n">
        <f aca="false">SUM(S1462:T1462)</f>
        <v>88000</v>
      </c>
      <c r="V1462" s="84" t="s">
        <v>7</v>
      </c>
      <c r="W1462" s="80" t="str">
        <f aca="true">
IF(D1462="폐업","폐업",
IF(V1462="면제","면제",
IF(AND(V1462="정상",COUNTIFS(OFFSET(Y1462,0,COUNTA(Y1462:AV1462)-1,1,-4),"미납")&gt;=3),"장기미납",
IF(AND(V1462="정상",OFFSET(Y1462,0,COUNTA(Y1462:AV1462)-1)&gt;=U1462),"정상",
IF(AND(V1462="정상",OFFSET(Y1462,0,COUNTA(Y1462:AV1462)-1)=0),"정상",
"계약서 미작성")))))</f>
        <v>면제</v>
      </c>
      <c r="X1462" s="81" t="str">
        <f aca="true">
IF(D1462="폐업","폐업",
IF(AND(V1462="정상",OFFSET(Y1462,0,COUNTA(Y1462:AV1462)-1)="미납"),"미납",
IF(AND(V1462="정상",OFFSET(Y1462,0,COUNTA(Y1462:AV1462)-1)=0),"납부 시작 전",
IF(AND(V1462="정상",OFFSET(Y1462,0,COUNTA(Y1462:AV1462)-1)&gt;=U1462),"정상",
IF(AND(V1462="면제",OFFSET(Y1462,0,COUNTA(Y1462:AV1462)-1)="면제"),"면제",
IF(AND(V1462="면제",OFFSET(Y1462,0,COUNTA(Y1462:AV1462)-1)=0),"면제",
"확인요청"))))))</f>
        <v>면제</v>
      </c>
      <c r="Y1462" s="94" t="s">
        <v>7</v>
      </c>
      <c r="Z1462" s="95" t="s">
        <v>7</v>
      </c>
      <c r="AA1462" s="95" t="s">
        <v>7</v>
      </c>
      <c r="AB1462" s="95" t="s">
        <v>7</v>
      </c>
      <c r="AC1462" s="95" t="s">
        <v>7</v>
      </c>
      <c r="AD1462" s="95" t="s">
        <v>7</v>
      </c>
      <c r="AE1462" s="95" t="s">
        <v>7</v>
      </c>
      <c r="AF1462" s="95" t="s">
        <v>7</v>
      </c>
      <c r="AG1462" s="95" t="s">
        <v>7</v>
      </c>
      <c r="AH1462" s="95" t="s">
        <v>7</v>
      </c>
      <c r="AI1462" s="95" t="s">
        <v>7</v>
      </c>
      <c r="AJ1462" s="96" t="s">
        <v>7</v>
      </c>
      <c r="AK1462" s="97" t="s">
        <v>7</v>
      </c>
      <c r="AL1462" s="95" t="s">
        <v>7</v>
      </c>
      <c r="AM1462" s="90"/>
      <c r="AN1462" s="90"/>
      <c r="AO1462" s="90"/>
      <c r="AP1462" s="90"/>
      <c r="AQ1462" s="90"/>
      <c r="AR1462" s="90"/>
      <c r="AS1462" s="90"/>
      <c r="AT1462" s="90"/>
      <c r="AU1462" s="90"/>
      <c r="AV1462" s="91"/>
      <c r="AX1462" s="92"/>
    </row>
    <row r="1463" customFormat="false" ht="15.65" hidden="false" customHeight="false" outlineLevel="0" collapsed="false">
      <c r="C1463" s="72" t="n">
        <f aca="false">COUNTIFS($D$6:D1463,"&lt;&gt;"&amp;"")</f>
        <v>1458</v>
      </c>
      <c r="D1463" s="73" t="s">
        <v>12</v>
      </c>
      <c r="E1463" s="76" t="str">
        <f aca="false">
IF($D1463="정상",INDEX(임대자산!$D$3:$R$3000,MATCH($F1463,임대자산!$I$3:$I$3000,0),MATCH(E$3,임대자산!$D$3:$R$3,0)),
IF($D1463="폐업",INDEX(폐업정보!$D$3:$R$3000,MATCH($F1463,폐업정보!$I$3:$I$3000,0),MATCH(E$3,폐업정보!$D$3:$R$3,0)),
"Error"))</f>
        <v>서울</v>
      </c>
      <c r="F146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B1458</v>
      </c>
      <c r="G1463" s="76" t="str">
        <f aca="false">F1463&amp;RANDBETWEEN(0,10)</f>
        <v>B14589</v>
      </c>
      <c r="H1463" s="75" t="n">
        <f aca="false">
IF($D1463="정상",INDEX(임대자산!$D$3:$R$3000,MATCH($F1463,임대자산!$I$3:$I$3000,0),MATCH(H$4,임대자산!$D$3:$R$3,0)),
IF($D1463="폐업",INDEX(폐업정보!$D$3:$R$3000,MATCH($F1463,폐업정보!$I$3:$I$3000,0),MATCH(H$4,폐업정보!$D$3:$R$3,0)),
"Error"))</f>
        <v>46062</v>
      </c>
      <c r="I1463" s="75" t="str">
        <f aca="false">
IF($D1463="정상",INDEX(임대자산!$D$3:$R$3000,MATCH($F1463,임대자산!$I$3:$I$3000,0),MATCH(I$4,임대자산!$D$3:$R$3,0)),
IF($D1463="폐업",INDEX(폐업정보!$D$3:$R$3000,MATCH($F1463,폐업정보!$I$3:$I$3000,0),MATCH(I$4,폐업정보!$D$3:$R$3,0)),
"Error"))</f>
        <v>A1458</v>
      </c>
      <c r="J1463" s="75" t="str">
        <f aca="false">
IF($D1463="정상",INDEX(임대자산!$D$3:$R$3000,MATCH($F1463,임대자산!$I$3:$I$3000,0),MATCH(J$4,임대자산!$D$3:$R$3,0)),
IF($D1463="폐업",INDEX(폐업정보!$D$3:$R$3000,MATCH($F1463,폐업정보!$I$3:$I$3000,0),MATCH(J$4,폐업정보!$D$3:$R$3,0)),
"Error"))</f>
        <v>4448000000</v>
      </c>
      <c r="K1463" s="75" t="str">
        <f aca="false">
IF($D1463="정상",INDEX(임대자산!$D$3:$R$3000,MATCH($F1463,임대자산!$I$3:$I$3000,0),MATCH(K$4,임대자산!$D$3:$R$3,0)),
IF($D1463="폐업",INDEX(폐업정보!$D$3:$R$3000,MATCH($F1463,폐업정보!$I$3:$I$3000,0),MATCH(K$4,폐업정보!$D$3:$R$3,0)),
"Error"))</f>
        <v>C1458</v>
      </c>
      <c r="L1463" s="75" t="str">
        <f aca="false">
IF($D1463="정상",INDEX(임대자산!$D$3:$R$3000,MATCH($F1463,임대자산!$I$3:$I$3000,0),MATCH(L$4,임대자산!$D$3:$R$3,0)),
IF($D1463="폐업",INDEX(폐업정보!$D$3:$R$3000,MATCH($F1463,폐업정보!$I$3:$I$3000,0),MATCH(L$4,폐업정보!$D$3:$R$3,0)),
"Error"))</f>
        <v>D1458</v>
      </c>
      <c r="M1463" s="76" t="s">
        <v>96</v>
      </c>
      <c r="N1463" s="77"/>
      <c r="O1463" s="78" t="s">
        <v>97</v>
      </c>
      <c r="P1463" s="79" t="n">
        <f aca="false">COUNTIFS(임대자산!$I:$I,가맹점정보!F1463,임대자산!$N:$N,가맹점정보!P$4)</f>
        <v>0</v>
      </c>
      <c r="Q1463" s="80" t="n">
        <f aca="false">COUNTIFS(임대자산!$I:$I,가맹점정보!F1463,임대자산!$N:$N,가맹점정보!Q$4)</f>
        <v>0</v>
      </c>
      <c r="R1463" s="81" t="n">
        <f aca="false">COUNTIFS(임대자산!$I:$I,가맹점정보!F1463,임대자산!$N:$N,가맹점정보!R$4)</f>
        <v>1</v>
      </c>
      <c r="S1463" s="82" t="n">
        <v>55000</v>
      </c>
      <c r="T1463" s="83" t="n">
        <v>0</v>
      </c>
      <c r="U1463" s="80" t="n">
        <f aca="false">SUM(S1463:T1463)</f>
        <v>55000</v>
      </c>
      <c r="V1463" s="84" t="s">
        <v>7</v>
      </c>
      <c r="W1463" s="80" t="str">
        <f aca="true">
IF(D1463="폐업","폐업",
IF(V1463="면제","면제",
IF(AND(V1463="정상",COUNTIFS(OFFSET(Y1463,0,COUNTA(Y1463:AV1463)-1,1,-4),"미납")&gt;=3),"장기미납",
IF(AND(V1463="정상",OFFSET(Y1463,0,COUNTA(Y1463:AV1463)-1)&gt;=U1463),"정상",
IF(AND(V1463="정상",OFFSET(Y1463,0,COUNTA(Y1463:AV1463)-1)=0),"정상",
"계약서 미작성")))))</f>
        <v>면제</v>
      </c>
      <c r="X1463" s="81" t="str">
        <f aca="true">
IF(D1463="폐업","폐업",
IF(AND(V1463="정상",OFFSET(Y1463,0,COUNTA(Y1463:AV1463)-1)="미납"),"미납",
IF(AND(V1463="정상",OFFSET(Y1463,0,COUNTA(Y1463:AV1463)-1)=0),"납부 시작 전",
IF(AND(V1463="정상",OFFSET(Y1463,0,COUNTA(Y1463:AV1463)-1)&gt;=U1463),"정상",
IF(AND(V1463="면제",OFFSET(Y1463,0,COUNTA(Y1463:AV1463)-1)="면제"),"면제",
IF(AND(V1463="면제",OFFSET(Y1463,0,COUNTA(Y1463:AV1463)-1)=0),"면제",
"확인요청"))))))</f>
        <v>면제</v>
      </c>
      <c r="Y1463" s="94" t="s">
        <v>7</v>
      </c>
      <c r="Z1463" s="95" t="s">
        <v>7</v>
      </c>
      <c r="AA1463" s="95" t="s">
        <v>7</v>
      </c>
      <c r="AB1463" s="95" t="s">
        <v>7</v>
      </c>
      <c r="AC1463" s="95" t="s">
        <v>7</v>
      </c>
      <c r="AD1463" s="95" t="s">
        <v>7</v>
      </c>
      <c r="AE1463" s="95" t="s">
        <v>7</v>
      </c>
      <c r="AF1463" s="95" t="s">
        <v>7</v>
      </c>
      <c r="AG1463" s="95" t="s">
        <v>7</v>
      </c>
      <c r="AH1463" s="95" t="s">
        <v>7</v>
      </c>
      <c r="AI1463" s="95" t="s">
        <v>7</v>
      </c>
      <c r="AJ1463" s="96" t="s">
        <v>7</v>
      </c>
      <c r="AK1463" s="97" t="s">
        <v>7</v>
      </c>
      <c r="AL1463" s="95" t="s">
        <v>7</v>
      </c>
      <c r="AM1463" s="90"/>
      <c r="AN1463" s="90"/>
      <c r="AO1463" s="90"/>
      <c r="AP1463" s="90"/>
      <c r="AQ1463" s="90"/>
      <c r="AR1463" s="90"/>
      <c r="AS1463" s="90"/>
      <c r="AT1463" s="90"/>
      <c r="AU1463" s="90"/>
      <c r="AV1463" s="91"/>
      <c r="AX1463" s="92"/>
    </row>
    <row r="1464" customFormat="false" ht="15.65" hidden="false" customHeight="false" outlineLevel="0" collapsed="false">
      <c r="C1464" s="72" t="n">
        <f aca="false">COUNTIFS($D$6:D1464,"&lt;&gt;"&amp;"")</f>
        <v>1459</v>
      </c>
      <c r="D1464" s="73" t="s">
        <v>12</v>
      </c>
      <c r="E1464" s="76" t="str">
        <f aca="false">
IF($D1464="정상",INDEX(임대자산!$D$3:$R$3000,MATCH($F1464,임대자산!$I$3:$I$3000,0),MATCH(E$3,임대자산!$D$3:$R$3,0)),
IF($D1464="폐업",INDEX(폐업정보!$D$3:$R$3000,MATCH($F1464,폐업정보!$I$3:$I$3000,0),MATCH(E$3,폐업정보!$D$3:$R$3,0)),
"Error"))</f>
        <v>서울</v>
      </c>
      <c r="F146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B1459</v>
      </c>
      <c r="G1464" s="76" t="str">
        <f aca="false">F1464&amp;RANDBETWEEN(0,10)</f>
        <v>B14598</v>
      </c>
      <c r="H1464" s="75" t="n">
        <f aca="false">
IF($D1464="정상",INDEX(임대자산!$D$3:$R$3000,MATCH($F1464,임대자산!$I$3:$I$3000,0),MATCH(H$4,임대자산!$D$3:$R$3,0)),
IF($D1464="폐업",INDEX(폐업정보!$D$3:$R$3000,MATCH($F1464,폐업정보!$I$3:$I$3000,0),MATCH(H$4,폐업정보!$D$3:$R$3,0)),
"Error"))</f>
        <v>46052</v>
      </c>
      <c r="I1464" s="75" t="str">
        <f aca="false">
IF($D1464="정상",INDEX(임대자산!$D$3:$R$3000,MATCH($F1464,임대자산!$I$3:$I$3000,0),MATCH(I$4,임대자산!$D$3:$R$3,0)),
IF($D1464="폐업",INDEX(폐업정보!$D$3:$R$3000,MATCH($F1464,폐업정보!$I$3:$I$3000,0),MATCH(I$4,폐업정보!$D$3:$R$3,0)),
"Error"))</f>
        <v>A1459</v>
      </c>
      <c r="J1464" s="75" t="str">
        <f aca="false">
IF($D1464="정상",INDEX(임대자산!$D$3:$R$3000,MATCH($F1464,임대자산!$I$3:$I$3000,0),MATCH(J$4,임대자산!$D$3:$R$3,0)),
IF($D1464="폐업",INDEX(폐업정보!$D$3:$R$3000,MATCH($F1464,폐업정보!$I$3:$I$3000,0),MATCH(J$4,폐업정보!$D$3:$R$3,0)),
"Error"))</f>
        <v>3245500000</v>
      </c>
      <c r="K1464" s="75" t="str">
        <f aca="false">
IF($D1464="정상",INDEX(임대자산!$D$3:$R$3000,MATCH($F1464,임대자산!$I$3:$I$3000,0),MATCH(K$4,임대자산!$D$3:$R$3,0)),
IF($D1464="폐업",INDEX(폐업정보!$D$3:$R$3000,MATCH($F1464,폐업정보!$I$3:$I$3000,0),MATCH(K$4,폐업정보!$D$3:$R$3,0)),
"Error"))</f>
        <v>C1459</v>
      </c>
      <c r="L1464" s="75" t="str">
        <f aca="false">
IF($D1464="정상",INDEX(임대자산!$D$3:$R$3000,MATCH($F1464,임대자산!$I$3:$I$3000,0),MATCH(L$4,임대자산!$D$3:$R$3,0)),
IF($D1464="폐업",INDEX(폐업정보!$D$3:$R$3000,MATCH($F1464,폐업정보!$I$3:$I$3000,0),MATCH(L$4,폐업정보!$D$3:$R$3,0)),
"Error"))</f>
        <v>D1459</v>
      </c>
      <c r="M1464" s="76" t="s">
        <v>96</v>
      </c>
      <c r="N1464" s="77"/>
      <c r="O1464" s="78" t="s">
        <v>97</v>
      </c>
      <c r="P1464" s="79" t="n">
        <f aca="false">COUNTIFS(임대자산!$I:$I,가맹점정보!F1464,임대자산!$N:$N,가맹점정보!P$4)</f>
        <v>0</v>
      </c>
      <c r="Q1464" s="80" t="n">
        <f aca="false">COUNTIFS(임대자산!$I:$I,가맹점정보!F1464,임대자산!$N:$N,가맹점정보!Q$4)</f>
        <v>0</v>
      </c>
      <c r="R1464" s="81" t="n">
        <f aca="false">COUNTIFS(임대자산!$I:$I,가맹점정보!F1464,임대자산!$N:$N,가맹점정보!R$4)</f>
        <v>1</v>
      </c>
      <c r="S1464" s="82" t="n">
        <v>55000</v>
      </c>
      <c r="T1464" s="83" t="n">
        <v>0</v>
      </c>
      <c r="U1464" s="80" t="n">
        <f aca="false">SUM(S1464:T1464)</f>
        <v>55000</v>
      </c>
      <c r="V1464" s="84" t="s">
        <v>7</v>
      </c>
      <c r="W1464" s="80" t="str">
        <f aca="true">
IF(D1464="폐업","폐업",
IF(V1464="면제","면제",
IF(AND(V1464="정상",COUNTIFS(OFFSET(Y1464,0,COUNTA(Y1464:AV1464)-1,1,-4),"미납")&gt;=3),"장기미납",
IF(AND(V1464="정상",OFFSET(Y1464,0,COUNTA(Y1464:AV1464)-1)&gt;=U1464),"정상",
IF(AND(V1464="정상",OFFSET(Y1464,0,COUNTA(Y1464:AV1464)-1)=0),"정상",
"계약서 미작성")))))</f>
        <v>면제</v>
      </c>
      <c r="X1464" s="81" t="str">
        <f aca="true">
IF(D1464="폐업","폐업",
IF(AND(V1464="정상",OFFSET(Y1464,0,COUNTA(Y1464:AV1464)-1)="미납"),"미납",
IF(AND(V1464="정상",OFFSET(Y1464,0,COUNTA(Y1464:AV1464)-1)=0),"납부 시작 전",
IF(AND(V1464="정상",OFFSET(Y1464,0,COUNTA(Y1464:AV1464)-1)&gt;=U1464),"정상",
IF(AND(V1464="면제",OFFSET(Y1464,0,COUNTA(Y1464:AV1464)-1)="면제"),"면제",
IF(AND(V1464="면제",OFFSET(Y1464,0,COUNTA(Y1464:AV1464)-1)=0),"면제",
"확인요청"))))))</f>
        <v>면제</v>
      </c>
      <c r="Y1464" s="94" t="s">
        <v>7</v>
      </c>
      <c r="Z1464" s="95" t="s">
        <v>7</v>
      </c>
      <c r="AA1464" s="95" t="s">
        <v>7</v>
      </c>
      <c r="AB1464" s="95" t="s">
        <v>7</v>
      </c>
      <c r="AC1464" s="95" t="s">
        <v>7</v>
      </c>
      <c r="AD1464" s="95" t="s">
        <v>7</v>
      </c>
      <c r="AE1464" s="95" t="s">
        <v>7</v>
      </c>
      <c r="AF1464" s="95" t="s">
        <v>7</v>
      </c>
      <c r="AG1464" s="95" t="s">
        <v>7</v>
      </c>
      <c r="AH1464" s="95" t="s">
        <v>7</v>
      </c>
      <c r="AI1464" s="95" t="s">
        <v>7</v>
      </c>
      <c r="AJ1464" s="96" t="s">
        <v>7</v>
      </c>
      <c r="AK1464" s="97" t="s">
        <v>7</v>
      </c>
      <c r="AL1464" s="95" t="s">
        <v>7</v>
      </c>
      <c r="AM1464" s="90"/>
      <c r="AN1464" s="90"/>
      <c r="AO1464" s="90"/>
      <c r="AP1464" s="90"/>
      <c r="AQ1464" s="90"/>
      <c r="AR1464" s="90"/>
      <c r="AS1464" s="90"/>
      <c r="AT1464" s="90"/>
      <c r="AU1464" s="90"/>
      <c r="AV1464" s="91"/>
      <c r="AX1464" s="92"/>
    </row>
    <row r="1465" customFormat="false" ht="15.65" hidden="false" customHeight="false" outlineLevel="0" collapsed="false">
      <c r="C1465" s="72" t="n">
        <f aca="false">COUNTIFS($D$6:D1465,"&lt;&gt;"&amp;"")</f>
        <v>1460</v>
      </c>
      <c r="D1465" s="73" t="s">
        <v>12</v>
      </c>
      <c r="E1465" s="76" t="str">
        <f aca="false">
IF($D1465="정상",INDEX(임대자산!$D$3:$R$3000,MATCH($F1465,임대자산!$I$3:$I$3000,0),MATCH(E$3,임대자산!$D$3:$R$3,0)),
IF($D1465="폐업",INDEX(폐업정보!$D$3:$R$3000,MATCH($F1465,폐업정보!$I$3:$I$3000,0),MATCH(E$3,폐업정보!$D$3:$R$3,0)),
"Error"))</f>
        <v>서울</v>
      </c>
      <c r="F146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B1460</v>
      </c>
      <c r="G1465" s="76" t="str">
        <f aca="false">F1465&amp;RANDBETWEEN(0,10)</f>
        <v>B14603</v>
      </c>
      <c r="H1465" s="75" t="n">
        <f aca="false">
IF($D1465="정상",INDEX(임대자산!$D$3:$R$3000,MATCH($F1465,임대자산!$I$3:$I$3000,0),MATCH(H$4,임대자산!$D$3:$R$3,0)),
IF($D1465="폐업",INDEX(폐업정보!$D$3:$R$3000,MATCH($F1465,폐업정보!$I$3:$I$3000,0),MATCH(H$4,폐업정보!$D$3:$R$3,0)),
"Error"))</f>
        <v>46052</v>
      </c>
      <c r="I1465" s="75" t="str">
        <f aca="false">
IF($D1465="정상",INDEX(임대자산!$D$3:$R$3000,MATCH($F1465,임대자산!$I$3:$I$3000,0),MATCH(I$4,임대자산!$D$3:$R$3,0)),
IF($D1465="폐업",INDEX(폐업정보!$D$3:$R$3000,MATCH($F1465,폐업정보!$I$3:$I$3000,0),MATCH(I$4,폐업정보!$D$3:$R$3,0)),
"Error"))</f>
        <v>A1460</v>
      </c>
      <c r="J1465" s="75" t="str">
        <f aca="false">
IF($D1465="정상",INDEX(임대자산!$D$3:$R$3000,MATCH($F1465,임대자산!$I$3:$I$3000,0),MATCH(J$4,임대자산!$D$3:$R$3,0)),
IF($D1465="폐업",INDEX(폐업정보!$D$3:$R$3000,MATCH($F1465,폐업정보!$I$3:$I$3000,0),MATCH(J$4,폐업정보!$D$3:$R$3,0)),
"Error"))</f>
        <v>6407700000</v>
      </c>
      <c r="K1465" s="75" t="str">
        <f aca="false">
IF($D1465="정상",INDEX(임대자산!$D$3:$R$3000,MATCH($F1465,임대자산!$I$3:$I$3000,0),MATCH(K$4,임대자산!$D$3:$R$3,0)),
IF($D1465="폐업",INDEX(폐업정보!$D$3:$R$3000,MATCH($F1465,폐업정보!$I$3:$I$3000,0),MATCH(K$4,폐업정보!$D$3:$R$3,0)),
"Error"))</f>
        <v>C1460</v>
      </c>
      <c r="L1465" s="75" t="str">
        <f aca="false">
IF($D1465="정상",INDEX(임대자산!$D$3:$R$3000,MATCH($F1465,임대자산!$I$3:$I$3000,0),MATCH(L$4,임대자산!$D$3:$R$3,0)),
IF($D1465="폐업",INDEX(폐업정보!$D$3:$R$3000,MATCH($F1465,폐업정보!$I$3:$I$3000,0),MATCH(L$4,폐업정보!$D$3:$R$3,0)),
"Error"))</f>
        <v>D1460</v>
      </c>
      <c r="M1465" s="76" t="s">
        <v>96</v>
      </c>
      <c r="N1465" s="77"/>
      <c r="O1465" s="78" t="s">
        <v>97</v>
      </c>
      <c r="P1465" s="79" t="n">
        <f aca="false">COUNTIFS(임대자산!$I:$I,가맹점정보!F1465,임대자산!$N:$N,가맹점정보!P$4)</f>
        <v>0</v>
      </c>
      <c r="Q1465" s="80" t="n">
        <f aca="false">COUNTIFS(임대자산!$I:$I,가맹점정보!F1465,임대자산!$N:$N,가맹점정보!Q$4)</f>
        <v>0</v>
      </c>
      <c r="R1465" s="81" t="n">
        <f aca="false">COUNTIFS(임대자산!$I:$I,가맹점정보!F1465,임대자산!$N:$N,가맹점정보!R$4)</f>
        <v>1</v>
      </c>
      <c r="S1465" s="82" t="n">
        <v>55000</v>
      </c>
      <c r="T1465" s="83" t="n">
        <v>0</v>
      </c>
      <c r="U1465" s="80" t="n">
        <f aca="false">SUM(S1465:T1465)</f>
        <v>55000</v>
      </c>
      <c r="V1465" s="84" t="s">
        <v>7</v>
      </c>
      <c r="W1465" s="80" t="str">
        <f aca="true">
IF(D1465="폐업","폐업",
IF(V1465="면제","면제",
IF(AND(V1465="정상",COUNTIFS(OFFSET(Y1465,0,COUNTA(Y1465:AV1465)-1,1,-4),"미납")&gt;=3),"장기미납",
IF(AND(V1465="정상",OFFSET(Y1465,0,COUNTA(Y1465:AV1465)-1)&gt;=U1465),"정상",
IF(AND(V1465="정상",OFFSET(Y1465,0,COUNTA(Y1465:AV1465)-1)=0),"정상",
"계약서 미작성")))))</f>
        <v>면제</v>
      </c>
      <c r="X1465" s="81" t="str">
        <f aca="true">
IF(D1465="폐업","폐업",
IF(AND(V1465="정상",OFFSET(Y1465,0,COUNTA(Y1465:AV1465)-1)="미납"),"미납",
IF(AND(V1465="정상",OFFSET(Y1465,0,COUNTA(Y1465:AV1465)-1)=0),"납부 시작 전",
IF(AND(V1465="정상",OFFSET(Y1465,0,COUNTA(Y1465:AV1465)-1)&gt;=U1465),"정상",
IF(AND(V1465="면제",OFFSET(Y1465,0,COUNTA(Y1465:AV1465)-1)="면제"),"면제",
IF(AND(V1465="면제",OFFSET(Y1465,0,COUNTA(Y1465:AV1465)-1)=0),"면제",
"확인요청"))))))</f>
        <v>면제</v>
      </c>
      <c r="Y1465" s="94" t="s">
        <v>7</v>
      </c>
      <c r="Z1465" s="95" t="s">
        <v>7</v>
      </c>
      <c r="AA1465" s="95" t="s">
        <v>7</v>
      </c>
      <c r="AB1465" s="95" t="s">
        <v>7</v>
      </c>
      <c r="AC1465" s="95" t="s">
        <v>7</v>
      </c>
      <c r="AD1465" s="95" t="s">
        <v>7</v>
      </c>
      <c r="AE1465" s="95" t="s">
        <v>7</v>
      </c>
      <c r="AF1465" s="95" t="s">
        <v>7</v>
      </c>
      <c r="AG1465" s="95" t="s">
        <v>7</v>
      </c>
      <c r="AH1465" s="95" t="s">
        <v>7</v>
      </c>
      <c r="AI1465" s="95" t="s">
        <v>7</v>
      </c>
      <c r="AJ1465" s="96" t="s">
        <v>7</v>
      </c>
      <c r="AK1465" s="97" t="s">
        <v>7</v>
      </c>
      <c r="AL1465" s="95" t="s">
        <v>7</v>
      </c>
      <c r="AM1465" s="90"/>
      <c r="AN1465" s="90"/>
      <c r="AO1465" s="90"/>
      <c r="AP1465" s="90"/>
      <c r="AQ1465" s="90"/>
      <c r="AR1465" s="90"/>
      <c r="AS1465" s="90"/>
      <c r="AT1465" s="90"/>
      <c r="AU1465" s="90"/>
      <c r="AV1465" s="91"/>
      <c r="AX1465" s="92"/>
    </row>
    <row r="1466" customFormat="false" ht="15.65" hidden="false" customHeight="false" outlineLevel="0" collapsed="false">
      <c r="C1466" s="72" t="n">
        <f aca="false">COUNTIFS($D$6:D1466,"&lt;&gt;"&amp;"")</f>
        <v>1461</v>
      </c>
      <c r="D1466" s="73" t="s">
        <v>12</v>
      </c>
      <c r="E1466" s="76" t="str">
        <f aca="false">
IF($D1466="정상",INDEX(임대자산!$D$3:$R$3000,MATCH($F1466,임대자산!$I$3:$I$3000,0),MATCH(E$3,임대자산!$D$3:$R$3,0)),
IF($D1466="폐업",INDEX(폐업정보!$D$3:$R$3000,MATCH($F1466,폐업정보!$I$3:$I$3000,0),MATCH(E$3,폐업정보!$D$3:$R$3,0)),
"Error"))</f>
        <v>경기</v>
      </c>
      <c r="F146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B1461</v>
      </c>
      <c r="G1466" s="76" t="str">
        <f aca="false">F1466&amp;RANDBETWEEN(0,10)</f>
        <v>B14610</v>
      </c>
      <c r="H1466" s="75" t="n">
        <f aca="false">
IF($D1466="정상",INDEX(임대자산!$D$3:$R$3000,MATCH($F1466,임대자산!$I$3:$I$3000,0),MATCH(H$4,임대자산!$D$3:$R$3,0)),
IF($D1466="폐업",INDEX(폐업정보!$D$3:$R$3000,MATCH($F1466,폐업정보!$I$3:$I$3000,0),MATCH(H$4,폐업정보!$D$3:$R$3,0)),
"Error"))</f>
        <v>45777</v>
      </c>
      <c r="I1466" s="75" t="str">
        <f aca="false">
IF($D1466="정상",INDEX(임대자산!$D$3:$R$3000,MATCH($F1466,임대자산!$I$3:$I$3000,0),MATCH(I$4,임대자산!$D$3:$R$3,0)),
IF($D1466="폐업",INDEX(폐업정보!$D$3:$R$3000,MATCH($F1466,폐업정보!$I$3:$I$3000,0),MATCH(I$4,폐업정보!$D$3:$R$3,0)),
"Error"))</f>
        <v>A1461</v>
      </c>
      <c r="J1466" s="75" t="str">
        <f aca="false">
IF($D1466="정상",INDEX(임대자산!$D$3:$R$3000,MATCH($F1466,임대자산!$I$3:$I$3000,0),MATCH(J$4,임대자산!$D$3:$R$3,0)),
IF($D1466="폐업",INDEX(폐업정보!$D$3:$R$3000,MATCH($F1466,폐업정보!$I$3:$I$3000,0),MATCH(J$4,폐업정보!$D$3:$R$3,0)),
"Error"))</f>
        <v>2685300000</v>
      </c>
      <c r="K1466" s="75" t="str">
        <f aca="false">
IF($D1466="정상",INDEX(임대자산!$D$3:$R$3000,MATCH($F1466,임대자산!$I$3:$I$3000,0),MATCH(K$4,임대자산!$D$3:$R$3,0)),
IF($D1466="폐업",INDEX(폐업정보!$D$3:$R$3000,MATCH($F1466,폐업정보!$I$3:$I$3000,0),MATCH(K$4,폐업정보!$D$3:$R$3,0)),
"Error"))</f>
        <v>C1461</v>
      </c>
      <c r="L1466" s="75" t="str">
        <f aca="false">
IF($D1466="정상",INDEX(임대자산!$D$3:$R$3000,MATCH($F1466,임대자산!$I$3:$I$3000,0),MATCH(L$4,임대자산!$D$3:$R$3,0)),
IF($D1466="폐업",INDEX(폐업정보!$D$3:$R$3000,MATCH($F1466,폐업정보!$I$3:$I$3000,0),MATCH(L$4,폐업정보!$D$3:$R$3,0)),
"Error"))</f>
        <v>D1461</v>
      </c>
      <c r="M1466" s="76" t="s">
        <v>96</v>
      </c>
      <c r="N1466" s="77"/>
      <c r="O1466" s="78" t="s">
        <v>97</v>
      </c>
      <c r="P1466" s="79" t="n">
        <f aca="false">COUNTIFS(임대자산!$I:$I,가맹점정보!F1466,임대자산!$N:$N,가맹점정보!P$4)</f>
        <v>0</v>
      </c>
      <c r="Q1466" s="80" t="n">
        <f aca="false">COUNTIFS(임대자산!$I:$I,가맹점정보!F1466,임대자산!$N:$N,가맹점정보!Q$4)</f>
        <v>0</v>
      </c>
      <c r="R1466" s="81" t="n">
        <f aca="false">COUNTIFS(임대자산!$I:$I,가맹점정보!F1466,임대자산!$N:$N,가맹점정보!R$4)</f>
        <v>1</v>
      </c>
      <c r="S1466" s="82" t="n">
        <v>132000</v>
      </c>
      <c r="T1466" s="83" t="n">
        <v>0</v>
      </c>
      <c r="U1466" s="80" t="n">
        <f aca="false">SUM(S1466:T1466)</f>
        <v>132000</v>
      </c>
      <c r="V1466" s="84" t="s">
        <v>7</v>
      </c>
      <c r="W1466" s="80" t="str">
        <f aca="true">
IF(D1466="폐업","폐업",
IF(V1466="면제","면제",
IF(AND(V1466="정상",COUNTIFS(OFFSET(Y1466,0,COUNTA(Y1466:AV1466)-1,1,-4),"미납")&gt;=3),"장기미납",
IF(AND(V1466="정상",OFFSET(Y1466,0,COUNTA(Y1466:AV1466)-1)&gt;=U1466),"정상",
IF(AND(V1466="정상",OFFSET(Y1466,0,COUNTA(Y1466:AV1466)-1)=0),"정상",
"계약서 미작성")))))</f>
        <v>면제</v>
      </c>
      <c r="X1466" s="81" t="str">
        <f aca="true">
IF(D1466="폐업","폐업",
IF(AND(V1466="정상",OFFSET(Y1466,0,COUNTA(Y1466:AV1466)-1)="미납"),"미납",
IF(AND(V1466="정상",OFFSET(Y1466,0,COUNTA(Y1466:AV1466)-1)=0),"납부 시작 전",
IF(AND(V1466="정상",OFFSET(Y1466,0,COUNTA(Y1466:AV1466)-1)&gt;=U1466),"정상",
IF(AND(V1466="면제",OFFSET(Y1466,0,COUNTA(Y1466:AV1466)-1)="면제"),"면제",
IF(AND(V1466="면제",OFFSET(Y1466,0,COUNTA(Y1466:AV1466)-1)=0),"면제",
"확인요청"))))))</f>
        <v>면제</v>
      </c>
      <c r="Y1466" s="94" t="s">
        <v>7</v>
      </c>
      <c r="Z1466" s="95" t="s">
        <v>7</v>
      </c>
      <c r="AA1466" s="95" t="s">
        <v>7</v>
      </c>
      <c r="AB1466" s="95" t="s">
        <v>7</v>
      </c>
      <c r="AC1466" s="95" t="s">
        <v>7</v>
      </c>
      <c r="AD1466" s="95" t="s">
        <v>7</v>
      </c>
      <c r="AE1466" s="95" t="s">
        <v>7</v>
      </c>
      <c r="AF1466" s="95" t="s">
        <v>7</v>
      </c>
      <c r="AG1466" s="95" t="s">
        <v>7</v>
      </c>
      <c r="AH1466" s="95" t="s">
        <v>7</v>
      </c>
      <c r="AI1466" s="95" t="s">
        <v>7</v>
      </c>
      <c r="AJ1466" s="96" t="s">
        <v>7</v>
      </c>
      <c r="AK1466" s="97" t="s">
        <v>7</v>
      </c>
      <c r="AL1466" s="95" t="s">
        <v>7</v>
      </c>
      <c r="AM1466" s="90"/>
      <c r="AN1466" s="90"/>
      <c r="AO1466" s="90"/>
      <c r="AP1466" s="90"/>
      <c r="AQ1466" s="90"/>
      <c r="AR1466" s="90"/>
      <c r="AS1466" s="90"/>
      <c r="AT1466" s="90"/>
      <c r="AU1466" s="90"/>
      <c r="AV1466" s="91"/>
      <c r="AX1466" s="92"/>
    </row>
    <row r="1467" customFormat="false" ht="15.65" hidden="false" customHeight="false" outlineLevel="0" collapsed="false">
      <c r="C1467" s="72" t="n">
        <f aca="false">COUNTIFS($D$6:D1467,"&lt;&gt;"&amp;"")</f>
        <v>1462</v>
      </c>
      <c r="D1467" s="73" t="s">
        <v>12</v>
      </c>
      <c r="E1467" s="76" t="str">
        <f aca="false">
IF($D1467="정상",INDEX(임대자산!$D$3:$R$3000,MATCH($F1467,임대자산!$I$3:$I$3000,0),MATCH(E$3,임대자산!$D$3:$R$3,0)),
IF($D1467="폐업",INDEX(폐업정보!$D$3:$R$3000,MATCH($F1467,폐업정보!$I$3:$I$3000,0),MATCH(E$3,폐업정보!$D$3:$R$3,0)),
"Error"))</f>
        <v>경기</v>
      </c>
      <c r="F146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B1462</v>
      </c>
      <c r="G1467" s="76" t="str">
        <f aca="false">F1467&amp;RANDBETWEEN(0,10)</f>
        <v>B14628</v>
      </c>
      <c r="H1467" s="75" t="n">
        <f aca="false">
IF($D1467="정상",INDEX(임대자산!$D$3:$R$3000,MATCH($F1467,임대자산!$I$3:$I$3000,0),MATCH(H$4,임대자산!$D$3:$R$3,0)),
IF($D1467="폐업",INDEX(폐업정보!$D$3:$R$3000,MATCH($F1467,폐업정보!$I$3:$I$3000,0),MATCH(H$4,폐업정보!$D$3:$R$3,0)),
"Error"))</f>
        <v>45841</v>
      </c>
      <c r="I1467" s="75" t="str">
        <f aca="false">
IF($D1467="정상",INDEX(임대자산!$D$3:$R$3000,MATCH($F1467,임대자산!$I$3:$I$3000,0),MATCH(I$4,임대자산!$D$3:$R$3,0)),
IF($D1467="폐업",INDEX(폐업정보!$D$3:$R$3000,MATCH($F1467,폐업정보!$I$3:$I$3000,0),MATCH(I$4,폐업정보!$D$3:$R$3,0)),
"Error"))</f>
        <v>A1462</v>
      </c>
      <c r="J1467" s="75" t="str">
        <f aca="false">
IF($D1467="정상",INDEX(임대자산!$D$3:$R$3000,MATCH($F1467,임대자산!$I$3:$I$3000,0),MATCH(J$4,임대자산!$D$3:$R$3,0)),
IF($D1467="폐업",INDEX(폐업정보!$D$3:$R$3000,MATCH($F1467,폐업정보!$I$3:$I$3000,0),MATCH(J$4,폐업정보!$D$3:$R$3,0)),
"Error"))</f>
        <v>9488800000</v>
      </c>
      <c r="K1467" s="75" t="str">
        <f aca="false">
IF($D1467="정상",INDEX(임대자산!$D$3:$R$3000,MATCH($F1467,임대자산!$I$3:$I$3000,0),MATCH(K$4,임대자산!$D$3:$R$3,0)),
IF($D1467="폐업",INDEX(폐업정보!$D$3:$R$3000,MATCH($F1467,폐업정보!$I$3:$I$3000,0),MATCH(K$4,폐업정보!$D$3:$R$3,0)),
"Error"))</f>
        <v>C1462</v>
      </c>
      <c r="L1467" s="75" t="str">
        <f aca="false">
IF($D1467="정상",INDEX(임대자산!$D$3:$R$3000,MATCH($F1467,임대자산!$I$3:$I$3000,0),MATCH(L$4,임대자산!$D$3:$R$3,0)),
IF($D1467="폐업",INDEX(폐업정보!$D$3:$R$3000,MATCH($F1467,폐업정보!$I$3:$I$3000,0),MATCH(L$4,폐업정보!$D$3:$R$3,0)),
"Error"))</f>
        <v>D1462</v>
      </c>
      <c r="M1467" s="76" t="s">
        <v>96</v>
      </c>
      <c r="N1467" s="77"/>
      <c r="O1467" s="78" t="s">
        <v>97</v>
      </c>
      <c r="P1467" s="79" t="n">
        <f aca="false">COUNTIFS(임대자산!$I:$I,가맹점정보!F1467,임대자산!$N:$N,가맹점정보!P$4)</f>
        <v>0</v>
      </c>
      <c r="Q1467" s="80" t="n">
        <f aca="false">COUNTIFS(임대자산!$I:$I,가맹점정보!F1467,임대자산!$N:$N,가맹점정보!Q$4)</f>
        <v>0</v>
      </c>
      <c r="R1467" s="81" t="n">
        <f aca="false">COUNTIFS(임대자산!$I:$I,가맹점정보!F1467,임대자산!$N:$N,가맹점정보!R$4)</f>
        <v>1</v>
      </c>
      <c r="S1467" s="82" t="n">
        <v>55000</v>
      </c>
      <c r="T1467" s="83" t="n">
        <v>0</v>
      </c>
      <c r="U1467" s="80" t="n">
        <f aca="false">SUM(S1467:T1467)</f>
        <v>55000</v>
      </c>
      <c r="V1467" s="84" t="s">
        <v>7</v>
      </c>
      <c r="W1467" s="80" t="str">
        <f aca="true">
IF(D1467="폐업","폐업",
IF(V1467="면제","면제",
IF(AND(V1467="정상",COUNTIFS(OFFSET(Y1467,0,COUNTA(Y1467:AV1467)-1,1,-4),"미납")&gt;=3),"장기미납",
IF(AND(V1467="정상",OFFSET(Y1467,0,COUNTA(Y1467:AV1467)-1)&gt;=U1467),"정상",
IF(AND(V1467="정상",OFFSET(Y1467,0,COUNTA(Y1467:AV1467)-1)=0),"정상",
"계약서 미작성")))))</f>
        <v>면제</v>
      </c>
      <c r="X1467" s="81" t="str">
        <f aca="true">
IF(D1467="폐업","폐업",
IF(AND(V1467="정상",OFFSET(Y1467,0,COUNTA(Y1467:AV1467)-1)="미납"),"미납",
IF(AND(V1467="정상",OFFSET(Y1467,0,COUNTA(Y1467:AV1467)-1)=0),"납부 시작 전",
IF(AND(V1467="정상",OFFSET(Y1467,0,COUNTA(Y1467:AV1467)-1)&gt;=U1467),"정상",
IF(AND(V1467="면제",OFFSET(Y1467,0,COUNTA(Y1467:AV1467)-1)="면제"),"면제",
IF(AND(V1467="면제",OFFSET(Y1467,0,COUNTA(Y1467:AV1467)-1)=0),"면제",
"확인요청"))))))</f>
        <v>면제</v>
      </c>
      <c r="Y1467" s="94" t="s">
        <v>7</v>
      </c>
      <c r="Z1467" s="95" t="s">
        <v>7</v>
      </c>
      <c r="AA1467" s="95" t="s">
        <v>7</v>
      </c>
      <c r="AB1467" s="95" t="s">
        <v>7</v>
      </c>
      <c r="AC1467" s="95" t="s">
        <v>7</v>
      </c>
      <c r="AD1467" s="95" t="s">
        <v>7</v>
      </c>
      <c r="AE1467" s="95" t="s">
        <v>7</v>
      </c>
      <c r="AF1467" s="95" t="s">
        <v>7</v>
      </c>
      <c r="AG1467" s="95" t="s">
        <v>7</v>
      </c>
      <c r="AH1467" s="95" t="s">
        <v>7</v>
      </c>
      <c r="AI1467" s="95" t="s">
        <v>7</v>
      </c>
      <c r="AJ1467" s="96" t="s">
        <v>7</v>
      </c>
      <c r="AK1467" s="97" t="s">
        <v>7</v>
      </c>
      <c r="AL1467" s="95" t="s">
        <v>7</v>
      </c>
      <c r="AM1467" s="90"/>
      <c r="AN1467" s="90"/>
      <c r="AO1467" s="90"/>
      <c r="AP1467" s="90"/>
      <c r="AQ1467" s="90"/>
      <c r="AR1467" s="90"/>
      <c r="AS1467" s="90"/>
      <c r="AT1467" s="90"/>
      <c r="AU1467" s="90"/>
      <c r="AV1467" s="91"/>
      <c r="AX1467" s="92"/>
    </row>
    <row r="1468" customFormat="false" ht="15.65" hidden="false" customHeight="false" outlineLevel="0" collapsed="false">
      <c r="C1468" s="72" t="n">
        <f aca="false">COUNTIFS($D$6:D1468,"&lt;&gt;"&amp;"")</f>
        <v>1463</v>
      </c>
      <c r="D1468" s="73" t="s">
        <v>12</v>
      </c>
      <c r="E1468" s="76" t="str">
        <f aca="false">
IF($D1468="정상",INDEX(임대자산!$D$3:$R$3000,MATCH($F1468,임대자산!$I$3:$I$3000,0),MATCH(E$3,임대자산!$D$3:$R$3,0)),
IF($D1468="폐업",INDEX(폐업정보!$D$3:$R$3000,MATCH($F1468,폐업정보!$I$3:$I$3000,0),MATCH(E$3,폐업정보!$D$3:$R$3,0)),
"Error"))</f>
        <v>강원</v>
      </c>
      <c r="F146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B1463</v>
      </c>
      <c r="G1468" s="76" t="str">
        <f aca="false">F1468&amp;RANDBETWEEN(0,10)</f>
        <v>B146310</v>
      </c>
      <c r="H1468" s="75" t="n">
        <f aca="false">
IF($D1468="정상",INDEX(임대자산!$D$3:$R$3000,MATCH($F1468,임대자산!$I$3:$I$3000,0),MATCH(H$4,임대자산!$D$3:$R$3,0)),
IF($D1468="폐업",INDEX(폐업정보!$D$3:$R$3000,MATCH($F1468,폐업정보!$I$3:$I$3000,0),MATCH(H$4,폐업정보!$D$3:$R$3,0)),
"Error"))</f>
        <v>45442</v>
      </c>
      <c r="I1468" s="75" t="str">
        <f aca="false">
IF($D1468="정상",INDEX(임대자산!$D$3:$R$3000,MATCH($F1468,임대자산!$I$3:$I$3000,0),MATCH(I$4,임대자산!$D$3:$R$3,0)),
IF($D1468="폐업",INDEX(폐업정보!$D$3:$R$3000,MATCH($F1468,폐업정보!$I$3:$I$3000,0),MATCH(I$4,폐업정보!$D$3:$R$3,0)),
"Error"))</f>
        <v>A1463</v>
      </c>
      <c r="J1468" s="75" t="str">
        <f aca="false">
IF($D1468="정상",INDEX(임대자산!$D$3:$R$3000,MATCH($F1468,임대자산!$I$3:$I$3000,0),MATCH(J$4,임대자산!$D$3:$R$3,0)),
IF($D1468="폐업",INDEX(폐업정보!$D$3:$R$3000,MATCH($F1468,폐업정보!$I$3:$I$3000,0),MATCH(J$4,폐업정보!$D$3:$R$3,0)),
"Error"))</f>
        <v>8324300000</v>
      </c>
      <c r="K1468" s="75" t="str">
        <f aca="false">
IF($D1468="정상",INDEX(임대자산!$D$3:$R$3000,MATCH($F1468,임대자산!$I$3:$I$3000,0),MATCH(K$4,임대자산!$D$3:$R$3,0)),
IF($D1468="폐업",INDEX(폐업정보!$D$3:$R$3000,MATCH($F1468,폐업정보!$I$3:$I$3000,0),MATCH(K$4,폐업정보!$D$3:$R$3,0)),
"Error"))</f>
        <v>C1463</v>
      </c>
      <c r="L1468" s="75" t="str">
        <f aca="false">
IF($D1468="정상",INDEX(임대자산!$D$3:$R$3000,MATCH($F1468,임대자산!$I$3:$I$3000,0),MATCH(L$4,임대자산!$D$3:$R$3,0)),
IF($D1468="폐업",INDEX(폐업정보!$D$3:$R$3000,MATCH($F1468,폐업정보!$I$3:$I$3000,0),MATCH(L$4,폐업정보!$D$3:$R$3,0)),
"Error"))</f>
        <v>D1463</v>
      </c>
      <c r="M1468" s="76" t="s">
        <v>96</v>
      </c>
      <c r="N1468" s="77"/>
      <c r="O1468" s="78" t="s">
        <v>97</v>
      </c>
      <c r="P1468" s="79" t="n">
        <f aca="false">COUNTIFS(임대자산!$I:$I,가맹점정보!F1468,임대자산!$N:$N,가맹점정보!P$4)</f>
        <v>0</v>
      </c>
      <c r="Q1468" s="80" t="n">
        <f aca="false">COUNTIFS(임대자산!$I:$I,가맹점정보!F1468,임대자산!$N:$N,가맹점정보!Q$4)</f>
        <v>0</v>
      </c>
      <c r="R1468" s="81" t="n">
        <f aca="false">COUNTIFS(임대자산!$I:$I,가맹점정보!F1468,임대자산!$N:$N,가맹점정보!R$4)</f>
        <v>1</v>
      </c>
      <c r="S1468" s="82" t="n">
        <v>55000</v>
      </c>
      <c r="T1468" s="83" t="n">
        <v>0</v>
      </c>
      <c r="U1468" s="80" t="n">
        <f aca="false">SUM(S1468:T1468)</f>
        <v>55000</v>
      </c>
      <c r="V1468" s="84" t="s">
        <v>7</v>
      </c>
      <c r="W1468" s="80" t="str">
        <f aca="true">
IF(D1468="폐업","폐업",
IF(V1468="면제","면제",
IF(AND(V1468="정상",COUNTIFS(OFFSET(Y1468,0,COUNTA(Y1468:AV1468)-1,1,-4),"미납")&gt;=3),"장기미납",
IF(AND(V1468="정상",OFFSET(Y1468,0,COUNTA(Y1468:AV1468)-1)&gt;=U1468),"정상",
IF(AND(V1468="정상",OFFSET(Y1468,0,COUNTA(Y1468:AV1468)-1)=0),"정상",
"계약서 미작성")))))</f>
        <v>면제</v>
      </c>
      <c r="X1468" s="81" t="str">
        <f aca="true">
IF(D1468="폐업","폐업",
IF(AND(V1468="정상",OFFSET(Y1468,0,COUNTA(Y1468:AV1468)-1)="미납"),"미납",
IF(AND(V1468="정상",OFFSET(Y1468,0,COUNTA(Y1468:AV1468)-1)=0),"납부 시작 전",
IF(AND(V1468="정상",OFFSET(Y1468,0,COUNTA(Y1468:AV1468)-1)&gt;=U1468),"정상",
IF(AND(V1468="면제",OFFSET(Y1468,0,COUNTA(Y1468:AV1468)-1)="면제"),"면제",
IF(AND(V1468="면제",OFFSET(Y1468,0,COUNTA(Y1468:AV1468)-1)=0),"면제",
"확인요청"))))))</f>
        <v>면제</v>
      </c>
      <c r="Y1468" s="94" t="s">
        <v>7</v>
      </c>
      <c r="Z1468" s="95" t="s">
        <v>7</v>
      </c>
      <c r="AA1468" s="95" t="s">
        <v>7</v>
      </c>
      <c r="AB1468" s="95" t="s">
        <v>7</v>
      </c>
      <c r="AC1468" s="95" t="s">
        <v>7</v>
      </c>
      <c r="AD1468" s="95" t="s">
        <v>7</v>
      </c>
      <c r="AE1468" s="95" t="s">
        <v>7</v>
      </c>
      <c r="AF1468" s="95" t="s">
        <v>7</v>
      </c>
      <c r="AG1468" s="95" t="s">
        <v>7</v>
      </c>
      <c r="AH1468" s="95" t="s">
        <v>7</v>
      </c>
      <c r="AI1468" s="95" t="s">
        <v>7</v>
      </c>
      <c r="AJ1468" s="96" t="s">
        <v>7</v>
      </c>
      <c r="AK1468" s="97" t="s">
        <v>7</v>
      </c>
      <c r="AL1468" s="95" t="s">
        <v>7</v>
      </c>
      <c r="AM1468" s="90"/>
      <c r="AN1468" s="90"/>
      <c r="AO1468" s="90"/>
      <c r="AP1468" s="90"/>
      <c r="AQ1468" s="90"/>
      <c r="AR1468" s="90"/>
      <c r="AS1468" s="90"/>
      <c r="AT1468" s="90"/>
      <c r="AU1468" s="90"/>
      <c r="AV1468" s="91"/>
      <c r="AX1468" s="92"/>
    </row>
    <row r="1469" customFormat="false" ht="15.65" hidden="false" customHeight="false" outlineLevel="0" collapsed="false">
      <c r="C1469" s="72" t="n">
        <f aca="false">COUNTIFS($D$6:D1469,"&lt;&gt;"&amp;"")</f>
        <v>1464</v>
      </c>
      <c r="D1469" s="73" t="s">
        <v>12</v>
      </c>
      <c r="E1469" s="76" t="str">
        <f aca="false">
IF($D1469="정상",INDEX(임대자산!$D$3:$R$3000,MATCH($F1469,임대자산!$I$3:$I$3000,0),MATCH(E$3,임대자산!$D$3:$R$3,0)),
IF($D1469="폐업",INDEX(폐업정보!$D$3:$R$3000,MATCH($F1469,폐업정보!$I$3:$I$3000,0),MATCH(E$3,폐업정보!$D$3:$R$3,0)),
"Error"))</f>
        <v>강원</v>
      </c>
      <c r="F146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B1464</v>
      </c>
      <c r="G1469" s="76" t="str">
        <f aca="false">F1469&amp;RANDBETWEEN(0,10)</f>
        <v>B14640</v>
      </c>
      <c r="H1469" s="75" t="n">
        <f aca="false">
IF($D1469="정상",INDEX(임대자산!$D$3:$R$3000,MATCH($F1469,임대자산!$I$3:$I$3000,0),MATCH(H$4,임대자산!$D$3:$R$3,0)),
IF($D1469="폐업",INDEX(폐업정보!$D$3:$R$3000,MATCH($F1469,폐업정보!$I$3:$I$3000,0),MATCH(H$4,폐업정보!$D$3:$R$3,0)),
"Error"))</f>
        <v>45387</v>
      </c>
      <c r="I1469" s="75" t="str">
        <f aca="false">
IF($D1469="정상",INDEX(임대자산!$D$3:$R$3000,MATCH($F1469,임대자산!$I$3:$I$3000,0),MATCH(I$4,임대자산!$D$3:$R$3,0)),
IF($D1469="폐업",INDEX(폐업정보!$D$3:$R$3000,MATCH($F1469,폐업정보!$I$3:$I$3000,0),MATCH(I$4,폐업정보!$D$3:$R$3,0)),
"Error"))</f>
        <v>A1464</v>
      </c>
      <c r="J1469" s="75" t="str">
        <f aca="false">
IF($D1469="정상",INDEX(임대자산!$D$3:$R$3000,MATCH($F1469,임대자산!$I$3:$I$3000,0),MATCH(J$4,임대자산!$D$3:$R$3,0)),
IF($D1469="폐업",INDEX(폐업정보!$D$3:$R$3000,MATCH($F1469,폐업정보!$I$3:$I$3000,0),MATCH(J$4,폐업정보!$D$3:$R$3,0)),
"Error"))</f>
        <v>6537200000</v>
      </c>
      <c r="K1469" s="75" t="str">
        <f aca="false">
IF($D1469="정상",INDEX(임대자산!$D$3:$R$3000,MATCH($F1469,임대자산!$I$3:$I$3000,0),MATCH(K$4,임대자산!$D$3:$R$3,0)),
IF($D1469="폐업",INDEX(폐업정보!$D$3:$R$3000,MATCH($F1469,폐업정보!$I$3:$I$3000,0),MATCH(K$4,폐업정보!$D$3:$R$3,0)),
"Error"))</f>
        <v>C1464</v>
      </c>
      <c r="L1469" s="75" t="str">
        <f aca="false">
IF($D1469="정상",INDEX(임대자산!$D$3:$R$3000,MATCH($F1469,임대자산!$I$3:$I$3000,0),MATCH(L$4,임대자산!$D$3:$R$3,0)),
IF($D1469="폐업",INDEX(폐업정보!$D$3:$R$3000,MATCH($F1469,폐업정보!$I$3:$I$3000,0),MATCH(L$4,폐업정보!$D$3:$R$3,0)),
"Error"))</f>
        <v>D1464</v>
      </c>
      <c r="M1469" s="76" t="s">
        <v>96</v>
      </c>
      <c r="N1469" s="77"/>
      <c r="O1469" s="78" t="s">
        <v>97</v>
      </c>
      <c r="P1469" s="79" t="n">
        <f aca="false">COUNTIFS(임대자산!$I:$I,가맹점정보!F1469,임대자산!$N:$N,가맹점정보!P$4)</f>
        <v>0</v>
      </c>
      <c r="Q1469" s="80" t="n">
        <f aca="false">COUNTIFS(임대자산!$I:$I,가맹점정보!F1469,임대자산!$N:$N,가맹점정보!Q$4)</f>
        <v>0</v>
      </c>
      <c r="R1469" s="81" t="n">
        <f aca="false">COUNTIFS(임대자산!$I:$I,가맹점정보!F1469,임대자산!$N:$N,가맹점정보!R$4)</f>
        <v>1</v>
      </c>
      <c r="S1469" s="82" t="n">
        <v>88000</v>
      </c>
      <c r="T1469" s="83" t="n">
        <v>0</v>
      </c>
      <c r="U1469" s="80" t="n">
        <f aca="false">SUM(S1469:T1469)</f>
        <v>88000</v>
      </c>
      <c r="V1469" s="84" t="s">
        <v>7</v>
      </c>
      <c r="W1469" s="80" t="str">
        <f aca="true">
IF(D1469="폐업","폐업",
IF(V1469="면제","면제",
IF(AND(V1469="정상",COUNTIFS(OFFSET(Y1469,0,COUNTA(Y1469:AV1469)-1,1,-4),"미납")&gt;=3),"장기미납",
IF(AND(V1469="정상",OFFSET(Y1469,0,COUNTA(Y1469:AV1469)-1)&gt;=U1469),"정상",
IF(AND(V1469="정상",OFFSET(Y1469,0,COUNTA(Y1469:AV1469)-1)=0),"정상",
"계약서 미작성")))))</f>
        <v>면제</v>
      </c>
      <c r="X1469" s="81" t="str">
        <f aca="true">
IF(D1469="폐업","폐업",
IF(AND(V1469="정상",OFFSET(Y1469,0,COUNTA(Y1469:AV1469)-1)="미납"),"미납",
IF(AND(V1469="정상",OFFSET(Y1469,0,COUNTA(Y1469:AV1469)-1)=0),"납부 시작 전",
IF(AND(V1469="정상",OFFSET(Y1469,0,COUNTA(Y1469:AV1469)-1)&gt;=U1469),"정상",
IF(AND(V1469="면제",OFFSET(Y1469,0,COUNTA(Y1469:AV1469)-1)="면제"),"면제",
IF(AND(V1469="면제",OFFSET(Y1469,0,COUNTA(Y1469:AV1469)-1)=0),"면제",
"확인요청"))))))</f>
        <v>면제</v>
      </c>
      <c r="Y1469" s="94" t="s">
        <v>7</v>
      </c>
      <c r="Z1469" s="95" t="s">
        <v>7</v>
      </c>
      <c r="AA1469" s="95" t="s">
        <v>7</v>
      </c>
      <c r="AB1469" s="95" t="s">
        <v>7</v>
      </c>
      <c r="AC1469" s="95" t="s">
        <v>7</v>
      </c>
      <c r="AD1469" s="95" t="s">
        <v>7</v>
      </c>
      <c r="AE1469" s="95" t="s">
        <v>7</v>
      </c>
      <c r="AF1469" s="95" t="s">
        <v>7</v>
      </c>
      <c r="AG1469" s="95" t="s">
        <v>7</v>
      </c>
      <c r="AH1469" s="95" t="s">
        <v>7</v>
      </c>
      <c r="AI1469" s="95" t="s">
        <v>7</v>
      </c>
      <c r="AJ1469" s="96" t="s">
        <v>7</v>
      </c>
      <c r="AK1469" s="97" t="s">
        <v>7</v>
      </c>
      <c r="AL1469" s="95" t="s">
        <v>7</v>
      </c>
      <c r="AM1469" s="90"/>
      <c r="AN1469" s="90"/>
      <c r="AO1469" s="90"/>
      <c r="AP1469" s="90"/>
      <c r="AQ1469" s="90"/>
      <c r="AR1469" s="90"/>
      <c r="AS1469" s="90"/>
      <c r="AT1469" s="90"/>
      <c r="AU1469" s="90"/>
      <c r="AV1469" s="91"/>
      <c r="AX1469" s="92"/>
    </row>
    <row r="1470" customFormat="false" ht="15.65" hidden="false" customHeight="false" outlineLevel="0" collapsed="false">
      <c r="C1470" s="72" t="n">
        <f aca="false">COUNTIFS($D$6:D1470,"&lt;&gt;"&amp;"")</f>
        <v>1465</v>
      </c>
      <c r="D1470" s="73" t="s">
        <v>12</v>
      </c>
      <c r="E1470" s="76" t="str">
        <f aca="false">
IF($D1470="정상",INDEX(임대자산!$D$3:$R$3000,MATCH($F1470,임대자산!$I$3:$I$3000,0),MATCH(E$3,임대자산!$D$3:$R$3,0)),
IF($D1470="폐업",INDEX(폐업정보!$D$3:$R$3000,MATCH($F1470,폐업정보!$I$3:$I$3000,0),MATCH(E$3,폐업정보!$D$3:$R$3,0)),
"Error"))</f>
        <v>경상</v>
      </c>
      <c r="F147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B1465</v>
      </c>
      <c r="G1470" s="76" t="str">
        <f aca="false">F1470&amp;RANDBETWEEN(0,10)</f>
        <v>B14658</v>
      </c>
      <c r="H1470" s="75" t="n">
        <f aca="false">
IF($D1470="정상",INDEX(임대자산!$D$3:$R$3000,MATCH($F1470,임대자산!$I$3:$I$3000,0),MATCH(H$4,임대자산!$D$3:$R$3,0)),
IF($D1470="폐업",INDEX(폐업정보!$D$3:$R$3000,MATCH($F1470,폐업정보!$I$3:$I$3000,0),MATCH(H$4,폐업정보!$D$3:$R$3,0)),
"Error"))</f>
        <v>45462</v>
      </c>
      <c r="I1470" s="75" t="str">
        <f aca="false">
IF($D1470="정상",INDEX(임대자산!$D$3:$R$3000,MATCH($F1470,임대자산!$I$3:$I$3000,0),MATCH(I$4,임대자산!$D$3:$R$3,0)),
IF($D1470="폐업",INDEX(폐업정보!$D$3:$R$3000,MATCH($F1470,폐업정보!$I$3:$I$3000,0),MATCH(I$4,폐업정보!$D$3:$R$3,0)),
"Error"))</f>
        <v>A1465</v>
      </c>
      <c r="J1470" s="75" t="str">
        <f aca="false">
IF($D1470="정상",INDEX(임대자산!$D$3:$R$3000,MATCH($F1470,임대자산!$I$3:$I$3000,0),MATCH(J$4,임대자산!$D$3:$R$3,0)),
IF($D1470="폐업",INDEX(폐업정보!$D$3:$R$3000,MATCH($F1470,폐업정보!$I$3:$I$3000,0),MATCH(J$4,폐업정보!$D$3:$R$3,0)),
"Error"))</f>
        <v>8157400000</v>
      </c>
      <c r="K1470" s="75" t="str">
        <f aca="false">
IF($D1470="정상",INDEX(임대자산!$D$3:$R$3000,MATCH($F1470,임대자산!$I$3:$I$3000,0),MATCH(K$4,임대자산!$D$3:$R$3,0)),
IF($D1470="폐업",INDEX(폐업정보!$D$3:$R$3000,MATCH($F1470,폐업정보!$I$3:$I$3000,0),MATCH(K$4,폐업정보!$D$3:$R$3,0)),
"Error"))</f>
        <v>C1465</v>
      </c>
      <c r="L1470" s="75" t="str">
        <f aca="false">
IF($D1470="정상",INDEX(임대자산!$D$3:$R$3000,MATCH($F1470,임대자산!$I$3:$I$3000,0),MATCH(L$4,임대자산!$D$3:$R$3,0)),
IF($D1470="폐업",INDEX(폐업정보!$D$3:$R$3000,MATCH($F1470,폐업정보!$I$3:$I$3000,0),MATCH(L$4,폐업정보!$D$3:$R$3,0)),
"Error"))</f>
        <v>D1465</v>
      </c>
      <c r="M1470" s="76" t="s">
        <v>96</v>
      </c>
      <c r="N1470" s="77"/>
      <c r="O1470" s="78" t="s">
        <v>97</v>
      </c>
      <c r="P1470" s="79" t="n">
        <f aca="false">COUNTIFS(임대자산!$I:$I,가맹점정보!F1470,임대자산!$N:$N,가맹점정보!P$4)</f>
        <v>0</v>
      </c>
      <c r="Q1470" s="80" t="n">
        <f aca="false">COUNTIFS(임대자산!$I:$I,가맹점정보!F1470,임대자산!$N:$N,가맹점정보!Q$4)</f>
        <v>0</v>
      </c>
      <c r="R1470" s="81" t="n">
        <f aca="false">COUNTIFS(임대자산!$I:$I,가맹점정보!F1470,임대자산!$N:$N,가맹점정보!R$4)</f>
        <v>1</v>
      </c>
      <c r="S1470" s="82" t="n">
        <v>88000</v>
      </c>
      <c r="T1470" s="83" t="n">
        <v>0</v>
      </c>
      <c r="U1470" s="80" t="n">
        <f aca="false">SUM(S1470:T1470)</f>
        <v>88000</v>
      </c>
      <c r="V1470" s="84" t="s">
        <v>7</v>
      </c>
      <c r="W1470" s="80" t="str">
        <f aca="true">
IF(D1470="폐업","폐업",
IF(V1470="면제","면제",
IF(AND(V1470="정상",COUNTIFS(OFFSET(Y1470,0,COUNTA(Y1470:AV1470)-1,1,-4),"미납")&gt;=3),"장기미납",
IF(AND(V1470="정상",OFFSET(Y1470,0,COUNTA(Y1470:AV1470)-1)&gt;=U1470),"정상",
IF(AND(V1470="정상",OFFSET(Y1470,0,COUNTA(Y1470:AV1470)-1)=0),"정상",
"계약서 미작성")))))</f>
        <v>면제</v>
      </c>
      <c r="X1470" s="81" t="str">
        <f aca="true">
IF(D1470="폐업","폐업",
IF(AND(V1470="정상",OFFSET(Y1470,0,COUNTA(Y1470:AV1470)-1)="미납"),"미납",
IF(AND(V1470="정상",OFFSET(Y1470,0,COUNTA(Y1470:AV1470)-1)=0),"납부 시작 전",
IF(AND(V1470="정상",OFFSET(Y1470,0,COUNTA(Y1470:AV1470)-1)&gt;=U1470),"정상",
IF(AND(V1470="면제",OFFSET(Y1470,0,COUNTA(Y1470:AV1470)-1)="면제"),"면제",
IF(AND(V1470="면제",OFFSET(Y1470,0,COUNTA(Y1470:AV1470)-1)=0),"면제",
"확인요청"))))))</f>
        <v>면제</v>
      </c>
      <c r="Y1470" s="94" t="s">
        <v>7</v>
      </c>
      <c r="Z1470" s="95" t="s">
        <v>7</v>
      </c>
      <c r="AA1470" s="95" t="s">
        <v>7</v>
      </c>
      <c r="AB1470" s="95" t="s">
        <v>7</v>
      </c>
      <c r="AC1470" s="95" t="s">
        <v>7</v>
      </c>
      <c r="AD1470" s="95" t="s">
        <v>7</v>
      </c>
      <c r="AE1470" s="95" t="s">
        <v>7</v>
      </c>
      <c r="AF1470" s="95" t="s">
        <v>7</v>
      </c>
      <c r="AG1470" s="95" t="s">
        <v>7</v>
      </c>
      <c r="AH1470" s="95" t="s">
        <v>7</v>
      </c>
      <c r="AI1470" s="95" t="s">
        <v>7</v>
      </c>
      <c r="AJ1470" s="96" t="s">
        <v>7</v>
      </c>
      <c r="AK1470" s="97" t="s">
        <v>7</v>
      </c>
      <c r="AL1470" s="95" t="s">
        <v>7</v>
      </c>
      <c r="AM1470" s="90"/>
      <c r="AN1470" s="90"/>
      <c r="AO1470" s="90"/>
      <c r="AP1470" s="90"/>
      <c r="AQ1470" s="90"/>
      <c r="AR1470" s="90"/>
      <c r="AS1470" s="90"/>
      <c r="AT1470" s="90"/>
      <c r="AU1470" s="90"/>
      <c r="AV1470" s="91"/>
      <c r="AX1470" s="92"/>
    </row>
    <row r="1471" customFormat="false" ht="15.65" hidden="false" customHeight="false" outlineLevel="0" collapsed="false">
      <c r="C1471" s="72" t="n">
        <f aca="false">COUNTIFS($D$6:D1471,"&lt;&gt;"&amp;"")</f>
        <v>1466</v>
      </c>
      <c r="D1471" s="73" t="s">
        <v>12</v>
      </c>
      <c r="E1471" s="76" t="str">
        <f aca="false">
IF($D1471="정상",INDEX(임대자산!$D$3:$R$3000,MATCH($F1471,임대자산!$I$3:$I$3000,0),MATCH(E$3,임대자산!$D$3:$R$3,0)),
IF($D1471="폐업",INDEX(폐업정보!$D$3:$R$3000,MATCH($F1471,폐업정보!$I$3:$I$3000,0),MATCH(E$3,폐업정보!$D$3:$R$3,0)),
"Error"))</f>
        <v>경상</v>
      </c>
      <c r="F147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B1466</v>
      </c>
      <c r="G1471" s="76" t="str">
        <f aca="false">F1471&amp;RANDBETWEEN(0,10)</f>
        <v>B14666</v>
      </c>
      <c r="H1471" s="75" t="n">
        <f aca="false">
IF($D1471="정상",INDEX(임대자산!$D$3:$R$3000,MATCH($F1471,임대자산!$I$3:$I$3000,0),MATCH(H$4,임대자산!$D$3:$R$3,0)),
IF($D1471="폐업",INDEX(폐업정보!$D$3:$R$3000,MATCH($F1471,폐업정보!$I$3:$I$3000,0),MATCH(H$4,폐업정보!$D$3:$R$3,0)),
"Error"))</f>
        <v>45462</v>
      </c>
      <c r="I1471" s="75" t="str">
        <f aca="false">
IF($D1471="정상",INDEX(임대자산!$D$3:$R$3000,MATCH($F1471,임대자산!$I$3:$I$3000,0),MATCH(I$4,임대자산!$D$3:$R$3,0)),
IF($D1471="폐업",INDEX(폐업정보!$D$3:$R$3000,MATCH($F1471,폐업정보!$I$3:$I$3000,0),MATCH(I$4,폐업정보!$D$3:$R$3,0)),
"Error"))</f>
        <v>A1466</v>
      </c>
      <c r="J1471" s="75" t="str">
        <f aca="false">
IF($D1471="정상",INDEX(임대자산!$D$3:$R$3000,MATCH($F1471,임대자산!$I$3:$I$3000,0),MATCH(J$4,임대자산!$D$3:$R$3,0)),
IF($D1471="폐업",INDEX(폐업정보!$D$3:$R$3000,MATCH($F1471,폐업정보!$I$3:$I$3000,0),MATCH(J$4,폐업정보!$D$3:$R$3,0)),
"Error"))</f>
        <v>7515000000</v>
      </c>
      <c r="K1471" s="75" t="str">
        <f aca="false">
IF($D1471="정상",INDEX(임대자산!$D$3:$R$3000,MATCH($F1471,임대자산!$I$3:$I$3000,0),MATCH(K$4,임대자산!$D$3:$R$3,0)),
IF($D1471="폐업",INDEX(폐업정보!$D$3:$R$3000,MATCH($F1471,폐업정보!$I$3:$I$3000,0),MATCH(K$4,폐업정보!$D$3:$R$3,0)),
"Error"))</f>
        <v>C1466</v>
      </c>
      <c r="L1471" s="75" t="str">
        <f aca="false">
IF($D1471="정상",INDEX(임대자산!$D$3:$R$3000,MATCH($F1471,임대자산!$I$3:$I$3000,0),MATCH(L$4,임대자산!$D$3:$R$3,0)),
IF($D1471="폐업",INDEX(폐업정보!$D$3:$R$3000,MATCH($F1471,폐업정보!$I$3:$I$3000,0),MATCH(L$4,폐업정보!$D$3:$R$3,0)),
"Error"))</f>
        <v>D1466</v>
      </c>
      <c r="M1471" s="76" t="s">
        <v>96</v>
      </c>
      <c r="N1471" s="77"/>
      <c r="O1471" s="78" t="s">
        <v>97</v>
      </c>
      <c r="P1471" s="79" t="n">
        <f aca="false">COUNTIFS(임대자산!$I:$I,가맹점정보!F1471,임대자산!$N:$N,가맹점정보!P$4)</f>
        <v>0</v>
      </c>
      <c r="Q1471" s="80" t="n">
        <f aca="false">COUNTIFS(임대자산!$I:$I,가맹점정보!F1471,임대자산!$N:$N,가맹점정보!Q$4)</f>
        <v>0</v>
      </c>
      <c r="R1471" s="81" t="n">
        <f aca="false">COUNTIFS(임대자산!$I:$I,가맹점정보!F1471,임대자산!$N:$N,가맹점정보!R$4)</f>
        <v>1</v>
      </c>
      <c r="S1471" s="82" t="n">
        <v>55000</v>
      </c>
      <c r="T1471" s="83" t="n">
        <v>0</v>
      </c>
      <c r="U1471" s="80" t="n">
        <f aca="false">SUM(S1471:T1471)</f>
        <v>55000</v>
      </c>
      <c r="V1471" s="84" t="s">
        <v>7</v>
      </c>
      <c r="W1471" s="80" t="str">
        <f aca="true">
IF(D1471="폐업","폐업",
IF(V1471="면제","면제",
IF(AND(V1471="정상",COUNTIFS(OFFSET(Y1471,0,COUNTA(Y1471:AV1471)-1,1,-4),"미납")&gt;=3),"장기미납",
IF(AND(V1471="정상",OFFSET(Y1471,0,COUNTA(Y1471:AV1471)-1)&gt;=U1471),"정상",
IF(AND(V1471="정상",OFFSET(Y1471,0,COUNTA(Y1471:AV1471)-1)=0),"정상",
"계약서 미작성")))))</f>
        <v>면제</v>
      </c>
      <c r="X1471" s="81" t="str">
        <f aca="true">
IF(D1471="폐업","폐업",
IF(AND(V1471="정상",OFFSET(Y1471,0,COUNTA(Y1471:AV1471)-1)="미납"),"미납",
IF(AND(V1471="정상",OFFSET(Y1471,0,COUNTA(Y1471:AV1471)-1)=0),"납부 시작 전",
IF(AND(V1471="정상",OFFSET(Y1471,0,COUNTA(Y1471:AV1471)-1)&gt;=U1471),"정상",
IF(AND(V1471="면제",OFFSET(Y1471,0,COUNTA(Y1471:AV1471)-1)="면제"),"면제",
IF(AND(V1471="면제",OFFSET(Y1471,0,COUNTA(Y1471:AV1471)-1)=0),"면제",
"확인요청"))))))</f>
        <v>면제</v>
      </c>
      <c r="Y1471" s="94" t="s">
        <v>7</v>
      </c>
      <c r="Z1471" s="95" t="s">
        <v>7</v>
      </c>
      <c r="AA1471" s="95" t="s">
        <v>7</v>
      </c>
      <c r="AB1471" s="95" t="s">
        <v>7</v>
      </c>
      <c r="AC1471" s="95" t="s">
        <v>7</v>
      </c>
      <c r="AD1471" s="95" t="s">
        <v>7</v>
      </c>
      <c r="AE1471" s="95" t="s">
        <v>7</v>
      </c>
      <c r="AF1471" s="95" t="s">
        <v>7</v>
      </c>
      <c r="AG1471" s="95" t="s">
        <v>7</v>
      </c>
      <c r="AH1471" s="95" t="s">
        <v>7</v>
      </c>
      <c r="AI1471" s="95" t="s">
        <v>7</v>
      </c>
      <c r="AJ1471" s="96" t="s">
        <v>7</v>
      </c>
      <c r="AK1471" s="97" t="s">
        <v>7</v>
      </c>
      <c r="AL1471" s="95" t="s">
        <v>7</v>
      </c>
      <c r="AM1471" s="90"/>
      <c r="AN1471" s="90"/>
      <c r="AO1471" s="90"/>
      <c r="AP1471" s="90"/>
      <c r="AQ1471" s="90"/>
      <c r="AR1471" s="90"/>
      <c r="AS1471" s="90"/>
      <c r="AT1471" s="90"/>
      <c r="AU1471" s="90"/>
      <c r="AV1471" s="91"/>
      <c r="AX1471" s="92"/>
    </row>
    <row r="1472" customFormat="false" ht="15.65" hidden="false" customHeight="false" outlineLevel="0" collapsed="false">
      <c r="C1472" s="72" t="n">
        <f aca="false">COUNTIFS($D$6:D1472,"&lt;&gt;"&amp;"")</f>
        <v>1467</v>
      </c>
      <c r="D1472" s="73" t="s">
        <v>12</v>
      </c>
      <c r="E1472" s="76" t="str">
        <f aca="false">
IF($D1472="정상",INDEX(임대자산!$D$3:$R$3000,MATCH($F1472,임대자산!$I$3:$I$3000,0),MATCH(E$3,임대자산!$D$3:$R$3,0)),
IF($D1472="폐업",INDEX(폐업정보!$D$3:$R$3000,MATCH($F1472,폐업정보!$I$3:$I$3000,0),MATCH(E$3,폐업정보!$D$3:$R$3,0)),
"Error"))</f>
        <v>서울</v>
      </c>
      <c r="F147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B1467</v>
      </c>
      <c r="G1472" s="76" t="str">
        <f aca="false">F1472&amp;RANDBETWEEN(0,10)</f>
        <v>B14674</v>
      </c>
      <c r="H1472" s="75" t="n">
        <f aca="false">
IF($D1472="정상",INDEX(임대자산!$D$3:$R$3000,MATCH($F1472,임대자산!$I$3:$I$3000,0),MATCH(H$4,임대자산!$D$3:$R$3,0)),
IF($D1472="폐업",INDEX(폐업정보!$D$3:$R$3000,MATCH($F1472,폐업정보!$I$3:$I$3000,0),MATCH(H$4,폐업정보!$D$3:$R$3,0)),
"Error"))</f>
        <v>45380</v>
      </c>
      <c r="I1472" s="75" t="str">
        <f aca="false">
IF($D1472="정상",INDEX(임대자산!$D$3:$R$3000,MATCH($F1472,임대자산!$I$3:$I$3000,0),MATCH(I$4,임대자산!$D$3:$R$3,0)),
IF($D1472="폐업",INDEX(폐업정보!$D$3:$R$3000,MATCH($F1472,폐업정보!$I$3:$I$3000,0),MATCH(I$4,폐업정보!$D$3:$R$3,0)),
"Error"))</f>
        <v>A1467</v>
      </c>
      <c r="J1472" s="75" t="str">
        <f aca="false">
IF($D1472="정상",INDEX(임대자산!$D$3:$R$3000,MATCH($F1472,임대자산!$I$3:$I$3000,0),MATCH(J$4,임대자산!$D$3:$R$3,0)),
IF($D1472="폐업",INDEX(폐업정보!$D$3:$R$3000,MATCH($F1472,폐업정보!$I$3:$I$3000,0),MATCH(J$4,폐업정보!$D$3:$R$3,0)),
"Error"))</f>
        <v>1275200000</v>
      </c>
      <c r="K1472" s="75" t="str">
        <f aca="false">
IF($D1472="정상",INDEX(임대자산!$D$3:$R$3000,MATCH($F1472,임대자산!$I$3:$I$3000,0),MATCH(K$4,임대자산!$D$3:$R$3,0)),
IF($D1472="폐업",INDEX(폐업정보!$D$3:$R$3000,MATCH($F1472,폐업정보!$I$3:$I$3000,0),MATCH(K$4,폐업정보!$D$3:$R$3,0)),
"Error"))</f>
        <v>C1467</v>
      </c>
      <c r="L1472" s="75" t="str">
        <f aca="false">
IF($D1472="정상",INDEX(임대자산!$D$3:$R$3000,MATCH($F1472,임대자산!$I$3:$I$3000,0),MATCH(L$4,임대자산!$D$3:$R$3,0)),
IF($D1472="폐업",INDEX(폐업정보!$D$3:$R$3000,MATCH($F1472,폐업정보!$I$3:$I$3000,0),MATCH(L$4,폐업정보!$D$3:$R$3,0)),
"Error"))</f>
        <v>D1467</v>
      </c>
      <c r="M1472" s="76" t="s">
        <v>96</v>
      </c>
      <c r="N1472" s="77"/>
      <c r="O1472" s="78" t="s">
        <v>97</v>
      </c>
      <c r="P1472" s="79" t="n">
        <f aca="false">COUNTIFS(임대자산!$I:$I,가맹점정보!F1472,임대자산!$N:$N,가맹점정보!P$4)</f>
        <v>0</v>
      </c>
      <c r="Q1472" s="80" t="n">
        <f aca="false">COUNTIFS(임대자산!$I:$I,가맹점정보!F1472,임대자산!$N:$N,가맹점정보!Q$4)</f>
        <v>0</v>
      </c>
      <c r="R1472" s="81" t="n">
        <f aca="false">COUNTIFS(임대자산!$I:$I,가맹점정보!F1472,임대자산!$N:$N,가맹점정보!R$4)</f>
        <v>1</v>
      </c>
      <c r="S1472" s="82" t="n">
        <v>55000</v>
      </c>
      <c r="T1472" s="83" t="n">
        <v>0</v>
      </c>
      <c r="U1472" s="80" t="n">
        <f aca="false">SUM(S1472:T1472)</f>
        <v>55000</v>
      </c>
      <c r="V1472" s="84" t="s">
        <v>7</v>
      </c>
      <c r="W1472" s="80" t="str">
        <f aca="true">
IF(D1472="폐업","폐업",
IF(V1472="면제","면제",
IF(AND(V1472="정상",COUNTIFS(OFFSET(Y1472,0,COUNTA(Y1472:AV1472)-1,1,-4),"미납")&gt;=3),"장기미납",
IF(AND(V1472="정상",OFFSET(Y1472,0,COUNTA(Y1472:AV1472)-1)&gt;=U1472),"정상",
IF(AND(V1472="정상",OFFSET(Y1472,0,COUNTA(Y1472:AV1472)-1)=0),"정상",
"계약서 미작성")))))</f>
        <v>면제</v>
      </c>
      <c r="X1472" s="81" t="str">
        <f aca="true">
IF(D1472="폐업","폐업",
IF(AND(V1472="정상",OFFSET(Y1472,0,COUNTA(Y1472:AV1472)-1)="미납"),"미납",
IF(AND(V1472="정상",OFFSET(Y1472,0,COUNTA(Y1472:AV1472)-1)=0),"납부 시작 전",
IF(AND(V1472="정상",OFFSET(Y1472,0,COUNTA(Y1472:AV1472)-1)&gt;=U1472),"정상",
IF(AND(V1472="면제",OFFSET(Y1472,0,COUNTA(Y1472:AV1472)-1)="면제"),"면제",
IF(AND(V1472="면제",OFFSET(Y1472,0,COUNTA(Y1472:AV1472)-1)=0),"면제",
"확인요청"))))))</f>
        <v>면제</v>
      </c>
      <c r="Y1472" s="94" t="s">
        <v>7</v>
      </c>
      <c r="Z1472" s="95" t="s">
        <v>7</v>
      </c>
      <c r="AA1472" s="95" t="s">
        <v>7</v>
      </c>
      <c r="AB1472" s="95" t="s">
        <v>7</v>
      </c>
      <c r="AC1472" s="95" t="s">
        <v>7</v>
      </c>
      <c r="AD1472" s="95" t="s">
        <v>7</v>
      </c>
      <c r="AE1472" s="95" t="s">
        <v>7</v>
      </c>
      <c r="AF1472" s="95" t="s">
        <v>7</v>
      </c>
      <c r="AG1472" s="95" t="s">
        <v>7</v>
      </c>
      <c r="AH1472" s="95" t="s">
        <v>7</v>
      </c>
      <c r="AI1472" s="95" t="s">
        <v>7</v>
      </c>
      <c r="AJ1472" s="96" t="s">
        <v>7</v>
      </c>
      <c r="AK1472" s="97" t="s">
        <v>7</v>
      </c>
      <c r="AL1472" s="95" t="s">
        <v>7</v>
      </c>
      <c r="AM1472" s="90"/>
      <c r="AN1472" s="90"/>
      <c r="AO1472" s="90"/>
      <c r="AP1472" s="90"/>
      <c r="AQ1472" s="90"/>
      <c r="AR1472" s="90"/>
      <c r="AS1472" s="90"/>
      <c r="AT1472" s="90"/>
      <c r="AU1472" s="90"/>
      <c r="AV1472" s="91"/>
      <c r="AX1472" s="92"/>
    </row>
    <row r="1473" customFormat="false" ht="15.65" hidden="false" customHeight="false" outlineLevel="0" collapsed="false">
      <c r="C1473" s="72" t="n">
        <f aca="false">COUNTIFS($D$6:D1473,"&lt;&gt;"&amp;"")</f>
        <v>1468</v>
      </c>
      <c r="D1473" s="73" t="s">
        <v>12</v>
      </c>
      <c r="E1473" s="76" t="str">
        <f aca="false">
IF($D1473="정상",INDEX(임대자산!$D$3:$R$3000,MATCH($F1473,임대자산!$I$3:$I$3000,0),MATCH(E$3,임대자산!$D$3:$R$3,0)),
IF($D1473="폐업",INDEX(폐업정보!$D$3:$R$3000,MATCH($F1473,폐업정보!$I$3:$I$3000,0),MATCH(E$3,폐업정보!$D$3:$R$3,0)),
"Error"))</f>
        <v>서울</v>
      </c>
      <c r="F147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B1468</v>
      </c>
      <c r="G1473" s="76" t="str">
        <f aca="false">F1473&amp;RANDBETWEEN(0,10)</f>
        <v>B146810</v>
      </c>
      <c r="H1473" s="75" t="n">
        <f aca="false">
IF($D1473="정상",INDEX(임대자산!$D$3:$R$3000,MATCH($F1473,임대자산!$I$3:$I$3000,0),MATCH(H$4,임대자산!$D$3:$R$3,0)),
IF($D1473="폐업",INDEX(폐업정보!$D$3:$R$3000,MATCH($F1473,폐업정보!$I$3:$I$3000,0),MATCH(H$4,폐업정보!$D$3:$R$3,0)),
"Error"))</f>
        <v>45446</v>
      </c>
      <c r="I1473" s="75" t="str">
        <f aca="false">
IF($D1473="정상",INDEX(임대자산!$D$3:$R$3000,MATCH($F1473,임대자산!$I$3:$I$3000,0),MATCH(I$4,임대자산!$D$3:$R$3,0)),
IF($D1473="폐업",INDEX(폐업정보!$D$3:$R$3000,MATCH($F1473,폐업정보!$I$3:$I$3000,0),MATCH(I$4,폐업정보!$D$3:$R$3,0)),
"Error"))</f>
        <v>A1468</v>
      </c>
      <c r="J1473" s="75" t="str">
        <f aca="false">
IF($D1473="정상",INDEX(임대자산!$D$3:$R$3000,MATCH($F1473,임대자산!$I$3:$I$3000,0),MATCH(J$4,임대자산!$D$3:$R$3,0)),
IF($D1473="폐업",INDEX(폐업정보!$D$3:$R$3000,MATCH($F1473,폐업정보!$I$3:$I$3000,0),MATCH(J$4,폐업정보!$D$3:$R$3,0)),
"Error"))</f>
        <v>5460000000</v>
      </c>
      <c r="K1473" s="75" t="str">
        <f aca="false">
IF($D1473="정상",INDEX(임대자산!$D$3:$R$3000,MATCH($F1473,임대자산!$I$3:$I$3000,0),MATCH(K$4,임대자산!$D$3:$R$3,0)),
IF($D1473="폐업",INDEX(폐업정보!$D$3:$R$3000,MATCH($F1473,폐업정보!$I$3:$I$3000,0),MATCH(K$4,폐업정보!$D$3:$R$3,0)),
"Error"))</f>
        <v>C1468</v>
      </c>
      <c r="L1473" s="75" t="str">
        <f aca="false">
IF($D1473="정상",INDEX(임대자산!$D$3:$R$3000,MATCH($F1473,임대자산!$I$3:$I$3000,0),MATCH(L$4,임대자산!$D$3:$R$3,0)),
IF($D1473="폐업",INDEX(폐업정보!$D$3:$R$3000,MATCH($F1473,폐업정보!$I$3:$I$3000,0),MATCH(L$4,폐업정보!$D$3:$R$3,0)),
"Error"))</f>
        <v>D1468</v>
      </c>
      <c r="M1473" s="76" t="s">
        <v>96</v>
      </c>
      <c r="N1473" s="77"/>
      <c r="O1473" s="78" t="s">
        <v>97</v>
      </c>
      <c r="P1473" s="79" t="n">
        <f aca="false">COUNTIFS(임대자산!$I:$I,가맹점정보!F1473,임대자산!$N:$N,가맹점정보!P$4)</f>
        <v>0</v>
      </c>
      <c r="Q1473" s="80" t="n">
        <f aca="false">COUNTIFS(임대자산!$I:$I,가맹점정보!F1473,임대자산!$N:$N,가맹점정보!Q$4)</f>
        <v>0</v>
      </c>
      <c r="R1473" s="81" t="n">
        <f aca="false">COUNTIFS(임대자산!$I:$I,가맹점정보!F1473,임대자산!$N:$N,가맹점정보!R$4)</f>
        <v>1</v>
      </c>
      <c r="S1473" s="82" t="n">
        <v>55000</v>
      </c>
      <c r="T1473" s="83" t="n">
        <v>0</v>
      </c>
      <c r="U1473" s="80" t="n">
        <f aca="false">SUM(S1473:T1473)</f>
        <v>55000</v>
      </c>
      <c r="V1473" s="84" t="s">
        <v>7</v>
      </c>
      <c r="W1473" s="80" t="str">
        <f aca="true">
IF(D1473="폐업","폐업",
IF(V1473="면제","면제",
IF(AND(V1473="정상",COUNTIFS(OFFSET(Y1473,0,COUNTA(Y1473:AV1473)-1,1,-4),"미납")&gt;=3),"장기미납",
IF(AND(V1473="정상",OFFSET(Y1473,0,COUNTA(Y1473:AV1473)-1)&gt;=U1473),"정상",
IF(AND(V1473="정상",OFFSET(Y1473,0,COUNTA(Y1473:AV1473)-1)=0),"정상",
"계약서 미작성")))))</f>
        <v>면제</v>
      </c>
      <c r="X1473" s="81" t="str">
        <f aca="true">
IF(D1473="폐업","폐업",
IF(AND(V1473="정상",OFFSET(Y1473,0,COUNTA(Y1473:AV1473)-1)="미납"),"미납",
IF(AND(V1473="정상",OFFSET(Y1473,0,COUNTA(Y1473:AV1473)-1)=0),"납부 시작 전",
IF(AND(V1473="정상",OFFSET(Y1473,0,COUNTA(Y1473:AV1473)-1)&gt;=U1473),"정상",
IF(AND(V1473="면제",OFFSET(Y1473,0,COUNTA(Y1473:AV1473)-1)="면제"),"면제",
IF(AND(V1473="면제",OFFSET(Y1473,0,COUNTA(Y1473:AV1473)-1)=0),"면제",
"확인요청"))))))</f>
        <v>면제</v>
      </c>
      <c r="Y1473" s="94" t="s">
        <v>7</v>
      </c>
      <c r="Z1473" s="95" t="s">
        <v>7</v>
      </c>
      <c r="AA1473" s="95" t="s">
        <v>7</v>
      </c>
      <c r="AB1473" s="95" t="s">
        <v>7</v>
      </c>
      <c r="AC1473" s="95" t="s">
        <v>7</v>
      </c>
      <c r="AD1473" s="95" t="s">
        <v>7</v>
      </c>
      <c r="AE1473" s="95" t="s">
        <v>7</v>
      </c>
      <c r="AF1473" s="95" t="s">
        <v>7</v>
      </c>
      <c r="AG1473" s="95" t="s">
        <v>7</v>
      </c>
      <c r="AH1473" s="95" t="s">
        <v>7</v>
      </c>
      <c r="AI1473" s="95" t="s">
        <v>7</v>
      </c>
      <c r="AJ1473" s="96" t="s">
        <v>7</v>
      </c>
      <c r="AK1473" s="97" t="s">
        <v>7</v>
      </c>
      <c r="AL1473" s="95" t="s">
        <v>7</v>
      </c>
      <c r="AM1473" s="90"/>
      <c r="AN1473" s="90"/>
      <c r="AO1473" s="90"/>
      <c r="AP1473" s="90"/>
      <c r="AQ1473" s="90"/>
      <c r="AR1473" s="90"/>
      <c r="AS1473" s="90"/>
      <c r="AT1473" s="90"/>
      <c r="AU1473" s="90"/>
      <c r="AV1473" s="91"/>
      <c r="AX1473" s="92"/>
    </row>
    <row r="1474" customFormat="false" ht="15.65" hidden="false" customHeight="false" outlineLevel="0" collapsed="false">
      <c r="C1474" s="72" t="n">
        <f aca="false">COUNTIFS($D$6:D1474,"&lt;&gt;"&amp;"")</f>
        <v>1469</v>
      </c>
      <c r="D1474" s="73" t="s">
        <v>12</v>
      </c>
      <c r="E1474" s="76" t="str">
        <f aca="false">
IF($D1474="정상",INDEX(임대자산!$D$3:$R$3000,MATCH($F1474,임대자산!$I$3:$I$3000,0),MATCH(E$3,임대자산!$D$3:$R$3,0)),
IF($D1474="폐업",INDEX(폐업정보!$D$3:$R$3000,MATCH($F1474,폐업정보!$I$3:$I$3000,0),MATCH(E$3,폐업정보!$D$3:$R$3,0)),
"Error"))</f>
        <v>서울</v>
      </c>
      <c r="F147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B1469</v>
      </c>
      <c r="G1474" s="76" t="str">
        <f aca="false">F1474&amp;RANDBETWEEN(0,10)</f>
        <v>B14691</v>
      </c>
      <c r="H1474" s="75" t="n">
        <f aca="false">
IF($D1474="정상",INDEX(임대자산!$D$3:$R$3000,MATCH($F1474,임대자산!$I$3:$I$3000,0),MATCH(H$4,임대자산!$D$3:$R$3,0)),
IF($D1474="폐업",INDEX(폐업정보!$D$3:$R$3000,MATCH($F1474,폐업정보!$I$3:$I$3000,0),MATCH(H$4,폐업정보!$D$3:$R$3,0)),
"Error"))</f>
        <v>45447</v>
      </c>
      <c r="I1474" s="75" t="str">
        <f aca="false">
IF($D1474="정상",INDEX(임대자산!$D$3:$R$3000,MATCH($F1474,임대자산!$I$3:$I$3000,0),MATCH(I$4,임대자산!$D$3:$R$3,0)),
IF($D1474="폐업",INDEX(폐업정보!$D$3:$R$3000,MATCH($F1474,폐업정보!$I$3:$I$3000,0),MATCH(I$4,폐업정보!$D$3:$R$3,0)),
"Error"))</f>
        <v>A1469</v>
      </c>
      <c r="J1474" s="75" t="str">
        <f aca="false">
IF($D1474="정상",INDEX(임대자산!$D$3:$R$3000,MATCH($F1474,임대자산!$I$3:$I$3000,0),MATCH(J$4,임대자산!$D$3:$R$3,0)),
IF($D1474="폐업",INDEX(폐업정보!$D$3:$R$3000,MATCH($F1474,폐업정보!$I$3:$I$3000,0),MATCH(J$4,폐업정보!$D$3:$R$3,0)),
"Error"))</f>
        <v>1852800000</v>
      </c>
      <c r="K1474" s="75" t="str">
        <f aca="false">
IF($D1474="정상",INDEX(임대자산!$D$3:$R$3000,MATCH($F1474,임대자산!$I$3:$I$3000,0),MATCH(K$4,임대자산!$D$3:$R$3,0)),
IF($D1474="폐업",INDEX(폐업정보!$D$3:$R$3000,MATCH($F1474,폐업정보!$I$3:$I$3000,0),MATCH(K$4,폐업정보!$D$3:$R$3,0)),
"Error"))</f>
        <v>C1469</v>
      </c>
      <c r="L1474" s="75" t="str">
        <f aca="false">
IF($D1474="정상",INDEX(임대자산!$D$3:$R$3000,MATCH($F1474,임대자산!$I$3:$I$3000,0),MATCH(L$4,임대자산!$D$3:$R$3,0)),
IF($D1474="폐업",INDEX(폐업정보!$D$3:$R$3000,MATCH($F1474,폐업정보!$I$3:$I$3000,0),MATCH(L$4,폐업정보!$D$3:$R$3,0)),
"Error"))</f>
        <v>D1469</v>
      </c>
      <c r="M1474" s="76" t="s">
        <v>96</v>
      </c>
      <c r="N1474" s="77"/>
      <c r="O1474" s="78" t="s">
        <v>97</v>
      </c>
      <c r="P1474" s="79" t="n">
        <f aca="false">COUNTIFS(임대자산!$I:$I,가맹점정보!F1474,임대자산!$N:$N,가맹점정보!P$4)</f>
        <v>0</v>
      </c>
      <c r="Q1474" s="80" t="n">
        <f aca="false">COUNTIFS(임대자산!$I:$I,가맹점정보!F1474,임대자산!$N:$N,가맹점정보!Q$4)</f>
        <v>0</v>
      </c>
      <c r="R1474" s="81" t="n">
        <f aca="false">COUNTIFS(임대자산!$I:$I,가맹점정보!F1474,임대자산!$N:$N,가맹점정보!R$4)</f>
        <v>1</v>
      </c>
      <c r="S1474" s="82" t="n">
        <v>55000</v>
      </c>
      <c r="T1474" s="83" t="n">
        <v>0</v>
      </c>
      <c r="U1474" s="80" t="n">
        <f aca="false">SUM(S1474:T1474)</f>
        <v>55000</v>
      </c>
      <c r="V1474" s="84" t="s">
        <v>7</v>
      </c>
      <c r="W1474" s="80" t="str">
        <f aca="true">
IF(D1474="폐업","폐업",
IF(V1474="면제","면제",
IF(AND(V1474="정상",COUNTIFS(OFFSET(Y1474,0,COUNTA(Y1474:AV1474)-1,1,-4),"미납")&gt;=3),"장기미납",
IF(AND(V1474="정상",OFFSET(Y1474,0,COUNTA(Y1474:AV1474)-1)&gt;=U1474),"정상",
IF(AND(V1474="정상",OFFSET(Y1474,0,COUNTA(Y1474:AV1474)-1)=0),"정상",
"계약서 미작성")))))</f>
        <v>면제</v>
      </c>
      <c r="X1474" s="81" t="str">
        <f aca="true">
IF(D1474="폐업","폐업",
IF(AND(V1474="정상",OFFSET(Y1474,0,COUNTA(Y1474:AV1474)-1)="미납"),"미납",
IF(AND(V1474="정상",OFFSET(Y1474,0,COUNTA(Y1474:AV1474)-1)=0),"납부 시작 전",
IF(AND(V1474="정상",OFFSET(Y1474,0,COUNTA(Y1474:AV1474)-1)&gt;=U1474),"정상",
IF(AND(V1474="면제",OFFSET(Y1474,0,COUNTA(Y1474:AV1474)-1)="면제"),"면제",
IF(AND(V1474="면제",OFFSET(Y1474,0,COUNTA(Y1474:AV1474)-1)=0),"면제",
"확인요청"))))))</f>
        <v>면제</v>
      </c>
      <c r="Y1474" s="94" t="s">
        <v>7</v>
      </c>
      <c r="Z1474" s="95" t="s">
        <v>7</v>
      </c>
      <c r="AA1474" s="95" t="s">
        <v>7</v>
      </c>
      <c r="AB1474" s="95" t="s">
        <v>7</v>
      </c>
      <c r="AC1474" s="95" t="s">
        <v>7</v>
      </c>
      <c r="AD1474" s="95" t="s">
        <v>7</v>
      </c>
      <c r="AE1474" s="95" t="s">
        <v>7</v>
      </c>
      <c r="AF1474" s="95" t="s">
        <v>7</v>
      </c>
      <c r="AG1474" s="95" t="s">
        <v>7</v>
      </c>
      <c r="AH1474" s="95" t="s">
        <v>7</v>
      </c>
      <c r="AI1474" s="95" t="s">
        <v>7</v>
      </c>
      <c r="AJ1474" s="96" t="s">
        <v>7</v>
      </c>
      <c r="AK1474" s="97" t="s">
        <v>7</v>
      </c>
      <c r="AL1474" s="95" t="s">
        <v>7</v>
      </c>
      <c r="AM1474" s="90"/>
      <c r="AN1474" s="90"/>
      <c r="AO1474" s="90"/>
      <c r="AP1474" s="90"/>
      <c r="AQ1474" s="90"/>
      <c r="AR1474" s="90"/>
      <c r="AS1474" s="90"/>
      <c r="AT1474" s="90"/>
      <c r="AU1474" s="90"/>
      <c r="AV1474" s="91"/>
      <c r="AX1474" s="92"/>
    </row>
    <row r="1475" customFormat="false" ht="15.65" hidden="false" customHeight="false" outlineLevel="0" collapsed="false">
      <c r="C1475" s="72" t="n">
        <f aca="false">COUNTIFS($D$6:D1475,"&lt;&gt;"&amp;"")</f>
        <v>1470</v>
      </c>
      <c r="D1475" s="73" t="s">
        <v>12</v>
      </c>
      <c r="E1475" s="76" t="str">
        <f aca="false">
IF($D1475="정상",INDEX(임대자산!$D$3:$R$3000,MATCH($F1475,임대자산!$I$3:$I$3000,0),MATCH(E$3,임대자산!$D$3:$R$3,0)),
IF($D1475="폐업",INDEX(폐업정보!$D$3:$R$3000,MATCH($F1475,폐업정보!$I$3:$I$3000,0),MATCH(E$3,폐업정보!$D$3:$R$3,0)),
"Error"))</f>
        <v>서울</v>
      </c>
      <c r="F147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B1470</v>
      </c>
      <c r="G1475" s="76" t="str">
        <f aca="false">F1475&amp;RANDBETWEEN(0,10)</f>
        <v>B14701</v>
      </c>
      <c r="H1475" s="75" t="n">
        <f aca="false">
IF($D1475="정상",INDEX(임대자산!$D$3:$R$3000,MATCH($F1475,임대자산!$I$3:$I$3000,0),MATCH(H$4,임대자산!$D$3:$R$3,0)),
IF($D1475="폐업",INDEX(폐업정보!$D$3:$R$3000,MATCH($F1475,폐업정보!$I$3:$I$3000,0),MATCH(H$4,폐업정보!$D$3:$R$3,0)),
"Error"))</f>
        <v>45447</v>
      </c>
      <c r="I1475" s="75" t="str">
        <f aca="false">
IF($D1475="정상",INDEX(임대자산!$D$3:$R$3000,MATCH($F1475,임대자산!$I$3:$I$3000,0),MATCH(I$4,임대자산!$D$3:$R$3,0)),
IF($D1475="폐업",INDEX(폐업정보!$D$3:$R$3000,MATCH($F1475,폐업정보!$I$3:$I$3000,0),MATCH(I$4,폐업정보!$D$3:$R$3,0)),
"Error"))</f>
        <v>A1470</v>
      </c>
      <c r="J1475" s="75" t="str">
        <f aca="false">
IF($D1475="정상",INDEX(임대자산!$D$3:$R$3000,MATCH($F1475,임대자산!$I$3:$I$3000,0),MATCH(J$4,임대자산!$D$3:$R$3,0)),
IF($D1475="폐업",INDEX(폐업정보!$D$3:$R$3000,MATCH($F1475,폐업정보!$I$3:$I$3000,0),MATCH(J$4,폐업정보!$D$3:$R$3,0)),
"Error"))</f>
        <v>9634800000</v>
      </c>
      <c r="K1475" s="75" t="str">
        <f aca="false">
IF($D1475="정상",INDEX(임대자산!$D$3:$R$3000,MATCH($F1475,임대자산!$I$3:$I$3000,0),MATCH(K$4,임대자산!$D$3:$R$3,0)),
IF($D1475="폐업",INDEX(폐업정보!$D$3:$R$3000,MATCH($F1475,폐업정보!$I$3:$I$3000,0),MATCH(K$4,폐업정보!$D$3:$R$3,0)),
"Error"))</f>
        <v>C1470</v>
      </c>
      <c r="L1475" s="75" t="str">
        <f aca="false">
IF($D1475="정상",INDEX(임대자산!$D$3:$R$3000,MATCH($F1475,임대자산!$I$3:$I$3000,0),MATCH(L$4,임대자산!$D$3:$R$3,0)),
IF($D1475="폐업",INDEX(폐업정보!$D$3:$R$3000,MATCH($F1475,폐업정보!$I$3:$I$3000,0),MATCH(L$4,폐업정보!$D$3:$R$3,0)),
"Error"))</f>
        <v>D1470</v>
      </c>
      <c r="M1475" s="76" t="s">
        <v>96</v>
      </c>
      <c r="N1475" s="77"/>
      <c r="O1475" s="78" t="s">
        <v>97</v>
      </c>
      <c r="P1475" s="79" t="n">
        <f aca="false">COUNTIFS(임대자산!$I:$I,가맹점정보!F1475,임대자산!$N:$N,가맹점정보!P$4)</f>
        <v>0</v>
      </c>
      <c r="Q1475" s="80" t="n">
        <f aca="false">COUNTIFS(임대자산!$I:$I,가맹점정보!F1475,임대자산!$N:$N,가맹점정보!Q$4)</f>
        <v>0</v>
      </c>
      <c r="R1475" s="81" t="n">
        <f aca="false">COUNTIFS(임대자산!$I:$I,가맹점정보!F1475,임대자산!$N:$N,가맹점정보!R$4)</f>
        <v>1</v>
      </c>
      <c r="S1475" s="82" t="n">
        <v>55000</v>
      </c>
      <c r="T1475" s="83" t="n">
        <v>0</v>
      </c>
      <c r="U1475" s="80" t="n">
        <f aca="false">SUM(S1475:T1475)</f>
        <v>55000</v>
      </c>
      <c r="V1475" s="84" t="s">
        <v>7</v>
      </c>
      <c r="W1475" s="80" t="str">
        <f aca="true">
IF(D1475="폐업","폐업",
IF(V1475="면제","면제",
IF(AND(V1475="정상",COUNTIFS(OFFSET(Y1475,0,COUNTA(Y1475:AV1475)-1,1,-4),"미납")&gt;=3),"장기미납",
IF(AND(V1475="정상",OFFSET(Y1475,0,COUNTA(Y1475:AV1475)-1)&gt;=U1475),"정상",
IF(AND(V1475="정상",OFFSET(Y1475,0,COUNTA(Y1475:AV1475)-1)=0),"정상",
"계약서 미작성")))))</f>
        <v>면제</v>
      </c>
      <c r="X1475" s="81" t="str">
        <f aca="true">
IF(D1475="폐업","폐업",
IF(AND(V1475="정상",OFFSET(Y1475,0,COUNTA(Y1475:AV1475)-1)="미납"),"미납",
IF(AND(V1475="정상",OFFSET(Y1475,0,COUNTA(Y1475:AV1475)-1)=0),"납부 시작 전",
IF(AND(V1475="정상",OFFSET(Y1475,0,COUNTA(Y1475:AV1475)-1)&gt;=U1475),"정상",
IF(AND(V1475="면제",OFFSET(Y1475,0,COUNTA(Y1475:AV1475)-1)="면제"),"면제",
IF(AND(V1475="면제",OFFSET(Y1475,0,COUNTA(Y1475:AV1475)-1)=0),"면제",
"확인요청"))))))</f>
        <v>면제</v>
      </c>
      <c r="Y1475" s="94" t="s">
        <v>7</v>
      </c>
      <c r="Z1475" s="95" t="s">
        <v>7</v>
      </c>
      <c r="AA1475" s="95" t="s">
        <v>7</v>
      </c>
      <c r="AB1475" s="95" t="s">
        <v>7</v>
      </c>
      <c r="AC1475" s="95" t="s">
        <v>7</v>
      </c>
      <c r="AD1475" s="95" t="s">
        <v>7</v>
      </c>
      <c r="AE1475" s="95" t="s">
        <v>7</v>
      </c>
      <c r="AF1475" s="95" t="s">
        <v>7</v>
      </c>
      <c r="AG1475" s="95" t="s">
        <v>7</v>
      </c>
      <c r="AH1475" s="95" t="s">
        <v>7</v>
      </c>
      <c r="AI1475" s="95" t="s">
        <v>7</v>
      </c>
      <c r="AJ1475" s="96" t="s">
        <v>7</v>
      </c>
      <c r="AK1475" s="97" t="s">
        <v>7</v>
      </c>
      <c r="AL1475" s="95" t="s">
        <v>7</v>
      </c>
      <c r="AM1475" s="90"/>
      <c r="AN1475" s="90"/>
      <c r="AO1475" s="90"/>
      <c r="AP1475" s="90"/>
      <c r="AQ1475" s="90"/>
      <c r="AR1475" s="90"/>
      <c r="AS1475" s="90"/>
      <c r="AT1475" s="90"/>
      <c r="AU1475" s="90"/>
      <c r="AV1475" s="91"/>
      <c r="AX1475" s="92"/>
    </row>
    <row r="1476" customFormat="false" ht="15.65" hidden="false" customHeight="false" outlineLevel="0" collapsed="false">
      <c r="C1476" s="72" t="n">
        <f aca="false">COUNTIFS($D$6:D1476,"&lt;&gt;"&amp;"")</f>
        <v>1471</v>
      </c>
      <c r="D1476" s="73" t="s">
        <v>12</v>
      </c>
      <c r="E1476" s="76" t="str">
        <f aca="false">
IF($D1476="정상",INDEX(임대자산!$D$3:$R$3000,MATCH($F1476,임대자산!$I$3:$I$3000,0),MATCH(E$3,임대자산!$D$3:$R$3,0)),
IF($D1476="폐업",INDEX(폐업정보!$D$3:$R$3000,MATCH($F1476,폐업정보!$I$3:$I$3000,0),MATCH(E$3,폐업정보!$D$3:$R$3,0)),
"Error"))</f>
        <v>서울</v>
      </c>
      <c r="F147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B1471</v>
      </c>
      <c r="G1476" s="76" t="str">
        <f aca="false">F1476&amp;RANDBETWEEN(0,10)</f>
        <v>B14713</v>
      </c>
      <c r="H1476" s="75" t="n">
        <f aca="false">
IF($D1476="정상",INDEX(임대자산!$D$3:$R$3000,MATCH($F1476,임대자산!$I$3:$I$3000,0),MATCH(H$4,임대자산!$D$3:$R$3,0)),
IF($D1476="폐업",INDEX(폐업정보!$D$3:$R$3000,MATCH($F1476,폐업정보!$I$3:$I$3000,0),MATCH(H$4,폐업정보!$D$3:$R$3,0)),
"Error"))</f>
        <v>45428</v>
      </c>
      <c r="I1476" s="75" t="str">
        <f aca="false">
IF($D1476="정상",INDEX(임대자산!$D$3:$R$3000,MATCH($F1476,임대자산!$I$3:$I$3000,0),MATCH(I$4,임대자산!$D$3:$R$3,0)),
IF($D1476="폐업",INDEX(폐업정보!$D$3:$R$3000,MATCH($F1476,폐업정보!$I$3:$I$3000,0),MATCH(I$4,폐업정보!$D$3:$R$3,0)),
"Error"))</f>
        <v>A1471</v>
      </c>
      <c r="J1476" s="75" t="str">
        <f aca="false">
IF($D1476="정상",INDEX(임대자산!$D$3:$R$3000,MATCH($F1476,임대자산!$I$3:$I$3000,0),MATCH(J$4,임대자산!$D$3:$R$3,0)),
IF($D1476="폐업",INDEX(폐업정보!$D$3:$R$3000,MATCH($F1476,폐업정보!$I$3:$I$3000,0),MATCH(J$4,폐업정보!$D$3:$R$3,0)),
"Error"))</f>
        <v>5229600000</v>
      </c>
      <c r="K1476" s="75" t="str">
        <f aca="false">
IF($D1476="정상",INDEX(임대자산!$D$3:$R$3000,MATCH($F1476,임대자산!$I$3:$I$3000,0),MATCH(K$4,임대자산!$D$3:$R$3,0)),
IF($D1476="폐업",INDEX(폐업정보!$D$3:$R$3000,MATCH($F1476,폐업정보!$I$3:$I$3000,0),MATCH(K$4,폐업정보!$D$3:$R$3,0)),
"Error"))</f>
        <v>C1471</v>
      </c>
      <c r="L1476" s="75" t="str">
        <f aca="false">
IF($D1476="정상",INDEX(임대자산!$D$3:$R$3000,MATCH($F1476,임대자산!$I$3:$I$3000,0),MATCH(L$4,임대자산!$D$3:$R$3,0)),
IF($D1476="폐업",INDEX(폐업정보!$D$3:$R$3000,MATCH($F1476,폐업정보!$I$3:$I$3000,0),MATCH(L$4,폐업정보!$D$3:$R$3,0)),
"Error"))</f>
        <v>D1471</v>
      </c>
      <c r="M1476" s="76" t="s">
        <v>96</v>
      </c>
      <c r="N1476" s="77"/>
      <c r="O1476" s="78" t="s">
        <v>97</v>
      </c>
      <c r="P1476" s="79" t="n">
        <f aca="false">COUNTIFS(임대자산!$I:$I,가맹점정보!F1476,임대자산!$N:$N,가맹점정보!P$4)</f>
        <v>0</v>
      </c>
      <c r="Q1476" s="80" t="n">
        <f aca="false">COUNTIFS(임대자산!$I:$I,가맹점정보!F1476,임대자산!$N:$N,가맹점정보!Q$4)</f>
        <v>0</v>
      </c>
      <c r="R1476" s="81" t="n">
        <f aca="false">COUNTIFS(임대자산!$I:$I,가맹점정보!F1476,임대자산!$N:$N,가맹점정보!R$4)</f>
        <v>1</v>
      </c>
      <c r="S1476" s="82" t="n">
        <v>55000</v>
      </c>
      <c r="T1476" s="83" t="n">
        <v>0</v>
      </c>
      <c r="U1476" s="80" t="n">
        <f aca="false">SUM(S1476:T1476)</f>
        <v>55000</v>
      </c>
      <c r="V1476" s="84" t="s">
        <v>12</v>
      </c>
      <c r="W1476" s="80" t="e">
        <f aca="true">
IF(D1476="폐업","폐업",
IF(V1476="면제","면제",
IF(AND(V1476="정상",COUNTIFS(OFFSET(Y1476,0,COUNTA(Y1476:AV1476)-1,1,-4),"미납")&gt;=3),"장기미납",
IF(AND(V1476="정상",OFFSET(Y1476,0,COUNTA(Y1476:AV1476)-1)&gt;=U1476),"정상",
IF(AND(V1476="정상",OFFSET(Y1476,0,COUNTA(Y1476:AV1476)-1)=0),"정상",
"계약서 미작성")))))</f>
        <v>#VALUE!</v>
      </c>
      <c r="X1476" s="81" t="str">
        <f aca="true">
IF(D1476="폐업","폐업",
IF(AND(V1476="정상",OFFSET(Y1476,0,COUNTA(Y1476:AV1476)-1)="미납"),"미납",
IF(AND(V1476="정상",OFFSET(Y1476,0,COUNTA(Y1476:AV1476)-1)=0),"납부 시작 전",
IF(AND(V1476="정상",OFFSET(Y1476,0,COUNTA(Y1476:AV1476)-1)&gt;=U1476),"정상",
IF(AND(V1476="면제",OFFSET(Y1476,0,COUNTA(Y1476:AV1476)-1)="면제"),"면제",
IF(AND(V1476="면제",OFFSET(Y1476,0,COUNTA(Y1476:AV1476)-1)=0),"면제",
"확인요청"))))))</f>
        <v>정상</v>
      </c>
      <c r="Y1476" s="93" t="n">
        <v>55000</v>
      </c>
      <c r="Z1476" s="90" t="n">
        <v>55000</v>
      </c>
      <c r="AA1476" s="90" t="n">
        <v>55000</v>
      </c>
      <c r="AB1476" s="90" t="n">
        <v>55000</v>
      </c>
      <c r="AC1476" s="90" t="n">
        <v>55000</v>
      </c>
      <c r="AD1476" s="90" t="n">
        <v>55000</v>
      </c>
      <c r="AE1476" s="90" t="n">
        <v>55000</v>
      </c>
      <c r="AF1476" s="90" t="n">
        <v>55000</v>
      </c>
      <c r="AG1476" s="90" t="n">
        <v>55000</v>
      </c>
      <c r="AH1476" s="90" t="n">
        <v>55000</v>
      </c>
      <c r="AI1476" s="90" t="n">
        <v>55000</v>
      </c>
      <c r="AJ1476" s="91" t="n">
        <v>55000</v>
      </c>
      <c r="AK1476" s="89" t="n">
        <v>55000</v>
      </c>
      <c r="AL1476" s="90" t="n">
        <v>55000</v>
      </c>
      <c r="AM1476" s="90"/>
      <c r="AN1476" s="90"/>
      <c r="AO1476" s="90"/>
      <c r="AP1476" s="90"/>
      <c r="AQ1476" s="90"/>
      <c r="AR1476" s="90"/>
      <c r="AS1476" s="90"/>
      <c r="AT1476" s="90"/>
      <c r="AU1476" s="90"/>
      <c r="AV1476" s="91"/>
      <c r="AX1476" s="92"/>
    </row>
    <row r="1477" customFormat="false" ht="15.65" hidden="false" customHeight="false" outlineLevel="0" collapsed="false">
      <c r="C1477" s="72" t="n">
        <f aca="false">COUNTIFS($D$6:D1477,"&lt;&gt;"&amp;"")</f>
        <v>1472</v>
      </c>
      <c r="D1477" s="73" t="s">
        <v>12</v>
      </c>
      <c r="E1477" s="76" t="str">
        <f aca="false">
IF($D1477="정상",INDEX(임대자산!$D$3:$R$3000,MATCH($F1477,임대자산!$I$3:$I$3000,0),MATCH(E$3,임대자산!$D$3:$R$3,0)),
IF($D1477="폐업",INDEX(폐업정보!$D$3:$R$3000,MATCH($F1477,폐업정보!$I$3:$I$3000,0),MATCH(E$3,폐업정보!$D$3:$R$3,0)),
"Error"))</f>
        <v>경상</v>
      </c>
      <c r="F147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B1472</v>
      </c>
      <c r="G1477" s="76" t="str">
        <f aca="false">F1477&amp;RANDBETWEEN(0,10)</f>
        <v>B14726</v>
      </c>
      <c r="H1477" s="75" t="n">
        <f aca="false">
IF($D1477="정상",INDEX(임대자산!$D$3:$R$3000,MATCH($F1477,임대자산!$I$3:$I$3000,0),MATCH(H$4,임대자산!$D$3:$R$3,0)),
IF($D1477="폐업",INDEX(폐업정보!$D$3:$R$3000,MATCH($F1477,폐업정보!$I$3:$I$3000,0),MATCH(H$4,폐업정보!$D$3:$R$3,0)),
"Error"))</f>
        <v>45467</v>
      </c>
      <c r="I1477" s="75" t="str">
        <f aca="false">
IF($D1477="정상",INDEX(임대자산!$D$3:$R$3000,MATCH($F1477,임대자산!$I$3:$I$3000,0),MATCH(I$4,임대자산!$D$3:$R$3,0)),
IF($D1477="폐업",INDEX(폐업정보!$D$3:$R$3000,MATCH($F1477,폐업정보!$I$3:$I$3000,0),MATCH(I$4,폐업정보!$D$3:$R$3,0)),
"Error"))</f>
        <v>A1472</v>
      </c>
      <c r="J1477" s="75" t="str">
        <f aca="false">
IF($D1477="정상",INDEX(임대자산!$D$3:$R$3000,MATCH($F1477,임대자산!$I$3:$I$3000,0),MATCH(J$4,임대자산!$D$3:$R$3,0)),
IF($D1477="폐업",INDEX(폐업정보!$D$3:$R$3000,MATCH($F1477,폐업정보!$I$3:$I$3000,0),MATCH(J$4,폐업정보!$D$3:$R$3,0)),
"Error"))</f>
        <v>9528900000</v>
      </c>
      <c r="K1477" s="75" t="str">
        <f aca="false">
IF($D1477="정상",INDEX(임대자산!$D$3:$R$3000,MATCH($F1477,임대자산!$I$3:$I$3000,0),MATCH(K$4,임대자산!$D$3:$R$3,0)),
IF($D1477="폐업",INDEX(폐업정보!$D$3:$R$3000,MATCH($F1477,폐업정보!$I$3:$I$3000,0),MATCH(K$4,폐업정보!$D$3:$R$3,0)),
"Error"))</f>
        <v>C1472</v>
      </c>
      <c r="L1477" s="75" t="str">
        <f aca="false">
IF($D1477="정상",INDEX(임대자산!$D$3:$R$3000,MATCH($F1477,임대자산!$I$3:$I$3000,0),MATCH(L$4,임대자산!$D$3:$R$3,0)),
IF($D1477="폐업",INDEX(폐업정보!$D$3:$R$3000,MATCH($F1477,폐업정보!$I$3:$I$3000,0),MATCH(L$4,폐업정보!$D$3:$R$3,0)),
"Error"))</f>
        <v>D1472</v>
      </c>
      <c r="M1477" s="76" t="s">
        <v>96</v>
      </c>
      <c r="N1477" s="77"/>
      <c r="O1477" s="78" t="s">
        <v>97</v>
      </c>
      <c r="P1477" s="79" t="n">
        <f aca="false">COUNTIFS(임대자산!$I:$I,가맹점정보!F1477,임대자산!$N:$N,가맹점정보!P$4)</f>
        <v>0</v>
      </c>
      <c r="Q1477" s="80" t="n">
        <f aca="false">COUNTIFS(임대자산!$I:$I,가맹점정보!F1477,임대자산!$N:$N,가맹점정보!Q$4)</f>
        <v>0</v>
      </c>
      <c r="R1477" s="81" t="n">
        <f aca="false">COUNTIFS(임대자산!$I:$I,가맹점정보!F1477,임대자산!$N:$N,가맹점정보!R$4)</f>
        <v>1</v>
      </c>
      <c r="S1477" s="82" t="n">
        <v>55000</v>
      </c>
      <c r="T1477" s="83" t="n">
        <v>0</v>
      </c>
      <c r="U1477" s="80" t="n">
        <f aca="false">SUM(S1477:T1477)</f>
        <v>55000</v>
      </c>
      <c r="V1477" s="84" t="s">
        <v>7</v>
      </c>
      <c r="W1477" s="80" t="str">
        <f aca="true">
IF(D1477="폐업","폐업",
IF(V1477="면제","면제",
IF(AND(V1477="정상",COUNTIFS(OFFSET(Y1477,0,COUNTA(Y1477:AV1477)-1,1,-4),"미납")&gt;=3),"장기미납",
IF(AND(V1477="정상",OFFSET(Y1477,0,COUNTA(Y1477:AV1477)-1)&gt;=U1477),"정상",
IF(AND(V1477="정상",OFFSET(Y1477,0,COUNTA(Y1477:AV1477)-1)=0),"정상",
"계약서 미작성")))))</f>
        <v>면제</v>
      </c>
      <c r="X1477" s="81" t="str">
        <f aca="true">
IF(D1477="폐업","폐업",
IF(AND(V1477="정상",OFFSET(Y1477,0,COUNTA(Y1477:AV1477)-1)="미납"),"미납",
IF(AND(V1477="정상",OFFSET(Y1477,0,COUNTA(Y1477:AV1477)-1)=0),"납부 시작 전",
IF(AND(V1477="정상",OFFSET(Y1477,0,COUNTA(Y1477:AV1477)-1)&gt;=U1477),"정상",
IF(AND(V1477="면제",OFFSET(Y1477,0,COUNTA(Y1477:AV1477)-1)="면제"),"면제",
IF(AND(V1477="면제",OFFSET(Y1477,0,COUNTA(Y1477:AV1477)-1)=0),"면제",
"확인요청"))))))</f>
        <v>면제</v>
      </c>
      <c r="Y1477" s="94" t="s">
        <v>7</v>
      </c>
      <c r="Z1477" s="95" t="s">
        <v>7</v>
      </c>
      <c r="AA1477" s="95" t="s">
        <v>7</v>
      </c>
      <c r="AB1477" s="95" t="s">
        <v>7</v>
      </c>
      <c r="AC1477" s="95" t="s">
        <v>7</v>
      </c>
      <c r="AD1477" s="95" t="s">
        <v>7</v>
      </c>
      <c r="AE1477" s="95" t="s">
        <v>7</v>
      </c>
      <c r="AF1477" s="95" t="s">
        <v>7</v>
      </c>
      <c r="AG1477" s="95" t="s">
        <v>7</v>
      </c>
      <c r="AH1477" s="95" t="s">
        <v>7</v>
      </c>
      <c r="AI1477" s="95" t="s">
        <v>7</v>
      </c>
      <c r="AJ1477" s="96" t="s">
        <v>7</v>
      </c>
      <c r="AK1477" s="97" t="s">
        <v>7</v>
      </c>
      <c r="AL1477" s="95" t="s">
        <v>7</v>
      </c>
      <c r="AM1477" s="90"/>
      <c r="AN1477" s="90"/>
      <c r="AO1477" s="90"/>
      <c r="AP1477" s="90"/>
      <c r="AQ1477" s="90"/>
      <c r="AR1477" s="90"/>
      <c r="AS1477" s="90"/>
      <c r="AT1477" s="90"/>
      <c r="AU1477" s="90"/>
      <c r="AV1477" s="91"/>
      <c r="AX1477" s="92"/>
    </row>
    <row r="1478" customFormat="false" ht="15.65" hidden="false" customHeight="false" outlineLevel="0" collapsed="false">
      <c r="C1478" s="72" t="n">
        <f aca="false">COUNTIFS($D$6:D1478,"&lt;&gt;"&amp;"")</f>
        <v>1473</v>
      </c>
      <c r="D1478" s="73" t="s">
        <v>12</v>
      </c>
      <c r="E1478" s="76" t="str">
        <f aca="false">
IF($D1478="정상",INDEX(임대자산!$D$3:$R$3000,MATCH($F1478,임대자산!$I$3:$I$3000,0),MATCH(E$3,임대자산!$D$3:$R$3,0)),
IF($D1478="폐업",INDEX(폐업정보!$D$3:$R$3000,MATCH($F1478,폐업정보!$I$3:$I$3000,0),MATCH(E$3,폐업정보!$D$3:$R$3,0)),
"Error"))</f>
        <v>서울</v>
      </c>
      <c r="F147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B1473</v>
      </c>
      <c r="G1478" s="76" t="str">
        <f aca="false">F1478&amp;RANDBETWEEN(0,10)</f>
        <v>B14739</v>
      </c>
      <c r="H1478" s="75" t="n">
        <f aca="false">
IF($D1478="정상",INDEX(임대자산!$D$3:$R$3000,MATCH($F1478,임대자산!$I$3:$I$3000,0),MATCH(H$4,임대자산!$D$3:$R$3,0)),
IF($D1478="폐업",INDEX(폐업정보!$D$3:$R$3000,MATCH($F1478,폐업정보!$I$3:$I$3000,0),MATCH(H$4,폐업정보!$D$3:$R$3,0)),
"Error"))</f>
        <v>45889</v>
      </c>
      <c r="I1478" s="75" t="str">
        <f aca="false">
IF($D1478="정상",INDEX(임대자산!$D$3:$R$3000,MATCH($F1478,임대자산!$I$3:$I$3000,0),MATCH(I$4,임대자산!$D$3:$R$3,0)),
IF($D1478="폐업",INDEX(폐업정보!$D$3:$R$3000,MATCH($F1478,폐업정보!$I$3:$I$3000,0),MATCH(I$4,폐업정보!$D$3:$R$3,0)),
"Error"))</f>
        <v>A1473</v>
      </c>
      <c r="J1478" s="75" t="str">
        <f aca="false">
IF($D1478="정상",INDEX(임대자산!$D$3:$R$3000,MATCH($F1478,임대자산!$I$3:$I$3000,0),MATCH(J$4,임대자산!$D$3:$R$3,0)),
IF($D1478="폐업",INDEX(폐업정보!$D$3:$R$3000,MATCH($F1478,폐업정보!$I$3:$I$3000,0),MATCH(J$4,폐업정보!$D$3:$R$3,0)),
"Error"))</f>
        <v>7230300000</v>
      </c>
      <c r="K1478" s="75" t="str">
        <f aca="false">
IF($D1478="정상",INDEX(임대자산!$D$3:$R$3000,MATCH($F1478,임대자산!$I$3:$I$3000,0),MATCH(K$4,임대자산!$D$3:$R$3,0)),
IF($D1478="폐업",INDEX(폐업정보!$D$3:$R$3000,MATCH($F1478,폐업정보!$I$3:$I$3000,0),MATCH(K$4,폐업정보!$D$3:$R$3,0)),
"Error"))</f>
        <v>C1473</v>
      </c>
      <c r="L1478" s="75" t="str">
        <f aca="false">
IF($D1478="정상",INDEX(임대자산!$D$3:$R$3000,MATCH($F1478,임대자산!$I$3:$I$3000,0),MATCH(L$4,임대자산!$D$3:$R$3,0)),
IF($D1478="폐업",INDEX(폐업정보!$D$3:$R$3000,MATCH($F1478,폐업정보!$I$3:$I$3000,0),MATCH(L$4,폐업정보!$D$3:$R$3,0)),
"Error"))</f>
        <v>D1473</v>
      </c>
      <c r="M1478" s="76" t="s">
        <v>96</v>
      </c>
      <c r="N1478" s="77"/>
      <c r="O1478" s="78" t="s">
        <v>97</v>
      </c>
      <c r="P1478" s="79" t="n">
        <f aca="false">COUNTIFS(임대자산!$I:$I,가맹점정보!F1478,임대자산!$N:$N,가맹점정보!P$4)</f>
        <v>0</v>
      </c>
      <c r="Q1478" s="80" t="n">
        <f aca="false">COUNTIFS(임대자산!$I:$I,가맹점정보!F1478,임대자산!$N:$N,가맹점정보!Q$4)</f>
        <v>0</v>
      </c>
      <c r="R1478" s="81" t="n">
        <f aca="false">COUNTIFS(임대자산!$I:$I,가맹점정보!F1478,임대자산!$N:$N,가맹점정보!R$4)</f>
        <v>1</v>
      </c>
      <c r="S1478" s="82" t="n">
        <v>55000</v>
      </c>
      <c r="T1478" s="83" t="n">
        <v>0</v>
      </c>
      <c r="U1478" s="80" t="n">
        <f aca="false">SUM(S1478:T1478)</f>
        <v>55000</v>
      </c>
      <c r="V1478" s="84" t="s">
        <v>7</v>
      </c>
      <c r="W1478" s="80" t="str">
        <f aca="true">
IF(D1478="폐업","폐업",
IF(V1478="면제","면제",
IF(AND(V1478="정상",COUNTIFS(OFFSET(Y1478,0,COUNTA(Y1478:AV1478)-1,1,-4),"미납")&gt;=3),"장기미납",
IF(AND(V1478="정상",OFFSET(Y1478,0,COUNTA(Y1478:AV1478)-1)&gt;=U1478),"정상",
IF(AND(V1478="정상",OFFSET(Y1478,0,COUNTA(Y1478:AV1478)-1)=0),"정상",
"계약서 미작성")))))</f>
        <v>면제</v>
      </c>
      <c r="X1478" s="81" t="str">
        <f aca="true">
IF(D1478="폐업","폐업",
IF(AND(V1478="정상",OFFSET(Y1478,0,COUNTA(Y1478:AV1478)-1)="미납"),"미납",
IF(AND(V1478="정상",OFFSET(Y1478,0,COUNTA(Y1478:AV1478)-1)=0),"납부 시작 전",
IF(AND(V1478="정상",OFFSET(Y1478,0,COUNTA(Y1478:AV1478)-1)&gt;=U1478),"정상",
IF(AND(V1478="면제",OFFSET(Y1478,0,COUNTA(Y1478:AV1478)-1)="면제"),"면제",
IF(AND(V1478="면제",OFFSET(Y1478,0,COUNTA(Y1478:AV1478)-1)=0),"면제",
"확인요청"))))))</f>
        <v>면제</v>
      </c>
      <c r="Y1478" s="94" t="s">
        <v>7</v>
      </c>
      <c r="Z1478" s="95" t="s">
        <v>7</v>
      </c>
      <c r="AA1478" s="95" t="s">
        <v>7</v>
      </c>
      <c r="AB1478" s="95" t="s">
        <v>7</v>
      </c>
      <c r="AC1478" s="95" t="s">
        <v>7</v>
      </c>
      <c r="AD1478" s="95" t="s">
        <v>7</v>
      </c>
      <c r="AE1478" s="95" t="s">
        <v>7</v>
      </c>
      <c r="AF1478" s="95" t="s">
        <v>7</v>
      </c>
      <c r="AG1478" s="95" t="s">
        <v>7</v>
      </c>
      <c r="AH1478" s="95" t="s">
        <v>7</v>
      </c>
      <c r="AI1478" s="95" t="s">
        <v>7</v>
      </c>
      <c r="AJ1478" s="96" t="s">
        <v>7</v>
      </c>
      <c r="AK1478" s="97" t="s">
        <v>7</v>
      </c>
      <c r="AL1478" s="95" t="s">
        <v>7</v>
      </c>
      <c r="AM1478" s="90"/>
      <c r="AN1478" s="90"/>
      <c r="AO1478" s="90"/>
      <c r="AP1478" s="90"/>
      <c r="AQ1478" s="90"/>
      <c r="AR1478" s="90"/>
      <c r="AS1478" s="90"/>
      <c r="AT1478" s="90"/>
      <c r="AU1478" s="90"/>
      <c r="AV1478" s="91"/>
      <c r="AX1478" s="92"/>
    </row>
    <row r="1479" customFormat="false" ht="15.65" hidden="false" customHeight="false" outlineLevel="0" collapsed="false">
      <c r="C1479" s="72" t="n">
        <f aca="false">COUNTIFS($D$6:D1479,"&lt;&gt;"&amp;"")</f>
        <v>1474</v>
      </c>
      <c r="D1479" s="73" t="s">
        <v>12</v>
      </c>
      <c r="E1479" s="76" t="str">
        <f aca="false">
IF($D1479="정상",INDEX(임대자산!$D$3:$R$3000,MATCH($F1479,임대자산!$I$3:$I$3000,0),MATCH(E$3,임대자산!$D$3:$R$3,0)),
IF($D1479="폐업",INDEX(폐업정보!$D$3:$R$3000,MATCH($F1479,폐업정보!$I$3:$I$3000,0),MATCH(E$3,폐업정보!$D$3:$R$3,0)),
"Error"))</f>
        <v>서울</v>
      </c>
      <c r="F147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B1474</v>
      </c>
      <c r="G1479" s="76" t="str">
        <f aca="false">F1479&amp;RANDBETWEEN(0,10)</f>
        <v>B14749</v>
      </c>
      <c r="H1479" s="75" t="n">
        <f aca="false">
IF($D1479="정상",INDEX(임대자산!$D$3:$R$3000,MATCH($F1479,임대자산!$I$3:$I$3000,0),MATCH(H$4,임대자산!$D$3:$R$3,0)),
IF($D1479="폐업",INDEX(폐업정보!$D$3:$R$3000,MATCH($F1479,폐업정보!$I$3:$I$3000,0),MATCH(H$4,폐업정보!$D$3:$R$3,0)),
"Error"))</f>
        <v>46062</v>
      </c>
      <c r="I1479" s="75" t="str">
        <f aca="false">
IF($D1479="정상",INDEX(임대자산!$D$3:$R$3000,MATCH($F1479,임대자산!$I$3:$I$3000,0),MATCH(I$4,임대자산!$D$3:$R$3,0)),
IF($D1479="폐업",INDEX(폐업정보!$D$3:$R$3000,MATCH($F1479,폐업정보!$I$3:$I$3000,0),MATCH(I$4,폐업정보!$D$3:$R$3,0)),
"Error"))</f>
        <v>A1474</v>
      </c>
      <c r="J1479" s="75" t="str">
        <f aca="false">
IF($D1479="정상",INDEX(임대자산!$D$3:$R$3000,MATCH($F1479,임대자산!$I$3:$I$3000,0),MATCH(J$4,임대자산!$D$3:$R$3,0)),
IF($D1479="폐업",INDEX(폐업정보!$D$3:$R$3000,MATCH($F1479,폐업정보!$I$3:$I$3000,0),MATCH(J$4,폐업정보!$D$3:$R$3,0)),
"Error"))</f>
        <v>7170800000</v>
      </c>
      <c r="K1479" s="75" t="str">
        <f aca="false">
IF($D1479="정상",INDEX(임대자산!$D$3:$R$3000,MATCH($F1479,임대자산!$I$3:$I$3000,0),MATCH(K$4,임대자산!$D$3:$R$3,0)),
IF($D1479="폐업",INDEX(폐업정보!$D$3:$R$3000,MATCH($F1479,폐업정보!$I$3:$I$3000,0),MATCH(K$4,폐업정보!$D$3:$R$3,0)),
"Error"))</f>
        <v>C1474</v>
      </c>
      <c r="L1479" s="75" t="str">
        <f aca="false">
IF($D1479="정상",INDEX(임대자산!$D$3:$R$3000,MATCH($F1479,임대자산!$I$3:$I$3000,0),MATCH(L$4,임대자산!$D$3:$R$3,0)),
IF($D1479="폐업",INDEX(폐업정보!$D$3:$R$3000,MATCH($F1479,폐업정보!$I$3:$I$3000,0),MATCH(L$4,폐업정보!$D$3:$R$3,0)),
"Error"))</f>
        <v>D1474</v>
      </c>
      <c r="M1479" s="76" t="s">
        <v>96</v>
      </c>
      <c r="N1479" s="77"/>
      <c r="O1479" s="78" t="s">
        <v>97</v>
      </c>
      <c r="P1479" s="79" t="n">
        <f aca="false">COUNTIFS(임대자산!$I:$I,가맹점정보!F1479,임대자산!$N:$N,가맹점정보!P$4)</f>
        <v>0</v>
      </c>
      <c r="Q1479" s="80" t="n">
        <f aca="false">COUNTIFS(임대자산!$I:$I,가맹점정보!F1479,임대자산!$N:$N,가맹점정보!Q$4)</f>
        <v>0</v>
      </c>
      <c r="R1479" s="81" t="n">
        <f aca="false">COUNTIFS(임대자산!$I:$I,가맹점정보!F1479,임대자산!$N:$N,가맹점정보!R$4)</f>
        <v>1</v>
      </c>
      <c r="S1479" s="82" t="n">
        <v>55000</v>
      </c>
      <c r="T1479" s="83" t="n">
        <v>0</v>
      </c>
      <c r="U1479" s="80" t="n">
        <f aca="false">SUM(S1479:T1479)</f>
        <v>55000</v>
      </c>
      <c r="V1479" s="84" t="s">
        <v>12</v>
      </c>
      <c r="W1479" s="80" t="e">
        <f aca="true">
IF(D1479="폐업","폐업",
IF(V1479="면제","면제",
IF(AND(V1479="정상",COUNTIFS(OFFSET(Y1479,0,COUNTA(Y1479:AV1479)-1,1,-4),"미납")&gt;=3),"장기미납",
IF(AND(V1479="정상",OFFSET(Y1479,0,COUNTA(Y1479:AV1479)-1)&gt;=U1479),"정상",
IF(AND(V1479="정상",OFFSET(Y1479,0,COUNTA(Y1479:AV1479)-1)=0),"정상",
"계약서 미작성")))))</f>
        <v>#VALUE!</v>
      </c>
      <c r="X1479" s="81" t="str">
        <f aca="true">
IF(D1479="폐업","폐업",
IF(AND(V1479="정상",OFFSET(Y1479,0,COUNTA(Y1479:AV1479)-1)="미납"),"미납",
IF(AND(V1479="정상",OFFSET(Y1479,0,COUNTA(Y1479:AV1479)-1)=0),"납부 시작 전",
IF(AND(V1479="정상",OFFSET(Y1479,0,COUNTA(Y1479:AV1479)-1)&gt;=U1479),"정상",
IF(AND(V1479="면제",OFFSET(Y1479,0,COUNTA(Y1479:AV1479)-1)="면제"),"면제",
IF(AND(V1479="면제",OFFSET(Y1479,0,COUNTA(Y1479:AV1479)-1)=0),"면제",
"확인요청"))))))</f>
        <v>정상</v>
      </c>
      <c r="Y1479" s="94" t="s">
        <v>7</v>
      </c>
      <c r="Z1479" s="95" t="s">
        <v>7</v>
      </c>
      <c r="AA1479" s="95" t="s">
        <v>7</v>
      </c>
      <c r="AB1479" s="95" t="s">
        <v>7</v>
      </c>
      <c r="AC1479" s="90" t="n">
        <v>55000</v>
      </c>
      <c r="AD1479" s="90" t="n">
        <v>55000</v>
      </c>
      <c r="AE1479" s="90" t="n">
        <v>55000</v>
      </c>
      <c r="AF1479" s="90" t="n">
        <v>55000</v>
      </c>
      <c r="AG1479" s="90" t="n">
        <v>55000</v>
      </c>
      <c r="AH1479" s="90" t="n">
        <v>55000</v>
      </c>
      <c r="AI1479" s="90" t="n">
        <v>55000</v>
      </c>
      <c r="AJ1479" s="91" t="n">
        <v>55000</v>
      </c>
      <c r="AK1479" s="89" t="n">
        <v>55000</v>
      </c>
      <c r="AL1479" s="90" t="n">
        <v>55000</v>
      </c>
      <c r="AM1479" s="90"/>
      <c r="AN1479" s="90"/>
      <c r="AO1479" s="90"/>
      <c r="AP1479" s="90"/>
      <c r="AQ1479" s="90"/>
      <c r="AR1479" s="90"/>
      <c r="AS1479" s="90"/>
      <c r="AT1479" s="90"/>
      <c r="AU1479" s="90"/>
      <c r="AV1479" s="91"/>
      <c r="AX1479" s="92"/>
    </row>
    <row r="1480" customFormat="false" ht="15.65" hidden="false" customHeight="false" outlineLevel="0" collapsed="false">
      <c r="C1480" s="72" t="n">
        <f aca="false">COUNTIFS($D$6:D1480,"&lt;&gt;"&amp;"")</f>
        <v>1475</v>
      </c>
      <c r="D1480" s="73" t="s">
        <v>12</v>
      </c>
      <c r="E1480" s="76" t="str">
        <f aca="false">
IF($D1480="정상",INDEX(임대자산!$D$3:$R$3000,MATCH($F1480,임대자산!$I$3:$I$3000,0),MATCH(E$3,임대자산!$D$3:$R$3,0)),
IF($D1480="폐업",INDEX(폐업정보!$D$3:$R$3000,MATCH($F1480,폐업정보!$I$3:$I$3000,0),MATCH(E$3,폐업정보!$D$3:$R$3,0)),
"Error"))</f>
        <v>서울</v>
      </c>
      <c r="F148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B1475</v>
      </c>
      <c r="G1480" s="76" t="str">
        <f aca="false">F1480&amp;RANDBETWEEN(0,10)</f>
        <v>B147510</v>
      </c>
      <c r="H1480" s="75" t="n">
        <f aca="false">
IF($D1480="정상",INDEX(임대자산!$D$3:$R$3000,MATCH($F1480,임대자산!$I$3:$I$3000,0),MATCH(H$4,임대자산!$D$3:$R$3,0)),
IF($D1480="폐업",INDEX(폐업정보!$D$3:$R$3000,MATCH($F1480,폐업정보!$I$3:$I$3000,0),MATCH(H$4,폐업정보!$D$3:$R$3,0)),
"Error"))</f>
        <v>45483</v>
      </c>
      <c r="I1480" s="75" t="str">
        <f aca="false">
IF($D1480="정상",INDEX(임대자산!$D$3:$R$3000,MATCH($F1480,임대자산!$I$3:$I$3000,0),MATCH(I$4,임대자산!$D$3:$R$3,0)),
IF($D1480="폐업",INDEX(폐업정보!$D$3:$R$3000,MATCH($F1480,폐업정보!$I$3:$I$3000,0),MATCH(I$4,폐업정보!$D$3:$R$3,0)),
"Error"))</f>
        <v>A1475</v>
      </c>
      <c r="J1480" s="75" t="str">
        <f aca="false">
IF($D1480="정상",INDEX(임대자산!$D$3:$R$3000,MATCH($F1480,임대자산!$I$3:$I$3000,0),MATCH(J$4,임대자산!$D$3:$R$3,0)),
IF($D1480="폐업",INDEX(폐업정보!$D$3:$R$3000,MATCH($F1480,폐업정보!$I$3:$I$3000,0),MATCH(J$4,폐업정보!$D$3:$R$3,0)),
"Error"))</f>
        <v>5542000000</v>
      </c>
      <c r="K1480" s="75" t="str">
        <f aca="false">
IF($D1480="정상",INDEX(임대자산!$D$3:$R$3000,MATCH($F1480,임대자산!$I$3:$I$3000,0),MATCH(K$4,임대자산!$D$3:$R$3,0)),
IF($D1480="폐업",INDEX(폐업정보!$D$3:$R$3000,MATCH($F1480,폐업정보!$I$3:$I$3000,0),MATCH(K$4,폐업정보!$D$3:$R$3,0)),
"Error"))</f>
        <v>C1475</v>
      </c>
      <c r="L1480" s="75" t="str">
        <f aca="false">
IF($D1480="정상",INDEX(임대자산!$D$3:$R$3000,MATCH($F1480,임대자산!$I$3:$I$3000,0),MATCH(L$4,임대자산!$D$3:$R$3,0)),
IF($D1480="폐업",INDEX(폐업정보!$D$3:$R$3000,MATCH($F1480,폐업정보!$I$3:$I$3000,0),MATCH(L$4,폐업정보!$D$3:$R$3,0)),
"Error"))</f>
        <v>D1475</v>
      </c>
      <c r="M1480" s="76" t="s">
        <v>96</v>
      </c>
      <c r="N1480" s="77"/>
      <c r="O1480" s="78" t="s">
        <v>97</v>
      </c>
      <c r="P1480" s="79" t="n">
        <f aca="false">COUNTIFS(임대자산!$I:$I,가맹점정보!F1480,임대자산!$N:$N,가맹점정보!P$4)</f>
        <v>0</v>
      </c>
      <c r="Q1480" s="80" t="n">
        <f aca="false">COUNTIFS(임대자산!$I:$I,가맹점정보!F1480,임대자산!$N:$N,가맹점정보!Q$4)</f>
        <v>0</v>
      </c>
      <c r="R1480" s="81" t="n">
        <f aca="false">COUNTIFS(임대자산!$I:$I,가맹점정보!F1480,임대자산!$N:$N,가맹점정보!R$4)</f>
        <v>1</v>
      </c>
      <c r="S1480" s="82" t="n">
        <v>55000</v>
      </c>
      <c r="T1480" s="83" t="n">
        <v>0</v>
      </c>
      <c r="U1480" s="80" t="n">
        <f aca="false">SUM(S1480:T1480)</f>
        <v>55000</v>
      </c>
      <c r="V1480" s="84" t="s">
        <v>12</v>
      </c>
      <c r="W1480" s="80" t="e">
        <f aca="true">
IF(D1480="폐업","폐업",
IF(V1480="면제","면제",
IF(AND(V1480="정상",COUNTIFS(OFFSET(Y1480,0,COUNTA(Y1480:AV1480)-1,1,-4),"미납")&gt;=3),"장기미납",
IF(AND(V1480="정상",OFFSET(Y1480,0,COUNTA(Y1480:AV1480)-1)&gt;=U1480),"정상",
IF(AND(V1480="정상",OFFSET(Y1480,0,COUNTA(Y1480:AV1480)-1)=0),"정상",
"계약서 미작성")))))</f>
        <v>#VALUE!</v>
      </c>
      <c r="X1480" s="81" t="str">
        <f aca="true">
IF(D1480="폐업","폐업",
IF(AND(V1480="정상",OFFSET(Y1480,0,COUNTA(Y1480:AV1480)-1)="미납"),"미납",
IF(AND(V1480="정상",OFFSET(Y1480,0,COUNTA(Y1480:AV1480)-1)=0),"납부 시작 전",
IF(AND(V1480="정상",OFFSET(Y1480,0,COUNTA(Y1480:AV1480)-1)&gt;=U1480),"정상",
IF(AND(V1480="면제",OFFSET(Y1480,0,COUNTA(Y1480:AV1480)-1)="면제"),"면제",
IF(AND(V1480="면제",OFFSET(Y1480,0,COUNTA(Y1480:AV1480)-1)=0),"면제",
"확인요청"))))))</f>
        <v>정상</v>
      </c>
      <c r="Y1480" s="93" t="n">
        <v>55000</v>
      </c>
      <c r="Z1480" s="90" t="n">
        <v>55000</v>
      </c>
      <c r="AA1480" s="90" t="n">
        <v>55000</v>
      </c>
      <c r="AB1480" s="90" t="n">
        <v>55000</v>
      </c>
      <c r="AC1480" s="90" t="n">
        <v>55000</v>
      </c>
      <c r="AD1480" s="90" t="n">
        <v>55000</v>
      </c>
      <c r="AE1480" s="90" t="n">
        <v>55000</v>
      </c>
      <c r="AF1480" s="90" t="n">
        <v>55000</v>
      </c>
      <c r="AG1480" s="90" t="n">
        <v>55000</v>
      </c>
      <c r="AH1480" s="90" t="n">
        <v>55000</v>
      </c>
      <c r="AI1480" s="90" t="n">
        <v>55000</v>
      </c>
      <c r="AJ1480" s="91" t="n">
        <v>55000</v>
      </c>
      <c r="AK1480" s="89" t="n">
        <v>55000</v>
      </c>
      <c r="AL1480" s="90" t="n">
        <v>55000</v>
      </c>
      <c r="AM1480" s="90"/>
      <c r="AN1480" s="90"/>
      <c r="AO1480" s="90"/>
      <c r="AP1480" s="90"/>
      <c r="AQ1480" s="90"/>
      <c r="AR1480" s="90"/>
      <c r="AS1480" s="90"/>
      <c r="AT1480" s="90"/>
      <c r="AU1480" s="90"/>
      <c r="AV1480" s="91"/>
      <c r="AX1480" s="92"/>
    </row>
    <row r="1481" customFormat="false" ht="15.65" hidden="false" customHeight="false" outlineLevel="0" collapsed="false">
      <c r="C1481" s="72" t="n">
        <f aca="false">COUNTIFS($D$6:D1481,"&lt;&gt;"&amp;"")</f>
        <v>1476</v>
      </c>
      <c r="D1481" s="73" t="s">
        <v>12</v>
      </c>
      <c r="E1481" s="76" t="str">
        <f aca="false">
IF($D1481="정상",INDEX(임대자산!$D$3:$R$3000,MATCH($F1481,임대자산!$I$3:$I$3000,0),MATCH(E$3,임대자산!$D$3:$R$3,0)),
IF($D1481="폐업",INDEX(폐업정보!$D$3:$R$3000,MATCH($F1481,폐업정보!$I$3:$I$3000,0),MATCH(E$3,폐업정보!$D$3:$R$3,0)),
"Error"))</f>
        <v>경상</v>
      </c>
      <c r="F148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B1476</v>
      </c>
      <c r="G1481" s="76" t="str">
        <f aca="false">F1481&amp;RANDBETWEEN(0,10)</f>
        <v>B14760</v>
      </c>
      <c r="H1481" s="75" t="n">
        <f aca="false">
IF($D1481="정상",INDEX(임대자산!$D$3:$R$3000,MATCH($F1481,임대자산!$I$3:$I$3000,0),MATCH(H$4,임대자산!$D$3:$R$3,0)),
IF($D1481="폐업",INDEX(폐업정보!$D$3:$R$3000,MATCH($F1481,폐업정보!$I$3:$I$3000,0),MATCH(H$4,폐업정보!$D$3:$R$3,0)),
"Error"))</f>
        <v>45534</v>
      </c>
      <c r="I1481" s="75" t="str">
        <f aca="false">
IF($D1481="정상",INDEX(임대자산!$D$3:$R$3000,MATCH($F1481,임대자산!$I$3:$I$3000,0),MATCH(I$4,임대자산!$D$3:$R$3,0)),
IF($D1481="폐업",INDEX(폐업정보!$D$3:$R$3000,MATCH($F1481,폐업정보!$I$3:$I$3000,0),MATCH(I$4,폐업정보!$D$3:$R$3,0)),
"Error"))</f>
        <v>A1476</v>
      </c>
      <c r="J1481" s="75" t="str">
        <f aca="false">
IF($D1481="정상",INDEX(임대자산!$D$3:$R$3000,MATCH($F1481,임대자산!$I$3:$I$3000,0),MATCH(J$4,임대자산!$D$3:$R$3,0)),
IF($D1481="폐업",INDEX(폐업정보!$D$3:$R$3000,MATCH($F1481,폐업정보!$I$3:$I$3000,0),MATCH(J$4,폐업정보!$D$3:$R$3,0)),
"Error"))</f>
        <v>9849900000</v>
      </c>
      <c r="K1481" s="75" t="str">
        <f aca="false">
IF($D1481="정상",INDEX(임대자산!$D$3:$R$3000,MATCH($F1481,임대자산!$I$3:$I$3000,0),MATCH(K$4,임대자산!$D$3:$R$3,0)),
IF($D1481="폐업",INDEX(폐업정보!$D$3:$R$3000,MATCH($F1481,폐업정보!$I$3:$I$3000,0),MATCH(K$4,폐업정보!$D$3:$R$3,0)),
"Error"))</f>
        <v>C1476</v>
      </c>
      <c r="L1481" s="75" t="str">
        <f aca="false">
IF($D1481="정상",INDEX(임대자산!$D$3:$R$3000,MATCH($F1481,임대자산!$I$3:$I$3000,0),MATCH(L$4,임대자산!$D$3:$R$3,0)),
IF($D1481="폐업",INDEX(폐업정보!$D$3:$R$3000,MATCH($F1481,폐업정보!$I$3:$I$3000,0),MATCH(L$4,폐업정보!$D$3:$R$3,0)),
"Error"))</f>
        <v>D1476</v>
      </c>
      <c r="M1481" s="76" t="s">
        <v>96</v>
      </c>
      <c r="N1481" s="77"/>
      <c r="O1481" s="78" t="s">
        <v>97</v>
      </c>
      <c r="P1481" s="79" t="n">
        <f aca="false">COUNTIFS(임대자산!$I:$I,가맹점정보!F1481,임대자산!$N:$N,가맹점정보!P$4)</f>
        <v>0</v>
      </c>
      <c r="Q1481" s="80" t="n">
        <f aca="false">COUNTIFS(임대자산!$I:$I,가맹점정보!F1481,임대자산!$N:$N,가맹점정보!Q$4)</f>
        <v>0</v>
      </c>
      <c r="R1481" s="81" t="n">
        <f aca="false">COUNTIFS(임대자산!$I:$I,가맹점정보!F1481,임대자산!$N:$N,가맹점정보!R$4)</f>
        <v>1</v>
      </c>
      <c r="S1481" s="82" t="n">
        <v>55000</v>
      </c>
      <c r="T1481" s="83" t="n">
        <v>0</v>
      </c>
      <c r="U1481" s="80" t="n">
        <f aca="false">SUM(S1481:T1481)</f>
        <v>55000</v>
      </c>
      <c r="V1481" s="84" t="s">
        <v>12</v>
      </c>
      <c r="W1481" s="80" t="e">
        <f aca="true">
IF(D1481="폐업","폐업",
IF(V1481="면제","면제",
IF(AND(V1481="정상",COUNTIFS(OFFSET(Y1481,0,COUNTA(Y1481:AV1481)-1,1,-4),"미납")&gt;=3),"장기미납",
IF(AND(V1481="정상",OFFSET(Y1481,0,COUNTA(Y1481:AV1481)-1)&gt;=U1481),"정상",
IF(AND(V1481="정상",OFFSET(Y1481,0,COUNTA(Y1481:AV1481)-1)=0),"정상",
"계약서 미작성")))))</f>
        <v>#VALUE!</v>
      </c>
      <c r="X1481" s="81" t="str">
        <f aca="true">
IF(D1481="폐업","폐업",
IF(AND(V1481="정상",OFFSET(Y1481,0,COUNTA(Y1481:AV1481)-1)="미납"),"미납",
IF(AND(V1481="정상",OFFSET(Y1481,0,COUNTA(Y1481:AV1481)-1)=0),"납부 시작 전",
IF(AND(V1481="정상",OFFSET(Y1481,0,COUNTA(Y1481:AV1481)-1)&gt;=U1481),"정상",
IF(AND(V1481="면제",OFFSET(Y1481,0,COUNTA(Y1481:AV1481)-1)="면제"),"면제",
IF(AND(V1481="면제",OFFSET(Y1481,0,COUNTA(Y1481:AV1481)-1)=0),"면제",
"확인요청"))))))</f>
        <v>정상</v>
      </c>
      <c r="Y1481" s="93" t="n">
        <v>55000</v>
      </c>
      <c r="Z1481" s="90" t="n">
        <v>55000</v>
      </c>
      <c r="AA1481" s="90" t="n">
        <v>55000</v>
      </c>
      <c r="AB1481" s="90" t="n">
        <v>55000</v>
      </c>
      <c r="AC1481" s="90" t="n">
        <v>55000</v>
      </c>
      <c r="AD1481" s="90" t="n">
        <v>55000</v>
      </c>
      <c r="AE1481" s="90" t="n">
        <v>55000</v>
      </c>
      <c r="AF1481" s="90" t="n">
        <v>55000</v>
      </c>
      <c r="AG1481" s="90" t="n">
        <v>55000</v>
      </c>
      <c r="AH1481" s="90" t="n">
        <v>55000</v>
      </c>
      <c r="AI1481" s="90" t="n">
        <v>55000</v>
      </c>
      <c r="AJ1481" s="91" t="n">
        <v>55000</v>
      </c>
      <c r="AK1481" s="89" t="n">
        <v>55000</v>
      </c>
      <c r="AL1481" s="90" t="n">
        <v>55000</v>
      </c>
      <c r="AM1481" s="90"/>
      <c r="AN1481" s="90"/>
      <c r="AO1481" s="90"/>
      <c r="AP1481" s="90"/>
      <c r="AQ1481" s="90"/>
      <c r="AR1481" s="90"/>
      <c r="AS1481" s="90"/>
      <c r="AT1481" s="90"/>
      <c r="AU1481" s="90"/>
      <c r="AV1481" s="91"/>
      <c r="AX1481" s="92"/>
    </row>
    <row r="1482" customFormat="false" ht="15.65" hidden="false" customHeight="false" outlineLevel="0" collapsed="false">
      <c r="C1482" s="72" t="n">
        <f aca="false">COUNTIFS($D$6:D1482,"&lt;&gt;"&amp;"")</f>
        <v>1477</v>
      </c>
      <c r="D1482" s="73" t="s">
        <v>12</v>
      </c>
      <c r="E1482" s="76" t="str">
        <f aca="false">
IF($D1482="정상",INDEX(임대자산!$D$3:$R$3000,MATCH($F1482,임대자산!$I$3:$I$3000,0),MATCH(E$3,임대자산!$D$3:$R$3,0)),
IF($D1482="폐업",INDEX(폐업정보!$D$3:$R$3000,MATCH($F1482,폐업정보!$I$3:$I$3000,0),MATCH(E$3,폐업정보!$D$3:$R$3,0)),
"Error"))</f>
        <v>전라</v>
      </c>
      <c r="F148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B1477</v>
      </c>
      <c r="G1482" s="76" t="str">
        <f aca="false">F1482&amp;RANDBETWEEN(0,10)</f>
        <v>B14771</v>
      </c>
      <c r="H1482" s="75" t="n">
        <f aca="false">
IF($D1482="정상",INDEX(임대자산!$D$3:$R$3000,MATCH($F1482,임대자산!$I$3:$I$3000,0),MATCH(H$4,임대자산!$D$3:$R$3,0)),
IF($D1482="폐업",INDEX(폐업정보!$D$3:$R$3000,MATCH($F1482,폐업정보!$I$3:$I$3000,0),MATCH(H$4,폐업정보!$D$3:$R$3,0)),
"Error"))</f>
        <v>45988</v>
      </c>
      <c r="I1482" s="75" t="str">
        <f aca="false">
IF($D1482="정상",INDEX(임대자산!$D$3:$R$3000,MATCH($F1482,임대자산!$I$3:$I$3000,0),MATCH(I$4,임대자산!$D$3:$R$3,0)),
IF($D1482="폐업",INDEX(폐업정보!$D$3:$R$3000,MATCH($F1482,폐업정보!$I$3:$I$3000,0),MATCH(I$4,폐업정보!$D$3:$R$3,0)),
"Error"))</f>
        <v>A1477</v>
      </c>
      <c r="J1482" s="75" t="str">
        <f aca="false">
IF($D1482="정상",INDEX(임대자산!$D$3:$R$3000,MATCH($F1482,임대자산!$I$3:$I$3000,0),MATCH(J$4,임대자산!$D$3:$R$3,0)),
IF($D1482="폐업",INDEX(폐업정보!$D$3:$R$3000,MATCH($F1482,폐업정보!$I$3:$I$3000,0),MATCH(J$4,폐업정보!$D$3:$R$3,0)),
"Error"))</f>
        <v>3423300000</v>
      </c>
      <c r="K1482" s="75" t="str">
        <f aca="false">
IF($D1482="정상",INDEX(임대자산!$D$3:$R$3000,MATCH($F1482,임대자산!$I$3:$I$3000,0),MATCH(K$4,임대자산!$D$3:$R$3,0)),
IF($D1482="폐업",INDEX(폐업정보!$D$3:$R$3000,MATCH($F1482,폐업정보!$I$3:$I$3000,0),MATCH(K$4,폐업정보!$D$3:$R$3,0)),
"Error"))</f>
        <v>C1477</v>
      </c>
      <c r="L1482" s="75" t="str">
        <f aca="false">
IF($D1482="정상",INDEX(임대자산!$D$3:$R$3000,MATCH($F1482,임대자산!$I$3:$I$3000,0),MATCH(L$4,임대자산!$D$3:$R$3,0)),
IF($D1482="폐업",INDEX(폐업정보!$D$3:$R$3000,MATCH($F1482,폐업정보!$I$3:$I$3000,0),MATCH(L$4,폐업정보!$D$3:$R$3,0)),
"Error"))</f>
        <v>D1477</v>
      </c>
      <c r="M1482" s="76" t="s">
        <v>96</v>
      </c>
      <c r="N1482" s="77"/>
      <c r="O1482" s="78" t="s">
        <v>97</v>
      </c>
      <c r="P1482" s="79" t="n">
        <f aca="false">COUNTIFS(임대자산!$I:$I,가맹점정보!F1482,임대자산!$N:$N,가맹점정보!P$4)</f>
        <v>0</v>
      </c>
      <c r="Q1482" s="80" t="n">
        <f aca="false">COUNTIFS(임대자산!$I:$I,가맹점정보!F1482,임대자산!$N:$N,가맹점정보!Q$4)</f>
        <v>0</v>
      </c>
      <c r="R1482" s="81" t="n">
        <f aca="false">COUNTIFS(임대자산!$I:$I,가맹점정보!F1482,임대자산!$N:$N,가맹점정보!R$4)</f>
        <v>1</v>
      </c>
      <c r="S1482" s="82" t="n">
        <v>55000</v>
      </c>
      <c r="T1482" s="83" t="n">
        <v>0</v>
      </c>
      <c r="U1482" s="80" t="n">
        <f aca="false">SUM(S1482:T1482)</f>
        <v>55000</v>
      </c>
      <c r="V1482" s="84" t="s">
        <v>7</v>
      </c>
      <c r="W1482" s="80" t="str">
        <f aca="true">
IF(D1482="폐업","폐업",
IF(V1482="면제","면제",
IF(AND(V1482="정상",COUNTIFS(OFFSET(Y1482,0,COUNTA(Y1482:AV1482)-1,1,-4),"미납")&gt;=3),"장기미납",
IF(AND(V1482="정상",OFFSET(Y1482,0,COUNTA(Y1482:AV1482)-1)&gt;=U1482),"정상",
IF(AND(V1482="정상",OFFSET(Y1482,0,COUNTA(Y1482:AV1482)-1)=0),"정상",
"계약서 미작성")))))</f>
        <v>면제</v>
      </c>
      <c r="X1482" s="81" t="str">
        <f aca="true">
IF(D1482="폐업","폐업",
IF(AND(V1482="정상",OFFSET(Y1482,0,COUNTA(Y1482:AV1482)-1)="미납"),"미납",
IF(AND(V1482="정상",OFFSET(Y1482,0,COUNTA(Y1482:AV1482)-1)=0),"납부 시작 전",
IF(AND(V1482="정상",OFFSET(Y1482,0,COUNTA(Y1482:AV1482)-1)&gt;=U1482),"정상",
IF(AND(V1482="면제",OFFSET(Y1482,0,COUNTA(Y1482:AV1482)-1)="면제"),"면제",
IF(AND(V1482="면제",OFFSET(Y1482,0,COUNTA(Y1482:AV1482)-1)=0),"면제",
"확인요청"))))))</f>
        <v>면제</v>
      </c>
      <c r="Y1482" s="94" t="s">
        <v>7</v>
      </c>
      <c r="Z1482" s="95" t="s">
        <v>7</v>
      </c>
      <c r="AA1482" s="95" t="s">
        <v>7</v>
      </c>
      <c r="AB1482" s="95" t="s">
        <v>7</v>
      </c>
      <c r="AC1482" s="95" t="s">
        <v>7</v>
      </c>
      <c r="AD1482" s="95" t="s">
        <v>7</v>
      </c>
      <c r="AE1482" s="95" t="s">
        <v>7</v>
      </c>
      <c r="AF1482" s="95" t="s">
        <v>7</v>
      </c>
      <c r="AG1482" s="95" t="s">
        <v>7</v>
      </c>
      <c r="AH1482" s="95" t="s">
        <v>7</v>
      </c>
      <c r="AI1482" s="95" t="s">
        <v>7</v>
      </c>
      <c r="AJ1482" s="96" t="s">
        <v>7</v>
      </c>
      <c r="AK1482" s="97" t="s">
        <v>7</v>
      </c>
      <c r="AL1482" s="95" t="s">
        <v>7</v>
      </c>
      <c r="AM1482" s="90"/>
      <c r="AN1482" s="90"/>
      <c r="AO1482" s="90"/>
      <c r="AP1482" s="90"/>
      <c r="AQ1482" s="90"/>
      <c r="AR1482" s="90"/>
      <c r="AS1482" s="90"/>
      <c r="AT1482" s="90"/>
      <c r="AU1482" s="90"/>
      <c r="AV1482" s="91"/>
      <c r="AX1482" s="92"/>
    </row>
    <row r="1483" customFormat="false" ht="15.65" hidden="false" customHeight="false" outlineLevel="0" collapsed="false">
      <c r="C1483" s="72" t="n">
        <f aca="false">COUNTIFS($D$6:D1483,"&lt;&gt;"&amp;"")</f>
        <v>1478</v>
      </c>
      <c r="D1483" s="73" t="s">
        <v>12</v>
      </c>
      <c r="E1483" s="76" t="str">
        <f aca="false">
IF($D1483="정상",INDEX(임대자산!$D$3:$R$3000,MATCH($F1483,임대자산!$I$3:$I$3000,0),MATCH(E$3,임대자산!$D$3:$R$3,0)),
IF($D1483="폐업",INDEX(폐업정보!$D$3:$R$3000,MATCH($F1483,폐업정보!$I$3:$I$3000,0),MATCH(E$3,폐업정보!$D$3:$R$3,0)),
"Error"))</f>
        <v>전라</v>
      </c>
      <c r="F148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B1478</v>
      </c>
      <c r="G1483" s="76" t="str">
        <f aca="false">F1483&amp;RANDBETWEEN(0,10)</f>
        <v>B14784</v>
      </c>
      <c r="H1483" s="75" t="n">
        <f aca="false">
IF($D1483="정상",INDEX(임대자산!$D$3:$R$3000,MATCH($F1483,임대자산!$I$3:$I$3000,0),MATCH(H$4,임대자산!$D$3:$R$3,0)),
IF($D1483="폐업",INDEX(폐업정보!$D$3:$R$3000,MATCH($F1483,폐업정보!$I$3:$I$3000,0),MATCH(H$4,폐업정보!$D$3:$R$3,0)),
"Error"))</f>
        <v>46043</v>
      </c>
      <c r="I1483" s="75" t="str">
        <f aca="false">
IF($D1483="정상",INDEX(임대자산!$D$3:$R$3000,MATCH($F1483,임대자산!$I$3:$I$3000,0),MATCH(I$4,임대자산!$D$3:$R$3,0)),
IF($D1483="폐업",INDEX(폐업정보!$D$3:$R$3000,MATCH($F1483,폐업정보!$I$3:$I$3000,0),MATCH(I$4,폐업정보!$D$3:$R$3,0)),
"Error"))</f>
        <v>A1478</v>
      </c>
      <c r="J1483" s="75" t="str">
        <f aca="false">
IF($D1483="정상",INDEX(임대자산!$D$3:$R$3000,MATCH($F1483,임대자산!$I$3:$I$3000,0),MATCH(J$4,임대자산!$D$3:$R$3,0)),
IF($D1483="폐업",INDEX(폐업정보!$D$3:$R$3000,MATCH($F1483,폐업정보!$I$3:$I$3000,0),MATCH(J$4,폐업정보!$D$3:$R$3,0)),
"Error"))</f>
        <v>2358900000</v>
      </c>
      <c r="K1483" s="75" t="str">
        <f aca="false">
IF($D1483="정상",INDEX(임대자산!$D$3:$R$3000,MATCH($F1483,임대자산!$I$3:$I$3000,0),MATCH(K$4,임대자산!$D$3:$R$3,0)),
IF($D1483="폐업",INDEX(폐업정보!$D$3:$R$3000,MATCH($F1483,폐업정보!$I$3:$I$3000,0),MATCH(K$4,폐업정보!$D$3:$R$3,0)),
"Error"))</f>
        <v>C1478</v>
      </c>
      <c r="L1483" s="75" t="str">
        <f aca="false">
IF($D1483="정상",INDEX(임대자산!$D$3:$R$3000,MATCH($F1483,임대자산!$I$3:$I$3000,0),MATCH(L$4,임대자산!$D$3:$R$3,0)),
IF($D1483="폐업",INDEX(폐업정보!$D$3:$R$3000,MATCH($F1483,폐업정보!$I$3:$I$3000,0),MATCH(L$4,폐업정보!$D$3:$R$3,0)),
"Error"))</f>
        <v>D1478</v>
      </c>
      <c r="M1483" s="76" t="s">
        <v>96</v>
      </c>
      <c r="N1483" s="77"/>
      <c r="O1483" s="78" t="s">
        <v>97</v>
      </c>
      <c r="P1483" s="79" t="n">
        <f aca="false">COUNTIFS(임대자산!$I:$I,가맹점정보!F1483,임대자산!$N:$N,가맹점정보!P$4)</f>
        <v>0</v>
      </c>
      <c r="Q1483" s="80" t="n">
        <f aca="false">COUNTIFS(임대자산!$I:$I,가맹점정보!F1483,임대자산!$N:$N,가맹점정보!Q$4)</f>
        <v>0</v>
      </c>
      <c r="R1483" s="81" t="n">
        <f aca="false">COUNTIFS(임대자산!$I:$I,가맹점정보!F1483,임대자산!$N:$N,가맹점정보!R$4)</f>
        <v>1</v>
      </c>
      <c r="S1483" s="82" t="n">
        <v>55000</v>
      </c>
      <c r="T1483" s="83" t="n">
        <v>0</v>
      </c>
      <c r="U1483" s="80" t="n">
        <f aca="false">SUM(S1483:T1483)</f>
        <v>55000</v>
      </c>
      <c r="V1483" s="84" t="s">
        <v>7</v>
      </c>
      <c r="W1483" s="80" t="str">
        <f aca="true">
IF(D1483="폐업","폐업",
IF(V1483="면제","면제",
IF(AND(V1483="정상",COUNTIFS(OFFSET(Y1483,0,COUNTA(Y1483:AV1483)-1,1,-4),"미납")&gt;=3),"장기미납",
IF(AND(V1483="정상",OFFSET(Y1483,0,COUNTA(Y1483:AV1483)-1)&gt;=U1483),"정상",
IF(AND(V1483="정상",OFFSET(Y1483,0,COUNTA(Y1483:AV1483)-1)=0),"정상",
"계약서 미작성")))))</f>
        <v>면제</v>
      </c>
      <c r="X1483" s="81" t="str">
        <f aca="true">
IF(D1483="폐업","폐업",
IF(AND(V1483="정상",OFFSET(Y1483,0,COUNTA(Y1483:AV1483)-1)="미납"),"미납",
IF(AND(V1483="정상",OFFSET(Y1483,0,COUNTA(Y1483:AV1483)-1)=0),"납부 시작 전",
IF(AND(V1483="정상",OFFSET(Y1483,0,COUNTA(Y1483:AV1483)-1)&gt;=U1483),"정상",
IF(AND(V1483="면제",OFFSET(Y1483,0,COUNTA(Y1483:AV1483)-1)="면제"),"면제",
IF(AND(V1483="면제",OFFSET(Y1483,0,COUNTA(Y1483:AV1483)-1)=0),"면제",
"확인요청"))))))</f>
        <v>면제</v>
      </c>
      <c r="Y1483" s="94" t="s">
        <v>7</v>
      </c>
      <c r="Z1483" s="95" t="s">
        <v>7</v>
      </c>
      <c r="AA1483" s="95" t="s">
        <v>7</v>
      </c>
      <c r="AB1483" s="95" t="s">
        <v>7</v>
      </c>
      <c r="AC1483" s="95" t="s">
        <v>7</v>
      </c>
      <c r="AD1483" s="95" t="s">
        <v>7</v>
      </c>
      <c r="AE1483" s="95" t="s">
        <v>7</v>
      </c>
      <c r="AF1483" s="95" t="s">
        <v>7</v>
      </c>
      <c r="AG1483" s="95" t="s">
        <v>7</v>
      </c>
      <c r="AH1483" s="95" t="s">
        <v>7</v>
      </c>
      <c r="AI1483" s="95" t="s">
        <v>7</v>
      </c>
      <c r="AJ1483" s="96" t="s">
        <v>7</v>
      </c>
      <c r="AK1483" s="97" t="s">
        <v>7</v>
      </c>
      <c r="AL1483" s="95" t="s">
        <v>7</v>
      </c>
      <c r="AM1483" s="90"/>
      <c r="AN1483" s="90"/>
      <c r="AO1483" s="90"/>
      <c r="AP1483" s="90"/>
      <c r="AQ1483" s="90"/>
      <c r="AR1483" s="90"/>
      <c r="AS1483" s="90"/>
      <c r="AT1483" s="90"/>
      <c r="AU1483" s="90"/>
      <c r="AV1483" s="91"/>
      <c r="AX1483" s="92"/>
    </row>
    <row r="1484" customFormat="false" ht="15.65" hidden="false" customHeight="false" outlineLevel="0" collapsed="false">
      <c r="C1484" s="72" t="n">
        <f aca="false">COUNTIFS($D$6:D1484,"&lt;&gt;"&amp;"")</f>
        <v>1479</v>
      </c>
      <c r="D1484" s="73" t="s">
        <v>12</v>
      </c>
      <c r="E1484" s="76" t="str">
        <f aca="false">
IF($D1484="정상",INDEX(임대자산!$D$3:$R$3000,MATCH($F1484,임대자산!$I$3:$I$3000,0),MATCH(E$3,임대자산!$D$3:$R$3,0)),
IF($D1484="폐업",INDEX(폐업정보!$D$3:$R$3000,MATCH($F1484,폐업정보!$I$3:$I$3000,0),MATCH(E$3,폐업정보!$D$3:$R$3,0)),
"Error"))</f>
        <v>경상</v>
      </c>
      <c r="F148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B1479</v>
      </c>
      <c r="G1484" s="76" t="str">
        <f aca="false">F1484&amp;RANDBETWEEN(0,10)</f>
        <v>B14792</v>
      </c>
      <c r="H1484" s="75" t="n">
        <f aca="false">
IF($D1484="정상",INDEX(임대자산!$D$3:$R$3000,MATCH($F1484,임대자산!$I$3:$I$3000,0),MATCH(H$4,임대자산!$D$3:$R$3,0)),
IF($D1484="폐업",INDEX(폐업정보!$D$3:$R$3000,MATCH($F1484,폐업정보!$I$3:$I$3000,0),MATCH(H$4,폐업정보!$D$3:$R$3,0)),
"Error"))</f>
        <v>45476</v>
      </c>
      <c r="I1484" s="75" t="str">
        <f aca="false">
IF($D1484="정상",INDEX(임대자산!$D$3:$R$3000,MATCH($F1484,임대자산!$I$3:$I$3000,0),MATCH(I$4,임대자산!$D$3:$R$3,0)),
IF($D1484="폐업",INDEX(폐업정보!$D$3:$R$3000,MATCH($F1484,폐업정보!$I$3:$I$3000,0),MATCH(I$4,폐업정보!$D$3:$R$3,0)),
"Error"))</f>
        <v>A1479</v>
      </c>
      <c r="J1484" s="75" t="str">
        <f aca="false">
IF($D1484="정상",INDEX(임대자산!$D$3:$R$3000,MATCH($F1484,임대자산!$I$3:$I$3000,0),MATCH(J$4,임대자산!$D$3:$R$3,0)),
IF($D1484="폐업",INDEX(폐업정보!$D$3:$R$3000,MATCH($F1484,폐업정보!$I$3:$I$3000,0),MATCH(J$4,폐업정보!$D$3:$R$3,0)),
"Error"))</f>
        <v>6439800000</v>
      </c>
      <c r="K1484" s="75" t="str">
        <f aca="false">
IF($D1484="정상",INDEX(임대자산!$D$3:$R$3000,MATCH($F1484,임대자산!$I$3:$I$3000,0),MATCH(K$4,임대자산!$D$3:$R$3,0)),
IF($D1484="폐업",INDEX(폐업정보!$D$3:$R$3000,MATCH($F1484,폐업정보!$I$3:$I$3000,0),MATCH(K$4,폐업정보!$D$3:$R$3,0)),
"Error"))</f>
        <v>C1479</v>
      </c>
      <c r="L1484" s="75" t="str">
        <f aca="false">
IF($D1484="정상",INDEX(임대자산!$D$3:$R$3000,MATCH($F1484,임대자산!$I$3:$I$3000,0),MATCH(L$4,임대자산!$D$3:$R$3,0)),
IF($D1484="폐업",INDEX(폐업정보!$D$3:$R$3000,MATCH($F1484,폐업정보!$I$3:$I$3000,0),MATCH(L$4,폐업정보!$D$3:$R$3,0)),
"Error"))</f>
        <v>D1479</v>
      </c>
      <c r="M1484" s="76" t="s">
        <v>96</v>
      </c>
      <c r="N1484" s="77"/>
      <c r="O1484" s="78" t="s">
        <v>97</v>
      </c>
      <c r="P1484" s="79" t="n">
        <f aca="false">COUNTIFS(임대자산!$I:$I,가맹점정보!F1484,임대자산!$N:$N,가맹점정보!P$4)</f>
        <v>0</v>
      </c>
      <c r="Q1484" s="80" t="n">
        <f aca="false">COUNTIFS(임대자산!$I:$I,가맹점정보!F1484,임대자산!$N:$N,가맹점정보!Q$4)</f>
        <v>0</v>
      </c>
      <c r="R1484" s="81" t="n">
        <f aca="false">COUNTIFS(임대자산!$I:$I,가맹점정보!F1484,임대자산!$N:$N,가맹점정보!R$4)</f>
        <v>1</v>
      </c>
      <c r="S1484" s="82" t="n">
        <v>55000</v>
      </c>
      <c r="T1484" s="83" t="n">
        <v>0</v>
      </c>
      <c r="U1484" s="80" t="n">
        <f aca="false">SUM(S1484:T1484)</f>
        <v>55000</v>
      </c>
      <c r="V1484" s="84" t="s">
        <v>7</v>
      </c>
      <c r="W1484" s="80" t="str">
        <f aca="true">
IF(D1484="폐업","폐업",
IF(V1484="면제","면제",
IF(AND(V1484="정상",COUNTIFS(OFFSET(Y1484,0,COUNTA(Y1484:AV1484)-1,1,-4),"미납")&gt;=3),"장기미납",
IF(AND(V1484="정상",OFFSET(Y1484,0,COUNTA(Y1484:AV1484)-1)&gt;=U1484),"정상",
IF(AND(V1484="정상",OFFSET(Y1484,0,COUNTA(Y1484:AV1484)-1)=0),"정상",
"계약서 미작성")))))</f>
        <v>면제</v>
      </c>
      <c r="X1484" s="81" t="str">
        <f aca="true">
IF(D1484="폐업","폐업",
IF(AND(V1484="정상",OFFSET(Y1484,0,COUNTA(Y1484:AV1484)-1)="미납"),"미납",
IF(AND(V1484="정상",OFFSET(Y1484,0,COUNTA(Y1484:AV1484)-1)=0),"납부 시작 전",
IF(AND(V1484="정상",OFFSET(Y1484,0,COUNTA(Y1484:AV1484)-1)&gt;=U1484),"정상",
IF(AND(V1484="면제",OFFSET(Y1484,0,COUNTA(Y1484:AV1484)-1)="면제"),"면제",
IF(AND(V1484="면제",OFFSET(Y1484,0,COUNTA(Y1484:AV1484)-1)=0),"면제",
"확인요청"))))))</f>
        <v>면제</v>
      </c>
      <c r="Y1484" s="94" t="s">
        <v>7</v>
      </c>
      <c r="Z1484" s="95" t="s">
        <v>7</v>
      </c>
      <c r="AA1484" s="95" t="s">
        <v>7</v>
      </c>
      <c r="AB1484" s="95" t="s">
        <v>7</v>
      </c>
      <c r="AC1484" s="95" t="s">
        <v>7</v>
      </c>
      <c r="AD1484" s="95" t="s">
        <v>7</v>
      </c>
      <c r="AE1484" s="95" t="s">
        <v>7</v>
      </c>
      <c r="AF1484" s="95" t="s">
        <v>7</v>
      </c>
      <c r="AG1484" s="95" t="s">
        <v>7</v>
      </c>
      <c r="AH1484" s="95" t="s">
        <v>7</v>
      </c>
      <c r="AI1484" s="95" t="s">
        <v>7</v>
      </c>
      <c r="AJ1484" s="96" t="s">
        <v>7</v>
      </c>
      <c r="AK1484" s="97" t="s">
        <v>7</v>
      </c>
      <c r="AL1484" s="95" t="s">
        <v>7</v>
      </c>
      <c r="AM1484" s="90"/>
      <c r="AN1484" s="90"/>
      <c r="AO1484" s="90"/>
      <c r="AP1484" s="90"/>
      <c r="AQ1484" s="90"/>
      <c r="AR1484" s="90"/>
      <c r="AS1484" s="90"/>
      <c r="AT1484" s="90"/>
      <c r="AU1484" s="90"/>
      <c r="AV1484" s="91"/>
      <c r="AX1484" s="92"/>
    </row>
    <row r="1485" customFormat="false" ht="15.65" hidden="false" customHeight="false" outlineLevel="0" collapsed="false">
      <c r="C1485" s="72" t="n">
        <f aca="false">COUNTIFS($D$6:D1485,"&lt;&gt;"&amp;"")</f>
        <v>1480</v>
      </c>
      <c r="D1485" s="73" t="s">
        <v>12</v>
      </c>
      <c r="E1485" s="76" t="str">
        <f aca="false">
IF($D1485="정상",INDEX(임대자산!$D$3:$R$3000,MATCH($F1485,임대자산!$I$3:$I$3000,0),MATCH(E$3,임대자산!$D$3:$R$3,0)),
IF($D1485="폐업",INDEX(폐업정보!$D$3:$R$3000,MATCH($F1485,폐업정보!$I$3:$I$3000,0),MATCH(E$3,폐업정보!$D$3:$R$3,0)),
"Error"))</f>
        <v>서울</v>
      </c>
      <c r="F148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B1480</v>
      </c>
      <c r="G1485" s="76" t="str">
        <f aca="false">F1485&amp;RANDBETWEEN(0,10)</f>
        <v>B14801</v>
      </c>
      <c r="H1485" s="75" t="n">
        <f aca="false">
IF($D1485="정상",INDEX(임대자산!$D$3:$R$3000,MATCH($F1485,임대자산!$I$3:$I$3000,0),MATCH(H$4,임대자산!$D$3:$R$3,0)),
IF($D1485="폐업",INDEX(폐업정보!$D$3:$R$3000,MATCH($F1485,폐업정보!$I$3:$I$3000,0),MATCH(H$4,폐업정보!$D$3:$R$3,0)),
"Error"))</f>
        <v>45471</v>
      </c>
      <c r="I1485" s="75" t="str">
        <f aca="false">
IF($D1485="정상",INDEX(임대자산!$D$3:$R$3000,MATCH($F1485,임대자산!$I$3:$I$3000,0),MATCH(I$4,임대자산!$D$3:$R$3,0)),
IF($D1485="폐업",INDEX(폐업정보!$D$3:$R$3000,MATCH($F1485,폐업정보!$I$3:$I$3000,0),MATCH(I$4,폐업정보!$D$3:$R$3,0)),
"Error"))</f>
        <v>A1480</v>
      </c>
      <c r="J1485" s="75" t="str">
        <f aca="false">
IF($D1485="정상",INDEX(임대자산!$D$3:$R$3000,MATCH($F1485,임대자산!$I$3:$I$3000,0),MATCH(J$4,임대자산!$D$3:$R$3,0)),
IF($D1485="폐업",INDEX(폐업정보!$D$3:$R$3000,MATCH($F1485,폐업정보!$I$3:$I$3000,0),MATCH(J$4,폐업정보!$D$3:$R$3,0)),
"Error"))</f>
        <v>4595500000</v>
      </c>
      <c r="K1485" s="75" t="str">
        <f aca="false">
IF($D1485="정상",INDEX(임대자산!$D$3:$R$3000,MATCH($F1485,임대자산!$I$3:$I$3000,0),MATCH(K$4,임대자산!$D$3:$R$3,0)),
IF($D1485="폐업",INDEX(폐업정보!$D$3:$R$3000,MATCH($F1485,폐업정보!$I$3:$I$3000,0),MATCH(K$4,폐업정보!$D$3:$R$3,0)),
"Error"))</f>
        <v>C1480</v>
      </c>
      <c r="L1485" s="75" t="str">
        <f aca="false">
IF($D1485="정상",INDEX(임대자산!$D$3:$R$3000,MATCH($F1485,임대자산!$I$3:$I$3000,0),MATCH(L$4,임대자산!$D$3:$R$3,0)),
IF($D1485="폐업",INDEX(폐업정보!$D$3:$R$3000,MATCH($F1485,폐업정보!$I$3:$I$3000,0),MATCH(L$4,폐업정보!$D$3:$R$3,0)),
"Error"))</f>
        <v>D1480</v>
      </c>
      <c r="M1485" s="76" t="s">
        <v>96</v>
      </c>
      <c r="N1485" s="77"/>
      <c r="O1485" s="78" t="s">
        <v>97</v>
      </c>
      <c r="P1485" s="79" t="n">
        <f aca="false">COUNTIFS(임대자산!$I:$I,가맹점정보!F1485,임대자산!$N:$N,가맹점정보!P$4)</f>
        <v>0</v>
      </c>
      <c r="Q1485" s="80" t="n">
        <f aca="false">COUNTIFS(임대자산!$I:$I,가맹점정보!F1485,임대자산!$N:$N,가맹점정보!Q$4)</f>
        <v>0</v>
      </c>
      <c r="R1485" s="81" t="n">
        <f aca="false">COUNTIFS(임대자산!$I:$I,가맹점정보!F1485,임대자산!$N:$N,가맹점정보!R$4)</f>
        <v>1</v>
      </c>
      <c r="S1485" s="82" t="n">
        <v>88000</v>
      </c>
      <c r="T1485" s="83" t="n">
        <v>0</v>
      </c>
      <c r="U1485" s="80" t="n">
        <f aca="false">SUM(S1485:T1485)</f>
        <v>88000</v>
      </c>
      <c r="V1485" s="84" t="s">
        <v>7</v>
      </c>
      <c r="W1485" s="80" t="str">
        <f aca="true">
IF(D1485="폐업","폐업",
IF(V1485="면제","면제",
IF(AND(V1485="정상",COUNTIFS(OFFSET(Y1485,0,COUNTA(Y1485:AV1485)-1,1,-4),"미납")&gt;=3),"장기미납",
IF(AND(V1485="정상",OFFSET(Y1485,0,COUNTA(Y1485:AV1485)-1)&gt;=U1485),"정상",
IF(AND(V1485="정상",OFFSET(Y1485,0,COUNTA(Y1485:AV1485)-1)=0),"정상",
"계약서 미작성")))))</f>
        <v>면제</v>
      </c>
      <c r="X1485" s="81" t="str">
        <f aca="true">
IF(D1485="폐업","폐업",
IF(AND(V1485="정상",OFFSET(Y1485,0,COUNTA(Y1485:AV1485)-1)="미납"),"미납",
IF(AND(V1485="정상",OFFSET(Y1485,0,COUNTA(Y1485:AV1485)-1)=0),"납부 시작 전",
IF(AND(V1485="정상",OFFSET(Y1485,0,COUNTA(Y1485:AV1485)-1)&gt;=U1485),"정상",
IF(AND(V1485="면제",OFFSET(Y1485,0,COUNTA(Y1485:AV1485)-1)="면제"),"면제",
IF(AND(V1485="면제",OFFSET(Y1485,0,COUNTA(Y1485:AV1485)-1)=0),"면제",
"확인요청"))))))</f>
        <v>면제</v>
      </c>
      <c r="Y1485" s="94" t="s">
        <v>7</v>
      </c>
      <c r="Z1485" s="95" t="s">
        <v>7</v>
      </c>
      <c r="AA1485" s="95" t="s">
        <v>7</v>
      </c>
      <c r="AB1485" s="95" t="s">
        <v>7</v>
      </c>
      <c r="AC1485" s="95" t="s">
        <v>7</v>
      </c>
      <c r="AD1485" s="95" t="s">
        <v>7</v>
      </c>
      <c r="AE1485" s="95" t="s">
        <v>7</v>
      </c>
      <c r="AF1485" s="95" t="s">
        <v>7</v>
      </c>
      <c r="AG1485" s="95" t="s">
        <v>7</v>
      </c>
      <c r="AH1485" s="95" t="s">
        <v>7</v>
      </c>
      <c r="AI1485" s="95" t="s">
        <v>7</v>
      </c>
      <c r="AJ1485" s="96" t="s">
        <v>7</v>
      </c>
      <c r="AK1485" s="97" t="s">
        <v>7</v>
      </c>
      <c r="AL1485" s="95" t="s">
        <v>7</v>
      </c>
      <c r="AM1485" s="90"/>
      <c r="AN1485" s="90"/>
      <c r="AO1485" s="90"/>
      <c r="AP1485" s="90"/>
      <c r="AQ1485" s="90"/>
      <c r="AR1485" s="90"/>
      <c r="AS1485" s="90"/>
      <c r="AT1485" s="90"/>
      <c r="AU1485" s="90"/>
      <c r="AV1485" s="91"/>
      <c r="AX1485" s="92"/>
    </row>
    <row r="1486" customFormat="false" ht="15.65" hidden="false" customHeight="false" outlineLevel="0" collapsed="false">
      <c r="C1486" s="72" t="n">
        <f aca="false">COUNTIFS($D$6:D1486,"&lt;&gt;"&amp;"")</f>
        <v>1481</v>
      </c>
      <c r="D1486" s="73" t="s">
        <v>12</v>
      </c>
      <c r="E1486" s="76" t="str">
        <f aca="false">
IF($D1486="정상",INDEX(임대자산!$D$3:$R$3000,MATCH($F1486,임대자산!$I$3:$I$3000,0),MATCH(E$3,임대자산!$D$3:$R$3,0)),
IF($D1486="폐업",INDEX(폐업정보!$D$3:$R$3000,MATCH($F1486,폐업정보!$I$3:$I$3000,0),MATCH(E$3,폐업정보!$D$3:$R$3,0)),
"Error"))</f>
        <v>경기</v>
      </c>
      <c r="F148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B1481</v>
      </c>
      <c r="G1486" s="76" t="str">
        <f aca="false">F1486&amp;RANDBETWEEN(0,10)</f>
        <v>B14819</v>
      </c>
      <c r="H1486" s="75" t="n">
        <f aca="false">
IF($D1486="정상",INDEX(임대자산!$D$3:$R$3000,MATCH($F1486,임대자산!$I$3:$I$3000,0),MATCH(H$4,임대자산!$D$3:$R$3,0)),
IF($D1486="폐업",INDEX(폐업정보!$D$3:$R$3000,MATCH($F1486,폐업정보!$I$3:$I$3000,0),MATCH(H$4,폐업정보!$D$3:$R$3,0)),
"Error"))</f>
        <v>45476</v>
      </c>
      <c r="I1486" s="75" t="str">
        <f aca="false">
IF($D1486="정상",INDEX(임대자산!$D$3:$R$3000,MATCH($F1486,임대자산!$I$3:$I$3000,0),MATCH(I$4,임대자산!$D$3:$R$3,0)),
IF($D1486="폐업",INDEX(폐업정보!$D$3:$R$3000,MATCH($F1486,폐업정보!$I$3:$I$3000,0),MATCH(I$4,폐업정보!$D$3:$R$3,0)),
"Error"))</f>
        <v>A1481</v>
      </c>
      <c r="J1486" s="75" t="str">
        <f aca="false">
IF($D1486="정상",INDEX(임대자산!$D$3:$R$3000,MATCH($F1486,임대자산!$I$3:$I$3000,0),MATCH(J$4,임대자산!$D$3:$R$3,0)),
IF($D1486="폐업",INDEX(폐업정보!$D$3:$R$3000,MATCH($F1486,폐업정보!$I$3:$I$3000,0),MATCH(J$4,폐업정보!$D$3:$R$3,0)),
"Error"))</f>
        <v>6452400000</v>
      </c>
      <c r="K1486" s="75" t="str">
        <f aca="false">
IF($D1486="정상",INDEX(임대자산!$D$3:$R$3000,MATCH($F1486,임대자산!$I$3:$I$3000,0),MATCH(K$4,임대자산!$D$3:$R$3,0)),
IF($D1486="폐업",INDEX(폐업정보!$D$3:$R$3000,MATCH($F1486,폐업정보!$I$3:$I$3000,0),MATCH(K$4,폐업정보!$D$3:$R$3,0)),
"Error"))</f>
        <v>C1481</v>
      </c>
      <c r="L1486" s="75" t="str">
        <f aca="false">
IF($D1486="정상",INDEX(임대자산!$D$3:$R$3000,MATCH($F1486,임대자산!$I$3:$I$3000,0),MATCH(L$4,임대자산!$D$3:$R$3,0)),
IF($D1486="폐업",INDEX(폐업정보!$D$3:$R$3000,MATCH($F1486,폐업정보!$I$3:$I$3000,0),MATCH(L$4,폐업정보!$D$3:$R$3,0)),
"Error"))</f>
        <v>D1481</v>
      </c>
      <c r="M1486" s="76" t="s">
        <v>96</v>
      </c>
      <c r="N1486" s="77"/>
      <c r="O1486" s="78" t="s">
        <v>97</v>
      </c>
      <c r="P1486" s="79" t="n">
        <f aca="false">COUNTIFS(임대자산!$I:$I,가맹점정보!F1486,임대자산!$N:$N,가맹점정보!P$4)</f>
        <v>0</v>
      </c>
      <c r="Q1486" s="80" t="n">
        <f aca="false">COUNTIFS(임대자산!$I:$I,가맹점정보!F1486,임대자산!$N:$N,가맹점정보!Q$4)</f>
        <v>0</v>
      </c>
      <c r="R1486" s="81" t="n">
        <f aca="false">COUNTIFS(임대자산!$I:$I,가맹점정보!F1486,임대자산!$N:$N,가맹점정보!R$4)</f>
        <v>1</v>
      </c>
      <c r="S1486" s="82" t="n">
        <v>55000</v>
      </c>
      <c r="T1486" s="83" t="n">
        <v>0</v>
      </c>
      <c r="U1486" s="80" t="n">
        <f aca="false">SUM(S1486:T1486)</f>
        <v>55000</v>
      </c>
      <c r="V1486" s="84" t="s">
        <v>7</v>
      </c>
      <c r="W1486" s="80" t="str">
        <f aca="true">
IF(D1486="폐업","폐업",
IF(V1486="면제","면제",
IF(AND(V1486="정상",COUNTIFS(OFFSET(Y1486,0,COUNTA(Y1486:AV1486)-1,1,-4),"미납")&gt;=3),"장기미납",
IF(AND(V1486="정상",OFFSET(Y1486,0,COUNTA(Y1486:AV1486)-1)&gt;=U1486),"정상",
IF(AND(V1486="정상",OFFSET(Y1486,0,COUNTA(Y1486:AV1486)-1)=0),"정상",
"계약서 미작성")))))</f>
        <v>면제</v>
      </c>
      <c r="X1486" s="81" t="str">
        <f aca="true">
IF(D1486="폐업","폐업",
IF(AND(V1486="정상",OFFSET(Y1486,0,COUNTA(Y1486:AV1486)-1)="미납"),"미납",
IF(AND(V1486="정상",OFFSET(Y1486,0,COUNTA(Y1486:AV1486)-1)=0),"납부 시작 전",
IF(AND(V1486="정상",OFFSET(Y1486,0,COUNTA(Y1486:AV1486)-1)&gt;=U1486),"정상",
IF(AND(V1486="면제",OFFSET(Y1486,0,COUNTA(Y1486:AV1486)-1)="면제"),"면제",
IF(AND(V1486="면제",OFFSET(Y1486,0,COUNTA(Y1486:AV1486)-1)=0),"면제",
"확인요청"))))))</f>
        <v>면제</v>
      </c>
      <c r="Y1486" s="94" t="s">
        <v>7</v>
      </c>
      <c r="Z1486" s="95" t="s">
        <v>7</v>
      </c>
      <c r="AA1486" s="95" t="s">
        <v>7</v>
      </c>
      <c r="AB1486" s="95" t="s">
        <v>7</v>
      </c>
      <c r="AC1486" s="95" t="s">
        <v>7</v>
      </c>
      <c r="AD1486" s="95" t="s">
        <v>7</v>
      </c>
      <c r="AE1486" s="95" t="s">
        <v>7</v>
      </c>
      <c r="AF1486" s="95" t="s">
        <v>7</v>
      </c>
      <c r="AG1486" s="95" t="s">
        <v>7</v>
      </c>
      <c r="AH1486" s="95" t="s">
        <v>7</v>
      </c>
      <c r="AI1486" s="95" t="s">
        <v>7</v>
      </c>
      <c r="AJ1486" s="96" t="s">
        <v>7</v>
      </c>
      <c r="AK1486" s="97" t="s">
        <v>7</v>
      </c>
      <c r="AL1486" s="95" t="s">
        <v>7</v>
      </c>
      <c r="AM1486" s="90"/>
      <c r="AN1486" s="90"/>
      <c r="AO1486" s="90"/>
      <c r="AP1486" s="90"/>
      <c r="AQ1486" s="90"/>
      <c r="AR1486" s="90"/>
      <c r="AS1486" s="90"/>
      <c r="AT1486" s="90"/>
      <c r="AU1486" s="90"/>
      <c r="AV1486" s="91"/>
      <c r="AX1486" s="92"/>
    </row>
    <row r="1487" customFormat="false" ht="15.65" hidden="false" customHeight="false" outlineLevel="0" collapsed="false">
      <c r="C1487" s="72" t="n">
        <f aca="false">COUNTIFS($D$6:D1487,"&lt;&gt;"&amp;"")</f>
        <v>1482</v>
      </c>
      <c r="D1487" s="73" t="s">
        <v>12</v>
      </c>
      <c r="E1487" s="76" t="str">
        <f aca="false">
IF($D1487="정상",INDEX(임대자산!$D$3:$R$3000,MATCH($F1487,임대자산!$I$3:$I$3000,0),MATCH(E$3,임대자산!$D$3:$R$3,0)),
IF($D1487="폐업",INDEX(폐업정보!$D$3:$R$3000,MATCH($F1487,폐업정보!$I$3:$I$3000,0),MATCH(E$3,폐업정보!$D$3:$R$3,0)),
"Error"))</f>
        <v>경기</v>
      </c>
      <c r="F148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B1482</v>
      </c>
      <c r="G1487" s="76" t="str">
        <f aca="false">F1487&amp;RANDBETWEEN(0,10)</f>
        <v>B14828</v>
      </c>
      <c r="H1487" s="75" t="n">
        <f aca="false">
IF($D1487="정상",INDEX(임대자산!$D$3:$R$3000,MATCH($F1487,임대자산!$I$3:$I$3000,0),MATCH(H$4,임대자산!$D$3:$R$3,0)),
IF($D1487="폐업",INDEX(폐업정보!$D$3:$R$3000,MATCH($F1487,폐업정보!$I$3:$I$3000,0),MATCH(H$4,폐업정보!$D$3:$R$3,0)),
"Error"))</f>
        <v>45476</v>
      </c>
      <c r="I1487" s="75" t="str">
        <f aca="false">
IF($D1487="정상",INDEX(임대자산!$D$3:$R$3000,MATCH($F1487,임대자산!$I$3:$I$3000,0),MATCH(I$4,임대자산!$D$3:$R$3,0)),
IF($D1487="폐업",INDEX(폐업정보!$D$3:$R$3000,MATCH($F1487,폐업정보!$I$3:$I$3000,0),MATCH(I$4,폐업정보!$D$3:$R$3,0)),
"Error"))</f>
        <v>A1482</v>
      </c>
      <c r="J1487" s="75" t="str">
        <f aca="false">
IF($D1487="정상",INDEX(임대자산!$D$3:$R$3000,MATCH($F1487,임대자산!$I$3:$I$3000,0),MATCH(J$4,임대자산!$D$3:$R$3,0)),
IF($D1487="폐업",INDEX(폐업정보!$D$3:$R$3000,MATCH($F1487,폐업정보!$I$3:$I$3000,0),MATCH(J$4,폐업정보!$D$3:$R$3,0)),
"Error"))</f>
        <v>8434900000</v>
      </c>
      <c r="K1487" s="75" t="str">
        <f aca="false">
IF($D1487="정상",INDEX(임대자산!$D$3:$R$3000,MATCH($F1487,임대자산!$I$3:$I$3000,0),MATCH(K$4,임대자산!$D$3:$R$3,0)),
IF($D1487="폐업",INDEX(폐업정보!$D$3:$R$3000,MATCH($F1487,폐업정보!$I$3:$I$3000,0),MATCH(K$4,폐업정보!$D$3:$R$3,0)),
"Error"))</f>
        <v>C1482</v>
      </c>
      <c r="L1487" s="75" t="str">
        <f aca="false">
IF($D1487="정상",INDEX(임대자산!$D$3:$R$3000,MATCH($F1487,임대자산!$I$3:$I$3000,0),MATCH(L$4,임대자산!$D$3:$R$3,0)),
IF($D1487="폐업",INDEX(폐업정보!$D$3:$R$3000,MATCH($F1487,폐업정보!$I$3:$I$3000,0),MATCH(L$4,폐업정보!$D$3:$R$3,0)),
"Error"))</f>
        <v>D1482</v>
      </c>
      <c r="M1487" s="76" t="s">
        <v>96</v>
      </c>
      <c r="N1487" s="77"/>
      <c r="O1487" s="78" t="s">
        <v>97</v>
      </c>
      <c r="P1487" s="79" t="n">
        <f aca="false">COUNTIFS(임대자산!$I:$I,가맹점정보!F1487,임대자산!$N:$N,가맹점정보!P$4)</f>
        <v>0</v>
      </c>
      <c r="Q1487" s="80" t="n">
        <f aca="false">COUNTIFS(임대자산!$I:$I,가맹점정보!F1487,임대자산!$N:$N,가맹점정보!Q$4)</f>
        <v>0</v>
      </c>
      <c r="R1487" s="81" t="n">
        <f aca="false">COUNTIFS(임대자산!$I:$I,가맹점정보!F1487,임대자산!$N:$N,가맹점정보!R$4)</f>
        <v>1</v>
      </c>
      <c r="S1487" s="82" t="n">
        <v>55000</v>
      </c>
      <c r="T1487" s="83" t="n">
        <v>0</v>
      </c>
      <c r="U1487" s="80" t="n">
        <f aca="false">SUM(S1487:T1487)</f>
        <v>55000</v>
      </c>
      <c r="V1487" s="84" t="s">
        <v>7</v>
      </c>
      <c r="W1487" s="80" t="str">
        <f aca="true">
IF(D1487="폐업","폐업",
IF(V1487="면제","면제",
IF(AND(V1487="정상",COUNTIFS(OFFSET(Y1487,0,COUNTA(Y1487:AV1487)-1,1,-4),"미납")&gt;=3),"장기미납",
IF(AND(V1487="정상",OFFSET(Y1487,0,COUNTA(Y1487:AV1487)-1)&gt;=U1487),"정상",
IF(AND(V1487="정상",OFFSET(Y1487,0,COUNTA(Y1487:AV1487)-1)=0),"정상",
"계약서 미작성")))))</f>
        <v>면제</v>
      </c>
      <c r="X1487" s="81" t="str">
        <f aca="true">
IF(D1487="폐업","폐업",
IF(AND(V1487="정상",OFFSET(Y1487,0,COUNTA(Y1487:AV1487)-1)="미납"),"미납",
IF(AND(V1487="정상",OFFSET(Y1487,0,COUNTA(Y1487:AV1487)-1)=0),"납부 시작 전",
IF(AND(V1487="정상",OFFSET(Y1487,0,COUNTA(Y1487:AV1487)-1)&gt;=U1487),"정상",
IF(AND(V1487="면제",OFFSET(Y1487,0,COUNTA(Y1487:AV1487)-1)="면제"),"면제",
IF(AND(V1487="면제",OFFSET(Y1487,0,COUNTA(Y1487:AV1487)-1)=0),"면제",
"확인요청"))))))</f>
        <v>면제</v>
      </c>
      <c r="Y1487" s="94" t="s">
        <v>7</v>
      </c>
      <c r="Z1487" s="95" t="s">
        <v>7</v>
      </c>
      <c r="AA1487" s="95" t="s">
        <v>7</v>
      </c>
      <c r="AB1487" s="95" t="s">
        <v>7</v>
      </c>
      <c r="AC1487" s="95" t="s">
        <v>7</v>
      </c>
      <c r="AD1487" s="95" t="s">
        <v>7</v>
      </c>
      <c r="AE1487" s="95" t="s">
        <v>7</v>
      </c>
      <c r="AF1487" s="95" t="s">
        <v>7</v>
      </c>
      <c r="AG1487" s="95" t="s">
        <v>7</v>
      </c>
      <c r="AH1487" s="95" t="s">
        <v>7</v>
      </c>
      <c r="AI1487" s="95" t="s">
        <v>7</v>
      </c>
      <c r="AJ1487" s="96" t="s">
        <v>7</v>
      </c>
      <c r="AK1487" s="97" t="s">
        <v>7</v>
      </c>
      <c r="AL1487" s="95" t="s">
        <v>7</v>
      </c>
      <c r="AM1487" s="90"/>
      <c r="AN1487" s="90"/>
      <c r="AO1487" s="90"/>
      <c r="AP1487" s="90"/>
      <c r="AQ1487" s="90"/>
      <c r="AR1487" s="90"/>
      <c r="AS1487" s="90"/>
      <c r="AT1487" s="90"/>
      <c r="AU1487" s="90"/>
      <c r="AV1487" s="91"/>
      <c r="AX1487" s="92"/>
    </row>
    <row r="1488" customFormat="false" ht="15.65" hidden="false" customHeight="false" outlineLevel="0" collapsed="false">
      <c r="C1488" s="72" t="n">
        <f aca="false">COUNTIFS($D$6:D1488,"&lt;&gt;"&amp;"")</f>
        <v>1483</v>
      </c>
      <c r="D1488" s="73" t="s">
        <v>12</v>
      </c>
      <c r="E1488" s="76" t="str">
        <f aca="false">
IF($D1488="정상",INDEX(임대자산!$D$3:$R$3000,MATCH($F1488,임대자산!$I$3:$I$3000,0),MATCH(E$3,임대자산!$D$3:$R$3,0)),
IF($D1488="폐업",INDEX(폐업정보!$D$3:$R$3000,MATCH($F1488,폐업정보!$I$3:$I$3000,0),MATCH(E$3,폐업정보!$D$3:$R$3,0)),
"Error"))</f>
        <v>서울</v>
      </c>
      <c r="F148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B1483</v>
      </c>
      <c r="G1488" s="76" t="str">
        <f aca="false">F1488&amp;RANDBETWEEN(0,10)</f>
        <v>B148310</v>
      </c>
      <c r="H1488" s="75" t="n">
        <f aca="false">
IF($D1488="정상",INDEX(임대자산!$D$3:$R$3000,MATCH($F1488,임대자산!$I$3:$I$3000,0),MATCH(H$4,임대자산!$D$3:$R$3,0)),
IF($D1488="폐업",INDEX(폐업정보!$D$3:$R$3000,MATCH($F1488,폐업정보!$I$3:$I$3000,0),MATCH(H$4,폐업정보!$D$3:$R$3,0)),
"Error"))</f>
        <v>45475</v>
      </c>
      <c r="I1488" s="75" t="str">
        <f aca="false">
IF($D1488="정상",INDEX(임대자산!$D$3:$R$3000,MATCH($F1488,임대자산!$I$3:$I$3000,0),MATCH(I$4,임대자산!$D$3:$R$3,0)),
IF($D1488="폐업",INDEX(폐업정보!$D$3:$R$3000,MATCH($F1488,폐업정보!$I$3:$I$3000,0),MATCH(I$4,폐업정보!$D$3:$R$3,0)),
"Error"))</f>
        <v>A1483</v>
      </c>
      <c r="J1488" s="75" t="str">
        <f aca="false">
IF($D1488="정상",INDEX(임대자산!$D$3:$R$3000,MATCH($F1488,임대자산!$I$3:$I$3000,0),MATCH(J$4,임대자산!$D$3:$R$3,0)),
IF($D1488="폐업",INDEX(폐업정보!$D$3:$R$3000,MATCH($F1488,폐업정보!$I$3:$I$3000,0),MATCH(J$4,폐업정보!$D$3:$R$3,0)),
"Error"))</f>
        <v>2810500000</v>
      </c>
      <c r="K1488" s="75" t="str">
        <f aca="false">
IF($D1488="정상",INDEX(임대자산!$D$3:$R$3000,MATCH($F1488,임대자산!$I$3:$I$3000,0),MATCH(K$4,임대자산!$D$3:$R$3,0)),
IF($D1488="폐업",INDEX(폐업정보!$D$3:$R$3000,MATCH($F1488,폐업정보!$I$3:$I$3000,0),MATCH(K$4,폐업정보!$D$3:$R$3,0)),
"Error"))</f>
        <v>C1483</v>
      </c>
      <c r="L1488" s="75" t="str">
        <f aca="false">
IF($D1488="정상",INDEX(임대자산!$D$3:$R$3000,MATCH($F1488,임대자산!$I$3:$I$3000,0),MATCH(L$4,임대자산!$D$3:$R$3,0)),
IF($D1488="폐업",INDEX(폐업정보!$D$3:$R$3000,MATCH($F1488,폐업정보!$I$3:$I$3000,0),MATCH(L$4,폐업정보!$D$3:$R$3,0)),
"Error"))</f>
        <v>D1483</v>
      </c>
      <c r="M1488" s="76" t="s">
        <v>96</v>
      </c>
      <c r="N1488" s="77"/>
      <c r="O1488" s="78" t="s">
        <v>97</v>
      </c>
      <c r="P1488" s="79" t="n">
        <f aca="false">COUNTIFS(임대자산!$I:$I,가맹점정보!F1488,임대자산!$N:$N,가맹점정보!P$4)</f>
        <v>0</v>
      </c>
      <c r="Q1488" s="80" t="n">
        <f aca="false">COUNTIFS(임대자산!$I:$I,가맹점정보!F1488,임대자산!$N:$N,가맹점정보!Q$4)</f>
        <v>0</v>
      </c>
      <c r="R1488" s="81" t="n">
        <f aca="false">COUNTIFS(임대자산!$I:$I,가맹점정보!F1488,임대자산!$N:$N,가맹점정보!R$4)</f>
        <v>1</v>
      </c>
      <c r="S1488" s="82" t="n">
        <v>88000</v>
      </c>
      <c r="T1488" s="83" t="n">
        <v>0</v>
      </c>
      <c r="U1488" s="80" t="n">
        <f aca="false">SUM(S1488:T1488)</f>
        <v>88000</v>
      </c>
      <c r="V1488" s="84" t="s">
        <v>7</v>
      </c>
      <c r="W1488" s="80" t="str">
        <f aca="true">
IF(D1488="폐업","폐업",
IF(V1488="면제","면제",
IF(AND(V1488="정상",COUNTIFS(OFFSET(Y1488,0,COUNTA(Y1488:AV1488)-1,1,-4),"미납")&gt;=3),"장기미납",
IF(AND(V1488="정상",OFFSET(Y1488,0,COUNTA(Y1488:AV1488)-1)&gt;=U1488),"정상",
IF(AND(V1488="정상",OFFSET(Y1488,0,COUNTA(Y1488:AV1488)-1)=0),"정상",
"계약서 미작성")))))</f>
        <v>면제</v>
      </c>
      <c r="X1488" s="81" t="str">
        <f aca="true">
IF(D1488="폐업","폐업",
IF(AND(V1488="정상",OFFSET(Y1488,0,COUNTA(Y1488:AV1488)-1)="미납"),"미납",
IF(AND(V1488="정상",OFFSET(Y1488,0,COUNTA(Y1488:AV1488)-1)=0),"납부 시작 전",
IF(AND(V1488="정상",OFFSET(Y1488,0,COUNTA(Y1488:AV1488)-1)&gt;=U1488),"정상",
IF(AND(V1488="면제",OFFSET(Y1488,0,COUNTA(Y1488:AV1488)-1)="면제"),"면제",
IF(AND(V1488="면제",OFFSET(Y1488,0,COUNTA(Y1488:AV1488)-1)=0),"면제",
"확인요청"))))))</f>
        <v>면제</v>
      </c>
      <c r="Y1488" s="94" t="s">
        <v>7</v>
      </c>
      <c r="Z1488" s="95" t="s">
        <v>7</v>
      </c>
      <c r="AA1488" s="95" t="s">
        <v>7</v>
      </c>
      <c r="AB1488" s="95" t="s">
        <v>7</v>
      </c>
      <c r="AC1488" s="95" t="s">
        <v>7</v>
      </c>
      <c r="AD1488" s="95" t="s">
        <v>7</v>
      </c>
      <c r="AE1488" s="95" t="s">
        <v>7</v>
      </c>
      <c r="AF1488" s="95" t="s">
        <v>7</v>
      </c>
      <c r="AG1488" s="95" t="s">
        <v>7</v>
      </c>
      <c r="AH1488" s="95" t="s">
        <v>7</v>
      </c>
      <c r="AI1488" s="95" t="s">
        <v>7</v>
      </c>
      <c r="AJ1488" s="96" t="s">
        <v>7</v>
      </c>
      <c r="AK1488" s="97" t="s">
        <v>7</v>
      </c>
      <c r="AL1488" s="95" t="s">
        <v>7</v>
      </c>
      <c r="AM1488" s="90"/>
      <c r="AN1488" s="90"/>
      <c r="AO1488" s="90"/>
      <c r="AP1488" s="90"/>
      <c r="AQ1488" s="90"/>
      <c r="AR1488" s="90"/>
      <c r="AS1488" s="90"/>
      <c r="AT1488" s="90"/>
      <c r="AU1488" s="90"/>
      <c r="AV1488" s="91"/>
      <c r="AX1488" s="92"/>
    </row>
    <row r="1489" customFormat="false" ht="15.65" hidden="false" customHeight="false" outlineLevel="0" collapsed="false">
      <c r="C1489" s="72" t="n">
        <f aca="false">COUNTIFS($D$6:D1489,"&lt;&gt;"&amp;"")</f>
        <v>1484</v>
      </c>
      <c r="D1489" s="73" t="s">
        <v>12</v>
      </c>
      <c r="E1489" s="76" t="str">
        <f aca="false">
IF($D1489="정상",INDEX(임대자산!$D$3:$R$3000,MATCH($F1489,임대자산!$I$3:$I$3000,0),MATCH(E$3,임대자산!$D$3:$R$3,0)),
IF($D1489="폐업",INDEX(폐업정보!$D$3:$R$3000,MATCH($F1489,폐업정보!$I$3:$I$3000,0),MATCH(E$3,폐업정보!$D$3:$R$3,0)),
"Error"))</f>
        <v>서울</v>
      </c>
      <c r="F148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B1484</v>
      </c>
      <c r="G1489" s="76" t="str">
        <f aca="false">F1489&amp;RANDBETWEEN(0,10)</f>
        <v>B14843</v>
      </c>
      <c r="H1489" s="75" t="n">
        <f aca="false">
IF($D1489="정상",INDEX(임대자산!$D$3:$R$3000,MATCH($F1489,임대자산!$I$3:$I$3000,0),MATCH(H$4,임대자산!$D$3:$R$3,0)),
IF($D1489="폐업",INDEX(폐업정보!$D$3:$R$3000,MATCH($F1489,폐업정보!$I$3:$I$3000,0),MATCH(H$4,폐업정보!$D$3:$R$3,0)),
"Error"))</f>
        <v>45475</v>
      </c>
      <c r="I1489" s="75" t="str">
        <f aca="false">
IF($D1489="정상",INDEX(임대자산!$D$3:$R$3000,MATCH($F1489,임대자산!$I$3:$I$3000,0),MATCH(I$4,임대자산!$D$3:$R$3,0)),
IF($D1489="폐업",INDEX(폐업정보!$D$3:$R$3000,MATCH($F1489,폐업정보!$I$3:$I$3000,0),MATCH(I$4,폐업정보!$D$3:$R$3,0)),
"Error"))</f>
        <v>A1484</v>
      </c>
      <c r="J1489" s="75" t="str">
        <f aca="false">
IF($D1489="정상",INDEX(임대자산!$D$3:$R$3000,MATCH($F1489,임대자산!$I$3:$I$3000,0),MATCH(J$4,임대자산!$D$3:$R$3,0)),
IF($D1489="폐업",INDEX(폐업정보!$D$3:$R$3000,MATCH($F1489,폐업정보!$I$3:$I$3000,0),MATCH(J$4,폐업정보!$D$3:$R$3,0)),
"Error"))</f>
        <v>4836100000</v>
      </c>
      <c r="K1489" s="75" t="str">
        <f aca="false">
IF($D1489="정상",INDEX(임대자산!$D$3:$R$3000,MATCH($F1489,임대자산!$I$3:$I$3000,0),MATCH(K$4,임대자산!$D$3:$R$3,0)),
IF($D1489="폐업",INDEX(폐업정보!$D$3:$R$3000,MATCH($F1489,폐업정보!$I$3:$I$3000,0),MATCH(K$4,폐업정보!$D$3:$R$3,0)),
"Error"))</f>
        <v>C1484</v>
      </c>
      <c r="L1489" s="75" t="str">
        <f aca="false">
IF($D1489="정상",INDEX(임대자산!$D$3:$R$3000,MATCH($F1489,임대자산!$I$3:$I$3000,0),MATCH(L$4,임대자산!$D$3:$R$3,0)),
IF($D1489="폐업",INDEX(폐업정보!$D$3:$R$3000,MATCH($F1489,폐업정보!$I$3:$I$3000,0),MATCH(L$4,폐업정보!$D$3:$R$3,0)),
"Error"))</f>
        <v>D1484</v>
      </c>
      <c r="M1489" s="76" t="s">
        <v>96</v>
      </c>
      <c r="N1489" s="77"/>
      <c r="O1489" s="78" t="s">
        <v>97</v>
      </c>
      <c r="P1489" s="79" t="n">
        <f aca="false">COUNTIFS(임대자산!$I:$I,가맹점정보!F1489,임대자산!$N:$N,가맹점정보!P$4)</f>
        <v>0</v>
      </c>
      <c r="Q1489" s="80" t="n">
        <f aca="false">COUNTIFS(임대자산!$I:$I,가맹점정보!F1489,임대자산!$N:$N,가맹점정보!Q$4)</f>
        <v>0</v>
      </c>
      <c r="R1489" s="81" t="n">
        <f aca="false">COUNTIFS(임대자산!$I:$I,가맹점정보!F1489,임대자산!$N:$N,가맹점정보!R$4)</f>
        <v>1</v>
      </c>
      <c r="S1489" s="82" t="n">
        <v>55000</v>
      </c>
      <c r="T1489" s="83" t="n">
        <v>0</v>
      </c>
      <c r="U1489" s="80" t="n">
        <f aca="false">SUM(S1489:T1489)</f>
        <v>55000</v>
      </c>
      <c r="V1489" s="84" t="s">
        <v>12</v>
      </c>
      <c r="W1489" s="80" t="e">
        <f aca="true">
IF(D1489="폐업","폐업",
IF(V1489="면제","면제",
IF(AND(V1489="정상",COUNTIFS(OFFSET(Y1489,0,COUNTA(Y1489:AV1489)-1,1,-4),"미납")&gt;=3),"장기미납",
IF(AND(V1489="정상",OFFSET(Y1489,0,COUNTA(Y1489:AV1489)-1)&gt;=U1489),"정상",
IF(AND(V1489="정상",OFFSET(Y1489,0,COUNTA(Y1489:AV1489)-1)=0),"정상",
"계약서 미작성")))))</f>
        <v>#VALUE!</v>
      </c>
      <c r="X1489" s="81" t="str">
        <f aca="true">
IF(D1489="폐업","폐업",
IF(AND(V1489="정상",OFFSET(Y1489,0,COUNTA(Y1489:AV1489)-1)="미납"),"미납",
IF(AND(V1489="정상",OFFSET(Y1489,0,COUNTA(Y1489:AV1489)-1)=0),"납부 시작 전",
IF(AND(V1489="정상",OFFSET(Y1489,0,COUNTA(Y1489:AV1489)-1)&gt;=U1489),"정상",
IF(AND(V1489="면제",OFFSET(Y1489,0,COUNTA(Y1489:AV1489)-1)="면제"),"면제",
IF(AND(V1489="면제",OFFSET(Y1489,0,COUNTA(Y1489:AV1489)-1)=0),"면제",
"확인요청"))))))</f>
        <v>정상</v>
      </c>
      <c r="Y1489" s="93" t="n">
        <v>55000</v>
      </c>
      <c r="Z1489" s="90" t="n">
        <v>55000</v>
      </c>
      <c r="AA1489" s="90" t="n">
        <v>55000</v>
      </c>
      <c r="AB1489" s="90" t="n">
        <v>55000</v>
      </c>
      <c r="AC1489" s="90" t="n">
        <v>55000</v>
      </c>
      <c r="AD1489" s="90" t="n">
        <v>55000</v>
      </c>
      <c r="AE1489" s="90" t="n">
        <v>55000</v>
      </c>
      <c r="AF1489" s="90" t="n">
        <v>55000</v>
      </c>
      <c r="AG1489" s="90" t="n">
        <v>55000</v>
      </c>
      <c r="AH1489" s="90" t="n">
        <v>55000</v>
      </c>
      <c r="AI1489" s="90" t="n">
        <v>55000</v>
      </c>
      <c r="AJ1489" s="91" t="n">
        <v>55000</v>
      </c>
      <c r="AK1489" s="89" t="n">
        <v>55000</v>
      </c>
      <c r="AL1489" s="90" t="n">
        <v>55000</v>
      </c>
      <c r="AM1489" s="90"/>
      <c r="AN1489" s="90"/>
      <c r="AO1489" s="90"/>
      <c r="AP1489" s="90"/>
      <c r="AQ1489" s="90"/>
      <c r="AR1489" s="90"/>
      <c r="AS1489" s="90"/>
      <c r="AT1489" s="90"/>
      <c r="AU1489" s="90"/>
      <c r="AV1489" s="91"/>
      <c r="AX1489" s="92"/>
    </row>
    <row r="1490" customFormat="false" ht="15.65" hidden="false" customHeight="false" outlineLevel="0" collapsed="false">
      <c r="C1490" s="72" t="n">
        <f aca="false">COUNTIFS($D$6:D1490,"&lt;&gt;"&amp;"")</f>
        <v>1485</v>
      </c>
      <c r="D1490" s="73" t="s">
        <v>12</v>
      </c>
      <c r="E1490" s="76" t="str">
        <f aca="false">
IF($D1490="정상",INDEX(임대자산!$D$3:$R$3000,MATCH($F1490,임대자산!$I$3:$I$3000,0),MATCH(E$3,임대자산!$D$3:$R$3,0)),
IF($D1490="폐업",INDEX(폐업정보!$D$3:$R$3000,MATCH($F1490,폐업정보!$I$3:$I$3000,0),MATCH(E$3,폐업정보!$D$3:$R$3,0)),
"Error"))</f>
        <v>경상</v>
      </c>
      <c r="F149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B1485</v>
      </c>
      <c r="G1490" s="76" t="str">
        <f aca="false">F1490&amp;RANDBETWEEN(0,10)</f>
        <v>B14857</v>
      </c>
      <c r="H1490" s="75" t="n">
        <f aca="false">
IF($D1490="정상",INDEX(임대자산!$D$3:$R$3000,MATCH($F1490,임대자산!$I$3:$I$3000,0),MATCH(H$4,임대자산!$D$3:$R$3,0)),
IF($D1490="폐업",INDEX(폐업정보!$D$3:$R$3000,MATCH($F1490,폐업정보!$I$3:$I$3000,0),MATCH(H$4,폐업정보!$D$3:$R$3,0)),
"Error"))</f>
        <v>45491</v>
      </c>
      <c r="I1490" s="75" t="str">
        <f aca="false">
IF($D1490="정상",INDEX(임대자산!$D$3:$R$3000,MATCH($F1490,임대자산!$I$3:$I$3000,0),MATCH(I$4,임대자산!$D$3:$R$3,0)),
IF($D1490="폐업",INDEX(폐업정보!$D$3:$R$3000,MATCH($F1490,폐업정보!$I$3:$I$3000,0),MATCH(I$4,폐업정보!$D$3:$R$3,0)),
"Error"))</f>
        <v>A1485</v>
      </c>
      <c r="J1490" s="75" t="str">
        <f aca="false">
IF($D1490="정상",INDEX(임대자산!$D$3:$R$3000,MATCH($F1490,임대자산!$I$3:$I$3000,0),MATCH(J$4,임대자산!$D$3:$R$3,0)),
IF($D1490="폐업",INDEX(폐업정보!$D$3:$R$3000,MATCH($F1490,폐업정보!$I$3:$I$3000,0),MATCH(J$4,폐업정보!$D$3:$R$3,0)),
"Error"))</f>
        <v>4660500000</v>
      </c>
      <c r="K1490" s="75" t="str">
        <f aca="false">
IF($D1490="정상",INDEX(임대자산!$D$3:$R$3000,MATCH($F1490,임대자산!$I$3:$I$3000,0),MATCH(K$4,임대자산!$D$3:$R$3,0)),
IF($D1490="폐업",INDEX(폐업정보!$D$3:$R$3000,MATCH($F1490,폐업정보!$I$3:$I$3000,0),MATCH(K$4,폐업정보!$D$3:$R$3,0)),
"Error"))</f>
        <v>C1485</v>
      </c>
      <c r="L1490" s="75" t="str">
        <f aca="false">
IF($D1490="정상",INDEX(임대자산!$D$3:$R$3000,MATCH($F1490,임대자산!$I$3:$I$3000,0),MATCH(L$4,임대자산!$D$3:$R$3,0)),
IF($D1490="폐업",INDEX(폐업정보!$D$3:$R$3000,MATCH($F1490,폐업정보!$I$3:$I$3000,0),MATCH(L$4,폐업정보!$D$3:$R$3,0)),
"Error"))</f>
        <v>D1485</v>
      </c>
      <c r="M1490" s="76" t="s">
        <v>96</v>
      </c>
      <c r="N1490" s="77"/>
      <c r="O1490" s="78" t="s">
        <v>97</v>
      </c>
      <c r="P1490" s="79" t="n">
        <f aca="false">COUNTIFS(임대자산!$I:$I,가맹점정보!F1490,임대자산!$N:$N,가맹점정보!P$4)</f>
        <v>0</v>
      </c>
      <c r="Q1490" s="80" t="n">
        <f aca="false">COUNTIFS(임대자산!$I:$I,가맹점정보!F1490,임대자산!$N:$N,가맹점정보!Q$4)</f>
        <v>0</v>
      </c>
      <c r="R1490" s="81" t="n">
        <f aca="false">COUNTIFS(임대자산!$I:$I,가맹점정보!F1490,임대자산!$N:$N,가맹점정보!R$4)</f>
        <v>1</v>
      </c>
      <c r="S1490" s="82" t="n">
        <v>55000</v>
      </c>
      <c r="T1490" s="83" t="n">
        <v>0</v>
      </c>
      <c r="U1490" s="80" t="n">
        <f aca="false">SUM(S1490:T1490)</f>
        <v>55000</v>
      </c>
      <c r="V1490" s="84" t="s">
        <v>7</v>
      </c>
      <c r="W1490" s="80" t="str">
        <f aca="true">
IF(D1490="폐업","폐업",
IF(V1490="면제","면제",
IF(AND(V1490="정상",COUNTIFS(OFFSET(Y1490,0,COUNTA(Y1490:AV1490)-1,1,-4),"미납")&gt;=3),"장기미납",
IF(AND(V1490="정상",OFFSET(Y1490,0,COUNTA(Y1490:AV1490)-1)&gt;=U1490),"정상",
IF(AND(V1490="정상",OFFSET(Y1490,0,COUNTA(Y1490:AV1490)-1)=0),"정상",
"계약서 미작성")))))</f>
        <v>면제</v>
      </c>
      <c r="X1490" s="81" t="str">
        <f aca="true">
IF(D1490="폐업","폐업",
IF(AND(V1490="정상",OFFSET(Y1490,0,COUNTA(Y1490:AV1490)-1)="미납"),"미납",
IF(AND(V1490="정상",OFFSET(Y1490,0,COUNTA(Y1490:AV1490)-1)=0),"납부 시작 전",
IF(AND(V1490="정상",OFFSET(Y1490,0,COUNTA(Y1490:AV1490)-1)&gt;=U1490),"정상",
IF(AND(V1490="면제",OFFSET(Y1490,0,COUNTA(Y1490:AV1490)-1)="면제"),"면제",
IF(AND(V1490="면제",OFFSET(Y1490,0,COUNTA(Y1490:AV1490)-1)=0),"면제",
"확인요청"))))))</f>
        <v>면제</v>
      </c>
      <c r="Y1490" s="94" t="s">
        <v>7</v>
      </c>
      <c r="Z1490" s="95" t="s">
        <v>7</v>
      </c>
      <c r="AA1490" s="95" t="s">
        <v>7</v>
      </c>
      <c r="AB1490" s="95" t="s">
        <v>7</v>
      </c>
      <c r="AC1490" s="95" t="s">
        <v>7</v>
      </c>
      <c r="AD1490" s="95" t="s">
        <v>7</v>
      </c>
      <c r="AE1490" s="95" t="s">
        <v>7</v>
      </c>
      <c r="AF1490" s="95" t="s">
        <v>7</v>
      </c>
      <c r="AG1490" s="95" t="s">
        <v>7</v>
      </c>
      <c r="AH1490" s="95" t="s">
        <v>7</v>
      </c>
      <c r="AI1490" s="95" t="s">
        <v>7</v>
      </c>
      <c r="AJ1490" s="96" t="s">
        <v>7</v>
      </c>
      <c r="AK1490" s="97" t="s">
        <v>7</v>
      </c>
      <c r="AL1490" s="95" t="s">
        <v>7</v>
      </c>
      <c r="AM1490" s="90"/>
      <c r="AN1490" s="90"/>
      <c r="AO1490" s="90"/>
      <c r="AP1490" s="90"/>
      <c r="AQ1490" s="90"/>
      <c r="AR1490" s="90"/>
      <c r="AS1490" s="90"/>
      <c r="AT1490" s="90"/>
      <c r="AU1490" s="90"/>
      <c r="AV1490" s="91"/>
      <c r="AX1490" s="92"/>
    </row>
    <row r="1491" customFormat="false" ht="15.65" hidden="false" customHeight="false" outlineLevel="0" collapsed="false">
      <c r="C1491" s="72" t="n">
        <f aca="false">COUNTIFS($D$6:D1491,"&lt;&gt;"&amp;"")</f>
        <v>1486</v>
      </c>
      <c r="D1491" s="73" t="s">
        <v>12</v>
      </c>
      <c r="E1491" s="76" t="str">
        <f aca="false">
IF($D1491="정상",INDEX(임대자산!$D$3:$R$3000,MATCH($F1491,임대자산!$I$3:$I$3000,0),MATCH(E$3,임대자산!$D$3:$R$3,0)),
IF($D1491="폐업",INDEX(폐업정보!$D$3:$R$3000,MATCH($F1491,폐업정보!$I$3:$I$3000,0),MATCH(E$3,폐업정보!$D$3:$R$3,0)),
"Error"))</f>
        <v>경상</v>
      </c>
      <c r="F149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B1486</v>
      </c>
      <c r="G1491" s="76" t="str">
        <f aca="false">F1491&amp;RANDBETWEEN(0,10)</f>
        <v>B14865</v>
      </c>
      <c r="H1491" s="75" t="n">
        <f aca="false">
IF($D1491="정상",INDEX(임대자산!$D$3:$R$3000,MATCH($F1491,임대자산!$I$3:$I$3000,0),MATCH(H$4,임대자산!$D$3:$R$3,0)),
IF($D1491="폐업",INDEX(폐업정보!$D$3:$R$3000,MATCH($F1491,폐업정보!$I$3:$I$3000,0),MATCH(H$4,폐업정보!$D$3:$R$3,0)),
"Error"))</f>
        <v>45491</v>
      </c>
      <c r="I1491" s="75" t="str">
        <f aca="false">
IF($D1491="정상",INDEX(임대자산!$D$3:$R$3000,MATCH($F1491,임대자산!$I$3:$I$3000,0),MATCH(I$4,임대자산!$D$3:$R$3,0)),
IF($D1491="폐업",INDEX(폐업정보!$D$3:$R$3000,MATCH($F1491,폐업정보!$I$3:$I$3000,0),MATCH(I$4,폐업정보!$D$3:$R$3,0)),
"Error"))</f>
        <v>A1486</v>
      </c>
      <c r="J1491" s="75" t="str">
        <f aca="false">
IF($D1491="정상",INDEX(임대자산!$D$3:$R$3000,MATCH($F1491,임대자산!$I$3:$I$3000,0),MATCH(J$4,임대자산!$D$3:$R$3,0)),
IF($D1491="폐업",INDEX(폐업정보!$D$3:$R$3000,MATCH($F1491,폐업정보!$I$3:$I$3000,0),MATCH(J$4,폐업정보!$D$3:$R$3,0)),
"Error"))</f>
        <v>1216500000</v>
      </c>
      <c r="K1491" s="75" t="str">
        <f aca="false">
IF($D1491="정상",INDEX(임대자산!$D$3:$R$3000,MATCH($F1491,임대자산!$I$3:$I$3000,0),MATCH(K$4,임대자산!$D$3:$R$3,0)),
IF($D1491="폐업",INDEX(폐업정보!$D$3:$R$3000,MATCH($F1491,폐업정보!$I$3:$I$3000,0),MATCH(K$4,폐업정보!$D$3:$R$3,0)),
"Error"))</f>
        <v>C1486</v>
      </c>
      <c r="L1491" s="75" t="str">
        <f aca="false">
IF($D1491="정상",INDEX(임대자산!$D$3:$R$3000,MATCH($F1491,임대자산!$I$3:$I$3000,0),MATCH(L$4,임대자산!$D$3:$R$3,0)),
IF($D1491="폐업",INDEX(폐업정보!$D$3:$R$3000,MATCH($F1491,폐업정보!$I$3:$I$3000,0),MATCH(L$4,폐업정보!$D$3:$R$3,0)),
"Error"))</f>
        <v>D1486</v>
      </c>
      <c r="M1491" s="76" t="s">
        <v>96</v>
      </c>
      <c r="N1491" s="77"/>
      <c r="O1491" s="78" t="s">
        <v>97</v>
      </c>
      <c r="P1491" s="79" t="n">
        <f aca="false">COUNTIFS(임대자산!$I:$I,가맹점정보!F1491,임대자산!$N:$N,가맹점정보!P$4)</f>
        <v>0</v>
      </c>
      <c r="Q1491" s="80" t="n">
        <f aca="false">COUNTIFS(임대자산!$I:$I,가맹점정보!F1491,임대자산!$N:$N,가맹점정보!Q$4)</f>
        <v>0</v>
      </c>
      <c r="R1491" s="81" t="n">
        <f aca="false">COUNTIFS(임대자산!$I:$I,가맹점정보!F1491,임대자산!$N:$N,가맹점정보!R$4)</f>
        <v>1</v>
      </c>
      <c r="S1491" s="82" t="n">
        <v>88000</v>
      </c>
      <c r="T1491" s="83" t="n">
        <v>0</v>
      </c>
      <c r="U1491" s="80" t="n">
        <f aca="false">SUM(S1491:T1491)</f>
        <v>88000</v>
      </c>
      <c r="V1491" s="84" t="s">
        <v>7</v>
      </c>
      <c r="W1491" s="80" t="str">
        <f aca="true">
IF(D1491="폐업","폐업",
IF(V1491="면제","면제",
IF(AND(V1491="정상",COUNTIFS(OFFSET(Y1491,0,COUNTA(Y1491:AV1491)-1,1,-4),"미납")&gt;=3),"장기미납",
IF(AND(V1491="정상",OFFSET(Y1491,0,COUNTA(Y1491:AV1491)-1)&gt;=U1491),"정상",
IF(AND(V1491="정상",OFFSET(Y1491,0,COUNTA(Y1491:AV1491)-1)=0),"정상",
"계약서 미작성")))))</f>
        <v>면제</v>
      </c>
      <c r="X1491" s="81" t="str">
        <f aca="true">
IF(D1491="폐업","폐업",
IF(AND(V1491="정상",OFFSET(Y1491,0,COUNTA(Y1491:AV1491)-1)="미납"),"미납",
IF(AND(V1491="정상",OFFSET(Y1491,0,COUNTA(Y1491:AV1491)-1)=0),"납부 시작 전",
IF(AND(V1491="정상",OFFSET(Y1491,0,COUNTA(Y1491:AV1491)-1)&gt;=U1491),"정상",
IF(AND(V1491="면제",OFFSET(Y1491,0,COUNTA(Y1491:AV1491)-1)="면제"),"면제",
IF(AND(V1491="면제",OFFSET(Y1491,0,COUNTA(Y1491:AV1491)-1)=0),"면제",
"확인요청"))))))</f>
        <v>면제</v>
      </c>
      <c r="Y1491" s="94" t="s">
        <v>7</v>
      </c>
      <c r="Z1491" s="95" t="s">
        <v>7</v>
      </c>
      <c r="AA1491" s="95" t="s">
        <v>7</v>
      </c>
      <c r="AB1491" s="95" t="s">
        <v>7</v>
      </c>
      <c r="AC1491" s="95" t="s">
        <v>7</v>
      </c>
      <c r="AD1491" s="95" t="s">
        <v>7</v>
      </c>
      <c r="AE1491" s="95" t="s">
        <v>7</v>
      </c>
      <c r="AF1491" s="95" t="s">
        <v>7</v>
      </c>
      <c r="AG1491" s="95" t="s">
        <v>7</v>
      </c>
      <c r="AH1491" s="95" t="s">
        <v>7</v>
      </c>
      <c r="AI1491" s="95" t="s">
        <v>7</v>
      </c>
      <c r="AJ1491" s="96" t="s">
        <v>7</v>
      </c>
      <c r="AK1491" s="97" t="s">
        <v>7</v>
      </c>
      <c r="AL1491" s="95" t="s">
        <v>7</v>
      </c>
      <c r="AM1491" s="90"/>
      <c r="AN1491" s="90"/>
      <c r="AO1491" s="90"/>
      <c r="AP1491" s="90"/>
      <c r="AQ1491" s="90"/>
      <c r="AR1491" s="90"/>
      <c r="AS1491" s="90"/>
      <c r="AT1491" s="90"/>
      <c r="AU1491" s="90"/>
      <c r="AV1491" s="91"/>
      <c r="AX1491" s="92"/>
    </row>
    <row r="1492" customFormat="false" ht="15.65" hidden="false" customHeight="false" outlineLevel="0" collapsed="false">
      <c r="C1492" s="72" t="n">
        <f aca="false">COUNTIFS($D$6:D1492,"&lt;&gt;"&amp;"")</f>
        <v>1487</v>
      </c>
      <c r="D1492" s="73" t="s">
        <v>12</v>
      </c>
      <c r="E1492" s="76" t="str">
        <f aca="false">
IF($D1492="정상",INDEX(임대자산!$D$3:$R$3000,MATCH($F1492,임대자산!$I$3:$I$3000,0),MATCH(E$3,임대자산!$D$3:$R$3,0)),
IF($D1492="폐업",INDEX(폐업정보!$D$3:$R$3000,MATCH($F1492,폐업정보!$I$3:$I$3000,0),MATCH(E$3,폐업정보!$D$3:$R$3,0)),
"Error"))</f>
        <v>서울</v>
      </c>
      <c r="F149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B1487</v>
      </c>
      <c r="G1492" s="76" t="str">
        <f aca="false">F1492&amp;RANDBETWEEN(0,10)</f>
        <v>B14877</v>
      </c>
      <c r="H1492" s="75" t="n">
        <f aca="false">
IF($D1492="정상",INDEX(임대자산!$D$3:$R$3000,MATCH($F1492,임대자산!$I$3:$I$3000,0),MATCH(H$4,임대자산!$D$3:$R$3,0)),
IF($D1492="폐업",INDEX(폐업정보!$D$3:$R$3000,MATCH($F1492,폐업정보!$I$3:$I$3000,0),MATCH(H$4,폐업정보!$D$3:$R$3,0)),
"Error"))</f>
        <v>45483</v>
      </c>
      <c r="I1492" s="75" t="str">
        <f aca="false">
IF($D1492="정상",INDEX(임대자산!$D$3:$R$3000,MATCH($F1492,임대자산!$I$3:$I$3000,0),MATCH(I$4,임대자산!$D$3:$R$3,0)),
IF($D1492="폐업",INDEX(폐업정보!$D$3:$R$3000,MATCH($F1492,폐업정보!$I$3:$I$3000,0),MATCH(I$4,폐업정보!$D$3:$R$3,0)),
"Error"))</f>
        <v>A1487</v>
      </c>
      <c r="J1492" s="75" t="str">
        <f aca="false">
IF($D1492="정상",INDEX(임대자산!$D$3:$R$3000,MATCH($F1492,임대자산!$I$3:$I$3000,0),MATCH(J$4,임대자산!$D$3:$R$3,0)),
IF($D1492="폐업",INDEX(폐업정보!$D$3:$R$3000,MATCH($F1492,폐업정보!$I$3:$I$3000,0),MATCH(J$4,폐업정보!$D$3:$R$3,0)),
"Error"))</f>
        <v>8043100000</v>
      </c>
      <c r="K1492" s="75" t="str">
        <f aca="false">
IF($D1492="정상",INDEX(임대자산!$D$3:$R$3000,MATCH($F1492,임대자산!$I$3:$I$3000,0),MATCH(K$4,임대자산!$D$3:$R$3,0)),
IF($D1492="폐업",INDEX(폐업정보!$D$3:$R$3000,MATCH($F1492,폐업정보!$I$3:$I$3000,0),MATCH(K$4,폐업정보!$D$3:$R$3,0)),
"Error"))</f>
        <v>C1487</v>
      </c>
      <c r="L1492" s="75" t="str">
        <f aca="false">
IF($D1492="정상",INDEX(임대자산!$D$3:$R$3000,MATCH($F1492,임대자산!$I$3:$I$3000,0),MATCH(L$4,임대자산!$D$3:$R$3,0)),
IF($D1492="폐업",INDEX(폐업정보!$D$3:$R$3000,MATCH($F1492,폐업정보!$I$3:$I$3000,0),MATCH(L$4,폐업정보!$D$3:$R$3,0)),
"Error"))</f>
        <v>D1487</v>
      </c>
      <c r="M1492" s="76" t="s">
        <v>96</v>
      </c>
      <c r="N1492" s="77"/>
      <c r="O1492" s="78" t="s">
        <v>97</v>
      </c>
      <c r="P1492" s="79" t="n">
        <f aca="false">COUNTIFS(임대자산!$I:$I,가맹점정보!F1492,임대자산!$N:$N,가맹점정보!P$4)</f>
        <v>0</v>
      </c>
      <c r="Q1492" s="80" t="n">
        <f aca="false">COUNTIFS(임대자산!$I:$I,가맹점정보!F1492,임대자산!$N:$N,가맹점정보!Q$4)</f>
        <v>0</v>
      </c>
      <c r="R1492" s="81" t="n">
        <f aca="false">COUNTIFS(임대자산!$I:$I,가맹점정보!F1492,임대자산!$N:$N,가맹점정보!R$4)</f>
        <v>1</v>
      </c>
      <c r="S1492" s="82" t="n">
        <v>88000</v>
      </c>
      <c r="T1492" s="83" t="n">
        <v>0</v>
      </c>
      <c r="U1492" s="80" t="n">
        <f aca="false">SUM(S1492:T1492)</f>
        <v>88000</v>
      </c>
      <c r="V1492" s="84" t="s">
        <v>7</v>
      </c>
      <c r="W1492" s="80" t="str">
        <f aca="true">
IF(D1492="폐업","폐업",
IF(V1492="면제","면제",
IF(AND(V1492="정상",COUNTIFS(OFFSET(Y1492,0,COUNTA(Y1492:AV1492)-1,1,-4),"미납")&gt;=3),"장기미납",
IF(AND(V1492="정상",OFFSET(Y1492,0,COUNTA(Y1492:AV1492)-1)&gt;=U1492),"정상",
IF(AND(V1492="정상",OFFSET(Y1492,0,COUNTA(Y1492:AV1492)-1)=0),"정상",
"계약서 미작성")))))</f>
        <v>면제</v>
      </c>
      <c r="X1492" s="81" t="str">
        <f aca="true">
IF(D1492="폐업","폐업",
IF(AND(V1492="정상",OFFSET(Y1492,0,COUNTA(Y1492:AV1492)-1)="미납"),"미납",
IF(AND(V1492="정상",OFFSET(Y1492,0,COUNTA(Y1492:AV1492)-1)=0),"납부 시작 전",
IF(AND(V1492="정상",OFFSET(Y1492,0,COUNTA(Y1492:AV1492)-1)&gt;=U1492),"정상",
IF(AND(V1492="면제",OFFSET(Y1492,0,COUNTA(Y1492:AV1492)-1)="면제"),"면제",
IF(AND(V1492="면제",OFFSET(Y1492,0,COUNTA(Y1492:AV1492)-1)=0),"면제",
"확인요청"))))))</f>
        <v>면제</v>
      </c>
      <c r="Y1492" s="94" t="s">
        <v>7</v>
      </c>
      <c r="Z1492" s="95" t="s">
        <v>7</v>
      </c>
      <c r="AA1492" s="95" t="s">
        <v>7</v>
      </c>
      <c r="AB1492" s="95" t="s">
        <v>7</v>
      </c>
      <c r="AC1492" s="95" t="s">
        <v>7</v>
      </c>
      <c r="AD1492" s="95" t="s">
        <v>7</v>
      </c>
      <c r="AE1492" s="95" t="s">
        <v>7</v>
      </c>
      <c r="AF1492" s="95" t="s">
        <v>7</v>
      </c>
      <c r="AG1492" s="95" t="s">
        <v>7</v>
      </c>
      <c r="AH1492" s="95" t="s">
        <v>7</v>
      </c>
      <c r="AI1492" s="95" t="s">
        <v>7</v>
      </c>
      <c r="AJ1492" s="96" t="s">
        <v>7</v>
      </c>
      <c r="AK1492" s="97" t="s">
        <v>7</v>
      </c>
      <c r="AL1492" s="95" t="s">
        <v>7</v>
      </c>
      <c r="AM1492" s="90"/>
      <c r="AN1492" s="90"/>
      <c r="AO1492" s="90"/>
      <c r="AP1492" s="90"/>
      <c r="AQ1492" s="90"/>
      <c r="AR1492" s="90"/>
      <c r="AS1492" s="90"/>
      <c r="AT1492" s="90"/>
      <c r="AU1492" s="90"/>
      <c r="AV1492" s="91"/>
      <c r="AX1492" s="92"/>
    </row>
    <row r="1493" customFormat="false" ht="15.65" hidden="false" customHeight="false" outlineLevel="0" collapsed="false">
      <c r="C1493" s="72" t="n">
        <f aca="false">COUNTIFS($D$6:D1493,"&lt;&gt;"&amp;"")</f>
        <v>1488</v>
      </c>
      <c r="D1493" s="73" t="s">
        <v>12</v>
      </c>
      <c r="E1493" s="76" t="str">
        <f aca="false">
IF($D1493="정상",INDEX(임대자산!$D$3:$R$3000,MATCH($F1493,임대자산!$I$3:$I$3000,0),MATCH(E$3,임대자산!$D$3:$R$3,0)),
IF($D1493="폐업",INDEX(폐업정보!$D$3:$R$3000,MATCH($F1493,폐업정보!$I$3:$I$3000,0),MATCH(E$3,폐업정보!$D$3:$R$3,0)),
"Error"))</f>
        <v>서울</v>
      </c>
      <c r="F149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B1488</v>
      </c>
      <c r="G1493" s="76" t="str">
        <f aca="false">F1493&amp;RANDBETWEEN(0,10)</f>
        <v>B14887</v>
      </c>
      <c r="H1493" s="75" t="n">
        <f aca="false">
IF($D1493="정상",INDEX(임대자산!$D$3:$R$3000,MATCH($F1493,임대자산!$I$3:$I$3000,0),MATCH(H$4,임대자산!$D$3:$R$3,0)),
IF($D1493="폐업",INDEX(폐업정보!$D$3:$R$3000,MATCH($F1493,폐업정보!$I$3:$I$3000,0),MATCH(H$4,폐업정보!$D$3:$R$3,0)),
"Error"))</f>
        <v>45548</v>
      </c>
      <c r="I1493" s="75" t="str">
        <f aca="false">
IF($D1493="정상",INDEX(임대자산!$D$3:$R$3000,MATCH($F1493,임대자산!$I$3:$I$3000,0),MATCH(I$4,임대자산!$D$3:$R$3,0)),
IF($D1493="폐업",INDEX(폐업정보!$D$3:$R$3000,MATCH($F1493,폐업정보!$I$3:$I$3000,0),MATCH(I$4,폐업정보!$D$3:$R$3,0)),
"Error"))</f>
        <v>A1488</v>
      </c>
      <c r="J1493" s="75" t="str">
        <f aca="false">
IF($D1493="정상",INDEX(임대자산!$D$3:$R$3000,MATCH($F1493,임대자산!$I$3:$I$3000,0),MATCH(J$4,임대자산!$D$3:$R$3,0)),
IF($D1493="폐업",INDEX(폐업정보!$D$3:$R$3000,MATCH($F1493,폐업정보!$I$3:$I$3000,0),MATCH(J$4,폐업정보!$D$3:$R$3,0)),
"Error"))</f>
        <v>8349300000</v>
      </c>
      <c r="K1493" s="75" t="str">
        <f aca="false">
IF($D1493="정상",INDEX(임대자산!$D$3:$R$3000,MATCH($F1493,임대자산!$I$3:$I$3000,0),MATCH(K$4,임대자산!$D$3:$R$3,0)),
IF($D1493="폐업",INDEX(폐업정보!$D$3:$R$3000,MATCH($F1493,폐업정보!$I$3:$I$3000,0),MATCH(K$4,폐업정보!$D$3:$R$3,0)),
"Error"))</f>
        <v>C1488</v>
      </c>
      <c r="L1493" s="75" t="str">
        <f aca="false">
IF($D1493="정상",INDEX(임대자산!$D$3:$R$3000,MATCH($F1493,임대자산!$I$3:$I$3000,0),MATCH(L$4,임대자산!$D$3:$R$3,0)),
IF($D1493="폐업",INDEX(폐업정보!$D$3:$R$3000,MATCH($F1493,폐업정보!$I$3:$I$3000,0),MATCH(L$4,폐업정보!$D$3:$R$3,0)),
"Error"))</f>
        <v>D1488</v>
      </c>
      <c r="M1493" s="76" t="s">
        <v>96</v>
      </c>
      <c r="N1493" s="77"/>
      <c r="O1493" s="78" t="s">
        <v>97</v>
      </c>
      <c r="P1493" s="79" t="n">
        <f aca="false">COUNTIFS(임대자산!$I:$I,가맹점정보!F1493,임대자산!$N:$N,가맹점정보!P$4)</f>
        <v>0</v>
      </c>
      <c r="Q1493" s="80" t="n">
        <f aca="false">COUNTIFS(임대자산!$I:$I,가맹점정보!F1493,임대자산!$N:$N,가맹점정보!Q$4)</f>
        <v>0</v>
      </c>
      <c r="R1493" s="81" t="n">
        <f aca="false">COUNTIFS(임대자산!$I:$I,가맹점정보!F1493,임대자산!$N:$N,가맹점정보!R$4)</f>
        <v>1</v>
      </c>
      <c r="S1493" s="82" t="n">
        <v>55000</v>
      </c>
      <c r="T1493" s="83" t="n">
        <v>0</v>
      </c>
      <c r="U1493" s="80" t="n">
        <f aca="false">SUM(S1493:T1493)</f>
        <v>55000</v>
      </c>
      <c r="V1493" s="84" t="s">
        <v>7</v>
      </c>
      <c r="W1493" s="80" t="str">
        <f aca="true">
IF(D1493="폐업","폐업",
IF(V1493="면제","면제",
IF(AND(V1493="정상",COUNTIFS(OFFSET(Y1493,0,COUNTA(Y1493:AV1493)-1,1,-4),"미납")&gt;=3),"장기미납",
IF(AND(V1493="정상",OFFSET(Y1493,0,COUNTA(Y1493:AV1493)-1)&gt;=U1493),"정상",
IF(AND(V1493="정상",OFFSET(Y1493,0,COUNTA(Y1493:AV1493)-1)=0),"정상",
"계약서 미작성")))))</f>
        <v>면제</v>
      </c>
      <c r="X1493" s="81" t="str">
        <f aca="true">
IF(D1493="폐업","폐업",
IF(AND(V1493="정상",OFFSET(Y1493,0,COUNTA(Y1493:AV1493)-1)="미납"),"미납",
IF(AND(V1493="정상",OFFSET(Y1493,0,COUNTA(Y1493:AV1493)-1)=0),"납부 시작 전",
IF(AND(V1493="정상",OFFSET(Y1493,0,COUNTA(Y1493:AV1493)-1)&gt;=U1493),"정상",
IF(AND(V1493="면제",OFFSET(Y1493,0,COUNTA(Y1493:AV1493)-1)="면제"),"면제",
IF(AND(V1493="면제",OFFSET(Y1493,0,COUNTA(Y1493:AV1493)-1)=0),"면제",
"확인요청"))))))</f>
        <v>면제</v>
      </c>
      <c r="Y1493" s="94" t="s">
        <v>7</v>
      </c>
      <c r="Z1493" s="95" t="s">
        <v>7</v>
      </c>
      <c r="AA1493" s="95" t="s">
        <v>7</v>
      </c>
      <c r="AB1493" s="95" t="s">
        <v>7</v>
      </c>
      <c r="AC1493" s="95" t="s">
        <v>7</v>
      </c>
      <c r="AD1493" s="95" t="s">
        <v>7</v>
      </c>
      <c r="AE1493" s="95" t="s">
        <v>7</v>
      </c>
      <c r="AF1493" s="95" t="s">
        <v>7</v>
      </c>
      <c r="AG1493" s="95" t="s">
        <v>7</v>
      </c>
      <c r="AH1493" s="95" t="s">
        <v>7</v>
      </c>
      <c r="AI1493" s="95" t="s">
        <v>7</v>
      </c>
      <c r="AJ1493" s="96" t="s">
        <v>7</v>
      </c>
      <c r="AK1493" s="97" t="s">
        <v>7</v>
      </c>
      <c r="AL1493" s="95" t="s">
        <v>7</v>
      </c>
      <c r="AM1493" s="90"/>
      <c r="AN1493" s="90"/>
      <c r="AO1493" s="90"/>
      <c r="AP1493" s="90"/>
      <c r="AQ1493" s="90"/>
      <c r="AR1493" s="90"/>
      <c r="AS1493" s="90"/>
      <c r="AT1493" s="90"/>
      <c r="AU1493" s="90"/>
      <c r="AV1493" s="91"/>
      <c r="AX1493" s="92"/>
    </row>
    <row r="1494" customFormat="false" ht="15.65" hidden="false" customHeight="false" outlineLevel="0" collapsed="false">
      <c r="C1494" s="72" t="n">
        <f aca="false">COUNTIFS($D$6:D1494,"&lt;&gt;"&amp;"")</f>
        <v>1489</v>
      </c>
      <c r="D1494" s="73" t="s">
        <v>12</v>
      </c>
      <c r="E1494" s="76" t="str">
        <f aca="false">
IF($D1494="정상",INDEX(임대자산!$D$3:$R$3000,MATCH($F1494,임대자산!$I$3:$I$3000,0),MATCH(E$3,임대자산!$D$3:$R$3,0)),
IF($D1494="폐업",INDEX(폐업정보!$D$3:$R$3000,MATCH($F1494,폐업정보!$I$3:$I$3000,0),MATCH(E$3,폐업정보!$D$3:$R$3,0)),
"Error"))</f>
        <v>서울</v>
      </c>
      <c r="F149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B1489</v>
      </c>
      <c r="G1494" s="76" t="str">
        <f aca="false">F1494&amp;RANDBETWEEN(0,10)</f>
        <v>B14890</v>
      </c>
      <c r="H1494" s="75" t="n">
        <f aca="false">
IF($D1494="정상",INDEX(임대자산!$D$3:$R$3000,MATCH($F1494,임대자산!$I$3:$I$3000,0),MATCH(H$4,임대자산!$D$3:$R$3,0)),
IF($D1494="폐업",INDEX(폐업정보!$D$3:$R$3000,MATCH($F1494,폐업정보!$I$3:$I$3000,0),MATCH(H$4,폐업정보!$D$3:$R$3,0)),
"Error"))</f>
        <v>46056</v>
      </c>
      <c r="I1494" s="75" t="str">
        <f aca="false">
IF($D1494="정상",INDEX(임대자산!$D$3:$R$3000,MATCH($F1494,임대자산!$I$3:$I$3000,0),MATCH(I$4,임대자산!$D$3:$R$3,0)),
IF($D1494="폐업",INDEX(폐업정보!$D$3:$R$3000,MATCH($F1494,폐업정보!$I$3:$I$3000,0),MATCH(I$4,폐업정보!$D$3:$R$3,0)),
"Error"))</f>
        <v>A1489</v>
      </c>
      <c r="J1494" s="75" t="str">
        <f aca="false">
IF($D1494="정상",INDEX(임대자산!$D$3:$R$3000,MATCH($F1494,임대자산!$I$3:$I$3000,0),MATCH(J$4,임대자산!$D$3:$R$3,0)),
IF($D1494="폐업",INDEX(폐업정보!$D$3:$R$3000,MATCH($F1494,폐업정보!$I$3:$I$3000,0),MATCH(J$4,폐업정보!$D$3:$R$3,0)),
"Error"))</f>
        <v>2033900000</v>
      </c>
      <c r="K1494" s="75" t="str">
        <f aca="false">
IF($D1494="정상",INDEX(임대자산!$D$3:$R$3000,MATCH($F1494,임대자산!$I$3:$I$3000,0),MATCH(K$4,임대자산!$D$3:$R$3,0)),
IF($D1494="폐업",INDEX(폐업정보!$D$3:$R$3000,MATCH($F1494,폐업정보!$I$3:$I$3000,0),MATCH(K$4,폐업정보!$D$3:$R$3,0)),
"Error"))</f>
        <v>C1489</v>
      </c>
      <c r="L1494" s="75" t="str">
        <f aca="false">
IF($D1494="정상",INDEX(임대자산!$D$3:$R$3000,MATCH($F1494,임대자산!$I$3:$I$3000,0),MATCH(L$4,임대자산!$D$3:$R$3,0)),
IF($D1494="폐업",INDEX(폐업정보!$D$3:$R$3000,MATCH($F1494,폐업정보!$I$3:$I$3000,0),MATCH(L$4,폐업정보!$D$3:$R$3,0)),
"Error"))</f>
        <v>D1489</v>
      </c>
      <c r="M1494" s="76" t="s">
        <v>96</v>
      </c>
      <c r="N1494" s="77"/>
      <c r="O1494" s="78" t="s">
        <v>97</v>
      </c>
      <c r="P1494" s="79" t="n">
        <f aca="false">COUNTIFS(임대자산!$I:$I,가맹점정보!F1494,임대자산!$N:$N,가맹점정보!P$4)</f>
        <v>0</v>
      </c>
      <c r="Q1494" s="80" t="n">
        <f aca="false">COUNTIFS(임대자산!$I:$I,가맹점정보!F1494,임대자산!$N:$N,가맹점정보!Q$4)</f>
        <v>0</v>
      </c>
      <c r="R1494" s="81" t="n">
        <f aca="false">COUNTIFS(임대자산!$I:$I,가맹점정보!F1494,임대자산!$N:$N,가맹점정보!R$4)</f>
        <v>1</v>
      </c>
      <c r="S1494" s="82" t="n">
        <v>55000</v>
      </c>
      <c r="T1494" s="83" t="n">
        <v>0</v>
      </c>
      <c r="U1494" s="80" t="n">
        <f aca="false">SUM(S1494:T1494)</f>
        <v>55000</v>
      </c>
      <c r="V1494" s="84" t="s">
        <v>12</v>
      </c>
      <c r="W1494" s="80" t="e">
        <f aca="true">
IF(D1494="폐업","폐업",
IF(V1494="면제","면제",
IF(AND(V1494="정상",COUNTIFS(OFFSET(Y1494,0,COUNTA(Y1494:AV1494)-1,1,-4),"미납")&gt;=3),"장기미납",
IF(AND(V1494="정상",OFFSET(Y1494,0,COUNTA(Y1494:AV1494)-1)&gt;=U1494),"정상",
IF(AND(V1494="정상",OFFSET(Y1494,0,COUNTA(Y1494:AV1494)-1)=0),"정상",
"계약서 미작성")))))</f>
        <v>#VALUE!</v>
      </c>
      <c r="X1494" s="81" t="str">
        <f aca="true">
IF(D1494="폐업","폐업",
IF(AND(V1494="정상",OFFSET(Y1494,0,COUNTA(Y1494:AV1494)-1)="미납"),"미납",
IF(AND(V1494="정상",OFFSET(Y1494,0,COUNTA(Y1494:AV1494)-1)=0),"납부 시작 전",
IF(AND(V1494="정상",OFFSET(Y1494,0,COUNTA(Y1494:AV1494)-1)&gt;=U1494),"정상",
IF(AND(V1494="면제",OFFSET(Y1494,0,COUNTA(Y1494:AV1494)-1)="면제"),"면제",
IF(AND(V1494="면제",OFFSET(Y1494,0,COUNTA(Y1494:AV1494)-1)=0),"면제",
"확인요청"))))))</f>
        <v>정상</v>
      </c>
      <c r="Y1494" s="93" t="n">
        <v>55000</v>
      </c>
      <c r="Z1494" s="90" t="n">
        <v>55000</v>
      </c>
      <c r="AA1494" s="90" t="n">
        <v>55000</v>
      </c>
      <c r="AB1494" s="90" t="n">
        <v>55000</v>
      </c>
      <c r="AC1494" s="90" t="n">
        <v>55000</v>
      </c>
      <c r="AD1494" s="90" t="n">
        <v>55000</v>
      </c>
      <c r="AE1494" s="90" t="n">
        <v>55000</v>
      </c>
      <c r="AF1494" s="90" t="n">
        <v>55000</v>
      </c>
      <c r="AG1494" s="90" t="n">
        <v>55000</v>
      </c>
      <c r="AH1494" s="90" t="n">
        <v>55000</v>
      </c>
      <c r="AI1494" s="90" t="n">
        <v>55000</v>
      </c>
      <c r="AJ1494" s="91" t="n">
        <v>55000</v>
      </c>
      <c r="AK1494" s="89" t="n">
        <v>55000</v>
      </c>
      <c r="AL1494" s="90" t="n">
        <v>55000</v>
      </c>
      <c r="AM1494" s="90"/>
      <c r="AN1494" s="90"/>
      <c r="AO1494" s="90"/>
      <c r="AP1494" s="90"/>
      <c r="AQ1494" s="90"/>
      <c r="AR1494" s="90"/>
      <c r="AS1494" s="90"/>
      <c r="AT1494" s="90"/>
      <c r="AU1494" s="90"/>
      <c r="AV1494" s="91"/>
      <c r="AX1494" s="92"/>
    </row>
    <row r="1495" customFormat="false" ht="15.65" hidden="false" customHeight="false" outlineLevel="0" collapsed="false">
      <c r="C1495" s="72" t="n">
        <f aca="false">COUNTIFS($D$6:D1495,"&lt;&gt;"&amp;"")</f>
        <v>1490</v>
      </c>
      <c r="D1495" s="73" t="s">
        <v>5</v>
      </c>
      <c r="E1495" s="76" t="str">
        <f aca="false">
IF($D1495="정상",INDEX(임대자산!$D$3:$R$3000,MATCH($F1495,임대자산!$I$3:$I$3000,0),MATCH(E$3,임대자산!$D$3:$R$3,0)),
IF($D1495="폐업",INDEX(폐업정보!$D$3:$R$3000,MATCH($F1495,폐업정보!$I$3:$I$3000,0),MATCH(E$3,폐업정보!$D$3:$R$3,0)),
"Error"))</f>
        <v>서울</v>
      </c>
      <c r="F149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B1490</v>
      </c>
      <c r="G1495" s="76" t="str">
        <f aca="false">F1495&amp;RANDBETWEEN(0,10)</f>
        <v>B14902</v>
      </c>
      <c r="H1495" s="75" t="n">
        <f aca="false">
IF($D1495="정상",INDEX(임대자산!$D$3:$R$3000,MATCH($F1495,임대자산!$I$3:$I$3000,0),MATCH(H$4,임대자산!$D$3:$R$3,0)),
IF($D1495="폐업",INDEX(폐업정보!$D$3:$R$3000,MATCH($F1495,폐업정보!$I$3:$I$3000,0),MATCH(H$4,폐업정보!$D$3:$R$3,0)),
"Error"))</f>
        <v>46056</v>
      </c>
      <c r="I1495" s="75" t="str">
        <f aca="false">
IF($D1495="정상",INDEX(임대자산!$D$3:$R$3000,MATCH($F1495,임대자산!$I$3:$I$3000,0),MATCH(I$4,임대자산!$D$3:$R$3,0)),
IF($D1495="폐업",INDEX(폐업정보!$D$3:$R$3000,MATCH($F1495,폐업정보!$I$3:$I$3000,0),MATCH(I$4,폐업정보!$D$3:$R$3,0)),
"Error"))</f>
        <v>A1490</v>
      </c>
      <c r="J1495" s="75" t="str">
        <f aca="false">
IF($D1495="정상",INDEX(임대자산!$D$3:$R$3000,MATCH($F1495,임대자산!$I$3:$I$3000,0),MATCH(J$4,임대자산!$D$3:$R$3,0)),
IF($D1495="폐업",INDEX(폐업정보!$D$3:$R$3000,MATCH($F1495,폐업정보!$I$3:$I$3000,0),MATCH(J$4,폐업정보!$D$3:$R$3,0)),
"Error"))</f>
        <v>7406400000</v>
      </c>
      <c r="K1495" s="75" t="str">
        <f aca="false">
IF($D1495="정상",INDEX(임대자산!$D$3:$R$3000,MATCH($F1495,임대자산!$I$3:$I$3000,0),MATCH(K$4,임대자산!$D$3:$R$3,0)),
IF($D1495="폐업",INDEX(폐업정보!$D$3:$R$3000,MATCH($F1495,폐업정보!$I$3:$I$3000,0),MATCH(K$4,폐업정보!$D$3:$R$3,0)),
"Error"))</f>
        <v>C1490</v>
      </c>
      <c r="L1495" s="75" t="str">
        <f aca="false">
IF($D1495="정상",INDEX(임대자산!$D$3:$R$3000,MATCH($F1495,임대자산!$I$3:$I$3000,0),MATCH(L$4,임대자산!$D$3:$R$3,0)),
IF($D1495="폐업",INDEX(폐업정보!$D$3:$R$3000,MATCH($F1495,폐업정보!$I$3:$I$3000,0),MATCH(L$4,폐업정보!$D$3:$R$3,0)),
"Error"))</f>
        <v>D1490</v>
      </c>
      <c r="M1495" s="76" t="s">
        <v>96</v>
      </c>
      <c r="N1495" s="77"/>
      <c r="O1495" s="78" t="s">
        <v>97</v>
      </c>
      <c r="P1495" s="79" t="n">
        <f aca="false">COUNTIFS(임대자산!$I:$I,가맹점정보!F1495,임대자산!$N:$N,가맹점정보!P$4)</f>
        <v>0</v>
      </c>
      <c r="Q1495" s="80" t="n">
        <f aca="false">COUNTIFS(임대자산!$I:$I,가맹점정보!F1495,임대자산!$N:$N,가맹점정보!Q$4)</f>
        <v>0</v>
      </c>
      <c r="R1495" s="81" t="n">
        <f aca="false">COUNTIFS(임대자산!$I:$I,가맹점정보!F1495,임대자산!$N:$N,가맹점정보!R$4)</f>
        <v>0</v>
      </c>
      <c r="S1495" s="82" t="n">
        <v>88000</v>
      </c>
      <c r="T1495" s="83" t="n">
        <v>0</v>
      </c>
      <c r="U1495" s="80" t="n">
        <f aca="false">SUM(S1495:T1495)</f>
        <v>88000</v>
      </c>
      <c r="V1495" s="84" t="s">
        <v>7</v>
      </c>
      <c r="W1495" s="80" t="str">
        <f aca="true">
IF(D1495="폐업","폐업",
IF(V1495="면제","면제",
IF(AND(V1495="정상",COUNTIFS(OFFSET(Y1495,0,COUNTA(Y1495:AV1495)-1,1,-4),"미납")&gt;=3),"장기미납",
IF(AND(V1495="정상",OFFSET(Y1495,0,COUNTA(Y1495:AV1495)-1)&gt;=U1495),"정상",
IF(AND(V1495="정상",OFFSET(Y1495,0,COUNTA(Y1495:AV1495)-1)=0),"정상",
"계약서 미작성")))))</f>
        <v>폐업</v>
      </c>
      <c r="X1495" s="81" t="str">
        <f aca="true">
IF(D1495="폐업","폐업",
IF(AND(V1495="정상",OFFSET(Y1495,0,COUNTA(Y1495:AV1495)-1)="미납"),"미납",
IF(AND(V1495="정상",OFFSET(Y1495,0,COUNTA(Y1495:AV1495)-1)=0),"납부 시작 전",
IF(AND(V1495="정상",OFFSET(Y1495,0,COUNTA(Y1495:AV1495)-1)&gt;=U1495),"정상",
IF(AND(V1495="면제",OFFSET(Y1495,0,COUNTA(Y1495:AV1495)-1)="면제"),"면제",
IF(AND(V1495="면제",OFFSET(Y1495,0,COUNTA(Y1495:AV1495)-1)=0),"면제",
"확인요청"))))))</f>
        <v>폐업</v>
      </c>
      <c r="Y1495" s="94" t="s">
        <v>7</v>
      </c>
      <c r="Z1495" s="95" t="s">
        <v>7</v>
      </c>
      <c r="AA1495" s="95" t="s">
        <v>7</v>
      </c>
      <c r="AB1495" s="95" t="s">
        <v>7</v>
      </c>
      <c r="AC1495" s="95" t="s">
        <v>7</v>
      </c>
      <c r="AD1495" s="95" t="s">
        <v>7</v>
      </c>
      <c r="AE1495" s="95" t="s">
        <v>7</v>
      </c>
      <c r="AF1495" s="95" t="s">
        <v>7</v>
      </c>
      <c r="AG1495" s="95" t="s">
        <v>7</v>
      </c>
      <c r="AH1495" s="95" t="s">
        <v>7</v>
      </c>
      <c r="AI1495" s="95" t="s">
        <v>7</v>
      </c>
      <c r="AJ1495" s="96" t="s">
        <v>7</v>
      </c>
      <c r="AK1495" s="97" t="s">
        <v>7</v>
      </c>
      <c r="AL1495" s="95" t="s">
        <v>7</v>
      </c>
      <c r="AM1495" s="90"/>
      <c r="AN1495" s="90"/>
      <c r="AO1495" s="90"/>
      <c r="AP1495" s="90"/>
      <c r="AQ1495" s="90"/>
      <c r="AR1495" s="90"/>
      <c r="AS1495" s="90"/>
      <c r="AT1495" s="90"/>
      <c r="AU1495" s="90"/>
      <c r="AV1495" s="91"/>
      <c r="AX1495" s="92"/>
    </row>
    <row r="1496" customFormat="false" ht="15.65" hidden="false" customHeight="false" outlineLevel="0" collapsed="false">
      <c r="C1496" s="72" t="n">
        <f aca="false">COUNTIFS($D$6:D1496,"&lt;&gt;"&amp;"")</f>
        <v>1491</v>
      </c>
      <c r="D1496" s="73" t="s">
        <v>5</v>
      </c>
      <c r="E1496" s="76" t="str">
        <f aca="false">
IF($D1496="정상",INDEX(임대자산!$D$3:$R$3000,MATCH($F1496,임대자산!$I$3:$I$3000,0),MATCH(E$3,임대자산!$D$3:$R$3,0)),
IF($D1496="폐업",INDEX(폐업정보!$D$3:$R$3000,MATCH($F1496,폐업정보!$I$3:$I$3000,0),MATCH(E$3,폐업정보!$D$3:$R$3,0)),
"Error"))</f>
        <v>서울</v>
      </c>
      <c r="F149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B1491</v>
      </c>
      <c r="G1496" s="76" t="str">
        <f aca="false">F1496&amp;RANDBETWEEN(0,10)</f>
        <v>B14910</v>
      </c>
      <c r="H1496" s="75" t="n">
        <f aca="false">
IF($D1496="정상",INDEX(임대자산!$D$3:$R$3000,MATCH($F1496,임대자산!$I$3:$I$3000,0),MATCH(H$4,임대자산!$D$3:$R$3,0)),
IF($D1496="폐업",INDEX(폐업정보!$D$3:$R$3000,MATCH($F1496,폐업정보!$I$3:$I$3000,0),MATCH(H$4,폐업정보!$D$3:$R$3,0)),
"Error"))</f>
        <v>46056</v>
      </c>
      <c r="I1496" s="75" t="str">
        <f aca="false">
IF($D1496="정상",INDEX(임대자산!$D$3:$R$3000,MATCH($F1496,임대자산!$I$3:$I$3000,0),MATCH(I$4,임대자산!$D$3:$R$3,0)),
IF($D1496="폐업",INDEX(폐업정보!$D$3:$R$3000,MATCH($F1496,폐업정보!$I$3:$I$3000,0),MATCH(I$4,폐업정보!$D$3:$R$3,0)),
"Error"))</f>
        <v>A1491</v>
      </c>
      <c r="J1496" s="75" t="str">
        <f aca="false">
IF($D1496="정상",INDEX(임대자산!$D$3:$R$3000,MATCH($F1496,임대자산!$I$3:$I$3000,0),MATCH(J$4,임대자산!$D$3:$R$3,0)),
IF($D1496="폐업",INDEX(폐업정보!$D$3:$R$3000,MATCH($F1496,폐업정보!$I$3:$I$3000,0),MATCH(J$4,폐업정보!$D$3:$R$3,0)),
"Error"))</f>
        <v>4965500000</v>
      </c>
      <c r="K1496" s="75" t="str">
        <f aca="false">
IF($D1496="정상",INDEX(임대자산!$D$3:$R$3000,MATCH($F1496,임대자산!$I$3:$I$3000,0),MATCH(K$4,임대자산!$D$3:$R$3,0)),
IF($D1496="폐업",INDEX(폐업정보!$D$3:$R$3000,MATCH($F1496,폐업정보!$I$3:$I$3000,0),MATCH(K$4,폐업정보!$D$3:$R$3,0)),
"Error"))</f>
        <v>C1491</v>
      </c>
      <c r="L1496" s="75" t="str">
        <f aca="false">
IF($D1496="정상",INDEX(임대자산!$D$3:$R$3000,MATCH($F1496,임대자산!$I$3:$I$3000,0),MATCH(L$4,임대자산!$D$3:$R$3,0)),
IF($D1496="폐업",INDEX(폐업정보!$D$3:$R$3000,MATCH($F1496,폐업정보!$I$3:$I$3000,0),MATCH(L$4,폐업정보!$D$3:$R$3,0)),
"Error"))</f>
        <v>D1491</v>
      </c>
      <c r="M1496" s="76" t="s">
        <v>96</v>
      </c>
      <c r="N1496" s="77"/>
      <c r="O1496" s="78" t="s">
        <v>97</v>
      </c>
      <c r="P1496" s="79" t="n">
        <f aca="false">COUNTIFS(임대자산!$I:$I,가맹점정보!F1496,임대자산!$N:$N,가맹점정보!P$4)</f>
        <v>0</v>
      </c>
      <c r="Q1496" s="80" t="n">
        <f aca="false">COUNTIFS(임대자산!$I:$I,가맹점정보!F1496,임대자산!$N:$N,가맹점정보!Q$4)</f>
        <v>0</v>
      </c>
      <c r="R1496" s="81" t="n">
        <f aca="false">COUNTIFS(임대자산!$I:$I,가맹점정보!F1496,임대자산!$N:$N,가맹점정보!R$4)</f>
        <v>0</v>
      </c>
      <c r="S1496" s="82" t="n">
        <v>88000</v>
      </c>
      <c r="T1496" s="83" t="n">
        <v>0</v>
      </c>
      <c r="U1496" s="80" t="n">
        <f aca="false">SUM(S1496:T1496)</f>
        <v>88000</v>
      </c>
      <c r="V1496" s="84" t="s">
        <v>7</v>
      </c>
      <c r="W1496" s="80" t="str">
        <f aca="true">
IF(D1496="폐업","폐업",
IF(V1496="면제","면제",
IF(AND(V1496="정상",COUNTIFS(OFFSET(Y1496,0,COUNTA(Y1496:AV1496)-1,1,-4),"미납")&gt;=3),"장기미납",
IF(AND(V1496="정상",OFFSET(Y1496,0,COUNTA(Y1496:AV1496)-1)&gt;=U1496),"정상",
IF(AND(V1496="정상",OFFSET(Y1496,0,COUNTA(Y1496:AV1496)-1)=0),"정상",
"계약서 미작성")))))</f>
        <v>폐업</v>
      </c>
      <c r="X1496" s="81" t="str">
        <f aca="true">
IF(D1496="폐업","폐업",
IF(AND(V1496="정상",OFFSET(Y1496,0,COUNTA(Y1496:AV1496)-1)="미납"),"미납",
IF(AND(V1496="정상",OFFSET(Y1496,0,COUNTA(Y1496:AV1496)-1)=0),"납부 시작 전",
IF(AND(V1496="정상",OFFSET(Y1496,0,COUNTA(Y1496:AV1496)-1)&gt;=U1496),"정상",
IF(AND(V1496="면제",OFFSET(Y1496,0,COUNTA(Y1496:AV1496)-1)="면제"),"면제",
IF(AND(V1496="면제",OFFSET(Y1496,0,COUNTA(Y1496:AV1496)-1)=0),"면제",
"확인요청"))))))</f>
        <v>폐업</v>
      </c>
      <c r="Y1496" s="94" t="s">
        <v>7</v>
      </c>
      <c r="Z1496" s="95" t="s">
        <v>7</v>
      </c>
      <c r="AA1496" s="95" t="s">
        <v>7</v>
      </c>
      <c r="AB1496" s="95" t="s">
        <v>7</v>
      </c>
      <c r="AC1496" s="95" t="s">
        <v>7</v>
      </c>
      <c r="AD1496" s="95" t="s">
        <v>7</v>
      </c>
      <c r="AE1496" s="95" t="s">
        <v>7</v>
      </c>
      <c r="AF1496" s="95" t="s">
        <v>7</v>
      </c>
      <c r="AG1496" s="95" t="s">
        <v>7</v>
      </c>
      <c r="AH1496" s="95" t="s">
        <v>7</v>
      </c>
      <c r="AI1496" s="95" t="s">
        <v>7</v>
      </c>
      <c r="AJ1496" s="96" t="s">
        <v>7</v>
      </c>
      <c r="AK1496" s="97" t="s">
        <v>7</v>
      </c>
      <c r="AL1496" s="95" t="s">
        <v>7</v>
      </c>
      <c r="AM1496" s="90"/>
      <c r="AN1496" s="90"/>
      <c r="AO1496" s="90"/>
      <c r="AP1496" s="90"/>
      <c r="AQ1496" s="90"/>
      <c r="AR1496" s="90"/>
      <c r="AS1496" s="90"/>
      <c r="AT1496" s="90"/>
      <c r="AU1496" s="90"/>
      <c r="AV1496" s="91"/>
      <c r="AX1496" s="92"/>
    </row>
    <row r="1497" customFormat="false" ht="15.65" hidden="false" customHeight="false" outlineLevel="0" collapsed="false">
      <c r="C1497" s="72" t="n">
        <f aca="false">COUNTIFS($D$6:D1497,"&lt;&gt;"&amp;"")</f>
        <v>1492</v>
      </c>
      <c r="D1497" s="73" t="s">
        <v>12</v>
      </c>
      <c r="E1497" s="76" t="str">
        <f aca="false">
IF($D1497="정상",INDEX(임대자산!$D$3:$R$3000,MATCH($F1497,임대자산!$I$3:$I$3000,0),MATCH(E$3,임대자산!$D$3:$R$3,0)),
IF($D1497="폐업",INDEX(폐업정보!$D$3:$R$3000,MATCH($F1497,폐업정보!$I$3:$I$3000,0),MATCH(E$3,폐업정보!$D$3:$R$3,0)),
"Error"))</f>
        <v>서울</v>
      </c>
      <c r="F149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B1492</v>
      </c>
      <c r="G1497" s="76" t="str">
        <f aca="false">F1497&amp;RANDBETWEEN(0,10)</f>
        <v>B14922</v>
      </c>
      <c r="H1497" s="75" t="n">
        <f aca="false">
IF($D1497="정상",INDEX(임대자산!$D$3:$R$3000,MATCH($F1497,임대자산!$I$3:$I$3000,0),MATCH(H$4,임대자산!$D$3:$R$3,0)),
IF($D1497="폐업",INDEX(폐업정보!$D$3:$R$3000,MATCH($F1497,폐업정보!$I$3:$I$3000,0),MATCH(H$4,폐업정보!$D$3:$R$3,0)),
"Error"))</f>
        <v>45482</v>
      </c>
      <c r="I1497" s="75" t="str">
        <f aca="false">
IF($D1497="정상",INDEX(임대자산!$D$3:$R$3000,MATCH($F1497,임대자산!$I$3:$I$3000,0),MATCH(I$4,임대자산!$D$3:$R$3,0)),
IF($D1497="폐업",INDEX(폐업정보!$D$3:$R$3000,MATCH($F1497,폐업정보!$I$3:$I$3000,0),MATCH(I$4,폐업정보!$D$3:$R$3,0)),
"Error"))</f>
        <v>A1492</v>
      </c>
      <c r="J1497" s="75" t="str">
        <f aca="false">
IF($D1497="정상",INDEX(임대자산!$D$3:$R$3000,MATCH($F1497,임대자산!$I$3:$I$3000,0),MATCH(J$4,임대자산!$D$3:$R$3,0)),
IF($D1497="폐업",INDEX(폐업정보!$D$3:$R$3000,MATCH($F1497,폐업정보!$I$3:$I$3000,0),MATCH(J$4,폐업정보!$D$3:$R$3,0)),
"Error"))</f>
        <v>5598200000</v>
      </c>
      <c r="K1497" s="75" t="str">
        <f aca="false">
IF($D1497="정상",INDEX(임대자산!$D$3:$R$3000,MATCH($F1497,임대자산!$I$3:$I$3000,0),MATCH(K$4,임대자산!$D$3:$R$3,0)),
IF($D1497="폐업",INDEX(폐업정보!$D$3:$R$3000,MATCH($F1497,폐업정보!$I$3:$I$3000,0),MATCH(K$4,폐업정보!$D$3:$R$3,0)),
"Error"))</f>
        <v>C1492</v>
      </c>
      <c r="L1497" s="75" t="str">
        <f aca="false">
IF($D1497="정상",INDEX(임대자산!$D$3:$R$3000,MATCH($F1497,임대자산!$I$3:$I$3000,0),MATCH(L$4,임대자산!$D$3:$R$3,0)),
IF($D1497="폐업",INDEX(폐업정보!$D$3:$R$3000,MATCH($F1497,폐업정보!$I$3:$I$3000,0),MATCH(L$4,폐업정보!$D$3:$R$3,0)),
"Error"))</f>
        <v>D1492</v>
      </c>
      <c r="M1497" s="76" t="s">
        <v>96</v>
      </c>
      <c r="N1497" s="77"/>
      <c r="O1497" s="78" t="s">
        <v>97</v>
      </c>
      <c r="P1497" s="79" t="n">
        <f aca="false">COUNTIFS(임대자산!$I:$I,가맹점정보!F1497,임대자산!$N:$N,가맹점정보!P$4)</f>
        <v>0</v>
      </c>
      <c r="Q1497" s="80" t="n">
        <f aca="false">COUNTIFS(임대자산!$I:$I,가맹점정보!F1497,임대자산!$N:$N,가맹점정보!Q$4)</f>
        <v>0</v>
      </c>
      <c r="R1497" s="81" t="n">
        <f aca="false">COUNTIFS(임대자산!$I:$I,가맹점정보!F1497,임대자산!$N:$N,가맹점정보!R$4)</f>
        <v>1</v>
      </c>
      <c r="S1497" s="82" t="n">
        <v>55000</v>
      </c>
      <c r="T1497" s="83" t="n">
        <v>0</v>
      </c>
      <c r="U1497" s="80" t="n">
        <f aca="false">SUM(S1497:T1497)</f>
        <v>55000</v>
      </c>
      <c r="V1497" s="84" t="s">
        <v>12</v>
      </c>
      <c r="W1497" s="80" t="e">
        <f aca="true">
IF(D1497="폐업","폐업",
IF(V1497="면제","면제",
IF(AND(V1497="정상",COUNTIFS(OFFSET(Y1497,0,COUNTA(Y1497:AV1497)-1,1,-4),"미납")&gt;=3),"장기미납",
IF(AND(V1497="정상",OFFSET(Y1497,0,COUNTA(Y1497:AV1497)-1)&gt;=U1497),"정상",
IF(AND(V1497="정상",OFFSET(Y1497,0,COUNTA(Y1497:AV1497)-1)=0),"정상",
"계약서 미작성")))))</f>
        <v>#VALUE!</v>
      </c>
      <c r="X1497" s="81" t="str">
        <f aca="true">
IF(D1497="폐업","폐업",
IF(AND(V1497="정상",OFFSET(Y1497,0,COUNTA(Y1497:AV1497)-1)="미납"),"미납",
IF(AND(V1497="정상",OFFSET(Y1497,0,COUNTA(Y1497:AV1497)-1)=0),"납부 시작 전",
IF(AND(V1497="정상",OFFSET(Y1497,0,COUNTA(Y1497:AV1497)-1)&gt;=U1497),"정상",
IF(AND(V1497="면제",OFFSET(Y1497,0,COUNTA(Y1497:AV1497)-1)="면제"),"면제",
IF(AND(V1497="면제",OFFSET(Y1497,0,COUNTA(Y1497:AV1497)-1)=0),"면제",
"확인요청"))))))</f>
        <v>정상</v>
      </c>
      <c r="Y1497" s="93" t="n">
        <v>55000</v>
      </c>
      <c r="Z1497" s="90" t="n">
        <v>55000</v>
      </c>
      <c r="AA1497" s="90" t="n">
        <v>55000</v>
      </c>
      <c r="AB1497" s="90" t="n">
        <v>55000</v>
      </c>
      <c r="AC1497" s="90" t="n">
        <v>55000</v>
      </c>
      <c r="AD1497" s="90" t="n">
        <v>55000</v>
      </c>
      <c r="AE1497" s="90" t="n">
        <v>55000</v>
      </c>
      <c r="AF1497" s="90" t="n">
        <v>55000</v>
      </c>
      <c r="AG1497" s="90" t="n">
        <v>55000</v>
      </c>
      <c r="AH1497" s="90" t="n">
        <v>55000</v>
      </c>
      <c r="AI1497" s="90" t="n">
        <v>55000</v>
      </c>
      <c r="AJ1497" s="91" t="n">
        <v>55000</v>
      </c>
      <c r="AK1497" s="89" t="n">
        <v>55000</v>
      </c>
      <c r="AL1497" s="90" t="n">
        <v>55000</v>
      </c>
      <c r="AM1497" s="90"/>
      <c r="AN1497" s="90"/>
      <c r="AO1497" s="90"/>
      <c r="AP1497" s="90"/>
      <c r="AQ1497" s="90"/>
      <c r="AR1497" s="90"/>
      <c r="AS1497" s="90"/>
      <c r="AT1497" s="90"/>
      <c r="AU1497" s="90"/>
      <c r="AV1497" s="91"/>
      <c r="AX1497" s="92"/>
    </row>
    <row r="1498" customFormat="false" ht="15.65" hidden="false" customHeight="false" outlineLevel="0" collapsed="false">
      <c r="C1498" s="72" t="n">
        <f aca="false">COUNTIFS($D$6:D1498,"&lt;&gt;"&amp;"")</f>
        <v>1493</v>
      </c>
      <c r="D1498" s="73" t="s">
        <v>5</v>
      </c>
      <c r="E1498" s="76" t="str">
        <f aca="false">
IF($D1498="정상",INDEX(임대자산!$D$3:$R$3000,MATCH($F1498,임대자산!$I$3:$I$3000,0),MATCH(E$3,임대자산!$D$3:$R$3,0)),
IF($D1498="폐업",INDEX(폐업정보!$D$3:$R$3000,MATCH($F1498,폐업정보!$I$3:$I$3000,0),MATCH(E$3,폐업정보!$D$3:$R$3,0)),
"Error"))</f>
        <v>서울</v>
      </c>
      <c r="F149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B1493</v>
      </c>
      <c r="G1498" s="76" t="str">
        <f aca="false">F1498&amp;RANDBETWEEN(0,10)</f>
        <v>B14932</v>
      </c>
      <c r="H1498" s="75" t="n">
        <f aca="false">
IF($D1498="정상",INDEX(임대자산!$D$3:$R$3000,MATCH($F1498,임대자산!$I$3:$I$3000,0),MATCH(H$4,임대자산!$D$3:$R$3,0)),
IF($D1498="폐업",INDEX(폐업정보!$D$3:$R$3000,MATCH($F1498,폐업정보!$I$3:$I$3000,0),MATCH(H$4,폐업정보!$D$3:$R$3,0)),
"Error"))</f>
        <v>45482</v>
      </c>
      <c r="I1498" s="75" t="str">
        <f aca="false">
IF($D1498="정상",INDEX(임대자산!$D$3:$R$3000,MATCH($F1498,임대자산!$I$3:$I$3000,0),MATCH(I$4,임대자산!$D$3:$R$3,0)),
IF($D1498="폐업",INDEX(폐업정보!$D$3:$R$3000,MATCH($F1498,폐업정보!$I$3:$I$3000,0),MATCH(I$4,폐업정보!$D$3:$R$3,0)),
"Error"))</f>
        <v>A1493</v>
      </c>
      <c r="J1498" s="75" t="str">
        <f aca="false">
IF($D1498="정상",INDEX(임대자산!$D$3:$R$3000,MATCH($F1498,임대자산!$I$3:$I$3000,0),MATCH(J$4,임대자산!$D$3:$R$3,0)),
IF($D1498="폐업",INDEX(폐업정보!$D$3:$R$3000,MATCH($F1498,폐업정보!$I$3:$I$3000,0),MATCH(J$4,폐업정보!$D$3:$R$3,0)),
"Error"))</f>
        <v>8730800000</v>
      </c>
      <c r="K1498" s="75" t="str">
        <f aca="false">
IF($D1498="정상",INDEX(임대자산!$D$3:$R$3000,MATCH($F1498,임대자산!$I$3:$I$3000,0),MATCH(K$4,임대자산!$D$3:$R$3,0)),
IF($D1498="폐업",INDEX(폐업정보!$D$3:$R$3000,MATCH($F1498,폐업정보!$I$3:$I$3000,0),MATCH(K$4,폐업정보!$D$3:$R$3,0)),
"Error"))</f>
        <v>C1493</v>
      </c>
      <c r="L1498" s="75" t="str">
        <f aca="false">
IF($D1498="정상",INDEX(임대자산!$D$3:$R$3000,MATCH($F1498,임대자산!$I$3:$I$3000,0),MATCH(L$4,임대자산!$D$3:$R$3,0)),
IF($D1498="폐업",INDEX(폐업정보!$D$3:$R$3000,MATCH($F1498,폐업정보!$I$3:$I$3000,0),MATCH(L$4,폐업정보!$D$3:$R$3,0)),
"Error"))</f>
        <v>D1493</v>
      </c>
      <c r="M1498" s="76" t="s">
        <v>96</v>
      </c>
      <c r="N1498" s="77"/>
      <c r="O1498" s="78" t="s">
        <v>97</v>
      </c>
      <c r="P1498" s="79" t="n">
        <f aca="false">COUNTIFS(임대자산!$I:$I,가맹점정보!F1498,임대자산!$N:$N,가맹점정보!P$4)</f>
        <v>0</v>
      </c>
      <c r="Q1498" s="80" t="n">
        <f aca="false">COUNTIFS(임대자산!$I:$I,가맹점정보!F1498,임대자산!$N:$N,가맹점정보!Q$4)</f>
        <v>0</v>
      </c>
      <c r="R1498" s="81" t="n">
        <f aca="false">COUNTIFS(임대자산!$I:$I,가맹점정보!F1498,임대자산!$N:$N,가맹점정보!R$4)</f>
        <v>0</v>
      </c>
      <c r="S1498" s="82" t="n">
        <v>88000</v>
      </c>
      <c r="T1498" s="83" t="n">
        <v>0</v>
      </c>
      <c r="U1498" s="80" t="n">
        <f aca="false">SUM(S1498:T1498)</f>
        <v>88000</v>
      </c>
      <c r="V1498" s="84" t="s">
        <v>7</v>
      </c>
      <c r="W1498" s="80" t="str">
        <f aca="true">
IF(D1498="폐업","폐업",
IF(V1498="면제","면제",
IF(AND(V1498="정상",COUNTIFS(OFFSET(Y1498,0,COUNTA(Y1498:AV1498)-1,1,-4),"미납")&gt;=3),"장기미납",
IF(AND(V1498="정상",OFFSET(Y1498,0,COUNTA(Y1498:AV1498)-1)&gt;=U1498),"정상",
IF(AND(V1498="정상",OFFSET(Y1498,0,COUNTA(Y1498:AV1498)-1)=0),"정상",
"계약서 미작성")))))</f>
        <v>폐업</v>
      </c>
      <c r="X1498" s="81" t="str">
        <f aca="true">
IF(D1498="폐업","폐업",
IF(AND(V1498="정상",OFFSET(Y1498,0,COUNTA(Y1498:AV1498)-1)="미납"),"미납",
IF(AND(V1498="정상",OFFSET(Y1498,0,COUNTA(Y1498:AV1498)-1)=0),"납부 시작 전",
IF(AND(V1498="정상",OFFSET(Y1498,0,COUNTA(Y1498:AV1498)-1)&gt;=U1498),"정상",
IF(AND(V1498="면제",OFFSET(Y1498,0,COUNTA(Y1498:AV1498)-1)="면제"),"면제",
IF(AND(V1498="면제",OFFSET(Y1498,0,COUNTA(Y1498:AV1498)-1)=0),"면제",
"확인요청"))))))</f>
        <v>폐업</v>
      </c>
      <c r="Y1498" s="94" t="s">
        <v>7</v>
      </c>
      <c r="Z1498" s="95" t="s">
        <v>7</v>
      </c>
      <c r="AA1498" s="95" t="s">
        <v>7</v>
      </c>
      <c r="AB1498" s="95" t="s">
        <v>7</v>
      </c>
      <c r="AC1498" s="95" t="s">
        <v>7</v>
      </c>
      <c r="AD1498" s="95" t="s">
        <v>7</v>
      </c>
      <c r="AE1498" s="95" t="s">
        <v>7</v>
      </c>
      <c r="AF1498" s="95" t="s">
        <v>7</v>
      </c>
      <c r="AG1498" s="95" t="s">
        <v>7</v>
      </c>
      <c r="AH1498" s="95" t="s">
        <v>7</v>
      </c>
      <c r="AI1498" s="95" t="s">
        <v>7</v>
      </c>
      <c r="AJ1498" s="96" t="s">
        <v>7</v>
      </c>
      <c r="AK1498" s="97" t="s">
        <v>7</v>
      </c>
      <c r="AL1498" s="95" t="s">
        <v>7</v>
      </c>
      <c r="AM1498" s="90"/>
      <c r="AN1498" s="90"/>
      <c r="AO1498" s="90"/>
      <c r="AP1498" s="90"/>
      <c r="AQ1498" s="90"/>
      <c r="AR1498" s="90"/>
      <c r="AS1498" s="90"/>
      <c r="AT1498" s="90"/>
      <c r="AU1498" s="90"/>
      <c r="AV1498" s="91"/>
      <c r="AX1498" s="92"/>
    </row>
    <row r="1499" customFormat="false" ht="15.65" hidden="false" customHeight="false" outlineLevel="0" collapsed="false">
      <c r="C1499" s="72" t="n">
        <f aca="false">COUNTIFS($D$6:D1499,"&lt;&gt;"&amp;"")</f>
        <v>1494</v>
      </c>
      <c r="D1499" s="73" t="s">
        <v>12</v>
      </c>
      <c r="E1499" s="76" t="str">
        <f aca="false">
IF($D1499="정상",INDEX(임대자산!$D$3:$R$3000,MATCH($F1499,임대자산!$I$3:$I$3000,0),MATCH(E$3,임대자산!$D$3:$R$3,0)),
IF($D1499="폐업",INDEX(폐업정보!$D$3:$R$3000,MATCH($F1499,폐업정보!$I$3:$I$3000,0),MATCH(E$3,폐업정보!$D$3:$R$3,0)),
"Error"))</f>
        <v>강원</v>
      </c>
      <c r="F149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B1494</v>
      </c>
      <c r="G1499" s="76" t="str">
        <f aca="false">F1499&amp;RANDBETWEEN(0,10)</f>
        <v>B14941</v>
      </c>
      <c r="H1499" s="75" t="n">
        <f aca="false">
IF($D1499="정상",INDEX(임대자산!$D$3:$R$3000,MATCH($F1499,임대자산!$I$3:$I$3000,0),MATCH(H$4,임대자산!$D$3:$R$3,0)),
IF($D1499="폐업",INDEX(폐업정보!$D$3:$R$3000,MATCH($F1499,폐업정보!$I$3:$I$3000,0),MATCH(H$4,폐업정보!$D$3:$R$3,0)),
"Error"))</f>
        <v>45482</v>
      </c>
      <c r="I1499" s="75" t="str">
        <f aca="false">
IF($D1499="정상",INDEX(임대자산!$D$3:$R$3000,MATCH($F1499,임대자산!$I$3:$I$3000,0),MATCH(I$4,임대자산!$D$3:$R$3,0)),
IF($D1499="폐업",INDEX(폐업정보!$D$3:$R$3000,MATCH($F1499,폐업정보!$I$3:$I$3000,0),MATCH(I$4,폐업정보!$D$3:$R$3,0)),
"Error"))</f>
        <v>A1494</v>
      </c>
      <c r="J1499" s="75" t="str">
        <f aca="false">
IF($D1499="정상",INDEX(임대자산!$D$3:$R$3000,MATCH($F1499,임대자산!$I$3:$I$3000,0),MATCH(J$4,임대자산!$D$3:$R$3,0)),
IF($D1499="폐업",INDEX(폐업정보!$D$3:$R$3000,MATCH($F1499,폐업정보!$I$3:$I$3000,0),MATCH(J$4,폐업정보!$D$3:$R$3,0)),
"Error"))</f>
        <v>1831800000</v>
      </c>
      <c r="K1499" s="75" t="str">
        <f aca="false">
IF($D1499="정상",INDEX(임대자산!$D$3:$R$3000,MATCH($F1499,임대자산!$I$3:$I$3000,0),MATCH(K$4,임대자산!$D$3:$R$3,0)),
IF($D1499="폐업",INDEX(폐업정보!$D$3:$R$3000,MATCH($F1499,폐업정보!$I$3:$I$3000,0),MATCH(K$4,폐업정보!$D$3:$R$3,0)),
"Error"))</f>
        <v>C1494</v>
      </c>
      <c r="L1499" s="75" t="str">
        <f aca="false">
IF($D1499="정상",INDEX(임대자산!$D$3:$R$3000,MATCH($F1499,임대자산!$I$3:$I$3000,0),MATCH(L$4,임대자산!$D$3:$R$3,0)),
IF($D1499="폐업",INDEX(폐업정보!$D$3:$R$3000,MATCH($F1499,폐업정보!$I$3:$I$3000,0),MATCH(L$4,폐업정보!$D$3:$R$3,0)),
"Error"))</f>
        <v>D1494</v>
      </c>
      <c r="M1499" s="76" t="s">
        <v>96</v>
      </c>
      <c r="N1499" s="77"/>
      <c r="O1499" s="78" t="s">
        <v>97</v>
      </c>
      <c r="P1499" s="79" t="n">
        <f aca="false">COUNTIFS(임대자산!$I:$I,가맹점정보!F1499,임대자산!$N:$N,가맹점정보!P$4)</f>
        <v>0</v>
      </c>
      <c r="Q1499" s="80" t="n">
        <f aca="false">COUNTIFS(임대자산!$I:$I,가맹점정보!F1499,임대자산!$N:$N,가맹점정보!Q$4)</f>
        <v>0</v>
      </c>
      <c r="R1499" s="81" t="n">
        <f aca="false">COUNTIFS(임대자산!$I:$I,가맹점정보!F1499,임대자산!$N:$N,가맹점정보!R$4)</f>
        <v>1</v>
      </c>
      <c r="S1499" s="82" t="n">
        <v>55000</v>
      </c>
      <c r="T1499" s="83" t="n">
        <v>0</v>
      </c>
      <c r="U1499" s="80" t="n">
        <f aca="false">SUM(S1499:T1499)</f>
        <v>55000</v>
      </c>
      <c r="V1499" s="84" t="s">
        <v>7</v>
      </c>
      <c r="W1499" s="80" t="str">
        <f aca="true">
IF(D1499="폐업","폐업",
IF(V1499="면제","면제",
IF(AND(V1499="정상",COUNTIFS(OFFSET(Y1499,0,COUNTA(Y1499:AV1499)-1,1,-4),"미납")&gt;=3),"장기미납",
IF(AND(V1499="정상",OFFSET(Y1499,0,COUNTA(Y1499:AV1499)-1)&gt;=U1499),"정상",
IF(AND(V1499="정상",OFFSET(Y1499,0,COUNTA(Y1499:AV1499)-1)=0),"정상",
"계약서 미작성")))))</f>
        <v>면제</v>
      </c>
      <c r="X1499" s="81" t="str">
        <f aca="true">
IF(D1499="폐업","폐업",
IF(AND(V1499="정상",OFFSET(Y1499,0,COUNTA(Y1499:AV1499)-1)="미납"),"미납",
IF(AND(V1499="정상",OFFSET(Y1499,0,COUNTA(Y1499:AV1499)-1)=0),"납부 시작 전",
IF(AND(V1499="정상",OFFSET(Y1499,0,COUNTA(Y1499:AV1499)-1)&gt;=U1499),"정상",
IF(AND(V1499="면제",OFFSET(Y1499,0,COUNTA(Y1499:AV1499)-1)="면제"),"면제",
IF(AND(V1499="면제",OFFSET(Y1499,0,COUNTA(Y1499:AV1499)-1)=0),"면제",
"확인요청"))))))</f>
        <v>면제</v>
      </c>
      <c r="Y1499" s="94" t="s">
        <v>7</v>
      </c>
      <c r="Z1499" s="95" t="s">
        <v>7</v>
      </c>
      <c r="AA1499" s="95" t="s">
        <v>7</v>
      </c>
      <c r="AB1499" s="95" t="s">
        <v>7</v>
      </c>
      <c r="AC1499" s="95" t="s">
        <v>7</v>
      </c>
      <c r="AD1499" s="95" t="s">
        <v>7</v>
      </c>
      <c r="AE1499" s="95" t="s">
        <v>7</v>
      </c>
      <c r="AF1499" s="95" t="s">
        <v>7</v>
      </c>
      <c r="AG1499" s="95" t="s">
        <v>7</v>
      </c>
      <c r="AH1499" s="95" t="s">
        <v>7</v>
      </c>
      <c r="AI1499" s="95" t="s">
        <v>7</v>
      </c>
      <c r="AJ1499" s="96" t="s">
        <v>7</v>
      </c>
      <c r="AK1499" s="97" t="s">
        <v>7</v>
      </c>
      <c r="AL1499" s="95" t="s">
        <v>7</v>
      </c>
      <c r="AM1499" s="90"/>
      <c r="AN1499" s="90"/>
      <c r="AO1499" s="90"/>
      <c r="AP1499" s="90"/>
      <c r="AQ1499" s="90"/>
      <c r="AR1499" s="90"/>
      <c r="AS1499" s="90"/>
      <c r="AT1499" s="90"/>
      <c r="AU1499" s="90"/>
      <c r="AV1499" s="91"/>
      <c r="AX1499" s="92"/>
    </row>
    <row r="1500" customFormat="false" ht="15.65" hidden="false" customHeight="false" outlineLevel="0" collapsed="false">
      <c r="C1500" s="72" t="n">
        <f aca="false">COUNTIFS($D$6:D1500,"&lt;&gt;"&amp;"")</f>
        <v>1495</v>
      </c>
      <c r="D1500" s="73" t="s">
        <v>12</v>
      </c>
      <c r="E1500" s="76" t="str">
        <f aca="false">
IF($D1500="정상",INDEX(임대자산!$D$3:$R$3000,MATCH($F1500,임대자산!$I$3:$I$3000,0),MATCH(E$3,임대자산!$D$3:$R$3,0)),
IF($D1500="폐업",INDEX(폐업정보!$D$3:$R$3000,MATCH($F1500,폐업정보!$I$3:$I$3000,0),MATCH(E$3,폐업정보!$D$3:$R$3,0)),
"Error"))</f>
        <v>서울</v>
      </c>
      <c r="F150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B1495</v>
      </c>
      <c r="G1500" s="76" t="str">
        <f aca="false">F1500&amp;RANDBETWEEN(0,10)</f>
        <v>B14955</v>
      </c>
      <c r="H1500" s="75" t="n">
        <f aca="false">
IF($D1500="정상",INDEX(임대자산!$D$3:$R$3000,MATCH($F1500,임대자산!$I$3:$I$3000,0),MATCH(H$4,임대자산!$D$3:$R$3,0)),
IF($D1500="폐업",INDEX(폐업정보!$D$3:$R$3000,MATCH($F1500,폐업정보!$I$3:$I$3000,0),MATCH(H$4,폐업정보!$D$3:$R$3,0)),
"Error"))</f>
        <v>45502</v>
      </c>
      <c r="I1500" s="75" t="str">
        <f aca="false">
IF($D1500="정상",INDEX(임대자산!$D$3:$R$3000,MATCH($F1500,임대자산!$I$3:$I$3000,0),MATCH(I$4,임대자산!$D$3:$R$3,0)),
IF($D1500="폐업",INDEX(폐업정보!$D$3:$R$3000,MATCH($F1500,폐업정보!$I$3:$I$3000,0),MATCH(I$4,폐업정보!$D$3:$R$3,0)),
"Error"))</f>
        <v>A1495</v>
      </c>
      <c r="J1500" s="75" t="str">
        <f aca="false">
IF($D1500="정상",INDEX(임대자산!$D$3:$R$3000,MATCH($F1500,임대자산!$I$3:$I$3000,0),MATCH(J$4,임대자산!$D$3:$R$3,0)),
IF($D1500="폐업",INDEX(폐업정보!$D$3:$R$3000,MATCH($F1500,폐업정보!$I$3:$I$3000,0),MATCH(J$4,폐업정보!$D$3:$R$3,0)),
"Error"))</f>
        <v>8102300000</v>
      </c>
      <c r="K1500" s="75" t="str">
        <f aca="false">
IF($D1500="정상",INDEX(임대자산!$D$3:$R$3000,MATCH($F1500,임대자산!$I$3:$I$3000,0),MATCH(K$4,임대자산!$D$3:$R$3,0)),
IF($D1500="폐업",INDEX(폐업정보!$D$3:$R$3000,MATCH($F1500,폐업정보!$I$3:$I$3000,0),MATCH(K$4,폐업정보!$D$3:$R$3,0)),
"Error"))</f>
        <v>C1495</v>
      </c>
      <c r="L1500" s="75" t="str">
        <f aca="false">
IF($D1500="정상",INDEX(임대자산!$D$3:$R$3000,MATCH($F1500,임대자산!$I$3:$I$3000,0),MATCH(L$4,임대자산!$D$3:$R$3,0)),
IF($D1500="폐업",INDEX(폐업정보!$D$3:$R$3000,MATCH($F1500,폐업정보!$I$3:$I$3000,0),MATCH(L$4,폐업정보!$D$3:$R$3,0)),
"Error"))</f>
        <v>D1495</v>
      </c>
      <c r="M1500" s="76" t="s">
        <v>96</v>
      </c>
      <c r="N1500" s="77"/>
      <c r="O1500" s="78" t="s">
        <v>97</v>
      </c>
      <c r="P1500" s="79" t="n">
        <f aca="false">COUNTIFS(임대자산!$I:$I,가맹점정보!F1500,임대자산!$N:$N,가맹점정보!P$4)</f>
        <v>0</v>
      </c>
      <c r="Q1500" s="80" t="n">
        <f aca="false">COUNTIFS(임대자산!$I:$I,가맹점정보!F1500,임대자산!$N:$N,가맹점정보!Q$4)</f>
        <v>0</v>
      </c>
      <c r="R1500" s="81" t="n">
        <f aca="false">COUNTIFS(임대자산!$I:$I,가맹점정보!F1500,임대자산!$N:$N,가맹점정보!R$4)</f>
        <v>1</v>
      </c>
      <c r="S1500" s="82" t="n">
        <v>55000</v>
      </c>
      <c r="T1500" s="83" t="n">
        <v>0</v>
      </c>
      <c r="U1500" s="80" t="n">
        <f aca="false">SUM(S1500:T1500)</f>
        <v>55000</v>
      </c>
      <c r="V1500" s="84" t="s">
        <v>7</v>
      </c>
      <c r="W1500" s="80" t="str">
        <f aca="true">
IF(D1500="폐업","폐업",
IF(V1500="면제","면제",
IF(AND(V1500="정상",COUNTIFS(OFFSET(Y1500,0,COUNTA(Y1500:AV1500)-1,1,-4),"미납")&gt;=3),"장기미납",
IF(AND(V1500="정상",OFFSET(Y1500,0,COUNTA(Y1500:AV1500)-1)&gt;=U1500),"정상",
IF(AND(V1500="정상",OFFSET(Y1500,0,COUNTA(Y1500:AV1500)-1)=0),"정상",
"계약서 미작성")))))</f>
        <v>면제</v>
      </c>
      <c r="X1500" s="81" t="str">
        <f aca="true">
IF(D1500="폐업","폐업",
IF(AND(V1500="정상",OFFSET(Y1500,0,COUNTA(Y1500:AV1500)-1)="미납"),"미납",
IF(AND(V1500="정상",OFFSET(Y1500,0,COUNTA(Y1500:AV1500)-1)=0),"납부 시작 전",
IF(AND(V1500="정상",OFFSET(Y1500,0,COUNTA(Y1500:AV1500)-1)&gt;=U1500),"정상",
IF(AND(V1500="면제",OFFSET(Y1500,0,COUNTA(Y1500:AV1500)-1)="면제"),"면제",
IF(AND(V1500="면제",OFFSET(Y1500,0,COUNTA(Y1500:AV1500)-1)=0),"면제",
"확인요청"))))))</f>
        <v>면제</v>
      </c>
      <c r="Y1500" s="94" t="s">
        <v>7</v>
      </c>
      <c r="Z1500" s="95" t="s">
        <v>7</v>
      </c>
      <c r="AA1500" s="95" t="s">
        <v>7</v>
      </c>
      <c r="AB1500" s="95" t="s">
        <v>7</v>
      </c>
      <c r="AC1500" s="95" t="s">
        <v>7</v>
      </c>
      <c r="AD1500" s="95" t="s">
        <v>7</v>
      </c>
      <c r="AE1500" s="95" t="s">
        <v>7</v>
      </c>
      <c r="AF1500" s="95" t="s">
        <v>7</v>
      </c>
      <c r="AG1500" s="95" t="s">
        <v>7</v>
      </c>
      <c r="AH1500" s="95" t="s">
        <v>7</v>
      </c>
      <c r="AI1500" s="95" t="s">
        <v>7</v>
      </c>
      <c r="AJ1500" s="96" t="s">
        <v>7</v>
      </c>
      <c r="AK1500" s="97" t="s">
        <v>7</v>
      </c>
      <c r="AL1500" s="95" t="s">
        <v>7</v>
      </c>
      <c r="AM1500" s="90"/>
      <c r="AN1500" s="90"/>
      <c r="AO1500" s="90"/>
      <c r="AP1500" s="90"/>
      <c r="AQ1500" s="90"/>
      <c r="AR1500" s="90"/>
      <c r="AS1500" s="90"/>
      <c r="AT1500" s="90"/>
      <c r="AU1500" s="90"/>
      <c r="AV1500" s="91"/>
      <c r="AX1500" s="92"/>
    </row>
    <row r="1501" customFormat="false" ht="15.65" hidden="false" customHeight="false" outlineLevel="0" collapsed="false">
      <c r="C1501" s="72" t="n">
        <f aca="false">COUNTIFS($D$6:D1501,"&lt;&gt;"&amp;"")</f>
        <v>1496</v>
      </c>
      <c r="D1501" s="73" t="s">
        <v>12</v>
      </c>
      <c r="E1501" s="76" t="str">
        <f aca="false">
IF($D1501="정상",INDEX(임대자산!$D$3:$R$3000,MATCH($F1501,임대자산!$I$3:$I$3000,0),MATCH(E$3,임대자산!$D$3:$R$3,0)),
IF($D1501="폐업",INDEX(폐업정보!$D$3:$R$3000,MATCH($F1501,폐업정보!$I$3:$I$3000,0),MATCH(E$3,폐업정보!$D$3:$R$3,0)),
"Error"))</f>
        <v>강원</v>
      </c>
      <c r="F150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B1496</v>
      </c>
      <c r="G1501" s="76" t="str">
        <f aca="false">F1501&amp;RANDBETWEEN(0,10)</f>
        <v>B14962</v>
      </c>
      <c r="H1501" s="75" t="n">
        <f aca="false">
IF($D1501="정상",INDEX(임대자산!$D$3:$R$3000,MATCH($F1501,임대자산!$I$3:$I$3000,0),MATCH(H$4,임대자산!$D$3:$R$3,0)),
IF($D1501="폐업",INDEX(폐업정보!$D$3:$R$3000,MATCH($F1501,폐업정보!$I$3:$I$3000,0),MATCH(H$4,폐업정보!$D$3:$R$3,0)),
"Error"))</f>
        <v>45743</v>
      </c>
      <c r="I1501" s="75" t="str">
        <f aca="false">
IF($D1501="정상",INDEX(임대자산!$D$3:$R$3000,MATCH($F1501,임대자산!$I$3:$I$3000,0),MATCH(I$4,임대자산!$D$3:$R$3,0)),
IF($D1501="폐업",INDEX(폐업정보!$D$3:$R$3000,MATCH($F1501,폐업정보!$I$3:$I$3000,0),MATCH(I$4,폐업정보!$D$3:$R$3,0)),
"Error"))</f>
        <v>A1496</v>
      </c>
      <c r="J1501" s="75" t="str">
        <f aca="false">
IF($D1501="정상",INDEX(임대자산!$D$3:$R$3000,MATCH($F1501,임대자산!$I$3:$I$3000,0),MATCH(J$4,임대자산!$D$3:$R$3,0)),
IF($D1501="폐업",INDEX(폐업정보!$D$3:$R$3000,MATCH($F1501,폐업정보!$I$3:$I$3000,0),MATCH(J$4,폐업정보!$D$3:$R$3,0)),
"Error"))</f>
        <v>1211400000</v>
      </c>
      <c r="K1501" s="75" t="str">
        <f aca="false">
IF($D1501="정상",INDEX(임대자산!$D$3:$R$3000,MATCH($F1501,임대자산!$I$3:$I$3000,0),MATCH(K$4,임대자산!$D$3:$R$3,0)),
IF($D1501="폐업",INDEX(폐업정보!$D$3:$R$3000,MATCH($F1501,폐업정보!$I$3:$I$3000,0),MATCH(K$4,폐업정보!$D$3:$R$3,0)),
"Error"))</f>
        <v>C1496</v>
      </c>
      <c r="L1501" s="75" t="str">
        <f aca="false">
IF($D1501="정상",INDEX(임대자산!$D$3:$R$3000,MATCH($F1501,임대자산!$I$3:$I$3000,0),MATCH(L$4,임대자산!$D$3:$R$3,0)),
IF($D1501="폐업",INDEX(폐업정보!$D$3:$R$3000,MATCH($F1501,폐업정보!$I$3:$I$3000,0),MATCH(L$4,폐업정보!$D$3:$R$3,0)),
"Error"))</f>
        <v>D1496</v>
      </c>
      <c r="M1501" s="76" t="s">
        <v>96</v>
      </c>
      <c r="N1501" s="77"/>
      <c r="O1501" s="78" t="s">
        <v>97</v>
      </c>
      <c r="P1501" s="79" t="n">
        <f aca="false">COUNTIFS(임대자산!$I:$I,가맹점정보!F1501,임대자산!$N:$N,가맹점정보!P$4)</f>
        <v>0</v>
      </c>
      <c r="Q1501" s="80" t="n">
        <f aca="false">COUNTIFS(임대자산!$I:$I,가맹점정보!F1501,임대자산!$N:$N,가맹점정보!Q$4)</f>
        <v>0</v>
      </c>
      <c r="R1501" s="81" t="n">
        <f aca="false">COUNTIFS(임대자산!$I:$I,가맹점정보!F1501,임대자산!$N:$N,가맹점정보!R$4)</f>
        <v>1</v>
      </c>
      <c r="S1501" s="82" t="n">
        <v>55000</v>
      </c>
      <c r="T1501" s="83" t="n">
        <v>0</v>
      </c>
      <c r="U1501" s="80" t="n">
        <f aca="false">SUM(S1501:T1501)</f>
        <v>55000</v>
      </c>
      <c r="V1501" s="84" t="s">
        <v>7</v>
      </c>
      <c r="W1501" s="80" t="str">
        <f aca="true">
IF(D1501="폐업","폐업",
IF(V1501="면제","면제",
IF(AND(V1501="정상",COUNTIFS(OFFSET(Y1501,0,COUNTA(Y1501:AV1501)-1,1,-4),"미납")&gt;=3),"장기미납",
IF(AND(V1501="정상",OFFSET(Y1501,0,COUNTA(Y1501:AV1501)-1)&gt;=U1501),"정상",
IF(AND(V1501="정상",OFFSET(Y1501,0,COUNTA(Y1501:AV1501)-1)=0),"정상",
"계약서 미작성")))))</f>
        <v>면제</v>
      </c>
      <c r="X1501" s="81" t="str">
        <f aca="true">
IF(D1501="폐업","폐업",
IF(AND(V1501="정상",OFFSET(Y1501,0,COUNTA(Y1501:AV1501)-1)="미납"),"미납",
IF(AND(V1501="정상",OFFSET(Y1501,0,COUNTA(Y1501:AV1501)-1)=0),"납부 시작 전",
IF(AND(V1501="정상",OFFSET(Y1501,0,COUNTA(Y1501:AV1501)-1)&gt;=U1501),"정상",
IF(AND(V1501="면제",OFFSET(Y1501,0,COUNTA(Y1501:AV1501)-1)="면제"),"면제",
IF(AND(V1501="면제",OFFSET(Y1501,0,COUNTA(Y1501:AV1501)-1)=0),"면제",
"확인요청"))))))</f>
        <v>면제</v>
      </c>
      <c r="Y1501" s="94" t="s">
        <v>7</v>
      </c>
      <c r="Z1501" s="95" t="s">
        <v>7</v>
      </c>
      <c r="AA1501" s="95" t="s">
        <v>7</v>
      </c>
      <c r="AB1501" s="95" t="s">
        <v>7</v>
      </c>
      <c r="AC1501" s="95" t="s">
        <v>7</v>
      </c>
      <c r="AD1501" s="95" t="s">
        <v>7</v>
      </c>
      <c r="AE1501" s="95" t="s">
        <v>7</v>
      </c>
      <c r="AF1501" s="95" t="s">
        <v>7</v>
      </c>
      <c r="AG1501" s="95" t="s">
        <v>7</v>
      </c>
      <c r="AH1501" s="95" t="s">
        <v>7</v>
      </c>
      <c r="AI1501" s="95" t="s">
        <v>7</v>
      </c>
      <c r="AJ1501" s="96" t="s">
        <v>7</v>
      </c>
      <c r="AK1501" s="97" t="s">
        <v>7</v>
      </c>
      <c r="AL1501" s="95" t="s">
        <v>7</v>
      </c>
      <c r="AM1501" s="90"/>
      <c r="AN1501" s="90"/>
      <c r="AO1501" s="90"/>
      <c r="AP1501" s="90"/>
      <c r="AQ1501" s="90"/>
      <c r="AR1501" s="90"/>
      <c r="AS1501" s="90"/>
      <c r="AT1501" s="90"/>
      <c r="AU1501" s="90"/>
      <c r="AV1501" s="91"/>
      <c r="AX1501" s="92"/>
    </row>
    <row r="1502" customFormat="false" ht="15.65" hidden="false" customHeight="false" outlineLevel="0" collapsed="false">
      <c r="C1502" s="72" t="n">
        <f aca="false">COUNTIFS($D$6:D1502,"&lt;&gt;"&amp;"")</f>
        <v>1497</v>
      </c>
      <c r="D1502" s="73" t="s">
        <v>12</v>
      </c>
      <c r="E1502" s="76" t="str">
        <f aca="false">
IF($D1502="정상",INDEX(임대자산!$D$3:$R$3000,MATCH($F1502,임대자산!$I$3:$I$3000,0),MATCH(E$3,임대자산!$D$3:$R$3,0)),
IF($D1502="폐업",INDEX(폐업정보!$D$3:$R$3000,MATCH($F1502,폐업정보!$I$3:$I$3000,0),MATCH(E$3,폐업정보!$D$3:$R$3,0)),
"Error"))</f>
        <v>경상</v>
      </c>
      <c r="F150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B1497</v>
      </c>
      <c r="G1502" s="76" t="str">
        <f aca="false">F1502&amp;RANDBETWEEN(0,10)</f>
        <v>B14978</v>
      </c>
      <c r="H1502" s="75" t="n">
        <f aca="false">
IF($D1502="정상",INDEX(임대자산!$D$3:$R$3000,MATCH($F1502,임대자산!$I$3:$I$3000,0),MATCH(H$4,임대자산!$D$3:$R$3,0)),
IF($D1502="폐업",INDEX(폐업정보!$D$3:$R$3000,MATCH($F1502,폐업정보!$I$3:$I$3000,0),MATCH(H$4,폐업정보!$D$3:$R$3,0)),
"Error"))</f>
        <v>45516</v>
      </c>
      <c r="I1502" s="75" t="str">
        <f aca="false">
IF($D1502="정상",INDEX(임대자산!$D$3:$R$3000,MATCH($F1502,임대자산!$I$3:$I$3000,0),MATCH(I$4,임대자산!$D$3:$R$3,0)),
IF($D1502="폐업",INDEX(폐업정보!$D$3:$R$3000,MATCH($F1502,폐업정보!$I$3:$I$3000,0),MATCH(I$4,폐업정보!$D$3:$R$3,0)),
"Error"))</f>
        <v>A1497</v>
      </c>
      <c r="J1502" s="75" t="str">
        <f aca="false">
IF($D1502="정상",INDEX(임대자산!$D$3:$R$3000,MATCH($F1502,임대자산!$I$3:$I$3000,0),MATCH(J$4,임대자산!$D$3:$R$3,0)),
IF($D1502="폐업",INDEX(폐업정보!$D$3:$R$3000,MATCH($F1502,폐업정보!$I$3:$I$3000,0),MATCH(J$4,폐업정보!$D$3:$R$3,0)),
"Error"))</f>
        <v>9319400000</v>
      </c>
      <c r="K1502" s="75" t="str">
        <f aca="false">
IF($D1502="정상",INDEX(임대자산!$D$3:$R$3000,MATCH($F1502,임대자산!$I$3:$I$3000,0),MATCH(K$4,임대자산!$D$3:$R$3,0)),
IF($D1502="폐업",INDEX(폐업정보!$D$3:$R$3000,MATCH($F1502,폐업정보!$I$3:$I$3000,0),MATCH(K$4,폐업정보!$D$3:$R$3,0)),
"Error"))</f>
        <v>C1497</v>
      </c>
      <c r="L1502" s="75" t="str">
        <f aca="false">
IF($D1502="정상",INDEX(임대자산!$D$3:$R$3000,MATCH($F1502,임대자산!$I$3:$I$3000,0),MATCH(L$4,임대자산!$D$3:$R$3,0)),
IF($D1502="폐업",INDEX(폐업정보!$D$3:$R$3000,MATCH($F1502,폐업정보!$I$3:$I$3000,0),MATCH(L$4,폐업정보!$D$3:$R$3,0)),
"Error"))</f>
        <v>D1497</v>
      </c>
      <c r="M1502" s="76" t="s">
        <v>96</v>
      </c>
      <c r="N1502" s="77"/>
      <c r="O1502" s="78" t="s">
        <v>97</v>
      </c>
      <c r="P1502" s="79" t="n">
        <f aca="false">COUNTIFS(임대자산!$I:$I,가맹점정보!F1502,임대자산!$N:$N,가맹점정보!P$4)</f>
        <v>0</v>
      </c>
      <c r="Q1502" s="80" t="n">
        <f aca="false">COUNTIFS(임대자산!$I:$I,가맹점정보!F1502,임대자산!$N:$N,가맹점정보!Q$4)</f>
        <v>0</v>
      </c>
      <c r="R1502" s="81" t="n">
        <f aca="false">COUNTIFS(임대자산!$I:$I,가맹점정보!F1502,임대자산!$N:$N,가맹점정보!R$4)</f>
        <v>1</v>
      </c>
      <c r="S1502" s="82" t="n">
        <v>55000</v>
      </c>
      <c r="T1502" s="83" t="n">
        <v>0</v>
      </c>
      <c r="U1502" s="80" t="n">
        <f aca="false">SUM(S1502:T1502)</f>
        <v>55000</v>
      </c>
      <c r="V1502" s="84" t="s">
        <v>7</v>
      </c>
      <c r="W1502" s="80" t="str">
        <f aca="true">
IF(D1502="폐업","폐업",
IF(V1502="면제","면제",
IF(AND(V1502="정상",COUNTIFS(OFFSET(Y1502,0,COUNTA(Y1502:AV1502)-1,1,-4),"미납")&gt;=3),"장기미납",
IF(AND(V1502="정상",OFFSET(Y1502,0,COUNTA(Y1502:AV1502)-1)&gt;=U1502),"정상",
IF(AND(V1502="정상",OFFSET(Y1502,0,COUNTA(Y1502:AV1502)-1)=0),"정상",
"계약서 미작성")))))</f>
        <v>면제</v>
      </c>
      <c r="X1502" s="81" t="str">
        <f aca="true">
IF(D1502="폐업","폐업",
IF(AND(V1502="정상",OFFSET(Y1502,0,COUNTA(Y1502:AV1502)-1)="미납"),"미납",
IF(AND(V1502="정상",OFFSET(Y1502,0,COUNTA(Y1502:AV1502)-1)=0),"납부 시작 전",
IF(AND(V1502="정상",OFFSET(Y1502,0,COUNTA(Y1502:AV1502)-1)&gt;=U1502),"정상",
IF(AND(V1502="면제",OFFSET(Y1502,0,COUNTA(Y1502:AV1502)-1)="면제"),"면제",
IF(AND(V1502="면제",OFFSET(Y1502,0,COUNTA(Y1502:AV1502)-1)=0),"면제",
"확인요청"))))))</f>
        <v>면제</v>
      </c>
      <c r="Y1502" s="94" t="s">
        <v>7</v>
      </c>
      <c r="Z1502" s="95" t="s">
        <v>7</v>
      </c>
      <c r="AA1502" s="95" t="s">
        <v>7</v>
      </c>
      <c r="AB1502" s="95" t="s">
        <v>7</v>
      </c>
      <c r="AC1502" s="95" t="s">
        <v>7</v>
      </c>
      <c r="AD1502" s="95" t="s">
        <v>7</v>
      </c>
      <c r="AE1502" s="95" t="s">
        <v>7</v>
      </c>
      <c r="AF1502" s="95" t="s">
        <v>7</v>
      </c>
      <c r="AG1502" s="95" t="s">
        <v>7</v>
      </c>
      <c r="AH1502" s="95" t="s">
        <v>7</v>
      </c>
      <c r="AI1502" s="95" t="s">
        <v>7</v>
      </c>
      <c r="AJ1502" s="96" t="s">
        <v>7</v>
      </c>
      <c r="AK1502" s="97" t="s">
        <v>7</v>
      </c>
      <c r="AL1502" s="95" t="s">
        <v>7</v>
      </c>
      <c r="AM1502" s="90"/>
      <c r="AN1502" s="90"/>
      <c r="AO1502" s="90"/>
      <c r="AP1502" s="90"/>
      <c r="AQ1502" s="90"/>
      <c r="AR1502" s="90"/>
      <c r="AS1502" s="90"/>
      <c r="AT1502" s="90"/>
      <c r="AU1502" s="90"/>
      <c r="AV1502" s="91"/>
      <c r="AX1502" s="92"/>
    </row>
    <row r="1503" customFormat="false" ht="15.65" hidden="false" customHeight="false" outlineLevel="0" collapsed="false">
      <c r="C1503" s="72" t="n">
        <f aca="false">COUNTIFS($D$6:D1503,"&lt;&gt;"&amp;"")</f>
        <v>1498</v>
      </c>
      <c r="D1503" s="73" t="s">
        <v>12</v>
      </c>
      <c r="E1503" s="76" t="str">
        <f aca="false">
IF($D1503="정상",INDEX(임대자산!$D$3:$R$3000,MATCH($F1503,임대자산!$I$3:$I$3000,0),MATCH(E$3,임대자산!$D$3:$R$3,0)),
IF($D1503="폐업",INDEX(폐업정보!$D$3:$R$3000,MATCH($F1503,폐업정보!$I$3:$I$3000,0),MATCH(E$3,폐업정보!$D$3:$R$3,0)),
"Error"))</f>
        <v>서울</v>
      </c>
      <c r="F150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B1498</v>
      </c>
      <c r="G1503" s="76" t="str">
        <f aca="false">F1503&amp;RANDBETWEEN(0,10)</f>
        <v>B14988</v>
      </c>
      <c r="H1503" s="75" t="n">
        <f aca="false">
IF($D1503="정상",INDEX(임대자산!$D$3:$R$3000,MATCH($F1503,임대자산!$I$3:$I$3000,0),MATCH(H$4,임대자산!$D$3:$R$3,0)),
IF($D1503="폐업",INDEX(폐업정보!$D$3:$R$3000,MATCH($F1503,폐업정보!$I$3:$I$3000,0),MATCH(H$4,폐업정보!$D$3:$R$3,0)),
"Error"))</f>
        <v>45504</v>
      </c>
      <c r="I1503" s="75" t="str">
        <f aca="false">
IF($D1503="정상",INDEX(임대자산!$D$3:$R$3000,MATCH($F1503,임대자산!$I$3:$I$3000,0),MATCH(I$4,임대자산!$D$3:$R$3,0)),
IF($D1503="폐업",INDEX(폐업정보!$D$3:$R$3000,MATCH($F1503,폐업정보!$I$3:$I$3000,0),MATCH(I$4,폐업정보!$D$3:$R$3,0)),
"Error"))</f>
        <v>A1498</v>
      </c>
      <c r="J1503" s="75" t="str">
        <f aca="false">
IF($D1503="정상",INDEX(임대자산!$D$3:$R$3000,MATCH($F1503,임대자산!$I$3:$I$3000,0),MATCH(J$4,임대자산!$D$3:$R$3,0)),
IF($D1503="폐업",INDEX(폐업정보!$D$3:$R$3000,MATCH($F1503,폐업정보!$I$3:$I$3000,0),MATCH(J$4,폐업정보!$D$3:$R$3,0)),
"Error"))</f>
        <v>3371400000</v>
      </c>
      <c r="K1503" s="75" t="str">
        <f aca="false">
IF($D1503="정상",INDEX(임대자산!$D$3:$R$3000,MATCH($F1503,임대자산!$I$3:$I$3000,0),MATCH(K$4,임대자산!$D$3:$R$3,0)),
IF($D1503="폐업",INDEX(폐업정보!$D$3:$R$3000,MATCH($F1503,폐업정보!$I$3:$I$3000,0),MATCH(K$4,폐업정보!$D$3:$R$3,0)),
"Error"))</f>
        <v>C1498</v>
      </c>
      <c r="L1503" s="75" t="str">
        <f aca="false">
IF($D1503="정상",INDEX(임대자산!$D$3:$R$3000,MATCH($F1503,임대자산!$I$3:$I$3000,0),MATCH(L$4,임대자산!$D$3:$R$3,0)),
IF($D1503="폐업",INDEX(폐업정보!$D$3:$R$3000,MATCH($F1503,폐업정보!$I$3:$I$3000,0),MATCH(L$4,폐업정보!$D$3:$R$3,0)),
"Error"))</f>
        <v>D1498</v>
      </c>
      <c r="M1503" s="76" t="s">
        <v>96</v>
      </c>
      <c r="N1503" s="77"/>
      <c r="O1503" s="78" t="s">
        <v>97</v>
      </c>
      <c r="P1503" s="79" t="n">
        <f aca="false">COUNTIFS(임대자산!$I:$I,가맹점정보!F1503,임대자산!$N:$N,가맹점정보!P$4)</f>
        <v>0</v>
      </c>
      <c r="Q1503" s="80" t="n">
        <f aca="false">COUNTIFS(임대자산!$I:$I,가맹점정보!F1503,임대자산!$N:$N,가맹점정보!Q$4)</f>
        <v>0</v>
      </c>
      <c r="R1503" s="81" t="n">
        <f aca="false">COUNTIFS(임대자산!$I:$I,가맹점정보!F1503,임대자산!$N:$N,가맹점정보!R$4)</f>
        <v>1</v>
      </c>
      <c r="S1503" s="82" t="n">
        <v>55000</v>
      </c>
      <c r="T1503" s="83" t="n">
        <v>0</v>
      </c>
      <c r="U1503" s="80" t="n">
        <f aca="false">SUM(S1503:T1503)</f>
        <v>55000</v>
      </c>
      <c r="V1503" s="84" t="s">
        <v>7</v>
      </c>
      <c r="W1503" s="80" t="str">
        <f aca="true">
IF(D1503="폐업","폐업",
IF(V1503="면제","면제",
IF(AND(V1503="정상",COUNTIFS(OFFSET(Y1503,0,COUNTA(Y1503:AV1503)-1,1,-4),"미납")&gt;=3),"장기미납",
IF(AND(V1503="정상",OFFSET(Y1503,0,COUNTA(Y1503:AV1503)-1)&gt;=U1503),"정상",
IF(AND(V1503="정상",OFFSET(Y1503,0,COUNTA(Y1503:AV1503)-1)=0),"정상",
"계약서 미작성")))))</f>
        <v>면제</v>
      </c>
      <c r="X1503" s="81" t="str">
        <f aca="true">
IF(D1503="폐업","폐업",
IF(AND(V1503="정상",OFFSET(Y1503,0,COUNTA(Y1503:AV1503)-1)="미납"),"미납",
IF(AND(V1503="정상",OFFSET(Y1503,0,COUNTA(Y1503:AV1503)-1)=0),"납부 시작 전",
IF(AND(V1503="정상",OFFSET(Y1503,0,COUNTA(Y1503:AV1503)-1)&gt;=U1503),"정상",
IF(AND(V1503="면제",OFFSET(Y1503,0,COUNTA(Y1503:AV1503)-1)="면제"),"면제",
IF(AND(V1503="면제",OFFSET(Y1503,0,COUNTA(Y1503:AV1503)-1)=0),"면제",
"확인요청"))))))</f>
        <v>면제</v>
      </c>
      <c r="Y1503" s="94" t="s">
        <v>7</v>
      </c>
      <c r="Z1503" s="95" t="s">
        <v>7</v>
      </c>
      <c r="AA1503" s="95" t="s">
        <v>7</v>
      </c>
      <c r="AB1503" s="95" t="s">
        <v>7</v>
      </c>
      <c r="AC1503" s="95" t="s">
        <v>7</v>
      </c>
      <c r="AD1503" s="95" t="s">
        <v>7</v>
      </c>
      <c r="AE1503" s="95" t="s">
        <v>7</v>
      </c>
      <c r="AF1503" s="95" t="s">
        <v>7</v>
      </c>
      <c r="AG1503" s="95" t="s">
        <v>7</v>
      </c>
      <c r="AH1503" s="95" t="s">
        <v>7</v>
      </c>
      <c r="AI1503" s="95" t="s">
        <v>7</v>
      </c>
      <c r="AJ1503" s="96" t="s">
        <v>7</v>
      </c>
      <c r="AK1503" s="97" t="s">
        <v>7</v>
      </c>
      <c r="AL1503" s="95" t="s">
        <v>7</v>
      </c>
      <c r="AM1503" s="90"/>
      <c r="AN1503" s="90"/>
      <c r="AO1503" s="90"/>
      <c r="AP1503" s="90"/>
      <c r="AQ1503" s="90"/>
      <c r="AR1503" s="90"/>
      <c r="AS1503" s="90"/>
      <c r="AT1503" s="90"/>
      <c r="AU1503" s="90"/>
      <c r="AV1503" s="91"/>
      <c r="AX1503" s="92"/>
    </row>
    <row r="1504" customFormat="false" ht="15.65" hidden="false" customHeight="false" outlineLevel="0" collapsed="false">
      <c r="C1504" s="72" t="n">
        <f aca="false">COUNTIFS($D$6:D1504,"&lt;&gt;"&amp;"")</f>
        <v>1499</v>
      </c>
      <c r="D1504" s="73" t="s">
        <v>12</v>
      </c>
      <c r="E1504" s="76" t="str">
        <f aca="false">
IF($D1504="정상",INDEX(임대자산!$D$3:$R$3000,MATCH($F1504,임대자산!$I$3:$I$3000,0),MATCH(E$3,임대자산!$D$3:$R$3,0)),
IF($D1504="폐업",INDEX(폐업정보!$D$3:$R$3000,MATCH($F1504,폐업정보!$I$3:$I$3000,0),MATCH(E$3,폐업정보!$D$3:$R$3,0)),
"Error"))</f>
        <v>경기</v>
      </c>
      <c r="F150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B1499</v>
      </c>
      <c r="G1504" s="76" t="str">
        <f aca="false">F1504&amp;RANDBETWEEN(0,10)</f>
        <v>B14996</v>
      </c>
      <c r="H1504" s="75" t="n">
        <f aca="false">
IF($D1504="정상",INDEX(임대자산!$D$3:$R$3000,MATCH($F1504,임대자산!$I$3:$I$3000,0),MATCH(H$4,임대자산!$D$3:$R$3,0)),
IF($D1504="폐업",INDEX(폐업정보!$D$3:$R$3000,MATCH($F1504,폐업정보!$I$3:$I$3000,0),MATCH(H$4,폐업정보!$D$3:$R$3,0)),
"Error"))</f>
        <v>45505</v>
      </c>
      <c r="I1504" s="75" t="str">
        <f aca="false">
IF($D1504="정상",INDEX(임대자산!$D$3:$R$3000,MATCH($F1504,임대자산!$I$3:$I$3000,0),MATCH(I$4,임대자산!$D$3:$R$3,0)),
IF($D1504="폐업",INDEX(폐업정보!$D$3:$R$3000,MATCH($F1504,폐업정보!$I$3:$I$3000,0),MATCH(I$4,폐업정보!$D$3:$R$3,0)),
"Error"))</f>
        <v>A1499</v>
      </c>
      <c r="J1504" s="75" t="str">
        <f aca="false">
IF($D1504="정상",INDEX(임대자산!$D$3:$R$3000,MATCH($F1504,임대자산!$I$3:$I$3000,0),MATCH(J$4,임대자산!$D$3:$R$3,0)),
IF($D1504="폐업",INDEX(폐업정보!$D$3:$R$3000,MATCH($F1504,폐업정보!$I$3:$I$3000,0),MATCH(J$4,폐업정보!$D$3:$R$3,0)),
"Error"))</f>
        <v>3510400000</v>
      </c>
      <c r="K1504" s="75" t="str">
        <f aca="false">
IF($D1504="정상",INDEX(임대자산!$D$3:$R$3000,MATCH($F1504,임대자산!$I$3:$I$3000,0),MATCH(K$4,임대자산!$D$3:$R$3,0)),
IF($D1504="폐업",INDEX(폐업정보!$D$3:$R$3000,MATCH($F1504,폐업정보!$I$3:$I$3000,0),MATCH(K$4,폐업정보!$D$3:$R$3,0)),
"Error"))</f>
        <v>C1499</v>
      </c>
      <c r="L1504" s="75" t="str">
        <f aca="false">
IF($D1504="정상",INDEX(임대자산!$D$3:$R$3000,MATCH($F1504,임대자산!$I$3:$I$3000,0),MATCH(L$4,임대자산!$D$3:$R$3,0)),
IF($D1504="폐업",INDEX(폐업정보!$D$3:$R$3000,MATCH($F1504,폐업정보!$I$3:$I$3000,0),MATCH(L$4,폐업정보!$D$3:$R$3,0)),
"Error"))</f>
        <v>D1499</v>
      </c>
      <c r="M1504" s="76" t="s">
        <v>96</v>
      </c>
      <c r="N1504" s="77"/>
      <c r="O1504" s="78" t="s">
        <v>97</v>
      </c>
      <c r="P1504" s="79" t="n">
        <f aca="false">COUNTIFS(임대자산!$I:$I,가맹점정보!F1504,임대자산!$N:$N,가맹점정보!P$4)</f>
        <v>0</v>
      </c>
      <c r="Q1504" s="80" t="n">
        <f aca="false">COUNTIFS(임대자산!$I:$I,가맹점정보!F1504,임대자산!$N:$N,가맹점정보!Q$4)</f>
        <v>0</v>
      </c>
      <c r="R1504" s="81" t="n">
        <f aca="false">COUNTIFS(임대자산!$I:$I,가맹점정보!F1504,임대자산!$N:$N,가맹점정보!R$4)</f>
        <v>1</v>
      </c>
      <c r="S1504" s="82" t="n">
        <v>88000</v>
      </c>
      <c r="T1504" s="83" t="n">
        <v>0</v>
      </c>
      <c r="U1504" s="80" t="n">
        <f aca="false">SUM(S1504:T1504)</f>
        <v>88000</v>
      </c>
      <c r="V1504" s="84" t="s">
        <v>7</v>
      </c>
      <c r="W1504" s="80" t="str">
        <f aca="true">
IF(D1504="폐업","폐업",
IF(V1504="면제","면제",
IF(AND(V1504="정상",COUNTIFS(OFFSET(Y1504,0,COUNTA(Y1504:AV1504)-1,1,-4),"미납")&gt;=3),"장기미납",
IF(AND(V1504="정상",OFFSET(Y1504,0,COUNTA(Y1504:AV1504)-1)&gt;=U1504),"정상",
IF(AND(V1504="정상",OFFSET(Y1504,0,COUNTA(Y1504:AV1504)-1)=0),"정상",
"계약서 미작성")))))</f>
        <v>면제</v>
      </c>
      <c r="X1504" s="81" t="str">
        <f aca="true">
IF(D1504="폐업","폐업",
IF(AND(V1504="정상",OFFSET(Y1504,0,COUNTA(Y1504:AV1504)-1)="미납"),"미납",
IF(AND(V1504="정상",OFFSET(Y1504,0,COUNTA(Y1504:AV1504)-1)=0),"납부 시작 전",
IF(AND(V1504="정상",OFFSET(Y1504,0,COUNTA(Y1504:AV1504)-1)&gt;=U1504),"정상",
IF(AND(V1504="면제",OFFSET(Y1504,0,COUNTA(Y1504:AV1504)-1)="면제"),"면제",
IF(AND(V1504="면제",OFFSET(Y1504,0,COUNTA(Y1504:AV1504)-1)=0),"면제",
"확인요청"))))))</f>
        <v>면제</v>
      </c>
      <c r="Y1504" s="94" t="s">
        <v>7</v>
      </c>
      <c r="Z1504" s="95" t="s">
        <v>7</v>
      </c>
      <c r="AA1504" s="95" t="s">
        <v>7</v>
      </c>
      <c r="AB1504" s="95" t="s">
        <v>7</v>
      </c>
      <c r="AC1504" s="95" t="s">
        <v>7</v>
      </c>
      <c r="AD1504" s="95" t="s">
        <v>7</v>
      </c>
      <c r="AE1504" s="95" t="s">
        <v>7</v>
      </c>
      <c r="AF1504" s="95" t="s">
        <v>7</v>
      </c>
      <c r="AG1504" s="95" t="s">
        <v>7</v>
      </c>
      <c r="AH1504" s="95" t="s">
        <v>7</v>
      </c>
      <c r="AI1504" s="95" t="s">
        <v>7</v>
      </c>
      <c r="AJ1504" s="96" t="s">
        <v>7</v>
      </c>
      <c r="AK1504" s="97" t="s">
        <v>7</v>
      </c>
      <c r="AL1504" s="95" t="s">
        <v>7</v>
      </c>
      <c r="AM1504" s="90"/>
      <c r="AN1504" s="90"/>
      <c r="AO1504" s="90"/>
      <c r="AP1504" s="90"/>
      <c r="AQ1504" s="90"/>
      <c r="AR1504" s="90"/>
      <c r="AS1504" s="90"/>
      <c r="AT1504" s="90"/>
      <c r="AU1504" s="90"/>
      <c r="AV1504" s="91"/>
      <c r="AX1504" s="92"/>
    </row>
    <row r="1505" customFormat="false" ht="15.65" hidden="false" customHeight="false" outlineLevel="0" collapsed="false">
      <c r="C1505" s="72" t="n">
        <f aca="false">COUNTIFS($D$6:D1505,"&lt;&gt;"&amp;"")</f>
        <v>1500</v>
      </c>
      <c r="D1505" s="73" t="s">
        <v>12</v>
      </c>
      <c r="E1505" s="76" t="str">
        <f aca="false">
IF($D1505="정상",INDEX(임대자산!$D$3:$R$3000,MATCH($F1505,임대자산!$I$3:$I$3000,0),MATCH(E$3,임대자산!$D$3:$R$3,0)),
IF($D1505="폐업",INDEX(폐업정보!$D$3:$R$3000,MATCH($F1505,폐업정보!$I$3:$I$3000,0),MATCH(E$3,폐업정보!$D$3:$R$3,0)),
"Error"))</f>
        <v>경기</v>
      </c>
      <c r="F150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B1500</v>
      </c>
      <c r="G1505" s="76" t="str">
        <f aca="false">F1505&amp;RANDBETWEEN(0,10)</f>
        <v>B150010</v>
      </c>
      <c r="H1505" s="75" t="n">
        <f aca="false">
IF($D1505="정상",INDEX(임대자산!$D$3:$R$3000,MATCH($F1505,임대자산!$I$3:$I$3000,0),MATCH(H$4,임대자산!$D$3:$R$3,0)),
IF($D1505="폐업",INDEX(폐업정보!$D$3:$R$3000,MATCH($F1505,폐업정보!$I$3:$I$3000,0),MATCH(H$4,폐업정보!$D$3:$R$3,0)),
"Error"))</f>
        <v>45505</v>
      </c>
      <c r="I1505" s="75" t="str">
        <f aca="false">
IF($D1505="정상",INDEX(임대자산!$D$3:$R$3000,MATCH($F1505,임대자산!$I$3:$I$3000,0),MATCH(I$4,임대자산!$D$3:$R$3,0)),
IF($D1505="폐업",INDEX(폐업정보!$D$3:$R$3000,MATCH($F1505,폐업정보!$I$3:$I$3000,0),MATCH(I$4,폐업정보!$D$3:$R$3,0)),
"Error"))</f>
        <v>A1500</v>
      </c>
      <c r="J1505" s="75" t="str">
        <f aca="false">
IF($D1505="정상",INDEX(임대자산!$D$3:$R$3000,MATCH($F1505,임대자산!$I$3:$I$3000,0),MATCH(J$4,임대자산!$D$3:$R$3,0)),
IF($D1505="폐업",INDEX(폐업정보!$D$3:$R$3000,MATCH($F1505,폐업정보!$I$3:$I$3000,0),MATCH(J$4,폐업정보!$D$3:$R$3,0)),
"Error"))</f>
        <v>4813000000</v>
      </c>
      <c r="K1505" s="75" t="str">
        <f aca="false">
IF($D1505="정상",INDEX(임대자산!$D$3:$R$3000,MATCH($F1505,임대자산!$I$3:$I$3000,0),MATCH(K$4,임대자산!$D$3:$R$3,0)),
IF($D1505="폐업",INDEX(폐업정보!$D$3:$R$3000,MATCH($F1505,폐업정보!$I$3:$I$3000,0),MATCH(K$4,폐업정보!$D$3:$R$3,0)),
"Error"))</f>
        <v>C1500</v>
      </c>
      <c r="L1505" s="75" t="str">
        <f aca="false">
IF($D1505="정상",INDEX(임대자산!$D$3:$R$3000,MATCH($F1505,임대자산!$I$3:$I$3000,0),MATCH(L$4,임대자산!$D$3:$R$3,0)),
IF($D1505="폐업",INDEX(폐업정보!$D$3:$R$3000,MATCH($F1505,폐업정보!$I$3:$I$3000,0),MATCH(L$4,폐업정보!$D$3:$R$3,0)),
"Error"))</f>
        <v>D1500</v>
      </c>
      <c r="M1505" s="76" t="s">
        <v>96</v>
      </c>
      <c r="N1505" s="77"/>
      <c r="O1505" s="78" t="s">
        <v>97</v>
      </c>
      <c r="P1505" s="79" t="n">
        <f aca="false">COUNTIFS(임대자산!$I:$I,가맹점정보!F1505,임대자산!$N:$N,가맹점정보!P$4)</f>
        <v>0</v>
      </c>
      <c r="Q1505" s="80" t="n">
        <f aca="false">COUNTIFS(임대자산!$I:$I,가맹점정보!F1505,임대자산!$N:$N,가맹점정보!Q$4)</f>
        <v>0</v>
      </c>
      <c r="R1505" s="81" t="n">
        <f aca="false">COUNTIFS(임대자산!$I:$I,가맹점정보!F1505,임대자산!$N:$N,가맹점정보!R$4)</f>
        <v>1</v>
      </c>
      <c r="S1505" s="82" t="n">
        <v>88000</v>
      </c>
      <c r="T1505" s="83" t="n">
        <v>0</v>
      </c>
      <c r="U1505" s="80" t="n">
        <f aca="false">SUM(S1505:T1505)</f>
        <v>88000</v>
      </c>
      <c r="V1505" s="84" t="s">
        <v>7</v>
      </c>
      <c r="W1505" s="80" t="str">
        <f aca="true">
IF(D1505="폐업","폐업",
IF(V1505="면제","면제",
IF(AND(V1505="정상",COUNTIFS(OFFSET(Y1505,0,COUNTA(Y1505:AV1505)-1,1,-4),"미납")&gt;=3),"장기미납",
IF(AND(V1505="정상",OFFSET(Y1505,0,COUNTA(Y1505:AV1505)-1)&gt;=U1505),"정상",
IF(AND(V1505="정상",OFFSET(Y1505,0,COUNTA(Y1505:AV1505)-1)=0),"정상",
"계약서 미작성")))))</f>
        <v>면제</v>
      </c>
      <c r="X1505" s="81" t="str">
        <f aca="true">
IF(D1505="폐업","폐업",
IF(AND(V1505="정상",OFFSET(Y1505,0,COUNTA(Y1505:AV1505)-1)="미납"),"미납",
IF(AND(V1505="정상",OFFSET(Y1505,0,COUNTA(Y1505:AV1505)-1)=0),"납부 시작 전",
IF(AND(V1505="정상",OFFSET(Y1505,0,COUNTA(Y1505:AV1505)-1)&gt;=U1505),"정상",
IF(AND(V1505="면제",OFFSET(Y1505,0,COUNTA(Y1505:AV1505)-1)="면제"),"면제",
IF(AND(V1505="면제",OFFSET(Y1505,0,COUNTA(Y1505:AV1505)-1)=0),"면제",
"확인요청"))))))</f>
        <v>면제</v>
      </c>
      <c r="Y1505" s="94" t="s">
        <v>7</v>
      </c>
      <c r="Z1505" s="95" t="s">
        <v>7</v>
      </c>
      <c r="AA1505" s="95" t="s">
        <v>7</v>
      </c>
      <c r="AB1505" s="95" t="s">
        <v>7</v>
      </c>
      <c r="AC1505" s="95" t="s">
        <v>7</v>
      </c>
      <c r="AD1505" s="95" t="s">
        <v>7</v>
      </c>
      <c r="AE1505" s="95" t="s">
        <v>7</v>
      </c>
      <c r="AF1505" s="95" t="s">
        <v>7</v>
      </c>
      <c r="AG1505" s="95" t="s">
        <v>7</v>
      </c>
      <c r="AH1505" s="95" t="s">
        <v>7</v>
      </c>
      <c r="AI1505" s="95" t="s">
        <v>7</v>
      </c>
      <c r="AJ1505" s="96" t="s">
        <v>7</v>
      </c>
      <c r="AK1505" s="97" t="s">
        <v>7</v>
      </c>
      <c r="AL1505" s="95" t="s">
        <v>7</v>
      </c>
      <c r="AM1505" s="90"/>
      <c r="AN1505" s="90"/>
      <c r="AO1505" s="90"/>
      <c r="AP1505" s="90"/>
      <c r="AQ1505" s="90"/>
      <c r="AR1505" s="90"/>
      <c r="AS1505" s="90"/>
      <c r="AT1505" s="90"/>
      <c r="AU1505" s="90"/>
      <c r="AV1505" s="91"/>
      <c r="AX1505" s="92"/>
    </row>
    <row r="1506" customFormat="false" ht="15.65" hidden="false" customHeight="false" outlineLevel="0" collapsed="false">
      <c r="C1506" s="72" t="n">
        <f aca="false">COUNTIFS($D$6:D1506,"&lt;&gt;"&amp;"")</f>
        <v>1501</v>
      </c>
      <c r="D1506" s="73" t="s">
        <v>12</v>
      </c>
      <c r="E1506" s="76" t="str">
        <f aca="false">
IF($D1506="정상",INDEX(임대자산!$D$3:$R$3000,MATCH($F1506,임대자산!$I$3:$I$3000,0),MATCH(E$3,임대자산!$D$3:$R$3,0)),
IF($D1506="폐업",INDEX(폐업정보!$D$3:$R$3000,MATCH($F1506,폐업정보!$I$3:$I$3000,0),MATCH(E$3,폐업정보!$D$3:$R$3,0)),
"Error"))</f>
        <v>경기</v>
      </c>
      <c r="F150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B1501</v>
      </c>
      <c r="G1506" s="76" t="str">
        <f aca="false">F1506&amp;RANDBETWEEN(0,10)</f>
        <v>B15012</v>
      </c>
      <c r="H1506" s="75" t="n">
        <f aca="false">
IF($D1506="정상",INDEX(임대자산!$D$3:$R$3000,MATCH($F1506,임대자산!$I$3:$I$3000,0),MATCH(H$4,임대자산!$D$3:$R$3,0)),
IF($D1506="폐업",INDEX(폐업정보!$D$3:$R$3000,MATCH($F1506,폐업정보!$I$3:$I$3000,0),MATCH(H$4,폐업정보!$D$3:$R$3,0)),
"Error"))</f>
        <v>45540</v>
      </c>
      <c r="I1506" s="75" t="str">
        <f aca="false">
IF($D1506="정상",INDEX(임대자산!$D$3:$R$3000,MATCH($F1506,임대자산!$I$3:$I$3000,0),MATCH(I$4,임대자산!$D$3:$R$3,0)),
IF($D1506="폐업",INDEX(폐업정보!$D$3:$R$3000,MATCH($F1506,폐업정보!$I$3:$I$3000,0),MATCH(I$4,폐업정보!$D$3:$R$3,0)),
"Error"))</f>
        <v>A1501</v>
      </c>
      <c r="J1506" s="75" t="str">
        <f aca="false">
IF($D1506="정상",INDEX(임대자산!$D$3:$R$3000,MATCH($F1506,임대자산!$I$3:$I$3000,0),MATCH(J$4,임대자산!$D$3:$R$3,0)),
IF($D1506="폐업",INDEX(폐업정보!$D$3:$R$3000,MATCH($F1506,폐업정보!$I$3:$I$3000,0),MATCH(J$4,폐업정보!$D$3:$R$3,0)),
"Error"))</f>
        <v>4039500000</v>
      </c>
      <c r="K1506" s="75" t="str">
        <f aca="false">
IF($D1506="정상",INDEX(임대자산!$D$3:$R$3000,MATCH($F1506,임대자산!$I$3:$I$3000,0),MATCH(K$4,임대자산!$D$3:$R$3,0)),
IF($D1506="폐업",INDEX(폐업정보!$D$3:$R$3000,MATCH($F1506,폐업정보!$I$3:$I$3000,0),MATCH(K$4,폐업정보!$D$3:$R$3,0)),
"Error"))</f>
        <v>C1501</v>
      </c>
      <c r="L1506" s="75" t="str">
        <f aca="false">
IF($D1506="정상",INDEX(임대자산!$D$3:$R$3000,MATCH($F1506,임대자산!$I$3:$I$3000,0),MATCH(L$4,임대자산!$D$3:$R$3,0)),
IF($D1506="폐업",INDEX(폐업정보!$D$3:$R$3000,MATCH($F1506,폐업정보!$I$3:$I$3000,0),MATCH(L$4,폐업정보!$D$3:$R$3,0)),
"Error"))</f>
        <v>D1501</v>
      </c>
      <c r="M1506" s="76" t="s">
        <v>96</v>
      </c>
      <c r="N1506" s="77"/>
      <c r="O1506" s="78" t="s">
        <v>97</v>
      </c>
      <c r="P1506" s="79" t="n">
        <f aca="false">COUNTIFS(임대자산!$I:$I,가맹점정보!F1506,임대자산!$N:$N,가맹점정보!P$4)</f>
        <v>0</v>
      </c>
      <c r="Q1506" s="80" t="n">
        <f aca="false">COUNTIFS(임대자산!$I:$I,가맹점정보!F1506,임대자산!$N:$N,가맹점정보!Q$4)</f>
        <v>0</v>
      </c>
      <c r="R1506" s="81" t="n">
        <f aca="false">COUNTIFS(임대자산!$I:$I,가맹점정보!F1506,임대자산!$N:$N,가맹점정보!R$4)</f>
        <v>1</v>
      </c>
      <c r="S1506" s="82" t="n">
        <v>55000</v>
      </c>
      <c r="T1506" s="83" t="n">
        <v>0</v>
      </c>
      <c r="U1506" s="80" t="n">
        <f aca="false">SUM(S1506:T1506)</f>
        <v>55000</v>
      </c>
      <c r="V1506" s="84" t="s">
        <v>7</v>
      </c>
      <c r="W1506" s="80" t="str">
        <f aca="true">
IF(D1506="폐업","폐업",
IF(V1506="면제","면제",
IF(AND(V1506="정상",COUNTIFS(OFFSET(Y1506,0,COUNTA(Y1506:AV1506)-1,1,-4),"미납")&gt;=3),"장기미납",
IF(AND(V1506="정상",OFFSET(Y1506,0,COUNTA(Y1506:AV1506)-1)&gt;=U1506),"정상",
IF(AND(V1506="정상",OFFSET(Y1506,0,COUNTA(Y1506:AV1506)-1)=0),"정상",
"계약서 미작성")))))</f>
        <v>면제</v>
      </c>
      <c r="X1506" s="81" t="str">
        <f aca="true">
IF(D1506="폐업","폐업",
IF(AND(V1506="정상",OFFSET(Y1506,0,COUNTA(Y1506:AV1506)-1)="미납"),"미납",
IF(AND(V1506="정상",OFFSET(Y1506,0,COUNTA(Y1506:AV1506)-1)=0),"납부 시작 전",
IF(AND(V1506="정상",OFFSET(Y1506,0,COUNTA(Y1506:AV1506)-1)&gt;=U1506),"정상",
IF(AND(V1506="면제",OFFSET(Y1506,0,COUNTA(Y1506:AV1506)-1)="면제"),"면제",
IF(AND(V1506="면제",OFFSET(Y1506,0,COUNTA(Y1506:AV1506)-1)=0),"면제",
"확인요청"))))))</f>
        <v>면제</v>
      </c>
      <c r="Y1506" s="94" t="s">
        <v>7</v>
      </c>
      <c r="Z1506" s="95" t="s">
        <v>7</v>
      </c>
      <c r="AA1506" s="95" t="s">
        <v>7</v>
      </c>
      <c r="AB1506" s="95" t="s">
        <v>7</v>
      </c>
      <c r="AC1506" s="95" t="s">
        <v>7</v>
      </c>
      <c r="AD1506" s="95" t="s">
        <v>7</v>
      </c>
      <c r="AE1506" s="95" t="s">
        <v>7</v>
      </c>
      <c r="AF1506" s="95" t="s">
        <v>7</v>
      </c>
      <c r="AG1506" s="95" t="s">
        <v>7</v>
      </c>
      <c r="AH1506" s="95" t="s">
        <v>7</v>
      </c>
      <c r="AI1506" s="95" t="s">
        <v>7</v>
      </c>
      <c r="AJ1506" s="96" t="s">
        <v>7</v>
      </c>
      <c r="AK1506" s="97" t="s">
        <v>7</v>
      </c>
      <c r="AL1506" s="95" t="s">
        <v>7</v>
      </c>
      <c r="AM1506" s="90"/>
      <c r="AN1506" s="90"/>
      <c r="AO1506" s="90"/>
      <c r="AP1506" s="90"/>
      <c r="AQ1506" s="90"/>
      <c r="AR1506" s="90"/>
      <c r="AS1506" s="90"/>
      <c r="AT1506" s="90"/>
      <c r="AU1506" s="90"/>
      <c r="AV1506" s="91"/>
      <c r="AX1506" s="92"/>
    </row>
    <row r="1507" customFormat="false" ht="15.65" hidden="false" customHeight="false" outlineLevel="0" collapsed="false">
      <c r="C1507" s="72" t="n">
        <f aca="false">COUNTIFS($D$6:D1507,"&lt;&gt;"&amp;"")</f>
        <v>1502</v>
      </c>
      <c r="D1507" s="73" t="s">
        <v>12</v>
      </c>
      <c r="E1507" s="76" t="str">
        <f aca="false">
IF($D1507="정상",INDEX(임대자산!$D$3:$R$3000,MATCH($F1507,임대자산!$I$3:$I$3000,0),MATCH(E$3,임대자산!$D$3:$R$3,0)),
IF($D1507="폐업",INDEX(폐업정보!$D$3:$R$3000,MATCH($F1507,폐업정보!$I$3:$I$3000,0),MATCH(E$3,폐업정보!$D$3:$R$3,0)),
"Error"))</f>
        <v>서울</v>
      </c>
      <c r="F150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B1502</v>
      </c>
      <c r="G1507" s="76" t="str">
        <f aca="false">F1507&amp;RANDBETWEEN(0,10)</f>
        <v>B15027</v>
      </c>
      <c r="H1507" s="75" t="n">
        <f aca="false">
IF($D1507="정상",INDEX(임대자산!$D$3:$R$3000,MATCH($F1507,임대자산!$I$3:$I$3000,0),MATCH(H$4,임대자산!$D$3:$R$3,0)),
IF($D1507="폐업",INDEX(폐업정보!$D$3:$R$3000,MATCH($F1507,폐업정보!$I$3:$I$3000,0),MATCH(H$4,폐업정보!$D$3:$R$3,0)),
"Error"))</f>
        <v>45530</v>
      </c>
      <c r="I1507" s="75" t="str">
        <f aca="false">
IF($D1507="정상",INDEX(임대자산!$D$3:$R$3000,MATCH($F1507,임대자산!$I$3:$I$3000,0),MATCH(I$4,임대자산!$D$3:$R$3,0)),
IF($D1507="폐업",INDEX(폐업정보!$D$3:$R$3000,MATCH($F1507,폐업정보!$I$3:$I$3000,0),MATCH(I$4,폐업정보!$D$3:$R$3,0)),
"Error"))</f>
        <v>A1502</v>
      </c>
      <c r="J1507" s="75" t="str">
        <f aca="false">
IF($D1507="정상",INDEX(임대자산!$D$3:$R$3000,MATCH($F1507,임대자산!$I$3:$I$3000,0),MATCH(J$4,임대자산!$D$3:$R$3,0)),
IF($D1507="폐업",INDEX(폐업정보!$D$3:$R$3000,MATCH($F1507,폐업정보!$I$3:$I$3000,0),MATCH(J$4,폐업정보!$D$3:$R$3,0)),
"Error"))</f>
        <v>2223100000</v>
      </c>
      <c r="K1507" s="75" t="str">
        <f aca="false">
IF($D1507="정상",INDEX(임대자산!$D$3:$R$3000,MATCH($F1507,임대자산!$I$3:$I$3000,0),MATCH(K$4,임대자산!$D$3:$R$3,0)),
IF($D1507="폐업",INDEX(폐업정보!$D$3:$R$3000,MATCH($F1507,폐업정보!$I$3:$I$3000,0),MATCH(K$4,폐업정보!$D$3:$R$3,0)),
"Error"))</f>
        <v>C1502</v>
      </c>
      <c r="L1507" s="75" t="str">
        <f aca="false">
IF($D1507="정상",INDEX(임대자산!$D$3:$R$3000,MATCH($F1507,임대자산!$I$3:$I$3000,0),MATCH(L$4,임대자산!$D$3:$R$3,0)),
IF($D1507="폐업",INDEX(폐업정보!$D$3:$R$3000,MATCH($F1507,폐업정보!$I$3:$I$3000,0),MATCH(L$4,폐업정보!$D$3:$R$3,0)),
"Error"))</f>
        <v>D1502</v>
      </c>
      <c r="M1507" s="76" t="s">
        <v>96</v>
      </c>
      <c r="N1507" s="77"/>
      <c r="O1507" s="78" t="s">
        <v>97</v>
      </c>
      <c r="P1507" s="79" t="n">
        <f aca="false">COUNTIFS(임대자산!$I:$I,가맹점정보!F1507,임대자산!$N:$N,가맹점정보!P$4)</f>
        <v>0</v>
      </c>
      <c r="Q1507" s="80" t="n">
        <f aca="false">COUNTIFS(임대자산!$I:$I,가맹점정보!F1507,임대자산!$N:$N,가맹점정보!Q$4)</f>
        <v>0</v>
      </c>
      <c r="R1507" s="81" t="n">
        <f aca="false">COUNTIFS(임대자산!$I:$I,가맹점정보!F1507,임대자산!$N:$N,가맹점정보!R$4)</f>
        <v>1</v>
      </c>
      <c r="S1507" s="82" t="n">
        <v>132000</v>
      </c>
      <c r="T1507" s="83" t="n">
        <v>0</v>
      </c>
      <c r="U1507" s="80" t="n">
        <f aca="false">SUM(S1507:T1507)</f>
        <v>132000</v>
      </c>
      <c r="V1507" s="84" t="s">
        <v>7</v>
      </c>
      <c r="W1507" s="80" t="str">
        <f aca="true">
IF(D1507="폐업","폐업",
IF(V1507="면제","면제",
IF(AND(V1507="정상",COUNTIFS(OFFSET(Y1507,0,COUNTA(Y1507:AV1507)-1,1,-4),"미납")&gt;=3),"장기미납",
IF(AND(V1507="정상",OFFSET(Y1507,0,COUNTA(Y1507:AV1507)-1)&gt;=U1507),"정상",
IF(AND(V1507="정상",OFFSET(Y1507,0,COUNTA(Y1507:AV1507)-1)=0),"정상",
"계약서 미작성")))))</f>
        <v>면제</v>
      </c>
      <c r="X1507" s="81" t="str">
        <f aca="true">
IF(D1507="폐업","폐업",
IF(AND(V1507="정상",OFFSET(Y1507,0,COUNTA(Y1507:AV1507)-1)="미납"),"미납",
IF(AND(V1507="정상",OFFSET(Y1507,0,COUNTA(Y1507:AV1507)-1)=0),"납부 시작 전",
IF(AND(V1507="정상",OFFSET(Y1507,0,COUNTA(Y1507:AV1507)-1)&gt;=U1507),"정상",
IF(AND(V1507="면제",OFFSET(Y1507,0,COUNTA(Y1507:AV1507)-1)="면제"),"면제",
IF(AND(V1507="면제",OFFSET(Y1507,0,COUNTA(Y1507:AV1507)-1)=0),"면제",
"확인요청"))))))</f>
        <v>면제</v>
      </c>
      <c r="Y1507" s="94" t="s">
        <v>7</v>
      </c>
      <c r="Z1507" s="95" t="s">
        <v>7</v>
      </c>
      <c r="AA1507" s="95" t="s">
        <v>7</v>
      </c>
      <c r="AB1507" s="95" t="s">
        <v>7</v>
      </c>
      <c r="AC1507" s="95" t="s">
        <v>7</v>
      </c>
      <c r="AD1507" s="95" t="s">
        <v>7</v>
      </c>
      <c r="AE1507" s="95" t="s">
        <v>7</v>
      </c>
      <c r="AF1507" s="95" t="s">
        <v>7</v>
      </c>
      <c r="AG1507" s="95" t="s">
        <v>7</v>
      </c>
      <c r="AH1507" s="95" t="s">
        <v>7</v>
      </c>
      <c r="AI1507" s="95" t="s">
        <v>7</v>
      </c>
      <c r="AJ1507" s="96" t="s">
        <v>7</v>
      </c>
      <c r="AK1507" s="97" t="s">
        <v>7</v>
      </c>
      <c r="AL1507" s="95" t="s">
        <v>7</v>
      </c>
      <c r="AM1507" s="90"/>
      <c r="AN1507" s="90"/>
      <c r="AO1507" s="90"/>
      <c r="AP1507" s="90"/>
      <c r="AQ1507" s="90"/>
      <c r="AR1507" s="90"/>
      <c r="AS1507" s="90"/>
      <c r="AT1507" s="90"/>
      <c r="AU1507" s="90"/>
      <c r="AV1507" s="91"/>
      <c r="AX1507" s="92"/>
    </row>
    <row r="1508" customFormat="false" ht="15.65" hidden="false" customHeight="false" outlineLevel="0" collapsed="false">
      <c r="C1508" s="72" t="n">
        <f aca="false">COUNTIFS($D$6:D1508,"&lt;&gt;"&amp;"")</f>
        <v>1503</v>
      </c>
      <c r="D1508" s="73" t="s">
        <v>12</v>
      </c>
      <c r="E1508" s="76" t="str">
        <f aca="false">
IF($D1508="정상",INDEX(임대자산!$D$3:$R$3000,MATCH($F1508,임대자산!$I$3:$I$3000,0),MATCH(E$3,임대자산!$D$3:$R$3,0)),
IF($D1508="폐업",INDEX(폐업정보!$D$3:$R$3000,MATCH($F1508,폐업정보!$I$3:$I$3000,0),MATCH(E$3,폐업정보!$D$3:$R$3,0)),
"Error"))</f>
        <v>경상</v>
      </c>
      <c r="F150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B1503</v>
      </c>
      <c r="G1508" s="76" t="str">
        <f aca="false">F1508&amp;RANDBETWEEN(0,10)</f>
        <v>B15033</v>
      </c>
      <c r="H1508" s="75" t="n">
        <f aca="false">
IF($D1508="정상",INDEX(임대자산!$D$3:$R$3000,MATCH($F1508,임대자산!$I$3:$I$3000,0),MATCH(H$4,임대자산!$D$3:$R$3,0)),
IF($D1508="폐업",INDEX(폐업정보!$D$3:$R$3000,MATCH($F1508,폐업정보!$I$3:$I$3000,0),MATCH(H$4,폐업정보!$D$3:$R$3,0)),
"Error"))</f>
        <v>45558</v>
      </c>
      <c r="I1508" s="75" t="str">
        <f aca="false">
IF($D1508="정상",INDEX(임대자산!$D$3:$R$3000,MATCH($F1508,임대자산!$I$3:$I$3000,0),MATCH(I$4,임대자산!$D$3:$R$3,0)),
IF($D1508="폐업",INDEX(폐업정보!$D$3:$R$3000,MATCH($F1508,폐업정보!$I$3:$I$3000,0),MATCH(I$4,폐업정보!$D$3:$R$3,0)),
"Error"))</f>
        <v>A1503</v>
      </c>
      <c r="J1508" s="75" t="str">
        <f aca="false">
IF($D1508="정상",INDEX(임대자산!$D$3:$R$3000,MATCH($F1508,임대자산!$I$3:$I$3000,0),MATCH(J$4,임대자산!$D$3:$R$3,0)),
IF($D1508="폐업",INDEX(폐업정보!$D$3:$R$3000,MATCH($F1508,폐업정보!$I$3:$I$3000,0),MATCH(J$4,폐업정보!$D$3:$R$3,0)),
"Error"))</f>
        <v>9686300000</v>
      </c>
      <c r="K1508" s="75" t="str">
        <f aca="false">
IF($D1508="정상",INDEX(임대자산!$D$3:$R$3000,MATCH($F1508,임대자산!$I$3:$I$3000,0),MATCH(K$4,임대자산!$D$3:$R$3,0)),
IF($D1508="폐업",INDEX(폐업정보!$D$3:$R$3000,MATCH($F1508,폐업정보!$I$3:$I$3000,0),MATCH(K$4,폐업정보!$D$3:$R$3,0)),
"Error"))</f>
        <v>C1503</v>
      </c>
      <c r="L1508" s="75" t="str">
        <f aca="false">
IF($D1508="정상",INDEX(임대자산!$D$3:$R$3000,MATCH($F1508,임대자산!$I$3:$I$3000,0),MATCH(L$4,임대자산!$D$3:$R$3,0)),
IF($D1508="폐업",INDEX(폐업정보!$D$3:$R$3000,MATCH($F1508,폐업정보!$I$3:$I$3000,0),MATCH(L$4,폐업정보!$D$3:$R$3,0)),
"Error"))</f>
        <v>D1503</v>
      </c>
      <c r="M1508" s="76" t="s">
        <v>96</v>
      </c>
      <c r="N1508" s="77"/>
      <c r="O1508" s="78" t="s">
        <v>97</v>
      </c>
      <c r="P1508" s="79" t="n">
        <f aca="false">COUNTIFS(임대자산!$I:$I,가맹점정보!F1508,임대자산!$N:$N,가맹점정보!P$4)</f>
        <v>0</v>
      </c>
      <c r="Q1508" s="80" t="n">
        <f aca="false">COUNTIFS(임대자산!$I:$I,가맹점정보!F1508,임대자산!$N:$N,가맹점정보!Q$4)</f>
        <v>0</v>
      </c>
      <c r="R1508" s="81" t="n">
        <f aca="false">COUNTIFS(임대자산!$I:$I,가맹점정보!F1508,임대자산!$N:$N,가맹점정보!R$4)</f>
        <v>1</v>
      </c>
      <c r="S1508" s="82" t="n">
        <v>55000</v>
      </c>
      <c r="T1508" s="83" t="n">
        <v>0</v>
      </c>
      <c r="U1508" s="80" t="n">
        <f aca="false">SUM(S1508:T1508)</f>
        <v>55000</v>
      </c>
      <c r="V1508" s="84" t="s">
        <v>7</v>
      </c>
      <c r="W1508" s="80" t="str">
        <f aca="true">
IF(D1508="폐업","폐업",
IF(V1508="면제","면제",
IF(AND(V1508="정상",COUNTIFS(OFFSET(Y1508,0,COUNTA(Y1508:AV1508)-1,1,-4),"미납")&gt;=3),"장기미납",
IF(AND(V1508="정상",OFFSET(Y1508,0,COUNTA(Y1508:AV1508)-1)&gt;=U1508),"정상",
IF(AND(V1508="정상",OFFSET(Y1508,0,COUNTA(Y1508:AV1508)-1)=0),"정상",
"계약서 미작성")))))</f>
        <v>면제</v>
      </c>
      <c r="X1508" s="81" t="str">
        <f aca="true">
IF(D1508="폐업","폐업",
IF(AND(V1508="정상",OFFSET(Y1508,0,COUNTA(Y1508:AV1508)-1)="미납"),"미납",
IF(AND(V1508="정상",OFFSET(Y1508,0,COUNTA(Y1508:AV1508)-1)=0),"납부 시작 전",
IF(AND(V1508="정상",OFFSET(Y1508,0,COUNTA(Y1508:AV1508)-1)&gt;=U1508),"정상",
IF(AND(V1508="면제",OFFSET(Y1508,0,COUNTA(Y1508:AV1508)-1)="면제"),"면제",
IF(AND(V1508="면제",OFFSET(Y1508,0,COUNTA(Y1508:AV1508)-1)=0),"면제",
"확인요청"))))))</f>
        <v>면제</v>
      </c>
      <c r="Y1508" s="94" t="s">
        <v>7</v>
      </c>
      <c r="Z1508" s="95" t="s">
        <v>7</v>
      </c>
      <c r="AA1508" s="95" t="s">
        <v>7</v>
      </c>
      <c r="AB1508" s="95" t="s">
        <v>7</v>
      </c>
      <c r="AC1508" s="95" t="s">
        <v>7</v>
      </c>
      <c r="AD1508" s="95" t="s">
        <v>7</v>
      </c>
      <c r="AE1508" s="95" t="s">
        <v>7</v>
      </c>
      <c r="AF1508" s="95" t="s">
        <v>7</v>
      </c>
      <c r="AG1508" s="95" t="s">
        <v>7</v>
      </c>
      <c r="AH1508" s="95" t="s">
        <v>7</v>
      </c>
      <c r="AI1508" s="95" t="s">
        <v>7</v>
      </c>
      <c r="AJ1508" s="96" t="s">
        <v>7</v>
      </c>
      <c r="AK1508" s="97" t="s">
        <v>7</v>
      </c>
      <c r="AL1508" s="95" t="s">
        <v>7</v>
      </c>
      <c r="AM1508" s="90"/>
      <c r="AN1508" s="90"/>
      <c r="AO1508" s="90"/>
      <c r="AP1508" s="90"/>
      <c r="AQ1508" s="90"/>
      <c r="AR1508" s="90"/>
      <c r="AS1508" s="90"/>
      <c r="AT1508" s="90"/>
      <c r="AU1508" s="90"/>
      <c r="AV1508" s="91"/>
      <c r="AX1508" s="92"/>
    </row>
    <row r="1509" customFormat="false" ht="15.65" hidden="false" customHeight="false" outlineLevel="0" collapsed="false">
      <c r="C1509" s="72" t="n">
        <f aca="false">COUNTIFS($D$6:D1509,"&lt;&gt;"&amp;"")</f>
        <v>1504</v>
      </c>
      <c r="D1509" s="73" t="s">
        <v>12</v>
      </c>
      <c r="E1509" s="76" t="str">
        <f aca="false">
IF($D1509="정상",INDEX(임대자산!$D$3:$R$3000,MATCH($F1509,임대자산!$I$3:$I$3000,0),MATCH(E$3,임대자산!$D$3:$R$3,0)),
IF($D1509="폐업",INDEX(폐업정보!$D$3:$R$3000,MATCH($F1509,폐업정보!$I$3:$I$3000,0),MATCH(E$3,폐업정보!$D$3:$R$3,0)),
"Error"))</f>
        <v>전라</v>
      </c>
      <c r="F150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B1504</v>
      </c>
      <c r="G1509" s="76" t="str">
        <f aca="false">F1509&amp;RANDBETWEEN(0,10)</f>
        <v>B15042</v>
      </c>
      <c r="H1509" s="75" t="n">
        <f aca="false">
IF($D1509="정상",INDEX(임대자산!$D$3:$R$3000,MATCH($F1509,임대자산!$I$3:$I$3000,0),MATCH(H$4,임대자산!$D$3:$R$3,0)),
IF($D1509="폐업",INDEX(폐업정보!$D$3:$R$3000,MATCH($F1509,폐업정보!$I$3:$I$3000,0),MATCH(H$4,폐업정보!$D$3:$R$3,0)),
"Error"))</f>
        <v>45558</v>
      </c>
      <c r="I1509" s="75" t="str">
        <f aca="false">
IF($D1509="정상",INDEX(임대자산!$D$3:$R$3000,MATCH($F1509,임대자산!$I$3:$I$3000,0),MATCH(I$4,임대자산!$D$3:$R$3,0)),
IF($D1509="폐업",INDEX(폐업정보!$D$3:$R$3000,MATCH($F1509,폐업정보!$I$3:$I$3000,0),MATCH(I$4,폐업정보!$D$3:$R$3,0)),
"Error"))</f>
        <v>A1504</v>
      </c>
      <c r="J1509" s="75" t="str">
        <f aca="false">
IF($D1509="정상",INDEX(임대자산!$D$3:$R$3000,MATCH($F1509,임대자산!$I$3:$I$3000,0),MATCH(J$4,임대자산!$D$3:$R$3,0)),
IF($D1509="폐업",INDEX(폐업정보!$D$3:$R$3000,MATCH($F1509,폐업정보!$I$3:$I$3000,0),MATCH(J$4,폐업정보!$D$3:$R$3,0)),
"Error"))</f>
        <v>4922200000</v>
      </c>
      <c r="K1509" s="75" t="str">
        <f aca="false">
IF($D1509="정상",INDEX(임대자산!$D$3:$R$3000,MATCH($F1509,임대자산!$I$3:$I$3000,0),MATCH(K$4,임대자산!$D$3:$R$3,0)),
IF($D1509="폐업",INDEX(폐업정보!$D$3:$R$3000,MATCH($F1509,폐업정보!$I$3:$I$3000,0),MATCH(K$4,폐업정보!$D$3:$R$3,0)),
"Error"))</f>
        <v>C1504</v>
      </c>
      <c r="L1509" s="75" t="str">
        <f aca="false">
IF($D1509="정상",INDEX(임대자산!$D$3:$R$3000,MATCH($F1509,임대자산!$I$3:$I$3000,0),MATCH(L$4,임대자산!$D$3:$R$3,0)),
IF($D1509="폐업",INDEX(폐업정보!$D$3:$R$3000,MATCH($F1509,폐업정보!$I$3:$I$3000,0),MATCH(L$4,폐업정보!$D$3:$R$3,0)),
"Error"))</f>
        <v>D1504</v>
      </c>
      <c r="M1509" s="76" t="s">
        <v>96</v>
      </c>
      <c r="N1509" s="77"/>
      <c r="O1509" s="78" t="s">
        <v>97</v>
      </c>
      <c r="P1509" s="79" t="n">
        <f aca="false">COUNTIFS(임대자산!$I:$I,가맹점정보!F1509,임대자산!$N:$N,가맹점정보!P$4)</f>
        <v>0</v>
      </c>
      <c r="Q1509" s="80" t="n">
        <f aca="false">COUNTIFS(임대자산!$I:$I,가맹점정보!F1509,임대자산!$N:$N,가맹점정보!Q$4)</f>
        <v>0</v>
      </c>
      <c r="R1509" s="81" t="n">
        <f aca="false">COUNTIFS(임대자산!$I:$I,가맹점정보!F1509,임대자산!$N:$N,가맹점정보!R$4)</f>
        <v>1</v>
      </c>
      <c r="S1509" s="82" t="n">
        <v>55000</v>
      </c>
      <c r="T1509" s="83" t="n">
        <v>0</v>
      </c>
      <c r="U1509" s="80" t="n">
        <f aca="false">SUM(S1509:T1509)</f>
        <v>55000</v>
      </c>
      <c r="V1509" s="84" t="s">
        <v>12</v>
      </c>
      <c r="W1509" s="80" t="e">
        <f aca="true">
IF(D1509="폐업","폐업",
IF(V1509="면제","면제",
IF(AND(V1509="정상",COUNTIFS(OFFSET(Y1509,0,COUNTA(Y1509:AV1509)-1,1,-4),"미납")&gt;=3),"장기미납",
IF(AND(V1509="정상",OFFSET(Y1509,0,COUNTA(Y1509:AV1509)-1)&gt;=U1509),"정상",
IF(AND(V1509="정상",OFFSET(Y1509,0,COUNTA(Y1509:AV1509)-1)=0),"정상",
"계약서 미작성")))))</f>
        <v>#VALUE!</v>
      </c>
      <c r="X1509" s="81" t="str">
        <f aca="true">
IF(D1509="폐업","폐업",
IF(AND(V1509="정상",OFFSET(Y1509,0,COUNTA(Y1509:AV1509)-1)="미납"),"미납",
IF(AND(V1509="정상",OFFSET(Y1509,0,COUNTA(Y1509:AV1509)-1)=0),"납부 시작 전",
IF(AND(V1509="정상",OFFSET(Y1509,0,COUNTA(Y1509:AV1509)-1)&gt;=U1509),"정상",
IF(AND(V1509="면제",OFFSET(Y1509,0,COUNTA(Y1509:AV1509)-1)="면제"),"면제",
IF(AND(V1509="면제",OFFSET(Y1509,0,COUNTA(Y1509:AV1509)-1)=0),"면제",
"확인요청"))))))</f>
        <v>정상</v>
      </c>
      <c r="Y1509" s="93" t="n">
        <v>55000</v>
      </c>
      <c r="Z1509" s="90" t="n">
        <v>55000</v>
      </c>
      <c r="AA1509" s="90" t="n">
        <v>55000</v>
      </c>
      <c r="AB1509" s="90" t="n">
        <v>55000</v>
      </c>
      <c r="AC1509" s="90" t="n">
        <v>55000</v>
      </c>
      <c r="AD1509" s="90" t="n">
        <v>55000</v>
      </c>
      <c r="AE1509" s="90" t="n">
        <v>55000</v>
      </c>
      <c r="AF1509" s="90" t="n">
        <v>55000</v>
      </c>
      <c r="AG1509" s="90" t="n">
        <v>55000</v>
      </c>
      <c r="AH1509" s="90" t="n">
        <v>55000</v>
      </c>
      <c r="AI1509" s="90" t="n">
        <v>55000</v>
      </c>
      <c r="AJ1509" s="91" t="n">
        <v>55000</v>
      </c>
      <c r="AK1509" s="89" t="n">
        <v>55000</v>
      </c>
      <c r="AL1509" s="90" t="n">
        <v>55000</v>
      </c>
      <c r="AM1509" s="90"/>
      <c r="AN1509" s="90"/>
      <c r="AO1509" s="90"/>
      <c r="AP1509" s="90"/>
      <c r="AQ1509" s="90"/>
      <c r="AR1509" s="90"/>
      <c r="AS1509" s="90"/>
      <c r="AT1509" s="90"/>
      <c r="AU1509" s="90"/>
      <c r="AV1509" s="91"/>
      <c r="AX1509" s="92"/>
    </row>
    <row r="1510" customFormat="false" ht="15.65" hidden="false" customHeight="false" outlineLevel="0" collapsed="false">
      <c r="C1510" s="72" t="n">
        <f aca="false">COUNTIFS($D$6:D1510,"&lt;&gt;"&amp;"")</f>
        <v>1505</v>
      </c>
      <c r="D1510" s="73" t="s">
        <v>12</v>
      </c>
      <c r="E1510" s="76" t="str">
        <f aca="false">
IF($D1510="정상",INDEX(임대자산!$D$3:$R$3000,MATCH($F1510,임대자산!$I$3:$I$3000,0),MATCH(E$3,임대자산!$D$3:$R$3,0)),
IF($D1510="폐업",INDEX(폐업정보!$D$3:$R$3000,MATCH($F1510,폐업정보!$I$3:$I$3000,0),MATCH(E$3,폐업정보!$D$3:$R$3,0)),
"Error"))</f>
        <v>전라</v>
      </c>
      <c r="F151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B1505</v>
      </c>
      <c r="G1510" s="76" t="str">
        <f aca="false">F1510&amp;RANDBETWEEN(0,10)</f>
        <v>B15054</v>
      </c>
      <c r="H1510" s="75" t="n">
        <f aca="false">
IF($D1510="정상",INDEX(임대자산!$D$3:$R$3000,MATCH($F1510,임대자산!$I$3:$I$3000,0),MATCH(H$4,임대자산!$D$3:$R$3,0)),
IF($D1510="폐업",INDEX(폐업정보!$D$3:$R$3000,MATCH($F1510,폐업정보!$I$3:$I$3000,0),MATCH(H$4,폐업정보!$D$3:$R$3,0)),
"Error"))</f>
        <v>45558</v>
      </c>
      <c r="I1510" s="75" t="str">
        <f aca="false">
IF($D1510="정상",INDEX(임대자산!$D$3:$R$3000,MATCH($F1510,임대자산!$I$3:$I$3000,0),MATCH(I$4,임대자산!$D$3:$R$3,0)),
IF($D1510="폐업",INDEX(폐업정보!$D$3:$R$3000,MATCH($F1510,폐업정보!$I$3:$I$3000,0),MATCH(I$4,폐업정보!$D$3:$R$3,0)),
"Error"))</f>
        <v>A1505</v>
      </c>
      <c r="J1510" s="75" t="str">
        <f aca="false">
IF($D1510="정상",INDEX(임대자산!$D$3:$R$3000,MATCH($F1510,임대자산!$I$3:$I$3000,0),MATCH(J$4,임대자산!$D$3:$R$3,0)),
IF($D1510="폐업",INDEX(폐업정보!$D$3:$R$3000,MATCH($F1510,폐업정보!$I$3:$I$3000,0),MATCH(J$4,폐업정보!$D$3:$R$3,0)),
"Error"))</f>
        <v>3928900000</v>
      </c>
      <c r="K1510" s="75" t="str">
        <f aca="false">
IF($D1510="정상",INDEX(임대자산!$D$3:$R$3000,MATCH($F1510,임대자산!$I$3:$I$3000,0),MATCH(K$4,임대자산!$D$3:$R$3,0)),
IF($D1510="폐업",INDEX(폐업정보!$D$3:$R$3000,MATCH($F1510,폐업정보!$I$3:$I$3000,0),MATCH(K$4,폐업정보!$D$3:$R$3,0)),
"Error"))</f>
        <v>C1505</v>
      </c>
      <c r="L1510" s="75" t="str">
        <f aca="false">
IF($D1510="정상",INDEX(임대자산!$D$3:$R$3000,MATCH($F1510,임대자산!$I$3:$I$3000,0),MATCH(L$4,임대자산!$D$3:$R$3,0)),
IF($D1510="폐업",INDEX(폐업정보!$D$3:$R$3000,MATCH($F1510,폐업정보!$I$3:$I$3000,0),MATCH(L$4,폐업정보!$D$3:$R$3,0)),
"Error"))</f>
        <v>D1505</v>
      </c>
      <c r="M1510" s="76" t="s">
        <v>96</v>
      </c>
      <c r="N1510" s="77"/>
      <c r="O1510" s="78" t="s">
        <v>97</v>
      </c>
      <c r="P1510" s="79" t="n">
        <f aca="false">COUNTIFS(임대자산!$I:$I,가맹점정보!F1510,임대자산!$N:$N,가맹점정보!P$4)</f>
        <v>0</v>
      </c>
      <c r="Q1510" s="80" t="n">
        <f aca="false">COUNTIFS(임대자산!$I:$I,가맹점정보!F1510,임대자산!$N:$N,가맹점정보!Q$4)</f>
        <v>0</v>
      </c>
      <c r="R1510" s="81" t="n">
        <f aca="false">COUNTIFS(임대자산!$I:$I,가맹점정보!F1510,임대자산!$N:$N,가맹점정보!R$4)</f>
        <v>1</v>
      </c>
      <c r="S1510" s="82" t="n">
        <v>132000</v>
      </c>
      <c r="T1510" s="83" t="n">
        <v>0</v>
      </c>
      <c r="U1510" s="80" t="n">
        <f aca="false">SUM(S1510:T1510)</f>
        <v>132000</v>
      </c>
      <c r="V1510" s="84" t="s">
        <v>7</v>
      </c>
      <c r="W1510" s="80" t="str">
        <f aca="true">
IF(D1510="폐업","폐업",
IF(V1510="면제","면제",
IF(AND(V1510="정상",COUNTIFS(OFFSET(Y1510,0,COUNTA(Y1510:AV1510)-1,1,-4),"미납")&gt;=3),"장기미납",
IF(AND(V1510="정상",OFFSET(Y1510,0,COUNTA(Y1510:AV1510)-1)&gt;=U1510),"정상",
IF(AND(V1510="정상",OFFSET(Y1510,0,COUNTA(Y1510:AV1510)-1)=0),"정상",
"계약서 미작성")))))</f>
        <v>면제</v>
      </c>
      <c r="X1510" s="81" t="str">
        <f aca="true">
IF(D1510="폐업","폐업",
IF(AND(V1510="정상",OFFSET(Y1510,0,COUNTA(Y1510:AV1510)-1)="미납"),"미납",
IF(AND(V1510="정상",OFFSET(Y1510,0,COUNTA(Y1510:AV1510)-1)=0),"납부 시작 전",
IF(AND(V1510="정상",OFFSET(Y1510,0,COUNTA(Y1510:AV1510)-1)&gt;=U1510),"정상",
IF(AND(V1510="면제",OFFSET(Y1510,0,COUNTA(Y1510:AV1510)-1)="면제"),"면제",
IF(AND(V1510="면제",OFFSET(Y1510,0,COUNTA(Y1510:AV1510)-1)=0),"면제",
"확인요청"))))))</f>
        <v>면제</v>
      </c>
      <c r="Y1510" s="94" t="s">
        <v>7</v>
      </c>
      <c r="Z1510" s="95" t="s">
        <v>7</v>
      </c>
      <c r="AA1510" s="95" t="s">
        <v>7</v>
      </c>
      <c r="AB1510" s="95" t="s">
        <v>7</v>
      </c>
      <c r="AC1510" s="95" t="s">
        <v>7</v>
      </c>
      <c r="AD1510" s="95" t="s">
        <v>7</v>
      </c>
      <c r="AE1510" s="95" t="s">
        <v>7</v>
      </c>
      <c r="AF1510" s="95" t="s">
        <v>7</v>
      </c>
      <c r="AG1510" s="95" t="s">
        <v>7</v>
      </c>
      <c r="AH1510" s="95" t="s">
        <v>7</v>
      </c>
      <c r="AI1510" s="95" t="s">
        <v>7</v>
      </c>
      <c r="AJ1510" s="96" t="s">
        <v>7</v>
      </c>
      <c r="AK1510" s="97" t="s">
        <v>7</v>
      </c>
      <c r="AL1510" s="95" t="s">
        <v>7</v>
      </c>
      <c r="AM1510" s="90"/>
      <c r="AN1510" s="90"/>
      <c r="AO1510" s="90"/>
      <c r="AP1510" s="90"/>
      <c r="AQ1510" s="90"/>
      <c r="AR1510" s="90"/>
      <c r="AS1510" s="90"/>
      <c r="AT1510" s="90"/>
      <c r="AU1510" s="90"/>
      <c r="AV1510" s="91"/>
      <c r="AX1510" s="92"/>
    </row>
    <row r="1511" customFormat="false" ht="15.65" hidden="false" customHeight="false" outlineLevel="0" collapsed="false">
      <c r="C1511" s="72" t="n">
        <f aca="false">COUNTIFS($D$6:D1511,"&lt;&gt;"&amp;"")</f>
        <v>1506</v>
      </c>
      <c r="D1511" s="73" t="s">
        <v>12</v>
      </c>
      <c r="E1511" s="76" t="str">
        <f aca="false">
IF($D1511="정상",INDEX(임대자산!$D$3:$R$3000,MATCH($F1511,임대자산!$I$3:$I$3000,0),MATCH(E$3,임대자산!$D$3:$R$3,0)),
IF($D1511="폐업",INDEX(폐업정보!$D$3:$R$3000,MATCH($F1511,폐업정보!$I$3:$I$3000,0),MATCH(E$3,폐업정보!$D$3:$R$3,0)),
"Error"))</f>
        <v>전라</v>
      </c>
      <c r="F151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B1506</v>
      </c>
      <c r="G1511" s="76" t="str">
        <f aca="false">F1511&amp;RANDBETWEEN(0,10)</f>
        <v>B15062</v>
      </c>
      <c r="H1511" s="75" t="n">
        <f aca="false">
IF($D1511="정상",INDEX(임대자산!$D$3:$R$3000,MATCH($F1511,임대자산!$I$3:$I$3000,0),MATCH(H$4,임대자산!$D$3:$R$3,0)),
IF($D1511="폐업",INDEX(폐업정보!$D$3:$R$3000,MATCH($F1511,폐업정보!$I$3:$I$3000,0),MATCH(H$4,폐업정보!$D$3:$R$3,0)),
"Error"))</f>
        <v>45562</v>
      </c>
      <c r="I1511" s="75" t="str">
        <f aca="false">
IF($D1511="정상",INDEX(임대자산!$D$3:$R$3000,MATCH($F1511,임대자산!$I$3:$I$3000,0),MATCH(I$4,임대자산!$D$3:$R$3,0)),
IF($D1511="폐업",INDEX(폐업정보!$D$3:$R$3000,MATCH($F1511,폐업정보!$I$3:$I$3000,0),MATCH(I$4,폐업정보!$D$3:$R$3,0)),
"Error"))</f>
        <v>A1506</v>
      </c>
      <c r="J1511" s="75" t="str">
        <f aca="false">
IF($D1511="정상",INDEX(임대자산!$D$3:$R$3000,MATCH($F1511,임대자산!$I$3:$I$3000,0),MATCH(J$4,임대자산!$D$3:$R$3,0)),
IF($D1511="폐업",INDEX(폐업정보!$D$3:$R$3000,MATCH($F1511,폐업정보!$I$3:$I$3000,0),MATCH(J$4,폐업정보!$D$3:$R$3,0)),
"Error"))</f>
        <v>9040400000</v>
      </c>
      <c r="K1511" s="75" t="str">
        <f aca="false">
IF($D1511="정상",INDEX(임대자산!$D$3:$R$3000,MATCH($F1511,임대자산!$I$3:$I$3000,0),MATCH(K$4,임대자산!$D$3:$R$3,0)),
IF($D1511="폐업",INDEX(폐업정보!$D$3:$R$3000,MATCH($F1511,폐업정보!$I$3:$I$3000,0),MATCH(K$4,폐업정보!$D$3:$R$3,0)),
"Error"))</f>
        <v>C1506</v>
      </c>
      <c r="L1511" s="75" t="str">
        <f aca="false">
IF($D1511="정상",INDEX(임대자산!$D$3:$R$3000,MATCH($F1511,임대자산!$I$3:$I$3000,0),MATCH(L$4,임대자산!$D$3:$R$3,0)),
IF($D1511="폐업",INDEX(폐업정보!$D$3:$R$3000,MATCH($F1511,폐업정보!$I$3:$I$3000,0),MATCH(L$4,폐업정보!$D$3:$R$3,0)),
"Error"))</f>
        <v>D1506</v>
      </c>
      <c r="M1511" s="76" t="s">
        <v>96</v>
      </c>
      <c r="N1511" s="77"/>
      <c r="O1511" s="78" t="s">
        <v>97</v>
      </c>
      <c r="P1511" s="79" t="n">
        <f aca="false">COUNTIFS(임대자산!$I:$I,가맹점정보!F1511,임대자산!$N:$N,가맹점정보!P$4)</f>
        <v>0</v>
      </c>
      <c r="Q1511" s="80" t="n">
        <f aca="false">COUNTIFS(임대자산!$I:$I,가맹점정보!F1511,임대자산!$N:$N,가맹점정보!Q$4)</f>
        <v>0</v>
      </c>
      <c r="R1511" s="81" t="n">
        <f aca="false">COUNTIFS(임대자산!$I:$I,가맹점정보!F1511,임대자산!$N:$N,가맹점정보!R$4)</f>
        <v>1</v>
      </c>
      <c r="S1511" s="82" t="n">
        <v>88000</v>
      </c>
      <c r="T1511" s="83" t="n">
        <v>0</v>
      </c>
      <c r="U1511" s="80" t="n">
        <f aca="false">SUM(S1511:T1511)</f>
        <v>88000</v>
      </c>
      <c r="V1511" s="84" t="s">
        <v>7</v>
      </c>
      <c r="W1511" s="80" t="str">
        <f aca="true">
IF(D1511="폐업","폐업",
IF(V1511="면제","면제",
IF(AND(V1511="정상",COUNTIFS(OFFSET(Y1511,0,COUNTA(Y1511:AV1511)-1,1,-4),"미납")&gt;=3),"장기미납",
IF(AND(V1511="정상",OFFSET(Y1511,0,COUNTA(Y1511:AV1511)-1)&gt;=U1511),"정상",
IF(AND(V1511="정상",OFFSET(Y1511,0,COUNTA(Y1511:AV1511)-1)=0),"정상",
"계약서 미작성")))))</f>
        <v>면제</v>
      </c>
      <c r="X1511" s="81" t="str">
        <f aca="true">
IF(D1511="폐업","폐업",
IF(AND(V1511="정상",OFFSET(Y1511,0,COUNTA(Y1511:AV1511)-1)="미납"),"미납",
IF(AND(V1511="정상",OFFSET(Y1511,0,COUNTA(Y1511:AV1511)-1)=0),"납부 시작 전",
IF(AND(V1511="정상",OFFSET(Y1511,0,COUNTA(Y1511:AV1511)-1)&gt;=U1511),"정상",
IF(AND(V1511="면제",OFFSET(Y1511,0,COUNTA(Y1511:AV1511)-1)="면제"),"면제",
IF(AND(V1511="면제",OFFSET(Y1511,0,COUNTA(Y1511:AV1511)-1)=0),"면제",
"확인요청"))))))</f>
        <v>면제</v>
      </c>
      <c r="Y1511" s="94" t="s">
        <v>7</v>
      </c>
      <c r="Z1511" s="95" t="s">
        <v>7</v>
      </c>
      <c r="AA1511" s="95" t="s">
        <v>7</v>
      </c>
      <c r="AB1511" s="95" t="s">
        <v>7</v>
      </c>
      <c r="AC1511" s="95" t="s">
        <v>7</v>
      </c>
      <c r="AD1511" s="95" t="s">
        <v>7</v>
      </c>
      <c r="AE1511" s="95" t="s">
        <v>7</v>
      </c>
      <c r="AF1511" s="95" t="s">
        <v>7</v>
      </c>
      <c r="AG1511" s="95" t="s">
        <v>7</v>
      </c>
      <c r="AH1511" s="95" t="s">
        <v>7</v>
      </c>
      <c r="AI1511" s="95" t="s">
        <v>7</v>
      </c>
      <c r="AJ1511" s="96" t="s">
        <v>7</v>
      </c>
      <c r="AK1511" s="97" t="s">
        <v>7</v>
      </c>
      <c r="AL1511" s="95" t="s">
        <v>7</v>
      </c>
      <c r="AM1511" s="90"/>
      <c r="AN1511" s="90"/>
      <c r="AO1511" s="90"/>
      <c r="AP1511" s="90"/>
      <c r="AQ1511" s="90"/>
      <c r="AR1511" s="90"/>
      <c r="AS1511" s="90"/>
      <c r="AT1511" s="90"/>
      <c r="AU1511" s="90"/>
      <c r="AV1511" s="91"/>
      <c r="AX1511" s="92"/>
    </row>
    <row r="1512" customFormat="false" ht="15.65" hidden="false" customHeight="false" outlineLevel="0" collapsed="false">
      <c r="C1512" s="72" t="n">
        <f aca="false">COUNTIFS($D$6:D1512,"&lt;&gt;"&amp;"")</f>
        <v>1507</v>
      </c>
      <c r="D1512" s="73" t="s">
        <v>12</v>
      </c>
      <c r="E1512" s="76" t="str">
        <f aca="false">
IF($D1512="정상",INDEX(임대자산!$D$3:$R$3000,MATCH($F1512,임대자산!$I$3:$I$3000,0),MATCH(E$3,임대자산!$D$3:$R$3,0)),
IF($D1512="폐업",INDEX(폐업정보!$D$3:$R$3000,MATCH($F1512,폐업정보!$I$3:$I$3000,0),MATCH(E$3,폐업정보!$D$3:$R$3,0)),
"Error"))</f>
        <v>전라</v>
      </c>
      <c r="F151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B1507</v>
      </c>
      <c r="G1512" s="76" t="str">
        <f aca="false">F1512&amp;RANDBETWEEN(0,10)</f>
        <v>B15076</v>
      </c>
      <c r="H1512" s="75" t="n">
        <f aca="false">
IF($D1512="정상",INDEX(임대자산!$D$3:$R$3000,MATCH($F1512,임대자산!$I$3:$I$3000,0),MATCH(H$4,임대자산!$D$3:$R$3,0)),
IF($D1512="폐업",INDEX(폐업정보!$D$3:$R$3000,MATCH($F1512,폐업정보!$I$3:$I$3000,0),MATCH(H$4,폐업정보!$D$3:$R$3,0)),
"Error"))</f>
        <v>45573</v>
      </c>
      <c r="I1512" s="75" t="str">
        <f aca="false">
IF($D1512="정상",INDEX(임대자산!$D$3:$R$3000,MATCH($F1512,임대자산!$I$3:$I$3000,0),MATCH(I$4,임대자산!$D$3:$R$3,0)),
IF($D1512="폐업",INDEX(폐업정보!$D$3:$R$3000,MATCH($F1512,폐업정보!$I$3:$I$3000,0),MATCH(I$4,폐업정보!$D$3:$R$3,0)),
"Error"))</f>
        <v>A1507</v>
      </c>
      <c r="J1512" s="75" t="str">
        <f aca="false">
IF($D1512="정상",INDEX(임대자산!$D$3:$R$3000,MATCH($F1512,임대자산!$I$3:$I$3000,0),MATCH(J$4,임대자산!$D$3:$R$3,0)),
IF($D1512="폐업",INDEX(폐업정보!$D$3:$R$3000,MATCH($F1512,폐업정보!$I$3:$I$3000,0),MATCH(J$4,폐업정보!$D$3:$R$3,0)),
"Error"))</f>
        <v>8524700000</v>
      </c>
      <c r="K1512" s="75" t="str">
        <f aca="false">
IF($D1512="정상",INDEX(임대자산!$D$3:$R$3000,MATCH($F1512,임대자산!$I$3:$I$3000,0),MATCH(K$4,임대자산!$D$3:$R$3,0)),
IF($D1512="폐업",INDEX(폐업정보!$D$3:$R$3000,MATCH($F1512,폐업정보!$I$3:$I$3000,0),MATCH(K$4,폐업정보!$D$3:$R$3,0)),
"Error"))</f>
        <v>C1507</v>
      </c>
      <c r="L1512" s="75" t="str">
        <f aca="false">
IF($D1512="정상",INDEX(임대자산!$D$3:$R$3000,MATCH($F1512,임대자산!$I$3:$I$3000,0),MATCH(L$4,임대자산!$D$3:$R$3,0)),
IF($D1512="폐업",INDEX(폐업정보!$D$3:$R$3000,MATCH($F1512,폐업정보!$I$3:$I$3000,0),MATCH(L$4,폐업정보!$D$3:$R$3,0)),
"Error"))</f>
        <v>D1507</v>
      </c>
      <c r="M1512" s="76" t="s">
        <v>96</v>
      </c>
      <c r="N1512" s="77"/>
      <c r="O1512" s="78" t="s">
        <v>97</v>
      </c>
      <c r="P1512" s="79" t="n">
        <f aca="false">COUNTIFS(임대자산!$I:$I,가맹점정보!F1512,임대자산!$N:$N,가맹점정보!P$4)</f>
        <v>0</v>
      </c>
      <c r="Q1512" s="80" t="n">
        <f aca="false">COUNTIFS(임대자산!$I:$I,가맹점정보!F1512,임대자산!$N:$N,가맹점정보!Q$4)</f>
        <v>0</v>
      </c>
      <c r="R1512" s="81" t="n">
        <f aca="false">COUNTIFS(임대자산!$I:$I,가맹점정보!F1512,임대자산!$N:$N,가맹점정보!R$4)</f>
        <v>1</v>
      </c>
      <c r="S1512" s="82" t="n">
        <v>55000</v>
      </c>
      <c r="T1512" s="83" t="n">
        <v>0</v>
      </c>
      <c r="U1512" s="80" t="n">
        <f aca="false">SUM(S1512:T1512)</f>
        <v>55000</v>
      </c>
      <c r="V1512" s="84" t="s">
        <v>12</v>
      </c>
      <c r="W1512" s="80" t="e">
        <f aca="true">
IF(D1512="폐업","폐업",
IF(V1512="면제","면제",
IF(AND(V1512="정상",COUNTIFS(OFFSET(Y1512,0,COUNTA(Y1512:AV1512)-1,1,-4),"미납")&gt;=3),"장기미납",
IF(AND(V1512="정상",OFFSET(Y1512,0,COUNTA(Y1512:AV1512)-1)&gt;=U1512),"정상",
IF(AND(V1512="정상",OFFSET(Y1512,0,COUNTA(Y1512:AV1512)-1)=0),"정상",
"계약서 미작성")))))</f>
        <v>#VALUE!</v>
      </c>
      <c r="X1512" s="81" t="str">
        <f aca="true">
IF(D1512="폐업","폐업",
IF(AND(V1512="정상",OFFSET(Y1512,0,COUNTA(Y1512:AV1512)-1)="미납"),"미납",
IF(AND(V1512="정상",OFFSET(Y1512,0,COUNTA(Y1512:AV1512)-1)=0),"납부 시작 전",
IF(AND(V1512="정상",OFFSET(Y1512,0,COUNTA(Y1512:AV1512)-1)&gt;=U1512),"정상",
IF(AND(V1512="면제",OFFSET(Y1512,0,COUNTA(Y1512:AV1512)-1)="면제"),"면제",
IF(AND(V1512="면제",OFFSET(Y1512,0,COUNTA(Y1512:AV1512)-1)=0),"면제",
"확인요청"))))))</f>
        <v>정상</v>
      </c>
      <c r="Y1512" s="93" t="n">
        <v>55000</v>
      </c>
      <c r="Z1512" s="90" t="n">
        <v>55000</v>
      </c>
      <c r="AA1512" s="90" t="n">
        <v>55000</v>
      </c>
      <c r="AB1512" s="90" t="n">
        <v>55000</v>
      </c>
      <c r="AC1512" s="90" t="n">
        <v>55000</v>
      </c>
      <c r="AD1512" s="90" t="n">
        <v>55000</v>
      </c>
      <c r="AE1512" s="90" t="n">
        <v>55000</v>
      </c>
      <c r="AF1512" s="90" t="n">
        <v>55000</v>
      </c>
      <c r="AG1512" s="90" t="n">
        <v>55000</v>
      </c>
      <c r="AH1512" s="90" t="n">
        <v>55000</v>
      </c>
      <c r="AI1512" s="90" t="n">
        <v>55000</v>
      </c>
      <c r="AJ1512" s="91" t="n">
        <v>55000</v>
      </c>
      <c r="AK1512" s="89" t="n">
        <v>55000</v>
      </c>
      <c r="AL1512" s="90" t="n">
        <v>55000</v>
      </c>
      <c r="AM1512" s="90"/>
      <c r="AN1512" s="90"/>
      <c r="AO1512" s="90"/>
      <c r="AP1512" s="90"/>
      <c r="AQ1512" s="90"/>
      <c r="AR1512" s="90"/>
      <c r="AS1512" s="90"/>
      <c r="AT1512" s="90"/>
      <c r="AU1512" s="90"/>
      <c r="AV1512" s="91"/>
      <c r="AX1512" s="92"/>
    </row>
    <row r="1513" customFormat="false" ht="15.65" hidden="false" customHeight="false" outlineLevel="0" collapsed="false">
      <c r="C1513" s="72" t="n">
        <f aca="false">COUNTIFS($D$6:D1513,"&lt;&gt;"&amp;"")</f>
        <v>1508</v>
      </c>
      <c r="D1513" s="73" t="s">
        <v>12</v>
      </c>
      <c r="E1513" s="76" t="str">
        <f aca="false">
IF($D1513="정상",INDEX(임대자산!$D$3:$R$3000,MATCH($F1513,임대자산!$I$3:$I$3000,0),MATCH(E$3,임대자산!$D$3:$R$3,0)),
IF($D1513="폐업",INDEX(폐업정보!$D$3:$R$3000,MATCH($F1513,폐업정보!$I$3:$I$3000,0),MATCH(E$3,폐업정보!$D$3:$R$3,0)),
"Error"))</f>
        <v>서울</v>
      </c>
      <c r="F151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B1508</v>
      </c>
      <c r="G1513" s="76" t="str">
        <f aca="false">F1513&amp;RANDBETWEEN(0,10)</f>
        <v>B15087</v>
      </c>
      <c r="H1513" s="75" t="n">
        <f aca="false">
IF($D1513="정상",INDEX(임대자산!$D$3:$R$3000,MATCH($F1513,임대자산!$I$3:$I$3000,0),MATCH(H$4,임대자산!$D$3:$R$3,0)),
IF($D1513="폐업",INDEX(폐업정보!$D$3:$R$3000,MATCH($F1513,폐업정보!$I$3:$I$3000,0),MATCH(H$4,폐업정보!$D$3:$R$3,0)),
"Error"))</f>
        <v>46007</v>
      </c>
      <c r="I1513" s="75" t="str">
        <f aca="false">
IF($D1513="정상",INDEX(임대자산!$D$3:$R$3000,MATCH($F1513,임대자산!$I$3:$I$3000,0),MATCH(I$4,임대자산!$D$3:$R$3,0)),
IF($D1513="폐업",INDEX(폐업정보!$D$3:$R$3000,MATCH($F1513,폐업정보!$I$3:$I$3000,0),MATCH(I$4,폐업정보!$D$3:$R$3,0)),
"Error"))</f>
        <v>A1508</v>
      </c>
      <c r="J1513" s="75" t="str">
        <f aca="false">
IF($D1513="정상",INDEX(임대자산!$D$3:$R$3000,MATCH($F1513,임대자산!$I$3:$I$3000,0),MATCH(J$4,임대자산!$D$3:$R$3,0)),
IF($D1513="폐업",INDEX(폐업정보!$D$3:$R$3000,MATCH($F1513,폐업정보!$I$3:$I$3000,0),MATCH(J$4,폐업정보!$D$3:$R$3,0)),
"Error"))</f>
        <v>1507300000</v>
      </c>
      <c r="K1513" s="75" t="str">
        <f aca="false">
IF($D1513="정상",INDEX(임대자산!$D$3:$R$3000,MATCH($F1513,임대자산!$I$3:$I$3000,0),MATCH(K$4,임대자산!$D$3:$R$3,0)),
IF($D1513="폐업",INDEX(폐업정보!$D$3:$R$3000,MATCH($F1513,폐업정보!$I$3:$I$3000,0),MATCH(K$4,폐업정보!$D$3:$R$3,0)),
"Error"))</f>
        <v>C1508</v>
      </c>
      <c r="L1513" s="75" t="str">
        <f aca="false">
IF($D1513="정상",INDEX(임대자산!$D$3:$R$3000,MATCH($F1513,임대자산!$I$3:$I$3000,0),MATCH(L$4,임대자산!$D$3:$R$3,0)),
IF($D1513="폐업",INDEX(폐업정보!$D$3:$R$3000,MATCH($F1513,폐업정보!$I$3:$I$3000,0),MATCH(L$4,폐업정보!$D$3:$R$3,0)),
"Error"))</f>
        <v>D1508</v>
      </c>
      <c r="M1513" s="76" t="s">
        <v>96</v>
      </c>
      <c r="N1513" s="77"/>
      <c r="O1513" s="78" t="s">
        <v>97</v>
      </c>
      <c r="P1513" s="79" t="n">
        <f aca="false">COUNTIFS(임대자산!$I:$I,가맹점정보!F1513,임대자산!$N:$N,가맹점정보!P$4)</f>
        <v>0</v>
      </c>
      <c r="Q1513" s="80" t="n">
        <f aca="false">COUNTIFS(임대자산!$I:$I,가맹점정보!F1513,임대자산!$N:$N,가맹점정보!Q$4)</f>
        <v>0</v>
      </c>
      <c r="R1513" s="81" t="n">
        <f aca="false">COUNTIFS(임대자산!$I:$I,가맹점정보!F1513,임대자산!$N:$N,가맹점정보!R$4)</f>
        <v>1</v>
      </c>
      <c r="S1513" s="82" t="n">
        <v>55000</v>
      </c>
      <c r="T1513" s="83" t="n">
        <v>0</v>
      </c>
      <c r="U1513" s="80" t="n">
        <f aca="false">SUM(S1513:T1513)</f>
        <v>55000</v>
      </c>
      <c r="V1513" s="84" t="s">
        <v>12</v>
      </c>
      <c r="W1513" s="80" t="e">
        <f aca="true">
IF(D1513="폐업","폐업",
IF(V1513="면제","면제",
IF(AND(V1513="정상",COUNTIFS(OFFSET(Y1513,0,COUNTA(Y1513:AV1513)-1,1,-4),"미납")&gt;=3),"장기미납",
IF(AND(V1513="정상",OFFSET(Y1513,0,COUNTA(Y1513:AV1513)-1)&gt;=U1513),"정상",
IF(AND(V1513="정상",OFFSET(Y1513,0,COUNTA(Y1513:AV1513)-1)=0),"정상",
"계약서 미작성")))))</f>
        <v>#VALUE!</v>
      </c>
      <c r="X1513" s="81" t="str">
        <f aca="true">
IF(D1513="폐업","폐업",
IF(AND(V1513="정상",OFFSET(Y1513,0,COUNTA(Y1513:AV1513)-1)="미납"),"미납",
IF(AND(V1513="정상",OFFSET(Y1513,0,COUNTA(Y1513:AV1513)-1)=0),"납부 시작 전",
IF(AND(V1513="정상",OFFSET(Y1513,0,COUNTA(Y1513:AV1513)-1)&gt;=U1513),"정상",
IF(AND(V1513="면제",OFFSET(Y1513,0,COUNTA(Y1513:AV1513)-1)="면제"),"면제",
IF(AND(V1513="면제",OFFSET(Y1513,0,COUNTA(Y1513:AV1513)-1)=0),"면제",
"확인요청"))))))</f>
        <v>정상</v>
      </c>
      <c r="Y1513" s="93" t="n">
        <v>55000</v>
      </c>
      <c r="Z1513" s="90" t="n">
        <v>55000</v>
      </c>
      <c r="AA1513" s="90" t="n">
        <v>55000</v>
      </c>
      <c r="AB1513" s="90" t="n">
        <v>55000</v>
      </c>
      <c r="AC1513" s="90" t="n">
        <v>55000</v>
      </c>
      <c r="AD1513" s="90" t="n">
        <v>55000</v>
      </c>
      <c r="AE1513" s="90" t="n">
        <v>55000</v>
      </c>
      <c r="AF1513" s="90" t="n">
        <v>55000</v>
      </c>
      <c r="AG1513" s="90" t="n">
        <v>55000</v>
      </c>
      <c r="AH1513" s="90" t="n">
        <v>55000</v>
      </c>
      <c r="AI1513" s="90" t="n">
        <v>55000</v>
      </c>
      <c r="AJ1513" s="91" t="n">
        <v>55000</v>
      </c>
      <c r="AK1513" s="89" t="n">
        <v>55000</v>
      </c>
      <c r="AL1513" s="90" t="n">
        <v>55000</v>
      </c>
      <c r="AM1513" s="90"/>
      <c r="AN1513" s="90"/>
      <c r="AO1513" s="90"/>
      <c r="AP1513" s="90"/>
      <c r="AQ1513" s="90"/>
      <c r="AR1513" s="90"/>
      <c r="AS1513" s="90"/>
      <c r="AT1513" s="90"/>
      <c r="AU1513" s="90"/>
      <c r="AV1513" s="91"/>
      <c r="AX1513" s="92"/>
    </row>
    <row r="1514" customFormat="false" ht="15.65" hidden="false" customHeight="false" outlineLevel="0" collapsed="false">
      <c r="C1514" s="72" t="n">
        <f aca="false">COUNTIFS($D$6:D1514,"&lt;&gt;"&amp;"")</f>
        <v>1509</v>
      </c>
      <c r="D1514" s="73" t="s">
        <v>12</v>
      </c>
      <c r="E1514" s="76" t="str">
        <f aca="false">
IF($D1514="정상",INDEX(임대자산!$D$3:$R$3000,MATCH($F1514,임대자산!$I$3:$I$3000,0),MATCH(E$3,임대자산!$D$3:$R$3,0)),
IF($D1514="폐업",INDEX(폐업정보!$D$3:$R$3000,MATCH($F1514,폐업정보!$I$3:$I$3000,0),MATCH(E$3,폐업정보!$D$3:$R$3,0)),
"Error"))</f>
        <v>경기</v>
      </c>
      <c r="F151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B1509</v>
      </c>
      <c r="G1514" s="76" t="str">
        <f aca="false">F1514&amp;RANDBETWEEN(0,10)</f>
        <v>B15092</v>
      </c>
      <c r="H1514" s="75" t="n">
        <f aca="false">
IF($D1514="정상",INDEX(임대자산!$D$3:$R$3000,MATCH($F1514,임대자산!$I$3:$I$3000,0),MATCH(H$4,임대자산!$D$3:$R$3,0)),
IF($D1514="폐업",INDEX(폐업정보!$D$3:$R$3000,MATCH($F1514,폐업정보!$I$3:$I$3000,0),MATCH(H$4,폐업정보!$D$3:$R$3,0)),
"Error"))</f>
        <v>45597</v>
      </c>
      <c r="I1514" s="75" t="str">
        <f aca="false">
IF($D1514="정상",INDEX(임대자산!$D$3:$R$3000,MATCH($F1514,임대자산!$I$3:$I$3000,0),MATCH(I$4,임대자산!$D$3:$R$3,0)),
IF($D1514="폐업",INDEX(폐업정보!$D$3:$R$3000,MATCH($F1514,폐업정보!$I$3:$I$3000,0),MATCH(I$4,폐업정보!$D$3:$R$3,0)),
"Error"))</f>
        <v>A1509</v>
      </c>
      <c r="J1514" s="75" t="str">
        <f aca="false">
IF($D1514="정상",INDEX(임대자산!$D$3:$R$3000,MATCH($F1514,임대자산!$I$3:$I$3000,0),MATCH(J$4,임대자산!$D$3:$R$3,0)),
IF($D1514="폐업",INDEX(폐업정보!$D$3:$R$3000,MATCH($F1514,폐업정보!$I$3:$I$3000,0),MATCH(J$4,폐업정보!$D$3:$R$3,0)),
"Error"))</f>
        <v>8859700000</v>
      </c>
      <c r="K1514" s="75" t="str">
        <f aca="false">
IF($D1514="정상",INDEX(임대자산!$D$3:$R$3000,MATCH($F1514,임대자산!$I$3:$I$3000,0),MATCH(K$4,임대자산!$D$3:$R$3,0)),
IF($D1514="폐업",INDEX(폐업정보!$D$3:$R$3000,MATCH($F1514,폐업정보!$I$3:$I$3000,0),MATCH(K$4,폐업정보!$D$3:$R$3,0)),
"Error"))</f>
        <v>C1509</v>
      </c>
      <c r="L1514" s="75" t="str">
        <f aca="false">
IF($D1514="정상",INDEX(임대자산!$D$3:$R$3000,MATCH($F1514,임대자산!$I$3:$I$3000,0),MATCH(L$4,임대자산!$D$3:$R$3,0)),
IF($D1514="폐업",INDEX(폐업정보!$D$3:$R$3000,MATCH($F1514,폐업정보!$I$3:$I$3000,0),MATCH(L$4,폐업정보!$D$3:$R$3,0)),
"Error"))</f>
        <v>D1509</v>
      </c>
      <c r="M1514" s="76" t="s">
        <v>96</v>
      </c>
      <c r="N1514" s="77"/>
      <c r="O1514" s="78" t="s">
        <v>97</v>
      </c>
      <c r="P1514" s="79" t="n">
        <f aca="false">COUNTIFS(임대자산!$I:$I,가맹점정보!F1514,임대자산!$N:$N,가맹점정보!P$4)</f>
        <v>0</v>
      </c>
      <c r="Q1514" s="80" t="n">
        <f aca="false">COUNTIFS(임대자산!$I:$I,가맹점정보!F1514,임대자산!$N:$N,가맹점정보!Q$4)</f>
        <v>0</v>
      </c>
      <c r="R1514" s="81" t="n">
        <f aca="false">COUNTIFS(임대자산!$I:$I,가맹점정보!F1514,임대자산!$N:$N,가맹점정보!R$4)</f>
        <v>1</v>
      </c>
      <c r="S1514" s="82" t="n">
        <v>55000</v>
      </c>
      <c r="T1514" s="83" t="n">
        <v>0</v>
      </c>
      <c r="U1514" s="80" t="n">
        <f aca="false">SUM(S1514:T1514)</f>
        <v>55000</v>
      </c>
      <c r="V1514" s="84" t="s">
        <v>7</v>
      </c>
      <c r="W1514" s="80" t="str">
        <f aca="true">
IF(D1514="폐업","폐업",
IF(V1514="면제","면제",
IF(AND(V1514="정상",COUNTIFS(OFFSET(Y1514,0,COUNTA(Y1514:AV1514)-1,1,-4),"미납")&gt;=3),"장기미납",
IF(AND(V1514="정상",OFFSET(Y1514,0,COUNTA(Y1514:AV1514)-1)&gt;=U1514),"정상",
IF(AND(V1514="정상",OFFSET(Y1514,0,COUNTA(Y1514:AV1514)-1)=0),"정상",
"계약서 미작성")))))</f>
        <v>면제</v>
      </c>
      <c r="X1514" s="81" t="str">
        <f aca="true">
IF(D1514="폐업","폐업",
IF(AND(V1514="정상",OFFSET(Y1514,0,COUNTA(Y1514:AV1514)-1)="미납"),"미납",
IF(AND(V1514="정상",OFFSET(Y1514,0,COUNTA(Y1514:AV1514)-1)=0),"납부 시작 전",
IF(AND(V1514="정상",OFFSET(Y1514,0,COUNTA(Y1514:AV1514)-1)&gt;=U1514),"정상",
IF(AND(V1514="면제",OFFSET(Y1514,0,COUNTA(Y1514:AV1514)-1)="면제"),"면제",
IF(AND(V1514="면제",OFFSET(Y1514,0,COUNTA(Y1514:AV1514)-1)=0),"면제",
"확인요청"))))))</f>
        <v>면제</v>
      </c>
      <c r="Y1514" s="94" t="s">
        <v>7</v>
      </c>
      <c r="Z1514" s="95" t="s">
        <v>7</v>
      </c>
      <c r="AA1514" s="95" t="s">
        <v>7</v>
      </c>
      <c r="AB1514" s="95" t="s">
        <v>7</v>
      </c>
      <c r="AC1514" s="95" t="s">
        <v>7</v>
      </c>
      <c r="AD1514" s="95" t="s">
        <v>7</v>
      </c>
      <c r="AE1514" s="95" t="s">
        <v>7</v>
      </c>
      <c r="AF1514" s="95" t="s">
        <v>7</v>
      </c>
      <c r="AG1514" s="95" t="s">
        <v>7</v>
      </c>
      <c r="AH1514" s="95" t="s">
        <v>7</v>
      </c>
      <c r="AI1514" s="95" t="s">
        <v>7</v>
      </c>
      <c r="AJ1514" s="96" t="s">
        <v>7</v>
      </c>
      <c r="AK1514" s="97" t="s">
        <v>7</v>
      </c>
      <c r="AL1514" s="95" t="s">
        <v>7</v>
      </c>
      <c r="AM1514" s="90"/>
      <c r="AN1514" s="90"/>
      <c r="AO1514" s="90"/>
      <c r="AP1514" s="90"/>
      <c r="AQ1514" s="90"/>
      <c r="AR1514" s="90"/>
      <c r="AS1514" s="90"/>
      <c r="AT1514" s="90"/>
      <c r="AU1514" s="90"/>
      <c r="AV1514" s="91"/>
      <c r="AX1514" s="92"/>
    </row>
    <row r="1515" customFormat="false" ht="15.65" hidden="false" customHeight="false" outlineLevel="0" collapsed="false">
      <c r="C1515" s="72" t="n">
        <f aca="false">COUNTIFS($D$6:D1515,"&lt;&gt;"&amp;"")</f>
        <v>1510</v>
      </c>
      <c r="D1515" s="73" t="s">
        <v>12</v>
      </c>
      <c r="E1515" s="76" t="str">
        <f aca="false">
IF($D1515="정상",INDEX(임대자산!$D$3:$R$3000,MATCH($F1515,임대자산!$I$3:$I$3000,0),MATCH(E$3,임대자산!$D$3:$R$3,0)),
IF($D1515="폐업",INDEX(폐업정보!$D$3:$R$3000,MATCH($F1515,폐업정보!$I$3:$I$3000,0),MATCH(E$3,폐업정보!$D$3:$R$3,0)),
"Error"))</f>
        <v>서울</v>
      </c>
      <c r="F151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B1510</v>
      </c>
      <c r="G1515" s="76" t="str">
        <f aca="false">F1515&amp;RANDBETWEEN(0,10)</f>
        <v>B15107</v>
      </c>
      <c r="H1515" s="75" t="n">
        <f aca="false">
IF($D1515="정상",INDEX(임대자산!$D$3:$R$3000,MATCH($F1515,임대자산!$I$3:$I$3000,0),MATCH(H$4,임대자산!$D$3:$R$3,0)),
IF($D1515="폐업",INDEX(폐업정보!$D$3:$R$3000,MATCH($F1515,폐업정보!$I$3:$I$3000,0),MATCH(H$4,폐업정보!$D$3:$R$3,0)),
"Error"))</f>
        <v>45838</v>
      </c>
      <c r="I1515" s="75" t="str">
        <f aca="false">
IF($D1515="정상",INDEX(임대자산!$D$3:$R$3000,MATCH($F1515,임대자산!$I$3:$I$3000,0),MATCH(I$4,임대자산!$D$3:$R$3,0)),
IF($D1515="폐업",INDEX(폐업정보!$D$3:$R$3000,MATCH($F1515,폐업정보!$I$3:$I$3000,0),MATCH(I$4,폐업정보!$D$3:$R$3,0)),
"Error"))</f>
        <v>A1510</v>
      </c>
      <c r="J1515" s="75" t="str">
        <f aca="false">
IF($D1515="정상",INDEX(임대자산!$D$3:$R$3000,MATCH($F1515,임대자산!$I$3:$I$3000,0),MATCH(J$4,임대자산!$D$3:$R$3,0)),
IF($D1515="폐업",INDEX(폐업정보!$D$3:$R$3000,MATCH($F1515,폐업정보!$I$3:$I$3000,0),MATCH(J$4,폐업정보!$D$3:$R$3,0)),
"Error"))</f>
        <v>3818500000</v>
      </c>
      <c r="K1515" s="75" t="str">
        <f aca="false">
IF($D1515="정상",INDEX(임대자산!$D$3:$R$3000,MATCH($F1515,임대자산!$I$3:$I$3000,0),MATCH(K$4,임대자산!$D$3:$R$3,0)),
IF($D1515="폐업",INDEX(폐업정보!$D$3:$R$3000,MATCH($F1515,폐업정보!$I$3:$I$3000,0),MATCH(K$4,폐업정보!$D$3:$R$3,0)),
"Error"))</f>
        <v>C1510</v>
      </c>
      <c r="L1515" s="75" t="str">
        <f aca="false">
IF($D1515="정상",INDEX(임대자산!$D$3:$R$3000,MATCH($F1515,임대자산!$I$3:$I$3000,0),MATCH(L$4,임대자산!$D$3:$R$3,0)),
IF($D1515="폐업",INDEX(폐업정보!$D$3:$R$3000,MATCH($F1515,폐업정보!$I$3:$I$3000,0),MATCH(L$4,폐업정보!$D$3:$R$3,0)),
"Error"))</f>
        <v>D1510</v>
      </c>
      <c r="M1515" s="76" t="s">
        <v>96</v>
      </c>
      <c r="N1515" s="77"/>
      <c r="O1515" s="78" t="s">
        <v>97</v>
      </c>
      <c r="P1515" s="79" t="n">
        <f aca="false">COUNTIFS(임대자산!$I:$I,가맹점정보!F1515,임대자산!$N:$N,가맹점정보!P$4)</f>
        <v>0</v>
      </c>
      <c r="Q1515" s="80" t="n">
        <f aca="false">COUNTIFS(임대자산!$I:$I,가맹점정보!F1515,임대자산!$N:$N,가맹점정보!Q$4)</f>
        <v>0</v>
      </c>
      <c r="R1515" s="81" t="n">
        <f aca="false">COUNTIFS(임대자산!$I:$I,가맹점정보!F1515,임대자산!$N:$N,가맹점정보!R$4)</f>
        <v>1</v>
      </c>
      <c r="S1515" s="82" t="n">
        <v>55000</v>
      </c>
      <c r="T1515" s="83" t="n">
        <v>0</v>
      </c>
      <c r="U1515" s="80" t="n">
        <f aca="false">SUM(S1515:T1515)</f>
        <v>55000</v>
      </c>
      <c r="V1515" s="84" t="s">
        <v>7</v>
      </c>
      <c r="W1515" s="80" t="str">
        <f aca="true">
IF(D1515="폐업","폐업",
IF(V1515="면제","면제",
IF(AND(V1515="정상",COUNTIFS(OFFSET(Y1515,0,COUNTA(Y1515:AV1515)-1,1,-4),"미납")&gt;=3),"장기미납",
IF(AND(V1515="정상",OFFSET(Y1515,0,COUNTA(Y1515:AV1515)-1)&gt;=U1515),"정상",
IF(AND(V1515="정상",OFFSET(Y1515,0,COUNTA(Y1515:AV1515)-1)=0),"정상",
"계약서 미작성")))))</f>
        <v>면제</v>
      </c>
      <c r="X1515" s="81" t="str">
        <f aca="true">
IF(D1515="폐업","폐업",
IF(AND(V1515="정상",OFFSET(Y1515,0,COUNTA(Y1515:AV1515)-1)="미납"),"미납",
IF(AND(V1515="정상",OFFSET(Y1515,0,COUNTA(Y1515:AV1515)-1)=0),"납부 시작 전",
IF(AND(V1515="정상",OFFSET(Y1515,0,COUNTA(Y1515:AV1515)-1)&gt;=U1515),"정상",
IF(AND(V1515="면제",OFFSET(Y1515,0,COUNTA(Y1515:AV1515)-1)="면제"),"면제",
IF(AND(V1515="면제",OFFSET(Y1515,0,COUNTA(Y1515:AV1515)-1)=0),"면제",
"확인요청"))))))</f>
        <v>면제</v>
      </c>
      <c r="Y1515" s="94" t="s">
        <v>7</v>
      </c>
      <c r="Z1515" s="95" t="s">
        <v>7</v>
      </c>
      <c r="AA1515" s="95" t="s">
        <v>7</v>
      </c>
      <c r="AB1515" s="95" t="s">
        <v>7</v>
      </c>
      <c r="AC1515" s="95" t="s">
        <v>7</v>
      </c>
      <c r="AD1515" s="95" t="s">
        <v>7</v>
      </c>
      <c r="AE1515" s="95" t="s">
        <v>7</v>
      </c>
      <c r="AF1515" s="95" t="s">
        <v>7</v>
      </c>
      <c r="AG1515" s="95" t="s">
        <v>7</v>
      </c>
      <c r="AH1515" s="95" t="s">
        <v>7</v>
      </c>
      <c r="AI1515" s="95" t="s">
        <v>7</v>
      </c>
      <c r="AJ1515" s="96" t="s">
        <v>7</v>
      </c>
      <c r="AK1515" s="97" t="s">
        <v>7</v>
      </c>
      <c r="AL1515" s="95" t="s">
        <v>7</v>
      </c>
      <c r="AM1515" s="90"/>
      <c r="AN1515" s="90"/>
      <c r="AO1515" s="90"/>
      <c r="AP1515" s="90"/>
      <c r="AQ1515" s="90"/>
      <c r="AR1515" s="90"/>
      <c r="AS1515" s="90"/>
      <c r="AT1515" s="90"/>
      <c r="AU1515" s="90"/>
      <c r="AV1515" s="91"/>
      <c r="AX1515" s="92"/>
    </row>
    <row r="1516" customFormat="false" ht="15.65" hidden="false" customHeight="false" outlineLevel="0" collapsed="false">
      <c r="C1516" s="72" t="n">
        <f aca="false">COUNTIFS($D$6:D1516,"&lt;&gt;"&amp;"")</f>
        <v>1511</v>
      </c>
      <c r="D1516" s="73" t="s">
        <v>12</v>
      </c>
      <c r="E1516" s="76" t="str">
        <f aca="false">
IF($D1516="정상",INDEX(임대자산!$D$3:$R$3000,MATCH($F1516,임대자산!$I$3:$I$3000,0),MATCH(E$3,임대자산!$D$3:$R$3,0)),
IF($D1516="폐업",INDEX(폐업정보!$D$3:$R$3000,MATCH($F1516,폐업정보!$I$3:$I$3000,0),MATCH(E$3,폐업정보!$D$3:$R$3,0)),
"Error"))</f>
        <v>서울</v>
      </c>
      <c r="F151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B1511</v>
      </c>
      <c r="G1516" s="76" t="str">
        <f aca="false">F1516&amp;RANDBETWEEN(0,10)</f>
        <v>B15110</v>
      </c>
      <c r="H1516" s="75" t="n">
        <f aca="false">
IF($D1516="정상",INDEX(임대자산!$D$3:$R$3000,MATCH($F1516,임대자산!$I$3:$I$3000,0),MATCH(H$4,임대자산!$D$3:$R$3,0)),
IF($D1516="폐업",INDEX(폐업정보!$D$3:$R$3000,MATCH($F1516,폐업정보!$I$3:$I$3000,0),MATCH(H$4,폐업정보!$D$3:$R$3,0)),
"Error"))</f>
        <v>45855</v>
      </c>
      <c r="I1516" s="75" t="str">
        <f aca="false">
IF($D1516="정상",INDEX(임대자산!$D$3:$R$3000,MATCH($F1516,임대자산!$I$3:$I$3000,0),MATCH(I$4,임대자산!$D$3:$R$3,0)),
IF($D1516="폐업",INDEX(폐업정보!$D$3:$R$3000,MATCH($F1516,폐업정보!$I$3:$I$3000,0),MATCH(I$4,폐업정보!$D$3:$R$3,0)),
"Error"))</f>
        <v>A1511</v>
      </c>
      <c r="J1516" s="75" t="str">
        <f aca="false">
IF($D1516="정상",INDEX(임대자산!$D$3:$R$3000,MATCH($F1516,임대자산!$I$3:$I$3000,0),MATCH(J$4,임대자산!$D$3:$R$3,0)),
IF($D1516="폐업",INDEX(폐업정보!$D$3:$R$3000,MATCH($F1516,폐업정보!$I$3:$I$3000,0),MATCH(J$4,폐업정보!$D$3:$R$3,0)),
"Error"))</f>
        <v>9644500000</v>
      </c>
      <c r="K1516" s="75" t="str">
        <f aca="false">
IF($D1516="정상",INDEX(임대자산!$D$3:$R$3000,MATCH($F1516,임대자산!$I$3:$I$3000,0),MATCH(K$4,임대자산!$D$3:$R$3,0)),
IF($D1516="폐업",INDEX(폐업정보!$D$3:$R$3000,MATCH($F1516,폐업정보!$I$3:$I$3000,0),MATCH(K$4,폐업정보!$D$3:$R$3,0)),
"Error"))</f>
        <v>C1511</v>
      </c>
      <c r="L1516" s="75" t="str">
        <f aca="false">
IF($D1516="정상",INDEX(임대자산!$D$3:$R$3000,MATCH($F1516,임대자산!$I$3:$I$3000,0),MATCH(L$4,임대자산!$D$3:$R$3,0)),
IF($D1516="폐업",INDEX(폐업정보!$D$3:$R$3000,MATCH($F1516,폐업정보!$I$3:$I$3000,0),MATCH(L$4,폐업정보!$D$3:$R$3,0)),
"Error"))</f>
        <v>D1511</v>
      </c>
      <c r="M1516" s="76" t="s">
        <v>96</v>
      </c>
      <c r="N1516" s="77"/>
      <c r="O1516" s="78" t="s">
        <v>97</v>
      </c>
      <c r="P1516" s="79" t="n">
        <f aca="false">COUNTIFS(임대자산!$I:$I,가맹점정보!F1516,임대자산!$N:$N,가맹점정보!P$4)</f>
        <v>0</v>
      </c>
      <c r="Q1516" s="80" t="n">
        <f aca="false">COUNTIFS(임대자산!$I:$I,가맹점정보!F1516,임대자산!$N:$N,가맹점정보!Q$4)</f>
        <v>0</v>
      </c>
      <c r="R1516" s="81" t="n">
        <f aca="false">COUNTIFS(임대자산!$I:$I,가맹점정보!F1516,임대자산!$N:$N,가맹점정보!R$4)</f>
        <v>1</v>
      </c>
      <c r="S1516" s="82" t="n">
        <v>55000</v>
      </c>
      <c r="T1516" s="83" t="n">
        <v>0</v>
      </c>
      <c r="U1516" s="80" t="n">
        <f aca="false">SUM(S1516:T1516)</f>
        <v>55000</v>
      </c>
      <c r="V1516" s="84" t="s">
        <v>12</v>
      </c>
      <c r="W1516" s="80" t="e">
        <f aca="true">
IF(D1516="폐업","폐업",
IF(V1516="면제","면제",
IF(AND(V1516="정상",COUNTIFS(OFFSET(Y1516,0,COUNTA(Y1516:AV1516)-1,1,-4),"미납")&gt;=3),"장기미납",
IF(AND(V1516="정상",OFFSET(Y1516,0,COUNTA(Y1516:AV1516)-1)&gt;=U1516),"정상",
IF(AND(V1516="정상",OFFSET(Y1516,0,COUNTA(Y1516:AV1516)-1)=0),"정상",
"계약서 미작성")))))</f>
        <v>#VALUE!</v>
      </c>
      <c r="X1516" s="81" t="str">
        <f aca="true">
IF(D1516="폐업","폐업",
IF(AND(V1516="정상",OFFSET(Y1516,0,COUNTA(Y1516:AV1516)-1)="미납"),"미납",
IF(AND(V1516="정상",OFFSET(Y1516,0,COUNTA(Y1516:AV1516)-1)=0),"납부 시작 전",
IF(AND(V1516="정상",OFFSET(Y1516,0,COUNTA(Y1516:AV1516)-1)&gt;=U1516),"정상",
IF(AND(V1516="면제",OFFSET(Y1516,0,COUNTA(Y1516:AV1516)-1)="면제"),"면제",
IF(AND(V1516="면제",OFFSET(Y1516,0,COUNTA(Y1516:AV1516)-1)=0),"면제",
"확인요청"))))))</f>
        <v>정상</v>
      </c>
      <c r="Y1516" s="93" t="n">
        <v>55000</v>
      </c>
      <c r="Z1516" s="90" t="n">
        <v>55000</v>
      </c>
      <c r="AA1516" s="90" t="n">
        <v>55000</v>
      </c>
      <c r="AB1516" s="90" t="n">
        <v>55000</v>
      </c>
      <c r="AC1516" s="90" t="n">
        <v>55000</v>
      </c>
      <c r="AD1516" s="90" t="n">
        <v>55000</v>
      </c>
      <c r="AE1516" s="90" t="n">
        <v>55000</v>
      </c>
      <c r="AF1516" s="90" t="n">
        <v>55000</v>
      </c>
      <c r="AG1516" s="90" t="n">
        <v>55000</v>
      </c>
      <c r="AH1516" s="90" t="n">
        <v>55000</v>
      </c>
      <c r="AI1516" s="90" t="n">
        <v>55000</v>
      </c>
      <c r="AJ1516" s="91" t="n">
        <v>55000</v>
      </c>
      <c r="AK1516" s="89" t="n">
        <v>55000</v>
      </c>
      <c r="AL1516" s="90" t="n">
        <v>55000</v>
      </c>
      <c r="AM1516" s="90"/>
      <c r="AN1516" s="90"/>
      <c r="AO1516" s="90"/>
      <c r="AP1516" s="90"/>
      <c r="AQ1516" s="90"/>
      <c r="AR1516" s="90"/>
      <c r="AS1516" s="90"/>
      <c r="AT1516" s="90"/>
      <c r="AU1516" s="90"/>
      <c r="AV1516" s="91"/>
      <c r="AX1516" s="92"/>
    </row>
    <row r="1517" customFormat="false" ht="15.65" hidden="false" customHeight="false" outlineLevel="0" collapsed="false">
      <c r="C1517" s="72" t="n">
        <f aca="false">COUNTIFS($D$6:D1517,"&lt;&gt;"&amp;"")</f>
        <v>1512</v>
      </c>
      <c r="D1517" s="73" t="s">
        <v>12</v>
      </c>
      <c r="E1517" s="76" t="str">
        <f aca="false">
IF($D1517="정상",INDEX(임대자산!$D$3:$R$3000,MATCH($F1517,임대자산!$I$3:$I$3000,0),MATCH(E$3,임대자산!$D$3:$R$3,0)),
IF($D1517="폐업",INDEX(폐업정보!$D$3:$R$3000,MATCH($F1517,폐업정보!$I$3:$I$3000,0),MATCH(E$3,폐업정보!$D$3:$R$3,0)),
"Error"))</f>
        <v>서울</v>
      </c>
      <c r="F151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B1512</v>
      </c>
      <c r="G1517" s="76" t="str">
        <f aca="false">F1517&amp;RANDBETWEEN(0,10)</f>
        <v>B15125</v>
      </c>
      <c r="H1517" s="75" t="n">
        <f aca="false">
IF($D1517="정상",INDEX(임대자산!$D$3:$R$3000,MATCH($F1517,임대자산!$I$3:$I$3000,0),MATCH(H$4,임대자산!$D$3:$R$3,0)),
IF($D1517="폐업",INDEX(폐업정보!$D$3:$R$3000,MATCH($F1517,폐업정보!$I$3:$I$3000,0),MATCH(H$4,폐업정보!$D$3:$R$3,0)),
"Error"))</f>
        <v>45856</v>
      </c>
      <c r="I1517" s="75" t="str">
        <f aca="false">
IF($D1517="정상",INDEX(임대자산!$D$3:$R$3000,MATCH($F1517,임대자산!$I$3:$I$3000,0),MATCH(I$4,임대자산!$D$3:$R$3,0)),
IF($D1517="폐업",INDEX(폐업정보!$D$3:$R$3000,MATCH($F1517,폐업정보!$I$3:$I$3000,0),MATCH(I$4,폐업정보!$D$3:$R$3,0)),
"Error"))</f>
        <v>A1512</v>
      </c>
      <c r="J1517" s="75" t="str">
        <f aca="false">
IF($D1517="정상",INDEX(임대자산!$D$3:$R$3000,MATCH($F1517,임대자산!$I$3:$I$3000,0),MATCH(J$4,임대자산!$D$3:$R$3,0)),
IF($D1517="폐업",INDEX(폐업정보!$D$3:$R$3000,MATCH($F1517,폐업정보!$I$3:$I$3000,0),MATCH(J$4,폐업정보!$D$3:$R$3,0)),
"Error"))</f>
        <v>4121400000</v>
      </c>
      <c r="K1517" s="75" t="str">
        <f aca="false">
IF($D1517="정상",INDEX(임대자산!$D$3:$R$3000,MATCH($F1517,임대자산!$I$3:$I$3000,0),MATCH(K$4,임대자산!$D$3:$R$3,0)),
IF($D1517="폐업",INDEX(폐업정보!$D$3:$R$3000,MATCH($F1517,폐업정보!$I$3:$I$3000,0),MATCH(K$4,폐업정보!$D$3:$R$3,0)),
"Error"))</f>
        <v>C1512</v>
      </c>
      <c r="L1517" s="75" t="str">
        <f aca="false">
IF($D1517="정상",INDEX(임대자산!$D$3:$R$3000,MATCH($F1517,임대자산!$I$3:$I$3000,0),MATCH(L$4,임대자산!$D$3:$R$3,0)),
IF($D1517="폐업",INDEX(폐업정보!$D$3:$R$3000,MATCH($F1517,폐업정보!$I$3:$I$3000,0),MATCH(L$4,폐업정보!$D$3:$R$3,0)),
"Error"))</f>
        <v>D1512</v>
      </c>
      <c r="M1517" s="76" t="s">
        <v>96</v>
      </c>
      <c r="N1517" s="77"/>
      <c r="O1517" s="78" t="s">
        <v>97</v>
      </c>
      <c r="P1517" s="79" t="n">
        <f aca="false">COUNTIFS(임대자산!$I:$I,가맹점정보!F1517,임대자산!$N:$N,가맹점정보!P$4)</f>
        <v>0</v>
      </c>
      <c r="Q1517" s="80" t="n">
        <f aca="false">COUNTIFS(임대자산!$I:$I,가맹점정보!F1517,임대자산!$N:$N,가맹점정보!Q$4)</f>
        <v>0</v>
      </c>
      <c r="R1517" s="81" t="n">
        <f aca="false">COUNTIFS(임대자산!$I:$I,가맹점정보!F1517,임대자산!$N:$N,가맹점정보!R$4)</f>
        <v>1</v>
      </c>
      <c r="S1517" s="82" t="n">
        <v>88000</v>
      </c>
      <c r="T1517" s="83" t="n">
        <v>0</v>
      </c>
      <c r="U1517" s="80" t="n">
        <f aca="false">SUM(S1517:T1517)</f>
        <v>88000</v>
      </c>
      <c r="V1517" s="84" t="s">
        <v>7</v>
      </c>
      <c r="W1517" s="80" t="str">
        <f aca="true">
IF(D1517="폐업","폐업",
IF(V1517="면제","면제",
IF(AND(V1517="정상",COUNTIFS(OFFSET(Y1517,0,COUNTA(Y1517:AV1517)-1,1,-4),"미납")&gt;=3),"장기미납",
IF(AND(V1517="정상",OFFSET(Y1517,0,COUNTA(Y1517:AV1517)-1)&gt;=U1517),"정상",
IF(AND(V1517="정상",OFFSET(Y1517,0,COUNTA(Y1517:AV1517)-1)=0),"정상",
"계약서 미작성")))))</f>
        <v>면제</v>
      </c>
      <c r="X1517" s="81" t="str">
        <f aca="true">
IF(D1517="폐업","폐업",
IF(AND(V1517="정상",OFFSET(Y1517,0,COUNTA(Y1517:AV1517)-1)="미납"),"미납",
IF(AND(V1517="정상",OFFSET(Y1517,0,COUNTA(Y1517:AV1517)-1)=0),"납부 시작 전",
IF(AND(V1517="정상",OFFSET(Y1517,0,COUNTA(Y1517:AV1517)-1)&gt;=U1517),"정상",
IF(AND(V1517="면제",OFFSET(Y1517,0,COUNTA(Y1517:AV1517)-1)="면제"),"면제",
IF(AND(V1517="면제",OFFSET(Y1517,0,COUNTA(Y1517:AV1517)-1)=0),"면제",
"확인요청"))))))</f>
        <v>면제</v>
      </c>
      <c r="Y1517" s="94" t="s">
        <v>7</v>
      </c>
      <c r="Z1517" s="95" t="s">
        <v>7</v>
      </c>
      <c r="AA1517" s="95" t="s">
        <v>7</v>
      </c>
      <c r="AB1517" s="95" t="s">
        <v>7</v>
      </c>
      <c r="AC1517" s="95" t="s">
        <v>7</v>
      </c>
      <c r="AD1517" s="95" t="s">
        <v>7</v>
      </c>
      <c r="AE1517" s="95" t="s">
        <v>7</v>
      </c>
      <c r="AF1517" s="95" t="s">
        <v>7</v>
      </c>
      <c r="AG1517" s="95" t="s">
        <v>7</v>
      </c>
      <c r="AH1517" s="95" t="s">
        <v>7</v>
      </c>
      <c r="AI1517" s="95" t="s">
        <v>7</v>
      </c>
      <c r="AJ1517" s="96" t="s">
        <v>7</v>
      </c>
      <c r="AK1517" s="97" t="s">
        <v>7</v>
      </c>
      <c r="AL1517" s="95" t="s">
        <v>7</v>
      </c>
      <c r="AM1517" s="90"/>
      <c r="AN1517" s="90"/>
      <c r="AO1517" s="90"/>
      <c r="AP1517" s="90"/>
      <c r="AQ1517" s="90"/>
      <c r="AR1517" s="90"/>
      <c r="AS1517" s="90"/>
      <c r="AT1517" s="90"/>
      <c r="AU1517" s="90"/>
      <c r="AV1517" s="91"/>
      <c r="AX1517" s="92"/>
    </row>
    <row r="1518" customFormat="false" ht="15.65" hidden="false" customHeight="false" outlineLevel="0" collapsed="false">
      <c r="C1518" s="72" t="n">
        <f aca="false">COUNTIFS($D$6:D1518,"&lt;&gt;"&amp;"")</f>
        <v>1513</v>
      </c>
      <c r="D1518" s="73" t="s">
        <v>12</v>
      </c>
      <c r="E1518" s="76" t="str">
        <f aca="false">
IF($D1518="정상",INDEX(임대자산!$D$3:$R$3000,MATCH($F1518,임대자산!$I$3:$I$3000,0),MATCH(E$3,임대자산!$D$3:$R$3,0)),
IF($D1518="폐업",INDEX(폐업정보!$D$3:$R$3000,MATCH($F1518,폐업정보!$I$3:$I$3000,0),MATCH(E$3,폐업정보!$D$3:$R$3,0)),
"Error"))</f>
        <v>서울</v>
      </c>
      <c r="F151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B1513</v>
      </c>
      <c r="G1518" s="76" t="str">
        <f aca="false">F1518&amp;RANDBETWEEN(0,10)</f>
        <v>B15135</v>
      </c>
      <c r="H1518" s="75" t="n">
        <f aca="false">
IF($D1518="정상",INDEX(임대자산!$D$3:$R$3000,MATCH($F1518,임대자산!$I$3:$I$3000,0),MATCH(H$4,임대자산!$D$3:$R$3,0)),
IF($D1518="폐업",INDEX(폐업정보!$D$3:$R$3000,MATCH($F1518,폐업정보!$I$3:$I$3000,0),MATCH(H$4,폐업정보!$D$3:$R$3,0)),
"Error"))</f>
        <v>45511</v>
      </c>
      <c r="I1518" s="75" t="str">
        <f aca="false">
IF($D1518="정상",INDEX(임대자산!$D$3:$R$3000,MATCH($F1518,임대자산!$I$3:$I$3000,0),MATCH(I$4,임대자산!$D$3:$R$3,0)),
IF($D1518="폐업",INDEX(폐업정보!$D$3:$R$3000,MATCH($F1518,폐업정보!$I$3:$I$3000,0),MATCH(I$4,폐업정보!$D$3:$R$3,0)),
"Error"))</f>
        <v>A1513</v>
      </c>
      <c r="J1518" s="75" t="str">
        <f aca="false">
IF($D1518="정상",INDEX(임대자산!$D$3:$R$3000,MATCH($F1518,임대자산!$I$3:$I$3000,0),MATCH(J$4,임대자산!$D$3:$R$3,0)),
IF($D1518="폐업",INDEX(폐업정보!$D$3:$R$3000,MATCH($F1518,폐업정보!$I$3:$I$3000,0),MATCH(J$4,폐업정보!$D$3:$R$3,0)),
"Error"))</f>
        <v>8820300000</v>
      </c>
      <c r="K1518" s="75" t="str">
        <f aca="false">
IF($D1518="정상",INDEX(임대자산!$D$3:$R$3000,MATCH($F1518,임대자산!$I$3:$I$3000,0),MATCH(K$4,임대자산!$D$3:$R$3,0)),
IF($D1518="폐업",INDEX(폐업정보!$D$3:$R$3000,MATCH($F1518,폐업정보!$I$3:$I$3000,0),MATCH(K$4,폐업정보!$D$3:$R$3,0)),
"Error"))</f>
        <v>C1513</v>
      </c>
      <c r="L1518" s="75" t="str">
        <f aca="false">
IF($D1518="정상",INDEX(임대자산!$D$3:$R$3000,MATCH($F1518,임대자산!$I$3:$I$3000,0),MATCH(L$4,임대자산!$D$3:$R$3,0)),
IF($D1518="폐업",INDEX(폐업정보!$D$3:$R$3000,MATCH($F1518,폐업정보!$I$3:$I$3000,0),MATCH(L$4,폐업정보!$D$3:$R$3,0)),
"Error"))</f>
        <v>D1513</v>
      </c>
      <c r="M1518" s="76" t="s">
        <v>96</v>
      </c>
      <c r="N1518" s="77"/>
      <c r="O1518" s="78" t="s">
        <v>97</v>
      </c>
      <c r="P1518" s="79" t="n">
        <f aca="false">COUNTIFS(임대자산!$I:$I,가맹점정보!F1518,임대자산!$N:$N,가맹점정보!P$4)</f>
        <v>0</v>
      </c>
      <c r="Q1518" s="80" t="n">
        <f aca="false">COUNTIFS(임대자산!$I:$I,가맹점정보!F1518,임대자산!$N:$N,가맹점정보!Q$4)</f>
        <v>0</v>
      </c>
      <c r="R1518" s="81" t="n">
        <f aca="false">COUNTIFS(임대자산!$I:$I,가맹점정보!F1518,임대자산!$N:$N,가맹점정보!R$4)</f>
        <v>1</v>
      </c>
      <c r="S1518" s="82" t="n">
        <v>55000</v>
      </c>
      <c r="T1518" s="83" t="n">
        <v>0</v>
      </c>
      <c r="U1518" s="80" t="n">
        <f aca="false">SUM(S1518:T1518)</f>
        <v>55000</v>
      </c>
      <c r="V1518" s="84" t="s">
        <v>7</v>
      </c>
      <c r="W1518" s="80" t="str">
        <f aca="true">
IF(D1518="폐업","폐업",
IF(V1518="면제","면제",
IF(AND(V1518="정상",COUNTIFS(OFFSET(Y1518,0,COUNTA(Y1518:AV1518)-1,1,-4),"미납")&gt;=3),"장기미납",
IF(AND(V1518="정상",OFFSET(Y1518,0,COUNTA(Y1518:AV1518)-1)&gt;=U1518),"정상",
IF(AND(V1518="정상",OFFSET(Y1518,0,COUNTA(Y1518:AV1518)-1)=0),"정상",
"계약서 미작성")))))</f>
        <v>면제</v>
      </c>
      <c r="X1518" s="81" t="str">
        <f aca="true">
IF(D1518="폐업","폐업",
IF(AND(V1518="정상",OFFSET(Y1518,0,COUNTA(Y1518:AV1518)-1)="미납"),"미납",
IF(AND(V1518="정상",OFFSET(Y1518,0,COUNTA(Y1518:AV1518)-1)=0),"납부 시작 전",
IF(AND(V1518="정상",OFFSET(Y1518,0,COUNTA(Y1518:AV1518)-1)&gt;=U1518),"정상",
IF(AND(V1518="면제",OFFSET(Y1518,0,COUNTA(Y1518:AV1518)-1)="면제"),"면제",
IF(AND(V1518="면제",OFFSET(Y1518,0,COUNTA(Y1518:AV1518)-1)=0),"면제",
"확인요청"))))))</f>
        <v>면제</v>
      </c>
      <c r="Y1518" s="94" t="s">
        <v>7</v>
      </c>
      <c r="Z1518" s="95" t="s">
        <v>7</v>
      </c>
      <c r="AA1518" s="95" t="s">
        <v>7</v>
      </c>
      <c r="AB1518" s="95" t="s">
        <v>7</v>
      </c>
      <c r="AC1518" s="95" t="s">
        <v>7</v>
      </c>
      <c r="AD1518" s="95" t="s">
        <v>7</v>
      </c>
      <c r="AE1518" s="95" t="s">
        <v>7</v>
      </c>
      <c r="AF1518" s="95" t="s">
        <v>7</v>
      </c>
      <c r="AG1518" s="95" t="s">
        <v>7</v>
      </c>
      <c r="AH1518" s="95" t="s">
        <v>7</v>
      </c>
      <c r="AI1518" s="95" t="s">
        <v>7</v>
      </c>
      <c r="AJ1518" s="96" t="s">
        <v>7</v>
      </c>
      <c r="AK1518" s="97" t="s">
        <v>7</v>
      </c>
      <c r="AL1518" s="95" t="s">
        <v>7</v>
      </c>
      <c r="AM1518" s="90"/>
      <c r="AN1518" s="90"/>
      <c r="AO1518" s="90"/>
      <c r="AP1518" s="90"/>
      <c r="AQ1518" s="90"/>
      <c r="AR1518" s="90"/>
      <c r="AS1518" s="90"/>
      <c r="AT1518" s="90"/>
      <c r="AU1518" s="90"/>
      <c r="AV1518" s="91"/>
      <c r="AX1518" s="92"/>
    </row>
    <row r="1519" customFormat="false" ht="15.65" hidden="false" customHeight="false" outlineLevel="0" collapsed="false">
      <c r="C1519" s="72" t="n">
        <f aca="false">COUNTIFS($D$6:D1519,"&lt;&gt;"&amp;"")</f>
        <v>1514</v>
      </c>
      <c r="D1519" s="73" t="s">
        <v>12</v>
      </c>
      <c r="E1519" s="76" t="str">
        <f aca="false">
IF($D1519="정상",INDEX(임대자산!$D$3:$R$3000,MATCH($F1519,임대자산!$I$3:$I$3000,0),MATCH(E$3,임대자산!$D$3:$R$3,0)),
IF($D1519="폐업",INDEX(폐업정보!$D$3:$R$3000,MATCH($F1519,폐업정보!$I$3:$I$3000,0),MATCH(E$3,폐업정보!$D$3:$R$3,0)),
"Error"))</f>
        <v>강원</v>
      </c>
      <c r="F151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B1514</v>
      </c>
      <c r="G1519" s="76" t="str">
        <f aca="false">F1519&amp;RANDBETWEEN(0,10)</f>
        <v>B15149</v>
      </c>
      <c r="H1519" s="75" t="n">
        <f aca="false">
IF($D1519="정상",INDEX(임대자산!$D$3:$R$3000,MATCH($F1519,임대자산!$I$3:$I$3000,0),MATCH(H$4,임대자산!$D$3:$R$3,0)),
IF($D1519="폐업",INDEX(폐업정보!$D$3:$R$3000,MATCH($F1519,폐업정보!$I$3:$I$3000,0),MATCH(H$4,폐업정보!$D$3:$R$3,0)),
"Error"))</f>
        <v>45512</v>
      </c>
      <c r="I1519" s="75" t="str">
        <f aca="false">
IF($D1519="정상",INDEX(임대자산!$D$3:$R$3000,MATCH($F1519,임대자산!$I$3:$I$3000,0),MATCH(I$4,임대자산!$D$3:$R$3,0)),
IF($D1519="폐업",INDEX(폐업정보!$D$3:$R$3000,MATCH($F1519,폐업정보!$I$3:$I$3000,0),MATCH(I$4,폐업정보!$D$3:$R$3,0)),
"Error"))</f>
        <v>A1514</v>
      </c>
      <c r="J1519" s="75" t="str">
        <f aca="false">
IF($D1519="정상",INDEX(임대자산!$D$3:$R$3000,MATCH($F1519,임대자산!$I$3:$I$3000,0),MATCH(J$4,임대자산!$D$3:$R$3,0)),
IF($D1519="폐업",INDEX(폐업정보!$D$3:$R$3000,MATCH($F1519,폐업정보!$I$3:$I$3000,0),MATCH(J$4,폐업정보!$D$3:$R$3,0)),
"Error"))</f>
        <v>7655700000</v>
      </c>
      <c r="K1519" s="75" t="str">
        <f aca="false">
IF($D1519="정상",INDEX(임대자산!$D$3:$R$3000,MATCH($F1519,임대자산!$I$3:$I$3000,0),MATCH(K$4,임대자산!$D$3:$R$3,0)),
IF($D1519="폐업",INDEX(폐업정보!$D$3:$R$3000,MATCH($F1519,폐업정보!$I$3:$I$3000,0),MATCH(K$4,폐업정보!$D$3:$R$3,0)),
"Error"))</f>
        <v>C1514</v>
      </c>
      <c r="L1519" s="75" t="str">
        <f aca="false">
IF($D1519="정상",INDEX(임대자산!$D$3:$R$3000,MATCH($F1519,임대자산!$I$3:$I$3000,0),MATCH(L$4,임대자산!$D$3:$R$3,0)),
IF($D1519="폐업",INDEX(폐업정보!$D$3:$R$3000,MATCH($F1519,폐업정보!$I$3:$I$3000,0),MATCH(L$4,폐업정보!$D$3:$R$3,0)),
"Error"))</f>
        <v>D1514</v>
      </c>
      <c r="M1519" s="76" t="s">
        <v>96</v>
      </c>
      <c r="N1519" s="77"/>
      <c r="O1519" s="78" t="s">
        <v>97</v>
      </c>
      <c r="P1519" s="79" t="n">
        <f aca="false">COUNTIFS(임대자산!$I:$I,가맹점정보!F1519,임대자산!$N:$N,가맹점정보!P$4)</f>
        <v>0</v>
      </c>
      <c r="Q1519" s="80" t="n">
        <f aca="false">COUNTIFS(임대자산!$I:$I,가맹점정보!F1519,임대자산!$N:$N,가맹점정보!Q$4)</f>
        <v>0</v>
      </c>
      <c r="R1519" s="81" t="n">
        <f aca="false">COUNTIFS(임대자산!$I:$I,가맹점정보!F1519,임대자산!$N:$N,가맹점정보!R$4)</f>
        <v>1</v>
      </c>
      <c r="S1519" s="82" t="n">
        <v>88000</v>
      </c>
      <c r="T1519" s="83" t="n">
        <v>0</v>
      </c>
      <c r="U1519" s="80" t="n">
        <f aca="false">SUM(S1519:T1519)</f>
        <v>88000</v>
      </c>
      <c r="V1519" s="84" t="s">
        <v>7</v>
      </c>
      <c r="W1519" s="80" t="str">
        <f aca="true">
IF(D1519="폐업","폐업",
IF(V1519="면제","면제",
IF(AND(V1519="정상",COUNTIFS(OFFSET(Y1519,0,COUNTA(Y1519:AV1519)-1,1,-4),"미납")&gt;=3),"장기미납",
IF(AND(V1519="정상",OFFSET(Y1519,0,COUNTA(Y1519:AV1519)-1)&gt;=U1519),"정상",
IF(AND(V1519="정상",OFFSET(Y1519,0,COUNTA(Y1519:AV1519)-1)=0),"정상",
"계약서 미작성")))))</f>
        <v>면제</v>
      </c>
      <c r="X1519" s="81" t="str">
        <f aca="true">
IF(D1519="폐업","폐업",
IF(AND(V1519="정상",OFFSET(Y1519,0,COUNTA(Y1519:AV1519)-1)="미납"),"미납",
IF(AND(V1519="정상",OFFSET(Y1519,0,COUNTA(Y1519:AV1519)-1)=0),"납부 시작 전",
IF(AND(V1519="정상",OFFSET(Y1519,0,COUNTA(Y1519:AV1519)-1)&gt;=U1519),"정상",
IF(AND(V1519="면제",OFFSET(Y1519,0,COUNTA(Y1519:AV1519)-1)="면제"),"면제",
IF(AND(V1519="면제",OFFSET(Y1519,0,COUNTA(Y1519:AV1519)-1)=0),"면제",
"확인요청"))))))</f>
        <v>면제</v>
      </c>
      <c r="Y1519" s="94" t="s">
        <v>7</v>
      </c>
      <c r="Z1519" s="95" t="s">
        <v>7</v>
      </c>
      <c r="AA1519" s="95" t="s">
        <v>7</v>
      </c>
      <c r="AB1519" s="95" t="s">
        <v>7</v>
      </c>
      <c r="AC1519" s="95" t="s">
        <v>7</v>
      </c>
      <c r="AD1519" s="95" t="s">
        <v>7</v>
      </c>
      <c r="AE1519" s="95" t="s">
        <v>7</v>
      </c>
      <c r="AF1519" s="95" t="s">
        <v>7</v>
      </c>
      <c r="AG1519" s="95" t="s">
        <v>7</v>
      </c>
      <c r="AH1519" s="95" t="s">
        <v>7</v>
      </c>
      <c r="AI1519" s="95" t="s">
        <v>7</v>
      </c>
      <c r="AJ1519" s="96" t="s">
        <v>7</v>
      </c>
      <c r="AK1519" s="97" t="s">
        <v>7</v>
      </c>
      <c r="AL1519" s="95" t="s">
        <v>7</v>
      </c>
      <c r="AM1519" s="90"/>
      <c r="AN1519" s="90"/>
      <c r="AO1519" s="90"/>
      <c r="AP1519" s="90"/>
      <c r="AQ1519" s="90"/>
      <c r="AR1519" s="90"/>
      <c r="AS1519" s="90"/>
      <c r="AT1519" s="90"/>
      <c r="AU1519" s="90"/>
      <c r="AV1519" s="91"/>
      <c r="AX1519" s="92"/>
    </row>
    <row r="1520" customFormat="false" ht="15.65" hidden="false" customHeight="false" outlineLevel="0" collapsed="false">
      <c r="C1520" s="72" t="n">
        <f aca="false">COUNTIFS($D$6:D1520,"&lt;&gt;"&amp;"")</f>
        <v>1515</v>
      </c>
      <c r="D1520" s="73" t="s">
        <v>12</v>
      </c>
      <c r="E1520" s="76" t="str">
        <f aca="false">
IF($D1520="정상",INDEX(임대자산!$D$3:$R$3000,MATCH($F1520,임대자산!$I$3:$I$3000,0),MATCH(E$3,임대자산!$D$3:$R$3,0)),
IF($D1520="폐업",INDEX(폐업정보!$D$3:$R$3000,MATCH($F1520,폐업정보!$I$3:$I$3000,0),MATCH(E$3,폐업정보!$D$3:$R$3,0)),
"Error"))</f>
        <v>경상</v>
      </c>
      <c r="F152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B1515</v>
      </c>
      <c r="G1520" s="76" t="str">
        <f aca="false">F1520&amp;RANDBETWEEN(0,10)</f>
        <v>B15150</v>
      </c>
      <c r="H1520" s="75" t="n">
        <f aca="false">
IF($D1520="정상",INDEX(임대자산!$D$3:$R$3000,MATCH($F1520,임대자산!$I$3:$I$3000,0),MATCH(H$4,임대자산!$D$3:$R$3,0)),
IF($D1520="폐업",INDEX(폐업정보!$D$3:$R$3000,MATCH($F1520,폐업정보!$I$3:$I$3000,0),MATCH(H$4,폐업정보!$D$3:$R$3,0)),
"Error"))</f>
        <v>45524</v>
      </c>
      <c r="I1520" s="75" t="str">
        <f aca="false">
IF($D1520="정상",INDEX(임대자산!$D$3:$R$3000,MATCH($F1520,임대자산!$I$3:$I$3000,0),MATCH(I$4,임대자산!$D$3:$R$3,0)),
IF($D1520="폐업",INDEX(폐업정보!$D$3:$R$3000,MATCH($F1520,폐업정보!$I$3:$I$3000,0),MATCH(I$4,폐업정보!$D$3:$R$3,0)),
"Error"))</f>
        <v>A1515</v>
      </c>
      <c r="J1520" s="75" t="str">
        <f aca="false">
IF($D1520="정상",INDEX(임대자산!$D$3:$R$3000,MATCH($F1520,임대자산!$I$3:$I$3000,0),MATCH(J$4,임대자산!$D$3:$R$3,0)),
IF($D1520="폐업",INDEX(폐업정보!$D$3:$R$3000,MATCH($F1520,폐업정보!$I$3:$I$3000,0),MATCH(J$4,폐업정보!$D$3:$R$3,0)),
"Error"))</f>
        <v>7037300000</v>
      </c>
      <c r="K1520" s="75" t="str">
        <f aca="false">
IF($D1520="정상",INDEX(임대자산!$D$3:$R$3000,MATCH($F1520,임대자산!$I$3:$I$3000,0),MATCH(K$4,임대자산!$D$3:$R$3,0)),
IF($D1520="폐업",INDEX(폐업정보!$D$3:$R$3000,MATCH($F1520,폐업정보!$I$3:$I$3000,0),MATCH(K$4,폐업정보!$D$3:$R$3,0)),
"Error"))</f>
        <v>C1515</v>
      </c>
      <c r="L1520" s="75" t="str">
        <f aca="false">
IF($D1520="정상",INDEX(임대자산!$D$3:$R$3000,MATCH($F1520,임대자산!$I$3:$I$3000,0),MATCH(L$4,임대자산!$D$3:$R$3,0)),
IF($D1520="폐업",INDEX(폐업정보!$D$3:$R$3000,MATCH($F1520,폐업정보!$I$3:$I$3000,0),MATCH(L$4,폐업정보!$D$3:$R$3,0)),
"Error"))</f>
        <v>D1515</v>
      </c>
      <c r="M1520" s="76" t="s">
        <v>96</v>
      </c>
      <c r="N1520" s="77"/>
      <c r="O1520" s="78" t="s">
        <v>97</v>
      </c>
      <c r="P1520" s="79" t="n">
        <f aca="false">COUNTIFS(임대자산!$I:$I,가맹점정보!F1520,임대자산!$N:$N,가맹점정보!P$4)</f>
        <v>0</v>
      </c>
      <c r="Q1520" s="80" t="n">
        <f aca="false">COUNTIFS(임대자산!$I:$I,가맹점정보!F1520,임대자산!$N:$N,가맹점정보!Q$4)</f>
        <v>0</v>
      </c>
      <c r="R1520" s="81" t="n">
        <f aca="false">COUNTIFS(임대자산!$I:$I,가맹점정보!F1520,임대자산!$N:$N,가맹점정보!R$4)</f>
        <v>1</v>
      </c>
      <c r="S1520" s="82" t="n">
        <v>88000</v>
      </c>
      <c r="T1520" s="83" t="n">
        <v>0</v>
      </c>
      <c r="U1520" s="80" t="n">
        <f aca="false">SUM(S1520:T1520)</f>
        <v>88000</v>
      </c>
      <c r="V1520" s="84" t="s">
        <v>7</v>
      </c>
      <c r="W1520" s="80" t="str">
        <f aca="true">
IF(D1520="폐업","폐업",
IF(V1520="면제","면제",
IF(AND(V1520="정상",COUNTIFS(OFFSET(Y1520,0,COUNTA(Y1520:AV1520)-1,1,-4),"미납")&gt;=3),"장기미납",
IF(AND(V1520="정상",OFFSET(Y1520,0,COUNTA(Y1520:AV1520)-1)&gt;=U1520),"정상",
IF(AND(V1520="정상",OFFSET(Y1520,0,COUNTA(Y1520:AV1520)-1)=0),"정상",
"계약서 미작성")))))</f>
        <v>면제</v>
      </c>
      <c r="X1520" s="81" t="str">
        <f aca="true">
IF(D1520="폐업","폐업",
IF(AND(V1520="정상",OFFSET(Y1520,0,COUNTA(Y1520:AV1520)-1)="미납"),"미납",
IF(AND(V1520="정상",OFFSET(Y1520,0,COUNTA(Y1520:AV1520)-1)=0),"납부 시작 전",
IF(AND(V1520="정상",OFFSET(Y1520,0,COUNTA(Y1520:AV1520)-1)&gt;=U1520),"정상",
IF(AND(V1520="면제",OFFSET(Y1520,0,COUNTA(Y1520:AV1520)-1)="면제"),"면제",
IF(AND(V1520="면제",OFFSET(Y1520,0,COUNTA(Y1520:AV1520)-1)=0),"면제",
"확인요청"))))))</f>
        <v>면제</v>
      </c>
      <c r="Y1520" s="94" t="s">
        <v>7</v>
      </c>
      <c r="Z1520" s="95" t="s">
        <v>7</v>
      </c>
      <c r="AA1520" s="95" t="s">
        <v>7</v>
      </c>
      <c r="AB1520" s="95" t="s">
        <v>7</v>
      </c>
      <c r="AC1520" s="95" t="s">
        <v>7</v>
      </c>
      <c r="AD1520" s="95" t="s">
        <v>7</v>
      </c>
      <c r="AE1520" s="95" t="s">
        <v>7</v>
      </c>
      <c r="AF1520" s="95" t="s">
        <v>7</v>
      </c>
      <c r="AG1520" s="95" t="s">
        <v>7</v>
      </c>
      <c r="AH1520" s="95" t="s">
        <v>7</v>
      </c>
      <c r="AI1520" s="95" t="s">
        <v>7</v>
      </c>
      <c r="AJ1520" s="96" t="s">
        <v>7</v>
      </c>
      <c r="AK1520" s="97" t="s">
        <v>7</v>
      </c>
      <c r="AL1520" s="95" t="s">
        <v>7</v>
      </c>
      <c r="AM1520" s="90"/>
      <c r="AN1520" s="90"/>
      <c r="AO1520" s="90"/>
      <c r="AP1520" s="90"/>
      <c r="AQ1520" s="90"/>
      <c r="AR1520" s="90"/>
      <c r="AS1520" s="90"/>
      <c r="AT1520" s="90"/>
      <c r="AU1520" s="90"/>
      <c r="AV1520" s="91"/>
      <c r="AX1520" s="92"/>
    </row>
    <row r="1521" customFormat="false" ht="15.65" hidden="false" customHeight="false" outlineLevel="0" collapsed="false">
      <c r="C1521" s="72" t="n">
        <f aca="false">COUNTIFS($D$6:D1521,"&lt;&gt;"&amp;"")</f>
        <v>1516</v>
      </c>
      <c r="D1521" s="73" t="s">
        <v>12</v>
      </c>
      <c r="E1521" s="76" t="str">
        <f aca="false">
IF($D1521="정상",INDEX(임대자산!$D$3:$R$3000,MATCH($F1521,임대자산!$I$3:$I$3000,0),MATCH(E$3,임대자산!$D$3:$R$3,0)),
IF($D1521="폐업",INDEX(폐업정보!$D$3:$R$3000,MATCH($F1521,폐업정보!$I$3:$I$3000,0),MATCH(E$3,폐업정보!$D$3:$R$3,0)),
"Error"))</f>
        <v>경상</v>
      </c>
      <c r="F152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B1516</v>
      </c>
      <c r="G1521" s="76" t="str">
        <f aca="false">F1521&amp;RANDBETWEEN(0,10)</f>
        <v>B15165</v>
      </c>
      <c r="H1521" s="75" t="n">
        <f aca="false">
IF($D1521="정상",INDEX(임대자산!$D$3:$R$3000,MATCH($F1521,임대자산!$I$3:$I$3000,0),MATCH(H$4,임대자산!$D$3:$R$3,0)),
IF($D1521="폐업",INDEX(폐업정보!$D$3:$R$3000,MATCH($F1521,폐업정보!$I$3:$I$3000,0),MATCH(H$4,폐업정보!$D$3:$R$3,0)),
"Error"))</f>
        <v>45524</v>
      </c>
      <c r="I1521" s="75" t="str">
        <f aca="false">
IF($D1521="정상",INDEX(임대자산!$D$3:$R$3000,MATCH($F1521,임대자산!$I$3:$I$3000,0),MATCH(I$4,임대자산!$D$3:$R$3,0)),
IF($D1521="폐업",INDEX(폐업정보!$D$3:$R$3000,MATCH($F1521,폐업정보!$I$3:$I$3000,0),MATCH(I$4,폐업정보!$D$3:$R$3,0)),
"Error"))</f>
        <v>A1516</v>
      </c>
      <c r="J1521" s="75" t="str">
        <f aca="false">
IF($D1521="정상",INDEX(임대자산!$D$3:$R$3000,MATCH($F1521,임대자산!$I$3:$I$3000,0),MATCH(J$4,임대자산!$D$3:$R$3,0)),
IF($D1521="폐업",INDEX(폐업정보!$D$3:$R$3000,MATCH($F1521,폐업정보!$I$3:$I$3000,0),MATCH(J$4,폐업정보!$D$3:$R$3,0)),
"Error"))</f>
        <v>7850200000</v>
      </c>
      <c r="K1521" s="75" t="str">
        <f aca="false">
IF($D1521="정상",INDEX(임대자산!$D$3:$R$3000,MATCH($F1521,임대자산!$I$3:$I$3000,0),MATCH(K$4,임대자산!$D$3:$R$3,0)),
IF($D1521="폐업",INDEX(폐업정보!$D$3:$R$3000,MATCH($F1521,폐업정보!$I$3:$I$3000,0),MATCH(K$4,폐업정보!$D$3:$R$3,0)),
"Error"))</f>
        <v>C1516</v>
      </c>
      <c r="L1521" s="75" t="str">
        <f aca="false">
IF($D1521="정상",INDEX(임대자산!$D$3:$R$3000,MATCH($F1521,임대자산!$I$3:$I$3000,0),MATCH(L$4,임대자산!$D$3:$R$3,0)),
IF($D1521="폐업",INDEX(폐업정보!$D$3:$R$3000,MATCH($F1521,폐업정보!$I$3:$I$3000,0),MATCH(L$4,폐업정보!$D$3:$R$3,0)),
"Error"))</f>
        <v>D1516</v>
      </c>
      <c r="M1521" s="76" t="s">
        <v>96</v>
      </c>
      <c r="N1521" s="77"/>
      <c r="O1521" s="78" t="s">
        <v>97</v>
      </c>
      <c r="P1521" s="79" t="n">
        <f aca="false">COUNTIFS(임대자산!$I:$I,가맹점정보!F1521,임대자산!$N:$N,가맹점정보!P$4)</f>
        <v>0</v>
      </c>
      <c r="Q1521" s="80" t="n">
        <f aca="false">COUNTIFS(임대자산!$I:$I,가맹점정보!F1521,임대자산!$N:$N,가맹점정보!Q$4)</f>
        <v>0</v>
      </c>
      <c r="R1521" s="81" t="n">
        <f aca="false">COUNTIFS(임대자산!$I:$I,가맹점정보!F1521,임대자산!$N:$N,가맹점정보!R$4)</f>
        <v>1</v>
      </c>
      <c r="S1521" s="82" t="n">
        <v>88000</v>
      </c>
      <c r="T1521" s="83" t="n">
        <v>0</v>
      </c>
      <c r="U1521" s="80" t="n">
        <f aca="false">SUM(S1521:T1521)</f>
        <v>88000</v>
      </c>
      <c r="V1521" s="84" t="s">
        <v>7</v>
      </c>
      <c r="W1521" s="80" t="str">
        <f aca="true">
IF(D1521="폐업","폐업",
IF(V1521="면제","면제",
IF(AND(V1521="정상",COUNTIFS(OFFSET(Y1521,0,COUNTA(Y1521:AV1521)-1,1,-4),"미납")&gt;=3),"장기미납",
IF(AND(V1521="정상",OFFSET(Y1521,0,COUNTA(Y1521:AV1521)-1)&gt;=U1521),"정상",
IF(AND(V1521="정상",OFFSET(Y1521,0,COUNTA(Y1521:AV1521)-1)=0),"정상",
"계약서 미작성")))))</f>
        <v>면제</v>
      </c>
      <c r="X1521" s="81" t="str">
        <f aca="true">
IF(D1521="폐업","폐업",
IF(AND(V1521="정상",OFFSET(Y1521,0,COUNTA(Y1521:AV1521)-1)="미납"),"미납",
IF(AND(V1521="정상",OFFSET(Y1521,0,COUNTA(Y1521:AV1521)-1)=0),"납부 시작 전",
IF(AND(V1521="정상",OFFSET(Y1521,0,COUNTA(Y1521:AV1521)-1)&gt;=U1521),"정상",
IF(AND(V1521="면제",OFFSET(Y1521,0,COUNTA(Y1521:AV1521)-1)="면제"),"면제",
IF(AND(V1521="면제",OFFSET(Y1521,0,COUNTA(Y1521:AV1521)-1)=0),"면제",
"확인요청"))))))</f>
        <v>면제</v>
      </c>
      <c r="Y1521" s="94" t="s">
        <v>7</v>
      </c>
      <c r="Z1521" s="95" t="s">
        <v>7</v>
      </c>
      <c r="AA1521" s="95" t="s">
        <v>7</v>
      </c>
      <c r="AB1521" s="95" t="s">
        <v>7</v>
      </c>
      <c r="AC1521" s="95" t="s">
        <v>7</v>
      </c>
      <c r="AD1521" s="95" t="s">
        <v>7</v>
      </c>
      <c r="AE1521" s="95" t="s">
        <v>7</v>
      </c>
      <c r="AF1521" s="95" t="s">
        <v>7</v>
      </c>
      <c r="AG1521" s="95" t="s">
        <v>7</v>
      </c>
      <c r="AH1521" s="95" t="s">
        <v>7</v>
      </c>
      <c r="AI1521" s="95" t="s">
        <v>7</v>
      </c>
      <c r="AJ1521" s="96" t="s">
        <v>7</v>
      </c>
      <c r="AK1521" s="97" t="s">
        <v>7</v>
      </c>
      <c r="AL1521" s="95" t="s">
        <v>7</v>
      </c>
      <c r="AM1521" s="90"/>
      <c r="AN1521" s="90"/>
      <c r="AO1521" s="90"/>
      <c r="AP1521" s="90"/>
      <c r="AQ1521" s="90"/>
      <c r="AR1521" s="90"/>
      <c r="AS1521" s="90"/>
      <c r="AT1521" s="90"/>
      <c r="AU1521" s="90"/>
      <c r="AV1521" s="91"/>
      <c r="AX1521" s="92"/>
    </row>
    <row r="1522" customFormat="false" ht="15.65" hidden="false" customHeight="false" outlineLevel="0" collapsed="false">
      <c r="C1522" s="72" t="n">
        <f aca="false">COUNTIFS($D$6:D1522,"&lt;&gt;"&amp;"")</f>
        <v>1517</v>
      </c>
      <c r="D1522" s="73" t="s">
        <v>12</v>
      </c>
      <c r="E1522" s="76" t="str">
        <f aca="false">
IF($D1522="정상",INDEX(임대자산!$D$3:$R$3000,MATCH($F1522,임대자산!$I$3:$I$3000,0),MATCH(E$3,임대자산!$D$3:$R$3,0)),
IF($D1522="폐업",INDEX(폐업정보!$D$3:$R$3000,MATCH($F1522,폐업정보!$I$3:$I$3000,0),MATCH(E$3,폐업정보!$D$3:$R$3,0)),
"Error"))</f>
        <v>서울</v>
      </c>
      <c r="F152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B1517</v>
      </c>
      <c r="G1522" s="76" t="str">
        <f aca="false">F1522&amp;RANDBETWEEN(0,10)</f>
        <v>B15170</v>
      </c>
      <c r="H1522" s="75" t="n">
        <f aca="false">
IF($D1522="정상",INDEX(임대자산!$D$3:$R$3000,MATCH($F1522,임대자산!$I$3:$I$3000,0),MATCH(H$4,임대자산!$D$3:$R$3,0)),
IF($D1522="폐업",INDEX(폐업정보!$D$3:$R$3000,MATCH($F1522,폐업정보!$I$3:$I$3000,0),MATCH(H$4,폐업정보!$D$3:$R$3,0)),
"Error"))</f>
        <v>45513</v>
      </c>
      <c r="I1522" s="75" t="str">
        <f aca="false">
IF($D1522="정상",INDEX(임대자산!$D$3:$R$3000,MATCH($F1522,임대자산!$I$3:$I$3000,0),MATCH(I$4,임대자산!$D$3:$R$3,0)),
IF($D1522="폐업",INDEX(폐업정보!$D$3:$R$3000,MATCH($F1522,폐업정보!$I$3:$I$3000,0),MATCH(I$4,폐업정보!$D$3:$R$3,0)),
"Error"))</f>
        <v>A1517</v>
      </c>
      <c r="J1522" s="75" t="str">
        <f aca="false">
IF($D1522="정상",INDEX(임대자산!$D$3:$R$3000,MATCH($F1522,임대자산!$I$3:$I$3000,0),MATCH(J$4,임대자산!$D$3:$R$3,0)),
IF($D1522="폐업",INDEX(폐업정보!$D$3:$R$3000,MATCH($F1522,폐업정보!$I$3:$I$3000,0),MATCH(J$4,폐업정보!$D$3:$R$3,0)),
"Error"))</f>
        <v>6429500000</v>
      </c>
      <c r="K1522" s="75" t="str">
        <f aca="false">
IF($D1522="정상",INDEX(임대자산!$D$3:$R$3000,MATCH($F1522,임대자산!$I$3:$I$3000,0),MATCH(K$4,임대자산!$D$3:$R$3,0)),
IF($D1522="폐업",INDEX(폐업정보!$D$3:$R$3000,MATCH($F1522,폐업정보!$I$3:$I$3000,0),MATCH(K$4,폐업정보!$D$3:$R$3,0)),
"Error"))</f>
        <v>C1517</v>
      </c>
      <c r="L1522" s="75" t="str">
        <f aca="false">
IF($D1522="정상",INDEX(임대자산!$D$3:$R$3000,MATCH($F1522,임대자산!$I$3:$I$3000,0),MATCH(L$4,임대자산!$D$3:$R$3,0)),
IF($D1522="폐업",INDEX(폐업정보!$D$3:$R$3000,MATCH($F1522,폐업정보!$I$3:$I$3000,0),MATCH(L$4,폐업정보!$D$3:$R$3,0)),
"Error"))</f>
        <v>D1517</v>
      </c>
      <c r="M1522" s="76" t="s">
        <v>96</v>
      </c>
      <c r="N1522" s="77"/>
      <c r="O1522" s="78" t="s">
        <v>97</v>
      </c>
      <c r="P1522" s="79" t="n">
        <f aca="false">COUNTIFS(임대자산!$I:$I,가맹점정보!F1522,임대자산!$N:$N,가맹점정보!P$4)</f>
        <v>0</v>
      </c>
      <c r="Q1522" s="80" t="n">
        <f aca="false">COUNTIFS(임대자산!$I:$I,가맹점정보!F1522,임대자산!$N:$N,가맹점정보!Q$4)</f>
        <v>0</v>
      </c>
      <c r="R1522" s="81" t="n">
        <f aca="false">COUNTIFS(임대자산!$I:$I,가맹점정보!F1522,임대자산!$N:$N,가맹점정보!R$4)</f>
        <v>1</v>
      </c>
      <c r="S1522" s="82" t="n">
        <v>55000</v>
      </c>
      <c r="T1522" s="83" t="n">
        <v>0</v>
      </c>
      <c r="U1522" s="80" t="n">
        <f aca="false">SUM(S1522:T1522)</f>
        <v>55000</v>
      </c>
      <c r="V1522" s="84" t="s">
        <v>7</v>
      </c>
      <c r="W1522" s="80" t="str">
        <f aca="true">
IF(D1522="폐업","폐업",
IF(V1522="면제","면제",
IF(AND(V1522="정상",COUNTIFS(OFFSET(Y1522,0,COUNTA(Y1522:AV1522)-1,1,-4),"미납")&gt;=3),"장기미납",
IF(AND(V1522="정상",OFFSET(Y1522,0,COUNTA(Y1522:AV1522)-1)&gt;=U1522),"정상",
IF(AND(V1522="정상",OFFSET(Y1522,0,COUNTA(Y1522:AV1522)-1)=0),"정상",
"계약서 미작성")))))</f>
        <v>면제</v>
      </c>
      <c r="X1522" s="81" t="str">
        <f aca="true">
IF(D1522="폐업","폐업",
IF(AND(V1522="정상",OFFSET(Y1522,0,COUNTA(Y1522:AV1522)-1)="미납"),"미납",
IF(AND(V1522="정상",OFFSET(Y1522,0,COUNTA(Y1522:AV1522)-1)=0),"납부 시작 전",
IF(AND(V1522="정상",OFFSET(Y1522,0,COUNTA(Y1522:AV1522)-1)&gt;=U1522),"정상",
IF(AND(V1522="면제",OFFSET(Y1522,0,COUNTA(Y1522:AV1522)-1)="면제"),"면제",
IF(AND(V1522="면제",OFFSET(Y1522,0,COUNTA(Y1522:AV1522)-1)=0),"면제",
"확인요청"))))))</f>
        <v>면제</v>
      </c>
      <c r="Y1522" s="94" t="s">
        <v>7</v>
      </c>
      <c r="Z1522" s="95" t="s">
        <v>7</v>
      </c>
      <c r="AA1522" s="95" t="s">
        <v>7</v>
      </c>
      <c r="AB1522" s="95" t="s">
        <v>7</v>
      </c>
      <c r="AC1522" s="95" t="s">
        <v>7</v>
      </c>
      <c r="AD1522" s="95" t="s">
        <v>7</v>
      </c>
      <c r="AE1522" s="95" t="s">
        <v>7</v>
      </c>
      <c r="AF1522" s="95" t="s">
        <v>7</v>
      </c>
      <c r="AG1522" s="95" t="s">
        <v>7</v>
      </c>
      <c r="AH1522" s="95" t="s">
        <v>7</v>
      </c>
      <c r="AI1522" s="95" t="s">
        <v>7</v>
      </c>
      <c r="AJ1522" s="96" t="s">
        <v>7</v>
      </c>
      <c r="AK1522" s="97" t="s">
        <v>7</v>
      </c>
      <c r="AL1522" s="95" t="s">
        <v>7</v>
      </c>
      <c r="AM1522" s="90"/>
      <c r="AN1522" s="90"/>
      <c r="AO1522" s="90"/>
      <c r="AP1522" s="90"/>
      <c r="AQ1522" s="90"/>
      <c r="AR1522" s="90"/>
      <c r="AS1522" s="90"/>
      <c r="AT1522" s="90"/>
      <c r="AU1522" s="90"/>
      <c r="AV1522" s="91"/>
      <c r="AX1522" s="92"/>
    </row>
    <row r="1523" customFormat="false" ht="15.65" hidden="false" customHeight="false" outlineLevel="0" collapsed="false">
      <c r="C1523" s="72" t="n">
        <f aca="false">COUNTIFS($D$6:D1523,"&lt;&gt;"&amp;"")</f>
        <v>1518</v>
      </c>
      <c r="D1523" s="73" t="s">
        <v>12</v>
      </c>
      <c r="E1523" s="76" t="str">
        <f aca="false">
IF($D1523="정상",INDEX(임대자산!$D$3:$R$3000,MATCH($F1523,임대자산!$I$3:$I$3000,0),MATCH(E$3,임대자산!$D$3:$R$3,0)),
IF($D1523="폐업",INDEX(폐업정보!$D$3:$R$3000,MATCH($F1523,폐업정보!$I$3:$I$3000,0),MATCH(E$3,폐업정보!$D$3:$R$3,0)),
"Error"))</f>
        <v>서울</v>
      </c>
      <c r="F152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B1518</v>
      </c>
      <c r="G1523" s="76" t="str">
        <f aca="false">F1523&amp;RANDBETWEEN(0,10)</f>
        <v>B15187</v>
      </c>
      <c r="H1523" s="75" t="n">
        <f aca="false">
IF($D1523="정상",INDEX(임대자산!$D$3:$R$3000,MATCH($F1523,임대자산!$I$3:$I$3000,0),MATCH(H$4,임대자산!$D$3:$R$3,0)),
IF($D1523="폐업",INDEX(폐업정보!$D$3:$R$3000,MATCH($F1523,폐업정보!$I$3:$I$3000,0),MATCH(H$4,폐업정보!$D$3:$R$3,0)),
"Error"))</f>
        <v>45517</v>
      </c>
      <c r="I1523" s="75" t="str">
        <f aca="false">
IF($D1523="정상",INDEX(임대자산!$D$3:$R$3000,MATCH($F1523,임대자산!$I$3:$I$3000,0),MATCH(I$4,임대자산!$D$3:$R$3,0)),
IF($D1523="폐업",INDEX(폐업정보!$D$3:$R$3000,MATCH($F1523,폐업정보!$I$3:$I$3000,0),MATCH(I$4,폐업정보!$D$3:$R$3,0)),
"Error"))</f>
        <v>A1518</v>
      </c>
      <c r="J1523" s="75" t="str">
        <f aca="false">
IF($D1523="정상",INDEX(임대자산!$D$3:$R$3000,MATCH($F1523,임대자산!$I$3:$I$3000,0),MATCH(J$4,임대자산!$D$3:$R$3,0)),
IF($D1523="폐업",INDEX(폐업정보!$D$3:$R$3000,MATCH($F1523,폐업정보!$I$3:$I$3000,0),MATCH(J$4,폐업정보!$D$3:$R$3,0)),
"Error"))</f>
        <v>7287700000</v>
      </c>
      <c r="K1523" s="75" t="str">
        <f aca="false">
IF($D1523="정상",INDEX(임대자산!$D$3:$R$3000,MATCH($F1523,임대자산!$I$3:$I$3000,0),MATCH(K$4,임대자산!$D$3:$R$3,0)),
IF($D1523="폐업",INDEX(폐업정보!$D$3:$R$3000,MATCH($F1523,폐업정보!$I$3:$I$3000,0),MATCH(K$4,폐업정보!$D$3:$R$3,0)),
"Error"))</f>
        <v>C1518</v>
      </c>
      <c r="L1523" s="75" t="str">
        <f aca="false">
IF($D1523="정상",INDEX(임대자산!$D$3:$R$3000,MATCH($F1523,임대자산!$I$3:$I$3000,0),MATCH(L$4,임대자산!$D$3:$R$3,0)),
IF($D1523="폐업",INDEX(폐업정보!$D$3:$R$3000,MATCH($F1523,폐업정보!$I$3:$I$3000,0),MATCH(L$4,폐업정보!$D$3:$R$3,0)),
"Error"))</f>
        <v>D1518</v>
      </c>
      <c r="M1523" s="76" t="s">
        <v>96</v>
      </c>
      <c r="N1523" s="77"/>
      <c r="O1523" s="78" t="s">
        <v>97</v>
      </c>
      <c r="P1523" s="79" t="n">
        <f aca="false">COUNTIFS(임대자산!$I:$I,가맹점정보!F1523,임대자산!$N:$N,가맹점정보!P$4)</f>
        <v>0</v>
      </c>
      <c r="Q1523" s="80" t="n">
        <f aca="false">COUNTIFS(임대자산!$I:$I,가맹점정보!F1523,임대자산!$N:$N,가맹점정보!Q$4)</f>
        <v>0</v>
      </c>
      <c r="R1523" s="81" t="n">
        <f aca="false">COUNTIFS(임대자산!$I:$I,가맹점정보!F1523,임대자산!$N:$N,가맹점정보!R$4)</f>
        <v>1</v>
      </c>
      <c r="S1523" s="82" t="n">
        <v>88000</v>
      </c>
      <c r="T1523" s="83" t="n">
        <v>0</v>
      </c>
      <c r="U1523" s="80" t="n">
        <f aca="false">SUM(S1523:T1523)</f>
        <v>88000</v>
      </c>
      <c r="V1523" s="84" t="s">
        <v>7</v>
      </c>
      <c r="W1523" s="80" t="str">
        <f aca="true">
IF(D1523="폐업","폐업",
IF(V1523="면제","면제",
IF(AND(V1523="정상",COUNTIFS(OFFSET(Y1523,0,COUNTA(Y1523:AV1523)-1,1,-4),"미납")&gt;=3),"장기미납",
IF(AND(V1523="정상",OFFSET(Y1523,0,COUNTA(Y1523:AV1523)-1)&gt;=U1523),"정상",
IF(AND(V1523="정상",OFFSET(Y1523,0,COUNTA(Y1523:AV1523)-1)=0),"정상",
"계약서 미작성")))))</f>
        <v>면제</v>
      </c>
      <c r="X1523" s="81" t="str">
        <f aca="true">
IF(D1523="폐업","폐업",
IF(AND(V1523="정상",OFFSET(Y1523,0,COUNTA(Y1523:AV1523)-1)="미납"),"미납",
IF(AND(V1523="정상",OFFSET(Y1523,0,COUNTA(Y1523:AV1523)-1)=0),"납부 시작 전",
IF(AND(V1523="정상",OFFSET(Y1523,0,COUNTA(Y1523:AV1523)-1)&gt;=U1523),"정상",
IF(AND(V1523="면제",OFFSET(Y1523,0,COUNTA(Y1523:AV1523)-1)="면제"),"면제",
IF(AND(V1523="면제",OFFSET(Y1523,0,COUNTA(Y1523:AV1523)-1)=0),"면제",
"확인요청"))))))</f>
        <v>면제</v>
      </c>
      <c r="Y1523" s="94" t="s">
        <v>7</v>
      </c>
      <c r="Z1523" s="95" t="s">
        <v>7</v>
      </c>
      <c r="AA1523" s="95" t="s">
        <v>7</v>
      </c>
      <c r="AB1523" s="95" t="s">
        <v>7</v>
      </c>
      <c r="AC1523" s="95" t="s">
        <v>7</v>
      </c>
      <c r="AD1523" s="95" t="s">
        <v>7</v>
      </c>
      <c r="AE1523" s="95" t="s">
        <v>7</v>
      </c>
      <c r="AF1523" s="95" t="s">
        <v>7</v>
      </c>
      <c r="AG1523" s="95" t="s">
        <v>7</v>
      </c>
      <c r="AH1523" s="95" t="s">
        <v>7</v>
      </c>
      <c r="AI1523" s="95" t="s">
        <v>7</v>
      </c>
      <c r="AJ1523" s="96" t="s">
        <v>7</v>
      </c>
      <c r="AK1523" s="97" t="s">
        <v>7</v>
      </c>
      <c r="AL1523" s="95" t="s">
        <v>7</v>
      </c>
      <c r="AM1523" s="90"/>
      <c r="AN1523" s="90"/>
      <c r="AO1523" s="90"/>
      <c r="AP1523" s="90"/>
      <c r="AQ1523" s="90"/>
      <c r="AR1523" s="90"/>
      <c r="AS1523" s="90"/>
      <c r="AT1523" s="90"/>
      <c r="AU1523" s="90"/>
      <c r="AV1523" s="91"/>
      <c r="AX1523" s="92"/>
    </row>
    <row r="1524" customFormat="false" ht="15.65" hidden="false" customHeight="false" outlineLevel="0" collapsed="false">
      <c r="C1524" s="72" t="n">
        <f aca="false">COUNTIFS($D$6:D1524,"&lt;&gt;"&amp;"")</f>
        <v>1519</v>
      </c>
      <c r="D1524" s="73" t="s">
        <v>12</v>
      </c>
      <c r="E1524" s="76" t="str">
        <f aca="false">
IF($D1524="정상",INDEX(임대자산!$D$3:$R$3000,MATCH($F1524,임대자산!$I$3:$I$3000,0),MATCH(E$3,임대자산!$D$3:$R$3,0)),
IF($D1524="폐업",INDEX(폐업정보!$D$3:$R$3000,MATCH($F1524,폐업정보!$I$3:$I$3000,0),MATCH(E$3,폐업정보!$D$3:$R$3,0)),
"Error"))</f>
        <v>서울</v>
      </c>
      <c r="F152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B1519</v>
      </c>
      <c r="G1524" s="76" t="str">
        <f aca="false">F1524&amp;RANDBETWEEN(0,10)</f>
        <v>B15194</v>
      </c>
      <c r="H1524" s="75" t="n">
        <f aca="false">
IF($D1524="정상",INDEX(임대자산!$D$3:$R$3000,MATCH($F1524,임대자산!$I$3:$I$3000,0),MATCH(H$4,임대자산!$D$3:$R$3,0)),
IF($D1524="폐업",INDEX(폐업정보!$D$3:$R$3000,MATCH($F1524,폐업정보!$I$3:$I$3000,0),MATCH(H$4,폐업정보!$D$3:$R$3,0)),
"Error"))</f>
        <v>45504</v>
      </c>
      <c r="I1524" s="75" t="str">
        <f aca="false">
IF($D1524="정상",INDEX(임대자산!$D$3:$R$3000,MATCH($F1524,임대자산!$I$3:$I$3000,0),MATCH(I$4,임대자산!$D$3:$R$3,0)),
IF($D1524="폐업",INDEX(폐업정보!$D$3:$R$3000,MATCH($F1524,폐업정보!$I$3:$I$3000,0),MATCH(I$4,폐업정보!$D$3:$R$3,0)),
"Error"))</f>
        <v>A1519</v>
      </c>
      <c r="J1524" s="75" t="str">
        <f aca="false">
IF($D1524="정상",INDEX(임대자산!$D$3:$R$3000,MATCH($F1524,임대자산!$I$3:$I$3000,0),MATCH(J$4,임대자산!$D$3:$R$3,0)),
IF($D1524="폐업",INDEX(폐업정보!$D$3:$R$3000,MATCH($F1524,폐업정보!$I$3:$I$3000,0),MATCH(J$4,폐업정보!$D$3:$R$3,0)),
"Error"))</f>
        <v>9510500000</v>
      </c>
      <c r="K1524" s="75" t="str">
        <f aca="false">
IF($D1524="정상",INDEX(임대자산!$D$3:$R$3000,MATCH($F1524,임대자산!$I$3:$I$3000,0),MATCH(K$4,임대자산!$D$3:$R$3,0)),
IF($D1524="폐업",INDEX(폐업정보!$D$3:$R$3000,MATCH($F1524,폐업정보!$I$3:$I$3000,0),MATCH(K$4,폐업정보!$D$3:$R$3,0)),
"Error"))</f>
        <v>C1519</v>
      </c>
      <c r="L1524" s="75" t="str">
        <f aca="false">
IF($D1524="정상",INDEX(임대자산!$D$3:$R$3000,MATCH($F1524,임대자산!$I$3:$I$3000,0),MATCH(L$4,임대자산!$D$3:$R$3,0)),
IF($D1524="폐업",INDEX(폐업정보!$D$3:$R$3000,MATCH($F1524,폐업정보!$I$3:$I$3000,0),MATCH(L$4,폐업정보!$D$3:$R$3,0)),
"Error"))</f>
        <v>D1519</v>
      </c>
      <c r="M1524" s="76" t="s">
        <v>96</v>
      </c>
      <c r="N1524" s="77"/>
      <c r="O1524" s="78" t="s">
        <v>97</v>
      </c>
      <c r="P1524" s="79" t="n">
        <f aca="false">COUNTIFS(임대자산!$I:$I,가맹점정보!F1524,임대자산!$N:$N,가맹점정보!P$4)</f>
        <v>0</v>
      </c>
      <c r="Q1524" s="80" t="n">
        <f aca="false">COUNTIFS(임대자산!$I:$I,가맹점정보!F1524,임대자산!$N:$N,가맹점정보!Q$4)</f>
        <v>0</v>
      </c>
      <c r="R1524" s="81" t="n">
        <f aca="false">COUNTIFS(임대자산!$I:$I,가맹점정보!F1524,임대자산!$N:$N,가맹점정보!R$4)</f>
        <v>1</v>
      </c>
      <c r="S1524" s="82" t="n">
        <v>88000</v>
      </c>
      <c r="T1524" s="83" t="n">
        <v>0</v>
      </c>
      <c r="U1524" s="80" t="n">
        <f aca="false">SUM(S1524:T1524)</f>
        <v>88000</v>
      </c>
      <c r="V1524" s="84" t="s">
        <v>12</v>
      </c>
      <c r="W1524" s="80" t="e">
        <f aca="true">
IF(D1524="폐업","폐업",
IF(V1524="면제","면제",
IF(AND(V1524="정상",COUNTIFS(OFFSET(Y1524,0,COUNTA(Y1524:AV1524)-1,1,-4),"미납")&gt;=3),"장기미납",
IF(AND(V1524="정상",OFFSET(Y1524,0,COUNTA(Y1524:AV1524)-1)&gt;=U1524),"정상",
IF(AND(V1524="정상",OFFSET(Y1524,0,COUNTA(Y1524:AV1524)-1)=0),"정상",
"계약서 미작성")))))</f>
        <v>#VALUE!</v>
      </c>
      <c r="X1524" s="81" t="str">
        <f aca="true">
IF(D1524="폐업","폐업",
IF(AND(V1524="정상",OFFSET(Y1524,0,COUNTA(Y1524:AV1524)-1)="미납"),"미납",
IF(AND(V1524="정상",OFFSET(Y1524,0,COUNTA(Y1524:AV1524)-1)=0),"납부 시작 전",
IF(AND(V1524="정상",OFFSET(Y1524,0,COUNTA(Y1524:AV1524)-1)&gt;=U1524),"정상",
IF(AND(V1524="면제",OFFSET(Y1524,0,COUNTA(Y1524:AV1524)-1)="면제"),"면제",
IF(AND(V1524="면제",OFFSET(Y1524,0,COUNTA(Y1524:AV1524)-1)=0),"면제",
"확인요청"))))))</f>
        <v>미납</v>
      </c>
      <c r="Y1524" s="94" t="s">
        <v>7</v>
      </c>
      <c r="Z1524" s="95" t="s">
        <v>7</v>
      </c>
      <c r="AA1524" s="95" t="s">
        <v>7</v>
      </c>
      <c r="AB1524" s="95" t="s">
        <v>7</v>
      </c>
      <c r="AC1524" s="95" t="s">
        <v>7</v>
      </c>
      <c r="AD1524" s="95" t="s">
        <v>7</v>
      </c>
      <c r="AE1524" s="95" t="s">
        <v>7</v>
      </c>
      <c r="AF1524" s="95" t="s">
        <v>7</v>
      </c>
      <c r="AG1524" s="95" t="s">
        <v>7</v>
      </c>
      <c r="AH1524" s="95" t="s">
        <v>62</v>
      </c>
      <c r="AI1524" s="95" t="s">
        <v>62</v>
      </c>
      <c r="AJ1524" s="96" t="s">
        <v>62</v>
      </c>
      <c r="AK1524" s="97" t="s">
        <v>62</v>
      </c>
      <c r="AL1524" s="95" t="s">
        <v>62</v>
      </c>
      <c r="AM1524" s="90"/>
      <c r="AN1524" s="90"/>
      <c r="AO1524" s="90"/>
      <c r="AP1524" s="90"/>
      <c r="AQ1524" s="90"/>
      <c r="AR1524" s="90"/>
      <c r="AS1524" s="90"/>
      <c r="AT1524" s="90"/>
      <c r="AU1524" s="90"/>
      <c r="AV1524" s="91"/>
      <c r="AX1524" s="92"/>
    </row>
    <row r="1525" customFormat="false" ht="15.65" hidden="false" customHeight="false" outlineLevel="0" collapsed="false">
      <c r="C1525" s="72" t="n">
        <f aca="false">COUNTIFS($D$6:D1525,"&lt;&gt;"&amp;"")</f>
        <v>1520</v>
      </c>
      <c r="D1525" s="73" t="s">
        <v>12</v>
      </c>
      <c r="E1525" s="76" t="str">
        <f aca="false">
IF($D1525="정상",INDEX(임대자산!$D$3:$R$3000,MATCH($F1525,임대자산!$I$3:$I$3000,0),MATCH(E$3,임대자산!$D$3:$R$3,0)),
IF($D1525="폐업",INDEX(폐업정보!$D$3:$R$3000,MATCH($F1525,폐업정보!$I$3:$I$3000,0),MATCH(E$3,폐업정보!$D$3:$R$3,0)),
"Error"))</f>
        <v>서울</v>
      </c>
      <c r="F152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B1520</v>
      </c>
      <c r="G1525" s="76" t="str">
        <f aca="false">F1525&amp;RANDBETWEEN(0,10)</f>
        <v>B15204</v>
      </c>
      <c r="H1525" s="75" t="n">
        <f aca="false">
IF($D1525="정상",INDEX(임대자산!$D$3:$R$3000,MATCH($F1525,임대자산!$I$3:$I$3000,0),MATCH(H$4,임대자산!$D$3:$R$3,0)),
IF($D1525="폐업",INDEX(폐업정보!$D$3:$R$3000,MATCH($F1525,폐업정보!$I$3:$I$3000,0),MATCH(H$4,폐업정보!$D$3:$R$3,0)),
"Error"))</f>
        <v>45504</v>
      </c>
      <c r="I1525" s="75" t="str">
        <f aca="false">
IF($D1525="정상",INDEX(임대자산!$D$3:$R$3000,MATCH($F1525,임대자산!$I$3:$I$3000,0),MATCH(I$4,임대자산!$D$3:$R$3,0)),
IF($D1525="폐업",INDEX(폐업정보!$D$3:$R$3000,MATCH($F1525,폐업정보!$I$3:$I$3000,0),MATCH(I$4,폐업정보!$D$3:$R$3,0)),
"Error"))</f>
        <v>A1520</v>
      </c>
      <c r="J1525" s="75" t="str">
        <f aca="false">
IF($D1525="정상",INDEX(임대자산!$D$3:$R$3000,MATCH($F1525,임대자산!$I$3:$I$3000,0),MATCH(J$4,임대자산!$D$3:$R$3,0)),
IF($D1525="폐업",INDEX(폐업정보!$D$3:$R$3000,MATCH($F1525,폐업정보!$I$3:$I$3000,0),MATCH(J$4,폐업정보!$D$3:$R$3,0)),
"Error"))</f>
        <v>6457000000</v>
      </c>
      <c r="K1525" s="75" t="str">
        <f aca="false">
IF($D1525="정상",INDEX(임대자산!$D$3:$R$3000,MATCH($F1525,임대자산!$I$3:$I$3000,0),MATCH(K$4,임대자산!$D$3:$R$3,0)),
IF($D1525="폐업",INDEX(폐업정보!$D$3:$R$3000,MATCH($F1525,폐업정보!$I$3:$I$3000,0),MATCH(K$4,폐업정보!$D$3:$R$3,0)),
"Error"))</f>
        <v>C1520</v>
      </c>
      <c r="L1525" s="75" t="str">
        <f aca="false">
IF($D1525="정상",INDEX(임대자산!$D$3:$R$3000,MATCH($F1525,임대자산!$I$3:$I$3000,0),MATCH(L$4,임대자산!$D$3:$R$3,0)),
IF($D1525="폐업",INDEX(폐업정보!$D$3:$R$3000,MATCH($F1525,폐업정보!$I$3:$I$3000,0),MATCH(L$4,폐업정보!$D$3:$R$3,0)),
"Error"))</f>
        <v>D1520</v>
      </c>
      <c r="M1525" s="76" t="s">
        <v>96</v>
      </c>
      <c r="N1525" s="77"/>
      <c r="O1525" s="78" t="s">
        <v>97</v>
      </c>
      <c r="P1525" s="79" t="n">
        <f aca="false">COUNTIFS(임대자산!$I:$I,가맹점정보!F1525,임대자산!$N:$N,가맹점정보!P$4)</f>
        <v>0</v>
      </c>
      <c r="Q1525" s="80" t="n">
        <f aca="false">COUNTIFS(임대자산!$I:$I,가맹점정보!F1525,임대자산!$N:$N,가맹점정보!Q$4)</f>
        <v>0</v>
      </c>
      <c r="R1525" s="81" t="n">
        <f aca="false">COUNTIFS(임대자산!$I:$I,가맹점정보!F1525,임대자산!$N:$N,가맹점정보!R$4)</f>
        <v>1</v>
      </c>
      <c r="S1525" s="82" t="n">
        <v>55000</v>
      </c>
      <c r="T1525" s="83" t="n">
        <v>0</v>
      </c>
      <c r="U1525" s="80" t="n">
        <f aca="false">SUM(S1525:T1525)</f>
        <v>55000</v>
      </c>
      <c r="V1525" s="84" t="s">
        <v>7</v>
      </c>
      <c r="W1525" s="80" t="str">
        <f aca="true">
IF(D1525="폐업","폐업",
IF(V1525="면제","면제",
IF(AND(V1525="정상",COUNTIFS(OFFSET(Y1525,0,COUNTA(Y1525:AV1525)-1,1,-4),"미납")&gt;=3),"장기미납",
IF(AND(V1525="정상",OFFSET(Y1525,0,COUNTA(Y1525:AV1525)-1)&gt;=U1525),"정상",
IF(AND(V1525="정상",OFFSET(Y1525,0,COUNTA(Y1525:AV1525)-1)=0),"정상",
"계약서 미작성")))))</f>
        <v>면제</v>
      </c>
      <c r="X1525" s="81" t="str">
        <f aca="true">
IF(D1525="폐업","폐업",
IF(AND(V1525="정상",OFFSET(Y1525,0,COUNTA(Y1525:AV1525)-1)="미납"),"미납",
IF(AND(V1525="정상",OFFSET(Y1525,0,COUNTA(Y1525:AV1525)-1)=0),"납부 시작 전",
IF(AND(V1525="정상",OFFSET(Y1525,0,COUNTA(Y1525:AV1525)-1)&gt;=U1525),"정상",
IF(AND(V1525="면제",OFFSET(Y1525,0,COUNTA(Y1525:AV1525)-1)="면제"),"면제",
IF(AND(V1525="면제",OFFSET(Y1525,0,COUNTA(Y1525:AV1525)-1)=0),"면제",
"확인요청"))))))</f>
        <v>면제</v>
      </c>
      <c r="Y1525" s="94" t="s">
        <v>7</v>
      </c>
      <c r="Z1525" s="95" t="s">
        <v>7</v>
      </c>
      <c r="AA1525" s="95" t="s">
        <v>7</v>
      </c>
      <c r="AB1525" s="95" t="s">
        <v>7</v>
      </c>
      <c r="AC1525" s="95" t="s">
        <v>7</v>
      </c>
      <c r="AD1525" s="95" t="s">
        <v>7</v>
      </c>
      <c r="AE1525" s="95" t="s">
        <v>7</v>
      </c>
      <c r="AF1525" s="95" t="s">
        <v>7</v>
      </c>
      <c r="AG1525" s="95" t="s">
        <v>7</v>
      </c>
      <c r="AH1525" s="95" t="s">
        <v>7</v>
      </c>
      <c r="AI1525" s="95" t="s">
        <v>7</v>
      </c>
      <c r="AJ1525" s="96" t="s">
        <v>7</v>
      </c>
      <c r="AK1525" s="97" t="s">
        <v>7</v>
      </c>
      <c r="AL1525" s="95" t="s">
        <v>7</v>
      </c>
      <c r="AM1525" s="90"/>
      <c r="AN1525" s="90"/>
      <c r="AO1525" s="90"/>
      <c r="AP1525" s="90"/>
      <c r="AQ1525" s="90"/>
      <c r="AR1525" s="90"/>
      <c r="AS1525" s="90"/>
      <c r="AT1525" s="90"/>
      <c r="AU1525" s="90"/>
      <c r="AV1525" s="91"/>
      <c r="AX1525" s="92"/>
    </row>
    <row r="1526" customFormat="false" ht="15.65" hidden="false" customHeight="false" outlineLevel="0" collapsed="false">
      <c r="C1526" s="72" t="n">
        <f aca="false">COUNTIFS($D$6:D1526,"&lt;&gt;"&amp;"")</f>
        <v>1521</v>
      </c>
      <c r="D1526" s="73" t="s">
        <v>12</v>
      </c>
      <c r="E1526" s="76" t="str">
        <f aca="false">
IF($D1526="정상",INDEX(임대자산!$D$3:$R$3000,MATCH($F1526,임대자산!$I$3:$I$3000,0),MATCH(E$3,임대자산!$D$3:$R$3,0)),
IF($D1526="폐업",INDEX(폐업정보!$D$3:$R$3000,MATCH($F1526,폐업정보!$I$3:$I$3000,0),MATCH(E$3,폐업정보!$D$3:$R$3,0)),
"Error"))</f>
        <v>서울</v>
      </c>
      <c r="F152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B1521</v>
      </c>
      <c r="G1526" s="76" t="str">
        <f aca="false">F1526&amp;RANDBETWEEN(0,10)</f>
        <v>B15215</v>
      </c>
      <c r="H1526" s="75" t="n">
        <f aca="false">
IF($D1526="정상",INDEX(임대자산!$D$3:$R$3000,MATCH($F1526,임대자산!$I$3:$I$3000,0),MATCH(H$4,임대자산!$D$3:$R$3,0)),
IF($D1526="폐업",INDEX(폐업정보!$D$3:$R$3000,MATCH($F1526,폐업정보!$I$3:$I$3000,0),MATCH(H$4,폐업정보!$D$3:$R$3,0)),
"Error"))</f>
        <v>45512</v>
      </c>
      <c r="I1526" s="75" t="str">
        <f aca="false">
IF($D1526="정상",INDEX(임대자산!$D$3:$R$3000,MATCH($F1526,임대자산!$I$3:$I$3000,0),MATCH(I$4,임대자산!$D$3:$R$3,0)),
IF($D1526="폐업",INDEX(폐업정보!$D$3:$R$3000,MATCH($F1526,폐업정보!$I$3:$I$3000,0),MATCH(I$4,폐업정보!$D$3:$R$3,0)),
"Error"))</f>
        <v>A1521</v>
      </c>
      <c r="J1526" s="75" t="str">
        <f aca="false">
IF($D1526="정상",INDEX(임대자산!$D$3:$R$3000,MATCH($F1526,임대자산!$I$3:$I$3000,0),MATCH(J$4,임대자산!$D$3:$R$3,0)),
IF($D1526="폐업",INDEX(폐업정보!$D$3:$R$3000,MATCH($F1526,폐업정보!$I$3:$I$3000,0),MATCH(J$4,폐업정보!$D$3:$R$3,0)),
"Error"))</f>
        <v>8854900000</v>
      </c>
      <c r="K1526" s="75" t="str">
        <f aca="false">
IF($D1526="정상",INDEX(임대자산!$D$3:$R$3000,MATCH($F1526,임대자산!$I$3:$I$3000,0),MATCH(K$4,임대자산!$D$3:$R$3,0)),
IF($D1526="폐업",INDEX(폐업정보!$D$3:$R$3000,MATCH($F1526,폐업정보!$I$3:$I$3000,0),MATCH(K$4,폐업정보!$D$3:$R$3,0)),
"Error"))</f>
        <v>C1521</v>
      </c>
      <c r="L1526" s="75" t="str">
        <f aca="false">
IF($D1526="정상",INDEX(임대자산!$D$3:$R$3000,MATCH($F1526,임대자산!$I$3:$I$3000,0),MATCH(L$4,임대자산!$D$3:$R$3,0)),
IF($D1526="폐업",INDEX(폐업정보!$D$3:$R$3000,MATCH($F1526,폐업정보!$I$3:$I$3000,0),MATCH(L$4,폐업정보!$D$3:$R$3,0)),
"Error"))</f>
        <v>D1521</v>
      </c>
      <c r="M1526" s="76" t="s">
        <v>96</v>
      </c>
      <c r="N1526" s="77"/>
      <c r="O1526" s="78" t="s">
        <v>97</v>
      </c>
      <c r="P1526" s="79" t="n">
        <f aca="false">COUNTIFS(임대자산!$I:$I,가맹점정보!F1526,임대자산!$N:$N,가맹점정보!P$4)</f>
        <v>0</v>
      </c>
      <c r="Q1526" s="80" t="n">
        <f aca="false">COUNTIFS(임대자산!$I:$I,가맹점정보!F1526,임대자산!$N:$N,가맹점정보!Q$4)</f>
        <v>0</v>
      </c>
      <c r="R1526" s="81" t="n">
        <f aca="false">COUNTIFS(임대자산!$I:$I,가맹점정보!F1526,임대자산!$N:$N,가맹점정보!R$4)</f>
        <v>1</v>
      </c>
      <c r="S1526" s="82" t="n">
        <v>55000</v>
      </c>
      <c r="T1526" s="83" t="n">
        <v>0</v>
      </c>
      <c r="U1526" s="80" t="n">
        <f aca="false">SUM(S1526:T1526)</f>
        <v>55000</v>
      </c>
      <c r="V1526" s="84" t="s">
        <v>7</v>
      </c>
      <c r="W1526" s="80" t="str">
        <f aca="true">
IF(D1526="폐업","폐업",
IF(V1526="면제","면제",
IF(AND(V1526="정상",COUNTIFS(OFFSET(Y1526,0,COUNTA(Y1526:AV1526)-1,1,-4),"미납")&gt;=3),"장기미납",
IF(AND(V1526="정상",OFFSET(Y1526,0,COUNTA(Y1526:AV1526)-1)&gt;=U1526),"정상",
IF(AND(V1526="정상",OFFSET(Y1526,0,COUNTA(Y1526:AV1526)-1)=0),"정상",
"계약서 미작성")))))</f>
        <v>면제</v>
      </c>
      <c r="X1526" s="81" t="str">
        <f aca="true">
IF(D1526="폐업","폐업",
IF(AND(V1526="정상",OFFSET(Y1526,0,COUNTA(Y1526:AV1526)-1)="미납"),"미납",
IF(AND(V1526="정상",OFFSET(Y1526,0,COUNTA(Y1526:AV1526)-1)=0),"납부 시작 전",
IF(AND(V1526="정상",OFFSET(Y1526,0,COUNTA(Y1526:AV1526)-1)&gt;=U1526),"정상",
IF(AND(V1526="면제",OFFSET(Y1526,0,COUNTA(Y1526:AV1526)-1)="면제"),"면제",
IF(AND(V1526="면제",OFFSET(Y1526,0,COUNTA(Y1526:AV1526)-1)=0),"면제",
"확인요청"))))))</f>
        <v>면제</v>
      </c>
      <c r="Y1526" s="94" t="s">
        <v>7</v>
      </c>
      <c r="Z1526" s="95" t="s">
        <v>7</v>
      </c>
      <c r="AA1526" s="95" t="s">
        <v>7</v>
      </c>
      <c r="AB1526" s="95" t="s">
        <v>7</v>
      </c>
      <c r="AC1526" s="95" t="s">
        <v>7</v>
      </c>
      <c r="AD1526" s="95" t="s">
        <v>7</v>
      </c>
      <c r="AE1526" s="95" t="s">
        <v>7</v>
      </c>
      <c r="AF1526" s="95" t="s">
        <v>7</v>
      </c>
      <c r="AG1526" s="95" t="s">
        <v>7</v>
      </c>
      <c r="AH1526" s="95" t="s">
        <v>7</v>
      </c>
      <c r="AI1526" s="95" t="s">
        <v>7</v>
      </c>
      <c r="AJ1526" s="96" t="s">
        <v>7</v>
      </c>
      <c r="AK1526" s="97" t="s">
        <v>7</v>
      </c>
      <c r="AL1526" s="95" t="s">
        <v>7</v>
      </c>
      <c r="AM1526" s="90"/>
      <c r="AN1526" s="90"/>
      <c r="AO1526" s="90"/>
      <c r="AP1526" s="90"/>
      <c r="AQ1526" s="90"/>
      <c r="AR1526" s="90"/>
      <c r="AS1526" s="90"/>
      <c r="AT1526" s="90"/>
      <c r="AU1526" s="90"/>
      <c r="AV1526" s="91"/>
      <c r="AX1526" s="92"/>
    </row>
    <row r="1527" customFormat="false" ht="15.65" hidden="false" customHeight="false" outlineLevel="0" collapsed="false">
      <c r="C1527" s="72" t="n">
        <f aca="false">COUNTIFS($D$6:D1527,"&lt;&gt;"&amp;"")</f>
        <v>1522</v>
      </c>
      <c r="D1527" s="73" t="s">
        <v>12</v>
      </c>
      <c r="E1527" s="76" t="str">
        <f aca="false">
IF($D1527="정상",INDEX(임대자산!$D$3:$R$3000,MATCH($F1527,임대자산!$I$3:$I$3000,0),MATCH(E$3,임대자산!$D$3:$R$3,0)),
IF($D1527="폐업",INDEX(폐업정보!$D$3:$R$3000,MATCH($F1527,폐업정보!$I$3:$I$3000,0),MATCH(E$3,폐업정보!$D$3:$R$3,0)),
"Error"))</f>
        <v>경기</v>
      </c>
      <c r="F152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B1522</v>
      </c>
      <c r="G1527" s="76" t="str">
        <f aca="false">F1527&amp;RANDBETWEEN(0,10)</f>
        <v>B15226</v>
      </c>
      <c r="H1527" s="75" t="n">
        <f aca="false">
IF($D1527="정상",INDEX(임대자산!$D$3:$R$3000,MATCH($F1527,임대자산!$I$3:$I$3000,0),MATCH(H$4,임대자산!$D$3:$R$3,0)),
IF($D1527="폐업",INDEX(폐업정보!$D$3:$R$3000,MATCH($F1527,폐업정보!$I$3:$I$3000,0),MATCH(H$4,폐업정보!$D$3:$R$3,0)),
"Error"))</f>
        <v>45538</v>
      </c>
      <c r="I1527" s="75" t="str">
        <f aca="false">
IF($D1527="정상",INDEX(임대자산!$D$3:$R$3000,MATCH($F1527,임대자산!$I$3:$I$3000,0),MATCH(I$4,임대자산!$D$3:$R$3,0)),
IF($D1527="폐업",INDEX(폐업정보!$D$3:$R$3000,MATCH($F1527,폐업정보!$I$3:$I$3000,0),MATCH(I$4,폐업정보!$D$3:$R$3,0)),
"Error"))</f>
        <v>A1522</v>
      </c>
      <c r="J1527" s="75" t="str">
        <f aca="false">
IF($D1527="정상",INDEX(임대자산!$D$3:$R$3000,MATCH($F1527,임대자산!$I$3:$I$3000,0),MATCH(J$4,임대자산!$D$3:$R$3,0)),
IF($D1527="폐업",INDEX(폐업정보!$D$3:$R$3000,MATCH($F1527,폐업정보!$I$3:$I$3000,0),MATCH(J$4,폐업정보!$D$3:$R$3,0)),
"Error"))</f>
        <v>2034900000</v>
      </c>
      <c r="K1527" s="75" t="str">
        <f aca="false">
IF($D1527="정상",INDEX(임대자산!$D$3:$R$3000,MATCH($F1527,임대자산!$I$3:$I$3000,0),MATCH(K$4,임대자산!$D$3:$R$3,0)),
IF($D1527="폐업",INDEX(폐업정보!$D$3:$R$3000,MATCH($F1527,폐업정보!$I$3:$I$3000,0),MATCH(K$4,폐업정보!$D$3:$R$3,0)),
"Error"))</f>
        <v>C1522</v>
      </c>
      <c r="L1527" s="75" t="str">
        <f aca="false">
IF($D1527="정상",INDEX(임대자산!$D$3:$R$3000,MATCH($F1527,임대자산!$I$3:$I$3000,0),MATCH(L$4,임대자산!$D$3:$R$3,0)),
IF($D1527="폐업",INDEX(폐업정보!$D$3:$R$3000,MATCH($F1527,폐업정보!$I$3:$I$3000,0),MATCH(L$4,폐업정보!$D$3:$R$3,0)),
"Error"))</f>
        <v>D1522</v>
      </c>
      <c r="M1527" s="76" t="s">
        <v>96</v>
      </c>
      <c r="N1527" s="77"/>
      <c r="O1527" s="78" t="s">
        <v>97</v>
      </c>
      <c r="P1527" s="79" t="n">
        <f aca="false">COUNTIFS(임대자산!$I:$I,가맹점정보!F1527,임대자산!$N:$N,가맹점정보!P$4)</f>
        <v>0</v>
      </c>
      <c r="Q1527" s="80" t="n">
        <f aca="false">COUNTIFS(임대자산!$I:$I,가맹점정보!F1527,임대자산!$N:$N,가맹점정보!Q$4)</f>
        <v>0</v>
      </c>
      <c r="R1527" s="81" t="n">
        <f aca="false">COUNTIFS(임대자산!$I:$I,가맹점정보!F1527,임대자산!$N:$N,가맹점정보!R$4)</f>
        <v>1</v>
      </c>
      <c r="S1527" s="82" t="n">
        <v>55000</v>
      </c>
      <c r="T1527" s="83" t="n">
        <v>0</v>
      </c>
      <c r="U1527" s="80" t="n">
        <f aca="false">SUM(S1527:T1527)</f>
        <v>55000</v>
      </c>
      <c r="V1527" s="84" t="s">
        <v>7</v>
      </c>
      <c r="W1527" s="80" t="str">
        <f aca="true">
IF(D1527="폐업","폐업",
IF(V1527="면제","면제",
IF(AND(V1527="정상",COUNTIFS(OFFSET(Y1527,0,COUNTA(Y1527:AV1527)-1,1,-4),"미납")&gt;=3),"장기미납",
IF(AND(V1527="정상",OFFSET(Y1527,0,COUNTA(Y1527:AV1527)-1)&gt;=U1527),"정상",
IF(AND(V1527="정상",OFFSET(Y1527,0,COUNTA(Y1527:AV1527)-1)=0),"정상",
"계약서 미작성")))))</f>
        <v>면제</v>
      </c>
      <c r="X1527" s="81" t="str">
        <f aca="true">
IF(D1527="폐업","폐업",
IF(AND(V1527="정상",OFFSET(Y1527,0,COUNTA(Y1527:AV1527)-1)="미납"),"미납",
IF(AND(V1527="정상",OFFSET(Y1527,0,COUNTA(Y1527:AV1527)-1)=0),"납부 시작 전",
IF(AND(V1527="정상",OFFSET(Y1527,0,COUNTA(Y1527:AV1527)-1)&gt;=U1527),"정상",
IF(AND(V1527="면제",OFFSET(Y1527,0,COUNTA(Y1527:AV1527)-1)="면제"),"면제",
IF(AND(V1527="면제",OFFSET(Y1527,0,COUNTA(Y1527:AV1527)-1)=0),"면제",
"확인요청"))))))</f>
        <v>면제</v>
      </c>
      <c r="Y1527" s="94" t="s">
        <v>7</v>
      </c>
      <c r="Z1527" s="95" t="s">
        <v>7</v>
      </c>
      <c r="AA1527" s="95" t="s">
        <v>7</v>
      </c>
      <c r="AB1527" s="95" t="s">
        <v>7</v>
      </c>
      <c r="AC1527" s="95" t="s">
        <v>7</v>
      </c>
      <c r="AD1527" s="95" t="s">
        <v>7</v>
      </c>
      <c r="AE1527" s="95" t="s">
        <v>7</v>
      </c>
      <c r="AF1527" s="95" t="s">
        <v>7</v>
      </c>
      <c r="AG1527" s="95" t="s">
        <v>7</v>
      </c>
      <c r="AH1527" s="95" t="s">
        <v>7</v>
      </c>
      <c r="AI1527" s="95" t="s">
        <v>7</v>
      </c>
      <c r="AJ1527" s="96" t="s">
        <v>7</v>
      </c>
      <c r="AK1527" s="97" t="s">
        <v>7</v>
      </c>
      <c r="AL1527" s="95" t="s">
        <v>7</v>
      </c>
      <c r="AM1527" s="90"/>
      <c r="AN1527" s="90"/>
      <c r="AO1527" s="90"/>
      <c r="AP1527" s="90"/>
      <c r="AQ1527" s="90"/>
      <c r="AR1527" s="90"/>
      <c r="AS1527" s="90"/>
      <c r="AT1527" s="90"/>
      <c r="AU1527" s="90"/>
      <c r="AV1527" s="91"/>
      <c r="AX1527" s="92"/>
    </row>
    <row r="1528" customFormat="false" ht="15.65" hidden="false" customHeight="false" outlineLevel="0" collapsed="false">
      <c r="C1528" s="72" t="n">
        <f aca="false">COUNTIFS($D$6:D1528,"&lt;&gt;"&amp;"")</f>
        <v>1523</v>
      </c>
      <c r="D1528" s="73" t="s">
        <v>12</v>
      </c>
      <c r="E1528" s="76" t="str">
        <f aca="false">
IF($D1528="정상",INDEX(임대자산!$D$3:$R$3000,MATCH($F1528,임대자산!$I$3:$I$3000,0),MATCH(E$3,임대자산!$D$3:$R$3,0)),
IF($D1528="폐업",INDEX(폐업정보!$D$3:$R$3000,MATCH($F1528,폐업정보!$I$3:$I$3000,0),MATCH(E$3,폐업정보!$D$3:$R$3,0)),
"Error"))</f>
        <v>경기</v>
      </c>
      <c r="F152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B1523</v>
      </c>
      <c r="G1528" s="76" t="str">
        <f aca="false">F1528&amp;RANDBETWEEN(0,10)</f>
        <v>B15235</v>
      </c>
      <c r="H1528" s="75" t="n">
        <f aca="false">
IF($D1528="정상",INDEX(임대자산!$D$3:$R$3000,MATCH($F1528,임대자산!$I$3:$I$3000,0),MATCH(H$4,임대자산!$D$3:$R$3,0)),
IF($D1528="폐업",INDEX(폐업정보!$D$3:$R$3000,MATCH($F1528,폐업정보!$I$3:$I$3000,0),MATCH(H$4,폐업정보!$D$3:$R$3,0)),
"Error"))</f>
        <v>45538</v>
      </c>
      <c r="I1528" s="75" t="str">
        <f aca="false">
IF($D1528="정상",INDEX(임대자산!$D$3:$R$3000,MATCH($F1528,임대자산!$I$3:$I$3000,0),MATCH(I$4,임대자산!$D$3:$R$3,0)),
IF($D1528="폐업",INDEX(폐업정보!$D$3:$R$3000,MATCH($F1528,폐업정보!$I$3:$I$3000,0),MATCH(I$4,폐업정보!$D$3:$R$3,0)),
"Error"))</f>
        <v>A1523</v>
      </c>
      <c r="J1528" s="75" t="str">
        <f aca="false">
IF($D1528="정상",INDEX(임대자산!$D$3:$R$3000,MATCH($F1528,임대자산!$I$3:$I$3000,0),MATCH(J$4,임대자산!$D$3:$R$3,0)),
IF($D1528="폐업",INDEX(폐업정보!$D$3:$R$3000,MATCH($F1528,폐업정보!$I$3:$I$3000,0),MATCH(J$4,폐업정보!$D$3:$R$3,0)),
"Error"))</f>
        <v>2204000000</v>
      </c>
      <c r="K1528" s="75" t="str">
        <f aca="false">
IF($D1528="정상",INDEX(임대자산!$D$3:$R$3000,MATCH($F1528,임대자산!$I$3:$I$3000,0),MATCH(K$4,임대자산!$D$3:$R$3,0)),
IF($D1528="폐업",INDEX(폐업정보!$D$3:$R$3000,MATCH($F1528,폐업정보!$I$3:$I$3000,0),MATCH(K$4,폐업정보!$D$3:$R$3,0)),
"Error"))</f>
        <v>C1523</v>
      </c>
      <c r="L1528" s="75" t="str">
        <f aca="false">
IF($D1528="정상",INDEX(임대자산!$D$3:$R$3000,MATCH($F1528,임대자산!$I$3:$I$3000,0),MATCH(L$4,임대자산!$D$3:$R$3,0)),
IF($D1528="폐업",INDEX(폐업정보!$D$3:$R$3000,MATCH($F1528,폐업정보!$I$3:$I$3000,0),MATCH(L$4,폐업정보!$D$3:$R$3,0)),
"Error"))</f>
        <v>D1523</v>
      </c>
      <c r="M1528" s="76" t="s">
        <v>96</v>
      </c>
      <c r="N1528" s="77"/>
      <c r="O1528" s="78" t="s">
        <v>97</v>
      </c>
      <c r="P1528" s="79" t="n">
        <f aca="false">COUNTIFS(임대자산!$I:$I,가맹점정보!F1528,임대자산!$N:$N,가맹점정보!P$4)</f>
        <v>0</v>
      </c>
      <c r="Q1528" s="80" t="n">
        <f aca="false">COUNTIFS(임대자산!$I:$I,가맹점정보!F1528,임대자산!$N:$N,가맹점정보!Q$4)</f>
        <v>0</v>
      </c>
      <c r="R1528" s="81" t="n">
        <f aca="false">COUNTIFS(임대자산!$I:$I,가맹점정보!F1528,임대자산!$N:$N,가맹점정보!R$4)</f>
        <v>1</v>
      </c>
      <c r="S1528" s="82" t="n">
        <v>55000</v>
      </c>
      <c r="T1528" s="83" t="n">
        <v>0</v>
      </c>
      <c r="U1528" s="80" t="n">
        <f aca="false">SUM(S1528:T1528)</f>
        <v>55000</v>
      </c>
      <c r="V1528" s="84" t="s">
        <v>7</v>
      </c>
      <c r="W1528" s="80" t="str">
        <f aca="true">
IF(D1528="폐업","폐업",
IF(V1528="면제","면제",
IF(AND(V1528="정상",COUNTIFS(OFFSET(Y1528,0,COUNTA(Y1528:AV1528)-1,1,-4),"미납")&gt;=3),"장기미납",
IF(AND(V1528="정상",OFFSET(Y1528,0,COUNTA(Y1528:AV1528)-1)&gt;=U1528),"정상",
IF(AND(V1528="정상",OFFSET(Y1528,0,COUNTA(Y1528:AV1528)-1)=0),"정상",
"계약서 미작성")))))</f>
        <v>면제</v>
      </c>
      <c r="X1528" s="81" t="str">
        <f aca="true">
IF(D1528="폐업","폐업",
IF(AND(V1528="정상",OFFSET(Y1528,0,COUNTA(Y1528:AV1528)-1)="미납"),"미납",
IF(AND(V1528="정상",OFFSET(Y1528,0,COUNTA(Y1528:AV1528)-1)=0),"납부 시작 전",
IF(AND(V1528="정상",OFFSET(Y1528,0,COUNTA(Y1528:AV1528)-1)&gt;=U1528),"정상",
IF(AND(V1528="면제",OFFSET(Y1528,0,COUNTA(Y1528:AV1528)-1)="면제"),"면제",
IF(AND(V1528="면제",OFFSET(Y1528,0,COUNTA(Y1528:AV1528)-1)=0),"면제",
"확인요청"))))))</f>
        <v>면제</v>
      </c>
      <c r="Y1528" s="94" t="s">
        <v>7</v>
      </c>
      <c r="Z1528" s="95" t="s">
        <v>7</v>
      </c>
      <c r="AA1528" s="95" t="s">
        <v>7</v>
      </c>
      <c r="AB1528" s="95" t="s">
        <v>7</v>
      </c>
      <c r="AC1528" s="95" t="s">
        <v>7</v>
      </c>
      <c r="AD1528" s="95" t="s">
        <v>7</v>
      </c>
      <c r="AE1528" s="95" t="s">
        <v>7</v>
      </c>
      <c r="AF1528" s="95" t="s">
        <v>7</v>
      </c>
      <c r="AG1528" s="95" t="s">
        <v>7</v>
      </c>
      <c r="AH1528" s="95" t="s">
        <v>7</v>
      </c>
      <c r="AI1528" s="95" t="s">
        <v>7</v>
      </c>
      <c r="AJ1528" s="96" t="s">
        <v>7</v>
      </c>
      <c r="AK1528" s="97" t="s">
        <v>7</v>
      </c>
      <c r="AL1528" s="95" t="s">
        <v>7</v>
      </c>
      <c r="AM1528" s="90"/>
      <c r="AN1528" s="90"/>
      <c r="AO1528" s="90"/>
      <c r="AP1528" s="90"/>
      <c r="AQ1528" s="90"/>
      <c r="AR1528" s="90"/>
      <c r="AS1528" s="90"/>
      <c r="AT1528" s="90"/>
      <c r="AU1528" s="90"/>
      <c r="AV1528" s="91"/>
      <c r="AX1528" s="92"/>
    </row>
    <row r="1529" customFormat="false" ht="15.65" hidden="false" customHeight="false" outlineLevel="0" collapsed="false">
      <c r="C1529" s="72" t="n">
        <f aca="false">COUNTIFS($D$6:D1529,"&lt;&gt;"&amp;"")</f>
        <v>1524</v>
      </c>
      <c r="D1529" s="73" t="s">
        <v>12</v>
      </c>
      <c r="E1529" s="76" t="str">
        <f aca="false">
IF($D1529="정상",INDEX(임대자산!$D$3:$R$3000,MATCH($F1529,임대자산!$I$3:$I$3000,0),MATCH(E$3,임대자산!$D$3:$R$3,0)),
IF($D1529="폐업",INDEX(폐업정보!$D$3:$R$3000,MATCH($F1529,폐업정보!$I$3:$I$3000,0),MATCH(E$3,폐업정보!$D$3:$R$3,0)),
"Error"))</f>
        <v>서울</v>
      </c>
      <c r="F152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B1524</v>
      </c>
      <c r="G1529" s="76" t="str">
        <f aca="false">F1529&amp;RANDBETWEEN(0,10)</f>
        <v>B152410</v>
      </c>
      <c r="H1529" s="75" t="n">
        <f aca="false">
IF($D1529="정상",INDEX(임대자산!$D$3:$R$3000,MATCH($F1529,임대자산!$I$3:$I$3000,0),MATCH(H$4,임대자산!$D$3:$R$3,0)),
IF($D1529="폐업",INDEX(폐업정보!$D$3:$R$3000,MATCH($F1529,폐업정보!$I$3:$I$3000,0),MATCH(H$4,폐업정보!$D$3:$R$3,0)),
"Error"))</f>
        <v>45531</v>
      </c>
      <c r="I1529" s="75" t="str">
        <f aca="false">
IF($D1529="정상",INDEX(임대자산!$D$3:$R$3000,MATCH($F1529,임대자산!$I$3:$I$3000,0),MATCH(I$4,임대자산!$D$3:$R$3,0)),
IF($D1529="폐업",INDEX(폐업정보!$D$3:$R$3000,MATCH($F1529,폐업정보!$I$3:$I$3000,0),MATCH(I$4,폐업정보!$D$3:$R$3,0)),
"Error"))</f>
        <v>A1524</v>
      </c>
      <c r="J1529" s="75" t="str">
        <f aca="false">
IF($D1529="정상",INDEX(임대자산!$D$3:$R$3000,MATCH($F1529,임대자산!$I$3:$I$3000,0),MATCH(J$4,임대자산!$D$3:$R$3,0)),
IF($D1529="폐업",INDEX(폐업정보!$D$3:$R$3000,MATCH($F1529,폐업정보!$I$3:$I$3000,0),MATCH(J$4,폐업정보!$D$3:$R$3,0)),
"Error"))</f>
        <v>3469000000</v>
      </c>
      <c r="K1529" s="75" t="str">
        <f aca="false">
IF($D1529="정상",INDEX(임대자산!$D$3:$R$3000,MATCH($F1529,임대자산!$I$3:$I$3000,0),MATCH(K$4,임대자산!$D$3:$R$3,0)),
IF($D1529="폐업",INDEX(폐업정보!$D$3:$R$3000,MATCH($F1529,폐업정보!$I$3:$I$3000,0),MATCH(K$4,폐업정보!$D$3:$R$3,0)),
"Error"))</f>
        <v>C1524</v>
      </c>
      <c r="L1529" s="75" t="str">
        <f aca="false">
IF($D1529="정상",INDEX(임대자산!$D$3:$R$3000,MATCH($F1529,임대자산!$I$3:$I$3000,0),MATCH(L$4,임대자산!$D$3:$R$3,0)),
IF($D1529="폐업",INDEX(폐업정보!$D$3:$R$3000,MATCH($F1529,폐업정보!$I$3:$I$3000,0),MATCH(L$4,폐업정보!$D$3:$R$3,0)),
"Error"))</f>
        <v>D1524</v>
      </c>
      <c r="M1529" s="76" t="s">
        <v>96</v>
      </c>
      <c r="N1529" s="77"/>
      <c r="O1529" s="78" t="s">
        <v>97</v>
      </c>
      <c r="P1529" s="79" t="n">
        <f aca="false">COUNTIFS(임대자산!$I:$I,가맹점정보!F1529,임대자산!$N:$N,가맹점정보!P$4)</f>
        <v>0</v>
      </c>
      <c r="Q1529" s="80" t="n">
        <f aca="false">COUNTIFS(임대자산!$I:$I,가맹점정보!F1529,임대자산!$N:$N,가맹점정보!Q$4)</f>
        <v>0</v>
      </c>
      <c r="R1529" s="81" t="n">
        <f aca="false">COUNTIFS(임대자산!$I:$I,가맹점정보!F1529,임대자산!$N:$N,가맹점정보!R$4)</f>
        <v>1</v>
      </c>
      <c r="S1529" s="82" t="n">
        <v>88000</v>
      </c>
      <c r="T1529" s="83" t="n">
        <v>0</v>
      </c>
      <c r="U1529" s="80" t="n">
        <f aca="false">SUM(S1529:T1529)</f>
        <v>88000</v>
      </c>
      <c r="V1529" s="84" t="s">
        <v>7</v>
      </c>
      <c r="W1529" s="80" t="str">
        <f aca="true">
IF(D1529="폐업","폐업",
IF(V1529="면제","면제",
IF(AND(V1529="정상",COUNTIFS(OFFSET(Y1529,0,COUNTA(Y1529:AV1529)-1,1,-4),"미납")&gt;=3),"장기미납",
IF(AND(V1529="정상",OFFSET(Y1529,0,COUNTA(Y1529:AV1529)-1)&gt;=U1529),"정상",
IF(AND(V1529="정상",OFFSET(Y1529,0,COUNTA(Y1529:AV1529)-1)=0),"정상",
"계약서 미작성")))))</f>
        <v>면제</v>
      </c>
      <c r="X1529" s="81" t="str">
        <f aca="true">
IF(D1529="폐업","폐업",
IF(AND(V1529="정상",OFFSET(Y1529,0,COUNTA(Y1529:AV1529)-1)="미납"),"미납",
IF(AND(V1529="정상",OFFSET(Y1529,0,COUNTA(Y1529:AV1529)-1)=0),"납부 시작 전",
IF(AND(V1529="정상",OFFSET(Y1529,0,COUNTA(Y1529:AV1529)-1)&gt;=U1529),"정상",
IF(AND(V1529="면제",OFFSET(Y1529,0,COUNTA(Y1529:AV1529)-1)="면제"),"면제",
IF(AND(V1529="면제",OFFSET(Y1529,0,COUNTA(Y1529:AV1529)-1)=0),"면제",
"확인요청"))))))</f>
        <v>면제</v>
      </c>
      <c r="Y1529" s="94" t="s">
        <v>7</v>
      </c>
      <c r="Z1529" s="95" t="s">
        <v>7</v>
      </c>
      <c r="AA1529" s="95" t="s">
        <v>7</v>
      </c>
      <c r="AB1529" s="95" t="s">
        <v>7</v>
      </c>
      <c r="AC1529" s="95" t="s">
        <v>7</v>
      </c>
      <c r="AD1529" s="95" t="s">
        <v>7</v>
      </c>
      <c r="AE1529" s="95" t="s">
        <v>7</v>
      </c>
      <c r="AF1529" s="95" t="s">
        <v>7</v>
      </c>
      <c r="AG1529" s="95" t="s">
        <v>7</v>
      </c>
      <c r="AH1529" s="95" t="s">
        <v>7</v>
      </c>
      <c r="AI1529" s="95" t="s">
        <v>7</v>
      </c>
      <c r="AJ1529" s="96" t="s">
        <v>7</v>
      </c>
      <c r="AK1529" s="97" t="s">
        <v>7</v>
      </c>
      <c r="AL1529" s="95" t="s">
        <v>7</v>
      </c>
      <c r="AM1529" s="90"/>
      <c r="AN1529" s="90"/>
      <c r="AO1529" s="90"/>
      <c r="AP1529" s="90"/>
      <c r="AQ1529" s="90"/>
      <c r="AR1529" s="90"/>
      <c r="AS1529" s="90"/>
      <c r="AT1529" s="90"/>
      <c r="AU1529" s="90"/>
      <c r="AV1529" s="91"/>
      <c r="AX1529" s="92"/>
    </row>
    <row r="1530" customFormat="false" ht="15.65" hidden="false" customHeight="false" outlineLevel="0" collapsed="false">
      <c r="C1530" s="72" t="n">
        <f aca="false">COUNTIFS($D$6:D1530,"&lt;&gt;"&amp;"")</f>
        <v>1525</v>
      </c>
      <c r="D1530" s="73" t="s">
        <v>12</v>
      </c>
      <c r="E1530" s="76" t="str">
        <f aca="false">
IF($D1530="정상",INDEX(임대자산!$D$3:$R$3000,MATCH($F1530,임대자산!$I$3:$I$3000,0),MATCH(E$3,임대자산!$D$3:$R$3,0)),
IF($D1530="폐업",INDEX(폐업정보!$D$3:$R$3000,MATCH($F1530,폐업정보!$I$3:$I$3000,0),MATCH(E$3,폐업정보!$D$3:$R$3,0)),
"Error"))</f>
        <v>서울</v>
      </c>
      <c r="F153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B1525</v>
      </c>
      <c r="G1530" s="76" t="str">
        <f aca="false">F1530&amp;RANDBETWEEN(0,10)</f>
        <v>B152510</v>
      </c>
      <c r="H1530" s="75" t="n">
        <f aca="false">
IF($D1530="정상",INDEX(임대자산!$D$3:$R$3000,MATCH($F1530,임대자산!$I$3:$I$3000,0),MATCH(H$4,임대자산!$D$3:$R$3,0)),
IF($D1530="폐업",INDEX(폐업정보!$D$3:$R$3000,MATCH($F1530,폐업정보!$I$3:$I$3000,0),MATCH(H$4,폐업정보!$D$3:$R$3,0)),
"Error"))</f>
        <v>45903</v>
      </c>
      <c r="I1530" s="75" t="str">
        <f aca="false">
IF($D1530="정상",INDEX(임대자산!$D$3:$R$3000,MATCH($F1530,임대자산!$I$3:$I$3000,0),MATCH(I$4,임대자산!$D$3:$R$3,0)),
IF($D1530="폐업",INDEX(폐업정보!$D$3:$R$3000,MATCH($F1530,폐업정보!$I$3:$I$3000,0),MATCH(I$4,폐업정보!$D$3:$R$3,0)),
"Error"))</f>
        <v>A1525</v>
      </c>
      <c r="J1530" s="75" t="str">
        <f aca="false">
IF($D1530="정상",INDEX(임대자산!$D$3:$R$3000,MATCH($F1530,임대자산!$I$3:$I$3000,0),MATCH(J$4,임대자산!$D$3:$R$3,0)),
IF($D1530="폐업",INDEX(폐업정보!$D$3:$R$3000,MATCH($F1530,폐업정보!$I$3:$I$3000,0),MATCH(J$4,폐업정보!$D$3:$R$3,0)),
"Error"))</f>
        <v>2477600000</v>
      </c>
      <c r="K1530" s="75" t="str">
        <f aca="false">
IF($D1530="정상",INDEX(임대자산!$D$3:$R$3000,MATCH($F1530,임대자산!$I$3:$I$3000,0),MATCH(K$4,임대자산!$D$3:$R$3,0)),
IF($D1530="폐업",INDEX(폐업정보!$D$3:$R$3000,MATCH($F1530,폐업정보!$I$3:$I$3000,0),MATCH(K$4,폐업정보!$D$3:$R$3,0)),
"Error"))</f>
        <v>C1525</v>
      </c>
      <c r="L1530" s="75" t="str">
        <f aca="false">
IF($D1530="정상",INDEX(임대자산!$D$3:$R$3000,MATCH($F1530,임대자산!$I$3:$I$3000,0),MATCH(L$4,임대자산!$D$3:$R$3,0)),
IF($D1530="폐업",INDEX(폐업정보!$D$3:$R$3000,MATCH($F1530,폐업정보!$I$3:$I$3000,0),MATCH(L$4,폐업정보!$D$3:$R$3,0)),
"Error"))</f>
        <v>D1525</v>
      </c>
      <c r="M1530" s="76" t="s">
        <v>96</v>
      </c>
      <c r="N1530" s="77"/>
      <c r="O1530" s="78" t="s">
        <v>97</v>
      </c>
      <c r="P1530" s="79" t="n">
        <f aca="false">COUNTIFS(임대자산!$I:$I,가맹점정보!F1530,임대자산!$N:$N,가맹점정보!P$4)</f>
        <v>0</v>
      </c>
      <c r="Q1530" s="80" t="n">
        <f aca="false">COUNTIFS(임대자산!$I:$I,가맹점정보!F1530,임대자산!$N:$N,가맹점정보!Q$4)</f>
        <v>0</v>
      </c>
      <c r="R1530" s="81" t="n">
        <f aca="false">COUNTIFS(임대자산!$I:$I,가맹점정보!F1530,임대자산!$N:$N,가맹점정보!R$4)</f>
        <v>1</v>
      </c>
      <c r="S1530" s="82" t="n">
        <v>55000</v>
      </c>
      <c r="T1530" s="83" t="n">
        <v>0</v>
      </c>
      <c r="U1530" s="80" t="n">
        <f aca="false">SUM(S1530:T1530)</f>
        <v>55000</v>
      </c>
      <c r="V1530" s="84" t="s">
        <v>7</v>
      </c>
      <c r="W1530" s="80" t="str">
        <f aca="true">
IF(D1530="폐업","폐업",
IF(V1530="면제","면제",
IF(AND(V1530="정상",COUNTIFS(OFFSET(Y1530,0,COUNTA(Y1530:AV1530)-1,1,-4),"미납")&gt;=3),"장기미납",
IF(AND(V1530="정상",OFFSET(Y1530,0,COUNTA(Y1530:AV1530)-1)&gt;=U1530),"정상",
IF(AND(V1530="정상",OFFSET(Y1530,0,COUNTA(Y1530:AV1530)-1)=0),"정상",
"계약서 미작성")))))</f>
        <v>면제</v>
      </c>
      <c r="X1530" s="81" t="str">
        <f aca="true">
IF(D1530="폐업","폐업",
IF(AND(V1530="정상",OFFSET(Y1530,0,COUNTA(Y1530:AV1530)-1)="미납"),"미납",
IF(AND(V1530="정상",OFFSET(Y1530,0,COUNTA(Y1530:AV1530)-1)=0),"납부 시작 전",
IF(AND(V1530="정상",OFFSET(Y1530,0,COUNTA(Y1530:AV1530)-1)&gt;=U1530),"정상",
IF(AND(V1530="면제",OFFSET(Y1530,0,COUNTA(Y1530:AV1530)-1)="면제"),"면제",
IF(AND(V1530="면제",OFFSET(Y1530,0,COUNTA(Y1530:AV1530)-1)=0),"면제",
"확인요청"))))))</f>
        <v>면제</v>
      </c>
      <c r="Y1530" s="94" t="s">
        <v>7</v>
      </c>
      <c r="Z1530" s="95" t="s">
        <v>7</v>
      </c>
      <c r="AA1530" s="95" t="s">
        <v>7</v>
      </c>
      <c r="AB1530" s="95" t="s">
        <v>7</v>
      </c>
      <c r="AC1530" s="95" t="s">
        <v>7</v>
      </c>
      <c r="AD1530" s="95" t="s">
        <v>7</v>
      </c>
      <c r="AE1530" s="95" t="s">
        <v>7</v>
      </c>
      <c r="AF1530" s="95" t="s">
        <v>7</v>
      </c>
      <c r="AG1530" s="95" t="s">
        <v>7</v>
      </c>
      <c r="AH1530" s="95" t="s">
        <v>7</v>
      </c>
      <c r="AI1530" s="95" t="s">
        <v>7</v>
      </c>
      <c r="AJ1530" s="96" t="s">
        <v>7</v>
      </c>
      <c r="AK1530" s="97" t="s">
        <v>7</v>
      </c>
      <c r="AL1530" s="95" t="s">
        <v>7</v>
      </c>
      <c r="AM1530" s="90"/>
      <c r="AN1530" s="90"/>
      <c r="AO1530" s="90"/>
      <c r="AP1530" s="90"/>
      <c r="AQ1530" s="90"/>
      <c r="AR1530" s="90"/>
      <c r="AS1530" s="90"/>
      <c r="AT1530" s="90"/>
      <c r="AU1530" s="90"/>
      <c r="AV1530" s="91"/>
      <c r="AX1530" s="92"/>
    </row>
    <row r="1531" customFormat="false" ht="15.65" hidden="false" customHeight="false" outlineLevel="0" collapsed="false">
      <c r="C1531" s="72" t="n">
        <f aca="false">COUNTIFS($D$6:D1531,"&lt;&gt;"&amp;"")</f>
        <v>1526</v>
      </c>
      <c r="D1531" s="73" t="s">
        <v>12</v>
      </c>
      <c r="E1531" s="76" t="str">
        <f aca="false">
IF($D1531="정상",INDEX(임대자산!$D$3:$R$3000,MATCH($F1531,임대자산!$I$3:$I$3000,0),MATCH(E$3,임대자산!$D$3:$R$3,0)),
IF($D1531="폐업",INDEX(폐업정보!$D$3:$R$3000,MATCH($F1531,폐업정보!$I$3:$I$3000,0),MATCH(E$3,폐업정보!$D$3:$R$3,0)),
"Error"))</f>
        <v>서울</v>
      </c>
      <c r="F153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B1526</v>
      </c>
      <c r="G1531" s="76" t="str">
        <f aca="false">F1531&amp;RANDBETWEEN(0,10)</f>
        <v>B15262</v>
      </c>
      <c r="H1531" s="75" t="n">
        <f aca="false">
IF($D1531="정상",INDEX(임대자산!$D$3:$R$3000,MATCH($F1531,임대자산!$I$3:$I$3000,0),MATCH(H$4,임대자산!$D$3:$R$3,0)),
IF($D1531="폐업",INDEX(폐업정보!$D$3:$R$3000,MATCH($F1531,폐업정보!$I$3:$I$3000,0),MATCH(H$4,폐업정보!$D$3:$R$3,0)),
"Error"))</f>
        <v>45520</v>
      </c>
      <c r="I1531" s="75" t="str">
        <f aca="false">
IF($D1531="정상",INDEX(임대자산!$D$3:$R$3000,MATCH($F1531,임대자산!$I$3:$I$3000,0),MATCH(I$4,임대자산!$D$3:$R$3,0)),
IF($D1531="폐업",INDEX(폐업정보!$D$3:$R$3000,MATCH($F1531,폐업정보!$I$3:$I$3000,0),MATCH(I$4,폐업정보!$D$3:$R$3,0)),
"Error"))</f>
        <v>A1526</v>
      </c>
      <c r="J1531" s="75" t="str">
        <f aca="false">
IF($D1531="정상",INDEX(임대자산!$D$3:$R$3000,MATCH($F1531,임대자산!$I$3:$I$3000,0),MATCH(J$4,임대자산!$D$3:$R$3,0)),
IF($D1531="폐업",INDEX(폐업정보!$D$3:$R$3000,MATCH($F1531,폐업정보!$I$3:$I$3000,0),MATCH(J$4,폐업정보!$D$3:$R$3,0)),
"Error"))</f>
        <v>5728000000</v>
      </c>
      <c r="K1531" s="75" t="str">
        <f aca="false">
IF($D1531="정상",INDEX(임대자산!$D$3:$R$3000,MATCH($F1531,임대자산!$I$3:$I$3000,0),MATCH(K$4,임대자산!$D$3:$R$3,0)),
IF($D1531="폐업",INDEX(폐업정보!$D$3:$R$3000,MATCH($F1531,폐업정보!$I$3:$I$3000,0),MATCH(K$4,폐업정보!$D$3:$R$3,0)),
"Error"))</f>
        <v>C1526</v>
      </c>
      <c r="L1531" s="75" t="str">
        <f aca="false">
IF($D1531="정상",INDEX(임대자산!$D$3:$R$3000,MATCH($F1531,임대자산!$I$3:$I$3000,0),MATCH(L$4,임대자산!$D$3:$R$3,0)),
IF($D1531="폐업",INDEX(폐업정보!$D$3:$R$3000,MATCH($F1531,폐업정보!$I$3:$I$3000,0),MATCH(L$4,폐업정보!$D$3:$R$3,0)),
"Error"))</f>
        <v>D1526</v>
      </c>
      <c r="M1531" s="76" t="s">
        <v>96</v>
      </c>
      <c r="N1531" s="77"/>
      <c r="O1531" s="78" t="s">
        <v>97</v>
      </c>
      <c r="P1531" s="79" t="n">
        <f aca="false">COUNTIFS(임대자산!$I:$I,가맹점정보!F1531,임대자산!$N:$N,가맹점정보!P$4)</f>
        <v>0</v>
      </c>
      <c r="Q1531" s="80" t="n">
        <f aca="false">COUNTIFS(임대자산!$I:$I,가맹점정보!F1531,임대자산!$N:$N,가맹점정보!Q$4)</f>
        <v>0</v>
      </c>
      <c r="R1531" s="81" t="n">
        <f aca="false">COUNTIFS(임대자산!$I:$I,가맹점정보!F1531,임대자산!$N:$N,가맹점정보!R$4)</f>
        <v>1</v>
      </c>
      <c r="S1531" s="82" t="n">
        <v>132000</v>
      </c>
      <c r="T1531" s="83" t="n">
        <v>0</v>
      </c>
      <c r="U1531" s="80" t="n">
        <f aca="false">SUM(S1531:T1531)</f>
        <v>132000</v>
      </c>
      <c r="V1531" s="84" t="s">
        <v>7</v>
      </c>
      <c r="W1531" s="80" t="str">
        <f aca="true">
IF(D1531="폐업","폐업",
IF(V1531="면제","면제",
IF(AND(V1531="정상",COUNTIFS(OFFSET(Y1531,0,COUNTA(Y1531:AV1531)-1,1,-4),"미납")&gt;=3),"장기미납",
IF(AND(V1531="정상",OFFSET(Y1531,0,COUNTA(Y1531:AV1531)-1)&gt;=U1531),"정상",
IF(AND(V1531="정상",OFFSET(Y1531,0,COUNTA(Y1531:AV1531)-1)=0),"정상",
"계약서 미작성")))))</f>
        <v>면제</v>
      </c>
      <c r="X1531" s="81" t="str">
        <f aca="true">
IF(D1531="폐업","폐업",
IF(AND(V1531="정상",OFFSET(Y1531,0,COUNTA(Y1531:AV1531)-1)="미납"),"미납",
IF(AND(V1531="정상",OFFSET(Y1531,0,COUNTA(Y1531:AV1531)-1)=0),"납부 시작 전",
IF(AND(V1531="정상",OFFSET(Y1531,0,COUNTA(Y1531:AV1531)-1)&gt;=U1531),"정상",
IF(AND(V1531="면제",OFFSET(Y1531,0,COUNTA(Y1531:AV1531)-1)="면제"),"면제",
IF(AND(V1531="면제",OFFSET(Y1531,0,COUNTA(Y1531:AV1531)-1)=0),"면제",
"확인요청"))))))</f>
        <v>면제</v>
      </c>
      <c r="Y1531" s="94" t="s">
        <v>7</v>
      </c>
      <c r="Z1531" s="95" t="s">
        <v>7</v>
      </c>
      <c r="AA1531" s="95" t="s">
        <v>7</v>
      </c>
      <c r="AB1531" s="95" t="s">
        <v>7</v>
      </c>
      <c r="AC1531" s="95" t="s">
        <v>7</v>
      </c>
      <c r="AD1531" s="95" t="s">
        <v>7</v>
      </c>
      <c r="AE1531" s="95" t="s">
        <v>7</v>
      </c>
      <c r="AF1531" s="95" t="s">
        <v>7</v>
      </c>
      <c r="AG1531" s="95" t="s">
        <v>7</v>
      </c>
      <c r="AH1531" s="95" t="s">
        <v>7</v>
      </c>
      <c r="AI1531" s="95" t="s">
        <v>7</v>
      </c>
      <c r="AJ1531" s="96" t="s">
        <v>7</v>
      </c>
      <c r="AK1531" s="97" t="s">
        <v>7</v>
      </c>
      <c r="AL1531" s="95" t="s">
        <v>7</v>
      </c>
      <c r="AM1531" s="90"/>
      <c r="AN1531" s="90"/>
      <c r="AO1531" s="90"/>
      <c r="AP1531" s="90"/>
      <c r="AQ1531" s="90"/>
      <c r="AR1531" s="90"/>
      <c r="AS1531" s="90"/>
      <c r="AT1531" s="90"/>
      <c r="AU1531" s="90"/>
      <c r="AV1531" s="91"/>
      <c r="AX1531" s="92"/>
    </row>
    <row r="1532" customFormat="false" ht="15.65" hidden="false" customHeight="false" outlineLevel="0" collapsed="false">
      <c r="C1532" s="72" t="n">
        <f aca="false">COUNTIFS($D$6:D1532,"&lt;&gt;"&amp;"")</f>
        <v>1527</v>
      </c>
      <c r="D1532" s="73" t="s">
        <v>12</v>
      </c>
      <c r="E1532" s="76" t="str">
        <f aca="false">
IF($D1532="정상",INDEX(임대자산!$D$3:$R$3000,MATCH($F1532,임대자산!$I$3:$I$3000,0),MATCH(E$3,임대자산!$D$3:$R$3,0)),
IF($D1532="폐업",INDEX(폐업정보!$D$3:$R$3000,MATCH($F1532,폐업정보!$I$3:$I$3000,0),MATCH(E$3,폐업정보!$D$3:$R$3,0)),
"Error"))</f>
        <v>경기</v>
      </c>
      <c r="F153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B1527</v>
      </c>
      <c r="G1532" s="76" t="str">
        <f aca="false">F1532&amp;RANDBETWEEN(0,10)</f>
        <v>B15279</v>
      </c>
      <c r="H1532" s="75" t="n">
        <f aca="false">
IF($D1532="정상",INDEX(임대자산!$D$3:$R$3000,MATCH($F1532,임대자산!$I$3:$I$3000,0),MATCH(H$4,임대자산!$D$3:$R$3,0)),
IF($D1532="폐업",INDEX(폐업정보!$D$3:$R$3000,MATCH($F1532,폐업정보!$I$3:$I$3000,0),MATCH(H$4,폐업정보!$D$3:$R$3,0)),
"Error"))</f>
        <v>45540</v>
      </c>
      <c r="I1532" s="75" t="str">
        <f aca="false">
IF($D1532="정상",INDEX(임대자산!$D$3:$R$3000,MATCH($F1532,임대자산!$I$3:$I$3000,0),MATCH(I$4,임대자산!$D$3:$R$3,0)),
IF($D1532="폐업",INDEX(폐업정보!$D$3:$R$3000,MATCH($F1532,폐업정보!$I$3:$I$3000,0),MATCH(I$4,폐업정보!$D$3:$R$3,0)),
"Error"))</f>
        <v>A1527</v>
      </c>
      <c r="J1532" s="75" t="str">
        <f aca="false">
IF($D1532="정상",INDEX(임대자산!$D$3:$R$3000,MATCH($F1532,임대자산!$I$3:$I$3000,0),MATCH(J$4,임대자산!$D$3:$R$3,0)),
IF($D1532="폐업",INDEX(폐업정보!$D$3:$R$3000,MATCH($F1532,폐업정보!$I$3:$I$3000,0),MATCH(J$4,폐업정보!$D$3:$R$3,0)),
"Error"))</f>
        <v>3410200000</v>
      </c>
      <c r="K1532" s="75" t="str">
        <f aca="false">
IF($D1532="정상",INDEX(임대자산!$D$3:$R$3000,MATCH($F1532,임대자산!$I$3:$I$3000,0),MATCH(K$4,임대자산!$D$3:$R$3,0)),
IF($D1532="폐업",INDEX(폐업정보!$D$3:$R$3000,MATCH($F1532,폐업정보!$I$3:$I$3000,0),MATCH(K$4,폐업정보!$D$3:$R$3,0)),
"Error"))</f>
        <v>C1527</v>
      </c>
      <c r="L1532" s="75" t="str">
        <f aca="false">
IF($D1532="정상",INDEX(임대자산!$D$3:$R$3000,MATCH($F1532,임대자산!$I$3:$I$3000,0),MATCH(L$4,임대자산!$D$3:$R$3,0)),
IF($D1532="폐업",INDEX(폐업정보!$D$3:$R$3000,MATCH($F1532,폐업정보!$I$3:$I$3000,0),MATCH(L$4,폐업정보!$D$3:$R$3,0)),
"Error"))</f>
        <v>D1527</v>
      </c>
      <c r="M1532" s="76" t="s">
        <v>96</v>
      </c>
      <c r="N1532" s="77"/>
      <c r="O1532" s="78" t="s">
        <v>97</v>
      </c>
      <c r="P1532" s="79" t="n">
        <f aca="false">COUNTIFS(임대자산!$I:$I,가맹점정보!F1532,임대자산!$N:$N,가맹점정보!P$4)</f>
        <v>0</v>
      </c>
      <c r="Q1532" s="80" t="n">
        <f aca="false">COUNTIFS(임대자산!$I:$I,가맹점정보!F1532,임대자산!$N:$N,가맹점정보!Q$4)</f>
        <v>0</v>
      </c>
      <c r="R1532" s="81" t="n">
        <f aca="false">COUNTIFS(임대자산!$I:$I,가맹점정보!F1532,임대자산!$N:$N,가맹점정보!R$4)</f>
        <v>1</v>
      </c>
      <c r="S1532" s="82" t="n">
        <v>55000</v>
      </c>
      <c r="T1532" s="83" t="n">
        <v>0</v>
      </c>
      <c r="U1532" s="80" t="n">
        <f aca="false">SUM(S1532:T1532)</f>
        <v>55000</v>
      </c>
      <c r="V1532" s="84" t="s">
        <v>7</v>
      </c>
      <c r="W1532" s="80" t="str">
        <f aca="true">
IF(D1532="폐업","폐업",
IF(V1532="면제","면제",
IF(AND(V1532="정상",COUNTIFS(OFFSET(Y1532,0,COUNTA(Y1532:AV1532)-1,1,-4),"미납")&gt;=3),"장기미납",
IF(AND(V1532="정상",OFFSET(Y1532,0,COUNTA(Y1532:AV1532)-1)&gt;=U1532),"정상",
IF(AND(V1532="정상",OFFSET(Y1532,0,COUNTA(Y1532:AV1532)-1)=0),"정상",
"계약서 미작성")))))</f>
        <v>면제</v>
      </c>
      <c r="X1532" s="81" t="str">
        <f aca="true">
IF(D1532="폐업","폐업",
IF(AND(V1532="정상",OFFSET(Y1532,0,COUNTA(Y1532:AV1532)-1)="미납"),"미납",
IF(AND(V1532="정상",OFFSET(Y1532,0,COUNTA(Y1532:AV1532)-1)=0),"납부 시작 전",
IF(AND(V1532="정상",OFFSET(Y1532,0,COUNTA(Y1532:AV1532)-1)&gt;=U1532),"정상",
IF(AND(V1532="면제",OFFSET(Y1532,0,COUNTA(Y1532:AV1532)-1)="면제"),"면제",
IF(AND(V1532="면제",OFFSET(Y1532,0,COUNTA(Y1532:AV1532)-1)=0),"면제",
"확인요청"))))))</f>
        <v>면제</v>
      </c>
      <c r="Y1532" s="94" t="s">
        <v>7</v>
      </c>
      <c r="Z1532" s="95" t="s">
        <v>7</v>
      </c>
      <c r="AA1532" s="95" t="s">
        <v>7</v>
      </c>
      <c r="AB1532" s="95" t="s">
        <v>7</v>
      </c>
      <c r="AC1532" s="95" t="s">
        <v>7</v>
      </c>
      <c r="AD1532" s="95" t="s">
        <v>7</v>
      </c>
      <c r="AE1532" s="95" t="s">
        <v>7</v>
      </c>
      <c r="AF1532" s="95" t="s">
        <v>7</v>
      </c>
      <c r="AG1532" s="95" t="s">
        <v>7</v>
      </c>
      <c r="AH1532" s="95" t="s">
        <v>7</v>
      </c>
      <c r="AI1532" s="95" t="s">
        <v>7</v>
      </c>
      <c r="AJ1532" s="96" t="s">
        <v>7</v>
      </c>
      <c r="AK1532" s="97" t="s">
        <v>7</v>
      </c>
      <c r="AL1532" s="95" t="s">
        <v>7</v>
      </c>
      <c r="AM1532" s="90"/>
      <c r="AN1532" s="90"/>
      <c r="AO1532" s="90"/>
      <c r="AP1532" s="90"/>
      <c r="AQ1532" s="90"/>
      <c r="AR1532" s="90"/>
      <c r="AS1532" s="90"/>
      <c r="AT1532" s="90"/>
      <c r="AU1532" s="90"/>
      <c r="AV1532" s="91"/>
      <c r="AX1532" s="92"/>
    </row>
    <row r="1533" customFormat="false" ht="15.65" hidden="false" customHeight="false" outlineLevel="0" collapsed="false">
      <c r="C1533" s="72" t="n">
        <f aca="false">COUNTIFS($D$6:D1533,"&lt;&gt;"&amp;"")</f>
        <v>1528</v>
      </c>
      <c r="D1533" s="73" t="s">
        <v>12</v>
      </c>
      <c r="E1533" s="76" t="str">
        <f aca="false">
IF($D1533="정상",INDEX(임대자산!$D$3:$R$3000,MATCH($F1533,임대자산!$I$3:$I$3000,0),MATCH(E$3,임대자산!$D$3:$R$3,0)),
IF($D1533="폐업",INDEX(폐업정보!$D$3:$R$3000,MATCH($F1533,폐업정보!$I$3:$I$3000,0),MATCH(E$3,폐업정보!$D$3:$R$3,0)),
"Error"))</f>
        <v>서울</v>
      </c>
      <c r="F153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B1528</v>
      </c>
      <c r="G1533" s="76" t="str">
        <f aca="false">F1533&amp;RANDBETWEEN(0,10)</f>
        <v>B15289</v>
      </c>
      <c r="H1533" s="75" t="n">
        <f aca="false">
IF($D1533="정상",INDEX(임대자산!$D$3:$R$3000,MATCH($F1533,임대자산!$I$3:$I$3000,0),MATCH(H$4,임대자산!$D$3:$R$3,0)),
IF($D1533="폐업",INDEX(폐업정보!$D$3:$R$3000,MATCH($F1533,폐업정보!$I$3:$I$3000,0),MATCH(H$4,폐업정보!$D$3:$R$3,0)),
"Error"))</f>
        <v>45504</v>
      </c>
      <c r="I1533" s="75" t="str">
        <f aca="false">
IF($D1533="정상",INDEX(임대자산!$D$3:$R$3000,MATCH($F1533,임대자산!$I$3:$I$3000,0),MATCH(I$4,임대자산!$D$3:$R$3,0)),
IF($D1533="폐업",INDEX(폐업정보!$D$3:$R$3000,MATCH($F1533,폐업정보!$I$3:$I$3000,0),MATCH(I$4,폐업정보!$D$3:$R$3,0)),
"Error"))</f>
        <v>A1528</v>
      </c>
      <c r="J1533" s="75" t="str">
        <f aca="false">
IF($D1533="정상",INDEX(임대자산!$D$3:$R$3000,MATCH($F1533,임대자산!$I$3:$I$3000,0),MATCH(J$4,임대자산!$D$3:$R$3,0)),
IF($D1533="폐업",INDEX(폐업정보!$D$3:$R$3000,MATCH($F1533,폐업정보!$I$3:$I$3000,0),MATCH(J$4,폐업정보!$D$3:$R$3,0)),
"Error"))</f>
        <v>1390800000</v>
      </c>
      <c r="K1533" s="75" t="str">
        <f aca="false">
IF($D1533="정상",INDEX(임대자산!$D$3:$R$3000,MATCH($F1533,임대자산!$I$3:$I$3000,0),MATCH(K$4,임대자산!$D$3:$R$3,0)),
IF($D1533="폐업",INDEX(폐업정보!$D$3:$R$3000,MATCH($F1533,폐업정보!$I$3:$I$3000,0),MATCH(K$4,폐업정보!$D$3:$R$3,0)),
"Error"))</f>
        <v>C1528</v>
      </c>
      <c r="L1533" s="75" t="str">
        <f aca="false">
IF($D1533="정상",INDEX(임대자산!$D$3:$R$3000,MATCH($F1533,임대자산!$I$3:$I$3000,0),MATCH(L$4,임대자산!$D$3:$R$3,0)),
IF($D1533="폐업",INDEX(폐업정보!$D$3:$R$3000,MATCH($F1533,폐업정보!$I$3:$I$3000,0),MATCH(L$4,폐업정보!$D$3:$R$3,0)),
"Error"))</f>
        <v>D1528</v>
      </c>
      <c r="M1533" s="76" t="s">
        <v>96</v>
      </c>
      <c r="N1533" s="77"/>
      <c r="O1533" s="78" t="s">
        <v>97</v>
      </c>
      <c r="P1533" s="79" t="n">
        <f aca="false">COUNTIFS(임대자산!$I:$I,가맹점정보!F1533,임대자산!$N:$N,가맹점정보!P$4)</f>
        <v>0</v>
      </c>
      <c r="Q1533" s="80" t="n">
        <f aca="false">COUNTIFS(임대자산!$I:$I,가맹점정보!F1533,임대자산!$N:$N,가맹점정보!Q$4)</f>
        <v>0</v>
      </c>
      <c r="R1533" s="81" t="n">
        <f aca="false">COUNTIFS(임대자산!$I:$I,가맹점정보!F1533,임대자산!$N:$N,가맹점정보!R$4)</f>
        <v>1</v>
      </c>
      <c r="S1533" s="82" t="n">
        <v>55000</v>
      </c>
      <c r="T1533" s="83" t="n">
        <v>0</v>
      </c>
      <c r="U1533" s="80" t="n">
        <f aca="false">SUM(S1533:T1533)</f>
        <v>55000</v>
      </c>
      <c r="V1533" s="84" t="s">
        <v>12</v>
      </c>
      <c r="W1533" s="80" t="e">
        <f aca="true">
IF(D1533="폐업","폐업",
IF(V1533="면제","면제",
IF(AND(V1533="정상",COUNTIFS(OFFSET(Y1533,0,COUNTA(Y1533:AV1533)-1,1,-4),"미납")&gt;=3),"장기미납",
IF(AND(V1533="정상",OFFSET(Y1533,0,COUNTA(Y1533:AV1533)-1)&gt;=U1533),"정상",
IF(AND(V1533="정상",OFFSET(Y1533,0,COUNTA(Y1533:AV1533)-1)=0),"정상",
"계약서 미작성")))))</f>
        <v>#VALUE!</v>
      </c>
      <c r="X1533" s="81" t="str">
        <f aca="true">
IF(D1533="폐업","폐업",
IF(AND(V1533="정상",OFFSET(Y1533,0,COUNTA(Y1533:AV1533)-1)="미납"),"미납",
IF(AND(V1533="정상",OFFSET(Y1533,0,COUNTA(Y1533:AV1533)-1)=0),"납부 시작 전",
IF(AND(V1533="정상",OFFSET(Y1533,0,COUNTA(Y1533:AV1533)-1)&gt;=U1533),"정상",
IF(AND(V1533="면제",OFFSET(Y1533,0,COUNTA(Y1533:AV1533)-1)="면제"),"면제",
IF(AND(V1533="면제",OFFSET(Y1533,0,COUNTA(Y1533:AV1533)-1)=0),"면제",
"확인요청"))))))</f>
        <v>정상</v>
      </c>
      <c r="Y1533" s="93" t="n">
        <v>55000</v>
      </c>
      <c r="Z1533" s="90" t="n">
        <v>55000</v>
      </c>
      <c r="AA1533" s="90" t="n">
        <v>55000</v>
      </c>
      <c r="AB1533" s="90" t="n">
        <v>55000</v>
      </c>
      <c r="AC1533" s="90" t="n">
        <v>55000</v>
      </c>
      <c r="AD1533" s="90" t="n">
        <v>55000</v>
      </c>
      <c r="AE1533" s="90" t="n">
        <v>55000</v>
      </c>
      <c r="AF1533" s="90" t="n">
        <v>55000</v>
      </c>
      <c r="AG1533" s="90" t="n">
        <v>55000</v>
      </c>
      <c r="AH1533" s="90" t="n">
        <v>55000</v>
      </c>
      <c r="AI1533" s="90" t="n">
        <v>55000</v>
      </c>
      <c r="AJ1533" s="91" t="n">
        <v>55000</v>
      </c>
      <c r="AK1533" s="89" t="n">
        <v>55000</v>
      </c>
      <c r="AL1533" s="90" t="n">
        <v>55000</v>
      </c>
      <c r="AM1533" s="90"/>
      <c r="AN1533" s="90"/>
      <c r="AO1533" s="90"/>
      <c r="AP1533" s="90"/>
      <c r="AQ1533" s="90"/>
      <c r="AR1533" s="90"/>
      <c r="AS1533" s="90"/>
      <c r="AT1533" s="90"/>
      <c r="AU1533" s="90"/>
      <c r="AV1533" s="91"/>
      <c r="AX1533" s="92"/>
    </row>
    <row r="1534" customFormat="false" ht="15.65" hidden="false" customHeight="false" outlineLevel="0" collapsed="false">
      <c r="C1534" s="72" t="n">
        <f aca="false">COUNTIFS($D$6:D1534,"&lt;&gt;"&amp;"")</f>
        <v>1529</v>
      </c>
      <c r="D1534" s="73" t="s">
        <v>12</v>
      </c>
      <c r="E1534" s="76" t="str">
        <f aca="false">
IF($D1534="정상",INDEX(임대자산!$D$3:$R$3000,MATCH($F1534,임대자산!$I$3:$I$3000,0),MATCH(E$3,임대자산!$D$3:$R$3,0)),
IF($D1534="폐업",INDEX(폐업정보!$D$3:$R$3000,MATCH($F1534,폐업정보!$I$3:$I$3000,0),MATCH(E$3,폐업정보!$D$3:$R$3,0)),
"Error"))</f>
        <v>경상</v>
      </c>
      <c r="F153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B1529</v>
      </c>
      <c r="G1534" s="76" t="str">
        <f aca="false">F1534&amp;RANDBETWEEN(0,10)</f>
        <v>B152910</v>
      </c>
      <c r="H1534" s="75" t="n">
        <f aca="false">
IF($D1534="정상",INDEX(임대자산!$D$3:$R$3000,MATCH($F1534,임대자산!$I$3:$I$3000,0),MATCH(H$4,임대자산!$D$3:$R$3,0)),
IF($D1534="폐업",INDEX(폐업정보!$D$3:$R$3000,MATCH($F1534,폐업정보!$I$3:$I$3000,0),MATCH(H$4,폐업정보!$D$3:$R$3,0)),
"Error"))</f>
        <v>45540</v>
      </c>
      <c r="I1534" s="75" t="str">
        <f aca="false">
IF($D1534="정상",INDEX(임대자산!$D$3:$R$3000,MATCH($F1534,임대자산!$I$3:$I$3000,0),MATCH(I$4,임대자산!$D$3:$R$3,0)),
IF($D1534="폐업",INDEX(폐업정보!$D$3:$R$3000,MATCH($F1534,폐업정보!$I$3:$I$3000,0),MATCH(I$4,폐업정보!$D$3:$R$3,0)),
"Error"))</f>
        <v>A1529</v>
      </c>
      <c r="J1534" s="75" t="str">
        <f aca="false">
IF($D1534="정상",INDEX(임대자산!$D$3:$R$3000,MATCH($F1534,임대자산!$I$3:$I$3000,0),MATCH(J$4,임대자산!$D$3:$R$3,0)),
IF($D1534="폐업",INDEX(폐업정보!$D$3:$R$3000,MATCH($F1534,폐업정보!$I$3:$I$3000,0),MATCH(J$4,폐업정보!$D$3:$R$3,0)),
"Error"))</f>
        <v>2220000000</v>
      </c>
      <c r="K1534" s="75" t="str">
        <f aca="false">
IF($D1534="정상",INDEX(임대자산!$D$3:$R$3000,MATCH($F1534,임대자산!$I$3:$I$3000,0),MATCH(K$4,임대자산!$D$3:$R$3,0)),
IF($D1534="폐업",INDEX(폐업정보!$D$3:$R$3000,MATCH($F1534,폐업정보!$I$3:$I$3000,0),MATCH(K$4,폐업정보!$D$3:$R$3,0)),
"Error"))</f>
        <v>C1529</v>
      </c>
      <c r="L1534" s="75" t="str">
        <f aca="false">
IF($D1534="정상",INDEX(임대자산!$D$3:$R$3000,MATCH($F1534,임대자산!$I$3:$I$3000,0),MATCH(L$4,임대자산!$D$3:$R$3,0)),
IF($D1534="폐업",INDEX(폐업정보!$D$3:$R$3000,MATCH($F1534,폐업정보!$I$3:$I$3000,0),MATCH(L$4,폐업정보!$D$3:$R$3,0)),
"Error"))</f>
        <v>D1529</v>
      </c>
      <c r="M1534" s="76" t="s">
        <v>96</v>
      </c>
      <c r="N1534" s="77"/>
      <c r="O1534" s="78" t="s">
        <v>97</v>
      </c>
      <c r="P1534" s="79" t="n">
        <f aca="false">COUNTIFS(임대자산!$I:$I,가맹점정보!F1534,임대자산!$N:$N,가맹점정보!P$4)</f>
        <v>0</v>
      </c>
      <c r="Q1534" s="80" t="n">
        <f aca="false">COUNTIFS(임대자산!$I:$I,가맹점정보!F1534,임대자산!$N:$N,가맹점정보!Q$4)</f>
        <v>0</v>
      </c>
      <c r="R1534" s="81" t="n">
        <f aca="false">COUNTIFS(임대자산!$I:$I,가맹점정보!F1534,임대자산!$N:$N,가맹점정보!R$4)</f>
        <v>1</v>
      </c>
      <c r="S1534" s="82" t="n">
        <v>55000</v>
      </c>
      <c r="T1534" s="83" t="n">
        <v>0</v>
      </c>
      <c r="U1534" s="80" t="n">
        <f aca="false">SUM(S1534:T1534)</f>
        <v>55000</v>
      </c>
      <c r="V1534" s="84" t="s">
        <v>12</v>
      </c>
      <c r="W1534" s="80" t="e">
        <f aca="true">
IF(D1534="폐업","폐업",
IF(V1534="면제","면제",
IF(AND(V1534="정상",COUNTIFS(OFFSET(Y1534,0,COUNTA(Y1534:AV1534)-1,1,-4),"미납")&gt;=3),"장기미납",
IF(AND(V1534="정상",OFFSET(Y1534,0,COUNTA(Y1534:AV1534)-1)&gt;=U1534),"정상",
IF(AND(V1534="정상",OFFSET(Y1534,0,COUNTA(Y1534:AV1534)-1)=0),"정상",
"계약서 미작성")))))</f>
        <v>#VALUE!</v>
      </c>
      <c r="X1534" s="81" t="str">
        <f aca="true">
IF(D1534="폐업","폐업",
IF(AND(V1534="정상",OFFSET(Y1534,0,COUNTA(Y1534:AV1534)-1)="미납"),"미납",
IF(AND(V1534="정상",OFFSET(Y1534,0,COUNTA(Y1534:AV1534)-1)=0),"납부 시작 전",
IF(AND(V1534="정상",OFFSET(Y1534,0,COUNTA(Y1534:AV1534)-1)&gt;=U1534),"정상",
IF(AND(V1534="면제",OFFSET(Y1534,0,COUNTA(Y1534:AV1534)-1)="면제"),"면제",
IF(AND(V1534="면제",OFFSET(Y1534,0,COUNTA(Y1534:AV1534)-1)=0),"면제",
"확인요청"))))))</f>
        <v>정상</v>
      </c>
      <c r="Y1534" s="93" t="n">
        <v>55000</v>
      </c>
      <c r="Z1534" s="90" t="n">
        <v>55000</v>
      </c>
      <c r="AA1534" s="90" t="n">
        <v>55000</v>
      </c>
      <c r="AB1534" s="90" t="n">
        <v>55000</v>
      </c>
      <c r="AC1534" s="90" t="n">
        <v>55000</v>
      </c>
      <c r="AD1534" s="90" t="n">
        <v>55000</v>
      </c>
      <c r="AE1534" s="90" t="n">
        <v>55000</v>
      </c>
      <c r="AF1534" s="90" t="n">
        <v>55000</v>
      </c>
      <c r="AG1534" s="90" t="n">
        <v>55000</v>
      </c>
      <c r="AH1534" s="90" t="n">
        <v>55000</v>
      </c>
      <c r="AI1534" s="90" t="n">
        <v>55000</v>
      </c>
      <c r="AJ1534" s="91" t="n">
        <v>55000</v>
      </c>
      <c r="AK1534" s="89" t="n">
        <v>55000</v>
      </c>
      <c r="AL1534" s="90" t="n">
        <v>55000</v>
      </c>
      <c r="AM1534" s="90"/>
      <c r="AN1534" s="90"/>
      <c r="AO1534" s="90"/>
      <c r="AP1534" s="90"/>
      <c r="AQ1534" s="90"/>
      <c r="AR1534" s="90"/>
      <c r="AS1534" s="90"/>
      <c r="AT1534" s="90"/>
      <c r="AU1534" s="90"/>
      <c r="AV1534" s="91"/>
      <c r="AX1534" s="92"/>
    </row>
    <row r="1535" customFormat="false" ht="15.65" hidden="false" customHeight="false" outlineLevel="0" collapsed="false">
      <c r="C1535" s="72" t="n">
        <f aca="false">COUNTIFS($D$6:D1535,"&lt;&gt;"&amp;"")</f>
        <v>1530</v>
      </c>
      <c r="D1535" s="73" t="s">
        <v>12</v>
      </c>
      <c r="E1535" s="76" t="str">
        <f aca="false">
IF($D1535="정상",INDEX(임대자산!$D$3:$R$3000,MATCH($F1535,임대자산!$I$3:$I$3000,0),MATCH(E$3,임대자산!$D$3:$R$3,0)),
IF($D1535="폐업",INDEX(폐업정보!$D$3:$R$3000,MATCH($F1535,폐업정보!$I$3:$I$3000,0),MATCH(E$3,폐업정보!$D$3:$R$3,0)),
"Error"))</f>
        <v>서울</v>
      </c>
      <c r="F153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B1530</v>
      </c>
      <c r="G1535" s="76" t="str">
        <f aca="false">F1535&amp;RANDBETWEEN(0,10)</f>
        <v>B15301</v>
      </c>
      <c r="H1535" s="75" t="n">
        <f aca="false">
IF($D1535="정상",INDEX(임대자산!$D$3:$R$3000,MATCH($F1535,임대자산!$I$3:$I$3000,0),MATCH(H$4,임대자산!$D$3:$R$3,0)),
IF($D1535="폐업",INDEX(폐업정보!$D$3:$R$3000,MATCH($F1535,폐업정보!$I$3:$I$3000,0),MATCH(H$4,폐업정보!$D$3:$R$3,0)),
"Error"))</f>
        <v>45523</v>
      </c>
      <c r="I1535" s="75" t="str">
        <f aca="false">
IF($D1535="정상",INDEX(임대자산!$D$3:$R$3000,MATCH($F1535,임대자산!$I$3:$I$3000,0),MATCH(I$4,임대자산!$D$3:$R$3,0)),
IF($D1535="폐업",INDEX(폐업정보!$D$3:$R$3000,MATCH($F1535,폐업정보!$I$3:$I$3000,0),MATCH(I$4,폐업정보!$D$3:$R$3,0)),
"Error"))</f>
        <v>A1530</v>
      </c>
      <c r="J1535" s="75" t="str">
        <f aca="false">
IF($D1535="정상",INDEX(임대자산!$D$3:$R$3000,MATCH($F1535,임대자산!$I$3:$I$3000,0),MATCH(J$4,임대자산!$D$3:$R$3,0)),
IF($D1535="폐업",INDEX(폐업정보!$D$3:$R$3000,MATCH($F1535,폐업정보!$I$3:$I$3000,0),MATCH(J$4,폐업정보!$D$3:$R$3,0)),
"Error"))</f>
        <v>5421900000</v>
      </c>
      <c r="K1535" s="75" t="str">
        <f aca="false">
IF($D1535="정상",INDEX(임대자산!$D$3:$R$3000,MATCH($F1535,임대자산!$I$3:$I$3000,0),MATCH(K$4,임대자산!$D$3:$R$3,0)),
IF($D1535="폐업",INDEX(폐업정보!$D$3:$R$3000,MATCH($F1535,폐업정보!$I$3:$I$3000,0),MATCH(K$4,폐업정보!$D$3:$R$3,0)),
"Error"))</f>
        <v>C1530</v>
      </c>
      <c r="L1535" s="75" t="str">
        <f aca="false">
IF($D1535="정상",INDEX(임대자산!$D$3:$R$3000,MATCH($F1535,임대자산!$I$3:$I$3000,0),MATCH(L$4,임대자산!$D$3:$R$3,0)),
IF($D1535="폐업",INDEX(폐업정보!$D$3:$R$3000,MATCH($F1535,폐업정보!$I$3:$I$3000,0),MATCH(L$4,폐업정보!$D$3:$R$3,0)),
"Error"))</f>
        <v>D1530</v>
      </c>
      <c r="M1535" s="76" t="s">
        <v>96</v>
      </c>
      <c r="N1535" s="77"/>
      <c r="O1535" s="78" t="s">
        <v>97</v>
      </c>
      <c r="P1535" s="79" t="n">
        <f aca="false">COUNTIFS(임대자산!$I:$I,가맹점정보!F1535,임대자산!$N:$N,가맹점정보!P$4)</f>
        <v>0</v>
      </c>
      <c r="Q1535" s="80" t="n">
        <f aca="false">COUNTIFS(임대자산!$I:$I,가맹점정보!F1535,임대자산!$N:$N,가맹점정보!Q$4)</f>
        <v>0</v>
      </c>
      <c r="R1535" s="81" t="n">
        <f aca="false">COUNTIFS(임대자산!$I:$I,가맹점정보!F1535,임대자산!$N:$N,가맹점정보!R$4)</f>
        <v>1</v>
      </c>
      <c r="S1535" s="82" t="n">
        <v>55000</v>
      </c>
      <c r="T1535" s="83" t="n">
        <v>0</v>
      </c>
      <c r="U1535" s="80" t="n">
        <f aca="false">SUM(S1535:T1535)</f>
        <v>55000</v>
      </c>
      <c r="V1535" s="84" t="s">
        <v>7</v>
      </c>
      <c r="W1535" s="80" t="str">
        <f aca="true">
IF(D1535="폐업","폐업",
IF(V1535="면제","면제",
IF(AND(V1535="정상",COUNTIFS(OFFSET(Y1535,0,COUNTA(Y1535:AV1535)-1,1,-4),"미납")&gt;=3),"장기미납",
IF(AND(V1535="정상",OFFSET(Y1535,0,COUNTA(Y1535:AV1535)-1)&gt;=U1535),"정상",
IF(AND(V1535="정상",OFFSET(Y1535,0,COUNTA(Y1535:AV1535)-1)=0),"정상",
"계약서 미작성")))))</f>
        <v>면제</v>
      </c>
      <c r="X1535" s="81" t="str">
        <f aca="true">
IF(D1535="폐업","폐업",
IF(AND(V1535="정상",OFFSET(Y1535,0,COUNTA(Y1535:AV1535)-1)="미납"),"미납",
IF(AND(V1535="정상",OFFSET(Y1535,0,COUNTA(Y1535:AV1535)-1)=0),"납부 시작 전",
IF(AND(V1535="정상",OFFSET(Y1535,0,COUNTA(Y1535:AV1535)-1)&gt;=U1535),"정상",
IF(AND(V1535="면제",OFFSET(Y1535,0,COUNTA(Y1535:AV1535)-1)="면제"),"면제",
IF(AND(V1535="면제",OFFSET(Y1535,0,COUNTA(Y1535:AV1535)-1)=0),"면제",
"확인요청"))))))</f>
        <v>면제</v>
      </c>
      <c r="Y1535" s="94" t="s">
        <v>7</v>
      </c>
      <c r="Z1535" s="95" t="s">
        <v>7</v>
      </c>
      <c r="AA1535" s="95" t="s">
        <v>7</v>
      </c>
      <c r="AB1535" s="95" t="s">
        <v>7</v>
      </c>
      <c r="AC1535" s="95" t="s">
        <v>7</v>
      </c>
      <c r="AD1535" s="95" t="s">
        <v>7</v>
      </c>
      <c r="AE1535" s="95" t="s">
        <v>7</v>
      </c>
      <c r="AF1535" s="95" t="s">
        <v>7</v>
      </c>
      <c r="AG1535" s="95" t="s">
        <v>7</v>
      </c>
      <c r="AH1535" s="95" t="s">
        <v>7</v>
      </c>
      <c r="AI1535" s="95" t="s">
        <v>7</v>
      </c>
      <c r="AJ1535" s="96" t="s">
        <v>7</v>
      </c>
      <c r="AK1535" s="97" t="s">
        <v>7</v>
      </c>
      <c r="AL1535" s="95" t="s">
        <v>7</v>
      </c>
      <c r="AM1535" s="90"/>
      <c r="AN1535" s="90"/>
      <c r="AO1535" s="90"/>
      <c r="AP1535" s="90"/>
      <c r="AQ1535" s="90"/>
      <c r="AR1535" s="90"/>
      <c r="AS1535" s="90"/>
      <c r="AT1535" s="90"/>
      <c r="AU1535" s="90"/>
      <c r="AV1535" s="91"/>
      <c r="AX1535" s="92"/>
    </row>
    <row r="1536" customFormat="false" ht="15.65" hidden="false" customHeight="false" outlineLevel="0" collapsed="false">
      <c r="C1536" s="72" t="n">
        <f aca="false">COUNTIFS($D$6:D1536,"&lt;&gt;"&amp;"")</f>
        <v>1531</v>
      </c>
      <c r="D1536" s="73" t="s">
        <v>12</v>
      </c>
      <c r="E1536" s="76" t="str">
        <f aca="false">
IF($D1536="정상",INDEX(임대자산!$D$3:$R$3000,MATCH($F1536,임대자산!$I$3:$I$3000,0),MATCH(E$3,임대자산!$D$3:$R$3,0)),
IF($D1536="폐업",INDEX(폐업정보!$D$3:$R$3000,MATCH($F1536,폐업정보!$I$3:$I$3000,0),MATCH(E$3,폐업정보!$D$3:$R$3,0)),
"Error"))</f>
        <v>서울</v>
      </c>
      <c r="F153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B1531</v>
      </c>
      <c r="G1536" s="76" t="str">
        <f aca="false">F1536&amp;RANDBETWEEN(0,10)</f>
        <v>B15316</v>
      </c>
      <c r="H1536" s="75" t="n">
        <f aca="false">
IF($D1536="정상",INDEX(임대자산!$D$3:$R$3000,MATCH($F1536,임대자산!$I$3:$I$3000,0),MATCH(H$4,임대자산!$D$3:$R$3,0)),
IF($D1536="폐업",INDEX(폐업정보!$D$3:$R$3000,MATCH($F1536,폐업정보!$I$3:$I$3000,0),MATCH(H$4,폐업정보!$D$3:$R$3,0)),
"Error"))</f>
        <v>45523</v>
      </c>
      <c r="I1536" s="75" t="str">
        <f aca="false">
IF($D1536="정상",INDEX(임대자산!$D$3:$R$3000,MATCH($F1536,임대자산!$I$3:$I$3000,0),MATCH(I$4,임대자산!$D$3:$R$3,0)),
IF($D1536="폐업",INDEX(폐업정보!$D$3:$R$3000,MATCH($F1536,폐업정보!$I$3:$I$3000,0),MATCH(I$4,폐업정보!$D$3:$R$3,0)),
"Error"))</f>
        <v>A1531</v>
      </c>
      <c r="J1536" s="75" t="str">
        <f aca="false">
IF($D1536="정상",INDEX(임대자산!$D$3:$R$3000,MATCH($F1536,임대자산!$I$3:$I$3000,0),MATCH(J$4,임대자산!$D$3:$R$3,0)),
IF($D1536="폐업",INDEX(폐업정보!$D$3:$R$3000,MATCH($F1536,폐업정보!$I$3:$I$3000,0),MATCH(J$4,폐업정보!$D$3:$R$3,0)),
"Error"))</f>
        <v>4289300000</v>
      </c>
      <c r="K1536" s="75" t="str">
        <f aca="false">
IF($D1536="정상",INDEX(임대자산!$D$3:$R$3000,MATCH($F1536,임대자산!$I$3:$I$3000,0),MATCH(K$4,임대자산!$D$3:$R$3,0)),
IF($D1536="폐업",INDEX(폐업정보!$D$3:$R$3000,MATCH($F1536,폐업정보!$I$3:$I$3000,0),MATCH(K$4,폐업정보!$D$3:$R$3,0)),
"Error"))</f>
        <v>C1531</v>
      </c>
      <c r="L1536" s="75" t="str">
        <f aca="false">
IF($D1536="정상",INDEX(임대자산!$D$3:$R$3000,MATCH($F1536,임대자산!$I$3:$I$3000,0),MATCH(L$4,임대자산!$D$3:$R$3,0)),
IF($D1536="폐업",INDEX(폐업정보!$D$3:$R$3000,MATCH($F1536,폐업정보!$I$3:$I$3000,0),MATCH(L$4,폐업정보!$D$3:$R$3,0)),
"Error"))</f>
        <v>D1531</v>
      </c>
      <c r="M1536" s="76" t="s">
        <v>96</v>
      </c>
      <c r="N1536" s="77"/>
      <c r="O1536" s="78" t="s">
        <v>97</v>
      </c>
      <c r="P1536" s="79" t="n">
        <f aca="false">COUNTIFS(임대자산!$I:$I,가맹점정보!F1536,임대자산!$N:$N,가맹점정보!P$4)</f>
        <v>0</v>
      </c>
      <c r="Q1536" s="80" t="n">
        <f aca="false">COUNTIFS(임대자산!$I:$I,가맹점정보!F1536,임대자산!$N:$N,가맹점정보!Q$4)</f>
        <v>0</v>
      </c>
      <c r="R1536" s="81" t="n">
        <f aca="false">COUNTIFS(임대자산!$I:$I,가맹점정보!F1536,임대자산!$N:$N,가맹점정보!R$4)</f>
        <v>1</v>
      </c>
      <c r="S1536" s="82" t="n">
        <v>55000</v>
      </c>
      <c r="T1536" s="83" t="n">
        <v>0</v>
      </c>
      <c r="U1536" s="80" t="n">
        <f aca="false">SUM(S1536:T1536)</f>
        <v>55000</v>
      </c>
      <c r="V1536" s="84" t="s">
        <v>12</v>
      </c>
      <c r="W1536" s="80" t="e">
        <f aca="true">
IF(D1536="폐업","폐업",
IF(V1536="면제","면제",
IF(AND(V1536="정상",COUNTIFS(OFFSET(Y1536,0,COUNTA(Y1536:AV1536)-1,1,-4),"미납")&gt;=3),"장기미납",
IF(AND(V1536="정상",OFFSET(Y1536,0,COUNTA(Y1536:AV1536)-1)&gt;=U1536),"정상",
IF(AND(V1536="정상",OFFSET(Y1536,0,COUNTA(Y1536:AV1536)-1)=0),"정상",
"계약서 미작성")))))</f>
        <v>#VALUE!</v>
      </c>
      <c r="X1536" s="81" t="str">
        <f aca="true">
IF(D1536="폐업","폐업",
IF(AND(V1536="정상",OFFSET(Y1536,0,COUNTA(Y1536:AV1536)-1)="미납"),"미납",
IF(AND(V1536="정상",OFFSET(Y1536,0,COUNTA(Y1536:AV1536)-1)=0),"납부 시작 전",
IF(AND(V1536="정상",OFFSET(Y1536,0,COUNTA(Y1536:AV1536)-1)&gt;=U1536),"정상",
IF(AND(V1536="면제",OFFSET(Y1536,0,COUNTA(Y1536:AV1536)-1)="면제"),"면제",
IF(AND(V1536="면제",OFFSET(Y1536,0,COUNTA(Y1536:AV1536)-1)=0),"면제",
"확인요청"))))))</f>
        <v>정상</v>
      </c>
      <c r="Y1536" s="93" t="n">
        <v>55000</v>
      </c>
      <c r="Z1536" s="90" t="n">
        <v>55000</v>
      </c>
      <c r="AA1536" s="90" t="n">
        <v>55000</v>
      </c>
      <c r="AB1536" s="90" t="n">
        <v>55000</v>
      </c>
      <c r="AC1536" s="90" t="n">
        <v>55000</v>
      </c>
      <c r="AD1536" s="90" t="n">
        <v>55000</v>
      </c>
      <c r="AE1536" s="90" t="n">
        <v>55000</v>
      </c>
      <c r="AF1536" s="90" t="n">
        <v>55000</v>
      </c>
      <c r="AG1536" s="90" t="n">
        <v>55000</v>
      </c>
      <c r="AH1536" s="90" t="n">
        <v>55000</v>
      </c>
      <c r="AI1536" s="90" t="n">
        <v>55000</v>
      </c>
      <c r="AJ1536" s="91" t="n">
        <v>55000</v>
      </c>
      <c r="AK1536" s="89" t="n">
        <v>55000</v>
      </c>
      <c r="AL1536" s="90" t="n">
        <v>55000</v>
      </c>
      <c r="AM1536" s="90"/>
      <c r="AN1536" s="90"/>
      <c r="AO1536" s="90"/>
      <c r="AP1536" s="90"/>
      <c r="AQ1536" s="90"/>
      <c r="AR1536" s="90"/>
      <c r="AS1536" s="90"/>
      <c r="AT1536" s="90"/>
      <c r="AU1536" s="90"/>
      <c r="AV1536" s="91"/>
      <c r="AX1536" s="92"/>
    </row>
    <row r="1537" customFormat="false" ht="15.65" hidden="false" customHeight="false" outlineLevel="0" collapsed="false">
      <c r="C1537" s="72" t="n">
        <f aca="false">COUNTIFS($D$6:D1537,"&lt;&gt;"&amp;"")</f>
        <v>1532</v>
      </c>
      <c r="D1537" s="73" t="s">
        <v>12</v>
      </c>
      <c r="E1537" s="76" t="str">
        <f aca="false">
IF($D1537="정상",INDEX(임대자산!$D$3:$R$3000,MATCH($F1537,임대자산!$I$3:$I$3000,0),MATCH(E$3,임대자산!$D$3:$R$3,0)),
IF($D1537="폐업",INDEX(폐업정보!$D$3:$R$3000,MATCH($F1537,폐업정보!$I$3:$I$3000,0),MATCH(E$3,폐업정보!$D$3:$R$3,0)),
"Error"))</f>
        <v>경기</v>
      </c>
      <c r="F153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B1532</v>
      </c>
      <c r="G1537" s="76" t="str">
        <f aca="false">F1537&amp;RANDBETWEEN(0,10)</f>
        <v>B15329</v>
      </c>
      <c r="H1537" s="75" t="n">
        <f aca="false">
IF($D1537="정상",INDEX(임대자산!$D$3:$R$3000,MATCH($F1537,임대자산!$I$3:$I$3000,0),MATCH(H$4,임대자산!$D$3:$R$3,0)),
IF($D1537="폐업",INDEX(폐업정보!$D$3:$R$3000,MATCH($F1537,폐업정보!$I$3:$I$3000,0),MATCH(H$4,폐업정보!$D$3:$R$3,0)),
"Error"))</f>
        <v>45537</v>
      </c>
      <c r="I1537" s="75" t="str">
        <f aca="false">
IF($D1537="정상",INDEX(임대자산!$D$3:$R$3000,MATCH($F1537,임대자산!$I$3:$I$3000,0),MATCH(I$4,임대자산!$D$3:$R$3,0)),
IF($D1537="폐업",INDEX(폐업정보!$D$3:$R$3000,MATCH($F1537,폐업정보!$I$3:$I$3000,0),MATCH(I$4,폐업정보!$D$3:$R$3,0)),
"Error"))</f>
        <v>A1532</v>
      </c>
      <c r="J1537" s="75" t="str">
        <f aca="false">
IF($D1537="정상",INDEX(임대자산!$D$3:$R$3000,MATCH($F1537,임대자산!$I$3:$I$3000,0),MATCH(J$4,임대자산!$D$3:$R$3,0)),
IF($D1537="폐업",INDEX(폐업정보!$D$3:$R$3000,MATCH($F1537,폐업정보!$I$3:$I$3000,0),MATCH(J$4,폐업정보!$D$3:$R$3,0)),
"Error"))</f>
        <v>6313600000</v>
      </c>
      <c r="K1537" s="75" t="str">
        <f aca="false">
IF($D1537="정상",INDEX(임대자산!$D$3:$R$3000,MATCH($F1537,임대자산!$I$3:$I$3000,0),MATCH(K$4,임대자산!$D$3:$R$3,0)),
IF($D1537="폐업",INDEX(폐업정보!$D$3:$R$3000,MATCH($F1537,폐업정보!$I$3:$I$3000,0),MATCH(K$4,폐업정보!$D$3:$R$3,0)),
"Error"))</f>
        <v>C1532</v>
      </c>
      <c r="L1537" s="75" t="str">
        <f aca="false">
IF($D1537="정상",INDEX(임대자산!$D$3:$R$3000,MATCH($F1537,임대자산!$I$3:$I$3000,0),MATCH(L$4,임대자산!$D$3:$R$3,0)),
IF($D1537="폐업",INDEX(폐업정보!$D$3:$R$3000,MATCH($F1537,폐업정보!$I$3:$I$3000,0),MATCH(L$4,폐업정보!$D$3:$R$3,0)),
"Error"))</f>
        <v>D1532</v>
      </c>
      <c r="M1537" s="76" t="s">
        <v>96</v>
      </c>
      <c r="N1537" s="77"/>
      <c r="O1537" s="78" t="s">
        <v>97</v>
      </c>
      <c r="P1537" s="79" t="n">
        <f aca="false">COUNTIFS(임대자산!$I:$I,가맹점정보!F1537,임대자산!$N:$N,가맹점정보!P$4)</f>
        <v>0</v>
      </c>
      <c r="Q1537" s="80" t="n">
        <f aca="false">COUNTIFS(임대자산!$I:$I,가맹점정보!F1537,임대자산!$N:$N,가맹점정보!Q$4)</f>
        <v>0</v>
      </c>
      <c r="R1537" s="81" t="n">
        <f aca="false">COUNTIFS(임대자산!$I:$I,가맹점정보!F1537,임대자산!$N:$N,가맹점정보!R$4)</f>
        <v>1</v>
      </c>
      <c r="S1537" s="82" t="n">
        <v>55000</v>
      </c>
      <c r="T1537" s="83" t="n">
        <v>0</v>
      </c>
      <c r="U1537" s="80" t="n">
        <f aca="false">SUM(S1537:T1537)</f>
        <v>55000</v>
      </c>
      <c r="V1537" s="84" t="s">
        <v>12</v>
      </c>
      <c r="W1537" s="80" t="e">
        <f aca="true">
IF(D1537="폐업","폐업",
IF(V1537="면제","면제",
IF(AND(V1537="정상",COUNTIFS(OFFSET(Y1537,0,COUNTA(Y1537:AV1537)-1,1,-4),"미납")&gt;=3),"장기미납",
IF(AND(V1537="정상",OFFSET(Y1537,0,COUNTA(Y1537:AV1537)-1)&gt;=U1537),"정상",
IF(AND(V1537="정상",OFFSET(Y1537,0,COUNTA(Y1537:AV1537)-1)=0),"정상",
"계약서 미작성")))))</f>
        <v>#VALUE!</v>
      </c>
      <c r="X1537" s="81" t="str">
        <f aca="true">
IF(D1537="폐업","폐업",
IF(AND(V1537="정상",OFFSET(Y1537,0,COUNTA(Y1537:AV1537)-1)="미납"),"미납",
IF(AND(V1537="정상",OFFSET(Y1537,0,COUNTA(Y1537:AV1537)-1)=0),"납부 시작 전",
IF(AND(V1537="정상",OFFSET(Y1537,0,COUNTA(Y1537:AV1537)-1)&gt;=U1537),"정상",
IF(AND(V1537="면제",OFFSET(Y1537,0,COUNTA(Y1537:AV1537)-1)="면제"),"면제",
IF(AND(V1537="면제",OFFSET(Y1537,0,COUNTA(Y1537:AV1537)-1)=0),"면제",
"확인요청"))))))</f>
        <v>정상</v>
      </c>
      <c r="Y1537" s="93" t="n">
        <v>55000</v>
      </c>
      <c r="Z1537" s="90" t="n">
        <v>55000</v>
      </c>
      <c r="AA1537" s="90" t="n">
        <v>55000</v>
      </c>
      <c r="AB1537" s="90" t="n">
        <v>55000</v>
      </c>
      <c r="AC1537" s="90" t="n">
        <v>55000</v>
      </c>
      <c r="AD1537" s="90" t="n">
        <v>55000</v>
      </c>
      <c r="AE1537" s="90" t="n">
        <v>55000</v>
      </c>
      <c r="AF1537" s="90" t="n">
        <v>55000</v>
      </c>
      <c r="AG1537" s="90" t="n">
        <v>55000</v>
      </c>
      <c r="AH1537" s="90" t="n">
        <v>55000</v>
      </c>
      <c r="AI1537" s="90" t="n">
        <v>55000</v>
      </c>
      <c r="AJ1537" s="91" t="n">
        <v>55000</v>
      </c>
      <c r="AK1537" s="89" t="n">
        <v>55000</v>
      </c>
      <c r="AL1537" s="90" t="n">
        <v>55000</v>
      </c>
      <c r="AM1537" s="90"/>
      <c r="AN1537" s="90"/>
      <c r="AO1537" s="90"/>
      <c r="AP1537" s="90"/>
      <c r="AQ1537" s="90"/>
      <c r="AR1537" s="90"/>
      <c r="AS1537" s="90"/>
      <c r="AT1537" s="90"/>
      <c r="AU1537" s="90"/>
      <c r="AV1537" s="91"/>
      <c r="AX1537" s="92"/>
    </row>
    <row r="1538" customFormat="false" ht="15.65" hidden="false" customHeight="false" outlineLevel="0" collapsed="false">
      <c r="C1538" s="72" t="n">
        <f aca="false">COUNTIFS($D$6:D1538,"&lt;&gt;"&amp;"")</f>
        <v>1533</v>
      </c>
      <c r="D1538" s="73" t="s">
        <v>12</v>
      </c>
      <c r="E1538" s="76" t="str">
        <f aca="false">
IF($D1538="정상",INDEX(임대자산!$D$3:$R$3000,MATCH($F1538,임대자산!$I$3:$I$3000,0),MATCH(E$3,임대자산!$D$3:$R$3,0)),
IF($D1538="폐업",INDEX(폐업정보!$D$3:$R$3000,MATCH($F1538,폐업정보!$I$3:$I$3000,0),MATCH(E$3,폐업정보!$D$3:$R$3,0)),
"Error"))</f>
        <v>경기</v>
      </c>
      <c r="F153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B1533</v>
      </c>
      <c r="G1538" s="76" t="str">
        <f aca="false">F1538&amp;RANDBETWEEN(0,10)</f>
        <v>B15335</v>
      </c>
      <c r="H1538" s="75" t="n">
        <f aca="false">
IF($D1538="정상",INDEX(임대자산!$D$3:$R$3000,MATCH($F1538,임대자산!$I$3:$I$3000,0),MATCH(H$4,임대자산!$D$3:$R$3,0)),
IF($D1538="폐업",INDEX(폐업정보!$D$3:$R$3000,MATCH($F1538,폐업정보!$I$3:$I$3000,0),MATCH(H$4,폐업정보!$D$3:$R$3,0)),
"Error"))</f>
        <v>45537</v>
      </c>
      <c r="I1538" s="75" t="str">
        <f aca="false">
IF($D1538="정상",INDEX(임대자산!$D$3:$R$3000,MATCH($F1538,임대자산!$I$3:$I$3000,0),MATCH(I$4,임대자산!$D$3:$R$3,0)),
IF($D1538="폐업",INDEX(폐업정보!$D$3:$R$3000,MATCH($F1538,폐업정보!$I$3:$I$3000,0),MATCH(I$4,폐업정보!$D$3:$R$3,0)),
"Error"))</f>
        <v>A1533</v>
      </c>
      <c r="J1538" s="75" t="str">
        <f aca="false">
IF($D1538="정상",INDEX(임대자산!$D$3:$R$3000,MATCH($F1538,임대자산!$I$3:$I$3000,0),MATCH(J$4,임대자산!$D$3:$R$3,0)),
IF($D1538="폐업",INDEX(폐업정보!$D$3:$R$3000,MATCH($F1538,폐업정보!$I$3:$I$3000,0),MATCH(J$4,폐업정보!$D$3:$R$3,0)),
"Error"))</f>
        <v>2878100000</v>
      </c>
      <c r="K1538" s="75" t="str">
        <f aca="false">
IF($D1538="정상",INDEX(임대자산!$D$3:$R$3000,MATCH($F1538,임대자산!$I$3:$I$3000,0),MATCH(K$4,임대자산!$D$3:$R$3,0)),
IF($D1538="폐업",INDEX(폐업정보!$D$3:$R$3000,MATCH($F1538,폐업정보!$I$3:$I$3000,0),MATCH(K$4,폐업정보!$D$3:$R$3,0)),
"Error"))</f>
        <v>C1533</v>
      </c>
      <c r="L1538" s="75" t="str">
        <f aca="false">
IF($D1538="정상",INDEX(임대자산!$D$3:$R$3000,MATCH($F1538,임대자산!$I$3:$I$3000,0),MATCH(L$4,임대자산!$D$3:$R$3,0)),
IF($D1538="폐업",INDEX(폐업정보!$D$3:$R$3000,MATCH($F1538,폐업정보!$I$3:$I$3000,0),MATCH(L$4,폐업정보!$D$3:$R$3,0)),
"Error"))</f>
        <v>D1533</v>
      </c>
      <c r="M1538" s="76" t="s">
        <v>96</v>
      </c>
      <c r="N1538" s="77"/>
      <c r="O1538" s="78" t="s">
        <v>97</v>
      </c>
      <c r="P1538" s="79" t="n">
        <f aca="false">COUNTIFS(임대자산!$I:$I,가맹점정보!F1538,임대자산!$N:$N,가맹점정보!P$4)</f>
        <v>0</v>
      </c>
      <c r="Q1538" s="80" t="n">
        <f aca="false">COUNTIFS(임대자산!$I:$I,가맹점정보!F1538,임대자산!$N:$N,가맹점정보!Q$4)</f>
        <v>0</v>
      </c>
      <c r="R1538" s="81" t="n">
        <f aca="false">COUNTIFS(임대자산!$I:$I,가맹점정보!F1538,임대자산!$N:$N,가맹점정보!R$4)</f>
        <v>1</v>
      </c>
      <c r="S1538" s="82" t="n">
        <v>55000</v>
      </c>
      <c r="T1538" s="83" t="n">
        <v>0</v>
      </c>
      <c r="U1538" s="80" t="n">
        <f aca="false">SUM(S1538:T1538)</f>
        <v>55000</v>
      </c>
      <c r="V1538" s="84" t="s">
        <v>7</v>
      </c>
      <c r="W1538" s="80" t="str">
        <f aca="true">
IF(D1538="폐업","폐업",
IF(V1538="면제","면제",
IF(AND(V1538="정상",COUNTIFS(OFFSET(Y1538,0,COUNTA(Y1538:AV1538)-1,1,-4),"미납")&gt;=3),"장기미납",
IF(AND(V1538="정상",OFFSET(Y1538,0,COUNTA(Y1538:AV1538)-1)&gt;=U1538),"정상",
IF(AND(V1538="정상",OFFSET(Y1538,0,COUNTA(Y1538:AV1538)-1)=0),"정상",
"계약서 미작성")))))</f>
        <v>면제</v>
      </c>
      <c r="X1538" s="81" t="str">
        <f aca="true">
IF(D1538="폐업","폐업",
IF(AND(V1538="정상",OFFSET(Y1538,0,COUNTA(Y1538:AV1538)-1)="미납"),"미납",
IF(AND(V1538="정상",OFFSET(Y1538,0,COUNTA(Y1538:AV1538)-1)=0),"납부 시작 전",
IF(AND(V1538="정상",OFFSET(Y1538,0,COUNTA(Y1538:AV1538)-1)&gt;=U1538),"정상",
IF(AND(V1538="면제",OFFSET(Y1538,0,COUNTA(Y1538:AV1538)-1)="면제"),"면제",
IF(AND(V1538="면제",OFFSET(Y1538,0,COUNTA(Y1538:AV1538)-1)=0),"면제",
"확인요청"))))))</f>
        <v>면제</v>
      </c>
      <c r="Y1538" s="94" t="s">
        <v>7</v>
      </c>
      <c r="Z1538" s="95" t="s">
        <v>7</v>
      </c>
      <c r="AA1538" s="95" t="s">
        <v>7</v>
      </c>
      <c r="AB1538" s="95" t="s">
        <v>7</v>
      </c>
      <c r="AC1538" s="95" t="s">
        <v>7</v>
      </c>
      <c r="AD1538" s="95" t="s">
        <v>7</v>
      </c>
      <c r="AE1538" s="95" t="s">
        <v>7</v>
      </c>
      <c r="AF1538" s="95" t="s">
        <v>7</v>
      </c>
      <c r="AG1538" s="95" t="s">
        <v>7</v>
      </c>
      <c r="AH1538" s="95" t="s">
        <v>7</v>
      </c>
      <c r="AI1538" s="95" t="s">
        <v>7</v>
      </c>
      <c r="AJ1538" s="96" t="s">
        <v>7</v>
      </c>
      <c r="AK1538" s="97" t="s">
        <v>7</v>
      </c>
      <c r="AL1538" s="95" t="s">
        <v>7</v>
      </c>
      <c r="AM1538" s="90"/>
      <c r="AN1538" s="90"/>
      <c r="AO1538" s="90"/>
      <c r="AP1538" s="90"/>
      <c r="AQ1538" s="90"/>
      <c r="AR1538" s="90"/>
      <c r="AS1538" s="90"/>
      <c r="AT1538" s="90"/>
      <c r="AU1538" s="90"/>
      <c r="AV1538" s="91"/>
      <c r="AX1538" s="92"/>
    </row>
    <row r="1539" customFormat="false" ht="15.65" hidden="false" customHeight="false" outlineLevel="0" collapsed="false">
      <c r="C1539" s="72" t="n">
        <f aca="false">COUNTIFS($D$6:D1539,"&lt;&gt;"&amp;"")</f>
        <v>1534</v>
      </c>
      <c r="D1539" s="73" t="s">
        <v>12</v>
      </c>
      <c r="E1539" s="76" t="str">
        <f aca="false">
IF($D1539="정상",INDEX(임대자산!$D$3:$R$3000,MATCH($F1539,임대자산!$I$3:$I$3000,0),MATCH(E$3,임대자산!$D$3:$R$3,0)),
IF($D1539="폐업",INDEX(폐업정보!$D$3:$R$3000,MATCH($F1539,폐업정보!$I$3:$I$3000,0),MATCH(E$3,폐업정보!$D$3:$R$3,0)),
"Error"))</f>
        <v>경상</v>
      </c>
      <c r="F153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B1534</v>
      </c>
      <c r="G1539" s="76" t="str">
        <f aca="false">F1539&amp;RANDBETWEEN(0,10)</f>
        <v>B15347</v>
      </c>
      <c r="H1539" s="75" t="n">
        <f aca="false">
IF($D1539="정상",INDEX(임대자산!$D$3:$R$3000,MATCH($F1539,임대자산!$I$3:$I$3000,0),MATCH(H$4,임대자산!$D$3:$R$3,0)),
IF($D1539="폐업",INDEX(폐업정보!$D$3:$R$3000,MATCH($F1539,폐업정보!$I$3:$I$3000,0),MATCH(H$4,폐업정보!$D$3:$R$3,0)),
"Error"))</f>
        <v>45544</v>
      </c>
      <c r="I1539" s="75" t="str">
        <f aca="false">
IF($D1539="정상",INDEX(임대자산!$D$3:$R$3000,MATCH($F1539,임대자산!$I$3:$I$3000,0),MATCH(I$4,임대자산!$D$3:$R$3,0)),
IF($D1539="폐업",INDEX(폐업정보!$D$3:$R$3000,MATCH($F1539,폐업정보!$I$3:$I$3000,0),MATCH(I$4,폐업정보!$D$3:$R$3,0)),
"Error"))</f>
        <v>A1534</v>
      </c>
      <c r="J1539" s="75" t="str">
        <f aca="false">
IF($D1539="정상",INDEX(임대자산!$D$3:$R$3000,MATCH($F1539,임대자산!$I$3:$I$3000,0),MATCH(J$4,임대자산!$D$3:$R$3,0)),
IF($D1539="폐업",INDEX(폐업정보!$D$3:$R$3000,MATCH($F1539,폐업정보!$I$3:$I$3000,0),MATCH(J$4,폐업정보!$D$3:$R$3,0)),
"Error"))</f>
        <v>9504400000</v>
      </c>
      <c r="K1539" s="75" t="str">
        <f aca="false">
IF($D1539="정상",INDEX(임대자산!$D$3:$R$3000,MATCH($F1539,임대자산!$I$3:$I$3000,0),MATCH(K$4,임대자산!$D$3:$R$3,0)),
IF($D1539="폐업",INDEX(폐업정보!$D$3:$R$3000,MATCH($F1539,폐업정보!$I$3:$I$3000,0),MATCH(K$4,폐업정보!$D$3:$R$3,0)),
"Error"))</f>
        <v>C1534</v>
      </c>
      <c r="L1539" s="75" t="str">
        <f aca="false">
IF($D1539="정상",INDEX(임대자산!$D$3:$R$3000,MATCH($F1539,임대자산!$I$3:$I$3000,0),MATCH(L$4,임대자산!$D$3:$R$3,0)),
IF($D1539="폐업",INDEX(폐업정보!$D$3:$R$3000,MATCH($F1539,폐업정보!$I$3:$I$3000,0),MATCH(L$4,폐업정보!$D$3:$R$3,0)),
"Error"))</f>
        <v>D1534</v>
      </c>
      <c r="M1539" s="76" t="s">
        <v>96</v>
      </c>
      <c r="N1539" s="77"/>
      <c r="O1539" s="78" t="s">
        <v>97</v>
      </c>
      <c r="P1539" s="79" t="n">
        <f aca="false">COUNTIFS(임대자산!$I:$I,가맹점정보!F1539,임대자산!$N:$N,가맹점정보!P$4)</f>
        <v>0</v>
      </c>
      <c r="Q1539" s="80" t="n">
        <f aca="false">COUNTIFS(임대자산!$I:$I,가맹점정보!F1539,임대자산!$N:$N,가맹점정보!Q$4)</f>
        <v>0</v>
      </c>
      <c r="R1539" s="81" t="n">
        <f aca="false">COUNTIFS(임대자산!$I:$I,가맹점정보!F1539,임대자산!$N:$N,가맹점정보!R$4)</f>
        <v>1</v>
      </c>
      <c r="S1539" s="82" t="n">
        <v>55000</v>
      </c>
      <c r="T1539" s="83" t="n">
        <v>0</v>
      </c>
      <c r="U1539" s="80" t="n">
        <f aca="false">SUM(S1539:T1539)</f>
        <v>55000</v>
      </c>
      <c r="V1539" s="84" t="s">
        <v>12</v>
      </c>
      <c r="W1539" s="80" t="e">
        <f aca="true">
IF(D1539="폐업","폐업",
IF(V1539="면제","면제",
IF(AND(V1539="정상",COUNTIFS(OFFSET(Y1539,0,COUNTA(Y1539:AV1539)-1,1,-4),"미납")&gt;=3),"장기미납",
IF(AND(V1539="정상",OFFSET(Y1539,0,COUNTA(Y1539:AV1539)-1)&gt;=U1539),"정상",
IF(AND(V1539="정상",OFFSET(Y1539,0,COUNTA(Y1539:AV1539)-1)=0),"정상",
"계약서 미작성")))))</f>
        <v>#VALUE!</v>
      </c>
      <c r="X1539" s="81" t="str">
        <f aca="true">
IF(D1539="폐업","폐업",
IF(AND(V1539="정상",OFFSET(Y1539,0,COUNTA(Y1539:AV1539)-1)="미납"),"미납",
IF(AND(V1539="정상",OFFSET(Y1539,0,COUNTA(Y1539:AV1539)-1)=0),"납부 시작 전",
IF(AND(V1539="정상",OFFSET(Y1539,0,COUNTA(Y1539:AV1539)-1)&gt;=U1539),"정상",
IF(AND(V1539="면제",OFFSET(Y1539,0,COUNTA(Y1539:AV1539)-1)="면제"),"면제",
IF(AND(V1539="면제",OFFSET(Y1539,0,COUNTA(Y1539:AV1539)-1)=0),"면제",
"확인요청"))))))</f>
        <v>정상</v>
      </c>
      <c r="Y1539" s="93" t="n">
        <v>55000</v>
      </c>
      <c r="Z1539" s="90" t="n">
        <v>55000</v>
      </c>
      <c r="AA1539" s="90" t="n">
        <v>55000</v>
      </c>
      <c r="AB1539" s="90" t="n">
        <v>55000</v>
      </c>
      <c r="AC1539" s="90" t="n">
        <v>55000</v>
      </c>
      <c r="AD1539" s="90" t="n">
        <v>55000</v>
      </c>
      <c r="AE1539" s="90" t="n">
        <v>55000</v>
      </c>
      <c r="AF1539" s="90" t="n">
        <v>55000</v>
      </c>
      <c r="AG1539" s="90" t="n">
        <v>55000</v>
      </c>
      <c r="AH1539" s="90" t="n">
        <v>55000</v>
      </c>
      <c r="AI1539" s="90" t="n">
        <v>55000</v>
      </c>
      <c r="AJ1539" s="91" t="n">
        <v>55000</v>
      </c>
      <c r="AK1539" s="89" t="n">
        <v>55000</v>
      </c>
      <c r="AL1539" s="90" t="n">
        <v>55000</v>
      </c>
      <c r="AM1539" s="90"/>
      <c r="AN1539" s="90"/>
      <c r="AO1539" s="90"/>
      <c r="AP1539" s="90"/>
      <c r="AQ1539" s="90"/>
      <c r="AR1539" s="90"/>
      <c r="AS1539" s="90"/>
      <c r="AT1539" s="90"/>
      <c r="AU1539" s="90"/>
      <c r="AV1539" s="91"/>
      <c r="AX1539" s="92"/>
    </row>
    <row r="1540" customFormat="false" ht="15.65" hidden="false" customHeight="false" outlineLevel="0" collapsed="false">
      <c r="C1540" s="72" t="n">
        <f aca="false">COUNTIFS($D$6:D1540,"&lt;&gt;"&amp;"")</f>
        <v>1535</v>
      </c>
      <c r="D1540" s="73" t="s">
        <v>12</v>
      </c>
      <c r="E1540" s="76" t="str">
        <f aca="false">
IF($D1540="정상",INDEX(임대자산!$D$3:$R$3000,MATCH($F1540,임대자산!$I$3:$I$3000,0),MATCH(E$3,임대자산!$D$3:$R$3,0)),
IF($D1540="폐업",INDEX(폐업정보!$D$3:$R$3000,MATCH($F1540,폐업정보!$I$3:$I$3000,0),MATCH(E$3,폐업정보!$D$3:$R$3,0)),
"Error"))</f>
        <v>경상</v>
      </c>
      <c r="F154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B1535</v>
      </c>
      <c r="G1540" s="76" t="str">
        <f aca="false">F1540&amp;RANDBETWEEN(0,10)</f>
        <v>B15358</v>
      </c>
      <c r="H1540" s="75" t="n">
        <f aca="false">
IF($D1540="정상",INDEX(임대자산!$D$3:$R$3000,MATCH($F1540,임대자산!$I$3:$I$3000,0),MATCH(H$4,임대자산!$D$3:$R$3,0)),
IF($D1540="폐업",INDEX(폐업정보!$D$3:$R$3000,MATCH($F1540,폐업정보!$I$3:$I$3000,0),MATCH(H$4,폐업정보!$D$3:$R$3,0)),
"Error"))</f>
        <v>45544</v>
      </c>
      <c r="I1540" s="75" t="str">
        <f aca="false">
IF($D1540="정상",INDEX(임대자산!$D$3:$R$3000,MATCH($F1540,임대자산!$I$3:$I$3000,0),MATCH(I$4,임대자산!$D$3:$R$3,0)),
IF($D1540="폐업",INDEX(폐업정보!$D$3:$R$3000,MATCH($F1540,폐업정보!$I$3:$I$3000,0),MATCH(I$4,폐업정보!$D$3:$R$3,0)),
"Error"))</f>
        <v>A1535</v>
      </c>
      <c r="J1540" s="75" t="str">
        <f aca="false">
IF($D1540="정상",INDEX(임대자산!$D$3:$R$3000,MATCH($F1540,임대자산!$I$3:$I$3000,0),MATCH(J$4,임대자산!$D$3:$R$3,0)),
IF($D1540="폐업",INDEX(폐업정보!$D$3:$R$3000,MATCH($F1540,폐업정보!$I$3:$I$3000,0),MATCH(J$4,폐업정보!$D$3:$R$3,0)),
"Error"))</f>
        <v>1487700000</v>
      </c>
      <c r="K1540" s="75" t="str">
        <f aca="false">
IF($D1540="정상",INDEX(임대자산!$D$3:$R$3000,MATCH($F1540,임대자산!$I$3:$I$3000,0),MATCH(K$4,임대자산!$D$3:$R$3,0)),
IF($D1540="폐업",INDEX(폐업정보!$D$3:$R$3000,MATCH($F1540,폐업정보!$I$3:$I$3000,0),MATCH(K$4,폐업정보!$D$3:$R$3,0)),
"Error"))</f>
        <v>C1535</v>
      </c>
      <c r="L1540" s="75" t="str">
        <f aca="false">
IF($D1540="정상",INDEX(임대자산!$D$3:$R$3000,MATCH($F1540,임대자산!$I$3:$I$3000,0),MATCH(L$4,임대자산!$D$3:$R$3,0)),
IF($D1540="폐업",INDEX(폐업정보!$D$3:$R$3000,MATCH($F1540,폐업정보!$I$3:$I$3000,0),MATCH(L$4,폐업정보!$D$3:$R$3,0)),
"Error"))</f>
        <v>D1535</v>
      </c>
      <c r="M1540" s="76" t="s">
        <v>96</v>
      </c>
      <c r="N1540" s="77"/>
      <c r="O1540" s="78" t="s">
        <v>97</v>
      </c>
      <c r="P1540" s="79" t="n">
        <f aca="false">COUNTIFS(임대자산!$I:$I,가맹점정보!F1540,임대자산!$N:$N,가맹점정보!P$4)</f>
        <v>0</v>
      </c>
      <c r="Q1540" s="80" t="n">
        <f aca="false">COUNTIFS(임대자산!$I:$I,가맹점정보!F1540,임대자산!$N:$N,가맹점정보!Q$4)</f>
        <v>0</v>
      </c>
      <c r="R1540" s="81" t="n">
        <f aca="false">COUNTIFS(임대자산!$I:$I,가맹점정보!F1540,임대자산!$N:$N,가맹점정보!R$4)</f>
        <v>1</v>
      </c>
      <c r="S1540" s="82" t="n">
        <v>88000</v>
      </c>
      <c r="T1540" s="83" t="n">
        <v>0</v>
      </c>
      <c r="U1540" s="80" t="n">
        <f aca="false">SUM(S1540:T1540)</f>
        <v>88000</v>
      </c>
      <c r="V1540" s="84" t="s">
        <v>7</v>
      </c>
      <c r="W1540" s="80" t="str">
        <f aca="true">
IF(D1540="폐업","폐업",
IF(V1540="면제","면제",
IF(AND(V1540="정상",COUNTIFS(OFFSET(Y1540,0,COUNTA(Y1540:AV1540)-1,1,-4),"미납")&gt;=3),"장기미납",
IF(AND(V1540="정상",OFFSET(Y1540,0,COUNTA(Y1540:AV1540)-1)&gt;=U1540),"정상",
IF(AND(V1540="정상",OFFSET(Y1540,0,COUNTA(Y1540:AV1540)-1)=0),"정상",
"계약서 미작성")))))</f>
        <v>면제</v>
      </c>
      <c r="X1540" s="81" t="str">
        <f aca="true">
IF(D1540="폐업","폐업",
IF(AND(V1540="정상",OFFSET(Y1540,0,COUNTA(Y1540:AV1540)-1)="미납"),"미납",
IF(AND(V1540="정상",OFFSET(Y1540,0,COUNTA(Y1540:AV1540)-1)=0),"납부 시작 전",
IF(AND(V1540="정상",OFFSET(Y1540,0,COUNTA(Y1540:AV1540)-1)&gt;=U1540),"정상",
IF(AND(V1540="면제",OFFSET(Y1540,0,COUNTA(Y1540:AV1540)-1)="면제"),"면제",
IF(AND(V1540="면제",OFFSET(Y1540,0,COUNTA(Y1540:AV1540)-1)=0),"면제",
"확인요청"))))))</f>
        <v>면제</v>
      </c>
      <c r="Y1540" s="94" t="s">
        <v>7</v>
      </c>
      <c r="Z1540" s="95" t="s">
        <v>7</v>
      </c>
      <c r="AA1540" s="95" t="s">
        <v>7</v>
      </c>
      <c r="AB1540" s="95" t="s">
        <v>7</v>
      </c>
      <c r="AC1540" s="95" t="s">
        <v>7</v>
      </c>
      <c r="AD1540" s="95" t="s">
        <v>7</v>
      </c>
      <c r="AE1540" s="95" t="s">
        <v>7</v>
      </c>
      <c r="AF1540" s="95" t="s">
        <v>7</v>
      </c>
      <c r="AG1540" s="95" t="s">
        <v>7</v>
      </c>
      <c r="AH1540" s="95" t="s">
        <v>7</v>
      </c>
      <c r="AI1540" s="95" t="s">
        <v>7</v>
      </c>
      <c r="AJ1540" s="96" t="s">
        <v>7</v>
      </c>
      <c r="AK1540" s="97" t="s">
        <v>7</v>
      </c>
      <c r="AL1540" s="95" t="s">
        <v>7</v>
      </c>
      <c r="AM1540" s="90"/>
      <c r="AN1540" s="90"/>
      <c r="AO1540" s="90"/>
      <c r="AP1540" s="90"/>
      <c r="AQ1540" s="90"/>
      <c r="AR1540" s="90"/>
      <c r="AS1540" s="90"/>
      <c r="AT1540" s="90"/>
      <c r="AU1540" s="90"/>
      <c r="AV1540" s="91"/>
      <c r="AX1540" s="92"/>
    </row>
    <row r="1541" customFormat="false" ht="15.65" hidden="false" customHeight="false" outlineLevel="0" collapsed="false">
      <c r="C1541" s="72" t="n">
        <f aca="false">COUNTIFS($D$6:D1541,"&lt;&gt;"&amp;"")</f>
        <v>1536</v>
      </c>
      <c r="D1541" s="73" t="s">
        <v>12</v>
      </c>
      <c r="E1541" s="76" t="str">
        <f aca="false">
IF($D1541="정상",INDEX(임대자산!$D$3:$R$3000,MATCH($F1541,임대자산!$I$3:$I$3000,0),MATCH(E$3,임대자산!$D$3:$R$3,0)),
IF($D1541="폐업",INDEX(폐업정보!$D$3:$R$3000,MATCH($F1541,폐업정보!$I$3:$I$3000,0),MATCH(E$3,폐업정보!$D$3:$R$3,0)),
"Error"))</f>
        <v>강원</v>
      </c>
      <c r="F154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B1536</v>
      </c>
      <c r="G1541" s="76" t="str">
        <f aca="false">F1541&amp;RANDBETWEEN(0,10)</f>
        <v>B15363</v>
      </c>
      <c r="H1541" s="75" t="n">
        <f aca="false">
IF($D1541="정상",INDEX(임대자산!$D$3:$R$3000,MATCH($F1541,임대자산!$I$3:$I$3000,0),MATCH(H$4,임대자산!$D$3:$R$3,0)),
IF($D1541="폐업",INDEX(폐업정보!$D$3:$R$3000,MATCH($F1541,폐업정보!$I$3:$I$3000,0),MATCH(H$4,폐업정보!$D$3:$R$3,0)),
"Error"))</f>
        <v>45539</v>
      </c>
      <c r="I1541" s="75" t="str">
        <f aca="false">
IF($D1541="정상",INDEX(임대자산!$D$3:$R$3000,MATCH($F1541,임대자산!$I$3:$I$3000,0),MATCH(I$4,임대자산!$D$3:$R$3,0)),
IF($D1541="폐업",INDEX(폐업정보!$D$3:$R$3000,MATCH($F1541,폐업정보!$I$3:$I$3000,0),MATCH(I$4,폐업정보!$D$3:$R$3,0)),
"Error"))</f>
        <v>A1536</v>
      </c>
      <c r="J1541" s="75" t="str">
        <f aca="false">
IF($D1541="정상",INDEX(임대자산!$D$3:$R$3000,MATCH($F1541,임대자산!$I$3:$I$3000,0),MATCH(J$4,임대자산!$D$3:$R$3,0)),
IF($D1541="폐업",INDEX(폐업정보!$D$3:$R$3000,MATCH($F1541,폐업정보!$I$3:$I$3000,0),MATCH(J$4,폐업정보!$D$3:$R$3,0)),
"Error"))</f>
        <v>2861600000</v>
      </c>
      <c r="K1541" s="75" t="str">
        <f aca="false">
IF($D1541="정상",INDEX(임대자산!$D$3:$R$3000,MATCH($F1541,임대자산!$I$3:$I$3000,0),MATCH(K$4,임대자산!$D$3:$R$3,0)),
IF($D1541="폐업",INDEX(폐업정보!$D$3:$R$3000,MATCH($F1541,폐업정보!$I$3:$I$3000,0),MATCH(K$4,폐업정보!$D$3:$R$3,0)),
"Error"))</f>
        <v>C1536</v>
      </c>
      <c r="L1541" s="75" t="str">
        <f aca="false">
IF($D1541="정상",INDEX(임대자산!$D$3:$R$3000,MATCH($F1541,임대자산!$I$3:$I$3000,0),MATCH(L$4,임대자산!$D$3:$R$3,0)),
IF($D1541="폐업",INDEX(폐업정보!$D$3:$R$3000,MATCH($F1541,폐업정보!$I$3:$I$3000,0),MATCH(L$4,폐업정보!$D$3:$R$3,0)),
"Error"))</f>
        <v>D1536</v>
      </c>
      <c r="M1541" s="76" t="s">
        <v>96</v>
      </c>
      <c r="N1541" s="77"/>
      <c r="O1541" s="78" t="s">
        <v>97</v>
      </c>
      <c r="P1541" s="79" t="n">
        <f aca="false">COUNTIFS(임대자산!$I:$I,가맹점정보!F1541,임대자산!$N:$N,가맹점정보!P$4)</f>
        <v>0</v>
      </c>
      <c r="Q1541" s="80" t="n">
        <f aca="false">COUNTIFS(임대자산!$I:$I,가맹점정보!F1541,임대자산!$N:$N,가맹점정보!Q$4)</f>
        <v>0</v>
      </c>
      <c r="R1541" s="81" t="n">
        <f aca="false">COUNTIFS(임대자산!$I:$I,가맹점정보!F1541,임대자산!$N:$N,가맹점정보!R$4)</f>
        <v>1</v>
      </c>
      <c r="S1541" s="82" t="n">
        <v>55000</v>
      </c>
      <c r="T1541" s="83" t="n">
        <v>0</v>
      </c>
      <c r="U1541" s="80" t="n">
        <f aca="false">SUM(S1541:T1541)</f>
        <v>55000</v>
      </c>
      <c r="V1541" s="84" t="s">
        <v>12</v>
      </c>
      <c r="W1541" s="80" t="e">
        <f aca="true">
IF(D1541="폐업","폐업",
IF(V1541="면제","면제",
IF(AND(V1541="정상",COUNTIFS(OFFSET(Y1541,0,COUNTA(Y1541:AV1541)-1,1,-4),"미납")&gt;=3),"장기미납",
IF(AND(V1541="정상",OFFSET(Y1541,0,COUNTA(Y1541:AV1541)-1)&gt;=U1541),"정상",
IF(AND(V1541="정상",OFFSET(Y1541,0,COUNTA(Y1541:AV1541)-1)=0),"정상",
"계약서 미작성")))))</f>
        <v>#VALUE!</v>
      </c>
      <c r="X1541" s="81" t="str">
        <f aca="true">
IF(D1541="폐업","폐업",
IF(AND(V1541="정상",OFFSET(Y1541,0,COUNTA(Y1541:AV1541)-1)="미납"),"미납",
IF(AND(V1541="정상",OFFSET(Y1541,0,COUNTA(Y1541:AV1541)-1)=0),"납부 시작 전",
IF(AND(V1541="정상",OFFSET(Y1541,0,COUNTA(Y1541:AV1541)-1)&gt;=U1541),"정상",
IF(AND(V1541="면제",OFFSET(Y1541,0,COUNTA(Y1541:AV1541)-1)="면제"),"면제",
IF(AND(V1541="면제",OFFSET(Y1541,0,COUNTA(Y1541:AV1541)-1)=0),"면제",
"확인요청"))))))</f>
        <v>정상</v>
      </c>
      <c r="Y1541" s="93" t="n">
        <v>55000</v>
      </c>
      <c r="Z1541" s="90" t="n">
        <v>55000</v>
      </c>
      <c r="AA1541" s="90" t="n">
        <v>55000</v>
      </c>
      <c r="AB1541" s="90" t="n">
        <v>55000</v>
      </c>
      <c r="AC1541" s="90" t="n">
        <v>55000</v>
      </c>
      <c r="AD1541" s="90" t="n">
        <v>55000</v>
      </c>
      <c r="AE1541" s="90" t="n">
        <v>55000</v>
      </c>
      <c r="AF1541" s="90" t="n">
        <v>55000</v>
      </c>
      <c r="AG1541" s="90" t="n">
        <v>55000</v>
      </c>
      <c r="AH1541" s="90" t="n">
        <v>55000</v>
      </c>
      <c r="AI1541" s="90" t="n">
        <v>55000</v>
      </c>
      <c r="AJ1541" s="91" t="n">
        <v>55000</v>
      </c>
      <c r="AK1541" s="89" t="n">
        <v>55000</v>
      </c>
      <c r="AL1541" s="90" t="n">
        <v>55000</v>
      </c>
      <c r="AM1541" s="90"/>
      <c r="AN1541" s="90"/>
      <c r="AO1541" s="90"/>
      <c r="AP1541" s="90"/>
      <c r="AQ1541" s="90"/>
      <c r="AR1541" s="90"/>
      <c r="AS1541" s="90"/>
      <c r="AT1541" s="90"/>
      <c r="AU1541" s="90"/>
      <c r="AV1541" s="91"/>
      <c r="AX1541" s="92"/>
    </row>
    <row r="1542" customFormat="false" ht="15.65" hidden="false" customHeight="false" outlineLevel="0" collapsed="false">
      <c r="C1542" s="72" t="n">
        <f aca="false">COUNTIFS($D$6:D1542,"&lt;&gt;"&amp;"")</f>
        <v>1537</v>
      </c>
      <c r="D1542" s="73" t="s">
        <v>12</v>
      </c>
      <c r="E1542" s="76" t="str">
        <f aca="false">
IF($D1542="정상",INDEX(임대자산!$D$3:$R$3000,MATCH($F1542,임대자산!$I$3:$I$3000,0),MATCH(E$3,임대자산!$D$3:$R$3,0)),
IF($D1542="폐업",INDEX(폐업정보!$D$3:$R$3000,MATCH($F1542,폐업정보!$I$3:$I$3000,0),MATCH(E$3,폐업정보!$D$3:$R$3,0)),
"Error"))</f>
        <v>강원</v>
      </c>
      <c r="F154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B1537</v>
      </c>
      <c r="G1542" s="76" t="str">
        <f aca="false">F1542&amp;RANDBETWEEN(0,10)</f>
        <v>B153710</v>
      </c>
      <c r="H1542" s="75" t="n">
        <f aca="false">
IF($D1542="정상",INDEX(임대자산!$D$3:$R$3000,MATCH($F1542,임대자산!$I$3:$I$3000,0),MATCH(H$4,임대자산!$D$3:$R$3,0)),
IF($D1542="폐업",INDEX(폐업정보!$D$3:$R$3000,MATCH($F1542,폐업정보!$I$3:$I$3000,0),MATCH(H$4,폐업정보!$D$3:$R$3,0)),
"Error"))</f>
        <v>45539</v>
      </c>
      <c r="I1542" s="75" t="str">
        <f aca="false">
IF($D1542="정상",INDEX(임대자산!$D$3:$R$3000,MATCH($F1542,임대자산!$I$3:$I$3000,0),MATCH(I$4,임대자산!$D$3:$R$3,0)),
IF($D1542="폐업",INDEX(폐업정보!$D$3:$R$3000,MATCH($F1542,폐업정보!$I$3:$I$3000,0),MATCH(I$4,폐업정보!$D$3:$R$3,0)),
"Error"))</f>
        <v>A1537</v>
      </c>
      <c r="J1542" s="75" t="str">
        <f aca="false">
IF($D1542="정상",INDEX(임대자산!$D$3:$R$3000,MATCH($F1542,임대자산!$I$3:$I$3000,0),MATCH(J$4,임대자산!$D$3:$R$3,0)),
IF($D1542="폐업",INDEX(폐업정보!$D$3:$R$3000,MATCH($F1542,폐업정보!$I$3:$I$3000,0),MATCH(J$4,폐업정보!$D$3:$R$3,0)),
"Error"))</f>
        <v>7574000000</v>
      </c>
      <c r="K1542" s="75" t="str">
        <f aca="false">
IF($D1542="정상",INDEX(임대자산!$D$3:$R$3000,MATCH($F1542,임대자산!$I$3:$I$3000,0),MATCH(K$4,임대자산!$D$3:$R$3,0)),
IF($D1542="폐업",INDEX(폐업정보!$D$3:$R$3000,MATCH($F1542,폐업정보!$I$3:$I$3000,0),MATCH(K$4,폐업정보!$D$3:$R$3,0)),
"Error"))</f>
        <v>C1537</v>
      </c>
      <c r="L1542" s="75" t="str">
        <f aca="false">
IF($D1542="정상",INDEX(임대자산!$D$3:$R$3000,MATCH($F1542,임대자산!$I$3:$I$3000,0),MATCH(L$4,임대자산!$D$3:$R$3,0)),
IF($D1542="폐업",INDEX(폐업정보!$D$3:$R$3000,MATCH($F1542,폐업정보!$I$3:$I$3000,0),MATCH(L$4,폐업정보!$D$3:$R$3,0)),
"Error"))</f>
        <v>D1537</v>
      </c>
      <c r="M1542" s="76" t="s">
        <v>96</v>
      </c>
      <c r="N1542" s="77"/>
      <c r="O1542" s="78" t="s">
        <v>97</v>
      </c>
      <c r="P1542" s="79" t="n">
        <f aca="false">COUNTIFS(임대자산!$I:$I,가맹점정보!F1542,임대자산!$N:$N,가맹점정보!P$4)</f>
        <v>0</v>
      </c>
      <c r="Q1542" s="80" t="n">
        <f aca="false">COUNTIFS(임대자산!$I:$I,가맹점정보!F1542,임대자산!$N:$N,가맹점정보!Q$4)</f>
        <v>0</v>
      </c>
      <c r="R1542" s="81" t="n">
        <f aca="false">COUNTIFS(임대자산!$I:$I,가맹점정보!F1542,임대자산!$N:$N,가맹점정보!R$4)</f>
        <v>1</v>
      </c>
      <c r="S1542" s="82" t="n">
        <v>55000</v>
      </c>
      <c r="T1542" s="83" t="n">
        <v>0</v>
      </c>
      <c r="U1542" s="80" t="n">
        <f aca="false">SUM(S1542:T1542)</f>
        <v>55000</v>
      </c>
      <c r="V1542" s="84" t="s">
        <v>12</v>
      </c>
      <c r="W1542" s="80" t="e">
        <f aca="true">
IF(D1542="폐업","폐업",
IF(V1542="면제","면제",
IF(AND(V1542="정상",COUNTIFS(OFFSET(Y1542,0,COUNTA(Y1542:AV1542)-1,1,-4),"미납")&gt;=3),"장기미납",
IF(AND(V1542="정상",OFFSET(Y1542,0,COUNTA(Y1542:AV1542)-1)&gt;=U1542),"정상",
IF(AND(V1542="정상",OFFSET(Y1542,0,COUNTA(Y1542:AV1542)-1)=0),"정상",
"계약서 미작성")))))</f>
        <v>#VALUE!</v>
      </c>
      <c r="X1542" s="81" t="str">
        <f aca="true">
IF(D1542="폐업","폐업",
IF(AND(V1542="정상",OFFSET(Y1542,0,COUNTA(Y1542:AV1542)-1)="미납"),"미납",
IF(AND(V1542="정상",OFFSET(Y1542,0,COUNTA(Y1542:AV1542)-1)=0),"납부 시작 전",
IF(AND(V1542="정상",OFFSET(Y1542,0,COUNTA(Y1542:AV1542)-1)&gt;=U1542),"정상",
IF(AND(V1542="면제",OFFSET(Y1542,0,COUNTA(Y1542:AV1542)-1)="면제"),"면제",
IF(AND(V1542="면제",OFFSET(Y1542,0,COUNTA(Y1542:AV1542)-1)=0),"면제",
"확인요청"))))))</f>
        <v>정상</v>
      </c>
      <c r="Y1542" s="93" t="n">
        <v>110000</v>
      </c>
      <c r="Z1542" s="90" t="n">
        <v>110000</v>
      </c>
      <c r="AA1542" s="90" t="n">
        <v>110000</v>
      </c>
      <c r="AB1542" s="90" t="n">
        <v>110000</v>
      </c>
      <c r="AC1542" s="90" t="n">
        <v>55000</v>
      </c>
      <c r="AD1542" s="90" t="n">
        <v>55000</v>
      </c>
      <c r="AE1542" s="90" t="n">
        <v>55000</v>
      </c>
      <c r="AF1542" s="90" t="n">
        <v>55000</v>
      </c>
      <c r="AG1542" s="90" t="n">
        <v>55000</v>
      </c>
      <c r="AH1542" s="90" t="n">
        <v>55000</v>
      </c>
      <c r="AI1542" s="90" t="n">
        <v>55000</v>
      </c>
      <c r="AJ1542" s="91" t="n">
        <v>55000</v>
      </c>
      <c r="AK1542" s="89" t="n">
        <v>55000</v>
      </c>
      <c r="AL1542" s="90" t="n">
        <v>55000</v>
      </c>
      <c r="AM1542" s="90"/>
      <c r="AN1542" s="90"/>
      <c r="AO1542" s="90"/>
      <c r="AP1542" s="90"/>
      <c r="AQ1542" s="90"/>
      <c r="AR1542" s="90"/>
      <c r="AS1542" s="90"/>
      <c r="AT1542" s="90"/>
      <c r="AU1542" s="90"/>
      <c r="AV1542" s="91"/>
      <c r="AX1542" s="92"/>
    </row>
    <row r="1543" customFormat="false" ht="15.65" hidden="false" customHeight="false" outlineLevel="0" collapsed="false">
      <c r="C1543" s="72" t="n">
        <f aca="false">COUNTIFS($D$6:D1543,"&lt;&gt;"&amp;"")</f>
        <v>1538</v>
      </c>
      <c r="D1543" s="73" t="s">
        <v>12</v>
      </c>
      <c r="E1543" s="76" t="str">
        <f aca="false">
IF($D1543="정상",INDEX(임대자산!$D$3:$R$3000,MATCH($F1543,임대자산!$I$3:$I$3000,0),MATCH(E$3,임대자산!$D$3:$R$3,0)),
IF($D1543="폐업",INDEX(폐업정보!$D$3:$R$3000,MATCH($F1543,폐업정보!$I$3:$I$3000,0),MATCH(E$3,폐업정보!$D$3:$R$3,0)),
"Error"))</f>
        <v>서울</v>
      </c>
      <c r="F154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B1538</v>
      </c>
      <c r="G1543" s="76" t="str">
        <f aca="false">F1543&amp;RANDBETWEEN(0,10)</f>
        <v>B15389</v>
      </c>
      <c r="H1543" s="75" t="n">
        <f aca="false">
IF($D1543="정상",INDEX(임대자산!$D$3:$R$3000,MATCH($F1543,임대자산!$I$3:$I$3000,0),MATCH(H$4,임대자산!$D$3:$R$3,0)),
IF($D1543="폐업",INDEX(폐업정보!$D$3:$R$3000,MATCH($F1543,폐업정보!$I$3:$I$3000,0),MATCH(H$4,폐업정보!$D$3:$R$3,0)),
"Error"))</f>
        <v>45527</v>
      </c>
      <c r="I1543" s="75" t="str">
        <f aca="false">
IF($D1543="정상",INDEX(임대자산!$D$3:$R$3000,MATCH($F1543,임대자산!$I$3:$I$3000,0),MATCH(I$4,임대자산!$D$3:$R$3,0)),
IF($D1543="폐업",INDEX(폐업정보!$D$3:$R$3000,MATCH($F1543,폐업정보!$I$3:$I$3000,0),MATCH(I$4,폐업정보!$D$3:$R$3,0)),
"Error"))</f>
        <v>A1538</v>
      </c>
      <c r="J1543" s="75" t="str">
        <f aca="false">
IF($D1543="정상",INDEX(임대자산!$D$3:$R$3000,MATCH($F1543,임대자산!$I$3:$I$3000,0),MATCH(J$4,임대자산!$D$3:$R$3,0)),
IF($D1543="폐업",INDEX(폐업정보!$D$3:$R$3000,MATCH($F1543,폐업정보!$I$3:$I$3000,0),MATCH(J$4,폐업정보!$D$3:$R$3,0)),
"Error"))</f>
        <v>4760700000</v>
      </c>
      <c r="K1543" s="75" t="str">
        <f aca="false">
IF($D1543="정상",INDEX(임대자산!$D$3:$R$3000,MATCH($F1543,임대자산!$I$3:$I$3000,0),MATCH(K$4,임대자산!$D$3:$R$3,0)),
IF($D1543="폐업",INDEX(폐업정보!$D$3:$R$3000,MATCH($F1543,폐업정보!$I$3:$I$3000,0),MATCH(K$4,폐업정보!$D$3:$R$3,0)),
"Error"))</f>
        <v>C1538</v>
      </c>
      <c r="L1543" s="75" t="str">
        <f aca="false">
IF($D1543="정상",INDEX(임대자산!$D$3:$R$3000,MATCH($F1543,임대자산!$I$3:$I$3000,0),MATCH(L$4,임대자산!$D$3:$R$3,0)),
IF($D1543="폐업",INDEX(폐업정보!$D$3:$R$3000,MATCH($F1543,폐업정보!$I$3:$I$3000,0),MATCH(L$4,폐업정보!$D$3:$R$3,0)),
"Error"))</f>
        <v>D1538</v>
      </c>
      <c r="M1543" s="76" t="s">
        <v>96</v>
      </c>
      <c r="N1543" s="77"/>
      <c r="O1543" s="78" t="s">
        <v>97</v>
      </c>
      <c r="P1543" s="79" t="n">
        <f aca="false">COUNTIFS(임대자산!$I:$I,가맹점정보!F1543,임대자산!$N:$N,가맹점정보!P$4)</f>
        <v>0</v>
      </c>
      <c r="Q1543" s="80" t="n">
        <f aca="false">COUNTIFS(임대자산!$I:$I,가맹점정보!F1543,임대자산!$N:$N,가맹점정보!Q$4)</f>
        <v>0</v>
      </c>
      <c r="R1543" s="81" t="n">
        <f aca="false">COUNTIFS(임대자산!$I:$I,가맹점정보!F1543,임대자산!$N:$N,가맹점정보!R$4)</f>
        <v>1</v>
      </c>
      <c r="S1543" s="82" t="n">
        <v>55000</v>
      </c>
      <c r="T1543" s="83" t="n">
        <v>0</v>
      </c>
      <c r="U1543" s="80" t="n">
        <f aca="false">SUM(S1543:T1543)</f>
        <v>55000</v>
      </c>
      <c r="V1543" s="84" t="s">
        <v>12</v>
      </c>
      <c r="W1543" s="80" t="e">
        <f aca="true">
IF(D1543="폐업","폐업",
IF(V1543="면제","면제",
IF(AND(V1543="정상",COUNTIFS(OFFSET(Y1543,0,COUNTA(Y1543:AV1543)-1,1,-4),"미납")&gt;=3),"장기미납",
IF(AND(V1543="정상",OFFSET(Y1543,0,COUNTA(Y1543:AV1543)-1)&gt;=U1543),"정상",
IF(AND(V1543="정상",OFFSET(Y1543,0,COUNTA(Y1543:AV1543)-1)=0),"정상",
"계약서 미작성")))))</f>
        <v>#VALUE!</v>
      </c>
      <c r="X1543" s="81" t="str">
        <f aca="true">
IF(D1543="폐업","폐업",
IF(AND(V1543="정상",OFFSET(Y1543,0,COUNTA(Y1543:AV1543)-1)="미납"),"미납",
IF(AND(V1543="정상",OFFSET(Y1543,0,COUNTA(Y1543:AV1543)-1)=0),"납부 시작 전",
IF(AND(V1543="정상",OFFSET(Y1543,0,COUNTA(Y1543:AV1543)-1)&gt;=U1543),"정상",
IF(AND(V1543="면제",OFFSET(Y1543,0,COUNTA(Y1543:AV1543)-1)="면제"),"면제",
IF(AND(V1543="면제",OFFSET(Y1543,0,COUNTA(Y1543:AV1543)-1)=0),"면제",
"확인요청"))))))</f>
        <v>정상</v>
      </c>
      <c r="Y1543" s="93" t="n">
        <v>55000</v>
      </c>
      <c r="Z1543" s="90" t="n">
        <v>55000</v>
      </c>
      <c r="AA1543" s="90" t="n">
        <v>55000</v>
      </c>
      <c r="AB1543" s="90" t="n">
        <v>55000</v>
      </c>
      <c r="AC1543" s="90" t="n">
        <v>55000</v>
      </c>
      <c r="AD1543" s="90" t="n">
        <v>55000</v>
      </c>
      <c r="AE1543" s="90" t="n">
        <v>55000</v>
      </c>
      <c r="AF1543" s="90" t="n">
        <v>55000</v>
      </c>
      <c r="AG1543" s="90" t="n">
        <v>55000</v>
      </c>
      <c r="AH1543" s="90" t="n">
        <v>55000</v>
      </c>
      <c r="AI1543" s="90" t="n">
        <v>55000</v>
      </c>
      <c r="AJ1543" s="91" t="n">
        <v>55000</v>
      </c>
      <c r="AK1543" s="89" t="n">
        <v>55000</v>
      </c>
      <c r="AL1543" s="90" t="n">
        <v>55000</v>
      </c>
      <c r="AM1543" s="90"/>
      <c r="AN1543" s="90"/>
      <c r="AO1543" s="90"/>
      <c r="AP1543" s="90"/>
      <c r="AQ1543" s="90"/>
      <c r="AR1543" s="90"/>
      <c r="AS1543" s="90"/>
      <c r="AT1543" s="90"/>
      <c r="AU1543" s="90"/>
      <c r="AV1543" s="91"/>
      <c r="AX1543" s="92"/>
    </row>
    <row r="1544" customFormat="false" ht="15.65" hidden="false" customHeight="false" outlineLevel="0" collapsed="false">
      <c r="C1544" s="72" t="n">
        <f aca="false">COUNTIFS($D$6:D1544,"&lt;&gt;"&amp;"")</f>
        <v>1539</v>
      </c>
      <c r="D1544" s="73" t="s">
        <v>12</v>
      </c>
      <c r="E1544" s="76" t="str">
        <f aca="false">
IF($D1544="정상",INDEX(임대자산!$D$3:$R$3000,MATCH($F1544,임대자산!$I$3:$I$3000,0),MATCH(E$3,임대자산!$D$3:$R$3,0)),
IF($D1544="폐업",INDEX(폐업정보!$D$3:$R$3000,MATCH($F1544,폐업정보!$I$3:$I$3000,0),MATCH(E$3,폐업정보!$D$3:$R$3,0)),
"Error"))</f>
        <v>서울</v>
      </c>
      <c r="F154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B1539</v>
      </c>
      <c r="G1544" s="76" t="str">
        <f aca="false">F1544&amp;RANDBETWEEN(0,10)</f>
        <v>B15390</v>
      </c>
      <c r="H1544" s="75" t="n">
        <f aca="false">
IF($D1544="정상",INDEX(임대자산!$D$3:$R$3000,MATCH($F1544,임대자산!$I$3:$I$3000,0),MATCH(H$4,임대자산!$D$3:$R$3,0)),
IF($D1544="폐업",INDEX(폐업정보!$D$3:$R$3000,MATCH($F1544,폐업정보!$I$3:$I$3000,0),MATCH(H$4,폐업정보!$D$3:$R$3,0)),
"Error"))</f>
        <v>45532</v>
      </c>
      <c r="I1544" s="75" t="str">
        <f aca="false">
IF($D1544="정상",INDEX(임대자산!$D$3:$R$3000,MATCH($F1544,임대자산!$I$3:$I$3000,0),MATCH(I$4,임대자산!$D$3:$R$3,0)),
IF($D1544="폐업",INDEX(폐업정보!$D$3:$R$3000,MATCH($F1544,폐업정보!$I$3:$I$3000,0),MATCH(I$4,폐업정보!$D$3:$R$3,0)),
"Error"))</f>
        <v>A1539</v>
      </c>
      <c r="J1544" s="75" t="str">
        <f aca="false">
IF($D1544="정상",INDEX(임대자산!$D$3:$R$3000,MATCH($F1544,임대자산!$I$3:$I$3000,0),MATCH(J$4,임대자산!$D$3:$R$3,0)),
IF($D1544="폐업",INDEX(폐업정보!$D$3:$R$3000,MATCH($F1544,폐업정보!$I$3:$I$3000,0),MATCH(J$4,폐업정보!$D$3:$R$3,0)),
"Error"))</f>
        <v>3689100000</v>
      </c>
      <c r="K1544" s="75" t="str">
        <f aca="false">
IF($D1544="정상",INDEX(임대자산!$D$3:$R$3000,MATCH($F1544,임대자산!$I$3:$I$3000,0),MATCH(K$4,임대자산!$D$3:$R$3,0)),
IF($D1544="폐업",INDEX(폐업정보!$D$3:$R$3000,MATCH($F1544,폐업정보!$I$3:$I$3000,0),MATCH(K$4,폐업정보!$D$3:$R$3,0)),
"Error"))</f>
        <v>C1539</v>
      </c>
      <c r="L1544" s="75" t="str">
        <f aca="false">
IF($D1544="정상",INDEX(임대자산!$D$3:$R$3000,MATCH($F1544,임대자산!$I$3:$I$3000,0),MATCH(L$4,임대자산!$D$3:$R$3,0)),
IF($D1544="폐업",INDEX(폐업정보!$D$3:$R$3000,MATCH($F1544,폐업정보!$I$3:$I$3000,0),MATCH(L$4,폐업정보!$D$3:$R$3,0)),
"Error"))</f>
        <v>D1539</v>
      </c>
      <c r="M1544" s="76" t="s">
        <v>96</v>
      </c>
      <c r="N1544" s="77"/>
      <c r="O1544" s="78" t="s">
        <v>97</v>
      </c>
      <c r="P1544" s="79" t="n">
        <f aca="false">COUNTIFS(임대자산!$I:$I,가맹점정보!F1544,임대자산!$N:$N,가맹점정보!P$4)</f>
        <v>0</v>
      </c>
      <c r="Q1544" s="80" t="n">
        <f aca="false">COUNTIFS(임대자산!$I:$I,가맹점정보!F1544,임대자산!$N:$N,가맹점정보!Q$4)</f>
        <v>0</v>
      </c>
      <c r="R1544" s="81" t="n">
        <f aca="false">COUNTIFS(임대자산!$I:$I,가맹점정보!F1544,임대자산!$N:$N,가맹점정보!R$4)</f>
        <v>1</v>
      </c>
      <c r="S1544" s="82" t="n">
        <v>55000</v>
      </c>
      <c r="T1544" s="83" t="n">
        <v>0</v>
      </c>
      <c r="U1544" s="80" t="n">
        <f aca="false">SUM(S1544:T1544)</f>
        <v>55000</v>
      </c>
      <c r="V1544" s="84" t="s">
        <v>12</v>
      </c>
      <c r="W1544" s="80" t="e">
        <f aca="true">
IF(D1544="폐업","폐업",
IF(V1544="면제","면제",
IF(AND(V1544="정상",COUNTIFS(OFFSET(Y1544,0,COUNTA(Y1544:AV1544)-1,1,-4),"미납")&gt;=3),"장기미납",
IF(AND(V1544="정상",OFFSET(Y1544,0,COUNTA(Y1544:AV1544)-1)&gt;=U1544),"정상",
IF(AND(V1544="정상",OFFSET(Y1544,0,COUNTA(Y1544:AV1544)-1)=0),"정상",
"계약서 미작성")))))</f>
        <v>#VALUE!</v>
      </c>
      <c r="X1544" s="81" t="str">
        <f aca="true">
IF(D1544="폐업","폐업",
IF(AND(V1544="정상",OFFSET(Y1544,0,COUNTA(Y1544:AV1544)-1)="미납"),"미납",
IF(AND(V1544="정상",OFFSET(Y1544,0,COUNTA(Y1544:AV1544)-1)=0),"납부 시작 전",
IF(AND(V1544="정상",OFFSET(Y1544,0,COUNTA(Y1544:AV1544)-1)&gt;=U1544),"정상",
IF(AND(V1544="면제",OFFSET(Y1544,0,COUNTA(Y1544:AV1544)-1)="면제"),"면제",
IF(AND(V1544="면제",OFFSET(Y1544,0,COUNTA(Y1544:AV1544)-1)=0),"면제",
"확인요청"))))))</f>
        <v>미납</v>
      </c>
      <c r="Y1544" s="93" t="n">
        <v>55000</v>
      </c>
      <c r="Z1544" s="90" t="n">
        <v>55000</v>
      </c>
      <c r="AA1544" s="90" t="n">
        <v>55000</v>
      </c>
      <c r="AB1544" s="90" t="n">
        <v>55000</v>
      </c>
      <c r="AC1544" s="90" t="n">
        <v>55000</v>
      </c>
      <c r="AD1544" s="90" t="n">
        <v>55000</v>
      </c>
      <c r="AE1544" s="90" t="n">
        <v>55000</v>
      </c>
      <c r="AF1544" s="90" t="n">
        <v>55000</v>
      </c>
      <c r="AG1544" s="90" t="n">
        <v>55000</v>
      </c>
      <c r="AH1544" s="90" t="n">
        <v>55000</v>
      </c>
      <c r="AI1544" s="90" t="n">
        <v>55000</v>
      </c>
      <c r="AJ1544" s="91" t="n">
        <v>55000</v>
      </c>
      <c r="AK1544" s="89" t="n">
        <v>55000</v>
      </c>
      <c r="AL1544" s="95" t="s">
        <v>62</v>
      </c>
      <c r="AM1544" s="90"/>
      <c r="AN1544" s="90"/>
      <c r="AO1544" s="90"/>
      <c r="AP1544" s="90"/>
      <c r="AQ1544" s="90"/>
      <c r="AR1544" s="90"/>
      <c r="AS1544" s="90"/>
      <c r="AT1544" s="90"/>
      <c r="AU1544" s="90"/>
      <c r="AV1544" s="91"/>
      <c r="AX1544" s="92"/>
    </row>
    <row r="1545" customFormat="false" ht="15.65" hidden="false" customHeight="false" outlineLevel="0" collapsed="false">
      <c r="C1545" s="72" t="n">
        <f aca="false">COUNTIFS($D$6:D1545,"&lt;&gt;"&amp;"")</f>
        <v>1540</v>
      </c>
      <c r="D1545" s="73" t="s">
        <v>12</v>
      </c>
      <c r="E1545" s="76" t="str">
        <f aca="false">
IF($D1545="정상",INDEX(임대자산!$D$3:$R$3000,MATCH($F1545,임대자산!$I$3:$I$3000,0),MATCH(E$3,임대자산!$D$3:$R$3,0)),
IF($D1545="폐업",INDEX(폐업정보!$D$3:$R$3000,MATCH($F1545,폐업정보!$I$3:$I$3000,0),MATCH(E$3,폐업정보!$D$3:$R$3,0)),
"Error"))</f>
        <v>서울</v>
      </c>
      <c r="F154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B1540</v>
      </c>
      <c r="G1545" s="76" t="str">
        <f aca="false">F1545&amp;RANDBETWEEN(0,10)</f>
        <v>B15409</v>
      </c>
      <c r="H1545" s="75" t="n">
        <f aca="false">
IF($D1545="정상",INDEX(임대자산!$D$3:$R$3000,MATCH($F1545,임대자산!$I$3:$I$3000,0),MATCH(H$4,임대자산!$D$3:$R$3,0)),
IF($D1545="폐업",INDEX(폐업정보!$D$3:$R$3000,MATCH($F1545,폐업정보!$I$3:$I$3000,0),MATCH(H$4,폐업정보!$D$3:$R$3,0)),
"Error"))</f>
        <v>45532</v>
      </c>
      <c r="I1545" s="75" t="str">
        <f aca="false">
IF($D1545="정상",INDEX(임대자산!$D$3:$R$3000,MATCH($F1545,임대자산!$I$3:$I$3000,0),MATCH(I$4,임대자산!$D$3:$R$3,0)),
IF($D1545="폐업",INDEX(폐업정보!$D$3:$R$3000,MATCH($F1545,폐업정보!$I$3:$I$3000,0),MATCH(I$4,폐업정보!$D$3:$R$3,0)),
"Error"))</f>
        <v>A1540</v>
      </c>
      <c r="J1545" s="75" t="str">
        <f aca="false">
IF($D1545="정상",INDEX(임대자산!$D$3:$R$3000,MATCH($F1545,임대자산!$I$3:$I$3000,0),MATCH(J$4,임대자산!$D$3:$R$3,0)),
IF($D1545="폐업",INDEX(폐업정보!$D$3:$R$3000,MATCH($F1545,폐업정보!$I$3:$I$3000,0),MATCH(J$4,폐업정보!$D$3:$R$3,0)),
"Error"))</f>
        <v>8291200000</v>
      </c>
      <c r="K1545" s="75" t="str">
        <f aca="false">
IF($D1545="정상",INDEX(임대자산!$D$3:$R$3000,MATCH($F1545,임대자산!$I$3:$I$3000,0),MATCH(K$4,임대자산!$D$3:$R$3,0)),
IF($D1545="폐업",INDEX(폐업정보!$D$3:$R$3000,MATCH($F1545,폐업정보!$I$3:$I$3000,0),MATCH(K$4,폐업정보!$D$3:$R$3,0)),
"Error"))</f>
        <v>C1540</v>
      </c>
      <c r="L1545" s="75" t="str">
        <f aca="false">
IF($D1545="정상",INDEX(임대자산!$D$3:$R$3000,MATCH($F1545,임대자산!$I$3:$I$3000,0),MATCH(L$4,임대자산!$D$3:$R$3,0)),
IF($D1545="폐업",INDEX(폐업정보!$D$3:$R$3000,MATCH($F1545,폐업정보!$I$3:$I$3000,0),MATCH(L$4,폐업정보!$D$3:$R$3,0)),
"Error"))</f>
        <v>D1540</v>
      </c>
      <c r="M1545" s="76" t="s">
        <v>96</v>
      </c>
      <c r="N1545" s="77"/>
      <c r="O1545" s="78" t="s">
        <v>97</v>
      </c>
      <c r="P1545" s="79" t="n">
        <f aca="false">COUNTIFS(임대자산!$I:$I,가맹점정보!F1545,임대자산!$N:$N,가맹점정보!P$4)</f>
        <v>0</v>
      </c>
      <c r="Q1545" s="80" t="n">
        <f aca="false">COUNTIFS(임대자산!$I:$I,가맹점정보!F1545,임대자산!$N:$N,가맹점정보!Q$4)</f>
        <v>0</v>
      </c>
      <c r="R1545" s="81" t="n">
        <f aca="false">COUNTIFS(임대자산!$I:$I,가맹점정보!F1545,임대자산!$N:$N,가맹점정보!R$4)</f>
        <v>1</v>
      </c>
      <c r="S1545" s="82" t="n">
        <v>88000</v>
      </c>
      <c r="T1545" s="83" t="n">
        <v>0</v>
      </c>
      <c r="U1545" s="80" t="n">
        <f aca="false">SUM(S1545:T1545)</f>
        <v>88000</v>
      </c>
      <c r="V1545" s="84" t="s">
        <v>12</v>
      </c>
      <c r="W1545" s="80" t="e">
        <f aca="true">
IF(D1545="폐업","폐업",
IF(V1545="면제","면제",
IF(AND(V1545="정상",COUNTIFS(OFFSET(Y1545,0,COUNTA(Y1545:AV1545)-1,1,-4),"미납")&gt;=3),"장기미납",
IF(AND(V1545="정상",OFFSET(Y1545,0,COUNTA(Y1545:AV1545)-1)&gt;=U1545),"정상",
IF(AND(V1545="정상",OFFSET(Y1545,0,COUNTA(Y1545:AV1545)-1)=0),"정상",
"계약서 미작성")))))</f>
        <v>#VALUE!</v>
      </c>
      <c r="X1545" s="81" t="str">
        <f aca="true">
IF(D1545="폐업","폐업",
IF(AND(V1545="정상",OFFSET(Y1545,0,COUNTA(Y1545:AV1545)-1)="미납"),"미납",
IF(AND(V1545="정상",OFFSET(Y1545,0,COUNTA(Y1545:AV1545)-1)=0),"납부 시작 전",
IF(AND(V1545="정상",OFFSET(Y1545,0,COUNTA(Y1545:AV1545)-1)&gt;=U1545),"정상",
IF(AND(V1545="면제",OFFSET(Y1545,0,COUNTA(Y1545:AV1545)-1)="면제"),"면제",
IF(AND(V1545="면제",OFFSET(Y1545,0,COUNTA(Y1545:AV1545)-1)=0),"면제",
"확인요청"))))))</f>
        <v>미납</v>
      </c>
      <c r="Y1545" s="93" t="n">
        <v>88000</v>
      </c>
      <c r="Z1545" s="90" t="n">
        <v>88000</v>
      </c>
      <c r="AA1545" s="90" t="n">
        <v>88000</v>
      </c>
      <c r="AB1545" s="90" t="n">
        <v>88000</v>
      </c>
      <c r="AC1545" s="90" t="n">
        <v>88000</v>
      </c>
      <c r="AD1545" s="90" t="n">
        <v>88000</v>
      </c>
      <c r="AE1545" s="90" t="n">
        <v>88000</v>
      </c>
      <c r="AF1545" s="90" t="n">
        <v>88000</v>
      </c>
      <c r="AG1545" s="90" t="n">
        <v>88000</v>
      </c>
      <c r="AH1545" s="90" t="n">
        <v>88000</v>
      </c>
      <c r="AI1545" s="90" t="n">
        <v>88000</v>
      </c>
      <c r="AJ1545" s="91" t="n">
        <v>88000</v>
      </c>
      <c r="AK1545" s="89" t="n">
        <v>88000</v>
      </c>
      <c r="AL1545" s="95" t="s">
        <v>62</v>
      </c>
      <c r="AM1545" s="90"/>
      <c r="AN1545" s="90"/>
      <c r="AO1545" s="90"/>
      <c r="AP1545" s="90"/>
      <c r="AQ1545" s="90"/>
      <c r="AR1545" s="90"/>
      <c r="AS1545" s="90"/>
      <c r="AT1545" s="90"/>
      <c r="AU1545" s="90"/>
      <c r="AV1545" s="91"/>
      <c r="AX1545" s="92"/>
    </row>
    <row r="1546" customFormat="false" ht="15.65" hidden="false" customHeight="false" outlineLevel="0" collapsed="false">
      <c r="C1546" s="72" t="n">
        <f aca="false">COUNTIFS($D$6:D1546,"&lt;&gt;"&amp;"")</f>
        <v>1541</v>
      </c>
      <c r="D1546" s="73" t="s">
        <v>12</v>
      </c>
      <c r="E1546" s="76" t="str">
        <f aca="false">
IF($D1546="정상",INDEX(임대자산!$D$3:$R$3000,MATCH($F1546,임대자산!$I$3:$I$3000,0),MATCH(E$3,임대자산!$D$3:$R$3,0)),
IF($D1546="폐업",INDEX(폐업정보!$D$3:$R$3000,MATCH($F1546,폐업정보!$I$3:$I$3000,0),MATCH(E$3,폐업정보!$D$3:$R$3,0)),
"Error"))</f>
        <v>서울</v>
      </c>
      <c r="F154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B1541</v>
      </c>
      <c r="G1546" s="76" t="str">
        <f aca="false">F1546&amp;RANDBETWEEN(0,10)</f>
        <v>B154110</v>
      </c>
      <c r="H1546" s="75" t="n">
        <f aca="false">
IF($D1546="정상",INDEX(임대자산!$D$3:$R$3000,MATCH($F1546,임대자산!$I$3:$I$3000,0),MATCH(H$4,임대자산!$D$3:$R$3,0)),
IF($D1546="폐업",INDEX(폐업정보!$D$3:$R$3000,MATCH($F1546,폐업정보!$I$3:$I$3000,0),MATCH(H$4,폐업정보!$D$3:$R$3,0)),
"Error"))</f>
        <v>45537</v>
      </c>
      <c r="I1546" s="75" t="str">
        <f aca="false">
IF($D1546="정상",INDEX(임대자산!$D$3:$R$3000,MATCH($F1546,임대자산!$I$3:$I$3000,0),MATCH(I$4,임대자산!$D$3:$R$3,0)),
IF($D1546="폐업",INDEX(폐업정보!$D$3:$R$3000,MATCH($F1546,폐업정보!$I$3:$I$3000,0),MATCH(I$4,폐업정보!$D$3:$R$3,0)),
"Error"))</f>
        <v>A1541</v>
      </c>
      <c r="J1546" s="75" t="str">
        <f aca="false">
IF($D1546="정상",INDEX(임대자산!$D$3:$R$3000,MATCH($F1546,임대자산!$I$3:$I$3000,0),MATCH(J$4,임대자산!$D$3:$R$3,0)),
IF($D1546="폐업",INDEX(폐업정보!$D$3:$R$3000,MATCH($F1546,폐업정보!$I$3:$I$3000,0),MATCH(J$4,폐업정보!$D$3:$R$3,0)),
"Error"))</f>
        <v>4584500000</v>
      </c>
      <c r="K1546" s="75" t="str">
        <f aca="false">
IF($D1546="정상",INDEX(임대자산!$D$3:$R$3000,MATCH($F1546,임대자산!$I$3:$I$3000,0),MATCH(K$4,임대자산!$D$3:$R$3,0)),
IF($D1546="폐업",INDEX(폐업정보!$D$3:$R$3000,MATCH($F1546,폐업정보!$I$3:$I$3000,0),MATCH(K$4,폐업정보!$D$3:$R$3,0)),
"Error"))</f>
        <v>C1541</v>
      </c>
      <c r="L1546" s="75" t="str">
        <f aca="false">
IF($D1546="정상",INDEX(임대자산!$D$3:$R$3000,MATCH($F1546,임대자산!$I$3:$I$3000,0),MATCH(L$4,임대자산!$D$3:$R$3,0)),
IF($D1546="폐업",INDEX(폐업정보!$D$3:$R$3000,MATCH($F1546,폐업정보!$I$3:$I$3000,0),MATCH(L$4,폐업정보!$D$3:$R$3,0)),
"Error"))</f>
        <v>D1541</v>
      </c>
      <c r="M1546" s="76" t="s">
        <v>96</v>
      </c>
      <c r="N1546" s="77"/>
      <c r="O1546" s="78" t="s">
        <v>97</v>
      </c>
      <c r="P1546" s="79" t="n">
        <f aca="false">COUNTIFS(임대자산!$I:$I,가맹점정보!F1546,임대자산!$N:$N,가맹점정보!P$4)</f>
        <v>0</v>
      </c>
      <c r="Q1546" s="80" t="n">
        <f aca="false">COUNTIFS(임대자산!$I:$I,가맹점정보!F1546,임대자산!$N:$N,가맹점정보!Q$4)</f>
        <v>0</v>
      </c>
      <c r="R1546" s="81" t="n">
        <f aca="false">COUNTIFS(임대자산!$I:$I,가맹점정보!F1546,임대자산!$N:$N,가맹점정보!R$4)</f>
        <v>1</v>
      </c>
      <c r="S1546" s="82" t="n">
        <v>55000</v>
      </c>
      <c r="T1546" s="83" t="n">
        <v>0</v>
      </c>
      <c r="U1546" s="80" t="n">
        <f aca="false">SUM(S1546:T1546)</f>
        <v>55000</v>
      </c>
      <c r="V1546" s="84" t="s">
        <v>7</v>
      </c>
      <c r="W1546" s="80" t="str">
        <f aca="true">
IF(D1546="폐업","폐업",
IF(V1546="면제","면제",
IF(AND(V1546="정상",COUNTIFS(OFFSET(Y1546,0,COUNTA(Y1546:AV1546)-1,1,-4),"미납")&gt;=3),"장기미납",
IF(AND(V1546="정상",OFFSET(Y1546,0,COUNTA(Y1546:AV1546)-1)&gt;=U1546),"정상",
IF(AND(V1546="정상",OFFSET(Y1546,0,COUNTA(Y1546:AV1546)-1)=0),"정상",
"계약서 미작성")))))</f>
        <v>면제</v>
      </c>
      <c r="X1546" s="81" t="str">
        <f aca="true">
IF(D1546="폐업","폐업",
IF(AND(V1546="정상",OFFSET(Y1546,0,COUNTA(Y1546:AV1546)-1)="미납"),"미납",
IF(AND(V1546="정상",OFFSET(Y1546,0,COUNTA(Y1546:AV1546)-1)=0),"납부 시작 전",
IF(AND(V1546="정상",OFFSET(Y1546,0,COUNTA(Y1546:AV1546)-1)&gt;=U1546),"정상",
IF(AND(V1546="면제",OFFSET(Y1546,0,COUNTA(Y1546:AV1546)-1)="면제"),"면제",
IF(AND(V1546="면제",OFFSET(Y1546,0,COUNTA(Y1546:AV1546)-1)=0),"면제",
"확인요청"))))))</f>
        <v>면제</v>
      </c>
      <c r="Y1546" s="94" t="s">
        <v>7</v>
      </c>
      <c r="Z1546" s="95" t="s">
        <v>7</v>
      </c>
      <c r="AA1546" s="95" t="s">
        <v>7</v>
      </c>
      <c r="AB1546" s="95" t="s">
        <v>7</v>
      </c>
      <c r="AC1546" s="95" t="s">
        <v>7</v>
      </c>
      <c r="AD1546" s="95" t="s">
        <v>7</v>
      </c>
      <c r="AE1546" s="95" t="s">
        <v>7</v>
      </c>
      <c r="AF1546" s="95" t="s">
        <v>7</v>
      </c>
      <c r="AG1546" s="95" t="s">
        <v>7</v>
      </c>
      <c r="AH1546" s="95" t="s">
        <v>7</v>
      </c>
      <c r="AI1546" s="95" t="s">
        <v>7</v>
      </c>
      <c r="AJ1546" s="96" t="s">
        <v>7</v>
      </c>
      <c r="AK1546" s="97" t="s">
        <v>7</v>
      </c>
      <c r="AL1546" s="95" t="s">
        <v>7</v>
      </c>
      <c r="AM1546" s="90"/>
      <c r="AN1546" s="90"/>
      <c r="AO1546" s="90"/>
      <c r="AP1546" s="90"/>
      <c r="AQ1546" s="90"/>
      <c r="AR1546" s="90"/>
      <c r="AS1546" s="90"/>
      <c r="AT1546" s="90"/>
      <c r="AU1546" s="90"/>
      <c r="AV1546" s="91"/>
      <c r="AX1546" s="92"/>
    </row>
    <row r="1547" customFormat="false" ht="15.65" hidden="false" customHeight="false" outlineLevel="0" collapsed="false">
      <c r="C1547" s="72" t="n">
        <f aca="false">COUNTIFS($D$6:D1547,"&lt;&gt;"&amp;"")</f>
        <v>1542</v>
      </c>
      <c r="D1547" s="73" t="s">
        <v>12</v>
      </c>
      <c r="E1547" s="76" t="str">
        <f aca="false">
IF($D1547="정상",INDEX(임대자산!$D$3:$R$3000,MATCH($F1547,임대자산!$I$3:$I$3000,0),MATCH(E$3,임대자산!$D$3:$R$3,0)),
IF($D1547="폐업",INDEX(폐업정보!$D$3:$R$3000,MATCH($F1547,폐업정보!$I$3:$I$3000,0),MATCH(E$3,폐업정보!$D$3:$R$3,0)),
"Error"))</f>
        <v>서울</v>
      </c>
      <c r="F154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B1542</v>
      </c>
      <c r="G1547" s="76" t="str">
        <f aca="false">F1547&amp;RANDBETWEEN(0,10)</f>
        <v>B15428</v>
      </c>
      <c r="H1547" s="75" t="n">
        <f aca="false">
IF($D1547="정상",INDEX(임대자산!$D$3:$R$3000,MATCH($F1547,임대자산!$I$3:$I$3000,0),MATCH(H$4,임대자산!$D$3:$R$3,0)),
IF($D1547="폐업",INDEX(폐업정보!$D$3:$R$3000,MATCH($F1547,폐업정보!$I$3:$I$3000,0),MATCH(H$4,폐업정보!$D$3:$R$3,0)),
"Error"))</f>
        <v>45547</v>
      </c>
      <c r="I1547" s="75" t="str">
        <f aca="false">
IF($D1547="정상",INDEX(임대자산!$D$3:$R$3000,MATCH($F1547,임대자산!$I$3:$I$3000,0),MATCH(I$4,임대자산!$D$3:$R$3,0)),
IF($D1547="폐업",INDEX(폐업정보!$D$3:$R$3000,MATCH($F1547,폐업정보!$I$3:$I$3000,0),MATCH(I$4,폐업정보!$D$3:$R$3,0)),
"Error"))</f>
        <v>A1542</v>
      </c>
      <c r="J1547" s="75" t="str">
        <f aca="false">
IF($D1547="정상",INDEX(임대자산!$D$3:$R$3000,MATCH($F1547,임대자산!$I$3:$I$3000,0),MATCH(J$4,임대자산!$D$3:$R$3,0)),
IF($D1547="폐업",INDEX(폐업정보!$D$3:$R$3000,MATCH($F1547,폐업정보!$I$3:$I$3000,0),MATCH(J$4,폐업정보!$D$3:$R$3,0)),
"Error"))</f>
        <v>8270000000</v>
      </c>
      <c r="K1547" s="75" t="str">
        <f aca="false">
IF($D1547="정상",INDEX(임대자산!$D$3:$R$3000,MATCH($F1547,임대자산!$I$3:$I$3000,0),MATCH(K$4,임대자산!$D$3:$R$3,0)),
IF($D1547="폐업",INDEX(폐업정보!$D$3:$R$3000,MATCH($F1547,폐업정보!$I$3:$I$3000,0),MATCH(K$4,폐업정보!$D$3:$R$3,0)),
"Error"))</f>
        <v>C1542</v>
      </c>
      <c r="L1547" s="75" t="str">
        <f aca="false">
IF($D1547="정상",INDEX(임대자산!$D$3:$R$3000,MATCH($F1547,임대자산!$I$3:$I$3000,0),MATCH(L$4,임대자산!$D$3:$R$3,0)),
IF($D1547="폐업",INDEX(폐업정보!$D$3:$R$3000,MATCH($F1547,폐업정보!$I$3:$I$3000,0),MATCH(L$4,폐업정보!$D$3:$R$3,0)),
"Error"))</f>
        <v>D1542</v>
      </c>
      <c r="M1547" s="76" t="s">
        <v>96</v>
      </c>
      <c r="N1547" s="77"/>
      <c r="O1547" s="78" t="s">
        <v>97</v>
      </c>
      <c r="P1547" s="79" t="n">
        <f aca="false">COUNTIFS(임대자산!$I:$I,가맹점정보!F1547,임대자산!$N:$N,가맹점정보!P$4)</f>
        <v>0</v>
      </c>
      <c r="Q1547" s="80" t="n">
        <f aca="false">COUNTIFS(임대자산!$I:$I,가맹점정보!F1547,임대자산!$N:$N,가맹점정보!Q$4)</f>
        <v>0</v>
      </c>
      <c r="R1547" s="81" t="n">
        <f aca="false">COUNTIFS(임대자산!$I:$I,가맹점정보!F1547,임대자산!$N:$N,가맹점정보!R$4)</f>
        <v>1</v>
      </c>
      <c r="S1547" s="82" t="n">
        <v>55000</v>
      </c>
      <c r="T1547" s="83" t="n">
        <v>0</v>
      </c>
      <c r="U1547" s="80" t="n">
        <f aca="false">SUM(S1547:T1547)</f>
        <v>55000</v>
      </c>
      <c r="V1547" s="84" t="s">
        <v>12</v>
      </c>
      <c r="W1547" s="80" t="e">
        <f aca="true">
IF(D1547="폐업","폐업",
IF(V1547="면제","면제",
IF(AND(V1547="정상",COUNTIFS(OFFSET(Y1547,0,COUNTA(Y1547:AV1547)-1,1,-4),"미납")&gt;=3),"장기미납",
IF(AND(V1547="정상",OFFSET(Y1547,0,COUNTA(Y1547:AV1547)-1)&gt;=U1547),"정상",
IF(AND(V1547="정상",OFFSET(Y1547,0,COUNTA(Y1547:AV1547)-1)=0),"정상",
"계약서 미작성")))))</f>
        <v>#VALUE!</v>
      </c>
      <c r="X1547" s="81" t="str">
        <f aca="true">
IF(D1547="폐업","폐업",
IF(AND(V1547="정상",OFFSET(Y1547,0,COUNTA(Y1547:AV1547)-1)="미납"),"미납",
IF(AND(V1547="정상",OFFSET(Y1547,0,COUNTA(Y1547:AV1547)-1)=0),"납부 시작 전",
IF(AND(V1547="정상",OFFSET(Y1547,0,COUNTA(Y1547:AV1547)-1)&gt;=U1547),"정상",
IF(AND(V1547="면제",OFFSET(Y1547,0,COUNTA(Y1547:AV1547)-1)="면제"),"면제",
IF(AND(V1547="면제",OFFSET(Y1547,0,COUNTA(Y1547:AV1547)-1)=0),"면제",
"확인요청"))))))</f>
        <v>정상</v>
      </c>
      <c r="Y1547" s="93" t="n">
        <v>55000</v>
      </c>
      <c r="Z1547" s="90" t="n">
        <v>55000</v>
      </c>
      <c r="AA1547" s="90" t="n">
        <v>55000</v>
      </c>
      <c r="AB1547" s="90" t="n">
        <v>55000</v>
      </c>
      <c r="AC1547" s="90" t="n">
        <v>55000</v>
      </c>
      <c r="AD1547" s="90" t="n">
        <v>55000</v>
      </c>
      <c r="AE1547" s="90" t="n">
        <v>55000</v>
      </c>
      <c r="AF1547" s="90" t="n">
        <v>55000</v>
      </c>
      <c r="AG1547" s="90" t="n">
        <v>55000</v>
      </c>
      <c r="AH1547" s="90" t="n">
        <v>55000</v>
      </c>
      <c r="AI1547" s="90" t="n">
        <v>55000</v>
      </c>
      <c r="AJ1547" s="91" t="n">
        <v>55000</v>
      </c>
      <c r="AK1547" s="89" t="n">
        <v>55000</v>
      </c>
      <c r="AL1547" s="90" t="n">
        <v>55000</v>
      </c>
      <c r="AM1547" s="90"/>
      <c r="AN1547" s="90"/>
      <c r="AO1547" s="90"/>
      <c r="AP1547" s="90"/>
      <c r="AQ1547" s="90"/>
      <c r="AR1547" s="90"/>
      <c r="AS1547" s="90"/>
      <c r="AT1547" s="90"/>
      <c r="AU1547" s="90"/>
      <c r="AV1547" s="91"/>
      <c r="AX1547" s="92"/>
    </row>
    <row r="1548" customFormat="false" ht="15.65" hidden="false" customHeight="false" outlineLevel="0" collapsed="false">
      <c r="C1548" s="72" t="n">
        <f aca="false">COUNTIFS($D$6:D1548,"&lt;&gt;"&amp;"")</f>
        <v>1543</v>
      </c>
      <c r="D1548" s="73" t="s">
        <v>12</v>
      </c>
      <c r="E1548" s="76" t="str">
        <f aca="false">
IF($D1548="정상",INDEX(임대자산!$D$3:$R$3000,MATCH($F1548,임대자산!$I$3:$I$3000,0),MATCH(E$3,임대자산!$D$3:$R$3,0)),
IF($D1548="폐업",INDEX(폐업정보!$D$3:$R$3000,MATCH($F1548,폐업정보!$I$3:$I$3000,0),MATCH(E$3,폐업정보!$D$3:$R$3,0)),
"Error"))</f>
        <v>서울</v>
      </c>
      <c r="F154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B1543</v>
      </c>
      <c r="G1548" s="76" t="str">
        <f aca="false">F1548&amp;RANDBETWEEN(0,10)</f>
        <v>B15434</v>
      </c>
      <c r="H1548" s="75" t="n">
        <f aca="false">
IF($D1548="정상",INDEX(임대자산!$D$3:$R$3000,MATCH($F1548,임대자산!$I$3:$I$3000,0),MATCH(H$4,임대자산!$D$3:$R$3,0)),
IF($D1548="폐업",INDEX(폐업정보!$D$3:$R$3000,MATCH($F1548,폐업정보!$I$3:$I$3000,0),MATCH(H$4,폐업정보!$D$3:$R$3,0)),
"Error"))</f>
        <v>45548</v>
      </c>
      <c r="I1548" s="75" t="str">
        <f aca="false">
IF($D1548="정상",INDEX(임대자산!$D$3:$R$3000,MATCH($F1548,임대자산!$I$3:$I$3000,0),MATCH(I$4,임대자산!$D$3:$R$3,0)),
IF($D1548="폐업",INDEX(폐업정보!$D$3:$R$3000,MATCH($F1548,폐업정보!$I$3:$I$3000,0),MATCH(I$4,폐업정보!$D$3:$R$3,0)),
"Error"))</f>
        <v>A1543</v>
      </c>
      <c r="J1548" s="75" t="str">
        <f aca="false">
IF($D1548="정상",INDEX(임대자산!$D$3:$R$3000,MATCH($F1548,임대자산!$I$3:$I$3000,0),MATCH(J$4,임대자산!$D$3:$R$3,0)),
IF($D1548="폐업",INDEX(폐업정보!$D$3:$R$3000,MATCH($F1548,폐업정보!$I$3:$I$3000,0),MATCH(J$4,폐업정보!$D$3:$R$3,0)),
"Error"))</f>
        <v>4567800000</v>
      </c>
      <c r="K1548" s="75" t="str">
        <f aca="false">
IF($D1548="정상",INDEX(임대자산!$D$3:$R$3000,MATCH($F1548,임대자산!$I$3:$I$3000,0),MATCH(K$4,임대자산!$D$3:$R$3,0)),
IF($D1548="폐업",INDEX(폐업정보!$D$3:$R$3000,MATCH($F1548,폐업정보!$I$3:$I$3000,0),MATCH(K$4,폐업정보!$D$3:$R$3,0)),
"Error"))</f>
        <v>C1543</v>
      </c>
      <c r="L1548" s="75" t="str">
        <f aca="false">
IF($D1548="정상",INDEX(임대자산!$D$3:$R$3000,MATCH($F1548,임대자산!$I$3:$I$3000,0),MATCH(L$4,임대자산!$D$3:$R$3,0)),
IF($D1548="폐업",INDEX(폐업정보!$D$3:$R$3000,MATCH($F1548,폐업정보!$I$3:$I$3000,0),MATCH(L$4,폐업정보!$D$3:$R$3,0)),
"Error"))</f>
        <v>D1543</v>
      </c>
      <c r="M1548" s="76" t="s">
        <v>96</v>
      </c>
      <c r="N1548" s="77"/>
      <c r="O1548" s="78" t="s">
        <v>97</v>
      </c>
      <c r="P1548" s="79" t="n">
        <f aca="false">COUNTIFS(임대자산!$I:$I,가맹점정보!F1548,임대자산!$N:$N,가맹점정보!P$4)</f>
        <v>0</v>
      </c>
      <c r="Q1548" s="80" t="n">
        <f aca="false">COUNTIFS(임대자산!$I:$I,가맹점정보!F1548,임대자산!$N:$N,가맹점정보!Q$4)</f>
        <v>0</v>
      </c>
      <c r="R1548" s="81" t="n">
        <f aca="false">COUNTIFS(임대자산!$I:$I,가맹점정보!F1548,임대자산!$N:$N,가맹점정보!R$4)</f>
        <v>1</v>
      </c>
      <c r="S1548" s="82" t="n">
        <v>55000</v>
      </c>
      <c r="T1548" s="83" t="n">
        <v>0</v>
      </c>
      <c r="U1548" s="80" t="n">
        <f aca="false">SUM(S1548:T1548)</f>
        <v>55000</v>
      </c>
      <c r="V1548" s="84" t="s">
        <v>12</v>
      </c>
      <c r="W1548" s="80" t="e">
        <f aca="true">
IF(D1548="폐업","폐업",
IF(V1548="면제","면제",
IF(AND(V1548="정상",COUNTIFS(OFFSET(Y1548,0,COUNTA(Y1548:AV1548)-1,1,-4),"미납")&gt;=3),"장기미납",
IF(AND(V1548="정상",OFFSET(Y1548,0,COUNTA(Y1548:AV1548)-1)&gt;=U1548),"정상",
IF(AND(V1548="정상",OFFSET(Y1548,0,COUNTA(Y1548:AV1548)-1)=0),"정상",
"계약서 미작성")))))</f>
        <v>#VALUE!</v>
      </c>
      <c r="X1548" s="81" t="str">
        <f aca="true">
IF(D1548="폐업","폐업",
IF(AND(V1548="정상",OFFSET(Y1548,0,COUNTA(Y1548:AV1548)-1)="미납"),"미납",
IF(AND(V1548="정상",OFFSET(Y1548,0,COUNTA(Y1548:AV1548)-1)=0),"납부 시작 전",
IF(AND(V1548="정상",OFFSET(Y1548,0,COUNTA(Y1548:AV1548)-1)&gt;=U1548),"정상",
IF(AND(V1548="면제",OFFSET(Y1548,0,COUNTA(Y1548:AV1548)-1)="면제"),"면제",
IF(AND(V1548="면제",OFFSET(Y1548,0,COUNTA(Y1548:AV1548)-1)=0),"면제",
"확인요청"))))))</f>
        <v>정상</v>
      </c>
      <c r="Y1548" s="93" t="n">
        <v>55000</v>
      </c>
      <c r="Z1548" s="90" t="n">
        <v>55000</v>
      </c>
      <c r="AA1548" s="90" t="n">
        <v>55000</v>
      </c>
      <c r="AB1548" s="90" t="n">
        <v>55000</v>
      </c>
      <c r="AC1548" s="90" t="n">
        <v>55000</v>
      </c>
      <c r="AD1548" s="90" t="n">
        <v>55000</v>
      </c>
      <c r="AE1548" s="90" t="n">
        <v>55000</v>
      </c>
      <c r="AF1548" s="90" t="n">
        <v>55000</v>
      </c>
      <c r="AG1548" s="90" t="n">
        <v>55000</v>
      </c>
      <c r="AH1548" s="90" t="n">
        <v>55000</v>
      </c>
      <c r="AI1548" s="90" t="n">
        <v>55000</v>
      </c>
      <c r="AJ1548" s="91" t="n">
        <v>55000</v>
      </c>
      <c r="AK1548" s="89" t="n">
        <v>55000</v>
      </c>
      <c r="AL1548" s="90" t="n">
        <v>55000</v>
      </c>
      <c r="AM1548" s="90"/>
      <c r="AN1548" s="90"/>
      <c r="AO1548" s="90"/>
      <c r="AP1548" s="90"/>
      <c r="AQ1548" s="90"/>
      <c r="AR1548" s="90"/>
      <c r="AS1548" s="90"/>
      <c r="AT1548" s="90"/>
      <c r="AU1548" s="90"/>
      <c r="AV1548" s="91"/>
      <c r="AX1548" s="92"/>
    </row>
    <row r="1549" customFormat="false" ht="15.65" hidden="false" customHeight="false" outlineLevel="0" collapsed="false">
      <c r="C1549" s="72" t="n">
        <f aca="false">COUNTIFS($D$6:D1549,"&lt;&gt;"&amp;"")</f>
        <v>1544</v>
      </c>
      <c r="D1549" s="73" t="s">
        <v>12</v>
      </c>
      <c r="E1549" s="76" t="str">
        <f aca="false">
IF($D1549="정상",INDEX(임대자산!$D$3:$R$3000,MATCH($F1549,임대자산!$I$3:$I$3000,0),MATCH(E$3,임대자산!$D$3:$R$3,0)),
IF($D1549="폐업",INDEX(폐업정보!$D$3:$R$3000,MATCH($F1549,폐업정보!$I$3:$I$3000,0),MATCH(E$3,폐업정보!$D$3:$R$3,0)),
"Error"))</f>
        <v>서울</v>
      </c>
      <c r="F154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B1544</v>
      </c>
      <c r="G1549" s="76" t="str">
        <f aca="false">F1549&amp;RANDBETWEEN(0,10)</f>
        <v>B15444</v>
      </c>
      <c r="H1549" s="75" t="n">
        <f aca="false">
IF($D1549="정상",INDEX(임대자산!$D$3:$R$3000,MATCH($F1549,임대자산!$I$3:$I$3000,0),MATCH(H$4,임대자산!$D$3:$R$3,0)),
IF($D1549="폐업",INDEX(폐업정보!$D$3:$R$3000,MATCH($F1549,폐업정보!$I$3:$I$3000,0),MATCH(H$4,폐업정보!$D$3:$R$3,0)),
"Error"))</f>
        <v>45548</v>
      </c>
      <c r="I1549" s="75" t="str">
        <f aca="false">
IF($D1549="정상",INDEX(임대자산!$D$3:$R$3000,MATCH($F1549,임대자산!$I$3:$I$3000,0),MATCH(I$4,임대자산!$D$3:$R$3,0)),
IF($D1549="폐업",INDEX(폐업정보!$D$3:$R$3000,MATCH($F1549,폐업정보!$I$3:$I$3000,0),MATCH(I$4,폐업정보!$D$3:$R$3,0)),
"Error"))</f>
        <v>A1544</v>
      </c>
      <c r="J1549" s="75" t="str">
        <f aca="false">
IF($D1549="정상",INDEX(임대자산!$D$3:$R$3000,MATCH($F1549,임대자산!$I$3:$I$3000,0),MATCH(J$4,임대자산!$D$3:$R$3,0)),
IF($D1549="폐업",INDEX(폐업정보!$D$3:$R$3000,MATCH($F1549,폐업정보!$I$3:$I$3000,0),MATCH(J$4,폐업정보!$D$3:$R$3,0)),
"Error"))</f>
        <v>7455500000</v>
      </c>
      <c r="K1549" s="75" t="str">
        <f aca="false">
IF($D1549="정상",INDEX(임대자산!$D$3:$R$3000,MATCH($F1549,임대자산!$I$3:$I$3000,0),MATCH(K$4,임대자산!$D$3:$R$3,0)),
IF($D1549="폐업",INDEX(폐업정보!$D$3:$R$3000,MATCH($F1549,폐업정보!$I$3:$I$3000,0),MATCH(K$4,폐업정보!$D$3:$R$3,0)),
"Error"))</f>
        <v>C1544</v>
      </c>
      <c r="L1549" s="75" t="str">
        <f aca="false">
IF($D1549="정상",INDEX(임대자산!$D$3:$R$3000,MATCH($F1549,임대자산!$I$3:$I$3000,0),MATCH(L$4,임대자산!$D$3:$R$3,0)),
IF($D1549="폐업",INDEX(폐업정보!$D$3:$R$3000,MATCH($F1549,폐업정보!$I$3:$I$3000,0),MATCH(L$4,폐업정보!$D$3:$R$3,0)),
"Error"))</f>
        <v>D1544</v>
      </c>
      <c r="M1549" s="76" t="s">
        <v>96</v>
      </c>
      <c r="N1549" s="77"/>
      <c r="O1549" s="78" t="s">
        <v>97</v>
      </c>
      <c r="P1549" s="79" t="n">
        <f aca="false">COUNTIFS(임대자산!$I:$I,가맹점정보!F1549,임대자산!$N:$N,가맹점정보!P$4)</f>
        <v>0</v>
      </c>
      <c r="Q1549" s="80" t="n">
        <f aca="false">COUNTIFS(임대자산!$I:$I,가맹점정보!F1549,임대자산!$N:$N,가맹점정보!Q$4)</f>
        <v>0</v>
      </c>
      <c r="R1549" s="81" t="n">
        <f aca="false">COUNTIFS(임대자산!$I:$I,가맹점정보!F1549,임대자산!$N:$N,가맹점정보!R$4)</f>
        <v>1</v>
      </c>
      <c r="S1549" s="82" t="n">
        <v>88000</v>
      </c>
      <c r="T1549" s="83" t="n">
        <v>0</v>
      </c>
      <c r="U1549" s="80" t="n">
        <f aca="false">SUM(S1549:T1549)</f>
        <v>88000</v>
      </c>
      <c r="V1549" s="84" t="s">
        <v>7</v>
      </c>
      <c r="W1549" s="80" t="str">
        <f aca="true">
IF(D1549="폐업","폐업",
IF(V1549="면제","면제",
IF(AND(V1549="정상",COUNTIFS(OFFSET(Y1549,0,COUNTA(Y1549:AV1549)-1,1,-4),"미납")&gt;=3),"장기미납",
IF(AND(V1549="정상",OFFSET(Y1549,0,COUNTA(Y1549:AV1549)-1)&gt;=U1549),"정상",
IF(AND(V1549="정상",OFFSET(Y1549,0,COUNTA(Y1549:AV1549)-1)=0),"정상",
"계약서 미작성")))))</f>
        <v>면제</v>
      </c>
      <c r="X1549" s="81" t="str">
        <f aca="true">
IF(D1549="폐업","폐업",
IF(AND(V1549="정상",OFFSET(Y1549,0,COUNTA(Y1549:AV1549)-1)="미납"),"미납",
IF(AND(V1549="정상",OFFSET(Y1549,0,COUNTA(Y1549:AV1549)-1)=0),"납부 시작 전",
IF(AND(V1549="정상",OFFSET(Y1549,0,COUNTA(Y1549:AV1549)-1)&gt;=U1549),"정상",
IF(AND(V1549="면제",OFFSET(Y1549,0,COUNTA(Y1549:AV1549)-1)="면제"),"면제",
IF(AND(V1549="면제",OFFSET(Y1549,0,COUNTA(Y1549:AV1549)-1)=0),"면제",
"확인요청"))))))</f>
        <v>면제</v>
      </c>
      <c r="Y1549" s="94" t="s">
        <v>7</v>
      </c>
      <c r="Z1549" s="95" t="s">
        <v>7</v>
      </c>
      <c r="AA1549" s="95" t="s">
        <v>7</v>
      </c>
      <c r="AB1549" s="95" t="s">
        <v>7</v>
      </c>
      <c r="AC1549" s="95" t="s">
        <v>7</v>
      </c>
      <c r="AD1549" s="95" t="s">
        <v>7</v>
      </c>
      <c r="AE1549" s="95" t="s">
        <v>7</v>
      </c>
      <c r="AF1549" s="95" t="s">
        <v>7</v>
      </c>
      <c r="AG1549" s="95" t="s">
        <v>7</v>
      </c>
      <c r="AH1549" s="95" t="s">
        <v>7</v>
      </c>
      <c r="AI1549" s="95" t="s">
        <v>7</v>
      </c>
      <c r="AJ1549" s="96" t="s">
        <v>7</v>
      </c>
      <c r="AK1549" s="97" t="s">
        <v>7</v>
      </c>
      <c r="AL1549" s="95" t="s">
        <v>7</v>
      </c>
      <c r="AM1549" s="90"/>
      <c r="AN1549" s="90"/>
      <c r="AO1549" s="90"/>
      <c r="AP1549" s="90"/>
      <c r="AQ1549" s="90"/>
      <c r="AR1549" s="90"/>
      <c r="AS1549" s="90"/>
      <c r="AT1549" s="90"/>
      <c r="AU1549" s="90"/>
      <c r="AV1549" s="91"/>
      <c r="AX1549" s="92"/>
    </row>
    <row r="1550" customFormat="false" ht="15.65" hidden="false" customHeight="false" outlineLevel="0" collapsed="false">
      <c r="C1550" s="72" t="n">
        <f aca="false">COUNTIFS($D$6:D1550,"&lt;&gt;"&amp;"")</f>
        <v>1545</v>
      </c>
      <c r="D1550" s="73" t="s">
        <v>12</v>
      </c>
      <c r="E1550" s="76" t="str">
        <f aca="false">
IF($D1550="정상",INDEX(임대자산!$D$3:$R$3000,MATCH($F1550,임대자산!$I$3:$I$3000,0),MATCH(E$3,임대자산!$D$3:$R$3,0)),
IF($D1550="폐업",INDEX(폐업정보!$D$3:$R$3000,MATCH($F1550,폐업정보!$I$3:$I$3000,0),MATCH(E$3,폐업정보!$D$3:$R$3,0)),
"Error"))</f>
        <v>경기</v>
      </c>
      <c r="F155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B1545</v>
      </c>
      <c r="G1550" s="76" t="str">
        <f aca="false">F1550&amp;RANDBETWEEN(0,10)</f>
        <v>B15451</v>
      </c>
      <c r="H1550" s="75" t="n">
        <f aca="false">
IF($D1550="정상",INDEX(임대자산!$D$3:$R$3000,MATCH($F1550,임대자산!$I$3:$I$3000,0),MATCH(H$4,임대자산!$D$3:$R$3,0)),
IF($D1550="폐업",INDEX(폐업정보!$D$3:$R$3000,MATCH($F1550,폐업정보!$I$3:$I$3000,0),MATCH(H$4,폐업정보!$D$3:$R$3,0)),
"Error"))</f>
        <v>45558</v>
      </c>
      <c r="I1550" s="75" t="str">
        <f aca="false">
IF($D1550="정상",INDEX(임대자산!$D$3:$R$3000,MATCH($F1550,임대자산!$I$3:$I$3000,0),MATCH(I$4,임대자산!$D$3:$R$3,0)),
IF($D1550="폐업",INDEX(폐업정보!$D$3:$R$3000,MATCH($F1550,폐업정보!$I$3:$I$3000,0),MATCH(I$4,폐업정보!$D$3:$R$3,0)),
"Error"))</f>
        <v>A1545</v>
      </c>
      <c r="J1550" s="75" t="str">
        <f aca="false">
IF($D1550="정상",INDEX(임대자산!$D$3:$R$3000,MATCH($F1550,임대자산!$I$3:$I$3000,0),MATCH(J$4,임대자산!$D$3:$R$3,0)),
IF($D1550="폐업",INDEX(폐업정보!$D$3:$R$3000,MATCH($F1550,폐업정보!$I$3:$I$3000,0),MATCH(J$4,폐업정보!$D$3:$R$3,0)),
"Error"))</f>
        <v>2278600000</v>
      </c>
      <c r="K1550" s="75" t="str">
        <f aca="false">
IF($D1550="정상",INDEX(임대자산!$D$3:$R$3000,MATCH($F1550,임대자산!$I$3:$I$3000,0),MATCH(K$4,임대자산!$D$3:$R$3,0)),
IF($D1550="폐업",INDEX(폐업정보!$D$3:$R$3000,MATCH($F1550,폐업정보!$I$3:$I$3000,0),MATCH(K$4,폐업정보!$D$3:$R$3,0)),
"Error"))</f>
        <v>C1545</v>
      </c>
      <c r="L1550" s="75" t="str">
        <f aca="false">
IF($D1550="정상",INDEX(임대자산!$D$3:$R$3000,MATCH($F1550,임대자산!$I$3:$I$3000,0),MATCH(L$4,임대자산!$D$3:$R$3,0)),
IF($D1550="폐업",INDEX(폐업정보!$D$3:$R$3000,MATCH($F1550,폐업정보!$I$3:$I$3000,0),MATCH(L$4,폐업정보!$D$3:$R$3,0)),
"Error"))</f>
        <v>D1545</v>
      </c>
      <c r="M1550" s="76" t="s">
        <v>96</v>
      </c>
      <c r="N1550" s="77"/>
      <c r="O1550" s="78" t="s">
        <v>97</v>
      </c>
      <c r="P1550" s="79" t="n">
        <f aca="false">COUNTIFS(임대자산!$I:$I,가맹점정보!F1550,임대자산!$N:$N,가맹점정보!P$4)</f>
        <v>0</v>
      </c>
      <c r="Q1550" s="80" t="n">
        <f aca="false">COUNTIFS(임대자산!$I:$I,가맹점정보!F1550,임대자산!$N:$N,가맹점정보!Q$4)</f>
        <v>0</v>
      </c>
      <c r="R1550" s="81" t="n">
        <f aca="false">COUNTIFS(임대자산!$I:$I,가맹점정보!F1550,임대자산!$N:$N,가맹점정보!R$4)</f>
        <v>1</v>
      </c>
      <c r="S1550" s="82" t="n">
        <v>55000</v>
      </c>
      <c r="T1550" s="83" t="n">
        <v>0</v>
      </c>
      <c r="U1550" s="80" t="n">
        <f aca="false">SUM(S1550:T1550)</f>
        <v>55000</v>
      </c>
      <c r="V1550" s="84" t="s">
        <v>7</v>
      </c>
      <c r="W1550" s="80" t="str">
        <f aca="true">
IF(D1550="폐업","폐업",
IF(V1550="면제","면제",
IF(AND(V1550="정상",COUNTIFS(OFFSET(Y1550,0,COUNTA(Y1550:AV1550)-1,1,-4),"미납")&gt;=3),"장기미납",
IF(AND(V1550="정상",OFFSET(Y1550,0,COUNTA(Y1550:AV1550)-1)&gt;=U1550),"정상",
IF(AND(V1550="정상",OFFSET(Y1550,0,COUNTA(Y1550:AV1550)-1)=0),"정상",
"계약서 미작성")))))</f>
        <v>면제</v>
      </c>
      <c r="X1550" s="81" t="str">
        <f aca="true">
IF(D1550="폐업","폐업",
IF(AND(V1550="정상",OFFSET(Y1550,0,COUNTA(Y1550:AV1550)-1)="미납"),"미납",
IF(AND(V1550="정상",OFFSET(Y1550,0,COUNTA(Y1550:AV1550)-1)=0),"납부 시작 전",
IF(AND(V1550="정상",OFFSET(Y1550,0,COUNTA(Y1550:AV1550)-1)&gt;=U1550),"정상",
IF(AND(V1550="면제",OFFSET(Y1550,0,COUNTA(Y1550:AV1550)-1)="면제"),"면제",
IF(AND(V1550="면제",OFFSET(Y1550,0,COUNTA(Y1550:AV1550)-1)=0),"면제",
"확인요청"))))))</f>
        <v>면제</v>
      </c>
      <c r="Y1550" s="94" t="s">
        <v>7</v>
      </c>
      <c r="Z1550" s="95" t="s">
        <v>7</v>
      </c>
      <c r="AA1550" s="95" t="s">
        <v>7</v>
      </c>
      <c r="AB1550" s="95" t="s">
        <v>7</v>
      </c>
      <c r="AC1550" s="95" t="s">
        <v>7</v>
      </c>
      <c r="AD1550" s="95" t="s">
        <v>7</v>
      </c>
      <c r="AE1550" s="95" t="s">
        <v>7</v>
      </c>
      <c r="AF1550" s="95" t="s">
        <v>7</v>
      </c>
      <c r="AG1550" s="95" t="s">
        <v>7</v>
      </c>
      <c r="AH1550" s="95" t="s">
        <v>7</v>
      </c>
      <c r="AI1550" s="95" t="s">
        <v>7</v>
      </c>
      <c r="AJ1550" s="96" t="s">
        <v>7</v>
      </c>
      <c r="AK1550" s="97" t="s">
        <v>7</v>
      </c>
      <c r="AL1550" s="95" t="s">
        <v>7</v>
      </c>
      <c r="AM1550" s="90"/>
      <c r="AN1550" s="90"/>
      <c r="AO1550" s="90"/>
      <c r="AP1550" s="90"/>
      <c r="AQ1550" s="90"/>
      <c r="AR1550" s="90"/>
      <c r="AS1550" s="90"/>
      <c r="AT1550" s="90"/>
      <c r="AU1550" s="90"/>
      <c r="AV1550" s="91"/>
      <c r="AX1550" s="92"/>
    </row>
    <row r="1551" customFormat="false" ht="15.65" hidden="false" customHeight="false" outlineLevel="0" collapsed="false">
      <c r="C1551" s="72" t="n">
        <f aca="false">COUNTIFS($D$6:D1551,"&lt;&gt;"&amp;"")</f>
        <v>1546</v>
      </c>
      <c r="D1551" s="73" t="s">
        <v>12</v>
      </c>
      <c r="E1551" s="76" t="str">
        <f aca="false">
IF($D1551="정상",INDEX(임대자산!$D$3:$R$3000,MATCH($F1551,임대자산!$I$3:$I$3000,0),MATCH(E$3,임대자산!$D$3:$R$3,0)),
IF($D1551="폐업",INDEX(폐업정보!$D$3:$R$3000,MATCH($F1551,폐업정보!$I$3:$I$3000,0),MATCH(E$3,폐업정보!$D$3:$R$3,0)),
"Error"))</f>
        <v>경기</v>
      </c>
      <c r="F155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B1546</v>
      </c>
      <c r="G1551" s="76" t="str">
        <f aca="false">F1551&amp;RANDBETWEEN(0,10)</f>
        <v>B15466</v>
      </c>
      <c r="H1551" s="75" t="n">
        <f aca="false">
IF($D1551="정상",INDEX(임대자산!$D$3:$R$3000,MATCH($F1551,임대자산!$I$3:$I$3000,0),MATCH(H$4,임대자산!$D$3:$R$3,0)),
IF($D1551="폐업",INDEX(폐업정보!$D$3:$R$3000,MATCH($F1551,폐업정보!$I$3:$I$3000,0),MATCH(H$4,폐업정보!$D$3:$R$3,0)),
"Error"))</f>
        <v>45558</v>
      </c>
      <c r="I1551" s="75" t="str">
        <f aca="false">
IF($D1551="정상",INDEX(임대자산!$D$3:$R$3000,MATCH($F1551,임대자산!$I$3:$I$3000,0),MATCH(I$4,임대자산!$D$3:$R$3,0)),
IF($D1551="폐업",INDEX(폐업정보!$D$3:$R$3000,MATCH($F1551,폐업정보!$I$3:$I$3000,0),MATCH(I$4,폐업정보!$D$3:$R$3,0)),
"Error"))</f>
        <v>A1546</v>
      </c>
      <c r="J1551" s="75" t="str">
        <f aca="false">
IF($D1551="정상",INDEX(임대자산!$D$3:$R$3000,MATCH($F1551,임대자산!$I$3:$I$3000,0),MATCH(J$4,임대자산!$D$3:$R$3,0)),
IF($D1551="폐업",INDEX(폐업정보!$D$3:$R$3000,MATCH($F1551,폐업정보!$I$3:$I$3000,0),MATCH(J$4,폐업정보!$D$3:$R$3,0)),
"Error"))</f>
        <v>9602700000</v>
      </c>
      <c r="K1551" s="75" t="str">
        <f aca="false">
IF($D1551="정상",INDEX(임대자산!$D$3:$R$3000,MATCH($F1551,임대자산!$I$3:$I$3000,0),MATCH(K$4,임대자산!$D$3:$R$3,0)),
IF($D1551="폐업",INDEX(폐업정보!$D$3:$R$3000,MATCH($F1551,폐업정보!$I$3:$I$3000,0),MATCH(K$4,폐업정보!$D$3:$R$3,0)),
"Error"))</f>
        <v>C1546</v>
      </c>
      <c r="L1551" s="75" t="str">
        <f aca="false">
IF($D1551="정상",INDEX(임대자산!$D$3:$R$3000,MATCH($F1551,임대자산!$I$3:$I$3000,0),MATCH(L$4,임대자산!$D$3:$R$3,0)),
IF($D1551="폐업",INDEX(폐업정보!$D$3:$R$3000,MATCH($F1551,폐업정보!$I$3:$I$3000,0),MATCH(L$4,폐업정보!$D$3:$R$3,0)),
"Error"))</f>
        <v>D1546</v>
      </c>
      <c r="M1551" s="76" t="s">
        <v>96</v>
      </c>
      <c r="N1551" s="77"/>
      <c r="O1551" s="78" t="s">
        <v>97</v>
      </c>
      <c r="P1551" s="79" t="n">
        <f aca="false">COUNTIFS(임대자산!$I:$I,가맹점정보!F1551,임대자산!$N:$N,가맹점정보!P$4)</f>
        <v>0</v>
      </c>
      <c r="Q1551" s="80" t="n">
        <f aca="false">COUNTIFS(임대자산!$I:$I,가맹점정보!F1551,임대자산!$N:$N,가맹점정보!Q$4)</f>
        <v>0</v>
      </c>
      <c r="R1551" s="81" t="n">
        <f aca="false">COUNTIFS(임대자산!$I:$I,가맹점정보!F1551,임대자산!$N:$N,가맹점정보!R$4)</f>
        <v>1</v>
      </c>
      <c r="S1551" s="82" t="n">
        <v>55000</v>
      </c>
      <c r="T1551" s="83" t="n">
        <v>0</v>
      </c>
      <c r="U1551" s="80" t="n">
        <f aca="false">SUM(S1551:T1551)</f>
        <v>55000</v>
      </c>
      <c r="V1551" s="84" t="s">
        <v>7</v>
      </c>
      <c r="W1551" s="80" t="str">
        <f aca="true">
IF(D1551="폐업","폐업",
IF(V1551="면제","면제",
IF(AND(V1551="정상",COUNTIFS(OFFSET(Y1551,0,COUNTA(Y1551:AV1551)-1,1,-4),"미납")&gt;=3),"장기미납",
IF(AND(V1551="정상",OFFSET(Y1551,0,COUNTA(Y1551:AV1551)-1)&gt;=U1551),"정상",
IF(AND(V1551="정상",OFFSET(Y1551,0,COUNTA(Y1551:AV1551)-1)=0),"정상",
"계약서 미작성")))))</f>
        <v>면제</v>
      </c>
      <c r="X1551" s="81" t="str">
        <f aca="true">
IF(D1551="폐업","폐업",
IF(AND(V1551="정상",OFFSET(Y1551,0,COUNTA(Y1551:AV1551)-1)="미납"),"미납",
IF(AND(V1551="정상",OFFSET(Y1551,0,COUNTA(Y1551:AV1551)-1)=0),"납부 시작 전",
IF(AND(V1551="정상",OFFSET(Y1551,0,COUNTA(Y1551:AV1551)-1)&gt;=U1551),"정상",
IF(AND(V1551="면제",OFFSET(Y1551,0,COUNTA(Y1551:AV1551)-1)="면제"),"면제",
IF(AND(V1551="면제",OFFSET(Y1551,0,COUNTA(Y1551:AV1551)-1)=0),"면제",
"확인요청"))))))</f>
        <v>면제</v>
      </c>
      <c r="Y1551" s="94" t="s">
        <v>7</v>
      </c>
      <c r="Z1551" s="95" t="s">
        <v>7</v>
      </c>
      <c r="AA1551" s="95" t="s">
        <v>7</v>
      </c>
      <c r="AB1551" s="95" t="s">
        <v>7</v>
      </c>
      <c r="AC1551" s="95" t="s">
        <v>7</v>
      </c>
      <c r="AD1551" s="95" t="s">
        <v>7</v>
      </c>
      <c r="AE1551" s="95" t="s">
        <v>7</v>
      </c>
      <c r="AF1551" s="95" t="s">
        <v>7</v>
      </c>
      <c r="AG1551" s="95" t="s">
        <v>7</v>
      </c>
      <c r="AH1551" s="95" t="s">
        <v>7</v>
      </c>
      <c r="AI1551" s="95" t="s">
        <v>7</v>
      </c>
      <c r="AJ1551" s="96" t="s">
        <v>7</v>
      </c>
      <c r="AK1551" s="97" t="s">
        <v>7</v>
      </c>
      <c r="AL1551" s="95" t="s">
        <v>7</v>
      </c>
      <c r="AM1551" s="90"/>
      <c r="AN1551" s="90"/>
      <c r="AO1551" s="90"/>
      <c r="AP1551" s="90"/>
      <c r="AQ1551" s="90"/>
      <c r="AR1551" s="90"/>
      <c r="AS1551" s="90"/>
      <c r="AT1551" s="90"/>
      <c r="AU1551" s="90"/>
      <c r="AV1551" s="91"/>
      <c r="AX1551" s="92"/>
    </row>
    <row r="1552" customFormat="false" ht="15.65" hidden="false" customHeight="false" outlineLevel="0" collapsed="false">
      <c r="C1552" s="72" t="n">
        <f aca="false">COUNTIFS($D$6:D1552,"&lt;&gt;"&amp;"")</f>
        <v>1547</v>
      </c>
      <c r="D1552" s="73" t="s">
        <v>12</v>
      </c>
      <c r="E1552" s="76" t="str">
        <f aca="false">
IF($D1552="정상",INDEX(임대자산!$D$3:$R$3000,MATCH($F1552,임대자산!$I$3:$I$3000,0),MATCH(E$3,임대자산!$D$3:$R$3,0)),
IF($D1552="폐업",INDEX(폐업정보!$D$3:$R$3000,MATCH($F1552,폐업정보!$I$3:$I$3000,0),MATCH(E$3,폐업정보!$D$3:$R$3,0)),
"Error"))</f>
        <v>서울</v>
      </c>
      <c r="F155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B1547</v>
      </c>
      <c r="G1552" s="76" t="str">
        <f aca="false">F1552&amp;RANDBETWEEN(0,10)</f>
        <v>B15475</v>
      </c>
      <c r="H1552" s="75" t="n">
        <f aca="false">
IF($D1552="정상",INDEX(임대자산!$D$3:$R$3000,MATCH($F1552,임대자산!$I$3:$I$3000,0),MATCH(H$4,임대자산!$D$3:$R$3,0)),
IF($D1552="폐업",INDEX(폐업정보!$D$3:$R$3000,MATCH($F1552,폐업정보!$I$3:$I$3000,0),MATCH(H$4,폐업정보!$D$3:$R$3,0)),
"Error"))</f>
        <v>45579</v>
      </c>
      <c r="I1552" s="75" t="str">
        <f aca="false">
IF($D1552="정상",INDEX(임대자산!$D$3:$R$3000,MATCH($F1552,임대자산!$I$3:$I$3000,0),MATCH(I$4,임대자산!$D$3:$R$3,0)),
IF($D1552="폐업",INDEX(폐업정보!$D$3:$R$3000,MATCH($F1552,폐업정보!$I$3:$I$3000,0),MATCH(I$4,폐업정보!$D$3:$R$3,0)),
"Error"))</f>
        <v>A1547</v>
      </c>
      <c r="J1552" s="75" t="str">
        <f aca="false">
IF($D1552="정상",INDEX(임대자산!$D$3:$R$3000,MATCH($F1552,임대자산!$I$3:$I$3000,0),MATCH(J$4,임대자산!$D$3:$R$3,0)),
IF($D1552="폐업",INDEX(폐업정보!$D$3:$R$3000,MATCH($F1552,폐업정보!$I$3:$I$3000,0),MATCH(J$4,폐업정보!$D$3:$R$3,0)),
"Error"))</f>
        <v>5497500000</v>
      </c>
      <c r="K1552" s="75" t="str">
        <f aca="false">
IF($D1552="정상",INDEX(임대자산!$D$3:$R$3000,MATCH($F1552,임대자산!$I$3:$I$3000,0),MATCH(K$4,임대자산!$D$3:$R$3,0)),
IF($D1552="폐업",INDEX(폐업정보!$D$3:$R$3000,MATCH($F1552,폐업정보!$I$3:$I$3000,0),MATCH(K$4,폐업정보!$D$3:$R$3,0)),
"Error"))</f>
        <v>C1547</v>
      </c>
      <c r="L1552" s="75" t="str">
        <f aca="false">
IF($D1552="정상",INDEX(임대자산!$D$3:$R$3000,MATCH($F1552,임대자산!$I$3:$I$3000,0),MATCH(L$4,임대자산!$D$3:$R$3,0)),
IF($D1552="폐업",INDEX(폐업정보!$D$3:$R$3000,MATCH($F1552,폐업정보!$I$3:$I$3000,0),MATCH(L$4,폐업정보!$D$3:$R$3,0)),
"Error"))</f>
        <v>D1547</v>
      </c>
      <c r="M1552" s="76" t="s">
        <v>96</v>
      </c>
      <c r="N1552" s="77"/>
      <c r="O1552" s="78" t="s">
        <v>97</v>
      </c>
      <c r="P1552" s="79" t="n">
        <f aca="false">COUNTIFS(임대자산!$I:$I,가맹점정보!F1552,임대자산!$N:$N,가맹점정보!P$4)</f>
        <v>0</v>
      </c>
      <c r="Q1552" s="80" t="n">
        <f aca="false">COUNTIFS(임대자산!$I:$I,가맹점정보!F1552,임대자산!$N:$N,가맹점정보!Q$4)</f>
        <v>0</v>
      </c>
      <c r="R1552" s="81" t="n">
        <f aca="false">COUNTIFS(임대자산!$I:$I,가맹점정보!F1552,임대자산!$N:$N,가맹점정보!R$4)</f>
        <v>1</v>
      </c>
      <c r="S1552" s="82" t="n">
        <v>55000</v>
      </c>
      <c r="T1552" s="83" t="n">
        <v>0</v>
      </c>
      <c r="U1552" s="80" t="n">
        <f aca="false">SUM(S1552:T1552)</f>
        <v>55000</v>
      </c>
      <c r="V1552" s="84" t="s">
        <v>7</v>
      </c>
      <c r="W1552" s="80" t="str">
        <f aca="true">
IF(D1552="폐업","폐업",
IF(V1552="면제","면제",
IF(AND(V1552="정상",COUNTIFS(OFFSET(Y1552,0,COUNTA(Y1552:AV1552)-1,1,-4),"미납")&gt;=3),"장기미납",
IF(AND(V1552="정상",OFFSET(Y1552,0,COUNTA(Y1552:AV1552)-1)&gt;=U1552),"정상",
IF(AND(V1552="정상",OFFSET(Y1552,0,COUNTA(Y1552:AV1552)-1)=0),"정상",
"계약서 미작성")))))</f>
        <v>면제</v>
      </c>
      <c r="X1552" s="81" t="str">
        <f aca="true">
IF(D1552="폐업","폐업",
IF(AND(V1552="정상",OFFSET(Y1552,0,COUNTA(Y1552:AV1552)-1)="미납"),"미납",
IF(AND(V1552="정상",OFFSET(Y1552,0,COUNTA(Y1552:AV1552)-1)=0),"납부 시작 전",
IF(AND(V1552="정상",OFFSET(Y1552,0,COUNTA(Y1552:AV1552)-1)&gt;=U1552),"정상",
IF(AND(V1552="면제",OFFSET(Y1552,0,COUNTA(Y1552:AV1552)-1)="면제"),"면제",
IF(AND(V1552="면제",OFFSET(Y1552,0,COUNTA(Y1552:AV1552)-1)=0),"면제",
"확인요청"))))))</f>
        <v>면제</v>
      </c>
      <c r="Y1552" s="94" t="s">
        <v>7</v>
      </c>
      <c r="Z1552" s="95" t="s">
        <v>7</v>
      </c>
      <c r="AA1552" s="95" t="s">
        <v>7</v>
      </c>
      <c r="AB1552" s="95" t="s">
        <v>7</v>
      </c>
      <c r="AC1552" s="95" t="s">
        <v>7</v>
      </c>
      <c r="AD1552" s="95" t="s">
        <v>7</v>
      </c>
      <c r="AE1552" s="95" t="s">
        <v>7</v>
      </c>
      <c r="AF1552" s="95" t="s">
        <v>7</v>
      </c>
      <c r="AG1552" s="95" t="s">
        <v>7</v>
      </c>
      <c r="AH1552" s="95" t="s">
        <v>7</v>
      </c>
      <c r="AI1552" s="95" t="s">
        <v>7</v>
      </c>
      <c r="AJ1552" s="96" t="s">
        <v>7</v>
      </c>
      <c r="AK1552" s="97" t="s">
        <v>7</v>
      </c>
      <c r="AL1552" s="95" t="s">
        <v>7</v>
      </c>
      <c r="AM1552" s="90"/>
      <c r="AN1552" s="90"/>
      <c r="AO1552" s="90"/>
      <c r="AP1552" s="90"/>
      <c r="AQ1552" s="90"/>
      <c r="AR1552" s="90"/>
      <c r="AS1552" s="90"/>
      <c r="AT1552" s="90"/>
      <c r="AU1552" s="90"/>
      <c r="AV1552" s="91"/>
      <c r="AX1552" s="92"/>
    </row>
    <row r="1553" customFormat="false" ht="15.65" hidden="false" customHeight="false" outlineLevel="0" collapsed="false">
      <c r="C1553" s="72" t="n">
        <f aca="false">COUNTIFS($D$6:D1553,"&lt;&gt;"&amp;"")</f>
        <v>1548</v>
      </c>
      <c r="D1553" s="73" t="s">
        <v>12</v>
      </c>
      <c r="E1553" s="76" t="str">
        <f aca="false">
IF($D1553="정상",INDEX(임대자산!$D$3:$R$3000,MATCH($F1553,임대자산!$I$3:$I$3000,0),MATCH(E$3,임대자산!$D$3:$R$3,0)),
IF($D1553="폐업",INDEX(폐업정보!$D$3:$R$3000,MATCH($F1553,폐업정보!$I$3:$I$3000,0),MATCH(E$3,폐업정보!$D$3:$R$3,0)),
"Error"))</f>
        <v>서울</v>
      </c>
      <c r="F155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B1548</v>
      </c>
      <c r="G1553" s="76" t="str">
        <f aca="false">F1553&amp;RANDBETWEEN(0,10)</f>
        <v>B15482</v>
      </c>
      <c r="H1553" s="75" t="n">
        <f aca="false">
IF($D1553="정상",INDEX(임대자산!$D$3:$R$3000,MATCH($F1553,임대자산!$I$3:$I$3000,0),MATCH(H$4,임대자산!$D$3:$R$3,0)),
IF($D1553="폐업",INDEX(폐업정보!$D$3:$R$3000,MATCH($F1553,폐업정보!$I$3:$I$3000,0),MATCH(H$4,폐업정보!$D$3:$R$3,0)),
"Error"))</f>
        <v>45579</v>
      </c>
      <c r="I1553" s="75" t="str">
        <f aca="false">
IF($D1553="정상",INDEX(임대자산!$D$3:$R$3000,MATCH($F1553,임대자산!$I$3:$I$3000,0),MATCH(I$4,임대자산!$D$3:$R$3,0)),
IF($D1553="폐업",INDEX(폐업정보!$D$3:$R$3000,MATCH($F1553,폐업정보!$I$3:$I$3000,0),MATCH(I$4,폐업정보!$D$3:$R$3,0)),
"Error"))</f>
        <v>A1548</v>
      </c>
      <c r="J1553" s="75" t="str">
        <f aca="false">
IF($D1553="정상",INDEX(임대자산!$D$3:$R$3000,MATCH($F1553,임대자산!$I$3:$I$3000,0),MATCH(J$4,임대자산!$D$3:$R$3,0)),
IF($D1553="폐업",INDEX(폐업정보!$D$3:$R$3000,MATCH($F1553,폐업정보!$I$3:$I$3000,0),MATCH(J$4,폐업정보!$D$3:$R$3,0)),
"Error"))</f>
        <v>1334400000</v>
      </c>
      <c r="K1553" s="75" t="str">
        <f aca="false">
IF($D1553="정상",INDEX(임대자산!$D$3:$R$3000,MATCH($F1553,임대자산!$I$3:$I$3000,0),MATCH(K$4,임대자산!$D$3:$R$3,0)),
IF($D1553="폐업",INDEX(폐업정보!$D$3:$R$3000,MATCH($F1553,폐업정보!$I$3:$I$3000,0),MATCH(K$4,폐업정보!$D$3:$R$3,0)),
"Error"))</f>
        <v>C1548</v>
      </c>
      <c r="L1553" s="75" t="str">
        <f aca="false">
IF($D1553="정상",INDEX(임대자산!$D$3:$R$3000,MATCH($F1553,임대자산!$I$3:$I$3000,0),MATCH(L$4,임대자산!$D$3:$R$3,0)),
IF($D1553="폐업",INDEX(폐업정보!$D$3:$R$3000,MATCH($F1553,폐업정보!$I$3:$I$3000,0),MATCH(L$4,폐업정보!$D$3:$R$3,0)),
"Error"))</f>
        <v>D1548</v>
      </c>
      <c r="M1553" s="76" t="s">
        <v>96</v>
      </c>
      <c r="N1553" s="77"/>
      <c r="O1553" s="78" t="s">
        <v>97</v>
      </c>
      <c r="P1553" s="79" t="n">
        <f aca="false">COUNTIFS(임대자산!$I:$I,가맹점정보!F1553,임대자산!$N:$N,가맹점정보!P$4)</f>
        <v>0</v>
      </c>
      <c r="Q1553" s="80" t="n">
        <f aca="false">COUNTIFS(임대자산!$I:$I,가맹점정보!F1553,임대자산!$N:$N,가맹점정보!Q$4)</f>
        <v>0</v>
      </c>
      <c r="R1553" s="81" t="n">
        <f aca="false">COUNTIFS(임대자산!$I:$I,가맹점정보!F1553,임대자산!$N:$N,가맹점정보!R$4)</f>
        <v>1</v>
      </c>
      <c r="S1553" s="82" t="n">
        <v>55000</v>
      </c>
      <c r="T1553" s="83" t="n">
        <v>0</v>
      </c>
      <c r="U1553" s="80" t="n">
        <f aca="false">SUM(S1553:T1553)</f>
        <v>55000</v>
      </c>
      <c r="V1553" s="84" t="s">
        <v>7</v>
      </c>
      <c r="W1553" s="80" t="str">
        <f aca="true">
IF(D1553="폐업","폐업",
IF(V1553="면제","면제",
IF(AND(V1553="정상",COUNTIFS(OFFSET(Y1553,0,COUNTA(Y1553:AV1553)-1,1,-4),"미납")&gt;=3),"장기미납",
IF(AND(V1553="정상",OFFSET(Y1553,0,COUNTA(Y1553:AV1553)-1)&gt;=U1553),"정상",
IF(AND(V1553="정상",OFFSET(Y1553,0,COUNTA(Y1553:AV1553)-1)=0),"정상",
"계약서 미작성")))))</f>
        <v>면제</v>
      </c>
      <c r="X1553" s="81" t="str">
        <f aca="true">
IF(D1553="폐업","폐업",
IF(AND(V1553="정상",OFFSET(Y1553,0,COUNTA(Y1553:AV1553)-1)="미납"),"미납",
IF(AND(V1553="정상",OFFSET(Y1553,0,COUNTA(Y1553:AV1553)-1)=0),"납부 시작 전",
IF(AND(V1553="정상",OFFSET(Y1553,0,COUNTA(Y1553:AV1553)-1)&gt;=U1553),"정상",
IF(AND(V1553="면제",OFFSET(Y1553,0,COUNTA(Y1553:AV1553)-1)="면제"),"면제",
IF(AND(V1553="면제",OFFSET(Y1553,0,COUNTA(Y1553:AV1553)-1)=0),"면제",
"확인요청"))))))</f>
        <v>면제</v>
      </c>
      <c r="Y1553" s="94" t="s">
        <v>7</v>
      </c>
      <c r="Z1553" s="95" t="s">
        <v>7</v>
      </c>
      <c r="AA1553" s="95" t="s">
        <v>7</v>
      </c>
      <c r="AB1553" s="95" t="s">
        <v>7</v>
      </c>
      <c r="AC1553" s="95" t="s">
        <v>7</v>
      </c>
      <c r="AD1553" s="95" t="s">
        <v>7</v>
      </c>
      <c r="AE1553" s="95" t="s">
        <v>7</v>
      </c>
      <c r="AF1553" s="95" t="s">
        <v>7</v>
      </c>
      <c r="AG1553" s="95" t="s">
        <v>7</v>
      </c>
      <c r="AH1553" s="95" t="s">
        <v>7</v>
      </c>
      <c r="AI1553" s="95" t="s">
        <v>7</v>
      </c>
      <c r="AJ1553" s="96" t="s">
        <v>7</v>
      </c>
      <c r="AK1553" s="97" t="s">
        <v>7</v>
      </c>
      <c r="AL1553" s="95" t="s">
        <v>7</v>
      </c>
      <c r="AM1553" s="90"/>
      <c r="AN1553" s="90"/>
      <c r="AO1553" s="90"/>
      <c r="AP1553" s="90"/>
      <c r="AQ1553" s="90"/>
      <c r="AR1553" s="90"/>
      <c r="AS1553" s="90"/>
      <c r="AT1553" s="90"/>
      <c r="AU1553" s="90"/>
      <c r="AV1553" s="91"/>
      <c r="AX1553" s="92"/>
    </row>
    <row r="1554" customFormat="false" ht="15.65" hidden="false" customHeight="false" outlineLevel="0" collapsed="false">
      <c r="C1554" s="72" t="n">
        <f aca="false">COUNTIFS($D$6:D1554,"&lt;&gt;"&amp;"")</f>
        <v>1549</v>
      </c>
      <c r="D1554" s="73" t="s">
        <v>12</v>
      </c>
      <c r="E1554" s="76" t="str">
        <f aca="false">
IF($D1554="정상",INDEX(임대자산!$D$3:$R$3000,MATCH($F1554,임대자산!$I$3:$I$3000,0),MATCH(E$3,임대자산!$D$3:$R$3,0)),
IF($D1554="폐업",INDEX(폐업정보!$D$3:$R$3000,MATCH($F1554,폐업정보!$I$3:$I$3000,0),MATCH(E$3,폐업정보!$D$3:$R$3,0)),
"Error"))</f>
        <v>경기</v>
      </c>
      <c r="F155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B1549</v>
      </c>
      <c r="G1554" s="76" t="str">
        <f aca="false">F1554&amp;RANDBETWEEN(0,10)</f>
        <v>B15495</v>
      </c>
      <c r="H1554" s="75" t="n">
        <f aca="false">
IF($D1554="정상",INDEX(임대자산!$D$3:$R$3000,MATCH($F1554,임대자산!$I$3:$I$3000,0),MATCH(H$4,임대자산!$D$3:$R$3,0)),
IF($D1554="폐업",INDEX(폐업정보!$D$3:$R$3000,MATCH($F1554,폐업정보!$I$3:$I$3000,0),MATCH(H$4,폐업정보!$D$3:$R$3,0)),
"Error"))</f>
        <v>45579</v>
      </c>
      <c r="I1554" s="75" t="str">
        <f aca="false">
IF($D1554="정상",INDEX(임대자산!$D$3:$R$3000,MATCH($F1554,임대자산!$I$3:$I$3000,0),MATCH(I$4,임대자산!$D$3:$R$3,0)),
IF($D1554="폐업",INDEX(폐업정보!$D$3:$R$3000,MATCH($F1554,폐업정보!$I$3:$I$3000,0),MATCH(I$4,폐업정보!$D$3:$R$3,0)),
"Error"))</f>
        <v>A1549</v>
      </c>
      <c r="J1554" s="75" t="str">
        <f aca="false">
IF($D1554="정상",INDEX(임대자산!$D$3:$R$3000,MATCH($F1554,임대자산!$I$3:$I$3000,0),MATCH(J$4,임대자산!$D$3:$R$3,0)),
IF($D1554="폐업",INDEX(폐업정보!$D$3:$R$3000,MATCH($F1554,폐업정보!$I$3:$I$3000,0),MATCH(J$4,폐업정보!$D$3:$R$3,0)),
"Error"))</f>
        <v>7499100000</v>
      </c>
      <c r="K1554" s="75" t="str">
        <f aca="false">
IF($D1554="정상",INDEX(임대자산!$D$3:$R$3000,MATCH($F1554,임대자산!$I$3:$I$3000,0),MATCH(K$4,임대자산!$D$3:$R$3,0)),
IF($D1554="폐업",INDEX(폐업정보!$D$3:$R$3000,MATCH($F1554,폐업정보!$I$3:$I$3000,0),MATCH(K$4,폐업정보!$D$3:$R$3,0)),
"Error"))</f>
        <v>C1549</v>
      </c>
      <c r="L1554" s="75" t="str">
        <f aca="false">
IF($D1554="정상",INDEX(임대자산!$D$3:$R$3000,MATCH($F1554,임대자산!$I$3:$I$3000,0),MATCH(L$4,임대자산!$D$3:$R$3,0)),
IF($D1554="폐업",INDEX(폐업정보!$D$3:$R$3000,MATCH($F1554,폐업정보!$I$3:$I$3000,0),MATCH(L$4,폐업정보!$D$3:$R$3,0)),
"Error"))</f>
        <v>D1549</v>
      </c>
      <c r="M1554" s="76" t="s">
        <v>96</v>
      </c>
      <c r="N1554" s="77"/>
      <c r="O1554" s="78" t="s">
        <v>97</v>
      </c>
      <c r="P1554" s="79" t="n">
        <f aca="false">COUNTIFS(임대자산!$I:$I,가맹점정보!F1554,임대자산!$N:$N,가맹점정보!P$4)</f>
        <v>0</v>
      </c>
      <c r="Q1554" s="80" t="n">
        <f aca="false">COUNTIFS(임대자산!$I:$I,가맹점정보!F1554,임대자산!$N:$N,가맹점정보!Q$4)</f>
        <v>0</v>
      </c>
      <c r="R1554" s="81" t="n">
        <f aca="false">COUNTIFS(임대자산!$I:$I,가맹점정보!F1554,임대자산!$N:$N,가맹점정보!R$4)</f>
        <v>1</v>
      </c>
      <c r="S1554" s="82" t="n">
        <v>55000</v>
      </c>
      <c r="T1554" s="83" t="n">
        <v>0</v>
      </c>
      <c r="U1554" s="80" t="n">
        <f aca="false">SUM(S1554:T1554)</f>
        <v>55000</v>
      </c>
      <c r="V1554" s="84" t="s">
        <v>7</v>
      </c>
      <c r="W1554" s="80" t="str">
        <f aca="true">
IF(D1554="폐업","폐업",
IF(V1554="면제","면제",
IF(AND(V1554="정상",COUNTIFS(OFFSET(Y1554,0,COUNTA(Y1554:AV1554)-1,1,-4),"미납")&gt;=3),"장기미납",
IF(AND(V1554="정상",OFFSET(Y1554,0,COUNTA(Y1554:AV1554)-1)&gt;=U1554),"정상",
IF(AND(V1554="정상",OFFSET(Y1554,0,COUNTA(Y1554:AV1554)-1)=0),"정상",
"계약서 미작성")))))</f>
        <v>면제</v>
      </c>
      <c r="X1554" s="81" t="str">
        <f aca="true">
IF(D1554="폐업","폐업",
IF(AND(V1554="정상",OFFSET(Y1554,0,COUNTA(Y1554:AV1554)-1)="미납"),"미납",
IF(AND(V1554="정상",OFFSET(Y1554,0,COUNTA(Y1554:AV1554)-1)=0),"납부 시작 전",
IF(AND(V1554="정상",OFFSET(Y1554,0,COUNTA(Y1554:AV1554)-1)&gt;=U1554),"정상",
IF(AND(V1554="면제",OFFSET(Y1554,0,COUNTA(Y1554:AV1554)-1)="면제"),"면제",
IF(AND(V1554="면제",OFFSET(Y1554,0,COUNTA(Y1554:AV1554)-1)=0),"면제",
"확인요청"))))))</f>
        <v>면제</v>
      </c>
      <c r="Y1554" s="94" t="s">
        <v>7</v>
      </c>
      <c r="Z1554" s="95" t="s">
        <v>7</v>
      </c>
      <c r="AA1554" s="95" t="s">
        <v>7</v>
      </c>
      <c r="AB1554" s="95" t="s">
        <v>7</v>
      </c>
      <c r="AC1554" s="95" t="s">
        <v>7</v>
      </c>
      <c r="AD1554" s="95" t="s">
        <v>7</v>
      </c>
      <c r="AE1554" s="95" t="s">
        <v>7</v>
      </c>
      <c r="AF1554" s="95" t="s">
        <v>7</v>
      </c>
      <c r="AG1554" s="95" t="s">
        <v>7</v>
      </c>
      <c r="AH1554" s="95" t="s">
        <v>7</v>
      </c>
      <c r="AI1554" s="95" t="s">
        <v>7</v>
      </c>
      <c r="AJ1554" s="96" t="s">
        <v>7</v>
      </c>
      <c r="AK1554" s="97" t="s">
        <v>7</v>
      </c>
      <c r="AL1554" s="95" t="s">
        <v>7</v>
      </c>
      <c r="AM1554" s="90"/>
      <c r="AN1554" s="90"/>
      <c r="AO1554" s="90"/>
      <c r="AP1554" s="90"/>
      <c r="AQ1554" s="90"/>
      <c r="AR1554" s="90"/>
      <c r="AS1554" s="90"/>
      <c r="AT1554" s="90"/>
      <c r="AU1554" s="90"/>
      <c r="AV1554" s="91"/>
      <c r="AX1554" s="92"/>
    </row>
    <row r="1555" customFormat="false" ht="15.65" hidden="false" customHeight="false" outlineLevel="0" collapsed="false">
      <c r="C1555" s="72" t="n">
        <f aca="false">COUNTIFS($D$6:D1555,"&lt;&gt;"&amp;"")</f>
        <v>1550</v>
      </c>
      <c r="D1555" s="73" t="s">
        <v>12</v>
      </c>
      <c r="E1555" s="76" t="str">
        <f aca="false">
IF($D1555="정상",INDEX(임대자산!$D$3:$R$3000,MATCH($F1555,임대자산!$I$3:$I$3000,0),MATCH(E$3,임대자산!$D$3:$R$3,0)),
IF($D1555="폐업",INDEX(폐업정보!$D$3:$R$3000,MATCH($F1555,폐업정보!$I$3:$I$3000,0),MATCH(E$3,폐업정보!$D$3:$R$3,0)),
"Error"))</f>
        <v>경기</v>
      </c>
      <c r="F155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B1550</v>
      </c>
      <c r="G1555" s="76" t="str">
        <f aca="false">F1555&amp;RANDBETWEEN(0,10)</f>
        <v>B15509</v>
      </c>
      <c r="H1555" s="75" t="n">
        <f aca="false">
IF($D1555="정상",INDEX(임대자산!$D$3:$R$3000,MATCH($F1555,임대자산!$I$3:$I$3000,0),MATCH(H$4,임대자산!$D$3:$R$3,0)),
IF($D1555="폐업",INDEX(폐업정보!$D$3:$R$3000,MATCH($F1555,폐업정보!$I$3:$I$3000,0),MATCH(H$4,폐업정보!$D$3:$R$3,0)),
"Error"))</f>
        <v>45579</v>
      </c>
      <c r="I1555" s="75" t="str">
        <f aca="false">
IF($D1555="정상",INDEX(임대자산!$D$3:$R$3000,MATCH($F1555,임대자산!$I$3:$I$3000,0),MATCH(I$4,임대자산!$D$3:$R$3,0)),
IF($D1555="폐업",INDEX(폐업정보!$D$3:$R$3000,MATCH($F1555,폐업정보!$I$3:$I$3000,0),MATCH(I$4,폐업정보!$D$3:$R$3,0)),
"Error"))</f>
        <v>A1550</v>
      </c>
      <c r="J1555" s="75" t="str">
        <f aca="false">
IF($D1555="정상",INDEX(임대자산!$D$3:$R$3000,MATCH($F1555,임대자산!$I$3:$I$3000,0),MATCH(J$4,임대자산!$D$3:$R$3,0)),
IF($D1555="폐업",INDEX(폐업정보!$D$3:$R$3000,MATCH($F1555,폐업정보!$I$3:$I$3000,0),MATCH(J$4,폐업정보!$D$3:$R$3,0)),
"Error"))</f>
        <v>5254200000</v>
      </c>
      <c r="K1555" s="75" t="str">
        <f aca="false">
IF($D1555="정상",INDEX(임대자산!$D$3:$R$3000,MATCH($F1555,임대자산!$I$3:$I$3000,0),MATCH(K$4,임대자산!$D$3:$R$3,0)),
IF($D1555="폐업",INDEX(폐업정보!$D$3:$R$3000,MATCH($F1555,폐업정보!$I$3:$I$3000,0),MATCH(K$4,폐업정보!$D$3:$R$3,0)),
"Error"))</f>
        <v>C1550</v>
      </c>
      <c r="L1555" s="75" t="str">
        <f aca="false">
IF($D1555="정상",INDEX(임대자산!$D$3:$R$3000,MATCH($F1555,임대자산!$I$3:$I$3000,0),MATCH(L$4,임대자산!$D$3:$R$3,0)),
IF($D1555="폐업",INDEX(폐업정보!$D$3:$R$3000,MATCH($F1555,폐업정보!$I$3:$I$3000,0),MATCH(L$4,폐업정보!$D$3:$R$3,0)),
"Error"))</f>
        <v>D1550</v>
      </c>
      <c r="M1555" s="76" t="s">
        <v>96</v>
      </c>
      <c r="N1555" s="77"/>
      <c r="O1555" s="78" t="s">
        <v>97</v>
      </c>
      <c r="P1555" s="79" t="n">
        <f aca="false">COUNTIFS(임대자산!$I:$I,가맹점정보!F1555,임대자산!$N:$N,가맹점정보!P$4)</f>
        <v>0</v>
      </c>
      <c r="Q1555" s="80" t="n">
        <f aca="false">COUNTIFS(임대자산!$I:$I,가맹점정보!F1555,임대자산!$N:$N,가맹점정보!Q$4)</f>
        <v>0</v>
      </c>
      <c r="R1555" s="81" t="n">
        <f aca="false">COUNTIFS(임대자산!$I:$I,가맹점정보!F1555,임대자산!$N:$N,가맹점정보!R$4)</f>
        <v>1</v>
      </c>
      <c r="S1555" s="82" t="n">
        <v>55000</v>
      </c>
      <c r="T1555" s="83" t="n">
        <v>0</v>
      </c>
      <c r="U1555" s="80" t="n">
        <f aca="false">SUM(S1555:T1555)</f>
        <v>55000</v>
      </c>
      <c r="V1555" s="84" t="s">
        <v>12</v>
      </c>
      <c r="W1555" s="80" t="e">
        <f aca="true">
IF(D1555="폐업","폐업",
IF(V1555="면제","면제",
IF(AND(V1555="정상",COUNTIFS(OFFSET(Y1555,0,COUNTA(Y1555:AV1555)-1,1,-4),"미납")&gt;=3),"장기미납",
IF(AND(V1555="정상",OFFSET(Y1555,0,COUNTA(Y1555:AV1555)-1)&gt;=U1555),"정상",
IF(AND(V1555="정상",OFFSET(Y1555,0,COUNTA(Y1555:AV1555)-1)=0),"정상",
"계약서 미작성")))))</f>
        <v>#VALUE!</v>
      </c>
      <c r="X1555" s="81" t="str">
        <f aca="true">
IF(D1555="폐업","폐업",
IF(AND(V1555="정상",OFFSET(Y1555,0,COUNTA(Y1555:AV1555)-1)="미납"),"미납",
IF(AND(V1555="정상",OFFSET(Y1555,0,COUNTA(Y1555:AV1555)-1)=0),"납부 시작 전",
IF(AND(V1555="정상",OFFSET(Y1555,0,COUNTA(Y1555:AV1555)-1)&gt;=U1555),"정상",
IF(AND(V1555="면제",OFFSET(Y1555,0,COUNTA(Y1555:AV1555)-1)="면제"),"면제",
IF(AND(V1555="면제",OFFSET(Y1555,0,COUNTA(Y1555:AV1555)-1)=0),"면제",
"확인요청"))))))</f>
        <v>미납</v>
      </c>
      <c r="Y1555" s="93" t="n">
        <v>55000</v>
      </c>
      <c r="Z1555" s="90" t="n">
        <v>55000</v>
      </c>
      <c r="AA1555" s="90" t="n">
        <v>55000</v>
      </c>
      <c r="AB1555" s="90" t="n">
        <v>55000</v>
      </c>
      <c r="AC1555" s="90" t="n">
        <v>55000</v>
      </c>
      <c r="AD1555" s="90" t="n">
        <v>55000</v>
      </c>
      <c r="AE1555" s="90" t="n">
        <v>55000</v>
      </c>
      <c r="AF1555" s="90" t="n">
        <v>55000</v>
      </c>
      <c r="AG1555" s="95" t="s">
        <v>62</v>
      </c>
      <c r="AH1555" s="95" t="s">
        <v>62</v>
      </c>
      <c r="AI1555" s="95" t="s">
        <v>62</v>
      </c>
      <c r="AJ1555" s="96" t="s">
        <v>62</v>
      </c>
      <c r="AK1555" s="97" t="s">
        <v>62</v>
      </c>
      <c r="AL1555" s="95" t="s">
        <v>62</v>
      </c>
      <c r="AM1555" s="90"/>
      <c r="AN1555" s="90"/>
      <c r="AO1555" s="90"/>
      <c r="AP1555" s="90"/>
      <c r="AQ1555" s="90"/>
      <c r="AR1555" s="90"/>
      <c r="AS1555" s="90"/>
      <c r="AT1555" s="90"/>
      <c r="AU1555" s="90"/>
      <c r="AV1555" s="91"/>
      <c r="AX1555" s="92"/>
    </row>
    <row r="1556" customFormat="false" ht="15.65" hidden="false" customHeight="false" outlineLevel="0" collapsed="false">
      <c r="C1556" s="72" t="n">
        <f aca="false">COUNTIFS($D$6:D1556,"&lt;&gt;"&amp;"")</f>
        <v>1551</v>
      </c>
      <c r="D1556" s="73" t="s">
        <v>12</v>
      </c>
      <c r="E1556" s="76" t="str">
        <f aca="false">
IF($D1556="정상",INDEX(임대자산!$D$3:$R$3000,MATCH($F1556,임대자산!$I$3:$I$3000,0),MATCH(E$3,임대자산!$D$3:$R$3,0)),
IF($D1556="폐업",INDEX(폐업정보!$D$3:$R$3000,MATCH($F1556,폐업정보!$I$3:$I$3000,0),MATCH(E$3,폐업정보!$D$3:$R$3,0)),
"Error"))</f>
        <v>경기</v>
      </c>
      <c r="F155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B1551</v>
      </c>
      <c r="G1556" s="76" t="str">
        <f aca="false">F1556&amp;RANDBETWEEN(0,10)</f>
        <v>B15518</v>
      </c>
      <c r="H1556" s="75" t="n">
        <f aca="false">
IF($D1556="정상",INDEX(임대자산!$D$3:$R$3000,MATCH($F1556,임대자산!$I$3:$I$3000,0),MATCH(H$4,임대자산!$D$3:$R$3,0)),
IF($D1556="폐업",INDEX(폐업정보!$D$3:$R$3000,MATCH($F1556,폐업정보!$I$3:$I$3000,0),MATCH(H$4,폐업정보!$D$3:$R$3,0)),
"Error"))</f>
        <v>45579</v>
      </c>
      <c r="I1556" s="75" t="str">
        <f aca="false">
IF($D1556="정상",INDEX(임대자산!$D$3:$R$3000,MATCH($F1556,임대자산!$I$3:$I$3000,0),MATCH(I$4,임대자산!$D$3:$R$3,0)),
IF($D1556="폐업",INDEX(폐업정보!$D$3:$R$3000,MATCH($F1556,폐업정보!$I$3:$I$3000,0),MATCH(I$4,폐업정보!$D$3:$R$3,0)),
"Error"))</f>
        <v>A1551</v>
      </c>
      <c r="J1556" s="75" t="str">
        <f aca="false">
IF($D1556="정상",INDEX(임대자산!$D$3:$R$3000,MATCH($F1556,임대자산!$I$3:$I$3000,0),MATCH(J$4,임대자산!$D$3:$R$3,0)),
IF($D1556="폐업",INDEX(폐업정보!$D$3:$R$3000,MATCH($F1556,폐업정보!$I$3:$I$3000,0),MATCH(J$4,폐업정보!$D$3:$R$3,0)),
"Error"))</f>
        <v>8188200000</v>
      </c>
      <c r="K1556" s="75" t="str">
        <f aca="false">
IF($D1556="정상",INDEX(임대자산!$D$3:$R$3000,MATCH($F1556,임대자산!$I$3:$I$3000,0),MATCH(K$4,임대자산!$D$3:$R$3,0)),
IF($D1556="폐업",INDEX(폐업정보!$D$3:$R$3000,MATCH($F1556,폐업정보!$I$3:$I$3000,0),MATCH(K$4,폐업정보!$D$3:$R$3,0)),
"Error"))</f>
        <v>C1551</v>
      </c>
      <c r="L1556" s="75" t="str">
        <f aca="false">
IF($D1556="정상",INDEX(임대자산!$D$3:$R$3000,MATCH($F1556,임대자산!$I$3:$I$3000,0),MATCH(L$4,임대자산!$D$3:$R$3,0)),
IF($D1556="폐업",INDEX(폐업정보!$D$3:$R$3000,MATCH($F1556,폐업정보!$I$3:$I$3000,0),MATCH(L$4,폐업정보!$D$3:$R$3,0)),
"Error"))</f>
        <v>D1551</v>
      </c>
      <c r="M1556" s="76" t="s">
        <v>96</v>
      </c>
      <c r="N1556" s="77"/>
      <c r="O1556" s="78" t="s">
        <v>97</v>
      </c>
      <c r="P1556" s="79" t="n">
        <f aca="false">COUNTIFS(임대자산!$I:$I,가맹점정보!F1556,임대자산!$N:$N,가맹점정보!P$4)</f>
        <v>0</v>
      </c>
      <c r="Q1556" s="80" t="n">
        <f aca="false">COUNTIFS(임대자산!$I:$I,가맹점정보!F1556,임대자산!$N:$N,가맹점정보!Q$4)</f>
        <v>0</v>
      </c>
      <c r="R1556" s="81" t="n">
        <f aca="false">COUNTIFS(임대자산!$I:$I,가맹점정보!F1556,임대자산!$N:$N,가맹점정보!R$4)</f>
        <v>1</v>
      </c>
      <c r="S1556" s="82" t="n">
        <v>55000</v>
      </c>
      <c r="T1556" s="83" t="n">
        <v>0</v>
      </c>
      <c r="U1556" s="80" t="n">
        <f aca="false">SUM(S1556:T1556)</f>
        <v>55000</v>
      </c>
      <c r="V1556" s="84" t="s">
        <v>12</v>
      </c>
      <c r="W1556" s="80" t="e">
        <f aca="true">
IF(D1556="폐업","폐업",
IF(V1556="면제","면제",
IF(AND(V1556="정상",COUNTIFS(OFFSET(Y1556,0,COUNTA(Y1556:AV1556)-1,1,-4),"미납")&gt;=3),"장기미납",
IF(AND(V1556="정상",OFFSET(Y1556,0,COUNTA(Y1556:AV1556)-1)&gt;=U1556),"정상",
IF(AND(V1556="정상",OFFSET(Y1556,0,COUNTA(Y1556:AV1556)-1)=0),"정상",
"계약서 미작성")))))</f>
        <v>#VALUE!</v>
      </c>
      <c r="X1556" s="81" t="str">
        <f aca="true">
IF(D1556="폐업","폐업",
IF(AND(V1556="정상",OFFSET(Y1556,0,COUNTA(Y1556:AV1556)-1)="미납"),"미납",
IF(AND(V1556="정상",OFFSET(Y1556,0,COUNTA(Y1556:AV1556)-1)=0),"납부 시작 전",
IF(AND(V1556="정상",OFFSET(Y1556,0,COUNTA(Y1556:AV1556)-1)&gt;=U1556),"정상",
IF(AND(V1556="면제",OFFSET(Y1556,0,COUNTA(Y1556:AV1556)-1)="면제"),"면제",
IF(AND(V1556="면제",OFFSET(Y1556,0,COUNTA(Y1556:AV1556)-1)=0),"면제",
"확인요청"))))))</f>
        <v>정상</v>
      </c>
      <c r="Y1556" s="93" t="n">
        <v>55000</v>
      </c>
      <c r="Z1556" s="90" t="n">
        <v>55000</v>
      </c>
      <c r="AA1556" s="90" t="n">
        <v>55000</v>
      </c>
      <c r="AB1556" s="90" t="n">
        <v>55000</v>
      </c>
      <c r="AC1556" s="90" t="n">
        <v>55000</v>
      </c>
      <c r="AD1556" s="90" t="n">
        <v>55000</v>
      </c>
      <c r="AE1556" s="90" t="n">
        <v>55000</v>
      </c>
      <c r="AF1556" s="90" t="n">
        <v>55000</v>
      </c>
      <c r="AG1556" s="90" t="n">
        <v>55000</v>
      </c>
      <c r="AH1556" s="95" t="s">
        <v>62</v>
      </c>
      <c r="AI1556" s="95" t="s">
        <v>62</v>
      </c>
      <c r="AJ1556" s="96" t="s">
        <v>62</v>
      </c>
      <c r="AK1556" s="89" t="n">
        <v>55000</v>
      </c>
      <c r="AL1556" s="90" t="n">
        <v>55000</v>
      </c>
      <c r="AM1556" s="90"/>
      <c r="AN1556" s="90"/>
      <c r="AO1556" s="90"/>
      <c r="AP1556" s="90"/>
      <c r="AQ1556" s="90"/>
      <c r="AR1556" s="90"/>
      <c r="AS1556" s="90"/>
      <c r="AT1556" s="90"/>
      <c r="AU1556" s="90"/>
      <c r="AV1556" s="91"/>
      <c r="AX1556" s="92"/>
    </row>
    <row r="1557" customFormat="false" ht="15.65" hidden="false" customHeight="false" outlineLevel="0" collapsed="false">
      <c r="C1557" s="72" t="n">
        <f aca="false">COUNTIFS($D$6:D1557,"&lt;&gt;"&amp;"")</f>
        <v>1552</v>
      </c>
      <c r="D1557" s="73" t="s">
        <v>12</v>
      </c>
      <c r="E1557" s="76" t="str">
        <f aca="false">
IF($D1557="정상",INDEX(임대자산!$D$3:$R$3000,MATCH($F1557,임대자산!$I$3:$I$3000,0),MATCH(E$3,임대자산!$D$3:$R$3,0)),
IF($D1557="폐업",INDEX(폐업정보!$D$3:$R$3000,MATCH($F1557,폐업정보!$I$3:$I$3000,0),MATCH(E$3,폐업정보!$D$3:$R$3,0)),
"Error"))</f>
        <v>경기</v>
      </c>
      <c r="F155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B1552</v>
      </c>
      <c r="G1557" s="76" t="str">
        <f aca="false">F1557&amp;RANDBETWEEN(0,10)</f>
        <v>B15528</v>
      </c>
      <c r="H1557" s="75" t="n">
        <f aca="false">
IF($D1557="정상",INDEX(임대자산!$D$3:$R$3000,MATCH($F1557,임대자산!$I$3:$I$3000,0),MATCH(H$4,임대자산!$D$3:$R$3,0)),
IF($D1557="폐업",INDEX(폐업정보!$D$3:$R$3000,MATCH($F1557,폐업정보!$I$3:$I$3000,0),MATCH(H$4,폐업정보!$D$3:$R$3,0)),
"Error"))</f>
        <v>45579</v>
      </c>
      <c r="I1557" s="75" t="str">
        <f aca="false">
IF($D1557="정상",INDEX(임대자산!$D$3:$R$3000,MATCH($F1557,임대자산!$I$3:$I$3000,0),MATCH(I$4,임대자산!$D$3:$R$3,0)),
IF($D1557="폐업",INDEX(폐업정보!$D$3:$R$3000,MATCH($F1557,폐업정보!$I$3:$I$3000,0),MATCH(I$4,폐업정보!$D$3:$R$3,0)),
"Error"))</f>
        <v>A1552</v>
      </c>
      <c r="J1557" s="75" t="str">
        <f aca="false">
IF($D1557="정상",INDEX(임대자산!$D$3:$R$3000,MATCH($F1557,임대자산!$I$3:$I$3000,0),MATCH(J$4,임대자산!$D$3:$R$3,0)),
IF($D1557="폐업",INDEX(폐업정보!$D$3:$R$3000,MATCH($F1557,폐업정보!$I$3:$I$3000,0),MATCH(J$4,폐업정보!$D$3:$R$3,0)),
"Error"))</f>
        <v>9170900000</v>
      </c>
      <c r="K1557" s="75" t="str">
        <f aca="false">
IF($D1557="정상",INDEX(임대자산!$D$3:$R$3000,MATCH($F1557,임대자산!$I$3:$I$3000,0),MATCH(K$4,임대자산!$D$3:$R$3,0)),
IF($D1557="폐업",INDEX(폐업정보!$D$3:$R$3000,MATCH($F1557,폐업정보!$I$3:$I$3000,0),MATCH(K$4,폐업정보!$D$3:$R$3,0)),
"Error"))</f>
        <v>C1552</v>
      </c>
      <c r="L1557" s="75" t="str">
        <f aca="false">
IF($D1557="정상",INDEX(임대자산!$D$3:$R$3000,MATCH($F1557,임대자산!$I$3:$I$3000,0),MATCH(L$4,임대자산!$D$3:$R$3,0)),
IF($D1557="폐업",INDEX(폐업정보!$D$3:$R$3000,MATCH($F1557,폐업정보!$I$3:$I$3000,0),MATCH(L$4,폐업정보!$D$3:$R$3,0)),
"Error"))</f>
        <v>D1552</v>
      </c>
      <c r="M1557" s="76" t="s">
        <v>96</v>
      </c>
      <c r="N1557" s="77"/>
      <c r="O1557" s="78" t="s">
        <v>97</v>
      </c>
      <c r="P1557" s="79" t="n">
        <f aca="false">COUNTIFS(임대자산!$I:$I,가맹점정보!F1557,임대자산!$N:$N,가맹점정보!P$4)</f>
        <v>0</v>
      </c>
      <c r="Q1557" s="80" t="n">
        <f aca="false">COUNTIFS(임대자산!$I:$I,가맹점정보!F1557,임대자산!$N:$N,가맹점정보!Q$4)</f>
        <v>0</v>
      </c>
      <c r="R1557" s="81" t="n">
        <f aca="false">COUNTIFS(임대자산!$I:$I,가맹점정보!F1557,임대자산!$N:$N,가맹점정보!R$4)</f>
        <v>1</v>
      </c>
      <c r="S1557" s="82" t="n">
        <v>0</v>
      </c>
      <c r="T1557" s="83" t="n">
        <v>0</v>
      </c>
      <c r="U1557" s="80" t="n">
        <f aca="false">SUM(S1557:T1557)</f>
        <v>0</v>
      </c>
      <c r="V1557" s="84" t="s">
        <v>7</v>
      </c>
      <c r="W1557" s="80" t="str">
        <f aca="true">
IF(D1557="폐업","폐업",
IF(V1557="면제","면제",
IF(AND(V1557="정상",COUNTIFS(OFFSET(Y1557,0,COUNTA(Y1557:AV1557)-1,1,-4),"미납")&gt;=3),"장기미납",
IF(AND(V1557="정상",OFFSET(Y1557,0,COUNTA(Y1557:AV1557)-1)&gt;=U1557),"정상",
IF(AND(V1557="정상",OFFSET(Y1557,0,COUNTA(Y1557:AV1557)-1)=0),"정상",
"계약서 미작성")))))</f>
        <v>면제</v>
      </c>
      <c r="X1557" s="81" t="str">
        <f aca="true">
IF(D1557="폐업","폐업",
IF(AND(V1557="정상",OFFSET(Y1557,0,COUNTA(Y1557:AV1557)-1)="미납"),"미납",
IF(AND(V1557="정상",OFFSET(Y1557,0,COUNTA(Y1557:AV1557)-1)=0),"납부 시작 전",
IF(AND(V1557="정상",OFFSET(Y1557,0,COUNTA(Y1557:AV1557)-1)&gt;=U1557),"정상",
IF(AND(V1557="면제",OFFSET(Y1557,0,COUNTA(Y1557:AV1557)-1)="면제"),"면제",
IF(AND(V1557="면제",OFFSET(Y1557,0,COUNTA(Y1557:AV1557)-1)=0),"면제",
"확인요청"))))))</f>
        <v>면제</v>
      </c>
      <c r="Y1557" s="94" t="s">
        <v>7</v>
      </c>
      <c r="Z1557" s="95" t="s">
        <v>7</v>
      </c>
      <c r="AA1557" s="95" t="s">
        <v>7</v>
      </c>
      <c r="AB1557" s="95" t="s">
        <v>7</v>
      </c>
      <c r="AC1557" s="95" t="s">
        <v>7</v>
      </c>
      <c r="AD1557" s="95" t="s">
        <v>7</v>
      </c>
      <c r="AE1557" s="95" t="s">
        <v>7</v>
      </c>
      <c r="AF1557" s="95" t="s">
        <v>7</v>
      </c>
      <c r="AG1557" s="95" t="s">
        <v>7</v>
      </c>
      <c r="AH1557" s="95" t="s">
        <v>7</v>
      </c>
      <c r="AI1557" s="95" t="s">
        <v>7</v>
      </c>
      <c r="AJ1557" s="96" t="s">
        <v>7</v>
      </c>
      <c r="AK1557" s="97" t="s">
        <v>7</v>
      </c>
      <c r="AL1557" s="95" t="s">
        <v>7</v>
      </c>
      <c r="AM1557" s="90"/>
      <c r="AN1557" s="90"/>
      <c r="AO1557" s="90"/>
      <c r="AP1557" s="90"/>
      <c r="AQ1557" s="90"/>
      <c r="AR1557" s="90"/>
      <c r="AS1557" s="90"/>
      <c r="AT1557" s="90"/>
      <c r="AU1557" s="90"/>
      <c r="AV1557" s="91"/>
      <c r="AX1557" s="92"/>
    </row>
    <row r="1558" customFormat="false" ht="15.65" hidden="false" customHeight="false" outlineLevel="0" collapsed="false">
      <c r="C1558" s="72" t="n">
        <f aca="false">COUNTIFS($D$6:D1558,"&lt;&gt;"&amp;"")</f>
        <v>1553</v>
      </c>
      <c r="D1558" s="73" t="s">
        <v>12</v>
      </c>
      <c r="E1558" s="76" t="str">
        <f aca="false">
IF($D1558="정상",INDEX(임대자산!$D$3:$R$3000,MATCH($F1558,임대자산!$I$3:$I$3000,0),MATCH(E$3,임대자산!$D$3:$R$3,0)),
IF($D1558="폐업",INDEX(폐업정보!$D$3:$R$3000,MATCH($F1558,폐업정보!$I$3:$I$3000,0),MATCH(E$3,폐업정보!$D$3:$R$3,0)),
"Error"))</f>
        <v>서울</v>
      </c>
      <c r="F155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B1553</v>
      </c>
      <c r="G1558" s="76" t="str">
        <f aca="false">F1558&amp;RANDBETWEEN(0,10)</f>
        <v>B15534</v>
      </c>
      <c r="H1558" s="75" t="n">
        <f aca="false">
IF($D1558="정상",INDEX(임대자산!$D$3:$R$3000,MATCH($F1558,임대자산!$I$3:$I$3000,0),MATCH(H$4,임대자산!$D$3:$R$3,0)),
IF($D1558="폐업",INDEX(폐업정보!$D$3:$R$3000,MATCH($F1558,폐업정보!$I$3:$I$3000,0),MATCH(H$4,폐업정보!$D$3:$R$3,0)),
"Error"))</f>
        <v>45558</v>
      </c>
      <c r="I1558" s="75" t="str">
        <f aca="false">
IF($D1558="정상",INDEX(임대자산!$D$3:$R$3000,MATCH($F1558,임대자산!$I$3:$I$3000,0),MATCH(I$4,임대자산!$D$3:$R$3,0)),
IF($D1558="폐업",INDEX(폐업정보!$D$3:$R$3000,MATCH($F1558,폐업정보!$I$3:$I$3000,0),MATCH(I$4,폐업정보!$D$3:$R$3,0)),
"Error"))</f>
        <v>A1553</v>
      </c>
      <c r="J1558" s="75" t="str">
        <f aca="false">
IF($D1558="정상",INDEX(임대자산!$D$3:$R$3000,MATCH($F1558,임대자산!$I$3:$I$3000,0),MATCH(J$4,임대자산!$D$3:$R$3,0)),
IF($D1558="폐업",INDEX(폐업정보!$D$3:$R$3000,MATCH($F1558,폐업정보!$I$3:$I$3000,0),MATCH(J$4,폐업정보!$D$3:$R$3,0)),
"Error"))</f>
        <v>3094400000</v>
      </c>
      <c r="K1558" s="75" t="str">
        <f aca="false">
IF($D1558="정상",INDEX(임대자산!$D$3:$R$3000,MATCH($F1558,임대자산!$I$3:$I$3000,0),MATCH(K$4,임대자산!$D$3:$R$3,0)),
IF($D1558="폐업",INDEX(폐업정보!$D$3:$R$3000,MATCH($F1558,폐업정보!$I$3:$I$3000,0),MATCH(K$4,폐업정보!$D$3:$R$3,0)),
"Error"))</f>
        <v>C1553</v>
      </c>
      <c r="L1558" s="75" t="str">
        <f aca="false">
IF($D1558="정상",INDEX(임대자산!$D$3:$R$3000,MATCH($F1558,임대자산!$I$3:$I$3000,0),MATCH(L$4,임대자산!$D$3:$R$3,0)),
IF($D1558="폐업",INDEX(폐업정보!$D$3:$R$3000,MATCH($F1558,폐업정보!$I$3:$I$3000,0),MATCH(L$4,폐업정보!$D$3:$R$3,0)),
"Error"))</f>
        <v>D1553</v>
      </c>
      <c r="M1558" s="76" t="s">
        <v>96</v>
      </c>
      <c r="N1558" s="77"/>
      <c r="O1558" s="78" t="s">
        <v>97</v>
      </c>
      <c r="P1558" s="79" t="n">
        <f aca="false">COUNTIFS(임대자산!$I:$I,가맹점정보!F1558,임대자산!$N:$N,가맹점정보!P$4)</f>
        <v>0</v>
      </c>
      <c r="Q1558" s="80" t="n">
        <f aca="false">COUNTIFS(임대자산!$I:$I,가맹점정보!F1558,임대자산!$N:$N,가맹점정보!Q$4)</f>
        <v>0</v>
      </c>
      <c r="R1558" s="81" t="n">
        <f aca="false">COUNTIFS(임대자산!$I:$I,가맹점정보!F1558,임대자산!$N:$N,가맹점정보!R$4)</f>
        <v>1</v>
      </c>
      <c r="S1558" s="82" t="n">
        <v>55000</v>
      </c>
      <c r="T1558" s="83" t="n">
        <v>0</v>
      </c>
      <c r="U1558" s="80" t="n">
        <f aca="false">SUM(S1558:T1558)</f>
        <v>55000</v>
      </c>
      <c r="V1558" s="84" t="s">
        <v>12</v>
      </c>
      <c r="W1558" s="80" t="e">
        <f aca="true">
IF(D1558="폐업","폐업",
IF(V1558="면제","면제",
IF(AND(V1558="정상",COUNTIFS(OFFSET(Y1558,0,COUNTA(Y1558:AV1558)-1,1,-4),"미납")&gt;=3),"장기미납",
IF(AND(V1558="정상",OFFSET(Y1558,0,COUNTA(Y1558:AV1558)-1)&gt;=U1558),"정상",
IF(AND(V1558="정상",OFFSET(Y1558,0,COUNTA(Y1558:AV1558)-1)=0),"정상",
"계약서 미작성")))))</f>
        <v>#VALUE!</v>
      </c>
      <c r="X1558" s="81" t="str">
        <f aca="true">
IF(D1558="폐업","폐업",
IF(AND(V1558="정상",OFFSET(Y1558,0,COUNTA(Y1558:AV1558)-1)="미납"),"미납",
IF(AND(V1558="정상",OFFSET(Y1558,0,COUNTA(Y1558:AV1558)-1)=0),"납부 시작 전",
IF(AND(V1558="정상",OFFSET(Y1558,0,COUNTA(Y1558:AV1558)-1)&gt;=U1558),"정상",
IF(AND(V1558="면제",OFFSET(Y1558,0,COUNTA(Y1558:AV1558)-1)="면제"),"면제",
IF(AND(V1558="면제",OFFSET(Y1558,0,COUNTA(Y1558:AV1558)-1)=0),"면제",
"확인요청"))))))</f>
        <v>미납</v>
      </c>
      <c r="Y1558" s="93" t="n">
        <v>55000</v>
      </c>
      <c r="Z1558" s="90" t="n">
        <v>55000</v>
      </c>
      <c r="AA1558" s="90" t="n">
        <v>55000</v>
      </c>
      <c r="AB1558" s="90" t="n">
        <v>55000</v>
      </c>
      <c r="AC1558" s="90" t="n">
        <v>55000</v>
      </c>
      <c r="AD1558" s="90" t="n">
        <v>55000</v>
      </c>
      <c r="AE1558" s="90" t="n">
        <v>55000</v>
      </c>
      <c r="AF1558" s="90" t="n">
        <v>55000</v>
      </c>
      <c r="AG1558" s="95" t="s">
        <v>62</v>
      </c>
      <c r="AH1558" s="95" t="s">
        <v>62</v>
      </c>
      <c r="AI1558" s="95" t="s">
        <v>62</v>
      </c>
      <c r="AJ1558" s="96" t="s">
        <v>62</v>
      </c>
      <c r="AK1558" s="97" t="s">
        <v>62</v>
      </c>
      <c r="AL1558" s="95" t="s">
        <v>62</v>
      </c>
      <c r="AM1558" s="90"/>
      <c r="AN1558" s="90"/>
      <c r="AO1558" s="90"/>
      <c r="AP1558" s="90"/>
      <c r="AQ1558" s="90"/>
      <c r="AR1558" s="90"/>
      <c r="AS1558" s="90"/>
      <c r="AT1558" s="90"/>
      <c r="AU1558" s="90"/>
      <c r="AV1558" s="91"/>
      <c r="AX1558" s="92"/>
    </row>
    <row r="1559" customFormat="false" ht="15.65" hidden="false" customHeight="false" outlineLevel="0" collapsed="false">
      <c r="C1559" s="72" t="n">
        <f aca="false">COUNTIFS($D$6:D1559,"&lt;&gt;"&amp;"")</f>
        <v>1554</v>
      </c>
      <c r="D1559" s="73" t="s">
        <v>12</v>
      </c>
      <c r="E1559" s="76" t="str">
        <f aca="false">
IF($D1559="정상",INDEX(임대자산!$D$3:$R$3000,MATCH($F1559,임대자산!$I$3:$I$3000,0),MATCH(E$3,임대자산!$D$3:$R$3,0)),
IF($D1559="폐업",INDEX(폐업정보!$D$3:$R$3000,MATCH($F1559,폐업정보!$I$3:$I$3000,0),MATCH(E$3,폐업정보!$D$3:$R$3,0)),
"Error"))</f>
        <v>서울</v>
      </c>
      <c r="F155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B1554</v>
      </c>
      <c r="G1559" s="76" t="str">
        <f aca="false">F1559&amp;RANDBETWEEN(0,10)</f>
        <v>B15546</v>
      </c>
      <c r="H1559" s="75" t="n">
        <f aca="false">
IF($D1559="정상",INDEX(임대자산!$D$3:$R$3000,MATCH($F1559,임대자산!$I$3:$I$3000,0),MATCH(H$4,임대자산!$D$3:$R$3,0)),
IF($D1559="폐업",INDEX(폐업정보!$D$3:$R$3000,MATCH($F1559,폐업정보!$I$3:$I$3000,0),MATCH(H$4,폐업정보!$D$3:$R$3,0)),
"Error"))</f>
        <v>45518</v>
      </c>
      <c r="I1559" s="75" t="str">
        <f aca="false">
IF($D1559="정상",INDEX(임대자산!$D$3:$R$3000,MATCH($F1559,임대자산!$I$3:$I$3000,0),MATCH(I$4,임대자산!$D$3:$R$3,0)),
IF($D1559="폐업",INDEX(폐업정보!$D$3:$R$3000,MATCH($F1559,폐업정보!$I$3:$I$3000,0),MATCH(I$4,폐업정보!$D$3:$R$3,0)),
"Error"))</f>
        <v>A1554</v>
      </c>
      <c r="J1559" s="75" t="str">
        <f aca="false">
IF($D1559="정상",INDEX(임대자산!$D$3:$R$3000,MATCH($F1559,임대자산!$I$3:$I$3000,0),MATCH(J$4,임대자산!$D$3:$R$3,0)),
IF($D1559="폐업",INDEX(폐업정보!$D$3:$R$3000,MATCH($F1559,폐업정보!$I$3:$I$3000,0),MATCH(J$4,폐업정보!$D$3:$R$3,0)),
"Error"))</f>
        <v>3794200000</v>
      </c>
      <c r="K1559" s="75" t="str">
        <f aca="false">
IF($D1559="정상",INDEX(임대자산!$D$3:$R$3000,MATCH($F1559,임대자산!$I$3:$I$3000,0),MATCH(K$4,임대자산!$D$3:$R$3,0)),
IF($D1559="폐업",INDEX(폐업정보!$D$3:$R$3000,MATCH($F1559,폐업정보!$I$3:$I$3000,0),MATCH(K$4,폐업정보!$D$3:$R$3,0)),
"Error"))</f>
        <v>C1554</v>
      </c>
      <c r="L1559" s="75" t="str">
        <f aca="false">
IF($D1559="정상",INDEX(임대자산!$D$3:$R$3000,MATCH($F1559,임대자산!$I$3:$I$3000,0),MATCH(L$4,임대자산!$D$3:$R$3,0)),
IF($D1559="폐업",INDEX(폐업정보!$D$3:$R$3000,MATCH($F1559,폐업정보!$I$3:$I$3000,0),MATCH(L$4,폐업정보!$D$3:$R$3,0)),
"Error"))</f>
        <v>D1554</v>
      </c>
      <c r="M1559" s="76" t="s">
        <v>96</v>
      </c>
      <c r="N1559" s="77"/>
      <c r="O1559" s="78" t="s">
        <v>97</v>
      </c>
      <c r="P1559" s="79" t="n">
        <f aca="false">COUNTIFS(임대자산!$I:$I,가맹점정보!F1559,임대자산!$N:$N,가맹점정보!P$4)</f>
        <v>0</v>
      </c>
      <c r="Q1559" s="80" t="n">
        <f aca="false">COUNTIFS(임대자산!$I:$I,가맹점정보!F1559,임대자산!$N:$N,가맹점정보!Q$4)</f>
        <v>0</v>
      </c>
      <c r="R1559" s="81" t="n">
        <f aca="false">COUNTIFS(임대자산!$I:$I,가맹점정보!F1559,임대자산!$N:$N,가맹점정보!R$4)</f>
        <v>1</v>
      </c>
      <c r="S1559" s="82" t="n">
        <v>55000</v>
      </c>
      <c r="T1559" s="83" t="n">
        <v>0</v>
      </c>
      <c r="U1559" s="80" t="n">
        <f aca="false">SUM(S1559:T1559)</f>
        <v>55000</v>
      </c>
      <c r="V1559" s="84" t="s">
        <v>12</v>
      </c>
      <c r="W1559" s="80" t="e">
        <f aca="true">
IF(D1559="폐업","폐업",
IF(V1559="면제","면제",
IF(AND(V1559="정상",COUNTIFS(OFFSET(Y1559,0,COUNTA(Y1559:AV1559)-1,1,-4),"미납")&gt;=3),"장기미납",
IF(AND(V1559="정상",OFFSET(Y1559,0,COUNTA(Y1559:AV1559)-1)&gt;=U1559),"정상",
IF(AND(V1559="정상",OFFSET(Y1559,0,COUNTA(Y1559:AV1559)-1)=0),"정상",
"계약서 미작성")))))</f>
        <v>#VALUE!</v>
      </c>
      <c r="X1559" s="81" t="str">
        <f aca="true">
IF(D1559="폐업","폐업",
IF(AND(V1559="정상",OFFSET(Y1559,0,COUNTA(Y1559:AV1559)-1)="미납"),"미납",
IF(AND(V1559="정상",OFFSET(Y1559,0,COUNTA(Y1559:AV1559)-1)=0),"납부 시작 전",
IF(AND(V1559="정상",OFFSET(Y1559,0,COUNTA(Y1559:AV1559)-1)&gt;=U1559),"정상",
IF(AND(V1559="면제",OFFSET(Y1559,0,COUNTA(Y1559:AV1559)-1)="면제"),"면제",
IF(AND(V1559="면제",OFFSET(Y1559,0,COUNTA(Y1559:AV1559)-1)=0),"면제",
"확인요청"))))))</f>
        <v>정상</v>
      </c>
      <c r="Y1559" s="93" t="n">
        <v>55000</v>
      </c>
      <c r="Z1559" s="90" t="n">
        <v>55000</v>
      </c>
      <c r="AA1559" s="90" t="n">
        <v>55000</v>
      </c>
      <c r="AB1559" s="90" t="n">
        <v>55000</v>
      </c>
      <c r="AC1559" s="90" t="n">
        <v>55000</v>
      </c>
      <c r="AD1559" s="90" t="n">
        <v>55000</v>
      </c>
      <c r="AE1559" s="90" t="n">
        <v>55000</v>
      </c>
      <c r="AF1559" s="90" t="n">
        <v>55000</v>
      </c>
      <c r="AG1559" s="90" t="n">
        <v>55000</v>
      </c>
      <c r="AH1559" s="90" t="n">
        <v>55000</v>
      </c>
      <c r="AI1559" s="90" t="n">
        <v>55000</v>
      </c>
      <c r="AJ1559" s="91" t="n">
        <v>55000</v>
      </c>
      <c r="AK1559" s="89" t="n">
        <v>55000</v>
      </c>
      <c r="AL1559" s="90" t="n">
        <v>55000</v>
      </c>
      <c r="AM1559" s="90"/>
      <c r="AN1559" s="90"/>
      <c r="AO1559" s="90"/>
      <c r="AP1559" s="90"/>
      <c r="AQ1559" s="90"/>
      <c r="AR1559" s="90"/>
      <c r="AS1559" s="90"/>
      <c r="AT1559" s="90"/>
      <c r="AU1559" s="90"/>
      <c r="AV1559" s="91"/>
      <c r="AX1559" s="92"/>
    </row>
    <row r="1560" customFormat="false" ht="15.65" hidden="false" customHeight="false" outlineLevel="0" collapsed="false">
      <c r="C1560" s="72" t="n">
        <f aca="false">COUNTIFS($D$6:D1560,"&lt;&gt;"&amp;"")</f>
        <v>1555</v>
      </c>
      <c r="D1560" s="73" t="s">
        <v>12</v>
      </c>
      <c r="E1560" s="76" t="str">
        <f aca="false">
IF($D1560="정상",INDEX(임대자산!$D$3:$R$3000,MATCH($F1560,임대자산!$I$3:$I$3000,0),MATCH(E$3,임대자산!$D$3:$R$3,0)),
IF($D1560="폐업",INDEX(폐업정보!$D$3:$R$3000,MATCH($F1560,폐업정보!$I$3:$I$3000,0),MATCH(E$3,폐업정보!$D$3:$R$3,0)),
"Error"))</f>
        <v>전라</v>
      </c>
      <c r="F156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B1555</v>
      </c>
      <c r="G1560" s="76" t="str">
        <f aca="false">F1560&amp;RANDBETWEEN(0,10)</f>
        <v>B15554</v>
      </c>
      <c r="H1560" s="75" t="n">
        <f aca="false">
IF($D1560="정상",INDEX(임대자산!$D$3:$R$3000,MATCH($F1560,임대자산!$I$3:$I$3000,0),MATCH(H$4,임대자산!$D$3:$R$3,0)),
IF($D1560="폐업",INDEX(폐업정보!$D$3:$R$3000,MATCH($F1560,폐업정보!$I$3:$I$3000,0),MATCH(H$4,폐업정보!$D$3:$R$3,0)),
"Error"))</f>
        <v>45603</v>
      </c>
      <c r="I1560" s="75" t="str">
        <f aca="false">
IF($D1560="정상",INDEX(임대자산!$D$3:$R$3000,MATCH($F1560,임대자산!$I$3:$I$3000,0),MATCH(I$4,임대자산!$D$3:$R$3,0)),
IF($D1560="폐업",INDEX(폐업정보!$D$3:$R$3000,MATCH($F1560,폐업정보!$I$3:$I$3000,0),MATCH(I$4,폐업정보!$D$3:$R$3,0)),
"Error"))</f>
        <v>A1555</v>
      </c>
      <c r="J1560" s="75" t="str">
        <f aca="false">
IF($D1560="정상",INDEX(임대자산!$D$3:$R$3000,MATCH($F1560,임대자산!$I$3:$I$3000,0),MATCH(J$4,임대자산!$D$3:$R$3,0)),
IF($D1560="폐업",INDEX(폐업정보!$D$3:$R$3000,MATCH($F1560,폐업정보!$I$3:$I$3000,0),MATCH(J$4,폐업정보!$D$3:$R$3,0)),
"Error"))</f>
        <v>1531500000</v>
      </c>
      <c r="K1560" s="75" t="str">
        <f aca="false">
IF($D1560="정상",INDEX(임대자산!$D$3:$R$3000,MATCH($F1560,임대자산!$I$3:$I$3000,0),MATCH(K$4,임대자산!$D$3:$R$3,0)),
IF($D1560="폐업",INDEX(폐업정보!$D$3:$R$3000,MATCH($F1560,폐업정보!$I$3:$I$3000,0),MATCH(K$4,폐업정보!$D$3:$R$3,0)),
"Error"))</f>
        <v>C1555</v>
      </c>
      <c r="L1560" s="75" t="str">
        <f aca="false">
IF($D1560="정상",INDEX(임대자산!$D$3:$R$3000,MATCH($F1560,임대자산!$I$3:$I$3000,0),MATCH(L$4,임대자산!$D$3:$R$3,0)),
IF($D1560="폐업",INDEX(폐업정보!$D$3:$R$3000,MATCH($F1560,폐업정보!$I$3:$I$3000,0),MATCH(L$4,폐업정보!$D$3:$R$3,0)),
"Error"))</f>
        <v>D1555</v>
      </c>
      <c r="M1560" s="76" t="s">
        <v>96</v>
      </c>
      <c r="N1560" s="77"/>
      <c r="O1560" s="78" t="s">
        <v>97</v>
      </c>
      <c r="P1560" s="79" t="n">
        <f aca="false">COUNTIFS(임대자산!$I:$I,가맹점정보!F1560,임대자산!$N:$N,가맹점정보!P$4)</f>
        <v>0</v>
      </c>
      <c r="Q1560" s="80" t="n">
        <f aca="false">COUNTIFS(임대자산!$I:$I,가맹점정보!F1560,임대자산!$N:$N,가맹점정보!Q$4)</f>
        <v>0</v>
      </c>
      <c r="R1560" s="81" t="n">
        <f aca="false">COUNTIFS(임대자산!$I:$I,가맹점정보!F1560,임대자산!$N:$N,가맹점정보!R$4)</f>
        <v>1</v>
      </c>
      <c r="S1560" s="82" t="n">
        <v>88000</v>
      </c>
      <c r="T1560" s="83" t="n">
        <v>0</v>
      </c>
      <c r="U1560" s="80" t="n">
        <f aca="false">SUM(S1560:T1560)</f>
        <v>88000</v>
      </c>
      <c r="V1560" s="84" t="s">
        <v>7</v>
      </c>
      <c r="W1560" s="80" t="str">
        <f aca="true">
IF(D1560="폐업","폐업",
IF(V1560="면제","면제",
IF(AND(V1560="정상",COUNTIFS(OFFSET(Y1560,0,COUNTA(Y1560:AV1560)-1,1,-4),"미납")&gt;=3),"장기미납",
IF(AND(V1560="정상",OFFSET(Y1560,0,COUNTA(Y1560:AV1560)-1)&gt;=U1560),"정상",
IF(AND(V1560="정상",OFFSET(Y1560,0,COUNTA(Y1560:AV1560)-1)=0),"정상",
"계약서 미작성")))))</f>
        <v>면제</v>
      </c>
      <c r="X1560" s="81" t="str">
        <f aca="true">
IF(D1560="폐업","폐업",
IF(AND(V1560="정상",OFFSET(Y1560,0,COUNTA(Y1560:AV1560)-1)="미납"),"미납",
IF(AND(V1560="정상",OFFSET(Y1560,0,COUNTA(Y1560:AV1560)-1)=0),"납부 시작 전",
IF(AND(V1560="정상",OFFSET(Y1560,0,COUNTA(Y1560:AV1560)-1)&gt;=U1560),"정상",
IF(AND(V1560="면제",OFFSET(Y1560,0,COUNTA(Y1560:AV1560)-1)="면제"),"면제",
IF(AND(V1560="면제",OFFSET(Y1560,0,COUNTA(Y1560:AV1560)-1)=0),"면제",
"확인요청"))))))</f>
        <v>면제</v>
      </c>
      <c r="Y1560" s="94" t="s">
        <v>7</v>
      </c>
      <c r="Z1560" s="95" t="s">
        <v>7</v>
      </c>
      <c r="AA1560" s="95" t="s">
        <v>7</v>
      </c>
      <c r="AB1560" s="95" t="s">
        <v>7</v>
      </c>
      <c r="AC1560" s="95" t="s">
        <v>7</v>
      </c>
      <c r="AD1560" s="95" t="s">
        <v>7</v>
      </c>
      <c r="AE1560" s="95" t="s">
        <v>7</v>
      </c>
      <c r="AF1560" s="95" t="s">
        <v>7</v>
      </c>
      <c r="AG1560" s="95" t="s">
        <v>7</v>
      </c>
      <c r="AH1560" s="95" t="s">
        <v>7</v>
      </c>
      <c r="AI1560" s="95" t="s">
        <v>7</v>
      </c>
      <c r="AJ1560" s="96" t="s">
        <v>7</v>
      </c>
      <c r="AK1560" s="97" t="s">
        <v>7</v>
      </c>
      <c r="AL1560" s="95" t="s">
        <v>7</v>
      </c>
      <c r="AM1560" s="90"/>
      <c r="AN1560" s="90"/>
      <c r="AO1560" s="90"/>
      <c r="AP1560" s="90"/>
      <c r="AQ1560" s="90"/>
      <c r="AR1560" s="90"/>
      <c r="AS1560" s="90"/>
      <c r="AT1560" s="90"/>
      <c r="AU1560" s="90"/>
      <c r="AV1560" s="91"/>
      <c r="AX1560" s="92"/>
    </row>
    <row r="1561" customFormat="false" ht="15.65" hidden="false" customHeight="false" outlineLevel="0" collapsed="false">
      <c r="C1561" s="72" t="n">
        <f aca="false">COUNTIFS($D$6:D1561,"&lt;&gt;"&amp;"")</f>
        <v>1556</v>
      </c>
      <c r="D1561" s="73" t="s">
        <v>12</v>
      </c>
      <c r="E1561" s="76" t="str">
        <f aca="false">
IF($D1561="정상",INDEX(임대자산!$D$3:$R$3000,MATCH($F1561,임대자산!$I$3:$I$3000,0),MATCH(E$3,임대자산!$D$3:$R$3,0)),
IF($D1561="폐업",INDEX(폐업정보!$D$3:$R$3000,MATCH($F1561,폐업정보!$I$3:$I$3000,0),MATCH(E$3,폐업정보!$D$3:$R$3,0)),
"Error"))</f>
        <v>강원</v>
      </c>
      <c r="F156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B1556</v>
      </c>
      <c r="G1561" s="76" t="str">
        <f aca="false">F1561&amp;RANDBETWEEN(0,10)</f>
        <v>B15563</v>
      </c>
      <c r="H1561" s="75" t="n">
        <f aca="false">
IF($D1561="정상",INDEX(임대자산!$D$3:$R$3000,MATCH($F1561,임대자산!$I$3:$I$3000,0),MATCH(H$4,임대자산!$D$3:$R$3,0)),
IF($D1561="폐업",INDEX(폐업정보!$D$3:$R$3000,MATCH($F1561,폐업정보!$I$3:$I$3000,0),MATCH(H$4,폐업정보!$D$3:$R$3,0)),
"Error"))</f>
        <v>45587</v>
      </c>
      <c r="I1561" s="75" t="str">
        <f aca="false">
IF($D1561="정상",INDEX(임대자산!$D$3:$R$3000,MATCH($F1561,임대자산!$I$3:$I$3000,0),MATCH(I$4,임대자산!$D$3:$R$3,0)),
IF($D1561="폐업",INDEX(폐업정보!$D$3:$R$3000,MATCH($F1561,폐업정보!$I$3:$I$3000,0),MATCH(I$4,폐업정보!$D$3:$R$3,0)),
"Error"))</f>
        <v>A1556</v>
      </c>
      <c r="J1561" s="75" t="str">
        <f aca="false">
IF($D1561="정상",INDEX(임대자산!$D$3:$R$3000,MATCH($F1561,임대자산!$I$3:$I$3000,0),MATCH(J$4,임대자산!$D$3:$R$3,0)),
IF($D1561="폐업",INDEX(폐업정보!$D$3:$R$3000,MATCH($F1561,폐업정보!$I$3:$I$3000,0),MATCH(J$4,폐업정보!$D$3:$R$3,0)),
"Error"))</f>
        <v>8167500000</v>
      </c>
      <c r="K1561" s="75" t="str">
        <f aca="false">
IF($D1561="정상",INDEX(임대자산!$D$3:$R$3000,MATCH($F1561,임대자산!$I$3:$I$3000,0),MATCH(K$4,임대자산!$D$3:$R$3,0)),
IF($D1561="폐업",INDEX(폐업정보!$D$3:$R$3000,MATCH($F1561,폐업정보!$I$3:$I$3000,0),MATCH(K$4,폐업정보!$D$3:$R$3,0)),
"Error"))</f>
        <v>C1556</v>
      </c>
      <c r="L1561" s="75" t="str">
        <f aca="false">
IF($D1561="정상",INDEX(임대자산!$D$3:$R$3000,MATCH($F1561,임대자산!$I$3:$I$3000,0),MATCH(L$4,임대자산!$D$3:$R$3,0)),
IF($D1561="폐업",INDEX(폐업정보!$D$3:$R$3000,MATCH($F1561,폐업정보!$I$3:$I$3000,0),MATCH(L$4,폐업정보!$D$3:$R$3,0)),
"Error"))</f>
        <v>D1556</v>
      </c>
      <c r="M1561" s="76" t="s">
        <v>96</v>
      </c>
      <c r="N1561" s="77"/>
      <c r="O1561" s="78" t="s">
        <v>97</v>
      </c>
      <c r="P1561" s="79" t="n">
        <f aca="false">COUNTIFS(임대자산!$I:$I,가맹점정보!F1561,임대자산!$N:$N,가맹점정보!P$4)</f>
        <v>0</v>
      </c>
      <c r="Q1561" s="80" t="n">
        <f aca="false">COUNTIFS(임대자산!$I:$I,가맹점정보!F1561,임대자산!$N:$N,가맹점정보!Q$4)</f>
        <v>0</v>
      </c>
      <c r="R1561" s="81" t="n">
        <f aca="false">COUNTIFS(임대자산!$I:$I,가맹점정보!F1561,임대자산!$N:$N,가맹점정보!R$4)</f>
        <v>1</v>
      </c>
      <c r="S1561" s="82" t="n">
        <v>110000</v>
      </c>
      <c r="T1561" s="83" t="n">
        <v>0</v>
      </c>
      <c r="U1561" s="80" t="n">
        <f aca="false">SUM(S1561:T1561)</f>
        <v>110000</v>
      </c>
      <c r="V1561" s="84" t="s">
        <v>7</v>
      </c>
      <c r="W1561" s="80" t="str">
        <f aca="true">
IF(D1561="폐업","폐업",
IF(V1561="면제","면제",
IF(AND(V1561="정상",COUNTIFS(OFFSET(Y1561,0,COUNTA(Y1561:AV1561)-1,1,-4),"미납")&gt;=3),"장기미납",
IF(AND(V1561="정상",OFFSET(Y1561,0,COUNTA(Y1561:AV1561)-1)&gt;=U1561),"정상",
IF(AND(V1561="정상",OFFSET(Y1561,0,COUNTA(Y1561:AV1561)-1)=0),"정상",
"계약서 미작성")))))</f>
        <v>면제</v>
      </c>
      <c r="X1561" s="81" t="str">
        <f aca="true">
IF(D1561="폐업","폐업",
IF(AND(V1561="정상",OFFSET(Y1561,0,COUNTA(Y1561:AV1561)-1)="미납"),"미납",
IF(AND(V1561="정상",OFFSET(Y1561,0,COUNTA(Y1561:AV1561)-1)=0),"납부 시작 전",
IF(AND(V1561="정상",OFFSET(Y1561,0,COUNTA(Y1561:AV1561)-1)&gt;=U1561),"정상",
IF(AND(V1561="면제",OFFSET(Y1561,0,COUNTA(Y1561:AV1561)-1)="면제"),"면제",
IF(AND(V1561="면제",OFFSET(Y1561,0,COUNTA(Y1561:AV1561)-1)=0),"면제",
"확인요청"))))))</f>
        <v>확인요청</v>
      </c>
      <c r="Y1561" s="93" t="n">
        <v>110000</v>
      </c>
      <c r="Z1561" s="90" t="n">
        <v>110000</v>
      </c>
      <c r="AA1561" s="90" t="n">
        <v>110000</v>
      </c>
      <c r="AB1561" s="90" t="n">
        <v>110000</v>
      </c>
      <c r="AC1561" s="90" t="n">
        <v>110000</v>
      </c>
      <c r="AD1561" s="90" t="n">
        <v>110000</v>
      </c>
      <c r="AE1561" s="90" t="n">
        <v>110000</v>
      </c>
      <c r="AF1561" s="90" t="n">
        <v>110000</v>
      </c>
      <c r="AG1561" s="95" t="s">
        <v>62</v>
      </c>
      <c r="AH1561" s="95" t="s">
        <v>62</v>
      </c>
      <c r="AI1561" s="95" t="s">
        <v>62</v>
      </c>
      <c r="AJ1561" s="96" t="s">
        <v>62</v>
      </c>
      <c r="AK1561" s="97" t="s">
        <v>62</v>
      </c>
      <c r="AL1561" s="95" t="s">
        <v>62</v>
      </c>
      <c r="AM1561" s="90"/>
      <c r="AN1561" s="90"/>
      <c r="AO1561" s="90"/>
      <c r="AP1561" s="90"/>
      <c r="AQ1561" s="90"/>
      <c r="AR1561" s="90"/>
      <c r="AS1561" s="90"/>
      <c r="AT1561" s="90"/>
      <c r="AU1561" s="90"/>
      <c r="AV1561" s="91"/>
      <c r="AX1561" s="92"/>
    </row>
    <row r="1562" customFormat="false" ht="15.65" hidden="false" customHeight="false" outlineLevel="0" collapsed="false">
      <c r="C1562" s="72" t="n">
        <f aca="false">COUNTIFS($D$6:D1562,"&lt;&gt;"&amp;"")</f>
        <v>1557</v>
      </c>
      <c r="D1562" s="73" t="s">
        <v>12</v>
      </c>
      <c r="E1562" s="76" t="str">
        <f aca="false">
IF($D1562="정상",INDEX(임대자산!$D$3:$R$3000,MATCH($F1562,임대자산!$I$3:$I$3000,0),MATCH(E$3,임대자산!$D$3:$R$3,0)),
IF($D1562="폐업",INDEX(폐업정보!$D$3:$R$3000,MATCH($F1562,폐업정보!$I$3:$I$3000,0),MATCH(E$3,폐업정보!$D$3:$R$3,0)),
"Error"))</f>
        <v>경상</v>
      </c>
      <c r="F156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B1557</v>
      </c>
      <c r="G1562" s="76" t="str">
        <f aca="false">F1562&amp;RANDBETWEEN(0,10)</f>
        <v>B15578</v>
      </c>
      <c r="H1562" s="75" t="n">
        <f aca="false">
IF($D1562="정상",INDEX(임대자산!$D$3:$R$3000,MATCH($F1562,임대자산!$I$3:$I$3000,0),MATCH(H$4,임대자산!$D$3:$R$3,0)),
IF($D1562="폐업",INDEX(폐업정보!$D$3:$R$3000,MATCH($F1562,폐업정보!$I$3:$I$3000,0),MATCH(H$4,폐업정보!$D$3:$R$3,0)),
"Error"))</f>
        <v>45960</v>
      </c>
      <c r="I1562" s="75" t="str">
        <f aca="false">
IF($D1562="정상",INDEX(임대자산!$D$3:$R$3000,MATCH($F1562,임대자산!$I$3:$I$3000,0),MATCH(I$4,임대자산!$D$3:$R$3,0)),
IF($D1562="폐업",INDEX(폐업정보!$D$3:$R$3000,MATCH($F1562,폐업정보!$I$3:$I$3000,0),MATCH(I$4,폐업정보!$D$3:$R$3,0)),
"Error"))</f>
        <v>A1557</v>
      </c>
      <c r="J1562" s="75" t="str">
        <f aca="false">
IF($D1562="정상",INDEX(임대자산!$D$3:$R$3000,MATCH($F1562,임대자산!$I$3:$I$3000,0),MATCH(J$4,임대자산!$D$3:$R$3,0)),
IF($D1562="폐업",INDEX(폐업정보!$D$3:$R$3000,MATCH($F1562,폐업정보!$I$3:$I$3000,0),MATCH(J$4,폐업정보!$D$3:$R$3,0)),
"Error"))</f>
        <v>2227500000</v>
      </c>
      <c r="K1562" s="75" t="str">
        <f aca="false">
IF($D1562="정상",INDEX(임대자산!$D$3:$R$3000,MATCH($F1562,임대자산!$I$3:$I$3000,0),MATCH(K$4,임대자산!$D$3:$R$3,0)),
IF($D1562="폐업",INDEX(폐업정보!$D$3:$R$3000,MATCH($F1562,폐업정보!$I$3:$I$3000,0),MATCH(K$4,폐업정보!$D$3:$R$3,0)),
"Error"))</f>
        <v>C1557</v>
      </c>
      <c r="L1562" s="75" t="str">
        <f aca="false">
IF($D1562="정상",INDEX(임대자산!$D$3:$R$3000,MATCH($F1562,임대자산!$I$3:$I$3000,0),MATCH(L$4,임대자산!$D$3:$R$3,0)),
IF($D1562="폐업",INDEX(폐업정보!$D$3:$R$3000,MATCH($F1562,폐업정보!$I$3:$I$3000,0),MATCH(L$4,폐업정보!$D$3:$R$3,0)),
"Error"))</f>
        <v>D1557</v>
      </c>
      <c r="M1562" s="76" t="s">
        <v>96</v>
      </c>
      <c r="N1562" s="77"/>
      <c r="O1562" s="78" t="s">
        <v>97</v>
      </c>
      <c r="P1562" s="79" t="n">
        <f aca="false">COUNTIFS(임대자산!$I:$I,가맹점정보!F1562,임대자산!$N:$N,가맹점정보!P$4)</f>
        <v>0</v>
      </c>
      <c r="Q1562" s="80" t="n">
        <f aca="false">COUNTIFS(임대자산!$I:$I,가맹점정보!F1562,임대자산!$N:$N,가맹점정보!Q$4)</f>
        <v>0</v>
      </c>
      <c r="R1562" s="81" t="n">
        <f aca="false">COUNTIFS(임대자산!$I:$I,가맹점정보!F1562,임대자산!$N:$N,가맹점정보!R$4)</f>
        <v>1</v>
      </c>
      <c r="S1562" s="82" t="n">
        <v>55000</v>
      </c>
      <c r="T1562" s="83" t="n">
        <v>0</v>
      </c>
      <c r="U1562" s="80" t="n">
        <f aca="false">SUM(S1562:T1562)</f>
        <v>55000</v>
      </c>
      <c r="V1562" s="84" t="s">
        <v>12</v>
      </c>
      <c r="W1562" s="80" t="e">
        <f aca="true">
IF(D1562="폐업","폐업",
IF(V1562="면제","면제",
IF(AND(V1562="정상",COUNTIFS(OFFSET(Y1562,0,COUNTA(Y1562:AV1562)-1,1,-4),"미납")&gt;=3),"장기미납",
IF(AND(V1562="정상",OFFSET(Y1562,0,COUNTA(Y1562:AV1562)-1)&gt;=U1562),"정상",
IF(AND(V1562="정상",OFFSET(Y1562,0,COUNTA(Y1562:AV1562)-1)=0),"정상",
"계약서 미작성")))))</f>
        <v>#VALUE!</v>
      </c>
      <c r="X1562" s="81" t="str">
        <f aca="true">
IF(D1562="폐업","폐업",
IF(AND(V1562="정상",OFFSET(Y1562,0,COUNTA(Y1562:AV1562)-1)="미납"),"미납",
IF(AND(V1562="정상",OFFSET(Y1562,0,COUNTA(Y1562:AV1562)-1)=0),"납부 시작 전",
IF(AND(V1562="정상",OFFSET(Y1562,0,COUNTA(Y1562:AV1562)-1)&gt;=U1562),"정상",
IF(AND(V1562="면제",OFFSET(Y1562,0,COUNTA(Y1562:AV1562)-1)="면제"),"면제",
IF(AND(V1562="면제",OFFSET(Y1562,0,COUNTA(Y1562:AV1562)-1)=0),"면제",
"확인요청"))))))</f>
        <v>정상</v>
      </c>
      <c r="Y1562" s="93" t="n">
        <v>55000</v>
      </c>
      <c r="Z1562" s="90" t="n">
        <v>55000</v>
      </c>
      <c r="AA1562" s="90" t="n">
        <v>55000</v>
      </c>
      <c r="AB1562" s="90" t="n">
        <v>55000</v>
      </c>
      <c r="AC1562" s="90" t="n">
        <v>55000</v>
      </c>
      <c r="AD1562" s="90" t="n">
        <v>55000</v>
      </c>
      <c r="AE1562" s="90" t="n">
        <v>55000</v>
      </c>
      <c r="AF1562" s="90" t="n">
        <v>55000</v>
      </c>
      <c r="AG1562" s="90" t="n">
        <v>55000</v>
      </c>
      <c r="AH1562" s="90" t="n">
        <v>55000</v>
      </c>
      <c r="AI1562" s="90" t="n">
        <v>55000</v>
      </c>
      <c r="AJ1562" s="91" t="n">
        <v>55000</v>
      </c>
      <c r="AK1562" s="89" t="n">
        <v>55000</v>
      </c>
      <c r="AL1562" s="90" t="n">
        <v>55000</v>
      </c>
      <c r="AM1562" s="90"/>
      <c r="AN1562" s="90"/>
      <c r="AO1562" s="90"/>
      <c r="AP1562" s="90"/>
      <c r="AQ1562" s="90"/>
      <c r="AR1562" s="90"/>
      <c r="AS1562" s="90"/>
      <c r="AT1562" s="90"/>
      <c r="AU1562" s="90"/>
      <c r="AV1562" s="91"/>
      <c r="AX1562" s="92"/>
    </row>
    <row r="1563" customFormat="false" ht="15.65" hidden="false" customHeight="false" outlineLevel="0" collapsed="false">
      <c r="C1563" s="72" t="n">
        <f aca="false">COUNTIFS($D$6:D1563,"&lt;&gt;"&amp;"")</f>
        <v>1558</v>
      </c>
      <c r="D1563" s="73" t="s">
        <v>12</v>
      </c>
      <c r="E1563" s="76" t="str">
        <f aca="false">
IF($D1563="정상",INDEX(임대자산!$D$3:$R$3000,MATCH($F1563,임대자산!$I$3:$I$3000,0),MATCH(E$3,임대자산!$D$3:$R$3,0)),
IF($D1563="폐업",INDEX(폐업정보!$D$3:$R$3000,MATCH($F1563,폐업정보!$I$3:$I$3000,0),MATCH(E$3,폐업정보!$D$3:$R$3,0)),
"Error"))</f>
        <v>강원</v>
      </c>
      <c r="F156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B1558</v>
      </c>
      <c r="G1563" s="76" t="str">
        <f aca="false">F1563&amp;RANDBETWEEN(0,10)</f>
        <v>B15585</v>
      </c>
      <c r="H1563" s="75" t="n">
        <f aca="false">
IF($D1563="정상",INDEX(임대자산!$D$3:$R$3000,MATCH($F1563,임대자산!$I$3:$I$3000,0),MATCH(H$4,임대자산!$D$3:$R$3,0)),
IF($D1563="폐업",INDEX(폐업정보!$D$3:$R$3000,MATCH($F1563,폐업정보!$I$3:$I$3000,0),MATCH(H$4,폐업정보!$D$3:$R$3,0)),
"Error"))</f>
        <v>45609</v>
      </c>
      <c r="I1563" s="75" t="str">
        <f aca="false">
IF($D1563="정상",INDEX(임대자산!$D$3:$R$3000,MATCH($F1563,임대자산!$I$3:$I$3000,0),MATCH(I$4,임대자산!$D$3:$R$3,0)),
IF($D1563="폐업",INDEX(폐업정보!$D$3:$R$3000,MATCH($F1563,폐업정보!$I$3:$I$3000,0),MATCH(I$4,폐업정보!$D$3:$R$3,0)),
"Error"))</f>
        <v>A1558</v>
      </c>
      <c r="J1563" s="75" t="str">
        <f aca="false">
IF($D1563="정상",INDEX(임대자산!$D$3:$R$3000,MATCH($F1563,임대자산!$I$3:$I$3000,0),MATCH(J$4,임대자산!$D$3:$R$3,0)),
IF($D1563="폐업",INDEX(폐업정보!$D$3:$R$3000,MATCH($F1563,폐업정보!$I$3:$I$3000,0),MATCH(J$4,폐업정보!$D$3:$R$3,0)),
"Error"))</f>
        <v>4715600000</v>
      </c>
      <c r="K1563" s="75" t="str">
        <f aca="false">
IF($D1563="정상",INDEX(임대자산!$D$3:$R$3000,MATCH($F1563,임대자산!$I$3:$I$3000,0),MATCH(K$4,임대자산!$D$3:$R$3,0)),
IF($D1563="폐업",INDEX(폐업정보!$D$3:$R$3000,MATCH($F1563,폐업정보!$I$3:$I$3000,0),MATCH(K$4,폐업정보!$D$3:$R$3,0)),
"Error"))</f>
        <v>C1558</v>
      </c>
      <c r="L1563" s="75" t="str">
        <f aca="false">
IF($D1563="정상",INDEX(임대자산!$D$3:$R$3000,MATCH($F1563,임대자산!$I$3:$I$3000,0),MATCH(L$4,임대자산!$D$3:$R$3,0)),
IF($D1563="폐업",INDEX(폐업정보!$D$3:$R$3000,MATCH($F1563,폐업정보!$I$3:$I$3000,0),MATCH(L$4,폐업정보!$D$3:$R$3,0)),
"Error"))</f>
        <v>D1558</v>
      </c>
      <c r="M1563" s="76" t="s">
        <v>96</v>
      </c>
      <c r="N1563" s="77"/>
      <c r="O1563" s="78" t="s">
        <v>97</v>
      </c>
      <c r="P1563" s="79" t="n">
        <f aca="false">COUNTIFS(임대자산!$I:$I,가맹점정보!F1563,임대자산!$N:$N,가맹점정보!P$4)</f>
        <v>0</v>
      </c>
      <c r="Q1563" s="80" t="n">
        <f aca="false">COUNTIFS(임대자산!$I:$I,가맹점정보!F1563,임대자산!$N:$N,가맹점정보!Q$4)</f>
        <v>0</v>
      </c>
      <c r="R1563" s="81" t="n">
        <f aca="false">COUNTIFS(임대자산!$I:$I,가맹점정보!F1563,임대자산!$N:$N,가맹점정보!R$4)</f>
        <v>1</v>
      </c>
      <c r="S1563" s="82" t="n">
        <v>132000</v>
      </c>
      <c r="T1563" s="83" t="n">
        <v>0</v>
      </c>
      <c r="U1563" s="80" t="n">
        <f aca="false">SUM(S1563:T1563)</f>
        <v>132000</v>
      </c>
      <c r="V1563" s="84" t="s">
        <v>7</v>
      </c>
      <c r="W1563" s="80" t="str">
        <f aca="true">
IF(D1563="폐업","폐업",
IF(V1563="면제","면제",
IF(AND(V1563="정상",COUNTIFS(OFFSET(Y1563,0,COUNTA(Y1563:AV1563)-1,1,-4),"미납")&gt;=3),"장기미납",
IF(AND(V1563="정상",OFFSET(Y1563,0,COUNTA(Y1563:AV1563)-1)&gt;=U1563),"정상",
IF(AND(V1563="정상",OFFSET(Y1563,0,COUNTA(Y1563:AV1563)-1)=0),"정상",
"계약서 미작성")))))</f>
        <v>면제</v>
      </c>
      <c r="X1563" s="81" t="str">
        <f aca="true">
IF(D1563="폐업","폐업",
IF(AND(V1563="정상",OFFSET(Y1563,0,COUNTA(Y1563:AV1563)-1)="미납"),"미납",
IF(AND(V1563="정상",OFFSET(Y1563,0,COUNTA(Y1563:AV1563)-1)=0),"납부 시작 전",
IF(AND(V1563="정상",OFFSET(Y1563,0,COUNTA(Y1563:AV1563)-1)&gt;=U1563),"정상",
IF(AND(V1563="면제",OFFSET(Y1563,0,COUNTA(Y1563:AV1563)-1)="면제"),"면제",
IF(AND(V1563="면제",OFFSET(Y1563,0,COUNTA(Y1563:AV1563)-1)=0),"면제",
"확인요청"))))))</f>
        <v>면제</v>
      </c>
      <c r="Y1563" s="94" t="s">
        <v>7</v>
      </c>
      <c r="Z1563" s="95" t="s">
        <v>7</v>
      </c>
      <c r="AA1563" s="95" t="s">
        <v>7</v>
      </c>
      <c r="AB1563" s="95" t="s">
        <v>7</v>
      </c>
      <c r="AC1563" s="95" t="s">
        <v>7</v>
      </c>
      <c r="AD1563" s="95" t="s">
        <v>7</v>
      </c>
      <c r="AE1563" s="95" t="s">
        <v>7</v>
      </c>
      <c r="AF1563" s="95" t="s">
        <v>7</v>
      </c>
      <c r="AG1563" s="95" t="s">
        <v>7</v>
      </c>
      <c r="AH1563" s="95" t="s">
        <v>7</v>
      </c>
      <c r="AI1563" s="95" t="s">
        <v>7</v>
      </c>
      <c r="AJ1563" s="96" t="s">
        <v>7</v>
      </c>
      <c r="AK1563" s="97" t="s">
        <v>7</v>
      </c>
      <c r="AL1563" s="95" t="s">
        <v>7</v>
      </c>
      <c r="AM1563" s="90"/>
      <c r="AN1563" s="90"/>
      <c r="AO1563" s="90"/>
      <c r="AP1563" s="90"/>
      <c r="AQ1563" s="90"/>
      <c r="AR1563" s="90"/>
      <c r="AS1563" s="90"/>
      <c r="AT1563" s="90"/>
      <c r="AU1563" s="90"/>
      <c r="AV1563" s="91"/>
      <c r="AX1563" s="92"/>
    </row>
    <row r="1564" customFormat="false" ht="15.65" hidden="false" customHeight="false" outlineLevel="0" collapsed="false">
      <c r="C1564" s="72" t="n">
        <f aca="false">COUNTIFS($D$6:D1564,"&lt;&gt;"&amp;"")</f>
        <v>1559</v>
      </c>
      <c r="D1564" s="73" t="s">
        <v>12</v>
      </c>
      <c r="E1564" s="76" t="str">
        <f aca="false">
IF($D1564="정상",INDEX(임대자산!$D$3:$R$3000,MATCH($F1564,임대자산!$I$3:$I$3000,0),MATCH(E$3,임대자산!$D$3:$R$3,0)),
IF($D1564="폐업",INDEX(폐업정보!$D$3:$R$3000,MATCH($F1564,폐업정보!$I$3:$I$3000,0),MATCH(E$3,폐업정보!$D$3:$R$3,0)),
"Error"))</f>
        <v>서울</v>
      </c>
      <c r="F156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B1559</v>
      </c>
      <c r="G1564" s="76" t="str">
        <f aca="false">F1564&amp;RANDBETWEEN(0,10)</f>
        <v>B15591</v>
      </c>
      <c r="H1564" s="75" t="n">
        <f aca="false">
IF($D1564="정상",INDEX(임대자산!$D$3:$R$3000,MATCH($F1564,임대자산!$I$3:$I$3000,0),MATCH(H$4,임대자산!$D$3:$R$3,0)),
IF($D1564="폐업",INDEX(폐업정보!$D$3:$R$3000,MATCH($F1564,폐업정보!$I$3:$I$3000,0),MATCH(H$4,폐업정보!$D$3:$R$3,0)),
"Error"))</f>
        <v>45594</v>
      </c>
      <c r="I1564" s="75" t="str">
        <f aca="false">
IF($D1564="정상",INDEX(임대자산!$D$3:$R$3000,MATCH($F1564,임대자산!$I$3:$I$3000,0),MATCH(I$4,임대자산!$D$3:$R$3,0)),
IF($D1564="폐업",INDEX(폐업정보!$D$3:$R$3000,MATCH($F1564,폐업정보!$I$3:$I$3000,0),MATCH(I$4,폐업정보!$D$3:$R$3,0)),
"Error"))</f>
        <v>A1559</v>
      </c>
      <c r="J1564" s="75" t="str">
        <f aca="false">
IF($D1564="정상",INDEX(임대자산!$D$3:$R$3000,MATCH($F1564,임대자산!$I$3:$I$3000,0),MATCH(J$4,임대자산!$D$3:$R$3,0)),
IF($D1564="폐업",INDEX(폐업정보!$D$3:$R$3000,MATCH($F1564,폐업정보!$I$3:$I$3000,0),MATCH(J$4,폐업정보!$D$3:$R$3,0)),
"Error"))</f>
        <v>5521000000</v>
      </c>
      <c r="K1564" s="75" t="str">
        <f aca="false">
IF($D1564="정상",INDEX(임대자산!$D$3:$R$3000,MATCH($F1564,임대자산!$I$3:$I$3000,0),MATCH(K$4,임대자산!$D$3:$R$3,0)),
IF($D1564="폐업",INDEX(폐업정보!$D$3:$R$3000,MATCH($F1564,폐업정보!$I$3:$I$3000,0),MATCH(K$4,폐업정보!$D$3:$R$3,0)),
"Error"))</f>
        <v>C1559</v>
      </c>
      <c r="L1564" s="75" t="str">
        <f aca="false">
IF($D1564="정상",INDEX(임대자산!$D$3:$R$3000,MATCH($F1564,임대자산!$I$3:$I$3000,0),MATCH(L$4,임대자산!$D$3:$R$3,0)),
IF($D1564="폐업",INDEX(폐업정보!$D$3:$R$3000,MATCH($F1564,폐업정보!$I$3:$I$3000,0),MATCH(L$4,폐업정보!$D$3:$R$3,0)),
"Error"))</f>
        <v>D1559</v>
      </c>
      <c r="M1564" s="76" t="s">
        <v>96</v>
      </c>
      <c r="N1564" s="77"/>
      <c r="O1564" s="78" t="s">
        <v>97</v>
      </c>
      <c r="P1564" s="79" t="n">
        <f aca="false">COUNTIFS(임대자산!$I:$I,가맹점정보!F1564,임대자산!$N:$N,가맹점정보!P$4)</f>
        <v>0</v>
      </c>
      <c r="Q1564" s="80" t="n">
        <f aca="false">COUNTIFS(임대자산!$I:$I,가맹점정보!F1564,임대자산!$N:$N,가맹점정보!Q$4)</f>
        <v>0</v>
      </c>
      <c r="R1564" s="81" t="n">
        <f aca="false">COUNTIFS(임대자산!$I:$I,가맹점정보!F1564,임대자산!$N:$N,가맹점정보!R$4)</f>
        <v>1</v>
      </c>
      <c r="S1564" s="82" t="n">
        <v>55000</v>
      </c>
      <c r="T1564" s="83" t="n">
        <v>0</v>
      </c>
      <c r="U1564" s="80" t="n">
        <f aca="false">SUM(S1564:T1564)</f>
        <v>55000</v>
      </c>
      <c r="V1564" s="84" t="s">
        <v>7</v>
      </c>
      <c r="W1564" s="80" t="str">
        <f aca="true">
IF(D1564="폐업","폐업",
IF(V1564="면제","면제",
IF(AND(V1564="정상",COUNTIFS(OFFSET(Y1564,0,COUNTA(Y1564:AV1564)-1,1,-4),"미납")&gt;=3),"장기미납",
IF(AND(V1564="정상",OFFSET(Y1564,0,COUNTA(Y1564:AV1564)-1)&gt;=U1564),"정상",
IF(AND(V1564="정상",OFFSET(Y1564,0,COUNTA(Y1564:AV1564)-1)=0),"정상",
"계약서 미작성")))))</f>
        <v>면제</v>
      </c>
      <c r="X1564" s="81" t="str">
        <f aca="true">
IF(D1564="폐업","폐업",
IF(AND(V1564="정상",OFFSET(Y1564,0,COUNTA(Y1564:AV1564)-1)="미납"),"미납",
IF(AND(V1564="정상",OFFSET(Y1564,0,COUNTA(Y1564:AV1564)-1)=0),"납부 시작 전",
IF(AND(V1564="정상",OFFSET(Y1564,0,COUNTA(Y1564:AV1564)-1)&gt;=U1564),"정상",
IF(AND(V1564="면제",OFFSET(Y1564,0,COUNTA(Y1564:AV1564)-1)="면제"),"면제",
IF(AND(V1564="면제",OFFSET(Y1564,0,COUNTA(Y1564:AV1564)-1)=0),"면제",
"확인요청"))))))</f>
        <v>면제</v>
      </c>
      <c r="Y1564" s="94" t="s">
        <v>7</v>
      </c>
      <c r="Z1564" s="95" t="s">
        <v>7</v>
      </c>
      <c r="AA1564" s="95" t="s">
        <v>7</v>
      </c>
      <c r="AB1564" s="95" t="s">
        <v>7</v>
      </c>
      <c r="AC1564" s="95" t="s">
        <v>7</v>
      </c>
      <c r="AD1564" s="95" t="s">
        <v>7</v>
      </c>
      <c r="AE1564" s="95" t="s">
        <v>7</v>
      </c>
      <c r="AF1564" s="95" t="s">
        <v>7</v>
      </c>
      <c r="AG1564" s="95" t="s">
        <v>7</v>
      </c>
      <c r="AH1564" s="95" t="s">
        <v>7</v>
      </c>
      <c r="AI1564" s="95" t="s">
        <v>7</v>
      </c>
      <c r="AJ1564" s="96" t="s">
        <v>7</v>
      </c>
      <c r="AK1564" s="97" t="s">
        <v>7</v>
      </c>
      <c r="AL1564" s="95" t="s">
        <v>7</v>
      </c>
      <c r="AM1564" s="90"/>
      <c r="AN1564" s="90"/>
      <c r="AO1564" s="90"/>
      <c r="AP1564" s="90"/>
      <c r="AQ1564" s="90"/>
      <c r="AR1564" s="90"/>
      <c r="AS1564" s="90"/>
      <c r="AT1564" s="90"/>
      <c r="AU1564" s="90"/>
      <c r="AV1564" s="91"/>
      <c r="AX1564" s="92"/>
    </row>
    <row r="1565" customFormat="false" ht="15.65" hidden="false" customHeight="false" outlineLevel="0" collapsed="false">
      <c r="C1565" s="72" t="n">
        <f aca="false">COUNTIFS($D$6:D1565,"&lt;&gt;"&amp;"")</f>
        <v>1560</v>
      </c>
      <c r="D1565" s="73" t="s">
        <v>12</v>
      </c>
      <c r="E1565" s="76" t="str">
        <f aca="false">
IF($D1565="정상",INDEX(임대자산!$D$3:$R$3000,MATCH($F1565,임대자산!$I$3:$I$3000,0),MATCH(E$3,임대자산!$D$3:$R$3,0)),
IF($D1565="폐업",INDEX(폐업정보!$D$3:$R$3000,MATCH($F1565,폐업정보!$I$3:$I$3000,0),MATCH(E$3,폐업정보!$D$3:$R$3,0)),
"Error"))</f>
        <v>서울</v>
      </c>
      <c r="F156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B1560</v>
      </c>
      <c r="G1565" s="76" t="str">
        <f aca="false">F1565&amp;RANDBETWEEN(0,10)</f>
        <v>B15606</v>
      </c>
      <c r="H1565" s="75" t="n">
        <f aca="false">
IF($D1565="정상",INDEX(임대자산!$D$3:$R$3000,MATCH($F1565,임대자산!$I$3:$I$3000,0),MATCH(H$4,임대자산!$D$3:$R$3,0)),
IF($D1565="폐업",INDEX(폐업정보!$D$3:$R$3000,MATCH($F1565,폐업정보!$I$3:$I$3000,0),MATCH(H$4,폐업정보!$D$3:$R$3,0)),
"Error"))</f>
        <v>45595</v>
      </c>
      <c r="I1565" s="75" t="str">
        <f aca="false">
IF($D1565="정상",INDEX(임대자산!$D$3:$R$3000,MATCH($F1565,임대자산!$I$3:$I$3000,0),MATCH(I$4,임대자산!$D$3:$R$3,0)),
IF($D1565="폐업",INDEX(폐업정보!$D$3:$R$3000,MATCH($F1565,폐업정보!$I$3:$I$3000,0),MATCH(I$4,폐업정보!$D$3:$R$3,0)),
"Error"))</f>
        <v>A1560</v>
      </c>
      <c r="J1565" s="75" t="str">
        <f aca="false">
IF($D1565="정상",INDEX(임대자산!$D$3:$R$3000,MATCH($F1565,임대자산!$I$3:$I$3000,0),MATCH(J$4,임대자산!$D$3:$R$3,0)),
IF($D1565="폐업",INDEX(폐업정보!$D$3:$R$3000,MATCH($F1565,폐업정보!$I$3:$I$3000,0),MATCH(J$4,폐업정보!$D$3:$R$3,0)),
"Error"))</f>
        <v>8547100000</v>
      </c>
      <c r="K1565" s="75" t="str">
        <f aca="false">
IF($D1565="정상",INDEX(임대자산!$D$3:$R$3000,MATCH($F1565,임대자산!$I$3:$I$3000,0),MATCH(K$4,임대자산!$D$3:$R$3,0)),
IF($D1565="폐업",INDEX(폐업정보!$D$3:$R$3000,MATCH($F1565,폐업정보!$I$3:$I$3000,0),MATCH(K$4,폐업정보!$D$3:$R$3,0)),
"Error"))</f>
        <v>C1560</v>
      </c>
      <c r="L1565" s="75" t="str">
        <f aca="false">
IF($D1565="정상",INDEX(임대자산!$D$3:$R$3000,MATCH($F1565,임대자산!$I$3:$I$3000,0),MATCH(L$4,임대자산!$D$3:$R$3,0)),
IF($D1565="폐업",INDEX(폐업정보!$D$3:$R$3000,MATCH($F1565,폐업정보!$I$3:$I$3000,0),MATCH(L$4,폐업정보!$D$3:$R$3,0)),
"Error"))</f>
        <v>D1560</v>
      </c>
      <c r="M1565" s="76" t="s">
        <v>96</v>
      </c>
      <c r="N1565" s="77"/>
      <c r="O1565" s="78" t="s">
        <v>97</v>
      </c>
      <c r="P1565" s="79" t="n">
        <f aca="false">COUNTIFS(임대자산!$I:$I,가맹점정보!F1565,임대자산!$N:$N,가맹점정보!P$4)</f>
        <v>0</v>
      </c>
      <c r="Q1565" s="80" t="n">
        <f aca="false">COUNTIFS(임대자산!$I:$I,가맹점정보!F1565,임대자산!$N:$N,가맹점정보!Q$4)</f>
        <v>0</v>
      </c>
      <c r="R1565" s="81" t="n">
        <f aca="false">COUNTIFS(임대자산!$I:$I,가맹점정보!F1565,임대자산!$N:$N,가맹점정보!R$4)</f>
        <v>1</v>
      </c>
      <c r="S1565" s="82" t="n">
        <v>88000</v>
      </c>
      <c r="T1565" s="83" t="n">
        <v>0</v>
      </c>
      <c r="U1565" s="80" t="n">
        <f aca="false">SUM(S1565:T1565)</f>
        <v>88000</v>
      </c>
      <c r="V1565" s="84" t="s">
        <v>12</v>
      </c>
      <c r="W1565" s="80" t="e">
        <f aca="true">
IF(D1565="폐업","폐업",
IF(V1565="면제","면제",
IF(AND(V1565="정상",COUNTIFS(OFFSET(Y1565,0,COUNTA(Y1565:AV1565)-1,1,-4),"미납")&gt;=3),"장기미납",
IF(AND(V1565="정상",OFFSET(Y1565,0,COUNTA(Y1565:AV1565)-1)&gt;=U1565),"정상",
IF(AND(V1565="정상",OFFSET(Y1565,0,COUNTA(Y1565:AV1565)-1)=0),"정상",
"계약서 미작성")))))</f>
        <v>#VALUE!</v>
      </c>
      <c r="X1565" s="81" t="str">
        <f aca="true">
IF(D1565="폐업","폐업",
IF(AND(V1565="정상",OFFSET(Y1565,0,COUNTA(Y1565:AV1565)-1)="미납"),"미납",
IF(AND(V1565="정상",OFFSET(Y1565,0,COUNTA(Y1565:AV1565)-1)=0),"납부 시작 전",
IF(AND(V1565="정상",OFFSET(Y1565,0,COUNTA(Y1565:AV1565)-1)&gt;=U1565),"정상",
IF(AND(V1565="면제",OFFSET(Y1565,0,COUNTA(Y1565:AV1565)-1)="면제"),"면제",
IF(AND(V1565="면제",OFFSET(Y1565,0,COUNTA(Y1565:AV1565)-1)=0),"면제",
"확인요청"))))))</f>
        <v>정상</v>
      </c>
      <c r="Y1565" s="93" t="n">
        <v>88000</v>
      </c>
      <c r="Z1565" s="90" t="n">
        <v>88000</v>
      </c>
      <c r="AA1565" s="90" t="n">
        <v>88000</v>
      </c>
      <c r="AB1565" s="90" t="n">
        <v>88000</v>
      </c>
      <c r="AC1565" s="95" t="s">
        <v>62</v>
      </c>
      <c r="AD1565" s="95" t="s">
        <v>62</v>
      </c>
      <c r="AE1565" s="90" t="n">
        <v>88000</v>
      </c>
      <c r="AF1565" s="90" t="n">
        <v>88000</v>
      </c>
      <c r="AG1565" s="90" t="n">
        <v>88000</v>
      </c>
      <c r="AH1565" s="90" t="n">
        <v>88000</v>
      </c>
      <c r="AI1565" s="90" t="n">
        <v>88000</v>
      </c>
      <c r="AJ1565" s="91" t="n">
        <v>88000</v>
      </c>
      <c r="AK1565" s="89" t="n">
        <v>88000</v>
      </c>
      <c r="AL1565" s="90" t="n">
        <v>88000</v>
      </c>
      <c r="AM1565" s="90"/>
      <c r="AN1565" s="90"/>
      <c r="AO1565" s="90"/>
      <c r="AP1565" s="90"/>
      <c r="AQ1565" s="90"/>
      <c r="AR1565" s="90"/>
      <c r="AS1565" s="90"/>
      <c r="AT1565" s="90"/>
      <c r="AU1565" s="90"/>
      <c r="AV1565" s="91"/>
      <c r="AX1565" s="92"/>
    </row>
    <row r="1566" customFormat="false" ht="15.65" hidden="false" customHeight="false" outlineLevel="0" collapsed="false">
      <c r="C1566" s="72" t="n">
        <f aca="false">COUNTIFS($D$6:D1566,"&lt;&gt;"&amp;"")</f>
        <v>1561</v>
      </c>
      <c r="D1566" s="73" t="s">
        <v>12</v>
      </c>
      <c r="E1566" s="76" t="str">
        <f aca="false">
IF($D1566="정상",INDEX(임대자산!$D$3:$R$3000,MATCH($F1566,임대자산!$I$3:$I$3000,0),MATCH(E$3,임대자산!$D$3:$R$3,0)),
IF($D1566="폐업",INDEX(폐업정보!$D$3:$R$3000,MATCH($F1566,폐업정보!$I$3:$I$3000,0),MATCH(E$3,폐업정보!$D$3:$R$3,0)),
"Error"))</f>
        <v>서울</v>
      </c>
      <c r="F156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B1561</v>
      </c>
      <c r="G1566" s="76" t="str">
        <f aca="false">F1566&amp;RANDBETWEEN(0,10)</f>
        <v>B15616</v>
      </c>
      <c r="H1566" s="75" t="n">
        <f aca="false">
IF($D1566="정상",INDEX(임대자산!$D$3:$R$3000,MATCH($F1566,임대자산!$I$3:$I$3000,0),MATCH(H$4,임대자산!$D$3:$R$3,0)),
IF($D1566="폐업",INDEX(폐업정보!$D$3:$R$3000,MATCH($F1566,폐업정보!$I$3:$I$3000,0),MATCH(H$4,폐업정보!$D$3:$R$3,0)),
"Error"))</f>
        <v>45609</v>
      </c>
      <c r="I1566" s="75" t="str">
        <f aca="false">
IF($D1566="정상",INDEX(임대자산!$D$3:$R$3000,MATCH($F1566,임대자산!$I$3:$I$3000,0),MATCH(I$4,임대자산!$D$3:$R$3,0)),
IF($D1566="폐업",INDEX(폐업정보!$D$3:$R$3000,MATCH($F1566,폐업정보!$I$3:$I$3000,0),MATCH(I$4,폐업정보!$D$3:$R$3,0)),
"Error"))</f>
        <v>A1561</v>
      </c>
      <c r="J1566" s="75" t="str">
        <f aca="false">
IF($D1566="정상",INDEX(임대자산!$D$3:$R$3000,MATCH($F1566,임대자산!$I$3:$I$3000,0),MATCH(J$4,임대자산!$D$3:$R$3,0)),
IF($D1566="폐업",INDEX(폐업정보!$D$3:$R$3000,MATCH($F1566,폐업정보!$I$3:$I$3000,0),MATCH(J$4,폐업정보!$D$3:$R$3,0)),
"Error"))</f>
        <v>3968000000</v>
      </c>
      <c r="K1566" s="75" t="str">
        <f aca="false">
IF($D1566="정상",INDEX(임대자산!$D$3:$R$3000,MATCH($F1566,임대자산!$I$3:$I$3000,0),MATCH(K$4,임대자산!$D$3:$R$3,0)),
IF($D1566="폐업",INDEX(폐업정보!$D$3:$R$3000,MATCH($F1566,폐업정보!$I$3:$I$3000,0),MATCH(K$4,폐업정보!$D$3:$R$3,0)),
"Error"))</f>
        <v>C1561</v>
      </c>
      <c r="L1566" s="75" t="str">
        <f aca="false">
IF($D1566="정상",INDEX(임대자산!$D$3:$R$3000,MATCH($F1566,임대자산!$I$3:$I$3000,0),MATCH(L$4,임대자산!$D$3:$R$3,0)),
IF($D1566="폐업",INDEX(폐업정보!$D$3:$R$3000,MATCH($F1566,폐업정보!$I$3:$I$3000,0),MATCH(L$4,폐업정보!$D$3:$R$3,0)),
"Error"))</f>
        <v>D1561</v>
      </c>
      <c r="M1566" s="76" t="s">
        <v>96</v>
      </c>
      <c r="N1566" s="77"/>
      <c r="O1566" s="78" t="s">
        <v>97</v>
      </c>
      <c r="P1566" s="79" t="n">
        <f aca="false">COUNTIFS(임대자산!$I:$I,가맹점정보!F1566,임대자산!$N:$N,가맹점정보!P$4)</f>
        <v>0</v>
      </c>
      <c r="Q1566" s="80" t="n">
        <f aca="false">COUNTIFS(임대자산!$I:$I,가맹점정보!F1566,임대자산!$N:$N,가맹점정보!Q$4)</f>
        <v>0</v>
      </c>
      <c r="R1566" s="81" t="n">
        <f aca="false">COUNTIFS(임대자산!$I:$I,가맹점정보!F1566,임대자산!$N:$N,가맹점정보!R$4)</f>
        <v>1</v>
      </c>
      <c r="S1566" s="82" t="n">
        <v>55000</v>
      </c>
      <c r="T1566" s="83" t="n">
        <v>0</v>
      </c>
      <c r="U1566" s="80" t="n">
        <f aca="false">SUM(S1566:T1566)</f>
        <v>55000</v>
      </c>
      <c r="V1566" s="84" t="s">
        <v>12</v>
      </c>
      <c r="W1566" s="80" t="e">
        <f aca="true">
IF(D1566="폐업","폐업",
IF(V1566="면제","면제",
IF(AND(V1566="정상",COUNTIFS(OFFSET(Y1566,0,COUNTA(Y1566:AV1566)-1,1,-4),"미납")&gt;=3),"장기미납",
IF(AND(V1566="정상",OFFSET(Y1566,0,COUNTA(Y1566:AV1566)-1)&gt;=U1566),"정상",
IF(AND(V1566="정상",OFFSET(Y1566,0,COUNTA(Y1566:AV1566)-1)=0),"정상",
"계약서 미작성")))))</f>
        <v>#VALUE!</v>
      </c>
      <c r="X1566" s="81" t="str">
        <f aca="true">
IF(D1566="폐업","폐업",
IF(AND(V1566="정상",OFFSET(Y1566,0,COUNTA(Y1566:AV1566)-1)="미납"),"미납",
IF(AND(V1566="정상",OFFSET(Y1566,0,COUNTA(Y1566:AV1566)-1)=0),"납부 시작 전",
IF(AND(V1566="정상",OFFSET(Y1566,0,COUNTA(Y1566:AV1566)-1)&gt;=U1566),"정상",
IF(AND(V1566="면제",OFFSET(Y1566,0,COUNTA(Y1566:AV1566)-1)="면제"),"면제",
IF(AND(V1566="면제",OFFSET(Y1566,0,COUNTA(Y1566:AV1566)-1)=0),"면제",
"확인요청"))))))</f>
        <v>정상</v>
      </c>
      <c r="Y1566" s="93" t="s">
        <v>99</v>
      </c>
      <c r="Z1566" s="90" t="n">
        <v>110000</v>
      </c>
      <c r="AA1566" s="90" t="n">
        <v>55000</v>
      </c>
      <c r="AB1566" s="90" t="n">
        <v>55000</v>
      </c>
      <c r="AC1566" s="90" t="n">
        <v>55000</v>
      </c>
      <c r="AD1566" s="90" t="n">
        <v>55000</v>
      </c>
      <c r="AE1566" s="90" t="n">
        <v>55000</v>
      </c>
      <c r="AF1566" s="90" t="n">
        <v>55000</v>
      </c>
      <c r="AG1566" s="90" t="n">
        <v>55000</v>
      </c>
      <c r="AH1566" s="90" t="n">
        <v>55000</v>
      </c>
      <c r="AI1566" s="90" t="n">
        <v>55000</v>
      </c>
      <c r="AJ1566" s="91" t="n">
        <v>55000</v>
      </c>
      <c r="AK1566" s="89" t="n">
        <v>55000</v>
      </c>
      <c r="AL1566" s="90" t="n">
        <v>55000</v>
      </c>
      <c r="AM1566" s="90"/>
      <c r="AN1566" s="90"/>
      <c r="AO1566" s="90"/>
      <c r="AP1566" s="90"/>
      <c r="AQ1566" s="90"/>
      <c r="AR1566" s="90"/>
      <c r="AS1566" s="90"/>
      <c r="AT1566" s="90"/>
      <c r="AU1566" s="90"/>
      <c r="AV1566" s="91"/>
      <c r="AX1566" s="92"/>
    </row>
    <row r="1567" customFormat="false" ht="15.65" hidden="false" customHeight="false" outlineLevel="0" collapsed="false">
      <c r="C1567" s="72" t="n">
        <f aca="false">COUNTIFS($D$6:D1567,"&lt;&gt;"&amp;"")</f>
        <v>1562</v>
      </c>
      <c r="D1567" s="73" t="s">
        <v>12</v>
      </c>
      <c r="E1567" s="76" t="str">
        <f aca="false">
IF($D1567="정상",INDEX(임대자산!$D$3:$R$3000,MATCH($F1567,임대자산!$I$3:$I$3000,0),MATCH(E$3,임대자산!$D$3:$R$3,0)),
IF($D1567="폐업",INDEX(폐업정보!$D$3:$R$3000,MATCH($F1567,폐업정보!$I$3:$I$3000,0),MATCH(E$3,폐업정보!$D$3:$R$3,0)),
"Error"))</f>
        <v>서울</v>
      </c>
      <c r="F156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B1562</v>
      </c>
      <c r="G1567" s="76" t="str">
        <f aca="false">F1567&amp;RANDBETWEEN(0,10)</f>
        <v>B156210</v>
      </c>
      <c r="H1567" s="75" t="n">
        <f aca="false">
IF($D1567="정상",INDEX(임대자산!$D$3:$R$3000,MATCH($F1567,임대자산!$I$3:$I$3000,0),MATCH(H$4,임대자산!$D$3:$R$3,0)),
IF($D1567="폐업",INDEX(폐업정보!$D$3:$R$3000,MATCH($F1567,폐업정보!$I$3:$I$3000,0),MATCH(H$4,폐업정보!$D$3:$R$3,0)),
"Error"))</f>
        <v>45609</v>
      </c>
      <c r="I1567" s="75" t="str">
        <f aca="false">
IF($D1567="정상",INDEX(임대자산!$D$3:$R$3000,MATCH($F1567,임대자산!$I$3:$I$3000,0),MATCH(I$4,임대자산!$D$3:$R$3,0)),
IF($D1567="폐업",INDEX(폐업정보!$D$3:$R$3000,MATCH($F1567,폐업정보!$I$3:$I$3000,0),MATCH(I$4,폐업정보!$D$3:$R$3,0)),
"Error"))</f>
        <v>A1562</v>
      </c>
      <c r="J1567" s="75" t="str">
        <f aca="false">
IF($D1567="정상",INDEX(임대자산!$D$3:$R$3000,MATCH($F1567,임대자산!$I$3:$I$3000,0),MATCH(J$4,임대자산!$D$3:$R$3,0)),
IF($D1567="폐업",INDEX(폐업정보!$D$3:$R$3000,MATCH($F1567,폐업정보!$I$3:$I$3000,0),MATCH(J$4,폐업정보!$D$3:$R$3,0)),
"Error"))</f>
        <v>8768300000</v>
      </c>
      <c r="K1567" s="75" t="str">
        <f aca="false">
IF($D1567="정상",INDEX(임대자산!$D$3:$R$3000,MATCH($F1567,임대자산!$I$3:$I$3000,0),MATCH(K$4,임대자산!$D$3:$R$3,0)),
IF($D1567="폐업",INDEX(폐업정보!$D$3:$R$3000,MATCH($F1567,폐업정보!$I$3:$I$3000,0),MATCH(K$4,폐업정보!$D$3:$R$3,0)),
"Error"))</f>
        <v>C1562</v>
      </c>
      <c r="L1567" s="75" t="str">
        <f aca="false">
IF($D1567="정상",INDEX(임대자산!$D$3:$R$3000,MATCH($F1567,임대자산!$I$3:$I$3000,0),MATCH(L$4,임대자산!$D$3:$R$3,0)),
IF($D1567="폐업",INDEX(폐업정보!$D$3:$R$3000,MATCH($F1567,폐업정보!$I$3:$I$3000,0),MATCH(L$4,폐업정보!$D$3:$R$3,0)),
"Error"))</f>
        <v>D1562</v>
      </c>
      <c r="M1567" s="76" t="s">
        <v>96</v>
      </c>
      <c r="N1567" s="77"/>
      <c r="O1567" s="78" t="s">
        <v>97</v>
      </c>
      <c r="P1567" s="79" t="n">
        <f aca="false">COUNTIFS(임대자산!$I:$I,가맹점정보!F1567,임대자산!$N:$N,가맹점정보!P$4)</f>
        <v>0</v>
      </c>
      <c r="Q1567" s="80" t="n">
        <f aca="false">COUNTIFS(임대자산!$I:$I,가맹점정보!F1567,임대자산!$N:$N,가맹점정보!Q$4)</f>
        <v>0</v>
      </c>
      <c r="R1567" s="81" t="n">
        <f aca="false">COUNTIFS(임대자산!$I:$I,가맹점정보!F1567,임대자산!$N:$N,가맹점정보!R$4)</f>
        <v>1</v>
      </c>
      <c r="S1567" s="82" t="n">
        <v>55000</v>
      </c>
      <c r="T1567" s="83" t="n">
        <v>0</v>
      </c>
      <c r="U1567" s="80" t="n">
        <f aca="false">SUM(S1567:T1567)</f>
        <v>55000</v>
      </c>
      <c r="V1567" s="84" t="s">
        <v>7</v>
      </c>
      <c r="W1567" s="80" t="str">
        <f aca="true">
IF(D1567="폐업","폐업",
IF(V1567="면제","면제",
IF(AND(V1567="정상",COUNTIFS(OFFSET(Y1567,0,COUNTA(Y1567:AV1567)-1,1,-4),"미납")&gt;=3),"장기미납",
IF(AND(V1567="정상",OFFSET(Y1567,0,COUNTA(Y1567:AV1567)-1)&gt;=U1567),"정상",
IF(AND(V1567="정상",OFFSET(Y1567,0,COUNTA(Y1567:AV1567)-1)=0),"정상",
"계약서 미작성")))))</f>
        <v>면제</v>
      </c>
      <c r="X1567" s="81" t="str">
        <f aca="true">
IF(D1567="폐업","폐업",
IF(AND(V1567="정상",OFFSET(Y1567,0,COUNTA(Y1567:AV1567)-1)="미납"),"미납",
IF(AND(V1567="정상",OFFSET(Y1567,0,COUNTA(Y1567:AV1567)-1)=0),"납부 시작 전",
IF(AND(V1567="정상",OFFSET(Y1567,0,COUNTA(Y1567:AV1567)-1)&gt;=U1567),"정상",
IF(AND(V1567="면제",OFFSET(Y1567,0,COUNTA(Y1567:AV1567)-1)="면제"),"면제",
IF(AND(V1567="면제",OFFSET(Y1567,0,COUNTA(Y1567:AV1567)-1)=0),"면제",
"확인요청"))))))</f>
        <v>면제</v>
      </c>
      <c r="Y1567" s="94" t="s">
        <v>7</v>
      </c>
      <c r="Z1567" s="95" t="s">
        <v>7</v>
      </c>
      <c r="AA1567" s="95" t="s">
        <v>7</v>
      </c>
      <c r="AB1567" s="95" t="s">
        <v>7</v>
      </c>
      <c r="AC1567" s="95" t="s">
        <v>7</v>
      </c>
      <c r="AD1567" s="95" t="s">
        <v>7</v>
      </c>
      <c r="AE1567" s="95" t="s">
        <v>7</v>
      </c>
      <c r="AF1567" s="95" t="s">
        <v>7</v>
      </c>
      <c r="AG1567" s="95" t="s">
        <v>7</v>
      </c>
      <c r="AH1567" s="95" t="s">
        <v>7</v>
      </c>
      <c r="AI1567" s="95" t="s">
        <v>7</v>
      </c>
      <c r="AJ1567" s="96" t="s">
        <v>7</v>
      </c>
      <c r="AK1567" s="97" t="s">
        <v>7</v>
      </c>
      <c r="AL1567" s="95" t="s">
        <v>7</v>
      </c>
      <c r="AM1567" s="90"/>
      <c r="AN1567" s="90"/>
      <c r="AO1567" s="90"/>
      <c r="AP1567" s="90"/>
      <c r="AQ1567" s="90"/>
      <c r="AR1567" s="90"/>
      <c r="AS1567" s="90"/>
      <c r="AT1567" s="90"/>
      <c r="AU1567" s="90"/>
      <c r="AV1567" s="91"/>
      <c r="AX1567" s="92"/>
    </row>
    <row r="1568" customFormat="false" ht="15.65" hidden="false" customHeight="false" outlineLevel="0" collapsed="false">
      <c r="C1568" s="72" t="n">
        <f aca="false">COUNTIFS($D$6:D1568,"&lt;&gt;"&amp;"")</f>
        <v>1563</v>
      </c>
      <c r="D1568" s="73" t="s">
        <v>12</v>
      </c>
      <c r="E1568" s="76" t="str">
        <f aca="false">
IF($D1568="정상",INDEX(임대자산!$D$3:$R$3000,MATCH($F1568,임대자산!$I$3:$I$3000,0),MATCH(E$3,임대자산!$D$3:$R$3,0)),
IF($D1568="폐업",INDEX(폐업정보!$D$3:$R$3000,MATCH($F1568,폐업정보!$I$3:$I$3000,0),MATCH(E$3,폐업정보!$D$3:$R$3,0)),
"Error"))</f>
        <v>경기</v>
      </c>
      <c r="F156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B1563</v>
      </c>
      <c r="G1568" s="76" t="str">
        <f aca="false">F1568&amp;RANDBETWEEN(0,10)</f>
        <v>B15632</v>
      </c>
      <c r="H1568" s="75" t="n">
        <f aca="false">
IF($D1568="정상",INDEX(임대자산!$D$3:$R$3000,MATCH($F1568,임대자산!$I$3:$I$3000,0),MATCH(H$4,임대자산!$D$3:$R$3,0)),
IF($D1568="폐업",INDEX(폐업정보!$D$3:$R$3000,MATCH($F1568,폐업정보!$I$3:$I$3000,0),MATCH(H$4,폐업정보!$D$3:$R$3,0)),
"Error"))</f>
        <v>45602</v>
      </c>
      <c r="I1568" s="75" t="str">
        <f aca="false">
IF($D1568="정상",INDEX(임대자산!$D$3:$R$3000,MATCH($F1568,임대자산!$I$3:$I$3000,0),MATCH(I$4,임대자산!$D$3:$R$3,0)),
IF($D1568="폐업",INDEX(폐업정보!$D$3:$R$3000,MATCH($F1568,폐업정보!$I$3:$I$3000,0),MATCH(I$4,폐업정보!$D$3:$R$3,0)),
"Error"))</f>
        <v>A1563</v>
      </c>
      <c r="J1568" s="75" t="str">
        <f aca="false">
IF($D1568="정상",INDEX(임대자산!$D$3:$R$3000,MATCH($F1568,임대자산!$I$3:$I$3000,0),MATCH(J$4,임대자산!$D$3:$R$3,0)),
IF($D1568="폐업",INDEX(폐업정보!$D$3:$R$3000,MATCH($F1568,폐업정보!$I$3:$I$3000,0),MATCH(J$4,폐업정보!$D$3:$R$3,0)),
"Error"))</f>
        <v>2138800000</v>
      </c>
      <c r="K1568" s="75" t="str">
        <f aca="false">
IF($D1568="정상",INDEX(임대자산!$D$3:$R$3000,MATCH($F1568,임대자산!$I$3:$I$3000,0),MATCH(K$4,임대자산!$D$3:$R$3,0)),
IF($D1568="폐업",INDEX(폐업정보!$D$3:$R$3000,MATCH($F1568,폐업정보!$I$3:$I$3000,0),MATCH(K$4,폐업정보!$D$3:$R$3,0)),
"Error"))</f>
        <v>C1563</v>
      </c>
      <c r="L1568" s="75" t="str">
        <f aca="false">
IF($D1568="정상",INDEX(임대자산!$D$3:$R$3000,MATCH($F1568,임대자산!$I$3:$I$3000,0),MATCH(L$4,임대자산!$D$3:$R$3,0)),
IF($D1568="폐업",INDEX(폐업정보!$D$3:$R$3000,MATCH($F1568,폐업정보!$I$3:$I$3000,0),MATCH(L$4,폐업정보!$D$3:$R$3,0)),
"Error"))</f>
        <v>D1563</v>
      </c>
      <c r="M1568" s="76" t="s">
        <v>96</v>
      </c>
      <c r="N1568" s="77"/>
      <c r="O1568" s="78" t="s">
        <v>97</v>
      </c>
      <c r="P1568" s="79" t="n">
        <f aca="false">COUNTIFS(임대자산!$I:$I,가맹점정보!F1568,임대자산!$N:$N,가맹점정보!P$4)</f>
        <v>0</v>
      </c>
      <c r="Q1568" s="80" t="n">
        <f aca="false">COUNTIFS(임대자산!$I:$I,가맹점정보!F1568,임대자산!$N:$N,가맹점정보!Q$4)</f>
        <v>0</v>
      </c>
      <c r="R1568" s="81" t="n">
        <f aca="false">COUNTIFS(임대자산!$I:$I,가맹점정보!F1568,임대자산!$N:$N,가맹점정보!R$4)</f>
        <v>1</v>
      </c>
      <c r="S1568" s="82" t="n">
        <v>55000</v>
      </c>
      <c r="T1568" s="83" t="n">
        <v>0</v>
      </c>
      <c r="U1568" s="80" t="n">
        <f aca="false">SUM(S1568:T1568)</f>
        <v>55000</v>
      </c>
      <c r="V1568" s="84" t="s">
        <v>12</v>
      </c>
      <c r="W1568" s="80" t="e">
        <f aca="true">
IF(D1568="폐업","폐업",
IF(V1568="면제","면제",
IF(AND(V1568="정상",COUNTIFS(OFFSET(Y1568,0,COUNTA(Y1568:AV1568)-1,1,-4),"미납")&gt;=3),"장기미납",
IF(AND(V1568="정상",OFFSET(Y1568,0,COUNTA(Y1568:AV1568)-1)&gt;=U1568),"정상",
IF(AND(V1568="정상",OFFSET(Y1568,0,COUNTA(Y1568:AV1568)-1)=0),"정상",
"계약서 미작성")))))</f>
        <v>#VALUE!</v>
      </c>
      <c r="X1568" s="81" t="str">
        <f aca="true">
IF(D1568="폐업","폐업",
IF(AND(V1568="정상",OFFSET(Y1568,0,COUNTA(Y1568:AV1568)-1)="미납"),"미납",
IF(AND(V1568="정상",OFFSET(Y1568,0,COUNTA(Y1568:AV1568)-1)=0),"납부 시작 전",
IF(AND(V1568="정상",OFFSET(Y1568,0,COUNTA(Y1568:AV1568)-1)&gt;=U1568),"정상",
IF(AND(V1568="면제",OFFSET(Y1568,0,COUNTA(Y1568:AV1568)-1)="면제"),"면제",
IF(AND(V1568="면제",OFFSET(Y1568,0,COUNTA(Y1568:AV1568)-1)=0),"면제",
"확인요청"))))))</f>
        <v>정상</v>
      </c>
      <c r="Y1568" s="93" t="n">
        <v>55000</v>
      </c>
      <c r="Z1568" s="90" t="n">
        <v>55000</v>
      </c>
      <c r="AA1568" s="90" t="n">
        <v>55000</v>
      </c>
      <c r="AB1568" s="90" t="n">
        <v>55000</v>
      </c>
      <c r="AC1568" s="95" t="s">
        <v>62</v>
      </c>
      <c r="AD1568" s="95" t="s">
        <v>62</v>
      </c>
      <c r="AE1568" s="90" t="n">
        <v>55000</v>
      </c>
      <c r="AF1568" s="90" t="n">
        <v>55000</v>
      </c>
      <c r="AG1568" s="90" t="n">
        <v>55000</v>
      </c>
      <c r="AH1568" s="90" t="n">
        <v>55000</v>
      </c>
      <c r="AI1568" s="90" t="n">
        <v>55000</v>
      </c>
      <c r="AJ1568" s="91" t="n">
        <v>55000</v>
      </c>
      <c r="AK1568" s="89" t="n">
        <v>55000</v>
      </c>
      <c r="AL1568" s="90" t="n">
        <v>55000</v>
      </c>
      <c r="AM1568" s="90"/>
      <c r="AN1568" s="90"/>
      <c r="AO1568" s="90"/>
      <c r="AP1568" s="90"/>
      <c r="AQ1568" s="90"/>
      <c r="AR1568" s="90"/>
      <c r="AS1568" s="90"/>
      <c r="AT1568" s="90"/>
      <c r="AU1568" s="90"/>
      <c r="AV1568" s="91"/>
      <c r="AX1568" s="92"/>
    </row>
    <row r="1569" customFormat="false" ht="15.65" hidden="false" customHeight="false" outlineLevel="0" collapsed="false">
      <c r="C1569" s="72" t="n">
        <f aca="false">COUNTIFS($D$6:D1569,"&lt;&gt;"&amp;"")</f>
        <v>1564</v>
      </c>
      <c r="D1569" s="73" t="s">
        <v>12</v>
      </c>
      <c r="E1569" s="76" t="str">
        <f aca="false">
IF($D1569="정상",INDEX(임대자산!$D$3:$R$3000,MATCH($F1569,임대자산!$I$3:$I$3000,0),MATCH(E$3,임대자산!$D$3:$R$3,0)),
IF($D1569="폐업",INDEX(폐업정보!$D$3:$R$3000,MATCH($F1569,폐업정보!$I$3:$I$3000,0),MATCH(E$3,폐업정보!$D$3:$R$3,0)),
"Error"))</f>
        <v>경기</v>
      </c>
      <c r="F156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B1564</v>
      </c>
      <c r="G1569" s="76" t="str">
        <f aca="false">F1569&amp;RANDBETWEEN(0,10)</f>
        <v>B15645</v>
      </c>
      <c r="H1569" s="75" t="n">
        <f aca="false">
IF($D1569="정상",INDEX(임대자산!$D$3:$R$3000,MATCH($F1569,임대자산!$I$3:$I$3000,0),MATCH(H$4,임대자산!$D$3:$R$3,0)),
IF($D1569="폐업",INDEX(폐업정보!$D$3:$R$3000,MATCH($F1569,폐업정보!$I$3:$I$3000,0),MATCH(H$4,폐업정보!$D$3:$R$3,0)),
"Error"))</f>
        <v>45610</v>
      </c>
      <c r="I1569" s="75" t="str">
        <f aca="false">
IF($D1569="정상",INDEX(임대자산!$D$3:$R$3000,MATCH($F1569,임대자산!$I$3:$I$3000,0),MATCH(I$4,임대자산!$D$3:$R$3,0)),
IF($D1569="폐업",INDEX(폐업정보!$D$3:$R$3000,MATCH($F1569,폐업정보!$I$3:$I$3000,0),MATCH(I$4,폐업정보!$D$3:$R$3,0)),
"Error"))</f>
        <v>A1564</v>
      </c>
      <c r="J1569" s="75" t="str">
        <f aca="false">
IF($D1569="정상",INDEX(임대자산!$D$3:$R$3000,MATCH($F1569,임대자산!$I$3:$I$3000,0),MATCH(J$4,임대자산!$D$3:$R$3,0)),
IF($D1569="폐업",INDEX(폐업정보!$D$3:$R$3000,MATCH($F1569,폐업정보!$I$3:$I$3000,0),MATCH(J$4,폐업정보!$D$3:$R$3,0)),
"Error"))</f>
        <v>7340900000</v>
      </c>
      <c r="K1569" s="75" t="str">
        <f aca="false">
IF($D1569="정상",INDEX(임대자산!$D$3:$R$3000,MATCH($F1569,임대자산!$I$3:$I$3000,0),MATCH(K$4,임대자산!$D$3:$R$3,0)),
IF($D1569="폐업",INDEX(폐업정보!$D$3:$R$3000,MATCH($F1569,폐업정보!$I$3:$I$3000,0),MATCH(K$4,폐업정보!$D$3:$R$3,0)),
"Error"))</f>
        <v>C1564</v>
      </c>
      <c r="L1569" s="75" t="str">
        <f aca="false">
IF($D1569="정상",INDEX(임대자산!$D$3:$R$3000,MATCH($F1569,임대자산!$I$3:$I$3000,0),MATCH(L$4,임대자산!$D$3:$R$3,0)),
IF($D1569="폐업",INDEX(폐업정보!$D$3:$R$3000,MATCH($F1569,폐업정보!$I$3:$I$3000,0),MATCH(L$4,폐업정보!$D$3:$R$3,0)),
"Error"))</f>
        <v>D1564</v>
      </c>
      <c r="M1569" s="76" t="s">
        <v>96</v>
      </c>
      <c r="N1569" s="77"/>
      <c r="O1569" s="78" t="s">
        <v>97</v>
      </c>
      <c r="P1569" s="79" t="n">
        <f aca="false">COUNTIFS(임대자산!$I:$I,가맹점정보!F1569,임대자산!$N:$N,가맹점정보!P$4)</f>
        <v>0</v>
      </c>
      <c r="Q1569" s="80" t="n">
        <f aca="false">COUNTIFS(임대자산!$I:$I,가맹점정보!F1569,임대자산!$N:$N,가맹점정보!Q$4)</f>
        <v>0</v>
      </c>
      <c r="R1569" s="81" t="n">
        <f aca="false">COUNTIFS(임대자산!$I:$I,가맹점정보!F1569,임대자산!$N:$N,가맹점정보!R$4)</f>
        <v>1</v>
      </c>
      <c r="S1569" s="82" t="n">
        <v>55000</v>
      </c>
      <c r="T1569" s="83" t="n">
        <v>0</v>
      </c>
      <c r="U1569" s="80" t="n">
        <f aca="false">SUM(S1569:T1569)</f>
        <v>55000</v>
      </c>
      <c r="V1569" s="84" t="s">
        <v>12</v>
      </c>
      <c r="W1569" s="80" t="e">
        <f aca="true">
IF(D1569="폐업","폐업",
IF(V1569="면제","면제",
IF(AND(V1569="정상",COUNTIFS(OFFSET(Y1569,0,COUNTA(Y1569:AV1569)-1,1,-4),"미납")&gt;=3),"장기미납",
IF(AND(V1569="정상",OFFSET(Y1569,0,COUNTA(Y1569:AV1569)-1)&gt;=U1569),"정상",
IF(AND(V1569="정상",OFFSET(Y1569,0,COUNTA(Y1569:AV1569)-1)=0),"정상",
"계약서 미작성")))))</f>
        <v>#VALUE!</v>
      </c>
      <c r="X1569" s="81" t="str">
        <f aca="true">
IF(D1569="폐업","폐업",
IF(AND(V1569="정상",OFFSET(Y1569,0,COUNTA(Y1569:AV1569)-1)="미납"),"미납",
IF(AND(V1569="정상",OFFSET(Y1569,0,COUNTA(Y1569:AV1569)-1)=0),"납부 시작 전",
IF(AND(V1569="정상",OFFSET(Y1569,0,COUNTA(Y1569:AV1569)-1)&gt;=U1569),"정상",
IF(AND(V1569="면제",OFFSET(Y1569,0,COUNTA(Y1569:AV1569)-1)="면제"),"면제",
IF(AND(V1569="면제",OFFSET(Y1569,0,COUNTA(Y1569:AV1569)-1)=0),"면제",
"확인요청"))))))</f>
        <v>정상</v>
      </c>
      <c r="Y1569" s="93" t="n">
        <v>55000</v>
      </c>
      <c r="Z1569" s="90" t="n">
        <v>55000</v>
      </c>
      <c r="AA1569" s="90" t="n">
        <v>55000</v>
      </c>
      <c r="AB1569" s="90" t="n">
        <v>55000</v>
      </c>
      <c r="AC1569" s="90" t="n">
        <v>55000</v>
      </c>
      <c r="AD1569" s="90" t="n">
        <v>55000</v>
      </c>
      <c r="AE1569" s="90" t="n">
        <v>55000</v>
      </c>
      <c r="AF1569" s="90" t="n">
        <v>55000</v>
      </c>
      <c r="AG1569" s="90" t="n">
        <v>55000</v>
      </c>
      <c r="AH1569" s="90" t="n">
        <v>55000</v>
      </c>
      <c r="AI1569" s="90" t="n">
        <v>55000</v>
      </c>
      <c r="AJ1569" s="91" t="n">
        <v>55000</v>
      </c>
      <c r="AK1569" s="89" t="n">
        <v>55000</v>
      </c>
      <c r="AL1569" s="90" t="n">
        <v>55000</v>
      </c>
      <c r="AM1569" s="90"/>
      <c r="AN1569" s="90"/>
      <c r="AO1569" s="90"/>
      <c r="AP1569" s="90"/>
      <c r="AQ1569" s="90"/>
      <c r="AR1569" s="90"/>
      <c r="AS1569" s="90"/>
      <c r="AT1569" s="90"/>
      <c r="AU1569" s="90"/>
      <c r="AV1569" s="91"/>
      <c r="AX1569" s="92"/>
    </row>
    <row r="1570" customFormat="false" ht="15.65" hidden="false" customHeight="false" outlineLevel="0" collapsed="false">
      <c r="C1570" s="72" t="n">
        <f aca="false">COUNTIFS($D$6:D1570,"&lt;&gt;"&amp;"")</f>
        <v>1565</v>
      </c>
      <c r="D1570" s="73" t="s">
        <v>12</v>
      </c>
      <c r="E1570" s="76" t="str">
        <f aca="false">
IF($D1570="정상",INDEX(임대자산!$D$3:$R$3000,MATCH($F1570,임대자산!$I$3:$I$3000,0),MATCH(E$3,임대자산!$D$3:$R$3,0)),
IF($D1570="폐업",INDEX(폐업정보!$D$3:$R$3000,MATCH($F1570,폐업정보!$I$3:$I$3000,0),MATCH(E$3,폐업정보!$D$3:$R$3,0)),
"Error"))</f>
        <v>경기</v>
      </c>
      <c r="F157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B1565</v>
      </c>
      <c r="G1570" s="76" t="str">
        <f aca="false">F1570&amp;RANDBETWEEN(0,10)</f>
        <v>B15653</v>
      </c>
      <c r="H1570" s="75" t="n">
        <f aca="false">
IF($D1570="정상",INDEX(임대자산!$D$3:$R$3000,MATCH($F1570,임대자산!$I$3:$I$3000,0),MATCH(H$4,임대자산!$D$3:$R$3,0)),
IF($D1570="폐업",INDEX(폐업정보!$D$3:$R$3000,MATCH($F1570,폐업정보!$I$3:$I$3000,0),MATCH(H$4,폐업정보!$D$3:$R$3,0)),
"Error"))</f>
        <v>45610</v>
      </c>
      <c r="I1570" s="75" t="str">
        <f aca="false">
IF($D1570="정상",INDEX(임대자산!$D$3:$R$3000,MATCH($F1570,임대자산!$I$3:$I$3000,0),MATCH(I$4,임대자산!$D$3:$R$3,0)),
IF($D1570="폐업",INDEX(폐업정보!$D$3:$R$3000,MATCH($F1570,폐업정보!$I$3:$I$3000,0),MATCH(I$4,폐업정보!$D$3:$R$3,0)),
"Error"))</f>
        <v>A1565</v>
      </c>
      <c r="J1570" s="75" t="str">
        <f aca="false">
IF($D1570="정상",INDEX(임대자산!$D$3:$R$3000,MATCH($F1570,임대자산!$I$3:$I$3000,0),MATCH(J$4,임대자산!$D$3:$R$3,0)),
IF($D1570="폐업",INDEX(폐업정보!$D$3:$R$3000,MATCH($F1570,폐업정보!$I$3:$I$3000,0),MATCH(J$4,폐업정보!$D$3:$R$3,0)),
"Error"))</f>
        <v>4011300000</v>
      </c>
      <c r="K1570" s="75" t="str">
        <f aca="false">
IF($D1570="정상",INDEX(임대자산!$D$3:$R$3000,MATCH($F1570,임대자산!$I$3:$I$3000,0),MATCH(K$4,임대자산!$D$3:$R$3,0)),
IF($D1570="폐업",INDEX(폐업정보!$D$3:$R$3000,MATCH($F1570,폐업정보!$I$3:$I$3000,0),MATCH(K$4,폐업정보!$D$3:$R$3,0)),
"Error"))</f>
        <v>C1565</v>
      </c>
      <c r="L1570" s="75" t="str">
        <f aca="false">
IF($D1570="정상",INDEX(임대자산!$D$3:$R$3000,MATCH($F1570,임대자산!$I$3:$I$3000,0),MATCH(L$4,임대자산!$D$3:$R$3,0)),
IF($D1570="폐업",INDEX(폐업정보!$D$3:$R$3000,MATCH($F1570,폐업정보!$I$3:$I$3000,0),MATCH(L$4,폐업정보!$D$3:$R$3,0)),
"Error"))</f>
        <v>D1565</v>
      </c>
      <c r="M1570" s="76" t="s">
        <v>96</v>
      </c>
      <c r="N1570" s="77"/>
      <c r="O1570" s="78" t="s">
        <v>97</v>
      </c>
      <c r="P1570" s="79" t="n">
        <f aca="false">COUNTIFS(임대자산!$I:$I,가맹점정보!F1570,임대자산!$N:$N,가맹점정보!P$4)</f>
        <v>0</v>
      </c>
      <c r="Q1570" s="80" t="n">
        <f aca="false">COUNTIFS(임대자산!$I:$I,가맹점정보!F1570,임대자산!$N:$N,가맹점정보!Q$4)</f>
        <v>0</v>
      </c>
      <c r="R1570" s="81" t="n">
        <f aca="false">COUNTIFS(임대자산!$I:$I,가맹점정보!F1570,임대자산!$N:$N,가맹점정보!R$4)</f>
        <v>1</v>
      </c>
      <c r="S1570" s="82" t="n">
        <v>88000</v>
      </c>
      <c r="T1570" s="83" t="n">
        <v>0</v>
      </c>
      <c r="U1570" s="80" t="n">
        <f aca="false">SUM(S1570:T1570)</f>
        <v>88000</v>
      </c>
      <c r="V1570" s="84" t="s">
        <v>7</v>
      </c>
      <c r="W1570" s="80" t="str">
        <f aca="true">
IF(D1570="폐업","폐업",
IF(V1570="면제","면제",
IF(AND(V1570="정상",COUNTIFS(OFFSET(Y1570,0,COUNTA(Y1570:AV1570)-1,1,-4),"미납")&gt;=3),"장기미납",
IF(AND(V1570="정상",OFFSET(Y1570,0,COUNTA(Y1570:AV1570)-1)&gt;=U1570),"정상",
IF(AND(V1570="정상",OFFSET(Y1570,0,COUNTA(Y1570:AV1570)-1)=0),"정상",
"계약서 미작성")))))</f>
        <v>면제</v>
      </c>
      <c r="X1570" s="81" t="str">
        <f aca="true">
IF(D1570="폐업","폐업",
IF(AND(V1570="정상",OFFSET(Y1570,0,COUNTA(Y1570:AV1570)-1)="미납"),"미납",
IF(AND(V1570="정상",OFFSET(Y1570,0,COUNTA(Y1570:AV1570)-1)=0),"납부 시작 전",
IF(AND(V1570="정상",OFFSET(Y1570,0,COUNTA(Y1570:AV1570)-1)&gt;=U1570),"정상",
IF(AND(V1570="면제",OFFSET(Y1570,0,COUNTA(Y1570:AV1570)-1)="면제"),"면제",
IF(AND(V1570="면제",OFFSET(Y1570,0,COUNTA(Y1570:AV1570)-1)=0),"면제",
"확인요청"))))))</f>
        <v>면제</v>
      </c>
      <c r="Y1570" s="94" t="s">
        <v>7</v>
      </c>
      <c r="Z1570" s="95" t="s">
        <v>7</v>
      </c>
      <c r="AA1570" s="95" t="s">
        <v>7</v>
      </c>
      <c r="AB1570" s="95" t="s">
        <v>7</v>
      </c>
      <c r="AC1570" s="95" t="s">
        <v>7</v>
      </c>
      <c r="AD1570" s="95" t="s">
        <v>7</v>
      </c>
      <c r="AE1570" s="95" t="s">
        <v>7</v>
      </c>
      <c r="AF1570" s="95" t="s">
        <v>7</v>
      </c>
      <c r="AG1570" s="95" t="s">
        <v>7</v>
      </c>
      <c r="AH1570" s="95" t="s">
        <v>7</v>
      </c>
      <c r="AI1570" s="95" t="s">
        <v>7</v>
      </c>
      <c r="AJ1570" s="96" t="s">
        <v>7</v>
      </c>
      <c r="AK1570" s="97" t="s">
        <v>7</v>
      </c>
      <c r="AL1570" s="95" t="s">
        <v>7</v>
      </c>
      <c r="AM1570" s="90"/>
      <c r="AN1570" s="90"/>
      <c r="AO1570" s="90"/>
      <c r="AP1570" s="90"/>
      <c r="AQ1570" s="90"/>
      <c r="AR1570" s="90"/>
      <c r="AS1570" s="90"/>
      <c r="AT1570" s="90"/>
      <c r="AU1570" s="90"/>
      <c r="AV1570" s="91"/>
      <c r="AX1570" s="92"/>
    </row>
    <row r="1571" customFormat="false" ht="15.65" hidden="false" customHeight="false" outlineLevel="0" collapsed="false">
      <c r="C1571" s="72" t="n">
        <f aca="false">COUNTIFS($D$6:D1571,"&lt;&gt;"&amp;"")</f>
        <v>1566</v>
      </c>
      <c r="D1571" s="73" t="s">
        <v>12</v>
      </c>
      <c r="E1571" s="76" t="str">
        <f aca="false">
IF($D1571="정상",INDEX(임대자산!$D$3:$R$3000,MATCH($F1571,임대자산!$I$3:$I$3000,0),MATCH(E$3,임대자산!$D$3:$R$3,0)),
IF($D1571="폐업",INDEX(폐업정보!$D$3:$R$3000,MATCH($F1571,폐업정보!$I$3:$I$3000,0),MATCH(E$3,폐업정보!$D$3:$R$3,0)),
"Error"))</f>
        <v>경기</v>
      </c>
      <c r="F157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B1566</v>
      </c>
      <c r="G1571" s="76" t="str">
        <f aca="false">F1571&amp;RANDBETWEEN(0,10)</f>
        <v>B15666</v>
      </c>
      <c r="H1571" s="75" t="n">
        <f aca="false">
IF($D1571="정상",INDEX(임대자산!$D$3:$R$3000,MATCH($F1571,임대자산!$I$3:$I$3000,0),MATCH(H$4,임대자산!$D$3:$R$3,0)),
IF($D1571="폐업",INDEX(폐업정보!$D$3:$R$3000,MATCH($F1571,폐업정보!$I$3:$I$3000,0),MATCH(H$4,폐업정보!$D$3:$R$3,0)),
"Error"))</f>
        <v>45615</v>
      </c>
      <c r="I1571" s="75" t="str">
        <f aca="false">
IF($D1571="정상",INDEX(임대자산!$D$3:$R$3000,MATCH($F1571,임대자산!$I$3:$I$3000,0),MATCH(I$4,임대자산!$D$3:$R$3,0)),
IF($D1571="폐업",INDEX(폐업정보!$D$3:$R$3000,MATCH($F1571,폐업정보!$I$3:$I$3000,0),MATCH(I$4,폐업정보!$D$3:$R$3,0)),
"Error"))</f>
        <v>A1566</v>
      </c>
      <c r="J1571" s="75" t="str">
        <f aca="false">
IF($D1571="정상",INDEX(임대자산!$D$3:$R$3000,MATCH($F1571,임대자산!$I$3:$I$3000,0),MATCH(J$4,임대자산!$D$3:$R$3,0)),
IF($D1571="폐업",INDEX(폐업정보!$D$3:$R$3000,MATCH($F1571,폐업정보!$I$3:$I$3000,0),MATCH(J$4,폐업정보!$D$3:$R$3,0)),
"Error"))</f>
        <v>6433000000</v>
      </c>
      <c r="K1571" s="75" t="str">
        <f aca="false">
IF($D1571="정상",INDEX(임대자산!$D$3:$R$3000,MATCH($F1571,임대자산!$I$3:$I$3000,0),MATCH(K$4,임대자산!$D$3:$R$3,0)),
IF($D1571="폐업",INDEX(폐업정보!$D$3:$R$3000,MATCH($F1571,폐업정보!$I$3:$I$3000,0),MATCH(K$4,폐업정보!$D$3:$R$3,0)),
"Error"))</f>
        <v>C1566</v>
      </c>
      <c r="L1571" s="75" t="str">
        <f aca="false">
IF($D1571="정상",INDEX(임대자산!$D$3:$R$3000,MATCH($F1571,임대자산!$I$3:$I$3000,0),MATCH(L$4,임대자산!$D$3:$R$3,0)),
IF($D1571="폐업",INDEX(폐업정보!$D$3:$R$3000,MATCH($F1571,폐업정보!$I$3:$I$3000,0),MATCH(L$4,폐업정보!$D$3:$R$3,0)),
"Error"))</f>
        <v>D1566</v>
      </c>
      <c r="M1571" s="76" t="s">
        <v>96</v>
      </c>
      <c r="N1571" s="77"/>
      <c r="O1571" s="78" t="s">
        <v>97</v>
      </c>
      <c r="P1571" s="79" t="n">
        <f aca="false">COUNTIFS(임대자산!$I:$I,가맹점정보!F1571,임대자산!$N:$N,가맹점정보!P$4)</f>
        <v>0</v>
      </c>
      <c r="Q1571" s="80" t="n">
        <f aca="false">COUNTIFS(임대자산!$I:$I,가맹점정보!F1571,임대자산!$N:$N,가맹점정보!Q$4)</f>
        <v>0</v>
      </c>
      <c r="R1571" s="81" t="n">
        <f aca="false">COUNTIFS(임대자산!$I:$I,가맹점정보!F1571,임대자산!$N:$N,가맹점정보!R$4)</f>
        <v>1</v>
      </c>
      <c r="S1571" s="82" t="n">
        <v>55000</v>
      </c>
      <c r="T1571" s="83" t="n">
        <v>0</v>
      </c>
      <c r="U1571" s="80" t="n">
        <f aca="false">SUM(S1571:T1571)</f>
        <v>55000</v>
      </c>
      <c r="V1571" s="84" t="s">
        <v>12</v>
      </c>
      <c r="W1571" s="80" t="e">
        <f aca="true">
IF(D1571="폐업","폐업",
IF(V1571="면제","면제",
IF(AND(V1571="정상",COUNTIFS(OFFSET(Y1571,0,COUNTA(Y1571:AV1571)-1,1,-4),"미납")&gt;=3),"장기미납",
IF(AND(V1571="정상",OFFSET(Y1571,0,COUNTA(Y1571:AV1571)-1)&gt;=U1571),"정상",
IF(AND(V1571="정상",OFFSET(Y1571,0,COUNTA(Y1571:AV1571)-1)=0),"정상",
"계약서 미작성")))))</f>
        <v>#VALUE!</v>
      </c>
      <c r="X1571" s="81" t="str">
        <f aca="true">
IF(D1571="폐업","폐업",
IF(AND(V1571="정상",OFFSET(Y1571,0,COUNTA(Y1571:AV1571)-1)="미납"),"미납",
IF(AND(V1571="정상",OFFSET(Y1571,0,COUNTA(Y1571:AV1571)-1)=0),"납부 시작 전",
IF(AND(V1571="정상",OFFSET(Y1571,0,COUNTA(Y1571:AV1571)-1)&gt;=U1571),"정상",
IF(AND(V1571="면제",OFFSET(Y1571,0,COUNTA(Y1571:AV1571)-1)="면제"),"면제",
IF(AND(V1571="면제",OFFSET(Y1571,0,COUNTA(Y1571:AV1571)-1)=0),"면제",
"확인요청"))))))</f>
        <v>정상</v>
      </c>
      <c r="Y1571" s="93" t="n">
        <v>55000</v>
      </c>
      <c r="Z1571" s="90" t="n">
        <v>55000</v>
      </c>
      <c r="AA1571" s="90" t="n">
        <v>55000</v>
      </c>
      <c r="AB1571" s="90" t="n">
        <v>55000</v>
      </c>
      <c r="AC1571" s="90" t="n">
        <v>55000</v>
      </c>
      <c r="AD1571" s="90" t="n">
        <v>55000</v>
      </c>
      <c r="AE1571" s="90" t="n">
        <v>55000</v>
      </c>
      <c r="AF1571" s="90" t="n">
        <v>55000</v>
      </c>
      <c r="AG1571" s="90" t="n">
        <v>55000</v>
      </c>
      <c r="AH1571" s="90" t="n">
        <v>55000</v>
      </c>
      <c r="AI1571" s="90" t="n">
        <v>55000</v>
      </c>
      <c r="AJ1571" s="91" t="n">
        <v>55000</v>
      </c>
      <c r="AK1571" s="89" t="n">
        <v>55000</v>
      </c>
      <c r="AL1571" s="90" t="n">
        <v>55000</v>
      </c>
      <c r="AM1571" s="90"/>
      <c r="AN1571" s="90"/>
      <c r="AO1571" s="90"/>
      <c r="AP1571" s="90"/>
      <c r="AQ1571" s="90"/>
      <c r="AR1571" s="90"/>
      <c r="AS1571" s="90"/>
      <c r="AT1571" s="90"/>
      <c r="AU1571" s="90"/>
      <c r="AV1571" s="91"/>
      <c r="AX1571" s="92"/>
    </row>
    <row r="1572" customFormat="false" ht="15.65" hidden="false" customHeight="false" outlineLevel="0" collapsed="false">
      <c r="C1572" s="72" t="n">
        <f aca="false">COUNTIFS($D$6:D1572,"&lt;&gt;"&amp;"")</f>
        <v>1567</v>
      </c>
      <c r="D1572" s="73" t="s">
        <v>12</v>
      </c>
      <c r="E1572" s="76" t="str">
        <f aca="false">
IF($D1572="정상",INDEX(임대자산!$D$3:$R$3000,MATCH($F1572,임대자산!$I$3:$I$3000,0),MATCH(E$3,임대자산!$D$3:$R$3,0)),
IF($D1572="폐업",INDEX(폐업정보!$D$3:$R$3000,MATCH($F1572,폐업정보!$I$3:$I$3000,0),MATCH(E$3,폐업정보!$D$3:$R$3,0)),
"Error"))</f>
        <v>강원</v>
      </c>
      <c r="F157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B1567</v>
      </c>
      <c r="G1572" s="76" t="str">
        <f aca="false">F1572&amp;RANDBETWEEN(0,10)</f>
        <v>B15671</v>
      </c>
      <c r="H1572" s="75" t="n">
        <f aca="false">
IF($D1572="정상",INDEX(임대자산!$D$3:$R$3000,MATCH($F1572,임대자산!$I$3:$I$3000,0),MATCH(H$4,임대자산!$D$3:$R$3,0)),
IF($D1572="폐업",INDEX(폐업정보!$D$3:$R$3000,MATCH($F1572,폐업정보!$I$3:$I$3000,0),MATCH(H$4,폐업정보!$D$3:$R$3,0)),
"Error"))</f>
        <v>45618</v>
      </c>
      <c r="I1572" s="75" t="str">
        <f aca="false">
IF($D1572="정상",INDEX(임대자산!$D$3:$R$3000,MATCH($F1572,임대자산!$I$3:$I$3000,0),MATCH(I$4,임대자산!$D$3:$R$3,0)),
IF($D1572="폐업",INDEX(폐업정보!$D$3:$R$3000,MATCH($F1572,폐업정보!$I$3:$I$3000,0),MATCH(I$4,폐업정보!$D$3:$R$3,0)),
"Error"))</f>
        <v>A1567</v>
      </c>
      <c r="J1572" s="75" t="str">
        <f aca="false">
IF($D1572="정상",INDEX(임대자산!$D$3:$R$3000,MATCH($F1572,임대자산!$I$3:$I$3000,0),MATCH(J$4,임대자산!$D$3:$R$3,0)),
IF($D1572="폐업",INDEX(폐업정보!$D$3:$R$3000,MATCH($F1572,폐업정보!$I$3:$I$3000,0),MATCH(J$4,폐업정보!$D$3:$R$3,0)),
"Error"))</f>
        <v>6097100000</v>
      </c>
      <c r="K1572" s="75" t="str">
        <f aca="false">
IF($D1572="정상",INDEX(임대자산!$D$3:$R$3000,MATCH($F1572,임대자산!$I$3:$I$3000,0),MATCH(K$4,임대자산!$D$3:$R$3,0)),
IF($D1572="폐업",INDEX(폐업정보!$D$3:$R$3000,MATCH($F1572,폐업정보!$I$3:$I$3000,0),MATCH(K$4,폐업정보!$D$3:$R$3,0)),
"Error"))</f>
        <v>C1567</v>
      </c>
      <c r="L1572" s="75" t="str">
        <f aca="false">
IF($D1572="정상",INDEX(임대자산!$D$3:$R$3000,MATCH($F1572,임대자산!$I$3:$I$3000,0),MATCH(L$4,임대자산!$D$3:$R$3,0)),
IF($D1572="폐업",INDEX(폐업정보!$D$3:$R$3000,MATCH($F1572,폐업정보!$I$3:$I$3000,0),MATCH(L$4,폐업정보!$D$3:$R$3,0)),
"Error"))</f>
        <v>D1567</v>
      </c>
      <c r="M1572" s="76" t="s">
        <v>96</v>
      </c>
      <c r="N1572" s="77"/>
      <c r="O1572" s="78" t="s">
        <v>97</v>
      </c>
      <c r="P1572" s="79" t="n">
        <f aca="false">COUNTIFS(임대자산!$I:$I,가맹점정보!F1572,임대자산!$N:$N,가맹점정보!P$4)</f>
        <v>0</v>
      </c>
      <c r="Q1572" s="80" t="n">
        <f aca="false">COUNTIFS(임대자산!$I:$I,가맹점정보!F1572,임대자산!$N:$N,가맹점정보!Q$4)</f>
        <v>0</v>
      </c>
      <c r="R1572" s="81" t="n">
        <f aca="false">COUNTIFS(임대자산!$I:$I,가맹점정보!F1572,임대자산!$N:$N,가맹점정보!R$4)</f>
        <v>1</v>
      </c>
      <c r="S1572" s="82" t="n">
        <v>88000</v>
      </c>
      <c r="T1572" s="83" t="n">
        <v>0</v>
      </c>
      <c r="U1572" s="80" t="n">
        <f aca="false">SUM(S1572:T1572)</f>
        <v>88000</v>
      </c>
      <c r="V1572" s="84" t="s">
        <v>12</v>
      </c>
      <c r="W1572" s="80" t="e">
        <f aca="true">
IF(D1572="폐업","폐업",
IF(V1572="면제","면제",
IF(AND(V1572="정상",COUNTIFS(OFFSET(Y1572,0,COUNTA(Y1572:AV1572)-1,1,-4),"미납")&gt;=3),"장기미납",
IF(AND(V1572="정상",OFFSET(Y1572,0,COUNTA(Y1572:AV1572)-1)&gt;=U1572),"정상",
IF(AND(V1572="정상",OFFSET(Y1572,0,COUNTA(Y1572:AV1572)-1)=0),"정상",
"계약서 미작성")))))</f>
        <v>#VALUE!</v>
      </c>
      <c r="X1572" s="81" t="str">
        <f aca="true">
IF(D1572="폐업","폐업",
IF(AND(V1572="정상",OFFSET(Y1572,0,COUNTA(Y1572:AV1572)-1)="미납"),"미납",
IF(AND(V1572="정상",OFFSET(Y1572,0,COUNTA(Y1572:AV1572)-1)=0),"납부 시작 전",
IF(AND(V1572="정상",OFFSET(Y1572,0,COUNTA(Y1572:AV1572)-1)&gt;=U1572),"정상",
IF(AND(V1572="면제",OFFSET(Y1572,0,COUNTA(Y1572:AV1572)-1)="면제"),"면제",
IF(AND(V1572="면제",OFFSET(Y1572,0,COUNTA(Y1572:AV1572)-1)=0),"면제",
"확인요청"))))))</f>
        <v>정상</v>
      </c>
      <c r="Y1572" s="93" t="n">
        <v>88000</v>
      </c>
      <c r="Z1572" s="90" t="n">
        <v>88000</v>
      </c>
      <c r="AA1572" s="90" t="n">
        <v>88000</v>
      </c>
      <c r="AB1572" s="90" t="n">
        <v>88000</v>
      </c>
      <c r="AC1572" s="90" t="n">
        <v>88000</v>
      </c>
      <c r="AD1572" s="90" t="n">
        <v>88000</v>
      </c>
      <c r="AE1572" s="90" t="n">
        <v>88000</v>
      </c>
      <c r="AF1572" s="90" t="n">
        <v>88000</v>
      </c>
      <c r="AG1572" s="90" t="n">
        <v>88000</v>
      </c>
      <c r="AH1572" s="90" t="n">
        <v>88000</v>
      </c>
      <c r="AI1572" s="90" t="n">
        <v>88000</v>
      </c>
      <c r="AJ1572" s="91" t="n">
        <v>88000</v>
      </c>
      <c r="AK1572" s="89" t="n">
        <v>88000</v>
      </c>
      <c r="AL1572" s="90" t="n">
        <v>88000</v>
      </c>
      <c r="AM1572" s="90"/>
      <c r="AN1572" s="90"/>
      <c r="AO1572" s="90"/>
      <c r="AP1572" s="90"/>
      <c r="AQ1572" s="90"/>
      <c r="AR1572" s="90"/>
      <c r="AS1572" s="90"/>
      <c r="AT1572" s="90"/>
      <c r="AU1572" s="90"/>
      <c r="AV1572" s="91"/>
      <c r="AX1572" s="92"/>
    </row>
    <row r="1573" customFormat="false" ht="15.65" hidden="false" customHeight="false" outlineLevel="0" collapsed="false">
      <c r="C1573" s="72" t="n">
        <f aca="false">COUNTIFS($D$6:D1573,"&lt;&gt;"&amp;"")</f>
        <v>1568</v>
      </c>
      <c r="D1573" s="73" t="s">
        <v>12</v>
      </c>
      <c r="E1573" s="76" t="str">
        <f aca="false">
IF($D1573="정상",INDEX(임대자산!$D$3:$R$3000,MATCH($F1573,임대자산!$I$3:$I$3000,0),MATCH(E$3,임대자산!$D$3:$R$3,0)),
IF($D1573="폐업",INDEX(폐업정보!$D$3:$R$3000,MATCH($F1573,폐업정보!$I$3:$I$3000,0),MATCH(E$3,폐업정보!$D$3:$R$3,0)),
"Error"))</f>
        <v>경상</v>
      </c>
      <c r="F157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B1568</v>
      </c>
      <c r="G1573" s="76" t="str">
        <f aca="false">F1573&amp;RANDBETWEEN(0,10)</f>
        <v>B15686</v>
      </c>
      <c r="H1573" s="75" t="n">
        <f aca="false">
IF($D1573="정상",INDEX(임대자산!$D$3:$R$3000,MATCH($F1573,임대자산!$I$3:$I$3000,0),MATCH(H$4,임대자산!$D$3:$R$3,0)),
IF($D1573="폐업",INDEX(폐업정보!$D$3:$R$3000,MATCH($F1573,폐업정보!$I$3:$I$3000,0),MATCH(H$4,폐업정보!$D$3:$R$3,0)),
"Error"))</f>
        <v>45622</v>
      </c>
      <c r="I1573" s="75" t="str">
        <f aca="false">
IF($D1573="정상",INDEX(임대자산!$D$3:$R$3000,MATCH($F1573,임대자산!$I$3:$I$3000,0),MATCH(I$4,임대자산!$D$3:$R$3,0)),
IF($D1573="폐업",INDEX(폐업정보!$D$3:$R$3000,MATCH($F1573,폐업정보!$I$3:$I$3000,0),MATCH(I$4,폐업정보!$D$3:$R$3,0)),
"Error"))</f>
        <v>A1568</v>
      </c>
      <c r="J1573" s="75" t="str">
        <f aca="false">
IF($D1573="정상",INDEX(임대자산!$D$3:$R$3000,MATCH($F1573,임대자산!$I$3:$I$3000,0),MATCH(J$4,임대자산!$D$3:$R$3,0)),
IF($D1573="폐업",INDEX(폐업정보!$D$3:$R$3000,MATCH($F1573,폐업정보!$I$3:$I$3000,0),MATCH(J$4,폐업정보!$D$3:$R$3,0)),
"Error"))</f>
        <v>2022000000</v>
      </c>
      <c r="K1573" s="75" t="str">
        <f aca="false">
IF($D1573="정상",INDEX(임대자산!$D$3:$R$3000,MATCH($F1573,임대자산!$I$3:$I$3000,0),MATCH(K$4,임대자산!$D$3:$R$3,0)),
IF($D1573="폐업",INDEX(폐업정보!$D$3:$R$3000,MATCH($F1573,폐업정보!$I$3:$I$3000,0),MATCH(K$4,폐업정보!$D$3:$R$3,0)),
"Error"))</f>
        <v>C1568</v>
      </c>
      <c r="L1573" s="75" t="str">
        <f aca="false">
IF($D1573="정상",INDEX(임대자산!$D$3:$R$3000,MATCH($F1573,임대자산!$I$3:$I$3000,0),MATCH(L$4,임대자산!$D$3:$R$3,0)),
IF($D1573="폐업",INDEX(폐업정보!$D$3:$R$3000,MATCH($F1573,폐업정보!$I$3:$I$3000,0),MATCH(L$4,폐업정보!$D$3:$R$3,0)),
"Error"))</f>
        <v>D1568</v>
      </c>
      <c r="M1573" s="76" t="s">
        <v>96</v>
      </c>
      <c r="N1573" s="77"/>
      <c r="O1573" s="78" t="s">
        <v>97</v>
      </c>
      <c r="P1573" s="79" t="n">
        <f aca="false">COUNTIFS(임대자산!$I:$I,가맹점정보!F1573,임대자산!$N:$N,가맹점정보!P$4)</f>
        <v>0</v>
      </c>
      <c r="Q1573" s="80" t="n">
        <f aca="false">COUNTIFS(임대자산!$I:$I,가맹점정보!F1573,임대자산!$N:$N,가맹점정보!Q$4)</f>
        <v>0</v>
      </c>
      <c r="R1573" s="81" t="n">
        <f aca="false">COUNTIFS(임대자산!$I:$I,가맹점정보!F1573,임대자산!$N:$N,가맹점정보!R$4)</f>
        <v>1</v>
      </c>
      <c r="S1573" s="82" t="n">
        <v>55000</v>
      </c>
      <c r="T1573" s="83" t="n">
        <v>0</v>
      </c>
      <c r="U1573" s="80" t="n">
        <f aca="false">SUM(S1573:T1573)</f>
        <v>55000</v>
      </c>
      <c r="V1573" s="84" t="s">
        <v>12</v>
      </c>
      <c r="W1573" s="80" t="e">
        <f aca="true">
IF(D1573="폐업","폐업",
IF(V1573="면제","면제",
IF(AND(V1573="정상",COUNTIFS(OFFSET(Y1573,0,COUNTA(Y1573:AV1573)-1,1,-4),"미납")&gt;=3),"장기미납",
IF(AND(V1573="정상",OFFSET(Y1573,0,COUNTA(Y1573:AV1573)-1)&gt;=U1573),"정상",
IF(AND(V1573="정상",OFFSET(Y1573,0,COUNTA(Y1573:AV1573)-1)=0),"정상",
"계약서 미작성")))))</f>
        <v>#VALUE!</v>
      </c>
      <c r="X1573" s="81" t="str">
        <f aca="true">
IF(D1573="폐업","폐업",
IF(AND(V1573="정상",OFFSET(Y1573,0,COUNTA(Y1573:AV1573)-1)="미납"),"미납",
IF(AND(V1573="정상",OFFSET(Y1573,0,COUNTA(Y1573:AV1573)-1)=0),"납부 시작 전",
IF(AND(V1573="정상",OFFSET(Y1573,0,COUNTA(Y1573:AV1573)-1)&gt;=U1573),"정상",
IF(AND(V1573="면제",OFFSET(Y1573,0,COUNTA(Y1573:AV1573)-1)="면제"),"면제",
IF(AND(V1573="면제",OFFSET(Y1573,0,COUNTA(Y1573:AV1573)-1)=0),"면제",
"확인요청"))))))</f>
        <v>정상</v>
      </c>
      <c r="Y1573" s="93" t="n">
        <v>55000</v>
      </c>
      <c r="Z1573" s="90" t="n">
        <v>55000</v>
      </c>
      <c r="AA1573" s="90" t="n">
        <v>55000</v>
      </c>
      <c r="AB1573" s="90" t="n">
        <v>55000</v>
      </c>
      <c r="AC1573" s="90" t="n">
        <v>55000</v>
      </c>
      <c r="AD1573" s="90" t="n">
        <v>55000</v>
      </c>
      <c r="AE1573" s="90" t="n">
        <v>55000</v>
      </c>
      <c r="AF1573" s="90" t="n">
        <v>55000</v>
      </c>
      <c r="AG1573" s="90" t="n">
        <v>55000</v>
      </c>
      <c r="AH1573" s="90" t="n">
        <v>55000</v>
      </c>
      <c r="AI1573" s="90" t="n">
        <v>55000</v>
      </c>
      <c r="AJ1573" s="91" t="n">
        <v>55000</v>
      </c>
      <c r="AK1573" s="89" t="n">
        <v>55000</v>
      </c>
      <c r="AL1573" s="90" t="n">
        <v>55000</v>
      </c>
      <c r="AM1573" s="90"/>
      <c r="AN1573" s="90"/>
      <c r="AO1573" s="90"/>
      <c r="AP1573" s="90"/>
      <c r="AQ1573" s="90"/>
      <c r="AR1573" s="90"/>
      <c r="AS1573" s="90"/>
      <c r="AT1573" s="90"/>
      <c r="AU1573" s="90"/>
      <c r="AV1573" s="91"/>
      <c r="AX1573" s="92"/>
    </row>
    <row r="1574" customFormat="false" ht="15.65" hidden="false" customHeight="false" outlineLevel="0" collapsed="false">
      <c r="C1574" s="72" t="n">
        <f aca="false">COUNTIFS($D$6:D1574,"&lt;&gt;"&amp;"")</f>
        <v>1569</v>
      </c>
      <c r="D1574" s="73" t="s">
        <v>12</v>
      </c>
      <c r="E1574" s="76" t="str">
        <f aca="false">
IF($D1574="정상",INDEX(임대자산!$D$3:$R$3000,MATCH($F1574,임대자산!$I$3:$I$3000,0),MATCH(E$3,임대자산!$D$3:$R$3,0)),
IF($D1574="폐업",INDEX(폐업정보!$D$3:$R$3000,MATCH($F1574,폐업정보!$I$3:$I$3000,0),MATCH(E$3,폐업정보!$D$3:$R$3,0)),
"Error"))</f>
        <v>경기</v>
      </c>
      <c r="F157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B1569</v>
      </c>
      <c r="G1574" s="76" t="str">
        <f aca="false">F1574&amp;RANDBETWEEN(0,10)</f>
        <v>B156910</v>
      </c>
      <c r="H1574" s="75" t="n">
        <f aca="false">
IF($D1574="정상",INDEX(임대자산!$D$3:$R$3000,MATCH($F1574,임대자산!$I$3:$I$3000,0),MATCH(H$4,임대자산!$D$3:$R$3,0)),
IF($D1574="폐업",INDEX(폐업정보!$D$3:$R$3000,MATCH($F1574,폐업정보!$I$3:$I$3000,0),MATCH(H$4,폐업정보!$D$3:$R$3,0)),
"Error"))</f>
        <v>45622</v>
      </c>
      <c r="I1574" s="75" t="str">
        <f aca="false">
IF($D1574="정상",INDEX(임대자산!$D$3:$R$3000,MATCH($F1574,임대자산!$I$3:$I$3000,0),MATCH(I$4,임대자산!$D$3:$R$3,0)),
IF($D1574="폐업",INDEX(폐업정보!$D$3:$R$3000,MATCH($F1574,폐업정보!$I$3:$I$3000,0),MATCH(I$4,폐업정보!$D$3:$R$3,0)),
"Error"))</f>
        <v>A1569</v>
      </c>
      <c r="J1574" s="75" t="str">
        <f aca="false">
IF($D1574="정상",INDEX(임대자산!$D$3:$R$3000,MATCH($F1574,임대자산!$I$3:$I$3000,0),MATCH(J$4,임대자산!$D$3:$R$3,0)),
IF($D1574="폐업",INDEX(폐업정보!$D$3:$R$3000,MATCH($F1574,폐업정보!$I$3:$I$3000,0),MATCH(J$4,폐업정보!$D$3:$R$3,0)),
"Error"))</f>
        <v>9388200000</v>
      </c>
      <c r="K1574" s="75" t="str">
        <f aca="false">
IF($D1574="정상",INDEX(임대자산!$D$3:$R$3000,MATCH($F1574,임대자산!$I$3:$I$3000,0),MATCH(K$4,임대자산!$D$3:$R$3,0)),
IF($D1574="폐업",INDEX(폐업정보!$D$3:$R$3000,MATCH($F1574,폐업정보!$I$3:$I$3000,0),MATCH(K$4,폐업정보!$D$3:$R$3,0)),
"Error"))</f>
        <v>C1569</v>
      </c>
      <c r="L1574" s="75" t="str">
        <f aca="false">
IF($D1574="정상",INDEX(임대자산!$D$3:$R$3000,MATCH($F1574,임대자산!$I$3:$I$3000,0),MATCH(L$4,임대자산!$D$3:$R$3,0)),
IF($D1574="폐업",INDEX(폐업정보!$D$3:$R$3000,MATCH($F1574,폐업정보!$I$3:$I$3000,0),MATCH(L$4,폐업정보!$D$3:$R$3,0)),
"Error"))</f>
        <v>D1569</v>
      </c>
      <c r="M1574" s="76" t="s">
        <v>96</v>
      </c>
      <c r="N1574" s="77"/>
      <c r="O1574" s="78" t="s">
        <v>97</v>
      </c>
      <c r="P1574" s="79" t="n">
        <f aca="false">COUNTIFS(임대자산!$I:$I,가맹점정보!F1574,임대자산!$N:$N,가맹점정보!P$4)</f>
        <v>0</v>
      </c>
      <c r="Q1574" s="80" t="n">
        <f aca="false">COUNTIFS(임대자산!$I:$I,가맹점정보!F1574,임대자산!$N:$N,가맹점정보!Q$4)</f>
        <v>0</v>
      </c>
      <c r="R1574" s="81" t="n">
        <f aca="false">COUNTIFS(임대자산!$I:$I,가맹점정보!F1574,임대자산!$N:$N,가맹점정보!R$4)</f>
        <v>1</v>
      </c>
      <c r="S1574" s="82" t="n">
        <v>132000</v>
      </c>
      <c r="T1574" s="83" t="n">
        <v>0</v>
      </c>
      <c r="U1574" s="80" t="n">
        <f aca="false">SUM(S1574:T1574)</f>
        <v>132000</v>
      </c>
      <c r="V1574" s="84" t="s">
        <v>7</v>
      </c>
      <c r="W1574" s="80" t="str">
        <f aca="true">
IF(D1574="폐업","폐업",
IF(V1574="면제","면제",
IF(AND(V1574="정상",COUNTIFS(OFFSET(Y1574,0,COUNTA(Y1574:AV1574)-1,1,-4),"미납")&gt;=3),"장기미납",
IF(AND(V1574="정상",OFFSET(Y1574,0,COUNTA(Y1574:AV1574)-1)&gt;=U1574),"정상",
IF(AND(V1574="정상",OFFSET(Y1574,0,COUNTA(Y1574:AV1574)-1)=0),"정상",
"계약서 미작성")))))</f>
        <v>면제</v>
      </c>
      <c r="X1574" s="81" t="str">
        <f aca="true">
IF(D1574="폐업","폐업",
IF(AND(V1574="정상",OFFSET(Y1574,0,COUNTA(Y1574:AV1574)-1)="미납"),"미납",
IF(AND(V1574="정상",OFFSET(Y1574,0,COUNTA(Y1574:AV1574)-1)=0),"납부 시작 전",
IF(AND(V1574="정상",OFFSET(Y1574,0,COUNTA(Y1574:AV1574)-1)&gt;=U1574),"정상",
IF(AND(V1574="면제",OFFSET(Y1574,0,COUNTA(Y1574:AV1574)-1)="면제"),"면제",
IF(AND(V1574="면제",OFFSET(Y1574,0,COUNTA(Y1574:AV1574)-1)=0),"면제",
"확인요청"))))))</f>
        <v>면제</v>
      </c>
      <c r="Y1574" s="94" t="s">
        <v>7</v>
      </c>
      <c r="Z1574" s="95" t="s">
        <v>7</v>
      </c>
      <c r="AA1574" s="95" t="s">
        <v>7</v>
      </c>
      <c r="AB1574" s="95" t="s">
        <v>7</v>
      </c>
      <c r="AC1574" s="95" t="s">
        <v>7</v>
      </c>
      <c r="AD1574" s="95" t="s">
        <v>7</v>
      </c>
      <c r="AE1574" s="95" t="s">
        <v>7</v>
      </c>
      <c r="AF1574" s="95" t="s">
        <v>7</v>
      </c>
      <c r="AG1574" s="95" t="s">
        <v>7</v>
      </c>
      <c r="AH1574" s="95" t="s">
        <v>7</v>
      </c>
      <c r="AI1574" s="95" t="s">
        <v>7</v>
      </c>
      <c r="AJ1574" s="96" t="s">
        <v>7</v>
      </c>
      <c r="AK1574" s="97" t="s">
        <v>7</v>
      </c>
      <c r="AL1574" s="95" t="s">
        <v>7</v>
      </c>
      <c r="AM1574" s="90"/>
      <c r="AN1574" s="90"/>
      <c r="AO1574" s="90"/>
      <c r="AP1574" s="90"/>
      <c r="AQ1574" s="90"/>
      <c r="AR1574" s="90"/>
      <c r="AS1574" s="90"/>
      <c r="AT1574" s="90"/>
      <c r="AU1574" s="90"/>
      <c r="AV1574" s="91"/>
      <c r="AX1574" s="92"/>
    </row>
    <row r="1575" customFormat="false" ht="15.65" hidden="false" customHeight="false" outlineLevel="0" collapsed="false">
      <c r="C1575" s="72" t="n">
        <f aca="false">COUNTIFS($D$6:D1575,"&lt;&gt;"&amp;"")</f>
        <v>1570</v>
      </c>
      <c r="D1575" s="73" t="s">
        <v>12</v>
      </c>
      <c r="E1575" s="76" t="str">
        <f aca="false">
IF($D1575="정상",INDEX(임대자산!$D$3:$R$3000,MATCH($F1575,임대자산!$I$3:$I$3000,0),MATCH(E$3,임대자산!$D$3:$R$3,0)),
IF($D1575="폐업",INDEX(폐업정보!$D$3:$R$3000,MATCH($F1575,폐업정보!$I$3:$I$3000,0),MATCH(E$3,폐업정보!$D$3:$R$3,0)),
"Error"))</f>
        <v>경상</v>
      </c>
      <c r="F157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B1570</v>
      </c>
      <c r="G1575" s="76" t="str">
        <f aca="false">F1575&amp;RANDBETWEEN(0,10)</f>
        <v>B15709</v>
      </c>
      <c r="H1575" s="75" t="n">
        <f aca="false">
IF($D1575="정상",INDEX(임대자산!$D$3:$R$3000,MATCH($F1575,임대자산!$I$3:$I$3000,0),MATCH(H$4,임대자산!$D$3:$R$3,0)),
IF($D1575="폐업",INDEX(폐업정보!$D$3:$R$3000,MATCH($F1575,폐업정보!$I$3:$I$3000,0),MATCH(H$4,폐업정보!$D$3:$R$3,0)),
"Error"))</f>
        <v>46051</v>
      </c>
      <c r="I1575" s="75" t="str">
        <f aca="false">
IF($D1575="정상",INDEX(임대자산!$D$3:$R$3000,MATCH($F1575,임대자산!$I$3:$I$3000,0),MATCH(I$4,임대자산!$D$3:$R$3,0)),
IF($D1575="폐업",INDEX(폐업정보!$D$3:$R$3000,MATCH($F1575,폐업정보!$I$3:$I$3000,0),MATCH(I$4,폐업정보!$D$3:$R$3,0)),
"Error"))</f>
        <v>A1570</v>
      </c>
      <c r="J1575" s="75" t="str">
        <f aca="false">
IF($D1575="정상",INDEX(임대자산!$D$3:$R$3000,MATCH($F1575,임대자산!$I$3:$I$3000,0),MATCH(J$4,임대자산!$D$3:$R$3,0)),
IF($D1575="폐업",INDEX(폐업정보!$D$3:$R$3000,MATCH($F1575,폐업정보!$I$3:$I$3000,0),MATCH(J$4,폐업정보!$D$3:$R$3,0)),
"Error"))</f>
        <v>1712900000</v>
      </c>
      <c r="K1575" s="75" t="str">
        <f aca="false">
IF($D1575="정상",INDEX(임대자산!$D$3:$R$3000,MATCH($F1575,임대자산!$I$3:$I$3000,0),MATCH(K$4,임대자산!$D$3:$R$3,0)),
IF($D1575="폐업",INDEX(폐업정보!$D$3:$R$3000,MATCH($F1575,폐업정보!$I$3:$I$3000,0),MATCH(K$4,폐업정보!$D$3:$R$3,0)),
"Error"))</f>
        <v>C1570</v>
      </c>
      <c r="L1575" s="75" t="str">
        <f aca="false">
IF($D1575="정상",INDEX(임대자산!$D$3:$R$3000,MATCH($F1575,임대자산!$I$3:$I$3000,0),MATCH(L$4,임대자산!$D$3:$R$3,0)),
IF($D1575="폐업",INDEX(폐업정보!$D$3:$R$3000,MATCH($F1575,폐업정보!$I$3:$I$3000,0),MATCH(L$4,폐업정보!$D$3:$R$3,0)),
"Error"))</f>
        <v>D1570</v>
      </c>
      <c r="M1575" s="76" t="s">
        <v>96</v>
      </c>
      <c r="N1575" s="77"/>
      <c r="O1575" s="78" t="s">
        <v>97</v>
      </c>
      <c r="P1575" s="79" t="n">
        <f aca="false">COUNTIFS(임대자산!$I:$I,가맹점정보!F1575,임대자산!$N:$N,가맹점정보!P$4)</f>
        <v>0</v>
      </c>
      <c r="Q1575" s="80" t="n">
        <f aca="false">COUNTIFS(임대자산!$I:$I,가맹점정보!F1575,임대자산!$N:$N,가맹점정보!Q$4)</f>
        <v>0</v>
      </c>
      <c r="R1575" s="81" t="n">
        <f aca="false">COUNTIFS(임대자산!$I:$I,가맹점정보!F1575,임대자산!$N:$N,가맹점정보!R$4)</f>
        <v>1</v>
      </c>
      <c r="S1575" s="82" t="n">
        <v>55000</v>
      </c>
      <c r="T1575" s="83" t="n">
        <v>0</v>
      </c>
      <c r="U1575" s="80" t="n">
        <f aca="false">SUM(S1575:T1575)</f>
        <v>55000</v>
      </c>
      <c r="V1575" s="84" t="s">
        <v>7</v>
      </c>
      <c r="W1575" s="80" t="str">
        <f aca="true">
IF(D1575="폐업","폐업",
IF(V1575="면제","면제",
IF(AND(V1575="정상",COUNTIFS(OFFSET(Y1575,0,COUNTA(Y1575:AV1575)-1,1,-4),"미납")&gt;=3),"장기미납",
IF(AND(V1575="정상",OFFSET(Y1575,0,COUNTA(Y1575:AV1575)-1)&gt;=U1575),"정상",
IF(AND(V1575="정상",OFFSET(Y1575,0,COUNTA(Y1575:AV1575)-1)=0),"정상",
"계약서 미작성")))))</f>
        <v>면제</v>
      </c>
      <c r="X1575" s="81" t="str">
        <f aca="true">
IF(D1575="폐업","폐업",
IF(AND(V1575="정상",OFFSET(Y1575,0,COUNTA(Y1575:AV1575)-1)="미납"),"미납",
IF(AND(V1575="정상",OFFSET(Y1575,0,COUNTA(Y1575:AV1575)-1)=0),"납부 시작 전",
IF(AND(V1575="정상",OFFSET(Y1575,0,COUNTA(Y1575:AV1575)-1)&gt;=U1575),"정상",
IF(AND(V1575="면제",OFFSET(Y1575,0,COUNTA(Y1575:AV1575)-1)="면제"),"면제",
IF(AND(V1575="면제",OFFSET(Y1575,0,COUNTA(Y1575:AV1575)-1)=0),"면제",
"확인요청"))))))</f>
        <v>면제</v>
      </c>
      <c r="Y1575" s="94" t="s">
        <v>7</v>
      </c>
      <c r="Z1575" s="95" t="s">
        <v>7</v>
      </c>
      <c r="AA1575" s="95" t="s">
        <v>7</v>
      </c>
      <c r="AB1575" s="95" t="s">
        <v>7</v>
      </c>
      <c r="AC1575" s="95" t="s">
        <v>7</v>
      </c>
      <c r="AD1575" s="95" t="s">
        <v>7</v>
      </c>
      <c r="AE1575" s="95" t="s">
        <v>7</v>
      </c>
      <c r="AF1575" s="95" t="s">
        <v>7</v>
      </c>
      <c r="AG1575" s="95" t="s">
        <v>7</v>
      </c>
      <c r="AH1575" s="95" t="s">
        <v>7</v>
      </c>
      <c r="AI1575" s="95" t="s">
        <v>7</v>
      </c>
      <c r="AJ1575" s="96" t="s">
        <v>7</v>
      </c>
      <c r="AK1575" s="97" t="s">
        <v>7</v>
      </c>
      <c r="AL1575" s="95" t="s">
        <v>7</v>
      </c>
      <c r="AM1575" s="90"/>
      <c r="AN1575" s="90"/>
      <c r="AO1575" s="90"/>
      <c r="AP1575" s="90"/>
      <c r="AQ1575" s="90"/>
      <c r="AR1575" s="90"/>
      <c r="AS1575" s="90"/>
      <c r="AT1575" s="90"/>
      <c r="AU1575" s="90"/>
      <c r="AV1575" s="91"/>
      <c r="AX1575" s="92"/>
    </row>
    <row r="1576" customFormat="false" ht="15.65" hidden="false" customHeight="false" outlineLevel="0" collapsed="false">
      <c r="C1576" s="72" t="n">
        <f aca="false">COUNTIFS($D$6:D1576,"&lt;&gt;"&amp;"")</f>
        <v>1571</v>
      </c>
      <c r="D1576" s="73" t="s">
        <v>12</v>
      </c>
      <c r="E1576" s="76" t="str">
        <f aca="false">
IF($D1576="정상",INDEX(임대자산!$D$3:$R$3000,MATCH($F1576,임대자산!$I$3:$I$3000,0),MATCH(E$3,임대자산!$D$3:$R$3,0)),
IF($D1576="폐업",INDEX(폐업정보!$D$3:$R$3000,MATCH($F1576,폐업정보!$I$3:$I$3000,0),MATCH(E$3,폐업정보!$D$3:$R$3,0)),
"Error"))</f>
        <v>경상</v>
      </c>
      <c r="F157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B1571</v>
      </c>
      <c r="G1576" s="76" t="str">
        <f aca="false">F1576&amp;RANDBETWEEN(0,10)</f>
        <v>B157110</v>
      </c>
      <c r="H1576" s="75" t="n">
        <f aca="false">
IF($D1576="정상",INDEX(임대자산!$D$3:$R$3000,MATCH($F1576,임대자산!$I$3:$I$3000,0),MATCH(H$4,임대자산!$D$3:$R$3,0)),
IF($D1576="폐업",INDEX(폐업정보!$D$3:$R$3000,MATCH($F1576,폐업정보!$I$3:$I$3000,0),MATCH(H$4,폐업정보!$D$3:$R$3,0)),
"Error"))</f>
        <v>45603</v>
      </c>
      <c r="I1576" s="75" t="str">
        <f aca="false">
IF($D1576="정상",INDEX(임대자산!$D$3:$R$3000,MATCH($F1576,임대자산!$I$3:$I$3000,0),MATCH(I$4,임대자산!$D$3:$R$3,0)),
IF($D1576="폐업",INDEX(폐업정보!$D$3:$R$3000,MATCH($F1576,폐업정보!$I$3:$I$3000,0),MATCH(I$4,폐업정보!$D$3:$R$3,0)),
"Error"))</f>
        <v>A1571</v>
      </c>
      <c r="J1576" s="75" t="str">
        <f aca="false">
IF($D1576="정상",INDEX(임대자산!$D$3:$R$3000,MATCH($F1576,임대자산!$I$3:$I$3000,0),MATCH(J$4,임대자산!$D$3:$R$3,0)),
IF($D1576="폐업",INDEX(폐업정보!$D$3:$R$3000,MATCH($F1576,폐업정보!$I$3:$I$3000,0),MATCH(J$4,폐업정보!$D$3:$R$3,0)),
"Error"))</f>
        <v>3389300000</v>
      </c>
      <c r="K1576" s="75" t="str">
        <f aca="false">
IF($D1576="정상",INDEX(임대자산!$D$3:$R$3000,MATCH($F1576,임대자산!$I$3:$I$3000,0),MATCH(K$4,임대자산!$D$3:$R$3,0)),
IF($D1576="폐업",INDEX(폐업정보!$D$3:$R$3000,MATCH($F1576,폐업정보!$I$3:$I$3000,0),MATCH(K$4,폐업정보!$D$3:$R$3,0)),
"Error"))</f>
        <v>C1571</v>
      </c>
      <c r="L1576" s="75" t="str">
        <f aca="false">
IF($D1576="정상",INDEX(임대자산!$D$3:$R$3000,MATCH($F1576,임대자산!$I$3:$I$3000,0),MATCH(L$4,임대자산!$D$3:$R$3,0)),
IF($D1576="폐업",INDEX(폐업정보!$D$3:$R$3000,MATCH($F1576,폐업정보!$I$3:$I$3000,0),MATCH(L$4,폐업정보!$D$3:$R$3,0)),
"Error"))</f>
        <v>D1571</v>
      </c>
      <c r="M1576" s="76" t="s">
        <v>96</v>
      </c>
      <c r="N1576" s="77"/>
      <c r="O1576" s="78" t="s">
        <v>97</v>
      </c>
      <c r="P1576" s="79" t="n">
        <f aca="false">COUNTIFS(임대자산!$I:$I,가맹점정보!F1576,임대자산!$N:$N,가맹점정보!P$4)</f>
        <v>0</v>
      </c>
      <c r="Q1576" s="80" t="n">
        <f aca="false">COUNTIFS(임대자산!$I:$I,가맹점정보!F1576,임대자산!$N:$N,가맹점정보!Q$4)</f>
        <v>0</v>
      </c>
      <c r="R1576" s="81" t="n">
        <f aca="false">COUNTIFS(임대자산!$I:$I,가맹점정보!F1576,임대자산!$N:$N,가맹점정보!R$4)</f>
        <v>1</v>
      </c>
      <c r="S1576" s="82" t="n">
        <v>55000</v>
      </c>
      <c r="T1576" s="83" t="n">
        <v>0</v>
      </c>
      <c r="U1576" s="80" t="n">
        <f aca="false">SUM(S1576:T1576)</f>
        <v>55000</v>
      </c>
      <c r="V1576" s="84" t="s">
        <v>12</v>
      </c>
      <c r="W1576" s="80" t="e">
        <f aca="true">
IF(D1576="폐업","폐업",
IF(V1576="면제","면제",
IF(AND(V1576="정상",COUNTIFS(OFFSET(Y1576,0,COUNTA(Y1576:AV1576)-1,1,-4),"미납")&gt;=3),"장기미납",
IF(AND(V1576="정상",OFFSET(Y1576,0,COUNTA(Y1576:AV1576)-1)&gt;=U1576),"정상",
IF(AND(V1576="정상",OFFSET(Y1576,0,COUNTA(Y1576:AV1576)-1)=0),"정상",
"계약서 미작성")))))</f>
        <v>#VALUE!</v>
      </c>
      <c r="X1576" s="81" t="str">
        <f aca="true">
IF(D1576="폐업","폐업",
IF(AND(V1576="정상",OFFSET(Y1576,0,COUNTA(Y1576:AV1576)-1)="미납"),"미납",
IF(AND(V1576="정상",OFFSET(Y1576,0,COUNTA(Y1576:AV1576)-1)=0),"납부 시작 전",
IF(AND(V1576="정상",OFFSET(Y1576,0,COUNTA(Y1576:AV1576)-1)&gt;=U1576),"정상",
IF(AND(V1576="면제",OFFSET(Y1576,0,COUNTA(Y1576:AV1576)-1)="면제"),"면제",
IF(AND(V1576="면제",OFFSET(Y1576,0,COUNTA(Y1576:AV1576)-1)=0),"면제",
"확인요청"))))))</f>
        <v>정상</v>
      </c>
      <c r="Y1576" s="94" t="s">
        <v>62</v>
      </c>
      <c r="Z1576" s="90" t="n">
        <v>55000</v>
      </c>
      <c r="AA1576" s="90" t="n">
        <v>55000</v>
      </c>
      <c r="AB1576" s="90" t="n">
        <v>55000</v>
      </c>
      <c r="AC1576" s="90" t="n">
        <v>55000</v>
      </c>
      <c r="AD1576" s="90" t="n">
        <v>55000</v>
      </c>
      <c r="AE1576" s="90" t="n">
        <v>55000</v>
      </c>
      <c r="AF1576" s="90" t="n">
        <v>55000</v>
      </c>
      <c r="AG1576" s="90" t="n">
        <v>55000</v>
      </c>
      <c r="AH1576" s="90" t="n">
        <v>55000</v>
      </c>
      <c r="AI1576" s="90" t="n">
        <v>55000</v>
      </c>
      <c r="AJ1576" s="91" t="n">
        <v>55000</v>
      </c>
      <c r="AK1576" s="89" t="n">
        <v>55000</v>
      </c>
      <c r="AL1576" s="90" t="n">
        <v>55000</v>
      </c>
      <c r="AM1576" s="90"/>
      <c r="AN1576" s="90"/>
      <c r="AO1576" s="90"/>
      <c r="AP1576" s="90"/>
      <c r="AQ1576" s="90"/>
      <c r="AR1576" s="90"/>
      <c r="AS1576" s="90"/>
      <c r="AT1576" s="90"/>
      <c r="AU1576" s="90"/>
      <c r="AV1576" s="91"/>
      <c r="AX1576" s="92"/>
    </row>
    <row r="1577" customFormat="false" ht="15.65" hidden="false" customHeight="false" outlineLevel="0" collapsed="false">
      <c r="C1577" s="72" t="n">
        <f aca="false">COUNTIFS($D$6:D1577,"&lt;&gt;"&amp;"")</f>
        <v>1572</v>
      </c>
      <c r="D1577" s="73" t="s">
        <v>12</v>
      </c>
      <c r="E1577" s="76" t="str">
        <f aca="false">
IF($D1577="정상",INDEX(임대자산!$D$3:$R$3000,MATCH($F1577,임대자산!$I$3:$I$3000,0),MATCH(E$3,임대자산!$D$3:$R$3,0)),
IF($D1577="폐업",INDEX(폐업정보!$D$3:$R$3000,MATCH($F1577,폐업정보!$I$3:$I$3000,0),MATCH(E$3,폐업정보!$D$3:$R$3,0)),
"Error"))</f>
        <v>서울</v>
      </c>
      <c r="F157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B1572</v>
      </c>
      <c r="G1577" s="76" t="str">
        <f aca="false">F1577&amp;RANDBETWEEN(0,10)</f>
        <v>B15729</v>
      </c>
      <c r="H1577" s="75" t="n">
        <f aca="false">
IF($D1577="정상",INDEX(임대자산!$D$3:$R$3000,MATCH($F1577,임대자산!$I$3:$I$3000,0),MATCH(H$4,임대자산!$D$3:$R$3,0)),
IF($D1577="폐업",INDEX(폐업정보!$D$3:$R$3000,MATCH($F1577,폐업정보!$I$3:$I$3000,0),MATCH(H$4,폐업정보!$D$3:$R$3,0)),
"Error"))</f>
        <v>45713</v>
      </c>
      <c r="I1577" s="75" t="str">
        <f aca="false">
IF($D1577="정상",INDEX(임대자산!$D$3:$R$3000,MATCH($F1577,임대자산!$I$3:$I$3000,0),MATCH(I$4,임대자산!$D$3:$R$3,0)),
IF($D1577="폐업",INDEX(폐업정보!$D$3:$R$3000,MATCH($F1577,폐업정보!$I$3:$I$3000,0),MATCH(I$4,폐업정보!$D$3:$R$3,0)),
"Error"))</f>
        <v>A1572</v>
      </c>
      <c r="J1577" s="75" t="str">
        <f aca="false">
IF($D1577="정상",INDEX(임대자산!$D$3:$R$3000,MATCH($F1577,임대자산!$I$3:$I$3000,0),MATCH(J$4,임대자산!$D$3:$R$3,0)),
IF($D1577="폐업",INDEX(폐업정보!$D$3:$R$3000,MATCH($F1577,폐업정보!$I$3:$I$3000,0),MATCH(J$4,폐업정보!$D$3:$R$3,0)),
"Error"))</f>
        <v>6572900000</v>
      </c>
      <c r="K1577" s="75" t="str">
        <f aca="false">
IF($D1577="정상",INDEX(임대자산!$D$3:$R$3000,MATCH($F1577,임대자산!$I$3:$I$3000,0),MATCH(K$4,임대자산!$D$3:$R$3,0)),
IF($D1577="폐업",INDEX(폐업정보!$D$3:$R$3000,MATCH($F1577,폐업정보!$I$3:$I$3000,0),MATCH(K$4,폐업정보!$D$3:$R$3,0)),
"Error"))</f>
        <v>C1572</v>
      </c>
      <c r="L1577" s="75" t="str">
        <f aca="false">
IF($D1577="정상",INDEX(임대자산!$D$3:$R$3000,MATCH($F1577,임대자산!$I$3:$I$3000,0),MATCH(L$4,임대자산!$D$3:$R$3,0)),
IF($D1577="폐업",INDEX(폐업정보!$D$3:$R$3000,MATCH($F1577,폐업정보!$I$3:$I$3000,0),MATCH(L$4,폐업정보!$D$3:$R$3,0)),
"Error"))</f>
        <v>D1572</v>
      </c>
      <c r="M1577" s="76" t="s">
        <v>96</v>
      </c>
      <c r="N1577" s="77"/>
      <c r="O1577" s="78" t="s">
        <v>97</v>
      </c>
      <c r="P1577" s="79" t="n">
        <f aca="false">COUNTIFS(임대자산!$I:$I,가맹점정보!F1577,임대자산!$N:$N,가맹점정보!P$4)</f>
        <v>0</v>
      </c>
      <c r="Q1577" s="80" t="n">
        <f aca="false">COUNTIFS(임대자산!$I:$I,가맹점정보!F1577,임대자산!$N:$N,가맹점정보!Q$4)</f>
        <v>0</v>
      </c>
      <c r="R1577" s="81" t="n">
        <f aca="false">COUNTIFS(임대자산!$I:$I,가맹점정보!F1577,임대자산!$N:$N,가맹점정보!R$4)</f>
        <v>1</v>
      </c>
      <c r="S1577" s="82" t="n">
        <v>44000</v>
      </c>
      <c r="T1577" s="83" t="n">
        <v>44000</v>
      </c>
      <c r="U1577" s="80" t="n">
        <f aca="false">SUM(S1577:T1577)</f>
        <v>88000</v>
      </c>
      <c r="V1577" s="84" t="s">
        <v>12</v>
      </c>
      <c r="W1577" s="80" t="e">
        <f aca="true">
IF(D1577="폐업","폐업",
IF(V1577="면제","면제",
IF(AND(V1577="정상",COUNTIFS(OFFSET(Y1577,0,COUNTA(Y1577:AV1577)-1,1,-4),"미납")&gt;=3),"장기미납",
IF(AND(V1577="정상",OFFSET(Y1577,0,COUNTA(Y1577:AV1577)-1)&gt;=U1577),"정상",
IF(AND(V1577="정상",OFFSET(Y1577,0,COUNTA(Y1577:AV1577)-1)=0),"정상",
"계약서 미작성")))))</f>
        <v>#VALUE!</v>
      </c>
      <c r="X1577" s="81" t="str">
        <f aca="true">
IF(D1577="폐업","폐업",
IF(AND(V1577="정상",OFFSET(Y1577,0,COUNTA(Y1577:AV1577)-1)="미납"),"미납",
IF(AND(V1577="정상",OFFSET(Y1577,0,COUNTA(Y1577:AV1577)-1)=0),"납부 시작 전",
IF(AND(V1577="정상",OFFSET(Y1577,0,COUNTA(Y1577:AV1577)-1)&gt;=U1577),"정상",
IF(AND(V1577="면제",OFFSET(Y1577,0,COUNTA(Y1577:AV1577)-1)="면제"),"면제",
IF(AND(V1577="면제",OFFSET(Y1577,0,COUNTA(Y1577:AV1577)-1)=0),"면제",
"확인요청"))))))</f>
        <v>정상</v>
      </c>
      <c r="Y1577" s="93" t="n">
        <v>88000</v>
      </c>
      <c r="Z1577" s="90" t="n">
        <v>88000</v>
      </c>
      <c r="AA1577" s="90" t="n">
        <v>88000</v>
      </c>
      <c r="AB1577" s="90" t="n">
        <v>88000</v>
      </c>
      <c r="AC1577" s="90" t="n">
        <v>88000</v>
      </c>
      <c r="AD1577" s="90" t="n">
        <v>88000</v>
      </c>
      <c r="AE1577" s="90" t="n">
        <v>88000</v>
      </c>
      <c r="AF1577" s="90" t="n">
        <v>88000</v>
      </c>
      <c r="AG1577" s="90" t="n">
        <v>88000</v>
      </c>
      <c r="AH1577" s="90" t="n">
        <v>88000</v>
      </c>
      <c r="AI1577" s="90" t="n">
        <v>88000</v>
      </c>
      <c r="AJ1577" s="91" t="n">
        <v>88000</v>
      </c>
      <c r="AK1577" s="89" t="n">
        <v>88000</v>
      </c>
      <c r="AL1577" s="90" t="n">
        <v>88000</v>
      </c>
      <c r="AM1577" s="90"/>
      <c r="AN1577" s="90"/>
      <c r="AO1577" s="90"/>
      <c r="AP1577" s="90"/>
      <c r="AQ1577" s="90"/>
      <c r="AR1577" s="90"/>
      <c r="AS1577" s="90"/>
      <c r="AT1577" s="90"/>
      <c r="AU1577" s="90"/>
      <c r="AV1577" s="91"/>
      <c r="AX1577" s="92"/>
    </row>
    <row r="1578" customFormat="false" ht="15.65" hidden="false" customHeight="false" outlineLevel="0" collapsed="false">
      <c r="C1578" s="72" t="n">
        <f aca="false">COUNTIFS($D$6:D1578,"&lt;&gt;"&amp;"")</f>
        <v>1573</v>
      </c>
      <c r="D1578" s="73" t="s">
        <v>12</v>
      </c>
      <c r="E1578" s="76" t="str">
        <f aca="false">
IF($D1578="정상",INDEX(임대자산!$D$3:$R$3000,MATCH($F1578,임대자산!$I$3:$I$3000,0),MATCH(E$3,임대자산!$D$3:$R$3,0)),
IF($D1578="폐업",INDEX(폐업정보!$D$3:$R$3000,MATCH($F1578,폐업정보!$I$3:$I$3000,0),MATCH(E$3,폐업정보!$D$3:$R$3,0)),
"Error"))</f>
        <v>서울</v>
      </c>
      <c r="F157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B1573</v>
      </c>
      <c r="G1578" s="76" t="str">
        <f aca="false">F1578&amp;RANDBETWEEN(0,10)</f>
        <v>B15730</v>
      </c>
      <c r="H1578" s="75" t="n">
        <f aca="false">
IF($D1578="정상",INDEX(임대자산!$D$3:$R$3000,MATCH($F1578,임대자산!$I$3:$I$3000,0),MATCH(H$4,임대자산!$D$3:$R$3,0)),
IF($D1578="폐업",INDEX(폐업정보!$D$3:$R$3000,MATCH($F1578,폐업정보!$I$3:$I$3000,0),MATCH(H$4,폐업정보!$D$3:$R$3,0)),
"Error"))</f>
        <v>45713</v>
      </c>
      <c r="I1578" s="75" t="str">
        <f aca="false">
IF($D1578="정상",INDEX(임대자산!$D$3:$R$3000,MATCH($F1578,임대자산!$I$3:$I$3000,0),MATCH(I$4,임대자산!$D$3:$R$3,0)),
IF($D1578="폐업",INDEX(폐업정보!$D$3:$R$3000,MATCH($F1578,폐업정보!$I$3:$I$3000,0),MATCH(I$4,폐업정보!$D$3:$R$3,0)),
"Error"))</f>
        <v>A1573</v>
      </c>
      <c r="J1578" s="75" t="str">
        <f aca="false">
IF($D1578="정상",INDEX(임대자산!$D$3:$R$3000,MATCH($F1578,임대자산!$I$3:$I$3000,0),MATCH(J$4,임대자산!$D$3:$R$3,0)),
IF($D1578="폐업",INDEX(폐업정보!$D$3:$R$3000,MATCH($F1578,폐업정보!$I$3:$I$3000,0),MATCH(J$4,폐업정보!$D$3:$R$3,0)),
"Error"))</f>
        <v>8168700000</v>
      </c>
      <c r="K1578" s="75" t="str">
        <f aca="false">
IF($D1578="정상",INDEX(임대자산!$D$3:$R$3000,MATCH($F1578,임대자산!$I$3:$I$3000,0),MATCH(K$4,임대자산!$D$3:$R$3,0)),
IF($D1578="폐업",INDEX(폐업정보!$D$3:$R$3000,MATCH($F1578,폐업정보!$I$3:$I$3000,0),MATCH(K$4,폐업정보!$D$3:$R$3,0)),
"Error"))</f>
        <v>C1573</v>
      </c>
      <c r="L1578" s="75" t="str">
        <f aca="false">
IF($D1578="정상",INDEX(임대자산!$D$3:$R$3000,MATCH($F1578,임대자산!$I$3:$I$3000,0),MATCH(L$4,임대자산!$D$3:$R$3,0)),
IF($D1578="폐업",INDEX(폐업정보!$D$3:$R$3000,MATCH($F1578,폐업정보!$I$3:$I$3000,0),MATCH(L$4,폐업정보!$D$3:$R$3,0)),
"Error"))</f>
        <v>D1573</v>
      </c>
      <c r="M1578" s="76" t="s">
        <v>96</v>
      </c>
      <c r="N1578" s="77"/>
      <c r="O1578" s="78" t="s">
        <v>97</v>
      </c>
      <c r="P1578" s="79" t="n">
        <f aca="false">COUNTIFS(임대자산!$I:$I,가맹점정보!F1578,임대자산!$N:$N,가맹점정보!P$4)</f>
        <v>0</v>
      </c>
      <c r="Q1578" s="80" t="n">
        <f aca="false">COUNTIFS(임대자산!$I:$I,가맹점정보!F1578,임대자산!$N:$N,가맹점정보!Q$4)</f>
        <v>0</v>
      </c>
      <c r="R1578" s="81" t="n">
        <f aca="false">COUNTIFS(임대자산!$I:$I,가맹점정보!F1578,임대자산!$N:$N,가맹점정보!R$4)</f>
        <v>1</v>
      </c>
      <c r="S1578" s="82" t="n">
        <v>88000</v>
      </c>
      <c r="T1578" s="83" t="n">
        <v>0</v>
      </c>
      <c r="U1578" s="80" t="n">
        <f aca="false">SUM(S1578:T1578)</f>
        <v>88000</v>
      </c>
      <c r="V1578" s="84" t="s">
        <v>7</v>
      </c>
      <c r="W1578" s="80" t="str">
        <f aca="true">
IF(D1578="폐업","폐업",
IF(V1578="면제","면제",
IF(AND(V1578="정상",COUNTIFS(OFFSET(Y1578,0,COUNTA(Y1578:AV1578)-1,1,-4),"미납")&gt;=3),"장기미납",
IF(AND(V1578="정상",OFFSET(Y1578,0,COUNTA(Y1578:AV1578)-1)&gt;=U1578),"정상",
IF(AND(V1578="정상",OFFSET(Y1578,0,COUNTA(Y1578:AV1578)-1)=0),"정상",
"계약서 미작성")))))</f>
        <v>면제</v>
      </c>
      <c r="X1578" s="81" t="str">
        <f aca="true">
IF(D1578="폐업","폐업",
IF(AND(V1578="정상",OFFSET(Y1578,0,COUNTA(Y1578:AV1578)-1)="미납"),"미납",
IF(AND(V1578="정상",OFFSET(Y1578,0,COUNTA(Y1578:AV1578)-1)=0),"납부 시작 전",
IF(AND(V1578="정상",OFFSET(Y1578,0,COUNTA(Y1578:AV1578)-1)&gt;=U1578),"정상",
IF(AND(V1578="면제",OFFSET(Y1578,0,COUNTA(Y1578:AV1578)-1)="면제"),"면제",
IF(AND(V1578="면제",OFFSET(Y1578,0,COUNTA(Y1578:AV1578)-1)=0),"면제",
"확인요청"))))))</f>
        <v>면제</v>
      </c>
      <c r="Y1578" s="94" t="s">
        <v>7</v>
      </c>
      <c r="Z1578" s="95" t="s">
        <v>7</v>
      </c>
      <c r="AA1578" s="95" t="s">
        <v>7</v>
      </c>
      <c r="AB1578" s="95" t="s">
        <v>7</v>
      </c>
      <c r="AC1578" s="95" t="s">
        <v>7</v>
      </c>
      <c r="AD1578" s="95" t="s">
        <v>7</v>
      </c>
      <c r="AE1578" s="95" t="s">
        <v>7</v>
      </c>
      <c r="AF1578" s="95" t="s">
        <v>7</v>
      </c>
      <c r="AG1578" s="95" t="s">
        <v>7</v>
      </c>
      <c r="AH1578" s="95" t="s">
        <v>7</v>
      </c>
      <c r="AI1578" s="95" t="s">
        <v>7</v>
      </c>
      <c r="AJ1578" s="96" t="s">
        <v>7</v>
      </c>
      <c r="AK1578" s="97" t="s">
        <v>7</v>
      </c>
      <c r="AL1578" s="95" t="s">
        <v>7</v>
      </c>
      <c r="AM1578" s="90"/>
      <c r="AN1578" s="90"/>
      <c r="AO1578" s="90"/>
      <c r="AP1578" s="90"/>
      <c r="AQ1578" s="90"/>
      <c r="AR1578" s="90"/>
      <c r="AS1578" s="90"/>
      <c r="AT1578" s="90"/>
      <c r="AU1578" s="90"/>
      <c r="AV1578" s="91"/>
      <c r="AX1578" s="92"/>
    </row>
    <row r="1579" customFormat="false" ht="15.65" hidden="false" customHeight="false" outlineLevel="0" collapsed="false">
      <c r="C1579" s="72" t="n">
        <f aca="false">COUNTIFS($D$6:D1579,"&lt;&gt;"&amp;"")</f>
        <v>1574</v>
      </c>
      <c r="D1579" s="73" t="s">
        <v>12</v>
      </c>
      <c r="E1579" s="76" t="str">
        <f aca="false">
IF($D1579="정상",INDEX(임대자산!$D$3:$R$3000,MATCH($F1579,임대자산!$I$3:$I$3000,0),MATCH(E$3,임대자산!$D$3:$R$3,0)),
IF($D1579="폐업",INDEX(폐업정보!$D$3:$R$3000,MATCH($F1579,폐업정보!$I$3:$I$3000,0),MATCH(E$3,폐업정보!$D$3:$R$3,0)),
"Error"))</f>
        <v>서울</v>
      </c>
      <c r="F157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B1574</v>
      </c>
      <c r="G1579" s="76" t="str">
        <f aca="false">F1579&amp;RANDBETWEEN(0,10)</f>
        <v>B15742</v>
      </c>
      <c r="H1579" s="75" t="n">
        <f aca="false">
IF($D1579="정상",INDEX(임대자산!$D$3:$R$3000,MATCH($F1579,임대자산!$I$3:$I$3000,0),MATCH(H$4,임대자산!$D$3:$R$3,0)),
IF($D1579="폐업",INDEX(폐업정보!$D$3:$R$3000,MATCH($F1579,폐업정보!$I$3:$I$3000,0),MATCH(H$4,폐업정보!$D$3:$R$3,0)),
"Error"))</f>
        <v>45617</v>
      </c>
      <c r="I1579" s="75" t="str">
        <f aca="false">
IF($D1579="정상",INDEX(임대자산!$D$3:$R$3000,MATCH($F1579,임대자산!$I$3:$I$3000,0),MATCH(I$4,임대자산!$D$3:$R$3,0)),
IF($D1579="폐업",INDEX(폐업정보!$D$3:$R$3000,MATCH($F1579,폐업정보!$I$3:$I$3000,0),MATCH(I$4,폐업정보!$D$3:$R$3,0)),
"Error"))</f>
        <v>A1574</v>
      </c>
      <c r="J1579" s="75" t="str">
        <f aca="false">
IF($D1579="정상",INDEX(임대자산!$D$3:$R$3000,MATCH($F1579,임대자산!$I$3:$I$3000,0),MATCH(J$4,임대자산!$D$3:$R$3,0)),
IF($D1579="폐업",INDEX(폐업정보!$D$3:$R$3000,MATCH($F1579,폐업정보!$I$3:$I$3000,0),MATCH(J$4,폐업정보!$D$3:$R$3,0)),
"Error"))</f>
        <v>1328400000</v>
      </c>
      <c r="K1579" s="75" t="str">
        <f aca="false">
IF($D1579="정상",INDEX(임대자산!$D$3:$R$3000,MATCH($F1579,임대자산!$I$3:$I$3000,0),MATCH(K$4,임대자산!$D$3:$R$3,0)),
IF($D1579="폐업",INDEX(폐업정보!$D$3:$R$3000,MATCH($F1579,폐업정보!$I$3:$I$3000,0),MATCH(K$4,폐업정보!$D$3:$R$3,0)),
"Error"))</f>
        <v>C1574</v>
      </c>
      <c r="L1579" s="75" t="str">
        <f aca="false">
IF($D1579="정상",INDEX(임대자산!$D$3:$R$3000,MATCH($F1579,임대자산!$I$3:$I$3000,0),MATCH(L$4,임대자산!$D$3:$R$3,0)),
IF($D1579="폐업",INDEX(폐업정보!$D$3:$R$3000,MATCH($F1579,폐업정보!$I$3:$I$3000,0),MATCH(L$4,폐업정보!$D$3:$R$3,0)),
"Error"))</f>
        <v>D1574</v>
      </c>
      <c r="M1579" s="76" t="s">
        <v>96</v>
      </c>
      <c r="N1579" s="77"/>
      <c r="O1579" s="78" t="s">
        <v>97</v>
      </c>
      <c r="P1579" s="79" t="n">
        <f aca="false">COUNTIFS(임대자산!$I:$I,가맹점정보!F1579,임대자산!$N:$N,가맹점정보!P$4)</f>
        <v>0</v>
      </c>
      <c r="Q1579" s="80" t="n">
        <f aca="false">COUNTIFS(임대자산!$I:$I,가맹점정보!F1579,임대자산!$N:$N,가맹점정보!Q$4)</f>
        <v>0</v>
      </c>
      <c r="R1579" s="81" t="n">
        <f aca="false">COUNTIFS(임대자산!$I:$I,가맹점정보!F1579,임대자산!$N:$N,가맹점정보!R$4)</f>
        <v>1</v>
      </c>
      <c r="S1579" s="82" t="n">
        <v>55000</v>
      </c>
      <c r="T1579" s="83" t="n">
        <v>0</v>
      </c>
      <c r="U1579" s="80" t="n">
        <f aca="false">SUM(S1579:T1579)</f>
        <v>55000</v>
      </c>
      <c r="V1579" s="84" t="s">
        <v>12</v>
      </c>
      <c r="W1579" s="80" t="e">
        <f aca="true">
IF(D1579="폐업","폐업",
IF(V1579="면제","면제",
IF(AND(V1579="정상",COUNTIFS(OFFSET(Y1579,0,COUNTA(Y1579:AV1579)-1,1,-4),"미납")&gt;=3),"장기미납",
IF(AND(V1579="정상",OFFSET(Y1579,0,COUNTA(Y1579:AV1579)-1)&gt;=U1579),"정상",
IF(AND(V1579="정상",OFFSET(Y1579,0,COUNTA(Y1579:AV1579)-1)=0),"정상",
"계약서 미작성")))))</f>
        <v>#VALUE!</v>
      </c>
      <c r="X1579" s="81" t="str">
        <f aca="true">
IF(D1579="폐업","폐업",
IF(AND(V1579="정상",OFFSET(Y1579,0,COUNTA(Y1579:AV1579)-1)="미납"),"미납",
IF(AND(V1579="정상",OFFSET(Y1579,0,COUNTA(Y1579:AV1579)-1)=0),"납부 시작 전",
IF(AND(V1579="정상",OFFSET(Y1579,0,COUNTA(Y1579:AV1579)-1)&gt;=U1579),"정상",
IF(AND(V1579="면제",OFFSET(Y1579,0,COUNTA(Y1579:AV1579)-1)="면제"),"면제",
IF(AND(V1579="면제",OFFSET(Y1579,0,COUNTA(Y1579:AV1579)-1)=0),"면제",
"확인요청"))))))</f>
        <v>미납</v>
      </c>
      <c r="Y1579" s="93" t="n">
        <v>55000</v>
      </c>
      <c r="Z1579" s="90" t="n">
        <v>55000</v>
      </c>
      <c r="AA1579" s="90" t="n">
        <v>55000</v>
      </c>
      <c r="AB1579" s="90" t="n">
        <v>55000</v>
      </c>
      <c r="AC1579" s="90" t="n">
        <v>55000</v>
      </c>
      <c r="AD1579" s="90" t="n">
        <v>55000</v>
      </c>
      <c r="AE1579" s="90" t="n">
        <v>55000</v>
      </c>
      <c r="AF1579" s="90" t="n">
        <v>55000</v>
      </c>
      <c r="AG1579" s="90" t="n">
        <v>55000</v>
      </c>
      <c r="AH1579" s="90" t="n">
        <v>55000</v>
      </c>
      <c r="AI1579" s="95" t="s">
        <v>62</v>
      </c>
      <c r="AJ1579" s="96" t="s">
        <v>62</v>
      </c>
      <c r="AK1579" s="97" t="s">
        <v>62</v>
      </c>
      <c r="AL1579" s="95" t="s">
        <v>62</v>
      </c>
      <c r="AM1579" s="90"/>
      <c r="AN1579" s="90"/>
      <c r="AO1579" s="90"/>
      <c r="AP1579" s="90"/>
      <c r="AQ1579" s="90"/>
      <c r="AR1579" s="90"/>
      <c r="AS1579" s="90"/>
      <c r="AT1579" s="90"/>
      <c r="AU1579" s="90"/>
      <c r="AV1579" s="91"/>
      <c r="AX1579" s="92"/>
    </row>
    <row r="1580" customFormat="false" ht="15.65" hidden="false" customHeight="false" outlineLevel="0" collapsed="false">
      <c r="C1580" s="72" t="n">
        <f aca="false">COUNTIFS($D$6:D1580,"&lt;&gt;"&amp;"")</f>
        <v>1575</v>
      </c>
      <c r="D1580" s="73" t="s">
        <v>12</v>
      </c>
      <c r="E1580" s="76" t="str">
        <f aca="false">
IF($D1580="정상",INDEX(임대자산!$D$3:$R$3000,MATCH($F1580,임대자산!$I$3:$I$3000,0),MATCH(E$3,임대자산!$D$3:$R$3,0)),
IF($D1580="폐업",INDEX(폐업정보!$D$3:$R$3000,MATCH($F1580,폐업정보!$I$3:$I$3000,0),MATCH(E$3,폐업정보!$D$3:$R$3,0)),
"Error"))</f>
        <v>서울</v>
      </c>
      <c r="F158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B1575</v>
      </c>
      <c r="G1580" s="76" t="str">
        <f aca="false">F1580&amp;RANDBETWEEN(0,10)</f>
        <v>B15759</v>
      </c>
      <c r="H1580" s="75" t="n">
        <f aca="false">
IF($D1580="정상",INDEX(임대자산!$D$3:$R$3000,MATCH($F1580,임대자산!$I$3:$I$3000,0),MATCH(H$4,임대자산!$D$3:$R$3,0)),
IF($D1580="폐업",INDEX(폐업정보!$D$3:$R$3000,MATCH($F1580,폐업정보!$I$3:$I$3000,0),MATCH(H$4,폐업정보!$D$3:$R$3,0)),
"Error"))</f>
        <v>45622</v>
      </c>
      <c r="I1580" s="75" t="str">
        <f aca="false">
IF($D1580="정상",INDEX(임대자산!$D$3:$R$3000,MATCH($F1580,임대자산!$I$3:$I$3000,0),MATCH(I$4,임대자산!$D$3:$R$3,0)),
IF($D1580="폐업",INDEX(폐업정보!$D$3:$R$3000,MATCH($F1580,폐업정보!$I$3:$I$3000,0),MATCH(I$4,폐업정보!$D$3:$R$3,0)),
"Error"))</f>
        <v>A1575</v>
      </c>
      <c r="J1580" s="75" t="str">
        <f aca="false">
IF($D1580="정상",INDEX(임대자산!$D$3:$R$3000,MATCH($F1580,임대자산!$I$3:$I$3000,0),MATCH(J$4,임대자산!$D$3:$R$3,0)),
IF($D1580="폐업",INDEX(폐업정보!$D$3:$R$3000,MATCH($F1580,폐업정보!$I$3:$I$3000,0),MATCH(J$4,폐업정보!$D$3:$R$3,0)),
"Error"))</f>
        <v>5976100000</v>
      </c>
      <c r="K1580" s="75" t="str">
        <f aca="false">
IF($D1580="정상",INDEX(임대자산!$D$3:$R$3000,MATCH($F1580,임대자산!$I$3:$I$3000,0),MATCH(K$4,임대자산!$D$3:$R$3,0)),
IF($D1580="폐업",INDEX(폐업정보!$D$3:$R$3000,MATCH($F1580,폐업정보!$I$3:$I$3000,0),MATCH(K$4,폐업정보!$D$3:$R$3,0)),
"Error"))</f>
        <v>C1575</v>
      </c>
      <c r="L1580" s="75" t="str">
        <f aca="false">
IF($D1580="정상",INDEX(임대자산!$D$3:$R$3000,MATCH($F1580,임대자산!$I$3:$I$3000,0),MATCH(L$4,임대자산!$D$3:$R$3,0)),
IF($D1580="폐업",INDEX(폐업정보!$D$3:$R$3000,MATCH($F1580,폐업정보!$I$3:$I$3000,0),MATCH(L$4,폐업정보!$D$3:$R$3,0)),
"Error"))</f>
        <v>D1575</v>
      </c>
      <c r="M1580" s="76" t="s">
        <v>96</v>
      </c>
      <c r="N1580" s="77"/>
      <c r="O1580" s="78" t="s">
        <v>97</v>
      </c>
      <c r="P1580" s="79" t="n">
        <f aca="false">COUNTIFS(임대자산!$I:$I,가맹점정보!F1580,임대자산!$N:$N,가맹점정보!P$4)</f>
        <v>0</v>
      </c>
      <c r="Q1580" s="80" t="n">
        <f aca="false">COUNTIFS(임대자산!$I:$I,가맹점정보!F1580,임대자산!$N:$N,가맹점정보!Q$4)</f>
        <v>0</v>
      </c>
      <c r="R1580" s="81" t="n">
        <f aca="false">COUNTIFS(임대자산!$I:$I,가맹점정보!F1580,임대자산!$N:$N,가맹점정보!R$4)</f>
        <v>1</v>
      </c>
      <c r="S1580" s="82" t="n">
        <v>55000</v>
      </c>
      <c r="T1580" s="83" t="n">
        <v>0</v>
      </c>
      <c r="U1580" s="80" t="n">
        <f aca="false">SUM(S1580:T1580)</f>
        <v>55000</v>
      </c>
      <c r="V1580" s="84" t="s">
        <v>12</v>
      </c>
      <c r="W1580" s="80" t="e">
        <f aca="true">
IF(D1580="폐업","폐업",
IF(V1580="면제","면제",
IF(AND(V1580="정상",COUNTIFS(OFFSET(Y1580,0,COUNTA(Y1580:AV1580)-1,1,-4),"미납")&gt;=3),"장기미납",
IF(AND(V1580="정상",OFFSET(Y1580,0,COUNTA(Y1580:AV1580)-1)&gt;=U1580),"정상",
IF(AND(V1580="정상",OFFSET(Y1580,0,COUNTA(Y1580:AV1580)-1)=0),"정상",
"계약서 미작성")))))</f>
        <v>#VALUE!</v>
      </c>
      <c r="X1580" s="81" t="str">
        <f aca="true">
IF(D1580="폐업","폐업",
IF(AND(V1580="정상",OFFSET(Y1580,0,COUNTA(Y1580:AV1580)-1)="미납"),"미납",
IF(AND(V1580="정상",OFFSET(Y1580,0,COUNTA(Y1580:AV1580)-1)=0),"납부 시작 전",
IF(AND(V1580="정상",OFFSET(Y1580,0,COUNTA(Y1580:AV1580)-1)&gt;=U1580),"정상",
IF(AND(V1580="면제",OFFSET(Y1580,0,COUNTA(Y1580:AV1580)-1)="면제"),"면제",
IF(AND(V1580="면제",OFFSET(Y1580,0,COUNTA(Y1580:AV1580)-1)=0),"면제",
"확인요청"))))))</f>
        <v>정상</v>
      </c>
      <c r="Y1580" s="93" t="n">
        <v>55000</v>
      </c>
      <c r="Z1580" s="90" t="n">
        <v>55000</v>
      </c>
      <c r="AA1580" s="90" t="n">
        <v>55000</v>
      </c>
      <c r="AB1580" s="90" t="n">
        <v>55000</v>
      </c>
      <c r="AC1580" s="90" t="n">
        <v>55000</v>
      </c>
      <c r="AD1580" s="90" t="n">
        <v>55000</v>
      </c>
      <c r="AE1580" s="90" t="n">
        <v>55000</v>
      </c>
      <c r="AF1580" s="90" t="n">
        <v>55000</v>
      </c>
      <c r="AG1580" s="90" t="n">
        <v>55000</v>
      </c>
      <c r="AH1580" s="90" t="n">
        <v>55000</v>
      </c>
      <c r="AI1580" s="90" t="n">
        <v>55000</v>
      </c>
      <c r="AJ1580" s="91" t="n">
        <v>55000</v>
      </c>
      <c r="AK1580" s="89" t="n">
        <v>55000</v>
      </c>
      <c r="AL1580" s="90" t="n">
        <v>55000</v>
      </c>
      <c r="AM1580" s="90"/>
      <c r="AN1580" s="90"/>
      <c r="AO1580" s="90"/>
      <c r="AP1580" s="90"/>
      <c r="AQ1580" s="90"/>
      <c r="AR1580" s="90"/>
      <c r="AS1580" s="90"/>
      <c r="AT1580" s="90"/>
      <c r="AU1580" s="90"/>
      <c r="AV1580" s="91"/>
      <c r="AX1580" s="92"/>
    </row>
    <row r="1581" customFormat="false" ht="15.65" hidden="false" customHeight="false" outlineLevel="0" collapsed="false">
      <c r="C1581" s="72" t="n">
        <f aca="false">COUNTIFS($D$6:D1581,"&lt;&gt;"&amp;"")</f>
        <v>1576</v>
      </c>
      <c r="D1581" s="73" t="s">
        <v>12</v>
      </c>
      <c r="E1581" s="76" t="str">
        <f aca="false">
IF($D1581="정상",INDEX(임대자산!$D$3:$R$3000,MATCH($F1581,임대자산!$I$3:$I$3000,0),MATCH(E$3,임대자산!$D$3:$R$3,0)),
IF($D1581="폐업",INDEX(폐업정보!$D$3:$R$3000,MATCH($F1581,폐업정보!$I$3:$I$3000,0),MATCH(E$3,폐업정보!$D$3:$R$3,0)),
"Error"))</f>
        <v>서울</v>
      </c>
      <c r="F158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B1576</v>
      </c>
      <c r="G1581" s="76" t="str">
        <f aca="false">F1581&amp;RANDBETWEEN(0,10)</f>
        <v>B15766</v>
      </c>
      <c r="H1581" s="75" t="n">
        <f aca="false">
IF($D1581="정상",INDEX(임대자산!$D$3:$R$3000,MATCH($F1581,임대자산!$I$3:$I$3000,0),MATCH(H$4,임대자산!$D$3:$R$3,0)),
IF($D1581="폐업",INDEX(폐업정보!$D$3:$R$3000,MATCH($F1581,폐업정보!$I$3:$I$3000,0),MATCH(H$4,폐업정보!$D$3:$R$3,0)),
"Error"))</f>
        <v>45622</v>
      </c>
      <c r="I1581" s="75" t="str">
        <f aca="false">
IF($D1581="정상",INDEX(임대자산!$D$3:$R$3000,MATCH($F1581,임대자산!$I$3:$I$3000,0),MATCH(I$4,임대자산!$D$3:$R$3,0)),
IF($D1581="폐업",INDEX(폐업정보!$D$3:$R$3000,MATCH($F1581,폐업정보!$I$3:$I$3000,0),MATCH(I$4,폐업정보!$D$3:$R$3,0)),
"Error"))</f>
        <v>A1576</v>
      </c>
      <c r="J1581" s="75" t="str">
        <f aca="false">
IF($D1581="정상",INDEX(임대자산!$D$3:$R$3000,MATCH($F1581,임대자산!$I$3:$I$3000,0),MATCH(J$4,임대자산!$D$3:$R$3,0)),
IF($D1581="폐업",INDEX(폐업정보!$D$3:$R$3000,MATCH($F1581,폐업정보!$I$3:$I$3000,0),MATCH(J$4,폐업정보!$D$3:$R$3,0)),
"Error"))</f>
        <v>5485600000</v>
      </c>
      <c r="K1581" s="75" t="str">
        <f aca="false">
IF($D1581="정상",INDEX(임대자산!$D$3:$R$3000,MATCH($F1581,임대자산!$I$3:$I$3000,0),MATCH(K$4,임대자산!$D$3:$R$3,0)),
IF($D1581="폐업",INDEX(폐업정보!$D$3:$R$3000,MATCH($F1581,폐업정보!$I$3:$I$3000,0),MATCH(K$4,폐업정보!$D$3:$R$3,0)),
"Error"))</f>
        <v>C1576</v>
      </c>
      <c r="L1581" s="75" t="str">
        <f aca="false">
IF($D1581="정상",INDEX(임대자산!$D$3:$R$3000,MATCH($F1581,임대자산!$I$3:$I$3000,0),MATCH(L$4,임대자산!$D$3:$R$3,0)),
IF($D1581="폐업",INDEX(폐업정보!$D$3:$R$3000,MATCH($F1581,폐업정보!$I$3:$I$3000,0),MATCH(L$4,폐업정보!$D$3:$R$3,0)),
"Error"))</f>
        <v>D1576</v>
      </c>
      <c r="M1581" s="76" t="s">
        <v>96</v>
      </c>
      <c r="N1581" s="77"/>
      <c r="O1581" s="78" t="s">
        <v>97</v>
      </c>
      <c r="P1581" s="79" t="n">
        <f aca="false">COUNTIFS(임대자산!$I:$I,가맹점정보!F1581,임대자산!$N:$N,가맹점정보!P$4)</f>
        <v>0</v>
      </c>
      <c r="Q1581" s="80" t="n">
        <f aca="false">COUNTIFS(임대자산!$I:$I,가맹점정보!F1581,임대자산!$N:$N,가맹점정보!Q$4)</f>
        <v>0</v>
      </c>
      <c r="R1581" s="81" t="n">
        <f aca="false">COUNTIFS(임대자산!$I:$I,가맹점정보!F1581,임대자산!$N:$N,가맹점정보!R$4)</f>
        <v>1</v>
      </c>
      <c r="S1581" s="82" t="n">
        <v>55000</v>
      </c>
      <c r="T1581" s="83" t="n">
        <v>0</v>
      </c>
      <c r="U1581" s="80" t="n">
        <f aca="false">SUM(S1581:T1581)</f>
        <v>55000</v>
      </c>
      <c r="V1581" s="84" t="s">
        <v>12</v>
      </c>
      <c r="W1581" s="80" t="e">
        <f aca="true">
IF(D1581="폐업","폐업",
IF(V1581="면제","면제",
IF(AND(V1581="정상",COUNTIFS(OFFSET(Y1581,0,COUNTA(Y1581:AV1581)-1,1,-4),"미납")&gt;=3),"장기미납",
IF(AND(V1581="정상",OFFSET(Y1581,0,COUNTA(Y1581:AV1581)-1)&gt;=U1581),"정상",
IF(AND(V1581="정상",OFFSET(Y1581,0,COUNTA(Y1581:AV1581)-1)=0),"정상",
"계약서 미작성")))))</f>
        <v>#VALUE!</v>
      </c>
      <c r="X1581" s="81" t="str">
        <f aca="true">
IF(D1581="폐업","폐업",
IF(AND(V1581="정상",OFFSET(Y1581,0,COUNTA(Y1581:AV1581)-1)="미납"),"미납",
IF(AND(V1581="정상",OFFSET(Y1581,0,COUNTA(Y1581:AV1581)-1)=0),"납부 시작 전",
IF(AND(V1581="정상",OFFSET(Y1581,0,COUNTA(Y1581:AV1581)-1)&gt;=U1581),"정상",
IF(AND(V1581="면제",OFFSET(Y1581,0,COUNTA(Y1581:AV1581)-1)="면제"),"면제",
IF(AND(V1581="면제",OFFSET(Y1581,0,COUNTA(Y1581:AV1581)-1)=0),"면제",
"확인요청"))))))</f>
        <v>정상</v>
      </c>
      <c r="Y1581" s="93" t="n">
        <v>55000</v>
      </c>
      <c r="Z1581" s="90" t="n">
        <v>55000</v>
      </c>
      <c r="AA1581" s="90" t="n">
        <v>55000</v>
      </c>
      <c r="AB1581" s="90" t="n">
        <v>55000</v>
      </c>
      <c r="AC1581" s="90" t="n">
        <v>55000</v>
      </c>
      <c r="AD1581" s="90" t="n">
        <v>55000</v>
      </c>
      <c r="AE1581" s="90" t="n">
        <v>55000</v>
      </c>
      <c r="AF1581" s="90" t="n">
        <v>55000</v>
      </c>
      <c r="AG1581" s="90" t="n">
        <v>55000</v>
      </c>
      <c r="AH1581" s="90" t="n">
        <v>55000</v>
      </c>
      <c r="AI1581" s="90" t="n">
        <v>55000</v>
      </c>
      <c r="AJ1581" s="91" t="n">
        <v>55000</v>
      </c>
      <c r="AK1581" s="89" t="n">
        <v>55000</v>
      </c>
      <c r="AL1581" s="90" t="n">
        <v>55000</v>
      </c>
      <c r="AM1581" s="90"/>
      <c r="AN1581" s="90"/>
      <c r="AO1581" s="90"/>
      <c r="AP1581" s="90"/>
      <c r="AQ1581" s="90"/>
      <c r="AR1581" s="90"/>
      <c r="AS1581" s="90"/>
      <c r="AT1581" s="90"/>
      <c r="AU1581" s="90"/>
      <c r="AV1581" s="91"/>
      <c r="AX1581" s="92"/>
    </row>
    <row r="1582" customFormat="false" ht="15.65" hidden="false" customHeight="false" outlineLevel="0" collapsed="false">
      <c r="C1582" s="72" t="n">
        <f aca="false">COUNTIFS($D$6:D1582,"&lt;&gt;"&amp;"")</f>
        <v>1577</v>
      </c>
      <c r="D1582" s="73" t="s">
        <v>12</v>
      </c>
      <c r="E1582" s="76" t="str">
        <f aca="false">
IF($D1582="정상",INDEX(임대자산!$D$3:$R$3000,MATCH($F1582,임대자산!$I$3:$I$3000,0),MATCH(E$3,임대자산!$D$3:$R$3,0)),
IF($D1582="폐업",INDEX(폐업정보!$D$3:$R$3000,MATCH($F1582,폐업정보!$I$3:$I$3000,0),MATCH(E$3,폐업정보!$D$3:$R$3,0)),
"Error"))</f>
        <v>강원</v>
      </c>
      <c r="F158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B1577</v>
      </c>
      <c r="G1582" s="76" t="str">
        <f aca="false">F1582&amp;RANDBETWEEN(0,10)</f>
        <v>B157710</v>
      </c>
      <c r="H1582" s="75" t="n">
        <f aca="false">
IF($D1582="정상",INDEX(임대자산!$D$3:$R$3000,MATCH($F1582,임대자산!$I$3:$I$3000,0),MATCH(H$4,임대자산!$D$3:$R$3,0)),
IF($D1582="폐업",INDEX(폐업정보!$D$3:$R$3000,MATCH($F1582,폐업정보!$I$3:$I$3000,0),MATCH(H$4,폐업정보!$D$3:$R$3,0)),
"Error"))</f>
        <v>45628</v>
      </c>
      <c r="I1582" s="75" t="str">
        <f aca="false">
IF($D1582="정상",INDEX(임대자산!$D$3:$R$3000,MATCH($F1582,임대자산!$I$3:$I$3000,0),MATCH(I$4,임대자산!$D$3:$R$3,0)),
IF($D1582="폐업",INDEX(폐업정보!$D$3:$R$3000,MATCH($F1582,폐업정보!$I$3:$I$3000,0),MATCH(I$4,폐업정보!$D$3:$R$3,0)),
"Error"))</f>
        <v>A1577</v>
      </c>
      <c r="J1582" s="75" t="str">
        <f aca="false">
IF($D1582="정상",INDEX(임대자산!$D$3:$R$3000,MATCH($F1582,임대자산!$I$3:$I$3000,0),MATCH(J$4,임대자산!$D$3:$R$3,0)),
IF($D1582="폐업",INDEX(폐업정보!$D$3:$R$3000,MATCH($F1582,폐업정보!$I$3:$I$3000,0),MATCH(J$4,폐업정보!$D$3:$R$3,0)),
"Error"))</f>
        <v>3373000000</v>
      </c>
      <c r="K1582" s="75" t="str">
        <f aca="false">
IF($D1582="정상",INDEX(임대자산!$D$3:$R$3000,MATCH($F1582,임대자산!$I$3:$I$3000,0),MATCH(K$4,임대자산!$D$3:$R$3,0)),
IF($D1582="폐업",INDEX(폐업정보!$D$3:$R$3000,MATCH($F1582,폐업정보!$I$3:$I$3000,0),MATCH(K$4,폐업정보!$D$3:$R$3,0)),
"Error"))</f>
        <v>C1577</v>
      </c>
      <c r="L1582" s="75" t="str">
        <f aca="false">
IF($D1582="정상",INDEX(임대자산!$D$3:$R$3000,MATCH($F1582,임대자산!$I$3:$I$3000,0),MATCH(L$4,임대자산!$D$3:$R$3,0)),
IF($D1582="폐업",INDEX(폐업정보!$D$3:$R$3000,MATCH($F1582,폐업정보!$I$3:$I$3000,0),MATCH(L$4,폐업정보!$D$3:$R$3,0)),
"Error"))</f>
        <v>D1577</v>
      </c>
      <c r="M1582" s="76" t="s">
        <v>96</v>
      </c>
      <c r="N1582" s="77"/>
      <c r="O1582" s="78" t="s">
        <v>97</v>
      </c>
      <c r="P1582" s="79" t="n">
        <f aca="false">COUNTIFS(임대자산!$I:$I,가맹점정보!F1582,임대자산!$N:$N,가맹점정보!P$4)</f>
        <v>0</v>
      </c>
      <c r="Q1582" s="80" t="n">
        <f aca="false">COUNTIFS(임대자산!$I:$I,가맹점정보!F1582,임대자산!$N:$N,가맹점정보!Q$4)</f>
        <v>0</v>
      </c>
      <c r="R1582" s="81" t="n">
        <f aca="false">COUNTIFS(임대자산!$I:$I,가맹점정보!F1582,임대자산!$N:$N,가맹점정보!R$4)</f>
        <v>1</v>
      </c>
      <c r="S1582" s="82" t="n">
        <v>55000</v>
      </c>
      <c r="T1582" s="83" t="n">
        <v>0</v>
      </c>
      <c r="U1582" s="80" t="n">
        <f aca="false">SUM(S1582:T1582)</f>
        <v>55000</v>
      </c>
      <c r="V1582" s="84" t="s">
        <v>12</v>
      </c>
      <c r="W1582" s="80" t="e">
        <f aca="true">
IF(D1582="폐업","폐업",
IF(V1582="면제","면제",
IF(AND(V1582="정상",COUNTIFS(OFFSET(Y1582,0,COUNTA(Y1582:AV1582)-1,1,-4),"미납")&gt;=3),"장기미납",
IF(AND(V1582="정상",OFFSET(Y1582,0,COUNTA(Y1582:AV1582)-1)&gt;=U1582),"정상",
IF(AND(V1582="정상",OFFSET(Y1582,0,COUNTA(Y1582:AV1582)-1)=0),"정상",
"계약서 미작성")))))</f>
        <v>#VALUE!</v>
      </c>
      <c r="X1582" s="81" t="str">
        <f aca="true">
IF(D1582="폐업","폐업",
IF(AND(V1582="정상",OFFSET(Y1582,0,COUNTA(Y1582:AV1582)-1)="미납"),"미납",
IF(AND(V1582="정상",OFFSET(Y1582,0,COUNTA(Y1582:AV1582)-1)=0),"납부 시작 전",
IF(AND(V1582="정상",OFFSET(Y1582,0,COUNTA(Y1582:AV1582)-1)&gt;=U1582),"정상",
IF(AND(V1582="면제",OFFSET(Y1582,0,COUNTA(Y1582:AV1582)-1)="면제"),"면제",
IF(AND(V1582="면제",OFFSET(Y1582,0,COUNTA(Y1582:AV1582)-1)=0),"면제",
"확인요청"))))))</f>
        <v>미납</v>
      </c>
      <c r="Y1582" s="94" t="s">
        <v>62</v>
      </c>
      <c r="Z1582" s="90" t="n">
        <v>55000</v>
      </c>
      <c r="AA1582" s="90" t="n">
        <v>55000</v>
      </c>
      <c r="AB1582" s="90" t="n">
        <v>55000</v>
      </c>
      <c r="AC1582" s="90" t="n">
        <v>55000</v>
      </c>
      <c r="AD1582" s="90" t="n">
        <v>55000</v>
      </c>
      <c r="AE1582" s="90" t="n">
        <v>55000</v>
      </c>
      <c r="AF1582" s="90" t="n">
        <v>55000</v>
      </c>
      <c r="AG1582" s="90" t="n">
        <v>55000</v>
      </c>
      <c r="AH1582" s="90" t="n">
        <v>55000</v>
      </c>
      <c r="AI1582" s="90" t="n">
        <v>55000</v>
      </c>
      <c r="AJ1582" s="91" t="n">
        <v>55000</v>
      </c>
      <c r="AK1582" s="89" t="n">
        <v>55000</v>
      </c>
      <c r="AL1582" s="95" t="s">
        <v>62</v>
      </c>
      <c r="AM1582" s="90"/>
      <c r="AN1582" s="90"/>
      <c r="AO1582" s="90"/>
      <c r="AP1582" s="90"/>
      <c r="AQ1582" s="90"/>
      <c r="AR1582" s="90"/>
      <c r="AS1582" s="90"/>
      <c r="AT1582" s="90"/>
      <c r="AU1582" s="90"/>
      <c r="AV1582" s="91"/>
      <c r="AX1582" s="92"/>
    </row>
    <row r="1583" customFormat="false" ht="15.65" hidden="false" customHeight="false" outlineLevel="0" collapsed="false">
      <c r="C1583" s="72" t="n">
        <f aca="false">COUNTIFS($D$6:D1583,"&lt;&gt;"&amp;"")</f>
        <v>1578</v>
      </c>
      <c r="D1583" s="73" t="s">
        <v>12</v>
      </c>
      <c r="E1583" s="76" t="str">
        <f aca="false">
IF($D1583="정상",INDEX(임대자산!$D$3:$R$3000,MATCH($F1583,임대자산!$I$3:$I$3000,0),MATCH(E$3,임대자산!$D$3:$R$3,0)),
IF($D1583="폐업",INDEX(폐업정보!$D$3:$R$3000,MATCH($F1583,폐업정보!$I$3:$I$3000,0),MATCH(E$3,폐업정보!$D$3:$R$3,0)),
"Error"))</f>
        <v>강원</v>
      </c>
      <c r="F158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B1578</v>
      </c>
      <c r="G1583" s="76" t="str">
        <f aca="false">F1583&amp;RANDBETWEEN(0,10)</f>
        <v>B15785</v>
      </c>
      <c r="H1583" s="75" t="n">
        <f aca="false">
IF($D1583="정상",INDEX(임대자산!$D$3:$R$3000,MATCH($F1583,임대자산!$I$3:$I$3000,0),MATCH(H$4,임대자산!$D$3:$R$3,0)),
IF($D1583="폐업",INDEX(폐업정보!$D$3:$R$3000,MATCH($F1583,폐업정보!$I$3:$I$3000,0),MATCH(H$4,폐업정보!$D$3:$R$3,0)),
"Error"))</f>
        <v>45628</v>
      </c>
      <c r="I1583" s="75" t="str">
        <f aca="false">
IF($D1583="정상",INDEX(임대자산!$D$3:$R$3000,MATCH($F1583,임대자산!$I$3:$I$3000,0),MATCH(I$4,임대자산!$D$3:$R$3,0)),
IF($D1583="폐업",INDEX(폐업정보!$D$3:$R$3000,MATCH($F1583,폐업정보!$I$3:$I$3000,0),MATCH(I$4,폐업정보!$D$3:$R$3,0)),
"Error"))</f>
        <v>A1578</v>
      </c>
      <c r="J1583" s="75" t="str">
        <f aca="false">
IF($D1583="정상",INDEX(임대자산!$D$3:$R$3000,MATCH($F1583,임대자산!$I$3:$I$3000,0),MATCH(J$4,임대자산!$D$3:$R$3,0)),
IF($D1583="폐업",INDEX(폐업정보!$D$3:$R$3000,MATCH($F1583,폐업정보!$I$3:$I$3000,0),MATCH(J$4,폐업정보!$D$3:$R$3,0)),
"Error"))</f>
        <v>9929000000</v>
      </c>
      <c r="K1583" s="75" t="str">
        <f aca="false">
IF($D1583="정상",INDEX(임대자산!$D$3:$R$3000,MATCH($F1583,임대자산!$I$3:$I$3000,0),MATCH(K$4,임대자산!$D$3:$R$3,0)),
IF($D1583="폐업",INDEX(폐업정보!$D$3:$R$3000,MATCH($F1583,폐업정보!$I$3:$I$3000,0),MATCH(K$4,폐업정보!$D$3:$R$3,0)),
"Error"))</f>
        <v>C1578</v>
      </c>
      <c r="L1583" s="75" t="str">
        <f aca="false">
IF($D1583="정상",INDEX(임대자산!$D$3:$R$3000,MATCH($F1583,임대자산!$I$3:$I$3000,0),MATCH(L$4,임대자산!$D$3:$R$3,0)),
IF($D1583="폐업",INDEX(폐업정보!$D$3:$R$3000,MATCH($F1583,폐업정보!$I$3:$I$3000,0),MATCH(L$4,폐업정보!$D$3:$R$3,0)),
"Error"))</f>
        <v>D1578</v>
      </c>
      <c r="M1583" s="76" t="s">
        <v>96</v>
      </c>
      <c r="N1583" s="77"/>
      <c r="O1583" s="78" t="s">
        <v>97</v>
      </c>
      <c r="P1583" s="79" t="n">
        <f aca="false">COUNTIFS(임대자산!$I:$I,가맹점정보!F1583,임대자산!$N:$N,가맹점정보!P$4)</f>
        <v>0</v>
      </c>
      <c r="Q1583" s="80" t="n">
        <f aca="false">COUNTIFS(임대자산!$I:$I,가맹점정보!F1583,임대자산!$N:$N,가맹점정보!Q$4)</f>
        <v>0</v>
      </c>
      <c r="R1583" s="81" t="n">
        <f aca="false">COUNTIFS(임대자산!$I:$I,가맹점정보!F1583,임대자산!$N:$N,가맹점정보!R$4)</f>
        <v>1</v>
      </c>
      <c r="S1583" s="82" t="n">
        <v>55000</v>
      </c>
      <c r="T1583" s="83" t="n">
        <v>44000</v>
      </c>
      <c r="U1583" s="80" t="n">
        <f aca="false">SUM(S1583:T1583)</f>
        <v>99000</v>
      </c>
      <c r="V1583" s="84" t="s">
        <v>7</v>
      </c>
      <c r="W1583" s="80" t="str">
        <f aca="true">
IF(D1583="폐업","폐업",
IF(V1583="면제","면제",
IF(AND(V1583="정상",COUNTIFS(OFFSET(Y1583,0,COUNTA(Y1583:AV1583)-1,1,-4),"미납")&gt;=3),"장기미납",
IF(AND(V1583="정상",OFFSET(Y1583,0,COUNTA(Y1583:AV1583)-1)&gt;=U1583),"정상",
IF(AND(V1583="정상",OFFSET(Y1583,0,COUNTA(Y1583:AV1583)-1)=0),"정상",
"계약서 미작성")))))</f>
        <v>면제</v>
      </c>
      <c r="X1583" s="81" t="str">
        <f aca="true">
IF(D1583="폐업","폐업",
IF(AND(V1583="정상",OFFSET(Y1583,0,COUNTA(Y1583:AV1583)-1)="미납"),"미납",
IF(AND(V1583="정상",OFFSET(Y1583,0,COUNTA(Y1583:AV1583)-1)=0),"납부 시작 전",
IF(AND(V1583="정상",OFFSET(Y1583,0,COUNTA(Y1583:AV1583)-1)&gt;=U1583),"정상",
IF(AND(V1583="면제",OFFSET(Y1583,0,COUNTA(Y1583:AV1583)-1)="면제"),"면제",
IF(AND(V1583="면제",OFFSET(Y1583,0,COUNTA(Y1583:AV1583)-1)=0),"면제",
"확인요청"))))))</f>
        <v>면제</v>
      </c>
      <c r="Y1583" s="94" t="s">
        <v>7</v>
      </c>
      <c r="Z1583" s="95" t="s">
        <v>7</v>
      </c>
      <c r="AA1583" s="95" t="s">
        <v>7</v>
      </c>
      <c r="AB1583" s="95" t="s">
        <v>7</v>
      </c>
      <c r="AC1583" s="95" t="s">
        <v>7</v>
      </c>
      <c r="AD1583" s="95" t="s">
        <v>7</v>
      </c>
      <c r="AE1583" s="95" t="s">
        <v>7</v>
      </c>
      <c r="AF1583" s="95" t="s">
        <v>7</v>
      </c>
      <c r="AG1583" s="95" t="s">
        <v>7</v>
      </c>
      <c r="AH1583" s="95" t="s">
        <v>7</v>
      </c>
      <c r="AI1583" s="95" t="s">
        <v>7</v>
      </c>
      <c r="AJ1583" s="96" t="s">
        <v>7</v>
      </c>
      <c r="AK1583" s="97" t="s">
        <v>7</v>
      </c>
      <c r="AL1583" s="95" t="s">
        <v>7</v>
      </c>
      <c r="AM1583" s="90"/>
      <c r="AN1583" s="90"/>
      <c r="AO1583" s="90"/>
      <c r="AP1583" s="90"/>
      <c r="AQ1583" s="90"/>
      <c r="AR1583" s="90"/>
      <c r="AS1583" s="90"/>
      <c r="AT1583" s="90"/>
      <c r="AU1583" s="90"/>
      <c r="AV1583" s="91"/>
      <c r="AX1583" s="92"/>
    </row>
    <row r="1584" customFormat="false" ht="15.65" hidden="false" customHeight="false" outlineLevel="0" collapsed="false">
      <c r="C1584" s="72" t="n">
        <f aca="false">COUNTIFS($D$6:D1584,"&lt;&gt;"&amp;"")</f>
        <v>1579</v>
      </c>
      <c r="D1584" s="73" t="s">
        <v>12</v>
      </c>
      <c r="E1584" s="76" t="str">
        <f aca="false">
IF($D1584="정상",INDEX(임대자산!$D$3:$R$3000,MATCH($F1584,임대자산!$I$3:$I$3000,0),MATCH(E$3,임대자산!$D$3:$R$3,0)),
IF($D1584="폐업",INDEX(폐업정보!$D$3:$R$3000,MATCH($F1584,폐업정보!$I$3:$I$3000,0),MATCH(E$3,폐업정보!$D$3:$R$3,0)),
"Error"))</f>
        <v>강원</v>
      </c>
      <c r="F158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B1579</v>
      </c>
      <c r="G1584" s="76" t="str">
        <f aca="false">F1584&amp;RANDBETWEEN(0,10)</f>
        <v>B15796</v>
      </c>
      <c r="H1584" s="75" t="n">
        <f aca="false">
IF($D1584="정상",INDEX(임대자산!$D$3:$R$3000,MATCH($F1584,임대자산!$I$3:$I$3000,0),MATCH(H$4,임대자산!$D$3:$R$3,0)),
IF($D1584="폐업",INDEX(폐업정보!$D$3:$R$3000,MATCH($F1584,폐업정보!$I$3:$I$3000,0),MATCH(H$4,폐업정보!$D$3:$R$3,0)),
"Error"))</f>
        <v>45624</v>
      </c>
      <c r="I1584" s="75" t="str">
        <f aca="false">
IF($D1584="정상",INDEX(임대자산!$D$3:$R$3000,MATCH($F1584,임대자산!$I$3:$I$3000,0),MATCH(I$4,임대자산!$D$3:$R$3,0)),
IF($D1584="폐업",INDEX(폐업정보!$D$3:$R$3000,MATCH($F1584,폐업정보!$I$3:$I$3000,0),MATCH(I$4,폐업정보!$D$3:$R$3,0)),
"Error"))</f>
        <v>A1579</v>
      </c>
      <c r="J1584" s="75" t="str">
        <f aca="false">
IF($D1584="정상",INDEX(임대자산!$D$3:$R$3000,MATCH($F1584,임대자산!$I$3:$I$3000,0),MATCH(J$4,임대자산!$D$3:$R$3,0)),
IF($D1584="폐업",INDEX(폐업정보!$D$3:$R$3000,MATCH($F1584,폐업정보!$I$3:$I$3000,0),MATCH(J$4,폐업정보!$D$3:$R$3,0)),
"Error"))</f>
        <v>1326300000</v>
      </c>
      <c r="K1584" s="75" t="str">
        <f aca="false">
IF($D1584="정상",INDEX(임대자산!$D$3:$R$3000,MATCH($F1584,임대자산!$I$3:$I$3000,0),MATCH(K$4,임대자산!$D$3:$R$3,0)),
IF($D1584="폐업",INDEX(폐업정보!$D$3:$R$3000,MATCH($F1584,폐업정보!$I$3:$I$3000,0),MATCH(K$4,폐업정보!$D$3:$R$3,0)),
"Error"))</f>
        <v>C1579</v>
      </c>
      <c r="L1584" s="75" t="str">
        <f aca="false">
IF($D1584="정상",INDEX(임대자산!$D$3:$R$3000,MATCH($F1584,임대자산!$I$3:$I$3000,0),MATCH(L$4,임대자산!$D$3:$R$3,0)),
IF($D1584="폐업",INDEX(폐업정보!$D$3:$R$3000,MATCH($F1584,폐업정보!$I$3:$I$3000,0),MATCH(L$4,폐업정보!$D$3:$R$3,0)),
"Error"))</f>
        <v>D1579</v>
      </c>
      <c r="M1584" s="76" t="s">
        <v>96</v>
      </c>
      <c r="N1584" s="77"/>
      <c r="O1584" s="78" t="s">
        <v>97</v>
      </c>
      <c r="P1584" s="79" t="n">
        <f aca="false">COUNTIFS(임대자산!$I:$I,가맹점정보!F1584,임대자산!$N:$N,가맹점정보!P$4)</f>
        <v>0</v>
      </c>
      <c r="Q1584" s="80" t="n">
        <f aca="false">COUNTIFS(임대자산!$I:$I,가맹점정보!F1584,임대자산!$N:$N,가맹점정보!Q$4)</f>
        <v>0</v>
      </c>
      <c r="R1584" s="81" t="n">
        <f aca="false">COUNTIFS(임대자산!$I:$I,가맹점정보!F1584,임대자산!$N:$N,가맹점정보!R$4)</f>
        <v>1</v>
      </c>
      <c r="S1584" s="82" t="n">
        <v>55000</v>
      </c>
      <c r="T1584" s="83" t="n">
        <v>0</v>
      </c>
      <c r="U1584" s="80" t="n">
        <f aca="false">SUM(S1584:T1584)</f>
        <v>55000</v>
      </c>
      <c r="V1584" s="84" t="s">
        <v>7</v>
      </c>
      <c r="W1584" s="80" t="str">
        <f aca="true">
IF(D1584="폐업","폐업",
IF(V1584="면제","면제",
IF(AND(V1584="정상",COUNTIFS(OFFSET(Y1584,0,COUNTA(Y1584:AV1584)-1,1,-4),"미납")&gt;=3),"장기미납",
IF(AND(V1584="정상",OFFSET(Y1584,0,COUNTA(Y1584:AV1584)-1)&gt;=U1584),"정상",
IF(AND(V1584="정상",OFFSET(Y1584,0,COUNTA(Y1584:AV1584)-1)=0),"정상",
"계약서 미작성")))))</f>
        <v>면제</v>
      </c>
      <c r="X1584" s="81" t="str">
        <f aca="true">
IF(D1584="폐업","폐업",
IF(AND(V1584="정상",OFFSET(Y1584,0,COUNTA(Y1584:AV1584)-1)="미납"),"미납",
IF(AND(V1584="정상",OFFSET(Y1584,0,COUNTA(Y1584:AV1584)-1)=0),"납부 시작 전",
IF(AND(V1584="정상",OFFSET(Y1584,0,COUNTA(Y1584:AV1584)-1)&gt;=U1584),"정상",
IF(AND(V1584="면제",OFFSET(Y1584,0,COUNTA(Y1584:AV1584)-1)="면제"),"면제",
IF(AND(V1584="면제",OFFSET(Y1584,0,COUNTA(Y1584:AV1584)-1)=0),"면제",
"확인요청"))))))</f>
        <v>면제</v>
      </c>
      <c r="Y1584" s="94" t="s">
        <v>7</v>
      </c>
      <c r="Z1584" s="95" t="s">
        <v>7</v>
      </c>
      <c r="AA1584" s="95" t="s">
        <v>7</v>
      </c>
      <c r="AB1584" s="95" t="s">
        <v>7</v>
      </c>
      <c r="AC1584" s="95" t="s">
        <v>7</v>
      </c>
      <c r="AD1584" s="95" t="s">
        <v>7</v>
      </c>
      <c r="AE1584" s="95" t="s">
        <v>7</v>
      </c>
      <c r="AF1584" s="95" t="s">
        <v>7</v>
      </c>
      <c r="AG1584" s="95" t="s">
        <v>7</v>
      </c>
      <c r="AH1584" s="95" t="s">
        <v>7</v>
      </c>
      <c r="AI1584" s="95" t="s">
        <v>7</v>
      </c>
      <c r="AJ1584" s="96" t="s">
        <v>7</v>
      </c>
      <c r="AK1584" s="97" t="s">
        <v>7</v>
      </c>
      <c r="AL1584" s="95" t="s">
        <v>7</v>
      </c>
      <c r="AM1584" s="90"/>
      <c r="AN1584" s="90"/>
      <c r="AO1584" s="90"/>
      <c r="AP1584" s="90"/>
      <c r="AQ1584" s="90"/>
      <c r="AR1584" s="90"/>
      <c r="AS1584" s="90"/>
      <c r="AT1584" s="90"/>
      <c r="AU1584" s="90"/>
      <c r="AV1584" s="91"/>
      <c r="AX1584" s="92"/>
    </row>
    <row r="1585" customFormat="false" ht="15.65" hidden="false" customHeight="false" outlineLevel="0" collapsed="false">
      <c r="C1585" s="72" t="n">
        <f aca="false">COUNTIFS($D$6:D1585,"&lt;&gt;"&amp;"")</f>
        <v>1580</v>
      </c>
      <c r="D1585" s="73" t="s">
        <v>12</v>
      </c>
      <c r="E1585" s="76" t="str">
        <f aca="false">
IF($D1585="정상",INDEX(임대자산!$D$3:$R$3000,MATCH($F1585,임대자산!$I$3:$I$3000,0),MATCH(E$3,임대자산!$D$3:$R$3,0)),
IF($D1585="폐업",INDEX(폐업정보!$D$3:$R$3000,MATCH($F1585,폐업정보!$I$3:$I$3000,0),MATCH(E$3,폐업정보!$D$3:$R$3,0)),
"Error"))</f>
        <v>전라</v>
      </c>
      <c r="F158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B1580</v>
      </c>
      <c r="G1585" s="76" t="str">
        <f aca="false">F1585&amp;RANDBETWEEN(0,10)</f>
        <v>B15806</v>
      </c>
      <c r="H1585" s="75" t="n">
        <f aca="false">
IF($D1585="정상",INDEX(임대자산!$D$3:$R$3000,MATCH($F1585,임대자산!$I$3:$I$3000,0),MATCH(H$4,임대자산!$D$3:$R$3,0)),
IF($D1585="폐업",INDEX(폐업정보!$D$3:$R$3000,MATCH($F1585,폐업정보!$I$3:$I$3000,0),MATCH(H$4,폐업정보!$D$3:$R$3,0)),
"Error"))</f>
        <v>45602</v>
      </c>
      <c r="I1585" s="75" t="str">
        <f aca="false">
IF($D1585="정상",INDEX(임대자산!$D$3:$R$3000,MATCH($F1585,임대자산!$I$3:$I$3000,0),MATCH(I$4,임대자산!$D$3:$R$3,0)),
IF($D1585="폐업",INDEX(폐업정보!$D$3:$R$3000,MATCH($F1585,폐업정보!$I$3:$I$3000,0),MATCH(I$4,폐업정보!$D$3:$R$3,0)),
"Error"))</f>
        <v>A1580</v>
      </c>
      <c r="J1585" s="75" t="str">
        <f aca="false">
IF($D1585="정상",INDEX(임대자산!$D$3:$R$3000,MATCH($F1585,임대자산!$I$3:$I$3000,0),MATCH(J$4,임대자산!$D$3:$R$3,0)),
IF($D1585="폐업",INDEX(폐업정보!$D$3:$R$3000,MATCH($F1585,폐업정보!$I$3:$I$3000,0),MATCH(J$4,폐업정보!$D$3:$R$3,0)),
"Error"))</f>
        <v>5091800000</v>
      </c>
      <c r="K1585" s="75" t="str">
        <f aca="false">
IF($D1585="정상",INDEX(임대자산!$D$3:$R$3000,MATCH($F1585,임대자산!$I$3:$I$3000,0),MATCH(K$4,임대자산!$D$3:$R$3,0)),
IF($D1585="폐업",INDEX(폐업정보!$D$3:$R$3000,MATCH($F1585,폐업정보!$I$3:$I$3000,0),MATCH(K$4,폐업정보!$D$3:$R$3,0)),
"Error"))</f>
        <v>C1580</v>
      </c>
      <c r="L1585" s="75" t="str">
        <f aca="false">
IF($D1585="정상",INDEX(임대자산!$D$3:$R$3000,MATCH($F1585,임대자산!$I$3:$I$3000,0),MATCH(L$4,임대자산!$D$3:$R$3,0)),
IF($D1585="폐업",INDEX(폐업정보!$D$3:$R$3000,MATCH($F1585,폐업정보!$I$3:$I$3000,0),MATCH(L$4,폐업정보!$D$3:$R$3,0)),
"Error"))</f>
        <v>D1580</v>
      </c>
      <c r="M1585" s="76" t="s">
        <v>96</v>
      </c>
      <c r="N1585" s="77"/>
      <c r="O1585" s="78" t="s">
        <v>97</v>
      </c>
      <c r="P1585" s="79" t="n">
        <f aca="false">COUNTIFS(임대자산!$I:$I,가맹점정보!F1585,임대자산!$N:$N,가맹점정보!P$4)</f>
        <v>0</v>
      </c>
      <c r="Q1585" s="80" t="n">
        <f aca="false">COUNTIFS(임대자산!$I:$I,가맹점정보!F1585,임대자산!$N:$N,가맹점정보!Q$4)</f>
        <v>0</v>
      </c>
      <c r="R1585" s="81" t="n">
        <f aca="false">COUNTIFS(임대자산!$I:$I,가맹점정보!F1585,임대자산!$N:$N,가맹점정보!R$4)</f>
        <v>1</v>
      </c>
      <c r="S1585" s="82" t="n">
        <v>55000</v>
      </c>
      <c r="T1585" s="83" t="n">
        <v>0</v>
      </c>
      <c r="U1585" s="80" t="n">
        <f aca="false">SUM(S1585:T1585)</f>
        <v>55000</v>
      </c>
      <c r="V1585" s="84" t="s">
        <v>12</v>
      </c>
      <c r="W1585" s="80" t="e">
        <f aca="true">
IF(D1585="폐업","폐업",
IF(V1585="면제","면제",
IF(AND(V1585="정상",COUNTIFS(OFFSET(Y1585,0,COUNTA(Y1585:AV1585)-1,1,-4),"미납")&gt;=3),"장기미납",
IF(AND(V1585="정상",OFFSET(Y1585,0,COUNTA(Y1585:AV1585)-1)&gt;=U1585),"정상",
IF(AND(V1585="정상",OFFSET(Y1585,0,COUNTA(Y1585:AV1585)-1)=0),"정상",
"계약서 미작성")))))</f>
        <v>#VALUE!</v>
      </c>
      <c r="X1585" s="81" t="str">
        <f aca="true">
IF(D1585="폐업","폐업",
IF(AND(V1585="정상",OFFSET(Y1585,0,COUNTA(Y1585:AV1585)-1)="미납"),"미납",
IF(AND(V1585="정상",OFFSET(Y1585,0,COUNTA(Y1585:AV1585)-1)=0),"납부 시작 전",
IF(AND(V1585="정상",OFFSET(Y1585,0,COUNTA(Y1585:AV1585)-1)&gt;=U1585),"정상",
IF(AND(V1585="면제",OFFSET(Y1585,0,COUNTA(Y1585:AV1585)-1)="면제"),"면제",
IF(AND(V1585="면제",OFFSET(Y1585,0,COUNTA(Y1585:AV1585)-1)=0),"면제",
"확인요청"))))))</f>
        <v>정상</v>
      </c>
      <c r="Y1585" s="93" t="n">
        <v>55000</v>
      </c>
      <c r="Z1585" s="90" t="n">
        <v>55000</v>
      </c>
      <c r="AA1585" s="90" t="n">
        <v>55000</v>
      </c>
      <c r="AB1585" s="90" t="n">
        <v>55000</v>
      </c>
      <c r="AC1585" s="90" t="n">
        <v>55000</v>
      </c>
      <c r="AD1585" s="90" t="n">
        <v>55000</v>
      </c>
      <c r="AE1585" s="90" t="n">
        <v>55000</v>
      </c>
      <c r="AF1585" s="90" t="n">
        <v>55000</v>
      </c>
      <c r="AG1585" s="90" t="n">
        <v>55000</v>
      </c>
      <c r="AH1585" s="90" t="n">
        <v>55000</v>
      </c>
      <c r="AI1585" s="90" t="n">
        <v>55000</v>
      </c>
      <c r="AJ1585" s="91" t="n">
        <v>55000</v>
      </c>
      <c r="AK1585" s="89" t="n">
        <v>55000</v>
      </c>
      <c r="AL1585" s="90" t="n">
        <v>55000</v>
      </c>
      <c r="AM1585" s="90"/>
      <c r="AN1585" s="90"/>
      <c r="AO1585" s="90"/>
      <c r="AP1585" s="90"/>
      <c r="AQ1585" s="90"/>
      <c r="AR1585" s="90"/>
      <c r="AS1585" s="90"/>
      <c r="AT1585" s="90"/>
      <c r="AU1585" s="90"/>
      <c r="AV1585" s="91"/>
      <c r="AX1585" s="92"/>
    </row>
    <row r="1586" customFormat="false" ht="15.65" hidden="false" customHeight="false" outlineLevel="0" collapsed="false">
      <c r="C1586" s="72" t="n">
        <f aca="false">COUNTIFS($D$6:D1586,"&lt;&gt;"&amp;"")</f>
        <v>1581</v>
      </c>
      <c r="D1586" s="73" t="s">
        <v>12</v>
      </c>
      <c r="E1586" s="76" t="str">
        <f aca="false">
IF($D1586="정상",INDEX(임대자산!$D$3:$R$3000,MATCH($F1586,임대자산!$I$3:$I$3000,0),MATCH(E$3,임대자산!$D$3:$R$3,0)),
IF($D1586="폐업",INDEX(폐업정보!$D$3:$R$3000,MATCH($F1586,폐업정보!$I$3:$I$3000,0),MATCH(E$3,폐업정보!$D$3:$R$3,0)),
"Error"))</f>
        <v>강원</v>
      </c>
      <c r="F158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B1581</v>
      </c>
      <c r="G1586" s="76" t="str">
        <f aca="false">F1586&amp;RANDBETWEEN(0,10)</f>
        <v>B15814</v>
      </c>
      <c r="H1586" s="75" t="n">
        <f aca="false">
IF($D1586="정상",INDEX(임대자산!$D$3:$R$3000,MATCH($F1586,임대자산!$I$3:$I$3000,0),MATCH(H$4,임대자산!$D$3:$R$3,0)),
IF($D1586="폐업",INDEX(폐업정보!$D$3:$R$3000,MATCH($F1586,폐업정보!$I$3:$I$3000,0),MATCH(H$4,폐업정보!$D$3:$R$3,0)),
"Error"))</f>
        <v>45588</v>
      </c>
      <c r="I1586" s="75" t="str">
        <f aca="false">
IF($D1586="정상",INDEX(임대자산!$D$3:$R$3000,MATCH($F1586,임대자산!$I$3:$I$3000,0),MATCH(I$4,임대자산!$D$3:$R$3,0)),
IF($D1586="폐업",INDEX(폐업정보!$D$3:$R$3000,MATCH($F1586,폐업정보!$I$3:$I$3000,0),MATCH(I$4,폐업정보!$D$3:$R$3,0)),
"Error"))</f>
        <v>A1581</v>
      </c>
      <c r="J1586" s="75" t="str">
        <f aca="false">
IF($D1586="정상",INDEX(임대자산!$D$3:$R$3000,MATCH($F1586,임대자산!$I$3:$I$3000,0),MATCH(J$4,임대자산!$D$3:$R$3,0)),
IF($D1586="폐업",INDEX(폐업정보!$D$3:$R$3000,MATCH($F1586,폐업정보!$I$3:$I$3000,0),MATCH(J$4,폐업정보!$D$3:$R$3,0)),
"Error"))</f>
        <v>7179400000</v>
      </c>
      <c r="K1586" s="75" t="str">
        <f aca="false">
IF($D1586="정상",INDEX(임대자산!$D$3:$R$3000,MATCH($F1586,임대자산!$I$3:$I$3000,0),MATCH(K$4,임대자산!$D$3:$R$3,0)),
IF($D1586="폐업",INDEX(폐업정보!$D$3:$R$3000,MATCH($F1586,폐업정보!$I$3:$I$3000,0),MATCH(K$4,폐업정보!$D$3:$R$3,0)),
"Error"))</f>
        <v>C1581</v>
      </c>
      <c r="L1586" s="75" t="str">
        <f aca="false">
IF($D1586="정상",INDEX(임대자산!$D$3:$R$3000,MATCH($F1586,임대자산!$I$3:$I$3000,0),MATCH(L$4,임대자산!$D$3:$R$3,0)),
IF($D1586="폐업",INDEX(폐업정보!$D$3:$R$3000,MATCH($F1586,폐업정보!$I$3:$I$3000,0),MATCH(L$4,폐업정보!$D$3:$R$3,0)),
"Error"))</f>
        <v>D1581</v>
      </c>
      <c r="M1586" s="76" t="s">
        <v>96</v>
      </c>
      <c r="N1586" s="77"/>
      <c r="O1586" s="78" t="s">
        <v>97</v>
      </c>
      <c r="P1586" s="79" t="n">
        <f aca="false">COUNTIFS(임대자산!$I:$I,가맹점정보!F1586,임대자산!$N:$N,가맹점정보!P$4)</f>
        <v>0</v>
      </c>
      <c r="Q1586" s="80" t="n">
        <f aca="false">COUNTIFS(임대자산!$I:$I,가맹점정보!F1586,임대자산!$N:$N,가맹점정보!Q$4)</f>
        <v>0</v>
      </c>
      <c r="R1586" s="81" t="n">
        <f aca="false">COUNTIFS(임대자산!$I:$I,가맹점정보!F1586,임대자산!$N:$N,가맹점정보!R$4)</f>
        <v>1</v>
      </c>
      <c r="S1586" s="82" t="n">
        <v>55000</v>
      </c>
      <c r="T1586" s="83" t="n">
        <v>0</v>
      </c>
      <c r="U1586" s="80" t="n">
        <f aca="false">SUM(S1586:T1586)</f>
        <v>55000</v>
      </c>
      <c r="V1586" s="84" t="s">
        <v>7</v>
      </c>
      <c r="W1586" s="80" t="str">
        <f aca="true">
IF(D1586="폐업","폐업",
IF(V1586="면제","면제",
IF(AND(V1586="정상",COUNTIFS(OFFSET(Y1586,0,COUNTA(Y1586:AV1586)-1,1,-4),"미납")&gt;=3),"장기미납",
IF(AND(V1586="정상",OFFSET(Y1586,0,COUNTA(Y1586:AV1586)-1)&gt;=U1586),"정상",
IF(AND(V1586="정상",OFFSET(Y1586,0,COUNTA(Y1586:AV1586)-1)=0),"정상",
"계약서 미작성")))))</f>
        <v>면제</v>
      </c>
      <c r="X1586" s="81" t="str">
        <f aca="true">
IF(D1586="폐업","폐업",
IF(AND(V1586="정상",OFFSET(Y1586,0,COUNTA(Y1586:AV1586)-1)="미납"),"미납",
IF(AND(V1586="정상",OFFSET(Y1586,0,COUNTA(Y1586:AV1586)-1)=0),"납부 시작 전",
IF(AND(V1586="정상",OFFSET(Y1586,0,COUNTA(Y1586:AV1586)-1)&gt;=U1586),"정상",
IF(AND(V1586="면제",OFFSET(Y1586,0,COUNTA(Y1586:AV1586)-1)="면제"),"면제",
IF(AND(V1586="면제",OFFSET(Y1586,0,COUNTA(Y1586:AV1586)-1)=0),"면제",
"확인요청"))))))</f>
        <v>면제</v>
      </c>
      <c r="Y1586" s="93" t="n">
        <v>55000</v>
      </c>
      <c r="Z1586" s="90" t="n">
        <v>55000</v>
      </c>
      <c r="AA1586" s="90" t="n">
        <v>55000</v>
      </c>
      <c r="AB1586" s="90" t="n">
        <v>55000</v>
      </c>
      <c r="AC1586" s="90" t="n">
        <v>55000</v>
      </c>
      <c r="AD1586" s="95" t="s">
        <v>62</v>
      </c>
      <c r="AE1586" s="95" t="s">
        <v>62</v>
      </c>
      <c r="AF1586" s="95" t="s">
        <v>62</v>
      </c>
      <c r="AG1586" s="95" t="s">
        <v>62</v>
      </c>
      <c r="AH1586" s="95" t="s">
        <v>62</v>
      </c>
      <c r="AI1586" s="95" t="s">
        <v>62</v>
      </c>
      <c r="AJ1586" s="96" t="s">
        <v>7</v>
      </c>
      <c r="AK1586" s="97" t="s">
        <v>7</v>
      </c>
      <c r="AL1586" s="95" t="s">
        <v>7</v>
      </c>
      <c r="AM1586" s="90"/>
      <c r="AN1586" s="90"/>
      <c r="AO1586" s="90"/>
      <c r="AP1586" s="90"/>
      <c r="AQ1586" s="90"/>
      <c r="AR1586" s="90"/>
      <c r="AS1586" s="90"/>
      <c r="AT1586" s="90"/>
      <c r="AU1586" s="90"/>
      <c r="AV1586" s="91"/>
      <c r="AX1586" s="92"/>
    </row>
    <row r="1587" customFormat="false" ht="15.65" hidden="false" customHeight="false" outlineLevel="0" collapsed="false">
      <c r="C1587" s="72" t="n">
        <f aca="false">COUNTIFS($D$6:D1587,"&lt;&gt;"&amp;"")</f>
        <v>1582</v>
      </c>
      <c r="D1587" s="73" t="s">
        <v>12</v>
      </c>
      <c r="E1587" s="76" t="str">
        <f aca="false">
IF($D1587="정상",INDEX(임대자산!$D$3:$R$3000,MATCH($F1587,임대자산!$I$3:$I$3000,0),MATCH(E$3,임대자산!$D$3:$R$3,0)),
IF($D1587="폐업",INDEX(폐업정보!$D$3:$R$3000,MATCH($F1587,폐업정보!$I$3:$I$3000,0),MATCH(E$3,폐업정보!$D$3:$R$3,0)),
"Error"))</f>
        <v>서울</v>
      </c>
      <c r="F158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B1582</v>
      </c>
      <c r="G1587" s="76" t="str">
        <f aca="false">F1587&amp;RANDBETWEEN(0,10)</f>
        <v>B15828</v>
      </c>
      <c r="H1587" s="75" t="n">
        <f aca="false">
IF($D1587="정상",INDEX(임대자산!$D$3:$R$3000,MATCH($F1587,임대자산!$I$3:$I$3000,0),MATCH(H$4,임대자산!$D$3:$R$3,0)),
IF($D1587="폐업",INDEX(폐업정보!$D$3:$R$3000,MATCH($F1587,폐업정보!$I$3:$I$3000,0),MATCH(H$4,폐업정보!$D$3:$R$3,0)),
"Error"))</f>
        <v>45635</v>
      </c>
      <c r="I1587" s="75" t="str">
        <f aca="false">
IF($D1587="정상",INDEX(임대자산!$D$3:$R$3000,MATCH($F1587,임대자산!$I$3:$I$3000,0),MATCH(I$4,임대자산!$D$3:$R$3,0)),
IF($D1587="폐업",INDEX(폐업정보!$D$3:$R$3000,MATCH($F1587,폐업정보!$I$3:$I$3000,0),MATCH(I$4,폐업정보!$D$3:$R$3,0)),
"Error"))</f>
        <v>A1582</v>
      </c>
      <c r="J1587" s="75" t="str">
        <f aca="false">
IF($D1587="정상",INDEX(임대자산!$D$3:$R$3000,MATCH($F1587,임대자산!$I$3:$I$3000,0),MATCH(J$4,임대자산!$D$3:$R$3,0)),
IF($D1587="폐업",INDEX(폐업정보!$D$3:$R$3000,MATCH($F1587,폐업정보!$I$3:$I$3000,0),MATCH(J$4,폐업정보!$D$3:$R$3,0)),
"Error"))</f>
        <v>5279600000</v>
      </c>
      <c r="K1587" s="75" t="str">
        <f aca="false">
IF($D1587="정상",INDEX(임대자산!$D$3:$R$3000,MATCH($F1587,임대자산!$I$3:$I$3000,0),MATCH(K$4,임대자산!$D$3:$R$3,0)),
IF($D1587="폐업",INDEX(폐업정보!$D$3:$R$3000,MATCH($F1587,폐업정보!$I$3:$I$3000,0),MATCH(K$4,폐업정보!$D$3:$R$3,0)),
"Error"))</f>
        <v>C1582</v>
      </c>
      <c r="L1587" s="75" t="str">
        <f aca="false">
IF($D1587="정상",INDEX(임대자산!$D$3:$R$3000,MATCH($F1587,임대자산!$I$3:$I$3000,0),MATCH(L$4,임대자산!$D$3:$R$3,0)),
IF($D1587="폐업",INDEX(폐업정보!$D$3:$R$3000,MATCH($F1587,폐업정보!$I$3:$I$3000,0),MATCH(L$4,폐업정보!$D$3:$R$3,0)),
"Error"))</f>
        <v>D1582</v>
      </c>
      <c r="M1587" s="76" t="s">
        <v>96</v>
      </c>
      <c r="N1587" s="77"/>
      <c r="O1587" s="78" t="s">
        <v>97</v>
      </c>
      <c r="P1587" s="79" t="n">
        <f aca="false">COUNTIFS(임대자산!$I:$I,가맹점정보!F1587,임대자산!$N:$N,가맹점정보!P$4)</f>
        <v>0</v>
      </c>
      <c r="Q1587" s="80" t="n">
        <f aca="false">COUNTIFS(임대자산!$I:$I,가맹점정보!F1587,임대자산!$N:$N,가맹점정보!Q$4)</f>
        <v>0</v>
      </c>
      <c r="R1587" s="81" t="n">
        <f aca="false">COUNTIFS(임대자산!$I:$I,가맹점정보!F1587,임대자산!$N:$N,가맹점정보!R$4)</f>
        <v>1</v>
      </c>
      <c r="S1587" s="82" t="n">
        <v>55000</v>
      </c>
      <c r="T1587" s="83" t="n">
        <v>0</v>
      </c>
      <c r="U1587" s="80" t="n">
        <f aca="false">SUM(S1587:T1587)</f>
        <v>55000</v>
      </c>
      <c r="V1587" s="84" t="s">
        <v>12</v>
      </c>
      <c r="W1587" s="80" t="e">
        <f aca="true">
IF(D1587="폐업","폐업",
IF(V1587="면제","면제",
IF(AND(V1587="정상",COUNTIFS(OFFSET(Y1587,0,COUNTA(Y1587:AV1587)-1,1,-4),"미납")&gt;=3),"장기미납",
IF(AND(V1587="정상",OFFSET(Y1587,0,COUNTA(Y1587:AV1587)-1)&gt;=U1587),"정상",
IF(AND(V1587="정상",OFFSET(Y1587,0,COUNTA(Y1587:AV1587)-1)=0),"정상",
"계약서 미작성")))))</f>
        <v>#VALUE!</v>
      </c>
      <c r="X1587" s="81" t="str">
        <f aca="true">
IF(D1587="폐업","폐업",
IF(AND(V1587="정상",OFFSET(Y1587,0,COUNTA(Y1587:AV1587)-1)="미납"),"미납",
IF(AND(V1587="정상",OFFSET(Y1587,0,COUNTA(Y1587:AV1587)-1)=0),"납부 시작 전",
IF(AND(V1587="정상",OFFSET(Y1587,0,COUNTA(Y1587:AV1587)-1)&gt;=U1587),"정상",
IF(AND(V1587="면제",OFFSET(Y1587,0,COUNTA(Y1587:AV1587)-1)="면제"),"면제",
IF(AND(V1587="면제",OFFSET(Y1587,0,COUNTA(Y1587:AV1587)-1)=0),"면제",
"확인요청"))))))</f>
        <v>미납</v>
      </c>
      <c r="Y1587" s="93" t="n">
        <v>55000</v>
      </c>
      <c r="Z1587" s="90" t="n">
        <v>55000</v>
      </c>
      <c r="AA1587" s="90" t="n">
        <v>55000</v>
      </c>
      <c r="AB1587" s="90" t="n">
        <v>55000</v>
      </c>
      <c r="AC1587" s="90" t="n">
        <v>55000</v>
      </c>
      <c r="AD1587" s="90" t="n">
        <v>55000</v>
      </c>
      <c r="AE1587" s="90" t="n">
        <v>55000</v>
      </c>
      <c r="AF1587" s="90" t="n">
        <v>55000</v>
      </c>
      <c r="AG1587" s="90" t="n">
        <v>55000</v>
      </c>
      <c r="AH1587" s="90" t="n">
        <v>55000</v>
      </c>
      <c r="AI1587" s="90" t="n">
        <v>55000</v>
      </c>
      <c r="AJ1587" s="91" t="n">
        <v>55000</v>
      </c>
      <c r="AK1587" s="89" t="n">
        <v>55000</v>
      </c>
      <c r="AL1587" s="95" t="s">
        <v>62</v>
      </c>
      <c r="AM1587" s="90"/>
      <c r="AN1587" s="90"/>
      <c r="AO1587" s="90"/>
      <c r="AP1587" s="90"/>
      <c r="AQ1587" s="90"/>
      <c r="AR1587" s="90"/>
      <c r="AS1587" s="90"/>
      <c r="AT1587" s="90"/>
      <c r="AU1587" s="90"/>
      <c r="AV1587" s="91"/>
      <c r="AX1587" s="92"/>
    </row>
    <row r="1588" customFormat="false" ht="15.65" hidden="false" customHeight="false" outlineLevel="0" collapsed="false">
      <c r="C1588" s="72" t="n">
        <f aca="false">COUNTIFS($D$6:D1588,"&lt;&gt;"&amp;"")</f>
        <v>1583</v>
      </c>
      <c r="D1588" s="73" t="s">
        <v>12</v>
      </c>
      <c r="E1588" s="76" t="str">
        <f aca="false">
IF($D1588="정상",INDEX(임대자산!$D$3:$R$3000,MATCH($F1588,임대자산!$I$3:$I$3000,0),MATCH(E$3,임대자산!$D$3:$R$3,0)),
IF($D1588="폐업",INDEX(폐업정보!$D$3:$R$3000,MATCH($F1588,폐업정보!$I$3:$I$3000,0),MATCH(E$3,폐업정보!$D$3:$R$3,0)),
"Error"))</f>
        <v>서울</v>
      </c>
      <c r="F158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B1583</v>
      </c>
      <c r="G1588" s="76" t="str">
        <f aca="false">F1588&amp;RANDBETWEEN(0,10)</f>
        <v>B15831</v>
      </c>
      <c r="H1588" s="75" t="n">
        <f aca="false">
IF($D1588="정상",INDEX(임대자산!$D$3:$R$3000,MATCH($F1588,임대자산!$I$3:$I$3000,0),MATCH(H$4,임대자산!$D$3:$R$3,0)),
IF($D1588="폐업",INDEX(폐업정보!$D$3:$R$3000,MATCH($F1588,폐업정보!$I$3:$I$3000,0),MATCH(H$4,폐업정보!$D$3:$R$3,0)),
"Error"))</f>
        <v>45635</v>
      </c>
      <c r="I1588" s="75" t="str">
        <f aca="false">
IF($D1588="정상",INDEX(임대자산!$D$3:$R$3000,MATCH($F1588,임대자산!$I$3:$I$3000,0),MATCH(I$4,임대자산!$D$3:$R$3,0)),
IF($D1588="폐업",INDEX(폐업정보!$D$3:$R$3000,MATCH($F1588,폐업정보!$I$3:$I$3000,0),MATCH(I$4,폐업정보!$D$3:$R$3,0)),
"Error"))</f>
        <v>A1583</v>
      </c>
      <c r="J1588" s="75" t="str">
        <f aca="false">
IF($D1588="정상",INDEX(임대자산!$D$3:$R$3000,MATCH($F1588,임대자산!$I$3:$I$3000,0),MATCH(J$4,임대자산!$D$3:$R$3,0)),
IF($D1588="폐업",INDEX(폐업정보!$D$3:$R$3000,MATCH($F1588,폐업정보!$I$3:$I$3000,0),MATCH(J$4,폐업정보!$D$3:$R$3,0)),
"Error"))</f>
        <v>2151800000</v>
      </c>
      <c r="K1588" s="75" t="str">
        <f aca="false">
IF($D1588="정상",INDEX(임대자산!$D$3:$R$3000,MATCH($F1588,임대자산!$I$3:$I$3000,0),MATCH(K$4,임대자산!$D$3:$R$3,0)),
IF($D1588="폐업",INDEX(폐업정보!$D$3:$R$3000,MATCH($F1588,폐업정보!$I$3:$I$3000,0),MATCH(K$4,폐업정보!$D$3:$R$3,0)),
"Error"))</f>
        <v>C1583</v>
      </c>
      <c r="L1588" s="75" t="str">
        <f aca="false">
IF($D1588="정상",INDEX(임대자산!$D$3:$R$3000,MATCH($F1588,임대자산!$I$3:$I$3000,0),MATCH(L$4,임대자산!$D$3:$R$3,0)),
IF($D1588="폐업",INDEX(폐업정보!$D$3:$R$3000,MATCH($F1588,폐업정보!$I$3:$I$3000,0),MATCH(L$4,폐업정보!$D$3:$R$3,0)),
"Error"))</f>
        <v>D1583</v>
      </c>
      <c r="M1588" s="76" t="s">
        <v>96</v>
      </c>
      <c r="N1588" s="77"/>
      <c r="O1588" s="78" t="s">
        <v>97</v>
      </c>
      <c r="P1588" s="79" t="n">
        <f aca="false">COUNTIFS(임대자산!$I:$I,가맹점정보!F1588,임대자산!$N:$N,가맹점정보!P$4)</f>
        <v>0</v>
      </c>
      <c r="Q1588" s="80" t="n">
        <f aca="false">COUNTIFS(임대자산!$I:$I,가맹점정보!F1588,임대자산!$N:$N,가맹점정보!Q$4)</f>
        <v>0</v>
      </c>
      <c r="R1588" s="81" t="n">
        <f aca="false">COUNTIFS(임대자산!$I:$I,가맹점정보!F1588,임대자산!$N:$N,가맹점정보!R$4)</f>
        <v>1</v>
      </c>
      <c r="S1588" s="82" t="n">
        <v>88000</v>
      </c>
      <c r="T1588" s="83" t="n">
        <v>0</v>
      </c>
      <c r="U1588" s="80" t="n">
        <f aca="false">SUM(S1588:T1588)</f>
        <v>88000</v>
      </c>
      <c r="V1588" s="84" t="s">
        <v>7</v>
      </c>
      <c r="W1588" s="80" t="str">
        <f aca="true">
IF(D1588="폐업","폐업",
IF(V1588="면제","면제",
IF(AND(V1588="정상",COUNTIFS(OFFSET(Y1588,0,COUNTA(Y1588:AV1588)-1,1,-4),"미납")&gt;=3),"장기미납",
IF(AND(V1588="정상",OFFSET(Y1588,0,COUNTA(Y1588:AV1588)-1)&gt;=U1588),"정상",
IF(AND(V1588="정상",OFFSET(Y1588,0,COUNTA(Y1588:AV1588)-1)=0),"정상",
"계약서 미작성")))))</f>
        <v>면제</v>
      </c>
      <c r="X1588" s="81" t="str">
        <f aca="true">
IF(D1588="폐업","폐업",
IF(AND(V1588="정상",OFFSET(Y1588,0,COUNTA(Y1588:AV1588)-1)="미납"),"미납",
IF(AND(V1588="정상",OFFSET(Y1588,0,COUNTA(Y1588:AV1588)-1)=0),"납부 시작 전",
IF(AND(V1588="정상",OFFSET(Y1588,0,COUNTA(Y1588:AV1588)-1)&gt;=U1588),"정상",
IF(AND(V1588="면제",OFFSET(Y1588,0,COUNTA(Y1588:AV1588)-1)="면제"),"면제",
IF(AND(V1588="면제",OFFSET(Y1588,0,COUNTA(Y1588:AV1588)-1)=0),"면제",
"확인요청"))))))</f>
        <v>면제</v>
      </c>
      <c r="Y1588" s="94" t="s">
        <v>7</v>
      </c>
      <c r="Z1588" s="95" t="s">
        <v>7</v>
      </c>
      <c r="AA1588" s="95" t="s">
        <v>7</v>
      </c>
      <c r="AB1588" s="95" t="s">
        <v>7</v>
      </c>
      <c r="AC1588" s="95" t="s">
        <v>7</v>
      </c>
      <c r="AD1588" s="95" t="s">
        <v>7</v>
      </c>
      <c r="AE1588" s="95" t="s">
        <v>7</v>
      </c>
      <c r="AF1588" s="95" t="s">
        <v>7</v>
      </c>
      <c r="AG1588" s="95" t="s">
        <v>7</v>
      </c>
      <c r="AH1588" s="95" t="s">
        <v>7</v>
      </c>
      <c r="AI1588" s="95" t="s">
        <v>7</v>
      </c>
      <c r="AJ1588" s="96" t="s">
        <v>7</v>
      </c>
      <c r="AK1588" s="97" t="s">
        <v>7</v>
      </c>
      <c r="AL1588" s="95" t="s">
        <v>7</v>
      </c>
      <c r="AM1588" s="90"/>
      <c r="AN1588" s="90"/>
      <c r="AO1588" s="90"/>
      <c r="AP1588" s="90"/>
      <c r="AQ1588" s="90"/>
      <c r="AR1588" s="90"/>
      <c r="AS1588" s="90"/>
      <c r="AT1588" s="90"/>
      <c r="AU1588" s="90"/>
      <c r="AV1588" s="91"/>
      <c r="AX1588" s="92"/>
    </row>
    <row r="1589" customFormat="false" ht="15.65" hidden="false" customHeight="false" outlineLevel="0" collapsed="false">
      <c r="C1589" s="72" t="n">
        <f aca="false">COUNTIFS($D$6:D1589,"&lt;&gt;"&amp;"")</f>
        <v>1584</v>
      </c>
      <c r="D1589" s="73" t="s">
        <v>12</v>
      </c>
      <c r="E1589" s="76" t="str">
        <f aca="false">
IF($D1589="정상",INDEX(임대자산!$D$3:$R$3000,MATCH($F1589,임대자산!$I$3:$I$3000,0),MATCH(E$3,임대자산!$D$3:$R$3,0)),
IF($D1589="폐업",INDEX(폐업정보!$D$3:$R$3000,MATCH($F1589,폐업정보!$I$3:$I$3000,0),MATCH(E$3,폐업정보!$D$3:$R$3,0)),
"Error"))</f>
        <v>서울</v>
      </c>
      <c r="F158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B1584</v>
      </c>
      <c r="G1589" s="76" t="str">
        <f aca="false">F1589&amp;RANDBETWEEN(0,10)</f>
        <v>B15845</v>
      </c>
      <c r="H1589" s="75" t="n">
        <f aca="false">
IF($D1589="정상",INDEX(임대자산!$D$3:$R$3000,MATCH($F1589,임대자산!$I$3:$I$3000,0),MATCH(H$4,임대자산!$D$3:$R$3,0)),
IF($D1589="폐업",INDEX(폐업정보!$D$3:$R$3000,MATCH($F1589,폐업정보!$I$3:$I$3000,0),MATCH(H$4,폐업정보!$D$3:$R$3,0)),
"Error"))</f>
        <v>45751</v>
      </c>
      <c r="I1589" s="75" t="str">
        <f aca="false">
IF($D1589="정상",INDEX(임대자산!$D$3:$R$3000,MATCH($F1589,임대자산!$I$3:$I$3000,0),MATCH(I$4,임대자산!$D$3:$R$3,0)),
IF($D1589="폐업",INDEX(폐업정보!$D$3:$R$3000,MATCH($F1589,폐업정보!$I$3:$I$3000,0),MATCH(I$4,폐업정보!$D$3:$R$3,0)),
"Error"))</f>
        <v>A1584</v>
      </c>
      <c r="J1589" s="75" t="str">
        <f aca="false">
IF($D1589="정상",INDEX(임대자산!$D$3:$R$3000,MATCH($F1589,임대자산!$I$3:$I$3000,0),MATCH(J$4,임대자산!$D$3:$R$3,0)),
IF($D1589="폐업",INDEX(폐업정보!$D$3:$R$3000,MATCH($F1589,폐업정보!$I$3:$I$3000,0),MATCH(J$4,폐업정보!$D$3:$R$3,0)),
"Error"))</f>
        <v>2498700000</v>
      </c>
      <c r="K1589" s="75" t="str">
        <f aca="false">
IF($D1589="정상",INDEX(임대자산!$D$3:$R$3000,MATCH($F1589,임대자산!$I$3:$I$3000,0),MATCH(K$4,임대자산!$D$3:$R$3,0)),
IF($D1589="폐업",INDEX(폐업정보!$D$3:$R$3000,MATCH($F1589,폐업정보!$I$3:$I$3000,0),MATCH(K$4,폐업정보!$D$3:$R$3,0)),
"Error"))</f>
        <v>C1584</v>
      </c>
      <c r="L1589" s="75" t="str">
        <f aca="false">
IF($D1589="정상",INDEX(임대자산!$D$3:$R$3000,MATCH($F1589,임대자산!$I$3:$I$3000,0),MATCH(L$4,임대자산!$D$3:$R$3,0)),
IF($D1589="폐업",INDEX(폐업정보!$D$3:$R$3000,MATCH($F1589,폐업정보!$I$3:$I$3000,0),MATCH(L$4,폐업정보!$D$3:$R$3,0)),
"Error"))</f>
        <v>D1584</v>
      </c>
      <c r="M1589" s="76" t="s">
        <v>96</v>
      </c>
      <c r="N1589" s="77"/>
      <c r="O1589" s="78" t="s">
        <v>97</v>
      </c>
      <c r="P1589" s="79" t="n">
        <f aca="false">COUNTIFS(임대자산!$I:$I,가맹점정보!F1589,임대자산!$N:$N,가맹점정보!P$4)</f>
        <v>0</v>
      </c>
      <c r="Q1589" s="80" t="n">
        <f aca="false">COUNTIFS(임대자산!$I:$I,가맹점정보!F1589,임대자산!$N:$N,가맹점정보!Q$4)</f>
        <v>0</v>
      </c>
      <c r="R1589" s="81" t="n">
        <f aca="false">COUNTIFS(임대자산!$I:$I,가맹점정보!F1589,임대자산!$N:$N,가맹점정보!R$4)</f>
        <v>1</v>
      </c>
      <c r="S1589" s="82" t="n">
        <v>55000</v>
      </c>
      <c r="T1589" s="83" t="n">
        <v>0</v>
      </c>
      <c r="U1589" s="80" t="n">
        <f aca="false">SUM(S1589:T1589)</f>
        <v>55000</v>
      </c>
      <c r="V1589" s="84" t="s">
        <v>12</v>
      </c>
      <c r="W1589" s="80" t="e">
        <f aca="true">
IF(D1589="폐업","폐업",
IF(V1589="면제","면제",
IF(AND(V1589="정상",COUNTIFS(OFFSET(Y1589,0,COUNTA(Y1589:AV1589)-1,1,-4),"미납")&gt;=3),"장기미납",
IF(AND(V1589="정상",OFFSET(Y1589,0,COUNTA(Y1589:AV1589)-1)&gt;=U1589),"정상",
IF(AND(V1589="정상",OFFSET(Y1589,0,COUNTA(Y1589:AV1589)-1)=0),"정상",
"계약서 미작성")))))</f>
        <v>#VALUE!</v>
      </c>
      <c r="X1589" s="81" t="str">
        <f aca="true">
IF(D1589="폐업","폐업",
IF(AND(V1589="정상",OFFSET(Y1589,0,COUNTA(Y1589:AV1589)-1)="미납"),"미납",
IF(AND(V1589="정상",OFFSET(Y1589,0,COUNTA(Y1589:AV1589)-1)=0),"납부 시작 전",
IF(AND(V1589="정상",OFFSET(Y1589,0,COUNTA(Y1589:AV1589)-1)&gt;=U1589),"정상",
IF(AND(V1589="면제",OFFSET(Y1589,0,COUNTA(Y1589:AV1589)-1)="면제"),"면제",
IF(AND(V1589="면제",OFFSET(Y1589,0,COUNTA(Y1589:AV1589)-1)=0),"면제",
"확인요청"))))))</f>
        <v>정상</v>
      </c>
      <c r="Y1589" s="93" t="n">
        <v>55000</v>
      </c>
      <c r="Z1589" s="90" t="n">
        <v>55000</v>
      </c>
      <c r="AA1589" s="90" t="n">
        <v>55000</v>
      </c>
      <c r="AB1589" s="90" t="n">
        <v>55000</v>
      </c>
      <c r="AC1589" s="90" t="n">
        <v>55000</v>
      </c>
      <c r="AD1589" s="90" t="n">
        <v>55000</v>
      </c>
      <c r="AE1589" s="90" t="n">
        <v>55000</v>
      </c>
      <c r="AF1589" s="90" t="n">
        <v>55000</v>
      </c>
      <c r="AG1589" s="90" t="n">
        <v>55000</v>
      </c>
      <c r="AH1589" s="90" t="s">
        <v>98</v>
      </c>
      <c r="AI1589" s="90" t="n">
        <v>110000</v>
      </c>
      <c r="AJ1589" s="91" t="n">
        <v>55000</v>
      </c>
      <c r="AK1589" s="89" t="n">
        <v>55000</v>
      </c>
      <c r="AL1589" s="90" t="n">
        <v>55000</v>
      </c>
      <c r="AM1589" s="90"/>
      <c r="AN1589" s="90"/>
      <c r="AO1589" s="90"/>
      <c r="AP1589" s="90"/>
      <c r="AQ1589" s="90"/>
      <c r="AR1589" s="90"/>
      <c r="AS1589" s="90"/>
      <c r="AT1589" s="90"/>
      <c r="AU1589" s="90"/>
      <c r="AV1589" s="91"/>
      <c r="AX1589" s="92"/>
    </row>
    <row r="1590" customFormat="false" ht="15.65" hidden="false" customHeight="false" outlineLevel="0" collapsed="false">
      <c r="C1590" s="72" t="n">
        <f aca="false">COUNTIFS($D$6:D1590,"&lt;&gt;"&amp;"")</f>
        <v>1585</v>
      </c>
      <c r="D1590" s="73" t="s">
        <v>12</v>
      </c>
      <c r="E1590" s="76" t="str">
        <f aca="false">
IF($D1590="정상",INDEX(임대자산!$D$3:$R$3000,MATCH($F1590,임대자산!$I$3:$I$3000,0),MATCH(E$3,임대자산!$D$3:$R$3,0)),
IF($D1590="폐업",INDEX(폐업정보!$D$3:$R$3000,MATCH($F1590,폐업정보!$I$3:$I$3000,0),MATCH(E$3,폐업정보!$D$3:$R$3,0)),
"Error"))</f>
        <v>서울</v>
      </c>
      <c r="F159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B1585</v>
      </c>
      <c r="G1590" s="76" t="str">
        <f aca="false">F1590&amp;RANDBETWEEN(0,10)</f>
        <v>B15855</v>
      </c>
      <c r="H1590" s="75" t="n">
        <f aca="false">
IF($D1590="정상",INDEX(임대자산!$D$3:$R$3000,MATCH($F1590,임대자산!$I$3:$I$3000,0),MATCH(H$4,임대자산!$D$3:$R$3,0)),
IF($D1590="폐업",INDEX(폐업정보!$D$3:$R$3000,MATCH($F1590,폐업정보!$I$3:$I$3000,0),MATCH(H$4,폐업정보!$D$3:$R$3,0)),
"Error"))</f>
        <v>45751</v>
      </c>
      <c r="I1590" s="75" t="str">
        <f aca="false">
IF($D1590="정상",INDEX(임대자산!$D$3:$R$3000,MATCH($F1590,임대자산!$I$3:$I$3000,0),MATCH(I$4,임대자산!$D$3:$R$3,0)),
IF($D1590="폐업",INDEX(폐업정보!$D$3:$R$3000,MATCH($F1590,폐업정보!$I$3:$I$3000,0),MATCH(I$4,폐업정보!$D$3:$R$3,0)),
"Error"))</f>
        <v>A1585</v>
      </c>
      <c r="J1590" s="75" t="str">
        <f aca="false">
IF($D1590="정상",INDEX(임대자산!$D$3:$R$3000,MATCH($F1590,임대자산!$I$3:$I$3000,0),MATCH(J$4,임대자산!$D$3:$R$3,0)),
IF($D1590="폐업",INDEX(폐업정보!$D$3:$R$3000,MATCH($F1590,폐업정보!$I$3:$I$3000,0),MATCH(J$4,폐업정보!$D$3:$R$3,0)),
"Error"))</f>
        <v>7705300000</v>
      </c>
      <c r="K1590" s="75" t="str">
        <f aca="false">
IF($D1590="정상",INDEX(임대자산!$D$3:$R$3000,MATCH($F1590,임대자산!$I$3:$I$3000,0),MATCH(K$4,임대자산!$D$3:$R$3,0)),
IF($D1590="폐업",INDEX(폐업정보!$D$3:$R$3000,MATCH($F1590,폐업정보!$I$3:$I$3000,0),MATCH(K$4,폐업정보!$D$3:$R$3,0)),
"Error"))</f>
        <v>C1585</v>
      </c>
      <c r="L1590" s="75" t="str">
        <f aca="false">
IF($D1590="정상",INDEX(임대자산!$D$3:$R$3000,MATCH($F1590,임대자산!$I$3:$I$3000,0),MATCH(L$4,임대자산!$D$3:$R$3,0)),
IF($D1590="폐업",INDEX(폐업정보!$D$3:$R$3000,MATCH($F1590,폐업정보!$I$3:$I$3000,0),MATCH(L$4,폐업정보!$D$3:$R$3,0)),
"Error"))</f>
        <v>D1585</v>
      </c>
      <c r="M1590" s="76" t="s">
        <v>96</v>
      </c>
      <c r="N1590" s="77"/>
      <c r="O1590" s="78" t="s">
        <v>97</v>
      </c>
      <c r="P1590" s="79" t="n">
        <f aca="false">COUNTIFS(임대자산!$I:$I,가맹점정보!F1590,임대자산!$N:$N,가맹점정보!P$4)</f>
        <v>0</v>
      </c>
      <c r="Q1590" s="80" t="n">
        <f aca="false">COUNTIFS(임대자산!$I:$I,가맹점정보!F1590,임대자산!$N:$N,가맹점정보!Q$4)</f>
        <v>0</v>
      </c>
      <c r="R1590" s="81" t="n">
        <f aca="false">COUNTIFS(임대자산!$I:$I,가맹점정보!F1590,임대자산!$N:$N,가맹점정보!R$4)</f>
        <v>1</v>
      </c>
      <c r="S1590" s="82" t="n">
        <v>88000</v>
      </c>
      <c r="T1590" s="83" t="n">
        <v>0</v>
      </c>
      <c r="U1590" s="80" t="n">
        <f aca="false">SUM(S1590:T1590)</f>
        <v>88000</v>
      </c>
      <c r="V1590" s="84" t="s">
        <v>7</v>
      </c>
      <c r="W1590" s="80" t="str">
        <f aca="true">
IF(D1590="폐업","폐업",
IF(V1590="면제","면제",
IF(AND(V1590="정상",COUNTIFS(OFFSET(Y1590,0,COUNTA(Y1590:AV1590)-1,1,-4),"미납")&gt;=3),"장기미납",
IF(AND(V1590="정상",OFFSET(Y1590,0,COUNTA(Y1590:AV1590)-1)&gt;=U1590),"정상",
IF(AND(V1590="정상",OFFSET(Y1590,0,COUNTA(Y1590:AV1590)-1)=0),"정상",
"계약서 미작성")))))</f>
        <v>면제</v>
      </c>
      <c r="X1590" s="81" t="str">
        <f aca="true">
IF(D1590="폐업","폐업",
IF(AND(V1590="정상",OFFSET(Y1590,0,COUNTA(Y1590:AV1590)-1)="미납"),"미납",
IF(AND(V1590="정상",OFFSET(Y1590,0,COUNTA(Y1590:AV1590)-1)=0),"납부 시작 전",
IF(AND(V1590="정상",OFFSET(Y1590,0,COUNTA(Y1590:AV1590)-1)&gt;=U1590),"정상",
IF(AND(V1590="면제",OFFSET(Y1590,0,COUNTA(Y1590:AV1590)-1)="면제"),"면제",
IF(AND(V1590="면제",OFFSET(Y1590,0,COUNTA(Y1590:AV1590)-1)=0),"면제",
"확인요청"))))))</f>
        <v>면제</v>
      </c>
      <c r="Y1590" s="94" t="s">
        <v>7</v>
      </c>
      <c r="Z1590" s="95" t="s">
        <v>7</v>
      </c>
      <c r="AA1590" s="95" t="s">
        <v>7</v>
      </c>
      <c r="AB1590" s="95" t="s">
        <v>7</v>
      </c>
      <c r="AC1590" s="95" t="s">
        <v>7</v>
      </c>
      <c r="AD1590" s="95" t="s">
        <v>7</v>
      </c>
      <c r="AE1590" s="95" t="s">
        <v>7</v>
      </c>
      <c r="AF1590" s="95" t="s">
        <v>7</v>
      </c>
      <c r="AG1590" s="95" t="s">
        <v>7</v>
      </c>
      <c r="AH1590" s="95" t="s">
        <v>7</v>
      </c>
      <c r="AI1590" s="95" t="s">
        <v>7</v>
      </c>
      <c r="AJ1590" s="96" t="s">
        <v>7</v>
      </c>
      <c r="AK1590" s="97" t="s">
        <v>7</v>
      </c>
      <c r="AL1590" s="95" t="s">
        <v>7</v>
      </c>
      <c r="AM1590" s="90"/>
      <c r="AN1590" s="90"/>
      <c r="AO1590" s="90"/>
      <c r="AP1590" s="90"/>
      <c r="AQ1590" s="90"/>
      <c r="AR1590" s="90"/>
      <c r="AS1590" s="90"/>
      <c r="AT1590" s="90"/>
      <c r="AU1590" s="90"/>
      <c r="AV1590" s="91"/>
      <c r="AX1590" s="92"/>
    </row>
    <row r="1591" customFormat="false" ht="15.65" hidden="false" customHeight="false" outlineLevel="0" collapsed="false">
      <c r="C1591" s="72" t="n">
        <f aca="false">COUNTIFS($D$6:D1591,"&lt;&gt;"&amp;"")</f>
        <v>1586</v>
      </c>
      <c r="D1591" s="73" t="s">
        <v>12</v>
      </c>
      <c r="E1591" s="76" t="str">
        <f aca="false">
IF($D1591="정상",INDEX(임대자산!$D$3:$R$3000,MATCH($F1591,임대자산!$I$3:$I$3000,0),MATCH(E$3,임대자산!$D$3:$R$3,0)),
IF($D1591="폐업",INDEX(폐업정보!$D$3:$R$3000,MATCH($F1591,폐업정보!$I$3:$I$3000,0),MATCH(E$3,폐업정보!$D$3:$R$3,0)),
"Error"))</f>
        <v>경상</v>
      </c>
      <c r="F159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B1586</v>
      </c>
      <c r="G1591" s="76" t="str">
        <f aca="false">F1591&amp;RANDBETWEEN(0,10)</f>
        <v>B15865</v>
      </c>
      <c r="H1591" s="75" t="n">
        <f aca="false">
IF($D1591="정상",INDEX(임대자산!$D$3:$R$3000,MATCH($F1591,임대자산!$I$3:$I$3000,0),MATCH(H$4,임대자산!$D$3:$R$3,0)),
IF($D1591="폐업",INDEX(폐업정보!$D$3:$R$3000,MATCH($F1591,폐업정보!$I$3:$I$3000,0),MATCH(H$4,폐업정보!$D$3:$R$3,0)),
"Error"))</f>
        <v>45992</v>
      </c>
      <c r="I1591" s="75" t="str">
        <f aca="false">
IF($D1591="정상",INDEX(임대자산!$D$3:$R$3000,MATCH($F1591,임대자산!$I$3:$I$3000,0),MATCH(I$4,임대자산!$D$3:$R$3,0)),
IF($D1591="폐업",INDEX(폐업정보!$D$3:$R$3000,MATCH($F1591,폐업정보!$I$3:$I$3000,0),MATCH(I$4,폐업정보!$D$3:$R$3,0)),
"Error"))</f>
        <v>A1586</v>
      </c>
      <c r="J1591" s="75" t="str">
        <f aca="false">
IF($D1591="정상",INDEX(임대자산!$D$3:$R$3000,MATCH($F1591,임대자산!$I$3:$I$3000,0),MATCH(J$4,임대자산!$D$3:$R$3,0)),
IF($D1591="폐업",INDEX(폐업정보!$D$3:$R$3000,MATCH($F1591,폐업정보!$I$3:$I$3000,0),MATCH(J$4,폐업정보!$D$3:$R$3,0)),
"Error"))</f>
        <v>6030300000</v>
      </c>
      <c r="K1591" s="75" t="str">
        <f aca="false">
IF($D1591="정상",INDEX(임대자산!$D$3:$R$3000,MATCH($F1591,임대자산!$I$3:$I$3000,0),MATCH(K$4,임대자산!$D$3:$R$3,0)),
IF($D1591="폐업",INDEX(폐업정보!$D$3:$R$3000,MATCH($F1591,폐업정보!$I$3:$I$3000,0),MATCH(K$4,폐업정보!$D$3:$R$3,0)),
"Error"))</f>
        <v>C1586</v>
      </c>
      <c r="L1591" s="75" t="str">
        <f aca="false">
IF($D1591="정상",INDEX(임대자산!$D$3:$R$3000,MATCH($F1591,임대자산!$I$3:$I$3000,0),MATCH(L$4,임대자산!$D$3:$R$3,0)),
IF($D1591="폐업",INDEX(폐업정보!$D$3:$R$3000,MATCH($F1591,폐업정보!$I$3:$I$3000,0),MATCH(L$4,폐업정보!$D$3:$R$3,0)),
"Error"))</f>
        <v>D1586</v>
      </c>
      <c r="M1591" s="76" t="s">
        <v>96</v>
      </c>
      <c r="N1591" s="77"/>
      <c r="O1591" s="78" t="s">
        <v>97</v>
      </c>
      <c r="P1591" s="79" t="n">
        <f aca="false">COUNTIFS(임대자산!$I:$I,가맹점정보!F1591,임대자산!$N:$N,가맹점정보!P$4)</f>
        <v>0</v>
      </c>
      <c r="Q1591" s="80" t="n">
        <f aca="false">COUNTIFS(임대자산!$I:$I,가맹점정보!F1591,임대자산!$N:$N,가맹점정보!Q$4)</f>
        <v>0</v>
      </c>
      <c r="R1591" s="81" t="n">
        <f aca="false">COUNTIFS(임대자산!$I:$I,가맹점정보!F1591,임대자산!$N:$N,가맹점정보!R$4)</f>
        <v>1</v>
      </c>
      <c r="S1591" s="82" t="n">
        <v>55000</v>
      </c>
      <c r="T1591" s="83" t="n">
        <v>0</v>
      </c>
      <c r="U1591" s="80" t="n">
        <f aca="false">SUM(S1591:T1591)</f>
        <v>55000</v>
      </c>
      <c r="V1591" s="84" t="s">
        <v>7</v>
      </c>
      <c r="W1591" s="80" t="str">
        <f aca="true">
IF(D1591="폐업","폐업",
IF(V1591="면제","면제",
IF(AND(V1591="정상",COUNTIFS(OFFSET(Y1591,0,COUNTA(Y1591:AV1591)-1,1,-4),"미납")&gt;=3),"장기미납",
IF(AND(V1591="정상",OFFSET(Y1591,0,COUNTA(Y1591:AV1591)-1)&gt;=U1591),"정상",
IF(AND(V1591="정상",OFFSET(Y1591,0,COUNTA(Y1591:AV1591)-1)=0),"정상",
"계약서 미작성")))))</f>
        <v>면제</v>
      </c>
      <c r="X1591" s="81" t="str">
        <f aca="true">
IF(D1591="폐업","폐업",
IF(AND(V1591="정상",OFFSET(Y1591,0,COUNTA(Y1591:AV1591)-1)="미납"),"미납",
IF(AND(V1591="정상",OFFSET(Y1591,0,COUNTA(Y1591:AV1591)-1)=0),"납부 시작 전",
IF(AND(V1591="정상",OFFSET(Y1591,0,COUNTA(Y1591:AV1591)-1)&gt;=U1591),"정상",
IF(AND(V1591="면제",OFFSET(Y1591,0,COUNTA(Y1591:AV1591)-1)="면제"),"면제",
IF(AND(V1591="면제",OFFSET(Y1591,0,COUNTA(Y1591:AV1591)-1)=0),"면제",
"확인요청"))))))</f>
        <v>면제</v>
      </c>
      <c r="Y1591" s="94" t="s">
        <v>7</v>
      </c>
      <c r="Z1591" s="95" t="s">
        <v>7</v>
      </c>
      <c r="AA1591" s="95" t="s">
        <v>7</v>
      </c>
      <c r="AB1591" s="95" t="s">
        <v>7</v>
      </c>
      <c r="AC1591" s="95" t="s">
        <v>7</v>
      </c>
      <c r="AD1591" s="95" t="s">
        <v>7</v>
      </c>
      <c r="AE1591" s="95" t="s">
        <v>7</v>
      </c>
      <c r="AF1591" s="95" t="s">
        <v>7</v>
      </c>
      <c r="AG1591" s="95" t="s">
        <v>7</v>
      </c>
      <c r="AH1591" s="95" t="s">
        <v>7</v>
      </c>
      <c r="AI1591" s="95" t="s">
        <v>7</v>
      </c>
      <c r="AJ1591" s="96" t="s">
        <v>7</v>
      </c>
      <c r="AK1591" s="97" t="s">
        <v>7</v>
      </c>
      <c r="AL1591" s="95" t="s">
        <v>7</v>
      </c>
      <c r="AM1591" s="90"/>
      <c r="AN1591" s="90"/>
      <c r="AO1591" s="90"/>
      <c r="AP1591" s="90"/>
      <c r="AQ1591" s="90"/>
      <c r="AR1591" s="90"/>
      <c r="AS1591" s="90"/>
      <c r="AT1591" s="90"/>
      <c r="AU1591" s="90"/>
      <c r="AV1591" s="91"/>
      <c r="AX1591" s="92"/>
    </row>
    <row r="1592" customFormat="false" ht="15.65" hidden="false" customHeight="false" outlineLevel="0" collapsed="false">
      <c r="C1592" s="72" t="n">
        <f aca="false">COUNTIFS($D$6:D1592,"&lt;&gt;"&amp;"")</f>
        <v>1587</v>
      </c>
      <c r="D1592" s="73" t="s">
        <v>12</v>
      </c>
      <c r="E1592" s="76" t="str">
        <f aca="false">
IF($D1592="정상",INDEX(임대자산!$D$3:$R$3000,MATCH($F1592,임대자산!$I$3:$I$3000,0),MATCH(E$3,임대자산!$D$3:$R$3,0)),
IF($D1592="폐업",INDEX(폐업정보!$D$3:$R$3000,MATCH($F1592,폐업정보!$I$3:$I$3000,0),MATCH(E$3,폐업정보!$D$3:$R$3,0)),
"Error"))</f>
        <v>강원</v>
      </c>
      <c r="F159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B1587</v>
      </c>
      <c r="G1592" s="76" t="str">
        <f aca="false">F1592&amp;RANDBETWEEN(0,10)</f>
        <v>B15871</v>
      </c>
      <c r="H1592" s="75" t="n">
        <f aca="false">
IF($D1592="정상",INDEX(임대자산!$D$3:$R$3000,MATCH($F1592,임대자산!$I$3:$I$3000,0),MATCH(H$4,임대자산!$D$3:$R$3,0)),
IF($D1592="폐업",INDEX(폐업정보!$D$3:$R$3000,MATCH($F1592,폐업정보!$I$3:$I$3000,0),MATCH(H$4,폐업정보!$D$3:$R$3,0)),
"Error"))</f>
        <v>45639</v>
      </c>
      <c r="I1592" s="75" t="str">
        <f aca="false">
IF($D1592="정상",INDEX(임대자산!$D$3:$R$3000,MATCH($F1592,임대자산!$I$3:$I$3000,0),MATCH(I$4,임대자산!$D$3:$R$3,0)),
IF($D1592="폐업",INDEX(폐업정보!$D$3:$R$3000,MATCH($F1592,폐업정보!$I$3:$I$3000,0),MATCH(I$4,폐업정보!$D$3:$R$3,0)),
"Error"))</f>
        <v>A1587</v>
      </c>
      <c r="J1592" s="75" t="str">
        <f aca="false">
IF($D1592="정상",INDEX(임대자산!$D$3:$R$3000,MATCH($F1592,임대자산!$I$3:$I$3000,0),MATCH(J$4,임대자산!$D$3:$R$3,0)),
IF($D1592="폐업",INDEX(폐업정보!$D$3:$R$3000,MATCH($F1592,폐업정보!$I$3:$I$3000,0),MATCH(J$4,폐업정보!$D$3:$R$3,0)),
"Error"))</f>
        <v>8571000000</v>
      </c>
      <c r="K1592" s="75" t="str">
        <f aca="false">
IF($D1592="정상",INDEX(임대자산!$D$3:$R$3000,MATCH($F1592,임대자산!$I$3:$I$3000,0),MATCH(K$4,임대자산!$D$3:$R$3,0)),
IF($D1592="폐업",INDEX(폐업정보!$D$3:$R$3000,MATCH($F1592,폐업정보!$I$3:$I$3000,0),MATCH(K$4,폐업정보!$D$3:$R$3,0)),
"Error"))</f>
        <v>C1587</v>
      </c>
      <c r="L1592" s="75" t="str">
        <f aca="false">
IF($D1592="정상",INDEX(임대자산!$D$3:$R$3000,MATCH($F1592,임대자산!$I$3:$I$3000,0),MATCH(L$4,임대자산!$D$3:$R$3,0)),
IF($D1592="폐업",INDEX(폐업정보!$D$3:$R$3000,MATCH($F1592,폐업정보!$I$3:$I$3000,0),MATCH(L$4,폐업정보!$D$3:$R$3,0)),
"Error"))</f>
        <v>D1587</v>
      </c>
      <c r="M1592" s="76" t="s">
        <v>96</v>
      </c>
      <c r="N1592" s="77"/>
      <c r="O1592" s="78" t="s">
        <v>97</v>
      </c>
      <c r="P1592" s="79" t="n">
        <f aca="false">COUNTIFS(임대자산!$I:$I,가맹점정보!F1592,임대자산!$N:$N,가맹점정보!P$4)</f>
        <v>0</v>
      </c>
      <c r="Q1592" s="80" t="n">
        <f aca="false">COUNTIFS(임대자산!$I:$I,가맹점정보!F1592,임대자산!$N:$N,가맹점정보!Q$4)</f>
        <v>0</v>
      </c>
      <c r="R1592" s="81" t="n">
        <f aca="false">COUNTIFS(임대자산!$I:$I,가맹점정보!F1592,임대자산!$N:$N,가맹점정보!R$4)</f>
        <v>1</v>
      </c>
      <c r="S1592" s="82" t="n">
        <v>55000</v>
      </c>
      <c r="T1592" s="83" t="n">
        <v>0</v>
      </c>
      <c r="U1592" s="80" t="n">
        <f aca="false">SUM(S1592:T1592)</f>
        <v>55000</v>
      </c>
      <c r="V1592" s="84" t="s">
        <v>12</v>
      </c>
      <c r="W1592" s="80" t="e">
        <f aca="true">
IF(D1592="폐업","폐업",
IF(V1592="면제","면제",
IF(AND(V1592="정상",COUNTIFS(OFFSET(Y1592,0,COUNTA(Y1592:AV1592)-1,1,-4),"미납")&gt;=3),"장기미납",
IF(AND(V1592="정상",OFFSET(Y1592,0,COUNTA(Y1592:AV1592)-1)&gt;=U1592),"정상",
IF(AND(V1592="정상",OFFSET(Y1592,0,COUNTA(Y1592:AV1592)-1)=0),"정상",
"계약서 미작성")))))</f>
        <v>#VALUE!</v>
      </c>
      <c r="X1592" s="81" t="str">
        <f aca="true">
IF(D1592="폐업","폐업",
IF(AND(V1592="정상",OFFSET(Y1592,0,COUNTA(Y1592:AV1592)-1)="미납"),"미납",
IF(AND(V1592="정상",OFFSET(Y1592,0,COUNTA(Y1592:AV1592)-1)=0),"납부 시작 전",
IF(AND(V1592="정상",OFFSET(Y1592,0,COUNTA(Y1592:AV1592)-1)&gt;=U1592),"정상",
IF(AND(V1592="면제",OFFSET(Y1592,0,COUNTA(Y1592:AV1592)-1)="면제"),"면제",
IF(AND(V1592="면제",OFFSET(Y1592,0,COUNTA(Y1592:AV1592)-1)=0),"면제",
"확인요청"))))))</f>
        <v>정상</v>
      </c>
      <c r="Y1592" s="93" t="n">
        <v>55000</v>
      </c>
      <c r="Z1592" s="90" t="n">
        <v>55000</v>
      </c>
      <c r="AA1592" s="90" t="n">
        <v>55000</v>
      </c>
      <c r="AB1592" s="90" t="n">
        <v>55000</v>
      </c>
      <c r="AC1592" s="90" t="n">
        <v>55000</v>
      </c>
      <c r="AD1592" s="90" t="n">
        <v>55000</v>
      </c>
      <c r="AE1592" s="90" t="n">
        <v>55000</v>
      </c>
      <c r="AF1592" s="90" t="n">
        <v>55000</v>
      </c>
      <c r="AG1592" s="90" t="n">
        <v>55000</v>
      </c>
      <c r="AH1592" s="90" t="n">
        <v>55000</v>
      </c>
      <c r="AI1592" s="90" t="n">
        <v>55000</v>
      </c>
      <c r="AJ1592" s="91" t="n">
        <v>55000</v>
      </c>
      <c r="AK1592" s="89" t="n">
        <v>55000</v>
      </c>
      <c r="AL1592" s="90" t="n">
        <v>55000</v>
      </c>
      <c r="AM1592" s="90"/>
      <c r="AN1592" s="90"/>
      <c r="AO1592" s="90"/>
      <c r="AP1592" s="90"/>
      <c r="AQ1592" s="90"/>
      <c r="AR1592" s="90"/>
      <c r="AS1592" s="90"/>
      <c r="AT1592" s="90"/>
      <c r="AU1592" s="90"/>
      <c r="AV1592" s="91"/>
      <c r="AX1592" s="92"/>
    </row>
    <row r="1593" customFormat="false" ht="15.65" hidden="false" customHeight="false" outlineLevel="0" collapsed="false">
      <c r="C1593" s="72" t="n">
        <f aca="false">COUNTIFS($D$6:D1593,"&lt;&gt;"&amp;"")</f>
        <v>1588</v>
      </c>
      <c r="D1593" s="73" t="s">
        <v>12</v>
      </c>
      <c r="E1593" s="76" t="str">
        <f aca="false">
IF($D1593="정상",INDEX(임대자산!$D$3:$R$3000,MATCH($F1593,임대자산!$I$3:$I$3000,0),MATCH(E$3,임대자산!$D$3:$R$3,0)),
IF($D1593="폐업",INDEX(폐업정보!$D$3:$R$3000,MATCH($F1593,폐업정보!$I$3:$I$3000,0),MATCH(E$3,폐업정보!$D$3:$R$3,0)),
"Error"))</f>
        <v>전라</v>
      </c>
      <c r="F159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B1588</v>
      </c>
      <c r="G1593" s="76" t="str">
        <f aca="false">F1593&amp;RANDBETWEEN(0,10)</f>
        <v>B15888</v>
      </c>
      <c r="H1593" s="75" t="n">
        <f aca="false">
IF($D1593="정상",INDEX(임대자산!$D$3:$R$3000,MATCH($F1593,임대자산!$I$3:$I$3000,0),MATCH(H$4,임대자산!$D$3:$R$3,0)),
IF($D1593="폐업",INDEX(폐업정보!$D$3:$R$3000,MATCH($F1593,폐업정보!$I$3:$I$3000,0),MATCH(H$4,폐업정보!$D$3:$R$3,0)),
"Error"))</f>
        <v>45621</v>
      </c>
      <c r="I1593" s="75" t="str">
        <f aca="false">
IF($D1593="정상",INDEX(임대자산!$D$3:$R$3000,MATCH($F1593,임대자산!$I$3:$I$3000,0),MATCH(I$4,임대자산!$D$3:$R$3,0)),
IF($D1593="폐업",INDEX(폐업정보!$D$3:$R$3000,MATCH($F1593,폐업정보!$I$3:$I$3000,0),MATCH(I$4,폐업정보!$D$3:$R$3,0)),
"Error"))</f>
        <v>A1588</v>
      </c>
      <c r="J1593" s="75" t="str">
        <f aca="false">
IF($D1593="정상",INDEX(임대자산!$D$3:$R$3000,MATCH($F1593,임대자산!$I$3:$I$3000,0),MATCH(J$4,임대자산!$D$3:$R$3,0)),
IF($D1593="폐업",INDEX(폐업정보!$D$3:$R$3000,MATCH($F1593,폐업정보!$I$3:$I$3000,0),MATCH(J$4,폐업정보!$D$3:$R$3,0)),
"Error"))</f>
        <v>5966600000</v>
      </c>
      <c r="K1593" s="75" t="str">
        <f aca="false">
IF($D1593="정상",INDEX(임대자산!$D$3:$R$3000,MATCH($F1593,임대자산!$I$3:$I$3000,0),MATCH(K$4,임대자산!$D$3:$R$3,0)),
IF($D1593="폐업",INDEX(폐업정보!$D$3:$R$3000,MATCH($F1593,폐업정보!$I$3:$I$3000,0),MATCH(K$4,폐업정보!$D$3:$R$3,0)),
"Error"))</f>
        <v>C1588</v>
      </c>
      <c r="L1593" s="75" t="str">
        <f aca="false">
IF($D1593="정상",INDEX(임대자산!$D$3:$R$3000,MATCH($F1593,임대자산!$I$3:$I$3000,0),MATCH(L$4,임대자산!$D$3:$R$3,0)),
IF($D1593="폐업",INDEX(폐업정보!$D$3:$R$3000,MATCH($F1593,폐업정보!$I$3:$I$3000,0),MATCH(L$4,폐업정보!$D$3:$R$3,0)),
"Error"))</f>
        <v>D1588</v>
      </c>
      <c r="M1593" s="76" t="s">
        <v>96</v>
      </c>
      <c r="N1593" s="77"/>
      <c r="O1593" s="78" t="s">
        <v>97</v>
      </c>
      <c r="P1593" s="79" t="n">
        <f aca="false">COUNTIFS(임대자산!$I:$I,가맹점정보!F1593,임대자산!$N:$N,가맹점정보!P$4)</f>
        <v>0</v>
      </c>
      <c r="Q1593" s="80" t="n">
        <f aca="false">COUNTIFS(임대자산!$I:$I,가맹점정보!F1593,임대자산!$N:$N,가맹점정보!Q$4)</f>
        <v>0</v>
      </c>
      <c r="R1593" s="81" t="n">
        <f aca="false">COUNTIFS(임대자산!$I:$I,가맹점정보!F1593,임대자산!$N:$N,가맹점정보!R$4)</f>
        <v>1</v>
      </c>
      <c r="S1593" s="82" t="n">
        <v>55000</v>
      </c>
      <c r="T1593" s="83" t="n">
        <v>0</v>
      </c>
      <c r="U1593" s="80" t="n">
        <f aca="false">SUM(S1593:T1593)</f>
        <v>55000</v>
      </c>
      <c r="V1593" s="84" t="s">
        <v>12</v>
      </c>
      <c r="W1593" s="80" t="e">
        <f aca="true">
IF(D1593="폐업","폐업",
IF(V1593="면제","면제",
IF(AND(V1593="정상",COUNTIFS(OFFSET(Y1593,0,COUNTA(Y1593:AV1593)-1,1,-4),"미납")&gt;=3),"장기미납",
IF(AND(V1593="정상",OFFSET(Y1593,0,COUNTA(Y1593:AV1593)-1)&gt;=U1593),"정상",
IF(AND(V1593="정상",OFFSET(Y1593,0,COUNTA(Y1593:AV1593)-1)=0),"정상",
"계약서 미작성")))))</f>
        <v>#VALUE!</v>
      </c>
      <c r="X1593" s="81" t="str">
        <f aca="true">
IF(D1593="폐업","폐업",
IF(AND(V1593="정상",OFFSET(Y1593,0,COUNTA(Y1593:AV1593)-1)="미납"),"미납",
IF(AND(V1593="정상",OFFSET(Y1593,0,COUNTA(Y1593:AV1593)-1)=0),"납부 시작 전",
IF(AND(V1593="정상",OFFSET(Y1593,0,COUNTA(Y1593:AV1593)-1)&gt;=U1593),"정상",
IF(AND(V1593="면제",OFFSET(Y1593,0,COUNTA(Y1593:AV1593)-1)="면제"),"면제",
IF(AND(V1593="면제",OFFSET(Y1593,0,COUNTA(Y1593:AV1593)-1)=0),"면제",
"확인요청"))))))</f>
        <v>정상</v>
      </c>
      <c r="Y1593" s="93" t="n">
        <v>55000</v>
      </c>
      <c r="Z1593" s="90" t="n">
        <v>55000</v>
      </c>
      <c r="AA1593" s="90" t="n">
        <v>55000</v>
      </c>
      <c r="AB1593" s="90" t="n">
        <v>55000</v>
      </c>
      <c r="AC1593" s="90" t="n">
        <v>55000</v>
      </c>
      <c r="AD1593" s="90" t="n">
        <v>55000</v>
      </c>
      <c r="AE1593" s="90" t="n">
        <v>55000</v>
      </c>
      <c r="AF1593" s="90" t="n">
        <v>55000</v>
      </c>
      <c r="AG1593" s="90" t="n">
        <v>55000</v>
      </c>
      <c r="AH1593" s="90" t="n">
        <v>55000</v>
      </c>
      <c r="AI1593" s="90" t="n">
        <v>55000</v>
      </c>
      <c r="AJ1593" s="91" t="n">
        <v>55000</v>
      </c>
      <c r="AK1593" s="89" t="n">
        <v>55000</v>
      </c>
      <c r="AL1593" s="90" t="n">
        <v>55000</v>
      </c>
      <c r="AM1593" s="90"/>
      <c r="AN1593" s="90"/>
      <c r="AO1593" s="90"/>
      <c r="AP1593" s="90"/>
      <c r="AQ1593" s="90"/>
      <c r="AR1593" s="90"/>
      <c r="AS1593" s="90"/>
      <c r="AT1593" s="90"/>
      <c r="AU1593" s="90"/>
      <c r="AV1593" s="91"/>
      <c r="AX1593" s="92"/>
    </row>
    <row r="1594" customFormat="false" ht="15.65" hidden="false" customHeight="false" outlineLevel="0" collapsed="false">
      <c r="C1594" s="72" t="n">
        <f aca="false">COUNTIFS($D$6:D1594,"&lt;&gt;"&amp;"")</f>
        <v>1589</v>
      </c>
      <c r="D1594" s="73" t="s">
        <v>12</v>
      </c>
      <c r="E1594" s="76" t="str">
        <f aca="false">
IF($D1594="정상",INDEX(임대자산!$D$3:$R$3000,MATCH($F1594,임대자산!$I$3:$I$3000,0),MATCH(E$3,임대자산!$D$3:$R$3,0)),
IF($D1594="폐업",INDEX(폐업정보!$D$3:$R$3000,MATCH($F1594,폐업정보!$I$3:$I$3000,0),MATCH(E$3,폐업정보!$D$3:$R$3,0)),
"Error"))</f>
        <v>전라</v>
      </c>
      <c r="F159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B1589</v>
      </c>
      <c r="G1594" s="76" t="str">
        <f aca="false">F1594&amp;RANDBETWEEN(0,10)</f>
        <v>B15894</v>
      </c>
      <c r="H1594" s="75" t="n">
        <f aca="false">
IF($D1594="정상",INDEX(임대자산!$D$3:$R$3000,MATCH($F1594,임대자산!$I$3:$I$3000,0),MATCH(H$4,임대자산!$D$3:$R$3,0)),
IF($D1594="폐업",INDEX(폐업정보!$D$3:$R$3000,MATCH($F1594,폐업정보!$I$3:$I$3000,0),MATCH(H$4,폐업정보!$D$3:$R$3,0)),
"Error"))</f>
        <v>45621</v>
      </c>
      <c r="I1594" s="75" t="str">
        <f aca="false">
IF($D1594="정상",INDEX(임대자산!$D$3:$R$3000,MATCH($F1594,임대자산!$I$3:$I$3000,0),MATCH(I$4,임대자산!$D$3:$R$3,0)),
IF($D1594="폐업",INDEX(폐업정보!$D$3:$R$3000,MATCH($F1594,폐업정보!$I$3:$I$3000,0),MATCH(I$4,폐업정보!$D$3:$R$3,0)),
"Error"))</f>
        <v>A1589</v>
      </c>
      <c r="J1594" s="75" t="str">
        <f aca="false">
IF($D1594="정상",INDEX(임대자산!$D$3:$R$3000,MATCH($F1594,임대자산!$I$3:$I$3000,0),MATCH(J$4,임대자산!$D$3:$R$3,0)),
IF($D1594="폐업",INDEX(폐업정보!$D$3:$R$3000,MATCH($F1594,폐업정보!$I$3:$I$3000,0),MATCH(J$4,폐업정보!$D$3:$R$3,0)),
"Error"))</f>
        <v>1784900000</v>
      </c>
      <c r="K1594" s="75" t="str">
        <f aca="false">
IF($D1594="정상",INDEX(임대자산!$D$3:$R$3000,MATCH($F1594,임대자산!$I$3:$I$3000,0),MATCH(K$4,임대자산!$D$3:$R$3,0)),
IF($D1594="폐업",INDEX(폐업정보!$D$3:$R$3000,MATCH($F1594,폐업정보!$I$3:$I$3000,0),MATCH(K$4,폐업정보!$D$3:$R$3,0)),
"Error"))</f>
        <v>C1589</v>
      </c>
      <c r="L1594" s="75" t="str">
        <f aca="false">
IF($D1594="정상",INDEX(임대자산!$D$3:$R$3000,MATCH($F1594,임대자산!$I$3:$I$3000,0),MATCH(L$4,임대자산!$D$3:$R$3,0)),
IF($D1594="폐업",INDEX(폐업정보!$D$3:$R$3000,MATCH($F1594,폐업정보!$I$3:$I$3000,0),MATCH(L$4,폐업정보!$D$3:$R$3,0)),
"Error"))</f>
        <v>D1589</v>
      </c>
      <c r="M1594" s="76" t="s">
        <v>96</v>
      </c>
      <c r="N1594" s="77"/>
      <c r="O1594" s="78" t="s">
        <v>97</v>
      </c>
      <c r="P1594" s="79" t="n">
        <f aca="false">COUNTIFS(임대자산!$I:$I,가맹점정보!F1594,임대자산!$N:$N,가맹점정보!P$4)</f>
        <v>0</v>
      </c>
      <c r="Q1594" s="80" t="n">
        <f aca="false">COUNTIFS(임대자산!$I:$I,가맹점정보!F1594,임대자산!$N:$N,가맹점정보!Q$4)</f>
        <v>0</v>
      </c>
      <c r="R1594" s="81" t="n">
        <f aca="false">COUNTIFS(임대자산!$I:$I,가맹점정보!F1594,임대자산!$N:$N,가맹점정보!R$4)</f>
        <v>1</v>
      </c>
      <c r="S1594" s="82" t="n">
        <v>55000</v>
      </c>
      <c r="T1594" s="83" t="n">
        <v>0</v>
      </c>
      <c r="U1594" s="80" t="n">
        <f aca="false">SUM(S1594:T1594)</f>
        <v>55000</v>
      </c>
      <c r="V1594" s="84" t="s">
        <v>7</v>
      </c>
      <c r="W1594" s="80" t="str">
        <f aca="true">
IF(D1594="폐업","폐업",
IF(V1594="면제","면제",
IF(AND(V1594="정상",COUNTIFS(OFFSET(Y1594,0,COUNTA(Y1594:AV1594)-1,1,-4),"미납")&gt;=3),"장기미납",
IF(AND(V1594="정상",OFFSET(Y1594,0,COUNTA(Y1594:AV1594)-1)&gt;=U1594),"정상",
IF(AND(V1594="정상",OFFSET(Y1594,0,COUNTA(Y1594:AV1594)-1)=0),"정상",
"계약서 미작성")))))</f>
        <v>면제</v>
      </c>
      <c r="X1594" s="81" t="str">
        <f aca="true">
IF(D1594="폐업","폐업",
IF(AND(V1594="정상",OFFSET(Y1594,0,COUNTA(Y1594:AV1594)-1)="미납"),"미납",
IF(AND(V1594="정상",OFFSET(Y1594,0,COUNTA(Y1594:AV1594)-1)=0),"납부 시작 전",
IF(AND(V1594="정상",OFFSET(Y1594,0,COUNTA(Y1594:AV1594)-1)&gt;=U1594),"정상",
IF(AND(V1594="면제",OFFSET(Y1594,0,COUNTA(Y1594:AV1594)-1)="면제"),"면제",
IF(AND(V1594="면제",OFFSET(Y1594,0,COUNTA(Y1594:AV1594)-1)=0),"면제",
"확인요청"))))))</f>
        <v>면제</v>
      </c>
      <c r="Y1594" s="94" t="s">
        <v>7</v>
      </c>
      <c r="Z1594" s="95" t="s">
        <v>7</v>
      </c>
      <c r="AA1594" s="95" t="s">
        <v>7</v>
      </c>
      <c r="AB1594" s="95" t="s">
        <v>7</v>
      </c>
      <c r="AC1594" s="95" t="s">
        <v>7</v>
      </c>
      <c r="AD1594" s="95" t="s">
        <v>7</v>
      </c>
      <c r="AE1594" s="95" t="s">
        <v>7</v>
      </c>
      <c r="AF1594" s="95" t="s">
        <v>7</v>
      </c>
      <c r="AG1594" s="95" t="s">
        <v>7</v>
      </c>
      <c r="AH1594" s="95" t="s">
        <v>7</v>
      </c>
      <c r="AI1594" s="95" t="s">
        <v>7</v>
      </c>
      <c r="AJ1594" s="96" t="s">
        <v>7</v>
      </c>
      <c r="AK1594" s="97" t="s">
        <v>7</v>
      </c>
      <c r="AL1594" s="95" t="s">
        <v>7</v>
      </c>
      <c r="AM1594" s="90"/>
      <c r="AN1594" s="90"/>
      <c r="AO1594" s="90"/>
      <c r="AP1594" s="90"/>
      <c r="AQ1594" s="90"/>
      <c r="AR1594" s="90"/>
      <c r="AS1594" s="90"/>
      <c r="AT1594" s="90"/>
      <c r="AU1594" s="90"/>
      <c r="AV1594" s="91"/>
      <c r="AX1594" s="92"/>
    </row>
    <row r="1595" customFormat="false" ht="15.65" hidden="false" customHeight="false" outlineLevel="0" collapsed="false">
      <c r="C1595" s="72" t="n">
        <f aca="false">COUNTIFS($D$6:D1595,"&lt;&gt;"&amp;"")</f>
        <v>1590</v>
      </c>
      <c r="D1595" s="73" t="s">
        <v>12</v>
      </c>
      <c r="E1595" s="76" t="str">
        <f aca="false">
IF($D1595="정상",INDEX(임대자산!$D$3:$R$3000,MATCH($F1595,임대자산!$I$3:$I$3000,0),MATCH(E$3,임대자산!$D$3:$R$3,0)),
IF($D1595="폐업",INDEX(폐업정보!$D$3:$R$3000,MATCH($F1595,폐업정보!$I$3:$I$3000,0),MATCH(E$3,폐업정보!$D$3:$R$3,0)),
"Error"))</f>
        <v>경상</v>
      </c>
      <c r="F159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B1590</v>
      </c>
      <c r="G1595" s="76" t="str">
        <f aca="false">F1595&amp;RANDBETWEEN(0,10)</f>
        <v>B15900</v>
      </c>
      <c r="H1595" s="75" t="n">
        <f aca="false">
IF($D1595="정상",INDEX(임대자산!$D$3:$R$3000,MATCH($F1595,임대자산!$I$3:$I$3000,0),MATCH(H$4,임대자산!$D$3:$R$3,0)),
IF($D1595="폐업",INDEX(폐업정보!$D$3:$R$3000,MATCH($F1595,폐업정보!$I$3:$I$3000,0),MATCH(H$4,폐업정보!$D$3:$R$3,0)),
"Error"))</f>
        <v>45642</v>
      </c>
      <c r="I1595" s="75" t="str">
        <f aca="false">
IF($D1595="정상",INDEX(임대자산!$D$3:$R$3000,MATCH($F1595,임대자산!$I$3:$I$3000,0),MATCH(I$4,임대자산!$D$3:$R$3,0)),
IF($D1595="폐업",INDEX(폐업정보!$D$3:$R$3000,MATCH($F1595,폐업정보!$I$3:$I$3000,0),MATCH(I$4,폐업정보!$D$3:$R$3,0)),
"Error"))</f>
        <v>A1590</v>
      </c>
      <c r="J1595" s="75" t="str">
        <f aca="false">
IF($D1595="정상",INDEX(임대자산!$D$3:$R$3000,MATCH($F1595,임대자산!$I$3:$I$3000,0),MATCH(J$4,임대자산!$D$3:$R$3,0)),
IF($D1595="폐업",INDEX(폐업정보!$D$3:$R$3000,MATCH($F1595,폐업정보!$I$3:$I$3000,0),MATCH(J$4,폐업정보!$D$3:$R$3,0)),
"Error"))</f>
        <v>4029200000</v>
      </c>
      <c r="K1595" s="75" t="str">
        <f aca="false">
IF($D1595="정상",INDEX(임대자산!$D$3:$R$3000,MATCH($F1595,임대자산!$I$3:$I$3000,0),MATCH(K$4,임대자산!$D$3:$R$3,0)),
IF($D1595="폐업",INDEX(폐업정보!$D$3:$R$3000,MATCH($F1595,폐업정보!$I$3:$I$3000,0),MATCH(K$4,폐업정보!$D$3:$R$3,0)),
"Error"))</f>
        <v>C1590</v>
      </c>
      <c r="L1595" s="75" t="str">
        <f aca="false">
IF($D1595="정상",INDEX(임대자산!$D$3:$R$3000,MATCH($F1595,임대자산!$I$3:$I$3000,0),MATCH(L$4,임대자산!$D$3:$R$3,0)),
IF($D1595="폐업",INDEX(폐업정보!$D$3:$R$3000,MATCH($F1595,폐업정보!$I$3:$I$3000,0),MATCH(L$4,폐업정보!$D$3:$R$3,0)),
"Error"))</f>
        <v>D1590</v>
      </c>
      <c r="M1595" s="76" t="s">
        <v>96</v>
      </c>
      <c r="N1595" s="77"/>
      <c r="O1595" s="78" t="s">
        <v>97</v>
      </c>
      <c r="P1595" s="79" t="n">
        <f aca="false">COUNTIFS(임대자산!$I:$I,가맹점정보!F1595,임대자산!$N:$N,가맹점정보!P$4)</f>
        <v>0</v>
      </c>
      <c r="Q1595" s="80" t="n">
        <f aca="false">COUNTIFS(임대자산!$I:$I,가맹점정보!F1595,임대자산!$N:$N,가맹점정보!Q$4)</f>
        <v>0</v>
      </c>
      <c r="R1595" s="81" t="n">
        <f aca="false">COUNTIFS(임대자산!$I:$I,가맹점정보!F1595,임대자산!$N:$N,가맹점정보!R$4)</f>
        <v>1</v>
      </c>
      <c r="S1595" s="82" t="n">
        <v>55000</v>
      </c>
      <c r="T1595" s="83" t="n">
        <v>0</v>
      </c>
      <c r="U1595" s="80" t="n">
        <f aca="false">SUM(S1595:T1595)</f>
        <v>55000</v>
      </c>
      <c r="V1595" s="84" t="s">
        <v>12</v>
      </c>
      <c r="W1595" s="80" t="e">
        <f aca="true">
IF(D1595="폐업","폐업",
IF(V1595="면제","면제",
IF(AND(V1595="정상",COUNTIFS(OFFSET(Y1595,0,COUNTA(Y1595:AV1595)-1,1,-4),"미납")&gt;=3),"장기미납",
IF(AND(V1595="정상",OFFSET(Y1595,0,COUNTA(Y1595:AV1595)-1)&gt;=U1595),"정상",
IF(AND(V1595="정상",OFFSET(Y1595,0,COUNTA(Y1595:AV1595)-1)=0),"정상",
"계약서 미작성")))))</f>
        <v>#VALUE!</v>
      </c>
      <c r="X1595" s="81" t="str">
        <f aca="true">
IF(D1595="폐업","폐업",
IF(AND(V1595="정상",OFFSET(Y1595,0,COUNTA(Y1595:AV1595)-1)="미납"),"미납",
IF(AND(V1595="정상",OFFSET(Y1595,0,COUNTA(Y1595:AV1595)-1)=0),"납부 시작 전",
IF(AND(V1595="정상",OFFSET(Y1595,0,COUNTA(Y1595:AV1595)-1)&gt;=U1595),"정상",
IF(AND(V1595="면제",OFFSET(Y1595,0,COUNTA(Y1595:AV1595)-1)="면제"),"면제",
IF(AND(V1595="면제",OFFSET(Y1595,0,COUNTA(Y1595:AV1595)-1)=0),"면제",
"확인요청"))))))</f>
        <v>정상</v>
      </c>
      <c r="Y1595" s="93" t="n">
        <v>55000</v>
      </c>
      <c r="Z1595" s="90" t="n">
        <v>55000</v>
      </c>
      <c r="AA1595" s="90" t="n">
        <v>55000</v>
      </c>
      <c r="AB1595" s="90" t="n">
        <v>55000</v>
      </c>
      <c r="AC1595" s="90" t="n">
        <v>55000</v>
      </c>
      <c r="AD1595" s="90" t="n">
        <v>55000</v>
      </c>
      <c r="AE1595" s="90" t="n">
        <v>55000</v>
      </c>
      <c r="AF1595" s="90" t="n">
        <v>55000</v>
      </c>
      <c r="AG1595" s="90" t="n">
        <v>55000</v>
      </c>
      <c r="AH1595" s="90" t="n">
        <v>55000</v>
      </c>
      <c r="AI1595" s="90" t="n">
        <v>55000</v>
      </c>
      <c r="AJ1595" s="91" t="n">
        <v>55000</v>
      </c>
      <c r="AK1595" s="89" t="n">
        <v>55000</v>
      </c>
      <c r="AL1595" s="90" t="n">
        <v>55000</v>
      </c>
      <c r="AM1595" s="90"/>
      <c r="AN1595" s="90"/>
      <c r="AO1595" s="90"/>
      <c r="AP1595" s="90"/>
      <c r="AQ1595" s="90"/>
      <c r="AR1595" s="90"/>
      <c r="AS1595" s="90"/>
      <c r="AT1595" s="90"/>
      <c r="AU1595" s="90"/>
      <c r="AV1595" s="91"/>
      <c r="AX1595" s="92"/>
    </row>
    <row r="1596" customFormat="false" ht="15.65" hidden="false" customHeight="false" outlineLevel="0" collapsed="false">
      <c r="C1596" s="72" t="n">
        <f aca="false">COUNTIFS($D$6:D1596,"&lt;&gt;"&amp;"")</f>
        <v>1591</v>
      </c>
      <c r="D1596" s="73" t="s">
        <v>12</v>
      </c>
      <c r="E1596" s="76" t="str">
        <f aca="false">
IF($D1596="정상",INDEX(임대자산!$D$3:$R$3000,MATCH($F1596,임대자산!$I$3:$I$3000,0),MATCH(E$3,임대자산!$D$3:$R$3,0)),
IF($D1596="폐업",INDEX(폐업정보!$D$3:$R$3000,MATCH($F1596,폐업정보!$I$3:$I$3000,0),MATCH(E$3,폐업정보!$D$3:$R$3,0)),
"Error"))</f>
        <v>서울</v>
      </c>
      <c r="F159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B1591</v>
      </c>
      <c r="G1596" s="76" t="str">
        <f aca="false">F1596&amp;RANDBETWEEN(0,10)</f>
        <v>B15913</v>
      </c>
      <c r="H1596" s="75" t="n">
        <f aca="false">
IF($D1596="정상",INDEX(임대자산!$D$3:$R$3000,MATCH($F1596,임대자산!$I$3:$I$3000,0),MATCH(H$4,임대자산!$D$3:$R$3,0)),
IF($D1596="폐업",INDEX(폐업정보!$D$3:$R$3000,MATCH($F1596,폐업정보!$I$3:$I$3000,0),MATCH(H$4,폐업정보!$D$3:$R$3,0)),
"Error"))</f>
        <v>45645</v>
      </c>
      <c r="I1596" s="75" t="str">
        <f aca="false">
IF($D1596="정상",INDEX(임대자산!$D$3:$R$3000,MATCH($F1596,임대자산!$I$3:$I$3000,0),MATCH(I$4,임대자산!$D$3:$R$3,0)),
IF($D1596="폐업",INDEX(폐업정보!$D$3:$R$3000,MATCH($F1596,폐업정보!$I$3:$I$3000,0),MATCH(I$4,폐업정보!$D$3:$R$3,0)),
"Error"))</f>
        <v>A1591</v>
      </c>
      <c r="J1596" s="75" t="str">
        <f aca="false">
IF($D1596="정상",INDEX(임대자산!$D$3:$R$3000,MATCH($F1596,임대자산!$I$3:$I$3000,0),MATCH(J$4,임대자산!$D$3:$R$3,0)),
IF($D1596="폐업",INDEX(폐업정보!$D$3:$R$3000,MATCH($F1596,폐업정보!$I$3:$I$3000,0),MATCH(J$4,폐업정보!$D$3:$R$3,0)),
"Error"))</f>
        <v>2182100000</v>
      </c>
      <c r="K1596" s="75" t="str">
        <f aca="false">
IF($D1596="정상",INDEX(임대자산!$D$3:$R$3000,MATCH($F1596,임대자산!$I$3:$I$3000,0),MATCH(K$4,임대자산!$D$3:$R$3,0)),
IF($D1596="폐업",INDEX(폐업정보!$D$3:$R$3000,MATCH($F1596,폐업정보!$I$3:$I$3000,0),MATCH(K$4,폐업정보!$D$3:$R$3,0)),
"Error"))</f>
        <v>C1591</v>
      </c>
      <c r="L1596" s="75" t="str">
        <f aca="false">
IF($D1596="정상",INDEX(임대자산!$D$3:$R$3000,MATCH($F1596,임대자산!$I$3:$I$3000,0),MATCH(L$4,임대자산!$D$3:$R$3,0)),
IF($D1596="폐업",INDEX(폐업정보!$D$3:$R$3000,MATCH($F1596,폐업정보!$I$3:$I$3000,0),MATCH(L$4,폐업정보!$D$3:$R$3,0)),
"Error"))</f>
        <v>D1591</v>
      </c>
      <c r="M1596" s="76" t="s">
        <v>96</v>
      </c>
      <c r="N1596" s="77"/>
      <c r="O1596" s="78" t="s">
        <v>97</v>
      </c>
      <c r="P1596" s="79" t="n">
        <f aca="false">COUNTIFS(임대자산!$I:$I,가맹점정보!F1596,임대자산!$N:$N,가맹점정보!P$4)</f>
        <v>0</v>
      </c>
      <c r="Q1596" s="80" t="n">
        <f aca="false">COUNTIFS(임대자산!$I:$I,가맹점정보!F1596,임대자산!$N:$N,가맹점정보!Q$4)</f>
        <v>0</v>
      </c>
      <c r="R1596" s="81" t="n">
        <f aca="false">COUNTIFS(임대자산!$I:$I,가맹점정보!F1596,임대자산!$N:$N,가맹점정보!R$4)</f>
        <v>1</v>
      </c>
      <c r="S1596" s="82" t="n">
        <v>55000</v>
      </c>
      <c r="T1596" s="83" t="n">
        <v>0</v>
      </c>
      <c r="U1596" s="80" t="n">
        <f aca="false">SUM(S1596:T1596)</f>
        <v>55000</v>
      </c>
      <c r="V1596" s="84" t="s">
        <v>12</v>
      </c>
      <c r="W1596" s="80" t="e">
        <f aca="true">
IF(D1596="폐업","폐업",
IF(V1596="면제","면제",
IF(AND(V1596="정상",COUNTIFS(OFFSET(Y1596,0,COUNTA(Y1596:AV1596)-1,1,-4),"미납")&gt;=3),"장기미납",
IF(AND(V1596="정상",OFFSET(Y1596,0,COUNTA(Y1596:AV1596)-1)&gt;=U1596),"정상",
IF(AND(V1596="정상",OFFSET(Y1596,0,COUNTA(Y1596:AV1596)-1)=0),"정상",
"계약서 미작성")))))</f>
        <v>#VALUE!</v>
      </c>
      <c r="X1596" s="81" t="str">
        <f aca="true">
IF(D1596="폐업","폐업",
IF(AND(V1596="정상",OFFSET(Y1596,0,COUNTA(Y1596:AV1596)-1)="미납"),"미납",
IF(AND(V1596="정상",OFFSET(Y1596,0,COUNTA(Y1596:AV1596)-1)=0),"납부 시작 전",
IF(AND(V1596="정상",OFFSET(Y1596,0,COUNTA(Y1596:AV1596)-1)&gt;=U1596),"정상",
IF(AND(V1596="면제",OFFSET(Y1596,0,COUNTA(Y1596:AV1596)-1)="면제"),"면제",
IF(AND(V1596="면제",OFFSET(Y1596,0,COUNTA(Y1596:AV1596)-1)=0),"면제",
"확인요청"))))))</f>
        <v>정상</v>
      </c>
      <c r="Y1596" s="93" t="n">
        <v>55000</v>
      </c>
      <c r="Z1596" s="90" t="n">
        <v>55000</v>
      </c>
      <c r="AA1596" s="90" t="n">
        <v>55000</v>
      </c>
      <c r="AB1596" s="90" t="n">
        <v>55000</v>
      </c>
      <c r="AC1596" s="90" t="n">
        <v>55000</v>
      </c>
      <c r="AD1596" s="90" t="n">
        <v>55000</v>
      </c>
      <c r="AE1596" s="90" t="n">
        <v>55000</v>
      </c>
      <c r="AF1596" s="90" t="n">
        <v>55000</v>
      </c>
      <c r="AG1596" s="90" t="n">
        <v>55000</v>
      </c>
      <c r="AH1596" s="90" t="n">
        <v>55000</v>
      </c>
      <c r="AI1596" s="90" t="n">
        <v>55000</v>
      </c>
      <c r="AJ1596" s="91" t="n">
        <v>55000</v>
      </c>
      <c r="AK1596" s="89" t="n">
        <v>55000</v>
      </c>
      <c r="AL1596" s="90" t="n">
        <v>55000</v>
      </c>
      <c r="AM1596" s="90"/>
      <c r="AN1596" s="90"/>
      <c r="AO1596" s="90"/>
      <c r="AP1596" s="90"/>
      <c r="AQ1596" s="90"/>
      <c r="AR1596" s="90"/>
      <c r="AS1596" s="90"/>
      <c r="AT1596" s="90"/>
      <c r="AU1596" s="90"/>
      <c r="AV1596" s="91"/>
      <c r="AX1596" s="92"/>
    </row>
    <row r="1597" customFormat="false" ht="15.65" hidden="false" customHeight="false" outlineLevel="0" collapsed="false">
      <c r="C1597" s="72" t="n">
        <f aca="false">COUNTIFS($D$6:D1597,"&lt;&gt;"&amp;"")</f>
        <v>1592</v>
      </c>
      <c r="D1597" s="73" t="s">
        <v>12</v>
      </c>
      <c r="E1597" s="76" t="str">
        <f aca="false">
IF($D1597="정상",INDEX(임대자산!$D$3:$R$3000,MATCH($F1597,임대자산!$I$3:$I$3000,0),MATCH(E$3,임대자산!$D$3:$R$3,0)),
IF($D1597="폐업",INDEX(폐업정보!$D$3:$R$3000,MATCH($F1597,폐업정보!$I$3:$I$3000,0),MATCH(E$3,폐업정보!$D$3:$R$3,0)),
"Error"))</f>
        <v>서울</v>
      </c>
      <c r="F159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B1592</v>
      </c>
      <c r="G1597" s="76" t="str">
        <f aca="false">F1597&amp;RANDBETWEEN(0,10)</f>
        <v>B15929</v>
      </c>
      <c r="H1597" s="75" t="n">
        <f aca="false">
IF($D1597="정상",INDEX(임대자산!$D$3:$R$3000,MATCH($F1597,임대자산!$I$3:$I$3000,0),MATCH(H$4,임대자산!$D$3:$R$3,0)),
IF($D1597="폐업",INDEX(폐업정보!$D$3:$R$3000,MATCH($F1597,폐업정보!$I$3:$I$3000,0),MATCH(H$4,폐업정보!$D$3:$R$3,0)),
"Error"))</f>
        <v>45645</v>
      </c>
      <c r="I1597" s="75" t="str">
        <f aca="false">
IF($D1597="정상",INDEX(임대자산!$D$3:$R$3000,MATCH($F1597,임대자산!$I$3:$I$3000,0),MATCH(I$4,임대자산!$D$3:$R$3,0)),
IF($D1597="폐업",INDEX(폐업정보!$D$3:$R$3000,MATCH($F1597,폐업정보!$I$3:$I$3000,0),MATCH(I$4,폐업정보!$D$3:$R$3,0)),
"Error"))</f>
        <v>A1592</v>
      </c>
      <c r="J1597" s="75" t="str">
        <f aca="false">
IF($D1597="정상",INDEX(임대자산!$D$3:$R$3000,MATCH($F1597,임대자산!$I$3:$I$3000,0),MATCH(J$4,임대자산!$D$3:$R$3,0)),
IF($D1597="폐업",INDEX(폐업정보!$D$3:$R$3000,MATCH($F1597,폐업정보!$I$3:$I$3000,0),MATCH(J$4,폐업정보!$D$3:$R$3,0)),
"Error"))</f>
        <v>6793000000</v>
      </c>
      <c r="K1597" s="75" t="str">
        <f aca="false">
IF($D1597="정상",INDEX(임대자산!$D$3:$R$3000,MATCH($F1597,임대자산!$I$3:$I$3000,0),MATCH(K$4,임대자산!$D$3:$R$3,0)),
IF($D1597="폐업",INDEX(폐업정보!$D$3:$R$3000,MATCH($F1597,폐업정보!$I$3:$I$3000,0),MATCH(K$4,폐업정보!$D$3:$R$3,0)),
"Error"))</f>
        <v>C1592</v>
      </c>
      <c r="L1597" s="75" t="str">
        <f aca="false">
IF($D1597="정상",INDEX(임대자산!$D$3:$R$3000,MATCH($F1597,임대자산!$I$3:$I$3000,0),MATCH(L$4,임대자산!$D$3:$R$3,0)),
IF($D1597="폐업",INDEX(폐업정보!$D$3:$R$3000,MATCH($F1597,폐업정보!$I$3:$I$3000,0),MATCH(L$4,폐업정보!$D$3:$R$3,0)),
"Error"))</f>
        <v>D1592</v>
      </c>
      <c r="M1597" s="76" t="s">
        <v>96</v>
      </c>
      <c r="N1597" s="77"/>
      <c r="O1597" s="78" t="s">
        <v>97</v>
      </c>
      <c r="P1597" s="79" t="n">
        <f aca="false">COUNTIFS(임대자산!$I:$I,가맹점정보!F1597,임대자산!$N:$N,가맹점정보!P$4)</f>
        <v>0</v>
      </c>
      <c r="Q1597" s="80" t="n">
        <f aca="false">COUNTIFS(임대자산!$I:$I,가맹점정보!F1597,임대자산!$N:$N,가맹점정보!Q$4)</f>
        <v>0</v>
      </c>
      <c r="R1597" s="81" t="n">
        <f aca="false">COUNTIFS(임대자산!$I:$I,가맹점정보!F1597,임대자산!$N:$N,가맹점정보!R$4)</f>
        <v>1</v>
      </c>
      <c r="S1597" s="82" t="n">
        <v>55000</v>
      </c>
      <c r="T1597" s="83" t="n">
        <v>0</v>
      </c>
      <c r="U1597" s="80" t="n">
        <f aca="false">SUM(S1597:T1597)</f>
        <v>55000</v>
      </c>
      <c r="V1597" s="84" t="s">
        <v>12</v>
      </c>
      <c r="W1597" s="80" t="e">
        <f aca="true">
IF(D1597="폐업","폐업",
IF(V1597="면제","면제",
IF(AND(V1597="정상",COUNTIFS(OFFSET(Y1597,0,COUNTA(Y1597:AV1597)-1,1,-4),"미납")&gt;=3),"장기미납",
IF(AND(V1597="정상",OFFSET(Y1597,0,COUNTA(Y1597:AV1597)-1)&gt;=U1597),"정상",
IF(AND(V1597="정상",OFFSET(Y1597,0,COUNTA(Y1597:AV1597)-1)=0),"정상",
"계약서 미작성")))))</f>
        <v>#VALUE!</v>
      </c>
      <c r="X1597" s="81" t="str">
        <f aca="true">
IF(D1597="폐업","폐업",
IF(AND(V1597="정상",OFFSET(Y1597,0,COUNTA(Y1597:AV1597)-1)="미납"),"미납",
IF(AND(V1597="정상",OFFSET(Y1597,0,COUNTA(Y1597:AV1597)-1)=0),"납부 시작 전",
IF(AND(V1597="정상",OFFSET(Y1597,0,COUNTA(Y1597:AV1597)-1)&gt;=U1597),"정상",
IF(AND(V1597="면제",OFFSET(Y1597,0,COUNTA(Y1597:AV1597)-1)="면제"),"면제",
IF(AND(V1597="면제",OFFSET(Y1597,0,COUNTA(Y1597:AV1597)-1)=0),"면제",
"확인요청"))))))</f>
        <v>정상</v>
      </c>
      <c r="Y1597" s="94" t="s">
        <v>62</v>
      </c>
      <c r="Z1597" s="90" t="n">
        <v>55000</v>
      </c>
      <c r="AA1597" s="90" t="n">
        <v>55000</v>
      </c>
      <c r="AB1597" s="90" t="n">
        <v>55000</v>
      </c>
      <c r="AC1597" s="90" t="n">
        <v>55000</v>
      </c>
      <c r="AD1597" s="90" t="n">
        <v>55000</v>
      </c>
      <c r="AE1597" s="90" t="n">
        <v>55000</v>
      </c>
      <c r="AF1597" s="90" t="n">
        <v>55000</v>
      </c>
      <c r="AG1597" s="90" t="n">
        <v>55000</v>
      </c>
      <c r="AH1597" s="90" t="n">
        <v>55000</v>
      </c>
      <c r="AI1597" s="90" t="n">
        <v>55000</v>
      </c>
      <c r="AJ1597" s="91" t="n">
        <v>55000</v>
      </c>
      <c r="AK1597" s="89" t="n">
        <v>55000</v>
      </c>
      <c r="AL1597" s="90" t="n">
        <v>55000</v>
      </c>
      <c r="AM1597" s="90"/>
      <c r="AN1597" s="90"/>
      <c r="AO1597" s="90"/>
      <c r="AP1597" s="90"/>
      <c r="AQ1597" s="90"/>
      <c r="AR1597" s="90"/>
      <c r="AS1597" s="90"/>
      <c r="AT1597" s="90"/>
      <c r="AU1597" s="90"/>
      <c r="AV1597" s="91"/>
      <c r="AX1597" s="92"/>
    </row>
    <row r="1598" customFormat="false" ht="15.65" hidden="false" customHeight="false" outlineLevel="0" collapsed="false">
      <c r="C1598" s="72" t="n">
        <f aca="false">COUNTIFS($D$6:D1598,"&lt;&gt;"&amp;"")</f>
        <v>1593</v>
      </c>
      <c r="D1598" s="73" t="s">
        <v>12</v>
      </c>
      <c r="E1598" s="76" t="str">
        <f aca="false">
IF($D1598="정상",INDEX(임대자산!$D$3:$R$3000,MATCH($F1598,임대자산!$I$3:$I$3000,0),MATCH(E$3,임대자산!$D$3:$R$3,0)),
IF($D1598="폐업",INDEX(폐업정보!$D$3:$R$3000,MATCH($F1598,폐업정보!$I$3:$I$3000,0),MATCH(E$3,폐업정보!$D$3:$R$3,0)),
"Error"))</f>
        <v>서울</v>
      </c>
      <c r="F159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B1593</v>
      </c>
      <c r="G1598" s="76" t="str">
        <f aca="false">F1598&amp;RANDBETWEEN(0,10)</f>
        <v>B15931</v>
      </c>
      <c r="H1598" s="75" t="n">
        <f aca="false">
IF($D1598="정상",INDEX(임대자산!$D$3:$R$3000,MATCH($F1598,임대자산!$I$3:$I$3000,0),MATCH(H$4,임대자산!$D$3:$R$3,0)),
IF($D1598="폐업",INDEX(폐업정보!$D$3:$R$3000,MATCH($F1598,폐업정보!$I$3:$I$3000,0),MATCH(H$4,폐업정보!$D$3:$R$3,0)),
"Error"))</f>
        <v>45656</v>
      </c>
      <c r="I1598" s="75" t="str">
        <f aca="false">
IF($D1598="정상",INDEX(임대자산!$D$3:$R$3000,MATCH($F1598,임대자산!$I$3:$I$3000,0),MATCH(I$4,임대자산!$D$3:$R$3,0)),
IF($D1598="폐업",INDEX(폐업정보!$D$3:$R$3000,MATCH($F1598,폐업정보!$I$3:$I$3000,0),MATCH(I$4,폐업정보!$D$3:$R$3,0)),
"Error"))</f>
        <v>A1593</v>
      </c>
      <c r="J1598" s="75" t="str">
        <f aca="false">
IF($D1598="정상",INDEX(임대자산!$D$3:$R$3000,MATCH($F1598,임대자산!$I$3:$I$3000,0),MATCH(J$4,임대자산!$D$3:$R$3,0)),
IF($D1598="폐업",INDEX(폐업정보!$D$3:$R$3000,MATCH($F1598,폐업정보!$I$3:$I$3000,0),MATCH(J$4,폐업정보!$D$3:$R$3,0)),
"Error"))</f>
        <v>4894200000</v>
      </c>
      <c r="K1598" s="75" t="str">
        <f aca="false">
IF($D1598="정상",INDEX(임대자산!$D$3:$R$3000,MATCH($F1598,임대자산!$I$3:$I$3000,0),MATCH(K$4,임대자산!$D$3:$R$3,0)),
IF($D1598="폐업",INDEX(폐업정보!$D$3:$R$3000,MATCH($F1598,폐업정보!$I$3:$I$3000,0),MATCH(K$4,폐업정보!$D$3:$R$3,0)),
"Error"))</f>
        <v>C1593</v>
      </c>
      <c r="L1598" s="75" t="str">
        <f aca="false">
IF($D1598="정상",INDEX(임대자산!$D$3:$R$3000,MATCH($F1598,임대자산!$I$3:$I$3000,0),MATCH(L$4,임대자산!$D$3:$R$3,0)),
IF($D1598="폐업",INDEX(폐업정보!$D$3:$R$3000,MATCH($F1598,폐업정보!$I$3:$I$3000,0),MATCH(L$4,폐업정보!$D$3:$R$3,0)),
"Error"))</f>
        <v>D1593</v>
      </c>
      <c r="M1598" s="76" t="s">
        <v>96</v>
      </c>
      <c r="N1598" s="77"/>
      <c r="O1598" s="78" t="s">
        <v>97</v>
      </c>
      <c r="P1598" s="79" t="n">
        <f aca="false">COUNTIFS(임대자산!$I:$I,가맹점정보!F1598,임대자산!$N:$N,가맹점정보!P$4)</f>
        <v>0</v>
      </c>
      <c r="Q1598" s="80" t="n">
        <f aca="false">COUNTIFS(임대자산!$I:$I,가맹점정보!F1598,임대자산!$N:$N,가맹점정보!Q$4)</f>
        <v>0</v>
      </c>
      <c r="R1598" s="81" t="n">
        <f aca="false">COUNTIFS(임대자산!$I:$I,가맹점정보!F1598,임대자산!$N:$N,가맹점정보!R$4)</f>
        <v>1</v>
      </c>
      <c r="S1598" s="82" t="n">
        <v>55000</v>
      </c>
      <c r="T1598" s="83" t="n">
        <v>0</v>
      </c>
      <c r="U1598" s="80" t="n">
        <f aca="false">SUM(S1598:T1598)</f>
        <v>55000</v>
      </c>
      <c r="V1598" s="84" t="s">
        <v>7</v>
      </c>
      <c r="W1598" s="80" t="str">
        <f aca="true">
IF(D1598="폐업","폐업",
IF(V1598="면제","면제",
IF(AND(V1598="정상",COUNTIFS(OFFSET(Y1598,0,COUNTA(Y1598:AV1598)-1,1,-4),"미납")&gt;=3),"장기미납",
IF(AND(V1598="정상",OFFSET(Y1598,0,COUNTA(Y1598:AV1598)-1)&gt;=U1598),"정상",
IF(AND(V1598="정상",OFFSET(Y1598,0,COUNTA(Y1598:AV1598)-1)=0),"정상",
"계약서 미작성")))))</f>
        <v>면제</v>
      </c>
      <c r="X1598" s="81" t="str">
        <f aca="true">
IF(D1598="폐업","폐업",
IF(AND(V1598="정상",OFFSET(Y1598,0,COUNTA(Y1598:AV1598)-1)="미납"),"미납",
IF(AND(V1598="정상",OFFSET(Y1598,0,COUNTA(Y1598:AV1598)-1)=0),"납부 시작 전",
IF(AND(V1598="정상",OFFSET(Y1598,0,COUNTA(Y1598:AV1598)-1)&gt;=U1598),"정상",
IF(AND(V1598="면제",OFFSET(Y1598,0,COUNTA(Y1598:AV1598)-1)="면제"),"면제",
IF(AND(V1598="면제",OFFSET(Y1598,0,COUNTA(Y1598:AV1598)-1)=0),"면제",
"확인요청"))))))</f>
        <v>면제</v>
      </c>
      <c r="Y1598" s="93" t="n">
        <v>55000</v>
      </c>
      <c r="Z1598" s="90" t="n">
        <v>55000</v>
      </c>
      <c r="AA1598" s="90" t="n">
        <v>55000</v>
      </c>
      <c r="AB1598" s="90" t="n">
        <v>55000</v>
      </c>
      <c r="AC1598" s="90" t="n">
        <v>55000</v>
      </c>
      <c r="AD1598" s="95" t="s">
        <v>62</v>
      </c>
      <c r="AE1598" s="95" t="s">
        <v>7</v>
      </c>
      <c r="AF1598" s="95" t="s">
        <v>7</v>
      </c>
      <c r="AG1598" s="95" t="s">
        <v>7</v>
      </c>
      <c r="AH1598" s="95" t="s">
        <v>7</v>
      </c>
      <c r="AI1598" s="95" t="s">
        <v>7</v>
      </c>
      <c r="AJ1598" s="96" t="s">
        <v>7</v>
      </c>
      <c r="AK1598" s="97" t="s">
        <v>7</v>
      </c>
      <c r="AL1598" s="95" t="s">
        <v>7</v>
      </c>
      <c r="AM1598" s="90"/>
      <c r="AN1598" s="90"/>
      <c r="AO1598" s="90"/>
      <c r="AP1598" s="90"/>
      <c r="AQ1598" s="90"/>
      <c r="AR1598" s="90"/>
      <c r="AS1598" s="90"/>
      <c r="AT1598" s="90"/>
      <c r="AU1598" s="90"/>
      <c r="AV1598" s="91"/>
      <c r="AX1598" s="92"/>
    </row>
    <row r="1599" customFormat="false" ht="15.65" hidden="false" customHeight="false" outlineLevel="0" collapsed="false">
      <c r="C1599" s="72" t="n">
        <f aca="false">COUNTIFS($D$6:D1599,"&lt;&gt;"&amp;"")</f>
        <v>1594</v>
      </c>
      <c r="D1599" s="73" t="s">
        <v>12</v>
      </c>
      <c r="E1599" s="76" t="str">
        <f aca="false">
IF($D1599="정상",INDEX(임대자산!$D$3:$R$3000,MATCH($F1599,임대자산!$I$3:$I$3000,0),MATCH(E$3,임대자산!$D$3:$R$3,0)),
IF($D1599="폐업",INDEX(폐업정보!$D$3:$R$3000,MATCH($F1599,폐업정보!$I$3:$I$3000,0),MATCH(E$3,폐업정보!$D$3:$R$3,0)),
"Error"))</f>
        <v>강원</v>
      </c>
      <c r="F159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B1594</v>
      </c>
      <c r="G1599" s="76" t="str">
        <f aca="false">F1599&amp;RANDBETWEEN(0,10)</f>
        <v>B15947</v>
      </c>
      <c r="H1599" s="75" t="n">
        <f aca="false">
IF($D1599="정상",INDEX(임대자산!$D$3:$R$3000,MATCH($F1599,임대자산!$I$3:$I$3000,0),MATCH(H$4,임대자산!$D$3:$R$3,0)),
IF($D1599="폐업",INDEX(폐업정보!$D$3:$R$3000,MATCH($F1599,폐업정보!$I$3:$I$3000,0),MATCH(H$4,폐업정보!$D$3:$R$3,0)),
"Error"))</f>
        <v>45645</v>
      </c>
      <c r="I1599" s="75" t="str">
        <f aca="false">
IF($D1599="정상",INDEX(임대자산!$D$3:$R$3000,MATCH($F1599,임대자산!$I$3:$I$3000,0),MATCH(I$4,임대자산!$D$3:$R$3,0)),
IF($D1599="폐업",INDEX(폐업정보!$D$3:$R$3000,MATCH($F1599,폐업정보!$I$3:$I$3000,0),MATCH(I$4,폐업정보!$D$3:$R$3,0)),
"Error"))</f>
        <v>A1594</v>
      </c>
      <c r="J1599" s="75" t="str">
        <f aca="false">
IF($D1599="정상",INDEX(임대자산!$D$3:$R$3000,MATCH($F1599,임대자산!$I$3:$I$3000,0),MATCH(J$4,임대자산!$D$3:$R$3,0)),
IF($D1599="폐업",INDEX(폐업정보!$D$3:$R$3000,MATCH($F1599,폐업정보!$I$3:$I$3000,0),MATCH(J$4,폐업정보!$D$3:$R$3,0)),
"Error"))</f>
        <v>7078800000</v>
      </c>
      <c r="K1599" s="75" t="str">
        <f aca="false">
IF($D1599="정상",INDEX(임대자산!$D$3:$R$3000,MATCH($F1599,임대자산!$I$3:$I$3000,0),MATCH(K$4,임대자산!$D$3:$R$3,0)),
IF($D1599="폐업",INDEX(폐업정보!$D$3:$R$3000,MATCH($F1599,폐업정보!$I$3:$I$3000,0),MATCH(K$4,폐업정보!$D$3:$R$3,0)),
"Error"))</f>
        <v>C1594</v>
      </c>
      <c r="L1599" s="75" t="str">
        <f aca="false">
IF($D1599="정상",INDEX(임대자산!$D$3:$R$3000,MATCH($F1599,임대자산!$I$3:$I$3000,0),MATCH(L$4,임대자산!$D$3:$R$3,0)),
IF($D1599="폐업",INDEX(폐업정보!$D$3:$R$3000,MATCH($F1599,폐업정보!$I$3:$I$3000,0),MATCH(L$4,폐업정보!$D$3:$R$3,0)),
"Error"))</f>
        <v>D1594</v>
      </c>
      <c r="M1599" s="76" t="s">
        <v>96</v>
      </c>
      <c r="N1599" s="77"/>
      <c r="O1599" s="78" t="s">
        <v>97</v>
      </c>
      <c r="P1599" s="79" t="n">
        <f aca="false">COUNTIFS(임대자산!$I:$I,가맹점정보!F1599,임대자산!$N:$N,가맹점정보!P$4)</f>
        <v>0</v>
      </c>
      <c r="Q1599" s="80" t="n">
        <f aca="false">COUNTIFS(임대자산!$I:$I,가맹점정보!F1599,임대자산!$N:$N,가맹점정보!Q$4)</f>
        <v>0</v>
      </c>
      <c r="R1599" s="81" t="n">
        <f aca="false">COUNTIFS(임대자산!$I:$I,가맹점정보!F1599,임대자산!$N:$N,가맹점정보!R$4)</f>
        <v>1</v>
      </c>
      <c r="S1599" s="82" t="n">
        <v>55000</v>
      </c>
      <c r="T1599" s="83" t="n">
        <v>0</v>
      </c>
      <c r="U1599" s="80" t="n">
        <f aca="false">SUM(S1599:T1599)</f>
        <v>55000</v>
      </c>
      <c r="V1599" s="84" t="s">
        <v>7</v>
      </c>
      <c r="W1599" s="80" t="str">
        <f aca="true">
IF(D1599="폐업","폐업",
IF(V1599="면제","면제",
IF(AND(V1599="정상",COUNTIFS(OFFSET(Y1599,0,COUNTA(Y1599:AV1599)-1,1,-4),"미납")&gt;=3),"장기미납",
IF(AND(V1599="정상",OFFSET(Y1599,0,COUNTA(Y1599:AV1599)-1)&gt;=U1599),"정상",
IF(AND(V1599="정상",OFFSET(Y1599,0,COUNTA(Y1599:AV1599)-1)=0),"정상",
"계약서 미작성")))))</f>
        <v>면제</v>
      </c>
      <c r="X1599" s="81" t="str">
        <f aca="true">
IF(D1599="폐업","폐업",
IF(AND(V1599="정상",OFFSET(Y1599,0,COUNTA(Y1599:AV1599)-1)="미납"),"미납",
IF(AND(V1599="정상",OFFSET(Y1599,0,COUNTA(Y1599:AV1599)-1)=0),"납부 시작 전",
IF(AND(V1599="정상",OFFSET(Y1599,0,COUNTA(Y1599:AV1599)-1)&gt;=U1599),"정상",
IF(AND(V1599="면제",OFFSET(Y1599,0,COUNTA(Y1599:AV1599)-1)="면제"),"면제",
IF(AND(V1599="면제",OFFSET(Y1599,0,COUNTA(Y1599:AV1599)-1)=0),"면제",
"확인요청"))))))</f>
        <v>면제</v>
      </c>
      <c r="Y1599" s="94" t="s">
        <v>7</v>
      </c>
      <c r="Z1599" s="95" t="s">
        <v>7</v>
      </c>
      <c r="AA1599" s="95" t="s">
        <v>7</v>
      </c>
      <c r="AB1599" s="95" t="s">
        <v>7</v>
      </c>
      <c r="AC1599" s="95" t="s">
        <v>7</v>
      </c>
      <c r="AD1599" s="95" t="s">
        <v>7</v>
      </c>
      <c r="AE1599" s="95" t="s">
        <v>7</v>
      </c>
      <c r="AF1599" s="95" t="s">
        <v>7</v>
      </c>
      <c r="AG1599" s="95" t="s">
        <v>7</v>
      </c>
      <c r="AH1599" s="95" t="s">
        <v>7</v>
      </c>
      <c r="AI1599" s="95" t="s">
        <v>7</v>
      </c>
      <c r="AJ1599" s="96" t="s">
        <v>7</v>
      </c>
      <c r="AK1599" s="97" t="s">
        <v>7</v>
      </c>
      <c r="AL1599" s="95" t="s">
        <v>7</v>
      </c>
      <c r="AM1599" s="90"/>
      <c r="AN1599" s="90"/>
      <c r="AO1599" s="90"/>
      <c r="AP1599" s="90"/>
      <c r="AQ1599" s="90"/>
      <c r="AR1599" s="90"/>
      <c r="AS1599" s="90"/>
      <c r="AT1599" s="90"/>
      <c r="AU1599" s="90"/>
      <c r="AV1599" s="91"/>
      <c r="AX1599" s="92"/>
    </row>
    <row r="1600" customFormat="false" ht="15.65" hidden="false" customHeight="false" outlineLevel="0" collapsed="false">
      <c r="C1600" s="72" t="n">
        <f aca="false">COUNTIFS($D$6:D1600,"&lt;&gt;"&amp;"")</f>
        <v>1595</v>
      </c>
      <c r="D1600" s="73" t="s">
        <v>12</v>
      </c>
      <c r="E1600" s="76" t="str">
        <f aca="false">
IF($D1600="정상",INDEX(임대자산!$D$3:$R$3000,MATCH($F1600,임대자산!$I$3:$I$3000,0),MATCH(E$3,임대자산!$D$3:$R$3,0)),
IF($D1600="폐업",INDEX(폐업정보!$D$3:$R$3000,MATCH($F1600,폐업정보!$I$3:$I$3000,0),MATCH(E$3,폐업정보!$D$3:$R$3,0)),
"Error"))</f>
        <v>강원</v>
      </c>
      <c r="F160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B1595</v>
      </c>
      <c r="G1600" s="76" t="str">
        <f aca="false">F1600&amp;RANDBETWEEN(0,10)</f>
        <v>B15952</v>
      </c>
      <c r="H1600" s="75" t="n">
        <f aca="false">
IF($D1600="정상",INDEX(임대자산!$D$3:$R$3000,MATCH($F1600,임대자산!$I$3:$I$3000,0),MATCH(H$4,임대자산!$D$3:$R$3,0)),
IF($D1600="폐업",INDEX(폐업정보!$D$3:$R$3000,MATCH($F1600,폐업정보!$I$3:$I$3000,0),MATCH(H$4,폐업정보!$D$3:$R$3,0)),
"Error"))</f>
        <v>45649</v>
      </c>
      <c r="I1600" s="75" t="str">
        <f aca="false">
IF($D1600="정상",INDEX(임대자산!$D$3:$R$3000,MATCH($F1600,임대자산!$I$3:$I$3000,0),MATCH(I$4,임대자산!$D$3:$R$3,0)),
IF($D1600="폐업",INDEX(폐업정보!$D$3:$R$3000,MATCH($F1600,폐업정보!$I$3:$I$3000,0),MATCH(I$4,폐업정보!$D$3:$R$3,0)),
"Error"))</f>
        <v>A1595</v>
      </c>
      <c r="J1600" s="75" t="str">
        <f aca="false">
IF($D1600="정상",INDEX(임대자산!$D$3:$R$3000,MATCH($F1600,임대자산!$I$3:$I$3000,0),MATCH(J$4,임대자산!$D$3:$R$3,0)),
IF($D1600="폐업",INDEX(폐업정보!$D$3:$R$3000,MATCH($F1600,폐업정보!$I$3:$I$3000,0),MATCH(J$4,폐업정보!$D$3:$R$3,0)),
"Error"))</f>
        <v>7519700000</v>
      </c>
      <c r="K1600" s="75" t="str">
        <f aca="false">
IF($D1600="정상",INDEX(임대자산!$D$3:$R$3000,MATCH($F1600,임대자산!$I$3:$I$3000,0),MATCH(K$4,임대자산!$D$3:$R$3,0)),
IF($D1600="폐업",INDEX(폐업정보!$D$3:$R$3000,MATCH($F1600,폐업정보!$I$3:$I$3000,0),MATCH(K$4,폐업정보!$D$3:$R$3,0)),
"Error"))</f>
        <v>C1595</v>
      </c>
      <c r="L1600" s="75" t="str">
        <f aca="false">
IF($D1600="정상",INDEX(임대자산!$D$3:$R$3000,MATCH($F1600,임대자산!$I$3:$I$3000,0),MATCH(L$4,임대자산!$D$3:$R$3,0)),
IF($D1600="폐업",INDEX(폐업정보!$D$3:$R$3000,MATCH($F1600,폐업정보!$I$3:$I$3000,0),MATCH(L$4,폐업정보!$D$3:$R$3,0)),
"Error"))</f>
        <v>D1595</v>
      </c>
      <c r="M1600" s="76" t="s">
        <v>96</v>
      </c>
      <c r="N1600" s="77"/>
      <c r="O1600" s="78" t="s">
        <v>97</v>
      </c>
      <c r="P1600" s="79" t="n">
        <f aca="false">COUNTIFS(임대자산!$I:$I,가맹점정보!F1600,임대자산!$N:$N,가맹점정보!P$4)</f>
        <v>0</v>
      </c>
      <c r="Q1600" s="80" t="n">
        <f aca="false">COUNTIFS(임대자산!$I:$I,가맹점정보!F1600,임대자산!$N:$N,가맹점정보!Q$4)</f>
        <v>0</v>
      </c>
      <c r="R1600" s="81" t="n">
        <f aca="false">COUNTIFS(임대자산!$I:$I,가맹점정보!F1600,임대자산!$N:$N,가맹점정보!R$4)</f>
        <v>1</v>
      </c>
      <c r="S1600" s="82" t="n">
        <v>55000</v>
      </c>
      <c r="T1600" s="83" t="n">
        <v>0</v>
      </c>
      <c r="U1600" s="80" t="n">
        <f aca="false">SUM(S1600:T1600)</f>
        <v>55000</v>
      </c>
      <c r="V1600" s="84" t="s">
        <v>12</v>
      </c>
      <c r="W1600" s="80" t="e">
        <f aca="true">
IF(D1600="폐업","폐업",
IF(V1600="면제","면제",
IF(AND(V1600="정상",COUNTIFS(OFFSET(Y1600,0,COUNTA(Y1600:AV1600)-1,1,-4),"미납")&gt;=3),"장기미납",
IF(AND(V1600="정상",OFFSET(Y1600,0,COUNTA(Y1600:AV1600)-1)&gt;=U1600),"정상",
IF(AND(V1600="정상",OFFSET(Y1600,0,COUNTA(Y1600:AV1600)-1)=0),"정상",
"계약서 미작성")))))</f>
        <v>#VALUE!</v>
      </c>
      <c r="X1600" s="81" t="str">
        <f aca="true">
IF(D1600="폐업","폐업",
IF(AND(V1600="정상",OFFSET(Y1600,0,COUNTA(Y1600:AV1600)-1)="미납"),"미납",
IF(AND(V1600="정상",OFFSET(Y1600,0,COUNTA(Y1600:AV1600)-1)=0),"납부 시작 전",
IF(AND(V1600="정상",OFFSET(Y1600,0,COUNTA(Y1600:AV1600)-1)&gt;=U1600),"정상",
IF(AND(V1600="면제",OFFSET(Y1600,0,COUNTA(Y1600:AV1600)-1)="면제"),"면제",
IF(AND(V1600="면제",OFFSET(Y1600,0,COUNTA(Y1600:AV1600)-1)=0),"면제",
"확인요청"))))))</f>
        <v>미납</v>
      </c>
      <c r="Y1600" s="93" t="n">
        <v>55000</v>
      </c>
      <c r="Z1600" s="90" t="n">
        <v>55000</v>
      </c>
      <c r="AA1600" s="90" t="n">
        <v>55000</v>
      </c>
      <c r="AB1600" s="90" t="n">
        <v>55000</v>
      </c>
      <c r="AC1600" s="90" t="n">
        <v>55000</v>
      </c>
      <c r="AD1600" s="90" t="n">
        <v>55000</v>
      </c>
      <c r="AE1600" s="90" t="n">
        <v>55000</v>
      </c>
      <c r="AF1600" s="95" t="s">
        <v>62</v>
      </c>
      <c r="AG1600" s="95" t="s">
        <v>62</v>
      </c>
      <c r="AH1600" s="95" t="s">
        <v>62</v>
      </c>
      <c r="AI1600" s="95" t="s">
        <v>62</v>
      </c>
      <c r="AJ1600" s="96" t="s">
        <v>62</v>
      </c>
      <c r="AK1600" s="97" t="s">
        <v>62</v>
      </c>
      <c r="AL1600" s="95" t="s">
        <v>62</v>
      </c>
      <c r="AM1600" s="90"/>
      <c r="AN1600" s="90"/>
      <c r="AO1600" s="90"/>
      <c r="AP1600" s="90"/>
      <c r="AQ1600" s="90"/>
      <c r="AR1600" s="90"/>
      <c r="AS1600" s="90"/>
      <c r="AT1600" s="90"/>
      <c r="AU1600" s="90"/>
      <c r="AV1600" s="91"/>
      <c r="AX1600" s="92"/>
    </row>
    <row r="1601" customFormat="false" ht="15.65" hidden="false" customHeight="false" outlineLevel="0" collapsed="false">
      <c r="C1601" s="72" t="n">
        <f aca="false">COUNTIFS($D$6:D1601,"&lt;&gt;"&amp;"")</f>
        <v>1596</v>
      </c>
      <c r="D1601" s="73" t="s">
        <v>12</v>
      </c>
      <c r="E1601" s="76" t="str">
        <f aca="false">
IF($D1601="정상",INDEX(임대자산!$D$3:$R$3000,MATCH($F1601,임대자산!$I$3:$I$3000,0),MATCH(E$3,임대자산!$D$3:$R$3,0)),
IF($D1601="폐업",INDEX(폐업정보!$D$3:$R$3000,MATCH($F1601,폐업정보!$I$3:$I$3000,0),MATCH(E$3,폐업정보!$D$3:$R$3,0)),
"Error"))</f>
        <v>강원</v>
      </c>
      <c r="F160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B1596</v>
      </c>
      <c r="G1601" s="76" t="str">
        <f aca="false">F1601&amp;RANDBETWEEN(0,10)</f>
        <v>B15963</v>
      </c>
      <c r="H1601" s="75" t="n">
        <f aca="false">
IF($D1601="정상",INDEX(임대자산!$D$3:$R$3000,MATCH($F1601,임대자산!$I$3:$I$3000,0),MATCH(H$4,임대자산!$D$3:$R$3,0)),
IF($D1601="폐업",INDEX(폐업정보!$D$3:$R$3000,MATCH($F1601,폐업정보!$I$3:$I$3000,0),MATCH(H$4,폐업정보!$D$3:$R$3,0)),
"Error"))</f>
        <v>45649</v>
      </c>
      <c r="I1601" s="75" t="str">
        <f aca="false">
IF($D1601="정상",INDEX(임대자산!$D$3:$R$3000,MATCH($F1601,임대자산!$I$3:$I$3000,0),MATCH(I$4,임대자산!$D$3:$R$3,0)),
IF($D1601="폐업",INDEX(폐업정보!$D$3:$R$3000,MATCH($F1601,폐업정보!$I$3:$I$3000,0),MATCH(I$4,폐업정보!$D$3:$R$3,0)),
"Error"))</f>
        <v>A1596</v>
      </c>
      <c r="J1601" s="75" t="str">
        <f aca="false">
IF($D1601="정상",INDEX(임대자산!$D$3:$R$3000,MATCH($F1601,임대자산!$I$3:$I$3000,0),MATCH(J$4,임대자산!$D$3:$R$3,0)),
IF($D1601="폐업",INDEX(폐업정보!$D$3:$R$3000,MATCH($F1601,폐업정보!$I$3:$I$3000,0),MATCH(J$4,폐업정보!$D$3:$R$3,0)),
"Error"))</f>
        <v>8087100000</v>
      </c>
      <c r="K1601" s="75" t="str">
        <f aca="false">
IF($D1601="정상",INDEX(임대자산!$D$3:$R$3000,MATCH($F1601,임대자산!$I$3:$I$3000,0),MATCH(K$4,임대자산!$D$3:$R$3,0)),
IF($D1601="폐업",INDEX(폐업정보!$D$3:$R$3000,MATCH($F1601,폐업정보!$I$3:$I$3000,0),MATCH(K$4,폐업정보!$D$3:$R$3,0)),
"Error"))</f>
        <v>C1596</v>
      </c>
      <c r="L1601" s="75" t="str">
        <f aca="false">
IF($D1601="정상",INDEX(임대자산!$D$3:$R$3000,MATCH($F1601,임대자산!$I$3:$I$3000,0),MATCH(L$4,임대자산!$D$3:$R$3,0)),
IF($D1601="폐업",INDEX(폐업정보!$D$3:$R$3000,MATCH($F1601,폐업정보!$I$3:$I$3000,0),MATCH(L$4,폐업정보!$D$3:$R$3,0)),
"Error"))</f>
        <v>D1596</v>
      </c>
      <c r="M1601" s="76" t="s">
        <v>96</v>
      </c>
      <c r="N1601" s="77"/>
      <c r="O1601" s="78" t="s">
        <v>97</v>
      </c>
      <c r="P1601" s="79" t="n">
        <f aca="false">COUNTIFS(임대자산!$I:$I,가맹점정보!F1601,임대자산!$N:$N,가맹점정보!P$4)</f>
        <v>0</v>
      </c>
      <c r="Q1601" s="80" t="n">
        <f aca="false">COUNTIFS(임대자산!$I:$I,가맹점정보!F1601,임대자산!$N:$N,가맹점정보!Q$4)</f>
        <v>0</v>
      </c>
      <c r="R1601" s="81" t="n">
        <f aca="false">COUNTIFS(임대자산!$I:$I,가맹점정보!F1601,임대자산!$N:$N,가맹점정보!R$4)</f>
        <v>1</v>
      </c>
      <c r="S1601" s="82" t="n">
        <v>55000</v>
      </c>
      <c r="T1601" s="83" t="n">
        <v>0</v>
      </c>
      <c r="U1601" s="80" t="n">
        <f aca="false">SUM(S1601:T1601)</f>
        <v>55000</v>
      </c>
      <c r="V1601" s="84" t="s">
        <v>7</v>
      </c>
      <c r="W1601" s="80" t="str">
        <f aca="true">
IF(D1601="폐업","폐업",
IF(V1601="면제","면제",
IF(AND(V1601="정상",COUNTIFS(OFFSET(Y1601,0,COUNTA(Y1601:AV1601)-1,1,-4),"미납")&gt;=3),"장기미납",
IF(AND(V1601="정상",OFFSET(Y1601,0,COUNTA(Y1601:AV1601)-1)&gt;=U1601),"정상",
IF(AND(V1601="정상",OFFSET(Y1601,0,COUNTA(Y1601:AV1601)-1)=0),"정상",
"계약서 미작성")))))</f>
        <v>면제</v>
      </c>
      <c r="X1601" s="81" t="str">
        <f aca="true">
IF(D1601="폐업","폐업",
IF(AND(V1601="정상",OFFSET(Y1601,0,COUNTA(Y1601:AV1601)-1)="미납"),"미납",
IF(AND(V1601="정상",OFFSET(Y1601,0,COUNTA(Y1601:AV1601)-1)=0),"납부 시작 전",
IF(AND(V1601="정상",OFFSET(Y1601,0,COUNTA(Y1601:AV1601)-1)&gt;=U1601),"정상",
IF(AND(V1601="면제",OFFSET(Y1601,0,COUNTA(Y1601:AV1601)-1)="면제"),"면제",
IF(AND(V1601="면제",OFFSET(Y1601,0,COUNTA(Y1601:AV1601)-1)=0),"면제",
"확인요청"))))))</f>
        <v>면제</v>
      </c>
      <c r="Y1601" s="94" t="s">
        <v>7</v>
      </c>
      <c r="Z1601" s="95" t="s">
        <v>7</v>
      </c>
      <c r="AA1601" s="95" t="s">
        <v>7</v>
      </c>
      <c r="AB1601" s="95" t="s">
        <v>7</v>
      </c>
      <c r="AC1601" s="95" t="s">
        <v>7</v>
      </c>
      <c r="AD1601" s="95" t="s">
        <v>7</v>
      </c>
      <c r="AE1601" s="95" t="s">
        <v>7</v>
      </c>
      <c r="AF1601" s="95" t="s">
        <v>7</v>
      </c>
      <c r="AG1601" s="95" t="s">
        <v>7</v>
      </c>
      <c r="AH1601" s="95" t="s">
        <v>7</v>
      </c>
      <c r="AI1601" s="95" t="s">
        <v>7</v>
      </c>
      <c r="AJ1601" s="96" t="s">
        <v>7</v>
      </c>
      <c r="AK1601" s="97" t="s">
        <v>7</v>
      </c>
      <c r="AL1601" s="95" t="s">
        <v>7</v>
      </c>
      <c r="AM1601" s="90"/>
      <c r="AN1601" s="90"/>
      <c r="AO1601" s="90"/>
      <c r="AP1601" s="90"/>
      <c r="AQ1601" s="90"/>
      <c r="AR1601" s="90"/>
      <c r="AS1601" s="90"/>
      <c r="AT1601" s="90"/>
      <c r="AU1601" s="90"/>
      <c r="AV1601" s="91"/>
      <c r="AX1601" s="92"/>
    </row>
    <row r="1602" customFormat="false" ht="15.65" hidden="false" customHeight="false" outlineLevel="0" collapsed="false">
      <c r="C1602" s="72" t="n">
        <f aca="false">COUNTIFS($D$6:D1602,"&lt;&gt;"&amp;"")</f>
        <v>1597</v>
      </c>
      <c r="D1602" s="73" t="s">
        <v>12</v>
      </c>
      <c r="E1602" s="76" t="str">
        <f aca="false">
IF($D1602="정상",INDEX(임대자산!$D$3:$R$3000,MATCH($F1602,임대자산!$I$3:$I$3000,0),MATCH(E$3,임대자산!$D$3:$R$3,0)),
IF($D1602="폐업",INDEX(폐업정보!$D$3:$R$3000,MATCH($F1602,폐업정보!$I$3:$I$3000,0),MATCH(E$3,폐업정보!$D$3:$R$3,0)),
"Error"))</f>
        <v>경기</v>
      </c>
      <c r="F160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B1597</v>
      </c>
      <c r="G1602" s="76" t="str">
        <f aca="false">F1602&amp;RANDBETWEEN(0,10)</f>
        <v>B159710</v>
      </c>
      <c r="H1602" s="75" t="n">
        <f aca="false">
IF($D1602="정상",INDEX(임대자산!$D$3:$R$3000,MATCH($F1602,임대자산!$I$3:$I$3000,0),MATCH(H$4,임대자산!$D$3:$R$3,0)),
IF($D1602="폐업",INDEX(폐업정보!$D$3:$R$3000,MATCH($F1602,폐업정보!$I$3:$I$3000,0),MATCH(H$4,폐업정보!$D$3:$R$3,0)),
"Error"))</f>
        <v>45632</v>
      </c>
      <c r="I1602" s="75" t="str">
        <f aca="false">
IF($D1602="정상",INDEX(임대자산!$D$3:$R$3000,MATCH($F1602,임대자산!$I$3:$I$3000,0),MATCH(I$4,임대자산!$D$3:$R$3,0)),
IF($D1602="폐업",INDEX(폐업정보!$D$3:$R$3000,MATCH($F1602,폐업정보!$I$3:$I$3000,0),MATCH(I$4,폐업정보!$D$3:$R$3,0)),
"Error"))</f>
        <v>A1597</v>
      </c>
      <c r="J1602" s="75" t="str">
        <f aca="false">
IF($D1602="정상",INDEX(임대자산!$D$3:$R$3000,MATCH($F1602,임대자산!$I$3:$I$3000,0),MATCH(J$4,임대자산!$D$3:$R$3,0)),
IF($D1602="폐업",INDEX(폐업정보!$D$3:$R$3000,MATCH($F1602,폐업정보!$I$3:$I$3000,0),MATCH(J$4,폐업정보!$D$3:$R$3,0)),
"Error"))</f>
        <v>8751000000</v>
      </c>
      <c r="K1602" s="75" t="str">
        <f aca="false">
IF($D1602="정상",INDEX(임대자산!$D$3:$R$3000,MATCH($F1602,임대자산!$I$3:$I$3000,0),MATCH(K$4,임대자산!$D$3:$R$3,0)),
IF($D1602="폐업",INDEX(폐업정보!$D$3:$R$3000,MATCH($F1602,폐업정보!$I$3:$I$3000,0),MATCH(K$4,폐업정보!$D$3:$R$3,0)),
"Error"))</f>
        <v>C1597</v>
      </c>
      <c r="L1602" s="75" t="str">
        <f aca="false">
IF($D1602="정상",INDEX(임대자산!$D$3:$R$3000,MATCH($F1602,임대자산!$I$3:$I$3000,0),MATCH(L$4,임대자산!$D$3:$R$3,0)),
IF($D1602="폐업",INDEX(폐업정보!$D$3:$R$3000,MATCH($F1602,폐업정보!$I$3:$I$3000,0),MATCH(L$4,폐업정보!$D$3:$R$3,0)),
"Error"))</f>
        <v>D1597</v>
      </c>
      <c r="M1602" s="76" t="s">
        <v>96</v>
      </c>
      <c r="N1602" s="77"/>
      <c r="O1602" s="78" t="s">
        <v>97</v>
      </c>
      <c r="P1602" s="79" t="n">
        <f aca="false">COUNTIFS(임대자산!$I:$I,가맹점정보!F1602,임대자산!$N:$N,가맹점정보!P$4)</f>
        <v>0</v>
      </c>
      <c r="Q1602" s="80" t="n">
        <f aca="false">COUNTIFS(임대자산!$I:$I,가맹점정보!F1602,임대자산!$N:$N,가맹점정보!Q$4)</f>
        <v>0</v>
      </c>
      <c r="R1602" s="81" t="n">
        <f aca="false">COUNTIFS(임대자산!$I:$I,가맹점정보!F1602,임대자산!$N:$N,가맹점정보!R$4)</f>
        <v>1</v>
      </c>
      <c r="S1602" s="82" t="n">
        <v>55000</v>
      </c>
      <c r="T1602" s="83" t="n">
        <v>0</v>
      </c>
      <c r="U1602" s="80" t="n">
        <f aca="false">SUM(S1602:T1602)</f>
        <v>55000</v>
      </c>
      <c r="V1602" s="84" t="s">
        <v>12</v>
      </c>
      <c r="W1602" s="80" t="e">
        <f aca="true">
IF(D1602="폐업","폐업",
IF(V1602="면제","면제",
IF(AND(V1602="정상",COUNTIFS(OFFSET(Y1602,0,COUNTA(Y1602:AV1602)-1,1,-4),"미납")&gt;=3),"장기미납",
IF(AND(V1602="정상",OFFSET(Y1602,0,COUNTA(Y1602:AV1602)-1)&gt;=U1602),"정상",
IF(AND(V1602="정상",OFFSET(Y1602,0,COUNTA(Y1602:AV1602)-1)=0),"정상",
"계약서 미작성")))))</f>
        <v>#VALUE!</v>
      </c>
      <c r="X1602" s="81" t="str">
        <f aca="true">
IF(D1602="폐업","폐업",
IF(AND(V1602="정상",OFFSET(Y1602,0,COUNTA(Y1602:AV1602)-1)="미납"),"미납",
IF(AND(V1602="정상",OFFSET(Y1602,0,COUNTA(Y1602:AV1602)-1)=0),"납부 시작 전",
IF(AND(V1602="정상",OFFSET(Y1602,0,COUNTA(Y1602:AV1602)-1)&gt;=U1602),"정상",
IF(AND(V1602="면제",OFFSET(Y1602,0,COUNTA(Y1602:AV1602)-1)="면제"),"면제",
IF(AND(V1602="면제",OFFSET(Y1602,0,COUNTA(Y1602:AV1602)-1)=0),"면제",
"확인요청"))))))</f>
        <v>정상</v>
      </c>
      <c r="Y1602" s="93" t="n">
        <v>55000</v>
      </c>
      <c r="Z1602" s="90" t="n">
        <v>55000</v>
      </c>
      <c r="AA1602" s="90" t="n">
        <v>55000</v>
      </c>
      <c r="AB1602" s="90" t="n">
        <v>55000</v>
      </c>
      <c r="AC1602" s="90" t="n">
        <v>55000</v>
      </c>
      <c r="AD1602" s="90" t="n">
        <v>55000</v>
      </c>
      <c r="AE1602" s="90" t="n">
        <v>55000</v>
      </c>
      <c r="AF1602" s="90" t="n">
        <v>55000</v>
      </c>
      <c r="AG1602" s="90" t="n">
        <v>55000</v>
      </c>
      <c r="AH1602" s="90" t="n">
        <v>55000</v>
      </c>
      <c r="AI1602" s="90" t="n">
        <v>55000</v>
      </c>
      <c r="AJ1602" s="91" t="n">
        <v>55000</v>
      </c>
      <c r="AK1602" s="89" t="n">
        <v>55000</v>
      </c>
      <c r="AL1602" s="90" t="n">
        <v>55000</v>
      </c>
      <c r="AM1602" s="90"/>
      <c r="AN1602" s="90"/>
      <c r="AO1602" s="90"/>
      <c r="AP1602" s="90"/>
      <c r="AQ1602" s="90"/>
      <c r="AR1602" s="90"/>
      <c r="AS1602" s="90"/>
      <c r="AT1602" s="90"/>
      <c r="AU1602" s="90"/>
      <c r="AV1602" s="91"/>
      <c r="AX1602" s="92"/>
    </row>
    <row r="1603" customFormat="false" ht="15.65" hidden="false" customHeight="false" outlineLevel="0" collapsed="false">
      <c r="C1603" s="72" t="n">
        <f aca="false">COUNTIFS($D$6:D1603,"&lt;&gt;"&amp;"")</f>
        <v>1598</v>
      </c>
      <c r="D1603" s="73" t="s">
        <v>12</v>
      </c>
      <c r="E1603" s="76" t="str">
        <f aca="false">
IF($D1603="정상",INDEX(임대자산!$D$3:$R$3000,MATCH($F1603,임대자산!$I$3:$I$3000,0),MATCH(E$3,임대자산!$D$3:$R$3,0)),
IF($D1603="폐업",INDEX(폐업정보!$D$3:$R$3000,MATCH($F1603,폐업정보!$I$3:$I$3000,0),MATCH(E$3,폐업정보!$D$3:$R$3,0)),
"Error"))</f>
        <v>경기</v>
      </c>
      <c r="F160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B1598</v>
      </c>
      <c r="G1603" s="76" t="str">
        <f aca="false">F1603&amp;RANDBETWEEN(0,10)</f>
        <v>B15985</v>
      </c>
      <c r="H1603" s="75" t="n">
        <f aca="false">
IF($D1603="정상",INDEX(임대자산!$D$3:$R$3000,MATCH($F1603,임대자산!$I$3:$I$3000,0),MATCH(H$4,임대자산!$D$3:$R$3,0)),
IF($D1603="폐업",INDEX(폐업정보!$D$3:$R$3000,MATCH($F1603,폐업정보!$I$3:$I$3000,0),MATCH(H$4,폐업정보!$D$3:$R$3,0)),
"Error"))</f>
        <v>45632</v>
      </c>
      <c r="I1603" s="75" t="str">
        <f aca="false">
IF($D1603="정상",INDEX(임대자산!$D$3:$R$3000,MATCH($F1603,임대자산!$I$3:$I$3000,0),MATCH(I$4,임대자산!$D$3:$R$3,0)),
IF($D1603="폐업",INDEX(폐업정보!$D$3:$R$3000,MATCH($F1603,폐업정보!$I$3:$I$3000,0),MATCH(I$4,폐업정보!$D$3:$R$3,0)),
"Error"))</f>
        <v>A1598</v>
      </c>
      <c r="J1603" s="75" t="str">
        <f aca="false">
IF($D1603="정상",INDEX(임대자산!$D$3:$R$3000,MATCH($F1603,임대자산!$I$3:$I$3000,0),MATCH(J$4,임대자산!$D$3:$R$3,0)),
IF($D1603="폐업",INDEX(폐업정보!$D$3:$R$3000,MATCH($F1603,폐업정보!$I$3:$I$3000,0),MATCH(J$4,폐업정보!$D$3:$R$3,0)),
"Error"))</f>
        <v>3854500000</v>
      </c>
      <c r="K1603" s="75" t="str">
        <f aca="false">
IF($D1603="정상",INDEX(임대자산!$D$3:$R$3000,MATCH($F1603,임대자산!$I$3:$I$3000,0),MATCH(K$4,임대자산!$D$3:$R$3,0)),
IF($D1603="폐업",INDEX(폐업정보!$D$3:$R$3000,MATCH($F1603,폐업정보!$I$3:$I$3000,0),MATCH(K$4,폐업정보!$D$3:$R$3,0)),
"Error"))</f>
        <v>C1598</v>
      </c>
      <c r="L1603" s="75" t="str">
        <f aca="false">
IF($D1603="정상",INDEX(임대자산!$D$3:$R$3000,MATCH($F1603,임대자산!$I$3:$I$3000,0),MATCH(L$4,임대자산!$D$3:$R$3,0)),
IF($D1603="폐업",INDEX(폐업정보!$D$3:$R$3000,MATCH($F1603,폐업정보!$I$3:$I$3000,0),MATCH(L$4,폐업정보!$D$3:$R$3,0)),
"Error"))</f>
        <v>D1598</v>
      </c>
      <c r="M1603" s="76" t="s">
        <v>96</v>
      </c>
      <c r="N1603" s="77"/>
      <c r="O1603" s="78" t="s">
        <v>97</v>
      </c>
      <c r="P1603" s="79" t="n">
        <f aca="false">COUNTIFS(임대자산!$I:$I,가맹점정보!F1603,임대자산!$N:$N,가맹점정보!P$4)</f>
        <v>0</v>
      </c>
      <c r="Q1603" s="80" t="n">
        <f aca="false">COUNTIFS(임대자산!$I:$I,가맹점정보!F1603,임대자산!$N:$N,가맹점정보!Q$4)</f>
        <v>0</v>
      </c>
      <c r="R1603" s="81" t="n">
        <f aca="false">COUNTIFS(임대자산!$I:$I,가맹점정보!F1603,임대자산!$N:$N,가맹점정보!R$4)</f>
        <v>1</v>
      </c>
      <c r="S1603" s="82" t="n">
        <v>88000</v>
      </c>
      <c r="T1603" s="83" t="n">
        <v>0</v>
      </c>
      <c r="U1603" s="80" t="n">
        <f aca="false">SUM(S1603:T1603)</f>
        <v>88000</v>
      </c>
      <c r="V1603" s="84" t="s">
        <v>7</v>
      </c>
      <c r="W1603" s="80" t="str">
        <f aca="true">
IF(D1603="폐업","폐업",
IF(V1603="면제","면제",
IF(AND(V1603="정상",COUNTIFS(OFFSET(Y1603,0,COUNTA(Y1603:AV1603)-1,1,-4),"미납")&gt;=3),"장기미납",
IF(AND(V1603="정상",OFFSET(Y1603,0,COUNTA(Y1603:AV1603)-1)&gt;=U1603),"정상",
IF(AND(V1603="정상",OFFSET(Y1603,0,COUNTA(Y1603:AV1603)-1)=0),"정상",
"계약서 미작성")))))</f>
        <v>면제</v>
      </c>
      <c r="X1603" s="81" t="str">
        <f aca="true">
IF(D1603="폐업","폐업",
IF(AND(V1603="정상",OFFSET(Y1603,0,COUNTA(Y1603:AV1603)-1)="미납"),"미납",
IF(AND(V1603="정상",OFFSET(Y1603,0,COUNTA(Y1603:AV1603)-1)=0),"납부 시작 전",
IF(AND(V1603="정상",OFFSET(Y1603,0,COUNTA(Y1603:AV1603)-1)&gt;=U1603),"정상",
IF(AND(V1603="면제",OFFSET(Y1603,0,COUNTA(Y1603:AV1603)-1)="면제"),"면제",
IF(AND(V1603="면제",OFFSET(Y1603,0,COUNTA(Y1603:AV1603)-1)=0),"면제",
"확인요청"))))))</f>
        <v>면제</v>
      </c>
      <c r="Y1603" s="94" t="s">
        <v>7</v>
      </c>
      <c r="Z1603" s="95" t="s">
        <v>7</v>
      </c>
      <c r="AA1603" s="95" t="s">
        <v>7</v>
      </c>
      <c r="AB1603" s="95" t="s">
        <v>7</v>
      </c>
      <c r="AC1603" s="95" t="s">
        <v>7</v>
      </c>
      <c r="AD1603" s="95" t="s">
        <v>7</v>
      </c>
      <c r="AE1603" s="95" t="s">
        <v>7</v>
      </c>
      <c r="AF1603" s="95" t="s">
        <v>7</v>
      </c>
      <c r="AG1603" s="95" t="s">
        <v>7</v>
      </c>
      <c r="AH1603" s="95" t="s">
        <v>7</v>
      </c>
      <c r="AI1603" s="95" t="s">
        <v>7</v>
      </c>
      <c r="AJ1603" s="96" t="s">
        <v>7</v>
      </c>
      <c r="AK1603" s="97" t="s">
        <v>7</v>
      </c>
      <c r="AL1603" s="95" t="s">
        <v>7</v>
      </c>
      <c r="AM1603" s="90"/>
      <c r="AN1603" s="90"/>
      <c r="AO1603" s="90"/>
      <c r="AP1603" s="90"/>
      <c r="AQ1603" s="90"/>
      <c r="AR1603" s="90"/>
      <c r="AS1603" s="90"/>
      <c r="AT1603" s="90"/>
      <c r="AU1603" s="90"/>
      <c r="AV1603" s="91"/>
      <c r="AX1603" s="92"/>
    </row>
    <row r="1604" customFormat="false" ht="15.65" hidden="false" customHeight="false" outlineLevel="0" collapsed="false">
      <c r="C1604" s="72" t="n">
        <f aca="false">COUNTIFS($D$6:D1604,"&lt;&gt;"&amp;"")</f>
        <v>1599</v>
      </c>
      <c r="D1604" s="73" t="s">
        <v>12</v>
      </c>
      <c r="E1604" s="76" t="str">
        <f aca="false">
IF($D1604="정상",INDEX(임대자산!$D$3:$R$3000,MATCH($F1604,임대자산!$I$3:$I$3000,0),MATCH(E$3,임대자산!$D$3:$R$3,0)),
IF($D1604="폐업",INDEX(폐업정보!$D$3:$R$3000,MATCH($F1604,폐업정보!$I$3:$I$3000,0),MATCH(E$3,폐업정보!$D$3:$R$3,0)),
"Error"))</f>
        <v>경상</v>
      </c>
      <c r="F160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B1599</v>
      </c>
      <c r="G1604" s="76" t="str">
        <f aca="false">F1604&amp;RANDBETWEEN(0,10)</f>
        <v>B15999</v>
      </c>
      <c r="H1604" s="75" t="n">
        <f aca="false">
IF($D1604="정상",INDEX(임대자산!$D$3:$R$3000,MATCH($F1604,임대자산!$I$3:$I$3000,0),MATCH(H$4,임대자산!$D$3:$R$3,0)),
IF($D1604="폐업",INDEX(폐업정보!$D$3:$R$3000,MATCH($F1604,폐업정보!$I$3:$I$3000,0),MATCH(H$4,폐업정보!$D$3:$R$3,0)),
"Error"))</f>
        <v>45652</v>
      </c>
      <c r="I1604" s="75" t="str">
        <f aca="false">
IF($D1604="정상",INDEX(임대자산!$D$3:$R$3000,MATCH($F1604,임대자산!$I$3:$I$3000,0),MATCH(I$4,임대자산!$D$3:$R$3,0)),
IF($D1604="폐업",INDEX(폐업정보!$D$3:$R$3000,MATCH($F1604,폐업정보!$I$3:$I$3000,0),MATCH(I$4,폐업정보!$D$3:$R$3,0)),
"Error"))</f>
        <v>A1599</v>
      </c>
      <c r="J1604" s="75" t="str">
        <f aca="false">
IF($D1604="정상",INDEX(임대자산!$D$3:$R$3000,MATCH($F1604,임대자산!$I$3:$I$3000,0),MATCH(J$4,임대자산!$D$3:$R$3,0)),
IF($D1604="폐업",INDEX(폐업정보!$D$3:$R$3000,MATCH($F1604,폐업정보!$I$3:$I$3000,0),MATCH(J$4,폐업정보!$D$3:$R$3,0)),
"Error"))</f>
        <v>8175800000</v>
      </c>
      <c r="K1604" s="75" t="str">
        <f aca="false">
IF($D1604="정상",INDEX(임대자산!$D$3:$R$3000,MATCH($F1604,임대자산!$I$3:$I$3000,0),MATCH(K$4,임대자산!$D$3:$R$3,0)),
IF($D1604="폐업",INDEX(폐업정보!$D$3:$R$3000,MATCH($F1604,폐업정보!$I$3:$I$3000,0),MATCH(K$4,폐업정보!$D$3:$R$3,0)),
"Error"))</f>
        <v>C1599</v>
      </c>
      <c r="L1604" s="75" t="str">
        <f aca="false">
IF($D1604="정상",INDEX(임대자산!$D$3:$R$3000,MATCH($F1604,임대자산!$I$3:$I$3000,0),MATCH(L$4,임대자산!$D$3:$R$3,0)),
IF($D1604="폐업",INDEX(폐업정보!$D$3:$R$3000,MATCH($F1604,폐업정보!$I$3:$I$3000,0),MATCH(L$4,폐업정보!$D$3:$R$3,0)),
"Error"))</f>
        <v>D1599</v>
      </c>
      <c r="M1604" s="76" t="s">
        <v>96</v>
      </c>
      <c r="N1604" s="77"/>
      <c r="O1604" s="78" t="s">
        <v>97</v>
      </c>
      <c r="P1604" s="79" t="n">
        <f aca="false">COUNTIFS(임대자산!$I:$I,가맹점정보!F1604,임대자산!$N:$N,가맹점정보!P$4)</f>
        <v>0</v>
      </c>
      <c r="Q1604" s="80" t="n">
        <f aca="false">COUNTIFS(임대자산!$I:$I,가맹점정보!F1604,임대자산!$N:$N,가맹점정보!Q$4)</f>
        <v>0</v>
      </c>
      <c r="R1604" s="81" t="n">
        <f aca="false">COUNTIFS(임대자산!$I:$I,가맹점정보!F1604,임대자산!$N:$N,가맹점정보!R$4)</f>
        <v>1</v>
      </c>
      <c r="S1604" s="82" t="n">
        <v>88000</v>
      </c>
      <c r="T1604" s="83" t="n">
        <v>0</v>
      </c>
      <c r="U1604" s="80" t="n">
        <f aca="false">SUM(S1604:T1604)</f>
        <v>88000</v>
      </c>
      <c r="V1604" s="84" t="s">
        <v>12</v>
      </c>
      <c r="W1604" s="80" t="e">
        <f aca="true">
IF(D1604="폐업","폐업",
IF(V1604="면제","면제",
IF(AND(V1604="정상",COUNTIFS(OFFSET(Y1604,0,COUNTA(Y1604:AV1604)-1,1,-4),"미납")&gt;=3),"장기미납",
IF(AND(V1604="정상",OFFSET(Y1604,0,COUNTA(Y1604:AV1604)-1)&gt;=U1604),"정상",
IF(AND(V1604="정상",OFFSET(Y1604,0,COUNTA(Y1604:AV1604)-1)=0),"정상",
"계약서 미작성")))))</f>
        <v>#VALUE!</v>
      </c>
      <c r="X1604" s="81" t="str">
        <f aca="true">
IF(D1604="폐업","폐업",
IF(AND(V1604="정상",OFFSET(Y1604,0,COUNTA(Y1604:AV1604)-1)="미납"),"미납",
IF(AND(V1604="정상",OFFSET(Y1604,0,COUNTA(Y1604:AV1604)-1)=0),"납부 시작 전",
IF(AND(V1604="정상",OFFSET(Y1604,0,COUNTA(Y1604:AV1604)-1)&gt;=U1604),"정상",
IF(AND(V1604="면제",OFFSET(Y1604,0,COUNTA(Y1604:AV1604)-1)="면제"),"면제",
IF(AND(V1604="면제",OFFSET(Y1604,0,COUNTA(Y1604:AV1604)-1)=0),"면제",
"확인요청"))))))</f>
        <v>정상</v>
      </c>
      <c r="Y1604" s="93" t="n">
        <v>88000</v>
      </c>
      <c r="Z1604" s="90" t="n">
        <v>88000</v>
      </c>
      <c r="AA1604" s="90" t="n">
        <v>88000</v>
      </c>
      <c r="AB1604" s="90" t="n">
        <v>88000</v>
      </c>
      <c r="AC1604" s="90" t="n">
        <v>88000</v>
      </c>
      <c r="AD1604" s="90" t="n">
        <v>88000</v>
      </c>
      <c r="AE1604" s="90" t="n">
        <v>88000</v>
      </c>
      <c r="AF1604" s="90" t="n">
        <v>88000</v>
      </c>
      <c r="AG1604" s="90" t="n">
        <v>88000</v>
      </c>
      <c r="AH1604" s="90" t="n">
        <v>88000</v>
      </c>
      <c r="AI1604" s="90" t="n">
        <v>88000</v>
      </c>
      <c r="AJ1604" s="91" t="n">
        <v>88000</v>
      </c>
      <c r="AK1604" s="89" t="n">
        <v>88000</v>
      </c>
      <c r="AL1604" s="90" t="n">
        <v>88000</v>
      </c>
      <c r="AM1604" s="90"/>
      <c r="AN1604" s="90"/>
      <c r="AO1604" s="90"/>
      <c r="AP1604" s="90"/>
      <c r="AQ1604" s="90"/>
      <c r="AR1604" s="90"/>
      <c r="AS1604" s="90"/>
      <c r="AT1604" s="90"/>
      <c r="AU1604" s="90"/>
      <c r="AV1604" s="91"/>
      <c r="AX1604" s="92"/>
    </row>
    <row r="1605" customFormat="false" ht="15.65" hidden="false" customHeight="false" outlineLevel="0" collapsed="false">
      <c r="C1605" s="72" t="n">
        <f aca="false">COUNTIFS($D$6:D1605,"&lt;&gt;"&amp;"")</f>
        <v>1600</v>
      </c>
      <c r="D1605" s="73" t="s">
        <v>12</v>
      </c>
      <c r="E1605" s="76" t="str">
        <f aca="false">
IF($D1605="정상",INDEX(임대자산!$D$3:$R$3000,MATCH($F1605,임대자산!$I$3:$I$3000,0),MATCH(E$3,임대자산!$D$3:$R$3,0)),
IF($D1605="폐업",INDEX(폐업정보!$D$3:$R$3000,MATCH($F1605,폐업정보!$I$3:$I$3000,0),MATCH(E$3,폐업정보!$D$3:$R$3,0)),
"Error"))</f>
        <v>경상</v>
      </c>
      <c r="F160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B1600</v>
      </c>
      <c r="G1605" s="76" t="str">
        <f aca="false">F1605&amp;RANDBETWEEN(0,10)</f>
        <v>B16007</v>
      </c>
      <c r="H1605" s="75" t="n">
        <f aca="false">
IF($D1605="정상",INDEX(임대자산!$D$3:$R$3000,MATCH($F1605,임대자산!$I$3:$I$3000,0),MATCH(H$4,임대자산!$D$3:$R$3,0)),
IF($D1605="폐업",INDEX(폐업정보!$D$3:$R$3000,MATCH($F1605,폐업정보!$I$3:$I$3000,0),MATCH(H$4,폐업정보!$D$3:$R$3,0)),
"Error"))</f>
        <v>45652</v>
      </c>
      <c r="I1605" s="75" t="str">
        <f aca="false">
IF($D1605="정상",INDEX(임대자산!$D$3:$R$3000,MATCH($F1605,임대자산!$I$3:$I$3000,0),MATCH(I$4,임대자산!$D$3:$R$3,0)),
IF($D1605="폐업",INDEX(폐업정보!$D$3:$R$3000,MATCH($F1605,폐업정보!$I$3:$I$3000,0),MATCH(I$4,폐업정보!$D$3:$R$3,0)),
"Error"))</f>
        <v>A1600</v>
      </c>
      <c r="J1605" s="75" t="str">
        <f aca="false">
IF($D1605="정상",INDEX(임대자산!$D$3:$R$3000,MATCH($F1605,임대자산!$I$3:$I$3000,0),MATCH(J$4,임대자산!$D$3:$R$3,0)),
IF($D1605="폐업",INDEX(폐업정보!$D$3:$R$3000,MATCH($F1605,폐업정보!$I$3:$I$3000,0),MATCH(J$4,폐업정보!$D$3:$R$3,0)),
"Error"))</f>
        <v>9785000000</v>
      </c>
      <c r="K1605" s="75" t="str">
        <f aca="false">
IF($D1605="정상",INDEX(임대자산!$D$3:$R$3000,MATCH($F1605,임대자산!$I$3:$I$3000,0),MATCH(K$4,임대자산!$D$3:$R$3,0)),
IF($D1605="폐업",INDEX(폐업정보!$D$3:$R$3000,MATCH($F1605,폐업정보!$I$3:$I$3000,0),MATCH(K$4,폐업정보!$D$3:$R$3,0)),
"Error"))</f>
        <v>C1600</v>
      </c>
      <c r="L1605" s="75" t="str">
        <f aca="false">
IF($D1605="정상",INDEX(임대자산!$D$3:$R$3000,MATCH($F1605,임대자산!$I$3:$I$3000,0),MATCH(L$4,임대자산!$D$3:$R$3,0)),
IF($D1605="폐업",INDEX(폐업정보!$D$3:$R$3000,MATCH($F1605,폐업정보!$I$3:$I$3000,0),MATCH(L$4,폐업정보!$D$3:$R$3,0)),
"Error"))</f>
        <v>D1600</v>
      </c>
      <c r="M1605" s="76" t="s">
        <v>96</v>
      </c>
      <c r="N1605" s="77"/>
      <c r="O1605" s="78" t="s">
        <v>97</v>
      </c>
      <c r="P1605" s="79" t="n">
        <f aca="false">COUNTIFS(임대자산!$I:$I,가맹점정보!F1605,임대자산!$N:$N,가맹점정보!P$4)</f>
        <v>0</v>
      </c>
      <c r="Q1605" s="80" t="n">
        <f aca="false">COUNTIFS(임대자산!$I:$I,가맹점정보!F1605,임대자산!$N:$N,가맹점정보!Q$4)</f>
        <v>0</v>
      </c>
      <c r="R1605" s="81" t="n">
        <f aca="false">COUNTIFS(임대자산!$I:$I,가맹점정보!F1605,임대자산!$N:$N,가맹점정보!R$4)</f>
        <v>1</v>
      </c>
      <c r="S1605" s="82" t="n">
        <v>88000</v>
      </c>
      <c r="T1605" s="83" t="n">
        <v>88000</v>
      </c>
      <c r="U1605" s="80" t="n">
        <f aca="false">SUM(S1605:T1605)</f>
        <v>176000</v>
      </c>
      <c r="V1605" s="84" t="s">
        <v>12</v>
      </c>
      <c r="W1605" s="80" t="e">
        <f aca="true">
IF(D1605="폐업","폐업",
IF(V1605="면제","면제",
IF(AND(V1605="정상",COUNTIFS(OFFSET(Y1605,0,COUNTA(Y1605:AV1605)-1,1,-4),"미납")&gt;=3),"장기미납",
IF(AND(V1605="정상",OFFSET(Y1605,0,COUNTA(Y1605:AV1605)-1)&gt;=U1605),"정상",
IF(AND(V1605="정상",OFFSET(Y1605,0,COUNTA(Y1605:AV1605)-1)=0),"정상",
"계약서 미작성")))))</f>
        <v>#VALUE!</v>
      </c>
      <c r="X1605" s="81" t="str">
        <f aca="true">
IF(D1605="폐업","폐업",
IF(AND(V1605="정상",OFFSET(Y1605,0,COUNTA(Y1605:AV1605)-1)="미납"),"미납",
IF(AND(V1605="정상",OFFSET(Y1605,0,COUNTA(Y1605:AV1605)-1)=0),"납부 시작 전",
IF(AND(V1605="정상",OFFSET(Y1605,0,COUNTA(Y1605:AV1605)-1)&gt;=U1605),"정상",
IF(AND(V1605="면제",OFFSET(Y1605,0,COUNTA(Y1605:AV1605)-1)="면제"),"면제",
IF(AND(V1605="면제",OFFSET(Y1605,0,COUNTA(Y1605:AV1605)-1)=0),"면제",
"확인요청"))))))</f>
        <v>정상</v>
      </c>
      <c r="Y1605" s="93" t="n">
        <v>176000</v>
      </c>
      <c r="Z1605" s="90" t="n">
        <v>176000</v>
      </c>
      <c r="AA1605" s="90" t="n">
        <v>176000</v>
      </c>
      <c r="AB1605" s="90" t="n">
        <v>176000</v>
      </c>
      <c r="AC1605" s="90" t="n">
        <v>176000</v>
      </c>
      <c r="AD1605" s="90" t="n">
        <v>176000</v>
      </c>
      <c r="AE1605" s="90" t="n">
        <v>176000</v>
      </c>
      <c r="AF1605" s="90" t="n">
        <v>176000</v>
      </c>
      <c r="AG1605" s="90" t="n">
        <v>176000</v>
      </c>
      <c r="AH1605" s="90" t="n">
        <v>176000</v>
      </c>
      <c r="AI1605" s="90" t="n">
        <v>176000</v>
      </c>
      <c r="AJ1605" s="91" t="n">
        <v>176000</v>
      </c>
      <c r="AK1605" s="89" t="n">
        <v>176000</v>
      </c>
      <c r="AL1605" s="90" t="n">
        <v>176000</v>
      </c>
      <c r="AM1605" s="90"/>
      <c r="AN1605" s="90"/>
      <c r="AO1605" s="90"/>
      <c r="AP1605" s="90"/>
      <c r="AQ1605" s="90"/>
      <c r="AR1605" s="90"/>
      <c r="AS1605" s="90"/>
      <c r="AT1605" s="90"/>
      <c r="AU1605" s="90"/>
      <c r="AV1605" s="91"/>
      <c r="AX1605" s="92"/>
    </row>
    <row r="1606" customFormat="false" ht="15.65" hidden="false" customHeight="false" outlineLevel="0" collapsed="false">
      <c r="C1606" s="72" t="n">
        <f aca="false">COUNTIFS($D$6:D1606,"&lt;&gt;"&amp;"")</f>
        <v>1601</v>
      </c>
      <c r="D1606" s="73" t="s">
        <v>12</v>
      </c>
      <c r="E1606" s="76" t="str">
        <f aca="false">
IF($D1606="정상",INDEX(임대자산!$D$3:$R$3000,MATCH($F1606,임대자산!$I$3:$I$3000,0),MATCH(E$3,임대자산!$D$3:$R$3,0)),
IF($D1606="폐업",INDEX(폐업정보!$D$3:$R$3000,MATCH($F1606,폐업정보!$I$3:$I$3000,0),MATCH(E$3,폐업정보!$D$3:$R$3,0)),
"Error"))</f>
        <v>서울</v>
      </c>
      <c r="F160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B1601</v>
      </c>
      <c r="G1606" s="76" t="str">
        <f aca="false">F1606&amp;RANDBETWEEN(0,10)</f>
        <v>B16010</v>
      </c>
      <c r="H1606" s="75" t="n">
        <f aca="false">
IF($D1606="정상",INDEX(임대자산!$D$3:$R$3000,MATCH($F1606,임대자산!$I$3:$I$3000,0),MATCH(H$4,임대자산!$D$3:$R$3,0)),
IF($D1606="폐업",INDEX(폐업정보!$D$3:$R$3000,MATCH($F1606,폐업정보!$I$3:$I$3000,0),MATCH(H$4,폐업정보!$D$3:$R$3,0)),
"Error"))</f>
        <v>45652</v>
      </c>
      <c r="I1606" s="75" t="str">
        <f aca="false">
IF($D1606="정상",INDEX(임대자산!$D$3:$R$3000,MATCH($F1606,임대자산!$I$3:$I$3000,0),MATCH(I$4,임대자산!$D$3:$R$3,0)),
IF($D1606="폐업",INDEX(폐업정보!$D$3:$R$3000,MATCH($F1606,폐업정보!$I$3:$I$3000,0),MATCH(I$4,폐업정보!$D$3:$R$3,0)),
"Error"))</f>
        <v>A1601</v>
      </c>
      <c r="J1606" s="75" t="str">
        <f aca="false">
IF($D1606="정상",INDEX(임대자산!$D$3:$R$3000,MATCH($F1606,임대자산!$I$3:$I$3000,0),MATCH(J$4,임대자산!$D$3:$R$3,0)),
IF($D1606="폐업",INDEX(폐업정보!$D$3:$R$3000,MATCH($F1606,폐업정보!$I$3:$I$3000,0),MATCH(J$4,폐업정보!$D$3:$R$3,0)),
"Error"))</f>
        <v>7360600000</v>
      </c>
      <c r="K1606" s="75" t="str">
        <f aca="false">
IF($D1606="정상",INDEX(임대자산!$D$3:$R$3000,MATCH($F1606,임대자산!$I$3:$I$3000,0),MATCH(K$4,임대자산!$D$3:$R$3,0)),
IF($D1606="폐업",INDEX(폐업정보!$D$3:$R$3000,MATCH($F1606,폐업정보!$I$3:$I$3000,0),MATCH(K$4,폐업정보!$D$3:$R$3,0)),
"Error"))</f>
        <v>C1601</v>
      </c>
      <c r="L1606" s="75" t="str">
        <f aca="false">
IF($D1606="정상",INDEX(임대자산!$D$3:$R$3000,MATCH($F1606,임대자산!$I$3:$I$3000,0),MATCH(L$4,임대자산!$D$3:$R$3,0)),
IF($D1606="폐업",INDEX(폐업정보!$D$3:$R$3000,MATCH($F1606,폐업정보!$I$3:$I$3000,0),MATCH(L$4,폐업정보!$D$3:$R$3,0)),
"Error"))</f>
        <v>D1601</v>
      </c>
      <c r="M1606" s="76" t="s">
        <v>96</v>
      </c>
      <c r="N1606" s="77"/>
      <c r="O1606" s="78" t="s">
        <v>97</v>
      </c>
      <c r="P1606" s="79" t="n">
        <f aca="false">COUNTIFS(임대자산!$I:$I,가맹점정보!F1606,임대자산!$N:$N,가맹점정보!P$4)</f>
        <v>0</v>
      </c>
      <c r="Q1606" s="80" t="n">
        <f aca="false">COUNTIFS(임대자산!$I:$I,가맹점정보!F1606,임대자산!$N:$N,가맹점정보!Q$4)</f>
        <v>0</v>
      </c>
      <c r="R1606" s="81" t="n">
        <f aca="false">COUNTIFS(임대자산!$I:$I,가맹점정보!F1606,임대자산!$N:$N,가맹점정보!R$4)</f>
        <v>1</v>
      </c>
      <c r="S1606" s="82" t="n">
        <v>55000</v>
      </c>
      <c r="T1606" s="83" t="n">
        <v>0</v>
      </c>
      <c r="U1606" s="80" t="n">
        <f aca="false">SUM(S1606:T1606)</f>
        <v>55000</v>
      </c>
      <c r="V1606" s="84" t="s">
        <v>12</v>
      </c>
      <c r="W1606" s="80" t="e">
        <f aca="true">
IF(D1606="폐업","폐업",
IF(V1606="면제","면제",
IF(AND(V1606="정상",COUNTIFS(OFFSET(Y1606,0,COUNTA(Y1606:AV1606)-1,1,-4),"미납")&gt;=3),"장기미납",
IF(AND(V1606="정상",OFFSET(Y1606,0,COUNTA(Y1606:AV1606)-1)&gt;=U1606),"정상",
IF(AND(V1606="정상",OFFSET(Y1606,0,COUNTA(Y1606:AV1606)-1)=0),"정상",
"계약서 미작성")))))</f>
        <v>#VALUE!</v>
      </c>
      <c r="X1606" s="81" t="str">
        <f aca="true">
IF(D1606="폐업","폐업",
IF(AND(V1606="정상",OFFSET(Y1606,0,COUNTA(Y1606:AV1606)-1)="미납"),"미납",
IF(AND(V1606="정상",OFFSET(Y1606,0,COUNTA(Y1606:AV1606)-1)=0),"납부 시작 전",
IF(AND(V1606="정상",OFFSET(Y1606,0,COUNTA(Y1606:AV1606)-1)&gt;=U1606),"정상",
IF(AND(V1606="면제",OFFSET(Y1606,0,COUNTA(Y1606:AV1606)-1)="면제"),"면제",
IF(AND(V1606="면제",OFFSET(Y1606,0,COUNTA(Y1606:AV1606)-1)=0),"면제",
"확인요청"))))))</f>
        <v>정상</v>
      </c>
      <c r="Y1606" s="93" t="n">
        <v>55000</v>
      </c>
      <c r="Z1606" s="90" t="n">
        <v>55000</v>
      </c>
      <c r="AA1606" s="90" t="n">
        <v>55000</v>
      </c>
      <c r="AB1606" s="90" t="n">
        <v>55000</v>
      </c>
      <c r="AC1606" s="90" t="n">
        <v>55000</v>
      </c>
      <c r="AD1606" s="90" t="n">
        <v>55000</v>
      </c>
      <c r="AE1606" s="90" t="n">
        <v>55000</v>
      </c>
      <c r="AF1606" s="90" t="n">
        <v>55000</v>
      </c>
      <c r="AG1606" s="90" t="n">
        <v>55000</v>
      </c>
      <c r="AH1606" s="90" t="n">
        <v>55000</v>
      </c>
      <c r="AI1606" s="90" t="n">
        <v>55000</v>
      </c>
      <c r="AJ1606" s="91" t="n">
        <v>55000</v>
      </c>
      <c r="AK1606" s="89" t="n">
        <v>55000</v>
      </c>
      <c r="AL1606" s="90" t="n">
        <v>55000</v>
      </c>
      <c r="AM1606" s="90"/>
      <c r="AN1606" s="90"/>
      <c r="AO1606" s="90"/>
      <c r="AP1606" s="90"/>
      <c r="AQ1606" s="90"/>
      <c r="AR1606" s="90"/>
      <c r="AS1606" s="90"/>
      <c r="AT1606" s="90"/>
      <c r="AU1606" s="90"/>
      <c r="AV1606" s="91"/>
      <c r="AX1606" s="92"/>
    </row>
    <row r="1607" customFormat="false" ht="15.65" hidden="false" customHeight="false" outlineLevel="0" collapsed="false">
      <c r="C1607" s="72" t="n">
        <f aca="false">COUNTIFS($D$6:D1607,"&lt;&gt;"&amp;"")</f>
        <v>1602</v>
      </c>
      <c r="D1607" s="73" t="s">
        <v>12</v>
      </c>
      <c r="E1607" s="76" t="str">
        <f aca="false">
IF($D1607="정상",INDEX(임대자산!$D$3:$R$3000,MATCH($F1607,임대자산!$I$3:$I$3000,0),MATCH(E$3,임대자산!$D$3:$R$3,0)),
IF($D1607="폐업",INDEX(폐업정보!$D$3:$R$3000,MATCH($F1607,폐업정보!$I$3:$I$3000,0),MATCH(E$3,폐업정보!$D$3:$R$3,0)),
"Error"))</f>
        <v>서울</v>
      </c>
      <c r="F160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B1602</v>
      </c>
      <c r="G1607" s="76" t="str">
        <f aca="false">F1607&amp;RANDBETWEEN(0,10)</f>
        <v>B160210</v>
      </c>
      <c r="H1607" s="75" t="n">
        <f aca="false">
IF($D1607="정상",INDEX(임대자산!$D$3:$R$3000,MATCH($F1607,임대자산!$I$3:$I$3000,0),MATCH(H$4,임대자산!$D$3:$R$3,0)),
IF($D1607="폐업",INDEX(폐업정보!$D$3:$R$3000,MATCH($F1607,폐업정보!$I$3:$I$3000,0),MATCH(H$4,폐업정보!$D$3:$R$3,0)),
"Error"))</f>
        <v>45652</v>
      </c>
      <c r="I1607" s="75" t="str">
        <f aca="false">
IF($D1607="정상",INDEX(임대자산!$D$3:$R$3000,MATCH($F1607,임대자산!$I$3:$I$3000,0),MATCH(I$4,임대자산!$D$3:$R$3,0)),
IF($D1607="폐업",INDEX(폐업정보!$D$3:$R$3000,MATCH($F1607,폐업정보!$I$3:$I$3000,0),MATCH(I$4,폐업정보!$D$3:$R$3,0)),
"Error"))</f>
        <v>A1602</v>
      </c>
      <c r="J1607" s="75" t="str">
        <f aca="false">
IF($D1607="정상",INDEX(임대자산!$D$3:$R$3000,MATCH($F1607,임대자산!$I$3:$I$3000,0),MATCH(J$4,임대자산!$D$3:$R$3,0)),
IF($D1607="폐업",INDEX(폐업정보!$D$3:$R$3000,MATCH($F1607,폐업정보!$I$3:$I$3000,0),MATCH(J$4,폐업정보!$D$3:$R$3,0)),
"Error"))</f>
        <v>1103500000</v>
      </c>
      <c r="K1607" s="75" t="str">
        <f aca="false">
IF($D1607="정상",INDEX(임대자산!$D$3:$R$3000,MATCH($F1607,임대자산!$I$3:$I$3000,0),MATCH(K$4,임대자산!$D$3:$R$3,0)),
IF($D1607="폐업",INDEX(폐업정보!$D$3:$R$3000,MATCH($F1607,폐업정보!$I$3:$I$3000,0),MATCH(K$4,폐업정보!$D$3:$R$3,0)),
"Error"))</f>
        <v>C1602</v>
      </c>
      <c r="L1607" s="75" t="str">
        <f aca="false">
IF($D1607="정상",INDEX(임대자산!$D$3:$R$3000,MATCH($F1607,임대자산!$I$3:$I$3000,0),MATCH(L$4,임대자산!$D$3:$R$3,0)),
IF($D1607="폐업",INDEX(폐업정보!$D$3:$R$3000,MATCH($F1607,폐업정보!$I$3:$I$3000,0),MATCH(L$4,폐업정보!$D$3:$R$3,0)),
"Error"))</f>
        <v>D1602</v>
      </c>
      <c r="M1607" s="76" t="s">
        <v>96</v>
      </c>
      <c r="N1607" s="77"/>
      <c r="O1607" s="78" t="s">
        <v>97</v>
      </c>
      <c r="P1607" s="79" t="n">
        <f aca="false">COUNTIFS(임대자산!$I:$I,가맹점정보!F1607,임대자산!$N:$N,가맹점정보!P$4)</f>
        <v>0</v>
      </c>
      <c r="Q1607" s="80" t="n">
        <f aca="false">COUNTIFS(임대자산!$I:$I,가맹점정보!F1607,임대자산!$N:$N,가맹점정보!Q$4)</f>
        <v>0</v>
      </c>
      <c r="R1607" s="81" t="n">
        <f aca="false">COUNTIFS(임대자산!$I:$I,가맹점정보!F1607,임대자산!$N:$N,가맹점정보!R$4)</f>
        <v>1</v>
      </c>
      <c r="S1607" s="82" t="n">
        <v>55000</v>
      </c>
      <c r="T1607" s="83" t="n">
        <v>0</v>
      </c>
      <c r="U1607" s="80" t="n">
        <f aca="false">SUM(S1607:T1607)</f>
        <v>55000</v>
      </c>
      <c r="V1607" s="84" t="s">
        <v>12</v>
      </c>
      <c r="W1607" s="80" t="e">
        <f aca="true">
IF(D1607="폐업","폐업",
IF(V1607="면제","면제",
IF(AND(V1607="정상",COUNTIFS(OFFSET(Y1607,0,COUNTA(Y1607:AV1607)-1,1,-4),"미납")&gt;=3),"장기미납",
IF(AND(V1607="정상",OFFSET(Y1607,0,COUNTA(Y1607:AV1607)-1)&gt;=U1607),"정상",
IF(AND(V1607="정상",OFFSET(Y1607,0,COUNTA(Y1607:AV1607)-1)=0),"정상",
"계약서 미작성")))))</f>
        <v>#VALUE!</v>
      </c>
      <c r="X1607" s="81" t="str">
        <f aca="true">
IF(D1607="폐업","폐업",
IF(AND(V1607="정상",OFFSET(Y1607,0,COUNTA(Y1607:AV1607)-1)="미납"),"미납",
IF(AND(V1607="정상",OFFSET(Y1607,0,COUNTA(Y1607:AV1607)-1)=0),"납부 시작 전",
IF(AND(V1607="정상",OFFSET(Y1607,0,COUNTA(Y1607:AV1607)-1)&gt;=U1607),"정상",
IF(AND(V1607="면제",OFFSET(Y1607,0,COUNTA(Y1607:AV1607)-1)="면제"),"면제",
IF(AND(V1607="면제",OFFSET(Y1607,0,COUNTA(Y1607:AV1607)-1)=0),"면제",
"확인요청"))))))</f>
        <v>정상</v>
      </c>
      <c r="Y1607" s="93" t="n">
        <v>55000</v>
      </c>
      <c r="Z1607" s="90" t="n">
        <v>55000</v>
      </c>
      <c r="AA1607" s="90" t="n">
        <v>55000</v>
      </c>
      <c r="AB1607" s="90" t="n">
        <v>55000</v>
      </c>
      <c r="AC1607" s="90" t="n">
        <v>55000</v>
      </c>
      <c r="AD1607" s="90" t="n">
        <v>55000</v>
      </c>
      <c r="AE1607" s="90" t="n">
        <v>55000</v>
      </c>
      <c r="AF1607" s="90" t="n">
        <v>55000</v>
      </c>
      <c r="AG1607" s="90" t="n">
        <v>55000</v>
      </c>
      <c r="AH1607" s="90" t="n">
        <v>55000</v>
      </c>
      <c r="AI1607" s="90" t="n">
        <v>55000</v>
      </c>
      <c r="AJ1607" s="91" t="n">
        <v>55000</v>
      </c>
      <c r="AK1607" s="89" t="n">
        <v>55000</v>
      </c>
      <c r="AL1607" s="90" t="n">
        <v>55000</v>
      </c>
      <c r="AM1607" s="90"/>
      <c r="AN1607" s="90"/>
      <c r="AO1607" s="90"/>
      <c r="AP1607" s="90"/>
      <c r="AQ1607" s="90"/>
      <c r="AR1607" s="90"/>
      <c r="AS1607" s="90"/>
      <c r="AT1607" s="90"/>
      <c r="AU1607" s="90"/>
      <c r="AV1607" s="91"/>
      <c r="AX1607" s="92"/>
    </row>
    <row r="1608" customFormat="false" ht="15.65" hidden="false" customHeight="false" outlineLevel="0" collapsed="false">
      <c r="C1608" s="72" t="n">
        <f aca="false">COUNTIFS($D$6:D1608,"&lt;&gt;"&amp;"")</f>
        <v>1603</v>
      </c>
      <c r="D1608" s="73" t="s">
        <v>12</v>
      </c>
      <c r="E1608" s="76" t="str">
        <f aca="false">
IF($D1608="정상",INDEX(임대자산!$D$3:$R$3000,MATCH($F1608,임대자산!$I$3:$I$3000,0),MATCH(E$3,임대자산!$D$3:$R$3,0)),
IF($D1608="폐업",INDEX(폐업정보!$D$3:$R$3000,MATCH($F1608,폐업정보!$I$3:$I$3000,0),MATCH(E$3,폐업정보!$D$3:$R$3,0)),
"Error"))</f>
        <v>전라</v>
      </c>
      <c r="F160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B1603</v>
      </c>
      <c r="G1608" s="76" t="str">
        <f aca="false">F1608&amp;RANDBETWEEN(0,10)</f>
        <v>B16036</v>
      </c>
      <c r="H1608" s="75" t="n">
        <f aca="false">
IF($D1608="정상",INDEX(임대자산!$D$3:$R$3000,MATCH($F1608,임대자산!$I$3:$I$3000,0),MATCH(H$4,임대자산!$D$3:$R$3,0)),
IF($D1608="폐업",INDEX(폐업정보!$D$3:$R$3000,MATCH($F1608,폐업정보!$I$3:$I$3000,0),MATCH(H$4,폐업정보!$D$3:$R$3,0)),
"Error"))</f>
        <v>45700</v>
      </c>
      <c r="I1608" s="75" t="str">
        <f aca="false">
IF($D1608="정상",INDEX(임대자산!$D$3:$R$3000,MATCH($F1608,임대자산!$I$3:$I$3000,0),MATCH(I$4,임대자산!$D$3:$R$3,0)),
IF($D1608="폐업",INDEX(폐업정보!$D$3:$R$3000,MATCH($F1608,폐업정보!$I$3:$I$3000,0),MATCH(I$4,폐업정보!$D$3:$R$3,0)),
"Error"))</f>
        <v>A1603</v>
      </c>
      <c r="J1608" s="75" t="str">
        <f aca="false">
IF($D1608="정상",INDEX(임대자산!$D$3:$R$3000,MATCH($F1608,임대자산!$I$3:$I$3000,0),MATCH(J$4,임대자산!$D$3:$R$3,0)),
IF($D1608="폐업",INDEX(폐업정보!$D$3:$R$3000,MATCH($F1608,폐업정보!$I$3:$I$3000,0),MATCH(J$4,폐업정보!$D$3:$R$3,0)),
"Error"))</f>
        <v>4539600000</v>
      </c>
      <c r="K1608" s="75" t="str">
        <f aca="false">
IF($D1608="정상",INDEX(임대자산!$D$3:$R$3000,MATCH($F1608,임대자산!$I$3:$I$3000,0),MATCH(K$4,임대자산!$D$3:$R$3,0)),
IF($D1608="폐업",INDEX(폐업정보!$D$3:$R$3000,MATCH($F1608,폐업정보!$I$3:$I$3000,0),MATCH(K$4,폐업정보!$D$3:$R$3,0)),
"Error"))</f>
        <v>C1603</v>
      </c>
      <c r="L1608" s="75" t="str">
        <f aca="false">
IF($D1608="정상",INDEX(임대자산!$D$3:$R$3000,MATCH($F1608,임대자산!$I$3:$I$3000,0),MATCH(L$4,임대자산!$D$3:$R$3,0)),
IF($D1608="폐업",INDEX(폐업정보!$D$3:$R$3000,MATCH($F1608,폐업정보!$I$3:$I$3000,0),MATCH(L$4,폐업정보!$D$3:$R$3,0)),
"Error"))</f>
        <v>D1603</v>
      </c>
      <c r="M1608" s="76" t="s">
        <v>96</v>
      </c>
      <c r="N1608" s="77"/>
      <c r="O1608" s="78" t="s">
        <v>97</v>
      </c>
      <c r="P1608" s="79" t="n">
        <f aca="false">COUNTIFS(임대자산!$I:$I,가맹점정보!F1608,임대자산!$N:$N,가맹점정보!P$4)</f>
        <v>0</v>
      </c>
      <c r="Q1608" s="80" t="n">
        <f aca="false">COUNTIFS(임대자산!$I:$I,가맹점정보!F1608,임대자산!$N:$N,가맹점정보!Q$4)</f>
        <v>0</v>
      </c>
      <c r="R1608" s="81" t="n">
        <f aca="false">COUNTIFS(임대자산!$I:$I,가맹점정보!F1608,임대자산!$N:$N,가맹점정보!R$4)</f>
        <v>1</v>
      </c>
      <c r="S1608" s="82" t="n">
        <v>55000</v>
      </c>
      <c r="T1608" s="83" t="n">
        <v>0</v>
      </c>
      <c r="U1608" s="80" t="n">
        <f aca="false">SUM(S1608:T1608)</f>
        <v>55000</v>
      </c>
      <c r="V1608" s="84" t="s">
        <v>12</v>
      </c>
      <c r="W1608" s="80" t="e">
        <f aca="true">
IF(D1608="폐업","폐업",
IF(V1608="면제","면제",
IF(AND(V1608="정상",COUNTIFS(OFFSET(Y1608,0,COUNTA(Y1608:AV1608)-1,1,-4),"미납")&gt;=3),"장기미납",
IF(AND(V1608="정상",OFFSET(Y1608,0,COUNTA(Y1608:AV1608)-1)&gt;=U1608),"정상",
IF(AND(V1608="정상",OFFSET(Y1608,0,COUNTA(Y1608:AV1608)-1)=0),"정상",
"계약서 미작성")))))</f>
        <v>#VALUE!</v>
      </c>
      <c r="X1608" s="81" t="str">
        <f aca="true">
IF(D1608="폐업","폐업",
IF(AND(V1608="정상",OFFSET(Y1608,0,COUNTA(Y1608:AV1608)-1)="미납"),"미납",
IF(AND(V1608="정상",OFFSET(Y1608,0,COUNTA(Y1608:AV1608)-1)=0),"납부 시작 전",
IF(AND(V1608="정상",OFFSET(Y1608,0,COUNTA(Y1608:AV1608)-1)&gt;=U1608),"정상",
IF(AND(V1608="면제",OFFSET(Y1608,0,COUNTA(Y1608:AV1608)-1)="면제"),"면제",
IF(AND(V1608="면제",OFFSET(Y1608,0,COUNTA(Y1608:AV1608)-1)=0),"면제",
"확인요청"))))))</f>
        <v>정상</v>
      </c>
      <c r="Y1608" s="93" t="s">
        <v>99</v>
      </c>
      <c r="Z1608" s="90" t="n">
        <v>110000</v>
      </c>
      <c r="AA1608" s="90" t="n">
        <v>55000</v>
      </c>
      <c r="AB1608" s="90" t="n">
        <v>55000</v>
      </c>
      <c r="AC1608" s="90" t="n">
        <v>55000</v>
      </c>
      <c r="AD1608" s="90" t="n">
        <v>55000</v>
      </c>
      <c r="AE1608" s="90" t="n">
        <v>55000</v>
      </c>
      <c r="AF1608" s="90" t="n">
        <v>55000</v>
      </c>
      <c r="AG1608" s="90" t="n">
        <v>55000</v>
      </c>
      <c r="AH1608" s="90" t="n">
        <v>55000</v>
      </c>
      <c r="AI1608" s="90" t="n">
        <v>55000</v>
      </c>
      <c r="AJ1608" s="91" t="n">
        <v>55000</v>
      </c>
      <c r="AK1608" s="89" t="n">
        <v>55000</v>
      </c>
      <c r="AL1608" s="90" t="n">
        <v>55000</v>
      </c>
      <c r="AM1608" s="90"/>
      <c r="AN1608" s="90"/>
      <c r="AO1608" s="90"/>
      <c r="AP1608" s="90"/>
      <c r="AQ1608" s="90"/>
      <c r="AR1608" s="90"/>
      <c r="AS1608" s="90"/>
      <c r="AT1608" s="90"/>
      <c r="AU1608" s="90"/>
      <c r="AV1608" s="91"/>
      <c r="AX1608" s="92"/>
    </row>
    <row r="1609" customFormat="false" ht="15.65" hidden="false" customHeight="false" outlineLevel="0" collapsed="false">
      <c r="C1609" s="72" t="n">
        <f aca="false">COUNTIFS($D$6:D1609,"&lt;&gt;"&amp;"")</f>
        <v>1604</v>
      </c>
      <c r="D1609" s="73" t="s">
        <v>12</v>
      </c>
      <c r="E1609" s="76" t="str">
        <f aca="false">
IF($D1609="정상",INDEX(임대자산!$D$3:$R$3000,MATCH($F1609,임대자산!$I$3:$I$3000,0),MATCH(E$3,임대자산!$D$3:$R$3,0)),
IF($D1609="폐업",INDEX(폐업정보!$D$3:$R$3000,MATCH($F1609,폐업정보!$I$3:$I$3000,0),MATCH(E$3,폐업정보!$D$3:$R$3,0)),
"Error"))</f>
        <v>서울</v>
      </c>
      <c r="F160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B1604</v>
      </c>
      <c r="G1609" s="76" t="str">
        <f aca="false">F1609&amp;RANDBETWEEN(0,10)</f>
        <v>B16042</v>
      </c>
      <c r="H1609" s="75" t="n">
        <f aca="false">
IF($D1609="정상",INDEX(임대자산!$D$3:$R$3000,MATCH($F1609,임대자산!$I$3:$I$3000,0),MATCH(H$4,임대자산!$D$3:$R$3,0)),
IF($D1609="폐업",INDEX(폐업정보!$D$3:$R$3000,MATCH($F1609,폐업정보!$I$3:$I$3000,0),MATCH(H$4,폐업정보!$D$3:$R$3,0)),
"Error"))</f>
        <v>45652</v>
      </c>
      <c r="I1609" s="75" t="str">
        <f aca="false">
IF($D1609="정상",INDEX(임대자산!$D$3:$R$3000,MATCH($F1609,임대자산!$I$3:$I$3000,0),MATCH(I$4,임대자산!$D$3:$R$3,0)),
IF($D1609="폐업",INDEX(폐업정보!$D$3:$R$3000,MATCH($F1609,폐업정보!$I$3:$I$3000,0),MATCH(I$4,폐업정보!$D$3:$R$3,0)),
"Error"))</f>
        <v>A1604</v>
      </c>
      <c r="J1609" s="75" t="str">
        <f aca="false">
IF($D1609="정상",INDEX(임대자산!$D$3:$R$3000,MATCH($F1609,임대자산!$I$3:$I$3000,0),MATCH(J$4,임대자산!$D$3:$R$3,0)),
IF($D1609="폐업",INDEX(폐업정보!$D$3:$R$3000,MATCH($F1609,폐업정보!$I$3:$I$3000,0),MATCH(J$4,폐업정보!$D$3:$R$3,0)),
"Error"))</f>
        <v>3488700000</v>
      </c>
      <c r="K1609" s="75" t="str">
        <f aca="false">
IF($D1609="정상",INDEX(임대자산!$D$3:$R$3000,MATCH($F1609,임대자산!$I$3:$I$3000,0),MATCH(K$4,임대자산!$D$3:$R$3,0)),
IF($D1609="폐업",INDEX(폐업정보!$D$3:$R$3000,MATCH($F1609,폐업정보!$I$3:$I$3000,0),MATCH(K$4,폐업정보!$D$3:$R$3,0)),
"Error"))</f>
        <v>C1604</v>
      </c>
      <c r="L1609" s="75" t="str">
        <f aca="false">
IF($D1609="정상",INDEX(임대자산!$D$3:$R$3000,MATCH($F1609,임대자산!$I$3:$I$3000,0),MATCH(L$4,임대자산!$D$3:$R$3,0)),
IF($D1609="폐업",INDEX(폐업정보!$D$3:$R$3000,MATCH($F1609,폐업정보!$I$3:$I$3000,0),MATCH(L$4,폐업정보!$D$3:$R$3,0)),
"Error"))</f>
        <v>D1604</v>
      </c>
      <c r="M1609" s="76" t="s">
        <v>96</v>
      </c>
      <c r="N1609" s="77"/>
      <c r="O1609" s="78" t="s">
        <v>97</v>
      </c>
      <c r="P1609" s="79" t="n">
        <f aca="false">COUNTIFS(임대자산!$I:$I,가맹점정보!F1609,임대자산!$N:$N,가맹점정보!P$4)</f>
        <v>0</v>
      </c>
      <c r="Q1609" s="80" t="n">
        <f aca="false">COUNTIFS(임대자산!$I:$I,가맹점정보!F1609,임대자산!$N:$N,가맹점정보!Q$4)</f>
        <v>0</v>
      </c>
      <c r="R1609" s="81" t="n">
        <f aca="false">COUNTIFS(임대자산!$I:$I,가맹점정보!F1609,임대자산!$N:$N,가맹점정보!R$4)</f>
        <v>1</v>
      </c>
      <c r="S1609" s="82" t="n">
        <v>55000</v>
      </c>
      <c r="T1609" s="83" t="n">
        <v>0</v>
      </c>
      <c r="U1609" s="80" t="n">
        <f aca="false">SUM(S1609:T1609)</f>
        <v>55000</v>
      </c>
      <c r="V1609" s="84" t="s">
        <v>7</v>
      </c>
      <c r="W1609" s="80" t="str">
        <f aca="true">
IF(D1609="폐업","폐업",
IF(V1609="면제","면제",
IF(AND(V1609="정상",COUNTIFS(OFFSET(Y1609,0,COUNTA(Y1609:AV1609)-1,1,-4),"미납")&gt;=3),"장기미납",
IF(AND(V1609="정상",OFFSET(Y1609,0,COUNTA(Y1609:AV1609)-1)&gt;=U1609),"정상",
IF(AND(V1609="정상",OFFSET(Y1609,0,COUNTA(Y1609:AV1609)-1)=0),"정상",
"계약서 미작성")))))</f>
        <v>면제</v>
      </c>
      <c r="X1609" s="81" t="str">
        <f aca="true">
IF(D1609="폐업","폐업",
IF(AND(V1609="정상",OFFSET(Y1609,0,COUNTA(Y1609:AV1609)-1)="미납"),"미납",
IF(AND(V1609="정상",OFFSET(Y1609,0,COUNTA(Y1609:AV1609)-1)=0),"납부 시작 전",
IF(AND(V1609="정상",OFFSET(Y1609,0,COUNTA(Y1609:AV1609)-1)&gt;=U1609),"정상",
IF(AND(V1609="면제",OFFSET(Y1609,0,COUNTA(Y1609:AV1609)-1)="면제"),"면제",
IF(AND(V1609="면제",OFFSET(Y1609,0,COUNTA(Y1609:AV1609)-1)=0),"면제",
"확인요청"))))))</f>
        <v>면제</v>
      </c>
      <c r="Y1609" s="94" t="s">
        <v>7</v>
      </c>
      <c r="Z1609" s="95" t="s">
        <v>7</v>
      </c>
      <c r="AA1609" s="95" t="s">
        <v>7</v>
      </c>
      <c r="AB1609" s="95" t="s">
        <v>7</v>
      </c>
      <c r="AC1609" s="95" t="s">
        <v>7</v>
      </c>
      <c r="AD1609" s="95" t="s">
        <v>7</v>
      </c>
      <c r="AE1609" s="95" t="s">
        <v>7</v>
      </c>
      <c r="AF1609" s="95" t="s">
        <v>7</v>
      </c>
      <c r="AG1609" s="95" t="s">
        <v>7</v>
      </c>
      <c r="AH1609" s="95" t="s">
        <v>7</v>
      </c>
      <c r="AI1609" s="95" t="s">
        <v>7</v>
      </c>
      <c r="AJ1609" s="96" t="s">
        <v>7</v>
      </c>
      <c r="AK1609" s="97" t="s">
        <v>7</v>
      </c>
      <c r="AL1609" s="95" t="s">
        <v>7</v>
      </c>
      <c r="AM1609" s="90"/>
      <c r="AN1609" s="90"/>
      <c r="AO1609" s="90"/>
      <c r="AP1609" s="90"/>
      <c r="AQ1609" s="90"/>
      <c r="AR1609" s="90"/>
      <c r="AS1609" s="90"/>
      <c r="AT1609" s="90"/>
      <c r="AU1609" s="90"/>
      <c r="AV1609" s="91"/>
      <c r="AX1609" s="92"/>
    </row>
    <row r="1610" customFormat="false" ht="15.65" hidden="false" customHeight="false" outlineLevel="0" collapsed="false">
      <c r="C1610" s="72" t="n">
        <f aca="false">COUNTIFS($D$6:D1610,"&lt;&gt;"&amp;"")</f>
        <v>1605</v>
      </c>
      <c r="D1610" s="73" t="s">
        <v>12</v>
      </c>
      <c r="E1610" s="76" t="str">
        <f aca="false">
IF($D1610="정상",INDEX(임대자산!$D$3:$R$3000,MATCH($F1610,임대자산!$I$3:$I$3000,0),MATCH(E$3,임대자산!$D$3:$R$3,0)),
IF($D1610="폐업",INDEX(폐업정보!$D$3:$R$3000,MATCH($F1610,폐업정보!$I$3:$I$3000,0),MATCH(E$3,폐업정보!$D$3:$R$3,0)),
"Error"))</f>
        <v>서울</v>
      </c>
      <c r="F161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B1605</v>
      </c>
      <c r="G1610" s="76" t="str">
        <f aca="false">F1610&amp;RANDBETWEEN(0,10)</f>
        <v>B16053</v>
      </c>
      <c r="H1610" s="75" t="n">
        <f aca="false">
IF($D1610="정상",INDEX(임대자산!$D$3:$R$3000,MATCH($F1610,임대자산!$I$3:$I$3000,0),MATCH(H$4,임대자산!$D$3:$R$3,0)),
IF($D1610="폐업",INDEX(폐업정보!$D$3:$R$3000,MATCH($F1610,폐업정보!$I$3:$I$3000,0),MATCH(H$4,폐업정보!$D$3:$R$3,0)),
"Error"))</f>
        <v>45656</v>
      </c>
      <c r="I1610" s="75" t="str">
        <f aca="false">
IF($D1610="정상",INDEX(임대자산!$D$3:$R$3000,MATCH($F1610,임대자산!$I$3:$I$3000,0),MATCH(I$4,임대자산!$D$3:$R$3,0)),
IF($D1610="폐업",INDEX(폐업정보!$D$3:$R$3000,MATCH($F1610,폐업정보!$I$3:$I$3000,0),MATCH(I$4,폐업정보!$D$3:$R$3,0)),
"Error"))</f>
        <v>A1605</v>
      </c>
      <c r="J1610" s="75" t="str">
        <f aca="false">
IF($D1610="정상",INDEX(임대자산!$D$3:$R$3000,MATCH($F1610,임대자산!$I$3:$I$3000,0),MATCH(J$4,임대자산!$D$3:$R$3,0)),
IF($D1610="폐업",INDEX(폐업정보!$D$3:$R$3000,MATCH($F1610,폐업정보!$I$3:$I$3000,0),MATCH(J$4,폐업정보!$D$3:$R$3,0)),
"Error"))</f>
        <v>8273500000</v>
      </c>
      <c r="K1610" s="75" t="str">
        <f aca="false">
IF($D1610="정상",INDEX(임대자산!$D$3:$R$3000,MATCH($F1610,임대자산!$I$3:$I$3000,0),MATCH(K$4,임대자산!$D$3:$R$3,0)),
IF($D1610="폐업",INDEX(폐업정보!$D$3:$R$3000,MATCH($F1610,폐업정보!$I$3:$I$3000,0),MATCH(K$4,폐업정보!$D$3:$R$3,0)),
"Error"))</f>
        <v>C1605</v>
      </c>
      <c r="L1610" s="75" t="str">
        <f aca="false">
IF($D1610="정상",INDEX(임대자산!$D$3:$R$3000,MATCH($F1610,임대자산!$I$3:$I$3000,0),MATCH(L$4,임대자산!$D$3:$R$3,0)),
IF($D1610="폐업",INDEX(폐업정보!$D$3:$R$3000,MATCH($F1610,폐업정보!$I$3:$I$3000,0),MATCH(L$4,폐업정보!$D$3:$R$3,0)),
"Error"))</f>
        <v>D1605</v>
      </c>
      <c r="M1610" s="76" t="s">
        <v>96</v>
      </c>
      <c r="N1610" s="77"/>
      <c r="O1610" s="78" t="s">
        <v>97</v>
      </c>
      <c r="P1610" s="79" t="n">
        <f aca="false">COUNTIFS(임대자산!$I:$I,가맹점정보!F1610,임대자산!$N:$N,가맹점정보!P$4)</f>
        <v>0</v>
      </c>
      <c r="Q1610" s="80" t="n">
        <f aca="false">COUNTIFS(임대자산!$I:$I,가맹점정보!F1610,임대자산!$N:$N,가맹점정보!Q$4)</f>
        <v>0</v>
      </c>
      <c r="R1610" s="81" t="n">
        <f aca="false">COUNTIFS(임대자산!$I:$I,가맹점정보!F1610,임대자산!$N:$N,가맹점정보!R$4)</f>
        <v>1</v>
      </c>
      <c r="S1610" s="82" t="n">
        <v>55000</v>
      </c>
      <c r="T1610" s="83" t="n">
        <v>0</v>
      </c>
      <c r="U1610" s="80" t="n">
        <f aca="false">SUM(S1610:T1610)</f>
        <v>55000</v>
      </c>
      <c r="V1610" s="84" t="s">
        <v>7</v>
      </c>
      <c r="W1610" s="80" t="str">
        <f aca="true">
IF(D1610="폐업","폐업",
IF(V1610="면제","면제",
IF(AND(V1610="정상",COUNTIFS(OFFSET(Y1610,0,COUNTA(Y1610:AV1610)-1,1,-4),"미납")&gt;=3),"장기미납",
IF(AND(V1610="정상",OFFSET(Y1610,0,COUNTA(Y1610:AV1610)-1)&gt;=U1610),"정상",
IF(AND(V1610="정상",OFFSET(Y1610,0,COUNTA(Y1610:AV1610)-1)=0),"정상",
"계약서 미작성")))))</f>
        <v>면제</v>
      </c>
      <c r="X1610" s="81" t="str">
        <f aca="true">
IF(D1610="폐업","폐업",
IF(AND(V1610="정상",OFFSET(Y1610,0,COUNTA(Y1610:AV1610)-1)="미납"),"미납",
IF(AND(V1610="정상",OFFSET(Y1610,0,COUNTA(Y1610:AV1610)-1)=0),"납부 시작 전",
IF(AND(V1610="정상",OFFSET(Y1610,0,COUNTA(Y1610:AV1610)-1)&gt;=U1610),"정상",
IF(AND(V1610="면제",OFFSET(Y1610,0,COUNTA(Y1610:AV1610)-1)="면제"),"면제",
IF(AND(V1610="면제",OFFSET(Y1610,0,COUNTA(Y1610:AV1610)-1)=0),"면제",
"확인요청"))))))</f>
        <v>면제</v>
      </c>
      <c r="Y1610" s="94" t="s">
        <v>7</v>
      </c>
      <c r="Z1610" s="95" t="s">
        <v>7</v>
      </c>
      <c r="AA1610" s="95" t="s">
        <v>7</v>
      </c>
      <c r="AB1610" s="95" t="s">
        <v>7</v>
      </c>
      <c r="AC1610" s="95" t="s">
        <v>7</v>
      </c>
      <c r="AD1610" s="95" t="s">
        <v>7</v>
      </c>
      <c r="AE1610" s="95" t="s">
        <v>7</v>
      </c>
      <c r="AF1610" s="95" t="s">
        <v>7</v>
      </c>
      <c r="AG1610" s="95" t="s">
        <v>7</v>
      </c>
      <c r="AH1610" s="95" t="s">
        <v>7</v>
      </c>
      <c r="AI1610" s="95" t="s">
        <v>7</v>
      </c>
      <c r="AJ1610" s="96" t="s">
        <v>7</v>
      </c>
      <c r="AK1610" s="97" t="s">
        <v>7</v>
      </c>
      <c r="AL1610" s="95" t="s">
        <v>7</v>
      </c>
      <c r="AM1610" s="90"/>
      <c r="AN1610" s="90"/>
      <c r="AO1610" s="90"/>
      <c r="AP1610" s="90"/>
      <c r="AQ1610" s="90"/>
      <c r="AR1610" s="90"/>
      <c r="AS1610" s="90"/>
      <c r="AT1610" s="90"/>
      <c r="AU1610" s="90"/>
      <c r="AV1610" s="91"/>
      <c r="AX1610" s="92"/>
    </row>
    <row r="1611" customFormat="false" ht="15.65" hidden="false" customHeight="false" outlineLevel="0" collapsed="false">
      <c r="C1611" s="72" t="n">
        <f aca="false">COUNTIFS($D$6:D1611,"&lt;&gt;"&amp;"")</f>
        <v>1606</v>
      </c>
      <c r="D1611" s="73" t="s">
        <v>12</v>
      </c>
      <c r="E1611" s="76" t="str">
        <f aca="false">
IF($D1611="정상",INDEX(임대자산!$D$3:$R$3000,MATCH($F1611,임대자산!$I$3:$I$3000,0),MATCH(E$3,임대자산!$D$3:$R$3,0)),
IF($D1611="폐업",INDEX(폐업정보!$D$3:$R$3000,MATCH($F1611,폐업정보!$I$3:$I$3000,0),MATCH(E$3,폐업정보!$D$3:$R$3,0)),
"Error"))</f>
        <v>서울</v>
      </c>
      <c r="F161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B1606</v>
      </c>
      <c r="G1611" s="76" t="str">
        <f aca="false">F1611&amp;RANDBETWEEN(0,10)</f>
        <v>B16064</v>
      </c>
      <c r="H1611" s="75" t="n">
        <f aca="false">
IF($D1611="정상",INDEX(임대자산!$D$3:$R$3000,MATCH($F1611,임대자산!$I$3:$I$3000,0),MATCH(H$4,임대자산!$D$3:$R$3,0)),
IF($D1611="폐업",INDEX(폐업정보!$D$3:$R$3000,MATCH($F1611,폐업정보!$I$3:$I$3000,0),MATCH(H$4,폐업정보!$D$3:$R$3,0)),
"Error"))</f>
        <v>46062</v>
      </c>
      <c r="I1611" s="75" t="str">
        <f aca="false">
IF($D1611="정상",INDEX(임대자산!$D$3:$R$3000,MATCH($F1611,임대자산!$I$3:$I$3000,0),MATCH(I$4,임대자산!$D$3:$R$3,0)),
IF($D1611="폐업",INDEX(폐업정보!$D$3:$R$3000,MATCH($F1611,폐업정보!$I$3:$I$3000,0),MATCH(I$4,폐업정보!$D$3:$R$3,0)),
"Error"))</f>
        <v>A1606</v>
      </c>
      <c r="J1611" s="75" t="str">
        <f aca="false">
IF($D1611="정상",INDEX(임대자산!$D$3:$R$3000,MATCH($F1611,임대자산!$I$3:$I$3000,0),MATCH(J$4,임대자산!$D$3:$R$3,0)),
IF($D1611="폐업",INDEX(폐업정보!$D$3:$R$3000,MATCH($F1611,폐업정보!$I$3:$I$3000,0),MATCH(J$4,폐업정보!$D$3:$R$3,0)),
"Error"))</f>
        <v>1775200000</v>
      </c>
      <c r="K1611" s="75" t="str">
        <f aca="false">
IF($D1611="정상",INDEX(임대자산!$D$3:$R$3000,MATCH($F1611,임대자산!$I$3:$I$3000,0),MATCH(K$4,임대자산!$D$3:$R$3,0)),
IF($D1611="폐업",INDEX(폐업정보!$D$3:$R$3000,MATCH($F1611,폐업정보!$I$3:$I$3000,0),MATCH(K$4,폐업정보!$D$3:$R$3,0)),
"Error"))</f>
        <v>C1606</v>
      </c>
      <c r="L1611" s="75" t="str">
        <f aca="false">
IF($D1611="정상",INDEX(임대자산!$D$3:$R$3000,MATCH($F1611,임대자산!$I$3:$I$3000,0),MATCH(L$4,임대자산!$D$3:$R$3,0)),
IF($D1611="폐업",INDEX(폐업정보!$D$3:$R$3000,MATCH($F1611,폐업정보!$I$3:$I$3000,0),MATCH(L$4,폐업정보!$D$3:$R$3,0)),
"Error"))</f>
        <v>D1606</v>
      </c>
      <c r="M1611" s="76" t="s">
        <v>96</v>
      </c>
      <c r="N1611" s="77"/>
      <c r="O1611" s="78" t="s">
        <v>97</v>
      </c>
      <c r="P1611" s="79" t="n">
        <f aca="false">COUNTIFS(임대자산!$I:$I,가맹점정보!F1611,임대자산!$N:$N,가맹점정보!P$4)</f>
        <v>0</v>
      </c>
      <c r="Q1611" s="80" t="n">
        <f aca="false">COUNTIFS(임대자산!$I:$I,가맹점정보!F1611,임대자산!$N:$N,가맹점정보!Q$4)</f>
        <v>0</v>
      </c>
      <c r="R1611" s="81" t="n">
        <f aca="false">COUNTIFS(임대자산!$I:$I,가맹점정보!F1611,임대자산!$N:$N,가맹점정보!R$4)</f>
        <v>1</v>
      </c>
      <c r="S1611" s="82" t="n">
        <v>55000</v>
      </c>
      <c r="T1611" s="83" t="n">
        <v>0</v>
      </c>
      <c r="U1611" s="80" t="n">
        <f aca="false">SUM(S1611:T1611)</f>
        <v>55000</v>
      </c>
      <c r="V1611" s="84" t="s">
        <v>7</v>
      </c>
      <c r="W1611" s="80" t="str">
        <f aca="true">
IF(D1611="폐업","폐업",
IF(V1611="면제","면제",
IF(AND(V1611="정상",COUNTIFS(OFFSET(Y1611,0,COUNTA(Y1611:AV1611)-1,1,-4),"미납")&gt;=3),"장기미납",
IF(AND(V1611="정상",OFFSET(Y1611,0,COUNTA(Y1611:AV1611)-1)&gt;=U1611),"정상",
IF(AND(V1611="정상",OFFSET(Y1611,0,COUNTA(Y1611:AV1611)-1)=0),"정상",
"계약서 미작성")))))</f>
        <v>면제</v>
      </c>
      <c r="X1611" s="81" t="str">
        <f aca="true">
IF(D1611="폐업","폐업",
IF(AND(V1611="정상",OFFSET(Y1611,0,COUNTA(Y1611:AV1611)-1)="미납"),"미납",
IF(AND(V1611="정상",OFFSET(Y1611,0,COUNTA(Y1611:AV1611)-1)=0),"납부 시작 전",
IF(AND(V1611="정상",OFFSET(Y1611,0,COUNTA(Y1611:AV1611)-1)&gt;=U1611),"정상",
IF(AND(V1611="면제",OFFSET(Y1611,0,COUNTA(Y1611:AV1611)-1)="면제"),"면제",
IF(AND(V1611="면제",OFFSET(Y1611,0,COUNTA(Y1611:AV1611)-1)=0),"면제",
"확인요청"))))))</f>
        <v>면제</v>
      </c>
      <c r="Y1611" s="94" t="s">
        <v>7</v>
      </c>
      <c r="Z1611" s="95" t="s">
        <v>7</v>
      </c>
      <c r="AA1611" s="95" t="s">
        <v>7</v>
      </c>
      <c r="AB1611" s="95" t="s">
        <v>7</v>
      </c>
      <c r="AC1611" s="95" t="s">
        <v>7</v>
      </c>
      <c r="AD1611" s="95" t="s">
        <v>7</v>
      </c>
      <c r="AE1611" s="95" t="s">
        <v>7</v>
      </c>
      <c r="AF1611" s="95" t="s">
        <v>7</v>
      </c>
      <c r="AG1611" s="95" t="s">
        <v>7</v>
      </c>
      <c r="AH1611" s="95" t="s">
        <v>7</v>
      </c>
      <c r="AI1611" s="95" t="s">
        <v>7</v>
      </c>
      <c r="AJ1611" s="96" t="s">
        <v>7</v>
      </c>
      <c r="AK1611" s="97" t="s">
        <v>7</v>
      </c>
      <c r="AL1611" s="95" t="s">
        <v>7</v>
      </c>
      <c r="AM1611" s="90"/>
      <c r="AN1611" s="90"/>
      <c r="AO1611" s="90"/>
      <c r="AP1611" s="90"/>
      <c r="AQ1611" s="90"/>
      <c r="AR1611" s="90"/>
      <c r="AS1611" s="90"/>
      <c r="AT1611" s="90"/>
      <c r="AU1611" s="90"/>
      <c r="AV1611" s="91"/>
      <c r="AX1611" s="92"/>
    </row>
    <row r="1612" customFormat="false" ht="15.65" hidden="false" customHeight="false" outlineLevel="0" collapsed="false">
      <c r="C1612" s="72" t="n">
        <f aca="false">COUNTIFS($D$6:D1612,"&lt;&gt;"&amp;"")</f>
        <v>1607</v>
      </c>
      <c r="D1612" s="73" t="s">
        <v>12</v>
      </c>
      <c r="E1612" s="76" t="str">
        <f aca="false">
IF($D1612="정상",INDEX(임대자산!$D$3:$R$3000,MATCH($F1612,임대자산!$I$3:$I$3000,0),MATCH(E$3,임대자산!$D$3:$R$3,0)),
IF($D1612="폐업",INDEX(폐업정보!$D$3:$R$3000,MATCH($F1612,폐업정보!$I$3:$I$3000,0),MATCH(E$3,폐업정보!$D$3:$R$3,0)),
"Error"))</f>
        <v>서울</v>
      </c>
      <c r="F161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B1607</v>
      </c>
      <c r="G1612" s="76" t="str">
        <f aca="false">F1612&amp;RANDBETWEEN(0,10)</f>
        <v>B16072</v>
      </c>
      <c r="H1612" s="75" t="n">
        <f aca="false">
IF($D1612="정상",INDEX(임대자산!$D$3:$R$3000,MATCH($F1612,임대자산!$I$3:$I$3000,0),MATCH(H$4,임대자산!$D$3:$R$3,0)),
IF($D1612="폐업",INDEX(폐업정보!$D$3:$R$3000,MATCH($F1612,폐업정보!$I$3:$I$3000,0),MATCH(H$4,폐업정보!$D$3:$R$3,0)),
"Error"))</f>
        <v>46062</v>
      </c>
      <c r="I1612" s="75" t="str">
        <f aca="false">
IF($D1612="정상",INDEX(임대자산!$D$3:$R$3000,MATCH($F1612,임대자산!$I$3:$I$3000,0),MATCH(I$4,임대자산!$D$3:$R$3,0)),
IF($D1612="폐업",INDEX(폐업정보!$D$3:$R$3000,MATCH($F1612,폐업정보!$I$3:$I$3000,0),MATCH(I$4,폐업정보!$D$3:$R$3,0)),
"Error"))</f>
        <v>A1607</v>
      </c>
      <c r="J1612" s="75" t="str">
        <f aca="false">
IF($D1612="정상",INDEX(임대자산!$D$3:$R$3000,MATCH($F1612,임대자산!$I$3:$I$3000,0),MATCH(J$4,임대자산!$D$3:$R$3,0)),
IF($D1612="폐업",INDEX(폐업정보!$D$3:$R$3000,MATCH($F1612,폐업정보!$I$3:$I$3000,0),MATCH(J$4,폐업정보!$D$3:$R$3,0)),
"Error"))</f>
        <v>6272100000</v>
      </c>
      <c r="K1612" s="75" t="str">
        <f aca="false">
IF($D1612="정상",INDEX(임대자산!$D$3:$R$3000,MATCH($F1612,임대자산!$I$3:$I$3000,0),MATCH(K$4,임대자산!$D$3:$R$3,0)),
IF($D1612="폐업",INDEX(폐업정보!$D$3:$R$3000,MATCH($F1612,폐업정보!$I$3:$I$3000,0),MATCH(K$4,폐업정보!$D$3:$R$3,0)),
"Error"))</f>
        <v>C1607</v>
      </c>
      <c r="L1612" s="75" t="str">
        <f aca="false">
IF($D1612="정상",INDEX(임대자산!$D$3:$R$3000,MATCH($F1612,임대자산!$I$3:$I$3000,0),MATCH(L$4,임대자산!$D$3:$R$3,0)),
IF($D1612="폐업",INDEX(폐업정보!$D$3:$R$3000,MATCH($F1612,폐업정보!$I$3:$I$3000,0),MATCH(L$4,폐업정보!$D$3:$R$3,0)),
"Error"))</f>
        <v>D1607</v>
      </c>
      <c r="M1612" s="76" t="s">
        <v>96</v>
      </c>
      <c r="N1612" s="77"/>
      <c r="O1612" s="78" t="s">
        <v>97</v>
      </c>
      <c r="P1612" s="79" t="n">
        <f aca="false">COUNTIFS(임대자산!$I:$I,가맹점정보!F1612,임대자산!$N:$N,가맹점정보!P$4)</f>
        <v>0</v>
      </c>
      <c r="Q1612" s="80" t="n">
        <f aca="false">COUNTIFS(임대자산!$I:$I,가맹점정보!F1612,임대자산!$N:$N,가맹점정보!Q$4)</f>
        <v>0</v>
      </c>
      <c r="R1612" s="81" t="n">
        <f aca="false">COUNTIFS(임대자산!$I:$I,가맹점정보!F1612,임대자산!$N:$N,가맹점정보!R$4)</f>
        <v>1</v>
      </c>
      <c r="S1612" s="82" t="n">
        <v>55000</v>
      </c>
      <c r="T1612" s="83" t="n">
        <v>0</v>
      </c>
      <c r="U1612" s="80" t="n">
        <f aca="false">SUM(S1612:T1612)</f>
        <v>55000</v>
      </c>
      <c r="V1612" s="84" t="s">
        <v>12</v>
      </c>
      <c r="W1612" s="80" t="e">
        <f aca="true">
IF(D1612="폐업","폐업",
IF(V1612="면제","면제",
IF(AND(V1612="정상",COUNTIFS(OFFSET(Y1612,0,COUNTA(Y1612:AV1612)-1,1,-4),"미납")&gt;=3),"장기미납",
IF(AND(V1612="정상",OFFSET(Y1612,0,COUNTA(Y1612:AV1612)-1)&gt;=U1612),"정상",
IF(AND(V1612="정상",OFFSET(Y1612,0,COUNTA(Y1612:AV1612)-1)=0),"정상",
"계약서 미작성")))))</f>
        <v>#VALUE!</v>
      </c>
      <c r="X1612" s="81" t="str">
        <f aca="true">
IF(D1612="폐업","폐업",
IF(AND(V1612="정상",OFFSET(Y1612,0,COUNTA(Y1612:AV1612)-1)="미납"),"미납",
IF(AND(V1612="정상",OFFSET(Y1612,0,COUNTA(Y1612:AV1612)-1)=0),"납부 시작 전",
IF(AND(V1612="정상",OFFSET(Y1612,0,COUNTA(Y1612:AV1612)-1)&gt;=U1612),"정상",
IF(AND(V1612="면제",OFFSET(Y1612,0,COUNTA(Y1612:AV1612)-1)="면제"),"면제",
IF(AND(V1612="면제",OFFSET(Y1612,0,COUNTA(Y1612:AV1612)-1)=0),"면제",
"확인요청"))))))</f>
        <v>정상</v>
      </c>
      <c r="Y1612" s="93" t="n">
        <v>55000</v>
      </c>
      <c r="Z1612" s="90" t="n">
        <v>55000</v>
      </c>
      <c r="AA1612" s="90" t="n">
        <v>55000</v>
      </c>
      <c r="AB1612" s="90" t="n">
        <v>55000</v>
      </c>
      <c r="AC1612" s="90" t="n">
        <v>55000</v>
      </c>
      <c r="AD1612" s="90" t="n">
        <v>55000</v>
      </c>
      <c r="AE1612" s="90" t="n">
        <v>55000</v>
      </c>
      <c r="AF1612" s="90" t="n">
        <v>55000</v>
      </c>
      <c r="AG1612" s="90" t="n">
        <v>55000</v>
      </c>
      <c r="AH1612" s="90" t="n">
        <v>55000</v>
      </c>
      <c r="AI1612" s="90" t="n">
        <v>55000</v>
      </c>
      <c r="AJ1612" s="91" t="n">
        <v>55000</v>
      </c>
      <c r="AK1612" s="89" t="n">
        <v>55000</v>
      </c>
      <c r="AL1612" s="90" t="n">
        <v>55000</v>
      </c>
      <c r="AM1612" s="90"/>
      <c r="AN1612" s="90"/>
      <c r="AO1612" s="90"/>
      <c r="AP1612" s="90"/>
      <c r="AQ1612" s="90"/>
      <c r="AR1612" s="90"/>
      <c r="AS1612" s="90"/>
      <c r="AT1612" s="90"/>
      <c r="AU1612" s="90"/>
      <c r="AV1612" s="91"/>
      <c r="AX1612" s="92"/>
    </row>
    <row r="1613" customFormat="false" ht="15.65" hidden="false" customHeight="false" outlineLevel="0" collapsed="false">
      <c r="C1613" s="72" t="n">
        <f aca="false">COUNTIFS($D$6:D1613,"&lt;&gt;"&amp;"")</f>
        <v>1608</v>
      </c>
      <c r="D1613" s="73" t="s">
        <v>12</v>
      </c>
      <c r="E1613" s="76" t="str">
        <f aca="false">
IF($D1613="정상",INDEX(임대자산!$D$3:$R$3000,MATCH($F1613,임대자산!$I$3:$I$3000,0),MATCH(E$3,임대자산!$D$3:$R$3,0)),
IF($D1613="폐업",INDEX(폐업정보!$D$3:$R$3000,MATCH($F1613,폐업정보!$I$3:$I$3000,0),MATCH(E$3,폐업정보!$D$3:$R$3,0)),
"Error"))</f>
        <v>서울</v>
      </c>
      <c r="F161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B1608</v>
      </c>
      <c r="G1613" s="76" t="str">
        <f aca="false">F1613&amp;RANDBETWEEN(0,10)</f>
        <v>B16082</v>
      </c>
      <c r="H1613" s="75" t="n">
        <f aca="false">
IF($D1613="정상",INDEX(임대자산!$D$3:$R$3000,MATCH($F1613,임대자산!$I$3:$I$3000,0),MATCH(H$4,임대자산!$D$3:$R$3,0)),
IF($D1613="폐업",INDEX(폐업정보!$D$3:$R$3000,MATCH($F1613,폐업정보!$I$3:$I$3000,0),MATCH(H$4,폐업정보!$D$3:$R$3,0)),
"Error"))</f>
        <v>45636</v>
      </c>
      <c r="I1613" s="75" t="str">
        <f aca="false">
IF($D1613="정상",INDEX(임대자산!$D$3:$R$3000,MATCH($F1613,임대자산!$I$3:$I$3000,0),MATCH(I$4,임대자산!$D$3:$R$3,0)),
IF($D1613="폐업",INDEX(폐업정보!$D$3:$R$3000,MATCH($F1613,폐업정보!$I$3:$I$3000,0),MATCH(I$4,폐업정보!$D$3:$R$3,0)),
"Error"))</f>
        <v>A1608</v>
      </c>
      <c r="J1613" s="75" t="str">
        <f aca="false">
IF($D1613="정상",INDEX(임대자산!$D$3:$R$3000,MATCH($F1613,임대자산!$I$3:$I$3000,0),MATCH(J$4,임대자산!$D$3:$R$3,0)),
IF($D1613="폐업",INDEX(폐업정보!$D$3:$R$3000,MATCH($F1613,폐업정보!$I$3:$I$3000,0),MATCH(J$4,폐업정보!$D$3:$R$3,0)),
"Error"))</f>
        <v>7854400000</v>
      </c>
      <c r="K1613" s="75" t="str">
        <f aca="false">
IF($D1613="정상",INDEX(임대자산!$D$3:$R$3000,MATCH($F1613,임대자산!$I$3:$I$3000,0),MATCH(K$4,임대자산!$D$3:$R$3,0)),
IF($D1613="폐업",INDEX(폐업정보!$D$3:$R$3000,MATCH($F1613,폐업정보!$I$3:$I$3000,0),MATCH(K$4,폐업정보!$D$3:$R$3,0)),
"Error"))</f>
        <v>C1608</v>
      </c>
      <c r="L1613" s="75" t="str">
        <f aca="false">
IF($D1613="정상",INDEX(임대자산!$D$3:$R$3000,MATCH($F1613,임대자산!$I$3:$I$3000,0),MATCH(L$4,임대자산!$D$3:$R$3,0)),
IF($D1613="폐업",INDEX(폐업정보!$D$3:$R$3000,MATCH($F1613,폐업정보!$I$3:$I$3000,0),MATCH(L$4,폐업정보!$D$3:$R$3,0)),
"Error"))</f>
        <v>D1608</v>
      </c>
      <c r="M1613" s="76" t="s">
        <v>96</v>
      </c>
      <c r="N1613" s="77"/>
      <c r="O1613" s="78" t="s">
        <v>97</v>
      </c>
      <c r="P1613" s="79" t="n">
        <f aca="false">COUNTIFS(임대자산!$I:$I,가맹점정보!F1613,임대자산!$N:$N,가맹점정보!P$4)</f>
        <v>0</v>
      </c>
      <c r="Q1613" s="80" t="n">
        <f aca="false">COUNTIFS(임대자산!$I:$I,가맹점정보!F1613,임대자산!$N:$N,가맹점정보!Q$4)</f>
        <v>0</v>
      </c>
      <c r="R1613" s="81" t="n">
        <f aca="false">COUNTIFS(임대자산!$I:$I,가맹점정보!F1613,임대자산!$N:$N,가맹점정보!R$4)</f>
        <v>1</v>
      </c>
      <c r="S1613" s="82" t="n">
        <v>55000</v>
      </c>
      <c r="T1613" s="83" t="n">
        <v>0</v>
      </c>
      <c r="U1613" s="80" t="n">
        <f aca="false">SUM(S1613:T1613)</f>
        <v>55000</v>
      </c>
      <c r="V1613" s="84" t="s">
        <v>12</v>
      </c>
      <c r="W1613" s="80" t="e">
        <f aca="true">
IF(D1613="폐업","폐업",
IF(V1613="면제","면제",
IF(AND(V1613="정상",COUNTIFS(OFFSET(Y1613,0,COUNTA(Y1613:AV1613)-1,1,-4),"미납")&gt;=3),"장기미납",
IF(AND(V1613="정상",OFFSET(Y1613,0,COUNTA(Y1613:AV1613)-1)&gt;=U1613),"정상",
IF(AND(V1613="정상",OFFSET(Y1613,0,COUNTA(Y1613:AV1613)-1)=0),"정상",
"계약서 미작성")))))</f>
        <v>#VALUE!</v>
      </c>
      <c r="X1613" s="81" t="str">
        <f aca="true">
IF(D1613="폐업","폐업",
IF(AND(V1613="정상",OFFSET(Y1613,0,COUNTA(Y1613:AV1613)-1)="미납"),"미납",
IF(AND(V1613="정상",OFFSET(Y1613,0,COUNTA(Y1613:AV1613)-1)=0),"납부 시작 전",
IF(AND(V1613="정상",OFFSET(Y1613,0,COUNTA(Y1613:AV1613)-1)&gt;=U1613),"정상",
IF(AND(V1613="면제",OFFSET(Y1613,0,COUNTA(Y1613:AV1613)-1)="면제"),"면제",
IF(AND(V1613="면제",OFFSET(Y1613,0,COUNTA(Y1613:AV1613)-1)=0),"면제",
"확인요청"))))))</f>
        <v>정상</v>
      </c>
      <c r="Y1613" s="93" t="n">
        <v>55000</v>
      </c>
      <c r="Z1613" s="90" t="n">
        <v>55000</v>
      </c>
      <c r="AA1613" s="90" t="n">
        <v>55000</v>
      </c>
      <c r="AB1613" s="90" t="n">
        <v>55000</v>
      </c>
      <c r="AC1613" s="90" t="n">
        <v>55000</v>
      </c>
      <c r="AD1613" s="90" t="n">
        <v>55000</v>
      </c>
      <c r="AE1613" s="90" t="n">
        <v>55000</v>
      </c>
      <c r="AF1613" s="90" t="n">
        <v>55000</v>
      </c>
      <c r="AG1613" s="90" t="n">
        <v>55000</v>
      </c>
      <c r="AH1613" s="90" t="n">
        <v>55000</v>
      </c>
      <c r="AI1613" s="90" t="n">
        <v>55000</v>
      </c>
      <c r="AJ1613" s="91" t="n">
        <v>55000</v>
      </c>
      <c r="AK1613" s="89" t="n">
        <v>55000</v>
      </c>
      <c r="AL1613" s="90" t="n">
        <v>55000</v>
      </c>
      <c r="AM1613" s="90"/>
      <c r="AN1613" s="90"/>
      <c r="AO1613" s="90"/>
      <c r="AP1613" s="90"/>
      <c r="AQ1613" s="90"/>
      <c r="AR1613" s="90"/>
      <c r="AS1613" s="90"/>
      <c r="AT1613" s="90"/>
      <c r="AU1613" s="90"/>
      <c r="AV1613" s="91"/>
      <c r="AX1613" s="92"/>
    </row>
    <row r="1614" customFormat="false" ht="15.65" hidden="false" customHeight="false" outlineLevel="0" collapsed="false">
      <c r="C1614" s="72" t="n">
        <f aca="false">COUNTIFS($D$6:D1614,"&lt;&gt;"&amp;"")</f>
        <v>1609</v>
      </c>
      <c r="D1614" s="73" t="s">
        <v>12</v>
      </c>
      <c r="E1614" s="76" t="str">
        <f aca="false">
IF($D1614="정상",INDEX(임대자산!$D$3:$R$3000,MATCH($F1614,임대자산!$I$3:$I$3000,0),MATCH(E$3,임대자산!$D$3:$R$3,0)),
IF($D1614="폐업",INDEX(폐업정보!$D$3:$R$3000,MATCH($F1614,폐업정보!$I$3:$I$3000,0),MATCH(E$3,폐업정보!$D$3:$R$3,0)),
"Error"))</f>
        <v>서울</v>
      </c>
      <c r="F161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B1609</v>
      </c>
      <c r="G1614" s="76" t="str">
        <f aca="false">F1614&amp;RANDBETWEEN(0,10)</f>
        <v>B16097</v>
      </c>
      <c r="H1614" s="75" t="n">
        <f aca="false">
IF($D1614="정상",INDEX(임대자산!$D$3:$R$3000,MATCH($F1614,임대자산!$I$3:$I$3000,0),MATCH(H$4,임대자산!$D$3:$R$3,0)),
IF($D1614="폐업",INDEX(폐업정보!$D$3:$R$3000,MATCH($F1614,폐업정보!$I$3:$I$3000,0),MATCH(H$4,폐업정보!$D$3:$R$3,0)),
"Error"))</f>
        <v>45636</v>
      </c>
      <c r="I1614" s="75" t="str">
        <f aca="false">
IF($D1614="정상",INDEX(임대자산!$D$3:$R$3000,MATCH($F1614,임대자산!$I$3:$I$3000,0),MATCH(I$4,임대자산!$D$3:$R$3,0)),
IF($D1614="폐업",INDEX(폐업정보!$D$3:$R$3000,MATCH($F1614,폐업정보!$I$3:$I$3000,0),MATCH(I$4,폐업정보!$D$3:$R$3,0)),
"Error"))</f>
        <v>A1609</v>
      </c>
      <c r="J1614" s="75" t="str">
        <f aca="false">
IF($D1614="정상",INDEX(임대자산!$D$3:$R$3000,MATCH($F1614,임대자산!$I$3:$I$3000,0),MATCH(J$4,임대자산!$D$3:$R$3,0)),
IF($D1614="폐업",INDEX(폐업정보!$D$3:$R$3000,MATCH($F1614,폐업정보!$I$3:$I$3000,0),MATCH(J$4,폐업정보!$D$3:$R$3,0)),
"Error"))</f>
        <v>5616800000</v>
      </c>
      <c r="K1614" s="75" t="str">
        <f aca="false">
IF($D1614="정상",INDEX(임대자산!$D$3:$R$3000,MATCH($F1614,임대자산!$I$3:$I$3000,0),MATCH(K$4,임대자산!$D$3:$R$3,0)),
IF($D1614="폐업",INDEX(폐업정보!$D$3:$R$3000,MATCH($F1614,폐업정보!$I$3:$I$3000,0),MATCH(K$4,폐업정보!$D$3:$R$3,0)),
"Error"))</f>
        <v>C1609</v>
      </c>
      <c r="L1614" s="75" t="str">
        <f aca="false">
IF($D1614="정상",INDEX(임대자산!$D$3:$R$3000,MATCH($F1614,임대자산!$I$3:$I$3000,0),MATCH(L$4,임대자산!$D$3:$R$3,0)),
IF($D1614="폐업",INDEX(폐업정보!$D$3:$R$3000,MATCH($F1614,폐업정보!$I$3:$I$3000,0),MATCH(L$4,폐업정보!$D$3:$R$3,0)),
"Error"))</f>
        <v>D1609</v>
      </c>
      <c r="M1614" s="76" t="s">
        <v>96</v>
      </c>
      <c r="N1614" s="77"/>
      <c r="O1614" s="78" t="s">
        <v>97</v>
      </c>
      <c r="P1614" s="79" t="n">
        <f aca="false">COUNTIFS(임대자산!$I:$I,가맹점정보!F1614,임대자산!$N:$N,가맹점정보!P$4)</f>
        <v>0</v>
      </c>
      <c r="Q1614" s="80" t="n">
        <f aca="false">COUNTIFS(임대자산!$I:$I,가맹점정보!F1614,임대자산!$N:$N,가맹점정보!Q$4)</f>
        <v>0</v>
      </c>
      <c r="R1614" s="81" t="n">
        <f aca="false">COUNTIFS(임대자산!$I:$I,가맹점정보!F1614,임대자산!$N:$N,가맹점정보!R$4)</f>
        <v>1</v>
      </c>
      <c r="S1614" s="82" t="n">
        <v>55000</v>
      </c>
      <c r="T1614" s="83" t="n">
        <v>0</v>
      </c>
      <c r="U1614" s="80" t="n">
        <f aca="false">SUM(S1614:T1614)</f>
        <v>55000</v>
      </c>
      <c r="V1614" s="84" t="s">
        <v>12</v>
      </c>
      <c r="W1614" s="80" t="e">
        <f aca="true">
IF(D1614="폐업","폐업",
IF(V1614="면제","면제",
IF(AND(V1614="정상",COUNTIFS(OFFSET(Y1614,0,COUNTA(Y1614:AV1614)-1,1,-4),"미납")&gt;=3),"장기미납",
IF(AND(V1614="정상",OFFSET(Y1614,0,COUNTA(Y1614:AV1614)-1)&gt;=U1614),"정상",
IF(AND(V1614="정상",OFFSET(Y1614,0,COUNTA(Y1614:AV1614)-1)=0),"정상",
"계약서 미작성")))))</f>
        <v>#VALUE!</v>
      </c>
      <c r="X1614" s="81" t="str">
        <f aca="true">
IF(D1614="폐업","폐업",
IF(AND(V1614="정상",OFFSET(Y1614,0,COUNTA(Y1614:AV1614)-1)="미납"),"미납",
IF(AND(V1614="정상",OFFSET(Y1614,0,COUNTA(Y1614:AV1614)-1)=0),"납부 시작 전",
IF(AND(V1614="정상",OFFSET(Y1614,0,COUNTA(Y1614:AV1614)-1)&gt;=U1614),"정상",
IF(AND(V1614="면제",OFFSET(Y1614,0,COUNTA(Y1614:AV1614)-1)="면제"),"면제",
IF(AND(V1614="면제",OFFSET(Y1614,0,COUNTA(Y1614:AV1614)-1)=0),"면제",
"확인요청"))))))</f>
        <v>정상</v>
      </c>
      <c r="Y1614" s="93" t="s">
        <v>99</v>
      </c>
      <c r="Z1614" s="90" t="n">
        <v>110000</v>
      </c>
      <c r="AA1614" s="90" t="n">
        <v>55000</v>
      </c>
      <c r="AB1614" s="90" t="n">
        <v>55000</v>
      </c>
      <c r="AC1614" s="90" t="n">
        <v>55000</v>
      </c>
      <c r="AD1614" s="90" t="n">
        <v>55000</v>
      </c>
      <c r="AE1614" s="90" t="n">
        <v>55000</v>
      </c>
      <c r="AF1614" s="90" t="n">
        <v>55000</v>
      </c>
      <c r="AG1614" s="90" t="n">
        <v>55000</v>
      </c>
      <c r="AH1614" s="90" t="n">
        <v>55000</v>
      </c>
      <c r="AI1614" s="90" t="n">
        <v>55000</v>
      </c>
      <c r="AJ1614" s="91" t="n">
        <v>55000</v>
      </c>
      <c r="AK1614" s="89" t="n">
        <v>55000</v>
      </c>
      <c r="AL1614" s="90" t="n">
        <v>55000</v>
      </c>
      <c r="AM1614" s="90"/>
      <c r="AN1614" s="90"/>
      <c r="AO1614" s="90"/>
      <c r="AP1614" s="90"/>
      <c r="AQ1614" s="90"/>
      <c r="AR1614" s="90"/>
      <c r="AS1614" s="90"/>
      <c r="AT1614" s="90"/>
      <c r="AU1614" s="90"/>
      <c r="AV1614" s="91"/>
      <c r="AX1614" s="92"/>
    </row>
    <row r="1615" customFormat="false" ht="15.65" hidden="false" customHeight="false" outlineLevel="0" collapsed="false">
      <c r="C1615" s="72" t="n">
        <f aca="false">COUNTIFS($D$6:D1615,"&lt;&gt;"&amp;"")</f>
        <v>1610</v>
      </c>
      <c r="D1615" s="73" t="s">
        <v>12</v>
      </c>
      <c r="E1615" s="76" t="str">
        <f aca="false">
IF($D1615="정상",INDEX(임대자산!$D$3:$R$3000,MATCH($F1615,임대자산!$I$3:$I$3000,0),MATCH(E$3,임대자산!$D$3:$R$3,0)),
IF($D1615="폐업",INDEX(폐업정보!$D$3:$R$3000,MATCH($F1615,폐업정보!$I$3:$I$3000,0),MATCH(E$3,폐업정보!$D$3:$R$3,0)),
"Error"))</f>
        <v>경기</v>
      </c>
      <c r="F161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B1610</v>
      </c>
      <c r="G1615" s="76" t="str">
        <f aca="false">F1615&amp;RANDBETWEEN(0,10)</f>
        <v>B16105</v>
      </c>
      <c r="H1615" s="75" t="n">
        <f aca="false">
IF($D1615="정상",INDEX(임대자산!$D$3:$R$3000,MATCH($F1615,임대자산!$I$3:$I$3000,0),MATCH(H$4,임대자산!$D$3:$R$3,0)),
IF($D1615="폐업",INDEX(폐업정보!$D$3:$R$3000,MATCH($F1615,폐업정보!$I$3:$I$3000,0),MATCH(H$4,폐업정보!$D$3:$R$3,0)),
"Error"))</f>
        <v>45665</v>
      </c>
      <c r="I1615" s="75" t="str">
        <f aca="false">
IF($D1615="정상",INDEX(임대자산!$D$3:$R$3000,MATCH($F1615,임대자산!$I$3:$I$3000,0),MATCH(I$4,임대자산!$D$3:$R$3,0)),
IF($D1615="폐업",INDEX(폐업정보!$D$3:$R$3000,MATCH($F1615,폐업정보!$I$3:$I$3000,0),MATCH(I$4,폐업정보!$D$3:$R$3,0)),
"Error"))</f>
        <v>A1610</v>
      </c>
      <c r="J1615" s="75" t="str">
        <f aca="false">
IF($D1615="정상",INDEX(임대자산!$D$3:$R$3000,MATCH($F1615,임대자산!$I$3:$I$3000,0),MATCH(J$4,임대자산!$D$3:$R$3,0)),
IF($D1615="폐업",INDEX(폐업정보!$D$3:$R$3000,MATCH($F1615,폐업정보!$I$3:$I$3000,0),MATCH(J$4,폐업정보!$D$3:$R$3,0)),
"Error"))</f>
        <v>1722000000</v>
      </c>
      <c r="K1615" s="75" t="str">
        <f aca="false">
IF($D1615="정상",INDEX(임대자산!$D$3:$R$3000,MATCH($F1615,임대자산!$I$3:$I$3000,0),MATCH(K$4,임대자산!$D$3:$R$3,0)),
IF($D1615="폐업",INDEX(폐업정보!$D$3:$R$3000,MATCH($F1615,폐업정보!$I$3:$I$3000,0),MATCH(K$4,폐업정보!$D$3:$R$3,0)),
"Error"))</f>
        <v>C1610</v>
      </c>
      <c r="L1615" s="75" t="str">
        <f aca="false">
IF($D1615="정상",INDEX(임대자산!$D$3:$R$3000,MATCH($F1615,임대자산!$I$3:$I$3000,0),MATCH(L$4,임대자산!$D$3:$R$3,0)),
IF($D1615="폐업",INDEX(폐업정보!$D$3:$R$3000,MATCH($F1615,폐업정보!$I$3:$I$3000,0),MATCH(L$4,폐업정보!$D$3:$R$3,0)),
"Error"))</f>
        <v>D1610</v>
      </c>
      <c r="M1615" s="76" t="s">
        <v>96</v>
      </c>
      <c r="N1615" s="77"/>
      <c r="O1615" s="78" t="s">
        <v>97</v>
      </c>
      <c r="P1615" s="79" t="n">
        <f aca="false">COUNTIFS(임대자산!$I:$I,가맹점정보!F1615,임대자산!$N:$N,가맹점정보!P$4)</f>
        <v>0</v>
      </c>
      <c r="Q1615" s="80" t="n">
        <f aca="false">COUNTIFS(임대자산!$I:$I,가맹점정보!F1615,임대자산!$N:$N,가맹점정보!Q$4)</f>
        <v>0</v>
      </c>
      <c r="R1615" s="81" t="n">
        <f aca="false">COUNTIFS(임대자산!$I:$I,가맹점정보!F1615,임대자산!$N:$N,가맹점정보!R$4)</f>
        <v>1</v>
      </c>
      <c r="S1615" s="82" t="n">
        <v>55000</v>
      </c>
      <c r="T1615" s="83" t="n">
        <v>0</v>
      </c>
      <c r="U1615" s="80" t="n">
        <f aca="false">SUM(S1615:T1615)</f>
        <v>55000</v>
      </c>
      <c r="V1615" s="84" t="s">
        <v>12</v>
      </c>
      <c r="W1615" s="80" t="e">
        <f aca="true">
IF(D1615="폐업","폐업",
IF(V1615="면제","면제",
IF(AND(V1615="정상",COUNTIFS(OFFSET(Y1615,0,COUNTA(Y1615:AV1615)-1,1,-4),"미납")&gt;=3),"장기미납",
IF(AND(V1615="정상",OFFSET(Y1615,0,COUNTA(Y1615:AV1615)-1)&gt;=U1615),"정상",
IF(AND(V1615="정상",OFFSET(Y1615,0,COUNTA(Y1615:AV1615)-1)=0),"정상",
"계약서 미작성")))))</f>
        <v>#VALUE!</v>
      </c>
      <c r="X1615" s="81" t="str">
        <f aca="true">
IF(D1615="폐업","폐업",
IF(AND(V1615="정상",OFFSET(Y1615,0,COUNTA(Y1615:AV1615)-1)="미납"),"미납",
IF(AND(V1615="정상",OFFSET(Y1615,0,COUNTA(Y1615:AV1615)-1)=0),"납부 시작 전",
IF(AND(V1615="정상",OFFSET(Y1615,0,COUNTA(Y1615:AV1615)-1)&gt;=U1615),"정상",
IF(AND(V1615="면제",OFFSET(Y1615,0,COUNTA(Y1615:AV1615)-1)="면제"),"면제",
IF(AND(V1615="면제",OFFSET(Y1615,0,COUNTA(Y1615:AV1615)-1)=0),"면제",
"확인요청"))))))</f>
        <v>정상</v>
      </c>
      <c r="Y1615" s="93" t="n">
        <v>55000</v>
      </c>
      <c r="Z1615" s="90" t="n">
        <v>55000</v>
      </c>
      <c r="AA1615" s="90" t="n">
        <v>55000</v>
      </c>
      <c r="AB1615" s="90" t="n">
        <v>55000</v>
      </c>
      <c r="AC1615" s="90" t="n">
        <v>55000</v>
      </c>
      <c r="AD1615" s="90" t="n">
        <v>55000</v>
      </c>
      <c r="AE1615" s="90" t="n">
        <v>55000</v>
      </c>
      <c r="AF1615" s="90" t="n">
        <v>55000</v>
      </c>
      <c r="AG1615" s="90" t="n">
        <v>55000</v>
      </c>
      <c r="AH1615" s="90" t="n">
        <v>55000</v>
      </c>
      <c r="AI1615" s="90" t="n">
        <v>55000</v>
      </c>
      <c r="AJ1615" s="91" t="n">
        <v>55000</v>
      </c>
      <c r="AK1615" s="89" t="n">
        <v>55000</v>
      </c>
      <c r="AL1615" s="90" t="n">
        <v>55000</v>
      </c>
      <c r="AM1615" s="90"/>
      <c r="AN1615" s="90"/>
      <c r="AO1615" s="90"/>
      <c r="AP1615" s="90"/>
      <c r="AQ1615" s="90"/>
      <c r="AR1615" s="90"/>
      <c r="AS1615" s="90"/>
      <c r="AT1615" s="90"/>
      <c r="AU1615" s="90"/>
      <c r="AV1615" s="91"/>
      <c r="AX1615" s="92"/>
    </row>
    <row r="1616" customFormat="false" ht="15.65" hidden="false" customHeight="false" outlineLevel="0" collapsed="false">
      <c r="C1616" s="72" t="n">
        <f aca="false">COUNTIFS($D$6:D1616,"&lt;&gt;"&amp;"")</f>
        <v>1611</v>
      </c>
      <c r="D1616" s="73" t="s">
        <v>12</v>
      </c>
      <c r="E1616" s="76" t="str">
        <f aca="false">
IF($D1616="정상",INDEX(임대자산!$D$3:$R$3000,MATCH($F1616,임대자산!$I$3:$I$3000,0),MATCH(E$3,임대자산!$D$3:$R$3,0)),
IF($D1616="폐업",INDEX(폐업정보!$D$3:$R$3000,MATCH($F1616,폐업정보!$I$3:$I$3000,0),MATCH(E$3,폐업정보!$D$3:$R$3,0)),
"Error"))</f>
        <v>서울</v>
      </c>
      <c r="F161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B1611</v>
      </c>
      <c r="G1616" s="76" t="str">
        <f aca="false">F1616&amp;RANDBETWEEN(0,10)</f>
        <v>B16114</v>
      </c>
      <c r="H1616" s="75" t="n">
        <f aca="false">
IF($D1616="정상",INDEX(임대자산!$D$3:$R$3000,MATCH($F1616,임대자산!$I$3:$I$3000,0),MATCH(H$4,임대자산!$D$3:$R$3,0)),
IF($D1616="폐업",INDEX(폐업정보!$D$3:$R$3000,MATCH($F1616,폐업정보!$I$3:$I$3000,0),MATCH(H$4,폐업정보!$D$3:$R$3,0)),
"Error"))</f>
        <v>45663</v>
      </c>
      <c r="I1616" s="75" t="str">
        <f aca="false">
IF($D1616="정상",INDEX(임대자산!$D$3:$R$3000,MATCH($F1616,임대자산!$I$3:$I$3000,0),MATCH(I$4,임대자산!$D$3:$R$3,0)),
IF($D1616="폐업",INDEX(폐업정보!$D$3:$R$3000,MATCH($F1616,폐업정보!$I$3:$I$3000,0),MATCH(I$4,폐업정보!$D$3:$R$3,0)),
"Error"))</f>
        <v>A1611</v>
      </c>
      <c r="J1616" s="75" t="str">
        <f aca="false">
IF($D1616="정상",INDEX(임대자산!$D$3:$R$3000,MATCH($F1616,임대자산!$I$3:$I$3000,0),MATCH(J$4,임대자산!$D$3:$R$3,0)),
IF($D1616="폐업",INDEX(폐업정보!$D$3:$R$3000,MATCH($F1616,폐업정보!$I$3:$I$3000,0),MATCH(J$4,폐업정보!$D$3:$R$3,0)),
"Error"))</f>
        <v>2736900000</v>
      </c>
      <c r="K1616" s="75" t="str">
        <f aca="false">
IF($D1616="정상",INDEX(임대자산!$D$3:$R$3000,MATCH($F1616,임대자산!$I$3:$I$3000,0),MATCH(K$4,임대자산!$D$3:$R$3,0)),
IF($D1616="폐업",INDEX(폐업정보!$D$3:$R$3000,MATCH($F1616,폐업정보!$I$3:$I$3000,0),MATCH(K$4,폐업정보!$D$3:$R$3,0)),
"Error"))</f>
        <v>C1611</v>
      </c>
      <c r="L1616" s="75" t="str">
        <f aca="false">
IF($D1616="정상",INDEX(임대자산!$D$3:$R$3000,MATCH($F1616,임대자산!$I$3:$I$3000,0),MATCH(L$4,임대자산!$D$3:$R$3,0)),
IF($D1616="폐업",INDEX(폐업정보!$D$3:$R$3000,MATCH($F1616,폐업정보!$I$3:$I$3000,0),MATCH(L$4,폐업정보!$D$3:$R$3,0)),
"Error"))</f>
        <v>D1611</v>
      </c>
      <c r="M1616" s="76" t="s">
        <v>96</v>
      </c>
      <c r="N1616" s="77"/>
      <c r="O1616" s="78" t="s">
        <v>97</v>
      </c>
      <c r="P1616" s="79" t="n">
        <f aca="false">COUNTIFS(임대자산!$I:$I,가맹점정보!F1616,임대자산!$N:$N,가맹점정보!P$4)</f>
        <v>0</v>
      </c>
      <c r="Q1616" s="80" t="n">
        <f aca="false">COUNTIFS(임대자산!$I:$I,가맹점정보!F1616,임대자산!$N:$N,가맹점정보!Q$4)</f>
        <v>0</v>
      </c>
      <c r="R1616" s="81" t="n">
        <f aca="false">COUNTIFS(임대자산!$I:$I,가맹점정보!F1616,임대자산!$N:$N,가맹점정보!R$4)</f>
        <v>1</v>
      </c>
      <c r="S1616" s="82" t="n">
        <v>55000</v>
      </c>
      <c r="T1616" s="83" t="n">
        <v>0</v>
      </c>
      <c r="U1616" s="80" t="n">
        <f aca="false">SUM(S1616:T1616)</f>
        <v>55000</v>
      </c>
      <c r="V1616" s="84" t="s">
        <v>12</v>
      </c>
      <c r="W1616" s="80" t="e">
        <f aca="true">
IF(D1616="폐업","폐업",
IF(V1616="면제","면제",
IF(AND(V1616="정상",COUNTIFS(OFFSET(Y1616,0,COUNTA(Y1616:AV1616)-1,1,-4),"미납")&gt;=3),"장기미납",
IF(AND(V1616="정상",OFFSET(Y1616,0,COUNTA(Y1616:AV1616)-1)&gt;=U1616),"정상",
IF(AND(V1616="정상",OFFSET(Y1616,0,COUNTA(Y1616:AV1616)-1)=0),"정상",
"계약서 미작성")))))</f>
        <v>#VALUE!</v>
      </c>
      <c r="X1616" s="81" t="str">
        <f aca="true">
IF(D1616="폐업","폐업",
IF(AND(V1616="정상",OFFSET(Y1616,0,COUNTA(Y1616:AV1616)-1)="미납"),"미납",
IF(AND(V1616="정상",OFFSET(Y1616,0,COUNTA(Y1616:AV1616)-1)=0),"납부 시작 전",
IF(AND(V1616="정상",OFFSET(Y1616,0,COUNTA(Y1616:AV1616)-1)&gt;=U1616),"정상",
IF(AND(V1616="면제",OFFSET(Y1616,0,COUNTA(Y1616:AV1616)-1)="면제"),"면제",
IF(AND(V1616="면제",OFFSET(Y1616,0,COUNTA(Y1616:AV1616)-1)=0),"면제",
"확인요청"))))))</f>
        <v>정상</v>
      </c>
      <c r="Y1616" s="93" t="n">
        <v>55000</v>
      </c>
      <c r="Z1616" s="90" t="n">
        <v>55000</v>
      </c>
      <c r="AA1616" s="90" t="n">
        <v>55000</v>
      </c>
      <c r="AB1616" s="90" t="n">
        <v>55000</v>
      </c>
      <c r="AC1616" s="90" t="n">
        <v>55000</v>
      </c>
      <c r="AD1616" s="90" t="n">
        <v>55000</v>
      </c>
      <c r="AE1616" s="90" t="n">
        <v>55000</v>
      </c>
      <c r="AF1616" s="90" t="n">
        <v>55000</v>
      </c>
      <c r="AG1616" s="90" t="n">
        <v>55000</v>
      </c>
      <c r="AH1616" s="90" t="n">
        <v>55000</v>
      </c>
      <c r="AI1616" s="90" t="n">
        <v>55000</v>
      </c>
      <c r="AJ1616" s="91" t="n">
        <v>55000</v>
      </c>
      <c r="AK1616" s="89" t="n">
        <v>55000</v>
      </c>
      <c r="AL1616" s="90" t="n">
        <v>55000</v>
      </c>
      <c r="AM1616" s="90"/>
      <c r="AN1616" s="90"/>
      <c r="AO1616" s="90"/>
      <c r="AP1616" s="90"/>
      <c r="AQ1616" s="90"/>
      <c r="AR1616" s="90"/>
      <c r="AS1616" s="90"/>
      <c r="AT1616" s="90"/>
      <c r="AU1616" s="90"/>
      <c r="AV1616" s="91"/>
      <c r="AX1616" s="92"/>
    </row>
    <row r="1617" customFormat="false" ht="15.65" hidden="false" customHeight="false" outlineLevel="0" collapsed="false">
      <c r="C1617" s="72" t="n">
        <f aca="false">COUNTIFS($D$6:D1617,"&lt;&gt;"&amp;"")</f>
        <v>1612</v>
      </c>
      <c r="D1617" s="73" t="s">
        <v>12</v>
      </c>
      <c r="E1617" s="76" t="str">
        <f aca="false">
IF($D1617="정상",INDEX(임대자산!$D$3:$R$3000,MATCH($F1617,임대자산!$I$3:$I$3000,0),MATCH(E$3,임대자산!$D$3:$R$3,0)),
IF($D1617="폐업",INDEX(폐업정보!$D$3:$R$3000,MATCH($F1617,폐업정보!$I$3:$I$3000,0),MATCH(E$3,폐업정보!$D$3:$R$3,0)),
"Error"))</f>
        <v>서울</v>
      </c>
      <c r="F161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B1612</v>
      </c>
      <c r="G1617" s="76" t="str">
        <f aca="false">F1617&amp;RANDBETWEEN(0,10)</f>
        <v>B16124</v>
      </c>
      <c r="H1617" s="75" t="n">
        <f aca="false">
IF($D1617="정상",INDEX(임대자산!$D$3:$R$3000,MATCH($F1617,임대자산!$I$3:$I$3000,0),MATCH(H$4,임대자산!$D$3:$R$3,0)),
IF($D1617="폐업",INDEX(폐업정보!$D$3:$R$3000,MATCH($F1617,폐업정보!$I$3:$I$3000,0),MATCH(H$4,폐업정보!$D$3:$R$3,0)),
"Error"))</f>
        <v>45663</v>
      </c>
      <c r="I1617" s="75" t="str">
        <f aca="false">
IF($D1617="정상",INDEX(임대자산!$D$3:$R$3000,MATCH($F1617,임대자산!$I$3:$I$3000,0),MATCH(I$4,임대자산!$D$3:$R$3,0)),
IF($D1617="폐업",INDEX(폐업정보!$D$3:$R$3000,MATCH($F1617,폐업정보!$I$3:$I$3000,0),MATCH(I$4,폐업정보!$D$3:$R$3,0)),
"Error"))</f>
        <v>A1612</v>
      </c>
      <c r="J1617" s="75" t="str">
        <f aca="false">
IF($D1617="정상",INDEX(임대자산!$D$3:$R$3000,MATCH($F1617,임대자산!$I$3:$I$3000,0),MATCH(J$4,임대자산!$D$3:$R$3,0)),
IF($D1617="폐업",INDEX(폐업정보!$D$3:$R$3000,MATCH($F1617,폐업정보!$I$3:$I$3000,0),MATCH(J$4,폐업정보!$D$3:$R$3,0)),
"Error"))</f>
        <v>2056900000</v>
      </c>
      <c r="K1617" s="75" t="str">
        <f aca="false">
IF($D1617="정상",INDEX(임대자산!$D$3:$R$3000,MATCH($F1617,임대자산!$I$3:$I$3000,0),MATCH(K$4,임대자산!$D$3:$R$3,0)),
IF($D1617="폐업",INDEX(폐업정보!$D$3:$R$3000,MATCH($F1617,폐업정보!$I$3:$I$3000,0),MATCH(K$4,폐업정보!$D$3:$R$3,0)),
"Error"))</f>
        <v>C1612</v>
      </c>
      <c r="L1617" s="75" t="str">
        <f aca="false">
IF($D1617="정상",INDEX(임대자산!$D$3:$R$3000,MATCH($F1617,임대자산!$I$3:$I$3000,0),MATCH(L$4,임대자산!$D$3:$R$3,0)),
IF($D1617="폐업",INDEX(폐업정보!$D$3:$R$3000,MATCH($F1617,폐업정보!$I$3:$I$3000,0),MATCH(L$4,폐업정보!$D$3:$R$3,0)),
"Error"))</f>
        <v>D1612</v>
      </c>
      <c r="M1617" s="76" t="s">
        <v>96</v>
      </c>
      <c r="N1617" s="77"/>
      <c r="O1617" s="78" t="s">
        <v>97</v>
      </c>
      <c r="P1617" s="79" t="n">
        <f aca="false">COUNTIFS(임대자산!$I:$I,가맹점정보!F1617,임대자산!$N:$N,가맹점정보!P$4)</f>
        <v>0</v>
      </c>
      <c r="Q1617" s="80" t="n">
        <f aca="false">COUNTIFS(임대자산!$I:$I,가맹점정보!F1617,임대자산!$N:$N,가맹점정보!Q$4)</f>
        <v>0</v>
      </c>
      <c r="R1617" s="81" t="n">
        <f aca="false">COUNTIFS(임대자산!$I:$I,가맹점정보!F1617,임대자산!$N:$N,가맹점정보!R$4)</f>
        <v>1</v>
      </c>
      <c r="S1617" s="82" t="n">
        <v>55000</v>
      </c>
      <c r="T1617" s="83" t="n">
        <v>0</v>
      </c>
      <c r="U1617" s="80" t="n">
        <f aca="false">SUM(S1617:T1617)</f>
        <v>55000</v>
      </c>
      <c r="V1617" s="84" t="s">
        <v>12</v>
      </c>
      <c r="W1617" s="80" t="e">
        <f aca="true">
IF(D1617="폐업","폐업",
IF(V1617="면제","면제",
IF(AND(V1617="정상",COUNTIFS(OFFSET(Y1617,0,COUNTA(Y1617:AV1617)-1,1,-4),"미납")&gt;=3),"장기미납",
IF(AND(V1617="정상",OFFSET(Y1617,0,COUNTA(Y1617:AV1617)-1)&gt;=U1617),"정상",
IF(AND(V1617="정상",OFFSET(Y1617,0,COUNTA(Y1617:AV1617)-1)=0),"정상",
"계약서 미작성")))))</f>
        <v>#VALUE!</v>
      </c>
      <c r="X1617" s="81" t="str">
        <f aca="true">
IF(D1617="폐업","폐업",
IF(AND(V1617="정상",OFFSET(Y1617,0,COUNTA(Y1617:AV1617)-1)="미납"),"미납",
IF(AND(V1617="정상",OFFSET(Y1617,0,COUNTA(Y1617:AV1617)-1)=0),"납부 시작 전",
IF(AND(V1617="정상",OFFSET(Y1617,0,COUNTA(Y1617:AV1617)-1)&gt;=U1617),"정상",
IF(AND(V1617="면제",OFFSET(Y1617,0,COUNTA(Y1617:AV1617)-1)="면제"),"면제",
IF(AND(V1617="면제",OFFSET(Y1617,0,COUNTA(Y1617:AV1617)-1)=0),"면제",
"확인요청"))))))</f>
        <v>정상</v>
      </c>
      <c r="Y1617" s="93" t="n">
        <v>55000</v>
      </c>
      <c r="Z1617" s="90" t="n">
        <v>55000</v>
      </c>
      <c r="AA1617" s="90" t="n">
        <v>55000</v>
      </c>
      <c r="AB1617" s="90" t="n">
        <v>55000</v>
      </c>
      <c r="AC1617" s="90" t="n">
        <v>55000</v>
      </c>
      <c r="AD1617" s="90" t="n">
        <v>55000</v>
      </c>
      <c r="AE1617" s="90" t="n">
        <v>55000</v>
      </c>
      <c r="AF1617" s="90" t="n">
        <v>55000</v>
      </c>
      <c r="AG1617" s="90" t="n">
        <v>55000</v>
      </c>
      <c r="AH1617" s="90" t="n">
        <v>55000</v>
      </c>
      <c r="AI1617" s="90" t="n">
        <v>55000</v>
      </c>
      <c r="AJ1617" s="91" t="n">
        <v>55000</v>
      </c>
      <c r="AK1617" s="89" t="n">
        <v>55000</v>
      </c>
      <c r="AL1617" s="90" t="n">
        <v>55000</v>
      </c>
      <c r="AM1617" s="90"/>
      <c r="AN1617" s="90"/>
      <c r="AO1617" s="90"/>
      <c r="AP1617" s="90"/>
      <c r="AQ1617" s="90"/>
      <c r="AR1617" s="90"/>
      <c r="AS1617" s="90"/>
      <c r="AT1617" s="90"/>
      <c r="AU1617" s="90"/>
      <c r="AV1617" s="91"/>
      <c r="AX1617" s="92"/>
    </row>
    <row r="1618" customFormat="false" ht="15.65" hidden="false" customHeight="false" outlineLevel="0" collapsed="false">
      <c r="C1618" s="72" t="n">
        <f aca="false">COUNTIFS($D$6:D1618,"&lt;&gt;"&amp;"")</f>
        <v>1613</v>
      </c>
      <c r="D1618" s="73" t="s">
        <v>12</v>
      </c>
      <c r="E1618" s="76" t="str">
        <f aca="false">
IF($D1618="정상",INDEX(임대자산!$D$3:$R$3000,MATCH($F1618,임대자산!$I$3:$I$3000,0),MATCH(E$3,임대자산!$D$3:$R$3,0)),
IF($D1618="폐업",INDEX(폐업정보!$D$3:$R$3000,MATCH($F1618,폐업정보!$I$3:$I$3000,0),MATCH(E$3,폐업정보!$D$3:$R$3,0)),
"Error"))</f>
        <v>경상</v>
      </c>
      <c r="F161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B1613</v>
      </c>
      <c r="G1618" s="76" t="str">
        <f aca="false">F1618&amp;RANDBETWEEN(0,10)</f>
        <v>B16130</v>
      </c>
      <c r="H1618" s="75" t="n">
        <f aca="false">
IF($D1618="정상",INDEX(임대자산!$D$3:$R$3000,MATCH($F1618,임대자산!$I$3:$I$3000,0),MATCH(H$4,임대자산!$D$3:$R$3,0)),
IF($D1618="폐업",INDEX(폐업정보!$D$3:$R$3000,MATCH($F1618,폐업정보!$I$3:$I$3000,0),MATCH(H$4,폐업정보!$D$3:$R$3,0)),
"Error"))</f>
        <v>45667</v>
      </c>
      <c r="I1618" s="75" t="str">
        <f aca="false">
IF($D1618="정상",INDEX(임대자산!$D$3:$R$3000,MATCH($F1618,임대자산!$I$3:$I$3000,0),MATCH(I$4,임대자산!$D$3:$R$3,0)),
IF($D1618="폐업",INDEX(폐업정보!$D$3:$R$3000,MATCH($F1618,폐업정보!$I$3:$I$3000,0),MATCH(I$4,폐업정보!$D$3:$R$3,0)),
"Error"))</f>
        <v>A1613</v>
      </c>
      <c r="J1618" s="75" t="str">
        <f aca="false">
IF($D1618="정상",INDEX(임대자산!$D$3:$R$3000,MATCH($F1618,임대자산!$I$3:$I$3000,0),MATCH(J$4,임대자산!$D$3:$R$3,0)),
IF($D1618="폐업",INDEX(폐업정보!$D$3:$R$3000,MATCH($F1618,폐업정보!$I$3:$I$3000,0),MATCH(J$4,폐업정보!$D$3:$R$3,0)),
"Error"))</f>
        <v>9893500000</v>
      </c>
      <c r="K1618" s="75" t="str">
        <f aca="false">
IF($D1618="정상",INDEX(임대자산!$D$3:$R$3000,MATCH($F1618,임대자산!$I$3:$I$3000,0),MATCH(K$4,임대자산!$D$3:$R$3,0)),
IF($D1618="폐업",INDEX(폐업정보!$D$3:$R$3000,MATCH($F1618,폐업정보!$I$3:$I$3000,0),MATCH(K$4,폐업정보!$D$3:$R$3,0)),
"Error"))</f>
        <v>C1613</v>
      </c>
      <c r="L1618" s="75" t="str">
        <f aca="false">
IF($D1618="정상",INDEX(임대자산!$D$3:$R$3000,MATCH($F1618,임대자산!$I$3:$I$3000,0),MATCH(L$4,임대자산!$D$3:$R$3,0)),
IF($D1618="폐업",INDEX(폐업정보!$D$3:$R$3000,MATCH($F1618,폐업정보!$I$3:$I$3000,0),MATCH(L$4,폐업정보!$D$3:$R$3,0)),
"Error"))</f>
        <v>D1613</v>
      </c>
      <c r="M1618" s="76" t="s">
        <v>96</v>
      </c>
      <c r="N1618" s="77"/>
      <c r="O1618" s="78" t="s">
        <v>97</v>
      </c>
      <c r="P1618" s="79" t="n">
        <f aca="false">COUNTIFS(임대자산!$I:$I,가맹점정보!F1618,임대자산!$N:$N,가맹점정보!P$4)</f>
        <v>0</v>
      </c>
      <c r="Q1618" s="80" t="n">
        <f aca="false">COUNTIFS(임대자산!$I:$I,가맹점정보!F1618,임대자산!$N:$N,가맹점정보!Q$4)</f>
        <v>0</v>
      </c>
      <c r="R1618" s="81" t="n">
        <f aca="false">COUNTIFS(임대자산!$I:$I,가맹점정보!F1618,임대자산!$N:$N,가맹점정보!R$4)</f>
        <v>1</v>
      </c>
      <c r="S1618" s="82" t="n">
        <v>55000</v>
      </c>
      <c r="T1618" s="83" t="n">
        <v>0</v>
      </c>
      <c r="U1618" s="80" t="n">
        <f aca="false">SUM(S1618:T1618)</f>
        <v>55000</v>
      </c>
      <c r="V1618" s="84" t="s">
        <v>7</v>
      </c>
      <c r="W1618" s="80" t="str">
        <f aca="true">
IF(D1618="폐업","폐업",
IF(V1618="면제","면제",
IF(AND(V1618="정상",COUNTIFS(OFFSET(Y1618,0,COUNTA(Y1618:AV1618)-1,1,-4),"미납")&gt;=3),"장기미납",
IF(AND(V1618="정상",OFFSET(Y1618,0,COUNTA(Y1618:AV1618)-1)&gt;=U1618),"정상",
IF(AND(V1618="정상",OFFSET(Y1618,0,COUNTA(Y1618:AV1618)-1)=0),"정상",
"계약서 미작성")))))</f>
        <v>면제</v>
      </c>
      <c r="X1618" s="81" t="str">
        <f aca="true">
IF(D1618="폐업","폐업",
IF(AND(V1618="정상",OFFSET(Y1618,0,COUNTA(Y1618:AV1618)-1)="미납"),"미납",
IF(AND(V1618="정상",OFFSET(Y1618,0,COUNTA(Y1618:AV1618)-1)=0),"납부 시작 전",
IF(AND(V1618="정상",OFFSET(Y1618,0,COUNTA(Y1618:AV1618)-1)&gt;=U1618),"정상",
IF(AND(V1618="면제",OFFSET(Y1618,0,COUNTA(Y1618:AV1618)-1)="면제"),"면제",
IF(AND(V1618="면제",OFFSET(Y1618,0,COUNTA(Y1618:AV1618)-1)=0),"면제",
"확인요청"))))))</f>
        <v>면제</v>
      </c>
      <c r="Y1618" s="94" t="s">
        <v>7</v>
      </c>
      <c r="Z1618" s="95" t="s">
        <v>7</v>
      </c>
      <c r="AA1618" s="95" t="s">
        <v>7</v>
      </c>
      <c r="AB1618" s="95" t="s">
        <v>7</v>
      </c>
      <c r="AC1618" s="95" t="s">
        <v>7</v>
      </c>
      <c r="AD1618" s="95" t="s">
        <v>7</v>
      </c>
      <c r="AE1618" s="95" t="s">
        <v>7</v>
      </c>
      <c r="AF1618" s="95" t="s">
        <v>7</v>
      </c>
      <c r="AG1618" s="95" t="s">
        <v>7</v>
      </c>
      <c r="AH1618" s="95" t="s">
        <v>7</v>
      </c>
      <c r="AI1618" s="95" t="s">
        <v>7</v>
      </c>
      <c r="AJ1618" s="96" t="s">
        <v>7</v>
      </c>
      <c r="AK1618" s="97" t="s">
        <v>7</v>
      </c>
      <c r="AL1618" s="95" t="s">
        <v>7</v>
      </c>
      <c r="AM1618" s="90"/>
      <c r="AN1618" s="90"/>
      <c r="AO1618" s="90"/>
      <c r="AP1618" s="90"/>
      <c r="AQ1618" s="90"/>
      <c r="AR1618" s="90"/>
      <c r="AS1618" s="90"/>
      <c r="AT1618" s="90"/>
      <c r="AU1618" s="90"/>
      <c r="AV1618" s="91"/>
      <c r="AX1618" s="92"/>
    </row>
    <row r="1619" customFormat="false" ht="15.65" hidden="false" customHeight="false" outlineLevel="0" collapsed="false">
      <c r="C1619" s="72" t="n">
        <f aca="false">COUNTIFS($D$6:D1619,"&lt;&gt;"&amp;"")</f>
        <v>1614</v>
      </c>
      <c r="D1619" s="73" t="s">
        <v>12</v>
      </c>
      <c r="E1619" s="76" t="str">
        <f aca="false">
IF($D1619="정상",INDEX(임대자산!$D$3:$R$3000,MATCH($F1619,임대자산!$I$3:$I$3000,0),MATCH(E$3,임대자산!$D$3:$R$3,0)),
IF($D1619="폐업",INDEX(폐업정보!$D$3:$R$3000,MATCH($F1619,폐업정보!$I$3:$I$3000,0),MATCH(E$3,폐업정보!$D$3:$R$3,0)),
"Error"))</f>
        <v>경상</v>
      </c>
      <c r="F161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B1614</v>
      </c>
      <c r="G1619" s="76" t="str">
        <f aca="false">F1619&amp;RANDBETWEEN(0,10)</f>
        <v>B16143</v>
      </c>
      <c r="H1619" s="75" t="n">
        <f aca="false">
IF($D1619="정상",INDEX(임대자산!$D$3:$R$3000,MATCH($F1619,임대자산!$I$3:$I$3000,0),MATCH(H$4,임대자산!$D$3:$R$3,0)),
IF($D1619="폐업",INDEX(폐업정보!$D$3:$R$3000,MATCH($F1619,폐업정보!$I$3:$I$3000,0),MATCH(H$4,폐업정보!$D$3:$R$3,0)),
"Error"))</f>
        <v>45667</v>
      </c>
      <c r="I1619" s="75" t="str">
        <f aca="false">
IF($D1619="정상",INDEX(임대자산!$D$3:$R$3000,MATCH($F1619,임대자산!$I$3:$I$3000,0),MATCH(I$4,임대자산!$D$3:$R$3,0)),
IF($D1619="폐업",INDEX(폐업정보!$D$3:$R$3000,MATCH($F1619,폐업정보!$I$3:$I$3000,0),MATCH(I$4,폐업정보!$D$3:$R$3,0)),
"Error"))</f>
        <v>A1614</v>
      </c>
      <c r="J1619" s="75" t="str">
        <f aca="false">
IF($D1619="정상",INDEX(임대자산!$D$3:$R$3000,MATCH($F1619,임대자산!$I$3:$I$3000,0),MATCH(J$4,임대자산!$D$3:$R$3,0)),
IF($D1619="폐업",INDEX(폐업정보!$D$3:$R$3000,MATCH($F1619,폐업정보!$I$3:$I$3000,0),MATCH(J$4,폐업정보!$D$3:$R$3,0)),
"Error"))</f>
        <v>3147900000</v>
      </c>
      <c r="K1619" s="75" t="str">
        <f aca="false">
IF($D1619="정상",INDEX(임대자산!$D$3:$R$3000,MATCH($F1619,임대자산!$I$3:$I$3000,0),MATCH(K$4,임대자산!$D$3:$R$3,0)),
IF($D1619="폐업",INDEX(폐업정보!$D$3:$R$3000,MATCH($F1619,폐업정보!$I$3:$I$3000,0),MATCH(K$4,폐업정보!$D$3:$R$3,0)),
"Error"))</f>
        <v>C1614</v>
      </c>
      <c r="L1619" s="75" t="str">
        <f aca="false">
IF($D1619="정상",INDEX(임대자산!$D$3:$R$3000,MATCH($F1619,임대자산!$I$3:$I$3000,0),MATCH(L$4,임대자산!$D$3:$R$3,0)),
IF($D1619="폐업",INDEX(폐업정보!$D$3:$R$3000,MATCH($F1619,폐업정보!$I$3:$I$3000,0),MATCH(L$4,폐업정보!$D$3:$R$3,0)),
"Error"))</f>
        <v>D1614</v>
      </c>
      <c r="M1619" s="76" t="s">
        <v>96</v>
      </c>
      <c r="N1619" s="77"/>
      <c r="O1619" s="78" t="s">
        <v>97</v>
      </c>
      <c r="P1619" s="79" t="n">
        <f aca="false">COUNTIFS(임대자산!$I:$I,가맹점정보!F1619,임대자산!$N:$N,가맹점정보!P$4)</f>
        <v>0</v>
      </c>
      <c r="Q1619" s="80" t="n">
        <f aca="false">COUNTIFS(임대자산!$I:$I,가맹점정보!F1619,임대자산!$N:$N,가맹점정보!Q$4)</f>
        <v>0</v>
      </c>
      <c r="R1619" s="81" t="n">
        <f aca="false">COUNTIFS(임대자산!$I:$I,가맹점정보!F1619,임대자산!$N:$N,가맹점정보!R$4)</f>
        <v>1</v>
      </c>
      <c r="S1619" s="82" t="n">
        <v>55000</v>
      </c>
      <c r="T1619" s="83" t="n">
        <v>0</v>
      </c>
      <c r="U1619" s="80" t="n">
        <f aca="false">SUM(S1619:T1619)</f>
        <v>55000</v>
      </c>
      <c r="V1619" s="84" t="s">
        <v>12</v>
      </c>
      <c r="W1619" s="80" t="e">
        <f aca="true">
IF(D1619="폐업","폐업",
IF(V1619="면제","면제",
IF(AND(V1619="정상",COUNTIFS(OFFSET(Y1619,0,COUNTA(Y1619:AV1619)-1,1,-4),"미납")&gt;=3),"장기미납",
IF(AND(V1619="정상",OFFSET(Y1619,0,COUNTA(Y1619:AV1619)-1)&gt;=U1619),"정상",
IF(AND(V1619="정상",OFFSET(Y1619,0,COUNTA(Y1619:AV1619)-1)=0),"정상",
"계약서 미작성")))))</f>
        <v>#VALUE!</v>
      </c>
      <c r="X1619" s="81" t="str">
        <f aca="true">
IF(D1619="폐업","폐업",
IF(AND(V1619="정상",OFFSET(Y1619,0,COUNTA(Y1619:AV1619)-1)="미납"),"미납",
IF(AND(V1619="정상",OFFSET(Y1619,0,COUNTA(Y1619:AV1619)-1)=0),"납부 시작 전",
IF(AND(V1619="정상",OFFSET(Y1619,0,COUNTA(Y1619:AV1619)-1)&gt;=U1619),"정상",
IF(AND(V1619="면제",OFFSET(Y1619,0,COUNTA(Y1619:AV1619)-1)="면제"),"면제",
IF(AND(V1619="면제",OFFSET(Y1619,0,COUNTA(Y1619:AV1619)-1)=0),"면제",
"확인요청"))))))</f>
        <v>정상</v>
      </c>
      <c r="Y1619" s="93" t="n">
        <v>55000</v>
      </c>
      <c r="Z1619" s="90" t="n">
        <v>55000</v>
      </c>
      <c r="AA1619" s="90" t="n">
        <v>55000</v>
      </c>
      <c r="AB1619" s="90" t="n">
        <v>55000</v>
      </c>
      <c r="AC1619" s="90" t="n">
        <v>55000</v>
      </c>
      <c r="AD1619" s="90" t="n">
        <v>55000</v>
      </c>
      <c r="AE1619" s="90" t="n">
        <v>55000</v>
      </c>
      <c r="AF1619" s="90" t="n">
        <v>55000</v>
      </c>
      <c r="AG1619" s="90" t="n">
        <v>55000</v>
      </c>
      <c r="AH1619" s="90" t="n">
        <v>55000</v>
      </c>
      <c r="AI1619" s="90" t="s">
        <v>107</v>
      </c>
      <c r="AJ1619" s="91" t="n">
        <v>110000</v>
      </c>
      <c r="AK1619" s="89" t="n">
        <v>55000</v>
      </c>
      <c r="AL1619" s="90" t="n">
        <v>55000</v>
      </c>
      <c r="AM1619" s="90"/>
      <c r="AN1619" s="90"/>
      <c r="AO1619" s="90"/>
      <c r="AP1619" s="90"/>
      <c r="AQ1619" s="90"/>
      <c r="AR1619" s="90"/>
      <c r="AS1619" s="90"/>
      <c r="AT1619" s="90"/>
      <c r="AU1619" s="90"/>
      <c r="AV1619" s="91"/>
      <c r="AX1619" s="92"/>
    </row>
    <row r="1620" customFormat="false" ht="15.65" hidden="false" customHeight="false" outlineLevel="0" collapsed="false">
      <c r="C1620" s="72" t="n">
        <f aca="false">COUNTIFS($D$6:D1620,"&lt;&gt;"&amp;"")</f>
        <v>1615</v>
      </c>
      <c r="D1620" s="73" t="s">
        <v>12</v>
      </c>
      <c r="E1620" s="76" t="str">
        <f aca="false">
IF($D1620="정상",INDEX(임대자산!$D$3:$R$3000,MATCH($F1620,임대자산!$I$3:$I$3000,0),MATCH(E$3,임대자산!$D$3:$R$3,0)),
IF($D1620="폐업",INDEX(폐업정보!$D$3:$R$3000,MATCH($F1620,폐업정보!$I$3:$I$3000,0),MATCH(E$3,폐업정보!$D$3:$R$3,0)),
"Error"))</f>
        <v>전라</v>
      </c>
      <c r="F162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B1615</v>
      </c>
      <c r="G1620" s="76" t="str">
        <f aca="false">F1620&amp;RANDBETWEEN(0,10)</f>
        <v>B16158</v>
      </c>
      <c r="H1620" s="75" t="n">
        <f aca="false">
IF($D1620="정상",INDEX(임대자산!$D$3:$R$3000,MATCH($F1620,임대자산!$I$3:$I$3000,0),MATCH(H$4,임대자산!$D$3:$R$3,0)),
IF($D1620="폐업",INDEX(폐업정보!$D$3:$R$3000,MATCH($F1620,폐업정보!$I$3:$I$3000,0),MATCH(H$4,폐업정보!$D$3:$R$3,0)),
"Error"))</f>
        <v>45670</v>
      </c>
      <c r="I1620" s="75" t="str">
        <f aca="false">
IF($D1620="정상",INDEX(임대자산!$D$3:$R$3000,MATCH($F1620,임대자산!$I$3:$I$3000,0),MATCH(I$4,임대자산!$D$3:$R$3,0)),
IF($D1620="폐업",INDEX(폐업정보!$D$3:$R$3000,MATCH($F1620,폐업정보!$I$3:$I$3000,0),MATCH(I$4,폐업정보!$D$3:$R$3,0)),
"Error"))</f>
        <v>A1615</v>
      </c>
      <c r="J1620" s="75" t="str">
        <f aca="false">
IF($D1620="정상",INDEX(임대자산!$D$3:$R$3000,MATCH($F1620,임대자산!$I$3:$I$3000,0),MATCH(J$4,임대자산!$D$3:$R$3,0)),
IF($D1620="폐업",INDEX(폐업정보!$D$3:$R$3000,MATCH($F1620,폐업정보!$I$3:$I$3000,0),MATCH(J$4,폐업정보!$D$3:$R$3,0)),
"Error"))</f>
        <v>5515900000</v>
      </c>
      <c r="K1620" s="75" t="str">
        <f aca="false">
IF($D1620="정상",INDEX(임대자산!$D$3:$R$3000,MATCH($F1620,임대자산!$I$3:$I$3000,0),MATCH(K$4,임대자산!$D$3:$R$3,0)),
IF($D1620="폐업",INDEX(폐업정보!$D$3:$R$3000,MATCH($F1620,폐업정보!$I$3:$I$3000,0),MATCH(K$4,폐업정보!$D$3:$R$3,0)),
"Error"))</f>
        <v>C1615</v>
      </c>
      <c r="L1620" s="75" t="str">
        <f aca="false">
IF($D1620="정상",INDEX(임대자산!$D$3:$R$3000,MATCH($F1620,임대자산!$I$3:$I$3000,0),MATCH(L$4,임대자산!$D$3:$R$3,0)),
IF($D1620="폐업",INDEX(폐업정보!$D$3:$R$3000,MATCH($F1620,폐업정보!$I$3:$I$3000,0),MATCH(L$4,폐업정보!$D$3:$R$3,0)),
"Error"))</f>
        <v>D1615</v>
      </c>
      <c r="M1620" s="76" t="s">
        <v>96</v>
      </c>
      <c r="N1620" s="77"/>
      <c r="O1620" s="78" t="s">
        <v>97</v>
      </c>
      <c r="P1620" s="79" t="n">
        <f aca="false">COUNTIFS(임대자산!$I:$I,가맹점정보!F1620,임대자산!$N:$N,가맹점정보!P$4)</f>
        <v>0</v>
      </c>
      <c r="Q1620" s="80" t="n">
        <f aca="false">COUNTIFS(임대자산!$I:$I,가맹점정보!F1620,임대자산!$N:$N,가맹점정보!Q$4)</f>
        <v>0</v>
      </c>
      <c r="R1620" s="81" t="n">
        <f aca="false">COUNTIFS(임대자산!$I:$I,가맹점정보!F1620,임대자산!$N:$N,가맹점정보!R$4)</f>
        <v>1</v>
      </c>
      <c r="S1620" s="82" t="n">
        <v>55000</v>
      </c>
      <c r="T1620" s="83" t="n">
        <v>0</v>
      </c>
      <c r="U1620" s="80" t="n">
        <f aca="false">SUM(S1620:T1620)</f>
        <v>55000</v>
      </c>
      <c r="V1620" s="84" t="s">
        <v>12</v>
      </c>
      <c r="W1620" s="80" t="e">
        <f aca="true">
IF(D1620="폐업","폐업",
IF(V1620="면제","면제",
IF(AND(V1620="정상",COUNTIFS(OFFSET(Y1620,0,COUNTA(Y1620:AV1620)-1,1,-4),"미납")&gt;=3),"장기미납",
IF(AND(V1620="정상",OFFSET(Y1620,0,COUNTA(Y1620:AV1620)-1)&gt;=U1620),"정상",
IF(AND(V1620="정상",OFFSET(Y1620,0,COUNTA(Y1620:AV1620)-1)=0),"정상",
"계약서 미작성")))))</f>
        <v>#VALUE!</v>
      </c>
      <c r="X1620" s="81" t="str">
        <f aca="true">
IF(D1620="폐업","폐업",
IF(AND(V1620="정상",OFFSET(Y1620,0,COUNTA(Y1620:AV1620)-1)="미납"),"미납",
IF(AND(V1620="정상",OFFSET(Y1620,0,COUNTA(Y1620:AV1620)-1)=0),"납부 시작 전",
IF(AND(V1620="정상",OFFSET(Y1620,0,COUNTA(Y1620:AV1620)-1)&gt;=U1620),"정상",
IF(AND(V1620="면제",OFFSET(Y1620,0,COUNTA(Y1620:AV1620)-1)="면제"),"면제",
IF(AND(V1620="면제",OFFSET(Y1620,0,COUNTA(Y1620:AV1620)-1)=0),"면제",
"확인요청"))))))</f>
        <v>정상</v>
      </c>
      <c r="Y1620" s="93" t="n">
        <v>55000</v>
      </c>
      <c r="Z1620" s="90" t="n">
        <v>55000</v>
      </c>
      <c r="AA1620" s="90" t="n">
        <v>55000</v>
      </c>
      <c r="AB1620" s="90" t="n">
        <v>55000</v>
      </c>
      <c r="AC1620" s="90" t="n">
        <v>55000</v>
      </c>
      <c r="AD1620" s="90" t="n">
        <v>55000</v>
      </c>
      <c r="AE1620" s="90" t="n">
        <v>55000</v>
      </c>
      <c r="AF1620" s="90" t="n">
        <v>55000</v>
      </c>
      <c r="AG1620" s="90" t="n">
        <v>55000</v>
      </c>
      <c r="AH1620" s="90" t="n">
        <v>55000</v>
      </c>
      <c r="AI1620" s="90" t="n">
        <v>55000</v>
      </c>
      <c r="AJ1620" s="91" t="n">
        <v>55000</v>
      </c>
      <c r="AK1620" s="89" t="n">
        <v>55000</v>
      </c>
      <c r="AL1620" s="90" t="n">
        <v>55000</v>
      </c>
      <c r="AM1620" s="90"/>
      <c r="AN1620" s="90"/>
      <c r="AO1620" s="90"/>
      <c r="AP1620" s="90"/>
      <c r="AQ1620" s="90"/>
      <c r="AR1620" s="90"/>
      <c r="AS1620" s="90"/>
      <c r="AT1620" s="90"/>
      <c r="AU1620" s="90"/>
      <c r="AV1620" s="91"/>
      <c r="AX1620" s="92"/>
    </row>
    <row r="1621" customFormat="false" ht="15.65" hidden="false" customHeight="false" outlineLevel="0" collapsed="false">
      <c r="C1621" s="72" t="n">
        <f aca="false">COUNTIFS($D$6:D1621,"&lt;&gt;"&amp;"")</f>
        <v>1616</v>
      </c>
      <c r="D1621" s="73" t="s">
        <v>12</v>
      </c>
      <c r="E1621" s="76" t="str">
        <f aca="false">
IF($D1621="정상",INDEX(임대자산!$D$3:$R$3000,MATCH($F1621,임대자산!$I$3:$I$3000,0),MATCH(E$3,임대자산!$D$3:$R$3,0)),
IF($D1621="폐업",INDEX(폐업정보!$D$3:$R$3000,MATCH($F1621,폐업정보!$I$3:$I$3000,0),MATCH(E$3,폐업정보!$D$3:$R$3,0)),
"Error"))</f>
        <v>강원</v>
      </c>
      <c r="F162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B1616</v>
      </c>
      <c r="G1621" s="76" t="str">
        <f aca="false">F1621&amp;RANDBETWEEN(0,10)</f>
        <v>B16165</v>
      </c>
      <c r="H1621" s="75" t="n">
        <f aca="false">
IF($D1621="정상",INDEX(임대자산!$D$3:$R$3000,MATCH($F1621,임대자산!$I$3:$I$3000,0),MATCH(H$4,임대자산!$D$3:$R$3,0)),
IF($D1621="폐업",INDEX(폐업정보!$D$3:$R$3000,MATCH($F1621,폐업정보!$I$3:$I$3000,0),MATCH(H$4,폐업정보!$D$3:$R$3,0)),
"Error"))</f>
        <v>45660</v>
      </c>
      <c r="I1621" s="75" t="str">
        <f aca="false">
IF($D1621="정상",INDEX(임대자산!$D$3:$R$3000,MATCH($F1621,임대자산!$I$3:$I$3000,0),MATCH(I$4,임대자산!$D$3:$R$3,0)),
IF($D1621="폐업",INDEX(폐업정보!$D$3:$R$3000,MATCH($F1621,폐업정보!$I$3:$I$3000,0),MATCH(I$4,폐업정보!$D$3:$R$3,0)),
"Error"))</f>
        <v>A1616</v>
      </c>
      <c r="J1621" s="75" t="str">
        <f aca="false">
IF($D1621="정상",INDEX(임대자산!$D$3:$R$3000,MATCH($F1621,임대자산!$I$3:$I$3000,0),MATCH(J$4,임대자산!$D$3:$R$3,0)),
IF($D1621="폐업",INDEX(폐업정보!$D$3:$R$3000,MATCH($F1621,폐업정보!$I$3:$I$3000,0),MATCH(J$4,폐업정보!$D$3:$R$3,0)),
"Error"))</f>
        <v>7586700000</v>
      </c>
      <c r="K1621" s="75" t="str">
        <f aca="false">
IF($D1621="정상",INDEX(임대자산!$D$3:$R$3000,MATCH($F1621,임대자산!$I$3:$I$3000,0),MATCH(K$4,임대자산!$D$3:$R$3,0)),
IF($D1621="폐업",INDEX(폐업정보!$D$3:$R$3000,MATCH($F1621,폐업정보!$I$3:$I$3000,0),MATCH(K$4,폐업정보!$D$3:$R$3,0)),
"Error"))</f>
        <v>C1616</v>
      </c>
      <c r="L1621" s="75" t="str">
        <f aca="false">
IF($D1621="정상",INDEX(임대자산!$D$3:$R$3000,MATCH($F1621,임대자산!$I$3:$I$3000,0),MATCH(L$4,임대자산!$D$3:$R$3,0)),
IF($D1621="폐업",INDEX(폐업정보!$D$3:$R$3000,MATCH($F1621,폐업정보!$I$3:$I$3000,0),MATCH(L$4,폐업정보!$D$3:$R$3,0)),
"Error"))</f>
        <v>D1616</v>
      </c>
      <c r="M1621" s="76" t="s">
        <v>96</v>
      </c>
      <c r="N1621" s="77"/>
      <c r="O1621" s="78" t="s">
        <v>97</v>
      </c>
      <c r="P1621" s="79" t="n">
        <f aca="false">COUNTIFS(임대자산!$I:$I,가맹점정보!F1621,임대자산!$N:$N,가맹점정보!P$4)</f>
        <v>0</v>
      </c>
      <c r="Q1621" s="80" t="n">
        <f aca="false">COUNTIFS(임대자산!$I:$I,가맹점정보!F1621,임대자산!$N:$N,가맹점정보!Q$4)</f>
        <v>0</v>
      </c>
      <c r="R1621" s="81" t="n">
        <f aca="false">COUNTIFS(임대자산!$I:$I,가맹점정보!F1621,임대자산!$N:$N,가맹점정보!R$4)</f>
        <v>1</v>
      </c>
      <c r="S1621" s="82" t="n">
        <v>55000</v>
      </c>
      <c r="T1621" s="83" t="n">
        <v>0</v>
      </c>
      <c r="U1621" s="80" t="n">
        <f aca="false">SUM(S1621:T1621)</f>
        <v>55000</v>
      </c>
      <c r="V1621" s="84" t="s">
        <v>12</v>
      </c>
      <c r="W1621" s="80" t="e">
        <f aca="true">
IF(D1621="폐업","폐업",
IF(V1621="면제","면제",
IF(AND(V1621="정상",COUNTIFS(OFFSET(Y1621,0,COUNTA(Y1621:AV1621)-1,1,-4),"미납")&gt;=3),"장기미납",
IF(AND(V1621="정상",OFFSET(Y1621,0,COUNTA(Y1621:AV1621)-1)&gt;=U1621),"정상",
IF(AND(V1621="정상",OFFSET(Y1621,0,COUNTA(Y1621:AV1621)-1)=0),"정상",
"계약서 미작성")))))</f>
        <v>#VALUE!</v>
      </c>
      <c r="X1621" s="81" t="str">
        <f aca="true">
IF(D1621="폐업","폐업",
IF(AND(V1621="정상",OFFSET(Y1621,0,COUNTA(Y1621:AV1621)-1)="미납"),"미납",
IF(AND(V1621="정상",OFFSET(Y1621,0,COUNTA(Y1621:AV1621)-1)=0),"납부 시작 전",
IF(AND(V1621="정상",OFFSET(Y1621,0,COUNTA(Y1621:AV1621)-1)&gt;=U1621),"정상",
IF(AND(V1621="면제",OFFSET(Y1621,0,COUNTA(Y1621:AV1621)-1)="면제"),"면제",
IF(AND(V1621="면제",OFFSET(Y1621,0,COUNTA(Y1621:AV1621)-1)=0),"면제",
"확인요청"))))))</f>
        <v>정상</v>
      </c>
      <c r="Y1621" s="93" t="n">
        <v>55000</v>
      </c>
      <c r="Z1621" s="90" t="n">
        <v>55000</v>
      </c>
      <c r="AA1621" s="90" t="n">
        <v>55000</v>
      </c>
      <c r="AB1621" s="90" t="n">
        <v>55000</v>
      </c>
      <c r="AC1621" s="90" t="n">
        <v>55000</v>
      </c>
      <c r="AD1621" s="90" t="n">
        <v>55000</v>
      </c>
      <c r="AE1621" s="90" t="n">
        <v>55000</v>
      </c>
      <c r="AF1621" s="90" t="n">
        <v>55000</v>
      </c>
      <c r="AG1621" s="90" t="n">
        <v>55000</v>
      </c>
      <c r="AH1621" s="90" t="n">
        <v>55000</v>
      </c>
      <c r="AI1621" s="90" t="n">
        <v>55000</v>
      </c>
      <c r="AJ1621" s="91" t="n">
        <v>55000</v>
      </c>
      <c r="AK1621" s="89" t="n">
        <v>55000</v>
      </c>
      <c r="AL1621" s="90" t="n">
        <v>55000</v>
      </c>
      <c r="AM1621" s="90"/>
      <c r="AN1621" s="90"/>
      <c r="AO1621" s="90"/>
      <c r="AP1621" s="90"/>
      <c r="AQ1621" s="90"/>
      <c r="AR1621" s="90"/>
      <c r="AS1621" s="90"/>
      <c r="AT1621" s="90"/>
      <c r="AU1621" s="90"/>
      <c r="AV1621" s="91"/>
      <c r="AX1621" s="92"/>
    </row>
    <row r="1622" customFormat="false" ht="15.65" hidden="false" customHeight="false" outlineLevel="0" collapsed="false">
      <c r="C1622" s="72" t="n">
        <f aca="false">COUNTIFS($D$6:D1622,"&lt;&gt;"&amp;"")</f>
        <v>1617</v>
      </c>
      <c r="D1622" s="73" t="s">
        <v>12</v>
      </c>
      <c r="E1622" s="76" t="str">
        <f aca="false">
IF($D1622="정상",INDEX(임대자산!$D$3:$R$3000,MATCH($F1622,임대자산!$I$3:$I$3000,0),MATCH(E$3,임대자산!$D$3:$R$3,0)),
IF($D1622="폐업",INDEX(폐업정보!$D$3:$R$3000,MATCH($F1622,폐업정보!$I$3:$I$3000,0),MATCH(E$3,폐업정보!$D$3:$R$3,0)),
"Error"))</f>
        <v>전라</v>
      </c>
      <c r="F162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B1617</v>
      </c>
      <c r="G1622" s="76" t="str">
        <f aca="false">F1622&amp;RANDBETWEEN(0,10)</f>
        <v>B16172</v>
      </c>
      <c r="H1622" s="75" t="n">
        <f aca="false">
IF($D1622="정상",INDEX(임대자산!$D$3:$R$3000,MATCH($F1622,임대자산!$I$3:$I$3000,0),MATCH(H$4,임대자산!$D$3:$R$3,0)),
IF($D1622="폐업",INDEX(폐업정보!$D$3:$R$3000,MATCH($F1622,폐업정보!$I$3:$I$3000,0),MATCH(H$4,폐업정보!$D$3:$R$3,0)),
"Error"))</f>
        <v>45908</v>
      </c>
      <c r="I1622" s="75" t="str">
        <f aca="false">
IF($D1622="정상",INDEX(임대자산!$D$3:$R$3000,MATCH($F1622,임대자산!$I$3:$I$3000,0),MATCH(I$4,임대자산!$D$3:$R$3,0)),
IF($D1622="폐업",INDEX(폐업정보!$D$3:$R$3000,MATCH($F1622,폐업정보!$I$3:$I$3000,0),MATCH(I$4,폐업정보!$D$3:$R$3,0)),
"Error"))</f>
        <v>A1617</v>
      </c>
      <c r="J1622" s="75" t="str">
        <f aca="false">
IF($D1622="정상",INDEX(임대자산!$D$3:$R$3000,MATCH($F1622,임대자산!$I$3:$I$3000,0),MATCH(J$4,임대자산!$D$3:$R$3,0)),
IF($D1622="폐업",INDEX(폐업정보!$D$3:$R$3000,MATCH($F1622,폐업정보!$I$3:$I$3000,0),MATCH(J$4,폐업정보!$D$3:$R$3,0)),
"Error"))</f>
        <v>7389500000</v>
      </c>
      <c r="K1622" s="75" t="str">
        <f aca="false">
IF($D1622="정상",INDEX(임대자산!$D$3:$R$3000,MATCH($F1622,임대자산!$I$3:$I$3000,0),MATCH(K$4,임대자산!$D$3:$R$3,0)),
IF($D1622="폐업",INDEX(폐업정보!$D$3:$R$3000,MATCH($F1622,폐업정보!$I$3:$I$3000,0),MATCH(K$4,폐업정보!$D$3:$R$3,0)),
"Error"))</f>
        <v>C1617</v>
      </c>
      <c r="L1622" s="75" t="str">
        <f aca="false">
IF($D1622="정상",INDEX(임대자산!$D$3:$R$3000,MATCH($F1622,임대자산!$I$3:$I$3000,0),MATCH(L$4,임대자산!$D$3:$R$3,0)),
IF($D1622="폐업",INDEX(폐업정보!$D$3:$R$3000,MATCH($F1622,폐업정보!$I$3:$I$3000,0),MATCH(L$4,폐업정보!$D$3:$R$3,0)),
"Error"))</f>
        <v>D1617</v>
      </c>
      <c r="M1622" s="76" t="s">
        <v>96</v>
      </c>
      <c r="N1622" s="77"/>
      <c r="O1622" s="78" t="s">
        <v>97</v>
      </c>
      <c r="P1622" s="79" t="n">
        <f aca="false">COUNTIFS(임대자산!$I:$I,가맹점정보!F1622,임대자산!$N:$N,가맹점정보!P$4)</f>
        <v>0</v>
      </c>
      <c r="Q1622" s="80" t="n">
        <f aca="false">COUNTIFS(임대자산!$I:$I,가맹점정보!F1622,임대자산!$N:$N,가맹점정보!Q$4)</f>
        <v>0</v>
      </c>
      <c r="R1622" s="81" t="n">
        <f aca="false">COUNTIFS(임대자산!$I:$I,가맹점정보!F1622,임대자산!$N:$N,가맹점정보!R$4)</f>
        <v>1</v>
      </c>
      <c r="S1622" s="82" t="n">
        <v>55000</v>
      </c>
      <c r="T1622" s="83" t="n">
        <v>0</v>
      </c>
      <c r="U1622" s="80" t="n">
        <f aca="false">SUM(S1622:T1622)</f>
        <v>55000</v>
      </c>
      <c r="V1622" s="84" t="s">
        <v>12</v>
      </c>
      <c r="W1622" s="80" t="e">
        <f aca="true">
IF(D1622="폐업","폐업",
IF(V1622="면제","면제",
IF(AND(V1622="정상",COUNTIFS(OFFSET(Y1622,0,COUNTA(Y1622:AV1622)-1,1,-4),"미납")&gt;=3),"장기미납",
IF(AND(V1622="정상",OFFSET(Y1622,0,COUNTA(Y1622:AV1622)-1)&gt;=U1622),"정상",
IF(AND(V1622="정상",OFFSET(Y1622,0,COUNTA(Y1622:AV1622)-1)=0),"정상",
"계약서 미작성")))))</f>
        <v>#VALUE!</v>
      </c>
      <c r="X1622" s="81" t="str">
        <f aca="true">
IF(D1622="폐업","폐업",
IF(AND(V1622="정상",OFFSET(Y1622,0,COUNTA(Y1622:AV1622)-1)="미납"),"미납",
IF(AND(V1622="정상",OFFSET(Y1622,0,COUNTA(Y1622:AV1622)-1)=0),"납부 시작 전",
IF(AND(V1622="정상",OFFSET(Y1622,0,COUNTA(Y1622:AV1622)-1)&gt;=U1622),"정상",
IF(AND(V1622="면제",OFFSET(Y1622,0,COUNTA(Y1622:AV1622)-1)="면제"),"면제",
IF(AND(V1622="면제",OFFSET(Y1622,0,COUNTA(Y1622:AV1622)-1)=0),"면제",
"확인요청"))))))</f>
        <v>정상</v>
      </c>
      <c r="Y1622" s="93" t="n">
        <v>55000</v>
      </c>
      <c r="Z1622" s="90" t="n">
        <v>55000</v>
      </c>
      <c r="AA1622" s="90" t="n">
        <v>55000</v>
      </c>
      <c r="AB1622" s="90" t="n">
        <v>55000</v>
      </c>
      <c r="AC1622" s="90" t="n">
        <v>55000</v>
      </c>
      <c r="AD1622" s="90" t="n">
        <v>55000</v>
      </c>
      <c r="AE1622" s="90" t="n">
        <v>55000</v>
      </c>
      <c r="AF1622" s="90" t="n">
        <v>55000</v>
      </c>
      <c r="AG1622" s="90" t="n">
        <v>55000</v>
      </c>
      <c r="AH1622" s="90" t="n">
        <v>55000</v>
      </c>
      <c r="AI1622" s="90" t="n">
        <v>55000</v>
      </c>
      <c r="AJ1622" s="91" t="n">
        <v>55000</v>
      </c>
      <c r="AK1622" s="89" t="n">
        <v>55000</v>
      </c>
      <c r="AL1622" s="90" t="n">
        <v>55000</v>
      </c>
      <c r="AM1622" s="90"/>
      <c r="AN1622" s="90"/>
      <c r="AO1622" s="90"/>
      <c r="AP1622" s="90"/>
      <c r="AQ1622" s="90"/>
      <c r="AR1622" s="90"/>
      <c r="AS1622" s="90"/>
      <c r="AT1622" s="90"/>
      <c r="AU1622" s="90"/>
      <c r="AV1622" s="91"/>
      <c r="AX1622" s="92"/>
    </row>
    <row r="1623" customFormat="false" ht="15.65" hidden="false" customHeight="false" outlineLevel="0" collapsed="false">
      <c r="C1623" s="72" t="n">
        <f aca="false">COUNTIFS($D$6:D1623,"&lt;&gt;"&amp;"")</f>
        <v>1618</v>
      </c>
      <c r="D1623" s="73" t="s">
        <v>12</v>
      </c>
      <c r="E1623" s="76" t="str">
        <f aca="false">
IF($D1623="정상",INDEX(임대자산!$D$3:$R$3000,MATCH($F1623,임대자산!$I$3:$I$3000,0),MATCH(E$3,임대자산!$D$3:$R$3,0)),
IF($D1623="폐업",INDEX(폐업정보!$D$3:$R$3000,MATCH($F1623,폐업정보!$I$3:$I$3000,0),MATCH(E$3,폐업정보!$D$3:$R$3,0)),
"Error"))</f>
        <v>서울</v>
      </c>
      <c r="F162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B1618</v>
      </c>
      <c r="G1623" s="76" t="str">
        <f aca="false">F1623&amp;RANDBETWEEN(0,10)</f>
        <v>B16189</v>
      </c>
      <c r="H1623" s="75" t="n">
        <f aca="false">
IF($D1623="정상",INDEX(임대자산!$D$3:$R$3000,MATCH($F1623,임대자산!$I$3:$I$3000,0),MATCH(H$4,임대자산!$D$3:$R$3,0)),
IF($D1623="폐업",INDEX(폐업정보!$D$3:$R$3000,MATCH($F1623,폐업정보!$I$3:$I$3000,0),MATCH(H$4,폐업정보!$D$3:$R$3,0)),
"Error"))</f>
        <v>45665</v>
      </c>
      <c r="I1623" s="75" t="str">
        <f aca="false">
IF($D1623="정상",INDEX(임대자산!$D$3:$R$3000,MATCH($F1623,임대자산!$I$3:$I$3000,0),MATCH(I$4,임대자산!$D$3:$R$3,0)),
IF($D1623="폐업",INDEX(폐업정보!$D$3:$R$3000,MATCH($F1623,폐업정보!$I$3:$I$3000,0),MATCH(I$4,폐업정보!$D$3:$R$3,0)),
"Error"))</f>
        <v>A1618</v>
      </c>
      <c r="J1623" s="75" t="str">
        <f aca="false">
IF($D1623="정상",INDEX(임대자산!$D$3:$R$3000,MATCH($F1623,임대자산!$I$3:$I$3000,0),MATCH(J$4,임대자산!$D$3:$R$3,0)),
IF($D1623="폐업",INDEX(폐업정보!$D$3:$R$3000,MATCH($F1623,폐업정보!$I$3:$I$3000,0),MATCH(J$4,폐업정보!$D$3:$R$3,0)),
"Error"))</f>
        <v>9091200000</v>
      </c>
      <c r="K1623" s="75" t="str">
        <f aca="false">
IF($D1623="정상",INDEX(임대자산!$D$3:$R$3000,MATCH($F1623,임대자산!$I$3:$I$3000,0),MATCH(K$4,임대자산!$D$3:$R$3,0)),
IF($D1623="폐업",INDEX(폐업정보!$D$3:$R$3000,MATCH($F1623,폐업정보!$I$3:$I$3000,0),MATCH(K$4,폐업정보!$D$3:$R$3,0)),
"Error"))</f>
        <v>C1618</v>
      </c>
      <c r="L1623" s="75" t="str">
        <f aca="false">
IF($D1623="정상",INDEX(임대자산!$D$3:$R$3000,MATCH($F1623,임대자산!$I$3:$I$3000,0),MATCH(L$4,임대자산!$D$3:$R$3,0)),
IF($D1623="폐업",INDEX(폐업정보!$D$3:$R$3000,MATCH($F1623,폐업정보!$I$3:$I$3000,0),MATCH(L$4,폐업정보!$D$3:$R$3,0)),
"Error"))</f>
        <v>D1618</v>
      </c>
      <c r="M1623" s="76" t="s">
        <v>96</v>
      </c>
      <c r="N1623" s="77"/>
      <c r="O1623" s="78" t="s">
        <v>97</v>
      </c>
      <c r="P1623" s="79" t="n">
        <f aca="false">COUNTIFS(임대자산!$I:$I,가맹점정보!F1623,임대자산!$N:$N,가맹점정보!P$4)</f>
        <v>0</v>
      </c>
      <c r="Q1623" s="80" t="n">
        <f aca="false">COUNTIFS(임대자산!$I:$I,가맹점정보!F1623,임대자산!$N:$N,가맹점정보!Q$4)</f>
        <v>0</v>
      </c>
      <c r="R1623" s="81" t="n">
        <f aca="false">COUNTIFS(임대자산!$I:$I,가맹점정보!F1623,임대자산!$N:$N,가맹점정보!R$4)</f>
        <v>1</v>
      </c>
      <c r="S1623" s="82" t="n">
        <v>55000</v>
      </c>
      <c r="T1623" s="83" t="n">
        <v>0</v>
      </c>
      <c r="U1623" s="80" t="n">
        <f aca="false">SUM(S1623:T1623)</f>
        <v>55000</v>
      </c>
      <c r="V1623" s="84" t="s">
        <v>12</v>
      </c>
      <c r="W1623" s="80" t="e">
        <f aca="true">
IF(D1623="폐업","폐업",
IF(V1623="면제","면제",
IF(AND(V1623="정상",COUNTIFS(OFFSET(Y1623,0,COUNTA(Y1623:AV1623)-1,1,-4),"미납")&gt;=3),"장기미납",
IF(AND(V1623="정상",OFFSET(Y1623,0,COUNTA(Y1623:AV1623)-1)&gt;=U1623),"정상",
IF(AND(V1623="정상",OFFSET(Y1623,0,COUNTA(Y1623:AV1623)-1)=0),"정상",
"계약서 미작성")))))</f>
        <v>#VALUE!</v>
      </c>
      <c r="X1623" s="81" t="str">
        <f aca="true">
IF(D1623="폐업","폐업",
IF(AND(V1623="정상",OFFSET(Y1623,0,COUNTA(Y1623:AV1623)-1)="미납"),"미납",
IF(AND(V1623="정상",OFFSET(Y1623,0,COUNTA(Y1623:AV1623)-1)=0),"납부 시작 전",
IF(AND(V1623="정상",OFFSET(Y1623,0,COUNTA(Y1623:AV1623)-1)&gt;=U1623),"정상",
IF(AND(V1623="면제",OFFSET(Y1623,0,COUNTA(Y1623:AV1623)-1)="면제"),"면제",
IF(AND(V1623="면제",OFFSET(Y1623,0,COUNTA(Y1623:AV1623)-1)=0),"면제",
"확인요청"))))))</f>
        <v>정상</v>
      </c>
      <c r="Y1623" s="94" t="s">
        <v>62</v>
      </c>
      <c r="Z1623" s="90" t="n">
        <v>0</v>
      </c>
      <c r="AA1623" s="90" t="n">
        <v>55000</v>
      </c>
      <c r="AB1623" s="90" t="n">
        <v>55000</v>
      </c>
      <c r="AC1623" s="90" t="n">
        <v>55000</v>
      </c>
      <c r="AD1623" s="90" t="n">
        <v>55000</v>
      </c>
      <c r="AE1623" s="90" t="n">
        <v>55000</v>
      </c>
      <c r="AF1623" s="90" t="n">
        <v>55000</v>
      </c>
      <c r="AG1623" s="90" t="n">
        <v>55000</v>
      </c>
      <c r="AH1623" s="90" t="n">
        <v>55000</v>
      </c>
      <c r="AI1623" s="90" t="n">
        <v>55000</v>
      </c>
      <c r="AJ1623" s="91" t="n">
        <v>55000</v>
      </c>
      <c r="AK1623" s="89" t="n">
        <v>55000</v>
      </c>
      <c r="AL1623" s="90" t="n">
        <v>55000</v>
      </c>
      <c r="AM1623" s="90"/>
      <c r="AN1623" s="90"/>
      <c r="AO1623" s="90"/>
      <c r="AP1623" s="90"/>
      <c r="AQ1623" s="90"/>
      <c r="AR1623" s="90"/>
      <c r="AS1623" s="90"/>
      <c r="AT1623" s="90"/>
      <c r="AU1623" s="90"/>
      <c r="AV1623" s="91"/>
      <c r="AX1623" s="92"/>
    </row>
    <row r="1624" customFormat="false" ht="15.65" hidden="false" customHeight="false" outlineLevel="0" collapsed="false">
      <c r="C1624" s="72" t="n">
        <f aca="false">COUNTIFS($D$6:D1624,"&lt;&gt;"&amp;"")</f>
        <v>1619</v>
      </c>
      <c r="D1624" s="73" t="s">
        <v>12</v>
      </c>
      <c r="E1624" s="76" t="str">
        <f aca="false">
IF($D1624="정상",INDEX(임대자산!$D$3:$R$3000,MATCH($F1624,임대자산!$I$3:$I$3000,0),MATCH(E$3,임대자산!$D$3:$R$3,0)),
IF($D1624="폐업",INDEX(폐업정보!$D$3:$R$3000,MATCH($F1624,폐업정보!$I$3:$I$3000,0),MATCH(E$3,폐업정보!$D$3:$R$3,0)),
"Error"))</f>
        <v>서울</v>
      </c>
      <c r="F162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B1619</v>
      </c>
      <c r="G1624" s="76" t="str">
        <f aca="false">F1624&amp;RANDBETWEEN(0,10)</f>
        <v>B16195</v>
      </c>
      <c r="H1624" s="75" t="n">
        <f aca="false">
IF($D1624="정상",INDEX(임대자산!$D$3:$R$3000,MATCH($F1624,임대자산!$I$3:$I$3000,0),MATCH(H$4,임대자산!$D$3:$R$3,0)),
IF($D1624="폐업",INDEX(폐업정보!$D$3:$R$3000,MATCH($F1624,폐업정보!$I$3:$I$3000,0),MATCH(H$4,폐업정보!$D$3:$R$3,0)),
"Error"))</f>
        <v>45663</v>
      </c>
      <c r="I1624" s="75" t="str">
        <f aca="false">
IF($D1624="정상",INDEX(임대자산!$D$3:$R$3000,MATCH($F1624,임대자산!$I$3:$I$3000,0),MATCH(I$4,임대자산!$D$3:$R$3,0)),
IF($D1624="폐업",INDEX(폐업정보!$D$3:$R$3000,MATCH($F1624,폐업정보!$I$3:$I$3000,0),MATCH(I$4,폐업정보!$D$3:$R$3,0)),
"Error"))</f>
        <v>A1619</v>
      </c>
      <c r="J1624" s="75" t="str">
        <f aca="false">
IF($D1624="정상",INDEX(임대자산!$D$3:$R$3000,MATCH($F1624,임대자산!$I$3:$I$3000,0),MATCH(J$4,임대자산!$D$3:$R$3,0)),
IF($D1624="폐업",INDEX(폐업정보!$D$3:$R$3000,MATCH($F1624,폐업정보!$I$3:$I$3000,0),MATCH(J$4,폐업정보!$D$3:$R$3,0)),
"Error"))</f>
        <v>1931700000</v>
      </c>
      <c r="K1624" s="75" t="str">
        <f aca="false">
IF($D1624="정상",INDEX(임대자산!$D$3:$R$3000,MATCH($F1624,임대자산!$I$3:$I$3000,0),MATCH(K$4,임대자산!$D$3:$R$3,0)),
IF($D1624="폐업",INDEX(폐업정보!$D$3:$R$3000,MATCH($F1624,폐업정보!$I$3:$I$3000,0),MATCH(K$4,폐업정보!$D$3:$R$3,0)),
"Error"))</f>
        <v>C1619</v>
      </c>
      <c r="L1624" s="75" t="str">
        <f aca="false">
IF($D1624="정상",INDEX(임대자산!$D$3:$R$3000,MATCH($F1624,임대자산!$I$3:$I$3000,0),MATCH(L$4,임대자산!$D$3:$R$3,0)),
IF($D1624="폐업",INDEX(폐업정보!$D$3:$R$3000,MATCH($F1624,폐업정보!$I$3:$I$3000,0),MATCH(L$4,폐업정보!$D$3:$R$3,0)),
"Error"))</f>
        <v>D1619</v>
      </c>
      <c r="M1624" s="76" t="s">
        <v>96</v>
      </c>
      <c r="N1624" s="77"/>
      <c r="O1624" s="78" t="s">
        <v>97</v>
      </c>
      <c r="P1624" s="79" t="n">
        <f aca="false">COUNTIFS(임대자산!$I:$I,가맹점정보!F1624,임대자산!$N:$N,가맹점정보!P$4)</f>
        <v>0</v>
      </c>
      <c r="Q1624" s="80" t="n">
        <f aca="false">COUNTIFS(임대자산!$I:$I,가맹점정보!F1624,임대자산!$N:$N,가맹점정보!Q$4)</f>
        <v>0</v>
      </c>
      <c r="R1624" s="81" t="n">
        <f aca="false">COUNTIFS(임대자산!$I:$I,가맹점정보!F1624,임대자산!$N:$N,가맹점정보!R$4)</f>
        <v>1</v>
      </c>
      <c r="S1624" s="82" t="n">
        <v>55000</v>
      </c>
      <c r="T1624" s="83" t="n">
        <v>0</v>
      </c>
      <c r="U1624" s="80" t="n">
        <f aca="false">SUM(S1624:T1624)</f>
        <v>55000</v>
      </c>
      <c r="V1624" s="84" t="s">
        <v>12</v>
      </c>
      <c r="W1624" s="80" t="e">
        <f aca="true">
IF(D1624="폐업","폐업",
IF(V1624="면제","면제",
IF(AND(V1624="정상",COUNTIFS(OFFSET(Y1624,0,COUNTA(Y1624:AV1624)-1,1,-4),"미납")&gt;=3),"장기미납",
IF(AND(V1624="정상",OFFSET(Y1624,0,COUNTA(Y1624:AV1624)-1)&gt;=U1624),"정상",
IF(AND(V1624="정상",OFFSET(Y1624,0,COUNTA(Y1624:AV1624)-1)=0),"정상",
"계약서 미작성")))))</f>
        <v>#VALUE!</v>
      </c>
      <c r="X1624" s="81" t="str">
        <f aca="true">
IF(D1624="폐업","폐업",
IF(AND(V1624="정상",OFFSET(Y1624,0,COUNTA(Y1624:AV1624)-1)="미납"),"미납",
IF(AND(V1624="정상",OFFSET(Y1624,0,COUNTA(Y1624:AV1624)-1)=0),"납부 시작 전",
IF(AND(V1624="정상",OFFSET(Y1624,0,COUNTA(Y1624:AV1624)-1)&gt;=U1624),"정상",
IF(AND(V1624="면제",OFFSET(Y1624,0,COUNTA(Y1624:AV1624)-1)="면제"),"면제",
IF(AND(V1624="면제",OFFSET(Y1624,0,COUNTA(Y1624:AV1624)-1)=0),"면제",
"확인요청"))))))</f>
        <v>정상</v>
      </c>
      <c r="Y1624" s="93" t="n">
        <v>55000</v>
      </c>
      <c r="Z1624" s="90" t="n">
        <v>55000</v>
      </c>
      <c r="AA1624" s="90" t="n">
        <v>55000</v>
      </c>
      <c r="AB1624" s="90" t="n">
        <v>55000</v>
      </c>
      <c r="AC1624" s="90" t="n">
        <v>55000</v>
      </c>
      <c r="AD1624" s="90" t="n">
        <v>55000</v>
      </c>
      <c r="AE1624" s="90" t="n">
        <v>55000</v>
      </c>
      <c r="AF1624" s="90" t="n">
        <v>55000</v>
      </c>
      <c r="AG1624" s="90" t="n">
        <v>55000</v>
      </c>
      <c r="AH1624" s="90" t="n">
        <v>55000</v>
      </c>
      <c r="AI1624" s="90" t="n">
        <v>55000</v>
      </c>
      <c r="AJ1624" s="91" t="n">
        <v>55000</v>
      </c>
      <c r="AK1624" s="89" t="n">
        <v>55000</v>
      </c>
      <c r="AL1624" s="90" t="n">
        <v>55000</v>
      </c>
      <c r="AM1624" s="90"/>
      <c r="AN1624" s="90"/>
      <c r="AO1624" s="90"/>
      <c r="AP1624" s="90"/>
      <c r="AQ1624" s="90"/>
      <c r="AR1624" s="90"/>
      <c r="AS1624" s="90"/>
      <c r="AT1624" s="90"/>
      <c r="AU1624" s="90"/>
      <c r="AV1624" s="91"/>
      <c r="AX1624" s="92"/>
    </row>
    <row r="1625" customFormat="false" ht="15.65" hidden="false" customHeight="false" outlineLevel="0" collapsed="false">
      <c r="C1625" s="72" t="n">
        <f aca="false">COUNTIFS($D$6:D1625,"&lt;&gt;"&amp;"")</f>
        <v>1620</v>
      </c>
      <c r="D1625" s="73" t="s">
        <v>12</v>
      </c>
      <c r="E1625" s="76" t="str">
        <f aca="false">
IF($D1625="정상",INDEX(임대자산!$D$3:$R$3000,MATCH($F1625,임대자산!$I$3:$I$3000,0),MATCH(E$3,임대자산!$D$3:$R$3,0)),
IF($D1625="폐업",INDEX(폐업정보!$D$3:$R$3000,MATCH($F1625,폐업정보!$I$3:$I$3000,0),MATCH(E$3,폐업정보!$D$3:$R$3,0)),
"Error"))</f>
        <v>서울</v>
      </c>
      <c r="F162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B1620</v>
      </c>
      <c r="G1625" s="76" t="str">
        <f aca="false">F1625&amp;RANDBETWEEN(0,10)</f>
        <v>B162010</v>
      </c>
      <c r="H1625" s="75" t="n">
        <f aca="false">
IF($D1625="정상",INDEX(임대자산!$D$3:$R$3000,MATCH($F1625,임대자산!$I$3:$I$3000,0),MATCH(H$4,임대자산!$D$3:$R$3,0)),
IF($D1625="폐업",INDEX(폐업정보!$D$3:$R$3000,MATCH($F1625,폐업정보!$I$3:$I$3000,0),MATCH(H$4,폐업정보!$D$3:$R$3,0)),
"Error"))</f>
        <v>45663</v>
      </c>
      <c r="I1625" s="75" t="str">
        <f aca="false">
IF($D1625="정상",INDEX(임대자산!$D$3:$R$3000,MATCH($F1625,임대자산!$I$3:$I$3000,0),MATCH(I$4,임대자산!$D$3:$R$3,0)),
IF($D1625="폐업",INDEX(폐업정보!$D$3:$R$3000,MATCH($F1625,폐업정보!$I$3:$I$3000,0),MATCH(I$4,폐업정보!$D$3:$R$3,0)),
"Error"))</f>
        <v>A1620</v>
      </c>
      <c r="J1625" s="75" t="str">
        <f aca="false">
IF($D1625="정상",INDEX(임대자산!$D$3:$R$3000,MATCH($F1625,임대자산!$I$3:$I$3000,0),MATCH(J$4,임대자산!$D$3:$R$3,0)),
IF($D1625="폐업",INDEX(폐업정보!$D$3:$R$3000,MATCH($F1625,폐업정보!$I$3:$I$3000,0),MATCH(J$4,폐업정보!$D$3:$R$3,0)),
"Error"))</f>
        <v>9007500000</v>
      </c>
      <c r="K1625" s="75" t="str">
        <f aca="false">
IF($D1625="정상",INDEX(임대자산!$D$3:$R$3000,MATCH($F1625,임대자산!$I$3:$I$3000,0),MATCH(K$4,임대자산!$D$3:$R$3,0)),
IF($D1625="폐업",INDEX(폐업정보!$D$3:$R$3000,MATCH($F1625,폐업정보!$I$3:$I$3000,0),MATCH(K$4,폐업정보!$D$3:$R$3,0)),
"Error"))</f>
        <v>C1620</v>
      </c>
      <c r="L1625" s="75" t="str">
        <f aca="false">
IF($D1625="정상",INDEX(임대자산!$D$3:$R$3000,MATCH($F1625,임대자산!$I$3:$I$3000,0),MATCH(L$4,임대자산!$D$3:$R$3,0)),
IF($D1625="폐업",INDEX(폐업정보!$D$3:$R$3000,MATCH($F1625,폐업정보!$I$3:$I$3000,0),MATCH(L$4,폐업정보!$D$3:$R$3,0)),
"Error"))</f>
        <v>D1620</v>
      </c>
      <c r="M1625" s="76" t="s">
        <v>96</v>
      </c>
      <c r="N1625" s="77"/>
      <c r="O1625" s="78" t="s">
        <v>97</v>
      </c>
      <c r="P1625" s="79" t="n">
        <f aca="false">COUNTIFS(임대자산!$I:$I,가맹점정보!F1625,임대자산!$N:$N,가맹점정보!P$4)</f>
        <v>0</v>
      </c>
      <c r="Q1625" s="80" t="n">
        <f aca="false">COUNTIFS(임대자산!$I:$I,가맹점정보!F1625,임대자산!$N:$N,가맹점정보!Q$4)</f>
        <v>0</v>
      </c>
      <c r="R1625" s="81" t="n">
        <f aca="false">COUNTIFS(임대자산!$I:$I,가맹점정보!F1625,임대자산!$N:$N,가맹점정보!R$4)</f>
        <v>1</v>
      </c>
      <c r="S1625" s="82" t="n">
        <v>55000</v>
      </c>
      <c r="T1625" s="83" t="n">
        <v>0</v>
      </c>
      <c r="U1625" s="80" t="n">
        <f aca="false">SUM(S1625:T1625)</f>
        <v>55000</v>
      </c>
      <c r="V1625" s="84" t="s">
        <v>12</v>
      </c>
      <c r="W1625" s="80" t="e">
        <f aca="true">
IF(D1625="폐업","폐업",
IF(V1625="면제","면제",
IF(AND(V1625="정상",COUNTIFS(OFFSET(Y1625,0,COUNTA(Y1625:AV1625)-1,1,-4),"미납")&gt;=3),"장기미납",
IF(AND(V1625="정상",OFFSET(Y1625,0,COUNTA(Y1625:AV1625)-1)&gt;=U1625),"정상",
IF(AND(V1625="정상",OFFSET(Y1625,0,COUNTA(Y1625:AV1625)-1)=0),"정상",
"계약서 미작성")))))</f>
        <v>#VALUE!</v>
      </c>
      <c r="X1625" s="81" t="str">
        <f aca="true">
IF(D1625="폐업","폐업",
IF(AND(V1625="정상",OFFSET(Y1625,0,COUNTA(Y1625:AV1625)-1)="미납"),"미납",
IF(AND(V1625="정상",OFFSET(Y1625,0,COUNTA(Y1625:AV1625)-1)=0),"납부 시작 전",
IF(AND(V1625="정상",OFFSET(Y1625,0,COUNTA(Y1625:AV1625)-1)&gt;=U1625),"정상",
IF(AND(V1625="면제",OFFSET(Y1625,0,COUNTA(Y1625:AV1625)-1)="면제"),"면제",
IF(AND(V1625="면제",OFFSET(Y1625,0,COUNTA(Y1625:AV1625)-1)=0),"면제",
"확인요청"))))))</f>
        <v>정상</v>
      </c>
      <c r="Y1625" s="93" t="n">
        <v>55000</v>
      </c>
      <c r="Z1625" s="90" t="n">
        <v>55000</v>
      </c>
      <c r="AA1625" s="90" t="n">
        <v>55000</v>
      </c>
      <c r="AB1625" s="90" t="n">
        <v>55000</v>
      </c>
      <c r="AC1625" s="90" t="n">
        <v>55000</v>
      </c>
      <c r="AD1625" s="90" t="n">
        <v>55000</v>
      </c>
      <c r="AE1625" s="90" t="n">
        <v>55000</v>
      </c>
      <c r="AF1625" s="90" t="n">
        <v>55000</v>
      </c>
      <c r="AG1625" s="90" t="n">
        <v>55000</v>
      </c>
      <c r="AH1625" s="90" t="n">
        <v>55000</v>
      </c>
      <c r="AI1625" s="90" t="n">
        <v>55000</v>
      </c>
      <c r="AJ1625" s="91" t="n">
        <v>55000</v>
      </c>
      <c r="AK1625" s="89" t="n">
        <v>55000</v>
      </c>
      <c r="AL1625" s="90" t="n">
        <v>55000</v>
      </c>
      <c r="AM1625" s="90"/>
      <c r="AN1625" s="90"/>
      <c r="AO1625" s="90"/>
      <c r="AP1625" s="90"/>
      <c r="AQ1625" s="90"/>
      <c r="AR1625" s="90"/>
      <c r="AS1625" s="90"/>
      <c r="AT1625" s="90"/>
      <c r="AU1625" s="90"/>
      <c r="AV1625" s="91"/>
      <c r="AX1625" s="92"/>
    </row>
    <row r="1626" customFormat="false" ht="15.65" hidden="false" customHeight="false" outlineLevel="0" collapsed="false">
      <c r="C1626" s="72" t="n">
        <f aca="false">COUNTIFS($D$6:D1626,"&lt;&gt;"&amp;"")</f>
        <v>1621</v>
      </c>
      <c r="D1626" s="73" t="s">
        <v>12</v>
      </c>
      <c r="E1626" s="76" t="str">
        <f aca="false">
IF($D1626="정상",INDEX(임대자산!$D$3:$R$3000,MATCH($F1626,임대자산!$I$3:$I$3000,0),MATCH(E$3,임대자산!$D$3:$R$3,0)),
IF($D1626="폐업",INDEX(폐업정보!$D$3:$R$3000,MATCH($F1626,폐업정보!$I$3:$I$3000,0),MATCH(E$3,폐업정보!$D$3:$R$3,0)),
"Error"))</f>
        <v>전라</v>
      </c>
      <c r="F162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B1621</v>
      </c>
      <c r="G1626" s="76" t="str">
        <f aca="false">F1626&amp;RANDBETWEEN(0,10)</f>
        <v>B16212</v>
      </c>
      <c r="H1626" s="75" t="n">
        <f aca="false">
IF($D1626="정상",INDEX(임대자산!$D$3:$R$3000,MATCH($F1626,임대자산!$I$3:$I$3000,0),MATCH(H$4,임대자산!$D$3:$R$3,0)),
IF($D1626="폐업",INDEX(폐업정보!$D$3:$R$3000,MATCH($F1626,폐업정보!$I$3:$I$3000,0),MATCH(H$4,폐업정보!$D$3:$R$3,0)),
"Error"))</f>
        <v>45678</v>
      </c>
      <c r="I1626" s="75" t="str">
        <f aca="false">
IF($D1626="정상",INDEX(임대자산!$D$3:$R$3000,MATCH($F1626,임대자산!$I$3:$I$3000,0),MATCH(I$4,임대자산!$D$3:$R$3,0)),
IF($D1626="폐업",INDEX(폐업정보!$D$3:$R$3000,MATCH($F1626,폐업정보!$I$3:$I$3000,0),MATCH(I$4,폐업정보!$D$3:$R$3,0)),
"Error"))</f>
        <v>A1621</v>
      </c>
      <c r="J1626" s="75" t="str">
        <f aca="false">
IF($D1626="정상",INDEX(임대자산!$D$3:$R$3000,MATCH($F1626,임대자산!$I$3:$I$3000,0),MATCH(J$4,임대자산!$D$3:$R$3,0)),
IF($D1626="폐업",INDEX(폐업정보!$D$3:$R$3000,MATCH($F1626,폐업정보!$I$3:$I$3000,0),MATCH(J$4,폐업정보!$D$3:$R$3,0)),
"Error"))</f>
        <v>3956000000</v>
      </c>
      <c r="K1626" s="75" t="str">
        <f aca="false">
IF($D1626="정상",INDEX(임대자산!$D$3:$R$3000,MATCH($F1626,임대자산!$I$3:$I$3000,0),MATCH(K$4,임대자산!$D$3:$R$3,0)),
IF($D1626="폐업",INDEX(폐업정보!$D$3:$R$3000,MATCH($F1626,폐업정보!$I$3:$I$3000,0),MATCH(K$4,폐업정보!$D$3:$R$3,0)),
"Error"))</f>
        <v>C1621</v>
      </c>
      <c r="L1626" s="75" t="str">
        <f aca="false">
IF($D1626="정상",INDEX(임대자산!$D$3:$R$3000,MATCH($F1626,임대자산!$I$3:$I$3000,0),MATCH(L$4,임대자산!$D$3:$R$3,0)),
IF($D1626="폐업",INDEX(폐업정보!$D$3:$R$3000,MATCH($F1626,폐업정보!$I$3:$I$3000,0),MATCH(L$4,폐업정보!$D$3:$R$3,0)),
"Error"))</f>
        <v>D1621</v>
      </c>
      <c r="M1626" s="76" t="s">
        <v>96</v>
      </c>
      <c r="N1626" s="77"/>
      <c r="O1626" s="78" t="s">
        <v>97</v>
      </c>
      <c r="P1626" s="79" t="n">
        <f aca="false">COUNTIFS(임대자산!$I:$I,가맹점정보!F1626,임대자산!$N:$N,가맹점정보!P$4)</f>
        <v>0</v>
      </c>
      <c r="Q1626" s="80" t="n">
        <f aca="false">COUNTIFS(임대자산!$I:$I,가맹점정보!F1626,임대자산!$N:$N,가맹점정보!Q$4)</f>
        <v>0</v>
      </c>
      <c r="R1626" s="81" t="n">
        <f aca="false">COUNTIFS(임대자산!$I:$I,가맹점정보!F1626,임대자산!$N:$N,가맹점정보!R$4)</f>
        <v>1</v>
      </c>
      <c r="S1626" s="82" t="n">
        <v>44000</v>
      </c>
      <c r="T1626" s="83" t="n">
        <v>44000</v>
      </c>
      <c r="U1626" s="80" t="n">
        <f aca="false">SUM(S1626:T1626)</f>
        <v>88000</v>
      </c>
      <c r="V1626" s="84" t="s">
        <v>12</v>
      </c>
      <c r="W1626" s="80" t="e">
        <f aca="true">
IF(D1626="폐업","폐업",
IF(V1626="면제","면제",
IF(AND(V1626="정상",COUNTIFS(OFFSET(Y1626,0,COUNTA(Y1626:AV1626)-1,1,-4),"미납")&gt;=3),"장기미납",
IF(AND(V1626="정상",OFFSET(Y1626,0,COUNTA(Y1626:AV1626)-1)&gt;=U1626),"정상",
IF(AND(V1626="정상",OFFSET(Y1626,0,COUNTA(Y1626:AV1626)-1)=0),"정상",
"계약서 미작성")))))</f>
        <v>#VALUE!</v>
      </c>
      <c r="X1626" s="81" t="str">
        <f aca="true">
IF(D1626="폐업","폐업",
IF(AND(V1626="정상",OFFSET(Y1626,0,COUNTA(Y1626:AV1626)-1)="미납"),"미납",
IF(AND(V1626="정상",OFFSET(Y1626,0,COUNTA(Y1626:AV1626)-1)=0),"납부 시작 전",
IF(AND(V1626="정상",OFFSET(Y1626,0,COUNTA(Y1626:AV1626)-1)&gt;=U1626),"정상",
IF(AND(V1626="면제",OFFSET(Y1626,0,COUNTA(Y1626:AV1626)-1)="면제"),"면제",
IF(AND(V1626="면제",OFFSET(Y1626,0,COUNTA(Y1626:AV1626)-1)=0),"면제",
"확인요청"))))))</f>
        <v>정상</v>
      </c>
      <c r="Y1626" s="93" t="n">
        <v>88000</v>
      </c>
      <c r="Z1626" s="90" t="n">
        <v>88000</v>
      </c>
      <c r="AA1626" s="90" t="n">
        <v>88000</v>
      </c>
      <c r="AB1626" s="90" t="n">
        <v>88000</v>
      </c>
      <c r="AC1626" s="90" t="n">
        <v>88000</v>
      </c>
      <c r="AD1626" s="90" t="n">
        <v>88000</v>
      </c>
      <c r="AE1626" s="90" t="n">
        <v>88000</v>
      </c>
      <c r="AF1626" s="90" t="n">
        <v>88000</v>
      </c>
      <c r="AG1626" s="90" t="n">
        <v>88000</v>
      </c>
      <c r="AH1626" s="90" t="n">
        <v>88000</v>
      </c>
      <c r="AI1626" s="90" t="n">
        <v>88000</v>
      </c>
      <c r="AJ1626" s="91" t="n">
        <v>88000</v>
      </c>
      <c r="AK1626" s="89" t="n">
        <v>88000</v>
      </c>
      <c r="AL1626" s="90" t="n">
        <v>88000</v>
      </c>
      <c r="AM1626" s="90"/>
      <c r="AN1626" s="90"/>
      <c r="AO1626" s="90"/>
      <c r="AP1626" s="90"/>
      <c r="AQ1626" s="90"/>
      <c r="AR1626" s="90"/>
      <c r="AS1626" s="90"/>
      <c r="AT1626" s="90"/>
      <c r="AU1626" s="90"/>
      <c r="AV1626" s="91"/>
      <c r="AX1626" s="92"/>
    </row>
    <row r="1627" customFormat="false" ht="15.65" hidden="false" customHeight="false" outlineLevel="0" collapsed="false">
      <c r="C1627" s="72" t="n">
        <f aca="false">COUNTIFS($D$6:D1627,"&lt;&gt;"&amp;"")</f>
        <v>1622</v>
      </c>
      <c r="D1627" s="73" t="s">
        <v>12</v>
      </c>
      <c r="E1627" s="76" t="str">
        <f aca="false">
IF($D1627="정상",INDEX(임대자산!$D$3:$R$3000,MATCH($F1627,임대자산!$I$3:$I$3000,0),MATCH(E$3,임대자산!$D$3:$R$3,0)),
IF($D1627="폐업",INDEX(폐업정보!$D$3:$R$3000,MATCH($F1627,폐업정보!$I$3:$I$3000,0),MATCH(E$3,폐업정보!$D$3:$R$3,0)),
"Error"))</f>
        <v>전라</v>
      </c>
      <c r="F162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B1622</v>
      </c>
      <c r="G1627" s="76" t="str">
        <f aca="false">F1627&amp;RANDBETWEEN(0,10)</f>
        <v>B16222</v>
      </c>
      <c r="H1627" s="75" t="n">
        <f aca="false">
IF($D1627="정상",INDEX(임대자산!$D$3:$R$3000,MATCH($F1627,임대자산!$I$3:$I$3000,0),MATCH(H$4,임대자산!$D$3:$R$3,0)),
IF($D1627="폐업",INDEX(폐업정보!$D$3:$R$3000,MATCH($F1627,폐업정보!$I$3:$I$3000,0),MATCH(H$4,폐업정보!$D$3:$R$3,0)),
"Error"))</f>
        <v>45678</v>
      </c>
      <c r="I1627" s="75" t="str">
        <f aca="false">
IF($D1627="정상",INDEX(임대자산!$D$3:$R$3000,MATCH($F1627,임대자산!$I$3:$I$3000,0),MATCH(I$4,임대자산!$D$3:$R$3,0)),
IF($D1627="폐업",INDEX(폐업정보!$D$3:$R$3000,MATCH($F1627,폐업정보!$I$3:$I$3000,0),MATCH(I$4,폐업정보!$D$3:$R$3,0)),
"Error"))</f>
        <v>A1622</v>
      </c>
      <c r="J1627" s="75" t="str">
        <f aca="false">
IF($D1627="정상",INDEX(임대자산!$D$3:$R$3000,MATCH($F1627,임대자산!$I$3:$I$3000,0),MATCH(J$4,임대자산!$D$3:$R$3,0)),
IF($D1627="폐업",INDEX(폐업정보!$D$3:$R$3000,MATCH($F1627,폐업정보!$I$3:$I$3000,0),MATCH(J$4,폐업정보!$D$3:$R$3,0)),
"Error"))</f>
        <v>7525500000</v>
      </c>
      <c r="K1627" s="75" t="str">
        <f aca="false">
IF($D1627="정상",INDEX(임대자산!$D$3:$R$3000,MATCH($F1627,임대자산!$I$3:$I$3000,0),MATCH(K$4,임대자산!$D$3:$R$3,0)),
IF($D1627="폐업",INDEX(폐업정보!$D$3:$R$3000,MATCH($F1627,폐업정보!$I$3:$I$3000,0),MATCH(K$4,폐업정보!$D$3:$R$3,0)),
"Error"))</f>
        <v>C1622</v>
      </c>
      <c r="L1627" s="75" t="str">
        <f aca="false">
IF($D1627="정상",INDEX(임대자산!$D$3:$R$3000,MATCH($F1627,임대자산!$I$3:$I$3000,0),MATCH(L$4,임대자산!$D$3:$R$3,0)),
IF($D1627="폐업",INDEX(폐업정보!$D$3:$R$3000,MATCH($F1627,폐업정보!$I$3:$I$3000,0),MATCH(L$4,폐업정보!$D$3:$R$3,0)),
"Error"))</f>
        <v>D1622</v>
      </c>
      <c r="M1627" s="76" t="s">
        <v>96</v>
      </c>
      <c r="N1627" s="77"/>
      <c r="O1627" s="78" t="s">
        <v>97</v>
      </c>
      <c r="P1627" s="79" t="n">
        <f aca="false">COUNTIFS(임대자산!$I:$I,가맹점정보!F1627,임대자산!$N:$N,가맹점정보!P$4)</f>
        <v>0</v>
      </c>
      <c r="Q1627" s="80" t="n">
        <f aca="false">COUNTIFS(임대자산!$I:$I,가맹점정보!F1627,임대자산!$N:$N,가맹점정보!Q$4)</f>
        <v>0</v>
      </c>
      <c r="R1627" s="81" t="n">
        <f aca="false">COUNTIFS(임대자산!$I:$I,가맹점정보!F1627,임대자산!$N:$N,가맹점정보!R$4)</f>
        <v>1</v>
      </c>
      <c r="S1627" s="82" t="n">
        <v>55000</v>
      </c>
      <c r="T1627" s="83" t="n">
        <v>0</v>
      </c>
      <c r="U1627" s="80" t="n">
        <f aca="false">SUM(S1627:T1627)</f>
        <v>55000</v>
      </c>
      <c r="V1627" s="84" t="s">
        <v>7</v>
      </c>
      <c r="W1627" s="80" t="str">
        <f aca="true">
IF(D1627="폐업","폐업",
IF(V1627="면제","면제",
IF(AND(V1627="정상",COUNTIFS(OFFSET(Y1627,0,COUNTA(Y1627:AV1627)-1,1,-4),"미납")&gt;=3),"장기미납",
IF(AND(V1627="정상",OFFSET(Y1627,0,COUNTA(Y1627:AV1627)-1)&gt;=U1627),"정상",
IF(AND(V1627="정상",OFFSET(Y1627,0,COUNTA(Y1627:AV1627)-1)=0),"정상",
"계약서 미작성")))))</f>
        <v>면제</v>
      </c>
      <c r="X1627" s="81" t="str">
        <f aca="true">
IF(D1627="폐업","폐업",
IF(AND(V1627="정상",OFFSET(Y1627,0,COUNTA(Y1627:AV1627)-1)="미납"),"미납",
IF(AND(V1627="정상",OFFSET(Y1627,0,COUNTA(Y1627:AV1627)-1)=0),"납부 시작 전",
IF(AND(V1627="정상",OFFSET(Y1627,0,COUNTA(Y1627:AV1627)-1)&gt;=U1627),"정상",
IF(AND(V1627="면제",OFFSET(Y1627,0,COUNTA(Y1627:AV1627)-1)="면제"),"면제",
IF(AND(V1627="면제",OFFSET(Y1627,0,COUNTA(Y1627:AV1627)-1)=0),"면제",
"확인요청"))))))</f>
        <v>면제</v>
      </c>
      <c r="Y1627" s="94" t="s">
        <v>7</v>
      </c>
      <c r="Z1627" s="95" t="s">
        <v>7</v>
      </c>
      <c r="AA1627" s="95" t="s">
        <v>7</v>
      </c>
      <c r="AB1627" s="95" t="s">
        <v>7</v>
      </c>
      <c r="AC1627" s="95" t="s">
        <v>7</v>
      </c>
      <c r="AD1627" s="95" t="s">
        <v>7</v>
      </c>
      <c r="AE1627" s="95" t="s">
        <v>7</v>
      </c>
      <c r="AF1627" s="95" t="s">
        <v>7</v>
      </c>
      <c r="AG1627" s="95" t="s">
        <v>7</v>
      </c>
      <c r="AH1627" s="95" t="s">
        <v>7</v>
      </c>
      <c r="AI1627" s="95" t="s">
        <v>7</v>
      </c>
      <c r="AJ1627" s="96" t="s">
        <v>7</v>
      </c>
      <c r="AK1627" s="97" t="s">
        <v>7</v>
      </c>
      <c r="AL1627" s="95" t="s">
        <v>7</v>
      </c>
      <c r="AM1627" s="90"/>
      <c r="AN1627" s="90"/>
      <c r="AO1627" s="90"/>
      <c r="AP1627" s="90"/>
      <c r="AQ1627" s="90"/>
      <c r="AR1627" s="90"/>
      <c r="AS1627" s="90"/>
      <c r="AT1627" s="90"/>
      <c r="AU1627" s="90"/>
      <c r="AV1627" s="91"/>
      <c r="AX1627" s="92"/>
    </row>
    <row r="1628" customFormat="false" ht="15.65" hidden="false" customHeight="false" outlineLevel="0" collapsed="false">
      <c r="C1628" s="72" t="n">
        <f aca="false">COUNTIFS($D$6:D1628,"&lt;&gt;"&amp;"")</f>
        <v>1623</v>
      </c>
      <c r="D1628" s="73" t="s">
        <v>12</v>
      </c>
      <c r="E1628" s="76" t="str">
        <f aca="false">
IF($D1628="정상",INDEX(임대자산!$D$3:$R$3000,MATCH($F1628,임대자산!$I$3:$I$3000,0),MATCH(E$3,임대자산!$D$3:$R$3,0)),
IF($D1628="폐업",INDEX(폐업정보!$D$3:$R$3000,MATCH($F1628,폐업정보!$I$3:$I$3000,0),MATCH(E$3,폐업정보!$D$3:$R$3,0)),
"Error"))</f>
        <v>서울</v>
      </c>
      <c r="F162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B1623</v>
      </c>
      <c r="G1628" s="76" t="str">
        <f aca="false">F1628&amp;RANDBETWEEN(0,10)</f>
        <v>B16236</v>
      </c>
      <c r="H1628" s="75" t="n">
        <f aca="false">
IF($D1628="정상",INDEX(임대자산!$D$3:$R$3000,MATCH($F1628,임대자산!$I$3:$I$3000,0),MATCH(H$4,임대자산!$D$3:$R$3,0)),
IF($D1628="폐업",INDEX(폐업정보!$D$3:$R$3000,MATCH($F1628,폐업정보!$I$3:$I$3000,0),MATCH(H$4,폐업정보!$D$3:$R$3,0)),
"Error"))</f>
        <v>45702</v>
      </c>
      <c r="I1628" s="75" t="str">
        <f aca="false">
IF($D1628="정상",INDEX(임대자산!$D$3:$R$3000,MATCH($F1628,임대자산!$I$3:$I$3000,0),MATCH(I$4,임대자산!$D$3:$R$3,0)),
IF($D1628="폐업",INDEX(폐업정보!$D$3:$R$3000,MATCH($F1628,폐업정보!$I$3:$I$3000,0),MATCH(I$4,폐업정보!$D$3:$R$3,0)),
"Error"))</f>
        <v>A1623</v>
      </c>
      <c r="J1628" s="75" t="str">
        <f aca="false">
IF($D1628="정상",INDEX(임대자산!$D$3:$R$3000,MATCH($F1628,임대자산!$I$3:$I$3000,0),MATCH(J$4,임대자산!$D$3:$R$3,0)),
IF($D1628="폐업",INDEX(폐업정보!$D$3:$R$3000,MATCH($F1628,폐업정보!$I$3:$I$3000,0),MATCH(J$4,폐업정보!$D$3:$R$3,0)),
"Error"))</f>
        <v>8359500000</v>
      </c>
      <c r="K1628" s="75" t="str">
        <f aca="false">
IF($D1628="정상",INDEX(임대자산!$D$3:$R$3000,MATCH($F1628,임대자산!$I$3:$I$3000,0),MATCH(K$4,임대자산!$D$3:$R$3,0)),
IF($D1628="폐업",INDEX(폐업정보!$D$3:$R$3000,MATCH($F1628,폐업정보!$I$3:$I$3000,0),MATCH(K$4,폐업정보!$D$3:$R$3,0)),
"Error"))</f>
        <v>C1623</v>
      </c>
      <c r="L1628" s="75" t="str">
        <f aca="false">
IF($D1628="정상",INDEX(임대자산!$D$3:$R$3000,MATCH($F1628,임대자산!$I$3:$I$3000,0),MATCH(L$4,임대자산!$D$3:$R$3,0)),
IF($D1628="폐업",INDEX(폐업정보!$D$3:$R$3000,MATCH($F1628,폐업정보!$I$3:$I$3000,0),MATCH(L$4,폐업정보!$D$3:$R$3,0)),
"Error"))</f>
        <v>D1623</v>
      </c>
      <c r="M1628" s="76" t="s">
        <v>96</v>
      </c>
      <c r="N1628" s="77"/>
      <c r="O1628" s="78" t="s">
        <v>97</v>
      </c>
      <c r="P1628" s="79" t="n">
        <f aca="false">COUNTIFS(임대자산!$I:$I,가맹점정보!F1628,임대자산!$N:$N,가맹점정보!P$4)</f>
        <v>0</v>
      </c>
      <c r="Q1628" s="80" t="n">
        <f aca="false">COUNTIFS(임대자산!$I:$I,가맹점정보!F1628,임대자산!$N:$N,가맹점정보!Q$4)</f>
        <v>0</v>
      </c>
      <c r="R1628" s="81" t="n">
        <f aca="false">COUNTIFS(임대자산!$I:$I,가맹점정보!F1628,임대자산!$N:$N,가맹점정보!R$4)</f>
        <v>1</v>
      </c>
      <c r="S1628" s="82" t="n">
        <v>55000</v>
      </c>
      <c r="T1628" s="83" t="n">
        <v>0</v>
      </c>
      <c r="U1628" s="80" t="n">
        <f aca="false">SUM(S1628:T1628)</f>
        <v>55000</v>
      </c>
      <c r="V1628" s="84" t="s">
        <v>12</v>
      </c>
      <c r="W1628" s="80" t="e">
        <f aca="true">
IF(D1628="폐업","폐업",
IF(V1628="면제","면제",
IF(AND(V1628="정상",COUNTIFS(OFFSET(Y1628,0,COUNTA(Y1628:AV1628)-1,1,-4),"미납")&gt;=3),"장기미납",
IF(AND(V1628="정상",OFFSET(Y1628,0,COUNTA(Y1628:AV1628)-1)&gt;=U1628),"정상",
IF(AND(V1628="정상",OFFSET(Y1628,0,COUNTA(Y1628:AV1628)-1)=0),"정상",
"계약서 미작성")))))</f>
        <v>#VALUE!</v>
      </c>
      <c r="X1628" s="81" t="str">
        <f aca="true">
IF(D1628="폐업","폐업",
IF(AND(V1628="정상",OFFSET(Y1628,0,COUNTA(Y1628:AV1628)-1)="미납"),"미납",
IF(AND(V1628="정상",OFFSET(Y1628,0,COUNTA(Y1628:AV1628)-1)=0),"납부 시작 전",
IF(AND(V1628="정상",OFFSET(Y1628,0,COUNTA(Y1628:AV1628)-1)&gt;=U1628),"정상",
IF(AND(V1628="면제",OFFSET(Y1628,0,COUNTA(Y1628:AV1628)-1)="면제"),"면제",
IF(AND(V1628="면제",OFFSET(Y1628,0,COUNTA(Y1628:AV1628)-1)=0),"면제",
"확인요청"))))))</f>
        <v>정상</v>
      </c>
      <c r="Y1628" s="93" t="n">
        <v>55000</v>
      </c>
      <c r="Z1628" s="90" t="n">
        <v>55000</v>
      </c>
      <c r="AA1628" s="90" t="n">
        <v>55000</v>
      </c>
      <c r="AB1628" s="90" t="n">
        <v>55000</v>
      </c>
      <c r="AC1628" s="90" t="n">
        <v>55000</v>
      </c>
      <c r="AD1628" s="90" t="n">
        <v>55000</v>
      </c>
      <c r="AE1628" s="90" t="n">
        <v>55000</v>
      </c>
      <c r="AF1628" s="90" t="n">
        <v>55000</v>
      </c>
      <c r="AG1628" s="90" t="n">
        <v>55000</v>
      </c>
      <c r="AH1628" s="90" t="n">
        <v>55000</v>
      </c>
      <c r="AI1628" s="90" t="n">
        <v>55000</v>
      </c>
      <c r="AJ1628" s="91" t="n">
        <v>55000</v>
      </c>
      <c r="AK1628" s="89" t="n">
        <v>55000</v>
      </c>
      <c r="AL1628" s="90" t="n">
        <v>55000</v>
      </c>
      <c r="AM1628" s="90"/>
      <c r="AN1628" s="90"/>
      <c r="AO1628" s="90"/>
      <c r="AP1628" s="90"/>
      <c r="AQ1628" s="90"/>
      <c r="AR1628" s="90"/>
      <c r="AS1628" s="90"/>
      <c r="AT1628" s="90"/>
      <c r="AU1628" s="90"/>
      <c r="AV1628" s="91"/>
      <c r="AX1628" s="92"/>
    </row>
    <row r="1629" customFormat="false" ht="15.65" hidden="false" customHeight="false" outlineLevel="0" collapsed="false">
      <c r="C1629" s="72" t="n">
        <f aca="false">COUNTIFS($D$6:D1629,"&lt;&gt;"&amp;"")</f>
        <v>1624</v>
      </c>
      <c r="D1629" s="73" t="s">
        <v>12</v>
      </c>
      <c r="E1629" s="76" t="str">
        <f aca="false">
IF($D1629="정상",INDEX(임대자산!$D$3:$R$3000,MATCH($F1629,임대자산!$I$3:$I$3000,0),MATCH(E$3,임대자산!$D$3:$R$3,0)),
IF($D1629="폐업",INDEX(폐업정보!$D$3:$R$3000,MATCH($F1629,폐업정보!$I$3:$I$3000,0),MATCH(E$3,폐업정보!$D$3:$R$3,0)),
"Error"))</f>
        <v>서울</v>
      </c>
      <c r="F162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B1624</v>
      </c>
      <c r="G1629" s="76" t="str">
        <f aca="false">F1629&amp;RANDBETWEEN(0,10)</f>
        <v>B16247</v>
      </c>
      <c r="H1629" s="75" t="n">
        <f aca="false">
IF($D1629="정상",INDEX(임대자산!$D$3:$R$3000,MATCH($F1629,임대자산!$I$3:$I$3000,0),MATCH(H$4,임대자산!$D$3:$R$3,0)),
IF($D1629="폐업",INDEX(폐업정보!$D$3:$R$3000,MATCH($F1629,폐업정보!$I$3:$I$3000,0),MATCH(H$4,폐업정보!$D$3:$R$3,0)),
"Error"))</f>
        <v>45708</v>
      </c>
      <c r="I1629" s="75" t="str">
        <f aca="false">
IF($D1629="정상",INDEX(임대자산!$D$3:$R$3000,MATCH($F1629,임대자산!$I$3:$I$3000,0),MATCH(I$4,임대자산!$D$3:$R$3,0)),
IF($D1629="폐업",INDEX(폐업정보!$D$3:$R$3000,MATCH($F1629,폐업정보!$I$3:$I$3000,0),MATCH(I$4,폐업정보!$D$3:$R$3,0)),
"Error"))</f>
        <v>A1624</v>
      </c>
      <c r="J1629" s="75" t="str">
        <f aca="false">
IF($D1629="정상",INDEX(임대자산!$D$3:$R$3000,MATCH($F1629,임대자산!$I$3:$I$3000,0),MATCH(J$4,임대자산!$D$3:$R$3,0)),
IF($D1629="폐업",INDEX(폐업정보!$D$3:$R$3000,MATCH($F1629,폐업정보!$I$3:$I$3000,0),MATCH(J$4,폐업정보!$D$3:$R$3,0)),
"Error"))</f>
        <v>3324900000</v>
      </c>
      <c r="K1629" s="75" t="str">
        <f aca="false">
IF($D1629="정상",INDEX(임대자산!$D$3:$R$3000,MATCH($F1629,임대자산!$I$3:$I$3000,0),MATCH(K$4,임대자산!$D$3:$R$3,0)),
IF($D1629="폐업",INDEX(폐업정보!$D$3:$R$3000,MATCH($F1629,폐업정보!$I$3:$I$3000,0),MATCH(K$4,폐업정보!$D$3:$R$3,0)),
"Error"))</f>
        <v>C1624</v>
      </c>
      <c r="L1629" s="75" t="str">
        <f aca="false">
IF($D1629="정상",INDEX(임대자산!$D$3:$R$3000,MATCH($F1629,임대자산!$I$3:$I$3000,0),MATCH(L$4,임대자산!$D$3:$R$3,0)),
IF($D1629="폐업",INDEX(폐업정보!$D$3:$R$3000,MATCH($F1629,폐업정보!$I$3:$I$3000,0),MATCH(L$4,폐업정보!$D$3:$R$3,0)),
"Error"))</f>
        <v>D1624</v>
      </c>
      <c r="M1629" s="76" t="s">
        <v>96</v>
      </c>
      <c r="N1629" s="77"/>
      <c r="O1629" s="78" t="s">
        <v>97</v>
      </c>
      <c r="P1629" s="79" t="n">
        <f aca="false">COUNTIFS(임대자산!$I:$I,가맹점정보!F1629,임대자산!$N:$N,가맹점정보!P$4)</f>
        <v>0</v>
      </c>
      <c r="Q1629" s="80" t="n">
        <f aca="false">COUNTIFS(임대자산!$I:$I,가맹점정보!F1629,임대자산!$N:$N,가맹점정보!Q$4)</f>
        <v>0</v>
      </c>
      <c r="R1629" s="81" t="n">
        <f aca="false">COUNTIFS(임대자산!$I:$I,가맹점정보!F1629,임대자산!$N:$N,가맹점정보!R$4)</f>
        <v>1</v>
      </c>
      <c r="S1629" s="82" t="n">
        <v>55000</v>
      </c>
      <c r="T1629" s="83" t="n">
        <v>0</v>
      </c>
      <c r="U1629" s="80" t="n">
        <f aca="false">SUM(S1629:T1629)</f>
        <v>55000</v>
      </c>
      <c r="V1629" s="84" t="s">
        <v>7</v>
      </c>
      <c r="W1629" s="80" t="str">
        <f aca="true">
IF(D1629="폐업","폐업",
IF(V1629="면제","면제",
IF(AND(V1629="정상",COUNTIFS(OFFSET(Y1629,0,COUNTA(Y1629:AV1629)-1,1,-4),"미납")&gt;=3),"장기미납",
IF(AND(V1629="정상",OFFSET(Y1629,0,COUNTA(Y1629:AV1629)-1)&gt;=U1629),"정상",
IF(AND(V1629="정상",OFFSET(Y1629,0,COUNTA(Y1629:AV1629)-1)=0),"정상",
"계약서 미작성")))))</f>
        <v>면제</v>
      </c>
      <c r="X1629" s="81" t="str">
        <f aca="true">
IF(D1629="폐업","폐업",
IF(AND(V1629="정상",OFFSET(Y1629,0,COUNTA(Y1629:AV1629)-1)="미납"),"미납",
IF(AND(V1629="정상",OFFSET(Y1629,0,COUNTA(Y1629:AV1629)-1)=0),"납부 시작 전",
IF(AND(V1629="정상",OFFSET(Y1629,0,COUNTA(Y1629:AV1629)-1)&gt;=U1629),"정상",
IF(AND(V1629="면제",OFFSET(Y1629,0,COUNTA(Y1629:AV1629)-1)="면제"),"면제",
IF(AND(V1629="면제",OFFSET(Y1629,0,COUNTA(Y1629:AV1629)-1)=0),"면제",
"확인요청"))))))</f>
        <v>면제</v>
      </c>
      <c r="Y1629" s="94" t="s">
        <v>62</v>
      </c>
      <c r="Z1629" s="90" t="n">
        <v>55000</v>
      </c>
      <c r="AA1629" s="90" t="n">
        <v>55000</v>
      </c>
      <c r="AB1629" s="90" t="n">
        <v>55000</v>
      </c>
      <c r="AC1629" s="90" t="n">
        <v>55000</v>
      </c>
      <c r="AD1629" s="90" t="n">
        <v>55000</v>
      </c>
      <c r="AE1629" s="90" t="n">
        <v>55000</v>
      </c>
      <c r="AF1629" s="90" t="n">
        <v>55000</v>
      </c>
      <c r="AG1629" s="95" t="s">
        <v>62</v>
      </c>
      <c r="AH1629" s="95" t="s">
        <v>62</v>
      </c>
      <c r="AI1629" s="95" t="s">
        <v>62</v>
      </c>
      <c r="AJ1629" s="96" t="s">
        <v>7</v>
      </c>
      <c r="AK1629" s="97" t="s">
        <v>7</v>
      </c>
      <c r="AL1629" s="95" t="s">
        <v>7</v>
      </c>
      <c r="AM1629" s="90"/>
      <c r="AN1629" s="90"/>
      <c r="AO1629" s="90"/>
      <c r="AP1629" s="90"/>
      <c r="AQ1629" s="90"/>
      <c r="AR1629" s="90"/>
      <c r="AS1629" s="90"/>
      <c r="AT1629" s="90"/>
      <c r="AU1629" s="90"/>
      <c r="AV1629" s="91"/>
      <c r="AX1629" s="92"/>
    </row>
    <row r="1630" customFormat="false" ht="15.65" hidden="false" customHeight="false" outlineLevel="0" collapsed="false">
      <c r="C1630" s="72" t="n">
        <f aca="false">COUNTIFS($D$6:D1630,"&lt;&gt;"&amp;"")</f>
        <v>1625</v>
      </c>
      <c r="D1630" s="73" t="s">
        <v>12</v>
      </c>
      <c r="E1630" s="76" t="str">
        <f aca="false">
IF($D1630="정상",INDEX(임대자산!$D$3:$R$3000,MATCH($F1630,임대자산!$I$3:$I$3000,0),MATCH(E$3,임대자산!$D$3:$R$3,0)),
IF($D1630="폐업",INDEX(폐업정보!$D$3:$R$3000,MATCH($F1630,폐업정보!$I$3:$I$3000,0),MATCH(E$3,폐업정보!$D$3:$R$3,0)),
"Error"))</f>
        <v>서울</v>
      </c>
      <c r="F163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B1625</v>
      </c>
      <c r="G1630" s="76" t="str">
        <f aca="false">F1630&amp;RANDBETWEEN(0,10)</f>
        <v>B16257</v>
      </c>
      <c r="H1630" s="75" t="n">
        <f aca="false">
IF($D1630="정상",INDEX(임대자산!$D$3:$R$3000,MATCH($F1630,임대자산!$I$3:$I$3000,0),MATCH(H$4,임대자산!$D$3:$R$3,0)),
IF($D1630="폐업",INDEX(폐업정보!$D$3:$R$3000,MATCH($F1630,폐업정보!$I$3:$I$3000,0),MATCH(H$4,폐업정보!$D$3:$R$3,0)),
"Error"))</f>
        <v>45702</v>
      </c>
      <c r="I1630" s="75" t="str">
        <f aca="false">
IF($D1630="정상",INDEX(임대자산!$D$3:$R$3000,MATCH($F1630,임대자산!$I$3:$I$3000,0),MATCH(I$4,임대자산!$D$3:$R$3,0)),
IF($D1630="폐업",INDEX(폐업정보!$D$3:$R$3000,MATCH($F1630,폐업정보!$I$3:$I$3000,0),MATCH(I$4,폐업정보!$D$3:$R$3,0)),
"Error"))</f>
        <v>A1625</v>
      </c>
      <c r="J1630" s="75" t="str">
        <f aca="false">
IF($D1630="정상",INDEX(임대자산!$D$3:$R$3000,MATCH($F1630,임대자산!$I$3:$I$3000,0),MATCH(J$4,임대자산!$D$3:$R$3,0)),
IF($D1630="폐업",INDEX(폐업정보!$D$3:$R$3000,MATCH($F1630,폐업정보!$I$3:$I$3000,0),MATCH(J$4,폐업정보!$D$3:$R$3,0)),
"Error"))</f>
        <v>8996200000</v>
      </c>
      <c r="K1630" s="75" t="str">
        <f aca="false">
IF($D1630="정상",INDEX(임대자산!$D$3:$R$3000,MATCH($F1630,임대자산!$I$3:$I$3000,0),MATCH(K$4,임대자산!$D$3:$R$3,0)),
IF($D1630="폐업",INDEX(폐업정보!$D$3:$R$3000,MATCH($F1630,폐업정보!$I$3:$I$3000,0),MATCH(K$4,폐업정보!$D$3:$R$3,0)),
"Error"))</f>
        <v>C1625</v>
      </c>
      <c r="L1630" s="75" t="str">
        <f aca="false">
IF($D1630="정상",INDEX(임대자산!$D$3:$R$3000,MATCH($F1630,임대자산!$I$3:$I$3000,0),MATCH(L$4,임대자산!$D$3:$R$3,0)),
IF($D1630="폐업",INDEX(폐업정보!$D$3:$R$3000,MATCH($F1630,폐업정보!$I$3:$I$3000,0),MATCH(L$4,폐업정보!$D$3:$R$3,0)),
"Error"))</f>
        <v>D1625</v>
      </c>
      <c r="M1630" s="76" t="s">
        <v>96</v>
      </c>
      <c r="N1630" s="77"/>
      <c r="O1630" s="78" t="s">
        <v>97</v>
      </c>
      <c r="P1630" s="79" t="n">
        <f aca="false">COUNTIFS(임대자산!$I:$I,가맹점정보!F1630,임대자산!$N:$N,가맹점정보!P$4)</f>
        <v>0</v>
      </c>
      <c r="Q1630" s="80" t="n">
        <f aca="false">COUNTIFS(임대자산!$I:$I,가맹점정보!F1630,임대자산!$N:$N,가맹점정보!Q$4)</f>
        <v>0</v>
      </c>
      <c r="R1630" s="81" t="n">
        <f aca="false">COUNTIFS(임대자산!$I:$I,가맹점정보!F1630,임대자산!$N:$N,가맹점정보!R$4)</f>
        <v>1</v>
      </c>
      <c r="S1630" s="82" t="n">
        <v>55000</v>
      </c>
      <c r="T1630" s="83" t="n">
        <v>0</v>
      </c>
      <c r="U1630" s="80" t="n">
        <f aca="false">SUM(S1630:T1630)</f>
        <v>55000</v>
      </c>
      <c r="V1630" s="84" t="s">
        <v>7</v>
      </c>
      <c r="W1630" s="80" t="str">
        <f aca="true">
IF(D1630="폐업","폐업",
IF(V1630="면제","면제",
IF(AND(V1630="정상",COUNTIFS(OFFSET(Y1630,0,COUNTA(Y1630:AV1630)-1,1,-4),"미납")&gt;=3),"장기미납",
IF(AND(V1630="정상",OFFSET(Y1630,0,COUNTA(Y1630:AV1630)-1)&gt;=U1630),"정상",
IF(AND(V1630="정상",OFFSET(Y1630,0,COUNTA(Y1630:AV1630)-1)=0),"정상",
"계약서 미작성")))))</f>
        <v>면제</v>
      </c>
      <c r="X1630" s="81" t="str">
        <f aca="true">
IF(D1630="폐업","폐업",
IF(AND(V1630="정상",OFFSET(Y1630,0,COUNTA(Y1630:AV1630)-1)="미납"),"미납",
IF(AND(V1630="정상",OFFSET(Y1630,0,COUNTA(Y1630:AV1630)-1)=0),"납부 시작 전",
IF(AND(V1630="정상",OFFSET(Y1630,0,COUNTA(Y1630:AV1630)-1)&gt;=U1630),"정상",
IF(AND(V1630="면제",OFFSET(Y1630,0,COUNTA(Y1630:AV1630)-1)="면제"),"면제",
IF(AND(V1630="면제",OFFSET(Y1630,0,COUNTA(Y1630:AV1630)-1)=0),"면제",
"확인요청"))))))</f>
        <v>면제</v>
      </c>
      <c r="Y1630" s="94" t="s">
        <v>7</v>
      </c>
      <c r="Z1630" s="95" t="s">
        <v>7</v>
      </c>
      <c r="AA1630" s="95" t="s">
        <v>7</v>
      </c>
      <c r="AB1630" s="95" t="s">
        <v>7</v>
      </c>
      <c r="AC1630" s="95" t="s">
        <v>7</v>
      </c>
      <c r="AD1630" s="95" t="s">
        <v>7</v>
      </c>
      <c r="AE1630" s="95" t="s">
        <v>7</v>
      </c>
      <c r="AF1630" s="95" t="s">
        <v>7</v>
      </c>
      <c r="AG1630" s="95" t="s">
        <v>7</v>
      </c>
      <c r="AH1630" s="95" t="s">
        <v>7</v>
      </c>
      <c r="AI1630" s="95" t="s">
        <v>7</v>
      </c>
      <c r="AJ1630" s="96" t="s">
        <v>7</v>
      </c>
      <c r="AK1630" s="97" t="s">
        <v>7</v>
      </c>
      <c r="AL1630" s="95" t="s">
        <v>7</v>
      </c>
      <c r="AM1630" s="90"/>
      <c r="AN1630" s="90"/>
      <c r="AO1630" s="90"/>
      <c r="AP1630" s="90"/>
      <c r="AQ1630" s="90"/>
      <c r="AR1630" s="90"/>
      <c r="AS1630" s="90"/>
      <c r="AT1630" s="90"/>
      <c r="AU1630" s="90"/>
      <c r="AV1630" s="91"/>
      <c r="AX1630" s="92"/>
    </row>
    <row r="1631" customFormat="false" ht="15.65" hidden="false" customHeight="false" outlineLevel="0" collapsed="false">
      <c r="C1631" s="72" t="n">
        <f aca="false">COUNTIFS($D$6:D1631,"&lt;&gt;"&amp;"")</f>
        <v>1626</v>
      </c>
      <c r="D1631" s="73" t="s">
        <v>12</v>
      </c>
      <c r="E1631" s="76" t="str">
        <f aca="false">
IF($D1631="정상",INDEX(임대자산!$D$3:$R$3000,MATCH($F1631,임대자산!$I$3:$I$3000,0),MATCH(E$3,임대자산!$D$3:$R$3,0)),
IF($D1631="폐업",INDEX(폐업정보!$D$3:$R$3000,MATCH($F1631,폐업정보!$I$3:$I$3000,0),MATCH(E$3,폐업정보!$D$3:$R$3,0)),
"Error"))</f>
        <v>서울</v>
      </c>
      <c r="F163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B1626</v>
      </c>
      <c r="G1631" s="76" t="str">
        <f aca="false">F1631&amp;RANDBETWEEN(0,10)</f>
        <v>B162610</v>
      </c>
      <c r="H1631" s="75" t="n">
        <f aca="false">
IF($D1631="정상",INDEX(임대자산!$D$3:$R$3000,MATCH($F1631,임대자산!$I$3:$I$3000,0),MATCH(H$4,임대자산!$D$3:$R$3,0)),
IF($D1631="폐업",INDEX(폐업정보!$D$3:$R$3000,MATCH($F1631,폐업정보!$I$3:$I$3000,0),MATCH(H$4,폐업정보!$D$3:$R$3,0)),
"Error"))</f>
        <v>45702</v>
      </c>
      <c r="I1631" s="75" t="str">
        <f aca="false">
IF($D1631="정상",INDEX(임대자산!$D$3:$R$3000,MATCH($F1631,임대자산!$I$3:$I$3000,0),MATCH(I$4,임대자산!$D$3:$R$3,0)),
IF($D1631="폐업",INDEX(폐업정보!$D$3:$R$3000,MATCH($F1631,폐업정보!$I$3:$I$3000,0),MATCH(I$4,폐업정보!$D$3:$R$3,0)),
"Error"))</f>
        <v>A1626</v>
      </c>
      <c r="J1631" s="75" t="str">
        <f aca="false">
IF($D1631="정상",INDEX(임대자산!$D$3:$R$3000,MATCH($F1631,임대자산!$I$3:$I$3000,0),MATCH(J$4,임대자산!$D$3:$R$3,0)),
IF($D1631="폐업",INDEX(폐업정보!$D$3:$R$3000,MATCH($F1631,폐업정보!$I$3:$I$3000,0),MATCH(J$4,폐업정보!$D$3:$R$3,0)),
"Error"))</f>
        <v>9654100000</v>
      </c>
      <c r="K1631" s="75" t="str">
        <f aca="false">
IF($D1631="정상",INDEX(임대자산!$D$3:$R$3000,MATCH($F1631,임대자산!$I$3:$I$3000,0),MATCH(K$4,임대자산!$D$3:$R$3,0)),
IF($D1631="폐업",INDEX(폐업정보!$D$3:$R$3000,MATCH($F1631,폐업정보!$I$3:$I$3000,0),MATCH(K$4,폐업정보!$D$3:$R$3,0)),
"Error"))</f>
        <v>C1626</v>
      </c>
      <c r="L1631" s="75" t="str">
        <f aca="false">
IF($D1631="정상",INDEX(임대자산!$D$3:$R$3000,MATCH($F1631,임대자산!$I$3:$I$3000,0),MATCH(L$4,임대자산!$D$3:$R$3,0)),
IF($D1631="폐업",INDEX(폐업정보!$D$3:$R$3000,MATCH($F1631,폐업정보!$I$3:$I$3000,0),MATCH(L$4,폐업정보!$D$3:$R$3,0)),
"Error"))</f>
        <v>D1626</v>
      </c>
      <c r="M1631" s="76" t="s">
        <v>96</v>
      </c>
      <c r="N1631" s="77"/>
      <c r="O1631" s="78" t="s">
        <v>97</v>
      </c>
      <c r="P1631" s="79" t="n">
        <f aca="false">COUNTIFS(임대자산!$I:$I,가맹점정보!F1631,임대자산!$N:$N,가맹점정보!P$4)</f>
        <v>0</v>
      </c>
      <c r="Q1631" s="80" t="n">
        <f aca="false">COUNTIFS(임대자산!$I:$I,가맹점정보!F1631,임대자산!$N:$N,가맹점정보!Q$4)</f>
        <v>0</v>
      </c>
      <c r="R1631" s="81" t="n">
        <f aca="false">COUNTIFS(임대자산!$I:$I,가맹점정보!F1631,임대자산!$N:$N,가맹점정보!R$4)</f>
        <v>1</v>
      </c>
      <c r="S1631" s="82" t="n">
        <v>55000</v>
      </c>
      <c r="T1631" s="83" t="n">
        <v>0</v>
      </c>
      <c r="U1631" s="80" t="n">
        <f aca="false">SUM(S1631:T1631)</f>
        <v>55000</v>
      </c>
      <c r="V1631" s="84" t="s">
        <v>12</v>
      </c>
      <c r="W1631" s="80" t="e">
        <f aca="true">
IF(D1631="폐업","폐업",
IF(V1631="면제","면제",
IF(AND(V1631="정상",COUNTIFS(OFFSET(Y1631,0,COUNTA(Y1631:AV1631)-1,1,-4),"미납")&gt;=3),"장기미납",
IF(AND(V1631="정상",OFFSET(Y1631,0,COUNTA(Y1631:AV1631)-1)&gt;=U1631),"정상",
IF(AND(V1631="정상",OFFSET(Y1631,0,COUNTA(Y1631:AV1631)-1)=0),"정상",
"계약서 미작성")))))</f>
        <v>#VALUE!</v>
      </c>
      <c r="X1631" s="81" t="str">
        <f aca="true">
IF(D1631="폐업","폐업",
IF(AND(V1631="정상",OFFSET(Y1631,0,COUNTA(Y1631:AV1631)-1)="미납"),"미납",
IF(AND(V1631="정상",OFFSET(Y1631,0,COUNTA(Y1631:AV1631)-1)=0),"납부 시작 전",
IF(AND(V1631="정상",OFFSET(Y1631,0,COUNTA(Y1631:AV1631)-1)&gt;=U1631),"정상",
IF(AND(V1631="면제",OFFSET(Y1631,0,COUNTA(Y1631:AV1631)-1)="면제"),"면제",
IF(AND(V1631="면제",OFFSET(Y1631,0,COUNTA(Y1631:AV1631)-1)=0),"면제",
"확인요청"))))))</f>
        <v>정상</v>
      </c>
      <c r="Y1631" s="93" t="n">
        <v>55000</v>
      </c>
      <c r="Z1631" s="90" t="n">
        <v>55000</v>
      </c>
      <c r="AA1631" s="90" t="n">
        <v>55000</v>
      </c>
      <c r="AB1631" s="90" t="n">
        <v>55000</v>
      </c>
      <c r="AC1631" s="90" t="n">
        <v>55000</v>
      </c>
      <c r="AD1631" s="90" t="n">
        <v>55000</v>
      </c>
      <c r="AE1631" s="90" t="n">
        <v>55000</v>
      </c>
      <c r="AF1631" s="90" t="n">
        <v>55000</v>
      </c>
      <c r="AG1631" s="90" t="n">
        <v>55000</v>
      </c>
      <c r="AH1631" s="90" t="n">
        <v>55000</v>
      </c>
      <c r="AI1631" s="90" t="n">
        <v>55000</v>
      </c>
      <c r="AJ1631" s="91" t="n">
        <v>55000</v>
      </c>
      <c r="AK1631" s="89" t="n">
        <v>55000</v>
      </c>
      <c r="AL1631" s="90" t="n">
        <v>55000</v>
      </c>
      <c r="AM1631" s="90"/>
      <c r="AN1631" s="90"/>
      <c r="AO1631" s="90"/>
      <c r="AP1631" s="90"/>
      <c r="AQ1631" s="90"/>
      <c r="AR1631" s="90"/>
      <c r="AS1631" s="90"/>
      <c r="AT1631" s="90"/>
      <c r="AU1631" s="90"/>
      <c r="AV1631" s="91"/>
      <c r="AX1631" s="92"/>
    </row>
    <row r="1632" customFormat="false" ht="15.65" hidden="false" customHeight="false" outlineLevel="0" collapsed="false">
      <c r="C1632" s="72" t="n">
        <f aca="false">COUNTIFS($D$6:D1632,"&lt;&gt;"&amp;"")</f>
        <v>1627</v>
      </c>
      <c r="D1632" s="73" t="s">
        <v>12</v>
      </c>
      <c r="E1632" s="76" t="str">
        <f aca="false">
IF($D1632="정상",INDEX(임대자산!$D$3:$R$3000,MATCH($F1632,임대자산!$I$3:$I$3000,0),MATCH(E$3,임대자산!$D$3:$R$3,0)),
IF($D1632="폐업",INDEX(폐업정보!$D$3:$R$3000,MATCH($F1632,폐업정보!$I$3:$I$3000,0),MATCH(E$3,폐업정보!$D$3:$R$3,0)),
"Error"))</f>
        <v>서울</v>
      </c>
      <c r="F163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B1627</v>
      </c>
      <c r="G1632" s="76" t="str">
        <f aca="false">F1632&amp;RANDBETWEEN(0,10)</f>
        <v>B16277</v>
      </c>
      <c r="H1632" s="75" t="n">
        <f aca="false">
IF($D1632="정상",INDEX(임대자산!$D$3:$R$3000,MATCH($F1632,임대자산!$I$3:$I$3000,0),MATCH(H$4,임대자산!$D$3:$R$3,0)),
IF($D1632="폐업",INDEX(폐업정보!$D$3:$R$3000,MATCH($F1632,폐업정보!$I$3:$I$3000,0),MATCH(H$4,폐업정보!$D$3:$R$3,0)),
"Error"))</f>
        <v>45702</v>
      </c>
      <c r="I1632" s="75" t="str">
        <f aca="false">
IF($D1632="정상",INDEX(임대자산!$D$3:$R$3000,MATCH($F1632,임대자산!$I$3:$I$3000,0),MATCH(I$4,임대자산!$D$3:$R$3,0)),
IF($D1632="폐업",INDEX(폐업정보!$D$3:$R$3000,MATCH($F1632,폐업정보!$I$3:$I$3000,0),MATCH(I$4,폐업정보!$D$3:$R$3,0)),
"Error"))</f>
        <v>A1627</v>
      </c>
      <c r="J1632" s="75" t="str">
        <f aca="false">
IF($D1632="정상",INDEX(임대자산!$D$3:$R$3000,MATCH($F1632,임대자산!$I$3:$I$3000,0),MATCH(J$4,임대자산!$D$3:$R$3,0)),
IF($D1632="폐업",INDEX(폐업정보!$D$3:$R$3000,MATCH($F1632,폐업정보!$I$3:$I$3000,0),MATCH(J$4,폐업정보!$D$3:$R$3,0)),
"Error"))</f>
        <v>8412300000</v>
      </c>
      <c r="K1632" s="75" t="str">
        <f aca="false">
IF($D1632="정상",INDEX(임대자산!$D$3:$R$3000,MATCH($F1632,임대자산!$I$3:$I$3000,0),MATCH(K$4,임대자산!$D$3:$R$3,0)),
IF($D1632="폐업",INDEX(폐업정보!$D$3:$R$3000,MATCH($F1632,폐업정보!$I$3:$I$3000,0),MATCH(K$4,폐업정보!$D$3:$R$3,0)),
"Error"))</f>
        <v>C1627</v>
      </c>
      <c r="L1632" s="75" t="str">
        <f aca="false">
IF($D1632="정상",INDEX(임대자산!$D$3:$R$3000,MATCH($F1632,임대자산!$I$3:$I$3000,0),MATCH(L$4,임대자산!$D$3:$R$3,0)),
IF($D1632="폐업",INDEX(폐업정보!$D$3:$R$3000,MATCH($F1632,폐업정보!$I$3:$I$3000,0),MATCH(L$4,폐업정보!$D$3:$R$3,0)),
"Error"))</f>
        <v>D1627</v>
      </c>
      <c r="M1632" s="76" t="s">
        <v>96</v>
      </c>
      <c r="N1632" s="77"/>
      <c r="O1632" s="78" t="s">
        <v>97</v>
      </c>
      <c r="P1632" s="79" t="n">
        <f aca="false">COUNTIFS(임대자산!$I:$I,가맹점정보!F1632,임대자산!$N:$N,가맹점정보!P$4)</f>
        <v>0</v>
      </c>
      <c r="Q1632" s="80" t="n">
        <f aca="false">COUNTIFS(임대자산!$I:$I,가맹점정보!F1632,임대자산!$N:$N,가맹점정보!Q$4)</f>
        <v>0</v>
      </c>
      <c r="R1632" s="81" t="n">
        <f aca="false">COUNTIFS(임대자산!$I:$I,가맹점정보!F1632,임대자산!$N:$N,가맹점정보!R$4)</f>
        <v>1</v>
      </c>
      <c r="S1632" s="82" t="n">
        <v>55000</v>
      </c>
      <c r="T1632" s="83" t="n">
        <v>0</v>
      </c>
      <c r="U1632" s="80" t="n">
        <f aca="false">SUM(S1632:T1632)</f>
        <v>55000</v>
      </c>
      <c r="V1632" s="84" t="s">
        <v>12</v>
      </c>
      <c r="W1632" s="80" t="e">
        <f aca="true">
IF(D1632="폐업","폐업",
IF(V1632="면제","면제",
IF(AND(V1632="정상",COUNTIFS(OFFSET(Y1632,0,COUNTA(Y1632:AV1632)-1,1,-4),"미납")&gt;=3),"장기미납",
IF(AND(V1632="정상",OFFSET(Y1632,0,COUNTA(Y1632:AV1632)-1)&gt;=U1632),"정상",
IF(AND(V1632="정상",OFFSET(Y1632,0,COUNTA(Y1632:AV1632)-1)=0),"정상",
"계약서 미작성")))))</f>
        <v>#VALUE!</v>
      </c>
      <c r="X1632" s="81" t="str">
        <f aca="true">
IF(D1632="폐업","폐업",
IF(AND(V1632="정상",OFFSET(Y1632,0,COUNTA(Y1632:AV1632)-1)="미납"),"미납",
IF(AND(V1632="정상",OFFSET(Y1632,0,COUNTA(Y1632:AV1632)-1)=0),"납부 시작 전",
IF(AND(V1632="정상",OFFSET(Y1632,0,COUNTA(Y1632:AV1632)-1)&gt;=U1632),"정상",
IF(AND(V1632="면제",OFFSET(Y1632,0,COUNTA(Y1632:AV1632)-1)="면제"),"면제",
IF(AND(V1632="면제",OFFSET(Y1632,0,COUNTA(Y1632:AV1632)-1)=0),"면제",
"확인요청"))))))</f>
        <v>정상</v>
      </c>
      <c r="Y1632" s="93" t="n">
        <v>55000</v>
      </c>
      <c r="Z1632" s="90" t="n">
        <v>55000</v>
      </c>
      <c r="AA1632" s="90" t="n">
        <v>55000</v>
      </c>
      <c r="AB1632" s="90" t="n">
        <v>55000</v>
      </c>
      <c r="AC1632" s="90" t="n">
        <v>55000</v>
      </c>
      <c r="AD1632" s="90" t="n">
        <v>55000</v>
      </c>
      <c r="AE1632" s="90" t="n">
        <v>55000</v>
      </c>
      <c r="AF1632" s="90" t="n">
        <v>55000</v>
      </c>
      <c r="AG1632" s="90" t="n">
        <v>55000</v>
      </c>
      <c r="AH1632" s="90" t="n">
        <v>55000</v>
      </c>
      <c r="AI1632" s="90" t="n">
        <v>55000</v>
      </c>
      <c r="AJ1632" s="91" t="n">
        <v>55000</v>
      </c>
      <c r="AK1632" s="89" t="n">
        <v>55000</v>
      </c>
      <c r="AL1632" s="90" t="n">
        <v>55000</v>
      </c>
      <c r="AM1632" s="90"/>
      <c r="AN1632" s="90"/>
      <c r="AO1632" s="90"/>
      <c r="AP1632" s="90"/>
      <c r="AQ1632" s="90"/>
      <c r="AR1632" s="90"/>
      <c r="AS1632" s="90"/>
      <c r="AT1632" s="90"/>
      <c r="AU1632" s="90"/>
      <c r="AV1632" s="91"/>
      <c r="AX1632" s="92"/>
    </row>
    <row r="1633" customFormat="false" ht="15.65" hidden="false" customHeight="false" outlineLevel="0" collapsed="false">
      <c r="C1633" s="72" t="n">
        <f aca="false">COUNTIFS($D$6:D1633,"&lt;&gt;"&amp;"")</f>
        <v>1628</v>
      </c>
      <c r="D1633" s="73" t="s">
        <v>12</v>
      </c>
      <c r="E1633" s="76" t="str">
        <f aca="false">
IF($D1633="정상",INDEX(임대자산!$D$3:$R$3000,MATCH($F1633,임대자산!$I$3:$I$3000,0),MATCH(E$3,임대자산!$D$3:$R$3,0)),
IF($D1633="폐업",INDEX(폐업정보!$D$3:$R$3000,MATCH($F1633,폐업정보!$I$3:$I$3000,0),MATCH(E$3,폐업정보!$D$3:$R$3,0)),
"Error"))</f>
        <v>서울</v>
      </c>
      <c r="F163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B1628</v>
      </c>
      <c r="G1633" s="76" t="str">
        <f aca="false">F1633&amp;RANDBETWEEN(0,10)</f>
        <v>B16280</v>
      </c>
      <c r="H1633" s="75" t="n">
        <f aca="false">
IF($D1633="정상",INDEX(임대자산!$D$3:$R$3000,MATCH($F1633,임대자산!$I$3:$I$3000,0),MATCH(H$4,임대자산!$D$3:$R$3,0)),
IF($D1633="폐업",INDEX(폐업정보!$D$3:$R$3000,MATCH($F1633,폐업정보!$I$3:$I$3000,0),MATCH(H$4,폐업정보!$D$3:$R$3,0)),
"Error"))</f>
        <v>45702</v>
      </c>
      <c r="I1633" s="75" t="str">
        <f aca="false">
IF($D1633="정상",INDEX(임대자산!$D$3:$R$3000,MATCH($F1633,임대자산!$I$3:$I$3000,0),MATCH(I$4,임대자산!$D$3:$R$3,0)),
IF($D1633="폐업",INDEX(폐업정보!$D$3:$R$3000,MATCH($F1633,폐업정보!$I$3:$I$3000,0),MATCH(I$4,폐업정보!$D$3:$R$3,0)),
"Error"))</f>
        <v>A1628</v>
      </c>
      <c r="J1633" s="75" t="str">
        <f aca="false">
IF($D1633="정상",INDEX(임대자산!$D$3:$R$3000,MATCH($F1633,임대자산!$I$3:$I$3000,0),MATCH(J$4,임대자산!$D$3:$R$3,0)),
IF($D1633="폐업",INDEX(폐업정보!$D$3:$R$3000,MATCH($F1633,폐업정보!$I$3:$I$3000,0),MATCH(J$4,폐업정보!$D$3:$R$3,0)),
"Error"))</f>
        <v>9816100000</v>
      </c>
      <c r="K1633" s="75" t="str">
        <f aca="false">
IF($D1633="정상",INDEX(임대자산!$D$3:$R$3000,MATCH($F1633,임대자산!$I$3:$I$3000,0),MATCH(K$4,임대자산!$D$3:$R$3,0)),
IF($D1633="폐업",INDEX(폐업정보!$D$3:$R$3000,MATCH($F1633,폐업정보!$I$3:$I$3000,0),MATCH(K$4,폐업정보!$D$3:$R$3,0)),
"Error"))</f>
        <v>C1628</v>
      </c>
      <c r="L1633" s="75" t="str">
        <f aca="false">
IF($D1633="정상",INDEX(임대자산!$D$3:$R$3000,MATCH($F1633,임대자산!$I$3:$I$3000,0),MATCH(L$4,임대자산!$D$3:$R$3,0)),
IF($D1633="폐업",INDEX(폐업정보!$D$3:$R$3000,MATCH($F1633,폐업정보!$I$3:$I$3000,0),MATCH(L$4,폐업정보!$D$3:$R$3,0)),
"Error"))</f>
        <v>D1628</v>
      </c>
      <c r="M1633" s="76" t="s">
        <v>96</v>
      </c>
      <c r="N1633" s="77"/>
      <c r="O1633" s="78" t="s">
        <v>97</v>
      </c>
      <c r="P1633" s="79" t="n">
        <f aca="false">COUNTIFS(임대자산!$I:$I,가맹점정보!F1633,임대자산!$N:$N,가맹점정보!P$4)</f>
        <v>0</v>
      </c>
      <c r="Q1633" s="80" t="n">
        <f aca="false">COUNTIFS(임대자산!$I:$I,가맹점정보!F1633,임대자산!$N:$N,가맹점정보!Q$4)</f>
        <v>0</v>
      </c>
      <c r="R1633" s="81" t="n">
        <f aca="false">COUNTIFS(임대자산!$I:$I,가맹점정보!F1633,임대자산!$N:$N,가맹점정보!R$4)</f>
        <v>1</v>
      </c>
      <c r="S1633" s="82" t="n">
        <v>88000</v>
      </c>
      <c r="T1633" s="83" t="n">
        <v>0</v>
      </c>
      <c r="U1633" s="80" t="n">
        <f aca="false">SUM(S1633:T1633)</f>
        <v>88000</v>
      </c>
      <c r="V1633" s="84" t="s">
        <v>7</v>
      </c>
      <c r="W1633" s="80" t="str">
        <f aca="true">
IF(D1633="폐업","폐업",
IF(V1633="면제","면제",
IF(AND(V1633="정상",COUNTIFS(OFFSET(Y1633,0,COUNTA(Y1633:AV1633)-1,1,-4),"미납")&gt;=3),"장기미납",
IF(AND(V1633="정상",OFFSET(Y1633,0,COUNTA(Y1633:AV1633)-1)&gt;=U1633),"정상",
IF(AND(V1633="정상",OFFSET(Y1633,0,COUNTA(Y1633:AV1633)-1)=0),"정상",
"계약서 미작성")))))</f>
        <v>면제</v>
      </c>
      <c r="X1633" s="81" t="str">
        <f aca="true">
IF(D1633="폐업","폐업",
IF(AND(V1633="정상",OFFSET(Y1633,0,COUNTA(Y1633:AV1633)-1)="미납"),"미납",
IF(AND(V1633="정상",OFFSET(Y1633,0,COUNTA(Y1633:AV1633)-1)=0),"납부 시작 전",
IF(AND(V1633="정상",OFFSET(Y1633,0,COUNTA(Y1633:AV1633)-1)&gt;=U1633),"정상",
IF(AND(V1633="면제",OFFSET(Y1633,0,COUNTA(Y1633:AV1633)-1)="면제"),"면제",
IF(AND(V1633="면제",OFFSET(Y1633,0,COUNTA(Y1633:AV1633)-1)=0),"면제",
"확인요청"))))))</f>
        <v>면제</v>
      </c>
      <c r="Y1633" s="94" t="s">
        <v>7</v>
      </c>
      <c r="Z1633" s="95" t="s">
        <v>7</v>
      </c>
      <c r="AA1633" s="95" t="s">
        <v>7</v>
      </c>
      <c r="AB1633" s="95" t="s">
        <v>7</v>
      </c>
      <c r="AC1633" s="95" t="s">
        <v>7</v>
      </c>
      <c r="AD1633" s="95" t="s">
        <v>7</v>
      </c>
      <c r="AE1633" s="95" t="s">
        <v>7</v>
      </c>
      <c r="AF1633" s="95" t="s">
        <v>7</v>
      </c>
      <c r="AG1633" s="95" t="s">
        <v>7</v>
      </c>
      <c r="AH1633" s="95" t="s">
        <v>7</v>
      </c>
      <c r="AI1633" s="95" t="s">
        <v>7</v>
      </c>
      <c r="AJ1633" s="96" t="s">
        <v>7</v>
      </c>
      <c r="AK1633" s="97" t="s">
        <v>7</v>
      </c>
      <c r="AL1633" s="95" t="s">
        <v>7</v>
      </c>
      <c r="AM1633" s="90"/>
      <c r="AN1633" s="90"/>
      <c r="AO1633" s="90"/>
      <c r="AP1633" s="90"/>
      <c r="AQ1633" s="90"/>
      <c r="AR1633" s="90"/>
      <c r="AS1633" s="90"/>
      <c r="AT1633" s="90"/>
      <c r="AU1633" s="90"/>
      <c r="AV1633" s="91"/>
      <c r="AX1633" s="92"/>
    </row>
    <row r="1634" customFormat="false" ht="15.65" hidden="false" customHeight="false" outlineLevel="0" collapsed="false">
      <c r="C1634" s="72" t="n">
        <f aca="false">COUNTIFS($D$6:D1634,"&lt;&gt;"&amp;"")</f>
        <v>1629</v>
      </c>
      <c r="D1634" s="73" t="s">
        <v>12</v>
      </c>
      <c r="E1634" s="76" t="str">
        <f aca="false">
IF($D1634="정상",INDEX(임대자산!$D$3:$R$3000,MATCH($F1634,임대자산!$I$3:$I$3000,0),MATCH(E$3,임대자산!$D$3:$R$3,0)),
IF($D1634="폐업",INDEX(폐업정보!$D$3:$R$3000,MATCH($F1634,폐업정보!$I$3:$I$3000,0),MATCH(E$3,폐업정보!$D$3:$R$3,0)),
"Error"))</f>
        <v>경기</v>
      </c>
      <c r="F163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B1629</v>
      </c>
      <c r="G1634" s="76" t="str">
        <f aca="false">F1634&amp;RANDBETWEEN(0,10)</f>
        <v>B16297</v>
      </c>
      <c r="H1634" s="75" t="n">
        <f aca="false">
IF($D1634="정상",INDEX(임대자산!$D$3:$R$3000,MATCH($F1634,임대자산!$I$3:$I$3000,0),MATCH(H$4,임대자산!$D$3:$R$3,0)),
IF($D1634="폐업",INDEX(폐업정보!$D$3:$R$3000,MATCH($F1634,폐업정보!$I$3:$I$3000,0),MATCH(H$4,폐업정보!$D$3:$R$3,0)),
"Error"))</f>
        <v>45708</v>
      </c>
      <c r="I1634" s="75" t="str">
        <f aca="false">
IF($D1634="정상",INDEX(임대자산!$D$3:$R$3000,MATCH($F1634,임대자산!$I$3:$I$3000,0),MATCH(I$4,임대자산!$D$3:$R$3,0)),
IF($D1634="폐업",INDEX(폐업정보!$D$3:$R$3000,MATCH($F1634,폐업정보!$I$3:$I$3000,0),MATCH(I$4,폐업정보!$D$3:$R$3,0)),
"Error"))</f>
        <v>A1629</v>
      </c>
      <c r="J1634" s="75" t="str">
        <f aca="false">
IF($D1634="정상",INDEX(임대자산!$D$3:$R$3000,MATCH($F1634,임대자산!$I$3:$I$3000,0),MATCH(J$4,임대자산!$D$3:$R$3,0)),
IF($D1634="폐업",INDEX(폐업정보!$D$3:$R$3000,MATCH($F1634,폐업정보!$I$3:$I$3000,0),MATCH(J$4,폐업정보!$D$3:$R$3,0)),
"Error"))</f>
        <v>2666500000</v>
      </c>
      <c r="K1634" s="75" t="str">
        <f aca="false">
IF($D1634="정상",INDEX(임대자산!$D$3:$R$3000,MATCH($F1634,임대자산!$I$3:$I$3000,0),MATCH(K$4,임대자산!$D$3:$R$3,0)),
IF($D1634="폐업",INDEX(폐업정보!$D$3:$R$3000,MATCH($F1634,폐업정보!$I$3:$I$3000,0),MATCH(K$4,폐업정보!$D$3:$R$3,0)),
"Error"))</f>
        <v>C1629</v>
      </c>
      <c r="L1634" s="75" t="str">
        <f aca="false">
IF($D1634="정상",INDEX(임대자산!$D$3:$R$3000,MATCH($F1634,임대자산!$I$3:$I$3000,0),MATCH(L$4,임대자산!$D$3:$R$3,0)),
IF($D1634="폐업",INDEX(폐업정보!$D$3:$R$3000,MATCH($F1634,폐업정보!$I$3:$I$3000,0),MATCH(L$4,폐업정보!$D$3:$R$3,0)),
"Error"))</f>
        <v>D1629</v>
      </c>
      <c r="M1634" s="76" t="s">
        <v>96</v>
      </c>
      <c r="N1634" s="77"/>
      <c r="O1634" s="78" t="s">
        <v>97</v>
      </c>
      <c r="P1634" s="79" t="n">
        <f aca="false">COUNTIFS(임대자산!$I:$I,가맹점정보!F1634,임대자산!$N:$N,가맹점정보!P$4)</f>
        <v>0</v>
      </c>
      <c r="Q1634" s="80" t="n">
        <f aca="false">COUNTIFS(임대자산!$I:$I,가맹점정보!F1634,임대자산!$N:$N,가맹점정보!Q$4)</f>
        <v>0</v>
      </c>
      <c r="R1634" s="81" t="n">
        <f aca="false">COUNTIFS(임대자산!$I:$I,가맹점정보!F1634,임대자산!$N:$N,가맹점정보!R$4)</f>
        <v>1</v>
      </c>
      <c r="S1634" s="82" t="n">
        <v>88000</v>
      </c>
      <c r="T1634" s="83" t="n">
        <v>0</v>
      </c>
      <c r="U1634" s="80" t="n">
        <f aca="false">SUM(S1634:T1634)</f>
        <v>88000</v>
      </c>
      <c r="V1634" s="84" t="s">
        <v>12</v>
      </c>
      <c r="W1634" s="80" t="e">
        <f aca="true">
IF(D1634="폐업","폐업",
IF(V1634="면제","면제",
IF(AND(V1634="정상",COUNTIFS(OFFSET(Y1634,0,COUNTA(Y1634:AV1634)-1,1,-4),"미납")&gt;=3),"장기미납",
IF(AND(V1634="정상",OFFSET(Y1634,0,COUNTA(Y1634:AV1634)-1)&gt;=U1634),"정상",
IF(AND(V1634="정상",OFFSET(Y1634,0,COUNTA(Y1634:AV1634)-1)=0),"정상",
"계약서 미작성")))))</f>
        <v>#VALUE!</v>
      </c>
      <c r="X1634" s="81" t="str">
        <f aca="true">
IF(D1634="폐업","폐업",
IF(AND(V1634="정상",OFFSET(Y1634,0,COUNTA(Y1634:AV1634)-1)="미납"),"미납",
IF(AND(V1634="정상",OFFSET(Y1634,0,COUNTA(Y1634:AV1634)-1)=0),"납부 시작 전",
IF(AND(V1634="정상",OFFSET(Y1634,0,COUNTA(Y1634:AV1634)-1)&gt;=U1634),"정상",
IF(AND(V1634="면제",OFFSET(Y1634,0,COUNTA(Y1634:AV1634)-1)="면제"),"면제",
IF(AND(V1634="면제",OFFSET(Y1634,0,COUNTA(Y1634:AV1634)-1)=0),"면제",
"확인요청"))))))</f>
        <v>정상</v>
      </c>
      <c r="Y1634" s="93" t="n">
        <v>88000</v>
      </c>
      <c r="Z1634" s="90" t="n">
        <v>88000</v>
      </c>
      <c r="AA1634" s="90" t="n">
        <v>88000</v>
      </c>
      <c r="AB1634" s="90" t="n">
        <v>88000</v>
      </c>
      <c r="AC1634" s="90" t="n">
        <v>88000</v>
      </c>
      <c r="AD1634" s="90" t="n">
        <v>88000</v>
      </c>
      <c r="AE1634" s="90" t="n">
        <v>88000</v>
      </c>
      <c r="AF1634" s="90" t="n">
        <v>88000</v>
      </c>
      <c r="AG1634" s="90" t="n">
        <v>88000</v>
      </c>
      <c r="AH1634" s="90" t="n">
        <v>88000</v>
      </c>
      <c r="AI1634" s="90" t="n">
        <v>88000</v>
      </c>
      <c r="AJ1634" s="91" t="n">
        <v>88000</v>
      </c>
      <c r="AK1634" s="89" t="n">
        <v>88000</v>
      </c>
      <c r="AL1634" s="90" t="n">
        <v>88000</v>
      </c>
      <c r="AM1634" s="90"/>
      <c r="AN1634" s="90"/>
      <c r="AO1634" s="90"/>
      <c r="AP1634" s="90"/>
      <c r="AQ1634" s="90"/>
      <c r="AR1634" s="90"/>
      <c r="AS1634" s="90"/>
      <c r="AT1634" s="90"/>
      <c r="AU1634" s="90"/>
      <c r="AV1634" s="91"/>
      <c r="AX1634" s="92"/>
    </row>
    <row r="1635" customFormat="false" ht="15.65" hidden="false" customHeight="false" outlineLevel="0" collapsed="false">
      <c r="C1635" s="72" t="n">
        <f aca="false">COUNTIFS($D$6:D1635,"&lt;&gt;"&amp;"")</f>
        <v>1630</v>
      </c>
      <c r="D1635" s="73" t="s">
        <v>12</v>
      </c>
      <c r="E1635" s="76" t="str">
        <f aca="false">
IF($D1635="정상",INDEX(임대자산!$D$3:$R$3000,MATCH($F1635,임대자산!$I$3:$I$3000,0),MATCH(E$3,임대자산!$D$3:$R$3,0)),
IF($D1635="폐업",INDEX(폐업정보!$D$3:$R$3000,MATCH($F1635,폐업정보!$I$3:$I$3000,0),MATCH(E$3,폐업정보!$D$3:$R$3,0)),
"Error"))</f>
        <v>경기</v>
      </c>
      <c r="F163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B1630</v>
      </c>
      <c r="G1635" s="76" t="str">
        <f aca="false">F1635&amp;RANDBETWEEN(0,10)</f>
        <v>B16302</v>
      </c>
      <c r="H1635" s="75" t="n">
        <f aca="false">
IF($D1635="정상",INDEX(임대자산!$D$3:$R$3000,MATCH($F1635,임대자산!$I$3:$I$3000,0),MATCH(H$4,임대자산!$D$3:$R$3,0)),
IF($D1635="폐업",INDEX(폐업정보!$D$3:$R$3000,MATCH($F1635,폐업정보!$I$3:$I$3000,0),MATCH(H$4,폐업정보!$D$3:$R$3,0)),
"Error"))</f>
        <v>45708</v>
      </c>
      <c r="I1635" s="75" t="str">
        <f aca="false">
IF($D1635="정상",INDEX(임대자산!$D$3:$R$3000,MATCH($F1635,임대자산!$I$3:$I$3000,0),MATCH(I$4,임대자산!$D$3:$R$3,0)),
IF($D1635="폐업",INDEX(폐업정보!$D$3:$R$3000,MATCH($F1635,폐업정보!$I$3:$I$3000,0),MATCH(I$4,폐업정보!$D$3:$R$3,0)),
"Error"))</f>
        <v>A1630</v>
      </c>
      <c r="J1635" s="75" t="str">
        <f aca="false">
IF($D1635="정상",INDEX(임대자산!$D$3:$R$3000,MATCH($F1635,임대자산!$I$3:$I$3000,0),MATCH(J$4,임대자산!$D$3:$R$3,0)),
IF($D1635="폐업",INDEX(폐업정보!$D$3:$R$3000,MATCH($F1635,폐업정보!$I$3:$I$3000,0),MATCH(J$4,폐업정보!$D$3:$R$3,0)),
"Error"))</f>
        <v>4209100000</v>
      </c>
      <c r="K1635" s="75" t="str">
        <f aca="false">
IF($D1635="정상",INDEX(임대자산!$D$3:$R$3000,MATCH($F1635,임대자산!$I$3:$I$3000,0),MATCH(K$4,임대자산!$D$3:$R$3,0)),
IF($D1635="폐업",INDEX(폐업정보!$D$3:$R$3000,MATCH($F1635,폐업정보!$I$3:$I$3000,0),MATCH(K$4,폐업정보!$D$3:$R$3,0)),
"Error"))</f>
        <v>C1630</v>
      </c>
      <c r="L1635" s="75" t="str">
        <f aca="false">
IF($D1635="정상",INDEX(임대자산!$D$3:$R$3000,MATCH($F1635,임대자산!$I$3:$I$3000,0),MATCH(L$4,임대자산!$D$3:$R$3,0)),
IF($D1635="폐업",INDEX(폐업정보!$D$3:$R$3000,MATCH($F1635,폐업정보!$I$3:$I$3000,0),MATCH(L$4,폐업정보!$D$3:$R$3,0)),
"Error"))</f>
        <v>D1630</v>
      </c>
      <c r="M1635" s="76" t="s">
        <v>96</v>
      </c>
      <c r="N1635" s="77"/>
      <c r="O1635" s="78" t="s">
        <v>97</v>
      </c>
      <c r="P1635" s="79" t="n">
        <f aca="false">COUNTIFS(임대자산!$I:$I,가맹점정보!F1635,임대자산!$N:$N,가맹점정보!P$4)</f>
        <v>0</v>
      </c>
      <c r="Q1635" s="80" t="n">
        <f aca="false">COUNTIFS(임대자산!$I:$I,가맹점정보!F1635,임대자산!$N:$N,가맹점정보!Q$4)</f>
        <v>0</v>
      </c>
      <c r="R1635" s="81" t="n">
        <f aca="false">COUNTIFS(임대자산!$I:$I,가맹점정보!F1635,임대자산!$N:$N,가맹점정보!R$4)</f>
        <v>1</v>
      </c>
      <c r="S1635" s="82" t="n">
        <v>55000</v>
      </c>
      <c r="T1635" s="83" t="n">
        <v>0</v>
      </c>
      <c r="U1635" s="80" t="n">
        <f aca="false">SUM(S1635:T1635)</f>
        <v>55000</v>
      </c>
      <c r="V1635" s="84" t="s">
        <v>12</v>
      </c>
      <c r="W1635" s="80" t="e">
        <f aca="true">
IF(D1635="폐업","폐업",
IF(V1635="면제","면제",
IF(AND(V1635="정상",COUNTIFS(OFFSET(Y1635,0,COUNTA(Y1635:AV1635)-1,1,-4),"미납")&gt;=3),"장기미납",
IF(AND(V1635="정상",OFFSET(Y1635,0,COUNTA(Y1635:AV1635)-1)&gt;=U1635),"정상",
IF(AND(V1635="정상",OFFSET(Y1635,0,COUNTA(Y1635:AV1635)-1)=0),"정상",
"계약서 미작성")))))</f>
        <v>#VALUE!</v>
      </c>
      <c r="X1635" s="81" t="str">
        <f aca="true">
IF(D1635="폐업","폐업",
IF(AND(V1635="정상",OFFSET(Y1635,0,COUNTA(Y1635:AV1635)-1)="미납"),"미납",
IF(AND(V1635="정상",OFFSET(Y1635,0,COUNTA(Y1635:AV1635)-1)=0),"납부 시작 전",
IF(AND(V1635="정상",OFFSET(Y1635,0,COUNTA(Y1635:AV1635)-1)&gt;=U1635),"정상",
IF(AND(V1635="면제",OFFSET(Y1635,0,COUNTA(Y1635:AV1635)-1)="면제"),"면제",
IF(AND(V1635="면제",OFFSET(Y1635,0,COUNTA(Y1635:AV1635)-1)=0),"면제",
"확인요청"))))))</f>
        <v>정상</v>
      </c>
      <c r="Y1635" s="93" t="n">
        <v>55000</v>
      </c>
      <c r="Z1635" s="90" t="n">
        <v>55000</v>
      </c>
      <c r="AA1635" s="90" t="n">
        <v>55000</v>
      </c>
      <c r="AB1635" s="90" t="n">
        <v>55000</v>
      </c>
      <c r="AC1635" s="90" t="n">
        <v>55000</v>
      </c>
      <c r="AD1635" s="90" t="n">
        <v>55000</v>
      </c>
      <c r="AE1635" s="90" t="n">
        <v>55000</v>
      </c>
      <c r="AF1635" s="90" t="n">
        <v>55000</v>
      </c>
      <c r="AG1635" s="90" t="n">
        <v>55000</v>
      </c>
      <c r="AH1635" s="90" t="n">
        <v>55000</v>
      </c>
      <c r="AI1635" s="90" t="n">
        <v>55000</v>
      </c>
      <c r="AJ1635" s="91" t="n">
        <v>55000</v>
      </c>
      <c r="AK1635" s="89" t="n">
        <v>55000</v>
      </c>
      <c r="AL1635" s="90" t="n">
        <v>55000</v>
      </c>
      <c r="AM1635" s="90"/>
      <c r="AN1635" s="90"/>
      <c r="AO1635" s="90"/>
      <c r="AP1635" s="90"/>
      <c r="AQ1635" s="90"/>
      <c r="AR1635" s="90"/>
      <c r="AS1635" s="90"/>
      <c r="AT1635" s="90"/>
      <c r="AU1635" s="90"/>
      <c r="AV1635" s="91"/>
      <c r="AX1635" s="92"/>
    </row>
    <row r="1636" customFormat="false" ht="15.65" hidden="false" customHeight="false" outlineLevel="0" collapsed="false">
      <c r="C1636" s="72" t="n">
        <f aca="false">COUNTIFS($D$6:D1636,"&lt;&gt;"&amp;"")</f>
        <v>1631</v>
      </c>
      <c r="D1636" s="73" t="s">
        <v>12</v>
      </c>
      <c r="E1636" s="76" t="str">
        <f aca="false">
IF($D1636="정상",INDEX(임대자산!$D$3:$R$3000,MATCH($F1636,임대자산!$I$3:$I$3000,0),MATCH(E$3,임대자산!$D$3:$R$3,0)),
IF($D1636="폐업",INDEX(폐업정보!$D$3:$R$3000,MATCH($F1636,폐업정보!$I$3:$I$3000,0),MATCH(E$3,폐업정보!$D$3:$R$3,0)),
"Error"))</f>
        <v>경상</v>
      </c>
      <c r="F163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B1631</v>
      </c>
      <c r="G1636" s="76" t="str">
        <f aca="false">F1636&amp;RANDBETWEEN(0,10)</f>
        <v>B16318</v>
      </c>
      <c r="H1636" s="75" t="n">
        <f aca="false">
IF($D1636="정상",INDEX(임대자산!$D$3:$R$3000,MATCH($F1636,임대자산!$I$3:$I$3000,0),MATCH(H$4,임대자산!$D$3:$R$3,0)),
IF($D1636="폐업",INDEX(폐업정보!$D$3:$R$3000,MATCH($F1636,폐업정보!$I$3:$I$3000,0),MATCH(H$4,폐업정보!$D$3:$R$3,0)),
"Error"))</f>
        <v>45712</v>
      </c>
      <c r="I1636" s="75" t="str">
        <f aca="false">
IF($D1636="정상",INDEX(임대자산!$D$3:$R$3000,MATCH($F1636,임대자산!$I$3:$I$3000,0),MATCH(I$4,임대자산!$D$3:$R$3,0)),
IF($D1636="폐업",INDEX(폐업정보!$D$3:$R$3000,MATCH($F1636,폐업정보!$I$3:$I$3000,0),MATCH(I$4,폐업정보!$D$3:$R$3,0)),
"Error"))</f>
        <v>A1631</v>
      </c>
      <c r="J1636" s="75" t="str">
        <f aca="false">
IF($D1636="정상",INDEX(임대자산!$D$3:$R$3000,MATCH($F1636,임대자산!$I$3:$I$3000,0),MATCH(J$4,임대자산!$D$3:$R$3,0)),
IF($D1636="폐업",INDEX(폐업정보!$D$3:$R$3000,MATCH($F1636,폐업정보!$I$3:$I$3000,0),MATCH(J$4,폐업정보!$D$3:$R$3,0)),
"Error"))</f>
        <v>9737800000</v>
      </c>
      <c r="K1636" s="75" t="str">
        <f aca="false">
IF($D1636="정상",INDEX(임대자산!$D$3:$R$3000,MATCH($F1636,임대자산!$I$3:$I$3000,0),MATCH(K$4,임대자산!$D$3:$R$3,0)),
IF($D1636="폐업",INDEX(폐업정보!$D$3:$R$3000,MATCH($F1636,폐업정보!$I$3:$I$3000,0),MATCH(K$4,폐업정보!$D$3:$R$3,0)),
"Error"))</f>
        <v>C1631</v>
      </c>
      <c r="L1636" s="75" t="str">
        <f aca="false">
IF($D1636="정상",INDEX(임대자산!$D$3:$R$3000,MATCH($F1636,임대자산!$I$3:$I$3000,0),MATCH(L$4,임대자산!$D$3:$R$3,0)),
IF($D1636="폐업",INDEX(폐업정보!$D$3:$R$3000,MATCH($F1636,폐업정보!$I$3:$I$3000,0),MATCH(L$4,폐업정보!$D$3:$R$3,0)),
"Error"))</f>
        <v>D1631</v>
      </c>
      <c r="M1636" s="76" t="s">
        <v>96</v>
      </c>
      <c r="N1636" s="77"/>
      <c r="O1636" s="78" t="s">
        <v>97</v>
      </c>
      <c r="P1636" s="79" t="n">
        <f aca="false">COUNTIFS(임대자산!$I:$I,가맹점정보!F1636,임대자산!$N:$N,가맹점정보!P$4)</f>
        <v>0</v>
      </c>
      <c r="Q1636" s="80" t="n">
        <f aca="false">COUNTIFS(임대자산!$I:$I,가맹점정보!F1636,임대자산!$N:$N,가맹점정보!Q$4)</f>
        <v>0</v>
      </c>
      <c r="R1636" s="81" t="n">
        <f aca="false">COUNTIFS(임대자산!$I:$I,가맹점정보!F1636,임대자산!$N:$N,가맹점정보!R$4)</f>
        <v>1</v>
      </c>
      <c r="S1636" s="82" t="n">
        <v>55000</v>
      </c>
      <c r="T1636" s="83" t="n">
        <v>0</v>
      </c>
      <c r="U1636" s="80" t="n">
        <f aca="false">SUM(S1636:T1636)</f>
        <v>55000</v>
      </c>
      <c r="V1636" s="84" t="s">
        <v>7</v>
      </c>
      <c r="W1636" s="80" t="str">
        <f aca="true">
IF(D1636="폐업","폐업",
IF(V1636="면제","면제",
IF(AND(V1636="정상",COUNTIFS(OFFSET(Y1636,0,COUNTA(Y1636:AV1636)-1,1,-4),"미납")&gt;=3),"장기미납",
IF(AND(V1636="정상",OFFSET(Y1636,0,COUNTA(Y1636:AV1636)-1)&gt;=U1636),"정상",
IF(AND(V1636="정상",OFFSET(Y1636,0,COUNTA(Y1636:AV1636)-1)=0),"정상",
"계약서 미작성")))))</f>
        <v>면제</v>
      </c>
      <c r="X1636" s="81" t="str">
        <f aca="true">
IF(D1636="폐업","폐업",
IF(AND(V1636="정상",OFFSET(Y1636,0,COUNTA(Y1636:AV1636)-1)="미납"),"미납",
IF(AND(V1636="정상",OFFSET(Y1636,0,COUNTA(Y1636:AV1636)-1)=0),"납부 시작 전",
IF(AND(V1636="정상",OFFSET(Y1636,0,COUNTA(Y1636:AV1636)-1)&gt;=U1636),"정상",
IF(AND(V1636="면제",OFFSET(Y1636,0,COUNTA(Y1636:AV1636)-1)="면제"),"면제",
IF(AND(V1636="면제",OFFSET(Y1636,0,COUNTA(Y1636:AV1636)-1)=0),"면제",
"확인요청"))))))</f>
        <v>면제</v>
      </c>
      <c r="Y1636" s="94" t="s">
        <v>7</v>
      </c>
      <c r="Z1636" s="95" t="s">
        <v>7</v>
      </c>
      <c r="AA1636" s="95" t="s">
        <v>7</v>
      </c>
      <c r="AB1636" s="95" t="s">
        <v>7</v>
      </c>
      <c r="AC1636" s="95" t="s">
        <v>7</v>
      </c>
      <c r="AD1636" s="95" t="s">
        <v>7</v>
      </c>
      <c r="AE1636" s="95" t="s">
        <v>7</v>
      </c>
      <c r="AF1636" s="95" t="s">
        <v>7</v>
      </c>
      <c r="AG1636" s="95" t="s">
        <v>7</v>
      </c>
      <c r="AH1636" s="95" t="s">
        <v>7</v>
      </c>
      <c r="AI1636" s="95" t="s">
        <v>7</v>
      </c>
      <c r="AJ1636" s="96" t="s">
        <v>7</v>
      </c>
      <c r="AK1636" s="97" t="s">
        <v>7</v>
      </c>
      <c r="AL1636" s="95" t="s">
        <v>7</v>
      </c>
      <c r="AM1636" s="90"/>
      <c r="AN1636" s="90"/>
      <c r="AO1636" s="90"/>
      <c r="AP1636" s="90"/>
      <c r="AQ1636" s="90"/>
      <c r="AR1636" s="90"/>
      <c r="AS1636" s="90"/>
      <c r="AT1636" s="90"/>
      <c r="AU1636" s="90"/>
      <c r="AV1636" s="91"/>
      <c r="AX1636" s="92"/>
    </row>
    <row r="1637" customFormat="false" ht="15.65" hidden="false" customHeight="false" outlineLevel="0" collapsed="false">
      <c r="C1637" s="72" t="n">
        <f aca="false">COUNTIFS($D$6:D1637,"&lt;&gt;"&amp;"")</f>
        <v>1632</v>
      </c>
      <c r="D1637" s="73" t="s">
        <v>12</v>
      </c>
      <c r="E1637" s="76" t="str">
        <f aca="false">
IF($D1637="정상",INDEX(임대자산!$D$3:$R$3000,MATCH($F1637,임대자산!$I$3:$I$3000,0),MATCH(E$3,임대자산!$D$3:$R$3,0)),
IF($D1637="폐업",INDEX(폐업정보!$D$3:$R$3000,MATCH($F1637,폐업정보!$I$3:$I$3000,0),MATCH(E$3,폐업정보!$D$3:$R$3,0)),
"Error"))</f>
        <v>경기</v>
      </c>
      <c r="F163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B1632</v>
      </c>
      <c r="G1637" s="76" t="str">
        <f aca="false">F1637&amp;RANDBETWEEN(0,10)</f>
        <v>B163210</v>
      </c>
      <c r="H1637" s="75" t="n">
        <f aca="false">
IF($D1637="정상",INDEX(임대자산!$D$3:$R$3000,MATCH($F1637,임대자산!$I$3:$I$3000,0),MATCH(H$4,임대자산!$D$3:$R$3,0)),
IF($D1637="폐업",INDEX(폐업정보!$D$3:$R$3000,MATCH($F1637,폐업정보!$I$3:$I$3000,0),MATCH(H$4,폐업정보!$D$3:$R$3,0)),
"Error"))</f>
        <v>45721</v>
      </c>
      <c r="I1637" s="75" t="str">
        <f aca="false">
IF($D1637="정상",INDEX(임대자산!$D$3:$R$3000,MATCH($F1637,임대자산!$I$3:$I$3000,0),MATCH(I$4,임대자산!$D$3:$R$3,0)),
IF($D1637="폐업",INDEX(폐업정보!$D$3:$R$3000,MATCH($F1637,폐업정보!$I$3:$I$3000,0),MATCH(I$4,폐업정보!$D$3:$R$3,0)),
"Error"))</f>
        <v>A1632</v>
      </c>
      <c r="J1637" s="75" t="str">
        <f aca="false">
IF($D1637="정상",INDEX(임대자산!$D$3:$R$3000,MATCH($F1637,임대자산!$I$3:$I$3000,0),MATCH(J$4,임대자산!$D$3:$R$3,0)),
IF($D1637="폐업",INDEX(폐업정보!$D$3:$R$3000,MATCH($F1637,폐업정보!$I$3:$I$3000,0),MATCH(J$4,폐업정보!$D$3:$R$3,0)),
"Error"))</f>
        <v>9849500000</v>
      </c>
      <c r="K1637" s="75" t="str">
        <f aca="false">
IF($D1637="정상",INDEX(임대자산!$D$3:$R$3000,MATCH($F1637,임대자산!$I$3:$I$3000,0),MATCH(K$4,임대자산!$D$3:$R$3,0)),
IF($D1637="폐업",INDEX(폐업정보!$D$3:$R$3000,MATCH($F1637,폐업정보!$I$3:$I$3000,0),MATCH(K$4,폐업정보!$D$3:$R$3,0)),
"Error"))</f>
        <v>C1632</v>
      </c>
      <c r="L1637" s="75" t="str">
        <f aca="false">
IF($D1637="정상",INDEX(임대자산!$D$3:$R$3000,MATCH($F1637,임대자산!$I$3:$I$3000,0),MATCH(L$4,임대자산!$D$3:$R$3,0)),
IF($D1637="폐업",INDEX(폐업정보!$D$3:$R$3000,MATCH($F1637,폐업정보!$I$3:$I$3000,0),MATCH(L$4,폐업정보!$D$3:$R$3,0)),
"Error"))</f>
        <v>D1632</v>
      </c>
      <c r="M1637" s="76" t="s">
        <v>96</v>
      </c>
      <c r="N1637" s="77"/>
      <c r="O1637" s="78" t="s">
        <v>97</v>
      </c>
      <c r="P1637" s="79" t="n">
        <f aca="false">COUNTIFS(임대자산!$I:$I,가맹점정보!F1637,임대자산!$N:$N,가맹점정보!P$4)</f>
        <v>0</v>
      </c>
      <c r="Q1637" s="80" t="n">
        <f aca="false">COUNTIFS(임대자산!$I:$I,가맹점정보!F1637,임대자산!$N:$N,가맹점정보!Q$4)</f>
        <v>0</v>
      </c>
      <c r="R1637" s="81" t="n">
        <f aca="false">COUNTIFS(임대자산!$I:$I,가맹점정보!F1637,임대자산!$N:$N,가맹점정보!R$4)</f>
        <v>1</v>
      </c>
      <c r="S1637" s="82" t="n">
        <v>55000</v>
      </c>
      <c r="T1637" s="83" t="n">
        <v>0</v>
      </c>
      <c r="U1637" s="80" t="n">
        <f aca="false">SUM(S1637:T1637)</f>
        <v>55000</v>
      </c>
      <c r="V1637" s="84" t="s">
        <v>12</v>
      </c>
      <c r="W1637" s="80" t="e">
        <f aca="true">
IF(D1637="폐업","폐업",
IF(V1637="면제","면제",
IF(AND(V1637="정상",COUNTIFS(OFFSET(Y1637,0,COUNTA(Y1637:AV1637)-1,1,-4),"미납")&gt;=3),"장기미납",
IF(AND(V1637="정상",OFFSET(Y1637,0,COUNTA(Y1637:AV1637)-1)&gt;=U1637),"정상",
IF(AND(V1637="정상",OFFSET(Y1637,0,COUNTA(Y1637:AV1637)-1)=0),"정상",
"계약서 미작성")))))</f>
        <v>#VALUE!</v>
      </c>
      <c r="X1637" s="81" t="str">
        <f aca="true">
IF(D1637="폐업","폐업",
IF(AND(V1637="정상",OFFSET(Y1637,0,COUNTA(Y1637:AV1637)-1)="미납"),"미납",
IF(AND(V1637="정상",OFFSET(Y1637,0,COUNTA(Y1637:AV1637)-1)=0),"납부 시작 전",
IF(AND(V1637="정상",OFFSET(Y1637,0,COUNTA(Y1637:AV1637)-1)&gt;=U1637),"정상",
IF(AND(V1637="면제",OFFSET(Y1637,0,COUNTA(Y1637:AV1637)-1)="면제"),"면제",
IF(AND(V1637="면제",OFFSET(Y1637,0,COUNTA(Y1637:AV1637)-1)=0),"면제",
"확인요청"))))))</f>
        <v>정상</v>
      </c>
      <c r="Y1637" s="93" t="n">
        <v>55000</v>
      </c>
      <c r="Z1637" s="90" t="n">
        <v>55000</v>
      </c>
      <c r="AA1637" s="90" t="n">
        <v>55000</v>
      </c>
      <c r="AB1637" s="90" t="n">
        <v>55000</v>
      </c>
      <c r="AC1637" s="90" t="n">
        <v>55000</v>
      </c>
      <c r="AD1637" s="90" t="n">
        <v>55000</v>
      </c>
      <c r="AE1637" s="90" t="n">
        <v>55000</v>
      </c>
      <c r="AF1637" s="90" t="n">
        <v>55000</v>
      </c>
      <c r="AG1637" s="90" t="n">
        <v>55000</v>
      </c>
      <c r="AH1637" s="90" t="n">
        <v>55000</v>
      </c>
      <c r="AI1637" s="90" t="n">
        <v>55000</v>
      </c>
      <c r="AJ1637" s="91" t="n">
        <v>55000</v>
      </c>
      <c r="AK1637" s="89" t="n">
        <v>55000</v>
      </c>
      <c r="AL1637" s="90" t="n">
        <v>55000</v>
      </c>
      <c r="AM1637" s="90"/>
      <c r="AN1637" s="90"/>
      <c r="AO1637" s="90"/>
      <c r="AP1637" s="90"/>
      <c r="AQ1637" s="90"/>
      <c r="AR1637" s="90"/>
      <c r="AS1637" s="90"/>
      <c r="AT1637" s="90"/>
      <c r="AU1637" s="90"/>
      <c r="AV1637" s="91"/>
      <c r="AX1637" s="92"/>
    </row>
    <row r="1638" customFormat="false" ht="15.65" hidden="false" customHeight="false" outlineLevel="0" collapsed="false">
      <c r="C1638" s="72" t="n">
        <f aca="false">COUNTIFS($D$6:D1638,"&lt;&gt;"&amp;"")</f>
        <v>1633</v>
      </c>
      <c r="D1638" s="73" t="s">
        <v>12</v>
      </c>
      <c r="E1638" s="76" t="str">
        <f aca="false">
IF($D1638="정상",INDEX(임대자산!$D$3:$R$3000,MATCH($F1638,임대자산!$I$3:$I$3000,0),MATCH(E$3,임대자산!$D$3:$R$3,0)),
IF($D1638="폐업",INDEX(폐업정보!$D$3:$R$3000,MATCH($F1638,폐업정보!$I$3:$I$3000,0),MATCH(E$3,폐업정보!$D$3:$R$3,0)),
"Error"))</f>
        <v>경기</v>
      </c>
      <c r="F163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B1633</v>
      </c>
      <c r="G1638" s="76" t="str">
        <f aca="false">F1638&amp;RANDBETWEEN(0,10)</f>
        <v>B16338</v>
      </c>
      <c r="H1638" s="75" t="n">
        <f aca="false">
IF($D1638="정상",INDEX(임대자산!$D$3:$R$3000,MATCH($F1638,임대자산!$I$3:$I$3000,0),MATCH(H$4,임대자산!$D$3:$R$3,0)),
IF($D1638="폐업",INDEX(폐업정보!$D$3:$R$3000,MATCH($F1638,폐업정보!$I$3:$I$3000,0),MATCH(H$4,폐업정보!$D$3:$R$3,0)),
"Error"))</f>
        <v>45721</v>
      </c>
      <c r="I1638" s="75" t="str">
        <f aca="false">
IF($D1638="정상",INDEX(임대자산!$D$3:$R$3000,MATCH($F1638,임대자산!$I$3:$I$3000,0),MATCH(I$4,임대자산!$D$3:$R$3,0)),
IF($D1638="폐업",INDEX(폐업정보!$D$3:$R$3000,MATCH($F1638,폐업정보!$I$3:$I$3000,0),MATCH(I$4,폐업정보!$D$3:$R$3,0)),
"Error"))</f>
        <v>A1633</v>
      </c>
      <c r="J1638" s="75" t="str">
        <f aca="false">
IF($D1638="정상",INDEX(임대자산!$D$3:$R$3000,MATCH($F1638,임대자산!$I$3:$I$3000,0),MATCH(J$4,임대자산!$D$3:$R$3,0)),
IF($D1638="폐업",INDEX(폐업정보!$D$3:$R$3000,MATCH($F1638,폐업정보!$I$3:$I$3000,0),MATCH(J$4,폐업정보!$D$3:$R$3,0)),
"Error"))</f>
        <v>8684200000</v>
      </c>
      <c r="K1638" s="75" t="str">
        <f aca="false">
IF($D1638="정상",INDEX(임대자산!$D$3:$R$3000,MATCH($F1638,임대자산!$I$3:$I$3000,0),MATCH(K$4,임대자산!$D$3:$R$3,0)),
IF($D1638="폐업",INDEX(폐업정보!$D$3:$R$3000,MATCH($F1638,폐업정보!$I$3:$I$3000,0),MATCH(K$4,폐업정보!$D$3:$R$3,0)),
"Error"))</f>
        <v>C1633</v>
      </c>
      <c r="L1638" s="75" t="str">
        <f aca="false">
IF($D1638="정상",INDEX(임대자산!$D$3:$R$3000,MATCH($F1638,임대자산!$I$3:$I$3000,0),MATCH(L$4,임대자산!$D$3:$R$3,0)),
IF($D1638="폐업",INDEX(폐업정보!$D$3:$R$3000,MATCH($F1638,폐업정보!$I$3:$I$3000,0),MATCH(L$4,폐업정보!$D$3:$R$3,0)),
"Error"))</f>
        <v>D1633</v>
      </c>
      <c r="M1638" s="76" t="s">
        <v>96</v>
      </c>
      <c r="N1638" s="77"/>
      <c r="O1638" s="78" t="s">
        <v>97</v>
      </c>
      <c r="P1638" s="79" t="n">
        <f aca="false">COUNTIFS(임대자산!$I:$I,가맹점정보!F1638,임대자산!$N:$N,가맹점정보!P$4)</f>
        <v>0</v>
      </c>
      <c r="Q1638" s="80" t="n">
        <f aca="false">COUNTIFS(임대자산!$I:$I,가맹점정보!F1638,임대자산!$N:$N,가맹점정보!Q$4)</f>
        <v>0</v>
      </c>
      <c r="R1638" s="81" t="n">
        <f aca="false">COUNTIFS(임대자산!$I:$I,가맹점정보!F1638,임대자산!$N:$N,가맹점정보!R$4)</f>
        <v>1</v>
      </c>
      <c r="S1638" s="82" t="n">
        <v>55000</v>
      </c>
      <c r="T1638" s="83" t="n">
        <v>0</v>
      </c>
      <c r="U1638" s="80" t="n">
        <f aca="false">SUM(S1638:T1638)</f>
        <v>55000</v>
      </c>
      <c r="V1638" s="84" t="s">
        <v>12</v>
      </c>
      <c r="W1638" s="80" t="e">
        <f aca="true">
IF(D1638="폐업","폐업",
IF(V1638="면제","면제",
IF(AND(V1638="정상",COUNTIFS(OFFSET(Y1638,0,COUNTA(Y1638:AV1638)-1,1,-4),"미납")&gt;=3),"장기미납",
IF(AND(V1638="정상",OFFSET(Y1638,0,COUNTA(Y1638:AV1638)-1)&gt;=U1638),"정상",
IF(AND(V1638="정상",OFFSET(Y1638,0,COUNTA(Y1638:AV1638)-1)=0),"정상",
"계약서 미작성")))))</f>
        <v>#VALUE!</v>
      </c>
      <c r="X1638" s="81" t="str">
        <f aca="true">
IF(D1638="폐업","폐업",
IF(AND(V1638="정상",OFFSET(Y1638,0,COUNTA(Y1638:AV1638)-1)="미납"),"미납",
IF(AND(V1638="정상",OFFSET(Y1638,0,COUNTA(Y1638:AV1638)-1)=0),"납부 시작 전",
IF(AND(V1638="정상",OFFSET(Y1638,0,COUNTA(Y1638:AV1638)-1)&gt;=U1638),"정상",
IF(AND(V1638="면제",OFFSET(Y1638,0,COUNTA(Y1638:AV1638)-1)="면제"),"면제",
IF(AND(V1638="면제",OFFSET(Y1638,0,COUNTA(Y1638:AV1638)-1)=0),"면제",
"확인요청"))))))</f>
        <v>정상</v>
      </c>
      <c r="Y1638" s="93" t="n">
        <v>55000</v>
      </c>
      <c r="Z1638" s="90" t="n">
        <v>55000</v>
      </c>
      <c r="AA1638" s="90" t="n">
        <v>55000</v>
      </c>
      <c r="AB1638" s="90" t="n">
        <v>55000</v>
      </c>
      <c r="AC1638" s="90" t="n">
        <v>55000</v>
      </c>
      <c r="AD1638" s="90" t="n">
        <v>55000</v>
      </c>
      <c r="AE1638" s="90" t="n">
        <v>55000</v>
      </c>
      <c r="AF1638" s="90" t="n">
        <v>55000</v>
      </c>
      <c r="AG1638" s="90" t="n">
        <v>55000</v>
      </c>
      <c r="AH1638" s="90" t="n">
        <v>55000</v>
      </c>
      <c r="AI1638" s="90" t="n">
        <v>55000</v>
      </c>
      <c r="AJ1638" s="91" t="n">
        <v>55000</v>
      </c>
      <c r="AK1638" s="89" t="n">
        <v>55000</v>
      </c>
      <c r="AL1638" s="90" t="n">
        <v>55000</v>
      </c>
      <c r="AM1638" s="90"/>
      <c r="AN1638" s="90"/>
      <c r="AO1638" s="90"/>
      <c r="AP1638" s="90"/>
      <c r="AQ1638" s="90"/>
      <c r="AR1638" s="90"/>
      <c r="AS1638" s="90"/>
      <c r="AT1638" s="90"/>
      <c r="AU1638" s="90"/>
      <c r="AV1638" s="91"/>
      <c r="AX1638" s="92"/>
    </row>
    <row r="1639" customFormat="false" ht="15.65" hidden="false" customHeight="false" outlineLevel="0" collapsed="false">
      <c r="C1639" s="72" t="n">
        <f aca="false">COUNTIFS($D$6:D1639,"&lt;&gt;"&amp;"")</f>
        <v>1634</v>
      </c>
      <c r="D1639" s="73" t="s">
        <v>12</v>
      </c>
      <c r="E1639" s="76" t="str">
        <f aca="false">
IF($D1639="정상",INDEX(임대자산!$D$3:$R$3000,MATCH($F1639,임대자산!$I$3:$I$3000,0),MATCH(E$3,임대자산!$D$3:$R$3,0)),
IF($D1639="폐업",INDEX(폐업정보!$D$3:$R$3000,MATCH($F1639,폐업정보!$I$3:$I$3000,0),MATCH(E$3,폐업정보!$D$3:$R$3,0)),
"Error"))</f>
        <v>서울</v>
      </c>
      <c r="F163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B1634</v>
      </c>
      <c r="G1639" s="76" t="str">
        <f aca="false">F1639&amp;RANDBETWEEN(0,10)</f>
        <v>B163410</v>
      </c>
      <c r="H1639" s="75" t="n">
        <f aca="false">
IF($D1639="정상",INDEX(임대자산!$D$3:$R$3000,MATCH($F1639,임대자산!$I$3:$I$3000,0),MATCH(H$4,임대자산!$D$3:$R$3,0)),
IF($D1639="폐업",INDEX(폐업정보!$D$3:$R$3000,MATCH($F1639,폐업정보!$I$3:$I$3000,0),MATCH(H$4,폐업정보!$D$3:$R$3,0)),
"Error"))</f>
        <v>45722</v>
      </c>
      <c r="I1639" s="75" t="str">
        <f aca="false">
IF($D1639="정상",INDEX(임대자산!$D$3:$R$3000,MATCH($F1639,임대자산!$I$3:$I$3000,0),MATCH(I$4,임대자산!$D$3:$R$3,0)),
IF($D1639="폐업",INDEX(폐업정보!$D$3:$R$3000,MATCH($F1639,폐업정보!$I$3:$I$3000,0),MATCH(I$4,폐업정보!$D$3:$R$3,0)),
"Error"))</f>
        <v>A1634</v>
      </c>
      <c r="J1639" s="75" t="str">
        <f aca="false">
IF($D1639="정상",INDEX(임대자산!$D$3:$R$3000,MATCH($F1639,임대자산!$I$3:$I$3000,0),MATCH(J$4,임대자산!$D$3:$R$3,0)),
IF($D1639="폐업",INDEX(폐업정보!$D$3:$R$3000,MATCH($F1639,폐업정보!$I$3:$I$3000,0),MATCH(J$4,폐업정보!$D$3:$R$3,0)),
"Error"))</f>
        <v>7521000000</v>
      </c>
      <c r="K1639" s="75" t="str">
        <f aca="false">
IF($D1639="정상",INDEX(임대자산!$D$3:$R$3000,MATCH($F1639,임대자산!$I$3:$I$3000,0),MATCH(K$4,임대자산!$D$3:$R$3,0)),
IF($D1639="폐업",INDEX(폐업정보!$D$3:$R$3000,MATCH($F1639,폐업정보!$I$3:$I$3000,0),MATCH(K$4,폐업정보!$D$3:$R$3,0)),
"Error"))</f>
        <v>C1634</v>
      </c>
      <c r="L1639" s="75" t="str">
        <f aca="false">
IF($D1639="정상",INDEX(임대자산!$D$3:$R$3000,MATCH($F1639,임대자산!$I$3:$I$3000,0),MATCH(L$4,임대자산!$D$3:$R$3,0)),
IF($D1639="폐업",INDEX(폐업정보!$D$3:$R$3000,MATCH($F1639,폐업정보!$I$3:$I$3000,0),MATCH(L$4,폐업정보!$D$3:$R$3,0)),
"Error"))</f>
        <v>D1634</v>
      </c>
      <c r="M1639" s="76" t="s">
        <v>96</v>
      </c>
      <c r="N1639" s="77"/>
      <c r="O1639" s="78" t="s">
        <v>97</v>
      </c>
      <c r="P1639" s="79" t="n">
        <f aca="false">COUNTIFS(임대자산!$I:$I,가맹점정보!F1639,임대자산!$N:$N,가맹점정보!P$4)</f>
        <v>0</v>
      </c>
      <c r="Q1639" s="80" t="n">
        <f aca="false">COUNTIFS(임대자산!$I:$I,가맹점정보!F1639,임대자산!$N:$N,가맹점정보!Q$4)</f>
        <v>0</v>
      </c>
      <c r="R1639" s="81" t="n">
        <f aca="false">COUNTIFS(임대자산!$I:$I,가맹점정보!F1639,임대자산!$N:$N,가맹점정보!R$4)</f>
        <v>1</v>
      </c>
      <c r="S1639" s="82" t="n">
        <v>55000</v>
      </c>
      <c r="T1639" s="83" t="n">
        <v>0</v>
      </c>
      <c r="U1639" s="80" t="n">
        <f aca="false">SUM(S1639:T1639)</f>
        <v>55000</v>
      </c>
      <c r="V1639" s="84" t="s">
        <v>7</v>
      </c>
      <c r="W1639" s="80" t="str">
        <f aca="true">
IF(D1639="폐업","폐업",
IF(V1639="면제","면제",
IF(AND(V1639="정상",COUNTIFS(OFFSET(Y1639,0,COUNTA(Y1639:AV1639)-1,1,-4),"미납")&gt;=3),"장기미납",
IF(AND(V1639="정상",OFFSET(Y1639,0,COUNTA(Y1639:AV1639)-1)&gt;=U1639),"정상",
IF(AND(V1639="정상",OFFSET(Y1639,0,COUNTA(Y1639:AV1639)-1)=0),"정상",
"계약서 미작성")))))</f>
        <v>면제</v>
      </c>
      <c r="X1639" s="81" t="str">
        <f aca="true">
IF(D1639="폐업","폐업",
IF(AND(V1639="정상",OFFSET(Y1639,0,COUNTA(Y1639:AV1639)-1)="미납"),"미납",
IF(AND(V1639="정상",OFFSET(Y1639,0,COUNTA(Y1639:AV1639)-1)=0),"납부 시작 전",
IF(AND(V1639="정상",OFFSET(Y1639,0,COUNTA(Y1639:AV1639)-1)&gt;=U1639),"정상",
IF(AND(V1639="면제",OFFSET(Y1639,0,COUNTA(Y1639:AV1639)-1)="면제"),"면제",
IF(AND(V1639="면제",OFFSET(Y1639,0,COUNTA(Y1639:AV1639)-1)=0),"면제",
"확인요청"))))))</f>
        <v>면제</v>
      </c>
      <c r="Y1639" s="94" t="s">
        <v>7</v>
      </c>
      <c r="Z1639" s="95" t="s">
        <v>7</v>
      </c>
      <c r="AA1639" s="95" t="s">
        <v>7</v>
      </c>
      <c r="AB1639" s="95" t="s">
        <v>7</v>
      </c>
      <c r="AC1639" s="95" t="s">
        <v>7</v>
      </c>
      <c r="AD1639" s="95" t="s">
        <v>7</v>
      </c>
      <c r="AE1639" s="95" t="s">
        <v>7</v>
      </c>
      <c r="AF1639" s="95" t="s">
        <v>7</v>
      </c>
      <c r="AG1639" s="95" t="s">
        <v>7</v>
      </c>
      <c r="AH1639" s="95" t="s">
        <v>7</v>
      </c>
      <c r="AI1639" s="95" t="s">
        <v>7</v>
      </c>
      <c r="AJ1639" s="96" t="s">
        <v>7</v>
      </c>
      <c r="AK1639" s="97" t="s">
        <v>7</v>
      </c>
      <c r="AL1639" s="95" t="s">
        <v>7</v>
      </c>
      <c r="AM1639" s="90"/>
      <c r="AN1639" s="90"/>
      <c r="AO1639" s="90"/>
      <c r="AP1639" s="90"/>
      <c r="AQ1639" s="90"/>
      <c r="AR1639" s="90"/>
      <c r="AS1639" s="90"/>
      <c r="AT1639" s="90"/>
      <c r="AU1639" s="90"/>
      <c r="AV1639" s="91"/>
      <c r="AX1639" s="92"/>
    </row>
    <row r="1640" customFormat="false" ht="15.65" hidden="false" customHeight="false" outlineLevel="0" collapsed="false">
      <c r="C1640" s="72" t="n">
        <f aca="false">COUNTIFS($D$6:D1640,"&lt;&gt;"&amp;"")</f>
        <v>1635</v>
      </c>
      <c r="D1640" s="73" t="s">
        <v>12</v>
      </c>
      <c r="E1640" s="76" t="str">
        <f aca="false">
IF($D1640="정상",INDEX(임대자산!$D$3:$R$3000,MATCH($F1640,임대자산!$I$3:$I$3000,0),MATCH(E$3,임대자산!$D$3:$R$3,0)),
IF($D1640="폐업",INDEX(폐업정보!$D$3:$R$3000,MATCH($F1640,폐업정보!$I$3:$I$3000,0),MATCH(E$3,폐업정보!$D$3:$R$3,0)),
"Error"))</f>
        <v>서울</v>
      </c>
      <c r="F164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B1635</v>
      </c>
      <c r="G1640" s="76" t="str">
        <f aca="false">F1640&amp;RANDBETWEEN(0,10)</f>
        <v>B163510</v>
      </c>
      <c r="H1640" s="75" t="n">
        <f aca="false">
IF($D1640="정상",INDEX(임대자산!$D$3:$R$3000,MATCH($F1640,임대자산!$I$3:$I$3000,0),MATCH(H$4,임대자산!$D$3:$R$3,0)),
IF($D1640="폐업",INDEX(폐업정보!$D$3:$R$3000,MATCH($F1640,폐업정보!$I$3:$I$3000,0),MATCH(H$4,폐업정보!$D$3:$R$3,0)),
"Error"))</f>
        <v>45728</v>
      </c>
      <c r="I1640" s="75" t="str">
        <f aca="false">
IF($D1640="정상",INDEX(임대자산!$D$3:$R$3000,MATCH($F1640,임대자산!$I$3:$I$3000,0),MATCH(I$4,임대자산!$D$3:$R$3,0)),
IF($D1640="폐업",INDEX(폐업정보!$D$3:$R$3000,MATCH($F1640,폐업정보!$I$3:$I$3000,0),MATCH(I$4,폐업정보!$D$3:$R$3,0)),
"Error"))</f>
        <v>A1635</v>
      </c>
      <c r="J1640" s="75" t="str">
        <f aca="false">
IF($D1640="정상",INDEX(임대자산!$D$3:$R$3000,MATCH($F1640,임대자산!$I$3:$I$3000,0),MATCH(J$4,임대자산!$D$3:$R$3,0)),
IF($D1640="폐업",INDEX(폐업정보!$D$3:$R$3000,MATCH($F1640,폐업정보!$I$3:$I$3000,0),MATCH(J$4,폐업정보!$D$3:$R$3,0)),
"Error"))</f>
        <v>5503900000</v>
      </c>
      <c r="K1640" s="75" t="str">
        <f aca="false">
IF($D1640="정상",INDEX(임대자산!$D$3:$R$3000,MATCH($F1640,임대자산!$I$3:$I$3000,0),MATCH(K$4,임대자산!$D$3:$R$3,0)),
IF($D1640="폐업",INDEX(폐업정보!$D$3:$R$3000,MATCH($F1640,폐업정보!$I$3:$I$3000,0),MATCH(K$4,폐업정보!$D$3:$R$3,0)),
"Error"))</f>
        <v>C1635</v>
      </c>
      <c r="L1640" s="75" t="str">
        <f aca="false">
IF($D1640="정상",INDEX(임대자산!$D$3:$R$3000,MATCH($F1640,임대자산!$I$3:$I$3000,0),MATCH(L$4,임대자산!$D$3:$R$3,0)),
IF($D1640="폐업",INDEX(폐업정보!$D$3:$R$3000,MATCH($F1640,폐업정보!$I$3:$I$3000,0),MATCH(L$4,폐업정보!$D$3:$R$3,0)),
"Error"))</f>
        <v>D1635</v>
      </c>
      <c r="M1640" s="76" t="s">
        <v>96</v>
      </c>
      <c r="N1640" s="77"/>
      <c r="O1640" s="78" t="s">
        <v>97</v>
      </c>
      <c r="P1640" s="79" t="n">
        <f aca="false">COUNTIFS(임대자산!$I:$I,가맹점정보!F1640,임대자산!$N:$N,가맹점정보!P$4)</f>
        <v>0</v>
      </c>
      <c r="Q1640" s="80" t="n">
        <f aca="false">COUNTIFS(임대자산!$I:$I,가맹점정보!F1640,임대자산!$N:$N,가맹점정보!Q$4)</f>
        <v>0</v>
      </c>
      <c r="R1640" s="81" t="n">
        <f aca="false">COUNTIFS(임대자산!$I:$I,가맹점정보!F1640,임대자산!$N:$N,가맹점정보!R$4)</f>
        <v>1</v>
      </c>
      <c r="S1640" s="82" t="n">
        <v>55000</v>
      </c>
      <c r="T1640" s="83" t="n">
        <v>0</v>
      </c>
      <c r="U1640" s="80" t="n">
        <f aca="false">SUM(S1640:T1640)</f>
        <v>55000</v>
      </c>
      <c r="V1640" s="84" t="s">
        <v>12</v>
      </c>
      <c r="W1640" s="80" t="e">
        <f aca="true">
IF(D1640="폐업","폐업",
IF(V1640="면제","면제",
IF(AND(V1640="정상",COUNTIFS(OFFSET(Y1640,0,COUNTA(Y1640:AV1640)-1,1,-4),"미납")&gt;=3),"장기미납",
IF(AND(V1640="정상",OFFSET(Y1640,0,COUNTA(Y1640:AV1640)-1)&gt;=U1640),"정상",
IF(AND(V1640="정상",OFFSET(Y1640,0,COUNTA(Y1640:AV1640)-1)=0),"정상",
"계약서 미작성")))))</f>
        <v>#VALUE!</v>
      </c>
      <c r="X1640" s="81" t="str">
        <f aca="true">
IF(D1640="폐업","폐업",
IF(AND(V1640="정상",OFFSET(Y1640,0,COUNTA(Y1640:AV1640)-1)="미납"),"미납",
IF(AND(V1640="정상",OFFSET(Y1640,0,COUNTA(Y1640:AV1640)-1)=0),"납부 시작 전",
IF(AND(V1640="정상",OFFSET(Y1640,0,COUNTA(Y1640:AV1640)-1)&gt;=U1640),"정상",
IF(AND(V1640="면제",OFFSET(Y1640,0,COUNTA(Y1640:AV1640)-1)="면제"),"면제",
IF(AND(V1640="면제",OFFSET(Y1640,0,COUNTA(Y1640:AV1640)-1)=0),"면제",
"확인요청"))))))</f>
        <v>정상</v>
      </c>
      <c r="Y1640" s="93" t="n">
        <v>55000</v>
      </c>
      <c r="Z1640" s="90" t="n">
        <v>55000</v>
      </c>
      <c r="AA1640" s="90" t="n">
        <v>55000</v>
      </c>
      <c r="AB1640" s="90" t="n">
        <v>55000</v>
      </c>
      <c r="AC1640" s="90" t="n">
        <v>55000</v>
      </c>
      <c r="AD1640" s="90" t="n">
        <v>55000</v>
      </c>
      <c r="AE1640" s="90" t="n">
        <v>55000</v>
      </c>
      <c r="AF1640" s="90" t="n">
        <v>55000</v>
      </c>
      <c r="AG1640" s="90" t="n">
        <v>55000</v>
      </c>
      <c r="AH1640" s="90" t="n">
        <v>55000</v>
      </c>
      <c r="AI1640" s="90" t="n">
        <v>55000</v>
      </c>
      <c r="AJ1640" s="91" t="n">
        <v>55000</v>
      </c>
      <c r="AK1640" s="89" t="n">
        <v>55000</v>
      </c>
      <c r="AL1640" s="90" t="n">
        <v>55000</v>
      </c>
      <c r="AM1640" s="90"/>
      <c r="AN1640" s="90"/>
      <c r="AO1640" s="90"/>
      <c r="AP1640" s="90"/>
      <c r="AQ1640" s="90"/>
      <c r="AR1640" s="90"/>
      <c r="AS1640" s="90"/>
      <c r="AT1640" s="90"/>
      <c r="AU1640" s="90"/>
      <c r="AV1640" s="91"/>
      <c r="AX1640" s="92"/>
    </row>
    <row r="1641" customFormat="false" ht="15.65" hidden="false" customHeight="false" outlineLevel="0" collapsed="false">
      <c r="C1641" s="72" t="n">
        <f aca="false">COUNTIFS($D$6:D1641,"&lt;&gt;"&amp;"")</f>
        <v>1636</v>
      </c>
      <c r="D1641" s="73" t="s">
        <v>12</v>
      </c>
      <c r="E1641" s="76" t="str">
        <f aca="false">
IF($D1641="정상",INDEX(임대자산!$D$3:$R$3000,MATCH($F1641,임대자산!$I$3:$I$3000,0),MATCH(E$3,임대자산!$D$3:$R$3,0)),
IF($D1641="폐업",INDEX(폐업정보!$D$3:$R$3000,MATCH($F1641,폐업정보!$I$3:$I$3000,0),MATCH(E$3,폐업정보!$D$3:$R$3,0)),
"Error"))</f>
        <v>서울</v>
      </c>
      <c r="F164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B1636</v>
      </c>
      <c r="G1641" s="76" t="str">
        <f aca="false">F1641&amp;RANDBETWEEN(0,10)</f>
        <v>B16364</v>
      </c>
      <c r="H1641" s="75" t="n">
        <f aca="false">
IF($D1641="정상",INDEX(임대자산!$D$3:$R$3000,MATCH($F1641,임대자산!$I$3:$I$3000,0),MATCH(H$4,임대자산!$D$3:$R$3,0)),
IF($D1641="폐업",INDEX(폐업정보!$D$3:$R$3000,MATCH($F1641,폐업정보!$I$3:$I$3000,0),MATCH(H$4,폐업정보!$D$3:$R$3,0)),
"Error"))</f>
        <v>45728</v>
      </c>
      <c r="I1641" s="75" t="str">
        <f aca="false">
IF($D1641="정상",INDEX(임대자산!$D$3:$R$3000,MATCH($F1641,임대자산!$I$3:$I$3000,0),MATCH(I$4,임대자산!$D$3:$R$3,0)),
IF($D1641="폐업",INDEX(폐업정보!$D$3:$R$3000,MATCH($F1641,폐업정보!$I$3:$I$3000,0),MATCH(I$4,폐업정보!$D$3:$R$3,0)),
"Error"))</f>
        <v>A1636</v>
      </c>
      <c r="J1641" s="75" t="str">
        <f aca="false">
IF($D1641="정상",INDEX(임대자산!$D$3:$R$3000,MATCH($F1641,임대자산!$I$3:$I$3000,0),MATCH(J$4,임대자산!$D$3:$R$3,0)),
IF($D1641="폐업",INDEX(폐업정보!$D$3:$R$3000,MATCH($F1641,폐업정보!$I$3:$I$3000,0),MATCH(J$4,폐업정보!$D$3:$R$3,0)),
"Error"))</f>
        <v>5534100000</v>
      </c>
      <c r="K1641" s="75" t="str">
        <f aca="false">
IF($D1641="정상",INDEX(임대자산!$D$3:$R$3000,MATCH($F1641,임대자산!$I$3:$I$3000,0),MATCH(K$4,임대자산!$D$3:$R$3,0)),
IF($D1641="폐업",INDEX(폐업정보!$D$3:$R$3000,MATCH($F1641,폐업정보!$I$3:$I$3000,0),MATCH(K$4,폐업정보!$D$3:$R$3,0)),
"Error"))</f>
        <v>C1636</v>
      </c>
      <c r="L1641" s="75" t="str">
        <f aca="false">
IF($D1641="정상",INDEX(임대자산!$D$3:$R$3000,MATCH($F1641,임대자산!$I$3:$I$3000,0),MATCH(L$4,임대자산!$D$3:$R$3,0)),
IF($D1641="폐업",INDEX(폐업정보!$D$3:$R$3000,MATCH($F1641,폐업정보!$I$3:$I$3000,0),MATCH(L$4,폐업정보!$D$3:$R$3,0)),
"Error"))</f>
        <v>D1636</v>
      </c>
      <c r="M1641" s="76" t="s">
        <v>96</v>
      </c>
      <c r="N1641" s="77"/>
      <c r="O1641" s="78" t="s">
        <v>97</v>
      </c>
      <c r="P1641" s="79" t="n">
        <f aca="false">COUNTIFS(임대자산!$I:$I,가맹점정보!F1641,임대자산!$N:$N,가맹점정보!P$4)</f>
        <v>0</v>
      </c>
      <c r="Q1641" s="80" t="n">
        <f aca="false">COUNTIFS(임대자산!$I:$I,가맹점정보!F1641,임대자산!$N:$N,가맹점정보!Q$4)</f>
        <v>0</v>
      </c>
      <c r="R1641" s="81" t="n">
        <f aca="false">COUNTIFS(임대자산!$I:$I,가맹점정보!F1641,임대자산!$N:$N,가맹점정보!R$4)</f>
        <v>1</v>
      </c>
      <c r="S1641" s="82" t="n">
        <v>55000</v>
      </c>
      <c r="T1641" s="83" t="n">
        <v>0</v>
      </c>
      <c r="U1641" s="80" t="n">
        <f aca="false">SUM(S1641:T1641)</f>
        <v>55000</v>
      </c>
      <c r="V1641" s="84" t="s">
        <v>7</v>
      </c>
      <c r="W1641" s="80" t="str">
        <f aca="true">
IF(D1641="폐업","폐업",
IF(V1641="면제","면제",
IF(AND(V1641="정상",COUNTIFS(OFFSET(Y1641,0,COUNTA(Y1641:AV1641)-1,1,-4),"미납")&gt;=3),"장기미납",
IF(AND(V1641="정상",OFFSET(Y1641,0,COUNTA(Y1641:AV1641)-1)&gt;=U1641),"정상",
IF(AND(V1641="정상",OFFSET(Y1641,0,COUNTA(Y1641:AV1641)-1)=0),"정상",
"계약서 미작성")))))</f>
        <v>면제</v>
      </c>
      <c r="X1641" s="81" t="str">
        <f aca="true">
IF(D1641="폐업","폐업",
IF(AND(V1641="정상",OFFSET(Y1641,0,COUNTA(Y1641:AV1641)-1)="미납"),"미납",
IF(AND(V1641="정상",OFFSET(Y1641,0,COUNTA(Y1641:AV1641)-1)=0),"납부 시작 전",
IF(AND(V1641="정상",OFFSET(Y1641,0,COUNTA(Y1641:AV1641)-1)&gt;=U1641),"정상",
IF(AND(V1641="면제",OFFSET(Y1641,0,COUNTA(Y1641:AV1641)-1)="면제"),"면제",
IF(AND(V1641="면제",OFFSET(Y1641,0,COUNTA(Y1641:AV1641)-1)=0),"면제",
"확인요청"))))))</f>
        <v>면제</v>
      </c>
      <c r="Y1641" s="94" t="s">
        <v>7</v>
      </c>
      <c r="Z1641" s="95" t="s">
        <v>7</v>
      </c>
      <c r="AA1641" s="95" t="s">
        <v>7</v>
      </c>
      <c r="AB1641" s="95" t="s">
        <v>7</v>
      </c>
      <c r="AC1641" s="95" t="s">
        <v>7</v>
      </c>
      <c r="AD1641" s="95" t="s">
        <v>7</v>
      </c>
      <c r="AE1641" s="95" t="s">
        <v>7</v>
      </c>
      <c r="AF1641" s="95" t="s">
        <v>7</v>
      </c>
      <c r="AG1641" s="95" t="s">
        <v>7</v>
      </c>
      <c r="AH1641" s="95" t="s">
        <v>7</v>
      </c>
      <c r="AI1641" s="95" t="s">
        <v>7</v>
      </c>
      <c r="AJ1641" s="96" t="s">
        <v>7</v>
      </c>
      <c r="AK1641" s="97" t="s">
        <v>7</v>
      </c>
      <c r="AL1641" s="95" t="s">
        <v>7</v>
      </c>
      <c r="AM1641" s="90"/>
      <c r="AN1641" s="90"/>
      <c r="AO1641" s="90"/>
      <c r="AP1641" s="90"/>
      <c r="AQ1641" s="90"/>
      <c r="AR1641" s="90"/>
      <c r="AS1641" s="90"/>
      <c r="AT1641" s="90"/>
      <c r="AU1641" s="90"/>
      <c r="AV1641" s="91"/>
      <c r="AX1641" s="92"/>
    </row>
    <row r="1642" customFormat="false" ht="15.65" hidden="false" customHeight="false" outlineLevel="0" collapsed="false">
      <c r="C1642" s="72" t="n">
        <f aca="false">COUNTIFS($D$6:D1642,"&lt;&gt;"&amp;"")</f>
        <v>1637</v>
      </c>
      <c r="D1642" s="73" t="s">
        <v>12</v>
      </c>
      <c r="E1642" s="76" t="str">
        <f aca="false">
IF($D1642="정상",INDEX(임대자산!$D$3:$R$3000,MATCH($F1642,임대자산!$I$3:$I$3000,0),MATCH(E$3,임대자산!$D$3:$R$3,0)),
IF($D1642="폐업",INDEX(폐업정보!$D$3:$R$3000,MATCH($F1642,폐업정보!$I$3:$I$3000,0),MATCH(E$3,폐업정보!$D$3:$R$3,0)),
"Error"))</f>
        <v>강원</v>
      </c>
      <c r="F164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B1637</v>
      </c>
      <c r="G1642" s="76" t="str">
        <f aca="false">F1642&amp;RANDBETWEEN(0,10)</f>
        <v>B16379</v>
      </c>
      <c r="H1642" s="75" t="n">
        <f aca="false">
IF($D1642="정상",INDEX(임대자산!$D$3:$R$3000,MATCH($F1642,임대자산!$I$3:$I$3000,0),MATCH(H$4,임대자산!$D$3:$R$3,0)),
IF($D1642="폐업",INDEX(폐업정보!$D$3:$R$3000,MATCH($F1642,폐업정보!$I$3:$I$3000,0),MATCH(H$4,폐업정보!$D$3:$R$3,0)),
"Error"))</f>
        <v>45734</v>
      </c>
      <c r="I1642" s="75" t="str">
        <f aca="false">
IF($D1642="정상",INDEX(임대자산!$D$3:$R$3000,MATCH($F1642,임대자산!$I$3:$I$3000,0),MATCH(I$4,임대자산!$D$3:$R$3,0)),
IF($D1642="폐업",INDEX(폐업정보!$D$3:$R$3000,MATCH($F1642,폐업정보!$I$3:$I$3000,0),MATCH(I$4,폐업정보!$D$3:$R$3,0)),
"Error"))</f>
        <v>A1637</v>
      </c>
      <c r="J1642" s="75" t="str">
        <f aca="false">
IF($D1642="정상",INDEX(임대자산!$D$3:$R$3000,MATCH($F1642,임대자산!$I$3:$I$3000,0),MATCH(J$4,임대자산!$D$3:$R$3,0)),
IF($D1642="폐업",INDEX(폐업정보!$D$3:$R$3000,MATCH($F1642,폐업정보!$I$3:$I$3000,0),MATCH(J$4,폐업정보!$D$3:$R$3,0)),
"Error"))</f>
        <v>6501500000</v>
      </c>
      <c r="K1642" s="75" t="str">
        <f aca="false">
IF($D1642="정상",INDEX(임대자산!$D$3:$R$3000,MATCH($F1642,임대자산!$I$3:$I$3000,0),MATCH(K$4,임대자산!$D$3:$R$3,0)),
IF($D1642="폐업",INDEX(폐업정보!$D$3:$R$3000,MATCH($F1642,폐업정보!$I$3:$I$3000,0),MATCH(K$4,폐업정보!$D$3:$R$3,0)),
"Error"))</f>
        <v>C1637</v>
      </c>
      <c r="L1642" s="75" t="str">
        <f aca="false">
IF($D1642="정상",INDEX(임대자산!$D$3:$R$3000,MATCH($F1642,임대자산!$I$3:$I$3000,0),MATCH(L$4,임대자산!$D$3:$R$3,0)),
IF($D1642="폐업",INDEX(폐업정보!$D$3:$R$3000,MATCH($F1642,폐업정보!$I$3:$I$3000,0),MATCH(L$4,폐업정보!$D$3:$R$3,0)),
"Error"))</f>
        <v>D1637</v>
      </c>
      <c r="M1642" s="76" t="s">
        <v>96</v>
      </c>
      <c r="N1642" s="77"/>
      <c r="O1642" s="78" t="s">
        <v>97</v>
      </c>
      <c r="P1642" s="79" t="n">
        <f aca="false">COUNTIFS(임대자산!$I:$I,가맹점정보!F1642,임대자산!$N:$N,가맹점정보!P$4)</f>
        <v>0</v>
      </c>
      <c r="Q1642" s="80" t="n">
        <f aca="false">COUNTIFS(임대자산!$I:$I,가맹점정보!F1642,임대자산!$N:$N,가맹점정보!Q$4)</f>
        <v>0</v>
      </c>
      <c r="R1642" s="81" t="n">
        <f aca="false">COUNTIFS(임대자산!$I:$I,가맹점정보!F1642,임대자산!$N:$N,가맹점정보!R$4)</f>
        <v>1</v>
      </c>
      <c r="S1642" s="82" t="n">
        <v>55000</v>
      </c>
      <c r="T1642" s="83" t="n">
        <v>0</v>
      </c>
      <c r="U1642" s="80" t="n">
        <f aca="false">SUM(S1642:T1642)</f>
        <v>55000</v>
      </c>
      <c r="V1642" s="84" t="s">
        <v>12</v>
      </c>
      <c r="W1642" s="80" t="e">
        <f aca="true">
IF(D1642="폐업","폐업",
IF(V1642="면제","면제",
IF(AND(V1642="정상",COUNTIFS(OFFSET(Y1642,0,COUNTA(Y1642:AV1642)-1,1,-4),"미납")&gt;=3),"장기미납",
IF(AND(V1642="정상",OFFSET(Y1642,0,COUNTA(Y1642:AV1642)-1)&gt;=U1642),"정상",
IF(AND(V1642="정상",OFFSET(Y1642,0,COUNTA(Y1642:AV1642)-1)=0),"정상",
"계약서 미작성")))))</f>
        <v>#VALUE!</v>
      </c>
      <c r="X1642" s="81" t="str">
        <f aca="true">
IF(D1642="폐업","폐업",
IF(AND(V1642="정상",OFFSET(Y1642,0,COUNTA(Y1642:AV1642)-1)="미납"),"미납",
IF(AND(V1642="정상",OFFSET(Y1642,0,COUNTA(Y1642:AV1642)-1)=0),"납부 시작 전",
IF(AND(V1642="정상",OFFSET(Y1642,0,COUNTA(Y1642:AV1642)-1)&gt;=U1642),"정상",
IF(AND(V1642="면제",OFFSET(Y1642,0,COUNTA(Y1642:AV1642)-1)="면제"),"면제",
IF(AND(V1642="면제",OFFSET(Y1642,0,COUNTA(Y1642:AV1642)-1)=0),"면제",
"확인요청"))))))</f>
        <v>정상</v>
      </c>
      <c r="Y1642" s="93" t="n">
        <v>55000</v>
      </c>
      <c r="Z1642" s="90" t="n">
        <v>55000</v>
      </c>
      <c r="AA1642" s="90" t="n">
        <v>55000</v>
      </c>
      <c r="AB1642" s="90" t="n">
        <v>55000</v>
      </c>
      <c r="AC1642" s="90" t="n">
        <v>55000</v>
      </c>
      <c r="AD1642" s="90" t="n">
        <v>55000</v>
      </c>
      <c r="AE1642" s="95" t="s">
        <v>62</v>
      </c>
      <c r="AF1642" s="95" t="s">
        <v>62</v>
      </c>
      <c r="AG1642" s="90" t="n">
        <v>55000</v>
      </c>
      <c r="AH1642" s="90" t="n">
        <v>55000</v>
      </c>
      <c r="AI1642" s="90" t="n">
        <v>55000</v>
      </c>
      <c r="AJ1642" s="91" t="n">
        <v>55000</v>
      </c>
      <c r="AK1642" s="89" t="n">
        <v>55000</v>
      </c>
      <c r="AL1642" s="90" t="n">
        <v>55000</v>
      </c>
      <c r="AM1642" s="90"/>
      <c r="AN1642" s="90"/>
      <c r="AO1642" s="90"/>
      <c r="AP1642" s="90"/>
      <c r="AQ1642" s="90"/>
      <c r="AR1642" s="90"/>
      <c r="AS1642" s="90"/>
      <c r="AT1642" s="90"/>
      <c r="AU1642" s="90"/>
      <c r="AV1642" s="91"/>
      <c r="AX1642" s="92"/>
    </row>
    <row r="1643" customFormat="false" ht="15.65" hidden="false" customHeight="false" outlineLevel="0" collapsed="false">
      <c r="C1643" s="72" t="n">
        <f aca="false">COUNTIFS($D$6:D1643,"&lt;&gt;"&amp;"")</f>
        <v>1638</v>
      </c>
      <c r="D1643" s="73" t="s">
        <v>12</v>
      </c>
      <c r="E1643" s="76" t="str">
        <f aca="false">
IF($D1643="정상",INDEX(임대자산!$D$3:$R$3000,MATCH($F1643,임대자산!$I$3:$I$3000,0),MATCH(E$3,임대자산!$D$3:$R$3,0)),
IF($D1643="폐업",INDEX(폐업정보!$D$3:$R$3000,MATCH($F1643,폐업정보!$I$3:$I$3000,0),MATCH(E$3,폐업정보!$D$3:$R$3,0)),
"Error"))</f>
        <v>서울</v>
      </c>
      <c r="F164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B1638</v>
      </c>
      <c r="G1643" s="76" t="str">
        <f aca="false">F1643&amp;RANDBETWEEN(0,10)</f>
        <v>B16387</v>
      </c>
      <c r="H1643" s="75" t="n">
        <f aca="false">
IF($D1643="정상",INDEX(임대자산!$D$3:$R$3000,MATCH($F1643,임대자산!$I$3:$I$3000,0),MATCH(H$4,임대자산!$D$3:$R$3,0)),
IF($D1643="폐업",INDEX(폐업정보!$D$3:$R$3000,MATCH($F1643,폐업정보!$I$3:$I$3000,0),MATCH(H$4,폐업정보!$D$3:$R$3,0)),
"Error"))</f>
        <v>45742</v>
      </c>
      <c r="I1643" s="75" t="str">
        <f aca="false">
IF($D1643="정상",INDEX(임대자산!$D$3:$R$3000,MATCH($F1643,임대자산!$I$3:$I$3000,0),MATCH(I$4,임대자산!$D$3:$R$3,0)),
IF($D1643="폐업",INDEX(폐업정보!$D$3:$R$3000,MATCH($F1643,폐업정보!$I$3:$I$3000,0),MATCH(I$4,폐업정보!$D$3:$R$3,0)),
"Error"))</f>
        <v>A1638</v>
      </c>
      <c r="J1643" s="75" t="str">
        <f aca="false">
IF($D1643="정상",INDEX(임대자산!$D$3:$R$3000,MATCH($F1643,임대자산!$I$3:$I$3000,0),MATCH(J$4,임대자산!$D$3:$R$3,0)),
IF($D1643="폐업",INDEX(폐업정보!$D$3:$R$3000,MATCH($F1643,폐업정보!$I$3:$I$3000,0),MATCH(J$4,폐업정보!$D$3:$R$3,0)),
"Error"))</f>
        <v>7981900000</v>
      </c>
      <c r="K1643" s="75" t="str">
        <f aca="false">
IF($D1643="정상",INDEX(임대자산!$D$3:$R$3000,MATCH($F1643,임대자산!$I$3:$I$3000,0),MATCH(K$4,임대자산!$D$3:$R$3,0)),
IF($D1643="폐업",INDEX(폐업정보!$D$3:$R$3000,MATCH($F1643,폐업정보!$I$3:$I$3000,0),MATCH(K$4,폐업정보!$D$3:$R$3,0)),
"Error"))</f>
        <v>C1638</v>
      </c>
      <c r="L1643" s="75" t="str">
        <f aca="false">
IF($D1643="정상",INDEX(임대자산!$D$3:$R$3000,MATCH($F1643,임대자산!$I$3:$I$3000,0),MATCH(L$4,임대자산!$D$3:$R$3,0)),
IF($D1643="폐업",INDEX(폐업정보!$D$3:$R$3000,MATCH($F1643,폐업정보!$I$3:$I$3000,0),MATCH(L$4,폐업정보!$D$3:$R$3,0)),
"Error"))</f>
        <v>D1638</v>
      </c>
      <c r="M1643" s="76" t="s">
        <v>96</v>
      </c>
      <c r="N1643" s="77"/>
      <c r="O1643" s="78" t="s">
        <v>97</v>
      </c>
      <c r="P1643" s="79" t="n">
        <f aca="false">COUNTIFS(임대자산!$I:$I,가맹점정보!F1643,임대자산!$N:$N,가맹점정보!P$4)</f>
        <v>0</v>
      </c>
      <c r="Q1643" s="80" t="n">
        <f aca="false">COUNTIFS(임대자산!$I:$I,가맹점정보!F1643,임대자산!$N:$N,가맹점정보!Q$4)</f>
        <v>0</v>
      </c>
      <c r="R1643" s="81" t="n">
        <f aca="false">COUNTIFS(임대자산!$I:$I,가맹점정보!F1643,임대자산!$N:$N,가맹점정보!R$4)</f>
        <v>1</v>
      </c>
      <c r="S1643" s="82" t="n">
        <v>55000</v>
      </c>
      <c r="T1643" s="83" t="n">
        <v>0</v>
      </c>
      <c r="U1643" s="80" t="n">
        <f aca="false">SUM(S1643:T1643)</f>
        <v>55000</v>
      </c>
      <c r="V1643" s="84" t="s">
        <v>7</v>
      </c>
      <c r="W1643" s="80" t="str">
        <f aca="true">
IF(D1643="폐업","폐업",
IF(V1643="면제","면제",
IF(AND(V1643="정상",COUNTIFS(OFFSET(Y1643,0,COUNTA(Y1643:AV1643)-1,1,-4),"미납")&gt;=3),"장기미납",
IF(AND(V1643="정상",OFFSET(Y1643,0,COUNTA(Y1643:AV1643)-1)&gt;=U1643),"정상",
IF(AND(V1643="정상",OFFSET(Y1643,0,COUNTA(Y1643:AV1643)-1)=0),"정상",
"계약서 미작성")))))</f>
        <v>면제</v>
      </c>
      <c r="X1643" s="81" t="str">
        <f aca="true">
IF(D1643="폐업","폐업",
IF(AND(V1643="정상",OFFSET(Y1643,0,COUNTA(Y1643:AV1643)-1)="미납"),"미납",
IF(AND(V1643="정상",OFFSET(Y1643,0,COUNTA(Y1643:AV1643)-1)=0),"납부 시작 전",
IF(AND(V1643="정상",OFFSET(Y1643,0,COUNTA(Y1643:AV1643)-1)&gt;=U1643),"정상",
IF(AND(V1643="면제",OFFSET(Y1643,0,COUNTA(Y1643:AV1643)-1)="면제"),"면제",
IF(AND(V1643="면제",OFFSET(Y1643,0,COUNTA(Y1643:AV1643)-1)=0),"면제",
"확인요청"))))))</f>
        <v>면제</v>
      </c>
      <c r="Y1643" s="94" t="s">
        <v>7</v>
      </c>
      <c r="Z1643" s="95" t="s">
        <v>7</v>
      </c>
      <c r="AA1643" s="95" t="s">
        <v>7</v>
      </c>
      <c r="AB1643" s="95" t="s">
        <v>7</v>
      </c>
      <c r="AC1643" s="95" t="s">
        <v>7</v>
      </c>
      <c r="AD1643" s="95" t="s">
        <v>7</v>
      </c>
      <c r="AE1643" s="95" t="s">
        <v>7</v>
      </c>
      <c r="AF1643" s="95" t="s">
        <v>7</v>
      </c>
      <c r="AG1643" s="95" t="s">
        <v>7</v>
      </c>
      <c r="AH1643" s="95" t="s">
        <v>7</v>
      </c>
      <c r="AI1643" s="95" t="s">
        <v>7</v>
      </c>
      <c r="AJ1643" s="96" t="s">
        <v>7</v>
      </c>
      <c r="AK1643" s="97" t="s">
        <v>7</v>
      </c>
      <c r="AL1643" s="95" t="s">
        <v>7</v>
      </c>
      <c r="AM1643" s="90"/>
      <c r="AN1643" s="90"/>
      <c r="AO1643" s="90"/>
      <c r="AP1643" s="90"/>
      <c r="AQ1643" s="90"/>
      <c r="AR1643" s="90"/>
      <c r="AS1643" s="90"/>
      <c r="AT1643" s="90"/>
      <c r="AU1643" s="90"/>
      <c r="AV1643" s="91"/>
      <c r="AX1643" s="92"/>
    </row>
    <row r="1644" customFormat="false" ht="15.65" hidden="false" customHeight="false" outlineLevel="0" collapsed="false">
      <c r="C1644" s="72" t="n">
        <f aca="false">COUNTIFS($D$6:D1644,"&lt;&gt;"&amp;"")</f>
        <v>1639</v>
      </c>
      <c r="D1644" s="73" t="s">
        <v>12</v>
      </c>
      <c r="E1644" s="76" t="str">
        <f aca="false">
IF($D1644="정상",INDEX(임대자산!$D$3:$R$3000,MATCH($F1644,임대자산!$I$3:$I$3000,0),MATCH(E$3,임대자산!$D$3:$R$3,0)),
IF($D1644="폐업",INDEX(폐업정보!$D$3:$R$3000,MATCH($F1644,폐업정보!$I$3:$I$3000,0),MATCH(E$3,폐업정보!$D$3:$R$3,0)),
"Error"))</f>
        <v>전라</v>
      </c>
      <c r="F164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B1639</v>
      </c>
      <c r="G1644" s="76" t="str">
        <f aca="false">F1644&amp;RANDBETWEEN(0,10)</f>
        <v>B16398</v>
      </c>
      <c r="H1644" s="75" t="n">
        <f aca="false">
IF($D1644="정상",INDEX(임대자산!$D$3:$R$3000,MATCH($F1644,임대자산!$I$3:$I$3000,0),MATCH(H$4,임대자산!$D$3:$R$3,0)),
IF($D1644="폐업",INDEX(폐업정보!$D$3:$R$3000,MATCH($F1644,폐업정보!$I$3:$I$3000,0),MATCH(H$4,폐업정보!$D$3:$R$3,0)),
"Error"))</f>
        <v>45755</v>
      </c>
      <c r="I1644" s="75" t="str">
        <f aca="false">
IF($D1644="정상",INDEX(임대자산!$D$3:$R$3000,MATCH($F1644,임대자산!$I$3:$I$3000,0),MATCH(I$4,임대자산!$D$3:$R$3,0)),
IF($D1644="폐업",INDEX(폐업정보!$D$3:$R$3000,MATCH($F1644,폐업정보!$I$3:$I$3000,0),MATCH(I$4,폐업정보!$D$3:$R$3,0)),
"Error"))</f>
        <v>A1639</v>
      </c>
      <c r="J1644" s="75" t="str">
        <f aca="false">
IF($D1644="정상",INDEX(임대자산!$D$3:$R$3000,MATCH($F1644,임대자산!$I$3:$I$3000,0),MATCH(J$4,임대자산!$D$3:$R$3,0)),
IF($D1644="폐업",INDEX(폐업정보!$D$3:$R$3000,MATCH($F1644,폐업정보!$I$3:$I$3000,0),MATCH(J$4,폐업정보!$D$3:$R$3,0)),
"Error"))</f>
        <v>9857200000</v>
      </c>
      <c r="K1644" s="75" t="str">
        <f aca="false">
IF($D1644="정상",INDEX(임대자산!$D$3:$R$3000,MATCH($F1644,임대자산!$I$3:$I$3000,0),MATCH(K$4,임대자산!$D$3:$R$3,0)),
IF($D1644="폐업",INDEX(폐업정보!$D$3:$R$3000,MATCH($F1644,폐업정보!$I$3:$I$3000,0),MATCH(K$4,폐업정보!$D$3:$R$3,0)),
"Error"))</f>
        <v>C1639</v>
      </c>
      <c r="L1644" s="75" t="str">
        <f aca="false">
IF($D1644="정상",INDEX(임대자산!$D$3:$R$3000,MATCH($F1644,임대자산!$I$3:$I$3000,0),MATCH(L$4,임대자산!$D$3:$R$3,0)),
IF($D1644="폐업",INDEX(폐업정보!$D$3:$R$3000,MATCH($F1644,폐업정보!$I$3:$I$3000,0),MATCH(L$4,폐업정보!$D$3:$R$3,0)),
"Error"))</f>
        <v>D1639</v>
      </c>
      <c r="M1644" s="76" t="s">
        <v>96</v>
      </c>
      <c r="N1644" s="77"/>
      <c r="O1644" s="78" t="s">
        <v>97</v>
      </c>
      <c r="P1644" s="79" t="n">
        <f aca="false">COUNTIFS(임대자산!$I:$I,가맹점정보!F1644,임대자산!$N:$N,가맹점정보!P$4)</f>
        <v>0</v>
      </c>
      <c r="Q1644" s="80" t="n">
        <f aca="false">COUNTIFS(임대자산!$I:$I,가맹점정보!F1644,임대자산!$N:$N,가맹점정보!Q$4)</f>
        <v>0</v>
      </c>
      <c r="R1644" s="81" t="n">
        <f aca="false">COUNTIFS(임대자산!$I:$I,가맹점정보!F1644,임대자산!$N:$N,가맹점정보!R$4)</f>
        <v>1</v>
      </c>
      <c r="S1644" s="82" t="n">
        <v>55000</v>
      </c>
      <c r="T1644" s="83" t="n">
        <v>0</v>
      </c>
      <c r="U1644" s="80" t="n">
        <f aca="false">SUM(S1644:T1644)</f>
        <v>55000</v>
      </c>
      <c r="V1644" s="84" t="s">
        <v>12</v>
      </c>
      <c r="W1644" s="80" t="e">
        <f aca="true">
IF(D1644="폐업","폐업",
IF(V1644="면제","면제",
IF(AND(V1644="정상",COUNTIFS(OFFSET(Y1644,0,COUNTA(Y1644:AV1644)-1,1,-4),"미납")&gt;=3),"장기미납",
IF(AND(V1644="정상",OFFSET(Y1644,0,COUNTA(Y1644:AV1644)-1)&gt;=U1644),"정상",
IF(AND(V1644="정상",OFFSET(Y1644,0,COUNTA(Y1644:AV1644)-1)=0),"정상",
"계약서 미작성")))))</f>
        <v>#VALUE!</v>
      </c>
      <c r="X1644" s="81" t="str">
        <f aca="true">
IF(D1644="폐업","폐업",
IF(AND(V1644="정상",OFFSET(Y1644,0,COUNTA(Y1644:AV1644)-1)="미납"),"미납",
IF(AND(V1644="정상",OFFSET(Y1644,0,COUNTA(Y1644:AV1644)-1)=0),"납부 시작 전",
IF(AND(V1644="정상",OFFSET(Y1644,0,COUNTA(Y1644:AV1644)-1)&gt;=U1644),"정상",
IF(AND(V1644="면제",OFFSET(Y1644,0,COUNTA(Y1644:AV1644)-1)="면제"),"면제",
IF(AND(V1644="면제",OFFSET(Y1644,0,COUNTA(Y1644:AV1644)-1)=0),"면제",
"확인요청"))))))</f>
        <v>정상</v>
      </c>
      <c r="Y1644" s="93" t="n">
        <v>55000</v>
      </c>
      <c r="Z1644" s="90" t="n">
        <v>55000</v>
      </c>
      <c r="AA1644" s="90" t="n">
        <v>55000</v>
      </c>
      <c r="AB1644" s="90" t="n">
        <v>55000</v>
      </c>
      <c r="AC1644" s="90" t="n">
        <v>55000</v>
      </c>
      <c r="AD1644" s="90" t="n">
        <v>55000</v>
      </c>
      <c r="AE1644" s="90" t="n">
        <v>55000</v>
      </c>
      <c r="AF1644" s="90" t="n">
        <v>55000</v>
      </c>
      <c r="AG1644" s="90" t="n">
        <v>55000</v>
      </c>
      <c r="AH1644" s="90" t="n">
        <v>55000</v>
      </c>
      <c r="AI1644" s="90" t="n">
        <v>55000</v>
      </c>
      <c r="AJ1644" s="91" t="n">
        <v>55000</v>
      </c>
      <c r="AK1644" s="89" t="n">
        <v>55000</v>
      </c>
      <c r="AL1644" s="90" t="n">
        <v>55000</v>
      </c>
      <c r="AM1644" s="90"/>
      <c r="AN1644" s="90"/>
      <c r="AO1644" s="90"/>
      <c r="AP1644" s="90"/>
      <c r="AQ1644" s="90"/>
      <c r="AR1644" s="90"/>
      <c r="AS1644" s="90"/>
      <c r="AT1644" s="90"/>
      <c r="AU1644" s="90"/>
      <c r="AV1644" s="91"/>
      <c r="AX1644" s="92"/>
    </row>
    <row r="1645" customFormat="false" ht="15.65" hidden="false" customHeight="false" outlineLevel="0" collapsed="false">
      <c r="C1645" s="72" t="n">
        <f aca="false">COUNTIFS($D$6:D1645,"&lt;&gt;"&amp;"")</f>
        <v>1640</v>
      </c>
      <c r="D1645" s="73" t="s">
        <v>12</v>
      </c>
      <c r="E1645" s="76" t="str">
        <f aca="false">
IF($D1645="정상",INDEX(임대자산!$D$3:$R$3000,MATCH($F1645,임대자산!$I$3:$I$3000,0),MATCH(E$3,임대자산!$D$3:$R$3,0)),
IF($D1645="폐업",INDEX(폐업정보!$D$3:$R$3000,MATCH($F1645,폐업정보!$I$3:$I$3000,0),MATCH(E$3,폐업정보!$D$3:$R$3,0)),
"Error"))</f>
        <v>전라</v>
      </c>
      <c r="F164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B1640</v>
      </c>
      <c r="G1645" s="76" t="str">
        <f aca="false">F1645&amp;RANDBETWEEN(0,10)</f>
        <v>B16404</v>
      </c>
      <c r="H1645" s="75" t="n">
        <f aca="false">
IF($D1645="정상",INDEX(임대자산!$D$3:$R$3000,MATCH($F1645,임대자산!$I$3:$I$3000,0),MATCH(H$4,임대자산!$D$3:$R$3,0)),
IF($D1645="폐업",INDEX(폐업정보!$D$3:$R$3000,MATCH($F1645,폐업정보!$I$3:$I$3000,0),MATCH(H$4,폐업정보!$D$3:$R$3,0)),
"Error"))</f>
        <v>45755</v>
      </c>
      <c r="I1645" s="75" t="str">
        <f aca="false">
IF($D1645="정상",INDEX(임대자산!$D$3:$R$3000,MATCH($F1645,임대자산!$I$3:$I$3000,0),MATCH(I$4,임대자산!$D$3:$R$3,0)),
IF($D1645="폐업",INDEX(폐업정보!$D$3:$R$3000,MATCH($F1645,폐업정보!$I$3:$I$3000,0),MATCH(I$4,폐업정보!$D$3:$R$3,0)),
"Error"))</f>
        <v>A1640</v>
      </c>
      <c r="J1645" s="75" t="str">
        <f aca="false">
IF($D1645="정상",INDEX(임대자산!$D$3:$R$3000,MATCH($F1645,임대자산!$I$3:$I$3000,0),MATCH(J$4,임대자산!$D$3:$R$3,0)),
IF($D1645="폐업",INDEX(폐업정보!$D$3:$R$3000,MATCH($F1645,폐업정보!$I$3:$I$3000,0),MATCH(J$4,폐업정보!$D$3:$R$3,0)),
"Error"))</f>
        <v>1677100000</v>
      </c>
      <c r="K1645" s="75" t="str">
        <f aca="false">
IF($D1645="정상",INDEX(임대자산!$D$3:$R$3000,MATCH($F1645,임대자산!$I$3:$I$3000,0),MATCH(K$4,임대자산!$D$3:$R$3,0)),
IF($D1645="폐업",INDEX(폐업정보!$D$3:$R$3000,MATCH($F1645,폐업정보!$I$3:$I$3000,0),MATCH(K$4,폐업정보!$D$3:$R$3,0)),
"Error"))</f>
        <v>C1640</v>
      </c>
      <c r="L1645" s="75" t="str">
        <f aca="false">
IF($D1645="정상",INDEX(임대자산!$D$3:$R$3000,MATCH($F1645,임대자산!$I$3:$I$3000,0),MATCH(L$4,임대자산!$D$3:$R$3,0)),
IF($D1645="폐업",INDEX(폐업정보!$D$3:$R$3000,MATCH($F1645,폐업정보!$I$3:$I$3000,0),MATCH(L$4,폐업정보!$D$3:$R$3,0)),
"Error"))</f>
        <v>D1640</v>
      </c>
      <c r="M1645" s="76" t="s">
        <v>96</v>
      </c>
      <c r="N1645" s="77"/>
      <c r="O1645" s="78" t="s">
        <v>97</v>
      </c>
      <c r="P1645" s="79" t="n">
        <f aca="false">COUNTIFS(임대자산!$I:$I,가맹점정보!F1645,임대자산!$N:$N,가맹점정보!P$4)</f>
        <v>0</v>
      </c>
      <c r="Q1645" s="80" t="n">
        <f aca="false">COUNTIFS(임대자산!$I:$I,가맹점정보!F1645,임대자산!$N:$N,가맹점정보!Q$4)</f>
        <v>0</v>
      </c>
      <c r="R1645" s="81" t="n">
        <f aca="false">COUNTIFS(임대자산!$I:$I,가맹점정보!F1645,임대자산!$N:$N,가맹점정보!R$4)</f>
        <v>1</v>
      </c>
      <c r="S1645" s="82" t="n">
        <v>55000</v>
      </c>
      <c r="T1645" s="83" t="n">
        <v>0</v>
      </c>
      <c r="U1645" s="80" t="n">
        <f aca="false">SUM(S1645:T1645)</f>
        <v>55000</v>
      </c>
      <c r="V1645" s="84" t="s">
        <v>7</v>
      </c>
      <c r="W1645" s="80" t="str">
        <f aca="true">
IF(D1645="폐업","폐업",
IF(V1645="면제","면제",
IF(AND(V1645="정상",COUNTIFS(OFFSET(Y1645,0,COUNTA(Y1645:AV1645)-1,1,-4),"미납")&gt;=3),"장기미납",
IF(AND(V1645="정상",OFFSET(Y1645,0,COUNTA(Y1645:AV1645)-1)&gt;=U1645),"정상",
IF(AND(V1645="정상",OFFSET(Y1645,0,COUNTA(Y1645:AV1645)-1)=0),"정상",
"계약서 미작성")))))</f>
        <v>면제</v>
      </c>
      <c r="X1645" s="81" t="str">
        <f aca="true">
IF(D1645="폐업","폐업",
IF(AND(V1645="정상",OFFSET(Y1645,0,COUNTA(Y1645:AV1645)-1)="미납"),"미납",
IF(AND(V1645="정상",OFFSET(Y1645,0,COUNTA(Y1645:AV1645)-1)=0),"납부 시작 전",
IF(AND(V1645="정상",OFFSET(Y1645,0,COUNTA(Y1645:AV1645)-1)&gt;=U1645),"정상",
IF(AND(V1645="면제",OFFSET(Y1645,0,COUNTA(Y1645:AV1645)-1)="면제"),"면제",
IF(AND(V1645="면제",OFFSET(Y1645,0,COUNTA(Y1645:AV1645)-1)=0),"면제",
"확인요청"))))))</f>
        <v>면제</v>
      </c>
      <c r="Y1645" s="94" t="s">
        <v>7</v>
      </c>
      <c r="Z1645" s="95" t="s">
        <v>7</v>
      </c>
      <c r="AA1645" s="95" t="s">
        <v>7</v>
      </c>
      <c r="AB1645" s="95" t="s">
        <v>7</v>
      </c>
      <c r="AC1645" s="95" t="s">
        <v>7</v>
      </c>
      <c r="AD1645" s="95" t="s">
        <v>7</v>
      </c>
      <c r="AE1645" s="95" t="s">
        <v>7</v>
      </c>
      <c r="AF1645" s="95" t="s">
        <v>7</v>
      </c>
      <c r="AG1645" s="95" t="s">
        <v>7</v>
      </c>
      <c r="AH1645" s="95" t="s">
        <v>7</v>
      </c>
      <c r="AI1645" s="95" t="s">
        <v>7</v>
      </c>
      <c r="AJ1645" s="96" t="s">
        <v>7</v>
      </c>
      <c r="AK1645" s="97" t="s">
        <v>7</v>
      </c>
      <c r="AL1645" s="95" t="s">
        <v>7</v>
      </c>
      <c r="AM1645" s="90"/>
      <c r="AN1645" s="90"/>
      <c r="AO1645" s="90"/>
      <c r="AP1645" s="90"/>
      <c r="AQ1645" s="90"/>
      <c r="AR1645" s="90"/>
      <c r="AS1645" s="90"/>
      <c r="AT1645" s="90"/>
      <c r="AU1645" s="90"/>
      <c r="AV1645" s="91"/>
      <c r="AX1645" s="92"/>
    </row>
    <row r="1646" customFormat="false" ht="15.65" hidden="false" customHeight="false" outlineLevel="0" collapsed="false">
      <c r="C1646" s="72" t="n">
        <f aca="false">COUNTIFS($D$6:D1646,"&lt;&gt;"&amp;"")</f>
        <v>1641</v>
      </c>
      <c r="D1646" s="73" t="s">
        <v>12</v>
      </c>
      <c r="E1646" s="76" t="str">
        <f aca="false">
IF($D1646="정상",INDEX(임대자산!$D$3:$R$3000,MATCH($F1646,임대자산!$I$3:$I$3000,0),MATCH(E$3,임대자산!$D$3:$R$3,0)),
IF($D1646="폐업",INDEX(폐업정보!$D$3:$R$3000,MATCH($F1646,폐업정보!$I$3:$I$3000,0),MATCH(E$3,폐업정보!$D$3:$R$3,0)),
"Error"))</f>
        <v>강원</v>
      </c>
      <c r="F164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B1641</v>
      </c>
      <c r="G1646" s="76" t="str">
        <f aca="false">F1646&amp;RANDBETWEEN(0,10)</f>
        <v>B16413</v>
      </c>
      <c r="H1646" s="75" t="n">
        <f aca="false">
IF($D1646="정상",INDEX(임대자산!$D$3:$R$3000,MATCH($F1646,임대자산!$I$3:$I$3000,0),MATCH(H$4,임대자산!$D$3:$R$3,0)),
IF($D1646="폐업",INDEX(폐업정보!$D$3:$R$3000,MATCH($F1646,폐업정보!$I$3:$I$3000,0),MATCH(H$4,폐업정보!$D$3:$R$3,0)),
"Error"))</f>
        <v>45757</v>
      </c>
      <c r="I1646" s="75" t="str">
        <f aca="false">
IF($D1646="정상",INDEX(임대자산!$D$3:$R$3000,MATCH($F1646,임대자산!$I$3:$I$3000,0),MATCH(I$4,임대자산!$D$3:$R$3,0)),
IF($D1646="폐업",INDEX(폐업정보!$D$3:$R$3000,MATCH($F1646,폐업정보!$I$3:$I$3000,0),MATCH(I$4,폐업정보!$D$3:$R$3,0)),
"Error"))</f>
        <v>A1641</v>
      </c>
      <c r="J1646" s="75" t="str">
        <f aca="false">
IF($D1646="정상",INDEX(임대자산!$D$3:$R$3000,MATCH($F1646,임대자산!$I$3:$I$3000,0),MATCH(J$4,임대자산!$D$3:$R$3,0)),
IF($D1646="폐업",INDEX(폐업정보!$D$3:$R$3000,MATCH($F1646,폐업정보!$I$3:$I$3000,0),MATCH(J$4,폐업정보!$D$3:$R$3,0)),
"Error"))</f>
        <v>8810000000</v>
      </c>
      <c r="K1646" s="75" t="str">
        <f aca="false">
IF($D1646="정상",INDEX(임대자산!$D$3:$R$3000,MATCH($F1646,임대자산!$I$3:$I$3000,0),MATCH(K$4,임대자산!$D$3:$R$3,0)),
IF($D1646="폐업",INDEX(폐업정보!$D$3:$R$3000,MATCH($F1646,폐업정보!$I$3:$I$3000,0),MATCH(K$4,폐업정보!$D$3:$R$3,0)),
"Error"))</f>
        <v>C1641</v>
      </c>
      <c r="L1646" s="75" t="str">
        <f aca="false">
IF($D1646="정상",INDEX(임대자산!$D$3:$R$3000,MATCH($F1646,임대자산!$I$3:$I$3000,0),MATCH(L$4,임대자산!$D$3:$R$3,0)),
IF($D1646="폐업",INDEX(폐업정보!$D$3:$R$3000,MATCH($F1646,폐업정보!$I$3:$I$3000,0),MATCH(L$4,폐업정보!$D$3:$R$3,0)),
"Error"))</f>
        <v>D1641</v>
      </c>
      <c r="M1646" s="76" t="s">
        <v>96</v>
      </c>
      <c r="N1646" s="77"/>
      <c r="O1646" s="78" t="s">
        <v>97</v>
      </c>
      <c r="P1646" s="79" t="n">
        <f aca="false">COUNTIFS(임대자산!$I:$I,가맹점정보!F1646,임대자산!$N:$N,가맹점정보!P$4)</f>
        <v>0</v>
      </c>
      <c r="Q1646" s="80" t="n">
        <f aca="false">COUNTIFS(임대자산!$I:$I,가맹점정보!F1646,임대자산!$N:$N,가맹점정보!Q$4)</f>
        <v>0</v>
      </c>
      <c r="R1646" s="81" t="n">
        <f aca="false">COUNTIFS(임대자산!$I:$I,가맹점정보!F1646,임대자산!$N:$N,가맹점정보!R$4)</f>
        <v>1</v>
      </c>
      <c r="S1646" s="82" t="n">
        <v>55000</v>
      </c>
      <c r="T1646" s="83" t="n">
        <v>0</v>
      </c>
      <c r="U1646" s="80" t="n">
        <f aca="false">SUM(S1646:T1646)</f>
        <v>55000</v>
      </c>
      <c r="V1646" s="84" t="s">
        <v>7</v>
      </c>
      <c r="W1646" s="80" t="str">
        <f aca="true">
IF(D1646="폐업","폐업",
IF(V1646="면제","면제",
IF(AND(V1646="정상",COUNTIFS(OFFSET(Y1646,0,COUNTA(Y1646:AV1646)-1,1,-4),"미납")&gt;=3),"장기미납",
IF(AND(V1646="정상",OFFSET(Y1646,0,COUNTA(Y1646:AV1646)-1)&gt;=U1646),"정상",
IF(AND(V1646="정상",OFFSET(Y1646,0,COUNTA(Y1646:AV1646)-1)=0),"정상",
"계약서 미작성")))))</f>
        <v>면제</v>
      </c>
      <c r="X1646" s="81" t="str">
        <f aca="true">
IF(D1646="폐업","폐업",
IF(AND(V1646="정상",OFFSET(Y1646,0,COUNTA(Y1646:AV1646)-1)="미납"),"미납",
IF(AND(V1646="정상",OFFSET(Y1646,0,COUNTA(Y1646:AV1646)-1)=0),"납부 시작 전",
IF(AND(V1646="정상",OFFSET(Y1646,0,COUNTA(Y1646:AV1646)-1)&gt;=U1646),"정상",
IF(AND(V1646="면제",OFFSET(Y1646,0,COUNTA(Y1646:AV1646)-1)="면제"),"면제",
IF(AND(V1646="면제",OFFSET(Y1646,0,COUNTA(Y1646:AV1646)-1)=0),"면제",
"확인요청"))))))</f>
        <v>면제</v>
      </c>
      <c r="Y1646" s="94" t="s">
        <v>7</v>
      </c>
      <c r="Z1646" s="95" t="s">
        <v>7</v>
      </c>
      <c r="AA1646" s="95" t="s">
        <v>7</v>
      </c>
      <c r="AB1646" s="95" t="s">
        <v>7</v>
      </c>
      <c r="AC1646" s="95" t="s">
        <v>7</v>
      </c>
      <c r="AD1646" s="95" t="s">
        <v>7</v>
      </c>
      <c r="AE1646" s="95" t="s">
        <v>7</v>
      </c>
      <c r="AF1646" s="95" t="s">
        <v>7</v>
      </c>
      <c r="AG1646" s="95" t="s">
        <v>7</v>
      </c>
      <c r="AH1646" s="95" t="s">
        <v>7</v>
      </c>
      <c r="AI1646" s="95" t="s">
        <v>7</v>
      </c>
      <c r="AJ1646" s="96" t="s">
        <v>7</v>
      </c>
      <c r="AK1646" s="97" t="s">
        <v>7</v>
      </c>
      <c r="AL1646" s="95" t="s">
        <v>7</v>
      </c>
      <c r="AM1646" s="90"/>
      <c r="AN1646" s="90"/>
      <c r="AO1646" s="90"/>
      <c r="AP1646" s="90"/>
      <c r="AQ1646" s="90"/>
      <c r="AR1646" s="90"/>
      <c r="AS1646" s="90"/>
      <c r="AT1646" s="90"/>
      <c r="AU1646" s="90"/>
      <c r="AV1646" s="91"/>
      <c r="AX1646" s="92"/>
    </row>
    <row r="1647" customFormat="false" ht="15.65" hidden="false" customHeight="false" outlineLevel="0" collapsed="false">
      <c r="C1647" s="72" t="n">
        <f aca="false">COUNTIFS($D$6:D1647,"&lt;&gt;"&amp;"")</f>
        <v>1642</v>
      </c>
      <c r="D1647" s="73" t="s">
        <v>12</v>
      </c>
      <c r="E1647" s="76" t="str">
        <f aca="false">
IF($D1647="정상",INDEX(임대자산!$D$3:$R$3000,MATCH($F1647,임대자산!$I$3:$I$3000,0),MATCH(E$3,임대자산!$D$3:$R$3,0)),
IF($D1647="폐업",INDEX(폐업정보!$D$3:$R$3000,MATCH($F1647,폐업정보!$I$3:$I$3000,0),MATCH(E$3,폐업정보!$D$3:$R$3,0)),
"Error"))</f>
        <v>강원</v>
      </c>
      <c r="F164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B1642</v>
      </c>
      <c r="G1647" s="76" t="str">
        <f aca="false">F1647&amp;RANDBETWEEN(0,10)</f>
        <v>B16425</v>
      </c>
      <c r="H1647" s="75" t="n">
        <f aca="false">
IF($D1647="정상",INDEX(임대자산!$D$3:$R$3000,MATCH($F1647,임대자산!$I$3:$I$3000,0),MATCH(H$4,임대자산!$D$3:$R$3,0)),
IF($D1647="폐업",INDEX(폐업정보!$D$3:$R$3000,MATCH($F1647,폐업정보!$I$3:$I$3000,0),MATCH(H$4,폐업정보!$D$3:$R$3,0)),
"Error"))</f>
        <v>45757</v>
      </c>
      <c r="I1647" s="75" t="str">
        <f aca="false">
IF($D1647="정상",INDEX(임대자산!$D$3:$R$3000,MATCH($F1647,임대자산!$I$3:$I$3000,0),MATCH(I$4,임대자산!$D$3:$R$3,0)),
IF($D1647="폐업",INDEX(폐업정보!$D$3:$R$3000,MATCH($F1647,폐업정보!$I$3:$I$3000,0),MATCH(I$4,폐업정보!$D$3:$R$3,0)),
"Error"))</f>
        <v>A1642</v>
      </c>
      <c r="J1647" s="75" t="str">
        <f aca="false">
IF($D1647="정상",INDEX(임대자산!$D$3:$R$3000,MATCH($F1647,임대자산!$I$3:$I$3000,0),MATCH(J$4,임대자산!$D$3:$R$3,0)),
IF($D1647="폐업",INDEX(폐업정보!$D$3:$R$3000,MATCH($F1647,폐업정보!$I$3:$I$3000,0),MATCH(J$4,폐업정보!$D$3:$R$3,0)),
"Error"))</f>
        <v>3586900000</v>
      </c>
      <c r="K1647" s="75" t="str">
        <f aca="false">
IF($D1647="정상",INDEX(임대자산!$D$3:$R$3000,MATCH($F1647,임대자산!$I$3:$I$3000,0),MATCH(K$4,임대자산!$D$3:$R$3,0)),
IF($D1647="폐업",INDEX(폐업정보!$D$3:$R$3000,MATCH($F1647,폐업정보!$I$3:$I$3000,0),MATCH(K$4,폐업정보!$D$3:$R$3,0)),
"Error"))</f>
        <v>C1642</v>
      </c>
      <c r="L1647" s="75" t="str">
        <f aca="false">
IF($D1647="정상",INDEX(임대자산!$D$3:$R$3000,MATCH($F1647,임대자산!$I$3:$I$3000,0),MATCH(L$4,임대자산!$D$3:$R$3,0)),
IF($D1647="폐업",INDEX(폐업정보!$D$3:$R$3000,MATCH($F1647,폐업정보!$I$3:$I$3000,0),MATCH(L$4,폐업정보!$D$3:$R$3,0)),
"Error"))</f>
        <v>D1642</v>
      </c>
      <c r="M1647" s="76" t="s">
        <v>96</v>
      </c>
      <c r="N1647" s="77"/>
      <c r="O1647" s="78" t="s">
        <v>97</v>
      </c>
      <c r="P1647" s="79" t="n">
        <f aca="false">COUNTIFS(임대자산!$I:$I,가맹점정보!F1647,임대자산!$N:$N,가맹점정보!P$4)</f>
        <v>0</v>
      </c>
      <c r="Q1647" s="80" t="n">
        <f aca="false">COUNTIFS(임대자산!$I:$I,가맹점정보!F1647,임대자산!$N:$N,가맹점정보!Q$4)</f>
        <v>0</v>
      </c>
      <c r="R1647" s="81" t="n">
        <f aca="false">COUNTIFS(임대자산!$I:$I,가맹점정보!F1647,임대자산!$N:$N,가맹점정보!R$4)</f>
        <v>1</v>
      </c>
      <c r="S1647" s="82" t="n">
        <v>55000</v>
      </c>
      <c r="T1647" s="83" t="n">
        <v>0</v>
      </c>
      <c r="U1647" s="80" t="n">
        <f aca="false">SUM(S1647:T1647)</f>
        <v>55000</v>
      </c>
      <c r="V1647" s="84" t="s">
        <v>7</v>
      </c>
      <c r="W1647" s="80" t="str">
        <f aca="true">
IF(D1647="폐업","폐업",
IF(V1647="면제","면제",
IF(AND(V1647="정상",COUNTIFS(OFFSET(Y1647,0,COUNTA(Y1647:AV1647)-1,1,-4),"미납")&gt;=3),"장기미납",
IF(AND(V1647="정상",OFFSET(Y1647,0,COUNTA(Y1647:AV1647)-1)&gt;=U1647),"정상",
IF(AND(V1647="정상",OFFSET(Y1647,0,COUNTA(Y1647:AV1647)-1)=0),"정상",
"계약서 미작성")))))</f>
        <v>면제</v>
      </c>
      <c r="X1647" s="81" t="str">
        <f aca="true">
IF(D1647="폐업","폐업",
IF(AND(V1647="정상",OFFSET(Y1647,0,COUNTA(Y1647:AV1647)-1)="미납"),"미납",
IF(AND(V1647="정상",OFFSET(Y1647,0,COUNTA(Y1647:AV1647)-1)=0),"납부 시작 전",
IF(AND(V1647="정상",OFFSET(Y1647,0,COUNTA(Y1647:AV1647)-1)&gt;=U1647),"정상",
IF(AND(V1647="면제",OFFSET(Y1647,0,COUNTA(Y1647:AV1647)-1)="면제"),"면제",
IF(AND(V1647="면제",OFFSET(Y1647,0,COUNTA(Y1647:AV1647)-1)=0),"면제",
"확인요청"))))))</f>
        <v>면제</v>
      </c>
      <c r="Y1647" s="94" t="s">
        <v>62</v>
      </c>
      <c r="Z1647" s="90" t="n">
        <v>55000</v>
      </c>
      <c r="AA1647" s="90" t="n">
        <v>55000</v>
      </c>
      <c r="AB1647" s="90" t="n">
        <v>55000</v>
      </c>
      <c r="AC1647" s="90" t="n">
        <v>55000</v>
      </c>
      <c r="AD1647" s="90" t="n">
        <v>55000</v>
      </c>
      <c r="AE1647" s="95" t="s">
        <v>7</v>
      </c>
      <c r="AF1647" s="95" t="s">
        <v>7</v>
      </c>
      <c r="AG1647" s="95" t="s">
        <v>7</v>
      </c>
      <c r="AH1647" s="95" t="s">
        <v>7</v>
      </c>
      <c r="AI1647" s="95" t="s">
        <v>7</v>
      </c>
      <c r="AJ1647" s="96" t="s">
        <v>7</v>
      </c>
      <c r="AK1647" s="97" t="s">
        <v>7</v>
      </c>
      <c r="AL1647" s="95" t="s">
        <v>7</v>
      </c>
      <c r="AM1647" s="90"/>
      <c r="AN1647" s="90"/>
      <c r="AO1647" s="90"/>
      <c r="AP1647" s="90"/>
      <c r="AQ1647" s="90"/>
      <c r="AR1647" s="90"/>
      <c r="AS1647" s="90"/>
      <c r="AT1647" s="90"/>
      <c r="AU1647" s="90"/>
      <c r="AV1647" s="91"/>
      <c r="AX1647" s="92"/>
    </row>
    <row r="1648" customFormat="false" ht="15.65" hidden="false" customHeight="false" outlineLevel="0" collapsed="false">
      <c r="C1648" s="72" t="n">
        <f aca="false">COUNTIFS($D$6:D1648,"&lt;&gt;"&amp;"")</f>
        <v>1643</v>
      </c>
      <c r="D1648" s="73" t="s">
        <v>12</v>
      </c>
      <c r="E1648" s="76" t="str">
        <f aca="false">
IF($D1648="정상",INDEX(임대자산!$D$3:$R$3000,MATCH($F1648,임대자산!$I$3:$I$3000,0),MATCH(E$3,임대자산!$D$3:$R$3,0)),
IF($D1648="폐업",INDEX(폐업정보!$D$3:$R$3000,MATCH($F1648,폐업정보!$I$3:$I$3000,0),MATCH(E$3,폐업정보!$D$3:$R$3,0)),
"Error"))</f>
        <v>서울</v>
      </c>
      <c r="F164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B1643</v>
      </c>
      <c r="G1648" s="76" t="str">
        <f aca="false">F1648&amp;RANDBETWEEN(0,10)</f>
        <v>B16431</v>
      </c>
      <c r="H1648" s="75" t="n">
        <f aca="false">
IF($D1648="정상",INDEX(임대자산!$D$3:$R$3000,MATCH($F1648,임대자산!$I$3:$I$3000,0),MATCH(H$4,임대자산!$D$3:$R$3,0)),
IF($D1648="폐업",INDEX(폐업정보!$D$3:$R$3000,MATCH($F1648,폐업정보!$I$3:$I$3000,0),MATCH(H$4,폐업정보!$D$3:$R$3,0)),
"Error"))</f>
        <v>45757</v>
      </c>
      <c r="I1648" s="75" t="str">
        <f aca="false">
IF($D1648="정상",INDEX(임대자산!$D$3:$R$3000,MATCH($F1648,임대자산!$I$3:$I$3000,0),MATCH(I$4,임대자산!$D$3:$R$3,0)),
IF($D1648="폐업",INDEX(폐업정보!$D$3:$R$3000,MATCH($F1648,폐업정보!$I$3:$I$3000,0),MATCH(I$4,폐업정보!$D$3:$R$3,0)),
"Error"))</f>
        <v>A1643</v>
      </c>
      <c r="J1648" s="75" t="str">
        <f aca="false">
IF($D1648="정상",INDEX(임대자산!$D$3:$R$3000,MATCH($F1648,임대자산!$I$3:$I$3000,0),MATCH(J$4,임대자산!$D$3:$R$3,0)),
IF($D1648="폐업",INDEX(폐업정보!$D$3:$R$3000,MATCH($F1648,폐업정보!$I$3:$I$3000,0),MATCH(J$4,폐업정보!$D$3:$R$3,0)),
"Error"))</f>
        <v>5336200000</v>
      </c>
      <c r="K1648" s="75" t="str">
        <f aca="false">
IF($D1648="정상",INDEX(임대자산!$D$3:$R$3000,MATCH($F1648,임대자산!$I$3:$I$3000,0),MATCH(K$4,임대자산!$D$3:$R$3,0)),
IF($D1648="폐업",INDEX(폐업정보!$D$3:$R$3000,MATCH($F1648,폐업정보!$I$3:$I$3000,0),MATCH(K$4,폐업정보!$D$3:$R$3,0)),
"Error"))</f>
        <v>C1643</v>
      </c>
      <c r="L1648" s="75" t="str">
        <f aca="false">
IF($D1648="정상",INDEX(임대자산!$D$3:$R$3000,MATCH($F1648,임대자산!$I$3:$I$3000,0),MATCH(L$4,임대자산!$D$3:$R$3,0)),
IF($D1648="폐업",INDEX(폐업정보!$D$3:$R$3000,MATCH($F1648,폐업정보!$I$3:$I$3000,0),MATCH(L$4,폐업정보!$D$3:$R$3,0)),
"Error"))</f>
        <v>D1643</v>
      </c>
      <c r="M1648" s="76" t="s">
        <v>96</v>
      </c>
      <c r="N1648" s="77"/>
      <c r="O1648" s="78" t="s">
        <v>97</v>
      </c>
      <c r="P1648" s="79" t="n">
        <f aca="false">COUNTIFS(임대자산!$I:$I,가맹점정보!F1648,임대자산!$N:$N,가맹점정보!P$4)</f>
        <v>0</v>
      </c>
      <c r="Q1648" s="80" t="n">
        <f aca="false">COUNTIFS(임대자산!$I:$I,가맹점정보!F1648,임대자산!$N:$N,가맹점정보!Q$4)</f>
        <v>0</v>
      </c>
      <c r="R1648" s="81" t="n">
        <f aca="false">COUNTIFS(임대자산!$I:$I,가맹점정보!F1648,임대자산!$N:$N,가맹점정보!R$4)</f>
        <v>1</v>
      </c>
      <c r="S1648" s="82" t="n">
        <v>55000</v>
      </c>
      <c r="T1648" s="83" t="n">
        <v>0</v>
      </c>
      <c r="U1648" s="80" t="n">
        <f aca="false">SUM(S1648:T1648)</f>
        <v>55000</v>
      </c>
      <c r="V1648" s="84" t="s">
        <v>12</v>
      </c>
      <c r="W1648" s="80" t="e">
        <f aca="true">
IF(D1648="폐업","폐업",
IF(V1648="면제","면제",
IF(AND(V1648="정상",COUNTIFS(OFFSET(Y1648,0,COUNTA(Y1648:AV1648)-1,1,-4),"미납")&gt;=3),"장기미납",
IF(AND(V1648="정상",OFFSET(Y1648,0,COUNTA(Y1648:AV1648)-1)&gt;=U1648),"정상",
IF(AND(V1648="정상",OFFSET(Y1648,0,COUNTA(Y1648:AV1648)-1)=0),"정상",
"계약서 미작성")))))</f>
        <v>#VALUE!</v>
      </c>
      <c r="X1648" s="81" t="str">
        <f aca="true">
IF(D1648="폐업","폐업",
IF(AND(V1648="정상",OFFSET(Y1648,0,COUNTA(Y1648:AV1648)-1)="미납"),"미납",
IF(AND(V1648="정상",OFFSET(Y1648,0,COUNTA(Y1648:AV1648)-1)=0),"납부 시작 전",
IF(AND(V1648="정상",OFFSET(Y1648,0,COUNTA(Y1648:AV1648)-1)&gt;=U1648),"정상",
IF(AND(V1648="면제",OFFSET(Y1648,0,COUNTA(Y1648:AV1648)-1)="면제"),"면제",
IF(AND(V1648="면제",OFFSET(Y1648,0,COUNTA(Y1648:AV1648)-1)=0),"면제",
"확인요청"))))))</f>
        <v>정상</v>
      </c>
      <c r="Y1648" s="93" t="n">
        <v>55000</v>
      </c>
      <c r="Z1648" s="90" t="n">
        <v>55000</v>
      </c>
      <c r="AA1648" s="90" t="n">
        <v>55000</v>
      </c>
      <c r="AB1648" s="90" t="n">
        <v>55000</v>
      </c>
      <c r="AC1648" s="90" t="n">
        <v>55000</v>
      </c>
      <c r="AD1648" s="90" t="n">
        <v>55000</v>
      </c>
      <c r="AE1648" s="90" t="n">
        <v>55000</v>
      </c>
      <c r="AF1648" s="90" t="n">
        <v>55000</v>
      </c>
      <c r="AG1648" s="90" t="n">
        <v>55000</v>
      </c>
      <c r="AH1648" s="90" t="n">
        <v>55000</v>
      </c>
      <c r="AI1648" s="90" t="n">
        <v>55000</v>
      </c>
      <c r="AJ1648" s="91" t="n">
        <v>55000</v>
      </c>
      <c r="AK1648" s="89" t="n">
        <v>55000</v>
      </c>
      <c r="AL1648" s="90" t="n">
        <v>55000</v>
      </c>
      <c r="AM1648" s="90"/>
      <c r="AN1648" s="90"/>
      <c r="AO1648" s="90"/>
      <c r="AP1648" s="90"/>
      <c r="AQ1648" s="90"/>
      <c r="AR1648" s="90"/>
      <c r="AS1648" s="90"/>
      <c r="AT1648" s="90"/>
      <c r="AU1648" s="90"/>
      <c r="AV1648" s="91"/>
      <c r="AX1648" s="92"/>
    </row>
    <row r="1649" customFormat="false" ht="15.65" hidden="false" customHeight="false" outlineLevel="0" collapsed="false">
      <c r="C1649" s="72" t="n">
        <f aca="false">COUNTIFS($D$6:D1649,"&lt;&gt;"&amp;"")</f>
        <v>1644</v>
      </c>
      <c r="D1649" s="73" t="s">
        <v>12</v>
      </c>
      <c r="E1649" s="76" t="str">
        <f aca="false">
IF($D1649="정상",INDEX(임대자산!$D$3:$R$3000,MATCH($F1649,임대자산!$I$3:$I$3000,0),MATCH(E$3,임대자산!$D$3:$R$3,0)),
IF($D1649="폐업",INDEX(폐업정보!$D$3:$R$3000,MATCH($F1649,폐업정보!$I$3:$I$3000,0),MATCH(E$3,폐업정보!$D$3:$R$3,0)),
"Error"))</f>
        <v>서울</v>
      </c>
      <c r="F164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B1644</v>
      </c>
      <c r="G1649" s="76" t="str">
        <f aca="false">F1649&amp;RANDBETWEEN(0,10)</f>
        <v>B16440</v>
      </c>
      <c r="H1649" s="75" t="n">
        <f aca="false">
IF($D1649="정상",INDEX(임대자산!$D$3:$R$3000,MATCH($F1649,임대자산!$I$3:$I$3000,0),MATCH(H$4,임대자산!$D$3:$R$3,0)),
IF($D1649="폐업",INDEX(폐업정보!$D$3:$R$3000,MATCH($F1649,폐업정보!$I$3:$I$3000,0),MATCH(H$4,폐업정보!$D$3:$R$3,0)),
"Error"))</f>
        <v>45762</v>
      </c>
      <c r="I1649" s="75" t="str">
        <f aca="false">
IF($D1649="정상",INDEX(임대자산!$D$3:$R$3000,MATCH($F1649,임대자산!$I$3:$I$3000,0),MATCH(I$4,임대자산!$D$3:$R$3,0)),
IF($D1649="폐업",INDEX(폐업정보!$D$3:$R$3000,MATCH($F1649,폐업정보!$I$3:$I$3000,0),MATCH(I$4,폐업정보!$D$3:$R$3,0)),
"Error"))</f>
        <v>A1644</v>
      </c>
      <c r="J1649" s="75" t="str">
        <f aca="false">
IF($D1649="정상",INDEX(임대자산!$D$3:$R$3000,MATCH($F1649,임대자산!$I$3:$I$3000,0),MATCH(J$4,임대자산!$D$3:$R$3,0)),
IF($D1649="폐업",INDEX(폐업정보!$D$3:$R$3000,MATCH($F1649,폐업정보!$I$3:$I$3000,0),MATCH(J$4,폐업정보!$D$3:$R$3,0)),
"Error"))</f>
        <v>3283800000</v>
      </c>
      <c r="K1649" s="75" t="str">
        <f aca="false">
IF($D1649="정상",INDEX(임대자산!$D$3:$R$3000,MATCH($F1649,임대자산!$I$3:$I$3000,0),MATCH(K$4,임대자산!$D$3:$R$3,0)),
IF($D1649="폐업",INDEX(폐업정보!$D$3:$R$3000,MATCH($F1649,폐업정보!$I$3:$I$3000,0),MATCH(K$4,폐업정보!$D$3:$R$3,0)),
"Error"))</f>
        <v>C1644</v>
      </c>
      <c r="L1649" s="75" t="str">
        <f aca="false">
IF($D1649="정상",INDEX(임대자산!$D$3:$R$3000,MATCH($F1649,임대자산!$I$3:$I$3000,0),MATCH(L$4,임대자산!$D$3:$R$3,0)),
IF($D1649="폐업",INDEX(폐업정보!$D$3:$R$3000,MATCH($F1649,폐업정보!$I$3:$I$3000,0),MATCH(L$4,폐업정보!$D$3:$R$3,0)),
"Error"))</f>
        <v>D1644</v>
      </c>
      <c r="M1649" s="76" t="s">
        <v>96</v>
      </c>
      <c r="N1649" s="77"/>
      <c r="O1649" s="78" t="s">
        <v>97</v>
      </c>
      <c r="P1649" s="79" t="n">
        <f aca="false">COUNTIFS(임대자산!$I:$I,가맹점정보!F1649,임대자산!$N:$N,가맹점정보!P$4)</f>
        <v>0</v>
      </c>
      <c r="Q1649" s="80" t="n">
        <f aca="false">COUNTIFS(임대자산!$I:$I,가맹점정보!F1649,임대자산!$N:$N,가맹점정보!Q$4)</f>
        <v>0</v>
      </c>
      <c r="R1649" s="81" t="n">
        <f aca="false">COUNTIFS(임대자산!$I:$I,가맹점정보!F1649,임대자산!$N:$N,가맹점정보!R$4)</f>
        <v>1</v>
      </c>
      <c r="S1649" s="82" t="n">
        <v>55000</v>
      </c>
      <c r="T1649" s="83" t="n">
        <v>0</v>
      </c>
      <c r="U1649" s="80" t="n">
        <f aca="false">SUM(S1649:T1649)</f>
        <v>55000</v>
      </c>
      <c r="V1649" s="84" t="s">
        <v>12</v>
      </c>
      <c r="W1649" s="80" t="e">
        <f aca="true">
IF(D1649="폐업","폐업",
IF(V1649="면제","면제",
IF(AND(V1649="정상",COUNTIFS(OFFSET(Y1649,0,COUNTA(Y1649:AV1649)-1,1,-4),"미납")&gt;=3),"장기미납",
IF(AND(V1649="정상",OFFSET(Y1649,0,COUNTA(Y1649:AV1649)-1)&gt;=U1649),"정상",
IF(AND(V1649="정상",OFFSET(Y1649,0,COUNTA(Y1649:AV1649)-1)=0),"정상",
"계약서 미작성")))))</f>
        <v>#VALUE!</v>
      </c>
      <c r="X1649" s="81" t="str">
        <f aca="true">
IF(D1649="폐업","폐업",
IF(AND(V1649="정상",OFFSET(Y1649,0,COUNTA(Y1649:AV1649)-1)="미납"),"미납",
IF(AND(V1649="정상",OFFSET(Y1649,0,COUNTA(Y1649:AV1649)-1)=0),"납부 시작 전",
IF(AND(V1649="정상",OFFSET(Y1649,0,COUNTA(Y1649:AV1649)-1)&gt;=U1649),"정상",
IF(AND(V1649="면제",OFFSET(Y1649,0,COUNTA(Y1649:AV1649)-1)="면제"),"면제",
IF(AND(V1649="면제",OFFSET(Y1649,0,COUNTA(Y1649:AV1649)-1)=0),"면제",
"확인요청"))))))</f>
        <v>정상</v>
      </c>
      <c r="Y1649" s="93" t="n">
        <v>55000</v>
      </c>
      <c r="Z1649" s="90" t="n">
        <v>55000</v>
      </c>
      <c r="AA1649" s="90" t="n">
        <v>55000</v>
      </c>
      <c r="AB1649" s="90" t="n">
        <v>55000</v>
      </c>
      <c r="AC1649" s="90" t="n">
        <v>55000</v>
      </c>
      <c r="AD1649" s="90" t="n">
        <v>55000</v>
      </c>
      <c r="AE1649" s="90" t="n">
        <v>55000</v>
      </c>
      <c r="AF1649" s="90" t="n">
        <v>55000</v>
      </c>
      <c r="AG1649" s="90" t="n">
        <v>55000</v>
      </c>
      <c r="AH1649" s="90" t="n">
        <v>55000</v>
      </c>
      <c r="AI1649" s="90" t="n">
        <v>55000</v>
      </c>
      <c r="AJ1649" s="91" t="n">
        <v>55000</v>
      </c>
      <c r="AK1649" s="89" t="n">
        <v>55000</v>
      </c>
      <c r="AL1649" s="90" t="n">
        <v>55000</v>
      </c>
      <c r="AM1649" s="90"/>
      <c r="AN1649" s="90"/>
      <c r="AO1649" s="90"/>
      <c r="AP1649" s="90"/>
      <c r="AQ1649" s="90"/>
      <c r="AR1649" s="90"/>
      <c r="AS1649" s="90"/>
      <c r="AT1649" s="90"/>
      <c r="AU1649" s="90"/>
      <c r="AV1649" s="91"/>
      <c r="AX1649" s="92"/>
    </row>
    <row r="1650" customFormat="false" ht="15.65" hidden="false" customHeight="false" outlineLevel="0" collapsed="false">
      <c r="C1650" s="72" t="n">
        <f aca="false">COUNTIFS($D$6:D1650,"&lt;&gt;"&amp;"")</f>
        <v>1645</v>
      </c>
      <c r="D1650" s="73" t="s">
        <v>12</v>
      </c>
      <c r="E1650" s="76" t="str">
        <f aca="false">
IF($D1650="정상",INDEX(임대자산!$D$3:$R$3000,MATCH($F1650,임대자산!$I$3:$I$3000,0),MATCH(E$3,임대자산!$D$3:$R$3,0)),
IF($D1650="폐업",INDEX(폐업정보!$D$3:$R$3000,MATCH($F1650,폐업정보!$I$3:$I$3000,0),MATCH(E$3,폐업정보!$D$3:$R$3,0)),
"Error"))</f>
        <v>경기</v>
      </c>
      <c r="F165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B1645</v>
      </c>
      <c r="G1650" s="76" t="str">
        <f aca="false">F1650&amp;RANDBETWEEN(0,10)</f>
        <v>B16458</v>
      </c>
      <c r="H1650" s="75" t="n">
        <f aca="false">
IF($D1650="정상",INDEX(임대자산!$D$3:$R$3000,MATCH($F1650,임대자산!$I$3:$I$3000,0),MATCH(H$4,임대자산!$D$3:$R$3,0)),
IF($D1650="폐업",INDEX(폐업정보!$D$3:$R$3000,MATCH($F1650,폐업정보!$I$3:$I$3000,0),MATCH(H$4,폐업정보!$D$3:$R$3,0)),
"Error"))</f>
        <v>45905</v>
      </c>
      <c r="I1650" s="75" t="str">
        <f aca="false">
IF($D1650="정상",INDEX(임대자산!$D$3:$R$3000,MATCH($F1650,임대자산!$I$3:$I$3000,0),MATCH(I$4,임대자산!$D$3:$R$3,0)),
IF($D1650="폐업",INDEX(폐업정보!$D$3:$R$3000,MATCH($F1650,폐업정보!$I$3:$I$3000,0),MATCH(I$4,폐업정보!$D$3:$R$3,0)),
"Error"))</f>
        <v>A1645</v>
      </c>
      <c r="J1650" s="75" t="str">
        <f aca="false">
IF($D1650="정상",INDEX(임대자산!$D$3:$R$3000,MATCH($F1650,임대자산!$I$3:$I$3000,0),MATCH(J$4,임대자산!$D$3:$R$3,0)),
IF($D1650="폐업",INDEX(폐업정보!$D$3:$R$3000,MATCH($F1650,폐업정보!$I$3:$I$3000,0),MATCH(J$4,폐업정보!$D$3:$R$3,0)),
"Error"))</f>
        <v>1237300000</v>
      </c>
      <c r="K1650" s="75" t="str">
        <f aca="false">
IF($D1650="정상",INDEX(임대자산!$D$3:$R$3000,MATCH($F1650,임대자산!$I$3:$I$3000,0),MATCH(K$4,임대자산!$D$3:$R$3,0)),
IF($D1650="폐업",INDEX(폐업정보!$D$3:$R$3000,MATCH($F1650,폐업정보!$I$3:$I$3000,0),MATCH(K$4,폐업정보!$D$3:$R$3,0)),
"Error"))</f>
        <v>C1645</v>
      </c>
      <c r="L1650" s="75" t="str">
        <f aca="false">
IF($D1650="정상",INDEX(임대자산!$D$3:$R$3000,MATCH($F1650,임대자산!$I$3:$I$3000,0),MATCH(L$4,임대자산!$D$3:$R$3,0)),
IF($D1650="폐업",INDEX(폐업정보!$D$3:$R$3000,MATCH($F1650,폐업정보!$I$3:$I$3000,0),MATCH(L$4,폐업정보!$D$3:$R$3,0)),
"Error"))</f>
        <v>D1645</v>
      </c>
      <c r="M1650" s="76" t="s">
        <v>96</v>
      </c>
      <c r="N1650" s="77"/>
      <c r="O1650" s="78" t="s">
        <v>97</v>
      </c>
      <c r="P1650" s="79" t="n">
        <f aca="false">COUNTIFS(임대자산!$I:$I,가맹점정보!F1650,임대자산!$N:$N,가맹점정보!P$4)</f>
        <v>0</v>
      </c>
      <c r="Q1650" s="80" t="n">
        <f aca="false">COUNTIFS(임대자산!$I:$I,가맹점정보!F1650,임대자산!$N:$N,가맹점정보!Q$4)</f>
        <v>0</v>
      </c>
      <c r="R1650" s="81" t="n">
        <f aca="false">COUNTIFS(임대자산!$I:$I,가맹점정보!F1650,임대자산!$N:$N,가맹점정보!R$4)</f>
        <v>1</v>
      </c>
      <c r="S1650" s="82" t="n">
        <v>88000</v>
      </c>
      <c r="T1650" s="83" t="n">
        <v>0</v>
      </c>
      <c r="U1650" s="80" t="n">
        <f aca="false">SUM(S1650:T1650)</f>
        <v>88000</v>
      </c>
      <c r="V1650" s="84" t="s">
        <v>7</v>
      </c>
      <c r="W1650" s="80" t="str">
        <f aca="true">
IF(D1650="폐업","폐업",
IF(V1650="면제","면제",
IF(AND(V1650="정상",COUNTIFS(OFFSET(Y1650,0,COUNTA(Y1650:AV1650)-1,1,-4),"미납")&gt;=3),"장기미납",
IF(AND(V1650="정상",OFFSET(Y1650,0,COUNTA(Y1650:AV1650)-1)&gt;=U1650),"정상",
IF(AND(V1650="정상",OFFSET(Y1650,0,COUNTA(Y1650:AV1650)-1)=0),"정상",
"계약서 미작성")))))</f>
        <v>면제</v>
      </c>
      <c r="X1650" s="81" t="str">
        <f aca="true">
IF(D1650="폐업","폐업",
IF(AND(V1650="정상",OFFSET(Y1650,0,COUNTA(Y1650:AV1650)-1)="미납"),"미납",
IF(AND(V1650="정상",OFFSET(Y1650,0,COUNTA(Y1650:AV1650)-1)=0),"납부 시작 전",
IF(AND(V1650="정상",OFFSET(Y1650,0,COUNTA(Y1650:AV1650)-1)&gt;=U1650),"정상",
IF(AND(V1650="면제",OFFSET(Y1650,0,COUNTA(Y1650:AV1650)-1)="면제"),"면제",
IF(AND(V1650="면제",OFFSET(Y1650,0,COUNTA(Y1650:AV1650)-1)=0),"면제",
"확인요청"))))))</f>
        <v>면제</v>
      </c>
      <c r="Y1650" s="94" t="s">
        <v>7</v>
      </c>
      <c r="Z1650" s="95" t="s">
        <v>7</v>
      </c>
      <c r="AA1650" s="95" t="s">
        <v>7</v>
      </c>
      <c r="AB1650" s="95" t="s">
        <v>7</v>
      </c>
      <c r="AC1650" s="95" t="s">
        <v>7</v>
      </c>
      <c r="AD1650" s="95" t="s">
        <v>7</v>
      </c>
      <c r="AE1650" s="95" t="s">
        <v>7</v>
      </c>
      <c r="AF1650" s="95" t="s">
        <v>7</v>
      </c>
      <c r="AG1650" s="95" t="s">
        <v>7</v>
      </c>
      <c r="AH1650" s="95" t="s">
        <v>7</v>
      </c>
      <c r="AI1650" s="95" t="s">
        <v>7</v>
      </c>
      <c r="AJ1650" s="96" t="s">
        <v>7</v>
      </c>
      <c r="AK1650" s="97" t="s">
        <v>7</v>
      </c>
      <c r="AL1650" s="95" t="s">
        <v>7</v>
      </c>
      <c r="AM1650" s="90"/>
      <c r="AN1650" s="90"/>
      <c r="AO1650" s="90"/>
      <c r="AP1650" s="90"/>
      <c r="AQ1650" s="90"/>
      <c r="AR1650" s="90"/>
      <c r="AS1650" s="90"/>
      <c r="AT1650" s="90"/>
      <c r="AU1650" s="90"/>
      <c r="AV1650" s="91"/>
      <c r="AX1650" s="92"/>
    </row>
    <row r="1651" customFormat="false" ht="15.65" hidden="false" customHeight="false" outlineLevel="0" collapsed="false">
      <c r="C1651" s="72" t="n">
        <f aca="false">COUNTIFS($D$6:D1651,"&lt;&gt;"&amp;"")</f>
        <v>1646</v>
      </c>
      <c r="D1651" s="73" t="s">
        <v>12</v>
      </c>
      <c r="E1651" s="76" t="str">
        <f aca="false">
IF($D1651="정상",INDEX(임대자산!$D$3:$R$3000,MATCH($F1651,임대자산!$I$3:$I$3000,0),MATCH(E$3,임대자산!$D$3:$R$3,0)),
IF($D1651="폐업",INDEX(폐업정보!$D$3:$R$3000,MATCH($F1651,폐업정보!$I$3:$I$3000,0),MATCH(E$3,폐업정보!$D$3:$R$3,0)),
"Error"))</f>
        <v>경상</v>
      </c>
      <c r="F165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B1646</v>
      </c>
      <c r="G1651" s="76" t="str">
        <f aca="false">F1651&amp;RANDBETWEEN(0,10)</f>
        <v>B16468</v>
      </c>
      <c r="H1651" s="75" t="n">
        <f aca="false">
IF($D1651="정상",INDEX(임대자산!$D$3:$R$3000,MATCH($F1651,임대자산!$I$3:$I$3000,0),MATCH(H$4,임대자산!$D$3:$R$3,0)),
IF($D1651="폐업",INDEX(폐업정보!$D$3:$R$3000,MATCH($F1651,폐업정보!$I$3:$I$3000,0),MATCH(H$4,폐업정보!$D$3:$R$3,0)),
"Error"))</f>
        <v>45762</v>
      </c>
      <c r="I1651" s="75" t="str">
        <f aca="false">
IF($D1651="정상",INDEX(임대자산!$D$3:$R$3000,MATCH($F1651,임대자산!$I$3:$I$3000,0),MATCH(I$4,임대자산!$D$3:$R$3,0)),
IF($D1651="폐업",INDEX(폐업정보!$D$3:$R$3000,MATCH($F1651,폐업정보!$I$3:$I$3000,0),MATCH(I$4,폐업정보!$D$3:$R$3,0)),
"Error"))</f>
        <v>A1646</v>
      </c>
      <c r="J1651" s="75" t="str">
        <f aca="false">
IF($D1651="정상",INDEX(임대자산!$D$3:$R$3000,MATCH($F1651,임대자산!$I$3:$I$3000,0),MATCH(J$4,임대자산!$D$3:$R$3,0)),
IF($D1651="폐업",INDEX(폐업정보!$D$3:$R$3000,MATCH($F1651,폐업정보!$I$3:$I$3000,0),MATCH(J$4,폐업정보!$D$3:$R$3,0)),
"Error"))</f>
        <v>9415400000</v>
      </c>
      <c r="K1651" s="75" t="str">
        <f aca="false">
IF($D1651="정상",INDEX(임대자산!$D$3:$R$3000,MATCH($F1651,임대자산!$I$3:$I$3000,0),MATCH(K$4,임대자산!$D$3:$R$3,0)),
IF($D1651="폐업",INDEX(폐업정보!$D$3:$R$3000,MATCH($F1651,폐업정보!$I$3:$I$3000,0),MATCH(K$4,폐업정보!$D$3:$R$3,0)),
"Error"))</f>
        <v>C1646</v>
      </c>
      <c r="L1651" s="75" t="str">
        <f aca="false">
IF($D1651="정상",INDEX(임대자산!$D$3:$R$3000,MATCH($F1651,임대자산!$I$3:$I$3000,0),MATCH(L$4,임대자산!$D$3:$R$3,0)),
IF($D1651="폐업",INDEX(폐업정보!$D$3:$R$3000,MATCH($F1651,폐업정보!$I$3:$I$3000,0),MATCH(L$4,폐업정보!$D$3:$R$3,0)),
"Error"))</f>
        <v>D1646</v>
      </c>
      <c r="M1651" s="76" t="s">
        <v>96</v>
      </c>
      <c r="N1651" s="77"/>
      <c r="O1651" s="78" t="s">
        <v>97</v>
      </c>
      <c r="P1651" s="79" t="n">
        <f aca="false">COUNTIFS(임대자산!$I:$I,가맹점정보!F1651,임대자산!$N:$N,가맹점정보!P$4)</f>
        <v>0</v>
      </c>
      <c r="Q1651" s="80" t="n">
        <f aca="false">COUNTIFS(임대자산!$I:$I,가맹점정보!F1651,임대자산!$N:$N,가맹점정보!Q$4)</f>
        <v>0</v>
      </c>
      <c r="R1651" s="81" t="n">
        <f aca="false">COUNTIFS(임대자산!$I:$I,가맹점정보!F1651,임대자산!$N:$N,가맹점정보!R$4)</f>
        <v>1</v>
      </c>
      <c r="S1651" s="82" t="n">
        <v>55000</v>
      </c>
      <c r="T1651" s="83" t="n">
        <v>0</v>
      </c>
      <c r="U1651" s="80" t="n">
        <f aca="false">SUM(S1651:T1651)</f>
        <v>55000</v>
      </c>
      <c r="V1651" s="84" t="s">
        <v>12</v>
      </c>
      <c r="W1651" s="80" t="e">
        <f aca="true">
IF(D1651="폐업","폐업",
IF(V1651="면제","면제",
IF(AND(V1651="정상",COUNTIFS(OFFSET(Y1651,0,COUNTA(Y1651:AV1651)-1,1,-4),"미납")&gt;=3),"장기미납",
IF(AND(V1651="정상",OFFSET(Y1651,0,COUNTA(Y1651:AV1651)-1)&gt;=U1651),"정상",
IF(AND(V1651="정상",OFFSET(Y1651,0,COUNTA(Y1651:AV1651)-1)=0),"정상",
"계약서 미작성")))))</f>
        <v>#VALUE!</v>
      </c>
      <c r="X1651" s="81" t="str">
        <f aca="true">
IF(D1651="폐업","폐업",
IF(AND(V1651="정상",OFFSET(Y1651,0,COUNTA(Y1651:AV1651)-1)="미납"),"미납",
IF(AND(V1651="정상",OFFSET(Y1651,0,COUNTA(Y1651:AV1651)-1)=0),"납부 시작 전",
IF(AND(V1651="정상",OFFSET(Y1651,0,COUNTA(Y1651:AV1651)-1)&gt;=U1651),"정상",
IF(AND(V1651="면제",OFFSET(Y1651,0,COUNTA(Y1651:AV1651)-1)="면제"),"면제",
IF(AND(V1651="면제",OFFSET(Y1651,0,COUNTA(Y1651:AV1651)-1)=0),"면제",
"확인요청"))))))</f>
        <v>정상</v>
      </c>
      <c r="Y1651" s="93" t="n">
        <v>55000</v>
      </c>
      <c r="Z1651" s="90" t="n">
        <v>55000</v>
      </c>
      <c r="AA1651" s="90" t="n">
        <v>55000</v>
      </c>
      <c r="AB1651" s="90" t="n">
        <v>55000</v>
      </c>
      <c r="AC1651" s="90" t="n">
        <v>55000</v>
      </c>
      <c r="AD1651" s="90" t="n">
        <v>55000</v>
      </c>
      <c r="AE1651" s="90" t="n">
        <v>55000</v>
      </c>
      <c r="AF1651" s="90" t="n">
        <v>55000</v>
      </c>
      <c r="AG1651" s="90" t="n">
        <v>55000</v>
      </c>
      <c r="AH1651" s="90" t="n">
        <v>55000</v>
      </c>
      <c r="AI1651" s="90" t="n">
        <v>55000</v>
      </c>
      <c r="AJ1651" s="91" t="n">
        <v>55000</v>
      </c>
      <c r="AK1651" s="89" t="n">
        <v>55000</v>
      </c>
      <c r="AL1651" s="90" t="n">
        <v>55000</v>
      </c>
      <c r="AM1651" s="90"/>
      <c r="AN1651" s="90"/>
      <c r="AO1651" s="90"/>
      <c r="AP1651" s="90"/>
      <c r="AQ1651" s="90"/>
      <c r="AR1651" s="90"/>
      <c r="AS1651" s="90"/>
      <c r="AT1651" s="90"/>
      <c r="AU1651" s="90"/>
      <c r="AV1651" s="91"/>
      <c r="AX1651" s="92"/>
    </row>
    <row r="1652" customFormat="false" ht="15.65" hidden="false" customHeight="false" outlineLevel="0" collapsed="false">
      <c r="C1652" s="72" t="n">
        <f aca="false">COUNTIFS($D$6:D1652,"&lt;&gt;"&amp;"")</f>
        <v>1647</v>
      </c>
      <c r="D1652" s="73" t="s">
        <v>12</v>
      </c>
      <c r="E1652" s="76" t="str">
        <f aca="false">
IF($D1652="정상",INDEX(임대자산!$D$3:$R$3000,MATCH($F1652,임대자산!$I$3:$I$3000,0),MATCH(E$3,임대자산!$D$3:$R$3,0)),
IF($D1652="폐업",INDEX(폐업정보!$D$3:$R$3000,MATCH($F1652,폐업정보!$I$3:$I$3000,0),MATCH(E$3,폐업정보!$D$3:$R$3,0)),
"Error"))</f>
        <v>서울</v>
      </c>
      <c r="F165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B1647</v>
      </c>
      <c r="G1652" s="76" t="str">
        <f aca="false">F1652&amp;RANDBETWEEN(0,10)</f>
        <v>B16472</v>
      </c>
      <c r="H1652" s="75" t="n">
        <f aca="false">
IF($D1652="정상",INDEX(임대자산!$D$3:$R$3000,MATCH($F1652,임대자산!$I$3:$I$3000,0),MATCH(H$4,임대자산!$D$3:$R$3,0)),
IF($D1652="폐업",INDEX(폐업정보!$D$3:$R$3000,MATCH($F1652,폐업정보!$I$3:$I$3000,0),MATCH(H$4,폐업정보!$D$3:$R$3,0)),
"Error"))</f>
        <v>45758</v>
      </c>
      <c r="I1652" s="75" t="str">
        <f aca="false">
IF($D1652="정상",INDEX(임대자산!$D$3:$R$3000,MATCH($F1652,임대자산!$I$3:$I$3000,0),MATCH(I$4,임대자산!$D$3:$R$3,0)),
IF($D1652="폐업",INDEX(폐업정보!$D$3:$R$3000,MATCH($F1652,폐업정보!$I$3:$I$3000,0),MATCH(I$4,폐업정보!$D$3:$R$3,0)),
"Error"))</f>
        <v>A1647</v>
      </c>
      <c r="J1652" s="75" t="str">
        <f aca="false">
IF($D1652="정상",INDEX(임대자산!$D$3:$R$3000,MATCH($F1652,임대자산!$I$3:$I$3000,0),MATCH(J$4,임대자산!$D$3:$R$3,0)),
IF($D1652="폐업",INDEX(폐업정보!$D$3:$R$3000,MATCH($F1652,폐업정보!$I$3:$I$3000,0),MATCH(J$4,폐업정보!$D$3:$R$3,0)),
"Error"))</f>
        <v>9792800000</v>
      </c>
      <c r="K1652" s="75" t="str">
        <f aca="false">
IF($D1652="정상",INDEX(임대자산!$D$3:$R$3000,MATCH($F1652,임대자산!$I$3:$I$3000,0),MATCH(K$4,임대자산!$D$3:$R$3,0)),
IF($D1652="폐업",INDEX(폐업정보!$D$3:$R$3000,MATCH($F1652,폐업정보!$I$3:$I$3000,0),MATCH(K$4,폐업정보!$D$3:$R$3,0)),
"Error"))</f>
        <v>C1647</v>
      </c>
      <c r="L1652" s="75" t="str">
        <f aca="false">
IF($D1652="정상",INDEX(임대자산!$D$3:$R$3000,MATCH($F1652,임대자산!$I$3:$I$3000,0),MATCH(L$4,임대자산!$D$3:$R$3,0)),
IF($D1652="폐업",INDEX(폐업정보!$D$3:$R$3000,MATCH($F1652,폐업정보!$I$3:$I$3000,0),MATCH(L$4,폐업정보!$D$3:$R$3,0)),
"Error"))</f>
        <v>D1647</v>
      </c>
      <c r="M1652" s="76" t="s">
        <v>96</v>
      </c>
      <c r="N1652" s="77"/>
      <c r="O1652" s="78" t="s">
        <v>97</v>
      </c>
      <c r="P1652" s="79" t="n">
        <f aca="false">COUNTIFS(임대자산!$I:$I,가맹점정보!F1652,임대자산!$N:$N,가맹점정보!P$4)</f>
        <v>0</v>
      </c>
      <c r="Q1652" s="80" t="n">
        <f aca="false">COUNTIFS(임대자산!$I:$I,가맹점정보!F1652,임대자산!$N:$N,가맹점정보!Q$4)</f>
        <v>0</v>
      </c>
      <c r="R1652" s="81" t="n">
        <f aca="false">COUNTIFS(임대자산!$I:$I,가맹점정보!F1652,임대자산!$N:$N,가맹점정보!R$4)</f>
        <v>1</v>
      </c>
      <c r="S1652" s="82" t="n">
        <v>55000</v>
      </c>
      <c r="T1652" s="83" t="n">
        <v>0</v>
      </c>
      <c r="U1652" s="80" t="n">
        <f aca="false">SUM(S1652:T1652)</f>
        <v>55000</v>
      </c>
      <c r="V1652" s="84" t="s">
        <v>12</v>
      </c>
      <c r="W1652" s="80" t="e">
        <f aca="true">
IF(D1652="폐업","폐업",
IF(V1652="면제","면제",
IF(AND(V1652="정상",COUNTIFS(OFFSET(Y1652,0,COUNTA(Y1652:AV1652)-1,1,-4),"미납")&gt;=3),"장기미납",
IF(AND(V1652="정상",OFFSET(Y1652,0,COUNTA(Y1652:AV1652)-1)&gt;=U1652),"정상",
IF(AND(V1652="정상",OFFSET(Y1652,0,COUNTA(Y1652:AV1652)-1)=0),"정상",
"계약서 미작성")))))</f>
        <v>#VALUE!</v>
      </c>
      <c r="X1652" s="81" t="str">
        <f aca="true">
IF(D1652="폐업","폐업",
IF(AND(V1652="정상",OFFSET(Y1652,0,COUNTA(Y1652:AV1652)-1)="미납"),"미납",
IF(AND(V1652="정상",OFFSET(Y1652,0,COUNTA(Y1652:AV1652)-1)=0),"납부 시작 전",
IF(AND(V1652="정상",OFFSET(Y1652,0,COUNTA(Y1652:AV1652)-1)&gt;=U1652),"정상",
IF(AND(V1652="면제",OFFSET(Y1652,0,COUNTA(Y1652:AV1652)-1)="면제"),"면제",
IF(AND(V1652="면제",OFFSET(Y1652,0,COUNTA(Y1652:AV1652)-1)=0),"면제",
"확인요청"))))))</f>
        <v>정상</v>
      </c>
      <c r="Y1652" s="93" t="n">
        <v>55000</v>
      </c>
      <c r="Z1652" s="90" t="n">
        <v>55000</v>
      </c>
      <c r="AA1652" s="90" t="n">
        <v>55000</v>
      </c>
      <c r="AB1652" s="90" t="n">
        <v>55000</v>
      </c>
      <c r="AC1652" s="90" t="n">
        <v>55000</v>
      </c>
      <c r="AD1652" s="90" t="n">
        <v>55000</v>
      </c>
      <c r="AE1652" s="90" t="n">
        <v>55000</v>
      </c>
      <c r="AF1652" s="90" t="n">
        <v>55000</v>
      </c>
      <c r="AG1652" s="90" t="n">
        <v>55000</v>
      </c>
      <c r="AH1652" s="90" t="n">
        <v>55000</v>
      </c>
      <c r="AI1652" s="90" t="n">
        <v>55000</v>
      </c>
      <c r="AJ1652" s="91" t="n">
        <v>55000</v>
      </c>
      <c r="AK1652" s="89" t="n">
        <v>55000</v>
      </c>
      <c r="AL1652" s="90" t="n">
        <v>55000</v>
      </c>
      <c r="AM1652" s="90"/>
      <c r="AN1652" s="90"/>
      <c r="AO1652" s="90"/>
      <c r="AP1652" s="90"/>
      <c r="AQ1652" s="90"/>
      <c r="AR1652" s="90"/>
      <c r="AS1652" s="90"/>
      <c r="AT1652" s="90"/>
      <c r="AU1652" s="90"/>
      <c r="AV1652" s="91"/>
      <c r="AX1652" s="92"/>
    </row>
    <row r="1653" customFormat="false" ht="15.65" hidden="false" customHeight="false" outlineLevel="0" collapsed="false">
      <c r="C1653" s="72" t="n">
        <f aca="false">COUNTIFS($D$6:D1653,"&lt;&gt;"&amp;"")</f>
        <v>1648</v>
      </c>
      <c r="D1653" s="73" t="s">
        <v>12</v>
      </c>
      <c r="E1653" s="76" t="str">
        <f aca="false">
IF($D1653="정상",INDEX(임대자산!$D$3:$R$3000,MATCH($F1653,임대자산!$I$3:$I$3000,0),MATCH(E$3,임대자산!$D$3:$R$3,0)),
IF($D1653="폐업",INDEX(폐업정보!$D$3:$R$3000,MATCH($F1653,폐업정보!$I$3:$I$3000,0),MATCH(E$3,폐업정보!$D$3:$R$3,0)),
"Error"))</f>
        <v>서울</v>
      </c>
      <c r="F165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B1648</v>
      </c>
      <c r="G1653" s="76" t="str">
        <f aca="false">F1653&amp;RANDBETWEEN(0,10)</f>
        <v>B16480</v>
      </c>
      <c r="H1653" s="75" t="n">
        <f aca="false">
IF($D1653="정상",INDEX(임대자산!$D$3:$R$3000,MATCH($F1653,임대자산!$I$3:$I$3000,0),MATCH(H$4,임대자산!$D$3:$R$3,0)),
IF($D1653="폐업",INDEX(폐업정보!$D$3:$R$3000,MATCH($F1653,폐업정보!$I$3:$I$3000,0),MATCH(H$4,폐업정보!$D$3:$R$3,0)),
"Error"))</f>
        <v>45758</v>
      </c>
      <c r="I1653" s="75" t="str">
        <f aca="false">
IF($D1653="정상",INDEX(임대자산!$D$3:$R$3000,MATCH($F1653,임대자산!$I$3:$I$3000,0),MATCH(I$4,임대자산!$D$3:$R$3,0)),
IF($D1653="폐업",INDEX(폐업정보!$D$3:$R$3000,MATCH($F1653,폐업정보!$I$3:$I$3000,0),MATCH(I$4,폐업정보!$D$3:$R$3,0)),
"Error"))</f>
        <v>A1648</v>
      </c>
      <c r="J1653" s="75" t="str">
        <f aca="false">
IF($D1653="정상",INDEX(임대자산!$D$3:$R$3000,MATCH($F1653,임대자산!$I$3:$I$3000,0),MATCH(J$4,임대자산!$D$3:$R$3,0)),
IF($D1653="폐업",INDEX(폐업정보!$D$3:$R$3000,MATCH($F1653,폐업정보!$I$3:$I$3000,0),MATCH(J$4,폐업정보!$D$3:$R$3,0)),
"Error"))</f>
        <v>6254700000</v>
      </c>
      <c r="K1653" s="75" t="str">
        <f aca="false">
IF($D1653="정상",INDEX(임대자산!$D$3:$R$3000,MATCH($F1653,임대자산!$I$3:$I$3000,0),MATCH(K$4,임대자산!$D$3:$R$3,0)),
IF($D1653="폐업",INDEX(폐업정보!$D$3:$R$3000,MATCH($F1653,폐업정보!$I$3:$I$3000,0),MATCH(K$4,폐업정보!$D$3:$R$3,0)),
"Error"))</f>
        <v>C1648</v>
      </c>
      <c r="L1653" s="75" t="str">
        <f aca="false">
IF($D1653="정상",INDEX(임대자산!$D$3:$R$3000,MATCH($F1653,임대자산!$I$3:$I$3000,0),MATCH(L$4,임대자산!$D$3:$R$3,0)),
IF($D1653="폐업",INDEX(폐업정보!$D$3:$R$3000,MATCH($F1653,폐업정보!$I$3:$I$3000,0),MATCH(L$4,폐업정보!$D$3:$R$3,0)),
"Error"))</f>
        <v>D1648</v>
      </c>
      <c r="M1653" s="76" t="s">
        <v>96</v>
      </c>
      <c r="N1653" s="77"/>
      <c r="O1653" s="78" t="s">
        <v>97</v>
      </c>
      <c r="P1653" s="79" t="n">
        <f aca="false">COUNTIFS(임대자산!$I:$I,가맹점정보!F1653,임대자산!$N:$N,가맹점정보!P$4)</f>
        <v>0</v>
      </c>
      <c r="Q1653" s="80" t="n">
        <f aca="false">COUNTIFS(임대자산!$I:$I,가맹점정보!F1653,임대자산!$N:$N,가맹점정보!Q$4)</f>
        <v>0</v>
      </c>
      <c r="R1653" s="81" t="n">
        <f aca="false">COUNTIFS(임대자산!$I:$I,가맹점정보!F1653,임대자산!$N:$N,가맹점정보!R$4)</f>
        <v>1</v>
      </c>
      <c r="S1653" s="82" t="n">
        <v>44000</v>
      </c>
      <c r="T1653" s="83" t="n">
        <v>44000</v>
      </c>
      <c r="U1653" s="80" t="n">
        <f aca="false">SUM(S1653:T1653)</f>
        <v>88000</v>
      </c>
      <c r="V1653" s="84" t="s">
        <v>7</v>
      </c>
      <c r="W1653" s="80" t="str">
        <f aca="true">
IF(D1653="폐업","폐업",
IF(V1653="면제","면제",
IF(AND(V1653="정상",COUNTIFS(OFFSET(Y1653,0,COUNTA(Y1653:AV1653)-1,1,-4),"미납")&gt;=3),"장기미납",
IF(AND(V1653="정상",OFFSET(Y1653,0,COUNTA(Y1653:AV1653)-1)&gt;=U1653),"정상",
IF(AND(V1653="정상",OFFSET(Y1653,0,COUNTA(Y1653:AV1653)-1)=0),"정상",
"계약서 미작성")))))</f>
        <v>면제</v>
      </c>
      <c r="X1653" s="81" t="str">
        <f aca="true">
IF(D1653="폐업","폐업",
IF(AND(V1653="정상",OFFSET(Y1653,0,COUNTA(Y1653:AV1653)-1)="미납"),"미납",
IF(AND(V1653="정상",OFFSET(Y1653,0,COUNTA(Y1653:AV1653)-1)=0),"납부 시작 전",
IF(AND(V1653="정상",OFFSET(Y1653,0,COUNTA(Y1653:AV1653)-1)&gt;=U1653),"정상",
IF(AND(V1653="면제",OFFSET(Y1653,0,COUNTA(Y1653:AV1653)-1)="면제"),"면제",
IF(AND(V1653="면제",OFFSET(Y1653,0,COUNTA(Y1653:AV1653)-1)=0),"면제",
"확인요청"))))))</f>
        <v>면제</v>
      </c>
      <c r="Y1653" s="93" t="n">
        <v>88000</v>
      </c>
      <c r="Z1653" s="90" t="n">
        <v>88000</v>
      </c>
      <c r="AA1653" s="90" t="n">
        <v>88000</v>
      </c>
      <c r="AB1653" s="90" t="n">
        <v>88000</v>
      </c>
      <c r="AC1653" s="90" t="n">
        <v>88000</v>
      </c>
      <c r="AD1653" s="90" t="n">
        <v>88000</v>
      </c>
      <c r="AE1653" s="90" t="n">
        <v>88000</v>
      </c>
      <c r="AF1653" s="90" t="n">
        <v>88000</v>
      </c>
      <c r="AG1653" s="90" t="n">
        <v>88000</v>
      </c>
      <c r="AH1653" s="90" t="n">
        <v>88000</v>
      </c>
      <c r="AI1653" s="90" t="n">
        <v>88000</v>
      </c>
      <c r="AJ1653" s="91" t="n">
        <v>88000</v>
      </c>
      <c r="AK1653" s="97" t="s">
        <v>62</v>
      </c>
      <c r="AL1653" s="95" t="s">
        <v>7</v>
      </c>
      <c r="AM1653" s="90"/>
      <c r="AN1653" s="90"/>
      <c r="AO1653" s="90"/>
      <c r="AP1653" s="90"/>
      <c r="AQ1653" s="90"/>
      <c r="AR1653" s="90"/>
      <c r="AS1653" s="90"/>
      <c r="AT1653" s="90"/>
      <c r="AU1653" s="90"/>
      <c r="AV1653" s="91"/>
      <c r="AX1653" s="92"/>
    </row>
    <row r="1654" customFormat="false" ht="15.65" hidden="false" customHeight="false" outlineLevel="0" collapsed="false">
      <c r="C1654" s="72" t="n">
        <f aca="false">COUNTIFS($D$6:D1654,"&lt;&gt;"&amp;"")</f>
        <v>1649</v>
      </c>
      <c r="D1654" s="73" t="s">
        <v>12</v>
      </c>
      <c r="E1654" s="76" t="str">
        <f aca="false">
IF($D1654="정상",INDEX(임대자산!$D$3:$R$3000,MATCH($F1654,임대자산!$I$3:$I$3000,0),MATCH(E$3,임대자산!$D$3:$R$3,0)),
IF($D1654="폐업",INDEX(폐업정보!$D$3:$R$3000,MATCH($F1654,폐업정보!$I$3:$I$3000,0),MATCH(E$3,폐업정보!$D$3:$R$3,0)),
"Error"))</f>
        <v>강원</v>
      </c>
      <c r="F165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B1649</v>
      </c>
      <c r="G1654" s="76" t="str">
        <f aca="false">F1654&amp;RANDBETWEEN(0,10)</f>
        <v>B16492</v>
      </c>
      <c r="H1654" s="75" t="n">
        <f aca="false">
IF($D1654="정상",INDEX(임대자산!$D$3:$R$3000,MATCH($F1654,임대자산!$I$3:$I$3000,0),MATCH(H$4,임대자산!$D$3:$R$3,0)),
IF($D1654="폐업",INDEX(폐업정보!$D$3:$R$3000,MATCH($F1654,폐업정보!$I$3:$I$3000,0),MATCH(H$4,폐업정보!$D$3:$R$3,0)),
"Error"))</f>
        <v>45761</v>
      </c>
      <c r="I1654" s="75" t="str">
        <f aca="false">
IF($D1654="정상",INDEX(임대자산!$D$3:$R$3000,MATCH($F1654,임대자산!$I$3:$I$3000,0),MATCH(I$4,임대자산!$D$3:$R$3,0)),
IF($D1654="폐업",INDEX(폐업정보!$D$3:$R$3000,MATCH($F1654,폐업정보!$I$3:$I$3000,0),MATCH(I$4,폐업정보!$D$3:$R$3,0)),
"Error"))</f>
        <v>A1649</v>
      </c>
      <c r="J1654" s="75" t="str">
        <f aca="false">
IF($D1654="정상",INDEX(임대자산!$D$3:$R$3000,MATCH($F1654,임대자산!$I$3:$I$3000,0),MATCH(J$4,임대자산!$D$3:$R$3,0)),
IF($D1654="폐업",INDEX(폐업정보!$D$3:$R$3000,MATCH($F1654,폐업정보!$I$3:$I$3000,0),MATCH(J$4,폐업정보!$D$3:$R$3,0)),
"Error"))</f>
        <v>4667900000</v>
      </c>
      <c r="K1654" s="75" t="str">
        <f aca="false">
IF($D1654="정상",INDEX(임대자산!$D$3:$R$3000,MATCH($F1654,임대자산!$I$3:$I$3000,0),MATCH(K$4,임대자산!$D$3:$R$3,0)),
IF($D1654="폐업",INDEX(폐업정보!$D$3:$R$3000,MATCH($F1654,폐업정보!$I$3:$I$3000,0),MATCH(K$4,폐업정보!$D$3:$R$3,0)),
"Error"))</f>
        <v>C1649</v>
      </c>
      <c r="L1654" s="75" t="str">
        <f aca="false">
IF($D1654="정상",INDEX(임대자산!$D$3:$R$3000,MATCH($F1654,임대자산!$I$3:$I$3000,0),MATCH(L$4,임대자산!$D$3:$R$3,0)),
IF($D1654="폐업",INDEX(폐업정보!$D$3:$R$3000,MATCH($F1654,폐업정보!$I$3:$I$3000,0),MATCH(L$4,폐업정보!$D$3:$R$3,0)),
"Error"))</f>
        <v>D1649</v>
      </c>
      <c r="M1654" s="76" t="s">
        <v>96</v>
      </c>
      <c r="N1654" s="77"/>
      <c r="O1654" s="78" t="s">
        <v>97</v>
      </c>
      <c r="P1654" s="79" t="n">
        <f aca="false">COUNTIFS(임대자산!$I:$I,가맹점정보!F1654,임대자산!$N:$N,가맹점정보!P$4)</f>
        <v>0</v>
      </c>
      <c r="Q1654" s="80" t="n">
        <f aca="false">COUNTIFS(임대자산!$I:$I,가맹점정보!F1654,임대자산!$N:$N,가맹점정보!Q$4)</f>
        <v>0</v>
      </c>
      <c r="R1654" s="81" t="n">
        <f aca="false">COUNTIFS(임대자산!$I:$I,가맹점정보!F1654,임대자산!$N:$N,가맹점정보!R$4)</f>
        <v>1</v>
      </c>
      <c r="S1654" s="82" t="n">
        <v>55000</v>
      </c>
      <c r="T1654" s="83" t="n">
        <v>0</v>
      </c>
      <c r="U1654" s="80" t="n">
        <f aca="false">SUM(S1654:T1654)</f>
        <v>55000</v>
      </c>
      <c r="V1654" s="84" t="s">
        <v>12</v>
      </c>
      <c r="W1654" s="80" t="e">
        <f aca="true">
IF(D1654="폐업","폐업",
IF(V1654="면제","면제",
IF(AND(V1654="정상",COUNTIFS(OFFSET(Y1654,0,COUNTA(Y1654:AV1654)-1,1,-4),"미납")&gt;=3),"장기미납",
IF(AND(V1654="정상",OFFSET(Y1654,0,COUNTA(Y1654:AV1654)-1)&gt;=U1654),"정상",
IF(AND(V1654="정상",OFFSET(Y1654,0,COUNTA(Y1654:AV1654)-1)=0),"정상",
"계약서 미작성")))))</f>
        <v>#VALUE!</v>
      </c>
      <c r="X1654" s="81" t="str">
        <f aca="true">
IF(D1654="폐업","폐업",
IF(AND(V1654="정상",OFFSET(Y1654,0,COUNTA(Y1654:AV1654)-1)="미납"),"미납",
IF(AND(V1654="정상",OFFSET(Y1654,0,COUNTA(Y1654:AV1654)-1)=0),"납부 시작 전",
IF(AND(V1654="정상",OFFSET(Y1654,0,COUNTA(Y1654:AV1654)-1)&gt;=U1654),"정상",
IF(AND(V1654="면제",OFFSET(Y1654,0,COUNTA(Y1654:AV1654)-1)="면제"),"면제",
IF(AND(V1654="면제",OFFSET(Y1654,0,COUNTA(Y1654:AV1654)-1)=0),"면제",
"확인요청"))))))</f>
        <v>정상</v>
      </c>
      <c r="Y1654" s="93" t="n">
        <v>55000</v>
      </c>
      <c r="Z1654" s="90" t="n">
        <v>55000</v>
      </c>
      <c r="AA1654" s="90" t="n">
        <v>55000</v>
      </c>
      <c r="AB1654" s="90" t="n">
        <v>55000</v>
      </c>
      <c r="AC1654" s="90" t="n">
        <v>55000</v>
      </c>
      <c r="AD1654" s="90" t="n">
        <v>55000</v>
      </c>
      <c r="AE1654" s="90" t="n">
        <v>55000</v>
      </c>
      <c r="AF1654" s="90" t="n">
        <v>55000</v>
      </c>
      <c r="AG1654" s="90" t="n">
        <v>55000</v>
      </c>
      <c r="AH1654" s="90" t="n">
        <v>55000</v>
      </c>
      <c r="AI1654" s="90" t="n">
        <v>55000</v>
      </c>
      <c r="AJ1654" s="91" t="n">
        <v>55000</v>
      </c>
      <c r="AK1654" s="89" t="n">
        <v>55000</v>
      </c>
      <c r="AL1654" s="90" t="n">
        <v>55000</v>
      </c>
      <c r="AM1654" s="90"/>
      <c r="AN1654" s="90"/>
      <c r="AO1654" s="90"/>
      <c r="AP1654" s="90"/>
      <c r="AQ1654" s="90"/>
      <c r="AR1654" s="90"/>
      <c r="AS1654" s="90"/>
      <c r="AT1654" s="90"/>
      <c r="AU1654" s="90"/>
      <c r="AV1654" s="91"/>
      <c r="AX1654" s="92"/>
    </row>
    <row r="1655" customFormat="false" ht="15.65" hidden="false" customHeight="false" outlineLevel="0" collapsed="false">
      <c r="C1655" s="72" t="n">
        <f aca="false">COUNTIFS($D$6:D1655,"&lt;&gt;"&amp;"")</f>
        <v>1650</v>
      </c>
      <c r="D1655" s="73" t="s">
        <v>5</v>
      </c>
      <c r="E1655" s="76" t="str">
        <f aca="false">
IF($D1655="정상",INDEX(임대자산!$D$3:$R$3000,MATCH($F1655,임대자산!$I$3:$I$3000,0),MATCH(E$3,임대자산!$D$3:$R$3,0)),
IF($D1655="폐업",INDEX(폐업정보!$D$3:$R$3000,MATCH($F1655,폐업정보!$I$3:$I$3000,0),MATCH(E$3,폐업정보!$D$3:$R$3,0)),
"Error"))</f>
        <v>강원</v>
      </c>
      <c r="F165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B1650</v>
      </c>
      <c r="G1655" s="76" t="str">
        <f aca="false">F1655&amp;RANDBETWEEN(0,10)</f>
        <v>B16501</v>
      </c>
      <c r="H1655" s="75" t="n">
        <f aca="false">
IF($D1655="정상",INDEX(임대자산!$D$3:$R$3000,MATCH($F1655,임대자산!$I$3:$I$3000,0),MATCH(H$4,임대자산!$D$3:$R$3,0)),
IF($D1655="폐업",INDEX(폐업정보!$D$3:$R$3000,MATCH($F1655,폐업정보!$I$3:$I$3000,0),MATCH(H$4,폐업정보!$D$3:$R$3,0)),
"Error"))</f>
        <v>45761</v>
      </c>
      <c r="I1655" s="75" t="str">
        <f aca="false">
IF($D1655="정상",INDEX(임대자산!$D$3:$R$3000,MATCH($F1655,임대자산!$I$3:$I$3000,0),MATCH(I$4,임대자산!$D$3:$R$3,0)),
IF($D1655="폐업",INDEX(폐업정보!$D$3:$R$3000,MATCH($F1655,폐업정보!$I$3:$I$3000,0),MATCH(I$4,폐업정보!$D$3:$R$3,0)),
"Error"))</f>
        <v>A1650</v>
      </c>
      <c r="J1655" s="75" t="str">
        <f aca="false">
IF($D1655="정상",INDEX(임대자산!$D$3:$R$3000,MATCH($F1655,임대자산!$I$3:$I$3000,0),MATCH(J$4,임대자산!$D$3:$R$3,0)),
IF($D1655="폐업",INDEX(폐업정보!$D$3:$R$3000,MATCH($F1655,폐업정보!$I$3:$I$3000,0),MATCH(J$4,폐업정보!$D$3:$R$3,0)),
"Error"))</f>
        <v>2177900000</v>
      </c>
      <c r="K1655" s="75" t="str">
        <f aca="false">
IF($D1655="정상",INDEX(임대자산!$D$3:$R$3000,MATCH($F1655,임대자산!$I$3:$I$3000,0),MATCH(K$4,임대자산!$D$3:$R$3,0)),
IF($D1655="폐업",INDEX(폐업정보!$D$3:$R$3000,MATCH($F1655,폐업정보!$I$3:$I$3000,0),MATCH(K$4,폐업정보!$D$3:$R$3,0)),
"Error"))</f>
        <v>C1650</v>
      </c>
      <c r="L1655" s="75" t="str">
        <f aca="false">
IF($D1655="정상",INDEX(임대자산!$D$3:$R$3000,MATCH($F1655,임대자산!$I$3:$I$3000,0),MATCH(L$4,임대자산!$D$3:$R$3,0)),
IF($D1655="폐업",INDEX(폐업정보!$D$3:$R$3000,MATCH($F1655,폐업정보!$I$3:$I$3000,0),MATCH(L$4,폐업정보!$D$3:$R$3,0)),
"Error"))</f>
        <v>D1650</v>
      </c>
      <c r="M1655" s="76" t="s">
        <v>96</v>
      </c>
      <c r="N1655" s="77"/>
      <c r="O1655" s="78" t="s">
        <v>97</v>
      </c>
      <c r="P1655" s="79" t="n">
        <f aca="false">COUNTIFS(임대자산!$I:$I,가맹점정보!F1655,임대자산!$N:$N,가맹점정보!P$4)</f>
        <v>0</v>
      </c>
      <c r="Q1655" s="80" t="n">
        <f aca="false">COUNTIFS(임대자산!$I:$I,가맹점정보!F1655,임대자산!$N:$N,가맹점정보!Q$4)</f>
        <v>0</v>
      </c>
      <c r="R1655" s="81" t="n">
        <f aca="false">COUNTIFS(임대자산!$I:$I,가맹점정보!F1655,임대자산!$N:$N,가맹점정보!R$4)</f>
        <v>0</v>
      </c>
      <c r="S1655" s="82" t="n">
        <v>55000</v>
      </c>
      <c r="T1655" s="83" t="n">
        <v>0</v>
      </c>
      <c r="U1655" s="80" t="n">
        <f aca="false">SUM(S1655:T1655)</f>
        <v>55000</v>
      </c>
      <c r="V1655" s="84" t="s">
        <v>12</v>
      </c>
      <c r="W1655" s="80" t="str">
        <f aca="true">
IF(D1655="폐업","폐업",
IF(V1655="면제","면제",
IF(AND(V1655="정상",COUNTIFS(OFFSET(Y1655,0,COUNTA(Y1655:AV1655)-1,1,-4),"미납")&gt;=3),"장기미납",
IF(AND(V1655="정상",OFFSET(Y1655,0,COUNTA(Y1655:AV1655)-1)&gt;=U1655),"정상",
IF(AND(V1655="정상",OFFSET(Y1655,0,COUNTA(Y1655:AV1655)-1)=0),"정상",
"계약서 미작성")))))</f>
        <v>폐업</v>
      </c>
      <c r="X1655" s="81" t="str">
        <f aca="true">
IF(D1655="폐업","폐업",
IF(AND(V1655="정상",OFFSET(Y1655,0,COUNTA(Y1655:AV1655)-1)="미납"),"미납",
IF(AND(V1655="정상",OFFSET(Y1655,0,COUNTA(Y1655:AV1655)-1)=0),"납부 시작 전",
IF(AND(V1655="정상",OFFSET(Y1655,0,COUNTA(Y1655:AV1655)-1)&gt;=U1655),"정상",
IF(AND(V1655="면제",OFFSET(Y1655,0,COUNTA(Y1655:AV1655)-1)="면제"),"면제",
IF(AND(V1655="면제",OFFSET(Y1655,0,COUNTA(Y1655:AV1655)-1)=0),"면제",
"확인요청"))))))</f>
        <v>폐업</v>
      </c>
      <c r="Y1655" s="93" t="n">
        <v>55000</v>
      </c>
      <c r="Z1655" s="90" t="n">
        <v>55000</v>
      </c>
      <c r="AA1655" s="90" t="n">
        <v>55000</v>
      </c>
      <c r="AB1655" s="90" t="n">
        <v>55000</v>
      </c>
      <c r="AC1655" s="90" t="n">
        <v>55000</v>
      </c>
      <c r="AD1655" s="90" t="n">
        <v>55000</v>
      </c>
      <c r="AE1655" s="90" t="n">
        <v>55000</v>
      </c>
      <c r="AF1655" s="90" t="n">
        <v>55000</v>
      </c>
      <c r="AG1655" s="90" t="n">
        <v>55000</v>
      </c>
      <c r="AH1655" s="90" t="n">
        <v>55000</v>
      </c>
      <c r="AI1655" s="90" t="n">
        <v>55000</v>
      </c>
      <c r="AJ1655" s="91" t="n">
        <v>55000</v>
      </c>
      <c r="AK1655" s="89" t="n">
        <v>55000</v>
      </c>
      <c r="AL1655" s="90" t="n">
        <v>55000</v>
      </c>
      <c r="AM1655" s="90"/>
      <c r="AN1655" s="90"/>
      <c r="AO1655" s="90"/>
      <c r="AP1655" s="90"/>
      <c r="AQ1655" s="90"/>
      <c r="AR1655" s="90"/>
      <c r="AS1655" s="90"/>
      <c r="AT1655" s="90"/>
      <c r="AU1655" s="90"/>
      <c r="AV1655" s="91"/>
      <c r="AX1655" s="92"/>
    </row>
    <row r="1656" customFormat="false" ht="15.65" hidden="false" customHeight="false" outlineLevel="0" collapsed="false">
      <c r="C1656" s="72" t="n">
        <f aca="false">COUNTIFS($D$6:D1656,"&lt;&gt;"&amp;"")</f>
        <v>1651</v>
      </c>
      <c r="D1656" s="73" t="s">
        <v>12</v>
      </c>
      <c r="E1656" s="76" t="str">
        <f aca="false">
IF($D1656="정상",INDEX(임대자산!$D$3:$R$3000,MATCH($F1656,임대자산!$I$3:$I$3000,0),MATCH(E$3,임대자산!$D$3:$R$3,0)),
IF($D1656="폐업",INDEX(폐업정보!$D$3:$R$3000,MATCH($F1656,폐업정보!$I$3:$I$3000,0),MATCH(E$3,폐업정보!$D$3:$R$3,0)),
"Error"))</f>
        <v>서울</v>
      </c>
      <c r="F165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B1651</v>
      </c>
      <c r="G1656" s="76" t="str">
        <f aca="false">F1656&amp;RANDBETWEEN(0,10)</f>
        <v>B16512</v>
      </c>
      <c r="H1656" s="75" t="n">
        <f aca="false">
IF($D1656="정상",INDEX(임대자산!$D$3:$R$3000,MATCH($F1656,임대자산!$I$3:$I$3000,0),MATCH(H$4,임대자산!$D$3:$R$3,0)),
IF($D1656="폐업",INDEX(폐업정보!$D$3:$R$3000,MATCH($F1656,폐업정보!$I$3:$I$3000,0),MATCH(H$4,폐업정보!$D$3:$R$3,0)),
"Error"))</f>
        <v>45981</v>
      </c>
      <c r="I1656" s="75" t="str">
        <f aca="false">
IF($D1656="정상",INDEX(임대자산!$D$3:$R$3000,MATCH($F1656,임대자산!$I$3:$I$3000,0),MATCH(I$4,임대자산!$D$3:$R$3,0)),
IF($D1656="폐업",INDEX(폐업정보!$D$3:$R$3000,MATCH($F1656,폐업정보!$I$3:$I$3000,0),MATCH(I$4,폐업정보!$D$3:$R$3,0)),
"Error"))</f>
        <v>A1651</v>
      </c>
      <c r="J1656" s="75" t="str">
        <f aca="false">
IF($D1656="정상",INDEX(임대자산!$D$3:$R$3000,MATCH($F1656,임대자산!$I$3:$I$3000,0),MATCH(J$4,임대자산!$D$3:$R$3,0)),
IF($D1656="폐업",INDEX(폐업정보!$D$3:$R$3000,MATCH($F1656,폐업정보!$I$3:$I$3000,0),MATCH(J$4,폐업정보!$D$3:$R$3,0)),
"Error"))</f>
        <v>2856100000</v>
      </c>
      <c r="K1656" s="75" t="str">
        <f aca="false">
IF($D1656="정상",INDEX(임대자산!$D$3:$R$3000,MATCH($F1656,임대자산!$I$3:$I$3000,0),MATCH(K$4,임대자산!$D$3:$R$3,0)),
IF($D1656="폐업",INDEX(폐업정보!$D$3:$R$3000,MATCH($F1656,폐업정보!$I$3:$I$3000,0),MATCH(K$4,폐업정보!$D$3:$R$3,0)),
"Error"))</f>
        <v>C1651</v>
      </c>
      <c r="L1656" s="75" t="str">
        <f aca="false">
IF($D1656="정상",INDEX(임대자산!$D$3:$R$3000,MATCH($F1656,임대자산!$I$3:$I$3000,0),MATCH(L$4,임대자산!$D$3:$R$3,0)),
IF($D1656="폐업",INDEX(폐업정보!$D$3:$R$3000,MATCH($F1656,폐업정보!$I$3:$I$3000,0),MATCH(L$4,폐업정보!$D$3:$R$3,0)),
"Error"))</f>
        <v>D1651</v>
      </c>
      <c r="M1656" s="76" t="s">
        <v>96</v>
      </c>
      <c r="N1656" s="77"/>
      <c r="O1656" s="78" t="s">
        <v>97</v>
      </c>
      <c r="P1656" s="79" t="n">
        <f aca="false">COUNTIFS(임대자산!$I:$I,가맹점정보!F1656,임대자산!$N:$N,가맹점정보!P$4)</f>
        <v>0</v>
      </c>
      <c r="Q1656" s="80" t="n">
        <f aca="false">COUNTIFS(임대자산!$I:$I,가맹점정보!F1656,임대자산!$N:$N,가맹점정보!Q$4)</f>
        <v>0</v>
      </c>
      <c r="R1656" s="81" t="n">
        <f aca="false">COUNTIFS(임대자산!$I:$I,가맹점정보!F1656,임대자산!$N:$N,가맹점정보!R$4)</f>
        <v>1</v>
      </c>
      <c r="S1656" s="82" t="n">
        <v>55000</v>
      </c>
      <c r="T1656" s="83" t="n">
        <v>0</v>
      </c>
      <c r="U1656" s="80" t="n">
        <f aca="false">SUM(S1656:T1656)</f>
        <v>55000</v>
      </c>
      <c r="V1656" s="84" t="s">
        <v>12</v>
      </c>
      <c r="W1656" s="80" t="e">
        <f aca="true">
IF(D1656="폐업","폐업",
IF(V1656="면제","면제",
IF(AND(V1656="정상",COUNTIFS(OFFSET(Y1656,0,COUNTA(Y1656:AV1656)-1,1,-4),"미납")&gt;=3),"장기미납",
IF(AND(V1656="정상",OFFSET(Y1656,0,COUNTA(Y1656:AV1656)-1)&gt;=U1656),"정상",
IF(AND(V1656="정상",OFFSET(Y1656,0,COUNTA(Y1656:AV1656)-1)=0),"정상",
"계약서 미작성")))))</f>
        <v>#VALUE!</v>
      </c>
      <c r="X1656" s="81" t="str">
        <f aca="true">
IF(D1656="폐업","폐업",
IF(AND(V1656="정상",OFFSET(Y1656,0,COUNTA(Y1656:AV1656)-1)="미납"),"미납",
IF(AND(V1656="정상",OFFSET(Y1656,0,COUNTA(Y1656:AV1656)-1)=0),"납부 시작 전",
IF(AND(V1656="정상",OFFSET(Y1656,0,COUNTA(Y1656:AV1656)-1)&gt;=U1656),"정상",
IF(AND(V1656="면제",OFFSET(Y1656,0,COUNTA(Y1656:AV1656)-1)="면제"),"면제",
IF(AND(V1656="면제",OFFSET(Y1656,0,COUNTA(Y1656:AV1656)-1)=0),"면제",
"확인요청"))))))</f>
        <v>정상</v>
      </c>
      <c r="Y1656" s="93" t="n">
        <v>55000</v>
      </c>
      <c r="Z1656" s="90" t="n">
        <v>55000</v>
      </c>
      <c r="AA1656" s="90" t="n">
        <v>55000</v>
      </c>
      <c r="AB1656" s="90" t="n">
        <v>55000</v>
      </c>
      <c r="AC1656" s="90" t="n">
        <v>55000</v>
      </c>
      <c r="AD1656" s="90" t="n">
        <v>55000</v>
      </c>
      <c r="AE1656" s="90" t="n">
        <v>55000</v>
      </c>
      <c r="AF1656" s="90" t="n">
        <v>55000</v>
      </c>
      <c r="AG1656" s="90" t="n">
        <v>55000</v>
      </c>
      <c r="AH1656" s="90" t="n">
        <v>55000</v>
      </c>
      <c r="AI1656" s="90" t="n">
        <v>55000</v>
      </c>
      <c r="AJ1656" s="91" t="n">
        <v>55000</v>
      </c>
      <c r="AK1656" s="89" t="n">
        <v>55000</v>
      </c>
      <c r="AL1656" s="90" t="n">
        <v>55000</v>
      </c>
      <c r="AM1656" s="90"/>
      <c r="AN1656" s="90"/>
      <c r="AO1656" s="90"/>
      <c r="AP1656" s="90"/>
      <c r="AQ1656" s="90"/>
      <c r="AR1656" s="90"/>
      <c r="AS1656" s="90"/>
      <c r="AT1656" s="90"/>
      <c r="AU1656" s="90"/>
      <c r="AV1656" s="91"/>
      <c r="AX1656" s="92"/>
    </row>
    <row r="1657" customFormat="false" ht="15.65" hidden="false" customHeight="false" outlineLevel="0" collapsed="false">
      <c r="C1657" s="72" t="n">
        <f aca="false">COUNTIFS($D$6:D1657,"&lt;&gt;"&amp;"")</f>
        <v>1652</v>
      </c>
      <c r="D1657" s="73" t="s">
        <v>12</v>
      </c>
      <c r="E1657" s="76" t="str">
        <f aca="false">
IF($D1657="정상",INDEX(임대자산!$D$3:$R$3000,MATCH($F1657,임대자산!$I$3:$I$3000,0),MATCH(E$3,임대자산!$D$3:$R$3,0)),
IF($D1657="폐업",INDEX(폐업정보!$D$3:$R$3000,MATCH($F1657,폐업정보!$I$3:$I$3000,0),MATCH(E$3,폐업정보!$D$3:$R$3,0)),
"Error"))</f>
        <v>서울</v>
      </c>
      <c r="F165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B1652</v>
      </c>
      <c r="G1657" s="76" t="str">
        <f aca="false">F1657&amp;RANDBETWEEN(0,10)</f>
        <v>B16528</v>
      </c>
      <c r="H1657" s="75" t="n">
        <f aca="false">
IF($D1657="정상",INDEX(임대자산!$D$3:$R$3000,MATCH($F1657,임대자산!$I$3:$I$3000,0),MATCH(H$4,임대자산!$D$3:$R$3,0)),
IF($D1657="폐업",INDEX(폐업정보!$D$3:$R$3000,MATCH($F1657,폐업정보!$I$3:$I$3000,0),MATCH(H$4,폐업정보!$D$3:$R$3,0)),
"Error"))</f>
        <v>45770</v>
      </c>
      <c r="I1657" s="75" t="str">
        <f aca="false">
IF($D1657="정상",INDEX(임대자산!$D$3:$R$3000,MATCH($F1657,임대자산!$I$3:$I$3000,0),MATCH(I$4,임대자산!$D$3:$R$3,0)),
IF($D1657="폐업",INDEX(폐업정보!$D$3:$R$3000,MATCH($F1657,폐업정보!$I$3:$I$3000,0),MATCH(I$4,폐업정보!$D$3:$R$3,0)),
"Error"))</f>
        <v>A1652</v>
      </c>
      <c r="J1657" s="75" t="str">
        <f aca="false">
IF($D1657="정상",INDEX(임대자산!$D$3:$R$3000,MATCH($F1657,임대자산!$I$3:$I$3000,0),MATCH(J$4,임대자산!$D$3:$R$3,0)),
IF($D1657="폐업",INDEX(폐업정보!$D$3:$R$3000,MATCH($F1657,폐업정보!$I$3:$I$3000,0),MATCH(J$4,폐업정보!$D$3:$R$3,0)),
"Error"))</f>
        <v>5176400000</v>
      </c>
      <c r="K1657" s="75" t="str">
        <f aca="false">
IF($D1657="정상",INDEX(임대자산!$D$3:$R$3000,MATCH($F1657,임대자산!$I$3:$I$3000,0),MATCH(K$4,임대자산!$D$3:$R$3,0)),
IF($D1657="폐업",INDEX(폐업정보!$D$3:$R$3000,MATCH($F1657,폐업정보!$I$3:$I$3000,0),MATCH(K$4,폐업정보!$D$3:$R$3,0)),
"Error"))</f>
        <v>C1652</v>
      </c>
      <c r="L1657" s="75" t="str">
        <f aca="false">
IF($D1657="정상",INDEX(임대자산!$D$3:$R$3000,MATCH($F1657,임대자산!$I$3:$I$3000,0),MATCH(L$4,임대자산!$D$3:$R$3,0)),
IF($D1657="폐업",INDEX(폐업정보!$D$3:$R$3000,MATCH($F1657,폐업정보!$I$3:$I$3000,0),MATCH(L$4,폐업정보!$D$3:$R$3,0)),
"Error"))</f>
        <v>D1652</v>
      </c>
      <c r="M1657" s="76" t="s">
        <v>96</v>
      </c>
      <c r="N1657" s="77"/>
      <c r="O1657" s="78" t="s">
        <v>97</v>
      </c>
      <c r="P1657" s="79" t="n">
        <f aca="false">COUNTIFS(임대자산!$I:$I,가맹점정보!F1657,임대자산!$N:$N,가맹점정보!P$4)</f>
        <v>0</v>
      </c>
      <c r="Q1657" s="80" t="n">
        <f aca="false">COUNTIFS(임대자산!$I:$I,가맹점정보!F1657,임대자산!$N:$N,가맹점정보!Q$4)</f>
        <v>0</v>
      </c>
      <c r="R1657" s="81" t="n">
        <f aca="false">COUNTIFS(임대자산!$I:$I,가맹점정보!F1657,임대자산!$N:$N,가맹점정보!R$4)</f>
        <v>1</v>
      </c>
      <c r="S1657" s="82" t="n">
        <v>55000</v>
      </c>
      <c r="T1657" s="83" t="n">
        <v>0</v>
      </c>
      <c r="U1657" s="80" t="n">
        <f aca="false">SUM(S1657:T1657)</f>
        <v>55000</v>
      </c>
      <c r="V1657" s="84" t="s">
        <v>7</v>
      </c>
      <c r="W1657" s="80" t="str">
        <f aca="true">
IF(D1657="폐업","폐업",
IF(V1657="면제","면제",
IF(AND(V1657="정상",COUNTIFS(OFFSET(Y1657,0,COUNTA(Y1657:AV1657)-1,1,-4),"미납")&gt;=3),"장기미납",
IF(AND(V1657="정상",OFFSET(Y1657,0,COUNTA(Y1657:AV1657)-1)&gt;=U1657),"정상",
IF(AND(V1657="정상",OFFSET(Y1657,0,COUNTA(Y1657:AV1657)-1)=0),"정상",
"계약서 미작성")))))</f>
        <v>면제</v>
      </c>
      <c r="X1657" s="81" t="str">
        <f aca="true">
IF(D1657="폐업","폐업",
IF(AND(V1657="정상",OFFSET(Y1657,0,COUNTA(Y1657:AV1657)-1)="미납"),"미납",
IF(AND(V1657="정상",OFFSET(Y1657,0,COUNTA(Y1657:AV1657)-1)=0),"납부 시작 전",
IF(AND(V1657="정상",OFFSET(Y1657,0,COUNTA(Y1657:AV1657)-1)&gt;=U1657),"정상",
IF(AND(V1657="면제",OFFSET(Y1657,0,COUNTA(Y1657:AV1657)-1)="면제"),"면제",
IF(AND(V1657="면제",OFFSET(Y1657,0,COUNTA(Y1657:AV1657)-1)=0),"면제",
"확인요청"))))))</f>
        <v>면제</v>
      </c>
      <c r="Y1657" s="94" t="s">
        <v>7</v>
      </c>
      <c r="Z1657" s="95" t="s">
        <v>7</v>
      </c>
      <c r="AA1657" s="95" t="s">
        <v>7</v>
      </c>
      <c r="AB1657" s="95" t="s">
        <v>7</v>
      </c>
      <c r="AC1657" s="95" t="s">
        <v>7</v>
      </c>
      <c r="AD1657" s="95" t="s">
        <v>7</v>
      </c>
      <c r="AE1657" s="95" t="s">
        <v>7</v>
      </c>
      <c r="AF1657" s="95" t="s">
        <v>7</v>
      </c>
      <c r="AG1657" s="95" t="s">
        <v>7</v>
      </c>
      <c r="AH1657" s="95" t="s">
        <v>7</v>
      </c>
      <c r="AI1657" s="95" t="s">
        <v>7</v>
      </c>
      <c r="AJ1657" s="96" t="s">
        <v>7</v>
      </c>
      <c r="AK1657" s="97" t="s">
        <v>7</v>
      </c>
      <c r="AL1657" s="95" t="s">
        <v>7</v>
      </c>
      <c r="AM1657" s="90"/>
      <c r="AN1657" s="90"/>
      <c r="AO1657" s="90"/>
      <c r="AP1657" s="90"/>
      <c r="AQ1657" s="90"/>
      <c r="AR1657" s="90"/>
      <c r="AS1657" s="90"/>
      <c r="AT1657" s="90"/>
      <c r="AU1657" s="90"/>
      <c r="AV1657" s="91"/>
      <c r="AX1657" s="92"/>
    </row>
    <row r="1658" customFormat="false" ht="15.65" hidden="false" customHeight="false" outlineLevel="0" collapsed="false">
      <c r="C1658" s="72" t="n">
        <f aca="false">COUNTIFS($D$6:D1658,"&lt;&gt;"&amp;"")</f>
        <v>1653</v>
      </c>
      <c r="D1658" s="73" t="s">
        <v>12</v>
      </c>
      <c r="E1658" s="76" t="str">
        <f aca="false">
IF($D1658="정상",INDEX(임대자산!$D$3:$R$3000,MATCH($F1658,임대자산!$I$3:$I$3000,0),MATCH(E$3,임대자산!$D$3:$R$3,0)),
IF($D1658="폐업",INDEX(폐업정보!$D$3:$R$3000,MATCH($F1658,폐업정보!$I$3:$I$3000,0),MATCH(E$3,폐업정보!$D$3:$R$3,0)),
"Error"))</f>
        <v>경상</v>
      </c>
      <c r="F165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B1653</v>
      </c>
      <c r="G1658" s="76" t="str">
        <f aca="false">F1658&amp;RANDBETWEEN(0,10)</f>
        <v>B16532</v>
      </c>
      <c r="H1658" s="75" t="n">
        <f aca="false">
IF($D1658="정상",INDEX(임대자산!$D$3:$R$3000,MATCH($F1658,임대자산!$I$3:$I$3000,0),MATCH(H$4,임대자산!$D$3:$R$3,0)),
IF($D1658="폐업",INDEX(폐업정보!$D$3:$R$3000,MATCH($F1658,폐업정보!$I$3:$I$3000,0),MATCH(H$4,폐업정보!$D$3:$R$3,0)),
"Error"))</f>
        <v>45770</v>
      </c>
      <c r="I1658" s="75" t="str">
        <f aca="false">
IF($D1658="정상",INDEX(임대자산!$D$3:$R$3000,MATCH($F1658,임대자산!$I$3:$I$3000,0),MATCH(I$4,임대자산!$D$3:$R$3,0)),
IF($D1658="폐업",INDEX(폐업정보!$D$3:$R$3000,MATCH($F1658,폐업정보!$I$3:$I$3000,0),MATCH(I$4,폐업정보!$D$3:$R$3,0)),
"Error"))</f>
        <v>A1653</v>
      </c>
      <c r="J1658" s="75" t="str">
        <f aca="false">
IF($D1658="정상",INDEX(임대자산!$D$3:$R$3000,MATCH($F1658,임대자산!$I$3:$I$3000,0),MATCH(J$4,임대자산!$D$3:$R$3,0)),
IF($D1658="폐업",INDEX(폐업정보!$D$3:$R$3000,MATCH($F1658,폐업정보!$I$3:$I$3000,0),MATCH(J$4,폐업정보!$D$3:$R$3,0)),
"Error"))</f>
        <v>9986000000</v>
      </c>
      <c r="K1658" s="75" t="str">
        <f aca="false">
IF($D1658="정상",INDEX(임대자산!$D$3:$R$3000,MATCH($F1658,임대자산!$I$3:$I$3000,0),MATCH(K$4,임대자산!$D$3:$R$3,0)),
IF($D1658="폐업",INDEX(폐업정보!$D$3:$R$3000,MATCH($F1658,폐업정보!$I$3:$I$3000,0),MATCH(K$4,폐업정보!$D$3:$R$3,0)),
"Error"))</f>
        <v>C1653</v>
      </c>
      <c r="L1658" s="75" t="str">
        <f aca="false">
IF($D1658="정상",INDEX(임대자산!$D$3:$R$3000,MATCH($F1658,임대자산!$I$3:$I$3000,0),MATCH(L$4,임대자산!$D$3:$R$3,0)),
IF($D1658="폐업",INDEX(폐업정보!$D$3:$R$3000,MATCH($F1658,폐업정보!$I$3:$I$3000,0),MATCH(L$4,폐업정보!$D$3:$R$3,0)),
"Error"))</f>
        <v>D1653</v>
      </c>
      <c r="M1658" s="76" t="s">
        <v>96</v>
      </c>
      <c r="N1658" s="77"/>
      <c r="O1658" s="78" t="s">
        <v>97</v>
      </c>
      <c r="P1658" s="79" t="n">
        <f aca="false">COUNTIFS(임대자산!$I:$I,가맹점정보!F1658,임대자산!$N:$N,가맹점정보!P$4)</f>
        <v>0</v>
      </c>
      <c r="Q1658" s="80" t="n">
        <f aca="false">COUNTIFS(임대자산!$I:$I,가맹점정보!F1658,임대자산!$N:$N,가맹점정보!Q$4)</f>
        <v>0</v>
      </c>
      <c r="R1658" s="81" t="n">
        <f aca="false">COUNTIFS(임대자산!$I:$I,가맹점정보!F1658,임대자산!$N:$N,가맹점정보!R$4)</f>
        <v>1</v>
      </c>
      <c r="S1658" s="82" t="n">
        <v>55000</v>
      </c>
      <c r="T1658" s="83" t="n">
        <v>0</v>
      </c>
      <c r="U1658" s="80" t="n">
        <f aca="false">SUM(S1658:T1658)</f>
        <v>55000</v>
      </c>
      <c r="V1658" s="84" t="s">
        <v>12</v>
      </c>
      <c r="W1658" s="80" t="e">
        <f aca="true">
IF(D1658="폐업","폐업",
IF(V1658="면제","면제",
IF(AND(V1658="정상",COUNTIFS(OFFSET(Y1658,0,COUNTA(Y1658:AV1658)-1,1,-4),"미납")&gt;=3),"장기미납",
IF(AND(V1658="정상",OFFSET(Y1658,0,COUNTA(Y1658:AV1658)-1)&gt;=U1658),"정상",
IF(AND(V1658="정상",OFFSET(Y1658,0,COUNTA(Y1658:AV1658)-1)=0),"정상",
"계약서 미작성")))))</f>
        <v>#VALUE!</v>
      </c>
      <c r="X1658" s="81" t="str">
        <f aca="true">
IF(D1658="폐업","폐업",
IF(AND(V1658="정상",OFFSET(Y1658,0,COUNTA(Y1658:AV1658)-1)="미납"),"미납",
IF(AND(V1658="정상",OFFSET(Y1658,0,COUNTA(Y1658:AV1658)-1)=0),"납부 시작 전",
IF(AND(V1658="정상",OFFSET(Y1658,0,COUNTA(Y1658:AV1658)-1)&gt;=U1658),"정상",
IF(AND(V1658="면제",OFFSET(Y1658,0,COUNTA(Y1658:AV1658)-1)="면제"),"면제",
IF(AND(V1658="면제",OFFSET(Y1658,0,COUNTA(Y1658:AV1658)-1)=0),"면제",
"확인요청"))))))</f>
        <v>정상</v>
      </c>
      <c r="Y1658" s="93" t="n">
        <v>55000</v>
      </c>
      <c r="Z1658" s="90" t="n">
        <v>55000</v>
      </c>
      <c r="AA1658" s="90" t="n">
        <v>55000</v>
      </c>
      <c r="AB1658" s="90" t="n">
        <v>55000</v>
      </c>
      <c r="AC1658" s="90" t="n">
        <v>55000</v>
      </c>
      <c r="AD1658" s="90" t="n">
        <v>55000</v>
      </c>
      <c r="AE1658" s="90" t="n">
        <v>55000</v>
      </c>
      <c r="AF1658" s="90" t="n">
        <v>55000</v>
      </c>
      <c r="AG1658" s="90" t="n">
        <v>55000</v>
      </c>
      <c r="AH1658" s="90" t="n">
        <v>55000</v>
      </c>
      <c r="AI1658" s="90" t="n">
        <v>55000</v>
      </c>
      <c r="AJ1658" s="91" t="n">
        <v>55000</v>
      </c>
      <c r="AK1658" s="89" t="n">
        <v>55000</v>
      </c>
      <c r="AL1658" s="90" t="n">
        <v>55000</v>
      </c>
      <c r="AM1658" s="90"/>
      <c r="AN1658" s="90"/>
      <c r="AO1658" s="90"/>
      <c r="AP1658" s="90"/>
      <c r="AQ1658" s="90"/>
      <c r="AR1658" s="90"/>
      <c r="AS1658" s="90"/>
      <c r="AT1658" s="90"/>
      <c r="AU1658" s="90"/>
      <c r="AV1658" s="91"/>
      <c r="AX1658" s="92"/>
    </row>
    <row r="1659" customFormat="false" ht="15.65" hidden="false" customHeight="false" outlineLevel="0" collapsed="false">
      <c r="C1659" s="72" t="n">
        <f aca="false">COUNTIFS($D$6:D1659,"&lt;&gt;"&amp;"")</f>
        <v>1654</v>
      </c>
      <c r="D1659" s="73" t="s">
        <v>12</v>
      </c>
      <c r="E1659" s="76" t="str">
        <f aca="false">
IF($D1659="정상",INDEX(임대자산!$D$3:$R$3000,MATCH($F1659,임대자산!$I$3:$I$3000,0),MATCH(E$3,임대자산!$D$3:$R$3,0)),
IF($D1659="폐업",INDEX(폐업정보!$D$3:$R$3000,MATCH($F1659,폐업정보!$I$3:$I$3000,0),MATCH(E$3,폐업정보!$D$3:$R$3,0)),
"Error"))</f>
        <v>전라</v>
      </c>
      <c r="F165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B1654</v>
      </c>
      <c r="G1659" s="76" t="str">
        <f aca="false">F1659&amp;RANDBETWEEN(0,10)</f>
        <v>B165410</v>
      </c>
      <c r="H1659" s="75" t="n">
        <f aca="false">
IF($D1659="정상",INDEX(임대자산!$D$3:$R$3000,MATCH($F1659,임대자산!$I$3:$I$3000,0),MATCH(H$4,임대자산!$D$3:$R$3,0)),
IF($D1659="폐업",INDEX(폐업정보!$D$3:$R$3000,MATCH($F1659,폐업정보!$I$3:$I$3000,0),MATCH(H$4,폐업정보!$D$3:$R$3,0)),
"Error"))</f>
        <v>45768</v>
      </c>
      <c r="I1659" s="75" t="str">
        <f aca="false">
IF($D1659="정상",INDEX(임대자산!$D$3:$R$3000,MATCH($F1659,임대자산!$I$3:$I$3000,0),MATCH(I$4,임대자산!$D$3:$R$3,0)),
IF($D1659="폐업",INDEX(폐업정보!$D$3:$R$3000,MATCH($F1659,폐업정보!$I$3:$I$3000,0),MATCH(I$4,폐업정보!$D$3:$R$3,0)),
"Error"))</f>
        <v>A1654</v>
      </c>
      <c r="J1659" s="75" t="str">
        <f aca="false">
IF($D1659="정상",INDEX(임대자산!$D$3:$R$3000,MATCH($F1659,임대자산!$I$3:$I$3000,0),MATCH(J$4,임대자산!$D$3:$R$3,0)),
IF($D1659="폐업",INDEX(폐업정보!$D$3:$R$3000,MATCH($F1659,폐업정보!$I$3:$I$3000,0),MATCH(J$4,폐업정보!$D$3:$R$3,0)),
"Error"))</f>
        <v>1650300000</v>
      </c>
      <c r="K1659" s="75" t="str">
        <f aca="false">
IF($D1659="정상",INDEX(임대자산!$D$3:$R$3000,MATCH($F1659,임대자산!$I$3:$I$3000,0),MATCH(K$4,임대자산!$D$3:$R$3,0)),
IF($D1659="폐업",INDEX(폐업정보!$D$3:$R$3000,MATCH($F1659,폐업정보!$I$3:$I$3000,0),MATCH(K$4,폐업정보!$D$3:$R$3,0)),
"Error"))</f>
        <v>C1654</v>
      </c>
      <c r="L1659" s="75" t="str">
        <f aca="false">
IF($D1659="정상",INDEX(임대자산!$D$3:$R$3000,MATCH($F1659,임대자산!$I$3:$I$3000,0),MATCH(L$4,임대자산!$D$3:$R$3,0)),
IF($D1659="폐업",INDEX(폐업정보!$D$3:$R$3000,MATCH($F1659,폐업정보!$I$3:$I$3000,0),MATCH(L$4,폐업정보!$D$3:$R$3,0)),
"Error"))</f>
        <v>D1654</v>
      </c>
      <c r="M1659" s="76" t="s">
        <v>96</v>
      </c>
      <c r="N1659" s="77"/>
      <c r="O1659" s="78" t="s">
        <v>97</v>
      </c>
      <c r="P1659" s="79" t="n">
        <f aca="false">COUNTIFS(임대자산!$I:$I,가맹점정보!F1659,임대자산!$N:$N,가맹점정보!P$4)</f>
        <v>0</v>
      </c>
      <c r="Q1659" s="80" t="n">
        <f aca="false">COUNTIFS(임대자산!$I:$I,가맹점정보!F1659,임대자산!$N:$N,가맹점정보!Q$4)</f>
        <v>0</v>
      </c>
      <c r="R1659" s="81" t="n">
        <f aca="false">COUNTIFS(임대자산!$I:$I,가맹점정보!F1659,임대자산!$N:$N,가맹점정보!R$4)</f>
        <v>1</v>
      </c>
      <c r="S1659" s="82" t="n">
        <v>88000</v>
      </c>
      <c r="T1659" s="83" t="n">
        <v>0</v>
      </c>
      <c r="U1659" s="80" t="n">
        <f aca="false">SUM(S1659:T1659)</f>
        <v>88000</v>
      </c>
      <c r="V1659" s="84" t="s">
        <v>7</v>
      </c>
      <c r="W1659" s="80" t="str">
        <f aca="true">
IF(D1659="폐업","폐업",
IF(V1659="면제","면제",
IF(AND(V1659="정상",COUNTIFS(OFFSET(Y1659,0,COUNTA(Y1659:AV1659)-1,1,-4),"미납")&gt;=3),"장기미납",
IF(AND(V1659="정상",OFFSET(Y1659,0,COUNTA(Y1659:AV1659)-1)&gt;=U1659),"정상",
IF(AND(V1659="정상",OFFSET(Y1659,0,COUNTA(Y1659:AV1659)-1)=0),"정상",
"계약서 미작성")))))</f>
        <v>면제</v>
      </c>
      <c r="X1659" s="81" t="str">
        <f aca="true">
IF(D1659="폐업","폐업",
IF(AND(V1659="정상",OFFSET(Y1659,0,COUNTA(Y1659:AV1659)-1)="미납"),"미납",
IF(AND(V1659="정상",OFFSET(Y1659,0,COUNTA(Y1659:AV1659)-1)=0),"납부 시작 전",
IF(AND(V1659="정상",OFFSET(Y1659,0,COUNTA(Y1659:AV1659)-1)&gt;=U1659),"정상",
IF(AND(V1659="면제",OFFSET(Y1659,0,COUNTA(Y1659:AV1659)-1)="면제"),"면제",
IF(AND(V1659="면제",OFFSET(Y1659,0,COUNTA(Y1659:AV1659)-1)=0),"면제",
"확인요청"))))))</f>
        <v>면제</v>
      </c>
      <c r="Y1659" s="94" t="s">
        <v>7</v>
      </c>
      <c r="Z1659" s="95" t="s">
        <v>7</v>
      </c>
      <c r="AA1659" s="95" t="s">
        <v>7</v>
      </c>
      <c r="AB1659" s="95" t="s">
        <v>7</v>
      </c>
      <c r="AC1659" s="95" t="s">
        <v>7</v>
      </c>
      <c r="AD1659" s="95" t="s">
        <v>7</v>
      </c>
      <c r="AE1659" s="95" t="s">
        <v>7</v>
      </c>
      <c r="AF1659" s="95" t="s">
        <v>7</v>
      </c>
      <c r="AG1659" s="95" t="s">
        <v>7</v>
      </c>
      <c r="AH1659" s="95" t="s">
        <v>7</v>
      </c>
      <c r="AI1659" s="95" t="s">
        <v>7</v>
      </c>
      <c r="AJ1659" s="96" t="s">
        <v>7</v>
      </c>
      <c r="AK1659" s="97" t="s">
        <v>7</v>
      </c>
      <c r="AL1659" s="95" t="s">
        <v>7</v>
      </c>
      <c r="AM1659" s="90"/>
      <c r="AN1659" s="90"/>
      <c r="AO1659" s="90"/>
      <c r="AP1659" s="90"/>
      <c r="AQ1659" s="90"/>
      <c r="AR1659" s="90"/>
      <c r="AS1659" s="90"/>
      <c r="AT1659" s="90"/>
      <c r="AU1659" s="90"/>
      <c r="AV1659" s="91"/>
      <c r="AX1659" s="92"/>
    </row>
    <row r="1660" customFormat="false" ht="15.65" hidden="false" customHeight="false" outlineLevel="0" collapsed="false">
      <c r="C1660" s="72" t="n">
        <f aca="false">COUNTIFS($D$6:D1660,"&lt;&gt;"&amp;"")</f>
        <v>1655</v>
      </c>
      <c r="D1660" s="73" t="s">
        <v>12</v>
      </c>
      <c r="E1660" s="76" t="str">
        <f aca="false">
IF($D1660="정상",INDEX(임대자산!$D$3:$R$3000,MATCH($F1660,임대자산!$I$3:$I$3000,0),MATCH(E$3,임대자산!$D$3:$R$3,0)),
IF($D1660="폐업",INDEX(폐업정보!$D$3:$R$3000,MATCH($F1660,폐업정보!$I$3:$I$3000,0),MATCH(E$3,폐업정보!$D$3:$R$3,0)),
"Error"))</f>
        <v>전라</v>
      </c>
      <c r="F166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B1655</v>
      </c>
      <c r="G1660" s="76" t="str">
        <f aca="false">F1660&amp;RANDBETWEEN(0,10)</f>
        <v>B16550</v>
      </c>
      <c r="H1660" s="75" t="n">
        <f aca="false">
IF($D1660="정상",INDEX(임대자산!$D$3:$R$3000,MATCH($F1660,임대자산!$I$3:$I$3000,0),MATCH(H$4,임대자산!$D$3:$R$3,0)),
IF($D1660="폐업",INDEX(폐업정보!$D$3:$R$3000,MATCH($F1660,폐업정보!$I$3:$I$3000,0),MATCH(H$4,폐업정보!$D$3:$R$3,0)),
"Error"))</f>
        <v>45757</v>
      </c>
      <c r="I1660" s="75" t="str">
        <f aca="false">
IF($D1660="정상",INDEX(임대자산!$D$3:$R$3000,MATCH($F1660,임대자산!$I$3:$I$3000,0),MATCH(I$4,임대자산!$D$3:$R$3,0)),
IF($D1660="폐업",INDEX(폐업정보!$D$3:$R$3000,MATCH($F1660,폐업정보!$I$3:$I$3000,0),MATCH(I$4,폐업정보!$D$3:$R$3,0)),
"Error"))</f>
        <v>A1655</v>
      </c>
      <c r="J1660" s="75" t="str">
        <f aca="false">
IF($D1660="정상",INDEX(임대자산!$D$3:$R$3000,MATCH($F1660,임대자산!$I$3:$I$3000,0),MATCH(J$4,임대자산!$D$3:$R$3,0)),
IF($D1660="폐업",INDEX(폐업정보!$D$3:$R$3000,MATCH($F1660,폐업정보!$I$3:$I$3000,0),MATCH(J$4,폐업정보!$D$3:$R$3,0)),
"Error"))</f>
        <v>8577400000</v>
      </c>
      <c r="K1660" s="75" t="str">
        <f aca="false">
IF($D1660="정상",INDEX(임대자산!$D$3:$R$3000,MATCH($F1660,임대자산!$I$3:$I$3000,0),MATCH(K$4,임대자산!$D$3:$R$3,0)),
IF($D1660="폐업",INDEX(폐업정보!$D$3:$R$3000,MATCH($F1660,폐업정보!$I$3:$I$3000,0),MATCH(K$4,폐업정보!$D$3:$R$3,0)),
"Error"))</f>
        <v>C1655</v>
      </c>
      <c r="L1660" s="75" t="str">
        <f aca="false">
IF($D1660="정상",INDEX(임대자산!$D$3:$R$3000,MATCH($F1660,임대자산!$I$3:$I$3000,0),MATCH(L$4,임대자산!$D$3:$R$3,0)),
IF($D1660="폐업",INDEX(폐업정보!$D$3:$R$3000,MATCH($F1660,폐업정보!$I$3:$I$3000,0),MATCH(L$4,폐업정보!$D$3:$R$3,0)),
"Error"))</f>
        <v>D1655</v>
      </c>
      <c r="M1660" s="76" t="s">
        <v>96</v>
      </c>
      <c r="N1660" s="77"/>
      <c r="O1660" s="78" t="s">
        <v>97</v>
      </c>
      <c r="P1660" s="79" t="n">
        <f aca="false">COUNTIFS(임대자산!$I:$I,가맹점정보!F1660,임대자산!$N:$N,가맹점정보!P$4)</f>
        <v>0</v>
      </c>
      <c r="Q1660" s="80" t="n">
        <f aca="false">COUNTIFS(임대자산!$I:$I,가맹점정보!F1660,임대자산!$N:$N,가맹점정보!Q$4)</f>
        <v>0</v>
      </c>
      <c r="R1660" s="81" t="n">
        <f aca="false">COUNTIFS(임대자산!$I:$I,가맹점정보!F1660,임대자산!$N:$N,가맹점정보!R$4)</f>
        <v>1</v>
      </c>
      <c r="S1660" s="82" t="n">
        <v>55000</v>
      </c>
      <c r="T1660" s="83" t="n">
        <v>0</v>
      </c>
      <c r="U1660" s="80" t="n">
        <f aca="false">SUM(S1660:T1660)</f>
        <v>55000</v>
      </c>
      <c r="V1660" s="84" t="s">
        <v>7</v>
      </c>
      <c r="W1660" s="80" t="str">
        <f aca="true">
IF(D1660="폐업","폐업",
IF(V1660="면제","면제",
IF(AND(V1660="정상",COUNTIFS(OFFSET(Y1660,0,COUNTA(Y1660:AV1660)-1,1,-4),"미납")&gt;=3),"장기미납",
IF(AND(V1660="정상",OFFSET(Y1660,0,COUNTA(Y1660:AV1660)-1)&gt;=U1660),"정상",
IF(AND(V1660="정상",OFFSET(Y1660,0,COUNTA(Y1660:AV1660)-1)=0),"정상",
"계약서 미작성")))))</f>
        <v>면제</v>
      </c>
      <c r="X1660" s="81" t="str">
        <f aca="true">
IF(D1660="폐업","폐업",
IF(AND(V1660="정상",OFFSET(Y1660,0,COUNTA(Y1660:AV1660)-1)="미납"),"미납",
IF(AND(V1660="정상",OFFSET(Y1660,0,COUNTA(Y1660:AV1660)-1)=0),"납부 시작 전",
IF(AND(V1660="정상",OFFSET(Y1660,0,COUNTA(Y1660:AV1660)-1)&gt;=U1660),"정상",
IF(AND(V1660="면제",OFFSET(Y1660,0,COUNTA(Y1660:AV1660)-1)="면제"),"면제",
IF(AND(V1660="면제",OFFSET(Y1660,0,COUNTA(Y1660:AV1660)-1)=0),"면제",
"확인요청"))))))</f>
        <v>면제</v>
      </c>
      <c r="Y1660" s="94" t="s">
        <v>7</v>
      </c>
      <c r="Z1660" s="95" t="s">
        <v>7</v>
      </c>
      <c r="AA1660" s="95" t="s">
        <v>7</v>
      </c>
      <c r="AB1660" s="95" t="s">
        <v>7</v>
      </c>
      <c r="AC1660" s="95" t="s">
        <v>7</v>
      </c>
      <c r="AD1660" s="95" t="s">
        <v>7</v>
      </c>
      <c r="AE1660" s="95" t="s">
        <v>7</v>
      </c>
      <c r="AF1660" s="95" t="s">
        <v>7</v>
      </c>
      <c r="AG1660" s="95" t="s">
        <v>7</v>
      </c>
      <c r="AH1660" s="95" t="s">
        <v>7</v>
      </c>
      <c r="AI1660" s="95" t="s">
        <v>7</v>
      </c>
      <c r="AJ1660" s="96" t="s">
        <v>7</v>
      </c>
      <c r="AK1660" s="97" t="s">
        <v>7</v>
      </c>
      <c r="AL1660" s="95" t="s">
        <v>7</v>
      </c>
      <c r="AM1660" s="90"/>
      <c r="AN1660" s="90"/>
      <c r="AO1660" s="90"/>
      <c r="AP1660" s="90"/>
      <c r="AQ1660" s="90"/>
      <c r="AR1660" s="90"/>
      <c r="AS1660" s="90"/>
      <c r="AT1660" s="90"/>
      <c r="AU1660" s="90"/>
      <c r="AV1660" s="91"/>
      <c r="AX1660" s="92"/>
    </row>
    <row r="1661" customFormat="false" ht="15.65" hidden="false" customHeight="false" outlineLevel="0" collapsed="false">
      <c r="C1661" s="72" t="n">
        <f aca="false">COUNTIFS($D$6:D1661,"&lt;&gt;"&amp;"")</f>
        <v>1656</v>
      </c>
      <c r="D1661" s="73" t="s">
        <v>12</v>
      </c>
      <c r="E1661" s="76" t="str">
        <f aca="false">
IF($D1661="정상",INDEX(임대자산!$D$3:$R$3000,MATCH($F1661,임대자산!$I$3:$I$3000,0),MATCH(E$3,임대자산!$D$3:$R$3,0)),
IF($D1661="폐업",INDEX(폐업정보!$D$3:$R$3000,MATCH($F1661,폐업정보!$I$3:$I$3000,0),MATCH(E$3,폐업정보!$D$3:$R$3,0)),
"Error"))</f>
        <v>전라</v>
      </c>
      <c r="F166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B1656</v>
      </c>
      <c r="G1661" s="76" t="str">
        <f aca="false">F1661&amp;RANDBETWEEN(0,10)</f>
        <v>B16569</v>
      </c>
      <c r="H1661" s="75" t="n">
        <f aca="false">
IF($D1661="정상",INDEX(임대자산!$D$3:$R$3000,MATCH($F1661,임대자산!$I$3:$I$3000,0),MATCH(H$4,임대자산!$D$3:$R$3,0)),
IF($D1661="폐업",INDEX(폐업정보!$D$3:$R$3000,MATCH($F1661,폐업정보!$I$3:$I$3000,0),MATCH(H$4,폐업정보!$D$3:$R$3,0)),
"Error"))</f>
        <v>45757</v>
      </c>
      <c r="I1661" s="75" t="str">
        <f aca="false">
IF($D1661="정상",INDEX(임대자산!$D$3:$R$3000,MATCH($F1661,임대자산!$I$3:$I$3000,0),MATCH(I$4,임대자산!$D$3:$R$3,0)),
IF($D1661="폐업",INDEX(폐업정보!$D$3:$R$3000,MATCH($F1661,폐업정보!$I$3:$I$3000,0),MATCH(I$4,폐업정보!$D$3:$R$3,0)),
"Error"))</f>
        <v>A1656</v>
      </c>
      <c r="J1661" s="75" t="str">
        <f aca="false">
IF($D1661="정상",INDEX(임대자산!$D$3:$R$3000,MATCH($F1661,임대자산!$I$3:$I$3000,0),MATCH(J$4,임대자산!$D$3:$R$3,0)),
IF($D1661="폐업",INDEX(폐업정보!$D$3:$R$3000,MATCH($F1661,폐업정보!$I$3:$I$3000,0),MATCH(J$4,폐업정보!$D$3:$R$3,0)),
"Error"))</f>
        <v>3798100000</v>
      </c>
      <c r="K1661" s="75" t="str">
        <f aca="false">
IF($D1661="정상",INDEX(임대자산!$D$3:$R$3000,MATCH($F1661,임대자산!$I$3:$I$3000,0),MATCH(K$4,임대자산!$D$3:$R$3,0)),
IF($D1661="폐업",INDEX(폐업정보!$D$3:$R$3000,MATCH($F1661,폐업정보!$I$3:$I$3000,0),MATCH(K$4,폐업정보!$D$3:$R$3,0)),
"Error"))</f>
        <v>C1656</v>
      </c>
      <c r="L1661" s="75" t="str">
        <f aca="false">
IF($D1661="정상",INDEX(임대자산!$D$3:$R$3000,MATCH($F1661,임대자산!$I$3:$I$3000,0),MATCH(L$4,임대자산!$D$3:$R$3,0)),
IF($D1661="폐업",INDEX(폐업정보!$D$3:$R$3000,MATCH($F1661,폐업정보!$I$3:$I$3000,0),MATCH(L$4,폐업정보!$D$3:$R$3,0)),
"Error"))</f>
        <v>D1656</v>
      </c>
      <c r="M1661" s="76" t="s">
        <v>96</v>
      </c>
      <c r="N1661" s="77"/>
      <c r="O1661" s="78" t="s">
        <v>97</v>
      </c>
      <c r="P1661" s="79" t="n">
        <f aca="false">COUNTIFS(임대자산!$I:$I,가맹점정보!F1661,임대자산!$N:$N,가맹점정보!P$4)</f>
        <v>0</v>
      </c>
      <c r="Q1661" s="80" t="n">
        <f aca="false">COUNTIFS(임대자산!$I:$I,가맹점정보!F1661,임대자산!$N:$N,가맹점정보!Q$4)</f>
        <v>0</v>
      </c>
      <c r="R1661" s="81" t="n">
        <f aca="false">COUNTIFS(임대자산!$I:$I,가맹점정보!F1661,임대자산!$N:$N,가맹점정보!R$4)</f>
        <v>1</v>
      </c>
      <c r="S1661" s="82" t="n">
        <v>55000</v>
      </c>
      <c r="T1661" s="83" t="n">
        <v>0</v>
      </c>
      <c r="U1661" s="80" t="n">
        <f aca="false">SUM(S1661:T1661)</f>
        <v>55000</v>
      </c>
      <c r="V1661" s="84" t="s">
        <v>7</v>
      </c>
      <c r="W1661" s="80" t="str">
        <f aca="true">
IF(D1661="폐업","폐업",
IF(V1661="면제","면제",
IF(AND(V1661="정상",COUNTIFS(OFFSET(Y1661,0,COUNTA(Y1661:AV1661)-1,1,-4),"미납")&gt;=3),"장기미납",
IF(AND(V1661="정상",OFFSET(Y1661,0,COUNTA(Y1661:AV1661)-1)&gt;=U1661),"정상",
IF(AND(V1661="정상",OFFSET(Y1661,0,COUNTA(Y1661:AV1661)-1)=0),"정상",
"계약서 미작성")))))</f>
        <v>면제</v>
      </c>
      <c r="X1661" s="81" t="str">
        <f aca="true">
IF(D1661="폐업","폐업",
IF(AND(V1661="정상",OFFSET(Y1661,0,COUNTA(Y1661:AV1661)-1)="미납"),"미납",
IF(AND(V1661="정상",OFFSET(Y1661,0,COUNTA(Y1661:AV1661)-1)=0),"납부 시작 전",
IF(AND(V1661="정상",OFFSET(Y1661,0,COUNTA(Y1661:AV1661)-1)&gt;=U1661),"정상",
IF(AND(V1661="면제",OFFSET(Y1661,0,COUNTA(Y1661:AV1661)-1)="면제"),"면제",
IF(AND(V1661="면제",OFFSET(Y1661,0,COUNTA(Y1661:AV1661)-1)=0),"면제",
"확인요청"))))))</f>
        <v>면제</v>
      </c>
      <c r="Y1661" s="94" t="s">
        <v>7</v>
      </c>
      <c r="Z1661" s="95" t="s">
        <v>7</v>
      </c>
      <c r="AA1661" s="95" t="s">
        <v>7</v>
      </c>
      <c r="AB1661" s="95" t="s">
        <v>7</v>
      </c>
      <c r="AC1661" s="95" t="s">
        <v>7</v>
      </c>
      <c r="AD1661" s="95" t="s">
        <v>7</v>
      </c>
      <c r="AE1661" s="95" t="s">
        <v>7</v>
      </c>
      <c r="AF1661" s="95" t="s">
        <v>7</v>
      </c>
      <c r="AG1661" s="95" t="s">
        <v>7</v>
      </c>
      <c r="AH1661" s="95" t="s">
        <v>7</v>
      </c>
      <c r="AI1661" s="95" t="s">
        <v>7</v>
      </c>
      <c r="AJ1661" s="96" t="s">
        <v>7</v>
      </c>
      <c r="AK1661" s="97" t="s">
        <v>7</v>
      </c>
      <c r="AL1661" s="95" t="s">
        <v>7</v>
      </c>
      <c r="AM1661" s="90"/>
      <c r="AN1661" s="90"/>
      <c r="AO1661" s="90"/>
      <c r="AP1661" s="90"/>
      <c r="AQ1661" s="90"/>
      <c r="AR1661" s="90"/>
      <c r="AS1661" s="90"/>
      <c r="AT1661" s="90"/>
      <c r="AU1661" s="90"/>
      <c r="AV1661" s="91"/>
      <c r="AX1661" s="92"/>
    </row>
    <row r="1662" customFormat="false" ht="15.65" hidden="false" customHeight="false" outlineLevel="0" collapsed="false">
      <c r="C1662" s="72" t="n">
        <f aca="false">COUNTIFS($D$6:D1662,"&lt;&gt;"&amp;"")</f>
        <v>1657</v>
      </c>
      <c r="D1662" s="73" t="s">
        <v>12</v>
      </c>
      <c r="E1662" s="76" t="str">
        <f aca="false">
IF($D1662="정상",INDEX(임대자산!$D$3:$R$3000,MATCH($F1662,임대자산!$I$3:$I$3000,0),MATCH(E$3,임대자산!$D$3:$R$3,0)),
IF($D1662="폐업",INDEX(폐업정보!$D$3:$R$3000,MATCH($F1662,폐업정보!$I$3:$I$3000,0),MATCH(E$3,폐업정보!$D$3:$R$3,0)),
"Error"))</f>
        <v>경기</v>
      </c>
      <c r="F166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B1657</v>
      </c>
      <c r="G1662" s="76" t="str">
        <f aca="false">F1662&amp;RANDBETWEEN(0,10)</f>
        <v>B16575</v>
      </c>
      <c r="H1662" s="75" t="n">
        <f aca="false">
IF($D1662="정상",INDEX(임대자산!$D$3:$R$3000,MATCH($F1662,임대자산!$I$3:$I$3000,0),MATCH(H$4,임대자산!$D$3:$R$3,0)),
IF($D1662="폐업",INDEX(폐업정보!$D$3:$R$3000,MATCH($F1662,폐업정보!$I$3:$I$3000,0),MATCH(H$4,폐업정보!$D$3:$R$3,0)),
"Error"))</f>
        <v>45772</v>
      </c>
      <c r="I1662" s="75" t="str">
        <f aca="false">
IF($D1662="정상",INDEX(임대자산!$D$3:$R$3000,MATCH($F1662,임대자산!$I$3:$I$3000,0),MATCH(I$4,임대자산!$D$3:$R$3,0)),
IF($D1662="폐업",INDEX(폐업정보!$D$3:$R$3000,MATCH($F1662,폐업정보!$I$3:$I$3000,0),MATCH(I$4,폐업정보!$D$3:$R$3,0)),
"Error"))</f>
        <v>A1657</v>
      </c>
      <c r="J1662" s="75" t="str">
        <f aca="false">
IF($D1662="정상",INDEX(임대자산!$D$3:$R$3000,MATCH($F1662,임대자산!$I$3:$I$3000,0),MATCH(J$4,임대자산!$D$3:$R$3,0)),
IF($D1662="폐업",INDEX(폐업정보!$D$3:$R$3000,MATCH($F1662,폐업정보!$I$3:$I$3000,0),MATCH(J$4,폐업정보!$D$3:$R$3,0)),
"Error"))</f>
        <v>2646500000</v>
      </c>
      <c r="K1662" s="75" t="str">
        <f aca="false">
IF($D1662="정상",INDEX(임대자산!$D$3:$R$3000,MATCH($F1662,임대자산!$I$3:$I$3000,0),MATCH(K$4,임대자산!$D$3:$R$3,0)),
IF($D1662="폐업",INDEX(폐업정보!$D$3:$R$3000,MATCH($F1662,폐업정보!$I$3:$I$3000,0),MATCH(K$4,폐업정보!$D$3:$R$3,0)),
"Error"))</f>
        <v>C1657</v>
      </c>
      <c r="L1662" s="75" t="str">
        <f aca="false">
IF($D1662="정상",INDEX(임대자산!$D$3:$R$3000,MATCH($F1662,임대자산!$I$3:$I$3000,0),MATCH(L$4,임대자산!$D$3:$R$3,0)),
IF($D1662="폐업",INDEX(폐업정보!$D$3:$R$3000,MATCH($F1662,폐업정보!$I$3:$I$3000,0),MATCH(L$4,폐업정보!$D$3:$R$3,0)),
"Error"))</f>
        <v>D1657</v>
      </c>
      <c r="M1662" s="76" t="s">
        <v>96</v>
      </c>
      <c r="N1662" s="77"/>
      <c r="O1662" s="78" t="s">
        <v>97</v>
      </c>
      <c r="P1662" s="79" t="n">
        <f aca="false">COUNTIFS(임대자산!$I:$I,가맹점정보!F1662,임대자산!$N:$N,가맹점정보!P$4)</f>
        <v>0</v>
      </c>
      <c r="Q1662" s="80" t="n">
        <f aca="false">COUNTIFS(임대자산!$I:$I,가맹점정보!F1662,임대자산!$N:$N,가맹점정보!Q$4)</f>
        <v>0</v>
      </c>
      <c r="R1662" s="81" t="n">
        <f aca="false">COUNTIFS(임대자산!$I:$I,가맹점정보!F1662,임대자산!$N:$N,가맹점정보!R$4)</f>
        <v>1</v>
      </c>
      <c r="S1662" s="82" t="n">
        <v>143000</v>
      </c>
      <c r="T1662" s="83" t="n">
        <v>0</v>
      </c>
      <c r="U1662" s="80" t="n">
        <f aca="false">SUM(S1662:T1662)</f>
        <v>143000</v>
      </c>
      <c r="V1662" s="84" t="s">
        <v>7</v>
      </c>
      <c r="W1662" s="80" t="str">
        <f aca="true">
IF(D1662="폐업","폐업",
IF(V1662="면제","면제",
IF(AND(V1662="정상",COUNTIFS(OFFSET(Y1662,0,COUNTA(Y1662:AV1662)-1,1,-4),"미납")&gt;=3),"장기미납",
IF(AND(V1662="정상",OFFSET(Y1662,0,COUNTA(Y1662:AV1662)-1)&gt;=U1662),"정상",
IF(AND(V1662="정상",OFFSET(Y1662,0,COUNTA(Y1662:AV1662)-1)=0),"정상",
"계약서 미작성")))))</f>
        <v>면제</v>
      </c>
      <c r="X1662" s="81" t="str">
        <f aca="true">
IF(D1662="폐업","폐업",
IF(AND(V1662="정상",OFFSET(Y1662,0,COUNTA(Y1662:AV1662)-1)="미납"),"미납",
IF(AND(V1662="정상",OFFSET(Y1662,0,COUNTA(Y1662:AV1662)-1)=0),"납부 시작 전",
IF(AND(V1662="정상",OFFSET(Y1662,0,COUNTA(Y1662:AV1662)-1)&gt;=U1662),"정상",
IF(AND(V1662="면제",OFFSET(Y1662,0,COUNTA(Y1662:AV1662)-1)="면제"),"면제",
IF(AND(V1662="면제",OFFSET(Y1662,0,COUNTA(Y1662:AV1662)-1)=0),"면제",
"확인요청"))))))</f>
        <v>면제</v>
      </c>
      <c r="Y1662" s="93" t="n">
        <v>143000</v>
      </c>
      <c r="Z1662" s="90" t="n">
        <v>143000</v>
      </c>
      <c r="AA1662" s="90" t="n">
        <v>143000</v>
      </c>
      <c r="AB1662" s="90" t="n">
        <v>143000</v>
      </c>
      <c r="AC1662" s="90" t="n">
        <v>-385000</v>
      </c>
      <c r="AD1662" s="95" t="s">
        <v>62</v>
      </c>
      <c r="AE1662" s="95" t="s">
        <v>62</v>
      </c>
      <c r="AF1662" s="95" t="s">
        <v>62</v>
      </c>
      <c r="AG1662" s="95" t="s">
        <v>62</v>
      </c>
      <c r="AH1662" s="95" t="s">
        <v>62</v>
      </c>
      <c r="AI1662" s="95" t="s">
        <v>62</v>
      </c>
      <c r="AJ1662" s="96" t="s">
        <v>7</v>
      </c>
      <c r="AK1662" s="97" t="s">
        <v>7</v>
      </c>
      <c r="AL1662" s="95" t="s">
        <v>7</v>
      </c>
      <c r="AM1662" s="90"/>
      <c r="AN1662" s="90"/>
      <c r="AO1662" s="90"/>
      <c r="AP1662" s="90"/>
      <c r="AQ1662" s="90"/>
      <c r="AR1662" s="90"/>
      <c r="AS1662" s="90"/>
      <c r="AT1662" s="90"/>
      <c r="AU1662" s="90"/>
      <c r="AV1662" s="91"/>
      <c r="AX1662" s="92"/>
    </row>
    <row r="1663" customFormat="false" ht="15.65" hidden="false" customHeight="false" outlineLevel="0" collapsed="false">
      <c r="C1663" s="72" t="n">
        <f aca="false">COUNTIFS($D$6:D1663,"&lt;&gt;"&amp;"")</f>
        <v>1658</v>
      </c>
      <c r="D1663" s="73" t="s">
        <v>12</v>
      </c>
      <c r="E1663" s="76" t="str">
        <f aca="false">
IF($D1663="정상",INDEX(임대자산!$D$3:$R$3000,MATCH($F1663,임대자산!$I$3:$I$3000,0),MATCH(E$3,임대자산!$D$3:$R$3,0)),
IF($D1663="폐업",INDEX(폐업정보!$D$3:$R$3000,MATCH($F1663,폐업정보!$I$3:$I$3000,0),MATCH(E$3,폐업정보!$D$3:$R$3,0)),
"Error"))</f>
        <v>경상</v>
      </c>
      <c r="F166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B1658</v>
      </c>
      <c r="G1663" s="76" t="str">
        <f aca="false">F1663&amp;RANDBETWEEN(0,10)</f>
        <v>B16583</v>
      </c>
      <c r="H1663" s="75" t="n">
        <f aca="false">
IF($D1663="정상",INDEX(임대자산!$D$3:$R$3000,MATCH($F1663,임대자산!$I$3:$I$3000,0),MATCH(H$4,임대자산!$D$3:$R$3,0)),
IF($D1663="폐업",INDEX(폐업정보!$D$3:$R$3000,MATCH($F1663,폐업정보!$I$3:$I$3000,0),MATCH(H$4,폐업정보!$D$3:$R$3,0)),
"Error"))</f>
        <v>45775</v>
      </c>
      <c r="I1663" s="75" t="str">
        <f aca="false">
IF($D1663="정상",INDEX(임대자산!$D$3:$R$3000,MATCH($F1663,임대자산!$I$3:$I$3000,0),MATCH(I$4,임대자산!$D$3:$R$3,0)),
IF($D1663="폐업",INDEX(폐업정보!$D$3:$R$3000,MATCH($F1663,폐업정보!$I$3:$I$3000,0),MATCH(I$4,폐업정보!$D$3:$R$3,0)),
"Error"))</f>
        <v>A1658</v>
      </c>
      <c r="J1663" s="75" t="str">
        <f aca="false">
IF($D1663="정상",INDEX(임대자산!$D$3:$R$3000,MATCH($F1663,임대자산!$I$3:$I$3000,0),MATCH(J$4,임대자산!$D$3:$R$3,0)),
IF($D1663="폐업",INDEX(폐업정보!$D$3:$R$3000,MATCH($F1663,폐업정보!$I$3:$I$3000,0),MATCH(J$4,폐업정보!$D$3:$R$3,0)),
"Error"))</f>
        <v>9827100000</v>
      </c>
      <c r="K1663" s="75" t="str">
        <f aca="false">
IF($D1663="정상",INDEX(임대자산!$D$3:$R$3000,MATCH($F1663,임대자산!$I$3:$I$3000,0),MATCH(K$4,임대자산!$D$3:$R$3,0)),
IF($D1663="폐업",INDEX(폐업정보!$D$3:$R$3000,MATCH($F1663,폐업정보!$I$3:$I$3000,0),MATCH(K$4,폐업정보!$D$3:$R$3,0)),
"Error"))</f>
        <v>C1658</v>
      </c>
      <c r="L1663" s="75" t="str">
        <f aca="false">
IF($D1663="정상",INDEX(임대자산!$D$3:$R$3000,MATCH($F1663,임대자산!$I$3:$I$3000,0),MATCH(L$4,임대자산!$D$3:$R$3,0)),
IF($D1663="폐업",INDEX(폐업정보!$D$3:$R$3000,MATCH($F1663,폐업정보!$I$3:$I$3000,0),MATCH(L$4,폐업정보!$D$3:$R$3,0)),
"Error"))</f>
        <v>D1658</v>
      </c>
      <c r="M1663" s="76" t="s">
        <v>96</v>
      </c>
      <c r="N1663" s="77"/>
      <c r="O1663" s="78" t="s">
        <v>97</v>
      </c>
      <c r="P1663" s="79" t="n">
        <f aca="false">COUNTIFS(임대자산!$I:$I,가맹점정보!F1663,임대자산!$N:$N,가맹점정보!P$4)</f>
        <v>0</v>
      </c>
      <c r="Q1663" s="80" t="n">
        <f aca="false">COUNTIFS(임대자산!$I:$I,가맹점정보!F1663,임대자산!$N:$N,가맹점정보!Q$4)</f>
        <v>0</v>
      </c>
      <c r="R1663" s="81" t="n">
        <f aca="false">COUNTIFS(임대자산!$I:$I,가맹점정보!F1663,임대자산!$N:$N,가맹점정보!R$4)</f>
        <v>1</v>
      </c>
      <c r="S1663" s="82" t="n">
        <v>55000</v>
      </c>
      <c r="T1663" s="83" t="n">
        <v>0</v>
      </c>
      <c r="U1663" s="80" t="n">
        <f aca="false">SUM(S1663:T1663)</f>
        <v>55000</v>
      </c>
      <c r="V1663" s="84" t="s">
        <v>12</v>
      </c>
      <c r="W1663" s="80" t="e">
        <f aca="true">
IF(D1663="폐업","폐업",
IF(V1663="면제","면제",
IF(AND(V1663="정상",COUNTIFS(OFFSET(Y1663,0,COUNTA(Y1663:AV1663)-1,1,-4),"미납")&gt;=3),"장기미납",
IF(AND(V1663="정상",OFFSET(Y1663,0,COUNTA(Y1663:AV1663)-1)&gt;=U1663),"정상",
IF(AND(V1663="정상",OFFSET(Y1663,0,COUNTA(Y1663:AV1663)-1)=0),"정상",
"계약서 미작성")))))</f>
        <v>#VALUE!</v>
      </c>
      <c r="X1663" s="81" t="str">
        <f aca="true">
IF(D1663="폐업","폐업",
IF(AND(V1663="정상",OFFSET(Y1663,0,COUNTA(Y1663:AV1663)-1)="미납"),"미납",
IF(AND(V1663="정상",OFFSET(Y1663,0,COUNTA(Y1663:AV1663)-1)=0),"납부 시작 전",
IF(AND(V1663="정상",OFFSET(Y1663,0,COUNTA(Y1663:AV1663)-1)&gt;=U1663),"정상",
IF(AND(V1663="면제",OFFSET(Y1663,0,COUNTA(Y1663:AV1663)-1)="면제"),"면제",
IF(AND(V1663="면제",OFFSET(Y1663,0,COUNTA(Y1663:AV1663)-1)=0),"면제",
"확인요청"))))))</f>
        <v>정상</v>
      </c>
      <c r="Y1663" s="93" t="n">
        <v>55000</v>
      </c>
      <c r="Z1663" s="90" t="n">
        <v>55000</v>
      </c>
      <c r="AA1663" s="90" t="n">
        <v>55000</v>
      </c>
      <c r="AB1663" s="90" t="n">
        <v>55000</v>
      </c>
      <c r="AC1663" s="90" t="n">
        <v>55000</v>
      </c>
      <c r="AD1663" s="90" t="n">
        <v>55000</v>
      </c>
      <c r="AE1663" s="90" t="n">
        <v>55000</v>
      </c>
      <c r="AF1663" s="90" t="n">
        <v>55000</v>
      </c>
      <c r="AG1663" s="90" t="n">
        <v>55000</v>
      </c>
      <c r="AH1663" s="90" t="n">
        <v>55000</v>
      </c>
      <c r="AI1663" s="90" t="n">
        <v>55000</v>
      </c>
      <c r="AJ1663" s="91" t="n">
        <v>55000</v>
      </c>
      <c r="AK1663" s="89" t="n">
        <v>55000</v>
      </c>
      <c r="AL1663" s="90" t="n">
        <v>55000</v>
      </c>
      <c r="AM1663" s="90"/>
      <c r="AN1663" s="90"/>
      <c r="AO1663" s="90"/>
      <c r="AP1663" s="90"/>
      <c r="AQ1663" s="90"/>
      <c r="AR1663" s="90"/>
      <c r="AS1663" s="90"/>
      <c r="AT1663" s="90"/>
      <c r="AU1663" s="90"/>
      <c r="AV1663" s="91"/>
      <c r="AX1663" s="92"/>
    </row>
    <row r="1664" customFormat="false" ht="15.65" hidden="false" customHeight="false" outlineLevel="0" collapsed="false">
      <c r="C1664" s="72" t="n">
        <f aca="false">COUNTIFS($D$6:D1664,"&lt;&gt;"&amp;"")</f>
        <v>1659</v>
      </c>
      <c r="D1664" s="73" t="s">
        <v>12</v>
      </c>
      <c r="E1664" s="76" t="str">
        <f aca="false">
IF($D1664="정상",INDEX(임대자산!$D$3:$R$3000,MATCH($F1664,임대자산!$I$3:$I$3000,0),MATCH(E$3,임대자산!$D$3:$R$3,0)),
IF($D1664="폐업",INDEX(폐업정보!$D$3:$R$3000,MATCH($F1664,폐업정보!$I$3:$I$3000,0),MATCH(E$3,폐업정보!$D$3:$R$3,0)),
"Error"))</f>
        <v>서울</v>
      </c>
      <c r="F166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B1659</v>
      </c>
      <c r="G1664" s="76" t="str">
        <f aca="false">F1664&amp;RANDBETWEEN(0,10)</f>
        <v>B16590</v>
      </c>
      <c r="H1664" s="75" t="n">
        <f aca="false">
IF($D1664="정상",INDEX(임대자산!$D$3:$R$3000,MATCH($F1664,임대자산!$I$3:$I$3000,0),MATCH(H$4,임대자산!$D$3:$R$3,0)),
IF($D1664="폐업",INDEX(폐업정보!$D$3:$R$3000,MATCH($F1664,폐업정보!$I$3:$I$3000,0),MATCH(H$4,폐업정보!$D$3:$R$3,0)),
"Error"))</f>
        <v>45775</v>
      </c>
      <c r="I1664" s="75" t="str">
        <f aca="false">
IF($D1664="정상",INDEX(임대자산!$D$3:$R$3000,MATCH($F1664,임대자산!$I$3:$I$3000,0),MATCH(I$4,임대자산!$D$3:$R$3,0)),
IF($D1664="폐업",INDEX(폐업정보!$D$3:$R$3000,MATCH($F1664,폐업정보!$I$3:$I$3000,0),MATCH(I$4,폐업정보!$D$3:$R$3,0)),
"Error"))</f>
        <v>A1659</v>
      </c>
      <c r="J1664" s="75" t="str">
        <f aca="false">
IF($D1664="정상",INDEX(임대자산!$D$3:$R$3000,MATCH($F1664,임대자산!$I$3:$I$3000,0),MATCH(J$4,임대자산!$D$3:$R$3,0)),
IF($D1664="폐업",INDEX(폐업정보!$D$3:$R$3000,MATCH($F1664,폐업정보!$I$3:$I$3000,0),MATCH(J$4,폐업정보!$D$3:$R$3,0)),
"Error"))</f>
        <v>6100300000</v>
      </c>
      <c r="K1664" s="75" t="str">
        <f aca="false">
IF($D1664="정상",INDEX(임대자산!$D$3:$R$3000,MATCH($F1664,임대자산!$I$3:$I$3000,0),MATCH(K$4,임대자산!$D$3:$R$3,0)),
IF($D1664="폐업",INDEX(폐업정보!$D$3:$R$3000,MATCH($F1664,폐업정보!$I$3:$I$3000,0),MATCH(K$4,폐업정보!$D$3:$R$3,0)),
"Error"))</f>
        <v>C1659</v>
      </c>
      <c r="L1664" s="75" t="str">
        <f aca="false">
IF($D1664="정상",INDEX(임대자산!$D$3:$R$3000,MATCH($F1664,임대자산!$I$3:$I$3000,0),MATCH(L$4,임대자산!$D$3:$R$3,0)),
IF($D1664="폐업",INDEX(폐업정보!$D$3:$R$3000,MATCH($F1664,폐업정보!$I$3:$I$3000,0),MATCH(L$4,폐업정보!$D$3:$R$3,0)),
"Error"))</f>
        <v>D1659</v>
      </c>
      <c r="M1664" s="76" t="s">
        <v>96</v>
      </c>
      <c r="N1664" s="77"/>
      <c r="O1664" s="78" t="s">
        <v>97</v>
      </c>
      <c r="P1664" s="79" t="n">
        <f aca="false">COUNTIFS(임대자산!$I:$I,가맹점정보!F1664,임대자산!$N:$N,가맹점정보!P$4)</f>
        <v>0</v>
      </c>
      <c r="Q1664" s="80" t="n">
        <f aca="false">COUNTIFS(임대자산!$I:$I,가맹점정보!F1664,임대자산!$N:$N,가맹점정보!Q$4)</f>
        <v>0</v>
      </c>
      <c r="R1664" s="81" t="n">
        <f aca="false">COUNTIFS(임대자산!$I:$I,가맹점정보!F1664,임대자산!$N:$N,가맹점정보!R$4)</f>
        <v>1</v>
      </c>
      <c r="S1664" s="82" t="n">
        <v>55000</v>
      </c>
      <c r="T1664" s="83" t="n">
        <v>0</v>
      </c>
      <c r="U1664" s="80" t="n">
        <f aca="false">SUM(S1664:T1664)</f>
        <v>55000</v>
      </c>
      <c r="V1664" s="84" t="s">
        <v>7</v>
      </c>
      <c r="W1664" s="80" t="str">
        <f aca="true">
IF(D1664="폐업","폐업",
IF(V1664="면제","면제",
IF(AND(V1664="정상",COUNTIFS(OFFSET(Y1664,0,COUNTA(Y1664:AV1664)-1,1,-4),"미납")&gt;=3),"장기미납",
IF(AND(V1664="정상",OFFSET(Y1664,0,COUNTA(Y1664:AV1664)-1)&gt;=U1664),"정상",
IF(AND(V1664="정상",OFFSET(Y1664,0,COUNTA(Y1664:AV1664)-1)=0),"정상",
"계약서 미작성")))))</f>
        <v>면제</v>
      </c>
      <c r="X1664" s="81" t="str">
        <f aca="true">
IF(D1664="폐업","폐업",
IF(AND(V1664="정상",OFFSET(Y1664,0,COUNTA(Y1664:AV1664)-1)="미납"),"미납",
IF(AND(V1664="정상",OFFSET(Y1664,0,COUNTA(Y1664:AV1664)-1)=0),"납부 시작 전",
IF(AND(V1664="정상",OFFSET(Y1664,0,COUNTA(Y1664:AV1664)-1)&gt;=U1664),"정상",
IF(AND(V1664="면제",OFFSET(Y1664,0,COUNTA(Y1664:AV1664)-1)="면제"),"면제",
IF(AND(V1664="면제",OFFSET(Y1664,0,COUNTA(Y1664:AV1664)-1)=0),"면제",
"확인요청"))))))</f>
        <v>면제</v>
      </c>
      <c r="Y1664" s="94" t="s">
        <v>7</v>
      </c>
      <c r="Z1664" s="95" t="s">
        <v>7</v>
      </c>
      <c r="AA1664" s="95" t="s">
        <v>7</v>
      </c>
      <c r="AB1664" s="95" t="s">
        <v>7</v>
      </c>
      <c r="AC1664" s="95" t="s">
        <v>7</v>
      </c>
      <c r="AD1664" s="95" t="s">
        <v>7</v>
      </c>
      <c r="AE1664" s="95" t="s">
        <v>7</v>
      </c>
      <c r="AF1664" s="95" t="s">
        <v>7</v>
      </c>
      <c r="AG1664" s="95" t="s">
        <v>7</v>
      </c>
      <c r="AH1664" s="95" t="s">
        <v>7</v>
      </c>
      <c r="AI1664" s="95" t="s">
        <v>7</v>
      </c>
      <c r="AJ1664" s="96" t="s">
        <v>7</v>
      </c>
      <c r="AK1664" s="97" t="s">
        <v>7</v>
      </c>
      <c r="AL1664" s="95" t="s">
        <v>7</v>
      </c>
      <c r="AM1664" s="90"/>
      <c r="AN1664" s="90"/>
      <c r="AO1664" s="90"/>
      <c r="AP1664" s="90"/>
      <c r="AQ1664" s="90"/>
      <c r="AR1664" s="90"/>
      <c r="AS1664" s="90"/>
      <c r="AT1664" s="90"/>
      <c r="AU1664" s="90"/>
      <c r="AV1664" s="91"/>
      <c r="AX1664" s="92"/>
    </row>
    <row r="1665" customFormat="false" ht="15.65" hidden="false" customHeight="false" outlineLevel="0" collapsed="false">
      <c r="C1665" s="72" t="n">
        <f aca="false">COUNTIFS($D$6:D1665,"&lt;&gt;"&amp;"")</f>
        <v>1660</v>
      </c>
      <c r="D1665" s="73" t="s">
        <v>12</v>
      </c>
      <c r="E1665" s="76" t="str">
        <f aca="false">
IF($D1665="정상",INDEX(임대자산!$D$3:$R$3000,MATCH($F1665,임대자산!$I$3:$I$3000,0),MATCH(E$3,임대자산!$D$3:$R$3,0)),
IF($D1665="폐업",INDEX(폐업정보!$D$3:$R$3000,MATCH($F1665,폐업정보!$I$3:$I$3000,0),MATCH(E$3,폐업정보!$D$3:$R$3,0)),
"Error"))</f>
        <v>서울</v>
      </c>
      <c r="F166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B1660</v>
      </c>
      <c r="G1665" s="76" t="str">
        <f aca="false">F1665&amp;RANDBETWEEN(0,10)</f>
        <v>B16602</v>
      </c>
      <c r="H1665" s="75" t="n">
        <f aca="false">
IF($D1665="정상",INDEX(임대자산!$D$3:$R$3000,MATCH($F1665,임대자산!$I$3:$I$3000,0),MATCH(H$4,임대자산!$D$3:$R$3,0)),
IF($D1665="폐업",INDEX(폐업정보!$D$3:$R$3000,MATCH($F1665,폐업정보!$I$3:$I$3000,0),MATCH(H$4,폐업정보!$D$3:$R$3,0)),
"Error"))</f>
        <v>45775</v>
      </c>
      <c r="I1665" s="75" t="str">
        <f aca="false">
IF($D1665="정상",INDEX(임대자산!$D$3:$R$3000,MATCH($F1665,임대자산!$I$3:$I$3000,0),MATCH(I$4,임대자산!$D$3:$R$3,0)),
IF($D1665="폐업",INDEX(폐업정보!$D$3:$R$3000,MATCH($F1665,폐업정보!$I$3:$I$3000,0),MATCH(I$4,폐업정보!$D$3:$R$3,0)),
"Error"))</f>
        <v>A1660</v>
      </c>
      <c r="J1665" s="75" t="str">
        <f aca="false">
IF($D1665="정상",INDEX(임대자산!$D$3:$R$3000,MATCH($F1665,임대자산!$I$3:$I$3000,0),MATCH(J$4,임대자산!$D$3:$R$3,0)),
IF($D1665="폐업",INDEX(폐업정보!$D$3:$R$3000,MATCH($F1665,폐업정보!$I$3:$I$3000,0),MATCH(J$4,폐업정보!$D$3:$R$3,0)),
"Error"))</f>
        <v>8003500000</v>
      </c>
      <c r="K1665" s="75" t="str">
        <f aca="false">
IF($D1665="정상",INDEX(임대자산!$D$3:$R$3000,MATCH($F1665,임대자산!$I$3:$I$3000,0),MATCH(K$4,임대자산!$D$3:$R$3,0)),
IF($D1665="폐업",INDEX(폐업정보!$D$3:$R$3000,MATCH($F1665,폐업정보!$I$3:$I$3000,0),MATCH(K$4,폐업정보!$D$3:$R$3,0)),
"Error"))</f>
        <v>C1660</v>
      </c>
      <c r="L1665" s="75" t="str">
        <f aca="false">
IF($D1665="정상",INDEX(임대자산!$D$3:$R$3000,MATCH($F1665,임대자산!$I$3:$I$3000,0),MATCH(L$4,임대자산!$D$3:$R$3,0)),
IF($D1665="폐업",INDEX(폐업정보!$D$3:$R$3000,MATCH($F1665,폐업정보!$I$3:$I$3000,0),MATCH(L$4,폐업정보!$D$3:$R$3,0)),
"Error"))</f>
        <v>D1660</v>
      </c>
      <c r="M1665" s="76" t="s">
        <v>96</v>
      </c>
      <c r="N1665" s="77"/>
      <c r="O1665" s="78" t="s">
        <v>97</v>
      </c>
      <c r="P1665" s="79" t="n">
        <f aca="false">COUNTIFS(임대자산!$I:$I,가맹점정보!F1665,임대자산!$N:$N,가맹점정보!P$4)</f>
        <v>0</v>
      </c>
      <c r="Q1665" s="80" t="n">
        <f aca="false">COUNTIFS(임대자산!$I:$I,가맹점정보!F1665,임대자산!$N:$N,가맹점정보!Q$4)</f>
        <v>0</v>
      </c>
      <c r="R1665" s="81" t="n">
        <f aca="false">COUNTIFS(임대자산!$I:$I,가맹점정보!F1665,임대자산!$N:$N,가맹점정보!R$4)</f>
        <v>1</v>
      </c>
      <c r="S1665" s="82" t="n">
        <v>55000</v>
      </c>
      <c r="T1665" s="83" t="n">
        <v>0</v>
      </c>
      <c r="U1665" s="80" t="n">
        <f aca="false">SUM(S1665:T1665)</f>
        <v>55000</v>
      </c>
      <c r="V1665" s="84" t="s">
        <v>12</v>
      </c>
      <c r="W1665" s="80" t="e">
        <f aca="true">
IF(D1665="폐업","폐업",
IF(V1665="면제","면제",
IF(AND(V1665="정상",COUNTIFS(OFFSET(Y1665,0,COUNTA(Y1665:AV1665)-1,1,-4),"미납")&gt;=3),"장기미납",
IF(AND(V1665="정상",OFFSET(Y1665,0,COUNTA(Y1665:AV1665)-1)&gt;=U1665),"정상",
IF(AND(V1665="정상",OFFSET(Y1665,0,COUNTA(Y1665:AV1665)-1)=0),"정상",
"계약서 미작성")))))</f>
        <v>#VALUE!</v>
      </c>
      <c r="X1665" s="81" t="str">
        <f aca="true">
IF(D1665="폐업","폐업",
IF(AND(V1665="정상",OFFSET(Y1665,0,COUNTA(Y1665:AV1665)-1)="미납"),"미납",
IF(AND(V1665="정상",OFFSET(Y1665,0,COUNTA(Y1665:AV1665)-1)=0),"납부 시작 전",
IF(AND(V1665="정상",OFFSET(Y1665,0,COUNTA(Y1665:AV1665)-1)&gt;=U1665),"정상",
IF(AND(V1665="면제",OFFSET(Y1665,0,COUNTA(Y1665:AV1665)-1)="면제"),"면제",
IF(AND(V1665="면제",OFFSET(Y1665,0,COUNTA(Y1665:AV1665)-1)=0),"면제",
"확인요청"))))))</f>
        <v>미납</v>
      </c>
      <c r="Y1665" s="93" t="n">
        <v>55000</v>
      </c>
      <c r="Z1665" s="90" t="n">
        <v>55000</v>
      </c>
      <c r="AA1665" s="90" t="n">
        <v>55000</v>
      </c>
      <c r="AB1665" s="90" t="n">
        <v>55000</v>
      </c>
      <c r="AC1665" s="90" t="n">
        <v>55000</v>
      </c>
      <c r="AD1665" s="90" t="n">
        <v>55000</v>
      </c>
      <c r="AE1665" s="90" t="n">
        <v>55000</v>
      </c>
      <c r="AF1665" s="90" t="n">
        <v>55000</v>
      </c>
      <c r="AG1665" s="90" t="n">
        <v>55000</v>
      </c>
      <c r="AH1665" s="90" t="n">
        <v>55000</v>
      </c>
      <c r="AI1665" s="90" t="n">
        <v>55000</v>
      </c>
      <c r="AJ1665" s="91" t="n">
        <v>55000</v>
      </c>
      <c r="AK1665" s="89" t="n">
        <v>55000</v>
      </c>
      <c r="AL1665" s="95" t="s">
        <v>62</v>
      </c>
      <c r="AM1665" s="90"/>
      <c r="AN1665" s="90"/>
      <c r="AO1665" s="90"/>
      <c r="AP1665" s="90"/>
      <c r="AQ1665" s="90"/>
      <c r="AR1665" s="90"/>
      <c r="AS1665" s="90"/>
      <c r="AT1665" s="90"/>
      <c r="AU1665" s="90"/>
      <c r="AV1665" s="91"/>
      <c r="AX1665" s="92"/>
    </row>
    <row r="1666" customFormat="false" ht="15.65" hidden="false" customHeight="false" outlineLevel="0" collapsed="false">
      <c r="C1666" s="72" t="n">
        <f aca="false">COUNTIFS($D$6:D1666,"&lt;&gt;"&amp;"")</f>
        <v>1661</v>
      </c>
      <c r="D1666" s="73" t="s">
        <v>12</v>
      </c>
      <c r="E1666" s="76" t="str">
        <f aca="false">
IF($D1666="정상",INDEX(임대자산!$D$3:$R$3000,MATCH($F1666,임대자산!$I$3:$I$3000,0),MATCH(E$3,임대자산!$D$3:$R$3,0)),
IF($D1666="폐업",INDEX(폐업정보!$D$3:$R$3000,MATCH($F1666,폐업정보!$I$3:$I$3000,0),MATCH(E$3,폐업정보!$D$3:$R$3,0)),
"Error"))</f>
        <v>경기</v>
      </c>
      <c r="F166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B1661</v>
      </c>
      <c r="G1666" s="76" t="str">
        <f aca="false">F1666&amp;RANDBETWEEN(0,10)</f>
        <v>B16616</v>
      </c>
      <c r="H1666" s="75" t="n">
        <f aca="false">
IF($D1666="정상",INDEX(임대자산!$D$3:$R$3000,MATCH($F1666,임대자산!$I$3:$I$3000,0),MATCH(H$4,임대자산!$D$3:$R$3,0)),
IF($D1666="폐업",INDEX(폐업정보!$D$3:$R$3000,MATCH($F1666,폐업정보!$I$3:$I$3000,0),MATCH(H$4,폐업정보!$D$3:$R$3,0)),
"Error"))</f>
        <v>45776</v>
      </c>
      <c r="I1666" s="75" t="str">
        <f aca="false">
IF($D1666="정상",INDEX(임대자산!$D$3:$R$3000,MATCH($F1666,임대자산!$I$3:$I$3000,0),MATCH(I$4,임대자산!$D$3:$R$3,0)),
IF($D1666="폐업",INDEX(폐업정보!$D$3:$R$3000,MATCH($F1666,폐업정보!$I$3:$I$3000,0),MATCH(I$4,폐업정보!$D$3:$R$3,0)),
"Error"))</f>
        <v>A1661</v>
      </c>
      <c r="J1666" s="75" t="str">
        <f aca="false">
IF($D1666="정상",INDEX(임대자산!$D$3:$R$3000,MATCH($F1666,임대자산!$I$3:$I$3000,0),MATCH(J$4,임대자산!$D$3:$R$3,0)),
IF($D1666="폐업",INDEX(폐업정보!$D$3:$R$3000,MATCH($F1666,폐업정보!$I$3:$I$3000,0),MATCH(J$4,폐업정보!$D$3:$R$3,0)),
"Error"))</f>
        <v>8573700000</v>
      </c>
      <c r="K1666" s="75" t="str">
        <f aca="false">
IF($D1666="정상",INDEX(임대자산!$D$3:$R$3000,MATCH($F1666,임대자산!$I$3:$I$3000,0),MATCH(K$4,임대자산!$D$3:$R$3,0)),
IF($D1666="폐업",INDEX(폐업정보!$D$3:$R$3000,MATCH($F1666,폐업정보!$I$3:$I$3000,0),MATCH(K$4,폐업정보!$D$3:$R$3,0)),
"Error"))</f>
        <v>C1661</v>
      </c>
      <c r="L1666" s="75" t="str">
        <f aca="false">
IF($D1666="정상",INDEX(임대자산!$D$3:$R$3000,MATCH($F1666,임대자산!$I$3:$I$3000,0),MATCH(L$4,임대자산!$D$3:$R$3,0)),
IF($D1666="폐업",INDEX(폐업정보!$D$3:$R$3000,MATCH($F1666,폐업정보!$I$3:$I$3000,0),MATCH(L$4,폐업정보!$D$3:$R$3,0)),
"Error"))</f>
        <v>D1661</v>
      </c>
      <c r="M1666" s="76" t="s">
        <v>96</v>
      </c>
      <c r="N1666" s="77"/>
      <c r="O1666" s="78" t="s">
        <v>97</v>
      </c>
      <c r="P1666" s="79" t="n">
        <f aca="false">COUNTIFS(임대자산!$I:$I,가맹점정보!F1666,임대자산!$N:$N,가맹점정보!P$4)</f>
        <v>0</v>
      </c>
      <c r="Q1666" s="80" t="n">
        <f aca="false">COUNTIFS(임대자산!$I:$I,가맹점정보!F1666,임대자산!$N:$N,가맹점정보!Q$4)</f>
        <v>0</v>
      </c>
      <c r="R1666" s="81" t="n">
        <f aca="false">COUNTIFS(임대자산!$I:$I,가맹점정보!F1666,임대자산!$N:$N,가맹점정보!R$4)</f>
        <v>1</v>
      </c>
      <c r="S1666" s="82" t="n">
        <v>55000</v>
      </c>
      <c r="T1666" s="83" t="n">
        <v>0</v>
      </c>
      <c r="U1666" s="80" t="n">
        <f aca="false">SUM(S1666:T1666)</f>
        <v>55000</v>
      </c>
      <c r="V1666" s="84" t="s">
        <v>12</v>
      </c>
      <c r="W1666" s="80" t="e">
        <f aca="true">
IF(D1666="폐업","폐업",
IF(V1666="면제","면제",
IF(AND(V1666="정상",COUNTIFS(OFFSET(Y1666,0,COUNTA(Y1666:AV1666)-1,1,-4),"미납")&gt;=3),"장기미납",
IF(AND(V1666="정상",OFFSET(Y1666,0,COUNTA(Y1666:AV1666)-1)&gt;=U1666),"정상",
IF(AND(V1666="정상",OFFSET(Y1666,0,COUNTA(Y1666:AV1666)-1)=0),"정상",
"계약서 미작성")))))</f>
        <v>#VALUE!</v>
      </c>
      <c r="X1666" s="81" t="str">
        <f aca="true">
IF(D1666="폐업","폐업",
IF(AND(V1666="정상",OFFSET(Y1666,0,COUNTA(Y1666:AV1666)-1)="미납"),"미납",
IF(AND(V1666="정상",OFFSET(Y1666,0,COUNTA(Y1666:AV1666)-1)=0),"납부 시작 전",
IF(AND(V1666="정상",OFFSET(Y1666,0,COUNTA(Y1666:AV1666)-1)&gt;=U1666),"정상",
IF(AND(V1666="면제",OFFSET(Y1666,0,COUNTA(Y1666:AV1666)-1)="면제"),"면제",
IF(AND(V1666="면제",OFFSET(Y1666,0,COUNTA(Y1666:AV1666)-1)=0),"면제",
"확인요청"))))))</f>
        <v>정상</v>
      </c>
      <c r="Y1666" s="93" t="n">
        <v>55000</v>
      </c>
      <c r="Z1666" s="90" t="n">
        <v>55000</v>
      </c>
      <c r="AA1666" s="90" t="n">
        <v>55000</v>
      </c>
      <c r="AB1666" s="90" t="n">
        <v>55000</v>
      </c>
      <c r="AC1666" s="90" t="n">
        <v>55000</v>
      </c>
      <c r="AD1666" s="90" t="n">
        <v>55000</v>
      </c>
      <c r="AE1666" s="90" t="n">
        <v>55000</v>
      </c>
      <c r="AF1666" s="90" t="n">
        <v>55000</v>
      </c>
      <c r="AG1666" s="90" t="n">
        <v>55000</v>
      </c>
      <c r="AH1666" s="90" t="n">
        <v>55000</v>
      </c>
      <c r="AI1666" s="90" t="n">
        <v>55000</v>
      </c>
      <c r="AJ1666" s="91" t="n">
        <v>55000</v>
      </c>
      <c r="AK1666" s="89" t="n">
        <v>55000</v>
      </c>
      <c r="AL1666" s="90" t="n">
        <v>55000</v>
      </c>
      <c r="AM1666" s="90"/>
      <c r="AN1666" s="90"/>
      <c r="AO1666" s="90"/>
      <c r="AP1666" s="90"/>
      <c r="AQ1666" s="90"/>
      <c r="AR1666" s="90"/>
      <c r="AS1666" s="90"/>
      <c r="AT1666" s="90"/>
      <c r="AU1666" s="90"/>
      <c r="AV1666" s="91"/>
      <c r="AX1666" s="92"/>
    </row>
    <row r="1667" customFormat="false" ht="15.65" hidden="false" customHeight="false" outlineLevel="0" collapsed="false">
      <c r="C1667" s="72" t="n">
        <f aca="false">COUNTIFS($D$6:D1667,"&lt;&gt;"&amp;"")</f>
        <v>1662</v>
      </c>
      <c r="D1667" s="73" t="s">
        <v>12</v>
      </c>
      <c r="E1667" s="76" t="str">
        <f aca="false">
IF($D1667="정상",INDEX(임대자산!$D$3:$R$3000,MATCH($F1667,임대자산!$I$3:$I$3000,0),MATCH(E$3,임대자산!$D$3:$R$3,0)),
IF($D1667="폐업",INDEX(폐업정보!$D$3:$R$3000,MATCH($F1667,폐업정보!$I$3:$I$3000,0),MATCH(E$3,폐업정보!$D$3:$R$3,0)),
"Error"))</f>
        <v>전라</v>
      </c>
      <c r="F166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B1662</v>
      </c>
      <c r="G1667" s="76" t="str">
        <f aca="false">F1667&amp;RANDBETWEEN(0,10)</f>
        <v>B16626</v>
      </c>
      <c r="H1667" s="75" t="n">
        <f aca="false">
IF($D1667="정상",INDEX(임대자산!$D$3:$R$3000,MATCH($F1667,임대자산!$I$3:$I$3000,0),MATCH(H$4,임대자산!$D$3:$R$3,0)),
IF($D1667="폐업",INDEX(폐업정보!$D$3:$R$3000,MATCH($F1667,폐업정보!$I$3:$I$3000,0),MATCH(H$4,폐업정보!$D$3:$R$3,0)),
"Error"))</f>
        <v>45769</v>
      </c>
      <c r="I1667" s="75" t="str">
        <f aca="false">
IF($D1667="정상",INDEX(임대자산!$D$3:$R$3000,MATCH($F1667,임대자산!$I$3:$I$3000,0),MATCH(I$4,임대자산!$D$3:$R$3,0)),
IF($D1667="폐업",INDEX(폐업정보!$D$3:$R$3000,MATCH($F1667,폐업정보!$I$3:$I$3000,0),MATCH(I$4,폐업정보!$D$3:$R$3,0)),
"Error"))</f>
        <v>A1662</v>
      </c>
      <c r="J1667" s="75" t="str">
        <f aca="false">
IF($D1667="정상",INDEX(임대자산!$D$3:$R$3000,MATCH($F1667,임대자산!$I$3:$I$3000,0),MATCH(J$4,임대자산!$D$3:$R$3,0)),
IF($D1667="폐업",INDEX(폐업정보!$D$3:$R$3000,MATCH($F1667,폐업정보!$I$3:$I$3000,0),MATCH(J$4,폐업정보!$D$3:$R$3,0)),
"Error"))</f>
        <v>6854600000</v>
      </c>
      <c r="K1667" s="75" t="str">
        <f aca="false">
IF($D1667="정상",INDEX(임대자산!$D$3:$R$3000,MATCH($F1667,임대자산!$I$3:$I$3000,0),MATCH(K$4,임대자산!$D$3:$R$3,0)),
IF($D1667="폐업",INDEX(폐업정보!$D$3:$R$3000,MATCH($F1667,폐업정보!$I$3:$I$3000,0),MATCH(K$4,폐업정보!$D$3:$R$3,0)),
"Error"))</f>
        <v>C1662</v>
      </c>
      <c r="L1667" s="75" t="str">
        <f aca="false">
IF($D1667="정상",INDEX(임대자산!$D$3:$R$3000,MATCH($F1667,임대자산!$I$3:$I$3000,0),MATCH(L$4,임대자산!$D$3:$R$3,0)),
IF($D1667="폐업",INDEX(폐업정보!$D$3:$R$3000,MATCH($F1667,폐업정보!$I$3:$I$3000,0),MATCH(L$4,폐업정보!$D$3:$R$3,0)),
"Error"))</f>
        <v>D1662</v>
      </c>
      <c r="M1667" s="76" t="s">
        <v>96</v>
      </c>
      <c r="N1667" s="77"/>
      <c r="O1667" s="78" t="s">
        <v>97</v>
      </c>
      <c r="P1667" s="79" t="n">
        <f aca="false">COUNTIFS(임대자산!$I:$I,가맹점정보!F1667,임대자산!$N:$N,가맹점정보!P$4)</f>
        <v>0</v>
      </c>
      <c r="Q1667" s="80" t="n">
        <f aca="false">COUNTIFS(임대자산!$I:$I,가맹점정보!F1667,임대자산!$N:$N,가맹점정보!Q$4)</f>
        <v>0</v>
      </c>
      <c r="R1667" s="81" t="n">
        <f aca="false">COUNTIFS(임대자산!$I:$I,가맹점정보!F1667,임대자산!$N:$N,가맹점정보!R$4)</f>
        <v>1</v>
      </c>
      <c r="S1667" s="82" t="n">
        <v>55000</v>
      </c>
      <c r="T1667" s="83" t="n">
        <v>0</v>
      </c>
      <c r="U1667" s="80" t="n">
        <f aca="false">SUM(S1667:T1667)</f>
        <v>55000</v>
      </c>
      <c r="V1667" s="84" t="s">
        <v>12</v>
      </c>
      <c r="W1667" s="80" t="e">
        <f aca="true">
IF(D1667="폐업","폐업",
IF(V1667="면제","면제",
IF(AND(V1667="정상",COUNTIFS(OFFSET(Y1667,0,COUNTA(Y1667:AV1667)-1,1,-4),"미납")&gt;=3),"장기미납",
IF(AND(V1667="정상",OFFSET(Y1667,0,COUNTA(Y1667:AV1667)-1)&gt;=U1667),"정상",
IF(AND(V1667="정상",OFFSET(Y1667,0,COUNTA(Y1667:AV1667)-1)=0),"정상",
"계약서 미작성")))))</f>
        <v>#VALUE!</v>
      </c>
      <c r="X1667" s="81" t="str">
        <f aca="true">
IF(D1667="폐업","폐업",
IF(AND(V1667="정상",OFFSET(Y1667,0,COUNTA(Y1667:AV1667)-1)="미납"),"미납",
IF(AND(V1667="정상",OFFSET(Y1667,0,COUNTA(Y1667:AV1667)-1)=0),"납부 시작 전",
IF(AND(V1667="정상",OFFSET(Y1667,0,COUNTA(Y1667:AV1667)-1)&gt;=U1667),"정상",
IF(AND(V1667="면제",OFFSET(Y1667,0,COUNTA(Y1667:AV1667)-1)="면제"),"면제",
IF(AND(V1667="면제",OFFSET(Y1667,0,COUNTA(Y1667:AV1667)-1)=0),"면제",
"확인요청"))))))</f>
        <v>정상</v>
      </c>
      <c r="Y1667" s="93" t="n">
        <v>55000</v>
      </c>
      <c r="Z1667" s="90" t="n">
        <v>55000</v>
      </c>
      <c r="AA1667" s="90" t="n">
        <v>55000</v>
      </c>
      <c r="AB1667" s="90" t="n">
        <v>55000</v>
      </c>
      <c r="AC1667" s="90" t="n">
        <v>55000</v>
      </c>
      <c r="AD1667" s="90" t="n">
        <v>55000</v>
      </c>
      <c r="AE1667" s="90" t="n">
        <v>55000</v>
      </c>
      <c r="AF1667" s="90" t="n">
        <v>55000</v>
      </c>
      <c r="AG1667" s="90" t="n">
        <v>55000</v>
      </c>
      <c r="AH1667" s="90" t="n">
        <v>55000</v>
      </c>
      <c r="AI1667" s="90" t="n">
        <v>55000</v>
      </c>
      <c r="AJ1667" s="91" t="n">
        <v>55000</v>
      </c>
      <c r="AK1667" s="89" t="n">
        <v>55000</v>
      </c>
      <c r="AL1667" s="90" t="n">
        <v>55000</v>
      </c>
      <c r="AM1667" s="90"/>
      <c r="AN1667" s="90"/>
      <c r="AO1667" s="90"/>
      <c r="AP1667" s="90"/>
      <c r="AQ1667" s="90"/>
      <c r="AR1667" s="90"/>
      <c r="AS1667" s="90"/>
      <c r="AT1667" s="90"/>
      <c r="AU1667" s="90"/>
      <c r="AV1667" s="91"/>
      <c r="AX1667" s="92"/>
    </row>
    <row r="1668" customFormat="false" ht="15.65" hidden="false" customHeight="false" outlineLevel="0" collapsed="false">
      <c r="C1668" s="72" t="n">
        <f aca="false">COUNTIFS($D$6:D1668,"&lt;&gt;"&amp;"")</f>
        <v>1663</v>
      </c>
      <c r="D1668" s="73" t="s">
        <v>12</v>
      </c>
      <c r="E1668" s="76" t="str">
        <f aca="false">
IF($D1668="정상",INDEX(임대자산!$D$3:$R$3000,MATCH($F1668,임대자산!$I$3:$I$3000,0),MATCH(E$3,임대자산!$D$3:$R$3,0)),
IF($D1668="폐업",INDEX(폐업정보!$D$3:$R$3000,MATCH($F1668,폐업정보!$I$3:$I$3000,0),MATCH(E$3,폐업정보!$D$3:$R$3,0)),
"Error"))</f>
        <v>강원</v>
      </c>
      <c r="F166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B1663</v>
      </c>
      <c r="G1668" s="76" t="str">
        <f aca="false">F1668&amp;RANDBETWEEN(0,10)</f>
        <v>B16630</v>
      </c>
      <c r="H1668" s="75" t="n">
        <f aca="false">
IF($D1668="정상",INDEX(임대자산!$D$3:$R$3000,MATCH($F1668,임대자산!$I$3:$I$3000,0),MATCH(H$4,임대자산!$D$3:$R$3,0)),
IF($D1668="폐업",INDEX(폐업정보!$D$3:$R$3000,MATCH($F1668,폐업정보!$I$3:$I$3000,0),MATCH(H$4,폐업정보!$D$3:$R$3,0)),
"Error"))</f>
        <v>45776</v>
      </c>
      <c r="I1668" s="75" t="str">
        <f aca="false">
IF($D1668="정상",INDEX(임대자산!$D$3:$R$3000,MATCH($F1668,임대자산!$I$3:$I$3000,0),MATCH(I$4,임대자산!$D$3:$R$3,0)),
IF($D1668="폐업",INDEX(폐업정보!$D$3:$R$3000,MATCH($F1668,폐업정보!$I$3:$I$3000,0),MATCH(I$4,폐업정보!$D$3:$R$3,0)),
"Error"))</f>
        <v>A1663</v>
      </c>
      <c r="J1668" s="75" t="str">
        <f aca="false">
IF($D1668="정상",INDEX(임대자산!$D$3:$R$3000,MATCH($F1668,임대자산!$I$3:$I$3000,0),MATCH(J$4,임대자산!$D$3:$R$3,0)),
IF($D1668="폐업",INDEX(폐업정보!$D$3:$R$3000,MATCH($F1668,폐업정보!$I$3:$I$3000,0),MATCH(J$4,폐업정보!$D$3:$R$3,0)),
"Error"))</f>
        <v>1462900000</v>
      </c>
      <c r="K1668" s="75" t="str">
        <f aca="false">
IF($D1668="정상",INDEX(임대자산!$D$3:$R$3000,MATCH($F1668,임대자산!$I$3:$I$3000,0),MATCH(K$4,임대자산!$D$3:$R$3,0)),
IF($D1668="폐업",INDEX(폐업정보!$D$3:$R$3000,MATCH($F1668,폐업정보!$I$3:$I$3000,0),MATCH(K$4,폐업정보!$D$3:$R$3,0)),
"Error"))</f>
        <v>C1663</v>
      </c>
      <c r="L1668" s="75" t="str">
        <f aca="false">
IF($D1668="정상",INDEX(임대자산!$D$3:$R$3000,MATCH($F1668,임대자산!$I$3:$I$3000,0),MATCH(L$4,임대자산!$D$3:$R$3,0)),
IF($D1668="폐업",INDEX(폐업정보!$D$3:$R$3000,MATCH($F1668,폐업정보!$I$3:$I$3000,0),MATCH(L$4,폐업정보!$D$3:$R$3,0)),
"Error"))</f>
        <v>D1663</v>
      </c>
      <c r="M1668" s="76" t="s">
        <v>96</v>
      </c>
      <c r="N1668" s="77"/>
      <c r="O1668" s="78" t="s">
        <v>97</v>
      </c>
      <c r="P1668" s="79" t="n">
        <f aca="false">COUNTIFS(임대자산!$I:$I,가맹점정보!F1668,임대자산!$N:$N,가맹점정보!P$4)</f>
        <v>0</v>
      </c>
      <c r="Q1668" s="80" t="n">
        <f aca="false">COUNTIFS(임대자산!$I:$I,가맹점정보!F1668,임대자산!$N:$N,가맹점정보!Q$4)</f>
        <v>0</v>
      </c>
      <c r="R1668" s="81" t="n">
        <f aca="false">COUNTIFS(임대자산!$I:$I,가맹점정보!F1668,임대자산!$N:$N,가맹점정보!R$4)</f>
        <v>1</v>
      </c>
      <c r="S1668" s="82" t="n">
        <v>55000</v>
      </c>
      <c r="T1668" s="83" t="n">
        <v>0</v>
      </c>
      <c r="U1668" s="80" t="n">
        <f aca="false">SUM(S1668:T1668)</f>
        <v>55000</v>
      </c>
      <c r="V1668" s="84" t="s">
        <v>12</v>
      </c>
      <c r="W1668" s="80" t="e">
        <f aca="true">
IF(D1668="폐업","폐업",
IF(V1668="면제","면제",
IF(AND(V1668="정상",COUNTIFS(OFFSET(Y1668,0,COUNTA(Y1668:AV1668)-1,1,-4),"미납")&gt;=3),"장기미납",
IF(AND(V1668="정상",OFFSET(Y1668,0,COUNTA(Y1668:AV1668)-1)&gt;=U1668),"정상",
IF(AND(V1668="정상",OFFSET(Y1668,0,COUNTA(Y1668:AV1668)-1)=0),"정상",
"계약서 미작성")))))</f>
        <v>#VALUE!</v>
      </c>
      <c r="X1668" s="81" t="str">
        <f aca="true">
IF(D1668="폐업","폐업",
IF(AND(V1668="정상",OFFSET(Y1668,0,COUNTA(Y1668:AV1668)-1)="미납"),"미납",
IF(AND(V1668="정상",OFFSET(Y1668,0,COUNTA(Y1668:AV1668)-1)=0),"납부 시작 전",
IF(AND(V1668="정상",OFFSET(Y1668,0,COUNTA(Y1668:AV1668)-1)&gt;=U1668),"정상",
IF(AND(V1668="면제",OFFSET(Y1668,0,COUNTA(Y1668:AV1668)-1)="면제"),"면제",
IF(AND(V1668="면제",OFFSET(Y1668,0,COUNTA(Y1668:AV1668)-1)=0),"면제",
"확인요청"))))))</f>
        <v>정상</v>
      </c>
      <c r="Y1668" s="93" t="n">
        <v>55000</v>
      </c>
      <c r="Z1668" s="90" t="n">
        <v>55000</v>
      </c>
      <c r="AA1668" s="90" t="n">
        <v>55000</v>
      </c>
      <c r="AB1668" s="90" t="n">
        <v>55000</v>
      </c>
      <c r="AC1668" s="90" t="n">
        <v>55000</v>
      </c>
      <c r="AD1668" s="90" t="n">
        <v>55000</v>
      </c>
      <c r="AE1668" s="90" t="n">
        <v>55000</v>
      </c>
      <c r="AF1668" s="90" t="n">
        <v>55000</v>
      </c>
      <c r="AG1668" s="90" t="n">
        <v>55000</v>
      </c>
      <c r="AH1668" s="90" t="n">
        <v>55000</v>
      </c>
      <c r="AI1668" s="90" t="n">
        <v>55000</v>
      </c>
      <c r="AJ1668" s="91" t="n">
        <v>55000</v>
      </c>
      <c r="AK1668" s="89" t="n">
        <v>55000</v>
      </c>
      <c r="AL1668" s="90" t="n">
        <v>55000</v>
      </c>
      <c r="AM1668" s="90"/>
      <c r="AN1668" s="90"/>
      <c r="AO1668" s="90"/>
      <c r="AP1668" s="90"/>
      <c r="AQ1668" s="90"/>
      <c r="AR1668" s="90"/>
      <c r="AS1668" s="90"/>
      <c r="AT1668" s="90"/>
      <c r="AU1668" s="90"/>
      <c r="AV1668" s="91"/>
      <c r="AX1668" s="92"/>
    </row>
    <row r="1669" customFormat="false" ht="15.65" hidden="false" customHeight="false" outlineLevel="0" collapsed="false">
      <c r="C1669" s="72" t="n">
        <f aca="false">COUNTIFS($D$6:D1669,"&lt;&gt;"&amp;"")</f>
        <v>1664</v>
      </c>
      <c r="D1669" s="73" t="s">
        <v>12</v>
      </c>
      <c r="E1669" s="76" t="str">
        <f aca="false">
IF($D1669="정상",INDEX(임대자산!$D$3:$R$3000,MATCH($F1669,임대자산!$I$3:$I$3000,0),MATCH(E$3,임대자산!$D$3:$R$3,0)),
IF($D1669="폐업",INDEX(폐업정보!$D$3:$R$3000,MATCH($F1669,폐업정보!$I$3:$I$3000,0),MATCH(E$3,폐업정보!$D$3:$R$3,0)),
"Error"))</f>
        <v>강원</v>
      </c>
      <c r="F166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B1664</v>
      </c>
      <c r="G1669" s="76" t="str">
        <f aca="false">F1669&amp;RANDBETWEEN(0,10)</f>
        <v>B16646</v>
      </c>
      <c r="H1669" s="75" t="n">
        <f aca="false">
IF($D1669="정상",INDEX(임대자산!$D$3:$R$3000,MATCH($F1669,임대자산!$I$3:$I$3000,0),MATCH(H$4,임대자산!$D$3:$R$3,0)),
IF($D1669="폐업",INDEX(폐업정보!$D$3:$R$3000,MATCH($F1669,폐업정보!$I$3:$I$3000,0),MATCH(H$4,폐업정보!$D$3:$R$3,0)),
"Error"))</f>
        <v>45776</v>
      </c>
      <c r="I1669" s="75" t="str">
        <f aca="false">
IF($D1669="정상",INDEX(임대자산!$D$3:$R$3000,MATCH($F1669,임대자산!$I$3:$I$3000,0),MATCH(I$4,임대자산!$D$3:$R$3,0)),
IF($D1669="폐업",INDEX(폐업정보!$D$3:$R$3000,MATCH($F1669,폐업정보!$I$3:$I$3000,0),MATCH(I$4,폐업정보!$D$3:$R$3,0)),
"Error"))</f>
        <v>A1664</v>
      </c>
      <c r="J1669" s="75" t="str">
        <f aca="false">
IF($D1669="정상",INDEX(임대자산!$D$3:$R$3000,MATCH($F1669,임대자산!$I$3:$I$3000,0),MATCH(J$4,임대자산!$D$3:$R$3,0)),
IF($D1669="폐업",INDEX(폐업정보!$D$3:$R$3000,MATCH($F1669,폐업정보!$I$3:$I$3000,0),MATCH(J$4,폐업정보!$D$3:$R$3,0)),
"Error"))</f>
        <v>3124400000</v>
      </c>
      <c r="K1669" s="75" t="str">
        <f aca="false">
IF($D1669="정상",INDEX(임대자산!$D$3:$R$3000,MATCH($F1669,임대자산!$I$3:$I$3000,0),MATCH(K$4,임대자산!$D$3:$R$3,0)),
IF($D1669="폐업",INDEX(폐업정보!$D$3:$R$3000,MATCH($F1669,폐업정보!$I$3:$I$3000,0),MATCH(K$4,폐업정보!$D$3:$R$3,0)),
"Error"))</f>
        <v>C1664</v>
      </c>
      <c r="L1669" s="75" t="str">
        <f aca="false">
IF($D1669="정상",INDEX(임대자산!$D$3:$R$3000,MATCH($F1669,임대자산!$I$3:$I$3000,0),MATCH(L$4,임대자산!$D$3:$R$3,0)),
IF($D1669="폐업",INDEX(폐업정보!$D$3:$R$3000,MATCH($F1669,폐업정보!$I$3:$I$3000,0),MATCH(L$4,폐업정보!$D$3:$R$3,0)),
"Error"))</f>
        <v>D1664</v>
      </c>
      <c r="M1669" s="76" t="s">
        <v>96</v>
      </c>
      <c r="N1669" s="77"/>
      <c r="O1669" s="78" t="s">
        <v>97</v>
      </c>
      <c r="P1669" s="79" t="n">
        <f aca="false">COUNTIFS(임대자산!$I:$I,가맹점정보!F1669,임대자산!$N:$N,가맹점정보!P$4)</f>
        <v>0</v>
      </c>
      <c r="Q1669" s="80" t="n">
        <f aca="false">COUNTIFS(임대자산!$I:$I,가맹점정보!F1669,임대자산!$N:$N,가맹점정보!Q$4)</f>
        <v>0</v>
      </c>
      <c r="R1669" s="81" t="n">
        <f aca="false">COUNTIFS(임대자산!$I:$I,가맹점정보!F1669,임대자산!$N:$N,가맹점정보!R$4)</f>
        <v>1</v>
      </c>
      <c r="S1669" s="82" t="n">
        <v>55000</v>
      </c>
      <c r="T1669" s="83" t="n">
        <v>0</v>
      </c>
      <c r="U1669" s="80" t="n">
        <f aca="false">SUM(S1669:T1669)</f>
        <v>55000</v>
      </c>
      <c r="V1669" s="84" t="s">
        <v>7</v>
      </c>
      <c r="W1669" s="80" t="str">
        <f aca="true">
IF(D1669="폐업","폐업",
IF(V1669="면제","면제",
IF(AND(V1669="정상",COUNTIFS(OFFSET(Y1669,0,COUNTA(Y1669:AV1669)-1,1,-4),"미납")&gt;=3),"장기미납",
IF(AND(V1669="정상",OFFSET(Y1669,0,COUNTA(Y1669:AV1669)-1)&gt;=U1669),"정상",
IF(AND(V1669="정상",OFFSET(Y1669,0,COUNTA(Y1669:AV1669)-1)=0),"정상",
"계약서 미작성")))))</f>
        <v>면제</v>
      </c>
      <c r="X1669" s="81" t="str">
        <f aca="true">
IF(D1669="폐업","폐업",
IF(AND(V1669="정상",OFFSET(Y1669,0,COUNTA(Y1669:AV1669)-1)="미납"),"미납",
IF(AND(V1669="정상",OFFSET(Y1669,0,COUNTA(Y1669:AV1669)-1)=0),"납부 시작 전",
IF(AND(V1669="정상",OFFSET(Y1669,0,COUNTA(Y1669:AV1669)-1)&gt;=U1669),"정상",
IF(AND(V1669="면제",OFFSET(Y1669,0,COUNTA(Y1669:AV1669)-1)="면제"),"면제",
IF(AND(V1669="면제",OFFSET(Y1669,0,COUNTA(Y1669:AV1669)-1)=0),"면제",
"확인요청"))))))</f>
        <v>면제</v>
      </c>
      <c r="Y1669" s="94" t="s">
        <v>7</v>
      </c>
      <c r="Z1669" s="95" t="s">
        <v>7</v>
      </c>
      <c r="AA1669" s="95" t="s">
        <v>7</v>
      </c>
      <c r="AB1669" s="95" t="s">
        <v>7</v>
      </c>
      <c r="AC1669" s="95" t="s">
        <v>7</v>
      </c>
      <c r="AD1669" s="95" t="s">
        <v>7</v>
      </c>
      <c r="AE1669" s="95" t="s">
        <v>7</v>
      </c>
      <c r="AF1669" s="95" t="s">
        <v>7</v>
      </c>
      <c r="AG1669" s="95" t="s">
        <v>7</v>
      </c>
      <c r="AH1669" s="95" t="s">
        <v>7</v>
      </c>
      <c r="AI1669" s="95" t="s">
        <v>7</v>
      </c>
      <c r="AJ1669" s="96" t="s">
        <v>7</v>
      </c>
      <c r="AK1669" s="97" t="s">
        <v>7</v>
      </c>
      <c r="AL1669" s="95" t="s">
        <v>7</v>
      </c>
      <c r="AM1669" s="90"/>
      <c r="AN1669" s="90"/>
      <c r="AO1669" s="90"/>
      <c r="AP1669" s="90"/>
      <c r="AQ1669" s="90"/>
      <c r="AR1669" s="90"/>
      <c r="AS1669" s="90"/>
      <c r="AT1669" s="90"/>
      <c r="AU1669" s="90"/>
      <c r="AV1669" s="91"/>
      <c r="AX1669" s="92"/>
    </row>
    <row r="1670" customFormat="false" ht="15.65" hidden="false" customHeight="false" outlineLevel="0" collapsed="false">
      <c r="C1670" s="72" t="n">
        <f aca="false">COUNTIFS($D$6:D1670,"&lt;&gt;"&amp;"")</f>
        <v>1665</v>
      </c>
      <c r="D1670" s="73" t="s">
        <v>12</v>
      </c>
      <c r="E1670" s="76" t="str">
        <f aca="false">
IF($D1670="정상",INDEX(임대자산!$D$3:$R$3000,MATCH($F1670,임대자산!$I$3:$I$3000,0),MATCH(E$3,임대자산!$D$3:$R$3,0)),
IF($D1670="폐업",INDEX(폐업정보!$D$3:$R$3000,MATCH($F1670,폐업정보!$I$3:$I$3000,0),MATCH(E$3,폐업정보!$D$3:$R$3,0)),
"Error"))</f>
        <v>강원</v>
      </c>
      <c r="F167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B1665</v>
      </c>
      <c r="G1670" s="76" t="str">
        <f aca="false">F1670&amp;RANDBETWEEN(0,10)</f>
        <v>B16653</v>
      </c>
      <c r="H1670" s="75" t="n">
        <f aca="false">
IF($D1670="정상",INDEX(임대자산!$D$3:$R$3000,MATCH($F1670,임대자산!$I$3:$I$3000,0),MATCH(H$4,임대자산!$D$3:$R$3,0)),
IF($D1670="폐업",INDEX(폐업정보!$D$3:$R$3000,MATCH($F1670,폐업정보!$I$3:$I$3000,0),MATCH(H$4,폐업정보!$D$3:$R$3,0)),
"Error"))</f>
        <v>45775</v>
      </c>
      <c r="I1670" s="75" t="str">
        <f aca="false">
IF($D1670="정상",INDEX(임대자산!$D$3:$R$3000,MATCH($F1670,임대자산!$I$3:$I$3000,0),MATCH(I$4,임대자산!$D$3:$R$3,0)),
IF($D1670="폐업",INDEX(폐업정보!$D$3:$R$3000,MATCH($F1670,폐업정보!$I$3:$I$3000,0),MATCH(I$4,폐업정보!$D$3:$R$3,0)),
"Error"))</f>
        <v>A1665</v>
      </c>
      <c r="J1670" s="75" t="str">
        <f aca="false">
IF($D1670="정상",INDEX(임대자산!$D$3:$R$3000,MATCH($F1670,임대자산!$I$3:$I$3000,0),MATCH(J$4,임대자산!$D$3:$R$3,0)),
IF($D1670="폐업",INDEX(폐업정보!$D$3:$R$3000,MATCH($F1670,폐업정보!$I$3:$I$3000,0),MATCH(J$4,폐업정보!$D$3:$R$3,0)),
"Error"))</f>
        <v>2427200000</v>
      </c>
      <c r="K1670" s="75" t="str">
        <f aca="false">
IF($D1670="정상",INDEX(임대자산!$D$3:$R$3000,MATCH($F1670,임대자산!$I$3:$I$3000,0),MATCH(K$4,임대자산!$D$3:$R$3,0)),
IF($D1670="폐업",INDEX(폐업정보!$D$3:$R$3000,MATCH($F1670,폐업정보!$I$3:$I$3000,0),MATCH(K$4,폐업정보!$D$3:$R$3,0)),
"Error"))</f>
        <v>C1665</v>
      </c>
      <c r="L1670" s="75" t="str">
        <f aca="false">
IF($D1670="정상",INDEX(임대자산!$D$3:$R$3000,MATCH($F1670,임대자산!$I$3:$I$3000,0),MATCH(L$4,임대자산!$D$3:$R$3,0)),
IF($D1670="폐업",INDEX(폐업정보!$D$3:$R$3000,MATCH($F1670,폐업정보!$I$3:$I$3000,0),MATCH(L$4,폐업정보!$D$3:$R$3,0)),
"Error"))</f>
        <v>D1665</v>
      </c>
      <c r="M1670" s="76" t="s">
        <v>96</v>
      </c>
      <c r="N1670" s="77"/>
      <c r="O1670" s="78" t="s">
        <v>97</v>
      </c>
      <c r="P1670" s="79" t="n">
        <f aca="false">COUNTIFS(임대자산!$I:$I,가맹점정보!F1670,임대자산!$N:$N,가맹점정보!P$4)</f>
        <v>0</v>
      </c>
      <c r="Q1670" s="80" t="n">
        <f aca="false">COUNTIFS(임대자산!$I:$I,가맹점정보!F1670,임대자산!$N:$N,가맹점정보!Q$4)</f>
        <v>0</v>
      </c>
      <c r="R1670" s="81" t="n">
        <f aca="false">COUNTIFS(임대자산!$I:$I,가맹점정보!F1670,임대자산!$N:$N,가맹점정보!R$4)</f>
        <v>1</v>
      </c>
      <c r="S1670" s="82" t="n">
        <v>55000</v>
      </c>
      <c r="T1670" s="83" t="n">
        <v>0</v>
      </c>
      <c r="U1670" s="80" t="n">
        <f aca="false">SUM(S1670:T1670)</f>
        <v>55000</v>
      </c>
      <c r="V1670" s="84" t="s">
        <v>7</v>
      </c>
      <c r="W1670" s="80" t="str">
        <f aca="true">
IF(D1670="폐업","폐업",
IF(V1670="면제","면제",
IF(AND(V1670="정상",COUNTIFS(OFFSET(Y1670,0,COUNTA(Y1670:AV1670)-1,1,-4),"미납")&gt;=3),"장기미납",
IF(AND(V1670="정상",OFFSET(Y1670,0,COUNTA(Y1670:AV1670)-1)&gt;=U1670),"정상",
IF(AND(V1670="정상",OFFSET(Y1670,0,COUNTA(Y1670:AV1670)-1)=0),"정상",
"계약서 미작성")))))</f>
        <v>면제</v>
      </c>
      <c r="X1670" s="81" t="str">
        <f aca="true">
IF(D1670="폐업","폐업",
IF(AND(V1670="정상",OFFSET(Y1670,0,COUNTA(Y1670:AV1670)-1)="미납"),"미납",
IF(AND(V1670="정상",OFFSET(Y1670,0,COUNTA(Y1670:AV1670)-1)=0),"납부 시작 전",
IF(AND(V1670="정상",OFFSET(Y1670,0,COUNTA(Y1670:AV1670)-1)&gt;=U1670),"정상",
IF(AND(V1670="면제",OFFSET(Y1670,0,COUNTA(Y1670:AV1670)-1)="면제"),"면제",
IF(AND(V1670="면제",OFFSET(Y1670,0,COUNTA(Y1670:AV1670)-1)=0),"면제",
"확인요청"))))))</f>
        <v>면제</v>
      </c>
      <c r="Y1670" s="94" t="s">
        <v>7</v>
      </c>
      <c r="Z1670" s="95" t="s">
        <v>7</v>
      </c>
      <c r="AA1670" s="95" t="s">
        <v>7</v>
      </c>
      <c r="AB1670" s="95" t="s">
        <v>7</v>
      </c>
      <c r="AC1670" s="95" t="s">
        <v>7</v>
      </c>
      <c r="AD1670" s="95" t="s">
        <v>7</v>
      </c>
      <c r="AE1670" s="95" t="s">
        <v>7</v>
      </c>
      <c r="AF1670" s="95" t="s">
        <v>7</v>
      </c>
      <c r="AG1670" s="95" t="s">
        <v>7</v>
      </c>
      <c r="AH1670" s="95" t="s">
        <v>7</v>
      </c>
      <c r="AI1670" s="95" t="s">
        <v>7</v>
      </c>
      <c r="AJ1670" s="96" t="s">
        <v>7</v>
      </c>
      <c r="AK1670" s="97" t="s">
        <v>7</v>
      </c>
      <c r="AL1670" s="95" t="s">
        <v>7</v>
      </c>
      <c r="AM1670" s="90"/>
      <c r="AN1670" s="90"/>
      <c r="AO1670" s="90"/>
      <c r="AP1670" s="90"/>
      <c r="AQ1670" s="90"/>
      <c r="AR1670" s="90"/>
      <c r="AS1670" s="90"/>
      <c r="AT1670" s="90"/>
      <c r="AU1670" s="90"/>
      <c r="AV1670" s="91"/>
      <c r="AX1670" s="92"/>
    </row>
    <row r="1671" customFormat="false" ht="15.65" hidden="false" customHeight="false" outlineLevel="0" collapsed="false">
      <c r="C1671" s="72" t="n">
        <f aca="false">COUNTIFS($D$6:D1671,"&lt;&gt;"&amp;"")</f>
        <v>1666</v>
      </c>
      <c r="D1671" s="73" t="s">
        <v>5</v>
      </c>
      <c r="E1671" s="76" t="str">
        <f aca="false">
IF($D1671="정상",INDEX(임대자산!$D$3:$R$3000,MATCH($F1671,임대자산!$I$3:$I$3000,0),MATCH(E$3,임대자산!$D$3:$R$3,0)),
IF($D1671="폐업",INDEX(폐업정보!$D$3:$R$3000,MATCH($F1671,폐업정보!$I$3:$I$3000,0),MATCH(E$3,폐업정보!$D$3:$R$3,0)),
"Error"))</f>
        <v>강원</v>
      </c>
      <c r="F167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B1666</v>
      </c>
      <c r="G1671" s="76" t="str">
        <f aca="false">F1671&amp;RANDBETWEEN(0,10)</f>
        <v>B16668</v>
      </c>
      <c r="H1671" s="75" t="n">
        <f aca="false">
IF($D1671="정상",INDEX(임대자산!$D$3:$R$3000,MATCH($F1671,임대자산!$I$3:$I$3000,0),MATCH(H$4,임대자산!$D$3:$R$3,0)),
IF($D1671="폐업",INDEX(폐업정보!$D$3:$R$3000,MATCH($F1671,폐업정보!$I$3:$I$3000,0),MATCH(H$4,폐업정보!$D$3:$R$3,0)),
"Error"))</f>
        <v>45775</v>
      </c>
      <c r="I1671" s="75" t="str">
        <f aca="false">
IF($D1671="정상",INDEX(임대자산!$D$3:$R$3000,MATCH($F1671,임대자산!$I$3:$I$3000,0),MATCH(I$4,임대자산!$D$3:$R$3,0)),
IF($D1671="폐업",INDEX(폐업정보!$D$3:$R$3000,MATCH($F1671,폐업정보!$I$3:$I$3000,0),MATCH(I$4,폐업정보!$D$3:$R$3,0)),
"Error"))</f>
        <v>A1666</v>
      </c>
      <c r="J1671" s="75" t="str">
        <f aca="false">
IF($D1671="정상",INDEX(임대자산!$D$3:$R$3000,MATCH($F1671,임대자산!$I$3:$I$3000,0),MATCH(J$4,임대자산!$D$3:$R$3,0)),
IF($D1671="폐업",INDEX(폐업정보!$D$3:$R$3000,MATCH($F1671,폐업정보!$I$3:$I$3000,0),MATCH(J$4,폐업정보!$D$3:$R$3,0)),
"Error"))</f>
        <v>4136900000</v>
      </c>
      <c r="K1671" s="75" t="str">
        <f aca="false">
IF($D1671="정상",INDEX(임대자산!$D$3:$R$3000,MATCH($F1671,임대자산!$I$3:$I$3000,0),MATCH(K$4,임대자산!$D$3:$R$3,0)),
IF($D1671="폐업",INDEX(폐업정보!$D$3:$R$3000,MATCH($F1671,폐업정보!$I$3:$I$3000,0),MATCH(K$4,폐업정보!$D$3:$R$3,0)),
"Error"))</f>
        <v>C1666</v>
      </c>
      <c r="L1671" s="75" t="str">
        <f aca="false">
IF($D1671="정상",INDEX(임대자산!$D$3:$R$3000,MATCH($F1671,임대자산!$I$3:$I$3000,0),MATCH(L$4,임대자산!$D$3:$R$3,0)),
IF($D1671="폐업",INDEX(폐업정보!$D$3:$R$3000,MATCH($F1671,폐업정보!$I$3:$I$3000,0),MATCH(L$4,폐업정보!$D$3:$R$3,0)),
"Error"))</f>
        <v>D1666</v>
      </c>
      <c r="M1671" s="76" t="s">
        <v>96</v>
      </c>
      <c r="N1671" s="77"/>
      <c r="O1671" s="78" t="s">
        <v>97</v>
      </c>
      <c r="P1671" s="79" t="n">
        <f aca="false">COUNTIFS(임대자산!$I:$I,가맹점정보!F1671,임대자산!$N:$N,가맹점정보!P$4)</f>
        <v>0</v>
      </c>
      <c r="Q1671" s="80" t="n">
        <f aca="false">COUNTIFS(임대자산!$I:$I,가맹점정보!F1671,임대자산!$N:$N,가맹점정보!Q$4)</f>
        <v>0</v>
      </c>
      <c r="R1671" s="81" t="n">
        <f aca="false">COUNTIFS(임대자산!$I:$I,가맹점정보!F1671,임대자산!$N:$N,가맹점정보!R$4)</f>
        <v>0</v>
      </c>
      <c r="S1671" s="82" t="n">
        <v>22000</v>
      </c>
      <c r="T1671" s="83" t="n">
        <v>22000</v>
      </c>
      <c r="U1671" s="80" t="n">
        <f aca="false">SUM(S1671:T1671)</f>
        <v>44000</v>
      </c>
      <c r="V1671" s="84" t="s">
        <v>12</v>
      </c>
      <c r="W1671" s="80" t="str">
        <f aca="true">
IF(D1671="폐업","폐업",
IF(V1671="면제","면제",
IF(AND(V1671="정상",COUNTIFS(OFFSET(Y1671,0,COUNTA(Y1671:AV1671)-1,1,-4),"미납")&gt;=3),"장기미납",
IF(AND(V1671="정상",OFFSET(Y1671,0,COUNTA(Y1671:AV1671)-1)&gt;=U1671),"정상",
IF(AND(V1671="정상",OFFSET(Y1671,0,COUNTA(Y1671:AV1671)-1)=0),"정상",
"계약서 미작성")))))</f>
        <v>폐업</v>
      </c>
      <c r="X1671" s="81" t="str">
        <f aca="true">
IF(D1671="폐업","폐업",
IF(AND(V1671="정상",OFFSET(Y1671,0,COUNTA(Y1671:AV1671)-1)="미납"),"미납",
IF(AND(V1671="정상",OFFSET(Y1671,0,COUNTA(Y1671:AV1671)-1)=0),"납부 시작 전",
IF(AND(V1671="정상",OFFSET(Y1671,0,COUNTA(Y1671:AV1671)-1)&gt;=U1671),"정상",
IF(AND(V1671="면제",OFFSET(Y1671,0,COUNTA(Y1671:AV1671)-1)="면제"),"면제",
IF(AND(V1671="면제",OFFSET(Y1671,0,COUNTA(Y1671:AV1671)-1)=0),"면제",
"확인요청"))))))</f>
        <v>폐업</v>
      </c>
      <c r="Y1671" s="93" t="n">
        <v>44000</v>
      </c>
      <c r="Z1671" s="90" t="n">
        <v>44000</v>
      </c>
      <c r="AA1671" s="90" t="n">
        <v>44000</v>
      </c>
      <c r="AB1671" s="90" t="n">
        <v>44000</v>
      </c>
      <c r="AC1671" s="90" t="n">
        <v>44000</v>
      </c>
      <c r="AD1671" s="90" t="n">
        <v>44000</v>
      </c>
      <c r="AE1671" s="90" t="n">
        <v>44000</v>
      </c>
      <c r="AF1671" s="90" t="n">
        <v>44000</v>
      </c>
      <c r="AG1671" s="90" t="n">
        <v>44000</v>
      </c>
      <c r="AH1671" s="90" t="n">
        <v>44000</v>
      </c>
      <c r="AI1671" s="90" t="n">
        <v>44000</v>
      </c>
      <c r="AJ1671" s="91" t="n">
        <v>44000</v>
      </c>
      <c r="AK1671" s="89" t="n">
        <v>44000</v>
      </c>
      <c r="AL1671" s="90" t="n">
        <v>44000</v>
      </c>
      <c r="AM1671" s="90"/>
      <c r="AN1671" s="90"/>
      <c r="AO1671" s="90"/>
      <c r="AP1671" s="90"/>
      <c r="AQ1671" s="90"/>
      <c r="AR1671" s="90"/>
      <c r="AS1671" s="90"/>
      <c r="AT1671" s="90"/>
      <c r="AU1671" s="90"/>
      <c r="AV1671" s="91"/>
      <c r="AX1671" s="92"/>
    </row>
    <row r="1672" customFormat="false" ht="15.65" hidden="false" customHeight="false" outlineLevel="0" collapsed="false">
      <c r="C1672" s="72" t="n">
        <f aca="false">COUNTIFS($D$6:D1672,"&lt;&gt;"&amp;"")</f>
        <v>1667</v>
      </c>
      <c r="D1672" s="73" t="s">
        <v>12</v>
      </c>
      <c r="E1672" s="76" t="str">
        <f aca="false">
IF($D1672="정상",INDEX(임대자산!$D$3:$R$3000,MATCH($F1672,임대자산!$I$3:$I$3000,0),MATCH(E$3,임대자산!$D$3:$R$3,0)),
IF($D1672="폐업",INDEX(폐업정보!$D$3:$R$3000,MATCH($F1672,폐업정보!$I$3:$I$3000,0),MATCH(E$3,폐업정보!$D$3:$R$3,0)),
"Error"))</f>
        <v>경상</v>
      </c>
      <c r="F167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B1667</v>
      </c>
      <c r="G1672" s="76" t="str">
        <f aca="false">F1672&amp;RANDBETWEEN(0,10)</f>
        <v>B16676</v>
      </c>
      <c r="H1672" s="75" t="n">
        <f aca="false">
IF($D1672="정상",INDEX(임대자산!$D$3:$R$3000,MATCH($F1672,임대자산!$I$3:$I$3000,0),MATCH(H$4,임대자산!$D$3:$R$3,0)),
IF($D1672="폐업",INDEX(폐업정보!$D$3:$R$3000,MATCH($F1672,폐업정보!$I$3:$I$3000,0),MATCH(H$4,폐업정보!$D$3:$R$3,0)),
"Error"))</f>
        <v>45789</v>
      </c>
      <c r="I1672" s="75" t="str">
        <f aca="false">
IF($D1672="정상",INDEX(임대자산!$D$3:$R$3000,MATCH($F1672,임대자산!$I$3:$I$3000,0),MATCH(I$4,임대자산!$D$3:$R$3,0)),
IF($D1672="폐업",INDEX(폐업정보!$D$3:$R$3000,MATCH($F1672,폐업정보!$I$3:$I$3000,0),MATCH(I$4,폐업정보!$D$3:$R$3,0)),
"Error"))</f>
        <v>A1667</v>
      </c>
      <c r="J1672" s="75" t="str">
        <f aca="false">
IF($D1672="정상",INDEX(임대자산!$D$3:$R$3000,MATCH($F1672,임대자산!$I$3:$I$3000,0),MATCH(J$4,임대자산!$D$3:$R$3,0)),
IF($D1672="폐업",INDEX(폐업정보!$D$3:$R$3000,MATCH($F1672,폐업정보!$I$3:$I$3000,0),MATCH(J$4,폐업정보!$D$3:$R$3,0)),
"Error"))</f>
        <v>4579800000</v>
      </c>
      <c r="K1672" s="75" t="str">
        <f aca="false">
IF($D1672="정상",INDEX(임대자산!$D$3:$R$3000,MATCH($F1672,임대자산!$I$3:$I$3000,0),MATCH(K$4,임대자산!$D$3:$R$3,0)),
IF($D1672="폐업",INDEX(폐업정보!$D$3:$R$3000,MATCH($F1672,폐업정보!$I$3:$I$3000,0),MATCH(K$4,폐업정보!$D$3:$R$3,0)),
"Error"))</f>
        <v>C1667</v>
      </c>
      <c r="L1672" s="75" t="str">
        <f aca="false">
IF($D1672="정상",INDEX(임대자산!$D$3:$R$3000,MATCH($F1672,임대자산!$I$3:$I$3000,0),MATCH(L$4,임대자산!$D$3:$R$3,0)),
IF($D1672="폐업",INDEX(폐업정보!$D$3:$R$3000,MATCH($F1672,폐업정보!$I$3:$I$3000,0),MATCH(L$4,폐업정보!$D$3:$R$3,0)),
"Error"))</f>
        <v>D1667</v>
      </c>
      <c r="M1672" s="76" t="s">
        <v>96</v>
      </c>
      <c r="N1672" s="77"/>
      <c r="O1672" s="78" t="s">
        <v>97</v>
      </c>
      <c r="P1672" s="79" t="n">
        <f aca="false">COUNTIFS(임대자산!$I:$I,가맹점정보!F1672,임대자산!$N:$N,가맹점정보!P$4)</f>
        <v>0</v>
      </c>
      <c r="Q1672" s="80" t="n">
        <f aca="false">COUNTIFS(임대자산!$I:$I,가맹점정보!F1672,임대자산!$N:$N,가맹점정보!Q$4)</f>
        <v>0</v>
      </c>
      <c r="R1672" s="81" t="n">
        <f aca="false">COUNTIFS(임대자산!$I:$I,가맹점정보!F1672,임대자산!$N:$N,가맹점정보!R$4)</f>
        <v>1</v>
      </c>
      <c r="S1672" s="82" t="n">
        <v>55000</v>
      </c>
      <c r="T1672" s="83" t="n">
        <v>0</v>
      </c>
      <c r="U1672" s="80" t="n">
        <f aca="false">SUM(S1672:T1672)</f>
        <v>55000</v>
      </c>
      <c r="V1672" s="84" t="s">
        <v>7</v>
      </c>
      <c r="W1672" s="80" t="str">
        <f aca="true">
IF(D1672="폐업","폐업",
IF(V1672="면제","면제",
IF(AND(V1672="정상",COUNTIFS(OFFSET(Y1672,0,COUNTA(Y1672:AV1672)-1,1,-4),"미납")&gt;=3),"장기미납",
IF(AND(V1672="정상",OFFSET(Y1672,0,COUNTA(Y1672:AV1672)-1)&gt;=U1672),"정상",
IF(AND(V1672="정상",OFFSET(Y1672,0,COUNTA(Y1672:AV1672)-1)=0),"정상",
"계약서 미작성")))))</f>
        <v>면제</v>
      </c>
      <c r="X1672" s="81" t="str">
        <f aca="true">
IF(D1672="폐업","폐업",
IF(AND(V1672="정상",OFFSET(Y1672,0,COUNTA(Y1672:AV1672)-1)="미납"),"미납",
IF(AND(V1672="정상",OFFSET(Y1672,0,COUNTA(Y1672:AV1672)-1)=0),"납부 시작 전",
IF(AND(V1672="정상",OFFSET(Y1672,0,COUNTA(Y1672:AV1672)-1)&gt;=U1672),"정상",
IF(AND(V1672="면제",OFFSET(Y1672,0,COUNTA(Y1672:AV1672)-1)="면제"),"면제",
IF(AND(V1672="면제",OFFSET(Y1672,0,COUNTA(Y1672:AV1672)-1)=0),"면제",
"확인요청"))))))</f>
        <v>면제</v>
      </c>
      <c r="Y1672" s="94" t="s">
        <v>62</v>
      </c>
      <c r="Z1672" s="90" t="n">
        <v>55000</v>
      </c>
      <c r="AA1672" s="90" t="n">
        <v>55000</v>
      </c>
      <c r="AB1672" s="90" t="n">
        <v>55000</v>
      </c>
      <c r="AC1672" s="90" t="n">
        <v>55000</v>
      </c>
      <c r="AD1672" s="90" t="n">
        <v>55000</v>
      </c>
      <c r="AE1672" s="90" t="n">
        <v>55000</v>
      </c>
      <c r="AF1672" s="90" t="n">
        <v>55000</v>
      </c>
      <c r="AG1672" s="90" t="n">
        <v>55000</v>
      </c>
      <c r="AH1672" s="90" t="n">
        <v>55000</v>
      </c>
      <c r="AI1672" s="90" t="n">
        <v>55000</v>
      </c>
      <c r="AJ1672" s="96" t="s">
        <v>7</v>
      </c>
      <c r="AK1672" s="97" t="s">
        <v>7</v>
      </c>
      <c r="AL1672" s="95" t="s">
        <v>7</v>
      </c>
      <c r="AM1672" s="90"/>
      <c r="AN1672" s="90"/>
      <c r="AO1672" s="90"/>
      <c r="AP1672" s="90"/>
      <c r="AQ1672" s="90"/>
      <c r="AR1672" s="90"/>
      <c r="AS1672" s="90"/>
      <c r="AT1672" s="90"/>
      <c r="AU1672" s="90"/>
      <c r="AV1672" s="91"/>
      <c r="AX1672" s="92"/>
    </row>
    <row r="1673" customFormat="false" ht="15.65" hidden="false" customHeight="false" outlineLevel="0" collapsed="false">
      <c r="C1673" s="72" t="n">
        <f aca="false">COUNTIFS($D$6:D1673,"&lt;&gt;"&amp;"")</f>
        <v>1668</v>
      </c>
      <c r="D1673" s="73" t="s">
        <v>12</v>
      </c>
      <c r="E1673" s="76" t="str">
        <f aca="false">
IF($D1673="정상",INDEX(임대자산!$D$3:$R$3000,MATCH($F1673,임대자산!$I$3:$I$3000,0),MATCH(E$3,임대자산!$D$3:$R$3,0)),
IF($D1673="폐업",INDEX(폐업정보!$D$3:$R$3000,MATCH($F1673,폐업정보!$I$3:$I$3000,0),MATCH(E$3,폐업정보!$D$3:$R$3,0)),
"Error"))</f>
        <v>서울</v>
      </c>
      <c r="F167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B1668</v>
      </c>
      <c r="G1673" s="76" t="str">
        <f aca="false">F1673&amp;RANDBETWEEN(0,10)</f>
        <v>B16686</v>
      </c>
      <c r="H1673" s="75" t="n">
        <f aca="false">
IF($D1673="정상",INDEX(임대자산!$D$3:$R$3000,MATCH($F1673,임대자산!$I$3:$I$3000,0),MATCH(H$4,임대자산!$D$3:$R$3,0)),
IF($D1673="폐업",INDEX(폐업정보!$D$3:$R$3000,MATCH($F1673,폐업정보!$I$3:$I$3000,0),MATCH(H$4,폐업정보!$D$3:$R$3,0)),
"Error"))</f>
        <v>46062</v>
      </c>
      <c r="I1673" s="75" t="str">
        <f aca="false">
IF($D1673="정상",INDEX(임대자산!$D$3:$R$3000,MATCH($F1673,임대자산!$I$3:$I$3000,0),MATCH(I$4,임대자산!$D$3:$R$3,0)),
IF($D1673="폐업",INDEX(폐업정보!$D$3:$R$3000,MATCH($F1673,폐업정보!$I$3:$I$3000,0),MATCH(I$4,폐업정보!$D$3:$R$3,0)),
"Error"))</f>
        <v>A1668</v>
      </c>
      <c r="J1673" s="75" t="str">
        <f aca="false">
IF($D1673="정상",INDEX(임대자산!$D$3:$R$3000,MATCH($F1673,임대자산!$I$3:$I$3000,0),MATCH(J$4,임대자산!$D$3:$R$3,0)),
IF($D1673="폐업",INDEX(폐업정보!$D$3:$R$3000,MATCH($F1673,폐업정보!$I$3:$I$3000,0),MATCH(J$4,폐업정보!$D$3:$R$3,0)),
"Error"))</f>
        <v>9500500000</v>
      </c>
      <c r="K1673" s="75" t="str">
        <f aca="false">
IF($D1673="정상",INDEX(임대자산!$D$3:$R$3000,MATCH($F1673,임대자산!$I$3:$I$3000,0),MATCH(K$4,임대자산!$D$3:$R$3,0)),
IF($D1673="폐업",INDEX(폐업정보!$D$3:$R$3000,MATCH($F1673,폐업정보!$I$3:$I$3000,0),MATCH(K$4,폐업정보!$D$3:$R$3,0)),
"Error"))</f>
        <v>C1668</v>
      </c>
      <c r="L1673" s="75" t="str">
        <f aca="false">
IF($D1673="정상",INDEX(임대자산!$D$3:$R$3000,MATCH($F1673,임대자산!$I$3:$I$3000,0),MATCH(L$4,임대자산!$D$3:$R$3,0)),
IF($D1673="폐업",INDEX(폐업정보!$D$3:$R$3000,MATCH($F1673,폐업정보!$I$3:$I$3000,0),MATCH(L$4,폐업정보!$D$3:$R$3,0)),
"Error"))</f>
        <v>D1668</v>
      </c>
      <c r="M1673" s="76" t="s">
        <v>96</v>
      </c>
      <c r="N1673" s="77"/>
      <c r="O1673" s="78" t="s">
        <v>97</v>
      </c>
      <c r="P1673" s="79" t="n">
        <f aca="false">COUNTIFS(임대자산!$I:$I,가맹점정보!F1673,임대자산!$N:$N,가맹점정보!P$4)</f>
        <v>0</v>
      </c>
      <c r="Q1673" s="80" t="n">
        <f aca="false">COUNTIFS(임대자산!$I:$I,가맹점정보!F1673,임대자산!$N:$N,가맹점정보!Q$4)</f>
        <v>0</v>
      </c>
      <c r="R1673" s="81" t="n">
        <f aca="false">COUNTIFS(임대자산!$I:$I,가맹점정보!F1673,임대자산!$N:$N,가맹점정보!R$4)</f>
        <v>1</v>
      </c>
      <c r="S1673" s="82" t="n">
        <v>88000</v>
      </c>
      <c r="T1673" s="83" t="n">
        <v>0</v>
      </c>
      <c r="U1673" s="80" t="n">
        <f aca="false">SUM(S1673:T1673)</f>
        <v>88000</v>
      </c>
      <c r="V1673" s="84" t="s">
        <v>7</v>
      </c>
      <c r="W1673" s="80" t="str">
        <f aca="true">
IF(D1673="폐업","폐업",
IF(V1673="면제","면제",
IF(AND(V1673="정상",COUNTIFS(OFFSET(Y1673,0,COUNTA(Y1673:AV1673)-1,1,-4),"미납")&gt;=3),"장기미납",
IF(AND(V1673="정상",OFFSET(Y1673,0,COUNTA(Y1673:AV1673)-1)&gt;=U1673),"정상",
IF(AND(V1673="정상",OFFSET(Y1673,0,COUNTA(Y1673:AV1673)-1)=0),"정상",
"계약서 미작성")))))</f>
        <v>면제</v>
      </c>
      <c r="X1673" s="81" t="str">
        <f aca="true">
IF(D1673="폐업","폐업",
IF(AND(V1673="정상",OFFSET(Y1673,0,COUNTA(Y1673:AV1673)-1)="미납"),"미납",
IF(AND(V1673="정상",OFFSET(Y1673,0,COUNTA(Y1673:AV1673)-1)=0),"납부 시작 전",
IF(AND(V1673="정상",OFFSET(Y1673,0,COUNTA(Y1673:AV1673)-1)&gt;=U1673),"정상",
IF(AND(V1673="면제",OFFSET(Y1673,0,COUNTA(Y1673:AV1673)-1)="면제"),"면제",
IF(AND(V1673="면제",OFFSET(Y1673,0,COUNTA(Y1673:AV1673)-1)=0),"면제",
"확인요청"))))))</f>
        <v>면제</v>
      </c>
      <c r="Y1673" s="93" t="n">
        <v>88000</v>
      </c>
      <c r="Z1673" s="90" t="n">
        <v>88000</v>
      </c>
      <c r="AA1673" s="90" t="n">
        <v>88000</v>
      </c>
      <c r="AB1673" s="90" t="n">
        <v>88000</v>
      </c>
      <c r="AC1673" s="90" t="n">
        <v>88000</v>
      </c>
      <c r="AD1673" s="95" t="s">
        <v>62</v>
      </c>
      <c r="AE1673" s="95" t="s">
        <v>62</v>
      </c>
      <c r="AF1673" s="95" t="s">
        <v>62</v>
      </c>
      <c r="AG1673" s="95" t="s">
        <v>62</v>
      </c>
      <c r="AH1673" s="95" t="s">
        <v>7</v>
      </c>
      <c r="AI1673" s="95" t="s">
        <v>7</v>
      </c>
      <c r="AJ1673" s="96" t="s">
        <v>7</v>
      </c>
      <c r="AK1673" s="97" t="s">
        <v>7</v>
      </c>
      <c r="AL1673" s="95" t="s">
        <v>7</v>
      </c>
      <c r="AM1673" s="90"/>
      <c r="AN1673" s="90"/>
      <c r="AO1673" s="90"/>
      <c r="AP1673" s="90"/>
      <c r="AQ1673" s="90"/>
      <c r="AR1673" s="90"/>
      <c r="AS1673" s="90"/>
      <c r="AT1673" s="90"/>
      <c r="AU1673" s="90"/>
      <c r="AV1673" s="91"/>
      <c r="AX1673" s="92"/>
    </row>
    <row r="1674" customFormat="false" ht="15.65" hidden="false" customHeight="false" outlineLevel="0" collapsed="false">
      <c r="C1674" s="72" t="n">
        <f aca="false">COUNTIFS($D$6:D1674,"&lt;&gt;"&amp;"")</f>
        <v>1669</v>
      </c>
      <c r="D1674" s="73" t="s">
        <v>12</v>
      </c>
      <c r="E1674" s="76" t="str">
        <f aca="false">
IF($D1674="정상",INDEX(임대자산!$D$3:$R$3000,MATCH($F1674,임대자산!$I$3:$I$3000,0),MATCH(E$3,임대자산!$D$3:$R$3,0)),
IF($D1674="폐업",INDEX(폐업정보!$D$3:$R$3000,MATCH($F1674,폐업정보!$I$3:$I$3000,0),MATCH(E$3,폐업정보!$D$3:$R$3,0)),
"Error"))</f>
        <v>서울</v>
      </c>
      <c r="F167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B1669</v>
      </c>
      <c r="G1674" s="76" t="str">
        <f aca="false">F1674&amp;RANDBETWEEN(0,10)</f>
        <v>B16695</v>
      </c>
      <c r="H1674" s="75" t="n">
        <f aca="false">
IF($D1674="정상",INDEX(임대자산!$D$3:$R$3000,MATCH($F1674,임대자산!$I$3:$I$3000,0),MATCH(H$4,임대자산!$D$3:$R$3,0)),
IF($D1674="폐업",INDEX(폐업정보!$D$3:$R$3000,MATCH($F1674,폐업정보!$I$3:$I$3000,0),MATCH(H$4,폐업정보!$D$3:$R$3,0)),
"Error"))</f>
        <v>46062</v>
      </c>
      <c r="I1674" s="75" t="str">
        <f aca="false">
IF($D1674="정상",INDEX(임대자산!$D$3:$R$3000,MATCH($F1674,임대자산!$I$3:$I$3000,0),MATCH(I$4,임대자산!$D$3:$R$3,0)),
IF($D1674="폐업",INDEX(폐업정보!$D$3:$R$3000,MATCH($F1674,폐업정보!$I$3:$I$3000,0),MATCH(I$4,폐업정보!$D$3:$R$3,0)),
"Error"))</f>
        <v>A1669</v>
      </c>
      <c r="J1674" s="75" t="str">
        <f aca="false">
IF($D1674="정상",INDEX(임대자산!$D$3:$R$3000,MATCH($F1674,임대자산!$I$3:$I$3000,0),MATCH(J$4,임대자산!$D$3:$R$3,0)),
IF($D1674="폐업",INDEX(폐업정보!$D$3:$R$3000,MATCH($F1674,폐업정보!$I$3:$I$3000,0),MATCH(J$4,폐업정보!$D$3:$R$3,0)),
"Error"))</f>
        <v>1155000000</v>
      </c>
      <c r="K1674" s="75" t="str">
        <f aca="false">
IF($D1674="정상",INDEX(임대자산!$D$3:$R$3000,MATCH($F1674,임대자산!$I$3:$I$3000,0),MATCH(K$4,임대자산!$D$3:$R$3,0)),
IF($D1674="폐업",INDEX(폐업정보!$D$3:$R$3000,MATCH($F1674,폐업정보!$I$3:$I$3000,0),MATCH(K$4,폐업정보!$D$3:$R$3,0)),
"Error"))</f>
        <v>C1669</v>
      </c>
      <c r="L1674" s="75" t="str">
        <f aca="false">
IF($D1674="정상",INDEX(임대자산!$D$3:$R$3000,MATCH($F1674,임대자산!$I$3:$I$3000,0),MATCH(L$4,임대자산!$D$3:$R$3,0)),
IF($D1674="폐업",INDEX(폐업정보!$D$3:$R$3000,MATCH($F1674,폐업정보!$I$3:$I$3000,0),MATCH(L$4,폐업정보!$D$3:$R$3,0)),
"Error"))</f>
        <v>D1669</v>
      </c>
      <c r="M1674" s="76" t="s">
        <v>96</v>
      </c>
      <c r="N1674" s="77"/>
      <c r="O1674" s="78" t="s">
        <v>97</v>
      </c>
      <c r="P1674" s="79" t="n">
        <f aca="false">COUNTIFS(임대자산!$I:$I,가맹점정보!F1674,임대자산!$N:$N,가맹점정보!P$4)</f>
        <v>0</v>
      </c>
      <c r="Q1674" s="80" t="n">
        <f aca="false">COUNTIFS(임대자산!$I:$I,가맹점정보!F1674,임대자산!$N:$N,가맹점정보!Q$4)</f>
        <v>0</v>
      </c>
      <c r="R1674" s="81" t="n">
        <f aca="false">COUNTIFS(임대자산!$I:$I,가맹점정보!F1674,임대자산!$N:$N,가맹점정보!R$4)</f>
        <v>1</v>
      </c>
      <c r="S1674" s="82" t="n">
        <v>88000</v>
      </c>
      <c r="T1674" s="83" t="n">
        <v>0</v>
      </c>
      <c r="U1674" s="80" t="n">
        <f aca="false">SUM(S1674:T1674)</f>
        <v>88000</v>
      </c>
      <c r="V1674" s="84" t="s">
        <v>7</v>
      </c>
      <c r="W1674" s="80" t="str">
        <f aca="true">
IF(D1674="폐업","폐업",
IF(V1674="면제","면제",
IF(AND(V1674="정상",COUNTIFS(OFFSET(Y1674,0,COUNTA(Y1674:AV1674)-1,1,-4),"미납")&gt;=3),"장기미납",
IF(AND(V1674="정상",OFFSET(Y1674,0,COUNTA(Y1674:AV1674)-1)&gt;=U1674),"정상",
IF(AND(V1674="정상",OFFSET(Y1674,0,COUNTA(Y1674:AV1674)-1)=0),"정상",
"계약서 미작성")))))</f>
        <v>면제</v>
      </c>
      <c r="X1674" s="81" t="str">
        <f aca="true">
IF(D1674="폐업","폐업",
IF(AND(V1674="정상",OFFSET(Y1674,0,COUNTA(Y1674:AV1674)-1)="미납"),"미납",
IF(AND(V1674="정상",OFFSET(Y1674,0,COUNTA(Y1674:AV1674)-1)=0),"납부 시작 전",
IF(AND(V1674="정상",OFFSET(Y1674,0,COUNTA(Y1674:AV1674)-1)&gt;=U1674),"정상",
IF(AND(V1674="면제",OFFSET(Y1674,0,COUNTA(Y1674:AV1674)-1)="면제"),"면제",
IF(AND(V1674="면제",OFFSET(Y1674,0,COUNTA(Y1674:AV1674)-1)=0),"면제",
"확인요청"))))))</f>
        <v>면제</v>
      </c>
      <c r="Y1674" s="94" t="s">
        <v>7</v>
      </c>
      <c r="Z1674" s="95" t="s">
        <v>7</v>
      </c>
      <c r="AA1674" s="95" t="s">
        <v>7</v>
      </c>
      <c r="AB1674" s="95" t="s">
        <v>7</v>
      </c>
      <c r="AC1674" s="95" t="s">
        <v>7</v>
      </c>
      <c r="AD1674" s="95" t="s">
        <v>7</v>
      </c>
      <c r="AE1674" s="95" t="s">
        <v>7</v>
      </c>
      <c r="AF1674" s="95" t="s">
        <v>7</v>
      </c>
      <c r="AG1674" s="95" t="s">
        <v>7</v>
      </c>
      <c r="AH1674" s="95" t="s">
        <v>7</v>
      </c>
      <c r="AI1674" s="95" t="s">
        <v>7</v>
      </c>
      <c r="AJ1674" s="96" t="s">
        <v>7</v>
      </c>
      <c r="AK1674" s="97" t="s">
        <v>7</v>
      </c>
      <c r="AL1674" s="95" t="s">
        <v>7</v>
      </c>
      <c r="AM1674" s="90"/>
      <c r="AN1674" s="90"/>
      <c r="AO1674" s="90"/>
      <c r="AP1674" s="90"/>
      <c r="AQ1674" s="90"/>
      <c r="AR1674" s="90"/>
      <c r="AS1674" s="90"/>
      <c r="AT1674" s="90"/>
      <c r="AU1674" s="90"/>
      <c r="AV1674" s="91"/>
      <c r="AX1674" s="92"/>
    </row>
    <row r="1675" customFormat="false" ht="15.65" hidden="false" customHeight="false" outlineLevel="0" collapsed="false">
      <c r="C1675" s="72" t="n">
        <f aca="false">COUNTIFS($D$6:D1675,"&lt;&gt;"&amp;"")</f>
        <v>1670</v>
      </c>
      <c r="D1675" s="73" t="s">
        <v>12</v>
      </c>
      <c r="E1675" s="76" t="str">
        <f aca="false">
IF($D1675="정상",INDEX(임대자산!$D$3:$R$3000,MATCH($F1675,임대자산!$I$3:$I$3000,0),MATCH(E$3,임대자산!$D$3:$R$3,0)),
IF($D1675="폐업",INDEX(폐업정보!$D$3:$R$3000,MATCH($F1675,폐업정보!$I$3:$I$3000,0),MATCH(E$3,폐업정보!$D$3:$R$3,0)),
"Error"))</f>
        <v>서울</v>
      </c>
      <c r="F167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B1670</v>
      </c>
      <c r="G1675" s="76" t="str">
        <f aca="false">F1675&amp;RANDBETWEEN(0,10)</f>
        <v>B16703</v>
      </c>
      <c r="H1675" s="75" t="n">
        <f aca="false">
IF($D1675="정상",INDEX(임대자산!$D$3:$R$3000,MATCH($F1675,임대자산!$I$3:$I$3000,0),MATCH(H$4,임대자산!$D$3:$R$3,0)),
IF($D1675="폐업",INDEX(폐업정보!$D$3:$R$3000,MATCH($F1675,폐업정보!$I$3:$I$3000,0),MATCH(H$4,폐업정보!$D$3:$R$3,0)),
"Error"))</f>
        <v>45791</v>
      </c>
      <c r="I1675" s="75" t="str">
        <f aca="false">
IF($D1675="정상",INDEX(임대자산!$D$3:$R$3000,MATCH($F1675,임대자산!$I$3:$I$3000,0),MATCH(I$4,임대자산!$D$3:$R$3,0)),
IF($D1675="폐업",INDEX(폐업정보!$D$3:$R$3000,MATCH($F1675,폐업정보!$I$3:$I$3000,0),MATCH(I$4,폐업정보!$D$3:$R$3,0)),
"Error"))</f>
        <v>A1670</v>
      </c>
      <c r="J1675" s="75" t="str">
        <f aca="false">
IF($D1675="정상",INDEX(임대자산!$D$3:$R$3000,MATCH($F1675,임대자산!$I$3:$I$3000,0),MATCH(J$4,임대자산!$D$3:$R$3,0)),
IF($D1675="폐업",INDEX(폐업정보!$D$3:$R$3000,MATCH($F1675,폐업정보!$I$3:$I$3000,0),MATCH(J$4,폐업정보!$D$3:$R$3,0)),
"Error"))</f>
        <v>9592000000</v>
      </c>
      <c r="K1675" s="75" t="str">
        <f aca="false">
IF($D1675="정상",INDEX(임대자산!$D$3:$R$3000,MATCH($F1675,임대자산!$I$3:$I$3000,0),MATCH(K$4,임대자산!$D$3:$R$3,0)),
IF($D1675="폐업",INDEX(폐업정보!$D$3:$R$3000,MATCH($F1675,폐업정보!$I$3:$I$3000,0),MATCH(K$4,폐업정보!$D$3:$R$3,0)),
"Error"))</f>
        <v>C1670</v>
      </c>
      <c r="L1675" s="75" t="str">
        <f aca="false">
IF($D1675="정상",INDEX(임대자산!$D$3:$R$3000,MATCH($F1675,임대자산!$I$3:$I$3000,0),MATCH(L$4,임대자산!$D$3:$R$3,0)),
IF($D1675="폐업",INDEX(폐업정보!$D$3:$R$3000,MATCH($F1675,폐업정보!$I$3:$I$3000,0),MATCH(L$4,폐업정보!$D$3:$R$3,0)),
"Error"))</f>
        <v>D1670</v>
      </c>
      <c r="M1675" s="76" t="s">
        <v>96</v>
      </c>
      <c r="N1675" s="77"/>
      <c r="O1675" s="78" t="s">
        <v>97</v>
      </c>
      <c r="P1675" s="79" t="n">
        <f aca="false">COUNTIFS(임대자산!$I:$I,가맹점정보!F1675,임대자산!$N:$N,가맹점정보!P$4)</f>
        <v>0</v>
      </c>
      <c r="Q1675" s="80" t="n">
        <f aca="false">COUNTIFS(임대자산!$I:$I,가맹점정보!F1675,임대자산!$N:$N,가맹점정보!Q$4)</f>
        <v>0</v>
      </c>
      <c r="R1675" s="81" t="n">
        <f aca="false">COUNTIFS(임대자산!$I:$I,가맹점정보!F1675,임대자산!$N:$N,가맹점정보!R$4)</f>
        <v>1</v>
      </c>
      <c r="S1675" s="82" t="n">
        <v>88000</v>
      </c>
      <c r="T1675" s="83" t="n">
        <v>0</v>
      </c>
      <c r="U1675" s="80" t="n">
        <f aca="false">SUM(S1675:T1675)</f>
        <v>88000</v>
      </c>
      <c r="V1675" s="84" t="s">
        <v>7</v>
      </c>
      <c r="W1675" s="80" t="str">
        <f aca="true">
IF(D1675="폐업","폐업",
IF(V1675="면제","면제",
IF(AND(V1675="정상",COUNTIFS(OFFSET(Y1675,0,COUNTA(Y1675:AV1675)-1,1,-4),"미납")&gt;=3),"장기미납",
IF(AND(V1675="정상",OFFSET(Y1675,0,COUNTA(Y1675:AV1675)-1)&gt;=U1675),"정상",
IF(AND(V1675="정상",OFFSET(Y1675,0,COUNTA(Y1675:AV1675)-1)=0),"정상",
"계약서 미작성")))))</f>
        <v>면제</v>
      </c>
      <c r="X1675" s="81" t="str">
        <f aca="true">
IF(D1675="폐업","폐업",
IF(AND(V1675="정상",OFFSET(Y1675,0,COUNTA(Y1675:AV1675)-1)="미납"),"미납",
IF(AND(V1675="정상",OFFSET(Y1675,0,COUNTA(Y1675:AV1675)-1)=0),"납부 시작 전",
IF(AND(V1675="정상",OFFSET(Y1675,0,COUNTA(Y1675:AV1675)-1)&gt;=U1675),"정상",
IF(AND(V1675="면제",OFFSET(Y1675,0,COUNTA(Y1675:AV1675)-1)="면제"),"면제",
IF(AND(V1675="면제",OFFSET(Y1675,0,COUNTA(Y1675:AV1675)-1)=0),"면제",
"확인요청"))))))</f>
        <v>면제</v>
      </c>
      <c r="Y1675" s="94" t="s">
        <v>7</v>
      </c>
      <c r="Z1675" s="95" t="s">
        <v>7</v>
      </c>
      <c r="AA1675" s="95" t="s">
        <v>7</v>
      </c>
      <c r="AB1675" s="95" t="s">
        <v>7</v>
      </c>
      <c r="AC1675" s="95" t="s">
        <v>7</v>
      </c>
      <c r="AD1675" s="95" t="s">
        <v>7</v>
      </c>
      <c r="AE1675" s="95" t="s">
        <v>7</v>
      </c>
      <c r="AF1675" s="95" t="s">
        <v>7</v>
      </c>
      <c r="AG1675" s="95" t="s">
        <v>7</v>
      </c>
      <c r="AH1675" s="95" t="s">
        <v>7</v>
      </c>
      <c r="AI1675" s="95" t="s">
        <v>7</v>
      </c>
      <c r="AJ1675" s="96" t="s">
        <v>7</v>
      </c>
      <c r="AK1675" s="97" t="s">
        <v>7</v>
      </c>
      <c r="AL1675" s="95" t="s">
        <v>7</v>
      </c>
      <c r="AM1675" s="90"/>
      <c r="AN1675" s="90"/>
      <c r="AO1675" s="90"/>
      <c r="AP1675" s="90"/>
      <c r="AQ1675" s="90"/>
      <c r="AR1675" s="90"/>
      <c r="AS1675" s="90"/>
      <c r="AT1675" s="90"/>
      <c r="AU1675" s="90"/>
      <c r="AV1675" s="91"/>
      <c r="AX1675" s="92"/>
    </row>
    <row r="1676" customFormat="false" ht="15.65" hidden="false" customHeight="false" outlineLevel="0" collapsed="false">
      <c r="C1676" s="72" t="n">
        <f aca="false">COUNTIFS($D$6:D1676,"&lt;&gt;"&amp;"")</f>
        <v>1671</v>
      </c>
      <c r="D1676" s="73" t="s">
        <v>12</v>
      </c>
      <c r="E1676" s="76" t="str">
        <f aca="false">
IF($D1676="정상",INDEX(임대자산!$D$3:$R$3000,MATCH($F1676,임대자산!$I$3:$I$3000,0),MATCH(E$3,임대자산!$D$3:$R$3,0)),
IF($D1676="폐업",INDEX(폐업정보!$D$3:$R$3000,MATCH($F1676,폐업정보!$I$3:$I$3000,0),MATCH(E$3,폐업정보!$D$3:$R$3,0)),
"Error"))</f>
        <v>전라</v>
      </c>
      <c r="F167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B1671</v>
      </c>
      <c r="G1676" s="76" t="str">
        <f aca="false">F1676&amp;RANDBETWEEN(0,10)</f>
        <v>B16711</v>
      </c>
      <c r="H1676" s="75" t="n">
        <f aca="false">
IF($D1676="정상",INDEX(임대자산!$D$3:$R$3000,MATCH($F1676,임대자산!$I$3:$I$3000,0),MATCH(H$4,임대자산!$D$3:$R$3,0)),
IF($D1676="폐업",INDEX(폐업정보!$D$3:$R$3000,MATCH($F1676,폐업정보!$I$3:$I$3000,0),MATCH(H$4,폐업정보!$D$3:$R$3,0)),
"Error"))</f>
        <v>45786</v>
      </c>
      <c r="I1676" s="75" t="str">
        <f aca="false">
IF($D1676="정상",INDEX(임대자산!$D$3:$R$3000,MATCH($F1676,임대자산!$I$3:$I$3000,0),MATCH(I$4,임대자산!$D$3:$R$3,0)),
IF($D1676="폐업",INDEX(폐업정보!$D$3:$R$3000,MATCH($F1676,폐업정보!$I$3:$I$3000,0),MATCH(I$4,폐업정보!$D$3:$R$3,0)),
"Error"))</f>
        <v>A1671</v>
      </c>
      <c r="J1676" s="75" t="str">
        <f aca="false">
IF($D1676="정상",INDEX(임대자산!$D$3:$R$3000,MATCH($F1676,임대자산!$I$3:$I$3000,0),MATCH(J$4,임대자산!$D$3:$R$3,0)),
IF($D1676="폐업",INDEX(폐업정보!$D$3:$R$3000,MATCH($F1676,폐업정보!$I$3:$I$3000,0),MATCH(J$4,폐업정보!$D$3:$R$3,0)),
"Error"))</f>
        <v>1550600000</v>
      </c>
      <c r="K1676" s="75" t="str">
        <f aca="false">
IF($D1676="정상",INDEX(임대자산!$D$3:$R$3000,MATCH($F1676,임대자산!$I$3:$I$3000,0),MATCH(K$4,임대자산!$D$3:$R$3,0)),
IF($D1676="폐업",INDEX(폐업정보!$D$3:$R$3000,MATCH($F1676,폐업정보!$I$3:$I$3000,0),MATCH(K$4,폐업정보!$D$3:$R$3,0)),
"Error"))</f>
        <v>C1671</v>
      </c>
      <c r="L1676" s="75" t="str">
        <f aca="false">
IF($D1676="정상",INDEX(임대자산!$D$3:$R$3000,MATCH($F1676,임대자산!$I$3:$I$3000,0),MATCH(L$4,임대자산!$D$3:$R$3,0)),
IF($D1676="폐업",INDEX(폐업정보!$D$3:$R$3000,MATCH($F1676,폐업정보!$I$3:$I$3000,0),MATCH(L$4,폐업정보!$D$3:$R$3,0)),
"Error"))</f>
        <v>D1671</v>
      </c>
      <c r="M1676" s="76" t="s">
        <v>96</v>
      </c>
      <c r="N1676" s="77"/>
      <c r="O1676" s="78" t="s">
        <v>97</v>
      </c>
      <c r="P1676" s="79" t="n">
        <f aca="false">COUNTIFS(임대자산!$I:$I,가맹점정보!F1676,임대자산!$N:$N,가맹점정보!P$4)</f>
        <v>0</v>
      </c>
      <c r="Q1676" s="80" t="n">
        <f aca="false">COUNTIFS(임대자산!$I:$I,가맹점정보!F1676,임대자산!$N:$N,가맹점정보!Q$4)</f>
        <v>0</v>
      </c>
      <c r="R1676" s="81" t="n">
        <f aca="false">COUNTIFS(임대자산!$I:$I,가맹점정보!F1676,임대자산!$N:$N,가맹점정보!R$4)</f>
        <v>1</v>
      </c>
      <c r="S1676" s="82" t="n">
        <v>55000</v>
      </c>
      <c r="T1676" s="83" t="n">
        <v>0</v>
      </c>
      <c r="U1676" s="80" t="n">
        <f aca="false">SUM(S1676:T1676)</f>
        <v>55000</v>
      </c>
      <c r="V1676" s="84" t="s">
        <v>12</v>
      </c>
      <c r="W1676" s="80" t="e">
        <f aca="true">
IF(D1676="폐업","폐업",
IF(V1676="면제","면제",
IF(AND(V1676="정상",COUNTIFS(OFFSET(Y1676,0,COUNTA(Y1676:AV1676)-1,1,-4),"미납")&gt;=3),"장기미납",
IF(AND(V1676="정상",OFFSET(Y1676,0,COUNTA(Y1676:AV1676)-1)&gt;=U1676),"정상",
IF(AND(V1676="정상",OFFSET(Y1676,0,COUNTA(Y1676:AV1676)-1)=0),"정상",
"계약서 미작성")))))</f>
        <v>#VALUE!</v>
      </c>
      <c r="X1676" s="81" t="str">
        <f aca="true">
IF(D1676="폐업","폐업",
IF(AND(V1676="정상",OFFSET(Y1676,0,COUNTA(Y1676:AV1676)-1)="미납"),"미납",
IF(AND(V1676="정상",OFFSET(Y1676,0,COUNTA(Y1676:AV1676)-1)=0),"납부 시작 전",
IF(AND(V1676="정상",OFFSET(Y1676,0,COUNTA(Y1676:AV1676)-1)&gt;=U1676),"정상",
IF(AND(V1676="면제",OFFSET(Y1676,0,COUNTA(Y1676:AV1676)-1)="면제"),"면제",
IF(AND(V1676="면제",OFFSET(Y1676,0,COUNTA(Y1676:AV1676)-1)=0),"면제",
"확인요청"))))))</f>
        <v>정상</v>
      </c>
      <c r="Y1676" s="93" t="n">
        <v>55000</v>
      </c>
      <c r="Z1676" s="90" t="n">
        <v>55000</v>
      </c>
      <c r="AA1676" s="90" t="n">
        <v>55000</v>
      </c>
      <c r="AB1676" s="90" t="n">
        <v>55000</v>
      </c>
      <c r="AC1676" s="90" t="n">
        <v>55000</v>
      </c>
      <c r="AD1676" s="90" t="n">
        <v>55000</v>
      </c>
      <c r="AE1676" s="90" t="n">
        <v>55000</v>
      </c>
      <c r="AF1676" s="90" t="n">
        <v>55000</v>
      </c>
      <c r="AG1676" s="90" t="n">
        <v>55000</v>
      </c>
      <c r="AH1676" s="90" t="n">
        <v>55000</v>
      </c>
      <c r="AI1676" s="90" t="n">
        <v>55000</v>
      </c>
      <c r="AJ1676" s="91" t="n">
        <v>55000</v>
      </c>
      <c r="AK1676" s="89" t="n">
        <v>55000</v>
      </c>
      <c r="AL1676" s="90" t="n">
        <v>55000</v>
      </c>
      <c r="AM1676" s="90"/>
      <c r="AN1676" s="90"/>
      <c r="AO1676" s="90"/>
      <c r="AP1676" s="90"/>
      <c r="AQ1676" s="90"/>
      <c r="AR1676" s="90"/>
      <c r="AS1676" s="90"/>
      <c r="AT1676" s="90"/>
      <c r="AU1676" s="90"/>
      <c r="AV1676" s="91"/>
      <c r="AX1676" s="92"/>
    </row>
    <row r="1677" customFormat="false" ht="15.65" hidden="false" customHeight="false" outlineLevel="0" collapsed="false">
      <c r="C1677" s="72" t="n">
        <f aca="false">COUNTIFS($D$6:D1677,"&lt;&gt;"&amp;"")</f>
        <v>1672</v>
      </c>
      <c r="D1677" s="73" t="s">
        <v>12</v>
      </c>
      <c r="E1677" s="76" t="str">
        <f aca="false">
IF($D1677="정상",INDEX(임대자산!$D$3:$R$3000,MATCH($F1677,임대자산!$I$3:$I$3000,0),MATCH(E$3,임대자산!$D$3:$R$3,0)),
IF($D1677="폐업",INDEX(폐업정보!$D$3:$R$3000,MATCH($F1677,폐업정보!$I$3:$I$3000,0),MATCH(E$3,폐업정보!$D$3:$R$3,0)),
"Error"))</f>
        <v>전라</v>
      </c>
      <c r="F167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B1672</v>
      </c>
      <c r="G1677" s="76" t="str">
        <f aca="false">F1677&amp;RANDBETWEEN(0,10)</f>
        <v>B16727</v>
      </c>
      <c r="H1677" s="75" t="n">
        <f aca="false">
IF($D1677="정상",INDEX(임대자산!$D$3:$R$3000,MATCH($F1677,임대자산!$I$3:$I$3000,0),MATCH(H$4,임대자산!$D$3:$R$3,0)),
IF($D1677="폐업",INDEX(폐업정보!$D$3:$R$3000,MATCH($F1677,폐업정보!$I$3:$I$3000,0),MATCH(H$4,폐업정보!$D$3:$R$3,0)),
"Error"))</f>
        <v>45786</v>
      </c>
      <c r="I1677" s="75" t="str">
        <f aca="false">
IF($D1677="정상",INDEX(임대자산!$D$3:$R$3000,MATCH($F1677,임대자산!$I$3:$I$3000,0),MATCH(I$4,임대자산!$D$3:$R$3,0)),
IF($D1677="폐업",INDEX(폐업정보!$D$3:$R$3000,MATCH($F1677,폐업정보!$I$3:$I$3000,0),MATCH(I$4,폐업정보!$D$3:$R$3,0)),
"Error"))</f>
        <v>A1672</v>
      </c>
      <c r="J1677" s="75" t="str">
        <f aca="false">
IF($D1677="정상",INDEX(임대자산!$D$3:$R$3000,MATCH($F1677,임대자산!$I$3:$I$3000,0),MATCH(J$4,임대자산!$D$3:$R$3,0)),
IF($D1677="폐업",INDEX(폐업정보!$D$3:$R$3000,MATCH($F1677,폐업정보!$I$3:$I$3000,0),MATCH(J$4,폐업정보!$D$3:$R$3,0)),
"Error"))</f>
        <v>5600400000</v>
      </c>
      <c r="K1677" s="75" t="str">
        <f aca="false">
IF($D1677="정상",INDEX(임대자산!$D$3:$R$3000,MATCH($F1677,임대자산!$I$3:$I$3000,0),MATCH(K$4,임대자산!$D$3:$R$3,0)),
IF($D1677="폐업",INDEX(폐업정보!$D$3:$R$3000,MATCH($F1677,폐업정보!$I$3:$I$3000,0),MATCH(K$4,폐업정보!$D$3:$R$3,0)),
"Error"))</f>
        <v>C1672</v>
      </c>
      <c r="L1677" s="75" t="str">
        <f aca="false">
IF($D1677="정상",INDEX(임대자산!$D$3:$R$3000,MATCH($F1677,임대자산!$I$3:$I$3000,0),MATCH(L$4,임대자산!$D$3:$R$3,0)),
IF($D1677="폐업",INDEX(폐업정보!$D$3:$R$3000,MATCH($F1677,폐업정보!$I$3:$I$3000,0),MATCH(L$4,폐업정보!$D$3:$R$3,0)),
"Error"))</f>
        <v>D1672</v>
      </c>
      <c r="M1677" s="76" t="s">
        <v>96</v>
      </c>
      <c r="N1677" s="77"/>
      <c r="O1677" s="78" t="s">
        <v>97</v>
      </c>
      <c r="P1677" s="79" t="n">
        <f aca="false">COUNTIFS(임대자산!$I:$I,가맹점정보!F1677,임대자산!$N:$N,가맹점정보!P$4)</f>
        <v>0</v>
      </c>
      <c r="Q1677" s="80" t="n">
        <f aca="false">COUNTIFS(임대자산!$I:$I,가맹점정보!F1677,임대자산!$N:$N,가맹점정보!Q$4)</f>
        <v>0</v>
      </c>
      <c r="R1677" s="81" t="n">
        <f aca="false">COUNTIFS(임대자산!$I:$I,가맹점정보!F1677,임대자산!$N:$N,가맹점정보!R$4)</f>
        <v>1</v>
      </c>
      <c r="S1677" s="82" t="n">
        <v>55000</v>
      </c>
      <c r="T1677" s="83" t="n">
        <v>0</v>
      </c>
      <c r="U1677" s="80" t="n">
        <f aca="false">SUM(S1677:T1677)</f>
        <v>55000</v>
      </c>
      <c r="V1677" s="84" t="s">
        <v>12</v>
      </c>
      <c r="W1677" s="80" t="e">
        <f aca="true">
IF(D1677="폐업","폐업",
IF(V1677="면제","면제",
IF(AND(V1677="정상",COUNTIFS(OFFSET(Y1677,0,COUNTA(Y1677:AV1677)-1,1,-4),"미납")&gt;=3),"장기미납",
IF(AND(V1677="정상",OFFSET(Y1677,0,COUNTA(Y1677:AV1677)-1)&gt;=U1677),"정상",
IF(AND(V1677="정상",OFFSET(Y1677,0,COUNTA(Y1677:AV1677)-1)=0),"정상",
"계약서 미작성")))))</f>
        <v>#VALUE!</v>
      </c>
      <c r="X1677" s="81" t="str">
        <f aca="true">
IF(D1677="폐업","폐업",
IF(AND(V1677="정상",OFFSET(Y1677,0,COUNTA(Y1677:AV1677)-1)="미납"),"미납",
IF(AND(V1677="정상",OFFSET(Y1677,0,COUNTA(Y1677:AV1677)-1)=0),"납부 시작 전",
IF(AND(V1677="정상",OFFSET(Y1677,0,COUNTA(Y1677:AV1677)-1)&gt;=U1677),"정상",
IF(AND(V1677="면제",OFFSET(Y1677,0,COUNTA(Y1677:AV1677)-1)="면제"),"면제",
IF(AND(V1677="면제",OFFSET(Y1677,0,COUNTA(Y1677:AV1677)-1)=0),"면제",
"확인요청"))))))</f>
        <v>정상</v>
      </c>
      <c r="Y1677" s="93" t="n">
        <v>55000</v>
      </c>
      <c r="Z1677" s="90" t="n">
        <v>55000</v>
      </c>
      <c r="AA1677" s="90" t="n">
        <v>55000</v>
      </c>
      <c r="AB1677" s="90" t="n">
        <v>55000</v>
      </c>
      <c r="AC1677" s="90" t="n">
        <v>55000</v>
      </c>
      <c r="AD1677" s="90" t="n">
        <v>55000</v>
      </c>
      <c r="AE1677" s="90" t="n">
        <v>55000</v>
      </c>
      <c r="AF1677" s="90" t="n">
        <v>55000</v>
      </c>
      <c r="AG1677" s="90" t="n">
        <v>55000</v>
      </c>
      <c r="AH1677" s="90" t="n">
        <v>55000</v>
      </c>
      <c r="AI1677" s="90" t="n">
        <v>55000</v>
      </c>
      <c r="AJ1677" s="91" t="n">
        <v>55000</v>
      </c>
      <c r="AK1677" s="89" t="n">
        <v>55000</v>
      </c>
      <c r="AL1677" s="90" t="n">
        <v>55000</v>
      </c>
      <c r="AM1677" s="90"/>
      <c r="AN1677" s="90"/>
      <c r="AO1677" s="90"/>
      <c r="AP1677" s="90"/>
      <c r="AQ1677" s="90"/>
      <c r="AR1677" s="90"/>
      <c r="AS1677" s="90"/>
      <c r="AT1677" s="90"/>
      <c r="AU1677" s="90"/>
      <c r="AV1677" s="91"/>
      <c r="AX1677" s="92"/>
    </row>
    <row r="1678" customFormat="false" ht="15.65" hidden="false" customHeight="false" outlineLevel="0" collapsed="false">
      <c r="C1678" s="72" t="n">
        <f aca="false">COUNTIFS($D$6:D1678,"&lt;&gt;"&amp;"")</f>
        <v>1673</v>
      </c>
      <c r="D1678" s="73" t="s">
        <v>12</v>
      </c>
      <c r="E1678" s="76" t="str">
        <f aca="false">
IF($D1678="정상",INDEX(임대자산!$D$3:$R$3000,MATCH($F1678,임대자산!$I$3:$I$3000,0),MATCH(E$3,임대자산!$D$3:$R$3,0)),
IF($D1678="폐업",INDEX(폐업정보!$D$3:$R$3000,MATCH($F1678,폐업정보!$I$3:$I$3000,0),MATCH(E$3,폐업정보!$D$3:$R$3,0)),
"Error"))</f>
        <v>서울</v>
      </c>
      <c r="F167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B1673</v>
      </c>
      <c r="G1678" s="76" t="str">
        <f aca="false">F1678&amp;RANDBETWEEN(0,10)</f>
        <v>B16731</v>
      </c>
      <c r="H1678" s="75" t="n">
        <f aca="false">
IF($D1678="정상",INDEX(임대자산!$D$3:$R$3000,MATCH($F1678,임대자산!$I$3:$I$3000,0),MATCH(H$4,임대자산!$D$3:$R$3,0)),
IF($D1678="폐업",INDEX(폐업정보!$D$3:$R$3000,MATCH($F1678,폐업정보!$I$3:$I$3000,0),MATCH(H$4,폐업정보!$D$3:$R$3,0)),
"Error"))</f>
        <v>45797</v>
      </c>
      <c r="I1678" s="75" t="str">
        <f aca="false">
IF($D1678="정상",INDEX(임대자산!$D$3:$R$3000,MATCH($F1678,임대자산!$I$3:$I$3000,0),MATCH(I$4,임대자산!$D$3:$R$3,0)),
IF($D1678="폐업",INDEX(폐업정보!$D$3:$R$3000,MATCH($F1678,폐업정보!$I$3:$I$3000,0),MATCH(I$4,폐업정보!$D$3:$R$3,0)),
"Error"))</f>
        <v>A1673</v>
      </c>
      <c r="J1678" s="75" t="str">
        <f aca="false">
IF($D1678="정상",INDEX(임대자산!$D$3:$R$3000,MATCH($F1678,임대자산!$I$3:$I$3000,0),MATCH(J$4,임대자산!$D$3:$R$3,0)),
IF($D1678="폐업",INDEX(폐업정보!$D$3:$R$3000,MATCH($F1678,폐업정보!$I$3:$I$3000,0),MATCH(J$4,폐업정보!$D$3:$R$3,0)),
"Error"))</f>
        <v>8006400000</v>
      </c>
      <c r="K1678" s="75" t="str">
        <f aca="false">
IF($D1678="정상",INDEX(임대자산!$D$3:$R$3000,MATCH($F1678,임대자산!$I$3:$I$3000,0),MATCH(K$4,임대자산!$D$3:$R$3,0)),
IF($D1678="폐업",INDEX(폐업정보!$D$3:$R$3000,MATCH($F1678,폐업정보!$I$3:$I$3000,0),MATCH(K$4,폐업정보!$D$3:$R$3,0)),
"Error"))</f>
        <v>C1673</v>
      </c>
      <c r="L1678" s="75" t="str">
        <f aca="false">
IF($D1678="정상",INDEX(임대자산!$D$3:$R$3000,MATCH($F1678,임대자산!$I$3:$I$3000,0),MATCH(L$4,임대자산!$D$3:$R$3,0)),
IF($D1678="폐업",INDEX(폐업정보!$D$3:$R$3000,MATCH($F1678,폐업정보!$I$3:$I$3000,0),MATCH(L$4,폐업정보!$D$3:$R$3,0)),
"Error"))</f>
        <v>D1673</v>
      </c>
      <c r="M1678" s="76" t="s">
        <v>96</v>
      </c>
      <c r="N1678" s="77"/>
      <c r="O1678" s="78" t="s">
        <v>97</v>
      </c>
      <c r="P1678" s="79" t="n">
        <f aca="false">COUNTIFS(임대자산!$I:$I,가맹점정보!F1678,임대자산!$N:$N,가맹점정보!P$4)</f>
        <v>0</v>
      </c>
      <c r="Q1678" s="80" t="n">
        <f aca="false">COUNTIFS(임대자산!$I:$I,가맹점정보!F1678,임대자산!$N:$N,가맹점정보!Q$4)</f>
        <v>0</v>
      </c>
      <c r="R1678" s="81" t="n">
        <f aca="false">COUNTIFS(임대자산!$I:$I,가맹점정보!F1678,임대자산!$N:$N,가맹점정보!R$4)</f>
        <v>1</v>
      </c>
      <c r="S1678" s="82" t="n">
        <v>55000</v>
      </c>
      <c r="T1678" s="83" t="n">
        <v>0</v>
      </c>
      <c r="U1678" s="80" t="n">
        <f aca="false">SUM(S1678:T1678)</f>
        <v>55000</v>
      </c>
      <c r="V1678" s="84" t="s">
        <v>12</v>
      </c>
      <c r="W1678" s="80" t="e">
        <f aca="true">
IF(D1678="폐업","폐업",
IF(V1678="면제","면제",
IF(AND(V1678="정상",COUNTIFS(OFFSET(Y1678,0,COUNTA(Y1678:AV1678)-1,1,-4),"미납")&gt;=3),"장기미납",
IF(AND(V1678="정상",OFFSET(Y1678,0,COUNTA(Y1678:AV1678)-1)&gt;=U1678),"정상",
IF(AND(V1678="정상",OFFSET(Y1678,0,COUNTA(Y1678:AV1678)-1)=0),"정상",
"계약서 미작성")))))</f>
        <v>#VALUE!</v>
      </c>
      <c r="X1678" s="81" t="str">
        <f aca="true">
IF(D1678="폐업","폐업",
IF(AND(V1678="정상",OFFSET(Y1678,0,COUNTA(Y1678:AV1678)-1)="미납"),"미납",
IF(AND(V1678="정상",OFFSET(Y1678,0,COUNTA(Y1678:AV1678)-1)=0),"납부 시작 전",
IF(AND(V1678="정상",OFFSET(Y1678,0,COUNTA(Y1678:AV1678)-1)&gt;=U1678),"정상",
IF(AND(V1678="면제",OFFSET(Y1678,0,COUNTA(Y1678:AV1678)-1)="면제"),"면제",
IF(AND(V1678="면제",OFFSET(Y1678,0,COUNTA(Y1678:AV1678)-1)=0),"면제",
"확인요청"))))))</f>
        <v>미납</v>
      </c>
      <c r="Y1678" s="93" t="n">
        <v>55000</v>
      </c>
      <c r="Z1678" s="90" t="n">
        <v>55000</v>
      </c>
      <c r="AA1678" s="90" t="n">
        <v>55000</v>
      </c>
      <c r="AB1678" s="90" t="n">
        <v>55000</v>
      </c>
      <c r="AC1678" s="90" t="n">
        <v>55000</v>
      </c>
      <c r="AD1678" s="90" t="n">
        <v>55000</v>
      </c>
      <c r="AE1678" s="90" t="n">
        <v>55000</v>
      </c>
      <c r="AF1678" s="90" t="n">
        <v>55000</v>
      </c>
      <c r="AG1678" s="90" t="n">
        <v>55000</v>
      </c>
      <c r="AH1678" s="90" t="n">
        <v>55000</v>
      </c>
      <c r="AI1678" s="90" t="n">
        <v>55000</v>
      </c>
      <c r="AJ1678" s="91" t="n">
        <v>55000</v>
      </c>
      <c r="AK1678" s="89" t="n">
        <v>55000</v>
      </c>
      <c r="AL1678" s="95" t="s">
        <v>62</v>
      </c>
      <c r="AM1678" s="90"/>
      <c r="AN1678" s="90"/>
      <c r="AO1678" s="90"/>
      <c r="AP1678" s="90"/>
      <c r="AQ1678" s="90"/>
      <c r="AR1678" s="90"/>
      <c r="AS1678" s="90"/>
      <c r="AT1678" s="90"/>
      <c r="AU1678" s="90"/>
      <c r="AV1678" s="91"/>
      <c r="AX1678" s="92"/>
    </row>
    <row r="1679" customFormat="false" ht="15.65" hidden="false" customHeight="false" outlineLevel="0" collapsed="false">
      <c r="C1679" s="72" t="n">
        <f aca="false">COUNTIFS($D$6:D1679,"&lt;&gt;"&amp;"")</f>
        <v>1674</v>
      </c>
      <c r="D1679" s="73" t="s">
        <v>12</v>
      </c>
      <c r="E1679" s="76" t="str">
        <f aca="false">
IF($D1679="정상",INDEX(임대자산!$D$3:$R$3000,MATCH($F1679,임대자산!$I$3:$I$3000,0),MATCH(E$3,임대자산!$D$3:$R$3,0)),
IF($D1679="폐업",INDEX(폐업정보!$D$3:$R$3000,MATCH($F1679,폐업정보!$I$3:$I$3000,0),MATCH(E$3,폐업정보!$D$3:$R$3,0)),
"Error"))</f>
        <v>전라</v>
      </c>
      <c r="F167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B1674</v>
      </c>
      <c r="G1679" s="76" t="str">
        <f aca="false">F1679&amp;RANDBETWEEN(0,10)</f>
        <v>B167410</v>
      </c>
      <c r="H1679" s="75" t="n">
        <f aca="false">
IF($D1679="정상",INDEX(임대자산!$D$3:$R$3000,MATCH($F1679,임대자산!$I$3:$I$3000,0),MATCH(H$4,임대자산!$D$3:$R$3,0)),
IF($D1679="폐업",INDEX(폐업정보!$D$3:$R$3000,MATCH($F1679,폐업정보!$I$3:$I$3000,0),MATCH(H$4,폐업정보!$D$3:$R$3,0)),
"Error"))</f>
        <v>45777</v>
      </c>
      <c r="I1679" s="75" t="str">
        <f aca="false">
IF($D1679="정상",INDEX(임대자산!$D$3:$R$3000,MATCH($F1679,임대자산!$I$3:$I$3000,0),MATCH(I$4,임대자산!$D$3:$R$3,0)),
IF($D1679="폐업",INDEX(폐업정보!$D$3:$R$3000,MATCH($F1679,폐업정보!$I$3:$I$3000,0),MATCH(I$4,폐업정보!$D$3:$R$3,0)),
"Error"))</f>
        <v>A1674</v>
      </c>
      <c r="J1679" s="75" t="str">
        <f aca="false">
IF($D1679="정상",INDEX(임대자산!$D$3:$R$3000,MATCH($F1679,임대자산!$I$3:$I$3000,0),MATCH(J$4,임대자산!$D$3:$R$3,0)),
IF($D1679="폐업",INDEX(폐업정보!$D$3:$R$3000,MATCH($F1679,폐업정보!$I$3:$I$3000,0),MATCH(J$4,폐업정보!$D$3:$R$3,0)),
"Error"))</f>
        <v>2822800000</v>
      </c>
      <c r="K1679" s="75" t="str">
        <f aca="false">
IF($D1679="정상",INDEX(임대자산!$D$3:$R$3000,MATCH($F1679,임대자산!$I$3:$I$3000,0),MATCH(K$4,임대자산!$D$3:$R$3,0)),
IF($D1679="폐업",INDEX(폐업정보!$D$3:$R$3000,MATCH($F1679,폐업정보!$I$3:$I$3000,0),MATCH(K$4,폐업정보!$D$3:$R$3,0)),
"Error"))</f>
        <v>C1674</v>
      </c>
      <c r="L1679" s="75" t="str">
        <f aca="false">
IF($D1679="정상",INDEX(임대자산!$D$3:$R$3000,MATCH($F1679,임대자산!$I$3:$I$3000,0),MATCH(L$4,임대자산!$D$3:$R$3,0)),
IF($D1679="폐업",INDEX(폐업정보!$D$3:$R$3000,MATCH($F1679,폐업정보!$I$3:$I$3000,0),MATCH(L$4,폐업정보!$D$3:$R$3,0)),
"Error"))</f>
        <v>D1674</v>
      </c>
      <c r="M1679" s="76" t="s">
        <v>96</v>
      </c>
      <c r="N1679" s="77"/>
      <c r="O1679" s="78" t="s">
        <v>97</v>
      </c>
      <c r="P1679" s="79" t="n">
        <f aca="false">COUNTIFS(임대자산!$I:$I,가맹점정보!F1679,임대자산!$N:$N,가맹점정보!P$4)</f>
        <v>0</v>
      </c>
      <c r="Q1679" s="80" t="n">
        <f aca="false">COUNTIFS(임대자산!$I:$I,가맹점정보!F1679,임대자산!$N:$N,가맹점정보!Q$4)</f>
        <v>0</v>
      </c>
      <c r="R1679" s="81" t="n">
        <f aca="false">COUNTIFS(임대자산!$I:$I,가맹점정보!F1679,임대자산!$N:$N,가맹점정보!R$4)</f>
        <v>1</v>
      </c>
      <c r="S1679" s="82" t="n">
        <v>55000</v>
      </c>
      <c r="T1679" s="83" t="n">
        <v>0</v>
      </c>
      <c r="U1679" s="80" t="n">
        <f aca="false">SUM(S1679:T1679)</f>
        <v>55000</v>
      </c>
      <c r="V1679" s="84" t="s">
        <v>12</v>
      </c>
      <c r="W1679" s="80" t="e">
        <f aca="true">
IF(D1679="폐업","폐업",
IF(V1679="면제","면제",
IF(AND(V1679="정상",COUNTIFS(OFFSET(Y1679,0,COUNTA(Y1679:AV1679)-1,1,-4),"미납")&gt;=3),"장기미납",
IF(AND(V1679="정상",OFFSET(Y1679,0,COUNTA(Y1679:AV1679)-1)&gt;=U1679),"정상",
IF(AND(V1679="정상",OFFSET(Y1679,0,COUNTA(Y1679:AV1679)-1)=0),"정상",
"계약서 미작성")))))</f>
        <v>#VALUE!</v>
      </c>
      <c r="X1679" s="81" t="str">
        <f aca="true">
IF(D1679="폐업","폐업",
IF(AND(V1679="정상",OFFSET(Y1679,0,COUNTA(Y1679:AV1679)-1)="미납"),"미납",
IF(AND(V1679="정상",OFFSET(Y1679,0,COUNTA(Y1679:AV1679)-1)=0),"납부 시작 전",
IF(AND(V1679="정상",OFFSET(Y1679,0,COUNTA(Y1679:AV1679)-1)&gt;=U1679),"정상",
IF(AND(V1679="면제",OFFSET(Y1679,0,COUNTA(Y1679:AV1679)-1)="면제"),"면제",
IF(AND(V1679="면제",OFFSET(Y1679,0,COUNTA(Y1679:AV1679)-1)=0),"면제",
"확인요청"))))))</f>
        <v>정상</v>
      </c>
      <c r="Y1679" s="93" t="n">
        <v>55000</v>
      </c>
      <c r="Z1679" s="90" t="n">
        <v>55000</v>
      </c>
      <c r="AA1679" s="90" t="n">
        <v>55000</v>
      </c>
      <c r="AB1679" s="90" t="n">
        <v>55000</v>
      </c>
      <c r="AC1679" s="90" t="n">
        <v>55000</v>
      </c>
      <c r="AD1679" s="90" t="n">
        <v>55000</v>
      </c>
      <c r="AE1679" s="90" t="n">
        <v>55000</v>
      </c>
      <c r="AF1679" s="90" t="n">
        <v>55000</v>
      </c>
      <c r="AG1679" s="90" t="n">
        <v>55000</v>
      </c>
      <c r="AH1679" s="90" t="n">
        <v>55000</v>
      </c>
      <c r="AI1679" s="90" t="n">
        <v>55000</v>
      </c>
      <c r="AJ1679" s="91" t="n">
        <v>55000</v>
      </c>
      <c r="AK1679" s="89" t="n">
        <v>55000</v>
      </c>
      <c r="AL1679" s="90" t="n">
        <v>55000</v>
      </c>
      <c r="AM1679" s="90"/>
      <c r="AN1679" s="90"/>
      <c r="AO1679" s="90"/>
      <c r="AP1679" s="90"/>
      <c r="AQ1679" s="90"/>
      <c r="AR1679" s="90"/>
      <c r="AS1679" s="90"/>
      <c r="AT1679" s="90"/>
      <c r="AU1679" s="90"/>
      <c r="AV1679" s="91"/>
      <c r="AX1679" s="92"/>
    </row>
    <row r="1680" customFormat="false" ht="15.65" hidden="false" customHeight="false" outlineLevel="0" collapsed="false">
      <c r="C1680" s="72" t="n">
        <f aca="false">COUNTIFS($D$6:D1680,"&lt;&gt;"&amp;"")</f>
        <v>1675</v>
      </c>
      <c r="D1680" s="73" t="s">
        <v>12</v>
      </c>
      <c r="E1680" s="76" t="str">
        <f aca="false">
IF($D1680="정상",INDEX(임대자산!$D$3:$R$3000,MATCH($F1680,임대자산!$I$3:$I$3000,0),MATCH(E$3,임대자산!$D$3:$R$3,0)),
IF($D1680="폐업",INDEX(폐업정보!$D$3:$R$3000,MATCH($F1680,폐업정보!$I$3:$I$3000,0),MATCH(E$3,폐업정보!$D$3:$R$3,0)),
"Error"))</f>
        <v>전라</v>
      </c>
      <c r="F168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B1675</v>
      </c>
      <c r="G1680" s="76" t="str">
        <f aca="false">F1680&amp;RANDBETWEEN(0,10)</f>
        <v>B16759</v>
      </c>
      <c r="H1680" s="75" t="n">
        <f aca="false">
IF($D1680="정상",INDEX(임대자산!$D$3:$R$3000,MATCH($F1680,임대자산!$I$3:$I$3000,0),MATCH(H$4,임대자산!$D$3:$R$3,0)),
IF($D1680="폐업",INDEX(폐업정보!$D$3:$R$3000,MATCH($F1680,폐업정보!$I$3:$I$3000,0),MATCH(H$4,폐업정보!$D$3:$R$3,0)),
"Error"))</f>
        <v>45776</v>
      </c>
      <c r="I1680" s="75" t="str">
        <f aca="false">
IF($D1680="정상",INDEX(임대자산!$D$3:$R$3000,MATCH($F1680,임대자산!$I$3:$I$3000,0),MATCH(I$4,임대자산!$D$3:$R$3,0)),
IF($D1680="폐업",INDEX(폐업정보!$D$3:$R$3000,MATCH($F1680,폐업정보!$I$3:$I$3000,0),MATCH(I$4,폐업정보!$D$3:$R$3,0)),
"Error"))</f>
        <v>A1675</v>
      </c>
      <c r="J1680" s="75" t="str">
        <f aca="false">
IF($D1680="정상",INDEX(임대자산!$D$3:$R$3000,MATCH($F1680,임대자산!$I$3:$I$3000,0),MATCH(J$4,임대자산!$D$3:$R$3,0)),
IF($D1680="폐업",INDEX(폐업정보!$D$3:$R$3000,MATCH($F1680,폐업정보!$I$3:$I$3000,0),MATCH(J$4,폐업정보!$D$3:$R$3,0)),
"Error"))</f>
        <v>3980700000</v>
      </c>
      <c r="K1680" s="75" t="str">
        <f aca="false">
IF($D1680="정상",INDEX(임대자산!$D$3:$R$3000,MATCH($F1680,임대자산!$I$3:$I$3000,0),MATCH(K$4,임대자산!$D$3:$R$3,0)),
IF($D1680="폐업",INDEX(폐업정보!$D$3:$R$3000,MATCH($F1680,폐업정보!$I$3:$I$3000,0),MATCH(K$4,폐업정보!$D$3:$R$3,0)),
"Error"))</f>
        <v>C1675</v>
      </c>
      <c r="L1680" s="75" t="str">
        <f aca="false">
IF($D1680="정상",INDEX(임대자산!$D$3:$R$3000,MATCH($F1680,임대자산!$I$3:$I$3000,0),MATCH(L$4,임대자산!$D$3:$R$3,0)),
IF($D1680="폐업",INDEX(폐업정보!$D$3:$R$3000,MATCH($F1680,폐업정보!$I$3:$I$3000,0),MATCH(L$4,폐업정보!$D$3:$R$3,0)),
"Error"))</f>
        <v>D1675</v>
      </c>
      <c r="M1680" s="76" t="s">
        <v>96</v>
      </c>
      <c r="N1680" s="77"/>
      <c r="O1680" s="78" t="s">
        <v>97</v>
      </c>
      <c r="P1680" s="79" t="n">
        <f aca="false">COUNTIFS(임대자산!$I:$I,가맹점정보!F1680,임대자산!$N:$N,가맹점정보!P$4)</f>
        <v>0</v>
      </c>
      <c r="Q1680" s="80" t="n">
        <f aca="false">COUNTIFS(임대자산!$I:$I,가맹점정보!F1680,임대자산!$N:$N,가맹점정보!Q$4)</f>
        <v>0</v>
      </c>
      <c r="R1680" s="81" t="n">
        <f aca="false">COUNTIFS(임대자산!$I:$I,가맹점정보!F1680,임대자산!$N:$N,가맹점정보!R$4)</f>
        <v>1</v>
      </c>
      <c r="S1680" s="82" t="n">
        <v>55000</v>
      </c>
      <c r="T1680" s="83" t="n">
        <v>0</v>
      </c>
      <c r="U1680" s="80" t="n">
        <f aca="false">SUM(S1680:T1680)</f>
        <v>55000</v>
      </c>
      <c r="V1680" s="84" t="s">
        <v>12</v>
      </c>
      <c r="W1680" s="80" t="e">
        <f aca="true">
IF(D1680="폐업","폐업",
IF(V1680="면제","면제",
IF(AND(V1680="정상",COUNTIFS(OFFSET(Y1680,0,COUNTA(Y1680:AV1680)-1,1,-4),"미납")&gt;=3),"장기미납",
IF(AND(V1680="정상",OFFSET(Y1680,0,COUNTA(Y1680:AV1680)-1)&gt;=U1680),"정상",
IF(AND(V1680="정상",OFFSET(Y1680,0,COUNTA(Y1680:AV1680)-1)=0),"정상",
"계약서 미작성")))))</f>
        <v>#VALUE!</v>
      </c>
      <c r="X1680" s="81" t="str">
        <f aca="true">
IF(D1680="폐업","폐업",
IF(AND(V1680="정상",OFFSET(Y1680,0,COUNTA(Y1680:AV1680)-1)="미납"),"미납",
IF(AND(V1680="정상",OFFSET(Y1680,0,COUNTA(Y1680:AV1680)-1)=0),"납부 시작 전",
IF(AND(V1680="정상",OFFSET(Y1680,0,COUNTA(Y1680:AV1680)-1)&gt;=U1680),"정상",
IF(AND(V1680="면제",OFFSET(Y1680,0,COUNTA(Y1680:AV1680)-1)="면제"),"면제",
IF(AND(V1680="면제",OFFSET(Y1680,0,COUNTA(Y1680:AV1680)-1)=0),"면제",
"확인요청"))))))</f>
        <v>정상</v>
      </c>
      <c r="Y1680" s="93" t="n">
        <v>55000</v>
      </c>
      <c r="Z1680" s="90" t="n">
        <v>55000</v>
      </c>
      <c r="AA1680" s="90" t="n">
        <v>55000</v>
      </c>
      <c r="AB1680" s="90" t="n">
        <v>55000</v>
      </c>
      <c r="AC1680" s="90" t="n">
        <v>55000</v>
      </c>
      <c r="AD1680" s="90" t="n">
        <v>55000</v>
      </c>
      <c r="AE1680" s="90" t="n">
        <v>55000</v>
      </c>
      <c r="AF1680" s="90" t="n">
        <v>55000</v>
      </c>
      <c r="AG1680" s="90" t="n">
        <v>55000</v>
      </c>
      <c r="AH1680" s="90" t="n">
        <v>55000</v>
      </c>
      <c r="AI1680" s="90" t="n">
        <v>55000</v>
      </c>
      <c r="AJ1680" s="91" t="n">
        <v>55000</v>
      </c>
      <c r="AK1680" s="89" t="n">
        <v>55000</v>
      </c>
      <c r="AL1680" s="90" t="n">
        <v>55000</v>
      </c>
      <c r="AM1680" s="90"/>
      <c r="AN1680" s="90"/>
      <c r="AO1680" s="90"/>
      <c r="AP1680" s="90"/>
      <c r="AQ1680" s="90"/>
      <c r="AR1680" s="90"/>
      <c r="AS1680" s="90"/>
      <c r="AT1680" s="90"/>
      <c r="AU1680" s="90"/>
      <c r="AV1680" s="91"/>
      <c r="AX1680" s="92"/>
    </row>
    <row r="1681" customFormat="false" ht="15.65" hidden="false" customHeight="false" outlineLevel="0" collapsed="false">
      <c r="C1681" s="72" t="n">
        <f aca="false">COUNTIFS($D$6:D1681,"&lt;&gt;"&amp;"")</f>
        <v>1676</v>
      </c>
      <c r="D1681" s="73" t="s">
        <v>12</v>
      </c>
      <c r="E1681" s="76" t="str">
        <f aca="false">
IF($D1681="정상",INDEX(임대자산!$D$3:$R$3000,MATCH($F1681,임대자산!$I$3:$I$3000,0),MATCH(E$3,임대자산!$D$3:$R$3,0)),
IF($D1681="폐업",INDEX(폐업정보!$D$3:$R$3000,MATCH($F1681,폐업정보!$I$3:$I$3000,0),MATCH(E$3,폐업정보!$D$3:$R$3,0)),
"Error"))</f>
        <v>강원</v>
      </c>
      <c r="F168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B1676</v>
      </c>
      <c r="G1681" s="76" t="str">
        <f aca="false">F1681&amp;RANDBETWEEN(0,10)</f>
        <v>B16760</v>
      </c>
      <c r="H1681" s="75" t="n">
        <f aca="false">
IF($D1681="정상",INDEX(임대자산!$D$3:$R$3000,MATCH($F1681,임대자산!$I$3:$I$3000,0),MATCH(H$4,임대자산!$D$3:$R$3,0)),
IF($D1681="폐업",INDEX(폐업정보!$D$3:$R$3000,MATCH($F1681,폐업정보!$I$3:$I$3000,0),MATCH(H$4,폐업정보!$D$3:$R$3,0)),
"Error"))</f>
        <v>45797</v>
      </c>
      <c r="I1681" s="75" t="str">
        <f aca="false">
IF($D1681="정상",INDEX(임대자산!$D$3:$R$3000,MATCH($F1681,임대자산!$I$3:$I$3000,0),MATCH(I$4,임대자산!$D$3:$R$3,0)),
IF($D1681="폐업",INDEX(폐업정보!$D$3:$R$3000,MATCH($F1681,폐업정보!$I$3:$I$3000,0),MATCH(I$4,폐업정보!$D$3:$R$3,0)),
"Error"))</f>
        <v>A1676</v>
      </c>
      <c r="J1681" s="75" t="str">
        <f aca="false">
IF($D1681="정상",INDEX(임대자산!$D$3:$R$3000,MATCH($F1681,임대자산!$I$3:$I$3000,0),MATCH(J$4,임대자산!$D$3:$R$3,0)),
IF($D1681="폐업",INDEX(폐업정보!$D$3:$R$3000,MATCH($F1681,폐업정보!$I$3:$I$3000,0),MATCH(J$4,폐업정보!$D$3:$R$3,0)),
"Error"))</f>
        <v>6208000000</v>
      </c>
      <c r="K1681" s="75" t="str">
        <f aca="false">
IF($D1681="정상",INDEX(임대자산!$D$3:$R$3000,MATCH($F1681,임대자산!$I$3:$I$3000,0),MATCH(K$4,임대자산!$D$3:$R$3,0)),
IF($D1681="폐업",INDEX(폐업정보!$D$3:$R$3000,MATCH($F1681,폐업정보!$I$3:$I$3000,0),MATCH(K$4,폐업정보!$D$3:$R$3,0)),
"Error"))</f>
        <v>C1676</v>
      </c>
      <c r="L1681" s="75" t="str">
        <f aca="false">
IF($D1681="정상",INDEX(임대자산!$D$3:$R$3000,MATCH($F1681,임대자산!$I$3:$I$3000,0),MATCH(L$4,임대자산!$D$3:$R$3,0)),
IF($D1681="폐업",INDEX(폐업정보!$D$3:$R$3000,MATCH($F1681,폐업정보!$I$3:$I$3000,0),MATCH(L$4,폐업정보!$D$3:$R$3,0)),
"Error"))</f>
        <v>D1676</v>
      </c>
      <c r="M1681" s="76" t="s">
        <v>96</v>
      </c>
      <c r="N1681" s="77"/>
      <c r="O1681" s="78" t="s">
        <v>97</v>
      </c>
      <c r="P1681" s="79" t="n">
        <f aca="false">COUNTIFS(임대자산!$I:$I,가맹점정보!F1681,임대자산!$N:$N,가맹점정보!P$4)</f>
        <v>0</v>
      </c>
      <c r="Q1681" s="80" t="n">
        <f aca="false">COUNTIFS(임대자산!$I:$I,가맹점정보!F1681,임대자산!$N:$N,가맹점정보!Q$4)</f>
        <v>0</v>
      </c>
      <c r="R1681" s="81" t="n">
        <f aca="false">COUNTIFS(임대자산!$I:$I,가맹점정보!F1681,임대자산!$N:$N,가맹점정보!R$4)</f>
        <v>1</v>
      </c>
      <c r="S1681" s="82" t="n">
        <v>55000</v>
      </c>
      <c r="T1681" s="83" t="n">
        <v>0</v>
      </c>
      <c r="U1681" s="80" t="n">
        <f aca="false">SUM(S1681:T1681)</f>
        <v>55000</v>
      </c>
      <c r="V1681" s="84" t="s">
        <v>7</v>
      </c>
      <c r="W1681" s="80" t="str">
        <f aca="true">
IF(D1681="폐업","폐업",
IF(V1681="면제","면제",
IF(AND(V1681="정상",COUNTIFS(OFFSET(Y1681,0,COUNTA(Y1681:AV1681)-1,1,-4),"미납")&gt;=3),"장기미납",
IF(AND(V1681="정상",OFFSET(Y1681,0,COUNTA(Y1681:AV1681)-1)&gt;=U1681),"정상",
IF(AND(V1681="정상",OFFSET(Y1681,0,COUNTA(Y1681:AV1681)-1)=0),"정상",
"계약서 미작성")))))</f>
        <v>면제</v>
      </c>
      <c r="X1681" s="81" t="str">
        <f aca="true">
IF(D1681="폐업","폐업",
IF(AND(V1681="정상",OFFSET(Y1681,0,COUNTA(Y1681:AV1681)-1)="미납"),"미납",
IF(AND(V1681="정상",OFFSET(Y1681,0,COUNTA(Y1681:AV1681)-1)=0),"납부 시작 전",
IF(AND(V1681="정상",OFFSET(Y1681,0,COUNTA(Y1681:AV1681)-1)&gt;=U1681),"정상",
IF(AND(V1681="면제",OFFSET(Y1681,0,COUNTA(Y1681:AV1681)-1)="면제"),"면제",
IF(AND(V1681="면제",OFFSET(Y1681,0,COUNTA(Y1681:AV1681)-1)=0),"면제",
"확인요청"))))))</f>
        <v>면제</v>
      </c>
      <c r="Y1681" s="94" t="s">
        <v>7</v>
      </c>
      <c r="Z1681" s="95" t="s">
        <v>7</v>
      </c>
      <c r="AA1681" s="95" t="s">
        <v>7</v>
      </c>
      <c r="AB1681" s="95" t="s">
        <v>7</v>
      </c>
      <c r="AC1681" s="95" t="s">
        <v>7</v>
      </c>
      <c r="AD1681" s="95" t="s">
        <v>7</v>
      </c>
      <c r="AE1681" s="95" t="s">
        <v>7</v>
      </c>
      <c r="AF1681" s="95" t="s">
        <v>7</v>
      </c>
      <c r="AG1681" s="95" t="s">
        <v>7</v>
      </c>
      <c r="AH1681" s="95" t="s">
        <v>7</v>
      </c>
      <c r="AI1681" s="95" t="s">
        <v>7</v>
      </c>
      <c r="AJ1681" s="96" t="s">
        <v>7</v>
      </c>
      <c r="AK1681" s="97" t="s">
        <v>7</v>
      </c>
      <c r="AL1681" s="95" t="s">
        <v>7</v>
      </c>
      <c r="AM1681" s="90"/>
      <c r="AN1681" s="90"/>
      <c r="AO1681" s="90"/>
      <c r="AP1681" s="90"/>
      <c r="AQ1681" s="90"/>
      <c r="AR1681" s="90"/>
      <c r="AS1681" s="90"/>
      <c r="AT1681" s="90"/>
      <c r="AU1681" s="90"/>
      <c r="AV1681" s="91"/>
      <c r="AX1681" s="92"/>
    </row>
    <row r="1682" customFormat="false" ht="15.65" hidden="false" customHeight="false" outlineLevel="0" collapsed="false">
      <c r="C1682" s="72" t="n">
        <f aca="false">COUNTIFS($D$6:D1682,"&lt;&gt;"&amp;"")</f>
        <v>1677</v>
      </c>
      <c r="D1682" s="73" t="s">
        <v>5</v>
      </c>
      <c r="E1682" s="76" t="str">
        <f aca="false">
IF($D1682="정상",INDEX(임대자산!$D$3:$R$3000,MATCH($F1682,임대자산!$I$3:$I$3000,0),MATCH(E$3,임대자산!$D$3:$R$3,0)),
IF($D1682="폐업",INDEX(폐업정보!$D$3:$R$3000,MATCH($F1682,폐업정보!$I$3:$I$3000,0),MATCH(E$3,폐업정보!$D$3:$R$3,0)),
"Error"))</f>
        <v>강원</v>
      </c>
      <c r="F168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B1677</v>
      </c>
      <c r="G1682" s="76" t="str">
        <f aca="false">F1682&amp;RANDBETWEEN(0,10)</f>
        <v>B16777</v>
      </c>
      <c r="H1682" s="75" t="n">
        <f aca="false">
IF($D1682="정상",INDEX(임대자산!$D$3:$R$3000,MATCH($F1682,임대자산!$I$3:$I$3000,0),MATCH(H$4,임대자산!$D$3:$R$3,0)),
IF($D1682="폐업",INDEX(폐업정보!$D$3:$R$3000,MATCH($F1682,폐업정보!$I$3:$I$3000,0),MATCH(H$4,폐업정보!$D$3:$R$3,0)),
"Error"))</f>
        <v>45797</v>
      </c>
      <c r="I1682" s="75" t="str">
        <f aca="false">
IF($D1682="정상",INDEX(임대자산!$D$3:$R$3000,MATCH($F1682,임대자산!$I$3:$I$3000,0),MATCH(I$4,임대자산!$D$3:$R$3,0)),
IF($D1682="폐업",INDEX(폐업정보!$D$3:$R$3000,MATCH($F1682,폐업정보!$I$3:$I$3000,0),MATCH(I$4,폐업정보!$D$3:$R$3,0)),
"Error"))</f>
        <v>A1677</v>
      </c>
      <c r="J1682" s="75" t="str">
        <f aca="false">
IF($D1682="정상",INDEX(임대자산!$D$3:$R$3000,MATCH($F1682,임대자산!$I$3:$I$3000,0),MATCH(J$4,임대자산!$D$3:$R$3,0)),
IF($D1682="폐업",INDEX(폐업정보!$D$3:$R$3000,MATCH($F1682,폐업정보!$I$3:$I$3000,0),MATCH(J$4,폐업정보!$D$3:$R$3,0)),
"Error"))</f>
        <v>5151500000</v>
      </c>
      <c r="K1682" s="75" t="str">
        <f aca="false">
IF($D1682="정상",INDEX(임대자산!$D$3:$R$3000,MATCH($F1682,임대자산!$I$3:$I$3000,0),MATCH(K$4,임대자산!$D$3:$R$3,0)),
IF($D1682="폐업",INDEX(폐업정보!$D$3:$R$3000,MATCH($F1682,폐업정보!$I$3:$I$3000,0),MATCH(K$4,폐업정보!$D$3:$R$3,0)),
"Error"))</f>
        <v>C1677</v>
      </c>
      <c r="L1682" s="75" t="str">
        <f aca="false">
IF($D1682="정상",INDEX(임대자산!$D$3:$R$3000,MATCH($F1682,임대자산!$I$3:$I$3000,0),MATCH(L$4,임대자산!$D$3:$R$3,0)),
IF($D1682="폐업",INDEX(폐업정보!$D$3:$R$3000,MATCH($F1682,폐업정보!$I$3:$I$3000,0),MATCH(L$4,폐업정보!$D$3:$R$3,0)),
"Error"))</f>
        <v>D1677</v>
      </c>
      <c r="M1682" s="76" t="s">
        <v>96</v>
      </c>
      <c r="N1682" s="77"/>
      <c r="O1682" s="78" t="s">
        <v>97</v>
      </c>
      <c r="P1682" s="79" t="n">
        <f aca="false">COUNTIFS(임대자산!$I:$I,가맹점정보!F1682,임대자산!$N:$N,가맹점정보!P$4)</f>
        <v>0</v>
      </c>
      <c r="Q1682" s="80" t="n">
        <f aca="false">COUNTIFS(임대자산!$I:$I,가맹점정보!F1682,임대자산!$N:$N,가맹점정보!Q$4)</f>
        <v>0</v>
      </c>
      <c r="R1682" s="81" t="n">
        <f aca="false">COUNTIFS(임대자산!$I:$I,가맹점정보!F1682,임대자산!$N:$N,가맹점정보!R$4)</f>
        <v>0</v>
      </c>
      <c r="S1682" s="82" t="n">
        <v>55000</v>
      </c>
      <c r="T1682" s="83" t="n">
        <v>0</v>
      </c>
      <c r="U1682" s="80" t="n">
        <f aca="false">SUM(S1682:T1682)</f>
        <v>55000</v>
      </c>
      <c r="V1682" s="84" t="s">
        <v>7</v>
      </c>
      <c r="W1682" s="80" t="str">
        <f aca="true">
IF(D1682="폐업","폐업",
IF(V1682="면제","면제",
IF(AND(V1682="정상",COUNTIFS(OFFSET(Y1682,0,COUNTA(Y1682:AV1682)-1,1,-4),"미납")&gt;=3),"장기미납",
IF(AND(V1682="정상",OFFSET(Y1682,0,COUNTA(Y1682:AV1682)-1)&gt;=U1682),"정상",
IF(AND(V1682="정상",OFFSET(Y1682,0,COUNTA(Y1682:AV1682)-1)=0),"정상",
"계약서 미작성")))))</f>
        <v>폐업</v>
      </c>
      <c r="X1682" s="81" t="str">
        <f aca="true">
IF(D1682="폐업","폐업",
IF(AND(V1682="정상",OFFSET(Y1682,0,COUNTA(Y1682:AV1682)-1)="미납"),"미납",
IF(AND(V1682="정상",OFFSET(Y1682,0,COUNTA(Y1682:AV1682)-1)=0),"납부 시작 전",
IF(AND(V1682="정상",OFFSET(Y1682,0,COUNTA(Y1682:AV1682)-1)&gt;=U1682),"정상",
IF(AND(V1682="면제",OFFSET(Y1682,0,COUNTA(Y1682:AV1682)-1)="면제"),"면제",
IF(AND(V1682="면제",OFFSET(Y1682,0,COUNTA(Y1682:AV1682)-1)=0),"면제",
"확인요청"))))))</f>
        <v>폐업</v>
      </c>
      <c r="Y1682" s="94" t="s">
        <v>7</v>
      </c>
      <c r="Z1682" s="95" t="s">
        <v>7</v>
      </c>
      <c r="AA1682" s="95" t="s">
        <v>7</v>
      </c>
      <c r="AB1682" s="95" t="s">
        <v>7</v>
      </c>
      <c r="AC1682" s="95" t="s">
        <v>7</v>
      </c>
      <c r="AD1682" s="95" t="s">
        <v>7</v>
      </c>
      <c r="AE1682" s="95" t="s">
        <v>7</v>
      </c>
      <c r="AF1682" s="95" t="s">
        <v>7</v>
      </c>
      <c r="AG1682" s="95" t="s">
        <v>7</v>
      </c>
      <c r="AH1682" s="95" t="s">
        <v>7</v>
      </c>
      <c r="AI1682" s="95" t="s">
        <v>7</v>
      </c>
      <c r="AJ1682" s="96" t="s">
        <v>7</v>
      </c>
      <c r="AK1682" s="97" t="s">
        <v>7</v>
      </c>
      <c r="AL1682" s="95" t="s">
        <v>7</v>
      </c>
      <c r="AM1682" s="90"/>
      <c r="AN1682" s="90"/>
      <c r="AO1682" s="90"/>
      <c r="AP1682" s="90"/>
      <c r="AQ1682" s="90"/>
      <c r="AR1682" s="90"/>
      <c r="AS1682" s="90"/>
      <c r="AT1682" s="90"/>
      <c r="AU1682" s="90"/>
      <c r="AV1682" s="91"/>
      <c r="AX1682" s="92"/>
    </row>
    <row r="1683" customFormat="false" ht="15.65" hidden="false" customHeight="false" outlineLevel="0" collapsed="false">
      <c r="C1683" s="72" t="n">
        <f aca="false">COUNTIFS($D$6:D1683,"&lt;&gt;"&amp;"")</f>
        <v>1678</v>
      </c>
      <c r="D1683" s="73" t="s">
        <v>12</v>
      </c>
      <c r="E1683" s="76" t="str">
        <f aca="false">
IF($D1683="정상",INDEX(임대자산!$D$3:$R$3000,MATCH($F1683,임대자산!$I$3:$I$3000,0),MATCH(E$3,임대자산!$D$3:$R$3,0)),
IF($D1683="폐업",INDEX(폐업정보!$D$3:$R$3000,MATCH($F1683,폐업정보!$I$3:$I$3000,0),MATCH(E$3,폐업정보!$D$3:$R$3,0)),
"Error"))</f>
        <v>서울</v>
      </c>
      <c r="F168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B1678</v>
      </c>
      <c r="G1683" s="76" t="str">
        <f aca="false">F1683&amp;RANDBETWEEN(0,10)</f>
        <v>B16789</v>
      </c>
      <c r="H1683" s="75" t="n">
        <f aca="false">
IF($D1683="정상",INDEX(임대자산!$D$3:$R$3000,MATCH($F1683,임대자산!$I$3:$I$3000,0),MATCH(H$4,임대자산!$D$3:$R$3,0)),
IF($D1683="폐업",INDEX(폐업정보!$D$3:$R$3000,MATCH($F1683,폐업정보!$I$3:$I$3000,0),MATCH(H$4,폐업정보!$D$3:$R$3,0)),
"Error"))</f>
        <v>46062</v>
      </c>
      <c r="I1683" s="75" t="str">
        <f aca="false">
IF($D1683="정상",INDEX(임대자산!$D$3:$R$3000,MATCH($F1683,임대자산!$I$3:$I$3000,0),MATCH(I$4,임대자산!$D$3:$R$3,0)),
IF($D1683="폐업",INDEX(폐업정보!$D$3:$R$3000,MATCH($F1683,폐업정보!$I$3:$I$3000,0),MATCH(I$4,폐업정보!$D$3:$R$3,0)),
"Error"))</f>
        <v>A1678</v>
      </c>
      <c r="J1683" s="75" t="str">
        <f aca="false">
IF($D1683="정상",INDEX(임대자산!$D$3:$R$3000,MATCH($F1683,임대자산!$I$3:$I$3000,0),MATCH(J$4,임대자산!$D$3:$R$3,0)),
IF($D1683="폐업",INDEX(폐업정보!$D$3:$R$3000,MATCH($F1683,폐업정보!$I$3:$I$3000,0),MATCH(J$4,폐업정보!$D$3:$R$3,0)),
"Error"))</f>
        <v>6069900000</v>
      </c>
      <c r="K1683" s="75" t="str">
        <f aca="false">
IF($D1683="정상",INDEX(임대자산!$D$3:$R$3000,MATCH($F1683,임대자산!$I$3:$I$3000,0),MATCH(K$4,임대자산!$D$3:$R$3,0)),
IF($D1683="폐업",INDEX(폐업정보!$D$3:$R$3000,MATCH($F1683,폐업정보!$I$3:$I$3000,0),MATCH(K$4,폐업정보!$D$3:$R$3,0)),
"Error"))</f>
        <v>C1678</v>
      </c>
      <c r="L1683" s="75" t="str">
        <f aca="false">
IF($D1683="정상",INDEX(임대자산!$D$3:$R$3000,MATCH($F1683,임대자산!$I$3:$I$3000,0),MATCH(L$4,임대자산!$D$3:$R$3,0)),
IF($D1683="폐업",INDEX(폐업정보!$D$3:$R$3000,MATCH($F1683,폐업정보!$I$3:$I$3000,0),MATCH(L$4,폐업정보!$D$3:$R$3,0)),
"Error"))</f>
        <v>D1678</v>
      </c>
      <c r="M1683" s="76" t="s">
        <v>96</v>
      </c>
      <c r="N1683" s="77"/>
      <c r="O1683" s="78" t="s">
        <v>97</v>
      </c>
      <c r="P1683" s="79" t="n">
        <f aca="false">COUNTIFS(임대자산!$I:$I,가맹점정보!F1683,임대자산!$N:$N,가맹점정보!P$4)</f>
        <v>0</v>
      </c>
      <c r="Q1683" s="80" t="n">
        <f aca="false">COUNTIFS(임대자산!$I:$I,가맹점정보!F1683,임대자산!$N:$N,가맹점정보!Q$4)</f>
        <v>0</v>
      </c>
      <c r="R1683" s="81" t="n">
        <f aca="false">COUNTIFS(임대자산!$I:$I,가맹점정보!F1683,임대자산!$N:$N,가맹점정보!R$4)</f>
        <v>1</v>
      </c>
      <c r="S1683" s="82" t="n">
        <v>55000</v>
      </c>
      <c r="T1683" s="83" t="n">
        <v>0</v>
      </c>
      <c r="U1683" s="80" t="n">
        <f aca="false">SUM(S1683:T1683)</f>
        <v>55000</v>
      </c>
      <c r="V1683" s="84" t="s">
        <v>7</v>
      </c>
      <c r="W1683" s="80" t="str">
        <f aca="true">
IF(D1683="폐업","폐업",
IF(V1683="면제","면제",
IF(AND(V1683="정상",COUNTIFS(OFFSET(Y1683,0,COUNTA(Y1683:AV1683)-1,1,-4),"미납")&gt;=3),"장기미납",
IF(AND(V1683="정상",OFFSET(Y1683,0,COUNTA(Y1683:AV1683)-1)&gt;=U1683),"정상",
IF(AND(V1683="정상",OFFSET(Y1683,0,COUNTA(Y1683:AV1683)-1)=0),"정상",
"계약서 미작성")))))</f>
        <v>면제</v>
      </c>
      <c r="X1683" s="81" t="str">
        <f aca="true">
IF(D1683="폐업","폐업",
IF(AND(V1683="정상",OFFSET(Y1683,0,COUNTA(Y1683:AV1683)-1)="미납"),"미납",
IF(AND(V1683="정상",OFFSET(Y1683,0,COUNTA(Y1683:AV1683)-1)=0),"납부 시작 전",
IF(AND(V1683="정상",OFFSET(Y1683,0,COUNTA(Y1683:AV1683)-1)&gt;=U1683),"정상",
IF(AND(V1683="면제",OFFSET(Y1683,0,COUNTA(Y1683:AV1683)-1)="면제"),"면제",
IF(AND(V1683="면제",OFFSET(Y1683,0,COUNTA(Y1683:AV1683)-1)=0),"면제",
"확인요청"))))))</f>
        <v>면제</v>
      </c>
      <c r="Y1683" s="93" t="n">
        <v>55000</v>
      </c>
      <c r="Z1683" s="90" t="n">
        <v>55000</v>
      </c>
      <c r="AA1683" s="90" t="n">
        <v>55000</v>
      </c>
      <c r="AB1683" s="90" t="n">
        <v>55000</v>
      </c>
      <c r="AC1683" s="90" t="n">
        <v>55000</v>
      </c>
      <c r="AD1683" s="90" t="n">
        <v>55000</v>
      </c>
      <c r="AE1683" s="90" t="n">
        <v>55000</v>
      </c>
      <c r="AF1683" s="90" t="n">
        <v>55000</v>
      </c>
      <c r="AG1683" s="90" t="n">
        <v>55000</v>
      </c>
      <c r="AH1683" s="95" t="s">
        <v>7</v>
      </c>
      <c r="AI1683" s="95" t="s">
        <v>7</v>
      </c>
      <c r="AJ1683" s="96" t="s">
        <v>7</v>
      </c>
      <c r="AK1683" s="97" t="s">
        <v>7</v>
      </c>
      <c r="AL1683" s="95" t="s">
        <v>7</v>
      </c>
      <c r="AM1683" s="90"/>
      <c r="AN1683" s="90"/>
      <c r="AO1683" s="90"/>
      <c r="AP1683" s="90"/>
      <c r="AQ1683" s="90"/>
      <c r="AR1683" s="90"/>
      <c r="AS1683" s="90"/>
      <c r="AT1683" s="90"/>
      <c r="AU1683" s="90"/>
      <c r="AV1683" s="91"/>
      <c r="AX1683" s="92"/>
    </row>
    <row r="1684" customFormat="false" ht="15.65" hidden="false" customHeight="false" outlineLevel="0" collapsed="false">
      <c r="C1684" s="72" t="n">
        <f aca="false">COUNTIFS($D$6:D1684,"&lt;&gt;"&amp;"")</f>
        <v>1679</v>
      </c>
      <c r="D1684" s="73" t="s">
        <v>12</v>
      </c>
      <c r="E1684" s="76" t="str">
        <f aca="false">
IF($D1684="정상",INDEX(임대자산!$D$3:$R$3000,MATCH($F1684,임대자산!$I$3:$I$3000,0),MATCH(E$3,임대자산!$D$3:$R$3,0)),
IF($D1684="폐업",INDEX(폐업정보!$D$3:$R$3000,MATCH($F1684,폐업정보!$I$3:$I$3000,0),MATCH(E$3,폐업정보!$D$3:$R$3,0)),
"Error"))</f>
        <v>경상</v>
      </c>
      <c r="F168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B1679</v>
      </c>
      <c r="G1684" s="76" t="str">
        <f aca="false">F1684&amp;RANDBETWEEN(0,10)</f>
        <v>B16797</v>
      </c>
      <c r="H1684" s="75" t="n">
        <f aca="false">
IF($D1684="정상",INDEX(임대자산!$D$3:$R$3000,MATCH($F1684,임대자산!$I$3:$I$3000,0),MATCH(H$4,임대자산!$D$3:$R$3,0)),
IF($D1684="폐업",INDEX(폐업정보!$D$3:$R$3000,MATCH($F1684,폐업정보!$I$3:$I$3000,0),MATCH(H$4,폐업정보!$D$3:$R$3,0)),
"Error"))</f>
        <v>45798</v>
      </c>
      <c r="I1684" s="75" t="str">
        <f aca="false">
IF($D1684="정상",INDEX(임대자산!$D$3:$R$3000,MATCH($F1684,임대자산!$I$3:$I$3000,0),MATCH(I$4,임대자산!$D$3:$R$3,0)),
IF($D1684="폐업",INDEX(폐업정보!$D$3:$R$3000,MATCH($F1684,폐업정보!$I$3:$I$3000,0),MATCH(I$4,폐업정보!$D$3:$R$3,0)),
"Error"))</f>
        <v>A1679</v>
      </c>
      <c r="J1684" s="75" t="str">
        <f aca="false">
IF($D1684="정상",INDEX(임대자산!$D$3:$R$3000,MATCH($F1684,임대자산!$I$3:$I$3000,0),MATCH(J$4,임대자산!$D$3:$R$3,0)),
IF($D1684="폐업",INDEX(폐업정보!$D$3:$R$3000,MATCH($F1684,폐업정보!$I$3:$I$3000,0),MATCH(J$4,폐업정보!$D$3:$R$3,0)),
"Error"))</f>
        <v>6442200000</v>
      </c>
      <c r="K1684" s="75" t="str">
        <f aca="false">
IF($D1684="정상",INDEX(임대자산!$D$3:$R$3000,MATCH($F1684,임대자산!$I$3:$I$3000,0),MATCH(K$4,임대자산!$D$3:$R$3,0)),
IF($D1684="폐업",INDEX(폐업정보!$D$3:$R$3000,MATCH($F1684,폐업정보!$I$3:$I$3000,0),MATCH(K$4,폐업정보!$D$3:$R$3,0)),
"Error"))</f>
        <v>C1679</v>
      </c>
      <c r="L1684" s="75" t="str">
        <f aca="false">
IF($D1684="정상",INDEX(임대자산!$D$3:$R$3000,MATCH($F1684,임대자산!$I$3:$I$3000,0),MATCH(L$4,임대자산!$D$3:$R$3,0)),
IF($D1684="폐업",INDEX(폐업정보!$D$3:$R$3000,MATCH($F1684,폐업정보!$I$3:$I$3000,0),MATCH(L$4,폐업정보!$D$3:$R$3,0)),
"Error"))</f>
        <v>D1679</v>
      </c>
      <c r="M1684" s="76" t="s">
        <v>96</v>
      </c>
      <c r="N1684" s="77"/>
      <c r="O1684" s="78" t="s">
        <v>97</v>
      </c>
      <c r="P1684" s="79" t="n">
        <f aca="false">COUNTIFS(임대자산!$I:$I,가맹점정보!F1684,임대자산!$N:$N,가맹점정보!P$4)</f>
        <v>0</v>
      </c>
      <c r="Q1684" s="80" t="n">
        <f aca="false">COUNTIFS(임대자산!$I:$I,가맹점정보!F1684,임대자산!$N:$N,가맹점정보!Q$4)</f>
        <v>0</v>
      </c>
      <c r="R1684" s="81" t="n">
        <f aca="false">COUNTIFS(임대자산!$I:$I,가맹점정보!F1684,임대자산!$N:$N,가맹점정보!R$4)</f>
        <v>1</v>
      </c>
      <c r="S1684" s="82" t="n">
        <v>55000</v>
      </c>
      <c r="T1684" s="83" t="n">
        <v>0</v>
      </c>
      <c r="U1684" s="80" t="n">
        <f aca="false">SUM(S1684:T1684)</f>
        <v>55000</v>
      </c>
      <c r="V1684" s="84" t="s">
        <v>12</v>
      </c>
      <c r="W1684" s="80" t="e">
        <f aca="true">
IF(D1684="폐업","폐업",
IF(V1684="면제","면제",
IF(AND(V1684="정상",COUNTIFS(OFFSET(Y1684,0,COUNTA(Y1684:AV1684)-1,1,-4),"미납")&gt;=3),"장기미납",
IF(AND(V1684="정상",OFFSET(Y1684,0,COUNTA(Y1684:AV1684)-1)&gt;=U1684),"정상",
IF(AND(V1684="정상",OFFSET(Y1684,0,COUNTA(Y1684:AV1684)-1)=0),"정상",
"계약서 미작성")))))</f>
        <v>#VALUE!</v>
      </c>
      <c r="X1684" s="81" t="str">
        <f aca="true">
IF(D1684="폐업","폐업",
IF(AND(V1684="정상",OFFSET(Y1684,0,COUNTA(Y1684:AV1684)-1)="미납"),"미납",
IF(AND(V1684="정상",OFFSET(Y1684,0,COUNTA(Y1684:AV1684)-1)=0),"납부 시작 전",
IF(AND(V1684="정상",OFFSET(Y1684,0,COUNTA(Y1684:AV1684)-1)&gt;=U1684),"정상",
IF(AND(V1684="면제",OFFSET(Y1684,0,COUNTA(Y1684:AV1684)-1)="면제"),"면제",
IF(AND(V1684="면제",OFFSET(Y1684,0,COUNTA(Y1684:AV1684)-1)=0),"면제",
"확인요청"))))))</f>
        <v>정상</v>
      </c>
      <c r="Y1684" s="93" t="n">
        <v>55000</v>
      </c>
      <c r="Z1684" s="90" t="n">
        <v>55000</v>
      </c>
      <c r="AA1684" s="90" t="n">
        <v>55000</v>
      </c>
      <c r="AB1684" s="90" t="n">
        <v>55000</v>
      </c>
      <c r="AC1684" s="90" t="n">
        <v>55000</v>
      </c>
      <c r="AD1684" s="90" t="n">
        <v>55000</v>
      </c>
      <c r="AE1684" s="90" t="n">
        <v>55000</v>
      </c>
      <c r="AF1684" s="90" t="n">
        <v>55000</v>
      </c>
      <c r="AG1684" s="90" t="n">
        <v>55000</v>
      </c>
      <c r="AH1684" s="90" t="n">
        <v>55000</v>
      </c>
      <c r="AI1684" s="90" t="n">
        <v>55000</v>
      </c>
      <c r="AJ1684" s="91" t="n">
        <v>55000</v>
      </c>
      <c r="AK1684" s="89" t="n">
        <v>55000</v>
      </c>
      <c r="AL1684" s="90" t="n">
        <v>55000</v>
      </c>
      <c r="AM1684" s="90"/>
      <c r="AN1684" s="90"/>
      <c r="AO1684" s="90"/>
      <c r="AP1684" s="90"/>
      <c r="AQ1684" s="90"/>
      <c r="AR1684" s="90"/>
      <c r="AS1684" s="90"/>
      <c r="AT1684" s="90"/>
      <c r="AU1684" s="90"/>
      <c r="AV1684" s="91"/>
      <c r="AX1684" s="92"/>
    </row>
    <row r="1685" customFormat="false" ht="15.65" hidden="false" customHeight="false" outlineLevel="0" collapsed="false">
      <c r="C1685" s="72" t="n">
        <f aca="false">COUNTIFS($D$6:D1685,"&lt;&gt;"&amp;"")</f>
        <v>1680</v>
      </c>
      <c r="D1685" s="73" t="s">
        <v>12</v>
      </c>
      <c r="E1685" s="76" t="str">
        <f aca="false">
IF($D1685="정상",INDEX(임대자산!$D$3:$R$3000,MATCH($F1685,임대자산!$I$3:$I$3000,0),MATCH(E$3,임대자산!$D$3:$R$3,0)),
IF($D1685="폐업",INDEX(폐업정보!$D$3:$R$3000,MATCH($F1685,폐업정보!$I$3:$I$3000,0),MATCH(E$3,폐업정보!$D$3:$R$3,0)),
"Error"))</f>
        <v>경기</v>
      </c>
      <c r="F168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B1680</v>
      </c>
      <c r="G1685" s="76" t="str">
        <f aca="false">F1685&amp;RANDBETWEEN(0,10)</f>
        <v>B16805</v>
      </c>
      <c r="H1685" s="75" t="n">
        <f aca="false">
IF($D1685="정상",INDEX(임대자산!$D$3:$R$3000,MATCH($F1685,임대자산!$I$3:$I$3000,0),MATCH(H$4,임대자산!$D$3:$R$3,0)),
IF($D1685="폐업",INDEX(폐업정보!$D$3:$R$3000,MATCH($F1685,폐업정보!$I$3:$I$3000,0),MATCH(H$4,폐업정보!$D$3:$R$3,0)),
"Error"))</f>
        <v>45799</v>
      </c>
      <c r="I1685" s="75" t="str">
        <f aca="false">
IF($D1685="정상",INDEX(임대자산!$D$3:$R$3000,MATCH($F1685,임대자산!$I$3:$I$3000,0),MATCH(I$4,임대자산!$D$3:$R$3,0)),
IF($D1685="폐업",INDEX(폐업정보!$D$3:$R$3000,MATCH($F1685,폐업정보!$I$3:$I$3000,0),MATCH(I$4,폐업정보!$D$3:$R$3,0)),
"Error"))</f>
        <v>A1680</v>
      </c>
      <c r="J1685" s="75" t="str">
        <f aca="false">
IF($D1685="정상",INDEX(임대자산!$D$3:$R$3000,MATCH($F1685,임대자산!$I$3:$I$3000,0),MATCH(J$4,임대자산!$D$3:$R$3,0)),
IF($D1685="폐업",INDEX(폐업정보!$D$3:$R$3000,MATCH($F1685,폐업정보!$I$3:$I$3000,0),MATCH(J$4,폐업정보!$D$3:$R$3,0)),
"Error"))</f>
        <v>1192300000</v>
      </c>
      <c r="K1685" s="75" t="str">
        <f aca="false">
IF($D1685="정상",INDEX(임대자산!$D$3:$R$3000,MATCH($F1685,임대자산!$I$3:$I$3000,0),MATCH(K$4,임대자산!$D$3:$R$3,0)),
IF($D1685="폐업",INDEX(폐업정보!$D$3:$R$3000,MATCH($F1685,폐업정보!$I$3:$I$3000,0),MATCH(K$4,폐업정보!$D$3:$R$3,0)),
"Error"))</f>
        <v>C1680</v>
      </c>
      <c r="L1685" s="75" t="str">
        <f aca="false">
IF($D1685="정상",INDEX(임대자산!$D$3:$R$3000,MATCH($F1685,임대자산!$I$3:$I$3000,0),MATCH(L$4,임대자산!$D$3:$R$3,0)),
IF($D1685="폐업",INDEX(폐업정보!$D$3:$R$3000,MATCH($F1685,폐업정보!$I$3:$I$3000,0),MATCH(L$4,폐업정보!$D$3:$R$3,0)),
"Error"))</f>
        <v>D1680</v>
      </c>
      <c r="M1685" s="76" t="s">
        <v>96</v>
      </c>
      <c r="N1685" s="77"/>
      <c r="O1685" s="78" t="s">
        <v>97</v>
      </c>
      <c r="P1685" s="79" t="n">
        <f aca="false">COUNTIFS(임대자산!$I:$I,가맹점정보!F1685,임대자산!$N:$N,가맹점정보!P$4)</f>
        <v>0</v>
      </c>
      <c r="Q1685" s="80" t="n">
        <f aca="false">COUNTIFS(임대자산!$I:$I,가맹점정보!F1685,임대자산!$N:$N,가맹점정보!Q$4)</f>
        <v>0</v>
      </c>
      <c r="R1685" s="81" t="n">
        <f aca="false">COUNTIFS(임대자산!$I:$I,가맹점정보!F1685,임대자산!$N:$N,가맹점정보!R$4)</f>
        <v>1</v>
      </c>
      <c r="S1685" s="82" t="n">
        <v>132000</v>
      </c>
      <c r="T1685" s="83" t="n">
        <v>0</v>
      </c>
      <c r="U1685" s="80" t="n">
        <f aca="false">SUM(S1685:T1685)</f>
        <v>132000</v>
      </c>
      <c r="V1685" s="84" t="s">
        <v>12</v>
      </c>
      <c r="W1685" s="80" t="e">
        <f aca="true">
IF(D1685="폐업","폐업",
IF(V1685="면제","면제",
IF(AND(V1685="정상",COUNTIFS(OFFSET(Y1685,0,COUNTA(Y1685:AV1685)-1,1,-4),"미납")&gt;=3),"장기미납",
IF(AND(V1685="정상",OFFSET(Y1685,0,COUNTA(Y1685:AV1685)-1)&gt;=U1685),"정상",
IF(AND(V1685="정상",OFFSET(Y1685,0,COUNTA(Y1685:AV1685)-1)=0),"정상",
"계약서 미작성")))))</f>
        <v>#VALUE!</v>
      </c>
      <c r="X1685" s="81" t="str">
        <f aca="true">
IF(D1685="폐업","폐업",
IF(AND(V1685="정상",OFFSET(Y1685,0,COUNTA(Y1685:AV1685)-1)="미납"),"미납",
IF(AND(V1685="정상",OFFSET(Y1685,0,COUNTA(Y1685:AV1685)-1)=0),"납부 시작 전",
IF(AND(V1685="정상",OFFSET(Y1685,0,COUNTA(Y1685:AV1685)-1)&gt;=U1685),"정상",
IF(AND(V1685="면제",OFFSET(Y1685,0,COUNTA(Y1685:AV1685)-1)="면제"),"면제",
IF(AND(V1685="면제",OFFSET(Y1685,0,COUNTA(Y1685:AV1685)-1)=0),"면제",
"확인요청"))))))</f>
        <v>미납</v>
      </c>
      <c r="Y1685" s="93" t="n">
        <v>132000</v>
      </c>
      <c r="Z1685" s="90" t="n">
        <v>132000</v>
      </c>
      <c r="AA1685" s="90" t="n">
        <v>132000</v>
      </c>
      <c r="AB1685" s="90" t="n">
        <v>132000</v>
      </c>
      <c r="AC1685" s="90" t="n">
        <v>132000</v>
      </c>
      <c r="AD1685" s="90" t="n">
        <v>132000</v>
      </c>
      <c r="AE1685" s="90" t="n">
        <v>132000</v>
      </c>
      <c r="AF1685" s="90" t="n">
        <v>132000</v>
      </c>
      <c r="AG1685" s="90" t="n">
        <v>132000</v>
      </c>
      <c r="AH1685" s="90" t="n">
        <v>132000</v>
      </c>
      <c r="AI1685" s="95" t="s">
        <v>62</v>
      </c>
      <c r="AJ1685" s="91" t="n">
        <v>132000</v>
      </c>
      <c r="AK1685" s="89" t="n">
        <v>132000</v>
      </c>
      <c r="AL1685" s="95" t="s">
        <v>62</v>
      </c>
      <c r="AM1685" s="90"/>
      <c r="AN1685" s="90"/>
      <c r="AO1685" s="90"/>
      <c r="AP1685" s="90"/>
      <c r="AQ1685" s="90"/>
      <c r="AR1685" s="90"/>
      <c r="AS1685" s="90"/>
      <c r="AT1685" s="90"/>
      <c r="AU1685" s="90"/>
      <c r="AV1685" s="91"/>
      <c r="AX1685" s="92"/>
    </row>
    <row r="1686" customFormat="false" ht="15.65" hidden="false" customHeight="false" outlineLevel="0" collapsed="false">
      <c r="C1686" s="72" t="n">
        <f aca="false">COUNTIFS($D$6:D1686,"&lt;&gt;"&amp;"")</f>
        <v>1681</v>
      </c>
      <c r="D1686" s="73" t="s">
        <v>12</v>
      </c>
      <c r="E1686" s="76" t="str">
        <f aca="false">
IF($D1686="정상",INDEX(임대자산!$D$3:$R$3000,MATCH($F1686,임대자산!$I$3:$I$3000,0),MATCH(E$3,임대자산!$D$3:$R$3,0)),
IF($D1686="폐업",INDEX(폐업정보!$D$3:$R$3000,MATCH($F1686,폐업정보!$I$3:$I$3000,0),MATCH(E$3,폐업정보!$D$3:$R$3,0)),
"Error"))</f>
        <v>경기</v>
      </c>
      <c r="F168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B1681</v>
      </c>
      <c r="G1686" s="76" t="str">
        <f aca="false">F1686&amp;RANDBETWEEN(0,10)</f>
        <v>B16810</v>
      </c>
      <c r="H1686" s="75" t="n">
        <f aca="false">
IF($D1686="정상",INDEX(임대자산!$D$3:$R$3000,MATCH($F1686,임대자산!$I$3:$I$3000,0),MATCH(H$4,임대자산!$D$3:$R$3,0)),
IF($D1686="폐업",INDEX(폐업정보!$D$3:$R$3000,MATCH($F1686,폐업정보!$I$3:$I$3000,0),MATCH(H$4,폐업정보!$D$3:$R$3,0)),
"Error"))</f>
        <v>45799</v>
      </c>
      <c r="I1686" s="75" t="str">
        <f aca="false">
IF($D1686="정상",INDEX(임대자산!$D$3:$R$3000,MATCH($F1686,임대자산!$I$3:$I$3000,0),MATCH(I$4,임대자산!$D$3:$R$3,0)),
IF($D1686="폐업",INDEX(폐업정보!$D$3:$R$3000,MATCH($F1686,폐업정보!$I$3:$I$3000,0),MATCH(I$4,폐업정보!$D$3:$R$3,0)),
"Error"))</f>
        <v>A1681</v>
      </c>
      <c r="J1686" s="75" t="str">
        <f aca="false">
IF($D1686="정상",INDEX(임대자산!$D$3:$R$3000,MATCH($F1686,임대자산!$I$3:$I$3000,0),MATCH(J$4,임대자산!$D$3:$R$3,0)),
IF($D1686="폐업",INDEX(폐업정보!$D$3:$R$3000,MATCH($F1686,폐업정보!$I$3:$I$3000,0),MATCH(J$4,폐업정보!$D$3:$R$3,0)),
"Error"))</f>
        <v>9612500000</v>
      </c>
      <c r="K1686" s="75" t="str">
        <f aca="false">
IF($D1686="정상",INDEX(임대자산!$D$3:$R$3000,MATCH($F1686,임대자산!$I$3:$I$3000,0),MATCH(K$4,임대자산!$D$3:$R$3,0)),
IF($D1686="폐업",INDEX(폐업정보!$D$3:$R$3000,MATCH($F1686,폐업정보!$I$3:$I$3000,0),MATCH(K$4,폐업정보!$D$3:$R$3,0)),
"Error"))</f>
        <v>C1681</v>
      </c>
      <c r="L1686" s="75" t="str">
        <f aca="false">
IF($D1686="정상",INDEX(임대자산!$D$3:$R$3000,MATCH($F1686,임대자산!$I$3:$I$3000,0),MATCH(L$4,임대자산!$D$3:$R$3,0)),
IF($D1686="폐업",INDEX(폐업정보!$D$3:$R$3000,MATCH($F1686,폐업정보!$I$3:$I$3000,0),MATCH(L$4,폐업정보!$D$3:$R$3,0)),
"Error"))</f>
        <v>D1681</v>
      </c>
      <c r="M1686" s="76" t="s">
        <v>96</v>
      </c>
      <c r="N1686" s="77"/>
      <c r="O1686" s="78" t="s">
        <v>97</v>
      </c>
      <c r="P1686" s="79" t="n">
        <f aca="false">COUNTIFS(임대자산!$I:$I,가맹점정보!F1686,임대자산!$N:$N,가맹점정보!P$4)</f>
        <v>0</v>
      </c>
      <c r="Q1686" s="80" t="n">
        <f aca="false">COUNTIFS(임대자산!$I:$I,가맹점정보!F1686,임대자산!$N:$N,가맹점정보!Q$4)</f>
        <v>0</v>
      </c>
      <c r="R1686" s="81" t="n">
        <f aca="false">COUNTIFS(임대자산!$I:$I,가맹점정보!F1686,임대자산!$N:$N,가맹점정보!R$4)</f>
        <v>1</v>
      </c>
      <c r="S1686" s="82" t="n">
        <v>55000</v>
      </c>
      <c r="T1686" s="83" t="n">
        <v>0</v>
      </c>
      <c r="U1686" s="80" t="n">
        <f aca="false">SUM(S1686:T1686)</f>
        <v>55000</v>
      </c>
      <c r="V1686" s="84" t="s">
        <v>12</v>
      </c>
      <c r="W1686" s="80" t="e">
        <f aca="true">
IF(D1686="폐업","폐업",
IF(V1686="면제","면제",
IF(AND(V1686="정상",COUNTIFS(OFFSET(Y1686,0,COUNTA(Y1686:AV1686)-1,1,-4),"미납")&gt;=3),"장기미납",
IF(AND(V1686="정상",OFFSET(Y1686,0,COUNTA(Y1686:AV1686)-1)&gt;=U1686),"정상",
IF(AND(V1686="정상",OFFSET(Y1686,0,COUNTA(Y1686:AV1686)-1)=0),"정상",
"계약서 미작성")))))</f>
        <v>#VALUE!</v>
      </c>
      <c r="X1686" s="81" t="str">
        <f aca="true">
IF(D1686="폐업","폐업",
IF(AND(V1686="정상",OFFSET(Y1686,0,COUNTA(Y1686:AV1686)-1)="미납"),"미납",
IF(AND(V1686="정상",OFFSET(Y1686,0,COUNTA(Y1686:AV1686)-1)=0),"납부 시작 전",
IF(AND(V1686="정상",OFFSET(Y1686,0,COUNTA(Y1686:AV1686)-1)&gt;=U1686),"정상",
IF(AND(V1686="면제",OFFSET(Y1686,0,COUNTA(Y1686:AV1686)-1)="면제"),"면제",
IF(AND(V1686="면제",OFFSET(Y1686,0,COUNTA(Y1686:AV1686)-1)=0),"면제",
"확인요청"))))))</f>
        <v>정상</v>
      </c>
      <c r="Y1686" s="93" t="n">
        <v>55000</v>
      </c>
      <c r="Z1686" s="90" t="n">
        <v>55000</v>
      </c>
      <c r="AA1686" s="90" t="n">
        <v>55000</v>
      </c>
      <c r="AB1686" s="90" t="n">
        <v>55000</v>
      </c>
      <c r="AC1686" s="90" t="n">
        <v>55000</v>
      </c>
      <c r="AD1686" s="95" t="s">
        <v>62</v>
      </c>
      <c r="AE1686" s="95" t="s">
        <v>62</v>
      </c>
      <c r="AF1686" s="95" t="s">
        <v>62</v>
      </c>
      <c r="AG1686" s="90" t="n">
        <v>55000</v>
      </c>
      <c r="AH1686" s="90" t="n">
        <v>55000</v>
      </c>
      <c r="AI1686" s="90" t="n">
        <v>55000</v>
      </c>
      <c r="AJ1686" s="91" t="n">
        <v>55000</v>
      </c>
      <c r="AK1686" s="89" t="n">
        <v>55000</v>
      </c>
      <c r="AL1686" s="90" t="n">
        <v>55000</v>
      </c>
      <c r="AM1686" s="90"/>
      <c r="AN1686" s="90"/>
      <c r="AO1686" s="90"/>
      <c r="AP1686" s="90"/>
      <c r="AQ1686" s="90"/>
      <c r="AR1686" s="90"/>
      <c r="AS1686" s="90"/>
      <c r="AT1686" s="90"/>
      <c r="AU1686" s="90"/>
      <c r="AV1686" s="91"/>
      <c r="AX1686" s="92"/>
    </row>
    <row r="1687" customFormat="false" ht="15.65" hidden="false" customHeight="false" outlineLevel="0" collapsed="false">
      <c r="C1687" s="72" t="n">
        <f aca="false">COUNTIFS($D$6:D1687,"&lt;&gt;"&amp;"")</f>
        <v>1682</v>
      </c>
      <c r="D1687" s="73" t="s">
        <v>12</v>
      </c>
      <c r="E1687" s="76" t="str">
        <f aca="false">
IF($D1687="정상",INDEX(임대자산!$D$3:$R$3000,MATCH($F1687,임대자산!$I$3:$I$3000,0),MATCH(E$3,임대자산!$D$3:$R$3,0)),
IF($D1687="폐업",INDEX(폐업정보!$D$3:$R$3000,MATCH($F1687,폐업정보!$I$3:$I$3000,0),MATCH(E$3,폐업정보!$D$3:$R$3,0)),
"Error"))</f>
        <v>강원</v>
      </c>
      <c r="F168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B1682</v>
      </c>
      <c r="G1687" s="76" t="str">
        <f aca="false">F1687&amp;RANDBETWEEN(0,10)</f>
        <v>B16826</v>
      </c>
      <c r="H1687" s="75" t="n">
        <f aca="false">
IF($D1687="정상",INDEX(임대자산!$D$3:$R$3000,MATCH($F1687,임대자산!$I$3:$I$3000,0),MATCH(H$4,임대자산!$D$3:$R$3,0)),
IF($D1687="폐업",INDEX(폐업정보!$D$3:$R$3000,MATCH($F1687,폐업정보!$I$3:$I$3000,0),MATCH(H$4,폐업정보!$D$3:$R$3,0)),
"Error"))</f>
        <v>45804</v>
      </c>
      <c r="I1687" s="75" t="str">
        <f aca="false">
IF($D1687="정상",INDEX(임대자산!$D$3:$R$3000,MATCH($F1687,임대자산!$I$3:$I$3000,0),MATCH(I$4,임대자산!$D$3:$R$3,0)),
IF($D1687="폐업",INDEX(폐업정보!$D$3:$R$3000,MATCH($F1687,폐업정보!$I$3:$I$3000,0),MATCH(I$4,폐업정보!$D$3:$R$3,0)),
"Error"))</f>
        <v>A1682</v>
      </c>
      <c r="J1687" s="75" t="str">
        <f aca="false">
IF($D1687="정상",INDEX(임대자산!$D$3:$R$3000,MATCH($F1687,임대자산!$I$3:$I$3000,0),MATCH(J$4,임대자산!$D$3:$R$3,0)),
IF($D1687="폐업",INDEX(폐업정보!$D$3:$R$3000,MATCH($F1687,폐업정보!$I$3:$I$3000,0),MATCH(J$4,폐업정보!$D$3:$R$3,0)),
"Error"))</f>
        <v>1729900000</v>
      </c>
      <c r="K1687" s="75" t="str">
        <f aca="false">
IF($D1687="정상",INDEX(임대자산!$D$3:$R$3000,MATCH($F1687,임대자산!$I$3:$I$3000,0),MATCH(K$4,임대자산!$D$3:$R$3,0)),
IF($D1687="폐업",INDEX(폐업정보!$D$3:$R$3000,MATCH($F1687,폐업정보!$I$3:$I$3000,0),MATCH(K$4,폐업정보!$D$3:$R$3,0)),
"Error"))</f>
        <v>C1682</v>
      </c>
      <c r="L1687" s="75" t="str">
        <f aca="false">
IF($D1687="정상",INDEX(임대자산!$D$3:$R$3000,MATCH($F1687,임대자산!$I$3:$I$3000,0),MATCH(L$4,임대자산!$D$3:$R$3,0)),
IF($D1687="폐업",INDEX(폐업정보!$D$3:$R$3000,MATCH($F1687,폐업정보!$I$3:$I$3000,0),MATCH(L$4,폐업정보!$D$3:$R$3,0)),
"Error"))</f>
        <v>D1682</v>
      </c>
      <c r="M1687" s="76" t="s">
        <v>96</v>
      </c>
      <c r="N1687" s="77"/>
      <c r="O1687" s="78" t="s">
        <v>97</v>
      </c>
      <c r="P1687" s="79" t="n">
        <f aca="false">COUNTIFS(임대자산!$I:$I,가맹점정보!F1687,임대자산!$N:$N,가맹점정보!P$4)</f>
        <v>0</v>
      </c>
      <c r="Q1687" s="80" t="n">
        <f aca="false">COUNTIFS(임대자산!$I:$I,가맹점정보!F1687,임대자산!$N:$N,가맹점정보!Q$4)</f>
        <v>0</v>
      </c>
      <c r="R1687" s="81" t="n">
        <f aca="false">COUNTIFS(임대자산!$I:$I,가맹점정보!F1687,임대자산!$N:$N,가맹점정보!R$4)</f>
        <v>1</v>
      </c>
      <c r="S1687" s="82" t="n">
        <v>55000</v>
      </c>
      <c r="T1687" s="83" t="n">
        <v>0</v>
      </c>
      <c r="U1687" s="80" t="n">
        <f aca="false">SUM(S1687:T1687)</f>
        <v>55000</v>
      </c>
      <c r="V1687" s="84" t="s">
        <v>7</v>
      </c>
      <c r="W1687" s="80" t="str">
        <f aca="true">
IF(D1687="폐업","폐업",
IF(V1687="면제","면제",
IF(AND(V1687="정상",COUNTIFS(OFFSET(Y1687,0,COUNTA(Y1687:AV1687)-1,1,-4),"미납")&gt;=3),"장기미납",
IF(AND(V1687="정상",OFFSET(Y1687,0,COUNTA(Y1687:AV1687)-1)&gt;=U1687),"정상",
IF(AND(V1687="정상",OFFSET(Y1687,0,COUNTA(Y1687:AV1687)-1)=0),"정상",
"계약서 미작성")))))</f>
        <v>면제</v>
      </c>
      <c r="X1687" s="81" t="str">
        <f aca="true">
IF(D1687="폐업","폐업",
IF(AND(V1687="정상",OFFSET(Y1687,0,COUNTA(Y1687:AV1687)-1)="미납"),"미납",
IF(AND(V1687="정상",OFFSET(Y1687,0,COUNTA(Y1687:AV1687)-1)=0),"납부 시작 전",
IF(AND(V1687="정상",OFFSET(Y1687,0,COUNTA(Y1687:AV1687)-1)&gt;=U1687),"정상",
IF(AND(V1687="면제",OFFSET(Y1687,0,COUNTA(Y1687:AV1687)-1)="면제"),"면제",
IF(AND(V1687="면제",OFFSET(Y1687,0,COUNTA(Y1687:AV1687)-1)=0),"면제",
"확인요청"))))))</f>
        <v>면제</v>
      </c>
      <c r="Y1687" s="94" t="s">
        <v>7</v>
      </c>
      <c r="Z1687" s="95" t="s">
        <v>7</v>
      </c>
      <c r="AA1687" s="95" t="s">
        <v>7</v>
      </c>
      <c r="AB1687" s="95" t="s">
        <v>7</v>
      </c>
      <c r="AC1687" s="95" t="s">
        <v>7</v>
      </c>
      <c r="AD1687" s="95" t="s">
        <v>7</v>
      </c>
      <c r="AE1687" s="95" t="s">
        <v>7</v>
      </c>
      <c r="AF1687" s="95" t="s">
        <v>7</v>
      </c>
      <c r="AG1687" s="95" t="s">
        <v>7</v>
      </c>
      <c r="AH1687" s="95" t="s">
        <v>7</v>
      </c>
      <c r="AI1687" s="95" t="s">
        <v>7</v>
      </c>
      <c r="AJ1687" s="96" t="s">
        <v>7</v>
      </c>
      <c r="AK1687" s="97" t="s">
        <v>7</v>
      </c>
      <c r="AL1687" s="95" t="s">
        <v>7</v>
      </c>
      <c r="AM1687" s="90"/>
      <c r="AN1687" s="90"/>
      <c r="AO1687" s="90"/>
      <c r="AP1687" s="90"/>
      <c r="AQ1687" s="90"/>
      <c r="AR1687" s="90"/>
      <c r="AS1687" s="90"/>
      <c r="AT1687" s="90"/>
      <c r="AU1687" s="90"/>
      <c r="AV1687" s="91"/>
      <c r="AX1687" s="92"/>
    </row>
    <row r="1688" customFormat="false" ht="15.65" hidden="false" customHeight="false" outlineLevel="0" collapsed="false">
      <c r="C1688" s="72" t="n">
        <f aca="false">COUNTIFS($D$6:D1688,"&lt;&gt;"&amp;"")</f>
        <v>1683</v>
      </c>
      <c r="D1688" s="73" t="s">
        <v>12</v>
      </c>
      <c r="E1688" s="76" t="str">
        <f aca="false">
IF($D1688="정상",INDEX(임대자산!$D$3:$R$3000,MATCH($F1688,임대자산!$I$3:$I$3000,0),MATCH(E$3,임대자산!$D$3:$R$3,0)),
IF($D1688="폐업",INDEX(폐업정보!$D$3:$R$3000,MATCH($F1688,폐업정보!$I$3:$I$3000,0),MATCH(E$3,폐업정보!$D$3:$R$3,0)),
"Error"))</f>
        <v>강원</v>
      </c>
      <c r="F168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B1683</v>
      </c>
      <c r="G1688" s="76" t="str">
        <f aca="false">F1688&amp;RANDBETWEEN(0,10)</f>
        <v>B16832</v>
      </c>
      <c r="H1688" s="75" t="n">
        <f aca="false">
IF($D1688="정상",INDEX(임대자산!$D$3:$R$3000,MATCH($F1688,임대자산!$I$3:$I$3000,0),MATCH(H$4,임대자산!$D$3:$R$3,0)),
IF($D1688="폐업",INDEX(폐업정보!$D$3:$R$3000,MATCH($F1688,폐업정보!$I$3:$I$3000,0),MATCH(H$4,폐업정보!$D$3:$R$3,0)),
"Error"))</f>
        <v>45804</v>
      </c>
      <c r="I1688" s="75" t="str">
        <f aca="false">
IF($D1688="정상",INDEX(임대자산!$D$3:$R$3000,MATCH($F1688,임대자산!$I$3:$I$3000,0),MATCH(I$4,임대자산!$D$3:$R$3,0)),
IF($D1688="폐업",INDEX(폐업정보!$D$3:$R$3000,MATCH($F1688,폐업정보!$I$3:$I$3000,0),MATCH(I$4,폐업정보!$D$3:$R$3,0)),
"Error"))</f>
        <v>A1683</v>
      </c>
      <c r="J1688" s="75" t="str">
        <f aca="false">
IF($D1688="정상",INDEX(임대자산!$D$3:$R$3000,MATCH($F1688,임대자산!$I$3:$I$3000,0),MATCH(J$4,임대자산!$D$3:$R$3,0)),
IF($D1688="폐업",INDEX(폐업정보!$D$3:$R$3000,MATCH($F1688,폐업정보!$I$3:$I$3000,0),MATCH(J$4,폐업정보!$D$3:$R$3,0)),
"Error"))</f>
        <v>7132200000</v>
      </c>
      <c r="K1688" s="75" t="str">
        <f aca="false">
IF($D1688="정상",INDEX(임대자산!$D$3:$R$3000,MATCH($F1688,임대자산!$I$3:$I$3000,0),MATCH(K$4,임대자산!$D$3:$R$3,0)),
IF($D1688="폐업",INDEX(폐업정보!$D$3:$R$3000,MATCH($F1688,폐업정보!$I$3:$I$3000,0),MATCH(K$4,폐업정보!$D$3:$R$3,0)),
"Error"))</f>
        <v>C1683</v>
      </c>
      <c r="L1688" s="75" t="str">
        <f aca="false">
IF($D1688="정상",INDEX(임대자산!$D$3:$R$3000,MATCH($F1688,임대자산!$I$3:$I$3000,0),MATCH(L$4,임대자산!$D$3:$R$3,0)),
IF($D1688="폐업",INDEX(폐업정보!$D$3:$R$3000,MATCH($F1688,폐업정보!$I$3:$I$3000,0),MATCH(L$4,폐업정보!$D$3:$R$3,0)),
"Error"))</f>
        <v>D1683</v>
      </c>
      <c r="M1688" s="76" t="s">
        <v>96</v>
      </c>
      <c r="N1688" s="77"/>
      <c r="O1688" s="78" t="s">
        <v>97</v>
      </c>
      <c r="P1688" s="79" t="n">
        <f aca="false">COUNTIFS(임대자산!$I:$I,가맹점정보!F1688,임대자산!$N:$N,가맹점정보!P$4)</f>
        <v>0</v>
      </c>
      <c r="Q1688" s="80" t="n">
        <f aca="false">COUNTIFS(임대자산!$I:$I,가맹점정보!F1688,임대자산!$N:$N,가맹점정보!Q$4)</f>
        <v>0</v>
      </c>
      <c r="R1688" s="81" t="n">
        <f aca="false">COUNTIFS(임대자산!$I:$I,가맹점정보!F1688,임대자산!$N:$N,가맹점정보!R$4)</f>
        <v>1</v>
      </c>
      <c r="S1688" s="82" t="n">
        <v>55000</v>
      </c>
      <c r="T1688" s="83" t="n">
        <v>0</v>
      </c>
      <c r="U1688" s="80" t="n">
        <f aca="false">SUM(S1688:T1688)</f>
        <v>55000</v>
      </c>
      <c r="V1688" s="84" t="s">
        <v>12</v>
      </c>
      <c r="W1688" s="80" t="e">
        <f aca="true">
IF(D1688="폐업","폐업",
IF(V1688="면제","면제",
IF(AND(V1688="정상",COUNTIFS(OFFSET(Y1688,0,COUNTA(Y1688:AV1688)-1,1,-4),"미납")&gt;=3),"장기미납",
IF(AND(V1688="정상",OFFSET(Y1688,0,COUNTA(Y1688:AV1688)-1)&gt;=U1688),"정상",
IF(AND(V1688="정상",OFFSET(Y1688,0,COUNTA(Y1688:AV1688)-1)=0),"정상",
"계약서 미작성")))))</f>
        <v>#VALUE!</v>
      </c>
      <c r="X1688" s="81" t="str">
        <f aca="true">
IF(D1688="폐업","폐업",
IF(AND(V1688="정상",OFFSET(Y1688,0,COUNTA(Y1688:AV1688)-1)="미납"),"미납",
IF(AND(V1688="정상",OFFSET(Y1688,0,COUNTA(Y1688:AV1688)-1)=0),"납부 시작 전",
IF(AND(V1688="정상",OFFSET(Y1688,0,COUNTA(Y1688:AV1688)-1)&gt;=U1688),"정상",
IF(AND(V1688="면제",OFFSET(Y1688,0,COUNTA(Y1688:AV1688)-1)="면제"),"면제",
IF(AND(V1688="면제",OFFSET(Y1688,0,COUNTA(Y1688:AV1688)-1)=0),"면제",
"확인요청"))))))</f>
        <v>정상</v>
      </c>
      <c r="Y1688" s="94" t="s">
        <v>7</v>
      </c>
      <c r="Z1688" s="90" t="n">
        <v>55000</v>
      </c>
      <c r="AA1688" s="90" t="n">
        <v>55000</v>
      </c>
      <c r="AB1688" s="90" t="n">
        <v>55000</v>
      </c>
      <c r="AC1688" s="90" t="n">
        <v>55000</v>
      </c>
      <c r="AD1688" s="90" t="n">
        <v>55000</v>
      </c>
      <c r="AE1688" s="90" t="n">
        <v>55000</v>
      </c>
      <c r="AF1688" s="90" t="n">
        <v>55000</v>
      </c>
      <c r="AG1688" s="90" t="n">
        <v>55000</v>
      </c>
      <c r="AH1688" s="90" t="n">
        <v>55000</v>
      </c>
      <c r="AI1688" s="90" t="n">
        <v>55000</v>
      </c>
      <c r="AJ1688" s="96" t="s">
        <v>62</v>
      </c>
      <c r="AK1688" s="89" t="n">
        <v>55000</v>
      </c>
      <c r="AL1688" s="90" t="n">
        <v>55000</v>
      </c>
      <c r="AM1688" s="90"/>
      <c r="AN1688" s="90"/>
      <c r="AO1688" s="90"/>
      <c r="AP1688" s="90"/>
      <c r="AQ1688" s="90"/>
      <c r="AR1688" s="90"/>
      <c r="AS1688" s="90"/>
      <c r="AT1688" s="90"/>
      <c r="AU1688" s="90"/>
      <c r="AV1688" s="91"/>
      <c r="AX1688" s="92"/>
    </row>
    <row r="1689" customFormat="false" ht="15.65" hidden="false" customHeight="false" outlineLevel="0" collapsed="false">
      <c r="C1689" s="72" t="n">
        <f aca="false">COUNTIFS($D$6:D1689,"&lt;&gt;"&amp;"")</f>
        <v>1684</v>
      </c>
      <c r="D1689" s="73" t="s">
        <v>12</v>
      </c>
      <c r="E1689" s="76" t="str">
        <f aca="false">
IF($D1689="정상",INDEX(임대자산!$D$3:$R$3000,MATCH($F1689,임대자산!$I$3:$I$3000,0),MATCH(E$3,임대자산!$D$3:$R$3,0)),
IF($D1689="폐업",INDEX(폐업정보!$D$3:$R$3000,MATCH($F1689,폐업정보!$I$3:$I$3000,0),MATCH(E$3,폐업정보!$D$3:$R$3,0)),
"Error"))</f>
        <v>서울</v>
      </c>
      <c r="F168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B1684</v>
      </c>
      <c r="G1689" s="76" t="str">
        <f aca="false">F1689&amp;RANDBETWEEN(0,10)</f>
        <v>B16847</v>
      </c>
      <c r="H1689" s="75" t="n">
        <f aca="false">
IF($D1689="정상",INDEX(임대자산!$D$3:$R$3000,MATCH($F1689,임대자산!$I$3:$I$3000,0),MATCH(H$4,임대자산!$D$3:$R$3,0)),
IF($D1689="폐업",INDEX(폐업정보!$D$3:$R$3000,MATCH($F1689,폐업정보!$I$3:$I$3000,0),MATCH(H$4,폐업정보!$D$3:$R$3,0)),
"Error"))</f>
        <v>45804</v>
      </c>
      <c r="I1689" s="75" t="str">
        <f aca="false">
IF($D1689="정상",INDEX(임대자산!$D$3:$R$3000,MATCH($F1689,임대자산!$I$3:$I$3000,0),MATCH(I$4,임대자산!$D$3:$R$3,0)),
IF($D1689="폐업",INDEX(폐업정보!$D$3:$R$3000,MATCH($F1689,폐업정보!$I$3:$I$3000,0),MATCH(I$4,폐업정보!$D$3:$R$3,0)),
"Error"))</f>
        <v>A1684</v>
      </c>
      <c r="J1689" s="75" t="str">
        <f aca="false">
IF($D1689="정상",INDEX(임대자산!$D$3:$R$3000,MATCH($F1689,임대자산!$I$3:$I$3000,0),MATCH(J$4,임대자산!$D$3:$R$3,0)),
IF($D1689="폐업",INDEX(폐업정보!$D$3:$R$3000,MATCH($F1689,폐업정보!$I$3:$I$3000,0),MATCH(J$4,폐업정보!$D$3:$R$3,0)),
"Error"))</f>
        <v>7485100000</v>
      </c>
      <c r="K1689" s="75" t="str">
        <f aca="false">
IF($D1689="정상",INDEX(임대자산!$D$3:$R$3000,MATCH($F1689,임대자산!$I$3:$I$3000,0),MATCH(K$4,임대자산!$D$3:$R$3,0)),
IF($D1689="폐업",INDEX(폐업정보!$D$3:$R$3000,MATCH($F1689,폐업정보!$I$3:$I$3000,0),MATCH(K$4,폐업정보!$D$3:$R$3,0)),
"Error"))</f>
        <v>C1684</v>
      </c>
      <c r="L1689" s="75" t="str">
        <f aca="false">
IF($D1689="정상",INDEX(임대자산!$D$3:$R$3000,MATCH($F1689,임대자산!$I$3:$I$3000,0),MATCH(L$4,임대자산!$D$3:$R$3,0)),
IF($D1689="폐업",INDEX(폐업정보!$D$3:$R$3000,MATCH($F1689,폐업정보!$I$3:$I$3000,0),MATCH(L$4,폐업정보!$D$3:$R$3,0)),
"Error"))</f>
        <v>D1684</v>
      </c>
      <c r="M1689" s="76" t="s">
        <v>96</v>
      </c>
      <c r="N1689" s="77"/>
      <c r="O1689" s="78" t="s">
        <v>97</v>
      </c>
      <c r="P1689" s="79" t="n">
        <f aca="false">COUNTIFS(임대자산!$I:$I,가맹점정보!F1689,임대자산!$N:$N,가맹점정보!P$4)</f>
        <v>0</v>
      </c>
      <c r="Q1689" s="80" t="n">
        <f aca="false">COUNTIFS(임대자산!$I:$I,가맹점정보!F1689,임대자산!$N:$N,가맹점정보!Q$4)</f>
        <v>0</v>
      </c>
      <c r="R1689" s="81" t="n">
        <f aca="false">COUNTIFS(임대자산!$I:$I,가맹점정보!F1689,임대자산!$N:$N,가맹점정보!R$4)</f>
        <v>1</v>
      </c>
      <c r="S1689" s="82" t="n">
        <v>55000</v>
      </c>
      <c r="T1689" s="83" t="n">
        <v>0</v>
      </c>
      <c r="U1689" s="80" t="n">
        <f aca="false">SUM(S1689:T1689)</f>
        <v>55000</v>
      </c>
      <c r="V1689" s="84" t="s">
        <v>12</v>
      </c>
      <c r="W1689" s="80" t="e">
        <f aca="true">
IF(D1689="폐업","폐업",
IF(V1689="면제","면제",
IF(AND(V1689="정상",COUNTIFS(OFFSET(Y1689,0,COUNTA(Y1689:AV1689)-1,1,-4),"미납")&gt;=3),"장기미납",
IF(AND(V1689="정상",OFFSET(Y1689,0,COUNTA(Y1689:AV1689)-1)&gt;=U1689),"정상",
IF(AND(V1689="정상",OFFSET(Y1689,0,COUNTA(Y1689:AV1689)-1)=0),"정상",
"계약서 미작성")))))</f>
        <v>#VALUE!</v>
      </c>
      <c r="X1689" s="81" t="str">
        <f aca="true">
IF(D1689="폐업","폐업",
IF(AND(V1689="정상",OFFSET(Y1689,0,COUNTA(Y1689:AV1689)-1)="미납"),"미납",
IF(AND(V1689="정상",OFFSET(Y1689,0,COUNTA(Y1689:AV1689)-1)=0),"납부 시작 전",
IF(AND(V1689="정상",OFFSET(Y1689,0,COUNTA(Y1689:AV1689)-1)&gt;=U1689),"정상",
IF(AND(V1689="면제",OFFSET(Y1689,0,COUNTA(Y1689:AV1689)-1)="면제"),"면제",
IF(AND(V1689="면제",OFFSET(Y1689,0,COUNTA(Y1689:AV1689)-1)=0),"면제",
"확인요청"))))))</f>
        <v>정상</v>
      </c>
      <c r="Y1689" s="93" t="n">
        <v>55000</v>
      </c>
      <c r="Z1689" s="90" t="n">
        <v>55000</v>
      </c>
      <c r="AA1689" s="90" t="n">
        <v>55000</v>
      </c>
      <c r="AB1689" s="90" t="n">
        <v>55000</v>
      </c>
      <c r="AC1689" s="90" t="n">
        <v>55000</v>
      </c>
      <c r="AD1689" s="90" t="n">
        <v>55000</v>
      </c>
      <c r="AE1689" s="90" t="n">
        <v>55000</v>
      </c>
      <c r="AF1689" s="90" t="n">
        <v>55000</v>
      </c>
      <c r="AG1689" s="90" t="n">
        <v>55000</v>
      </c>
      <c r="AH1689" s="90" t="n">
        <v>55000</v>
      </c>
      <c r="AI1689" s="90" t="n">
        <v>55000</v>
      </c>
      <c r="AJ1689" s="91" t="n">
        <v>55000</v>
      </c>
      <c r="AK1689" s="89" t="n">
        <v>55000</v>
      </c>
      <c r="AL1689" s="90" t="n">
        <v>55000</v>
      </c>
      <c r="AM1689" s="90"/>
      <c r="AN1689" s="90"/>
      <c r="AO1689" s="90"/>
      <c r="AP1689" s="90"/>
      <c r="AQ1689" s="90"/>
      <c r="AR1689" s="90"/>
      <c r="AS1689" s="90"/>
      <c r="AT1689" s="90"/>
      <c r="AU1689" s="90"/>
      <c r="AV1689" s="91"/>
      <c r="AX1689" s="92"/>
    </row>
    <row r="1690" customFormat="false" ht="15.65" hidden="false" customHeight="false" outlineLevel="0" collapsed="false">
      <c r="C1690" s="72" t="n">
        <f aca="false">COUNTIFS($D$6:D1690,"&lt;&gt;"&amp;"")</f>
        <v>1685</v>
      </c>
      <c r="D1690" s="73" t="s">
        <v>12</v>
      </c>
      <c r="E1690" s="76" t="str">
        <f aca="false">
IF($D1690="정상",INDEX(임대자산!$D$3:$R$3000,MATCH($F1690,임대자산!$I$3:$I$3000,0),MATCH(E$3,임대자산!$D$3:$R$3,0)),
IF($D1690="폐업",INDEX(폐업정보!$D$3:$R$3000,MATCH($F1690,폐업정보!$I$3:$I$3000,0),MATCH(E$3,폐업정보!$D$3:$R$3,0)),
"Error"))</f>
        <v>서울</v>
      </c>
      <c r="F169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B1685</v>
      </c>
      <c r="G1690" s="76" t="str">
        <f aca="false">F1690&amp;RANDBETWEEN(0,10)</f>
        <v>B16857</v>
      </c>
      <c r="H1690" s="75" t="n">
        <f aca="false">
IF($D1690="정상",INDEX(임대자산!$D$3:$R$3000,MATCH($F1690,임대자산!$I$3:$I$3000,0),MATCH(H$4,임대자산!$D$3:$R$3,0)),
IF($D1690="폐업",INDEX(폐업정보!$D$3:$R$3000,MATCH($F1690,폐업정보!$I$3:$I$3000,0),MATCH(H$4,폐업정보!$D$3:$R$3,0)),
"Error"))</f>
        <v>45803</v>
      </c>
      <c r="I1690" s="75" t="str">
        <f aca="false">
IF($D1690="정상",INDEX(임대자산!$D$3:$R$3000,MATCH($F1690,임대자산!$I$3:$I$3000,0),MATCH(I$4,임대자산!$D$3:$R$3,0)),
IF($D1690="폐업",INDEX(폐업정보!$D$3:$R$3000,MATCH($F1690,폐업정보!$I$3:$I$3000,0),MATCH(I$4,폐업정보!$D$3:$R$3,0)),
"Error"))</f>
        <v>A1685</v>
      </c>
      <c r="J1690" s="75" t="str">
        <f aca="false">
IF($D1690="정상",INDEX(임대자산!$D$3:$R$3000,MATCH($F1690,임대자산!$I$3:$I$3000,0),MATCH(J$4,임대자산!$D$3:$R$3,0)),
IF($D1690="폐업",INDEX(폐업정보!$D$3:$R$3000,MATCH($F1690,폐업정보!$I$3:$I$3000,0),MATCH(J$4,폐업정보!$D$3:$R$3,0)),
"Error"))</f>
        <v>9517800000</v>
      </c>
      <c r="K1690" s="75" t="str">
        <f aca="false">
IF($D1690="정상",INDEX(임대자산!$D$3:$R$3000,MATCH($F1690,임대자산!$I$3:$I$3000,0),MATCH(K$4,임대자산!$D$3:$R$3,0)),
IF($D1690="폐업",INDEX(폐업정보!$D$3:$R$3000,MATCH($F1690,폐업정보!$I$3:$I$3000,0),MATCH(K$4,폐업정보!$D$3:$R$3,0)),
"Error"))</f>
        <v>C1685</v>
      </c>
      <c r="L1690" s="75" t="str">
        <f aca="false">
IF($D1690="정상",INDEX(임대자산!$D$3:$R$3000,MATCH($F1690,임대자산!$I$3:$I$3000,0),MATCH(L$4,임대자산!$D$3:$R$3,0)),
IF($D1690="폐업",INDEX(폐업정보!$D$3:$R$3000,MATCH($F1690,폐업정보!$I$3:$I$3000,0),MATCH(L$4,폐업정보!$D$3:$R$3,0)),
"Error"))</f>
        <v>D1685</v>
      </c>
      <c r="M1690" s="76" t="s">
        <v>96</v>
      </c>
      <c r="N1690" s="77"/>
      <c r="O1690" s="78" t="s">
        <v>97</v>
      </c>
      <c r="P1690" s="79" t="n">
        <f aca="false">COUNTIFS(임대자산!$I:$I,가맹점정보!F1690,임대자산!$N:$N,가맹점정보!P$4)</f>
        <v>0</v>
      </c>
      <c r="Q1690" s="80" t="n">
        <f aca="false">COUNTIFS(임대자산!$I:$I,가맹점정보!F1690,임대자산!$N:$N,가맹점정보!Q$4)</f>
        <v>0</v>
      </c>
      <c r="R1690" s="81" t="n">
        <f aca="false">COUNTIFS(임대자산!$I:$I,가맹점정보!F1690,임대자산!$N:$N,가맹점정보!R$4)</f>
        <v>1</v>
      </c>
      <c r="S1690" s="82" t="n">
        <v>55000</v>
      </c>
      <c r="T1690" s="83" t="n">
        <v>0</v>
      </c>
      <c r="U1690" s="80" t="n">
        <f aca="false">SUM(S1690:T1690)</f>
        <v>55000</v>
      </c>
      <c r="V1690" s="84" t="s">
        <v>7</v>
      </c>
      <c r="W1690" s="80" t="str">
        <f aca="true">
IF(D1690="폐업","폐업",
IF(V1690="면제","면제",
IF(AND(V1690="정상",COUNTIFS(OFFSET(Y1690,0,COUNTA(Y1690:AV1690)-1,1,-4),"미납")&gt;=3),"장기미납",
IF(AND(V1690="정상",OFFSET(Y1690,0,COUNTA(Y1690:AV1690)-1)&gt;=U1690),"정상",
IF(AND(V1690="정상",OFFSET(Y1690,0,COUNTA(Y1690:AV1690)-1)=0),"정상",
"계약서 미작성")))))</f>
        <v>면제</v>
      </c>
      <c r="X1690" s="81" t="str">
        <f aca="true">
IF(D1690="폐업","폐업",
IF(AND(V1690="정상",OFFSET(Y1690,0,COUNTA(Y1690:AV1690)-1)="미납"),"미납",
IF(AND(V1690="정상",OFFSET(Y1690,0,COUNTA(Y1690:AV1690)-1)=0),"납부 시작 전",
IF(AND(V1690="정상",OFFSET(Y1690,0,COUNTA(Y1690:AV1690)-1)&gt;=U1690),"정상",
IF(AND(V1690="면제",OFFSET(Y1690,0,COUNTA(Y1690:AV1690)-1)="면제"),"면제",
IF(AND(V1690="면제",OFFSET(Y1690,0,COUNTA(Y1690:AV1690)-1)=0),"면제",
"확인요청"))))))</f>
        <v>면제</v>
      </c>
      <c r="Y1690" s="94" t="s">
        <v>7</v>
      </c>
      <c r="Z1690" s="95" t="s">
        <v>7</v>
      </c>
      <c r="AA1690" s="95" t="s">
        <v>7</v>
      </c>
      <c r="AB1690" s="95" t="s">
        <v>7</v>
      </c>
      <c r="AC1690" s="95" t="s">
        <v>7</v>
      </c>
      <c r="AD1690" s="95" t="s">
        <v>7</v>
      </c>
      <c r="AE1690" s="95" t="s">
        <v>7</v>
      </c>
      <c r="AF1690" s="95" t="s">
        <v>7</v>
      </c>
      <c r="AG1690" s="95" t="s">
        <v>7</v>
      </c>
      <c r="AH1690" s="95" t="s">
        <v>7</v>
      </c>
      <c r="AI1690" s="95" t="s">
        <v>7</v>
      </c>
      <c r="AJ1690" s="96" t="s">
        <v>7</v>
      </c>
      <c r="AK1690" s="97" t="s">
        <v>7</v>
      </c>
      <c r="AL1690" s="95" t="s">
        <v>7</v>
      </c>
      <c r="AM1690" s="90"/>
      <c r="AN1690" s="90"/>
      <c r="AO1690" s="90"/>
      <c r="AP1690" s="90"/>
      <c r="AQ1690" s="90"/>
      <c r="AR1690" s="90"/>
      <c r="AS1690" s="90"/>
      <c r="AT1690" s="90"/>
      <c r="AU1690" s="90"/>
      <c r="AV1690" s="91"/>
      <c r="AX1690" s="92"/>
    </row>
    <row r="1691" customFormat="false" ht="15.65" hidden="false" customHeight="false" outlineLevel="0" collapsed="false">
      <c r="C1691" s="72" t="n">
        <f aca="false">COUNTIFS($D$6:D1691,"&lt;&gt;"&amp;"")</f>
        <v>1686</v>
      </c>
      <c r="D1691" s="73" t="s">
        <v>12</v>
      </c>
      <c r="E1691" s="76" t="str">
        <f aca="false">
IF($D1691="정상",INDEX(임대자산!$D$3:$R$3000,MATCH($F1691,임대자산!$I$3:$I$3000,0),MATCH(E$3,임대자산!$D$3:$R$3,0)),
IF($D1691="폐업",INDEX(폐업정보!$D$3:$R$3000,MATCH($F1691,폐업정보!$I$3:$I$3000,0),MATCH(E$3,폐업정보!$D$3:$R$3,0)),
"Error"))</f>
        <v>서울</v>
      </c>
      <c r="F169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B1686</v>
      </c>
      <c r="G1691" s="76" t="str">
        <f aca="false">F1691&amp;RANDBETWEEN(0,10)</f>
        <v>B16867</v>
      </c>
      <c r="H1691" s="75" t="n">
        <f aca="false">
IF($D1691="정상",INDEX(임대자산!$D$3:$R$3000,MATCH($F1691,임대자산!$I$3:$I$3000,0),MATCH(H$4,임대자산!$D$3:$R$3,0)),
IF($D1691="폐업",INDEX(폐업정보!$D$3:$R$3000,MATCH($F1691,폐업정보!$I$3:$I$3000,0),MATCH(H$4,폐업정보!$D$3:$R$3,0)),
"Error"))</f>
        <v>45803</v>
      </c>
      <c r="I1691" s="75" t="str">
        <f aca="false">
IF($D1691="정상",INDEX(임대자산!$D$3:$R$3000,MATCH($F1691,임대자산!$I$3:$I$3000,0),MATCH(I$4,임대자산!$D$3:$R$3,0)),
IF($D1691="폐업",INDEX(폐업정보!$D$3:$R$3000,MATCH($F1691,폐업정보!$I$3:$I$3000,0),MATCH(I$4,폐업정보!$D$3:$R$3,0)),
"Error"))</f>
        <v>A1686</v>
      </c>
      <c r="J1691" s="75" t="str">
        <f aca="false">
IF($D1691="정상",INDEX(임대자산!$D$3:$R$3000,MATCH($F1691,임대자산!$I$3:$I$3000,0),MATCH(J$4,임대자산!$D$3:$R$3,0)),
IF($D1691="폐업",INDEX(폐업정보!$D$3:$R$3000,MATCH($F1691,폐업정보!$I$3:$I$3000,0),MATCH(J$4,폐업정보!$D$3:$R$3,0)),
"Error"))</f>
        <v>2916700000</v>
      </c>
      <c r="K1691" s="75" t="str">
        <f aca="false">
IF($D1691="정상",INDEX(임대자산!$D$3:$R$3000,MATCH($F1691,임대자산!$I$3:$I$3000,0),MATCH(K$4,임대자산!$D$3:$R$3,0)),
IF($D1691="폐업",INDEX(폐업정보!$D$3:$R$3000,MATCH($F1691,폐업정보!$I$3:$I$3000,0),MATCH(K$4,폐업정보!$D$3:$R$3,0)),
"Error"))</f>
        <v>C1686</v>
      </c>
      <c r="L1691" s="75" t="str">
        <f aca="false">
IF($D1691="정상",INDEX(임대자산!$D$3:$R$3000,MATCH($F1691,임대자산!$I$3:$I$3000,0),MATCH(L$4,임대자산!$D$3:$R$3,0)),
IF($D1691="폐업",INDEX(폐업정보!$D$3:$R$3000,MATCH($F1691,폐업정보!$I$3:$I$3000,0),MATCH(L$4,폐업정보!$D$3:$R$3,0)),
"Error"))</f>
        <v>D1686</v>
      </c>
      <c r="M1691" s="76" t="s">
        <v>96</v>
      </c>
      <c r="N1691" s="77"/>
      <c r="O1691" s="78" t="s">
        <v>97</v>
      </c>
      <c r="P1691" s="79" t="n">
        <f aca="false">COUNTIFS(임대자산!$I:$I,가맹점정보!F1691,임대자산!$N:$N,가맹점정보!P$4)</f>
        <v>0</v>
      </c>
      <c r="Q1691" s="80" t="n">
        <f aca="false">COUNTIFS(임대자산!$I:$I,가맹점정보!F1691,임대자산!$N:$N,가맹점정보!Q$4)</f>
        <v>0</v>
      </c>
      <c r="R1691" s="81" t="n">
        <f aca="false">COUNTIFS(임대자산!$I:$I,가맹점정보!F1691,임대자산!$N:$N,가맹점정보!R$4)</f>
        <v>1</v>
      </c>
      <c r="S1691" s="82" t="n">
        <v>55000</v>
      </c>
      <c r="T1691" s="83" t="n">
        <v>0</v>
      </c>
      <c r="U1691" s="80" t="n">
        <f aca="false">SUM(S1691:T1691)</f>
        <v>55000</v>
      </c>
      <c r="V1691" s="84" t="s">
        <v>12</v>
      </c>
      <c r="W1691" s="80" t="e">
        <f aca="true">
IF(D1691="폐업","폐업",
IF(V1691="면제","면제",
IF(AND(V1691="정상",COUNTIFS(OFFSET(Y1691,0,COUNTA(Y1691:AV1691)-1,1,-4),"미납")&gt;=3),"장기미납",
IF(AND(V1691="정상",OFFSET(Y1691,0,COUNTA(Y1691:AV1691)-1)&gt;=U1691),"정상",
IF(AND(V1691="정상",OFFSET(Y1691,0,COUNTA(Y1691:AV1691)-1)=0),"정상",
"계약서 미작성")))))</f>
        <v>#VALUE!</v>
      </c>
      <c r="X1691" s="81" t="str">
        <f aca="true">
IF(D1691="폐업","폐업",
IF(AND(V1691="정상",OFFSET(Y1691,0,COUNTA(Y1691:AV1691)-1)="미납"),"미납",
IF(AND(V1691="정상",OFFSET(Y1691,0,COUNTA(Y1691:AV1691)-1)=0),"납부 시작 전",
IF(AND(V1691="정상",OFFSET(Y1691,0,COUNTA(Y1691:AV1691)-1)&gt;=U1691),"정상",
IF(AND(V1691="면제",OFFSET(Y1691,0,COUNTA(Y1691:AV1691)-1)="면제"),"면제",
IF(AND(V1691="면제",OFFSET(Y1691,0,COUNTA(Y1691:AV1691)-1)=0),"면제",
"확인요청"))))))</f>
        <v>정상</v>
      </c>
      <c r="Y1691" s="93" t="n">
        <v>55000</v>
      </c>
      <c r="Z1691" s="90" t="n">
        <v>55000</v>
      </c>
      <c r="AA1691" s="90" t="n">
        <v>55000</v>
      </c>
      <c r="AB1691" s="90" t="n">
        <v>55000</v>
      </c>
      <c r="AC1691" s="90" t="n">
        <v>55000</v>
      </c>
      <c r="AD1691" s="90" t="n">
        <v>55000</v>
      </c>
      <c r="AE1691" s="90" t="n">
        <v>55000</v>
      </c>
      <c r="AF1691" s="90" t="n">
        <v>55000</v>
      </c>
      <c r="AG1691" s="90" t="n">
        <v>55000</v>
      </c>
      <c r="AH1691" s="90" t="n">
        <v>55000</v>
      </c>
      <c r="AI1691" s="90" t="n">
        <v>55000</v>
      </c>
      <c r="AJ1691" s="91" t="n">
        <v>55000</v>
      </c>
      <c r="AK1691" s="89" t="n">
        <v>55000</v>
      </c>
      <c r="AL1691" s="90" t="n">
        <v>55000</v>
      </c>
      <c r="AM1691" s="90"/>
      <c r="AN1691" s="90"/>
      <c r="AO1691" s="90"/>
      <c r="AP1691" s="90"/>
      <c r="AQ1691" s="90"/>
      <c r="AR1691" s="90"/>
      <c r="AS1691" s="90"/>
      <c r="AT1691" s="90"/>
      <c r="AU1691" s="90"/>
      <c r="AV1691" s="91"/>
      <c r="AX1691" s="92"/>
    </row>
    <row r="1692" customFormat="false" ht="15.65" hidden="false" customHeight="false" outlineLevel="0" collapsed="false">
      <c r="C1692" s="72" t="n">
        <f aca="false">COUNTIFS($D$6:D1692,"&lt;&gt;"&amp;"")</f>
        <v>1687</v>
      </c>
      <c r="D1692" s="73" t="s">
        <v>12</v>
      </c>
      <c r="E1692" s="76" t="str">
        <f aca="false">
IF($D1692="정상",INDEX(임대자산!$D$3:$R$3000,MATCH($F1692,임대자산!$I$3:$I$3000,0),MATCH(E$3,임대자산!$D$3:$R$3,0)),
IF($D1692="폐업",INDEX(폐업정보!$D$3:$R$3000,MATCH($F1692,폐업정보!$I$3:$I$3000,0),MATCH(E$3,폐업정보!$D$3:$R$3,0)),
"Error"))</f>
        <v>서울</v>
      </c>
      <c r="F169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B1687</v>
      </c>
      <c r="G1692" s="76" t="str">
        <f aca="false">F1692&amp;RANDBETWEEN(0,10)</f>
        <v>B16877</v>
      </c>
      <c r="H1692" s="75" t="n">
        <f aca="false">
IF($D1692="정상",INDEX(임대자산!$D$3:$R$3000,MATCH($F1692,임대자산!$I$3:$I$3000,0),MATCH(H$4,임대자산!$D$3:$R$3,0)),
IF($D1692="폐업",INDEX(폐업정보!$D$3:$R$3000,MATCH($F1692,폐업정보!$I$3:$I$3000,0),MATCH(H$4,폐업정보!$D$3:$R$3,0)),
"Error"))</f>
        <v>45805</v>
      </c>
      <c r="I1692" s="75" t="str">
        <f aca="false">
IF($D1692="정상",INDEX(임대자산!$D$3:$R$3000,MATCH($F1692,임대자산!$I$3:$I$3000,0),MATCH(I$4,임대자산!$D$3:$R$3,0)),
IF($D1692="폐업",INDEX(폐업정보!$D$3:$R$3000,MATCH($F1692,폐업정보!$I$3:$I$3000,0),MATCH(I$4,폐업정보!$D$3:$R$3,0)),
"Error"))</f>
        <v>A1687</v>
      </c>
      <c r="J1692" s="75" t="str">
        <f aca="false">
IF($D1692="정상",INDEX(임대자산!$D$3:$R$3000,MATCH($F1692,임대자산!$I$3:$I$3000,0),MATCH(J$4,임대자산!$D$3:$R$3,0)),
IF($D1692="폐업",INDEX(폐업정보!$D$3:$R$3000,MATCH($F1692,폐업정보!$I$3:$I$3000,0),MATCH(J$4,폐업정보!$D$3:$R$3,0)),
"Error"))</f>
        <v>6839600000</v>
      </c>
      <c r="K1692" s="75" t="str">
        <f aca="false">
IF($D1692="정상",INDEX(임대자산!$D$3:$R$3000,MATCH($F1692,임대자산!$I$3:$I$3000,0),MATCH(K$4,임대자산!$D$3:$R$3,0)),
IF($D1692="폐업",INDEX(폐업정보!$D$3:$R$3000,MATCH($F1692,폐업정보!$I$3:$I$3000,0),MATCH(K$4,폐업정보!$D$3:$R$3,0)),
"Error"))</f>
        <v>C1687</v>
      </c>
      <c r="L1692" s="75" t="str">
        <f aca="false">
IF($D1692="정상",INDEX(임대자산!$D$3:$R$3000,MATCH($F1692,임대자산!$I$3:$I$3000,0),MATCH(L$4,임대자산!$D$3:$R$3,0)),
IF($D1692="폐업",INDEX(폐업정보!$D$3:$R$3000,MATCH($F1692,폐업정보!$I$3:$I$3000,0),MATCH(L$4,폐업정보!$D$3:$R$3,0)),
"Error"))</f>
        <v>D1687</v>
      </c>
      <c r="M1692" s="76" t="s">
        <v>96</v>
      </c>
      <c r="N1692" s="77"/>
      <c r="O1692" s="78" t="s">
        <v>97</v>
      </c>
      <c r="P1692" s="79" t="n">
        <f aca="false">COUNTIFS(임대자산!$I:$I,가맹점정보!F1692,임대자산!$N:$N,가맹점정보!P$4)</f>
        <v>0</v>
      </c>
      <c r="Q1692" s="80" t="n">
        <f aca="false">COUNTIFS(임대자산!$I:$I,가맹점정보!F1692,임대자산!$N:$N,가맹점정보!Q$4)</f>
        <v>0</v>
      </c>
      <c r="R1692" s="81" t="n">
        <f aca="false">COUNTIFS(임대자산!$I:$I,가맹점정보!F1692,임대자산!$N:$N,가맹점정보!R$4)</f>
        <v>1</v>
      </c>
      <c r="S1692" s="82" t="n">
        <v>55000</v>
      </c>
      <c r="T1692" s="83" t="n">
        <v>0</v>
      </c>
      <c r="U1692" s="80" t="n">
        <f aca="false">SUM(S1692:T1692)</f>
        <v>55000</v>
      </c>
      <c r="V1692" s="84" t="s">
        <v>12</v>
      </c>
      <c r="W1692" s="80" t="e">
        <f aca="true">
IF(D1692="폐업","폐업",
IF(V1692="면제","면제",
IF(AND(V1692="정상",COUNTIFS(OFFSET(Y1692,0,COUNTA(Y1692:AV1692)-1,1,-4),"미납")&gt;=3),"장기미납",
IF(AND(V1692="정상",OFFSET(Y1692,0,COUNTA(Y1692:AV1692)-1)&gt;=U1692),"정상",
IF(AND(V1692="정상",OFFSET(Y1692,0,COUNTA(Y1692:AV1692)-1)=0),"정상",
"계약서 미작성")))))</f>
        <v>#VALUE!</v>
      </c>
      <c r="X1692" s="81" t="str">
        <f aca="true">
IF(D1692="폐업","폐업",
IF(AND(V1692="정상",OFFSET(Y1692,0,COUNTA(Y1692:AV1692)-1)="미납"),"미납",
IF(AND(V1692="정상",OFFSET(Y1692,0,COUNTA(Y1692:AV1692)-1)=0),"납부 시작 전",
IF(AND(V1692="정상",OFFSET(Y1692,0,COUNTA(Y1692:AV1692)-1)&gt;=U1692),"정상",
IF(AND(V1692="면제",OFFSET(Y1692,0,COUNTA(Y1692:AV1692)-1)="면제"),"면제",
IF(AND(V1692="면제",OFFSET(Y1692,0,COUNTA(Y1692:AV1692)-1)=0),"면제",
"확인요청"))))))</f>
        <v>정상</v>
      </c>
      <c r="Y1692" s="93" t="n">
        <v>55000</v>
      </c>
      <c r="Z1692" s="90" t="n">
        <v>55000</v>
      </c>
      <c r="AA1692" s="90" t="n">
        <v>55000</v>
      </c>
      <c r="AB1692" s="90" t="n">
        <v>55000</v>
      </c>
      <c r="AC1692" s="90" t="n">
        <v>55000</v>
      </c>
      <c r="AD1692" s="90" t="n">
        <v>55000</v>
      </c>
      <c r="AE1692" s="90" t="n">
        <v>55000</v>
      </c>
      <c r="AF1692" s="90" t="n">
        <v>55000</v>
      </c>
      <c r="AG1692" s="90" t="n">
        <v>55000</v>
      </c>
      <c r="AH1692" s="90" t="n">
        <v>55000</v>
      </c>
      <c r="AI1692" s="90" t="n">
        <v>55000</v>
      </c>
      <c r="AJ1692" s="91" t="n">
        <v>55000</v>
      </c>
      <c r="AK1692" s="89" t="n">
        <v>55000</v>
      </c>
      <c r="AL1692" s="90" t="n">
        <v>55000</v>
      </c>
      <c r="AM1692" s="90"/>
      <c r="AN1692" s="90"/>
      <c r="AO1692" s="90"/>
      <c r="AP1692" s="90"/>
      <c r="AQ1692" s="90"/>
      <c r="AR1692" s="90"/>
      <c r="AS1692" s="90"/>
      <c r="AT1692" s="90"/>
      <c r="AU1692" s="90"/>
      <c r="AV1692" s="91"/>
      <c r="AX1692" s="92"/>
    </row>
    <row r="1693" customFormat="false" ht="15.65" hidden="false" customHeight="false" outlineLevel="0" collapsed="false">
      <c r="C1693" s="72" t="n">
        <f aca="false">COUNTIFS($D$6:D1693,"&lt;&gt;"&amp;"")</f>
        <v>1688</v>
      </c>
      <c r="D1693" s="73" t="s">
        <v>12</v>
      </c>
      <c r="E1693" s="76" t="str">
        <f aca="false">
IF($D1693="정상",INDEX(임대자산!$D$3:$R$3000,MATCH($F1693,임대자산!$I$3:$I$3000,0),MATCH(E$3,임대자산!$D$3:$R$3,0)),
IF($D1693="폐업",INDEX(폐업정보!$D$3:$R$3000,MATCH($F1693,폐업정보!$I$3:$I$3000,0),MATCH(E$3,폐업정보!$D$3:$R$3,0)),
"Error"))</f>
        <v>서울</v>
      </c>
      <c r="F169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B1688</v>
      </c>
      <c r="G1693" s="76" t="str">
        <f aca="false">F1693&amp;RANDBETWEEN(0,10)</f>
        <v>B16889</v>
      </c>
      <c r="H1693" s="75" t="n">
        <f aca="false">
IF($D1693="정상",INDEX(임대자산!$D$3:$R$3000,MATCH($F1693,임대자산!$I$3:$I$3000,0),MATCH(H$4,임대자산!$D$3:$R$3,0)),
IF($D1693="폐업",INDEX(폐업정보!$D$3:$R$3000,MATCH($F1693,폐업정보!$I$3:$I$3000,0),MATCH(H$4,폐업정보!$D$3:$R$3,0)),
"Error"))</f>
        <v>45805</v>
      </c>
      <c r="I1693" s="75" t="str">
        <f aca="false">
IF($D1693="정상",INDEX(임대자산!$D$3:$R$3000,MATCH($F1693,임대자산!$I$3:$I$3000,0),MATCH(I$4,임대자산!$D$3:$R$3,0)),
IF($D1693="폐업",INDEX(폐업정보!$D$3:$R$3000,MATCH($F1693,폐업정보!$I$3:$I$3000,0),MATCH(I$4,폐업정보!$D$3:$R$3,0)),
"Error"))</f>
        <v>A1688</v>
      </c>
      <c r="J1693" s="75" t="str">
        <f aca="false">
IF($D1693="정상",INDEX(임대자산!$D$3:$R$3000,MATCH($F1693,임대자산!$I$3:$I$3000,0),MATCH(J$4,임대자산!$D$3:$R$3,0)),
IF($D1693="폐업",INDEX(폐업정보!$D$3:$R$3000,MATCH($F1693,폐업정보!$I$3:$I$3000,0),MATCH(J$4,폐업정보!$D$3:$R$3,0)),
"Error"))</f>
        <v>5002500000</v>
      </c>
      <c r="K1693" s="75" t="str">
        <f aca="false">
IF($D1693="정상",INDEX(임대자산!$D$3:$R$3000,MATCH($F1693,임대자산!$I$3:$I$3000,0),MATCH(K$4,임대자산!$D$3:$R$3,0)),
IF($D1693="폐업",INDEX(폐업정보!$D$3:$R$3000,MATCH($F1693,폐업정보!$I$3:$I$3000,0),MATCH(K$4,폐업정보!$D$3:$R$3,0)),
"Error"))</f>
        <v>C1688</v>
      </c>
      <c r="L1693" s="75" t="str">
        <f aca="false">
IF($D1693="정상",INDEX(임대자산!$D$3:$R$3000,MATCH($F1693,임대자산!$I$3:$I$3000,0),MATCH(L$4,임대자산!$D$3:$R$3,0)),
IF($D1693="폐업",INDEX(폐업정보!$D$3:$R$3000,MATCH($F1693,폐업정보!$I$3:$I$3000,0),MATCH(L$4,폐업정보!$D$3:$R$3,0)),
"Error"))</f>
        <v>D1688</v>
      </c>
      <c r="M1693" s="76" t="s">
        <v>96</v>
      </c>
      <c r="N1693" s="77"/>
      <c r="O1693" s="78" t="s">
        <v>97</v>
      </c>
      <c r="P1693" s="79" t="n">
        <f aca="false">COUNTIFS(임대자산!$I:$I,가맹점정보!F1693,임대자산!$N:$N,가맹점정보!P$4)</f>
        <v>0</v>
      </c>
      <c r="Q1693" s="80" t="n">
        <f aca="false">COUNTIFS(임대자산!$I:$I,가맹점정보!F1693,임대자산!$N:$N,가맹점정보!Q$4)</f>
        <v>0</v>
      </c>
      <c r="R1693" s="81" t="n">
        <f aca="false">COUNTIFS(임대자산!$I:$I,가맹점정보!F1693,임대자산!$N:$N,가맹점정보!R$4)</f>
        <v>1</v>
      </c>
      <c r="S1693" s="82" t="n">
        <v>88000</v>
      </c>
      <c r="T1693" s="83" t="n">
        <v>0</v>
      </c>
      <c r="U1693" s="80" t="n">
        <f aca="false">SUM(S1693:T1693)</f>
        <v>88000</v>
      </c>
      <c r="V1693" s="84" t="s">
        <v>7</v>
      </c>
      <c r="W1693" s="80" t="str">
        <f aca="true">
IF(D1693="폐업","폐업",
IF(V1693="면제","면제",
IF(AND(V1693="정상",COUNTIFS(OFFSET(Y1693,0,COUNTA(Y1693:AV1693)-1,1,-4),"미납")&gt;=3),"장기미납",
IF(AND(V1693="정상",OFFSET(Y1693,0,COUNTA(Y1693:AV1693)-1)&gt;=U1693),"정상",
IF(AND(V1693="정상",OFFSET(Y1693,0,COUNTA(Y1693:AV1693)-1)=0),"정상",
"계약서 미작성")))))</f>
        <v>면제</v>
      </c>
      <c r="X1693" s="81" t="str">
        <f aca="true">
IF(D1693="폐업","폐업",
IF(AND(V1693="정상",OFFSET(Y1693,0,COUNTA(Y1693:AV1693)-1)="미납"),"미납",
IF(AND(V1693="정상",OFFSET(Y1693,0,COUNTA(Y1693:AV1693)-1)=0),"납부 시작 전",
IF(AND(V1693="정상",OFFSET(Y1693,0,COUNTA(Y1693:AV1693)-1)&gt;=U1693),"정상",
IF(AND(V1693="면제",OFFSET(Y1693,0,COUNTA(Y1693:AV1693)-1)="면제"),"면제",
IF(AND(V1693="면제",OFFSET(Y1693,0,COUNTA(Y1693:AV1693)-1)=0),"면제",
"확인요청"))))))</f>
        <v>면제</v>
      </c>
      <c r="Y1693" s="94" t="s">
        <v>7</v>
      </c>
      <c r="Z1693" s="95" t="s">
        <v>7</v>
      </c>
      <c r="AA1693" s="95" t="s">
        <v>7</v>
      </c>
      <c r="AB1693" s="95" t="s">
        <v>7</v>
      </c>
      <c r="AC1693" s="95" t="s">
        <v>7</v>
      </c>
      <c r="AD1693" s="95" t="s">
        <v>7</v>
      </c>
      <c r="AE1693" s="95" t="s">
        <v>7</v>
      </c>
      <c r="AF1693" s="95" t="s">
        <v>7</v>
      </c>
      <c r="AG1693" s="95" t="s">
        <v>7</v>
      </c>
      <c r="AH1693" s="95" t="s">
        <v>7</v>
      </c>
      <c r="AI1693" s="95" t="s">
        <v>7</v>
      </c>
      <c r="AJ1693" s="96" t="s">
        <v>7</v>
      </c>
      <c r="AK1693" s="97" t="s">
        <v>7</v>
      </c>
      <c r="AL1693" s="95" t="s">
        <v>7</v>
      </c>
      <c r="AM1693" s="90"/>
      <c r="AN1693" s="90"/>
      <c r="AO1693" s="90"/>
      <c r="AP1693" s="90"/>
      <c r="AQ1693" s="90"/>
      <c r="AR1693" s="90"/>
      <c r="AS1693" s="90"/>
      <c r="AT1693" s="90"/>
      <c r="AU1693" s="90"/>
      <c r="AV1693" s="91"/>
      <c r="AX1693" s="92"/>
    </row>
    <row r="1694" customFormat="false" ht="15.65" hidden="false" customHeight="false" outlineLevel="0" collapsed="false">
      <c r="C1694" s="72" t="n">
        <f aca="false">COUNTIFS($D$6:D1694,"&lt;&gt;"&amp;"")</f>
        <v>1689</v>
      </c>
      <c r="D1694" s="73" t="s">
        <v>12</v>
      </c>
      <c r="E1694" s="76" t="str">
        <f aca="false">
IF($D1694="정상",INDEX(임대자산!$D$3:$R$3000,MATCH($F1694,임대자산!$I$3:$I$3000,0),MATCH(E$3,임대자산!$D$3:$R$3,0)),
IF($D1694="폐업",INDEX(폐업정보!$D$3:$R$3000,MATCH($F1694,폐업정보!$I$3:$I$3000,0),MATCH(E$3,폐업정보!$D$3:$R$3,0)),
"Error"))</f>
        <v>서울</v>
      </c>
      <c r="F169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B1689</v>
      </c>
      <c r="G1694" s="76" t="str">
        <f aca="false">F1694&amp;RANDBETWEEN(0,10)</f>
        <v>B168910</v>
      </c>
      <c r="H1694" s="75" t="n">
        <f aca="false">
IF($D1694="정상",INDEX(임대자산!$D$3:$R$3000,MATCH($F1694,임대자산!$I$3:$I$3000,0),MATCH(H$4,임대자산!$D$3:$R$3,0)),
IF($D1694="폐업",INDEX(폐업정보!$D$3:$R$3000,MATCH($F1694,폐업정보!$I$3:$I$3000,0),MATCH(H$4,폐업정보!$D$3:$R$3,0)),
"Error"))</f>
        <v>45793</v>
      </c>
      <c r="I1694" s="75" t="str">
        <f aca="false">
IF($D1694="정상",INDEX(임대자산!$D$3:$R$3000,MATCH($F1694,임대자산!$I$3:$I$3000,0),MATCH(I$4,임대자산!$D$3:$R$3,0)),
IF($D1694="폐업",INDEX(폐업정보!$D$3:$R$3000,MATCH($F1694,폐업정보!$I$3:$I$3000,0),MATCH(I$4,폐업정보!$D$3:$R$3,0)),
"Error"))</f>
        <v>A1689</v>
      </c>
      <c r="J1694" s="75" t="str">
        <f aca="false">
IF($D1694="정상",INDEX(임대자산!$D$3:$R$3000,MATCH($F1694,임대자산!$I$3:$I$3000,0),MATCH(J$4,임대자산!$D$3:$R$3,0)),
IF($D1694="폐업",INDEX(폐업정보!$D$3:$R$3000,MATCH($F1694,폐업정보!$I$3:$I$3000,0),MATCH(J$4,폐업정보!$D$3:$R$3,0)),
"Error"))</f>
        <v>7386400000</v>
      </c>
      <c r="K1694" s="75" t="str">
        <f aca="false">
IF($D1694="정상",INDEX(임대자산!$D$3:$R$3000,MATCH($F1694,임대자산!$I$3:$I$3000,0),MATCH(K$4,임대자산!$D$3:$R$3,0)),
IF($D1694="폐업",INDEX(폐업정보!$D$3:$R$3000,MATCH($F1694,폐업정보!$I$3:$I$3000,0),MATCH(K$4,폐업정보!$D$3:$R$3,0)),
"Error"))</f>
        <v>C1689</v>
      </c>
      <c r="L1694" s="75" t="str">
        <f aca="false">
IF($D1694="정상",INDEX(임대자산!$D$3:$R$3000,MATCH($F1694,임대자산!$I$3:$I$3000,0),MATCH(L$4,임대자산!$D$3:$R$3,0)),
IF($D1694="폐업",INDEX(폐업정보!$D$3:$R$3000,MATCH($F1694,폐업정보!$I$3:$I$3000,0),MATCH(L$4,폐업정보!$D$3:$R$3,0)),
"Error"))</f>
        <v>D1689</v>
      </c>
      <c r="M1694" s="76" t="s">
        <v>96</v>
      </c>
      <c r="N1694" s="77"/>
      <c r="O1694" s="78" t="s">
        <v>97</v>
      </c>
      <c r="P1694" s="79" t="n">
        <f aca="false">COUNTIFS(임대자산!$I:$I,가맹점정보!F1694,임대자산!$N:$N,가맹점정보!P$4)</f>
        <v>0</v>
      </c>
      <c r="Q1694" s="80" t="n">
        <f aca="false">COUNTIFS(임대자산!$I:$I,가맹점정보!F1694,임대자산!$N:$N,가맹점정보!Q$4)</f>
        <v>0</v>
      </c>
      <c r="R1694" s="81" t="n">
        <f aca="false">COUNTIFS(임대자산!$I:$I,가맹점정보!F1694,임대자산!$N:$N,가맹점정보!R$4)</f>
        <v>1</v>
      </c>
      <c r="S1694" s="82" t="n">
        <v>55000</v>
      </c>
      <c r="T1694" s="83" t="n">
        <v>0</v>
      </c>
      <c r="U1694" s="80" t="n">
        <f aca="false">SUM(S1694:T1694)</f>
        <v>55000</v>
      </c>
      <c r="V1694" s="84" t="s">
        <v>7</v>
      </c>
      <c r="W1694" s="80" t="str">
        <f aca="true">
IF(D1694="폐업","폐업",
IF(V1694="면제","면제",
IF(AND(V1694="정상",COUNTIFS(OFFSET(Y1694,0,COUNTA(Y1694:AV1694)-1,1,-4),"미납")&gt;=3),"장기미납",
IF(AND(V1694="정상",OFFSET(Y1694,0,COUNTA(Y1694:AV1694)-1)&gt;=U1694),"정상",
IF(AND(V1694="정상",OFFSET(Y1694,0,COUNTA(Y1694:AV1694)-1)=0),"정상",
"계약서 미작성")))))</f>
        <v>면제</v>
      </c>
      <c r="X1694" s="81" t="str">
        <f aca="true">
IF(D1694="폐업","폐업",
IF(AND(V1694="정상",OFFSET(Y1694,0,COUNTA(Y1694:AV1694)-1)="미납"),"미납",
IF(AND(V1694="정상",OFFSET(Y1694,0,COUNTA(Y1694:AV1694)-1)=0),"납부 시작 전",
IF(AND(V1694="정상",OFFSET(Y1694,0,COUNTA(Y1694:AV1694)-1)&gt;=U1694),"정상",
IF(AND(V1694="면제",OFFSET(Y1694,0,COUNTA(Y1694:AV1694)-1)="면제"),"면제",
IF(AND(V1694="면제",OFFSET(Y1694,0,COUNTA(Y1694:AV1694)-1)=0),"면제",
"확인요청"))))))</f>
        <v>면제</v>
      </c>
      <c r="Y1694" s="94" t="s">
        <v>7</v>
      </c>
      <c r="Z1694" s="95" t="s">
        <v>7</v>
      </c>
      <c r="AA1694" s="95" t="s">
        <v>7</v>
      </c>
      <c r="AB1694" s="95" t="s">
        <v>7</v>
      </c>
      <c r="AC1694" s="95" t="s">
        <v>7</v>
      </c>
      <c r="AD1694" s="95" t="s">
        <v>7</v>
      </c>
      <c r="AE1694" s="95" t="s">
        <v>7</v>
      </c>
      <c r="AF1694" s="95" t="s">
        <v>7</v>
      </c>
      <c r="AG1694" s="95" t="s">
        <v>7</v>
      </c>
      <c r="AH1694" s="95" t="s">
        <v>7</v>
      </c>
      <c r="AI1694" s="95" t="s">
        <v>7</v>
      </c>
      <c r="AJ1694" s="96" t="s">
        <v>7</v>
      </c>
      <c r="AK1694" s="97" t="s">
        <v>7</v>
      </c>
      <c r="AL1694" s="95" t="s">
        <v>7</v>
      </c>
      <c r="AM1694" s="90"/>
      <c r="AN1694" s="90"/>
      <c r="AO1694" s="90"/>
      <c r="AP1694" s="90"/>
      <c r="AQ1694" s="90"/>
      <c r="AR1694" s="90"/>
      <c r="AS1694" s="90"/>
      <c r="AT1694" s="90"/>
      <c r="AU1694" s="90"/>
      <c r="AV1694" s="91"/>
      <c r="AX1694" s="92"/>
    </row>
    <row r="1695" customFormat="false" ht="15.65" hidden="false" customHeight="false" outlineLevel="0" collapsed="false">
      <c r="C1695" s="72" t="n">
        <f aca="false">COUNTIFS($D$6:D1695,"&lt;&gt;"&amp;"")</f>
        <v>1690</v>
      </c>
      <c r="D1695" s="73" t="s">
        <v>12</v>
      </c>
      <c r="E1695" s="76" t="str">
        <f aca="false">
IF($D1695="정상",INDEX(임대자산!$D$3:$R$3000,MATCH($F1695,임대자산!$I$3:$I$3000,0),MATCH(E$3,임대자산!$D$3:$R$3,0)),
IF($D1695="폐업",INDEX(폐업정보!$D$3:$R$3000,MATCH($F1695,폐업정보!$I$3:$I$3000,0),MATCH(E$3,폐업정보!$D$3:$R$3,0)),
"Error"))</f>
        <v>경상</v>
      </c>
      <c r="F169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B1690</v>
      </c>
      <c r="G1695" s="76" t="str">
        <f aca="false">F1695&amp;RANDBETWEEN(0,10)</f>
        <v>B16907</v>
      </c>
      <c r="H1695" s="75" t="n">
        <f aca="false">
IF($D1695="정상",INDEX(임대자산!$D$3:$R$3000,MATCH($F1695,임대자산!$I$3:$I$3000,0),MATCH(H$4,임대자산!$D$3:$R$3,0)),
IF($D1695="폐업",INDEX(폐업정보!$D$3:$R$3000,MATCH($F1695,폐업정보!$I$3:$I$3000,0),MATCH(H$4,폐업정보!$D$3:$R$3,0)),
"Error"))</f>
        <v>45810</v>
      </c>
      <c r="I1695" s="75" t="str">
        <f aca="false">
IF($D1695="정상",INDEX(임대자산!$D$3:$R$3000,MATCH($F1695,임대자산!$I$3:$I$3000,0),MATCH(I$4,임대자산!$D$3:$R$3,0)),
IF($D1695="폐업",INDEX(폐업정보!$D$3:$R$3000,MATCH($F1695,폐업정보!$I$3:$I$3000,0),MATCH(I$4,폐업정보!$D$3:$R$3,0)),
"Error"))</f>
        <v>A1690</v>
      </c>
      <c r="J1695" s="75" t="str">
        <f aca="false">
IF($D1695="정상",INDEX(임대자산!$D$3:$R$3000,MATCH($F1695,임대자산!$I$3:$I$3000,0),MATCH(J$4,임대자산!$D$3:$R$3,0)),
IF($D1695="폐업",INDEX(폐업정보!$D$3:$R$3000,MATCH($F1695,폐업정보!$I$3:$I$3000,0),MATCH(J$4,폐업정보!$D$3:$R$3,0)),
"Error"))</f>
        <v>8016800000</v>
      </c>
      <c r="K1695" s="75" t="str">
        <f aca="false">
IF($D1695="정상",INDEX(임대자산!$D$3:$R$3000,MATCH($F1695,임대자산!$I$3:$I$3000,0),MATCH(K$4,임대자산!$D$3:$R$3,0)),
IF($D1695="폐업",INDEX(폐업정보!$D$3:$R$3000,MATCH($F1695,폐업정보!$I$3:$I$3000,0),MATCH(K$4,폐업정보!$D$3:$R$3,0)),
"Error"))</f>
        <v>C1690</v>
      </c>
      <c r="L1695" s="75" t="str">
        <f aca="false">
IF($D1695="정상",INDEX(임대자산!$D$3:$R$3000,MATCH($F1695,임대자산!$I$3:$I$3000,0),MATCH(L$4,임대자산!$D$3:$R$3,0)),
IF($D1695="폐업",INDEX(폐업정보!$D$3:$R$3000,MATCH($F1695,폐업정보!$I$3:$I$3000,0),MATCH(L$4,폐업정보!$D$3:$R$3,0)),
"Error"))</f>
        <v>D1690</v>
      </c>
      <c r="M1695" s="76" t="s">
        <v>96</v>
      </c>
      <c r="N1695" s="77"/>
      <c r="O1695" s="78" t="s">
        <v>97</v>
      </c>
      <c r="P1695" s="79" t="n">
        <f aca="false">COUNTIFS(임대자산!$I:$I,가맹점정보!F1695,임대자산!$N:$N,가맹점정보!P$4)</f>
        <v>0</v>
      </c>
      <c r="Q1695" s="80" t="n">
        <f aca="false">COUNTIFS(임대자산!$I:$I,가맹점정보!F1695,임대자산!$N:$N,가맹점정보!Q$4)</f>
        <v>0</v>
      </c>
      <c r="R1695" s="81" t="n">
        <f aca="false">COUNTIFS(임대자산!$I:$I,가맹점정보!F1695,임대자산!$N:$N,가맹점정보!R$4)</f>
        <v>1</v>
      </c>
      <c r="S1695" s="82" t="n">
        <v>55000</v>
      </c>
      <c r="T1695" s="83" t="n">
        <v>0</v>
      </c>
      <c r="U1695" s="80" t="n">
        <f aca="false">SUM(S1695:T1695)</f>
        <v>55000</v>
      </c>
      <c r="V1695" s="84" t="s">
        <v>7</v>
      </c>
      <c r="W1695" s="80" t="str">
        <f aca="true">
IF(D1695="폐업","폐업",
IF(V1695="면제","면제",
IF(AND(V1695="정상",COUNTIFS(OFFSET(Y1695,0,COUNTA(Y1695:AV1695)-1,1,-4),"미납")&gt;=3),"장기미납",
IF(AND(V1695="정상",OFFSET(Y1695,0,COUNTA(Y1695:AV1695)-1)&gt;=U1695),"정상",
IF(AND(V1695="정상",OFFSET(Y1695,0,COUNTA(Y1695:AV1695)-1)=0),"정상",
"계약서 미작성")))))</f>
        <v>면제</v>
      </c>
      <c r="X1695" s="81" t="str">
        <f aca="true">
IF(D1695="폐업","폐업",
IF(AND(V1695="정상",OFFSET(Y1695,0,COUNTA(Y1695:AV1695)-1)="미납"),"미납",
IF(AND(V1695="정상",OFFSET(Y1695,0,COUNTA(Y1695:AV1695)-1)=0),"납부 시작 전",
IF(AND(V1695="정상",OFFSET(Y1695,0,COUNTA(Y1695:AV1695)-1)&gt;=U1695),"정상",
IF(AND(V1695="면제",OFFSET(Y1695,0,COUNTA(Y1695:AV1695)-1)="면제"),"면제",
IF(AND(V1695="면제",OFFSET(Y1695,0,COUNTA(Y1695:AV1695)-1)=0),"면제",
"확인요청"))))))</f>
        <v>면제</v>
      </c>
      <c r="Y1695" s="93" t="n">
        <v>55000</v>
      </c>
      <c r="Z1695" s="90" t="n">
        <v>55000</v>
      </c>
      <c r="AA1695" s="90" t="n">
        <v>55000</v>
      </c>
      <c r="AB1695" s="90" t="n">
        <v>55000</v>
      </c>
      <c r="AC1695" s="90" t="n">
        <v>55000</v>
      </c>
      <c r="AD1695" s="90" t="n">
        <v>55000</v>
      </c>
      <c r="AE1695" s="90" t="n">
        <v>55000</v>
      </c>
      <c r="AF1695" s="90" t="n">
        <v>55000</v>
      </c>
      <c r="AG1695" s="90" t="n">
        <v>55000</v>
      </c>
      <c r="AH1695" s="90" t="n">
        <v>55000</v>
      </c>
      <c r="AI1695" s="95" t="s">
        <v>7</v>
      </c>
      <c r="AJ1695" s="96" t="s">
        <v>7</v>
      </c>
      <c r="AK1695" s="97" t="s">
        <v>7</v>
      </c>
      <c r="AL1695" s="95" t="s">
        <v>7</v>
      </c>
      <c r="AM1695" s="90"/>
      <c r="AN1695" s="90"/>
      <c r="AO1695" s="90"/>
      <c r="AP1695" s="90"/>
      <c r="AQ1695" s="90"/>
      <c r="AR1695" s="90"/>
      <c r="AS1695" s="90"/>
      <c r="AT1695" s="90"/>
      <c r="AU1695" s="90"/>
      <c r="AV1695" s="91"/>
      <c r="AX1695" s="92"/>
    </row>
    <row r="1696" customFormat="false" ht="15.65" hidden="false" customHeight="false" outlineLevel="0" collapsed="false">
      <c r="C1696" s="72" t="n">
        <f aca="false">COUNTIFS($D$6:D1696,"&lt;&gt;"&amp;"")</f>
        <v>1691</v>
      </c>
      <c r="D1696" s="73" t="s">
        <v>12</v>
      </c>
      <c r="E1696" s="76" t="str">
        <f aca="false">
IF($D1696="정상",INDEX(임대자산!$D$3:$R$3000,MATCH($F1696,임대자산!$I$3:$I$3000,0),MATCH(E$3,임대자산!$D$3:$R$3,0)),
IF($D1696="폐업",INDEX(폐업정보!$D$3:$R$3000,MATCH($F1696,폐업정보!$I$3:$I$3000,0),MATCH(E$3,폐업정보!$D$3:$R$3,0)),
"Error"))</f>
        <v>경기</v>
      </c>
      <c r="F169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B1691</v>
      </c>
      <c r="G1696" s="76" t="str">
        <f aca="false">F1696&amp;RANDBETWEEN(0,10)</f>
        <v>B16915</v>
      </c>
      <c r="H1696" s="75" t="n">
        <f aca="false">
IF($D1696="정상",INDEX(임대자산!$D$3:$R$3000,MATCH($F1696,임대자산!$I$3:$I$3000,0),MATCH(H$4,임대자산!$D$3:$R$3,0)),
IF($D1696="폐업",INDEX(폐업정보!$D$3:$R$3000,MATCH($F1696,폐업정보!$I$3:$I$3000,0),MATCH(H$4,폐업정보!$D$3:$R$3,0)),
"Error"))</f>
        <v>45818</v>
      </c>
      <c r="I1696" s="75" t="str">
        <f aca="false">
IF($D1696="정상",INDEX(임대자산!$D$3:$R$3000,MATCH($F1696,임대자산!$I$3:$I$3000,0),MATCH(I$4,임대자산!$D$3:$R$3,0)),
IF($D1696="폐업",INDEX(폐업정보!$D$3:$R$3000,MATCH($F1696,폐업정보!$I$3:$I$3000,0),MATCH(I$4,폐업정보!$D$3:$R$3,0)),
"Error"))</f>
        <v>A1691</v>
      </c>
      <c r="J1696" s="75" t="str">
        <f aca="false">
IF($D1696="정상",INDEX(임대자산!$D$3:$R$3000,MATCH($F1696,임대자산!$I$3:$I$3000,0),MATCH(J$4,임대자산!$D$3:$R$3,0)),
IF($D1696="폐업",INDEX(폐업정보!$D$3:$R$3000,MATCH($F1696,폐업정보!$I$3:$I$3000,0),MATCH(J$4,폐업정보!$D$3:$R$3,0)),
"Error"))</f>
        <v>9171500000</v>
      </c>
      <c r="K1696" s="75" t="str">
        <f aca="false">
IF($D1696="정상",INDEX(임대자산!$D$3:$R$3000,MATCH($F1696,임대자산!$I$3:$I$3000,0),MATCH(K$4,임대자산!$D$3:$R$3,0)),
IF($D1696="폐업",INDEX(폐업정보!$D$3:$R$3000,MATCH($F1696,폐업정보!$I$3:$I$3000,0),MATCH(K$4,폐업정보!$D$3:$R$3,0)),
"Error"))</f>
        <v>C1691</v>
      </c>
      <c r="L1696" s="75" t="str">
        <f aca="false">
IF($D1696="정상",INDEX(임대자산!$D$3:$R$3000,MATCH($F1696,임대자산!$I$3:$I$3000,0),MATCH(L$4,임대자산!$D$3:$R$3,0)),
IF($D1696="폐업",INDEX(폐업정보!$D$3:$R$3000,MATCH($F1696,폐업정보!$I$3:$I$3000,0),MATCH(L$4,폐업정보!$D$3:$R$3,0)),
"Error"))</f>
        <v>D1691</v>
      </c>
      <c r="M1696" s="76" t="s">
        <v>96</v>
      </c>
      <c r="N1696" s="77"/>
      <c r="O1696" s="78" t="s">
        <v>97</v>
      </c>
      <c r="P1696" s="79" t="n">
        <f aca="false">COUNTIFS(임대자산!$I:$I,가맹점정보!F1696,임대자산!$N:$N,가맹점정보!P$4)</f>
        <v>0</v>
      </c>
      <c r="Q1696" s="80" t="n">
        <f aca="false">COUNTIFS(임대자산!$I:$I,가맹점정보!F1696,임대자산!$N:$N,가맹점정보!Q$4)</f>
        <v>0</v>
      </c>
      <c r="R1696" s="81" t="n">
        <f aca="false">COUNTIFS(임대자산!$I:$I,가맹점정보!F1696,임대자산!$N:$N,가맹점정보!R$4)</f>
        <v>1</v>
      </c>
      <c r="S1696" s="82" t="n">
        <v>55000</v>
      </c>
      <c r="T1696" s="83" t="n">
        <v>0</v>
      </c>
      <c r="U1696" s="80" t="n">
        <f aca="false">SUM(S1696:T1696)</f>
        <v>55000</v>
      </c>
      <c r="V1696" s="84" t="s">
        <v>12</v>
      </c>
      <c r="W1696" s="80" t="e">
        <f aca="true">
IF(D1696="폐업","폐업",
IF(V1696="면제","면제",
IF(AND(V1696="정상",COUNTIFS(OFFSET(Y1696,0,COUNTA(Y1696:AV1696)-1,1,-4),"미납")&gt;=3),"장기미납",
IF(AND(V1696="정상",OFFSET(Y1696,0,COUNTA(Y1696:AV1696)-1)&gt;=U1696),"정상",
IF(AND(V1696="정상",OFFSET(Y1696,0,COUNTA(Y1696:AV1696)-1)=0),"정상",
"계약서 미작성")))))</f>
        <v>#VALUE!</v>
      </c>
      <c r="X1696" s="81" t="str">
        <f aca="true">
IF(D1696="폐업","폐업",
IF(AND(V1696="정상",OFFSET(Y1696,0,COUNTA(Y1696:AV1696)-1)="미납"),"미납",
IF(AND(V1696="정상",OFFSET(Y1696,0,COUNTA(Y1696:AV1696)-1)=0),"납부 시작 전",
IF(AND(V1696="정상",OFFSET(Y1696,0,COUNTA(Y1696:AV1696)-1)&gt;=U1696),"정상",
IF(AND(V1696="면제",OFFSET(Y1696,0,COUNTA(Y1696:AV1696)-1)="면제"),"면제",
IF(AND(V1696="면제",OFFSET(Y1696,0,COUNTA(Y1696:AV1696)-1)=0),"면제",
"확인요청"))))))</f>
        <v>정상</v>
      </c>
      <c r="Y1696" s="93" t="n">
        <v>55000</v>
      </c>
      <c r="Z1696" s="90" t="n">
        <v>55000</v>
      </c>
      <c r="AA1696" s="90" t="n">
        <v>55000</v>
      </c>
      <c r="AB1696" s="90" t="n">
        <v>55000</v>
      </c>
      <c r="AC1696" s="90" t="n">
        <v>55000</v>
      </c>
      <c r="AD1696" s="90" t="n">
        <v>55000</v>
      </c>
      <c r="AE1696" s="90" t="n">
        <v>55000</v>
      </c>
      <c r="AF1696" s="90" t="n">
        <v>55000</v>
      </c>
      <c r="AG1696" s="90" t="n">
        <v>55000</v>
      </c>
      <c r="AH1696" s="90" t="n">
        <v>55000</v>
      </c>
      <c r="AI1696" s="90" t="n">
        <v>55000</v>
      </c>
      <c r="AJ1696" s="91" t="n">
        <v>55000</v>
      </c>
      <c r="AK1696" s="89" t="n">
        <v>55000</v>
      </c>
      <c r="AL1696" s="90" t="n">
        <v>55000</v>
      </c>
      <c r="AM1696" s="90"/>
      <c r="AN1696" s="90"/>
      <c r="AO1696" s="90"/>
      <c r="AP1696" s="90"/>
      <c r="AQ1696" s="90"/>
      <c r="AR1696" s="90"/>
      <c r="AS1696" s="90"/>
      <c r="AT1696" s="90"/>
      <c r="AU1696" s="90"/>
      <c r="AV1696" s="91"/>
      <c r="AX1696" s="92"/>
    </row>
    <row r="1697" customFormat="false" ht="15.65" hidden="false" customHeight="false" outlineLevel="0" collapsed="false">
      <c r="C1697" s="72" t="n">
        <f aca="false">COUNTIFS($D$6:D1697,"&lt;&gt;"&amp;"")</f>
        <v>1692</v>
      </c>
      <c r="D1697" s="73" t="s">
        <v>12</v>
      </c>
      <c r="E1697" s="76" t="str">
        <f aca="false">
IF($D1697="정상",INDEX(임대자산!$D$3:$R$3000,MATCH($F1697,임대자산!$I$3:$I$3000,0),MATCH(E$3,임대자산!$D$3:$R$3,0)),
IF($D1697="폐업",INDEX(폐업정보!$D$3:$R$3000,MATCH($F1697,폐업정보!$I$3:$I$3000,0),MATCH(E$3,폐업정보!$D$3:$R$3,0)),
"Error"))</f>
        <v>서울</v>
      </c>
      <c r="F169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B1692</v>
      </c>
      <c r="G1697" s="76" t="str">
        <f aca="false">F1697&amp;RANDBETWEEN(0,10)</f>
        <v>B169210</v>
      </c>
      <c r="H1697" s="75" t="n">
        <f aca="false">
IF($D1697="정상",INDEX(임대자산!$D$3:$R$3000,MATCH($F1697,임대자산!$I$3:$I$3000,0),MATCH(H$4,임대자산!$D$3:$R$3,0)),
IF($D1697="폐업",INDEX(폐업정보!$D$3:$R$3000,MATCH($F1697,폐업정보!$I$3:$I$3000,0),MATCH(H$4,폐업정보!$D$3:$R$3,0)),
"Error"))</f>
        <v>45819</v>
      </c>
      <c r="I1697" s="75" t="str">
        <f aca="false">
IF($D1697="정상",INDEX(임대자산!$D$3:$R$3000,MATCH($F1697,임대자산!$I$3:$I$3000,0),MATCH(I$4,임대자산!$D$3:$R$3,0)),
IF($D1697="폐업",INDEX(폐업정보!$D$3:$R$3000,MATCH($F1697,폐업정보!$I$3:$I$3000,0),MATCH(I$4,폐업정보!$D$3:$R$3,0)),
"Error"))</f>
        <v>A1692</v>
      </c>
      <c r="J1697" s="75" t="str">
        <f aca="false">
IF($D1697="정상",INDEX(임대자산!$D$3:$R$3000,MATCH($F1697,임대자산!$I$3:$I$3000,0),MATCH(J$4,임대자산!$D$3:$R$3,0)),
IF($D1697="폐업",INDEX(폐업정보!$D$3:$R$3000,MATCH($F1697,폐업정보!$I$3:$I$3000,0),MATCH(J$4,폐업정보!$D$3:$R$3,0)),
"Error"))</f>
        <v>5536100000</v>
      </c>
      <c r="K1697" s="75" t="str">
        <f aca="false">
IF($D1697="정상",INDEX(임대자산!$D$3:$R$3000,MATCH($F1697,임대자산!$I$3:$I$3000,0),MATCH(K$4,임대자산!$D$3:$R$3,0)),
IF($D1697="폐업",INDEX(폐업정보!$D$3:$R$3000,MATCH($F1697,폐업정보!$I$3:$I$3000,0),MATCH(K$4,폐업정보!$D$3:$R$3,0)),
"Error"))</f>
        <v>C1692</v>
      </c>
      <c r="L1697" s="75" t="str">
        <f aca="false">
IF($D1697="정상",INDEX(임대자산!$D$3:$R$3000,MATCH($F1697,임대자산!$I$3:$I$3000,0),MATCH(L$4,임대자산!$D$3:$R$3,0)),
IF($D1697="폐업",INDEX(폐업정보!$D$3:$R$3000,MATCH($F1697,폐업정보!$I$3:$I$3000,0),MATCH(L$4,폐업정보!$D$3:$R$3,0)),
"Error"))</f>
        <v>D1692</v>
      </c>
      <c r="M1697" s="76" t="s">
        <v>96</v>
      </c>
      <c r="N1697" s="77"/>
      <c r="O1697" s="78" t="s">
        <v>97</v>
      </c>
      <c r="P1697" s="79" t="n">
        <f aca="false">COUNTIFS(임대자산!$I:$I,가맹점정보!F1697,임대자산!$N:$N,가맹점정보!P$4)</f>
        <v>0</v>
      </c>
      <c r="Q1697" s="80" t="n">
        <f aca="false">COUNTIFS(임대자산!$I:$I,가맹점정보!F1697,임대자산!$N:$N,가맹점정보!Q$4)</f>
        <v>0</v>
      </c>
      <c r="R1697" s="81" t="n">
        <f aca="false">COUNTIFS(임대자산!$I:$I,가맹점정보!F1697,임대자산!$N:$N,가맹점정보!R$4)</f>
        <v>1</v>
      </c>
      <c r="S1697" s="82" t="n">
        <v>55000</v>
      </c>
      <c r="T1697" s="83" t="n">
        <v>0</v>
      </c>
      <c r="U1697" s="80" t="n">
        <f aca="false">SUM(S1697:T1697)</f>
        <v>55000</v>
      </c>
      <c r="V1697" s="84" t="s">
        <v>12</v>
      </c>
      <c r="W1697" s="80" t="e">
        <f aca="true">
IF(D1697="폐업","폐업",
IF(V1697="면제","면제",
IF(AND(V1697="정상",COUNTIFS(OFFSET(Y1697,0,COUNTA(Y1697:AV1697)-1,1,-4),"미납")&gt;=3),"장기미납",
IF(AND(V1697="정상",OFFSET(Y1697,0,COUNTA(Y1697:AV1697)-1)&gt;=U1697),"정상",
IF(AND(V1697="정상",OFFSET(Y1697,0,COUNTA(Y1697:AV1697)-1)=0),"정상",
"계약서 미작성")))))</f>
        <v>#VALUE!</v>
      </c>
      <c r="X1697" s="81" t="str">
        <f aca="true">
IF(D1697="폐업","폐업",
IF(AND(V1697="정상",OFFSET(Y1697,0,COUNTA(Y1697:AV1697)-1)="미납"),"미납",
IF(AND(V1697="정상",OFFSET(Y1697,0,COUNTA(Y1697:AV1697)-1)=0),"납부 시작 전",
IF(AND(V1697="정상",OFFSET(Y1697,0,COUNTA(Y1697:AV1697)-1)&gt;=U1697),"정상",
IF(AND(V1697="면제",OFFSET(Y1697,0,COUNTA(Y1697:AV1697)-1)="면제"),"면제",
IF(AND(V1697="면제",OFFSET(Y1697,0,COUNTA(Y1697:AV1697)-1)=0),"면제",
"확인요청"))))))</f>
        <v>정상</v>
      </c>
      <c r="Y1697" s="93" t="n">
        <v>55000</v>
      </c>
      <c r="Z1697" s="90" t="n">
        <v>55000</v>
      </c>
      <c r="AA1697" s="90" t="n">
        <v>55000</v>
      </c>
      <c r="AB1697" s="90" t="n">
        <v>55000</v>
      </c>
      <c r="AC1697" s="90" t="n">
        <v>55000</v>
      </c>
      <c r="AD1697" s="90" t="n">
        <v>55000</v>
      </c>
      <c r="AE1697" s="90" t="n">
        <v>55000</v>
      </c>
      <c r="AF1697" s="90" t="n">
        <v>55000</v>
      </c>
      <c r="AG1697" s="90" t="n">
        <v>55000</v>
      </c>
      <c r="AH1697" s="90" t="n">
        <v>55000</v>
      </c>
      <c r="AI1697" s="90" t="n">
        <v>55000</v>
      </c>
      <c r="AJ1697" s="91" t="n">
        <v>55000</v>
      </c>
      <c r="AK1697" s="89" t="n">
        <v>55000</v>
      </c>
      <c r="AL1697" s="90" t="n">
        <v>55000</v>
      </c>
      <c r="AM1697" s="90"/>
      <c r="AN1697" s="90"/>
      <c r="AO1697" s="90"/>
      <c r="AP1697" s="90"/>
      <c r="AQ1697" s="90"/>
      <c r="AR1697" s="90"/>
      <c r="AS1697" s="90"/>
      <c r="AT1697" s="90"/>
      <c r="AU1697" s="90"/>
      <c r="AV1697" s="91"/>
      <c r="AX1697" s="92"/>
    </row>
    <row r="1698" customFormat="false" ht="15.65" hidden="false" customHeight="false" outlineLevel="0" collapsed="false">
      <c r="C1698" s="72" t="n">
        <f aca="false">COUNTIFS($D$6:D1698,"&lt;&gt;"&amp;"")</f>
        <v>1693</v>
      </c>
      <c r="D1698" s="73" t="s">
        <v>12</v>
      </c>
      <c r="E1698" s="76" t="str">
        <f aca="false">
IF($D1698="정상",INDEX(임대자산!$D$3:$R$3000,MATCH($F1698,임대자산!$I$3:$I$3000,0),MATCH(E$3,임대자산!$D$3:$R$3,0)),
IF($D1698="폐업",INDEX(폐업정보!$D$3:$R$3000,MATCH($F1698,폐업정보!$I$3:$I$3000,0),MATCH(E$3,폐업정보!$D$3:$R$3,0)),
"Error"))</f>
        <v>서울</v>
      </c>
      <c r="F169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B1693</v>
      </c>
      <c r="G1698" s="76" t="str">
        <f aca="false">F1698&amp;RANDBETWEEN(0,10)</f>
        <v>B16932</v>
      </c>
      <c r="H1698" s="75" t="n">
        <f aca="false">
IF($D1698="정상",INDEX(임대자산!$D$3:$R$3000,MATCH($F1698,임대자산!$I$3:$I$3000,0),MATCH(H$4,임대자산!$D$3:$R$3,0)),
IF($D1698="폐업",INDEX(폐업정보!$D$3:$R$3000,MATCH($F1698,폐업정보!$I$3:$I$3000,0),MATCH(H$4,폐업정보!$D$3:$R$3,0)),
"Error"))</f>
        <v>45813</v>
      </c>
      <c r="I1698" s="75" t="str">
        <f aca="false">
IF($D1698="정상",INDEX(임대자산!$D$3:$R$3000,MATCH($F1698,임대자산!$I$3:$I$3000,0),MATCH(I$4,임대자산!$D$3:$R$3,0)),
IF($D1698="폐업",INDEX(폐업정보!$D$3:$R$3000,MATCH($F1698,폐업정보!$I$3:$I$3000,0),MATCH(I$4,폐업정보!$D$3:$R$3,0)),
"Error"))</f>
        <v>A1693</v>
      </c>
      <c r="J1698" s="75" t="str">
        <f aca="false">
IF($D1698="정상",INDEX(임대자산!$D$3:$R$3000,MATCH($F1698,임대자산!$I$3:$I$3000,0),MATCH(J$4,임대자산!$D$3:$R$3,0)),
IF($D1698="폐업",INDEX(폐업정보!$D$3:$R$3000,MATCH($F1698,폐업정보!$I$3:$I$3000,0),MATCH(J$4,폐업정보!$D$3:$R$3,0)),
"Error"))</f>
        <v>9318300000</v>
      </c>
      <c r="K1698" s="75" t="str">
        <f aca="false">
IF($D1698="정상",INDEX(임대자산!$D$3:$R$3000,MATCH($F1698,임대자산!$I$3:$I$3000,0),MATCH(K$4,임대자산!$D$3:$R$3,0)),
IF($D1698="폐업",INDEX(폐업정보!$D$3:$R$3000,MATCH($F1698,폐업정보!$I$3:$I$3000,0),MATCH(K$4,폐업정보!$D$3:$R$3,0)),
"Error"))</f>
        <v>C1693</v>
      </c>
      <c r="L1698" s="75" t="str">
        <f aca="false">
IF($D1698="정상",INDEX(임대자산!$D$3:$R$3000,MATCH($F1698,임대자산!$I$3:$I$3000,0),MATCH(L$4,임대자산!$D$3:$R$3,0)),
IF($D1698="폐업",INDEX(폐업정보!$D$3:$R$3000,MATCH($F1698,폐업정보!$I$3:$I$3000,0),MATCH(L$4,폐업정보!$D$3:$R$3,0)),
"Error"))</f>
        <v>D1693</v>
      </c>
      <c r="M1698" s="76" t="s">
        <v>96</v>
      </c>
      <c r="N1698" s="77"/>
      <c r="O1698" s="78" t="s">
        <v>97</v>
      </c>
      <c r="P1698" s="79" t="n">
        <f aca="false">COUNTIFS(임대자산!$I:$I,가맹점정보!F1698,임대자산!$N:$N,가맹점정보!P$4)</f>
        <v>0</v>
      </c>
      <c r="Q1698" s="80" t="n">
        <f aca="false">COUNTIFS(임대자산!$I:$I,가맹점정보!F1698,임대자산!$N:$N,가맹점정보!Q$4)</f>
        <v>0</v>
      </c>
      <c r="R1698" s="81" t="n">
        <f aca="false">COUNTIFS(임대자산!$I:$I,가맹점정보!F1698,임대자산!$N:$N,가맹점정보!R$4)</f>
        <v>1</v>
      </c>
      <c r="S1698" s="82" t="n">
        <v>55000</v>
      </c>
      <c r="T1698" s="83" t="n">
        <v>0</v>
      </c>
      <c r="U1698" s="80" t="n">
        <f aca="false">SUM(S1698:T1698)</f>
        <v>55000</v>
      </c>
      <c r="V1698" s="84" t="s">
        <v>12</v>
      </c>
      <c r="W1698" s="80" t="e">
        <f aca="true">
IF(D1698="폐업","폐업",
IF(V1698="면제","면제",
IF(AND(V1698="정상",COUNTIFS(OFFSET(Y1698,0,COUNTA(Y1698:AV1698)-1,1,-4),"미납")&gt;=3),"장기미납",
IF(AND(V1698="정상",OFFSET(Y1698,0,COUNTA(Y1698:AV1698)-1)&gt;=U1698),"정상",
IF(AND(V1698="정상",OFFSET(Y1698,0,COUNTA(Y1698:AV1698)-1)=0),"정상",
"계약서 미작성")))))</f>
        <v>#VALUE!</v>
      </c>
      <c r="X1698" s="81" t="str">
        <f aca="true">
IF(D1698="폐업","폐업",
IF(AND(V1698="정상",OFFSET(Y1698,0,COUNTA(Y1698:AV1698)-1)="미납"),"미납",
IF(AND(V1698="정상",OFFSET(Y1698,0,COUNTA(Y1698:AV1698)-1)=0),"납부 시작 전",
IF(AND(V1698="정상",OFFSET(Y1698,0,COUNTA(Y1698:AV1698)-1)&gt;=U1698),"정상",
IF(AND(V1698="면제",OFFSET(Y1698,0,COUNTA(Y1698:AV1698)-1)="면제"),"면제",
IF(AND(V1698="면제",OFFSET(Y1698,0,COUNTA(Y1698:AV1698)-1)=0),"면제",
"확인요청"))))))</f>
        <v>정상</v>
      </c>
      <c r="Y1698" s="93" t="n">
        <v>55000</v>
      </c>
      <c r="Z1698" s="90" t="n">
        <v>55000</v>
      </c>
      <c r="AA1698" s="90" t="n">
        <v>55000</v>
      </c>
      <c r="AB1698" s="90" t="n">
        <v>55000</v>
      </c>
      <c r="AC1698" s="90" t="n">
        <v>55000</v>
      </c>
      <c r="AD1698" s="90" t="n">
        <v>55000</v>
      </c>
      <c r="AE1698" s="90" t="n">
        <v>55000</v>
      </c>
      <c r="AF1698" s="90" t="n">
        <v>55000</v>
      </c>
      <c r="AG1698" s="90" t="n">
        <v>55000</v>
      </c>
      <c r="AH1698" s="90" t="n">
        <v>55000</v>
      </c>
      <c r="AI1698" s="90" t="n">
        <v>55000</v>
      </c>
      <c r="AJ1698" s="91" t="n">
        <v>55000</v>
      </c>
      <c r="AK1698" s="89" t="n">
        <v>55000</v>
      </c>
      <c r="AL1698" s="90" t="n">
        <v>55000</v>
      </c>
      <c r="AM1698" s="90"/>
      <c r="AN1698" s="90"/>
      <c r="AO1698" s="90"/>
      <c r="AP1698" s="90"/>
      <c r="AQ1698" s="90"/>
      <c r="AR1698" s="90"/>
      <c r="AS1698" s="90"/>
      <c r="AT1698" s="90"/>
      <c r="AU1698" s="90"/>
      <c r="AV1698" s="91"/>
      <c r="AX1698" s="92"/>
    </row>
    <row r="1699" customFormat="false" ht="15.65" hidden="false" customHeight="false" outlineLevel="0" collapsed="false">
      <c r="C1699" s="72" t="n">
        <f aca="false">COUNTIFS($D$6:D1699,"&lt;&gt;"&amp;"")</f>
        <v>1694</v>
      </c>
      <c r="D1699" s="73" t="s">
        <v>12</v>
      </c>
      <c r="E1699" s="76" t="str">
        <f aca="false">
IF($D1699="정상",INDEX(임대자산!$D$3:$R$3000,MATCH($F1699,임대자산!$I$3:$I$3000,0),MATCH(E$3,임대자산!$D$3:$R$3,0)),
IF($D1699="폐업",INDEX(폐업정보!$D$3:$R$3000,MATCH($F1699,폐업정보!$I$3:$I$3000,0),MATCH(E$3,폐업정보!$D$3:$R$3,0)),
"Error"))</f>
        <v>서울</v>
      </c>
      <c r="F169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B1694</v>
      </c>
      <c r="G1699" s="76" t="str">
        <f aca="false">F1699&amp;RANDBETWEEN(0,10)</f>
        <v>B169410</v>
      </c>
      <c r="H1699" s="75" t="n">
        <f aca="false">
IF($D1699="정상",INDEX(임대자산!$D$3:$R$3000,MATCH($F1699,임대자산!$I$3:$I$3000,0),MATCH(H$4,임대자산!$D$3:$R$3,0)),
IF($D1699="폐업",INDEX(폐업정보!$D$3:$R$3000,MATCH($F1699,폐업정보!$I$3:$I$3000,0),MATCH(H$4,폐업정보!$D$3:$R$3,0)),
"Error"))</f>
        <v>45807</v>
      </c>
      <c r="I1699" s="75" t="str">
        <f aca="false">
IF($D1699="정상",INDEX(임대자산!$D$3:$R$3000,MATCH($F1699,임대자산!$I$3:$I$3000,0),MATCH(I$4,임대자산!$D$3:$R$3,0)),
IF($D1699="폐업",INDEX(폐업정보!$D$3:$R$3000,MATCH($F1699,폐업정보!$I$3:$I$3000,0),MATCH(I$4,폐업정보!$D$3:$R$3,0)),
"Error"))</f>
        <v>A1694</v>
      </c>
      <c r="J1699" s="75" t="str">
        <f aca="false">
IF($D1699="정상",INDEX(임대자산!$D$3:$R$3000,MATCH($F1699,임대자산!$I$3:$I$3000,0),MATCH(J$4,임대자산!$D$3:$R$3,0)),
IF($D1699="폐업",INDEX(폐업정보!$D$3:$R$3000,MATCH($F1699,폐업정보!$I$3:$I$3000,0),MATCH(J$4,폐업정보!$D$3:$R$3,0)),
"Error"))</f>
        <v>5079900000</v>
      </c>
      <c r="K1699" s="75" t="str">
        <f aca="false">
IF($D1699="정상",INDEX(임대자산!$D$3:$R$3000,MATCH($F1699,임대자산!$I$3:$I$3000,0),MATCH(K$4,임대자산!$D$3:$R$3,0)),
IF($D1699="폐업",INDEX(폐업정보!$D$3:$R$3000,MATCH($F1699,폐업정보!$I$3:$I$3000,0),MATCH(K$4,폐업정보!$D$3:$R$3,0)),
"Error"))</f>
        <v>C1694</v>
      </c>
      <c r="L1699" s="75" t="str">
        <f aca="false">
IF($D1699="정상",INDEX(임대자산!$D$3:$R$3000,MATCH($F1699,임대자산!$I$3:$I$3000,0),MATCH(L$4,임대자산!$D$3:$R$3,0)),
IF($D1699="폐업",INDEX(폐업정보!$D$3:$R$3000,MATCH($F1699,폐업정보!$I$3:$I$3000,0),MATCH(L$4,폐업정보!$D$3:$R$3,0)),
"Error"))</f>
        <v>D1694</v>
      </c>
      <c r="M1699" s="76" t="s">
        <v>96</v>
      </c>
      <c r="N1699" s="77"/>
      <c r="O1699" s="78" t="s">
        <v>97</v>
      </c>
      <c r="P1699" s="79" t="n">
        <f aca="false">COUNTIFS(임대자산!$I:$I,가맹점정보!F1699,임대자산!$N:$N,가맹점정보!P$4)</f>
        <v>0</v>
      </c>
      <c r="Q1699" s="80" t="n">
        <f aca="false">COUNTIFS(임대자산!$I:$I,가맹점정보!F1699,임대자산!$N:$N,가맹점정보!Q$4)</f>
        <v>0</v>
      </c>
      <c r="R1699" s="81" t="n">
        <f aca="false">COUNTIFS(임대자산!$I:$I,가맹점정보!F1699,임대자산!$N:$N,가맹점정보!R$4)</f>
        <v>1</v>
      </c>
      <c r="S1699" s="82" t="n">
        <v>55000</v>
      </c>
      <c r="T1699" s="83" t="n">
        <v>0</v>
      </c>
      <c r="U1699" s="80" t="n">
        <f aca="false">SUM(S1699:T1699)</f>
        <v>55000</v>
      </c>
      <c r="V1699" s="84" t="s">
        <v>12</v>
      </c>
      <c r="W1699" s="80" t="e">
        <f aca="true">
IF(D1699="폐업","폐업",
IF(V1699="면제","면제",
IF(AND(V1699="정상",COUNTIFS(OFFSET(Y1699,0,COUNTA(Y1699:AV1699)-1,1,-4),"미납")&gt;=3),"장기미납",
IF(AND(V1699="정상",OFFSET(Y1699,0,COUNTA(Y1699:AV1699)-1)&gt;=U1699),"정상",
IF(AND(V1699="정상",OFFSET(Y1699,0,COUNTA(Y1699:AV1699)-1)=0),"정상",
"계약서 미작성")))))</f>
        <v>#VALUE!</v>
      </c>
      <c r="X1699" s="81" t="str">
        <f aca="true">
IF(D1699="폐업","폐업",
IF(AND(V1699="정상",OFFSET(Y1699,0,COUNTA(Y1699:AV1699)-1)="미납"),"미납",
IF(AND(V1699="정상",OFFSET(Y1699,0,COUNTA(Y1699:AV1699)-1)=0),"납부 시작 전",
IF(AND(V1699="정상",OFFSET(Y1699,0,COUNTA(Y1699:AV1699)-1)&gt;=U1699),"정상",
IF(AND(V1699="면제",OFFSET(Y1699,0,COUNTA(Y1699:AV1699)-1)="면제"),"면제",
IF(AND(V1699="면제",OFFSET(Y1699,0,COUNTA(Y1699:AV1699)-1)=0),"면제",
"확인요청"))))))</f>
        <v>미납</v>
      </c>
      <c r="Y1699" s="93" t="n">
        <v>55000</v>
      </c>
      <c r="Z1699" s="90" t="n">
        <v>55000</v>
      </c>
      <c r="AA1699" s="90" t="n">
        <v>55000</v>
      </c>
      <c r="AB1699" s="90" t="n">
        <v>55000</v>
      </c>
      <c r="AC1699" s="90" t="n">
        <v>55000</v>
      </c>
      <c r="AD1699" s="90" t="n">
        <v>55000</v>
      </c>
      <c r="AE1699" s="90" t="n">
        <v>55000</v>
      </c>
      <c r="AF1699" s="90" t="n">
        <v>55000</v>
      </c>
      <c r="AG1699" s="90" t="n">
        <v>55000</v>
      </c>
      <c r="AH1699" s="90" t="n">
        <v>55000</v>
      </c>
      <c r="AI1699" s="90" t="n">
        <v>55000</v>
      </c>
      <c r="AJ1699" s="96" t="s">
        <v>62</v>
      </c>
      <c r="AK1699" s="97" t="s">
        <v>62</v>
      </c>
      <c r="AL1699" s="95" t="s">
        <v>62</v>
      </c>
      <c r="AM1699" s="90"/>
      <c r="AN1699" s="90"/>
      <c r="AO1699" s="90"/>
      <c r="AP1699" s="90"/>
      <c r="AQ1699" s="90"/>
      <c r="AR1699" s="90"/>
      <c r="AS1699" s="90"/>
      <c r="AT1699" s="90"/>
      <c r="AU1699" s="90"/>
      <c r="AV1699" s="91"/>
      <c r="AX1699" s="92"/>
    </row>
    <row r="1700" customFormat="false" ht="15.65" hidden="false" customHeight="false" outlineLevel="0" collapsed="false">
      <c r="C1700" s="72" t="n">
        <f aca="false">COUNTIFS($D$6:D1700,"&lt;&gt;"&amp;"")</f>
        <v>1695</v>
      </c>
      <c r="D1700" s="73" t="s">
        <v>12</v>
      </c>
      <c r="E1700" s="76" t="str">
        <f aca="false">
IF($D1700="정상",INDEX(임대자산!$D$3:$R$3000,MATCH($F1700,임대자산!$I$3:$I$3000,0),MATCH(E$3,임대자산!$D$3:$R$3,0)),
IF($D1700="폐업",INDEX(폐업정보!$D$3:$R$3000,MATCH($F1700,폐업정보!$I$3:$I$3000,0),MATCH(E$3,폐업정보!$D$3:$R$3,0)),
"Error"))</f>
        <v>서울</v>
      </c>
      <c r="F170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B1695</v>
      </c>
      <c r="G1700" s="76" t="str">
        <f aca="false">F1700&amp;RANDBETWEEN(0,10)</f>
        <v>B16954</v>
      </c>
      <c r="H1700" s="75" t="n">
        <f aca="false">
IF($D1700="정상",INDEX(임대자산!$D$3:$R$3000,MATCH($F1700,임대자산!$I$3:$I$3000,0),MATCH(H$4,임대자산!$D$3:$R$3,0)),
IF($D1700="폐업",INDEX(폐업정보!$D$3:$R$3000,MATCH($F1700,폐업정보!$I$3:$I$3000,0),MATCH(H$4,폐업정보!$D$3:$R$3,0)),
"Error"))</f>
        <v>45807</v>
      </c>
      <c r="I1700" s="75" t="str">
        <f aca="false">
IF($D1700="정상",INDEX(임대자산!$D$3:$R$3000,MATCH($F1700,임대자산!$I$3:$I$3000,0),MATCH(I$4,임대자산!$D$3:$R$3,0)),
IF($D1700="폐업",INDEX(폐업정보!$D$3:$R$3000,MATCH($F1700,폐업정보!$I$3:$I$3000,0),MATCH(I$4,폐업정보!$D$3:$R$3,0)),
"Error"))</f>
        <v>A1695</v>
      </c>
      <c r="J1700" s="75" t="str">
        <f aca="false">
IF($D1700="정상",INDEX(임대자산!$D$3:$R$3000,MATCH($F1700,임대자산!$I$3:$I$3000,0),MATCH(J$4,임대자산!$D$3:$R$3,0)),
IF($D1700="폐업",INDEX(폐업정보!$D$3:$R$3000,MATCH($F1700,폐업정보!$I$3:$I$3000,0),MATCH(J$4,폐업정보!$D$3:$R$3,0)),
"Error"))</f>
        <v>2217700000</v>
      </c>
      <c r="K1700" s="75" t="str">
        <f aca="false">
IF($D1700="정상",INDEX(임대자산!$D$3:$R$3000,MATCH($F1700,임대자산!$I$3:$I$3000,0),MATCH(K$4,임대자산!$D$3:$R$3,0)),
IF($D1700="폐업",INDEX(폐업정보!$D$3:$R$3000,MATCH($F1700,폐업정보!$I$3:$I$3000,0),MATCH(K$4,폐업정보!$D$3:$R$3,0)),
"Error"))</f>
        <v>C1695</v>
      </c>
      <c r="L1700" s="75" t="str">
        <f aca="false">
IF($D1700="정상",INDEX(임대자산!$D$3:$R$3000,MATCH($F1700,임대자산!$I$3:$I$3000,0),MATCH(L$4,임대자산!$D$3:$R$3,0)),
IF($D1700="폐업",INDEX(폐업정보!$D$3:$R$3000,MATCH($F1700,폐업정보!$I$3:$I$3000,0),MATCH(L$4,폐업정보!$D$3:$R$3,0)),
"Error"))</f>
        <v>D1695</v>
      </c>
      <c r="M1700" s="76" t="s">
        <v>96</v>
      </c>
      <c r="N1700" s="77"/>
      <c r="O1700" s="78" t="s">
        <v>97</v>
      </c>
      <c r="P1700" s="79" t="n">
        <f aca="false">COUNTIFS(임대자산!$I:$I,가맹점정보!F1700,임대자산!$N:$N,가맹점정보!P$4)</f>
        <v>0</v>
      </c>
      <c r="Q1700" s="80" t="n">
        <f aca="false">COUNTIFS(임대자산!$I:$I,가맹점정보!F1700,임대자산!$N:$N,가맹점정보!Q$4)</f>
        <v>0</v>
      </c>
      <c r="R1700" s="81" t="n">
        <f aca="false">COUNTIFS(임대자산!$I:$I,가맹점정보!F1700,임대자산!$N:$N,가맹점정보!R$4)</f>
        <v>1</v>
      </c>
      <c r="S1700" s="82" t="n">
        <v>55000</v>
      </c>
      <c r="T1700" s="83" t="n">
        <v>0</v>
      </c>
      <c r="U1700" s="80" t="n">
        <f aca="false">SUM(S1700:T1700)</f>
        <v>55000</v>
      </c>
      <c r="V1700" s="84" t="s">
        <v>7</v>
      </c>
      <c r="W1700" s="80" t="str">
        <f aca="true">
IF(D1700="폐업","폐업",
IF(V1700="면제","면제",
IF(AND(V1700="정상",COUNTIFS(OFFSET(Y1700,0,COUNTA(Y1700:AV1700)-1,1,-4),"미납")&gt;=3),"장기미납",
IF(AND(V1700="정상",OFFSET(Y1700,0,COUNTA(Y1700:AV1700)-1)&gt;=U1700),"정상",
IF(AND(V1700="정상",OFFSET(Y1700,0,COUNTA(Y1700:AV1700)-1)=0),"정상",
"계약서 미작성")))))</f>
        <v>면제</v>
      </c>
      <c r="X1700" s="81" t="str">
        <f aca="true">
IF(D1700="폐업","폐업",
IF(AND(V1700="정상",OFFSET(Y1700,0,COUNTA(Y1700:AV1700)-1)="미납"),"미납",
IF(AND(V1700="정상",OFFSET(Y1700,0,COUNTA(Y1700:AV1700)-1)=0),"납부 시작 전",
IF(AND(V1700="정상",OFFSET(Y1700,0,COUNTA(Y1700:AV1700)-1)&gt;=U1700),"정상",
IF(AND(V1700="면제",OFFSET(Y1700,0,COUNTA(Y1700:AV1700)-1)="면제"),"면제",
IF(AND(V1700="면제",OFFSET(Y1700,0,COUNTA(Y1700:AV1700)-1)=0),"면제",
"확인요청"))))))</f>
        <v>면제</v>
      </c>
      <c r="Y1700" s="94" t="s">
        <v>7</v>
      </c>
      <c r="Z1700" s="95" t="s">
        <v>7</v>
      </c>
      <c r="AA1700" s="95" t="s">
        <v>7</v>
      </c>
      <c r="AB1700" s="95" t="s">
        <v>7</v>
      </c>
      <c r="AC1700" s="95" t="s">
        <v>7</v>
      </c>
      <c r="AD1700" s="95" t="s">
        <v>7</v>
      </c>
      <c r="AE1700" s="95" t="s">
        <v>7</v>
      </c>
      <c r="AF1700" s="95" t="s">
        <v>7</v>
      </c>
      <c r="AG1700" s="95" t="s">
        <v>7</v>
      </c>
      <c r="AH1700" s="95" t="s">
        <v>7</v>
      </c>
      <c r="AI1700" s="95" t="s">
        <v>7</v>
      </c>
      <c r="AJ1700" s="96" t="s">
        <v>7</v>
      </c>
      <c r="AK1700" s="97" t="s">
        <v>7</v>
      </c>
      <c r="AL1700" s="95" t="s">
        <v>7</v>
      </c>
      <c r="AM1700" s="90"/>
      <c r="AN1700" s="90"/>
      <c r="AO1700" s="90"/>
      <c r="AP1700" s="90"/>
      <c r="AQ1700" s="90"/>
      <c r="AR1700" s="90"/>
      <c r="AS1700" s="90"/>
      <c r="AT1700" s="90"/>
      <c r="AU1700" s="90"/>
      <c r="AV1700" s="91"/>
      <c r="AX1700" s="92"/>
    </row>
    <row r="1701" customFormat="false" ht="15.65" hidden="false" customHeight="false" outlineLevel="0" collapsed="false">
      <c r="C1701" s="72" t="n">
        <f aca="false">COUNTIFS($D$6:D1701,"&lt;&gt;"&amp;"")</f>
        <v>1696</v>
      </c>
      <c r="D1701" s="73" t="s">
        <v>12</v>
      </c>
      <c r="E1701" s="76" t="str">
        <f aca="false">
IF($D1701="정상",INDEX(임대자산!$D$3:$R$3000,MATCH($F1701,임대자산!$I$3:$I$3000,0),MATCH(E$3,임대자산!$D$3:$R$3,0)),
IF($D1701="폐업",INDEX(폐업정보!$D$3:$R$3000,MATCH($F1701,폐업정보!$I$3:$I$3000,0),MATCH(E$3,폐업정보!$D$3:$R$3,0)),
"Error"))</f>
        <v>서울</v>
      </c>
      <c r="F170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B1696</v>
      </c>
      <c r="G1701" s="76" t="str">
        <f aca="false">F1701&amp;RANDBETWEEN(0,10)</f>
        <v>B16969</v>
      </c>
      <c r="H1701" s="75" t="n">
        <f aca="false">
IF($D1701="정상",INDEX(임대자산!$D$3:$R$3000,MATCH($F1701,임대자산!$I$3:$I$3000,0),MATCH(H$4,임대자산!$D$3:$R$3,0)),
IF($D1701="폐업",INDEX(폐업정보!$D$3:$R$3000,MATCH($F1701,폐업정보!$I$3:$I$3000,0),MATCH(H$4,폐업정보!$D$3:$R$3,0)),
"Error"))</f>
        <v>45810</v>
      </c>
      <c r="I1701" s="75" t="str">
        <f aca="false">
IF($D1701="정상",INDEX(임대자산!$D$3:$R$3000,MATCH($F1701,임대자산!$I$3:$I$3000,0),MATCH(I$4,임대자산!$D$3:$R$3,0)),
IF($D1701="폐업",INDEX(폐업정보!$D$3:$R$3000,MATCH($F1701,폐업정보!$I$3:$I$3000,0),MATCH(I$4,폐업정보!$D$3:$R$3,0)),
"Error"))</f>
        <v>A1696</v>
      </c>
      <c r="J1701" s="75" t="str">
        <f aca="false">
IF($D1701="정상",INDEX(임대자산!$D$3:$R$3000,MATCH($F1701,임대자산!$I$3:$I$3000,0),MATCH(J$4,임대자산!$D$3:$R$3,0)),
IF($D1701="폐업",INDEX(폐업정보!$D$3:$R$3000,MATCH($F1701,폐업정보!$I$3:$I$3000,0),MATCH(J$4,폐업정보!$D$3:$R$3,0)),
"Error"))</f>
        <v>5940600000</v>
      </c>
      <c r="K1701" s="75" t="str">
        <f aca="false">
IF($D1701="정상",INDEX(임대자산!$D$3:$R$3000,MATCH($F1701,임대자산!$I$3:$I$3000,0),MATCH(K$4,임대자산!$D$3:$R$3,0)),
IF($D1701="폐업",INDEX(폐업정보!$D$3:$R$3000,MATCH($F1701,폐업정보!$I$3:$I$3000,0),MATCH(K$4,폐업정보!$D$3:$R$3,0)),
"Error"))</f>
        <v>C1696</v>
      </c>
      <c r="L1701" s="75" t="str">
        <f aca="false">
IF($D1701="정상",INDEX(임대자산!$D$3:$R$3000,MATCH($F1701,임대자산!$I$3:$I$3000,0),MATCH(L$4,임대자산!$D$3:$R$3,0)),
IF($D1701="폐업",INDEX(폐업정보!$D$3:$R$3000,MATCH($F1701,폐업정보!$I$3:$I$3000,0),MATCH(L$4,폐업정보!$D$3:$R$3,0)),
"Error"))</f>
        <v>D1696</v>
      </c>
      <c r="M1701" s="76" t="s">
        <v>96</v>
      </c>
      <c r="N1701" s="77"/>
      <c r="O1701" s="78" t="s">
        <v>97</v>
      </c>
      <c r="P1701" s="79" t="n">
        <f aca="false">COUNTIFS(임대자산!$I:$I,가맹점정보!F1701,임대자산!$N:$N,가맹점정보!P$4)</f>
        <v>0</v>
      </c>
      <c r="Q1701" s="80" t="n">
        <f aca="false">COUNTIFS(임대자산!$I:$I,가맹점정보!F1701,임대자산!$N:$N,가맹점정보!Q$4)</f>
        <v>0</v>
      </c>
      <c r="R1701" s="81" t="n">
        <f aca="false">COUNTIFS(임대자산!$I:$I,가맹점정보!F1701,임대자산!$N:$N,가맹점정보!R$4)</f>
        <v>1</v>
      </c>
      <c r="S1701" s="82" t="n">
        <v>88000</v>
      </c>
      <c r="T1701" s="83" t="n">
        <v>0</v>
      </c>
      <c r="U1701" s="80" t="n">
        <f aca="false">SUM(S1701:T1701)</f>
        <v>88000</v>
      </c>
      <c r="V1701" s="84" t="s">
        <v>7</v>
      </c>
      <c r="W1701" s="80" t="str">
        <f aca="true">
IF(D1701="폐업","폐업",
IF(V1701="면제","면제",
IF(AND(V1701="정상",COUNTIFS(OFFSET(Y1701,0,COUNTA(Y1701:AV1701)-1,1,-4),"미납")&gt;=3),"장기미납",
IF(AND(V1701="정상",OFFSET(Y1701,0,COUNTA(Y1701:AV1701)-1)&gt;=U1701),"정상",
IF(AND(V1701="정상",OFFSET(Y1701,0,COUNTA(Y1701:AV1701)-1)=0),"정상",
"계약서 미작성")))))</f>
        <v>면제</v>
      </c>
      <c r="X1701" s="81" t="str">
        <f aca="true">
IF(D1701="폐업","폐업",
IF(AND(V1701="정상",OFFSET(Y1701,0,COUNTA(Y1701:AV1701)-1)="미납"),"미납",
IF(AND(V1701="정상",OFFSET(Y1701,0,COUNTA(Y1701:AV1701)-1)=0),"납부 시작 전",
IF(AND(V1701="정상",OFFSET(Y1701,0,COUNTA(Y1701:AV1701)-1)&gt;=U1701),"정상",
IF(AND(V1701="면제",OFFSET(Y1701,0,COUNTA(Y1701:AV1701)-1)="면제"),"면제",
IF(AND(V1701="면제",OFFSET(Y1701,0,COUNTA(Y1701:AV1701)-1)=0),"면제",
"확인요청"))))))</f>
        <v>면제</v>
      </c>
      <c r="Y1701" s="94" t="s">
        <v>7</v>
      </c>
      <c r="Z1701" s="95" t="s">
        <v>7</v>
      </c>
      <c r="AA1701" s="95" t="s">
        <v>7</v>
      </c>
      <c r="AB1701" s="95" t="s">
        <v>7</v>
      </c>
      <c r="AC1701" s="95" t="s">
        <v>7</v>
      </c>
      <c r="AD1701" s="95" t="s">
        <v>7</v>
      </c>
      <c r="AE1701" s="95" t="s">
        <v>7</v>
      </c>
      <c r="AF1701" s="95" t="s">
        <v>7</v>
      </c>
      <c r="AG1701" s="95" t="s">
        <v>7</v>
      </c>
      <c r="AH1701" s="95" t="s">
        <v>7</v>
      </c>
      <c r="AI1701" s="95" t="s">
        <v>7</v>
      </c>
      <c r="AJ1701" s="96" t="s">
        <v>7</v>
      </c>
      <c r="AK1701" s="97" t="s">
        <v>7</v>
      </c>
      <c r="AL1701" s="95" t="s">
        <v>7</v>
      </c>
      <c r="AM1701" s="90"/>
      <c r="AN1701" s="90"/>
      <c r="AO1701" s="90"/>
      <c r="AP1701" s="90"/>
      <c r="AQ1701" s="90"/>
      <c r="AR1701" s="90"/>
      <c r="AS1701" s="90"/>
      <c r="AT1701" s="90"/>
      <c r="AU1701" s="90"/>
      <c r="AV1701" s="91"/>
      <c r="AX1701" s="92"/>
    </row>
    <row r="1702" customFormat="false" ht="15.65" hidden="false" customHeight="false" outlineLevel="0" collapsed="false">
      <c r="C1702" s="72" t="n">
        <f aca="false">COUNTIFS($D$6:D1702,"&lt;&gt;"&amp;"")</f>
        <v>1697</v>
      </c>
      <c r="D1702" s="73" t="s">
        <v>12</v>
      </c>
      <c r="E1702" s="76" t="str">
        <f aca="false">
IF($D1702="정상",INDEX(임대자산!$D$3:$R$3000,MATCH($F1702,임대자산!$I$3:$I$3000,0),MATCH(E$3,임대자산!$D$3:$R$3,0)),
IF($D1702="폐업",INDEX(폐업정보!$D$3:$R$3000,MATCH($F1702,폐업정보!$I$3:$I$3000,0),MATCH(E$3,폐업정보!$D$3:$R$3,0)),
"Error"))</f>
        <v>서울</v>
      </c>
      <c r="F170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B1697</v>
      </c>
      <c r="G1702" s="76" t="str">
        <f aca="false">F1702&amp;RANDBETWEEN(0,10)</f>
        <v>B16970</v>
      </c>
      <c r="H1702" s="75" t="n">
        <f aca="false">
IF($D1702="정상",INDEX(임대자산!$D$3:$R$3000,MATCH($F1702,임대자산!$I$3:$I$3000,0),MATCH(H$4,임대자산!$D$3:$R$3,0)),
IF($D1702="폐업",INDEX(폐업정보!$D$3:$R$3000,MATCH($F1702,폐업정보!$I$3:$I$3000,0),MATCH(H$4,폐업정보!$D$3:$R$3,0)),
"Error"))</f>
        <v>45810</v>
      </c>
      <c r="I1702" s="75" t="str">
        <f aca="false">
IF($D1702="정상",INDEX(임대자산!$D$3:$R$3000,MATCH($F1702,임대자산!$I$3:$I$3000,0),MATCH(I$4,임대자산!$D$3:$R$3,0)),
IF($D1702="폐업",INDEX(폐업정보!$D$3:$R$3000,MATCH($F1702,폐업정보!$I$3:$I$3000,0),MATCH(I$4,폐업정보!$D$3:$R$3,0)),
"Error"))</f>
        <v>A1697</v>
      </c>
      <c r="J1702" s="75" t="str">
        <f aca="false">
IF($D1702="정상",INDEX(임대자산!$D$3:$R$3000,MATCH($F1702,임대자산!$I$3:$I$3000,0),MATCH(J$4,임대자산!$D$3:$R$3,0)),
IF($D1702="폐업",INDEX(폐업정보!$D$3:$R$3000,MATCH($F1702,폐업정보!$I$3:$I$3000,0),MATCH(J$4,폐업정보!$D$3:$R$3,0)),
"Error"))</f>
        <v>3114000000</v>
      </c>
      <c r="K1702" s="75" t="str">
        <f aca="false">
IF($D1702="정상",INDEX(임대자산!$D$3:$R$3000,MATCH($F1702,임대자산!$I$3:$I$3000,0),MATCH(K$4,임대자산!$D$3:$R$3,0)),
IF($D1702="폐업",INDEX(폐업정보!$D$3:$R$3000,MATCH($F1702,폐업정보!$I$3:$I$3000,0),MATCH(K$4,폐업정보!$D$3:$R$3,0)),
"Error"))</f>
        <v>C1697</v>
      </c>
      <c r="L1702" s="75" t="str">
        <f aca="false">
IF($D1702="정상",INDEX(임대자산!$D$3:$R$3000,MATCH($F1702,임대자산!$I$3:$I$3000,0),MATCH(L$4,임대자산!$D$3:$R$3,0)),
IF($D1702="폐업",INDEX(폐업정보!$D$3:$R$3000,MATCH($F1702,폐업정보!$I$3:$I$3000,0),MATCH(L$4,폐업정보!$D$3:$R$3,0)),
"Error"))</f>
        <v>D1697</v>
      </c>
      <c r="M1702" s="76" t="s">
        <v>96</v>
      </c>
      <c r="N1702" s="77"/>
      <c r="O1702" s="78" t="s">
        <v>97</v>
      </c>
      <c r="P1702" s="79" t="n">
        <f aca="false">COUNTIFS(임대자산!$I:$I,가맹점정보!F1702,임대자산!$N:$N,가맹점정보!P$4)</f>
        <v>0</v>
      </c>
      <c r="Q1702" s="80" t="n">
        <f aca="false">COUNTIFS(임대자산!$I:$I,가맹점정보!F1702,임대자산!$N:$N,가맹점정보!Q$4)</f>
        <v>0</v>
      </c>
      <c r="R1702" s="81" t="n">
        <f aca="false">COUNTIFS(임대자산!$I:$I,가맹점정보!F1702,임대자산!$N:$N,가맹점정보!R$4)</f>
        <v>1</v>
      </c>
      <c r="S1702" s="82" t="n">
        <v>55000</v>
      </c>
      <c r="T1702" s="83" t="n">
        <v>0</v>
      </c>
      <c r="U1702" s="80" t="n">
        <f aca="false">SUM(S1702:T1702)</f>
        <v>55000</v>
      </c>
      <c r="V1702" s="84" t="s">
        <v>7</v>
      </c>
      <c r="W1702" s="80" t="str">
        <f aca="true">
IF(D1702="폐업","폐업",
IF(V1702="면제","면제",
IF(AND(V1702="정상",COUNTIFS(OFFSET(Y1702,0,COUNTA(Y1702:AV1702)-1,1,-4),"미납")&gt;=3),"장기미납",
IF(AND(V1702="정상",OFFSET(Y1702,0,COUNTA(Y1702:AV1702)-1)&gt;=U1702),"정상",
IF(AND(V1702="정상",OFFSET(Y1702,0,COUNTA(Y1702:AV1702)-1)=0),"정상",
"계약서 미작성")))))</f>
        <v>면제</v>
      </c>
      <c r="X1702" s="81" t="str">
        <f aca="true">
IF(D1702="폐업","폐업",
IF(AND(V1702="정상",OFFSET(Y1702,0,COUNTA(Y1702:AV1702)-1)="미납"),"미납",
IF(AND(V1702="정상",OFFSET(Y1702,0,COUNTA(Y1702:AV1702)-1)=0),"납부 시작 전",
IF(AND(V1702="정상",OFFSET(Y1702,0,COUNTA(Y1702:AV1702)-1)&gt;=U1702),"정상",
IF(AND(V1702="면제",OFFSET(Y1702,0,COUNTA(Y1702:AV1702)-1)="면제"),"면제",
IF(AND(V1702="면제",OFFSET(Y1702,0,COUNTA(Y1702:AV1702)-1)=0),"면제",
"확인요청"))))))</f>
        <v>면제</v>
      </c>
      <c r="Y1702" s="94" t="s">
        <v>7</v>
      </c>
      <c r="Z1702" s="95" t="s">
        <v>7</v>
      </c>
      <c r="AA1702" s="95" t="s">
        <v>7</v>
      </c>
      <c r="AB1702" s="95" t="s">
        <v>7</v>
      </c>
      <c r="AC1702" s="95" t="s">
        <v>7</v>
      </c>
      <c r="AD1702" s="95" t="s">
        <v>7</v>
      </c>
      <c r="AE1702" s="95" t="s">
        <v>7</v>
      </c>
      <c r="AF1702" s="95" t="s">
        <v>7</v>
      </c>
      <c r="AG1702" s="95" t="s">
        <v>7</v>
      </c>
      <c r="AH1702" s="95" t="s">
        <v>7</v>
      </c>
      <c r="AI1702" s="95" t="s">
        <v>7</v>
      </c>
      <c r="AJ1702" s="96" t="s">
        <v>7</v>
      </c>
      <c r="AK1702" s="97" t="s">
        <v>7</v>
      </c>
      <c r="AL1702" s="95" t="s">
        <v>7</v>
      </c>
      <c r="AM1702" s="90"/>
      <c r="AN1702" s="90"/>
      <c r="AO1702" s="90"/>
      <c r="AP1702" s="90"/>
      <c r="AQ1702" s="90"/>
      <c r="AR1702" s="90"/>
      <c r="AS1702" s="90"/>
      <c r="AT1702" s="90"/>
      <c r="AU1702" s="90"/>
      <c r="AV1702" s="91"/>
      <c r="AX1702" s="92"/>
    </row>
    <row r="1703" customFormat="false" ht="15.65" hidden="false" customHeight="false" outlineLevel="0" collapsed="false">
      <c r="C1703" s="72" t="n">
        <f aca="false">COUNTIFS($D$6:D1703,"&lt;&gt;"&amp;"")</f>
        <v>1698</v>
      </c>
      <c r="D1703" s="73" t="s">
        <v>12</v>
      </c>
      <c r="E1703" s="76" t="str">
        <f aca="false">
IF($D1703="정상",INDEX(임대자산!$D$3:$R$3000,MATCH($F1703,임대자산!$I$3:$I$3000,0),MATCH(E$3,임대자산!$D$3:$R$3,0)),
IF($D1703="폐업",INDEX(폐업정보!$D$3:$R$3000,MATCH($F1703,폐업정보!$I$3:$I$3000,0),MATCH(E$3,폐업정보!$D$3:$R$3,0)),
"Error"))</f>
        <v>서울</v>
      </c>
      <c r="F170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B1698</v>
      </c>
      <c r="G1703" s="76" t="str">
        <f aca="false">F1703&amp;RANDBETWEEN(0,10)</f>
        <v>B16985</v>
      </c>
      <c r="H1703" s="75" t="n">
        <f aca="false">
IF($D1703="정상",INDEX(임대자산!$D$3:$R$3000,MATCH($F1703,임대자산!$I$3:$I$3000,0),MATCH(H$4,임대자산!$D$3:$R$3,0)),
IF($D1703="폐업",INDEX(폐업정보!$D$3:$R$3000,MATCH($F1703,폐업정보!$I$3:$I$3000,0),MATCH(H$4,폐업정보!$D$3:$R$3,0)),
"Error"))</f>
        <v>45810</v>
      </c>
      <c r="I1703" s="75" t="str">
        <f aca="false">
IF($D1703="정상",INDEX(임대자산!$D$3:$R$3000,MATCH($F1703,임대자산!$I$3:$I$3000,0),MATCH(I$4,임대자산!$D$3:$R$3,0)),
IF($D1703="폐업",INDEX(폐업정보!$D$3:$R$3000,MATCH($F1703,폐업정보!$I$3:$I$3000,0),MATCH(I$4,폐업정보!$D$3:$R$3,0)),
"Error"))</f>
        <v>A1698</v>
      </c>
      <c r="J1703" s="75" t="str">
        <f aca="false">
IF($D1703="정상",INDEX(임대자산!$D$3:$R$3000,MATCH($F1703,임대자산!$I$3:$I$3000,0),MATCH(J$4,임대자산!$D$3:$R$3,0)),
IF($D1703="폐업",INDEX(폐업정보!$D$3:$R$3000,MATCH($F1703,폐업정보!$I$3:$I$3000,0),MATCH(J$4,폐업정보!$D$3:$R$3,0)),
"Error"))</f>
        <v>2064500000</v>
      </c>
      <c r="K1703" s="75" t="str">
        <f aca="false">
IF($D1703="정상",INDEX(임대자산!$D$3:$R$3000,MATCH($F1703,임대자산!$I$3:$I$3000,0),MATCH(K$4,임대자산!$D$3:$R$3,0)),
IF($D1703="폐업",INDEX(폐업정보!$D$3:$R$3000,MATCH($F1703,폐업정보!$I$3:$I$3000,0),MATCH(K$4,폐업정보!$D$3:$R$3,0)),
"Error"))</f>
        <v>C1698</v>
      </c>
      <c r="L1703" s="75" t="str">
        <f aca="false">
IF($D1703="정상",INDEX(임대자산!$D$3:$R$3000,MATCH($F1703,임대자산!$I$3:$I$3000,0),MATCH(L$4,임대자산!$D$3:$R$3,0)),
IF($D1703="폐업",INDEX(폐업정보!$D$3:$R$3000,MATCH($F1703,폐업정보!$I$3:$I$3000,0),MATCH(L$4,폐업정보!$D$3:$R$3,0)),
"Error"))</f>
        <v>D1698</v>
      </c>
      <c r="M1703" s="76" t="s">
        <v>96</v>
      </c>
      <c r="N1703" s="77"/>
      <c r="O1703" s="78" t="s">
        <v>97</v>
      </c>
      <c r="P1703" s="79" t="n">
        <f aca="false">COUNTIFS(임대자산!$I:$I,가맹점정보!F1703,임대자산!$N:$N,가맹점정보!P$4)</f>
        <v>0</v>
      </c>
      <c r="Q1703" s="80" t="n">
        <f aca="false">COUNTIFS(임대자산!$I:$I,가맹점정보!F1703,임대자산!$N:$N,가맹점정보!Q$4)</f>
        <v>0</v>
      </c>
      <c r="R1703" s="81" t="n">
        <f aca="false">COUNTIFS(임대자산!$I:$I,가맹점정보!F1703,임대자산!$N:$N,가맹점정보!R$4)</f>
        <v>1</v>
      </c>
      <c r="S1703" s="82" t="n">
        <v>55000</v>
      </c>
      <c r="T1703" s="83" t="n">
        <v>0</v>
      </c>
      <c r="U1703" s="80" t="n">
        <f aca="false">SUM(S1703:T1703)</f>
        <v>55000</v>
      </c>
      <c r="V1703" s="84" t="s">
        <v>7</v>
      </c>
      <c r="W1703" s="80" t="str">
        <f aca="true">
IF(D1703="폐업","폐업",
IF(V1703="면제","면제",
IF(AND(V1703="정상",COUNTIFS(OFFSET(Y1703,0,COUNTA(Y1703:AV1703)-1,1,-4),"미납")&gt;=3),"장기미납",
IF(AND(V1703="정상",OFFSET(Y1703,0,COUNTA(Y1703:AV1703)-1)&gt;=U1703),"정상",
IF(AND(V1703="정상",OFFSET(Y1703,0,COUNTA(Y1703:AV1703)-1)=0),"정상",
"계약서 미작성")))))</f>
        <v>면제</v>
      </c>
      <c r="X1703" s="81" t="str">
        <f aca="true">
IF(D1703="폐업","폐업",
IF(AND(V1703="정상",OFFSET(Y1703,0,COUNTA(Y1703:AV1703)-1)="미납"),"미납",
IF(AND(V1703="정상",OFFSET(Y1703,0,COUNTA(Y1703:AV1703)-1)=0),"납부 시작 전",
IF(AND(V1703="정상",OFFSET(Y1703,0,COUNTA(Y1703:AV1703)-1)&gt;=U1703),"정상",
IF(AND(V1703="면제",OFFSET(Y1703,0,COUNTA(Y1703:AV1703)-1)="면제"),"면제",
IF(AND(V1703="면제",OFFSET(Y1703,0,COUNTA(Y1703:AV1703)-1)=0),"면제",
"확인요청"))))))</f>
        <v>면제</v>
      </c>
      <c r="Y1703" s="94" t="s">
        <v>7</v>
      </c>
      <c r="Z1703" s="95" t="s">
        <v>7</v>
      </c>
      <c r="AA1703" s="95" t="s">
        <v>7</v>
      </c>
      <c r="AB1703" s="95" t="s">
        <v>7</v>
      </c>
      <c r="AC1703" s="95" t="s">
        <v>7</v>
      </c>
      <c r="AD1703" s="95" t="s">
        <v>7</v>
      </c>
      <c r="AE1703" s="95" t="s">
        <v>7</v>
      </c>
      <c r="AF1703" s="95" t="s">
        <v>7</v>
      </c>
      <c r="AG1703" s="95" t="s">
        <v>7</v>
      </c>
      <c r="AH1703" s="95" t="s">
        <v>7</v>
      </c>
      <c r="AI1703" s="95" t="s">
        <v>7</v>
      </c>
      <c r="AJ1703" s="96" t="s">
        <v>7</v>
      </c>
      <c r="AK1703" s="97" t="s">
        <v>7</v>
      </c>
      <c r="AL1703" s="95" t="s">
        <v>7</v>
      </c>
      <c r="AM1703" s="90"/>
      <c r="AN1703" s="90"/>
      <c r="AO1703" s="90"/>
      <c r="AP1703" s="90"/>
      <c r="AQ1703" s="90"/>
      <c r="AR1703" s="90"/>
      <c r="AS1703" s="90"/>
      <c r="AT1703" s="90"/>
      <c r="AU1703" s="90"/>
      <c r="AV1703" s="91"/>
      <c r="AX1703" s="92"/>
    </row>
    <row r="1704" customFormat="false" ht="15.65" hidden="false" customHeight="false" outlineLevel="0" collapsed="false">
      <c r="C1704" s="72" t="n">
        <f aca="false">COUNTIFS($D$6:D1704,"&lt;&gt;"&amp;"")</f>
        <v>1699</v>
      </c>
      <c r="D1704" s="73" t="s">
        <v>12</v>
      </c>
      <c r="E1704" s="76" t="str">
        <f aca="false">
IF($D1704="정상",INDEX(임대자산!$D$3:$R$3000,MATCH($F1704,임대자산!$I$3:$I$3000,0),MATCH(E$3,임대자산!$D$3:$R$3,0)),
IF($D1704="폐업",INDEX(폐업정보!$D$3:$R$3000,MATCH($F1704,폐업정보!$I$3:$I$3000,0),MATCH(E$3,폐업정보!$D$3:$R$3,0)),
"Error"))</f>
        <v>서울</v>
      </c>
      <c r="F170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B1699</v>
      </c>
      <c r="G1704" s="76" t="str">
        <f aca="false">F1704&amp;RANDBETWEEN(0,10)</f>
        <v>B16997</v>
      </c>
      <c r="H1704" s="75" t="n">
        <f aca="false">
IF($D1704="정상",INDEX(임대자산!$D$3:$R$3000,MATCH($F1704,임대자산!$I$3:$I$3000,0),MATCH(H$4,임대자산!$D$3:$R$3,0)),
IF($D1704="폐업",INDEX(폐업정보!$D$3:$R$3000,MATCH($F1704,폐업정보!$I$3:$I$3000,0),MATCH(H$4,폐업정보!$D$3:$R$3,0)),
"Error"))</f>
        <v>45807</v>
      </c>
      <c r="I1704" s="75" t="str">
        <f aca="false">
IF($D1704="정상",INDEX(임대자산!$D$3:$R$3000,MATCH($F1704,임대자산!$I$3:$I$3000,0),MATCH(I$4,임대자산!$D$3:$R$3,0)),
IF($D1704="폐업",INDEX(폐업정보!$D$3:$R$3000,MATCH($F1704,폐업정보!$I$3:$I$3000,0),MATCH(I$4,폐업정보!$D$3:$R$3,0)),
"Error"))</f>
        <v>A1699</v>
      </c>
      <c r="J1704" s="75" t="str">
        <f aca="false">
IF($D1704="정상",INDEX(임대자산!$D$3:$R$3000,MATCH($F1704,임대자산!$I$3:$I$3000,0),MATCH(J$4,임대자산!$D$3:$R$3,0)),
IF($D1704="폐업",INDEX(폐업정보!$D$3:$R$3000,MATCH($F1704,폐업정보!$I$3:$I$3000,0),MATCH(J$4,폐업정보!$D$3:$R$3,0)),
"Error"))</f>
        <v>9279000000</v>
      </c>
      <c r="K1704" s="75" t="str">
        <f aca="false">
IF($D1704="정상",INDEX(임대자산!$D$3:$R$3000,MATCH($F1704,임대자산!$I$3:$I$3000,0),MATCH(K$4,임대자산!$D$3:$R$3,0)),
IF($D1704="폐업",INDEX(폐업정보!$D$3:$R$3000,MATCH($F1704,폐업정보!$I$3:$I$3000,0),MATCH(K$4,폐업정보!$D$3:$R$3,0)),
"Error"))</f>
        <v>C1699</v>
      </c>
      <c r="L1704" s="75" t="str">
        <f aca="false">
IF($D1704="정상",INDEX(임대자산!$D$3:$R$3000,MATCH($F1704,임대자산!$I$3:$I$3000,0),MATCH(L$4,임대자산!$D$3:$R$3,0)),
IF($D1704="폐업",INDEX(폐업정보!$D$3:$R$3000,MATCH($F1704,폐업정보!$I$3:$I$3000,0),MATCH(L$4,폐업정보!$D$3:$R$3,0)),
"Error"))</f>
        <v>D1699</v>
      </c>
      <c r="M1704" s="76" t="s">
        <v>96</v>
      </c>
      <c r="N1704" s="77"/>
      <c r="O1704" s="78" t="s">
        <v>97</v>
      </c>
      <c r="P1704" s="79" t="n">
        <f aca="false">COUNTIFS(임대자산!$I:$I,가맹점정보!F1704,임대자산!$N:$N,가맹점정보!P$4)</f>
        <v>0</v>
      </c>
      <c r="Q1704" s="80" t="n">
        <f aca="false">COUNTIFS(임대자산!$I:$I,가맹점정보!F1704,임대자산!$N:$N,가맹점정보!Q$4)</f>
        <v>0</v>
      </c>
      <c r="R1704" s="81" t="n">
        <f aca="false">COUNTIFS(임대자산!$I:$I,가맹점정보!F1704,임대자산!$N:$N,가맹점정보!R$4)</f>
        <v>1</v>
      </c>
      <c r="S1704" s="82" t="n">
        <v>55000</v>
      </c>
      <c r="T1704" s="83" t="n">
        <v>0</v>
      </c>
      <c r="U1704" s="80" t="n">
        <f aca="false">SUM(S1704:T1704)</f>
        <v>55000</v>
      </c>
      <c r="V1704" s="84" t="s">
        <v>7</v>
      </c>
      <c r="W1704" s="80" t="str">
        <f aca="true">
IF(D1704="폐업","폐업",
IF(V1704="면제","면제",
IF(AND(V1704="정상",COUNTIFS(OFFSET(Y1704,0,COUNTA(Y1704:AV1704)-1,1,-4),"미납")&gt;=3),"장기미납",
IF(AND(V1704="정상",OFFSET(Y1704,0,COUNTA(Y1704:AV1704)-1)&gt;=U1704),"정상",
IF(AND(V1704="정상",OFFSET(Y1704,0,COUNTA(Y1704:AV1704)-1)=0),"정상",
"계약서 미작성")))))</f>
        <v>면제</v>
      </c>
      <c r="X1704" s="81" t="str">
        <f aca="true">
IF(D1704="폐업","폐업",
IF(AND(V1704="정상",OFFSET(Y1704,0,COUNTA(Y1704:AV1704)-1)="미납"),"미납",
IF(AND(V1704="정상",OFFSET(Y1704,0,COUNTA(Y1704:AV1704)-1)=0),"납부 시작 전",
IF(AND(V1704="정상",OFFSET(Y1704,0,COUNTA(Y1704:AV1704)-1)&gt;=U1704),"정상",
IF(AND(V1704="면제",OFFSET(Y1704,0,COUNTA(Y1704:AV1704)-1)="면제"),"면제",
IF(AND(V1704="면제",OFFSET(Y1704,0,COUNTA(Y1704:AV1704)-1)=0),"면제",
"확인요청"))))))</f>
        <v>면제</v>
      </c>
      <c r="Y1704" s="94" t="s">
        <v>7</v>
      </c>
      <c r="Z1704" s="95" t="s">
        <v>7</v>
      </c>
      <c r="AA1704" s="95" t="s">
        <v>7</v>
      </c>
      <c r="AB1704" s="95" t="s">
        <v>7</v>
      </c>
      <c r="AC1704" s="95" t="s">
        <v>7</v>
      </c>
      <c r="AD1704" s="95" t="s">
        <v>7</v>
      </c>
      <c r="AE1704" s="95" t="s">
        <v>7</v>
      </c>
      <c r="AF1704" s="95" t="s">
        <v>7</v>
      </c>
      <c r="AG1704" s="95" t="s">
        <v>7</v>
      </c>
      <c r="AH1704" s="95" t="s">
        <v>7</v>
      </c>
      <c r="AI1704" s="95" t="s">
        <v>7</v>
      </c>
      <c r="AJ1704" s="96" t="s">
        <v>7</v>
      </c>
      <c r="AK1704" s="97" t="s">
        <v>7</v>
      </c>
      <c r="AL1704" s="95" t="s">
        <v>7</v>
      </c>
      <c r="AM1704" s="90"/>
      <c r="AN1704" s="90"/>
      <c r="AO1704" s="90"/>
      <c r="AP1704" s="90"/>
      <c r="AQ1704" s="90"/>
      <c r="AR1704" s="90"/>
      <c r="AS1704" s="90"/>
      <c r="AT1704" s="90"/>
      <c r="AU1704" s="90"/>
      <c r="AV1704" s="91"/>
      <c r="AX1704" s="92"/>
    </row>
    <row r="1705" customFormat="false" ht="15.65" hidden="false" customHeight="false" outlineLevel="0" collapsed="false">
      <c r="C1705" s="72" t="n">
        <f aca="false">COUNTIFS($D$6:D1705,"&lt;&gt;"&amp;"")</f>
        <v>1700</v>
      </c>
      <c r="D1705" s="73" t="s">
        <v>12</v>
      </c>
      <c r="E1705" s="76" t="str">
        <f aca="false">
IF($D1705="정상",INDEX(임대자산!$D$3:$R$3000,MATCH($F1705,임대자산!$I$3:$I$3000,0),MATCH(E$3,임대자산!$D$3:$R$3,0)),
IF($D1705="폐업",INDEX(폐업정보!$D$3:$R$3000,MATCH($F1705,폐업정보!$I$3:$I$3000,0),MATCH(E$3,폐업정보!$D$3:$R$3,0)),
"Error"))</f>
        <v>서울</v>
      </c>
      <c r="F170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B1700</v>
      </c>
      <c r="G1705" s="76" t="str">
        <f aca="false">F1705&amp;RANDBETWEEN(0,10)</f>
        <v>B17006</v>
      </c>
      <c r="H1705" s="75" t="n">
        <f aca="false">
IF($D1705="정상",INDEX(임대자산!$D$3:$R$3000,MATCH($F1705,임대자산!$I$3:$I$3000,0),MATCH(H$4,임대자산!$D$3:$R$3,0)),
IF($D1705="폐업",INDEX(폐업정보!$D$3:$R$3000,MATCH($F1705,폐업정보!$I$3:$I$3000,0),MATCH(H$4,폐업정보!$D$3:$R$3,0)),
"Error"))</f>
        <v>45807</v>
      </c>
      <c r="I1705" s="75" t="str">
        <f aca="false">
IF($D1705="정상",INDEX(임대자산!$D$3:$R$3000,MATCH($F1705,임대자산!$I$3:$I$3000,0),MATCH(I$4,임대자산!$D$3:$R$3,0)),
IF($D1705="폐업",INDEX(폐업정보!$D$3:$R$3000,MATCH($F1705,폐업정보!$I$3:$I$3000,0),MATCH(I$4,폐업정보!$D$3:$R$3,0)),
"Error"))</f>
        <v>A1700</v>
      </c>
      <c r="J1705" s="75" t="str">
        <f aca="false">
IF($D1705="정상",INDEX(임대자산!$D$3:$R$3000,MATCH($F1705,임대자산!$I$3:$I$3000,0),MATCH(J$4,임대자산!$D$3:$R$3,0)),
IF($D1705="폐업",INDEX(폐업정보!$D$3:$R$3000,MATCH($F1705,폐업정보!$I$3:$I$3000,0),MATCH(J$4,폐업정보!$D$3:$R$3,0)),
"Error"))</f>
        <v>1475200000</v>
      </c>
      <c r="K1705" s="75" t="str">
        <f aca="false">
IF($D1705="정상",INDEX(임대자산!$D$3:$R$3000,MATCH($F1705,임대자산!$I$3:$I$3000,0),MATCH(K$4,임대자산!$D$3:$R$3,0)),
IF($D1705="폐업",INDEX(폐업정보!$D$3:$R$3000,MATCH($F1705,폐업정보!$I$3:$I$3000,0),MATCH(K$4,폐업정보!$D$3:$R$3,0)),
"Error"))</f>
        <v>C1700</v>
      </c>
      <c r="L1705" s="75" t="str">
        <f aca="false">
IF($D1705="정상",INDEX(임대자산!$D$3:$R$3000,MATCH($F1705,임대자산!$I$3:$I$3000,0),MATCH(L$4,임대자산!$D$3:$R$3,0)),
IF($D1705="폐업",INDEX(폐업정보!$D$3:$R$3000,MATCH($F1705,폐업정보!$I$3:$I$3000,0),MATCH(L$4,폐업정보!$D$3:$R$3,0)),
"Error"))</f>
        <v>D1700</v>
      </c>
      <c r="M1705" s="76" t="s">
        <v>96</v>
      </c>
      <c r="N1705" s="77"/>
      <c r="O1705" s="78" t="s">
        <v>97</v>
      </c>
      <c r="P1705" s="79" t="n">
        <f aca="false">COUNTIFS(임대자산!$I:$I,가맹점정보!F1705,임대자산!$N:$N,가맹점정보!P$4)</f>
        <v>0</v>
      </c>
      <c r="Q1705" s="80" t="n">
        <f aca="false">COUNTIFS(임대자산!$I:$I,가맹점정보!F1705,임대자산!$N:$N,가맹점정보!Q$4)</f>
        <v>0</v>
      </c>
      <c r="R1705" s="81" t="n">
        <f aca="false">COUNTIFS(임대자산!$I:$I,가맹점정보!F1705,임대자산!$N:$N,가맹점정보!R$4)</f>
        <v>1</v>
      </c>
      <c r="S1705" s="82" t="n">
        <v>55000</v>
      </c>
      <c r="T1705" s="83" t="n">
        <v>0</v>
      </c>
      <c r="U1705" s="80" t="n">
        <f aca="false">SUM(S1705:T1705)</f>
        <v>55000</v>
      </c>
      <c r="V1705" s="84" t="s">
        <v>7</v>
      </c>
      <c r="W1705" s="80" t="str">
        <f aca="true">
IF(D1705="폐업","폐업",
IF(V1705="면제","면제",
IF(AND(V1705="정상",COUNTIFS(OFFSET(Y1705,0,COUNTA(Y1705:AV1705)-1,1,-4),"미납")&gt;=3),"장기미납",
IF(AND(V1705="정상",OFFSET(Y1705,0,COUNTA(Y1705:AV1705)-1)&gt;=U1705),"정상",
IF(AND(V1705="정상",OFFSET(Y1705,0,COUNTA(Y1705:AV1705)-1)=0),"정상",
"계약서 미작성")))))</f>
        <v>면제</v>
      </c>
      <c r="X1705" s="81" t="str">
        <f aca="true">
IF(D1705="폐업","폐업",
IF(AND(V1705="정상",OFFSET(Y1705,0,COUNTA(Y1705:AV1705)-1)="미납"),"미납",
IF(AND(V1705="정상",OFFSET(Y1705,0,COUNTA(Y1705:AV1705)-1)=0),"납부 시작 전",
IF(AND(V1705="정상",OFFSET(Y1705,0,COUNTA(Y1705:AV1705)-1)&gt;=U1705),"정상",
IF(AND(V1705="면제",OFFSET(Y1705,0,COUNTA(Y1705:AV1705)-1)="면제"),"면제",
IF(AND(V1705="면제",OFFSET(Y1705,0,COUNTA(Y1705:AV1705)-1)=0),"면제",
"확인요청"))))))</f>
        <v>면제</v>
      </c>
      <c r="Y1705" s="94" t="s">
        <v>7</v>
      </c>
      <c r="Z1705" s="95" t="s">
        <v>7</v>
      </c>
      <c r="AA1705" s="95" t="s">
        <v>7</v>
      </c>
      <c r="AB1705" s="95" t="s">
        <v>7</v>
      </c>
      <c r="AC1705" s="95" t="s">
        <v>7</v>
      </c>
      <c r="AD1705" s="95" t="s">
        <v>7</v>
      </c>
      <c r="AE1705" s="95" t="s">
        <v>7</v>
      </c>
      <c r="AF1705" s="95" t="s">
        <v>7</v>
      </c>
      <c r="AG1705" s="95" t="s">
        <v>7</v>
      </c>
      <c r="AH1705" s="95" t="s">
        <v>7</v>
      </c>
      <c r="AI1705" s="95" t="s">
        <v>7</v>
      </c>
      <c r="AJ1705" s="96" t="s">
        <v>7</v>
      </c>
      <c r="AK1705" s="97" t="s">
        <v>7</v>
      </c>
      <c r="AL1705" s="95" t="s">
        <v>7</v>
      </c>
      <c r="AM1705" s="90"/>
      <c r="AN1705" s="90"/>
      <c r="AO1705" s="90"/>
      <c r="AP1705" s="90"/>
      <c r="AQ1705" s="90"/>
      <c r="AR1705" s="90"/>
      <c r="AS1705" s="90"/>
      <c r="AT1705" s="90"/>
      <c r="AU1705" s="90"/>
      <c r="AV1705" s="91"/>
      <c r="AX1705" s="92"/>
    </row>
    <row r="1706" customFormat="false" ht="15.65" hidden="false" customHeight="false" outlineLevel="0" collapsed="false">
      <c r="C1706" s="72" t="n">
        <f aca="false">COUNTIFS($D$6:D1706,"&lt;&gt;"&amp;"")</f>
        <v>1701</v>
      </c>
      <c r="D1706" s="73" t="s">
        <v>12</v>
      </c>
      <c r="E1706" s="76" t="str">
        <f aca="false">
IF($D1706="정상",INDEX(임대자산!$D$3:$R$3000,MATCH($F1706,임대자산!$I$3:$I$3000,0),MATCH(E$3,임대자산!$D$3:$R$3,0)),
IF($D1706="폐업",INDEX(폐업정보!$D$3:$R$3000,MATCH($F1706,폐업정보!$I$3:$I$3000,0),MATCH(E$3,폐업정보!$D$3:$R$3,0)),
"Error"))</f>
        <v>서울</v>
      </c>
      <c r="F170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B1701</v>
      </c>
      <c r="G1706" s="76" t="str">
        <f aca="false">F1706&amp;RANDBETWEEN(0,10)</f>
        <v>B17015</v>
      </c>
      <c r="H1706" s="75" t="n">
        <f aca="false">
IF($D1706="정상",INDEX(임대자산!$D$3:$R$3000,MATCH($F1706,임대자산!$I$3:$I$3000,0),MATCH(H$4,임대자산!$D$3:$R$3,0)),
IF($D1706="폐업",INDEX(폐업정보!$D$3:$R$3000,MATCH($F1706,폐업정보!$I$3:$I$3000,0),MATCH(H$4,폐업정보!$D$3:$R$3,0)),
"Error"))</f>
        <v>45779</v>
      </c>
      <c r="I1706" s="75" t="str">
        <f aca="false">
IF($D1706="정상",INDEX(임대자산!$D$3:$R$3000,MATCH($F1706,임대자산!$I$3:$I$3000,0),MATCH(I$4,임대자산!$D$3:$R$3,0)),
IF($D1706="폐업",INDEX(폐업정보!$D$3:$R$3000,MATCH($F1706,폐업정보!$I$3:$I$3000,0),MATCH(I$4,폐업정보!$D$3:$R$3,0)),
"Error"))</f>
        <v>A1701</v>
      </c>
      <c r="J1706" s="75" t="str">
        <f aca="false">
IF($D1706="정상",INDEX(임대자산!$D$3:$R$3000,MATCH($F1706,임대자산!$I$3:$I$3000,0),MATCH(J$4,임대자산!$D$3:$R$3,0)),
IF($D1706="폐업",INDEX(폐업정보!$D$3:$R$3000,MATCH($F1706,폐업정보!$I$3:$I$3000,0),MATCH(J$4,폐업정보!$D$3:$R$3,0)),
"Error"))</f>
        <v>5257300000</v>
      </c>
      <c r="K1706" s="75" t="str">
        <f aca="false">
IF($D1706="정상",INDEX(임대자산!$D$3:$R$3000,MATCH($F1706,임대자산!$I$3:$I$3000,0),MATCH(K$4,임대자산!$D$3:$R$3,0)),
IF($D1706="폐업",INDEX(폐업정보!$D$3:$R$3000,MATCH($F1706,폐업정보!$I$3:$I$3000,0),MATCH(K$4,폐업정보!$D$3:$R$3,0)),
"Error"))</f>
        <v>C1701</v>
      </c>
      <c r="L1706" s="75" t="str">
        <f aca="false">
IF($D1706="정상",INDEX(임대자산!$D$3:$R$3000,MATCH($F1706,임대자산!$I$3:$I$3000,0),MATCH(L$4,임대자산!$D$3:$R$3,0)),
IF($D1706="폐업",INDEX(폐업정보!$D$3:$R$3000,MATCH($F1706,폐업정보!$I$3:$I$3000,0),MATCH(L$4,폐업정보!$D$3:$R$3,0)),
"Error"))</f>
        <v>D1701</v>
      </c>
      <c r="M1706" s="76" t="s">
        <v>96</v>
      </c>
      <c r="N1706" s="77"/>
      <c r="O1706" s="78" t="s">
        <v>97</v>
      </c>
      <c r="P1706" s="79" t="n">
        <f aca="false">COUNTIFS(임대자산!$I:$I,가맹점정보!F1706,임대자산!$N:$N,가맹점정보!P$4)</f>
        <v>0</v>
      </c>
      <c r="Q1706" s="80" t="n">
        <f aca="false">COUNTIFS(임대자산!$I:$I,가맹점정보!F1706,임대자산!$N:$N,가맹점정보!Q$4)</f>
        <v>0</v>
      </c>
      <c r="R1706" s="81" t="n">
        <f aca="false">COUNTIFS(임대자산!$I:$I,가맹점정보!F1706,임대자산!$N:$N,가맹점정보!R$4)</f>
        <v>1</v>
      </c>
      <c r="S1706" s="82" t="n">
        <v>44000</v>
      </c>
      <c r="T1706" s="83" t="n">
        <v>0</v>
      </c>
      <c r="U1706" s="80" t="n">
        <f aca="false">SUM(S1706:T1706)</f>
        <v>44000</v>
      </c>
      <c r="V1706" s="84" t="s">
        <v>12</v>
      </c>
      <c r="W1706" s="80" t="e">
        <f aca="true">
IF(D1706="폐업","폐업",
IF(V1706="면제","면제",
IF(AND(V1706="정상",COUNTIFS(OFFSET(Y1706,0,COUNTA(Y1706:AV1706)-1,1,-4),"미납")&gt;=3),"장기미납",
IF(AND(V1706="정상",OFFSET(Y1706,0,COUNTA(Y1706:AV1706)-1)&gt;=U1706),"정상",
IF(AND(V1706="정상",OFFSET(Y1706,0,COUNTA(Y1706:AV1706)-1)=0),"정상",
"계약서 미작성")))))</f>
        <v>#VALUE!</v>
      </c>
      <c r="X1706" s="81" t="str">
        <f aca="true">
IF(D1706="폐업","폐업",
IF(AND(V1706="정상",OFFSET(Y1706,0,COUNTA(Y1706:AV1706)-1)="미납"),"미납",
IF(AND(V1706="정상",OFFSET(Y1706,0,COUNTA(Y1706:AV1706)-1)=0),"납부 시작 전",
IF(AND(V1706="정상",OFFSET(Y1706,0,COUNTA(Y1706:AV1706)-1)&gt;=U1706),"정상",
IF(AND(V1706="면제",OFFSET(Y1706,0,COUNTA(Y1706:AV1706)-1)="면제"),"면제",
IF(AND(V1706="면제",OFFSET(Y1706,0,COUNTA(Y1706:AV1706)-1)=0),"면제",
"확인요청"))))))</f>
        <v>정상</v>
      </c>
      <c r="Y1706" s="93" t="n">
        <v>44000</v>
      </c>
      <c r="Z1706" s="90" t="n">
        <v>44000</v>
      </c>
      <c r="AA1706" s="90" t="n">
        <v>44000</v>
      </c>
      <c r="AB1706" s="90" t="n">
        <v>44000</v>
      </c>
      <c r="AC1706" s="90" t="n">
        <v>44000</v>
      </c>
      <c r="AD1706" s="90" t="n">
        <v>44000</v>
      </c>
      <c r="AE1706" s="90" t="n">
        <v>44000</v>
      </c>
      <c r="AF1706" s="90" t="n">
        <v>44000</v>
      </c>
      <c r="AG1706" s="90" t="n">
        <v>44000</v>
      </c>
      <c r="AH1706" s="90" t="n">
        <v>44000</v>
      </c>
      <c r="AI1706" s="90" t="n">
        <v>44000</v>
      </c>
      <c r="AJ1706" s="91" t="n">
        <v>44000</v>
      </c>
      <c r="AK1706" s="89" t="n">
        <v>44000</v>
      </c>
      <c r="AL1706" s="90" t="n">
        <v>44000</v>
      </c>
      <c r="AM1706" s="90"/>
      <c r="AN1706" s="90"/>
      <c r="AO1706" s="90"/>
      <c r="AP1706" s="90"/>
      <c r="AQ1706" s="90"/>
      <c r="AR1706" s="90"/>
      <c r="AS1706" s="90"/>
      <c r="AT1706" s="90"/>
      <c r="AU1706" s="90"/>
      <c r="AV1706" s="91"/>
      <c r="AX1706" s="92"/>
    </row>
    <row r="1707" customFormat="false" ht="15.65" hidden="false" customHeight="false" outlineLevel="0" collapsed="false">
      <c r="C1707" s="72" t="n">
        <f aca="false">COUNTIFS($D$6:D1707,"&lt;&gt;"&amp;"")</f>
        <v>1702</v>
      </c>
      <c r="D1707" s="73" t="s">
        <v>12</v>
      </c>
      <c r="E1707" s="76" t="str">
        <f aca="false">
IF($D1707="정상",INDEX(임대자산!$D$3:$R$3000,MATCH($F1707,임대자산!$I$3:$I$3000,0),MATCH(E$3,임대자산!$D$3:$R$3,0)),
IF($D1707="폐업",INDEX(폐업정보!$D$3:$R$3000,MATCH($F1707,폐업정보!$I$3:$I$3000,0),MATCH(E$3,폐업정보!$D$3:$R$3,0)),
"Error"))</f>
        <v>서울</v>
      </c>
      <c r="F170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B1702</v>
      </c>
      <c r="G1707" s="76" t="str">
        <f aca="false">F1707&amp;RANDBETWEEN(0,10)</f>
        <v>B17027</v>
      </c>
      <c r="H1707" s="75" t="n">
        <f aca="false">
IF($D1707="정상",INDEX(임대자산!$D$3:$R$3000,MATCH($F1707,임대자산!$I$3:$I$3000,0),MATCH(H$4,임대자산!$D$3:$R$3,0)),
IF($D1707="폐업",INDEX(폐업정보!$D$3:$R$3000,MATCH($F1707,폐업정보!$I$3:$I$3000,0),MATCH(H$4,폐업정보!$D$3:$R$3,0)),
"Error"))</f>
        <v>45763</v>
      </c>
      <c r="I1707" s="75" t="str">
        <f aca="false">
IF($D1707="정상",INDEX(임대자산!$D$3:$R$3000,MATCH($F1707,임대자산!$I$3:$I$3000,0),MATCH(I$4,임대자산!$D$3:$R$3,0)),
IF($D1707="폐업",INDEX(폐업정보!$D$3:$R$3000,MATCH($F1707,폐업정보!$I$3:$I$3000,0),MATCH(I$4,폐업정보!$D$3:$R$3,0)),
"Error"))</f>
        <v>A1702</v>
      </c>
      <c r="J1707" s="75" t="str">
        <f aca="false">
IF($D1707="정상",INDEX(임대자산!$D$3:$R$3000,MATCH($F1707,임대자산!$I$3:$I$3000,0),MATCH(J$4,임대자산!$D$3:$R$3,0)),
IF($D1707="폐업",INDEX(폐업정보!$D$3:$R$3000,MATCH($F1707,폐업정보!$I$3:$I$3000,0),MATCH(J$4,폐업정보!$D$3:$R$3,0)),
"Error"))</f>
        <v>1388200000</v>
      </c>
      <c r="K1707" s="75" t="str">
        <f aca="false">
IF($D1707="정상",INDEX(임대자산!$D$3:$R$3000,MATCH($F1707,임대자산!$I$3:$I$3000,0),MATCH(K$4,임대자산!$D$3:$R$3,0)),
IF($D1707="폐업",INDEX(폐업정보!$D$3:$R$3000,MATCH($F1707,폐업정보!$I$3:$I$3000,0),MATCH(K$4,폐업정보!$D$3:$R$3,0)),
"Error"))</f>
        <v>C1702</v>
      </c>
      <c r="L1707" s="75" t="str">
        <f aca="false">
IF($D1707="정상",INDEX(임대자산!$D$3:$R$3000,MATCH($F1707,임대자산!$I$3:$I$3000,0),MATCH(L$4,임대자산!$D$3:$R$3,0)),
IF($D1707="폐업",INDEX(폐업정보!$D$3:$R$3000,MATCH($F1707,폐업정보!$I$3:$I$3000,0),MATCH(L$4,폐업정보!$D$3:$R$3,0)),
"Error"))</f>
        <v>D1702</v>
      </c>
      <c r="M1707" s="76" t="s">
        <v>96</v>
      </c>
      <c r="N1707" s="77"/>
      <c r="O1707" s="78" t="s">
        <v>97</v>
      </c>
      <c r="P1707" s="79" t="n">
        <f aca="false">COUNTIFS(임대자산!$I:$I,가맹점정보!F1707,임대자산!$N:$N,가맹점정보!P$4)</f>
        <v>0</v>
      </c>
      <c r="Q1707" s="80" t="n">
        <f aca="false">COUNTIFS(임대자산!$I:$I,가맹점정보!F1707,임대자산!$N:$N,가맹점정보!Q$4)</f>
        <v>0</v>
      </c>
      <c r="R1707" s="81" t="n">
        <f aca="false">COUNTIFS(임대자산!$I:$I,가맹점정보!F1707,임대자산!$N:$N,가맹점정보!R$4)</f>
        <v>1</v>
      </c>
      <c r="S1707" s="82" t="n">
        <v>55000</v>
      </c>
      <c r="T1707" s="83" t="n">
        <v>0</v>
      </c>
      <c r="U1707" s="80" t="n">
        <f aca="false">SUM(S1707:T1707)</f>
        <v>55000</v>
      </c>
      <c r="V1707" s="84" t="s">
        <v>7</v>
      </c>
      <c r="W1707" s="80" t="str">
        <f aca="true">
IF(D1707="폐업","폐업",
IF(V1707="면제","면제",
IF(AND(V1707="정상",COUNTIFS(OFFSET(Y1707,0,COUNTA(Y1707:AV1707)-1,1,-4),"미납")&gt;=3),"장기미납",
IF(AND(V1707="정상",OFFSET(Y1707,0,COUNTA(Y1707:AV1707)-1)&gt;=U1707),"정상",
IF(AND(V1707="정상",OFFSET(Y1707,0,COUNTA(Y1707:AV1707)-1)=0),"정상",
"계약서 미작성")))))</f>
        <v>면제</v>
      </c>
      <c r="X1707" s="81" t="str">
        <f aca="true">
IF(D1707="폐업","폐업",
IF(AND(V1707="정상",OFFSET(Y1707,0,COUNTA(Y1707:AV1707)-1)="미납"),"미납",
IF(AND(V1707="정상",OFFSET(Y1707,0,COUNTA(Y1707:AV1707)-1)=0),"납부 시작 전",
IF(AND(V1707="정상",OFFSET(Y1707,0,COUNTA(Y1707:AV1707)-1)&gt;=U1707),"정상",
IF(AND(V1707="면제",OFFSET(Y1707,0,COUNTA(Y1707:AV1707)-1)="면제"),"면제",
IF(AND(V1707="면제",OFFSET(Y1707,0,COUNTA(Y1707:AV1707)-1)=0),"면제",
"확인요청"))))))</f>
        <v>면제</v>
      </c>
      <c r="Y1707" s="94" t="s">
        <v>7</v>
      </c>
      <c r="Z1707" s="95" t="s">
        <v>7</v>
      </c>
      <c r="AA1707" s="95" t="s">
        <v>7</v>
      </c>
      <c r="AB1707" s="95" t="s">
        <v>7</v>
      </c>
      <c r="AC1707" s="95" t="s">
        <v>7</v>
      </c>
      <c r="AD1707" s="95" t="s">
        <v>7</v>
      </c>
      <c r="AE1707" s="95" t="s">
        <v>7</v>
      </c>
      <c r="AF1707" s="95" t="s">
        <v>7</v>
      </c>
      <c r="AG1707" s="95" t="s">
        <v>7</v>
      </c>
      <c r="AH1707" s="95" t="s">
        <v>7</v>
      </c>
      <c r="AI1707" s="95" t="s">
        <v>7</v>
      </c>
      <c r="AJ1707" s="96" t="s">
        <v>7</v>
      </c>
      <c r="AK1707" s="97" t="s">
        <v>7</v>
      </c>
      <c r="AL1707" s="95" t="s">
        <v>7</v>
      </c>
      <c r="AM1707" s="90"/>
      <c r="AN1707" s="90"/>
      <c r="AO1707" s="90"/>
      <c r="AP1707" s="90"/>
      <c r="AQ1707" s="90"/>
      <c r="AR1707" s="90"/>
      <c r="AS1707" s="90"/>
      <c r="AT1707" s="90"/>
      <c r="AU1707" s="90"/>
      <c r="AV1707" s="91"/>
      <c r="AX1707" s="92"/>
    </row>
    <row r="1708" customFormat="false" ht="15.65" hidden="false" customHeight="false" outlineLevel="0" collapsed="false">
      <c r="C1708" s="72" t="n">
        <f aca="false">COUNTIFS($D$6:D1708,"&lt;&gt;"&amp;"")</f>
        <v>1703</v>
      </c>
      <c r="D1708" s="73" t="s">
        <v>12</v>
      </c>
      <c r="E1708" s="76" t="str">
        <f aca="false">
IF($D1708="정상",INDEX(임대자산!$D$3:$R$3000,MATCH($F1708,임대자산!$I$3:$I$3000,0),MATCH(E$3,임대자산!$D$3:$R$3,0)),
IF($D1708="폐업",INDEX(폐업정보!$D$3:$R$3000,MATCH($F1708,폐업정보!$I$3:$I$3000,0),MATCH(E$3,폐업정보!$D$3:$R$3,0)),
"Error"))</f>
        <v>서울</v>
      </c>
      <c r="F170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B1703</v>
      </c>
      <c r="G1708" s="76" t="str">
        <f aca="false">F1708&amp;RANDBETWEEN(0,10)</f>
        <v>B17032</v>
      </c>
      <c r="H1708" s="75" t="n">
        <f aca="false">
IF($D1708="정상",INDEX(임대자산!$D$3:$R$3000,MATCH($F1708,임대자산!$I$3:$I$3000,0),MATCH(H$4,임대자산!$D$3:$R$3,0)),
IF($D1708="폐업",INDEX(폐업정보!$D$3:$R$3000,MATCH($F1708,폐업정보!$I$3:$I$3000,0),MATCH(H$4,폐업정보!$D$3:$R$3,0)),
"Error"))</f>
        <v>45763</v>
      </c>
      <c r="I1708" s="75" t="str">
        <f aca="false">
IF($D1708="정상",INDEX(임대자산!$D$3:$R$3000,MATCH($F1708,임대자산!$I$3:$I$3000,0),MATCH(I$4,임대자산!$D$3:$R$3,0)),
IF($D1708="폐업",INDEX(폐업정보!$D$3:$R$3000,MATCH($F1708,폐업정보!$I$3:$I$3000,0),MATCH(I$4,폐업정보!$D$3:$R$3,0)),
"Error"))</f>
        <v>A1703</v>
      </c>
      <c r="J1708" s="75" t="str">
        <f aca="false">
IF($D1708="정상",INDEX(임대자산!$D$3:$R$3000,MATCH($F1708,임대자산!$I$3:$I$3000,0),MATCH(J$4,임대자산!$D$3:$R$3,0)),
IF($D1708="폐업",INDEX(폐업정보!$D$3:$R$3000,MATCH($F1708,폐업정보!$I$3:$I$3000,0),MATCH(J$4,폐업정보!$D$3:$R$3,0)),
"Error"))</f>
        <v>8600100000</v>
      </c>
      <c r="K1708" s="75" t="str">
        <f aca="false">
IF($D1708="정상",INDEX(임대자산!$D$3:$R$3000,MATCH($F1708,임대자산!$I$3:$I$3000,0),MATCH(K$4,임대자산!$D$3:$R$3,0)),
IF($D1708="폐업",INDEX(폐업정보!$D$3:$R$3000,MATCH($F1708,폐업정보!$I$3:$I$3000,0),MATCH(K$4,폐업정보!$D$3:$R$3,0)),
"Error"))</f>
        <v>C1703</v>
      </c>
      <c r="L1708" s="75" t="str">
        <f aca="false">
IF($D1708="정상",INDEX(임대자산!$D$3:$R$3000,MATCH($F1708,임대자산!$I$3:$I$3000,0),MATCH(L$4,임대자산!$D$3:$R$3,0)),
IF($D1708="폐업",INDEX(폐업정보!$D$3:$R$3000,MATCH($F1708,폐업정보!$I$3:$I$3000,0),MATCH(L$4,폐업정보!$D$3:$R$3,0)),
"Error"))</f>
        <v>D1703</v>
      </c>
      <c r="M1708" s="76" t="s">
        <v>96</v>
      </c>
      <c r="N1708" s="77"/>
      <c r="O1708" s="78" t="s">
        <v>97</v>
      </c>
      <c r="P1708" s="79" t="n">
        <f aca="false">COUNTIFS(임대자산!$I:$I,가맹점정보!F1708,임대자산!$N:$N,가맹점정보!P$4)</f>
        <v>0</v>
      </c>
      <c r="Q1708" s="80" t="n">
        <f aca="false">COUNTIFS(임대자산!$I:$I,가맹점정보!F1708,임대자산!$N:$N,가맹점정보!Q$4)</f>
        <v>0</v>
      </c>
      <c r="R1708" s="81" t="n">
        <f aca="false">COUNTIFS(임대자산!$I:$I,가맹점정보!F1708,임대자산!$N:$N,가맹점정보!R$4)</f>
        <v>1</v>
      </c>
      <c r="S1708" s="82" t="n">
        <v>55000</v>
      </c>
      <c r="T1708" s="83" t="n">
        <v>0</v>
      </c>
      <c r="U1708" s="80" t="n">
        <f aca="false">SUM(S1708:T1708)</f>
        <v>55000</v>
      </c>
      <c r="V1708" s="84" t="s">
        <v>7</v>
      </c>
      <c r="W1708" s="80" t="str">
        <f aca="true">
IF(D1708="폐업","폐업",
IF(V1708="면제","면제",
IF(AND(V1708="정상",COUNTIFS(OFFSET(Y1708,0,COUNTA(Y1708:AV1708)-1,1,-4),"미납")&gt;=3),"장기미납",
IF(AND(V1708="정상",OFFSET(Y1708,0,COUNTA(Y1708:AV1708)-1)&gt;=U1708),"정상",
IF(AND(V1708="정상",OFFSET(Y1708,0,COUNTA(Y1708:AV1708)-1)=0),"정상",
"계약서 미작성")))))</f>
        <v>면제</v>
      </c>
      <c r="X1708" s="81" t="str">
        <f aca="true">
IF(D1708="폐업","폐업",
IF(AND(V1708="정상",OFFSET(Y1708,0,COUNTA(Y1708:AV1708)-1)="미납"),"미납",
IF(AND(V1708="정상",OFFSET(Y1708,0,COUNTA(Y1708:AV1708)-1)=0),"납부 시작 전",
IF(AND(V1708="정상",OFFSET(Y1708,0,COUNTA(Y1708:AV1708)-1)&gt;=U1708),"정상",
IF(AND(V1708="면제",OFFSET(Y1708,0,COUNTA(Y1708:AV1708)-1)="면제"),"면제",
IF(AND(V1708="면제",OFFSET(Y1708,0,COUNTA(Y1708:AV1708)-1)=0),"면제",
"확인요청"))))))</f>
        <v>면제</v>
      </c>
      <c r="Y1708" s="93" t="n">
        <v>55000</v>
      </c>
      <c r="Z1708" s="90" t="n">
        <v>55000</v>
      </c>
      <c r="AA1708" s="90" t="n">
        <v>55000</v>
      </c>
      <c r="AB1708" s="90" t="n">
        <v>55000</v>
      </c>
      <c r="AC1708" s="90" t="n">
        <v>55000</v>
      </c>
      <c r="AD1708" s="90" t="n">
        <v>55000</v>
      </c>
      <c r="AE1708" s="90" t="n">
        <v>55000</v>
      </c>
      <c r="AF1708" s="90" t="n">
        <v>55000</v>
      </c>
      <c r="AG1708" s="90" t="n">
        <v>55000</v>
      </c>
      <c r="AH1708" s="90" t="n">
        <v>55000</v>
      </c>
      <c r="AI1708" s="90" t="n">
        <v>55000</v>
      </c>
      <c r="AJ1708" s="96" t="s">
        <v>7</v>
      </c>
      <c r="AK1708" s="97" t="s">
        <v>7</v>
      </c>
      <c r="AL1708" s="95" t="s">
        <v>7</v>
      </c>
      <c r="AM1708" s="90"/>
      <c r="AN1708" s="90"/>
      <c r="AO1708" s="90"/>
      <c r="AP1708" s="90"/>
      <c r="AQ1708" s="90"/>
      <c r="AR1708" s="90"/>
      <c r="AS1708" s="90"/>
      <c r="AT1708" s="90"/>
      <c r="AU1708" s="90"/>
      <c r="AV1708" s="91"/>
      <c r="AX1708" s="92"/>
    </row>
    <row r="1709" customFormat="false" ht="15.65" hidden="false" customHeight="false" outlineLevel="0" collapsed="false">
      <c r="C1709" s="72" t="n">
        <f aca="false">COUNTIFS($D$6:D1709,"&lt;&gt;"&amp;"")</f>
        <v>1704</v>
      </c>
      <c r="D1709" s="73" t="s">
        <v>12</v>
      </c>
      <c r="E1709" s="76" t="str">
        <f aca="false">
IF($D1709="정상",INDEX(임대자산!$D$3:$R$3000,MATCH($F1709,임대자산!$I$3:$I$3000,0),MATCH(E$3,임대자산!$D$3:$R$3,0)),
IF($D1709="폐업",INDEX(폐업정보!$D$3:$R$3000,MATCH($F1709,폐업정보!$I$3:$I$3000,0),MATCH(E$3,폐업정보!$D$3:$R$3,0)),
"Error"))</f>
        <v>서울</v>
      </c>
      <c r="F170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B1704</v>
      </c>
      <c r="G1709" s="76" t="str">
        <f aca="false">F1709&amp;RANDBETWEEN(0,10)</f>
        <v>B17040</v>
      </c>
      <c r="H1709" s="75" t="n">
        <f aca="false">
IF($D1709="정상",INDEX(임대자산!$D$3:$R$3000,MATCH($F1709,임대자산!$I$3:$I$3000,0),MATCH(H$4,임대자산!$D$3:$R$3,0)),
IF($D1709="폐업",INDEX(폐업정보!$D$3:$R$3000,MATCH($F1709,폐업정보!$I$3:$I$3000,0),MATCH(H$4,폐업정보!$D$3:$R$3,0)),
"Error"))</f>
        <v>45772</v>
      </c>
      <c r="I1709" s="75" t="str">
        <f aca="false">
IF($D1709="정상",INDEX(임대자산!$D$3:$R$3000,MATCH($F1709,임대자산!$I$3:$I$3000,0),MATCH(I$4,임대자산!$D$3:$R$3,0)),
IF($D1709="폐업",INDEX(폐업정보!$D$3:$R$3000,MATCH($F1709,폐업정보!$I$3:$I$3000,0),MATCH(I$4,폐업정보!$D$3:$R$3,0)),
"Error"))</f>
        <v>A1704</v>
      </c>
      <c r="J1709" s="75" t="str">
        <f aca="false">
IF($D1709="정상",INDEX(임대자산!$D$3:$R$3000,MATCH($F1709,임대자산!$I$3:$I$3000,0),MATCH(J$4,임대자산!$D$3:$R$3,0)),
IF($D1709="폐업",INDEX(폐업정보!$D$3:$R$3000,MATCH($F1709,폐업정보!$I$3:$I$3000,0),MATCH(J$4,폐업정보!$D$3:$R$3,0)),
"Error"))</f>
        <v>4546400000</v>
      </c>
      <c r="K1709" s="75" t="str">
        <f aca="false">
IF($D1709="정상",INDEX(임대자산!$D$3:$R$3000,MATCH($F1709,임대자산!$I$3:$I$3000,0),MATCH(K$4,임대자산!$D$3:$R$3,0)),
IF($D1709="폐업",INDEX(폐업정보!$D$3:$R$3000,MATCH($F1709,폐업정보!$I$3:$I$3000,0),MATCH(K$4,폐업정보!$D$3:$R$3,0)),
"Error"))</f>
        <v>C1704</v>
      </c>
      <c r="L1709" s="75" t="str">
        <f aca="false">
IF($D1709="정상",INDEX(임대자산!$D$3:$R$3000,MATCH($F1709,임대자산!$I$3:$I$3000,0),MATCH(L$4,임대자산!$D$3:$R$3,0)),
IF($D1709="폐업",INDEX(폐업정보!$D$3:$R$3000,MATCH($F1709,폐업정보!$I$3:$I$3000,0),MATCH(L$4,폐업정보!$D$3:$R$3,0)),
"Error"))</f>
        <v>D1704</v>
      </c>
      <c r="M1709" s="76" t="s">
        <v>96</v>
      </c>
      <c r="N1709" s="77"/>
      <c r="O1709" s="78" t="s">
        <v>97</v>
      </c>
      <c r="P1709" s="79" t="n">
        <f aca="false">COUNTIFS(임대자산!$I:$I,가맹점정보!F1709,임대자산!$N:$N,가맹점정보!P$4)</f>
        <v>0</v>
      </c>
      <c r="Q1709" s="80" t="n">
        <f aca="false">COUNTIFS(임대자산!$I:$I,가맹점정보!F1709,임대자산!$N:$N,가맹점정보!Q$4)</f>
        <v>0</v>
      </c>
      <c r="R1709" s="81" t="n">
        <f aca="false">COUNTIFS(임대자산!$I:$I,가맹점정보!F1709,임대자산!$N:$N,가맹점정보!R$4)</f>
        <v>1</v>
      </c>
      <c r="S1709" s="82" t="n">
        <v>88000</v>
      </c>
      <c r="T1709" s="83" t="n">
        <v>0</v>
      </c>
      <c r="U1709" s="80" t="n">
        <f aca="false">SUM(S1709:T1709)</f>
        <v>88000</v>
      </c>
      <c r="V1709" s="84" t="s">
        <v>7</v>
      </c>
      <c r="W1709" s="80" t="str">
        <f aca="true">
IF(D1709="폐업","폐업",
IF(V1709="면제","면제",
IF(AND(V1709="정상",COUNTIFS(OFFSET(Y1709,0,COUNTA(Y1709:AV1709)-1,1,-4),"미납")&gt;=3),"장기미납",
IF(AND(V1709="정상",OFFSET(Y1709,0,COUNTA(Y1709:AV1709)-1)&gt;=U1709),"정상",
IF(AND(V1709="정상",OFFSET(Y1709,0,COUNTA(Y1709:AV1709)-1)=0),"정상",
"계약서 미작성")))))</f>
        <v>면제</v>
      </c>
      <c r="X1709" s="81" t="str">
        <f aca="true">
IF(D1709="폐업","폐업",
IF(AND(V1709="정상",OFFSET(Y1709,0,COUNTA(Y1709:AV1709)-1)="미납"),"미납",
IF(AND(V1709="정상",OFFSET(Y1709,0,COUNTA(Y1709:AV1709)-1)=0),"납부 시작 전",
IF(AND(V1709="정상",OFFSET(Y1709,0,COUNTA(Y1709:AV1709)-1)&gt;=U1709),"정상",
IF(AND(V1709="면제",OFFSET(Y1709,0,COUNTA(Y1709:AV1709)-1)="면제"),"면제",
IF(AND(V1709="면제",OFFSET(Y1709,0,COUNTA(Y1709:AV1709)-1)=0),"면제",
"확인요청"))))))</f>
        <v>면제</v>
      </c>
      <c r="Y1709" s="94" t="s">
        <v>7</v>
      </c>
      <c r="Z1709" s="95" t="s">
        <v>7</v>
      </c>
      <c r="AA1709" s="95" t="s">
        <v>7</v>
      </c>
      <c r="AB1709" s="95" t="s">
        <v>7</v>
      </c>
      <c r="AC1709" s="95" t="s">
        <v>7</v>
      </c>
      <c r="AD1709" s="95" t="s">
        <v>7</v>
      </c>
      <c r="AE1709" s="95" t="s">
        <v>7</v>
      </c>
      <c r="AF1709" s="95" t="s">
        <v>7</v>
      </c>
      <c r="AG1709" s="95" t="s">
        <v>7</v>
      </c>
      <c r="AH1709" s="95" t="s">
        <v>7</v>
      </c>
      <c r="AI1709" s="95" t="s">
        <v>7</v>
      </c>
      <c r="AJ1709" s="96" t="s">
        <v>7</v>
      </c>
      <c r="AK1709" s="97" t="s">
        <v>7</v>
      </c>
      <c r="AL1709" s="95" t="s">
        <v>7</v>
      </c>
      <c r="AM1709" s="90"/>
      <c r="AN1709" s="90"/>
      <c r="AO1709" s="90"/>
      <c r="AP1709" s="90"/>
      <c r="AQ1709" s="90"/>
      <c r="AR1709" s="90"/>
      <c r="AS1709" s="90"/>
      <c r="AT1709" s="90"/>
      <c r="AU1709" s="90"/>
      <c r="AV1709" s="91"/>
      <c r="AX1709" s="92"/>
    </row>
    <row r="1710" customFormat="false" ht="15.65" hidden="false" customHeight="false" outlineLevel="0" collapsed="false">
      <c r="C1710" s="72" t="n">
        <f aca="false">COUNTIFS($D$6:D1710,"&lt;&gt;"&amp;"")</f>
        <v>1705</v>
      </c>
      <c r="D1710" s="73" t="s">
        <v>12</v>
      </c>
      <c r="E1710" s="76" t="str">
        <f aca="false">
IF($D1710="정상",INDEX(임대자산!$D$3:$R$3000,MATCH($F1710,임대자산!$I$3:$I$3000,0),MATCH(E$3,임대자산!$D$3:$R$3,0)),
IF($D1710="폐업",INDEX(폐업정보!$D$3:$R$3000,MATCH($F1710,폐업정보!$I$3:$I$3000,0),MATCH(E$3,폐업정보!$D$3:$R$3,0)),
"Error"))</f>
        <v>서울</v>
      </c>
      <c r="F171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B1705</v>
      </c>
      <c r="G1710" s="76" t="str">
        <f aca="false">F1710&amp;RANDBETWEEN(0,10)</f>
        <v>B17051</v>
      </c>
      <c r="H1710" s="75" t="n">
        <f aca="false">
IF($D1710="정상",INDEX(임대자산!$D$3:$R$3000,MATCH($F1710,임대자산!$I$3:$I$3000,0),MATCH(H$4,임대자산!$D$3:$R$3,0)),
IF($D1710="폐업",INDEX(폐업정보!$D$3:$R$3000,MATCH($F1710,폐업정보!$I$3:$I$3000,0),MATCH(H$4,폐업정보!$D$3:$R$3,0)),
"Error"))</f>
        <v>45798</v>
      </c>
      <c r="I1710" s="75" t="str">
        <f aca="false">
IF($D1710="정상",INDEX(임대자산!$D$3:$R$3000,MATCH($F1710,임대자산!$I$3:$I$3000,0),MATCH(I$4,임대자산!$D$3:$R$3,0)),
IF($D1710="폐업",INDEX(폐업정보!$D$3:$R$3000,MATCH($F1710,폐업정보!$I$3:$I$3000,0),MATCH(I$4,폐업정보!$D$3:$R$3,0)),
"Error"))</f>
        <v>A1705</v>
      </c>
      <c r="J1710" s="75" t="str">
        <f aca="false">
IF($D1710="정상",INDEX(임대자산!$D$3:$R$3000,MATCH($F1710,임대자산!$I$3:$I$3000,0),MATCH(J$4,임대자산!$D$3:$R$3,0)),
IF($D1710="폐업",INDEX(폐업정보!$D$3:$R$3000,MATCH($F1710,폐업정보!$I$3:$I$3000,0),MATCH(J$4,폐업정보!$D$3:$R$3,0)),
"Error"))</f>
        <v>3914200000</v>
      </c>
      <c r="K1710" s="75" t="str">
        <f aca="false">
IF($D1710="정상",INDEX(임대자산!$D$3:$R$3000,MATCH($F1710,임대자산!$I$3:$I$3000,0),MATCH(K$4,임대자산!$D$3:$R$3,0)),
IF($D1710="폐업",INDEX(폐업정보!$D$3:$R$3000,MATCH($F1710,폐업정보!$I$3:$I$3000,0),MATCH(K$4,폐업정보!$D$3:$R$3,0)),
"Error"))</f>
        <v>C1705</v>
      </c>
      <c r="L1710" s="75" t="str">
        <f aca="false">
IF($D1710="정상",INDEX(임대자산!$D$3:$R$3000,MATCH($F1710,임대자산!$I$3:$I$3000,0),MATCH(L$4,임대자산!$D$3:$R$3,0)),
IF($D1710="폐업",INDEX(폐업정보!$D$3:$R$3000,MATCH($F1710,폐업정보!$I$3:$I$3000,0),MATCH(L$4,폐업정보!$D$3:$R$3,0)),
"Error"))</f>
        <v>D1705</v>
      </c>
      <c r="M1710" s="76" t="s">
        <v>96</v>
      </c>
      <c r="N1710" s="77"/>
      <c r="O1710" s="78" t="s">
        <v>97</v>
      </c>
      <c r="P1710" s="79" t="n">
        <f aca="false">COUNTIFS(임대자산!$I:$I,가맹점정보!F1710,임대자산!$N:$N,가맹점정보!P$4)</f>
        <v>0</v>
      </c>
      <c r="Q1710" s="80" t="n">
        <f aca="false">COUNTIFS(임대자산!$I:$I,가맹점정보!F1710,임대자산!$N:$N,가맹점정보!Q$4)</f>
        <v>0</v>
      </c>
      <c r="R1710" s="81" t="n">
        <f aca="false">COUNTIFS(임대자산!$I:$I,가맹점정보!F1710,임대자산!$N:$N,가맹점정보!R$4)</f>
        <v>1</v>
      </c>
      <c r="S1710" s="82" t="n">
        <v>55000</v>
      </c>
      <c r="T1710" s="83" t="n">
        <v>0</v>
      </c>
      <c r="U1710" s="80" t="n">
        <f aca="false">SUM(S1710:T1710)</f>
        <v>55000</v>
      </c>
      <c r="V1710" s="84" t="s">
        <v>12</v>
      </c>
      <c r="W1710" s="80" t="e">
        <f aca="true">
IF(D1710="폐업","폐업",
IF(V1710="면제","면제",
IF(AND(V1710="정상",COUNTIFS(OFFSET(Y1710,0,COUNTA(Y1710:AV1710)-1,1,-4),"미납")&gt;=3),"장기미납",
IF(AND(V1710="정상",OFFSET(Y1710,0,COUNTA(Y1710:AV1710)-1)&gt;=U1710),"정상",
IF(AND(V1710="정상",OFFSET(Y1710,0,COUNTA(Y1710:AV1710)-1)=0),"정상",
"계약서 미작성")))))</f>
        <v>#VALUE!</v>
      </c>
      <c r="X1710" s="81" t="str">
        <f aca="true">
IF(D1710="폐업","폐업",
IF(AND(V1710="정상",OFFSET(Y1710,0,COUNTA(Y1710:AV1710)-1)="미납"),"미납",
IF(AND(V1710="정상",OFFSET(Y1710,0,COUNTA(Y1710:AV1710)-1)=0),"납부 시작 전",
IF(AND(V1710="정상",OFFSET(Y1710,0,COUNTA(Y1710:AV1710)-1)&gt;=U1710),"정상",
IF(AND(V1710="면제",OFFSET(Y1710,0,COUNTA(Y1710:AV1710)-1)="면제"),"면제",
IF(AND(V1710="면제",OFFSET(Y1710,0,COUNTA(Y1710:AV1710)-1)=0),"면제",
"확인요청"))))))</f>
        <v>정상</v>
      </c>
      <c r="Y1710" s="93" t="n">
        <v>55000</v>
      </c>
      <c r="Z1710" s="90" t="n">
        <v>55000</v>
      </c>
      <c r="AA1710" s="90" t="n">
        <v>55000</v>
      </c>
      <c r="AB1710" s="90" t="n">
        <v>55000</v>
      </c>
      <c r="AC1710" s="90" t="n">
        <v>55000</v>
      </c>
      <c r="AD1710" s="90" t="n">
        <v>55000</v>
      </c>
      <c r="AE1710" s="90" t="n">
        <v>55000</v>
      </c>
      <c r="AF1710" s="90" t="n">
        <v>55000</v>
      </c>
      <c r="AG1710" s="90" t="n">
        <v>55000</v>
      </c>
      <c r="AH1710" s="90" t="n">
        <v>55000</v>
      </c>
      <c r="AI1710" s="90" t="n">
        <v>55000</v>
      </c>
      <c r="AJ1710" s="91" t="n">
        <v>55000</v>
      </c>
      <c r="AK1710" s="89" t="n">
        <v>55000</v>
      </c>
      <c r="AL1710" s="90" t="n">
        <v>55000</v>
      </c>
      <c r="AM1710" s="90"/>
      <c r="AN1710" s="90"/>
      <c r="AO1710" s="90"/>
      <c r="AP1710" s="90"/>
      <c r="AQ1710" s="90"/>
      <c r="AR1710" s="90"/>
      <c r="AS1710" s="90"/>
      <c r="AT1710" s="90"/>
      <c r="AU1710" s="90"/>
      <c r="AV1710" s="91"/>
      <c r="AX1710" s="92"/>
    </row>
    <row r="1711" customFormat="false" ht="15.65" hidden="false" customHeight="false" outlineLevel="0" collapsed="false">
      <c r="C1711" s="72" t="n">
        <f aca="false">COUNTIFS($D$6:D1711,"&lt;&gt;"&amp;"")</f>
        <v>1706</v>
      </c>
      <c r="D1711" s="73" t="s">
        <v>12</v>
      </c>
      <c r="E1711" s="76" t="str">
        <f aca="false">
IF($D1711="정상",INDEX(임대자산!$D$3:$R$3000,MATCH($F1711,임대자산!$I$3:$I$3000,0),MATCH(E$3,임대자산!$D$3:$R$3,0)),
IF($D1711="폐업",INDEX(폐업정보!$D$3:$R$3000,MATCH($F1711,폐업정보!$I$3:$I$3000,0),MATCH(E$3,폐업정보!$D$3:$R$3,0)),
"Error"))</f>
        <v>서울</v>
      </c>
      <c r="F171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B1706</v>
      </c>
      <c r="G1711" s="76" t="str">
        <f aca="false">F1711&amp;RANDBETWEEN(0,10)</f>
        <v>B17061</v>
      </c>
      <c r="H1711" s="75" t="n">
        <f aca="false">
IF($D1711="정상",INDEX(임대자산!$D$3:$R$3000,MATCH($F1711,임대자산!$I$3:$I$3000,0),MATCH(H$4,임대자산!$D$3:$R$3,0)),
IF($D1711="폐업",INDEX(폐업정보!$D$3:$R$3000,MATCH($F1711,폐업정보!$I$3:$I$3000,0),MATCH(H$4,폐업정보!$D$3:$R$3,0)),
"Error"))</f>
        <v>45810</v>
      </c>
      <c r="I1711" s="75" t="str">
        <f aca="false">
IF($D1711="정상",INDEX(임대자산!$D$3:$R$3000,MATCH($F1711,임대자산!$I$3:$I$3000,0),MATCH(I$4,임대자산!$D$3:$R$3,0)),
IF($D1711="폐업",INDEX(폐업정보!$D$3:$R$3000,MATCH($F1711,폐업정보!$I$3:$I$3000,0),MATCH(I$4,폐업정보!$D$3:$R$3,0)),
"Error"))</f>
        <v>A1706</v>
      </c>
      <c r="J1711" s="75" t="str">
        <f aca="false">
IF($D1711="정상",INDEX(임대자산!$D$3:$R$3000,MATCH($F1711,임대자산!$I$3:$I$3000,0),MATCH(J$4,임대자산!$D$3:$R$3,0)),
IF($D1711="폐업",INDEX(폐업정보!$D$3:$R$3000,MATCH($F1711,폐업정보!$I$3:$I$3000,0),MATCH(J$4,폐업정보!$D$3:$R$3,0)),
"Error"))</f>
        <v>8194600000</v>
      </c>
      <c r="K1711" s="75" t="str">
        <f aca="false">
IF($D1711="정상",INDEX(임대자산!$D$3:$R$3000,MATCH($F1711,임대자산!$I$3:$I$3000,0),MATCH(K$4,임대자산!$D$3:$R$3,0)),
IF($D1711="폐업",INDEX(폐업정보!$D$3:$R$3000,MATCH($F1711,폐업정보!$I$3:$I$3000,0),MATCH(K$4,폐업정보!$D$3:$R$3,0)),
"Error"))</f>
        <v>C1706</v>
      </c>
      <c r="L1711" s="75" t="str">
        <f aca="false">
IF($D1711="정상",INDEX(임대자산!$D$3:$R$3000,MATCH($F1711,임대자산!$I$3:$I$3000,0),MATCH(L$4,임대자산!$D$3:$R$3,0)),
IF($D1711="폐업",INDEX(폐업정보!$D$3:$R$3000,MATCH($F1711,폐업정보!$I$3:$I$3000,0),MATCH(L$4,폐업정보!$D$3:$R$3,0)),
"Error"))</f>
        <v>D1706</v>
      </c>
      <c r="M1711" s="76" t="s">
        <v>96</v>
      </c>
      <c r="N1711" s="77"/>
      <c r="O1711" s="78" t="s">
        <v>97</v>
      </c>
      <c r="P1711" s="79" t="n">
        <f aca="false">COUNTIFS(임대자산!$I:$I,가맹점정보!F1711,임대자산!$N:$N,가맹점정보!P$4)</f>
        <v>0</v>
      </c>
      <c r="Q1711" s="80" t="n">
        <f aca="false">COUNTIFS(임대자산!$I:$I,가맹점정보!F1711,임대자산!$N:$N,가맹점정보!Q$4)</f>
        <v>0</v>
      </c>
      <c r="R1711" s="81" t="n">
        <f aca="false">COUNTIFS(임대자산!$I:$I,가맹점정보!F1711,임대자산!$N:$N,가맹점정보!R$4)</f>
        <v>1</v>
      </c>
      <c r="S1711" s="82" t="n">
        <v>55000</v>
      </c>
      <c r="T1711" s="83" t="n">
        <v>0</v>
      </c>
      <c r="U1711" s="80" t="n">
        <f aca="false">SUM(S1711:T1711)</f>
        <v>55000</v>
      </c>
      <c r="V1711" s="84" t="s">
        <v>12</v>
      </c>
      <c r="W1711" s="80" t="e">
        <f aca="true">
IF(D1711="폐업","폐업",
IF(V1711="면제","면제",
IF(AND(V1711="정상",COUNTIFS(OFFSET(Y1711,0,COUNTA(Y1711:AV1711)-1,1,-4),"미납")&gt;=3),"장기미납",
IF(AND(V1711="정상",OFFSET(Y1711,0,COUNTA(Y1711:AV1711)-1)&gt;=U1711),"정상",
IF(AND(V1711="정상",OFFSET(Y1711,0,COUNTA(Y1711:AV1711)-1)=0),"정상",
"계약서 미작성")))))</f>
        <v>#VALUE!</v>
      </c>
      <c r="X1711" s="81" t="str">
        <f aca="true">
IF(D1711="폐업","폐업",
IF(AND(V1711="정상",OFFSET(Y1711,0,COUNTA(Y1711:AV1711)-1)="미납"),"미납",
IF(AND(V1711="정상",OFFSET(Y1711,0,COUNTA(Y1711:AV1711)-1)=0),"납부 시작 전",
IF(AND(V1711="정상",OFFSET(Y1711,0,COUNTA(Y1711:AV1711)-1)&gt;=U1711),"정상",
IF(AND(V1711="면제",OFFSET(Y1711,0,COUNTA(Y1711:AV1711)-1)="면제"),"면제",
IF(AND(V1711="면제",OFFSET(Y1711,0,COUNTA(Y1711:AV1711)-1)=0),"면제",
"확인요청"))))))</f>
        <v>정상</v>
      </c>
      <c r="Y1711" s="93" t="n">
        <v>55000</v>
      </c>
      <c r="Z1711" s="90" t="n">
        <v>55000</v>
      </c>
      <c r="AA1711" s="90" t="n">
        <v>55000</v>
      </c>
      <c r="AB1711" s="90" t="n">
        <v>55000</v>
      </c>
      <c r="AC1711" s="90" t="n">
        <v>55000</v>
      </c>
      <c r="AD1711" s="90" t="n">
        <v>55000</v>
      </c>
      <c r="AE1711" s="90" t="n">
        <v>55000</v>
      </c>
      <c r="AF1711" s="90" t="n">
        <v>55000</v>
      </c>
      <c r="AG1711" s="90" t="n">
        <v>55000</v>
      </c>
      <c r="AH1711" s="90" t="n">
        <v>55000</v>
      </c>
      <c r="AI1711" s="90" t="n">
        <v>55000</v>
      </c>
      <c r="AJ1711" s="91" t="n">
        <v>55000</v>
      </c>
      <c r="AK1711" s="89" t="n">
        <v>55000</v>
      </c>
      <c r="AL1711" s="90" t="n">
        <v>55000</v>
      </c>
      <c r="AM1711" s="90"/>
      <c r="AN1711" s="90"/>
      <c r="AO1711" s="90"/>
      <c r="AP1711" s="90"/>
      <c r="AQ1711" s="90"/>
      <c r="AR1711" s="90"/>
      <c r="AS1711" s="90"/>
      <c r="AT1711" s="90"/>
      <c r="AU1711" s="90"/>
      <c r="AV1711" s="91"/>
      <c r="AX1711" s="92"/>
    </row>
    <row r="1712" customFormat="false" ht="15.65" hidden="false" customHeight="false" outlineLevel="0" collapsed="false">
      <c r="C1712" s="72" t="n">
        <f aca="false">COUNTIFS($D$6:D1712,"&lt;&gt;"&amp;"")</f>
        <v>1707</v>
      </c>
      <c r="D1712" s="73" t="s">
        <v>12</v>
      </c>
      <c r="E1712" s="76" t="str">
        <f aca="false">
IF($D1712="정상",INDEX(임대자산!$D$3:$R$3000,MATCH($F1712,임대자산!$I$3:$I$3000,0),MATCH(E$3,임대자산!$D$3:$R$3,0)),
IF($D1712="폐업",INDEX(폐업정보!$D$3:$R$3000,MATCH($F1712,폐업정보!$I$3:$I$3000,0),MATCH(E$3,폐업정보!$D$3:$R$3,0)),
"Error"))</f>
        <v>서울</v>
      </c>
      <c r="F171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B1707</v>
      </c>
      <c r="G1712" s="76" t="str">
        <f aca="false">F1712&amp;RANDBETWEEN(0,10)</f>
        <v>B17078</v>
      </c>
      <c r="H1712" s="75" t="n">
        <f aca="false">
IF($D1712="정상",INDEX(임대자산!$D$3:$R$3000,MATCH($F1712,임대자산!$I$3:$I$3000,0),MATCH(H$4,임대자산!$D$3:$R$3,0)),
IF($D1712="폐업",INDEX(폐업정보!$D$3:$R$3000,MATCH($F1712,폐업정보!$I$3:$I$3000,0),MATCH(H$4,폐업정보!$D$3:$R$3,0)),
"Error"))</f>
        <v>45806</v>
      </c>
      <c r="I1712" s="75" t="str">
        <f aca="false">
IF($D1712="정상",INDEX(임대자산!$D$3:$R$3000,MATCH($F1712,임대자산!$I$3:$I$3000,0),MATCH(I$4,임대자산!$D$3:$R$3,0)),
IF($D1712="폐업",INDEX(폐업정보!$D$3:$R$3000,MATCH($F1712,폐업정보!$I$3:$I$3000,0),MATCH(I$4,폐업정보!$D$3:$R$3,0)),
"Error"))</f>
        <v>A1707</v>
      </c>
      <c r="J1712" s="75" t="str">
        <f aca="false">
IF($D1712="정상",INDEX(임대자산!$D$3:$R$3000,MATCH($F1712,임대자산!$I$3:$I$3000,0),MATCH(J$4,임대자산!$D$3:$R$3,0)),
IF($D1712="폐업",INDEX(폐업정보!$D$3:$R$3000,MATCH($F1712,폐업정보!$I$3:$I$3000,0),MATCH(J$4,폐업정보!$D$3:$R$3,0)),
"Error"))</f>
        <v>4247500000</v>
      </c>
      <c r="K1712" s="75" t="str">
        <f aca="false">
IF($D1712="정상",INDEX(임대자산!$D$3:$R$3000,MATCH($F1712,임대자산!$I$3:$I$3000,0),MATCH(K$4,임대자산!$D$3:$R$3,0)),
IF($D1712="폐업",INDEX(폐업정보!$D$3:$R$3000,MATCH($F1712,폐업정보!$I$3:$I$3000,0),MATCH(K$4,폐업정보!$D$3:$R$3,0)),
"Error"))</f>
        <v>C1707</v>
      </c>
      <c r="L1712" s="75" t="str">
        <f aca="false">
IF($D1712="정상",INDEX(임대자산!$D$3:$R$3000,MATCH($F1712,임대자산!$I$3:$I$3000,0),MATCH(L$4,임대자산!$D$3:$R$3,0)),
IF($D1712="폐업",INDEX(폐업정보!$D$3:$R$3000,MATCH($F1712,폐업정보!$I$3:$I$3000,0),MATCH(L$4,폐업정보!$D$3:$R$3,0)),
"Error"))</f>
        <v>D1707</v>
      </c>
      <c r="M1712" s="76" t="s">
        <v>96</v>
      </c>
      <c r="N1712" s="77"/>
      <c r="O1712" s="78" t="s">
        <v>97</v>
      </c>
      <c r="P1712" s="79" t="n">
        <f aca="false">COUNTIFS(임대자산!$I:$I,가맹점정보!F1712,임대자산!$N:$N,가맹점정보!P$4)</f>
        <v>0</v>
      </c>
      <c r="Q1712" s="80" t="n">
        <f aca="false">COUNTIFS(임대자산!$I:$I,가맹점정보!F1712,임대자산!$N:$N,가맹점정보!Q$4)</f>
        <v>0</v>
      </c>
      <c r="R1712" s="81" t="n">
        <f aca="false">COUNTIFS(임대자산!$I:$I,가맹점정보!F1712,임대자산!$N:$N,가맹점정보!R$4)</f>
        <v>1</v>
      </c>
      <c r="S1712" s="82" t="n">
        <v>55000</v>
      </c>
      <c r="T1712" s="83" t="n">
        <v>0</v>
      </c>
      <c r="U1712" s="80" t="n">
        <f aca="false">SUM(S1712:T1712)</f>
        <v>55000</v>
      </c>
      <c r="V1712" s="84" t="s">
        <v>7</v>
      </c>
      <c r="W1712" s="80" t="str">
        <f aca="true">
IF(D1712="폐업","폐업",
IF(V1712="면제","면제",
IF(AND(V1712="정상",COUNTIFS(OFFSET(Y1712,0,COUNTA(Y1712:AV1712)-1,1,-4),"미납")&gt;=3),"장기미납",
IF(AND(V1712="정상",OFFSET(Y1712,0,COUNTA(Y1712:AV1712)-1)&gt;=U1712),"정상",
IF(AND(V1712="정상",OFFSET(Y1712,0,COUNTA(Y1712:AV1712)-1)=0),"정상",
"계약서 미작성")))))</f>
        <v>면제</v>
      </c>
      <c r="X1712" s="81" t="str">
        <f aca="true">
IF(D1712="폐업","폐업",
IF(AND(V1712="정상",OFFSET(Y1712,0,COUNTA(Y1712:AV1712)-1)="미납"),"미납",
IF(AND(V1712="정상",OFFSET(Y1712,0,COUNTA(Y1712:AV1712)-1)=0),"납부 시작 전",
IF(AND(V1712="정상",OFFSET(Y1712,0,COUNTA(Y1712:AV1712)-1)&gt;=U1712),"정상",
IF(AND(V1712="면제",OFFSET(Y1712,0,COUNTA(Y1712:AV1712)-1)="면제"),"면제",
IF(AND(V1712="면제",OFFSET(Y1712,0,COUNTA(Y1712:AV1712)-1)=0),"면제",
"확인요청"))))))</f>
        <v>면제</v>
      </c>
      <c r="Y1712" s="94" t="s">
        <v>7</v>
      </c>
      <c r="Z1712" s="95" t="s">
        <v>7</v>
      </c>
      <c r="AA1712" s="95" t="s">
        <v>7</v>
      </c>
      <c r="AB1712" s="95" t="s">
        <v>7</v>
      </c>
      <c r="AC1712" s="95" t="s">
        <v>7</v>
      </c>
      <c r="AD1712" s="95" t="s">
        <v>7</v>
      </c>
      <c r="AE1712" s="95" t="s">
        <v>7</v>
      </c>
      <c r="AF1712" s="95" t="s">
        <v>7</v>
      </c>
      <c r="AG1712" s="95" t="s">
        <v>7</v>
      </c>
      <c r="AH1712" s="95" t="s">
        <v>7</v>
      </c>
      <c r="AI1712" s="95" t="s">
        <v>7</v>
      </c>
      <c r="AJ1712" s="96" t="s">
        <v>7</v>
      </c>
      <c r="AK1712" s="97" t="s">
        <v>7</v>
      </c>
      <c r="AL1712" s="95" t="s">
        <v>7</v>
      </c>
      <c r="AM1712" s="90"/>
      <c r="AN1712" s="90"/>
      <c r="AO1712" s="90"/>
      <c r="AP1712" s="90"/>
      <c r="AQ1712" s="90"/>
      <c r="AR1712" s="90"/>
      <c r="AS1712" s="90"/>
      <c r="AT1712" s="90"/>
      <c r="AU1712" s="90"/>
      <c r="AV1712" s="91"/>
      <c r="AX1712" s="92"/>
    </row>
    <row r="1713" customFormat="false" ht="15.65" hidden="false" customHeight="false" outlineLevel="0" collapsed="false">
      <c r="C1713" s="72" t="n">
        <f aca="false">COUNTIFS($D$6:D1713,"&lt;&gt;"&amp;"")</f>
        <v>1708</v>
      </c>
      <c r="D1713" s="73" t="s">
        <v>12</v>
      </c>
      <c r="E1713" s="76" t="str">
        <f aca="false">
IF($D1713="정상",INDEX(임대자산!$D$3:$R$3000,MATCH($F1713,임대자산!$I$3:$I$3000,0),MATCH(E$3,임대자산!$D$3:$R$3,0)),
IF($D1713="폐업",INDEX(폐업정보!$D$3:$R$3000,MATCH($F1713,폐업정보!$I$3:$I$3000,0),MATCH(E$3,폐업정보!$D$3:$R$3,0)),
"Error"))</f>
        <v>경상</v>
      </c>
      <c r="F171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B1708</v>
      </c>
      <c r="G1713" s="76" t="str">
        <f aca="false">F1713&amp;RANDBETWEEN(0,10)</f>
        <v>B17087</v>
      </c>
      <c r="H1713" s="75" t="n">
        <f aca="false">
IF($D1713="정상",INDEX(임대자산!$D$3:$R$3000,MATCH($F1713,임대자산!$I$3:$I$3000,0),MATCH(H$4,임대자산!$D$3:$R$3,0)),
IF($D1713="폐업",INDEX(폐업정보!$D$3:$R$3000,MATCH($F1713,폐업정보!$I$3:$I$3000,0),MATCH(H$4,폐업정보!$D$3:$R$3,0)),
"Error"))</f>
        <v>45824</v>
      </c>
      <c r="I1713" s="75" t="str">
        <f aca="false">
IF($D1713="정상",INDEX(임대자산!$D$3:$R$3000,MATCH($F1713,임대자산!$I$3:$I$3000,0),MATCH(I$4,임대자산!$D$3:$R$3,0)),
IF($D1713="폐업",INDEX(폐업정보!$D$3:$R$3000,MATCH($F1713,폐업정보!$I$3:$I$3000,0),MATCH(I$4,폐업정보!$D$3:$R$3,0)),
"Error"))</f>
        <v>A1708</v>
      </c>
      <c r="J1713" s="75" t="str">
        <f aca="false">
IF($D1713="정상",INDEX(임대자산!$D$3:$R$3000,MATCH($F1713,임대자산!$I$3:$I$3000,0),MATCH(J$4,임대자산!$D$3:$R$3,0)),
IF($D1713="폐업",INDEX(폐업정보!$D$3:$R$3000,MATCH($F1713,폐업정보!$I$3:$I$3000,0),MATCH(J$4,폐업정보!$D$3:$R$3,0)),
"Error"))</f>
        <v>3822700000</v>
      </c>
      <c r="K1713" s="75" t="str">
        <f aca="false">
IF($D1713="정상",INDEX(임대자산!$D$3:$R$3000,MATCH($F1713,임대자산!$I$3:$I$3000,0),MATCH(K$4,임대자산!$D$3:$R$3,0)),
IF($D1713="폐업",INDEX(폐업정보!$D$3:$R$3000,MATCH($F1713,폐업정보!$I$3:$I$3000,0),MATCH(K$4,폐업정보!$D$3:$R$3,0)),
"Error"))</f>
        <v>C1708</v>
      </c>
      <c r="L1713" s="75" t="str">
        <f aca="false">
IF($D1713="정상",INDEX(임대자산!$D$3:$R$3000,MATCH($F1713,임대자산!$I$3:$I$3000,0),MATCH(L$4,임대자산!$D$3:$R$3,0)),
IF($D1713="폐업",INDEX(폐업정보!$D$3:$R$3000,MATCH($F1713,폐업정보!$I$3:$I$3000,0),MATCH(L$4,폐업정보!$D$3:$R$3,0)),
"Error"))</f>
        <v>D1708</v>
      </c>
      <c r="M1713" s="76" t="s">
        <v>96</v>
      </c>
      <c r="N1713" s="77"/>
      <c r="O1713" s="78" t="s">
        <v>97</v>
      </c>
      <c r="P1713" s="79" t="n">
        <f aca="false">COUNTIFS(임대자산!$I:$I,가맹점정보!F1713,임대자산!$N:$N,가맹점정보!P$4)</f>
        <v>0</v>
      </c>
      <c r="Q1713" s="80" t="n">
        <f aca="false">COUNTIFS(임대자산!$I:$I,가맹점정보!F1713,임대자산!$N:$N,가맹점정보!Q$4)</f>
        <v>0</v>
      </c>
      <c r="R1713" s="81" t="n">
        <f aca="false">COUNTIFS(임대자산!$I:$I,가맹점정보!F1713,임대자산!$N:$N,가맹점정보!R$4)</f>
        <v>1</v>
      </c>
      <c r="S1713" s="82" t="n">
        <v>55000</v>
      </c>
      <c r="T1713" s="83" t="n">
        <v>0</v>
      </c>
      <c r="U1713" s="80" t="n">
        <f aca="false">SUM(S1713:T1713)</f>
        <v>55000</v>
      </c>
      <c r="V1713" s="84" t="s">
        <v>12</v>
      </c>
      <c r="W1713" s="80" t="e">
        <f aca="true">
IF(D1713="폐업","폐업",
IF(V1713="면제","면제",
IF(AND(V1713="정상",COUNTIFS(OFFSET(Y1713,0,COUNTA(Y1713:AV1713)-1,1,-4),"미납")&gt;=3),"장기미납",
IF(AND(V1713="정상",OFFSET(Y1713,0,COUNTA(Y1713:AV1713)-1)&gt;=U1713),"정상",
IF(AND(V1713="정상",OFFSET(Y1713,0,COUNTA(Y1713:AV1713)-1)=0),"정상",
"계약서 미작성")))))</f>
        <v>#VALUE!</v>
      </c>
      <c r="X1713" s="81" t="str">
        <f aca="true">
IF(D1713="폐업","폐업",
IF(AND(V1713="정상",OFFSET(Y1713,0,COUNTA(Y1713:AV1713)-1)="미납"),"미납",
IF(AND(V1713="정상",OFFSET(Y1713,0,COUNTA(Y1713:AV1713)-1)=0),"납부 시작 전",
IF(AND(V1713="정상",OFFSET(Y1713,0,COUNTA(Y1713:AV1713)-1)&gt;=U1713),"정상",
IF(AND(V1713="면제",OFFSET(Y1713,0,COUNTA(Y1713:AV1713)-1)="면제"),"면제",
IF(AND(V1713="면제",OFFSET(Y1713,0,COUNTA(Y1713:AV1713)-1)=0),"면제",
"확인요청"))))))</f>
        <v>정상</v>
      </c>
      <c r="Y1713" s="93" t="n">
        <v>55000</v>
      </c>
      <c r="Z1713" s="90" t="n">
        <v>55000</v>
      </c>
      <c r="AA1713" s="90" t="n">
        <v>55000</v>
      </c>
      <c r="AB1713" s="90" t="n">
        <v>55000</v>
      </c>
      <c r="AC1713" s="90" t="n">
        <v>55000</v>
      </c>
      <c r="AD1713" s="90" t="n">
        <v>55000</v>
      </c>
      <c r="AE1713" s="90" t="n">
        <v>55000</v>
      </c>
      <c r="AF1713" s="90" t="n">
        <v>55000</v>
      </c>
      <c r="AG1713" s="90" t="n">
        <v>55000</v>
      </c>
      <c r="AH1713" s="90" t="n">
        <v>55000</v>
      </c>
      <c r="AI1713" s="90" t="n">
        <v>55000</v>
      </c>
      <c r="AJ1713" s="91" t="n">
        <v>55000</v>
      </c>
      <c r="AK1713" s="89" t="n">
        <v>55000</v>
      </c>
      <c r="AL1713" s="90" t="n">
        <v>55000</v>
      </c>
      <c r="AM1713" s="90"/>
      <c r="AN1713" s="90"/>
      <c r="AO1713" s="90"/>
      <c r="AP1713" s="90"/>
      <c r="AQ1713" s="90"/>
      <c r="AR1713" s="90"/>
      <c r="AS1713" s="90"/>
      <c r="AT1713" s="90"/>
      <c r="AU1713" s="90"/>
      <c r="AV1713" s="91"/>
      <c r="AX1713" s="92"/>
    </row>
    <row r="1714" customFormat="false" ht="15.65" hidden="false" customHeight="false" outlineLevel="0" collapsed="false">
      <c r="C1714" s="72" t="n">
        <f aca="false">COUNTIFS($D$6:D1714,"&lt;&gt;"&amp;"")</f>
        <v>1709</v>
      </c>
      <c r="D1714" s="73" t="s">
        <v>12</v>
      </c>
      <c r="E1714" s="76" t="str">
        <f aca="false">
IF($D1714="정상",INDEX(임대자산!$D$3:$R$3000,MATCH($F1714,임대자산!$I$3:$I$3000,0),MATCH(E$3,임대자산!$D$3:$R$3,0)),
IF($D1714="폐업",INDEX(폐업정보!$D$3:$R$3000,MATCH($F1714,폐업정보!$I$3:$I$3000,0),MATCH(E$3,폐업정보!$D$3:$R$3,0)),
"Error"))</f>
        <v>서울</v>
      </c>
      <c r="F171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B1709</v>
      </c>
      <c r="G1714" s="76" t="str">
        <f aca="false">F1714&amp;RANDBETWEEN(0,10)</f>
        <v>B17090</v>
      </c>
      <c r="H1714" s="75" t="n">
        <f aca="false">
IF($D1714="정상",INDEX(임대자산!$D$3:$R$3000,MATCH($F1714,임대자산!$I$3:$I$3000,0),MATCH(H$4,임대자산!$D$3:$R$3,0)),
IF($D1714="폐업",INDEX(폐업정보!$D$3:$R$3000,MATCH($F1714,폐업정보!$I$3:$I$3000,0),MATCH(H$4,폐업정보!$D$3:$R$3,0)),
"Error"))</f>
        <v>45824</v>
      </c>
      <c r="I1714" s="75" t="str">
        <f aca="false">
IF($D1714="정상",INDEX(임대자산!$D$3:$R$3000,MATCH($F1714,임대자산!$I$3:$I$3000,0),MATCH(I$4,임대자산!$D$3:$R$3,0)),
IF($D1714="폐업",INDEX(폐업정보!$D$3:$R$3000,MATCH($F1714,폐업정보!$I$3:$I$3000,0),MATCH(I$4,폐업정보!$D$3:$R$3,0)),
"Error"))</f>
        <v>A1709</v>
      </c>
      <c r="J1714" s="75" t="str">
        <f aca="false">
IF($D1714="정상",INDEX(임대자산!$D$3:$R$3000,MATCH($F1714,임대자산!$I$3:$I$3000,0),MATCH(J$4,임대자산!$D$3:$R$3,0)),
IF($D1714="폐업",INDEX(폐업정보!$D$3:$R$3000,MATCH($F1714,폐업정보!$I$3:$I$3000,0),MATCH(J$4,폐업정보!$D$3:$R$3,0)),
"Error"))</f>
        <v>1654900000</v>
      </c>
      <c r="K1714" s="75" t="str">
        <f aca="false">
IF($D1714="정상",INDEX(임대자산!$D$3:$R$3000,MATCH($F1714,임대자산!$I$3:$I$3000,0),MATCH(K$4,임대자산!$D$3:$R$3,0)),
IF($D1714="폐업",INDEX(폐업정보!$D$3:$R$3000,MATCH($F1714,폐업정보!$I$3:$I$3000,0),MATCH(K$4,폐업정보!$D$3:$R$3,0)),
"Error"))</f>
        <v>C1709</v>
      </c>
      <c r="L1714" s="75" t="str">
        <f aca="false">
IF($D1714="정상",INDEX(임대자산!$D$3:$R$3000,MATCH($F1714,임대자산!$I$3:$I$3000,0),MATCH(L$4,임대자산!$D$3:$R$3,0)),
IF($D1714="폐업",INDEX(폐업정보!$D$3:$R$3000,MATCH($F1714,폐업정보!$I$3:$I$3000,0),MATCH(L$4,폐업정보!$D$3:$R$3,0)),
"Error"))</f>
        <v>D1709</v>
      </c>
      <c r="M1714" s="76" t="s">
        <v>96</v>
      </c>
      <c r="N1714" s="77"/>
      <c r="O1714" s="78" t="s">
        <v>97</v>
      </c>
      <c r="P1714" s="79" t="n">
        <f aca="false">COUNTIFS(임대자산!$I:$I,가맹점정보!F1714,임대자산!$N:$N,가맹점정보!P$4)</f>
        <v>0</v>
      </c>
      <c r="Q1714" s="80" t="n">
        <f aca="false">COUNTIFS(임대자산!$I:$I,가맹점정보!F1714,임대자산!$N:$N,가맹점정보!Q$4)</f>
        <v>0</v>
      </c>
      <c r="R1714" s="81" t="n">
        <f aca="false">COUNTIFS(임대자산!$I:$I,가맹점정보!F1714,임대자산!$N:$N,가맹점정보!R$4)</f>
        <v>1</v>
      </c>
      <c r="S1714" s="82" t="n">
        <v>55000</v>
      </c>
      <c r="T1714" s="83" t="n">
        <v>0</v>
      </c>
      <c r="U1714" s="80" t="n">
        <f aca="false">SUM(S1714:T1714)</f>
        <v>55000</v>
      </c>
      <c r="V1714" s="84" t="s">
        <v>7</v>
      </c>
      <c r="W1714" s="80" t="str">
        <f aca="true">
IF(D1714="폐업","폐업",
IF(V1714="면제","면제",
IF(AND(V1714="정상",COUNTIFS(OFFSET(Y1714,0,COUNTA(Y1714:AV1714)-1,1,-4),"미납")&gt;=3),"장기미납",
IF(AND(V1714="정상",OFFSET(Y1714,0,COUNTA(Y1714:AV1714)-1)&gt;=U1714),"정상",
IF(AND(V1714="정상",OFFSET(Y1714,0,COUNTA(Y1714:AV1714)-1)=0),"정상",
"계약서 미작성")))))</f>
        <v>면제</v>
      </c>
      <c r="X1714" s="81" t="str">
        <f aca="true">
IF(D1714="폐업","폐업",
IF(AND(V1714="정상",OFFSET(Y1714,0,COUNTA(Y1714:AV1714)-1)="미납"),"미납",
IF(AND(V1714="정상",OFFSET(Y1714,0,COUNTA(Y1714:AV1714)-1)=0),"납부 시작 전",
IF(AND(V1714="정상",OFFSET(Y1714,0,COUNTA(Y1714:AV1714)-1)&gt;=U1714),"정상",
IF(AND(V1714="면제",OFFSET(Y1714,0,COUNTA(Y1714:AV1714)-1)="면제"),"면제",
IF(AND(V1714="면제",OFFSET(Y1714,0,COUNTA(Y1714:AV1714)-1)=0),"면제",
"확인요청"))))))</f>
        <v>면제</v>
      </c>
      <c r="Y1714" s="94" t="s">
        <v>7</v>
      </c>
      <c r="Z1714" s="95" t="s">
        <v>7</v>
      </c>
      <c r="AA1714" s="95" t="s">
        <v>7</v>
      </c>
      <c r="AB1714" s="95" t="s">
        <v>7</v>
      </c>
      <c r="AC1714" s="95" t="s">
        <v>7</v>
      </c>
      <c r="AD1714" s="95" t="s">
        <v>7</v>
      </c>
      <c r="AE1714" s="95" t="s">
        <v>7</v>
      </c>
      <c r="AF1714" s="95" t="s">
        <v>7</v>
      </c>
      <c r="AG1714" s="95" t="s">
        <v>7</v>
      </c>
      <c r="AH1714" s="95" t="s">
        <v>7</v>
      </c>
      <c r="AI1714" s="95" t="s">
        <v>7</v>
      </c>
      <c r="AJ1714" s="96" t="s">
        <v>7</v>
      </c>
      <c r="AK1714" s="97" t="s">
        <v>7</v>
      </c>
      <c r="AL1714" s="95" t="s">
        <v>7</v>
      </c>
      <c r="AM1714" s="90"/>
      <c r="AN1714" s="90"/>
      <c r="AO1714" s="90"/>
      <c r="AP1714" s="90"/>
      <c r="AQ1714" s="90"/>
      <c r="AR1714" s="90"/>
      <c r="AS1714" s="90"/>
      <c r="AT1714" s="90"/>
      <c r="AU1714" s="90"/>
      <c r="AV1714" s="91"/>
      <c r="AX1714" s="92"/>
    </row>
    <row r="1715" customFormat="false" ht="15.65" hidden="false" customHeight="false" outlineLevel="0" collapsed="false">
      <c r="C1715" s="72" t="n">
        <f aca="false">COUNTIFS($D$6:D1715,"&lt;&gt;"&amp;"")</f>
        <v>1710</v>
      </c>
      <c r="D1715" s="73" t="s">
        <v>12</v>
      </c>
      <c r="E1715" s="76" t="str">
        <f aca="false">
IF($D1715="정상",INDEX(임대자산!$D$3:$R$3000,MATCH($F1715,임대자산!$I$3:$I$3000,0),MATCH(E$3,임대자산!$D$3:$R$3,0)),
IF($D1715="폐업",INDEX(폐업정보!$D$3:$R$3000,MATCH($F1715,폐업정보!$I$3:$I$3000,0),MATCH(E$3,폐업정보!$D$3:$R$3,0)),
"Error"))</f>
        <v>서울</v>
      </c>
      <c r="F171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B1710</v>
      </c>
      <c r="G1715" s="76" t="str">
        <f aca="false">F1715&amp;RANDBETWEEN(0,10)</f>
        <v>B17103</v>
      </c>
      <c r="H1715" s="75" t="n">
        <f aca="false">
IF($D1715="정상",INDEX(임대자산!$D$3:$R$3000,MATCH($F1715,임대자산!$I$3:$I$3000,0),MATCH(H$4,임대자산!$D$3:$R$3,0)),
IF($D1715="폐업",INDEX(폐업정보!$D$3:$R$3000,MATCH($F1715,폐업정보!$I$3:$I$3000,0),MATCH(H$4,폐업정보!$D$3:$R$3,0)),
"Error"))</f>
        <v>45824</v>
      </c>
      <c r="I1715" s="75" t="str">
        <f aca="false">
IF($D1715="정상",INDEX(임대자산!$D$3:$R$3000,MATCH($F1715,임대자산!$I$3:$I$3000,0),MATCH(I$4,임대자산!$D$3:$R$3,0)),
IF($D1715="폐업",INDEX(폐업정보!$D$3:$R$3000,MATCH($F1715,폐업정보!$I$3:$I$3000,0),MATCH(I$4,폐업정보!$D$3:$R$3,0)),
"Error"))</f>
        <v>A1710</v>
      </c>
      <c r="J1715" s="75" t="str">
        <f aca="false">
IF($D1715="정상",INDEX(임대자산!$D$3:$R$3000,MATCH($F1715,임대자산!$I$3:$I$3000,0),MATCH(J$4,임대자산!$D$3:$R$3,0)),
IF($D1715="폐업",INDEX(폐업정보!$D$3:$R$3000,MATCH($F1715,폐업정보!$I$3:$I$3000,0),MATCH(J$4,폐업정보!$D$3:$R$3,0)),
"Error"))</f>
        <v>4531100000</v>
      </c>
      <c r="K1715" s="75" t="str">
        <f aca="false">
IF($D1715="정상",INDEX(임대자산!$D$3:$R$3000,MATCH($F1715,임대자산!$I$3:$I$3000,0),MATCH(K$4,임대자산!$D$3:$R$3,0)),
IF($D1715="폐업",INDEX(폐업정보!$D$3:$R$3000,MATCH($F1715,폐업정보!$I$3:$I$3000,0),MATCH(K$4,폐업정보!$D$3:$R$3,0)),
"Error"))</f>
        <v>C1710</v>
      </c>
      <c r="L1715" s="75" t="str">
        <f aca="false">
IF($D1715="정상",INDEX(임대자산!$D$3:$R$3000,MATCH($F1715,임대자산!$I$3:$I$3000,0),MATCH(L$4,임대자산!$D$3:$R$3,0)),
IF($D1715="폐업",INDEX(폐업정보!$D$3:$R$3000,MATCH($F1715,폐업정보!$I$3:$I$3000,0),MATCH(L$4,폐업정보!$D$3:$R$3,0)),
"Error"))</f>
        <v>D1710</v>
      </c>
      <c r="M1715" s="76" t="s">
        <v>96</v>
      </c>
      <c r="N1715" s="77"/>
      <c r="O1715" s="78" t="s">
        <v>97</v>
      </c>
      <c r="P1715" s="79" t="n">
        <f aca="false">COUNTIFS(임대자산!$I:$I,가맹점정보!F1715,임대자산!$N:$N,가맹점정보!P$4)</f>
        <v>0</v>
      </c>
      <c r="Q1715" s="80" t="n">
        <f aca="false">COUNTIFS(임대자산!$I:$I,가맹점정보!F1715,임대자산!$N:$N,가맹점정보!Q$4)</f>
        <v>0</v>
      </c>
      <c r="R1715" s="81" t="n">
        <f aca="false">COUNTIFS(임대자산!$I:$I,가맹점정보!F1715,임대자산!$N:$N,가맹점정보!R$4)</f>
        <v>1</v>
      </c>
      <c r="S1715" s="82" t="n">
        <v>88000</v>
      </c>
      <c r="T1715" s="83" t="n">
        <v>0</v>
      </c>
      <c r="U1715" s="80" t="n">
        <f aca="false">SUM(S1715:T1715)</f>
        <v>88000</v>
      </c>
      <c r="V1715" s="84" t="s">
        <v>7</v>
      </c>
      <c r="W1715" s="80" t="str">
        <f aca="true">
IF(D1715="폐업","폐업",
IF(V1715="면제","면제",
IF(AND(V1715="정상",COUNTIFS(OFFSET(Y1715,0,COUNTA(Y1715:AV1715)-1,1,-4),"미납")&gt;=3),"장기미납",
IF(AND(V1715="정상",OFFSET(Y1715,0,COUNTA(Y1715:AV1715)-1)&gt;=U1715),"정상",
IF(AND(V1715="정상",OFFSET(Y1715,0,COUNTA(Y1715:AV1715)-1)=0),"정상",
"계약서 미작성")))))</f>
        <v>면제</v>
      </c>
      <c r="X1715" s="81" t="str">
        <f aca="true">
IF(D1715="폐업","폐업",
IF(AND(V1715="정상",OFFSET(Y1715,0,COUNTA(Y1715:AV1715)-1)="미납"),"미납",
IF(AND(V1715="정상",OFFSET(Y1715,0,COUNTA(Y1715:AV1715)-1)=0),"납부 시작 전",
IF(AND(V1715="정상",OFFSET(Y1715,0,COUNTA(Y1715:AV1715)-1)&gt;=U1715),"정상",
IF(AND(V1715="면제",OFFSET(Y1715,0,COUNTA(Y1715:AV1715)-1)="면제"),"면제",
IF(AND(V1715="면제",OFFSET(Y1715,0,COUNTA(Y1715:AV1715)-1)=0),"면제",
"확인요청"))))))</f>
        <v>면제</v>
      </c>
      <c r="Y1715" s="94" t="s">
        <v>7</v>
      </c>
      <c r="Z1715" s="95" t="s">
        <v>7</v>
      </c>
      <c r="AA1715" s="95" t="s">
        <v>7</v>
      </c>
      <c r="AB1715" s="95" t="s">
        <v>7</v>
      </c>
      <c r="AC1715" s="95" t="s">
        <v>7</v>
      </c>
      <c r="AD1715" s="95" t="s">
        <v>7</v>
      </c>
      <c r="AE1715" s="95" t="s">
        <v>7</v>
      </c>
      <c r="AF1715" s="95" t="s">
        <v>7</v>
      </c>
      <c r="AG1715" s="95" t="s">
        <v>7</v>
      </c>
      <c r="AH1715" s="95" t="s">
        <v>7</v>
      </c>
      <c r="AI1715" s="95" t="s">
        <v>7</v>
      </c>
      <c r="AJ1715" s="96" t="s">
        <v>7</v>
      </c>
      <c r="AK1715" s="97" t="s">
        <v>7</v>
      </c>
      <c r="AL1715" s="95" t="s">
        <v>7</v>
      </c>
      <c r="AM1715" s="90"/>
      <c r="AN1715" s="90"/>
      <c r="AO1715" s="90"/>
      <c r="AP1715" s="90"/>
      <c r="AQ1715" s="90"/>
      <c r="AR1715" s="90"/>
      <c r="AS1715" s="90"/>
      <c r="AT1715" s="90"/>
      <c r="AU1715" s="90"/>
      <c r="AV1715" s="91"/>
      <c r="AX1715" s="92"/>
    </row>
    <row r="1716" customFormat="false" ht="15.65" hidden="false" customHeight="false" outlineLevel="0" collapsed="false">
      <c r="C1716" s="72" t="n">
        <f aca="false">COUNTIFS($D$6:D1716,"&lt;&gt;"&amp;"")</f>
        <v>1711</v>
      </c>
      <c r="D1716" s="73" t="s">
        <v>12</v>
      </c>
      <c r="E1716" s="76" t="str">
        <f aca="false">
IF($D1716="정상",INDEX(임대자산!$D$3:$R$3000,MATCH($F1716,임대자산!$I$3:$I$3000,0),MATCH(E$3,임대자산!$D$3:$R$3,0)),
IF($D1716="폐업",INDEX(폐업정보!$D$3:$R$3000,MATCH($F1716,폐업정보!$I$3:$I$3000,0),MATCH(E$3,폐업정보!$D$3:$R$3,0)),
"Error"))</f>
        <v>경상</v>
      </c>
      <c r="F171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B1711</v>
      </c>
      <c r="G1716" s="76" t="str">
        <f aca="false">F1716&amp;RANDBETWEEN(0,10)</f>
        <v>B171110</v>
      </c>
      <c r="H1716" s="75" t="n">
        <f aca="false">
IF($D1716="정상",INDEX(임대자산!$D$3:$R$3000,MATCH($F1716,임대자산!$I$3:$I$3000,0),MATCH(H$4,임대자산!$D$3:$R$3,0)),
IF($D1716="폐업",INDEX(폐업정보!$D$3:$R$3000,MATCH($F1716,폐업정보!$I$3:$I$3000,0),MATCH(H$4,폐업정보!$D$3:$R$3,0)),
"Error"))</f>
        <v>45825</v>
      </c>
      <c r="I1716" s="75" t="str">
        <f aca="false">
IF($D1716="정상",INDEX(임대자산!$D$3:$R$3000,MATCH($F1716,임대자산!$I$3:$I$3000,0),MATCH(I$4,임대자산!$D$3:$R$3,0)),
IF($D1716="폐업",INDEX(폐업정보!$D$3:$R$3000,MATCH($F1716,폐업정보!$I$3:$I$3000,0),MATCH(I$4,폐업정보!$D$3:$R$3,0)),
"Error"))</f>
        <v>A1711</v>
      </c>
      <c r="J1716" s="75" t="str">
        <f aca="false">
IF($D1716="정상",INDEX(임대자산!$D$3:$R$3000,MATCH($F1716,임대자산!$I$3:$I$3000,0),MATCH(J$4,임대자산!$D$3:$R$3,0)),
IF($D1716="폐업",INDEX(폐업정보!$D$3:$R$3000,MATCH($F1716,폐업정보!$I$3:$I$3000,0),MATCH(J$4,폐업정보!$D$3:$R$3,0)),
"Error"))</f>
        <v>8744000000</v>
      </c>
      <c r="K1716" s="75" t="str">
        <f aca="false">
IF($D1716="정상",INDEX(임대자산!$D$3:$R$3000,MATCH($F1716,임대자산!$I$3:$I$3000,0),MATCH(K$4,임대자산!$D$3:$R$3,0)),
IF($D1716="폐업",INDEX(폐업정보!$D$3:$R$3000,MATCH($F1716,폐업정보!$I$3:$I$3000,0),MATCH(K$4,폐업정보!$D$3:$R$3,0)),
"Error"))</f>
        <v>C1711</v>
      </c>
      <c r="L1716" s="75" t="str">
        <f aca="false">
IF($D1716="정상",INDEX(임대자산!$D$3:$R$3000,MATCH($F1716,임대자산!$I$3:$I$3000,0),MATCH(L$4,임대자산!$D$3:$R$3,0)),
IF($D1716="폐업",INDEX(폐업정보!$D$3:$R$3000,MATCH($F1716,폐업정보!$I$3:$I$3000,0),MATCH(L$4,폐업정보!$D$3:$R$3,0)),
"Error"))</f>
        <v>D1711</v>
      </c>
      <c r="M1716" s="76" t="s">
        <v>96</v>
      </c>
      <c r="N1716" s="77"/>
      <c r="O1716" s="78" t="s">
        <v>97</v>
      </c>
      <c r="P1716" s="79" t="n">
        <f aca="false">COUNTIFS(임대자산!$I:$I,가맹점정보!F1716,임대자산!$N:$N,가맹점정보!P$4)</f>
        <v>0</v>
      </c>
      <c r="Q1716" s="80" t="n">
        <f aca="false">COUNTIFS(임대자산!$I:$I,가맹점정보!F1716,임대자산!$N:$N,가맹점정보!Q$4)</f>
        <v>0</v>
      </c>
      <c r="R1716" s="81" t="n">
        <f aca="false">COUNTIFS(임대자산!$I:$I,가맹점정보!F1716,임대자산!$N:$N,가맹점정보!R$4)</f>
        <v>1</v>
      </c>
      <c r="S1716" s="82" t="n">
        <v>88000</v>
      </c>
      <c r="T1716" s="83" t="n">
        <v>0</v>
      </c>
      <c r="U1716" s="80" t="n">
        <f aca="false">SUM(S1716:T1716)</f>
        <v>88000</v>
      </c>
      <c r="V1716" s="84" t="s">
        <v>7</v>
      </c>
      <c r="W1716" s="80" t="str">
        <f aca="true">
IF(D1716="폐업","폐업",
IF(V1716="면제","면제",
IF(AND(V1716="정상",COUNTIFS(OFFSET(Y1716,0,COUNTA(Y1716:AV1716)-1,1,-4),"미납")&gt;=3),"장기미납",
IF(AND(V1716="정상",OFFSET(Y1716,0,COUNTA(Y1716:AV1716)-1)&gt;=U1716),"정상",
IF(AND(V1716="정상",OFFSET(Y1716,0,COUNTA(Y1716:AV1716)-1)=0),"정상",
"계약서 미작성")))))</f>
        <v>면제</v>
      </c>
      <c r="X1716" s="81" t="str">
        <f aca="true">
IF(D1716="폐업","폐업",
IF(AND(V1716="정상",OFFSET(Y1716,0,COUNTA(Y1716:AV1716)-1)="미납"),"미납",
IF(AND(V1716="정상",OFFSET(Y1716,0,COUNTA(Y1716:AV1716)-1)=0),"납부 시작 전",
IF(AND(V1716="정상",OFFSET(Y1716,0,COUNTA(Y1716:AV1716)-1)&gt;=U1716),"정상",
IF(AND(V1716="면제",OFFSET(Y1716,0,COUNTA(Y1716:AV1716)-1)="면제"),"면제",
IF(AND(V1716="면제",OFFSET(Y1716,0,COUNTA(Y1716:AV1716)-1)=0),"면제",
"확인요청"))))))</f>
        <v>면제</v>
      </c>
      <c r="Y1716" s="94" t="s">
        <v>7</v>
      </c>
      <c r="Z1716" s="95" t="s">
        <v>7</v>
      </c>
      <c r="AA1716" s="95" t="s">
        <v>7</v>
      </c>
      <c r="AB1716" s="95" t="s">
        <v>7</v>
      </c>
      <c r="AC1716" s="95" t="s">
        <v>7</v>
      </c>
      <c r="AD1716" s="95" t="s">
        <v>7</v>
      </c>
      <c r="AE1716" s="95" t="s">
        <v>7</v>
      </c>
      <c r="AF1716" s="95" t="s">
        <v>7</v>
      </c>
      <c r="AG1716" s="95" t="s">
        <v>7</v>
      </c>
      <c r="AH1716" s="95" t="s">
        <v>7</v>
      </c>
      <c r="AI1716" s="95" t="s">
        <v>7</v>
      </c>
      <c r="AJ1716" s="96" t="s">
        <v>7</v>
      </c>
      <c r="AK1716" s="97" t="s">
        <v>7</v>
      </c>
      <c r="AL1716" s="95" t="s">
        <v>7</v>
      </c>
      <c r="AM1716" s="90"/>
      <c r="AN1716" s="90"/>
      <c r="AO1716" s="90"/>
      <c r="AP1716" s="90"/>
      <c r="AQ1716" s="90"/>
      <c r="AR1716" s="90"/>
      <c r="AS1716" s="90"/>
      <c r="AT1716" s="90"/>
      <c r="AU1716" s="90"/>
      <c r="AV1716" s="91"/>
      <c r="AX1716" s="92"/>
    </row>
    <row r="1717" customFormat="false" ht="15.65" hidden="false" customHeight="false" outlineLevel="0" collapsed="false">
      <c r="C1717" s="72" t="n">
        <f aca="false">COUNTIFS($D$6:D1717,"&lt;&gt;"&amp;"")</f>
        <v>1712</v>
      </c>
      <c r="D1717" s="73" t="s">
        <v>12</v>
      </c>
      <c r="E1717" s="76" t="str">
        <f aca="false">
IF($D1717="정상",INDEX(임대자산!$D$3:$R$3000,MATCH($F1717,임대자산!$I$3:$I$3000,0),MATCH(E$3,임대자산!$D$3:$R$3,0)),
IF($D1717="폐업",INDEX(폐업정보!$D$3:$R$3000,MATCH($F1717,폐업정보!$I$3:$I$3000,0),MATCH(E$3,폐업정보!$D$3:$R$3,0)),
"Error"))</f>
        <v>경상</v>
      </c>
      <c r="F171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B1712</v>
      </c>
      <c r="G1717" s="76" t="str">
        <f aca="false">F1717&amp;RANDBETWEEN(0,10)</f>
        <v>B17128</v>
      </c>
      <c r="H1717" s="75" t="n">
        <f aca="false">
IF($D1717="정상",INDEX(임대자산!$D$3:$R$3000,MATCH($F1717,임대자산!$I$3:$I$3000,0),MATCH(H$4,임대자산!$D$3:$R$3,0)),
IF($D1717="폐업",INDEX(폐업정보!$D$3:$R$3000,MATCH($F1717,폐업정보!$I$3:$I$3000,0),MATCH(H$4,폐업정보!$D$3:$R$3,0)),
"Error"))</f>
        <v>45825</v>
      </c>
      <c r="I1717" s="75" t="str">
        <f aca="false">
IF($D1717="정상",INDEX(임대자산!$D$3:$R$3000,MATCH($F1717,임대자산!$I$3:$I$3000,0),MATCH(I$4,임대자산!$D$3:$R$3,0)),
IF($D1717="폐업",INDEX(폐업정보!$D$3:$R$3000,MATCH($F1717,폐업정보!$I$3:$I$3000,0),MATCH(I$4,폐업정보!$D$3:$R$3,0)),
"Error"))</f>
        <v>A1712</v>
      </c>
      <c r="J1717" s="75" t="str">
        <f aca="false">
IF($D1717="정상",INDEX(임대자산!$D$3:$R$3000,MATCH($F1717,임대자산!$I$3:$I$3000,0),MATCH(J$4,임대자산!$D$3:$R$3,0)),
IF($D1717="폐업",INDEX(폐업정보!$D$3:$R$3000,MATCH($F1717,폐업정보!$I$3:$I$3000,0),MATCH(J$4,폐업정보!$D$3:$R$3,0)),
"Error"))</f>
        <v>6786400000</v>
      </c>
      <c r="K1717" s="75" t="str">
        <f aca="false">
IF($D1717="정상",INDEX(임대자산!$D$3:$R$3000,MATCH($F1717,임대자산!$I$3:$I$3000,0),MATCH(K$4,임대자산!$D$3:$R$3,0)),
IF($D1717="폐업",INDEX(폐업정보!$D$3:$R$3000,MATCH($F1717,폐업정보!$I$3:$I$3000,0),MATCH(K$4,폐업정보!$D$3:$R$3,0)),
"Error"))</f>
        <v>C1712</v>
      </c>
      <c r="L1717" s="75" t="str">
        <f aca="false">
IF($D1717="정상",INDEX(임대자산!$D$3:$R$3000,MATCH($F1717,임대자산!$I$3:$I$3000,0),MATCH(L$4,임대자산!$D$3:$R$3,0)),
IF($D1717="폐업",INDEX(폐업정보!$D$3:$R$3000,MATCH($F1717,폐업정보!$I$3:$I$3000,0),MATCH(L$4,폐업정보!$D$3:$R$3,0)),
"Error"))</f>
        <v>D1712</v>
      </c>
      <c r="M1717" s="76" t="s">
        <v>96</v>
      </c>
      <c r="N1717" s="77"/>
      <c r="O1717" s="78" t="s">
        <v>97</v>
      </c>
      <c r="P1717" s="79" t="n">
        <f aca="false">COUNTIFS(임대자산!$I:$I,가맹점정보!F1717,임대자산!$N:$N,가맹점정보!P$4)</f>
        <v>0</v>
      </c>
      <c r="Q1717" s="80" t="n">
        <f aca="false">COUNTIFS(임대자산!$I:$I,가맹점정보!F1717,임대자산!$N:$N,가맹점정보!Q$4)</f>
        <v>0</v>
      </c>
      <c r="R1717" s="81" t="n">
        <f aca="false">COUNTIFS(임대자산!$I:$I,가맹점정보!F1717,임대자산!$N:$N,가맹점정보!R$4)</f>
        <v>1</v>
      </c>
      <c r="S1717" s="82" t="n">
        <v>55000</v>
      </c>
      <c r="T1717" s="83" t="n">
        <v>0</v>
      </c>
      <c r="U1717" s="80" t="n">
        <f aca="false">SUM(S1717:T1717)</f>
        <v>55000</v>
      </c>
      <c r="V1717" s="84" t="s">
        <v>12</v>
      </c>
      <c r="W1717" s="80" t="e">
        <f aca="true">
IF(D1717="폐업","폐업",
IF(V1717="면제","면제",
IF(AND(V1717="정상",COUNTIFS(OFFSET(Y1717,0,COUNTA(Y1717:AV1717)-1,1,-4),"미납")&gt;=3),"장기미납",
IF(AND(V1717="정상",OFFSET(Y1717,0,COUNTA(Y1717:AV1717)-1)&gt;=U1717),"정상",
IF(AND(V1717="정상",OFFSET(Y1717,0,COUNTA(Y1717:AV1717)-1)=0),"정상",
"계약서 미작성")))))</f>
        <v>#VALUE!</v>
      </c>
      <c r="X1717" s="81" t="str">
        <f aca="true">
IF(D1717="폐업","폐업",
IF(AND(V1717="정상",OFFSET(Y1717,0,COUNTA(Y1717:AV1717)-1)="미납"),"미납",
IF(AND(V1717="정상",OFFSET(Y1717,0,COUNTA(Y1717:AV1717)-1)=0),"납부 시작 전",
IF(AND(V1717="정상",OFFSET(Y1717,0,COUNTA(Y1717:AV1717)-1)&gt;=U1717),"정상",
IF(AND(V1717="면제",OFFSET(Y1717,0,COUNTA(Y1717:AV1717)-1)="면제"),"면제",
IF(AND(V1717="면제",OFFSET(Y1717,0,COUNTA(Y1717:AV1717)-1)=0),"면제",
"확인요청"))))))</f>
        <v>정상</v>
      </c>
      <c r="Y1717" s="93" t="n">
        <v>55000</v>
      </c>
      <c r="Z1717" s="90" t="n">
        <v>55000</v>
      </c>
      <c r="AA1717" s="90" t="n">
        <v>55000</v>
      </c>
      <c r="AB1717" s="90" t="n">
        <v>55000</v>
      </c>
      <c r="AC1717" s="90" t="n">
        <v>55000</v>
      </c>
      <c r="AD1717" s="90" t="n">
        <v>55000</v>
      </c>
      <c r="AE1717" s="90" t="n">
        <v>55000</v>
      </c>
      <c r="AF1717" s="90" t="n">
        <v>55000</v>
      </c>
      <c r="AG1717" s="90" t="n">
        <v>55000</v>
      </c>
      <c r="AH1717" s="90" t="n">
        <v>55000</v>
      </c>
      <c r="AI1717" s="90" t="n">
        <v>55000</v>
      </c>
      <c r="AJ1717" s="91" t="n">
        <v>55000</v>
      </c>
      <c r="AK1717" s="89" t="n">
        <v>55000</v>
      </c>
      <c r="AL1717" s="90" t="n">
        <v>55000</v>
      </c>
      <c r="AM1717" s="90"/>
      <c r="AN1717" s="90"/>
      <c r="AO1717" s="90"/>
      <c r="AP1717" s="90"/>
      <c r="AQ1717" s="90"/>
      <c r="AR1717" s="90"/>
      <c r="AS1717" s="90"/>
      <c r="AT1717" s="90"/>
      <c r="AU1717" s="90"/>
      <c r="AV1717" s="91"/>
      <c r="AX1717" s="92"/>
    </row>
    <row r="1718" customFormat="false" ht="15.65" hidden="false" customHeight="false" outlineLevel="0" collapsed="false">
      <c r="C1718" s="72" t="n">
        <f aca="false">COUNTIFS($D$6:D1718,"&lt;&gt;"&amp;"")</f>
        <v>1713</v>
      </c>
      <c r="D1718" s="73" t="s">
        <v>12</v>
      </c>
      <c r="E1718" s="76" t="str">
        <f aca="false">
IF($D1718="정상",INDEX(임대자산!$D$3:$R$3000,MATCH($F1718,임대자산!$I$3:$I$3000,0),MATCH(E$3,임대자산!$D$3:$R$3,0)),
IF($D1718="폐업",INDEX(폐업정보!$D$3:$R$3000,MATCH($F1718,폐업정보!$I$3:$I$3000,0),MATCH(E$3,폐업정보!$D$3:$R$3,0)),
"Error"))</f>
        <v>경상</v>
      </c>
      <c r="F171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B1713</v>
      </c>
      <c r="G1718" s="76" t="str">
        <f aca="false">F1718&amp;RANDBETWEEN(0,10)</f>
        <v>B17139</v>
      </c>
      <c r="H1718" s="75" t="n">
        <f aca="false">
IF($D1718="정상",INDEX(임대자산!$D$3:$R$3000,MATCH($F1718,임대자산!$I$3:$I$3000,0),MATCH(H$4,임대자산!$D$3:$R$3,0)),
IF($D1718="폐업",INDEX(폐업정보!$D$3:$R$3000,MATCH($F1718,폐업정보!$I$3:$I$3000,0),MATCH(H$4,폐업정보!$D$3:$R$3,0)),
"Error"))</f>
        <v>45825</v>
      </c>
      <c r="I1718" s="75" t="str">
        <f aca="false">
IF($D1718="정상",INDEX(임대자산!$D$3:$R$3000,MATCH($F1718,임대자산!$I$3:$I$3000,0),MATCH(I$4,임대자산!$D$3:$R$3,0)),
IF($D1718="폐업",INDEX(폐업정보!$D$3:$R$3000,MATCH($F1718,폐업정보!$I$3:$I$3000,0),MATCH(I$4,폐업정보!$D$3:$R$3,0)),
"Error"))</f>
        <v>A1713</v>
      </c>
      <c r="J1718" s="75" t="str">
        <f aca="false">
IF($D1718="정상",INDEX(임대자산!$D$3:$R$3000,MATCH($F1718,임대자산!$I$3:$I$3000,0),MATCH(J$4,임대자산!$D$3:$R$3,0)),
IF($D1718="폐업",INDEX(폐업정보!$D$3:$R$3000,MATCH($F1718,폐업정보!$I$3:$I$3000,0),MATCH(J$4,폐업정보!$D$3:$R$3,0)),
"Error"))</f>
        <v>3172700000</v>
      </c>
      <c r="K1718" s="75" t="str">
        <f aca="false">
IF($D1718="정상",INDEX(임대자산!$D$3:$R$3000,MATCH($F1718,임대자산!$I$3:$I$3000,0),MATCH(K$4,임대자산!$D$3:$R$3,0)),
IF($D1718="폐업",INDEX(폐업정보!$D$3:$R$3000,MATCH($F1718,폐업정보!$I$3:$I$3000,0),MATCH(K$4,폐업정보!$D$3:$R$3,0)),
"Error"))</f>
        <v>C1713</v>
      </c>
      <c r="L1718" s="75" t="str">
        <f aca="false">
IF($D1718="정상",INDEX(임대자산!$D$3:$R$3000,MATCH($F1718,임대자산!$I$3:$I$3000,0),MATCH(L$4,임대자산!$D$3:$R$3,0)),
IF($D1718="폐업",INDEX(폐업정보!$D$3:$R$3000,MATCH($F1718,폐업정보!$I$3:$I$3000,0),MATCH(L$4,폐업정보!$D$3:$R$3,0)),
"Error"))</f>
        <v>D1713</v>
      </c>
      <c r="M1718" s="76" t="s">
        <v>96</v>
      </c>
      <c r="N1718" s="77"/>
      <c r="O1718" s="78" t="s">
        <v>97</v>
      </c>
      <c r="P1718" s="79" t="n">
        <f aca="false">COUNTIFS(임대자산!$I:$I,가맹점정보!F1718,임대자산!$N:$N,가맹점정보!P$4)</f>
        <v>0</v>
      </c>
      <c r="Q1718" s="80" t="n">
        <f aca="false">COUNTIFS(임대자산!$I:$I,가맹점정보!F1718,임대자산!$N:$N,가맹점정보!Q$4)</f>
        <v>0</v>
      </c>
      <c r="R1718" s="81" t="n">
        <f aca="false">COUNTIFS(임대자산!$I:$I,가맹점정보!F1718,임대자산!$N:$N,가맹점정보!R$4)</f>
        <v>1</v>
      </c>
      <c r="S1718" s="82" t="n">
        <v>55000</v>
      </c>
      <c r="T1718" s="83" t="n">
        <v>0</v>
      </c>
      <c r="U1718" s="80" t="n">
        <f aca="false">SUM(S1718:T1718)</f>
        <v>55000</v>
      </c>
      <c r="V1718" s="84" t="s">
        <v>12</v>
      </c>
      <c r="W1718" s="80" t="e">
        <f aca="true">
IF(D1718="폐업","폐업",
IF(V1718="면제","면제",
IF(AND(V1718="정상",COUNTIFS(OFFSET(Y1718,0,COUNTA(Y1718:AV1718)-1,1,-4),"미납")&gt;=3),"장기미납",
IF(AND(V1718="정상",OFFSET(Y1718,0,COUNTA(Y1718:AV1718)-1)&gt;=U1718),"정상",
IF(AND(V1718="정상",OFFSET(Y1718,0,COUNTA(Y1718:AV1718)-1)=0),"정상",
"계약서 미작성")))))</f>
        <v>#VALUE!</v>
      </c>
      <c r="X1718" s="81" t="str">
        <f aca="true">
IF(D1718="폐업","폐업",
IF(AND(V1718="정상",OFFSET(Y1718,0,COUNTA(Y1718:AV1718)-1)="미납"),"미납",
IF(AND(V1718="정상",OFFSET(Y1718,0,COUNTA(Y1718:AV1718)-1)=0),"납부 시작 전",
IF(AND(V1718="정상",OFFSET(Y1718,0,COUNTA(Y1718:AV1718)-1)&gt;=U1718),"정상",
IF(AND(V1718="면제",OFFSET(Y1718,0,COUNTA(Y1718:AV1718)-1)="면제"),"면제",
IF(AND(V1718="면제",OFFSET(Y1718,0,COUNTA(Y1718:AV1718)-1)=0),"면제",
"확인요청"))))))</f>
        <v>정상</v>
      </c>
      <c r="Y1718" s="93" t="n">
        <v>55000</v>
      </c>
      <c r="Z1718" s="90" t="n">
        <v>55000</v>
      </c>
      <c r="AA1718" s="90" t="n">
        <v>55000</v>
      </c>
      <c r="AB1718" s="90" t="n">
        <v>55000</v>
      </c>
      <c r="AC1718" s="90" t="n">
        <v>55000</v>
      </c>
      <c r="AD1718" s="90" t="n">
        <v>55000</v>
      </c>
      <c r="AE1718" s="90" t="n">
        <v>55000</v>
      </c>
      <c r="AF1718" s="90" t="n">
        <v>55000</v>
      </c>
      <c r="AG1718" s="90" t="n">
        <v>55000</v>
      </c>
      <c r="AH1718" s="90" t="n">
        <v>55000</v>
      </c>
      <c r="AI1718" s="90" t="n">
        <v>55000</v>
      </c>
      <c r="AJ1718" s="91" t="n">
        <v>55000</v>
      </c>
      <c r="AK1718" s="89" t="n">
        <v>55000</v>
      </c>
      <c r="AL1718" s="90" t="n">
        <v>55000</v>
      </c>
      <c r="AM1718" s="90"/>
      <c r="AN1718" s="90"/>
      <c r="AO1718" s="90"/>
      <c r="AP1718" s="90"/>
      <c r="AQ1718" s="90"/>
      <c r="AR1718" s="90"/>
      <c r="AS1718" s="90"/>
      <c r="AT1718" s="90"/>
      <c r="AU1718" s="90"/>
      <c r="AV1718" s="91"/>
      <c r="AX1718" s="92"/>
    </row>
    <row r="1719" customFormat="false" ht="15.65" hidden="false" customHeight="false" outlineLevel="0" collapsed="false">
      <c r="C1719" s="72" t="n">
        <f aca="false">COUNTIFS($D$6:D1719,"&lt;&gt;"&amp;"")</f>
        <v>1714</v>
      </c>
      <c r="D1719" s="73" t="s">
        <v>12</v>
      </c>
      <c r="E1719" s="76" t="str">
        <f aca="false">
IF($D1719="정상",INDEX(임대자산!$D$3:$R$3000,MATCH($F1719,임대자산!$I$3:$I$3000,0),MATCH(E$3,임대자산!$D$3:$R$3,0)),
IF($D1719="폐업",INDEX(폐업정보!$D$3:$R$3000,MATCH($F1719,폐업정보!$I$3:$I$3000,0),MATCH(E$3,폐업정보!$D$3:$R$3,0)),
"Error"))</f>
        <v>전라</v>
      </c>
      <c r="F171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B1714</v>
      </c>
      <c r="G1719" s="76" t="str">
        <f aca="false">F1719&amp;RANDBETWEEN(0,10)</f>
        <v>B17149</v>
      </c>
      <c r="H1719" s="75" t="n">
        <f aca="false">
IF($D1719="정상",INDEX(임대자산!$D$3:$R$3000,MATCH($F1719,임대자산!$I$3:$I$3000,0),MATCH(H$4,임대자산!$D$3:$R$3,0)),
IF($D1719="폐업",INDEX(폐업정보!$D$3:$R$3000,MATCH($F1719,폐업정보!$I$3:$I$3000,0),MATCH(H$4,폐업정보!$D$3:$R$3,0)),
"Error"))</f>
        <v>45824</v>
      </c>
      <c r="I1719" s="75" t="str">
        <f aca="false">
IF($D1719="정상",INDEX(임대자산!$D$3:$R$3000,MATCH($F1719,임대자산!$I$3:$I$3000,0),MATCH(I$4,임대자산!$D$3:$R$3,0)),
IF($D1719="폐업",INDEX(폐업정보!$D$3:$R$3000,MATCH($F1719,폐업정보!$I$3:$I$3000,0),MATCH(I$4,폐업정보!$D$3:$R$3,0)),
"Error"))</f>
        <v>A1714</v>
      </c>
      <c r="J1719" s="75" t="str">
        <f aca="false">
IF($D1719="정상",INDEX(임대자산!$D$3:$R$3000,MATCH($F1719,임대자산!$I$3:$I$3000,0),MATCH(J$4,임대자산!$D$3:$R$3,0)),
IF($D1719="폐업",INDEX(폐업정보!$D$3:$R$3000,MATCH($F1719,폐업정보!$I$3:$I$3000,0),MATCH(J$4,폐업정보!$D$3:$R$3,0)),
"Error"))</f>
        <v>3397800000</v>
      </c>
      <c r="K1719" s="75" t="str">
        <f aca="false">
IF($D1719="정상",INDEX(임대자산!$D$3:$R$3000,MATCH($F1719,임대자산!$I$3:$I$3000,0),MATCH(K$4,임대자산!$D$3:$R$3,0)),
IF($D1719="폐업",INDEX(폐업정보!$D$3:$R$3000,MATCH($F1719,폐업정보!$I$3:$I$3000,0),MATCH(K$4,폐업정보!$D$3:$R$3,0)),
"Error"))</f>
        <v>C1714</v>
      </c>
      <c r="L1719" s="75" t="str">
        <f aca="false">
IF($D1719="정상",INDEX(임대자산!$D$3:$R$3000,MATCH($F1719,임대자산!$I$3:$I$3000,0),MATCH(L$4,임대자산!$D$3:$R$3,0)),
IF($D1719="폐업",INDEX(폐업정보!$D$3:$R$3000,MATCH($F1719,폐업정보!$I$3:$I$3000,0),MATCH(L$4,폐업정보!$D$3:$R$3,0)),
"Error"))</f>
        <v>D1714</v>
      </c>
      <c r="M1719" s="76" t="s">
        <v>96</v>
      </c>
      <c r="N1719" s="77"/>
      <c r="O1719" s="78" t="s">
        <v>97</v>
      </c>
      <c r="P1719" s="79" t="n">
        <f aca="false">COUNTIFS(임대자산!$I:$I,가맹점정보!F1719,임대자산!$N:$N,가맹점정보!P$4)</f>
        <v>0</v>
      </c>
      <c r="Q1719" s="80" t="n">
        <f aca="false">COUNTIFS(임대자산!$I:$I,가맹점정보!F1719,임대자산!$N:$N,가맹점정보!Q$4)</f>
        <v>0</v>
      </c>
      <c r="R1719" s="81" t="n">
        <f aca="false">COUNTIFS(임대자산!$I:$I,가맹점정보!F1719,임대자산!$N:$N,가맹점정보!R$4)</f>
        <v>1</v>
      </c>
      <c r="S1719" s="82" t="n">
        <v>88000</v>
      </c>
      <c r="T1719" s="83" t="n">
        <v>0</v>
      </c>
      <c r="U1719" s="80" t="n">
        <f aca="false">SUM(S1719:T1719)</f>
        <v>88000</v>
      </c>
      <c r="V1719" s="84" t="s">
        <v>7</v>
      </c>
      <c r="W1719" s="80" t="str">
        <f aca="true">
IF(D1719="폐업","폐업",
IF(V1719="면제","면제",
IF(AND(V1719="정상",COUNTIFS(OFFSET(Y1719,0,COUNTA(Y1719:AV1719)-1,1,-4),"미납")&gt;=3),"장기미납",
IF(AND(V1719="정상",OFFSET(Y1719,0,COUNTA(Y1719:AV1719)-1)&gt;=U1719),"정상",
IF(AND(V1719="정상",OFFSET(Y1719,0,COUNTA(Y1719:AV1719)-1)=0),"정상",
"계약서 미작성")))))</f>
        <v>면제</v>
      </c>
      <c r="X1719" s="81" t="str">
        <f aca="true">
IF(D1719="폐업","폐업",
IF(AND(V1719="정상",OFFSET(Y1719,0,COUNTA(Y1719:AV1719)-1)="미납"),"미납",
IF(AND(V1719="정상",OFFSET(Y1719,0,COUNTA(Y1719:AV1719)-1)=0),"납부 시작 전",
IF(AND(V1719="정상",OFFSET(Y1719,0,COUNTA(Y1719:AV1719)-1)&gt;=U1719),"정상",
IF(AND(V1719="면제",OFFSET(Y1719,0,COUNTA(Y1719:AV1719)-1)="면제"),"면제",
IF(AND(V1719="면제",OFFSET(Y1719,0,COUNTA(Y1719:AV1719)-1)=0),"면제",
"확인요청"))))))</f>
        <v>면제</v>
      </c>
      <c r="Y1719" s="94" t="s">
        <v>7</v>
      </c>
      <c r="Z1719" s="95" t="s">
        <v>7</v>
      </c>
      <c r="AA1719" s="95" t="s">
        <v>7</v>
      </c>
      <c r="AB1719" s="95" t="s">
        <v>7</v>
      </c>
      <c r="AC1719" s="95" t="s">
        <v>7</v>
      </c>
      <c r="AD1719" s="95" t="s">
        <v>7</v>
      </c>
      <c r="AE1719" s="95" t="s">
        <v>7</v>
      </c>
      <c r="AF1719" s="95" t="s">
        <v>7</v>
      </c>
      <c r="AG1719" s="95" t="s">
        <v>7</v>
      </c>
      <c r="AH1719" s="95" t="s">
        <v>7</v>
      </c>
      <c r="AI1719" s="95" t="s">
        <v>7</v>
      </c>
      <c r="AJ1719" s="96" t="s">
        <v>7</v>
      </c>
      <c r="AK1719" s="97" t="s">
        <v>7</v>
      </c>
      <c r="AL1719" s="95" t="s">
        <v>7</v>
      </c>
      <c r="AM1719" s="90"/>
      <c r="AN1719" s="90"/>
      <c r="AO1719" s="90"/>
      <c r="AP1719" s="90"/>
      <c r="AQ1719" s="90"/>
      <c r="AR1719" s="90"/>
      <c r="AS1719" s="90"/>
      <c r="AT1719" s="90"/>
      <c r="AU1719" s="90"/>
      <c r="AV1719" s="91"/>
      <c r="AX1719" s="92"/>
    </row>
    <row r="1720" customFormat="false" ht="15.65" hidden="false" customHeight="false" outlineLevel="0" collapsed="false">
      <c r="C1720" s="72" t="n">
        <f aca="false">COUNTIFS($D$6:D1720,"&lt;&gt;"&amp;"")</f>
        <v>1715</v>
      </c>
      <c r="D1720" s="73" t="s">
        <v>12</v>
      </c>
      <c r="E1720" s="76" t="str">
        <f aca="false">
IF($D1720="정상",INDEX(임대자산!$D$3:$R$3000,MATCH($F1720,임대자산!$I$3:$I$3000,0),MATCH(E$3,임대자산!$D$3:$R$3,0)),
IF($D1720="폐업",INDEX(폐업정보!$D$3:$R$3000,MATCH($F1720,폐업정보!$I$3:$I$3000,0),MATCH(E$3,폐업정보!$D$3:$R$3,0)),
"Error"))</f>
        <v>서울</v>
      </c>
      <c r="F172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B1715</v>
      </c>
      <c r="G1720" s="76" t="str">
        <f aca="false">F1720&amp;RANDBETWEEN(0,10)</f>
        <v>B17151</v>
      </c>
      <c r="H1720" s="75" t="n">
        <f aca="false">
IF($D1720="정상",INDEX(임대자산!$D$3:$R$3000,MATCH($F1720,임대자산!$I$3:$I$3000,0),MATCH(H$4,임대자산!$D$3:$R$3,0)),
IF($D1720="폐업",INDEX(폐업정보!$D$3:$R$3000,MATCH($F1720,폐업정보!$I$3:$I$3000,0),MATCH(H$4,폐업정보!$D$3:$R$3,0)),
"Error"))</f>
        <v>45821</v>
      </c>
      <c r="I1720" s="75" t="str">
        <f aca="false">
IF($D1720="정상",INDEX(임대자산!$D$3:$R$3000,MATCH($F1720,임대자산!$I$3:$I$3000,0),MATCH(I$4,임대자산!$D$3:$R$3,0)),
IF($D1720="폐업",INDEX(폐업정보!$D$3:$R$3000,MATCH($F1720,폐업정보!$I$3:$I$3000,0),MATCH(I$4,폐업정보!$D$3:$R$3,0)),
"Error"))</f>
        <v>A1715</v>
      </c>
      <c r="J1720" s="75" t="str">
        <f aca="false">
IF($D1720="정상",INDEX(임대자산!$D$3:$R$3000,MATCH($F1720,임대자산!$I$3:$I$3000,0),MATCH(J$4,임대자산!$D$3:$R$3,0)),
IF($D1720="폐업",INDEX(폐업정보!$D$3:$R$3000,MATCH($F1720,폐업정보!$I$3:$I$3000,0),MATCH(J$4,폐업정보!$D$3:$R$3,0)),
"Error"))</f>
        <v>4836700000</v>
      </c>
      <c r="K1720" s="75" t="str">
        <f aca="false">
IF($D1720="정상",INDEX(임대자산!$D$3:$R$3000,MATCH($F1720,임대자산!$I$3:$I$3000,0),MATCH(K$4,임대자산!$D$3:$R$3,0)),
IF($D1720="폐업",INDEX(폐업정보!$D$3:$R$3000,MATCH($F1720,폐업정보!$I$3:$I$3000,0),MATCH(K$4,폐업정보!$D$3:$R$3,0)),
"Error"))</f>
        <v>C1715</v>
      </c>
      <c r="L1720" s="75" t="str">
        <f aca="false">
IF($D1720="정상",INDEX(임대자산!$D$3:$R$3000,MATCH($F1720,임대자산!$I$3:$I$3000,0),MATCH(L$4,임대자산!$D$3:$R$3,0)),
IF($D1720="폐업",INDEX(폐업정보!$D$3:$R$3000,MATCH($F1720,폐업정보!$I$3:$I$3000,0),MATCH(L$4,폐업정보!$D$3:$R$3,0)),
"Error"))</f>
        <v>D1715</v>
      </c>
      <c r="M1720" s="76" t="s">
        <v>96</v>
      </c>
      <c r="N1720" s="77"/>
      <c r="O1720" s="78" t="s">
        <v>97</v>
      </c>
      <c r="P1720" s="79" t="n">
        <f aca="false">COUNTIFS(임대자산!$I:$I,가맹점정보!F1720,임대자산!$N:$N,가맹점정보!P$4)</f>
        <v>0</v>
      </c>
      <c r="Q1720" s="80" t="n">
        <f aca="false">COUNTIFS(임대자산!$I:$I,가맹점정보!F1720,임대자산!$N:$N,가맹점정보!Q$4)</f>
        <v>0</v>
      </c>
      <c r="R1720" s="81" t="n">
        <f aca="false">COUNTIFS(임대자산!$I:$I,가맹점정보!F1720,임대자산!$N:$N,가맹점정보!R$4)</f>
        <v>1</v>
      </c>
      <c r="S1720" s="82" t="n">
        <v>55000</v>
      </c>
      <c r="T1720" s="83" t="n">
        <v>0</v>
      </c>
      <c r="U1720" s="80" t="n">
        <f aca="false">SUM(S1720:T1720)</f>
        <v>55000</v>
      </c>
      <c r="V1720" s="84" t="s">
        <v>7</v>
      </c>
      <c r="W1720" s="80" t="str">
        <f aca="true">
IF(D1720="폐업","폐업",
IF(V1720="면제","면제",
IF(AND(V1720="정상",COUNTIFS(OFFSET(Y1720,0,COUNTA(Y1720:AV1720)-1,1,-4),"미납")&gt;=3),"장기미납",
IF(AND(V1720="정상",OFFSET(Y1720,0,COUNTA(Y1720:AV1720)-1)&gt;=U1720),"정상",
IF(AND(V1720="정상",OFFSET(Y1720,0,COUNTA(Y1720:AV1720)-1)=0),"정상",
"계약서 미작성")))))</f>
        <v>면제</v>
      </c>
      <c r="X1720" s="81" t="str">
        <f aca="true">
IF(D1720="폐업","폐업",
IF(AND(V1720="정상",OFFSET(Y1720,0,COUNTA(Y1720:AV1720)-1)="미납"),"미납",
IF(AND(V1720="정상",OFFSET(Y1720,0,COUNTA(Y1720:AV1720)-1)=0),"납부 시작 전",
IF(AND(V1720="정상",OFFSET(Y1720,0,COUNTA(Y1720:AV1720)-1)&gt;=U1720),"정상",
IF(AND(V1720="면제",OFFSET(Y1720,0,COUNTA(Y1720:AV1720)-1)="면제"),"면제",
IF(AND(V1720="면제",OFFSET(Y1720,0,COUNTA(Y1720:AV1720)-1)=0),"면제",
"확인요청"))))))</f>
        <v>면제</v>
      </c>
      <c r="Y1720" s="94" t="s">
        <v>62</v>
      </c>
      <c r="Z1720" s="90" t="n">
        <v>55000</v>
      </c>
      <c r="AA1720" s="90" t="n">
        <v>55000</v>
      </c>
      <c r="AB1720" s="90" t="n">
        <v>55000</v>
      </c>
      <c r="AC1720" s="90" t="n">
        <v>-165000</v>
      </c>
      <c r="AD1720" s="95" t="s">
        <v>62</v>
      </c>
      <c r="AE1720" s="95" t="s">
        <v>62</v>
      </c>
      <c r="AF1720" s="95" t="s">
        <v>7</v>
      </c>
      <c r="AG1720" s="95" t="s">
        <v>7</v>
      </c>
      <c r="AH1720" s="95" t="s">
        <v>7</v>
      </c>
      <c r="AI1720" s="95" t="s">
        <v>7</v>
      </c>
      <c r="AJ1720" s="96" t="s">
        <v>7</v>
      </c>
      <c r="AK1720" s="97" t="s">
        <v>7</v>
      </c>
      <c r="AL1720" s="95" t="s">
        <v>7</v>
      </c>
      <c r="AM1720" s="90"/>
      <c r="AN1720" s="90"/>
      <c r="AO1720" s="90"/>
      <c r="AP1720" s="90"/>
      <c r="AQ1720" s="90"/>
      <c r="AR1720" s="90"/>
      <c r="AS1720" s="90"/>
      <c r="AT1720" s="90"/>
      <c r="AU1720" s="90"/>
      <c r="AV1720" s="91"/>
      <c r="AX1720" s="92"/>
    </row>
    <row r="1721" customFormat="false" ht="15.65" hidden="false" customHeight="false" outlineLevel="0" collapsed="false">
      <c r="C1721" s="72" t="n">
        <f aca="false">COUNTIFS($D$6:D1721,"&lt;&gt;"&amp;"")</f>
        <v>1716</v>
      </c>
      <c r="D1721" s="73" t="s">
        <v>12</v>
      </c>
      <c r="E1721" s="76" t="str">
        <f aca="false">
IF($D1721="정상",INDEX(임대자산!$D$3:$R$3000,MATCH($F1721,임대자산!$I$3:$I$3000,0),MATCH(E$3,임대자산!$D$3:$R$3,0)),
IF($D1721="폐업",INDEX(폐업정보!$D$3:$R$3000,MATCH($F1721,폐업정보!$I$3:$I$3000,0),MATCH(E$3,폐업정보!$D$3:$R$3,0)),
"Error"))</f>
        <v>서울</v>
      </c>
      <c r="F172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B1716</v>
      </c>
      <c r="G1721" s="76" t="str">
        <f aca="false">F1721&amp;RANDBETWEEN(0,10)</f>
        <v>B17168</v>
      </c>
      <c r="H1721" s="75" t="n">
        <f aca="false">
IF($D1721="정상",INDEX(임대자산!$D$3:$R$3000,MATCH($F1721,임대자산!$I$3:$I$3000,0),MATCH(H$4,임대자산!$D$3:$R$3,0)),
IF($D1721="폐업",INDEX(폐업정보!$D$3:$R$3000,MATCH($F1721,폐업정보!$I$3:$I$3000,0),MATCH(H$4,폐업정보!$D$3:$R$3,0)),
"Error"))</f>
        <v>45821</v>
      </c>
      <c r="I1721" s="75" t="str">
        <f aca="false">
IF($D1721="정상",INDEX(임대자산!$D$3:$R$3000,MATCH($F1721,임대자산!$I$3:$I$3000,0),MATCH(I$4,임대자산!$D$3:$R$3,0)),
IF($D1721="폐업",INDEX(폐업정보!$D$3:$R$3000,MATCH($F1721,폐업정보!$I$3:$I$3000,0),MATCH(I$4,폐업정보!$D$3:$R$3,0)),
"Error"))</f>
        <v>A1716</v>
      </c>
      <c r="J1721" s="75" t="str">
        <f aca="false">
IF($D1721="정상",INDEX(임대자산!$D$3:$R$3000,MATCH($F1721,임대자산!$I$3:$I$3000,0),MATCH(J$4,임대자산!$D$3:$R$3,0)),
IF($D1721="폐업",INDEX(폐업정보!$D$3:$R$3000,MATCH($F1721,폐업정보!$I$3:$I$3000,0),MATCH(J$4,폐업정보!$D$3:$R$3,0)),
"Error"))</f>
        <v>3324700000</v>
      </c>
      <c r="K1721" s="75" t="str">
        <f aca="false">
IF($D1721="정상",INDEX(임대자산!$D$3:$R$3000,MATCH($F1721,임대자산!$I$3:$I$3000,0),MATCH(K$4,임대자산!$D$3:$R$3,0)),
IF($D1721="폐업",INDEX(폐업정보!$D$3:$R$3000,MATCH($F1721,폐업정보!$I$3:$I$3000,0),MATCH(K$4,폐업정보!$D$3:$R$3,0)),
"Error"))</f>
        <v>C1716</v>
      </c>
      <c r="L1721" s="75" t="str">
        <f aca="false">
IF($D1721="정상",INDEX(임대자산!$D$3:$R$3000,MATCH($F1721,임대자산!$I$3:$I$3000,0),MATCH(L$4,임대자산!$D$3:$R$3,0)),
IF($D1721="폐업",INDEX(폐업정보!$D$3:$R$3000,MATCH($F1721,폐업정보!$I$3:$I$3000,0),MATCH(L$4,폐업정보!$D$3:$R$3,0)),
"Error"))</f>
        <v>D1716</v>
      </c>
      <c r="M1721" s="76" t="s">
        <v>96</v>
      </c>
      <c r="N1721" s="77"/>
      <c r="O1721" s="78" t="s">
        <v>97</v>
      </c>
      <c r="P1721" s="79" t="n">
        <f aca="false">COUNTIFS(임대자산!$I:$I,가맹점정보!F1721,임대자산!$N:$N,가맹점정보!P$4)</f>
        <v>0</v>
      </c>
      <c r="Q1721" s="80" t="n">
        <f aca="false">COUNTIFS(임대자산!$I:$I,가맹점정보!F1721,임대자산!$N:$N,가맹점정보!Q$4)</f>
        <v>0</v>
      </c>
      <c r="R1721" s="81" t="n">
        <f aca="false">COUNTIFS(임대자산!$I:$I,가맹점정보!F1721,임대자산!$N:$N,가맹점정보!R$4)</f>
        <v>1</v>
      </c>
      <c r="S1721" s="82" t="n">
        <v>88000</v>
      </c>
      <c r="T1721" s="83" t="n">
        <v>0</v>
      </c>
      <c r="U1721" s="80" t="n">
        <f aca="false">SUM(S1721:T1721)</f>
        <v>88000</v>
      </c>
      <c r="V1721" s="84" t="s">
        <v>7</v>
      </c>
      <c r="W1721" s="80" t="str">
        <f aca="true">
IF(D1721="폐업","폐업",
IF(V1721="면제","면제",
IF(AND(V1721="정상",COUNTIFS(OFFSET(Y1721,0,COUNTA(Y1721:AV1721)-1,1,-4),"미납")&gt;=3),"장기미납",
IF(AND(V1721="정상",OFFSET(Y1721,0,COUNTA(Y1721:AV1721)-1)&gt;=U1721),"정상",
IF(AND(V1721="정상",OFFSET(Y1721,0,COUNTA(Y1721:AV1721)-1)=0),"정상",
"계약서 미작성")))))</f>
        <v>면제</v>
      </c>
      <c r="X1721" s="81" t="str">
        <f aca="true">
IF(D1721="폐업","폐업",
IF(AND(V1721="정상",OFFSET(Y1721,0,COUNTA(Y1721:AV1721)-1)="미납"),"미납",
IF(AND(V1721="정상",OFFSET(Y1721,0,COUNTA(Y1721:AV1721)-1)=0),"납부 시작 전",
IF(AND(V1721="정상",OFFSET(Y1721,0,COUNTA(Y1721:AV1721)-1)&gt;=U1721),"정상",
IF(AND(V1721="면제",OFFSET(Y1721,0,COUNTA(Y1721:AV1721)-1)="면제"),"면제",
IF(AND(V1721="면제",OFFSET(Y1721,0,COUNTA(Y1721:AV1721)-1)=0),"면제",
"확인요청"))))))</f>
        <v>면제</v>
      </c>
      <c r="Y1721" s="94" t="s">
        <v>7</v>
      </c>
      <c r="Z1721" s="95" t="s">
        <v>7</v>
      </c>
      <c r="AA1721" s="95" t="s">
        <v>7</v>
      </c>
      <c r="AB1721" s="95" t="s">
        <v>7</v>
      </c>
      <c r="AC1721" s="95" t="s">
        <v>7</v>
      </c>
      <c r="AD1721" s="95" t="s">
        <v>7</v>
      </c>
      <c r="AE1721" s="95" t="s">
        <v>7</v>
      </c>
      <c r="AF1721" s="95" t="s">
        <v>7</v>
      </c>
      <c r="AG1721" s="95" t="s">
        <v>7</v>
      </c>
      <c r="AH1721" s="95" t="s">
        <v>7</v>
      </c>
      <c r="AI1721" s="95" t="s">
        <v>7</v>
      </c>
      <c r="AJ1721" s="96" t="s">
        <v>7</v>
      </c>
      <c r="AK1721" s="97" t="s">
        <v>7</v>
      </c>
      <c r="AL1721" s="95" t="s">
        <v>7</v>
      </c>
      <c r="AM1721" s="90"/>
      <c r="AN1721" s="90"/>
      <c r="AO1721" s="90"/>
      <c r="AP1721" s="90"/>
      <c r="AQ1721" s="90"/>
      <c r="AR1721" s="90"/>
      <c r="AS1721" s="90"/>
      <c r="AT1721" s="90"/>
      <c r="AU1721" s="90"/>
      <c r="AV1721" s="91"/>
      <c r="AX1721" s="92"/>
    </row>
    <row r="1722" customFormat="false" ht="15.65" hidden="false" customHeight="false" outlineLevel="0" collapsed="false">
      <c r="C1722" s="72" t="n">
        <f aca="false">COUNTIFS($D$6:D1722,"&lt;&gt;"&amp;"")</f>
        <v>1717</v>
      </c>
      <c r="D1722" s="73" t="s">
        <v>12</v>
      </c>
      <c r="E1722" s="76" t="str">
        <f aca="false">
IF($D1722="정상",INDEX(임대자산!$D$3:$R$3000,MATCH($F1722,임대자산!$I$3:$I$3000,0),MATCH(E$3,임대자산!$D$3:$R$3,0)),
IF($D1722="폐업",INDEX(폐업정보!$D$3:$R$3000,MATCH($F1722,폐업정보!$I$3:$I$3000,0),MATCH(E$3,폐업정보!$D$3:$R$3,0)),
"Error"))</f>
        <v>경상</v>
      </c>
      <c r="F172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B1717</v>
      </c>
      <c r="G1722" s="76" t="str">
        <f aca="false">F1722&amp;RANDBETWEEN(0,10)</f>
        <v>B17178</v>
      </c>
      <c r="H1722" s="75" t="n">
        <f aca="false">
IF($D1722="정상",INDEX(임대자산!$D$3:$R$3000,MATCH($F1722,임대자산!$I$3:$I$3000,0),MATCH(H$4,임대자산!$D$3:$R$3,0)),
IF($D1722="폐업",INDEX(폐업정보!$D$3:$R$3000,MATCH($F1722,폐업정보!$I$3:$I$3000,0),MATCH(H$4,폐업정보!$D$3:$R$3,0)),
"Error"))</f>
        <v>45825</v>
      </c>
      <c r="I1722" s="75" t="str">
        <f aca="false">
IF($D1722="정상",INDEX(임대자산!$D$3:$R$3000,MATCH($F1722,임대자산!$I$3:$I$3000,0),MATCH(I$4,임대자산!$D$3:$R$3,0)),
IF($D1722="폐업",INDEX(폐업정보!$D$3:$R$3000,MATCH($F1722,폐업정보!$I$3:$I$3000,0),MATCH(I$4,폐업정보!$D$3:$R$3,0)),
"Error"))</f>
        <v>A1717</v>
      </c>
      <c r="J1722" s="75" t="str">
        <f aca="false">
IF($D1722="정상",INDEX(임대자산!$D$3:$R$3000,MATCH($F1722,임대자산!$I$3:$I$3000,0),MATCH(J$4,임대자산!$D$3:$R$3,0)),
IF($D1722="폐업",INDEX(폐업정보!$D$3:$R$3000,MATCH($F1722,폐업정보!$I$3:$I$3000,0),MATCH(J$4,폐업정보!$D$3:$R$3,0)),
"Error"))</f>
        <v>8911200000</v>
      </c>
      <c r="K1722" s="75" t="str">
        <f aca="false">
IF($D1722="정상",INDEX(임대자산!$D$3:$R$3000,MATCH($F1722,임대자산!$I$3:$I$3000,0),MATCH(K$4,임대자산!$D$3:$R$3,0)),
IF($D1722="폐업",INDEX(폐업정보!$D$3:$R$3000,MATCH($F1722,폐업정보!$I$3:$I$3000,0),MATCH(K$4,폐업정보!$D$3:$R$3,0)),
"Error"))</f>
        <v>C1717</v>
      </c>
      <c r="L1722" s="75" t="str">
        <f aca="false">
IF($D1722="정상",INDEX(임대자산!$D$3:$R$3000,MATCH($F1722,임대자산!$I$3:$I$3000,0),MATCH(L$4,임대자산!$D$3:$R$3,0)),
IF($D1722="폐업",INDEX(폐업정보!$D$3:$R$3000,MATCH($F1722,폐업정보!$I$3:$I$3000,0),MATCH(L$4,폐업정보!$D$3:$R$3,0)),
"Error"))</f>
        <v>D1717</v>
      </c>
      <c r="M1722" s="76" t="s">
        <v>96</v>
      </c>
      <c r="N1722" s="77"/>
      <c r="O1722" s="78" t="s">
        <v>97</v>
      </c>
      <c r="P1722" s="79" t="n">
        <f aca="false">COUNTIFS(임대자산!$I:$I,가맹점정보!F1722,임대자산!$N:$N,가맹점정보!P$4)</f>
        <v>0</v>
      </c>
      <c r="Q1722" s="80" t="n">
        <f aca="false">COUNTIFS(임대자산!$I:$I,가맹점정보!F1722,임대자산!$N:$N,가맹점정보!Q$4)</f>
        <v>0</v>
      </c>
      <c r="R1722" s="81" t="n">
        <f aca="false">COUNTIFS(임대자산!$I:$I,가맹점정보!F1722,임대자산!$N:$N,가맹점정보!R$4)</f>
        <v>1</v>
      </c>
      <c r="S1722" s="82" t="n">
        <v>55000</v>
      </c>
      <c r="T1722" s="83" t="n">
        <v>0</v>
      </c>
      <c r="U1722" s="80" t="n">
        <f aca="false">SUM(S1722:T1722)</f>
        <v>55000</v>
      </c>
      <c r="V1722" s="84" t="s">
        <v>7</v>
      </c>
      <c r="W1722" s="80" t="str">
        <f aca="true">
IF(D1722="폐업","폐업",
IF(V1722="면제","면제",
IF(AND(V1722="정상",COUNTIFS(OFFSET(Y1722,0,COUNTA(Y1722:AV1722)-1,1,-4),"미납")&gt;=3),"장기미납",
IF(AND(V1722="정상",OFFSET(Y1722,0,COUNTA(Y1722:AV1722)-1)&gt;=U1722),"정상",
IF(AND(V1722="정상",OFFSET(Y1722,0,COUNTA(Y1722:AV1722)-1)=0),"정상",
"계약서 미작성")))))</f>
        <v>면제</v>
      </c>
      <c r="X1722" s="81" t="str">
        <f aca="true">
IF(D1722="폐업","폐업",
IF(AND(V1722="정상",OFFSET(Y1722,0,COUNTA(Y1722:AV1722)-1)="미납"),"미납",
IF(AND(V1722="정상",OFFSET(Y1722,0,COUNTA(Y1722:AV1722)-1)=0),"납부 시작 전",
IF(AND(V1722="정상",OFFSET(Y1722,0,COUNTA(Y1722:AV1722)-1)&gt;=U1722),"정상",
IF(AND(V1722="면제",OFFSET(Y1722,0,COUNTA(Y1722:AV1722)-1)="면제"),"면제",
IF(AND(V1722="면제",OFFSET(Y1722,0,COUNTA(Y1722:AV1722)-1)=0),"면제",
"확인요청"))))))</f>
        <v>면제</v>
      </c>
      <c r="Y1722" s="94" t="s">
        <v>7</v>
      </c>
      <c r="Z1722" s="95" t="s">
        <v>7</v>
      </c>
      <c r="AA1722" s="95" t="s">
        <v>7</v>
      </c>
      <c r="AB1722" s="95" t="s">
        <v>7</v>
      </c>
      <c r="AC1722" s="95" t="s">
        <v>7</v>
      </c>
      <c r="AD1722" s="95" t="s">
        <v>7</v>
      </c>
      <c r="AE1722" s="95" t="s">
        <v>7</v>
      </c>
      <c r="AF1722" s="95" t="s">
        <v>7</v>
      </c>
      <c r="AG1722" s="95" t="s">
        <v>7</v>
      </c>
      <c r="AH1722" s="95" t="s">
        <v>7</v>
      </c>
      <c r="AI1722" s="95" t="s">
        <v>7</v>
      </c>
      <c r="AJ1722" s="96" t="s">
        <v>7</v>
      </c>
      <c r="AK1722" s="97" t="s">
        <v>7</v>
      </c>
      <c r="AL1722" s="95" t="s">
        <v>7</v>
      </c>
      <c r="AM1722" s="90"/>
      <c r="AN1722" s="90"/>
      <c r="AO1722" s="90"/>
      <c r="AP1722" s="90"/>
      <c r="AQ1722" s="90"/>
      <c r="AR1722" s="90"/>
      <c r="AS1722" s="90"/>
      <c r="AT1722" s="90"/>
      <c r="AU1722" s="90"/>
      <c r="AV1722" s="91"/>
      <c r="AX1722" s="92"/>
    </row>
    <row r="1723" customFormat="false" ht="15.65" hidden="false" customHeight="false" outlineLevel="0" collapsed="false">
      <c r="C1723" s="72" t="n">
        <f aca="false">COUNTIFS($D$6:D1723,"&lt;&gt;"&amp;"")</f>
        <v>1718</v>
      </c>
      <c r="D1723" s="73" t="s">
        <v>12</v>
      </c>
      <c r="E1723" s="76" t="str">
        <f aca="false">
IF($D1723="정상",INDEX(임대자산!$D$3:$R$3000,MATCH($F1723,임대자산!$I$3:$I$3000,0),MATCH(E$3,임대자산!$D$3:$R$3,0)),
IF($D1723="폐업",INDEX(폐업정보!$D$3:$R$3000,MATCH($F1723,폐업정보!$I$3:$I$3000,0),MATCH(E$3,폐업정보!$D$3:$R$3,0)),
"Error"))</f>
        <v>강원</v>
      </c>
      <c r="F172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B1718</v>
      </c>
      <c r="G1723" s="76" t="str">
        <f aca="false">F1723&amp;RANDBETWEEN(0,10)</f>
        <v>B17182</v>
      </c>
      <c r="H1723" s="75" t="n">
        <f aca="false">
IF($D1723="정상",INDEX(임대자산!$D$3:$R$3000,MATCH($F1723,임대자산!$I$3:$I$3000,0),MATCH(H$4,임대자산!$D$3:$R$3,0)),
IF($D1723="폐업",INDEX(폐업정보!$D$3:$R$3000,MATCH($F1723,폐업정보!$I$3:$I$3000,0),MATCH(H$4,폐업정보!$D$3:$R$3,0)),
"Error"))</f>
        <v>45812</v>
      </c>
      <c r="I1723" s="75" t="str">
        <f aca="false">
IF($D1723="정상",INDEX(임대자산!$D$3:$R$3000,MATCH($F1723,임대자산!$I$3:$I$3000,0),MATCH(I$4,임대자산!$D$3:$R$3,0)),
IF($D1723="폐업",INDEX(폐업정보!$D$3:$R$3000,MATCH($F1723,폐업정보!$I$3:$I$3000,0),MATCH(I$4,폐업정보!$D$3:$R$3,0)),
"Error"))</f>
        <v>A1718</v>
      </c>
      <c r="J1723" s="75" t="str">
        <f aca="false">
IF($D1723="정상",INDEX(임대자산!$D$3:$R$3000,MATCH($F1723,임대자산!$I$3:$I$3000,0),MATCH(J$4,임대자산!$D$3:$R$3,0)),
IF($D1723="폐업",INDEX(폐업정보!$D$3:$R$3000,MATCH($F1723,폐업정보!$I$3:$I$3000,0),MATCH(J$4,폐업정보!$D$3:$R$3,0)),
"Error"))</f>
        <v>1074300000</v>
      </c>
      <c r="K1723" s="75" t="str">
        <f aca="false">
IF($D1723="정상",INDEX(임대자산!$D$3:$R$3000,MATCH($F1723,임대자산!$I$3:$I$3000,0),MATCH(K$4,임대자산!$D$3:$R$3,0)),
IF($D1723="폐업",INDEX(폐업정보!$D$3:$R$3000,MATCH($F1723,폐업정보!$I$3:$I$3000,0),MATCH(K$4,폐업정보!$D$3:$R$3,0)),
"Error"))</f>
        <v>C1718</v>
      </c>
      <c r="L1723" s="75" t="str">
        <f aca="false">
IF($D1723="정상",INDEX(임대자산!$D$3:$R$3000,MATCH($F1723,임대자산!$I$3:$I$3000,0),MATCH(L$4,임대자산!$D$3:$R$3,0)),
IF($D1723="폐업",INDEX(폐업정보!$D$3:$R$3000,MATCH($F1723,폐업정보!$I$3:$I$3000,0),MATCH(L$4,폐업정보!$D$3:$R$3,0)),
"Error"))</f>
        <v>D1718</v>
      </c>
      <c r="M1723" s="76" t="s">
        <v>96</v>
      </c>
      <c r="N1723" s="77"/>
      <c r="O1723" s="78" t="s">
        <v>97</v>
      </c>
      <c r="P1723" s="79" t="n">
        <f aca="false">COUNTIFS(임대자산!$I:$I,가맹점정보!F1723,임대자산!$N:$N,가맹점정보!P$4)</f>
        <v>0</v>
      </c>
      <c r="Q1723" s="80" t="n">
        <f aca="false">COUNTIFS(임대자산!$I:$I,가맹점정보!F1723,임대자산!$N:$N,가맹점정보!Q$4)</f>
        <v>0</v>
      </c>
      <c r="R1723" s="81" t="n">
        <f aca="false">COUNTIFS(임대자산!$I:$I,가맹점정보!F1723,임대자산!$N:$N,가맹점정보!R$4)</f>
        <v>1</v>
      </c>
      <c r="S1723" s="82" t="n">
        <v>55000</v>
      </c>
      <c r="T1723" s="83" t="n">
        <v>0</v>
      </c>
      <c r="U1723" s="80" t="n">
        <f aca="false">SUM(S1723:T1723)</f>
        <v>55000</v>
      </c>
      <c r="V1723" s="84" t="s">
        <v>7</v>
      </c>
      <c r="W1723" s="80" t="str">
        <f aca="true">
IF(D1723="폐업","폐업",
IF(V1723="면제","면제",
IF(AND(V1723="정상",COUNTIFS(OFFSET(Y1723,0,COUNTA(Y1723:AV1723)-1,1,-4),"미납")&gt;=3),"장기미납",
IF(AND(V1723="정상",OFFSET(Y1723,0,COUNTA(Y1723:AV1723)-1)&gt;=U1723),"정상",
IF(AND(V1723="정상",OFFSET(Y1723,0,COUNTA(Y1723:AV1723)-1)=0),"정상",
"계약서 미작성")))))</f>
        <v>면제</v>
      </c>
      <c r="X1723" s="81" t="str">
        <f aca="true">
IF(D1723="폐업","폐업",
IF(AND(V1723="정상",OFFSET(Y1723,0,COUNTA(Y1723:AV1723)-1)="미납"),"미납",
IF(AND(V1723="정상",OFFSET(Y1723,0,COUNTA(Y1723:AV1723)-1)=0),"납부 시작 전",
IF(AND(V1723="정상",OFFSET(Y1723,0,COUNTA(Y1723:AV1723)-1)&gt;=U1723),"정상",
IF(AND(V1723="면제",OFFSET(Y1723,0,COUNTA(Y1723:AV1723)-1)="면제"),"면제",
IF(AND(V1723="면제",OFFSET(Y1723,0,COUNTA(Y1723:AV1723)-1)=0),"면제",
"확인요청"))))))</f>
        <v>면제</v>
      </c>
      <c r="Y1723" s="94" t="s">
        <v>7</v>
      </c>
      <c r="Z1723" s="95" t="s">
        <v>7</v>
      </c>
      <c r="AA1723" s="95" t="s">
        <v>7</v>
      </c>
      <c r="AB1723" s="95" t="s">
        <v>7</v>
      </c>
      <c r="AC1723" s="95" t="s">
        <v>7</v>
      </c>
      <c r="AD1723" s="95" t="s">
        <v>7</v>
      </c>
      <c r="AE1723" s="95" t="s">
        <v>7</v>
      </c>
      <c r="AF1723" s="95" t="s">
        <v>7</v>
      </c>
      <c r="AG1723" s="95" t="s">
        <v>7</v>
      </c>
      <c r="AH1723" s="95" t="s">
        <v>7</v>
      </c>
      <c r="AI1723" s="95" t="s">
        <v>7</v>
      </c>
      <c r="AJ1723" s="96" t="s">
        <v>7</v>
      </c>
      <c r="AK1723" s="97" t="s">
        <v>7</v>
      </c>
      <c r="AL1723" s="95" t="s">
        <v>7</v>
      </c>
      <c r="AM1723" s="90"/>
      <c r="AN1723" s="90"/>
      <c r="AO1723" s="90"/>
      <c r="AP1723" s="90"/>
      <c r="AQ1723" s="90"/>
      <c r="AR1723" s="90"/>
      <c r="AS1723" s="90"/>
      <c r="AT1723" s="90"/>
      <c r="AU1723" s="90"/>
      <c r="AV1723" s="91"/>
      <c r="AX1723" s="92"/>
    </row>
    <row r="1724" customFormat="false" ht="15.65" hidden="false" customHeight="false" outlineLevel="0" collapsed="false">
      <c r="C1724" s="72" t="n">
        <f aca="false">COUNTIFS($D$6:D1724,"&lt;&gt;"&amp;"")</f>
        <v>1719</v>
      </c>
      <c r="D1724" s="73" t="s">
        <v>12</v>
      </c>
      <c r="E1724" s="76" t="str">
        <f aca="false">
IF($D1724="정상",INDEX(임대자산!$D$3:$R$3000,MATCH($F1724,임대자산!$I$3:$I$3000,0),MATCH(E$3,임대자산!$D$3:$R$3,0)),
IF($D1724="폐업",INDEX(폐업정보!$D$3:$R$3000,MATCH($F1724,폐업정보!$I$3:$I$3000,0),MATCH(E$3,폐업정보!$D$3:$R$3,0)),
"Error"))</f>
        <v>경기</v>
      </c>
      <c r="F172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B1719</v>
      </c>
      <c r="G1724" s="76" t="str">
        <f aca="false">F1724&amp;RANDBETWEEN(0,10)</f>
        <v>B17195</v>
      </c>
      <c r="H1724" s="75" t="n">
        <f aca="false">
IF($D1724="정상",INDEX(임대자산!$D$3:$R$3000,MATCH($F1724,임대자산!$I$3:$I$3000,0),MATCH(H$4,임대자산!$D$3:$R$3,0)),
IF($D1724="폐업",INDEX(폐업정보!$D$3:$R$3000,MATCH($F1724,폐업정보!$I$3:$I$3000,0),MATCH(H$4,폐업정보!$D$3:$R$3,0)),
"Error"))</f>
        <v>45826</v>
      </c>
      <c r="I1724" s="75" t="str">
        <f aca="false">
IF($D1724="정상",INDEX(임대자산!$D$3:$R$3000,MATCH($F1724,임대자산!$I$3:$I$3000,0),MATCH(I$4,임대자산!$D$3:$R$3,0)),
IF($D1724="폐업",INDEX(폐업정보!$D$3:$R$3000,MATCH($F1724,폐업정보!$I$3:$I$3000,0),MATCH(I$4,폐업정보!$D$3:$R$3,0)),
"Error"))</f>
        <v>A1719</v>
      </c>
      <c r="J1724" s="75" t="str">
        <f aca="false">
IF($D1724="정상",INDEX(임대자산!$D$3:$R$3000,MATCH($F1724,임대자산!$I$3:$I$3000,0),MATCH(J$4,임대자산!$D$3:$R$3,0)),
IF($D1724="폐업",INDEX(폐업정보!$D$3:$R$3000,MATCH($F1724,폐업정보!$I$3:$I$3000,0),MATCH(J$4,폐업정보!$D$3:$R$3,0)),
"Error"))</f>
        <v>2805400000</v>
      </c>
      <c r="K1724" s="75" t="str">
        <f aca="false">
IF($D1724="정상",INDEX(임대자산!$D$3:$R$3000,MATCH($F1724,임대자산!$I$3:$I$3000,0),MATCH(K$4,임대자산!$D$3:$R$3,0)),
IF($D1724="폐업",INDEX(폐업정보!$D$3:$R$3000,MATCH($F1724,폐업정보!$I$3:$I$3000,0),MATCH(K$4,폐업정보!$D$3:$R$3,0)),
"Error"))</f>
        <v>C1719</v>
      </c>
      <c r="L1724" s="75" t="str">
        <f aca="false">
IF($D1724="정상",INDEX(임대자산!$D$3:$R$3000,MATCH($F1724,임대자산!$I$3:$I$3000,0),MATCH(L$4,임대자산!$D$3:$R$3,0)),
IF($D1724="폐업",INDEX(폐업정보!$D$3:$R$3000,MATCH($F1724,폐업정보!$I$3:$I$3000,0),MATCH(L$4,폐업정보!$D$3:$R$3,0)),
"Error"))</f>
        <v>D1719</v>
      </c>
      <c r="M1724" s="76" t="s">
        <v>96</v>
      </c>
      <c r="N1724" s="77"/>
      <c r="O1724" s="78" t="s">
        <v>97</v>
      </c>
      <c r="P1724" s="79" t="n">
        <f aca="false">COUNTIFS(임대자산!$I:$I,가맹점정보!F1724,임대자산!$N:$N,가맹점정보!P$4)</f>
        <v>0</v>
      </c>
      <c r="Q1724" s="80" t="n">
        <f aca="false">COUNTIFS(임대자산!$I:$I,가맹점정보!F1724,임대자산!$N:$N,가맹점정보!Q$4)</f>
        <v>0</v>
      </c>
      <c r="R1724" s="81" t="n">
        <f aca="false">COUNTIFS(임대자산!$I:$I,가맹점정보!F1724,임대자산!$N:$N,가맹점정보!R$4)</f>
        <v>1</v>
      </c>
      <c r="S1724" s="82" t="n">
        <v>55000</v>
      </c>
      <c r="T1724" s="83" t="n">
        <v>0</v>
      </c>
      <c r="U1724" s="80" t="n">
        <f aca="false">SUM(S1724:T1724)</f>
        <v>55000</v>
      </c>
      <c r="V1724" s="84" t="s">
        <v>12</v>
      </c>
      <c r="W1724" s="80" t="e">
        <f aca="true">
IF(D1724="폐업","폐업",
IF(V1724="면제","면제",
IF(AND(V1724="정상",COUNTIFS(OFFSET(Y1724,0,COUNTA(Y1724:AV1724)-1,1,-4),"미납")&gt;=3),"장기미납",
IF(AND(V1724="정상",OFFSET(Y1724,0,COUNTA(Y1724:AV1724)-1)&gt;=U1724),"정상",
IF(AND(V1724="정상",OFFSET(Y1724,0,COUNTA(Y1724:AV1724)-1)=0),"정상",
"계약서 미작성")))))</f>
        <v>#VALUE!</v>
      </c>
      <c r="X1724" s="81" t="str">
        <f aca="true">
IF(D1724="폐업","폐업",
IF(AND(V1724="정상",OFFSET(Y1724,0,COUNTA(Y1724:AV1724)-1)="미납"),"미납",
IF(AND(V1724="정상",OFFSET(Y1724,0,COUNTA(Y1724:AV1724)-1)=0),"납부 시작 전",
IF(AND(V1724="정상",OFFSET(Y1724,0,COUNTA(Y1724:AV1724)-1)&gt;=U1724),"정상",
IF(AND(V1724="면제",OFFSET(Y1724,0,COUNTA(Y1724:AV1724)-1)="면제"),"면제",
IF(AND(V1724="면제",OFFSET(Y1724,0,COUNTA(Y1724:AV1724)-1)=0),"면제",
"확인요청"))))))</f>
        <v>정상</v>
      </c>
      <c r="Y1724" s="93" t="n">
        <v>55000</v>
      </c>
      <c r="Z1724" s="90" t="n">
        <v>55000</v>
      </c>
      <c r="AA1724" s="90" t="n">
        <v>55000</v>
      </c>
      <c r="AB1724" s="90" t="n">
        <v>55000</v>
      </c>
      <c r="AC1724" s="90" t="n">
        <v>55000</v>
      </c>
      <c r="AD1724" s="90" t="n">
        <v>55000</v>
      </c>
      <c r="AE1724" s="90" t="n">
        <v>55000</v>
      </c>
      <c r="AF1724" s="90" t="n">
        <v>55000</v>
      </c>
      <c r="AG1724" s="90" t="n">
        <v>55000</v>
      </c>
      <c r="AH1724" s="90" t="n">
        <v>55000</v>
      </c>
      <c r="AI1724" s="90" t="n">
        <v>55000</v>
      </c>
      <c r="AJ1724" s="91" t="n">
        <v>55000</v>
      </c>
      <c r="AK1724" s="89" t="n">
        <v>55000</v>
      </c>
      <c r="AL1724" s="90" t="n">
        <v>55000</v>
      </c>
      <c r="AM1724" s="90"/>
      <c r="AN1724" s="90"/>
      <c r="AO1724" s="90"/>
      <c r="AP1724" s="90"/>
      <c r="AQ1724" s="90"/>
      <c r="AR1724" s="90"/>
      <c r="AS1724" s="90"/>
      <c r="AT1724" s="90"/>
      <c r="AU1724" s="90"/>
      <c r="AV1724" s="91"/>
      <c r="AX1724" s="92"/>
    </row>
    <row r="1725" customFormat="false" ht="15.65" hidden="false" customHeight="false" outlineLevel="0" collapsed="false">
      <c r="C1725" s="72" t="n">
        <f aca="false">COUNTIFS($D$6:D1725,"&lt;&gt;"&amp;"")</f>
        <v>1720</v>
      </c>
      <c r="D1725" s="73" t="s">
        <v>12</v>
      </c>
      <c r="E1725" s="76" t="str">
        <f aca="false">
IF($D1725="정상",INDEX(임대자산!$D$3:$R$3000,MATCH($F1725,임대자산!$I$3:$I$3000,0),MATCH(E$3,임대자산!$D$3:$R$3,0)),
IF($D1725="폐업",INDEX(폐업정보!$D$3:$R$3000,MATCH($F1725,폐업정보!$I$3:$I$3000,0),MATCH(E$3,폐업정보!$D$3:$R$3,0)),
"Error"))</f>
        <v>경기</v>
      </c>
      <c r="F172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B1720</v>
      </c>
      <c r="G1725" s="76" t="str">
        <f aca="false">F1725&amp;RANDBETWEEN(0,10)</f>
        <v>B17203</v>
      </c>
      <c r="H1725" s="75" t="n">
        <f aca="false">
IF($D1725="정상",INDEX(임대자산!$D$3:$R$3000,MATCH($F1725,임대자산!$I$3:$I$3000,0),MATCH(H$4,임대자산!$D$3:$R$3,0)),
IF($D1725="폐업",INDEX(폐업정보!$D$3:$R$3000,MATCH($F1725,폐업정보!$I$3:$I$3000,0),MATCH(H$4,폐업정보!$D$3:$R$3,0)),
"Error"))</f>
        <v>45826</v>
      </c>
      <c r="I1725" s="75" t="str">
        <f aca="false">
IF($D1725="정상",INDEX(임대자산!$D$3:$R$3000,MATCH($F1725,임대자산!$I$3:$I$3000,0),MATCH(I$4,임대자산!$D$3:$R$3,0)),
IF($D1725="폐업",INDEX(폐업정보!$D$3:$R$3000,MATCH($F1725,폐업정보!$I$3:$I$3000,0),MATCH(I$4,폐업정보!$D$3:$R$3,0)),
"Error"))</f>
        <v>A1720</v>
      </c>
      <c r="J1725" s="75" t="str">
        <f aca="false">
IF($D1725="정상",INDEX(임대자산!$D$3:$R$3000,MATCH($F1725,임대자산!$I$3:$I$3000,0),MATCH(J$4,임대자산!$D$3:$R$3,0)),
IF($D1725="폐업",INDEX(폐업정보!$D$3:$R$3000,MATCH($F1725,폐업정보!$I$3:$I$3000,0),MATCH(J$4,폐업정보!$D$3:$R$3,0)),
"Error"))</f>
        <v>4419400000</v>
      </c>
      <c r="K1725" s="75" t="str">
        <f aca="false">
IF($D1725="정상",INDEX(임대자산!$D$3:$R$3000,MATCH($F1725,임대자산!$I$3:$I$3000,0),MATCH(K$4,임대자산!$D$3:$R$3,0)),
IF($D1725="폐업",INDEX(폐업정보!$D$3:$R$3000,MATCH($F1725,폐업정보!$I$3:$I$3000,0),MATCH(K$4,폐업정보!$D$3:$R$3,0)),
"Error"))</f>
        <v>C1720</v>
      </c>
      <c r="L1725" s="75" t="str">
        <f aca="false">
IF($D1725="정상",INDEX(임대자산!$D$3:$R$3000,MATCH($F1725,임대자산!$I$3:$I$3000,0),MATCH(L$4,임대자산!$D$3:$R$3,0)),
IF($D1725="폐업",INDEX(폐업정보!$D$3:$R$3000,MATCH($F1725,폐업정보!$I$3:$I$3000,0),MATCH(L$4,폐업정보!$D$3:$R$3,0)),
"Error"))</f>
        <v>D1720</v>
      </c>
      <c r="M1725" s="76" t="s">
        <v>96</v>
      </c>
      <c r="N1725" s="77"/>
      <c r="O1725" s="78" t="s">
        <v>97</v>
      </c>
      <c r="P1725" s="79" t="n">
        <f aca="false">COUNTIFS(임대자산!$I:$I,가맹점정보!F1725,임대자산!$N:$N,가맹점정보!P$4)</f>
        <v>0</v>
      </c>
      <c r="Q1725" s="80" t="n">
        <f aca="false">COUNTIFS(임대자산!$I:$I,가맹점정보!F1725,임대자산!$N:$N,가맹점정보!Q$4)</f>
        <v>0</v>
      </c>
      <c r="R1725" s="81" t="n">
        <f aca="false">COUNTIFS(임대자산!$I:$I,가맹점정보!F1725,임대자산!$N:$N,가맹점정보!R$4)</f>
        <v>1</v>
      </c>
      <c r="S1725" s="82" t="n">
        <v>55000</v>
      </c>
      <c r="T1725" s="83" t="n">
        <v>0</v>
      </c>
      <c r="U1725" s="80" t="n">
        <f aca="false">SUM(S1725:T1725)</f>
        <v>55000</v>
      </c>
      <c r="V1725" s="84" t="s">
        <v>12</v>
      </c>
      <c r="W1725" s="80" t="e">
        <f aca="true">
IF(D1725="폐업","폐업",
IF(V1725="면제","면제",
IF(AND(V1725="정상",COUNTIFS(OFFSET(Y1725,0,COUNTA(Y1725:AV1725)-1,1,-4),"미납")&gt;=3),"장기미납",
IF(AND(V1725="정상",OFFSET(Y1725,0,COUNTA(Y1725:AV1725)-1)&gt;=U1725),"정상",
IF(AND(V1725="정상",OFFSET(Y1725,0,COUNTA(Y1725:AV1725)-1)=0),"정상",
"계약서 미작성")))))</f>
        <v>#VALUE!</v>
      </c>
      <c r="X1725" s="81" t="str">
        <f aca="true">
IF(D1725="폐업","폐업",
IF(AND(V1725="정상",OFFSET(Y1725,0,COUNTA(Y1725:AV1725)-1)="미납"),"미납",
IF(AND(V1725="정상",OFFSET(Y1725,0,COUNTA(Y1725:AV1725)-1)=0),"납부 시작 전",
IF(AND(V1725="정상",OFFSET(Y1725,0,COUNTA(Y1725:AV1725)-1)&gt;=U1725),"정상",
IF(AND(V1725="면제",OFFSET(Y1725,0,COUNTA(Y1725:AV1725)-1)="면제"),"면제",
IF(AND(V1725="면제",OFFSET(Y1725,0,COUNTA(Y1725:AV1725)-1)=0),"면제",
"확인요청"))))))</f>
        <v>정상</v>
      </c>
      <c r="Y1725" s="93" t="n">
        <v>55000</v>
      </c>
      <c r="Z1725" s="90" t="n">
        <v>55000</v>
      </c>
      <c r="AA1725" s="90" t="n">
        <v>55000</v>
      </c>
      <c r="AB1725" s="90" t="n">
        <v>55000</v>
      </c>
      <c r="AC1725" s="90" t="n">
        <v>55000</v>
      </c>
      <c r="AD1725" s="90" t="n">
        <v>55000</v>
      </c>
      <c r="AE1725" s="90" t="n">
        <v>55000</v>
      </c>
      <c r="AF1725" s="90" t="n">
        <v>55000</v>
      </c>
      <c r="AG1725" s="90" t="n">
        <v>55000</v>
      </c>
      <c r="AH1725" s="90" t="n">
        <v>55000</v>
      </c>
      <c r="AI1725" s="90" t="n">
        <v>55000</v>
      </c>
      <c r="AJ1725" s="91" t="n">
        <v>55000</v>
      </c>
      <c r="AK1725" s="89" t="n">
        <v>55000</v>
      </c>
      <c r="AL1725" s="90" t="n">
        <v>55000</v>
      </c>
      <c r="AM1725" s="90"/>
      <c r="AN1725" s="90"/>
      <c r="AO1725" s="90"/>
      <c r="AP1725" s="90"/>
      <c r="AQ1725" s="90"/>
      <c r="AR1725" s="90"/>
      <c r="AS1725" s="90"/>
      <c r="AT1725" s="90"/>
      <c r="AU1725" s="90"/>
      <c r="AV1725" s="91"/>
      <c r="AX1725" s="92"/>
    </row>
    <row r="1726" customFormat="false" ht="15.65" hidden="false" customHeight="false" outlineLevel="0" collapsed="false">
      <c r="C1726" s="72" t="n">
        <f aca="false">COUNTIFS($D$6:D1726,"&lt;&gt;"&amp;"")</f>
        <v>1721</v>
      </c>
      <c r="D1726" s="73" t="s">
        <v>12</v>
      </c>
      <c r="E1726" s="76" t="str">
        <f aca="false">
IF($D1726="정상",INDEX(임대자산!$D$3:$R$3000,MATCH($F1726,임대자산!$I$3:$I$3000,0),MATCH(E$3,임대자산!$D$3:$R$3,0)),
IF($D1726="폐업",INDEX(폐업정보!$D$3:$R$3000,MATCH($F1726,폐업정보!$I$3:$I$3000,0),MATCH(E$3,폐업정보!$D$3:$R$3,0)),
"Error"))</f>
        <v>경상</v>
      </c>
      <c r="F172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B1721</v>
      </c>
      <c r="G1726" s="76" t="str">
        <f aca="false">F1726&amp;RANDBETWEEN(0,10)</f>
        <v>B172110</v>
      </c>
      <c r="H1726" s="75" t="n">
        <f aca="false">
IF($D1726="정상",INDEX(임대자산!$D$3:$R$3000,MATCH($F1726,임대자산!$I$3:$I$3000,0),MATCH(H$4,임대자산!$D$3:$R$3,0)),
IF($D1726="폐업",INDEX(폐업정보!$D$3:$R$3000,MATCH($F1726,폐업정보!$I$3:$I$3000,0),MATCH(H$4,폐업정보!$D$3:$R$3,0)),
"Error"))</f>
        <v>45826</v>
      </c>
      <c r="I1726" s="75" t="str">
        <f aca="false">
IF($D1726="정상",INDEX(임대자산!$D$3:$R$3000,MATCH($F1726,임대자산!$I$3:$I$3000,0),MATCH(I$4,임대자산!$D$3:$R$3,0)),
IF($D1726="폐업",INDEX(폐업정보!$D$3:$R$3000,MATCH($F1726,폐업정보!$I$3:$I$3000,0),MATCH(I$4,폐업정보!$D$3:$R$3,0)),
"Error"))</f>
        <v>A1721</v>
      </c>
      <c r="J1726" s="75" t="str">
        <f aca="false">
IF($D1726="정상",INDEX(임대자산!$D$3:$R$3000,MATCH($F1726,임대자산!$I$3:$I$3000,0),MATCH(J$4,임대자산!$D$3:$R$3,0)),
IF($D1726="폐업",INDEX(폐업정보!$D$3:$R$3000,MATCH($F1726,폐업정보!$I$3:$I$3000,0),MATCH(J$4,폐업정보!$D$3:$R$3,0)),
"Error"))</f>
        <v>5001200000</v>
      </c>
      <c r="K1726" s="75" t="str">
        <f aca="false">
IF($D1726="정상",INDEX(임대자산!$D$3:$R$3000,MATCH($F1726,임대자산!$I$3:$I$3000,0),MATCH(K$4,임대자산!$D$3:$R$3,0)),
IF($D1726="폐업",INDEX(폐업정보!$D$3:$R$3000,MATCH($F1726,폐업정보!$I$3:$I$3000,0),MATCH(K$4,폐업정보!$D$3:$R$3,0)),
"Error"))</f>
        <v>C1721</v>
      </c>
      <c r="L1726" s="75" t="str">
        <f aca="false">
IF($D1726="정상",INDEX(임대자산!$D$3:$R$3000,MATCH($F1726,임대자산!$I$3:$I$3000,0),MATCH(L$4,임대자산!$D$3:$R$3,0)),
IF($D1726="폐업",INDEX(폐업정보!$D$3:$R$3000,MATCH($F1726,폐업정보!$I$3:$I$3000,0),MATCH(L$4,폐업정보!$D$3:$R$3,0)),
"Error"))</f>
        <v>D1721</v>
      </c>
      <c r="M1726" s="76" t="s">
        <v>96</v>
      </c>
      <c r="N1726" s="77"/>
      <c r="O1726" s="78" t="s">
        <v>97</v>
      </c>
      <c r="P1726" s="79" t="n">
        <f aca="false">COUNTIFS(임대자산!$I:$I,가맹점정보!F1726,임대자산!$N:$N,가맹점정보!P$4)</f>
        <v>0</v>
      </c>
      <c r="Q1726" s="80" t="n">
        <f aca="false">COUNTIFS(임대자산!$I:$I,가맹점정보!F1726,임대자산!$N:$N,가맹점정보!Q$4)</f>
        <v>0</v>
      </c>
      <c r="R1726" s="81" t="n">
        <f aca="false">COUNTIFS(임대자산!$I:$I,가맹점정보!F1726,임대자산!$N:$N,가맹점정보!R$4)</f>
        <v>1</v>
      </c>
      <c r="S1726" s="82" t="n">
        <v>55000</v>
      </c>
      <c r="T1726" s="83" t="n">
        <v>0</v>
      </c>
      <c r="U1726" s="80" t="n">
        <f aca="false">SUM(S1726:T1726)</f>
        <v>55000</v>
      </c>
      <c r="V1726" s="84" t="s">
        <v>7</v>
      </c>
      <c r="W1726" s="80" t="str">
        <f aca="true">
IF(D1726="폐업","폐업",
IF(V1726="면제","면제",
IF(AND(V1726="정상",COUNTIFS(OFFSET(Y1726,0,COUNTA(Y1726:AV1726)-1,1,-4),"미납")&gt;=3),"장기미납",
IF(AND(V1726="정상",OFFSET(Y1726,0,COUNTA(Y1726:AV1726)-1)&gt;=U1726),"정상",
IF(AND(V1726="정상",OFFSET(Y1726,0,COUNTA(Y1726:AV1726)-1)=0),"정상",
"계약서 미작성")))))</f>
        <v>면제</v>
      </c>
      <c r="X1726" s="81" t="str">
        <f aca="true">
IF(D1726="폐업","폐업",
IF(AND(V1726="정상",OFFSET(Y1726,0,COUNTA(Y1726:AV1726)-1)="미납"),"미납",
IF(AND(V1726="정상",OFFSET(Y1726,0,COUNTA(Y1726:AV1726)-1)=0),"납부 시작 전",
IF(AND(V1726="정상",OFFSET(Y1726,0,COUNTA(Y1726:AV1726)-1)&gt;=U1726),"정상",
IF(AND(V1726="면제",OFFSET(Y1726,0,COUNTA(Y1726:AV1726)-1)="면제"),"면제",
IF(AND(V1726="면제",OFFSET(Y1726,0,COUNTA(Y1726:AV1726)-1)=0),"면제",
"확인요청"))))))</f>
        <v>면제</v>
      </c>
      <c r="Y1726" s="94" t="s">
        <v>7</v>
      </c>
      <c r="Z1726" s="95" t="s">
        <v>7</v>
      </c>
      <c r="AA1726" s="95" t="s">
        <v>7</v>
      </c>
      <c r="AB1726" s="95" t="s">
        <v>7</v>
      </c>
      <c r="AC1726" s="95" t="s">
        <v>7</v>
      </c>
      <c r="AD1726" s="95" t="s">
        <v>7</v>
      </c>
      <c r="AE1726" s="95" t="s">
        <v>7</v>
      </c>
      <c r="AF1726" s="95" t="s">
        <v>7</v>
      </c>
      <c r="AG1726" s="95" t="s">
        <v>7</v>
      </c>
      <c r="AH1726" s="95" t="s">
        <v>7</v>
      </c>
      <c r="AI1726" s="95" t="s">
        <v>7</v>
      </c>
      <c r="AJ1726" s="96" t="s">
        <v>7</v>
      </c>
      <c r="AK1726" s="97" t="s">
        <v>7</v>
      </c>
      <c r="AL1726" s="95" t="s">
        <v>7</v>
      </c>
      <c r="AM1726" s="90"/>
      <c r="AN1726" s="90"/>
      <c r="AO1726" s="90"/>
      <c r="AP1726" s="90"/>
      <c r="AQ1726" s="90"/>
      <c r="AR1726" s="90"/>
      <c r="AS1726" s="90"/>
      <c r="AT1726" s="90"/>
      <c r="AU1726" s="90"/>
      <c r="AV1726" s="91"/>
      <c r="AX1726" s="92"/>
    </row>
    <row r="1727" customFormat="false" ht="15.65" hidden="false" customHeight="false" outlineLevel="0" collapsed="false">
      <c r="C1727" s="72" t="n">
        <f aca="false">COUNTIFS($D$6:D1727,"&lt;&gt;"&amp;"")</f>
        <v>1722</v>
      </c>
      <c r="D1727" s="73" t="s">
        <v>12</v>
      </c>
      <c r="E1727" s="76" t="str">
        <f aca="false">
IF($D1727="정상",INDEX(임대자산!$D$3:$R$3000,MATCH($F1727,임대자산!$I$3:$I$3000,0),MATCH(E$3,임대자산!$D$3:$R$3,0)),
IF($D1727="폐업",INDEX(폐업정보!$D$3:$R$3000,MATCH($F1727,폐업정보!$I$3:$I$3000,0),MATCH(E$3,폐업정보!$D$3:$R$3,0)),
"Error"))</f>
        <v>경상</v>
      </c>
      <c r="F172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B1722</v>
      </c>
      <c r="G1727" s="76" t="str">
        <f aca="false">F1727&amp;RANDBETWEEN(0,10)</f>
        <v>B17224</v>
      </c>
      <c r="H1727" s="75" t="n">
        <f aca="false">
IF($D1727="정상",INDEX(임대자산!$D$3:$R$3000,MATCH($F1727,임대자산!$I$3:$I$3000,0),MATCH(H$4,임대자산!$D$3:$R$3,0)),
IF($D1727="폐업",INDEX(폐업정보!$D$3:$R$3000,MATCH($F1727,폐업정보!$I$3:$I$3000,0),MATCH(H$4,폐업정보!$D$3:$R$3,0)),
"Error"))</f>
        <v>45826</v>
      </c>
      <c r="I1727" s="75" t="str">
        <f aca="false">
IF($D1727="정상",INDEX(임대자산!$D$3:$R$3000,MATCH($F1727,임대자산!$I$3:$I$3000,0),MATCH(I$4,임대자산!$D$3:$R$3,0)),
IF($D1727="폐업",INDEX(폐업정보!$D$3:$R$3000,MATCH($F1727,폐업정보!$I$3:$I$3000,0),MATCH(I$4,폐업정보!$D$3:$R$3,0)),
"Error"))</f>
        <v>A1722</v>
      </c>
      <c r="J1727" s="75" t="str">
        <f aca="false">
IF($D1727="정상",INDEX(임대자산!$D$3:$R$3000,MATCH($F1727,임대자산!$I$3:$I$3000,0),MATCH(J$4,임대자산!$D$3:$R$3,0)),
IF($D1727="폐업",INDEX(폐업정보!$D$3:$R$3000,MATCH($F1727,폐업정보!$I$3:$I$3000,0),MATCH(J$4,폐업정보!$D$3:$R$3,0)),
"Error"))</f>
        <v>7180600000</v>
      </c>
      <c r="K1727" s="75" t="str">
        <f aca="false">
IF($D1727="정상",INDEX(임대자산!$D$3:$R$3000,MATCH($F1727,임대자산!$I$3:$I$3000,0),MATCH(K$4,임대자산!$D$3:$R$3,0)),
IF($D1727="폐업",INDEX(폐업정보!$D$3:$R$3000,MATCH($F1727,폐업정보!$I$3:$I$3000,0),MATCH(K$4,폐업정보!$D$3:$R$3,0)),
"Error"))</f>
        <v>C1722</v>
      </c>
      <c r="L1727" s="75" t="str">
        <f aca="false">
IF($D1727="정상",INDEX(임대자산!$D$3:$R$3000,MATCH($F1727,임대자산!$I$3:$I$3000,0),MATCH(L$4,임대자산!$D$3:$R$3,0)),
IF($D1727="폐업",INDEX(폐업정보!$D$3:$R$3000,MATCH($F1727,폐업정보!$I$3:$I$3000,0),MATCH(L$4,폐업정보!$D$3:$R$3,0)),
"Error"))</f>
        <v>D1722</v>
      </c>
      <c r="M1727" s="76" t="s">
        <v>96</v>
      </c>
      <c r="N1727" s="77"/>
      <c r="O1727" s="78" t="s">
        <v>97</v>
      </c>
      <c r="P1727" s="79" t="n">
        <f aca="false">COUNTIFS(임대자산!$I:$I,가맹점정보!F1727,임대자산!$N:$N,가맹점정보!P$4)</f>
        <v>0</v>
      </c>
      <c r="Q1727" s="80" t="n">
        <f aca="false">COUNTIFS(임대자산!$I:$I,가맹점정보!F1727,임대자산!$N:$N,가맹점정보!Q$4)</f>
        <v>0</v>
      </c>
      <c r="R1727" s="81" t="n">
        <f aca="false">COUNTIFS(임대자산!$I:$I,가맹점정보!F1727,임대자산!$N:$N,가맹점정보!R$4)</f>
        <v>1</v>
      </c>
      <c r="S1727" s="82" t="n">
        <v>55000</v>
      </c>
      <c r="T1727" s="83" t="n">
        <v>0</v>
      </c>
      <c r="U1727" s="80" t="n">
        <f aca="false">SUM(S1727:T1727)</f>
        <v>55000</v>
      </c>
      <c r="V1727" s="84" t="s">
        <v>7</v>
      </c>
      <c r="W1727" s="80" t="str">
        <f aca="true">
IF(D1727="폐업","폐업",
IF(V1727="면제","면제",
IF(AND(V1727="정상",COUNTIFS(OFFSET(Y1727,0,COUNTA(Y1727:AV1727)-1,1,-4),"미납")&gt;=3),"장기미납",
IF(AND(V1727="정상",OFFSET(Y1727,0,COUNTA(Y1727:AV1727)-1)&gt;=U1727),"정상",
IF(AND(V1727="정상",OFFSET(Y1727,0,COUNTA(Y1727:AV1727)-1)=0),"정상",
"계약서 미작성")))))</f>
        <v>면제</v>
      </c>
      <c r="X1727" s="81" t="str">
        <f aca="true">
IF(D1727="폐업","폐업",
IF(AND(V1727="정상",OFFSET(Y1727,0,COUNTA(Y1727:AV1727)-1)="미납"),"미납",
IF(AND(V1727="정상",OFFSET(Y1727,0,COUNTA(Y1727:AV1727)-1)=0),"납부 시작 전",
IF(AND(V1727="정상",OFFSET(Y1727,0,COUNTA(Y1727:AV1727)-1)&gt;=U1727),"정상",
IF(AND(V1727="면제",OFFSET(Y1727,0,COUNTA(Y1727:AV1727)-1)="면제"),"면제",
IF(AND(V1727="면제",OFFSET(Y1727,0,COUNTA(Y1727:AV1727)-1)=0),"면제",
"확인요청"))))))</f>
        <v>면제</v>
      </c>
      <c r="Y1727" s="94" t="s">
        <v>7</v>
      </c>
      <c r="Z1727" s="95" t="s">
        <v>7</v>
      </c>
      <c r="AA1727" s="95" t="s">
        <v>7</v>
      </c>
      <c r="AB1727" s="95" t="s">
        <v>7</v>
      </c>
      <c r="AC1727" s="95" t="s">
        <v>7</v>
      </c>
      <c r="AD1727" s="95" t="s">
        <v>7</v>
      </c>
      <c r="AE1727" s="95" t="s">
        <v>7</v>
      </c>
      <c r="AF1727" s="95" t="s">
        <v>7</v>
      </c>
      <c r="AG1727" s="95" t="s">
        <v>7</v>
      </c>
      <c r="AH1727" s="95" t="s">
        <v>7</v>
      </c>
      <c r="AI1727" s="95" t="s">
        <v>7</v>
      </c>
      <c r="AJ1727" s="96" t="s">
        <v>7</v>
      </c>
      <c r="AK1727" s="97" t="s">
        <v>7</v>
      </c>
      <c r="AL1727" s="95" t="s">
        <v>7</v>
      </c>
      <c r="AM1727" s="90"/>
      <c r="AN1727" s="90"/>
      <c r="AO1727" s="90"/>
      <c r="AP1727" s="90"/>
      <c r="AQ1727" s="90"/>
      <c r="AR1727" s="90"/>
      <c r="AS1727" s="90"/>
      <c r="AT1727" s="90"/>
      <c r="AU1727" s="90"/>
      <c r="AV1727" s="91"/>
      <c r="AX1727" s="92"/>
    </row>
    <row r="1728" customFormat="false" ht="15.65" hidden="false" customHeight="false" outlineLevel="0" collapsed="false">
      <c r="C1728" s="72" t="n">
        <f aca="false">COUNTIFS($D$6:D1728,"&lt;&gt;"&amp;"")</f>
        <v>1723</v>
      </c>
      <c r="D1728" s="73" t="s">
        <v>12</v>
      </c>
      <c r="E1728" s="76" t="str">
        <f aca="false">
IF($D1728="정상",INDEX(임대자산!$D$3:$R$3000,MATCH($F1728,임대자산!$I$3:$I$3000,0),MATCH(E$3,임대자산!$D$3:$R$3,0)),
IF($D1728="폐업",INDEX(폐업정보!$D$3:$R$3000,MATCH($F1728,폐업정보!$I$3:$I$3000,0),MATCH(E$3,폐업정보!$D$3:$R$3,0)),
"Error"))</f>
        <v>강원</v>
      </c>
      <c r="F172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B1723</v>
      </c>
      <c r="G1728" s="76" t="str">
        <f aca="false">F1728&amp;RANDBETWEEN(0,10)</f>
        <v>B17231</v>
      </c>
      <c r="H1728" s="75" t="n">
        <f aca="false">
IF($D1728="정상",INDEX(임대자산!$D$3:$R$3000,MATCH($F1728,임대자산!$I$3:$I$3000,0),MATCH(H$4,임대자산!$D$3:$R$3,0)),
IF($D1728="폐업",INDEX(폐업정보!$D$3:$R$3000,MATCH($F1728,폐업정보!$I$3:$I$3000,0),MATCH(H$4,폐업정보!$D$3:$R$3,0)),
"Error"))</f>
        <v>45827</v>
      </c>
      <c r="I1728" s="75" t="str">
        <f aca="false">
IF($D1728="정상",INDEX(임대자산!$D$3:$R$3000,MATCH($F1728,임대자산!$I$3:$I$3000,0),MATCH(I$4,임대자산!$D$3:$R$3,0)),
IF($D1728="폐업",INDEX(폐업정보!$D$3:$R$3000,MATCH($F1728,폐업정보!$I$3:$I$3000,0),MATCH(I$4,폐업정보!$D$3:$R$3,0)),
"Error"))</f>
        <v>A1723</v>
      </c>
      <c r="J1728" s="75" t="str">
        <f aca="false">
IF($D1728="정상",INDEX(임대자산!$D$3:$R$3000,MATCH($F1728,임대자산!$I$3:$I$3000,0),MATCH(J$4,임대자산!$D$3:$R$3,0)),
IF($D1728="폐업",INDEX(폐업정보!$D$3:$R$3000,MATCH($F1728,폐업정보!$I$3:$I$3000,0),MATCH(J$4,폐업정보!$D$3:$R$3,0)),
"Error"))</f>
        <v>1122100000</v>
      </c>
      <c r="K1728" s="75" t="str">
        <f aca="false">
IF($D1728="정상",INDEX(임대자산!$D$3:$R$3000,MATCH($F1728,임대자산!$I$3:$I$3000,0),MATCH(K$4,임대자산!$D$3:$R$3,0)),
IF($D1728="폐업",INDEX(폐업정보!$D$3:$R$3000,MATCH($F1728,폐업정보!$I$3:$I$3000,0),MATCH(K$4,폐업정보!$D$3:$R$3,0)),
"Error"))</f>
        <v>C1723</v>
      </c>
      <c r="L1728" s="75" t="str">
        <f aca="false">
IF($D1728="정상",INDEX(임대자산!$D$3:$R$3000,MATCH($F1728,임대자산!$I$3:$I$3000,0),MATCH(L$4,임대자산!$D$3:$R$3,0)),
IF($D1728="폐업",INDEX(폐업정보!$D$3:$R$3000,MATCH($F1728,폐업정보!$I$3:$I$3000,0),MATCH(L$4,폐업정보!$D$3:$R$3,0)),
"Error"))</f>
        <v>D1723</v>
      </c>
      <c r="M1728" s="76" t="s">
        <v>96</v>
      </c>
      <c r="N1728" s="77"/>
      <c r="O1728" s="78" t="s">
        <v>97</v>
      </c>
      <c r="P1728" s="79" t="n">
        <f aca="false">COUNTIFS(임대자산!$I:$I,가맹점정보!F1728,임대자산!$N:$N,가맹점정보!P$4)</f>
        <v>0</v>
      </c>
      <c r="Q1728" s="80" t="n">
        <f aca="false">COUNTIFS(임대자산!$I:$I,가맹점정보!F1728,임대자산!$N:$N,가맹점정보!Q$4)</f>
        <v>0</v>
      </c>
      <c r="R1728" s="81" t="n">
        <f aca="false">COUNTIFS(임대자산!$I:$I,가맹점정보!F1728,임대자산!$N:$N,가맹점정보!R$4)</f>
        <v>1</v>
      </c>
      <c r="S1728" s="82" t="n">
        <v>88000</v>
      </c>
      <c r="T1728" s="83" t="n">
        <v>0</v>
      </c>
      <c r="U1728" s="80" t="n">
        <f aca="false">SUM(S1728:T1728)</f>
        <v>88000</v>
      </c>
      <c r="V1728" s="84" t="s">
        <v>7</v>
      </c>
      <c r="W1728" s="80" t="str">
        <f aca="true">
IF(D1728="폐업","폐업",
IF(V1728="면제","면제",
IF(AND(V1728="정상",COUNTIFS(OFFSET(Y1728,0,COUNTA(Y1728:AV1728)-1,1,-4),"미납")&gt;=3),"장기미납",
IF(AND(V1728="정상",OFFSET(Y1728,0,COUNTA(Y1728:AV1728)-1)&gt;=U1728),"정상",
IF(AND(V1728="정상",OFFSET(Y1728,0,COUNTA(Y1728:AV1728)-1)=0),"정상",
"계약서 미작성")))))</f>
        <v>면제</v>
      </c>
      <c r="X1728" s="81" t="str">
        <f aca="true">
IF(D1728="폐업","폐업",
IF(AND(V1728="정상",OFFSET(Y1728,0,COUNTA(Y1728:AV1728)-1)="미납"),"미납",
IF(AND(V1728="정상",OFFSET(Y1728,0,COUNTA(Y1728:AV1728)-1)=0),"납부 시작 전",
IF(AND(V1728="정상",OFFSET(Y1728,0,COUNTA(Y1728:AV1728)-1)&gt;=U1728),"정상",
IF(AND(V1728="면제",OFFSET(Y1728,0,COUNTA(Y1728:AV1728)-1)="면제"),"면제",
IF(AND(V1728="면제",OFFSET(Y1728,0,COUNTA(Y1728:AV1728)-1)=0),"면제",
"확인요청"))))))</f>
        <v>면제</v>
      </c>
      <c r="Y1728" s="94" t="s">
        <v>7</v>
      </c>
      <c r="Z1728" s="95" t="s">
        <v>7</v>
      </c>
      <c r="AA1728" s="95" t="s">
        <v>7</v>
      </c>
      <c r="AB1728" s="95" t="s">
        <v>7</v>
      </c>
      <c r="AC1728" s="95" t="s">
        <v>7</v>
      </c>
      <c r="AD1728" s="95" t="s">
        <v>7</v>
      </c>
      <c r="AE1728" s="95" t="s">
        <v>7</v>
      </c>
      <c r="AF1728" s="95" t="s">
        <v>7</v>
      </c>
      <c r="AG1728" s="95" t="s">
        <v>7</v>
      </c>
      <c r="AH1728" s="95" t="s">
        <v>7</v>
      </c>
      <c r="AI1728" s="95" t="s">
        <v>7</v>
      </c>
      <c r="AJ1728" s="96" t="s">
        <v>7</v>
      </c>
      <c r="AK1728" s="97" t="s">
        <v>7</v>
      </c>
      <c r="AL1728" s="95" t="s">
        <v>7</v>
      </c>
      <c r="AM1728" s="90"/>
      <c r="AN1728" s="90"/>
      <c r="AO1728" s="90"/>
      <c r="AP1728" s="90"/>
      <c r="AQ1728" s="90"/>
      <c r="AR1728" s="90"/>
      <c r="AS1728" s="90"/>
      <c r="AT1728" s="90"/>
      <c r="AU1728" s="90"/>
      <c r="AV1728" s="91"/>
      <c r="AX1728" s="92"/>
    </row>
    <row r="1729" customFormat="false" ht="15.65" hidden="false" customHeight="false" outlineLevel="0" collapsed="false">
      <c r="C1729" s="72" t="n">
        <f aca="false">COUNTIFS($D$6:D1729,"&lt;&gt;"&amp;"")</f>
        <v>1724</v>
      </c>
      <c r="D1729" s="73" t="s">
        <v>12</v>
      </c>
      <c r="E1729" s="76" t="str">
        <f aca="false">
IF($D1729="정상",INDEX(임대자산!$D$3:$R$3000,MATCH($F1729,임대자산!$I$3:$I$3000,0),MATCH(E$3,임대자산!$D$3:$R$3,0)),
IF($D1729="폐업",INDEX(폐업정보!$D$3:$R$3000,MATCH($F1729,폐업정보!$I$3:$I$3000,0),MATCH(E$3,폐업정보!$D$3:$R$3,0)),
"Error"))</f>
        <v>전라</v>
      </c>
      <c r="F172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B1724</v>
      </c>
      <c r="G1729" s="76" t="str">
        <f aca="false">F1729&amp;RANDBETWEEN(0,10)</f>
        <v>B17244</v>
      </c>
      <c r="H1729" s="75" t="n">
        <f aca="false">
IF($D1729="정상",INDEX(임대자산!$D$3:$R$3000,MATCH($F1729,임대자산!$I$3:$I$3000,0),MATCH(H$4,임대자산!$D$3:$R$3,0)),
IF($D1729="폐업",INDEX(폐업정보!$D$3:$R$3000,MATCH($F1729,폐업정보!$I$3:$I$3000,0),MATCH(H$4,폐업정보!$D$3:$R$3,0)),
"Error"))</f>
        <v>45827</v>
      </c>
      <c r="I1729" s="75" t="str">
        <f aca="false">
IF($D1729="정상",INDEX(임대자산!$D$3:$R$3000,MATCH($F1729,임대자산!$I$3:$I$3000,0),MATCH(I$4,임대자산!$D$3:$R$3,0)),
IF($D1729="폐업",INDEX(폐업정보!$D$3:$R$3000,MATCH($F1729,폐업정보!$I$3:$I$3000,0),MATCH(I$4,폐업정보!$D$3:$R$3,0)),
"Error"))</f>
        <v>A1724</v>
      </c>
      <c r="J1729" s="75" t="str">
        <f aca="false">
IF($D1729="정상",INDEX(임대자산!$D$3:$R$3000,MATCH($F1729,임대자산!$I$3:$I$3000,0),MATCH(J$4,임대자산!$D$3:$R$3,0)),
IF($D1729="폐업",INDEX(폐업정보!$D$3:$R$3000,MATCH($F1729,폐업정보!$I$3:$I$3000,0),MATCH(J$4,폐업정보!$D$3:$R$3,0)),
"Error"))</f>
        <v>6907700000</v>
      </c>
      <c r="K1729" s="75" t="str">
        <f aca="false">
IF($D1729="정상",INDEX(임대자산!$D$3:$R$3000,MATCH($F1729,임대자산!$I$3:$I$3000,0),MATCH(K$4,임대자산!$D$3:$R$3,0)),
IF($D1729="폐업",INDEX(폐업정보!$D$3:$R$3000,MATCH($F1729,폐업정보!$I$3:$I$3000,0),MATCH(K$4,폐업정보!$D$3:$R$3,0)),
"Error"))</f>
        <v>C1724</v>
      </c>
      <c r="L1729" s="75" t="str">
        <f aca="false">
IF($D1729="정상",INDEX(임대자산!$D$3:$R$3000,MATCH($F1729,임대자산!$I$3:$I$3000,0),MATCH(L$4,임대자산!$D$3:$R$3,0)),
IF($D1729="폐업",INDEX(폐업정보!$D$3:$R$3000,MATCH($F1729,폐업정보!$I$3:$I$3000,0),MATCH(L$4,폐업정보!$D$3:$R$3,0)),
"Error"))</f>
        <v>D1724</v>
      </c>
      <c r="M1729" s="76" t="s">
        <v>96</v>
      </c>
      <c r="N1729" s="77"/>
      <c r="O1729" s="78" t="s">
        <v>97</v>
      </c>
      <c r="P1729" s="79" t="n">
        <f aca="false">COUNTIFS(임대자산!$I:$I,가맹점정보!F1729,임대자산!$N:$N,가맹점정보!P$4)</f>
        <v>0</v>
      </c>
      <c r="Q1729" s="80" t="n">
        <f aca="false">COUNTIFS(임대자산!$I:$I,가맹점정보!F1729,임대자산!$N:$N,가맹점정보!Q$4)</f>
        <v>0</v>
      </c>
      <c r="R1729" s="81" t="n">
        <f aca="false">COUNTIFS(임대자산!$I:$I,가맹점정보!F1729,임대자산!$N:$N,가맹점정보!R$4)</f>
        <v>1</v>
      </c>
      <c r="S1729" s="82" t="n">
        <v>55000</v>
      </c>
      <c r="T1729" s="83" t="n">
        <v>0</v>
      </c>
      <c r="U1729" s="80" t="n">
        <f aca="false">SUM(S1729:T1729)</f>
        <v>55000</v>
      </c>
      <c r="V1729" s="84" t="s">
        <v>12</v>
      </c>
      <c r="W1729" s="80" t="e">
        <f aca="true">
IF(D1729="폐업","폐업",
IF(V1729="면제","면제",
IF(AND(V1729="정상",COUNTIFS(OFFSET(Y1729,0,COUNTA(Y1729:AV1729)-1,1,-4),"미납")&gt;=3),"장기미납",
IF(AND(V1729="정상",OFFSET(Y1729,0,COUNTA(Y1729:AV1729)-1)&gt;=U1729),"정상",
IF(AND(V1729="정상",OFFSET(Y1729,0,COUNTA(Y1729:AV1729)-1)=0),"정상",
"계약서 미작성")))))</f>
        <v>#VALUE!</v>
      </c>
      <c r="X1729" s="81" t="str">
        <f aca="true">
IF(D1729="폐업","폐업",
IF(AND(V1729="정상",OFFSET(Y1729,0,COUNTA(Y1729:AV1729)-1)="미납"),"미납",
IF(AND(V1729="정상",OFFSET(Y1729,0,COUNTA(Y1729:AV1729)-1)=0),"납부 시작 전",
IF(AND(V1729="정상",OFFSET(Y1729,0,COUNTA(Y1729:AV1729)-1)&gt;=U1729),"정상",
IF(AND(V1729="면제",OFFSET(Y1729,0,COUNTA(Y1729:AV1729)-1)="면제"),"면제",
IF(AND(V1729="면제",OFFSET(Y1729,0,COUNTA(Y1729:AV1729)-1)=0),"면제",
"확인요청"))))))</f>
        <v>정상</v>
      </c>
      <c r="Y1729" s="93" t="n">
        <v>55000</v>
      </c>
      <c r="Z1729" s="90" t="n">
        <v>55000</v>
      </c>
      <c r="AA1729" s="90" t="n">
        <v>55000</v>
      </c>
      <c r="AB1729" s="90" t="n">
        <v>55000</v>
      </c>
      <c r="AC1729" s="90" t="n">
        <v>55000</v>
      </c>
      <c r="AD1729" s="90" t="n">
        <v>55000</v>
      </c>
      <c r="AE1729" s="90" t="n">
        <v>55000</v>
      </c>
      <c r="AF1729" s="90" t="n">
        <v>55000</v>
      </c>
      <c r="AG1729" s="90" t="n">
        <v>55000</v>
      </c>
      <c r="AH1729" s="90" t="n">
        <v>55000</v>
      </c>
      <c r="AI1729" s="90" t="n">
        <v>55000</v>
      </c>
      <c r="AJ1729" s="91" t="n">
        <v>55000</v>
      </c>
      <c r="AK1729" s="89" t="n">
        <v>55000</v>
      </c>
      <c r="AL1729" s="90" t="n">
        <v>55000</v>
      </c>
      <c r="AM1729" s="90"/>
      <c r="AN1729" s="90"/>
      <c r="AO1729" s="90"/>
      <c r="AP1729" s="90"/>
      <c r="AQ1729" s="90"/>
      <c r="AR1729" s="90"/>
      <c r="AS1729" s="90"/>
      <c r="AT1729" s="90"/>
      <c r="AU1729" s="90"/>
      <c r="AV1729" s="91"/>
      <c r="AX1729" s="92"/>
    </row>
    <row r="1730" customFormat="false" ht="15.65" hidden="false" customHeight="false" outlineLevel="0" collapsed="false">
      <c r="C1730" s="72" t="n">
        <f aca="false">COUNTIFS($D$6:D1730,"&lt;&gt;"&amp;"")</f>
        <v>1725</v>
      </c>
      <c r="D1730" s="73" t="s">
        <v>12</v>
      </c>
      <c r="E1730" s="76" t="str">
        <f aca="false">
IF($D1730="정상",INDEX(임대자산!$D$3:$R$3000,MATCH($F1730,임대자산!$I$3:$I$3000,0),MATCH(E$3,임대자산!$D$3:$R$3,0)),
IF($D1730="폐업",INDEX(폐업정보!$D$3:$R$3000,MATCH($F1730,폐업정보!$I$3:$I$3000,0),MATCH(E$3,폐업정보!$D$3:$R$3,0)),
"Error"))</f>
        <v>전라</v>
      </c>
      <c r="F173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B1725</v>
      </c>
      <c r="G1730" s="76" t="str">
        <f aca="false">F1730&amp;RANDBETWEEN(0,10)</f>
        <v>B17250</v>
      </c>
      <c r="H1730" s="75" t="n">
        <f aca="false">
IF($D1730="정상",INDEX(임대자산!$D$3:$R$3000,MATCH($F1730,임대자산!$I$3:$I$3000,0),MATCH(H$4,임대자산!$D$3:$R$3,0)),
IF($D1730="폐업",INDEX(폐업정보!$D$3:$R$3000,MATCH($F1730,폐업정보!$I$3:$I$3000,0),MATCH(H$4,폐업정보!$D$3:$R$3,0)),
"Error"))</f>
        <v>45827</v>
      </c>
      <c r="I1730" s="75" t="str">
        <f aca="false">
IF($D1730="정상",INDEX(임대자산!$D$3:$R$3000,MATCH($F1730,임대자산!$I$3:$I$3000,0),MATCH(I$4,임대자산!$D$3:$R$3,0)),
IF($D1730="폐업",INDEX(폐업정보!$D$3:$R$3000,MATCH($F1730,폐업정보!$I$3:$I$3000,0),MATCH(I$4,폐업정보!$D$3:$R$3,0)),
"Error"))</f>
        <v>A1725</v>
      </c>
      <c r="J1730" s="75" t="str">
        <f aca="false">
IF($D1730="정상",INDEX(임대자산!$D$3:$R$3000,MATCH($F1730,임대자산!$I$3:$I$3000,0),MATCH(J$4,임대자산!$D$3:$R$3,0)),
IF($D1730="폐업",INDEX(폐업정보!$D$3:$R$3000,MATCH($F1730,폐업정보!$I$3:$I$3000,0),MATCH(J$4,폐업정보!$D$3:$R$3,0)),
"Error"))</f>
        <v>9504200000</v>
      </c>
      <c r="K1730" s="75" t="str">
        <f aca="false">
IF($D1730="정상",INDEX(임대자산!$D$3:$R$3000,MATCH($F1730,임대자산!$I$3:$I$3000,0),MATCH(K$4,임대자산!$D$3:$R$3,0)),
IF($D1730="폐업",INDEX(폐업정보!$D$3:$R$3000,MATCH($F1730,폐업정보!$I$3:$I$3000,0),MATCH(K$4,폐업정보!$D$3:$R$3,0)),
"Error"))</f>
        <v>C1725</v>
      </c>
      <c r="L1730" s="75" t="str">
        <f aca="false">
IF($D1730="정상",INDEX(임대자산!$D$3:$R$3000,MATCH($F1730,임대자산!$I$3:$I$3000,0),MATCH(L$4,임대자산!$D$3:$R$3,0)),
IF($D1730="폐업",INDEX(폐업정보!$D$3:$R$3000,MATCH($F1730,폐업정보!$I$3:$I$3000,0),MATCH(L$4,폐업정보!$D$3:$R$3,0)),
"Error"))</f>
        <v>D1725</v>
      </c>
      <c r="M1730" s="76" t="s">
        <v>96</v>
      </c>
      <c r="N1730" s="77"/>
      <c r="O1730" s="78" t="s">
        <v>97</v>
      </c>
      <c r="P1730" s="79" t="n">
        <f aca="false">COUNTIFS(임대자산!$I:$I,가맹점정보!F1730,임대자산!$N:$N,가맹점정보!P$4)</f>
        <v>0</v>
      </c>
      <c r="Q1730" s="80" t="n">
        <f aca="false">COUNTIFS(임대자산!$I:$I,가맹점정보!F1730,임대자산!$N:$N,가맹점정보!Q$4)</f>
        <v>0</v>
      </c>
      <c r="R1730" s="81" t="n">
        <f aca="false">COUNTIFS(임대자산!$I:$I,가맹점정보!F1730,임대자산!$N:$N,가맹점정보!R$4)</f>
        <v>1</v>
      </c>
      <c r="S1730" s="82" t="n">
        <v>88000</v>
      </c>
      <c r="T1730" s="83" t="n">
        <v>0</v>
      </c>
      <c r="U1730" s="80" t="n">
        <f aca="false">SUM(S1730:T1730)</f>
        <v>88000</v>
      </c>
      <c r="V1730" s="84" t="s">
        <v>7</v>
      </c>
      <c r="W1730" s="80" t="str">
        <f aca="true">
IF(D1730="폐업","폐업",
IF(V1730="면제","면제",
IF(AND(V1730="정상",COUNTIFS(OFFSET(Y1730,0,COUNTA(Y1730:AV1730)-1,1,-4),"미납")&gt;=3),"장기미납",
IF(AND(V1730="정상",OFFSET(Y1730,0,COUNTA(Y1730:AV1730)-1)&gt;=U1730),"정상",
IF(AND(V1730="정상",OFFSET(Y1730,0,COUNTA(Y1730:AV1730)-1)=0),"정상",
"계약서 미작성")))))</f>
        <v>면제</v>
      </c>
      <c r="X1730" s="81" t="str">
        <f aca="true">
IF(D1730="폐업","폐업",
IF(AND(V1730="정상",OFFSET(Y1730,0,COUNTA(Y1730:AV1730)-1)="미납"),"미납",
IF(AND(V1730="정상",OFFSET(Y1730,0,COUNTA(Y1730:AV1730)-1)=0),"납부 시작 전",
IF(AND(V1730="정상",OFFSET(Y1730,0,COUNTA(Y1730:AV1730)-1)&gt;=U1730),"정상",
IF(AND(V1730="면제",OFFSET(Y1730,0,COUNTA(Y1730:AV1730)-1)="면제"),"면제",
IF(AND(V1730="면제",OFFSET(Y1730,0,COUNTA(Y1730:AV1730)-1)=0),"면제",
"확인요청"))))))</f>
        <v>면제</v>
      </c>
      <c r="Y1730" s="94" t="s">
        <v>7</v>
      </c>
      <c r="Z1730" s="95" t="s">
        <v>7</v>
      </c>
      <c r="AA1730" s="95" t="s">
        <v>7</v>
      </c>
      <c r="AB1730" s="95" t="s">
        <v>7</v>
      </c>
      <c r="AC1730" s="95" t="s">
        <v>7</v>
      </c>
      <c r="AD1730" s="95" t="s">
        <v>7</v>
      </c>
      <c r="AE1730" s="95" t="s">
        <v>7</v>
      </c>
      <c r="AF1730" s="95" t="s">
        <v>7</v>
      </c>
      <c r="AG1730" s="95" t="s">
        <v>7</v>
      </c>
      <c r="AH1730" s="95" t="s">
        <v>7</v>
      </c>
      <c r="AI1730" s="95" t="s">
        <v>7</v>
      </c>
      <c r="AJ1730" s="96" t="s">
        <v>7</v>
      </c>
      <c r="AK1730" s="97" t="s">
        <v>7</v>
      </c>
      <c r="AL1730" s="95" t="s">
        <v>7</v>
      </c>
      <c r="AM1730" s="90"/>
      <c r="AN1730" s="90"/>
      <c r="AO1730" s="90"/>
      <c r="AP1730" s="90"/>
      <c r="AQ1730" s="90"/>
      <c r="AR1730" s="90"/>
      <c r="AS1730" s="90"/>
      <c r="AT1730" s="90"/>
      <c r="AU1730" s="90"/>
      <c r="AV1730" s="91"/>
      <c r="AX1730" s="92"/>
    </row>
    <row r="1731" customFormat="false" ht="15.65" hidden="false" customHeight="false" outlineLevel="0" collapsed="false">
      <c r="C1731" s="72" t="n">
        <f aca="false">COUNTIFS($D$6:D1731,"&lt;&gt;"&amp;"")</f>
        <v>1726</v>
      </c>
      <c r="D1731" s="73" t="s">
        <v>12</v>
      </c>
      <c r="E1731" s="76" t="str">
        <f aca="false">
IF($D1731="정상",INDEX(임대자산!$D$3:$R$3000,MATCH($F1731,임대자산!$I$3:$I$3000,0),MATCH(E$3,임대자산!$D$3:$R$3,0)),
IF($D1731="폐업",INDEX(폐업정보!$D$3:$R$3000,MATCH($F1731,폐업정보!$I$3:$I$3000,0),MATCH(E$3,폐업정보!$D$3:$R$3,0)),
"Error"))</f>
        <v>강원</v>
      </c>
      <c r="F173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B1726</v>
      </c>
      <c r="G1731" s="76" t="str">
        <f aca="false">F1731&amp;RANDBETWEEN(0,10)</f>
        <v>B17267</v>
      </c>
      <c r="H1731" s="75" t="n">
        <f aca="false">
IF($D1731="정상",INDEX(임대자산!$D$3:$R$3000,MATCH($F1731,임대자산!$I$3:$I$3000,0),MATCH(H$4,임대자산!$D$3:$R$3,0)),
IF($D1731="폐업",INDEX(폐업정보!$D$3:$R$3000,MATCH($F1731,폐업정보!$I$3:$I$3000,0),MATCH(H$4,폐업정보!$D$3:$R$3,0)),
"Error"))</f>
        <v>45832</v>
      </c>
      <c r="I1731" s="75" t="str">
        <f aca="false">
IF($D1731="정상",INDEX(임대자산!$D$3:$R$3000,MATCH($F1731,임대자산!$I$3:$I$3000,0),MATCH(I$4,임대자산!$D$3:$R$3,0)),
IF($D1731="폐업",INDEX(폐업정보!$D$3:$R$3000,MATCH($F1731,폐업정보!$I$3:$I$3000,0),MATCH(I$4,폐업정보!$D$3:$R$3,0)),
"Error"))</f>
        <v>A1726</v>
      </c>
      <c r="J1731" s="75" t="str">
        <f aca="false">
IF($D1731="정상",INDEX(임대자산!$D$3:$R$3000,MATCH($F1731,임대자산!$I$3:$I$3000,0),MATCH(J$4,임대자산!$D$3:$R$3,0)),
IF($D1731="폐업",INDEX(폐업정보!$D$3:$R$3000,MATCH($F1731,폐업정보!$I$3:$I$3000,0),MATCH(J$4,폐업정보!$D$3:$R$3,0)),
"Error"))</f>
        <v>4661000000</v>
      </c>
      <c r="K1731" s="75" t="str">
        <f aca="false">
IF($D1731="정상",INDEX(임대자산!$D$3:$R$3000,MATCH($F1731,임대자산!$I$3:$I$3000,0),MATCH(K$4,임대자산!$D$3:$R$3,0)),
IF($D1731="폐업",INDEX(폐업정보!$D$3:$R$3000,MATCH($F1731,폐업정보!$I$3:$I$3000,0),MATCH(K$4,폐업정보!$D$3:$R$3,0)),
"Error"))</f>
        <v>C1726</v>
      </c>
      <c r="L1731" s="75" t="str">
        <f aca="false">
IF($D1731="정상",INDEX(임대자산!$D$3:$R$3000,MATCH($F1731,임대자산!$I$3:$I$3000,0),MATCH(L$4,임대자산!$D$3:$R$3,0)),
IF($D1731="폐업",INDEX(폐업정보!$D$3:$R$3000,MATCH($F1731,폐업정보!$I$3:$I$3000,0),MATCH(L$4,폐업정보!$D$3:$R$3,0)),
"Error"))</f>
        <v>D1726</v>
      </c>
      <c r="M1731" s="76" t="s">
        <v>96</v>
      </c>
      <c r="N1731" s="77"/>
      <c r="O1731" s="78" t="s">
        <v>97</v>
      </c>
      <c r="P1731" s="79" t="n">
        <f aca="false">COUNTIFS(임대자산!$I:$I,가맹점정보!F1731,임대자산!$N:$N,가맹점정보!P$4)</f>
        <v>0</v>
      </c>
      <c r="Q1731" s="80" t="n">
        <f aca="false">COUNTIFS(임대자산!$I:$I,가맹점정보!F1731,임대자산!$N:$N,가맹점정보!Q$4)</f>
        <v>0</v>
      </c>
      <c r="R1731" s="81" t="n">
        <f aca="false">COUNTIFS(임대자산!$I:$I,가맹점정보!F1731,임대자산!$N:$N,가맹점정보!R$4)</f>
        <v>1</v>
      </c>
      <c r="S1731" s="82" t="n">
        <v>88000</v>
      </c>
      <c r="T1731" s="83" t="n">
        <v>0</v>
      </c>
      <c r="U1731" s="80" t="n">
        <f aca="false">SUM(S1731:T1731)</f>
        <v>88000</v>
      </c>
      <c r="V1731" s="84" t="s">
        <v>7</v>
      </c>
      <c r="W1731" s="80" t="str">
        <f aca="true">
IF(D1731="폐업","폐업",
IF(V1731="면제","면제",
IF(AND(V1731="정상",COUNTIFS(OFFSET(Y1731,0,COUNTA(Y1731:AV1731)-1,1,-4),"미납")&gt;=3),"장기미납",
IF(AND(V1731="정상",OFFSET(Y1731,0,COUNTA(Y1731:AV1731)-1)&gt;=U1731),"정상",
IF(AND(V1731="정상",OFFSET(Y1731,0,COUNTA(Y1731:AV1731)-1)=0),"정상",
"계약서 미작성")))))</f>
        <v>면제</v>
      </c>
      <c r="X1731" s="81" t="str">
        <f aca="true">
IF(D1731="폐업","폐업",
IF(AND(V1731="정상",OFFSET(Y1731,0,COUNTA(Y1731:AV1731)-1)="미납"),"미납",
IF(AND(V1731="정상",OFFSET(Y1731,0,COUNTA(Y1731:AV1731)-1)=0),"납부 시작 전",
IF(AND(V1731="정상",OFFSET(Y1731,0,COUNTA(Y1731:AV1731)-1)&gt;=U1731),"정상",
IF(AND(V1731="면제",OFFSET(Y1731,0,COUNTA(Y1731:AV1731)-1)="면제"),"면제",
IF(AND(V1731="면제",OFFSET(Y1731,0,COUNTA(Y1731:AV1731)-1)=0),"면제",
"확인요청"))))))</f>
        <v>면제</v>
      </c>
      <c r="Y1731" s="94" t="s">
        <v>7</v>
      </c>
      <c r="Z1731" s="95" t="s">
        <v>7</v>
      </c>
      <c r="AA1731" s="95" t="s">
        <v>7</v>
      </c>
      <c r="AB1731" s="95" t="s">
        <v>7</v>
      </c>
      <c r="AC1731" s="95" t="s">
        <v>7</v>
      </c>
      <c r="AD1731" s="95" t="s">
        <v>7</v>
      </c>
      <c r="AE1731" s="95" t="s">
        <v>7</v>
      </c>
      <c r="AF1731" s="95" t="s">
        <v>7</v>
      </c>
      <c r="AG1731" s="95" t="s">
        <v>7</v>
      </c>
      <c r="AH1731" s="95" t="s">
        <v>7</v>
      </c>
      <c r="AI1731" s="95" t="s">
        <v>7</v>
      </c>
      <c r="AJ1731" s="96" t="s">
        <v>7</v>
      </c>
      <c r="AK1731" s="97" t="s">
        <v>7</v>
      </c>
      <c r="AL1731" s="95" t="s">
        <v>7</v>
      </c>
      <c r="AM1731" s="90"/>
      <c r="AN1731" s="90"/>
      <c r="AO1731" s="90"/>
      <c r="AP1731" s="90"/>
      <c r="AQ1731" s="90"/>
      <c r="AR1731" s="90"/>
      <c r="AS1731" s="90"/>
      <c r="AT1731" s="90"/>
      <c r="AU1731" s="90"/>
      <c r="AV1731" s="91"/>
      <c r="AX1731" s="92"/>
    </row>
    <row r="1732" customFormat="false" ht="15.65" hidden="false" customHeight="false" outlineLevel="0" collapsed="false">
      <c r="C1732" s="72" t="n">
        <f aca="false">COUNTIFS($D$6:D1732,"&lt;&gt;"&amp;"")</f>
        <v>1727</v>
      </c>
      <c r="D1732" s="73" t="s">
        <v>12</v>
      </c>
      <c r="E1732" s="76" t="str">
        <f aca="false">
IF($D1732="정상",INDEX(임대자산!$D$3:$R$3000,MATCH($F1732,임대자산!$I$3:$I$3000,0),MATCH(E$3,임대자산!$D$3:$R$3,0)),
IF($D1732="폐업",INDEX(폐업정보!$D$3:$R$3000,MATCH($F1732,폐업정보!$I$3:$I$3000,0),MATCH(E$3,폐업정보!$D$3:$R$3,0)),
"Error"))</f>
        <v>서울</v>
      </c>
      <c r="F173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B1727</v>
      </c>
      <c r="G1732" s="76" t="str">
        <f aca="false">F1732&amp;RANDBETWEEN(0,10)</f>
        <v>B17279</v>
      </c>
      <c r="H1732" s="75" t="n">
        <f aca="false">
IF($D1732="정상",INDEX(임대자산!$D$3:$R$3000,MATCH($F1732,임대자산!$I$3:$I$3000,0),MATCH(H$4,임대자산!$D$3:$R$3,0)),
IF($D1732="폐업",INDEX(폐업정보!$D$3:$R$3000,MATCH($F1732,폐업정보!$I$3:$I$3000,0),MATCH(H$4,폐업정보!$D$3:$R$3,0)),
"Error"))</f>
        <v>45833</v>
      </c>
      <c r="I1732" s="75" t="str">
        <f aca="false">
IF($D1732="정상",INDEX(임대자산!$D$3:$R$3000,MATCH($F1732,임대자산!$I$3:$I$3000,0),MATCH(I$4,임대자산!$D$3:$R$3,0)),
IF($D1732="폐업",INDEX(폐업정보!$D$3:$R$3000,MATCH($F1732,폐업정보!$I$3:$I$3000,0),MATCH(I$4,폐업정보!$D$3:$R$3,0)),
"Error"))</f>
        <v>A1727</v>
      </c>
      <c r="J1732" s="75" t="str">
        <f aca="false">
IF($D1732="정상",INDEX(임대자산!$D$3:$R$3000,MATCH($F1732,임대자산!$I$3:$I$3000,0),MATCH(J$4,임대자산!$D$3:$R$3,0)),
IF($D1732="폐업",INDEX(폐업정보!$D$3:$R$3000,MATCH($F1732,폐업정보!$I$3:$I$3000,0),MATCH(J$4,폐업정보!$D$3:$R$3,0)),
"Error"))</f>
        <v>9970800000</v>
      </c>
      <c r="K1732" s="75" t="str">
        <f aca="false">
IF($D1732="정상",INDEX(임대자산!$D$3:$R$3000,MATCH($F1732,임대자산!$I$3:$I$3000,0),MATCH(K$4,임대자산!$D$3:$R$3,0)),
IF($D1732="폐업",INDEX(폐업정보!$D$3:$R$3000,MATCH($F1732,폐업정보!$I$3:$I$3000,0),MATCH(K$4,폐업정보!$D$3:$R$3,0)),
"Error"))</f>
        <v>C1727</v>
      </c>
      <c r="L1732" s="75" t="str">
        <f aca="false">
IF($D1732="정상",INDEX(임대자산!$D$3:$R$3000,MATCH($F1732,임대자산!$I$3:$I$3000,0),MATCH(L$4,임대자산!$D$3:$R$3,0)),
IF($D1732="폐업",INDEX(폐업정보!$D$3:$R$3000,MATCH($F1732,폐업정보!$I$3:$I$3000,0),MATCH(L$4,폐업정보!$D$3:$R$3,0)),
"Error"))</f>
        <v>D1727</v>
      </c>
      <c r="M1732" s="76" t="s">
        <v>96</v>
      </c>
      <c r="N1732" s="77"/>
      <c r="O1732" s="78" t="s">
        <v>97</v>
      </c>
      <c r="P1732" s="79" t="n">
        <f aca="false">COUNTIFS(임대자산!$I:$I,가맹점정보!F1732,임대자산!$N:$N,가맹점정보!P$4)</f>
        <v>0</v>
      </c>
      <c r="Q1732" s="80" t="n">
        <f aca="false">COUNTIFS(임대자산!$I:$I,가맹점정보!F1732,임대자산!$N:$N,가맹점정보!Q$4)</f>
        <v>0</v>
      </c>
      <c r="R1732" s="81" t="n">
        <f aca="false">COUNTIFS(임대자산!$I:$I,가맹점정보!F1732,임대자산!$N:$N,가맹점정보!R$4)</f>
        <v>1</v>
      </c>
      <c r="S1732" s="82" t="n">
        <v>88000</v>
      </c>
      <c r="T1732" s="83" t="n">
        <v>0</v>
      </c>
      <c r="U1732" s="80" t="n">
        <f aca="false">SUM(S1732:T1732)</f>
        <v>88000</v>
      </c>
      <c r="V1732" s="84" t="s">
        <v>7</v>
      </c>
      <c r="W1732" s="80" t="str">
        <f aca="true">
IF(D1732="폐업","폐업",
IF(V1732="면제","면제",
IF(AND(V1732="정상",COUNTIFS(OFFSET(Y1732,0,COUNTA(Y1732:AV1732)-1,1,-4),"미납")&gt;=3),"장기미납",
IF(AND(V1732="정상",OFFSET(Y1732,0,COUNTA(Y1732:AV1732)-1)&gt;=U1732),"정상",
IF(AND(V1732="정상",OFFSET(Y1732,0,COUNTA(Y1732:AV1732)-1)=0),"정상",
"계약서 미작성")))))</f>
        <v>면제</v>
      </c>
      <c r="X1732" s="81" t="str">
        <f aca="true">
IF(D1732="폐업","폐업",
IF(AND(V1732="정상",OFFSET(Y1732,0,COUNTA(Y1732:AV1732)-1)="미납"),"미납",
IF(AND(V1732="정상",OFFSET(Y1732,0,COUNTA(Y1732:AV1732)-1)=0),"납부 시작 전",
IF(AND(V1732="정상",OFFSET(Y1732,0,COUNTA(Y1732:AV1732)-1)&gt;=U1732),"정상",
IF(AND(V1732="면제",OFFSET(Y1732,0,COUNTA(Y1732:AV1732)-1)="면제"),"면제",
IF(AND(V1732="면제",OFFSET(Y1732,0,COUNTA(Y1732:AV1732)-1)=0),"면제",
"확인요청"))))))</f>
        <v>면제</v>
      </c>
      <c r="Y1732" s="94" t="s">
        <v>7</v>
      </c>
      <c r="Z1732" s="95" t="s">
        <v>7</v>
      </c>
      <c r="AA1732" s="95" t="s">
        <v>7</v>
      </c>
      <c r="AB1732" s="95" t="s">
        <v>7</v>
      </c>
      <c r="AC1732" s="95" t="s">
        <v>7</v>
      </c>
      <c r="AD1732" s="95" t="s">
        <v>7</v>
      </c>
      <c r="AE1732" s="95" t="s">
        <v>7</v>
      </c>
      <c r="AF1732" s="95" t="s">
        <v>7</v>
      </c>
      <c r="AG1732" s="95" t="s">
        <v>7</v>
      </c>
      <c r="AH1732" s="95" t="s">
        <v>7</v>
      </c>
      <c r="AI1732" s="95" t="s">
        <v>7</v>
      </c>
      <c r="AJ1732" s="96" t="s">
        <v>7</v>
      </c>
      <c r="AK1732" s="97" t="s">
        <v>7</v>
      </c>
      <c r="AL1732" s="95" t="s">
        <v>7</v>
      </c>
      <c r="AM1732" s="90"/>
      <c r="AN1732" s="90"/>
      <c r="AO1732" s="90"/>
      <c r="AP1732" s="90"/>
      <c r="AQ1732" s="90"/>
      <c r="AR1732" s="90"/>
      <c r="AS1732" s="90"/>
      <c r="AT1732" s="90"/>
      <c r="AU1732" s="90"/>
      <c r="AV1732" s="91"/>
      <c r="AX1732" s="92"/>
    </row>
    <row r="1733" customFormat="false" ht="15.65" hidden="false" customHeight="false" outlineLevel="0" collapsed="false">
      <c r="C1733" s="72" t="n">
        <f aca="false">COUNTIFS($D$6:D1733,"&lt;&gt;"&amp;"")</f>
        <v>1728</v>
      </c>
      <c r="D1733" s="73" t="s">
        <v>12</v>
      </c>
      <c r="E1733" s="76" t="str">
        <f aca="false">
IF($D1733="정상",INDEX(임대자산!$D$3:$R$3000,MATCH($F1733,임대자산!$I$3:$I$3000,0),MATCH(E$3,임대자산!$D$3:$R$3,0)),
IF($D1733="폐업",INDEX(폐업정보!$D$3:$R$3000,MATCH($F1733,폐업정보!$I$3:$I$3000,0),MATCH(E$3,폐업정보!$D$3:$R$3,0)),
"Error"))</f>
        <v>서울</v>
      </c>
      <c r="F173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B1728</v>
      </c>
      <c r="G1733" s="76" t="str">
        <f aca="false">F1733&amp;RANDBETWEEN(0,10)</f>
        <v>B17283</v>
      </c>
      <c r="H1733" s="75" t="n">
        <f aca="false">
IF($D1733="정상",INDEX(임대자산!$D$3:$R$3000,MATCH($F1733,임대자산!$I$3:$I$3000,0),MATCH(H$4,임대자산!$D$3:$R$3,0)),
IF($D1733="폐업",INDEX(폐업정보!$D$3:$R$3000,MATCH($F1733,폐업정보!$I$3:$I$3000,0),MATCH(H$4,폐업정보!$D$3:$R$3,0)),
"Error"))</f>
        <v>45833</v>
      </c>
      <c r="I1733" s="75" t="str">
        <f aca="false">
IF($D1733="정상",INDEX(임대자산!$D$3:$R$3000,MATCH($F1733,임대자산!$I$3:$I$3000,0),MATCH(I$4,임대자산!$D$3:$R$3,0)),
IF($D1733="폐업",INDEX(폐업정보!$D$3:$R$3000,MATCH($F1733,폐업정보!$I$3:$I$3000,0),MATCH(I$4,폐업정보!$D$3:$R$3,0)),
"Error"))</f>
        <v>A1728</v>
      </c>
      <c r="J1733" s="75" t="str">
        <f aca="false">
IF($D1733="정상",INDEX(임대자산!$D$3:$R$3000,MATCH($F1733,임대자산!$I$3:$I$3000,0),MATCH(J$4,임대자산!$D$3:$R$3,0)),
IF($D1733="폐업",INDEX(폐업정보!$D$3:$R$3000,MATCH($F1733,폐업정보!$I$3:$I$3000,0),MATCH(J$4,폐업정보!$D$3:$R$3,0)),
"Error"))</f>
        <v>7164600000</v>
      </c>
      <c r="K1733" s="75" t="str">
        <f aca="false">
IF($D1733="정상",INDEX(임대자산!$D$3:$R$3000,MATCH($F1733,임대자산!$I$3:$I$3000,0),MATCH(K$4,임대자산!$D$3:$R$3,0)),
IF($D1733="폐업",INDEX(폐업정보!$D$3:$R$3000,MATCH($F1733,폐업정보!$I$3:$I$3000,0),MATCH(K$4,폐업정보!$D$3:$R$3,0)),
"Error"))</f>
        <v>C1728</v>
      </c>
      <c r="L1733" s="75" t="str">
        <f aca="false">
IF($D1733="정상",INDEX(임대자산!$D$3:$R$3000,MATCH($F1733,임대자산!$I$3:$I$3000,0),MATCH(L$4,임대자산!$D$3:$R$3,0)),
IF($D1733="폐업",INDEX(폐업정보!$D$3:$R$3000,MATCH($F1733,폐업정보!$I$3:$I$3000,0),MATCH(L$4,폐업정보!$D$3:$R$3,0)),
"Error"))</f>
        <v>D1728</v>
      </c>
      <c r="M1733" s="76" t="s">
        <v>96</v>
      </c>
      <c r="N1733" s="77"/>
      <c r="O1733" s="78" t="s">
        <v>97</v>
      </c>
      <c r="P1733" s="79" t="n">
        <f aca="false">COUNTIFS(임대자산!$I:$I,가맹점정보!F1733,임대자산!$N:$N,가맹점정보!P$4)</f>
        <v>0</v>
      </c>
      <c r="Q1733" s="80" t="n">
        <f aca="false">COUNTIFS(임대자산!$I:$I,가맹점정보!F1733,임대자산!$N:$N,가맹점정보!Q$4)</f>
        <v>0</v>
      </c>
      <c r="R1733" s="81" t="n">
        <f aca="false">COUNTIFS(임대자산!$I:$I,가맹점정보!F1733,임대자산!$N:$N,가맹점정보!R$4)</f>
        <v>1</v>
      </c>
      <c r="S1733" s="82" t="n">
        <v>88000</v>
      </c>
      <c r="T1733" s="83" t="n">
        <v>0</v>
      </c>
      <c r="U1733" s="80" t="n">
        <f aca="false">SUM(S1733:T1733)</f>
        <v>88000</v>
      </c>
      <c r="V1733" s="84" t="s">
        <v>7</v>
      </c>
      <c r="W1733" s="80" t="str">
        <f aca="true">
IF(D1733="폐업","폐업",
IF(V1733="면제","면제",
IF(AND(V1733="정상",COUNTIFS(OFFSET(Y1733,0,COUNTA(Y1733:AV1733)-1,1,-4),"미납")&gt;=3),"장기미납",
IF(AND(V1733="정상",OFFSET(Y1733,0,COUNTA(Y1733:AV1733)-1)&gt;=U1733),"정상",
IF(AND(V1733="정상",OFFSET(Y1733,0,COUNTA(Y1733:AV1733)-1)=0),"정상",
"계약서 미작성")))))</f>
        <v>면제</v>
      </c>
      <c r="X1733" s="81" t="str">
        <f aca="true">
IF(D1733="폐업","폐업",
IF(AND(V1733="정상",OFFSET(Y1733,0,COUNTA(Y1733:AV1733)-1)="미납"),"미납",
IF(AND(V1733="정상",OFFSET(Y1733,0,COUNTA(Y1733:AV1733)-1)=0),"납부 시작 전",
IF(AND(V1733="정상",OFFSET(Y1733,0,COUNTA(Y1733:AV1733)-1)&gt;=U1733),"정상",
IF(AND(V1733="면제",OFFSET(Y1733,0,COUNTA(Y1733:AV1733)-1)="면제"),"면제",
IF(AND(V1733="면제",OFFSET(Y1733,0,COUNTA(Y1733:AV1733)-1)=0),"면제",
"확인요청"))))))</f>
        <v>면제</v>
      </c>
      <c r="Y1733" s="94" t="s">
        <v>7</v>
      </c>
      <c r="Z1733" s="95" t="s">
        <v>7</v>
      </c>
      <c r="AA1733" s="95" t="s">
        <v>7</v>
      </c>
      <c r="AB1733" s="95" t="s">
        <v>7</v>
      </c>
      <c r="AC1733" s="95" t="s">
        <v>7</v>
      </c>
      <c r="AD1733" s="95" t="s">
        <v>7</v>
      </c>
      <c r="AE1733" s="95" t="s">
        <v>7</v>
      </c>
      <c r="AF1733" s="95" t="s">
        <v>7</v>
      </c>
      <c r="AG1733" s="95" t="s">
        <v>7</v>
      </c>
      <c r="AH1733" s="95" t="s">
        <v>7</v>
      </c>
      <c r="AI1733" s="95" t="s">
        <v>7</v>
      </c>
      <c r="AJ1733" s="96" t="s">
        <v>7</v>
      </c>
      <c r="AK1733" s="97" t="s">
        <v>7</v>
      </c>
      <c r="AL1733" s="95" t="s">
        <v>7</v>
      </c>
      <c r="AM1733" s="90"/>
      <c r="AN1733" s="90"/>
      <c r="AO1733" s="90"/>
      <c r="AP1733" s="90"/>
      <c r="AQ1733" s="90"/>
      <c r="AR1733" s="90"/>
      <c r="AS1733" s="90"/>
      <c r="AT1733" s="90"/>
      <c r="AU1733" s="90"/>
      <c r="AV1733" s="91"/>
      <c r="AX1733" s="92"/>
    </row>
    <row r="1734" customFormat="false" ht="15.65" hidden="false" customHeight="false" outlineLevel="0" collapsed="false">
      <c r="C1734" s="72" t="n">
        <f aca="false">COUNTIFS($D$6:D1734,"&lt;&gt;"&amp;"")</f>
        <v>1729</v>
      </c>
      <c r="D1734" s="73" t="s">
        <v>12</v>
      </c>
      <c r="E1734" s="76" t="str">
        <f aca="false">
IF($D1734="정상",INDEX(임대자산!$D$3:$R$3000,MATCH($F1734,임대자산!$I$3:$I$3000,0),MATCH(E$3,임대자산!$D$3:$R$3,0)),
IF($D1734="폐업",INDEX(폐업정보!$D$3:$R$3000,MATCH($F1734,폐업정보!$I$3:$I$3000,0),MATCH(E$3,폐업정보!$D$3:$R$3,0)),
"Error"))</f>
        <v>서울</v>
      </c>
      <c r="F173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B1729</v>
      </c>
      <c r="G1734" s="76" t="str">
        <f aca="false">F1734&amp;RANDBETWEEN(0,10)</f>
        <v>B172910</v>
      </c>
      <c r="H1734" s="75" t="n">
        <f aca="false">
IF($D1734="정상",INDEX(임대자산!$D$3:$R$3000,MATCH($F1734,임대자산!$I$3:$I$3000,0),MATCH(H$4,임대자산!$D$3:$R$3,0)),
IF($D1734="폐업",INDEX(폐업정보!$D$3:$R$3000,MATCH($F1734,폐업정보!$I$3:$I$3000,0),MATCH(H$4,폐업정보!$D$3:$R$3,0)),
"Error"))</f>
        <v>45834</v>
      </c>
      <c r="I1734" s="75" t="str">
        <f aca="false">
IF($D1734="정상",INDEX(임대자산!$D$3:$R$3000,MATCH($F1734,임대자산!$I$3:$I$3000,0),MATCH(I$4,임대자산!$D$3:$R$3,0)),
IF($D1734="폐업",INDEX(폐업정보!$D$3:$R$3000,MATCH($F1734,폐업정보!$I$3:$I$3000,0),MATCH(I$4,폐업정보!$D$3:$R$3,0)),
"Error"))</f>
        <v>A1729</v>
      </c>
      <c r="J1734" s="75" t="str">
        <f aca="false">
IF($D1734="정상",INDEX(임대자산!$D$3:$R$3000,MATCH($F1734,임대자산!$I$3:$I$3000,0),MATCH(J$4,임대자산!$D$3:$R$3,0)),
IF($D1734="폐업",INDEX(폐업정보!$D$3:$R$3000,MATCH($F1734,폐업정보!$I$3:$I$3000,0),MATCH(J$4,폐업정보!$D$3:$R$3,0)),
"Error"))</f>
        <v>7316500000</v>
      </c>
      <c r="K1734" s="75" t="str">
        <f aca="false">
IF($D1734="정상",INDEX(임대자산!$D$3:$R$3000,MATCH($F1734,임대자산!$I$3:$I$3000,0),MATCH(K$4,임대자산!$D$3:$R$3,0)),
IF($D1734="폐업",INDEX(폐업정보!$D$3:$R$3000,MATCH($F1734,폐업정보!$I$3:$I$3000,0),MATCH(K$4,폐업정보!$D$3:$R$3,0)),
"Error"))</f>
        <v>C1729</v>
      </c>
      <c r="L1734" s="75" t="str">
        <f aca="false">
IF($D1734="정상",INDEX(임대자산!$D$3:$R$3000,MATCH($F1734,임대자산!$I$3:$I$3000,0),MATCH(L$4,임대자산!$D$3:$R$3,0)),
IF($D1734="폐업",INDEX(폐업정보!$D$3:$R$3000,MATCH($F1734,폐업정보!$I$3:$I$3000,0),MATCH(L$4,폐업정보!$D$3:$R$3,0)),
"Error"))</f>
        <v>D1729</v>
      </c>
      <c r="M1734" s="76" t="s">
        <v>96</v>
      </c>
      <c r="N1734" s="77"/>
      <c r="O1734" s="78" t="s">
        <v>97</v>
      </c>
      <c r="P1734" s="79" t="n">
        <f aca="false">COUNTIFS(임대자산!$I:$I,가맹점정보!F1734,임대자산!$N:$N,가맹점정보!P$4)</f>
        <v>0</v>
      </c>
      <c r="Q1734" s="80" t="n">
        <f aca="false">COUNTIFS(임대자산!$I:$I,가맹점정보!F1734,임대자산!$N:$N,가맹점정보!Q$4)</f>
        <v>0</v>
      </c>
      <c r="R1734" s="81" t="n">
        <f aca="false">COUNTIFS(임대자산!$I:$I,가맹점정보!F1734,임대자산!$N:$N,가맹점정보!R$4)</f>
        <v>1</v>
      </c>
      <c r="S1734" s="82" t="n">
        <v>88000</v>
      </c>
      <c r="T1734" s="83" t="n">
        <v>0</v>
      </c>
      <c r="U1734" s="80" t="n">
        <f aca="false">SUM(S1734:T1734)</f>
        <v>88000</v>
      </c>
      <c r="V1734" s="84" t="s">
        <v>7</v>
      </c>
      <c r="W1734" s="80" t="str">
        <f aca="true">
IF(D1734="폐업","폐업",
IF(V1734="면제","면제",
IF(AND(V1734="정상",COUNTIFS(OFFSET(Y1734,0,COUNTA(Y1734:AV1734)-1,1,-4),"미납")&gt;=3),"장기미납",
IF(AND(V1734="정상",OFFSET(Y1734,0,COUNTA(Y1734:AV1734)-1)&gt;=U1734),"정상",
IF(AND(V1734="정상",OFFSET(Y1734,0,COUNTA(Y1734:AV1734)-1)=0),"정상",
"계약서 미작성")))))</f>
        <v>면제</v>
      </c>
      <c r="X1734" s="81" t="str">
        <f aca="true">
IF(D1734="폐업","폐업",
IF(AND(V1734="정상",OFFSET(Y1734,0,COUNTA(Y1734:AV1734)-1)="미납"),"미납",
IF(AND(V1734="정상",OFFSET(Y1734,0,COUNTA(Y1734:AV1734)-1)=0),"납부 시작 전",
IF(AND(V1734="정상",OFFSET(Y1734,0,COUNTA(Y1734:AV1734)-1)&gt;=U1734),"정상",
IF(AND(V1734="면제",OFFSET(Y1734,0,COUNTA(Y1734:AV1734)-1)="면제"),"면제",
IF(AND(V1734="면제",OFFSET(Y1734,0,COUNTA(Y1734:AV1734)-1)=0),"면제",
"확인요청"))))))</f>
        <v>면제</v>
      </c>
      <c r="Y1734" s="94" t="s">
        <v>7</v>
      </c>
      <c r="Z1734" s="95" t="s">
        <v>7</v>
      </c>
      <c r="AA1734" s="95" t="s">
        <v>7</v>
      </c>
      <c r="AB1734" s="95" t="s">
        <v>7</v>
      </c>
      <c r="AC1734" s="95" t="s">
        <v>7</v>
      </c>
      <c r="AD1734" s="95" t="s">
        <v>7</v>
      </c>
      <c r="AE1734" s="95" t="s">
        <v>7</v>
      </c>
      <c r="AF1734" s="95" t="s">
        <v>7</v>
      </c>
      <c r="AG1734" s="95" t="s">
        <v>7</v>
      </c>
      <c r="AH1734" s="95" t="s">
        <v>7</v>
      </c>
      <c r="AI1734" s="95" t="s">
        <v>7</v>
      </c>
      <c r="AJ1734" s="96" t="s">
        <v>7</v>
      </c>
      <c r="AK1734" s="97" t="s">
        <v>7</v>
      </c>
      <c r="AL1734" s="95" t="s">
        <v>7</v>
      </c>
      <c r="AM1734" s="90"/>
      <c r="AN1734" s="90"/>
      <c r="AO1734" s="90"/>
      <c r="AP1734" s="90"/>
      <c r="AQ1734" s="90"/>
      <c r="AR1734" s="90"/>
      <c r="AS1734" s="90"/>
      <c r="AT1734" s="90"/>
      <c r="AU1734" s="90"/>
      <c r="AV1734" s="91"/>
      <c r="AX1734" s="92"/>
    </row>
    <row r="1735" customFormat="false" ht="15.65" hidden="false" customHeight="false" outlineLevel="0" collapsed="false">
      <c r="C1735" s="72" t="n">
        <f aca="false">COUNTIFS($D$6:D1735,"&lt;&gt;"&amp;"")</f>
        <v>1730</v>
      </c>
      <c r="D1735" s="73" t="s">
        <v>12</v>
      </c>
      <c r="E1735" s="76" t="str">
        <f aca="false">
IF($D1735="정상",INDEX(임대자산!$D$3:$R$3000,MATCH($F1735,임대자산!$I$3:$I$3000,0),MATCH(E$3,임대자산!$D$3:$R$3,0)),
IF($D1735="폐업",INDEX(폐업정보!$D$3:$R$3000,MATCH($F1735,폐업정보!$I$3:$I$3000,0),MATCH(E$3,폐업정보!$D$3:$R$3,0)),
"Error"))</f>
        <v>경상</v>
      </c>
      <c r="F173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B1730</v>
      </c>
      <c r="G1735" s="76" t="str">
        <f aca="false">F1735&amp;RANDBETWEEN(0,10)</f>
        <v>B17305</v>
      </c>
      <c r="H1735" s="75" t="n">
        <f aca="false">
IF($D1735="정상",INDEX(임대자산!$D$3:$R$3000,MATCH($F1735,임대자산!$I$3:$I$3000,0),MATCH(H$4,임대자산!$D$3:$R$3,0)),
IF($D1735="폐업",INDEX(폐업정보!$D$3:$R$3000,MATCH($F1735,폐업정보!$I$3:$I$3000,0),MATCH(H$4,폐업정보!$D$3:$R$3,0)),
"Error"))</f>
        <v>45832</v>
      </c>
      <c r="I1735" s="75" t="str">
        <f aca="false">
IF($D1735="정상",INDEX(임대자산!$D$3:$R$3000,MATCH($F1735,임대자산!$I$3:$I$3000,0),MATCH(I$4,임대자산!$D$3:$R$3,0)),
IF($D1735="폐업",INDEX(폐업정보!$D$3:$R$3000,MATCH($F1735,폐업정보!$I$3:$I$3000,0),MATCH(I$4,폐업정보!$D$3:$R$3,0)),
"Error"))</f>
        <v>A1730</v>
      </c>
      <c r="J1735" s="75" t="str">
        <f aca="false">
IF($D1735="정상",INDEX(임대자산!$D$3:$R$3000,MATCH($F1735,임대자산!$I$3:$I$3000,0),MATCH(J$4,임대자산!$D$3:$R$3,0)),
IF($D1735="폐업",INDEX(폐업정보!$D$3:$R$3000,MATCH($F1735,폐업정보!$I$3:$I$3000,0),MATCH(J$4,폐업정보!$D$3:$R$3,0)),
"Error"))</f>
        <v>5991200000</v>
      </c>
      <c r="K1735" s="75" t="str">
        <f aca="false">
IF($D1735="정상",INDEX(임대자산!$D$3:$R$3000,MATCH($F1735,임대자산!$I$3:$I$3000,0),MATCH(K$4,임대자산!$D$3:$R$3,0)),
IF($D1735="폐업",INDEX(폐업정보!$D$3:$R$3000,MATCH($F1735,폐업정보!$I$3:$I$3000,0),MATCH(K$4,폐업정보!$D$3:$R$3,0)),
"Error"))</f>
        <v>C1730</v>
      </c>
      <c r="L1735" s="75" t="str">
        <f aca="false">
IF($D1735="정상",INDEX(임대자산!$D$3:$R$3000,MATCH($F1735,임대자산!$I$3:$I$3000,0),MATCH(L$4,임대자산!$D$3:$R$3,0)),
IF($D1735="폐업",INDEX(폐업정보!$D$3:$R$3000,MATCH($F1735,폐업정보!$I$3:$I$3000,0),MATCH(L$4,폐업정보!$D$3:$R$3,0)),
"Error"))</f>
        <v>D1730</v>
      </c>
      <c r="M1735" s="76" t="s">
        <v>96</v>
      </c>
      <c r="N1735" s="77"/>
      <c r="O1735" s="78" t="s">
        <v>97</v>
      </c>
      <c r="P1735" s="79" t="n">
        <f aca="false">COUNTIFS(임대자산!$I:$I,가맹점정보!F1735,임대자산!$N:$N,가맹점정보!P$4)</f>
        <v>0</v>
      </c>
      <c r="Q1735" s="80" t="n">
        <f aca="false">COUNTIFS(임대자산!$I:$I,가맹점정보!F1735,임대자산!$N:$N,가맹점정보!Q$4)</f>
        <v>0</v>
      </c>
      <c r="R1735" s="81" t="n">
        <f aca="false">COUNTIFS(임대자산!$I:$I,가맹점정보!F1735,임대자산!$N:$N,가맹점정보!R$4)</f>
        <v>1</v>
      </c>
      <c r="S1735" s="82" t="n">
        <v>55000</v>
      </c>
      <c r="T1735" s="83" t="n">
        <v>0</v>
      </c>
      <c r="U1735" s="80" t="n">
        <f aca="false">SUM(S1735:T1735)</f>
        <v>55000</v>
      </c>
      <c r="V1735" s="84" t="s">
        <v>7</v>
      </c>
      <c r="W1735" s="80" t="str">
        <f aca="true">
IF(D1735="폐업","폐업",
IF(V1735="면제","면제",
IF(AND(V1735="정상",COUNTIFS(OFFSET(Y1735,0,COUNTA(Y1735:AV1735)-1,1,-4),"미납")&gt;=3),"장기미납",
IF(AND(V1735="정상",OFFSET(Y1735,0,COUNTA(Y1735:AV1735)-1)&gt;=U1735),"정상",
IF(AND(V1735="정상",OFFSET(Y1735,0,COUNTA(Y1735:AV1735)-1)=0),"정상",
"계약서 미작성")))))</f>
        <v>면제</v>
      </c>
      <c r="X1735" s="81" t="str">
        <f aca="true">
IF(D1735="폐업","폐업",
IF(AND(V1735="정상",OFFSET(Y1735,0,COUNTA(Y1735:AV1735)-1)="미납"),"미납",
IF(AND(V1735="정상",OFFSET(Y1735,0,COUNTA(Y1735:AV1735)-1)=0),"납부 시작 전",
IF(AND(V1735="정상",OFFSET(Y1735,0,COUNTA(Y1735:AV1735)-1)&gt;=U1735),"정상",
IF(AND(V1735="면제",OFFSET(Y1735,0,COUNTA(Y1735:AV1735)-1)="면제"),"면제",
IF(AND(V1735="면제",OFFSET(Y1735,0,COUNTA(Y1735:AV1735)-1)=0),"면제",
"확인요청"))))))</f>
        <v>면제</v>
      </c>
      <c r="Y1735" s="94" t="s">
        <v>7</v>
      </c>
      <c r="Z1735" s="95" t="s">
        <v>7</v>
      </c>
      <c r="AA1735" s="95" t="s">
        <v>7</v>
      </c>
      <c r="AB1735" s="95" t="s">
        <v>7</v>
      </c>
      <c r="AC1735" s="95" t="s">
        <v>7</v>
      </c>
      <c r="AD1735" s="95" t="s">
        <v>7</v>
      </c>
      <c r="AE1735" s="95" t="s">
        <v>7</v>
      </c>
      <c r="AF1735" s="95" t="s">
        <v>7</v>
      </c>
      <c r="AG1735" s="95" t="s">
        <v>7</v>
      </c>
      <c r="AH1735" s="95" t="s">
        <v>7</v>
      </c>
      <c r="AI1735" s="95" t="s">
        <v>7</v>
      </c>
      <c r="AJ1735" s="96" t="s">
        <v>7</v>
      </c>
      <c r="AK1735" s="97" t="s">
        <v>7</v>
      </c>
      <c r="AL1735" s="95" t="s">
        <v>7</v>
      </c>
      <c r="AM1735" s="90"/>
      <c r="AN1735" s="90"/>
      <c r="AO1735" s="90"/>
      <c r="AP1735" s="90"/>
      <c r="AQ1735" s="90"/>
      <c r="AR1735" s="90"/>
      <c r="AS1735" s="90"/>
      <c r="AT1735" s="90"/>
      <c r="AU1735" s="90"/>
      <c r="AV1735" s="91"/>
      <c r="AX1735" s="92"/>
    </row>
    <row r="1736" customFormat="false" ht="15.65" hidden="false" customHeight="false" outlineLevel="0" collapsed="false">
      <c r="C1736" s="72" t="n">
        <f aca="false">COUNTIFS($D$6:D1736,"&lt;&gt;"&amp;"")</f>
        <v>1731</v>
      </c>
      <c r="D1736" s="73" t="s">
        <v>12</v>
      </c>
      <c r="E1736" s="76" t="str">
        <f aca="false">
IF($D1736="정상",INDEX(임대자산!$D$3:$R$3000,MATCH($F1736,임대자산!$I$3:$I$3000,0),MATCH(E$3,임대자산!$D$3:$R$3,0)),
IF($D1736="폐업",INDEX(폐업정보!$D$3:$R$3000,MATCH($F1736,폐업정보!$I$3:$I$3000,0),MATCH(E$3,폐업정보!$D$3:$R$3,0)),
"Error"))</f>
        <v>경상</v>
      </c>
      <c r="F173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B1731</v>
      </c>
      <c r="G1736" s="76" t="str">
        <f aca="false">F1736&amp;RANDBETWEEN(0,10)</f>
        <v>B17311</v>
      </c>
      <c r="H1736" s="75" t="n">
        <f aca="false">
IF($D1736="정상",INDEX(임대자산!$D$3:$R$3000,MATCH($F1736,임대자산!$I$3:$I$3000,0),MATCH(H$4,임대자산!$D$3:$R$3,0)),
IF($D1736="폐업",INDEX(폐업정보!$D$3:$R$3000,MATCH($F1736,폐업정보!$I$3:$I$3000,0),MATCH(H$4,폐업정보!$D$3:$R$3,0)),
"Error"))</f>
        <v>45832</v>
      </c>
      <c r="I1736" s="75" t="str">
        <f aca="false">
IF($D1736="정상",INDEX(임대자산!$D$3:$R$3000,MATCH($F1736,임대자산!$I$3:$I$3000,0),MATCH(I$4,임대자산!$D$3:$R$3,0)),
IF($D1736="폐업",INDEX(폐업정보!$D$3:$R$3000,MATCH($F1736,폐업정보!$I$3:$I$3000,0),MATCH(I$4,폐업정보!$D$3:$R$3,0)),
"Error"))</f>
        <v>A1731</v>
      </c>
      <c r="J1736" s="75" t="str">
        <f aca="false">
IF($D1736="정상",INDEX(임대자산!$D$3:$R$3000,MATCH($F1736,임대자산!$I$3:$I$3000,0),MATCH(J$4,임대자산!$D$3:$R$3,0)),
IF($D1736="폐업",INDEX(폐업정보!$D$3:$R$3000,MATCH($F1736,폐업정보!$I$3:$I$3000,0),MATCH(J$4,폐업정보!$D$3:$R$3,0)),
"Error"))</f>
        <v>2597800000</v>
      </c>
      <c r="K1736" s="75" t="str">
        <f aca="false">
IF($D1736="정상",INDEX(임대자산!$D$3:$R$3000,MATCH($F1736,임대자산!$I$3:$I$3000,0),MATCH(K$4,임대자산!$D$3:$R$3,0)),
IF($D1736="폐업",INDEX(폐업정보!$D$3:$R$3000,MATCH($F1736,폐업정보!$I$3:$I$3000,0),MATCH(K$4,폐업정보!$D$3:$R$3,0)),
"Error"))</f>
        <v>C1731</v>
      </c>
      <c r="L1736" s="75" t="str">
        <f aca="false">
IF($D1736="정상",INDEX(임대자산!$D$3:$R$3000,MATCH($F1736,임대자산!$I$3:$I$3000,0),MATCH(L$4,임대자산!$D$3:$R$3,0)),
IF($D1736="폐업",INDEX(폐업정보!$D$3:$R$3000,MATCH($F1736,폐업정보!$I$3:$I$3000,0),MATCH(L$4,폐업정보!$D$3:$R$3,0)),
"Error"))</f>
        <v>D1731</v>
      </c>
      <c r="M1736" s="76" t="s">
        <v>96</v>
      </c>
      <c r="N1736" s="77"/>
      <c r="O1736" s="78" t="s">
        <v>97</v>
      </c>
      <c r="P1736" s="79" t="n">
        <f aca="false">COUNTIFS(임대자산!$I:$I,가맹점정보!F1736,임대자산!$N:$N,가맹점정보!P$4)</f>
        <v>0</v>
      </c>
      <c r="Q1736" s="80" t="n">
        <f aca="false">COUNTIFS(임대자산!$I:$I,가맹점정보!F1736,임대자산!$N:$N,가맹점정보!Q$4)</f>
        <v>0</v>
      </c>
      <c r="R1736" s="81" t="n">
        <f aca="false">COUNTIFS(임대자산!$I:$I,가맹점정보!F1736,임대자산!$N:$N,가맹점정보!R$4)</f>
        <v>1</v>
      </c>
      <c r="S1736" s="82" t="n">
        <v>88000</v>
      </c>
      <c r="T1736" s="83" t="n">
        <v>0</v>
      </c>
      <c r="U1736" s="80" t="n">
        <f aca="false">SUM(S1736:T1736)</f>
        <v>88000</v>
      </c>
      <c r="V1736" s="84" t="s">
        <v>12</v>
      </c>
      <c r="W1736" s="80" t="e">
        <f aca="true">
IF(D1736="폐업","폐업",
IF(V1736="면제","면제",
IF(AND(V1736="정상",COUNTIFS(OFFSET(Y1736,0,COUNTA(Y1736:AV1736)-1,1,-4),"미납")&gt;=3),"장기미납",
IF(AND(V1736="정상",OFFSET(Y1736,0,COUNTA(Y1736:AV1736)-1)&gt;=U1736),"정상",
IF(AND(V1736="정상",OFFSET(Y1736,0,COUNTA(Y1736:AV1736)-1)=0),"정상",
"계약서 미작성")))))</f>
        <v>#VALUE!</v>
      </c>
      <c r="X1736" s="81" t="str">
        <f aca="true">
IF(D1736="폐업","폐업",
IF(AND(V1736="정상",OFFSET(Y1736,0,COUNTA(Y1736:AV1736)-1)="미납"),"미납",
IF(AND(V1736="정상",OFFSET(Y1736,0,COUNTA(Y1736:AV1736)-1)=0),"납부 시작 전",
IF(AND(V1736="정상",OFFSET(Y1736,0,COUNTA(Y1736:AV1736)-1)&gt;=U1736),"정상",
IF(AND(V1736="면제",OFFSET(Y1736,0,COUNTA(Y1736:AV1736)-1)="면제"),"면제",
IF(AND(V1736="면제",OFFSET(Y1736,0,COUNTA(Y1736:AV1736)-1)=0),"면제",
"확인요청"))))))</f>
        <v>정상</v>
      </c>
      <c r="Y1736" s="93" t="n">
        <v>88000</v>
      </c>
      <c r="Z1736" s="90" t="n">
        <v>88000</v>
      </c>
      <c r="AA1736" s="90" t="n">
        <v>88000</v>
      </c>
      <c r="AB1736" s="90" t="n">
        <v>88000</v>
      </c>
      <c r="AC1736" s="90" t="n">
        <v>88000</v>
      </c>
      <c r="AD1736" s="90" t="n">
        <v>88000</v>
      </c>
      <c r="AE1736" s="90" t="n">
        <v>88000</v>
      </c>
      <c r="AF1736" s="90" t="n">
        <v>88000</v>
      </c>
      <c r="AG1736" s="90" t="n">
        <v>88000</v>
      </c>
      <c r="AH1736" s="90" t="n">
        <v>88000</v>
      </c>
      <c r="AI1736" s="90" t="n">
        <v>88000</v>
      </c>
      <c r="AJ1736" s="91" t="n">
        <v>88000</v>
      </c>
      <c r="AK1736" s="89" t="n">
        <v>88000</v>
      </c>
      <c r="AL1736" s="90" t="n">
        <v>88000</v>
      </c>
      <c r="AM1736" s="90"/>
      <c r="AN1736" s="90"/>
      <c r="AO1736" s="90"/>
      <c r="AP1736" s="90"/>
      <c r="AQ1736" s="90"/>
      <c r="AR1736" s="90"/>
      <c r="AS1736" s="90"/>
      <c r="AT1736" s="90"/>
      <c r="AU1736" s="90"/>
      <c r="AV1736" s="91"/>
      <c r="AX1736" s="92"/>
    </row>
    <row r="1737" customFormat="false" ht="15.65" hidden="false" customHeight="false" outlineLevel="0" collapsed="false">
      <c r="C1737" s="72" t="n">
        <f aca="false">COUNTIFS($D$6:D1737,"&lt;&gt;"&amp;"")</f>
        <v>1732</v>
      </c>
      <c r="D1737" s="73" t="s">
        <v>12</v>
      </c>
      <c r="E1737" s="76" t="str">
        <f aca="false">
IF($D1737="정상",INDEX(임대자산!$D$3:$R$3000,MATCH($F1737,임대자산!$I$3:$I$3000,0),MATCH(E$3,임대자산!$D$3:$R$3,0)),
IF($D1737="폐업",INDEX(폐업정보!$D$3:$R$3000,MATCH($F1737,폐업정보!$I$3:$I$3000,0),MATCH(E$3,폐업정보!$D$3:$R$3,0)),
"Error"))</f>
        <v>전라</v>
      </c>
      <c r="F173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B1732</v>
      </c>
      <c r="G1737" s="76" t="str">
        <f aca="false">F1737&amp;RANDBETWEEN(0,10)</f>
        <v>B17329</v>
      </c>
      <c r="H1737" s="75" t="n">
        <f aca="false">
IF($D1737="정상",INDEX(임대자산!$D$3:$R$3000,MATCH($F1737,임대자산!$I$3:$I$3000,0),MATCH(H$4,임대자산!$D$3:$R$3,0)),
IF($D1737="폐업",INDEX(폐업정보!$D$3:$R$3000,MATCH($F1737,폐업정보!$I$3:$I$3000,0),MATCH(H$4,폐업정보!$D$3:$R$3,0)),
"Error"))</f>
        <v>45819</v>
      </c>
      <c r="I1737" s="75" t="str">
        <f aca="false">
IF($D1737="정상",INDEX(임대자산!$D$3:$R$3000,MATCH($F1737,임대자산!$I$3:$I$3000,0),MATCH(I$4,임대자산!$D$3:$R$3,0)),
IF($D1737="폐업",INDEX(폐업정보!$D$3:$R$3000,MATCH($F1737,폐업정보!$I$3:$I$3000,0),MATCH(I$4,폐업정보!$D$3:$R$3,0)),
"Error"))</f>
        <v>A1732</v>
      </c>
      <c r="J1737" s="75" t="str">
        <f aca="false">
IF($D1737="정상",INDEX(임대자산!$D$3:$R$3000,MATCH($F1737,임대자산!$I$3:$I$3000,0),MATCH(J$4,임대자산!$D$3:$R$3,0)),
IF($D1737="폐업",INDEX(폐업정보!$D$3:$R$3000,MATCH($F1737,폐업정보!$I$3:$I$3000,0),MATCH(J$4,폐업정보!$D$3:$R$3,0)),
"Error"))</f>
        <v>9008300000</v>
      </c>
      <c r="K1737" s="75" t="str">
        <f aca="false">
IF($D1737="정상",INDEX(임대자산!$D$3:$R$3000,MATCH($F1737,임대자산!$I$3:$I$3000,0),MATCH(K$4,임대자산!$D$3:$R$3,0)),
IF($D1737="폐업",INDEX(폐업정보!$D$3:$R$3000,MATCH($F1737,폐업정보!$I$3:$I$3000,0),MATCH(K$4,폐업정보!$D$3:$R$3,0)),
"Error"))</f>
        <v>C1732</v>
      </c>
      <c r="L1737" s="75" t="str">
        <f aca="false">
IF($D1737="정상",INDEX(임대자산!$D$3:$R$3000,MATCH($F1737,임대자산!$I$3:$I$3000,0),MATCH(L$4,임대자산!$D$3:$R$3,0)),
IF($D1737="폐업",INDEX(폐업정보!$D$3:$R$3000,MATCH($F1737,폐업정보!$I$3:$I$3000,0),MATCH(L$4,폐업정보!$D$3:$R$3,0)),
"Error"))</f>
        <v>D1732</v>
      </c>
      <c r="M1737" s="76" t="s">
        <v>96</v>
      </c>
      <c r="N1737" s="77"/>
      <c r="O1737" s="78" t="s">
        <v>97</v>
      </c>
      <c r="P1737" s="79" t="n">
        <f aca="false">COUNTIFS(임대자산!$I:$I,가맹점정보!F1737,임대자산!$N:$N,가맹점정보!P$4)</f>
        <v>0</v>
      </c>
      <c r="Q1737" s="80" t="n">
        <f aca="false">COUNTIFS(임대자산!$I:$I,가맹점정보!F1737,임대자산!$N:$N,가맹점정보!Q$4)</f>
        <v>0</v>
      </c>
      <c r="R1737" s="81" t="n">
        <f aca="false">COUNTIFS(임대자산!$I:$I,가맹점정보!F1737,임대자산!$N:$N,가맹점정보!R$4)</f>
        <v>1</v>
      </c>
      <c r="S1737" s="82" t="n">
        <v>88000</v>
      </c>
      <c r="T1737" s="83" t="n">
        <v>0</v>
      </c>
      <c r="U1737" s="80" t="n">
        <f aca="false">SUM(S1737:T1737)</f>
        <v>88000</v>
      </c>
      <c r="V1737" s="84" t="s">
        <v>12</v>
      </c>
      <c r="W1737" s="80" t="e">
        <f aca="true">
IF(D1737="폐업","폐업",
IF(V1737="면제","면제",
IF(AND(V1737="정상",COUNTIFS(OFFSET(Y1737,0,COUNTA(Y1737:AV1737)-1,1,-4),"미납")&gt;=3),"장기미납",
IF(AND(V1737="정상",OFFSET(Y1737,0,COUNTA(Y1737:AV1737)-1)&gt;=U1737),"정상",
IF(AND(V1737="정상",OFFSET(Y1737,0,COUNTA(Y1737:AV1737)-1)=0),"정상",
"계약서 미작성")))))</f>
        <v>#VALUE!</v>
      </c>
      <c r="X1737" s="81" t="str">
        <f aca="true">
IF(D1737="폐업","폐업",
IF(AND(V1737="정상",OFFSET(Y1737,0,COUNTA(Y1737:AV1737)-1)="미납"),"미납",
IF(AND(V1737="정상",OFFSET(Y1737,0,COUNTA(Y1737:AV1737)-1)=0),"납부 시작 전",
IF(AND(V1737="정상",OFFSET(Y1737,0,COUNTA(Y1737:AV1737)-1)&gt;=U1737),"정상",
IF(AND(V1737="면제",OFFSET(Y1737,0,COUNTA(Y1737:AV1737)-1)="면제"),"면제",
IF(AND(V1737="면제",OFFSET(Y1737,0,COUNTA(Y1737:AV1737)-1)=0),"면제",
"확인요청"))))))</f>
        <v>정상</v>
      </c>
      <c r="Y1737" s="93" t="n">
        <v>88000</v>
      </c>
      <c r="Z1737" s="90" t="n">
        <v>88000</v>
      </c>
      <c r="AA1737" s="90" t="n">
        <v>88000</v>
      </c>
      <c r="AB1737" s="90" t="n">
        <v>88000</v>
      </c>
      <c r="AC1737" s="90" t="n">
        <v>88000</v>
      </c>
      <c r="AD1737" s="90" t="n">
        <v>88000</v>
      </c>
      <c r="AE1737" s="90" t="n">
        <v>88000</v>
      </c>
      <c r="AF1737" s="90" t="n">
        <v>88000</v>
      </c>
      <c r="AG1737" s="90" t="n">
        <v>88000</v>
      </c>
      <c r="AH1737" s="90" t="n">
        <v>88000</v>
      </c>
      <c r="AI1737" s="90" t="n">
        <v>88000</v>
      </c>
      <c r="AJ1737" s="91" t="n">
        <v>88000</v>
      </c>
      <c r="AK1737" s="89" t="n">
        <v>88000</v>
      </c>
      <c r="AL1737" s="90" t="n">
        <v>88000</v>
      </c>
      <c r="AM1737" s="90"/>
      <c r="AN1737" s="90"/>
      <c r="AO1737" s="90"/>
      <c r="AP1737" s="90"/>
      <c r="AQ1737" s="90"/>
      <c r="AR1737" s="90"/>
      <c r="AS1737" s="90"/>
      <c r="AT1737" s="90"/>
      <c r="AU1737" s="90"/>
      <c r="AV1737" s="91"/>
      <c r="AX1737" s="92"/>
    </row>
    <row r="1738" customFormat="false" ht="15.65" hidden="false" customHeight="false" outlineLevel="0" collapsed="false">
      <c r="C1738" s="72" t="n">
        <f aca="false">COUNTIFS($D$6:D1738,"&lt;&gt;"&amp;"")</f>
        <v>1733</v>
      </c>
      <c r="D1738" s="73" t="s">
        <v>12</v>
      </c>
      <c r="E1738" s="76" t="str">
        <f aca="false">
IF($D1738="정상",INDEX(임대자산!$D$3:$R$3000,MATCH($F1738,임대자산!$I$3:$I$3000,0),MATCH(E$3,임대자산!$D$3:$R$3,0)),
IF($D1738="폐업",INDEX(폐업정보!$D$3:$R$3000,MATCH($F1738,폐업정보!$I$3:$I$3000,0),MATCH(E$3,폐업정보!$D$3:$R$3,0)),
"Error"))</f>
        <v>전라</v>
      </c>
      <c r="F173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B1733</v>
      </c>
      <c r="G1738" s="76" t="str">
        <f aca="false">F1738&amp;RANDBETWEEN(0,10)</f>
        <v>B17334</v>
      </c>
      <c r="H1738" s="75" t="n">
        <f aca="false">
IF($D1738="정상",INDEX(임대자산!$D$3:$R$3000,MATCH($F1738,임대자산!$I$3:$I$3000,0),MATCH(H$4,임대자산!$D$3:$R$3,0)),
IF($D1738="폐업",INDEX(폐업정보!$D$3:$R$3000,MATCH($F1738,폐업정보!$I$3:$I$3000,0),MATCH(H$4,폐업정보!$D$3:$R$3,0)),
"Error"))</f>
        <v>45819</v>
      </c>
      <c r="I1738" s="75" t="str">
        <f aca="false">
IF($D1738="정상",INDEX(임대자산!$D$3:$R$3000,MATCH($F1738,임대자산!$I$3:$I$3000,0),MATCH(I$4,임대자산!$D$3:$R$3,0)),
IF($D1738="폐업",INDEX(폐업정보!$D$3:$R$3000,MATCH($F1738,폐업정보!$I$3:$I$3000,0),MATCH(I$4,폐업정보!$D$3:$R$3,0)),
"Error"))</f>
        <v>A1733</v>
      </c>
      <c r="J1738" s="75" t="str">
        <f aca="false">
IF($D1738="정상",INDEX(임대자산!$D$3:$R$3000,MATCH($F1738,임대자산!$I$3:$I$3000,0),MATCH(J$4,임대자산!$D$3:$R$3,0)),
IF($D1738="폐업",INDEX(폐업정보!$D$3:$R$3000,MATCH($F1738,폐업정보!$I$3:$I$3000,0),MATCH(J$4,폐업정보!$D$3:$R$3,0)),
"Error"))</f>
        <v>7901000000</v>
      </c>
      <c r="K1738" s="75" t="str">
        <f aca="false">
IF($D1738="정상",INDEX(임대자산!$D$3:$R$3000,MATCH($F1738,임대자산!$I$3:$I$3000,0),MATCH(K$4,임대자산!$D$3:$R$3,0)),
IF($D1738="폐업",INDEX(폐업정보!$D$3:$R$3000,MATCH($F1738,폐업정보!$I$3:$I$3000,0),MATCH(K$4,폐업정보!$D$3:$R$3,0)),
"Error"))</f>
        <v>C1733</v>
      </c>
      <c r="L1738" s="75" t="str">
        <f aca="false">
IF($D1738="정상",INDEX(임대자산!$D$3:$R$3000,MATCH($F1738,임대자산!$I$3:$I$3000,0),MATCH(L$4,임대자산!$D$3:$R$3,0)),
IF($D1738="폐업",INDEX(폐업정보!$D$3:$R$3000,MATCH($F1738,폐업정보!$I$3:$I$3000,0),MATCH(L$4,폐업정보!$D$3:$R$3,0)),
"Error"))</f>
        <v>D1733</v>
      </c>
      <c r="M1738" s="76" t="s">
        <v>96</v>
      </c>
      <c r="N1738" s="77"/>
      <c r="O1738" s="78" t="s">
        <v>97</v>
      </c>
      <c r="P1738" s="79" t="n">
        <f aca="false">COUNTIFS(임대자산!$I:$I,가맹점정보!F1738,임대자산!$N:$N,가맹점정보!P$4)</f>
        <v>0</v>
      </c>
      <c r="Q1738" s="80" t="n">
        <f aca="false">COUNTIFS(임대자산!$I:$I,가맹점정보!F1738,임대자산!$N:$N,가맹점정보!Q$4)</f>
        <v>0</v>
      </c>
      <c r="R1738" s="81" t="n">
        <f aca="false">COUNTIFS(임대자산!$I:$I,가맹점정보!F1738,임대자산!$N:$N,가맹점정보!R$4)</f>
        <v>1</v>
      </c>
      <c r="S1738" s="82" t="n">
        <v>55000</v>
      </c>
      <c r="T1738" s="83" t="n">
        <v>0</v>
      </c>
      <c r="U1738" s="80" t="n">
        <f aca="false">SUM(S1738:T1738)</f>
        <v>55000</v>
      </c>
      <c r="V1738" s="84" t="s">
        <v>12</v>
      </c>
      <c r="W1738" s="80" t="e">
        <f aca="true">
IF(D1738="폐업","폐업",
IF(V1738="면제","면제",
IF(AND(V1738="정상",COUNTIFS(OFFSET(Y1738,0,COUNTA(Y1738:AV1738)-1,1,-4),"미납")&gt;=3),"장기미납",
IF(AND(V1738="정상",OFFSET(Y1738,0,COUNTA(Y1738:AV1738)-1)&gt;=U1738),"정상",
IF(AND(V1738="정상",OFFSET(Y1738,0,COUNTA(Y1738:AV1738)-1)=0),"정상",
"계약서 미작성")))))</f>
        <v>#VALUE!</v>
      </c>
      <c r="X1738" s="81" t="str">
        <f aca="true">
IF(D1738="폐업","폐업",
IF(AND(V1738="정상",OFFSET(Y1738,0,COUNTA(Y1738:AV1738)-1)="미납"),"미납",
IF(AND(V1738="정상",OFFSET(Y1738,0,COUNTA(Y1738:AV1738)-1)=0),"납부 시작 전",
IF(AND(V1738="정상",OFFSET(Y1738,0,COUNTA(Y1738:AV1738)-1)&gt;=U1738),"정상",
IF(AND(V1738="면제",OFFSET(Y1738,0,COUNTA(Y1738:AV1738)-1)="면제"),"면제",
IF(AND(V1738="면제",OFFSET(Y1738,0,COUNTA(Y1738:AV1738)-1)=0),"면제",
"확인요청"))))))</f>
        <v>정상</v>
      </c>
      <c r="Y1738" s="93" t="n">
        <v>55000</v>
      </c>
      <c r="Z1738" s="90" t="n">
        <v>55000</v>
      </c>
      <c r="AA1738" s="90" t="n">
        <v>55000</v>
      </c>
      <c r="AB1738" s="90" t="n">
        <v>55000</v>
      </c>
      <c r="AC1738" s="90" t="n">
        <v>55000</v>
      </c>
      <c r="AD1738" s="90" t="n">
        <v>55000</v>
      </c>
      <c r="AE1738" s="90" t="n">
        <v>55000</v>
      </c>
      <c r="AF1738" s="90" t="n">
        <v>55000</v>
      </c>
      <c r="AG1738" s="90" t="n">
        <v>55000</v>
      </c>
      <c r="AH1738" s="90" t="n">
        <v>55000</v>
      </c>
      <c r="AI1738" s="90" t="n">
        <v>55000</v>
      </c>
      <c r="AJ1738" s="91" t="n">
        <v>55000</v>
      </c>
      <c r="AK1738" s="89" t="n">
        <v>55000</v>
      </c>
      <c r="AL1738" s="90" t="n">
        <v>55000</v>
      </c>
      <c r="AM1738" s="90"/>
      <c r="AN1738" s="90"/>
      <c r="AO1738" s="90"/>
      <c r="AP1738" s="90"/>
      <c r="AQ1738" s="90"/>
      <c r="AR1738" s="90"/>
      <c r="AS1738" s="90"/>
      <c r="AT1738" s="90"/>
      <c r="AU1738" s="90"/>
      <c r="AV1738" s="91"/>
      <c r="AX1738" s="92"/>
    </row>
    <row r="1739" customFormat="false" ht="15.65" hidden="false" customHeight="false" outlineLevel="0" collapsed="false">
      <c r="C1739" s="72" t="n">
        <f aca="false">COUNTIFS($D$6:D1739,"&lt;&gt;"&amp;"")</f>
        <v>1734</v>
      </c>
      <c r="D1739" s="73" t="s">
        <v>12</v>
      </c>
      <c r="E1739" s="76" t="str">
        <f aca="false">
IF($D1739="정상",INDEX(임대자산!$D$3:$R$3000,MATCH($F1739,임대자산!$I$3:$I$3000,0),MATCH(E$3,임대자산!$D$3:$R$3,0)),
IF($D1739="폐업",INDEX(폐업정보!$D$3:$R$3000,MATCH($F1739,폐업정보!$I$3:$I$3000,0),MATCH(E$3,폐업정보!$D$3:$R$3,0)),
"Error"))</f>
        <v>전라</v>
      </c>
      <c r="F173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B1734</v>
      </c>
      <c r="G1739" s="76" t="str">
        <f aca="false">F1739&amp;RANDBETWEEN(0,10)</f>
        <v>B17345</v>
      </c>
      <c r="H1739" s="75" t="n">
        <f aca="false">
IF($D1739="정상",INDEX(임대자산!$D$3:$R$3000,MATCH($F1739,임대자산!$I$3:$I$3000,0),MATCH(H$4,임대자산!$D$3:$R$3,0)),
IF($D1739="폐업",INDEX(폐업정보!$D$3:$R$3000,MATCH($F1739,폐업정보!$I$3:$I$3000,0),MATCH(H$4,폐업정보!$D$3:$R$3,0)),
"Error"))</f>
        <v>45824</v>
      </c>
      <c r="I1739" s="75" t="str">
        <f aca="false">
IF($D1739="정상",INDEX(임대자산!$D$3:$R$3000,MATCH($F1739,임대자산!$I$3:$I$3000,0),MATCH(I$4,임대자산!$D$3:$R$3,0)),
IF($D1739="폐업",INDEX(폐업정보!$D$3:$R$3000,MATCH($F1739,폐업정보!$I$3:$I$3000,0),MATCH(I$4,폐업정보!$D$3:$R$3,0)),
"Error"))</f>
        <v>A1734</v>
      </c>
      <c r="J1739" s="75" t="str">
        <f aca="false">
IF($D1739="정상",INDEX(임대자산!$D$3:$R$3000,MATCH($F1739,임대자산!$I$3:$I$3000,0),MATCH(J$4,임대자산!$D$3:$R$3,0)),
IF($D1739="폐업",INDEX(폐업정보!$D$3:$R$3000,MATCH($F1739,폐업정보!$I$3:$I$3000,0),MATCH(J$4,폐업정보!$D$3:$R$3,0)),
"Error"))</f>
        <v>4775700000</v>
      </c>
      <c r="K1739" s="75" t="str">
        <f aca="false">
IF($D1739="정상",INDEX(임대자산!$D$3:$R$3000,MATCH($F1739,임대자산!$I$3:$I$3000,0),MATCH(K$4,임대자산!$D$3:$R$3,0)),
IF($D1739="폐업",INDEX(폐업정보!$D$3:$R$3000,MATCH($F1739,폐업정보!$I$3:$I$3000,0),MATCH(K$4,폐업정보!$D$3:$R$3,0)),
"Error"))</f>
        <v>C1734</v>
      </c>
      <c r="L1739" s="75" t="str">
        <f aca="false">
IF($D1739="정상",INDEX(임대자산!$D$3:$R$3000,MATCH($F1739,임대자산!$I$3:$I$3000,0),MATCH(L$4,임대자산!$D$3:$R$3,0)),
IF($D1739="폐업",INDEX(폐업정보!$D$3:$R$3000,MATCH($F1739,폐업정보!$I$3:$I$3000,0),MATCH(L$4,폐업정보!$D$3:$R$3,0)),
"Error"))</f>
        <v>D1734</v>
      </c>
      <c r="M1739" s="76" t="s">
        <v>96</v>
      </c>
      <c r="N1739" s="77"/>
      <c r="O1739" s="78" t="s">
        <v>97</v>
      </c>
      <c r="P1739" s="79" t="n">
        <f aca="false">COUNTIFS(임대자산!$I:$I,가맹점정보!F1739,임대자산!$N:$N,가맹점정보!P$4)</f>
        <v>0</v>
      </c>
      <c r="Q1739" s="80" t="n">
        <f aca="false">COUNTIFS(임대자산!$I:$I,가맹점정보!F1739,임대자산!$N:$N,가맹점정보!Q$4)</f>
        <v>0</v>
      </c>
      <c r="R1739" s="81" t="n">
        <f aca="false">COUNTIFS(임대자산!$I:$I,가맹점정보!F1739,임대자산!$N:$N,가맹점정보!R$4)</f>
        <v>1</v>
      </c>
      <c r="S1739" s="82" t="n">
        <v>88000</v>
      </c>
      <c r="T1739" s="83" t="n">
        <v>0</v>
      </c>
      <c r="U1739" s="80" t="n">
        <f aca="false">SUM(S1739:T1739)</f>
        <v>88000</v>
      </c>
      <c r="V1739" s="84" t="s">
        <v>7</v>
      </c>
      <c r="W1739" s="80" t="str">
        <f aca="true">
IF(D1739="폐업","폐업",
IF(V1739="면제","면제",
IF(AND(V1739="정상",COUNTIFS(OFFSET(Y1739,0,COUNTA(Y1739:AV1739)-1,1,-4),"미납")&gt;=3),"장기미납",
IF(AND(V1739="정상",OFFSET(Y1739,0,COUNTA(Y1739:AV1739)-1)&gt;=U1739),"정상",
IF(AND(V1739="정상",OFFSET(Y1739,0,COUNTA(Y1739:AV1739)-1)=0),"정상",
"계약서 미작성")))))</f>
        <v>면제</v>
      </c>
      <c r="X1739" s="81" t="str">
        <f aca="true">
IF(D1739="폐업","폐업",
IF(AND(V1739="정상",OFFSET(Y1739,0,COUNTA(Y1739:AV1739)-1)="미납"),"미납",
IF(AND(V1739="정상",OFFSET(Y1739,0,COUNTA(Y1739:AV1739)-1)=0),"납부 시작 전",
IF(AND(V1739="정상",OFFSET(Y1739,0,COUNTA(Y1739:AV1739)-1)&gt;=U1739),"정상",
IF(AND(V1739="면제",OFFSET(Y1739,0,COUNTA(Y1739:AV1739)-1)="면제"),"면제",
IF(AND(V1739="면제",OFFSET(Y1739,0,COUNTA(Y1739:AV1739)-1)=0),"면제",
"확인요청"))))))</f>
        <v>면제</v>
      </c>
      <c r="Y1739" s="94" t="s">
        <v>7</v>
      </c>
      <c r="Z1739" s="95" t="s">
        <v>7</v>
      </c>
      <c r="AA1739" s="95" t="s">
        <v>7</v>
      </c>
      <c r="AB1739" s="95" t="s">
        <v>7</v>
      </c>
      <c r="AC1739" s="95" t="s">
        <v>7</v>
      </c>
      <c r="AD1739" s="95" t="s">
        <v>7</v>
      </c>
      <c r="AE1739" s="95" t="s">
        <v>7</v>
      </c>
      <c r="AF1739" s="95" t="s">
        <v>7</v>
      </c>
      <c r="AG1739" s="95" t="s">
        <v>7</v>
      </c>
      <c r="AH1739" s="95" t="s">
        <v>7</v>
      </c>
      <c r="AI1739" s="95" t="s">
        <v>7</v>
      </c>
      <c r="AJ1739" s="96" t="s">
        <v>7</v>
      </c>
      <c r="AK1739" s="97" t="s">
        <v>7</v>
      </c>
      <c r="AL1739" s="95" t="s">
        <v>7</v>
      </c>
      <c r="AM1739" s="90"/>
      <c r="AN1739" s="90"/>
      <c r="AO1739" s="90"/>
      <c r="AP1739" s="90"/>
      <c r="AQ1739" s="90"/>
      <c r="AR1739" s="90"/>
      <c r="AS1739" s="90"/>
      <c r="AT1739" s="90"/>
      <c r="AU1739" s="90"/>
      <c r="AV1739" s="91"/>
      <c r="AX1739" s="92"/>
    </row>
    <row r="1740" customFormat="false" ht="15.65" hidden="false" customHeight="false" outlineLevel="0" collapsed="false">
      <c r="C1740" s="72" t="n">
        <f aca="false">COUNTIFS($D$6:D1740,"&lt;&gt;"&amp;"")</f>
        <v>1735</v>
      </c>
      <c r="D1740" s="73" t="s">
        <v>12</v>
      </c>
      <c r="E1740" s="76" t="str">
        <f aca="false">
IF($D1740="정상",INDEX(임대자산!$D$3:$R$3000,MATCH($F1740,임대자산!$I$3:$I$3000,0),MATCH(E$3,임대자산!$D$3:$R$3,0)),
IF($D1740="폐업",INDEX(폐업정보!$D$3:$R$3000,MATCH($F1740,폐업정보!$I$3:$I$3000,0),MATCH(E$3,폐업정보!$D$3:$R$3,0)),
"Error"))</f>
        <v>서울</v>
      </c>
      <c r="F174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B1735</v>
      </c>
      <c r="G1740" s="76" t="str">
        <f aca="false">F1740&amp;RANDBETWEEN(0,10)</f>
        <v>B17350</v>
      </c>
      <c r="H1740" s="75" t="n">
        <f aca="false">
IF($D1740="정상",INDEX(임대자산!$D$3:$R$3000,MATCH($F1740,임대자산!$I$3:$I$3000,0),MATCH(H$4,임대자산!$D$3:$R$3,0)),
IF($D1740="폐업",INDEX(폐업정보!$D$3:$R$3000,MATCH($F1740,폐업정보!$I$3:$I$3000,0),MATCH(H$4,폐업정보!$D$3:$R$3,0)),
"Error"))</f>
        <v>45804</v>
      </c>
      <c r="I1740" s="75" t="str">
        <f aca="false">
IF($D1740="정상",INDEX(임대자산!$D$3:$R$3000,MATCH($F1740,임대자산!$I$3:$I$3000,0),MATCH(I$4,임대자산!$D$3:$R$3,0)),
IF($D1740="폐업",INDEX(폐업정보!$D$3:$R$3000,MATCH($F1740,폐업정보!$I$3:$I$3000,0),MATCH(I$4,폐업정보!$D$3:$R$3,0)),
"Error"))</f>
        <v>A1735</v>
      </c>
      <c r="J1740" s="75" t="str">
        <f aca="false">
IF($D1740="정상",INDEX(임대자산!$D$3:$R$3000,MATCH($F1740,임대자산!$I$3:$I$3000,0),MATCH(J$4,임대자산!$D$3:$R$3,0)),
IF($D1740="폐업",INDEX(폐업정보!$D$3:$R$3000,MATCH($F1740,폐업정보!$I$3:$I$3000,0),MATCH(J$4,폐업정보!$D$3:$R$3,0)),
"Error"))</f>
        <v>8580800000</v>
      </c>
      <c r="K1740" s="75" t="str">
        <f aca="false">
IF($D1740="정상",INDEX(임대자산!$D$3:$R$3000,MATCH($F1740,임대자산!$I$3:$I$3000,0),MATCH(K$4,임대자산!$D$3:$R$3,0)),
IF($D1740="폐업",INDEX(폐업정보!$D$3:$R$3000,MATCH($F1740,폐업정보!$I$3:$I$3000,0),MATCH(K$4,폐업정보!$D$3:$R$3,0)),
"Error"))</f>
        <v>C1735</v>
      </c>
      <c r="L1740" s="75" t="str">
        <f aca="false">
IF($D1740="정상",INDEX(임대자산!$D$3:$R$3000,MATCH($F1740,임대자산!$I$3:$I$3000,0),MATCH(L$4,임대자산!$D$3:$R$3,0)),
IF($D1740="폐업",INDEX(폐업정보!$D$3:$R$3000,MATCH($F1740,폐업정보!$I$3:$I$3000,0),MATCH(L$4,폐업정보!$D$3:$R$3,0)),
"Error"))</f>
        <v>D1735</v>
      </c>
      <c r="M1740" s="76" t="s">
        <v>96</v>
      </c>
      <c r="N1740" s="77"/>
      <c r="O1740" s="78" t="s">
        <v>97</v>
      </c>
      <c r="P1740" s="79" t="n">
        <f aca="false">COUNTIFS(임대자산!$I:$I,가맹점정보!F1740,임대자산!$N:$N,가맹점정보!P$4)</f>
        <v>0</v>
      </c>
      <c r="Q1740" s="80" t="n">
        <f aca="false">COUNTIFS(임대자산!$I:$I,가맹점정보!F1740,임대자산!$N:$N,가맹점정보!Q$4)</f>
        <v>0</v>
      </c>
      <c r="R1740" s="81" t="n">
        <f aca="false">COUNTIFS(임대자산!$I:$I,가맹점정보!F1740,임대자산!$N:$N,가맹점정보!R$4)</f>
        <v>1</v>
      </c>
      <c r="S1740" s="82" t="n">
        <v>55000</v>
      </c>
      <c r="T1740" s="83" t="n">
        <v>0</v>
      </c>
      <c r="U1740" s="80" t="n">
        <f aca="false">SUM(S1740:T1740)</f>
        <v>55000</v>
      </c>
      <c r="V1740" s="84" t="s">
        <v>7</v>
      </c>
      <c r="W1740" s="80" t="str">
        <f aca="true">
IF(D1740="폐업","폐업",
IF(V1740="면제","면제",
IF(AND(V1740="정상",COUNTIFS(OFFSET(Y1740,0,COUNTA(Y1740:AV1740)-1,1,-4),"미납")&gt;=3),"장기미납",
IF(AND(V1740="정상",OFFSET(Y1740,0,COUNTA(Y1740:AV1740)-1)&gt;=U1740),"정상",
IF(AND(V1740="정상",OFFSET(Y1740,0,COUNTA(Y1740:AV1740)-1)=0),"정상",
"계약서 미작성")))))</f>
        <v>면제</v>
      </c>
      <c r="X1740" s="81" t="str">
        <f aca="true">
IF(D1740="폐업","폐업",
IF(AND(V1740="정상",OFFSET(Y1740,0,COUNTA(Y1740:AV1740)-1)="미납"),"미납",
IF(AND(V1740="정상",OFFSET(Y1740,0,COUNTA(Y1740:AV1740)-1)=0),"납부 시작 전",
IF(AND(V1740="정상",OFFSET(Y1740,0,COUNTA(Y1740:AV1740)-1)&gt;=U1740),"정상",
IF(AND(V1740="면제",OFFSET(Y1740,0,COUNTA(Y1740:AV1740)-1)="면제"),"면제",
IF(AND(V1740="면제",OFFSET(Y1740,0,COUNTA(Y1740:AV1740)-1)=0),"면제",
"확인요청"))))))</f>
        <v>면제</v>
      </c>
      <c r="Y1740" s="94" t="s">
        <v>7</v>
      </c>
      <c r="Z1740" s="95" t="s">
        <v>7</v>
      </c>
      <c r="AA1740" s="95" t="s">
        <v>7</v>
      </c>
      <c r="AB1740" s="95" t="s">
        <v>7</v>
      </c>
      <c r="AC1740" s="95" t="s">
        <v>7</v>
      </c>
      <c r="AD1740" s="95" t="s">
        <v>7</v>
      </c>
      <c r="AE1740" s="95" t="s">
        <v>7</v>
      </c>
      <c r="AF1740" s="95" t="s">
        <v>7</v>
      </c>
      <c r="AG1740" s="95" t="s">
        <v>7</v>
      </c>
      <c r="AH1740" s="95" t="s">
        <v>7</v>
      </c>
      <c r="AI1740" s="95" t="s">
        <v>7</v>
      </c>
      <c r="AJ1740" s="96" t="s">
        <v>7</v>
      </c>
      <c r="AK1740" s="97" t="s">
        <v>7</v>
      </c>
      <c r="AL1740" s="95" t="s">
        <v>7</v>
      </c>
      <c r="AM1740" s="90"/>
      <c r="AN1740" s="90"/>
      <c r="AO1740" s="90"/>
      <c r="AP1740" s="90"/>
      <c r="AQ1740" s="90"/>
      <c r="AR1740" s="90"/>
      <c r="AS1740" s="90"/>
      <c r="AT1740" s="90"/>
      <c r="AU1740" s="90"/>
      <c r="AV1740" s="91"/>
      <c r="AX1740" s="92"/>
    </row>
    <row r="1741" customFormat="false" ht="15.65" hidden="false" customHeight="false" outlineLevel="0" collapsed="false">
      <c r="C1741" s="72" t="n">
        <f aca="false">COUNTIFS($D$6:D1741,"&lt;&gt;"&amp;"")</f>
        <v>1736</v>
      </c>
      <c r="D1741" s="73" t="s">
        <v>12</v>
      </c>
      <c r="E1741" s="76" t="str">
        <f aca="false">
IF($D1741="정상",INDEX(임대자산!$D$3:$R$3000,MATCH($F1741,임대자산!$I$3:$I$3000,0),MATCH(E$3,임대자산!$D$3:$R$3,0)),
IF($D1741="폐업",INDEX(폐업정보!$D$3:$R$3000,MATCH($F1741,폐업정보!$I$3:$I$3000,0),MATCH(E$3,폐업정보!$D$3:$R$3,0)),
"Error"))</f>
        <v>서울</v>
      </c>
      <c r="F174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B1736</v>
      </c>
      <c r="G1741" s="76" t="str">
        <f aca="false">F1741&amp;RANDBETWEEN(0,10)</f>
        <v>B17365</v>
      </c>
      <c r="H1741" s="75" t="n">
        <f aca="false">
IF($D1741="정상",INDEX(임대자산!$D$3:$R$3000,MATCH($F1741,임대자산!$I$3:$I$3000,0),MATCH(H$4,임대자산!$D$3:$R$3,0)),
IF($D1741="폐업",INDEX(폐업정보!$D$3:$R$3000,MATCH($F1741,폐업정보!$I$3:$I$3000,0),MATCH(H$4,폐업정보!$D$3:$R$3,0)),
"Error"))</f>
        <v>45834</v>
      </c>
      <c r="I1741" s="75" t="str">
        <f aca="false">
IF($D1741="정상",INDEX(임대자산!$D$3:$R$3000,MATCH($F1741,임대자산!$I$3:$I$3000,0),MATCH(I$4,임대자산!$D$3:$R$3,0)),
IF($D1741="폐업",INDEX(폐업정보!$D$3:$R$3000,MATCH($F1741,폐업정보!$I$3:$I$3000,0),MATCH(I$4,폐업정보!$D$3:$R$3,0)),
"Error"))</f>
        <v>A1736</v>
      </c>
      <c r="J1741" s="75" t="str">
        <f aca="false">
IF($D1741="정상",INDEX(임대자산!$D$3:$R$3000,MATCH($F1741,임대자산!$I$3:$I$3000,0),MATCH(J$4,임대자산!$D$3:$R$3,0)),
IF($D1741="폐업",INDEX(폐업정보!$D$3:$R$3000,MATCH($F1741,폐업정보!$I$3:$I$3000,0),MATCH(J$4,폐업정보!$D$3:$R$3,0)),
"Error"))</f>
        <v>6469400000</v>
      </c>
      <c r="K1741" s="75" t="str">
        <f aca="false">
IF($D1741="정상",INDEX(임대자산!$D$3:$R$3000,MATCH($F1741,임대자산!$I$3:$I$3000,0),MATCH(K$4,임대자산!$D$3:$R$3,0)),
IF($D1741="폐업",INDEX(폐업정보!$D$3:$R$3000,MATCH($F1741,폐업정보!$I$3:$I$3000,0),MATCH(K$4,폐업정보!$D$3:$R$3,0)),
"Error"))</f>
        <v>C1736</v>
      </c>
      <c r="L1741" s="75" t="str">
        <f aca="false">
IF($D1741="정상",INDEX(임대자산!$D$3:$R$3000,MATCH($F1741,임대자산!$I$3:$I$3000,0),MATCH(L$4,임대자산!$D$3:$R$3,0)),
IF($D1741="폐업",INDEX(폐업정보!$D$3:$R$3000,MATCH($F1741,폐업정보!$I$3:$I$3000,0),MATCH(L$4,폐업정보!$D$3:$R$3,0)),
"Error"))</f>
        <v>D1736</v>
      </c>
      <c r="M1741" s="76" t="s">
        <v>96</v>
      </c>
      <c r="N1741" s="77"/>
      <c r="O1741" s="78" t="s">
        <v>97</v>
      </c>
      <c r="P1741" s="79" t="n">
        <f aca="false">COUNTIFS(임대자산!$I:$I,가맹점정보!F1741,임대자산!$N:$N,가맹점정보!P$4)</f>
        <v>0</v>
      </c>
      <c r="Q1741" s="80" t="n">
        <f aca="false">COUNTIFS(임대자산!$I:$I,가맹점정보!F1741,임대자산!$N:$N,가맹점정보!Q$4)</f>
        <v>0</v>
      </c>
      <c r="R1741" s="81" t="n">
        <f aca="false">COUNTIFS(임대자산!$I:$I,가맹점정보!F1741,임대자산!$N:$N,가맹점정보!R$4)</f>
        <v>1</v>
      </c>
      <c r="S1741" s="82" t="n">
        <v>88000</v>
      </c>
      <c r="T1741" s="83" t="n">
        <v>0</v>
      </c>
      <c r="U1741" s="80" t="n">
        <f aca="false">SUM(S1741:T1741)</f>
        <v>88000</v>
      </c>
      <c r="V1741" s="84" t="s">
        <v>7</v>
      </c>
      <c r="W1741" s="80" t="str">
        <f aca="true">
IF(D1741="폐업","폐업",
IF(V1741="면제","면제",
IF(AND(V1741="정상",COUNTIFS(OFFSET(Y1741,0,COUNTA(Y1741:AV1741)-1,1,-4),"미납")&gt;=3),"장기미납",
IF(AND(V1741="정상",OFFSET(Y1741,0,COUNTA(Y1741:AV1741)-1)&gt;=U1741),"정상",
IF(AND(V1741="정상",OFFSET(Y1741,0,COUNTA(Y1741:AV1741)-1)=0),"정상",
"계약서 미작성")))))</f>
        <v>면제</v>
      </c>
      <c r="X1741" s="81" t="str">
        <f aca="true">
IF(D1741="폐업","폐업",
IF(AND(V1741="정상",OFFSET(Y1741,0,COUNTA(Y1741:AV1741)-1)="미납"),"미납",
IF(AND(V1741="정상",OFFSET(Y1741,0,COUNTA(Y1741:AV1741)-1)=0),"납부 시작 전",
IF(AND(V1741="정상",OFFSET(Y1741,0,COUNTA(Y1741:AV1741)-1)&gt;=U1741),"정상",
IF(AND(V1741="면제",OFFSET(Y1741,0,COUNTA(Y1741:AV1741)-1)="면제"),"면제",
IF(AND(V1741="면제",OFFSET(Y1741,0,COUNTA(Y1741:AV1741)-1)=0),"면제",
"확인요청"))))))</f>
        <v>면제</v>
      </c>
      <c r="Y1741" s="94" t="s">
        <v>7</v>
      </c>
      <c r="Z1741" s="95" t="s">
        <v>7</v>
      </c>
      <c r="AA1741" s="95" t="s">
        <v>7</v>
      </c>
      <c r="AB1741" s="95" t="s">
        <v>7</v>
      </c>
      <c r="AC1741" s="95" t="s">
        <v>7</v>
      </c>
      <c r="AD1741" s="95" t="s">
        <v>7</v>
      </c>
      <c r="AE1741" s="95" t="s">
        <v>7</v>
      </c>
      <c r="AF1741" s="95" t="s">
        <v>7</v>
      </c>
      <c r="AG1741" s="95" t="s">
        <v>7</v>
      </c>
      <c r="AH1741" s="95" t="s">
        <v>7</v>
      </c>
      <c r="AI1741" s="95" t="s">
        <v>7</v>
      </c>
      <c r="AJ1741" s="96" t="s">
        <v>7</v>
      </c>
      <c r="AK1741" s="97" t="s">
        <v>7</v>
      </c>
      <c r="AL1741" s="95" t="s">
        <v>7</v>
      </c>
      <c r="AM1741" s="90"/>
      <c r="AN1741" s="90"/>
      <c r="AO1741" s="90"/>
      <c r="AP1741" s="90"/>
      <c r="AQ1741" s="90"/>
      <c r="AR1741" s="90"/>
      <c r="AS1741" s="90"/>
      <c r="AT1741" s="90"/>
      <c r="AU1741" s="90"/>
      <c r="AV1741" s="91"/>
      <c r="AX1741" s="92"/>
    </row>
    <row r="1742" customFormat="false" ht="15.65" hidden="false" customHeight="false" outlineLevel="0" collapsed="false">
      <c r="C1742" s="72" t="n">
        <f aca="false">COUNTIFS($D$6:D1742,"&lt;&gt;"&amp;"")</f>
        <v>1737</v>
      </c>
      <c r="D1742" s="73" t="s">
        <v>12</v>
      </c>
      <c r="E1742" s="76" t="str">
        <f aca="false">
IF($D1742="정상",INDEX(임대자산!$D$3:$R$3000,MATCH($F1742,임대자산!$I$3:$I$3000,0),MATCH(E$3,임대자산!$D$3:$R$3,0)),
IF($D1742="폐업",INDEX(폐업정보!$D$3:$R$3000,MATCH($F1742,폐업정보!$I$3:$I$3000,0),MATCH(E$3,폐업정보!$D$3:$R$3,0)),
"Error"))</f>
        <v>강원</v>
      </c>
      <c r="F174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B1737</v>
      </c>
      <c r="G1742" s="76" t="str">
        <f aca="false">F1742&amp;RANDBETWEEN(0,10)</f>
        <v>B17372</v>
      </c>
      <c r="H1742" s="75" t="n">
        <f aca="false">
IF($D1742="정상",INDEX(임대자산!$D$3:$R$3000,MATCH($F1742,임대자산!$I$3:$I$3000,0),MATCH(H$4,임대자산!$D$3:$R$3,0)),
IF($D1742="폐업",INDEX(폐업정보!$D$3:$R$3000,MATCH($F1742,폐업정보!$I$3:$I$3000,0),MATCH(H$4,폐업정보!$D$3:$R$3,0)),
"Error"))</f>
        <v>45819</v>
      </c>
      <c r="I1742" s="75" t="str">
        <f aca="false">
IF($D1742="정상",INDEX(임대자산!$D$3:$R$3000,MATCH($F1742,임대자산!$I$3:$I$3000,0),MATCH(I$4,임대자산!$D$3:$R$3,0)),
IF($D1742="폐업",INDEX(폐업정보!$D$3:$R$3000,MATCH($F1742,폐업정보!$I$3:$I$3000,0),MATCH(I$4,폐업정보!$D$3:$R$3,0)),
"Error"))</f>
        <v>A1737</v>
      </c>
      <c r="J1742" s="75" t="str">
        <f aca="false">
IF($D1742="정상",INDEX(임대자산!$D$3:$R$3000,MATCH($F1742,임대자산!$I$3:$I$3000,0),MATCH(J$4,임대자산!$D$3:$R$3,0)),
IF($D1742="폐업",INDEX(폐업정보!$D$3:$R$3000,MATCH($F1742,폐업정보!$I$3:$I$3000,0),MATCH(J$4,폐업정보!$D$3:$R$3,0)),
"Error"))</f>
        <v>2545100000</v>
      </c>
      <c r="K1742" s="75" t="str">
        <f aca="false">
IF($D1742="정상",INDEX(임대자산!$D$3:$R$3000,MATCH($F1742,임대자산!$I$3:$I$3000,0),MATCH(K$4,임대자산!$D$3:$R$3,0)),
IF($D1742="폐업",INDEX(폐업정보!$D$3:$R$3000,MATCH($F1742,폐업정보!$I$3:$I$3000,0),MATCH(K$4,폐업정보!$D$3:$R$3,0)),
"Error"))</f>
        <v>C1737</v>
      </c>
      <c r="L1742" s="75" t="str">
        <f aca="false">
IF($D1742="정상",INDEX(임대자산!$D$3:$R$3000,MATCH($F1742,임대자산!$I$3:$I$3000,0),MATCH(L$4,임대자산!$D$3:$R$3,0)),
IF($D1742="폐업",INDEX(폐업정보!$D$3:$R$3000,MATCH($F1742,폐업정보!$I$3:$I$3000,0),MATCH(L$4,폐업정보!$D$3:$R$3,0)),
"Error"))</f>
        <v>D1737</v>
      </c>
      <c r="M1742" s="76" t="s">
        <v>96</v>
      </c>
      <c r="N1742" s="77"/>
      <c r="O1742" s="78" t="s">
        <v>97</v>
      </c>
      <c r="P1742" s="79" t="n">
        <f aca="false">COUNTIFS(임대자산!$I:$I,가맹점정보!F1742,임대자산!$N:$N,가맹점정보!P$4)</f>
        <v>0</v>
      </c>
      <c r="Q1742" s="80" t="n">
        <f aca="false">COUNTIFS(임대자산!$I:$I,가맹점정보!F1742,임대자산!$N:$N,가맹점정보!Q$4)</f>
        <v>0</v>
      </c>
      <c r="R1742" s="81" t="n">
        <f aca="false">COUNTIFS(임대자산!$I:$I,가맹점정보!F1742,임대자산!$N:$N,가맹점정보!R$4)</f>
        <v>1</v>
      </c>
      <c r="S1742" s="82" t="n">
        <v>88000</v>
      </c>
      <c r="T1742" s="83" t="n">
        <v>0</v>
      </c>
      <c r="U1742" s="80" t="n">
        <f aca="false">SUM(S1742:T1742)</f>
        <v>88000</v>
      </c>
      <c r="V1742" s="84" t="s">
        <v>7</v>
      </c>
      <c r="W1742" s="80" t="str">
        <f aca="true">
IF(D1742="폐업","폐업",
IF(V1742="면제","면제",
IF(AND(V1742="정상",COUNTIFS(OFFSET(Y1742,0,COUNTA(Y1742:AV1742)-1,1,-4),"미납")&gt;=3),"장기미납",
IF(AND(V1742="정상",OFFSET(Y1742,0,COUNTA(Y1742:AV1742)-1)&gt;=U1742),"정상",
IF(AND(V1742="정상",OFFSET(Y1742,0,COUNTA(Y1742:AV1742)-1)=0),"정상",
"계약서 미작성")))))</f>
        <v>면제</v>
      </c>
      <c r="X1742" s="81" t="str">
        <f aca="true">
IF(D1742="폐업","폐업",
IF(AND(V1742="정상",OFFSET(Y1742,0,COUNTA(Y1742:AV1742)-1)="미납"),"미납",
IF(AND(V1742="정상",OFFSET(Y1742,0,COUNTA(Y1742:AV1742)-1)=0),"납부 시작 전",
IF(AND(V1742="정상",OFFSET(Y1742,0,COUNTA(Y1742:AV1742)-1)&gt;=U1742),"정상",
IF(AND(V1742="면제",OFFSET(Y1742,0,COUNTA(Y1742:AV1742)-1)="면제"),"면제",
IF(AND(V1742="면제",OFFSET(Y1742,0,COUNTA(Y1742:AV1742)-1)=0),"면제",
"확인요청"))))))</f>
        <v>면제</v>
      </c>
      <c r="Y1742" s="94" t="s">
        <v>7</v>
      </c>
      <c r="Z1742" s="95" t="s">
        <v>7</v>
      </c>
      <c r="AA1742" s="95" t="s">
        <v>7</v>
      </c>
      <c r="AB1742" s="95" t="s">
        <v>7</v>
      </c>
      <c r="AC1742" s="95" t="s">
        <v>7</v>
      </c>
      <c r="AD1742" s="95" t="s">
        <v>7</v>
      </c>
      <c r="AE1742" s="95" t="s">
        <v>7</v>
      </c>
      <c r="AF1742" s="95" t="s">
        <v>7</v>
      </c>
      <c r="AG1742" s="95" t="s">
        <v>7</v>
      </c>
      <c r="AH1742" s="95" t="s">
        <v>7</v>
      </c>
      <c r="AI1742" s="95" t="s">
        <v>7</v>
      </c>
      <c r="AJ1742" s="96" t="s">
        <v>7</v>
      </c>
      <c r="AK1742" s="97" t="s">
        <v>7</v>
      </c>
      <c r="AL1742" s="95" t="s">
        <v>7</v>
      </c>
      <c r="AM1742" s="90"/>
      <c r="AN1742" s="90"/>
      <c r="AO1742" s="90"/>
      <c r="AP1742" s="90"/>
      <c r="AQ1742" s="90"/>
      <c r="AR1742" s="90"/>
      <c r="AS1742" s="90"/>
      <c r="AT1742" s="90"/>
      <c r="AU1742" s="90"/>
      <c r="AV1742" s="91"/>
      <c r="AX1742" s="92"/>
    </row>
    <row r="1743" customFormat="false" ht="15.65" hidden="false" customHeight="false" outlineLevel="0" collapsed="false">
      <c r="C1743" s="72" t="n">
        <f aca="false">COUNTIFS($D$6:D1743,"&lt;&gt;"&amp;"")</f>
        <v>1738</v>
      </c>
      <c r="D1743" s="73" t="s">
        <v>12</v>
      </c>
      <c r="E1743" s="76" t="str">
        <f aca="false">
IF($D1743="정상",INDEX(임대자산!$D$3:$R$3000,MATCH($F1743,임대자산!$I$3:$I$3000,0),MATCH(E$3,임대자산!$D$3:$R$3,0)),
IF($D1743="폐업",INDEX(폐업정보!$D$3:$R$3000,MATCH($F1743,폐업정보!$I$3:$I$3000,0),MATCH(E$3,폐업정보!$D$3:$R$3,0)),
"Error"))</f>
        <v>강원</v>
      </c>
      <c r="F174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B1738</v>
      </c>
      <c r="G1743" s="76" t="str">
        <f aca="false">F1743&amp;RANDBETWEEN(0,10)</f>
        <v>B17386</v>
      </c>
      <c r="H1743" s="75" t="n">
        <f aca="false">
IF($D1743="정상",INDEX(임대자산!$D$3:$R$3000,MATCH($F1743,임대자산!$I$3:$I$3000,0),MATCH(H$4,임대자산!$D$3:$R$3,0)),
IF($D1743="폐업",INDEX(폐업정보!$D$3:$R$3000,MATCH($F1743,폐업정보!$I$3:$I$3000,0),MATCH(H$4,폐업정보!$D$3:$R$3,0)),
"Error"))</f>
        <v>45841</v>
      </c>
      <c r="I1743" s="75" t="str">
        <f aca="false">
IF($D1743="정상",INDEX(임대자산!$D$3:$R$3000,MATCH($F1743,임대자산!$I$3:$I$3000,0),MATCH(I$4,임대자산!$D$3:$R$3,0)),
IF($D1743="폐업",INDEX(폐업정보!$D$3:$R$3000,MATCH($F1743,폐업정보!$I$3:$I$3000,0),MATCH(I$4,폐업정보!$D$3:$R$3,0)),
"Error"))</f>
        <v>A1738</v>
      </c>
      <c r="J1743" s="75" t="str">
        <f aca="false">
IF($D1743="정상",INDEX(임대자산!$D$3:$R$3000,MATCH($F1743,임대자산!$I$3:$I$3000,0),MATCH(J$4,임대자산!$D$3:$R$3,0)),
IF($D1743="폐업",INDEX(폐업정보!$D$3:$R$3000,MATCH($F1743,폐업정보!$I$3:$I$3000,0),MATCH(J$4,폐업정보!$D$3:$R$3,0)),
"Error"))</f>
        <v>7044200000</v>
      </c>
      <c r="K1743" s="75" t="str">
        <f aca="false">
IF($D1743="정상",INDEX(임대자산!$D$3:$R$3000,MATCH($F1743,임대자산!$I$3:$I$3000,0),MATCH(K$4,임대자산!$D$3:$R$3,0)),
IF($D1743="폐업",INDEX(폐업정보!$D$3:$R$3000,MATCH($F1743,폐업정보!$I$3:$I$3000,0),MATCH(K$4,폐업정보!$D$3:$R$3,0)),
"Error"))</f>
        <v>C1738</v>
      </c>
      <c r="L1743" s="75" t="str">
        <f aca="false">
IF($D1743="정상",INDEX(임대자산!$D$3:$R$3000,MATCH($F1743,임대자산!$I$3:$I$3000,0),MATCH(L$4,임대자산!$D$3:$R$3,0)),
IF($D1743="폐업",INDEX(폐업정보!$D$3:$R$3000,MATCH($F1743,폐업정보!$I$3:$I$3000,0),MATCH(L$4,폐업정보!$D$3:$R$3,0)),
"Error"))</f>
        <v>D1738</v>
      </c>
      <c r="M1743" s="76" t="s">
        <v>96</v>
      </c>
      <c r="N1743" s="77"/>
      <c r="O1743" s="78" t="s">
        <v>97</v>
      </c>
      <c r="P1743" s="79" t="n">
        <f aca="false">COUNTIFS(임대자산!$I:$I,가맹점정보!F1743,임대자산!$N:$N,가맹점정보!P$4)</f>
        <v>0</v>
      </c>
      <c r="Q1743" s="80" t="n">
        <f aca="false">COUNTIFS(임대자산!$I:$I,가맹점정보!F1743,임대자산!$N:$N,가맹점정보!Q$4)</f>
        <v>0</v>
      </c>
      <c r="R1743" s="81" t="n">
        <f aca="false">COUNTIFS(임대자산!$I:$I,가맹점정보!F1743,임대자산!$N:$N,가맹점정보!R$4)</f>
        <v>1</v>
      </c>
      <c r="S1743" s="82" t="n">
        <v>55000</v>
      </c>
      <c r="T1743" s="83" t="n">
        <v>0</v>
      </c>
      <c r="U1743" s="80" t="n">
        <f aca="false">SUM(S1743:T1743)</f>
        <v>55000</v>
      </c>
      <c r="V1743" s="84" t="s">
        <v>7</v>
      </c>
      <c r="W1743" s="80" t="str">
        <f aca="true">
IF(D1743="폐업","폐업",
IF(V1743="면제","면제",
IF(AND(V1743="정상",COUNTIFS(OFFSET(Y1743,0,COUNTA(Y1743:AV1743)-1,1,-4),"미납")&gt;=3),"장기미납",
IF(AND(V1743="정상",OFFSET(Y1743,0,COUNTA(Y1743:AV1743)-1)&gt;=U1743),"정상",
IF(AND(V1743="정상",OFFSET(Y1743,0,COUNTA(Y1743:AV1743)-1)=0),"정상",
"계약서 미작성")))))</f>
        <v>면제</v>
      </c>
      <c r="X1743" s="81" t="str">
        <f aca="true">
IF(D1743="폐업","폐업",
IF(AND(V1743="정상",OFFSET(Y1743,0,COUNTA(Y1743:AV1743)-1)="미납"),"미납",
IF(AND(V1743="정상",OFFSET(Y1743,0,COUNTA(Y1743:AV1743)-1)=0),"납부 시작 전",
IF(AND(V1743="정상",OFFSET(Y1743,0,COUNTA(Y1743:AV1743)-1)&gt;=U1743),"정상",
IF(AND(V1743="면제",OFFSET(Y1743,0,COUNTA(Y1743:AV1743)-1)="면제"),"면제",
IF(AND(V1743="면제",OFFSET(Y1743,0,COUNTA(Y1743:AV1743)-1)=0),"면제",
"확인요청"))))))</f>
        <v>면제</v>
      </c>
      <c r="Y1743" s="94" t="s">
        <v>7</v>
      </c>
      <c r="Z1743" s="95" t="s">
        <v>7</v>
      </c>
      <c r="AA1743" s="95" t="s">
        <v>7</v>
      </c>
      <c r="AB1743" s="95" t="s">
        <v>7</v>
      </c>
      <c r="AC1743" s="95" t="s">
        <v>7</v>
      </c>
      <c r="AD1743" s="95" t="s">
        <v>7</v>
      </c>
      <c r="AE1743" s="95" t="s">
        <v>7</v>
      </c>
      <c r="AF1743" s="95" t="s">
        <v>7</v>
      </c>
      <c r="AG1743" s="95" t="s">
        <v>7</v>
      </c>
      <c r="AH1743" s="95" t="s">
        <v>7</v>
      </c>
      <c r="AI1743" s="95" t="s">
        <v>7</v>
      </c>
      <c r="AJ1743" s="96" t="s">
        <v>7</v>
      </c>
      <c r="AK1743" s="97" t="s">
        <v>7</v>
      </c>
      <c r="AL1743" s="95" t="s">
        <v>7</v>
      </c>
      <c r="AM1743" s="90"/>
      <c r="AN1743" s="90"/>
      <c r="AO1743" s="90"/>
      <c r="AP1743" s="90"/>
      <c r="AQ1743" s="90"/>
      <c r="AR1743" s="90"/>
      <c r="AS1743" s="90"/>
      <c r="AT1743" s="90"/>
      <c r="AU1743" s="90"/>
      <c r="AV1743" s="91"/>
      <c r="AX1743" s="92"/>
    </row>
    <row r="1744" customFormat="false" ht="15.65" hidden="false" customHeight="false" outlineLevel="0" collapsed="false">
      <c r="C1744" s="72" t="n">
        <f aca="false">COUNTIFS($D$6:D1744,"&lt;&gt;"&amp;"")</f>
        <v>1739</v>
      </c>
      <c r="D1744" s="73" t="s">
        <v>12</v>
      </c>
      <c r="E1744" s="76" t="str">
        <f aca="false">
IF($D1744="정상",INDEX(임대자산!$D$3:$R$3000,MATCH($F1744,임대자산!$I$3:$I$3000,0),MATCH(E$3,임대자산!$D$3:$R$3,0)),
IF($D1744="폐업",INDEX(폐업정보!$D$3:$R$3000,MATCH($F1744,폐업정보!$I$3:$I$3000,0),MATCH(E$3,폐업정보!$D$3:$R$3,0)),
"Error"))</f>
        <v>강원</v>
      </c>
      <c r="F174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B1739</v>
      </c>
      <c r="G1744" s="76" t="str">
        <f aca="false">F1744&amp;RANDBETWEEN(0,10)</f>
        <v>B17390</v>
      </c>
      <c r="H1744" s="75" t="n">
        <f aca="false">
IF($D1744="정상",INDEX(임대자산!$D$3:$R$3000,MATCH($F1744,임대자산!$I$3:$I$3000,0),MATCH(H$4,임대자산!$D$3:$R$3,0)),
IF($D1744="폐업",INDEX(폐업정보!$D$3:$R$3000,MATCH($F1744,폐업정보!$I$3:$I$3000,0),MATCH(H$4,폐업정보!$D$3:$R$3,0)),
"Error"))</f>
        <v>45841</v>
      </c>
      <c r="I1744" s="75" t="str">
        <f aca="false">
IF($D1744="정상",INDEX(임대자산!$D$3:$R$3000,MATCH($F1744,임대자산!$I$3:$I$3000,0),MATCH(I$4,임대자산!$D$3:$R$3,0)),
IF($D1744="폐업",INDEX(폐업정보!$D$3:$R$3000,MATCH($F1744,폐업정보!$I$3:$I$3000,0),MATCH(I$4,폐업정보!$D$3:$R$3,0)),
"Error"))</f>
        <v>A1739</v>
      </c>
      <c r="J1744" s="75" t="str">
        <f aca="false">
IF($D1744="정상",INDEX(임대자산!$D$3:$R$3000,MATCH($F1744,임대자산!$I$3:$I$3000,0),MATCH(J$4,임대자산!$D$3:$R$3,0)),
IF($D1744="폐업",INDEX(폐업정보!$D$3:$R$3000,MATCH($F1744,폐업정보!$I$3:$I$3000,0),MATCH(J$4,폐업정보!$D$3:$R$3,0)),
"Error"))</f>
        <v>7350400000</v>
      </c>
      <c r="K1744" s="75" t="str">
        <f aca="false">
IF($D1744="정상",INDEX(임대자산!$D$3:$R$3000,MATCH($F1744,임대자산!$I$3:$I$3000,0),MATCH(K$4,임대자산!$D$3:$R$3,0)),
IF($D1744="폐업",INDEX(폐업정보!$D$3:$R$3000,MATCH($F1744,폐업정보!$I$3:$I$3000,0),MATCH(K$4,폐업정보!$D$3:$R$3,0)),
"Error"))</f>
        <v>C1739</v>
      </c>
      <c r="L1744" s="75" t="str">
        <f aca="false">
IF($D1744="정상",INDEX(임대자산!$D$3:$R$3000,MATCH($F1744,임대자산!$I$3:$I$3000,0),MATCH(L$4,임대자산!$D$3:$R$3,0)),
IF($D1744="폐업",INDEX(폐업정보!$D$3:$R$3000,MATCH($F1744,폐업정보!$I$3:$I$3000,0),MATCH(L$4,폐업정보!$D$3:$R$3,0)),
"Error"))</f>
        <v>D1739</v>
      </c>
      <c r="M1744" s="76" t="s">
        <v>96</v>
      </c>
      <c r="N1744" s="77"/>
      <c r="O1744" s="78" t="s">
        <v>97</v>
      </c>
      <c r="P1744" s="79" t="n">
        <f aca="false">COUNTIFS(임대자산!$I:$I,가맹점정보!F1744,임대자산!$N:$N,가맹점정보!P$4)</f>
        <v>0</v>
      </c>
      <c r="Q1744" s="80" t="n">
        <f aca="false">COUNTIFS(임대자산!$I:$I,가맹점정보!F1744,임대자산!$N:$N,가맹점정보!Q$4)</f>
        <v>0</v>
      </c>
      <c r="R1744" s="81" t="n">
        <f aca="false">COUNTIFS(임대자산!$I:$I,가맹점정보!F1744,임대자산!$N:$N,가맹점정보!R$4)</f>
        <v>1</v>
      </c>
      <c r="S1744" s="82" t="n">
        <v>55000</v>
      </c>
      <c r="T1744" s="83" t="n">
        <v>0</v>
      </c>
      <c r="U1744" s="80" t="n">
        <f aca="false">SUM(S1744:T1744)</f>
        <v>55000</v>
      </c>
      <c r="V1744" s="84" t="s">
        <v>7</v>
      </c>
      <c r="W1744" s="80" t="str">
        <f aca="true">
IF(D1744="폐업","폐업",
IF(V1744="면제","면제",
IF(AND(V1744="정상",COUNTIFS(OFFSET(Y1744,0,COUNTA(Y1744:AV1744)-1,1,-4),"미납")&gt;=3),"장기미납",
IF(AND(V1744="정상",OFFSET(Y1744,0,COUNTA(Y1744:AV1744)-1)&gt;=U1744),"정상",
IF(AND(V1744="정상",OFFSET(Y1744,0,COUNTA(Y1744:AV1744)-1)=0),"정상",
"계약서 미작성")))))</f>
        <v>면제</v>
      </c>
      <c r="X1744" s="81" t="str">
        <f aca="true">
IF(D1744="폐업","폐업",
IF(AND(V1744="정상",OFFSET(Y1744,0,COUNTA(Y1744:AV1744)-1)="미납"),"미납",
IF(AND(V1744="정상",OFFSET(Y1744,0,COUNTA(Y1744:AV1744)-1)=0),"납부 시작 전",
IF(AND(V1744="정상",OFFSET(Y1744,0,COUNTA(Y1744:AV1744)-1)&gt;=U1744),"정상",
IF(AND(V1744="면제",OFFSET(Y1744,0,COUNTA(Y1744:AV1744)-1)="면제"),"면제",
IF(AND(V1744="면제",OFFSET(Y1744,0,COUNTA(Y1744:AV1744)-1)=0),"면제",
"확인요청"))))))</f>
        <v>면제</v>
      </c>
      <c r="Y1744" s="94" t="s">
        <v>7</v>
      </c>
      <c r="Z1744" s="95" t="s">
        <v>7</v>
      </c>
      <c r="AA1744" s="95" t="s">
        <v>7</v>
      </c>
      <c r="AB1744" s="95" t="s">
        <v>7</v>
      </c>
      <c r="AC1744" s="95" t="s">
        <v>7</v>
      </c>
      <c r="AD1744" s="95" t="s">
        <v>7</v>
      </c>
      <c r="AE1744" s="95" t="s">
        <v>7</v>
      </c>
      <c r="AF1744" s="95" t="s">
        <v>7</v>
      </c>
      <c r="AG1744" s="95" t="s">
        <v>7</v>
      </c>
      <c r="AH1744" s="95" t="s">
        <v>7</v>
      </c>
      <c r="AI1744" s="95" t="s">
        <v>7</v>
      </c>
      <c r="AJ1744" s="96" t="s">
        <v>7</v>
      </c>
      <c r="AK1744" s="97" t="s">
        <v>7</v>
      </c>
      <c r="AL1744" s="95" t="s">
        <v>7</v>
      </c>
      <c r="AM1744" s="90"/>
      <c r="AN1744" s="90"/>
      <c r="AO1744" s="90"/>
      <c r="AP1744" s="90"/>
      <c r="AQ1744" s="90"/>
      <c r="AR1744" s="90"/>
      <c r="AS1744" s="90"/>
      <c r="AT1744" s="90"/>
      <c r="AU1744" s="90"/>
      <c r="AV1744" s="91"/>
      <c r="AX1744" s="92"/>
    </row>
    <row r="1745" customFormat="false" ht="15.65" hidden="false" customHeight="false" outlineLevel="0" collapsed="false">
      <c r="C1745" s="72" t="n">
        <f aca="false">COUNTIFS($D$6:D1745,"&lt;&gt;"&amp;"")</f>
        <v>1740</v>
      </c>
      <c r="D1745" s="73" t="s">
        <v>12</v>
      </c>
      <c r="E1745" s="76" t="str">
        <f aca="false">
IF($D1745="정상",INDEX(임대자산!$D$3:$R$3000,MATCH($F1745,임대자산!$I$3:$I$3000,0),MATCH(E$3,임대자산!$D$3:$R$3,0)),
IF($D1745="폐업",INDEX(폐업정보!$D$3:$R$3000,MATCH($F1745,폐업정보!$I$3:$I$3000,0),MATCH(E$3,폐업정보!$D$3:$R$3,0)),
"Error"))</f>
        <v>강원</v>
      </c>
      <c r="F174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B1740</v>
      </c>
      <c r="G1745" s="76" t="str">
        <f aca="false">F1745&amp;RANDBETWEEN(0,10)</f>
        <v>B17404</v>
      </c>
      <c r="H1745" s="75" t="n">
        <f aca="false">
IF($D1745="정상",INDEX(임대자산!$D$3:$R$3000,MATCH($F1745,임대자산!$I$3:$I$3000,0),MATCH(H$4,임대자산!$D$3:$R$3,0)),
IF($D1745="폐업",INDEX(폐업정보!$D$3:$R$3000,MATCH($F1745,폐업정보!$I$3:$I$3000,0),MATCH(H$4,폐업정보!$D$3:$R$3,0)),
"Error"))</f>
        <v>45841</v>
      </c>
      <c r="I1745" s="75" t="str">
        <f aca="false">
IF($D1745="정상",INDEX(임대자산!$D$3:$R$3000,MATCH($F1745,임대자산!$I$3:$I$3000,0),MATCH(I$4,임대자산!$D$3:$R$3,0)),
IF($D1745="폐업",INDEX(폐업정보!$D$3:$R$3000,MATCH($F1745,폐업정보!$I$3:$I$3000,0),MATCH(I$4,폐업정보!$D$3:$R$3,0)),
"Error"))</f>
        <v>A1740</v>
      </c>
      <c r="J1745" s="75" t="str">
        <f aca="false">
IF($D1745="정상",INDEX(임대자산!$D$3:$R$3000,MATCH($F1745,임대자산!$I$3:$I$3000,0),MATCH(J$4,임대자산!$D$3:$R$3,0)),
IF($D1745="폐업",INDEX(폐업정보!$D$3:$R$3000,MATCH($F1745,폐업정보!$I$3:$I$3000,0),MATCH(J$4,폐업정보!$D$3:$R$3,0)),
"Error"))</f>
        <v>5667600000</v>
      </c>
      <c r="K1745" s="75" t="str">
        <f aca="false">
IF($D1745="정상",INDEX(임대자산!$D$3:$R$3000,MATCH($F1745,임대자산!$I$3:$I$3000,0),MATCH(K$4,임대자산!$D$3:$R$3,0)),
IF($D1745="폐업",INDEX(폐업정보!$D$3:$R$3000,MATCH($F1745,폐업정보!$I$3:$I$3000,0),MATCH(K$4,폐업정보!$D$3:$R$3,0)),
"Error"))</f>
        <v>C1740</v>
      </c>
      <c r="L1745" s="75" t="str">
        <f aca="false">
IF($D1745="정상",INDEX(임대자산!$D$3:$R$3000,MATCH($F1745,임대자산!$I$3:$I$3000,0),MATCH(L$4,임대자산!$D$3:$R$3,0)),
IF($D1745="폐업",INDEX(폐업정보!$D$3:$R$3000,MATCH($F1745,폐업정보!$I$3:$I$3000,0),MATCH(L$4,폐업정보!$D$3:$R$3,0)),
"Error"))</f>
        <v>D1740</v>
      </c>
      <c r="M1745" s="76" t="s">
        <v>96</v>
      </c>
      <c r="N1745" s="77"/>
      <c r="O1745" s="78" t="s">
        <v>97</v>
      </c>
      <c r="P1745" s="79" t="n">
        <f aca="false">COUNTIFS(임대자산!$I:$I,가맹점정보!F1745,임대자산!$N:$N,가맹점정보!P$4)</f>
        <v>0</v>
      </c>
      <c r="Q1745" s="80" t="n">
        <f aca="false">COUNTIFS(임대자산!$I:$I,가맹점정보!F1745,임대자산!$N:$N,가맹점정보!Q$4)</f>
        <v>0</v>
      </c>
      <c r="R1745" s="81" t="n">
        <f aca="false">COUNTIFS(임대자산!$I:$I,가맹점정보!F1745,임대자산!$N:$N,가맹점정보!R$4)</f>
        <v>1</v>
      </c>
      <c r="S1745" s="82" t="n">
        <v>55000</v>
      </c>
      <c r="T1745" s="83" t="n">
        <v>0</v>
      </c>
      <c r="U1745" s="80" t="n">
        <f aca="false">SUM(S1745:T1745)</f>
        <v>55000</v>
      </c>
      <c r="V1745" s="84" t="s">
        <v>12</v>
      </c>
      <c r="W1745" s="80" t="e">
        <f aca="true">
IF(D1745="폐업","폐업",
IF(V1745="면제","면제",
IF(AND(V1745="정상",COUNTIFS(OFFSET(Y1745,0,COUNTA(Y1745:AV1745)-1,1,-4),"미납")&gt;=3),"장기미납",
IF(AND(V1745="정상",OFFSET(Y1745,0,COUNTA(Y1745:AV1745)-1)&gt;=U1745),"정상",
IF(AND(V1745="정상",OFFSET(Y1745,0,COUNTA(Y1745:AV1745)-1)=0),"정상",
"계약서 미작성")))))</f>
        <v>#VALUE!</v>
      </c>
      <c r="X1745" s="81" t="str">
        <f aca="true">
IF(D1745="폐업","폐업",
IF(AND(V1745="정상",OFFSET(Y1745,0,COUNTA(Y1745:AV1745)-1)="미납"),"미납",
IF(AND(V1745="정상",OFFSET(Y1745,0,COUNTA(Y1745:AV1745)-1)=0),"납부 시작 전",
IF(AND(V1745="정상",OFFSET(Y1745,0,COUNTA(Y1745:AV1745)-1)&gt;=U1745),"정상",
IF(AND(V1745="면제",OFFSET(Y1745,0,COUNTA(Y1745:AV1745)-1)="면제"),"면제",
IF(AND(V1745="면제",OFFSET(Y1745,0,COUNTA(Y1745:AV1745)-1)=0),"면제",
"확인요청"))))))</f>
        <v>정상</v>
      </c>
      <c r="Y1745" s="93" t="n">
        <v>55000</v>
      </c>
      <c r="Z1745" s="90" t="n">
        <v>55000</v>
      </c>
      <c r="AA1745" s="90" t="n">
        <v>55000</v>
      </c>
      <c r="AB1745" s="90" t="n">
        <v>55000</v>
      </c>
      <c r="AC1745" s="90" t="n">
        <v>55000</v>
      </c>
      <c r="AD1745" s="90" t="n">
        <v>55000</v>
      </c>
      <c r="AE1745" s="90" t="n">
        <v>55000</v>
      </c>
      <c r="AF1745" s="90" t="n">
        <v>55000</v>
      </c>
      <c r="AG1745" s="90" t="n">
        <v>55000</v>
      </c>
      <c r="AH1745" s="90" t="n">
        <v>55000</v>
      </c>
      <c r="AI1745" s="90" t="n">
        <v>55000</v>
      </c>
      <c r="AJ1745" s="96" t="s">
        <v>62</v>
      </c>
      <c r="AK1745" s="89" t="n">
        <v>55000</v>
      </c>
      <c r="AL1745" s="90" t="n">
        <v>55000</v>
      </c>
      <c r="AM1745" s="90"/>
      <c r="AN1745" s="90"/>
      <c r="AO1745" s="90"/>
      <c r="AP1745" s="90"/>
      <c r="AQ1745" s="90"/>
      <c r="AR1745" s="90"/>
      <c r="AS1745" s="90"/>
      <c r="AT1745" s="90"/>
      <c r="AU1745" s="90"/>
      <c r="AV1745" s="91"/>
      <c r="AX1745" s="92"/>
    </row>
    <row r="1746" customFormat="false" ht="15.65" hidden="false" customHeight="false" outlineLevel="0" collapsed="false">
      <c r="C1746" s="72" t="n">
        <f aca="false">COUNTIFS($D$6:D1746,"&lt;&gt;"&amp;"")</f>
        <v>1741</v>
      </c>
      <c r="D1746" s="73" t="s">
        <v>12</v>
      </c>
      <c r="E1746" s="76" t="str">
        <f aca="false">
IF($D1746="정상",INDEX(임대자산!$D$3:$R$3000,MATCH($F1746,임대자산!$I$3:$I$3000,0),MATCH(E$3,임대자산!$D$3:$R$3,0)),
IF($D1746="폐업",INDEX(폐업정보!$D$3:$R$3000,MATCH($F1746,폐업정보!$I$3:$I$3000,0),MATCH(E$3,폐업정보!$D$3:$R$3,0)),
"Error"))</f>
        <v>서울</v>
      </c>
      <c r="F174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B1741</v>
      </c>
      <c r="G1746" s="76" t="str">
        <f aca="false">F1746&amp;RANDBETWEEN(0,10)</f>
        <v>B17411</v>
      </c>
      <c r="H1746" s="75" t="n">
        <f aca="false">
IF($D1746="정상",INDEX(임대자산!$D$3:$R$3000,MATCH($F1746,임대자산!$I$3:$I$3000,0),MATCH(H$4,임대자산!$D$3:$R$3,0)),
IF($D1746="폐업",INDEX(폐업정보!$D$3:$R$3000,MATCH($F1746,폐업정보!$I$3:$I$3000,0),MATCH(H$4,폐업정보!$D$3:$R$3,0)),
"Error"))</f>
        <v>45841</v>
      </c>
      <c r="I1746" s="75" t="str">
        <f aca="false">
IF($D1746="정상",INDEX(임대자산!$D$3:$R$3000,MATCH($F1746,임대자산!$I$3:$I$3000,0),MATCH(I$4,임대자산!$D$3:$R$3,0)),
IF($D1746="폐업",INDEX(폐업정보!$D$3:$R$3000,MATCH($F1746,폐업정보!$I$3:$I$3000,0),MATCH(I$4,폐업정보!$D$3:$R$3,0)),
"Error"))</f>
        <v>A1741</v>
      </c>
      <c r="J1746" s="75" t="str">
        <f aca="false">
IF($D1746="정상",INDEX(임대자산!$D$3:$R$3000,MATCH($F1746,임대자산!$I$3:$I$3000,0),MATCH(J$4,임대자산!$D$3:$R$3,0)),
IF($D1746="폐업",INDEX(폐업정보!$D$3:$R$3000,MATCH($F1746,폐업정보!$I$3:$I$3000,0),MATCH(J$4,폐업정보!$D$3:$R$3,0)),
"Error"))</f>
        <v>4863600000</v>
      </c>
      <c r="K1746" s="75" t="str">
        <f aca="false">
IF($D1746="정상",INDEX(임대자산!$D$3:$R$3000,MATCH($F1746,임대자산!$I$3:$I$3000,0),MATCH(K$4,임대자산!$D$3:$R$3,0)),
IF($D1746="폐업",INDEX(폐업정보!$D$3:$R$3000,MATCH($F1746,폐업정보!$I$3:$I$3000,0),MATCH(K$4,폐업정보!$D$3:$R$3,0)),
"Error"))</f>
        <v>C1741</v>
      </c>
      <c r="L1746" s="75" t="str">
        <f aca="false">
IF($D1746="정상",INDEX(임대자산!$D$3:$R$3000,MATCH($F1746,임대자산!$I$3:$I$3000,0),MATCH(L$4,임대자산!$D$3:$R$3,0)),
IF($D1746="폐업",INDEX(폐업정보!$D$3:$R$3000,MATCH($F1746,폐업정보!$I$3:$I$3000,0),MATCH(L$4,폐업정보!$D$3:$R$3,0)),
"Error"))</f>
        <v>D1741</v>
      </c>
      <c r="M1746" s="76" t="s">
        <v>96</v>
      </c>
      <c r="N1746" s="77"/>
      <c r="O1746" s="78" t="s">
        <v>97</v>
      </c>
      <c r="P1746" s="79" t="n">
        <f aca="false">COUNTIFS(임대자산!$I:$I,가맹점정보!F1746,임대자산!$N:$N,가맹점정보!P$4)</f>
        <v>0</v>
      </c>
      <c r="Q1746" s="80" t="n">
        <f aca="false">COUNTIFS(임대자산!$I:$I,가맹점정보!F1746,임대자산!$N:$N,가맹점정보!Q$4)</f>
        <v>0</v>
      </c>
      <c r="R1746" s="81" t="n">
        <f aca="false">COUNTIFS(임대자산!$I:$I,가맹점정보!F1746,임대자산!$N:$N,가맹점정보!R$4)</f>
        <v>1</v>
      </c>
      <c r="S1746" s="82" t="n">
        <v>88000</v>
      </c>
      <c r="T1746" s="83" t="n">
        <v>0</v>
      </c>
      <c r="U1746" s="80" t="n">
        <f aca="false">SUM(S1746:T1746)</f>
        <v>88000</v>
      </c>
      <c r="V1746" s="84" t="s">
        <v>7</v>
      </c>
      <c r="W1746" s="80" t="str">
        <f aca="true">
IF(D1746="폐업","폐업",
IF(V1746="면제","면제",
IF(AND(V1746="정상",COUNTIFS(OFFSET(Y1746,0,COUNTA(Y1746:AV1746)-1,1,-4),"미납")&gt;=3),"장기미납",
IF(AND(V1746="정상",OFFSET(Y1746,0,COUNTA(Y1746:AV1746)-1)&gt;=U1746),"정상",
IF(AND(V1746="정상",OFFSET(Y1746,0,COUNTA(Y1746:AV1746)-1)=0),"정상",
"계약서 미작성")))))</f>
        <v>면제</v>
      </c>
      <c r="X1746" s="81" t="str">
        <f aca="true">
IF(D1746="폐업","폐업",
IF(AND(V1746="정상",OFFSET(Y1746,0,COUNTA(Y1746:AV1746)-1)="미납"),"미납",
IF(AND(V1746="정상",OFFSET(Y1746,0,COUNTA(Y1746:AV1746)-1)=0),"납부 시작 전",
IF(AND(V1746="정상",OFFSET(Y1746,0,COUNTA(Y1746:AV1746)-1)&gt;=U1746),"정상",
IF(AND(V1746="면제",OFFSET(Y1746,0,COUNTA(Y1746:AV1746)-1)="면제"),"면제",
IF(AND(V1746="면제",OFFSET(Y1746,0,COUNTA(Y1746:AV1746)-1)=0),"면제",
"확인요청"))))))</f>
        <v>면제</v>
      </c>
      <c r="Y1746" s="94" t="s">
        <v>7</v>
      </c>
      <c r="Z1746" s="95" t="s">
        <v>7</v>
      </c>
      <c r="AA1746" s="95" t="s">
        <v>7</v>
      </c>
      <c r="AB1746" s="95" t="s">
        <v>7</v>
      </c>
      <c r="AC1746" s="95" t="s">
        <v>7</v>
      </c>
      <c r="AD1746" s="95" t="s">
        <v>7</v>
      </c>
      <c r="AE1746" s="95" t="s">
        <v>7</v>
      </c>
      <c r="AF1746" s="95" t="s">
        <v>7</v>
      </c>
      <c r="AG1746" s="95" t="s">
        <v>7</v>
      </c>
      <c r="AH1746" s="95" t="s">
        <v>7</v>
      </c>
      <c r="AI1746" s="95" t="s">
        <v>7</v>
      </c>
      <c r="AJ1746" s="96" t="s">
        <v>7</v>
      </c>
      <c r="AK1746" s="97" t="s">
        <v>7</v>
      </c>
      <c r="AL1746" s="95" t="s">
        <v>7</v>
      </c>
      <c r="AM1746" s="90"/>
      <c r="AN1746" s="90"/>
      <c r="AO1746" s="90"/>
      <c r="AP1746" s="90"/>
      <c r="AQ1746" s="90"/>
      <c r="AR1746" s="90"/>
      <c r="AS1746" s="90"/>
      <c r="AT1746" s="90"/>
      <c r="AU1746" s="90"/>
      <c r="AV1746" s="91"/>
      <c r="AX1746" s="92"/>
    </row>
    <row r="1747" customFormat="false" ht="15.65" hidden="false" customHeight="false" outlineLevel="0" collapsed="false">
      <c r="C1747" s="72" t="n">
        <f aca="false">COUNTIFS($D$6:D1747,"&lt;&gt;"&amp;"")</f>
        <v>1742</v>
      </c>
      <c r="D1747" s="73" t="s">
        <v>12</v>
      </c>
      <c r="E1747" s="76" t="str">
        <f aca="false">
IF($D1747="정상",INDEX(임대자산!$D$3:$R$3000,MATCH($F1747,임대자산!$I$3:$I$3000,0),MATCH(E$3,임대자산!$D$3:$R$3,0)),
IF($D1747="폐업",INDEX(폐업정보!$D$3:$R$3000,MATCH($F1747,폐업정보!$I$3:$I$3000,0),MATCH(E$3,폐업정보!$D$3:$R$3,0)),
"Error"))</f>
        <v>경상</v>
      </c>
      <c r="F174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B1742</v>
      </c>
      <c r="G1747" s="76" t="str">
        <f aca="false">F1747&amp;RANDBETWEEN(0,10)</f>
        <v>B17420</v>
      </c>
      <c r="H1747" s="75" t="n">
        <f aca="false">
IF($D1747="정상",INDEX(임대자산!$D$3:$R$3000,MATCH($F1747,임대자산!$I$3:$I$3000,0),MATCH(H$4,임대자산!$D$3:$R$3,0)),
IF($D1747="폐업",INDEX(폐업정보!$D$3:$R$3000,MATCH($F1747,폐업정보!$I$3:$I$3000,0),MATCH(H$4,폐업정보!$D$3:$R$3,0)),
"Error"))</f>
        <v>45974</v>
      </c>
      <c r="I1747" s="75" t="str">
        <f aca="false">
IF($D1747="정상",INDEX(임대자산!$D$3:$R$3000,MATCH($F1747,임대자산!$I$3:$I$3000,0),MATCH(I$4,임대자산!$D$3:$R$3,0)),
IF($D1747="폐업",INDEX(폐업정보!$D$3:$R$3000,MATCH($F1747,폐업정보!$I$3:$I$3000,0),MATCH(I$4,폐업정보!$D$3:$R$3,0)),
"Error"))</f>
        <v>A1742</v>
      </c>
      <c r="J1747" s="75" t="str">
        <f aca="false">
IF($D1747="정상",INDEX(임대자산!$D$3:$R$3000,MATCH($F1747,임대자산!$I$3:$I$3000,0),MATCH(J$4,임대자산!$D$3:$R$3,0)),
IF($D1747="폐업",INDEX(폐업정보!$D$3:$R$3000,MATCH($F1747,폐업정보!$I$3:$I$3000,0),MATCH(J$4,폐업정보!$D$3:$R$3,0)),
"Error"))</f>
        <v>7045900000</v>
      </c>
      <c r="K1747" s="75" t="str">
        <f aca="false">
IF($D1747="정상",INDEX(임대자산!$D$3:$R$3000,MATCH($F1747,임대자산!$I$3:$I$3000,0),MATCH(K$4,임대자산!$D$3:$R$3,0)),
IF($D1747="폐업",INDEX(폐업정보!$D$3:$R$3000,MATCH($F1747,폐업정보!$I$3:$I$3000,0),MATCH(K$4,폐업정보!$D$3:$R$3,0)),
"Error"))</f>
        <v>C1742</v>
      </c>
      <c r="L1747" s="75" t="str">
        <f aca="false">
IF($D1747="정상",INDEX(임대자산!$D$3:$R$3000,MATCH($F1747,임대자산!$I$3:$I$3000,0),MATCH(L$4,임대자산!$D$3:$R$3,0)),
IF($D1747="폐업",INDEX(폐업정보!$D$3:$R$3000,MATCH($F1747,폐업정보!$I$3:$I$3000,0),MATCH(L$4,폐업정보!$D$3:$R$3,0)),
"Error"))</f>
        <v>D1742</v>
      </c>
      <c r="M1747" s="76" t="s">
        <v>96</v>
      </c>
      <c r="N1747" s="77"/>
      <c r="O1747" s="78" t="s">
        <v>97</v>
      </c>
      <c r="P1747" s="79" t="n">
        <f aca="false">COUNTIFS(임대자산!$I:$I,가맹점정보!F1747,임대자산!$N:$N,가맹점정보!P$4)</f>
        <v>0</v>
      </c>
      <c r="Q1747" s="80" t="n">
        <f aca="false">COUNTIFS(임대자산!$I:$I,가맹점정보!F1747,임대자산!$N:$N,가맹점정보!Q$4)</f>
        <v>0</v>
      </c>
      <c r="R1747" s="81" t="n">
        <f aca="false">COUNTIFS(임대자산!$I:$I,가맹점정보!F1747,임대자산!$N:$N,가맹점정보!R$4)</f>
        <v>1</v>
      </c>
      <c r="S1747" s="82" t="n">
        <v>55000</v>
      </c>
      <c r="T1747" s="83" t="n">
        <v>0</v>
      </c>
      <c r="U1747" s="80" t="n">
        <f aca="false">SUM(S1747:T1747)</f>
        <v>55000</v>
      </c>
      <c r="V1747" s="84" t="s">
        <v>7</v>
      </c>
      <c r="W1747" s="80" t="str">
        <f aca="true">
IF(D1747="폐업","폐업",
IF(V1747="면제","면제",
IF(AND(V1747="정상",COUNTIFS(OFFSET(Y1747,0,COUNTA(Y1747:AV1747)-1,1,-4),"미납")&gt;=3),"장기미납",
IF(AND(V1747="정상",OFFSET(Y1747,0,COUNTA(Y1747:AV1747)-1)&gt;=U1747),"정상",
IF(AND(V1747="정상",OFFSET(Y1747,0,COUNTA(Y1747:AV1747)-1)=0),"정상",
"계약서 미작성")))))</f>
        <v>면제</v>
      </c>
      <c r="X1747" s="81" t="str">
        <f aca="true">
IF(D1747="폐업","폐업",
IF(AND(V1747="정상",OFFSET(Y1747,0,COUNTA(Y1747:AV1747)-1)="미납"),"미납",
IF(AND(V1747="정상",OFFSET(Y1747,0,COUNTA(Y1747:AV1747)-1)=0),"납부 시작 전",
IF(AND(V1747="정상",OFFSET(Y1747,0,COUNTA(Y1747:AV1747)-1)&gt;=U1747),"정상",
IF(AND(V1747="면제",OFFSET(Y1747,0,COUNTA(Y1747:AV1747)-1)="면제"),"면제",
IF(AND(V1747="면제",OFFSET(Y1747,0,COUNTA(Y1747:AV1747)-1)=0),"면제",
"확인요청"))))))</f>
        <v>면제</v>
      </c>
      <c r="Y1747" s="94" t="s">
        <v>7</v>
      </c>
      <c r="Z1747" s="95" t="s">
        <v>7</v>
      </c>
      <c r="AA1747" s="95" t="s">
        <v>7</v>
      </c>
      <c r="AB1747" s="95" t="s">
        <v>7</v>
      </c>
      <c r="AC1747" s="95" t="s">
        <v>7</v>
      </c>
      <c r="AD1747" s="95" t="s">
        <v>7</v>
      </c>
      <c r="AE1747" s="95" t="s">
        <v>7</v>
      </c>
      <c r="AF1747" s="95" t="s">
        <v>7</v>
      </c>
      <c r="AG1747" s="95" t="s">
        <v>7</v>
      </c>
      <c r="AH1747" s="95" t="s">
        <v>7</v>
      </c>
      <c r="AI1747" s="95" t="s">
        <v>7</v>
      </c>
      <c r="AJ1747" s="96" t="s">
        <v>7</v>
      </c>
      <c r="AK1747" s="97" t="s">
        <v>7</v>
      </c>
      <c r="AL1747" s="95" t="s">
        <v>7</v>
      </c>
      <c r="AM1747" s="90"/>
      <c r="AN1747" s="90"/>
      <c r="AO1747" s="90"/>
      <c r="AP1747" s="90"/>
      <c r="AQ1747" s="90"/>
      <c r="AR1747" s="90"/>
      <c r="AS1747" s="90"/>
      <c r="AT1747" s="90"/>
      <c r="AU1747" s="90"/>
      <c r="AV1747" s="91"/>
      <c r="AX1747" s="92"/>
    </row>
    <row r="1748" customFormat="false" ht="15.65" hidden="false" customHeight="false" outlineLevel="0" collapsed="false">
      <c r="C1748" s="72" t="n">
        <f aca="false">COUNTIFS($D$6:D1748,"&lt;&gt;"&amp;"")</f>
        <v>1743</v>
      </c>
      <c r="D1748" s="73" t="s">
        <v>12</v>
      </c>
      <c r="E1748" s="76" t="str">
        <f aca="false">
IF($D1748="정상",INDEX(임대자산!$D$3:$R$3000,MATCH($F1748,임대자산!$I$3:$I$3000,0),MATCH(E$3,임대자산!$D$3:$R$3,0)),
IF($D1748="폐업",INDEX(폐업정보!$D$3:$R$3000,MATCH($F1748,폐업정보!$I$3:$I$3000,0),MATCH(E$3,폐업정보!$D$3:$R$3,0)),
"Error"))</f>
        <v>경기</v>
      </c>
      <c r="F174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B1743</v>
      </c>
      <c r="G1748" s="76" t="str">
        <f aca="false">F1748&amp;RANDBETWEEN(0,10)</f>
        <v>B174310</v>
      </c>
      <c r="H1748" s="75" t="n">
        <f aca="false">
IF($D1748="정상",INDEX(임대자산!$D$3:$R$3000,MATCH($F1748,임대자산!$I$3:$I$3000,0),MATCH(H$4,임대자산!$D$3:$R$3,0)),
IF($D1748="폐업",INDEX(폐업정보!$D$3:$R$3000,MATCH($F1748,폐업정보!$I$3:$I$3000,0),MATCH(H$4,폐업정보!$D$3:$R$3,0)),
"Error"))</f>
        <v>45838</v>
      </c>
      <c r="I1748" s="75" t="str">
        <f aca="false">
IF($D1748="정상",INDEX(임대자산!$D$3:$R$3000,MATCH($F1748,임대자산!$I$3:$I$3000,0),MATCH(I$4,임대자산!$D$3:$R$3,0)),
IF($D1748="폐업",INDEX(폐업정보!$D$3:$R$3000,MATCH($F1748,폐업정보!$I$3:$I$3000,0),MATCH(I$4,폐업정보!$D$3:$R$3,0)),
"Error"))</f>
        <v>A1743</v>
      </c>
      <c r="J1748" s="75" t="str">
        <f aca="false">
IF($D1748="정상",INDEX(임대자산!$D$3:$R$3000,MATCH($F1748,임대자산!$I$3:$I$3000,0),MATCH(J$4,임대자산!$D$3:$R$3,0)),
IF($D1748="폐업",INDEX(폐업정보!$D$3:$R$3000,MATCH($F1748,폐업정보!$I$3:$I$3000,0),MATCH(J$4,폐업정보!$D$3:$R$3,0)),
"Error"))</f>
        <v>2484900000</v>
      </c>
      <c r="K1748" s="75" t="str">
        <f aca="false">
IF($D1748="정상",INDEX(임대자산!$D$3:$R$3000,MATCH($F1748,임대자산!$I$3:$I$3000,0),MATCH(K$4,임대자산!$D$3:$R$3,0)),
IF($D1748="폐업",INDEX(폐업정보!$D$3:$R$3000,MATCH($F1748,폐업정보!$I$3:$I$3000,0),MATCH(K$4,폐업정보!$D$3:$R$3,0)),
"Error"))</f>
        <v>C1743</v>
      </c>
      <c r="L1748" s="75" t="str">
        <f aca="false">
IF($D1748="정상",INDEX(임대자산!$D$3:$R$3000,MATCH($F1748,임대자산!$I$3:$I$3000,0),MATCH(L$4,임대자산!$D$3:$R$3,0)),
IF($D1748="폐업",INDEX(폐업정보!$D$3:$R$3000,MATCH($F1748,폐업정보!$I$3:$I$3000,0),MATCH(L$4,폐업정보!$D$3:$R$3,0)),
"Error"))</f>
        <v>D1743</v>
      </c>
      <c r="M1748" s="76" t="s">
        <v>96</v>
      </c>
      <c r="N1748" s="77"/>
      <c r="O1748" s="78" t="s">
        <v>97</v>
      </c>
      <c r="P1748" s="79" t="n">
        <f aca="false">COUNTIFS(임대자산!$I:$I,가맹점정보!F1748,임대자산!$N:$N,가맹점정보!P$4)</f>
        <v>0</v>
      </c>
      <c r="Q1748" s="80" t="n">
        <f aca="false">COUNTIFS(임대자산!$I:$I,가맹점정보!F1748,임대자산!$N:$N,가맹점정보!Q$4)</f>
        <v>0</v>
      </c>
      <c r="R1748" s="81" t="n">
        <f aca="false">COUNTIFS(임대자산!$I:$I,가맹점정보!F1748,임대자산!$N:$N,가맹점정보!R$4)</f>
        <v>1</v>
      </c>
      <c r="S1748" s="82" t="n">
        <v>88000</v>
      </c>
      <c r="T1748" s="83" t="n">
        <v>0</v>
      </c>
      <c r="U1748" s="80" t="n">
        <f aca="false">SUM(S1748:T1748)</f>
        <v>88000</v>
      </c>
      <c r="V1748" s="84" t="s">
        <v>7</v>
      </c>
      <c r="W1748" s="80" t="str">
        <f aca="true">
IF(D1748="폐업","폐업",
IF(V1748="면제","면제",
IF(AND(V1748="정상",COUNTIFS(OFFSET(Y1748,0,COUNTA(Y1748:AV1748)-1,1,-4),"미납")&gt;=3),"장기미납",
IF(AND(V1748="정상",OFFSET(Y1748,0,COUNTA(Y1748:AV1748)-1)&gt;=U1748),"정상",
IF(AND(V1748="정상",OFFSET(Y1748,0,COUNTA(Y1748:AV1748)-1)=0),"정상",
"계약서 미작성")))))</f>
        <v>면제</v>
      </c>
      <c r="X1748" s="81" t="str">
        <f aca="true">
IF(D1748="폐업","폐업",
IF(AND(V1748="정상",OFFSET(Y1748,0,COUNTA(Y1748:AV1748)-1)="미납"),"미납",
IF(AND(V1748="정상",OFFSET(Y1748,0,COUNTA(Y1748:AV1748)-1)=0),"납부 시작 전",
IF(AND(V1748="정상",OFFSET(Y1748,0,COUNTA(Y1748:AV1748)-1)&gt;=U1748),"정상",
IF(AND(V1748="면제",OFFSET(Y1748,0,COUNTA(Y1748:AV1748)-1)="면제"),"면제",
IF(AND(V1748="면제",OFFSET(Y1748,0,COUNTA(Y1748:AV1748)-1)=0),"면제",
"확인요청"))))))</f>
        <v>면제</v>
      </c>
      <c r="Y1748" s="94" t="s">
        <v>7</v>
      </c>
      <c r="Z1748" s="95" t="s">
        <v>7</v>
      </c>
      <c r="AA1748" s="95" t="s">
        <v>7</v>
      </c>
      <c r="AB1748" s="95" t="s">
        <v>7</v>
      </c>
      <c r="AC1748" s="95" t="s">
        <v>7</v>
      </c>
      <c r="AD1748" s="95" t="s">
        <v>7</v>
      </c>
      <c r="AE1748" s="95" t="s">
        <v>7</v>
      </c>
      <c r="AF1748" s="95" t="s">
        <v>7</v>
      </c>
      <c r="AG1748" s="95" t="s">
        <v>7</v>
      </c>
      <c r="AH1748" s="95" t="s">
        <v>7</v>
      </c>
      <c r="AI1748" s="95" t="s">
        <v>7</v>
      </c>
      <c r="AJ1748" s="96" t="s">
        <v>7</v>
      </c>
      <c r="AK1748" s="97" t="s">
        <v>7</v>
      </c>
      <c r="AL1748" s="95" t="s">
        <v>7</v>
      </c>
      <c r="AM1748" s="90"/>
      <c r="AN1748" s="90"/>
      <c r="AO1748" s="90"/>
      <c r="AP1748" s="90"/>
      <c r="AQ1748" s="90"/>
      <c r="AR1748" s="90"/>
      <c r="AS1748" s="90"/>
      <c r="AT1748" s="90"/>
      <c r="AU1748" s="90"/>
      <c r="AV1748" s="91"/>
      <c r="AX1748" s="92"/>
    </row>
    <row r="1749" customFormat="false" ht="15.65" hidden="false" customHeight="false" outlineLevel="0" collapsed="false">
      <c r="C1749" s="72" t="n">
        <f aca="false">COUNTIFS($D$6:D1749,"&lt;&gt;"&amp;"")</f>
        <v>1744</v>
      </c>
      <c r="D1749" s="73" t="s">
        <v>12</v>
      </c>
      <c r="E1749" s="76" t="str">
        <f aca="false">
IF($D1749="정상",INDEX(임대자산!$D$3:$R$3000,MATCH($F1749,임대자산!$I$3:$I$3000,0),MATCH(E$3,임대자산!$D$3:$R$3,0)),
IF($D1749="폐업",INDEX(폐업정보!$D$3:$R$3000,MATCH($F1749,폐업정보!$I$3:$I$3000,0),MATCH(E$3,폐업정보!$D$3:$R$3,0)),
"Error"))</f>
        <v>경기</v>
      </c>
      <c r="F174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B1744</v>
      </c>
      <c r="G1749" s="76" t="str">
        <f aca="false">F1749&amp;RANDBETWEEN(0,10)</f>
        <v>B17443</v>
      </c>
      <c r="H1749" s="75" t="n">
        <f aca="false">
IF($D1749="정상",INDEX(임대자산!$D$3:$R$3000,MATCH($F1749,임대자산!$I$3:$I$3000,0),MATCH(H$4,임대자산!$D$3:$R$3,0)),
IF($D1749="폐업",INDEX(폐업정보!$D$3:$R$3000,MATCH($F1749,폐업정보!$I$3:$I$3000,0),MATCH(H$4,폐업정보!$D$3:$R$3,0)),
"Error"))</f>
        <v>45838</v>
      </c>
      <c r="I1749" s="75" t="str">
        <f aca="false">
IF($D1749="정상",INDEX(임대자산!$D$3:$R$3000,MATCH($F1749,임대자산!$I$3:$I$3000,0),MATCH(I$4,임대자산!$D$3:$R$3,0)),
IF($D1749="폐업",INDEX(폐업정보!$D$3:$R$3000,MATCH($F1749,폐업정보!$I$3:$I$3000,0),MATCH(I$4,폐업정보!$D$3:$R$3,0)),
"Error"))</f>
        <v>A1744</v>
      </c>
      <c r="J1749" s="75" t="str">
        <f aca="false">
IF($D1749="정상",INDEX(임대자산!$D$3:$R$3000,MATCH($F1749,임대자산!$I$3:$I$3000,0),MATCH(J$4,임대자산!$D$3:$R$3,0)),
IF($D1749="폐업",INDEX(폐업정보!$D$3:$R$3000,MATCH($F1749,폐업정보!$I$3:$I$3000,0),MATCH(J$4,폐업정보!$D$3:$R$3,0)),
"Error"))</f>
        <v>3231900000</v>
      </c>
      <c r="K1749" s="75" t="str">
        <f aca="false">
IF($D1749="정상",INDEX(임대자산!$D$3:$R$3000,MATCH($F1749,임대자산!$I$3:$I$3000,0),MATCH(K$4,임대자산!$D$3:$R$3,0)),
IF($D1749="폐업",INDEX(폐업정보!$D$3:$R$3000,MATCH($F1749,폐업정보!$I$3:$I$3000,0),MATCH(K$4,폐업정보!$D$3:$R$3,0)),
"Error"))</f>
        <v>C1744</v>
      </c>
      <c r="L1749" s="75" t="str">
        <f aca="false">
IF($D1749="정상",INDEX(임대자산!$D$3:$R$3000,MATCH($F1749,임대자산!$I$3:$I$3000,0),MATCH(L$4,임대자산!$D$3:$R$3,0)),
IF($D1749="폐업",INDEX(폐업정보!$D$3:$R$3000,MATCH($F1749,폐업정보!$I$3:$I$3000,0),MATCH(L$4,폐업정보!$D$3:$R$3,0)),
"Error"))</f>
        <v>D1744</v>
      </c>
      <c r="M1749" s="76" t="s">
        <v>96</v>
      </c>
      <c r="N1749" s="77"/>
      <c r="O1749" s="78" t="s">
        <v>97</v>
      </c>
      <c r="P1749" s="79" t="n">
        <f aca="false">COUNTIFS(임대자산!$I:$I,가맹점정보!F1749,임대자산!$N:$N,가맹점정보!P$4)</f>
        <v>0</v>
      </c>
      <c r="Q1749" s="80" t="n">
        <f aca="false">COUNTIFS(임대자산!$I:$I,가맹점정보!F1749,임대자산!$N:$N,가맹점정보!Q$4)</f>
        <v>0</v>
      </c>
      <c r="R1749" s="81" t="n">
        <f aca="false">COUNTIFS(임대자산!$I:$I,가맹점정보!F1749,임대자산!$N:$N,가맹점정보!R$4)</f>
        <v>1</v>
      </c>
      <c r="S1749" s="82" t="n">
        <v>88000</v>
      </c>
      <c r="T1749" s="83" t="n">
        <v>0</v>
      </c>
      <c r="U1749" s="80" t="n">
        <f aca="false">SUM(S1749:T1749)</f>
        <v>88000</v>
      </c>
      <c r="V1749" s="84" t="s">
        <v>7</v>
      </c>
      <c r="W1749" s="80" t="str">
        <f aca="true">
IF(D1749="폐업","폐업",
IF(V1749="면제","면제",
IF(AND(V1749="정상",COUNTIFS(OFFSET(Y1749,0,COUNTA(Y1749:AV1749)-1,1,-4),"미납")&gt;=3),"장기미납",
IF(AND(V1749="정상",OFFSET(Y1749,0,COUNTA(Y1749:AV1749)-1)&gt;=U1749),"정상",
IF(AND(V1749="정상",OFFSET(Y1749,0,COUNTA(Y1749:AV1749)-1)=0),"정상",
"계약서 미작성")))))</f>
        <v>면제</v>
      </c>
      <c r="X1749" s="81" t="str">
        <f aca="true">
IF(D1749="폐업","폐업",
IF(AND(V1749="정상",OFFSET(Y1749,0,COUNTA(Y1749:AV1749)-1)="미납"),"미납",
IF(AND(V1749="정상",OFFSET(Y1749,0,COUNTA(Y1749:AV1749)-1)=0),"납부 시작 전",
IF(AND(V1749="정상",OFFSET(Y1749,0,COUNTA(Y1749:AV1749)-1)&gt;=U1749),"정상",
IF(AND(V1749="면제",OFFSET(Y1749,0,COUNTA(Y1749:AV1749)-1)="면제"),"면제",
IF(AND(V1749="면제",OFFSET(Y1749,0,COUNTA(Y1749:AV1749)-1)=0),"면제",
"확인요청"))))))</f>
        <v>면제</v>
      </c>
      <c r="Y1749" s="94" t="s">
        <v>7</v>
      </c>
      <c r="Z1749" s="95" t="s">
        <v>7</v>
      </c>
      <c r="AA1749" s="95" t="s">
        <v>7</v>
      </c>
      <c r="AB1749" s="95" t="s">
        <v>7</v>
      </c>
      <c r="AC1749" s="95" t="s">
        <v>7</v>
      </c>
      <c r="AD1749" s="95" t="s">
        <v>7</v>
      </c>
      <c r="AE1749" s="95" t="s">
        <v>7</v>
      </c>
      <c r="AF1749" s="95" t="s">
        <v>7</v>
      </c>
      <c r="AG1749" s="95" t="s">
        <v>7</v>
      </c>
      <c r="AH1749" s="95" t="s">
        <v>7</v>
      </c>
      <c r="AI1749" s="95" t="s">
        <v>7</v>
      </c>
      <c r="AJ1749" s="96" t="s">
        <v>7</v>
      </c>
      <c r="AK1749" s="97" t="s">
        <v>7</v>
      </c>
      <c r="AL1749" s="95" t="s">
        <v>7</v>
      </c>
      <c r="AM1749" s="90"/>
      <c r="AN1749" s="90"/>
      <c r="AO1749" s="90"/>
      <c r="AP1749" s="90"/>
      <c r="AQ1749" s="90"/>
      <c r="AR1749" s="90"/>
      <c r="AS1749" s="90"/>
      <c r="AT1749" s="90"/>
      <c r="AU1749" s="90"/>
      <c r="AV1749" s="91"/>
      <c r="AX1749" s="92"/>
    </row>
    <row r="1750" customFormat="false" ht="15.65" hidden="false" customHeight="false" outlineLevel="0" collapsed="false">
      <c r="C1750" s="72" t="n">
        <f aca="false">COUNTIFS($D$6:D1750,"&lt;&gt;"&amp;"")</f>
        <v>1745</v>
      </c>
      <c r="D1750" s="73" t="s">
        <v>12</v>
      </c>
      <c r="E1750" s="76" t="str">
        <f aca="false">
IF($D1750="정상",INDEX(임대자산!$D$3:$R$3000,MATCH($F1750,임대자산!$I$3:$I$3000,0),MATCH(E$3,임대자산!$D$3:$R$3,0)),
IF($D1750="폐업",INDEX(폐업정보!$D$3:$R$3000,MATCH($F1750,폐업정보!$I$3:$I$3000,0),MATCH(E$3,폐업정보!$D$3:$R$3,0)),
"Error"))</f>
        <v>강원</v>
      </c>
      <c r="F175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B1745</v>
      </c>
      <c r="G1750" s="76" t="str">
        <f aca="false">F1750&amp;RANDBETWEEN(0,10)</f>
        <v>B17454</v>
      </c>
      <c r="H1750" s="75" t="n">
        <f aca="false">
IF($D1750="정상",INDEX(임대자산!$D$3:$R$3000,MATCH($F1750,임대자산!$I$3:$I$3000,0),MATCH(H$4,임대자산!$D$3:$R$3,0)),
IF($D1750="폐업",INDEX(폐업정보!$D$3:$R$3000,MATCH($F1750,폐업정보!$I$3:$I$3000,0),MATCH(H$4,폐업정보!$D$3:$R$3,0)),
"Error"))</f>
        <v>45838</v>
      </c>
      <c r="I1750" s="75" t="str">
        <f aca="false">
IF($D1750="정상",INDEX(임대자산!$D$3:$R$3000,MATCH($F1750,임대자산!$I$3:$I$3000,0),MATCH(I$4,임대자산!$D$3:$R$3,0)),
IF($D1750="폐업",INDEX(폐업정보!$D$3:$R$3000,MATCH($F1750,폐업정보!$I$3:$I$3000,0),MATCH(I$4,폐업정보!$D$3:$R$3,0)),
"Error"))</f>
        <v>A1745</v>
      </c>
      <c r="J1750" s="75" t="str">
        <f aca="false">
IF($D1750="정상",INDEX(임대자산!$D$3:$R$3000,MATCH($F1750,임대자산!$I$3:$I$3000,0),MATCH(J$4,임대자산!$D$3:$R$3,0)),
IF($D1750="폐업",INDEX(폐업정보!$D$3:$R$3000,MATCH($F1750,폐업정보!$I$3:$I$3000,0),MATCH(J$4,폐업정보!$D$3:$R$3,0)),
"Error"))</f>
        <v>3383600000</v>
      </c>
      <c r="K1750" s="75" t="str">
        <f aca="false">
IF($D1750="정상",INDEX(임대자산!$D$3:$R$3000,MATCH($F1750,임대자산!$I$3:$I$3000,0),MATCH(K$4,임대자산!$D$3:$R$3,0)),
IF($D1750="폐업",INDEX(폐업정보!$D$3:$R$3000,MATCH($F1750,폐업정보!$I$3:$I$3000,0),MATCH(K$4,폐업정보!$D$3:$R$3,0)),
"Error"))</f>
        <v>C1745</v>
      </c>
      <c r="L1750" s="75" t="str">
        <f aca="false">
IF($D1750="정상",INDEX(임대자산!$D$3:$R$3000,MATCH($F1750,임대자산!$I$3:$I$3000,0),MATCH(L$4,임대자산!$D$3:$R$3,0)),
IF($D1750="폐업",INDEX(폐업정보!$D$3:$R$3000,MATCH($F1750,폐업정보!$I$3:$I$3000,0),MATCH(L$4,폐업정보!$D$3:$R$3,0)),
"Error"))</f>
        <v>D1745</v>
      </c>
      <c r="M1750" s="76" t="s">
        <v>96</v>
      </c>
      <c r="N1750" s="77"/>
      <c r="O1750" s="78" t="s">
        <v>97</v>
      </c>
      <c r="P1750" s="79" t="n">
        <f aca="false">COUNTIFS(임대자산!$I:$I,가맹점정보!F1750,임대자산!$N:$N,가맹점정보!P$4)</f>
        <v>0</v>
      </c>
      <c r="Q1750" s="80" t="n">
        <f aca="false">COUNTIFS(임대자산!$I:$I,가맹점정보!F1750,임대자산!$N:$N,가맹점정보!Q$4)</f>
        <v>0</v>
      </c>
      <c r="R1750" s="81" t="n">
        <f aca="false">COUNTIFS(임대자산!$I:$I,가맹점정보!F1750,임대자산!$N:$N,가맹점정보!R$4)</f>
        <v>1</v>
      </c>
      <c r="S1750" s="82" t="n">
        <v>55000</v>
      </c>
      <c r="T1750" s="83" t="n">
        <v>0</v>
      </c>
      <c r="U1750" s="80" t="n">
        <f aca="false">SUM(S1750:T1750)</f>
        <v>55000</v>
      </c>
      <c r="V1750" s="84" t="s">
        <v>7</v>
      </c>
      <c r="W1750" s="80" t="str">
        <f aca="true">
IF(D1750="폐업","폐업",
IF(V1750="면제","면제",
IF(AND(V1750="정상",COUNTIFS(OFFSET(Y1750,0,COUNTA(Y1750:AV1750)-1,1,-4),"미납")&gt;=3),"장기미납",
IF(AND(V1750="정상",OFFSET(Y1750,0,COUNTA(Y1750:AV1750)-1)&gt;=U1750),"정상",
IF(AND(V1750="정상",OFFSET(Y1750,0,COUNTA(Y1750:AV1750)-1)=0),"정상",
"계약서 미작성")))))</f>
        <v>면제</v>
      </c>
      <c r="X1750" s="81" t="str">
        <f aca="true">
IF(D1750="폐업","폐업",
IF(AND(V1750="정상",OFFSET(Y1750,0,COUNTA(Y1750:AV1750)-1)="미납"),"미납",
IF(AND(V1750="정상",OFFSET(Y1750,0,COUNTA(Y1750:AV1750)-1)=0),"납부 시작 전",
IF(AND(V1750="정상",OFFSET(Y1750,0,COUNTA(Y1750:AV1750)-1)&gt;=U1750),"정상",
IF(AND(V1750="면제",OFFSET(Y1750,0,COUNTA(Y1750:AV1750)-1)="면제"),"면제",
IF(AND(V1750="면제",OFFSET(Y1750,0,COUNTA(Y1750:AV1750)-1)=0),"면제",
"확인요청"))))))</f>
        <v>면제</v>
      </c>
      <c r="Y1750" s="94" t="s">
        <v>7</v>
      </c>
      <c r="Z1750" s="95" t="s">
        <v>7</v>
      </c>
      <c r="AA1750" s="95" t="s">
        <v>7</v>
      </c>
      <c r="AB1750" s="95" t="s">
        <v>7</v>
      </c>
      <c r="AC1750" s="95" t="s">
        <v>7</v>
      </c>
      <c r="AD1750" s="95" t="s">
        <v>7</v>
      </c>
      <c r="AE1750" s="95" t="s">
        <v>7</v>
      </c>
      <c r="AF1750" s="95" t="s">
        <v>7</v>
      </c>
      <c r="AG1750" s="95" t="s">
        <v>7</v>
      </c>
      <c r="AH1750" s="95" t="s">
        <v>7</v>
      </c>
      <c r="AI1750" s="95" t="s">
        <v>7</v>
      </c>
      <c r="AJ1750" s="96" t="s">
        <v>7</v>
      </c>
      <c r="AK1750" s="97" t="s">
        <v>7</v>
      </c>
      <c r="AL1750" s="95" t="s">
        <v>7</v>
      </c>
      <c r="AM1750" s="90"/>
      <c r="AN1750" s="90"/>
      <c r="AO1750" s="90"/>
      <c r="AP1750" s="90"/>
      <c r="AQ1750" s="90"/>
      <c r="AR1750" s="90"/>
      <c r="AS1750" s="90"/>
      <c r="AT1750" s="90"/>
      <c r="AU1750" s="90"/>
      <c r="AV1750" s="91"/>
      <c r="AX1750" s="92"/>
    </row>
    <row r="1751" customFormat="false" ht="15.65" hidden="false" customHeight="false" outlineLevel="0" collapsed="false">
      <c r="C1751" s="72" t="n">
        <f aca="false">COUNTIFS($D$6:D1751,"&lt;&gt;"&amp;"")</f>
        <v>1746</v>
      </c>
      <c r="D1751" s="73" t="s">
        <v>12</v>
      </c>
      <c r="E1751" s="76" t="str">
        <f aca="false">
IF($D1751="정상",INDEX(임대자산!$D$3:$R$3000,MATCH($F1751,임대자산!$I$3:$I$3000,0),MATCH(E$3,임대자산!$D$3:$R$3,0)),
IF($D1751="폐업",INDEX(폐업정보!$D$3:$R$3000,MATCH($F1751,폐업정보!$I$3:$I$3000,0),MATCH(E$3,폐업정보!$D$3:$R$3,0)),
"Error"))</f>
        <v>전라</v>
      </c>
      <c r="F175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B1746</v>
      </c>
      <c r="G1751" s="76" t="str">
        <f aca="false">F1751&amp;RANDBETWEEN(0,10)</f>
        <v>B17463</v>
      </c>
      <c r="H1751" s="75" t="n">
        <f aca="false">
IF($D1751="정상",INDEX(임대자산!$D$3:$R$3000,MATCH($F1751,임대자산!$I$3:$I$3000,0),MATCH(H$4,임대자산!$D$3:$R$3,0)),
IF($D1751="폐업",INDEX(폐업정보!$D$3:$R$3000,MATCH($F1751,폐업정보!$I$3:$I$3000,0),MATCH(H$4,폐업정보!$D$3:$R$3,0)),
"Error"))</f>
        <v>45828</v>
      </c>
      <c r="I1751" s="75" t="str">
        <f aca="false">
IF($D1751="정상",INDEX(임대자산!$D$3:$R$3000,MATCH($F1751,임대자산!$I$3:$I$3000,0),MATCH(I$4,임대자산!$D$3:$R$3,0)),
IF($D1751="폐업",INDEX(폐업정보!$D$3:$R$3000,MATCH($F1751,폐업정보!$I$3:$I$3000,0),MATCH(I$4,폐업정보!$D$3:$R$3,0)),
"Error"))</f>
        <v>A1746</v>
      </c>
      <c r="J1751" s="75" t="str">
        <f aca="false">
IF($D1751="정상",INDEX(임대자산!$D$3:$R$3000,MATCH($F1751,임대자산!$I$3:$I$3000,0),MATCH(J$4,임대자산!$D$3:$R$3,0)),
IF($D1751="폐업",INDEX(폐업정보!$D$3:$R$3000,MATCH($F1751,폐업정보!$I$3:$I$3000,0),MATCH(J$4,폐업정보!$D$3:$R$3,0)),
"Error"))</f>
        <v>8512100000</v>
      </c>
      <c r="K1751" s="75" t="str">
        <f aca="false">
IF($D1751="정상",INDEX(임대자산!$D$3:$R$3000,MATCH($F1751,임대자산!$I$3:$I$3000,0),MATCH(K$4,임대자산!$D$3:$R$3,0)),
IF($D1751="폐업",INDEX(폐업정보!$D$3:$R$3000,MATCH($F1751,폐업정보!$I$3:$I$3000,0),MATCH(K$4,폐업정보!$D$3:$R$3,0)),
"Error"))</f>
        <v>C1746</v>
      </c>
      <c r="L1751" s="75" t="str">
        <f aca="false">
IF($D1751="정상",INDEX(임대자산!$D$3:$R$3000,MATCH($F1751,임대자산!$I$3:$I$3000,0),MATCH(L$4,임대자산!$D$3:$R$3,0)),
IF($D1751="폐업",INDEX(폐업정보!$D$3:$R$3000,MATCH($F1751,폐업정보!$I$3:$I$3000,0),MATCH(L$4,폐업정보!$D$3:$R$3,0)),
"Error"))</f>
        <v>D1746</v>
      </c>
      <c r="M1751" s="76" t="s">
        <v>96</v>
      </c>
      <c r="N1751" s="77"/>
      <c r="O1751" s="78" t="s">
        <v>97</v>
      </c>
      <c r="P1751" s="79" t="n">
        <f aca="false">COUNTIFS(임대자산!$I:$I,가맹점정보!F1751,임대자산!$N:$N,가맹점정보!P$4)</f>
        <v>0</v>
      </c>
      <c r="Q1751" s="80" t="n">
        <f aca="false">COUNTIFS(임대자산!$I:$I,가맹점정보!F1751,임대자산!$N:$N,가맹점정보!Q$4)</f>
        <v>0</v>
      </c>
      <c r="R1751" s="81" t="n">
        <f aca="false">COUNTIFS(임대자산!$I:$I,가맹점정보!F1751,임대자산!$N:$N,가맹점정보!R$4)</f>
        <v>1</v>
      </c>
      <c r="S1751" s="82" t="n">
        <v>55000</v>
      </c>
      <c r="T1751" s="83" t="n">
        <v>0</v>
      </c>
      <c r="U1751" s="80" t="n">
        <f aca="false">SUM(S1751:T1751)</f>
        <v>55000</v>
      </c>
      <c r="V1751" s="84" t="s">
        <v>12</v>
      </c>
      <c r="W1751" s="80" t="e">
        <f aca="true">
IF(D1751="폐업","폐업",
IF(V1751="면제","면제",
IF(AND(V1751="정상",COUNTIFS(OFFSET(Y1751,0,COUNTA(Y1751:AV1751)-1,1,-4),"미납")&gt;=3),"장기미납",
IF(AND(V1751="정상",OFFSET(Y1751,0,COUNTA(Y1751:AV1751)-1)&gt;=U1751),"정상",
IF(AND(V1751="정상",OFFSET(Y1751,0,COUNTA(Y1751:AV1751)-1)=0),"정상",
"계약서 미작성")))))</f>
        <v>#VALUE!</v>
      </c>
      <c r="X1751" s="81" t="str">
        <f aca="true">
IF(D1751="폐업","폐업",
IF(AND(V1751="정상",OFFSET(Y1751,0,COUNTA(Y1751:AV1751)-1)="미납"),"미납",
IF(AND(V1751="정상",OFFSET(Y1751,0,COUNTA(Y1751:AV1751)-1)=0),"납부 시작 전",
IF(AND(V1751="정상",OFFSET(Y1751,0,COUNTA(Y1751:AV1751)-1)&gt;=U1751),"정상",
IF(AND(V1751="면제",OFFSET(Y1751,0,COUNTA(Y1751:AV1751)-1)="면제"),"면제",
IF(AND(V1751="면제",OFFSET(Y1751,0,COUNTA(Y1751:AV1751)-1)=0),"면제",
"확인요청"))))))</f>
        <v>정상</v>
      </c>
      <c r="Y1751" s="93" t="n">
        <v>55000</v>
      </c>
      <c r="Z1751" s="90" t="n">
        <v>55000</v>
      </c>
      <c r="AA1751" s="90" t="n">
        <v>55000</v>
      </c>
      <c r="AB1751" s="90" t="n">
        <v>55000</v>
      </c>
      <c r="AC1751" s="90" t="n">
        <v>55000</v>
      </c>
      <c r="AD1751" s="90" t="n">
        <v>55000</v>
      </c>
      <c r="AE1751" s="90" t="n">
        <v>55000</v>
      </c>
      <c r="AF1751" s="90" t="n">
        <v>55000</v>
      </c>
      <c r="AG1751" s="90" t="n">
        <v>55000</v>
      </c>
      <c r="AH1751" s="90" t="n">
        <v>55000</v>
      </c>
      <c r="AI1751" s="90" t="n">
        <v>55000</v>
      </c>
      <c r="AJ1751" s="91" t="n">
        <v>55000</v>
      </c>
      <c r="AK1751" s="89" t="n">
        <v>55000</v>
      </c>
      <c r="AL1751" s="90" t="n">
        <v>55000</v>
      </c>
      <c r="AM1751" s="90"/>
      <c r="AN1751" s="90"/>
      <c r="AO1751" s="90"/>
      <c r="AP1751" s="90"/>
      <c r="AQ1751" s="90"/>
      <c r="AR1751" s="90"/>
      <c r="AS1751" s="90"/>
      <c r="AT1751" s="90"/>
      <c r="AU1751" s="90"/>
      <c r="AV1751" s="91"/>
      <c r="AX1751" s="92"/>
    </row>
    <row r="1752" customFormat="false" ht="15.65" hidden="false" customHeight="false" outlineLevel="0" collapsed="false">
      <c r="C1752" s="72" t="n">
        <f aca="false">COUNTIFS($D$6:D1752,"&lt;&gt;"&amp;"")</f>
        <v>1747</v>
      </c>
      <c r="D1752" s="73" t="s">
        <v>12</v>
      </c>
      <c r="E1752" s="76" t="str">
        <f aca="false">
IF($D1752="정상",INDEX(임대자산!$D$3:$R$3000,MATCH($F1752,임대자산!$I$3:$I$3000,0),MATCH(E$3,임대자산!$D$3:$R$3,0)),
IF($D1752="폐업",INDEX(폐업정보!$D$3:$R$3000,MATCH($F1752,폐업정보!$I$3:$I$3000,0),MATCH(E$3,폐업정보!$D$3:$R$3,0)),
"Error"))</f>
        <v>전라</v>
      </c>
      <c r="F175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B1747</v>
      </c>
      <c r="G1752" s="76" t="str">
        <f aca="false">F1752&amp;RANDBETWEEN(0,10)</f>
        <v>B174710</v>
      </c>
      <c r="H1752" s="75" t="n">
        <f aca="false">
IF($D1752="정상",INDEX(임대자산!$D$3:$R$3000,MATCH($F1752,임대자산!$I$3:$I$3000,0),MATCH(H$4,임대자산!$D$3:$R$3,0)),
IF($D1752="폐업",INDEX(폐업정보!$D$3:$R$3000,MATCH($F1752,폐업정보!$I$3:$I$3000,0),MATCH(H$4,폐업정보!$D$3:$R$3,0)),
"Error"))</f>
        <v>45828</v>
      </c>
      <c r="I1752" s="75" t="str">
        <f aca="false">
IF($D1752="정상",INDEX(임대자산!$D$3:$R$3000,MATCH($F1752,임대자산!$I$3:$I$3000,0),MATCH(I$4,임대자산!$D$3:$R$3,0)),
IF($D1752="폐업",INDEX(폐업정보!$D$3:$R$3000,MATCH($F1752,폐업정보!$I$3:$I$3000,0),MATCH(I$4,폐업정보!$D$3:$R$3,0)),
"Error"))</f>
        <v>A1747</v>
      </c>
      <c r="J1752" s="75" t="str">
        <f aca="false">
IF($D1752="정상",INDEX(임대자산!$D$3:$R$3000,MATCH($F1752,임대자산!$I$3:$I$3000,0),MATCH(J$4,임대자산!$D$3:$R$3,0)),
IF($D1752="폐업",INDEX(폐업정보!$D$3:$R$3000,MATCH($F1752,폐업정보!$I$3:$I$3000,0),MATCH(J$4,폐업정보!$D$3:$R$3,0)),
"Error"))</f>
        <v>4772700000</v>
      </c>
      <c r="K1752" s="75" t="str">
        <f aca="false">
IF($D1752="정상",INDEX(임대자산!$D$3:$R$3000,MATCH($F1752,임대자산!$I$3:$I$3000,0),MATCH(K$4,임대자산!$D$3:$R$3,0)),
IF($D1752="폐업",INDEX(폐업정보!$D$3:$R$3000,MATCH($F1752,폐업정보!$I$3:$I$3000,0),MATCH(K$4,폐업정보!$D$3:$R$3,0)),
"Error"))</f>
        <v>C1747</v>
      </c>
      <c r="L1752" s="75" t="str">
        <f aca="false">
IF($D1752="정상",INDEX(임대자산!$D$3:$R$3000,MATCH($F1752,임대자산!$I$3:$I$3000,0),MATCH(L$4,임대자산!$D$3:$R$3,0)),
IF($D1752="폐업",INDEX(폐업정보!$D$3:$R$3000,MATCH($F1752,폐업정보!$I$3:$I$3000,0),MATCH(L$4,폐업정보!$D$3:$R$3,0)),
"Error"))</f>
        <v>D1747</v>
      </c>
      <c r="M1752" s="76" t="s">
        <v>96</v>
      </c>
      <c r="N1752" s="77"/>
      <c r="O1752" s="78" t="s">
        <v>97</v>
      </c>
      <c r="P1752" s="79" t="n">
        <f aca="false">COUNTIFS(임대자산!$I:$I,가맹점정보!F1752,임대자산!$N:$N,가맹점정보!P$4)</f>
        <v>0</v>
      </c>
      <c r="Q1752" s="80" t="n">
        <f aca="false">COUNTIFS(임대자산!$I:$I,가맹점정보!F1752,임대자산!$N:$N,가맹점정보!Q$4)</f>
        <v>0</v>
      </c>
      <c r="R1752" s="81" t="n">
        <f aca="false">COUNTIFS(임대자산!$I:$I,가맹점정보!F1752,임대자산!$N:$N,가맹점정보!R$4)</f>
        <v>1</v>
      </c>
      <c r="S1752" s="82" t="n">
        <v>55000</v>
      </c>
      <c r="T1752" s="83" t="n">
        <v>0</v>
      </c>
      <c r="U1752" s="80" t="n">
        <f aca="false">SUM(S1752:T1752)</f>
        <v>55000</v>
      </c>
      <c r="V1752" s="84" t="s">
        <v>12</v>
      </c>
      <c r="W1752" s="80" t="e">
        <f aca="true">
IF(D1752="폐업","폐업",
IF(V1752="면제","면제",
IF(AND(V1752="정상",COUNTIFS(OFFSET(Y1752,0,COUNTA(Y1752:AV1752)-1,1,-4),"미납")&gt;=3),"장기미납",
IF(AND(V1752="정상",OFFSET(Y1752,0,COUNTA(Y1752:AV1752)-1)&gt;=U1752),"정상",
IF(AND(V1752="정상",OFFSET(Y1752,0,COUNTA(Y1752:AV1752)-1)=0),"정상",
"계약서 미작성")))))</f>
        <v>#VALUE!</v>
      </c>
      <c r="X1752" s="81" t="str">
        <f aca="true">
IF(D1752="폐업","폐업",
IF(AND(V1752="정상",OFFSET(Y1752,0,COUNTA(Y1752:AV1752)-1)="미납"),"미납",
IF(AND(V1752="정상",OFFSET(Y1752,0,COUNTA(Y1752:AV1752)-1)=0),"납부 시작 전",
IF(AND(V1752="정상",OFFSET(Y1752,0,COUNTA(Y1752:AV1752)-1)&gt;=U1752),"정상",
IF(AND(V1752="면제",OFFSET(Y1752,0,COUNTA(Y1752:AV1752)-1)="면제"),"면제",
IF(AND(V1752="면제",OFFSET(Y1752,0,COUNTA(Y1752:AV1752)-1)=0),"면제",
"확인요청"))))))</f>
        <v>정상</v>
      </c>
      <c r="Y1752" s="93" t="n">
        <v>55000</v>
      </c>
      <c r="Z1752" s="90" t="n">
        <v>55000</v>
      </c>
      <c r="AA1752" s="90" t="n">
        <v>55000</v>
      </c>
      <c r="AB1752" s="90" t="n">
        <v>55000</v>
      </c>
      <c r="AC1752" s="90" t="n">
        <v>55000</v>
      </c>
      <c r="AD1752" s="90" t="n">
        <v>55000</v>
      </c>
      <c r="AE1752" s="90" t="n">
        <v>55000</v>
      </c>
      <c r="AF1752" s="90" t="n">
        <v>55000</v>
      </c>
      <c r="AG1752" s="90" t="n">
        <v>55000</v>
      </c>
      <c r="AH1752" s="90" t="n">
        <v>55000</v>
      </c>
      <c r="AI1752" s="90" t="n">
        <v>55000</v>
      </c>
      <c r="AJ1752" s="96" t="s">
        <v>62</v>
      </c>
      <c r="AK1752" s="97" t="s">
        <v>62</v>
      </c>
      <c r="AL1752" s="90" t="n">
        <v>165000</v>
      </c>
      <c r="AM1752" s="90"/>
      <c r="AN1752" s="90"/>
      <c r="AO1752" s="90"/>
      <c r="AP1752" s="90"/>
      <c r="AQ1752" s="90"/>
      <c r="AR1752" s="90"/>
      <c r="AS1752" s="90"/>
      <c r="AT1752" s="90"/>
      <c r="AU1752" s="90"/>
      <c r="AV1752" s="91"/>
      <c r="AX1752" s="92"/>
    </row>
    <row r="1753" customFormat="false" ht="15.65" hidden="false" customHeight="false" outlineLevel="0" collapsed="false">
      <c r="C1753" s="72" t="n">
        <f aca="false">COUNTIFS($D$6:D1753,"&lt;&gt;"&amp;"")</f>
        <v>1748</v>
      </c>
      <c r="D1753" s="73" t="s">
        <v>12</v>
      </c>
      <c r="E1753" s="76" t="str">
        <f aca="false">
IF($D1753="정상",INDEX(임대자산!$D$3:$R$3000,MATCH($F1753,임대자산!$I$3:$I$3000,0),MATCH(E$3,임대자산!$D$3:$R$3,0)),
IF($D1753="폐업",INDEX(폐업정보!$D$3:$R$3000,MATCH($F1753,폐업정보!$I$3:$I$3000,0),MATCH(E$3,폐업정보!$D$3:$R$3,0)),
"Error"))</f>
        <v>전라</v>
      </c>
      <c r="F175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B1748</v>
      </c>
      <c r="G1753" s="76" t="str">
        <f aca="false">F1753&amp;RANDBETWEEN(0,10)</f>
        <v>B17483</v>
      </c>
      <c r="H1753" s="75" t="n">
        <f aca="false">
IF($D1753="정상",INDEX(임대자산!$D$3:$R$3000,MATCH($F1753,임대자산!$I$3:$I$3000,0),MATCH(H$4,임대자산!$D$3:$R$3,0)),
IF($D1753="폐업",INDEX(폐업정보!$D$3:$R$3000,MATCH($F1753,폐업정보!$I$3:$I$3000,0),MATCH(H$4,폐업정보!$D$3:$R$3,0)),
"Error"))</f>
        <v>45828</v>
      </c>
      <c r="I1753" s="75" t="str">
        <f aca="false">
IF($D1753="정상",INDEX(임대자산!$D$3:$R$3000,MATCH($F1753,임대자산!$I$3:$I$3000,0),MATCH(I$4,임대자산!$D$3:$R$3,0)),
IF($D1753="폐업",INDEX(폐업정보!$D$3:$R$3000,MATCH($F1753,폐업정보!$I$3:$I$3000,0),MATCH(I$4,폐업정보!$D$3:$R$3,0)),
"Error"))</f>
        <v>A1748</v>
      </c>
      <c r="J1753" s="75" t="str">
        <f aca="false">
IF($D1753="정상",INDEX(임대자산!$D$3:$R$3000,MATCH($F1753,임대자산!$I$3:$I$3000,0),MATCH(J$4,임대자산!$D$3:$R$3,0)),
IF($D1753="폐업",INDEX(폐업정보!$D$3:$R$3000,MATCH($F1753,폐업정보!$I$3:$I$3000,0),MATCH(J$4,폐업정보!$D$3:$R$3,0)),
"Error"))</f>
        <v>7922600000</v>
      </c>
      <c r="K1753" s="75" t="str">
        <f aca="false">
IF($D1753="정상",INDEX(임대자산!$D$3:$R$3000,MATCH($F1753,임대자산!$I$3:$I$3000,0),MATCH(K$4,임대자산!$D$3:$R$3,0)),
IF($D1753="폐업",INDEX(폐업정보!$D$3:$R$3000,MATCH($F1753,폐업정보!$I$3:$I$3000,0),MATCH(K$4,폐업정보!$D$3:$R$3,0)),
"Error"))</f>
        <v>C1748</v>
      </c>
      <c r="L1753" s="75" t="str">
        <f aca="false">
IF($D1753="정상",INDEX(임대자산!$D$3:$R$3000,MATCH($F1753,임대자산!$I$3:$I$3000,0),MATCH(L$4,임대자산!$D$3:$R$3,0)),
IF($D1753="폐업",INDEX(폐업정보!$D$3:$R$3000,MATCH($F1753,폐업정보!$I$3:$I$3000,0),MATCH(L$4,폐업정보!$D$3:$R$3,0)),
"Error"))</f>
        <v>D1748</v>
      </c>
      <c r="M1753" s="76" t="s">
        <v>96</v>
      </c>
      <c r="N1753" s="77"/>
      <c r="O1753" s="78" t="s">
        <v>97</v>
      </c>
      <c r="P1753" s="79" t="n">
        <f aca="false">COUNTIFS(임대자산!$I:$I,가맹점정보!F1753,임대자산!$N:$N,가맹점정보!P$4)</f>
        <v>0</v>
      </c>
      <c r="Q1753" s="80" t="n">
        <f aca="false">COUNTIFS(임대자산!$I:$I,가맹점정보!F1753,임대자산!$N:$N,가맹점정보!Q$4)</f>
        <v>0</v>
      </c>
      <c r="R1753" s="81" t="n">
        <f aca="false">COUNTIFS(임대자산!$I:$I,가맹점정보!F1753,임대자산!$N:$N,가맹점정보!R$4)</f>
        <v>1</v>
      </c>
      <c r="S1753" s="82" t="n">
        <v>55000</v>
      </c>
      <c r="T1753" s="83" t="n">
        <v>0</v>
      </c>
      <c r="U1753" s="80" t="n">
        <f aca="false">SUM(S1753:T1753)</f>
        <v>55000</v>
      </c>
      <c r="V1753" s="84" t="s">
        <v>12</v>
      </c>
      <c r="W1753" s="80" t="e">
        <f aca="true">
IF(D1753="폐업","폐업",
IF(V1753="면제","면제",
IF(AND(V1753="정상",COUNTIFS(OFFSET(Y1753,0,COUNTA(Y1753:AV1753)-1,1,-4),"미납")&gt;=3),"장기미납",
IF(AND(V1753="정상",OFFSET(Y1753,0,COUNTA(Y1753:AV1753)-1)&gt;=U1753),"정상",
IF(AND(V1753="정상",OFFSET(Y1753,0,COUNTA(Y1753:AV1753)-1)=0),"정상",
"계약서 미작성")))))</f>
        <v>#VALUE!</v>
      </c>
      <c r="X1753" s="81" t="str">
        <f aca="true">
IF(D1753="폐업","폐업",
IF(AND(V1753="정상",OFFSET(Y1753,0,COUNTA(Y1753:AV1753)-1)="미납"),"미납",
IF(AND(V1753="정상",OFFSET(Y1753,0,COUNTA(Y1753:AV1753)-1)=0),"납부 시작 전",
IF(AND(V1753="정상",OFFSET(Y1753,0,COUNTA(Y1753:AV1753)-1)&gt;=U1753),"정상",
IF(AND(V1753="면제",OFFSET(Y1753,0,COUNTA(Y1753:AV1753)-1)="면제"),"면제",
IF(AND(V1753="면제",OFFSET(Y1753,0,COUNTA(Y1753:AV1753)-1)=0),"면제",
"확인요청"))))))</f>
        <v>정상</v>
      </c>
      <c r="Y1753" s="93" t="n">
        <v>55000</v>
      </c>
      <c r="Z1753" s="90" t="n">
        <v>55000</v>
      </c>
      <c r="AA1753" s="90" t="n">
        <v>55000</v>
      </c>
      <c r="AB1753" s="90" t="n">
        <v>55000</v>
      </c>
      <c r="AC1753" s="90" t="n">
        <v>55000</v>
      </c>
      <c r="AD1753" s="90" t="n">
        <v>55000</v>
      </c>
      <c r="AE1753" s="90" t="n">
        <v>55000</v>
      </c>
      <c r="AF1753" s="90" t="n">
        <v>55000</v>
      </c>
      <c r="AG1753" s="90" t="n">
        <v>55000</v>
      </c>
      <c r="AH1753" s="90" t="n">
        <v>55000</v>
      </c>
      <c r="AI1753" s="90" t="n">
        <v>55000</v>
      </c>
      <c r="AJ1753" s="91" t="n">
        <v>55000</v>
      </c>
      <c r="AK1753" s="89" t="n">
        <v>55000</v>
      </c>
      <c r="AL1753" s="90" t="n">
        <v>55000</v>
      </c>
      <c r="AM1753" s="90"/>
      <c r="AN1753" s="90"/>
      <c r="AO1753" s="90"/>
      <c r="AP1753" s="90"/>
      <c r="AQ1753" s="90"/>
      <c r="AR1753" s="90"/>
      <c r="AS1753" s="90"/>
      <c r="AT1753" s="90"/>
      <c r="AU1753" s="90"/>
      <c r="AV1753" s="91"/>
      <c r="AX1753" s="92"/>
    </row>
    <row r="1754" customFormat="false" ht="15.65" hidden="false" customHeight="false" outlineLevel="0" collapsed="false">
      <c r="C1754" s="72" t="n">
        <f aca="false">COUNTIFS($D$6:D1754,"&lt;&gt;"&amp;"")</f>
        <v>1749</v>
      </c>
      <c r="D1754" s="73" t="s">
        <v>12</v>
      </c>
      <c r="E1754" s="76" t="str">
        <f aca="false">
IF($D1754="정상",INDEX(임대자산!$D$3:$R$3000,MATCH($F1754,임대자산!$I$3:$I$3000,0),MATCH(E$3,임대자산!$D$3:$R$3,0)),
IF($D1754="폐업",INDEX(폐업정보!$D$3:$R$3000,MATCH($F1754,폐업정보!$I$3:$I$3000,0),MATCH(E$3,폐업정보!$D$3:$R$3,0)),
"Error"))</f>
        <v>서울</v>
      </c>
      <c r="F175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B1749</v>
      </c>
      <c r="G1754" s="76" t="str">
        <f aca="false">F1754&amp;RANDBETWEEN(0,10)</f>
        <v>B17492</v>
      </c>
      <c r="H1754" s="75" t="n">
        <f aca="false">
IF($D1754="정상",INDEX(임대자산!$D$3:$R$3000,MATCH($F1754,임대자산!$I$3:$I$3000,0),MATCH(H$4,임대자산!$D$3:$R$3,0)),
IF($D1754="폐업",INDEX(폐업정보!$D$3:$R$3000,MATCH($F1754,폐업정보!$I$3:$I$3000,0),MATCH(H$4,폐업정보!$D$3:$R$3,0)),
"Error"))</f>
        <v>45839</v>
      </c>
      <c r="I1754" s="75" t="str">
        <f aca="false">
IF($D1754="정상",INDEX(임대자산!$D$3:$R$3000,MATCH($F1754,임대자산!$I$3:$I$3000,0),MATCH(I$4,임대자산!$D$3:$R$3,0)),
IF($D1754="폐업",INDEX(폐업정보!$D$3:$R$3000,MATCH($F1754,폐업정보!$I$3:$I$3000,0),MATCH(I$4,폐업정보!$D$3:$R$3,0)),
"Error"))</f>
        <v>A1749</v>
      </c>
      <c r="J1754" s="75" t="str">
        <f aca="false">
IF($D1754="정상",INDEX(임대자산!$D$3:$R$3000,MATCH($F1754,임대자산!$I$3:$I$3000,0),MATCH(J$4,임대자산!$D$3:$R$3,0)),
IF($D1754="폐업",INDEX(폐업정보!$D$3:$R$3000,MATCH($F1754,폐업정보!$I$3:$I$3000,0),MATCH(J$4,폐업정보!$D$3:$R$3,0)),
"Error"))</f>
        <v>1012600000</v>
      </c>
      <c r="K1754" s="75" t="str">
        <f aca="false">
IF($D1754="정상",INDEX(임대자산!$D$3:$R$3000,MATCH($F1754,임대자산!$I$3:$I$3000,0),MATCH(K$4,임대자산!$D$3:$R$3,0)),
IF($D1754="폐업",INDEX(폐업정보!$D$3:$R$3000,MATCH($F1754,폐업정보!$I$3:$I$3000,0),MATCH(K$4,폐업정보!$D$3:$R$3,0)),
"Error"))</f>
        <v>C1749</v>
      </c>
      <c r="L1754" s="75" t="str">
        <f aca="false">
IF($D1754="정상",INDEX(임대자산!$D$3:$R$3000,MATCH($F1754,임대자산!$I$3:$I$3000,0),MATCH(L$4,임대자산!$D$3:$R$3,0)),
IF($D1754="폐업",INDEX(폐업정보!$D$3:$R$3000,MATCH($F1754,폐업정보!$I$3:$I$3000,0),MATCH(L$4,폐업정보!$D$3:$R$3,0)),
"Error"))</f>
        <v>D1749</v>
      </c>
      <c r="M1754" s="76" t="s">
        <v>96</v>
      </c>
      <c r="N1754" s="77"/>
      <c r="O1754" s="78" t="s">
        <v>97</v>
      </c>
      <c r="P1754" s="79" t="n">
        <f aca="false">COUNTIFS(임대자산!$I:$I,가맹점정보!F1754,임대자산!$N:$N,가맹점정보!P$4)</f>
        <v>0</v>
      </c>
      <c r="Q1754" s="80" t="n">
        <f aca="false">COUNTIFS(임대자산!$I:$I,가맹점정보!F1754,임대자산!$N:$N,가맹점정보!Q$4)</f>
        <v>0</v>
      </c>
      <c r="R1754" s="81" t="n">
        <f aca="false">COUNTIFS(임대자산!$I:$I,가맹점정보!F1754,임대자산!$N:$N,가맹점정보!R$4)</f>
        <v>1</v>
      </c>
      <c r="S1754" s="82" t="n">
        <v>55000</v>
      </c>
      <c r="T1754" s="83" t="n">
        <v>0</v>
      </c>
      <c r="U1754" s="80" t="n">
        <f aca="false">SUM(S1754:T1754)</f>
        <v>55000</v>
      </c>
      <c r="V1754" s="84" t="s">
        <v>12</v>
      </c>
      <c r="W1754" s="80" t="e">
        <f aca="true">
IF(D1754="폐업","폐업",
IF(V1754="면제","면제",
IF(AND(V1754="정상",COUNTIFS(OFFSET(Y1754,0,COUNTA(Y1754:AV1754)-1,1,-4),"미납")&gt;=3),"장기미납",
IF(AND(V1754="정상",OFFSET(Y1754,0,COUNTA(Y1754:AV1754)-1)&gt;=U1754),"정상",
IF(AND(V1754="정상",OFFSET(Y1754,0,COUNTA(Y1754:AV1754)-1)=0),"정상",
"계약서 미작성")))))</f>
        <v>#VALUE!</v>
      </c>
      <c r="X1754" s="81" t="str">
        <f aca="true">
IF(D1754="폐업","폐업",
IF(AND(V1754="정상",OFFSET(Y1754,0,COUNTA(Y1754:AV1754)-1)="미납"),"미납",
IF(AND(V1754="정상",OFFSET(Y1754,0,COUNTA(Y1754:AV1754)-1)=0),"납부 시작 전",
IF(AND(V1754="정상",OFFSET(Y1754,0,COUNTA(Y1754:AV1754)-1)&gt;=U1754),"정상",
IF(AND(V1754="면제",OFFSET(Y1754,0,COUNTA(Y1754:AV1754)-1)="면제"),"면제",
IF(AND(V1754="면제",OFFSET(Y1754,0,COUNTA(Y1754:AV1754)-1)=0),"면제",
"확인요청"))))))</f>
        <v>정상</v>
      </c>
      <c r="Y1754" s="93" t="n">
        <v>55000</v>
      </c>
      <c r="Z1754" s="90" t="n">
        <v>55000</v>
      </c>
      <c r="AA1754" s="90" t="n">
        <v>55000</v>
      </c>
      <c r="AB1754" s="90" t="n">
        <v>55000</v>
      </c>
      <c r="AC1754" s="90" t="n">
        <v>55000</v>
      </c>
      <c r="AD1754" s="90" t="n">
        <v>55000</v>
      </c>
      <c r="AE1754" s="90" t="n">
        <v>55000</v>
      </c>
      <c r="AF1754" s="90" t="n">
        <v>55000</v>
      </c>
      <c r="AG1754" s="90" t="n">
        <v>55000</v>
      </c>
      <c r="AH1754" s="90" t="n">
        <v>55000</v>
      </c>
      <c r="AI1754" s="90" t="n">
        <v>55000</v>
      </c>
      <c r="AJ1754" s="91" t="n">
        <v>55000</v>
      </c>
      <c r="AK1754" s="89" t="n">
        <v>55000</v>
      </c>
      <c r="AL1754" s="90" t="n">
        <v>55000</v>
      </c>
      <c r="AM1754" s="90"/>
      <c r="AN1754" s="90"/>
      <c r="AO1754" s="90"/>
      <c r="AP1754" s="90"/>
      <c r="AQ1754" s="90"/>
      <c r="AR1754" s="90"/>
      <c r="AS1754" s="90"/>
      <c r="AT1754" s="90"/>
      <c r="AU1754" s="90"/>
      <c r="AV1754" s="91"/>
      <c r="AX1754" s="92"/>
    </row>
    <row r="1755" customFormat="false" ht="15.65" hidden="false" customHeight="false" outlineLevel="0" collapsed="false">
      <c r="C1755" s="72" t="n">
        <f aca="false">COUNTIFS($D$6:D1755,"&lt;&gt;"&amp;"")</f>
        <v>1750</v>
      </c>
      <c r="D1755" s="73" t="s">
        <v>12</v>
      </c>
      <c r="E1755" s="76" t="str">
        <f aca="false">
IF($D1755="정상",INDEX(임대자산!$D$3:$R$3000,MATCH($F1755,임대자산!$I$3:$I$3000,0),MATCH(E$3,임대자산!$D$3:$R$3,0)),
IF($D1755="폐업",INDEX(폐업정보!$D$3:$R$3000,MATCH($F1755,폐업정보!$I$3:$I$3000,0),MATCH(E$3,폐업정보!$D$3:$R$3,0)),
"Error"))</f>
        <v>서울</v>
      </c>
      <c r="F175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B1750</v>
      </c>
      <c r="G1755" s="76" t="str">
        <f aca="false">F1755&amp;RANDBETWEEN(0,10)</f>
        <v>B17503</v>
      </c>
      <c r="H1755" s="75" t="n">
        <f aca="false">
IF($D1755="정상",INDEX(임대자산!$D$3:$R$3000,MATCH($F1755,임대자산!$I$3:$I$3000,0),MATCH(H$4,임대자산!$D$3:$R$3,0)),
IF($D1755="폐업",INDEX(폐업정보!$D$3:$R$3000,MATCH($F1755,폐업정보!$I$3:$I$3000,0),MATCH(H$4,폐업정보!$D$3:$R$3,0)),
"Error"))</f>
        <v>45839</v>
      </c>
      <c r="I1755" s="75" t="str">
        <f aca="false">
IF($D1755="정상",INDEX(임대자산!$D$3:$R$3000,MATCH($F1755,임대자산!$I$3:$I$3000,0),MATCH(I$4,임대자산!$D$3:$R$3,0)),
IF($D1755="폐업",INDEX(폐업정보!$D$3:$R$3000,MATCH($F1755,폐업정보!$I$3:$I$3000,0),MATCH(I$4,폐업정보!$D$3:$R$3,0)),
"Error"))</f>
        <v>A1750</v>
      </c>
      <c r="J1755" s="75" t="str">
        <f aca="false">
IF($D1755="정상",INDEX(임대자산!$D$3:$R$3000,MATCH($F1755,임대자산!$I$3:$I$3000,0),MATCH(J$4,임대자산!$D$3:$R$3,0)),
IF($D1755="폐업",INDEX(폐업정보!$D$3:$R$3000,MATCH($F1755,폐업정보!$I$3:$I$3000,0),MATCH(J$4,폐업정보!$D$3:$R$3,0)),
"Error"))</f>
        <v>5963400000</v>
      </c>
      <c r="K1755" s="75" t="str">
        <f aca="false">
IF($D1755="정상",INDEX(임대자산!$D$3:$R$3000,MATCH($F1755,임대자산!$I$3:$I$3000,0),MATCH(K$4,임대자산!$D$3:$R$3,0)),
IF($D1755="폐업",INDEX(폐업정보!$D$3:$R$3000,MATCH($F1755,폐업정보!$I$3:$I$3000,0),MATCH(K$4,폐업정보!$D$3:$R$3,0)),
"Error"))</f>
        <v>C1750</v>
      </c>
      <c r="L1755" s="75" t="str">
        <f aca="false">
IF($D1755="정상",INDEX(임대자산!$D$3:$R$3000,MATCH($F1755,임대자산!$I$3:$I$3000,0),MATCH(L$4,임대자산!$D$3:$R$3,0)),
IF($D1755="폐업",INDEX(폐업정보!$D$3:$R$3000,MATCH($F1755,폐업정보!$I$3:$I$3000,0),MATCH(L$4,폐업정보!$D$3:$R$3,0)),
"Error"))</f>
        <v>D1750</v>
      </c>
      <c r="M1755" s="76" t="s">
        <v>96</v>
      </c>
      <c r="N1755" s="77"/>
      <c r="O1755" s="78" t="s">
        <v>97</v>
      </c>
      <c r="P1755" s="79" t="n">
        <f aca="false">COUNTIFS(임대자산!$I:$I,가맹점정보!F1755,임대자산!$N:$N,가맹점정보!P$4)</f>
        <v>0</v>
      </c>
      <c r="Q1755" s="80" t="n">
        <f aca="false">COUNTIFS(임대자산!$I:$I,가맹점정보!F1755,임대자산!$N:$N,가맹점정보!Q$4)</f>
        <v>0</v>
      </c>
      <c r="R1755" s="81" t="n">
        <f aca="false">COUNTIFS(임대자산!$I:$I,가맹점정보!F1755,임대자산!$N:$N,가맹점정보!R$4)</f>
        <v>1</v>
      </c>
      <c r="S1755" s="82" t="n">
        <v>110000</v>
      </c>
      <c r="T1755" s="83" t="n">
        <v>0</v>
      </c>
      <c r="U1755" s="80" t="n">
        <f aca="false">SUM(S1755:T1755)</f>
        <v>110000</v>
      </c>
      <c r="V1755" s="84" t="s">
        <v>12</v>
      </c>
      <c r="W1755" s="80" t="e">
        <f aca="true">
IF(D1755="폐업","폐업",
IF(V1755="면제","면제",
IF(AND(V1755="정상",COUNTIFS(OFFSET(Y1755,0,COUNTA(Y1755:AV1755)-1,1,-4),"미납")&gt;=3),"장기미납",
IF(AND(V1755="정상",OFFSET(Y1755,0,COUNTA(Y1755:AV1755)-1)&gt;=U1755),"정상",
IF(AND(V1755="정상",OFFSET(Y1755,0,COUNTA(Y1755:AV1755)-1)=0),"정상",
"계약서 미작성")))))</f>
        <v>#VALUE!</v>
      </c>
      <c r="X1755" s="81" t="str">
        <f aca="true">
IF(D1755="폐업","폐업",
IF(AND(V1755="정상",OFFSET(Y1755,0,COUNTA(Y1755:AV1755)-1)="미납"),"미납",
IF(AND(V1755="정상",OFFSET(Y1755,0,COUNTA(Y1755:AV1755)-1)=0),"납부 시작 전",
IF(AND(V1755="정상",OFFSET(Y1755,0,COUNTA(Y1755:AV1755)-1)&gt;=U1755),"정상",
IF(AND(V1755="면제",OFFSET(Y1755,0,COUNTA(Y1755:AV1755)-1)="면제"),"면제",
IF(AND(V1755="면제",OFFSET(Y1755,0,COUNTA(Y1755:AV1755)-1)=0),"면제",
"확인요청"))))))</f>
        <v>정상</v>
      </c>
      <c r="Y1755" s="93" t="n">
        <v>110000</v>
      </c>
      <c r="Z1755" s="90" t="n">
        <v>110000</v>
      </c>
      <c r="AA1755" s="90" t="n">
        <v>110000</v>
      </c>
      <c r="AB1755" s="90" t="n">
        <v>110000</v>
      </c>
      <c r="AC1755" s="90" t="n">
        <v>110000</v>
      </c>
      <c r="AD1755" s="90" t="n">
        <v>110000</v>
      </c>
      <c r="AE1755" s="90" t="n">
        <v>110000</v>
      </c>
      <c r="AF1755" s="90" t="n">
        <v>110000</v>
      </c>
      <c r="AG1755" s="90" t="n">
        <v>110000</v>
      </c>
      <c r="AH1755" s="90" t="n">
        <v>110000</v>
      </c>
      <c r="AI1755" s="90" t="n">
        <v>110000</v>
      </c>
      <c r="AJ1755" s="91" t="n">
        <v>110000</v>
      </c>
      <c r="AK1755" s="89" t="n">
        <v>110000</v>
      </c>
      <c r="AL1755" s="90" t="n">
        <v>110000</v>
      </c>
      <c r="AM1755" s="90"/>
      <c r="AN1755" s="90"/>
      <c r="AO1755" s="90"/>
      <c r="AP1755" s="90"/>
      <c r="AQ1755" s="90"/>
      <c r="AR1755" s="90"/>
      <c r="AS1755" s="90"/>
      <c r="AT1755" s="90"/>
      <c r="AU1755" s="90"/>
      <c r="AV1755" s="91"/>
      <c r="AX1755" s="92"/>
    </row>
    <row r="1756" customFormat="false" ht="15.65" hidden="false" customHeight="false" outlineLevel="0" collapsed="false">
      <c r="C1756" s="72" t="n">
        <f aca="false">COUNTIFS($D$6:D1756,"&lt;&gt;"&amp;"")</f>
        <v>1751</v>
      </c>
      <c r="D1756" s="73" t="s">
        <v>12</v>
      </c>
      <c r="E1756" s="76" t="str">
        <f aca="false">
IF($D1756="정상",INDEX(임대자산!$D$3:$R$3000,MATCH($F1756,임대자산!$I$3:$I$3000,0),MATCH(E$3,임대자산!$D$3:$R$3,0)),
IF($D1756="폐업",INDEX(폐업정보!$D$3:$R$3000,MATCH($F1756,폐업정보!$I$3:$I$3000,0),MATCH(E$3,폐업정보!$D$3:$R$3,0)),
"Error"))</f>
        <v>경기</v>
      </c>
      <c r="F175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B1751</v>
      </c>
      <c r="G1756" s="76" t="str">
        <f aca="false">F1756&amp;RANDBETWEEN(0,10)</f>
        <v>B17517</v>
      </c>
      <c r="H1756" s="75" t="n">
        <f aca="false">
IF($D1756="정상",INDEX(임대자산!$D$3:$R$3000,MATCH($F1756,임대자산!$I$3:$I$3000,0),MATCH(H$4,임대자산!$D$3:$R$3,0)),
IF($D1756="폐업",INDEX(폐업정보!$D$3:$R$3000,MATCH($F1756,폐업정보!$I$3:$I$3000,0),MATCH(H$4,폐업정보!$D$3:$R$3,0)),
"Error"))</f>
        <v>45845</v>
      </c>
      <c r="I1756" s="75" t="str">
        <f aca="false">
IF($D1756="정상",INDEX(임대자산!$D$3:$R$3000,MATCH($F1756,임대자산!$I$3:$I$3000,0),MATCH(I$4,임대자산!$D$3:$R$3,0)),
IF($D1756="폐업",INDEX(폐업정보!$D$3:$R$3000,MATCH($F1756,폐업정보!$I$3:$I$3000,0),MATCH(I$4,폐업정보!$D$3:$R$3,0)),
"Error"))</f>
        <v>A1751</v>
      </c>
      <c r="J1756" s="75" t="str">
        <f aca="false">
IF($D1756="정상",INDEX(임대자산!$D$3:$R$3000,MATCH($F1756,임대자산!$I$3:$I$3000,0),MATCH(J$4,임대자산!$D$3:$R$3,0)),
IF($D1756="폐업",INDEX(폐업정보!$D$3:$R$3000,MATCH($F1756,폐업정보!$I$3:$I$3000,0),MATCH(J$4,폐업정보!$D$3:$R$3,0)),
"Error"))</f>
        <v>3740500000</v>
      </c>
      <c r="K1756" s="75" t="str">
        <f aca="false">
IF($D1756="정상",INDEX(임대자산!$D$3:$R$3000,MATCH($F1756,임대자산!$I$3:$I$3000,0),MATCH(K$4,임대자산!$D$3:$R$3,0)),
IF($D1756="폐업",INDEX(폐업정보!$D$3:$R$3000,MATCH($F1756,폐업정보!$I$3:$I$3000,0),MATCH(K$4,폐업정보!$D$3:$R$3,0)),
"Error"))</f>
        <v>C1751</v>
      </c>
      <c r="L1756" s="75" t="str">
        <f aca="false">
IF($D1756="정상",INDEX(임대자산!$D$3:$R$3000,MATCH($F1756,임대자산!$I$3:$I$3000,0),MATCH(L$4,임대자산!$D$3:$R$3,0)),
IF($D1756="폐업",INDEX(폐업정보!$D$3:$R$3000,MATCH($F1756,폐업정보!$I$3:$I$3000,0),MATCH(L$4,폐업정보!$D$3:$R$3,0)),
"Error"))</f>
        <v>D1751</v>
      </c>
      <c r="M1756" s="76" t="s">
        <v>96</v>
      </c>
      <c r="N1756" s="77"/>
      <c r="O1756" s="78" t="s">
        <v>97</v>
      </c>
      <c r="P1756" s="79" t="n">
        <f aca="false">COUNTIFS(임대자산!$I:$I,가맹점정보!F1756,임대자산!$N:$N,가맹점정보!P$4)</f>
        <v>0</v>
      </c>
      <c r="Q1756" s="80" t="n">
        <f aca="false">COUNTIFS(임대자산!$I:$I,가맹점정보!F1756,임대자산!$N:$N,가맹점정보!Q$4)</f>
        <v>0</v>
      </c>
      <c r="R1756" s="81" t="n">
        <f aca="false">COUNTIFS(임대자산!$I:$I,가맹점정보!F1756,임대자산!$N:$N,가맹점정보!R$4)</f>
        <v>1</v>
      </c>
      <c r="S1756" s="82" t="n">
        <v>55000</v>
      </c>
      <c r="T1756" s="83" t="n">
        <v>0</v>
      </c>
      <c r="U1756" s="80" t="n">
        <f aca="false">SUM(S1756:T1756)</f>
        <v>55000</v>
      </c>
      <c r="V1756" s="84" t="s">
        <v>12</v>
      </c>
      <c r="W1756" s="80" t="e">
        <f aca="true">
IF(D1756="폐업","폐업",
IF(V1756="면제","면제",
IF(AND(V1756="정상",COUNTIFS(OFFSET(Y1756,0,COUNTA(Y1756:AV1756)-1,1,-4),"미납")&gt;=3),"장기미납",
IF(AND(V1756="정상",OFFSET(Y1756,0,COUNTA(Y1756:AV1756)-1)&gt;=U1756),"정상",
IF(AND(V1756="정상",OFFSET(Y1756,0,COUNTA(Y1756:AV1756)-1)=0),"정상",
"계약서 미작성")))))</f>
        <v>#VALUE!</v>
      </c>
      <c r="X1756" s="81" t="str">
        <f aca="true">
IF(D1756="폐업","폐업",
IF(AND(V1756="정상",OFFSET(Y1756,0,COUNTA(Y1756:AV1756)-1)="미납"),"미납",
IF(AND(V1756="정상",OFFSET(Y1756,0,COUNTA(Y1756:AV1756)-1)=0),"납부 시작 전",
IF(AND(V1756="정상",OFFSET(Y1756,0,COUNTA(Y1756:AV1756)-1)&gt;=U1756),"정상",
IF(AND(V1756="면제",OFFSET(Y1756,0,COUNTA(Y1756:AV1756)-1)="면제"),"면제",
IF(AND(V1756="면제",OFFSET(Y1756,0,COUNTA(Y1756:AV1756)-1)=0),"면제",
"확인요청"))))))</f>
        <v>미납</v>
      </c>
      <c r="Y1756" s="93" t="n">
        <v>55000</v>
      </c>
      <c r="Z1756" s="90" t="n">
        <v>55000</v>
      </c>
      <c r="AA1756" s="90" t="n">
        <v>55000</v>
      </c>
      <c r="AB1756" s="90" t="n">
        <v>55000</v>
      </c>
      <c r="AC1756" s="90" t="n">
        <v>55000</v>
      </c>
      <c r="AD1756" s="90" t="n">
        <v>55000</v>
      </c>
      <c r="AE1756" s="90" t="n">
        <v>55000</v>
      </c>
      <c r="AF1756" s="90" t="n">
        <v>55000</v>
      </c>
      <c r="AG1756" s="90" t="n">
        <v>55000</v>
      </c>
      <c r="AH1756" s="90" t="n">
        <v>55000</v>
      </c>
      <c r="AI1756" s="90" t="n">
        <v>55000</v>
      </c>
      <c r="AJ1756" s="96" t="s">
        <v>62</v>
      </c>
      <c r="AK1756" s="97" t="s">
        <v>62</v>
      </c>
      <c r="AL1756" s="95" t="s">
        <v>62</v>
      </c>
      <c r="AM1756" s="90"/>
      <c r="AN1756" s="90"/>
      <c r="AO1756" s="90"/>
      <c r="AP1756" s="90"/>
      <c r="AQ1756" s="90"/>
      <c r="AR1756" s="90"/>
      <c r="AS1756" s="90"/>
      <c r="AT1756" s="90"/>
      <c r="AU1756" s="90"/>
      <c r="AV1756" s="91"/>
      <c r="AX1756" s="92"/>
    </row>
    <row r="1757" customFormat="false" ht="15.65" hidden="false" customHeight="false" outlineLevel="0" collapsed="false">
      <c r="C1757" s="72" t="n">
        <f aca="false">COUNTIFS($D$6:D1757,"&lt;&gt;"&amp;"")</f>
        <v>1752</v>
      </c>
      <c r="D1757" s="73" t="s">
        <v>12</v>
      </c>
      <c r="E1757" s="76" t="str">
        <f aca="false">
IF($D1757="정상",INDEX(임대자산!$D$3:$R$3000,MATCH($F1757,임대자산!$I$3:$I$3000,0),MATCH(E$3,임대자산!$D$3:$R$3,0)),
IF($D1757="폐업",INDEX(폐업정보!$D$3:$R$3000,MATCH($F1757,폐업정보!$I$3:$I$3000,0),MATCH(E$3,폐업정보!$D$3:$R$3,0)),
"Error"))</f>
        <v>서울</v>
      </c>
      <c r="F175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B1752</v>
      </c>
      <c r="G1757" s="76" t="str">
        <f aca="false">F1757&amp;RANDBETWEEN(0,10)</f>
        <v>B17524</v>
      </c>
      <c r="H1757" s="75" t="n">
        <f aca="false">
IF($D1757="정상",INDEX(임대자산!$D$3:$R$3000,MATCH($F1757,임대자산!$I$3:$I$3000,0),MATCH(H$4,임대자산!$D$3:$R$3,0)),
IF($D1757="폐업",INDEX(폐업정보!$D$3:$R$3000,MATCH($F1757,폐업정보!$I$3:$I$3000,0),MATCH(H$4,폐업정보!$D$3:$R$3,0)),
"Error"))</f>
        <v>45854</v>
      </c>
      <c r="I1757" s="75" t="str">
        <f aca="false">
IF($D1757="정상",INDEX(임대자산!$D$3:$R$3000,MATCH($F1757,임대자산!$I$3:$I$3000,0),MATCH(I$4,임대자산!$D$3:$R$3,0)),
IF($D1757="폐업",INDEX(폐업정보!$D$3:$R$3000,MATCH($F1757,폐업정보!$I$3:$I$3000,0),MATCH(I$4,폐업정보!$D$3:$R$3,0)),
"Error"))</f>
        <v>A1752</v>
      </c>
      <c r="J1757" s="75" t="str">
        <f aca="false">
IF($D1757="정상",INDEX(임대자산!$D$3:$R$3000,MATCH($F1757,임대자산!$I$3:$I$3000,0),MATCH(J$4,임대자산!$D$3:$R$3,0)),
IF($D1757="폐업",INDEX(폐업정보!$D$3:$R$3000,MATCH($F1757,폐업정보!$I$3:$I$3000,0),MATCH(J$4,폐업정보!$D$3:$R$3,0)),
"Error"))</f>
        <v>5562600000</v>
      </c>
      <c r="K1757" s="75" t="str">
        <f aca="false">
IF($D1757="정상",INDEX(임대자산!$D$3:$R$3000,MATCH($F1757,임대자산!$I$3:$I$3000,0),MATCH(K$4,임대자산!$D$3:$R$3,0)),
IF($D1757="폐업",INDEX(폐업정보!$D$3:$R$3000,MATCH($F1757,폐업정보!$I$3:$I$3000,0),MATCH(K$4,폐업정보!$D$3:$R$3,0)),
"Error"))</f>
        <v>C1752</v>
      </c>
      <c r="L1757" s="75" t="str">
        <f aca="false">
IF($D1757="정상",INDEX(임대자산!$D$3:$R$3000,MATCH($F1757,임대자산!$I$3:$I$3000,0),MATCH(L$4,임대자산!$D$3:$R$3,0)),
IF($D1757="폐업",INDEX(폐업정보!$D$3:$R$3000,MATCH($F1757,폐업정보!$I$3:$I$3000,0),MATCH(L$4,폐업정보!$D$3:$R$3,0)),
"Error"))</f>
        <v>D1752</v>
      </c>
      <c r="M1757" s="76" t="s">
        <v>96</v>
      </c>
      <c r="N1757" s="77"/>
      <c r="O1757" s="78" t="s">
        <v>97</v>
      </c>
      <c r="P1757" s="79" t="n">
        <f aca="false">COUNTIFS(임대자산!$I:$I,가맹점정보!F1757,임대자산!$N:$N,가맹점정보!P$4)</f>
        <v>0</v>
      </c>
      <c r="Q1757" s="80" t="n">
        <f aca="false">COUNTIFS(임대자산!$I:$I,가맹점정보!F1757,임대자산!$N:$N,가맹점정보!Q$4)</f>
        <v>0</v>
      </c>
      <c r="R1757" s="81" t="n">
        <f aca="false">COUNTIFS(임대자산!$I:$I,가맹점정보!F1757,임대자산!$N:$N,가맹점정보!R$4)</f>
        <v>1</v>
      </c>
      <c r="S1757" s="82" t="n">
        <v>55000</v>
      </c>
      <c r="T1757" s="83" t="n">
        <v>0</v>
      </c>
      <c r="U1757" s="80" t="n">
        <f aca="false">SUM(S1757:T1757)</f>
        <v>55000</v>
      </c>
      <c r="V1757" s="84" t="s">
        <v>12</v>
      </c>
      <c r="W1757" s="80" t="e">
        <f aca="true">
IF(D1757="폐업","폐업",
IF(V1757="면제","면제",
IF(AND(V1757="정상",COUNTIFS(OFFSET(Y1757,0,COUNTA(Y1757:AV1757)-1,1,-4),"미납")&gt;=3),"장기미납",
IF(AND(V1757="정상",OFFSET(Y1757,0,COUNTA(Y1757:AV1757)-1)&gt;=U1757),"정상",
IF(AND(V1757="정상",OFFSET(Y1757,0,COUNTA(Y1757:AV1757)-1)=0),"정상",
"계약서 미작성")))))</f>
        <v>#VALUE!</v>
      </c>
      <c r="X1757" s="81" t="str">
        <f aca="true">
IF(D1757="폐업","폐업",
IF(AND(V1757="정상",OFFSET(Y1757,0,COUNTA(Y1757:AV1757)-1)="미납"),"미납",
IF(AND(V1757="정상",OFFSET(Y1757,0,COUNTA(Y1757:AV1757)-1)=0),"납부 시작 전",
IF(AND(V1757="정상",OFFSET(Y1757,0,COUNTA(Y1757:AV1757)-1)&gt;=U1757),"정상",
IF(AND(V1757="면제",OFFSET(Y1757,0,COUNTA(Y1757:AV1757)-1)="면제"),"면제",
IF(AND(V1757="면제",OFFSET(Y1757,0,COUNTA(Y1757:AV1757)-1)=0),"면제",
"확인요청"))))))</f>
        <v>정상</v>
      </c>
      <c r="Y1757" s="93" t="n">
        <v>55000</v>
      </c>
      <c r="Z1757" s="90" t="n">
        <v>55000</v>
      </c>
      <c r="AA1757" s="90" t="n">
        <v>55000</v>
      </c>
      <c r="AB1757" s="90" t="n">
        <v>55000</v>
      </c>
      <c r="AC1757" s="90" t="n">
        <v>55000</v>
      </c>
      <c r="AD1757" s="90" t="n">
        <v>55000</v>
      </c>
      <c r="AE1757" s="90" t="n">
        <v>55000</v>
      </c>
      <c r="AF1757" s="90" t="n">
        <v>55000</v>
      </c>
      <c r="AG1757" s="90" t="n">
        <v>55000</v>
      </c>
      <c r="AH1757" s="90" t="n">
        <v>55000</v>
      </c>
      <c r="AI1757" s="90" t="n">
        <v>55000</v>
      </c>
      <c r="AJ1757" s="91" t="n">
        <v>55000</v>
      </c>
      <c r="AK1757" s="89" t="n">
        <v>55000</v>
      </c>
      <c r="AL1757" s="90" t="n">
        <v>55000</v>
      </c>
      <c r="AM1757" s="90"/>
      <c r="AN1757" s="90"/>
      <c r="AO1757" s="90"/>
      <c r="AP1757" s="90"/>
      <c r="AQ1757" s="90"/>
      <c r="AR1757" s="90"/>
      <c r="AS1757" s="90"/>
      <c r="AT1757" s="90"/>
      <c r="AU1757" s="90"/>
      <c r="AV1757" s="91"/>
      <c r="AX1757" s="92"/>
    </row>
    <row r="1758" customFormat="false" ht="15.65" hidden="false" customHeight="false" outlineLevel="0" collapsed="false">
      <c r="C1758" s="72" t="n">
        <f aca="false">COUNTIFS($D$6:D1758,"&lt;&gt;"&amp;"")</f>
        <v>1753</v>
      </c>
      <c r="D1758" s="73" t="s">
        <v>12</v>
      </c>
      <c r="E1758" s="76" t="str">
        <f aca="false">
IF($D1758="정상",INDEX(임대자산!$D$3:$R$3000,MATCH($F1758,임대자산!$I$3:$I$3000,0),MATCH(E$3,임대자산!$D$3:$R$3,0)),
IF($D1758="폐업",INDEX(폐업정보!$D$3:$R$3000,MATCH($F1758,폐업정보!$I$3:$I$3000,0),MATCH(E$3,폐업정보!$D$3:$R$3,0)),
"Error"))</f>
        <v>서울</v>
      </c>
      <c r="F175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B1753</v>
      </c>
      <c r="G1758" s="76" t="str">
        <f aca="false">F1758&amp;RANDBETWEEN(0,10)</f>
        <v>B17532</v>
      </c>
      <c r="H1758" s="75" t="n">
        <f aca="false">
IF($D1758="정상",INDEX(임대자산!$D$3:$R$3000,MATCH($F1758,임대자산!$I$3:$I$3000,0),MATCH(H$4,임대자산!$D$3:$R$3,0)),
IF($D1758="폐업",INDEX(폐업정보!$D$3:$R$3000,MATCH($F1758,폐업정보!$I$3:$I$3000,0),MATCH(H$4,폐업정보!$D$3:$R$3,0)),
"Error"))</f>
        <v>45996</v>
      </c>
      <c r="I1758" s="75" t="str">
        <f aca="false">
IF($D1758="정상",INDEX(임대자산!$D$3:$R$3000,MATCH($F1758,임대자산!$I$3:$I$3000,0),MATCH(I$4,임대자산!$D$3:$R$3,0)),
IF($D1758="폐업",INDEX(폐업정보!$D$3:$R$3000,MATCH($F1758,폐업정보!$I$3:$I$3000,0),MATCH(I$4,폐업정보!$D$3:$R$3,0)),
"Error"))</f>
        <v>A1753</v>
      </c>
      <c r="J1758" s="75" t="str">
        <f aca="false">
IF($D1758="정상",INDEX(임대자산!$D$3:$R$3000,MATCH($F1758,임대자산!$I$3:$I$3000,0),MATCH(J$4,임대자산!$D$3:$R$3,0)),
IF($D1758="폐업",INDEX(폐업정보!$D$3:$R$3000,MATCH($F1758,폐업정보!$I$3:$I$3000,0),MATCH(J$4,폐업정보!$D$3:$R$3,0)),
"Error"))</f>
        <v>7495400000</v>
      </c>
      <c r="K1758" s="75" t="str">
        <f aca="false">
IF($D1758="정상",INDEX(임대자산!$D$3:$R$3000,MATCH($F1758,임대자산!$I$3:$I$3000,0),MATCH(K$4,임대자산!$D$3:$R$3,0)),
IF($D1758="폐업",INDEX(폐업정보!$D$3:$R$3000,MATCH($F1758,폐업정보!$I$3:$I$3000,0),MATCH(K$4,폐업정보!$D$3:$R$3,0)),
"Error"))</f>
        <v>C1753</v>
      </c>
      <c r="L1758" s="75" t="str">
        <f aca="false">
IF($D1758="정상",INDEX(임대자산!$D$3:$R$3000,MATCH($F1758,임대자산!$I$3:$I$3000,0),MATCH(L$4,임대자산!$D$3:$R$3,0)),
IF($D1758="폐업",INDEX(폐업정보!$D$3:$R$3000,MATCH($F1758,폐업정보!$I$3:$I$3000,0),MATCH(L$4,폐업정보!$D$3:$R$3,0)),
"Error"))</f>
        <v>D1753</v>
      </c>
      <c r="M1758" s="76" t="s">
        <v>96</v>
      </c>
      <c r="N1758" s="77"/>
      <c r="O1758" s="78" t="s">
        <v>97</v>
      </c>
      <c r="P1758" s="79" t="n">
        <f aca="false">COUNTIFS(임대자산!$I:$I,가맹점정보!F1758,임대자산!$N:$N,가맹점정보!P$4)</f>
        <v>0</v>
      </c>
      <c r="Q1758" s="80" t="n">
        <f aca="false">COUNTIFS(임대자산!$I:$I,가맹점정보!F1758,임대자산!$N:$N,가맹점정보!Q$4)</f>
        <v>0</v>
      </c>
      <c r="R1758" s="81" t="n">
        <f aca="false">COUNTIFS(임대자산!$I:$I,가맹점정보!F1758,임대자산!$N:$N,가맹점정보!R$4)</f>
        <v>1</v>
      </c>
      <c r="S1758" s="82" t="n">
        <v>55000</v>
      </c>
      <c r="T1758" s="83" t="n">
        <v>0</v>
      </c>
      <c r="U1758" s="80" t="n">
        <f aca="false">SUM(S1758:T1758)</f>
        <v>55000</v>
      </c>
      <c r="V1758" s="84" t="s">
        <v>12</v>
      </c>
      <c r="W1758" s="80" t="e">
        <f aca="true">
IF(D1758="폐업","폐업",
IF(V1758="면제","면제",
IF(AND(V1758="정상",COUNTIFS(OFFSET(Y1758,0,COUNTA(Y1758:AV1758)-1,1,-4),"미납")&gt;=3),"장기미납",
IF(AND(V1758="정상",OFFSET(Y1758,0,COUNTA(Y1758:AV1758)-1)&gt;=U1758),"정상",
IF(AND(V1758="정상",OFFSET(Y1758,0,COUNTA(Y1758:AV1758)-1)=0),"정상",
"계약서 미작성")))))</f>
        <v>#VALUE!</v>
      </c>
      <c r="X1758" s="81" t="str">
        <f aca="true">
IF(D1758="폐업","폐업",
IF(AND(V1758="정상",OFFSET(Y1758,0,COUNTA(Y1758:AV1758)-1)="미납"),"미납",
IF(AND(V1758="정상",OFFSET(Y1758,0,COUNTA(Y1758:AV1758)-1)=0),"납부 시작 전",
IF(AND(V1758="정상",OFFSET(Y1758,0,COUNTA(Y1758:AV1758)-1)&gt;=U1758),"정상",
IF(AND(V1758="면제",OFFSET(Y1758,0,COUNTA(Y1758:AV1758)-1)="면제"),"면제",
IF(AND(V1758="면제",OFFSET(Y1758,0,COUNTA(Y1758:AV1758)-1)=0),"면제",
"확인요청"))))))</f>
        <v>정상</v>
      </c>
      <c r="Y1758" s="93" t="n">
        <v>55000</v>
      </c>
      <c r="Z1758" s="90" t="n">
        <v>55000</v>
      </c>
      <c r="AA1758" s="90" t="n">
        <v>55000</v>
      </c>
      <c r="AB1758" s="90" t="n">
        <v>55000</v>
      </c>
      <c r="AC1758" s="90" t="n">
        <v>55000</v>
      </c>
      <c r="AD1758" s="90" t="n">
        <v>55000</v>
      </c>
      <c r="AE1758" s="90" t="n">
        <v>55000</v>
      </c>
      <c r="AF1758" s="90" t="n">
        <v>55000</v>
      </c>
      <c r="AG1758" s="95" t="s">
        <v>62</v>
      </c>
      <c r="AH1758" s="95" t="s">
        <v>62</v>
      </c>
      <c r="AI1758" s="95" t="s">
        <v>62</v>
      </c>
      <c r="AJ1758" s="96" t="s">
        <v>62</v>
      </c>
      <c r="AK1758" s="97" t="s">
        <v>62</v>
      </c>
      <c r="AL1758" s="90" t="n">
        <v>330000</v>
      </c>
      <c r="AM1758" s="90"/>
      <c r="AN1758" s="90"/>
      <c r="AO1758" s="90"/>
      <c r="AP1758" s="90"/>
      <c r="AQ1758" s="90"/>
      <c r="AR1758" s="90"/>
      <c r="AS1758" s="90"/>
      <c r="AT1758" s="90"/>
      <c r="AU1758" s="90"/>
      <c r="AV1758" s="91"/>
      <c r="AX1758" s="92"/>
    </row>
    <row r="1759" customFormat="false" ht="15.65" hidden="false" customHeight="false" outlineLevel="0" collapsed="false">
      <c r="C1759" s="72" t="n">
        <f aca="false">COUNTIFS($D$6:D1759,"&lt;&gt;"&amp;"")</f>
        <v>1754</v>
      </c>
      <c r="D1759" s="73" t="s">
        <v>12</v>
      </c>
      <c r="E1759" s="76" t="str">
        <f aca="false">
IF($D1759="정상",INDEX(임대자산!$D$3:$R$3000,MATCH($F1759,임대자산!$I$3:$I$3000,0),MATCH(E$3,임대자산!$D$3:$R$3,0)),
IF($D1759="폐업",INDEX(폐업정보!$D$3:$R$3000,MATCH($F1759,폐업정보!$I$3:$I$3000,0),MATCH(E$3,폐업정보!$D$3:$R$3,0)),
"Error"))</f>
        <v>경상</v>
      </c>
      <c r="F175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B1754</v>
      </c>
      <c r="G1759" s="76" t="str">
        <f aca="false">F1759&amp;RANDBETWEEN(0,10)</f>
        <v>B17541</v>
      </c>
      <c r="H1759" s="75" t="n">
        <f aca="false">
IF($D1759="정상",INDEX(임대자산!$D$3:$R$3000,MATCH($F1759,임대자산!$I$3:$I$3000,0),MATCH(H$4,임대자산!$D$3:$R$3,0)),
IF($D1759="폐업",INDEX(폐업정보!$D$3:$R$3000,MATCH($F1759,폐업정보!$I$3:$I$3000,0),MATCH(H$4,폐업정보!$D$3:$R$3,0)),
"Error"))</f>
        <v>45852</v>
      </c>
      <c r="I1759" s="75" t="str">
        <f aca="false">
IF($D1759="정상",INDEX(임대자산!$D$3:$R$3000,MATCH($F1759,임대자산!$I$3:$I$3000,0),MATCH(I$4,임대자산!$D$3:$R$3,0)),
IF($D1759="폐업",INDEX(폐업정보!$D$3:$R$3000,MATCH($F1759,폐업정보!$I$3:$I$3000,0),MATCH(I$4,폐업정보!$D$3:$R$3,0)),
"Error"))</f>
        <v>A1754</v>
      </c>
      <c r="J1759" s="75" t="str">
        <f aca="false">
IF($D1759="정상",INDEX(임대자산!$D$3:$R$3000,MATCH($F1759,임대자산!$I$3:$I$3000,0),MATCH(J$4,임대자산!$D$3:$R$3,0)),
IF($D1759="폐업",INDEX(폐업정보!$D$3:$R$3000,MATCH($F1759,폐업정보!$I$3:$I$3000,0),MATCH(J$4,폐업정보!$D$3:$R$3,0)),
"Error"))</f>
        <v>9678800000</v>
      </c>
      <c r="K1759" s="75" t="str">
        <f aca="false">
IF($D1759="정상",INDEX(임대자산!$D$3:$R$3000,MATCH($F1759,임대자산!$I$3:$I$3000,0),MATCH(K$4,임대자산!$D$3:$R$3,0)),
IF($D1759="폐업",INDEX(폐업정보!$D$3:$R$3000,MATCH($F1759,폐업정보!$I$3:$I$3000,0),MATCH(K$4,폐업정보!$D$3:$R$3,0)),
"Error"))</f>
        <v>C1754</v>
      </c>
      <c r="L1759" s="75" t="str">
        <f aca="false">
IF($D1759="정상",INDEX(임대자산!$D$3:$R$3000,MATCH($F1759,임대자산!$I$3:$I$3000,0),MATCH(L$4,임대자산!$D$3:$R$3,0)),
IF($D1759="폐업",INDEX(폐업정보!$D$3:$R$3000,MATCH($F1759,폐업정보!$I$3:$I$3000,0),MATCH(L$4,폐업정보!$D$3:$R$3,0)),
"Error"))</f>
        <v>D1754</v>
      </c>
      <c r="M1759" s="76" t="s">
        <v>96</v>
      </c>
      <c r="N1759" s="77"/>
      <c r="O1759" s="78" t="s">
        <v>97</v>
      </c>
      <c r="P1759" s="79" t="n">
        <f aca="false">COUNTIFS(임대자산!$I:$I,가맹점정보!F1759,임대자산!$N:$N,가맹점정보!P$4)</f>
        <v>0</v>
      </c>
      <c r="Q1759" s="80" t="n">
        <f aca="false">COUNTIFS(임대자산!$I:$I,가맹점정보!F1759,임대자산!$N:$N,가맹점정보!Q$4)</f>
        <v>0</v>
      </c>
      <c r="R1759" s="81" t="n">
        <f aca="false">COUNTIFS(임대자산!$I:$I,가맹점정보!F1759,임대자산!$N:$N,가맹점정보!R$4)</f>
        <v>1</v>
      </c>
      <c r="S1759" s="82" t="n">
        <v>55000</v>
      </c>
      <c r="T1759" s="83" t="n">
        <v>0</v>
      </c>
      <c r="U1759" s="80" t="n">
        <f aca="false">SUM(S1759:T1759)</f>
        <v>55000</v>
      </c>
      <c r="V1759" s="84" t="s">
        <v>12</v>
      </c>
      <c r="W1759" s="80" t="e">
        <f aca="true">
IF(D1759="폐업","폐업",
IF(V1759="면제","면제",
IF(AND(V1759="정상",COUNTIFS(OFFSET(Y1759,0,COUNTA(Y1759:AV1759)-1,1,-4),"미납")&gt;=3),"장기미납",
IF(AND(V1759="정상",OFFSET(Y1759,0,COUNTA(Y1759:AV1759)-1)&gt;=U1759),"정상",
IF(AND(V1759="정상",OFFSET(Y1759,0,COUNTA(Y1759:AV1759)-1)=0),"정상",
"계약서 미작성")))))</f>
        <v>#VALUE!</v>
      </c>
      <c r="X1759" s="81" t="str">
        <f aca="true">
IF(D1759="폐업","폐업",
IF(AND(V1759="정상",OFFSET(Y1759,0,COUNTA(Y1759:AV1759)-1)="미납"),"미납",
IF(AND(V1759="정상",OFFSET(Y1759,0,COUNTA(Y1759:AV1759)-1)=0),"납부 시작 전",
IF(AND(V1759="정상",OFFSET(Y1759,0,COUNTA(Y1759:AV1759)-1)&gt;=U1759),"정상",
IF(AND(V1759="면제",OFFSET(Y1759,0,COUNTA(Y1759:AV1759)-1)="면제"),"면제",
IF(AND(V1759="면제",OFFSET(Y1759,0,COUNTA(Y1759:AV1759)-1)=0),"면제",
"확인요청"))))))</f>
        <v>정상</v>
      </c>
      <c r="Y1759" s="93" t="n">
        <v>55000</v>
      </c>
      <c r="Z1759" s="90" t="n">
        <v>55000</v>
      </c>
      <c r="AA1759" s="90" t="n">
        <v>55000</v>
      </c>
      <c r="AB1759" s="90" t="n">
        <v>55000</v>
      </c>
      <c r="AC1759" s="90" t="n">
        <v>55000</v>
      </c>
      <c r="AD1759" s="90" t="n">
        <v>55000</v>
      </c>
      <c r="AE1759" s="90" t="n">
        <v>55000</v>
      </c>
      <c r="AF1759" s="90" t="n">
        <v>55000</v>
      </c>
      <c r="AG1759" s="90" t="n">
        <v>55000</v>
      </c>
      <c r="AH1759" s="90" t="n">
        <v>55000</v>
      </c>
      <c r="AI1759" s="90" t="n">
        <v>55000</v>
      </c>
      <c r="AJ1759" s="91" t="n">
        <v>55000</v>
      </c>
      <c r="AK1759" s="89" t="n">
        <v>55000</v>
      </c>
      <c r="AL1759" s="90" t="n">
        <v>55000</v>
      </c>
      <c r="AM1759" s="90"/>
      <c r="AN1759" s="90"/>
      <c r="AO1759" s="90"/>
      <c r="AP1759" s="90"/>
      <c r="AQ1759" s="90"/>
      <c r="AR1759" s="90"/>
      <c r="AS1759" s="90"/>
      <c r="AT1759" s="90"/>
      <c r="AU1759" s="90"/>
      <c r="AV1759" s="91"/>
      <c r="AX1759" s="92"/>
    </row>
    <row r="1760" customFormat="false" ht="15.65" hidden="false" customHeight="false" outlineLevel="0" collapsed="false">
      <c r="C1760" s="72" t="n">
        <f aca="false">COUNTIFS($D$6:D1760,"&lt;&gt;"&amp;"")</f>
        <v>1755</v>
      </c>
      <c r="D1760" s="73" t="s">
        <v>12</v>
      </c>
      <c r="E1760" s="76" t="str">
        <f aca="false">
IF($D1760="정상",INDEX(임대자산!$D$3:$R$3000,MATCH($F1760,임대자산!$I$3:$I$3000,0),MATCH(E$3,임대자산!$D$3:$R$3,0)),
IF($D1760="폐업",INDEX(폐업정보!$D$3:$R$3000,MATCH($F1760,폐업정보!$I$3:$I$3000,0),MATCH(E$3,폐업정보!$D$3:$R$3,0)),
"Error"))</f>
        <v>경상</v>
      </c>
      <c r="F176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B1755</v>
      </c>
      <c r="G1760" s="76" t="str">
        <f aca="false">F1760&amp;RANDBETWEEN(0,10)</f>
        <v>B175510</v>
      </c>
      <c r="H1760" s="75" t="n">
        <f aca="false">
IF($D1760="정상",INDEX(임대자산!$D$3:$R$3000,MATCH($F1760,임대자산!$I$3:$I$3000,0),MATCH(H$4,임대자산!$D$3:$R$3,0)),
IF($D1760="폐업",INDEX(폐업정보!$D$3:$R$3000,MATCH($F1760,폐업정보!$I$3:$I$3000,0),MATCH(H$4,폐업정보!$D$3:$R$3,0)),
"Error"))</f>
        <v>45854</v>
      </c>
      <c r="I1760" s="75" t="str">
        <f aca="false">
IF($D1760="정상",INDEX(임대자산!$D$3:$R$3000,MATCH($F1760,임대자산!$I$3:$I$3000,0),MATCH(I$4,임대자산!$D$3:$R$3,0)),
IF($D1760="폐업",INDEX(폐업정보!$D$3:$R$3000,MATCH($F1760,폐업정보!$I$3:$I$3000,0),MATCH(I$4,폐업정보!$D$3:$R$3,0)),
"Error"))</f>
        <v>A1755</v>
      </c>
      <c r="J1760" s="75" t="str">
        <f aca="false">
IF($D1760="정상",INDEX(임대자산!$D$3:$R$3000,MATCH($F1760,임대자산!$I$3:$I$3000,0),MATCH(J$4,임대자산!$D$3:$R$3,0)),
IF($D1760="폐업",INDEX(폐업정보!$D$3:$R$3000,MATCH($F1760,폐업정보!$I$3:$I$3000,0),MATCH(J$4,폐업정보!$D$3:$R$3,0)),
"Error"))</f>
        <v>7090600000</v>
      </c>
      <c r="K1760" s="75" t="str">
        <f aca="false">
IF($D1760="정상",INDEX(임대자산!$D$3:$R$3000,MATCH($F1760,임대자산!$I$3:$I$3000,0),MATCH(K$4,임대자산!$D$3:$R$3,0)),
IF($D1760="폐업",INDEX(폐업정보!$D$3:$R$3000,MATCH($F1760,폐업정보!$I$3:$I$3000,0),MATCH(K$4,폐업정보!$D$3:$R$3,0)),
"Error"))</f>
        <v>C1755</v>
      </c>
      <c r="L1760" s="75" t="str">
        <f aca="false">
IF($D1760="정상",INDEX(임대자산!$D$3:$R$3000,MATCH($F1760,임대자산!$I$3:$I$3000,0),MATCH(L$4,임대자산!$D$3:$R$3,0)),
IF($D1760="폐업",INDEX(폐업정보!$D$3:$R$3000,MATCH($F1760,폐업정보!$I$3:$I$3000,0),MATCH(L$4,폐업정보!$D$3:$R$3,0)),
"Error"))</f>
        <v>D1755</v>
      </c>
      <c r="M1760" s="76" t="s">
        <v>96</v>
      </c>
      <c r="N1760" s="77"/>
      <c r="O1760" s="78" t="s">
        <v>97</v>
      </c>
      <c r="P1760" s="79" t="n">
        <f aca="false">COUNTIFS(임대자산!$I:$I,가맹점정보!F1760,임대자산!$N:$N,가맹점정보!P$4)</f>
        <v>0</v>
      </c>
      <c r="Q1760" s="80" t="n">
        <f aca="false">COUNTIFS(임대자산!$I:$I,가맹점정보!F1760,임대자산!$N:$N,가맹점정보!Q$4)</f>
        <v>0</v>
      </c>
      <c r="R1760" s="81" t="n">
        <f aca="false">COUNTIFS(임대자산!$I:$I,가맹점정보!F1760,임대자산!$N:$N,가맹점정보!R$4)</f>
        <v>1</v>
      </c>
      <c r="S1760" s="82" t="n">
        <v>55000</v>
      </c>
      <c r="T1760" s="83" t="n">
        <v>0</v>
      </c>
      <c r="U1760" s="80" t="n">
        <f aca="false">SUM(S1760:T1760)</f>
        <v>55000</v>
      </c>
      <c r="V1760" s="84" t="s">
        <v>12</v>
      </c>
      <c r="W1760" s="80" t="e">
        <f aca="true">
IF(D1760="폐업","폐업",
IF(V1760="면제","면제",
IF(AND(V1760="정상",COUNTIFS(OFFSET(Y1760,0,COUNTA(Y1760:AV1760)-1,1,-4),"미납")&gt;=3),"장기미납",
IF(AND(V1760="정상",OFFSET(Y1760,0,COUNTA(Y1760:AV1760)-1)&gt;=U1760),"정상",
IF(AND(V1760="정상",OFFSET(Y1760,0,COUNTA(Y1760:AV1760)-1)=0),"정상",
"계약서 미작성")))))</f>
        <v>#VALUE!</v>
      </c>
      <c r="X1760" s="81" t="str">
        <f aca="true">
IF(D1760="폐업","폐업",
IF(AND(V1760="정상",OFFSET(Y1760,0,COUNTA(Y1760:AV1760)-1)="미납"),"미납",
IF(AND(V1760="정상",OFFSET(Y1760,0,COUNTA(Y1760:AV1760)-1)=0),"납부 시작 전",
IF(AND(V1760="정상",OFFSET(Y1760,0,COUNTA(Y1760:AV1760)-1)&gt;=U1760),"정상",
IF(AND(V1760="면제",OFFSET(Y1760,0,COUNTA(Y1760:AV1760)-1)="면제"),"면제",
IF(AND(V1760="면제",OFFSET(Y1760,0,COUNTA(Y1760:AV1760)-1)=0),"면제",
"확인요청"))))))</f>
        <v>정상</v>
      </c>
      <c r="Y1760" s="93" t="n">
        <v>55000</v>
      </c>
      <c r="Z1760" s="90" t="n">
        <v>55000</v>
      </c>
      <c r="AA1760" s="90" t="n">
        <v>55000</v>
      </c>
      <c r="AB1760" s="90" t="n">
        <v>55000</v>
      </c>
      <c r="AC1760" s="90" t="n">
        <v>55000</v>
      </c>
      <c r="AD1760" s="90" t="n">
        <v>55000</v>
      </c>
      <c r="AE1760" s="90" t="n">
        <v>55000</v>
      </c>
      <c r="AF1760" s="90" t="n">
        <v>55000</v>
      </c>
      <c r="AG1760" s="90" t="n">
        <v>55000</v>
      </c>
      <c r="AH1760" s="90" t="n">
        <v>55000</v>
      </c>
      <c r="AI1760" s="90" t="n">
        <v>55000</v>
      </c>
      <c r="AJ1760" s="91" t="n">
        <v>55000</v>
      </c>
      <c r="AK1760" s="89" t="n">
        <v>55000</v>
      </c>
      <c r="AL1760" s="90" t="n">
        <v>55000</v>
      </c>
      <c r="AM1760" s="90"/>
      <c r="AN1760" s="90"/>
      <c r="AO1760" s="90"/>
      <c r="AP1760" s="90"/>
      <c r="AQ1760" s="90"/>
      <c r="AR1760" s="90"/>
      <c r="AS1760" s="90"/>
      <c r="AT1760" s="90"/>
      <c r="AU1760" s="90"/>
      <c r="AV1760" s="91"/>
      <c r="AX1760" s="92"/>
    </row>
    <row r="1761" customFormat="false" ht="15.65" hidden="false" customHeight="false" outlineLevel="0" collapsed="false">
      <c r="C1761" s="72" t="n">
        <f aca="false">COUNTIFS($D$6:D1761,"&lt;&gt;"&amp;"")</f>
        <v>1756</v>
      </c>
      <c r="D1761" s="73" t="s">
        <v>12</v>
      </c>
      <c r="E1761" s="76" t="str">
        <f aca="false">
IF($D1761="정상",INDEX(임대자산!$D$3:$R$3000,MATCH($F1761,임대자산!$I$3:$I$3000,0),MATCH(E$3,임대자산!$D$3:$R$3,0)),
IF($D1761="폐업",INDEX(폐업정보!$D$3:$R$3000,MATCH($F1761,폐업정보!$I$3:$I$3000,0),MATCH(E$3,폐업정보!$D$3:$R$3,0)),
"Error"))</f>
        <v>경상</v>
      </c>
      <c r="F176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B1756</v>
      </c>
      <c r="G1761" s="76" t="str">
        <f aca="false">F1761&amp;RANDBETWEEN(0,10)</f>
        <v>B17562</v>
      </c>
      <c r="H1761" s="75" t="n">
        <f aca="false">
IF($D1761="정상",INDEX(임대자산!$D$3:$R$3000,MATCH($F1761,임대자산!$I$3:$I$3000,0),MATCH(H$4,임대자산!$D$3:$R$3,0)),
IF($D1761="폐업",INDEX(폐업정보!$D$3:$R$3000,MATCH($F1761,폐업정보!$I$3:$I$3000,0),MATCH(H$4,폐업정보!$D$3:$R$3,0)),
"Error"))</f>
        <v>45853</v>
      </c>
      <c r="I1761" s="75" t="str">
        <f aca="false">
IF($D1761="정상",INDEX(임대자산!$D$3:$R$3000,MATCH($F1761,임대자산!$I$3:$I$3000,0),MATCH(I$4,임대자산!$D$3:$R$3,0)),
IF($D1761="폐업",INDEX(폐업정보!$D$3:$R$3000,MATCH($F1761,폐업정보!$I$3:$I$3000,0),MATCH(I$4,폐업정보!$D$3:$R$3,0)),
"Error"))</f>
        <v>A1756</v>
      </c>
      <c r="J1761" s="75" t="str">
        <f aca="false">
IF($D1761="정상",INDEX(임대자산!$D$3:$R$3000,MATCH($F1761,임대자산!$I$3:$I$3000,0),MATCH(J$4,임대자산!$D$3:$R$3,0)),
IF($D1761="폐업",INDEX(폐업정보!$D$3:$R$3000,MATCH($F1761,폐업정보!$I$3:$I$3000,0),MATCH(J$4,폐업정보!$D$3:$R$3,0)),
"Error"))</f>
        <v>1191600000</v>
      </c>
      <c r="K1761" s="75" t="str">
        <f aca="false">
IF($D1761="정상",INDEX(임대자산!$D$3:$R$3000,MATCH($F1761,임대자산!$I$3:$I$3000,0),MATCH(K$4,임대자산!$D$3:$R$3,0)),
IF($D1761="폐업",INDEX(폐업정보!$D$3:$R$3000,MATCH($F1761,폐업정보!$I$3:$I$3000,0),MATCH(K$4,폐업정보!$D$3:$R$3,0)),
"Error"))</f>
        <v>C1756</v>
      </c>
      <c r="L1761" s="75" t="str">
        <f aca="false">
IF($D1761="정상",INDEX(임대자산!$D$3:$R$3000,MATCH($F1761,임대자산!$I$3:$I$3000,0),MATCH(L$4,임대자산!$D$3:$R$3,0)),
IF($D1761="폐업",INDEX(폐업정보!$D$3:$R$3000,MATCH($F1761,폐업정보!$I$3:$I$3000,0),MATCH(L$4,폐업정보!$D$3:$R$3,0)),
"Error"))</f>
        <v>D1756</v>
      </c>
      <c r="M1761" s="76" t="s">
        <v>96</v>
      </c>
      <c r="N1761" s="77"/>
      <c r="O1761" s="78" t="s">
        <v>97</v>
      </c>
      <c r="P1761" s="79" t="n">
        <f aca="false">COUNTIFS(임대자산!$I:$I,가맹점정보!F1761,임대자산!$N:$N,가맹점정보!P$4)</f>
        <v>0</v>
      </c>
      <c r="Q1761" s="80" t="n">
        <f aca="false">COUNTIFS(임대자산!$I:$I,가맹점정보!F1761,임대자산!$N:$N,가맹점정보!Q$4)</f>
        <v>0</v>
      </c>
      <c r="R1761" s="81" t="n">
        <f aca="false">COUNTIFS(임대자산!$I:$I,가맹점정보!F1761,임대자산!$N:$N,가맹점정보!R$4)</f>
        <v>1</v>
      </c>
      <c r="S1761" s="82" t="n">
        <v>55000</v>
      </c>
      <c r="T1761" s="83" t="n">
        <v>0</v>
      </c>
      <c r="U1761" s="80" t="n">
        <f aca="false">SUM(S1761:T1761)</f>
        <v>55000</v>
      </c>
      <c r="V1761" s="84" t="s">
        <v>12</v>
      </c>
      <c r="W1761" s="80" t="e">
        <f aca="true">
IF(D1761="폐업","폐업",
IF(V1761="면제","면제",
IF(AND(V1761="정상",COUNTIFS(OFFSET(Y1761,0,COUNTA(Y1761:AV1761)-1,1,-4),"미납")&gt;=3),"장기미납",
IF(AND(V1761="정상",OFFSET(Y1761,0,COUNTA(Y1761:AV1761)-1)&gt;=U1761),"정상",
IF(AND(V1761="정상",OFFSET(Y1761,0,COUNTA(Y1761:AV1761)-1)=0),"정상",
"계약서 미작성")))))</f>
        <v>#VALUE!</v>
      </c>
      <c r="X1761" s="81" t="str">
        <f aca="true">
IF(D1761="폐업","폐업",
IF(AND(V1761="정상",OFFSET(Y1761,0,COUNTA(Y1761:AV1761)-1)="미납"),"미납",
IF(AND(V1761="정상",OFFSET(Y1761,0,COUNTA(Y1761:AV1761)-1)=0),"납부 시작 전",
IF(AND(V1761="정상",OFFSET(Y1761,0,COUNTA(Y1761:AV1761)-1)&gt;=U1761),"정상",
IF(AND(V1761="면제",OFFSET(Y1761,0,COUNTA(Y1761:AV1761)-1)="면제"),"면제",
IF(AND(V1761="면제",OFFSET(Y1761,0,COUNTA(Y1761:AV1761)-1)=0),"면제",
"확인요청"))))))</f>
        <v>정상</v>
      </c>
      <c r="Y1761" s="93" t="n">
        <v>55000</v>
      </c>
      <c r="Z1761" s="90" t="n">
        <v>55000</v>
      </c>
      <c r="AA1761" s="90" t="n">
        <v>55000</v>
      </c>
      <c r="AB1761" s="90" t="n">
        <v>55000</v>
      </c>
      <c r="AC1761" s="90" t="n">
        <v>55000</v>
      </c>
      <c r="AD1761" s="90" t="n">
        <v>55000</v>
      </c>
      <c r="AE1761" s="90" t="n">
        <v>55000</v>
      </c>
      <c r="AF1761" s="90" t="n">
        <v>55000</v>
      </c>
      <c r="AG1761" s="90" t="n">
        <v>55000</v>
      </c>
      <c r="AH1761" s="90" t="n">
        <v>55000</v>
      </c>
      <c r="AI1761" s="90" t="n">
        <v>55000</v>
      </c>
      <c r="AJ1761" s="91" t="n">
        <v>55000</v>
      </c>
      <c r="AK1761" s="89" t="n">
        <v>55000</v>
      </c>
      <c r="AL1761" s="90" t="n">
        <v>55000</v>
      </c>
      <c r="AM1761" s="90"/>
      <c r="AN1761" s="90"/>
      <c r="AO1761" s="90"/>
      <c r="AP1761" s="90"/>
      <c r="AQ1761" s="90"/>
      <c r="AR1761" s="90"/>
      <c r="AS1761" s="90"/>
      <c r="AT1761" s="90"/>
      <c r="AU1761" s="90"/>
      <c r="AV1761" s="91"/>
      <c r="AX1761" s="92"/>
    </row>
    <row r="1762" customFormat="false" ht="15.65" hidden="false" customHeight="false" outlineLevel="0" collapsed="false">
      <c r="C1762" s="72" t="n">
        <f aca="false">COUNTIFS($D$6:D1762,"&lt;&gt;"&amp;"")</f>
        <v>1757</v>
      </c>
      <c r="D1762" s="73" t="s">
        <v>12</v>
      </c>
      <c r="E1762" s="76" t="str">
        <f aca="false">
IF($D1762="정상",INDEX(임대자산!$D$3:$R$3000,MATCH($F1762,임대자산!$I$3:$I$3000,0),MATCH(E$3,임대자산!$D$3:$R$3,0)),
IF($D1762="폐업",INDEX(폐업정보!$D$3:$R$3000,MATCH($F1762,폐업정보!$I$3:$I$3000,0),MATCH(E$3,폐업정보!$D$3:$R$3,0)),
"Error"))</f>
        <v>서울</v>
      </c>
      <c r="F176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B1757</v>
      </c>
      <c r="G1762" s="76" t="str">
        <f aca="false">F1762&amp;RANDBETWEEN(0,10)</f>
        <v>B17578</v>
      </c>
      <c r="H1762" s="75" t="n">
        <f aca="false">
IF($D1762="정상",INDEX(임대자산!$D$3:$R$3000,MATCH($F1762,임대자산!$I$3:$I$3000,0),MATCH(H$4,임대자산!$D$3:$R$3,0)),
IF($D1762="폐업",INDEX(폐업정보!$D$3:$R$3000,MATCH($F1762,폐업정보!$I$3:$I$3000,0),MATCH(H$4,폐업정보!$D$3:$R$3,0)),
"Error"))</f>
        <v>45860</v>
      </c>
      <c r="I1762" s="75" t="str">
        <f aca="false">
IF($D1762="정상",INDEX(임대자산!$D$3:$R$3000,MATCH($F1762,임대자산!$I$3:$I$3000,0),MATCH(I$4,임대자산!$D$3:$R$3,0)),
IF($D1762="폐업",INDEX(폐업정보!$D$3:$R$3000,MATCH($F1762,폐업정보!$I$3:$I$3000,0),MATCH(I$4,폐업정보!$D$3:$R$3,0)),
"Error"))</f>
        <v>A1757</v>
      </c>
      <c r="J1762" s="75" t="str">
        <f aca="false">
IF($D1762="정상",INDEX(임대자산!$D$3:$R$3000,MATCH($F1762,임대자산!$I$3:$I$3000,0),MATCH(J$4,임대자산!$D$3:$R$3,0)),
IF($D1762="폐업",INDEX(폐업정보!$D$3:$R$3000,MATCH($F1762,폐업정보!$I$3:$I$3000,0),MATCH(J$4,폐업정보!$D$3:$R$3,0)),
"Error"))</f>
        <v>9059000000</v>
      </c>
      <c r="K1762" s="75" t="str">
        <f aca="false">
IF($D1762="정상",INDEX(임대자산!$D$3:$R$3000,MATCH($F1762,임대자산!$I$3:$I$3000,0),MATCH(K$4,임대자산!$D$3:$R$3,0)),
IF($D1762="폐업",INDEX(폐업정보!$D$3:$R$3000,MATCH($F1762,폐업정보!$I$3:$I$3000,0),MATCH(K$4,폐업정보!$D$3:$R$3,0)),
"Error"))</f>
        <v>C1757</v>
      </c>
      <c r="L1762" s="75" t="str">
        <f aca="false">
IF($D1762="정상",INDEX(임대자산!$D$3:$R$3000,MATCH($F1762,임대자산!$I$3:$I$3000,0),MATCH(L$4,임대자산!$D$3:$R$3,0)),
IF($D1762="폐업",INDEX(폐업정보!$D$3:$R$3000,MATCH($F1762,폐업정보!$I$3:$I$3000,0),MATCH(L$4,폐업정보!$D$3:$R$3,0)),
"Error"))</f>
        <v>D1757</v>
      </c>
      <c r="M1762" s="76" t="s">
        <v>96</v>
      </c>
      <c r="N1762" s="77"/>
      <c r="O1762" s="78" t="s">
        <v>97</v>
      </c>
      <c r="P1762" s="79" t="n">
        <f aca="false">COUNTIFS(임대자산!$I:$I,가맹점정보!F1762,임대자산!$N:$N,가맹점정보!P$4)</f>
        <v>0</v>
      </c>
      <c r="Q1762" s="80" t="n">
        <f aca="false">COUNTIFS(임대자산!$I:$I,가맹점정보!F1762,임대자산!$N:$N,가맹점정보!Q$4)</f>
        <v>0</v>
      </c>
      <c r="R1762" s="81" t="n">
        <f aca="false">COUNTIFS(임대자산!$I:$I,가맹점정보!F1762,임대자산!$N:$N,가맹점정보!R$4)</f>
        <v>1</v>
      </c>
      <c r="S1762" s="82" t="n">
        <v>55000</v>
      </c>
      <c r="T1762" s="83" t="n">
        <v>0</v>
      </c>
      <c r="U1762" s="80" t="n">
        <f aca="false">SUM(S1762:T1762)</f>
        <v>55000</v>
      </c>
      <c r="V1762" s="84" t="s">
        <v>12</v>
      </c>
      <c r="W1762" s="80" t="e">
        <f aca="true">
IF(D1762="폐업","폐업",
IF(V1762="면제","면제",
IF(AND(V1762="정상",COUNTIFS(OFFSET(Y1762,0,COUNTA(Y1762:AV1762)-1,1,-4),"미납")&gt;=3),"장기미납",
IF(AND(V1762="정상",OFFSET(Y1762,0,COUNTA(Y1762:AV1762)-1)&gt;=U1762),"정상",
IF(AND(V1762="정상",OFFSET(Y1762,0,COUNTA(Y1762:AV1762)-1)=0),"정상",
"계약서 미작성")))))</f>
        <v>#VALUE!</v>
      </c>
      <c r="X1762" s="81" t="str">
        <f aca="true">
IF(D1762="폐업","폐업",
IF(AND(V1762="정상",OFFSET(Y1762,0,COUNTA(Y1762:AV1762)-1)="미납"),"미납",
IF(AND(V1762="정상",OFFSET(Y1762,0,COUNTA(Y1762:AV1762)-1)=0),"납부 시작 전",
IF(AND(V1762="정상",OFFSET(Y1762,0,COUNTA(Y1762:AV1762)-1)&gt;=U1762),"정상",
IF(AND(V1762="면제",OFFSET(Y1762,0,COUNTA(Y1762:AV1762)-1)="면제"),"면제",
IF(AND(V1762="면제",OFFSET(Y1762,0,COUNTA(Y1762:AV1762)-1)=0),"면제",
"확인요청"))))))</f>
        <v>정상</v>
      </c>
      <c r="Y1762" s="93" t="n">
        <v>110000</v>
      </c>
      <c r="Z1762" s="90" t="n">
        <v>55000</v>
      </c>
      <c r="AA1762" s="90" t="n">
        <v>55000</v>
      </c>
      <c r="AB1762" s="90" t="n">
        <v>55000</v>
      </c>
      <c r="AC1762" s="90" t="n">
        <v>55000</v>
      </c>
      <c r="AD1762" s="90" t="n">
        <v>55000</v>
      </c>
      <c r="AE1762" s="90" t="n">
        <v>55000</v>
      </c>
      <c r="AF1762" s="90" t="n">
        <v>55000</v>
      </c>
      <c r="AG1762" s="90" t="n">
        <v>55000</v>
      </c>
      <c r="AH1762" s="90" t="n">
        <v>55000</v>
      </c>
      <c r="AI1762" s="90" t="n">
        <v>55000</v>
      </c>
      <c r="AJ1762" s="91" t="n">
        <v>55000</v>
      </c>
      <c r="AK1762" s="89" t="n">
        <v>55000</v>
      </c>
      <c r="AL1762" s="90" t="n">
        <v>55000</v>
      </c>
      <c r="AM1762" s="90"/>
      <c r="AN1762" s="90"/>
      <c r="AO1762" s="90"/>
      <c r="AP1762" s="90"/>
      <c r="AQ1762" s="90"/>
      <c r="AR1762" s="90"/>
      <c r="AS1762" s="90"/>
      <c r="AT1762" s="90"/>
      <c r="AU1762" s="90"/>
      <c r="AV1762" s="91"/>
      <c r="AX1762" s="92"/>
    </row>
    <row r="1763" customFormat="false" ht="15.65" hidden="false" customHeight="false" outlineLevel="0" collapsed="false">
      <c r="C1763" s="72" t="n">
        <f aca="false">COUNTIFS($D$6:D1763,"&lt;&gt;"&amp;"")</f>
        <v>1758</v>
      </c>
      <c r="D1763" s="73" t="s">
        <v>12</v>
      </c>
      <c r="E1763" s="76" t="str">
        <f aca="false">
IF($D1763="정상",INDEX(임대자산!$D$3:$R$3000,MATCH($F1763,임대자산!$I$3:$I$3000,0),MATCH(E$3,임대자산!$D$3:$R$3,0)),
IF($D1763="폐업",INDEX(폐업정보!$D$3:$R$3000,MATCH($F1763,폐업정보!$I$3:$I$3000,0),MATCH(E$3,폐업정보!$D$3:$R$3,0)),
"Error"))</f>
        <v>서울</v>
      </c>
      <c r="F176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B1758</v>
      </c>
      <c r="G1763" s="76" t="str">
        <f aca="false">F1763&amp;RANDBETWEEN(0,10)</f>
        <v>B17587</v>
      </c>
      <c r="H1763" s="75" t="n">
        <f aca="false">
IF($D1763="정상",INDEX(임대자산!$D$3:$R$3000,MATCH($F1763,임대자산!$I$3:$I$3000,0),MATCH(H$4,임대자산!$D$3:$R$3,0)),
IF($D1763="폐업",INDEX(폐업정보!$D$3:$R$3000,MATCH($F1763,폐업정보!$I$3:$I$3000,0),MATCH(H$4,폐업정보!$D$3:$R$3,0)),
"Error"))</f>
        <v>45860</v>
      </c>
      <c r="I1763" s="75" t="str">
        <f aca="false">
IF($D1763="정상",INDEX(임대자산!$D$3:$R$3000,MATCH($F1763,임대자산!$I$3:$I$3000,0),MATCH(I$4,임대자산!$D$3:$R$3,0)),
IF($D1763="폐업",INDEX(폐업정보!$D$3:$R$3000,MATCH($F1763,폐업정보!$I$3:$I$3000,0),MATCH(I$4,폐업정보!$D$3:$R$3,0)),
"Error"))</f>
        <v>A1758</v>
      </c>
      <c r="J1763" s="75" t="str">
        <f aca="false">
IF($D1763="정상",INDEX(임대자산!$D$3:$R$3000,MATCH($F1763,임대자산!$I$3:$I$3000,0),MATCH(J$4,임대자산!$D$3:$R$3,0)),
IF($D1763="폐업",INDEX(폐업정보!$D$3:$R$3000,MATCH($F1763,폐업정보!$I$3:$I$3000,0),MATCH(J$4,폐업정보!$D$3:$R$3,0)),
"Error"))</f>
        <v>2415600000</v>
      </c>
      <c r="K1763" s="75" t="str">
        <f aca="false">
IF($D1763="정상",INDEX(임대자산!$D$3:$R$3000,MATCH($F1763,임대자산!$I$3:$I$3000,0),MATCH(K$4,임대자산!$D$3:$R$3,0)),
IF($D1763="폐업",INDEX(폐업정보!$D$3:$R$3000,MATCH($F1763,폐업정보!$I$3:$I$3000,0),MATCH(K$4,폐업정보!$D$3:$R$3,0)),
"Error"))</f>
        <v>C1758</v>
      </c>
      <c r="L1763" s="75" t="str">
        <f aca="false">
IF($D1763="정상",INDEX(임대자산!$D$3:$R$3000,MATCH($F1763,임대자산!$I$3:$I$3000,0),MATCH(L$4,임대자산!$D$3:$R$3,0)),
IF($D1763="폐업",INDEX(폐업정보!$D$3:$R$3000,MATCH($F1763,폐업정보!$I$3:$I$3000,0),MATCH(L$4,폐업정보!$D$3:$R$3,0)),
"Error"))</f>
        <v>D1758</v>
      </c>
      <c r="M1763" s="76" t="s">
        <v>96</v>
      </c>
      <c r="N1763" s="77"/>
      <c r="O1763" s="78" t="s">
        <v>97</v>
      </c>
      <c r="P1763" s="79" t="n">
        <f aca="false">COUNTIFS(임대자산!$I:$I,가맹점정보!F1763,임대자산!$N:$N,가맹점정보!P$4)</f>
        <v>0</v>
      </c>
      <c r="Q1763" s="80" t="n">
        <f aca="false">COUNTIFS(임대자산!$I:$I,가맹점정보!F1763,임대자산!$N:$N,가맹점정보!Q$4)</f>
        <v>0</v>
      </c>
      <c r="R1763" s="81" t="n">
        <f aca="false">COUNTIFS(임대자산!$I:$I,가맹점정보!F1763,임대자산!$N:$N,가맹점정보!R$4)</f>
        <v>1</v>
      </c>
      <c r="S1763" s="82" t="n">
        <v>55000</v>
      </c>
      <c r="T1763" s="83" t="n">
        <v>0</v>
      </c>
      <c r="U1763" s="80" t="n">
        <f aca="false">SUM(S1763:T1763)</f>
        <v>55000</v>
      </c>
      <c r="V1763" s="84" t="s">
        <v>12</v>
      </c>
      <c r="W1763" s="80" t="e">
        <f aca="true">
IF(D1763="폐업","폐업",
IF(V1763="면제","면제",
IF(AND(V1763="정상",COUNTIFS(OFFSET(Y1763,0,COUNTA(Y1763:AV1763)-1,1,-4),"미납")&gt;=3),"장기미납",
IF(AND(V1763="정상",OFFSET(Y1763,0,COUNTA(Y1763:AV1763)-1)&gt;=U1763),"정상",
IF(AND(V1763="정상",OFFSET(Y1763,0,COUNTA(Y1763:AV1763)-1)=0),"정상",
"계약서 미작성")))))</f>
        <v>#VALUE!</v>
      </c>
      <c r="X1763" s="81" t="str">
        <f aca="true">
IF(D1763="폐업","폐업",
IF(AND(V1763="정상",OFFSET(Y1763,0,COUNTA(Y1763:AV1763)-1)="미납"),"미납",
IF(AND(V1763="정상",OFFSET(Y1763,0,COUNTA(Y1763:AV1763)-1)=0),"납부 시작 전",
IF(AND(V1763="정상",OFFSET(Y1763,0,COUNTA(Y1763:AV1763)-1)&gt;=U1763),"정상",
IF(AND(V1763="면제",OFFSET(Y1763,0,COUNTA(Y1763:AV1763)-1)="면제"),"면제",
IF(AND(V1763="면제",OFFSET(Y1763,0,COUNTA(Y1763:AV1763)-1)=0),"면제",
"확인요청"))))))</f>
        <v>정상</v>
      </c>
      <c r="Y1763" s="93" t="n">
        <v>55000</v>
      </c>
      <c r="Z1763" s="90" t="n">
        <v>55000</v>
      </c>
      <c r="AA1763" s="90" t="n">
        <v>55000</v>
      </c>
      <c r="AB1763" s="90" t="n">
        <v>55000</v>
      </c>
      <c r="AC1763" s="90" t="n">
        <v>55000</v>
      </c>
      <c r="AD1763" s="90" t="n">
        <v>55000</v>
      </c>
      <c r="AE1763" s="90" t="n">
        <v>55000</v>
      </c>
      <c r="AF1763" s="90" t="n">
        <v>55000</v>
      </c>
      <c r="AG1763" s="90" t="n">
        <v>55000</v>
      </c>
      <c r="AH1763" s="90" t="n">
        <v>55000</v>
      </c>
      <c r="AI1763" s="90" t="n">
        <v>55000</v>
      </c>
      <c r="AJ1763" s="91" t="n">
        <v>55000</v>
      </c>
      <c r="AK1763" s="89" t="n">
        <v>55000</v>
      </c>
      <c r="AL1763" s="90" t="n">
        <v>55000</v>
      </c>
      <c r="AM1763" s="90"/>
      <c r="AN1763" s="90"/>
      <c r="AO1763" s="90"/>
      <c r="AP1763" s="90"/>
      <c r="AQ1763" s="90"/>
      <c r="AR1763" s="90"/>
      <c r="AS1763" s="90"/>
      <c r="AT1763" s="90"/>
      <c r="AU1763" s="90"/>
      <c r="AV1763" s="91"/>
      <c r="AX1763" s="92"/>
    </row>
    <row r="1764" customFormat="false" ht="15.65" hidden="false" customHeight="false" outlineLevel="0" collapsed="false">
      <c r="C1764" s="72" t="n">
        <f aca="false">COUNTIFS($D$6:D1764,"&lt;&gt;"&amp;"")</f>
        <v>1759</v>
      </c>
      <c r="D1764" s="73" t="s">
        <v>12</v>
      </c>
      <c r="E1764" s="76" t="str">
        <f aca="false">
IF($D1764="정상",INDEX(임대자산!$D$3:$R$3000,MATCH($F1764,임대자산!$I$3:$I$3000,0),MATCH(E$3,임대자산!$D$3:$R$3,0)),
IF($D1764="폐업",INDEX(폐업정보!$D$3:$R$3000,MATCH($F1764,폐업정보!$I$3:$I$3000,0),MATCH(E$3,폐업정보!$D$3:$R$3,0)),
"Error"))</f>
        <v>강원</v>
      </c>
      <c r="F176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B1759</v>
      </c>
      <c r="G1764" s="76" t="str">
        <f aca="false">F1764&amp;RANDBETWEEN(0,10)</f>
        <v>B175910</v>
      </c>
      <c r="H1764" s="75" t="n">
        <f aca="false">
IF($D1764="정상",INDEX(임대자산!$D$3:$R$3000,MATCH($F1764,임대자산!$I$3:$I$3000,0),MATCH(H$4,임대자산!$D$3:$R$3,0)),
IF($D1764="폐업",INDEX(폐업정보!$D$3:$R$3000,MATCH($F1764,폐업정보!$I$3:$I$3000,0),MATCH(H$4,폐업정보!$D$3:$R$3,0)),
"Error"))</f>
        <v>45854</v>
      </c>
      <c r="I1764" s="75" t="str">
        <f aca="false">
IF($D1764="정상",INDEX(임대자산!$D$3:$R$3000,MATCH($F1764,임대자산!$I$3:$I$3000,0),MATCH(I$4,임대자산!$D$3:$R$3,0)),
IF($D1764="폐업",INDEX(폐업정보!$D$3:$R$3000,MATCH($F1764,폐업정보!$I$3:$I$3000,0),MATCH(I$4,폐업정보!$D$3:$R$3,0)),
"Error"))</f>
        <v>A1759</v>
      </c>
      <c r="J1764" s="75" t="str">
        <f aca="false">
IF($D1764="정상",INDEX(임대자산!$D$3:$R$3000,MATCH($F1764,임대자산!$I$3:$I$3000,0),MATCH(J$4,임대자산!$D$3:$R$3,0)),
IF($D1764="폐업",INDEX(폐업정보!$D$3:$R$3000,MATCH($F1764,폐업정보!$I$3:$I$3000,0),MATCH(J$4,폐업정보!$D$3:$R$3,0)),
"Error"))</f>
        <v>7110300000</v>
      </c>
      <c r="K1764" s="75" t="str">
        <f aca="false">
IF($D1764="정상",INDEX(임대자산!$D$3:$R$3000,MATCH($F1764,임대자산!$I$3:$I$3000,0),MATCH(K$4,임대자산!$D$3:$R$3,0)),
IF($D1764="폐업",INDEX(폐업정보!$D$3:$R$3000,MATCH($F1764,폐업정보!$I$3:$I$3000,0),MATCH(K$4,폐업정보!$D$3:$R$3,0)),
"Error"))</f>
        <v>C1759</v>
      </c>
      <c r="L1764" s="75" t="str">
        <f aca="false">
IF($D1764="정상",INDEX(임대자산!$D$3:$R$3000,MATCH($F1764,임대자산!$I$3:$I$3000,0),MATCH(L$4,임대자산!$D$3:$R$3,0)),
IF($D1764="폐업",INDEX(폐업정보!$D$3:$R$3000,MATCH($F1764,폐업정보!$I$3:$I$3000,0),MATCH(L$4,폐업정보!$D$3:$R$3,0)),
"Error"))</f>
        <v>D1759</v>
      </c>
      <c r="M1764" s="76" t="s">
        <v>96</v>
      </c>
      <c r="N1764" s="77"/>
      <c r="O1764" s="78" t="s">
        <v>97</v>
      </c>
      <c r="P1764" s="79" t="n">
        <f aca="false">COUNTIFS(임대자산!$I:$I,가맹점정보!F1764,임대자산!$N:$N,가맹점정보!P$4)</f>
        <v>0</v>
      </c>
      <c r="Q1764" s="80" t="n">
        <f aca="false">COUNTIFS(임대자산!$I:$I,가맹점정보!F1764,임대자산!$N:$N,가맹점정보!Q$4)</f>
        <v>0</v>
      </c>
      <c r="R1764" s="81" t="n">
        <f aca="false">COUNTIFS(임대자산!$I:$I,가맹점정보!F1764,임대자산!$N:$N,가맹점정보!R$4)</f>
        <v>1</v>
      </c>
      <c r="S1764" s="82" t="n">
        <v>55000</v>
      </c>
      <c r="T1764" s="83" t="n">
        <v>0</v>
      </c>
      <c r="U1764" s="80" t="n">
        <f aca="false">SUM(S1764:T1764)</f>
        <v>55000</v>
      </c>
      <c r="V1764" s="84" t="s">
        <v>12</v>
      </c>
      <c r="W1764" s="80" t="e">
        <f aca="true">
IF(D1764="폐업","폐업",
IF(V1764="면제","면제",
IF(AND(V1764="정상",COUNTIFS(OFFSET(Y1764,0,COUNTA(Y1764:AV1764)-1,1,-4),"미납")&gt;=3),"장기미납",
IF(AND(V1764="정상",OFFSET(Y1764,0,COUNTA(Y1764:AV1764)-1)&gt;=U1764),"정상",
IF(AND(V1764="정상",OFFSET(Y1764,0,COUNTA(Y1764:AV1764)-1)=0),"정상",
"계약서 미작성")))))</f>
        <v>#VALUE!</v>
      </c>
      <c r="X1764" s="81" t="str">
        <f aca="true">
IF(D1764="폐업","폐업",
IF(AND(V1764="정상",OFFSET(Y1764,0,COUNTA(Y1764:AV1764)-1)="미납"),"미납",
IF(AND(V1764="정상",OFFSET(Y1764,0,COUNTA(Y1764:AV1764)-1)=0),"납부 시작 전",
IF(AND(V1764="정상",OFFSET(Y1764,0,COUNTA(Y1764:AV1764)-1)&gt;=U1764),"정상",
IF(AND(V1764="면제",OFFSET(Y1764,0,COUNTA(Y1764:AV1764)-1)="면제"),"면제",
IF(AND(V1764="면제",OFFSET(Y1764,0,COUNTA(Y1764:AV1764)-1)=0),"면제",
"확인요청"))))))</f>
        <v>정상</v>
      </c>
      <c r="Y1764" s="93" t="n">
        <v>55000</v>
      </c>
      <c r="Z1764" s="90" t="n">
        <v>55000</v>
      </c>
      <c r="AA1764" s="90" t="n">
        <v>55000</v>
      </c>
      <c r="AB1764" s="90" t="n">
        <v>55000</v>
      </c>
      <c r="AC1764" s="90" t="n">
        <v>55000</v>
      </c>
      <c r="AD1764" s="90" t="n">
        <v>55000</v>
      </c>
      <c r="AE1764" s="90" t="n">
        <v>55000</v>
      </c>
      <c r="AF1764" s="90" t="n">
        <v>55000</v>
      </c>
      <c r="AG1764" s="90" t="n">
        <v>55000</v>
      </c>
      <c r="AH1764" s="90" t="n">
        <v>55000</v>
      </c>
      <c r="AI1764" s="90" t="n">
        <v>55000</v>
      </c>
      <c r="AJ1764" s="91" t="n">
        <v>55000</v>
      </c>
      <c r="AK1764" s="89" t="n">
        <v>55000</v>
      </c>
      <c r="AL1764" s="90" t="n">
        <v>55000</v>
      </c>
      <c r="AM1764" s="90"/>
      <c r="AN1764" s="90"/>
      <c r="AO1764" s="90"/>
      <c r="AP1764" s="90"/>
      <c r="AQ1764" s="90"/>
      <c r="AR1764" s="90"/>
      <c r="AS1764" s="90"/>
      <c r="AT1764" s="90"/>
      <c r="AU1764" s="90"/>
      <c r="AV1764" s="91"/>
      <c r="AX1764" s="92"/>
    </row>
    <row r="1765" customFormat="false" ht="15.65" hidden="false" customHeight="false" outlineLevel="0" collapsed="false">
      <c r="C1765" s="72" t="n">
        <f aca="false">COUNTIFS($D$6:D1765,"&lt;&gt;"&amp;"")</f>
        <v>1760</v>
      </c>
      <c r="D1765" s="73" t="s">
        <v>12</v>
      </c>
      <c r="E1765" s="76" t="str">
        <f aca="false">
IF($D1765="정상",INDEX(임대자산!$D$3:$R$3000,MATCH($F1765,임대자산!$I$3:$I$3000,0),MATCH(E$3,임대자산!$D$3:$R$3,0)),
IF($D1765="폐업",INDEX(폐업정보!$D$3:$R$3000,MATCH($F1765,폐업정보!$I$3:$I$3000,0),MATCH(E$3,폐업정보!$D$3:$R$3,0)),
"Error"))</f>
        <v>강원</v>
      </c>
      <c r="F176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B1760</v>
      </c>
      <c r="G1765" s="76" t="str">
        <f aca="false">F1765&amp;RANDBETWEEN(0,10)</f>
        <v>B17601</v>
      </c>
      <c r="H1765" s="75" t="n">
        <f aca="false">
IF($D1765="정상",INDEX(임대자산!$D$3:$R$3000,MATCH($F1765,임대자산!$I$3:$I$3000,0),MATCH(H$4,임대자산!$D$3:$R$3,0)),
IF($D1765="폐업",INDEX(폐업정보!$D$3:$R$3000,MATCH($F1765,폐업정보!$I$3:$I$3000,0),MATCH(H$4,폐업정보!$D$3:$R$3,0)),
"Error"))</f>
        <v>45854</v>
      </c>
      <c r="I1765" s="75" t="str">
        <f aca="false">
IF($D1765="정상",INDEX(임대자산!$D$3:$R$3000,MATCH($F1765,임대자산!$I$3:$I$3000,0),MATCH(I$4,임대자산!$D$3:$R$3,0)),
IF($D1765="폐업",INDEX(폐업정보!$D$3:$R$3000,MATCH($F1765,폐업정보!$I$3:$I$3000,0),MATCH(I$4,폐업정보!$D$3:$R$3,0)),
"Error"))</f>
        <v>A1760</v>
      </c>
      <c r="J1765" s="75" t="str">
        <f aca="false">
IF($D1765="정상",INDEX(임대자산!$D$3:$R$3000,MATCH($F1765,임대자산!$I$3:$I$3000,0),MATCH(J$4,임대자산!$D$3:$R$3,0)),
IF($D1765="폐업",INDEX(폐업정보!$D$3:$R$3000,MATCH($F1765,폐업정보!$I$3:$I$3000,0),MATCH(J$4,폐업정보!$D$3:$R$3,0)),
"Error"))</f>
        <v>4044400000</v>
      </c>
      <c r="K1765" s="75" t="str">
        <f aca="false">
IF($D1765="정상",INDEX(임대자산!$D$3:$R$3000,MATCH($F1765,임대자산!$I$3:$I$3000,0),MATCH(K$4,임대자산!$D$3:$R$3,0)),
IF($D1765="폐업",INDEX(폐업정보!$D$3:$R$3000,MATCH($F1765,폐업정보!$I$3:$I$3000,0),MATCH(K$4,폐업정보!$D$3:$R$3,0)),
"Error"))</f>
        <v>C1760</v>
      </c>
      <c r="L1765" s="75" t="str">
        <f aca="false">
IF($D1765="정상",INDEX(임대자산!$D$3:$R$3000,MATCH($F1765,임대자산!$I$3:$I$3000,0),MATCH(L$4,임대자산!$D$3:$R$3,0)),
IF($D1765="폐업",INDEX(폐업정보!$D$3:$R$3000,MATCH($F1765,폐업정보!$I$3:$I$3000,0),MATCH(L$4,폐업정보!$D$3:$R$3,0)),
"Error"))</f>
        <v>D1760</v>
      </c>
      <c r="M1765" s="76" t="s">
        <v>96</v>
      </c>
      <c r="N1765" s="77"/>
      <c r="O1765" s="78" t="s">
        <v>97</v>
      </c>
      <c r="P1765" s="79" t="n">
        <f aca="false">COUNTIFS(임대자산!$I:$I,가맹점정보!F1765,임대자산!$N:$N,가맹점정보!P$4)</f>
        <v>0</v>
      </c>
      <c r="Q1765" s="80" t="n">
        <f aca="false">COUNTIFS(임대자산!$I:$I,가맹점정보!F1765,임대자산!$N:$N,가맹점정보!Q$4)</f>
        <v>0</v>
      </c>
      <c r="R1765" s="81" t="n">
        <f aca="false">COUNTIFS(임대자산!$I:$I,가맹점정보!F1765,임대자산!$N:$N,가맹점정보!R$4)</f>
        <v>1</v>
      </c>
      <c r="S1765" s="82" t="n">
        <v>88000</v>
      </c>
      <c r="T1765" s="83" t="n">
        <v>0</v>
      </c>
      <c r="U1765" s="80" t="n">
        <f aca="false">SUM(S1765:T1765)</f>
        <v>88000</v>
      </c>
      <c r="V1765" s="84" t="s">
        <v>12</v>
      </c>
      <c r="W1765" s="80" t="e">
        <f aca="true">
IF(D1765="폐업","폐업",
IF(V1765="면제","면제",
IF(AND(V1765="정상",COUNTIFS(OFFSET(Y1765,0,COUNTA(Y1765:AV1765)-1,1,-4),"미납")&gt;=3),"장기미납",
IF(AND(V1765="정상",OFFSET(Y1765,0,COUNTA(Y1765:AV1765)-1)&gt;=U1765),"정상",
IF(AND(V1765="정상",OFFSET(Y1765,0,COUNTA(Y1765:AV1765)-1)=0),"정상",
"계약서 미작성")))))</f>
        <v>#VALUE!</v>
      </c>
      <c r="X1765" s="81" t="str">
        <f aca="true">
IF(D1765="폐업","폐업",
IF(AND(V1765="정상",OFFSET(Y1765,0,COUNTA(Y1765:AV1765)-1)="미납"),"미납",
IF(AND(V1765="정상",OFFSET(Y1765,0,COUNTA(Y1765:AV1765)-1)=0),"납부 시작 전",
IF(AND(V1765="정상",OFFSET(Y1765,0,COUNTA(Y1765:AV1765)-1)&gt;=U1765),"정상",
IF(AND(V1765="면제",OFFSET(Y1765,0,COUNTA(Y1765:AV1765)-1)="면제"),"면제",
IF(AND(V1765="면제",OFFSET(Y1765,0,COUNTA(Y1765:AV1765)-1)=0),"면제",
"확인요청"))))))</f>
        <v>정상</v>
      </c>
      <c r="Y1765" s="93" t="n">
        <v>88000</v>
      </c>
      <c r="Z1765" s="90" t="n">
        <v>88000</v>
      </c>
      <c r="AA1765" s="90" t="n">
        <v>88000</v>
      </c>
      <c r="AB1765" s="90" t="n">
        <v>88000</v>
      </c>
      <c r="AC1765" s="90" t="n">
        <v>88000</v>
      </c>
      <c r="AD1765" s="90" t="n">
        <v>88000</v>
      </c>
      <c r="AE1765" s="90" t="n">
        <v>88000</v>
      </c>
      <c r="AF1765" s="90" t="n">
        <v>88000</v>
      </c>
      <c r="AG1765" s="90" t="n">
        <v>88000</v>
      </c>
      <c r="AH1765" s="90" t="n">
        <v>88000</v>
      </c>
      <c r="AI1765" s="90" t="n">
        <v>88000</v>
      </c>
      <c r="AJ1765" s="91" t="n">
        <v>88000</v>
      </c>
      <c r="AK1765" s="89" t="n">
        <v>88000</v>
      </c>
      <c r="AL1765" s="90" t="n">
        <v>88000</v>
      </c>
      <c r="AM1765" s="90"/>
      <c r="AN1765" s="90"/>
      <c r="AO1765" s="90"/>
      <c r="AP1765" s="90"/>
      <c r="AQ1765" s="90"/>
      <c r="AR1765" s="90"/>
      <c r="AS1765" s="90"/>
      <c r="AT1765" s="90"/>
      <c r="AU1765" s="90"/>
      <c r="AV1765" s="91"/>
      <c r="AX1765" s="92"/>
    </row>
    <row r="1766" customFormat="false" ht="15.65" hidden="false" customHeight="false" outlineLevel="0" collapsed="false">
      <c r="C1766" s="72" t="n">
        <f aca="false">COUNTIFS($D$6:D1766,"&lt;&gt;"&amp;"")</f>
        <v>1761</v>
      </c>
      <c r="D1766" s="73" t="s">
        <v>12</v>
      </c>
      <c r="E1766" s="76" t="str">
        <f aca="false">
IF($D1766="정상",INDEX(임대자산!$D$3:$R$3000,MATCH($F1766,임대자산!$I$3:$I$3000,0),MATCH(E$3,임대자산!$D$3:$R$3,0)),
IF($D1766="폐업",INDEX(폐업정보!$D$3:$R$3000,MATCH($F1766,폐업정보!$I$3:$I$3000,0),MATCH(E$3,폐업정보!$D$3:$R$3,0)),
"Error"))</f>
        <v>강원</v>
      </c>
      <c r="F176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B1761</v>
      </c>
      <c r="G1766" s="76" t="str">
        <f aca="false">F1766&amp;RANDBETWEEN(0,10)</f>
        <v>B17618</v>
      </c>
      <c r="H1766" s="75" t="n">
        <f aca="false">
IF($D1766="정상",INDEX(임대자산!$D$3:$R$3000,MATCH($F1766,임대자산!$I$3:$I$3000,0),MATCH(H$4,임대자산!$D$3:$R$3,0)),
IF($D1766="폐업",INDEX(폐업정보!$D$3:$R$3000,MATCH($F1766,폐업정보!$I$3:$I$3000,0),MATCH(H$4,폐업정보!$D$3:$R$3,0)),
"Error"))</f>
        <v>45840</v>
      </c>
      <c r="I1766" s="75" t="str">
        <f aca="false">
IF($D1766="정상",INDEX(임대자산!$D$3:$R$3000,MATCH($F1766,임대자산!$I$3:$I$3000,0),MATCH(I$4,임대자산!$D$3:$R$3,0)),
IF($D1766="폐업",INDEX(폐업정보!$D$3:$R$3000,MATCH($F1766,폐업정보!$I$3:$I$3000,0),MATCH(I$4,폐업정보!$D$3:$R$3,0)),
"Error"))</f>
        <v>A1761</v>
      </c>
      <c r="J1766" s="75" t="str">
        <f aca="false">
IF($D1766="정상",INDEX(임대자산!$D$3:$R$3000,MATCH($F1766,임대자산!$I$3:$I$3000,0),MATCH(J$4,임대자산!$D$3:$R$3,0)),
IF($D1766="폐업",INDEX(폐업정보!$D$3:$R$3000,MATCH($F1766,폐업정보!$I$3:$I$3000,0),MATCH(J$4,폐업정보!$D$3:$R$3,0)),
"Error"))</f>
        <v>2308900000</v>
      </c>
      <c r="K1766" s="75" t="str">
        <f aca="false">
IF($D1766="정상",INDEX(임대자산!$D$3:$R$3000,MATCH($F1766,임대자산!$I$3:$I$3000,0),MATCH(K$4,임대자산!$D$3:$R$3,0)),
IF($D1766="폐업",INDEX(폐업정보!$D$3:$R$3000,MATCH($F1766,폐업정보!$I$3:$I$3000,0),MATCH(K$4,폐업정보!$D$3:$R$3,0)),
"Error"))</f>
        <v>C1761</v>
      </c>
      <c r="L1766" s="75" t="str">
        <f aca="false">
IF($D1766="정상",INDEX(임대자산!$D$3:$R$3000,MATCH($F1766,임대자산!$I$3:$I$3000,0),MATCH(L$4,임대자산!$D$3:$R$3,0)),
IF($D1766="폐업",INDEX(폐업정보!$D$3:$R$3000,MATCH($F1766,폐업정보!$I$3:$I$3000,0),MATCH(L$4,폐업정보!$D$3:$R$3,0)),
"Error"))</f>
        <v>D1761</v>
      </c>
      <c r="M1766" s="76" t="s">
        <v>96</v>
      </c>
      <c r="N1766" s="77"/>
      <c r="O1766" s="78" t="s">
        <v>97</v>
      </c>
      <c r="P1766" s="79" t="n">
        <f aca="false">COUNTIFS(임대자산!$I:$I,가맹점정보!F1766,임대자산!$N:$N,가맹점정보!P$4)</f>
        <v>0</v>
      </c>
      <c r="Q1766" s="80" t="n">
        <f aca="false">COUNTIFS(임대자산!$I:$I,가맹점정보!F1766,임대자산!$N:$N,가맹점정보!Q$4)</f>
        <v>0</v>
      </c>
      <c r="R1766" s="81" t="n">
        <f aca="false">COUNTIFS(임대자산!$I:$I,가맹점정보!F1766,임대자산!$N:$N,가맹점정보!R$4)</f>
        <v>1</v>
      </c>
      <c r="S1766" s="82" t="n">
        <v>55000</v>
      </c>
      <c r="T1766" s="83" t="n">
        <v>0</v>
      </c>
      <c r="U1766" s="80" t="n">
        <f aca="false">SUM(S1766:T1766)</f>
        <v>55000</v>
      </c>
      <c r="V1766" s="84" t="s">
        <v>12</v>
      </c>
      <c r="W1766" s="80" t="e">
        <f aca="true">
IF(D1766="폐업","폐업",
IF(V1766="면제","면제",
IF(AND(V1766="정상",COUNTIFS(OFFSET(Y1766,0,COUNTA(Y1766:AV1766)-1,1,-4),"미납")&gt;=3),"장기미납",
IF(AND(V1766="정상",OFFSET(Y1766,0,COUNTA(Y1766:AV1766)-1)&gt;=U1766),"정상",
IF(AND(V1766="정상",OFFSET(Y1766,0,COUNTA(Y1766:AV1766)-1)=0),"정상",
"계약서 미작성")))))</f>
        <v>#VALUE!</v>
      </c>
      <c r="X1766" s="81" t="str">
        <f aca="true">
IF(D1766="폐업","폐업",
IF(AND(V1766="정상",OFFSET(Y1766,0,COUNTA(Y1766:AV1766)-1)="미납"),"미납",
IF(AND(V1766="정상",OFFSET(Y1766,0,COUNTA(Y1766:AV1766)-1)=0),"납부 시작 전",
IF(AND(V1766="정상",OFFSET(Y1766,0,COUNTA(Y1766:AV1766)-1)&gt;=U1766),"정상",
IF(AND(V1766="면제",OFFSET(Y1766,0,COUNTA(Y1766:AV1766)-1)="면제"),"면제",
IF(AND(V1766="면제",OFFSET(Y1766,0,COUNTA(Y1766:AV1766)-1)=0),"면제",
"확인요청"))))))</f>
        <v>정상</v>
      </c>
      <c r="Y1766" s="93" t="n">
        <v>55000</v>
      </c>
      <c r="Z1766" s="90" t="n">
        <v>55000</v>
      </c>
      <c r="AA1766" s="90" t="n">
        <v>55000</v>
      </c>
      <c r="AB1766" s="90" t="n">
        <v>55000</v>
      </c>
      <c r="AC1766" s="90" t="n">
        <v>55000</v>
      </c>
      <c r="AD1766" s="90" t="n">
        <v>55000</v>
      </c>
      <c r="AE1766" s="90" t="n">
        <v>55000</v>
      </c>
      <c r="AF1766" s="90" t="n">
        <v>55000</v>
      </c>
      <c r="AG1766" s="90" t="n">
        <v>55000</v>
      </c>
      <c r="AH1766" s="90" t="n">
        <v>55000</v>
      </c>
      <c r="AI1766" s="90" t="n">
        <v>55000</v>
      </c>
      <c r="AJ1766" s="91" t="n">
        <v>55000</v>
      </c>
      <c r="AK1766" s="89" t="n">
        <v>55000</v>
      </c>
      <c r="AL1766" s="90" t="n">
        <v>55000</v>
      </c>
      <c r="AM1766" s="90"/>
      <c r="AN1766" s="90"/>
      <c r="AO1766" s="90"/>
      <c r="AP1766" s="90"/>
      <c r="AQ1766" s="90"/>
      <c r="AR1766" s="90"/>
      <c r="AS1766" s="90"/>
      <c r="AT1766" s="90"/>
      <c r="AU1766" s="90"/>
      <c r="AV1766" s="91"/>
      <c r="AX1766" s="92"/>
    </row>
    <row r="1767" customFormat="false" ht="15.65" hidden="false" customHeight="false" outlineLevel="0" collapsed="false">
      <c r="C1767" s="72" t="n">
        <f aca="false">COUNTIFS($D$6:D1767,"&lt;&gt;"&amp;"")</f>
        <v>1762</v>
      </c>
      <c r="D1767" s="73" t="s">
        <v>12</v>
      </c>
      <c r="E1767" s="76" t="str">
        <f aca="false">
IF($D1767="정상",INDEX(임대자산!$D$3:$R$3000,MATCH($F1767,임대자산!$I$3:$I$3000,0),MATCH(E$3,임대자산!$D$3:$R$3,0)),
IF($D1767="폐업",INDEX(폐업정보!$D$3:$R$3000,MATCH($F1767,폐업정보!$I$3:$I$3000,0),MATCH(E$3,폐업정보!$D$3:$R$3,0)),
"Error"))</f>
        <v>전라</v>
      </c>
      <c r="F176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B1762</v>
      </c>
      <c r="G1767" s="76" t="str">
        <f aca="false">F1767&amp;RANDBETWEEN(0,10)</f>
        <v>B17622</v>
      </c>
      <c r="H1767" s="75" t="n">
        <f aca="false">
IF($D1767="정상",INDEX(임대자산!$D$3:$R$3000,MATCH($F1767,임대자산!$I$3:$I$3000,0),MATCH(H$4,임대자산!$D$3:$R$3,0)),
IF($D1767="폐업",INDEX(폐업정보!$D$3:$R$3000,MATCH($F1767,폐업정보!$I$3:$I$3000,0),MATCH(H$4,폐업정보!$D$3:$R$3,0)),
"Error"))</f>
        <v>45859</v>
      </c>
      <c r="I1767" s="75" t="str">
        <f aca="false">
IF($D1767="정상",INDEX(임대자산!$D$3:$R$3000,MATCH($F1767,임대자산!$I$3:$I$3000,0),MATCH(I$4,임대자산!$D$3:$R$3,0)),
IF($D1767="폐업",INDEX(폐업정보!$D$3:$R$3000,MATCH($F1767,폐업정보!$I$3:$I$3000,0),MATCH(I$4,폐업정보!$D$3:$R$3,0)),
"Error"))</f>
        <v>A1762</v>
      </c>
      <c r="J1767" s="75" t="str">
        <f aca="false">
IF($D1767="정상",INDEX(임대자산!$D$3:$R$3000,MATCH($F1767,임대자산!$I$3:$I$3000,0),MATCH(J$4,임대자산!$D$3:$R$3,0)),
IF($D1767="폐업",INDEX(폐업정보!$D$3:$R$3000,MATCH($F1767,폐업정보!$I$3:$I$3000,0),MATCH(J$4,폐업정보!$D$3:$R$3,0)),
"Error"))</f>
        <v>8699500000</v>
      </c>
      <c r="K1767" s="75" t="str">
        <f aca="false">
IF($D1767="정상",INDEX(임대자산!$D$3:$R$3000,MATCH($F1767,임대자산!$I$3:$I$3000,0),MATCH(K$4,임대자산!$D$3:$R$3,0)),
IF($D1767="폐업",INDEX(폐업정보!$D$3:$R$3000,MATCH($F1767,폐업정보!$I$3:$I$3000,0),MATCH(K$4,폐업정보!$D$3:$R$3,0)),
"Error"))</f>
        <v>C1762</v>
      </c>
      <c r="L1767" s="75" t="str">
        <f aca="false">
IF($D1767="정상",INDEX(임대자산!$D$3:$R$3000,MATCH($F1767,임대자산!$I$3:$I$3000,0),MATCH(L$4,임대자산!$D$3:$R$3,0)),
IF($D1767="폐업",INDEX(폐업정보!$D$3:$R$3000,MATCH($F1767,폐업정보!$I$3:$I$3000,0),MATCH(L$4,폐업정보!$D$3:$R$3,0)),
"Error"))</f>
        <v>D1762</v>
      </c>
      <c r="M1767" s="76" t="s">
        <v>96</v>
      </c>
      <c r="N1767" s="77"/>
      <c r="O1767" s="78" t="s">
        <v>97</v>
      </c>
      <c r="P1767" s="79" t="n">
        <f aca="false">COUNTIFS(임대자산!$I:$I,가맹점정보!F1767,임대자산!$N:$N,가맹점정보!P$4)</f>
        <v>0</v>
      </c>
      <c r="Q1767" s="80" t="n">
        <f aca="false">COUNTIFS(임대자산!$I:$I,가맹점정보!F1767,임대자산!$N:$N,가맹점정보!Q$4)</f>
        <v>0</v>
      </c>
      <c r="R1767" s="81" t="n">
        <f aca="false">COUNTIFS(임대자산!$I:$I,가맹점정보!F1767,임대자산!$N:$N,가맹점정보!R$4)</f>
        <v>1</v>
      </c>
      <c r="S1767" s="82" t="n">
        <v>55000</v>
      </c>
      <c r="T1767" s="83" t="n">
        <v>0</v>
      </c>
      <c r="U1767" s="80" t="n">
        <f aca="false">SUM(S1767:T1767)</f>
        <v>55000</v>
      </c>
      <c r="V1767" s="84" t="s">
        <v>12</v>
      </c>
      <c r="W1767" s="80" t="e">
        <f aca="true">
IF(D1767="폐업","폐업",
IF(V1767="면제","면제",
IF(AND(V1767="정상",COUNTIFS(OFFSET(Y1767,0,COUNTA(Y1767:AV1767)-1,1,-4),"미납")&gt;=3),"장기미납",
IF(AND(V1767="정상",OFFSET(Y1767,0,COUNTA(Y1767:AV1767)-1)&gt;=U1767),"정상",
IF(AND(V1767="정상",OFFSET(Y1767,0,COUNTA(Y1767:AV1767)-1)=0),"정상",
"계약서 미작성")))))</f>
        <v>#VALUE!</v>
      </c>
      <c r="X1767" s="81" t="str">
        <f aca="true">
IF(D1767="폐업","폐업",
IF(AND(V1767="정상",OFFSET(Y1767,0,COUNTA(Y1767:AV1767)-1)="미납"),"미납",
IF(AND(V1767="정상",OFFSET(Y1767,0,COUNTA(Y1767:AV1767)-1)=0),"납부 시작 전",
IF(AND(V1767="정상",OFFSET(Y1767,0,COUNTA(Y1767:AV1767)-1)&gt;=U1767),"정상",
IF(AND(V1767="면제",OFFSET(Y1767,0,COUNTA(Y1767:AV1767)-1)="면제"),"면제",
IF(AND(V1767="면제",OFFSET(Y1767,0,COUNTA(Y1767:AV1767)-1)=0),"면제",
"확인요청"))))))</f>
        <v>정상</v>
      </c>
      <c r="Y1767" s="93" t="n">
        <v>55000</v>
      </c>
      <c r="Z1767" s="90" t="n">
        <v>55000</v>
      </c>
      <c r="AA1767" s="90" t="n">
        <v>55000</v>
      </c>
      <c r="AB1767" s="90" t="n">
        <v>55000</v>
      </c>
      <c r="AC1767" s="90" t="n">
        <v>55000</v>
      </c>
      <c r="AD1767" s="90" t="n">
        <v>55000</v>
      </c>
      <c r="AE1767" s="90" t="n">
        <v>55000</v>
      </c>
      <c r="AF1767" s="90" t="n">
        <v>55000</v>
      </c>
      <c r="AG1767" s="90" t="n">
        <v>55000</v>
      </c>
      <c r="AH1767" s="90" t="n">
        <v>55000</v>
      </c>
      <c r="AI1767" s="90" t="n">
        <v>55000</v>
      </c>
      <c r="AJ1767" s="91" t="n">
        <v>55000</v>
      </c>
      <c r="AK1767" s="89" t="n">
        <v>55000</v>
      </c>
      <c r="AL1767" s="90" t="n">
        <v>55000</v>
      </c>
      <c r="AM1767" s="90"/>
      <c r="AN1767" s="90"/>
      <c r="AO1767" s="90"/>
      <c r="AP1767" s="90"/>
      <c r="AQ1767" s="90"/>
      <c r="AR1767" s="90"/>
      <c r="AS1767" s="90"/>
      <c r="AT1767" s="90"/>
      <c r="AU1767" s="90"/>
      <c r="AV1767" s="91"/>
      <c r="AX1767" s="92"/>
    </row>
    <row r="1768" customFormat="false" ht="15.65" hidden="false" customHeight="false" outlineLevel="0" collapsed="false">
      <c r="C1768" s="72" t="n">
        <f aca="false">COUNTIFS($D$6:D1768,"&lt;&gt;"&amp;"")</f>
        <v>1763</v>
      </c>
      <c r="D1768" s="73" t="s">
        <v>12</v>
      </c>
      <c r="E1768" s="76" t="str">
        <f aca="false">
IF($D1768="정상",INDEX(임대자산!$D$3:$R$3000,MATCH($F1768,임대자산!$I$3:$I$3000,0),MATCH(E$3,임대자산!$D$3:$R$3,0)),
IF($D1768="폐업",INDEX(폐업정보!$D$3:$R$3000,MATCH($F1768,폐업정보!$I$3:$I$3000,0),MATCH(E$3,폐업정보!$D$3:$R$3,0)),
"Error"))</f>
        <v>강원</v>
      </c>
      <c r="F176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B1763</v>
      </c>
      <c r="G1768" s="76" t="str">
        <f aca="false">F1768&amp;RANDBETWEEN(0,10)</f>
        <v>B17632</v>
      </c>
      <c r="H1768" s="75" t="n">
        <f aca="false">
IF($D1768="정상",INDEX(임대자산!$D$3:$R$3000,MATCH($F1768,임대자산!$I$3:$I$3000,0),MATCH(H$4,임대자산!$D$3:$R$3,0)),
IF($D1768="폐업",INDEX(폐업정보!$D$3:$R$3000,MATCH($F1768,폐업정보!$I$3:$I$3000,0),MATCH(H$4,폐업정보!$D$3:$R$3,0)),
"Error"))</f>
        <v>45846</v>
      </c>
      <c r="I1768" s="75" t="str">
        <f aca="false">
IF($D1768="정상",INDEX(임대자산!$D$3:$R$3000,MATCH($F1768,임대자산!$I$3:$I$3000,0),MATCH(I$4,임대자산!$D$3:$R$3,0)),
IF($D1768="폐업",INDEX(폐업정보!$D$3:$R$3000,MATCH($F1768,폐업정보!$I$3:$I$3000,0),MATCH(I$4,폐업정보!$D$3:$R$3,0)),
"Error"))</f>
        <v>A1763</v>
      </c>
      <c r="J1768" s="75" t="str">
        <f aca="false">
IF($D1768="정상",INDEX(임대자산!$D$3:$R$3000,MATCH($F1768,임대자산!$I$3:$I$3000,0),MATCH(J$4,임대자산!$D$3:$R$3,0)),
IF($D1768="폐업",INDEX(폐업정보!$D$3:$R$3000,MATCH($F1768,폐업정보!$I$3:$I$3000,0),MATCH(J$4,폐업정보!$D$3:$R$3,0)),
"Error"))</f>
        <v>7895800000</v>
      </c>
      <c r="K1768" s="75" t="str">
        <f aca="false">
IF($D1768="정상",INDEX(임대자산!$D$3:$R$3000,MATCH($F1768,임대자산!$I$3:$I$3000,0),MATCH(K$4,임대자산!$D$3:$R$3,0)),
IF($D1768="폐업",INDEX(폐업정보!$D$3:$R$3000,MATCH($F1768,폐업정보!$I$3:$I$3000,0),MATCH(K$4,폐업정보!$D$3:$R$3,0)),
"Error"))</f>
        <v>C1763</v>
      </c>
      <c r="L1768" s="75" t="str">
        <f aca="false">
IF($D1768="정상",INDEX(임대자산!$D$3:$R$3000,MATCH($F1768,임대자산!$I$3:$I$3000,0),MATCH(L$4,임대자산!$D$3:$R$3,0)),
IF($D1768="폐업",INDEX(폐업정보!$D$3:$R$3000,MATCH($F1768,폐업정보!$I$3:$I$3000,0),MATCH(L$4,폐업정보!$D$3:$R$3,0)),
"Error"))</f>
        <v>D1763</v>
      </c>
      <c r="M1768" s="76" t="s">
        <v>96</v>
      </c>
      <c r="N1768" s="77"/>
      <c r="O1768" s="78" t="s">
        <v>97</v>
      </c>
      <c r="P1768" s="79" t="n">
        <f aca="false">COUNTIFS(임대자산!$I:$I,가맹점정보!F1768,임대자산!$N:$N,가맹점정보!P$4)</f>
        <v>0</v>
      </c>
      <c r="Q1768" s="80" t="n">
        <f aca="false">COUNTIFS(임대자산!$I:$I,가맹점정보!F1768,임대자산!$N:$N,가맹점정보!Q$4)</f>
        <v>0</v>
      </c>
      <c r="R1768" s="81" t="n">
        <f aca="false">COUNTIFS(임대자산!$I:$I,가맹점정보!F1768,임대자산!$N:$N,가맹점정보!R$4)</f>
        <v>1</v>
      </c>
      <c r="S1768" s="82" t="n">
        <v>55000</v>
      </c>
      <c r="T1768" s="83" t="n">
        <v>0</v>
      </c>
      <c r="U1768" s="80" t="n">
        <f aca="false">SUM(S1768:T1768)</f>
        <v>55000</v>
      </c>
      <c r="V1768" s="84" t="s">
        <v>12</v>
      </c>
      <c r="W1768" s="80" t="e">
        <f aca="true">
IF(D1768="폐업","폐업",
IF(V1768="면제","면제",
IF(AND(V1768="정상",COUNTIFS(OFFSET(Y1768,0,COUNTA(Y1768:AV1768)-1,1,-4),"미납")&gt;=3),"장기미납",
IF(AND(V1768="정상",OFFSET(Y1768,0,COUNTA(Y1768:AV1768)-1)&gt;=U1768),"정상",
IF(AND(V1768="정상",OFFSET(Y1768,0,COUNTA(Y1768:AV1768)-1)=0),"정상",
"계약서 미작성")))))</f>
        <v>#VALUE!</v>
      </c>
      <c r="X1768" s="81" t="str">
        <f aca="true">
IF(D1768="폐업","폐업",
IF(AND(V1768="정상",OFFSET(Y1768,0,COUNTA(Y1768:AV1768)-1)="미납"),"미납",
IF(AND(V1768="정상",OFFSET(Y1768,0,COUNTA(Y1768:AV1768)-1)=0),"납부 시작 전",
IF(AND(V1768="정상",OFFSET(Y1768,0,COUNTA(Y1768:AV1768)-1)&gt;=U1768),"정상",
IF(AND(V1768="면제",OFFSET(Y1768,0,COUNTA(Y1768:AV1768)-1)="면제"),"면제",
IF(AND(V1768="면제",OFFSET(Y1768,0,COUNTA(Y1768:AV1768)-1)=0),"면제",
"확인요청"))))))</f>
        <v>정상</v>
      </c>
      <c r="Y1768" s="93" t="n">
        <v>55000</v>
      </c>
      <c r="Z1768" s="90" t="n">
        <v>55000</v>
      </c>
      <c r="AA1768" s="90" t="n">
        <v>55000</v>
      </c>
      <c r="AB1768" s="90" t="n">
        <v>55000</v>
      </c>
      <c r="AC1768" s="90" t="n">
        <v>55000</v>
      </c>
      <c r="AD1768" s="90" t="n">
        <v>55000</v>
      </c>
      <c r="AE1768" s="90" t="n">
        <v>55000</v>
      </c>
      <c r="AF1768" s="90" t="n">
        <v>55000</v>
      </c>
      <c r="AG1768" s="90" t="n">
        <v>55000</v>
      </c>
      <c r="AH1768" s="90" t="n">
        <v>55000</v>
      </c>
      <c r="AI1768" s="90" t="n">
        <v>55000</v>
      </c>
      <c r="AJ1768" s="91" t="n">
        <v>55000</v>
      </c>
      <c r="AK1768" s="89" t="n">
        <v>55000</v>
      </c>
      <c r="AL1768" s="90" t="n">
        <v>55000</v>
      </c>
      <c r="AM1768" s="90"/>
      <c r="AN1768" s="90"/>
      <c r="AO1768" s="90"/>
      <c r="AP1768" s="90"/>
      <c r="AQ1768" s="90"/>
      <c r="AR1768" s="90"/>
      <c r="AS1768" s="90"/>
      <c r="AT1768" s="90"/>
      <c r="AU1768" s="90"/>
      <c r="AV1768" s="91"/>
      <c r="AX1768" s="92"/>
    </row>
    <row r="1769" customFormat="false" ht="15.65" hidden="false" customHeight="false" outlineLevel="0" collapsed="false">
      <c r="C1769" s="72" t="n">
        <f aca="false">COUNTIFS($D$6:D1769,"&lt;&gt;"&amp;"")</f>
        <v>1764</v>
      </c>
      <c r="D1769" s="73" t="s">
        <v>12</v>
      </c>
      <c r="E1769" s="76" t="str">
        <f aca="false">
IF($D1769="정상",INDEX(임대자산!$D$3:$R$3000,MATCH($F1769,임대자산!$I$3:$I$3000,0),MATCH(E$3,임대자산!$D$3:$R$3,0)),
IF($D1769="폐업",INDEX(폐업정보!$D$3:$R$3000,MATCH($F1769,폐업정보!$I$3:$I$3000,0),MATCH(E$3,폐업정보!$D$3:$R$3,0)),
"Error"))</f>
        <v>강원</v>
      </c>
      <c r="F176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B1764</v>
      </c>
      <c r="G1769" s="76" t="str">
        <f aca="false">F1769&amp;RANDBETWEEN(0,10)</f>
        <v>B17641</v>
      </c>
      <c r="H1769" s="75" t="n">
        <f aca="false">
IF($D1769="정상",INDEX(임대자산!$D$3:$R$3000,MATCH($F1769,임대자산!$I$3:$I$3000,0),MATCH(H$4,임대자산!$D$3:$R$3,0)),
IF($D1769="폐업",INDEX(폐업정보!$D$3:$R$3000,MATCH($F1769,폐업정보!$I$3:$I$3000,0),MATCH(H$4,폐업정보!$D$3:$R$3,0)),
"Error"))</f>
        <v>45846</v>
      </c>
      <c r="I1769" s="75" t="str">
        <f aca="false">
IF($D1769="정상",INDEX(임대자산!$D$3:$R$3000,MATCH($F1769,임대자산!$I$3:$I$3000,0),MATCH(I$4,임대자산!$D$3:$R$3,0)),
IF($D1769="폐업",INDEX(폐업정보!$D$3:$R$3000,MATCH($F1769,폐업정보!$I$3:$I$3000,0),MATCH(I$4,폐업정보!$D$3:$R$3,0)),
"Error"))</f>
        <v>A1764</v>
      </c>
      <c r="J1769" s="75" t="str">
        <f aca="false">
IF($D1769="정상",INDEX(임대자산!$D$3:$R$3000,MATCH($F1769,임대자산!$I$3:$I$3000,0),MATCH(J$4,임대자산!$D$3:$R$3,0)),
IF($D1769="폐업",INDEX(폐업정보!$D$3:$R$3000,MATCH($F1769,폐업정보!$I$3:$I$3000,0),MATCH(J$4,폐업정보!$D$3:$R$3,0)),
"Error"))</f>
        <v>1491100000</v>
      </c>
      <c r="K1769" s="75" t="str">
        <f aca="false">
IF($D1769="정상",INDEX(임대자산!$D$3:$R$3000,MATCH($F1769,임대자산!$I$3:$I$3000,0),MATCH(K$4,임대자산!$D$3:$R$3,0)),
IF($D1769="폐업",INDEX(폐업정보!$D$3:$R$3000,MATCH($F1769,폐업정보!$I$3:$I$3000,0),MATCH(K$4,폐업정보!$D$3:$R$3,0)),
"Error"))</f>
        <v>C1764</v>
      </c>
      <c r="L1769" s="75" t="str">
        <f aca="false">
IF($D1769="정상",INDEX(임대자산!$D$3:$R$3000,MATCH($F1769,임대자산!$I$3:$I$3000,0),MATCH(L$4,임대자산!$D$3:$R$3,0)),
IF($D1769="폐업",INDEX(폐업정보!$D$3:$R$3000,MATCH($F1769,폐업정보!$I$3:$I$3000,0),MATCH(L$4,폐업정보!$D$3:$R$3,0)),
"Error"))</f>
        <v>D1764</v>
      </c>
      <c r="M1769" s="76" t="s">
        <v>96</v>
      </c>
      <c r="N1769" s="77"/>
      <c r="O1769" s="78" t="s">
        <v>97</v>
      </c>
      <c r="P1769" s="79" t="n">
        <f aca="false">COUNTIFS(임대자산!$I:$I,가맹점정보!F1769,임대자산!$N:$N,가맹점정보!P$4)</f>
        <v>0</v>
      </c>
      <c r="Q1769" s="80" t="n">
        <f aca="false">COUNTIFS(임대자산!$I:$I,가맹점정보!F1769,임대자산!$N:$N,가맹점정보!Q$4)</f>
        <v>0</v>
      </c>
      <c r="R1769" s="81" t="n">
        <f aca="false">COUNTIFS(임대자산!$I:$I,가맹점정보!F1769,임대자산!$N:$N,가맹점정보!R$4)</f>
        <v>1</v>
      </c>
      <c r="S1769" s="82" t="n">
        <v>55000</v>
      </c>
      <c r="T1769" s="83" t="n">
        <v>0</v>
      </c>
      <c r="U1769" s="80" t="n">
        <f aca="false">SUM(S1769:T1769)</f>
        <v>55000</v>
      </c>
      <c r="V1769" s="84" t="s">
        <v>12</v>
      </c>
      <c r="W1769" s="80" t="e">
        <f aca="true">
IF(D1769="폐업","폐업",
IF(V1769="면제","면제",
IF(AND(V1769="정상",COUNTIFS(OFFSET(Y1769,0,COUNTA(Y1769:AV1769)-1,1,-4),"미납")&gt;=3),"장기미납",
IF(AND(V1769="정상",OFFSET(Y1769,0,COUNTA(Y1769:AV1769)-1)&gt;=U1769),"정상",
IF(AND(V1769="정상",OFFSET(Y1769,0,COUNTA(Y1769:AV1769)-1)=0),"정상",
"계약서 미작성")))))</f>
        <v>#VALUE!</v>
      </c>
      <c r="X1769" s="81" t="str">
        <f aca="true">
IF(D1769="폐업","폐업",
IF(AND(V1769="정상",OFFSET(Y1769,0,COUNTA(Y1769:AV1769)-1)="미납"),"미납",
IF(AND(V1769="정상",OFFSET(Y1769,0,COUNTA(Y1769:AV1769)-1)=0),"납부 시작 전",
IF(AND(V1769="정상",OFFSET(Y1769,0,COUNTA(Y1769:AV1769)-1)&gt;=U1769),"정상",
IF(AND(V1769="면제",OFFSET(Y1769,0,COUNTA(Y1769:AV1769)-1)="면제"),"면제",
IF(AND(V1769="면제",OFFSET(Y1769,0,COUNTA(Y1769:AV1769)-1)=0),"면제",
"확인요청"))))))</f>
        <v>정상</v>
      </c>
      <c r="Y1769" s="93" t="n">
        <v>55000</v>
      </c>
      <c r="Z1769" s="90" t="n">
        <v>55000</v>
      </c>
      <c r="AA1769" s="90" t="n">
        <v>55000</v>
      </c>
      <c r="AB1769" s="90" t="n">
        <v>55000</v>
      </c>
      <c r="AC1769" s="90" t="n">
        <v>55000</v>
      </c>
      <c r="AD1769" s="90" t="n">
        <v>55000</v>
      </c>
      <c r="AE1769" s="90" t="n">
        <v>55000</v>
      </c>
      <c r="AF1769" s="90" t="n">
        <v>55000</v>
      </c>
      <c r="AG1769" s="90" t="n">
        <v>55000</v>
      </c>
      <c r="AH1769" s="90" t="n">
        <v>55000</v>
      </c>
      <c r="AI1769" s="90" t="n">
        <v>55000</v>
      </c>
      <c r="AJ1769" s="91" t="n">
        <v>55000</v>
      </c>
      <c r="AK1769" s="89" t="n">
        <v>55000</v>
      </c>
      <c r="AL1769" s="90" t="n">
        <v>55000</v>
      </c>
      <c r="AM1769" s="90"/>
      <c r="AN1769" s="90"/>
      <c r="AO1769" s="90"/>
      <c r="AP1769" s="90"/>
      <c r="AQ1769" s="90"/>
      <c r="AR1769" s="90"/>
      <c r="AS1769" s="90"/>
      <c r="AT1769" s="90"/>
      <c r="AU1769" s="90"/>
      <c r="AV1769" s="91"/>
      <c r="AX1769" s="92"/>
    </row>
    <row r="1770" customFormat="false" ht="15.65" hidden="false" customHeight="false" outlineLevel="0" collapsed="false">
      <c r="C1770" s="72" t="n">
        <f aca="false">COUNTIFS($D$6:D1770,"&lt;&gt;"&amp;"")</f>
        <v>1765</v>
      </c>
      <c r="D1770" s="73" t="s">
        <v>12</v>
      </c>
      <c r="E1770" s="76" t="str">
        <f aca="false">
IF($D1770="정상",INDEX(임대자산!$D$3:$R$3000,MATCH($F1770,임대자산!$I$3:$I$3000,0),MATCH(E$3,임대자산!$D$3:$R$3,0)),
IF($D1770="폐업",INDEX(폐업정보!$D$3:$R$3000,MATCH($F1770,폐업정보!$I$3:$I$3000,0),MATCH(E$3,폐업정보!$D$3:$R$3,0)),
"Error"))</f>
        <v>경상</v>
      </c>
      <c r="F177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B1765</v>
      </c>
      <c r="G1770" s="76" t="str">
        <f aca="false">F1770&amp;RANDBETWEEN(0,10)</f>
        <v>B17653</v>
      </c>
      <c r="H1770" s="75" t="n">
        <f aca="false">
IF($D1770="정상",INDEX(임대자산!$D$3:$R$3000,MATCH($F1770,임대자산!$I$3:$I$3000,0),MATCH(H$4,임대자산!$D$3:$R$3,0)),
IF($D1770="폐업",INDEX(폐업정보!$D$3:$R$3000,MATCH($F1770,폐업정보!$I$3:$I$3000,0),MATCH(H$4,폐업정보!$D$3:$R$3,0)),
"Error"))</f>
        <v>45841</v>
      </c>
      <c r="I1770" s="75" t="str">
        <f aca="false">
IF($D1770="정상",INDEX(임대자산!$D$3:$R$3000,MATCH($F1770,임대자산!$I$3:$I$3000,0),MATCH(I$4,임대자산!$D$3:$R$3,0)),
IF($D1770="폐업",INDEX(폐업정보!$D$3:$R$3000,MATCH($F1770,폐업정보!$I$3:$I$3000,0),MATCH(I$4,폐업정보!$D$3:$R$3,0)),
"Error"))</f>
        <v>A1765</v>
      </c>
      <c r="J1770" s="75" t="str">
        <f aca="false">
IF($D1770="정상",INDEX(임대자산!$D$3:$R$3000,MATCH($F1770,임대자산!$I$3:$I$3000,0),MATCH(J$4,임대자산!$D$3:$R$3,0)),
IF($D1770="폐업",INDEX(폐업정보!$D$3:$R$3000,MATCH($F1770,폐업정보!$I$3:$I$3000,0),MATCH(J$4,폐업정보!$D$3:$R$3,0)),
"Error"))</f>
        <v>7515800000</v>
      </c>
      <c r="K1770" s="75" t="str">
        <f aca="false">
IF($D1770="정상",INDEX(임대자산!$D$3:$R$3000,MATCH($F1770,임대자산!$I$3:$I$3000,0),MATCH(K$4,임대자산!$D$3:$R$3,0)),
IF($D1770="폐업",INDEX(폐업정보!$D$3:$R$3000,MATCH($F1770,폐업정보!$I$3:$I$3000,0),MATCH(K$4,폐업정보!$D$3:$R$3,0)),
"Error"))</f>
        <v>C1765</v>
      </c>
      <c r="L1770" s="75" t="str">
        <f aca="false">
IF($D1770="정상",INDEX(임대자산!$D$3:$R$3000,MATCH($F1770,임대자산!$I$3:$I$3000,0),MATCH(L$4,임대자산!$D$3:$R$3,0)),
IF($D1770="폐업",INDEX(폐업정보!$D$3:$R$3000,MATCH($F1770,폐업정보!$I$3:$I$3000,0),MATCH(L$4,폐업정보!$D$3:$R$3,0)),
"Error"))</f>
        <v>D1765</v>
      </c>
      <c r="M1770" s="76" t="s">
        <v>96</v>
      </c>
      <c r="N1770" s="77"/>
      <c r="O1770" s="78" t="s">
        <v>97</v>
      </c>
      <c r="P1770" s="79" t="n">
        <f aca="false">COUNTIFS(임대자산!$I:$I,가맹점정보!F1770,임대자산!$N:$N,가맹점정보!P$4)</f>
        <v>0</v>
      </c>
      <c r="Q1770" s="80" t="n">
        <f aca="false">COUNTIFS(임대자산!$I:$I,가맹점정보!F1770,임대자산!$N:$N,가맹점정보!Q$4)</f>
        <v>0</v>
      </c>
      <c r="R1770" s="81" t="n">
        <f aca="false">COUNTIFS(임대자산!$I:$I,가맹점정보!F1770,임대자산!$N:$N,가맹점정보!R$4)</f>
        <v>1</v>
      </c>
      <c r="S1770" s="82" t="n">
        <v>44000</v>
      </c>
      <c r="T1770" s="83" t="n">
        <v>44000</v>
      </c>
      <c r="U1770" s="80" t="n">
        <f aca="false">SUM(S1770:T1770)</f>
        <v>88000</v>
      </c>
      <c r="V1770" s="84" t="s">
        <v>12</v>
      </c>
      <c r="W1770" s="80" t="e">
        <f aca="true">
IF(D1770="폐업","폐업",
IF(V1770="면제","면제",
IF(AND(V1770="정상",COUNTIFS(OFFSET(Y1770,0,COUNTA(Y1770:AV1770)-1,1,-4),"미납")&gt;=3),"장기미납",
IF(AND(V1770="정상",OFFSET(Y1770,0,COUNTA(Y1770:AV1770)-1)&gt;=U1770),"정상",
IF(AND(V1770="정상",OFFSET(Y1770,0,COUNTA(Y1770:AV1770)-1)=0),"정상",
"계약서 미작성")))))</f>
        <v>#VALUE!</v>
      </c>
      <c r="X1770" s="81" t="str">
        <f aca="true">
IF(D1770="폐업","폐업",
IF(AND(V1770="정상",OFFSET(Y1770,0,COUNTA(Y1770:AV1770)-1)="미납"),"미납",
IF(AND(V1770="정상",OFFSET(Y1770,0,COUNTA(Y1770:AV1770)-1)=0),"납부 시작 전",
IF(AND(V1770="정상",OFFSET(Y1770,0,COUNTA(Y1770:AV1770)-1)&gt;=U1770),"정상",
IF(AND(V1770="면제",OFFSET(Y1770,0,COUNTA(Y1770:AV1770)-1)="면제"),"면제",
IF(AND(V1770="면제",OFFSET(Y1770,0,COUNTA(Y1770:AV1770)-1)=0),"면제",
"확인요청"))))))</f>
        <v>정상</v>
      </c>
      <c r="Y1770" s="93" t="n">
        <v>88000</v>
      </c>
      <c r="Z1770" s="90" t="n">
        <v>88000</v>
      </c>
      <c r="AA1770" s="90" t="n">
        <v>88000</v>
      </c>
      <c r="AB1770" s="90" t="n">
        <v>88000</v>
      </c>
      <c r="AC1770" s="90" t="n">
        <v>88000</v>
      </c>
      <c r="AD1770" s="90" t="n">
        <v>88000</v>
      </c>
      <c r="AE1770" s="90" t="n">
        <v>88000</v>
      </c>
      <c r="AF1770" s="90" t="n">
        <v>88000</v>
      </c>
      <c r="AG1770" s="90" t="n">
        <v>88000</v>
      </c>
      <c r="AH1770" s="90" t="n">
        <v>88000</v>
      </c>
      <c r="AI1770" s="90" t="n">
        <v>88000</v>
      </c>
      <c r="AJ1770" s="91" t="n">
        <v>88000</v>
      </c>
      <c r="AK1770" s="89" t="n">
        <v>88000</v>
      </c>
      <c r="AL1770" s="90" t="n">
        <v>88000</v>
      </c>
      <c r="AM1770" s="90"/>
      <c r="AN1770" s="90"/>
      <c r="AO1770" s="90"/>
      <c r="AP1770" s="90"/>
      <c r="AQ1770" s="90"/>
      <c r="AR1770" s="90"/>
      <c r="AS1770" s="90"/>
      <c r="AT1770" s="90"/>
      <c r="AU1770" s="90"/>
      <c r="AV1770" s="91"/>
      <c r="AX1770" s="92"/>
    </row>
    <row r="1771" customFormat="false" ht="15.65" hidden="false" customHeight="false" outlineLevel="0" collapsed="false">
      <c r="C1771" s="72" t="n">
        <f aca="false">COUNTIFS($D$6:D1771,"&lt;&gt;"&amp;"")</f>
        <v>1766</v>
      </c>
      <c r="D1771" s="73" t="s">
        <v>12</v>
      </c>
      <c r="E1771" s="76" t="str">
        <f aca="false">
IF($D1771="정상",INDEX(임대자산!$D$3:$R$3000,MATCH($F1771,임대자산!$I$3:$I$3000,0),MATCH(E$3,임대자산!$D$3:$R$3,0)),
IF($D1771="폐업",INDEX(폐업정보!$D$3:$R$3000,MATCH($F1771,폐업정보!$I$3:$I$3000,0),MATCH(E$3,폐업정보!$D$3:$R$3,0)),
"Error"))</f>
        <v>경상</v>
      </c>
      <c r="F177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B1766</v>
      </c>
      <c r="G1771" s="76" t="str">
        <f aca="false">F1771&amp;RANDBETWEEN(0,10)</f>
        <v>B17660</v>
      </c>
      <c r="H1771" s="75" t="n">
        <f aca="false">
IF($D1771="정상",INDEX(임대자산!$D$3:$R$3000,MATCH($F1771,임대자산!$I$3:$I$3000,0),MATCH(H$4,임대자산!$D$3:$R$3,0)),
IF($D1771="폐업",INDEX(폐업정보!$D$3:$R$3000,MATCH($F1771,폐업정보!$I$3:$I$3000,0),MATCH(H$4,폐업정보!$D$3:$R$3,0)),
"Error"))</f>
        <v>45853</v>
      </c>
      <c r="I1771" s="75" t="str">
        <f aca="false">
IF($D1771="정상",INDEX(임대자산!$D$3:$R$3000,MATCH($F1771,임대자산!$I$3:$I$3000,0),MATCH(I$4,임대자산!$D$3:$R$3,0)),
IF($D1771="폐업",INDEX(폐업정보!$D$3:$R$3000,MATCH($F1771,폐업정보!$I$3:$I$3000,0),MATCH(I$4,폐업정보!$D$3:$R$3,0)),
"Error"))</f>
        <v>A1766</v>
      </c>
      <c r="J1771" s="75" t="str">
        <f aca="false">
IF($D1771="정상",INDEX(임대자산!$D$3:$R$3000,MATCH($F1771,임대자산!$I$3:$I$3000,0),MATCH(J$4,임대자산!$D$3:$R$3,0)),
IF($D1771="폐업",INDEX(폐업정보!$D$3:$R$3000,MATCH($F1771,폐업정보!$I$3:$I$3000,0),MATCH(J$4,폐업정보!$D$3:$R$3,0)),
"Error"))</f>
        <v>6187600000</v>
      </c>
      <c r="K1771" s="75" t="str">
        <f aca="false">
IF($D1771="정상",INDEX(임대자산!$D$3:$R$3000,MATCH($F1771,임대자산!$I$3:$I$3000,0),MATCH(K$4,임대자산!$D$3:$R$3,0)),
IF($D1771="폐업",INDEX(폐업정보!$D$3:$R$3000,MATCH($F1771,폐업정보!$I$3:$I$3000,0),MATCH(K$4,폐업정보!$D$3:$R$3,0)),
"Error"))</f>
        <v>C1766</v>
      </c>
      <c r="L1771" s="75" t="str">
        <f aca="false">
IF($D1771="정상",INDEX(임대자산!$D$3:$R$3000,MATCH($F1771,임대자산!$I$3:$I$3000,0),MATCH(L$4,임대자산!$D$3:$R$3,0)),
IF($D1771="폐업",INDEX(폐업정보!$D$3:$R$3000,MATCH($F1771,폐업정보!$I$3:$I$3000,0),MATCH(L$4,폐업정보!$D$3:$R$3,0)),
"Error"))</f>
        <v>D1766</v>
      </c>
      <c r="M1771" s="76" t="s">
        <v>96</v>
      </c>
      <c r="N1771" s="77"/>
      <c r="O1771" s="78" t="s">
        <v>97</v>
      </c>
      <c r="P1771" s="79" t="n">
        <f aca="false">COUNTIFS(임대자산!$I:$I,가맹점정보!F1771,임대자산!$N:$N,가맹점정보!P$4)</f>
        <v>0</v>
      </c>
      <c r="Q1771" s="80" t="n">
        <f aca="false">COUNTIFS(임대자산!$I:$I,가맹점정보!F1771,임대자산!$N:$N,가맹점정보!Q$4)</f>
        <v>0</v>
      </c>
      <c r="R1771" s="81" t="n">
        <f aca="false">COUNTIFS(임대자산!$I:$I,가맹점정보!F1771,임대자산!$N:$N,가맹점정보!R$4)</f>
        <v>1</v>
      </c>
      <c r="S1771" s="82" t="n">
        <v>55000</v>
      </c>
      <c r="T1771" s="83" t="n">
        <v>0</v>
      </c>
      <c r="U1771" s="80" t="n">
        <f aca="false">SUM(S1771:T1771)</f>
        <v>55000</v>
      </c>
      <c r="V1771" s="84" t="s">
        <v>12</v>
      </c>
      <c r="W1771" s="80" t="e">
        <f aca="true">
IF(D1771="폐업","폐업",
IF(V1771="면제","면제",
IF(AND(V1771="정상",COUNTIFS(OFFSET(Y1771,0,COUNTA(Y1771:AV1771)-1,1,-4),"미납")&gt;=3),"장기미납",
IF(AND(V1771="정상",OFFSET(Y1771,0,COUNTA(Y1771:AV1771)-1)&gt;=U1771),"정상",
IF(AND(V1771="정상",OFFSET(Y1771,0,COUNTA(Y1771:AV1771)-1)=0),"정상",
"계약서 미작성")))))</f>
        <v>#VALUE!</v>
      </c>
      <c r="X1771" s="81" t="str">
        <f aca="true">
IF(D1771="폐업","폐업",
IF(AND(V1771="정상",OFFSET(Y1771,0,COUNTA(Y1771:AV1771)-1)="미납"),"미납",
IF(AND(V1771="정상",OFFSET(Y1771,0,COUNTA(Y1771:AV1771)-1)=0),"납부 시작 전",
IF(AND(V1771="정상",OFFSET(Y1771,0,COUNTA(Y1771:AV1771)-1)&gt;=U1771),"정상",
IF(AND(V1771="면제",OFFSET(Y1771,0,COUNTA(Y1771:AV1771)-1)="면제"),"면제",
IF(AND(V1771="면제",OFFSET(Y1771,0,COUNTA(Y1771:AV1771)-1)=0),"면제",
"확인요청"))))))</f>
        <v>정상</v>
      </c>
      <c r="Y1771" s="93" t="n">
        <v>55000</v>
      </c>
      <c r="Z1771" s="90" t="n">
        <v>55000</v>
      </c>
      <c r="AA1771" s="90" t="n">
        <v>55000</v>
      </c>
      <c r="AB1771" s="90" t="n">
        <v>55000</v>
      </c>
      <c r="AC1771" s="90" t="n">
        <v>55000</v>
      </c>
      <c r="AD1771" s="90" t="n">
        <v>55000</v>
      </c>
      <c r="AE1771" s="90" t="n">
        <v>55000</v>
      </c>
      <c r="AF1771" s="90" t="n">
        <v>55000</v>
      </c>
      <c r="AG1771" s="90" t="n">
        <v>55000</v>
      </c>
      <c r="AH1771" s="90" t="n">
        <v>55000</v>
      </c>
      <c r="AI1771" s="90" t="n">
        <v>55000</v>
      </c>
      <c r="AJ1771" s="91" t="n">
        <v>55000</v>
      </c>
      <c r="AK1771" s="89" t="n">
        <v>55000</v>
      </c>
      <c r="AL1771" s="90" t="n">
        <v>55000</v>
      </c>
      <c r="AM1771" s="90"/>
      <c r="AN1771" s="90"/>
      <c r="AO1771" s="90"/>
      <c r="AP1771" s="90"/>
      <c r="AQ1771" s="90"/>
      <c r="AR1771" s="90"/>
      <c r="AS1771" s="90"/>
      <c r="AT1771" s="90"/>
      <c r="AU1771" s="90"/>
      <c r="AV1771" s="91"/>
      <c r="AX1771" s="92"/>
    </row>
    <row r="1772" customFormat="false" ht="15.65" hidden="false" customHeight="false" outlineLevel="0" collapsed="false">
      <c r="C1772" s="72" t="n">
        <f aca="false">COUNTIFS($D$6:D1772,"&lt;&gt;"&amp;"")</f>
        <v>1767</v>
      </c>
      <c r="D1772" s="73" t="s">
        <v>12</v>
      </c>
      <c r="E1772" s="76" t="str">
        <f aca="false">
IF($D1772="정상",INDEX(임대자산!$D$3:$R$3000,MATCH($F1772,임대자산!$I$3:$I$3000,0),MATCH(E$3,임대자산!$D$3:$R$3,0)),
IF($D1772="폐업",INDEX(폐업정보!$D$3:$R$3000,MATCH($F1772,폐업정보!$I$3:$I$3000,0),MATCH(E$3,폐업정보!$D$3:$R$3,0)),
"Error"))</f>
        <v>경상</v>
      </c>
      <c r="F177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B1767</v>
      </c>
      <c r="G1772" s="76" t="str">
        <f aca="false">F1772&amp;RANDBETWEEN(0,10)</f>
        <v>B17678</v>
      </c>
      <c r="H1772" s="75" t="n">
        <f aca="false">
IF($D1772="정상",INDEX(임대자산!$D$3:$R$3000,MATCH($F1772,임대자산!$I$3:$I$3000,0),MATCH(H$4,임대자산!$D$3:$R$3,0)),
IF($D1772="폐업",INDEX(폐업정보!$D$3:$R$3000,MATCH($F1772,폐업정보!$I$3:$I$3000,0),MATCH(H$4,폐업정보!$D$3:$R$3,0)),
"Error"))</f>
        <v>45852</v>
      </c>
      <c r="I1772" s="75" t="str">
        <f aca="false">
IF($D1772="정상",INDEX(임대자산!$D$3:$R$3000,MATCH($F1772,임대자산!$I$3:$I$3000,0),MATCH(I$4,임대자산!$D$3:$R$3,0)),
IF($D1772="폐업",INDEX(폐업정보!$D$3:$R$3000,MATCH($F1772,폐업정보!$I$3:$I$3000,0),MATCH(I$4,폐업정보!$D$3:$R$3,0)),
"Error"))</f>
        <v>A1767</v>
      </c>
      <c r="J1772" s="75" t="str">
        <f aca="false">
IF($D1772="정상",INDEX(임대자산!$D$3:$R$3000,MATCH($F1772,임대자산!$I$3:$I$3000,0),MATCH(J$4,임대자산!$D$3:$R$3,0)),
IF($D1772="폐업",INDEX(폐업정보!$D$3:$R$3000,MATCH($F1772,폐업정보!$I$3:$I$3000,0),MATCH(J$4,폐업정보!$D$3:$R$3,0)),
"Error"))</f>
        <v>8890900000</v>
      </c>
      <c r="K1772" s="75" t="str">
        <f aca="false">
IF($D1772="정상",INDEX(임대자산!$D$3:$R$3000,MATCH($F1772,임대자산!$I$3:$I$3000,0),MATCH(K$4,임대자산!$D$3:$R$3,0)),
IF($D1772="폐업",INDEX(폐업정보!$D$3:$R$3000,MATCH($F1772,폐업정보!$I$3:$I$3000,0),MATCH(K$4,폐업정보!$D$3:$R$3,0)),
"Error"))</f>
        <v>C1767</v>
      </c>
      <c r="L1772" s="75" t="str">
        <f aca="false">
IF($D1772="정상",INDEX(임대자산!$D$3:$R$3000,MATCH($F1772,임대자산!$I$3:$I$3000,0),MATCH(L$4,임대자산!$D$3:$R$3,0)),
IF($D1772="폐업",INDEX(폐업정보!$D$3:$R$3000,MATCH($F1772,폐업정보!$I$3:$I$3000,0),MATCH(L$4,폐업정보!$D$3:$R$3,0)),
"Error"))</f>
        <v>D1767</v>
      </c>
      <c r="M1772" s="76" t="s">
        <v>96</v>
      </c>
      <c r="N1772" s="77"/>
      <c r="O1772" s="78" t="s">
        <v>97</v>
      </c>
      <c r="P1772" s="79" t="n">
        <f aca="false">COUNTIFS(임대자산!$I:$I,가맹점정보!F1772,임대자산!$N:$N,가맹점정보!P$4)</f>
        <v>0</v>
      </c>
      <c r="Q1772" s="80" t="n">
        <f aca="false">COUNTIFS(임대자산!$I:$I,가맹점정보!F1772,임대자산!$N:$N,가맹점정보!Q$4)</f>
        <v>0</v>
      </c>
      <c r="R1772" s="81" t="n">
        <f aca="false">COUNTIFS(임대자산!$I:$I,가맹점정보!F1772,임대자산!$N:$N,가맹점정보!R$4)</f>
        <v>1</v>
      </c>
      <c r="S1772" s="82" t="n">
        <v>55000</v>
      </c>
      <c r="T1772" s="83" t="n">
        <v>0</v>
      </c>
      <c r="U1772" s="80" t="n">
        <f aca="false">SUM(S1772:T1772)</f>
        <v>55000</v>
      </c>
      <c r="V1772" s="84" t="s">
        <v>12</v>
      </c>
      <c r="W1772" s="80" t="e">
        <f aca="true">
IF(D1772="폐업","폐업",
IF(V1772="면제","면제",
IF(AND(V1772="정상",COUNTIFS(OFFSET(Y1772,0,COUNTA(Y1772:AV1772)-1,1,-4),"미납")&gt;=3),"장기미납",
IF(AND(V1772="정상",OFFSET(Y1772,0,COUNTA(Y1772:AV1772)-1)&gt;=U1772),"정상",
IF(AND(V1772="정상",OFFSET(Y1772,0,COUNTA(Y1772:AV1772)-1)=0),"정상",
"계약서 미작성")))))</f>
        <v>#VALUE!</v>
      </c>
      <c r="X1772" s="81" t="str">
        <f aca="true">
IF(D1772="폐업","폐업",
IF(AND(V1772="정상",OFFSET(Y1772,0,COUNTA(Y1772:AV1772)-1)="미납"),"미납",
IF(AND(V1772="정상",OFFSET(Y1772,0,COUNTA(Y1772:AV1772)-1)=0),"납부 시작 전",
IF(AND(V1772="정상",OFFSET(Y1772,0,COUNTA(Y1772:AV1772)-1)&gt;=U1772),"정상",
IF(AND(V1772="면제",OFFSET(Y1772,0,COUNTA(Y1772:AV1772)-1)="면제"),"면제",
IF(AND(V1772="면제",OFFSET(Y1772,0,COUNTA(Y1772:AV1772)-1)=0),"면제",
"확인요청"))))))</f>
        <v>정상</v>
      </c>
      <c r="Y1772" s="93" t="s">
        <v>99</v>
      </c>
      <c r="Z1772" s="90" t="n">
        <v>110000</v>
      </c>
      <c r="AA1772" s="90" t="n">
        <v>55000</v>
      </c>
      <c r="AB1772" s="90" t="n">
        <v>55000</v>
      </c>
      <c r="AC1772" s="90" t="n">
        <v>55000</v>
      </c>
      <c r="AD1772" s="90" t="n">
        <v>55000</v>
      </c>
      <c r="AE1772" s="90" t="n">
        <v>55000</v>
      </c>
      <c r="AF1772" s="90" t="n">
        <v>55000</v>
      </c>
      <c r="AG1772" s="90" t="n">
        <v>55000</v>
      </c>
      <c r="AH1772" s="90" t="n">
        <v>55000</v>
      </c>
      <c r="AI1772" s="90" t="n">
        <v>55000</v>
      </c>
      <c r="AJ1772" s="91" t="n">
        <v>55000</v>
      </c>
      <c r="AK1772" s="89" t="n">
        <v>55000</v>
      </c>
      <c r="AL1772" s="90" t="n">
        <v>55000</v>
      </c>
      <c r="AM1772" s="90"/>
      <c r="AN1772" s="90"/>
      <c r="AO1772" s="90"/>
      <c r="AP1772" s="90"/>
      <c r="AQ1772" s="90"/>
      <c r="AR1772" s="90"/>
      <c r="AS1772" s="90"/>
      <c r="AT1772" s="90"/>
      <c r="AU1772" s="90"/>
      <c r="AV1772" s="91"/>
      <c r="AX1772" s="92"/>
    </row>
    <row r="1773" customFormat="false" ht="15.65" hidden="false" customHeight="false" outlineLevel="0" collapsed="false">
      <c r="C1773" s="72" t="n">
        <f aca="false">COUNTIFS($D$6:D1773,"&lt;&gt;"&amp;"")</f>
        <v>1768</v>
      </c>
      <c r="D1773" s="73" t="s">
        <v>12</v>
      </c>
      <c r="E1773" s="76" t="str">
        <f aca="false">
IF($D1773="정상",INDEX(임대자산!$D$3:$R$3000,MATCH($F1773,임대자산!$I$3:$I$3000,0),MATCH(E$3,임대자산!$D$3:$R$3,0)),
IF($D1773="폐업",INDEX(폐업정보!$D$3:$R$3000,MATCH($F1773,폐업정보!$I$3:$I$3000,0),MATCH(E$3,폐업정보!$D$3:$R$3,0)),
"Error"))</f>
        <v>서울</v>
      </c>
      <c r="F177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B1768</v>
      </c>
      <c r="G1773" s="76" t="str">
        <f aca="false">F1773&amp;RANDBETWEEN(0,10)</f>
        <v>B17680</v>
      </c>
      <c r="H1773" s="75" t="n">
        <f aca="false">
IF($D1773="정상",INDEX(임대자산!$D$3:$R$3000,MATCH($F1773,임대자산!$I$3:$I$3000,0),MATCH(H$4,임대자산!$D$3:$R$3,0)),
IF($D1773="폐업",INDEX(폐업정보!$D$3:$R$3000,MATCH($F1773,폐업정보!$I$3:$I$3000,0),MATCH(H$4,폐업정보!$D$3:$R$3,0)),
"Error"))</f>
        <v>45853</v>
      </c>
      <c r="I1773" s="75" t="str">
        <f aca="false">
IF($D1773="정상",INDEX(임대자산!$D$3:$R$3000,MATCH($F1773,임대자산!$I$3:$I$3000,0),MATCH(I$4,임대자산!$D$3:$R$3,0)),
IF($D1773="폐업",INDEX(폐업정보!$D$3:$R$3000,MATCH($F1773,폐업정보!$I$3:$I$3000,0),MATCH(I$4,폐업정보!$D$3:$R$3,0)),
"Error"))</f>
        <v>A1768</v>
      </c>
      <c r="J1773" s="75" t="str">
        <f aca="false">
IF($D1773="정상",INDEX(임대자산!$D$3:$R$3000,MATCH($F1773,임대자산!$I$3:$I$3000,0),MATCH(J$4,임대자산!$D$3:$R$3,0)),
IF($D1773="폐업",INDEX(폐업정보!$D$3:$R$3000,MATCH($F1773,폐업정보!$I$3:$I$3000,0),MATCH(J$4,폐업정보!$D$3:$R$3,0)),
"Error"))</f>
        <v>9138700000</v>
      </c>
      <c r="K1773" s="75" t="str">
        <f aca="false">
IF($D1773="정상",INDEX(임대자산!$D$3:$R$3000,MATCH($F1773,임대자산!$I$3:$I$3000,0),MATCH(K$4,임대자산!$D$3:$R$3,0)),
IF($D1773="폐업",INDEX(폐업정보!$D$3:$R$3000,MATCH($F1773,폐업정보!$I$3:$I$3000,0),MATCH(K$4,폐업정보!$D$3:$R$3,0)),
"Error"))</f>
        <v>C1768</v>
      </c>
      <c r="L1773" s="75" t="str">
        <f aca="false">
IF($D1773="정상",INDEX(임대자산!$D$3:$R$3000,MATCH($F1773,임대자산!$I$3:$I$3000,0),MATCH(L$4,임대자산!$D$3:$R$3,0)),
IF($D1773="폐업",INDEX(폐업정보!$D$3:$R$3000,MATCH($F1773,폐업정보!$I$3:$I$3000,0),MATCH(L$4,폐업정보!$D$3:$R$3,0)),
"Error"))</f>
        <v>D1768</v>
      </c>
      <c r="M1773" s="76" t="s">
        <v>96</v>
      </c>
      <c r="N1773" s="77"/>
      <c r="O1773" s="78" t="s">
        <v>97</v>
      </c>
      <c r="P1773" s="79" t="n">
        <f aca="false">COUNTIFS(임대자산!$I:$I,가맹점정보!F1773,임대자산!$N:$N,가맹점정보!P$4)</f>
        <v>0</v>
      </c>
      <c r="Q1773" s="80" t="n">
        <f aca="false">COUNTIFS(임대자산!$I:$I,가맹점정보!F1773,임대자산!$N:$N,가맹점정보!Q$4)</f>
        <v>0</v>
      </c>
      <c r="R1773" s="81" t="n">
        <f aca="false">COUNTIFS(임대자산!$I:$I,가맹점정보!F1773,임대자산!$N:$N,가맹점정보!R$4)</f>
        <v>1</v>
      </c>
      <c r="S1773" s="82" t="n">
        <v>55000</v>
      </c>
      <c r="T1773" s="83" t="n">
        <v>0</v>
      </c>
      <c r="U1773" s="80" t="n">
        <f aca="false">SUM(S1773:T1773)</f>
        <v>55000</v>
      </c>
      <c r="V1773" s="84" t="s">
        <v>7</v>
      </c>
      <c r="W1773" s="80" t="str">
        <f aca="true">
IF(D1773="폐업","폐업",
IF(V1773="면제","면제",
IF(AND(V1773="정상",COUNTIFS(OFFSET(Y1773,0,COUNTA(Y1773:AV1773)-1,1,-4),"미납")&gt;=3),"장기미납",
IF(AND(V1773="정상",OFFSET(Y1773,0,COUNTA(Y1773:AV1773)-1)&gt;=U1773),"정상",
IF(AND(V1773="정상",OFFSET(Y1773,0,COUNTA(Y1773:AV1773)-1)=0),"정상",
"계약서 미작성")))))</f>
        <v>면제</v>
      </c>
      <c r="X1773" s="81" t="str">
        <f aca="true">
IF(D1773="폐업","폐업",
IF(AND(V1773="정상",OFFSET(Y1773,0,COUNTA(Y1773:AV1773)-1)="미납"),"미납",
IF(AND(V1773="정상",OFFSET(Y1773,0,COUNTA(Y1773:AV1773)-1)=0),"납부 시작 전",
IF(AND(V1773="정상",OFFSET(Y1773,0,COUNTA(Y1773:AV1773)-1)&gt;=U1773),"정상",
IF(AND(V1773="면제",OFFSET(Y1773,0,COUNTA(Y1773:AV1773)-1)="면제"),"면제",
IF(AND(V1773="면제",OFFSET(Y1773,0,COUNTA(Y1773:AV1773)-1)=0),"면제",
"확인요청"))))))</f>
        <v>면제</v>
      </c>
      <c r="Y1773" s="94" t="s">
        <v>7</v>
      </c>
      <c r="Z1773" s="95" t="s">
        <v>7</v>
      </c>
      <c r="AA1773" s="95" t="s">
        <v>7</v>
      </c>
      <c r="AB1773" s="95" t="s">
        <v>7</v>
      </c>
      <c r="AC1773" s="95" t="s">
        <v>7</v>
      </c>
      <c r="AD1773" s="95" t="s">
        <v>7</v>
      </c>
      <c r="AE1773" s="95" t="s">
        <v>7</v>
      </c>
      <c r="AF1773" s="95" t="s">
        <v>7</v>
      </c>
      <c r="AG1773" s="95" t="s">
        <v>7</v>
      </c>
      <c r="AH1773" s="95" t="s">
        <v>7</v>
      </c>
      <c r="AI1773" s="95" t="s">
        <v>7</v>
      </c>
      <c r="AJ1773" s="96" t="s">
        <v>7</v>
      </c>
      <c r="AK1773" s="97" t="s">
        <v>7</v>
      </c>
      <c r="AL1773" s="95" t="s">
        <v>7</v>
      </c>
      <c r="AM1773" s="90"/>
      <c r="AN1773" s="90"/>
      <c r="AO1773" s="90"/>
      <c r="AP1773" s="90"/>
      <c r="AQ1773" s="90"/>
      <c r="AR1773" s="90"/>
      <c r="AS1773" s="90"/>
      <c r="AT1773" s="90"/>
      <c r="AU1773" s="90"/>
      <c r="AV1773" s="91"/>
      <c r="AX1773" s="92"/>
    </row>
    <row r="1774" customFormat="false" ht="15.65" hidden="false" customHeight="false" outlineLevel="0" collapsed="false">
      <c r="C1774" s="72" t="n">
        <f aca="false">COUNTIFS($D$6:D1774,"&lt;&gt;"&amp;"")</f>
        <v>1769</v>
      </c>
      <c r="D1774" s="73" t="s">
        <v>12</v>
      </c>
      <c r="E1774" s="76" t="str">
        <f aca="false">
IF($D1774="정상",INDEX(임대자산!$D$3:$R$3000,MATCH($F1774,임대자산!$I$3:$I$3000,0),MATCH(E$3,임대자산!$D$3:$R$3,0)),
IF($D1774="폐업",INDEX(폐업정보!$D$3:$R$3000,MATCH($F1774,폐업정보!$I$3:$I$3000,0),MATCH(E$3,폐업정보!$D$3:$R$3,0)),
"Error"))</f>
        <v>서울</v>
      </c>
      <c r="F177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B1769</v>
      </c>
      <c r="G1774" s="76" t="str">
        <f aca="false">F1774&amp;RANDBETWEEN(0,10)</f>
        <v>B176910</v>
      </c>
      <c r="H1774" s="75" t="n">
        <f aca="false">
IF($D1774="정상",INDEX(임대자산!$D$3:$R$3000,MATCH($F1774,임대자산!$I$3:$I$3000,0),MATCH(H$4,임대자산!$D$3:$R$3,0)),
IF($D1774="폐업",INDEX(폐업정보!$D$3:$R$3000,MATCH($F1774,폐업정보!$I$3:$I$3000,0),MATCH(H$4,폐업정보!$D$3:$R$3,0)),
"Error"))</f>
        <v>45853</v>
      </c>
      <c r="I1774" s="75" t="str">
        <f aca="false">
IF($D1774="정상",INDEX(임대자산!$D$3:$R$3000,MATCH($F1774,임대자산!$I$3:$I$3000,0),MATCH(I$4,임대자산!$D$3:$R$3,0)),
IF($D1774="폐업",INDEX(폐업정보!$D$3:$R$3000,MATCH($F1774,폐업정보!$I$3:$I$3000,0),MATCH(I$4,폐업정보!$D$3:$R$3,0)),
"Error"))</f>
        <v>A1769</v>
      </c>
      <c r="J1774" s="75" t="str">
        <f aca="false">
IF($D1774="정상",INDEX(임대자산!$D$3:$R$3000,MATCH($F1774,임대자산!$I$3:$I$3000,0),MATCH(J$4,임대자산!$D$3:$R$3,0)),
IF($D1774="폐업",INDEX(폐업정보!$D$3:$R$3000,MATCH($F1774,폐업정보!$I$3:$I$3000,0),MATCH(J$4,폐업정보!$D$3:$R$3,0)),
"Error"))</f>
        <v>5269000000</v>
      </c>
      <c r="K1774" s="75" t="str">
        <f aca="false">
IF($D1774="정상",INDEX(임대자산!$D$3:$R$3000,MATCH($F1774,임대자산!$I$3:$I$3000,0),MATCH(K$4,임대자산!$D$3:$R$3,0)),
IF($D1774="폐업",INDEX(폐업정보!$D$3:$R$3000,MATCH($F1774,폐업정보!$I$3:$I$3000,0),MATCH(K$4,폐업정보!$D$3:$R$3,0)),
"Error"))</f>
        <v>C1769</v>
      </c>
      <c r="L1774" s="75" t="str">
        <f aca="false">
IF($D1774="정상",INDEX(임대자산!$D$3:$R$3000,MATCH($F1774,임대자산!$I$3:$I$3000,0),MATCH(L$4,임대자산!$D$3:$R$3,0)),
IF($D1774="폐업",INDEX(폐업정보!$D$3:$R$3000,MATCH($F1774,폐업정보!$I$3:$I$3000,0),MATCH(L$4,폐업정보!$D$3:$R$3,0)),
"Error"))</f>
        <v>D1769</v>
      </c>
      <c r="M1774" s="76" t="s">
        <v>96</v>
      </c>
      <c r="N1774" s="77"/>
      <c r="O1774" s="78" t="s">
        <v>97</v>
      </c>
      <c r="P1774" s="79" t="n">
        <f aca="false">COUNTIFS(임대자산!$I:$I,가맹점정보!F1774,임대자산!$N:$N,가맹점정보!P$4)</f>
        <v>0</v>
      </c>
      <c r="Q1774" s="80" t="n">
        <f aca="false">COUNTIFS(임대자산!$I:$I,가맹점정보!F1774,임대자산!$N:$N,가맹점정보!Q$4)</f>
        <v>0</v>
      </c>
      <c r="R1774" s="81" t="n">
        <f aca="false">COUNTIFS(임대자산!$I:$I,가맹점정보!F1774,임대자산!$N:$N,가맹점정보!R$4)</f>
        <v>1</v>
      </c>
      <c r="S1774" s="82" t="n">
        <v>55000</v>
      </c>
      <c r="T1774" s="83" t="n">
        <v>0</v>
      </c>
      <c r="U1774" s="80" t="n">
        <f aca="false">SUM(S1774:T1774)</f>
        <v>55000</v>
      </c>
      <c r="V1774" s="84" t="s">
        <v>7</v>
      </c>
      <c r="W1774" s="80" t="str">
        <f aca="true">
IF(D1774="폐업","폐업",
IF(V1774="면제","면제",
IF(AND(V1774="정상",COUNTIFS(OFFSET(Y1774,0,COUNTA(Y1774:AV1774)-1,1,-4),"미납")&gt;=3),"장기미납",
IF(AND(V1774="정상",OFFSET(Y1774,0,COUNTA(Y1774:AV1774)-1)&gt;=U1774),"정상",
IF(AND(V1774="정상",OFFSET(Y1774,0,COUNTA(Y1774:AV1774)-1)=0),"정상",
"계약서 미작성")))))</f>
        <v>면제</v>
      </c>
      <c r="X1774" s="81" t="str">
        <f aca="true">
IF(D1774="폐업","폐업",
IF(AND(V1774="정상",OFFSET(Y1774,0,COUNTA(Y1774:AV1774)-1)="미납"),"미납",
IF(AND(V1774="정상",OFFSET(Y1774,0,COUNTA(Y1774:AV1774)-1)=0),"납부 시작 전",
IF(AND(V1774="정상",OFFSET(Y1774,0,COUNTA(Y1774:AV1774)-1)&gt;=U1774),"정상",
IF(AND(V1774="면제",OFFSET(Y1774,0,COUNTA(Y1774:AV1774)-1)="면제"),"면제",
IF(AND(V1774="면제",OFFSET(Y1774,0,COUNTA(Y1774:AV1774)-1)=0),"면제",
"확인요청"))))))</f>
        <v>면제</v>
      </c>
      <c r="Y1774" s="94" t="s">
        <v>7</v>
      </c>
      <c r="Z1774" s="95" t="s">
        <v>7</v>
      </c>
      <c r="AA1774" s="95" t="s">
        <v>7</v>
      </c>
      <c r="AB1774" s="95" t="s">
        <v>7</v>
      </c>
      <c r="AC1774" s="95" t="s">
        <v>7</v>
      </c>
      <c r="AD1774" s="95" t="s">
        <v>7</v>
      </c>
      <c r="AE1774" s="95" t="s">
        <v>7</v>
      </c>
      <c r="AF1774" s="95" t="s">
        <v>7</v>
      </c>
      <c r="AG1774" s="95" t="s">
        <v>7</v>
      </c>
      <c r="AH1774" s="95" t="s">
        <v>7</v>
      </c>
      <c r="AI1774" s="95" t="s">
        <v>7</v>
      </c>
      <c r="AJ1774" s="96" t="s">
        <v>7</v>
      </c>
      <c r="AK1774" s="97" t="s">
        <v>7</v>
      </c>
      <c r="AL1774" s="95" t="s">
        <v>7</v>
      </c>
      <c r="AM1774" s="90"/>
      <c r="AN1774" s="90"/>
      <c r="AO1774" s="90"/>
      <c r="AP1774" s="90"/>
      <c r="AQ1774" s="90"/>
      <c r="AR1774" s="90"/>
      <c r="AS1774" s="90"/>
      <c r="AT1774" s="90"/>
      <c r="AU1774" s="90"/>
      <c r="AV1774" s="91"/>
      <c r="AX1774" s="92"/>
    </row>
    <row r="1775" customFormat="false" ht="15.65" hidden="false" customHeight="false" outlineLevel="0" collapsed="false">
      <c r="C1775" s="72" t="n">
        <f aca="false">COUNTIFS($D$6:D1775,"&lt;&gt;"&amp;"")</f>
        <v>1770</v>
      </c>
      <c r="D1775" s="73" t="s">
        <v>12</v>
      </c>
      <c r="E1775" s="76" t="str">
        <f aca="false">
IF($D1775="정상",INDEX(임대자산!$D$3:$R$3000,MATCH($F1775,임대자산!$I$3:$I$3000,0),MATCH(E$3,임대자산!$D$3:$R$3,0)),
IF($D1775="폐업",INDEX(폐업정보!$D$3:$R$3000,MATCH($F1775,폐업정보!$I$3:$I$3000,0),MATCH(E$3,폐업정보!$D$3:$R$3,0)),
"Error"))</f>
        <v>경기</v>
      </c>
      <c r="F177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B1770</v>
      </c>
      <c r="G1775" s="76" t="str">
        <f aca="false">F1775&amp;RANDBETWEEN(0,10)</f>
        <v>B17706</v>
      </c>
      <c r="H1775" s="75" t="n">
        <f aca="false">
IF($D1775="정상",INDEX(임대자산!$D$3:$R$3000,MATCH($F1775,임대자산!$I$3:$I$3000,0),MATCH(H$4,임대자산!$D$3:$R$3,0)),
IF($D1775="폐업",INDEX(폐업정보!$D$3:$R$3000,MATCH($F1775,폐업정보!$I$3:$I$3000,0),MATCH(H$4,폐업정보!$D$3:$R$3,0)),
"Error"))</f>
        <v>45863</v>
      </c>
      <c r="I1775" s="75" t="str">
        <f aca="false">
IF($D1775="정상",INDEX(임대자산!$D$3:$R$3000,MATCH($F1775,임대자산!$I$3:$I$3000,0),MATCH(I$4,임대자산!$D$3:$R$3,0)),
IF($D1775="폐업",INDEX(폐업정보!$D$3:$R$3000,MATCH($F1775,폐업정보!$I$3:$I$3000,0),MATCH(I$4,폐업정보!$D$3:$R$3,0)),
"Error"))</f>
        <v>A1770</v>
      </c>
      <c r="J1775" s="75" t="str">
        <f aca="false">
IF($D1775="정상",INDEX(임대자산!$D$3:$R$3000,MATCH($F1775,임대자산!$I$3:$I$3000,0),MATCH(J$4,임대자산!$D$3:$R$3,0)),
IF($D1775="폐업",INDEX(폐업정보!$D$3:$R$3000,MATCH($F1775,폐업정보!$I$3:$I$3000,0),MATCH(J$4,폐업정보!$D$3:$R$3,0)),
"Error"))</f>
        <v>7821000000</v>
      </c>
      <c r="K1775" s="75" t="str">
        <f aca="false">
IF($D1775="정상",INDEX(임대자산!$D$3:$R$3000,MATCH($F1775,임대자산!$I$3:$I$3000,0),MATCH(K$4,임대자산!$D$3:$R$3,0)),
IF($D1775="폐업",INDEX(폐업정보!$D$3:$R$3000,MATCH($F1775,폐업정보!$I$3:$I$3000,0),MATCH(K$4,폐업정보!$D$3:$R$3,0)),
"Error"))</f>
        <v>C1770</v>
      </c>
      <c r="L1775" s="75" t="str">
        <f aca="false">
IF($D1775="정상",INDEX(임대자산!$D$3:$R$3000,MATCH($F1775,임대자산!$I$3:$I$3000,0),MATCH(L$4,임대자산!$D$3:$R$3,0)),
IF($D1775="폐업",INDEX(폐업정보!$D$3:$R$3000,MATCH($F1775,폐업정보!$I$3:$I$3000,0),MATCH(L$4,폐업정보!$D$3:$R$3,0)),
"Error"))</f>
        <v>D1770</v>
      </c>
      <c r="M1775" s="76" t="s">
        <v>96</v>
      </c>
      <c r="N1775" s="77"/>
      <c r="O1775" s="78" t="s">
        <v>97</v>
      </c>
      <c r="P1775" s="79" t="n">
        <f aca="false">COUNTIFS(임대자산!$I:$I,가맹점정보!F1775,임대자산!$N:$N,가맹점정보!P$4)</f>
        <v>0</v>
      </c>
      <c r="Q1775" s="80" t="n">
        <f aca="false">COUNTIFS(임대자산!$I:$I,가맹점정보!F1775,임대자산!$N:$N,가맹점정보!Q$4)</f>
        <v>0</v>
      </c>
      <c r="R1775" s="81" t="n">
        <f aca="false">COUNTIFS(임대자산!$I:$I,가맹점정보!F1775,임대자산!$N:$N,가맹점정보!R$4)</f>
        <v>1</v>
      </c>
      <c r="S1775" s="82" t="n">
        <v>55000</v>
      </c>
      <c r="T1775" s="83" t="n">
        <v>0</v>
      </c>
      <c r="U1775" s="80" t="n">
        <f aca="false">SUM(S1775:T1775)</f>
        <v>55000</v>
      </c>
      <c r="V1775" s="84" t="s">
        <v>12</v>
      </c>
      <c r="W1775" s="80" t="e">
        <f aca="true">
IF(D1775="폐업","폐업",
IF(V1775="면제","면제",
IF(AND(V1775="정상",COUNTIFS(OFFSET(Y1775,0,COUNTA(Y1775:AV1775)-1,1,-4),"미납")&gt;=3),"장기미납",
IF(AND(V1775="정상",OFFSET(Y1775,0,COUNTA(Y1775:AV1775)-1)&gt;=U1775),"정상",
IF(AND(V1775="정상",OFFSET(Y1775,0,COUNTA(Y1775:AV1775)-1)=0),"정상",
"계약서 미작성")))))</f>
        <v>#VALUE!</v>
      </c>
      <c r="X1775" s="81" t="str">
        <f aca="true">
IF(D1775="폐업","폐업",
IF(AND(V1775="정상",OFFSET(Y1775,0,COUNTA(Y1775:AV1775)-1)="미납"),"미납",
IF(AND(V1775="정상",OFFSET(Y1775,0,COUNTA(Y1775:AV1775)-1)=0),"납부 시작 전",
IF(AND(V1775="정상",OFFSET(Y1775,0,COUNTA(Y1775:AV1775)-1)&gt;=U1775),"정상",
IF(AND(V1775="면제",OFFSET(Y1775,0,COUNTA(Y1775:AV1775)-1)="면제"),"면제",
IF(AND(V1775="면제",OFFSET(Y1775,0,COUNTA(Y1775:AV1775)-1)=0),"면제",
"확인요청"))))))</f>
        <v>정상</v>
      </c>
      <c r="Y1775" s="93" t="n">
        <v>0</v>
      </c>
      <c r="Z1775" s="90" t="n">
        <v>55000</v>
      </c>
      <c r="AA1775" s="90" t="n">
        <v>55000</v>
      </c>
      <c r="AB1775" s="90" t="n">
        <v>55000</v>
      </c>
      <c r="AC1775" s="90" t="n">
        <v>55000</v>
      </c>
      <c r="AD1775" s="90" t="n">
        <v>55000</v>
      </c>
      <c r="AE1775" s="90" t="n">
        <v>55000</v>
      </c>
      <c r="AF1775" s="90" t="n">
        <v>55000</v>
      </c>
      <c r="AG1775" s="90" t="n">
        <v>55000</v>
      </c>
      <c r="AH1775" s="90" t="n">
        <v>55000</v>
      </c>
      <c r="AI1775" s="90" t="n">
        <v>55000</v>
      </c>
      <c r="AJ1775" s="91" t="n">
        <v>55000</v>
      </c>
      <c r="AK1775" s="89" t="n">
        <v>55000</v>
      </c>
      <c r="AL1775" s="90" t="n">
        <v>55000</v>
      </c>
      <c r="AM1775" s="90"/>
      <c r="AN1775" s="90"/>
      <c r="AO1775" s="90"/>
      <c r="AP1775" s="90"/>
      <c r="AQ1775" s="90"/>
      <c r="AR1775" s="90"/>
      <c r="AS1775" s="90"/>
      <c r="AT1775" s="90"/>
      <c r="AU1775" s="90"/>
      <c r="AV1775" s="91"/>
      <c r="AX1775" s="92"/>
    </row>
    <row r="1776" customFormat="false" ht="15.65" hidden="false" customHeight="false" outlineLevel="0" collapsed="false">
      <c r="C1776" s="72" t="n">
        <f aca="false">COUNTIFS($D$6:D1776,"&lt;&gt;"&amp;"")</f>
        <v>1771</v>
      </c>
      <c r="D1776" s="73" t="s">
        <v>12</v>
      </c>
      <c r="E1776" s="76" t="str">
        <f aca="false">
IF($D1776="정상",INDEX(임대자산!$D$3:$R$3000,MATCH($F1776,임대자산!$I$3:$I$3000,0),MATCH(E$3,임대자산!$D$3:$R$3,0)),
IF($D1776="폐업",INDEX(폐업정보!$D$3:$R$3000,MATCH($F1776,폐업정보!$I$3:$I$3000,0),MATCH(E$3,폐업정보!$D$3:$R$3,0)),
"Error"))</f>
        <v>전라</v>
      </c>
      <c r="F177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B1771</v>
      </c>
      <c r="G1776" s="76" t="str">
        <f aca="false">F1776&amp;RANDBETWEEN(0,10)</f>
        <v>B17712</v>
      </c>
      <c r="H1776" s="75" t="n">
        <f aca="false">
IF($D1776="정상",INDEX(임대자산!$D$3:$R$3000,MATCH($F1776,임대자산!$I$3:$I$3000,0),MATCH(H$4,임대자산!$D$3:$R$3,0)),
IF($D1776="폐업",INDEX(폐업정보!$D$3:$R$3000,MATCH($F1776,폐업정보!$I$3:$I$3000,0),MATCH(H$4,폐업정보!$D$3:$R$3,0)),
"Error"))</f>
        <v>45863</v>
      </c>
      <c r="I1776" s="75" t="str">
        <f aca="false">
IF($D1776="정상",INDEX(임대자산!$D$3:$R$3000,MATCH($F1776,임대자산!$I$3:$I$3000,0),MATCH(I$4,임대자산!$D$3:$R$3,0)),
IF($D1776="폐업",INDEX(폐업정보!$D$3:$R$3000,MATCH($F1776,폐업정보!$I$3:$I$3000,0),MATCH(I$4,폐업정보!$D$3:$R$3,0)),
"Error"))</f>
        <v>A1771</v>
      </c>
      <c r="J1776" s="75" t="str">
        <f aca="false">
IF($D1776="정상",INDEX(임대자산!$D$3:$R$3000,MATCH($F1776,임대자산!$I$3:$I$3000,0),MATCH(J$4,임대자산!$D$3:$R$3,0)),
IF($D1776="폐업",INDEX(폐업정보!$D$3:$R$3000,MATCH($F1776,폐업정보!$I$3:$I$3000,0),MATCH(J$4,폐업정보!$D$3:$R$3,0)),
"Error"))</f>
        <v>9996900000</v>
      </c>
      <c r="K1776" s="75" t="str">
        <f aca="false">
IF($D1776="정상",INDEX(임대자산!$D$3:$R$3000,MATCH($F1776,임대자산!$I$3:$I$3000,0),MATCH(K$4,임대자산!$D$3:$R$3,0)),
IF($D1776="폐업",INDEX(폐업정보!$D$3:$R$3000,MATCH($F1776,폐업정보!$I$3:$I$3000,0),MATCH(K$4,폐업정보!$D$3:$R$3,0)),
"Error"))</f>
        <v>C1771</v>
      </c>
      <c r="L1776" s="75" t="str">
        <f aca="false">
IF($D1776="정상",INDEX(임대자산!$D$3:$R$3000,MATCH($F1776,임대자산!$I$3:$I$3000,0),MATCH(L$4,임대자산!$D$3:$R$3,0)),
IF($D1776="폐업",INDEX(폐업정보!$D$3:$R$3000,MATCH($F1776,폐업정보!$I$3:$I$3000,0),MATCH(L$4,폐업정보!$D$3:$R$3,0)),
"Error"))</f>
        <v>D1771</v>
      </c>
      <c r="M1776" s="76" t="s">
        <v>96</v>
      </c>
      <c r="N1776" s="77"/>
      <c r="O1776" s="78" t="s">
        <v>97</v>
      </c>
      <c r="P1776" s="79" t="n">
        <f aca="false">COUNTIFS(임대자산!$I:$I,가맹점정보!F1776,임대자산!$N:$N,가맹점정보!P$4)</f>
        <v>0</v>
      </c>
      <c r="Q1776" s="80" t="n">
        <f aca="false">COUNTIFS(임대자산!$I:$I,가맹점정보!F1776,임대자산!$N:$N,가맹점정보!Q$4)</f>
        <v>0</v>
      </c>
      <c r="R1776" s="81" t="n">
        <f aca="false">COUNTIFS(임대자산!$I:$I,가맹점정보!F1776,임대자산!$N:$N,가맹점정보!R$4)</f>
        <v>1</v>
      </c>
      <c r="S1776" s="82" t="n">
        <v>55000</v>
      </c>
      <c r="T1776" s="83" t="n">
        <v>0</v>
      </c>
      <c r="U1776" s="80" t="n">
        <f aca="false">SUM(S1776:T1776)</f>
        <v>55000</v>
      </c>
      <c r="V1776" s="84" t="s">
        <v>7</v>
      </c>
      <c r="W1776" s="80" t="str">
        <f aca="true">
IF(D1776="폐업","폐업",
IF(V1776="면제","면제",
IF(AND(V1776="정상",COUNTIFS(OFFSET(Y1776,0,COUNTA(Y1776:AV1776)-1,1,-4),"미납")&gt;=3),"장기미납",
IF(AND(V1776="정상",OFFSET(Y1776,0,COUNTA(Y1776:AV1776)-1)&gt;=U1776),"정상",
IF(AND(V1776="정상",OFFSET(Y1776,0,COUNTA(Y1776:AV1776)-1)=0),"정상",
"계약서 미작성")))))</f>
        <v>면제</v>
      </c>
      <c r="X1776" s="81" t="str">
        <f aca="true">
IF(D1776="폐업","폐업",
IF(AND(V1776="정상",OFFSET(Y1776,0,COUNTA(Y1776:AV1776)-1)="미납"),"미납",
IF(AND(V1776="정상",OFFSET(Y1776,0,COUNTA(Y1776:AV1776)-1)=0),"납부 시작 전",
IF(AND(V1776="정상",OFFSET(Y1776,0,COUNTA(Y1776:AV1776)-1)&gt;=U1776),"정상",
IF(AND(V1776="면제",OFFSET(Y1776,0,COUNTA(Y1776:AV1776)-1)="면제"),"면제",
IF(AND(V1776="면제",OFFSET(Y1776,0,COUNTA(Y1776:AV1776)-1)=0),"면제",
"확인요청"))))))</f>
        <v>면제</v>
      </c>
      <c r="Y1776" s="94" t="s">
        <v>7</v>
      </c>
      <c r="Z1776" s="95" t="s">
        <v>7</v>
      </c>
      <c r="AA1776" s="95" t="s">
        <v>7</v>
      </c>
      <c r="AB1776" s="95" t="s">
        <v>7</v>
      </c>
      <c r="AC1776" s="95" t="s">
        <v>7</v>
      </c>
      <c r="AD1776" s="95" t="s">
        <v>7</v>
      </c>
      <c r="AE1776" s="95" t="s">
        <v>7</v>
      </c>
      <c r="AF1776" s="95" t="s">
        <v>7</v>
      </c>
      <c r="AG1776" s="95" t="s">
        <v>7</v>
      </c>
      <c r="AH1776" s="95" t="s">
        <v>7</v>
      </c>
      <c r="AI1776" s="95" t="s">
        <v>7</v>
      </c>
      <c r="AJ1776" s="96" t="s">
        <v>7</v>
      </c>
      <c r="AK1776" s="97" t="s">
        <v>7</v>
      </c>
      <c r="AL1776" s="95" t="s">
        <v>7</v>
      </c>
      <c r="AM1776" s="90"/>
      <c r="AN1776" s="90"/>
      <c r="AO1776" s="90"/>
      <c r="AP1776" s="90"/>
      <c r="AQ1776" s="90"/>
      <c r="AR1776" s="90"/>
      <c r="AS1776" s="90"/>
      <c r="AT1776" s="90"/>
      <c r="AU1776" s="90"/>
      <c r="AV1776" s="91"/>
      <c r="AX1776" s="92"/>
    </row>
    <row r="1777" customFormat="false" ht="15.65" hidden="false" customHeight="false" outlineLevel="0" collapsed="false">
      <c r="C1777" s="72" t="n">
        <f aca="false">COUNTIFS($D$6:D1777,"&lt;&gt;"&amp;"")</f>
        <v>1772</v>
      </c>
      <c r="D1777" s="73" t="s">
        <v>5</v>
      </c>
      <c r="E1777" s="76" t="str">
        <f aca="false">
IF($D1777="정상",INDEX(임대자산!$D$3:$R$3000,MATCH($F1777,임대자산!$I$3:$I$3000,0),MATCH(E$3,임대자산!$D$3:$R$3,0)),
IF($D1777="폐업",INDEX(폐업정보!$D$3:$R$3000,MATCH($F1777,폐업정보!$I$3:$I$3000,0),MATCH(E$3,폐업정보!$D$3:$R$3,0)),
"Error"))</f>
        <v>전라</v>
      </c>
      <c r="F177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B1772</v>
      </c>
      <c r="G1777" s="76" t="str">
        <f aca="false">F1777&amp;RANDBETWEEN(0,10)</f>
        <v>B17723</v>
      </c>
      <c r="H1777" s="75" t="n">
        <f aca="false">
IF($D1777="정상",INDEX(임대자산!$D$3:$R$3000,MATCH($F1777,임대자산!$I$3:$I$3000,0),MATCH(H$4,임대자산!$D$3:$R$3,0)),
IF($D1777="폐업",INDEX(폐업정보!$D$3:$R$3000,MATCH($F1777,폐업정보!$I$3:$I$3000,0),MATCH(H$4,폐업정보!$D$3:$R$3,0)),
"Error"))</f>
        <v>45863</v>
      </c>
      <c r="I1777" s="75" t="str">
        <f aca="false">
IF($D1777="정상",INDEX(임대자산!$D$3:$R$3000,MATCH($F1777,임대자산!$I$3:$I$3000,0),MATCH(I$4,임대자산!$D$3:$R$3,0)),
IF($D1777="폐업",INDEX(폐업정보!$D$3:$R$3000,MATCH($F1777,폐업정보!$I$3:$I$3000,0),MATCH(I$4,폐업정보!$D$3:$R$3,0)),
"Error"))</f>
        <v>A1772</v>
      </c>
      <c r="J1777" s="75" t="str">
        <f aca="false">
IF($D1777="정상",INDEX(임대자산!$D$3:$R$3000,MATCH($F1777,임대자산!$I$3:$I$3000,0),MATCH(J$4,임대자산!$D$3:$R$3,0)),
IF($D1777="폐업",INDEX(폐업정보!$D$3:$R$3000,MATCH($F1777,폐업정보!$I$3:$I$3000,0),MATCH(J$4,폐업정보!$D$3:$R$3,0)),
"Error"))</f>
        <v>6791000000</v>
      </c>
      <c r="K1777" s="75" t="str">
        <f aca="false">
IF($D1777="정상",INDEX(임대자산!$D$3:$R$3000,MATCH($F1777,임대자산!$I$3:$I$3000,0),MATCH(K$4,임대자산!$D$3:$R$3,0)),
IF($D1777="폐업",INDEX(폐업정보!$D$3:$R$3000,MATCH($F1777,폐업정보!$I$3:$I$3000,0),MATCH(K$4,폐업정보!$D$3:$R$3,0)),
"Error"))</f>
        <v>C1772</v>
      </c>
      <c r="L1777" s="75" t="str">
        <f aca="false">
IF($D1777="정상",INDEX(임대자산!$D$3:$R$3000,MATCH($F1777,임대자산!$I$3:$I$3000,0),MATCH(L$4,임대자산!$D$3:$R$3,0)),
IF($D1777="폐업",INDEX(폐업정보!$D$3:$R$3000,MATCH($F1777,폐업정보!$I$3:$I$3000,0),MATCH(L$4,폐업정보!$D$3:$R$3,0)),
"Error"))</f>
        <v>D1772</v>
      </c>
      <c r="M1777" s="76" t="s">
        <v>96</v>
      </c>
      <c r="N1777" s="77"/>
      <c r="O1777" s="78" t="s">
        <v>97</v>
      </c>
      <c r="P1777" s="79" t="n">
        <f aca="false">COUNTIFS(임대자산!$I:$I,가맹점정보!F1777,임대자산!$N:$N,가맹점정보!P$4)</f>
        <v>0</v>
      </c>
      <c r="Q1777" s="80" t="n">
        <f aca="false">COUNTIFS(임대자산!$I:$I,가맹점정보!F1777,임대자산!$N:$N,가맹점정보!Q$4)</f>
        <v>0</v>
      </c>
      <c r="R1777" s="81" t="n">
        <f aca="false">COUNTIFS(임대자산!$I:$I,가맹점정보!F1777,임대자산!$N:$N,가맹점정보!R$4)</f>
        <v>0</v>
      </c>
      <c r="S1777" s="82" t="n">
        <v>55000</v>
      </c>
      <c r="T1777" s="83" t="n">
        <v>0</v>
      </c>
      <c r="U1777" s="80" t="n">
        <f aca="false">SUM(S1777:T1777)</f>
        <v>55000</v>
      </c>
      <c r="V1777" s="84" t="s">
        <v>7</v>
      </c>
      <c r="W1777" s="80" t="str">
        <f aca="true">
IF(D1777="폐업","폐업",
IF(V1777="면제","면제",
IF(AND(V1777="정상",COUNTIFS(OFFSET(Y1777,0,COUNTA(Y1777:AV1777)-1,1,-4),"미납")&gt;=3),"장기미납",
IF(AND(V1777="정상",OFFSET(Y1777,0,COUNTA(Y1777:AV1777)-1)&gt;=U1777),"정상",
IF(AND(V1777="정상",OFFSET(Y1777,0,COUNTA(Y1777:AV1777)-1)=0),"정상",
"계약서 미작성")))))</f>
        <v>폐업</v>
      </c>
      <c r="X1777" s="81" t="str">
        <f aca="true">
IF(D1777="폐업","폐업",
IF(AND(V1777="정상",OFFSET(Y1777,0,COUNTA(Y1777:AV1777)-1)="미납"),"미납",
IF(AND(V1777="정상",OFFSET(Y1777,0,COUNTA(Y1777:AV1777)-1)=0),"납부 시작 전",
IF(AND(V1777="정상",OFFSET(Y1777,0,COUNTA(Y1777:AV1777)-1)&gt;=U1777),"정상",
IF(AND(V1777="면제",OFFSET(Y1777,0,COUNTA(Y1777:AV1777)-1)="면제"),"면제",
IF(AND(V1777="면제",OFFSET(Y1777,0,COUNTA(Y1777:AV1777)-1)=0),"면제",
"확인요청"))))))</f>
        <v>폐업</v>
      </c>
      <c r="Y1777" s="94" t="s">
        <v>7</v>
      </c>
      <c r="Z1777" s="95" t="s">
        <v>7</v>
      </c>
      <c r="AA1777" s="95" t="s">
        <v>7</v>
      </c>
      <c r="AB1777" s="95" t="s">
        <v>7</v>
      </c>
      <c r="AC1777" s="95" t="s">
        <v>7</v>
      </c>
      <c r="AD1777" s="95" t="s">
        <v>7</v>
      </c>
      <c r="AE1777" s="95" t="s">
        <v>7</v>
      </c>
      <c r="AF1777" s="95" t="s">
        <v>7</v>
      </c>
      <c r="AG1777" s="95" t="s">
        <v>7</v>
      </c>
      <c r="AH1777" s="95" t="s">
        <v>7</v>
      </c>
      <c r="AI1777" s="95" t="s">
        <v>7</v>
      </c>
      <c r="AJ1777" s="96" t="s">
        <v>7</v>
      </c>
      <c r="AK1777" s="97" t="s">
        <v>7</v>
      </c>
      <c r="AL1777" s="95" t="s">
        <v>7</v>
      </c>
      <c r="AM1777" s="90"/>
      <c r="AN1777" s="90"/>
      <c r="AO1777" s="90"/>
      <c r="AP1777" s="90"/>
      <c r="AQ1777" s="90"/>
      <c r="AR1777" s="90"/>
      <c r="AS1777" s="90"/>
      <c r="AT1777" s="90"/>
      <c r="AU1777" s="90"/>
      <c r="AV1777" s="91"/>
      <c r="AX1777" s="92"/>
    </row>
    <row r="1778" customFormat="false" ht="15.65" hidden="false" customHeight="false" outlineLevel="0" collapsed="false">
      <c r="C1778" s="72" t="n">
        <f aca="false">COUNTIFS($D$6:D1778,"&lt;&gt;"&amp;"")</f>
        <v>1773</v>
      </c>
      <c r="D1778" s="73" t="s">
        <v>12</v>
      </c>
      <c r="E1778" s="76" t="str">
        <f aca="false">
IF($D1778="정상",INDEX(임대자산!$D$3:$R$3000,MATCH($F1778,임대자산!$I$3:$I$3000,0),MATCH(E$3,임대자산!$D$3:$R$3,0)),
IF($D1778="폐업",INDEX(폐업정보!$D$3:$R$3000,MATCH($F1778,폐업정보!$I$3:$I$3000,0),MATCH(E$3,폐업정보!$D$3:$R$3,0)),
"Error"))</f>
        <v>강원</v>
      </c>
      <c r="F177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B1773</v>
      </c>
      <c r="G1778" s="76" t="str">
        <f aca="false">F1778&amp;RANDBETWEEN(0,10)</f>
        <v>B17738</v>
      </c>
      <c r="H1778" s="75" t="n">
        <f aca="false">
IF($D1778="정상",INDEX(임대자산!$D$3:$R$3000,MATCH($F1778,임대자산!$I$3:$I$3000,0),MATCH(H$4,임대자산!$D$3:$R$3,0)),
IF($D1778="폐업",INDEX(폐업정보!$D$3:$R$3000,MATCH($F1778,폐업정보!$I$3:$I$3000,0),MATCH(H$4,폐업정보!$D$3:$R$3,0)),
"Error"))</f>
        <v>45854</v>
      </c>
      <c r="I1778" s="75" t="str">
        <f aca="false">
IF($D1778="정상",INDEX(임대자산!$D$3:$R$3000,MATCH($F1778,임대자산!$I$3:$I$3000,0),MATCH(I$4,임대자산!$D$3:$R$3,0)),
IF($D1778="폐업",INDEX(폐업정보!$D$3:$R$3000,MATCH($F1778,폐업정보!$I$3:$I$3000,0),MATCH(I$4,폐업정보!$D$3:$R$3,0)),
"Error"))</f>
        <v>A1773</v>
      </c>
      <c r="J1778" s="75" t="str">
        <f aca="false">
IF($D1778="정상",INDEX(임대자산!$D$3:$R$3000,MATCH($F1778,임대자산!$I$3:$I$3000,0),MATCH(J$4,임대자산!$D$3:$R$3,0)),
IF($D1778="폐업",INDEX(폐업정보!$D$3:$R$3000,MATCH($F1778,폐업정보!$I$3:$I$3000,0),MATCH(J$4,폐업정보!$D$3:$R$3,0)),
"Error"))</f>
        <v>5198400000</v>
      </c>
      <c r="K1778" s="75" t="str">
        <f aca="false">
IF($D1778="정상",INDEX(임대자산!$D$3:$R$3000,MATCH($F1778,임대자산!$I$3:$I$3000,0),MATCH(K$4,임대자산!$D$3:$R$3,0)),
IF($D1778="폐업",INDEX(폐업정보!$D$3:$R$3000,MATCH($F1778,폐업정보!$I$3:$I$3000,0),MATCH(K$4,폐업정보!$D$3:$R$3,0)),
"Error"))</f>
        <v>C1773</v>
      </c>
      <c r="L1778" s="75" t="str">
        <f aca="false">
IF($D1778="정상",INDEX(임대자산!$D$3:$R$3000,MATCH($F1778,임대자산!$I$3:$I$3000,0),MATCH(L$4,임대자산!$D$3:$R$3,0)),
IF($D1778="폐업",INDEX(폐업정보!$D$3:$R$3000,MATCH($F1778,폐업정보!$I$3:$I$3000,0),MATCH(L$4,폐업정보!$D$3:$R$3,0)),
"Error"))</f>
        <v>D1773</v>
      </c>
      <c r="M1778" s="76" t="s">
        <v>96</v>
      </c>
      <c r="N1778" s="77"/>
      <c r="O1778" s="78" t="s">
        <v>97</v>
      </c>
      <c r="P1778" s="79" t="n">
        <f aca="false">COUNTIFS(임대자산!$I:$I,가맹점정보!F1778,임대자산!$N:$N,가맹점정보!P$4)</f>
        <v>0</v>
      </c>
      <c r="Q1778" s="80" t="n">
        <f aca="false">COUNTIFS(임대자산!$I:$I,가맹점정보!F1778,임대자산!$N:$N,가맹점정보!Q$4)</f>
        <v>0</v>
      </c>
      <c r="R1778" s="81" t="n">
        <f aca="false">COUNTIFS(임대자산!$I:$I,가맹점정보!F1778,임대자산!$N:$N,가맹점정보!R$4)</f>
        <v>1</v>
      </c>
      <c r="S1778" s="82" t="n">
        <v>88000</v>
      </c>
      <c r="T1778" s="83" t="n">
        <v>0</v>
      </c>
      <c r="U1778" s="80" t="n">
        <f aca="false">SUM(S1778:T1778)</f>
        <v>88000</v>
      </c>
      <c r="V1778" s="84" t="s">
        <v>7</v>
      </c>
      <c r="W1778" s="80" t="str">
        <f aca="true">
IF(D1778="폐업","폐업",
IF(V1778="면제","면제",
IF(AND(V1778="정상",COUNTIFS(OFFSET(Y1778,0,COUNTA(Y1778:AV1778)-1,1,-4),"미납")&gt;=3),"장기미납",
IF(AND(V1778="정상",OFFSET(Y1778,0,COUNTA(Y1778:AV1778)-1)&gt;=U1778),"정상",
IF(AND(V1778="정상",OFFSET(Y1778,0,COUNTA(Y1778:AV1778)-1)=0),"정상",
"계약서 미작성")))))</f>
        <v>면제</v>
      </c>
      <c r="X1778" s="81" t="str">
        <f aca="true">
IF(D1778="폐업","폐업",
IF(AND(V1778="정상",OFFSET(Y1778,0,COUNTA(Y1778:AV1778)-1)="미납"),"미납",
IF(AND(V1778="정상",OFFSET(Y1778,0,COUNTA(Y1778:AV1778)-1)=0),"납부 시작 전",
IF(AND(V1778="정상",OFFSET(Y1778,0,COUNTA(Y1778:AV1778)-1)&gt;=U1778),"정상",
IF(AND(V1778="면제",OFFSET(Y1778,0,COUNTA(Y1778:AV1778)-1)="면제"),"면제",
IF(AND(V1778="면제",OFFSET(Y1778,0,COUNTA(Y1778:AV1778)-1)=0),"면제",
"확인요청"))))))</f>
        <v>면제</v>
      </c>
      <c r="Y1778" s="94" t="s">
        <v>7</v>
      </c>
      <c r="Z1778" s="95" t="s">
        <v>7</v>
      </c>
      <c r="AA1778" s="95" t="s">
        <v>7</v>
      </c>
      <c r="AB1778" s="95" t="s">
        <v>7</v>
      </c>
      <c r="AC1778" s="95" t="s">
        <v>7</v>
      </c>
      <c r="AD1778" s="95" t="s">
        <v>7</v>
      </c>
      <c r="AE1778" s="95" t="s">
        <v>7</v>
      </c>
      <c r="AF1778" s="95" t="s">
        <v>7</v>
      </c>
      <c r="AG1778" s="95" t="s">
        <v>7</v>
      </c>
      <c r="AH1778" s="95" t="s">
        <v>7</v>
      </c>
      <c r="AI1778" s="95" t="s">
        <v>7</v>
      </c>
      <c r="AJ1778" s="96" t="s">
        <v>7</v>
      </c>
      <c r="AK1778" s="97" t="s">
        <v>7</v>
      </c>
      <c r="AL1778" s="95" t="s">
        <v>7</v>
      </c>
      <c r="AM1778" s="90"/>
      <c r="AN1778" s="90"/>
      <c r="AO1778" s="90"/>
      <c r="AP1778" s="90"/>
      <c r="AQ1778" s="90"/>
      <c r="AR1778" s="90"/>
      <c r="AS1778" s="90"/>
      <c r="AT1778" s="90"/>
      <c r="AU1778" s="90"/>
      <c r="AV1778" s="91"/>
      <c r="AX1778" s="92"/>
    </row>
    <row r="1779" customFormat="false" ht="15.65" hidden="false" customHeight="false" outlineLevel="0" collapsed="false">
      <c r="C1779" s="72" t="n">
        <f aca="false">COUNTIFS($D$6:D1779,"&lt;&gt;"&amp;"")</f>
        <v>1774</v>
      </c>
      <c r="D1779" s="73" t="s">
        <v>12</v>
      </c>
      <c r="E1779" s="76" t="str">
        <f aca="false">
IF($D1779="정상",INDEX(임대자산!$D$3:$R$3000,MATCH($F1779,임대자산!$I$3:$I$3000,0),MATCH(E$3,임대자산!$D$3:$R$3,0)),
IF($D1779="폐업",INDEX(폐업정보!$D$3:$R$3000,MATCH($F1779,폐업정보!$I$3:$I$3000,0),MATCH(E$3,폐업정보!$D$3:$R$3,0)),
"Error"))</f>
        <v>경기</v>
      </c>
      <c r="F177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B1774</v>
      </c>
      <c r="G1779" s="76" t="str">
        <f aca="false">F1779&amp;RANDBETWEEN(0,10)</f>
        <v>B17744</v>
      </c>
      <c r="H1779" s="75" t="n">
        <f aca="false">
IF($D1779="정상",INDEX(임대자산!$D$3:$R$3000,MATCH($F1779,임대자산!$I$3:$I$3000,0),MATCH(H$4,임대자산!$D$3:$R$3,0)),
IF($D1779="폐업",INDEX(폐업정보!$D$3:$R$3000,MATCH($F1779,폐업정보!$I$3:$I$3000,0),MATCH(H$4,폐업정보!$D$3:$R$3,0)),
"Error"))</f>
        <v>45863</v>
      </c>
      <c r="I1779" s="75" t="str">
        <f aca="false">
IF($D1779="정상",INDEX(임대자산!$D$3:$R$3000,MATCH($F1779,임대자산!$I$3:$I$3000,0),MATCH(I$4,임대자산!$D$3:$R$3,0)),
IF($D1779="폐업",INDEX(폐업정보!$D$3:$R$3000,MATCH($F1779,폐업정보!$I$3:$I$3000,0),MATCH(I$4,폐업정보!$D$3:$R$3,0)),
"Error"))</f>
        <v>A1774</v>
      </c>
      <c r="J1779" s="75" t="str">
        <f aca="false">
IF($D1779="정상",INDEX(임대자산!$D$3:$R$3000,MATCH($F1779,임대자산!$I$3:$I$3000,0),MATCH(J$4,임대자산!$D$3:$R$3,0)),
IF($D1779="폐업",INDEX(폐업정보!$D$3:$R$3000,MATCH($F1779,폐업정보!$I$3:$I$3000,0),MATCH(J$4,폐업정보!$D$3:$R$3,0)),
"Error"))</f>
        <v>4876000000</v>
      </c>
      <c r="K1779" s="75" t="str">
        <f aca="false">
IF($D1779="정상",INDEX(임대자산!$D$3:$R$3000,MATCH($F1779,임대자산!$I$3:$I$3000,0),MATCH(K$4,임대자산!$D$3:$R$3,0)),
IF($D1779="폐업",INDEX(폐업정보!$D$3:$R$3000,MATCH($F1779,폐업정보!$I$3:$I$3000,0),MATCH(K$4,폐업정보!$D$3:$R$3,0)),
"Error"))</f>
        <v>C1774</v>
      </c>
      <c r="L1779" s="75" t="str">
        <f aca="false">
IF($D1779="정상",INDEX(임대자산!$D$3:$R$3000,MATCH($F1779,임대자산!$I$3:$I$3000,0),MATCH(L$4,임대자산!$D$3:$R$3,0)),
IF($D1779="폐업",INDEX(폐업정보!$D$3:$R$3000,MATCH($F1779,폐업정보!$I$3:$I$3000,0),MATCH(L$4,폐업정보!$D$3:$R$3,0)),
"Error"))</f>
        <v>D1774</v>
      </c>
      <c r="M1779" s="76" t="s">
        <v>96</v>
      </c>
      <c r="N1779" s="77"/>
      <c r="O1779" s="78" t="s">
        <v>97</v>
      </c>
      <c r="P1779" s="79" t="n">
        <f aca="false">COUNTIFS(임대자산!$I:$I,가맹점정보!F1779,임대자산!$N:$N,가맹점정보!P$4)</f>
        <v>0</v>
      </c>
      <c r="Q1779" s="80" t="n">
        <f aca="false">COUNTIFS(임대자산!$I:$I,가맹점정보!F1779,임대자산!$N:$N,가맹점정보!Q$4)</f>
        <v>0</v>
      </c>
      <c r="R1779" s="81" t="n">
        <f aca="false">COUNTIFS(임대자산!$I:$I,가맹점정보!F1779,임대자산!$N:$N,가맹점정보!R$4)</f>
        <v>1</v>
      </c>
      <c r="S1779" s="82" t="n">
        <v>88000</v>
      </c>
      <c r="T1779" s="83" t="n">
        <v>0</v>
      </c>
      <c r="U1779" s="80" t="n">
        <f aca="false">SUM(S1779:T1779)</f>
        <v>88000</v>
      </c>
      <c r="V1779" s="84" t="s">
        <v>7</v>
      </c>
      <c r="W1779" s="80" t="str">
        <f aca="true">
IF(D1779="폐업","폐업",
IF(V1779="면제","면제",
IF(AND(V1779="정상",COUNTIFS(OFFSET(Y1779,0,COUNTA(Y1779:AV1779)-1,1,-4),"미납")&gt;=3),"장기미납",
IF(AND(V1779="정상",OFFSET(Y1779,0,COUNTA(Y1779:AV1779)-1)&gt;=U1779),"정상",
IF(AND(V1779="정상",OFFSET(Y1779,0,COUNTA(Y1779:AV1779)-1)=0),"정상",
"계약서 미작성")))))</f>
        <v>면제</v>
      </c>
      <c r="X1779" s="81" t="str">
        <f aca="true">
IF(D1779="폐업","폐업",
IF(AND(V1779="정상",OFFSET(Y1779,0,COUNTA(Y1779:AV1779)-1)="미납"),"미납",
IF(AND(V1779="정상",OFFSET(Y1779,0,COUNTA(Y1779:AV1779)-1)=0),"납부 시작 전",
IF(AND(V1779="정상",OFFSET(Y1779,0,COUNTA(Y1779:AV1779)-1)&gt;=U1779),"정상",
IF(AND(V1779="면제",OFFSET(Y1779,0,COUNTA(Y1779:AV1779)-1)="면제"),"면제",
IF(AND(V1779="면제",OFFSET(Y1779,0,COUNTA(Y1779:AV1779)-1)=0),"면제",
"확인요청"))))))</f>
        <v>면제</v>
      </c>
      <c r="Y1779" s="94" t="s">
        <v>7</v>
      </c>
      <c r="Z1779" s="95" t="s">
        <v>7</v>
      </c>
      <c r="AA1779" s="95" t="s">
        <v>7</v>
      </c>
      <c r="AB1779" s="95" t="s">
        <v>7</v>
      </c>
      <c r="AC1779" s="95" t="s">
        <v>7</v>
      </c>
      <c r="AD1779" s="95" t="s">
        <v>7</v>
      </c>
      <c r="AE1779" s="95" t="s">
        <v>7</v>
      </c>
      <c r="AF1779" s="95" t="s">
        <v>7</v>
      </c>
      <c r="AG1779" s="95" t="s">
        <v>7</v>
      </c>
      <c r="AH1779" s="95" t="s">
        <v>7</v>
      </c>
      <c r="AI1779" s="95" t="s">
        <v>7</v>
      </c>
      <c r="AJ1779" s="96" t="s">
        <v>7</v>
      </c>
      <c r="AK1779" s="97" t="s">
        <v>7</v>
      </c>
      <c r="AL1779" s="95" t="s">
        <v>7</v>
      </c>
      <c r="AM1779" s="90"/>
      <c r="AN1779" s="90"/>
      <c r="AO1779" s="90"/>
      <c r="AP1779" s="90"/>
      <c r="AQ1779" s="90"/>
      <c r="AR1779" s="90"/>
      <c r="AS1779" s="90"/>
      <c r="AT1779" s="90"/>
      <c r="AU1779" s="90"/>
      <c r="AV1779" s="91"/>
      <c r="AX1779" s="92"/>
    </row>
    <row r="1780" customFormat="false" ht="15.65" hidden="false" customHeight="false" outlineLevel="0" collapsed="false">
      <c r="C1780" s="72" t="n">
        <f aca="false">COUNTIFS($D$6:D1780,"&lt;&gt;"&amp;"")</f>
        <v>1775</v>
      </c>
      <c r="D1780" s="73" t="s">
        <v>12</v>
      </c>
      <c r="E1780" s="76" t="str">
        <f aca="false">
IF($D1780="정상",INDEX(임대자산!$D$3:$R$3000,MATCH($F1780,임대자산!$I$3:$I$3000,0),MATCH(E$3,임대자산!$D$3:$R$3,0)),
IF($D1780="폐업",INDEX(폐업정보!$D$3:$R$3000,MATCH($F1780,폐업정보!$I$3:$I$3000,0),MATCH(E$3,폐업정보!$D$3:$R$3,0)),
"Error"))</f>
        <v>경기</v>
      </c>
      <c r="F178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B1775</v>
      </c>
      <c r="G1780" s="76" t="str">
        <f aca="false">F1780&amp;RANDBETWEEN(0,10)</f>
        <v>B17752</v>
      </c>
      <c r="H1780" s="75" t="n">
        <f aca="false">
IF($D1780="정상",INDEX(임대자산!$D$3:$R$3000,MATCH($F1780,임대자산!$I$3:$I$3000,0),MATCH(H$4,임대자산!$D$3:$R$3,0)),
IF($D1780="폐업",INDEX(폐업정보!$D$3:$R$3000,MATCH($F1780,폐업정보!$I$3:$I$3000,0),MATCH(H$4,폐업정보!$D$3:$R$3,0)),
"Error"))</f>
        <v>45867</v>
      </c>
      <c r="I1780" s="75" t="str">
        <f aca="false">
IF($D1780="정상",INDEX(임대자산!$D$3:$R$3000,MATCH($F1780,임대자산!$I$3:$I$3000,0),MATCH(I$4,임대자산!$D$3:$R$3,0)),
IF($D1780="폐업",INDEX(폐업정보!$D$3:$R$3000,MATCH($F1780,폐업정보!$I$3:$I$3000,0),MATCH(I$4,폐업정보!$D$3:$R$3,0)),
"Error"))</f>
        <v>A1775</v>
      </c>
      <c r="J1780" s="75" t="str">
        <f aca="false">
IF($D1780="정상",INDEX(임대자산!$D$3:$R$3000,MATCH($F1780,임대자산!$I$3:$I$3000,0),MATCH(J$4,임대자산!$D$3:$R$3,0)),
IF($D1780="폐업",INDEX(폐업정보!$D$3:$R$3000,MATCH($F1780,폐업정보!$I$3:$I$3000,0),MATCH(J$4,폐업정보!$D$3:$R$3,0)),
"Error"))</f>
        <v>9827700000</v>
      </c>
      <c r="K1780" s="75" t="str">
        <f aca="false">
IF($D1780="정상",INDEX(임대자산!$D$3:$R$3000,MATCH($F1780,임대자산!$I$3:$I$3000,0),MATCH(K$4,임대자산!$D$3:$R$3,0)),
IF($D1780="폐업",INDEX(폐업정보!$D$3:$R$3000,MATCH($F1780,폐업정보!$I$3:$I$3000,0),MATCH(K$4,폐업정보!$D$3:$R$3,0)),
"Error"))</f>
        <v>C1775</v>
      </c>
      <c r="L1780" s="75" t="str">
        <f aca="false">
IF($D1780="정상",INDEX(임대자산!$D$3:$R$3000,MATCH($F1780,임대자산!$I$3:$I$3000,0),MATCH(L$4,임대자산!$D$3:$R$3,0)),
IF($D1780="폐업",INDEX(폐업정보!$D$3:$R$3000,MATCH($F1780,폐업정보!$I$3:$I$3000,0),MATCH(L$4,폐업정보!$D$3:$R$3,0)),
"Error"))</f>
        <v>D1775</v>
      </c>
      <c r="M1780" s="76" t="s">
        <v>96</v>
      </c>
      <c r="N1780" s="77"/>
      <c r="O1780" s="78" t="s">
        <v>97</v>
      </c>
      <c r="P1780" s="79" t="n">
        <f aca="false">COUNTIFS(임대자산!$I:$I,가맹점정보!F1780,임대자산!$N:$N,가맹점정보!P$4)</f>
        <v>0</v>
      </c>
      <c r="Q1780" s="80" t="n">
        <f aca="false">COUNTIFS(임대자산!$I:$I,가맹점정보!F1780,임대자산!$N:$N,가맹점정보!Q$4)</f>
        <v>0</v>
      </c>
      <c r="R1780" s="81" t="n">
        <f aca="false">COUNTIFS(임대자산!$I:$I,가맹점정보!F1780,임대자산!$N:$N,가맹점정보!R$4)</f>
        <v>1</v>
      </c>
      <c r="S1780" s="82" t="n">
        <v>88000</v>
      </c>
      <c r="T1780" s="83" t="n">
        <v>0</v>
      </c>
      <c r="U1780" s="80" t="n">
        <f aca="false">SUM(S1780:T1780)</f>
        <v>88000</v>
      </c>
      <c r="V1780" s="84" t="s">
        <v>7</v>
      </c>
      <c r="W1780" s="80" t="str">
        <f aca="true">
IF(D1780="폐업","폐업",
IF(V1780="면제","면제",
IF(AND(V1780="정상",COUNTIFS(OFFSET(Y1780,0,COUNTA(Y1780:AV1780)-1,1,-4),"미납")&gt;=3),"장기미납",
IF(AND(V1780="정상",OFFSET(Y1780,0,COUNTA(Y1780:AV1780)-1)&gt;=U1780),"정상",
IF(AND(V1780="정상",OFFSET(Y1780,0,COUNTA(Y1780:AV1780)-1)=0),"정상",
"계약서 미작성")))))</f>
        <v>면제</v>
      </c>
      <c r="X1780" s="81" t="str">
        <f aca="true">
IF(D1780="폐업","폐업",
IF(AND(V1780="정상",OFFSET(Y1780,0,COUNTA(Y1780:AV1780)-1)="미납"),"미납",
IF(AND(V1780="정상",OFFSET(Y1780,0,COUNTA(Y1780:AV1780)-1)=0),"납부 시작 전",
IF(AND(V1780="정상",OFFSET(Y1780,0,COUNTA(Y1780:AV1780)-1)&gt;=U1780),"정상",
IF(AND(V1780="면제",OFFSET(Y1780,0,COUNTA(Y1780:AV1780)-1)="면제"),"면제",
IF(AND(V1780="면제",OFFSET(Y1780,0,COUNTA(Y1780:AV1780)-1)=0),"면제",
"확인요청"))))))</f>
        <v>면제</v>
      </c>
      <c r="Y1780" s="94" t="s">
        <v>7</v>
      </c>
      <c r="Z1780" s="95" t="s">
        <v>7</v>
      </c>
      <c r="AA1780" s="95" t="s">
        <v>7</v>
      </c>
      <c r="AB1780" s="95" t="s">
        <v>7</v>
      </c>
      <c r="AC1780" s="95" t="s">
        <v>7</v>
      </c>
      <c r="AD1780" s="95" t="s">
        <v>7</v>
      </c>
      <c r="AE1780" s="95" t="s">
        <v>7</v>
      </c>
      <c r="AF1780" s="95" t="s">
        <v>7</v>
      </c>
      <c r="AG1780" s="95" t="s">
        <v>7</v>
      </c>
      <c r="AH1780" s="95" t="s">
        <v>7</v>
      </c>
      <c r="AI1780" s="95" t="s">
        <v>7</v>
      </c>
      <c r="AJ1780" s="96" t="s">
        <v>7</v>
      </c>
      <c r="AK1780" s="97" t="s">
        <v>7</v>
      </c>
      <c r="AL1780" s="95" t="s">
        <v>7</v>
      </c>
      <c r="AM1780" s="90"/>
      <c r="AN1780" s="90"/>
      <c r="AO1780" s="90"/>
      <c r="AP1780" s="90"/>
      <c r="AQ1780" s="90"/>
      <c r="AR1780" s="90"/>
      <c r="AS1780" s="90"/>
      <c r="AT1780" s="90"/>
      <c r="AU1780" s="90"/>
      <c r="AV1780" s="91"/>
      <c r="AX1780" s="92"/>
    </row>
    <row r="1781" customFormat="false" ht="15.65" hidden="false" customHeight="false" outlineLevel="0" collapsed="false">
      <c r="C1781" s="72" t="n">
        <f aca="false">COUNTIFS($D$6:D1781,"&lt;&gt;"&amp;"")</f>
        <v>1776</v>
      </c>
      <c r="D1781" s="73" t="s">
        <v>12</v>
      </c>
      <c r="E1781" s="76" t="str">
        <f aca="false">
IF($D1781="정상",INDEX(임대자산!$D$3:$R$3000,MATCH($F1781,임대자산!$I$3:$I$3000,0),MATCH(E$3,임대자산!$D$3:$R$3,0)),
IF($D1781="폐업",INDEX(폐업정보!$D$3:$R$3000,MATCH($F1781,폐업정보!$I$3:$I$3000,0),MATCH(E$3,폐업정보!$D$3:$R$3,0)),
"Error"))</f>
        <v>서울</v>
      </c>
      <c r="F178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B1776</v>
      </c>
      <c r="G1781" s="76" t="str">
        <f aca="false">F1781&amp;RANDBETWEEN(0,10)</f>
        <v>B17760</v>
      </c>
      <c r="H1781" s="75" t="n">
        <f aca="false">
IF($D1781="정상",INDEX(임대자산!$D$3:$R$3000,MATCH($F1781,임대자산!$I$3:$I$3000,0),MATCH(H$4,임대자산!$D$3:$R$3,0)),
IF($D1781="폐업",INDEX(폐업정보!$D$3:$R$3000,MATCH($F1781,폐업정보!$I$3:$I$3000,0),MATCH(H$4,폐업정보!$D$3:$R$3,0)),
"Error"))</f>
        <v>45875</v>
      </c>
      <c r="I1781" s="75" t="str">
        <f aca="false">
IF($D1781="정상",INDEX(임대자산!$D$3:$R$3000,MATCH($F1781,임대자산!$I$3:$I$3000,0),MATCH(I$4,임대자산!$D$3:$R$3,0)),
IF($D1781="폐업",INDEX(폐업정보!$D$3:$R$3000,MATCH($F1781,폐업정보!$I$3:$I$3000,0),MATCH(I$4,폐업정보!$D$3:$R$3,0)),
"Error"))</f>
        <v>A1776</v>
      </c>
      <c r="J1781" s="75" t="str">
        <f aca="false">
IF($D1781="정상",INDEX(임대자산!$D$3:$R$3000,MATCH($F1781,임대자산!$I$3:$I$3000,0),MATCH(J$4,임대자산!$D$3:$R$3,0)),
IF($D1781="폐업",INDEX(폐업정보!$D$3:$R$3000,MATCH($F1781,폐업정보!$I$3:$I$3000,0),MATCH(J$4,폐업정보!$D$3:$R$3,0)),
"Error"))</f>
        <v>3710100000</v>
      </c>
      <c r="K1781" s="75" t="str">
        <f aca="false">
IF($D1781="정상",INDEX(임대자산!$D$3:$R$3000,MATCH($F1781,임대자산!$I$3:$I$3000,0),MATCH(K$4,임대자산!$D$3:$R$3,0)),
IF($D1781="폐업",INDEX(폐업정보!$D$3:$R$3000,MATCH($F1781,폐업정보!$I$3:$I$3000,0),MATCH(K$4,폐업정보!$D$3:$R$3,0)),
"Error"))</f>
        <v>C1776</v>
      </c>
      <c r="L1781" s="75" t="str">
        <f aca="false">
IF($D1781="정상",INDEX(임대자산!$D$3:$R$3000,MATCH($F1781,임대자산!$I$3:$I$3000,0),MATCH(L$4,임대자산!$D$3:$R$3,0)),
IF($D1781="폐업",INDEX(폐업정보!$D$3:$R$3000,MATCH($F1781,폐업정보!$I$3:$I$3000,0),MATCH(L$4,폐업정보!$D$3:$R$3,0)),
"Error"))</f>
        <v>D1776</v>
      </c>
      <c r="M1781" s="76" t="s">
        <v>96</v>
      </c>
      <c r="N1781" s="77"/>
      <c r="O1781" s="78" t="s">
        <v>97</v>
      </c>
      <c r="P1781" s="79" t="n">
        <f aca="false">COUNTIFS(임대자산!$I:$I,가맹점정보!F1781,임대자산!$N:$N,가맹점정보!P$4)</f>
        <v>0</v>
      </c>
      <c r="Q1781" s="80" t="n">
        <f aca="false">COUNTIFS(임대자산!$I:$I,가맹점정보!F1781,임대자산!$N:$N,가맹점정보!Q$4)</f>
        <v>0</v>
      </c>
      <c r="R1781" s="81" t="n">
        <f aca="false">COUNTIFS(임대자산!$I:$I,가맹점정보!F1781,임대자산!$N:$N,가맹점정보!R$4)</f>
        <v>1</v>
      </c>
      <c r="S1781" s="82" t="n">
        <v>55000</v>
      </c>
      <c r="T1781" s="83" t="n">
        <v>0</v>
      </c>
      <c r="U1781" s="80" t="n">
        <f aca="false">SUM(S1781:T1781)</f>
        <v>55000</v>
      </c>
      <c r="V1781" s="84" t="s">
        <v>7</v>
      </c>
      <c r="W1781" s="80" t="str">
        <f aca="true">
IF(D1781="폐업","폐업",
IF(V1781="면제","면제",
IF(AND(V1781="정상",COUNTIFS(OFFSET(Y1781,0,COUNTA(Y1781:AV1781)-1,1,-4),"미납")&gt;=3),"장기미납",
IF(AND(V1781="정상",OFFSET(Y1781,0,COUNTA(Y1781:AV1781)-1)&gt;=U1781),"정상",
IF(AND(V1781="정상",OFFSET(Y1781,0,COUNTA(Y1781:AV1781)-1)=0),"정상",
"계약서 미작성")))))</f>
        <v>면제</v>
      </c>
      <c r="X1781" s="81" t="str">
        <f aca="true">
IF(D1781="폐업","폐업",
IF(AND(V1781="정상",OFFSET(Y1781,0,COUNTA(Y1781:AV1781)-1)="미납"),"미납",
IF(AND(V1781="정상",OFFSET(Y1781,0,COUNTA(Y1781:AV1781)-1)=0),"납부 시작 전",
IF(AND(V1781="정상",OFFSET(Y1781,0,COUNTA(Y1781:AV1781)-1)&gt;=U1781),"정상",
IF(AND(V1781="면제",OFFSET(Y1781,0,COUNTA(Y1781:AV1781)-1)="면제"),"면제",
IF(AND(V1781="면제",OFFSET(Y1781,0,COUNTA(Y1781:AV1781)-1)=0),"면제",
"확인요청"))))))</f>
        <v>면제</v>
      </c>
      <c r="Y1781" s="94" t="s">
        <v>7</v>
      </c>
      <c r="Z1781" s="95" t="s">
        <v>7</v>
      </c>
      <c r="AA1781" s="95" t="s">
        <v>7</v>
      </c>
      <c r="AB1781" s="95" t="s">
        <v>7</v>
      </c>
      <c r="AC1781" s="95" t="s">
        <v>7</v>
      </c>
      <c r="AD1781" s="95" t="s">
        <v>7</v>
      </c>
      <c r="AE1781" s="95" t="s">
        <v>7</v>
      </c>
      <c r="AF1781" s="95" t="s">
        <v>7</v>
      </c>
      <c r="AG1781" s="95" t="s">
        <v>7</v>
      </c>
      <c r="AH1781" s="95" t="s">
        <v>7</v>
      </c>
      <c r="AI1781" s="95" t="s">
        <v>7</v>
      </c>
      <c r="AJ1781" s="96" t="s">
        <v>7</v>
      </c>
      <c r="AK1781" s="97" t="s">
        <v>7</v>
      </c>
      <c r="AL1781" s="95" t="s">
        <v>7</v>
      </c>
      <c r="AM1781" s="90"/>
      <c r="AN1781" s="90"/>
      <c r="AO1781" s="90"/>
      <c r="AP1781" s="90"/>
      <c r="AQ1781" s="90"/>
      <c r="AR1781" s="90"/>
      <c r="AS1781" s="90"/>
      <c r="AT1781" s="90"/>
      <c r="AU1781" s="90"/>
      <c r="AV1781" s="91"/>
      <c r="AX1781" s="92"/>
    </row>
    <row r="1782" customFormat="false" ht="15.65" hidden="false" customHeight="false" outlineLevel="0" collapsed="false">
      <c r="C1782" s="72" t="n">
        <f aca="false">COUNTIFS($D$6:D1782,"&lt;&gt;"&amp;"")</f>
        <v>1777</v>
      </c>
      <c r="D1782" s="73" t="s">
        <v>12</v>
      </c>
      <c r="E1782" s="76" t="str">
        <f aca="false">
IF($D1782="정상",INDEX(임대자산!$D$3:$R$3000,MATCH($F1782,임대자산!$I$3:$I$3000,0),MATCH(E$3,임대자산!$D$3:$R$3,0)),
IF($D1782="폐업",INDEX(폐업정보!$D$3:$R$3000,MATCH($F1782,폐업정보!$I$3:$I$3000,0),MATCH(E$3,폐업정보!$D$3:$R$3,0)),
"Error"))</f>
        <v>서울</v>
      </c>
      <c r="F178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B1777</v>
      </c>
      <c r="G1782" s="76" t="str">
        <f aca="false">F1782&amp;RANDBETWEEN(0,10)</f>
        <v>B17777</v>
      </c>
      <c r="H1782" s="75" t="n">
        <f aca="false">
IF($D1782="정상",INDEX(임대자산!$D$3:$R$3000,MATCH($F1782,임대자산!$I$3:$I$3000,0),MATCH(H$4,임대자산!$D$3:$R$3,0)),
IF($D1782="폐업",INDEX(폐업정보!$D$3:$R$3000,MATCH($F1782,폐업정보!$I$3:$I$3000,0),MATCH(H$4,폐업정보!$D$3:$R$3,0)),
"Error"))</f>
        <v>45862</v>
      </c>
      <c r="I1782" s="75" t="str">
        <f aca="false">
IF($D1782="정상",INDEX(임대자산!$D$3:$R$3000,MATCH($F1782,임대자산!$I$3:$I$3000,0),MATCH(I$4,임대자산!$D$3:$R$3,0)),
IF($D1782="폐업",INDEX(폐업정보!$D$3:$R$3000,MATCH($F1782,폐업정보!$I$3:$I$3000,0),MATCH(I$4,폐업정보!$D$3:$R$3,0)),
"Error"))</f>
        <v>A1777</v>
      </c>
      <c r="J1782" s="75" t="str">
        <f aca="false">
IF($D1782="정상",INDEX(임대자산!$D$3:$R$3000,MATCH($F1782,임대자산!$I$3:$I$3000,0),MATCH(J$4,임대자산!$D$3:$R$3,0)),
IF($D1782="폐업",INDEX(폐업정보!$D$3:$R$3000,MATCH($F1782,폐업정보!$I$3:$I$3000,0),MATCH(J$4,폐업정보!$D$3:$R$3,0)),
"Error"))</f>
        <v>1459800000</v>
      </c>
      <c r="K1782" s="75" t="str">
        <f aca="false">
IF($D1782="정상",INDEX(임대자산!$D$3:$R$3000,MATCH($F1782,임대자산!$I$3:$I$3000,0),MATCH(K$4,임대자산!$D$3:$R$3,0)),
IF($D1782="폐업",INDEX(폐업정보!$D$3:$R$3000,MATCH($F1782,폐업정보!$I$3:$I$3000,0),MATCH(K$4,폐업정보!$D$3:$R$3,0)),
"Error"))</f>
        <v>C1777</v>
      </c>
      <c r="L1782" s="75" t="str">
        <f aca="false">
IF($D1782="정상",INDEX(임대자산!$D$3:$R$3000,MATCH($F1782,임대자산!$I$3:$I$3000,0),MATCH(L$4,임대자산!$D$3:$R$3,0)),
IF($D1782="폐업",INDEX(폐업정보!$D$3:$R$3000,MATCH($F1782,폐업정보!$I$3:$I$3000,0),MATCH(L$4,폐업정보!$D$3:$R$3,0)),
"Error"))</f>
        <v>D1777</v>
      </c>
      <c r="M1782" s="76" t="s">
        <v>96</v>
      </c>
      <c r="N1782" s="77"/>
      <c r="O1782" s="78" t="s">
        <v>97</v>
      </c>
      <c r="P1782" s="79" t="n">
        <f aca="false">COUNTIFS(임대자산!$I:$I,가맹점정보!F1782,임대자산!$N:$N,가맹점정보!P$4)</f>
        <v>0</v>
      </c>
      <c r="Q1782" s="80" t="n">
        <f aca="false">COUNTIFS(임대자산!$I:$I,가맹점정보!F1782,임대자산!$N:$N,가맹점정보!Q$4)</f>
        <v>0</v>
      </c>
      <c r="R1782" s="81" t="n">
        <f aca="false">COUNTIFS(임대자산!$I:$I,가맹점정보!F1782,임대자산!$N:$N,가맹점정보!R$4)</f>
        <v>1</v>
      </c>
      <c r="S1782" s="82" t="n">
        <v>55000</v>
      </c>
      <c r="T1782" s="83" t="n">
        <v>0</v>
      </c>
      <c r="U1782" s="80" t="n">
        <f aca="false">SUM(S1782:T1782)</f>
        <v>55000</v>
      </c>
      <c r="V1782" s="84" t="s">
        <v>7</v>
      </c>
      <c r="W1782" s="80" t="str">
        <f aca="true">
IF(D1782="폐업","폐업",
IF(V1782="면제","면제",
IF(AND(V1782="정상",COUNTIFS(OFFSET(Y1782,0,COUNTA(Y1782:AV1782)-1,1,-4),"미납")&gt;=3),"장기미납",
IF(AND(V1782="정상",OFFSET(Y1782,0,COUNTA(Y1782:AV1782)-1)&gt;=U1782),"정상",
IF(AND(V1782="정상",OFFSET(Y1782,0,COUNTA(Y1782:AV1782)-1)=0),"정상",
"계약서 미작성")))))</f>
        <v>면제</v>
      </c>
      <c r="X1782" s="81" t="str">
        <f aca="true">
IF(D1782="폐업","폐업",
IF(AND(V1782="정상",OFFSET(Y1782,0,COUNTA(Y1782:AV1782)-1)="미납"),"미납",
IF(AND(V1782="정상",OFFSET(Y1782,0,COUNTA(Y1782:AV1782)-1)=0),"납부 시작 전",
IF(AND(V1782="정상",OFFSET(Y1782,0,COUNTA(Y1782:AV1782)-1)&gt;=U1782),"정상",
IF(AND(V1782="면제",OFFSET(Y1782,0,COUNTA(Y1782:AV1782)-1)="면제"),"면제",
IF(AND(V1782="면제",OFFSET(Y1782,0,COUNTA(Y1782:AV1782)-1)=0),"면제",
"확인요청"))))))</f>
        <v>면제</v>
      </c>
      <c r="Y1782" s="94" t="s">
        <v>7</v>
      </c>
      <c r="Z1782" s="95" t="s">
        <v>7</v>
      </c>
      <c r="AA1782" s="95" t="s">
        <v>7</v>
      </c>
      <c r="AB1782" s="95" t="s">
        <v>7</v>
      </c>
      <c r="AC1782" s="95" t="s">
        <v>7</v>
      </c>
      <c r="AD1782" s="95" t="s">
        <v>7</v>
      </c>
      <c r="AE1782" s="95" t="s">
        <v>7</v>
      </c>
      <c r="AF1782" s="95" t="s">
        <v>7</v>
      </c>
      <c r="AG1782" s="95" t="s">
        <v>7</v>
      </c>
      <c r="AH1782" s="95" t="s">
        <v>7</v>
      </c>
      <c r="AI1782" s="95" t="s">
        <v>7</v>
      </c>
      <c r="AJ1782" s="96" t="s">
        <v>7</v>
      </c>
      <c r="AK1782" s="97" t="s">
        <v>7</v>
      </c>
      <c r="AL1782" s="95" t="s">
        <v>7</v>
      </c>
      <c r="AM1782" s="90"/>
      <c r="AN1782" s="90"/>
      <c r="AO1782" s="90"/>
      <c r="AP1782" s="90"/>
      <c r="AQ1782" s="90"/>
      <c r="AR1782" s="90"/>
      <c r="AS1782" s="90"/>
      <c r="AT1782" s="90"/>
      <c r="AU1782" s="90"/>
      <c r="AV1782" s="91"/>
      <c r="AX1782" s="92"/>
    </row>
    <row r="1783" customFormat="false" ht="15.65" hidden="false" customHeight="false" outlineLevel="0" collapsed="false">
      <c r="C1783" s="72" t="n">
        <f aca="false">COUNTIFS($D$6:D1783,"&lt;&gt;"&amp;"")</f>
        <v>1778</v>
      </c>
      <c r="D1783" s="73" t="s">
        <v>12</v>
      </c>
      <c r="E1783" s="76" t="str">
        <f aca="false">
IF($D1783="정상",INDEX(임대자산!$D$3:$R$3000,MATCH($F1783,임대자산!$I$3:$I$3000,0),MATCH(E$3,임대자산!$D$3:$R$3,0)),
IF($D1783="폐업",INDEX(폐업정보!$D$3:$R$3000,MATCH($F1783,폐업정보!$I$3:$I$3000,0),MATCH(E$3,폐업정보!$D$3:$R$3,0)),
"Error"))</f>
        <v>서울</v>
      </c>
      <c r="F178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B1778</v>
      </c>
      <c r="G1783" s="76" t="str">
        <f aca="false">F1783&amp;RANDBETWEEN(0,10)</f>
        <v>B17787</v>
      </c>
      <c r="H1783" s="75" t="n">
        <f aca="false">
IF($D1783="정상",INDEX(임대자산!$D$3:$R$3000,MATCH($F1783,임대자산!$I$3:$I$3000,0),MATCH(H$4,임대자산!$D$3:$R$3,0)),
IF($D1783="폐업",INDEX(폐업정보!$D$3:$R$3000,MATCH($F1783,폐업정보!$I$3:$I$3000,0),MATCH(H$4,폐업정보!$D$3:$R$3,0)),
"Error"))</f>
        <v>45874</v>
      </c>
      <c r="I1783" s="75" t="str">
        <f aca="false">
IF($D1783="정상",INDEX(임대자산!$D$3:$R$3000,MATCH($F1783,임대자산!$I$3:$I$3000,0),MATCH(I$4,임대자산!$D$3:$R$3,0)),
IF($D1783="폐업",INDEX(폐업정보!$D$3:$R$3000,MATCH($F1783,폐업정보!$I$3:$I$3000,0),MATCH(I$4,폐업정보!$D$3:$R$3,0)),
"Error"))</f>
        <v>A1778</v>
      </c>
      <c r="J1783" s="75" t="str">
        <f aca="false">
IF($D1783="정상",INDEX(임대자산!$D$3:$R$3000,MATCH($F1783,임대자산!$I$3:$I$3000,0),MATCH(J$4,임대자산!$D$3:$R$3,0)),
IF($D1783="폐업",INDEX(폐업정보!$D$3:$R$3000,MATCH($F1783,폐업정보!$I$3:$I$3000,0),MATCH(J$4,폐업정보!$D$3:$R$3,0)),
"Error"))</f>
        <v>6270000000</v>
      </c>
      <c r="K1783" s="75" t="str">
        <f aca="false">
IF($D1783="정상",INDEX(임대자산!$D$3:$R$3000,MATCH($F1783,임대자산!$I$3:$I$3000,0),MATCH(K$4,임대자산!$D$3:$R$3,0)),
IF($D1783="폐업",INDEX(폐업정보!$D$3:$R$3000,MATCH($F1783,폐업정보!$I$3:$I$3000,0),MATCH(K$4,폐업정보!$D$3:$R$3,0)),
"Error"))</f>
        <v>C1778</v>
      </c>
      <c r="L1783" s="75" t="str">
        <f aca="false">
IF($D1783="정상",INDEX(임대자산!$D$3:$R$3000,MATCH($F1783,임대자산!$I$3:$I$3000,0),MATCH(L$4,임대자산!$D$3:$R$3,0)),
IF($D1783="폐업",INDEX(폐업정보!$D$3:$R$3000,MATCH($F1783,폐업정보!$I$3:$I$3000,0),MATCH(L$4,폐업정보!$D$3:$R$3,0)),
"Error"))</f>
        <v>D1778</v>
      </c>
      <c r="M1783" s="76" t="s">
        <v>96</v>
      </c>
      <c r="N1783" s="77"/>
      <c r="O1783" s="78" t="s">
        <v>97</v>
      </c>
      <c r="P1783" s="79" t="n">
        <f aca="false">COUNTIFS(임대자산!$I:$I,가맹점정보!F1783,임대자산!$N:$N,가맹점정보!P$4)</f>
        <v>0</v>
      </c>
      <c r="Q1783" s="80" t="n">
        <f aca="false">COUNTIFS(임대자산!$I:$I,가맹점정보!F1783,임대자산!$N:$N,가맹점정보!Q$4)</f>
        <v>0</v>
      </c>
      <c r="R1783" s="81" t="n">
        <f aca="false">COUNTIFS(임대자산!$I:$I,가맹점정보!F1783,임대자산!$N:$N,가맹점정보!R$4)</f>
        <v>1</v>
      </c>
      <c r="S1783" s="82" t="n">
        <v>88000</v>
      </c>
      <c r="T1783" s="83" t="n">
        <v>0</v>
      </c>
      <c r="U1783" s="80" t="n">
        <f aca="false">SUM(S1783:T1783)</f>
        <v>88000</v>
      </c>
      <c r="V1783" s="84" t="s">
        <v>7</v>
      </c>
      <c r="W1783" s="80" t="str">
        <f aca="true">
IF(D1783="폐업","폐업",
IF(V1783="면제","면제",
IF(AND(V1783="정상",COUNTIFS(OFFSET(Y1783,0,COUNTA(Y1783:AV1783)-1,1,-4),"미납")&gt;=3),"장기미납",
IF(AND(V1783="정상",OFFSET(Y1783,0,COUNTA(Y1783:AV1783)-1)&gt;=U1783),"정상",
IF(AND(V1783="정상",OFFSET(Y1783,0,COUNTA(Y1783:AV1783)-1)=0),"정상",
"계약서 미작성")))))</f>
        <v>면제</v>
      </c>
      <c r="X1783" s="81" t="str">
        <f aca="true">
IF(D1783="폐업","폐업",
IF(AND(V1783="정상",OFFSET(Y1783,0,COUNTA(Y1783:AV1783)-1)="미납"),"미납",
IF(AND(V1783="정상",OFFSET(Y1783,0,COUNTA(Y1783:AV1783)-1)=0),"납부 시작 전",
IF(AND(V1783="정상",OFFSET(Y1783,0,COUNTA(Y1783:AV1783)-1)&gt;=U1783),"정상",
IF(AND(V1783="면제",OFFSET(Y1783,0,COUNTA(Y1783:AV1783)-1)="면제"),"면제",
IF(AND(V1783="면제",OFFSET(Y1783,0,COUNTA(Y1783:AV1783)-1)=0),"면제",
"확인요청"))))))</f>
        <v>면제</v>
      </c>
      <c r="Y1783" s="94" t="s">
        <v>7</v>
      </c>
      <c r="Z1783" s="95" t="s">
        <v>7</v>
      </c>
      <c r="AA1783" s="95" t="s">
        <v>7</v>
      </c>
      <c r="AB1783" s="95" t="s">
        <v>7</v>
      </c>
      <c r="AC1783" s="95" t="s">
        <v>7</v>
      </c>
      <c r="AD1783" s="95" t="s">
        <v>7</v>
      </c>
      <c r="AE1783" s="95" t="s">
        <v>7</v>
      </c>
      <c r="AF1783" s="95" t="s">
        <v>7</v>
      </c>
      <c r="AG1783" s="95" t="s">
        <v>7</v>
      </c>
      <c r="AH1783" s="95" t="s">
        <v>7</v>
      </c>
      <c r="AI1783" s="95" t="s">
        <v>7</v>
      </c>
      <c r="AJ1783" s="96" t="s">
        <v>7</v>
      </c>
      <c r="AK1783" s="97" t="s">
        <v>7</v>
      </c>
      <c r="AL1783" s="95" t="s">
        <v>7</v>
      </c>
      <c r="AM1783" s="90"/>
      <c r="AN1783" s="90"/>
      <c r="AO1783" s="90"/>
      <c r="AP1783" s="90"/>
      <c r="AQ1783" s="90"/>
      <c r="AR1783" s="90"/>
      <c r="AS1783" s="90"/>
      <c r="AT1783" s="90"/>
      <c r="AU1783" s="90"/>
      <c r="AV1783" s="91"/>
      <c r="AX1783" s="92"/>
    </row>
    <row r="1784" customFormat="false" ht="15.65" hidden="false" customHeight="false" outlineLevel="0" collapsed="false">
      <c r="C1784" s="72" t="n">
        <f aca="false">COUNTIFS($D$6:D1784,"&lt;&gt;"&amp;"")</f>
        <v>1779</v>
      </c>
      <c r="D1784" s="73" t="s">
        <v>12</v>
      </c>
      <c r="E1784" s="76" t="str">
        <f aca="false">
IF($D1784="정상",INDEX(임대자산!$D$3:$R$3000,MATCH($F1784,임대자산!$I$3:$I$3000,0),MATCH(E$3,임대자산!$D$3:$R$3,0)),
IF($D1784="폐업",INDEX(폐업정보!$D$3:$R$3000,MATCH($F1784,폐업정보!$I$3:$I$3000,0),MATCH(E$3,폐업정보!$D$3:$R$3,0)),
"Error"))</f>
        <v>서울</v>
      </c>
      <c r="F178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B1779</v>
      </c>
      <c r="G1784" s="76" t="str">
        <f aca="false">F1784&amp;RANDBETWEEN(0,10)</f>
        <v>B17794</v>
      </c>
      <c r="H1784" s="75" t="n">
        <f aca="false">
IF($D1784="정상",INDEX(임대자산!$D$3:$R$3000,MATCH($F1784,임대자산!$I$3:$I$3000,0),MATCH(H$4,임대자산!$D$3:$R$3,0)),
IF($D1784="폐업",INDEX(폐업정보!$D$3:$R$3000,MATCH($F1784,폐업정보!$I$3:$I$3000,0),MATCH(H$4,폐업정보!$D$3:$R$3,0)),
"Error"))</f>
        <v>45874</v>
      </c>
      <c r="I1784" s="75" t="str">
        <f aca="false">
IF($D1784="정상",INDEX(임대자산!$D$3:$R$3000,MATCH($F1784,임대자산!$I$3:$I$3000,0),MATCH(I$4,임대자산!$D$3:$R$3,0)),
IF($D1784="폐업",INDEX(폐업정보!$D$3:$R$3000,MATCH($F1784,폐업정보!$I$3:$I$3000,0),MATCH(I$4,폐업정보!$D$3:$R$3,0)),
"Error"))</f>
        <v>A1779</v>
      </c>
      <c r="J1784" s="75" t="str">
        <f aca="false">
IF($D1784="정상",INDEX(임대자산!$D$3:$R$3000,MATCH($F1784,임대자산!$I$3:$I$3000,0),MATCH(J$4,임대자산!$D$3:$R$3,0)),
IF($D1784="폐업",INDEX(폐업정보!$D$3:$R$3000,MATCH($F1784,폐업정보!$I$3:$I$3000,0),MATCH(J$4,폐업정보!$D$3:$R$3,0)),
"Error"))</f>
        <v>8986400000</v>
      </c>
      <c r="K1784" s="75" t="str">
        <f aca="false">
IF($D1784="정상",INDEX(임대자산!$D$3:$R$3000,MATCH($F1784,임대자산!$I$3:$I$3000,0),MATCH(K$4,임대자산!$D$3:$R$3,0)),
IF($D1784="폐업",INDEX(폐업정보!$D$3:$R$3000,MATCH($F1784,폐업정보!$I$3:$I$3000,0),MATCH(K$4,폐업정보!$D$3:$R$3,0)),
"Error"))</f>
        <v>C1779</v>
      </c>
      <c r="L1784" s="75" t="str">
        <f aca="false">
IF($D1784="정상",INDEX(임대자산!$D$3:$R$3000,MATCH($F1784,임대자산!$I$3:$I$3000,0),MATCH(L$4,임대자산!$D$3:$R$3,0)),
IF($D1784="폐업",INDEX(폐업정보!$D$3:$R$3000,MATCH($F1784,폐업정보!$I$3:$I$3000,0),MATCH(L$4,폐업정보!$D$3:$R$3,0)),
"Error"))</f>
        <v>D1779</v>
      </c>
      <c r="M1784" s="76" t="s">
        <v>96</v>
      </c>
      <c r="N1784" s="77"/>
      <c r="O1784" s="78" t="s">
        <v>97</v>
      </c>
      <c r="P1784" s="79" t="n">
        <f aca="false">COUNTIFS(임대자산!$I:$I,가맹점정보!F1784,임대자산!$N:$N,가맹점정보!P$4)</f>
        <v>0</v>
      </c>
      <c r="Q1784" s="80" t="n">
        <f aca="false">COUNTIFS(임대자산!$I:$I,가맹점정보!F1784,임대자산!$N:$N,가맹점정보!Q$4)</f>
        <v>0</v>
      </c>
      <c r="R1784" s="81" t="n">
        <f aca="false">COUNTIFS(임대자산!$I:$I,가맹점정보!F1784,임대자산!$N:$N,가맹점정보!R$4)</f>
        <v>1</v>
      </c>
      <c r="S1784" s="82" t="n">
        <v>55000</v>
      </c>
      <c r="T1784" s="83" t="n">
        <v>0</v>
      </c>
      <c r="U1784" s="80" t="n">
        <f aca="false">SUM(S1784:T1784)</f>
        <v>55000</v>
      </c>
      <c r="V1784" s="84" t="s">
        <v>7</v>
      </c>
      <c r="W1784" s="80" t="str">
        <f aca="true">
IF(D1784="폐업","폐업",
IF(V1784="면제","면제",
IF(AND(V1784="정상",COUNTIFS(OFFSET(Y1784,0,COUNTA(Y1784:AV1784)-1,1,-4),"미납")&gt;=3),"장기미납",
IF(AND(V1784="정상",OFFSET(Y1784,0,COUNTA(Y1784:AV1784)-1)&gt;=U1784),"정상",
IF(AND(V1784="정상",OFFSET(Y1784,0,COUNTA(Y1784:AV1784)-1)=0),"정상",
"계약서 미작성")))))</f>
        <v>면제</v>
      </c>
      <c r="X1784" s="81" t="str">
        <f aca="true">
IF(D1784="폐업","폐업",
IF(AND(V1784="정상",OFFSET(Y1784,0,COUNTA(Y1784:AV1784)-1)="미납"),"미납",
IF(AND(V1784="정상",OFFSET(Y1784,0,COUNTA(Y1784:AV1784)-1)=0),"납부 시작 전",
IF(AND(V1784="정상",OFFSET(Y1784,0,COUNTA(Y1784:AV1784)-1)&gt;=U1784),"정상",
IF(AND(V1784="면제",OFFSET(Y1784,0,COUNTA(Y1784:AV1784)-1)="면제"),"면제",
IF(AND(V1784="면제",OFFSET(Y1784,0,COUNTA(Y1784:AV1784)-1)=0),"면제",
"확인요청"))))))</f>
        <v>면제</v>
      </c>
      <c r="Y1784" s="94" t="s">
        <v>7</v>
      </c>
      <c r="Z1784" s="95" t="s">
        <v>7</v>
      </c>
      <c r="AA1784" s="95" t="s">
        <v>7</v>
      </c>
      <c r="AB1784" s="95" t="s">
        <v>7</v>
      </c>
      <c r="AC1784" s="95" t="s">
        <v>7</v>
      </c>
      <c r="AD1784" s="95" t="s">
        <v>7</v>
      </c>
      <c r="AE1784" s="95" t="s">
        <v>7</v>
      </c>
      <c r="AF1784" s="95" t="s">
        <v>7</v>
      </c>
      <c r="AG1784" s="95" t="s">
        <v>7</v>
      </c>
      <c r="AH1784" s="95" t="s">
        <v>7</v>
      </c>
      <c r="AI1784" s="95" t="s">
        <v>7</v>
      </c>
      <c r="AJ1784" s="96" t="s">
        <v>7</v>
      </c>
      <c r="AK1784" s="97" t="s">
        <v>7</v>
      </c>
      <c r="AL1784" s="95" t="s">
        <v>7</v>
      </c>
      <c r="AM1784" s="90"/>
      <c r="AN1784" s="90"/>
      <c r="AO1784" s="90"/>
      <c r="AP1784" s="90"/>
      <c r="AQ1784" s="90"/>
      <c r="AR1784" s="90"/>
      <c r="AS1784" s="90"/>
      <c r="AT1784" s="90"/>
      <c r="AU1784" s="90"/>
      <c r="AV1784" s="91"/>
      <c r="AX1784" s="92"/>
    </row>
    <row r="1785" customFormat="false" ht="15.65" hidden="false" customHeight="false" outlineLevel="0" collapsed="false">
      <c r="C1785" s="72" t="n">
        <f aca="false">COUNTIFS($D$6:D1785,"&lt;&gt;"&amp;"")</f>
        <v>1780</v>
      </c>
      <c r="D1785" s="73" t="s">
        <v>12</v>
      </c>
      <c r="E1785" s="76" t="str">
        <f aca="false">
IF($D1785="정상",INDEX(임대자산!$D$3:$R$3000,MATCH($F1785,임대자산!$I$3:$I$3000,0),MATCH(E$3,임대자산!$D$3:$R$3,0)),
IF($D1785="폐업",INDEX(폐업정보!$D$3:$R$3000,MATCH($F1785,폐업정보!$I$3:$I$3000,0),MATCH(E$3,폐업정보!$D$3:$R$3,0)),
"Error"))</f>
        <v>경기</v>
      </c>
      <c r="F178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B1780</v>
      </c>
      <c r="G1785" s="76" t="str">
        <f aca="false">F1785&amp;RANDBETWEEN(0,10)</f>
        <v>B17803</v>
      </c>
      <c r="H1785" s="75" t="n">
        <f aca="false">
IF($D1785="정상",INDEX(임대자산!$D$3:$R$3000,MATCH($F1785,임대자산!$I$3:$I$3000,0),MATCH(H$4,임대자산!$D$3:$R$3,0)),
IF($D1785="폐업",INDEX(폐업정보!$D$3:$R$3000,MATCH($F1785,폐업정보!$I$3:$I$3000,0),MATCH(H$4,폐업정보!$D$3:$R$3,0)),
"Error"))</f>
        <v>45873</v>
      </c>
      <c r="I1785" s="75" t="str">
        <f aca="false">
IF($D1785="정상",INDEX(임대자산!$D$3:$R$3000,MATCH($F1785,임대자산!$I$3:$I$3000,0),MATCH(I$4,임대자산!$D$3:$R$3,0)),
IF($D1785="폐업",INDEX(폐업정보!$D$3:$R$3000,MATCH($F1785,폐업정보!$I$3:$I$3000,0),MATCH(I$4,폐업정보!$D$3:$R$3,0)),
"Error"))</f>
        <v>A1780</v>
      </c>
      <c r="J1785" s="75" t="str">
        <f aca="false">
IF($D1785="정상",INDEX(임대자산!$D$3:$R$3000,MATCH($F1785,임대자산!$I$3:$I$3000,0),MATCH(J$4,임대자산!$D$3:$R$3,0)),
IF($D1785="폐업",INDEX(폐업정보!$D$3:$R$3000,MATCH($F1785,폐업정보!$I$3:$I$3000,0),MATCH(J$4,폐업정보!$D$3:$R$3,0)),
"Error"))</f>
        <v>9672900000</v>
      </c>
      <c r="K1785" s="75" t="str">
        <f aca="false">
IF($D1785="정상",INDEX(임대자산!$D$3:$R$3000,MATCH($F1785,임대자산!$I$3:$I$3000,0),MATCH(K$4,임대자산!$D$3:$R$3,0)),
IF($D1785="폐업",INDEX(폐업정보!$D$3:$R$3000,MATCH($F1785,폐업정보!$I$3:$I$3000,0),MATCH(K$4,폐업정보!$D$3:$R$3,0)),
"Error"))</f>
        <v>C1780</v>
      </c>
      <c r="L1785" s="75" t="str">
        <f aca="false">
IF($D1785="정상",INDEX(임대자산!$D$3:$R$3000,MATCH($F1785,임대자산!$I$3:$I$3000,0),MATCH(L$4,임대자산!$D$3:$R$3,0)),
IF($D1785="폐업",INDEX(폐업정보!$D$3:$R$3000,MATCH($F1785,폐업정보!$I$3:$I$3000,0),MATCH(L$4,폐업정보!$D$3:$R$3,0)),
"Error"))</f>
        <v>D1780</v>
      </c>
      <c r="M1785" s="76" t="s">
        <v>96</v>
      </c>
      <c r="N1785" s="77"/>
      <c r="O1785" s="78" t="s">
        <v>97</v>
      </c>
      <c r="P1785" s="79" t="n">
        <f aca="false">COUNTIFS(임대자산!$I:$I,가맹점정보!F1785,임대자산!$N:$N,가맹점정보!P$4)</f>
        <v>0</v>
      </c>
      <c r="Q1785" s="80" t="n">
        <f aca="false">COUNTIFS(임대자산!$I:$I,가맹점정보!F1785,임대자산!$N:$N,가맹점정보!Q$4)</f>
        <v>0</v>
      </c>
      <c r="R1785" s="81" t="n">
        <f aca="false">COUNTIFS(임대자산!$I:$I,가맹점정보!F1785,임대자산!$N:$N,가맹점정보!R$4)</f>
        <v>1</v>
      </c>
      <c r="S1785" s="82" t="n">
        <v>55000</v>
      </c>
      <c r="T1785" s="83" t="n">
        <v>0</v>
      </c>
      <c r="U1785" s="80" t="n">
        <f aca="false">SUM(S1785:T1785)</f>
        <v>55000</v>
      </c>
      <c r="V1785" s="84" t="s">
        <v>7</v>
      </c>
      <c r="W1785" s="80" t="str">
        <f aca="true">
IF(D1785="폐업","폐업",
IF(V1785="면제","면제",
IF(AND(V1785="정상",COUNTIFS(OFFSET(Y1785,0,COUNTA(Y1785:AV1785)-1,1,-4),"미납")&gt;=3),"장기미납",
IF(AND(V1785="정상",OFFSET(Y1785,0,COUNTA(Y1785:AV1785)-1)&gt;=U1785),"정상",
IF(AND(V1785="정상",OFFSET(Y1785,0,COUNTA(Y1785:AV1785)-1)=0),"정상",
"계약서 미작성")))))</f>
        <v>면제</v>
      </c>
      <c r="X1785" s="81" t="str">
        <f aca="true">
IF(D1785="폐업","폐업",
IF(AND(V1785="정상",OFFSET(Y1785,0,COUNTA(Y1785:AV1785)-1)="미납"),"미납",
IF(AND(V1785="정상",OFFSET(Y1785,0,COUNTA(Y1785:AV1785)-1)=0),"납부 시작 전",
IF(AND(V1785="정상",OFFSET(Y1785,0,COUNTA(Y1785:AV1785)-1)&gt;=U1785),"정상",
IF(AND(V1785="면제",OFFSET(Y1785,0,COUNTA(Y1785:AV1785)-1)="면제"),"면제",
IF(AND(V1785="면제",OFFSET(Y1785,0,COUNTA(Y1785:AV1785)-1)=0),"면제",
"확인요청"))))))</f>
        <v>면제</v>
      </c>
      <c r="Y1785" s="94" t="s">
        <v>7</v>
      </c>
      <c r="Z1785" s="95" t="s">
        <v>7</v>
      </c>
      <c r="AA1785" s="95" t="s">
        <v>7</v>
      </c>
      <c r="AB1785" s="95" t="s">
        <v>7</v>
      </c>
      <c r="AC1785" s="95" t="s">
        <v>7</v>
      </c>
      <c r="AD1785" s="95" t="s">
        <v>7</v>
      </c>
      <c r="AE1785" s="95" t="s">
        <v>7</v>
      </c>
      <c r="AF1785" s="95" t="s">
        <v>7</v>
      </c>
      <c r="AG1785" s="95" t="s">
        <v>7</v>
      </c>
      <c r="AH1785" s="95" t="s">
        <v>7</v>
      </c>
      <c r="AI1785" s="95" t="s">
        <v>7</v>
      </c>
      <c r="AJ1785" s="96" t="s">
        <v>7</v>
      </c>
      <c r="AK1785" s="97" t="s">
        <v>7</v>
      </c>
      <c r="AL1785" s="95" t="s">
        <v>7</v>
      </c>
      <c r="AM1785" s="90"/>
      <c r="AN1785" s="90"/>
      <c r="AO1785" s="90"/>
      <c r="AP1785" s="90"/>
      <c r="AQ1785" s="90"/>
      <c r="AR1785" s="90"/>
      <c r="AS1785" s="90"/>
      <c r="AT1785" s="90"/>
      <c r="AU1785" s="90"/>
      <c r="AV1785" s="91"/>
      <c r="AX1785" s="92"/>
    </row>
    <row r="1786" customFormat="false" ht="15.65" hidden="false" customHeight="false" outlineLevel="0" collapsed="false">
      <c r="C1786" s="72" t="n">
        <f aca="false">COUNTIFS($D$6:D1786,"&lt;&gt;"&amp;"")</f>
        <v>1781</v>
      </c>
      <c r="D1786" s="73" t="s">
        <v>12</v>
      </c>
      <c r="E1786" s="76" t="str">
        <f aca="false">
IF($D1786="정상",INDEX(임대자산!$D$3:$R$3000,MATCH($F1786,임대자산!$I$3:$I$3000,0),MATCH(E$3,임대자산!$D$3:$R$3,0)),
IF($D1786="폐업",INDEX(폐업정보!$D$3:$R$3000,MATCH($F1786,폐업정보!$I$3:$I$3000,0),MATCH(E$3,폐업정보!$D$3:$R$3,0)),
"Error"))</f>
        <v>경기</v>
      </c>
      <c r="F178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B1781</v>
      </c>
      <c r="G1786" s="76" t="str">
        <f aca="false">F1786&amp;RANDBETWEEN(0,10)</f>
        <v>B178110</v>
      </c>
      <c r="H1786" s="75" t="n">
        <f aca="false">
IF($D1786="정상",INDEX(임대자산!$D$3:$R$3000,MATCH($F1786,임대자산!$I$3:$I$3000,0),MATCH(H$4,임대자산!$D$3:$R$3,0)),
IF($D1786="폐업",INDEX(폐업정보!$D$3:$R$3000,MATCH($F1786,폐업정보!$I$3:$I$3000,0),MATCH(H$4,폐업정보!$D$3:$R$3,0)),
"Error"))</f>
        <v>45866</v>
      </c>
      <c r="I1786" s="75" t="str">
        <f aca="false">
IF($D1786="정상",INDEX(임대자산!$D$3:$R$3000,MATCH($F1786,임대자산!$I$3:$I$3000,0),MATCH(I$4,임대자산!$D$3:$R$3,0)),
IF($D1786="폐업",INDEX(폐업정보!$D$3:$R$3000,MATCH($F1786,폐업정보!$I$3:$I$3000,0),MATCH(I$4,폐업정보!$D$3:$R$3,0)),
"Error"))</f>
        <v>A1781</v>
      </c>
      <c r="J1786" s="75" t="str">
        <f aca="false">
IF($D1786="정상",INDEX(임대자산!$D$3:$R$3000,MATCH($F1786,임대자산!$I$3:$I$3000,0),MATCH(J$4,임대자산!$D$3:$R$3,0)),
IF($D1786="폐업",INDEX(폐업정보!$D$3:$R$3000,MATCH($F1786,폐업정보!$I$3:$I$3000,0),MATCH(J$4,폐업정보!$D$3:$R$3,0)),
"Error"))</f>
        <v>2498800000</v>
      </c>
      <c r="K1786" s="75" t="str">
        <f aca="false">
IF($D1786="정상",INDEX(임대자산!$D$3:$R$3000,MATCH($F1786,임대자산!$I$3:$I$3000,0),MATCH(K$4,임대자산!$D$3:$R$3,0)),
IF($D1786="폐업",INDEX(폐업정보!$D$3:$R$3000,MATCH($F1786,폐업정보!$I$3:$I$3000,0),MATCH(K$4,폐업정보!$D$3:$R$3,0)),
"Error"))</f>
        <v>C1781</v>
      </c>
      <c r="L1786" s="75" t="str">
        <f aca="false">
IF($D1786="정상",INDEX(임대자산!$D$3:$R$3000,MATCH($F1786,임대자산!$I$3:$I$3000,0),MATCH(L$4,임대자산!$D$3:$R$3,0)),
IF($D1786="폐업",INDEX(폐업정보!$D$3:$R$3000,MATCH($F1786,폐업정보!$I$3:$I$3000,0),MATCH(L$4,폐업정보!$D$3:$R$3,0)),
"Error"))</f>
        <v>D1781</v>
      </c>
      <c r="M1786" s="76" t="s">
        <v>96</v>
      </c>
      <c r="N1786" s="77"/>
      <c r="O1786" s="78" t="s">
        <v>97</v>
      </c>
      <c r="P1786" s="79" t="n">
        <f aca="false">COUNTIFS(임대자산!$I:$I,가맹점정보!F1786,임대자산!$N:$N,가맹점정보!P$4)</f>
        <v>0</v>
      </c>
      <c r="Q1786" s="80" t="n">
        <f aca="false">COUNTIFS(임대자산!$I:$I,가맹점정보!F1786,임대자산!$N:$N,가맹점정보!Q$4)</f>
        <v>0</v>
      </c>
      <c r="R1786" s="81" t="n">
        <f aca="false">COUNTIFS(임대자산!$I:$I,가맹점정보!F1786,임대자산!$N:$N,가맹점정보!R$4)</f>
        <v>1</v>
      </c>
      <c r="S1786" s="82" t="n">
        <v>55000</v>
      </c>
      <c r="T1786" s="83" t="n">
        <v>0</v>
      </c>
      <c r="U1786" s="80" t="n">
        <f aca="false">SUM(S1786:T1786)</f>
        <v>55000</v>
      </c>
      <c r="V1786" s="84" t="s">
        <v>7</v>
      </c>
      <c r="W1786" s="80" t="str">
        <f aca="true">
IF(D1786="폐업","폐업",
IF(V1786="면제","면제",
IF(AND(V1786="정상",COUNTIFS(OFFSET(Y1786,0,COUNTA(Y1786:AV1786)-1,1,-4),"미납")&gt;=3),"장기미납",
IF(AND(V1786="정상",OFFSET(Y1786,0,COUNTA(Y1786:AV1786)-1)&gt;=U1786),"정상",
IF(AND(V1786="정상",OFFSET(Y1786,0,COUNTA(Y1786:AV1786)-1)=0),"정상",
"계약서 미작성")))))</f>
        <v>면제</v>
      </c>
      <c r="X1786" s="81" t="str">
        <f aca="true">
IF(D1786="폐업","폐업",
IF(AND(V1786="정상",OFFSET(Y1786,0,COUNTA(Y1786:AV1786)-1)="미납"),"미납",
IF(AND(V1786="정상",OFFSET(Y1786,0,COUNTA(Y1786:AV1786)-1)=0),"납부 시작 전",
IF(AND(V1786="정상",OFFSET(Y1786,0,COUNTA(Y1786:AV1786)-1)&gt;=U1786),"정상",
IF(AND(V1786="면제",OFFSET(Y1786,0,COUNTA(Y1786:AV1786)-1)="면제"),"면제",
IF(AND(V1786="면제",OFFSET(Y1786,0,COUNTA(Y1786:AV1786)-1)=0),"면제",
"확인요청"))))))</f>
        <v>면제</v>
      </c>
      <c r="Y1786" s="94" t="s">
        <v>7</v>
      </c>
      <c r="Z1786" s="95" t="s">
        <v>7</v>
      </c>
      <c r="AA1786" s="95" t="s">
        <v>7</v>
      </c>
      <c r="AB1786" s="95" t="s">
        <v>7</v>
      </c>
      <c r="AC1786" s="95" t="s">
        <v>7</v>
      </c>
      <c r="AD1786" s="95" t="s">
        <v>7</v>
      </c>
      <c r="AE1786" s="95" t="s">
        <v>7</v>
      </c>
      <c r="AF1786" s="95" t="s">
        <v>7</v>
      </c>
      <c r="AG1786" s="95" t="s">
        <v>7</v>
      </c>
      <c r="AH1786" s="95" t="s">
        <v>7</v>
      </c>
      <c r="AI1786" s="95" t="s">
        <v>7</v>
      </c>
      <c r="AJ1786" s="96" t="s">
        <v>7</v>
      </c>
      <c r="AK1786" s="97" t="s">
        <v>7</v>
      </c>
      <c r="AL1786" s="95" t="s">
        <v>7</v>
      </c>
      <c r="AM1786" s="90"/>
      <c r="AN1786" s="90"/>
      <c r="AO1786" s="90"/>
      <c r="AP1786" s="90"/>
      <c r="AQ1786" s="90"/>
      <c r="AR1786" s="90"/>
      <c r="AS1786" s="90"/>
      <c r="AT1786" s="90"/>
      <c r="AU1786" s="90"/>
      <c r="AV1786" s="91"/>
      <c r="AX1786" s="92"/>
    </row>
    <row r="1787" customFormat="false" ht="15.65" hidden="false" customHeight="false" outlineLevel="0" collapsed="false">
      <c r="C1787" s="72" t="n">
        <f aca="false">COUNTIFS($D$6:D1787,"&lt;&gt;"&amp;"")</f>
        <v>1782</v>
      </c>
      <c r="D1787" s="73" t="s">
        <v>12</v>
      </c>
      <c r="E1787" s="76" t="str">
        <f aca="false">
IF($D1787="정상",INDEX(임대자산!$D$3:$R$3000,MATCH($F1787,임대자산!$I$3:$I$3000,0),MATCH(E$3,임대자산!$D$3:$R$3,0)),
IF($D1787="폐업",INDEX(폐업정보!$D$3:$R$3000,MATCH($F1787,폐업정보!$I$3:$I$3000,0),MATCH(E$3,폐업정보!$D$3:$R$3,0)),
"Error"))</f>
        <v>전라</v>
      </c>
      <c r="F178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B1782</v>
      </c>
      <c r="G1787" s="76" t="str">
        <f aca="false">F1787&amp;RANDBETWEEN(0,10)</f>
        <v>B17829</v>
      </c>
      <c r="H1787" s="75" t="n">
        <f aca="false">
IF($D1787="정상",INDEX(임대자산!$D$3:$R$3000,MATCH($F1787,임대자산!$I$3:$I$3000,0),MATCH(H$4,임대자산!$D$3:$R$3,0)),
IF($D1787="폐업",INDEX(폐업정보!$D$3:$R$3000,MATCH($F1787,폐업정보!$I$3:$I$3000,0),MATCH(H$4,폐업정보!$D$3:$R$3,0)),
"Error"))</f>
        <v>45869</v>
      </c>
      <c r="I1787" s="75" t="str">
        <f aca="false">
IF($D1787="정상",INDEX(임대자산!$D$3:$R$3000,MATCH($F1787,임대자산!$I$3:$I$3000,0),MATCH(I$4,임대자산!$D$3:$R$3,0)),
IF($D1787="폐업",INDEX(폐업정보!$D$3:$R$3000,MATCH($F1787,폐업정보!$I$3:$I$3000,0),MATCH(I$4,폐업정보!$D$3:$R$3,0)),
"Error"))</f>
        <v>A1782</v>
      </c>
      <c r="J1787" s="75" t="str">
        <f aca="false">
IF($D1787="정상",INDEX(임대자산!$D$3:$R$3000,MATCH($F1787,임대자산!$I$3:$I$3000,0),MATCH(J$4,임대자산!$D$3:$R$3,0)),
IF($D1787="폐업",INDEX(폐업정보!$D$3:$R$3000,MATCH($F1787,폐업정보!$I$3:$I$3000,0),MATCH(J$4,폐업정보!$D$3:$R$3,0)),
"Error"))</f>
        <v>3531200000</v>
      </c>
      <c r="K1787" s="75" t="str">
        <f aca="false">
IF($D1787="정상",INDEX(임대자산!$D$3:$R$3000,MATCH($F1787,임대자산!$I$3:$I$3000,0),MATCH(K$4,임대자산!$D$3:$R$3,0)),
IF($D1787="폐업",INDEX(폐업정보!$D$3:$R$3000,MATCH($F1787,폐업정보!$I$3:$I$3000,0),MATCH(K$4,폐업정보!$D$3:$R$3,0)),
"Error"))</f>
        <v>C1782</v>
      </c>
      <c r="L1787" s="75" t="str">
        <f aca="false">
IF($D1787="정상",INDEX(임대자산!$D$3:$R$3000,MATCH($F1787,임대자산!$I$3:$I$3000,0),MATCH(L$4,임대자산!$D$3:$R$3,0)),
IF($D1787="폐업",INDEX(폐업정보!$D$3:$R$3000,MATCH($F1787,폐업정보!$I$3:$I$3000,0),MATCH(L$4,폐업정보!$D$3:$R$3,0)),
"Error"))</f>
        <v>D1782</v>
      </c>
      <c r="M1787" s="76" t="s">
        <v>96</v>
      </c>
      <c r="N1787" s="77"/>
      <c r="O1787" s="78" t="s">
        <v>97</v>
      </c>
      <c r="P1787" s="79" t="n">
        <f aca="false">COUNTIFS(임대자산!$I:$I,가맹점정보!F1787,임대자산!$N:$N,가맹점정보!P$4)</f>
        <v>0</v>
      </c>
      <c r="Q1787" s="80" t="n">
        <f aca="false">COUNTIFS(임대자산!$I:$I,가맹점정보!F1787,임대자산!$N:$N,가맹점정보!Q$4)</f>
        <v>0</v>
      </c>
      <c r="R1787" s="81" t="n">
        <f aca="false">COUNTIFS(임대자산!$I:$I,가맹점정보!F1787,임대자산!$N:$N,가맹점정보!R$4)</f>
        <v>1</v>
      </c>
      <c r="S1787" s="82" t="n">
        <v>88000</v>
      </c>
      <c r="T1787" s="83" t="n">
        <v>0</v>
      </c>
      <c r="U1787" s="80" t="n">
        <f aca="false">SUM(S1787:T1787)</f>
        <v>88000</v>
      </c>
      <c r="V1787" s="84" t="s">
        <v>7</v>
      </c>
      <c r="W1787" s="80" t="str">
        <f aca="true">
IF(D1787="폐업","폐업",
IF(V1787="면제","면제",
IF(AND(V1787="정상",COUNTIFS(OFFSET(Y1787,0,COUNTA(Y1787:AV1787)-1,1,-4),"미납")&gt;=3),"장기미납",
IF(AND(V1787="정상",OFFSET(Y1787,0,COUNTA(Y1787:AV1787)-1)&gt;=U1787),"정상",
IF(AND(V1787="정상",OFFSET(Y1787,0,COUNTA(Y1787:AV1787)-1)=0),"정상",
"계약서 미작성")))))</f>
        <v>면제</v>
      </c>
      <c r="X1787" s="81" t="str">
        <f aca="true">
IF(D1787="폐업","폐업",
IF(AND(V1787="정상",OFFSET(Y1787,0,COUNTA(Y1787:AV1787)-1)="미납"),"미납",
IF(AND(V1787="정상",OFFSET(Y1787,0,COUNTA(Y1787:AV1787)-1)=0),"납부 시작 전",
IF(AND(V1787="정상",OFFSET(Y1787,0,COUNTA(Y1787:AV1787)-1)&gt;=U1787),"정상",
IF(AND(V1787="면제",OFFSET(Y1787,0,COUNTA(Y1787:AV1787)-1)="면제"),"면제",
IF(AND(V1787="면제",OFFSET(Y1787,0,COUNTA(Y1787:AV1787)-1)=0),"면제",
"확인요청"))))))</f>
        <v>면제</v>
      </c>
      <c r="Y1787" s="94" t="s">
        <v>7</v>
      </c>
      <c r="Z1787" s="95" t="s">
        <v>7</v>
      </c>
      <c r="AA1787" s="95" t="s">
        <v>7</v>
      </c>
      <c r="AB1787" s="95" t="s">
        <v>7</v>
      </c>
      <c r="AC1787" s="95" t="s">
        <v>7</v>
      </c>
      <c r="AD1787" s="95" t="s">
        <v>7</v>
      </c>
      <c r="AE1787" s="95" t="s">
        <v>7</v>
      </c>
      <c r="AF1787" s="95" t="s">
        <v>7</v>
      </c>
      <c r="AG1787" s="95" t="s">
        <v>7</v>
      </c>
      <c r="AH1787" s="95" t="s">
        <v>7</v>
      </c>
      <c r="AI1787" s="95" t="s">
        <v>7</v>
      </c>
      <c r="AJ1787" s="96" t="s">
        <v>7</v>
      </c>
      <c r="AK1787" s="97" t="s">
        <v>7</v>
      </c>
      <c r="AL1787" s="95" t="s">
        <v>7</v>
      </c>
      <c r="AM1787" s="90"/>
      <c r="AN1787" s="90"/>
      <c r="AO1787" s="90"/>
      <c r="AP1787" s="90"/>
      <c r="AQ1787" s="90"/>
      <c r="AR1787" s="90"/>
      <c r="AS1787" s="90"/>
      <c r="AT1787" s="90"/>
      <c r="AU1787" s="90"/>
      <c r="AV1787" s="91"/>
      <c r="AX1787" s="92"/>
    </row>
    <row r="1788" customFormat="false" ht="15.65" hidden="false" customHeight="false" outlineLevel="0" collapsed="false">
      <c r="C1788" s="72" t="n">
        <f aca="false">COUNTIFS($D$6:D1788,"&lt;&gt;"&amp;"")</f>
        <v>1783</v>
      </c>
      <c r="D1788" s="73" t="s">
        <v>12</v>
      </c>
      <c r="E1788" s="76" t="str">
        <f aca="false">
IF($D1788="정상",INDEX(임대자산!$D$3:$R$3000,MATCH($F1788,임대자산!$I$3:$I$3000,0),MATCH(E$3,임대자산!$D$3:$R$3,0)),
IF($D1788="폐업",INDEX(폐업정보!$D$3:$R$3000,MATCH($F1788,폐업정보!$I$3:$I$3000,0),MATCH(E$3,폐업정보!$D$3:$R$3,0)),
"Error"))</f>
        <v>전라</v>
      </c>
      <c r="F178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B1783</v>
      </c>
      <c r="G1788" s="76" t="str">
        <f aca="false">F1788&amp;RANDBETWEEN(0,10)</f>
        <v>B17831</v>
      </c>
      <c r="H1788" s="75" t="n">
        <f aca="false">
IF($D1788="정상",INDEX(임대자산!$D$3:$R$3000,MATCH($F1788,임대자산!$I$3:$I$3000,0),MATCH(H$4,임대자산!$D$3:$R$3,0)),
IF($D1788="폐업",INDEX(폐업정보!$D$3:$R$3000,MATCH($F1788,폐업정보!$I$3:$I$3000,0),MATCH(H$4,폐업정보!$D$3:$R$3,0)),
"Error"))</f>
        <v>45869</v>
      </c>
      <c r="I1788" s="75" t="str">
        <f aca="false">
IF($D1788="정상",INDEX(임대자산!$D$3:$R$3000,MATCH($F1788,임대자산!$I$3:$I$3000,0),MATCH(I$4,임대자산!$D$3:$R$3,0)),
IF($D1788="폐업",INDEX(폐업정보!$D$3:$R$3000,MATCH($F1788,폐업정보!$I$3:$I$3000,0),MATCH(I$4,폐업정보!$D$3:$R$3,0)),
"Error"))</f>
        <v>A1783</v>
      </c>
      <c r="J1788" s="75" t="str">
        <f aca="false">
IF($D1788="정상",INDEX(임대자산!$D$3:$R$3000,MATCH($F1788,임대자산!$I$3:$I$3000,0),MATCH(J$4,임대자산!$D$3:$R$3,0)),
IF($D1788="폐업",INDEX(폐업정보!$D$3:$R$3000,MATCH($F1788,폐업정보!$I$3:$I$3000,0),MATCH(J$4,폐업정보!$D$3:$R$3,0)),
"Error"))</f>
        <v>1221100000</v>
      </c>
      <c r="K1788" s="75" t="str">
        <f aca="false">
IF($D1788="정상",INDEX(임대자산!$D$3:$R$3000,MATCH($F1788,임대자산!$I$3:$I$3000,0),MATCH(K$4,임대자산!$D$3:$R$3,0)),
IF($D1788="폐업",INDEX(폐업정보!$D$3:$R$3000,MATCH($F1788,폐업정보!$I$3:$I$3000,0),MATCH(K$4,폐업정보!$D$3:$R$3,0)),
"Error"))</f>
        <v>C1783</v>
      </c>
      <c r="L1788" s="75" t="str">
        <f aca="false">
IF($D1788="정상",INDEX(임대자산!$D$3:$R$3000,MATCH($F1788,임대자산!$I$3:$I$3000,0),MATCH(L$4,임대자산!$D$3:$R$3,0)),
IF($D1788="폐업",INDEX(폐업정보!$D$3:$R$3000,MATCH($F1788,폐업정보!$I$3:$I$3000,0),MATCH(L$4,폐업정보!$D$3:$R$3,0)),
"Error"))</f>
        <v>D1783</v>
      </c>
      <c r="M1788" s="76" t="s">
        <v>96</v>
      </c>
      <c r="N1788" s="77"/>
      <c r="O1788" s="78" t="s">
        <v>97</v>
      </c>
      <c r="P1788" s="79" t="n">
        <f aca="false">COUNTIFS(임대자산!$I:$I,가맹점정보!F1788,임대자산!$N:$N,가맹점정보!P$4)</f>
        <v>0</v>
      </c>
      <c r="Q1788" s="80" t="n">
        <f aca="false">COUNTIFS(임대자산!$I:$I,가맹점정보!F1788,임대자산!$N:$N,가맹점정보!Q$4)</f>
        <v>0</v>
      </c>
      <c r="R1788" s="81" t="n">
        <f aca="false">COUNTIFS(임대자산!$I:$I,가맹점정보!F1788,임대자산!$N:$N,가맹점정보!R$4)</f>
        <v>1</v>
      </c>
      <c r="S1788" s="82" t="n">
        <v>88000</v>
      </c>
      <c r="T1788" s="83" t="n">
        <v>0</v>
      </c>
      <c r="U1788" s="80" t="n">
        <f aca="false">SUM(S1788:T1788)</f>
        <v>88000</v>
      </c>
      <c r="V1788" s="84" t="s">
        <v>7</v>
      </c>
      <c r="W1788" s="80" t="str">
        <f aca="true">
IF(D1788="폐업","폐업",
IF(V1788="면제","면제",
IF(AND(V1788="정상",COUNTIFS(OFFSET(Y1788,0,COUNTA(Y1788:AV1788)-1,1,-4),"미납")&gt;=3),"장기미납",
IF(AND(V1788="정상",OFFSET(Y1788,0,COUNTA(Y1788:AV1788)-1)&gt;=U1788),"정상",
IF(AND(V1788="정상",OFFSET(Y1788,0,COUNTA(Y1788:AV1788)-1)=0),"정상",
"계약서 미작성")))))</f>
        <v>면제</v>
      </c>
      <c r="X1788" s="81" t="str">
        <f aca="true">
IF(D1788="폐업","폐업",
IF(AND(V1788="정상",OFFSET(Y1788,0,COUNTA(Y1788:AV1788)-1)="미납"),"미납",
IF(AND(V1788="정상",OFFSET(Y1788,0,COUNTA(Y1788:AV1788)-1)=0),"납부 시작 전",
IF(AND(V1788="정상",OFFSET(Y1788,0,COUNTA(Y1788:AV1788)-1)&gt;=U1788),"정상",
IF(AND(V1788="면제",OFFSET(Y1788,0,COUNTA(Y1788:AV1788)-1)="면제"),"면제",
IF(AND(V1788="면제",OFFSET(Y1788,0,COUNTA(Y1788:AV1788)-1)=0),"면제",
"확인요청"))))))</f>
        <v>면제</v>
      </c>
      <c r="Y1788" s="94" t="s">
        <v>7</v>
      </c>
      <c r="Z1788" s="95" t="s">
        <v>7</v>
      </c>
      <c r="AA1788" s="95" t="s">
        <v>7</v>
      </c>
      <c r="AB1788" s="95" t="s">
        <v>7</v>
      </c>
      <c r="AC1788" s="95" t="s">
        <v>7</v>
      </c>
      <c r="AD1788" s="95" t="s">
        <v>7</v>
      </c>
      <c r="AE1788" s="95" t="s">
        <v>7</v>
      </c>
      <c r="AF1788" s="95" t="s">
        <v>7</v>
      </c>
      <c r="AG1788" s="95" t="s">
        <v>7</v>
      </c>
      <c r="AH1788" s="95" t="s">
        <v>7</v>
      </c>
      <c r="AI1788" s="95" t="s">
        <v>7</v>
      </c>
      <c r="AJ1788" s="96" t="s">
        <v>7</v>
      </c>
      <c r="AK1788" s="97" t="s">
        <v>7</v>
      </c>
      <c r="AL1788" s="95" t="s">
        <v>7</v>
      </c>
      <c r="AM1788" s="90"/>
      <c r="AN1788" s="90"/>
      <c r="AO1788" s="90"/>
      <c r="AP1788" s="90"/>
      <c r="AQ1788" s="90"/>
      <c r="AR1788" s="90"/>
      <c r="AS1788" s="90"/>
      <c r="AT1788" s="90"/>
      <c r="AU1788" s="90"/>
      <c r="AV1788" s="91"/>
      <c r="AX1788" s="92"/>
    </row>
    <row r="1789" customFormat="false" ht="15.65" hidden="false" customHeight="false" outlineLevel="0" collapsed="false">
      <c r="C1789" s="72" t="n">
        <f aca="false">COUNTIFS($D$6:D1789,"&lt;&gt;"&amp;"")</f>
        <v>1784</v>
      </c>
      <c r="D1789" s="73" t="s">
        <v>12</v>
      </c>
      <c r="E1789" s="76" t="str">
        <f aca="false">
IF($D1789="정상",INDEX(임대자산!$D$3:$R$3000,MATCH($F1789,임대자산!$I$3:$I$3000,0),MATCH(E$3,임대자산!$D$3:$R$3,0)),
IF($D1789="폐업",INDEX(폐업정보!$D$3:$R$3000,MATCH($F1789,폐업정보!$I$3:$I$3000,0),MATCH(E$3,폐업정보!$D$3:$R$3,0)),
"Error"))</f>
        <v>서울</v>
      </c>
      <c r="F178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B1784</v>
      </c>
      <c r="G1789" s="76" t="str">
        <f aca="false">F1789&amp;RANDBETWEEN(0,10)</f>
        <v>B17844</v>
      </c>
      <c r="H1789" s="75" t="n">
        <f aca="false">
IF($D1789="정상",INDEX(임대자산!$D$3:$R$3000,MATCH($F1789,임대자산!$I$3:$I$3000,0),MATCH(H$4,임대자산!$D$3:$R$3,0)),
IF($D1789="폐업",INDEX(폐업정보!$D$3:$R$3000,MATCH($F1789,폐업정보!$I$3:$I$3000,0),MATCH(H$4,폐업정보!$D$3:$R$3,0)),
"Error"))</f>
        <v>45867</v>
      </c>
      <c r="I1789" s="75" t="str">
        <f aca="false">
IF($D1789="정상",INDEX(임대자산!$D$3:$R$3000,MATCH($F1789,임대자산!$I$3:$I$3000,0),MATCH(I$4,임대자산!$D$3:$R$3,0)),
IF($D1789="폐업",INDEX(폐업정보!$D$3:$R$3000,MATCH($F1789,폐업정보!$I$3:$I$3000,0),MATCH(I$4,폐업정보!$D$3:$R$3,0)),
"Error"))</f>
        <v>A1784</v>
      </c>
      <c r="J1789" s="75" t="str">
        <f aca="false">
IF($D1789="정상",INDEX(임대자산!$D$3:$R$3000,MATCH($F1789,임대자산!$I$3:$I$3000,0),MATCH(J$4,임대자산!$D$3:$R$3,0)),
IF($D1789="폐업",INDEX(폐업정보!$D$3:$R$3000,MATCH($F1789,폐업정보!$I$3:$I$3000,0),MATCH(J$4,폐업정보!$D$3:$R$3,0)),
"Error"))</f>
        <v>1991100000</v>
      </c>
      <c r="K1789" s="75" t="str">
        <f aca="false">
IF($D1789="정상",INDEX(임대자산!$D$3:$R$3000,MATCH($F1789,임대자산!$I$3:$I$3000,0),MATCH(K$4,임대자산!$D$3:$R$3,0)),
IF($D1789="폐업",INDEX(폐업정보!$D$3:$R$3000,MATCH($F1789,폐업정보!$I$3:$I$3000,0),MATCH(K$4,폐업정보!$D$3:$R$3,0)),
"Error"))</f>
        <v>C1784</v>
      </c>
      <c r="L1789" s="75" t="str">
        <f aca="false">
IF($D1789="정상",INDEX(임대자산!$D$3:$R$3000,MATCH($F1789,임대자산!$I$3:$I$3000,0),MATCH(L$4,임대자산!$D$3:$R$3,0)),
IF($D1789="폐업",INDEX(폐업정보!$D$3:$R$3000,MATCH($F1789,폐업정보!$I$3:$I$3000,0),MATCH(L$4,폐업정보!$D$3:$R$3,0)),
"Error"))</f>
        <v>D1784</v>
      </c>
      <c r="M1789" s="76" t="s">
        <v>96</v>
      </c>
      <c r="N1789" s="77"/>
      <c r="O1789" s="78" t="s">
        <v>97</v>
      </c>
      <c r="P1789" s="79" t="n">
        <f aca="false">COUNTIFS(임대자산!$I:$I,가맹점정보!F1789,임대자산!$N:$N,가맹점정보!P$4)</f>
        <v>0</v>
      </c>
      <c r="Q1789" s="80" t="n">
        <f aca="false">COUNTIFS(임대자산!$I:$I,가맹점정보!F1789,임대자산!$N:$N,가맹점정보!Q$4)</f>
        <v>0</v>
      </c>
      <c r="R1789" s="81" t="n">
        <f aca="false">COUNTIFS(임대자산!$I:$I,가맹점정보!F1789,임대자산!$N:$N,가맹점정보!R$4)</f>
        <v>1</v>
      </c>
      <c r="S1789" s="82" t="n">
        <v>88000</v>
      </c>
      <c r="T1789" s="83" t="n">
        <v>0</v>
      </c>
      <c r="U1789" s="80" t="n">
        <f aca="false">SUM(S1789:T1789)</f>
        <v>88000</v>
      </c>
      <c r="V1789" s="84" t="s">
        <v>7</v>
      </c>
      <c r="W1789" s="80" t="str">
        <f aca="true">
IF(D1789="폐업","폐업",
IF(V1789="면제","면제",
IF(AND(V1789="정상",COUNTIFS(OFFSET(Y1789,0,COUNTA(Y1789:AV1789)-1,1,-4),"미납")&gt;=3),"장기미납",
IF(AND(V1789="정상",OFFSET(Y1789,0,COUNTA(Y1789:AV1789)-1)&gt;=U1789),"정상",
IF(AND(V1789="정상",OFFSET(Y1789,0,COUNTA(Y1789:AV1789)-1)=0),"정상",
"계약서 미작성")))))</f>
        <v>면제</v>
      </c>
      <c r="X1789" s="81" t="str">
        <f aca="true">
IF(D1789="폐업","폐업",
IF(AND(V1789="정상",OFFSET(Y1789,0,COUNTA(Y1789:AV1789)-1)="미납"),"미납",
IF(AND(V1789="정상",OFFSET(Y1789,0,COUNTA(Y1789:AV1789)-1)=0),"납부 시작 전",
IF(AND(V1789="정상",OFFSET(Y1789,0,COUNTA(Y1789:AV1789)-1)&gt;=U1789),"정상",
IF(AND(V1789="면제",OFFSET(Y1789,0,COUNTA(Y1789:AV1789)-1)="면제"),"면제",
IF(AND(V1789="면제",OFFSET(Y1789,0,COUNTA(Y1789:AV1789)-1)=0),"면제",
"확인요청"))))))</f>
        <v>면제</v>
      </c>
      <c r="Y1789" s="94" t="s">
        <v>7</v>
      </c>
      <c r="Z1789" s="95" t="s">
        <v>7</v>
      </c>
      <c r="AA1789" s="95" t="s">
        <v>7</v>
      </c>
      <c r="AB1789" s="95" t="s">
        <v>7</v>
      </c>
      <c r="AC1789" s="95" t="s">
        <v>7</v>
      </c>
      <c r="AD1789" s="95" t="s">
        <v>7</v>
      </c>
      <c r="AE1789" s="95" t="s">
        <v>7</v>
      </c>
      <c r="AF1789" s="95" t="s">
        <v>7</v>
      </c>
      <c r="AG1789" s="95" t="s">
        <v>7</v>
      </c>
      <c r="AH1789" s="95" t="s">
        <v>7</v>
      </c>
      <c r="AI1789" s="95" t="s">
        <v>7</v>
      </c>
      <c r="AJ1789" s="96" t="s">
        <v>7</v>
      </c>
      <c r="AK1789" s="97" t="s">
        <v>7</v>
      </c>
      <c r="AL1789" s="95" t="s">
        <v>7</v>
      </c>
      <c r="AM1789" s="90"/>
      <c r="AN1789" s="90"/>
      <c r="AO1789" s="90"/>
      <c r="AP1789" s="90"/>
      <c r="AQ1789" s="90"/>
      <c r="AR1789" s="90"/>
      <c r="AS1789" s="90"/>
      <c r="AT1789" s="90"/>
      <c r="AU1789" s="90"/>
      <c r="AV1789" s="91"/>
      <c r="AX1789" s="92"/>
    </row>
    <row r="1790" customFormat="false" ht="15.65" hidden="false" customHeight="false" outlineLevel="0" collapsed="false">
      <c r="C1790" s="72" t="n">
        <f aca="false">COUNTIFS($D$6:D1790,"&lt;&gt;"&amp;"")</f>
        <v>1785</v>
      </c>
      <c r="D1790" s="73" t="s">
        <v>12</v>
      </c>
      <c r="E1790" s="76" t="str">
        <f aca="false">
IF($D1790="정상",INDEX(임대자산!$D$3:$R$3000,MATCH($F1790,임대자산!$I$3:$I$3000,0),MATCH(E$3,임대자산!$D$3:$R$3,0)),
IF($D1790="폐업",INDEX(폐업정보!$D$3:$R$3000,MATCH($F1790,폐업정보!$I$3:$I$3000,0),MATCH(E$3,폐업정보!$D$3:$R$3,0)),
"Error"))</f>
        <v>전라</v>
      </c>
      <c r="F179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B1785</v>
      </c>
      <c r="G1790" s="76" t="str">
        <f aca="false">F1790&amp;RANDBETWEEN(0,10)</f>
        <v>B17855</v>
      </c>
      <c r="H1790" s="75" t="n">
        <f aca="false">
IF($D1790="정상",INDEX(임대자산!$D$3:$R$3000,MATCH($F1790,임대자산!$I$3:$I$3000,0),MATCH(H$4,임대자산!$D$3:$R$3,0)),
IF($D1790="폐업",INDEX(폐업정보!$D$3:$R$3000,MATCH($F1790,폐업정보!$I$3:$I$3000,0),MATCH(H$4,폐업정보!$D$3:$R$3,0)),
"Error"))</f>
        <v>45882</v>
      </c>
      <c r="I1790" s="75" t="str">
        <f aca="false">
IF($D1790="정상",INDEX(임대자산!$D$3:$R$3000,MATCH($F1790,임대자산!$I$3:$I$3000,0),MATCH(I$4,임대자산!$D$3:$R$3,0)),
IF($D1790="폐업",INDEX(폐업정보!$D$3:$R$3000,MATCH($F1790,폐업정보!$I$3:$I$3000,0),MATCH(I$4,폐업정보!$D$3:$R$3,0)),
"Error"))</f>
        <v>A1785</v>
      </c>
      <c r="J1790" s="75" t="str">
        <f aca="false">
IF($D1790="정상",INDEX(임대자산!$D$3:$R$3000,MATCH($F1790,임대자산!$I$3:$I$3000,0),MATCH(J$4,임대자산!$D$3:$R$3,0)),
IF($D1790="폐업",INDEX(폐업정보!$D$3:$R$3000,MATCH($F1790,폐업정보!$I$3:$I$3000,0),MATCH(J$4,폐업정보!$D$3:$R$3,0)),
"Error"))</f>
        <v>8993200000</v>
      </c>
      <c r="K1790" s="75" t="str">
        <f aca="false">
IF($D1790="정상",INDEX(임대자산!$D$3:$R$3000,MATCH($F1790,임대자산!$I$3:$I$3000,0),MATCH(K$4,임대자산!$D$3:$R$3,0)),
IF($D1790="폐업",INDEX(폐업정보!$D$3:$R$3000,MATCH($F1790,폐업정보!$I$3:$I$3000,0),MATCH(K$4,폐업정보!$D$3:$R$3,0)),
"Error"))</f>
        <v>C1785</v>
      </c>
      <c r="L1790" s="75" t="str">
        <f aca="false">
IF($D1790="정상",INDEX(임대자산!$D$3:$R$3000,MATCH($F1790,임대자산!$I$3:$I$3000,0),MATCH(L$4,임대자산!$D$3:$R$3,0)),
IF($D1790="폐업",INDEX(폐업정보!$D$3:$R$3000,MATCH($F1790,폐업정보!$I$3:$I$3000,0),MATCH(L$4,폐업정보!$D$3:$R$3,0)),
"Error"))</f>
        <v>D1785</v>
      </c>
      <c r="M1790" s="76" t="s">
        <v>96</v>
      </c>
      <c r="N1790" s="77"/>
      <c r="O1790" s="78" t="s">
        <v>97</v>
      </c>
      <c r="P1790" s="79" t="n">
        <f aca="false">COUNTIFS(임대자산!$I:$I,가맹점정보!F1790,임대자산!$N:$N,가맹점정보!P$4)</f>
        <v>0</v>
      </c>
      <c r="Q1790" s="80" t="n">
        <f aca="false">COUNTIFS(임대자산!$I:$I,가맹점정보!F1790,임대자산!$N:$N,가맹점정보!Q$4)</f>
        <v>0</v>
      </c>
      <c r="R1790" s="81" t="n">
        <f aca="false">COUNTIFS(임대자산!$I:$I,가맹점정보!F1790,임대자산!$N:$N,가맹점정보!R$4)</f>
        <v>1</v>
      </c>
      <c r="S1790" s="82" t="n">
        <v>55000</v>
      </c>
      <c r="T1790" s="83" t="n">
        <v>0</v>
      </c>
      <c r="U1790" s="80" t="n">
        <f aca="false">SUM(S1790:T1790)</f>
        <v>55000</v>
      </c>
      <c r="V1790" s="84" t="s">
        <v>7</v>
      </c>
      <c r="W1790" s="80" t="str">
        <f aca="true">
IF(D1790="폐업","폐업",
IF(V1790="면제","면제",
IF(AND(V1790="정상",COUNTIFS(OFFSET(Y1790,0,COUNTA(Y1790:AV1790)-1,1,-4),"미납")&gt;=3),"장기미납",
IF(AND(V1790="정상",OFFSET(Y1790,0,COUNTA(Y1790:AV1790)-1)&gt;=U1790),"정상",
IF(AND(V1790="정상",OFFSET(Y1790,0,COUNTA(Y1790:AV1790)-1)=0),"정상",
"계약서 미작성")))))</f>
        <v>면제</v>
      </c>
      <c r="X1790" s="81" t="str">
        <f aca="true">
IF(D1790="폐업","폐업",
IF(AND(V1790="정상",OFFSET(Y1790,0,COUNTA(Y1790:AV1790)-1)="미납"),"미납",
IF(AND(V1790="정상",OFFSET(Y1790,0,COUNTA(Y1790:AV1790)-1)=0),"납부 시작 전",
IF(AND(V1790="정상",OFFSET(Y1790,0,COUNTA(Y1790:AV1790)-1)&gt;=U1790),"정상",
IF(AND(V1790="면제",OFFSET(Y1790,0,COUNTA(Y1790:AV1790)-1)="면제"),"면제",
IF(AND(V1790="면제",OFFSET(Y1790,0,COUNTA(Y1790:AV1790)-1)=0),"면제",
"확인요청"))))))</f>
        <v>면제</v>
      </c>
      <c r="Y1790" s="94" t="s">
        <v>7</v>
      </c>
      <c r="Z1790" s="95" t="s">
        <v>7</v>
      </c>
      <c r="AA1790" s="95" t="s">
        <v>7</v>
      </c>
      <c r="AB1790" s="95" t="s">
        <v>7</v>
      </c>
      <c r="AC1790" s="95" t="s">
        <v>7</v>
      </c>
      <c r="AD1790" s="95" t="s">
        <v>7</v>
      </c>
      <c r="AE1790" s="95" t="s">
        <v>7</v>
      </c>
      <c r="AF1790" s="95" t="s">
        <v>7</v>
      </c>
      <c r="AG1790" s="95" t="s">
        <v>7</v>
      </c>
      <c r="AH1790" s="95" t="s">
        <v>7</v>
      </c>
      <c r="AI1790" s="95" t="s">
        <v>7</v>
      </c>
      <c r="AJ1790" s="96" t="s">
        <v>7</v>
      </c>
      <c r="AK1790" s="97" t="s">
        <v>7</v>
      </c>
      <c r="AL1790" s="95" t="s">
        <v>7</v>
      </c>
      <c r="AM1790" s="90"/>
      <c r="AN1790" s="90"/>
      <c r="AO1790" s="90"/>
      <c r="AP1790" s="90"/>
      <c r="AQ1790" s="90"/>
      <c r="AR1790" s="90"/>
      <c r="AS1790" s="90"/>
      <c r="AT1790" s="90"/>
      <c r="AU1790" s="90"/>
      <c r="AV1790" s="91"/>
      <c r="AX1790" s="92"/>
    </row>
    <row r="1791" customFormat="false" ht="15.65" hidden="false" customHeight="false" outlineLevel="0" collapsed="false">
      <c r="C1791" s="72" t="n">
        <f aca="false">COUNTIFS($D$6:D1791,"&lt;&gt;"&amp;"")</f>
        <v>1786</v>
      </c>
      <c r="D1791" s="73" t="s">
        <v>12</v>
      </c>
      <c r="E1791" s="76" t="str">
        <f aca="false">
IF($D1791="정상",INDEX(임대자산!$D$3:$R$3000,MATCH($F1791,임대자산!$I$3:$I$3000,0),MATCH(E$3,임대자산!$D$3:$R$3,0)),
IF($D1791="폐업",INDEX(폐업정보!$D$3:$R$3000,MATCH($F1791,폐업정보!$I$3:$I$3000,0),MATCH(E$3,폐업정보!$D$3:$R$3,0)),
"Error"))</f>
        <v>전라</v>
      </c>
      <c r="F179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B1786</v>
      </c>
      <c r="G1791" s="76" t="str">
        <f aca="false">F1791&amp;RANDBETWEEN(0,10)</f>
        <v>B17867</v>
      </c>
      <c r="H1791" s="75" t="n">
        <f aca="false">
IF($D1791="정상",INDEX(임대자산!$D$3:$R$3000,MATCH($F1791,임대자산!$I$3:$I$3000,0),MATCH(H$4,임대자산!$D$3:$R$3,0)),
IF($D1791="폐업",INDEX(폐업정보!$D$3:$R$3000,MATCH($F1791,폐업정보!$I$3:$I$3000,0),MATCH(H$4,폐업정보!$D$3:$R$3,0)),
"Error"))</f>
        <v>45882</v>
      </c>
      <c r="I1791" s="75" t="str">
        <f aca="false">
IF($D1791="정상",INDEX(임대자산!$D$3:$R$3000,MATCH($F1791,임대자산!$I$3:$I$3000,0),MATCH(I$4,임대자산!$D$3:$R$3,0)),
IF($D1791="폐업",INDEX(폐업정보!$D$3:$R$3000,MATCH($F1791,폐업정보!$I$3:$I$3000,0),MATCH(I$4,폐업정보!$D$3:$R$3,0)),
"Error"))</f>
        <v>A1786</v>
      </c>
      <c r="J1791" s="75" t="str">
        <f aca="false">
IF($D1791="정상",INDEX(임대자산!$D$3:$R$3000,MATCH($F1791,임대자산!$I$3:$I$3000,0),MATCH(J$4,임대자산!$D$3:$R$3,0)),
IF($D1791="폐업",INDEX(폐업정보!$D$3:$R$3000,MATCH($F1791,폐업정보!$I$3:$I$3000,0),MATCH(J$4,폐업정보!$D$3:$R$3,0)),
"Error"))</f>
        <v>4224900000</v>
      </c>
      <c r="K1791" s="75" t="str">
        <f aca="false">
IF($D1791="정상",INDEX(임대자산!$D$3:$R$3000,MATCH($F1791,임대자산!$I$3:$I$3000,0),MATCH(K$4,임대자산!$D$3:$R$3,0)),
IF($D1791="폐업",INDEX(폐업정보!$D$3:$R$3000,MATCH($F1791,폐업정보!$I$3:$I$3000,0),MATCH(K$4,폐업정보!$D$3:$R$3,0)),
"Error"))</f>
        <v>C1786</v>
      </c>
      <c r="L1791" s="75" t="str">
        <f aca="false">
IF($D1791="정상",INDEX(임대자산!$D$3:$R$3000,MATCH($F1791,임대자산!$I$3:$I$3000,0),MATCH(L$4,임대자산!$D$3:$R$3,0)),
IF($D1791="폐업",INDEX(폐업정보!$D$3:$R$3000,MATCH($F1791,폐업정보!$I$3:$I$3000,0),MATCH(L$4,폐업정보!$D$3:$R$3,0)),
"Error"))</f>
        <v>D1786</v>
      </c>
      <c r="M1791" s="76" t="s">
        <v>96</v>
      </c>
      <c r="N1791" s="77"/>
      <c r="O1791" s="78" t="s">
        <v>97</v>
      </c>
      <c r="P1791" s="79" t="n">
        <f aca="false">COUNTIFS(임대자산!$I:$I,가맹점정보!F1791,임대자산!$N:$N,가맹점정보!P$4)</f>
        <v>0</v>
      </c>
      <c r="Q1791" s="80" t="n">
        <f aca="false">COUNTIFS(임대자산!$I:$I,가맹점정보!F1791,임대자산!$N:$N,가맹점정보!Q$4)</f>
        <v>0</v>
      </c>
      <c r="R1791" s="81" t="n">
        <f aca="false">COUNTIFS(임대자산!$I:$I,가맹점정보!F1791,임대자산!$N:$N,가맹점정보!R$4)</f>
        <v>1</v>
      </c>
      <c r="S1791" s="82" t="n">
        <v>55000</v>
      </c>
      <c r="T1791" s="83" t="n">
        <v>0</v>
      </c>
      <c r="U1791" s="80" t="n">
        <f aca="false">SUM(S1791:T1791)</f>
        <v>55000</v>
      </c>
      <c r="V1791" s="84" t="s">
        <v>12</v>
      </c>
      <c r="W1791" s="80" t="e">
        <f aca="true">
IF(D1791="폐업","폐업",
IF(V1791="면제","면제",
IF(AND(V1791="정상",COUNTIFS(OFFSET(Y1791,0,COUNTA(Y1791:AV1791)-1,1,-4),"미납")&gt;=3),"장기미납",
IF(AND(V1791="정상",OFFSET(Y1791,0,COUNTA(Y1791:AV1791)-1)&gt;=U1791),"정상",
IF(AND(V1791="정상",OFFSET(Y1791,0,COUNTA(Y1791:AV1791)-1)=0),"정상",
"계약서 미작성")))))</f>
        <v>#VALUE!</v>
      </c>
      <c r="X1791" s="81" t="str">
        <f aca="true">
IF(D1791="폐업","폐업",
IF(AND(V1791="정상",OFFSET(Y1791,0,COUNTA(Y1791:AV1791)-1)="미납"),"미납",
IF(AND(V1791="정상",OFFSET(Y1791,0,COUNTA(Y1791:AV1791)-1)=0),"납부 시작 전",
IF(AND(V1791="정상",OFFSET(Y1791,0,COUNTA(Y1791:AV1791)-1)&gt;=U1791),"정상",
IF(AND(V1791="면제",OFFSET(Y1791,0,COUNTA(Y1791:AV1791)-1)="면제"),"면제",
IF(AND(V1791="면제",OFFSET(Y1791,0,COUNTA(Y1791:AV1791)-1)=0),"면제",
"확인요청"))))))</f>
        <v>정상</v>
      </c>
      <c r="Y1791" s="93" t="n">
        <v>55000</v>
      </c>
      <c r="Z1791" s="90" t="n">
        <v>55000</v>
      </c>
      <c r="AA1791" s="90" t="n">
        <v>55000</v>
      </c>
      <c r="AB1791" s="90" t="n">
        <v>55000</v>
      </c>
      <c r="AC1791" s="90" t="n">
        <v>55000</v>
      </c>
      <c r="AD1791" s="90" t="n">
        <v>55000</v>
      </c>
      <c r="AE1791" s="90" t="n">
        <v>55000</v>
      </c>
      <c r="AF1791" s="90" t="n">
        <v>55000</v>
      </c>
      <c r="AG1791" s="90" t="n">
        <v>55000</v>
      </c>
      <c r="AH1791" s="90" t="n">
        <v>55000</v>
      </c>
      <c r="AI1791" s="90" t="n">
        <v>55000</v>
      </c>
      <c r="AJ1791" s="91" t="n">
        <v>55000</v>
      </c>
      <c r="AK1791" s="89" t="n">
        <v>55000</v>
      </c>
      <c r="AL1791" s="90" t="n">
        <v>55000</v>
      </c>
      <c r="AM1791" s="90"/>
      <c r="AN1791" s="90"/>
      <c r="AO1791" s="90"/>
      <c r="AP1791" s="90"/>
      <c r="AQ1791" s="90"/>
      <c r="AR1791" s="90"/>
      <c r="AS1791" s="90"/>
      <c r="AT1791" s="90"/>
      <c r="AU1791" s="90"/>
      <c r="AV1791" s="91"/>
      <c r="AX1791" s="92"/>
    </row>
    <row r="1792" customFormat="false" ht="15.65" hidden="false" customHeight="false" outlineLevel="0" collapsed="false">
      <c r="C1792" s="72" t="n">
        <f aca="false">COUNTIFS($D$6:D1792,"&lt;&gt;"&amp;"")</f>
        <v>1787</v>
      </c>
      <c r="D1792" s="73" t="s">
        <v>12</v>
      </c>
      <c r="E1792" s="76" t="str">
        <f aca="false">
IF($D1792="정상",INDEX(임대자산!$D$3:$R$3000,MATCH($F1792,임대자산!$I$3:$I$3000,0),MATCH(E$3,임대자산!$D$3:$R$3,0)),
IF($D1792="폐업",INDEX(폐업정보!$D$3:$R$3000,MATCH($F1792,폐업정보!$I$3:$I$3000,0),MATCH(E$3,폐업정보!$D$3:$R$3,0)),
"Error"))</f>
        <v>강원</v>
      </c>
      <c r="F179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B1787</v>
      </c>
      <c r="G1792" s="76" t="str">
        <f aca="false">F1792&amp;RANDBETWEEN(0,10)</f>
        <v>B17871</v>
      </c>
      <c r="H1792" s="75" t="n">
        <f aca="false">
IF($D1792="정상",INDEX(임대자산!$D$3:$R$3000,MATCH($F1792,임대자산!$I$3:$I$3000,0),MATCH(H$4,임대자산!$D$3:$R$3,0)),
IF($D1792="폐업",INDEX(폐업정보!$D$3:$R$3000,MATCH($F1792,폐업정보!$I$3:$I$3000,0),MATCH(H$4,폐업정보!$D$3:$R$3,0)),
"Error"))</f>
        <v>45880</v>
      </c>
      <c r="I1792" s="75" t="str">
        <f aca="false">
IF($D1792="정상",INDEX(임대자산!$D$3:$R$3000,MATCH($F1792,임대자산!$I$3:$I$3000,0),MATCH(I$4,임대자산!$D$3:$R$3,0)),
IF($D1792="폐업",INDEX(폐업정보!$D$3:$R$3000,MATCH($F1792,폐업정보!$I$3:$I$3000,0),MATCH(I$4,폐업정보!$D$3:$R$3,0)),
"Error"))</f>
        <v>A1787</v>
      </c>
      <c r="J1792" s="75" t="str">
        <f aca="false">
IF($D1792="정상",INDEX(임대자산!$D$3:$R$3000,MATCH($F1792,임대자산!$I$3:$I$3000,0),MATCH(J$4,임대자산!$D$3:$R$3,0)),
IF($D1792="폐업",INDEX(폐업정보!$D$3:$R$3000,MATCH($F1792,폐업정보!$I$3:$I$3000,0),MATCH(J$4,폐업정보!$D$3:$R$3,0)),
"Error"))</f>
        <v>3882700000</v>
      </c>
      <c r="K1792" s="75" t="str">
        <f aca="false">
IF($D1792="정상",INDEX(임대자산!$D$3:$R$3000,MATCH($F1792,임대자산!$I$3:$I$3000,0),MATCH(K$4,임대자산!$D$3:$R$3,0)),
IF($D1792="폐업",INDEX(폐업정보!$D$3:$R$3000,MATCH($F1792,폐업정보!$I$3:$I$3000,0),MATCH(K$4,폐업정보!$D$3:$R$3,0)),
"Error"))</f>
        <v>C1787</v>
      </c>
      <c r="L1792" s="75" t="str">
        <f aca="false">
IF($D1792="정상",INDEX(임대자산!$D$3:$R$3000,MATCH($F1792,임대자산!$I$3:$I$3000,0),MATCH(L$4,임대자산!$D$3:$R$3,0)),
IF($D1792="폐업",INDEX(폐업정보!$D$3:$R$3000,MATCH($F1792,폐업정보!$I$3:$I$3000,0),MATCH(L$4,폐업정보!$D$3:$R$3,0)),
"Error"))</f>
        <v>D1787</v>
      </c>
      <c r="M1792" s="76" t="s">
        <v>96</v>
      </c>
      <c r="N1792" s="77"/>
      <c r="O1792" s="78" t="s">
        <v>97</v>
      </c>
      <c r="P1792" s="79" t="n">
        <f aca="false">COUNTIFS(임대자산!$I:$I,가맹점정보!F1792,임대자산!$N:$N,가맹점정보!P$4)</f>
        <v>0</v>
      </c>
      <c r="Q1792" s="80" t="n">
        <f aca="false">COUNTIFS(임대자산!$I:$I,가맹점정보!F1792,임대자산!$N:$N,가맹점정보!Q$4)</f>
        <v>0</v>
      </c>
      <c r="R1792" s="81" t="n">
        <f aca="false">COUNTIFS(임대자산!$I:$I,가맹점정보!F1792,임대자산!$N:$N,가맹점정보!R$4)</f>
        <v>1</v>
      </c>
      <c r="S1792" s="82" t="n">
        <v>44000</v>
      </c>
      <c r="T1792" s="83" t="n">
        <v>44000</v>
      </c>
      <c r="U1792" s="80" t="n">
        <f aca="false">SUM(S1792:T1792)</f>
        <v>88000</v>
      </c>
      <c r="V1792" s="84" t="s">
        <v>12</v>
      </c>
      <c r="W1792" s="80" t="e">
        <f aca="true">
IF(D1792="폐업","폐업",
IF(V1792="면제","면제",
IF(AND(V1792="정상",COUNTIFS(OFFSET(Y1792,0,COUNTA(Y1792:AV1792)-1,1,-4),"미납")&gt;=3),"장기미납",
IF(AND(V1792="정상",OFFSET(Y1792,0,COUNTA(Y1792:AV1792)-1)&gt;=U1792),"정상",
IF(AND(V1792="정상",OFFSET(Y1792,0,COUNTA(Y1792:AV1792)-1)=0),"정상",
"계약서 미작성")))))</f>
        <v>#VALUE!</v>
      </c>
      <c r="X1792" s="81" t="str">
        <f aca="true">
IF(D1792="폐업","폐업",
IF(AND(V1792="정상",OFFSET(Y1792,0,COUNTA(Y1792:AV1792)-1)="미납"),"미납",
IF(AND(V1792="정상",OFFSET(Y1792,0,COUNTA(Y1792:AV1792)-1)=0),"납부 시작 전",
IF(AND(V1792="정상",OFFSET(Y1792,0,COUNTA(Y1792:AV1792)-1)&gt;=U1792),"정상",
IF(AND(V1792="면제",OFFSET(Y1792,0,COUNTA(Y1792:AV1792)-1)="면제"),"면제",
IF(AND(V1792="면제",OFFSET(Y1792,0,COUNTA(Y1792:AV1792)-1)=0),"면제",
"확인요청"))))))</f>
        <v>정상</v>
      </c>
      <c r="Y1792" s="93" t="n">
        <v>88000</v>
      </c>
      <c r="Z1792" s="90" t="n">
        <v>88000</v>
      </c>
      <c r="AA1792" s="90" t="n">
        <v>88000</v>
      </c>
      <c r="AB1792" s="90" t="n">
        <v>88000</v>
      </c>
      <c r="AC1792" s="90" t="n">
        <v>88000</v>
      </c>
      <c r="AD1792" s="90" t="n">
        <v>88000</v>
      </c>
      <c r="AE1792" s="90" t="n">
        <v>88000</v>
      </c>
      <c r="AF1792" s="90" t="n">
        <v>88000</v>
      </c>
      <c r="AG1792" s="90" t="n">
        <v>88000</v>
      </c>
      <c r="AH1792" s="90" t="n">
        <v>88000</v>
      </c>
      <c r="AI1792" s="90" t="n">
        <v>88000</v>
      </c>
      <c r="AJ1792" s="91" t="n">
        <v>88000</v>
      </c>
      <c r="AK1792" s="89" t="n">
        <v>88000</v>
      </c>
      <c r="AL1792" s="90" t="n">
        <v>88000</v>
      </c>
      <c r="AM1792" s="90"/>
      <c r="AN1792" s="90"/>
      <c r="AO1792" s="90"/>
      <c r="AP1792" s="90"/>
      <c r="AQ1792" s="90"/>
      <c r="AR1792" s="90"/>
      <c r="AS1792" s="90"/>
      <c r="AT1792" s="90"/>
      <c r="AU1792" s="90"/>
      <c r="AV1792" s="91"/>
      <c r="AX1792" s="92"/>
    </row>
    <row r="1793" customFormat="false" ht="15.65" hidden="false" customHeight="false" outlineLevel="0" collapsed="false">
      <c r="C1793" s="72" t="n">
        <f aca="false">COUNTIFS($D$6:D1793,"&lt;&gt;"&amp;"")</f>
        <v>1788</v>
      </c>
      <c r="D1793" s="73" t="s">
        <v>12</v>
      </c>
      <c r="E1793" s="76" t="str">
        <f aca="false">
IF($D1793="정상",INDEX(임대자산!$D$3:$R$3000,MATCH($F1793,임대자산!$I$3:$I$3000,0),MATCH(E$3,임대자산!$D$3:$R$3,0)),
IF($D1793="폐업",INDEX(폐업정보!$D$3:$R$3000,MATCH($F1793,폐업정보!$I$3:$I$3000,0),MATCH(E$3,폐업정보!$D$3:$R$3,0)),
"Error"))</f>
        <v>전라</v>
      </c>
      <c r="F179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B1788</v>
      </c>
      <c r="G1793" s="76" t="str">
        <f aca="false">F1793&amp;RANDBETWEEN(0,10)</f>
        <v>B17886</v>
      </c>
      <c r="H1793" s="75" t="n">
        <f aca="false">
IF($D1793="정상",INDEX(임대자산!$D$3:$R$3000,MATCH($F1793,임대자산!$I$3:$I$3000,0),MATCH(H$4,임대자산!$D$3:$R$3,0)),
IF($D1793="폐업",INDEX(폐업정보!$D$3:$R$3000,MATCH($F1793,폐업정보!$I$3:$I$3000,0),MATCH(H$4,폐업정보!$D$3:$R$3,0)),
"Error"))</f>
        <v>45870</v>
      </c>
      <c r="I1793" s="75" t="str">
        <f aca="false">
IF($D1793="정상",INDEX(임대자산!$D$3:$R$3000,MATCH($F1793,임대자산!$I$3:$I$3000,0),MATCH(I$4,임대자산!$D$3:$R$3,0)),
IF($D1793="폐업",INDEX(폐업정보!$D$3:$R$3000,MATCH($F1793,폐업정보!$I$3:$I$3000,0),MATCH(I$4,폐업정보!$D$3:$R$3,0)),
"Error"))</f>
        <v>A1788</v>
      </c>
      <c r="J1793" s="75" t="str">
        <f aca="false">
IF($D1793="정상",INDEX(임대자산!$D$3:$R$3000,MATCH($F1793,임대자산!$I$3:$I$3000,0),MATCH(J$4,임대자산!$D$3:$R$3,0)),
IF($D1793="폐업",INDEX(폐업정보!$D$3:$R$3000,MATCH($F1793,폐업정보!$I$3:$I$3000,0),MATCH(J$4,폐업정보!$D$3:$R$3,0)),
"Error"))</f>
        <v>2237900000</v>
      </c>
      <c r="K1793" s="75" t="str">
        <f aca="false">
IF($D1793="정상",INDEX(임대자산!$D$3:$R$3000,MATCH($F1793,임대자산!$I$3:$I$3000,0),MATCH(K$4,임대자산!$D$3:$R$3,0)),
IF($D1793="폐업",INDEX(폐업정보!$D$3:$R$3000,MATCH($F1793,폐업정보!$I$3:$I$3000,0),MATCH(K$4,폐업정보!$D$3:$R$3,0)),
"Error"))</f>
        <v>C1788</v>
      </c>
      <c r="L1793" s="75" t="str">
        <f aca="false">
IF($D1793="정상",INDEX(임대자산!$D$3:$R$3000,MATCH($F1793,임대자산!$I$3:$I$3000,0),MATCH(L$4,임대자산!$D$3:$R$3,0)),
IF($D1793="폐업",INDEX(폐업정보!$D$3:$R$3000,MATCH($F1793,폐업정보!$I$3:$I$3000,0),MATCH(L$4,폐업정보!$D$3:$R$3,0)),
"Error"))</f>
        <v>D1788</v>
      </c>
      <c r="M1793" s="76" t="s">
        <v>96</v>
      </c>
      <c r="N1793" s="77"/>
      <c r="O1793" s="78" t="s">
        <v>97</v>
      </c>
      <c r="P1793" s="79" t="n">
        <f aca="false">COUNTIFS(임대자산!$I:$I,가맹점정보!F1793,임대자산!$N:$N,가맹점정보!P$4)</f>
        <v>0</v>
      </c>
      <c r="Q1793" s="80" t="n">
        <f aca="false">COUNTIFS(임대자산!$I:$I,가맹점정보!F1793,임대자산!$N:$N,가맹점정보!Q$4)</f>
        <v>0</v>
      </c>
      <c r="R1793" s="81" t="n">
        <f aca="false">COUNTIFS(임대자산!$I:$I,가맹점정보!F1793,임대자산!$N:$N,가맹점정보!R$4)</f>
        <v>1</v>
      </c>
      <c r="S1793" s="82" t="n">
        <v>88000</v>
      </c>
      <c r="T1793" s="83" t="n">
        <v>0</v>
      </c>
      <c r="U1793" s="80" t="n">
        <f aca="false">SUM(S1793:T1793)</f>
        <v>88000</v>
      </c>
      <c r="V1793" s="84" t="s">
        <v>7</v>
      </c>
      <c r="W1793" s="80" t="str">
        <f aca="true">
IF(D1793="폐업","폐업",
IF(V1793="면제","면제",
IF(AND(V1793="정상",COUNTIFS(OFFSET(Y1793,0,COUNTA(Y1793:AV1793)-1,1,-4),"미납")&gt;=3),"장기미납",
IF(AND(V1793="정상",OFFSET(Y1793,0,COUNTA(Y1793:AV1793)-1)&gt;=U1793),"정상",
IF(AND(V1793="정상",OFFSET(Y1793,0,COUNTA(Y1793:AV1793)-1)=0),"정상",
"계약서 미작성")))))</f>
        <v>면제</v>
      </c>
      <c r="X1793" s="81" t="str">
        <f aca="true">
IF(D1793="폐업","폐업",
IF(AND(V1793="정상",OFFSET(Y1793,0,COUNTA(Y1793:AV1793)-1)="미납"),"미납",
IF(AND(V1793="정상",OFFSET(Y1793,0,COUNTA(Y1793:AV1793)-1)=0),"납부 시작 전",
IF(AND(V1793="정상",OFFSET(Y1793,0,COUNTA(Y1793:AV1793)-1)&gt;=U1793),"정상",
IF(AND(V1793="면제",OFFSET(Y1793,0,COUNTA(Y1793:AV1793)-1)="면제"),"면제",
IF(AND(V1793="면제",OFFSET(Y1793,0,COUNTA(Y1793:AV1793)-1)=0),"면제",
"확인요청"))))))</f>
        <v>면제</v>
      </c>
      <c r="Y1793" s="94" t="s">
        <v>7</v>
      </c>
      <c r="Z1793" s="95" t="s">
        <v>7</v>
      </c>
      <c r="AA1793" s="95" t="s">
        <v>7</v>
      </c>
      <c r="AB1793" s="95" t="s">
        <v>7</v>
      </c>
      <c r="AC1793" s="95" t="s">
        <v>7</v>
      </c>
      <c r="AD1793" s="95" t="s">
        <v>7</v>
      </c>
      <c r="AE1793" s="95" t="s">
        <v>7</v>
      </c>
      <c r="AF1793" s="95" t="s">
        <v>7</v>
      </c>
      <c r="AG1793" s="95" t="s">
        <v>7</v>
      </c>
      <c r="AH1793" s="95" t="s">
        <v>7</v>
      </c>
      <c r="AI1793" s="95" t="s">
        <v>7</v>
      </c>
      <c r="AJ1793" s="96" t="s">
        <v>7</v>
      </c>
      <c r="AK1793" s="97" t="s">
        <v>7</v>
      </c>
      <c r="AL1793" s="95" t="s">
        <v>7</v>
      </c>
      <c r="AM1793" s="90"/>
      <c r="AN1793" s="90"/>
      <c r="AO1793" s="90"/>
      <c r="AP1793" s="90"/>
      <c r="AQ1793" s="90"/>
      <c r="AR1793" s="90"/>
      <c r="AS1793" s="90"/>
      <c r="AT1793" s="90"/>
      <c r="AU1793" s="90"/>
      <c r="AV1793" s="91"/>
      <c r="AX1793" s="92"/>
    </row>
    <row r="1794" customFormat="false" ht="15.65" hidden="false" customHeight="false" outlineLevel="0" collapsed="false">
      <c r="C1794" s="72" t="n">
        <f aca="false">COUNTIFS($D$6:D1794,"&lt;&gt;"&amp;"")</f>
        <v>1789</v>
      </c>
      <c r="D1794" s="73" t="s">
        <v>12</v>
      </c>
      <c r="E1794" s="76" t="str">
        <f aca="false">
IF($D1794="정상",INDEX(임대자산!$D$3:$R$3000,MATCH($F1794,임대자산!$I$3:$I$3000,0),MATCH(E$3,임대자산!$D$3:$R$3,0)),
IF($D1794="폐업",INDEX(폐업정보!$D$3:$R$3000,MATCH($F1794,폐업정보!$I$3:$I$3000,0),MATCH(E$3,폐업정보!$D$3:$R$3,0)),
"Error"))</f>
        <v>전라</v>
      </c>
      <c r="F179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B1789</v>
      </c>
      <c r="G1794" s="76" t="str">
        <f aca="false">F1794&amp;RANDBETWEEN(0,10)</f>
        <v>B17897</v>
      </c>
      <c r="H1794" s="75" t="n">
        <f aca="false">
IF($D1794="정상",INDEX(임대자산!$D$3:$R$3000,MATCH($F1794,임대자산!$I$3:$I$3000,0),MATCH(H$4,임대자산!$D$3:$R$3,0)),
IF($D1794="폐업",INDEX(폐업정보!$D$3:$R$3000,MATCH($F1794,폐업정보!$I$3:$I$3000,0),MATCH(H$4,폐업정보!$D$3:$R$3,0)),
"Error"))</f>
        <v>45875</v>
      </c>
      <c r="I1794" s="75" t="str">
        <f aca="false">
IF($D1794="정상",INDEX(임대자산!$D$3:$R$3000,MATCH($F1794,임대자산!$I$3:$I$3000,0),MATCH(I$4,임대자산!$D$3:$R$3,0)),
IF($D1794="폐업",INDEX(폐업정보!$D$3:$R$3000,MATCH($F1794,폐업정보!$I$3:$I$3000,0),MATCH(I$4,폐업정보!$D$3:$R$3,0)),
"Error"))</f>
        <v>A1789</v>
      </c>
      <c r="J1794" s="75" t="str">
        <f aca="false">
IF($D1794="정상",INDEX(임대자산!$D$3:$R$3000,MATCH($F1794,임대자산!$I$3:$I$3000,0),MATCH(J$4,임대자산!$D$3:$R$3,0)),
IF($D1794="폐업",INDEX(폐업정보!$D$3:$R$3000,MATCH($F1794,폐업정보!$I$3:$I$3000,0),MATCH(J$4,폐업정보!$D$3:$R$3,0)),
"Error"))</f>
        <v>8704300000</v>
      </c>
      <c r="K1794" s="75" t="str">
        <f aca="false">
IF($D1794="정상",INDEX(임대자산!$D$3:$R$3000,MATCH($F1794,임대자산!$I$3:$I$3000,0),MATCH(K$4,임대자산!$D$3:$R$3,0)),
IF($D1794="폐업",INDEX(폐업정보!$D$3:$R$3000,MATCH($F1794,폐업정보!$I$3:$I$3000,0),MATCH(K$4,폐업정보!$D$3:$R$3,0)),
"Error"))</f>
        <v>C1789</v>
      </c>
      <c r="L1794" s="75" t="str">
        <f aca="false">
IF($D1794="정상",INDEX(임대자산!$D$3:$R$3000,MATCH($F1794,임대자산!$I$3:$I$3000,0),MATCH(L$4,임대자산!$D$3:$R$3,0)),
IF($D1794="폐업",INDEX(폐업정보!$D$3:$R$3000,MATCH($F1794,폐업정보!$I$3:$I$3000,0),MATCH(L$4,폐업정보!$D$3:$R$3,0)),
"Error"))</f>
        <v>D1789</v>
      </c>
      <c r="M1794" s="76" t="s">
        <v>96</v>
      </c>
      <c r="N1794" s="77"/>
      <c r="O1794" s="78" t="s">
        <v>97</v>
      </c>
      <c r="P1794" s="79" t="n">
        <f aca="false">COUNTIFS(임대자산!$I:$I,가맹점정보!F1794,임대자산!$N:$N,가맹점정보!P$4)</f>
        <v>0</v>
      </c>
      <c r="Q1794" s="80" t="n">
        <f aca="false">COUNTIFS(임대자산!$I:$I,가맹점정보!F1794,임대자산!$N:$N,가맹점정보!Q$4)</f>
        <v>0</v>
      </c>
      <c r="R1794" s="81" t="n">
        <f aca="false">COUNTIFS(임대자산!$I:$I,가맹점정보!F1794,임대자산!$N:$N,가맹점정보!R$4)</f>
        <v>1</v>
      </c>
      <c r="S1794" s="82" t="n">
        <v>55000</v>
      </c>
      <c r="T1794" s="83" t="n">
        <v>0</v>
      </c>
      <c r="U1794" s="80" t="n">
        <f aca="false">SUM(S1794:T1794)</f>
        <v>55000</v>
      </c>
      <c r="V1794" s="84" t="s">
        <v>7</v>
      </c>
      <c r="W1794" s="80" t="str">
        <f aca="true">
IF(D1794="폐업","폐업",
IF(V1794="면제","면제",
IF(AND(V1794="정상",COUNTIFS(OFFSET(Y1794,0,COUNTA(Y1794:AV1794)-1,1,-4),"미납")&gt;=3),"장기미납",
IF(AND(V1794="정상",OFFSET(Y1794,0,COUNTA(Y1794:AV1794)-1)&gt;=U1794),"정상",
IF(AND(V1794="정상",OFFSET(Y1794,0,COUNTA(Y1794:AV1794)-1)=0),"정상",
"계약서 미작성")))))</f>
        <v>면제</v>
      </c>
      <c r="X1794" s="81" t="str">
        <f aca="true">
IF(D1794="폐업","폐업",
IF(AND(V1794="정상",OFFSET(Y1794,0,COUNTA(Y1794:AV1794)-1)="미납"),"미납",
IF(AND(V1794="정상",OFFSET(Y1794,0,COUNTA(Y1794:AV1794)-1)=0),"납부 시작 전",
IF(AND(V1794="정상",OFFSET(Y1794,0,COUNTA(Y1794:AV1794)-1)&gt;=U1794),"정상",
IF(AND(V1794="면제",OFFSET(Y1794,0,COUNTA(Y1794:AV1794)-1)="면제"),"면제",
IF(AND(V1794="면제",OFFSET(Y1794,0,COUNTA(Y1794:AV1794)-1)=0),"면제",
"확인요청"))))))</f>
        <v>면제</v>
      </c>
      <c r="Y1794" s="94" t="s">
        <v>7</v>
      </c>
      <c r="Z1794" s="95" t="s">
        <v>7</v>
      </c>
      <c r="AA1794" s="95" t="s">
        <v>7</v>
      </c>
      <c r="AB1794" s="95" t="s">
        <v>7</v>
      </c>
      <c r="AC1794" s="95" t="s">
        <v>7</v>
      </c>
      <c r="AD1794" s="95" t="s">
        <v>7</v>
      </c>
      <c r="AE1794" s="95" t="s">
        <v>7</v>
      </c>
      <c r="AF1794" s="95" t="s">
        <v>7</v>
      </c>
      <c r="AG1794" s="95" t="s">
        <v>7</v>
      </c>
      <c r="AH1794" s="95" t="s">
        <v>7</v>
      </c>
      <c r="AI1794" s="95" t="s">
        <v>7</v>
      </c>
      <c r="AJ1794" s="96" t="s">
        <v>7</v>
      </c>
      <c r="AK1794" s="97" t="s">
        <v>7</v>
      </c>
      <c r="AL1794" s="95" t="s">
        <v>7</v>
      </c>
      <c r="AM1794" s="90"/>
      <c r="AN1794" s="90"/>
      <c r="AO1794" s="90"/>
      <c r="AP1794" s="90"/>
      <c r="AQ1794" s="90"/>
      <c r="AR1794" s="90"/>
      <c r="AS1794" s="90"/>
      <c r="AT1794" s="90"/>
      <c r="AU1794" s="90"/>
      <c r="AV1794" s="91"/>
      <c r="AX1794" s="92"/>
    </row>
    <row r="1795" customFormat="false" ht="15.65" hidden="false" customHeight="false" outlineLevel="0" collapsed="false">
      <c r="C1795" s="72" t="n">
        <f aca="false">COUNTIFS($D$6:D1795,"&lt;&gt;"&amp;"")</f>
        <v>1790</v>
      </c>
      <c r="D1795" s="73" t="s">
        <v>12</v>
      </c>
      <c r="E1795" s="76" t="str">
        <f aca="false">
IF($D1795="정상",INDEX(임대자산!$D$3:$R$3000,MATCH($F1795,임대자산!$I$3:$I$3000,0),MATCH(E$3,임대자산!$D$3:$R$3,0)),
IF($D1795="폐업",INDEX(폐업정보!$D$3:$R$3000,MATCH($F1795,폐업정보!$I$3:$I$3000,0),MATCH(E$3,폐업정보!$D$3:$R$3,0)),
"Error"))</f>
        <v>강원</v>
      </c>
      <c r="F179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B1790</v>
      </c>
      <c r="G1795" s="76" t="str">
        <f aca="false">F1795&amp;RANDBETWEEN(0,10)</f>
        <v>B17904</v>
      </c>
      <c r="H1795" s="75" t="n">
        <f aca="false">
IF($D1795="정상",INDEX(임대자산!$D$3:$R$3000,MATCH($F1795,임대자산!$I$3:$I$3000,0),MATCH(H$4,임대자산!$D$3:$R$3,0)),
IF($D1795="폐업",INDEX(폐업정보!$D$3:$R$3000,MATCH($F1795,폐업정보!$I$3:$I$3000,0),MATCH(H$4,폐업정보!$D$3:$R$3,0)),
"Error"))</f>
        <v>45882</v>
      </c>
      <c r="I1795" s="75" t="str">
        <f aca="false">
IF($D1795="정상",INDEX(임대자산!$D$3:$R$3000,MATCH($F1795,임대자산!$I$3:$I$3000,0),MATCH(I$4,임대자산!$D$3:$R$3,0)),
IF($D1795="폐업",INDEX(폐업정보!$D$3:$R$3000,MATCH($F1795,폐업정보!$I$3:$I$3000,0),MATCH(I$4,폐업정보!$D$3:$R$3,0)),
"Error"))</f>
        <v>A1790</v>
      </c>
      <c r="J1795" s="75" t="str">
        <f aca="false">
IF($D1795="정상",INDEX(임대자산!$D$3:$R$3000,MATCH($F1795,임대자산!$I$3:$I$3000,0),MATCH(J$4,임대자산!$D$3:$R$3,0)),
IF($D1795="폐업",INDEX(폐업정보!$D$3:$R$3000,MATCH($F1795,폐업정보!$I$3:$I$3000,0),MATCH(J$4,폐업정보!$D$3:$R$3,0)),
"Error"))</f>
        <v>5274100000</v>
      </c>
      <c r="K1795" s="75" t="str">
        <f aca="false">
IF($D1795="정상",INDEX(임대자산!$D$3:$R$3000,MATCH($F1795,임대자산!$I$3:$I$3000,0),MATCH(K$4,임대자산!$D$3:$R$3,0)),
IF($D1795="폐업",INDEX(폐업정보!$D$3:$R$3000,MATCH($F1795,폐업정보!$I$3:$I$3000,0),MATCH(K$4,폐업정보!$D$3:$R$3,0)),
"Error"))</f>
        <v>C1790</v>
      </c>
      <c r="L1795" s="75" t="str">
        <f aca="false">
IF($D1795="정상",INDEX(임대자산!$D$3:$R$3000,MATCH($F1795,임대자산!$I$3:$I$3000,0),MATCH(L$4,임대자산!$D$3:$R$3,0)),
IF($D1795="폐업",INDEX(폐업정보!$D$3:$R$3000,MATCH($F1795,폐업정보!$I$3:$I$3000,0),MATCH(L$4,폐업정보!$D$3:$R$3,0)),
"Error"))</f>
        <v>D1790</v>
      </c>
      <c r="M1795" s="76" t="s">
        <v>96</v>
      </c>
      <c r="N1795" s="77"/>
      <c r="O1795" s="78" t="s">
        <v>97</v>
      </c>
      <c r="P1795" s="79" t="n">
        <f aca="false">COUNTIFS(임대자산!$I:$I,가맹점정보!F1795,임대자산!$N:$N,가맹점정보!P$4)</f>
        <v>0</v>
      </c>
      <c r="Q1795" s="80" t="n">
        <f aca="false">COUNTIFS(임대자산!$I:$I,가맹점정보!F1795,임대자산!$N:$N,가맹점정보!Q$4)</f>
        <v>0</v>
      </c>
      <c r="R1795" s="81" t="n">
        <f aca="false">COUNTIFS(임대자산!$I:$I,가맹점정보!F1795,임대자산!$N:$N,가맹점정보!R$4)</f>
        <v>1</v>
      </c>
      <c r="S1795" s="82" t="n">
        <v>55000</v>
      </c>
      <c r="T1795" s="83" t="n">
        <v>0</v>
      </c>
      <c r="U1795" s="80" t="n">
        <f aca="false">SUM(S1795:T1795)</f>
        <v>55000</v>
      </c>
      <c r="V1795" s="84" t="s">
        <v>12</v>
      </c>
      <c r="W1795" s="80" t="e">
        <f aca="true">
IF(D1795="폐업","폐업",
IF(V1795="면제","면제",
IF(AND(V1795="정상",COUNTIFS(OFFSET(Y1795,0,COUNTA(Y1795:AV1795)-1,1,-4),"미납")&gt;=3),"장기미납",
IF(AND(V1795="정상",OFFSET(Y1795,0,COUNTA(Y1795:AV1795)-1)&gt;=U1795),"정상",
IF(AND(V1795="정상",OFFSET(Y1795,0,COUNTA(Y1795:AV1795)-1)=0),"정상",
"계약서 미작성")))))</f>
        <v>#VALUE!</v>
      </c>
      <c r="X1795" s="81" t="str">
        <f aca="true">
IF(D1795="폐업","폐업",
IF(AND(V1795="정상",OFFSET(Y1795,0,COUNTA(Y1795:AV1795)-1)="미납"),"미납",
IF(AND(V1795="정상",OFFSET(Y1795,0,COUNTA(Y1795:AV1795)-1)=0),"납부 시작 전",
IF(AND(V1795="정상",OFFSET(Y1795,0,COUNTA(Y1795:AV1795)-1)&gt;=U1795),"정상",
IF(AND(V1795="면제",OFFSET(Y1795,0,COUNTA(Y1795:AV1795)-1)="면제"),"면제",
IF(AND(V1795="면제",OFFSET(Y1795,0,COUNTA(Y1795:AV1795)-1)=0),"면제",
"확인요청"))))))</f>
        <v>정상</v>
      </c>
      <c r="Y1795" s="93" t="n">
        <v>0</v>
      </c>
      <c r="Z1795" s="90" t="n">
        <v>0</v>
      </c>
      <c r="AA1795" s="90" t="n">
        <v>55000</v>
      </c>
      <c r="AB1795" s="90" t="n">
        <v>55000</v>
      </c>
      <c r="AC1795" s="90" t="n">
        <v>55000</v>
      </c>
      <c r="AD1795" s="90" t="n">
        <v>55000</v>
      </c>
      <c r="AE1795" s="90" t="n">
        <v>55000</v>
      </c>
      <c r="AF1795" s="90" t="n">
        <v>55000</v>
      </c>
      <c r="AG1795" s="90" t="n">
        <v>55000</v>
      </c>
      <c r="AH1795" s="90" t="n">
        <v>55000</v>
      </c>
      <c r="AI1795" s="90" t="n">
        <v>55000</v>
      </c>
      <c r="AJ1795" s="91" t="n">
        <v>55000</v>
      </c>
      <c r="AK1795" s="89" t="n">
        <v>55000</v>
      </c>
      <c r="AL1795" s="90" t="n">
        <v>55000</v>
      </c>
      <c r="AM1795" s="90"/>
      <c r="AN1795" s="90"/>
      <c r="AO1795" s="90"/>
      <c r="AP1795" s="90"/>
      <c r="AQ1795" s="90"/>
      <c r="AR1795" s="90"/>
      <c r="AS1795" s="90"/>
      <c r="AT1795" s="90"/>
      <c r="AU1795" s="90"/>
      <c r="AV1795" s="91"/>
      <c r="AX1795" s="92"/>
    </row>
    <row r="1796" customFormat="false" ht="15.65" hidden="false" customHeight="false" outlineLevel="0" collapsed="false">
      <c r="C1796" s="72" t="n">
        <f aca="false">COUNTIFS($D$6:D1796,"&lt;&gt;"&amp;"")</f>
        <v>1791</v>
      </c>
      <c r="D1796" s="73" t="s">
        <v>12</v>
      </c>
      <c r="E1796" s="76" t="str">
        <f aca="false">
IF($D1796="정상",INDEX(임대자산!$D$3:$R$3000,MATCH($F1796,임대자산!$I$3:$I$3000,0),MATCH(E$3,임대자산!$D$3:$R$3,0)),
IF($D1796="폐업",INDEX(폐업정보!$D$3:$R$3000,MATCH($F1796,폐업정보!$I$3:$I$3000,0),MATCH(E$3,폐업정보!$D$3:$R$3,0)),
"Error"))</f>
        <v>서울</v>
      </c>
      <c r="F179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B1791</v>
      </c>
      <c r="G1796" s="76" t="str">
        <f aca="false">F1796&amp;RANDBETWEEN(0,10)</f>
        <v>B17914</v>
      </c>
      <c r="H1796" s="75" t="n">
        <f aca="false">
IF($D1796="정상",INDEX(임대자산!$D$3:$R$3000,MATCH($F1796,임대자산!$I$3:$I$3000,0),MATCH(H$4,임대자산!$D$3:$R$3,0)),
IF($D1796="폐업",INDEX(폐업정보!$D$3:$R$3000,MATCH($F1796,폐업정보!$I$3:$I$3000,0),MATCH(H$4,폐업정보!$D$3:$R$3,0)),
"Error"))</f>
        <v>45888</v>
      </c>
      <c r="I1796" s="75" t="str">
        <f aca="false">
IF($D1796="정상",INDEX(임대자산!$D$3:$R$3000,MATCH($F1796,임대자산!$I$3:$I$3000,0),MATCH(I$4,임대자산!$D$3:$R$3,0)),
IF($D1796="폐업",INDEX(폐업정보!$D$3:$R$3000,MATCH($F1796,폐업정보!$I$3:$I$3000,0),MATCH(I$4,폐업정보!$D$3:$R$3,0)),
"Error"))</f>
        <v>A1791</v>
      </c>
      <c r="J1796" s="75" t="str">
        <f aca="false">
IF($D1796="정상",INDEX(임대자산!$D$3:$R$3000,MATCH($F1796,임대자산!$I$3:$I$3000,0),MATCH(J$4,임대자산!$D$3:$R$3,0)),
IF($D1796="폐업",INDEX(폐업정보!$D$3:$R$3000,MATCH($F1796,폐업정보!$I$3:$I$3000,0),MATCH(J$4,폐업정보!$D$3:$R$3,0)),
"Error"))</f>
        <v>9995700000</v>
      </c>
      <c r="K1796" s="75" t="str">
        <f aca="false">
IF($D1796="정상",INDEX(임대자산!$D$3:$R$3000,MATCH($F1796,임대자산!$I$3:$I$3000,0),MATCH(K$4,임대자산!$D$3:$R$3,0)),
IF($D1796="폐업",INDEX(폐업정보!$D$3:$R$3000,MATCH($F1796,폐업정보!$I$3:$I$3000,0),MATCH(K$4,폐업정보!$D$3:$R$3,0)),
"Error"))</f>
        <v>C1791</v>
      </c>
      <c r="L1796" s="75" t="str">
        <f aca="false">
IF($D1796="정상",INDEX(임대자산!$D$3:$R$3000,MATCH($F1796,임대자산!$I$3:$I$3000,0),MATCH(L$4,임대자산!$D$3:$R$3,0)),
IF($D1796="폐업",INDEX(폐업정보!$D$3:$R$3000,MATCH($F1796,폐업정보!$I$3:$I$3000,0),MATCH(L$4,폐업정보!$D$3:$R$3,0)),
"Error"))</f>
        <v>D1791</v>
      </c>
      <c r="M1796" s="76" t="s">
        <v>96</v>
      </c>
      <c r="N1796" s="77"/>
      <c r="O1796" s="78" t="s">
        <v>97</v>
      </c>
      <c r="P1796" s="79" t="n">
        <f aca="false">COUNTIFS(임대자산!$I:$I,가맹점정보!F1796,임대자산!$N:$N,가맹점정보!P$4)</f>
        <v>0</v>
      </c>
      <c r="Q1796" s="80" t="n">
        <f aca="false">COUNTIFS(임대자산!$I:$I,가맹점정보!F1796,임대자산!$N:$N,가맹점정보!Q$4)</f>
        <v>0</v>
      </c>
      <c r="R1796" s="81" t="n">
        <f aca="false">COUNTIFS(임대자산!$I:$I,가맹점정보!F1796,임대자산!$N:$N,가맹점정보!R$4)</f>
        <v>1</v>
      </c>
      <c r="S1796" s="82" t="n">
        <v>55000</v>
      </c>
      <c r="T1796" s="83" t="n">
        <v>0</v>
      </c>
      <c r="U1796" s="80" t="n">
        <f aca="false">SUM(S1796:T1796)</f>
        <v>55000</v>
      </c>
      <c r="V1796" s="84" t="s">
        <v>7</v>
      </c>
      <c r="W1796" s="80" t="str">
        <f aca="true">
IF(D1796="폐업","폐업",
IF(V1796="면제","면제",
IF(AND(V1796="정상",COUNTIFS(OFFSET(Y1796,0,COUNTA(Y1796:AV1796)-1,1,-4),"미납")&gt;=3),"장기미납",
IF(AND(V1796="정상",OFFSET(Y1796,0,COUNTA(Y1796:AV1796)-1)&gt;=U1796),"정상",
IF(AND(V1796="정상",OFFSET(Y1796,0,COUNTA(Y1796:AV1796)-1)=0),"정상",
"계약서 미작성")))))</f>
        <v>면제</v>
      </c>
      <c r="X1796" s="81" t="str">
        <f aca="true">
IF(D1796="폐업","폐업",
IF(AND(V1796="정상",OFFSET(Y1796,0,COUNTA(Y1796:AV1796)-1)="미납"),"미납",
IF(AND(V1796="정상",OFFSET(Y1796,0,COUNTA(Y1796:AV1796)-1)=0),"납부 시작 전",
IF(AND(V1796="정상",OFFSET(Y1796,0,COUNTA(Y1796:AV1796)-1)&gt;=U1796),"정상",
IF(AND(V1796="면제",OFFSET(Y1796,0,COUNTA(Y1796:AV1796)-1)="면제"),"면제",
IF(AND(V1796="면제",OFFSET(Y1796,0,COUNTA(Y1796:AV1796)-1)=0),"면제",
"확인요청"))))))</f>
        <v>면제</v>
      </c>
      <c r="Y1796" s="94" t="s">
        <v>7</v>
      </c>
      <c r="Z1796" s="95" t="s">
        <v>7</v>
      </c>
      <c r="AA1796" s="95" t="s">
        <v>7</v>
      </c>
      <c r="AB1796" s="95" t="s">
        <v>7</v>
      </c>
      <c r="AC1796" s="95" t="s">
        <v>7</v>
      </c>
      <c r="AD1796" s="95" t="s">
        <v>7</v>
      </c>
      <c r="AE1796" s="95" t="s">
        <v>7</v>
      </c>
      <c r="AF1796" s="95" t="s">
        <v>7</v>
      </c>
      <c r="AG1796" s="95" t="s">
        <v>7</v>
      </c>
      <c r="AH1796" s="95" t="s">
        <v>7</v>
      </c>
      <c r="AI1796" s="95" t="s">
        <v>7</v>
      </c>
      <c r="AJ1796" s="96" t="s">
        <v>7</v>
      </c>
      <c r="AK1796" s="97" t="s">
        <v>7</v>
      </c>
      <c r="AL1796" s="95" t="s">
        <v>7</v>
      </c>
      <c r="AM1796" s="90"/>
      <c r="AN1796" s="90"/>
      <c r="AO1796" s="90"/>
      <c r="AP1796" s="90"/>
      <c r="AQ1796" s="90"/>
      <c r="AR1796" s="90"/>
      <c r="AS1796" s="90"/>
      <c r="AT1796" s="90"/>
      <c r="AU1796" s="90"/>
      <c r="AV1796" s="91"/>
      <c r="AX1796" s="92"/>
    </row>
    <row r="1797" customFormat="false" ht="15.65" hidden="false" customHeight="false" outlineLevel="0" collapsed="false">
      <c r="C1797" s="72" t="n">
        <f aca="false">COUNTIFS($D$6:D1797,"&lt;&gt;"&amp;"")</f>
        <v>1792</v>
      </c>
      <c r="D1797" s="73" t="s">
        <v>12</v>
      </c>
      <c r="E1797" s="76" t="str">
        <f aca="false">
IF($D1797="정상",INDEX(임대자산!$D$3:$R$3000,MATCH($F1797,임대자산!$I$3:$I$3000,0),MATCH(E$3,임대자산!$D$3:$R$3,0)),
IF($D1797="폐업",INDEX(폐업정보!$D$3:$R$3000,MATCH($F1797,폐업정보!$I$3:$I$3000,0),MATCH(E$3,폐업정보!$D$3:$R$3,0)),
"Error"))</f>
        <v>서울</v>
      </c>
      <c r="F179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B1792</v>
      </c>
      <c r="G1797" s="76" t="str">
        <f aca="false">F1797&amp;RANDBETWEEN(0,10)</f>
        <v>B17926</v>
      </c>
      <c r="H1797" s="75" t="n">
        <f aca="false">
IF($D1797="정상",INDEX(임대자산!$D$3:$R$3000,MATCH($F1797,임대자산!$I$3:$I$3000,0),MATCH(H$4,임대자산!$D$3:$R$3,0)),
IF($D1797="폐업",INDEX(폐업정보!$D$3:$R$3000,MATCH($F1797,폐업정보!$I$3:$I$3000,0),MATCH(H$4,폐업정보!$D$3:$R$3,0)),
"Error"))</f>
        <v>45888</v>
      </c>
      <c r="I1797" s="75" t="str">
        <f aca="false">
IF($D1797="정상",INDEX(임대자산!$D$3:$R$3000,MATCH($F1797,임대자산!$I$3:$I$3000,0),MATCH(I$4,임대자산!$D$3:$R$3,0)),
IF($D1797="폐업",INDEX(폐업정보!$D$3:$R$3000,MATCH($F1797,폐업정보!$I$3:$I$3000,0),MATCH(I$4,폐업정보!$D$3:$R$3,0)),
"Error"))</f>
        <v>A1792</v>
      </c>
      <c r="J1797" s="75" t="str">
        <f aca="false">
IF($D1797="정상",INDEX(임대자산!$D$3:$R$3000,MATCH($F1797,임대자산!$I$3:$I$3000,0),MATCH(J$4,임대자산!$D$3:$R$3,0)),
IF($D1797="폐업",INDEX(폐업정보!$D$3:$R$3000,MATCH($F1797,폐업정보!$I$3:$I$3000,0),MATCH(J$4,폐업정보!$D$3:$R$3,0)),
"Error"))</f>
        <v>4887000000</v>
      </c>
      <c r="K1797" s="75" t="str">
        <f aca="false">
IF($D1797="정상",INDEX(임대자산!$D$3:$R$3000,MATCH($F1797,임대자산!$I$3:$I$3000,0),MATCH(K$4,임대자산!$D$3:$R$3,0)),
IF($D1797="폐업",INDEX(폐업정보!$D$3:$R$3000,MATCH($F1797,폐업정보!$I$3:$I$3000,0),MATCH(K$4,폐업정보!$D$3:$R$3,0)),
"Error"))</f>
        <v>C1792</v>
      </c>
      <c r="L1797" s="75" t="str">
        <f aca="false">
IF($D1797="정상",INDEX(임대자산!$D$3:$R$3000,MATCH($F1797,임대자산!$I$3:$I$3000,0),MATCH(L$4,임대자산!$D$3:$R$3,0)),
IF($D1797="폐업",INDEX(폐업정보!$D$3:$R$3000,MATCH($F1797,폐업정보!$I$3:$I$3000,0),MATCH(L$4,폐업정보!$D$3:$R$3,0)),
"Error"))</f>
        <v>D1792</v>
      </c>
      <c r="M1797" s="76" t="s">
        <v>96</v>
      </c>
      <c r="N1797" s="77"/>
      <c r="O1797" s="78" t="s">
        <v>97</v>
      </c>
      <c r="P1797" s="79" t="n">
        <f aca="false">COUNTIFS(임대자산!$I:$I,가맹점정보!F1797,임대자산!$N:$N,가맹점정보!P$4)</f>
        <v>0</v>
      </c>
      <c r="Q1797" s="80" t="n">
        <f aca="false">COUNTIFS(임대자산!$I:$I,가맹점정보!F1797,임대자산!$N:$N,가맹점정보!Q$4)</f>
        <v>0</v>
      </c>
      <c r="R1797" s="81" t="n">
        <f aca="false">COUNTIFS(임대자산!$I:$I,가맹점정보!F1797,임대자산!$N:$N,가맹점정보!R$4)</f>
        <v>1</v>
      </c>
      <c r="S1797" s="82" t="n">
        <v>55000</v>
      </c>
      <c r="T1797" s="83" t="n">
        <v>0</v>
      </c>
      <c r="U1797" s="80" t="n">
        <f aca="false">SUM(S1797:T1797)</f>
        <v>55000</v>
      </c>
      <c r="V1797" s="84" t="s">
        <v>12</v>
      </c>
      <c r="W1797" s="80" t="e">
        <f aca="true">
IF(D1797="폐업","폐업",
IF(V1797="면제","면제",
IF(AND(V1797="정상",COUNTIFS(OFFSET(Y1797,0,COUNTA(Y1797:AV1797)-1,1,-4),"미납")&gt;=3),"장기미납",
IF(AND(V1797="정상",OFFSET(Y1797,0,COUNTA(Y1797:AV1797)-1)&gt;=U1797),"정상",
IF(AND(V1797="정상",OFFSET(Y1797,0,COUNTA(Y1797:AV1797)-1)=0),"정상",
"계약서 미작성")))))</f>
        <v>#VALUE!</v>
      </c>
      <c r="X1797" s="81" t="str">
        <f aca="true">
IF(D1797="폐업","폐업",
IF(AND(V1797="정상",OFFSET(Y1797,0,COUNTA(Y1797:AV1797)-1)="미납"),"미납",
IF(AND(V1797="정상",OFFSET(Y1797,0,COUNTA(Y1797:AV1797)-1)=0),"납부 시작 전",
IF(AND(V1797="정상",OFFSET(Y1797,0,COUNTA(Y1797:AV1797)-1)&gt;=U1797),"정상",
IF(AND(V1797="면제",OFFSET(Y1797,0,COUNTA(Y1797:AV1797)-1)="면제"),"면제",
IF(AND(V1797="면제",OFFSET(Y1797,0,COUNTA(Y1797:AV1797)-1)=0),"면제",
"확인요청"))))))</f>
        <v>정상</v>
      </c>
      <c r="Y1797" s="93" t="n">
        <v>0</v>
      </c>
      <c r="Z1797" s="90" t="n">
        <v>55000</v>
      </c>
      <c r="AA1797" s="90" t="n">
        <v>55000</v>
      </c>
      <c r="AB1797" s="90" t="n">
        <v>55000</v>
      </c>
      <c r="AC1797" s="90" t="n">
        <v>55000</v>
      </c>
      <c r="AD1797" s="90" t="n">
        <v>55000</v>
      </c>
      <c r="AE1797" s="90" t="n">
        <v>55000</v>
      </c>
      <c r="AF1797" s="90" t="n">
        <v>55000</v>
      </c>
      <c r="AG1797" s="90" t="n">
        <v>55000</v>
      </c>
      <c r="AH1797" s="90" t="n">
        <v>55000</v>
      </c>
      <c r="AI1797" s="90" t="n">
        <v>55000</v>
      </c>
      <c r="AJ1797" s="91" t="n">
        <v>55000</v>
      </c>
      <c r="AK1797" s="89" t="n">
        <v>55000</v>
      </c>
      <c r="AL1797" s="90" t="n">
        <v>55000</v>
      </c>
      <c r="AM1797" s="90"/>
      <c r="AN1797" s="90"/>
      <c r="AO1797" s="90"/>
      <c r="AP1797" s="90"/>
      <c r="AQ1797" s="90"/>
      <c r="AR1797" s="90"/>
      <c r="AS1797" s="90"/>
      <c r="AT1797" s="90"/>
      <c r="AU1797" s="90"/>
      <c r="AV1797" s="91"/>
      <c r="AX1797" s="92"/>
    </row>
    <row r="1798" customFormat="false" ht="15.65" hidden="false" customHeight="false" outlineLevel="0" collapsed="false">
      <c r="C1798" s="72" t="n">
        <f aca="false">COUNTIFS($D$6:D1798,"&lt;&gt;"&amp;"")</f>
        <v>1793</v>
      </c>
      <c r="D1798" s="73" t="s">
        <v>12</v>
      </c>
      <c r="E1798" s="76" t="str">
        <f aca="false">
IF($D1798="정상",INDEX(임대자산!$D$3:$R$3000,MATCH($F1798,임대자산!$I$3:$I$3000,0),MATCH(E$3,임대자산!$D$3:$R$3,0)),
IF($D1798="폐업",INDEX(폐업정보!$D$3:$R$3000,MATCH($F1798,폐업정보!$I$3:$I$3000,0),MATCH(E$3,폐업정보!$D$3:$R$3,0)),
"Error"))</f>
        <v>강원</v>
      </c>
      <c r="F179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B1793</v>
      </c>
      <c r="G1798" s="76" t="str">
        <f aca="false">F1798&amp;RANDBETWEEN(0,10)</f>
        <v>B17932</v>
      </c>
      <c r="H1798" s="75" t="n">
        <f aca="false">
IF($D1798="정상",INDEX(임대자산!$D$3:$R$3000,MATCH($F1798,임대자산!$I$3:$I$3000,0),MATCH(H$4,임대자산!$D$3:$R$3,0)),
IF($D1798="폐업",INDEX(폐업정보!$D$3:$R$3000,MATCH($F1798,폐업정보!$I$3:$I$3000,0),MATCH(H$4,폐업정보!$D$3:$R$3,0)),
"Error"))</f>
        <v>45887</v>
      </c>
      <c r="I1798" s="75" t="str">
        <f aca="false">
IF($D1798="정상",INDEX(임대자산!$D$3:$R$3000,MATCH($F1798,임대자산!$I$3:$I$3000,0),MATCH(I$4,임대자산!$D$3:$R$3,0)),
IF($D1798="폐업",INDEX(폐업정보!$D$3:$R$3000,MATCH($F1798,폐업정보!$I$3:$I$3000,0),MATCH(I$4,폐업정보!$D$3:$R$3,0)),
"Error"))</f>
        <v>A1793</v>
      </c>
      <c r="J1798" s="75" t="str">
        <f aca="false">
IF($D1798="정상",INDEX(임대자산!$D$3:$R$3000,MATCH($F1798,임대자산!$I$3:$I$3000,0),MATCH(J$4,임대자산!$D$3:$R$3,0)),
IF($D1798="폐업",INDEX(폐업정보!$D$3:$R$3000,MATCH($F1798,폐업정보!$I$3:$I$3000,0),MATCH(J$4,폐업정보!$D$3:$R$3,0)),
"Error"))</f>
        <v>7753300000</v>
      </c>
      <c r="K1798" s="75" t="str">
        <f aca="false">
IF($D1798="정상",INDEX(임대자산!$D$3:$R$3000,MATCH($F1798,임대자산!$I$3:$I$3000,0),MATCH(K$4,임대자산!$D$3:$R$3,0)),
IF($D1798="폐업",INDEX(폐업정보!$D$3:$R$3000,MATCH($F1798,폐업정보!$I$3:$I$3000,0),MATCH(K$4,폐업정보!$D$3:$R$3,0)),
"Error"))</f>
        <v>C1793</v>
      </c>
      <c r="L1798" s="75" t="str">
        <f aca="false">
IF($D1798="정상",INDEX(임대자산!$D$3:$R$3000,MATCH($F1798,임대자산!$I$3:$I$3000,0),MATCH(L$4,임대자산!$D$3:$R$3,0)),
IF($D1798="폐업",INDEX(폐업정보!$D$3:$R$3000,MATCH($F1798,폐업정보!$I$3:$I$3000,0),MATCH(L$4,폐업정보!$D$3:$R$3,0)),
"Error"))</f>
        <v>D1793</v>
      </c>
      <c r="M1798" s="76" t="s">
        <v>96</v>
      </c>
      <c r="N1798" s="77"/>
      <c r="O1798" s="78" t="s">
        <v>97</v>
      </c>
      <c r="P1798" s="79" t="n">
        <f aca="false">COUNTIFS(임대자산!$I:$I,가맹점정보!F1798,임대자산!$N:$N,가맹점정보!P$4)</f>
        <v>0</v>
      </c>
      <c r="Q1798" s="80" t="n">
        <f aca="false">COUNTIFS(임대자산!$I:$I,가맹점정보!F1798,임대자산!$N:$N,가맹점정보!Q$4)</f>
        <v>0</v>
      </c>
      <c r="R1798" s="81" t="n">
        <f aca="false">COUNTIFS(임대자산!$I:$I,가맹점정보!F1798,임대자산!$N:$N,가맹점정보!R$4)</f>
        <v>1</v>
      </c>
      <c r="S1798" s="82" t="n">
        <v>55000</v>
      </c>
      <c r="T1798" s="83" t="n">
        <v>0</v>
      </c>
      <c r="U1798" s="80" t="n">
        <f aca="false">SUM(S1798:T1798)</f>
        <v>55000</v>
      </c>
      <c r="V1798" s="84" t="s">
        <v>7</v>
      </c>
      <c r="W1798" s="80" t="str">
        <f aca="true">
IF(D1798="폐업","폐업",
IF(V1798="면제","면제",
IF(AND(V1798="정상",COUNTIFS(OFFSET(Y1798,0,COUNTA(Y1798:AV1798)-1,1,-4),"미납")&gt;=3),"장기미납",
IF(AND(V1798="정상",OFFSET(Y1798,0,COUNTA(Y1798:AV1798)-1)&gt;=U1798),"정상",
IF(AND(V1798="정상",OFFSET(Y1798,0,COUNTA(Y1798:AV1798)-1)=0),"정상",
"계약서 미작성")))))</f>
        <v>면제</v>
      </c>
      <c r="X1798" s="81" t="str">
        <f aca="true">
IF(D1798="폐업","폐업",
IF(AND(V1798="정상",OFFSET(Y1798,0,COUNTA(Y1798:AV1798)-1)="미납"),"미납",
IF(AND(V1798="정상",OFFSET(Y1798,0,COUNTA(Y1798:AV1798)-1)=0),"납부 시작 전",
IF(AND(V1798="정상",OFFSET(Y1798,0,COUNTA(Y1798:AV1798)-1)&gt;=U1798),"정상",
IF(AND(V1798="면제",OFFSET(Y1798,0,COUNTA(Y1798:AV1798)-1)="면제"),"면제",
IF(AND(V1798="면제",OFFSET(Y1798,0,COUNTA(Y1798:AV1798)-1)=0),"면제",
"확인요청"))))))</f>
        <v>면제</v>
      </c>
      <c r="Y1798" s="94" t="s">
        <v>7</v>
      </c>
      <c r="Z1798" s="95" t="s">
        <v>7</v>
      </c>
      <c r="AA1798" s="95" t="s">
        <v>7</v>
      </c>
      <c r="AB1798" s="95" t="s">
        <v>7</v>
      </c>
      <c r="AC1798" s="95" t="s">
        <v>7</v>
      </c>
      <c r="AD1798" s="95" t="s">
        <v>7</v>
      </c>
      <c r="AE1798" s="95" t="s">
        <v>7</v>
      </c>
      <c r="AF1798" s="95" t="s">
        <v>7</v>
      </c>
      <c r="AG1798" s="95" t="s">
        <v>7</v>
      </c>
      <c r="AH1798" s="95" t="s">
        <v>7</v>
      </c>
      <c r="AI1798" s="95" t="s">
        <v>7</v>
      </c>
      <c r="AJ1798" s="96" t="s">
        <v>7</v>
      </c>
      <c r="AK1798" s="97" t="s">
        <v>7</v>
      </c>
      <c r="AL1798" s="95" t="s">
        <v>7</v>
      </c>
      <c r="AM1798" s="90"/>
      <c r="AN1798" s="90"/>
      <c r="AO1798" s="90"/>
      <c r="AP1798" s="90"/>
      <c r="AQ1798" s="90"/>
      <c r="AR1798" s="90"/>
      <c r="AS1798" s="90"/>
      <c r="AT1798" s="90"/>
      <c r="AU1798" s="90"/>
      <c r="AV1798" s="91"/>
      <c r="AX1798" s="92"/>
    </row>
    <row r="1799" customFormat="false" ht="15.65" hidden="false" customHeight="false" outlineLevel="0" collapsed="false">
      <c r="C1799" s="72" t="n">
        <f aca="false">COUNTIFS($D$6:D1799,"&lt;&gt;"&amp;"")</f>
        <v>1794</v>
      </c>
      <c r="D1799" s="73" t="s">
        <v>12</v>
      </c>
      <c r="E1799" s="76" t="str">
        <f aca="false">
IF($D1799="정상",INDEX(임대자산!$D$3:$R$3000,MATCH($F1799,임대자산!$I$3:$I$3000,0),MATCH(E$3,임대자산!$D$3:$R$3,0)),
IF($D1799="폐업",INDEX(폐업정보!$D$3:$R$3000,MATCH($F1799,폐업정보!$I$3:$I$3000,0),MATCH(E$3,폐업정보!$D$3:$R$3,0)),
"Error"))</f>
        <v>전라</v>
      </c>
      <c r="F179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B1794</v>
      </c>
      <c r="G1799" s="76" t="str">
        <f aca="false">F1799&amp;RANDBETWEEN(0,10)</f>
        <v>B17943</v>
      </c>
      <c r="H1799" s="75" t="n">
        <f aca="false">
IF($D1799="정상",INDEX(임대자산!$D$3:$R$3000,MATCH($F1799,임대자산!$I$3:$I$3000,0),MATCH(H$4,임대자산!$D$3:$R$3,0)),
IF($D1799="폐업",INDEX(폐업정보!$D$3:$R$3000,MATCH($F1799,폐업정보!$I$3:$I$3000,0),MATCH(H$4,폐업정보!$D$3:$R$3,0)),
"Error"))</f>
        <v>45883</v>
      </c>
      <c r="I1799" s="75" t="str">
        <f aca="false">
IF($D1799="정상",INDEX(임대자산!$D$3:$R$3000,MATCH($F1799,임대자산!$I$3:$I$3000,0),MATCH(I$4,임대자산!$D$3:$R$3,0)),
IF($D1799="폐업",INDEX(폐업정보!$D$3:$R$3000,MATCH($F1799,폐업정보!$I$3:$I$3000,0),MATCH(I$4,폐업정보!$D$3:$R$3,0)),
"Error"))</f>
        <v>A1794</v>
      </c>
      <c r="J1799" s="75" t="str">
        <f aca="false">
IF($D1799="정상",INDEX(임대자산!$D$3:$R$3000,MATCH($F1799,임대자산!$I$3:$I$3000,0),MATCH(J$4,임대자산!$D$3:$R$3,0)),
IF($D1799="폐업",INDEX(폐업정보!$D$3:$R$3000,MATCH($F1799,폐업정보!$I$3:$I$3000,0),MATCH(J$4,폐업정보!$D$3:$R$3,0)),
"Error"))</f>
        <v>2917000000</v>
      </c>
      <c r="K1799" s="75" t="str">
        <f aca="false">
IF($D1799="정상",INDEX(임대자산!$D$3:$R$3000,MATCH($F1799,임대자산!$I$3:$I$3000,0),MATCH(K$4,임대자산!$D$3:$R$3,0)),
IF($D1799="폐업",INDEX(폐업정보!$D$3:$R$3000,MATCH($F1799,폐업정보!$I$3:$I$3000,0),MATCH(K$4,폐업정보!$D$3:$R$3,0)),
"Error"))</f>
        <v>C1794</v>
      </c>
      <c r="L1799" s="75" t="str">
        <f aca="false">
IF($D1799="정상",INDEX(임대자산!$D$3:$R$3000,MATCH($F1799,임대자산!$I$3:$I$3000,0),MATCH(L$4,임대자산!$D$3:$R$3,0)),
IF($D1799="폐업",INDEX(폐업정보!$D$3:$R$3000,MATCH($F1799,폐업정보!$I$3:$I$3000,0),MATCH(L$4,폐업정보!$D$3:$R$3,0)),
"Error"))</f>
        <v>D1794</v>
      </c>
      <c r="M1799" s="76" t="s">
        <v>96</v>
      </c>
      <c r="N1799" s="77"/>
      <c r="O1799" s="78" t="s">
        <v>97</v>
      </c>
      <c r="P1799" s="79" t="n">
        <f aca="false">COUNTIFS(임대자산!$I:$I,가맹점정보!F1799,임대자산!$N:$N,가맹점정보!P$4)</f>
        <v>0</v>
      </c>
      <c r="Q1799" s="80" t="n">
        <f aca="false">COUNTIFS(임대자산!$I:$I,가맹점정보!F1799,임대자산!$N:$N,가맹점정보!Q$4)</f>
        <v>0</v>
      </c>
      <c r="R1799" s="81" t="n">
        <f aca="false">COUNTIFS(임대자산!$I:$I,가맹점정보!F1799,임대자산!$N:$N,가맹점정보!R$4)</f>
        <v>1</v>
      </c>
      <c r="S1799" s="82" t="n">
        <v>88000</v>
      </c>
      <c r="T1799" s="83" t="n">
        <v>0</v>
      </c>
      <c r="U1799" s="80" t="n">
        <f aca="false">SUM(S1799:T1799)</f>
        <v>88000</v>
      </c>
      <c r="V1799" s="84" t="s">
        <v>7</v>
      </c>
      <c r="W1799" s="80" t="str">
        <f aca="true">
IF(D1799="폐업","폐업",
IF(V1799="면제","면제",
IF(AND(V1799="정상",COUNTIFS(OFFSET(Y1799,0,COUNTA(Y1799:AV1799)-1,1,-4),"미납")&gt;=3),"장기미납",
IF(AND(V1799="정상",OFFSET(Y1799,0,COUNTA(Y1799:AV1799)-1)&gt;=U1799),"정상",
IF(AND(V1799="정상",OFFSET(Y1799,0,COUNTA(Y1799:AV1799)-1)=0),"정상",
"계약서 미작성")))))</f>
        <v>면제</v>
      </c>
      <c r="X1799" s="81" t="str">
        <f aca="true">
IF(D1799="폐업","폐업",
IF(AND(V1799="정상",OFFSET(Y1799,0,COUNTA(Y1799:AV1799)-1)="미납"),"미납",
IF(AND(V1799="정상",OFFSET(Y1799,0,COUNTA(Y1799:AV1799)-1)=0),"납부 시작 전",
IF(AND(V1799="정상",OFFSET(Y1799,0,COUNTA(Y1799:AV1799)-1)&gt;=U1799),"정상",
IF(AND(V1799="면제",OFFSET(Y1799,0,COUNTA(Y1799:AV1799)-1)="면제"),"면제",
IF(AND(V1799="면제",OFFSET(Y1799,0,COUNTA(Y1799:AV1799)-1)=0),"면제",
"확인요청"))))))</f>
        <v>면제</v>
      </c>
      <c r="Y1799" s="94" t="s">
        <v>7</v>
      </c>
      <c r="Z1799" s="95" t="s">
        <v>7</v>
      </c>
      <c r="AA1799" s="95" t="s">
        <v>7</v>
      </c>
      <c r="AB1799" s="95" t="s">
        <v>7</v>
      </c>
      <c r="AC1799" s="95" t="s">
        <v>7</v>
      </c>
      <c r="AD1799" s="95" t="s">
        <v>7</v>
      </c>
      <c r="AE1799" s="95" t="s">
        <v>7</v>
      </c>
      <c r="AF1799" s="95" t="s">
        <v>7</v>
      </c>
      <c r="AG1799" s="95" t="s">
        <v>7</v>
      </c>
      <c r="AH1799" s="95" t="s">
        <v>7</v>
      </c>
      <c r="AI1799" s="95" t="s">
        <v>7</v>
      </c>
      <c r="AJ1799" s="96" t="s">
        <v>7</v>
      </c>
      <c r="AK1799" s="97" t="s">
        <v>7</v>
      </c>
      <c r="AL1799" s="95" t="s">
        <v>7</v>
      </c>
      <c r="AM1799" s="90"/>
      <c r="AN1799" s="90"/>
      <c r="AO1799" s="90"/>
      <c r="AP1799" s="90"/>
      <c r="AQ1799" s="90"/>
      <c r="AR1799" s="90"/>
      <c r="AS1799" s="90"/>
      <c r="AT1799" s="90"/>
      <c r="AU1799" s="90"/>
      <c r="AV1799" s="91"/>
      <c r="AX1799" s="92"/>
    </row>
    <row r="1800" customFormat="false" ht="15.65" hidden="false" customHeight="false" outlineLevel="0" collapsed="false">
      <c r="C1800" s="72" t="n">
        <f aca="false">COUNTIFS($D$6:D1800,"&lt;&gt;"&amp;"")</f>
        <v>1795</v>
      </c>
      <c r="D1800" s="73" t="s">
        <v>12</v>
      </c>
      <c r="E1800" s="76" t="str">
        <f aca="false">
IF($D1800="정상",INDEX(임대자산!$D$3:$R$3000,MATCH($F1800,임대자산!$I$3:$I$3000,0),MATCH(E$3,임대자산!$D$3:$R$3,0)),
IF($D1800="폐업",INDEX(폐업정보!$D$3:$R$3000,MATCH($F1800,폐업정보!$I$3:$I$3000,0),MATCH(E$3,폐업정보!$D$3:$R$3,0)),
"Error"))</f>
        <v>전라</v>
      </c>
      <c r="F180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B1795</v>
      </c>
      <c r="G1800" s="76" t="str">
        <f aca="false">F1800&amp;RANDBETWEEN(0,10)</f>
        <v>B179510</v>
      </c>
      <c r="H1800" s="75" t="n">
        <f aca="false">
IF($D1800="정상",INDEX(임대자산!$D$3:$R$3000,MATCH($F1800,임대자산!$I$3:$I$3000,0),MATCH(H$4,임대자산!$D$3:$R$3,0)),
IF($D1800="폐업",INDEX(폐업정보!$D$3:$R$3000,MATCH($F1800,폐업정보!$I$3:$I$3000,0),MATCH(H$4,폐업정보!$D$3:$R$3,0)),
"Error"))</f>
        <v>45883</v>
      </c>
      <c r="I1800" s="75" t="str">
        <f aca="false">
IF($D1800="정상",INDEX(임대자산!$D$3:$R$3000,MATCH($F1800,임대자산!$I$3:$I$3000,0),MATCH(I$4,임대자산!$D$3:$R$3,0)),
IF($D1800="폐업",INDEX(폐업정보!$D$3:$R$3000,MATCH($F1800,폐업정보!$I$3:$I$3000,0),MATCH(I$4,폐업정보!$D$3:$R$3,0)),
"Error"))</f>
        <v>A1795</v>
      </c>
      <c r="J1800" s="75" t="str">
        <f aca="false">
IF($D1800="정상",INDEX(임대자산!$D$3:$R$3000,MATCH($F1800,임대자산!$I$3:$I$3000,0),MATCH(J$4,임대자산!$D$3:$R$3,0)),
IF($D1800="폐업",INDEX(폐업정보!$D$3:$R$3000,MATCH($F1800,폐업정보!$I$3:$I$3000,0),MATCH(J$4,폐업정보!$D$3:$R$3,0)),
"Error"))</f>
        <v>2885600000</v>
      </c>
      <c r="K1800" s="75" t="str">
        <f aca="false">
IF($D1800="정상",INDEX(임대자산!$D$3:$R$3000,MATCH($F1800,임대자산!$I$3:$I$3000,0),MATCH(K$4,임대자산!$D$3:$R$3,0)),
IF($D1800="폐업",INDEX(폐업정보!$D$3:$R$3000,MATCH($F1800,폐업정보!$I$3:$I$3000,0),MATCH(K$4,폐업정보!$D$3:$R$3,0)),
"Error"))</f>
        <v>C1795</v>
      </c>
      <c r="L1800" s="75" t="str">
        <f aca="false">
IF($D1800="정상",INDEX(임대자산!$D$3:$R$3000,MATCH($F1800,임대자산!$I$3:$I$3000,0),MATCH(L$4,임대자산!$D$3:$R$3,0)),
IF($D1800="폐업",INDEX(폐업정보!$D$3:$R$3000,MATCH($F1800,폐업정보!$I$3:$I$3000,0),MATCH(L$4,폐업정보!$D$3:$R$3,0)),
"Error"))</f>
        <v>D1795</v>
      </c>
      <c r="M1800" s="76" t="s">
        <v>96</v>
      </c>
      <c r="N1800" s="77"/>
      <c r="O1800" s="78" t="s">
        <v>97</v>
      </c>
      <c r="P1800" s="79" t="n">
        <f aca="false">COUNTIFS(임대자산!$I:$I,가맹점정보!F1800,임대자산!$N:$N,가맹점정보!P$4)</f>
        <v>0</v>
      </c>
      <c r="Q1800" s="80" t="n">
        <f aca="false">COUNTIFS(임대자산!$I:$I,가맹점정보!F1800,임대자산!$N:$N,가맹점정보!Q$4)</f>
        <v>0</v>
      </c>
      <c r="R1800" s="81" t="n">
        <f aca="false">COUNTIFS(임대자산!$I:$I,가맹점정보!F1800,임대자산!$N:$N,가맹점정보!R$4)</f>
        <v>1</v>
      </c>
      <c r="S1800" s="82" t="n">
        <v>88000</v>
      </c>
      <c r="T1800" s="83" t="n">
        <v>0</v>
      </c>
      <c r="U1800" s="80" t="n">
        <f aca="false">SUM(S1800:T1800)</f>
        <v>88000</v>
      </c>
      <c r="V1800" s="84" t="s">
        <v>7</v>
      </c>
      <c r="W1800" s="80" t="str">
        <f aca="true">
IF(D1800="폐업","폐업",
IF(V1800="면제","면제",
IF(AND(V1800="정상",COUNTIFS(OFFSET(Y1800,0,COUNTA(Y1800:AV1800)-1,1,-4),"미납")&gt;=3),"장기미납",
IF(AND(V1800="정상",OFFSET(Y1800,0,COUNTA(Y1800:AV1800)-1)&gt;=U1800),"정상",
IF(AND(V1800="정상",OFFSET(Y1800,0,COUNTA(Y1800:AV1800)-1)=0),"정상",
"계약서 미작성")))))</f>
        <v>면제</v>
      </c>
      <c r="X1800" s="81" t="str">
        <f aca="true">
IF(D1800="폐업","폐업",
IF(AND(V1800="정상",OFFSET(Y1800,0,COUNTA(Y1800:AV1800)-1)="미납"),"미납",
IF(AND(V1800="정상",OFFSET(Y1800,0,COUNTA(Y1800:AV1800)-1)=0),"납부 시작 전",
IF(AND(V1800="정상",OFFSET(Y1800,0,COUNTA(Y1800:AV1800)-1)&gt;=U1800),"정상",
IF(AND(V1800="면제",OFFSET(Y1800,0,COUNTA(Y1800:AV1800)-1)="면제"),"면제",
IF(AND(V1800="면제",OFFSET(Y1800,0,COUNTA(Y1800:AV1800)-1)=0),"면제",
"확인요청"))))))</f>
        <v>면제</v>
      </c>
      <c r="Y1800" s="94" t="s">
        <v>7</v>
      </c>
      <c r="Z1800" s="95" t="s">
        <v>7</v>
      </c>
      <c r="AA1800" s="95" t="s">
        <v>7</v>
      </c>
      <c r="AB1800" s="95" t="s">
        <v>7</v>
      </c>
      <c r="AC1800" s="95" t="s">
        <v>7</v>
      </c>
      <c r="AD1800" s="95" t="s">
        <v>7</v>
      </c>
      <c r="AE1800" s="95" t="s">
        <v>7</v>
      </c>
      <c r="AF1800" s="95" t="s">
        <v>7</v>
      </c>
      <c r="AG1800" s="95" t="s">
        <v>7</v>
      </c>
      <c r="AH1800" s="95" t="s">
        <v>7</v>
      </c>
      <c r="AI1800" s="95" t="s">
        <v>7</v>
      </c>
      <c r="AJ1800" s="96" t="s">
        <v>7</v>
      </c>
      <c r="AK1800" s="97" t="s">
        <v>7</v>
      </c>
      <c r="AL1800" s="95" t="s">
        <v>7</v>
      </c>
      <c r="AM1800" s="90"/>
      <c r="AN1800" s="90"/>
      <c r="AO1800" s="90"/>
      <c r="AP1800" s="90"/>
      <c r="AQ1800" s="90"/>
      <c r="AR1800" s="90"/>
      <c r="AS1800" s="90"/>
      <c r="AT1800" s="90"/>
      <c r="AU1800" s="90"/>
      <c r="AV1800" s="91"/>
      <c r="AX1800" s="92"/>
    </row>
    <row r="1801" customFormat="false" ht="15.65" hidden="false" customHeight="false" outlineLevel="0" collapsed="false">
      <c r="C1801" s="72" t="n">
        <f aca="false">COUNTIFS($D$6:D1801,"&lt;&gt;"&amp;"")</f>
        <v>1796</v>
      </c>
      <c r="D1801" s="73" t="s">
        <v>12</v>
      </c>
      <c r="E1801" s="76" t="str">
        <f aca="false">
IF($D1801="정상",INDEX(임대자산!$D$3:$R$3000,MATCH($F1801,임대자산!$I$3:$I$3000,0),MATCH(E$3,임대자산!$D$3:$R$3,0)),
IF($D1801="폐업",INDEX(폐업정보!$D$3:$R$3000,MATCH($F1801,폐업정보!$I$3:$I$3000,0),MATCH(E$3,폐업정보!$D$3:$R$3,0)),
"Error"))</f>
        <v>서울</v>
      </c>
      <c r="F180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B1796</v>
      </c>
      <c r="G1801" s="76" t="str">
        <f aca="false">F1801&amp;RANDBETWEEN(0,10)</f>
        <v>B17967</v>
      </c>
      <c r="H1801" s="75" t="n">
        <f aca="false">
IF($D1801="정상",INDEX(임대자산!$D$3:$R$3000,MATCH($F1801,임대자산!$I$3:$I$3000,0),MATCH(H$4,임대자산!$D$3:$R$3,0)),
IF($D1801="폐업",INDEX(폐업정보!$D$3:$R$3000,MATCH($F1801,폐업정보!$I$3:$I$3000,0),MATCH(H$4,폐업정보!$D$3:$R$3,0)),
"Error"))</f>
        <v>45895</v>
      </c>
      <c r="I1801" s="75" t="str">
        <f aca="false">
IF($D1801="정상",INDEX(임대자산!$D$3:$R$3000,MATCH($F1801,임대자산!$I$3:$I$3000,0),MATCH(I$4,임대자산!$D$3:$R$3,0)),
IF($D1801="폐업",INDEX(폐업정보!$D$3:$R$3000,MATCH($F1801,폐업정보!$I$3:$I$3000,0),MATCH(I$4,폐업정보!$D$3:$R$3,0)),
"Error"))</f>
        <v>A1796</v>
      </c>
      <c r="J1801" s="75" t="str">
        <f aca="false">
IF($D1801="정상",INDEX(임대자산!$D$3:$R$3000,MATCH($F1801,임대자산!$I$3:$I$3000,0),MATCH(J$4,임대자산!$D$3:$R$3,0)),
IF($D1801="폐업",INDEX(폐업정보!$D$3:$R$3000,MATCH($F1801,폐업정보!$I$3:$I$3000,0),MATCH(J$4,폐업정보!$D$3:$R$3,0)),
"Error"))</f>
        <v>4078000000</v>
      </c>
      <c r="K1801" s="75" t="str">
        <f aca="false">
IF($D1801="정상",INDEX(임대자산!$D$3:$R$3000,MATCH($F1801,임대자산!$I$3:$I$3000,0),MATCH(K$4,임대자산!$D$3:$R$3,0)),
IF($D1801="폐업",INDEX(폐업정보!$D$3:$R$3000,MATCH($F1801,폐업정보!$I$3:$I$3000,0),MATCH(K$4,폐업정보!$D$3:$R$3,0)),
"Error"))</f>
        <v>C1796</v>
      </c>
      <c r="L1801" s="75" t="str">
        <f aca="false">
IF($D1801="정상",INDEX(임대자산!$D$3:$R$3000,MATCH($F1801,임대자산!$I$3:$I$3000,0),MATCH(L$4,임대자산!$D$3:$R$3,0)),
IF($D1801="폐업",INDEX(폐업정보!$D$3:$R$3000,MATCH($F1801,폐업정보!$I$3:$I$3000,0),MATCH(L$4,폐업정보!$D$3:$R$3,0)),
"Error"))</f>
        <v>D1796</v>
      </c>
      <c r="M1801" s="76" t="s">
        <v>96</v>
      </c>
      <c r="N1801" s="77"/>
      <c r="O1801" s="78" t="s">
        <v>97</v>
      </c>
      <c r="P1801" s="79" t="n">
        <f aca="false">COUNTIFS(임대자산!$I:$I,가맹점정보!F1801,임대자산!$N:$N,가맹점정보!P$4)</f>
        <v>0</v>
      </c>
      <c r="Q1801" s="80" t="n">
        <f aca="false">COUNTIFS(임대자산!$I:$I,가맹점정보!F1801,임대자산!$N:$N,가맹점정보!Q$4)</f>
        <v>0</v>
      </c>
      <c r="R1801" s="81" t="n">
        <f aca="false">COUNTIFS(임대자산!$I:$I,가맹점정보!F1801,임대자산!$N:$N,가맹점정보!R$4)</f>
        <v>1</v>
      </c>
      <c r="S1801" s="82" t="n">
        <v>55000</v>
      </c>
      <c r="T1801" s="83" t="n">
        <v>0</v>
      </c>
      <c r="U1801" s="80" t="n">
        <f aca="false">SUM(S1801:T1801)</f>
        <v>55000</v>
      </c>
      <c r="V1801" s="84" t="s">
        <v>12</v>
      </c>
      <c r="W1801" s="80" t="e">
        <f aca="true">
IF(D1801="폐업","폐업",
IF(V1801="면제","면제",
IF(AND(V1801="정상",COUNTIFS(OFFSET(Y1801,0,COUNTA(Y1801:AV1801)-1,1,-4),"미납")&gt;=3),"장기미납",
IF(AND(V1801="정상",OFFSET(Y1801,0,COUNTA(Y1801:AV1801)-1)&gt;=U1801),"정상",
IF(AND(V1801="정상",OFFSET(Y1801,0,COUNTA(Y1801:AV1801)-1)=0),"정상",
"계약서 미작성")))))</f>
        <v>#VALUE!</v>
      </c>
      <c r="X1801" s="81" t="str">
        <f aca="true">
IF(D1801="폐업","폐업",
IF(AND(V1801="정상",OFFSET(Y1801,0,COUNTA(Y1801:AV1801)-1)="미납"),"미납",
IF(AND(V1801="정상",OFFSET(Y1801,0,COUNTA(Y1801:AV1801)-1)=0),"납부 시작 전",
IF(AND(V1801="정상",OFFSET(Y1801,0,COUNTA(Y1801:AV1801)-1)&gt;=U1801),"정상",
IF(AND(V1801="면제",OFFSET(Y1801,0,COUNTA(Y1801:AV1801)-1)="면제"),"면제",
IF(AND(V1801="면제",OFFSET(Y1801,0,COUNTA(Y1801:AV1801)-1)=0),"면제",
"확인요청"))))))</f>
        <v>정상</v>
      </c>
      <c r="Y1801" s="93" t="n">
        <v>0</v>
      </c>
      <c r="Z1801" s="90" t="n">
        <v>55000</v>
      </c>
      <c r="AA1801" s="90" t="n">
        <v>55000</v>
      </c>
      <c r="AB1801" s="90" t="n">
        <v>55000</v>
      </c>
      <c r="AC1801" s="90" t="n">
        <v>55000</v>
      </c>
      <c r="AD1801" s="90" t="n">
        <v>55000</v>
      </c>
      <c r="AE1801" s="90" t="n">
        <v>55000</v>
      </c>
      <c r="AF1801" s="90" t="n">
        <v>55000</v>
      </c>
      <c r="AG1801" s="90" t="n">
        <v>55000</v>
      </c>
      <c r="AH1801" s="90" t="n">
        <v>55000</v>
      </c>
      <c r="AI1801" s="90" t="n">
        <v>55000</v>
      </c>
      <c r="AJ1801" s="91" t="n">
        <v>55000</v>
      </c>
      <c r="AK1801" s="89" t="n">
        <v>55000</v>
      </c>
      <c r="AL1801" s="90" t="n">
        <v>55000</v>
      </c>
      <c r="AM1801" s="90"/>
      <c r="AN1801" s="90"/>
      <c r="AO1801" s="90"/>
      <c r="AP1801" s="90"/>
      <c r="AQ1801" s="90"/>
      <c r="AR1801" s="90"/>
      <c r="AS1801" s="90"/>
      <c r="AT1801" s="90"/>
      <c r="AU1801" s="90"/>
      <c r="AV1801" s="91"/>
      <c r="AX1801" s="92"/>
    </row>
    <row r="1802" customFormat="false" ht="15.65" hidden="false" customHeight="false" outlineLevel="0" collapsed="false">
      <c r="C1802" s="72" t="n">
        <f aca="false">COUNTIFS($D$6:D1802,"&lt;&gt;"&amp;"")</f>
        <v>1797</v>
      </c>
      <c r="D1802" s="73" t="s">
        <v>12</v>
      </c>
      <c r="E1802" s="76" t="str">
        <f aca="false">
IF($D1802="정상",INDEX(임대자산!$D$3:$R$3000,MATCH($F1802,임대자산!$I$3:$I$3000,0),MATCH(E$3,임대자산!$D$3:$R$3,0)),
IF($D1802="폐업",INDEX(폐업정보!$D$3:$R$3000,MATCH($F1802,폐업정보!$I$3:$I$3000,0),MATCH(E$3,폐업정보!$D$3:$R$3,0)),
"Error"))</f>
        <v>서울</v>
      </c>
      <c r="F180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B1797</v>
      </c>
      <c r="G1802" s="76" t="str">
        <f aca="false">F1802&amp;RANDBETWEEN(0,10)</f>
        <v>B17978</v>
      </c>
      <c r="H1802" s="75" t="n">
        <f aca="false">
IF($D1802="정상",INDEX(임대자산!$D$3:$R$3000,MATCH($F1802,임대자산!$I$3:$I$3000,0),MATCH(H$4,임대자산!$D$3:$R$3,0)),
IF($D1802="폐업",INDEX(폐업정보!$D$3:$R$3000,MATCH($F1802,폐업정보!$I$3:$I$3000,0),MATCH(H$4,폐업정보!$D$3:$R$3,0)),
"Error"))</f>
        <v>45895</v>
      </c>
      <c r="I1802" s="75" t="str">
        <f aca="false">
IF($D1802="정상",INDEX(임대자산!$D$3:$R$3000,MATCH($F1802,임대자산!$I$3:$I$3000,0),MATCH(I$4,임대자산!$D$3:$R$3,0)),
IF($D1802="폐업",INDEX(폐업정보!$D$3:$R$3000,MATCH($F1802,폐업정보!$I$3:$I$3000,0),MATCH(I$4,폐업정보!$D$3:$R$3,0)),
"Error"))</f>
        <v>A1797</v>
      </c>
      <c r="J1802" s="75" t="str">
        <f aca="false">
IF($D1802="정상",INDEX(임대자산!$D$3:$R$3000,MATCH($F1802,임대자산!$I$3:$I$3000,0),MATCH(J$4,임대자산!$D$3:$R$3,0)),
IF($D1802="폐업",INDEX(폐업정보!$D$3:$R$3000,MATCH($F1802,폐업정보!$I$3:$I$3000,0),MATCH(J$4,폐업정보!$D$3:$R$3,0)),
"Error"))</f>
        <v>9524200000</v>
      </c>
      <c r="K1802" s="75" t="str">
        <f aca="false">
IF($D1802="정상",INDEX(임대자산!$D$3:$R$3000,MATCH($F1802,임대자산!$I$3:$I$3000,0),MATCH(K$4,임대자산!$D$3:$R$3,0)),
IF($D1802="폐업",INDEX(폐업정보!$D$3:$R$3000,MATCH($F1802,폐업정보!$I$3:$I$3000,0),MATCH(K$4,폐업정보!$D$3:$R$3,0)),
"Error"))</f>
        <v>C1797</v>
      </c>
      <c r="L1802" s="75" t="str">
        <f aca="false">
IF($D1802="정상",INDEX(임대자산!$D$3:$R$3000,MATCH($F1802,임대자산!$I$3:$I$3000,0),MATCH(L$4,임대자산!$D$3:$R$3,0)),
IF($D1802="폐업",INDEX(폐업정보!$D$3:$R$3000,MATCH($F1802,폐업정보!$I$3:$I$3000,0),MATCH(L$4,폐업정보!$D$3:$R$3,0)),
"Error"))</f>
        <v>D1797</v>
      </c>
      <c r="M1802" s="76" t="s">
        <v>96</v>
      </c>
      <c r="N1802" s="77"/>
      <c r="O1802" s="78" t="s">
        <v>97</v>
      </c>
      <c r="P1802" s="79" t="n">
        <f aca="false">COUNTIFS(임대자산!$I:$I,가맹점정보!F1802,임대자산!$N:$N,가맹점정보!P$4)</f>
        <v>0</v>
      </c>
      <c r="Q1802" s="80" t="n">
        <f aca="false">COUNTIFS(임대자산!$I:$I,가맹점정보!F1802,임대자산!$N:$N,가맹점정보!Q$4)</f>
        <v>0</v>
      </c>
      <c r="R1802" s="81" t="n">
        <f aca="false">COUNTIFS(임대자산!$I:$I,가맹점정보!F1802,임대자산!$N:$N,가맹점정보!R$4)</f>
        <v>1</v>
      </c>
      <c r="S1802" s="82" t="n">
        <v>55000</v>
      </c>
      <c r="T1802" s="83" t="n">
        <v>0</v>
      </c>
      <c r="U1802" s="80" t="n">
        <f aca="false">SUM(S1802:T1802)</f>
        <v>55000</v>
      </c>
      <c r="V1802" s="84" t="s">
        <v>12</v>
      </c>
      <c r="W1802" s="80" t="e">
        <f aca="true">
IF(D1802="폐업","폐업",
IF(V1802="면제","면제",
IF(AND(V1802="정상",COUNTIFS(OFFSET(Y1802,0,COUNTA(Y1802:AV1802)-1,1,-4),"미납")&gt;=3),"장기미납",
IF(AND(V1802="정상",OFFSET(Y1802,0,COUNTA(Y1802:AV1802)-1)&gt;=U1802),"정상",
IF(AND(V1802="정상",OFFSET(Y1802,0,COUNTA(Y1802:AV1802)-1)=0),"정상",
"계약서 미작성")))))</f>
        <v>#VALUE!</v>
      </c>
      <c r="X1802" s="81" t="str">
        <f aca="true">
IF(D1802="폐업","폐업",
IF(AND(V1802="정상",OFFSET(Y1802,0,COUNTA(Y1802:AV1802)-1)="미납"),"미납",
IF(AND(V1802="정상",OFFSET(Y1802,0,COUNTA(Y1802:AV1802)-1)=0),"납부 시작 전",
IF(AND(V1802="정상",OFFSET(Y1802,0,COUNTA(Y1802:AV1802)-1)&gt;=U1802),"정상",
IF(AND(V1802="면제",OFFSET(Y1802,0,COUNTA(Y1802:AV1802)-1)="면제"),"면제",
IF(AND(V1802="면제",OFFSET(Y1802,0,COUNTA(Y1802:AV1802)-1)=0),"면제",
"확인요청"))))))</f>
        <v>정상</v>
      </c>
      <c r="Y1802" s="93" t="n">
        <v>0</v>
      </c>
      <c r="Z1802" s="90" t="n">
        <v>55000</v>
      </c>
      <c r="AA1802" s="90" t="n">
        <v>55000</v>
      </c>
      <c r="AB1802" s="90" t="n">
        <v>55000</v>
      </c>
      <c r="AC1802" s="90" t="n">
        <v>55000</v>
      </c>
      <c r="AD1802" s="90" t="n">
        <v>55000</v>
      </c>
      <c r="AE1802" s="90" t="n">
        <v>55000</v>
      </c>
      <c r="AF1802" s="90" t="n">
        <v>55000</v>
      </c>
      <c r="AG1802" s="90" t="n">
        <v>55000</v>
      </c>
      <c r="AH1802" s="90" t="n">
        <v>55000</v>
      </c>
      <c r="AI1802" s="90" t="n">
        <v>55000</v>
      </c>
      <c r="AJ1802" s="91" t="n">
        <v>55000</v>
      </c>
      <c r="AK1802" s="89" t="n">
        <v>55000</v>
      </c>
      <c r="AL1802" s="90" t="n">
        <v>55000</v>
      </c>
      <c r="AM1802" s="90"/>
      <c r="AN1802" s="90"/>
      <c r="AO1802" s="90"/>
      <c r="AP1802" s="90"/>
      <c r="AQ1802" s="90"/>
      <c r="AR1802" s="90"/>
      <c r="AS1802" s="90"/>
      <c r="AT1802" s="90"/>
      <c r="AU1802" s="90"/>
      <c r="AV1802" s="91"/>
      <c r="AX1802" s="92"/>
    </row>
    <row r="1803" customFormat="false" ht="15.65" hidden="false" customHeight="false" outlineLevel="0" collapsed="false">
      <c r="C1803" s="72" t="n">
        <f aca="false">COUNTIFS($D$6:D1803,"&lt;&gt;"&amp;"")</f>
        <v>1798</v>
      </c>
      <c r="D1803" s="73" t="s">
        <v>12</v>
      </c>
      <c r="E1803" s="76" t="str">
        <f aca="false">
IF($D1803="정상",INDEX(임대자산!$D$3:$R$3000,MATCH($F1803,임대자산!$I$3:$I$3000,0),MATCH(E$3,임대자산!$D$3:$R$3,0)),
IF($D1803="폐업",INDEX(폐업정보!$D$3:$R$3000,MATCH($F1803,폐업정보!$I$3:$I$3000,0),MATCH(E$3,폐업정보!$D$3:$R$3,0)),
"Error"))</f>
        <v>서울</v>
      </c>
      <c r="F180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B1798</v>
      </c>
      <c r="G1803" s="76" t="str">
        <f aca="false">F1803&amp;RANDBETWEEN(0,10)</f>
        <v>B17981</v>
      </c>
      <c r="H1803" s="75" t="n">
        <f aca="false">
IF($D1803="정상",INDEX(임대자산!$D$3:$R$3000,MATCH($F1803,임대자산!$I$3:$I$3000,0),MATCH(H$4,임대자산!$D$3:$R$3,0)),
IF($D1803="폐업",INDEX(폐업정보!$D$3:$R$3000,MATCH($F1803,폐업정보!$I$3:$I$3000,0),MATCH(H$4,폐업정보!$D$3:$R$3,0)),
"Error"))</f>
        <v>45895</v>
      </c>
      <c r="I1803" s="75" t="str">
        <f aca="false">
IF($D1803="정상",INDEX(임대자산!$D$3:$R$3000,MATCH($F1803,임대자산!$I$3:$I$3000,0),MATCH(I$4,임대자산!$D$3:$R$3,0)),
IF($D1803="폐업",INDEX(폐업정보!$D$3:$R$3000,MATCH($F1803,폐업정보!$I$3:$I$3000,0),MATCH(I$4,폐업정보!$D$3:$R$3,0)),
"Error"))</f>
        <v>A1798</v>
      </c>
      <c r="J1803" s="75" t="str">
        <f aca="false">
IF($D1803="정상",INDEX(임대자산!$D$3:$R$3000,MATCH($F1803,임대자산!$I$3:$I$3000,0),MATCH(J$4,임대자산!$D$3:$R$3,0)),
IF($D1803="폐업",INDEX(폐업정보!$D$3:$R$3000,MATCH($F1803,폐업정보!$I$3:$I$3000,0),MATCH(J$4,폐업정보!$D$3:$R$3,0)),
"Error"))</f>
        <v>3288800000</v>
      </c>
      <c r="K1803" s="75" t="str">
        <f aca="false">
IF($D1803="정상",INDEX(임대자산!$D$3:$R$3000,MATCH($F1803,임대자산!$I$3:$I$3000,0),MATCH(K$4,임대자산!$D$3:$R$3,0)),
IF($D1803="폐업",INDEX(폐업정보!$D$3:$R$3000,MATCH($F1803,폐업정보!$I$3:$I$3000,0),MATCH(K$4,폐업정보!$D$3:$R$3,0)),
"Error"))</f>
        <v>C1798</v>
      </c>
      <c r="L1803" s="75" t="str">
        <f aca="false">
IF($D1803="정상",INDEX(임대자산!$D$3:$R$3000,MATCH($F1803,임대자산!$I$3:$I$3000,0),MATCH(L$4,임대자산!$D$3:$R$3,0)),
IF($D1803="폐업",INDEX(폐업정보!$D$3:$R$3000,MATCH($F1803,폐업정보!$I$3:$I$3000,0),MATCH(L$4,폐업정보!$D$3:$R$3,0)),
"Error"))</f>
        <v>D1798</v>
      </c>
      <c r="M1803" s="76" t="s">
        <v>96</v>
      </c>
      <c r="N1803" s="77"/>
      <c r="O1803" s="78" t="s">
        <v>97</v>
      </c>
      <c r="P1803" s="79" t="n">
        <f aca="false">COUNTIFS(임대자산!$I:$I,가맹점정보!F1803,임대자산!$N:$N,가맹점정보!P$4)</f>
        <v>0</v>
      </c>
      <c r="Q1803" s="80" t="n">
        <f aca="false">COUNTIFS(임대자산!$I:$I,가맹점정보!F1803,임대자산!$N:$N,가맹점정보!Q$4)</f>
        <v>0</v>
      </c>
      <c r="R1803" s="81" t="n">
        <f aca="false">COUNTIFS(임대자산!$I:$I,가맹점정보!F1803,임대자산!$N:$N,가맹점정보!R$4)</f>
        <v>1</v>
      </c>
      <c r="S1803" s="82" t="n">
        <v>55000</v>
      </c>
      <c r="T1803" s="83" t="n">
        <v>0</v>
      </c>
      <c r="U1803" s="80" t="n">
        <f aca="false">SUM(S1803:T1803)</f>
        <v>55000</v>
      </c>
      <c r="V1803" s="84" t="s">
        <v>12</v>
      </c>
      <c r="W1803" s="80" t="e">
        <f aca="true">
IF(D1803="폐업","폐업",
IF(V1803="면제","면제",
IF(AND(V1803="정상",COUNTIFS(OFFSET(Y1803,0,COUNTA(Y1803:AV1803)-1,1,-4),"미납")&gt;=3),"장기미납",
IF(AND(V1803="정상",OFFSET(Y1803,0,COUNTA(Y1803:AV1803)-1)&gt;=U1803),"정상",
IF(AND(V1803="정상",OFFSET(Y1803,0,COUNTA(Y1803:AV1803)-1)=0),"정상",
"계약서 미작성")))))</f>
        <v>#VALUE!</v>
      </c>
      <c r="X1803" s="81" t="str">
        <f aca="true">
IF(D1803="폐업","폐업",
IF(AND(V1803="정상",OFFSET(Y1803,0,COUNTA(Y1803:AV1803)-1)="미납"),"미납",
IF(AND(V1803="정상",OFFSET(Y1803,0,COUNTA(Y1803:AV1803)-1)=0),"납부 시작 전",
IF(AND(V1803="정상",OFFSET(Y1803,0,COUNTA(Y1803:AV1803)-1)&gt;=U1803),"정상",
IF(AND(V1803="면제",OFFSET(Y1803,0,COUNTA(Y1803:AV1803)-1)="면제"),"면제",
IF(AND(V1803="면제",OFFSET(Y1803,0,COUNTA(Y1803:AV1803)-1)=0),"면제",
"확인요청"))))))</f>
        <v>정상</v>
      </c>
      <c r="Y1803" s="93" t="n">
        <v>0</v>
      </c>
      <c r="Z1803" s="90" t="n">
        <v>55000</v>
      </c>
      <c r="AA1803" s="90" t="n">
        <v>55000</v>
      </c>
      <c r="AB1803" s="90" t="n">
        <v>55000</v>
      </c>
      <c r="AC1803" s="90" t="n">
        <v>55000</v>
      </c>
      <c r="AD1803" s="90" t="n">
        <v>55000</v>
      </c>
      <c r="AE1803" s="90" t="n">
        <v>55000</v>
      </c>
      <c r="AF1803" s="90" t="n">
        <v>55000</v>
      </c>
      <c r="AG1803" s="90" t="n">
        <v>55000</v>
      </c>
      <c r="AH1803" s="90" t="n">
        <v>55000</v>
      </c>
      <c r="AI1803" s="90" t="n">
        <v>55000</v>
      </c>
      <c r="AJ1803" s="91" t="n">
        <v>55000</v>
      </c>
      <c r="AK1803" s="89" t="n">
        <v>55000</v>
      </c>
      <c r="AL1803" s="90" t="n">
        <v>55000</v>
      </c>
      <c r="AM1803" s="90"/>
      <c r="AN1803" s="90"/>
      <c r="AO1803" s="90"/>
      <c r="AP1803" s="90"/>
      <c r="AQ1803" s="90"/>
      <c r="AR1803" s="90"/>
      <c r="AS1803" s="90"/>
      <c r="AT1803" s="90"/>
      <c r="AU1803" s="90"/>
      <c r="AV1803" s="91"/>
      <c r="AX1803" s="92"/>
    </row>
    <row r="1804" customFormat="false" ht="15.65" hidden="false" customHeight="false" outlineLevel="0" collapsed="false">
      <c r="C1804" s="72" t="n">
        <f aca="false">COUNTIFS($D$6:D1804,"&lt;&gt;"&amp;"")</f>
        <v>1799</v>
      </c>
      <c r="D1804" s="73" t="s">
        <v>12</v>
      </c>
      <c r="E1804" s="76" t="str">
        <f aca="false">
IF($D1804="정상",INDEX(임대자산!$D$3:$R$3000,MATCH($F1804,임대자산!$I$3:$I$3000,0),MATCH(E$3,임대자산!$D$3:$R$3,0)),
IF($D1804="폐업",INDEX(폐업정보!$D$3:$R$3000,MATCH($F1804,폐업정보!$I$3:$I$3000,0),MATCH(E$3,폐업정보!$D$3:$R$3,0)),
"Error"))</f>
        <v>서울</v>
      </c>
      <c r="F180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B1799</v>
      </c>
      <c r="G1804" s="76" t="str">
        <f aca="false">F1804&amp;RANDBETWEEN(0,10)</f>
        <v>B17993</v>
      </c>
      <c r="H1804" s="75" t="n">
        <f aca="false">
IF($D1804="정상",INDEX(임대자산!$D$3:$R$3000,MATCH($F1804,임대자산!$I$3:$I$3000,0),MATCH(H$4,임대자산!$D$3:$R$3,0)),
IF($D1804="폐업",INDEX(폐업정보!$D$3:$R$3000,MATCH($F1804,폐업정보!$I$3:$I$3000,0),MATCH(H$4,폐업정보!$D$3:$R$3,0)),
"Error"))</f>
        <v>45889</v>
      </c>
      <c r="I1804" s="75" t="str">
        <f aca="false">
IF($D1804="정상",INDEX(임대자산!$D$3:$R$3000,MATCH($F1804,임대자산!$I$3:$I$3000,0),MATCH(I$4,임대자산!$D$3:$R$3,0)),
IF($D1804="폐업",INDEX(폐업정보!$D$3:$R$3000,MATCH($F1804,폐업정보!$I$3:$I$3000,0),MATCH(I$4,폐업정보!$D$3:$R$3,0)),
"Error"))</f>
        <v>A1799</v>
      </c>
      <c r="J1804" s="75" t="str">
        <f aca="false">
IF($D1804="정상",INDEX(임대자산!$D$3:$R$3000,MATCH($F1804,임대자산!$I$3:$I$3000,0),MATCH(J$4,임대자산!$D$3:$R$3,0)),
IF($D1804="폐업",INDEX(폐업정보!$D$3:$R$3000,MATCH($F1804,폐업정보!$I$3:$I$3000,0),MATCH(J$4,폐업정보!$D$3:$R$3,0)),
"Error"))</f>
        <v>8184600000</v>
      </c>
      <c r="K1804" s="75" t="str">
        <f aca="false">
IF($D1804="정상",INDEX(임대자산!$D$3:$R$3000,MATCH($F1804,임대자산!$I$3:$I$3000,0),MATCH(K$4,임대자산!$D$3:$R$3,0)),
IF($D1804="폐업",INDEX(폐업정보!$D$3:$R$3000,MATCH($F1804,폐업정보!$I$3:$I$3000,0),MATCH(K$4,폐업정보!$D$3:$R$3,0)),
"Error"))</f>
        <v>C1799</v>
      </c>
      <c r="L1804" s="75" t="str">
        <f aca="false">
IF($D1804="정상",INDEX(임대자산!$D$3:$R$3000,MATCH($F1804,임대자산!$I$3:$I$3000,0),MATCH(L$4,임대자산!$D$3:$R$3,0)),
IF($D1804="폐업",INDEX(폐업정보!$D$3:$R$3000,MATCH($F1804,폐업정보!$I$3:$I$3000,0),MATCH(L$4,폐업정보!$D$3:$R$3,0)),
"Error"))</f>
        <v>D1799</v>
      </c>
      <c r="M1804" s="76" t="s">
        <v>96</v>
      </c>
      <c r="N1804" s="77"/>
      <c r="O1804" s="78" t="s">
        <v>97</v>
      </c>
      <c r="P1804" s="79" t="n">
        <f aca="false">COUNTIFS(임대자산!$I:$I,가맹점정보!F1804,임대자산!$N:$N,가맹점정보!P$4)</f>
        <v>0</v>
      </c>
      <c r="Q1804" s="80" t="n">
        <f aca="false">COUNTIFS(임대자산!$I:$I,가맹점정보!F1804,임대자산!$N:$N,가맹점정보!Q$4)</f>
        <v>0</v>
      </c>
      <c r="R1804" s="81" t="n">
        <f aca="false">COUNTIFS(임대자산!$I:$I,가맹점정보!F1804,임대자산!$N:$N,가맹점정보!R$4)</f>
        <v>1</v>
      </c>
      <c r="S1804" s="82" t="n">
        <v>88000</v>
      </c>
      <c r="T1804" s="83" t="n">
        <v>0</v>
      </c>
      <c r="U1804" s="80" t="n">
        <f aca="false">SUM(S1804:T1804)</f>
        <v>88000</v>
      </c>
      <c r="V1804" s="84" t="s">
        <v>7</v>
      </c>
      <c r="W1804" s="80" t="str">
        <f aca="true">
IF(D1804="폐업","폐업",
IF(V1804="면제","면제",
IF(AND(V1804="정상",COUNTIFS(OFFSET(Y1804,0,COUNTA(Y1804:AV1804)-1,1,-4),"미납")&gt;=3),"장기미납",
IF(AND(V1804="정상",OFFSET(Y1804,0,COUNTA(Y1804:AV1804)-1)&gt;=U1804),"정상",
IF(AND(V1804="정상",OFFSET(Y1804,0,COUNTA(Y1804:AV1804)-1)=0),"정상",
"계약서 미작성")))))</f>
        <v>면제</v>
      </c>
      <c r="X1804" s="81" t="str">
        <f aca="true">
IF(D1804="폐업","폐업",
IF(AND(V1804="정상",OFFSET(Y1804,0,COUNTA(Y1804:AV1804)-1)="미납"),"미납",
IF(AND(V1804="정상",OFFSET(Y1804,0,COUNTA(Y1804:AV1804)-1)=0),"납부 시작 전",
IF(AND(V1804="정상",OFFSET(Y1804,0,COUNTA(Y1804:AV1804)-1)&gt;=U1804),"정상",
IF(AND(V1804="면제",OFFSET(Y1804,0,COUNTA(Y1804:AV1804)-1)="면제"),"면제",
IF(AND(V1804="면제",OFFSET(Y1804,0,COUNTA(Y1804:AV1804)-1)=0),"면제",
"확인요청"))))))</f>
        <v>면제</v>
      </c>
      <c r="Y1804" s="94" t="s">
        <v>7</v>
      </c>
      <c r="Z1804" s="95" t="s">
        <v>7</v>
      </c>
      <c r="AA1804" s="95" t="s">
        <v>7</v>
      </c>
      <c r="AB1804" s="95" t="s">
        <v>7</v>
      </c>
      <c r="AC1804" s="95" t="s">
        <v>7</v>
      </c>
      <c r="AD1804" s="95" t="s">
        <v>7</v>
      </c>
      <c r="AE1804" s="95" t="s">
        <v>7</v>
      </c>
      <c r="AF1804" s="95" t="s">
        <v>7</v>
      </c>
      <c r="AG1804" s="95" t="s">
        <v>7</v>
      </c>
      <c r="AH1804" s="95" t="s">
        <v>7</v>
      </c>
      <c r="AI1804" s="95" t="s">
        <v>7</v>
      </c>
      <c r="AJ1804" s="96" t="s">
        <v>7</v>
      </c>
      <c r="AK1804" s="97" t="s">
        <v>7</v>
      </c>
      <c r="AL1804" s="95" t="s">
        <v>7</v>
      </c>
      <c r="AM1804" s="90"/>
      <c r="AN1804" s="90"/>
      <c r="AO1804" s="90"/>
      <c r="AP1804" s="90"/>
      <c r="AQ1804" s="90"/>
      <c r="AR1804" s="90"/>
      <c r="AS1804" s="90"/>
      <c r="AT1804" s="90"/>
      <c r="AU1804" s="90"/>
      <c r="AV1804" s="91"/>
      <c r="AX1804" s="92"/>
    </row>
    <row r="1805" customFormat="false" ht="15.65" hidden="false" customHeight="false" outlineLevel="0" collapsed="false">
      <c r="C1805" s="72" t="n">
        <f aca="false">COUNTIFS($D$6:D1805,"&lt;&gt;"&amp;"")</f>
        <v>1800</v>
      </c>
      <c r="D1805" s="73" t="s">
        <v>12</v>
      </c>
      <c r="E1805" s="76" t="str">
        <f aca="false">
IF($D1805="정상",INDEX(임대자산!$D$3:$R$3000,MATCH($F1805,임대자산!$I$3:$I$3000,0),MATCH(E$3,임대자산!$D$3:$R$3,0)),
IF($D1805="폐업",INDEX(폐업정보!$D$3:$R$3000,MATCH($F1805,폐업정보!$I$3:$I$3000,0),MATCH(E$3,폐업정보!$D$3:$R$3,0)),
"Error"))</f>
        <v>서울</v>
      </c>
      <c r="F180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B1800</v>
      </c>
      <c r="G1805" s="76" t="str">
        <f aca="false">F1805&amp;RANDBETWEEN(0,10)</f>
        <v>B18003</v>
      </c>
      <c r="H1805" s="75" t="n">
        <f aca="false">
IF($D1805="정상",INDEX(임대자산!$D$3:$R$3000,MATCH($F1805,임대자산!$I$3:$I$3000,0),MATCH(H$4,임대자산!$D$3:$R$3,0)),
IF($D1805="폐업",INDEX(폐업정보!$D$3:$R$3000,MATCH($F1805,폐업정보!$I$3:$I$3000,0),MATCH(H$4,폐업정보!$D$3:$R$3,0)),
"Error"))</f>
        <v>45902</v>
      </c>
      <c r="I1805" s="75" t="str">
        <f aca="false">
IF($D1805="정상",INDEX(임대자산!$D$3:$R$3000,MATCH($F1805,임대자산!$I$3:$I$3000,0),MATCH(I$4,임대자산!$D$3:$R$3,0)),
IF($D1805="폐업",INDEX(폐업정보!$D$3:$R$3000,MATCH($F1805,폐업정보!$I$3:$I$3000,0),MATCH(I$4,폐업정보!$D$3:$R$3,0)),
"Error"))</f>
        <v>A1800</v>
      </c>
      <c r="J1805" s="75" t="str">
        <f aca="false">
IF($D1805="정상",INDEX(임대자산!$D$3:$R$3000,MATCH($F1805,임대자산!$I$3:$I$3000,0),MATCH(J$4,임대자산!$D$3:$R$3,0)),
IF($D1805="폐업",INDEX(폐업정보!$D$3:$R$3000,MATCH($F1805,폐업정보!$I$3:$I$3000,0),MATCH(J$4,폐업정보!$D$3:$R$3,0)),
"Error"))</f>
        <v>8279100000</v>
      </c>
      <c r="K1805" s="75" t="str">
        <f aca="false">
IF($D1805="정상",INDEX(임대자산!$D$3:$R$3000,MATCH($F1805,임대자산!$I$3:$I$3000,0),MATCH(K$4,임대자산!$D$3:$R$3,0)),
IF($D1805="폐업",INDEX(폐업정보!$D$3:$R$3000,MATCH($F1805,폐업정보!$I$3:$I$3000,0),MATCH(K$4,폐업정보!$D$3:$R$3,0)),
"Error"))</f>
        <v>C1800</v>
      </c>
      <c r="L1805" s="75" t="str">
        <f aca="false">
IF($D1805="정상",INDEX(임대자산!$D$3:$R$3000,MATCH($F1805,임대자산!$I$3:$I$3000,0),MATCH(L$4,임대자산!$D$3:$R$3,0)),
IF($D1805="폐업",INDEX(폐업정보!$D$3:$R$3000,MATCH($F1805,폐업정보!$I$3:$I$3000,0),MATCH(L$4,폐업정보!$D$3:$R$3,0)),
"Error"))</f>
        <v>D1800</v>
      </c>
      <c r="M1805" s="76" t="s">
        <v>96</v>
      </c>
      <c r="N1805" s="77"/>
      <c r="O1805" s="78" t="s">
        <v>97</v>
      </c>
      <c r="P1805" s="79" t="n">
        <f aca="false">COUNTIFS(임대자산!$I:$I,가맹점정보!F1805,임대자산!$N:$N,가맹점정보!P$4)</f>
        <v>0</v>
      </c>
      <c r="Q1805" s="80" t="n">
        <f aca="false">COUNTIFS(임대자산!$I:$I,가맹점정보!F1805,임대자산!$N:$N,가맹점정보!Q$4)</f>
        <v>0</v>
      </c>
      <c r="R1805" s="81" t="n">
        <f aca="false">COUNTIFS(임대자산!$I:$I,가맹점정보!F1805,임대자산!$N:$N,가맹점정보!R$4)</f>
        <v>1</v>
      </c>
      <c r="S1805" s="82" t="n">
        <v>55000</v>
      </c>
      <c r="T1805" s="83" t="n">
        <v>0</v>
      </c>
      <c r="U1805" s="80" t="n">
        <f aca="false">SUM(S1805:T1805)</f>
        <v>55000</v>
      </c>
      <c r="V1805" s="84" t="s">
        <v>7</v>
      </c>
      <c r="W1805" s="80" t="str">
        <f aca="true">
IF(D1805="폐업","폐업",
IF(V1805="면제","면제",
IF(AND(V1805="정상",COUNTIFS(OFFSET(Y1805,0,COUNTA(Y1805:AV1805)-1,1,-4),"미납")&gt;=3),"장기미납",
IF(AND(V1805="정상",OFFSET(Y1805,0,COUNTA(Y1805:AV1805)-1)&gt;=U1805),"정상",
IF(AND(V1805="정상",OFFSET(Y1805,0,COUNTA(Y1805:AV1805)-1)=0),"정상",
"계약서 미작성")))))</f>
        <v>면제</v>
      </c>
      <c r="X1805" s="81" t="str">
        <f aca="true">
IF(D1805="폐업","폐업",
IF(AND(V1805="정상",OFFSET(Y1805,0,COUNTA(Y1805:AV1805)-1)="미납"),"미납",
IF(AND(V1805="정상",OFFSET(Y1805,0,COUNTA(Y1805:AV1805)-1)=0),"납부 시작 전",
IF(AND(V1805="정상",OFFSET(Y1805,0,COUNTA(Y1805:AV1805)-1)&gt;=U1805),"정상",
IF(AND(V1805="면제",OFFSET(Y1805,0,COUNTA(Y1805:AV1805)-1)="면제"),"면제",
IF(AND(V1805="면제",OFFSET(Y1805,0,COUNTA(Y1805:AV1805)-1)=0),"면제",
"확인요청"))))))</f>
        <v>면제</v>
      </c>
      <c r="Y1805" s="94" t="s">
        <v>7</v>
      </c>
      <c r="Z1805" s="95" t="s">
        <v>7</v>
      </c>
      <c r="AA1805" s="95" t="s">
        <v>7</v>
      </c>
      <c r="AB1805" s="95" t="s">
        <v>7</v>
      </c>
      <c r="AC1805" s="95" t="s">
        <v>7</v>
      </c>
      <c r="AD1805" s="95" t="s">
        <v>7</v>
      </c>
      <c r="AE1805" s="95" t="s">
        <v>7</v>
      </c>
      <c r="AF1805" s="95" t="s">
        <v>7</v>
      </c>
      <c r="AG1805" s="95" t="s">
        <v>7</v>
      </c>
      <c r="AH1805" s="95" t="s">
        <v>7</v>
      </c>
      <c r="AI1805" s="95" t="s">
        <v>7</v>
      </c>
      <c r="AJ1805" s="96" t="s">
        <v>7</v>
      </c>
      <c r="AK1805" s="97" t="s">
        <v>7</v>
      </c>
      <c r="AL1805" s="95" t="s">
        <v>7</v>
      </c>
      <c r="AM1805" s="90"/>
      <c r="AN1805" s="90"/>
      <c r="AO1805" s="90"/>
      <c r="AP1805" s="90"/>
      <c r="AQ1805" s="90"/>
      <c r="AR1805" s="90"/>
      <c r="AS1805" s="90"/>
      <c r="AT1805" s="90"/>
      <c r="AU1805" s="90"/>
      <c r="AV1805" s="91"/>
      <c r="AX1805" s="92"/>
    </row>
    <row r="1806" customFormat="false" ht="15.65" hidden="false" customHeight="false" outlineLevel="0" collapsed="false">
      <c r="C1806" s="72" t="n">
        <f aca="false">COUNTIFS($D$6:D1806,"&lt;&gt;"&amp;"")</f>
        <v>1801</v>
      </c>
      <c r="D1806" s="73" t="s">
        <v>12</v>
      </c>
      <c r="E1806" s="76" t="str">
        <f aca="false">
IF($D1806="정상",INDEX(임대자산!$D$3:$R$3000,MATCH($F1806,임대자산!$I$3:$I$3000,0),MATCH(E$3,임대자산!$D$3:$R$3,0)),
IF($D1806="폐업",INDEX(폐업정보!$D$3:$R$3000,MATCH($F1806,폐업정보!$I$3:$I$3000,0),MATCH(E$3,폐업정보!$D$3:$R$3,0)),
"Error"))</f>
        <v>서울</v>
      </c>
      <c r="F180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B1801</v>
      </c>
      <c r="G1806" s="76" t="str">
        <f aca="false">F1806&amp;RANDBETWEEN(0,10)</f>
        <v>B18015</v>
      </c>
      <c r="H1806" s="75" t="n">
        <f aca="false">
IF($D1806="정상",INDEX(임대자산!$D$3:$R$3000,MATCH($F1806,임대자산!$I$3:$I$3000,0),MATCH(H$4,임대자산!$D$3:$R$3,0)),
IF($D1806="폐업",INDEX(폐업정보!$D$3:$R$3000,MATCH($F1806,폐업정보!$I$3:$I$3000,0),MATCH(H$4,폐업정보!$D$3:$R$3,0)),
"Error"))</f>
        <v>45902</v>
      </c>
      <c r="I1806" s="75" t="str">
        <f aca="false">
IF($D1806="정상",INDEX(임대자산!$D$3:$R$3000,MATCH($F1806,임대자산!$I$3:$I$3000,0),MATCH(I$4,임대자산!$D$3:$R$3,0)),
IF($D1806="폐업",INDEX(폐업정보!$D$3:$R$3000,MATCH($F1806,폐업정보!$I$3:$I$3000,0),MATCH(I$4,폐업정보!$D$3:$R$3,0)),
"Error"))</f>
        <v>A1801</v>
      </c>
      <c r="J1806" s="75" t="str">
        <f aca="false">
IF($D1806="정상",INDEX(임대자산!$D$3:$R$3000,MATCH($F1806,임대자산!$I$3:$I$3000,0),MATCH(J$4,임대자산!$D$3:$R$3,0)),
IF($D1806="폐업",INDEX(폐업정보!$D$3:$R$3000,MATCH($F1806,폐업정보!$I$3:$I$3000,0),MATCH(J$4,폐업정보!$D$3:$R$3,0)),
"Error"))</f>
        <v>3280500000</v>
      </c>
      <c r="K1806" s="75" t="str">
        <f aca="false">
IF($D1806="정상",INDEX(임대자산!$D$3:$R$3000,MATCH($F1806,임대자산!$I$3:$I$3000,0),MATCH(K$4,임대자산!$D$3:$R$3,0)),
IF($D1806="폐업",INDEX(폐업정보!$D$3:$R$3000,MATCH($F1806,폐업정보!$I$3:$I$3000,0),MATCH(K$4,폐업정보!$D$3:$R$3,0)),
"Error"))</f>
        <v>C1801</v>
      </c>
      <c r="L1806" s="75" t="str">
        <f aca="false">
IF($D1806="정상",INDEX(임대자산!$D$3:$R$3000,MATCH($F1806,임대자산!$I$3:$I$3000,0),MATCH(L$4,임대자산!$D$3:$R$3,0)),
IF($D1806="폐업",INDEX(폐업정보!$D$3:$R$3000,MATCH($F1806,폐업정보!$I$3:$I$3000,0),MATCH(L$4,폐업정보!$D$3:$R$3,0)),
"Error"))</f>
        <v>D1801</v>
      </c>
      <c r="M1806" s="76" t="s">
        <v>96</v>
      </c>
      <c r="N1806" s="77"/>
      <c r="O1806" s="78" t="s">
        <v>97</v>
      </c>
      <c r="P1806" s="79" t="n">
        <f aca="false">COUNTIFS(임대자산!$I:$I,가맹점정보!F1806,임대자산!$N:$N,가맹점정보!P$4)</f>
        <v>0</v>
      </c>
      <c r="Q1806" s="80" t="n">
        <f aca="false">COUNTIFS(임대자산!$I:$I,가맹점정보!F1806,임대자산!$N:$N,가맹점정보!Q$4)</f>
        <v>0</v>
      </c>
      <c r="R1806" s="81" t="n">
        <f aca="false">COUNTIFS(임대자산!$I:$I,가맹점정보!F1806,임대자산!$N:$N,가맹점정보!R$4)</f>
        <v>1</v>
      </c>
      <c r="S1806" s="82" t="n">
        <v>55000</v>
      </c>
      <c r="T1806" s="83" t="n">
        <v>0</v>
      </c>
      <c r="U1806" s="80" t="n">
        <f aca="false">SUM(S1806:T1806)</f>
        <v>55000</v>
      </c>
      <c r="V1806" s="84" t="s">
        <v>12</v>
      </c>
      <c r="W1806" s="80" t="e">
        <f aca="true">
IF(D1806="폐업","폐업",
IF(V1806="면제","면제",
IF(AND(V1806="정상",COUNTIFS(OFFSET(Y1806,0,COUNTA(Y1806:AV1806)-1,1,-4),"미납")&gt;=3),"장기미납",
IF(AND(V1806="정상",OFFSET(Y1806,0,COUNTA(Y1806:AV1806)-1)&gt;=U1806),"정상",
IF(AND(V1806="정상",OFFSET(Y1806,0,COUNTA(Y1806:AV1806)-1)=0),"정상",
"계약서 미작성")))))</f>
        <v>#VALUE!</v>
      </c>
      <c r="X1806" s="81" t="str">
        <f aca="true">
IF(D1806="폐업","폐업",
IF(AND(V1806="정상",OFFSET(Y1806,0,COUNTA(Y1806:AV1806)-1)="미납"),"미납",
IF(AND(V1806="정상",OFFSET(Y1806,0,COUNTA(Y1806:AV1806)-1)=0),"납부 시작 전",
IF(AND(V1806="정상",OFFSET(Y1806,0,COUNTA(Y1806:AV1806)-1)&gt;=U1806),"정상",
IF(AND(V1806="면제",OFFSET(Y1806,0,COUNTA(Y1806:AV1806)-1)="면제"),"면제",
IF(AND(V1806="면제",OFFSET(Y1806,0,COUNTA(Y1806:AV1806)-1)=0),"면제",
"확인요청"))))))</f>
        <v>정상</v>
      </c>
      <c r="Y1806" s="93" t="n">
        <v>0</v>
      </c>
      <c r="Z1806" s="90" t="n">
        <v>0</v>
      </c>
      <c r="AA1806" s="90" t="n">
        <v>55000</v>
      </c>
      <c r="AB1806" s="90" t="n">
        <v>55000</v>
      </c>
      <c r="AC1806" s="90" t="n">
        <v>55000</v>
      </c>
      <c r="AD1806" s="90" t="n">
        <v>55000</v>
      </c>
      <c r="AE1806" s="90" t="n">
        <v>55000</v>
      </c>
      <c r="AF1806" s="90" t="n">
        <v>55000</v>
      </c>
      <c r="AG1806" s="90" t="n">
        <v>55000</v>
      </c>
      <c r="AH1806" s="90" t="n">
        <v>55000</v>
      </c>
      <c r="AI1806" s="90" t="n">
        <v>55000</v>
      </c>
      <c r="AJ1806" s="91" t="n">
        <v>55000</v>
      </c>
      <c r="AK1806" s="89" t="n">
        <v>55000</v>
      </c>
      <c r="AL1806" s="90" t="n">
        <v>55000</v>
      </c>
      <c r="AM1806" s="90"/>
      <c r="AN1806" s="90"/>
      <c r="AO1806" s="90"/>
      <c r="AP1806" s="90"/>
      <c r="AQ1806" s="90"/>
      <c r="AR1806" s="90"/>
      <c r="AS1806" s="90"/>
      <c r="AT1806" s="90"/>
      <c r="AU1806" s="90"/>
      <c r="AV1806" s="91"/>
      <c r="AX1806" s="92"/>
    </row>
    <row r="1807" customFormat="false" ht="15.65" hidden="false" customHeight="false" outlineLevel="0" collapsed="false">
      <c r="C1807" s="72" t="n">
        <f aca="false">COUNTIFS($D$6:D1807,"&lt;&gt;"&amp;"")</f>
        <v>1802</v>
      </c>
      <c r="D1807" s="73" t="s">
        <v>12</v>
      </c>
      <c r="E1807" s="76" t="str">
        <f aca="false">
IF($D1807="정상",INDEX(임대자산!$D$3:$R$3000,MATCH($F1807,임대자산!$I$3:$I$3000,0),MATCH(E$3,임대자산!$D$3:$R$3,0)),
IF($D1807="폐업",INDEX(폐업정보!$D$3:$R$3000,MATCH($F1807,폐업정보!$I$3:$I$3000,0),MATCH(E$3,폐업정보!$D$3:$R$3,0)),
"Error"))</f>
        <v>강원</v>
      </c>
      <c r="F180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B1802</v>
      </c>
      <c r="G1807" s="76" t="str">
        <f aca="false">F1807&amp;RANDBETWEEN(0,10)</f>
        <v>B18024</v>
      </c>
      <c r="H1807" s="75" t="n">
        <f aca="false">
IF($D1807="정상",INDEX(임대자산!$D$3:$R$3000,MATCH($F1807,임대자산!$I$3:$I$3000,0),MATCH(H$4,임대자산!$D$3:$R$3,0)),
IF($D1807="폐업",INDEX(폐업정보!$D$3:$R$3000,MATCH($F1807,폐업정보!$I$3:$I$3000,0),MATCH(H$4,폐업정보!$D$3:$R$3,0)),
"Error"))</f>
        <v>45903</v>
      </c>
      <c r="I1807" s="75" t="str">
        <f aca="false">
IF($D1807="정상",INDEX(임대자산!$D$3:$R$3000,MATCH($F1807,임대자산!$I$3:$I$3000,0),MATCH(I$4,임대자산!$D$3:$R$3,0)),
IF($D1807="폐업",INDEX(폐업정보!$D$3:$R$3000,MATCH($F1807,폐업정보!$I$3:$I$3000,0),MATCH(I$4,폐업정보!$D$3:$R$3,0)),
"Error"))</f>
        <v>A1802</v>
      </c>
      <c r="J1807" s="75" t="str">
        <f aca="false">
IF($D1807="정상",INDEX(임대자산!$D$3:$R$3000,MATCH($F1807,임대자산!$I$3:$I$3000,0),MATCH(J$4,임대자산!$D$3:$R$3,0)),
IF($D1807="폐업",INDEX(폐업정보!$D$3:$R$3000,MATCH($F1807,폐업정보!$I$3:$I$3000,0),MATCH(J$4,폐업정보!$D$3:$R$3,0)),
"Error"))</f>
        <v>9445100000</v>
      </c>
      <c r="K1807" s="75" t="str">
        <f aca="false">
IF($D1807="정상",INDEX(임대자산!$D$3:$R$3000,MATCH($F1807,임대자산!$I$3:$I$3000,0),MATCH(K$4,임대자산!$D$3:$R$3,0)),
IF($D1807="폐업",INDEX(폐업정보!$D$3:$R$3000,MATCH($F1807,폐업정보!$I$3:$I$3000,0),MATCH(K$4,폐업정보!$D$3:$R$3,0)),
"Error"))</f>
        <v>C1802</v>
      </c>
      <c r="L1807" s="75" t="str">
        <f aca="false">
IF($D1807="정상",INDEX(임대자산!$D$3:$R$3000,MATCH($F1807,임대자산!$I$3:$I$3000,0),MATCH(L$4,임대자산!$D$3:$R$3,0)),
IF($D1807="폐업",INDEX(폐업정보!$D$3:$R$3000,MATCH($F1807,폐업정보!$I$3:$I$3000,0),MATCH(L$4,폐업정보!$D$3:$R$3,0)),
"Error"))</f>
        <v>D1802</v>
      </c>
      <c r="M1807" s="76" t="s">
        <v>96</v>
      </c>
      <c r="N1807" s="77"/>
      <c r="O1807" s="78" t="s">
        <v>97</v>
      </c>
      <c r="P1807" s="79" t="n">
        <f aca="false">COUNTIFS(임대자산!$I:$I,가맹점정보!F1807,임대자산!$N:$N,가맹점정보!P$4)</f>
        <v>0</v>
      </c>
      <c r="Q1807" s="80" t="n">
        <f aca="false">COUNTIFS(임대자산!$I:$I,가맹점정보!F1807,임대자산!$N:$N,가맹점정보!Q$4)</f>
        <v>0</v>
      </c>
      <c r="R1807" s="81" t="n">
        <f aca="false">COUNTIFS(임대자산!$I:$I,가맹점정보!F1807,임대자산!$N:$N,가맹점정보!R$4)</f>
        <v>1</v>
      </c>
      <c r="S1807" s="82" t="n">
        <v>55000</v>
      </c>
      <c r="T1807" s="83" t="n">
        <v>0</v>
      </c>
      <c r="U1807" s="80" t="n">
        <f aca="false">SUM(S1807:T1807)</f>
        <v>55000</v>
      </c>
      <c r="V1807" s="84" t="s">
        <v>12</v>
      </c>
      <c r="W1807" s="80" t="e">
        <f aca="true">
IF(D1807="폐업","폐업",
IF(V1807="면제","면제",
IF(AND(V1807="정상",COUNTIFS(OFFSET(Y1807,0,COUNTA(Y1807:AV1807)-1,1,-4),"미납")&gt;=3),"장기미납",
IF(AND(V1807="정상",OFFSET(Y1807,0,COUNTA(Y1807:AV1807)-1)&gt;=U1807),"정상",
IF(AND(V1807="정상",OFFSET(Y1807,0,COUNTA(Y1807:AV1807)-1)=0),"정상",
"계약서 미작성")))))</f>
        <v>#VALUE!</v>
      </c>
      <c r="X1807" s="81" t="str">
        <f aca="true">
IF(D1807="폐업","폐업",
IF(AND(V1807="정상",OFFSET(Y1807,0,COUNTA(Y1807:AV1807)-1)="미납"),"미납",
IF(AND(V1807="정상",OFFSET(Y1807,0,COUNTA(Y1807:AV1807)-1)=0),"납부 시작 전",
IF(AND(V1807="정상",OFFSET(Y1807,0,COUNTA(Y1807:AV1807)-1)&gt;=U1807),"정상",
IF(AND(V1807="면제",OFFSET(Y1807,0,COUNTA(Y1807:AV1807)-1)="면제"),"면제",
IF(AND(V1807="면제",OFFSET(Y1807,0,COUNTA(Y1807:AV1807)-1)=0),"면제",
"확인요청"))))))</f>
        <v>정상</v>
      </c>
      <c r="Y1807" s="93" t="n">
        <v>0</v>
      </c>
      <c r="Z1807" s="90" t="n">
        <v>55000</v>
      </c>
      <c r="AA1807" s="90" t="n">
        <v>55000</v>
      </c>
      <c r="AB1807" s="90" t="n">
        <v>55000</v>
      </c>
      <c r="AC1807" s="90" t="n">
        <v>55000</v>
      </c>
      <c r="AD1807" s="90" t="n">
        <v>55000</v>
      </c>
      <c r="AE1807" s="90" t="n">
        <v>55000</v>
      </c>
      <c r="AF1807" s="90" t="n">
        <v>55000</v>
      </c>
      <c r="AG1807" s="90" t="n">
        <v>55000</v>
      </c>
      <c r="AH1807" s="90" t="n">
        <v>55000</v>
      </c>
      <c r="AI1807" s="90" t="n">
        <v>55000</v>
      </c>
      <c r="AJ1807" s="91" t="n">
        <v>55000</v>
      </c>
      <c r="AK1807" s="89" t="n">
        <v>55000</v>
      </c>
      <c r="AL1807" s="90" t="n">
        <v>55000</v>
      </c>
      <c r="AM1807" s="90"/>
      <c r="AN1807" s="90"/>
      <c r="AO1807" s="90"/>
      <c r="AP1807" s="90"/>
      <c r="AQ1807" s="90"/>
      <c r="AR1807" s="90"/>
      <c r="AS1807" s="90"/>
      <c r="AT1807" s="90"/>
      <c r="AU1807" s="90"/>
      <c r="AV1807" s="91"/>
      <c r="AX1807" s="92"/>
    </row>
    <row r="1808" customFormat="false" ht="15.65" hidden="false" customHeight="false" outlineLevel="0" collapsed="false">
      <c r="C1808" s="72" t="n">
        <f aca="false">COUNTIFS($D$6:D1808,"&lt;&gt;"&amp;"")</f>
        <v>1803</v>
      </c>
      <c r="D1808" s="73" t="s">
        <v>12</v>
      </c>
      <c r="E1808" s="76" t="str">
        <f aca="false">
IF($D1808="정상",INDEX(임대자산!$D$3:$R$3000,MATCH($F1808,임대자산!$I$3:$I$3000,0),MATCH(E$3,임대자산!$D$3:$R$3,0)),
IF($D1808="폐업",INDEX(폐업정보!$D$3:$R$3000,MATCH($F1808,폐업정보!$I$3:$I$3000,0),MATCH(E$3,폐업정보!$D$3:$R$3,0)),
"Error"))</f>
        <v>강원</v>
      </c>
      <c r="F180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B1803</v>
      </c>
      <c r="G1808" s="76" t="str">
        <f aca="false">F1808&amp;RANDBETWEEN(0,10)</f>
        <v>B180310</v>
      </c>
      <c r="H1808" s="75" t="n">
        <f aca="false">
IF($D1808="정상",INDEX(임대자산!$D$3:$R$3000,MATCH($F1808,임대자산!$I$3:$I$3000,0),MATCH(H$4,임대자산!$D$3:$R$3,0)),
IF($D1808="폐업",INDEX(폐업정보!$D$3:$R$3000,MATCH($F1808,폐업정보!$I$3:$I$3000,0),MATCH(H$4,폐업정보!$D$3:$R$3,0)),
"Error"))</f>
        <v>45889</v>
      </c>
      <c r="I1808" s="75" t="str">
        <f aca="false">
IF($D1808="정상",INDEX(임대자산!$D$3:$R$3000,MATCH($F1808,임대자산!$I$3:$I$3000,0),MATCH(I$4,임대자산!$D$3:$R$3,0)),
IF($D1808="폐업",INDEX(폐업정보!$D$3:$R$3000,MATCH($F1808,폐업정보!$I$3:$I$3000,0),MATCH(I$4,폐업정보!$D$3:$R$3,0)),
"Error"))</f>
        <v>A1803</v>
      </c>
      <c r="J1808" s="75" t="str">
        <f aca="false">
IF($D1808="정상",INDEX(임대자산!$D$3:$R$3000,MATCH($F1808,임대자산!$I$3:$I$3000,0),MATCH(J$4,임대자산!$D$3:$R$3,0)),
IF($D1808="폐업",INDEX(폐업정보!$D$3:$R$3000,MATCH($F1808,폐업정보!$I$3:$I$3000,0),MATCH(J$4,폐업정보!$D$3:$R$3,0)),
"Error"))</f>
        <v>8942700000</v>
      </c>
      <c r="K1808" s="75" t="str">
        <f aca="false">
IF($D1808="정상",INDEX(임대자산!$D$3:$R$3000,MATCH($F1808,임대자산!$I$3:$I$3000,0),MATCH(K$4,임대자산!$D$3:$R$3,0)),
IF($D1808="폐업",INDEX(폐업정보!$D$3:$R$3000,MATCH($F1808,폐업정보!$I$3:$I$3000,0),MATCH(K$4,폐업정보!$D$3:$R$3,0)),
"Error"))</f>
        <v>C1803</v>
      </c>
      <c r="L1808" s="75" t="str">
        <f aca="false">
IF($D1808="정상",INDEX(임대자산!$D$3:$R$3000,MATCH($F1808,임대자산!$I$3:$I$3000,0),MATCH(L$4,임대자산!$D$3:$R$3,0)),
IF($D1808="폐업",INDEX(폐업정보!$D$3:$R$3000,MATCH($F1808,폐업정보!$I$3:$I$3000,0),MATCH(L$4,폐업정보!$D$3:$R$3,0)),
"Error"))</f>
        <v>D1803</v>
      </c>
      <c r="M1808" s="76" t="s">
        <v>96</v>
      </c>
      <c r="N1808" s="77"/>
      <c r="O1808" s="78" t="s">
        <v>97</v>
      </c>
      <c r="P1808" s="79" t="n">
        <f aca="false">COUNTIFS(임대자산!$I:$I,가맹점정보!F1808,임대자산!$N:$N,가맹점정보!P$4)</f>
        <v>0</v>
      </c>
      <c r="Q1808" s="80" t="n">
        <f aca="false">COUNTIFS(임대자산!$I:$I,가맹점정보!F1808,임대자산!$N:$N,가맹점정보!Q$4)</f>
        <v>0</v>
      </c>
      <c r="R1808" s="81" t="n">
        <f aca="false">COUNTIFS(임대자산!$I:$I,가맹점정보!F1808,임대자산!$N:$N,가맹점정보!R$4)</f>
        <v>1</v>
      </c>
      <c r="S1808" s="82" t="n">
        <v>88000</v>
      </c>
      <c r="T1808" s="83" t="n">
        <v>0</v>
      </c>
      <c r="U1808" s="80" t="n">
        <f aca="false">SUM(S1808:T1808)</f>
        <v>88000</v>
      </c>
      <c r="V1808" s="84" t="s">
        <v>7</v>
      </c>
      <c r="W1808" s="80" t="str">
        <f aca="true">
IF(D1808="폐업","폐업",
IF(V1808="면제","면제",
IF(AND(V1808="정상",COUNTIFS(OFFSET(Y1808,0,COUNTA(Y1808:AV1808)-1,1,-4),"미납")&gt;=3),"장기미납",
IF(AND(V1808="정상",OFFSET(Y1808,0,COUNTA(Y1808:AV1808)-1)&gt;=U1808),"정상",
IF(AND(V1808="정상",OFFSET(Y1808,0,COUNTA(Y1808:AV1808)-1)=0),"정상",
"계약서 미작성")))))</f>
        <v>면제</v>
      </c>
      <c r="X1808" s="81" t="str">
        <f aca="true">
IF(D1808="폐업","폐업",
IF(AND(V1808="정상",OFFSET(Y1808,0,COUNTA(Y1808:AV1808)-1)="미납"),"미납",
IF(AND(V1808="정상",OFFSET(Y1808,0,COUNTA(Y1808:AV1808)-1)=0),"납부 시작 전",
IF(AND(V1808="정상",OFFSET(Y1808,0,COUNTA(Y1808:AV1808)-1)&gt;=U1808),"정상",
IF(AND(V1808="면제",OFFSET(Y1808,0,COUNTA(Y1808:AV1808)-1)="면제"),"면제",
IF(AND(V1808="면제",OFFSET(Y1808,0,COUNTA(Y1808:AV1808)-1)=0),"면제",
"확인요청"))))))</f>
        <v>면제</v>
      </c>
      <c r="Y1808" s="94" t="s">
        <v>7</v>
      </c>
      <c r="Z1808" s="95" t="s">
        <v>7</v>
      </c>
      <c r="AA1808" s="95" t="s">
        <v>7</v>
      </c>
      <c r="AB1808" s="95" t="s">
        <v>7</v>
      </c>
      <c r="AC1808" s="95" t="s">
        <v>7</v>
      </c>
      <c r="AD1808" s="95" t="s">
        <v>7</v>
      </c>
      <c r="AE1808" s="95" t="s">
        <v>7</v>
      </c>
      <c r="AF1808" s="95" t="s">
        <v>7</v>
      </c>
      <c r="AG1808" s="95" t="s">
        <v>7</v>
      </c>
      <c r="AH1808" s="95" t="s">
        <v>7</v>
      </c>
      <c r="AI1808" s="95" t="s">
        <v>7</v>
      </c>
      <c r="AJ1808" s="96" t="s">
        <v>7</v>
      </c>
      <c r="AK1808" s="97" t="s">
        <v>7</v>
      </c>
      <c r="AL1808" s="95" t="s">
        <v>7</v>
      </c>
      <c r="AM1808" s="90"/>
      <c r="AN1808" s="90"/>
      <c r="AO1808" s="90"/>
      <c r="AP1808" s="90"/>
      <c r="AQ1808" s="90"/>
      <c r="AR1808" s="90"/>
      <c r="AS1808" s="90"/>
      <c r="AT1808" s="90"/>
      <c r="AU1808" s="90"/>
      <c r="AV1808" s="91"/>
      <c r="AX1808" s="92"/>
    </row>
    <row r="1809" customFormat="false" ht="15.65" hidden="false" customHeight="false" outlineLevel="0" collapsed="false">
      <c r="C1809" s="72" t="n">
        <f aca="false">COUNTIFS($D$6:D1809,"&lt;&gt;"&amp;"")</f>
        <v>1804</v>
      </c>
      <c r="D1809" s="73" t="s">
        <v>12</v>
      </c>
      <c r="E1809" s="76" t="str">
        <f aca="false">
IF($D1809="정상",INDEX(임대자산!$D$3:$R$3000,MATCH($F1809,임대자산!$I$3:$I$3000,0),MATCH(E$3,임대자산!$D$3:$R$3,0)),
IF($D1809="폐업",INDEX(폐업정보!$D$3:$R$3000,MATCH($F1809,폐업정보!$I$3:$I$3000,0),MATCH(E$3,폐업정보!$D$3:$R$3,0)),
"Error"))</f>
        <v>강원</v>
      </c>
      <c r="F180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B1804</v>
      </c>
      <c r="G1809" s="76" t="str">
        <f aca="false">F1809&amp;RANDBETWEEN(0,10)</f>
        <v>B18041</v>
      </c>
      <c r="H1809" s="75" t="n">
        <f aca="false">
IF($D1809="정상",INDEX(임대자산!$D$3:$R$3000,MATCH($F1809,임대자산!$I$3:$I$3000,0),MATCH(H$4,임대자산!$D$3:$R$3,0)),
IF($D1809="폐업",INDEX(폐업정보!$D$3:$R$3000,MATCH($F1809,폐업정보!$I$3:$I$3000,0),MATCH(H$4,폐업정보!$D$3:$R$3,0)),
"Error"))</f>
        <v>45889</v>
      </c>
      <c r="I1809" s="75" t="str">
        <f aca="false">
IF($D1809="정상",INDEX(임대자산!$D$3:$R$3000,MATCH($F1809,임대자산!$I$3:$I$3000,0),MATCH(I$4,임대자산!$D$3:$R$3,0)),
IF($D1809="폐업",INDEX(폐업정보!$D$3:$R$3000,MATCH($F1809,폐업정보!$I$3:$I$3000,0),MATCH(I$4,폐업정보!$D$3:$R$3,0)),
"Error"))</f>
        <v>A1804</v>
      </c>
      <c r="J1809" s="75" t="str">
        <f aca="false">
IF($D1809="정상",INDEX(임대자산!$D$3:$R$3000,MATCH($F1809,임대자산!$I$3:$I$3000,0),MATCH(J$4,임대자산!$D$3:$R$3,0)),
IF($D1809="폐업",INDEX(폐업정보!$D$3:$R$3000,MATCH($F1809,폐업정보!$I$3:$I$3000,0),MATCH(J$4,폐업정보!$D$3:$R$3,0)),
"Error"))</f>
        <v>1173800000</v>
      </c>
      <c r="K1809" s="75" t="str">
        <f aca="false">
IF($D1809="정상",INDEX(임대자산!$D$3:$R$3000,MATCH($F1809,임대자산!$I$3:$I$3000,0),MATCH(K$4,임대자산!$D$3:$R$3,0)),
IF($D1809="폐업",INDEX(폐업정보!$D$3:$R$3000,MATCH($F1809,폐업정보!$I$3:$I$3000,0),MATCH(K$4,폐업정보!$D$3:$R$3,0)),
"Error"))</f>
        <v>C1804</v>
      </c>
      <c r="L1809" s="75" t="str">
        <f aca="false">
IF($D1809="정상",INDEX(임대자산!$D$3:$R$3000,MATCH($F1809,임대자산!$I$3:$I$3000,0),MATCH(L$4,임대자산!$D$3:$R$3,0)),
IF($D1809="폐업",INDEX(폐업정보!$D$3:$R$3000,MATCH($F1809,폐업정보!$I$3:$I$3000,0),MATCH(L$4,폐업정보!$D$3:$R$3,0)),
"Error"))</f>
        <v>D1804</v>
      </c>
      <c r="M1809" s="76" t="s">
        <v>96</v>
      </c>
      <c r="N1809" s="77"/>
      <c r="O1809" s="78" t="s">
        <v>97</v>
      </c>
      <c r="P1809" s="79" t="n">
        <f aca="false">COUNTIFS(임대자산!$I:$I,가맹점정보!F1809,임대자산!$N:$N,가맹점정보!P$4)</f>
        <v>0</v>
      </c>
      <c r="Q1809" s="80" t="n">
        <f aca="false">COUNTIFS(임대자산!$I:$I,가맹점정보!F1809,임대자산!$N:$N,가맹점정보!Q$4)</f>
        <v>0</v>
      </c>
      <c r="R1809" s="81" t="n">
        <f aca="false">COUNTIFS(임대자산!$I:$I,가맹점정보!F1809,임대자산!$N:$N,가맹점정보!R$4)</f>
        <v>1</v>
      </c>
      <c r="S1809" s="82" t="n">
        <v>88000</v>
      </c>
      <c r="T1809" s="83" t="n">
        <v>0</v>
      </c>
      <c r="U1809" s="80" t="n">
        <f aca="false">SUM(S1809:T1809)</f>
        <v>88000</v>
      </c>
      <c r="V1809" s="84" t="s">
        <v>7</v>
      </c>
      <c r="W1809" s="80" t="str">
        <f aca="true">
IF(D1809="폐업","폐업",
IF(V1809="면제","면제",
IF(AND(V1809="정상",COUNTIFS(OFFSET(Y1809,0,COUNTA(Y1809:AV1809)-1,1,-4),"미납")&gt;=3),"장기미납",
IF(AND(V1809="정상",OFFSET(Y1809,0,COUNTA(Y1809:AV1809)-1)&gt;=U1809),"정상",
IF(AND(V1809="정상",OFFSET(Y1809,0,COUNTA(Y1809:AV1809)-1)=0),"정상",
"계약서 미작성")))))</f>
        <v>면제</v>
      </c>
      <c r="X1809" s="81" t="str">
        <f aca="true">
IF(D1809="폐업","폐업",
IF(AND(V1809="정상",OFFSET(Y1809,0,COUNTA(Y1809:AV1809)-1)="미납"),"미납",
IF(AND(V1809="정상",OFFSET(Y1809,0,COUNTA(Y1809:AV1809)-1)=0),"납부 시작 전",
IF(AND(V1809="정상",OFFSET(Y1809,0,COUNTA(Y1809:AV1809)-1)&gt;=U1809),"정상",
IF(AND(V1809="면제",OFFSET(Y1809,0,COUNTA(Y1809:AV1809)-1)="면제"),"면제",
IF(AND(V1809="면제",OFFSET(Y1809,0,COUNTA(Y1809:AV1809)-1)=0),"면제",
"확인요청"))))))</f>
        <v>면제</v>
      </c>
      <c r="Y1809" s="93" t="n">
        <v>110000</v>
      </c>
      <c r="Z1809" s="95" t="s">
        <v>62</v>
      </c>
      <c r="AA1809" s="95" t="s">
        <v>7</v>
      </c>
      <c r="AB1809" s="95" t="s">
        <v>7</v>
      </c>
      <c r="AC1809" s="95" t="s">
        <v>7</v>
      </c>
      <c r="AD1809" s="95" t="s">
        <v>7</v>
      </c>
      <c r="AE1809" s="95" t="s">
        <v>7</v>
      </c>
      <c r="AF1809" s="95" t="s">
        <v>7</v>
      </c>
      <c r="AG1809" s="95" t="s">
        <v>7</v>
      </c>
      <c r="AH1809" s="95" t="s">
        <v>7</v>
      </c>
      <c r="AI1809" s="95" t="s">
        <v>7</v>
      </c>
      <c r="AJ1809" s="96" t="s">
        <v>7</v>
      </c>
      <c r="AK1809" s="97" t="s">
        <v>7</v>
      </c>
      <c r="AL1809" s="95" t="s">
        <v>7</v>
      </c>
      <c r="AM1809" s="90"/>
      <c r="AN1809" s="90"/>
      <c r="AO1809" s="90"/>
      <c r="AP1809" s="90"/>
      <c r="AQ1809" s="90"/>
      <c r="AR1809" s="90"/>
      <c r="AS1809" s="90"/>
      <c r="AT1809" s="90"/>
      <c r="AU1809" s="90"/>
      <c r="AV1809" s="91"/>
      <c r="AX1809" s="92"/>
    </row>
    <row r="1810" customFormat="false" ht="15.65" hidden="false" customHeight="false" outlineLevel="0" collapsed="false">
      <c r="C1810" s="72" t="n">
        <f aca="false">COUNTIFS($D$6:D1810,"&lt;&gt;"&amp;"")</f>
        <v>1805</v>
      </c>
      <c r="D1810" s="73" t="s">
        <v>12</v>
      </c>
      <c r="E1810" s="76" t="str">
        <f aca="false">
IF($D1810="정상",INDEX(임대자산!$D$3:$R$3000,MATCH($F1810,임대자산!$I$3:$I$3000,0),MATCH(E$3,임대자산!$D$3:$R$3,0)),
IF($D1810="폐업",INDEX(폐업정보!$D$3:$R$3000,MATCH($F1810,폐업정보!$I$3:$I$3000,0),MATCH(E$3,폐업정보!$D$3:$R$3,0)),
"Error"))</f>
        <v>강원</v>
      </c>
      <c r="F181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B1805</v>
      </c>
      <c r="G1810" s="76" t="str">
        <f aca="false">F1810&amp;RANDBETWEEN(0,10)</f>
        <v>B18059</v>
      </c>
      <c r="H1810" s="75" t="n">
        <f aca="false">
IF($D1810="정상",INDEX(임대자산!$D$3:$R$3000,MATCH($F1810,임대자산!$I$3:$I$3000,0),MATCH(H$4,임대자산!$D$3:$R$3,0)),
IF($D1810="폐업",INDEX(폐업정보!$D$3:$R$3000,MATCH($F1810,폐업정보!$I$3:$I$3000,0),MATCH(H$4,폐업정보!$D$3:$R$3,0)),
"Error"))</f>
        <v>45902</v>
      </c>
      <c r="I1810" s="75" t="str">
        <f aca="false">
IF($D1810="정상",INDEX(임대자산!$D$3:$R$3000,MATCH($F1810,임대자산!$I$3:$I$3000,0),MATCH(I$4,임대자산!$D$3:$R$3,0)),
IF($D1810="폐업",INDEX(폐업정보!$D$3:$R$3000,MATCH($F1810,폐업정보!$I$3:$I$3000,0),MATCH(I$4,폐업정보!$D$3:$R$3,0)),
"Error"))</f>
        <v>A1805</v>
      </c>
      <c r="J1810" s="75" t="str">
        <f aca="false">
IF($D1810="정상",INDEX(임대자산!$D$3:$R$3000,MATCH($F1810,임대자산!$I$3:$I$3000,0),MATCH(J$4,임대자산!$D$3:$R$3,0)),
IF($D1810="폐업",INDEX(폐업정보!$D$3:$R$3000,MATCH($F1810,폐업정보!$I$3:$I$3000,0),MATCH(J$4,폐업정보!$D$3:$R$3,0)),
"Error"))</f>
        <v>5109400000</v>
      </c>
      <c r="K1810" s="75" t="str">
        <f aca="false">
IF($D1810="정상",INDEX(임대자산!$D$3:$R$3000,MATCH($F1810,임대자산!$I$3:$I$3000,0),MATCH(K$4,임대자산!$D$3:$R$3,0)),
IF($D1810="폐업",INDEX(폐업정보!$D$3:$R$3000,MATCH($F1810,폐업정보!$I$3:$I$3000,0),MATCH(K$4,폐업정보!$D$3:$R$3,0)),
"Error"))</f>
        <v>C1805</v>
      </c>
      <c r="L1810" s="75" t="str">
        <f aca="false">
IF($D1810="정상",INDEX(임대자산!$D$3:$R$3000,MATCH($F1810,임대자산!$I$3:$I$3000,0),MATCH(L$4,임대자산!$D$3:$R$3,0)),
IF($D1810="폐업",INDEX(폐업정보!$D$3:$R$3000,MATCH($F1810,폐업정보!$I$3:$I$3000,0),MATCH(L$4,폐업정보!$D$3:$R$3,0)),
"Error"))</f>
        <v>D1805</v>
      </c>
      <c r="M1810" s="76" t="s">
        <v>96</v>
      </c>
      <c r="N1810" s="77"/>
      <c r="O1810" s="78" t="s">
        <v>97</v>
      </c>
      <c r="P1810" s="79" t="n">
        <f aca="false">COUNTIFS(임대자산!$I:$I,가맹점정보!F1810,임대자산!$N:$N,가맹점정보!P$4)</f>
        <v>0</v>
      </c>
      <c r="Q1810" s="80" t="n">
        <f aca="false">COUNTIFS(임대자산!$I:$I,가맹점정보!F1810,임대자산!$N:$N,가맹점정보!Q$4)</f>
        <v>0</v>
      </c>
      <c r="R1810" s="81" t="n">
        <f aca="false">COUNTIFS(임대자산!$I:$I,가맹점정보!F1810,임대자산!$N:$N,가맹점정보!R$4)</f>
        <v>1</v>
      </c>
      <c r="S1810" s="82" t="n">
        <v>55000</v>
      </c>
      <c r="T1810" s="83" t="n">
        <v>0</v>
      </c>
      <c r="U1810" s="80" t="n">
        <f aca="false">SUM(S1810:T1810)</f>
        <v>55000</v>
      </c>
      <c r="V1810" s="84" t="s">
        <v>12</v>
      </c>
      <c r="W1810" s="80" t="e">
        <f aca="true">
IF(D1810="폐업","폐업",
IF(V1810="면제","면제",
IF(AND(V1810="정상",COUNTIFS(OFFSET(Y1810,0,COUNTA(Y1810:AV1810)-1,1,-4),"미납")&gt;=3),"장기미납",
IF(AND(V1810="정상",OFFSET(Y1810,0,COUNTA(Y1810:AV1810)-1)&gt;=U1810),"정상",
IF(AND(V1810="정상",OFFSET(Y1810,0,COUNTA(Y1810:AV1810)-1)=0),"정상",
"계약서 미작성")))))</f>
        <v>#VALUE!</v>
      </c>
      <c r="X1810" s="81" t="str">
        <f aca="true">
IF(D1810="폐업","폐업",
IF(AND(V1810="정상",OFFSET(Y1810,0,COUNTA(Y1810:AV1810)-1)="미납"),"미납",
IF(AND(V1810="정상",OFFSET(Y1810,0,COUNTA(Y1810:AV1810)-1)=0),"납부 시작 전",
IF(AND(V1810="정상",OFFSET(Y1810,0,COUNTA(Y1810:AV1810)-1)&gt;=U1810),"정상",
IF(AND(V1810="면제",OFFSET(Y1810,0,COUNTA(Y1810:AV1810)-1)="면제"),"면제",
IF(AND(V1810="면제",OFFSET(Y1810,0,COUNTA(Y1810:AV1810)-1)=0),"면제",
"확인요청"))))))</f>
        <v>미납</v>
      </c>
      <c r="Y1810" s="93" t="n">
        <v>0</v>
      </c>
      <c r="Z1810" s="90" t="n">
        <v>0</v>
      </c>
      <c r="AA1810" s="90" t="n">
        <v>55000</v>
      </c>
      <c r="AB1810" s="90" t="n">
        <v>55000</v>
      </c>
      <c r="AC1810" s="90" t="n">
        <v>55000</v>
      </c>
      <c r="AD1810" s="90" t="n">
        <v>55000</v>
      </c>
      <c r="AE1810" s="95" t="s">
        <v>62</v>
      </c>
      <c r="AF1810" s="95" t="s">
        <v>62</v>
      </c>
      <c r="AG1810" s="90" t="n">
        <v>55000</v>
      </c>
      <c r="AH1810" s="90" t="n">
        <v>55000</v>
      </c>
      <c r="AI1810" s="90" t="n">
        <v>55000</v>
      </c>
      <c r="AJ1810" s="96" t="s">
        <v>62</v>
      </c>
      <c r="AK1810" s="97" t="s">
        <v>62</v>
      </c>
      <c r="AL1810" s="95" t="s">
        <v>62</v>
      </c>
      <c r="AM1810" s="90"/>
      <c r="AN1810" s="90"/>
      <c r="AO1810" s="90"/>
      <c r="AP1810" s="90"/>
      <c r="AQ1810" s="90"/>
      <c r="AR1810" s="90"/>
      <c r="AS1810" s="90"/>
      <c r="AT1810" s="90"/>
      <c r="AU1810" s="90"/>
      <c r="AV1810" s="91"/>
      <c r="AX1810" s="92"/>
    </row>
    <row r="1811" customFormat="false" ht="15.65" hidden="false" customHeight="false" outlineLevel="0" collapsed="false">
      <c r="C1811" s="72" t="n">
        <f aca="false">COUNTIFS($D$6:D1811,"&lt;&gt;"&amp;"")</f>
        <v>1806</v>
      </c>
      <c r="D1811" s="73" t="s">
        <v>12</v>
      </c>
      <c r="E1811" s="76" t="str">
        <f aca="false">
IF($D1811="정상",INDEX(임대자산!$D$3:$R$3000,MATCH($F1811,임대자산!$I$3:$I$3000,0),MATCH(E$3,임대자산!$D$3:$R$3,0)),
IF($D1811="폐업",INDEX(폐업정보!$D$3:$R$3000,MATCH($F1811,폐업정보!$I$3:$I$3000,0),MATCH(E$3,폐업정보!$D$3:$R$3,0)),
"Error"))</f>
        <v>강원</v>
      </c>
      <c r="F181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B1806</v>
      </c>
      <c r="G1811" s="76" t="str">
        <f aca="false">F1811&amp;RANDBETWEEN(0,10)</f>
        <v>B180610</v>
      </c>
      <c r="H1811" s="75" t="n">
        <f aca="false">
IF($D1811="정상",INDEX(임대자산!$D$3:$R$3000,MATCH($F1811,임대자산!$I$3:$I$3000,0),MATCH(H$4,임대자산!$D$3:$R$3,0)),
IF($D1811="폐업",INDEX(폐업정보!$D$3:$R$3000,MATCH($F1811,폐업정보!$I$3:$I$3000,0),MATCH(H$4,폐업정보!$D$3:$R$3,0)),
"Error"))</f>
        <v>45897</v>
      </c>
      <c r="I1811" s="75" t="str">
        <f aca="false">
IF($D1811="정상",INDEX(임대자산!$D$3:$R$3000,MATCH($F1811,임대자산!$I$3:$I$3000,0),MATCH(I$4,임대자산!$D$3:$R$3,0)),
IF($D1811="폐업",INDEX(폐업정보!$D$3:$R$3000,MATCH($F1811,폐업정보!$I$3:$I$3000,0),MATCH(I$4,폐업정보!$D$3:$R$3,0)),
"Error"))</f>
        <v>A1806</v>
      </c>
      <c r="J1811" s="75" t="str">
        <f aca="false">
IF($D1811="정상",INDEX(임대자산!$D$3:$R$3000,MATCH($F1811,임대자산!$I$3:$I$3000,0),MATCH(J$4,임대자산!$D$3:$R$3,0)),
IF($D1811="폐업",INDEX(폐업정보!$D$3:$R$3000,MATCH($F1811,폐업정보!$I$3:$I$3000,0),MATCH(J$4,폐업정보!$D$3:$R$3,0)),
"Error"))</f>
        <v>3954000000</v>
      </c>
      <c r="K1811" s="75" t="str">
        <f aca="false">
IF($D1811="정상",INDEX(임대자산!$D$3:$R$3000,MATCH($F1811,임대자산!$I$3:$I$3000,0),MATCH(K$4,임대자산!$D$3:$R$3,0)),
IF($D1811="폐업",INDEX(폐업정보!$D$3:$R$3000,MATCH($F1811,폐업정보!$I$3:$I$3000,0),MATCH(K$4,폐업정보!$D$3:$R$3,0)),
"Error"))</f>
        <v>C1806</v>
      </c>
      <c r="L1811" s="75" t="str">
        <f aca="false">
IF($D1811="정상",INDEX(임대자산!$D$3:$R$3000,MATCH($F1811,임대자산!$I$3:$I$3000,0),MATCH(L$4,임대자산!$D$3:$R$3,0)),
IF($D1811="폐업",INDEX(폐업정보!$D$3:$R$3000,MATCH($F1811,폐업정보!$I$3:$I$3000,0),MATCH(L$4,폐업정보!$D$3:$R$3,0)),
"Error"))</f>
        <v>D1806</v>
      </c>
      <c r="M1811" s="76" t="s">
        <v>96</v>
      </c>
      <c r="N1811" s="77"/>
      <c r="O1811" s="78" t="s">
        <v>97</v>
      </c>
      <c r="P1811" s="79" t="n">
        <f aca="false">COUNTIFS(임대자산!$I:$I,가맹점정보!F1811,임대자산!$N:$N,가맹점정보!P$4)</f>
        <v>0</v>
      </c>
      <c r="Q1811" s="80" t="n">
        <f aca="false">COUNTIFS(임대자산!$I:$I,가맹점정보!F1811,임대자산!$N:$N,가맹점정보!Q$4)</f>
        <v>0</v>
      </c>
      <c r="R1811" s="81" t="n">
        <f aca="false">COUNTIFS(임대자산!$I:$I,가맹점정보!F1811,임대자산!$N:$N,가맹점정보!R$4)</f>
        <v>1</v>
      </c>
      <c r="S1811" s="82" t="n">
        <v>110000</v>
      </c>
      <c r="T1811" s="83" t="n">
        <v>0</v>
      </c>
      <c r="U1811" s="80" t="n">
        <f aca="false">SUM(S1811:T1811)</f>
        <v>110000</v>
      </c>
      <c r="V1811" s="84" t="s">
        <v>12</v>
      </c>
      <c r="W1811" s="80" t="e">
        <f aca="true">
IF(D1811="폐업","폐업",
IF(V1811="면제","면제",
IF(AND(V1811="정상",COUNTIFS(OFFSET(Y1811,0,COUNTA(Y1811:AV1811)-1,1,-4),"미납")&gt;=3),"장기미납",
IF(AND(V1811="정상",OFFSET(Y1811,0,COUNTA(Y1811:AV1811)-1)&gt;=U1811),"정상",
IF(AND(V1811="정상",OFFSET(Y1811,0,COUNTA(Y1811:AV1811)-1)=0),"정상",
"계약서 미작성")))))</f>
        <v>#VALUE!</v>
      </c>
      <c r="X1811" s="81" t="str">
        <f aca="true">
IF(D1811="폐업","폐업",
IF(AND(V1811="정상",OFFSET(Y1811,0,COUNTA(Y1811:AV1811)-1)="미납"),"미납",
IF(AND(V1811="정상",OFFSET(Y1811,0,COUNTA(Y1811:AV1811)-1)=0),"납부 시작 전",
IF(AND(V1811="정상",OFFSET(Y1811,0,COUNTA(Y1811:AV1811)-1)&gt;=U1811),"정상",
IF(AND(V1811="면제",OFFSET(Y1811,0,COUNTA(Y1811:AV1811)-1)="면제"),"면제",
IF(AND(V1811="면제",OFFSET(Y1811,0,COUNTA(Y1811:AV1811)-1)=0),"면제",
"확인요청"))))))</f>
        <v>정상</v>
      </c>
      <c r="Y1811" s="93" t="n">
        <v>110000</v>
      </c>
      <c r="Z1811" s="90" t="s">
        <v>106</v>
      </c>
      <c r="AA1811" s="90" t="n">
        <v>165000</v>
      </c>
      <c r="AB1811" s="90" t="n">
        <v>110000</v>
      </c>
      <c r="AC1811" s="90" t="n">
        <v>110000</v>
      </c>
      <c r="AD1811" s="90" t="n">
        <v>110000</v>
      </c>
      <c r="AE1811" s="90" t="n">
        <v>110000</v>
      </c>
      <c r="AF1811" s="90" t="n">
        <v>110000</v>
      </c>
      <c r="AG1811" s="90" t="n">
        <v>110000</v>
      </c>
      <c r="AH1811" s="90" t="n">
        <v>110000</v>
      </c>
      <c r="AI1811" s="90" t="n">
        <v>110000</v>
      </c>
      <c r="AJ1811" s="91" t="n">
        <v>110000</v>
      </c>
      <c r="AK1811" s="89" t="n">
        <v>110000</v>
      </c>
      <c r="AL1811" s="90" t="n">
        <v>110000</v>
      </c>
      <c r="AM1811" s="90"/>
      <c r="AN1811" s="90"/>
      <c r="AO1811" s="90"/>
      <c r="AP1811" s="90"/>
      <c r="AQ1811" s="90"/>
      <c r="AR1811" s="90"/>
      <c r="AS1811" s="90"/>
      <c r="AT1811" s="90"/>
      <c r="AU1811" s="90"/>
      <c r="AV1811" s="91"/>
      <c r="AX1811" s="92"/>
    </row>
    <row r="1812" customFormat="false" ht="15.65" hidden="false" customHeight="false" outlineLevel="0" collapsed="false">
      <c r="C1812" s="72" t="n">
        <f aca="false">COUNTIFS($D$6:D1812,"&lt;&gt;"&amp;"")</f>
        <v>1807</v>
      </c>
      <c r="D1812" s="73" t="s">
        <v>12</v>
      </c>
      <c r="E1812" s="76" t="str">
        <f aca="false">
IF($D1812="정상",INDEX(임대자산!$D$3:$R$3000,MATCH($F1812,임대자산!$I$3:$I$3000,0),MATCH(E$3,임대자산!$D$3:$R$3,0)),
IF($D1812="폐업",INDEX(폐업정보!$D$3:$R$3000,MATCH($F1812,폐업정보!$I$3:$I$3000,0),MATCH(E$3,폐업정보!$D$3:$R$3,0)),
"Error"))</f>
        <v>강원</v>
      </c>
      <c r="F181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B1807</v>
      </c>
      <c r="G1812" s="76" t="str">
        <f aca="false">F1812&amp;RANDBETWEEN(0,10)</f>
        <v>B18072</v>
      </c>
      <c r="H1812" s="75" t="n">
        <f aca="false">
IF($D1812="정상",INDEX(임대자산!$D$3:$R$3000,MATCH($F1812,임대자산!$I$3:$I$3000,0),MATCH(H$4,임대자산!$D$3:$R$3,0)),
IF($D1812="폐업",INDEX(폐업정보!$D$3:$R$3000,MATCH($F1812,폐업정보!$I$3:$I$3000,0),MATCH(H$4,폐업정보!$D$3:$R$3,0)),
"Error"))</f>
        <v>45897</v>
      </c>
      <c r="I1812" s="75" t="str">
        <f aca="false">
IF($D1812="정상",INDEX(임대자산!$D$3:$R$3000,MATCH($F1812,임대자산!$I$3:$I$3000,0),MATCH(I$4,임대자산!$D$3:$R$3,0)),
IF($D1812="폐업",INDEX(폐업정보!$D$3:$R$3000,MATCH($F1812,폐업정보!$I$3:$I$3000,0),MATCH(I$4,폐업정보!$D$3:$R$3,0)),
"Error"))</f>
        <v>A1807</v>
      </c>
      <c r="J1812" s="75" t="str">
        <f aca="false">
IF($D1812="정상",INDEX(임대자산!$D$3:$R$3000,MATCH($F1812,임대자산!$I$3:$I$3000,0),MATCH(J$4,임대자산!$D$3:$R$3,0)),
IF($D1812="폐업",INDEX(폐업정보!$D$3:$R$3000,MATCH($F1812,폐업정보!$I$3:$I$3000,0),MATCH(J$4,폐업정보!$D$3:$R$3,0)),
"Error"))</f>
        <v>4008000000</v>
      </c>
      <c r="K1812" s="75" t="str">
        <f aca="false">
IF($D1812="정상",INDEX(임대자산!$D$3:$R$3000,MATCH($F1812,임대자산!$I$3:$I$3000,0),MATCH(K$4,임대자산!$D$3:$R$3,0)),
IF($D1812="폐업",INDEX(폐업정보!$D$3:$R$3000,MATCH($F1812,폐업정보!$I$3:$I$3000,0),MATCH(K$4,폐업정보!$D$3:$R$3,0)),
"Error"))</f>
        <v>C1807</v>
      </c>
      <c r="L1812" s="75" t="str">
        <f aca="false">
IF($D1812="정상",INDEX(임대자산!$D$3:$R$3000,MATCH($F1812,임대자산!$I$3:$I$3000,0),MATCH(L$4,임대자산!$D$3:$R$3,0)),
IF($D1812="폐업",INDEX(폐업정보!$D$3:$R$3000,MATCH($F1812,폐업정보!$I$3:$I$3000,0),MATCH(L$4,폐업정보!$D$3:$R$3,0)),
"Error"))</f>
        <v>D1807</v>
      </c>
      <c r="M1812" s="76" t="s">
        <v>96</v>
      </c>
      <c r="N1812" s="77"/>
      <c r="O1812" s="78" t="s">
        <v>97</v>
      </c>
      <c r="P1812" s="79" t="n">
        <f aca="false">COUNTIFS(임대자산!$I:$I,가맹점정보!F1812,임대자산!$N:$N,가맹점정보!P$4)</f>
        <v>0</v>
      </c>
      <c r="Q1812" s="80" t="n">
        <f aca="false">COUNTIFS(임대자산!$I:$I,가맹점정보!F1812,임대자산!$N:$N,가맹점정보!Q$4)</f>
        <v>0</v>
      </c>
      <c r="R1812" s="81" t="n">
        <f aca="false">COUNTIFS(임대자산!$I:$I,가맹점정보!F1812,임대자산!$N:$N,가맹점정보!R$4)</f>
        <v>1</v>
      </c>
      <c r="S1812" s="82" t="n">
        <v>55000</v>
      </c>
      <c r="T1812" s="83" t="n">
        <v>0</v>
      </c>
      <c r="U1812" s="80" t="n">
        <f aca="false">SUM(S1812:T1812)</f>
        <v>55000</v>
      </c>
      <c r="V1812" s="84" t="s">
        <v>7</v>
      </c>
      <c r="W1812" s="80" t="str">
        <f aca="true">
IF(D1812="폐업","폐업",
IF(V1812="면제","면제",
IF(AND(V1812="정상",COUNTIFS(OFFSET(Y1812,0,COUNTA(Y1812:AV1812)-1,1,-4),"미납")&gt;=3),"장기미납",
IF(AND(V1812="정상",OFFSET(Y1812,0,COUNTA(Y1812:AV1812)-1)&gt;=U1812),"정상",
IF(AND(V1812="정상",OFFSET(Y1812,0,COUNTA(Y1812:AV1812)-1)=0),"정상",
"계약서 미작성")))))</f>
        <v>면제</v>
      </c>
      <c r="X1812" s="81" t="str">
        <f aca="true">
IF(D1812="폐업","폐업",
IF(AND(V1812="정상",OFFSET(Y1812,0,COUNTA(Y1812:AV1812)-1)="미납"),"미납",
IF(AND(V1812="정상",OFFSET(Y1812,0,COUNTA(Y1812:AV1812)-1)=0),"납부 시작 전",
IF(AND(V1812="정상",OFFSET(Y1812,0,COUNTA(Y1812:AV1812)-1)&gt;=U1812),"정상",
IF(AND(V1812="면제",OFFSET(Y1812,0,COUNTA(Y1812:AV1812)-1)="면제"),"면제",
IF(AND(V1812="면제",OFFSET(Y1812,0,COUNTA(Y1812:AV1812)-1)=0),"면제",
"확인요청"))))))</f>
        <v>면제</v>
      </c>
      <c r="Y1812" s="93" t="n">
        <v>55000</v>
      </c>
      <c r="Z1812" s="90" t="s">
        <v>106</v>
      </c>
      <c r="AA1812" s="90" t="n">
        <v>110000</v>
      </c>
      <c r="AB1812" s="90" t="n">
        <v>55000</v>
      </c>
      <c r="AC1812" s="90" t="n">
        <v>55000</v>
      </c>
      <c r="AD1812" s="95" t="s">
        <v>62</v>
      </c>
      <c r="AE1812" s="95" t="s">
        <v>7</v>
      </c>
      <c r="AF1812" s="95" t="s">
        <v>7</v>
      </c>
      <c r="AG1812" s="95" t="s">
        <v>7</v>
      </c>
      <c r="AH1812" s="95" t="s">
        <v>7</v>
      </c>
      <c r="AI1812" s="95" t="s">
        <v>7</v>
      </c>
      <c r="AJ1812" s="96" t="s">
        <v>7</v>
      </c>
      <c r="AK1812" s="97" t="s">
        <v>7</v>
      </c>
      <c r="AL1812" s="95" t="s">
        <v>7</v>
      </c>
      <c r="AM1812" s="90"/>
      <c r="AN1812" s="90"/>
      <c r="AO1812" s="90"/>
      <c r="AP1812" s="90"/>
      <c r="AQ1812" s="90"/>
      <c r="AR1812" s="90"/>
      <c r="AS1812" s="90"/>
      <c r="AT1812" s="90"/>
      <c r="AU1812" s="90"/>
      <c r="AV1812" s="91"/>
      <c r="AX1812" s="92"/>
    </row>
    <row r="1813" customFormat="false" ht="15.65" hidden="false" customHeight="false" outlineLevel="0" collapsed="false">
      <c r="C1813" s="72" t="n">
        <f aca="false">COUNTIFS($D$6:D1813,"&lt;&gt;"&amp;"")</f>
        <v>1808</v>
      </c>
      <c r="D1813" s="73" t="s">
        <v>12</v>
      </c>
      <c r="E1813" s="76" t="str">
        <f aca="false">
IF($D1813="정상",INDEX(임대자산!$D$3:$R$3000,MATCH($F1813,임대자산!$I$3:$I$3000,0),MATCH(E$3,임대자산!$D$3:$R$3,0)),
IF($D1813="폐업",INDEX(폐업정보!$D$3:$R$3000,MATCH($F1813,폐업정보!$I$3:$I$3000,0),MATCH(E$3,폐업정보!$D$3:$R$3,0)),
"Error"))</f>
        <v>강원</v>
      </c>
      <c r="F181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B1808</v>
      </c>
      <c r="G1813" s="76" t="str">
        <f aca="false">F1813&amp;RANDBETWEEN(0,10)</f>
        <v>B18082</v>
      </c>
      <c r="H1813" s="75" t="n">
        <f aca="false">
IF($D1813="정상",INDEX(임대자산!$D$3:$R$3000,MATCH($F1813,임대자산!$I$3:$I$3000,0),MATCH(H$4,임대자산!$D$3:$R$3,0)),
IF($D1813="폐업",INDEX(폐업정보!$D$3:$R$3000,MATCH($F1813,폐업정보!$I$3:$I$3000,0),MATCH(H$4,폐업정보!$D$3:$R$3,0)),
"Error"))</f>
        <v>45902</v>
      </c>
      <c r="I1813" s="75" t="str">
        <f aca="false">
IF($D1813="정상",INDEX(임대자산!$D$3:$R$3000,MATCH($F1813,임대자산!$I$3:$I$3000,0),MATCH(I$4,임대자산!$D$3:$R$3,0)),
IF($D1813="폐업",INDEX(폐업정보!$D$3:$R$3000,MATCH($F1813,폐업정보!$I$3:$I$3000,0),MATCH(I$4,폐업정보!$D$3:$R$3,0)),
"Error"))</f>
        <v>A1808</v>
      </c>
      <c r="J1813" s="75" t="str">
        <f aca="false">
IF($D1813="정상",INDEX(임대자산!$D$3:$R$3000,MATCH($F1813,임대자산!$I$3:$I$3000,0),MATCH(J$4,임대자산!$D$3:$R$3,0)),
IF($D1813="폐업",INDEX(폐업정보!$D$3:$R$3000,MATCH($F1813,폐업정보!$I$3:$I$3000,0),MATCH(J$4,폐업정보!$D$3:$R$3,0)),
"Error"))</f>
        <v>3189600000</v>
      </c>
      <c r="K1813" s="75" t="str">
        <f aca="false">
IF($D1813="정상",INDEX(임대자산!$D$3:$R$3000,MATCH($F1813,임대자산!$I$3:$I$3000,0),MATCH(K$4,임대자산!$D$3:$R$3,0)),
IF($D1813="폐업",INDEX(폐업정보!$D$3:$R$3000,MATCH($F1813,폐업정보!$I$3:$I$3000,0),MATCH(K$4,폐업정보!$D$3:$R$3,0)),
"Error"))</f>
        <v>C1808</v>
      </c>
      <c r="L1813" s="75" t="str">
        <f aca="false">
IF($D1813="정상",INDEX(임대자산!$D$3:$R$3000,MATCH($F1813,임대자산!$I$3:$I$3000,0),MATCH(L$4,임대자산!$D$3:$R$3,0)),
IF($D1813="폐업",INDEX(폐업정보!$D$3:$R$3000,MATCH($F1813,폐업정보!$I$3:$I$3000,0),MATCH(L$4,폐업정보!$D$3:$R$3,0)),
"Error"))</f>
        <v>D1808</v>
      </c>
      <c r="M1813" s="76" t="s">
        <v>96</v>
      </c>
      <c r="N1813" s="77"/>
      <c r="O1813" s="78" t="s">
        <v>97</v>
      </c>
      <c r="P1813" s="79" t="n">
        <f aca="false">COUNTIFS(임대자산!$I:$I,가맹점정보!F1813,임대자산!$N:$N,가맹점정보!P$4)</f>
        <v>0</v>
      </c>
      <c r="Q1813" s="80" t="n">
        <f aca="false">COUNTIFS(임대자산!$I:$I,가맹점정보!F1813,임대자산!$N:$N,가맹점정보!Q$4)</f>
        <v>0</v>
      </c>
      <c r="R1813" s="81" t="n">
        <f aca="false">COUNTIFS(임대자산!$I:$I,가맹점정보!F1813,임대자산!$N:$N,가맹점정보!R$4)</f>
        <v>1</v>
      </c>
      <c r="S1813" s="82" t="n">
        <v>55000</v>
      </c>
      <c r="T1813" s="83" t="n">
        <v>0</v>
      </c>
      <c r="U1813" s="80" t="n">
        <f aca="false">SUM(S1813:T1813)</f>
        <v>55000</v>
      </c>
      <c r="V1813" s="84" t="s">
        <v>12</v>
      </c>
      <c r="W1813" s="80" t="e">
        <f aca="true">
IF(D1813="폐업","폐업",
IF(V1813="면제","면제",
IF(AND(V1813="정상",COUNTIFS(OFFSET(Y1813,0,COUNTA(Y1813:AV1813)-1,1,-4),"미납")&gt;=3),"장기미납",
IF(AND(V1813="정상",OFFSET(Y1813,0,COUNTA(Y1813:AV1813)-1)&gt;=U1813),"정상",
IF(AND(V1813="정상",OFFSET(Y1813,0,COUNTA(Y1813:AV1813)-1)=0),"정상",
"계약서 미작성")))))</f>
        <v>#VALUE!</v>
      </c>
      <c r="X1813" s="81" t="str">
        <f aca="true">
IF(D1813="폐업","폐업",
IF(AND(V1813="정상",OFFSET(Y1813,0,COUNTA(Y1813:AV1813)-1)="미납"),"미납",
IF(AND(V1813="정상",OFFSET(Y1813,0,COUNTA(Y1813:AV1813)-1)=0),"납부 시작 전",
IF(AND(V1813="정상",OFFSET(Y1813,0,COUNTA(Y1813:AV1813)-1)&gt;=U1813),"정상",
IF(AND(V1813="면제",OFFSET(Y1813,0,COUNTA(Y1813:AV1813)-1)="면제"),"면제",
IF(AND(V1813="면제",OFFSET(Y1813,0,COUNTA(Y1813:AV1813)-1)=0),"면제",
"확인요청"))))))</f>
        <v>정상</v>
      </c>
      <c r="Y1813" s="93" t="n">
        <v>88000</v>
      </c>
      <c r="Z1813" s="95" t="s">
        <v>62</v>
      </c>
      <c r="AA1813" s="90" t="n">
        <v>55000</v>
      </c>
      <c r="AB1813" s="90" t="n">
        <v>55000</v>
      </c>
      <c r="AC1813" s="90" t="n">
        <v>55000</v>
      </c>
      <c r="AD1813" s="90" t="n">
        <v>55000</v>
      </c>
      <c r="AE1813" s="90" t="n">
        <v>55000</v>
      </c>
      <c r="AF1813" s="90" t="n">
        <v>55000</v>
      </c>
      <c r="AG1813" s="90" t="n">
        <v>55000</v>
      </c>
      <c r="AH1813" s="90" t="n">
        <v>55000</v>
      </c>
      <c r="AI1813" s="90" t="n">
        <v>55000</v>
      </c>
      <c r="AJ1813" s="91" t="n">
        <v>55000</v>
      </c>
      <c r="AK1813" s="89" t="n">
        <v>55000</v>
      </c>
      <c r="AL1813" s="90" t="n">
        <v>55000</v>
      </c>
      <c r="AM1813" s="90"/>
      <c r="AN1813" s="90"/>
      <c r="AO1813" s="90"/>
      <c r="AP1813" s="90"/>
      <c r="AQ1813" s="90"/>
      <c r="AR1813" s="90"/>
      <c r="AS1813" s="90"/>
      <c r="AT1813" s="90"/>
      <c r="AU1813" s="90"/>
      <c r="AV1813" s="91"/>
      <c r="AX1813" s="92"/>
    </row>
    <row r="1814" customFormat="false" ht="15.65" hidden="false" customHeight="false" outlineLevel="0" collapsed="false">
      <c r="C1814" s="72" t="n">
        <f aca="false">COUNTIFS($D$6:D1814,"&lt;&gt;"&amp;"")</f>
        <v>1809</v>
      </c>
      <c r="D1814" s="73" t="s">
        <v>12</v>
      </c>
      <c r="E1814" s="76" t="str">
        <f aca="false">
IF($D1814="정상",INDEX(임대자산!$D$3:$R$3000,MATCH($F1814,임대자산!$I$3:$I$3000,0),MATCH(E$3,임대자산!$D$3:$R$3,0)),
IF($D1814="폐업",INDEX(폐업정보!$D$3:$R$3000,MATCH($F1814,폐업정보!$I$3:$I$3000,0),MATCH(E$3,폐업정보!$D$3:$R$3,0)),
"Error"))</f>
        <v>서울</v>
      </c>
      <c r="F181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B1809</v>
      </c>
      <c r="G1814" s="76" t="str">
        <f aca="false">F1814&amp;RANDBETWEEN(0,10)</f>
        <v>B18090</v>
      </c>
      <c r="H1814" s="75" t="n">
        <f aca="false">
IF($D1814="정상",INDEX(임대자산!$D$3:$R$3000,MATCH($F1814,임대자산!$I$3:$I$3000,0),MATCH(H$4,임대자산!$D$3:$R$3,0)),
IF($D1814="폐업",INDEX(폐업정보!$D$3:$R$3000,MATCH($F1814,폐업정보!$I$3:$I$3000,0),MATCH(H$4,폐업정보!$D$3:$R$3,0)),
"Error"))</f>
        <v>45897</v>
      </c>
      <c r="I1814" s="75" t="str">
        <f aca="false">
IF($D1814="정상",INDEX(임대자산!$D$3:$R$3000,MATCH($F1814,임대자산!$I$3:$I$3000,0),MATCH(I$4,임대자산!$D$3:$R$3,0)),
IF($D1814="폐업",INDEX(폐업정보!$D$3:$R$3000,MATCH($F1814,폐업정보!$I$3:$I$3000,0),MATCH(I$4,폐업정보!$D$3:$R$3,0)),
"Error"))</f>
        <v>A1809</v>
      </c>
      <c r="J1814" s="75" t="str">
        <f aca="false">
IF($D1814="정상",INDEX(임대자산!$D$3:$R$3000,MATCH($F1814,임대자산!$I$3:$I$3000,0),MATCH(J$4,임대자산!$D$3:$R$3,0)),
IF($D1814="폐업",INDEX(폐업정보!$D$3:$R$3000,MATCH($F1814,폐업정보!$I$3:$I$3000,0),MATCH(J$4,폐업정보!$D$3:$R$3,0)),
"Error"))</f>
        <v>7619100000</v>
      </c>
      <c r="K1814" s="75" t="str">
        <f aca="false">
IF($D1814="정상",INDEX(임대자산!$D$3:$R$3000,MATCH($F1814,임대자산!$I$3:$I$3000,0),MATCH(K$4,임대자산!$D$3:$R$3,0)),
IF($D1814="폐업",INDEX(폐업정보!$D$3:$R$3000,MATCH($F1814,폐업정보!$I$3:$I$3000,0),MATCH(K$4,폐업정보!$D$3:$R$3,0)),
"Error"))</f>
        <v>C1809</v>
      </c>
      <c r="L1814" s="75" t="str">
        <f aca="false">
IF($D1814="정상",INDEX(임대자산!$D$3:$R$3000,MATCH($F1814,임대자산!$I$3:$I$3000,0),MATCH(L$4,임대자산!$D$3:$R$3,0)),
IF($D1814="폐업",INDEX(폐업정보!$D$3:$R$3000,MATCH($F1814,폐업정보!$I$3:$I$3000,0),MATCH(L$4,폐업정보!$D$3:$R$3,0)),
"Error"))</f>
        <v>D1809</v>
      </c>
      <c r="M1814" s="76" t="s">
        <v>96</v>
      </c>
      <c r="N1814" s="77"/>
      <c r="O1814" s="78" t="s">
        <v>97</v>
      </c>
      <c r="P1814" s="79" t="n">
        <f aca="false">COUNTIFS(임대자산!$I:$I,가맹점정보!F1814,임대자산!$N:$N,가맹점정보!P$4)</f>
        <v>0</v>
      </c>
      <c r="Q1814" s="80" t="n">
        <f aca="false">COUNTIFS(임대자산!$I:$I,가맹점정보!F1814,임대자산!$N:$N,가맹점정보!Q$4)</f>
        <v>0</v>
      </c>
      <c r="R1814" s="81" t="n">
        <f aca="false">COUNTIFS(임대자산!$I:$I,가맹점정보!F1814,임대자산!$N:$N,가맹점정보!R$4)</f>
        <v>1</v>
      </c>
      <c r="S1814" s="82" t="n">
        <v>55000</v>
      </c>
      <c r="T1814" s="83" t="n">
        <v>0</v>
      </c>
      <c r="U1814" s="80" t="n">
        <f aca="false">SUM(S1814:T1814)</f>
        <v>55000</v>
      </c>
      <c r="V1814" s="84" t="s">
        <v>7</v>
      </c>
      <c r="W1814" s="80" t="str">
        <f aca="true">
IF(D1814="폐업","폐업",
IF(V1814="면제","면제",
IF(AND(V1814="정상",COUNTIFS(OFFSET(Y1814,0,COUNTA(Y1814:AV1814)-1,1,-4),"미납")&gt;=3),"장기미납",
IF(AND(V1814="정상",OFFSET(Y1814,0,COUNTA(Y1814:AV1814)-1)&gt;=U1814),"정상",
IF(AND(V1814="정상",OFFSET(Y1814,0,COUNTA(Y1814:AV1814)-1)=0),"정상",
"계약서 미작성")))))</f>
        <v>면제</v>
      </c>
      <c r="X1814" s="81" t="str">
        <f aca="true">
IF(D1814="폐업","폐업",
IF(AND(V1814="정상",OFFSET(Y1814,0,COUNTA(Y1814:AV1814)-1)="미납"),"미납",
IF(AND(V1814="정상",OFFSET(Y1814,0,COUNTA(Y1814:AV1814)-1)=0),"납부 시작 전",
IF(AND(V1814="정상",OFFSET(Y1814,0,COUNTA(Y1814:AV1814)-1)&gt;=U1814),"정상",
IF(AND(V1814="면제",OFFSET(Y1814,0,COUNTA(Y1814:AV1814)-1)="면제"),"면제",
IF(AND(V1814="면제",OFFSET(Y1814,0,COUNTA(Y1814:AV1814)-1)=0),"면제",
"확인요청"))))))</f>
        <v>면제</v>
      </c>
      <c r="Y1814" s="93" t="n">
        <v>44000</v>
      </c>
      <c r="Z1814" s="95" t="s">
        <v>62</v>
      </c>
      <c r="AA1814" s="90" t="n">
        <v>0</v>
      </c>
      <c r="AB1814" s="90" t="n">
        <v>0</v>
      </c>
      <c r="AC1814" s="90" t="n">
        <v>0</v>
      </c>
      <c r="AD1814" s="95" t="s">
        <v>7</v>
      </c>
      <c r="AE1814" s="95" t="s">
        <v>7</v>
      </c>
      <c r="AF1814" s="95" t="s">
        <v>7</v>
      </c>
      <c r="AG1814" s="95" t="s">
        <v>7</v>
      </c>
      <c r="AH1814" s="95" t="s">
        <v>7</v>
      </c>
      <c r="AI1814" s="95" t="s">
        <v>7</v>
      </c>
      <c r="AJ1814" s="96" t="s">
        <v>7</v>
      </c>
      <c r="AK1814" s="97" t="s">
        <v>7</v>
      </c>
      <c r="AL1814" s="95" t="s">
        <v>7</v>
      </c>
      <c r="AM1814" s="90"/>
      <c r="AN1814" s="90"/>
      <c r="AO1814" s="90"/>
      <c r="AP1814" s="90"/>
      <c r="AQ1814" s="90"/>
      <c r="AR1814" s="90"/>
      <c r="AS1814" s="90"/>
      <c r="AT1814" s="90"/>
      <c r="AU1814" s="90"/>
      <c r="AV1814" s="91"/>
      <c r="AX1814" s="92"/>
    </row>
    <row r="1815" customFormat="false" ht="15.65" hidden="false" customHeight="false" outlineLevel="0" collapsed="false">
      <c r="C1815" s="72" t="n">
        <f aca="false">COUNTIFS($D$6:D1815,"&lt;&gt;"&amp;"")</f>
        <v>1810</v>
      </c>
      <c r="D1815" s="73" t="s">
        <v>12</v>
      </c>
      <c r="E1815" s="76" t="str">
        <f aca="false">
IF($D1815="정상",INDEX(임대자산!$D$3:$R$3000,MATCH($F1815,임대자산!$I$3:$I$3000,0),MATCH(E$3,임대자산!$D$3:$R$3,0)),
IF($D1815="폐업",INDEX(폐업정보!$D$3:$R$3000,MATCH($F1815,폐업정보!$I$3:$I$3000,0),MATCH(E$3,폐업정보!$D$3:$R$3,0)),
"Error"))</f>
        <v>서울</v>
      </c>
      <c r="F181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B1810</v>
      </c>
      <c r="G1815" s="76" t="str">
        <f aca="false">F1815&amp;RANDBETWEEN(0,10)</f>
        <v>B18106</v>
      </c>
      <c r="H1815" s="75" t="n">
        <f aca="false">
IF($D1815="정상",INDEX(임대자산!$D$3:$R$3000,MATCH($F1815,임대자산!$I$3:$I$3000,0),MATCH(H$4,임대자산!$D$3:$R$3,0)),
IF($D1815="폐업",INDEX(폐업정보!$D$3:$R$3000,MATCH($F1815,폐업정보!$I$3:$I$3000,0),MATCH(H$4,폐업정보!$D$3:$R$3,0)),
"Error"))</f>
        <v>45897</v>
      </c>
      <c r="I1815" s="75" t="str">
        <f aca="false">
IF($D1815="정상",INDEX(임대자산!$D$3:$R$3000,MATCH($F1815,임대자산!$I$3:$I$3000,0),MATCH(I$4,임대자산!$D$3:$R$3,0)),
IF($D1815="폐업",INDEX(폐업정보!$D$3:$R$3000,MATCH($F1815,폐업정보!$I$3:$I$3000,0),MATCH(I$4,폐업정보!$D$3:$R$3,0)),
"Error"))</f>
        <v>A1810</v>
      </c>
      <c r="J1815" s="75" t="str">
        <f aca="false">
IF($D1815="정상",INDEX(임대자산!$D$3:$R$3000,MATCH($F1815,임대자산!$I$3:$I$3000,0),MATCH(J$4,임대자산!$D$3:$R$3,0)),
IF($D1815="폐업",INDEX(폐업정보!$D$3:$R$3000,MATCH($F1815,폐업정보!$I$3:$I$3000,0),MATCH(J$4,폐업정보!$D$3:$R$3,0)),
"Error"))</f>
        <v>2941800000</v>
      </c>
      <c r="K1815" s="75" t="str">
        <f aca="false">
IF($D1815="정상",INDEX(임대자산!$D$3:$R$3000,MATCH($F1815,임대자산!$I$3:$I$3000,0),MATCH(K$4,임대자산!$D$3:$R$3,0)),
IF($D1815="폐업",INDEX(폐업정보!$D$3:$R$3000,MATCH($F1815,폐업정보!$I$3:$I$3000,0),MATCH(K$4,폐업정보!$D$3:$R$3,0)),
"Error"))</f>
        <v>C1810</v>
      </c>
      <c r="L1815" s="75" t="str">
        <f aca="false">
IF($D1815="정상",INDEX(임대자산!$D$3:$R$3000,MATCH($F1815,임대자산!$I$3:$I$3000,0),MATCH(L$4,임대자산!$D$3:$R$3,0)),
IF($D1815="폐업",INDEX(폐업정보!$D$3:$R$3000,MATCH($F1815,폐업정보!$I$3:$I$3000,0),MATCH(L$4,폐업정보!$D$3:$R$3,0)),
"Error"))</f>
        <v>D1810</v>
      </c>
      <c r="M1815" s="76" t="s">
        <v>96</v>
      </c>
      <c r="N1815" s="77"/>
      <c r="O1815" s="78" t="s">
        <v>97</v>
      </c>
      <c r="P1815" s="79" t="n">
        <f aca="false">COUNTIFS(임대자산!$I:$I,가맹점정보!F1815,임대자산!$N:$N,가맹점정보!P$4)</f>
        <v>0</v>
      </c>
      <c r="Q1815" s="80" t="n">
        <f aca="false">COUNTIFS(임대자산!$I:$I,가맹점정보!F1815,임대자산!$N:$N,가맹점정보!Q$4)</f>
        <v>0</v>
      </c>
      <c r="R1815" s="81" t="n">
        <f aca="false">COUNTIFS(임대자산!$I:$I,가맹점정보!F1815,임대자산!$N:$N,가맹점정보!R$4)</f>
        <v>1</v>
      </c>
      <c r="S1815" s="82" t="n">
        <v>88000</v>
      </c>
      <c r="T1815" s="83" t="n">
        <v>0</v>
      </c>
      <c r="U1815" s="80" t="n">
        <f aca="false">SUM(S1815:T1815)</f>
        <v>88000</v>
      </c>
      <c r="V1815" s="84" t="s">
        <v>12</v>
      </c>
      <c r="W1815" s="80" t="e">
        <f aca="true">
IF(D1815="폐업","폐업",
IF(V1815="면제","면제",
IF(AND(V1815="정상",COUNTIFS(OFFSET(Y1815,0,COUNTA(Y1815:AV1815)-1,1,-4),"미납")&gt;=3),"장기미납",
IF(AND(V1815="정상",OFFSET(Y1815,0,COUNTA(Y1815:AV1815)-1)&gt;=U1815),"정상",
IF(AND(V1815="정상",OFFSET(Y1815,0,COUNTA(Y1815:AV1815)-1)=0),"정상",
"계약서 미작성")))))</f>
        <v>#VALUE!</v>
      </c>
      <c r="X1815" s="81" t="str">
        <f aca="true">
IF(D1815="폐업","폐업",
IF(AND(V1815="정상",OFFSET(Y1815,0,COUNTA(Y1815:AV1815)-1)="미납"),"미납",
IF(AND(V1815="정상",OFFSET(Y1815,0,COUNTA(Y1815:AV1815)-1)=0),"납부 시작 전",
IF(AND(V1815="정상",OFFSET(Y1815,0,COUNTA(Y1815:AV1815)-1)&gt;=U1815),"정상",
IF(AND(V1815="면제",OFFSET(Y1815,0,COUNTA(Y1815:AV1815)-1)="면제"),"면제",
IF(AND(V1815="면제",OFFSET(Y1815,0,COUNTA(Y1815:AV1815)-1)=0),"면제",
"확인요청"))))))</f>
        <v>정상</v>
      </c>
      <c r="Y1815" s="93" t="n">
        <v>88000</v>
      </c>
      <c r="Z1815" s="90" t="s">
        <v>106</v>
      </c>
      <c r="AA1815" s="90" t="n">
        <v>176000</v>
      </c>
      <c r="AB1815" s="90" t="n">
        <v>88000</v>
      </c>
      <c r="AC1815" s="90" t="n">
        <v>88000</v>
      </c>
      <c r="AD1815" s="90" t="n">
        <v>88000</v>
      </c>
      <c r="AE1815" s="90" t="n">
        <v>88000</v>
      </c>
      <c r="AF1815" s="90" t="n">
        <v>88000</v>
      </c>
      <c r="AG1815" s="90" t="n">
        <v>88000</v>
      </c>
      <c r="AH1815" s="90" t="n">
        <v>88000</v>
      </c>
      <c r="AI1815" s="90" t="n">
        <v>88000</v>
      </c>
      <c r="AJ1815" s="91" t="n">
        <v>88000</v>
      </c>
      <c r="AK1815" s="89" t="n">
        <v>88000</v>
      </c>
      <c r="AL1815" s="90" t="n">
        <v>88000</v>
      </c>
      <c r="AM1815" s="90"/>
      <c r="AN1815" s="90"/>
      <c r="AO1815" s="90"/>
      <c r="AP1815" s="90"/>
      <c r="AQ1815" s="90"/>
      <c r="AR1815" s="90"/>
      <c r="AS1815" s="90"/>
      <c r="AT1815" s="90"/>
      <c r="AU1815" s="90"/>
      <c r="AV1815" s="91"/>
      <c r="AX1815" s="92"/>
    </row>
    <row r="1816" customFormat="false" ht="15.65" hidden="false" customHeight="false" outlineLevel="0" collapsed="false">
      <c r="C1816" s="72" t="n">
        <f aca="false">COUNTIFS($D$6:D1816,"&lt;&gt;"&amp;"")</f>
        <v>1811</v>
      </c>
      <c r="D1816" s="73" t="s">
        <v>12</v>
      </c>
      <c r="E1816" s="76" t="str">
        <f aca="false">
IF($D1816="정상",INDEX(임대자산!$D$3:$R$3000,MATCH($F1816,임대자산!$I$3:$I$3000,0),MATCH(E$3,임대자산!$D$3:$R$3,0)),
IF($D1816="폐업",INDEX(폐업정보!$D$3:$R$3000,MATCH($F1816,폐업정보!$I$3:$I$3000,0),MATCH(E$3,폐업정보!$D$3:$R$3,0)),
"Error"))</f>
        <v>서울</v>
      </c>
      <c r="F181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B1811</v>
      </c>
      <c r="G1816" s="76" t="str">
        <f aca="false">F1816&amp;RANDBETWEEN(0,10)</f>
        <v>B18115</v>
      </c>
      <c r="H1816" s="75" t="n">
        <f aca="false">
IF($D1816="정상",INDEX(임대자산!$D$3:$R$3000,MATCH($F1816,임대자산!$I$3:$I$3000,0),MATCH(H$4,임대자산!$D$3:$R$3,0)),
IF($D1816="폐업",INDEX(폐업정보!$D$3:$R$3000,MATCH($F1816,폐업정보!$I$3:$I$3000,0),MATCH(H$4,폐업정보!$D$3:$R$3,0)),
"Error"))</f>
        <v>45896</v>
      </c>
      <c r="I1816" s="75" t="str">
        <f aca="false">
IF($D1816="정상",INDEX(임대자산!$D$3:$R$3000,MATCH($F1816,임대자산!$I$3:$I$3000,0),MATCH(I$4,임대자산!$D$3:$R$3,0)),
IF($D1816="폐업",INDEX(폐업정보!$D$3:$R$3000,MATCH($F1816,폐업정보!$I$3:$I$3000,0),MATCH(I$4,폐업정보!$D$3:$R$3,0)),
"Error"))</f>
        <v>A1811</v>
      </c>
      <c r="J1816" s="75" t="str">
        <f aca="false">
IF($D1816="정상",INDEX(임대자산!$D$3:$R$3000,MATCH($F1816,임대자산!$I$3:$I$3000,0),MATCH(J$4,임대자산!$D$3:$R$3,0)),
IF($D1816="폐업",INDEX(폐업정보!$D$3:$R$3000,MATCH($F1816,폐업정보!$I$3:$I$3000,0),MATCH(J$4,폐업정보!$D$3:$R$3,0)),
"Error"))</f>
        <v>4519100000</v>
      </c>
      <c r="K1816" s="75" t="str">
        <f aca="false">
IF($D1816="정상",INDEX(임대자산!$D$3:$R$3000,MATCH($F1816,임대자산!$I$3:$I$3000,0),MATCH(K$4,임대자산!$D$3:$R$3,0)),
IF($D1816="폐업",INDEX(폐업정보!$D$3:$R$3000,MATCH($F1816,폐업정보!$I$3:$I$3000,0),MATCH(K$4,폐업정보!$D$3:$R$3,0)),
"Error"))</f>
        <v>C1811</v>
      </c>
      <c r="L1816" s="75" t="str">
        <f aca="false">
IF($D1816="정상",INDEX(임대자산!$D$3:$R$3000,MATCH($F1816,임대자산!$I$3:$I$3000,0),MATCH(L$4,임대자산!$D$3:$R$3,0)),
IF($D1816="폐업",INDEX(폐업정보!$D$3:$R$3000,MATCH($F1816,폐업정보!$I$3:$I$3000,0),MATCH(L$4,폐업정보!$D$3:$R$3,0)),
"Error"))</f>
        <v>D1811</v>
      </c>
      <c r="M1816" s="76" t="s">
        <v>96</v>
      </c>
      <c r="N1816" s="77"/>
      <c r="O1816" s="78" t="s">
        <v>97</v>
      </c>
      <c r="P1816" s="79" t="n">
        <f aca="false">COUNTIFS(임대자산!$I:$I,가맹점정보!F1816,임대자산!$N:$N,가맹점정보!P$4)</f>
        <v>0</v>
      </c>
      <c r="Q1816" s="80" t="n">
        <f aca="false">COUNTIFS(임대자산!$I:$I,가맹점정보!F1816,임대자산!$N:$N,가맹점정보!Q$4)</f>
        <v>0</v>
      </c>
      <c r="R1816" s="81" t="n">
        <f aca="false">COUNTIFS(임대자산!$I:$I,가맹점정보!F1816,임대자산!$N:$N,가맹점정보!R$4)</f>
        <v>1</v>
      </c>
      <c r="S1816" s="82" t="n">
        <v>55000</v>
      </c>
      <c r="T1816" s="83" t="n">
        <v>0</v>
      </c>
      <c r="U1816" s="80" t="n">
        <f aca="false">SUM(S1816:T1816)</f>
        <v>55000</v>
      </c>
      <c r="V1816" s="84" t="s">
        <v>12</v>
      </c>
      <c r="W1816" s="80" t="e">
        <f aca="true">
IF(D1816="폐업","폐업",
IF(V1816="면제","면제",
IF(AND(V1816="정상",COUNTIFS(OFFSET(Y1816,0,COUNTA(Y1816:AV1816)-1,1,-4),"미납")&gt;=3),"장기미납",
IF(AND(V1816="정상",OFFSET(Y1816,0,COUNTA(Y1816:AV1816)-1)&gt;=U1816),"정상",
IF(AND(V1816="정상",OFFSET(Y1816,0,COUNTA(Y1816:AV1816)-1)=0),"정상",
"계약서 미작성")))))</f>
        <v>#VALUE!</v>
      </c>
      <c r="X1816" s="81" t="str">
        <f aca="true">
IF(D1816="폐업","폐업",
IF(AND(V1816="정상",OFFSET(Y1816,0,COUNTA(Y1816:AV1816)-1)="미납"),"미납",
IF(AND(V1816="정상",OFFSET(Y1816,0,COUNTA(Y1816:AV1816)-1)=0),"납부 시작 전",
IF(AND(V1816="정상",OFFSET(Y1816,0,COUNTA(Y1816:AV1816)-1)&gt;=U1816),"정상",
IF(AND(V1816="면제",OFFSET(Y1816,0,COUNTA(Y1816:AV1816)-1)="면제"),"면제",
IF(AND(V1816="면제",OFFSET(Y1816,0,COUNTA(Y1816:AV1816)-1)=0),"면제",
"확인요청"))))))</f>
        <v>정상</v>
      </c>
      <c r="Y1816" s="93" t="n">
        <v>55000</v>
      </c>
      <c r="Z1816" s="90" t="s">
        <v>106</v>
      </c>
      <c r="AA1816" s="90" t="n">
        <v>110000</v>
      </c>
      <c r="AB1816" s="90" t="n">
        <v>55000</v>
      </c>
      <c r="AC1816" s="90" t="n">
        <v>55000</v>
      </c>
      <c r="AD1816" s="90" t="n">
        <v>55000</v>
      </c>
      <c r="AE1816" s="90" t="n">
        <v>55000</v>
      </c>
      <c r="AF1816" s="90" t="n">
        <v>55000</v>
      </c>
      <c r="AG1816" s="90" t="n">
        <v>55000</v>
      </c>
      <c r="AH1816" s="90" t="n">
        <v>55000</v>
      </c>
      <c r="AI1816" s="90" t="n">
        <v>55000</v>
      </c>
      <c r="AJ1816" s="91" t="n">
        <v>55000</v>
      </c>
      <c r="AK1816" s="89" t="n">
        <v>55000</v>
      </c>
      <c r="AL1816" s="90" t="n">
        <v>55000</v>
      </c>
      <c r="AM1816" s="90"/>
      <c r="AN1816" s="90"/>
      <c r="AO1816" s="90"/>
      <c r="AP1816" s="90"/>
      <c r="AQ1816" s="90"/>
      <c r="AR1816" s="90"/>
      <c r="AS1816" s="90"/>
      <c r="AT1816" s="90"/>
      <c r="AU1816" s="90"/>
      <c r="AV1816" s="91"/>
      <c r="AX1816" s="92"/>
    </row>
    <row r="1817" customFormat="false" ht="15.65" hidden="false" customHeight="false" outlineLevel="0" collapsed="false">
      <c r="C1817" s="72" t="n">
        <f aca="false">COUNTIFS($D$6:D1817,"&lt;&gt;"&amp;"")</f>
        <v>1812</v>
      </c>
      <c r="D1817" s="73" t="s">
        <v>12</v>
      </c>
      <c r="E1817" s="76" t="str">
        <f aca="false">
IF($D1817="정상",INDEX(임대자산!$D$3:$R$3000,MATCH($F1817,임대자산!$I$3:$I$3000,0),MATCH(E$3,임대자산!$D$3:$R$3,0)),
IF($D1817="폐업",INDEX(폐업정보!$D$3:$R$3000,MATCH($F1817,폐업정보!$I$3:$I$3000,0),MATCH(E$3,폐업정보!$D$3:$R$3,0)),
"Error"))</f>
        <v>서울</v>
      </c>
      <c r="F181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B1812</v>
      </c>
      <c r="G1817" s="76" t="str">
        <f aca="false">F1817&amp;RANDBETWEEN(0,10)</f>
        <v>B18121</v>
      </c>
      <c r="H1817" s="75" t="n">
        <f aca="false">
IF($D1817="정상",INDEX(임대자산!$D$3:$R$3000,MATCH($F1817,임대자산!$I$3:$I$3000,0),MATCH(H$4,임대자산!$D$3:$R$3,0)),
IF($D1817="폐업",INDEX(폐업정보!$D$3:$R$3000,MATCH($F1817,폐업정보!$I$3:$I$3000,0),MATCH(H$4,폐업정보!$D$3:$R$3,0)),
"Error"))</f>
        <v>45896</v>
      </c>
      <c r="I1817" s="75" t="str">
        <f aca="false">
IF($D1817="정상",INDEX(임대자산!$D$3:$R$3000,MATCH($F1817,임대자산!$I$3:$I$3000,0),MATCH(I$4,임대자산!$D$3:$R$3,0)),
IF($D1817="폐업",INDEX(폐업정보!$D$3:$R$3000,MATCH($F1817,폐업정보!$I$3:$I$3000,0),MATCH(I$4,폐업정보!$D$3:$R$3,0)),
"Error"))</f>
        <v>A1812</v>
      </c>
      <c r="J1817" s="75" t="str">
        <f aca="false">
IF($D1817="정상",INDEX(임대자산!$D$3:$R$3000,MATCH($F1817,임대자산!$I$3:$I$3000,0),MATCH(J$4,임대자산!$D$3:$R$3,0)),
IF($D1817="폐업",INDEX(폐업정보!$D$3:$R$3000,MATCH($F1817,폐업정보!$I$3:$I$3000,0),MATCH(J$4,폐업정보!$D$3:$R$3,0)),
"Error"))</f>
        <v>1769100000</v>
      </c>
      <c r="K1817" s="75" t="str">
        <f aca="false">
IF($D1817="정상",INDEX(임대자산!$D$3:$R$3000,MATCH($F1817,임대자산!$I$3:$I$3000,0),MATCH(K$4,임대자산!$D$3:$R$3,0)),
IF($D1817="폐업",INDEX(폐업정보!$D$3:$R$3000,MATCH($F1817,폐업정보!$I$3:$I$3000,0),MATCH(K$4,폐업정보!$D$3:$R$3,0)),
"Error"))</f>
        <v>C1812</v>
      </c>
      <c r="L1817" s="75" t="str">
        <f aca="false">
IF($D1817="정상",INDEX(임대자산!$D$3:$R$3000,MATCH($F1817,임대자산!$I$3:$I$3000,0),MATCH(L$4,임대자산!$D$3:$R$3,0)),
IF($D1817="폐업",INDEX(폐업정보!$D$3:$R$3000,MATCH($F1817,폐업정보!$I$3:$I$3000,0),MATCH(L$4,폐업정보!$D$3:$R$3,0)),
"Error"))</f>
        <v>D1812</v>
      </c>
      <c r="M1817" s="76" t="s">
        <v>96</v>
      </c>
      <c r="N1817" s="77"/>
      <c r="O1817" s="78" t="s">
        <v>97</v>
      </c>
      <c r="P1817" s="79" t="n">
        <f aca="false">COUNTIFS(임대자산!$I:$I,가맹점정보!F1817,임대자산!$N:$N,가맹점정보!P$4)</f>
        <v>0</v>
      </c>
      <c r="Q1817" s="80" t="n">
        <f aca="false">COUNTIFS(임대자산!$I:$I,가맹점정보!F1817,임대자산!$N:$N,가맹점정보!Q$4)</f>
        <v>0</v>
      </c>
      <c r="R1817" s="81" t="n">
        <f aca="false">COUNTIFS(임대자산!$I:$I,가맹점정보!F1817,임대자산!$N:$N,가맹점정보!R$4)</f>
        <v>1</v>
      </c>
      <c r="S1817" s="82" t="n">
        <v>55000</v>
      </c>
      <c r="T1817" s="83" t="n">
        <v>0</v>
      </c>
      <c r="U1817" s="80" t="n">
        <f aca="false">SUM(S1817:T1817)</f>
        <v>55000</v>
      </c>
      <c r="V1817" s="84" t="s">
        <v>12</v>
      </c>
      <c r="W1817" s="80" t="e">
        <f aca="true">
IF(D1817="폐업","폐업",
IF(V1817="면제","면제",
IF(AND(V1817="정상",COUNTIFS(OFFSET(Y1817,0,COUNTA(Y1817:AV1817)-1,1,-4),"미납")&gt;=3),"장기미납",
IF(AND(V1817="정상",OFFSET(Y1817,0,COUNTA(Y1817:AV1817)-1)&gt;=U1817),"정상",
IF(AND(V1817="정상",OFFSET(Y1817,0,COUNTA(Y1817:AV1817)-1)=0),"정상",
"계약서 미작성")))))</f>
        <v>#VALUE!</v>
      </c>
      <c r="X1817" s="81" t="str">
        <f aca="true">
IF(D1817="폐업","폐업",
IF(AND(V1817="정상",OFFSET(Y1817,0,COUNTA(Y1817:AV1817)-1)="미납"),"미납",
IF(AND(V1817="정상",OFFSET(Y1817,0,COUNTA(Y1817:AV1817)-1)=0),"납부 시작 전",
IF(AND(V1817="정상",OFFSET(Y1817,0,COUNTA(Y1817:AV1817)-1)&gt;=U1817),"정상",
IF(AND(V1817="면제",OFFSET(Y1817,0,COUNTA(Y1817:AV1817)-1)="면제"),"면제",
IF(AND(V1817="면제",OFFSET(Y1817,0,COUNTA(Y1817:AV1817)-1)=0),"면제",
"확인요청"))))))</f>
        <v>정상</v>
      </c>
      <c r="Y1817" s="94" t="s">
        <v>62</v>
      </c>
      <c r="Z1817" s="95" t="s">
        <v>62</v>
      </c>
      <c r="AA1817" s="90" t="n">
        <v>55000</v>
      </c>
      <c r="AB1817" s="90" t="n">
        <v>55000</v>
      </c>
      <c r="AC1817" s="95" t="s">
        <v>62</v>
      </c>
      <c r="AD1817" s="95" t="s">
        <v>62</v>
      </c>
      <c r="AE1817" s="95" t="s">
        <v>62</v>
      </c>
      <c r="AF1817" s="95" t="s">
        <v>62</v>
      </c>
      <c r="AG1817" s="90" t="n">
        <v>55000</v>
      </c>
      <c r="AH1817" s="90" t="n">
        <v>55000</v>
      </c>
      <c r="AI1817" s="90" t="n">
        <v>55000</v>
      </c>
      <c r="AJ1817" s="91" t="n">
        <v>55000</v>
      </c>
      <c r="AK1817" s="89" t="n">
        <v>55000</v>
      </c>
      <c r="AL1817" s="90" t="n">
        <v>55000</v>
      </c>
      <c r="AM1817" s="90"/>
      <c r="AN1817" s="90"/>
      <c r="AO1817" s="90"/>
      <c r="AP1817" s="90"/>
      <c r="AQ1817" s="90"/>
      <c r="AR1817" s="90"/>
      <c r="AS1817" s="90"/>
      <c r="AT1817" s="90"/>
      <c r="AU1817" s="90"/>
      <c r="AV1817" s="91"/>
      <c r="AX1817" s="92"/>
    </row>
    <row r="1818" customFormat="false" ht="15.65" hidden="false" customHeight="false" outlineLevel="0" collapsed="false">
      <c r="C1818" s="72" t="n">
        <f aca="false">COUNTIFS($D$6:D1818,"&lt;&gt;"&amp;"")</f>
        <v>1813</v>
      </c>
      <c r="D1818" s="73" t="s">
        <v>12</v>
      </c>
      <c r="E1818" s="76" t="str">
        <f aca="false">
IF($D1818="정상",INDEX(임대자산!$D$3:$R$3000,MATCH($F1818,임대자산!$I$3:$I$3000,0),MATCH(E$3,임대자산!$D$3:$R$3,0)),
IF($D1818="폐업",INDEX(폐업정보!$D$3:$R$3000,MATCH($F1818,폐업정보!$I$3:$I$3000,0),MATCH(E$3,폐업정보!$D$3:$R$3,0)),
"Error"))</f>
        <v>경기</v>
      </c>
      <c r="F181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B1813</v>
      </c>
      <c r="G1818" s="76" t="str">
        <f aca="false">F1818&amp;RANDBETWEEN(0,10)</f>
        <v>B181310</v>
      </c>
      <c r="H1818" s="75" t="n">
        <f aca="false">
IF($D1818="정상",INDEX(임대자산!$D$3:$R$3000,MATCH($F1818,임대자산!$I$3:$I$3000,0),MATCH(H$4,임대자산!$D$3:$R$3,0)),
IF($D1818="폐업",INDEX(폐업정보!$D$3:$R$3000,MATCH($F1818,폐업정보!$I$3:$I$3000,0),MATCH(H$4,폐업정보!$D$3:$R$3,0)),
"Error"))</f>
        <v>45945</v>
      </c>
      <c r="I1818" s="75" t="str">
        <f aca="false">
IF($D1818="정상",INDEX(임대자산!$D$3:$R$3000,MATCH($F1818,임대자산!$I$3:$I$3000,0),MATCH(I$4,임대자산!$D$3:$R$3,0)),
IF($D1818="폐업",INDEX(폐업정보!$D$3:$R$3000,MATCH($F1818,폐업정보!$I$3:$I$3000,0),MATCH(I$4,폐업정보!$D$3:$R$3,0)),
"Error"))</f>
        <v>A1813</v>
      </c>
      <c r="J1818" s="75" t="str">
        <f aca="false">
IF($D1818="정상",INDEX(임대자산!$D$3:$R$3000,MATCH($F1818,임대자산!$I$3:$I$3000,0),MATCH(J$4,임대자산!$D$3:$R$3,0)),
IF($D1818="폐업",INDEX(폐업정보!$D$3:$R$3000,MATCH($F1818,폐업정보!$I$3:$I$3000,0),MATCH(J$4,폐업정보!$D$3:$R$3,0)),
"Error"))</f>
        <v>8357800000</v>
      </c>
      <c r="K1818" s="75" t="str">
        <f aca="false">
IF($D1818="정상",INDEX(임대자산!$D$3:$R$3000,MATCH($F1818,임대자산!$I$3:$I$3000,0),MATCH(K$4,임대자산!$D$3:$R$3,0)),
IF($D1818="폐업",INDEX(폐업정보!$D$3:$R$3000,MATCH($F1818,폐업정보!$I$3:$I$3000,0),MATCH(K$4,폐업정보!$D$3:$R$3,0)),
"Error"))</f>
        <v>C1813</v>
      </c>
      <c r="L1818" s="75" t="str">
        <f aca="false">
IF($D1818="정상",INDEX(임대자산!$D$3:$R$3000,MATCH($F1818,임대자산!$I$3:$I$3000,0),MATCH(L$4,임대자산!$D$3:$R$3,0)),
IF($D1818="폐업",INDEX(폐업정보!$D$3:$R$3000,MATCH($F1818,폐업정보!$I$3:$I$3000,0),MATCH(L$4,폐업정보!$D$3:$R$3,0)),
"Error"))</f>
        <v>D1813</v>
      </c>
      <c r="M1818" s="76" t="s">
        <v>96</v>
      </c>
      <c r="N1818" s="77"/>
      <c r="O1818" s="78" t="s">
        <v>97</v>
      </c>
      <c r="P1818" s="79" t="n">
        <f aca="false">COUNTIFS(임대자산!$I:$I,가맹점정보!F1818,임대자산!$N:$N,가맹점정보!P$4)</f>
        <v>0</v>
      </c>
      <c r="Q1818" s="80" t="n">
        <f aca="false">COUNTIFS(임대자산!$I:$I,가맹점정보!F1818,임대자산!$N:$N,가맹점정보!Q$4)</f>
        <v>0</v>
      </c>
      <c r="R1818" s="81" t="n">
        <f aca="false">COUNTIFS(임대자산!$I:$I,가맹점정보!F1818,임대자산!$N:$N,가맹점정보!R$4)</f>
        <v>1</v>
      </c>
      <c r="S1818" s="82" t="n">
        <v>55000</v>
      </c>
      <c r="T1818" s="83" t="n">
        <v>0</v>
      </c>
      <c r="U1818" s="80" t="n">
        <f aca="false">SUM(S1818:T1818)</f>
        <v>55000</v>
      </c>
      <c r="V1818" s="84" t="s">
        <v>12</v>
      </c>
      <c r="W1818" s="80" t="e">
        <f aca="true">
IF(D1818="폐업","폐업",
IF(V1818="면제","면제",
IF(AND(V1818="정상",COUNTIFS(OFFSET(Y1818,0,COUNTA(Y1818:AV1818)-1,1,-4),"미납")&gt;=3),"장기미납",
IF(AND(V1818="정상",OFFSET(Y1818,0,COUNTA(Y1818:AV1818)-1)&gt;=U1818),"정상",
IF(AND(V1818="정상",OFFSET(Y1818,0,COUNTA(Y1818:AV1818)-1)=0),"정상",
"계약서 미작성")))))</f>
        <v>#VALUE!</v>
      </c>
      <c r="X1818" s="81" t="str">
        <f aca="true">
IF(D1818="폐업","폐업",
IF(AND(V1818="정상",OFFSET(Y1818,0,COUNTA(Y1818:AV1818)-1)="미납"),"미납",
IF(AND(V1818="정상",OFFSET(Y1818,0,COUNTA(Y1818:AV1818)-1)=0),"납부 시작 전",
IF(AND(V1818="정상",OFFSET(Y1818,0,COUNTA(Y1818:AV1818)-1)&gt;=U1818),"정상",
IF(AND(V1818="면제",OFFSET(Y1818,0,COUNTA(Y1818:AV1818)-1)="면제"),"면제",
IF(AND(V1818="면제",OFFSET(Y1818,0,COUNTA(Y1818:AV1818)-1)=0),"면제",
"확인요청"))))))</f>
        <v>미납</v>
      </c>
      <c r="Y1818" s="93" t="n">
        <v>55000</v>
      </c>
      <c r="Z1818" s="90" t="s">
        <v>106</v>
      </c>
      <c r="AA1818" s="90" t="n">
        <v>110000</v>
      </c>
      <c r="AB1818" s="90" t="n">
        <v>55000</v>
      </c>
      <c r="AC1818" s="90" t="n">
        <v>55000</v>
      </c>
      <c r="AD1818" s="90" t="n">
        <v>55000</v>
      </c>
      <c r="AE1818" s="90" t="n">
        <v>55000</v>
      </c>
      <c r="AF1818" s="90" t="s">
        <v>105</v>
      </c>
      <c r="AG1818" s="90" t="n">
        <v>110000</v>
      </c>
      <c r="AH1818" s="90" t="n">
        <v>55000</v>
      </c>
      <c r="AI1818" s="90" t="s">
        <v>107</v>
      </c>
      <c r="AJ1818" s="91" t="n">
        <v>110000</v>
      </c>
      <c r="AK1818" s="89" t="n">
        <v>55000</v>
      </c>
      <c r="AL1818" s="95" t="s">
        <v>62</v>
      </c>
      <c r="AM1818" s="90"/>
      <c r="AN1818" s="90"/>
      <c r="AO1818" s="90"/>
      <c r="AP1818" s="90"/>
      <c r="AQ1818" s="90"/>
      <c r="AR1818" s="90"/>
      <c r="AS1818" s="90"/>
      <c r="AT1818" s="90"/>
      <c r="AU1818" s="90"/>
      <c r="AV1818" s="91"/>
      <c r="AX1818" s="92"/>
    </row>
    <row r="1819" customFormat="false" ht="15.65" hidden="false" customHeight="false" outlineLevel="0" collapsed="false">
      <c r="C1819" s="72" t="n">
        <f aca="false">COUNTIFS($D$6:D1819,"&lt;&gt;"&amp;"")</f>
        <v>1814</v>
      </c>
      <c r="D1819" s="73" t="s">
        <v>12</v>
      </c>
      <c r="E1819" s="76" t="str">
        <f aca="false">
IF($D1819="정상",INDEX(임대자산!$D$3:$R$3000,MATCH($F1819,임대자산!$I$3:$I$3000,0),MATCH(E$3,임대자산!$D$3:$R$3,0)),
IF($D1819="폐업",INDEX(폐업정보!$D$3:$R$3000,MATCH($F1819,폐업정보!$I$3:$I$3000,0),MATCH(E$3,폐업정보!$D$3:$R$3,0)),
"Error"))</f>
        <v>경기</v>
      </c>
      <c r="F181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B1814</v>
      </c>
      <c r="G1819" s="76" t="str">
        <f aca="false">F1819&amp;RANDBETWEEN(0,10)</f>
        <v>B18143</v>
      </c>
      <c r="H1819" s="75" t="n">
        <f aca="false">
IF($D1819="정상",INDEX(임대자산!$D$3:$R$3000,MATCH($F1819,임대자산!$I$3:$I$3000,0),MATCH(H$4,임대자산!$D$3:$R$3,0)),
IF($D1819="폐업",INDEX(폐업정보!$D$3:$R$3000,MATCH($F1819,폐업정보!$I$3:$I$3000,0),MATCH(H$4,폐업정보!$D$3:$R$3,0)),
"Error"))</f>
        <v>45887</v>
      </c>
      <c r="I1819" s="75" t="str">
        <f aca="false">
IF($D1819="정상",INDEX(임대자산!$D$3:$R$3000,MATCH($F1819,임대자산!$I$3:$I$3000,0),MATCH(I$4,임대자산!$D$3:$R$3,0)),
IF($D1819="폐업",INDEX(폐업정보!$D$3:$R$3000,MATCH($F1819,폐업정보!$I$3:$I$3000,0),MATCH(I$4,폐업정보!$D$3:$R$3,0)),
"Error"))</f>
        <v>A1814</v>
      </c>
      <c r="J1819" s="75" t="str">
        <f aca="false">
IF($D1819="정상",INDEX(임대자산!$D$3:$R$3000,MATCH($F1819,임대자산!$I$3:$I$3000,0),MATCH(J$4,임대자산!$D$3:$R$3,0)),
IF($D1819="폐업",INDEX(폐업정보!$D$3:$R$3000,MATCH($F1819,폐업정보!$I$3:$I$3000,0),MATCH(J$4,폐업정보!$D$3:$R$3,0)),
"Error"))</f>
        <v>6237800000</v>
      </c>
      <c r="K1819" s="75" t="str">
        <f aca="false">
IF($D1819="정상",INDEX(임대자산!$D$3:$R$3000,MATCH($F1819,임대자산!$I$3:$I$3000,0),MATCH(K$4,임대자산!$D$3:$R$3,0)),
IF($D1819="폐업",INDEX(폐업정보!$D$3:$R$3000,MATCH($F1819,폐업정보!$I$3:$I$3000,0),MATCH(K$4,폐업정보!$D$3:$R$3,0)),
"Error"))</f>
        <v>C1814</v>
      </c>
      <c r="L1819" s="75" t="str">
        <f aca="false">
IF($D1819="정상",INDEX(임대자산!$D$3:$R$3000,MATCH($F1819,임대자산!$I$3:$I$3000,0),MATCH(L$4,임대자산!$D$3:$R$3,0)),
IF($D1819="폐업",INDEX(폐업정보!$D$3:$R$3000,MATCH($F1819,폐업정보!$I$3:$I$3000,0),MATCH(L$4,폐업정보!$D$3:$R$3,0)),
"Error"))</f>
        <v>D1814</v>
      </c>
      <c r="M1819" s="76" t="s">
        <v>96</v>
      </c>
      <c r="N1819" s="77"/>
      <c r="O1819" s="78" t="s">
        <v>97</v>
      </c>
      <c r="P1819" s="79" t="n">
        <f aca="false">COUNTIFS(임대자산!$I:$I,가맹점정보!F1819,임대자산!$N:$N,가맹점정보!P$4)</f>
        <v>0</v>
      </c>
      <c r="Q1819" s="80" t="n">
        <f aca="false">COUNTIFS(임대자산!$I:$I,가맹점정보!F1819,임대자산!$N:$N,가맹점정보!Q$4)</f>
        <v>0</v>
      </c>
      <c r="R1819" s="81" t="n">
        <f aca="false">COUNTIFS(임대자산!$I:$I,가맹점정보!F1819,임대자산!$N:$N,가맹점정보!R$4)</f>
        <v>1</v>
      </c>
      <c r="S1819" s="82" t="n">
        <v>44000</v>
      </c>
      <c r="T1819" s="83" t="n">
        <v>0</v>
      </c>
      <c r="U1819" s="80" t="n">
        <f aca="false">SUM(S1819:T1819)</f>
        <v>44000</v>
      </c>
      <c r="V1819" s="84" t="s">
        <v>12</v>
      </c>
      <c r="W1819" s="80" t="e">
        <f aca="true">
IF(D1819="폐업","폐업",
IF(V1819="면제","면제",
IF(AND(V1819="정상",COUNTIFS(OFFSET(Y1819,0,COUNTA(Y1819:AV1819)-1,1,-4),"미납")&gt;=3),"장기미납",
IF(AND(V1819="정상",OFFSET(Y1819,0,COUNTA(Y1819:AV1819)-1)&gt;=U1819),"정상",
IF(AND(V1819="정상",OFFSET(Y1819,0,COUNTA(Y1819:AV1819)-1)=0),"정상",
"계약서 미작성")))))</f>
        <v>#VALUE!</v>
      </c>
      <c r="X1819" s="81" t="str">
        <f aca="true">
IF(D1819="폐업","폐업",
IF(AND(V1819="정상",OFFSET(Y1819,0,COUNTA(Y1819:AV1819)-1)="미납"),"미납",
IF(AND(V1819="정상",OFFSET(Y1819,0,COUNTA(Y1819:AV1819)-1)=0),"납부 시작 전",
IF(AND(V1819="정상",OFFSET(Y1819,0,COUNTA(Y1819:AV1819)-1)&gt;=U1819),"정상",
IF(AND(V1819="면제",OFFSET(Y1819,0,COUNTA(Y1819:AV1819)-1)="면제"),"면제",
IF(AND(V1819="면제",OFFSET(Y1819,0,COUNTA(Y1819:AV1819)-1)=0),"면제",
"확인요청"))))))</f>
        <v>미납</v>
      </c>
      <c r="Y1819" s="93" t="n">
        <v>44000</v>
      </c>
      <c r="Z1819" s="90" t="s">
        <v>106</v>
      </c>
      <c r="AA1819" s="90" t="n">
        <v>88000</v>
      </c>
      <c r="AB1819" s="90" t="n">
        <v>44000</v>
      </c>
      <c r="AC1819" s="90" t="n">
        <v>44000</v>
      </c>
      <c r="AD1819" s="90" t="n">
        <v>44000</v>
      </c>
      <c r="AE1819" s="90" t="n">
        <v>44000</v>
      </c>
      <c r="AF1819" s="90" t="s">
        <v>105</v>
      </c>
      <c r="AG1819" s="90" t="n">
        <v>88000</v>
      </c>
      <c r="AH1819" s="90" t="n">
        <v>44000</v>
      </c>
      <c r="AI1819" s="90" t="s">
        <v>107</v>
      </c>
      <c r="AJ1819" s="91" t="n">
        <v>88000</v>
      </c>
      <c r="AK1819" s="89" t="n">
        <v>44000</v>
      </c>
      <c r="AL1819" s="95" t="s">
        <v>62</v>
      </c>
      <c r="AM1819" s="90"/>
      <c r="AN1819" s="90"/>
      <c r="AO1819" s="90"/>
      <c r="AP1819" s="90"/>
      <c r="AQ1819" s="90"/>
      <c r="AR1819" s="90"/>
      <c r="AS1819" s="90"/>
      <c r="AT1819" s="90"/>
      <c r="AU1819" s="90"/>
      <c r="AV1819" s="91"/>
      <c r="AX1819" s="92"/>
    </row>
    <row r="1820" customFormat="false" ht="15.65" hidden="false" customHeight="false" outlineLevel="0" collapsed="false">
      <c r="C1820" s="72" t="n">
        <f aca="false">COUNTIFS($D$6:D1820,"&lt;&gt;"&amp;"")</f>
        <v>1815</v>
      </c>
      <c r="D1820" s="73" t="s">
        <v>12</v>
      </c>
      <c r="E1820" s="76" t="str">
        <f aca="false">
IF($D1820="정상",INDEX(임대자산!$D$3:$R$3000,MATCH($F1820,임대자산!$I$3:$I$3000,0),MATCH(E$3,임대자산!$D$3:$R$3,0)),
IF($D1820="폐업",INDEX(폐업정보!$D$3:$R$3000,MATCH($F1820,폐업정보!$I$3:$I$3000,0),MATCH(E$3,폐업정보!$D$3:$R$3,0)),
"Error"))</f>
        <v>경기</v>
      </c>
      <c r="F182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B1815</v>
      </c>
      <c r="G1820" s="76" t="str">
        <f aca="false">F1820&amp;RANDBETWEEN(0,10)</f>
        <v>B18157</v>
      </c>
      <c r="H1820" s="75" t="n">
        <f aca="false">
IF($D1820="정상",INDEX(임대자산!$D$3:$R$3000,MATCH($F1820,임대자산!$I$3:$I$3000,0),MATCH(H$4,임대자산!$D$3:$R$3,0)),
IF($D1820="폐업",INDEX(폐업정보!$D$3:$R$3000,MATCH($F1820,폐업정보!$I$3:$I$3000,0),MATCH(H$4,폐업정보!$D$3:$R$3,0)),
"Error"))</f>
        <v>46062</v>
      </c>
      <c r="I1820" s="75" t="str">
        <f aca="false">
IF($D1820="정상",INDEX(임대자산!$D$3:$R$3000,MATCH($F1820,임대자산!$I$3:$I$3000,0),MATCH(I$4,임대자산!$D$3:$R$3,0)),
IF($D1820="폐업",INDEX(폐업정보!$D$3:$R$3000,MATCH($F1820,폐업정보!$I$3:$I$3000,0),MATCH(I$4,폐업정보!$D$3:$R$3,0)),
"Error"))</f>
        <v>A1815</v>
      </c>
      <c r="J1820" s="75" t="str">
        <f aca="false">
IF($D1820="정상",INDEX(임대자산!$D$3:$R$3000,MATCH($F1820,임대자산!$I$3:$I$3000,0),MATCH(J$4,임대자산!$D$3:$R$3,0)),
IF($D1820="폐업",INDEX(폐업정보!$D$3:$R$3000,MATCH($F1820,폐업정보!$I$3:$I$3000,0),MATCH(J$4,폐업정보!$D$3:$R$3,0)),
"Error"))</f>
        <v>1965200000</v>
      </c>
      <c r="K1820" s="75" t="str">
        <f aca="false">
IF($D1820="정상",INDEX(임대자산!$D$3:$R$3000,MATCH($F1820,임대자산!$I$3:$I$3000,0),MATCH(K$4,임대자산!$D$3:$R$3,0)),
IF($D1820="폐업",INDEX(폐업정보!$D$3:$R$3000,MATCH($F1820,폐업정보!$I$3:$I$3000,0),MATCH(K$4,폐업정보!$D$3:$R$3,0)),
"Error"))</f>
        <v>C1815</v>
      </c>
      <c r="L1820" s="75" t="str">
        <f aca="false">
IF($D1820="정상",INDEX(임대자산!$D$3:$R$3000,MATCH($F1820,임대자산!$I$3:$I$3000,0),MATCH(L$4,임대자산!$D$3:$R$3,0)),
IF($D1820="폐업",INDEX(폐업정보!$D$3:$R$3000,MATCH($F1820,폐업정보!$I$3:$I$3000,0),MATCH(L$4,폐업정보!$D$3:$R$3,0)),
"Error"))</f>
        <v>D1815</v>
      </c>
      <c r="M1820" s="76" t="s">
        <v>96</v>
      </c>
      <c r="N1820" s="77"/>
      <c r="O1820" s="78" t="s">
        <v>97</v>
      </c>
      <c r="P1820" s="79" t="n">
        <f aca="false">COUNTIFS(임대자산!$I:$I,가맹점정보!F1820,임대자산!$N:$N,가맹점정보!P$4)</f>
        <v>0</v>
      </c>
      <c r="Q1820" s="80" t="n">
        <f aca="false">COUNTIFS(임대자산!$I:$I,가맹점정보!F1820,임대자산!$N:$N,가맹점정보!Q$4)</f>
        <v>0</v>
      </c>
      <c r="R1820" s="81" t="n">
        <f aca="false">COUNTIFS(임대자산!$I:$I,가맹점정보!F1820,임대자산!$N:$N,가맹점정보!R$4)</f>
        <v>1</v>
      </c>
      <c r="S1820" s="82" t="n">
        <v>55000</v>
      </c>
      <c r="T1820" s="83" t="n">
        <v>0</v>
      </c>
      <c r="U1820" s="80" t="n">
        <f aca="false">SUM(S1820:T1820)</f>
        <v>55000</v>
      </c>
      <c r="V1820" s="84" t="s">
        <v>12</v>
      </c>
      <c r="W1820" s="80" t="e">
        <f aca="true">
IF(D1820="폐업","폐업",
IF(V1820="면제","면제",
IF(AND(V1820="정상",COUNTIFS(OFFSET(Y1820,0,COUNTA(Y1820:AV1820)-1,1,-4),"미납")&gt;=3),"장기미납",
IF(AND(V1820="정상",OFFSET(Y1820,0,COUNTA(Y1820:AV1820)-1)&gt;=U1820),"정상",
IF(AND(V1820="정상",OFFSET(Y1820,0,COUNTA(Y1820:AV1820)-1)=0),"정상",
"계약서 미작성")))))</f>
        <v>#VALUE!</v>
      </c>
      <c r="X1820" s="81" t="str">
        <f aca="true">
IF(D1820="폐업","폐업",
IF(AND(V1820="정상",OFFSET(Y1820,0,COUNTA(Y1820:AV1820)-1)="미납"),"미납",
IF(AND(V1820="정상",OFFSET(Y1820,0,COUNTA(Y1820:AV1820)-1)=0),"납부 시작 전",
IF(AND(V1820="정상",OFFSET(Y1820,0,COUNTA(Y1820:AV1820)-1)&gt;=U1820),"정상",
IF(AND(V1820="면제",OFFSET(Y1820,0,COUNTA(Y1820:AV1820)-1)="면제"),"면제",
IF(AND(V1820="면제",OFFSET(Y1820,0,COUNTA(Y1820:AV1820)-1)=0),"면제",
"확인요청"))))))</f>
        <v>미납</v>
      </c>
      <c r="Y1820" s="93" t="n">
        <v>55000</v>
      </c>
      <c r="Z1820" s="90" t="s">
        <v>106</v>
      </c>
      <c r="AA1820" s="90" t="n">
        <v>110000</v>
      </c>
      <c r="AB1820" s="90" t="n">
        <v>55000</v>
      </c>
      <c r="AC1820" s="90" t="n">
        <v>55000</v>
      </c>
      <c r="AD1820" s="90" t="n">
        <v>55000</v>
      </c>
      <c r="AE1820" s="90" t="n">
        <v>55000</v>
      </c>
      <c r="AF1820" s="90" t="n">
        <v>55000</v>
      </c>
      <c r="AG1820" s="90" t="n">
        <v>55000</v>
      </c>
      <c r="AH1820" s="90" t="n">
        <v>55000</v>
      </c>
      <c r="AI1820" s="90" t="s">
        <v>107</v>
      </c>
      <c r="AJ1820" s="91" t="n">
        <v>110000</v>
      </c>
      <c r="AK1820" s="89" t="n">
        <v>55000</v>
      </c>
      <c r="AL1820" s="95" t="s">
        <v>62</v>
      </c>
      <c r="AM1820" s="90"/>
      <c r="AN1820" s="90"/>
      <c r="AO1820" s="90"/>
      <c r="AP1820" s="90"/>
      <c r="AQ1820" s="90"/>
      <c r="AR1820" s="90"/>
      <c r="AS1820" s="90"/>
      <c r="AT1820" s="90"/>
      <c r="AU1820" s="90"/>
      <c r="AV1820" s="91"/>
      <c r="AX1820" s="92"/>
    </row>
    <row r="1821" customFormat="false" ht="15.65" hidden="false" customHeight="false" outlineLevel="0" collapsed="false">
      <c r="C1821" s="72" t="n">
        <f aca="false">COUNTIFS($D$6:D1821,"&lt;&gt;"&amp;"")</f>
        <v>1816</v>
      </c>
      <c r="D1821" s="73" t="s">
        <v>12</v>
      </c>
      <c r="E1821" s="76" t="str">
        <f aca="false">
IF($D1821="정상",INDEX(임대자산!$D$3:$R$3000,MATCH($F1821,임대자산!$I$3:$I$3000,0),MATCH(E$3,임대자산!$D$3:$R$3,0)),
IF($D1821="폐업",INDEX(폐업정보!$D$3:$R$3000,MATCH($F1821,폐업정보!$I$3:$I$3000,0),MATCH(E$3,폐업정보!$D$3:$R$3,0)),
"Error"))</f>
        <v>경기</v>
      </c>
      <c r="F182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B1816</v>
      </c>
      <c r="G1821" s="76" t="str">
        <f aca="false">F1821&amp;RANDBETWEEN(0,10)</f>
        <v>B18160</v>
      </c>
      <c r="H1821" s="75" t="n">
        <f aca="false">
IF($D1821="정상",INDEX(임대자산!$D$3:$R$3000,MATCH($F1821,임대자산!$I$3:$I$3000,0),MATCH(H$4,임대자산!$D$3:$R$3,0)),
IF($D1821="폐업",INDEX(폐업정보!$D$3:$R$3000,MATCH($F1821,폐업정보!$I$3:$I$3000,0),MATCH(H$4,폐업정보!$D$3:$R$3,0)),
"Error"))</f>
        <v>46062</v>
      </c>
      <c r="I1821" s="75" t="str">
        <f aca="false">
IF($D1821="정상",INDEX(임대자산!$D$3:$R$3000,MATCH($F1821,임대자산!$I$3:$I$3000,0),MATCH(I$4,임대자산!$D$3:$R$3,0)),
IF($D1821="폐업",INDEX(폐업정보!$D$3:$R$3000,MATCH($F1821,폐업정보!$I$3:$I$3000,0),MATCH(I$4,폐업정보!$D$3:$R$3,0)),
"Error"))</f>
        <v>A1816</v>
      </c>
      <c r="J1821" s="75" t="str">
        <f aca="false">
IF($D1821="정상",INDEX(임대자산!$D$3:$R$3000,MATCH($F1821,임대자산!$I$3:$I$3000,0),MATCH(J$4,임대자산!$D$3:$R$3,0)),
IF($D1821="폐업",INDEX(폐업정보!$D$3:$R$3000,MATCH($F1821,폐업정보!$I$3:$I$3000,0),MATCH(J$4,폐업정보!$D$3:$R$3,0)),
"Error"))</f>
        <v>6297000000</v>
      </c>
      <c r="K1821" s="75" t="str">
        <f aca="false">
IF($D1821="정상",INDEX(임대자산!$D$3:$R$3000,MATCH($F1821,임대자산!$I$3:$I$3000,0),MATCH(K$4,임대자산!$D$3:$R$3,0)),
IF($D1821="폐업",INDEX(폐업정보!$D$3:$R$3000,MATCH($F1821,폐업정보!$I$3:$I$3000,0),MATCH(K$4,폐업정보!$D$3:$R$3,0)),
"Error"))</f>
        <v>C1816</v>
      </c>
      <c r="L1821" s="75" t="str">
        <f aca="false">
IF($D1821="정상",INDEX(임대자산!$D$3:$R$3000,MATCH($F1821,임대자산!$I$3:$I$3000,0),MATCH(L$4,임대자산!$D$3:$R$3,0)),
IF($D1821="폐업",INDEX(폐업정보!$D$3:$R$3000,MATCH($F1821,폐업정보!$I$3:$I$3000,0),MATCH(L$4,폐업정보!$D$3:$R$3,0)),
"Error"))</f>
        <v>D1816</v>
      </c>
      <c r="M1821" s="76" t="s">
        <v>96</v>
      </c>
      <c r="N1821" s="77"/>
      <c r="O1821" s="78" t="s">
        <v>97</v>
      </c>
      <c r="P1821" s="79" t="n">
        <f aca="false">COUNTIFS(임대자산!$I:$I,가맹점정보!F1821,임대자산!$N:$N,가맹점정보!P$4)</f>
        <v>0</v>
      </c>
      <c r="Q1821" s="80" t="n">
        <f aca="false">COUNTIFS(임대자산!$I:$I,가맹점정보!F1821,임대자산!$N:$N,가맹점정보!Q$4)</f>
        <v>0</v>
      </c>
      <c r="R1821" s="81" t="n">
        <f aca="false">COUNTIFS(임대자산!$I:$I,가맹점정보!F1821,임대자산!$N:$N,가맹점정보!R$4)</f>
        <v>1</v>
      </c>
      <c r="S1821" s="82" t="n">
        <v>55000</v>
      </c>
      <c r="T1821" s="83" t="n">
        <v>0</v>
      </c>
      <c r="U1821" s="80" t="n">
        <f aca="false">SUM(S1821:T1821)</f>
        <v>55000</v>
      </c>
      <c r="V1821" s="84" t="s">
        <v>12</v>
      </c>
      <c r="W1821" s="80" t="e">
        <f aca="true">
IF(D1821="폐업","폐업",
IF(V1821="면제","면제",
IF(AND(V1821="정상",COUNTIFS(OFFSET(Y1821,0,COUNTA(Y1821:AV1821)-1,1,-4),"미납")&gt;=3),"장기미납",
IF(AND(V1821="정상",OFFSET(Y1821,0,COUNTA(Y1821:AV1821)-1)&gt;=U1821),"정상",
IF(AND(V1821="정상",OFFSET(Y1821,0,COUNTA(Y1821:AV1821)-1)=0),"정상",
"계약서 미작성")))))</f>
        <v>#VALUE!</v>
      </c>
      <c r="X1821" s="81" t="str">
        <f aca="true">
IF(D1821="폐업","폐업",
IF(AND(V1821="정상",OFFSET(Y1821,0,COUNTA(Y1821:AV1821)-1)="미납"),"미납",
IF(AND(V1821="정상",OFFSET(Y1821,0,COUNTA(Y1821:AV1821)-1)=0),"납부 시작 전",
IF(AND(V1821="정상",OFFSET(Y1821,0,COUNTA(Y1821:AV1821)-1)&gt;=U1821),"정상",
IF(AND(V1821="면제",OFFSET(Y1821,0,COUNTA(Y1821:AV1821)-1)="면제"),"면제",
IF(AND(V1821="면제",OFFSET(Y1821,0,COUNTA(Y1821:AV1821)-1)=0),"면제",
"확인요청"))))))</f>
        <v>미납</v>
      </c>
      <c r="Y1821" s="93" t="n">
        <v>55000</v>
      </c>
      <c r="Z1821" s="90" t="s">
        <v>106</v>
      </c>
      <c r="AA1821" s="90" t="n">
        <v>110000</v>
      </c>
      <c r="AB1821" s="90" t="n">
        <v>55000</v>
      </c>
      <c r="AC1821" s="90" t="n">
        <v>55000</v>
      </c>
      <c r="AD1821" s="90" t="n">
        <v>55000</v>
      </c>
      <c r="AE1821" s="90" t="n">
        <v>55000</v>
      </c>
      <c r="AF1821" s="90" t="s">
        <v>105</v>
      </c>
      <c r="AG1821" s="90" t="n">
        <v>110000</v>
      </c>
      <c r="AH1821" s="90" t="n">
        <v>55000</v>
      </c>
      <c r="AI1821" s="90" t="s">
        <v>107</v>
      </c>
      <c r="AJ1821" s="91" t="n">
        <v>110000</v>
      </c>
      <c r="AK1821" s="89" t="n">
        <v>55000</v>
      </c>
      <c r="AL1821" s="95" t="s">
        <v>62</v>
      </c>
      <c r="AM1821" s="90"/>
      <c r="AN1821" s="90"/>
      <c r="AO1821" s="90"/>
      <c r="AP1821" s="90"/>
      <c r="AQ1821" s="90"/>
      <c r="AR1821" s="90"/>
      <c r="AS1821" s="90"/>
      <c r="AT1821" s="90"/>
      <c r="AU1821" s="90"/>
      <c r="AV1821" s="91"/>
      <c r="AX1821" s="92"/>
    </row>
    <row r="1822" customFormat="false" ht="15.65" hidden="false" customHeight="false" outlineLevel="0" collapsed="false">
      <c r="C1822" s="72" t="n">
        <f aca="false">COUNTIFS($D$6:D1822,"&lt;&gt;"&amp;"")</f>
        <v>1817</v>
      </c>
      <c r="D1822" s="73" t="s">
        <v>12</v>
      </c>
      <c r="E1822" s="76" t="str">
        <f aca="false">
IF($D1822="정상",INDEX(임대자산!$D$3:$R$3000,MATCH($F1822,임대자산!$I$3:$I$3000,0),MATCH(E$3,임대자산!$D$3:$R$3,0)),
IF($D1822="폐업",INDEX(폐업정보!$D$3:$R$3000,MATCH($F1822,폐업정보!$I$3:$I$3000,0),MATCH(E$3,폐업정보!$D$3:$R$3,0)),
"Error"))</f>
        <v>강원</v>
      </c>
      <c r="F182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B1817</v>
      </c>
      <c r="G1822" s="76" t="str">
        <f aca="false">F1822&amp;RANDBETWEEN(0,10)</f>
        <v>B18178</v>
      </c>
      <c r="H1822" s="75" t="n">
        <f aca="false">
IF($D1822="정상",INDEX(임대자산!$D$3:$R$3000,MATCH($F1822,임대자산!$I$3:$I$3000,0),MATCH(H$4,임대자산!$D$3:$R$3,0)),
IF($D1822="폐업",INDEX(폐업정보!$D$3:$R$3000,MATCH($F1822,폐업정보!$I$3:$I$3000,0),MATCH(H$4,폐업정보!$D$3:$R$3,0)),
"Error"))</f>
        <v>45908</v>
      </c>
      <c r="I1822" s="75" t="str">
        <f aca="false">
IF($D1822="정상",INDEX(임대자산!$D$3:$R$3000,MATCH($F1822,임대자산!$I$3:$I$3000,0),MATCH(I$4,임대자산!$D$3:$R$3,0)),
IF($D1822="폐업",INDEX(폐업정보!$D$3:$R$3000,MATCH($F1822,폐업정보!$I$3:$I$3000,0),MATCH(I$4,폐업정보!$D$3:$R$3,0)),
"Error"))</f>
        <v>A1817</v>
      </c>
      <c r="J1822" s="75" t="str">
        <f aca="false">
IF($D1822="정상",INDEX(임대자산!$D$3:$R$3000,MATCH($F1822,임대자산!$I$3:$I$3000,0),MATCH(J$4,임대자산!$D$3:$R$3,0)),
IF($D1822="폐업",INDEX(폐업정보!$D$3:$R$3000,MATCH($F1822,폐업정보!$I$3:$I$3000,0),MATCH(J$4,폐업정보!$D$3:$R$3,0)),
"Error"))</f>
        <v>8252600000</v>
      </c>
      <c r="K1822" s="75" t="str">
        <f aca="false">
IF($D1822="정상",INDEX(임대자산!$D$3:$R$3000,MATCH($F1822,임대자산!$I$3:$I$3000,0),MATCH(K$4,임대자산!$D$3:$R$3,0)),
IF($D1822="폐업",INDEX(폐업정보!$D$3:$R$3000,MATCH($F1822,폐업정보!$I$3:$I$3000,0),MATCH(K$4,폐업정보!$D$3:$R$3,0)),
"Error"))</f>
        <v>C1817</v>
      </c>
      <c r="L1822" s="75" t="str">
        <f aca="false">
IF($D1822="정상",INDEX(임대자산!$D$3:$R$3000,MATCH($F1822,임대자산!$I$3:$I$3000,0),MATCH(L$4,임대자산!$D$3:$R$3,0)),
IF($D1822="폐업",INDEX(폐업정보!$D$3:$R$3000,MATCH($F1822,폐업정보!$I$3:$I$3000,0),MATCH(L$4,폐업정보!$D$3:$R$3,0)),
"Error"))</f>
        <v>D1817</v>
      </c>
      <c r="M1822" s="76" t="s">
        <v>96</v>
      </c>
      <c r="N1822" s="77"/>
      <c r="O1822" s="78" t="s">
        <v>97</v>
      </c>
      <c r="P1822" s="79" t="n">
        <f aca="false">COUNTIFS(임대자산!$I:$I,가맹점정보!F1822,임대자산!$N:$N,가맹점정보!P$4)</f>
        <v>0</v>
      </c>
      <c r="Q1822" s="80" t="n">
        <f aca="false">COUNTIFS(임대자산!$I:$I,가맹점정보!F1822,임대자산!$N:$N,가맹점정보!Q$4)</f>
        <v>0</v>
      </c>
      <c r="R1822" s="81" t="n">
        <f aca="false">COUNTIFS(임대자산!$I:$I,가맹점정보!F1822,임대자산!$N:$N,가맹점정보!R$4)</f>
        <v>1</v>
      </c>
      <c r="S1822" s="82" t="n">
        <v>55000</v>
      </c>
      <c r="T1822" s="83" t="n">
        <v>0</v>
      </c>
      <c r="U1822" s="80" t="n">
        <f aca="false">SUM(S1822:T1822)</f>
        <v>55000</v>
      </c>
      <c r="V1822" s="84" t="s">
        <v>12</v>
      </c>
      <c r="W1822" s="80" t="e">
        <f aca="true">
IF(D1822="폐업","폐업",
IF(V1822="면제","면제",
IF(AND(V1822="정상",COUNTIFS(OFFSET(Y1822,0,COUNTA(Y1822:AV1822)-1,1,-4),"미납")&gt;=3),"장기미납",
IF(AND(V1822="정상",OFFSET(Y1822,0,COUNTA(Y1822:AV1822)-1)&gt;=U1822),"정상",
IF(AND(V1822="정상",OFFSET(Y1822,0,COUNTA(Y1822:AV1822)-1)=0),"정상",
"계약서 미작성")))))</f>
        <v>#VALUE!</v>
      </c>
      <c r="X1822" s="81" t="str">
        <f aca="true">
IF(D1822="폐업","폐업",
IF(AND(V1822="정상",OFFSET(Y1822,0,COUNTA(Y1822:AV1822)-1)="미납"),"미납",
IF(AND(V1822="정상",OFFSET(Y1822,0,COUNTA(Y1822:AV1822)-1)=0),"납부 시작 전",
IF(AND(V1822="정상",OFFSET(Y1822,0,COUNTA(Y1822:AV1822)-1)&gt;=U1822),"정상",
IF(AND(V1822="면제",OFFSET(Y1822,0,COUNTA(Y1822:AV1822)-1)="면제"),"면제",
IF(AND(V1822="면제",OFFSET(Y1822,0,COUNTA(Y1822:AV1822)-1)=0),"면제",
"확인요청"))))))</f>
        <v>미납</v>
      </c>
      <c r="Y1822" s="93" t="n">
        <v>55000</v>
      </c>
      <c r="Z1822" s="90" t="s">
        <v>106</v>
      </c>
      <c r="AA1822" s="90" t="n">
        <v>110000</v>
      </c>
      <c r="AB1822" s="90" t="n">
        <v>55000</v>
      </c>
      <c r="AC1822" s="90" t="n">
        <v>55000</v>
      </c>
      <c r="AD1822" s="90" t="s">
        <v>100</v>
      </c>
      <c r="AE1822" s="90" t="n">
        <v>55000</v>
      </c>
      <c r="AF1822" s="90" t="s">
        <v>107</v>
      </c>
      <c r="AG1822" s="90" t="n">
        <v>55000</v>
      </c>
      <c r="AH1822" s="90" t="n">
        <v>110000</v>
      </c>
      <c r="AI1822" s="95" t="s">
        <v>62</v>
      </c>
      <c r="AJ1822" s="91" t="n">
        <v>110000</v>
      </c>
      <c r="AK1822" s="89" t="n">
        <v>55000</v>
      </c>
      <c r="AL1822" s="95" t="s">
        <v>62</v>
      </c>
      <c r="AM1822" s="90"/>
      <c r="AN1822" s="90"/>
      <c r="AO1822" s="90"/>
      <c r="AP1822" s="90"/>
      <c r="AQ1822" s="90"/>
      <c r="AR1822" s="90"/>
      <c r="AS1822" s="90"/>
      <c r="AT1822" s="90"/>
      <c r="AU1822" s="90"/>
      <c r="AV1822" s="91"/>
      <c r="AX1822" s="92"/>
    </row>
    <row r="1823" customFormat="false" ht="15.65" hidden="false" customHeight="false" outlineLevel="0" collapsed="false">
      <c r="C1823" s="72" t="n">
        <f aca="false">COUNTIFS($D$6:D1823,"&lt;&gt;"&amp;"")</f>
        <v>1818</v>
      </c>
      <c r="D1823" s="73" t="s">
        <v>12</v>
      </c>
      <c r="E1823" s="76" t="str">
        <f aca="false">
IF($D1823="정상",INDEX(임대자산!$D$3:$R$3000,MATCH($F1823,임대자산!$I$3:$I$3000,0),MATCH(E$3,임대자산!$D$3:$R$3,0)),
IF($D1823="폐업",INDEX(폐업정보!$D$3:$R$3000,MATCH($F1823,폐업정보!$I$3:$I$3000,0),MATCH(E$3,폐업정보!$D$3:$R$3,0)),
"Error"))</f>
        <v>전라</v>
      </c>
      <c r="F182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B1818</v>
      </c>
      <c r="G1823" s="76" t="str">
        <f aca="false">F1823&amp;RANDBETWEEN(0,10)</f>
        <v>B18188</v>
      </c>
      <c r="H1823" s="75" t="n">
        <f aca="false">
IF($D1823="정상",INDEX(임대자산!$D$3:$R$3000,MATCH($F1823,임대자산!$I$3:$I$3000,0),MATCH(H$4,임대자산!$D$3:$R$3,0)),
IF($D1823="폐업",INDEX(폐업정보!$D$3:$R$3000,MATCH($F1823,폐업정보!$I$3:$I$3000,0),MATCH(H$4,폐업정보!$D$3:$R$3,0)),
"Error"))</f>
        <v>45903</v>
      </c>
      <c r="I1823" s="75" t="str">
        <f aca="false">
IF($D1823="정상",INDEX(임대자산!$D$3:$R$3000,MATCH($F1823,임대자산!$I$3:$I$3000,0),MATCH(I$4,임대자산!$D$3:$R$3,0)),
IF($D1823="폐업",INDEX(폐업정보!$D$3:$R$3000,MATCH($F1823,폐업정보!$I$3:$I$3000,0),MATCH(I$4,폐업정보!$D$3:$R$3,0)),
"Error"))</f>
        <v>A1818</v>
      </c>
      <c r="J1823" s="75" t="str">
        <f aca="false">
IF($D1823="정상",INDEX(임대자산!$D$3:$R$3000,MATCH($F1823,임대자산!$I$3:$I$3000,0),MATCH(J$4,임대자산!$D$3:$R$3,0)),
IF($D1823="폐업",INDEX(폐업정보!$D$3:$R$3000,MATCH($F1823,폐업정보!$I$3:$I$3000,0),MATCH(J$4,폐업정보!$D$3:$R$3,0)),
"Error"))</f>
        <v>6627100000</v>
      </c>
      <c r="K1823" s="75" t="str">
        <f aca="false">
IF($D1823="정상",INDEX(임대자산!$D$3:$R$3000,MATCH($F1823,임대자산!$I$3:$I$3000,0),MATCH(K$4,임대자산!$D$3:$R$3,0)),
IF($D1823="폐업",INDEX(폐업정보!$D$3:$R$3000,MATCH($F1823,폐업정보!$I$3:$I$3000,0),MATCH(K$4,폐업정보!$D$3:$R$3,0)),
"Error"))</f>
        <v>C1818</v>
      </c>
      <c r="L1823" s="75" t="str">
        <f aca="false">
IF($D1823="정상",INDEX(임대자산!$D$3:$R$3000,MATCH($F1823,임대자산!$I$3:$I$3000,0),MATCH(L$4,임대자산!$D$3:$R$3,0)),
IF($D1823="폐업",INDEX(폐업정보!$D$3:$R$3000,MATCH($F1823,폐업정보!$I$3:$I$3000,0),MATCH(L$4,폐업정보!$D$3:$R$3,0)),
"Error"))</f>
        <v>D1818</v>
      </c>
      <c r="M1823" s="76" t="s">
        <v>96</v>
      </c>
      <c r="N1823" s="77"/>
      <c r="O1823" s="78" t="s">
        <v>97</v>
      </c>
      <c r="P1823" s="79" t="n">
        <f aca="false">COUNTIFS(임대자산!$I:$I,가맹점정보!F1823,임대자산!$N:$N,가맹점정보!P$4)</f>
        <v>0</v>
      </c>
      <c r="Q1823" s="80" t="n">
        <f aca="false">COUNTIFS(임대자산!$I:$I,가맹점정보!F1823,임대자산!$N:$N,가맹점정보!Q$4)</f>
        <v>0</v>
      </c>
      <c r="R1823" s="81" t="n">
        <f aca="false">COUNTIFS(임대자산!$I:$I,가맹점정보!F1823,임대자산!$N:$N,가맹점정보!R$4)</f>
        <v>1</v>
      </c>
      <c r="S1823" s="82" t="n">
        <v>55000</v>
      </c>
      <c r="T1823" s="83" t="n">
        <v>0</v>
      </c>
      <c r="U1823" s="80" t="n">
        <f aca="false">SUM(S1823:T1823)</f>
        <v>55000</v>
      </c>
      <c r="V1823" s="84" t="s">
        <v>12</v>
      </c>
      <c r="W1823" s="80" t="e">
        <f aca="true">
IF(D1823="폐업","폐업",
IF(V1823="면제","면제",
IF(AND(V1823="정상",COUNTIFS(OFFSET(Y1823,0,COUNTA(Y1823:AV1823)-1,1,-4),"미납")&gt;=3),"장기미납",
IF(AND(V1823="정상",OFFSET(Y1823,0,COUNTA(Y1823:AV1823)-1)&gt;=U1823),"정상",
IF(AND(V1823="정상",OFFSET(Y1823,0,COUNTA(Y1823:AV1823)-1)=0),"정상",
"계약서 미작성")))))</f>
        <v>#VALUE!</v>
      </c>
      <c r="X1823" s="81" t="str">
        <f aca="true">
IF(D1823="폐업","폐업",
IF(AND(V1823="정상",OFFSET(Y1823,0,COUNTA(Y1823:AV1823)-1)="미납"),"미납",
IF(AND(V1823="정상",OFFSET(Y1823,0,COUNTA(Y1823:AV1823)-1)=0),"납부 시작 전",
IF(AND(V1823="정상",OFFSET(Y1823,0,COUNTA(Y1823:AV1823)-1)&gt;=U1823),"정상",
IF(AND(V1823="면제",OFFSET(Y1823,0,COUNTA(Y1823:AV1823)-1)="면제"),"면제",
IF(AND(V1823="면제",OFFSET(Y1823,0,COUNTA(Y1823:AV1823)-1)=0),"면제",
"확인요청"))))))</f>
        <v>미납</v>
      </c>
      <c r="Y1823" s="93" t="n">
        <v>55000</v>
      </c>
      <c r="Z1823" s="90" t="s">
        <v>106</v>
      </c>
      <c r="AA1823" s="90" t="n">
        <v>110000</v>
      </c>
      <c r="AB1823" s="90" t="n">
        <v>55000</v>
      </c>
      <c r="AC1823" s="90" t="n">
        <v>55000</v>
      </c>
      <c r="AD1823" s="90" t="n">
        <v>55000</v>
      </c>
      <c r="AE1823" s="90" t="n">
        <v>55000</v>
      </c>
      <c r="AF1823" s="90" t="s">
        <v>105</v>
      </c>
      <c r="AG1823" s="90" t="n">
        <v>110000</v>
      </c>
      <c r="AH1823" s="90" t="n">
        <v>55000</v>
      </c>
      <c r="AI1823" s="90" t="s">
        <v>107</v>
      </c>
      <c r="AJ1823" s="91" t="n">
        <v>110000</v>
      </c>
      <c r="AK1823" s="89" t="n">
        <v>55000</v>
      </c>
      <c r="AL1823" s="95" t="s">
        <v>62</v>
      </c>
      <c r="AM1823" s="90"/>
      <c r="AN1823" s="90"/>
      <c r="AO1823" s="90"/>
      <c r="AP1823" s="90"/>
      <c r="AQ1823" s="90"/>
      <c r="AR1823" s="90"/>
      <c r="AS1823" s="90"/>
      <c r="AT1823" s="90"/>
      <c r="AU1823" s="90"/>
      <c r="AV1823" s="91"/>
      <c r="AX1823" s="92"/>
    </row>
    <row r="1824" customFormat="false" ht="15.65" hidden="false" customHeight="false" outlineLevel="0" collapsed="false">
      <c r="C1824" s="72" t="n">
        <f aca="false">COUNTIFS($D$6:D1824,"&lt;&gt;"&amp;"")</f>
        <v>1819</v>
      </c>
      <c r="D1824" s="73" t="s">
        <v>12</v>
      </c>
      <c r="E1824" s="76" t="str">
        <f aca="false">
IF($D1824="정상",INDEX(임대자산!$D$3:$R$3000,MATCH($F1824,임대자산!$I$3:$I$3000,0),MATCH(E$3,임대자산!$D$3:$R$3,0)),
IF($D1824="폐업",INDEX(폐업정보!$D$3:$R$3000,MATCH($F1824,폐업정보!$I$3:$I$3000,0),MATCH(E$3,폐업정보!$D$3:$R$3,0)),
"Error"))</f>
        <v>전라</v>
      </c>
      <c r="F182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B1819</v>
      </c>
      <c r="G1824" s="76" t="str">
        <f aca="false">F1824&amp;RANDBETWEEN(0,10)</f>
        <v>B18198</v>
      </c>
      <c r="H1824" s="75" t="n">
        <f aca="false">
IF($D1824="정상",INDEX(임대자산!$D$3:$R$3000,MATCH($F1824,임대자산!$I$3:$I$3000,0),MATCH(H$4,임대자산!$D$3:$R$3,0)),
IF($D1824="폐업",INDEX(폐업정보!$D$3:$R$3000,MATCH($F1824,폐업정보!$I$3:$I$3000,0),MATCH(H$4,폐업정보!$D$3:$R$3,0)),
"Error"))</f>
        <v>45903</v>
      </c>
      <c r="I1824" s="75" t="str">
        <f aca="false">
IF($D1824="정상",INDEX(임대자산!$D$3:$R$3000,MATCH($F1824,임대자산!$I$3:$I$3000,0),MATCH(I$4,임대자산!$D$3:$R$3,0)),
IF($D1824="폐업",INDEX(폐업정보!$D$3:$R$3000,MATCH($F1824,폐업정보!$I$3:$I$3000,0),MATCH(I$4,폐업정보!$D$3:$R$3,0)),
"Error"))</f>
        <v>A1819</v>
      </c>
      <c r="J1824" s="75" t="str">
        <f aca="false">
IF($D1824="정상",INDEX(임대자산!$D$3:$R$3000,MATCH($F1824,임대자산!$I$3:$I$3000,0),MATCH(J$4,임대자산!$D$3:$R$3,0)),
IF($D1824="폐업",INDEX(폐업정보!$D$3:$R$3000,MATCH($F1824,폐업정보!$I$3:$I$3000,0),MATCH(J$4,폐업정보!$D$3:$R$3,0)),
"Error"))</f>
        <v>6724100000</v>
      </c>
      <c r="K1824" s="75" t="str">
        <f aca="false">
IF($D1824="정상",INDEX(임대자산!$D$3:$R$3000,MATCH($F1824,임대자산!$I$3:$I$3000,0),MATCH(K$4,임대자산!$D$3:$R$3,0)),
IF($D1824="폐업",INDEX(폐업정보!$D$3:$R$3000,MATCH($F1824,폐업정보!$I$3:$I$3000,0),MATCH(K$4,폐업정보!$D$3:$R$3,0)),
"Error"))</f>
        <v>C1819</v>
      </c>
      <c r="L1824" s="75" t="str">
        <f aca="false">
IF($D1824="정상",INDEX(임대자산!$D$3:$R$3000,MATCH($F1824,임대자산!$I$3:$I$3000,0),MATCH(L$4,임대자산!$D$3:$R$3,0)),
IF($D1824="폐업",INDEX(폐업정보!$D$3:$R$3000,MATCH($F1824,폐업정보!$I$3:$I$3000,0),MATCH(L$4,폐업정보!$D$3:$R$3,0)),
"Error"))</f>
        <v>D1819</v>
      </c>
      <c r="M1824" s="76" t="s">
        <v>96</v>
      </c>
      <c r="N1824" s="77"/>
      <c r="O1824" s="78" t="s">
        <v>97</v>
      </c>
      <c r="P1824" s="79" t="n">
        <f aca="false">COUNTIFS(임대자산!$I:$I,가맹점정보!F1824,임대자산!$N:$N,가맹점정보!P$4)</f>
        <v>0</v>
      </c>
      <c r="Q1824" s="80" t="n">
        <f aca="false">COUNTIFS(임대자산!$I:$I,가맹점정보!F1824,임대자산!$N:$N,가맹점정보!Q$4)</f>
        <v>0</v>
      </c>
      <c r="R1824" s="81" t="n">
        <f aca="false">COUNTIFS(임대자산!$I:$I,가맹점정보!F1824,임대자산!$N:$N,가맹점정보!R$4)</f>
        <v>1</v>
      </c>
      <c r="S1824" s="82" t="n">
        <v>55000</v>
      </c>
      <c r="T1824" s="83" t="n">
        <v>0</v>
      </c>
      <c r="U1824" s="80" t="n">
        <f aca="false">SUM(S1824:T1824)</f>
        <v>55000</v>
      </c>
      <c r="V1824" s="84" t="s">
        <v>12</v>
      </c>
      <c r="W1824" s="80" t="e">
        <f aca="true">
IF(D1824="폐업","폐업",
IF(V1824="면제","면제",
IF(AND(V1824="정상",COUNTIFS(OFFSET(Y1824,0,COUNTA(Y1824:AV1824)-1,1,-4),"미납")&gt;=3),"장기미납",
IF(AND(V1824="정상",OFFSET(Y1824,0,COUNTA(Y1824:AV1824)-1)&gt;=U1824),"정상",
IF(AND(V1824="정상",OFFSET(Y1824,0,COUNTA(Y1824:AV1824)-1)=0),"정상",
"계약서 미작성")))))</f>
        <v>#VALUE!</v>
      </c>
      <c r="X1824" s="81" t="str">
        <f aca="true">
IF(D1824="폐업","폐업",
IF(AND(V1824="정상",OFFSET(Y1824,0,COUNTA(Y1824:AV1824)-1)="미납"),"미납",
IF(AND(V1824="정상",OFFSET(Y1824,0,COUNTA(Y1824:AV1824)-1)=0),"납부 시작 전",
IF(AND(V1824="정상",OFFSET(Y1824,0,COUNTA(Y1824:AV1824)-1)&gt;=U1824),"정상",
IF(AND(V1824="면제",OFFSET(Y1824,0,COUNTA(Y1824:AV1824)-1)="면제"),"면제",
IF(AND(V1824="면제",OFFSET(Y1824,0,COUNTA(Y1824:AV1824)-1)=0),"면제",
"확인요청"))))))</f>
        <v>미납</v>
      </c>
      <c r="Y1824" s="93" t="n">
        <v>55000</v>
      </c>
      <c r="Z1824" s="90" t="s">
        <v>106</v>
      </c>
      <c r="AA1824" s="90" t="n">
        <v>110000</v>
      </c>
      <c r="AB1824" s="90" t="n">
        <v>55000</v>
      </c>
      <c r="AC1824" s="90" t="n">
        <v>55000</v>
      </c>
      <c r="AD1824" s="90" t="n">
        <v>55000</v>
      </c>
      <c r="AE1824" s="90" t="n">
        <v>55000</v>
      </c>
      <c r="AF1824" s="90" t="s">
        <v>105</v>
      </c>
      <c r="AG1824" s="90" t="n">
        <v>110000</v>
      </c>
      <c r="AH1824" s="90" t="n">
        <v>55000</v>
      </c>
      <c r="AI1824" s="90" t="s">
        <v>107</v>
      </c>
      <c r="AJ1824" s="91" t="n">
        <v>110000</v>
      </c>
      <c r="AK1824" s="89" t="n">
        <v>55000</v>
      </c>
      <c r="AL1824" s="95" t="s">
        <v>62</v>
      </c>
      <c r="AM1824" s="90"/>
      <c r="AN1824" s="90"/>
      <c r="AO1824" s="90"/>
      <c r="AP1824" s="90"/>
      <c r="AQ1824" s="90"/>
      <c r="AR1824" s="90"/>
      <c r="AS1824" s="90"/>
      <c r="AT1824" s="90"/>
      <c r="AU1824" s="90"/>
      <c r="AV1824" s="91"/>
      <c r="AX1824" s="92"/>
    </row>
    <row r="1825" customFormat="false" ht="15.65" hidden="false" customHeight="false" outlineLevel="0" collapsed="false">
      <c r="C1825" s="72" t="n">
        <f aca="false">COUNTIFS($D$6:D1825,"&lt;&gt;"&amp;"")</f>
        <v>1820</v>
      </c>
      <c r="D1825" s="73" t="s">
        <v>12</v>
      </c>
      <c r="E1825" s="76" t="str">
        <f aca="false">
IF($D1825="정상",INDEX(임대자산!$D$3:$R$3000,MATCH($F1825,임대자산!$I$3:$I$3000,0),MATCH(E$3,임대자산!$D$3:$R$3,0)),
IF($D1825="폐업",INDEX(폐업정보!$D$3:$R$3000,MATCH($F1825,폐업정보!$I$3:$I$3000,0),MATCH(E$3,폐업정보!$D$3:$R$3,0)),
"Error"))</f>
        <v>서울</v>
      </c>
      <c r="F182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B1820</v>
      </c>
      <c r="G1825" s="76" t="str">
        <f aca="false">F1825&amp;RANDBETWEEN(0,10)</f>
        <v>B18206</v>
      </c>
      <c r="H1825" s="75" t="n">
        <f aca="false">
IF($D1825="정상",INDEX(임대자산!$D$3:$R$3000,MATCH($F1825,임대자산!$I$3:$I$3000,0),MATCH(H$4,임대자산!$D$3:$R$3,0)),
IF($D1825="폐업",INDEX(폐업정보!$D$3:$R$3000,MATCH($F1825,폐업정보!$I$3:$I$3000,0),MATCH(H$4,폐업정보!$D$3:$R$3,0)),
"Error"))</f>
        <v>46055</v>
      </c>
      <c r="I1825" s="75" t="str">
        <f aca="false">
IF($D1825="정상",INDEX(임대자산!$D$3:$R$3000,MATCH($F1825,임대자산!$I$3:$I$3000,0),MATCH(I$4,임대자산!$D$3:$R$3,0)),
IF($D1825="폐업",INDEX(폐업정보!$D$3:$R$3000,MATCH($F1825,폐업정보!$I$3:$I$3000,0),MATCH(I$4,폐업정보!$D$3:$R$3,0)),
"Error"))</f>
        <v>A1820</v>
      </c>
      <c r="J1825" s="75" t="str">
        <f aca="false">
IF($D1825="정상",INDEX(임대자산!$D$3:$R$3000,MATCH($F1825,임대자산!$I$3:$I$3000,0),MATCH(J$4,임대자산!$D$3:$R$3,0)),
IF($D1825="폐업",INDEX(폐업정보!$D$3:$R$3000,MATCH($F1825,폐업정보!$I$3:$I$3000,0),MATCH(J$4,폐업정보!$D$3:$R$3,0)),
"Error"))</f>
        <v>5328400000</v>
      </c>
      <c r="K1825" s="75" t="str">
        <f aca="false">
IF($D1825="정상",INDEX(임대자산!$D$3:$R$3000,MATCH($F1825,임대자산!$I$3:$I$3000,0),MATCH(K$4,임대자산!$D$3:$R$3,0)),
IF($D1825="폐업",INDEX(폐업정보!$D$3:$R$3000,MATCH($F1825,폐업정보!$I$3:$I$3000,0),MATCH(K$4,폐업정보!$D$3:$R$3,0)),
"Error"))</f>
        <v>C1820</v>
      </c>
      <c r="L1825" s="75" t="str">
        <f aca="false">
IF($D1825="정상",INDEX(임대자산!$D$3:$R$3000,MATCH($F1825,임대자산!$I$3:$I$3000,0),MATCH(L$4,임대자산!$D$3:$R$3,0)),
IF($D1825="폐업",INDEX(폐업정보!$D$3:$R$3000,MATCH($F1825,폐업정보!$I$3:$I$3000,0),MATCH(L$4,폐업정보!$D$3:$R$3,0)),
"Error"))</f>
        <v>D1820</v>
      </c>
      <c r="M1825" s="76" t="s">
        <v>96</v>
      </c>
      <c r="N1825" s="77"/>
      <c r="O1825" s="78" t="s">
        <v>97</v>
      </c>
      <c r="P1825" s="79" t="n">
        <f aca="false">COUNTIFS(임대자산!$I:$I,가맹점정보!F1825,임대자산!$N:$N,가맹점정보!P$4)</f>
        <v>0</v>
      </c>
      <c r="Q1825" s="80" t="n">
        <f aca="false">COUNTIFS(임대자산!$I:$I,가맹점정보!F1825,임대자산!$N:$N,가맹점정보!Q$4)</f>
        <v>0</v>
      </c>
      <c r="R1825" s="81" t="n">
        <f aca="false">COUNTIFS(임대자산!$I:$I,가맹점정보!F1825,임대자산!$N:$N,가맹점정보!R$4)</f>
        <v>1</v>
      </c>
      <c r="S1825" s="82" t="n">
        <v>55000</v>
      </c>
      <c r="T1825" s="83" t="n">
        <v>0</v>
      </c>
      <c r="U1825" s="80" t="n">
        <f aca="false">SUM(S1825:T1825)</f>
        <v>55000</v>
      </c>
      <c r="V1825" s="84" t="s">
        <v>7</v>
      </c>
      <c r="W1825" s="80" t="str">
        <f aca="true">
IF(D1825="폐업","폐업",
IF(V1825="면제","면제",
IF(AND(V1825="정상",COUNTIFS(OFFSET(Y1825,0,COUNTA(Y1825:AV1825)-1,1,-4),"미납")&gt;=3),"장기미납",
IF(AND(V1825="정상",OFFSET(Y1825,0,COUNTA(Y1825:AV1825)-1)&gt;=U1825),"정상",
IF(AND(V1825="정상",OFFSET(Y1825,0,COUNTA(Y1825:AV1825)-1)=0),"정상",
"계약서 미작성")))))</f>
        <v>면제</v>
      </c>
      <c r="X1825" s="81" t="str">
        <f aca="true">
IF(D1825="폐업","폐업",
IF(AND(V1825="정상",OFFSET(Y1825,0,COUNTA(Y1825:AV1825)-1)="미납"),"미납",
IF(AND(V1825="정상",OFFSET(Y1825,0,COUNTA(Y1825:AV1825)-1)=0),"납부 시작 전",
IF(AND(V1825="정상",OFFSET(Y1825,0,COUNTA(Y1825:AV1825)-1)&gt;=U1825),"정상",
IF(AND(V1825="면제",OFFSET(Y1825,0,COUNTA(Y1825:AV1825)-1)="면제"),"면제",
IF(AND(V1825="면제",OFFSET(Y1825,0,COUNTA(Y1825:AV1825)-1)=0),"면제",
"확인요청"))))))</f>
        <v>면제</v>
      </c>
      <c r="Y1825" s="93" t="n">
        <v>55000</v>
      </c>
      <c r="Z1825" s="90" t="s">
        <v>106</v>
      </c>
      <c r="AA1825" s="90" t="n">
        <v>110000</v>
      </c>
      <c r="AB1825" s="90" t="n">
        <v>55000</v>
      </c>
      <c r="AC1825" s="90" t="n">
        <v>55000</v>
      </c>
      <c r="AD1825" s="90" t="n">
        <v>55000</v>
      </c>
      <c r="AE1825" s="95" t="s">
        <v>7</v>
      </c>
      <c r="AF1825" s="95" t="s">
        <v>7</v>
      </c>
      <c r="AG1825" s="95" t="s">
        <v>7</v>
      </c>
      <c r="AH1825" s="95" t="s">
        <v>7</v>
      </c>
      <c r="AI1825" s="95" t="s">
        <v>7</v>
      </c>
      <c r="AJ1825" s="96" t="s">
        <v>7</v>
      </c>
      <c r="AK1825" s="97" t="s">
        <v>7</v>
      </c>
      <c r="AL1825" s="95" t="s">
        <v>7</v>
      </c>
      <c r="AM1825" s="90"/>
      <c r="AN1825" s="90"/>
      <c r="AO1825" s="90"/>
      <c r="AP1825" s="90"/>
      <c r="AQ1825" s="90"/>
      <c r="AR1825" s="90"/>
      <c r="AS1825" s="90"/>
      <c r="AT1825" s="90"/>
      <c r="AU1825" s="90"/>
      <c r="AV1825" s="91"/>
      <c r="AX1825" s="92"/>
    </row>
    <row r="1826" customFormat="false" ht="15.65" hidden="false" customHeight="false" outlineLevel="0" collapsed="false">
      <c r="C1826" s="72" t="n">
        <f aca="false">COUNTIFS($D$6:D1826,"&lt;&gt;"&amp;"")</f>
        <v>1821</v>
      </c>
      <c r="D1826" s="73" t="s">
        <v>12</v>
      </c>
      <c r="E1826" s="76" t="str">
        <f aca="false">
IF($D1826="정상",INDEX(임대자산!$D$3:$R$3000,MATCH($F1826,임대자산!$I$3:$I$3000,0),MATCH(E$3,임대자산!$D$3:$R$3,0)),
IF($D1826="폐업",INDEX(폐업정보!$D$3:$R$3000,MATCH($F1826,폐업정보!$I$3:$I$3000,0),MATCH(E$3,폐업정보!$D$3:$R$3,0)),
"Error"))</f>
        <v>서울</v>
      </c>
      <c r="F182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B1821</v>
      </c>
      <c r="G1826" s="76" t="str">
        <f aca="false">F1826&amp;RANDBETWEEN(0,10)</f>
        <v>B18214</v>
      </c>
      <c r="H1826" s="75" t="n">
        <f aca="false">
IF($D1826="정상",INDEX(임대자산!$D$3:$R$3000,MATCH($F1826,임대자산!$I$3:$I$3000,0),MATCH(H$4,임대자산!$D$3:$R$3,0)),
IF($D1826="폐업",INDEX(폐업정보!$D$3:$R$3000,MATCH($F1826,폐업정보!$I$3:$I$3000,0),MATCH(H$4,폐업정보!$D$3:$R$3,0)),
"Error"))</f>
        <v>46055</v>
      </c>
      <c r="I1826" s="75" t="str">
        <f aca="false">
IF($D1826="정상",INDEX(임대자산!$D$3:$R$3000,MATCH($F1826,임대자산!$I$3:$I$3000,0),MATCH(I$4,임대자산!$D$3:$R$3,0)),
IF($D1826="폐업",INDEX(폐업정보!$D$3:$R$3000,MATCH($F1826,폐업정보!$I$3:$I$3000,0),MATCH(I$4,폐업정보!$D$3:$R$3,0)),
"Error"))</f>
        <v>A1821</v>
      </c>
      <c r="J1826" s="75" t="str">
        <f aca="false">
IF($D1826="정상",INDEX(임대자산!$D$3:$R$3000,MATCH($F1826,임대자산!$I$3:$I$3000,0),MATCH(J$4,임대자산!$D$3:$R$3,0)),
IF($D1826="폐업",INDEX(폐업정보!$D$3:$R$3000,MATCH($F1826,폐업정보!$I$3:$I$3000,0),MATCH(J$4,폐업정보!$D$3:$R$3,0)),
"Error"))</f>
        <v>2223000000</v>
      </c>
      <c r="K1826" s="75" t="str">
        <f aca="false">
IF($D1826="정상",INDEX(임대자산!$D$3:$R$3000,MATCH($F1826,임대자산!$I$3:$I$3000,0),MATCH(K$4,임대자산!$D$3:$R$3,0)),
IF($D1826="폐업",INDEX(폐업정보!$D$3:$R$3000,MATCH($F1826,폐업정보!$I$3:$I$3000,0),MATCH(K$4,폐업정보!$D$3:$R$3,0)),
"Error"))</f>
        <v>C1821</v>
      </c>
      <c r="L1826" s="75" t="str">
        <f aca="false">
IF($D1826="정상",INDEX(임대자산!$D$3:$R$3000,MATCH($F1826,임대자산!$I$3:$I$3000,0),MATCH(L$4,임대자산!$D$3:$R$3,0)),
IF($D1826="폐업",INDEX(폐업정보!$D$3:$R$3000,MATCH($F1826,폐업정보!$I$3:$I$3000,0),MATCH(L$4,폐업정보!$D$3:$R$3,0)),
"Error"))</f>
        <v>D1821</v>
      </c>
      <c r="M1826" s="76" t="s">
        <v>96</v>
      </c>
      <c r="N1826" s="77"/>
      <c r="O1826" s="78" t="s">
        <v>97</v>
      </c>
      <c r="P1826" s="79" t="n">
        <f aca="false">COUNTIFS(임대자산!$I:$I,가맹점정보!F1826,임대자산!$N:$N,가맹점정보!P$4)</f>
        <v>0</v>
      </c>
      <c r="Q1826" s="80" t="n">
        <f aca="false">COUNTIFS(임대자산!$I:$I,가맹점정보!F1826,임대자산!$N:$N,가맹점정보!Q$4)</f>
        <v>0</v>
      </c>
      <c r="R1826" s="81" t="n">
        <f aca="false">COUNTIFS(임대자산!$I:$I,가맹점정보!F1826,임대자산!$N:$N,가맹점정보!R$4)</f>
        <v>1</v>
      </c>
      <c r="S1826" s="82" t="n">
        <v>55000</v>
      </c>
      <c r="T1826" s="83" t="n">
        <v>0</v>
      </c>
      <c r="U1826" s="80" t="n">
        <f aca="false">SUM(S1826:T1826)</f>
        <v>55000</v>
      </c>
      <c r="V1826" s="84" t="s">
        <v>12</v>
      </c>
      <c r="W1826" s="80" t="e">
        <f aca="true">
IF(D1826="폐업","폐업",
IF(V1826="면제","면제",
IF(AND(V1826="정상",COUNTIFS(OFFSET(Y1826,0,COUNTA(Y1826:AV1826)-1,1,-4),"미납")&gt;=3),"장기미납",
IF(AND(V1826="정상",OFFSET(Y1826,0,COUNTA(Y1826:AV1826)-1)&gt;=U1826),"정상",
IF(AND(V1826="정상",OFFSET(Y1826,0,COUNTA(Y1826:AV1826)-1)=0),"정상",
"계약서 미작성")))))</f>
        <v>#VALUE!</v>
      </c>
      <c r="X1826" s="81" t="str">
        <f aca="true">
IF(D1826="폐업","폐업",
IF(AND(V1826="정상",OFFSET(Y1826,0,COUNTA(Y1826:AV1826)-1)="미납"),"미납",
IF(AND(V1826="정상",OFFSET(Y1826,0,COUNTA(Y1826:AV1826)-1)=0),"납부 시작 전",
IF(AND(V1826="정상",OFFSET(Y1826,0,COUNTA(Y1826:AV1826)-1)&gt;=U1826),"정상",
IF(AND(V1826="면제",OFFSET(Y1826,0,COUNTA(Y1826:AV1826)-1)="면제"),"면제",
IF(AND(V1826="면제",OFFSET(Y1826,0,COUNTA(Y1826:AV1826)-1)=0),"면제",
"확인요청"))))))</f>
        <v>미납</v>
      </c>
      <c r="Y1826" s="94" t="s">
        <v>62</v>
      </c>
      <c r="Z1826" s="95" t="s">
        <v>62</v>
      </c>
      <c r="AA1826" s="90" t="n">
        <v>55000</v>
      </c>
      <c r="AB1826" s="90" t="n">
        <v>55000</v>
      </c>
      <c r="AC1826" s="90" t="n">
        <v>55000</v>
      </c>
      <c r="AD1826" s="90" t="n">
        <v>55000</v>
      </c>
      <c r="AE1826" s="90" t="n">
        <v>55000</v>
      </c>
      <c r="AF1826" s="90" t="n">
        <v>55000</v>
      </c>
      <c r="AG1826" s="95" t="s">
        <v>62</v>
      </c>
      <c r="AH1826" s="95" t="s">
        <v>62</v>
      </c>
      <c r="AI1826" s="95" t="s">
        <v>62</v>
      </c>
      <c r="AJ1826" s="96" t="s">
        <v>62</v>
      </c>
      <c r="AK1826" s="97" t="s">
        <v>62</v>
      </c>
      <c r="AL1826" s="95" t="s">
        <v>62</v>
      </c>
      <c r="AM1826" s="90"/>
      <c r="AN1826" s="90"/>
      <c r="AO1826" s="90"/>
      <c r="AP1826" s="90"/>
      <c r="AQ1826" s="90"/>
      <c r="AR1826" s="90"/>
      <c r="AS1826" s="90"/>
      <c r="AT1826" s="90"/>
      <c r="AU1826" s="90"/>
      <c r="AV1826" s="91"/>
      <c r="AX1826" s="92"/>
    </row>
    <row r="1827" customFormat="false" ht="15.65" hidden="false" customHeight="false" outlineLevel="0" collapsed="false">
      <c r="C1827" s="72" t="n">
        <f aca="false">COUNTIFS($D$6:D1827,"&lt;&gt;"&amp;"")</f>
        <v>1822</v>
      </c>
      <c r="D1827" s="73" t="s">
        <v>12</v>
      </c>
      <c r="E1827" s="76" t="str">
        <f aca="false">
IF($D1827="정상",INDEX(임대자산!$D$3:$R$3000,MATCH($F1827,임대자산!$I$3:$I$3000,0),MATCH(E$3,임대자산!$D$3:$R$3,0)),
IF($D1827="폐업",INDEX(폐업정보!$D$3:$R$3000,MATCH($F1827,폐업정보!$I$3:$I$3000,0),MATCH(E$3,폐업정보!$D$3:$R$3,0)),
"Error"))</f>
        <v>서울</v>
      </c>
      <c r="F182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B1822</v>
      </c>
      <c r="G1827" s="76" t="str">
        <f aca="false">F1827&amp;RANDBETWEEN(0,10)</f>
        <v>B18222</v>
      </c>
      <c r="H1827" s="75" t="n">
        <f aca="false">
IF($D1827="정상",INDEX(임대자산!$D$3:$R$3000,MATCH($F1827,임대자산!$I$3:$I$3000,0),MATCH(H$4,임대자산!$D$3:$R$3,0)),
IF($D1827="폐업",INDEX(폐업정보!$D$3:$R$3000,MATCH($F1827,폐업정보!$I$3:$I$3000,0),MATCH(H$4,폐업정보!$D$3:$R$3,0)),
"Error"))</f>
        <v>45954</v>
      </c>
      <c r="I1827" s="75" t="str">
        <f aca="false">
IF($D1827="정상",INDEX(임대자산!$D$3:$R$3000,MATCH($F1827,임대자산!$I$3:$I$3000,0),MATCH(I$4,임대자산!$D$3:$R$3,0)),
IF($D1827="폐업",INDEX(폐업정보!$D$3:$R$3000,MATCH($F1827,폐업정보!$I$3:$I$3000,0),MATCH(I$4,폐업정보!$D$3:$R$3,0)),
"Error"))</f>
        <v>A1822</v>
      </c>
      <c r="J1827" s="75" t="str">
        <f aca="false">
IF($D1827="정상",INDEX(임대자산!$D$3:$R$3000,MATCH($F1827,임대자산!$I$3:$I$3000,0),MATCH(J$4,임대자산!$D$3:$R$3,0)),
IF($D1827="폐업",INDEX(폐업정보!$D$3:$R$3000,MATCH($F1827,폐업정보!$I$3:$I$3000,0),MATCH(J$4,폐업정보!$D$3:$R$3,0)),
"Error"))</f>
        <v>2090400000</v>
      </c>
      <c r="K1827" s="75" t="str">
        <f aca="false">
IF($D1827="정상",INDEX(임대자산!$D$3:$R$3000,MATCH($F1827,임대자산!$I$3:$I$3000,0),MATCH(K$4,임대자산!$D$3:$R$3,0)),
IF($D1827="폐업",INDEX(폐업정보!$D$3:$R$3000,MATCH($F1827,폐업정보!$I$3:$I$3000,0),MATCH(K$4,폐업정보!$D$3:$R$3,0)),
"Error"))</f>
        <v>C1822</v>
      </c>
      <c r="L1827" s="75" t="str">
        <f aca="false">
IF($D1827="정상",INDEX(임대자산!$D$3:$R$3000,MATCH($F1827,임대자산!$I$3:$I$3000,0),MATCH(L$4,임대자산!$D$3:$R$3,0)),
IF($D1827="폐업",INDEX(폐업정보!$D$3:$R$3000,MATCH($F1827,폐업정보!$I$3:$I$3000,0),MATCH(L$4,폐업정보!$D$3:$R$3,0)),
"Error"))</f>
        <v>D1822</v>
      </c>
      <c r="M1827" s="76" t="s">
        <v>96</v>
      </c>
      <c r="N1827" s="77"/>
      <c r="O1827" s="78" t="s">
        <v>97</v>
      </c>
      <c r="P1827" s="79" t="n">
        <f aca="false">COUNTIFS(임대자산!$I:$I,가맹점정보!F1827,임대자산!$N:$N,가맹점정보!P$4)</f>
        <v>0</v>
      </c>
      <c r="Q1827" s="80" t="n">
        <f aca="false">COUNTIFS(임대자산!$I:$I,가맹점정보!F1827,임대자산!$N:$N,가맹점정보!Q$4)</f>
        <v>0</v>
      </c>
      <c r="R1827" s="81" t="n">
        <f aca="false">COUNTIFS(임대자산!$I:$I,가맹점정보!F1827,임대자산!$N:$N,가맹점정보!R$4)</f>
        <v>1</v>
      </c>
      <c r="S1827" s="82" t="n">
        <v>55000</v>
      </c>
      <c r="T1827" s="83" t="n">
        <v>0</v>
      </c>
      <c r="U1827" s="80" t="n">
        <f aca="false">SUM(S1827:T1827)</f>
        <v>55000</v>
      </c>
      <c r="V1827" s="84" t="s">
        <v>12</v>
      </c>
      <c r="W1827" s="80" t="e">
        <f aca="true">
IF(D1827="폐업","폐업",
IF(V1827="면제","면제",
IF(AND(V1827="정상",COUNTIFS(OFFSET(Y1827,0,COUNTA(Y1827:AV1827)-1,1,-4),"미납")&gt;=3),"장기미납",
IF(AND(V1827="정상",OFFSET(Y1827,0,COUNTA(Y1827:AV1827)-1)&gt;=U1827),"정상",
IF(AND(V1827="정상",OFFSET(Y1827,0,COUNTA(Y1827:AV1827)-1)=0),"정상",
"계약서 미작성")))))</f>
        <v>#VALUE!</v>
      </c>
      <c r="X1827" s="81" t="str">
        <f aca="true">
IF(D1827="폐업","폐업",
IF(AND(V1827="정상",OFFSET(Y1827,0,COUNTA(Y1827:AV1827)-1)="미납"),"미납",
IF(AND(V1827="정상",OFFSET(Y1827,0,COUNTA(Y1827:AV1827)-1)=0),"납부 시작 전",
IF(AND(V1827="정상",OFFSET(Y1827,0,COUNTA(Y1827:AV1827)-1)&gt;=U1827),"정상",
IF(AND(V1827="면제",OFFSET(Y1827,0,COUNTA(Y1827:AV1827)-1)="면제"),"면제",
IF(AND(V1827="면제",OFFSET(Y1827,0,COUNTA(Y1827:AV1827)-1)=0),"면제",
"확인요청"))))))</f>
        <v>미납</v>
      </c>
      <c r="Y1827" s="94" t="s">
        <v>62</v>
      </c>
      <c r="Z1827" s="90" t="s">
        <v>106</v>
      </c>
      <c r="AA1827" s="90" t="n">
        <v>110000</v>
      </c>
      <c r="AB1827" s="90" t="n">
        <v>55000</v>
      </c>
      <c r="AC1827" s="90" t="n">
        <v>55000</v>
      </c>
      <c r="AD1827" s="90" t="n">
        <v>55000</v>
      </c>
      <c r="AE1827" s="90" t="n">
        <v>55000</v>
      </c>
      <c r="AF1827" s="90" t="s">
        <v>105</v>
      </c>
      <c r="AG1827" s="90" t="n">
        <v>110000</v>
      </c>
      <c r="AH1827" s="90" t="n">
        <v>55000</v>
      </c>
      <c r="AI1827" s="90" t="s">
        <v>101</v>
      </c>
      <c r="AJ1827" s="91" t="n">
        <v>55000</v>
      </c>
      <c r="AK1827" s="89" t="n">
        <v>110000</v>
      </c>
      <c r="AL1827" s="95" t="s">
        <v>62</v>
      </c>
      <c r="AM1827" s="90"/>
      <c r="AN1827" s="90"/>
      <c r="AO1827" s="90"/>
      <c r="AP1827" s="90"/>
      <c r="AQ1827" s="90"/>
      <c r="AR1827" s="90"/>
      <c r="AS1827" s="90"/>
      <c r="AT1827" s="90"/>
      <c r="AU1827" s="90"/>
      <c r="AV1827" s="91"/>
      <c r="AX1827" s="92"/>
    </row>
    <row r="1828" customFormat="false" ht="15.65" hidden="false" customHeight="false" outlineLevel="0" collapsed="false">
      <c r="C1828" s="72" t="n">
        <f aca="false">COUNTIFS($D$6:D1828,"&lt;&gt;"&amp;"")</f>
        <v>1823</v>
      </c>
      <c r="D1828" s="73" t="s">
        <v>12</v>
      </c>
      <c r="E1828" s="76" t="str">
        <f aca="false">
IF($D1828="정상",INDEX(임대자산!$D$3:$R$3000,MATCH($F1828,임대자산!$I$3:$I$3000,0),MATCH(E$3,임대자산!$D$3:$R$3,0)),
IF($D1828="폐업",INDEX(폐업정보!$D$3:$R$3000,MATCH($F1828,폐업정보!$I$3:$I$3000,0),MATCH(E$3,폐업정보!$D$3:$R$3,0)),
"Error"))</f>
        <v>서울</v>
      </c>
      <c r="F182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B1823</v>
      </c>
      <c r="G1828" s="76" t="str">
        <f aca="false">F1828&amp;RANDBETWEEN(0,10)</f>
        <v>B18231</v>
      </c>
      <c r="H1828" s="75" t="n">
        <f aca="false">
IF($D1828="정상",INDEX(임대자산!$D$3:$R$3000,MATCH($F1828,임대자산!$I$3:$I$3000,0),MATCH(H$4,임대자산!$D$3:$R$3,0)),
IF($D1828="폐업",INDEX(폐업정보!$D$3:$R$3000,MATCH($F1828,폐업정보!$I$3:$I$3000,0),MATCH(H$4,폐업정보!$D$3:$R$3,0)),
"Error"))</f>
        <v>45954</v>
      </c>
      <c r="I1828" s="75" t="str">
        <f aca="false">
IF($D1828="정상",INDEX(임대자산!$D$3:$R$3000,MATCH($F1828,임대자산!$I$3:$I$3000,0),MATCH(I$4,임대자산!$D$3:$R$3,0)),
IF($D1828="폐업",INDEX(폐업정보!$D$3:$R$3000,MATCH($F1828,폐업정보!$I$3:$I$3000,0),MATCH(I$4,폐업정보!$D$3:$R$3,0)),
"Error"))</f>
        <v>A1823</v>
      </c>
      <c r="J1828" s="75" t="str">
        <f aca="false">
IF($D1828="정상",INDEX(임대자산!$D$3:$R$3000,MATCH($F1828,임대자산!$I$3:$I$3000,0),MATCH(J$4,임대자산!$D$3:$R$3,0)),
IF($D1828="폐업",INDEX(폐업정보!$D$3:$R$3000,MATCH($F1828,폐업정보!$I$3:$I$3000,0),MATCH(J$4,폐업정보!$D$3:$R$3,0)),
"Error"))</f>
        <v>8131400000</v>
      </c>
      <c r="K1828" s="75" t="str">
        <f aca="false">
IF($D1828="정상",INDEX(임대자산!$D$3:$R$3000,MATCH($F1828,임대자산!$I$3:$I$3000,0),MATCH(K$4,임대자산!$D$3:$R$3,0)),
IF($D1828="폐업",INDEX(폐업정보!$D$3:$R$3000,MATCH($F1828,폐업정보!$I$3:$I$3000,0),MATCH(K$4,폐업정보!$D$3:$R$3,0)),
"Error"))</f>
        <v>C1823</v>
      </c>
      <c r="L1828" s="75" t="str">
        <f aca="false">
IF($D1828="정상",INDEX(임대자산!$D$3:$R$3000,MATCH($F1828,임대자산!$I$3:$I$3000,0),MATCH(L$4,임대자산!$D$3:$R$3,0)),
IF($D1828="폐업",INDEX(폐업정보!$D$3:$R$3000,MATCH($F1828,폐업정보!$I$3:$I$3000,0),MATCH(L$4,폐업정보!$D$3:$R$3,0)),
"Error"))</f>
        <v>D1823</v>
      </c>
      <c r="M1828" s="76" t="s">
        <v>96</v>
      </c>
      <c r="N1828" s="77"/>
      <c r="O1828" s="78" t="s">
        <v>97</v>
      </c>
      <c r="P1828" s="79" t="n">
        <f aca="false">COUNTIFS(임대자산!$I:$I,가맹점정보!F1828,임대자산!$N:$N,가맹점정보!P$4)</f>
        <v>0</v>
      </c>
      <c r="Q1828" s="80" t="n">
        <f aca="false">COUNTIFS(임대자산!$I:$I,가맹점정보!F1828,임대자산!$N:$N,가맹점정보!Q$4)</f>
        <v>0</v>
      </c>
      <c r="R1828" s="81" t="n">
        <f aca="false">COUNTIFS(임대자산!$I:$I,가맹점정보!F1828,임대자산!$N:$N,가맹점정보!R$4)</f>
        <v>1</v>
      </c>
      <c r="S1828" s="82" t="n">
        <v>55000</v>
      </c>
      <c r="T1828" s="83" t="n">
        <v>0</v>
      </c>
      <c r="U1828" s="80" t="n">
        <f aca="false">SUM(S1828:T1828)</f>
        <v>55000</v>
      </c>
      <c r="V1828" s="84" t="s">
        <v>12</v>
      </c>
      <c r="W1828" s="80" t="e">
        <f aca="true">
IF(D1828="폐업","폐업",
IF(V1828="면제","면제",
IF(AND(V1828="정상",COUNTIFS(OFFSET(Y1828,0,COUNTA(Y1828:AV1828)-1,1,-4),"미납")&gt;=3),"장기미납",
IF(AND(V1828="정상",OFFSET(Y1828,0,COUNTA(Y1828:AV1828)-1)&gt;=U1828),"정상",
IF(AND(V1828="정상",OFFSET(Y1828,0,COUNTA(Y1828:AV1828)-1)=0),"정상",
"계약서 미작성")))))</f>
        <v>#VALUE!</v>
      </c>
      <c r="X1828" s="81" t="str">
        <f aca="true">
IF(D1828="폐업","폐업",
IF(AND(V1828="정상",OFFSET(Y1828,0,COUNTA(Y1828:AV1828)-1)="미납"),"미납",
IF(AND(V1828="정상",OFFSET(Y1828,0,COUNTA(Y1828:AV1828)-1)=0),"납부 시작 전",
IF(AND(V1828="정상",OFFSET(Y1828,0,COUNTA(Y1828:AV1828)-1)&gt;=U1828),"정상",
IF(AND(V1828="면제",OFFSET(Y1828,0,COUNTA(Y1828:AV1828)-1)="면제"),"면제",
IF(AND(V1828="면제",OFFSET(Y1828,0,COUNTA(Y1828:AV1828)-1)=0),"면제",
"확인요청"))))))</f>
        <v>정상</v>
      </c>
      <c r="Y1828" s="93" t="n">
        <v>55000</v>
      </c>
      <c r="Z1828" s="95" t="s">
        <v>62</v>
      </c>
      <c r="AA1828" s="90" t="n">
        <v>55000</v>
      </c>
      <c r="AB1828" s="90" t="n">
        <v>55000</v>
      </c>
      <c r="AC1828" s="90" t="n">
        <v>55000</v>
      </c>
      <c r="AD1828" s="90" t="n">
        <v>55000</v>
      </c>
      <c r="AE1828" s="90" t="n">
        <v>55000</v>
      </c>
      <c r="AF1828" s="90" t="n">
        <v>55000</v>
      </c>
      <c r="AG1828" s="90" t="n">
        <v>55000</v>
      </c>
      <c r="AH1828" s="90" t="n">
        <v>55000</v>
      </c>
      <c r="AI1828" s="90" t="n">
        <v>55000</v>
      </c>
      <c r="AJ1828" s="91" t="n">
        <v>55000</v>
      </c>
      <c r="AK1828" s="89" t="n">
        <v>55000</v>
      </c>
      <c r="AL1828" s="90" t="n">
        <v>55000</v>
      </c>
      <c r="AM1828" s="90"/>
      <c r="AN1828" s="90"/>
      <c r="AO1828" s="90"/>
      <c r="AP1828" s="90"/>
      <c r="AQ1828" s="90"/>
      <c r="AR1828" s="90"/>
      <c r="AS1828" s="90"/>
      <c r="AT1828" s="90"/>
      <c r="AU1828" s="90"/>
      <c r="AV1828" s="91"/>
      <c r="AX1828" s="92"/>
    </row>
    <row r="1829" customFormat="false" ht="15.65" hidden="false" customHeight="false" outlineLevel="0" collapsed="false">
      <c r="C1829" s="72" t="n">
        <f aca="false">COUNTIFS($D$6:D1829,"&lt;&gt;"&amp;"")</f>
        <v>1824</v>
      </c>
      <c r="D1829" s="73" t="s">
        <v>12</v>
      </c>
      <c r="E1829" s="76" t="str">
        <f aca="false">
IF($D1829="정상",INDEX(임대자산!$D$3:$R$3000,MATCH($F1829,임대자산!$I$3:$I$3000,0),MATCH(E$3,임대자산!$D$3:$R$3,0)),
IF($D1829="폐업",INDEX(폐업정보!$D$3:$R$3000,MATCH($F1829,폐업정보!$I$3:$I$3000,0),MATCH(E$3,폐업정보!$D$3:$R$3,0)),
"Error"))</f>
        <v>강원</v>
      </c>
      <c r="F182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B1824</v>
      </c>
      <c r="G1829" s="76" t="str">
        <f aca="false">F1829&amp;RANDBETWEEN(0,10)</f>
        <v>B18245</v>
      </c>
      <c r="H1829" s="75" t="n">
        <f aca="false">
IF($D1829="정상",INDEX(임대자산!$D$3:$R$3000,MATCH($F1829,임대자산!$I$3:$I$3000,0),MATCH(H$4,임대자산!$D$3:$R$3,0)),
IF($D1829="폐업",INDEX(폐업정보!$D$3:$R$3000,MATCH($F1829,폐업정보!$I$3:$I$3000,0),MATCH(H$4,폐업정보!$D$3:$R$3,0)),
"Error"))</f>
        <v>45910</v>
      </c>
      <c r="I1829" s="75" t="str">
        <f aca="false">
IF($D1829="정상",INDEX(임대자산!$D$3:$R$3000,MATCH($F1829,임대자산!$I$3:$I$3000,0),MATCH(I$4,임대자산!$D$3:$R$3,0)),
IF($D1829="폐업",INDEX(폐업정보!$D$3:$R$3000,MATCH($F1829,폐업정보!$I$3:$I$3000,0),MATCH(I$4,폐업정보!$D$3:$R$3,0)),
"Error"))</f>
        <v>A1824</v>
      </c>
      <c r="J1829" s="75" t="str">
        <f aca="false">
IF($D1829="정상",INDEX(임대자산!$D$3:$R$3000,MATCH($F1829,임대자산!$I$3:$I$3000,0),MATCH(J$4,임대자산!$D$3:$R$3,0)),
IF($D1829="폐업",INDEX(폐업정보!$D$3:$R$3000,MATCH($F1829,폐업정보!$I$3:$I$3000,0),MATCH(J$4,폐업정보!$D$3:$R$3,0)),
"Error"))</f>
        <v>3352900000</v>
      </c>
      <c r="K1829" s="75" t="str">
        <f aca="false">
IF($D1829="정상",INDEX(임대자산!$D$3:$R$3000,MATCH($F1829,임대자산!$I$3:$I$3000,0),MATCH(K$4,임대자산!$D$3:$R$3,0)),
IF($D1829="폐업",INDEX(폐업정보!$D$3:$R$3000,MATCH($F1829,폐업정보!$I$3:$I$3000,0),MATCH(K$4,폐업정보!$D$3:$R$3,0)),
"Error"))</f>
        <v>C1824</v>
      </c>
      <c r="L1829" s="75" t="str">
        <f aca="false">
IF($D1829="정상",INDEX(임대자산!$D$3:$R$3000,MATCH($F1829,임대자산!$I$3:$I$3000,0),MATCH(L$4,임대자산!$D$3:$R$3,0)),
IF($D1829="폐업",INDEX(폐업정보!$D$3:$R$3000,MATCH($F1829,폐업정보!$I$3:$I$3000,0),MATCH(L$4,폐업정보!$D$3:$R$3,0)),
"Error"))</f>
        <v>D1824</v>
      </c>
      <c r="M1829" s="76" t="s">
        <v>96</v>
      </c>
      <c r="N1829" s="77"/>
      <c r="O1829" s="78" t="s">
        <v>97</v>
      </c>
      <c r="P1829" s="79" t="n">
        <f aca="false">COUNTIFS(임대자산!$I:$I,가맹점정보!F1829,임대자산!$N:$N,가맹점정보!P$4)</f>
        <v>0</v>
      </c>
      <c r="Q1829" s="80" t="n">
        <f aca="false">COUNTIFS(임대자산!$I:$I,가맹점정보!F1829,임대자산!$N:$N,가맹점정보!Q$4)</f>
        <v>0</v>
      </c>
      <c r="R1829" s="81" t="n">
        <f aca="false">COUNTIFS(임대자산!$I:$I,가맹점정보!F1829,임대자산!$N:$N,가맹점정보!R$4)</f>
        <v>1</v>
      </c>
      <c r="S1829" s="82" t="n">
        <v>55000</v>
      </c>
      <c r="T1829" s="83" t="n">
        <v>0</v>
      </c>
      <c r="U1829" s="80" t="n">
        <f aca="false">SUM(S1829:T1829)</f>
        <v>55000</v>
      </c>
      <c r="V1829" s="84" t="s">
        <v>12</v>
      </c>
      <c r="W1829" s="80" t="e">
        <f aca="true">
IF(D1829="폐업","폐업",
IF(V1829="면제","면제",
IF(AND(V1829="정상",COUNTIFS(OFFSET(Y1829,0,COUNTA(Y1829:AV1829)-1,1,-4),"미납")&gt;=3),"장기미납",
IF(AND(V1829="정상",OFFSET(Y1829,0,COUNTA(Y1829:AV1829)-1)&gt;=U1829),"정상",
IF(AND(V1829="정상",OFFSET(Y1829,0,COUNTA(Y1829:AV1829)-1)=0),"정상",
"계약서 미작성")))))</f>
        <v>#VALUE!</v>
      </c>
      <c r="X1829" s="81" t="str">
        <f aca="true">
IF(D1829="폐업","폐업",
IF(AND(V1829="정상",OFFSET(Y1829,0,COUNTA(Y1829:AV1829)-1)="미납"),"미납",
IF(AND(V1829="정상",OFFSET(Y1829,0,COUNTA(Y1829:AV1829)-1)=0),"납부 시작 전",
IF(AND(V1829="정상",OFFSET(Y1829,0,COUNTA(Y1829:AV1829)-1)&gt;=U1829),"정상",
IF(AND(V1829="면제",OFFSET(Y1829,0,COUNTA(Y1829:AV1829)-1)="면제"),"면제",
IF(AND(V1829="면제",OFFSET(Y1829,0,COUNTA(Y1829:AV1829)-1)=0),"면제",
"확인요청"))))))</f>
        <v>정상</v>
      </c>
      <c r="Y1829" s="94" t="s">
        <v>62</v>
      </c>
      <c r="Z1829" s="95" t="s">
        <v>62</v>
      </c>
      <c r="AA1829" s="90" t="n">
        <v>55000</v>
      </c>
      <c r="AB1829" s="90" t="n">
        <v>55000</v>
      </c>
      <c r="AC1829" s="90" t="n">
        <v>55000</v>
      </c>
      <c r="AD1829" s="95" t="s">
        <v>62</v>
      </c>
      <c r="AE1829" s="90" t="n">
        <v>55000</v>
      </c>
      <c r="AF1829" s="90" t="n">
        <v>55000</v>
      </c>
      <c r="AG1829" s="90" t="n">
        <v>55000</v>
      </c>
      <c r="AH1829" s="90" t="n">
        <v>55000</v>
      </c>
      <c r="AI1829" s="90" t="n">
        <v>55000</v>
      </c>
      <c r="AJ1829" s="91" t="n">
        <v>55000</v>
      </c>
      <c r="AK1829" s="89" t="n">
        <v>55000</v>
      </c>
      <c r="AL1829" s="90" t="n">
        <v>55000</v>
      </c>
      <c r="AM1829" s="90"/>
      <c r="AN1829" s="90"/>
      <c r="AO1829" s="90"/>
      <c r="AP1829" s="90"/>
      <c r="AQ1829" s="90"/>
      <c r="AR1829" s="90"/>
      <c r="AS1829" s="90"/>
      <c r="AT1829" s="90"/>
      <c r="AU1829" s="90"/>
      <c r="AV1829" s="91"/>
      <c r="AX1829" s="92"/>
    </row>
    <row r="1830" customFormat="false" ht="15.65" hidden="false" customHeight="false" outlineLevel="0" collapsed="false">
      <c r="C1830" s="72" t="n">
        <f aca="false">COUNTIFS($D$6:D1830,"&lt;&gt;"&amp;"")</f>
        <v>1825</v>
      </c>
      <c r="D1830" s="73" t="s">
        <v>12</v>
      </c>
      <c r="E1830" s="76" t="str">
        <f aca="false">
IF($D1830="정상",INDEX(임대자산!$D$3:$R$3000,MATCH($F1830,임대자산!$I$3:$I$3000,0),MATCH(E$3,임대자산!$D$3:$R$3,0)),
IF($D1830="폐업",INDEX(폐업정보!$D$3:$R$3000,MATCH($F1830,폐업정보!$I$3:$I$3000,0),MATCH(E$3,폐업정보!$D$3:$R$3,0)),
"Error"))</f>
        <v>서울</v>
      </c>
      <c r="F183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B1825</v>
      </c>
      <c r="G1830" s="76" t="str">
        <f aca="false">F1830&amp;RANDBETWEEN(0,10)</f>
        <v>B18250</v>
      </c>
      <c r="H1830" s="75" t="n">
        <f aca="false">
IF($D1830="정상",INDEX(임대자산!$D$3:$R$3000,MATCH($F1830,임대자산!$I$3:$I$3000,0),MATCH(H$4,임대자산!$D$3:$R$3,0)),
IF($D1830="폐업",INDEX(폐업정보!$D$3:$R$3000,MATCH($F1830,폐업정보!$I$3:$I$3000,0),MATCH(H$4,폐업정보!$D$3:$R$3,0)),
"Error"))</f>
        <v>45932</v>
      </c>
      <c r="I1830" s="75" t="str">
        <f aca="false">
IF($D1830="정상",INDEX(임대자산!$D$3:$R$3000,MATCH($F1830,임대자산!$I$3:$I$3000,0),MATCH(I$4,임대자산!$D$3:$R$3,0)),
IF($D1830="폐업",INDEX(폐업정보!$D$3:$R$3000,MATCH($F1830,폐업정보!$I$3:$I$3000,0),MATCH(I$4,폐업정보!$D$3:$R$3,0)),
"Error"))</f>
        <v>A1825</v>
      </c>
      <c r="J1830" s="75" t="str">
        <f aca="false">
IF($D1830="정상",INDEX(임대자산!$D$3:$R$3000,MATCH($F1830,임대자산!$I$3:$I$3000,0),MATCH(J$4,임대자산!$D$3:$R$3,0)),
IF($D1830="폐업",INDEX(폐업정보!$D$3:$R$3000,MATCH($F1830,폐업정보!$I$3:$I$3000,0),MATCH(J$4,폐업정보!$D$3:$R$3,0)),
"Error"))</f>
        <v>3714600000</v>
      </c>
      <c r="K1830" s="75" t="str">
        <f aca="false">
IF($D1830="정상",INDEX(임대자산!$D$3:$R$3000,MATCH($F1830,임대자산!$I$3:$I$3000,0),MATCH(K$4,임대자산!$D$3:$R$3,0)),
IF($D1830="폐업",INDEX(폐업정보!$D$3:$R$3000,MATCH($F1830,폐업정보!$I$3:$I$3000,0),MATCH(K$4,폐업정보!$D$3:$R$3,0)),
"Error"))</f>
        <v>C1825</v>
      </c>
      <c r="L1830" s="75" t="str">
        <f aca="false">
IF($D1830="정상",INDEX(임대자산!$D$3:$R$3000,MATCH($F1830,임대자산!$I$3:$I$3000,0),MATCH(L$4,임대자산!$D$3:$R$3,0)),
IF($D1830="폐업",INDEX(폐업정보!$D$3:$R$3000,MATCH($F1830,폐업정보!$I$3:$I$3000,0),MATCH(L$4,폐업정보!$D$3:$R$3,0)),
"Error"))</f>
        <v>D1825</v>
      </c>
      <c r="M1830" s="76" t="s">
        <v>96</v>
      </c>
      <c r="N1830" s="77"/>
      <c r="O1830" s="78" t="s">
        <v>97</v>
      </c>
      <c r="P1830" s="79" t="n">
        <f aca="false">COUNTIFS(임대자산!$I:$I,가맹점정보!F1830,임대자산!$N:$N,가맹점정보!P$4)</f>
        <v>0</v>
      </c>
      <c r="Q1830" s="80" t="n">
        <f aca="false">COUNTIFS(임대자산!$I:$I,가맹점정보!F1830,임대자산!$N:$N,가맹점정보!Q$4)</f>
        <v>0</v>
      </c>
      <c r="R1830" s="81" t="n">
        <f aca="false">COUNTIFS(임대자산!$I:$I,가맹점정보!F1830,임대자산!$N:$N,가맹점정보!R$4)</f>
        <v>1</v>
      </c>
      <c r="S1830" s="82" t="n">
        <v>55000</v>
      </c>
      <c r="T1830" s="83" t="n">
        <v>0</v>
      </c>
      <c r="U1830" s="80" t="n">
        <f aca="false">SUM(S1830:T1830)</f>
        <v>55000</v>
      </c>
      <c r="V1830" s="84" t="s">
        <v>12</v>
      </c>
      <c r="W1830" s="80" t="e">
        <f aca="true">
IF(D1830="폐업","폐업",
IF(V1830="면제","면제",
IF(AND(V1830="정상",COUNTIFS(OFFSET(Y1830,0,COUNTA(Y1830:AV1830)-1,1,-4),"미납")&gt;=3),"장기미납",
IF(AND(V1830="정상",OFFSET(Y1830,0,COUNTA(Y1830:AV1830)-1)&gt;=U1830),"정상",
IF(AND(V1830="정상",OFFSET(Y1830,0,COUNTA(Y1830:AV1830)-1)=0),"정상",
"계약서 미작성")))))</f>
        <v>#VALUE!</v>
      </c>
      <c r="X1830" s="81" t="str">
        <f aca="true">
IF(D1830="폐업","폐업",
IF(AND(V1830="정상",OFFSET(Y1830,0,COUNTA(Y1830:AV1830)-1)="미납"),"미납",
IF(AND(V1830="정상",OFFSET(Y1830,0,COUNTA(Y1830:AV1830)-1)=0),"납부 시작 전",
IF(AND(V1830="정상",OFFSET(Y1830,0,COUNTA(Y1830:AV1830)-1)&gt;=U1830),"정상",
IF(AND(V1830="면제",OFFSET(Y1830,0,COUNTA(Y1830:AV1830)-1)="면제"),"면제",
IF(AND(V1830="면제",OFFSET(Y1830,0,COUNTA(Y1830:AV1830)-1)=0),"면제",
"확인요청"))))))</f>
        <v>정상</v>
      </c>
      <c r="Y1830" s="94" t="s">
        <v>62</v>
      </c>
      <c r="Z1830" s="95" t="s">
        <v>62</v>
      </c>
      <c r="AA1830" s="90" t="n">
        <v>55000</v>
      </c>
      <c r="AB1830" s="90" t="n">
        <v>55000</v>
      </c>
      <c r="AC1830" s="90" t="n">
        <v>55000</v>
      </c>
      <c r="AD1830" s="90" t="n">
        <v>55000</v>
      </c>
      <c r="AE1830" s="90" t="n">
        <v>55000</v>
      </c>
      <c r="AF1830" s="90" t="n">
        <v>55000</v>
      </c>
      <c r="AG1830" s="90" t="n">
        <v>55000</v>
      </c>
      <c r="AH1830" s="90" t="n">
        <v>55000</v>
      </c>
      <c r="AI1830" s="90" t="n">
        <v>55000</v>
      </c>
      <c r="AJ1830" s="91" t="n">
        <v>55000</v>
      </c>
      <c r="AK1830" s="89" t="n">
        <v>55000</v>
      </c>
      <c r="AL1830" s="90" t="n">
        <v>55000</v>
      </c>
      <c r="AM1830" s="90"/>
      <c r="AN1830" s="90"/>
      <c r="AO1830" s="90"/>
      <c r="AP1830" s="90"/>
      <c r="AQ1830" s="90"/>
      <c r="AR1830" s="90"/>
      <c r="AS1830" s="90"/>
      <c r="AT1830" s="90"/>
      <c r="AU1830" s="90"/>
      <c r="AV1830" s="91"/>
      <c r="AX1830" s="92"/>
    </row>
    <row r="1831" customFormat="false" ht="15.65" hidden="false" customHeight="false" outlineLevel="0" collapsed="false">
      <c r="C1831" s="72" t="n">
        <f aca="false">COUNTIFS($D$6:D1831,"&lt;&gt;"&amp;"")</f>
        <v>1826</v>
      </c>
      <c r="D1831" s="73" t="s">
        <v>12</v>
      </c>
      <c r="E1831" s="76" t="str">
        <f aca="false">
IF($D1831="정상",INDEX(임대자산!$D$3:$R$3000,MATCH($F1831,임대자산!$I$3:$I$3000,0),MATCH(E$3,임대자산!$D$3:$R$3,0)),
IF($D1831="폐업",INDEX(폐업정보!$D$3:$R$3000,MATCH($F1831,폐업정보!$I$3:$I$3000,0),MATCH(E$3,폐업정보!$D$3:$R$3,0)),
"Error"))</f>
        <v>서울</v>
      </c>
      <c r="F183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B1826</v>
      </c>
      <c r="G1831" s="76" t="str">
        <f aca="false">F1831&amp;RANDBETWEEN(0,10)</f>
        <v>B18263</v>
      </c>
      <c r="H1831" s="75" t="n">
        <f aca="false">
IF($D1831="정상",INDEX(임대자산!$D$3:$R$3000,MATCH($F1831,임대자산!$I$3:$I$3000,0),MATCH(H$4,임대자산!$D$3:$R$3,0)),
IF($D1831="폐업",INDEX(폐업정보!$D$3:$R$3000,MATCH($F1831,폐업정보!$I$3:$I$3000,0),MATCH(H$4,폐업정보!$D$3:$R$3,0)),
"Error"))</f>
        <v>45912</v>
      </c>
      <c r="I1831" s="75" t="str">
        <f aca="false">
IF($D1831="정상",INDEX(임대자산!$D$3:$R$3000,MATCH($F1831,임대자산!$I$3:$I$3000,0),MATCH(I$4,임대자산!$D$3:$R$3,0)),
IF($D1831="폐업",INDEX(폐업정보!$D$3:$R$3000,MATCH($F1831,폐업정보!$I$3:$I$3000,0),MATCH(I$4,폐업정보!$D$3:$R$3,0)),
"Error"))</f>
        <v>A1826</v>
      </c>
      <c r="J1831" s="75" t="str">
        <f aca="false">
IF($D1831="정상",INDEX(임대자산!$D$3:$R$3000,MATCH($F1831,임대자산!$I$3:$I$3000,0),MATCH(J$4,임대자산!$D$3:$R$3,0)),
IF($D1831="폐업",INDEX(폐업정보!$D$3:$R$3000,MATCH($F1831,폐업정보!$I$3:$I$3000,0),MATCH(J$4,폐업정보!$D$3:$R$3,0)),
"Error"))</f>
        <v>4669600000</v>
      </c>
      <c r="K1831" s="75" t="str">
        <f aca="false">
IF($D1831="정상",INDEX(임대자산!$D$3:$R$3000,MATCH($F1831,임대자산!$I$3:$I$3000,0),MATCH(K$4,임대자산!$D$3:$R$3,0)),
IF($D1831="폐업",INDEX(폐업정보!$D$3:$R$3000,MATCH($F1831,폐업정보!$I$3:$I$3000,0),MATCH(K$4,폐업정보!$D$3:$R$3,0)),
"Error"))</f>
        <v>C1826</v>
      </c>
      <c r="L1831" s="75" t="str">
        <f aca="false">
IF($D1831="정상",INDEX(임대자산!$D$3:$R$3000,MATCH($F1831,임대자산!$I$3:$I$3000,0),MATCH(L$4,임대자산!$D$3:$R$3,0)),
IF($D1831="폐업",INDEX(폐업정보!$D$3:$R$3000,MATCH($F1831,폐업정보!$I$3:$I$3000,0),MATCH(L$4,폐업정보!$D$3:$R$3,0)),
"Error"))</f>
        <v>D1826</v>
      </c>
      <c r="M1831" s="76" t="s">
        <v>96</v>
      </c>
      <c r="N1831" s="77"/>
      <c r="O1831" s="78" t="s">
        <v>97</v>
      </c>
      <c r="P1831" s="79" t="n">
        <f aca="false">COUNTIFS(임대자산!$I:$I,가맹점정보!F1831,임대자산!$N:$N,가맹점정보!P$4)</f>
        <v>0</v>
      </c>
      <c r="Q1831" s="80" t="n">
        <f aca="false">COUNTIFS(임대자산!$I:$I,가맹점정보!F1831,임대자산!$N:$N,가맹점정보!Q$4)</f>
        <v>0</v>
      </c>
      <c r="R1831" s="81" t="n">
        <f aca="false">COUNTIFS(임대자산!$I:$I,가맹점정보!F1831,임대자산!$N:$N,가맹점정보!R$4)</f>
        <v>1</v>
      </c>
      <c r="S1831" s="82" t="n">
        <v>55000</v>
      </c>
      <c r="T1831" s="83" t="n">
        <v>0</v>
      </c>
      <c r="U1831" s="80" t="n">
        <f aca="false">SUM(S1831:T1831)</f>
        <v>55000</v>
      </c>
      <c r="V1831" s="84" t="s">
        <v>12</v>
      </c>
      <c r="W1831" s="80" t="e">
        <f aca="true">
IF(D1831="폐업","폐업",
IF(V1831="면제","면제",
IF(AND(V1831="정상",COUNTIFS(OFFSET(Y1831,0,COUNTA(Y1831:AV1831)-1,1,-4),"미납")&gt;=3),"장기미납",
IF(AND(V1831="정상",OFFSET(Y1831,0,COUNTA(Y1831:AV1831)-1)&gt;=U1831),"정상",
IF(AND(V1831="정상",OFFSET(Y1831,0,COUNTA(Y1831:AV1831)-1)=0),"정상",
"계약서 미작성")))))</f>
        <v>#VALUE!</v>
      </c>
      <c r="X1831" s="81" t="str">
        <f aca="true">
IF(D1831="폐업","폐업",
IF(AND(V1831="정상",OFFSET(Y1831,0,COUNTA(Y1831:AV1831)-1)="미납"),"미납",
IF(AND(V1831="정상",OFFSET(Y1831,0,COUNTA(Y1831:AV1831)-1)=0),"납부 시작 전",
IF(AND(V1831="정상",OFFSET(Y1831,0,COUNTA(Y1831:AV1831)-1)&gt;=U1831),"정상",
IF(AND(V1831="면제",OFFSET(Y1831,0,COUNTA(Y1831:AV1831)-1)="면제"),"면제",
IF(AND(V1831="면제",OFFSET(Y1831,0,COUNTA(Y1831:AV1831)-1)=0),"면제",
"확인요청"))))))</f>
        <v>미납</v>
      </c>
      <c r="Y1831" s="93" t="n">
        <v>55000</v>
      </c>
      <c r="Z1831" s="90" t="s">
        <v>106</v>
      </c>
      <c r="AA1831" s="90" t="n">
        <v>110000</v>
      </c>
      <c r="AB1831" s="90" t="n">
        <v>55000</v>
      </c>
      <c r="AC1831" s="90" t="n">
        <v>55000</v>
      </c>
      <c r="AD1831" s="90" t="n">
        <v>55000</v>
      </c>
      <c r="AE1831" s="90" t="n">
        <v>55000</v>
      </c>
      <c r="AF1831" s="90" t="s">
        <v>105</v>
      </c>
      <c r="AG1831" s="90" t="n">
        <v>110000</v>
      </c>
      <c r="AH1831" s="90" t="n">
        <v>55000</v>
      </c>
      <c r="AI1831" s="90" t="s">
        <v>107</v>
      </c>
      <c r="AJ1831" s="91" t="n">
        <v>110000</v>
      </c>
      <c r="AK1831" s="89" t="n">
        <v>55000</v>
      </c>
      <c r="AL1831" s="95" t="s">
        <v>62</v>
      </c>
      <c r="AM1831" s="90"/>
      <c r="AN1831" s="90"/>
      <c r="AO1831" s="90"/>
      <c r="AP1831" s="90"/>
      <c r="AQ1831" s="90"/>
      <c r="AR1831" s="90"/>
      <c r="AS1831" s="90"/>
      <c r="AT1831" s="90"/>
      <c r="AU1831" s="90"/>
      <c r="AV1831" s="91"/>
      <c r="AX1831" s="92"/>
    </row>
    <row r="1832" customFormat="false" ht="15.65" hidden="false" customHeight="false" outlineLevel="0" collapsed="false">
      <c r="C1832" s="72" t="n">
        <f aca="false">COUNTIFS($D$6:D1832,"&lt;&gt;"&amp;"")</f>
        <v>1827</v>
      </c>
      <c r="D1832" s="73" t="s">
        <v>12</v>
      </c>
      <c r="E1832" s="76" t="str">
        <f aca="false">
IF($D1832="정상",INDEX(임대자산!$D$3:$R$3000,MATCH($F1832,임대자산!$I$3:$I$3000,0),MATCH(E$3,임대자산!$D$3:$R$3,0)),
IF($D1832="폐업",INDEX(폐업정보!$D$3:$R$3000,MATCH($F1832,폐업정보!$I$3:$I$3000,0),MATCH(E$3,폐업정보!$D$3:$R$3,0)),
"Error"))</f>
        <v>서울</v>
      </c>
      <c r="F183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B1827</v>
      </c>
      <c r="G1832" s="76" t="str">
        <f aca="false">F1832&amp;RANDBETWEEN(0,10)</f>
        <v>B18279</v>
      </c>
      <c r="H1832" s="75" t="n">
        <f aca="false">
IF($D1832="정상",INDEX(임대자산!$D$3:$R$3000,MATCH($F1832,임대자산!$I$3:$I$3000,0),MATCH(H$4,임대자산!$D$3:$R$3,0)),
IF($D1832="폐업",INDEX(폐업정보!$D$3:$R$3000,MATCH($F1832,폐업정보!$I$3:$I$3000,0),MATCH(H$4,폐업정보!$D$3:$R$3,0)),
"Error"))</f>
        <v>45918</v>
      </c>
      <c r="I1832" s="75" t="str">
        <f aca="false">
IF($D1832="정상",INDEX(임대자산!$D$3:$R$3000,MATCH($F1832,임대자산!$I$3:$I$3000,0),MATCH(I$4,임대자산!$D$3:$R$3,0)),
IF($D1832="폐업",INDEX(폐업정보!$D$3:$R$3000,MATCH($F1832,폐업정보!$I$3:$I$3000,0),MATCH(I$4,폐업정보!$D$3:$R$3,0)),
"Error"))</f>
        <v>A1827</v>
      </c>
      <c r="J1832" s="75" t="str">
        <f aca="false">
IF($D1832="정상",INDEX(임대자산!$D$3:$R$3000,MATCH($F1832,임대자산!$I$3:$I$3000,0),MATCH(J$4,임대자산!$D$3:$R$3,0)),
IF($D1832="폐업",INDEX(폐업정보!$D$3:$R$3000,MATCH($F1832,폐업정보!$I$3:$I$3000,0),MATCH(J$4,폐업정보!$D$3:$R$3,0)),
"Error"))</f>
        <v>4104600000</v>
      </c>
      <c r="K1832" s="75" t="str">
        <f aca="false">
IF($D1832="정상",INDEX(임대자산!$D$3:$R$3000,MATCH($F1832,임대자산!$I$3:$I$3000,0),MATCH(K$4,임대자산!$D$3:$R$3,0)),
IF($D1832="폐업",INDEX(폐업정보!$D$3:$R$3000,MATCH($F1832,폐업정보!$I$3:$I$3000,0),MATCH(K$4,폐업정보!$D$3:$R$3,0)),
"Error"))</f>
        <v>C1827</v>
      </c>
      <c r="L1832" s="75" t="str">
        <f aca="false">
IF($D1832="정상",INDEX(임대자산!$D$3:$R$3000,MATCH($F1832,임대자산!$I$3:$I$3000,0),MATCH(L$4,임대자산!$D$3:$R$3,0)),
IF($D1832="폐업",INDEX(폐업정보!$D$3:$R$3000,MATCH($F1832,폐업정보!$I$3:$I$3000,0),MATCH(L$4,폐업정보!$D$3:$R$3,0)),
"Error"))</f>
        <v>D1827</v>
      </c>
      <c r="M1832" s="76" t="s">
        <v>96</v>
      </c>
      <c r="N1832" s="77"/>
      <c r="O1832" s="78" t="s">
        <v>97</v>
      </c>
      <c r="P1832" s="79" t="n">
        <f aca="false">COUNTIFS(임대자산!$I:$I,가맹점정보!F1832,임대자산!$N:$N,가맹점정보!P$4)</f>
        <v>0</v>
      </c>
      <c r="Q1832" s="80" t="n">
        <f aca="false">COUNTIFS(임대자산!$I:$I,가맹점정보!F1832,임대자산!$N:$N,가맹점정보!Q$4)</f>
        <v>0</v>
      </c>
      <c r="R1832" s="81" t="n">
        <f aca="false">COUNTIFS(임대자산!$I:$I,가맹점정보!F1832,임대자산!$N:$N,가맹점정보!R$4)</f>
        <v>1</v>
      </c>
      <c r="S1832" s="82" t="n">
        <v>55000</v>
      </c>
      <c r="T1832" s="83" t="n">
        <v>0</v>
      </c>
      <c r="U1832" s="80" t="n">
        <f aca="false">SUM(S1832:T1832)</f>
        <v>55000</v>
      </c>
      <c r="V1832" s="84" t="s">
        <v>12</v>
      </c>
      <c r="W1832" s="80" t="e">
        <f aca="true">
IF(D1832="폐업","폐업",
IF(V1832="면제","면제",
IF(AND(V1832="정상",COUNTIFS(OFFSET(Y1832,0,COUNTA(Y1832:AV1832)-1,1,-4),"미납")&gt;=3),"장기미납",
IF(AND(V1832="정상",OFFSET(Y1832,0,COUNTA(Y1832:AV1832)-1)&gt;=U1832),"정상",
IF(AND(V1832="정상",OFFSET(Y1832,0,COUNTA(Y1832:AV1832)-1)=0),"정상",
"계약서 미작성")))))</f>
        <v>#VALUE!</v>
      </c>
      <c r="X1832" s="81" t="str">
        <f aca="true">
IF(D1832="폐업","폐업",
IF(AND(V1832="정상",OFFSET(Y1832,0,COUNTA(Y1832:AV1832)-1)="미납"),"미납",
IF(AND(V1832="정상",OFFSET(Y1832,0,COUNTA(Y1832:AV1832)-1)=0),"납부 시작 전",
IF(AND(V1832="정상",OFFSET(Y1832,0,COUNTA(Y1832:AV1832)-1)&gt;=U1832),"정상",
IF(AND(V1832="면제",OFFSET(Y1832,0,COUNTA(Y1832:AV1832)-1)="면제"),"면제",
IF(AND(V1832="면제",OFFSET(Y1832,0,COUNTA(Y1832:AV1832)-1)=0),"면제",
"확인요청"))))))</f>
        <v>미납</v>
      </c>
      <c r="Y1832" s="93" t="n">
        <v>55000</v>
      </c>
      <c r="Z1832" s="90" t="s">
        <v>106</v>
      </c>
      <c r="AA1832" s="90" t="n">
        <v>110000</v>
      </c>
      <c r="AB1832" s="90" t="n">
        <v>55000</v>
      </c>
      <c r="AC1832" s="90" t="n">
        <v>55000</v>
      </c>
      <c r="AD1832" s="90" t="n">
        <v>55000</v>
      </c>
      <c r="AE1832" s="90" t="n">
        <v>55000</v>
      </c>
      <c r="AF1832" s="90" t="s">
        <v>105</v>
      </c>
      <c r="AG1832" s="90" t="n">
        <v>110000</v>
      </c>
      <c r="AH1832" s="90" t="n">
        <v>55000</v>
      </c>
      <c r="AI1832" s="90" t="s">
        <v>107</v>
      </c>
      <c r="AJ1832" s="91" t="n">
        <v>110000</v>
      </c>
      <c r="AK1832" s="89" t="n">
        <v>55000</v>
      </c>
      <c r="AL1832" s="95" t="s">
        <v>62</v>
      </c>
      <c r="AM1832" s="90"/>
      <c r="AN1832" s="90"/>
      <c r="AO1832" s="90"/>
      <c r="AP1832" s="90"/>
      <c r="AQ1832" s="90"/>
      <c r="AR1832" s="90"/>
      <c r="AS1832" s="90"/>
      <c r="AT1832" s="90"/>
      <c r="AU1832" s="90"/>
      <c r="AV1832" s="91"/>
      <c r="AX1832" s="92"/>
    </row>
    <row r="1833" customFormat="false" ht="15.65" hidden="false" customHeight="false" outlineLevel="0" collapsed="false">
      <c r="C1833" s="72" t="n">
        <f aca="false">COUNTIFS($D$6:D1833,"&lt;&gt;"&amp;"")</f>
        <v>1828</v>
      </c>
      <c r="D1833" s="73" t="s">
        <v>12</v>
      </c>
      <c r="E1833" s="76" t="str">
        <f aca="false">
IF($D1833="정상",INDEX(임대자산!$D$3:$R$3000,MATCH($F1833,임대자산!$I$3:$I$3000,0),MATCH(E$3,임대자산!$D$3:$R$3,0)),
IF($D1833="폐업",INDEX(폐업정보!$D$3:$R$3000,MATCH($F1833,폐업정보!$I$3:$I$3000,0),MATCH(E$3,폐업정보!$D$3:$R$3,0)),
"Error"))</f>
        <v>서울</v>
      </c>
      <c r="F183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B1828</v>
      </c>
      <c r="G1833" s="76" t="str">
        <f aca="false">F1833&amp;RANDBETWEEN(0,10)</f>
        <v>B18286</v>
      </c>
      <c r="H1833" s="75" t="n">
        <f aca="false">
IF($D1833="정상",INDEX(임대자산!$D$3:$R$3000,MATCH($F1833,임대자산!$I$3:$I$3000,0),MATCH(H$4,임대자산!$D$3:$R$3,0)),
IF($D1833="폐업",INDEX(폐업정보!$D$3:$R$3000,MATCH($F1833,폐업정보!$I$3:$I$3000,0),MATCH(H$4,폐업정보!$D$3:$R$3,0)),
"Error"))</f>
        <v>46017</v>
      </c>
      <c r="I1833" s="75" t="str">
        <f aca="false">
IF($D1833="정상",INDEX(임대자산!$D$3:$R$3000,MATCH($F1833,임대자산!$I$3:$I$3000,0),MATCH(I$4,임대자산!$D$3:$R$3,0)),
IF($D1833="폐업",INDEX(폐업정보!$D$3:$R$3000,MATCH($F1833,폐업정보!$I$3:$I$3000,0),MATCH(I$4,폐업정보!$D$3:$R$3,0)),
"Error"))</f>
        <v>A1828</v>
      </c>
      <c r="J1833" s="75" t="str">
        <f aca="false">
IF($D1833="정상",INDEX(임대자산!$D$3:$R$3000,MATCH($F1833,임대자산!$I$3:$I$3000,0),MATCH(J$4,임대자산!$D$3:$R$3,0)),
IF($D1833="폐업",INDEX(폐업정보!$D$3:$R$3000,MATCH($F1833,폐업정보!$I$3:$I$3000,0),MATCH(J$4,폐업정보!$D$3:$R$3,0)),
"Error"))</f>
        <v>5541200000</v>
      </c>
      <c r="K1833" s="75" t="str">
        <f aca="false">
IF($D1833="정상",INDEX(임대자산!$D$3:$R$3000,MATCH($F1833,임대자산!$I$3:$I$3000,0),MATCH(K$4,임대자산!$D$3:$R$3,0)),
IF($D1833="폐업",INDEX(폐업정보!$D$3:$R$3000,MATCH($F1833,폐업정보!$I$3:$I$3000,0),MATCH(K$4,폐업정보!$D$3:$R$3,0)),
"Error"))</f>
        <v>C1828</v>
      </c>
      <c r="L1833" s="75" t="str">
        <f aca="false">
IF($D1833="정상",INDEX(임대자산!$D$3:$R$3000,MATCH($F1833,임대자산!$I$3:$I$3000,0),MATCH(L$4,임대자산!$D$3:$R$3,0)),
IF($D1833="폐업",INDEX(폐업정보!$D$3:$R$3000,MATCH($F1833,폐업정보!$I$3:$I$3000,0),MATCH(L$4,폐업정보!$D$3:$R$3,0)),
"Error"))</f>
        <v>D1828</v>
      </c>
      <c r="M1833" s="76" t="s">
        <v>96</v>
      </c>
      <c r="N1833" s="77"/>
      <c r="O1833" s="78" t="s">
        <v>97</v>
      </c>
      <c r="P1833" s="79" t="n">
        <f aca="false">COUNTIFS(임대자산!$I:$I,가맹점정보!F1833,임대자산!$N:$N,가맹점정보!P$4)</f>
        <v>0</v>
      </c>
      <c r="Q1833" s="80" t="n">
        <f aca="false">COUNTIFS(임대자산!$I:$I,가맹점정보!F1833,임대자산!$N:$N,가맹점정보!Q$4)</f>
        <v>0</v>
      </c>
      <c r="R1833" s="81" t="n">
        <f aca="false">COUNTIFS(임대자산!$I:$I,가맹점정보!F1833,임대자산!$N:$N,가맹점정보!R$4)</f>
        <v>1</v>
      </c>
      <c r="S1833" s="82" t="n">
        <v>55000</v>
      </c>
      <c r="T1833" s="83" t="n">
        <v>0</v>
      </c>
      <c r="U1833" s="80" t="n">
        <f aca="false">SUM(S1833:T1833)</f>
        <v>55000</v>
      </c>
      <c r="V1833" s="84" t="s">
        <v>12</v>
      </c>
      <c r="W1833" s="80" t="e">
        <f aca="true">
IF(D1833="폐업","폐업",
IF(V1833="면제","면제",
IF(AND(V1833="정상",COUNTIFS(OFFSET(Y1833,0,COUNTA(Y1833:AV1833)-1,1,-4),"미납")&gt;=3),"장기미납",
IF(AND(V1833="정상",OFFSET(Y1833,0,COUNTA(Y1833:AV1833)-1)&gt;=U1833),"정상",
IF(AND(V1833="정상",OFFSET(Y1833,0,COUNTA(Y1833:AV1833)-1)=0),"정상",
"계약서 미작성")))))</f>
        <v>#VALUE!</v>
      </c>
      <c r="X1833" s="81" t="str">
        <f aca="true">
IF(D1833="폐업","폐업",
IF(AND(V1833="정상",OFFSET(Y1833,0,COUNTA(Y1833:AV1833)-1)="미납"),"미납",
IF(AND(V1833="정상",OFFSET(Y1833,0,COUNTA(Y1833:AV1833)-1)=0),"납부 시작 전",
IF(AND(V1833="정상",OFFSET(Y1833,0,COUNTA(Y1833:AV1833)-1)&gt;=U1833),"정상",
IF(AND(V1833="면제",OFFSET(Y1833,0,COUNTA(Y1833:AV1833)-1)="면제"),"면제",
IF(AND(V1833="면제",OFFSET(Y1833,0,COUNTA(Y1833:AV1833)-1)=0),"면제",
"확인요청"))))))</f>
        <v>정상</v>
      </c>
      <c r="Y1833" s="94" t="s">
        <v>62</v>
      </c>
      <c r="Z1833" s="95" t="s">
        <v>62</v>
      </c>
      <c r="AA1833" s="90" t="n">
        <v>55000</v>
      </c>
      <c r="AB1833" s="90" t="n">
        <v>55000</v>
      </c>
      <c r="AC1833" s="90" t="n">
        <v>55000</v>
      </c>
      <c r="AD1833" s="90" t="n">
        <v>55000</v>
      </c>
      <c r="AE1833" s="90" t="n">
        <v>55000</v>
      </c>
      <c r="AF1833" s="90" t="n">
        <v>55000</v>
      </c>
      <c r="AG1833" s="90" t="n">
        <v>55000</v>
      </c>
      <c r="AH1833" s="90" t="n">
        <v>55000</v>
      </c>
      <c r="AI1833" s="90" t="n">
        <v>55000</v>
      </c>
      <c r="AJ1833" s="91" t="n">
        <v>55000</v>
      </c>
      <c r="AK1833" s="89" t="n">
        <v>55000</v>
      </c>
      <c r="AL1833" s="90" t="n">
        <v>55000</v>
      </c>
      <c r="AM1833" s="90"/>
      <c r="AN1833" s="90"/>
      <c r="AO1833" s="90"/>
      <c r="AP1833" s="90"/>
      <c r="AQ1833" s="90"/>
      <c r="AR1833" s="90"/>
      <c r="AS1833" s="90"/>
      <c r="AT1833" s="90"/>
      <c r="AU1833" s="90"/>
      <c r="AV1833" s="91"/>
      <c r="AX1833" s="92"/>
    </row>
    <row r="1834" customFormat="false" ht="15.65" hidden="false" customHeight="false" outlineLevel="0" collapsed="false">
      <c r="C1834" s="72" t="n">
        <f aca="false">COUNTIFS($D$6:D1834,"&lt;&gt;"&amp;"")</f>
        <v>1829</v>
      </c>
      <c r="D1834" s="73" t="s">
        <v>12</v>
      </c>
      <c r="E1834" s="76" t="str">
        <f aca="false">
IF($D1834="정상",INDEX(임대자산!$D$3:$R$3000,MATCH($F1834,임대자산!$I$3:$I$3000,0),MATCH(E$3,임대자산!$D$3:$R$3,0)),
IF($D1834="폐업",INDEX(폐업정보!$D$3:$R$3000,MATCH($F1834,폐업정보!$I$3:$I$3000,0),MATCH(E$3,폐업정보!$D$3:$R$3,0)),
"Error"))</f>
        <v>서울</v>
      </c>
      <c r="F183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B1829</v>
      </c>
      <c r="G1834" s="76" t="str">
        <f aca="false">F1834&amp;RANDBETWEEN(0,10)</f>
        <v>B18291</v>
      </c>
      <c r="H1834" s="75" t="n">
        <f aca="false">
IF($D1834="정상",INDEX(임대자산!$D$3:$R$3000,MATCH($F1834,임대자산!$I$3:$I$3000,0),MATCH(H$4,임대자산!$D$3:$R$3,0)),
IF($D1834="폐업",INDEX(폐업정보!$D$3:$R$3000,MATCH($F1834,폐업정보!$I$3:$I$3000,0),MATCH(H$4,폐업정보!$D$3:$R$3,0)),
"Error"))</f>
        <v>46017</v>
      </c>
      <c r="I1834" s="75" t="str">
        <f aca="false">
IF($D1834="정상",INDEX(임대자산!$D$3:$R$3000,MATCH($F1834,임대자산!$I$3:$I$3000,0),MATCH(I$4,임대자산!$D$3:$R$3,0)),
IF($D1834="폐업",INDEX(폐업정보!$D$3:$R$3000,MATCH($F1834,폐업정보!$I$3:$I$3000,0),MATCH(I$4,폐업정보!$D$3:$R$3,0)),
"Error"))</f>
        <v>A1829</v>
      </c>
      <c r="J1834" s="75" t="str">
        <f aca="false">
IF($D1834="정상",INDEX(임대자산!$D$3:$R$3000,MATCH($F1834,임대자산!$I$3:$I$3000,0),MATCH(J$4,임대자산!$D$3:$R$3,0)),
IF($D1834="폐업",INDEX(폐업정보!$D$3:$R$3000,MATCH($F1834,폐업정보!$I$3:$I$3000,0),MATCH(J$4,폐업정보!$D$3:$R$3,0)),
"Error"))</f>
        <v>4705300000</v>
      </c>
      <c r="K1834" s="75" t="str">
        <f aca="false">
IF($D1834="정상",INDEX(임대자산!$D$3:$R$3000,MATCH($F1834,임대자산!$I$3:$I$3000,0),MATCH(K$4,임대자산!$D$3:$R$3,0)),
IF($D1834="폐업",INDEX(폐업정보!$D$3:$R$3000,MATCH($F1834,폐업정보!$I$3:$I$3000,0),MATCH(K$4,폐업정보!$D$3:$R$3,0)),
"Error"))</f>
        <v>C1829</v>
      </c>
      <c r="L1834" s="75" t="str">
        <f aca="false">
IF($D1834="정상",INDEX(임대자산!$D$3:$R$3000,MATCH($F1834,임대자산!$I$3:$I$3000,0),MATCH(L$4,임대자산!$D$3:$R$3,0)),
IF($D1834="폐업",INDEX(폐업정보!$D$3:$R$3000,MATCH($F1834,폐업정보!$I$3:$I$3000,0),MATCH(L$4,폐업정보!$D$3:$R$3,0)),
"Error"))</f>
        <v>D1829</v>
      </c>
      <c r="M1834" s="76" t="s">
        <v>96</v>
      </c>
      <c r="N1834" s="77"/>
      <c r="O1834" s="78" t="s">
        <v>97</v>
      </c>
      <c r="P1834" s="79" t="n">
        <f aca="false">COUNTIFS(임대자산!$I:$I,가맹점정보!F1834,임대자산!$N:$N,가맹점정보!P$4)</f>
        <v>0</v>
      </c>
      <c r="Q1834" s="80" t="n">
        <f aca="false">COUNTIFS(임대자산!$I:$I,가맹점정보!F1834,임대자산!$N:$N,가맹점정보!Q$4)</f>
        <v>0</v>
      </c>
      <c r="R1834" s="81" t="n">
        <f aca="false">COUNTIFS(임대자산!$I:$I,가맹점정보!F1834,임대자산!$N:$N,가맹점정보!R$4)</f>
        <v>1</v>
      </c>
      <c r="S1834" s="82" t="n">
        <v>55000</v>
      </c>
      <c r="T1834" s="83" t="n">
        <v>0</v>
      </c>
      <c r="U1834" s="80" t="n">
        <f aca="false">SUM(S1834:T1834)</f>
        <v>55000</v>
      </c>
      <c r="V1834" s="84" t="s">
        <v>12</v>
      </c>
      <c r="W1834" s="80" t="e">
        <f aca="true">
IF(D1834="폐업","폐업",
IF(V1834="면제","면제",
IF(AND(V1834="정상",COUNTIFS(OFFSET(Y1834,0,COUNTA(Y1834:AV1834)-1,1,-4),"미납")&gt;=3),"장기미납",
IF(AND(V1834="정상",OFFSET(Y1834,0,COUNTA(Y1834:AV1834)-1)&gt;=U1834),"정상",
IF(AND(V1834="정상",OFFSET(Y1834,0,COUNTA(Y1834:AV1834)-1)=0),"정상",
"계약서 미작성")))))</f>
        <v>#VALUE!</v>
      </c>
      <c r="X1834" s="81" t="str">
        <f aca="true">
IF(D1834="폐업","폐업",
IF(AND(V1834="정상",OFFSET(Y1834,0,COUNTA(Y1834:AV1834)-1)="미납"),"미납",
IF(AND(V1834="정상",OFFSET(Y1834,0,COUNTA(Y1834:AV1834)-1)=0),"납부 시작 전",
IF(AND(V1834="정상",OFFSET(Y1834,0,COUNTA(Y1834:AV1834)-1)&gt;=U1834),"정상",
IF(AND(V1834="면제",OFFSET(Y1834,0,COUNTA(Y1834:AV1834)-1)="면제"),"면제",
IF(AND(V1834="면제",OFFSET(Y1834,0,COUNTA(Y1834:AV1834)-1)=0),"면제",
"확인요청"))))))</f>
        <v>정상</v>
      </c>
      <c r="Y1834" s="93" t="s">
        <v>106</v>
      </c>
      <c r="Z1834" s="95" t="s">
        <v>62</v>
      </c>
      <c r="AA1834" s="90" t="n">
        <v>110000</v>
      </c>
      <c r="AB1834" s="90" t="n">
        <v>55000</v>
      </c>
      <c r="AC1834" s="95" t="s">
        <v>62</v>
      </c>
      <c r="AD1834" s="95" t="s">
        <v>62</v>
      </c>
      <c r="AE1834" s="90" t="n">
        <v>55000</v>
      </c>
      <c r="AF1834" s="90" t="n">
        <v>55000</v>
      </c>
      <c r="AG1834" s="90" t="n">
        <v>55000</v>
      </c>
      <c r="AH1834" s="90" t="n">
        <v>55000</v>
      </c>
      <c r="AI1834" s="90" t="n">
        <v>55000</v>
      </c>
      <c r="AJ1834" s="96" t="s">
        <v>62</v>
      </c>
      <c r="AK1834" s="89" t="n">
        <v>55000</v>
      </c>
      <c r="AL1834" s="90" t="n">
        <v>55000</v>
      </c>
      <c r="AM1834" s="90"/>
      <c r="AN1834" s="90"/>
      <c r="AO1834" s="90"/>
      <c r="AP1834" s="90"/>
      <c r="AQ1834" s="90"/>
      <c r="AR1834" s="90"/>
      <c r="AS1834" s="90"/>
      <c r="AT1834" s="90"/>
      <c r="AU1834" s="90"/>
      <c r="AV1834" s="91"/>
      <c r="AX1834" s="92"/>
    </row>
    <row r="1835" customFormat="false" ht="15.65" hidden="false" customHeight="false" outlineLevel="0" collapsed="false">
      <c r="C1835" s="72" t="n">
        <f aca="false">COUNTIFS($D$6:D1835,"&lt;&gt;"&amp;"")</f>
        <v>1830</v>
      </c>
      <c r="D1835" s="73" t="s">
        <v>12</v>
      </c>
      <c r="E1835" s="76" t="str">
        <f aca="false">
IF($D1835="정상",INDEX(임대자산!$D$3:$R$3000,MATCH($F1835,임대자산!$I$3:$I$3000,0),MATCH(E$3,임대자산!$D$3:$R$3,0)),
IF($D1835="폐업",INDEX(폐업정보!$D$3:$R$3000,MATCH($F1835,폐업정보!$I$3:$I$3000,0),MATCH(E$3,폐업정보!$D$3:$R$3,0)),
"Error"))</f>
        <v>강원</v>
      </c>
      <c r="F183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B1830</v>
      </c>
      <c r="G1835" s="76" t="str">
        <f aca="false">F1835&amp;RANDBETWEEN(0,10)</f>
        <v>B18300</v>
      </c>
      <c r="H1835" s="75" t="n">
        <f aca="false">
IF($D1835="정상",INDEX(임대자산!$D$3:$R$3000,MATCH($F1835,임대자산!$I$3:$I$3000,0),MATCH(H$4,임대자산!$D$3:$R$3,0)),
IF($D1835="폐업",INDEX(폐업정보!$D$3:$R$3000,MATCH($F1835,폐업정보!$I$3:$I$3000,0),MATCH(H$4,폐업정보!$D$3:$R$3,0)),
"Error"))</f>
        <v>45916</v>
      </c>
      <c r="I1835" s="75" t="str">
        <f aca="false">
IF($D1835="정상",INDEX(임대자산!$D$3:$R$3000,MATCH($F1835,임대자산!$I$3:$I$3000,0),MATCH(I$4,임대자산!$D$3:$R$3,0)),
IF($D1835="폐업",INDEX(폐업정보!$D$3:$R$3000,MATCH($F1835,폐업정보!$I$3:$I$3000,0),MATCH(I$4,폐업정보!$D$3:$R$3,0)),
"Error"))</f>
        <v>A1830</v>
      </c>
      <c r="J1835" s="75" t="str">
        <f aca="false">
IF($D1835="정상",INDEX(임대자산!$D$3:$R$3000,MATCH($F1835,임대자산!$I$3:$I$3000,0),MATCH(J$4,임대자산!$D$3:$R$3,0)),
IF($D1835="폐업",INDEX(폐업정보!$D$3:$R$3000,MATCH($F1835,폐업정보!$I$3:$I$3000,0),MATCH(J$4,폐업정보!$D$3:$R$3,0)),
"Error"))</f>
        <v>4022300000</v>
      </c>
      <c r="K1835" s="75" t="str">
        <f aca="false">
IF($D1835="정상",INDEX(임대자산!$D$3:$R$3000,MATCH($F1835,임대자산!$I$3:$I$3000,0),MATCH(K$4,임대자산!$D$3:$R$3,0)),
IF($D1835="폐업",INDEX(폐업정보!$D$3:$R$3000,MATCH($F1835,폐업정보!$I$3:$I$3000,0),MATCH(K$4,폐업정보!$D$3:$R$3,0)),
"Error"))</f>
        <v>C1830</v>
      </c>
      <c r="L1835" s="75" t="str">
        <f aca="false">
IF($D1835="정상",INDEX(임대자산!$D$3:$R$3000,MATCH($F1835,임대자산!$I$3:$I$3000,0),MATCH(L$4,임대자산!$D$3:$R$3,0)),
IF($D1835="폐업",INDEX(폐업정보!$D$3:$R$3000,MATCH($F1835,폐업정보!$I$3:$I$3000,0),MATCH(L$4,폐업정보!$D$3:$R$3,0)),
"Error"))</f>
        <v>D1830</v>
      </c>
      <c r="M1835" s="76" t="s">
        <v>96</v>
      </c>
      <c r="N1835" s="77"/>
      <c r="O1835" s="78" t="s">
        <v>97</v>
      </c>
      <c r="P1835" s="79" t="n">
        <f aca="false">COUNTIFS(임대자산!$I:$I,가맹점정보!F1835,임대자산!$N:$N,가맹점정보!P$4)</f>
        <v>0</v>
      </c>
      <c r="Q1835" s="80" t="n">
        <f aca="false">COUNTIFS(임대자산!$I:$I,가맹점정보!F1835,임대자산!$N:$N,가맹점정보!Q$4)</f>
        <v>0</v>
      </c>
      <c r="R1835" s="81" t="n">
        <f aca="false">COUNTIFS(임대자산!$I:$I,가맹점정보!F1835,임대자산!$N:$N,가맹점정보!R$4)</f>
        <v>1</v>
      </c>
      <c r="S1835" s="82" t="n">
        <v>55000</v>
      </c>
      <c r="T1835" s="83" t="n">
        <v>0</v>
      </c>
      <c r="U1835" s="80" t="n">
        <f aca="false">SUM(S1835:T1835)</f>
        <v>55000</v>
      </c>
      <c r="V1835" s="84" t="s">
        <v>12</v>
      </c>
      <c r="W1835" s="80" t="e">
        <f aca="true">
IF(D1835="폐업","폐업",
IF(V1835="면제","면제",
IF(AND(V1835="정상",COUNTIFS(OFFSET(Y1835,0,COUNTA(Y1835:AV1835)-1,1,-4),"미납")&gt;=3),"장기미납",
IF(AND(V1835="정상",OFFSET(Y1835,0,COUNTA(Y1835:AV1835)-1)&gt;=U1835),"정상",
IF(AND(V1835="정상",OFFSET(Y1835,0,COUNTA(Y1835:AV1835)-1)=0),"정상",
"계약서 미작성")))))</f>
        <v>#VALUE!</v>
      </c>
      <c r="X1835" s="81" t="str">
        <f aca="true">
IF(D1835="폐업","폐업",
IF(AND(V1835="정상",OFFSET(Y1835,0,COUNTA(Y1835:AV1835)-1)="미납"),"미납",
IF(AND(V1835="정상",OFFSET(Y1835,0,COUNTA(Y1835:AV1835)-1)=0),"납부 시작 전",
IF(AND(V1835="정상",OFFSET(Y1835,0,COUNTA(Y1835:AV1835)-1)&gt;=U1835),"정상",
IF(AND(V1835="면제",OFFSET(Y1835,0,COUNTA(Y1835:AV1835)-1)="면제"),"면제",
IF(AND(V1835="면제",OFFSET(Y1835,0,COUNTA(Y1835:AV1835)-1)=0),"면제",
"확인요청"))))))</f>
        <v>정상</v>
      </c>
      <c r="Y1835" s="94" t="s">
        <v>62</v>
      </c>
      <c r="Z1835" s="95" t="s">
        <v>62</v>
      </c>
      <c r="AA1835" s="90" t="n">
        <v>55000</v>
      </c>
      <c r="AB1835" s="90" t="n">
        <v>55000</v>
      </c>
      <c r="AC1835" s="90" t="n">
        <v>55000</v>
      </c>
      <c r="AD1835" s="90" t="n">
        <v>55000</v>
      </c>
      <c r="AE1835" s="90" t="n">
        <v>55000</v>
      </c>
      <c r="AF1835" s="90" t="n">
        <v>55000</v>
      </c>
      <c r="AG1835" s="90" t="n">
        <v>55000</v>
      </c>
      <c r="AH1835" s="90" t="n">
        <v>55000</v>
      </c>
      <c r="AI1835" s="90" t="n">
        <v>55000</v>
      </c>
      <c r="AJ1835" s="91" t="n">
        <v>55000</v>
      </c>
      <c r="AK1835" s="89" t="n">
        <v>55000</v>
      </c>
      <c r="AL1835" s="90" t="n">
        <v>55000</v>
      </c>
      <c r="AM1835" s="90"/>
      <c r="AN1835" s="90"/>
      <c r="AO1835" s="90"/>
      <c r="AP1835" s="90"/>
      <c r="AQ1835" s="90"/>
      <c r="AR1835" s="90"/>
      <c r="AS1835" s="90"/>
      <c r="AT1835" s="90"/>
      <c r="AU1835" s="90"/>
      <c r="AV1835" s="91"/>
      <c r="AX1835" s="92"/>
    </row>
    <row r="1836" customFormat="false" ht="15.65" hidden="false" customHeight="false" outlineLevel="0" collapsed="false">
      <c r="C1836" s="72" t="n">
        <f aca="false">COUNTIFS($D$6:D1836,"&lt;&gt;"&amp;"")</f>
        <v>1831</v>
      </c>
      <c r="D1836" s="73" t="s">
        <v>12</v>
      </c>
      <c r="E1836" s="76" t="str">
        <f aca="false">
IF($D1836="정상",INDEX(임대자산!$D$3:$R$3000,MATCH($F1836,임대자산!$I$3:$I$3000,0),MATCH(E$3,임대자산!$D$3:$R$3,0)),
IF($D1836="폐업",INDEX(폐업정보!$D$3:$R$3000,MATCH($F1836,폐업정보!$I$3:$I$3000,0),MATCH(E$3,폐업정보!$D$3:$R$3,0)),
"Error"))</f>
        <v>강원</v>
      </c>
      <c r="F183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B1831</v>
      </c>
      <c r="G1836" s="76" t="str">
        <f aca="false">F1836&amp;RANDBETWEEN(0,10)</f>
        <v>B18311</v>
      </c>
      <c r="H1836" s="75" t="n">
        <f aca="false">
IF($D1836="정상",INDEX(임대자산!$D$3:$R$3000,MATCH($F1836,임대자산!$I$3:$I$3000,0),MATCH(H$4,임대자산!$D$3:$R$3,0)),
IF($D1836="폐업",INDEX(폐업정보!$D$3:$R$3000,MATCH($F1836,폐업정보!$I$3:$I$3000,0),MATCH(H$4,폐업정보!$D$3:$R$3,0)),
"Error"))</f>
        <v>45916</v>
      </c>
      <c r="I1836" s="75" t="str">
        <f aca="false">
IF($D1836="정상",INDEX(임대자산!$D$3:$R$3000,MATCH($F1836,임대자산!$I$3:$I$3000,0),MATCH(I$4,임대자산!$D$3:$R$3,0)),
IF($D1836="폐업",INDEX(폐업정보!$D$3:$R$3000,MATCH($F1836,폐업정보!$I$3:$I$3000,0),MATCH(I$4,폐업정보!$D$3:$R$3,0)),
"Error"))</f>
        <v>A1831</v>
      </c>
      <c r="J1836" s="75" t="str">
        <f aca="false">
IF($D1836="정상",INDEX(임대자산!$D$3:$R$3000,MATCH($F1836,임대자산!$I$3:$I$3000,0),MATCH(J$4,임대자산!$D$3:$R$3,0)),
IF($D1836="폐업",INDEX(폐업정보!$D$3:$R$3000,MATCH($F1836,폐업정보!$I$3:$I$3000,0),MATCH(J$4,폐업정보!$D$3:$R$3,0)),
"Error"))</f>
        <v>7433600000</v>
      </c>
      <c r="K1836" s="75" t="str">
        <f aca="false">
IF($D1836="정상",INDEX(임대자산!$D$3:$R$3000,MATCH($F1836,임대자산!$I$3:$I$3000,0),MATCH(K$4,임대자산!$D$3:$R$3,0)),
IF($D1836="폐업",INDEX(폐업정보!$D$3:$R$3000,MATCH($F1836,폐업정보!$I$3:$I$3000,0),MATCH(K$4,폐업정보!$D$3:$R$3,0)),
"Error"))</f>
        <v>C1831</v>
      </c>
      <c r="L1836" s="75" t="str">
        <f aca="false">
IF($D1836="정상",INDEX(임대자산!$D$3:$R$3000,MATCH($F1836,임대자산!$I$3:$I$3000,0),MATCH(L$4,임대자산!$D$3:$R$3,0)),
IF($D1836="폐업",INDEX(폐업정보!$D$3:$R$3000,MATCH($F1836,폐업정보!$I$3:$I$3000,0),MATCH(L$4,폐업정보!$D$3:$R$3,0)),
"Error"))</f>
        <v>D1831</v>
      </c>
      <c r="M1836" s="76" t="s">
        <v>96</v>
      </c>
      <c r="N1836" s="77"/>
      <c r="O1836" s="78" t="s">
        <v>97</v>
      </c>
      <c r="P1836" s="79" t="n">
        <f aca="false">COUNTIFS(임대자산!$I:$I,가맹점정보!F1836,임대자산!$N:$N,가맹점정보!P$4)</f>
        <v>0</v>
      </c>
      <c r="Q1836" s="80" t="n">
        <f aca="false">COUNTIFS(임대자산!$I:$I,가맹점정보!F1836,임대자산!$N:$N,가맹점정보!Q$4)</f>
        <v>0</v>
      </c>
      <c r="R1836" s="81" t="n">
        <f aca="false">COUNTIFS(임대자산!$I:$I,가맹점정보!F1836,임대자산!$N:$N,가맹점정보!R$4)</f>
        <v>1</v>
      </c>
      <c r="S1836" s="82" t="n">
        <v>55000</v>
      </c>
      <c r="T1836" s="83" t="n">
        <v>0</v>
      </c>
      <c r="U1836" s="80" t="n">
        <f aca="false">SUM(S1836:T1836)</f>
        <v>55000</v>
      </c>
      <c r="V1836" s="84" t="s">
        <v>12</v>
      </c>
      <c r="W1836" s="80" t="e">
        <f aca="true">
IF(D1836="폐업","폐업",
IF(V1836="면제","면제",
IF(AND(V1836="정상",COUNTIFS(OFFSET(Y1836,0,COUNTA(Y1836:AV1836)-1,1,-4),"미납")&gt;=3),"장기미납",
IF(AND(V1836="정상",OFFSET(Y1836,0,COUNTA(Y1836:AV1836)-1)&gt;=U1836),"정상",
IF(AND(V1836="정상",OFFSET(Y1836,0,COUNTA(Y1836:AV1836)-1)=0),"정상",
"계약서 미작성")))))</f>
        <v>#VALUE!</v>
      </c>
      <c r="X1836" s="81" t="str">
        <f aca="true">
IF(D1836="폐업","폐업",
IF(AND(V1836="정상",OFFSET(Y1836,0,COUNTA(Y1836:AV1836)-1)="미납"),"미납",
IF(AND(V1836="정상",OFFSET(Y1836,0,COUNTA(Y1836:AV1836)-1)=0),"납부 시작 전",
IF(AND(V1836="정상",OFFSET(Y1836,0,COUNTA(Y1836:AV1836)-1)&gt;=U1836),"정상",
IF(AND(V1836="면제",OFFSET(Y1836,0,COUNTA(Y1836:AV1836)-1)="면제"),"면제",
IF(AND(V1836="면제",OFFSET(Y1836,0,COUNTA(Y1836:AV1836)-1)=0),"면제",
"확인요청"))))))</f>
        <v>정상</v>
      </c>
      <c r="Y1836" s="94" t="s">
        <v>62</v>
      </c>
      <c r="Z1836" s="95" t="s">
        <v>62</v>
      </c>
      <c r="AA1836" s="90" t="n">
        <v>55000</v>
      </c>
      <c r="AB1836" s="90" t="n">
        <v>55000</v>
      </c>
      <c r="AC1836" s="90" t="n">
        <v>55000</v>
      </c>
      <c r="AD1836" s="90" t="n">
        <v>55000</v>
      </c>
      <c r="AE1836" s="90" t="n">
        <v>55000</v>
      </c>
      <c r="AF1836" s="90" t="n">
        <v>55000</v>
      </c>
      <c r="AG1836" s="90" t="n">
        <v>55000</v>
      </c>
      <c r="AH1836" s="90" t="n">
        <v>55000</v>
      </c>
      <c r="AI1836" s="90" t="n">
        <v>55000</v>
      </c>
      <c r="AJ1836" s="91" t="n">
        <v>55000</v>
      </c>
      <c r="AK1836" s="89" t="n">
        <v>55000</v>
      </c>
      <c r="AL1836" s="90" t="n">
        <v>55000</v>
      </c>
      <c r="AM1836" s="90"/>
      <c r="AN1836" s="90"/>
      <c r="AO1836" s="90"/>
      <c r="AP1836" s="90"/>
      <c r="AQ1836" s="90"/>
      <c r="AR1836" s="90"/>
      <c r="AS1836" s="90"/>
      <c r="AT1836" s="90"/>
      <c r="AU1836" s="90"/>
      <c r="AV1836" s="91"/>
      <c r="AX1836" s="92"/>
    </row>
    <row r="1837" customFormat="false" ht="15.65" hidden="false" customHeight="false" outlineLevel="0" collapsed="false">
      <c r="C1837" s="72" t="n">
        <f aca="false">COUNTIFS($D$6:D1837,"&lt;&gt;"&amp;"")</f>
        <v>1832</v>
      </c>
      <c r="D1837" s="73" t="s">
        <v>12</v>
      </c>
      <c r="E1837" s="76" t="str">
        <f aca="false">
IF($D1837="정상",INDEX(임대자산!$D$3:$R$3000,MATCH($F1837,임대자산!$I$3:$I$3000,0),MATCH(E$3,임대자산!$D$3:$R$3,0)),
IF($D1837="폐업",INDEX(폐업정보!$D$3:$R$3000,MATCH($F1837,폐업정보!$I$3:$I$3000,0),MATCH(E$3,폐업정보!$D$3:$R$3,0)),
"Error"))</f>
        <v>경기</v>
      </c>
      <c r="F183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B1832</v>
      </c>
      <c r="G1837" s="76" t="str">
        <f aca="false">F1837&amp;RANDBETWEEN(0,10)</f>
        <v>B183210</v>
      </c>
      <c r="H1837" s="75" t="n">
        <f aca="false">
IF($D1837="정상",INDEX(임대자산!$D$3:$R$3000,MATCH($F1837,임대자산!$I$3:$I$3000,0),MATCH(H$4,임대자산!$D$3:$R$3,0)),
IF($D1837="폐업",INDEX(폐업정보!$D$3:$R$3000,MATCH($F1837,폐업정보!$I$3:$I$3000,0),MATCH(H$4,폐업정보!$D$3:$R$3,0)),
"Error"))</f>
        <v>45924</v>
      </c>
      <c r="I1837" s="75" t="str">
        <f aca="false">
IF($D1837="정상",INDEX(임대자산!$D$3:$R$3000,MATCH($F1837,임대자산!$I$3:$I$3000,0),MATCH(I$4,임대자산!$D$3:$R$3,0)),
IF($D1837="폐업",INDEX(폐업정보!$D$3:$R$3000,MATCH($F1837,폐업정보!$I$3:$I$3000,0),MATCH(I$4,폐업정보!$D$3:$R$3,0)),
"Error"))</f>
        <v>A1832</v>
      </c>
      <c r="J1837" s="75" t="str">
        <f aca="false">
IF($D1837="정상",INDEX(임대자산!$D$3:$R$3000,MATCH($F1837,임대자산!$I$3:$I$3000,0),MATCH(J$4,임대자산!$D$3:$R$3,0)),
IF($D1837="폐업",INDEX(폐업정보!$D$3:$R$3000,MATCH($F1837,폐업정보!$I$3:$I$3000,0),MATCH(J$4,폐업정보!$D$3:$R$3,0)),
"Error"))</f>
        <v>6938200000</v>
      </c>
      <c r="K1837" s="75" t="str">
        <f aca="false">
IF($D1837="정상",INDEX(임대자산!$D$3:$R$3000,MATCH($F1837,임대자산!$I$3:$I$3000,0),MATCH(K$4,임대자산!$D$3:$R$3,0)),
IF($D1837="폐업",INDEX(폐업정보!$D$3:$R$3000,MATCH($F1837,폐업정보!$I$3:$I$3000,0),MATCH(K$4,폐업정보!$D$3:$R$3,0)),
"Error"))</f>
        <v>C1832</v>
      </c>
      <c r="L1837" s="75" t="str">
        <f aca="false">
IF($D1837="정상",INDEX(임대자산!$D$3:$R$3000,MATCH($F1837,임대자산!$I$3:$I$3000,0),MATCH(L$4,임대자산!$D$3:$R$3,0)),
IF($D1837="폐업",INDEX(폐업정보!$D$3:$R$3000,MATCH($F1837,폐업정보!$I$3:$I$3000,0),MATCH(L$4,폐업정보!$D$3:$R$3,0)),
"Error"))</f>
        <v>D1832</v>
      </c>
      <c r="M1837" s="76" t="s">
        <v>96</v>
      </c>
      <c r="N1837" s="77"/>
      <c r="O1837" s="78" t="s">
        <v>97</v>
      </c>
      <c r="P1837" s="79" t="n">
        <f aca="false">COUNTIFS(임대자산!$I:$I,가맹점정보!F1837,임대자산!$N:$N,가맹점정보!P$4)</f>
        <v>0</v>
      </c>
      <c r="Q1837" s="80" t="n">
        <f aca="false">COUNTIFS(임대자산!$I:$I,가맹점정보!F1837,임대자산!$N:$N,가맹점정보!Q$4)</f>
        <v>0</v>
      </c>
      <c r="R1837" s="81" t="n">
        <f aca="false">COUNTIFS(임대자산!$I:$I,가맹점정보!F1837,임대자산!$N:$N,가맹점정보!R$4)</f>
        <v>1</v>
      </c>
      <c r="S1837" s="82" t="n">
        <v>55000</v>
      </c>
      <c r="T1837" s="83" t="n">
        <v>0</v>
      </c>
      <c r="U1837" s="80" t="n">
        <f aca="false">SUM(S1837:T1837)</f>
        <v>55000</v>
      </c>
      <c r="V1837" s="84" t="s">
        <v>12</v>
      </c>
      <c r="W1837" s="80" t="e">
        <f aca="true">
IF(D1837="폐업","폐업",
IF(V1837="면제","면제",
IF(AND(V1837="정상",COUNTIFS(OFFSET(Y1837,0,COUNTA(Y1837:AV1837)-1,1,-4),"미납")&gt;=3),"장기미납",
IF(AND(V1837="정상",OFFSET(Y1837,0,COUNTA(Y1837:AV1837)-1)&gt;=U1837),"정상",
IF(AND(V1837="정상",OFFSET(Y1837,0,COUNTA(Y1837:AV1837)-1)=0),"정상",
"계약서 미작성")))))</f>
        <v>#VALUE!</v>
      </c>
      <c r="X1837" s="81" t="str">
        <f aca="true">
IF(D1837="폐업","폐업",
IF(AND(V1837="정상",OFFSET(Y1837,0,COUNTA(Y1837:AV1837)-1)="미납"),"미납",
IF(AND(V1837="정상",OFFSET(Y1837,0,COUNTA(Y1837:AV1837)-1)=0),"납부 시작 전",
IF(AND(V1837="정상",OFFSET(Y1837,0,COUNTA(Y1837:AV1837)-1)&gt;=U1837),"정상",
IF(AND(V1837="면제",OFFSET(Y1837,0,COUNTA(Y1837:AV1837)-1)="면제"),"면제",
IF(AND(V1837="면제",OFFSET(Y1837,0,COUNTA(Y1837:AV1837)-1)=0),"면제",
"확인요청"))))))</f>
        <v>미납</v>
      </c>
      <c r="Y1837" s="93" t="n">
        <v>0</v>
      </c>
      <c r="Z1837" s="90" t="s">
        <v>106</v>
      </c>
      <c r="AA1837" s="90" t="n">
        <v>110000</v>
      </c>
      <c r="AB1837" s="90" t="n">
        <v>55000</v>
      </c>
      <c r="AC1837" s="90" t="n">
        <v>55000</v>
      </c>
      <c r="AD1837" s="90" t="n">
        <v>55000</v>
      </c>
      <c r="AE1837" s="90" t="n">
        <v>55000</v>
      </c>
      <c r="AF1837" s="90" t="s">
        <v>105</v>
      </c>
      <c r="AG1837" s="90" t="n">
        <v>110000</v>
      </c>
      <c r="AH1837" s="90" t="n">
        <v>55000</v>
      </c>
      <c r="AI1837" s="90" t="s">
        <v>107</v>
      </c>
      <c r="AJ1837" s="91" t="n">
        <v>110000</v>
      </c>
      <c r="AK1837" s="89" t="n">
        <v>55000</v>
      </c>
      <c r="AL1837" s="95" t="s">
        <v>62</v>
      </c>
      <c r="AM1837" s="90"/>
      <c r="AN1837" s="90"/>
      <c r="AO1837" s="90"/>
      <c r="AP1837" s="90"/>
      <c r="AQ1837" s="90"/>
      <c r="AR1837" s="90"/>
      <c r="AS1837" s="90"/>
      <c r="AT1837" s="90"/>
      <c r="AU1837" s="90"/>
      <c r="AV1837" s="91"/>
      <c r="AX1837" s="92"/>
    </row>
    <row r="1838" customFormat="false" ht="15.65" hidden="false" customHeight="false" outlineLevel="0" collapsed="false">
      <c r="C1838" s="72" t="n">
        <f aca="false">COUNTIFS($D$6:D1838,"&lt;&gt;"&amp;"")</f>
        <v>1833</v>
      </c>
      <c r="D1838" s="73" t="s">
        <v>12</v>
      </c>
      <c r="E1838" s="76" t="str">
        <f aca="false">
IF($D1838="정상",INDEX(임대자산!$D$3:$R$3000,MATCH($F1838,임대자산!$I$3:$I$3000,0),MATCH(E$3,임대자산!$D$3:$R$3,0)),
IF($D1838="폐업",INDEX(폐업정보!$D$3:$R$3000,MATCH($F1838,폐업정보!$I$3:$I$3000,0),MATCH(E$3,폐업정보!$D$3:$R$3,0)),
"Error"))</f>
        <v>경기</v>
      </c>
      <c r="F183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B1833</v>
      </c>
      <c r="G1838" s="76" t="str">
        <f aca="false">F1838&amp;RANDBETWEEN(0,10)</f>
        <v>B18332</v>
      </c>
      <c r="H1838" s="75" t="n">
        <f aca="false">
IF($D1838="정상",INDEX(임대자산!$D$3:$R$3000,MATCH($F1838,임대자산!$I$3:$I$3000,0),MATCH(H$4,임대자산!$D$3:$R$3,0)),
IF($D1838="폐업",INDEX(폐업정보!$D$3:$R$3000,MATCH($F1838,폐업정보!$I$3:$I$3000,0),MATCH(H$4,폐업정보!$D$3:$R$3,0)),
"Error"))</f>
        <v>45924</v>
      </c>
      <c r="I1838" s="75" t="str">
        <f aca="false">
IF($D1838="정상",INDEX(임대자산!$D$3:$R$3000,MATCH($F1838,임대자산!$I$3:$I$3000,0),MATCH(I$4,임대자산!$D$3:$R$3,0)),
IF($D1838="폐업",INDEX(폐업정보!$D$3:$R$3000,MATCH($F1838,폐업정보!$I$3:$I$3000,0),MATCH(I$4,폐업정보!$D$3:$R$3,0)),
"Error"))</f>
        <v>A1833</v>
      </c>
      <c r="J1838" s="75" t="str">
        <f aca="false">
IF($D1838="정상",INDEX(임대자산!$D$3:$R$3000,MATCH($F1838,임대자산!$I$3:$I$3000,0),MATCH(J$4,임대자산!$D$3:$R$3,0)),
IF($D1838="폐업",INDEX(폐업정보!$D$3:$R$3000,MATCH($F1838,폐업정보!$I$3:$I$3000,0),MATCH(J$4,폐업정보!$D$3:$R$3,0)),
"Error"))</f>
        <v>9730400000</v>
      </c>
      <c r="K1838" s="75" t="str">
        <f aca="false">
IF($D1838="정상",INDEX(임대자산!$D$3:$R$3000,MATCH($F1838,임대자산!$I$3:$I$3000,0),MATCH(K$4,임대자산!$D$3:$R$3,0)),
IF($D1838="폐업",INDEX(폐업정보!$D$3:$R$3000,MATCH($F1838,폐업정보!$I$3:$I$3000,0),MATCH(K$4,폐업정보!$D$3:$R$3,0)),
"Error"))</f>
        <v>C1833</v>
      </c>
      <c r="L1838" s="75" t="str">
        <f aca="false">
IF($D1838="정상",INDEX(임대자산!$D$3:$R$3000,MATCH($F1838,임대자산!$I$3:$I$3000,0),MATCH(L$4,임대자산!$D$3:$R$3,0)),
IF($D1838="폐업",INDEX(폐업정보!$D$3:$R$3000,MATCH($F1838,폐업정보!$I$3:$I$3000,0),MATCH(L$4,폐업정보!$D$3:$R$3,0)),
"Error"))</f>
        <v>D1833</v>
      </c>
      <c r="M1838" s="76" t="s">
        <v>96</v>
      </c>
      <c r="N1838" s="77"/>
      <c r="O1838" s="78" t="s">
        <v>97</v>
      </c>
      <c r="P1838" s="79" t="n">
        <f aca="false">COUNTIFS(임대자산!$I:$I,가맹점정보!F1838,임대자산!$N:$N,가맹점정보!P$4)</f>
        <v>0</v>
      </c>
      <c r="Q1838" s="80" t="n">
        <f aca="false">COUNTIFS(임대자산!$I:$I,가맹점정보!F1838,임대자산!$N:$N,가맹점정보!Q$4)</f>
        <v>0</v>
      </c>
      <c r="R1838" s="81" t="n">
        <f aca="false">COUNTIFS(임대자산!$I:$I,가맹점정보!F1838,임대자산!$N:$N,가맹점정보!R$4)</f>
        <v>1</v>
      </c>
      <c r="S1838" s="82" t="n">
        <v>55000</v>
      </c>
      <c r="T1838" s="83" t="n">
        <v>0</v>
      </c>
      <c r="U1838" s="80" t="n">
        <f aca="false">SUM(S1838:T1838)</f>
        <v>55000</v>
      </c>
      <c r="V1838" s="84" t="s">
        <v>12</v>
      </c>
      <c r="W1838" s="80" t="e">
        <f aca="true">
IF(D1838="폐업","폐업",
IF(V1838="면제","면제",
IF(AND(V1838="정상",COUNTIFS(OFFSET(Y1838,0,COUNTA(Y1838:AV1838)-1,1,-4),"미납")&gt;=3),"장기미납",
IF(AND(V1838="정상",OFFSET(Y1838,0,COUNTA(Y1838:AV1838)-1)&gt;=U1838),"정상",
IF(AND(V1838="정상",OFFSET(Y1838,0,COUNTA(Y1838:AV1838)-1)=0),"정상",
"계약서 미작성")))))</f>
        <v>#VALUE!</v>
      </c>
      <c r="X1838" s="81" t="str">
        <f aca="true">
IF(D1838="폐업","폐업",
IF(AND(V1838="정상",OFFSET(Y1838,0,COUNTA(Y1838:AV1838)-1)="미납"),"미납",
IF(AND(V1838="정상",OFFSET(Y1838,0,COUNTA(Y1838:AV1838)-1)=0),"납부 시작 전",
IF(AND(V1838="정상",OFFSET(Y1838,0,COUNTA(Y1838:AV1838)-1)&gt;=U1838),"정상",
IF(AND(V1838="면제",OFFSET(Y1838,0,COUNTA(Y1838:AV1838)-1)="면제"),"면제",
IF(AND(V1838="면제",OFFSET(Y1838,0,COUNTA(Y1838:AV1838)-1)=0),"면제",
"확인요청"))))))</f>
        <v>정상</v>
      </c>
      <c r="Y1838" s="93" t="n">
        <v>55000</v>
      </c>
      <c r="Z1838" s="90" t="s">
        <v>106</v>
      </c>
      <c r="AA1838" s="90" t="n">
        <v>110000</v>
      </c>
      <c r="AB1838" s="90" t="n">
        <v>55000</v>
      </c>
      <c r="AC1838" s="90" t="n">
        <v>55000</v>
      </c>
      <c r="AD1838" s="90" t="n">
        <v>55000</v>
      </c>
      <c r="AE1838" s="90" t="n">
        <v>55000</v>
      </c>
      <c r="AF1838" s="90" t="n">
        <v>55000</v>
      </c>
      <c r="AG1838" s="90" t="n">
        <v>55000</v>
      </c>
      <c r="AH1838" s="90" t="n">
        <v>55000</v>
      </c>
      <c r="AI1838" s="90" t="n">
        <v>55000</v>
      </c>
      <c r="AJ1838" s="91" t="n">
        <v>55000</v>
      </c>
      <c r="AK1838" s="89" t="n">
        <v>55000</v>
      </c>
      <c r="AL1838" s="90" t="n">
        <v>55000</v>
      </c>
      <c r="AM1838" s="90"/>
      <c r="AN1838" s="90"/>
      <c r="AO1838" s="90"/>
      <c r="AP1838" s="90"/>
      <c r="AQ1838" s="90"/>
      <c r="AR1838" s="90"/>
      <c r="AS1838" s="90"/>
      <c r="AT1838" s="90"/>
      <c r="AU1838" s="90"/>
      <c r="AV1838" s="91"/>
      <c r="AX1838" s="92"/>
    </row>
    <row r="1839" customFormat="false" ht="15.65" hidden="false" customHeight="false" outlineLevel="0" collapsed="false">
      <c r="C1839" s="72" t="n">
        <f aca="false">COUNTIFS($D$6:D1839,"&lt;&gt;"&amp;"")</f>
        <v>1834</v>
      </c>
      <c r="D1839" s="73" t="s">
        <v>12</v>
      </c>
      <c r="E1839" s="76" t="str">
        <f aca="false">
IF($D1839="정상",INDEX(임대자산!$D$3:$R$3000,MATCH($F1839,임대자산!$I$3:$I$3000,0),MATCH(E$3,임대자산!$D$3:$R$3,0)),
IF($D1839="폐업",INDEX(폐업정보!$D$3:$R$3000,MATCH($F1839,폐업정보!$I$3:$I$3000,0),MATCH(E$3,폐업정보!$D$3:$R$3,0)),
"Error"))</f>
        <v>전라</v>
      </c>
      <c r="F183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B1834</v>
      </c>
      <c r="G1839" s="76" t="str">
        <f aca="false">F1839&amp;RANDBETWEEN(0,10)</f>
        <v>B18346</v>
      </c>
      <c r="H1839" s="75" t="n">
        <f aca="false">
IF($D1839="정상",INDEX(임대자산!$D$3:$R$3000,MATCH($F1839,임대자산!$I$3:$I$3000,0),MATCH(H$4,임대자산!$D$3:$R$3,0)),
IF($D1839="폐업",INDEX(폐업정보!$D$3:$R$3000,MATCH($F1839,폐업정보!$I$3:$I$3000,0),MATCH(H$4,폐업정보!$D$3:$R$3,0)),
"Error"))</f>
        <v>45919</v>
      </c>
      <c r="I1839" s="75" t="str">
        <f aca="false">
IF($D1839="정상",INDEX(임대자산!$D$3:$R$3000,MATCH($F1839,임대자산!$I$3:$I$3000,0),MATCH(I$4,임대자산!$D$3:$R$3,0)),
IF($D1839="폐업",INDEX(폐업정보!$D$3:$R$3000,MATCH($F1839,폐업정보!$I$3:$I$3000,0),MATCH(I$4,폐업정보!$D$3:$R$3,0)),
"Error"))</f>
        <v>A1834</v>
      </c>
      <c r="J1839" s="75" t="str">
        <f aca="false">
IF($D1839="정상",INDEX(임대자산!$D$3:$R$3000,MATCH($F1839,임대자산!$I$3:$I$3000,0),MATCH(J$4,임대자산!$D$3:$R$3,0)),
IF($D1839="폐업",INDEX(폐업정보!$D$3:$R$3000,MATCH($F1839,폐업정보!$I$3:$I$3000,0),MATCH(J$4,폐업정보!$D$3:$R$3,0)),
"Error"))</f>
        <v>3164500000</v>
      </c>
      <c r="K1839" s="75" t="str">
        <f aca="false">
IF($D1839="정상",INDEX(임대자산!$D$3:$R$3000,MATCH($F1839,임대자산!$I$3:$I$3000,0),MATCH(K$4,임대자산!$D$3:$R$3,0)),
IF($D1839="폐업",INDEX(폐업정보!$D$3:$R$3000,MATCH($F1839,폐업정보!$I$3:$I$3000,0),MATCH(K$4,폐업정보!$D$3:$R$3,0)),
"Error"))</f>
        <v>C1834</v>
      </c>
      <c r="L1839" s="75" t="str">
        <f aca="false">
IF($D1839="정상",INDEX(임대자산!$D$3:$R$3000,MATCH($F1839,임대자산!$I$3:$I$3000,0),MATCH(L$4,임대자산!$D$3:$R$3,0)),
IF($D1839="폐업",INDEX(폐업정보!$D$3:$R$3000,MATCH($F1839,폐업정보!$I$3:$I$3000,0),MATCH(L$4,폐업정보!$D$3:$R$3,0)),
"Error"))</f>
        <v>D1834</v>
      </c>
      <c r="M1839" s="76" t="s">
        <v>96</v>
      </c>
      <c r="N1839" s="77"/>
      <c r="O1839" s="78" t="s">
        <v>97</v>
      </c>
      <c r="P1839" s="79" t="n">
        <f aca="false">COUNTIFS(임대자산!$I:$I,가맹점정보!F1839,임대자산!$N:$N,가맹점정보!P$4)</f>
        <v>0</v>
      </c>
      <c r="Q1839" s="80" t="n">
        <f aca="false">COUNTIFS(임대자산!$I:$I,가맹점정보!F1839,임대자산!$N:$N,가맹점정보!Q$4)</f>
        <v>0</v>
      </c>
      <c r="R1839" s="81" t="n">
        <f aca="false">COUNTIFS(임대자산!$I:$I,가맹점정보!F1839,임대자산!$N:$N,가맹점정보!R$4)</f>
        <v>1</v>
      </c>
      <c r="S1839" s="82" t="n">
        <v>55000</v>
      </c>
      <c r="T1839" s="83" t="n">
        <v>0</v>
      </c>
      <c r="U1839" s="80" t="n">
        <f aca="false">SUM(S1839:T1839)</f>
        <v>55000</v>
      </c>
      <c r="V1839" s="84" t="s">
        <v>12</v>
      </c>
      <c r="W1839" s="80" t="e">
        <f aca="true">
IF(D1839="폐업","폐업",
IF(V1839="면제","면제",
IF(AND(V1839="정상",COUNTIFS(OFFSET(Y1839,0,COUNTA(Y1839:AV1839)-1,1,-4),"미납")&gt;=3),"장기미납",
IF(AND(V1839="정상",OFFSET(Y1839,0,COUNTA(Y1839:AV1839)-1)&gt;=U1839),"정상",
IF(AND(V1839="정상",OFFSET(Y1839,0,COUNTA(Y1839:AV1839)-1)=0),"정상",
"계약서 미작성")))))</f>
        <v>#VALUE!</v>
      </c>
      <c r="X1839" s="81" t="str">
        <f aca="true">
IF(D1839="폐업","폐업",
IF(AND(V1839="정상",OFFSET(Y1839,0,COUNTA(Y1839:AV1839)-1)="미납"),"미납",
IF(AND(V1839="정상",OFFSET(Y1839,0,COUNTA(Y1839:AV1839)-1)=0),"납부 시작 전",
IF(AND(V1839="정상",OFFSET(Y1839,0,COUNTA(Y1839:AV1839)-1)&gt;=U1839),"정상",
IF(AND(V1839="면제",OFFSET(Y1839,0,COUNTA(Y1839:AV1839)-1)="면제"),"면제",
IF(AND(V1839="면제",OFFSET(Y1839,0,COUNTA(Y1839:AV1839)-1)=0),"면제",
"확인요청"))))))</f>
        <v>정상</v>
      </c>
      <c r="Y1839" s="93" t="n">
        <v>0</v>
      </c>
      <c r="Z1839" s="95" t="s">
        <v>62</v>
      </c>
      <c r="AA1839" s="90" t="n">
        <v>55000</v>
      </c>
      <c r="AB1839" s="90" t="n">
        <v>55000</v>
      </c>
      <c r="AC1839" s="90" t="n">
        <v>55000</v>
      </c>
      <c r="AD1839" s="90" t="n">
        <v>55000</v>
      </c>
      <c r="AE1839" s="90" t="n">
        <v>55000</v>
      </c>
      <c r="AF1839" s="90" t="n">
        <v>55000</v>
      </c>
      <c r="AG1839" s="90" t="n">
        <v>55000</v>
      </c>
      <c r="AH1839" s="90" t="n">
        <v>55000</v>
      </c>
      <c r="AI1839" s="90" t="n">
        <v>55000</v>
      </c>
      <c r="AJ1839" s="91" t="n">
        <v>55000</v>
      </c>
      <c r="AK1839" s="89" t="n">
        <v>55000</v>
      </c>
      <c r="AL1839" s="90" t="n">
        <v>55000</v>
      </c>
      <c r="AM1839" s="90"/>
      <c r="AN1839" s="90"/>
      <c r="AO1839" s="90"/>
      <c r="AP1839" s="90"/>
      <c r="AQ1839" s="90"/>
      <c r="AR1839" s="90"/>
      <c r="AS1839" s="90"/>
      <c r="AT1839" s="90"/>
      <c r="AU1839" s="90"/>
      <c r="AV1839" s="91"/>
      <c r="AX1839" s="92"/>
    </row>
    <row r="1840" customFormat="false" ht="15.65" hidden="false" customHeight="false" outlineLevel="0" collapsed="false">
      <c r="C1840" s="72" t="n">
        <f aca="false">COUNTIFS($D$6:D1840,"&lt;&gt;"&amp;"")</f>
        <v>1835</v>
      </c>
      <c r="D1840" s="73" t="s">
        <v>12</v>
      </c>
      <c r="E1840" s="76" t="str">
        <f aca="false">
IF($D1840="정상",INDEX(임대자산!$D$3:$R$3000,MATCH($F1840,임대자산!$I$3:$I$3000,0),MATCH(E$3,임대자산!$D$3:$R$3,0)),
IF($D1840="폐업",INDEX(폐업정보!$D$3:$R$3000,MATCH($F1840,폐업정보!$I$3:$I$3000,0),MATCH(E$3,폐업정보!$D$3:$R$3,0)),
"Error"))</f>
        <v>전라</v>
      </c>
      <c r="F184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B1835</v>
      </c>
      <c r="G1840" s="76" t="str">
        <f aca="false">F1840&amp;RANDBETWEEN(0,10)</f>
        <v>B18352</v>
      </c>
      <c r="H1840" s="75" t="n">
        <f aca="false">
IF($D1840="정상",INDEX(임대자산!$D$3:$R$3000,MATCH($F1840,임대자산!$I$3:$I$3000,0),MATCH(H$4,임대자산!$D$3:$R$3,0)),
IF($D1840="폐업",INDEX(폐업정보!$D$3:$R$3000,MATCH($F1840,폐업정보!$I$3:$I$3000,0),MATCH(H$4,폐업정보!$D$3:$R$3,0)),
"Error"))</f>
        <v>45919</v>
      </c>
      <c r="I1840" s="75" t="str">
        <f aca="false">
IF($D1840="정상",INDEX(임대자산!$D$3:$R$3000,MATCH($F1840,임대자산!$I$3:$I$3000,0),MATCH(I$4,임대자산!$D$3:$R$3,0)),
IF($D1840="폐업",INDEX(폐업정보!$D$3:$R$3000,MATCH($F1840,폐업정보!$I$3:$I$3000,0),MATCH(I$4,폐업정보!$D$3:$R$3,0)),
"Error"))</f>
        <v>A1835</v>
      </c>
      <c r="J1840" s="75" t="str">
        <f aca="false">
IF($D1840="정상",INDEX(임대자산!$D$3:$R$3000,MATCH($F1840,임대자산!$I$3:$I$3000,0),MATCH(J$4,임대자산!$D$3:$R$3,0)),
IF($D1840="폐업",INDEX(폐업정보!$D$3:$R$3000,MATCH($F1840,폐업정보!$I$3:$I$3000,0),MATCH(J$4,폐업정보!$D$3:$R$3,0)),
"Error"))</f>
        <v>2304500000</v>
      </c>
      <c r="K1840" s="75" t="str">
        <f aca="false">
IF($D1840="정상",INDEX(임대자산!$D$3:$R$3000,MATCH($F1840,임대자산!$I$3:$I$3000,0),MATCH(K$4,임대자산!$D$3:$R$3,0)),
IF($D1840="폐업",INDEX(폐업정보!$D$3:$R$3000,MATCH($F1840,폐업정보!$I$3:$I$3000,0),MATCH(K$4,폐업정보!$D$3:$R$3,0)),
"Error"))</f>
        <v>C1835</v>
      </c>
      <c r="L1840" s="75" t="str">
        <f aca="false">
IF($D1840="정상",INDEX(임대자산!$D$3:$R$3000,MATCH($F1840,임대자산!$I$3:$I$3000,0),MATCH(L$4,임대자산!$D$3:$R$3,0)),
IF($D1840="폐업",INDEX(폐업정보!$D$3:$R$3000,MATCH($F1840,폐업정보!$I$3:$I$3000,0),MATCH(L$4,폐업정보!$D$3:$R$3,0)),
"Error"))</f>
        <v>D1835</v>
      </c>
      <c r="M1840" s="76" t="s">
        <v>96</v>
      </c>
      <c r="N1840" s="77"/>
      <c r="O1840" s="78" t="s">
        <v>97</v>
      </c>
      <c r="P1840" s="79" t="n">
        <f aca="false">COUNTIFS(임대자산!$I:$I,가맹점정보!F1840,임대자산!$N:$N,가맹점정보!P$4)</f>
        <v>0</v>
      </c>
      <c r="Q1840" s="80" t="n">
        <f aca="false">COUNTIFS(임대자산!$I:$I,가맹점정보!F1840,임대자산!$N:$N,가맹점정보!Q$4)</f>
        <v>0</v>
      </c>
      <c r="R1840" s="81" t="n">
        <f aca="false">COUNTIFS(임대자산!$I:$I,가맹점정보!F1840,임대자산!$N:$N,가맹점정보!R$4)</f>
        <v>1</v>
      </c>
      <c r="S1840" s="82" t="n">
        <v>55000</v>
      </c>
      <c r="T1840" s="83" t="n">
        <v>0</v>
      </c>
      <c r="U1840" s="80" t="n">
        <f aca="false">SUM(S1840:T1840)</f>
        <v>55000</v>
      </c>
      <c r="V1840" s="84" t="s">
        <v>12</v>
      </c>
      <c r="W1840" s="80" t="e">
        <f aca="true">
IF(D1840="폐업","폐업",
IF(V1840="면제","면제",
IF(AND(V1840="정상",COUNTIFS(OFFSET(Y1840,0,COUNTA(Y1840:AV1840)-1,1,-4),"미납")&gt;=3),"장기미납",
IF(AND(V1840="정상",OFFSET(Y1840,0,COUNTA(Y1840:AV1840)-1)&gt;=U1840),"정상",
IF(AND(V1840="정상",OFFSET(Y1840,0,COUNTA(Y1840:AV1840)-1)=0),"정상",
"계약서 미작성")))))</f>
        <v>#VALUE!</v>
      </c>
      <c r="X1840" s="81" t="str">
        <f aca="true">
IF(D1840="폐업","폐업",
IF(AND(V1840="정상",OFFSET(Y1840,0,COUNTA(Y1840:AV1840)-1)="미납"),"미납",
IF(AND(V1840="정상",OFFSET(Y1840,0,COUNTA(Y1840:AV1840)-1)=0),"납부 시작 전",
IF(AND(V1840="정상",OFFSET(Y1840,0,COUNTA(Y1840:AV1840)-1)&gt;=U1840),"정상",
IF(AND(V1840="면제",OFFSET(Y1840,0,COUNTA(Y1840:AV1840)-1)="면제"),"면제",
IF(AND(V1840="면제",OFFSET(Y1840,0,COUNTA(Y1840:AV1840)-1)=0),"면제",
"확인요청"))))))</f>
        <v>정상</v>
      </c>
      <c r="Y1840" s="93" t="n">
        <v>0</v>
      </c>
      <c r="Z1840" s="95" t="s">
        <v>62</v>
      </c>
      <c r="AA1840" s="90" t="n">
        <v>55000</v>
      </c>
      <c r="AB1840" s="90" t="n">
        <v>55000</v>
      </c>
      <c r="AC1840" s="90" t="n">
        <v>55000</v>
      </c>
      <c r="AD1840" s="90" t="n">
        <v>55000</v>
      </c>
      <c r="AE1840" s="90" t="n">
        <v>55000</v>
      </c>
      <c r="AF1840" s="90" t="n">
        <v>55000</v>
      </c>
      <c r="AG1840" s="90" t="n">
        <v>55000</v>
      </c>
      <c r="AH1840" s="90" t="n">
        <v>55000</v>
      </c>
      <c r="AI1840" s="90" t="n">
        <v>55000</v>
      </c>
      <c r="AJ1840" s="91" t="n">
        <v>55000</v>
      </c>
      <c r="AK1840" s="89" t="n">
        <v>55000</v>
      </c>
      <c r="AL1840" s="90" t="n">
        <v>55000</v>
      </c>
      <c r="AM1840" s="90"/>
      <c r="AN1840" s="90"/>
      <c r="AO1840" s="90"/>
      <c r="AP1840" s="90"/>
      <c r="AQ1840" s="90"/>
      <c r="AR1840" s="90"/>
      <c r="AS1840" s="90"/>
      <c r="AT1840" s="90"/>
      <c r="AU1840" s="90"/>
      <c r="AV1840" s="91"/>
      <c r="AX1840" s="92"/>
    </row>
    <row r="1841" customFormat="false" ht="15.65" hidden="false" customHeight="false" outlineLevel="0" collapsed="false">
      <c r="C1841" s="72" t="n">
        <f aca="false">COUNTIFS($D$6:D1841,"&lt;&gt;"&amp;"")</f>
        <v>1836</v>
      </c>
      <c r="D1841" s="73" t="s">
        <v>12</v>
      </c>
      <c r="E1841" s="76" t="str">
        <f aca="false">
IF($D1841="정상",INDEX(임대자산!$D$3:$R$3000,MATCH($F1841,임대자산!$I$3:$I$3000,0),MATCH(E$3,임대자산!$D$3:$R$3,0)),
IF($D1841="폐업",INDEX(폐업정보!$D$3:$R$3000,MATCH($F1841,폐업정보!$I$3:$I$3000,0),MATCH(E$3,폐업정보!$D$3:$R$3,0)),
"Error"))</f>
        <v>서울</v>
      </c>
      <c r="F184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B1836</v>
      </c>
      <c r="G1841" s="76" t="str">
        <f aca="false">F1841&amp;RANDBETWEEN(0,10)</f>
        <v>B18366</v>
      </c>
      <c r="H1841" s="75" t="n">
        <f aca="false">
IF($D1841="정상",INDEX(임대자산!$D$3:$R$3000,MATCH($F1841,임대자산!$I$3:$I$3000,0),MATCH(H$4,임대자산!$D$3:$R$3,0)),
IF($D1841="폐업",INDEX(폐업정보!$D$3:$R$3000,MATCH($F1841,폐업정보!$I$3:$I$3000,0),MATCH(H$4,폐업정보!$D$3:$R$3,0)),
"Error"))</f>
        <v>45918</v>
      </c>
      <c r="I1841" s="75" t="str">
        <f aca="false">
IF($D1841="정상",INDEX(임대자산!$D$3:$R$3000,MATCH($F1841,임대자산!$I$3:$I$3000,0),MATCH(I$4,임대자산!$D$3:$R$3,0)),
IF($D1841="폐업",INDEX(폐업정보!$D$3:$R$3000,MATCH($F1841,폐업정보!$I$3:$I$3000,0),MATCH(I$4,폐업정보!$D$3:$R$3,0)),
"Error"))</f>
        <v>A1836</v>
      </c>
      <c r="J1841" s="75" t="str">
        <f aca="false">
IF($D1841="정상",INDEX(임대자산!$D$3:$R$3000,MATCH($F1841,임대자산!$I$3:$I$3000,0),MATCH(J$4,임대자산!$D$3:$R$3,0)),
IF($D1841="폐업",INDEX(폐업정보!$D$3:$R$3000,MATCH($F1841,폐업정보!$I$3:$I$3000,0),MATCH(J$4,폐업정보!$D$3:$R$3,0)),
"Error"))</f>
        <v>9510700000</v>
      </c>
      <c r="K1841" s="75" t="str">
        <f aca="false">
IF($D1841="정상",INDEX(임대자산!$D$3:$R$3000,MATCH($F1841,임대자산!$I$3:$I$3000,0),MATCH(K$4,임대자산!$D$3:$R$3,0)),
IF($D1841="폐업",INDEX(폐업정보!$D$3:$R$3000,MATCH($F1841,폐업정보!$I$3:$I$3000,0),MATCH(K$4,폐업정보!$D$3:$R$3,0)),
"Error"))</f>
        <v>C1836</v>
      </c>
      <c r="L1841" s="75" t="str">
        <f aca="false">
IF($D1841="정상",INDEX(임대자산!$D$3:$R$3000,MATCH($F1841,임대자산!$I$3:$I$3000,0),MATCH(L$4,임대자산!$D$3:$R$3,0)),
IF($D1841="폐업",INDEX(폐업정보!$D$3:$R$3000,MATCH($F1841,폐업정보!$I$3:$I$3000,0),MATCH(L$4,폐업정보!$D$3:$R$3,0)),
"Error"))</f>
        <v>D1836</v>
      </c>
      <c r="M1841" s="76" t="s">
        <v>96</v>
      </c>
      <c r="N1841" s="77"/>
      <c r="O1841" s="78" t="s">
        <v>97</v>
      </c>
      <c r="P1841" s="79" t="n">
        <f aca="false">COUNTIFS(임대자산!$I:$I,가맹점정보!F1841,임대자산!$N:$N,가맹점정보!P$4)</f>
        <v>0</v>
      </c>
      <c r="Q1841" s="80" t="n">
        <f aca="false">COUNTIFS(임대자산!$I:$I,가맹점정보!F1841,임대자산!$N:$N,가맹점정보!Q$4)</f>
        <v>0</v>
      </c>
      <c r="R1841" s="81" t="n">
        <f aca="false">COUNTIFS(임대자산!$I:$I,가맹점정보!F1841,임대자산!$N:$N,가맹점정보!R$4)</f>
        <v>1</v>
      </c>
      <c r="S1841" s="82" t="n">
        <v>88000</v>
      </c>
      <c r="T1841" s="83" t="n">
        <v>0</v>
      </c>
      <c r="U1841" s="80" t="n">
        <f aca="false">SUM(S1841:T1841)</f>
        <v>88000</v>
      </c>
      <c r="V1841" s="84" t="s">
        <v>7</v>
      </c>
      <c r="W1841" s="80" t="str">
        <f aca="true">
IF(D1841="폐업","폐업",
IF(V1841="면제","면제",
IF(AND(V1841="정상",COUNTIFS(OFFSET(Y1841,0,COUNTA(Y1841:AV1841)-1,1,-4),"미납")&gt;=3),"장기미납",
IF(AND(V1841="정상",OFFSET(Y1841,0,COUNTA(Y1841:AV1841)-1)&gt;=U1841),"정상",
IF(AND(V1841="정상",OFFSET(Y1841,0,COUNTA(Y1841:AV1841)-1)=0),"정상",
"계약서 미작성")))))</f>
        <v>면제</v>
      </c>
      <c r="X1841" s="81" t="str">
        <f aca="true">
IF(D1841="폐업","폐업",
IF(AND(V1841="정상",OFFSET(Y1841,0,COUNTA(Y1841:AV1841)-1)="미납"),"미납",
IF(AND(V1841="정상",OFFSET(Y1841,0,COUNTA(Y1841:AV1841)-1)=0),"납부 시작 전",
IF(AND(V1841="정상",OFFSET(Y1841,0,COUNTA(Y1841:AV1841)-1)&gt;=U1841),"정상",
IF(AND(V1841="면제",OFFSET(Y1841,0,COUNTA(Y1841:AV1841)-1)="면제"),"면제",
IF(AND(V1841="면제",OFFSET(Y1841,0,COUNTA(Y1841:AV1841)-1)=0),"면제",
"확인요청"))))))</f>
        <v>면제</v>
      </c>
      <c r="Y1841" s="94" t="s">
        <v>7</v>
      </c>
      <c r="Z1841" s="95" t="s">
        <v>7</v>
      </c>
      <c r="AA1841" s="95" t="s">
        <v>7</v>
      </c>
      <c r="AB1841" s="95" t="s">
        <v>7</v>
      </c>
      <c r="AC1841" s="95" t="s">
        <v>7</v>
      </c>
      <c r="AD1841" s="95" t="s">
        <v>7</v>
      </c>
      <c r="AE1841" s="95" t="s">
        <v>7</v>
      </c>
      <c r="AF1841" s="95" t="s">
        <v>7</v>
      </c>
      <c r="AG1841" s="95" t="s">
        <v>7</v>
      </c>
      <c r="AH1841" s="95" t="s">
        <v>7</v>
      </c>
      <c r="AI1841" s="95" t="s">
        <v>7</v>
      </c>
      <c r="AJ1841" s="96" t="s">
        <v>7</v>
      </c>
      <c r="AK1841" s="97" t="s">
        <v>7</v>
      </c>
      <c r="AL1841" s="95" t="s">
        <v>7</v>
      </c>
      <c r="AM1841" s="90"/>
      <c r="AN1841" s="90"/>
      <c r="AO1841" s="90"/>
      <c r="AP1841" s="90"/>
      <c r="AQ1841" s="90"/>
      <c r="AR1841" s="90"/>
      <c r="AS1841" s="90"/>
      <c r="AT1841" s="90"/>
      <c r="AU1841" s="90"/>
      <c r="AV1841" s="91"/>
      <c r="AX1841" s="92"/>
    </row>
    <row r="1842" customFormat="false" ht="15.65" hidden="false" customHeight="false" outlineLevel="0" collapsed="false">
      <c r="C1842" s="72" t="n">
        <f aca="false">COUNTIFS($D$6:D1842,"&lt;&gt;"&amp;"")</f>
        <v>1837</v>
      </c>
      <c r="D1842" s="73" t="s">
        <v>12</v>
      </c>
      <c r="E1842" s="76" t="str">
        <f aca="false">
IF($D1842="정상",INDEX(임대자산!$D$3:$R$3000,MATCH($F1842,임대자산!$I$3:$I$3000,0),MATCH(E$3,임대자산!$D$3:$R$3,0)),
IF($D1842="폐업",INDEX(폐업정보!$D$3:$R$3000,MATCH($F1842,폐업정보!$I$3:$I$3000,0),MATCH(E$3,폐업정보!$D$3:$R$3,0)),
"Error"))</f>
        <v>경기</v>
      </c>
      <c r="F184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B1837</v>
      </c>
      <c r="G1842" s="76" t="str">
        <f aca="false">F1842&amp;RANDBETWEEN(0,10)</f>
        <v>B18376</v>
      </c>
      <c r="H1842" s="75" t="n">
        <f aca="false">
IF($D1842="정상",INDEX(임대자산!$D$3:$R$3000,MATCH($F1842,임대자산!$I$3:$I$3000,0),MATCH(H$4,임대자산!$D$3:$R$3,0)),
IF($D1842="폐업",INDEX(폐업정보!$D$3:$R$3000,MATCH($F1842,폐업정보!$I$3:$I$3000,0),MATCH(H$4,폐업정보!$D$3:$R$3,0)),
"Error"))</f>
        <v>45919</v>
      </c>
      <c r="I1842" s="75" t="str">
        <f aca="false">
IF($D1842="정상",INDEX(임대자산!$D$3:$R$3000,MATCH($F1842,임대자산!$I$3:$I$3000,0),MATCH(I$4,임대자산!$D$3:$R$3,0)),
IF($D1842="폐업",INDEX(폐업정보!$D$3:$R$3000,MATCH($F1842,폐업정보!$I$3:$I$3000,0),MATCH(I$4,폐업정보!$D$3:$R$3,0)),
"Error"))</f>
        <v>A1837</v>
      </c>
      <c r="J1842" s="75" t="str">
        <f aca="false">
IF($D1842="정상",INDEX(임대자산!$D$3:$R$3000,MATCH($F1842,임대자산!$I$3:$I$3000,0),MATCH(J$4,임대자산!$D$3:$R$3,0)),
IF($D1842="폐업",INDEX(폐업정보!$D$3:$R$3000,MATCH($F1842,폐업정보!$I$3:$I$3000,0),MATCH(J$4,폐업정보!$D$3:$R$3,0)),
"Error"))</f>
        <v>8047400000</v>
      </c>
      <c r="K1842" s="75" t="str">
        <f aca="false">
IF($D1842="정상",INDEX(임대자산!$D$3:$R$3000,MATCH($F1842,임대자산!$I$3:$I$3000,0),MATCH(K$4,임대자산!$D$3:$R$3,0)),
IF($D1842="폐업",INDEX(폐업정보!$D$3:$R$3000,MATCH($F1842,폐업정보!$I$3:$I$3000,0),MATCH(K$4,폐업정보!$D$3:$R$3,0)),
"Error"))</f>
        <v>C1837</v>
      </c>
      <c r="L1842" s="75" t="str">
        <f aca="false">
IF($D1842="정상",INDEX(임대자산!$D$3:$R$3000,MATCH($F1842,임대자산!$I$3:$I$3000,0),MATCH(L$4,임대자산!$D$3:$R$3,0)),
IF($D1842="폐업",INDEX(폐업정보!$D$3:$R$3000,MATCH($F1842,폐업정보!$I$3:$I$3000,0),MATCH(L$4,폐업정보!$D$3:$R$3,0)),
"Error"))</f>
        <v>D1837</v>
      </c>
      <c r="M1842" s="76" t="s">
        <v>96</v>
      </c>
      <c r="N1842" s="77"/>
      <c r="O1842" s="78" t="s">
        <v>97</v>
      </c>
      <c r="P1842" s="79" t="n">
        <f aca="false">COUNTIFS(임대자산!$I:$I,가맹점정보!F1842,임대자산!$N:$N,가맹점정보!P$4)</f>
        <v>0</v>
      </c>
      <c r="Q1842" s="80" t="n">
        <f aca="false">COUNTIFS(임대자산!$I:$I,가맹점정보!F1842,임대자산!$N:$N,가맹점정보!Q$4)</f>
        <v>0</v>
      </c>
      <c r="R1842" s="81" t="n">
        <f aca="false">COUNTIFS(임대자산!$I:$I,가맹점정보!F1842,임대자산!$N:$N,가맹점정보!R$4)</f>
        <v>1</v>
      </c>
      <c r="S1842" s="82" t="n">
        <v>88000</v>
      </c>
      <c r="T1842" s="83" t="n">
        <v>0</v>
      </c>
      <c r="U1842" s="80" t="n">
        <f aca="false">SUM(S1842:T1842)</f>
        <v>88000</v>
      </c>
      <c r="V1842" s="84" t="s">
        <v>7</v>
      </c>
      <c r="W1842" s="80" t="str">
        <f aca="true">
IF(D1842="폐업","폐업",
IF(V1842="면제","면제",
IF(AND(V1842="정상",COUNTIFS(OFFSET(Y1842,0,COUNTA(Y1842:AV1842)-1,1,-4),"미납")&gt;=3),"장기미납",
IF(AND(V1842="정상",OFFSET(Y1842,0,COUNTA(Y1842:AV1842)-1)&gt;=U1842),"정상",
IF(AND(V1842="정상",OFFSET(Y1842,0,COUNTA(Y1842:AV1842)-1)=0),"정상",
"계약서 미작성")))))</f>
        <v>면제</v>
      </c>
      <c r="X1842" s="81" t="str">
        <f aca="true">
IF(D1842="폐업","폐업",
IF(AND(V1842="정상",OFFSET(Y1842,0,COUNTA(Y1842:AV1842)-1)="미납"),"미납",
IF(AND(V1842="정상",OFFSET(Y1842,0,COUNTA(Y1842:AV1842)-1)=0),"납부 시작 전",
IF(AND(V1842="정상",OFFSET(Y1842,0,COUNTA(Y1842:AV1842)-1)&gt;=U1842),"정상",
IF(AND(V1842="면제",OFFSET(Y1842,0,COUNTA(Y1842:AV1842)-1)="면제"),"면제",
IF(AND(V1842="면제",OFFSET(Y1842,0,COUNTA(Y1842:AV1842)-1)=0),"면제",
"확인요청"))))))</f>
        <v>면제</v>
      </c>
      <c r="Y1842" s="94" t="s">
        <v>7</v>
      </c>
      <c r="Z1842" s="95" t="s">
        <v>7</v>
      </c>
      <c r="AA1842" s="95" t="s">
        <v>7</v>
      </c>
      <c r="AB1842" s="95" t="s">
        <v>7</v>
      </c>
      <c r="AC1842" s="95" t="s">
        <v>7</v>
      </c>
      <c r="AD1842" s="95" t="s">
        <v>7</v>
      </c>
      <c r="AE1842" s="95" t="s">
        <v>7</v>
      </c>
      <c r="AF1842" s="95" t="s">
        <v>7</v>
      </c>
      <c r="AG1842" s="95" t="s">
        <v>7</v>
      </c>
      <c r="AH1842" s="95" t="s">
        <v>7</v>
      </c>
      <c r="AI1842" s="95" t="s">
        <v>7</v>
      </c>
      <c r="AJ1842" s="96" t="s">
        <v>7</v>
      </c>
      <c r="AK1842" s="97" t="s">
        <v>7</v>
      </c>
      <c r="AL1842" s="95" t="s">
        <v>7</v>
      </c>
      <c r="AM1842" s="90"/>
      <c r="AN1842" s="90"/>
      <c r="AO1842" s="90"/>
      <c r="AP1842" s="90"/>
      <c r="AQ1842" s="90"/>
      <c r="AR1842" s="90"/>
      <c r="AS1842" s="90"/>
      <c r="AT1842" s="90"/>
      <c r="AU1842" s="90"/>
      <c r="AV1842" s="91"/>
      <c r="AX1842" s="92"/>
    </row>
    <row r="1843" customFormat="false" ht="15.65" hidden="false" customHeight="false" outlineLevel="0" collapsed="false">
      <c r="C1843" s="72" t="n">
        <f aca="false">COUNTIFS($D$6:D1843,"&lt;&gt;"&amp;"")</f>
        <v>1838</v>
      </c>
      <c r="D1843" s="73" t="s">
        <v>12</v>
      </c>
      <c r="E1843" s="76" t="str">
        <f aca="false">
IF($D1843="정상",INDEX(임대자산!$D$3:$R$3000,MATCH($F1843,임대자산!$I$3:$I$3000,0),MATCH(E$3,임대자산!$D$3:$R$3,0)),
IF($D1843="폐업",INDEX(폐업정보!$D$3:$R$3000,MATCH($F1843,폐업정보!$I$3:$I$3000,0),MATCH(E$3,폐업정보!$D$3:$R$3,0)),
"Error"))</f>
        <v>경기</v>
      </c>
      <c r="F184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B1838</v>
      </c>
      <c r="G1843" s="76" t="str">
        <f aca="false">F1843&amp;RANDBETWEEN(0,10)</f>
        <v>B18387</v>
      </c>
      <c r="H1843" s="75" t="n">
        <f aca="false">
IF($D1843="정상",INDEX(임대자산!$D$3:$R$3000,MATCH($F1843,임대자산!$I$3:$I$3000,0),MATCH(H$4,임대자산!$D$3:$R$3,0)),
IF($D1843="폐업",INDEX(폐업정보!$D$3:$R$3000,MATCH($F1843,폐업정보!$I$3:$I$3000,0),MATCH(H$4,폐업정보!$D$3:$R$3,0)),
"Error"))</f>
        <v>45919</v>
      </c>
      <c r="I1843" s="75" t="str">
        <f aca="false">
IF($D1843="정상",INDEX(임대자산!$D$3:$R$3000,MATCH($F1843,임대자산!$I$3:$I$3000,0),MATCH(I$4,임대자산!$D$3:$R$3,0)),
IF($D1843="폐업",INDEX(폐업정보!$D$3:$R$3000,MATCH($F1843,폐업정보!$I$3:$I$3000,0),MATCH(I$4,폐업정보!$D$3:$R$3,0)),
"Error"))</f>
        <v>A1838</v>
      </c>
      <c r="J1843" s="75" t="str">
        <f aca="false">
IF($D1843="정상",INDEX(임대자산!$D$3:$R$3000,MATCH($F1843,임대자산!$I$3:$I$3000,0),MATCH(J$4,임대자산!$D$3:$R$3,0)),
IF($D1843="폐업",INDEX(폐업정보!$D$3:$R$3000,MATCH($F1843,폐업정보!$I$3:$I$3000,0),MATCH(J$4,폐업정보!$D$3:$R$3,0)),
"Error"))</f>
        <v>5466200000</v>
      </c>
      <c r="K1843" s="75" t="str">
        <f aca="false">
IF($D1843="정상",INDEX(임대자산!$D$3:$R$3000,MATCH($F1843,임대자산!$I$3:$I$3000,0),MATCH(K$4,임대자산!$D$3:$R$3,0)),
IF($D1843="폐업",INDEX(폐업정보!$D$3:$R$3000,MATCH($F1843,폐업정보!$I$3:$I$3000,0),MATCH(K$4,폐업정보!$D$3:$R$3,0)),
"Error"))</f>
        <v>C1838</v>
      </c>
      <c r="L1843" s="75" t="str">
        <f aca="false">
IF($D1843="정상",INDEX(임대자산!$D$3:$R$3000,MATCH($F1843,임대자산!$I$3:$I$3000,0),MATCH(L$4,임대자산!$D$3:$R$3,0)),
IF($D1843="폐업",INDEX(폐업정보!$D$3:$R$3000,MATCH($F1843,폐업정보!$I$3:$I$3000,0),MATCH(L$4,폐업정보!$D$3:$R$3,0)),
"Error"))</f>
        <v>D1838</v>
      </c>
      <c r="M1843" s="76" t="s">
        <v>96</v>
      </c>
      <c r="N1843" s="77"/>
      <c r="O1843" s="78" t="s">
        <v>97</v>
      </c>
      <c r="P1843" s="79" t="n">
        <f aca="false">COUNTIFS(임대자산!$I:$I,가맹점정보!F1843,임대자산!$N:$N,가맹점정보!P$4)</f>
        <v>0</v>
      </c>
      <c r="Q1843" s="80" t="n">
        <f aca="false">COUNTIFS(임대자산!$I:$I,가맹점정보!F1843,임대자산!$N:$N,가맹점정보!Q$4)</f>
        <v>0</v>
      </c>
      <c r="R1843" s="81" t="n">
        <f aca="false">COUNTIFS(임대자산!$I:$I,가맹점정보!F1843,임대자산!$N:$N,가맹점정보!R$4)</f>
        <v>1</v>
      </c>
      <c r="S1843" s="82" t="n">
        <v>55000</v>
      </c>
      <c r="T1843" s="83" t="n">
        <v>0</v>
      </c>
      <c r="U1843" s="80" t="n">
        <f aca="false">SUM(S1843:T1843)</f>
        <v>55000</v>
      </c>
      <c r="V1843" s="84" t="s">
        <v>7</v>
      </c>
      <c r="W1843" s="80" t="str">
        <f aca="true">
IF(D1843="폐업","폐업",
IF(V1843="면제","면제",
IF(AND(V1843="정상",COUNTIFS(OFFSET(Y1843,0,COUNTA(Y1843:AV1843)-1,1,-4),"미납")&gt;=3),"장기미납",
IF(AND(V1843="정상",OFFSET(Y1843,0,COUNTA(Y1843:AV1843)-1)&gt;=U1843),"정상",
IF(AND(V1843="정상",OFFSET(Y1843,0,COUNTA(Y1843:AV1843)-1)=0),"정상",
"계약서 미작성")))))</f>
        <v>면제</v>
      </c>
      <c r="X1843" s="81" t="str">
        <f aca="true">
IF(D1843="폐업","폐업",
IF(AND(V1843="정상",OFFSET(Y1843,0,COUNTA(Y1843:AV1843)-1)="미납"),"미납",
IF(AND(V1843="정상",OFFSET(Y1843,0,COUNTA(Y1843:AV1843)-1)=0),"납부 시작 전",
IF(AND(V1843="정상",OFFSET(Y1843,0,COUNTA(Y1843:AV1843)-1)&gt;=U1843),"정상",
IF(AND(V1843="면제",OFFSET(Y1843,0,COUNTA(Y1843:AV1843)-1)="면제"),"면제",
IF(AND(V1843="면제",OFFSET(Y1843,0,COUNTA(Y1843:AV1843)-1)=0),"면제",
"확인요청"))))))</f>
        <v>면제</v>
      </c>
      <c r="Y1843" s="94" t="s">
        <v>7</v>
      </c>
      <c r="Z1843" s="95" t="s">
        <v>7</v>
      </c>
      <c r="AA1843" s="95" t="s">
        <v>7</v>
      </c>
      <c r="AB1843" s="95" t="s">
        <v>7</v>
      </c>
      <c r="AC1843" s="95" t="s">
        <v>7</v>
      </c>
      <c r="AD1843" s="95" t="s">
        <v>7</v>
      </c>
      <c r="AE1843" s="95" t="s">
        <v>7</v>
      </c>
      <c r="AF1843" s="95" t="s">
        <v>7</v>
      </c>
      <c r="AG1843" s="95" t="s">
        <v>7</v>
      </c>
      <c r="AH1843" s="95" t="s">
        <v>7</v>
      </c>
      <c r="AI1843" s="95" t="s">
        <v>7</v>
      </c>
      <c r="AJ1843" s="96" t="s">
        <v>7</v>
      </c>
      <c r="AK1843" s="97" t="s">
        <v>7</v>
      </c>
      <c r="AL1843" s="95" t="s">
        <v>7</v>
      </c>
      <c r="AM1843" s="90"/>
      <c r="AN1843" s="90"/>
      <c r="AO1843" s="90"/>
      <c r="AP1843" s="90"/>
      <c r="AQ1843" s="90"/>
      <c r="AR1843" s="90"/>
      <c r="AS1843" s="90"/>
      <c r="AT1843" s="90"/>
      <c r="AU1843" s="90"/>
      <c r="AV1843" s="91"/>
      <c r="AX1843" s="92"/>
    </row>
    <row r="1844" customFormat="false" ht="15.65" hidden="false" customHeight="false" outlineLevel="0" collapsed="false">
      <c r="C1844" s="72" t="n">
        <f aca="false">COUNTIFS($D$6:D1844,"&lt;&gt;"&amp;"")</f>
        <v>1839</v>
      </c>
      <c r="D1844" s="73" t="s">
        <v>12</v>
      </c>
      <c r="E1844" s="76" t="str">
        <f aca="false">
IF($D1844="정상",INDEX(임대자산!$D$3:$R$3000,MATCH($F1844,임대자산!$I$3:$I$3000,0),MATCH(E$3,임대자산!$D$3:$R$3,0)),
IF($D1844="폐업",INDEX(폐업정보!$D$3:$R$3000,MATCH($F1844,폐업정보!$I$3:$I$3000,0),MATCH(E$3,폐업정보!$D$3:$R$3,0)),
"Error"))</f>
        <v>전라</v>
      </c>
      <c r="F184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B1839</v>
      </c>
      <c r="G1844" s="76" t="str">
        <f aca="false">F1844&amp;RANDBETWEEN(0,10)</f>
        <v>B18399</v>
      </c>
      <c r="H1844" s="75" t="n">
        <f aca="false">
IF($D1844="정상",INDEX(임대자산!$D$3:$R$3000,MATCH($F1844,임대자산!$I$3:$I$3000,0),MATCH(H$4,임대자산!$D$3:$R$3,0)),
IF($D1844="폐업",INDEX(폐업정보!$D$3:$R$3000,MATCH($F1844,폐업정보!$I$3:$I$3000,0),MATCH(H$4,폐업정보!$D$3:$R$3,0)),
"Error"))</f>
        <v>45917</v>
      </c>
      <c r="I1844" s="75" t="str">
        <f aca="false">
IF($D1844="정상",INDEX(임대자산!$D$3:$R$3000,MATCH($F1844,임대자산!$I$3:$I$3000,0),MATCH(I$4,임대자산!$D$3:$R$3,0)),
IF($D1844="폐업",INDEX(폐업정보!$D$3:$R$3000,MATCH($F1844,폐업정보!$I$3:$I$3000,0),MATCH(I$4,폐업정보!$D$3:$R$3,0)),
"Error"))</f>
        <v>A1839</v>
      </c>
      <c r="J1844" s="75" t="str">
        <f aca="false">
IF($D1844="정상",INDEX(임대자산!$D$3:$R$3000,MATCH($F1844,임대자산!$I$3:$I$3000,0),MATCH(J$4,임대자산!$D$3:$R$3,0)),
IF($D1844="폐업",INDEX(폐업정보!$D$3:$R$3000,MATCH($F1844,폐업정보!$I$3:$I$3000,0),MATCH(J$4,폐업정보!$D$3:$R$3,0)),
"Error"))</f>
        <v>6599600000</v>
      </c>
      <c r="K1844" s="75" t="str">
        <f aca="false">
IF($D1844="정상",INDEX(임대자산!$D$3:$R$3000,MATCH($F1844,임대자산!$I$3:$I$3000,0),MATCH(K$4,임대자산!$D$3:$R$3,0)),
IF($D1844="폐업",INDEX(폐업정보!$D$3:$R$3000,MATCH($F1844,폐업정보!$I$3:$I$3000,0),MATCH(K$4,폐업정보!$D$3:$R$3,0)),
"Error"))</f>
        <v>C1839</v>
      </c>
      <c r="L1844" s="75" t="str">
        <f aca="false">
IF($D1844="정상",INDEX(임대자산!$D$3:$R$3000,MATCH($F1844,임대자산!$I$3:$I$3000,0),MATCH(L$4,임대자산!$D$3:$R$3,0)),
IF($D1844="폐업",INDEX(폐업정보!$D$3:$R$3000,MATCH($F1844,폐업정보!$I$3:$I$3000,0),MATCH(L$4,폐업정보!$D$3:$R$3,0)),
"Error"))</f>
        <v>D1839</v>
      </c>
      <c r="M1844" s="76" t="s">
        <v>96</v>
      </c>
      <c r="N1844" s="77"/>
      <c r="O1844" s="78" t="s">
        <v>97</v>
      </c>
      <c r="P1844" s="79" t="n">
        <f aca="false">COUNTIFS(임대자산!$I:$I,가맹점정보!F1844,임대자산!$N:$N,가맹점정보!P$4)</f>
        <v>0</v>
      </c>
      <c r="Q1844" s="80" t="n">
        <f aca="false">COUNTIFS(임대자산!$I:$I,가맹점정보!F1844,임대자산!$N:$N,가맹점정보!Q$4)</f>
        <v>0</v>
      </c>
      <c r="R1844" s="81" t="n">
        <f aca="false">COUNTIFS(임대자산!$I:$I,가맹점정보!F1844,임대자산!$N:$N,가맹점정보!R$4)</f>
        <v>1</v>
      </c>
      <c r="S1844" s="82" t="n">
        <v>55000</v>
      </c>
      <c r="T1844" s="83" t="n">
        <v>0</v>
      </c>
      <c r="U1844" s="80" t="n">
        <f aca="false">SUM(S1844:T1844)</f>
        <v>55000</v>
      </c>
      <c r="V1844" s="84" t="s">
        <v>7</v>
      </c>
      <c r="W1844" s="80" t="str">
        <f aca="true">
IF(D1844="폐업","폐업",
IF(V1844="면제","면제",
IF(AND(V1844="정상",COUNTIFS(OFFSET(Y1844,0,COUNTA(Y1844:AV1844)-1,1,-4),"미납")&gt;=3),"장기미납",
IF(AND(V1844="정상",OFFSET(Y1844,0,COUNTA(Y1844:AV1844)-1)&gt;=U1844),"정상",
IF(AND(V1844="정상",OFFSET(Y1844,0,COUNTA(Y1844:AV1844)-1)=0),"정상",
"계약서 미작성")))))</f>
        <v>면제</v>
      </c>
      <c r="X1844" s="81" t="str">
        <f aca="true">
IF(D1844="폐업","폐업",
IF(AND(V1844="정상",OFFSET(Y1844,0,COUNTA(Y1844:AV1844)-1)="미납"),"미납",
IF(AND(V1844="정상",OFFSET(Y1844,0,COUNTA(Y1844:AV1844)-1)=0),"납부 시작 전",
IF(AND(V1844="정상",OFFSET(Y1844,0,COUNTA(Y1844:AV1844)-1)&gt;=U1844),"정상",
IF(AND(V1844="면제",OFFSET(Y1844,0,COUNTA(Y1844:AV1844)-1)="면제"),"면제",
IF(AND(V1844="면제",OFFSET(Y1844,0,COUNTA(Y1844:AV1844)-1)=0),"면제",
"확인요청"))))))</f>
        <v>면제</v>
      </c>
      <c r="Y1844" s="94" t="s">
        <v>7</v>
      </c>
      <c r="Z1844" s="95" t="s">
        <v>7</v>
      </c>
      <c r="AA1844" s="95" t="s">
        <v>7</v>
      </c>
      <c r="AB1844" s="95" t="s">
        <v>7</v>
      </c>
      <c r="AC1844" s="95" t="s">
        <v>7</v>
      </c>
      <c r="AD1844" s="95" t="s">
        <v>7</v>
      </c>
      <c r="AE1844" s="95" t="s">
        <v>7</v>
      </c>
      <c r="AF1844" s="95" t="s">
        <v>7</v>
      </c>
      <c r="AG1844" s="95" t="s">
        <v>7</v>
      </c>
      <c r="AH1844" s="95" t="s">
        <v>7</v>
      </c>
      <c r="AI1844" s="95" t="s">
        <v>7</v>
      </c>
      <c r="AJ1844" s="96" t="s">
        <v>7</v>
      </c>
      <c r="AK1844" s="97" t="s">
        <v>7</v>
      </c>
      <c r="AL1844" s="95" t="s">
        <v>7</v>
      </c>
      <c r="AM1844" s="90"/>
      <c r="AN1844" s="90"/>
      <c r="AO1844" s="90"/>
      <c r="AP1844" s="90"/>
      <c r="AQ1844" s="90"/>
      <c r="AR1844" s="90"/>
      <c r="AS1844" s="90"/>
      <c r="AT1844" s="90"/>
      <c r="AU1844" s="90"/>
      <c r="AV1844" s="91"/>
      <c r="AX1844" s="92"/>
    </row>
    <row r="1845" customFormat="false" ht="15.65" hidden="false" customHeight="false" outlineLevel="0" collapsed="false">
      <c r="C1845" s="72" t="n">
        <f aca="false">COUNTIFS($D$6:D1845,"&lt;&gt;"&amp;"")</f>
        <v>1840</v>
      </c>
      <c r="D1845" s="73" t="s">
        <v>12</v>
      </c>
      <c r="E1845" s="76" t="str">
        <f aca="false">
IF($D1845="정상",INDEX(임대자산!$D$3:$R$3000,MATCH($F1845,임대자산!$I$3:$I$3000,0),MATCH(E$3,임대자산!$D$3:$R$3,0)),
IF($D1845="폐업",INDEX(폐업정보!$D$3:$R$3000,MATCH($F1845,폐업정보!$I$3:$I$3000,0),MATCH(E$3,폐업정보!$D$3:$R$3,0)),
"Error"))</f>
        <v>전라</v>
      </c>
      <c r="F184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B1840</v>
      </c>
      <c r="G1845" s="76" t="str">
        <f aca="false">F1845&amp;RANDBETWEEN(0,10)</f>
        <v>B18401</v>
      </c>
      <c r="H1845" s="75" t="n">
        <f aca="false">
IF($D1845="정상",INDEX(임대자산!$D$3:$R$3000,MATCH($F1845,임대자산!$I$3:$I$3000,0),MATCH(H$4,임대자산!$D$3:$R$3,0)),
IF($D1845="폐업",INDEX(폐업정보!$D$3:$R$3000,MATCH($F1845,폐업정보!$I$3:$I$3000,0),MATCH(H$4,폐업정보!$D$3:$R$3,0)),
"Error"))</f>
        <v>45926</v>
      </c>
      <c r="I1845" s="75" t="str">
        <f aca="false">
IF($D1845="정상",INDEX(임대자산!$D$3:$R$3000,MATCH($F1845,임대자산!$I$3:$I$3000,0),MATCH(I$4,임대자산!$D$3:$R$3,0)),
IF($D1845="폐업",INDEX(폐업정보!$D$3:$R$3000,MATCH($F1845,폐업정보!$I$3:$I$3000,0),MATCH(I$4,폐업정보!$D$3:$R$3,0)),
"Error"))</f>
        <v>A1840</v>
      </c>
      <c r="J1845" s="75" t="str">
        <f aca="false">
IF($D1845="정상",INDEX(임대자산!$D$3:$R$3000,MATCH($F1845,임대자산!$I$3:$I$3000,0),MATCH(J$4,임대자산!$D$3:$R$3,0)),
IF($D1845="폐업",INDEX(폐업정보!$D$3:$R$3000,MATCH($F1845,폐업정보!$I$3:$I$3000,0),MATCH(J$4,폐업정보!$D$3:$R$3,0)),
"Error"))</f>
        <v>6061400000</v>
      </c>
      <c r="K1845" s="75" t="str">
        <f aca="false">
IF($D1845="정상",INDEX(임대자산!$D$3:$R$3000,MATCH($F1845,임대자산!$I$3:$I$3000,0),MATCH(K$4,임대자산!$D$3:$R$3,0)),
IF($D1845="폐업",INDEX(폐업정보!$D$3:$R$3000,MATCH($F1845,폐업정보!$I$3:$I$3000,0),MATCH(K$4,폐업정보!$D$3:$R$3,0)),
"Error"))</f>
        <v>C1840</v>
      </c>
      <c r="L1845" s="75" t="str">
        <f aca="false">
IF($D1845="정상",INDEX(임대자산!$D$3:$R$3000,MATCH($F1845,임대자산!$I$3:$I$3000,0),MATCH(L$4,임대자산!$D$3:$R$3,0)),
IF($D1845="폐업",INDEX(폐업정보!$D$3:$R$3000,MATCH($F1845,폐업정보!$I$3:$I$3000,0),MATCH(L$4,폐업정보!$D$3:$R$3,0)),
"Error"))</f>
        <v>D1840</v>
      </c>
      <c r="M1845" s="76" t="s">
        <v>96</v>
      </c>
      <c r="N1845" s="77"/>
      <c r="O1845" s="78" t="s">
        <v>97</v>
      </c>
      <c r="P1845" s="79" t="n">
        <f aca="false">COUNTIFS(임대자산!$I:$I,가맹점정보!F1845,임대자산!$N:$N,가맹점정보!P$4)</f>
        <v>0</v>
      </c>
      <c r="Q1845" s="80" t="n">
        <f aca="false">COUNTIFS(임대자산!$I:$I,가맹점정보!F1845,임대자산!$N:$N,가맹점정보!Q$4)</f>
        <v>0</v>
      </c>
      <c r="R1845" s="81" t="n">
        <f aca="false">COUNTIFS(임대자산!$I:$I,가맹점정보!F1845,임대자산!$N:$N,가맹점정보!R$4)</f>
        <v>1</v>
      </c>
      <c r="S1845" s="82" t="n">
        <v>55000</v>
      </c>
      <c r="T1845" s="83" t="n">
        <v>0</v>
      </c>
      <c r="U1845" s="80" t="n">
        <f aca="false">SUM(S1845:T1845)</f>
        <v>55000</v>
      </c>
      <c r="V1845" s="84" t="s">
        <v>7</v>
      </c>
      <c r="W1845" s="80" t="str">
        <f aca="true">
IF(D1845="폐업","폐업",
IF(V1845="면제","면제",
IF(AND(V1845="정상",COUNTIFS(OFFSET(Y1845,0,COUNTA(Y1845:AV1845)-1,1,-4),"미납")&gt;=3),"장기미납",
IF(AND(V1845="정상",OFFSET(Y1845,0,COUNTA(Y1845:AV1845)-1)&gt;=U1845),"정상",
IF(AND(V1845="정상",OFFSET(Y1845,0,COUNTA(Y1845:AV1845)-1)=0),"정상",
"계약서 미작성")))))</f>
        <v>면제</v>
      </c>
      <c r="X1845" s="81" t="str">
        <f aca="true">
IF(D1845="폐업","폐업",
IF(AND(V1845="정상",OFFSET(Y1845,0,COUNTA(Y1845:AV1845)-1)="미납"),"미납",
IF(AND(V1845="정상",OFFSET(Y1845,0,COUNTA(Y1845:AV1845)-1)=0),"납부 시작 전",
IF(AND(V1845="정상",OFFSET(Y1845,0,COUNTA(Y1845:AV1845)-1)&gt;=U1845),"정상",
IF(AND(V1845="면제",OFFSET(Y1845,0,COUNTA(Y1845:AV1845)-1)="면제"),"면제",
IF(AND(V1845="면제",OFFSET(Y1845,0,COUNTA(Y1845:AV1845)-1)=0),"면제",
"확인요청"))))))</f>
        <v>면제</v>
      </c>
      <c r="Y1845" s="94" t="s">
        <v>7</v>
      </c>
      <c r="Z1845" s="95" t="s">
        <v>7</v>
      </c>
      <c r="AA1845" s="95" t="s">
        <v>7</v>
      </c>
      <c r="AB1845" s="95" t="s">
        <v>7</v>
      </c>
      <c r="AC1845" s="95" t="s">
        <v>7</v>
      </c>
      <c r="AD1845" s="95" t="s">
        <v>7</v>
      </c>
      <c r="AE1845" s="95" t="s">
        <v>7</v>
      </c>
      <c r="AF1845" s="95" t="s">
        <v>7</v>
      </c>
      <c r="AG1845" s="95" t="s">
        <v>7</v>
      </c>
      <c r="AH1845" s="95" t="s">
        <v>7</v>
      </c>
      <c r="AI1845" s="95" t="s">
        <v>7</v>
      </c>
      <c r="AJ1845" s="96" t="s">
        <v>7</v>
      </c>
      <c r="AK1845" s="97" t="s">
        <v>7</v>
      </c>
      <c r="AL1845" s="95" t="s">
        <v>7</v>
      </c>
      <c r="AM1845" s="90"/>
      <c r="AN1845" s="90"/>
      <c r="AO1845" s="90"/>
      <c r="AP1845" s="90"/>
      <c r="AQ1845" s="90"/>
      <c r="AR1845" s="90"/>
      <c r="AS1845" s="90"/>
      <c r="AT1845" s="90"/>
      <c r="AU1845" s="90"/>
      <c r="AV1845" s="91"/>
      <c r="AX1845" s="92"/>
    </row>
    <row r="1846" customFormat="false" ht="15.65" hidden="false" customHeight="false" outlineLevel="0" collapsed="false">
      <c r="C1846" s="72" t="n">
        <f aca="false">COUNTIFS($D$6:D1846,"&lt;&gt;"&amp;"")</f>
        <v>1841</v>
      </c>
      <c r="D1846" s="73" t="s">
        <v>12</v>
      </c>
      <c r="E1846" s="76" t="str">
        <f aca="false">
IF($D1846="정상",INDEX(임대자산!$D$3:$R$3000,MATCH($F1846,임대자산!$I$3:$I$3000,0),MATCH(E$3,임대자산!$D$3:$R$3,0)),
IF($D1846="폐업",INDEX(폐업정보!$D$3:$R$3000,MATCH($F1846,폐업정보!$I$3:$I$3000,0),MATCH(E$3,폐업정보!$D$3:$R$3,0)),
"Error"))</f>
        <v>전라</v>
      </c>
      <c r="F184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B1841</v>
      </c>
      <c r="G1846" s="76" t="str">
        <f aca="false">F1846&amp;RANDBETWEEN(0,10)</f>
        <v>B18417</v>
      </c>
      <c r="H1846" s="75" t="n">
        <f aca="false">
IF($D1846="정상",INDEX(임대자산!$D$3:$R$3000,MATCH($F1846,임대자산!$I$3:$I$3000,0),MATCH(H$4,임대자산!$D$3:$R$3,0)),
IF($D1846="폐업",INDEX(폐업정보!$D$3:$R$3000,MATCH($F1846,폐업정보!$I$3:$I$3000,0),MATCH(H$4,폐업정보!$D$3:$R$3,0)),
"Error"))</f>
        <v>45918</v>
      </c>
      <c r="I1846" s="75" t="str">
        <f aca="false">
IF($D1846="정상",INDEX(임대자산!$D$3:$R$3000,MATCH($F1846,임대자산!$I$3:$I$3000,0),MATCH(I$4,임대자산!$D$3:$R$3,0)),
IF($D1846="폐업",INDEX(폐업정보!$D$3:$R$3000,MATCH($F1846,폐업정보!$I$3:$I$3000,0),MATCH(I$4,폐업정보!$D$3:$R$3,0)),
"Error"))</f>
        <v>A1841</v>
      </c>
      <c r="J1846" s="75" t="str">
        <f aca="false">
IF($D1846="정상",INDEX(임대자산!$D$3:$R$3000,MATCH($F1846,임대자산!$I$3:$I$3000,0),MATCH(J$4,임대자산!$D$3:$R$3,0)),
IF($D1846="폐업",INDEX(폐업정보!$D$3:$R$3000,MATCH($F1846,폐업정보!$I$3:$I$3000,0),MATCH(J$4,폐업정보!$D$3:$R$3,0)),
"Error"))</f>
        <v>5864800000</v>
      </c>
      <c r="K1846" s="75" t="str">
        <f aca="false">
IF($D1846="정상",INDEX(임대자산!$D$3:$R$3000,MATCH($F1846,임대자산!$I$3:$I$3000,0),MATCH(K$4,임대자산!$D$3:$R$3,0)),
IF($D1846="폐업",INDEX(폐업정보!$D$3:$R$3000,MATCH($F1846,폐업정보!$I$3:$I$3000,0),MATCH(K$4,폐업정보!$D$3:$R$3,0)),
"Error"))</f>
        <v>C1841</v>
      </c>
      <c r="L1846" s="75" t="str">
        <f aca="false">
IF($D1846="정상",INDEX(임대자산!$D$3:$R$3000,MATCH($F1846,임대자산!$I$3:$I$3000,0),MATCH(L$4,임대자산!$D$3:$R$3,0)),
IF($D1846="폐업",INDEX(폐업정보!$D$3:$R$3000,MATCH($F1846,폐업정보!$I$3:$I$3000,0),MATCH(L$4,폐업정보!$D$3:$R$3,0)),
"Error"))</f>
        <v>D1841</v>
      </c>
      <c r="M1846" s="76" t="s">
        <v>96</v>
      </c>
      <c r="N1846" s="77"/>
      <c r="O1846" s="78" t="s">
        <v>97</v>
      </c>
      <c r="P1846" s="79" t="n">
        <f aca="false">COUNTIFS(임대자산!$I:$I,가맹점정보!F1846,임대자산!$N:$N,가맹점정보!P$4)</f>
        <v>0</v>
      </c>
      <c r="Q1846" s="80" t="n">
        <f aca="false">COUNTIFS(임대자산!$I:$I,가맹점정보!F1846,임대자산!$N:$N,가맹점정보!Q$4)</f>
        <v>0</v>
      </c>
      <c r="R1846" s="81" t="n">
        <f aca="false">COUNTIFS(임대자산!$I:$I,가맹점정보!F1846,임대자산!$N:$N,가맹점정보!R$4)</f>
        <v>1</v>
      </c>
      <c r="S1846" s="82" t="n">
        <v>55000</v>
      </c>
      <c r="T1846" s="83" t="n">
        <v>0</v>
      </c>
      <c r="U1846" s="80" t="n">
        <f aca="false">SUM(S1846:T1846)</f>
        <v>55000</v>
      </c>
      <c r="V1846" s="84" t="s">
        <v>7</v>
      </c>
      <c r="W1846" s="80" t="str">
        <f aca="true">
IF(D1846="폐업","폐업",
IF(V1846="면제","면제",
IF(AND(V1846="정상",COUNTIFS(OFFSET(Y1846,0,COUNTA(Y1846:AV1846)-1,1,-4),"미납")&gt;=3),"장기미납",
IF(AND(V1846="정상",OFFSET(Y1846,0,COUNTA(Y1846:AV1846)-1)&gt;=U1846),"정상",
IF(AND(V1846="정상",OFFSET(Y1846,0,COUNTA(Y1846:AV1846)-1)=0),"정상",
"계약서 미작성")))))</f>
        <v>면제</v>
      </c>
      <c r="X1846" s="81" t="str">
        <f aca="true">
IF(D1846="폐업","폐업",
IF(AND(V1846="정상",OFFSET(Y1846,0,COUNTA(Y1846:AV1846)-1)="미납"),"미납",
IF(AND(V1846="정상",OFFSET(Y1846,0,COUNTA(Y1846:AV1846)-1)=0),"납부 시작 전",
IF(AND(V1846="정상",OFFSET(Y1846,0,COUNTA(Y1846:AV1846)-1)&gt;=U1846),"정상",
IF(AND(V1846="면제",OFFSET(Y1846,0,COUNTA(Y1846:AV1846)-1)="면제"),"면제",
IF(AND(V1846="면제",OFFSET(Y1846,0,COUNTA(Y1846:AV1846)-1)=0),"면제",
"확인요청"))))))</f>
        <v>면제</v>
      </c>
      <c r="Y1846" s="94" t="s">
        <v>7</v>
      </c>
      <c r="Z1846" s="95" t="s">
        <v>7</v>
      </c>
      <c r="AA1846" s="95" t="s">
        <v>7</v>
      </c>
      <c r="AB1846" s="95" t="s">
        <v>7</v>
      </c>
      <c r="AC1846" s="95" t="s">
        <v>7</v>
      </c>
      <c r="AD1846" s="95" t="s">
        <v>7</v>
      </c>
      <c r="AE1846" s="95" t="s">
        <v>7</v>
      </c>
      <c r="AF1846" s="95" t="s">
        <v>7</v>
      </c>
      <c r="AG1846" s="95" t="s">
        <v>7</v>
      </c>
      <c r="AH1846" s="95" t="s">
        <v>7</v>
      </c>
      <c r="AI1846" s="95" t="s">
        <v>7</v>
      </c>
      <c r="AJ1846" s="96" t="s">
        <v>7</v>
      </c>
      <c r="AK1846" s="97" t="s">
        <v>7</v>
      </c>
      <c r="AL1846" s="95" t="s">
        <v>7</v>
      </c>
      <c r="AM1846" s="90"/>
      <c r="AN1846" s="90"/>
      <c r="AO1846" s="90"/>
      <c r="AP1846" s="90"/>
      <c r="AQ1846" s="90"/>
      <c r="AR1846" s="90"/>
      <c r="AS1846" s="90"/>
      <c r="AT1846" s="90"/>
      <c r="AU1846" s="90"/>
      <c r="AV1846" s="91"/>
      <c r="AX1846" s="92"/>
    </row>
    <row r="1847" customFormat="false" ht="15.65" hidden="false" customHeight="false" outlineLevel="0" collapsed="false">
      <c r="C1847" s="72" t="n">
        <f aca="false">COUNTIFS($D$6:D1847,"&lt;&gt;"&amp;"")</f>
        <v>1842</v>
      </c>
      <c r="D1847" s="73" t="s">
        <v>12</v>
      </c>
      <c r="E1847" s="76" t="str">
        <f aca="false">
IF($D1847="정상",INDEX(임대자산!$D$3:$R$3000,MATCH($F1847,임대자산!$I$3:$I$3000,0),MATCH(E$3,임대자산!$D$3:$R$3,0)),
IF($D1847="폐업",INDEX(폐업정보!$D$3:$R$3000,MATCH($F1847,폐업정보!$I$3:$I$3000,0),MATCH(E$3,폐업정보!$D$3:$R$3,0)),
"Error"))</f>
        <v>전라</v>
      </c>
      <c r="F184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B1842</v>
      </c>
      <c r="G1847" s="76" t="str">
        <f aca="false">F1847&amp;RANDBETWEEN(0,10)</f>
        <v>B18427</v>
      </c>
      <c r="H1847" s="75" t="n">
        <f aca="false">
IF($D1847="정상",INDEX(임대자산!$D$3:$R$3000,MATCH($F1847,임대자산!$I$3:$I$3000,0),MATCH(H$4,임대자산!$D$3:$R$3,0)),
IF($D1847="폐업",INDEX(폐업정보!$D$3:$R$3000,MATCH($F1847,폐업정보!$I$3:$I$3000,0),MATCH(H$4,폐업정보!$D$3:$R$3,0)),
"Error"))</f>
        <v>45924</v>
      </c>
      <c r="I1847" s="75" t="str">
        <f aca="false">
IF($D1847="정상",INDEX(임대자산!$D$3:$R$3000,MATCH($F1847,임대자산!$I$3:$I$3000,0),MATCH(I$4,임대자산!$D$3:$R$3,0)),
IF($D1847="폐업",INDEX(폐업정보!$D$3:$R$3000,MATCH($F1847,폐업정보!$I$3:$I$3000,0),MATCH(I$4,폐업정보!$D$3:$R$3,0)),
"Error"))</f>
        <v>A1842</v>
      </c>
      <c r="J1847" s="75" t="str">
        <f aca="false">
IF($D1847="정상",INDEX(임대자산!$D$3:$R$3000,MATCH($F1847,임대자산!$I$3:$I$3000,0),MATCH(J$4,임대자산!$D$3:$R$3,0)),
IF($D1847="폐업",INDEX(폐업정보!$D$3:$R$3000,MATCH($F1847,폐업정보!$I$3:$I$3000,0),MATCH(J$4,폐업정보!$D$3:$R$3,0)),
"Error"))</f>
        <v>8412600000</v>
      </c>
      <c r="K1847" s="75" t="str">
        <f aca="false">
IF($D1847="정상",INDEX(임대자산!$D$3:$R$3000,MATCH($F1847,임대자산!$I$3:$I$3000,0),MATCH(K$4,임대자산!$D$3:$R$3,0)),
IF($D1847="폐업",INDEX(폐업정보!$D$3:$R$3000,MATCH($F1847,폐업정보!$I$3:$I$3000,0),MATCH(K$4,폐업정보!$D$3:$R$3,0)),
"Error"))</f>
        <v>C1842</v>
      </c>
      <c r="L1847" s="75" t="str">
        <f aca="false">
IF($D1847="정상",INDEX(임대자산!$D$3:$R$3000,MATCH($F1847,임대자산!$I$3:$I$3000,0),MATCH(L$4,임대자산!$D$3:$R$3,0)),
IF($D1847="폐업",INDEX(폐업정보!$D$3:$R$3000,MATCH($F1847,폐업정보!$I$3:$I$3000,0),MATCH(L$4,폐업정보!$D$3:$R$3,0)),
"Error"))</f>
        <v>D1842</v>
      </c>
      <c r="M1847" s="76" t="s">
        <v>96</v>
      </c>
      <c r="N1847" s="77"/>
      <c r="O1847" s="78" t="s">
        <v>97</v>
      </c>
      <c r="P1847" s="79" t="n">
        <f aca="false">COUNTIFS(임대자산!$I:$I,가맹점정보!F1847,임대자산!$N:$N,가맹점정보!P$4)</f>
        <v>0</v>
      </c>
      <c r="Q1847" s="80" t="n">
        <f aca="false">COUNTIFS(임대자산!$I:$I,가맹점정보!F1847,임대자산!$N:$N,가맹점정보!Q$4)</f>
        <v>0</v>
      </c>
      <c r="R1847" s="81" t="n">
        <f aca="false">COUNTIFS(임대자산!$I:$I,가맹점정보!F1847,임대자산!$N:$N,가맹점정보!R$4)</f>
        <v>1</v>
      </c>
      <c r="S1847" s="82" t="n">
        <v>55000</v>
      </c>
      <c r="T1847" s="83" t="n">
        <v>0</v>
      </c>
      <c r="U1847" s="80" t="n">
        <f aca="false">SUM(S1847:T1847)</f>
        <v>55000</v>
      </c>
      <c r="V1847" s="84" t="s">
        <v>7</v>
      </c>
      <c r="W1847" s="80" t="str">
        <f aca="true">
IF(D1847="폐업","폐업",
IF(V1847="면제","면제",
IF(AND(V1847="정상",COUNTIFS(OFFSET(Y1847,0,COUNTA(Y1847:AV1847)-1,1,-4),"미납")&gt;=3),"장기미납",
IF(AND(V1847="정상",OFFSET(Y1847,0,COUNTA(Y1847:AV1847)-1)&gt;=U1847),"정상",
IF(AND(V1847="정상",OFFSET(Y1847,0,COUNTA(Y1847:AV1847)-1)=0),"정상",
"계약서 미작성")))))</f>
        <v>면제</v>
      </c>
      <c r="X1847" s="81" t="str">
        <f aca="true">
IF(D1847="폐업","폐업",
IF(AND(V1847="정상",OFFSET(Y1847,0,COUNTA(Y1847:AV1847)-1)="미납"),"미납",
IF(AND(V1847="정상",OFFSET(Y1847,0,COUNTA(Y1847:AV1847)-1)=0),"납부 시작 전",
IF(AND(V1847="정상",OFFSET(Y1847,0,COUNTA(Y1847:AV1847)-1)&gt;=U1847),"정상",
IF(AND(V1847="면제",OFFSET(Y1847,0,COUNTA(Y1847:AV1847)-1)="면제"),"면제",
IF(AND(V1847="면제",OFFSET(Y1847,0,COUNTA(Y1847:AV1847)-1)=0),"면제",
"확인요청"))))))</f>
        <v>면제</v>
      </c>
      <c r="Y1847" s="94" t="s">
        <v>7</v>
      </c>
      <c r="Z1847" s="95" t="s">
        <v>7</v>
      </c>
      <c r="AA1847" s="95" t="s">
        <v>7</v>
      </c>
      <c r="AB1847" s="95" t="s">
        <v>7</v>
      </c>
      <c r="AC1847" s="95" t="s">
        <v>7</v>
      </c>
      <c r="AD1847" s="95" t="s">
        <v>7</v>
      </c>
      <c r="AE1847" s="95" t="s">
        <v>7</v>
      </c>
      <c r="AF1847" s="95" t="s">
        <v>7</v>
      </c>
      <c r="AG1847" s="95" t="s">
        <v>7</v>
      </c>
      <c r="AH1847" s="95" t="s">
        <v>7</v>
      </c>
      <c r="AI1847" s="95" t="s">
        <v>7</v>
      </c>
      <c r="AJ1847" s="96" t="s">
        <v>7</v>
      </c>
      <c r="AK1847" s="97" t="s">
        <v>7</v>
      </c>
      <c r="AL1847" s="95" t="s">
        <v>7</v>
      </c>
      <c r="AM1847" s="90"/>
      <c r="AN1847" s="90"/>
      <c r="AO1847" s="90"/>
      <c r="AP1847" s="90"/>
      <c r="AQ1847" s="90"/>
      <c r="AR1847" s="90"/>
      <c r="AS1847" s="90"/>
      <c r="AT1847" s="90"/>
      <c r="AU1847" s="90"/>
      <c r="AV1847" s="91"/>
      <c r="AX1847" s="92"/>
    </row>
    <row r="1848" customFormat="false" ht="15.65" hidden="false" customHeight="false" outlineLevel="0" collapsed="false">
      <c r="C1848" s="72" t="n">
        <f aca="false">COUNTIFS($D$6:D1848,"&lt;&gt;"&amp;"")</f>
        <v>1843</v>
      </c>
      <c r="D1848" s="73" t="s">
        <v>12</v>
      </c>
      <c r="E1848" s="76" t="str">
        <f aca="false">
IF($D1848="정상",INDEX(임대자산!$D$3:$R$3000,MATCH($F1848,임대자산!$I$3:$I$3000,0),MATCH(E$3,임대자산!$D$3:$R$3,0)),
IF($D1848="폐업",INDEX(폐업정보!$D$3:$R$3000,MATCH($F1848,폐업정보!$I$3:$I$3000,0),MATCH(E$3,폐업정보!$D$3:$R$3,0)),
"Error"))</f>
        <v>전라</v>
      </c>
      <c r="F184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B1843</v>
      </c>
      <c r="G1848" s="76" t="str">
        <f aca="false">F1848&amp;RANDBETWEEN(0,10)</f>
        <v>B18438</v>
      </c>
      <c r="H1848" s="75" t="n">
        <f aca="false">
IF($D1848="정상",INDEX(임대자산!$D$3:$R$3000,MATCH($F1848,임대자산!$I$3:$I$3000,0),MATCH(H$4,임대자산!$D$3:$R$3,0)),
IF($D1848="폐업",INDEX(폐업정보!$D$3:$R$3000,MATCH($F1848,폐업정보!$I$3:$I$3000,0),MATCH(H$4,폐업정보!$D$3:$R$3,0)),
"Error"))</f>
        <v>45924</v>
      </c>
      <c r="I1848" s="75" t="str">
        <f aca="false">
IF($D1848="정상",INDEX(임대자산!$D$3:$R$3000,MATCH($F1848,임대자산!$I$3:$I$3000,0),MATCH(I$4,임대자산!$D$3:$R$3,0)),
IF($D1848="폐업",INDEX(폐업정보!$D$3:$R$3000,MATCH($F1848,폐업정보!$I$3:$I$3000,0),MATCH(I$4,폐업정보!$D$3:$R$3,0)),
"Error"))</f>
        <v>A1843</v>
      </c>
      <c r="J1848" s="75" t="str">
        <f aca="false">
IF($D1848="정상",INDEX(임대자산!$D$3:$R$3000,MATCH($F1848,임대자산!$I$3:$I$3000,0),MATCH(J$4,임대자산!$D$3:$R$3,0)),
IF($D1848="폐업",INDEX(폐업정보!$D$3:$R$3000,MATCH($F1848,폐업정보!$I$3:$I$3000,0),MATCH(J$4,폐업정보!$D$3:$R$3,0)),
"Error"))</f>
        <v>7833000000</v>
      </c>
      <c r="K1848" s="75" t="str">
        <f aca="false">
IF($D1848="정상",INDEX(임대자산!$D$3:$R$3000,MATCH($F1848,임대자산!$I$3:$I$3000,0),MATCH(K$4,임대자산!$D$3:$R$3,0)),
IF($D1848="폐업",INDEX(폐업정보!$D$3:$R$3000,MATCH($F1848,폐업정보!$I$3:$I$3000,0),MATCH(K$4,폐업정보!$D$3:$R$3,0)),
"Error"))</f>
        <v>C1843</v>
      </c>
      <c r="L1848" s="75" t="str">
        <f aca="false">
IF($D1848="정상",INDEX(임대자산!$D$3:$R$3000,MATCH($F1848,임대자산!$I$3:$I$3000,0),MATCH(L$4,임대자산!$D$3:$R$3,0)),
IF($D1848="폐업",INDEX(폐업정보!$D$3:$R$3000,MATCH($F1848,폐업정보!$I$3:$I$3000,0),MATCH(L$4,폐업정보!$D$3:$R$3,0)),
"Error"))</f>
        <v>D1843</v>
      </c>
      <c r="M1848" s="76" t="s">
        <v>96</v>
      </c>
      <c r="N1848" s="77"/>
      <c r="O1848" s="78" t="s">
        <v>97</v>
      </c>
      <c r="P1848" s="79" t="n">
        <f aca="false">COUNTIFS(임대자산!$I:$I,가맹점정보!F1848,임대자산!$N:$N,가맹점정보!P$4)</f>
        <v>0</v>
      </c>
      <c r="Q1848" s="80" t="n">
        <f aca="false">COUNTIFS(임대자산!$I:$I,가맹점정보!F1848,임대자산!$N:$N,가맹점정보!Q$4)</f>
        <v>0</v>
      </c>
      <c r="R1848" s="81" t="n">
        <f aca="false">COUNTIFS(임대자산!$I:$I,가맹점정보!F1848,임대자산!$N:$N,가맹점정보!R$4)</f>
        <v>1</v>
      </c>
      <c r="S1848" s="82" t="n">
        <v>55000</v>
      </c>
      <c r="T1848" s="83" t="n">
        <v>0</v>
      </c>
      <c r="U1848" s="80" t="n">
        <f aca="false">SUM(S1848:T1848)</f>
        <v>55000</v>
      </c>
      <c r="V1848" s="84" t="s">
        <v>12</v>
      </c>
      <c r="W1848" s="80" t="e">
        <f aca="true">
IF(D1848="폐업","폐업",
IF(V1848="면제","면제",
IF(AND(V1848="정상",COUNTIFS(OFFSET(Y1848,0,COUNTA(Y1848:AV1848)-1,1,-4),"미납")&gt;=3),"장기미납",
IF(AND(V1848="정상",OFFSET(Y1848,0,COUNTA(Y1848:AV1848)-1)&gt;=U1848),"정상",
IF(AND(V1848="정상",OFFSET(Y1848,0,COUNTA(Y1848:AV1848)-1)=0),"정상",
"계약서 미작성")))))</f>
        <v>#VALUE!</v>
      </c>
      <c r="X1848" s="81" t="str">
        <f aca="true">
IF(D1848="폐업","폐업",
IF(AND(V1848="정상",OFFSET(Y1848,0,COUNTA(Y1848:AV1848)-1)="미납"),"미납",
IF(AND(V1848="정상",OFFSET(Y1848,0,COUNTA(Y1848:AV1848)-1)=0),"납부 시작 전",
IF(AND(V1848="정상",OFFSET(Y1848,0,COUNTA(Y1848:AV1848)-1)&gt;=U1848),"정상",
IF(AND(V1848="면제",OFFSET(Y1848,0,COUNTA(Y1848:AV1848)-1)="면제"),"면제",
IF(AND(V1848="면제",OFFSET(Y1848,0,COUNTA(Y1848:AV1848)-1)=0),"면제",
"확인요청"))))))</f>
        <v>정상</v>
      </c>
      <c r="Y1848" s="93" t="n">
        <v>0</v>
      </c>
      <c r="Z1848" s="90" t="n">
        <v>0</v>
      </c>
      <c r="AA1848" s="90" t="n">
        <v>55000</v>
      </c>
      <c r="AB1848" s="90" t="n">
        <v>55000</v>
      </c>
      <c r="AC1848" s="90" t="n">
        <v>55000</v>
      </c>
      <c r="AD1848" s="90" t="n">
        <v>55000</v>
      </c>
      <c r="AE1848" s="90" t="n">
        <v>55000</v>
      </c>
      <c r="AF1848" s="90" t="n">
        <v>55000</v>
      </c>
      <c r="AG1848" s="90" t="n">
        <v>55000</v>
      </c>
      <c r="AH1848" s="90" t="n">
        <v>55000</v>
      </c>
      <c r="AI1848" s="90" t="n">
        <v>55000</v>
      </c>
      <c r="AJ1848" s="91" t="n">
        <v>55000</v>
      </c>
      <c r="AK1848" s="89" t="n">
        <v>55000</v>
      </c>
      <c r="AL1848" s="90" t="n">
        <v>55000</v>
      </c>
      <c r="AM1848" s="90"/>
      <c r="AN1848" s="90"/>
      <c r="AO1848" s="90"/>
      <c r="AP1848" s="90"/>
      <c r="AQ1848" s="90"/>
      <c r="AR1848" s="90"/>
      <c r="AS1848" s="90"/>
      <c r="AT1848" s="90"/>
      <c r="AU1848" s="90"/>
      <c r="AV1848" s="91"/>
      <c r="AX1848" s="92"/>
    </row>
    <row r="1849" customFormat="false" ht="15.65" hidden="false" customHeight="false" outlineLevel="0" collapsed="false">
      <c r="C1849" s="72" t="n">
        <f aca="false">COUNTIFS($D$6:D1849,"&lt;&gt;"&amp;"")</f>
        <v>1844</v>
      </c>
      <c r="D1849" s="73" t="s">
        <v>12</v>
      </c>
      <c r="E1849" s="76" t="str">
        <f aca="false">
IF($D1849="정상",INDEX(임대자산!$D$3:$R$3000,MATCH($F1849,임대자산!$I$3:$I$3000,0),MATCH(E$3,임대자산!$D$3:$R$3,0)),
IF($D1849="폐업",INDEX(폐업정보!$D$3:$R$3000,MATCH($F1849,폐업정보!$I$3:$I$3000,0),MATCH(E$3,폐업정보!$D$3:$R$3,0)),
"Error"))</f>
        <v>전라</v>
      </c>
      <c r="F184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B1844</v>
      </c>
      <c r="G1849" s="76" t="str">
        <f aca="false">F1849&amp;RANDBETWEEN(0,10)</f>
        <v>B18441</v>
      </c>
      <c r="H1849" s="75" t="n">
        <f aca="false">
IF($D1849="정상",INDEX(임대자산!$D$3:$R$3000,MATCH($F1849,임대자산!$I$3:$I$3000,0),MATCH(H$4,임대자산!$D$3:$R$3,0)),
IF($D1849="폐업",INDEX(폐업정보!$D$3:$R$3000,MATCH($F1849,폐업정보!$I$3:$I$3000,0),MATCH(H$4,폐업정보!$D$3:$R$3,0)),
"Error"))</f>
        <v>45926</v>
      </c>
      <c r="I1849" s="75" t="str">
        <f aca="false">
IF($D1849="정상",INDEX(임대자산!$D$3:$R$3000,MATCH($F1849,임대자산!$I$3:$I$3000,0),MATCH(I$4,임대자산!$D$3:$R$3,0)),
IF($D1849="폐업",INDEX(폐업정보!$D$3:$R$3000,MATCH($F1849,폐업정보!$I$3:$I$3000,0),MATCH(I$4,폐업정보!$D$3:$R$3,0)),
"Error"))</f>
        <v>A1844</v>
      </c>
      <c r="J1849" s="75" t="str">
        <f aca="false">
IF($D1849="정상",INDEX(임대자산!$D$3:$R$3000,MATCH($F1849,임대자산!$I$3:$I$3000,0),MATCH(J$4,임대자산!$D$3:$R$3,0)),
IF($D1849="폐업",INDEX(폐업정보!$D$3:$R$3000,MATCH($F1849,폐업정보!$I$3:$I$3000,0),MATCH(J$4,폐업정보!$D$3:$R$3,0)),
"Error"))</f>
        <v>8398500000</v>
      </c>
      <c r="K1849" s="75" t="str">
        <f aca="false">
IF($D1849="정상",INDEX(임대자산!$D$3:$R$3000,MATCH($F1849,임대자산!$I$3:$I$3000,0),MATCH(K$4,임대자산!$D$3:$R$3,0)),
IF($D1849="폐업",INDEX(폐업정보!$D$3:$R$3000,MATCH($F1849,폐업정보!$I$3:$I$3000,0),MATCH(K$4,폐업정보!$D$3:$R$3,0)),
"Error"))</f>
        <v>C1844</v>
      </c>
      <c r="L1849" s="75" t="str">
        <f aca="false">
IF($D1849="정상",INDEX(임대자산!$D$3:$R$3000,MATCH($F1849,임대자산!$I$3:$I$3000,0),MATCH(L$4,임대자산!$D$3:$R$3,0)),
IF($D1849="폐업",INDEX(폐업정보!$D$3:$R$3000,MATCH($F1849,폐업정보!$I$3:$I$3000,0),MATCH(L$4,폐업정보!$D$3:$R$3,0)),
"Error"))</f>
        <v>D1844</v>
      </c>
      <c r="M1849" s="76" t="s">
        <v>96</v>
      </c>
      <c r="N1849" s="77"/>
      <c r="O1849" s="78" t="s">
        <v>97</v>
      </c>
      <c r="P1849" s="79" t="n">
        <f aca="false">COUNTIFS(임대자산!$I:$I,가맹점정보!F1849,임대자산!$N:$N,가맹점정보!P$4)</f>
        <v>0</v>
      </c>
      <c r="Q1849" s="80" t="n">
        <f aca="false">COUNTIFS(임대자산!$I:$I,가맹점정보!F1849,임대자산!$N:$N,가맹점정보!Q$4)</f>
        <v>0</v>
      </c>
      <c r="R1849" s="81" t="n">
        <f aca="false">COUNTIFS(임대자산!$I:$I,가맹점정보!F1849,임대자산!$N:$N,가맹점정보!R$4)</f>
        <v>1</v>
      </c>
      <c r="S1849" s="82" t="n">
        <v>55000</v>
      </c>
      <c r="T1849" s="83" t="n">
        <v>0</v>
      </c>
      <c r="U1849" s="80" t="n">
        <f aca="false">SUM(S1849:T1849)</f>
        <v>55000</v>
      </c>
      <c r="V1849" s="84" t="s">
        <v>12</v>
      </c>
      <c r="W1849" s="80" t="e">
        <f aca="true">
IF(D1849="폐업","폐업",
IF(V1849="면제","면제",
IF(AND(V1849="정상",COUNTIFS(OFFSET(Y1849,0,COUNTA(Y1849:AV1849)-1,1,-4),"미납")&gt;=3),"장기미납",
IF(AND(V1849="정상",OFFSET(Y1849,0,COUNTA(Y1849:AV1849)-1)&gt;=U1849),"정상",
IF(AND(V1849="정상",OFFSET(Y1849,0,COUNTA(Y1849:AV1849)-1)=0),"정상",
"계약서 미작성")))))</f>
        <v>#VALUE!</v>
      </c>
      <c r="X1849" s="81" t="str">
        <f aca="true">
IF(D1849="폐업","폐업",
IF(AND(V1849="정상",OFFSET(Y1849,0,COUNTA(Y1849:AV1849)-1)="미납"),"미납",
IF(AND(V1849="정상",OFFSET(Y1849,0,COUNTA(Y1849:AV1849)-1)=0),"납부 시작 전",
IF(AND(V1849="정상",OFFSET(Y1849,0,COUNTA(Y1849:AV1849)-1)&gt;=U1849),"정상",
IF(AND(V1849="면제",OFFSET(Y1849,0,COUNTA(Y1849:AV1849)-1)="면제"),"면제",
IF(AND(V1849="면제",OFFSET(Y1849,0,COUNTA(Y1849:AV1849)-1)=0),"면제",
"확인요청"))))))</f>
        <v>정상</v>
      </c>
      <c r="Y1849" s="93" t="n">
        <v>0</v>
      </c>
      <c r="Z1849" s="90" t="n">
        <v>0</v>
      </c>
      <c r="AA1849" s="90" t="n">
        <v>55000</v>
      </c>
      <c r="AB1849" s="90" t="n">
        <v>55000</v>
      </c>
      <c r="AC1849" s="90" t="n">
        <v>55000</v>
      </c>
      <c r="AD1849" s="90" t="n">
        <v>55000</v>
      </c>
      <c r="AE1849" s="90" t="n">
        <v>55000</v>
      </c>
      <c r="AF1849" s="90" t="n">
        <v>55000</v>
      </c>
      <c r="AG1849" s="90" t="n">
        <v>55000</v>
      </c>
      <c r="AH1849" s="90" t="n">
        <v>55000</v>
      </c>
      <c r="AI1849" s="90" t="n">
        <v>55000</v>
      </c>
      <c r="AJ1849" s="91" t="n">
        <v>55000</v>
      </c>
      <c r="AK1849" s="89" t="n">
        <v>55000</v>
      </c>
      <c r="AL1849" s="90" t="n">
        <v>55000</v>
      </c>
      <c r="AM1849" s="90"/>
      <c r="AN1849" s="90"/>
      <c r="AO1849" s="90"/>
      <c r="AP1849" s="90"/>
      <c r="AQ1849" s="90"/>
      <c r="AR1849" s="90"/>
      <c r="AS1849" s="90"/>
      <c r="AT1849" s="90"/>
      <c r="AU1849" s="90"/>
      <c r="AV1849" s="91"/>
      <c r="AX1849" s="92"/>
    </row>
    <row r="1850" customFormat="false" ht="15.65" hidden="false" customHeight="false" outlineLevel="0" collapsed="false">
      <c r="C1850" s="72" t="n">
        <f aca="false">COUNTIFS($D$6:D1850,"&lt;&gt;"&amp;"")</f>
        <v>1845</v>
      </c>
      <c r="D1850" s="73" t="s">
        <v>12</v>
      </c>
      <c r="E1850" s="76" t="str">
        <f aca="false">
IF($D1850="정상",INDEX(임대자산!$D$3:$R$3000,MATCH($F1850,임대자산!$I$3:$I$3000,0),MATCH(E$3,임대자산!$D$3:$R$3,0)),
IF($D1850="폐업",INDEX(폐업정보!$D$3:$R$3000,MATCH($F1850,폐업정보!$I$3:$I$3000,0),MATCH(E$3,폐업정보!$D$3:$R$3,0)),
"Error"))</f>
        <v>전라</v>
      </c>
      <c r="F185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B1845</v>
      </c>
      <c r="G1850" s="76" t="str">
        <f aca="false">F1850&amp;RANDBETWEEN(0,10)</f>
        <v>B18456</v>
      </c>
      <c r="H1850" s="75" t="n">
        <f aca="false">
IF($D1850="정상",INDEX(임대자산!$D$3:$R$3000,MATCH($F1850,임대자산!$I$3:$I$3000,0),MATCH(H$4,임대자산!$D$3:$R$3,0)),
IF($D1850="폐업",INDEX(폐업정보!$D$3:$R$3000,MATCH($F1850,폐업정보!$I$3:$I$3000,0),MATCH(H$4,폐업정보!$D$3:$R$3,0)),
"Error"))</f>
        <v>45926</v>
      </c>
      <c r="I1850" s="75" t="str">
        <f aca="false">
IF($D1850="정상",INDEX(임대자산!$D$3:$R$3000,MATCH($F1850,임대자산!$I$3:$I$3000,0),MATCH(I$4,임대자산!$D$3:$R$3,0)),
IF($D1850="폐업",INDEX(폐업정보!$D$3:$R$3000,MATCH($F1850,폐업정보!$I$3:$I$3000,0),MATCH(I$4,폐업정보!$D$3:$R$3,0)),
"Error"))</f>
        <v>A1845</v>
      </c>
      <c r="J1850" s="75" t="str">
        <f aca="false">
IF($D1850="정상",INDEX(임대자산!$D$3:$R$3000,MATCH($F1850,임대자산!$I$3:$I$3000,0),MATCH(J$4,임대자산!$D$3:$R$3,0)),
IF($D1850="폐업",INDEX(폐업정보!$D$3:$R$3000,MATCH($F1850,폐업정보!$I$3:$I$3000,0),MATCH(J$4,폐업정보!$D$3:$R$3,0)),
"Error"))</f>
        <v>6019200000</v>
      </c>
      <c r="K1850" s="75" t="str">
        <f aca="false">
IF($D1850="정상",INDEX(임대자산!$D$3:$R$3000,MATCH($F1850,임대자산!$I$3:$I$3000,0),MATCH(K$4,임대자산!$D$3:$R$3,0)),
IF($D1850="폐업",INDEX(폐업정보!$D$3:$R$3000,MATCH($F1850,폐업정보!$I$3:$I$3000,0),MATCH(K$4,폐업정보!$D$3:$R$3,0)),
"Error"))</f>
        <v>C1845</v>
      </c>
      <c r="L1850" s="75" t="str">
        <f aca="false">
IF($D1850="정상",INDEX(임대자산!$D$3:$R$3000,MATCH($F1850,임대자산!$I$3:$I$3000,0),MATCH(L$4,임대자산!$D$3:$R$3,0)),
IF($D1850="폐업",INDEX(폐업정보!$D$3:$R$3000,MATCH($F1850,폐업정보!$I$3:$I$3000,0),MATCH(L$4,폐업정보!$D$3:$R$3,0)),
"Error"))</f>
        <v>D1845</v>
      </c>
      <c r="M1850" s="76" t="s">
        <v>96</v>
      </c>
      <c r="N1850" s="77"/>
      <c r="O1850" s="78" t="s">
        <v>97</v>
      </c>
      <c r="P1850" s="79" t="n">
        <f aca="false">COUNTIFS(임대자산!$I:$I,가맹점정보!F1850,임대자산!$N:$N,가맹점정보!P$4)</f>
        <v>0</v>
      </c>
      <c r="Q1850" s="80" t="n">
        <f aca="false">COUNTIFS(임대자산!$I:$I,가맹점정보!F1850,임대자산!$N:$N,가맹점정보!Q$4)</f>
        <v>0</v>
      </c>
      <c r="R1850" s="81" t="n">
        <f aca="false">COUNTIFS(임대자산!$I:$I,가맹점정보!F1850,임대자산!$N:$N,가맹점정보!R$4)</f>
        <v>1</v>
      </c>
      <c r="S1850" s="82" t="n">
        <v>88000</v>
      </c>
      <c r="T1850" s="83" t="n">
        <v>0</v>
      </c>
      <c r="U1850" s="80" t="n">
        <f aca="false">SUM(S1850:T1850)</f>
        <v>88000</v>
      </c>
      <c r="V1850" s="84" t="s">
        <v>7</v>
      </c>
      <c r="W1850" s="80" t="str">
        <f aca="true">
IF(D1850="폐업","폐업",
IF(V1850="면제","면제",
IF(AND(V1850="정상",COUNTIFS(OFFSET(Y1850,0,COUNTA(Y1850:AV1850)-1,1,-4),"미납")&gt;=3),"장기미납",
IF(AND(V1850="정상",OFFSET(Y1850,0,COUNTA(Y1850:AV1850)-1)&gt;=U1850),"정상",
IF(AND(V1850="정상",OFFSET(Y1850,0,COUNTA(Y1850:AV1850)-1)=0),"정상",
"계약서 미작성")))))</f>
        <v>면제</v>
      </c>
      <c r="X1850" s="81" t="str">
        <f aca="true">
IF(D1850="폐업","폐업",
IF(AND(V1850="정상",OFFSET(Y1850,0,COUNTA(Y1850:AV1850)-1)="미납"),"미납",
IF(AND(V1850="정상",OFFSET(Y1850,0,COUNTA(Y1850:AV1850)-1)=0),"납부 시작 전",
IF(AND(V1850="정상",OFFSET(Y1850,0,COUNTA(Y1850:AV1850)-1)&gt;=U1850),"정상",
IF(AND(V1850="면제",OFFSET(Y1850,0,COUNTA(Y1850:AV1850)-1)="면제"),"면제",
IF(AND(V1850="면제",OFFSET(Y1850,0,COUNTA(Y1850:AV1850)-1)=0),"면제",
"확인요청"))))))</f>
        <v>면제</v>
      </c>
      <c r="Y1850" s="94" t="s">
        <v>7</v>
      </c>
      <c r="Z1850" s="95" t="s">
        <v>7</v>
      </c>
      <c r="AA1850" s="95" t="s">
        <v>7</v>
      </c>
      <c r="AB1850" s="95" t="s">
        <v>7</v>
      </c>
      <c r="AC1850" s="95" t="s">
        <v>7</v>
      </c>
      <c r="AD1850" s="95" t="s">
        <v>7</v>
      </c>
      <c r="AE1850" s="95" t="s">
        <v>7</v>
      </c>
      <c r="AF1850" s="95" t="s">
        <v>7</v>
      </c>
      <c r="AG1850" s="95" t="s">
        <v>7</v>
      </c>
      <c r="AH1850" s="95" t="s">
        <v>7</v>
      </c>
      <c r="AI1850" s="95" t="s">
        <v>7</v>
      </c>
      <c r="AJ1850" s="96" t="s">
        <v>7</v>
      </c>
      <c r="AK1850" s="97" t="s">
        <v>7</v>
      </c>
      <c r="AL1850" s="95" t="s">
        <v>7</v>
      </c>
      <c r="AM1850" s="90"/>
      <c r="AN1850" s="90"/>
      <c r="AO1850" s="90"/>
      <c r="AP1850" s="90"/>
      <c r="AQ1850" s="90"/>
      <c r="AR1850" s="90"/>
      <c r="AS1850" s="90"/>
      <c r="AT1850" s="90"/>
      <c r="AU1850" s="90"/>
      <c r="AV1850" s="91"/>
      <c r="AX1850" s="92"/>
    </row>
    <row r="1851" customFormat="false" ht="15.65" hidden="false" customHeight="false" outlineLevel="0" collapsed="false">
      <c r="C1851" s="72" t="n">
        <f aca="false">COUNTIFS($D$6:D1851,"&lt;&gt;"&amp;"")</f>
        <v>1846</v>
      </c>
      <c r="D1851" s="73" t="s">
        <v>12</v>
      </c>
      <c r="E1851" s="76" t="str">
        <f aca="false">
IF($D1851="정상",INDEX(임대자산!$D$3:$R$3000,MATCH($F1851,임대자산!$I$3:$I$3000,0),MATCH(E$3,임대자산!$D$3:$R$3,0)),
IF($D1851="폐업",INDEX(폐업정보!$D$3:$R$3000,MATCH($F1851,폐업정보!$I$3:$I$3000,0),MATCH(E$3,폐업정보!$D$3:$R$3,0)),
"Error"))</f>
        <v>전라</v>
      </c>
      <c r="F185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B1846</v>
      </c>
      <c r="G1851" s="76" t="str">
        <f aca="false">F1851&amp;RANDBETWEEN(0,10)</f>
        <v>B18468</v>
      </c>
      <c r="H1851" s="75" t="n">
        <f aca="false">
IF($D1851="정상",INDEX(임대자산!$D$3:$R$3000,MATCH($F1851,임대자산!$I$3:$I$3000,0),MATCH(H$4,임대자산!$D$3:$R$3,0)),
IF($D1851="폐업",INDEX(폐업정보!$D$3:$R$3000,MATCH($F1851,폐업정보!$I$3:$I$3000,0),MATCH(H$4,폐업정보!$D$3:$R$3,0)),
"Error"))</f>
        <v>45925</v>
      </c>
      <c r="I1851" s="75" t="str">
        <f aca="false">
IF($D1851="정상",INDEX(임대자산!$D$3:$R$3000,MATCH($F1851,임대자산!$I$3:$I$3000,0),MATCH(I$4,임대자산!$D$3:$R$3,0)),
IF($D1851="폐업",INDEX(폐업정보!$D$3:$R$3000,MATCH($F1851,폐업정보!$I$3:$I$3000,0),MATCH(I$4,폐업정보!$D$3:$R$3,0)),
"Error"))</f>
        <v>A1846</v>
      </c>
      <c r="J1851" s="75" t="str">
        <f aca="false">
IF($D1851="정상",INDEX(임대자산!$D$3:$R$3000,MATCH($F1851,임대자산!$I$3:$I$3000,0),MATCH(J$4,임대자산!$D$3:$R$3,0)),
IF($D1851="폐업",INDEX(폐업정보!$D$3:$R$3000,MATCH($F1851,폐업정보!$I$3:$I$3000,0),MATCH(J$4,폐업정보!$D$3:$R$3,0)),
"Error"))</f>
        <v>5679200000</v>
      </c>
      <c r="K1851" s="75" t="str">
        <f aca="false">
IF($D1851="정상",INDEX(임대자산!$D$3:$R$3000,MATCH($F1851,임대자산!$I$3:$I$3000,0),MATCH(K$4,임대자산!$D$3:$R$3,0)),
IF($D1851="폐업",INDEX(폐업정보!$D$3:$R$3000,MATCH($F1851,폐업정보!$I$3:$I$3000,0),MATCH(K$4,폐업정보!$D$3:$R$3,0)),
"Error"))</f>
        <v>C1846</v>
      </c>
      <c r="L1851" s="75" t="str">
        <f aca="false">
IF($D1851="정상",INDEX(임대자산!$D$3:$R$3000,MATCH($F1851,임대자산!$I$3:$I$3000,0),MATCH(L$4,임대자산!$D$3:$R$3,0)),
IF($D1851="폐업",INDEX(폐업정보!$D$3:$R$3000,MATCH($F1851,폐업정보!$I$3:$I$3000,0),MATCH(L$4,폐업정보!$D$3:$R$3,0)),
"Error"))</f>
        <v>D1846</v>
      </c>
      <c r="M1851" s="76" t="s">
        <v>96</v>
      </c>
      <c r="N1851" s="77"/>
      <c r="O1851" s="78" t="s">
        <v>97</v>
      </c>
      <c r="P1851" s="79" t="n">
        <f aca="false">COUNTIFS(임대자산!$I:$I,가맹점정보!F1851,임대자산!$N:$N,가맹점정보!P$4)</f>
        <v>0</v>
      </c>
      <c r="Q1851" s="80" t="n">
        <f aca="false">COUNTIFS(임대자산!$I:$I,가맹점정보!F1851,임대자산!$N:$N,가맹점정보!Q$4)</f>
        <v>0</v>
      </c>
      <c r="R1851" s="81" t="n">
        <f aca="false">COUNTIFS(임대자산!$I:$I,가맹점정보!F1851,임대자산!$N:$N,가맹점정보!R$4)</f>
        <v>1</v>
      </c>
      <c r="S1851" s="82" t="n">
        <v>55000</v>
      </c>
      <c r="T1851" s="83" t="n">
        <v>0</v>
      </c>
      <c r="U1851" s="80" t="n">
        <f aca="false">SUM(S1851:T1851)</f>
        <v>55000</v>
      </c>
      <c r="V1851" s="84" t="s">
        <v>12</v>
      </c>
      <c r="W1851" s="80" t="e">
        <f aca="true">
IF(D1851="폐업","폐업",
IF(V1851="면제","면제",
IF(AND(V1851="정상",COUNTIFS(OFFSET(Y1851,0,COUNTA(Y1851:AV1851)-1,1,-4),"미납")&gt;=3),"장기미납",
IF(AND(V1851="정상",OFFSET(Y1851,0,COUNTA(Y1851:AV1851)-1)&gt;=U1851),"정상",
IF(AND(V1851="정상",OFFSET(Y1851,0,COUNTA(Y1851:AV1851)-1)=0),"정상",
"계약서 미작성")))))</f>
        <v>#VALUE!</v>
      </c>
      <c r="X1851" s="81" t="str">
        <f aca="true">
IF(D1851="폐업","폐업",
IF(AND(V1851="정상",OFFSET(Y1851,0,COUNTA(Y1851:AV1851)-1)="미납"),"미납",
IF(AND(V1851="정상",OFFSET(Y1851,0,COUNTA(Y1851:AV1851)-1)=0),"납부 시작 전",
IF(AND(V1851="정상",OFFSET(Y1851,0,COUNTA(Y1851:AV1851)-1)&gt;=U1851),"정상",
IF(AND(V1851="면제",OFFSET(Y1851,0,COUNTA(Y1851:AV1851)-1)="면제"),"면제",
IF(AND(V1851="면제",OFFSET(Y1851,0,COUNTA(Y1851:AV1851)-1)=0),"면제",
"확인요청"))))))</f>
        <v>정상</v>
      </c>
      <c r="Y1851" s="93" t="n">
        <v>0</v>
      </c>
      <c r="Z1851" s="90" t="n">
        <v>0</v>
      </c>
      <c r="AA1851" s="90" t="n">
        <v>55000</v>
      </c>
      <c r="AB1851" s="90" t="n">
        <v>55000</v>
      </c>
      <c r="AC1851" s="90" t="n">
        <v>55000</v>
      </c>
      <c r="AD1851" s="90" t="n">
        <v>55000</v>
      </c>
      <c r="AE1851" s="90" t="n">
        <v>55000</v>
      </c>
      <c r="AF1851" s="90" t="n">
        <v>55000</v>
      </c>
      <c r="AG1851" s="90" t="n">
        <v>55000</v>
      </c>
      <c r="AH1851" s="90" t="n">
        <v>55000</v>
      </c>
      <c r="AI1851" s="90" t="n">
        <v>55000</v>
      </c>
      <c r="AJ1851" s="91" t="n">
        <v>55000</v>
      </c>
      <c r="AK1851" s="89" t="n">
        <v>55000</v>
      </c>
      <c r="AL1851" s="90" t="n">
        <v>55000</v>
      </c>
      <c r="AM1851" s="90"/>
      <c r="AN1851" s="90"/>
      <c r="AO1851" s="90"/>
      <c r="AP1851" s="90"/>
      <c r="AQ1851" s="90"/>
      <c r="AR1851" s="90"/>
      <c r="AS1851" s="90"/>
      <c r="AT1851" s="90"/>
      <c r="AU1851" s="90"/>
      <c r="AV1851" s="91"/>
      <c r="AX1851" s="92"/>
    </row>
    <row r="1852" customFormat="false" ht="15.65" hidden="false" customHeight="false" outlineLevel="0" collapsed="false">
      <c r="C1852" s="72" t="n">
        <f aca="false">COUNTIFS($D$6:D1852,"&lt;&gt;"&amp;"")</f>
        <v>1847</v>
      </c>
      <c r="D1852" s="73" t="s">
        <v>12</v>
      </c>
      <c r="E1852" s="76" t="str">
        <f aca="false">
IF($D1852="정상",INDEX(임대자산!$D$3:$R$3000,MATCH($F1852,임대자산!$I$3:$I$3000,0),MATCH(E$3,임대자산!$D$3:$R$3,0)),
IF($D1852="폐업",INDEX(폐업정보!$D$3:$R$3000,MATCH($F1852,폐업정보!$I$3:$I$3000,0),MATCH(E$3,폐업정보!$D$3:$R$3,0)),
"Error"))</f>
        <v>서울</v>
      </c>
      <c r="F185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B1847</v>
      </c>
      <c r="G1852" s="76" t="str">
        <f aca="false">F1852&amp;RANDBETWEEN(0,10)</f>
        <v>B18470</v>
      </c>
      <c r="H1852" s="75" t="n">
        <f aca="false">
IF($D1852="정상",INDEX(임대자산!$D$3:$R$3000,MATCH($F1852,임대자산!$I$3:$I$3000,0),MATCH(H$4,임대자산!$D$3:$R$3,0)),
IF($D1852="폐업",INDEX(폐업정보!$D$3:$R$3000,MATCH($F1852,폐업정보!$I$3:$I$3000,0),MATCH(H$4,폐업정보!$D$3:$R$3,0)),
"Error"))</f>
        <v>45922</v>
      </c>
      <c r="I1852" s="75" t="str">
        <f aca="false">
IF($D1852="정상",INDEX(임대자산!$D$3:$R$3000,MATCH($F1852,임대자산!$I$3:$I$3000,0),MATCH(I$4,임대자산!$D$3:$R$3,0)),
IF($D1852="폐업",INDEX(폐업정보!$D$3:$R$3000,MATCH($F1852,폐업정보!$I$3:$I$3000,0),MATCH(I$4,폐업정보!$D$3:$R$3,0)),
"Error"))</f>
        <v>A1847</v>
      </c>
      <c r="J1852" s="75" t="str">
        <f aca="false">
IF($D1852="정상",INDEX(임대자산!$D$3:$R$3000,MATCH($F1852,임대자산!$I$3:$I$3000,0),MATCH(J$4,임대자산!$D$3:$R$3,0)),
IF($D1852="폐업",INDEX(폐업정보!$D$3:$R$3000,MATCH($F1852,폐업정보!$I$3:$I$3000,0),MATCH(J$4,폐업정보!$D$3:$R$3,0)),
"Error"))</f>
        <v>9821200000</v>
      </c>
      <c r="K1852" s="75" t="str">
        <f aca="false">
IF($D1852="정상",INDEX(임대자산!$D$3:$R$3000,MATCH($F1852,임대자산!$I$3:$I$3000,0),MATCH(K$4,임대자산!$D$3:$R$3,0)),
IF($D1852="폐업",INDEX(폐업정보!$D$3:$R$3000,MATCH($F1852,폐업정보!$I$3:$I$3000,0),MATCH(K$4,폐업정보!$D$3:$R$3,0)),
"Error"))</f>
        <v>C1847</v>
      </c>
      <c r="L1852" s="75" t="str">
        <f aca="false">
IF($D1852="정상",INDEX(임대자산!$D$3:$R$3000,MATCH($F1852,임대자산!$I$3:$I$3000,0),MATCH(L$4,임대자산!$D$3:$R$3,0)),
IF($D1852="폐업",INDEX(폐업정보!$D$3:$R$3000,MATCH($F1852,폐업정보!$I$3:$I$3000,0),MATCH(L$4,폐업정보!$D$3:$R$3,0)),
"Error"))</f>
        <v>D1847</v>
      </c>
      <c r="M1852" s="76" t="s">
        <v>96</v>
      </c>
      <c r="N1852" s="77"/>
      <c r="O1852" s="78" t="s">
        <v>97</v>
      </c>
      <c r="P1852" s="79" t="n">
        <f aca="false">COUNTIFS(임대자산!$I:$I,가맹점정보!F1852,임대자산!$N:$N,가맹점정보!P$4)</f>
        <v>0</v>
      </c>
      <c r="Q1852" s="80" t="n">
        <f aca="false">COUNTIFS(임대자산!$I:$I,가맹점정보!F1852,임대자산!$N:$N,가맹점정보!Q$4)</f>
        <v>0</v>
      </c>
      <c r="R1852" s="81" t="n">
        <f aca="false">COUNTIFS(임대자산!$I:$I,가맹점정보!F1852,임대자산!$N:$N,가맹점정보!R$4)</f>
        <v>1</v>
      </c>
      <c r="S1852" s="82" t="n">
        <v>55000</v>
      </c>
      <c r="T1852" s="83" t="n">
        <v>0</v>
      </c>
      <c r="U1852" s="80" t="n">
        <f aca="false">SUM(S1852:T1852)</f>
        <v>55000</v>
      </c>
      <c r="V1852" s="84" t="s">
        <v>12</v>
      </c>
      <c r="W1852" s="80" t="e">
        <f aca="true">
IF(D1852="폐업","폐업",
IF(V1852="면제","면제",
IF(AND(V1852="정상",COUNTIFS(OFFSET(Y1852,0,COUNTA(Y1852:AV1852)-1,1,-4),"미납")&gt;=3),"장기미납",
IF(AND(V1852="정상",OFFSET(Y1852,0,COUNTA(Y1852:AV1852)-1)&gt;=U1852),"정상",
IF(AND(V1852="정상",OFFSET(Y1852,0,COUNTA(Y1852:AV1852)-1)=0),"정상",
"계약서 미작성")))))</f>
        <v>#VALUE!</v>
      </c>
      <c r="X1852" s="81" t="str">
        <f aca="true">
IF(D1852="폐업","폐업",
IF(AND(V1852="정상",OFFSET(Y1852,0,COUNTA(Y1852:AV1852)-1)="미납"),"미납",
IF(AND(V1852="정상",OFFSET(Y1852,0,COUNTA(Y1852:AV1852)-1)=0),"납부 시작 전",
IF(AND(V1852="정상",OFFSET(Y1852,0,COUNTA(Y1852:AV1852)-1)&gt;=U1852),"정상",
IF(AND(V1852="면제",OFFSET(Y1852,0,COUNTA(Y1852:AV1852)-1)="면제"),"면제",
IF(AND(V1852="면제",OFFSET(Y1852,0,COUNTA(Y1852:AV1852)-1)=0),"면제",
"확인요청"))))))</f>
        <v>정상</v>
      </c>
      <c r="Y1852" s="93" t="n">
        <v>0</v>
      </c>
      <c r="Z1852" s="90" t="n">
        <v>0</v>
      </c>
      <c r="AA1852" s="90" t="n">
        <v>55000</v>
      </c>
      <c r="AB1852" s="90" t="n">
        <v>55000</v>
      </c>
      <c r="AC1852" s="90" t="n">
        <v>55000</v>
      </c>
      <c r="AD1852" s="90" t="n">
        <v>55000</v>
      </c>
      <c r="AE1852" s="90" t="n">
        <v>55000</v>
      </c>
      <c r="AF1852" s="90" t="n">
        <v>55000</v>
      </c>
      <c r="AG1852" s="90" t="n">
        <v>55000</v>
      </c>
      <c r="AH1852" s="90" t="n">
        <v>55000</v>
      </c>
      <c r="AI1852" s="90" t="n">
        <v>55000</v>
      </c>
      <c r="AJ1852" s="91" t="n">
        <v>55000</v>
      </c>
      <c r="AK1852" s="89" t="n">
        <v>55000</v>
      </c>
      <c r="AL1852" s="90" t="n">
        <v>55000</v>
      </c>
      <c r="AM1852" s="90"/>
      <c r="AN1852" s="90"/>
      <c r="AO1852" s="90"/>
      <c r="AP1852" s="90"/>
      <c r="AQ1852" s="90"/>
      <c r="AR1852" s="90"/>
      <c r="AS1852" s="90"/>
      <c r="AT1852" s="90"/>
      <c r="AU1852" s="90"/>
      <c r="AV1852" s="91"/>
      <c r="AX1852" s="92"/>
    </row>
    <row r="1853" customFormat="false" ht="15.65" hidden="false" customHeight="false" outlineLevel="0" collapsed="false">
      <c r="C1853" s="72" t="n">
        <f aca="false">COUNTIFS($D$6:D1853,"&lt;&gt;"&amp;"")</f>
        <v>1848</v>
      </c>
      <c r="D1853" s="73" t="s">
        <v>12</v>
      </c>
      <c r="E1853" s="76" t="str">
        <f aca="false">
IF($D1853="정상",INDEX(임대자산!$D$3:$R$3000,MATCH($F1853,임대자산!$I$3:$I$3000,0),MATCH(E$3,임대자산!$D$3:$R$3,0)),
IF($D1853="폐업",INDEX(폐업정보!$D$3:$R$3000,MATCH($F1853,폐업정보!$I$3:$I$3000,0),MATCH(E$3,폐업정보!$D$3:$R$3,0)),
"Error"))</f>
        <v>서울</v>
      </c>
      <c r="F185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B1848</v>
      </c>
      <c r="G1853" s="76" t="str">
        <f aca="false">F1853&amp;RANDBETWEEN(0,10)</f>
        <v>B18482</v>
      </c>
      <c r="H1853" s="75" t="n">
        <f aca="false">
IF($D1853="정상",INDEX(임대자산!$D$3:$R$3000,MATCH($F1853,임대자산!$I$3:$I$3000,0),MATCH(H$4,임대자산!$D$3:$R$3,0)),
IF($D1853="폐업",INDEX(폐업정보!$D$3:$R$3000,MATCH($F1853,폐업정보!$I$3:$I$3000,0),MATCH(H$4,폐업정보!$D$3:$R$3,0)),
"Error"))</f>
        <v>45923</v>
      </c>
      <c r="I1853" s="75" t="str">
        <f aca="false">
IF($D1853="정상",INDEX(임대자산!$D$3:$R$3000,MATCH($F1853,임대자산!$I$3:$I$3000,0),MATCH(I$4,임대자산!$D$3:$R$3,0)),
IF($D1853="폐업",INDEX(폐업정보!$D$3:$R$3000,MATCH($F1853,폐업정보!$I$3:$I$3000,0),MATCH(I$4,폐업정보!$D$3:$R$3,0)),
"Error"))</f>
        <v>A1848</v>
      </c>
      <c r="J1853" s="75" t="str">
        <f aca="false">
IF($D1853="정상",INDEX(임대자산!$D$3:$R$3000,MATCH($F1853,임대자산!$I$3:$I$3000,0),MATCH(J$4,임대자산!$D$3:$R$3,0)),
IF($D1853="폐업",INDEX(폐업정보!$D$3:$R$3000,MATCH($F1853,폐업정보!$I$3:$I$3000,0),MATCH(J$4,폐업정보!$D$3:$R$3,0)),
"Error"))</f>
        <v>7760500000</v>
      </c>
      <c r="K1853" s="75" t="str">
        <f aca="false">
IF($D1853="정상",INDEX(임대자산!$D$3:$R$3000,MATCH($F1853,임대자산!$I$3:$I$3000,0),MATCH(K$4,임대자산!$D$3:$R$3,0)),
IF($D1853="폐업",INDEX(폐업정보!$D$3:$R$3000,MATCH($F1853,폐업정보!$I$3:$I$3000,0),MATCH(K$4,폐업정보!$D$3:$R$3,0)),
"Error"))</f>
        <v>C1848</v>
      </c>
      <c r="L1853" s="75" t="str">
        <f aca="false">
IF($D1853="정상",INDEX(임대자산!$D$3:$R$3000,MATCH($F1853,임대자산!$I$3:$I$3000,0),MATCH(L$4,임대자산!$D$3:$R$3,0)),
IF($D1853="폐업",INDEX(폐업정보!$D$3:$R$3000,MATCH($F1853,폐업정보!$I$3:$I$3000,0),MATCH(L$4,폐업정보!$D$3:$R$3,0)),
"Error"))</f>
        <v>D1848</v>
      </c>
      <c r="M1853" s="76" t="s">
        <v>96</v>
      </c>
      <c r="N1853" s="77"/>
      <c r="O1853" s="78" t="s">
        <v>97</v>
      </c>
      <c r="P1853" s="79" t="n">
        <f aca="false">COUNTIFS(임대자산!$I:$I,가맹점정보!F1853,임대자산!$N:$N,가맹점정보!P$4)</f>
        <v>0</v>
      </c>
      <c r="Q1853" s="80" t="n">
        <f aca="false">COUNTIFS(임대자산!$I:$I,가맹점정보!F1853,임대자산!$N:$N,가맹점정보!Q$4)</f>
        <v>0</v>
      </c>
      <c r="R1853" s="81" t="n">
        <f aca="false">COUNTIFS(임대자산!$I:$I,가맹점정보!F1853,임대자산!$N:$N,가맹점정보!R$4)</f>
        <v>1</v>
      </c>
      <c r="S1853" s="82" t="n">
        <v>88000</v>
      </c>
      <c r="T1853" s="83" t="n">
        <v>0</v>
      </c>
      <c r="U1853" s="80" t="n">
        <f aca="false">SUM(S1853:T1853)</f>
        <v>88000</v>
      </c>
      <c r="V1853" s="84" t="s">
        <v>7</v>
      </c>
      <c r="W1853" s="80" t="str">
        <f aca="true">
IF(D1853="폐업","폐업",
IF(V1853="면제","면제",
IF(AND(V1853="정상",COUNTIFS(OFFSET(Y1853,0,COUNTA(Y1853:AV1853)-1,1,-4),"미납")&gt;=3),"장기미납",
IF(AND(V1853="정상",OFFSET(Y1853,0,COUNTA(Y1853:AV1853)-1)&gt;=U1853),"정상",
IF(AND(V1853="정상",OFFSET(Y1853,0,COUNTA(Y1853:AV1853)-1)=0),"정상",
"계약서 미작성")))))</f>
        <v>면제</v>
      </c>
      <c r="X1853" s="81" t="str">
        <f aca="true">
IF(D1853="폐업","폐업",
IF(AND(V1853="정상",OFFSET(Y1853,0,COUNTA(Y1853:AV1853)-1)="미납"),"미납",
IF(AND(V1853="정상",OFFSET(Y1853,0,COUNTA(Y1853:AV1853)-1)=0),"납부 시작 전",
IF(AND(V1853="정상",OFFSET(Y1853,0,COUNTA(Y1853:AV1853)-1)&gt;=U1853),"정상",
IF(AND(V1853="면제",OFFSET(Y1853,0,COUNTA(Y1853:AV1853)-1)="면제"),"면제",
IF(AND(V1853="면제",OFFSET(Y1853,0,COUNTA(Y1853:AV1853)-1)=0),"면제",
"확인요청"))))))</f>
        <v>면제</v>
      </c>
      <c r="Y1853" s="94" t="s">
        <v>7</v>
      </c>
      <c r="Z1853" s="95" t="s">
        <v>7</v>
      </c>
      <c r="AA1853" s="95" t="s">
        <v>7</v>
      </c>
      <c r="AB1853" s="95" t="s">
        <v>7</v>
      </c>
      <c r="AC1853" s="95" t="s">
        <v>7</v>
      </c>
      <c r="AD1853" s="95" t="s">
        <v>7</v>
      </c>
      <c r="AE1853" s="95" t="s">
        <v>7</v>
      </c>
      <c r="AF1853" s="95" t="s">
        <v>7</v>
      </c>
      <c r="AG1853" s="95" t="s">
        <v>7</v>
      </c>
      <c r="AH1853" s="95" t="s">
        <v>7</v>
      </c>
      <c r="AI1853" s="95" t="s">
        <v>7</v>
      </c>
      <c r="AJ1853" s="96" t="s">
        <v>7</v>
      </c>
      <c r="AK1853" s="97" t="s">
        <v>7</v>
      </c>
      <c r="AL1853" s="95" t="s">
        <v>7</v>
      </c>
      <c r="AM1853" s="90"/>
      <c r="AN1853" s="90"/>
      <c r="AO1853" s="90"/>
      <c r="AP1853" s="90"/>
      <c r="AQ1853" s="90"/>
      <c r="AR1853" s="90"/>
      <c r="AS1853" s="90"/>
      <c r="AT1853" s="90"/>
      <c r="AU1853" s="90"/>
      <c r="AV1853" s="91"/>
      <c r="AX1853" s="92"/>
    </row>
    <row r="1854" customFormat="false" ht="15.65" hidden="false" customHeight="false" outlineLevel="0" collapsed="false">
      <c r="C1854" s="72" t="n">
        <f aca="false">COUNTIFS($D$6:D1854,"&lt;&gt;"&amp;"")</f>
        <v>1849</v>
      </c>
      <c r="D1854" s="73" t="s">
        <v>12</v>
      </c>
      <c r="E1854" s="76" t="str">
        <f aca="false">
IF($D1854="정상",INDEX(임대자산!$D$3:$R$3000,MATCH($F1854,임대자산!$I$3:$I$3000,0),MATCH(E$3,임대자산!$D$3:$R$3,0)),
IF($D1854="폐업",INDEX(폐업정보!$D$3:$R$3000,MATCH($F1854,폐업정보!$I$3:$I$3000,0),MATCH(E$3,폐업정보!$D$3:$R$3,0)),
"Error"))</f>
        <v>서울</v>
      </c>
      <c r="F185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B1849</v>
      </c>
      <c r="G1854" s="76" t="str">
        <f aca="false">F1854&amp;RANDBETWEEN(0,10)</f>
        <v>B18493</v>
      </c>
      <c r="H1854" s="75" t="n">
        <f aca="false">
IF($D1854="정상",INDEX(임대자산!$D$3:$R$3000,MATCH($F1854,임대자산!$I$3:$I$3000,0),MATCH(H$4,임대자산!$D$3:$R$3,0)),
IF($D1854="폐업",INDEX(폐업정보!$D$3:$R$3000,MATCH($F1854,폐업정보!$I$3:$I$3000,0),MATCH(H$4,폐업정보!$D$3:$R$3,0)),
"Error"))</f>
        <v>45923</v>
      </c>
      <c r="I1854" s="75" t="str">
        <f aca="false">
IF($D1854="정상",INDEX(임대자산!$D$3:$R$3000,MATCH($F1854,임대자산!$I$3:$I$3000,0),MATCH(I$4,임대자산!$D$3:$R$3,0)),
IF($D1854="폐업",INDEX(폐업정보!$D$3:$R$3000,MATCH($F1854,폐업정보!$I$3:$I$3000,0),MATCH(I$4,폐업정보!$D$3:$R$3,0)),
"Error"))</f>
        <v>A1849</v>
      </c>
      <c r="J1854" s="75" t="str">
        <f aca="false">
IF($D1854="정상",INDEX(임대자산!$D$3:$R$3000,MATCH($F1854,임대자산!$I$3:$I$3000,0),MATCH(J$4,임대자산!$D$3:$R$3,0)),
IF($D1854="폐업",INDEX(폐업정보!$D$3:$R$3000,MATCH($F1854,폐업정보!$I$3:$I$3000,0),MATCH(J$4,폐업정보!$D$3:$R$3,0)),
"Error"))</f>
        <v>4406500000</v>
      </c>
      <c r="K1854" s="75" t="str">
        <f aca="false">
IF($D1854="정상",INDEX(임대자산!$D$3:$R$3000,MATCH($F1854,임대자산!$I$3:$I$3000,0),MATCH(K$4,임대자산!$D$3:$R$3,0)),
IF($D1854="폐업",INDEX(폐업정보!$D$3:$R$3000,MATCH($F1854,폐업정보!$I$3:$I$3000,0),MATCH(K$4,폐업정보!$D$3:$R$3,0)),
"Error"))</f>
        <v>C1849</v>
      </c>
      <c r="L1854" s="75" t="str">
        <f aca="false">
IF($D1854="정상",INDEX(임대자산!$D$3:$R$3000,MATCH($F1854,임대자산!$I$3:$I$3000,0),MATCH(L$4,임대자산!$D$3:$R$3,0)),
IF($D1854="폐업",INDEX(폐업정보!$D$3:$R$3000,MATCH($F1854,폐업정보!$I$3:$I$3000,0),MATCH(L$4,폐업정보!$D$3:$R$3,0)),
"Error"))</f>
        <v>D1849</v>
      </c>
      <c r="M1854" s="76" t="s">
        <v>96</v>
      </c>
      <c r="N1854" s="77"/>
      <c r="O1854" s="78" t="s">
        <v>97</v>
      </c>
      <c r="P1854" s="79" t="n">
        <f aca="false">COUNTIFS(임대자산!$I:$I,가맹점정보!F1854,임대자산!$N:$N,가맹점정보!P$4)</f>
        <v>0</v>
      </c>
      <c r="Q1854" s="80" t="n">
        <f aca="false">COUNTIFS(임대자산!$I:$I,가맹점정보!F1854,임대자산!$N:$N,가맹점정보!Q$4)</f>
        <v>0</v>
      </c>
      <c r="R1854" s="81" t="n">
        <f aca="false">COUNTIFS(임대자산!$I:$I,가맹점정보!F1854,임대자산!$N:$N,가맹점정보!R$4)</f>
        <v>1</v>
      </c>
      <c r="S1854" s="82" t="n">
        <v>88000</v>
      </c>
      <c r="T1854" s="83" t="n">
        <v>0</v>
      </c>
      <c r="U1854" s="80" t="n">
        <f aca="false">SUM(S1854:T1854)</f>
        <v>88000</v>
      </c>
      <c r="V1854" s="84" t="s">
        <v>7</v>
      </c>
      <c r="W1854" s="80" t="str">
        <f aca="true">
IF(D1854="폐업","폐업",
IF(V1854="면제","면제",
IF(AND(V1854="정상",COUNTIFS(OFFSET(Y1854,0,COUNTA(Y1854:AV1854)-1,1,-4),"미납")&gt;=3),"장기미납",
IF(AND(V1854="정상",OFFSET(Y1854,0,COUNTA(Y1854:AV1854)-1)&gt;=U1854),"정상",
IF(AND(V1854="정상",OFFSET(Y1854,0,COUNTA(Y1854:AV1854)-1)=0),"정상",
"계약서 미작성")))))</f>
        <v>면제</v>
      </c>
      <c r="X1854" s="81" t="str">
        <f aca="true">
IF(D1854="폐업","폐업",
IF(AND(V1854="정상",OFFSET(Y1854,0,COUNTA(Y1854:AV1854)-1)="미납"),"미납",
IF(AND(V1854="정상",OFFSET(Y1854,0,COUNTA(Y1854:AV1854)-1)=0),"납부 시작 전",
IF(AND(V1854="정상",OFFSET(Y1854,0,COUNTA(Y1854:AV1854)-1)&gt;=U1854),"정상",
IF(AND(V1854="면제",OFFSET(Y1854,0,COUNTA(Y1854:AV1854)-1)="면제"),"면제",
IF(AND(V1854="면제",OFFSET(Y1854,0,COUNTA(Y1854:AV1854)-1)=0),"면제",
"확인요청"))))))</f>
        <v>면제</v>
      </c>
      <c r="Y1854" s="94" t="s">
        <v>7</v>
      </c>
      <c r="Z1854" s="95" t="s">
        <v>7</v>
      </c>
      <c r="AA1854" s="95" t="s">
        <v>7</v>
      </c>
      <c r="AB1854" s="95" t="s">
        <v>7</v>
      </c>
      <c r="AC1854" s="95" t="s">
        <v>7</v>
      </c>
      <c r="AD1854" s="95" t="s">
        <v>7</v>
      </c>
      <c r="AE1854" s="95" t="s">
        <v>7</v>
      </c>
      <c r="AF1854" s="95" t="s">
        <v>7</v>
      </c>
      <c r="AG1854" s="95" t="s">
        <v>7</v>
      </c>
      <c r="AH1854" s="95" t="s">
        <v>7</v>
      </c>
      <c r="AI1854" s="95" t="s">
        <v>7</v>
      </c>
      <c r="AJ1854" s="96" t="s">
        <v>7</v>
      </c>
      <c r="AK1854" s="97" t="s">
        <v>7</v>
      </c>
      <c r="AL1854" s="95" t="s">
        <v>7</v>
      </c>
      <c r="AM1854" s="90"/>
      <c r="AN1854" s="90"/>
      <c r="AO1854" s="90"/>
      <c r="AP1854" s="90"/>
      <c r="AQ1854" s="90"/>
      <c r="AR1854" s="90"/>
      <c r="AS1854" s="90"/>
      <c r="AT1854" s="90"/>
      <c r="AU1854" s="90"/>
      <c r="AV1854" s="91"/>
      <c r="AX1854" s="92"/>
    </row>
    <row r="1855" customFormat="false" ht="15.65" hidden="false" customHeight="false" outlineLevel="0" collapsed="false">
      <c r="C1855" s="72" t="n">
        <f aca="false">COUNTIFS($D$6:D1855,"&lt;&gt;"&amp;"")</f>
        <v>1850</v>
      </c>
      <c r="D1855" s="73" t="s">
        <v>12</v>
      </c>
      <c r="E1855" s="76" t="str">
        <f aca="false">
IF($D1855="정상",INDEX(임대자산!$D$3:$R$3000,MATCH($F1855,임대자산!$I$3:$I$3000,0),MATCH(E$3,임대자산!$D$3:$R$3,0)),
IF($D1855="폐업",INDEX(폐업정보!$D$3:$R$3000,MATCH($F1855,폐업정보!$I$3:$I$3000,0),MATCH(E$3,폐업정보!$D$3:$R$3,0)),
"Error"))</f>
        <v>서울</v>
      </c>
      <c r="F185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B1850</v>
      </c>
      <c r="G1855" s="76" t="str">
        <f aca="false">F1855&amp;RANDBETWEEN(0,10)</f>
        <v>B18507</v>
      </c>
      <c r="H1855" s="75" t="n">
        <f aca="false">
IF($D1855="정상",INDEX(임대자산!$D$3:$R$3000,MATCH($F1855,임대자산!$I$3:$I$3000,0),MATCH(H$4,임대자산!$D$3:$R$3,0)),
IF($D1855="폐업",INDEX(폐업정보!$D$3:$R$3000,MATCH($F1855,폐업정보!$I$3:$I$3000,0),MATCH(H$4,폐업정보!$D$3:$R$3,0)),
"Error"))</f>
        <v>45931</v>
      </c>
      <c r="I1855" s="75" t="str">
        <f aca="false">
IF($D1855="정상",INDEX(임대자산!$D$3:$R$3000,MATCH($F1855,임대자산!$I$3:$I$3000,0),MATCH(I$4,임대자산!$D$3:$R$3,0)),
IF($D1855="폐업",INDEX(폐업정보!$D$3:$R$3000,MATCH($F1855,폐업정보!$I$3:$I$3000,0),MATCH(I$4,폐업정보!$D$3:$R$3,0)),
"Error"))</f>
        <v>A1850</v>
      </c>
      <c r="J1855" s="75" t="str">
        <f aca="false">
IF($D1855="정상",INDEX(임대자산!$D$3:$R$3000,MATCH($F1855,임대자산!$I$3:$I$3000,0),MATCH(J$4,임대자산!$D$3:$R$3,0)),
IF($D1855="폐업",INDEX(폐업정보!$D$3:$R$3000,MATCH($F1855,폐업정보!$I$3:$I$3000,0),MATCH(J$4,폐업정보!$D$3:$R$3,0)),
"Error"))</f>
        <v>9917500000</v>
      </c>
      <c r="K1855" s="75" t="str">
        <f aca="false">
IF($D1855="정상",INDEX(임대자산!$D$3:$R$3000,MATCH($F1855,임대자산!$I$3:$I$3000,0),MATCH(K$4,임대자산!$D$3:$R$3,0)),
IF($D1855="폐업",INDEX(폐업정보!$D$3:$R$3000,MATCH($F1855,폐업정보!$I$3:$I$3000,0),MATCH(K$4,폐업정보!$D$3:$R$3,0)),
"Error"))</f>
        <v>C1850</v>
      </c>
      <c r="L1855" s="75" t="str">
        <f aca="false">
IF($D1855="정상",INDEX(임대자산!$D$3:$R$3000,MATCH($F1855,임대자산!$I$3:$I$3000,0),MATCH(L$4,임대자산!$D$3:$R$3,0)),
IF($D1855="폐업",INDEX(폐업정보!$D$3:$R$3000,MATCH($F1855,폐업정보!$I$3:$I$3000,0),MATCH(L$4,폐업정보!$D$3:$R$3,0)),
"Error"))</f>
        <v>D1850</v>
      </c>
      <c r="M1855" s="76" t="s">
        <v>96</v>
      </c>
      <c r="N1855" s="77"/>
      <c r="O1855" s="78" t="s">
        <v>97</v>
      </c>
      <c r="P1855" s="79" t="n">
        <f aca="false">COUNTIFS(임대자산!$I:$I,가맹점정보!F1855,임대자산!$N:$N,가맹점정보!P$4)</f>
        <v>0</v>
      </c>
      <c r="Q1855" s="80" t="n">
        <f aca="false">COUNTIFS(임대자산!$I:$I,가맹점정보!F1855,임대자산!$N:$N,가맹점정보!Q$4)</f>
        <v>0</v>
      </c>
      <c r="R1855" s="81" t="n">
        <f aca="false">COUNTIFS(임대자산!$I:$I,가맹점정보!F1855,임대자산!$N:$N,가맹점정보!R$4)</f>
        <v>1</v>
      </c>
      <c r="S1855" s="82" t="n">
        <v>88000</v>
      </c>
      <c r="T1855" s="83" t="n">
        <v>0</v>
      </c>
      <c r="U1855" s="80" t="n">
        <f aca="false">SUM(S1855:T1855)</f>
        <v>88000</v>
      </c>
      <c r="V1855" s="84" t="s">
        <v>7</v>
      </c>
      <c r="W1855" s="80" t="str">
        <f aca="true">
IF(D1855="폐업","폐업",
IF(V1855="면제","면제",
IF(AND(V1855="정상",COUNTIFS(OFFSET(Y1855,0,COUNTA(Y1855:AV1855)-1,1,-4),"미납")&gt;=3),"장기미납",
IF(AND(V1855="정상",OFFSET(Y1855,0,COUNTA(Y1855:AV1855)-1)&gt;=U1855),"정상",
IF(AND(V1855="정상",OFFSET(Y1855,0,COUNTA(Y1855:AV1855)-1)=0),"정상",
"계약서 미작성")))))</f>
        <v>면제</v>
      </c>
      <c r="X1855" s="81" t="str">
        <f aca="true">
IF(D1855="폐업","폐업",
IF(AND(V1855="정상",OFFSET(Y1855,0,COUNTA(Y1855:AV1855)-1)="미납"),"미납",
IF(AND(V1855="정상",OFFSET(Y1855,0,COUNTA(Y1855:AV1855)-1)=0),"납부 시작 전",
IF(AND(V1855="정상",OFFSET(Y1855,0,COUNTA(Y1855:AV1855)-1)&gt;=U1855),"정상",
IF(AND(V1855="면제",OFFSET(Y1855,0,COUNTA(Y1855:AV1855)-1)="면제"),"면제",
IF(AND(V1855="면제",OFFSET(Y1855,0,COUNTA(Y1855:AV1855)-1)=0),"면제",
"확인요청"))))))</f>
        <v>면제</v>
      </c>
      <c r="Y1855" s="94" t="s">
        <v>7</v>
      </c>
      <c r="Z1855" s="95" t="s">
        <v>7</v>
      </c>
      <c r="AA1855" s="95" t="s">
        <v>7</v>
      </c>
      <c r="AB1855" s="95" t="s">
        <v>7</v>
      </c>
      <c r="AC1855" s="95" t="s">
        <v>7</v>
      </c>
      <c r="AD1855" s="95" t="s">
        <v>7</v>
      </c>
      <c r="AE1855" s="95" t="s">
        <v>7</v>
      </c>
      <c r="AF1855" s="95" t="s">
        <v>7</v>
      </c>
      <c r="AG1855" s="95" t="s">
        <v>7</v>
      </c>
      <c r="AH1855" s="95" t="s">
        <v>7</v>
      </c>
      <c r="AI1855" s="95" t="s">
        <v>7</v>
      </c>
      <c r="AJ1855" s="96" t="s">
        <v>7</v>
      </c>
      <c r="AK1855" s="97" t="s">
        <v>7</v>
      </c>
      <c r="AL1855" s="95" t="s">
        <v>7</v>
      </c>
      <c r="AM1855" s="90"/>
      <c r="AN1855" s="90"/>
      <c r="AO1855" s="90"/>
      <c r="AP1855" s="90"/>
      <c r="AQ1855" s="90"/>
      <c r="AR1855" s="90"/>
      <c r="AS1855" s="90"/>
      <c r="AT1855" s="90"/>
      <c r="AU1855" s="90"/>
      <c r="AV1855" s="91"/>
      <c r="AX1855" s="92"/>
    </row>
    <row r="1856" customFormat="false" ht="15.65" hidden="false" customHeight="false" outlineLevel="0" collapsed="false">
      <c r="C1856" s="72" t="n">
        <f aca="false">COUNTIFS($D$6:D1856,"&lt;&gt;"&amp;"")</f>
        <v>1851</v>
      </c>
      <c r="D1856" s="73" t="s">
        <v>12</v>
      </c>
      <c r="E1856" s="76" t="str">
        <f aca="false">
IF($D1856="정상",INDEX(임대자산!$D$3:$R$3000,MATCH($F1856,임대자산!$I$3:$I$3000,0),MATCH(E$3,임대자산!$D$3:$R$3,0)),
IF($D1856="폐업",INDEX(폐업정보!$D$3:$R$3000,MATCH($F1856,폐업정보!$I$3:$I$3000,0),MATCH(E$3,폐업정보!$D$3:$R$3,0)),
"Error"))</f>
        <v>서울</v>
      </c>
      <c r="F185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B1851</v>
      </c>
      <c r="G1856" s="76" t="str">
        <f aca="false">F1856&amp;RANDBETWEEN(0,10)</f>
        <v>B18515</v>
      </c>
      <c r="H1856" s="75" t="n">
        <f aca="false">
IF($D1856="정상",INDEX(임대자산!$D$3:$R$3000,MATCH($F1856,임대자산!$I$3:$I$3000,0),MATCH(H$4,임대자산!$D$3:$R$3,0)),
IF($D1856="폐업",INDEX(폐업정보!$D$3:$R$3000,MATCH($F1856,폐업정보!$I$3:$I$3000,0),MATCH(H$4,폐업정보!$D$3:$R$3,0)),
"Error"))</f>
        <v>45931</v>
      </c>
      <c r="I1856" s="75" t="str">
        <f aca="false">
IF($D1856="정상",INDEX(임대자산!$D$3:$R$3000,MATCH($F1856,임대자산!$I$3:$I$3000,0),MATCH(I$4,임대자산!$D$3:$R$3,0)),
IF($D1856="폐업",INDEX(폐업정보!$D$3:$R$3000,MATCH($F1856,폐업정보!$I$3:$I$3000,0),MATCH(I$4,폐업정보!$D$3:$R$3,0)),
"Error"))</f>
        <v>A1851</v>
      </c>
      <c r="J1856" s="75" t="str">
        <f aca="false">
IF($D1856="정상",INDEX(임대자산!$D$3:$R$3000,MATCH($F1856,임대자산!$I$3:$I$3000,0),MATCH(J$4,임대자산!$D$3:$R$3,0)),
IF($D1856="폐업",INDEX(폐업정보!$D$3:$R$3000,MATCH($F1856,폐업정보!$I$3:$I$3000,0),MATCH(J$4,폐업정보!$D$3:$R$3,0)),
"Error"))</f>
        <v>8074500000</v>
      </c>
      <c r="K1856" s="75" t="str">
        <f aca="false">
IF($D1856="정상",INDEX(임대자산!$D$3:$R$3000,MATCH($F1856,임대자산!$I$3:$I$3000,0),MATCH(K$4,임대자산!$D$3:$R$3,0)),
IF($D1856="폐업",INDEX(폐업정보!$D$3:$R$3000,MATCH($F1856,폐업정보!$I$3:$I$3000,0),MATCH(K$4,폐업정보!$D$3:$R$3,0)),
"Error"))</f>
        <v>C1851</v>
      </c>
      <c r="L1856" s="75" t="str">
        <f aca="false">
IF($D1856="정상",INDEX(임대자산!$D$3:$R$3000,MATCH($F1856,임대자산!$I$3:$I$3000,0),MATCH(L$4,임대자산!$D$3:$R$3,0)),
IF($D1856="폐업",INDEX(폐업정보!$D$3:$R$3000,MATCH($F1856,폐업정보!$I$3:$I$3000,0),MATCH(L$4,폐업정보!$D$3:$R$3,0)),
"Error"))</f>
        <v>D1851</v>
      </c>
      <c r="M1856" s="76" t="s">
        <v>96</v>
      </c>
      <c r="N1856" s="77"/>
      <c r="O1856" s="78" t="s">
        <v>97</v>
      </c>
      <c r="P1856" s="79" t="n">
        <f aca="false">COUNTIFS(임대자산!$I:$I,가맹점정보!F1856,임대자산!$N:$N,가맹점정보!P$4)</f>
        <v>0</v>
      </c>
      <c r="Q1856" s="80" t="n">
        <f aca="false">COUNTIFS(임대자산!$I:$I,가맹점정보!F1856,임대자산!$N:$N,가맹점정보!Q$4)</f>
        <v>0</v>
      </c>
      <c r="R1856" s="81" t="n">
        <f aca="false">COUNTIFS(임대자산!$I:$I,가맹점정보!F1856,임대자산!$N:$N,가맹점정보!R$4)</f>
        <v>1</v>
      </c>
      <c r="S1856" s="82" t="n">
        <v>55000</v>
      </c>
      <c r="T1856" s="83" t="n">
        <v>0</v>
      </c>
      <c r="U1856" s="80" t="n">
        <f aca="false">SUM(S1856:T1856)</f>
        <v>55000</v>
      </c>
      <c r="V1856" s="84" t="s">
        <v>12</v>
      </c>
      <c r="W1856" s="80" t="e">
        <f aca="true">
IF(D1856="폐업","폐업",
IF(V1856="면제","면제",
IF(AND(V1856="정상",COUNTIFS(OFFSET(Y1856,0,COUNTA(Y1856:AV1856)-1,1,-4),"미납")&gt;=3),"장기미납",
IF(AND(V1856="정상",OFFSET(Y1856,0,COUNTA(Y1856:AV1856)-1)&gt;=U1856),"정상",
IF(AND(V1856="정상",OFFSET(Y1856,0,COUNTA(Y1856:AV1856)-1)=0),"정상",
"계약서 미작성")))))</f>
        <v>#VALUE!</v>
      </c>
      <c r="X1856" s="81" t="str">
        <f aca="true">
IF(D1856="폐업","폐업",
IF(AND(V1856="정상",OFFSET(Y1856,0,COUNTA(Y1856:AV1856)-1)="미납"),"미납",
IF(AND(V1856="정상",OFFSET(Y1856,0,COUNTA(Y1856:AV1856)-1)=0),"납부 시작 전",
IF(AND(V1856="정상",OFFSET(Y1856,0,COUNTA(Y1856:AV1856)-1)&gt;=U1856),"정상",
IF(AND(V1856="면제",OFFSET(Y1856,0,COUNTA(Y1856:AV1856)-1)="면제"),"면제",
IF(AND(V1856="면제",OFFSET(Y1856,0,COUNTA(Y1856:AV1856)-1)=0),"면제",
"확인요청"))))))</f>
        <v>정상</v>
      </c>
      <c r="Y1856" s="93" t="n">
        <v>55000</v>
      </c>
      <c r="Z1856" s="90" t="n">
        <v>55000</v>
      </c>
      <c r="AA1856" s="90" t="n">
        <v>55000</v>
      </c>
      <c r="AB1856" s="90" t="n">
        <v>55000</v>
      </c>
      <c r="AC1856" s="90" t="n">
        <v>55000</v>
      </c>
      <c r="AD1856" s="90" t="n">
        <v>55000</v>
      </c>
      <c r="AE1856" s="90" t="n">
        <v>55000</v>
      </c>
      <c r="AF1856" s="90" t="n">
        <v>55000</v>
      </c>
      <c r="AG1856" s="90" t="n">
        <v>55000</v>
      </c>
      <c r="AH1856" s="90" t="n">
        <v>55000</v>
      </c>
      <c r="AI1856" s="90" t="n">
        <v>55000</v>
      </c>
      <c r="AJ1856" s="91" t="n">
        <v>55000</v>
      </c>
      <c r="AK1856" s="89" t="n">
        <v>55000</v>
      </c>
      <c r="AL1856" s="90" t="n">
        <v>55000</v>
      </c>
      <c r="AM1856" s="90"/>
      <c r="AN1856" s="90"/>
      <c r="AO1856" s="90"/>
      <c r="AP1856" s="90"/>
      <c r="AQ1856" s="90"/>
      <c r="AR1856" s="90"/>
      <c r="AS1856" s="90"/>
      <c r="AT1856" s="90"/>
      <c r="AU1856" s="90"/>
      <c r="AV1856" s="91"/>
      <c r="AX1856" s="92"/>
    </row>
    <row r="1857" customFormat="false" ht="15.65" hidden="false" customHeight="false" outlineLevel="0" collapsed="false">
      <c r="C1857" s="72" t="n">
        <f aca="false">COUNTIFS($D$6:D1857,"&lt;&gt;"&amp;"")</f>
        <v>1852</v>
      </c>
      <c r="D1857" s="73" t="s">
        <v>12</v>
      </c>
      <c r="E1857" s="76" t="str">
        <f aca="false">
IF($D1857="정상",INDEX(임대자산!$D$3:$R$3000,MATCH($F1857,임대자산!$I$3:$I$3000,0),MATCH(E$3,임대자산!$D$3:$R$3,0)),
IF($D1857="폐업",INDEX(폐업정보!$D$3:$R$3000,MATCH($F1857,폐업정보!$I$3:$I$3000,0),MATCH(E$3,폐업정보!$D$3:$R$3,0)),
"Error"))</f>
        <v>경상</v>
      </c>
      <c r="F185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B1852</v>
      </c>
      <c r="G1857" s="76" t="str">
        <f aca="false">F1857&amp;RANDBETWEEN(0,10)</f>
        <v>B18529</v>
      </c>
      <c r="H1857" s="75" t="n">
        <f aca="false">
IF($D1857="정상",INDEX(임대자산!$D$3:$R$3000,MATCH($F1857,임대자산!$I$3:$I$3000,0),MATCH(H$4,임대자산!$D$3:$R$3,0)),
IF($D1857="폐업",INDEX(폐업정보!$D$3:$R$3000,MATCH($F1857,폐업정보!$I$3:$I$3000,0),MATCH(H$4,폐업정보!$D$3:$R$3,0)),
"Error"))</f>
        <v>45929</v>
      </c>
      <c r="I1857" s="75" t="str">
        <f aca="false">
IF($D1857="정상",INDEX(임대자산!$D$3:$R$3000,MATCH($F1857,임대자산!$I$3:$I$3000,0),MATCH(I$4,임대자산!$D$3:$R$3,0)),
IF($D1857="폐업",INDEX(폐업정보!$D$3:$R$3000,MATCH($F1857,폐업정보!$I$3:$I$3000,0),MATCH(I$4,폐업정보!$D$3:$R$3,0)),
"Error"))</f>
        <v>A1852</v>
      </c>
      <c r="J1857" s="75" t="str">
        <f aca="false">
IF($D1857="정상",INDEX(임대자산!$D$3:$R$3000,MATCH($F1857,임대자산!$I$3:$I$3000,0),MATCH(J$4,임대자산!$D$3:$R$3,0)),
IF($D1857="폐업",INDEX(폐업정보!$D$3:$R$3000,MATCH($F1857,폐업정보!$I$3:$I$3000,0),MATCH(J$4,폐업정보!$D$3:$R$3,0)),
"Error"))</f>
        <v>3799000000</v>
      </c>
      <c r="K1857" s="75" t="str">
        <f aca="false">
IF($D1857="정상",INDEX(임대자산!$D$3:$R$3000,MATCH($F1857,임대자산!$I$3:$I$3000,0),MATCH(K$4,임대자산!$D$3:$R$3,0)),
IF($D1857="폐업",INDEX(폐업정보!$D$3:$R$3000,MATCH($F1857,폐업정보!$I$3:$I$3000,0),MATCH(K$4,폐업정보!$D$3:$R$3,0)),
"Error"))</f>
        <v>C1852</v>
      </c>
      <c r="L1857" s="75" t="str">
        <f aca="false">
IF($D1857="정상",INDEX(임대자산!$D$3:$R$3000,MATCH($F1857,임대자산!$I$3:$I$3000,0),MATCH(L$4,임대자산!$D$3:$R$3,0)),
IF($D1857="폐업",INDEX(폐업정보!$D$3:$R$3000,MATCH($F1857,폐업정보!$I$3:$I$3000,0),MATCH(L$4,폐업정보!$D$3:$R$3,0)),
"Error"))</f>
        <v>D1852</v>
      </c>
      <c r="M1857" s="76" t="s">
        <v>96</v>
      </c>
      <c r="N1857" s="77"/>
      <c r="O1857" s="78" t="s">
        <v>97</v>
      </c>
      <c r="P1857" s="79" t="n">
        <f aca="false">COUNTIFS(임대자산!$I:$I,가맹점정보!F1857,임대자산!$N:$N,가맹점정보!P$4)</f>
        <v>0</v>
      </c>
      <c r="Q1857" s="80" t="n">
        <f aca="false">COUNTIFS(임대자산!$I:$I,가맹점정보!F1857,임대자산!$N:$N,가맹점정보!Q$4)</f>
        <v>0</v>
      </c>
      <c r="R1857" s="81" t="n">
        <f aca="false">COUNTIFS(임대자산!$I:$I,가맹점정보!F1857,임대자산!$N:$N,가맹점정보!R$4)</f>
        <v>1</v>
      </c>
      <c r="S1857" s="82" t="n">
        <v>55000</v>
      </c>
      <c r="T1857" s="83" t="n">
        <v>0</v>
      </c>
      <c r="U1857" s="80" t="n">
        <f aca="false">SUM(S1857:T1857)</f>
        <v>55000</v>
      </c>
      <c r="V1857" s="84" t="s">
        <v>7</v>
      </c>
      <c r="W1857" s="80" t="str">
        <f aca="true">
IF(D1857="폐업","폐업",
IF(V1857="면제","면제",
IF(AND(V1857="정상",COUNTIFS(OFFSET(Y1857,0,COUNTA(Y1857:AV1857)-1,1,-4),"미납")&gt;=3),"장기미납",
IF(AND(V1857="정상",OFFSET(Y1857,0,COUNTA(Y1857:AV1857)-1)&gt;=U1857),"정상",
IF(AND(V1857="정상",OFFSET(Y1857,0,COUNTA(Y1857:AV1857)-1)=0),"정상",
"계약서 미작성")))))</f>
        <v>면제</v>
      </c>
      <c r="X1857" s="81" t="str">
        <f aca="true">
IF(D1857="폐업","폐업",
IF(AND(V1857="정상",OFFSET(Y1857,0,COUNTA(Y1857:AV1857)-1)="미납"),"미납",
IF(AND(V1857="정상",OFFSET(Y1857,0,COUNTA(Y1857:AV1857)-1)=0),"납부 시작 전",
IF(AND(V1857="정상",OFFSET(Y1857,0,COUNTA(Y1857:AV1857)-1)&gt;=U1857),"정상",
IF(AND(V1857="면제",OFFSET(Y1857,0,COUNTA(Y1857:AV1857)-1)="면제"),"면제",
IF(AND(V1857="면제",OFFSET(Y1857,0,COUNTA(Y1857:AV1857)-1)=0),"면제",
"확인요청"))))))</f>
        <v>면제</v>
      </c>
      <c r="Y1857" s="94" t="s">
        <v>62</v>
      </c>
      <c r="Z1857" s="95" t="s">
        <v>62</v>
      </c>
      <c r="AA1857" s="95" t="s">
        <v>62</v>
      </c>
      <c r="AB1857" s="95" t="s">
        <v>7</v>
      </c>
      <c r="AC1857" s="95" t="s">
        <v>7</v>
      </c>
      <c r="AD1857" s="95" t="s">
        <v>7</v>
      </c>
      <c r="AE1857" s="95" t="s">
        <v>7</v>
      </c>
      <c r="AF1857" s="95" t="s">
        <v>7</v>
      </c>
      <c r="AG1857" s="95" t="s">
        <v>7</v>
      </c>
      <c r="AH1857" s="95" t="s">
        <v>7</v>
      </c>
      <c r="AI1857" s="95" t="s">
        <v>7</v>
      </c>
      <c r="AJ1857" s="96" t="s">
        <v>7</v>
      </c>
      <c r="AK1857" s="97" t="s">
        <v>7</v>
      </c>
      <c r="AL1857" s="95" t="s">
        <v>7</v>
      </c>
      <c r="AM1857" s="90"/>
      <c r="AN1857" s="90"/>
      <c r="AO1857" s="90"/>
      <c r="AP1857" s="90"/>
      <c r="AQ1857" s="90"/>
      <c r="AR1857" s="90"/>
      <c r="AS1857" s="90"/>
      <c r="AT1857" s="90"/>
      <c r="AU1857" s="90"/>
      <c r="AV1857" s="91"/>
      <c r="AX1857" s="92"/>
    </row>
    <row r="1858" customFormat="false" ht="15.65" hidden="false" customHeight="false" outlineLevel="0" collapsed="false">
      <c r="C1858" s="72" t="n">
        <f aca="false">COUNTIFS($D$6:D1858,"&lt;&gt;"&amp;"")</f>
        <v>1853</v>
      </c>
      <c r="D1858" s="73" t="s">
        <v>12</v>
      </c>
      <c r="E1858" s="76" t="str">
        <f aca="false">
IF($D1858="정상",INDEX(임대자산!$D$3:$R$3000,MATCH($F1858,임대자산!$I$3:$I$3000,0),MATCH(E$3,임대자산!$D$3:$R$3,0)),
IF($D1858="폐업",INDEX(폐업정보!$D$3:$R$3000,MATCH($F1858,폐업정보!$I$3:$I$3000,0),MATCH(E$3,폐업정보!$D$3:$R$3,0)),
"Error"))</f>
        <v>전라</v>
      </c>
      <c r="F185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B1853</v>
      </c>
      <c r="G1858" s="76" t="str">
        <f aca="false">F1858&amp;RANDBETWEEN(0,10)</f>
        <v>B18538</v>
      </c>
      <c r="H1858" s="75" t="n">
        <f aca="false">
IF($D1858="정상",INDEX(임대자산!$D$3:$R$3000,MATCH($F1858,임대자산!$I$3:$I$3000,0),MATCH(H$4,임대자산!$D$3:$R$3,0)),
IF($D1858="폐업",INDEX(폐업정보!$D$3:$R$3000,MATCH($F1858,폐업정보!$I$3:$I$3000,0),MATCH(H$4,폐업정보!$D$3:$R$3,0)),
"Error"))</f>
        <v>45918</v>
      </c>
      <c r="I1858" s="75" t="str">
        <f aca="false">
IF($D1858="정상",INDEX(임대자산!$D$3:$R$3000,MATCH($F1858,임대자산!$I$3:$I$3000,0),MATCH(I$4,임대자산!$D$3:$R$3,0)),
IF($D1858="폐업",INDEX(폐업정보!$D$3:$R$3000,MATCH($F1858,폐업정보!$I$3:$I$3000,0),MATCH(I$4,폐업정보!$D$3:$R$3,0)),
"Error"))</f>
        <v>A1853</v>
      </c>
      <c r="J1858" s="75" t="str">
        <f aca="false">
IF($D1858="정상",INDEX(임대자산!$D$3:$R$3000,MATCH($F1858,임대자산!$I$3:$I$3000,0),MATCH(J$4,임대자산!$D$3:$R$3,0)),
IF($D1858="폐업",INDEX(폐업정보!$D$3:$R$3000,MATCH($F1858,폐업정보!$I$3:$I$3000,0),MATCH(J$4,폐업정보!$D$3:$R$3,0)),
"Error"))</f>
        <v>5016900000</v>
      </c>
      <c r="K1858" s="75" t="str">
        <f aca="false">
IF($D1858="정상",INDEX(임대자산!$D$3:$R$3000,MATCH($F1858,임대자산!$I$3:$I$3000,0),MATCH(K$4,임대자산!$D$3:$R$3,0)),
IF($D1858="폐업",INDEX(폐업정보!$D$3:$R$3000,MATCH($F1858,폐업정보!$I$3:$I$3000,0),MATCH(K$4,폐업정보!$D$3:$R$3,0)),
"Error"))</f>
        <v>C1853</v>
      </c>
      <c r="L1858" s="75" t="str">
        <f aca="false">
IF($D1858="정상",INDEX(임대자산!$D$3:$R$3000,MATCH($F1858,임대자산!$I$3:$I$3000,0),MATCH(L$4,임대자산!$D$3:$R$3,0)),
IF($D1858="폐업",INDEX(폐업정보!$D$3:$R$3000,MATCH($F1858,폐업정보!$I$3:$I$3000,0),MATCH(L$4,폐업정보!$D$3:$R$3,0)),
"Error"))</f>
        <v>D1853</v>
      </c>
      <c r="M1858" s="76" t="s">
        <v>96</v>
      </c>
      <c r="N1858" s="77"/>
      <c r="O1858" s="78" t="s">
        <v>97</v>
      </c>
      <c r="P1858" s="79" t="n">
        <f aca="false">COUNTIFS(임대자산!$I:$I,가맹점정보!F1858,임대자산!$N:$N,가맹점정보!P$4)</f>
        <v>0</v>
      </c>
      <c r="Q1858" s="80" t="n">
        <f aca="false">COUNTIFS(임대자산!$I:$I,가맹점정보!F1858,임대자산!$N:$N,가맹점정보!Q$4)</f>
        <v>0</v>
      </c>
      <c r="R1858" s="81" t="n">
        <f aca="false">COUNTIFS(임대자산!$I:$I,가맹점정보!F1858,임대자산!$N:$N,가맹점정보!R$4)</f>
        <v>1</v>
      </c>
      <c r="S1858" s="82" t="n">
        <v>55000</v>
      </c>
      <c r="T1858" s="83" t="n">
        <v>0</v>
      </c>
      <c r="U1858" s="80" t="n">
        <f aca="false">SUM(S1858:T1858)</f>
        <v>55000</v>
      </c>
      <c r="V1858" s="84" t="s">
        <v>12</v>
      </c>
      <c r="W1858" s="80" t="e">
        <f aca="true">
IF(D1858="폐업","폐업",
IF(V1858="면제","면제",
IF(AND(V1858="정상",COUNTIFS(OFFSET(Y1858,0,COUNTA(Y1858:AV1858)-1,1,-4),"미납")&gt;=3),"장기미납",
IF(AND(V1858="정상",OFFSET(Y1858,0,COUNTA(Y1858:AV1858)-1)&gt;=U1858),"정상",
IF(AND(V1858="정상",OFFSET(Y1858,0,COUNTA(Y1858:AV1858)-1)=0),"정상",
"계약서 미작성")))))</f>
        <v>#VALUE!</v>
      </c>
      <c r="X1858" s="81" t="str">
        <f aca="true">
IF(D1858="폐업","폐업",
IF(AND(V1858="정상",OFFSET(Y1858,0,COUNTA(Y1858:AV1858)-1)="미납"),"미납",
IF(AND(V1858="정상",OFFSET(Y1858,0,COUNTA(Y1858:AV1858)-1)=0),"납부 시작 전",
IF(AND(V1858="정상",OFFSET(Y1858,0,COUNTA(Y1858:AV1858)-1)&gt;=U1858),"정상",
IF(AND(V1858="면제",OFFSET(Y1858,0,COUNTA(Y1858:AV1858)-1)="면제"),"면제",
IF(AND(V1858="면제",OFFSET(Y1858,0,COUNTA(Y1858:AV1858)-1)=0),"면제",
"확인요청"))))))</f>
        <v>미납</v>
      </c>
      <c r="Y1858" s="93" t="n">
        <v>110000</v>
      </c>
      <c r="Z1858" s="90" t="s">
        <v>109</v>
      </c>
      <c r="AA1858" s="90" t="s">
        <v>109</v>
      </c>
      <c r="AB1858" s="90" t="n">
        <v>55000</v>
      </c>
      <c r="AC1858" s="90" t="n">
        <v>165000</v>
      </c>
      <c r="AD1858" s="90" t="s">
        <v>110</v>
      </c>
      <c r="AE1858" s="90" t="s">
        <v>110</v>
      </c>
      <c r="AF1858" s="90" t="n">
        <v>165000</v>
      </c>
      <c r="AG1858" s="95" t="s">
        <v>62</v>
      </c>
      <c r="AH1858" s="90" t="n">
        <v>55000</v>
      </c>
      <c r="AI1858" s="90" t="n">
        <v>55000</v>
      </c>
      <c r="AJ1858" s="91" t="s">
        <v>101</v>
      </c>
      <c r="AK1858" s="89" t="n">
        <v>110000</v>
      </c>
      <c r="AL1858" s="95" t="s">
        <v>62</v>
      </c>
      <c r="AM1858" s="90"/>
      <c r="AN1858" s="90"/>
      <c r="AO1858" s="90"/>
      <c r="AP1858" s="90"/>
      <c r="AQ1858" s="90"/>
      <c r="AR1858" s="90"/>
      <c r="AS1858" s="90"/>
      <c r="AT1858" s="90"/>
      <c r="AU1858" s="90"/>
      <c r="AV1858" s="91"/>
      <c r="AX1858" s="92"/>
    </row>
    <row r="1859" customFormat="false" ht="15.65" hidden="false" customHeight="false" outlineLevel="0" collapsed="false">
      <c r="C1859" s="72" t="n">
        <f aca="false">COUNTIFS($D$6:D1859,"&lt;&gt;"&amp;"")</f>
        <v>1854</v>
      </c>
      <c r="D1859" s="73" t="s">
        <v>12</v>
      </c>
      <c r="E1859" s="76" t="str">
        <f aca="false">
IF($D1859="정상",INDEX(임대자산!$D$3:$R$3000,MATCH($F1859,임대자산!$I$3:$I$3000,0),MATCH(E$3,임대자산!$D$3:$R$3,0)),
IF($D1859="폐업",INDEX(폐업정보!$D$3:$R$3000,MATCH($F1859,폐업정보!$I$3:$I$3000,0),MATCH(E$3,폐업정보!$D$3:$R$3,0)),
"Error"))</f>
        <v>강원</v>
      </c>
      <c r="F185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B1854</v>
      </c>
      <c r="G1859" s="76" t="str">
        <f aca="false">F1859&amp;RANDBETWEEN(0,10)</f>
        <v>B18542</v>
      </c>
      <c r="H1859" s="75" t="n">
        <f aca="false">
IF($D1859="정상",INDEX(임대자산!$D$3:$R$3000,MATCH($F1859,임대자산!$I$3:$I$3000,0),MATCH(H$4,임대자산!$D$3:$R$3,0)),
IF($D1859="폐업",INDEX(폐업정보!$D$3:$R$3000,MATCH($F1859,폐업정보!$I$3:$I$3000,0),MATCH(H$4,폐업정보!$D$3:$R$3,0)),
"Error"))</f>
        <v>45926</v>
      </c>
      <c r="I1859" s="75" t="str">
        <f aca="false">
IF($D1859="정상",INDEX(임대자산!$D$3:$R$3000,MATCH($F1859,임대자산!$I$3:$I$3000,0),MATCH(I$4,임대자산!$D$3:$R$3,0)),
IF($D1859="폐업",INDEX(폐업정보!$D$3:$R$3000,MATCH($F1859,폐업정보!$I$3:$I$3000,0),MATCH(I$4,폐업정보!$D$3:$R$3,0)),
"Error"))</f>
        <v>A1854</v>
      </c>
      <c r="J1859" s="75" t="str">
        <f aca="false">
IF($D1859="정상",INDEX(임대자산!$D$3:$R$3000,MATCH($F1859,임대자산!$I$3:$I$3000,0),MATCH(J$4,임대자산!$D$3:$R$3,0)),
IF($D1859="폐업",INDEX(폐업정보!$D$3:$R$3000,MATCH($F1859,폐업정보!$I$3:$I$3000,0),MATCH(J$4,폐업정보!$D$3:$R$3,0)),
"Error"))</f>
        <v>1161400000</v>
      </c>
      <c r="K1859" s="75" t="str">
        <f aca="false">
IF($D1859="정상",INDEX(임대자산!$D$3:$R$3000,MATCH($F1859,임대자산!$I$3:$I$3000,0),MATCH(K$4,임대자산!$D$3:$R$3,0)),
IF($D1859="폐업",INDEX(폐업정보!$D$3:$R$3000,MATCH($F1859,폐업정보!$I$3:$I$3000,0),MATCH(K$4,폐업정보!$D$3:$R$3,0)),
"Error"))</f>
        <v>C1854</v>
      </c>
      <c r="L1859" s="75" t="str">
        <f aca="false">
IF($D1859="정상",INDEX(임대자산!$D$3:$R$3000,MATCH($F1859,임대자산!$I$3:$I$3000,0),MATCH(L$4,임대자산!$D$3:$R$3,0)),
IF($D1859="폐업",INDEX(폐업정보!$D$3:$R$3000,MATCH($F1859,폐업정보!$I$3:$I$3000,0),MATCH(L$4,폐업정보!$D$3:$R$3,0)),
"Error"))</f>
        <v>D1854</v>
      </c>
      <c r="M1859" s="76" t="s">
        <v>96</v>
      </c>
      <c r="N1859" s="77"/>
      <c r="O1859" s="78" t="s">
        <v>97</v>
      </c>
      <c r="P1859" s="79" t="n">
        <f aca="false">COUNTIFS(임대자산!$I:$I,가맹점정보!F1859,임대자산!$N:$N,가맹점정보!P$4)</f>
        <v>0</v>
      </c>
      <c r="Q1859" s="80" t="n">
        <f aca="false">COUNTIFS(임대자산!$I:$I,가맹점정보!F1859,임대자산!$N:$N,가맹점정보!Q$4)</f>
        <v>0</v>
      </c>
      <c r="R1859" s="81" t="n">
        <f aca="false">COUNTIFS(임대자산!$I:$I,가맹점정보!F1859,임대자산!$N:$N,가맹점정보!R$4)</f>
        <v>1</v>
      </c>
      <c r="S1859" s="82" t="n">
        <v>110000</v>
      </c>
      <c r="T1859" s="83" t="n">
        <v>0</v>
      </c>
      <c r="U1859" s="80" t="n">
        <f aca="false">SUM(S1859:T1859)</f>
        <v>110000</v>
      </c>
      <c r="V1859" s="84" t="s">
        <v>12</v>
      </c>
      <c r="W1859" s="80" t="e">
        <f aca="true">
IF(D1859="폐업","폐업",
IF(V1859="면제","면제",
IF(AND(V1859="정상",COUNTIFS(OFFSET(Y1859,0,COUNTA(Y1859:AV1859)-1,1,-4),"미납")&gt;=3),"장기미납",
IF(AND(V1859="정상",OFFSET(Y1859,0,COUNTA(Y1859:AV1859)-1)&gt;=U1859),"정상",
IF(AND(V1859="정상",OFFSET(Y1859,0,COUNTA(Y1859:AV1859)-1)=0),"정상",
"계약서 미작성")))))</f>
        <v>#VALUE!</v>
      </c>
      <c r="X1859" s="81" t="str">
        <f aca="true">
IF(D1859="폐업","폐업",
IF(AND(V1859="정상",OFFSET(Y1859,0,COUNTA(Y1859:AV1859)-1)="미납"),"미납",
IF(AND(V1859="정상",OFFSET(Y1859,0,COUNTA(Y1859:AV1859)-1)=0),"납부 시작 전",
IF(AND(V1859="정상",OFFSET(Y1859,0,COUNTA(Y1859:AV1859)-1)&gt;=U1859),"정상",
IF(AND(V1859="면제",OFFSET(Y1859,0,COUNTA(Y1859:AV1859)-1)="면제"),"면제",
IF(AND(V1859="면제",OFFSET(Y1859,0,COUNTA(Y1859:AV1859)-1)=0),"면제",
"확인요청"))))))</f>
        <v>정상</v>
      </c>
      <c r="Y1859" s="93" t="n">
        <v>99000</v>
      </c>
      <c r="Z1859" s="90" t="n">
        <v>99000</v>
      </c>
      <c r="AA1859" s="90" t="s">
        <v>103</v>
      </c>
      <c r="AB1859" s="90" t="n">
        <v>99000</v>
      </c>
      <c r="AC1859" s="90" t="n">
        <v>99000</v>
      </c>
      <c r="AD1859" s="90" t="n">
        <v>99000</v>
      </c>
      <c r="AE1859" s="90" t="n">
        <v>198000</v>
      </c>
      <c r="AF1859" s="90" t="n">
        <v>99000</v>
      </c>
      <c r="AG1859" s="90" t="s">
        <v>100</v>
      </c>
      <c r="AH1859" s="90" t="n">
        <v>198000</v>
      </c>
      <c r="AI1859" s="90" t="s">
        <v>107</v>
      </c>
      <c r="AJ1859" s="91" t="n">
        <v>220000</v>
      </c>
      <c r="AK1859" s="89" t="n">
        <v>110000</v>
      </c>
      <c r="AL1859" s="90" t="n">
        <v>110000</v>
      </c>
      <c r="AM1859" s="90"/>
      <c r="AN1859" s="90"/>
      <c r="AO1859" s="90"/>
      <c r="AP1859" s="90"/>
      <c r="AQ1859" s="90"/>
      <c r="AR1859" s="90"/>
      <c r="AS1859" s="90"/>
      <c r="AT1859" s="90"/>
      <c r="AU1859" s="90"/>
      <c r="AV1859" s="91"/>
      <c r="AX1859" s="92"/>
    </row>
    <row r="1860" customFormat="false" ht="15.65" hidden="false" customHeight="false" outlineLevel="0" collapsed="false">
      <c r="C1860" s="72" t="n">
        <f aca="false">COUNTIFS($D$6:D1860,"&lt;&gt;"&amp;"")</f>
        <v>1855</v>
      </c>
      <c r="D1860" s="73" t="s">
        <v>12</v>
      </c>
      <c r="E1860" s="76" t="str">
        <f aca="false">
IF($D1860="정상",INDEX(임대자산!$D$3:$R$3000,MATCH($F1860,임대자산!$I$3:$I$3000,0),MATCH(E$3,임대자산!$D$3:$R$3,0)),
IF($D1860="폐업",INDEX(폐업정보!$D$3:$R$3000,MATCH($F1860,폐업정보!$I$3:$I$3000,0),MATCH(E$3,폐업정보!$D$3:$R$3,0)),
"Error"))</f>
        <v>서울</v>
      </c>
      <c r="F186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B1855</v>
      </c>
      <c r="G1860" s="76" t="str">
        <f aca="false">F1860&amp;RANDBETWEEN(0,10)</f>
        <v>B18558</v>
      </c>
      <c r="H1860" s="75" t="n">
        <f aca="false">
IF($D1860="정상",INDEX(임대자산!$D$3:$R$3000,MATCH($F1860,임대자산!$I$3:$I$3000,0),MATCH(H$4,임대자산!$D$3:$R$3,0)),
IF($D1860="폐업",INDEX(폐업정보!$D$3:$R$3000,MATCH($F1860,폐업정보!$I$3:$I$3000,0),MATCH(H$4,폐업정보!$D$3:$R$3,0)),
"Error"))</f>
        <v>45930</v>
      </c>
      <c r="I1860" s="75" t="str">
        <f aca="false">
IF($D1860="정상",INDEX(임대자산!$D$3:$R$3000,MATCH($F1860,임대자산!$I$3:$I$3000,0),MATCH(I$4,임대자산!$D$3:$R$3,0)),
IF($D1860="폐업",INDEX(폐업정보!$D$3:$R$3000,MATCH($F1860,폐업정보!$I$3:$I$3000,0),MATCH(I$4,폐업정보!$D$3:$R$3,0)),
"Error"))</f>
        <v>A1855</v>
      </c>
      <c r="J1860" s="75" t="str">
        <f aca="false">
IF($D1860="정상",INDEX(임대자산!$D$3:$R$3000,MATCH($F1860,임대자산!$I$3:$I$3000,0),MATCH(J$4,임대자산!$D$3:$R$3,0)),
IF($D1860="폐업",INDEX(폐업정보!$D$3:$R$3000,MATCH($F1860,폐업정보!$I$3:$I$3000,0),MATCH(J$4,폐업정보!$D$3:$R$3,0)),
"Error"))</f>
        <v>3998800000</v>
      </c>
      <c r="K1860" s="75" t="str">
        <f aca="false">
IF($D1860="정상",INDEX(임대자산!$D$3:$R$3000,MATCH($F1860,임대자산!$I$3:$I$3000,0),MATCH(K$4,임대자산!$D$3:$R$3,0)),
IF($D1860="폐업",INDEX(폐업정보!$D$3:$R$3000,MATCH($F1860,폐업정보!$I$3:$I$3000,0),MATCH(K$4,폐업정보!$D$3:$R$3,0)),
"Error"))</f>
        <v>C1855</v>
      </c>
      <c r="L1860" s="75" t="str">
        <f aca="false">
IF($D1860="정상",INDEX(임대자산!$D$3:$R$3000,MATCH($F1860,임대자산!$I$3:$I$3000,0),MATCH(L$4,임대자산!$D$3:$R$3,0)),
IF($D1860="폐업",INDEX(폐업정보!$D$3:$R$3000,MATCH($F1860,폐업정보!$I$3:$I$3000,0),MATCH(L$4,폐업정보!$D$3:$R$3,0)),
"Error"))</f>
        <v>D1855</v>
      </c>
      <c r="M1860" s="76" t="s">
        <v>96</v>
      </c>
      <c r="N1860" s="77"/>
      <c r="O1860" s="78" t="s">
        <v>97</v>
      </c>
      <c r="P1860" s="79" t="n">
        <f aca="false">COUNTIFS(임대자산!$I:$I,가맹점정보!F1860,임대자산!$N:$N,가맹점정보!P$4)</f>
        <v>0</v>
      </c>
      <c r="Q1860" s="80" t="n">
        <f aca="false">COUNTIFS(임대자산!$I:$I,가맹점정보!F1860,임대자산!$N:$N,가맹점정보!Q$4)</f>
        <v>0</v>
      </c>
      <c r="R1860" s="81" t="n">
        <f aca="false">COUNTIFS(임대자산!$I:$I,가맹점정보!F1860,임대자산!$N:$N,가맹점정보!R$4)</f>
        <v>1</v>
      </c>
      <c r="S1860" s="82" t="n">
        <v>55000</v>
      </c>
      <c r="T1860" s="83" t="n">
        <v>0</v>
      </c>
      <c r="U1860" s="80" t="n">
        <f aca="false">SUM(S1860:T1860)</f>
        <v>55000</v>
      </c>
      <c r="V1860" s="84" t="s">
        <v>12</v>
      </c>
      <c r="W1860" s="80" t="e">
        <f aca="true">
IF(D1860="폐업","폐업",
IF(V1860="면제","면제",
IF(AND(V1860="정상",COUNTIFS(OFFSET(Y1860,0,COUNTA(Y1860:AV1860)-1,1,-4),"미납")&gt;=3),"장기미납",
IF(AND(V1860="정상",OFFSET(Y1860,0,COUNTA(Y1860:AV1860)-1)&gt;=U1860),"정상",
IF(AND(V1860="정상",OFFSET(Y1860,0,COUNTA(Y1860:AV1860)-1)=0),"정상",
"계약서 미작성")))))</f>
        <v>#VALUE!</v>
      </c>
      <c r="X1860" s="81" t="str">
        <f aca="true">
IF(D1860="폐업","폐업",
IF(AND(V1860="정상",OFFSET(Y1860,0,COUNTA(Y1860:AV1860)-1)="미납"),"미납",
IF(AND(V1860="정상",OFFSET(Y1860,0,COUNTA(Y1860:AV1860)-1)=0),"납부 시작 전",
IF(AND(V1860="정상",OFFSET(Y1860,0,COUNTA(Y1860:AV1860)-1)&gt;=U1860),"정상",
IF(AND(V1860="면제",OFFSET(Y1860,0,COUNTA(Y1860:AV1860)-1)="면제"),"면제",
IF(AND(V1860="면제",OFFSET(Y1860,0,COUNTA(Y1860:AV1860)-1)=0),"면제",
"확인요청"))))))</f>
        <v>정상</v>
      </c>
      <c r="Y1860" s="93" t="n">
        <v>55000</v>
      </c>
      <c r="Z1860" s="90" t="n">
        <v>110000</v>
      </c>
      <c r="AA1860" s="90" t="s">
        <v>111</v>
      </c>
      <c r="AB1860" s="90" t="n">
        <v>110000</v>
      </c>
      <c r="AC1860" s="90" t="n">
        <v>55000</v>
      </c>
      <c r="AD1860" s="90" t="n">
        <v>55000</v>
      </c>
      <c r="AE1860" s="90" t="n">
        <v>55000</v>
      </c>
      <c r="AF1860" s="90" t="n">
        <v>55000</v>
      </c>
      <c r="AG1860" s="90" t="n">
        <v>55000</v>
      </c>
      <c r="AH1860" s="90" t="n">
        <v>55000</v>
      </c>
      <c r="AI1860" s="90" t="n">
        <v>55000</v>
      </c>
      <c r="AJ1860" s="91" t="n">
        <v>55000</v>
      </c>
      <c r="AK1860" s="89" t="n">
        <v>55000</v>
      </c>
      <c r="AL1860" s="90" t="n">
        <v>55000</v>
      </c>
      <c r="AM1860" s="90"/>
      <c r="AN1860" s="90"/>
      <c r="AO1860" s="90"/>
      <c r="AP1860" s="90"/>
      <c r="AQ1860" s="90"/>
      <c r="AR1860" s="90"/>
      <c r="AS1860" s="90"/>
      <c r="AT1860" s="90"/>
      <c r="AU1860" s="90"/>
      <c r="AV1860" s="91"/>
      <c r="AX1860" s="92"/>
    </row>
    <row r="1861" customFormat="false" ht="15.65" hidden="false" customHeight="false" outlineLevel="0" collapsed="false">
      <c r="C1861" s="72" t="n">
        <f aca="false">COUNTIFS($D$6:D1861,"&lt;&gt;"&amp;"")</f>
        <v>1856</v>
      </c>
      <c r="D1861" s="73" t="s">
        <v>12</v>
      </c>
      <c r="E1861" s="76" t="str">
        <f aca="false">
IF($D1861="정상",INDEX(임대자산!$D$3:$R$3000,MATCH($F1861,임대자산!$I$3:$I$3000,0),MATCH(E$3,임대자산!$D$3:$R$3,0)),
IF($D1861="폐업",INDEX(폐업정보!$D$3:$R$3000,MATCH($F1861,폐업정보!$I$3:$I$3000,0),MATCH(E$3,폐업정보!$D$3:$R$3,0)),
"Error"))</f>
        <v>서울</v>
      </c>
      <c r="F186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B1856</v>
      </c>
      <c r="G1861" s="76" t="str">
        <f aca="false">F1861&amp;RANDBETWEEN(0,10)</f>
        <v>B18565</v>
      </c>
      <c r="H1861" s="75" t="n">
        <f aca="false">
IF($D1861="정상",INDEX(임대자산!$D$3:$R$3000,MATCH($F1861,임대자산!$I$3:$I$3000,0),MATCH(H$4,임대자산!$D$3:$R$3,0)),
IF($D1861="폐업",INDEX(폐업정보!$D$3:$R$3000,MATCH($F1861,폐업정보!$I$3:$I$3000,0),MATCH(H$4,폐업정보!$D$3:$R$3,0)),
"Error"))</f>
        <v>45932</v>
      </c>
      <c r="I1861" s="75" t="str">
        <f aca="false">
IF($D1861="정상",INDEX(임대자산!$D$3:$R$3000,MATCH($F1861,임대자산!$I$3:$I$3000,0),MATCH(I$4,임대자산!$D$3:$R$3,0)),
IF($D1861="폐업",INDEX(폐업정보!$D$3:$R$3000,MATCH($F1861,폐업정보!$I$3:$I$3000,0),MATCH(I$4,폐업정보!$D$3:$R$3,0)),
"Error"))</f>
        <v>A1856</v>
      </c>
      <c r="J1861" s="75" t="str">
        <f aca="false">
IF($D1861="정상",INDEX(임대자산!$D$3:$R$3000,MATCH($F1861,임대자산!$I$3:$I$3000,0),MATCH(J$4,임대자산!$D$3:$R$3,0)),
IF($D1861="폐업",INDEX(폐업정보!$D$3:$R$3000,MATCH($F1861,폐업정보!$I$3:$I$3000,0),MATCH(J$4,폐업정보!$D$3:$R$3,0)),
"Error"))</f>
        <v>8240300000</v>
      </c>
      <c r="K1861" s="75" t="str">
        <f aca="false">
IF($D1861="정상",INDEX(임대자산!$D$3:$R$3000,MATCH($F1861,임대자산!$I$3:$I$3000,0),MATCH(K$4,임대자산!$D$3:$R$3,0)),
IF($D1861="폐업",INDEX(폐업정보!$D$3:$R$3000,MATCH($F1861,폐업정보!$I$3:$I$3000,0),MATCH(K$4,폐업정보!$D$3:$R$3,0)),
"Error"))</f>
        <v>C1856</v>
      </c>
      <c r="L1861" s="75" t="str">
        <f aca="false">
IF($D1861="정상",INDEX(임대자산!$D$3:$R$3000,MATCH($F1861,임대자산!$I$3:$I$3000,0),MATCH(L$4,임대자산!$D$3:$R$3,0)),
IF($D1861="폐업",INDEX(폐업정보!$D$3:$R$3000,MATCH($F1861,폐업정보!$I$3:$I$3000,0),MATCH(L$4,폐업정보!$D$3:$R$3,0)),
"Error"))</f>
        <v>D1856</v>
      </c>
      <c r="M1861" s="76" t="s">
        <v>96</v>
      </c>
      <c r="N1861" s="77"/>
      <c r="O1861" s="78" t="s">
        <v>97</v>
      </c>
      <c r="P1861" s="79" t="n">
        <f aca="false">COUNTIFS(임대자산!$I:$I,가맹점정보!F1861,임대자산!$N:$N,가맹점정보!P$4)</f>
        <v>0</v>
      </c>
      <c r="Q1861" s="80" t="n">
        <f aca="false">COUNTIFS(임대자산!$I:$I,가맹점정보!F1861,임대자산!$N:$N,가맹점정보!Q$4)</f>
        <v>0</v>
      </c>
      <c r="R1861" s="81" t="n">
        <f aca="false">COUNTIFS(임대자산!$I:$I,가맹점정보!F1861,임대자산!$N:$N,가맹점정보!R$4)</f>
        <v>1</v>
      </c>
      <c r="S1861" s="82" t="n">
        <v>55000</v>
      </c>
      <c r="T1861" s="83" t="n">
        <v>0</v>
      </c>
      <c r="U1861" s="80" t="n">
        <f aca="false">SUM(S1861:T1861)</f>
        <v>55000</v>
      </c>
      <c r="V1861" s="84" t="s">
        <v>12</v>
      </c>
      <c r="W1861" s="80" t="e">
        <f aca="true">
IF(D1861="폐업","폐업",
IF(V1861="면제","면제",
IF(AND(V1861="정상",COUNTIFS(OFFSET(Y1861,0,COUNTA(Y1861:AV1861)-1,1,-4),"미납")&gt;=3),"장기미납",
IF(AND(V1861="정상",OFFSET(Y1861,0,COUNTA(Y1861:AV1861)-1)&gt;=U1861),"정상",
IF(AND(V1861="정상",OFFSET(Y1861,0,COUNTA(Y1861:AV1861)-1)=0),"정상",
"계약서 미작성")))))</f>
        <v>#VALUE!</v>
      </c>
      <c r="X1861" s="81" t="str">
        <f aca="true">
IF(D1861="폐업","폐업",
IF(AND(V1861="정상",OFFSET(Y1861,0,COUNTA(Y1861:AV1861)-1)="미납"),"미납",
IF(AND(V1861="정상",OFFSET(Y1861,0,COUNTA(Y1861:AV1861)-1)=0),"납부 시작 전",
IF(AND(V1861="정상",OFFSET(Y1861,0,COUNTA(Y1861:AV1861)-1)&gt;=U1861),"정상",
IF(AND(V1861="면제",OFFSET(Y1861,0,COUNTA(Y1861:AV1861)-1)="면제"),"면제",
IF(AND(V1861="면제",OFFSET(Y1861,0,COUNTA(Y1861:AV1861)-1)=0),"면제",
"확인요청"))))))</f>
        <v>정상</v>
      </c>
      <c r="Y1861" s="93" t="n">
        <v>55000</v>
      </c>
      <c r="Z1861" s="90" t="n">
        <v>55000</v>
      </c>
      <c r="AA1861" s="90" t="s">
        <v>108</v>
      </c>
      <c r="AB1861" s="90" t="n">
        <v>55000</v>
      </c>
      <c r="AC1861" s="90" t="s">
        <v>108</v>
      </c>
      <c r="AD1861" s="90" t="n">
        <v>165000</v>
      </c>
      <c r="AE1861" s="90" t="s">
        <v>98</v>
      </c>
      <c r="AF1861" s="90" t="s">
        <v>98</v>
      </c>
      <c r="AG1861" s="90" t="s">
        <v>98</v>
      </c>
      <c r="AH1861" s="90" t="s">
        <v>98</v>
      </c>
      <c r="AI1861" s="90" t="n">
        <v>275000</v>
      </c>
      <c r="AJ1861" s="91" t="n">
        <v>55000</v>
      </c>
      <c r="AK1861" s="89" t="n">
        <v>55000</v>
      </c>
      <c r="AL1861" s="90" t="n">
        <v>55000</v>
      </c>
      <c r="AM1861" s="90"/>
      <c r="AN1861" s="90"/>
      <c r="AO1861" s="90"/>
      <c r="AP1861" s="90"/>
      <c r="AQ1861" s="90"/>
      <c r="AR1861" s="90"/>
      <c r="AS1861" s="90"/>
      <c r="AT1861" s="90"/>
      <c r="AU1861" s="90"/>
      <c r="AV1861" s="91"/>
      <c r="AX1861" s="92"/>
    </row>
    <row r="1862" customFormat="false" ht="15.65" hidden="false" customHeight="false" outlineLevel="0" collapsed="false">
      <c r="C1862" s="72" t="n">
        <f aca="false">COUNTIFS($D$6:D1862,"&lt;&gt;"&amp;"")</f>
        <v>1857</v>
      </c>
      <c r="D1862" s="73" t="s">
        <v>12</v>
      </c>
      <c r="E1862" s="76" t="str">
        <f aca="false">
IF($D1862="정상",INDEX(임대자산!$D$3:$R$3000,MATCH($F1862,임대자산!$I$3:$I$3000,0),MATCH(E$3,임대자산!$D$3:$R$3,0)),
IF($D1862="폐업",INDEX(폐업정보!$D$3:$R$3000,MATCH($F1862,폐업정보!$I$3:$I$3000,0),MATCH(E$3,폐업정보!$D$3:$R$3,0)),
"Error"))</f>
        <v>서울</v>
      </c>
      <c r="F186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B1857</v>
      </c>
      <c r="G1862" s="76" t="str">
        <f aca="false">F1862&amp;RANDBETWEEN(0,10)</f>
        <v>B185710</v>
      </c>
      <c r="H1862" s="75" t="n">
        <f aca="false">
IF($D1862="정상",INDEX(임대자산!$D$3:$R$3000,MATCH($F1862,임대자산!$I$3:$I$3000,0),MATCH(H$4,임대자산!$D$3:$R$3,0)),
IF($D1862="폐업",INDEX(폐업정보!$D$3:$R$3000,MATCH($F1862,폐업정보!$I$3:$I$3000,0),MATCH(H$4,폐업정보!$D$3:$R$3,0)),
"Error"))</f>
        <v>45931</v>
      </c>
      <c r="I1862" s="75" t="str">
        <f aca="false">
IF($D1862="정상",INDEX(임대자산!$D$3:$R$3000,MATCH($F1862,임대자산!$I$3:$I$3000,0),MATCH(I$4,임대자산!$D$3:$R$3,0)),
IF($D1862="폐업",INDEX(폐업정보!$D$3:$R$3000,MATCH($F1862,폐업정보!$I$3:$I$3000,0),MATCH(I$4,폐업정보!$D$3:$R$3,0)),
"Error"))</f>
        <v>A1857</v>
      </c>
      <c r="J1862" s="75" t="str">
        <f aca="false">
IF($D1862="정상",INDEX(임대자산!$D$3:$R$3000,MATCH($F1862,임대자산!$I$3:$I$3000,0),MATCH(J$4,임대자산!$D$3:$R$3,0)),
IF($D1862="폐업",INDEX(폐업정보!$D$3:$R$3000,MATCH($F1862,폐업정보!$I$3:$I$3000,0),MATCH(J$4,폐업정보!$D$3:$R$3,0)),
"Error"))</f>
        <v>1210700000</v>
      </c>
      <c r="K1862" s="75" t="str">
        <f aca="false">
IF($D1862="정상",INDEX(임대자산!$D$3:$R$3000,MATCH($F1862,임대자산!$I$3:$I$3000,0),MATCH(K$4,임대자산!$D$3:$R$3,0)),
IF($D1862="폐업",INDEX(폐업정보!$D$3:$R$3000,MATCH($F1862,폐업정보!$I$3:$I$3000,0),MATCH(K$4,폐업정보!$D$3:$R$3,0)),
"Error"))</f>
        <v>C1857</v>
      </c>
      <c r="L1862" s="75" t="str">
        <f aca="false">
IF($D1862="정상",INDEX(임대자산!$D$3:$R$3000,MATCH($F1862,임대자산!$I$3:$I$3000,0),MATCH(L$4,임대자산!$D$3:$R$3,0)),
IF($D1862="폐업",INDEX(폐업정보!$D$3:$R$3000,MATCH($F1862,폐업정보!$I$3:$I$3000,0),MATCH(L$4,폐업정보!$D$3:$R$3,0)),
"Error"))</f>
        <v>D1857</v>
      </c>
      <c r="M1862" s="76" t="s">
        <v>96</v>
      </c>
      <c r="N1862" s="77"/>
      <c r="O1862" s="78" t="s">
        <v>97</v>
      </c>
      <c r="P1862" s="79" t="n">
        <f aca="false">COUNTIFS(임대자산!$I:$I,가맹점정보!F1862,임대자산!$N:$N,가맹점정보!P$4)</f>
        <v>0</v>
      </c>
      <c r="Q1862" s="80" t="n">
        <f aca="false">COUNTIFS(임대자산!$I:$I,가맹점정보!F1862,임대자산!$N:$N,가맹점정보!Q$4)</f>
        <v>0</v>
      </c>
      <c r="R1862" s="81" t="n">
        <f aca="false">COUNTIFS(임대자산!$I:$I,가맹점정보!F1862,임대자산!$N:$N,가맹점정보!R$4)</f>
        <v>1</v>
      </c>
      <c r="S1862" s="82" t="n">
        <v>88000</v>
      </c>
      <c r="T1862" s="83" t="n">
        <v>0</v>
      </c>
      <c r="U1862" s="80" t="n">
        <f aca="false">SUM(S1862:T1862)</f>
        <v>88000</v>
      </c>
      <c r="V1862" s="84" t="s">
        <v>7</v>
      </c>
      <c r="W1862" s="80" t="str">
        <f aca="true">
IF(D1862="폐업","폐업",
IF(V1862="면제","면제",
IF(AND(V1862="정상",COUNTIFS(OFFSET(Y1862,0,COUNTA(Y1862:AV1862)-1,1,-4),"미납")&gt;=3),"장기미납",
IF(AND(V1862="정상",OFFSET(Y1862,0,COUNTA(Y1862:AV1862)-1)&gt;=U1862),"정상",
IF(AND(V1862="정상",OFFSET(Y1862,0,COUNTA(Y1862:AV1862)-1)=0),"정상",
"계약서 미작성")))))</f>
        <v>면제</v>
      </c>
      <c r="X1862" s="81" t="str">
        <f aca="true">
IF(D1862="폐업","폐업",
IF(AND(V1862="정상",OFFSET(Y1862,0,COUNTA(Y1862:AV1862)-1)="미납"),"미납",
IF(AND(V1862="정상",OFFSET(Y1862,0,COUNTA(Y1862:AV1862)-1)=0),"납부 시작 전",
IF(AND(V1862="정상",OFFSET(Y1862,0,COUNTA(Y1862:AV1862)-1)&gt;=U1862),"정상",
IF(AND(V1862="면제",OFFSET(Y1862,0,COUNTA(Y1862:AV1862)-1)="면제"),"면제",
IF(AND(V1862="면제",OFFSET(Y1862,0,COUNTA(Y1862:AV1862)-1)=0),"면제",
"확인요청"))))))</f>
        <v>면제</v>
      </c>
      <c r="Y1862" s="93" t="n">
        <v>88000</v>
      </c>
      <c r="Z1862" s="90" t="n">
        <v>88000</v>
      </c>
      <c r="AA1862" s="95" t="s">
        <v>62</v>
      </c>
      <c r="AB1862" s="90" t="n">
        <v>0</v>
      </c>
      <c r="AC1862" s="90" t="n">
        <v>0</v>
      </c>
      <c r="AD1862" s="95" t="s">
        <v>7</v>
      </c>
      <c r="AE1862" s="95" t="s">
        <v>7</v>
      </c>
      <c r="AF1862" s="95" t="s">
        <v>7</v>
      </c>
      <c r="AG1862" s="95" t="s">
        <v>7</v>
      </c>
      <c r="AH1862" s="95" t="s">
        <v>7</v>
      </c>
      <c r="AI1862" s="95" t="s">
        <v>7</v>
      </c>
      <c r="AJ1862" s="96" t="s">
        <v>7</v>
      </c>
      <c r="AK1862" s="97" t="s">
        <v>7</v>
      </c>
      <c r="AL1862" s="95" t="s">
        <v>7</v>
      </c>
      <c r="AM1862" s="90"/>
      <c r="AN1862" s="90"/>
      <c r="AO1862" s="90"/>
      <c r="AP1862" s="90"/>
      <c r="AQ1862" s="90"/>
      <c r="AR1862" s="90"/>
      <c r="AS1862" s="90"/>
      <c r="AT1862" s="90"/>
      <c r="AU1862" s="90"/>
      <c r="AV1862" s="91"/>
      <c r="AX1862" s="92"/>
    </row>
    <row r="1863" customFormat="false" ht="15.65" hidden="false" customHeight="false" outlineLevel="0" collapsed="false">
      <c r="C1863" s="72" t="n">
        <f aca="false">COUNTIFS($D$6:D1863,"&lt;&gt;"&amp;"")</f>
        <v>1858</v>
      </c>
      <c r="D1863" s="73" t="s">
        <v>12</v>
      </c>
      <c r="E1863" s="76" t="str">
        <f aca="false">
IF($D1863="정상",INDEX(임대자산!$D$3:$R$3000,MATCH($F1863,임대자산!$I$3:$I$3000,0),MATCH(E$3,임대자산!$D$3:$R$3,0)),
IF($D1863="폐업",INDEX(폐업정보!$D$3:$R$3000,MATCH($F1863,폐업정보!$I$3:$I$3000,0),MATCH(E$3,폐업정보!$D$3:$R$3,0)),
"Error"))</f>
        <v>서울</v>
      </c>
      <c r="F186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B1858</v>
      </c>
      <c r="G1863" s="76" t="str">
        <f aca="false">F1863&amp;RANDBETWEEN(0,10)</f>
        <v>B18586</v>
      </c>
      <c r="H1863" s="75" t="n">
        <f aca="false">
IF($D1863="정상",INDEX(임대자산!$D$3:$R$3000,MATCH($F1863,임대자산!$I$3:$I$3000,0),MATCH(H$4,임대자산!$D$3:$R$3,0)),
IF($D1863="폐업",INDEX(폐업정보!$D$3:$R$3000,MATCH($F1863,폐업정보!$I$3:$I$3000,0),MATCH(H$4,폐업정보!$D$3:$R$3,0)),
"Error"))</f>
        <v>45931</v>
      </c>
      <c r="I1863" s="75" t="str">
        <f aca="false">
IF($D1863="정상",INDEX(임대자산!$D$3:$R$3000,MATCH($F1863,임대자산!$I$3:$I$3000,0),MATCH(I$4,임대자산!$D$3:$R$3,0)),
IF($D1863="폐업",INDEX(폐업정보!$D$3:$R$3000,MATCH($F1863,폐업정보!$I$3:$I$3000,0),MATCH(I$4,폐업정보!$D$3:$R$3,0)),
"Error"))</f>
        <v>A1858</v>
      </c>
      <c r="J1863" s="75" t="str">
        <f aca="false">
IF($D1863="정상",INDEX(임대자산!$D$3:$R$3000,MATCH($F1863,임대자산!$I$3:$I$3000,0),MATCH(J$4,임대자산!$D$3:$R$3,0)),
IF($D1863="폐업",INDEX(폐업정보!$D$3:$R$3000,MATCH($F1863,폐업정보!$I$3:$I$3000,0),MATCH(J$4,폐업정보!$D$3:$R$3,0)),
"Error"))</f>
        <v>7425900000</v>
      </c>
      <c r="K1863" s="75" t="str">
        <f aca="false">
IF($D1863="정상",INDEX(임대자산!$D$3:$R$3000,MATCH($F1863,임대자산!$I$3:$I$3000,0),MATCH(K$4,임대자산!$D$3:$R$3,0)),
IF($D1863="폐업",INDEX(폐업정보!$D$3:$R$3000,MATCH($F1863,폐업정보!$I$3:$I$3000,0),MATCH(K$4,폐업정보!$D$3:$R$3,0)),
"Error"))</f>
        <v>C1858</v>
      </c>
      <c r="L1863" s="75" t="str">
        <f aca="false">
IF($D1863="정상",INDEX(임대자산!$D$3:$R$3000,MATCH($F1863,임대자산!$I$3:$I$3000,0),MATCH(L$4,임대자산!$D$3:$R$3,0)),
IF($D1863="폐업",INDEX(폐업정보!$D$3:$R$3000,MATCH($F1863,폐업정보!$I$3:$I$3000,0),MATCH(L$4,폐업정보!$D$3:$R$3,0)),
"Error"))</f>
        <v>D1858</v>
      </c>
      <c r="M1863" s="76" t="s">
        <v>96</v>
      </c>
      <c r="N1863" s="77"/>
      <c r="O1863" s="78" t="s">
        <v>97</v>
      </c>
      <c r="P1863" s="79" t="n">
        <f aca="false">COUNTIFS(임대자산!$I:$I,가맹점정보!F1863,임대자산!$N:$N,가맹점정보!P$4)</f>
        <v>0</v>
      </c>
      <c r="Q1863" s="80" t="n">
        <f aca="false">COUNTIFS(임대자산!$I:$I,가맹점정보!F1863,임대자산!$N:$N,가맹점정보!Q$4)</f>
        <v>0</v>
      </c>
      <c r="R1863" s="81" t="n">
        <f aca="false">COUNTIFS(임대자산!$I:$I,가맹점정보!F1863,임대자산!$N:$N,가맹점정보!R$4)</f>
        <v>1</v>
      </c>
      <c r="S1863" s="82" t="n">
        <v>55000</v>
      </c>
      <c r="T1863" s="83" t="n">
        <v>0</v>
      </c>
      <c r="U1863" s="80" t="n">
        <f aca="false">SUM(S1863:T1863)</f>
        <v>55000</v>
      </c>
      <c r="V1863" s="84" t="s">
        <v>12</v>
      </c>
      <c r="W1863" s="80" t="e">
        <f aca="true">
IF(D1863="폐업","폐업",
IF(V1863="면제","면제",
IF(AND(V1863="정상",COUNTIFS(OFFSET(Y1863,0,COUNTA(Y1863:AV1863)-1,1,-4),"미납")&gt;=3),"장기미납",
IF(AND(V1863="정상",OFFSET(Y1863,0,COUNTA(Y1863:AV1863)-1)&gt;=U1863),"정상",
IF(AND(V1863="정상",OFFSET(Y1863,0,COUNTA(Y1863:AV1863)-1)=0),"정상",
"계약서 미작성")))))</f>
        <v>#VALUE!</v>
      </c>
      <c r="X1863" s="81" t="str">
        <f aca="true">
IF(D1863="폐업","폐업",
IF(AND(V1863="정상",OFFSET(Y1863,0,COUNTA(Y1863:AV1863)-1)="미납"),"미납",
IF(AND(V1863="정상",OFFSET(Y1863,0,COUNTA(Y1863:AV1863)-1)=0),"납부 시작 전",
IF(AND(V1863="정상",OFFSET(Y1863,0,COUNTA(Y1863:AV1863)-1)&gt;=U1863),"정상",
IF(AND(V1863="면제",OFFSET(Y1863,0,COUNTA(Y1863:AV1863)-1)="면제"),"면제",
IF(AND(V1863="면제",OFFSET(Y1863,0,COUNTA(Y1863:AV1863)-1)=0),"면제",
"확인요청"))))))</f>
        <v>정상</v>
      </c>
      <c r="Y1863" s="93" t="n">
        <v>55000</v>
      </c>
      <c r="Z1863" s="90" t="n">
        <v>55000</v>
      </c>
      <c r="AA1863" s="95" t="s">
        <v>62</v>
      </c>
      <c r="AB1863" s="90" t="n">
        <v>55000</v>
      </c>
      <c r="AC1863" s="90" t="n">
        <v>55000</v>
      </c>
      <c r="AD1863" s="90" t="n">
        <v>55000</v>
      </c>
      <c r="AE1863" s="90" t="n">
        <v>55000</v>
      </c>
      <c r="AF1863" s="90" t="n">
        <v>55000</v>
      </c>
      <c r="AG1863" s="90" t="n">
        <v>55000</v>
      </c>
      <c r="AH1863" s="90" t="n">
        <v>55000</v>
      </c>
      <c r="AI1863" s="90" t="n">
        <v>55000</v>
      </c>
      <c r="AJ1863" s="91" t="n">
        <v>55000</v>
      </c>
      <c r="AK1863" s="89" t="n">
        <v>55000</v>
      </c>
      <c r="AL1863" s="90" t="n">
        <v>55000</v>
      </c>
      <c r="AM1863" s="90"/>
      <c r="AN1863" s="90"/>
      <c r="AO1863" s="90"/>
      <c r="AP1863" s="90"/>
      <c r="AQ1863" s="90"/>
      <c r="AR1863" s="90"/>
      <c r="AS1863" s="90"/>
      <c r="AT1863" s="90"/>
      <c r="AU1863" s="90"/>
      <c r="AV1863" s="91"/>
      <c r="AX1863" s="92"/>
    </row>
    <row r="1864" customFormat="false" ht="15.65" hidden="false" customHeight="false" outlineLevel="0" collapsed="false">
      <c r="C1864" s="72" t="n">
        <f aca="false">COUNTIFS($D$6:D1864,"&lt;&gt;"&amp;"")</f>
        <v>1859</v>
      </c>
      <c r="D1864" s="73" t="s">
        <v>12</v>
      </c>
      <c r="E1864" s="76" t="str">
        <f aca="false">
IF($D1864="정상",INDEX(임대자산!$D$3:$R$3000,MATCH($F1864,임대자산!$I$3:$I$3000,0),MATCH(E$3,임대자산!$D$3:$R$3,0)),
IF($D1864="폐업",INDEX(폐업정보!$D$3:$R$3000,MATCH($F1864,폐업정보!$I$3:$I$3000,0),MATCH(E$3,폐업정보!$D$3:$R$3,0)),
"Error"))</f>
        <v>서울</v>
      </c>
      <c r="F186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B1859</v>
      </c>
      <c r="G1864" s="76" t="str">
        <f aca="false">F1864&amp;RANDBETWEEN(0,10)</f>
        <v>B18595</v>
      </c>
      <c r="H1864" s="75" t="n">
        <f aca="false">
IF($D1864="정상",INDEX(임대자산!$D$3:$R$3000,MATCH($F1864,임대자산!$I$3:$I$3000,0),MATCH(H$4,임대자산!$D$3:$R$3,0)),
IF($D1864="폐업",INDEX(폐업정보!$D$3:$R$3000,MATCH($F1864,폐업정보!$I$3:$I$3000,0),MATCH(H$4,폐업정보!$D$3:$R$3,0)),
"Error"))</f>
        <v>45946</v>
      </c>
      <c r="I1864" s="75" t="str">
        <f aca="false">
IF($D1864="정상",INDEX(임대자산!$D$3:$R$3000,MATCH($F1864,임대자산!$I$3:$I$3000,0),MATCH(I$4,임대자산!$D$3:$R$3,0)),
IF($D1864="폐업",INDEX(폐업정보!$D$3:$R$3000,MATCH($F1864,폐업정보!$I$3:$I$3000,0),MATCH(I$4,폐업정보!$D$3:$R$3,0)),
"Error"))</f>
        <v>A1859</v>
      </c>
      <c r="J1864" s="75" t="str">
        <f aca="false">
IF($D1864="정상",INDEX(임대자산!$D$3:$R$3000,MATCH($F1864,임대자산!$I$3:$I$3000,0),MATCH(J$4,임대자산!$D$3:$R$3,0)),
IF($D1864="폐업",INDEX(폐업정보!$D$3:$R$3000,MATCH($F1864,폐업정보!$I$3:$I$3000,0),MATCH(J$4,폐업정보!$D$3:$R$3,0)),
"Error"))</f>
        <v>6962700000</v>
      </c>
      <c r="K1864" s="75" t="str">
        <f aca="false">
IF($D1864="정상",INDEX(임대자산!$D$3:$R$3000,MATCH($F1864,임대자산!$I$3:$I$3000,0),MATCH(K$4,임대자산!$D$3:$R$3,0)),
IF($D1864="폐업",INDEX(폐업정보!$D$3:$R$3000,MATCH($F1864,폐업정보!$I$3:$I$3000,0),MATCH(K$4,폐업정보!$D$3:$R$3,0)),
"Error"))</f>
        <v>C1859</v>
      </c>
      <c r="L1864" s="75" t="str">
        <f aca="false">
IF($D1864="정상",INDEX(임대자산!$D$3:$R$3000,MATCH($F1864,임대자산!$I$3:$I$3000,0),MATCH(L$4,임대자산!$D$3:$R$3,0)),
IF($D1864="폐업",INDEX(폐업정보!$D$3:$R$3000,MATCH($F1864,폐업정보!$I$3:$I$3000,0),MATCH(L$4,폐업정보!$D$3:$R$3,0)),
"Error"))</f>
        <v>D1859</v>
      </c>
      <c r="M1864" s="76" t="s">
        <v>96</v>
      </c>
      <c r="N1864" s="77"/>
      <c r="O1864" s="78" t="s">
        <v>97</v>
      </c>
      <c r="P1864" s="79" t="n">
        <f aca="false">COUNTIFS(임대자산!$I:$I,가맹점정보!F1864,임대자산!$N:$N,가맹점정보!P$4)</f>
        <v>0</v>
      </c>
      <c r="Q1864" s="80" t="n">
        <f aca="false">COUNTIFS(임대자산!$I:$I,가맹점정보!F1864,임대자산!$N:$N,가맹점정보!Q$4)</f>
        <v>0</v>
      </c>
      <c r="R1864" s="81" t="n">
        <f aca="false">COUNTIFS(임대자산!$I:$I,가맹점정보!F1864,임대자산!$N:$N,가맹점정보!R$4)</f>
        <v>1</v>
      </c>
      <c r="S1864" s="82" t="n">
        <v>55000</v>
      </c>
      <c r="T1864" s="83" t="n">
        <v>0</v>
      </c>
      <c r="U1864" s="80" t="n">
        <f aca="false">SUM(S1864:T1864)</f>
        <v>55000</v>
      </c>
      <c r="V1864" s="84" t="s">
        <v>12</v>
      </c>
      <c r="W1864" s="80" t="e">
        <f aca="true">
IF(D1864="폐업","폐업",
IF(V1864="면제","면제",
IF(AND(V1864="정상",COUNTIFS(OFFSET(Y1864,0,COUNTA(Y1864:AV1864)-1,1,-4),"미납")&gt;=3),"장기미납",
IF(AND(V1864="정상",OFFSET(Y1864,0,COUNTA(Y1864:AV1864)-1)&gt;=U1864),"정상",
IF(AND(V1864="정상",OFFSET(Y1864,0,COUNTA(Y1864:AV1864)-1)=0),"정상",
"계약서 미작성")))))</f>
        <v>#VALUE!</v>
      </c>
      <c r="X1864" s="81" t="str">
        <f aca="true">
IF(D1864="폐업","폐업",
IF(AND(V1864="정상",OFFSET(Y1864,0,COUNTA(Y1864:AV1864)-1)="미납"),"미납",
IF(AND(V1864="정상",OFFSET(Y1864,0,COUNTA(Y1864:AV1864)-1)=0),"납부 시작 전",
IF(AND(V1864="정상",OFFSET(Y1864,0,COUNTA(Y1864:AV1864)-1)&gt;=U1864),"정상",
IF(AND(V1864="면제",OFFSET(Y1864,0,COUNTA(Y1864:AV1864)-1)="면제"),"면제",
IF(AND(V1864="면제",OFFSET(Y1864,0,COUNTA(Y1864:AV1864)-1)=0),"면제",
"확인요청"))))))</f>
        <v>정상</v>
      </c>
      <c r="Y1864" s="93" t="s">
        <v>99</v>
      </c>
      <c r="Z1864" s="90" t="n">
        <v>275000</v>
      </c>
      <c r="AA1864" s="90" t="s">
        <v>111</v>
      </c>
      <c r="AB1864" s="90" t="n">
        <v>110000</v>
      </c>
      <c r="AC1864" s="90" t="n">
        <v>55000</v>
      </c>
      <c r="AD1864" s="90" t="n">
        <v>55000</v>
      </c>
      <c r="AE1864" s="95" t="s">
        <v>62</v>
      </c>
      <c r="AF1864" s="90" t="n">
        <v>55000</v>
      </c>
      <c r="AG1864" s="95" t="s">
        <v>62</v>
      </c>
      <c r="AH1864" s="90" t="n">
        <v>55000</v>
      </c>
      <c r="AI1864" s="95" t="s">
        <v>62</v>
      </c>
      <c r="AJ1864" s="91" t="n">
        <v>55000</v>
      </c>
      <c r="AK1864" s="97" t="s">
        <v>62</v>
      </c>
      <c r="AL1864" s="90" t="n">
        <v>55000</v>
      </c>
      <c r="AM1864" s="90"/>
      <c r="AN1864" s="90"/>
      <c r="AO1864" s="90"/>
      <c r="AP1864" s="90"/>
      <c r="AQ1864" s="90"/>
      <c r="AR1864" s="90"/>
      <c r="AS1864" s="90"/>
      <c r="AT1864" s="90"/>
      <c r="AU1864" s="90"/>
      <c r="AV1864" s="91"/>
      <c r="AX1864" s="92"/>
    </row>
    <row r="1865" customFormat="false" ht="15.65" hidden="false" customHeight="false" outlineLevel="0" collapsed="false">
      <c r="C1865" s="72" t="n">
        <f aca="false">COUNTIFS($D$6:D1865,"&lt;&gt;"&amp;"")</f>
        <v>1860</v>
      </c>
      <c r="D1865" s="73" t="s">
        <v>12</v>
      </c>
      <c r="E1865" s="76" t="str">
        <f aca="false">
IF($D1865="정상",INDEX(임대자산!$D$3:$R$3000,MATCH($F1865,임대자산!$I$3:$I$3000,0),MATCH(E$3,임대자산!$D$3:$R$3,0)),
IF($D1865="폐업",INDEX(폐업정보!$D$3:$R$3000,MATCH($F1865,폐업정보!$I$3:$I$3000,0),MATCH(E$3,폐업정보!$D$3:$R$3,0)),
"Error"))</f>
        <v>서울</v>
      </c>
      <c r="F186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B1860</v>
      </c>
      <c r="G1865" s="76" t="str">
        <f aca="false">F1865&amp;RANDBETWEEN(0,10)</f>
        <v>B18608</v>
      </c>
      <c r="H1865" s="75" t="n">
        <f aca="false">
IF($D1865="정상",INDEX(임대자산!$D$3:$R$3000,MATCH($F1865,임대자산!$I$3:$I$3000,0),MATCH(H$4,임대자산!$D$3:$R$3,0)),
IF($D1865="폐업",INDEX(폐업정보!$D$3:$R$3000,MATCH($F1865,폐업정보!$I$3:$I$3000,0),MATCH(H$4,폐업정보!$D$3:$R$3,0)),
"Error"))</f>
        <v>45945</v>
      </c>
      <c r="I1865" s="75" t="str">
        <f aca="false">
IF($D1865="정상",INDEX(임대자산!$D$3:$R$3000,MATCH($F1865,임대자산!$I$3:$I$3000,0),MATCH(I$4,임대자산!$D$3:$R$3,0)),
IF($D1865="폐업",INDEX(폐업정보!$D$3:$R$3000,MATCH($F1865,폐업정보!$I$3:$I$3000,0),MATCH(I$4,폐업정보!$D$3:$R$3,0)),
"Error"))</f>
        <v>A1860</v>
      </c>
      <c r="J1865" s="75" t="str">
        <f aca="false">
IF($D1865="정상",INDEX(임대자산!$D$3:$R$3000,MATCH($F1865,임대자산!$I$3:$I$3000,0),MATCH(J$4,임대자산!$D$3:$R$3,0)),
IF($D1865="폐업",INDEX(폐업정보!$D$3:$R$3000,MATCH($F1865,폐업정보!$I$3:$I$3000,0),MATCH(J$4,폐업정보!$D$3:$R$3,0)),
"Error"))</f>
        <v>5643900000</v>
      </c>
      <c r="K1865" s="75" t="str">
        <f aca="false">
IF($D1865="정상",INDEX(임대자산!$D$3:$R$3000,MATCH($F1865,임대자산!$I$3:$I$3000,0),MATCH(K$4,임대자산!$D$3:$R$3,0)),
IF($D1865="폐업",INDEX(폐업정보!$D$3:$R$3000,MATCH($F1865,폐업정보!$I$3:$I$3000,0),MATCH(K$4,폐업정보!$D$3:$R$3,0)),
"Error"))</f>
        <v>C1860</v>
      </c>
      <c r="L1865" s="75" t="str">
        <f aca="false">
IF($D1865="정상",INDEX(임대자산!$D$3:$R$3000,MATCH($F1865,임대자산!$I$3:$I$3000,0),MATCH(L$4,임대자산!$D$3:$R$3,0)),
IF($D1865="폐업",INDEX(폐업정보!$D$3:$R$3000,MATCH($F1865,폐업정보!$I$3:$I$3000,0),MATCH(L$4,폐업정보!$D$3:$R$3,0)),
"Error"))</f>
        <v>D1860</v>
      </c>
      <c r="M1865" s="76" t="s">
        <v>96</v>
      </c>
      <c r="N1865" s="77"/>
      <c r="O1865" s="78" t="s">
        <v>97</v>
      </c>
      <c r="P1865" s="79" t="n">
        <f aca="false">COUNTIFS(임대자산!$I:$I,가맹점정보!F1865,임대자산!$N:$N,가맹점정보!P$4)</f>
        <v>0</v>
      </c>
      <c r="Q1865" s="80" t="n">
        <f aca="false">COUNTIFS(임대자산!$I:$I,가맹점정보!F1865,임대자산!$N:$N,가맹점정보!Q$4)</f>
        <v>0</v>
      </c>
      <c r="R1865" s="81" t="n">
        <f aca="false">COUNTIFS(임대자산!$I:$I,가맹점정보!F1865,임대자산!$N:$N,가맹점정보!R$4)</f>
        <v>1</v>
      </c>
      <c r="S1865" s="82" t="n">
        <v>55000</v>
      </c>
      <c r="T1865" s="83" t="n">
        <v>0</v>
      </c>
      <c r="U1865" s="80" t="n">
        <f aca="false">SUM(S1865:T1865)</f>
        <v>55000</v>
      </c>
      <c r="V1865" s="84" t="s">
        <v>12</v>
      </c>
      <c r="W1865" s="80" t="e">
        <f aca="true">
IF(D1865="폐업","폐업",
IF(V1865="면제","면제",
IF(AND(V1865="정상",COUNTIFS(OFFSET(Y1865,0,COUNTA(Y1865:AV1865)-1,1,-4),"미납")&gt;=3),"장기미납",
IF(AND(V1865="정상",OFFSET(Y1865,0,COUNTA(Y1865:AV1865)-1)&gt;=U1865),"정상",
IF(AND(V1865="정상",OFFSET(Y1865,0,COUNTA(Y1865:AV1865)-1)=0),"정상",
"계약서 미작성")))))</f>
        <v>#VALUE!</v>
      </c>
      <c r="X1865" s="81" t="str">
        <f aca="true">
IF(D1865="폐업","폐업",
IF(AND(V1865="정상",OFFSET(Y1865,0,COUNTA(Y1865:AV1865)-1)="미납"),"미납",
IF(AND(V1865="정상",OFFSET(Y1865,0,COUNTA(Y1865:AV1865)-1)=0),"납부 시작 전",
IF(AND(V1865="정상",OFFSET(Y1865,0,COUNTA(Y1865:AV1865)-1)&gt;=U1865),"정상",
IF(AND(V1865="면제",OFFSET(Y1865,0,COUNTA(Y1865:AV1865)-1)="면제"),"면제",
IF(AND(V1865="면제",OFFSET(Y1865,0,COUNTA(Y1865:AV1865)-1)=0),"면제",
"확인요청"))))))</f>
        <v>정상</v>
      </c>
      <c r="Y1865" s="93" t="n">
        <v>55000</v>
      </c>
      <c r="Z1865" s="90" t="n">
        <v>55000</v>
      </c>
      <c r="AA1865" s="95" t="s">
        <v>62</v>
      </c>
      <c r="AB1865" s="90" t="n">
        <v>55000</v>
      </c>
      <c r="AC1865" s="90" t="n">
        <v>55000</v>
      </c>
      <c r="AD1865" s="90" t="n">
        <v>55000</v>
      </c>
      <c r="AE1865" s="90" t="n">
        <v>55000</v>
      </c>
      <c r="AF1865" s="90" t="n">
        <v>55000</v>
      </c>
      <c r="AG1865" s="90" t="n">
        <v>55000</v>
      </c>
      <c r="AH1865" s="95" t="s">
        <v>62</v>
      </c>
      <c r="AI1865" s="95" t="s">
        <v>62</v>
      </c>
      <c r="AJ1865" s="91" t="n">
        <v>55000</v>
      </c>
      <c r="AK1865" s="89" t="n">
        <v>55000</v>
      </c>
      <c r="AL1865" s="90" t="n">
        <v>55000</v>
      </c>
      <c r="AM1865" s="90"/>
      <c r="AN1865" s="90"/>
      <c r="AO1865" s="90"/>
      <c r="AP1865" s="90"/>
      <c r="AQ1865" s="90"/>
      <c r="AR1865" s="90"/>
      <c r="AS1865" s="90"/>
      <c r="AT1865" s="90"/>
      <c r="AU1865" s="90"/>
      <c r="AV1865" s="91"/>
      <c r="AX1865" s="92"/>
    </row>
    <row r="1866" customFormat="false" ht="15.65" hidden="false" customHeight="false" outlineLevel="0" collapsed="false">
      <c r="C1866" s="72" t="n">
        <f aca="false">COUNTIFS($D$6:D1866,"&lt;&gt;"&amp;"")</f>
        <v>1861</v>
      </c>
      <c r="D1866" s="73" t="s">
        <v>12</v>
      </c>
      <c r="E1866" s="76" t="str">
        <f aca="false">
IF($D1866="정상",INDEX(임대자산!$D$3:$R$3000,MATCH($F1866,임대자산!$I$3:$I$3000,0),MATCH(E$3,임대자산!$D$3:$R$3,0)),
IF($D1866="폐업",INDEX(폐업정보!$D$3:$R$3000,MATCH($F1866,폐업정보!$I$3:$I$3000,0),MATCH(E$3,폐업정보!$D$3:$R$3,0)),
"Error"))</f>
        <v>서울</v>
      </c>
      <c r="F186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B1861</v>
      </c>
      <c r="G1866" s="76" t="str">
        <f aca="false">F1866&amp;RANDBETWEEN(0,10)</f>
        <v>B186110</v>
      </c>
      <c r="H1866" s="75" t="n">
        <f aca="false">
IF($D1866="정상",INDEX(임대자산!$D$3:$R$3000,MATCH($F1866,임대자산!$I$3:$I$3000,0),MATCH(H$4,임대자산!$D$3:$R$3,0)),
IF($D1866="폐업",INDEX(폐업정보!$D$3:$R$3000,MATCH($F1866,폐업정보!$I$3:$I$3000,0),MATCH(H$4,폐업정보!$D$3:$R$3,0)),
"Error"))</f>
        <v>45945</v>
      </c>
      <c r="I1866" s="75" t="str">
        <f aca="false">
IF($D1866="정상",INDEX(임대자산!$D$3:$R$3000,MATCH($F1866,임대자산!$I$3:$I$3000,0),MATCH(I$4,임대자산!$D$3:$R$3,0)),
IF($D1866="폐업",INDEX(폐업정보!$D$3:$R$3000,MATCH($F1866,폐업정보!$I$3:$I$3000,0),MATCH(I$4,폐업정보!$D$3:$R$3,0)),
"Error"))</f>
        <v>A1861</v>
      </c>
      <c r="J1866" s="75" t="str">
        <f aca="false">
IF($D1866="정상",INDEX(임대자산!$D$3:$R$3000,MATCH($F1866,임대자산!$I$3:$I$3000,0),MATCH(J$4,임대자산!$D$3:$R$3,0)),
IF($D1866="폐업",INDEX(폐업정보!$D$3:$R$3000,MATCH($F1866,폐업정보!$I$3:$I$3000,0),MATCH(J$4,폐업정보!$D$3:$R$3,0)),
"Error"))</f>
        <v>8129200000</v>
      </c>
      <c r="K1866" s="75" t="str">
        <f aca="false">
IF($D1866="정상",INDEX(임대자산!$D$3:$R$3000,MATCH($F1866,임대자산!$I$3:$I$3000,0),MATCH(K$4,임대자산!$D$3:$R$3,0)),
IF($D1866="폐업",INDEX(폐업정보!$D$3:$R$3000,MATCH($F1866,폐업정보!$I$3:$I$3000,0),MATCH(K$4,폐업정보!$D$3:$R$3,0)),
"Error"))</f>
        <v>C1861</v>
      </c>
      <c r="L1866" s="75" t="str">
        <f aca="false">
IF($D1866="정상",INDEX(임대자산!$D$3:$R$3000,MATCH($F1866,임대자산!$I$3:$I$3000,0),MATCH(L$4,임대자산!$D$3:$R$3,0)),
IF($D1866="폐업",INDEX(폐업정보!$D$3:$R$3000,MATCH($F1866,폐업정보!$I$3:$I$3000,0),MATCH(L$4,폐업정보!$D$3:$R$3,0)),
"Error"))</f>
        <v>D1861</v>
      </c>
      <c r="M1866" s="76" t="s">
        <v>96</v>
      </c>
      <c r="N1866" s="77"/>
      <c r="O1866" s="78" t="s">
        <v>97</v>
      </c>
      <c r="P1866" s="79" t="n">
        <f aca="false">COUNTIFS(임대자산!$I:$I,가맹점정보!F1866,임대자산!$N:$N,가맹점정보!P$4)</f>
        <v>0</v>
      </c>
      <c r="Q1866" s="80" t="n">
        <f aca="false">COUNTIFS(임대자산!$I:$I,가맹점정보!F1866,임대자산!$N:$N,가맹점정보!Q$4)</f>
        <v>0</v>
      </c>
      <c r="R1866" s="81" t="n">
        <f aca="false">COUNTIFS(임대자산!$I:$I,가맹점정보!F1866,임대자산!$N:$N,가맹점정보!R$4)</f>
        <v>1</v>
      </c>
      <c r="S1866" s="82" t="n">
        <v>55000</v>
      </c>
      <c r="T1866" s="83" t="n">
        <v>0</v>
      </c>
      <c r="U1866" s="80" t="n">
        <f aca="false">SUM(S1866:T1866)</f>
        <v>55000</v>
      </c>
      <c r="V1866" s="84" t="s">
        <v>12</v>
      </c>
      <c r="W1866" s="80" t="e">
        <f aca="true">
IF(D1866="폐업","폐업",
IF(V1866="면제","면제",
IF(AND(V1866="정상",COUNTIFS(OFFSET(Y1866,0,COUNTA(Y1866:AV1866)-1,1,-4),"미납")&gt;=3),"장기미납",
IF(AND(V1866="정상",OFFSET(Y1866,0,COUNTA(Y1866:AV1866)-1)&gt;=U1866),"정상",
IF(AND(V1866="정상",OFFSET(Y1866,0,COUNTA(Y1866:AV1866)-1)=0),"정상",
"계약서 미작성")))))</f>
        <v>#VALUE!</v>
      </c>
      <c r="X1866" s="81" t="str">
        <f aca="true">
IF(D1866="폐업","폐업",
IF(AND(V1866="정상",OFFSET(Y1866,0,COUNTA(Y1866:AV1866)-1)="미납"),"미납",
IF(AND(V1866="정상",OFFSET(Y1866,0,COUNTA(Y1866:AV1866)-1)=0),"납부 시작 전",
IF(AND(V1866="정상",OFFSET(Y1866,0,COUNTA(Y1866:AV1866)-1)&gt;=U1866),"정상",
IF(AND(V1866="면제",OFFSET(Y1866,0,COUNTA(Y1866:AV1866)-1)="면제"),"면제",
IF(AND(V1866="면제",OFFSET(Y1866,0,COUNTA(Y1866:AV1866)-1)=0),"면제",
"확인요청"))))))</f>
        <v>미납</v>
      </c>
      <c r="Y1866" s="93" t="n">
        <v>55000</v>
      </c>
      <c r="Z1866" s="90" t="n">
        <v>55000</v>
      </c>
      <c r="AA1866" s="95" t="s">
        <v>62</v>
      </c>
      <c r="AB1866" s="90" t="n">
        <v>55000</v>
      </c>
      <c r="AC1866" s="90" t="n">
        <v>55000</v>
      </c>
      <c r="AD1866" s="90" t="n">
        <v>55000</v>
      </c>
      <c r="AE1866" s="90" t="n">
        <v>55000</v>
      </c>
      <c r="AF1866" s="95" t="s">
        <v>62</v>
      </c>
      <c r="AG1866" s="90" t="n">
        <v>55000</v>
      </c>
      <c r="AH1866" s="90" t="n">
        <v>55000</v>
      </c>
      <c r="AI1866" s="90" t="n">
        <v>55000</v>
      </c>
      <c r="AJ1866" s="91" t="n">
        <v>55000</v>
      </c>
      <c r="AK1866" s="89" t="n">
        <v>55000</v>
      </c>
      <c r="AL1866" s="95" t="s">
        <v>62</v>
      </c>
      <c r="AM1866" s="90"/>
      <c r="AN1866" s="90"/>
      <c r="AO1866" s="90"/>
      <c r="AP1866" s="90"/>
      <c r="AQ1866" s="90"/>
      <c r="AR1866" s="90"/>
      <c r="AS1866" s="90"/>
      <c r="AT1866" s="90"/>
      <c r="AU1866" s="90"/>
      <c r="AV1866" s="91"/>
      <c r="AX1866" s="92"/>
    </row>
    <row r="1867" customFormat="false" ht="15.65" hidden="false" customHeight="false" outlineLevel="0" collapsed="false">
      <c r="C1867" s="72" t="n">
        <f aca="false">COUNTIFS($D$6:D1867,"&lt;&gt;"&amp;"")</f>
        <v>1862</v>
      </c>
      <c r="D1867" s="73" t="s">
        <v>12</v>
      </c>
      <c r="E1867" s="76" t="str">
        <f aca="false">
IF($D1867="정상",INDEX(임대자산!$D$3:$R$3000,MATCH($F1867,임대자산!$I$3:$I$3000,0),MATCH(E$3,임대자산!$D$3:$R$3,0)),
IF($D1867="폐업",INDEX(폐업정보!$D$3:$R$3000,MATCH($F1867,폐업정보!$I$3:$I$3000,0),MATCH(E$3,폐업정보!$D$3:$R$3,0)),
"Error"))</f>
        <v>강원</v>
      </c>
      <c r="F186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B1862</v>
      </c>
      <c r="G1867" s="76" t="str">
        <f aca="false">F1867&amp;RANDBETWEEN(0,10)</f>
        <v>B18621</v>
      </c>
      <c r="H1867" s="75" t="n">
        <f aca="false">
IF($D1867="정상",INDEX(임대자산!$D$3:$R$3000,MATCH($F1867,임대자산!$I$3:$I$3000,0),MATCH(H$4,임대자산!$D$3:$R$3,0)),
IF($D1867="폐업",INDEX(폐업정보!$D$3:$R$3000,MATCH($F1867,폐업정보!$I$3:$I$3000,0),MATCH(H$4,폐업정보!$D$3:$R$3,0)),
"Error"))</f>
        <v>45945</v>
      </c>
      <c r="I1867" s="75" t="str">
        <f aca="false">
IF($D1867="정상",INDEX(임대자산!$D$3:$R$3000,MATCH($F1867,임대자산!$I$3:$I$3000,0),MATCH(I$4,임대자산!$D$3:$R$3,0)),
IF($D1867="폐업",INDEX(폐업정보!$D$3:$R$3000,MATCH($F1867,폐업정보!$I$3:$I$3000,0),MATCH(I$4,폐업정보!$D$3:$R$3,0)),
"Error"))</f>
        <v>A1862</v>
      </c>
      <c r="J1867" s="75" t="str">
        <f aca="false">
IF($D1867="정상",INDEX(임대자산!$D$3:$R$3000,MATCH($F1867,임대자산!$I$3:$I$3000,0),MATCH(J$4,임대자산!$D$3:$R$3,0)),
IF($D1867="폐업",INDEX(폐업정보!$D$3:$R$3000,MATCH($F1867,폐업정보!$I$3:$I$3000,0),MATCH(J$4,폐업정보!$D$3:$R$3,0)),
"Error"))</f>
        <v>9016800000</v>
      </c>
      <c r="K1867" s="75" t="str">
        <f aca="false">
IF($D1867="정상",INDEX(임대자산!$D$3:$R$3000,MATCH($F1867,임대자산!$I$3:$I$3000,0),MATCH(K$4,임대자산!$D$3:$R$3,0)),
IF($D1867="폐업",INDEX(폐업정보!$D$3:$R$3000,MATCH($F1867,폐업정보!$I$3:$I$3000,0),MATCH(K$4,폐업정보!$D$3:$R$3,0)),
"Error"))</f>
        <v>C1862</v>
      </c>
      <c r="L1867" s="75" t="str">
        <f aca="false">
IF($D1867="정상",INDEX(임대자산!$D$3:$R$3000,MATCH($F1867,임대자산!$I$3:$I$3000,0),MATCH(L$4,임대자산!$D$3:$R$3,0)),
IF($D1867="폐업",INDEX(폐업정보!$D$3:$R$3000,MATCH($F1867,폐업정보!$I$3:$I$3000,0),MATCH(L$4,폐업정보!$D$3:$R$3,0)),
"Error"))</f>
        <v>D1862</v>
      </c>
      <c r="M1867" s="76" t="s">
        <v>96</v>
      </c>
      <c r="N1867" s="77"/>
      <c r="O1867" s="78" t="s">
        <v>97</v>
      </c>
      <c r="P1867" s="79" t="n">
        <f aca="false">COUNTIFS(임대자산!$I:$I,가맹점정보!F1867,임대자산!$N:$N,가맹점정보!P$4)</f>
        <v>0</v>
      </c>
      <c r="Q1867" s="80" t="n">
        <f aca="false">COUNTIFS(임대자산!$I:$I,가맹점정보!F1867,임대자산!$N:$N,가맹점정보!Q$4)</f>
        <v>0</v>
      </c>
      <c r="R1867" s="81" t="n">
        <f aca="false">COUNTIFS(임대자산!$I:$I,가맹점정보!F1867,임대자산!$N:$N,가맹점정보!R$4)</f>
        <v>1</v>
      </c>
      <c r="S1867" s="82" t="n">
        <v>55000</v>
      </c>
      <c r="T1867" s="83" t="n">
        <v>0</v>
      </c>
      <c r="U1867" s="80" t="n">
        <f aca="false">SUM(S1867:T1867)</f>
        <v>55000</v>
      </c>
      <c r="V1867" s="84" t="s">
        <v>7</v>
      </c>
      <c r="W1867" s="80" t="str">
        <f aca="true">
IF(D1867="폐업","폐업",
IF(V1867="면제","면제",
IF(AND(V1867="정상",COUNTIFS(OFFSET(Y1867,0,COUNTA(Y1867:AV1867)-1,1,-4),"미납")&gt;=3),"장기미납",
IF(AND(V1867="정상",OFFSET(Y1867,0,COUNTA(Y1867:AV1867)-1)&gt;=U1867),"정상",
IF(AND(V1867="정상",OFFSET(Y1867,0,COUNTA(Y1867:AV1867)-1)=0),"정상",
"계약서 미작성")))))</f>
        <v>면제</v>
      </c>
      <c r="X1867" s="81" t="str">
        <f aca="true">
IF(D1867="폐업","폐업",
IF(AND(V1867="정상",OFFSET(Y1867,0,COUNTA(Y1867:AV1867)-1)="미납"),"미납",
IF(AND(V1867="정상",OFFSET(Y1867,0,COUNTA(Y1867:AV1867)-1)=0),"납부 시작 전",
IF(AND(V1867="정상",OFFSET(Y1867,0,COUNTA(Y1867:AV1867)-1)&gt;=U1867),"정상",
IF(AND(V1867="면제",OFFSET(Y1867,0,COUNTA(Y1867:AV1867)-1)="면제"),"면제",
IF(AND(V1867="면제",OFFSET(Y1867,0,COUNTA(Y1867:AV1867)-1)=0),"면제",
"확인요청"))))))</f>
        <v>면제</v>
      </c>
      <c r="Y1867" s="93" t="n">
        <v>55000</v>
      </c>
      <c r="Z1867" s="95" t="s">
        <v>62</v>
      </c>
      <c r="AA1867" s="95" t="s">
        <v>62</v>
      </c>
      <c r="AB1867" s="90" t="n">
        <v>55000</v>
      </c>
      <c r="AC1867" s="95" t="s">
        <v>62</v>
      </c>
      <c r="AD1867" s="95" t="s">
        <v>62</v>
      </c>
      <c r="AE1867" s="95" t="s">
        <v>62</v>
      </c>
      <c r="AF1867" s="95" t="s">
        <v>7</v>
      </c>
      <c r="AG1867" s="95" t="s">
        <v>7</v>
      </c>
      <c r="AH1867" s="95" t="s">
        <v>7</v>
      </c>
      <c r="AI1867" s="95" t="s">
        <v>7</v>
      </c>
      <c r="AJ1867" s="96" t="s">
        <v>7</v>
      </c>
      <c r="AK1867" s="97" t="s">
        <v>7</v>
      </c>
      <c r="AL1867" s="95" t="s">
        <v>7</v>
      </c>
      <c r="AM1867" s="90"/>
      <c r="AN1867" s="90"/>
      <c r="AO1867" s="90"/>
      <c r="AP1867" s="90"/>
      <c r="AQ1867" s="90"/>
      <c r="AR1867" s="90"/>
      <c r="AS1867" s="90"/>
      <c r="AT1867" s="90"/>
      <c r="AU1867" s="90"/>
      <c r="AV1867" s="91"/>
      <c r="AX1867" s="92"/>
    </row>
    <row r="1868" customFormat="false" ht="15.65" hidden="false" customHeight="false" outlineLevel="0" collapsed="false">
      <c r="C1868" s="72" t="n">
        <f aca="false">COUNTIFS($D$6:D1868,"&lt;&gt;"&amp;"")</f>
        <v>1863</v>
      </c>
      <c r="D1868" s="73" t="s">
        <v>12</v>
      </c>
      <c r="E1868" s="76" t="str">
        <f aca="false">
IF($D1868="정상",INDEX(임대자산!$D$3:$R$3000,MATCH($F1868,임대자산!$I$3:$I$3000,0),MATCH(E$3,임대자산!$D$3:$R$3,0)),
IF($D1868="폐업",INDEX(폐업정보!$D$3:$R$3000,MATCH($F1868,폐업정보!$I$3:$I$3000,0),MATCH(E$3,폐업정보!$D$3:$R$3,0)),
"Error"))</f>
        <v>서울</v>
      </c>
      <c r="F186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B1863</v>
      </c>
      <c r="G1868" s="76" t="str">
        <f aca="false">F1868&amp;RANDBETWEEN(0,10)</f>
        <v>B18635</v>
      </c>
      <c r="H1868" s="75" t="n">
        <f aca="false">
IF($D1868="정상",INDEX(임대자산!$D$3:$R$3000,MATCH($F1868,임대자산!$I$3:$I$3000,0),MATCH(H$4,임대자산!$D$3:$R$3,0)),
IF($D1868="폐업",INDEX(폐업정보!$D$3:$R$3000,MATCH($F1868,폐업정보!$I$3:$I$3000,0),MATCH(H$4,폐업정보!$D$3:$R$3,0)),
"Error"))</f>
        <v>45945</v>
      </c>
      <c r="I1868" s="75" t="str">
        <f aca="false">
IF($D1868="정상",INDEX(임대자산!$D$3:$R$3000,MATCH($F1868,임대자산!$I$3:$I$3000,0),MATCH(I$4,임대자산!$D$3:$R$3,0)),
IF($D1868="폐업",INDEX(폐업정보!$D$3:$R$3000,MATCH($F1868,폐업정보!$I$3:$I$3000,0),MATCH(I$4,폐업정보!$D$3:$R$3,0)),
"Error"))</f>
        <v>A1863</v>
      </c>
      <c r="J1868" s="75" t="str">
        <f aca="false">
IF($D1868="정상",INDEX(임대자산!$D$3:$R$3000,MATCH($F1868,임대자산!$I$3:$I$3000,0),MATCH(J$4,임대자산!$D$3:$R$3,0)),
IF($D1868="폐업",INDEX(폐업정보!$D$3:$R$3000,MATCH($F1868,폐업정보!$I$3:$I$3000,0),MATCH(J$4,폐업정보!$D$3:$R$3,0)),
"Error"))</f>
        <v>7891000000</v>
      </c>
      <c r="K1868" s="75" t="str">
        <f aca="false">
IF($D1868="정상",INDEX(임대자산!$D$3:$R$3000,MATCH($F1868,임대자산!$I$3:$I$3000,0),MATCH(K$4,임대자산!$D$3:$R$3,0)),
IF($D1868="폐업",INDEX(폐업정보!$D$3:$R$3000,MATCH($F1868,폐업정보!$I$3:$I$3000,0),MATCH(K$4,폐업정보!$D$3:$R$3,0)),
"Error"))</f>
        <v>C1863</v>
      </c>
      <c r="L1868" s="75" t="str">
        <f aca="false">
IF($D1868="정상",INDEX(임대자산!$D$3:$R$3000,MATCH($F1868,임대자산!$I$3:$I$3000,0),MATCH(L$4,임대자산!$D$3:$R$3,0)),
IF($D1868="폐업",INDEX(폐업정보!$D$3:$R$3000,MATCH($F1868,폐업정보!$I$3:$I$3000,0),MATCH(L$4,폐업정보!$D$3:$R$3,0)),
"Error"))</f>
        <v>D1863</v>
      </c>
      <c r="M1868" s="76" t="s">
        <v>96</v>
      </c>
      <c r="N1868" s="77"/>
      <c r="O1868" s="78" t="s">
        <v>97</v>
      </c>
      <c r="P1868" s="79" t="n">
        <f aca="false">COUNTIFS(임대자산!$I:$I,가맹점정보!F1868,임대자산!$N:$N,가맹점정보!P$4)</f>
        <v>0</v>
      </c>
      <c r="Q1868" s="80" t="n">
        <f aca="false">COUNTIFS(임대자산!$I:$I,가맹점정보!F1868,임대자산!$N:$N,가맹점정보!Q$4)</f>
        <v>0</v>
      </c>
      <c r="R1868" s="81" t="n">
        <f aca="false">COUNTIFS(임대자산!$I:$I,가맹점정보!F1868,임대자산!$N:$N,가맹점정보!R$4)</f>
        <v>1</v>
      </c>
      <c r="S1868" s="82" t="n">
        <v>55000</v>
      </c>
      <c r="T1868" s="83" t="n">
        <v>0</v>
      </c>
      <c r="U1868" s="80" t="n">
        <f aca="false">SUM(S1868:T1868)</f>
        <v>55000</v>
      </c>
      <c r="V1868" s="84" t="s">
        <v>7</v>
      </c>
      <c r="W1868" s="80" t="str">
        <f aca="true">
IF(D1868="폐업","폐업",
IF(V1868="면제","면제",
IF(AND(V1868="정상",COUNTIFS(OFFSET(Y1868,0,COUNTA(Y1868:AV1868)-1,1,-4),"미납")&gt;=3),"장기미납",
IF(AND(V1868="정상",OFFSET(Y1868,0,COUNTA(Y1868:AV1868)-1)&gt;=U1868),"정상",
IF(AND(V1868="정상",OFFSET(Y1868,0,COUNTA(Y1868:AV1868)-1)=0),"정상",
"계약서 미작성")))))</f>
        <v>면제</v>
      </c>
      <c r="X1868" s="81" t="str">
        <f aca="true">
IF(D1868="폐업","폐업",
IF(AND(V1868="정상",OFFSET(Y1868,0,COUNTA(Y1868:AV1868)-1)="미납"),"미납",
IF(AND(V1868="정상",OFFSET(Y1868,0,COUNTA(Y1868:AV1868)-1)=0),"납부 시작 전",
IF(AND(V1868="정상",OFFSET(Y1868,0,COUNTA(Y1868:AV1868)-1)&gt;=U1868),"정상",
IF(AND(V1868="면제",OFFSET(Y1868,0,COUNTA(Y1868:AV1868)-1)="면제"),"면제",
IF(AND(V1868="면제",OFFSET(Y1868,0,COUNTA(Y1868:AV1868)-1)=0),"면제",
"확인요청"))))))</f>
        <v>면제</v>
      </c>
      <c r="Y1868" s="94" t="s">
        <v>62</v>
      </c>
      <c r="Z1868" s="95" t="s">
        <v>62</v>
      </c>
      <c r="AA1868" s="95" t="s">
        <v>62</v>
      </c>
      <c r="AB1868" s="90" t="n">
        <v>0</v>
      </c>
      <c r="AC1868" s="90" t="n">
        <v>0</v>
      </c>
      <c r="AD1868" s="95" t="s">
        <v>7</v>
      </c>
      <c r="AE1868" s="95" t="s">
        <v>7</v>
      </c>
      <c r="AF1868" s="95" t="s">
        <v>7</v>
      </c>
      <c r="AG1868" s="95" t="s">
        <v>7</v>
      </c>
      <c r="AH1868" s="95" t="s">
        <v>7</v>
      </c>
      <c r="AI1868" s="95" t="s">
        <v>7</v>
      </c>
      <c r="AJ1868" s="96" t="s">
        <v>7</v>
      </c>
      <c r="AK1868" s="97" t="s">
        <v>7</v>
      </c>
      <c r="AL1868" s="95" t="s">
        <v>7</v>
      </c>
      <c r="AM1868" s="90"/>
      <c r="AN1868" s="90"/>
      <c r="AO1868" s="90"/>
      <c r="AP1868" s="90"/>
      <c r="AQ1868" s="90"/>
      <c r="AR1868" s="90"/>
      <c r="AS1868" s="90"/>
      <c r="AT1868" s="90"/>
      <c r="AU1868" s="90"/>
      <c r="AV1868" s="91"/>
      <c r="AX1868" s="92"/>
    </row>
    <row r="1869" customFormat="false" ht="15.65" hidden="false" customHeight="false" outlineLevel="0" collapsed="false">
      <c r="C1869" s="72" t="n">
        <f aca="false">COUNTIFS($D$6:D1869,"&lt;&gt;"&amp;"")</f>
        <v>1864</v>
      </c>
      <c r="D1869" s="73" t="s">
        <v>12</v>
      </c>
      <c r="E1869" s="76" t="str">
        <f aca="false">
IF($D1869="정상",INDEX(임대자산!$D$3:$R$3000,MATCH($F1869,임대자산!$I$3:$I$3000,0),MATCH(E$3,임대자산!$D$3:$R$3,0)),
IF($D1869="폐업",INDEX(폐업정보!$D$3:$R$3000,MATCH($F1869,폐업정보!$I$3:$I$3000,0),MATCH(E$3,폐업정보!$D$3:$R$3,0)),
"Error"))</f>
        <v>경상</v>
      </c>
      <c r="F186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B1864</v>
      </c>
      <c r="G1869" s="76" t="str">
        <f aca="false">F1869&amp;RANDBETWEEN(0,10)</f>
        <v>B18647</v>
      </c>
      <c r="H1869" s="75" t="n">
        <f aca="false">
IF($D1869="정상",INDEX(임대자산!$D$3:$R$3000,MATCH($F1869,임대자산!$I$3:$I$3000,0),MATCH(H$4,임대자산!$D$3:$R$3,0)),
IF($D1869="폐업",INDEX(폐업정보!$D$3:$R$3000,MATCH($F1869,폐업정보!$I$3:$I$3000,0),MATCH(H$4,폐업정보!$D$3:$R$3,0)),
"Error"))</f>
        <v>45943</v>
      </c>
      <c r="I1869" s="75" t="str">
        <f aca="false">
IF($D1869="정상",INDEX(임대자산!$D$3:$R$3000,MATCH($F1869,임대자산!$I$3:$I$3000,0),MATCH(I$4,임대자산!$D$3:$R$3,0)),
IF($D1869="폐업",INDEX(폐업정보!$D$3:$R$3000,MATCH($F1869,폐업정보!$I$3:$I$3000,0),MATCH(I$4,폐업정보!$D$3:$R$3,0)),
"Error"))</f>
        <v>A1864</v>
      </c>
      <c r="J1869" s="75" t="str">
        <f aca="false">
IF($D1869="정상",INDEX(임대자산!$D$3:$R$3000,MATCH($F1869,임대자산!$I$3:$I$3000,0),MATCH(J$4,임대자산!$D$3:$R$3,0)),
IF($D1869="폐업",INDEX(폐업정보!$D$3:$R$3000,MATCH($F1869,폐업정보!$I$3:$I$3000,0),MATCH(J$4,폐업정보!$D$3:$R$3,0)),
"Error"))</f>
        <v>9472300000</v>
      </c>
      <c r="K1869" s="75" t="str">
        <f aca="false">
IF($D1869="정상",INDEX(임대자산!$D$3:$R$3000,MATCH($F1869,임대자산!$I$3:$I$3000,0),MATCH(K$4,임대자산!$D$3:$R$3,0)),
IF($D1869="폐업",INDEX(폐업정보!$D$3:$R$3000,MATCH($F1869,폐업정보!$I$3:$I$3000,0),MATCH(K$4,폐업정보!$D$3:$R$3,0)),
"Error"))</f>
        <v>C1864</v>
      </c>
      <c r="L1869" s="75" t="str">
        <f aca="false">
IF($D1869="정상",INDEX(임대자산!$D$3:$R$3000,MATCH($F1869,임대자산!$I$3:$I$3000,0),MATCH(L$4,임대자산!$D$3:$R$3,0)),
IF($D1869="폐업",INDEX(폐업정보!$D$3:$R$3000,MATCH($F1869,폐업정보!$I$3:$I$3000,0),MATCH(L$4,폐업정보!$D$3:$R$3,0)),
"Error"))</f>
        <v>D1864</v>
      </c>
      <c r="M1869" s="76" t="s">
        <v>96</v>
      </c>
      <c r="N1869" s="77"/>
      <c r="O1869" s="78" t="s">
        <v>97</v>
      </c>
      <c r="P1869" s="79" t="n">
        <f aca="false">COUNTIFS(임대자산!$I:$I,가맹점정보!F1869,임대자산!$N:$N,가맹점정보!P$4)</f>
        <v>0</v>
      </c>
      <c r="Q1869" s="80" t="n">
        <f aca="false">COUNTIFS(임대자산!$I:$I,가맹점정보!F1869,임대자산!$N:$N,가맹점정보!Q$4)</f>
        <v>0</v>
      </c>
      <c r="R1869" s="81" t="n">
        <f aca="false">COUNTIFS(임대자산!$I:$I,가맹점정보!F1869,임대자산!$N:$N,가맹점정보!R$4)</f>
        <v>1</v>
      </c>
      <c r="S1869" s="82" t="n">
        <v>55000</v>
      </c>
      <c r="T1869" s="83" t="n">
        <v>0</v>
      </c>
      <c r="U1869" s="80" t="n">
        <f aca="false">SUM(S1869:T1869)</f>
        <v>55000</v>
      </c>
      <c r="V1869" s="84" t="s">
        <v>12</v>
      </c>
      <c r="W1869" s="80" t="e">
        <f aca="true">
IF(D1869="폐업","폐업",
IF(V1869="면제","면제",
IF(AND(V1869="정상",COUNTIFS(OFFSET(Y1869,0,COUNTA(Y1869:AV1869)-1,1,-4),"미납")&gt;=3),"장기미납",
IF(AND(V1869="정상",OFFSET(Y1869,0,COUNTA(Y1869:AV1869)-1)&gt;=U1869),"정상",
IF(AND(V1869="정상",OFFSET(Y1869,0,COUNTA(Y1869:AV1869)-1)=0),"정상",
"계약서 미작성")))))</f>
        <v>#VALUE!</v>
      </c>
      <c r="X1869" s="81" t="str">
        <f aca="true">
IF(D1869="폐업","폐업",
IF(AND(V1869="정상",OFFSET(Y1869,0,COUNTA(Y1869:AV1869)-1)="미납"),"미납",
IF(AND(V1869="정상",OFFSET(Y1869,0,COUNTA(Y1869:AV1869)-1)=0),"납부 시작 전",
IF(AND(V1869="정상",OFFSET(Y1869,0,COUNTA(Y1869:AV1869)-1)&gt;=U1869),"정상",
IF(AND(V1869="면제",OFFSET(Y1869,0,COUNTA(Y1869:AV1869)-1)="면제"),"면제",
IF(AND(V1869="면제",OFFSET(Y1869,0,COUNTA(Y1869:AV1869)-1)=0),"면제",
"확인요청"))))))</f>
        <v>정상</v>
      </c>
      <c r="Y1869" s="93" t="n">
        <v>55000</v>
      </c>
      <c r="Z1869" s="90" t="s">
        <v>103</v>
      </c>
      <c r="AA1869" s="90" t="s">
        <v>100</v>
      </c>
      <c r="AB1869" s="90" t="n">
        <v>55000</v>
      </c>
      <c r="AC1869" s="90" t="n">
        <v>55000</v>
      </c>
      <c r="AD1869" s="90" t="n">
        <v>55000</v>
      </c>
      <c r="AE1869" s="90" t="n">
        <v>110000</v>
      </c>
      <c r="AF1869" s="95" t="s">
        <v>62</v>
      </c>
      <c r="AG1869" s="90" t="n">
        <v>55000</v>
      </c>
      <c r="AH1869" s="90" t="n">
        <v>110000</v>
      </c>
      <c r="AI1869" s="90" t="n">
        <v>55000</v>
      </c>
      <c r="AJ1869" s="96" t="s">
        <v>62</v>
      </c>
      <c r="AK1869" s="89" t="n">
        <v>55000</v>
      </c>
      <c r="AL1869" s="90" t="n">
        <v>110000</v>
      </c>
      <c r="AM1869" s="90"/>
      <c r="AN1869" s="90"/>
      <c r="AO1869" s="90"/>
      <c r="AP1869" s="90"/>
      <c r="AQ1869" s="90"/>
      <c r="AR1869" s="90"/>
      <c r="AS1869" s="90"/>
      <c r="AT1869" s="90"/>
      <c r="AU1869" s="90"/>
      <c r="AV1869" s="91"/>
      <c r="AX1869" s="92"/>
    </row>
    <row r="1870" customFormat="false" ht="15.65" hidden="false" customHeight="false" outlineLevel="0" collapsed="false">
      <c r="C1870" s="72" t="n">
        <f aca="false">COUNTIFS($D$6:D1870,"&lt;&gt;"&amp;"")</f>
        <v>1865</v>
      </c>
      <c r="D1870" s="73" t="s">
        <v>12</v>
      </c>
      <c r="E1870" s="76" t="str">
        <f aca="false">
IF($D1870="정상",INDEX(임대자산!$D$3:$R$3000,MATCH($F1870,임대자산!$I$3:$I$3000,0),MATCH(E$3,임대자산!$D$3:$R$3,0)),
IF($D1870="폐업",INDEX(폐업정보!$D$3:$R$3000,MATCH($F1870,폐업정보!$I$3:$I$3000,0),MATCH(E$3,폐업정보!$D$3:$R$3,0)),
"Error"))</f>
        <v>경상</v>
      </c>
      <c r="F187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B1865</v>
      </c>
      <c r="G1870" s="76" t="str">
        <f aca="false">F1870&amp;RANDBETWEEN(0,10)</f>
        <v>B18650</v>
      </c>
      <c r="H1870" s="75" t="n">
        <f aca="false">
IF($D1870="정상",INDEX(임대자산!$D$3:$R$3000,MATCH($F1870,임대자산!$I$3:$I$3000,0),MATCH(H$4,임대자산!$D$3:$R$3,0)),
IF($D1870="폐업",INDEX(폐업정보!$D$3:$R$3000,MATCH($F1870,폐업정보!$I$3:$I$3000,0),MATCH(H$4,폐업정보!$D$3:$R$3,0)),
"Error"))</f>
        <v>45943</v>
      </c>
      <c r="I1870" s="75" t="str">
        <f aca="false">
IF($D1870="정상",INDEX(임대자산!$D$3:$R$3000,MATCH($F1870,임대자산!$I$3:$I$3000,0),MATCH(I$4,임대자산!$D$3:$R$3,0)),
IF($D1870="폐업",INDEX(폐업정보!$D$3:$R$3000,MATCH($F1870,폐업정보!$I$3:$I$3000,0),MATCH(I$4,폐업정보!$D$3:$R$3,0)),
"Error"))</f>
        <v>A1865</v>
      </c>
      <c r="J1870" s="75" t="str">
        <f aca="false">
IF($D1870="정상",INDEX(임대자산!$D$3:$R$3000,MATCH($F1870,임대자산!$I$3:$I$3000,0),MATCH(J$4,임대자산!$D$3:$R$3,0)),
IF($D1870="폐업",INDEX(폐업정보!$D$3:$R$3000,MATCH($F1870,폐업정보!$I$3:$I$3000,0),MATCH(J$4,폐업정보!$D$3:$R$3,0)),
"Error"))</f>
        <v>5797200000</v>
      </c>
      <c r="K1870" s="75" t="str">
        <f aca="false">
IF($D1870="정상",INDEX(임대자산!$D$3:$R$3000,MATCH($F1870,임대자산!$I$3:$I$3000,0),MATCH(K$4,임대자산!$D$3:$R$3,0)),
IF($D1870="폐업",INDEX(폐업정보!$D$3:$R$3000,MATCH($F1870,폐업정보!$I$3:$I$3000,0),MATCH(K$4,폐업정보!$D$3:$R$3,0)),
"Error"))</f>
        <v>C1865</v>
      </c>
      <c r="L1870" s="75" t="str">
        <f aca="false">
IF($D1870="정상",INDEX(임대자산!$D$3:$R$3000,MATCH($F1870,임대자산!$I$3:$I$3000,0),MATCH(L$4,임대자산!$D$3:$R$3,0)),
IF($D1870="폐업",INDEX(폐업정보!$D$3:$R$3000,MATCH($F1870,폐업정보!$I$3:$I$3000,0),MATCH(L$4,폐업정보!$D$3:$R$3,0)),
"Error"))</f>
        <v>D1865</v>
      </c>
      <c r="M1870" s="76" t="s">
        <v>96</v>
      </c>
      <c r="N1870" s="77"/>
      <c r="O1870" s="78" t="s">
        <v>97</v>
      </c>
      <c r="P1870" s="79" t="n">
        <f aca="false">COUNTIFS(임대자산!$I:$I,가맹점정보!F1870,임대자산!$N:$N,가맹점정보!P$4)</f>
        <v>0</v>
      </c>
      <c r="Q1870" s="80" t="n">
        <f aca="false">COUNTIFS(임대자산!$I:$I,가맹점정보!F1870,임대자산!$N:$N,가맹점정보!Q$4)</f>
        <v>0</v>
      </c>
      <c r="R1870" s="81" t="n">
        <f aca="false">COUNTIFS(임대자산!$I:$I,가맹점정보!F1870,임대자산!$N:$N,가맹점정보!R$4)</f>
        <v>1</v>
      </c>
      <c r="S1870" s="82" t="n">
        <v>55000</v>
      </c>
      <c r="T1870" s="83" t="n">
        <v>0</v>
      </c>
      <c r="U1870" s="80" t="n">
        <f aca="false">SUM(S1870:T1870)</f>
        <v>55000</v>
      </c>
      <c r="V1870" s="84" t="s">
        <v>7</v>
      </c>
      <c r="W1870" s="80" t="str">
        <f aca="true">
IF(D1870="폐업","폐업",
IF(V1870="면제","면제",
IF(AND(V1870="정상",COUNTIFS(OFFSET(Y1870,0,COUNTA(Y1870:AV1870)-1,1,-4),"미납")&gt;=3),"장기미납",
IF(AND(V1870="정상",OFFSET(Y1870,0,COUNTA(Y1870:AV1870)-1)&gt;=U1870),"정상",
IF(AND(V1870="정상",OFFSET(Y1870,0,COUNTA(Y1870:AV1870)-1)=0),"정상",
"계약서 미작성")))))</f>
        <v>면제</v>
      </c>
      <c r="X1870" s="81" t="str">
        <f aca="true">
IF(D1870="폐업","폐업",
IF(AND(V1870="정상",OFFSET(Y1870,0,COUNTA(Y1870:AV1870)-1)="미납"),"미납",
IF(AND(V1870="정상",OFFSET(Y1870,0,COUNTA(Y1870:AV1870)-1)=0),"납부 시작 전",
IF(AND(V1870="정상",OFFSET(Y1870,0,COUNTA(Y1870:AV1870)-1)&gt;=U1870),"정상",
IF(AND(V1870="면제",OFFSET(Y1870,0,COUNTA(Y1870:AV1870)-1)="면제"),"면제",
IF(AND(V1870="면제",OFFSET(Y1870,0,COUNTA(Y1870:AV1870)-1)=0),"면제",
"확인요청"))))))</f>
        <v>면제</v>
      </c>
      <c r="Y1870" s="93" t="s">
        <v>111</v>
      </c>
      <c r="Z1870" s="90" t="s">
        <v>111</v>
      </c>
      <c r="AA1870" s="95" t="s">
        <v>62</v>
      </c>
      <c r="AB1870" s="90" t="n">
        <v>165000</v>
      </c>
      <c r="AC1870" s="95" t="s">
        <v>62</v>
      </c>
      <c r="AD1870" s="95" t="s">
        <v>62</v>
      </c>
      <c r="AE1870" s="95" t="s">
        <v>62</v>
      </c>
      <c r="AF1870" s="95" t="s">
        <v>7</v>
      </c>
      <c r="AG1870" s="95" t="s">
        <v>7</v>
      </c>
      <c r="AH1870" s="95" t="s">
        <v>7</v>
      </c>
      <c r="AI1870" s="95" t="s">
        <v>7</v>
      </c>
      <c r="AJ1870" s="96" t="s">
        <v>7</v>
      </c>
      <c r="AK1870" s="97" t="s">
        <v>7</v>
      </c>
      <c r="AL1870" s="95" t="s">
        <v>7</v>
      </c>
      <c r="AM1870" s="90"/>
      <c r="AN1870" s="90"/>
      <c r="AO1870" s="90"/>
      <c r="AP1870" s="90"/>
      <c r="AQ1870" s="90"/>
      <c r="AR1870" s="90"/>
      <c r="AS1870" s="90"/>
      <c r="AT1870" s="90"/>
      <c r="AU1870" s="90"/>
      <c r="AV1870" s="91"/>
      <c r="AX1870" s="92"/>
    </row>
    <row r="1871" customFormat="false" ht="15.65" hidden="false" customHeight="false" outlineLevel="0" collapsed="false">
      <c r="C1871" s="72" t="n">
        <f aca="false">COUNTIFS($D$6:D1871,"&lt;&gt;"&amp;"")</f>
        <v>1866</v>
      </c>
      <c r="D1871" s="73" t="s">
        <v>12</v>
      </c>
      <c r="E1871" s="76" t="str">
        <f aca="false">
IF($D1871="정상",INDEX(임대자산!$D$3:$R$3000,MATCH($F1871,임대자산!$I$3:$I$3000,0),MATCH(E$3,임대자산!$D$3:$R$3,0)),
IF($D1871="폐업",INDEX(폐업정보!$D$3:$R$3000,MATCH($F1871,폐업정보!$I$3:$I$3000,0),MATCH(E$3,폐업정보!$D$3:$R$3,0)),
"Error"))</f>
        <v>강원</v>
      </c>
      <c r="F187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B1866</v>
      </c>
      <c r="G1871" s="76" t="str">
        <f aca="false">F1871&amp;RANDBETWEEN(0,10)</f>
        <v>B18669</v>
      </c>
      <c r="H1871" s="75" t="n">
        <f aca="false">
IF($D1871="정상",INDEX(임대자산!$D$3:$R$3000,MATCH($F1871,임대자산!$I$3:$I$3000,0),MATCH(H$4,임대자산!$D$3:$R$3,0)),
IF($D1871="폐업",INDEX(폐업정보!$D$3:$R$3000,MATCH($F1871,폐업정보!$I$3:$I$3000,0),MATCH(H$4,폐업정보!$D$3:$R$3,0)),
"Error"))</f>
        <v>45944</v>
      </c>
      <c r="I1871" s="75" t="str">
        <f aca="false">
IF($D1871="정상",INDEX(임대자산!$D$3:$R$3000,MATCH($F1871,임대자산!$I$3:$I$3000,0),MATCH(I$4,임대자산!$D$3:$R$3,0)),
IF($D1871="폐업",INDEX(폐업정보!$D$3:$R$3000,MATCH($F1871,폐업정보!$I$3:$I$3000,0),MATCH(I$4,폐업정보!$D$3:$R$3,0)),
"Error"))</f>
        <v>A1866</v>
      </c>
      <c r="J1871" s="75" t="str">
        <f aca="false">
IF($D1871="정상",INDEX(임대자산!$D$3:$R$3000,MATCH($F1871,임대자산!$I$3:$I$3000,0),MATCH(J$4,임대자산!$D$3:$R$3,0)),
IF($D1871="폐업",INDEX(폐업정보!$D$3:$R$3000,MATCH($F1871,폐업정보!$I$3:$I$3000,0),MATCH(J$4,폐업정보!$D$3:$R$3,0)),
"Error"))</f>
        <v>4282600000</v>
      </c>
      <c r="K1871" s="75" t="str">
        <f aca="false">
IF($D1871="정상",INDEX(임대자산!$D$3:$R$3000,MATCH($F1871,임대자산!$I$3:$I$3000,0),MATCH(K$4,임대자산!$D$3:$R$3,0)),
IF($D1871="폐업",INDEX(폐업정보!$D$3:$R$3000,MATCH($F1871,폐업정보!$I$3:$I$3000,0),MATCH(K$4,폐업정보!$D$3:$R$3,0)),
"Error"))</f>
        <v>C1866</v>
      </c>
      <c r="L1871" s="75" t="str">
        <f aca="false">
IF($D1871="정상",INDEX(임대자산!$D$3:$R$3000,MATCH($F1871,임대자산!$I$3:$I$3000,0),MATCH(L$4,임대자산!$D$3:$R$3,0)),
IF($D1871="폐업",INDEX(폐업정보!$D$3:$R$3000,MATCH($F1871,폐업정보!$I$3:$I$3000,0),MATCH(L$4,폐업정보!$D$3:$R$3,0)),
"Error"))</f>
        <v>D1866</v>
      </c>
      <c r="M1871" s="76" t="s">
        <v>96</v>
      </c>
      <c r="N1871" s="77"/>
      <c r="O1871" s="78" t="s">
        <v>97</v>
      </c>
      <c r="P1871" s="79" t="n">
        <f aca="false">COUNTIFS(임대자산!$I:$I,가맹점정보!F1871,임대자산!$N:$N,가맹점정보!P$4)</f>
        <v>0</v>
      </c>
      <c r="Q1871" s="80" t="n">
        <f aca="false">COUNTIFS(임대자산!$I:$I,가맹점정보!F1871,임대자산!$N:$N,가맹점정보!Q$4)</f>
        <v>0</v>
      </c>
      <c r="R1871" s="81" t="n">
        <f aca="false">COUNTIFS(임대자산!$I:$I,가맹점정보!F1871,임대자산!$N:$N,가맹점정보!R$4)</f>
        <v>1</v>
      </c>
      <c r="S1871" s="82" t="n">
        <v>55000</v>
      </c>
      <c r="T1871" s="83" t="n">
        <v>0</v>
      </c>
      <c r="U1871" s="80" t="n">
        <f aca="false">SUM(S1871:T1871)</f>
        <v>55000</v>
      </c>
      <c r="V1871" s="84" t="s">
        <v>12</v>
      </c>
      <c r="W1871" s="80" t="e">
        <f aca="true">
IF(D1871="폐업","폐업",
IF(V1871="면제","면제",
IF(AND(V1871="정상",COUNTIFS(OFFSET(Y1871,0,COUNTA(Y1871:AV1871)-1,1,-4),"미납")&gt;=3),"장기미납",
IF(AND(V1871="정상",OFFSET(Y1871,0,COUNTA(Y1871:AV1871)-1)&gt;=U1871),"정상",
IF(AND(V1871="정상",OFFSET(Y1871,0,COUNTA(Y1871:AV1871)-1)=0),"정상",
"계약서 미작성")))))</f>
        <v>#VALUE!</v>
      </c>
      <c r="X1871" s="81" t="str">
        <f aca="true">
IF(D1871="폐업","폐업",
IF(AND(V1871="정상",OFFSET(Y1871,0,COUNTA(Y1871:AV1871)-1)="미납"),"미납",
IF(AND(V1871="정상",OFFSET(Y1871,0,COUNTA(Y1871:AV1871)-1)=0),"납부 시작 전",
IF(AND(V1871="정상",OFFSET(Y1871,0,COUNTA(Y1871:AV1871)-1)&gt;=U1871),"정상",
IF(AND(V1871="면제",OFFSET(Y1871,0,COUNTA(Y1871:AV1871)-1)="면제"),"면제",
IF(AND(V1871="면제",OFFSET(Y1871,0,COUNTA(Y1871:AV1871)-1)=0),"면제",
"확인요청"))))))</f>
        <v>정상</v>
      </c>
      <c r="Y1871" s="93" t="n">
        <v>55000</v>
      </c>
      <c r="Z1871" s="95" t="s">
        <v>62</v>
      </c>
      <c r="AA1871" s="95" t="s">
        <v>62</v>
      </c>
      <c r="AB1871" s="90" t="n">
        <v>55000</v>
      </c>
      <c r="AC1871" s="95" t="s">
        <v>62</v>
      </c>
      <c r="AD1871" s="90" t="n">
        <v>55000</v>
      </c>
      <c r="AE1871" s="90" t="n">
        <v>55000</v>
      </c>
      <c r="AF1871" s="90" t="n">
        <v>55000</v>
      </c>
      <c r="AG1871" s="90" t="n">
        <v>55000</v>
      </c>
      <c r="AH1871" s="90" t="n">
        <v>55000</v>
      </c>
      <c r="AI1871" s="90" t="n">
        <v>55000</v>
      </c>
      <c r="AJ1871" s="96" t="s">
        <v>62</v>
      </c>
      <c r="AK1871" s="97" t="s">
        <v>62</v>
      </c>
      <c r="AL1871" s="90" t="n">
        <v>55000</v>
      </c>
      <c r="AM1871" s="90"/>
      <c r="AN1871" s="90"/>
      <c r="AO1871" s="90"/>
      <c r="AP1871" s="90"/>
      <c r="AQ1871" s="90"/>
      <c r="AR1871" s="90"/>
      <c r="AS1871" s="90"/>
      <c r="AT1871" s="90"/>
      <c r="AU1871" s="90"/>
      <c r="AV1871" s="91"/>
      <c r="AX1871" s="92"/>
    </row>
    <row r="1872" customFormat="false" ht="15.65" hidden="false" customHeight="false" outlineLevel="0" collapsed="false">
      <c r="C1872" s="72" t="n">
        <f aca="false">COUNTIFS($D$6:D1872,"&lt;&gt;"&amp;"")</f>
        <v>1867</v>
      </c>
      <c r="D1872" s="73" t="s">
        <v>12</v>
      </c>
      <c r="E1872" s="76" t="str">
        <f aca="false">
IF($D1872="정상",INDEX(임대자산!$D$3:$R$3000,MATCH($F1872,임대자산!$I$3:$I$3000,0),MATCH(E$3,임대자산!$D$3:$R$3,0)),
IF($D1872="폐업",INDEX(폐업정보!$D$3:$R$3000,MATCH($F1872,폐업정보!$I$3:$I$3000,0),MATCH(E$3,폐업정보!$D$3:$R$3,0)),
"Error"))</f>
        <v>서울</v>
      </c>
      <c r="F187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B1867</v>
      </c>
      <c r="G1872" s="76" t="str">
        <f aca="false">F1872&amp;RANDBETWEEN(0,10)</f>
        <v>B18670</v>
      </c>
      <c r="H1872" s="75" t="n">
        <f aca="false">
IF($D1872="정상",INDEX(임대자산!$D$3:$R$3000,MATCH($F1872,임대자산!$I$3:$I$3000,0),MATCH(H$4,임대자산!$D$3:$R$3,0)),
IF($D1872="폐업",INDEX(폐업정보!$D$3:$R$3000,MATCH($F1872,폐업정보!$I$3:$I$3000,0),MATCH(H$4,폐업정보!$D$3:$R$3,0)),
"Error"))</f>
        <v>45952</v>
      </c>
      <c r="I1872" s="75" t="str">
        <f aca="false">
IF($D1872="정상",INDEX(임대자산!$D$3:$R$3000,MATCH($F1872,임대자산!$I$3:$I$3000,0),MATCH(I$4,임대자산!$D$3:$R$3,0)),
IF($D1872="폐업",INDEX(폐업정보!$D$3:$R$3000,MATCH($F1872,폐업정보!$I$3:$I$3000,0),MATCH(I$4,폐업정보!$D$3:$R$3,0)),
"Error"))</f>
        <v>A1867</v>
      </c>
      <c r="J1872" s="75" t="str">
        <f aca="false">
IF($D1872="정상",INDEX(임대자산!$D$3:$R$3000,MATCH($F1872,임대자산!$I$3:$I$3000,0),MATCH(J$4,임대자산!$D$3:$R$3,0)),
IF($D1872="폐업",INDEX(폐업정보!$D$3:$R$3000,MATCH($F1872,폐업정보!$I$3:$I$3000,0),MATCH(J$4,폐업정보!$D$3:$R$3,0)),
"Error"))</f>
        <v>9992300000</v>
      </c>
      <c r="K1872" s="75" t="str">
        <f aca="false">
IF($D1872="정상",INDEX(임대자산!$D$3:$R$3000,MATCH($F1872,임대자산!$I$3:$I$3000,0),MATCH(K$4,임대자산!$D$3:$R$3,0)),
IF($D1872="폐업",INDEX(폐업정보!$D$3:$R$3000,MATCH($F1872,폐업정보!$I$3:$I$3000,0),MATCH(K$4,폐업정보!$D$3:$R$3,0)),
"Error"))</f>
        <v>C1867</v>
      </c>
      <c r="L1872" s="75" t="str">
        <f aca="false">
IF($D1872="정상",INDEX(임대자산!$D$3:$R$3000,MATCH($F1872,임대자산!$I$3:$I$3000,0),MATCH(L$4,임대자산!$D$3:$R$3,0)),
IF($D1872="폐업",INDEX(폐업정보!$D$3:$R$3000,MATCH($F1872,폐업정보!$I$3:$I$3000,0),MATCH(L$4,폐업정보!$D$3:$R$3,0)),
"Error"))</f>
        <v>D1867</v>
      </c>
      <c r="M1872" s="76" t="s">
        <v>96</v>
      </c>
      <c r="N1872" s="77"/>
      <c r="O1872" s="78" t="s">
        <v>97</v>
      </c>
      <c r="P1872" s="79" t="n">
        <f aca="false">COUNTIFS(임대자산!$I:$I,가맹점정보!F1872,임대자산!$N:$N,가맹점정보!P$4)</f>
        <v>0</v>
      </c>
      <c r="Q1872" s="80" t="n">
        <f aca="false">COUNTIFS(임대자산!$I:$I,가맹점정보!F1872,임대자산!$N:$N,가맹점정보!Q$4)</f>
        <v>0</v>
      </c>
      <c r="R1872" s="81" t="n">
        <f aca="false">COUNTIFS(임대자산!$I:$I,가맹점정보!F1872,임대자산!$N:$N,가맹점정보!R$4)</f>
        <v>1</v>
      </c>
      <c r="S1872" s="82" t="n">
        <v>55000</v>
      </c>
      <c r="T1872" s="83" t="n">
        <v>0</v>
      </c>
      <c r="U1872" s="80" t="n">
        <f aca="false">SUM(S1872:T1872)</f>
        <v>55000</v>
      </c>
      <c r="V1872" s="84" t="s">
        <v>7</v>
      </c>
      <c r="W1872" s="80" t="str">
        <f aca="true">
IF(D1872="폐업","폐업",
IF(V1872="면제","면제",
IF(AND(V1872="정상",COUNTIFS(OFFSET(Y1872,0,COUNTA(Y1872:AV1872)-1,1,-4),"미납")&gt;=3),"장기미납",
IF(AND(V1872="정상",OFFSET(Y1872,0,COUNTA(Y1872:AV1872)-1)&gt;=U1872),"정상",
IF(AND(V1872="정상",OFFSET(Y1872,0,COUNTA(Y1872:AV1872)-1)=0),"정상",
"계약서 미작성")))))</f>
        <v>면제</v>
      </c>
      <c r="X1872" s="81" t="str">
        <f aca="true">
IF(D1872="폐업","폐업",
IF(AND(V1872="정상",OFFSET(Y1872,0,COUNTA(Y1872:AV1872)-1)="미납"),"미납",
IF(AND(V1872="정상",OFFSET(Y1872,0,COUNTA(Y1872:AV1872)-1)=0),"납부 시작 전",
IF(AND(V1872="정상",OFFSET(Y1872,0,COUNTA(Y1872:AV1872)-1)&gt;=U1872),"정상",
IF(AND(V1872="면제",OFFSET(Y1872,0,COUNTA(Y1872:AV1872)-1)="면제"),"면제",
IF(AND(V1872="면제",OFFSET(Y1872,0,COUNTA(Y1872:AV1872)-1)=0),"면제",
"확인요청"))))))</f>
        <v>면제</v>
      </c>
      <c r="Y1872" s="94" t="s">
        <v>62</v>
      </c>
      <c r="Z1872" s="95" t="s">
        <v>62</v>
      </c>
      <c r="AA1872" s="95" t="s">
        <v>62</v>
      </c>
      <c r="AB1872" s="90" t="n">
        <v>0</v>
      </c>
      <c r="AC1872" s="90" t="n">
        <v>0</v>
      </c>
      <c r="AD1872" s="95" t="s">
        <v>7</v>
      </c>
      <c r="AE1872" s="95" t="s">
        <v>7</v>
      </c>
      <c r="AF1872" s="95" t="s">
        <v>7</v>
      </c>
      <c r="AG1872" s="95" t="s">
        <v>7</v>
      </c>
      <c r="AH1872" s="95" t="s">
        <v>7</v>
      </c>
      <c r="AI1872" s="95" t="s">
        <v>7</v>
      </c>
      <c r="AJ1872" s="96" t="s">
        <v>7</v>
      </c>
      <c r="AK1872" s="97" t="s">
        <v>7</v>
      </c>
      <c r="AL1872" s="95" t="s">
        <v>7</v>
      </c>
      <c r="AM1872" s="90"/>
      <c r="AN1872" s="90"/>
      <c r="AO1872" s="90"/>
      <c r="AP1872" s="90"/>
      <c r="AQ1872" s="90"/>
      <c r="AR1872" s="90"/>
      <c r="AS1872" s="90"/>
      <c r="AT1872" s="90"/>
      <c r="AU1872" s="90"/>
      <c r="AV1872" s="91"/>
      <c r="AX1872" s="92"/>
    </row>
    <row r="1873" customFormat="false" ht="15.65" hidden="false" customHeight="false" outlineLevel="0" collapsed="false">
      <c r="C1873" s="72" t="n">
        <f aca="false">COUNTIFS($D$6:D1873,"&lt;&gt;"&amp;"")</f>
        <v>1868</v>
      </c>
      <c r="D1873" s="73" t="s">
        <v>12</v>
      </c>
      <c r="E1873" s="76" t="str">
        <f aca="false">
IF($D1873="정상",INDEX(임대자산!$D$3:$R$3000,MATCH($F1873,임대자산!$I$3:$I$3000,0),MATCH(E$3,임대자산!$D$3:$R$3,0)),
IF($D1873="폐업",INDEX(폐업정보!$D$3:$R$3000,MATCH($F1873,폐업정보!$I$3:$I$3000,0),MATCH(E$3,폐업정보!$D$3:$R$3,0)),
"Error"))</f>
        <v>전라</v>
      </c>
      <c r="F187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B1868</v>
      </c>
      <c r="G1873" s="76" t="str">
        <f aca="false">F1873&amp;RANDBETWEEN(0,10)</f>
        <v>B18681</v>
      </c>
      <c r="H1873" s="75" t="n">
        <f aca="false">
IF($D1873="정상",INDEX(임대자산!$D$3:$R$3000,MATCH($F1873,임대자산!$I$3:$I$3000,0),MATCH(H$4,임대자산!$D$3:$R$3,0)),
IF($D1873="폐업",INDEX(폐업정보!$D$3:$R$3000,MATCH($F1873,폐업정보!$I$3:$I$3000,0),MATCH(H$4,폐업정보!$D$3:$R$3,0)),
"Error"))</f>
        <v>45952</v>
      </c>
      <c r="I1873" s="75" t="str">
        <f aca="false">
IF($D1873="정상",INDEX(임대자산!$D$3:$R$3000,MATCH($F1873,임대자산!$I$3:$I$3000,0),MATCH(I$4,임대자산!$D$3:$R$3,0)),
IF($D1873="폐업",INDEX(폐업정보!$D$3:$R$3000,MATCH($F1873,폐업정보!$I$3:$I$3000,0),MATCH(I$4,폐업정보!$D$3:$R$3,0)),
"Error"))</f>
        <v>A1868</v>
      </c>
      <c r="J1873" s="75" t="str">
        <f aca="false">
IF($D1873="정상",INDEX(임대자산!$D$3:$R$3000,MATCH($F1873,임대자산!$I$3:$I$3000,0),MATCH(J$4,임대자산!$D$3:$R$3,0)),
IF($D1873="폐업",INDEX(폐업정보!$D$3:$R$3000,MATCH($F1873,폐업정보!$I$3:$I$3000,0),MATCH(J$4,폐업정보!$D$3:$R$3,0)),
"Error"))</f>
        <v>4595100000</v>
      </c>
      <c r="K1873" s="75" t="str">
        <f aca="false">
IF($D1873="정상",INDEX(임대자산!$D$3:$R$3000,MATCH($F1873,임대자산!$I$3:$I$3000,0),MATCH(K$4,임대자산!$D$3:$R$3,0)),
IF($D1873="폐업",INDEX(폐업정보!$D$3:$R$3000,MATCH($F1873,폐업정보!$I$3:$I$3000,0),MATCH(K$4,폐업정보!$D$3:$R$3,0)),
"Error"))</f>
        <v>C1868</v>
      </c>
      <c r="L1873" s="75" t="str">
        <f aca="false">
IF($D1873="정상",INDEX(임대자산!$D$3:$R$3000,MATCH($F1873,임대자산!$I$3:$I$3000,0),MATCH(L$4,임대자산!$D$3:$R$3,0)),
IF($D1873="폐업",INDEX(폐업정보!$D$3:$R$3000,MATCH($F1873,폐업정보!$I$3:$I$3000,0),MATCH(L$4,폐업정보!$D$3:$R$3,0)),
"Error"))</f>
        <v>D1868</v>
      </c>
      <c r="M1873" s="76" t="s">
        <v>96</v>
      </c>
      <c r="N1873" s="77"/>
      <c r="O1873" s="78" t="s">
        <v>97</v>
      </c>
      <c r="P1873" s="79" t="n">
        <f aca="false">COUNTIFS(임대자산!$I:$I,가맹점정보!F1873,임대자산!$N:$N,가맹점정보!P$4)</f>
        <v>0</v>
      </c>
      <c r="Q1873" s="80" t="n">
        <f aca="false">COUNTIFS(임대자산!$I:$I,가맹점정보!F1873,임대자산!$N:$N,가맹점정보!Q$4)</f>
        <v>0</v>
      </c>
      <c r="R1873" s="81" t="n">
        <f aca="false">COUNTIFS(임대자산!$I:$I,가맹점정보!F1873,임대자산!$N:$N,가맹점정보!R$4)</f>
        <v>1</v>
      </c>
      <c r="S1873" s="82" t="n">
        <v>88000</v>
      </c>
      <c r="T1873" s="83" t="n">
        <v>0</v>
      </c>
      <c r="U1873" s="80" t="n">
        <f aca="false">SUM(S1873:T1873)</f>
        <v>88000</v>
      </c>
      <c r="V1873" s="84" t="s">
        <v>7</v>
      </c>
      <c r="W1873" s="80" t="str">
        <f aca="true">
IF(D1873="폐업","폐업",
IF(V1873="면제","면제",
IF(AND(V1873="정상",COUNTIFS(OFFSET(Y1873,0,COUNTA(Y1873:AV1873)-1,1,-4),"미납")&gt;=3),"장기미납",
IF(AND(V1873="정상",OFFSET(Y1873,0,COUNTA(Y1873:AV1873)-1)&gt;=U1873),"정상",
IF(AND(V1873="정상",OFFSET(Y1873,0,COUNTA(Y1873:AV1873)-1)=0),"정상",
"계약서 미작성")))))</f>
        <v>면제</v>
      </c>
      <c r="X1873" s="81" t="str">
        <f aca="true">
IF(D1873="폐업","폐업",
IF(AND(V1873="정상",OFFSET(Y1873,0,COUNTA(Y1873:AV1873)-1)="미납"),"미납",
IF(AND(V1873="정상",OFFSET(Y1873,0,COUNTA(Y1873:AV1873)-1)=0),"납부 시작 전",
IF(AND(V1873="정상",OFFSET(Y1873,0,COUNTA(Y1873:AV1873)-1)&gt;=U1873),"정상",
IF(AND(V1873="면제",OFFSET(Y1873,0,COUNTA(Y1873:AV1873)-1)="면제"),"면제",
IF(AND(V1873="면제",OFFSET(Y1873,0,COUNTA(Y1873:AV1873)-1)=0),"면제",
"확인요청"))))))</f>
        <v>면제</v>
      </c>
      <c r="Y1873" s="94" t="s">
        <v>62</v>
      </c>
      <c r="Z1873" s="95" t="s">
        <v>62</v>
      </c>
      <c r="AA1873" s="95" t="s">
        <v>62</v>
      </c>
      <c r="AB1873" s="90" t="n">
        <v>0</v>
      </c>
      <c r="AC1873" s="90" t="n">
        <v>0</v>
      </c>
      <c r="AD1873" s="95" t="s">
        <v>7</v>
      </c>
      <c r="AE1873" s="95" t="s">
        <v>7</v>
      </c>
      <c r="AF1873" s="95" t="s">
        <v>7</v>
      </c>
      <c r="AG1873" s="95" t="s">
        <v>7</v>
      </c>
      <c r="AH1873" s="95" t="s">
        <v>7</v>
      </c>
      <c r="AI1873" s="95" t="s">
        <v>7</v>
      </c>
      <c r="AJ1873" s="96" t="s">
        <v>7</v>
      </c>
      <c r="AK1873" s="97" t="s">
        <v>7</v>
      </c>
      <c r="AL1873" s="95" t="s">
        <v>7</v>
      </c>
      <c r="AM1873" s="90"/>
      <c r="AN1873" s="90"/>
      <c r="AO1873" s="90"/>
      <c r="AP1873" s="90"/>
      <c r="AQ1873" s="90"/>
      <c r="AR1873" s="90"/>
      <c r="AS1873" s="90"/>
      <c r="AT1873" s="90"/>
      <c r="AU1873" s="90"/>
      <c r="AV1873" s="91"/>
      <c r="AX1873" s="92"/>
    </row>
    <row r="1874" customFormat="false" ht="15.65" hidden="false" customHeight="false" outlineLevel="0" collapsed="false">
      <c r="C1874" s="72" t="n">
        <f aca="false">COUNTIFS($D$6:D1874,"&lt;&gt;"&amp;"")</f>
        <v>1869</v>
      </c>
      <c r="D1874" s="73" t="s">
        <v>12</v>
      </c>
      <c r="E1874" s="76" t="str">
        <f aca="false">
IF($D1874="정상",INDEX(임대자산!$D$3:$R$3000,MATCH($F1874,임대자산!$I$3:$I$3000,0),MATCH(E$3,임대자산!$D$3:$R$3,0)),
IF($D1874="폐업",INDEX(폐업정보!$D$3:$R$3000,MATCH($F1874,폐업정보!$I$3:$I$3000,0),MATCH(E$3,폐업정보!$D$3:$R$3,0)),
"Error"))</f>
        <v>전라</v>
      </c>
      <c r="F187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B1869</v>
      </c>
      <c r="G1874" s="76" t="str">
        <f aca="false">F1874&amp;RANDBETWEEN(0,10)</f>
        <v>B18697</v>
      </c>
      <c r="H1874" s="75" t="n">
        <f aca="false">
IF($D1874="정상",INDEX(임대자산!$D$3:$R$3000,MATCH($F1874,임대자산!$I$3:$I$3000,0),MATCH(H$4,임대자산!$D$3:$R$3,0)),
IF($D1874="폐업",INDEX(폐업정보!$D$3:$R$3000,MATCH($F1874,폐업정보!$I$3:$I$3000,0),MATCH(H$4,폐업정보!$D$3:$R$3,0)),
"Error"))</f>
        <v>45952</v>
      </c>
      <c r="I1874" s="75" t="str">
        <f aca="false">
IF($D1874="정상",INDEX(임대자산!$D$3:$R$3000,MATCH($F1874,임대자산!$I$3:$I$3000,0),MATCH(I$4,임대자산!$D$3:$R$3,0)),
IF($D1874="폐업",INDEX(폐업정보!$D$3:$R$3000,MATCH($F1874,폐업정보!$I$3:$I$3000,0),MATCH(I$4,폐업정보!$D$3:$R$3,0)),
"Error"))</f>
        <v>A1869</v>
      </c>
      <c r="J1874" s="75" t="str">
        <f aca="false">
IF($D1874="정상",INDEX(임대자산!$D$3:$R$3000,MATCH($F1874,임대자산!$I$3:$I$3000,0),MATCH(J$4,임대자산!$D$3:$R$3,0)),
IF($D1874="폐업",INDEX(폐업정보!$D$3:$R$3000,MATCH($F1874,폐업정보!$I$3:$I$3000,0),MATCH(J$4,폐업정보!$D$3:$R$3,0)),
"Error"))</f>
        <v>3927600000</v>
      </c>
      <c r="K1874" s="75" t="str">
        <f aca="false">
IF($D1874="정상",INDEX(임대자산!$D$3:$R$3000,MATCH($F1874,임대자산!$I$3:$I$3000,0),MATCH(K$4,임대자산!$D$3:$R$3,0)),
IF($D1874="폐업",INDEX(폐업정보!$D$3:$R$3000,MATCH($F1874,폐업정보!$I$3:$I$3000,0),MATCH(K$4,폐업정보!$D$3:$R$3,0)),
"Error"))</f>
        <v>C1869</v>
      </c>
      <c r="L1874" s="75" t="str">
        <f aca="false">
IF($D1874="정상",INDEX(임대자산!$D$3:$R$3000,MATCH($F1874,임대자산!$I$3:$I$3000,0),MATCH(L$4,임대자산!$D$3:$R$3,0)),
IF($D1874="폐업",INDEX(폐업정보!$D$3:$R$3000,MATCH($F1874,폐업정보!$I$3:$I$3000,0),MATCH(L$4,폐업정보!$D$3:$R$3,0)),
"Error"))</f>
        <v>D1869</v>
      </c>
      <c r="M1874" s="76" t="s">
        <v>96</v>
      </c>
      <c r="N1874" s="77"/>
      <c r="O1874" s="78" t="s">
        <v>97</v>
      </c>
      <c r="P1874" s="79" t="n">
        <f aca="false">COUNTIFS(임대자산!$I:$I,가맹점정보!F1874,임대자산!$N:$N,가맹점정보!P$4)</f>
        <v>0</v>
      </c>
      <c r="Q1874" s="80" t="n">
        <f aca="false">COUNTIFS(임대자산!$I:$I,가맹점정보!F1874,임대자산!$N:$N,가맹점정보!Q$4)</f>
        <v>0</v>
      </c>
      <c r="R1874" s="81" t="n">
        <f aca="false">COUNTIFS(임대자산!$I:$I,가맹점정보!F1874,임대자산!$N:$N,가맹점정보!R$4)</f>
        <v>1</v>
      </c>
      <c r="S1874" s="82" t="n">
        <v>55000</v>
      </c>
      <c r="T1874" s="83" t="n">
        <v>0</v>
      </c>
      <c r="U1874" s="80" t="n">
        <f aca="false">SUM(S1874:T1874)</f>
        <v>55000</v>
      </c>
      <c r="V1874" s="84" t="s">
        <v>12</v>
      </c>
      <c r="W1874" s="80" t="e">
        <f aca="true">
IF(D1874="폐업","폐업",
IF(V1874="면제","면제",
IF(AND(V1874="정상",COUNTIFS(OFFSET(Y1874,0,COUNTA(Y1874:AV1874)-1,1,-4),"미납")&gt;=3),"장기미납",
IF(AND(V1874="정상",OFFSET(Y1874,0,COUNTA(Y1874:AV1874)-1)&gt;=U1874),"정상",
IF(AND(V1874="정상",OFFSET(Y1874,0,COUNTA(Y1874:AV1874)-1)=0),"정상",
"계약서 미작성")))))</f>
        <v>#VALUE!</v>
      </c>
      <c r="X1874" s="81" t="str">
        <f aca="true">
IF(D1874="폐업","폐업",
IF(AND(V1874="정상",OFFSET(Y1874,0,COUNTA(Y1874:AV1874)-1)="미납"),"미납",
IF(AND(V1874="정상",OFFSET(Y1874,0,COUNTA(Y1874:AV1874)-1)=0),"납부 시작 전",
IF(AND(V1874="정상",OFFSET(Y1874,0,COUNTA(Y1874:AV1874)-1)&gt;=U1874),"정상",
IF(AND(V1874="면제",OFFSET(Y1874,0,COUNTA(Y1874:AV1874)-1)="면제"),"면제",
IF(AND(V1874="면제",OFFSET(Y1874,0,COUNTA(Y1874:AV1874)-1)=0),"면제",
"확인요청"))))))</f>
        <v>미납</v>
      </c>
      <c r="Y1874" s="93" t="n">
        <v>55000</v>
      </c>
      <c r="Z1874" s="95" t="s">
        <v>62</v>
      </c>
      <c r="AA1874" s="95" t="s">
        <v>62</v>
      </c>
      <c r="AB1874" s="90" t="n">
        <v>55000</v>
      </c>
      <c r="AC1874" s="90" t="n">
        <v>55000</v>
      </c>
      <c r="AD1874" s="90" t="n">
        <v>55000</v>
      </c>
      <c r="AE1874" s="90" t="n">
        <v>55000</v>
      </c>
      <c r="AF1874" s="95" t="s">
        <v>62</v>
      </c>
      <c r="AG1874" s="95" t="s">
        <v>62</v>
      </c>
      <c r="AH1874" s="90" t="n">
        <v>55000</v>
      </c>
      <c r="AI1874" s="95" t="s">
        <v>62</v>
      </c>
      <c r="AJ1874" s="91" t="n">
        <v>55000</v>
      </c>
      <c r="AK1874" s="97" t="s">
        <v>62</v>
      </c>
      <c r="AL1874" s="95" t="s">
        <v>62</v>
      </c>
      <c r="AM1874" s="90"/>
      <c r="AN1874" s="90"/>
      <c r="AO1874" s="90"/>
      <c r="AP1874" s="90"/>
      <c r="AQ1874" s="90"/>
      <c r="AR1874" s="90"/>
      <c r="AS1874" s="90"/>
      <c r="AT1874" s="90"/>
      <c r="AU1874" s="90"/>
      <c r="AV1874" s="91"/>
      <c r="AX1874" s="92"/>
    </row>
    <row r="1875" customFormat="false" ht="15.65" hidden="false" customHeight="false" outlineLevel="0" collapsed="false">
      <c r="C1875" s="72" t="n">
        <f aca="false">COUNTIFS($D$6:D1875,"&lt;&gt;"&amp;"")</f>
        <v>1870</v>
      </c>
      <c r="D1875" s="73" t="s">
        <v>12</v>
      </c>
      <c r="E1875" s="76" t="str">
        <f aca="false">
IF($D1875="정상",INDEX(임대자산!$D$3:$R$3000,MATCH($F1875,임대자산!$I$3:$I$3000,0),MATCH(E$3,임대자산!$D$3:$R$3,0)),
IF($D1875="폐업",INDEX(폐업정보!$D$3:$R$3000,MATCH($F1875,폐업정보!$I$3:$I$3000,0),MATCH(E$3,폐업정보!$D$3:$R$3,0)),
"Error"))</f>
        <v>전라</v>
      </c>
      <c r="F187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B1870</v>
      </c>
      <c r="G1875" s="76" t="str">
        <f aca="false">F1875&amp;RANDBETWEEN(0,10)</f>
        <v>B18703</v>
      </c>
      <c r="H1875" s="75" t="n">
        <f aca="false">
IF($D1875="정상",INDEX(임대자산!$D$3:$R$3000,MATCH($F1875,임대자산!$I$3:$I$3000,0),MATCH(H$4,임대자산!$D$3:$R$3,0)),
IF($D1875="폐업",INDEX(폐업정보!$D$3:$R$3000,MATCH($F1875,폐업정보!$I$3:$I$3000,0),MATCH(H$4,폐업정보!$D$3:$R$3,0)),
"Error"))</f>
        <v>45957</v>
      </c>
      <c r="I1875" s="75" t="str">
        <f aca="false">
IF($D1875="정상",INDEX(임대자산!$D$3:$R$3000,MATCH($F1875,임대자산!$I$3:$I$3000,0),MATCH(I$4,임대자산!$D$3:$R$3,0)),
IF($D1875="폐업",INDEX(폐업정보!$D$3:$R$3000,MATCH($F1875,폐업정보!$I$3:$I$3000,0),MATCH(I$4,폐업정보!$D$3:$R$3,0)),
"Error"))</f>
        <v>A1870</v>
      </c>
      <c r="J1875" s="75" t="str">
        <f aca="false">
IF($D1875="정상",INDEX(임대자산!$D$3:$R$3000,MATCH($F1875,임대자산!$I$3:$I$3000,0),MATCH(J$4,임대자산!$D$3:$R$3,0)),
IF($D1875="폐업",INDEX(폐업정보!$D$3:$R$3000,MATCH($F1875,폐업정보!$I$3:$I$3000,0),MATCH(J$4,폐업정보!$D$3:$R$3,0)),
"Error"))</f>
        <v>2320700000</v>
      </c>
      <c r="K1875" s="75" t="str">
        <f aca="false">
IF($D1875="정상",INDEX(임대자산!$D$3:$R$3000,MATCH($F1875,임대자산!$I$3:$I$3000,0),MATCH(K$4,임대자산!$D$3:$R$3,0)),
IF($D1875="폐업",INDEX(폐업정보!$D$3:$R$3000,MATCH($F1875,폐업정보!$I$3:$I$3000,0),MATCH(K$4,폐업정보!$D$3:$R$3,0)),
"Error"))</f>
        <v>C1870</v>
      </c>
      <c r="L1875" s="75" t="str">
        <f aca="false">
IF($D1875="정상",INDEX(임대자산!$D$3:$R$3000,MATCH($F1875,임대자산!$I$3:$I$3000,0),MATCH(L$4,임대자산!$D$3:$R$3,0)),
IF($D1875="폐업",INDEX(폐업정보!$D$3:$R$3000,MATCH($F1875,폐업정보!$I$3:$I$3000,0),MATCH(L$4,폐업정보!$D$3:$R$3,0)),
"Error"))</f>
        <v>D1870</v>
      </c>
      <c r="M1875" s="76" t="s">
        <v>96</v>
      </c>
      <c r="N1875" s="77"/>
      <c r="O1875" s="78" t="s">
        <v>97</v>
      </c>
      <c r="P1875" s="79" t="n">
        <f aca="false">COUNTIFS(임대자산!$I:$I,가맹점정보!F1875,임대자산!$N:$N,가맹점정보!P$4)</f>
        <v>0</v>
      </c>
      <c r="Q1875" s="80" t="n">
        <f aca="false">COUNTIFS(임대자산!$I:$I,가맹점정보!F1875,임대자산!$N:$N,가맹점정보!Q$4)</f>
        <v>0</v>
      </c>
      <c r="R1875" s="81" t="n">
        <f aca="false">COUNTIFS(임대자산!$I:$I,가맹점정보!F1875,임대자산!$N:$N,가맹점정보!R$4)</f>
        <v>1</v>
      </c>
      <c r="S1875" s="82" t="n">
        <v>55000</v>
      </c>
      <c r="T1875" s="83" t="n">
        <v>0</v>
      </c>
      <c r="U1875" s="80" t="n">
        <f aca="false">SUM(S1875:T1875)</f>
        <v>55000</v>
      </c>
      <c r="V1875" s="84" t="s">
        <v>7</v>
      </c>
      <c r="W1875" s="80" t="str">
        <f aca="true">
IF(D1875="폐업","폐업",
IF(V1875="면제","면제",
IF(AND(V1875="정상",COUNTIFS(OFFSET(Y1875,0,COUNTA(Y1875:AV1875)-1,1,-4),"미납")&gt;=3),"장기미납",
IF(AND(V1875="정상",OFFSET(Y1875,0,COUNTA(Y1875:AV1875)-1)&gt;=U1875),"정상",
IF(AND(V1875="정상",OFFSET(Y1875,0,COUNTA(Y1875:AV1875)-1)=0),"정상",
"계약서 미작성")))))</f>
        <v>면제</v>
      </c>
      <c r="X1875" s="81" t="str">
        <f aca="true">
IF(D1875="폐업","폐업",
IF(AND(V1875="정상",OFFSET(Y1875,0,COUNTA(Y1875:AV1875)-1)="미납"),"미납",
IF(AND(V1875="정상",OFFSET(Y1875,0,COUNTA(Y1875:AV1875)-1)=0),"납부 시작 전",
IF(AND(V1875="정상",OFFSET(Y1875,0,COUNTA(Y1875:AV1875)-1)&gt;=U1875),"정상",
IF(AND(V1875="면제",OFFSET(Y1875,0,COUNTA(Y1875:AV1875)-1)="면제"),"면제",
IF(AND(V1875="면제",OFFSET(Y1875,0,COUNTA(Y1875:AV1875)-1)=0),"면제",
"확인요청"))))))</f>
        <v>면제</v>
      </c>
      <c r="Y1875" s="94" t="s">
        <v>62</v>
      </c>
      <c r="Z1875" s="95" t="s">
        <v>62</v>
      </c>
      <c r="AA1875" s="95" t="s">
        <v>62</v>
      </c>
      <c r="AB1875" s="90" t="n">
        <v>0</v>
      </c>
      <c r="AC1875" s="90" t="n">
        <v>0</v>
      </c>
      <c r="AD1875" s="95" t="s">
        <v>7</v>
      </c>
      <c r="AE1875" s="95" t="s">
        <v>7</v>
      </c>
      <c r="AF1875" s="95" t="s">
        <v>7</v>
      </c>
      <c r="AG1875" s="95" t="s">
        <v>7</v>
      </c>
      <c r="AH1875" s="95" t="s">
        <v>7</v>
      </c>
      <c r="AI1875" s="95" t="s">
        <v>7</v>
      </c>
      <c r="AJ1875" s="96" t="s">
        <v>7</v>
      </c>
      <c r="AK1875" s="97" t="s">
        <v>7</v>
      </c>
      <c r="AL1875" s="95" t="s">
        <v>7</v>
      </c>
      <c r="AM1875" s="90"/>
      <c r="AN1875" s="90"/>
      <c r="AO1875" s="90"/>
      <c r="AP1875" s="90"/>
      <c r="AQ1875" s="90"/>
      <c r="AR1875" s="90"/>
      <c r="AS1875" s="90"/>
      <c r="AT1875" s="90"/>
      <c r="AU1875" s="90"/>
      <c r="AV1875" s="91"/>
      <c r="AX1875" s="92"/>
    </row>
    <row r="1876" customFormat="false" ht="15.65" hidden="false" customHeight="false" outlineLevel="0" collapsed="false">
      <c r="C1876" s="72" t="n">
        <f aca="false">COUNTIFS($D$6:D1876,"&lt;&gt;"&amp;"")</f>
        <v>1871</v>
      </c>
      <c r="D1876" s="73" t="s">
        <v>12</v>
      </c>
      <c r="E1876" s="76" t="str">
        <f aca="false">
IF($D1876="정상",INDEX(임대자산!$D$3:$R$3000,MATCH($F1876,임대자산!$I$3:$I$3000,0),MATCH(E$3,임대자산!$D$3:$R$3,0)),
IF($D1876="폐업",INDEX(폐업정보!$D$3:$R$3000,MATCH($F1876,폐업정보!$I$3:$I$3000,0),MATCH(E$3,폐업정보!$D$3:$R$3,0)),
"Error"))</f>
        <v>전라</v>
      </c>
      <c r="F187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B1871</v>
      </c>
      <c r="G1876" s="76" t="str">
        <f aca="false">F1876&amp;RANDBETWEEN(0,10)</f>
        <v>B18714</v>
      </c>
      <c r="H1876" s="75" t="n">
        <f aca="false">
IF($D1876="정상",INDEX(임대자산!$D$3:$R$3000,MATCH($F1876,임대자산!$I$3:$I$3000,0),MATCH(H$4,임대자산!$D$3:$R$3,0)),
IF($D1876="폐업",INDEX(폐업정보!$D$3:$R$3000,MATCH($F1876,폐업정보!$I$3:$I$3000,0),MATCH(H$4,폐업정보!$D$3:$R$3,0)),
"Error"))</f>
        <v>45957</v>
      </c>
      <c r="I1876" s="75" t="str">
        <f aca="false">
IF($D1876="정상",INDEX(임대자산!$D$3:$R$3000,MATCH($F1876,임대자산!$I$3:$I$3000,0),MATCH(I$4,임대자산!$D$3:$R$3,0)),
IF($D1876="폐업",INDEX(폐업정보!$D$3:$R$3000,MATCH($F1876,폐업정보!$I$3:$I$3000,0),MATCH(I$4,폐업정보!$D$3:$R$3,0)),
"Error"))</f>
        <v>A1871</v>
      </c>
      <c r="J1876" s="75" t="str">
        <f aca="false">
IF($D1876="정상",INDEX(임대자산!$D$3:$R$3000,MATCH($F1876,임대자산!$I$3:$I$3000,0),MATCH(J$4,임대자산!$D$3:$R$3,0)),
IF($D1876="폐업",INDEX(폐업정보!$D$3:$R$3000,MATCH($F1876,폐업정보!$I$3:$I$3000,0),MATCH(J$4,폐업정보!$D$3:$R$3,0)),
"Error"))</f>
        <v>8047200000</v>
      </c>
      <c r="K1876" s="75" t="str">
        <f aca="false">
IF($D1876="정상",INDEX(임대자산!$D$3:$R$3000,MATCH($F1876,임대자산!$I$3:$I$3000,0),MATCH(K$4,임대자산!$D$3:$R$3,0)),
IF($D1876="폐업",INDEX(폐업정보!$D$3:$R$3000,MATCH($F1876,폐업정보!$I$3:$I$3000,0),MATCH(K$4,폐업정보!$D$3:$R$3,0)),
"Error"))</f>
        <v>C1871</v>
      </c>
      <c r="L1876" s="75" t="str">
        <f aca="false">
IF($D1876="정상",INDEX(임대자산!$D$3:$R$3000,MATCH($F1876,임대자산!$I$3:$I$3000,0),MATCH(L$4,임대자산!$D$3:$R$3,0)),
IF($D1876="폐업",INDEX(폐업정보!$D$3:$R$3000,MATCH($F1876,폐업정보!$I$3:$I$3000,0),MATCH(L$4,폐업정보!$D$3:$R$3,0)),
"Error"))</f>
        <v>D1871</v>
      </c>
      <c r="M1876" s="76" t="s">
        <v>96</v>
      </c>
      <c r="N1876" s="77"/>
      <c r="O1876" s="78" t="s">
        <v>97</v>
      </c>
      <c r="P1876" s="79" t="n">
        <f aca="false">COUNTIFS(임대자산!$I:$I,가맹점정보!F1876,임대자산!$N:$N,가맹점정보!P$4)</f>
        <v>0</v>
      </c>
      <c r="Q1876" s="80" t="n">
        <f aca="false">COUNTIFS(임대자산!$I:$I,가맹점정보!F1876,임대자산!$N:$N,가맹점정보!Q$4)</f>
        <v>0</v>
      </c>
      <c r="R1876" s="81" t="n">
        <f aca="false">COUNTIFS(임대자산!$I:$I,가맹점정보!F1876,임대자산!$N:$N,가맹점정보!R$4)</f>
        <v>1</v>
      </c>
      <c r="S1876" s="82" t="n">
        <v>88000</v>
      </c>
      <c r="T1876" s="83" t="n">
        <v>0</v>
      </c>
      <c r="U1876" s="80" t="n">
        <f aca="false">SUM(S1876:T1876)</f>
        <v>88000</v>
      </c>
      <c r="V1876" s="84" t="s">
        <v>7</v>
      </c>
      <c r="W1876" s="80" t="str">
        <f aca="true">
IF(D1876="폐업","폐업",
IF(V1876="면제","면제",
IF(AND(V1876="정상",COUNTIFS(OFFSET(Y1876,0,COUNTA(Y1876:AV1876)-1,1,-4),"미납")&gt;=3),"장기미납",
IF(AND(V1876="정상",OFFSET(Y1876,0,COUNTA(Y1876:AV1876)-1)&gt;=U1876),"정상",
IF(AND(V1876="정상",OFFSET(Y1876,0,COUNTA(Y1876:AV1876)-1)=0),"정상",
"계약서 미작성")))))</f>
        <v>면제</v>
      </c>
      <c r="X1876" s="81" t="str">
        <f aca="true">
IF(D1876="폐업","폐업",
IF(AND(V1876="정상",OFFSET(Y1876,0,COUNTA(Y1876:AV1876)-1)="미납"),"미납",
IF(AND(V1876="정상",OFFSET(Y1876,0,COUNTA(Y1876:AV1876)-1)=0),"납부 시작 전",
IF(AND(V1876="정상",OFFSET(Y1876,0,COUNTA(Y1876:AV1876)-1)&gt;=U1876),"정상",
IF(AND(V1876="면제",OFFSET(Y1876,0,COUNTA(Y1876:AV1876)-1)="면제"),"면제",
IF(AND(V1876="면제",OFFSET(Y1876,0,COUNTA(Y1876:AV1876)-1)=0),"면제",
"확인요청"))))))</f>
        <v>면제</v>
      </c>
      <c r="Y1876" s="94" t="s">
        <v>62</v>
      </c>
      <c r="Z1876" s="95" t="s">
        <v>62</v>
      </c>
      <c r="AA1876" s="95" t="s">
        <v>62</v>
      </c>
      <c r="AB1876" s="90" t="n">
        <v>0</v>
      </c>
      <c r="AC1876" s="90" t="n">
        <v>0</v>
      </c>
      <c r="AD1876" s="95" t="s">
        <v>7</v>
      </c>
      <c r="AE1876" s="95" t="s">
        <v>7</v>
      </c>
      <c r="AF1876" s="95" t="s">
        <v>7</v>
      </c>
      <c r="AG1876" s="95" t="s">
        <v>7</v>
      </c>
      <c r="AH1876" s="95" t="s">
        <v>7</v>
      </c>
      <c r="AI1876" s="95" t="s">
        <v>7</v>
      </c>
      <c r="AJ1876" s="96" t="s">
        <v>7</v>
      </c>
      <c r="AK1876" s="97" t="s">
        <v>7</v>
      </c>
      <c r="AL1876" s="95" t="s">
        <v>7</v>
      </c>
      <c r="AM1876" s="90"/>
      <c r="AN1876" s="90"/>
      <c r="AO1876" s="90"/>
      <c r="AP1876" s="90"/>
      <c r="AQ1876" s="90"/>
      <c r="AR1876" s="90"/>
      <c r="AS1876" s="90"/>
      <c r="AT1876" s="90"/>
      <c r="AU1876" s="90"/>
      <c r="AV1876" s="91"/>
      <c r="AX1876" s="92"/>
    </row>
    <row r="1877" customFormat="false" ht="15.65" hidden="false" customHeight="false" outlineLevel="0" collapsed="false">
      <c r="C1877" s="72" t="n">
        <f aca="false">COUNTIFS($D$6:D1877,"&lt;&gt;"&amp;"")</f>
        <v>1872</v>
      </c>
      <c r="D1877" s="73" t="s">
        <v>12</v>
      </c>
      <c r="E1877" s="76" t="str">
        <f aca="false">
IF($D1877="정상",INDEX(임대자산!$D$3:$R$3000,MATCH($F1877,임대자산!$I$3:$I$3000,0),MATCH(E$3,임대자산!$D$3:$R$3,0)),
IF($D1877="폐업",INDEX(폐업정보!$D$3:$R$3000,MATCH($F1877,폐업정보!$I$3:$I$3000,0),MATCH(E$3,폐업정보!$D$3:$R$3,0)),
"Error"))</f>
        <v>경상</v>
      </c>
      <c r="F187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B1872</v>
      </c>
      <c r="G1877" s="76" t="str">
        <f aca="false">F1877&amp;RANDBETWEEN(0,10)</f>
        <v>B18722</v>
      </c>
      <c r="H1877" s="75" t="n">
        <f aca="false">
IF($D1877="정상",INDEX(임대자산!$D$3:$R$3000,MATCH($F1877,임대자산!$I$3:$I$3000,0),MATCH(H$4,임대자산!$D$3:$R$3,0)),
IF($D1877="폐업",INDEX(폐업정보!$D$3:$R$3000,MATCH($F1877,폐업정보!$I$3:$I$3000,0),MATCH(H$4,폐업정보!$D$3:$R$3,0)),
"Error"))</f>
        <v>45957</v>
      </c>
      <c r="I1877" s="75" t="str">
        <f aca="false">
IF($D1877="정상",INDEX(임대자산!$D$3:$R$3000,MATCH($F1877,임대자산!$I$3:$I$3000,0),MATCH(I$4,임대자산!$D$3:$R$3,0)),
IF($D1877="폐업",INDEX(폐업정보!$D$3:$R$3000,MATCH($F1877,폐업정보!$I$3:$I$3000,0),MATCH(I$4,폐업정보!$D$3:$R$3,0)),
"Error"))</f>
        <v>A1872</v>
      </c>
      <c r="J1877" s="75" t="str">
        <f aca="false">
IF($D1877="정상",INDEX(임대자산!$D$3:$R$3000,MATCH($F1877,임대자산!$I$3:$I$3000,0),MATCH(J$4,임대자산!$D$3:$R$3,0)),
IF($D1877="폐업",INDEX(폐업정보!$D$3:$R$3000,MATCH($F1877,폐업정보!$I$3:$I$3000,0),MATCH(J$4,폐업정보!$D$3:$R$3,0)),
"Error"))</f>
        <v>5953600000</v>
      </c>
      <c r="K1877" s="75" t="str">
        <f aca="false">
IF($D1877="정상",INDEX(임대자산!$D$3:$R$3000,MATCH($F1877,임대자산!$I$3:$I$3000,0),MATCH(K$4,임대자산!$D$3:$R$3,0)),
IF($D1877="폐업",INDEX(폐업정보!$D$3:$R$3000,MATCH($F1877,폐업정보!$I$3:$I$3000,0),MATCH(K$4,폐업정보!$D$3:$R$3,0)),
"Error"))</f>
        <v>C1872</v>
      </c>
      <c r="L1877" s="75" t="str">
        <f aca="false">
IF($D1877="정상",INDEX(임대자산!$D$3:$R$3000,MATCH($F1877,임대자산!$I$3:$I$3000,0),MATCH(L$4,임대자산!$D$3:$R$3,0)),
IF($D1877="폐업",INDEX(폐업정보!$D$3:$R$3000,MATCH($F1877,폐업정보!$I$3:$I$3000,0),MATCH(L$4,폐업정보!$D$3:$R$3,0)),
"Error"))</f>
        <v>D1872</v>
      </c>
      <c r="M1877" s="76" t="s">
        <v>96</v>
      </c>
      <c r="N1877" s="77"/>
      <c r="O1877" s="78" t="s">
        <v>97</v>
      </c>
      <c r="P1877" s="79" t="n">
        <f aca="false">COUNTIFS(임대자산!$I:$I,가맹점정보!F1877,임대자산!$N:$N,가맹점정보!P$4)</f>
        <v>0</v>
      </c>
      <c r="Q1877" s="80" t="n">
        <f aca="false">COUNTIFS(임대자산!$I:$I,가맹점정보!F1877,임대자산!$N:$N,가맹점정보!Q$4)</f>
        <v>0</v>
      </c>
      <c r="R1877" s="81" t="n">
        <f aca="false">COUNTIFS(임대자산!$I:$I,가맹점정보!F1877,임대자산!$N:$N,가맹점정보!R$4)</f>
        <v>1</v>
      </c>
      <c r="S1877" s="82" t="n">
        <v>55000</v>
      </c>
      <c r="T1877" s="83" t="n">
        <v>0</v>
      </c>
      <c r="U1877" s="80" t="n">
        <f aca="false">SUM(S1877:T1877)</f>
        <v>55000</v>
      </c>
      <c r="V1877" s="84" t="s">
        <v>12</v>
      </c>
      <c r="W1877" s="80" t="e">
        <f aca="true">
IF(D1877="폐업","폐업",
IF(V1877="면제","면제",
IF(AND(V1877="정상",COUNTIFS(OFFSET(Y1877,0,COUNTA(Y1877:AV1877)-1,1,-4),"미납")&gt;=3),"장기미납",
IF(AND(V1877="정상",OFFSET(Y1877,0,COUNTA(Y1877:AV1877)-1)&gt;=U1877),"정상",
IF(AND(V1877="정상",OFFSET(Y1877,0,COUNTA(Y1877:AV1877)-1)=0),"정상",
"계약서 미작성")))))</f>
        <v>#VALUE!</v>
      </c>
      <c r="X1877" s="81" t="str">
        <f aca="true">
IF(D1877="폐업","폐업",
IF(AND(V1877="정상",OFFSET(Y1877,0,COUNTA(Y1877:AV1877)-1)="미납"),"미납",
IF(AND(V1877="정상",OFFSET(Y1877,0,COUNTA(Y1877:AV1877)-1)=0),"납부 시작 전",
IF(AND(V1877="정상",OFFSET(Y1877,0,COUNTA(Y1877:AV1877)-1)&gt;=U1877),"정상",
IF(AND(V1877="면제",OFFSET(Y1877,0,COUNTA(Y1877:AV1877)-1)="면제"),"면제",
IF(AND(V1877="면제",OFFSET(Y1877,0,COUNTA(Y1877:AV1877)-1)=0),"면제",
"확인요청"))))))</f>
        <v>정상</v>
      </c>
      <c r="Y1877" s="93" t="n">
        <v>0</v>
      </c>
      <c r="Z1877" s="90" t="n">
        <v>0</v>
      </c>
      <c r="AA1877" s="90" t="s">
        <v>111</v>
      </c>
      <c r="AB1877" s="90" t="n">
        <v>110000</v>
      </c>
      <c r="AC1877" s="90" t="n">
        <v>55000</v>
      </c>
      <c r="AD1877" s="90" t="n">
        <v>55000</v>
      </c>
      <c r="AE1877" s="90" t="n">
        <v>55000</v>
      </c>
      <c r="AF1877" s="90" t="n">
        <v>55000</v>
      </c>
      <c r="AG1877" s="90" t="n">
        <v>55000</v>
      </c>
      <c r="AH1877" s="90" t="n">
        <v>55000</v>
      </c>
      <c r="AI1877" s="90" t="n">
        <v>55000</v>
      </c>
      <c r="AJ1877" s="91" t="n">
        <v>55000</v>
      </c>
      <c r="AK1877" s="89" t="n">
        <v>55000</v>
      </c>
      <c r="AL1877" s="90" t="n">
        <v>55000</v>
      </c>
      <c r="AM1877" s="90"/>
      <c r="AN1877" s="90"/>
      <c r="AO1877" s="90"/>
      <c r="AP1877" s="90"/>
      <c r="AQ1877" s="90"/>
      <c r="AR1877" s="90"/>
      <c r="AS1877" s="90"/>
      <c r="AT1877" s="90"/>
      <c r="AU1877" s="90"/>
      <c r="AV1877" s="91"/>
      <c r="AX1877" s="92"/>
    </row>
    <row r="1878" customFormat="false" ht="15.65" hidden="false" customHeight="false" outlineLevel="0" collapsed="false">
      <c r="C1878" s="72" t="n">
        <f aca="false">COUNTIFS($D$6:D1878,"&lt;&gt;"&amp;"")</f>
        <v>1873</v>
      </c>
      <c r="D1878" s="73" t="s">
        <v>12</v>
      </c>
      <c r="E1878" s="76" t="str">
        <f aca="false">
IF($D1878="정상",INDEX(임대자산!$D$3:$R$3000,MATCH($F1878,임대자산!$I$3:$I$3000,0),MATCH(E$3,임대자산!$D$3:$R$3,0)),
IF($D1878="폐업",INDEX(폐업정보!$D$3:$R$3000,MATCH($F1878,폐업정보!$I$3:$I$3000,0),MATCH(E$3,폐업정보!$D$3:$R$3,0)),
"Error"))</f>
        <v>경상</v>
      </c>
      <c r="F187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B1873</v>
      </c>
      <c r="G1878" s="76" t="str">
        <f aca="false">F1878&amp;RANDBETWEEN(0,10)</f>
        <v>B18737</v>
      </c>
      <c r="H1878" s="75" t="n">
        <f aca="false">
IF($D1878="정상",INDEX(임대자산!$D$3:$R$3000,MATCH($F1878,임대자산!$I$3:$I$3000,0),MATCH(H$4,임대자산!$D$3:$R$3,0)),
IF($D1878="폐업",INDEX(폐업정보!$D$3:$R$3000,MATCH($F1878,폐업정보!$I$3:$I$3000,0),MATCH(H$4,폐업정보!$D$3:$R$3,0)),
"Error"))</f>
        <v>45957</v>
      </c>
      <c r="I1878" s="75" t="str">
        <f aca="false">
IF($D1878="정상",INDEX(임대자산!$D$3:$R$3000,MATCH($F1878,임대자산!$I$3:$I$3000,0),MATCH(I$4,임대자산!$D$3:$R$3,0)),
IF($D1878="폐업",INDEX(폐업정보!$D$3:$R$3000,MATCH($F1878,폐업정보!$I$3:$I$3000,0),MATCH(I$4,폐업정보!$D$3:$R$3,0)),
"Error"))</f>
        <v>A1873</v>
      </c>
      <c r="J1878" s="75" t="str">
        <f aca="false">
IF($D1878="정상",INDEX(임대자산!$D$3:$R$3000,MATCH($F1878,임대자산!$I$3:$I$3000,0),MATCH(J$4,임대자산!$D$3:$R$3,0)),
IF($D1878="폐업",INDEX(폐업정보!$D$3:$R$3000,MATCH($F1878,폐업정보!$I$3:$I$3000,0),MATCH(J$4,폐업정보!$D$3:$R$3,0)),
"Error"))</f>
        <v>6513300000</v>
      </c>
      <c r="K1878" s="75" t="str">
        <f aca="false">
IF($D1878="정상",INDEX(임대자산!$D$3:$R$3000,MATCH($F1878,임대자산!$I$3:$I$3000,0),MATCH(K$4,임대자산!$D$3:$R$3,0)),
IF($D1878="폐업",INDEX(폐업정보!$D$3:$R$3000,MATCH($F1878,폐업정보!$I$3:$I$3000,0),MATCH(K$4,폐업정보!$D$3:$R$3,0)),
"Error"))</f>
        <v>C1873</v>
      </c>
      <c r="L1878" s="75" t="str">
        <f aca="false">
IF($D1878="정상",INDEX(임대자산!$D$3:$R$3000,MATCH($F1878,임대자산!$I$3:$I$3000,0),MATCH(L$4,임대자산!$D$3:$R$3,0)),
IF($D1878="폐업",INDEX(폐업정보!$D$3:$R$3000,MATCH($F1878,폐업정보!$I$3:$I$3000,0),MATCH(L$4,폐업정보!$D$3:$R$3,0)),
"Error"))</f>
        <v>D1873</v>
      </c>
      <c r="M1878" s="76" t="s">
        <v>96</v>
      </c>
      <c r="N1878" s="77"/>
      <c r="O1878" s="78" t="s">
        <v>97</v>
      </c>
      <c r="P1878" s="79" t="n">
        <f aca="false">COUNTIFS(임대자산!$I:$I,가맹점정보!F1878,임대자산!$N:$N,가맹점정보!P$4)</f>
        <v>0</v>
      </c>
      <c r="Q1878" s="80" t="n">
        <f aca="false">COUNTIFS(임대자산!$I:$I,가맹점정보!F1878,임대자산!$N:$N,가맹점정보!Q$4)</f>
        <v>0</v>
      </c>
      <c r="R1878" s="81" t="n">
        <f aca="false">COUNTIFS(임대자산!$I:$I,가맹점정보!F1878,임대자산!$N:$N,가맹점정보!R$4)</f>
        <v>1</v>
      </c>
      <c r="S1878" s="82" t="n">
        <v>55000</v>
      </c>
      <c r="T1878" s="83" t="n">
        <v>0</v>
      </c>
      <c r="U1878" s="80" t="n">
        <f aca="false">SUM(S1878:T1878)</f>
        <v>55000</v>
      </c>
      <c r="V1878" s="84" t="s">
        <v>12</v>
      </c>
      <c r="W1878" s="80" t="e">
        <f aca="true">
IF(D1878="폐업","폐업",
IF(V1878="면제","면제",
IF(AND(V1878="정상",COUNTIFS(OFFSET(Y1878,0,COUNTA(Y1878:AV1878)-1,1,-4),"미납")&gt;=3),"장기미납",
IF(AND(V1878="정상",OFFSET(Y1878,0,COUNTA(Y1878:AV1878)-1)&gt;=U1878),"정상",
IF(AND(V1878="정상",OFFSET(Y1878,0,COUNTA(Y1878:AV1878)-1)=0),"정상",
"계약서 미작성")))))</f>
        <v>#VALUE!</v>
      </c>
      <c r="X1878" s="81" t="str">
        <f aca="true">
IF(D1878="폐업","폐업",
IF(AND(V1878="정상",OFFSET(Y1878,0,COUNTA(Y1878:AV1878)-1)="미납"),"미납",
IF(AND(V1878="정상",OFFSET(Y1878,0,COUNTA(Y1878:AV1878)-1)=0),"납부 시작 전",
IF(AND(V1878="정상",OFFSET(Y1878,0,COUNTA(Y1878:AV1878)-1)&gt;=U1878),"정상",
IF(AND(V1878="면제",OFFSET(Y1878,0,COUNTA(Y1878:AV1878)-1)="면제"),"면제",
IF(AND(V1878="면제",OFFSET(Y1878,0,COUNTA(Y1878:AV1878)-1)=0),"면제",
"확인요청"))))))</f>
        <v>정상</v>
      </c>
      <c r="Y1878" s="93" t="n">
        <v>0</v>
      </c>
      <c r="Z1878" s="90" t="n">
        <v>0</v>
      </c>
      <c r="AA1878" s="95" t="s">
        <v>62</v>
      </c>
      <c r="AB1878" s="90" t="n">
        <v>55000</v>
      </c>
      <c r="AC1878" s="90" t="n">
        <v>55000</v>
      </c>
      <c r="AD1878" s="90" t="n">
        <v>55000</v>
      </c>
      <c r="AE1878" s="90" t="n">
        <v>55000</v>
      </c>
      <c r="AF1878" s="90" t="n">
        <v>55000</v>
      </c>
      <c r="AG1878" s="90" t="n">
        <v>55000</v>
      </c>
      <c r="AH1878" s="90" t="n">
        <v>55000</v>
      </c>
      <c r="AI1878" s="90" t="n">
        <v>55000</v>
      </c>
      <c r="AJ1878" s="91" t="n">
        <v>55000</v>
      </c>
      <c r="AK1878" s="89" t="n">
        <v>55000</v>
      </c>
      <c r="AL1878" s="90" t="n">
        <v>55000</v>
      </c>
      <c r="AM1878" s="90"/>
      <c r="AN1878" s="90"/>
      <c r="AO1878" s="90"/>
      <c r="AP1878" s="90"/>
      <c r="AQ1878" s="90"/>
      <c r="AR1878" s="90"/>
      <c r="AS1878" s="90"/>
      <c r="AT1878" s="90"/>
      <c r="AU1878" s="90"/>
      <c r="AV1878" s="91"/>
      <c r="AX1878" s="92"/>
    </row>
    <row r="1879" customFormat="false" ht="15.65" hidden="false" customHeight="false" outlineLevel="0" collapsed="false">
      <c r="C1879" s="72" t="n">
        <f aca="false">COUNTIFS($D$6:D1879,"&lt;&gt;"&amp;"")</f>
        <v>1874</v>
      </c>
      <c r="D1879" s="73" t="s">
        <v>12</v>
      </c>
      <c r="E1879" s="76" t="str">
        <f aca="false">
IF($D1879="정상",INDEX(임대자산!$D$3:$R$3000,MATCH($F1879,임대자산!$I$3:$I$3000,0),MATCH(E$3,임대자산!$D$3:$R$3,0)),
IF($D1879="폐업",INDEX(폐업정보!$D$3:$R$3000,MATCH($F1879,폐업정보!$I$3:$I$3000,0),MATCH(E$3,폐업정보!$D$3:$R$3,0)),
"Error"))</f>
        <v>강원</v>
      </c>
      <c r="F187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B1874</v>
      </c>
      <c r="G1879" s="76" t="str">
        <f aca="false">F1879&amp;RANDBETWEEN(0,10)</f>
        <v>B18745</v>
      </c>
      <c r="H1879" s="75" t="n">
        <f aca="false">
IF($D1879="정상",INDEX(임대자산!$D$3:$R$3000,MATCH($F1879,임대자산!$I$3:$I$3000,0),MATCH(H$4,임대자산!$D$3:$R$3,0)),
IF($D1879="폐업",INDEX(폐업정보!$D$3:$R$3000,MATCH($F1879,폐업정보!$I$3:$I$3000,0),MATCH(H$4,폐업정보!$D$3:$R$3,0)),
"Error"))</f>
        <v>45957</v>
      </c>
      <c r="I1879" s="75" t="str">
        <f aca="false">
IF($D1879="정상",INDEX(임대자산!$D$3:$R$3000,MATCH($F1879,임대자산!$I$3:$I$3000,0),MATCH(I$4,임대자산!$D$3:$R$3,0)),
IF($D1879="폐업",INDEX(폐업정보!$D$3:$R$3000,MATCH($F1879,폐업정보!$I$3:$I$3000,0),MATCH(I$4,폐업정보!$D$3:$R$3,0)),
"Error"))</f>
        <v>A1874</v>
      </c>
      <c r="J1879" s="75" t="str">
        <f aca="false">
IF($D1879="정상",INDEX(임대자산!$D$3:$R$3000,MATCH($F1879,임대자산!$I$3:$I$3000,0),MATCH(J$4,임대자산!$D$3:$R$3,0)),
IF($D1879="폐업",INDEX(폐업정보!$D$3:$R$3000,MATCH($F1879,폐업정보!$I$3:$I$3000,0),MATCH(J$4,폐업정보!$D$3:$R$3,0)),
"Error"))</f>
        <v>9365600000</v>
      </c>
      <c r="K1879" s="75" t="str">
        <f aca="false">
IF($D1879="정상",INDEX(임대자산!$D$3:$R$3000,MATCH($F1879,임대자산!$I$3:$I$3000,0),MATCH(K$4,임대자산!$D$3:$R$3,0)),
IF($D1879="폐업",INDEX(폐업정보!$D$3:$R$3000,MATCH($F1879,폐업정보!$I$3:$I$3000,0),MATCH(K$4,폐업정보!$D$3:$R$3,0)),
"Error"))</f>
        <v>C1874</v>
      </c>
      <c r="L1879" s="75" t="str">
        <f aca="false">
IF($D1879="정상",INDEX(임대자산!$D$3:$R$3000,MATCH($F1879,임대자산!$I$3:$I$3000,0),MATCH(L$4,임대자산!$D$3:$R$3,0)),
IF($D1879="폐업",INDEX(폐업정보!$D$3:$R$3000,MATCH($F1879,폐업정보!$I$3:$I$3000,0),MATCH(L$4,폐업정보!$D$3:$R$3,0)),
"Error"))</f>
        <v>D1874</v>
      </c>
      <c r="M1879" s="76" t="s">
        <v>96</v>
      </c>
      <c r="N1879" s="77"/>
      <c r="O1879" s="78" t="s">
        <v>97</v>
      </c>
      <c r="P1879" s="79" t="n">
        <f aca="false">COUNTIFS(임대자산!$I:$I,가맹점정보!F1879,임대자산!$N:$N,가맹점정보!P$4)</f>
        <v>0</v>
      </c>
      <c r="Q1879" s="80" t="n">
        <f aca="false">COUNTIFS(임대자산!$I:$I,가맹점정보!F1879,임대자산!$N:$N,가맹점정보!Q$4)</f>
        <v>0</v>
      </c>
      <c r="R1879" s="81" t="n">
        <f aca="false">COUNTIFS(임대자산!$I:$I,가맹점정보!F1879,임대자산!$N:$N,가맹점정보!R$4)</f>
        <v>1</v>
      </c>
      <c r="S1879" s="82" t="n">
        <v>55000</v>
      </c>
      <c r="T1879" s="83" t="n">
        <v>0</v>
      </c>
      <c r="U1879" s="80" t="n">
        <f aca="false">SUM(S1879:T1879)</f>
        <v>55000</v>
      </c>
      <c r="V1879" s="84" t="s">
        <v>7</v>
      </c>
      <c r="W1879" s="80" t="str">
        <f aca="true">
IF(D1879="폐업","폐업",
IF(V1879="면제","면제",
IF(AND(V1879="정상",COUNTIFS(OFFSET(Y1879,0,COUNTA(Y1879:AV1879)-1,1,-4),"미납")&gt;=3),"장기미납",
IF(AND(V1879="정상",OFFSET(Y1879,0,COUNTA(Y1879:AV1879)-1)&gt;=U1879),"정상",
IF(AND(V1879="정상",OFFSET(Y1879,0,COUNTA(Y1879:AV1879)-1)=0),"정상",
"계약서 미작성")))))</f>
        <v>면제</v>
      </c>
      <c r="X1879" s="81" t="str">
        <f aca="true">
IF(D1879="폐업","폐업",
IF(AND(V1879="정상",OFFSET(Y1879,0,COUNTA(Y1879:AV1879)-1)="미납"),"미납",
IF(AND(V1879="정상",OFFSET(Y1879,0,COUNTA(Y1879:AV1879)-1)=0),"납부 시작 전",
IF(AND(V1879="정상",OFFSET(Y1879,0,COUNTA(Y1879:AV1879)-1)&gt;=U1879),"정상",
IF(AND(V1879="면제",OFFSET(Y1879,0,COUNTA(Y1879:AV1879)-1)="면제"),"면제",
IF(AND(V1879="면제",OFFSET(Y1879,0,COUNTA(Y1879:AV1879)-1)=0),"면제",
"확인요청"))))))</f>
        <v>면제</v>
      </c>
      <c r="Y1879" s="94" t="s">
        <v>7</v>
      </c>
      <c r="Z1879" s="95" t="s">
        <v>7</v>
      </c>
      <c r="AA1879" s="95" t="s">
        <v>7</v>
      </c>
      <c r="AB1879" s="95" t="s">
        <v>7</v>
      </c>
      <c r="AC1879" s="95" t="s">
        <v>7</v>
      </c>
      <c r="AD1879" s="95" t="s">
        <v>7</v>
      </c>
      <c r="AE1879" s="95" t="s">
        <v>7</v>
      </c>
      <c r="AF1879" s="95" t="s">
        <v>7</v>
      </c>
      <c r="AG1879" s="95" t="s">
        <v>7</v>
      </c>
      <c r="AH1879" s="95" t="s">
        <v>7</v>
      </c>
      <c r="AI1879" s="95" t="s">
        <v>7</v>
      </c>
      <c r="AJ1879" s="96" t="s">
        <v>7</v>
      </c>
      <c r="AK1879" s="97" t="s">
        <v>7</v>
      </c>
      <c r="AL1879" s="95" t="s">
        <v>7</v>
      </c>
      <c r="AM1879" s="90"/>
      <c r="AN1879" s="90"/>
      <c r="AO1879" s="90"/>
      <c r="AP1879" s="90"/>
      <c r="AQ1879" s="90"/>
      <c r="AR1879" s="90"/>
      <c r="AS1879" s="90"/>
      <c r="AT1879" s="90"/>
      <c r="AU1879" s="90"/>
      <c r="AV1879" s="91"/>
      <c r="AX1879" s="92"/>
    </row>
    <row r="1880" customFormat="false" ht="15.65" hidden="false" customHeight="false" outlineLevel="0" collapsed="false">
      <c r="C1880" s="72" t="n">
        <f aca="false">COUNTIFS($D$6:D1880,"&lt;&gt;"&amp;"")</f>
        <v>1875</v>
      </c>
      <c r="D1880" s="73" t="s">
        <v>12</v>
      </c>
      <c r="E1880" s="76" t="str">
        <f aca="false">
IF($D1880="정상",INDEX(임대자산!$D$3:$R$3000,MATCH($F1880,임대자산!$I$3:$I$3000,0),MATCH(E$3,임대자산!$D$3:$R$3,0)),
IF($D1880="폐업",INDEX(폐업정보!$D$3:$R$3000,MATCH($F1880,폐업정보!$I$3:$I$3000,0),MATCH(E$3,폐업정보!$D$3:$R$3,0)),
"Error"))</f>
        <v>전라</v>
      </c>
      <c r="F188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B1875</v>
      </c>
      <c r="G1880" s="76" t="str">
        <f aca="false">F1880&amp;RANDBETWEEN(0,10)</f>
        <v>B18754</v>
      </c>
      <c r="H1880" s="75" t="n">
        <f aca="false">
IF($D1880="정상",INDEX(임대자산!$D$3:$R$3000,MATCH($F1880,임대자산!$I$3:$I$3000,0),MATCH(H$4,임대자산!$D$3:$R$3,0)),
IF($D1880="폐업",INDEX(폐업정보!$D$3:$R$3000,MATCH($F1880,폐업정보!$I$3:$I$3000,0),MATCH(H$4,폐업정보!$D$3:$R$3,0)),
"Error"))</f>
        <v>45950</v>
      </c>
      <c r="I1880" s="75" t="str">
        <f aca="false">
IF($D1880="정상",INDEX(임대자산!$D$3:$R$3000,MATCH($F1880,임대자산!$I$3:$I$3000,0),MATCH(I$4,임대자산!$D$3:$R$3,0)),
IF($D1880="폐업",INDEX(폐업정보!$D$3:$R$3000,MATCH($F1880,폐업정보!$I$3:$I$3000,0),MATCH(I$4,폐업정보!$D$3:$R$3,0)),
"Error"))</f>
        <v>A1875</v>
      </c>
      <c r="J1880" s="75" t="str">
        <f aca="false">
IF($D1880="정상",INDEX(임대자산!$D$3:$R$3000,MATCH($F1880,임대자산!$I$3:$I$3000,0),MATCH(J$4,임대자산!$D$3:$R$3,0)),
IF($D1880="폐업",INDEX(폐업정보!$D$3:$R$3000,MATCH($F1880,폐업정보!$I$3:$I$3000,0),MATCH(J$4,폐업정보!$D$3:$R$3,0)),
"Error"))</f>
        <v>5266600000</v>
      </c>
      <c r="K1880" s="75" t="str">
        <f aca="false">
IF($D1880="정상",INDEX(임대자산!$D$3:$R$3000,MATCH($F1880,임대자산!$I$3:$I$3000,0),MATCH(K$4,임대자산!$D$3:$R$3,0)),
IF($D1880="폐업",INDEX(폐업정보!$D$3:$R$3000,MATCH($F1880,폐업정보!$I$3:$I$3000,0),MATCH(K$4,폐업정보!$D$3:$R$3,0)),
"Error"))</f>
        <v>C1875</v>
      </c>
      <c r="L1880" s="75" t="str">
        <f aca="false">
IF($D1880="정상",INDEX(임대자산!$D$3:$R$3000,MATCH($F1880,임대자산!$I$3:$I$3000,0),MATCH(L$4,임대자산!$D$3:$R$3,0)),
IF($D1880="폐업",INDEX(폐업정보!$D$3:$R$3000,MATCH($F1880,폐업정보!$I$3:$I$3000,0),MATCH(L$4,폐업정보!$D$3:$R$3,0)),
"Error"))</f>
        <v>D1875</v>
      </c>
      <c r="M1880" s="76" t="s">
        <v>96</v>
      </c>
      <c r="N1880" s="77"/>
      <c r="O1880" s="78" t="s">
        <v>97</v>
      </c>
      <c r="P1880" s="79" t="n">
        <f aca="false">COUNTIFS(임대자산!$I:$I,가맹점정보!F1880,임대자산!$N:$N,가맹점정보!P$4)</f>
        <v>0</v>
      </c>
      <c r="Q1880" s="80" t="n">
        <f aca="false">COUNTIFS(임대자산!$I:$I,가맹점정보!F1880,임대자산!$N:$N,가맹점정보!Q$4)</f>
        <v>0</v>
      </c>
      <c r="R1880" s="81" t="n">
        <f aca="false">COUNTIFS(임대자산!$I:$I,가맹점정보!F1880,임대자산!$N:$N,가맹점정보!R$4)</f>
        <v>1</v>
      </c>
      <c r="S1880" s="82" t="n">
        <v>55000</v>
      </c>
      <c r="T1880" s="83" t="n">
        <v>0</v>
      </c>
      <c r="U1880" s="80" t="n">
        <f aca="false">SUM(S1880:T1880)</f>
        <v>55000</v>
      </c>
      <c r="V1880" s="84" t="s">
        <v>12</v>
      </c>
      <c r="W1880" s="80" t="e">
        <f aca="true">
IF(D1880="폐업","폐업",
IF(V1880="면제","면제",
IF(AND(V1880="정상",COUNTIFS(OFFSET(Y1880,0,COUNTA(Y1880:AV1880)-1,1,-4),"미납")&gt;=3),"장기미납",
IF(AND(V1880="정상",OFFSET(Y1880,0,COUNTA(Y1880:AV1880)-1)&gt;=U1880),"정상",
IF(AND(V1880="정상",OFFSET(Y1880,0,COUNTA(Y1880:AV1880)-1)=0),"정상",
"계약서 미작성")))))</f>
        <v>#VALUE!</v>
      </c>
      <c r="X1880" s="81" t="str">
        <f aca="true">
IF(D1880="폐업","폐업",
IF(AND(V1880="정상",OFFSET(Y1880,0,COUNTA(Y1880:AV1880)-1)="미납"),"미납",
IF(AND(V1880="정상",OFFSET(Y1880,0,COUNTA(Y1880:AV1880)-1)=0),"납부 시작 전",
IF(AND(V1880="정상",OFFSET(Y1880,0,COUNTA(Y1880:AV1880)-1)&gt;=U1880),"정상",
IF(AND(V1880="면제",OFFSET(Y1880,0,COUNTA(Y1880:AV1880)-1)="면제"),"면제",
IF(AND(V1880="면제",OFFSET(Y1880,0,COUNTA(Y1880:AV1880)-1)=0),"면제",
"확인요청"))))))</f>
        <v>정상</v>
      </c>
      <c r="Y1880" s="93" t="n">
        <v>0</v>
      </c>
      <c r="Z1880" s="90" t="n">
        <v>0</v>
      </c>
      <c r="AA1880" s="90" t="n">
        <v>55000</v>
      </c>
      <c r="AB1880" s="90" t="n">
        <v>55000</v>
      </c>
      <c r="AC1880" s="90" t="n">
        <v>55000</v>
      </c>
      <c r="AD1880" s="90" t="n">
        <v>55000</v>
      </c>
      <c r="AE1880" s="90" t="n">
        <v>55000</v>
      </c>
      <c r="AF1880" s="90" t="n">
        <v>55000</v>
      </c>
      <c r="AG1880" s="90" t="n">
        <v>55000</v>
      </c>
      <c r="AH1880" s="90" t="n">
        <v>55000</v>
      </c>
      <c r="AI1880" s="90" t="n">
        <v>55000</v>
      </c>
      <c r="AJ1880" s="91" t="n">
        <v>55000</v>
      </c>
      <c r="AK1880" s="89" t="n">
        <v>55000</v>
      </c>
      <c r="AL1880" s="90" t="n">
        <v>55000</v>
      </c>
      <c r="AM1880" s="90"/>
      <c r="AN1880" s="90"/>
      <c r="AO1880" s="90"/>
      <c r="AP1880" s="90"/>
      <c r="AQ1880" s="90"/>
      <c r="AR1880" s="90"/>
      <c r="AS1880" s="90"/>
      <c r="AT1880" s="90"/>
      <c r="AU1880" s="90"/>
      <c r="AV1880" s="91"/>
      <c r="AX1880" s="92"/>
    </row>
    <row r="1881" customFormat="false" ht="15.65" hidden="false" customHeight="false" outlineLevel="0" collapsed="false">
      <c r="C1881" s="72" t="n">
        <f aca="false">COUNTIFS($D$6:D1881,"&lt;&gt;"&amp;"")</f>
        <v>1876</v>
      </c>
      <c r="D1881" s="73" t="s">
        <v>12</v>
      </c>
      <c r="E1881" s="76" t="str">
        <f aca="false">
IF($D1881="정상",INDEX(임대자산!$D$3:$R$3000,MATCH($F1881,임대자산!$I$3:$I$3000,0),MATCH(E$3,임대자산!$D$3:$R$3,0)),
IF($D1881="폐업",INDEX(폐업정보!$D$3:$R$3000,MATCH($F1881,폐업정보!$I$3:$I$3000,0),MATCH(E$3,폐업정보!$D$3:$R$3,0)),
"Error"))</f>
        <v>전라</v>
      </c>
      <c r="F188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B1876</v>
      </c>
      <c r="G1881" s="76" t="str">
        <f aca="false">F1881&amp;RANDBETWEEN(0,10)</f>
        <v>B187610</v>
      </c>
      <c r="H1881" s="75" t="n">
        <f aca="false">
IF($D1881="정상",INDEX(임대자산!$D$3:$R$3000,MATCH($F1881,임대자산!$I$3:$I$3000,0),MATCH(H$4,임대자산!$D$3:$R$3,0)),
IF($D1881="폐업",INDEX(폐업정보!$D$3:$R$3000,MATCH($F1881,폐업정보!$I$3:$I$3000,0),MATCH(H$4,폐업정보!$D$3:$R$3,0)),
"Error"))</f>
        <v>45950</v>
      </c>
      <c r="I1881" s="75" t="str">
        <f aca="false">
IF($D1881="정상",INDEX(임대자산!$D$3:$R$3000,MATCH($F1881,임대자산!$I$3:$I$3000,0),MATCH(I$4,임대자산!$D$3:$R$3,0)),
IF($D1881="폐업",INDEX(폐업정보!$D$3:$R$3000,MATCH($F1881,폐업정보!$I$3:$I$3000,0),MATCH(I$4,폐업정보!$D$3:$R$3,0)),
"Error"))</f>
        <v>A1876</v>
      </c>
      <c r="J1881" s="75" t="str">
        <f aca="false">
IF($D1881="정상",INDEX(임대자산!$D$3:$R$3000,MATCH($F1881,임대자산!$I$3:$I$3000,0),MATCH(J$4,임대자산!$D$3:$R$3,0)),
IF($D1881="폐업",INDEX(폐업정보!$D$3:$R$3000,MATCH($F1881,폐업정보!$I$3:$I$3000,0),MATCH(J$4,폐업정보!$D$3:$R$3,0)),
"Error"))</f>
        <v>2822700000</v>
      </c>
      <c r="K1881" s="75" t="str">
        <f aca="false">
IF($D1881="정상",INDEX(임대자산!$D$3:$R$3000,MATCH($F1881,임대자산!$I$3:$I$3000,0),MATCH(K$4,임대자산!$D$3:$R$3,0)),
IF($D1881="폐업",INDEX(폐업정보!$D$3:$R$3000,MATCH($F1881,폐업정보!$I$3:$I$3000,0),MATCH(K$4,폐업정보!$D$3:$R$3,0)),
"Error"))</f>
        <v>C1876</v>
      </c>
      <c r="L1881" s="75" t="str">
        <f aca="false">
IF($D1881="정상",INDEX(임대자산!$D$3:$R$3000,MATCH($F1881,임대자산!$I$3:$I$3000,0),MATCH(L$4,임대자산!$D$3:$R$3,0)),
IF($D1881="폐업",INDEX(폐업정보!$D$3:$R$3000,MATCH($F1881,폐업정보!$I$3:$I$3000,0),MATCH(L$4,폐업정보!$D$3:$R$3,0)),
"Error"))</f>
        <v>D1876</v>
      </c>
      <c r="M1881" s="76" t="s">
        <v>96</v>
      </c>
      <c r="N1881" s="77"/>
      <c r="O1881" s="78" t="s">
        <v>97</v>
      </c>
      <c r="P1881" s="79" t="n">
        <f aca="false">COUNTIFS(임대자산!$I:$I,가맹점정보!F1881,임대자산!$N:$N,가맹점정보!P$4)</f>
        <v>0</v>
      </c>
      <c r="Q1881" s="80" t="n">
        <f aca="false">COUNTIFS(임대자산!$I:$I,가맹점정보!F1881,임대자산!$N:$N,가맹점정보!Q$4)</f>
        <v>0</v>
      </c>
      <c r="R1881" s="81" t="n">
        <f aca="false">COUNTIFS(임대자산!$I:$I,가맹점정보!F1881,임대자산!$N:$N,가맹점정보!R$4)</f>
        <v>1</v>
      </c>
      <c r="S1881" s="82" t="n">
        <v>88000</v>
      </c>
      <c r="T1881" s="83" t="n">
        <v>0</v>
      </c>
      <c r="U1881" s="80" t="n">
        <f aca="false">SUM(S1881:T1881)</f>
        <v>88000</v>
      </c>
      <c r="V1881" s="84" t="s">
        <v>7</v>
      </c>
      <c r="W1881" s="80" t="str">
        <f aca="true">
IF(D1881="폐업","폐업",
IF(V1881="면제","면제",
IF(AND(V1881="정상",COUNTIFS(OFFSET(Y1881,0,COUNTA(Y1881:AV1881)-1,1,-4),"미납")&gt;=3),"장기미납",
IF(AND(V1881="정상",OFFSET(Y1881,0,COUNTA(Y1881:AV1881)-1)&gt;=U1881),"정상",
IF(AND(V1881="정상",OFFSET(Y1881,0,COUNTA(Y1881:AV1881)-1)=0),"정상",
"계약서 미작성")))))</f>
        <v>면제</v>
      </c>
      <c r="X1881" s="81" t="str">
        <f aca="true">
IF(D1881="폐업","폐업",
IF(AND(V1881="정상",OFFSET(Y1881,0,COUNTA(Y1881:AV1881)-1)="미납"),"미납",
IF(AND(V1881="정상",OFFSET(Y1881,0,COUNTA(Y1881:AV1881)-1)=0),"납부 시작 전",
IF(AND(V1881="정상",OFFSET(Y1881,0,COUNTA(Y1881:AV1881)-1)&gt;=U1881),"정상",
IF(AND(V1881="면제",OFFSET(Y1881,0,COUNTA(Y1881:AV1881)-1)="면제"),"면제",
IF(AND(V1881="면제",OFFSET(Y1881,0,COUNTA(Y1881:AV1881)-1)=0),"면제",
"확인요청"))))))</f>
        <v>면제</v>
      </c>
      <c r="Y1881" s="94" t="s">
        <v>7</v>
      </c>
      <c r="Z1881" s="95" t="s">
        <v>7</v>
      </c>
      <c r="AA1881" s="95" t="s">
        <v>7</v>
      </c>
      <c r="AB1881" s="95" t="s">
        <v>7</v>
      </c>
      <c r="AC1881" s="95" t="s">
        <v>7</v>
      </c>
      <c r="AD1881" s="95" t="s">
        <v>7</v>
      </c>
      <c r="AE1881" s="95" t="s">
        <v>7</v>
      </c>
      <c r="AF1881" s="95" t="s">
        <v>7</v>
      </c>
      <c r="AG1881" s="95" t="s">
        <v>7</v>
      </c>
      <c r="AH1881" s="95" t="s">
        <v>7</v>
      </c>
      <c r="AI1881" s="95" t="s">
        <v>7</v>
      </c>
      <c r="AJ1881" s="96" t="s">
        <v>7</v>
      </c>
      <c r="AK1881" s="97" t="s">
        <v>7</v>
      </c>
      <c r="AL1881" s="95" t="s">
        <v>7</v>
      </c>
      <c r="AM1881" s="90"/>
      <c r="AN1881" s="90"/>
      <c r="AO1881" s="90"/>
      <c r="AP1881" s="90"/>
      <c r="AQ1881" s="90"/>
      <c r="AR1881" s="90"/>
      <c r="AS1881" s="90"/>
      <c r="AT1881" s="90"/>
      <c r="AU1881" s="90"/>
      <c r="AV1881" s="91"/>
      <c r="AX1881" s="92"/>
    </row>
    <row r="1882" customFormat="false" ht="15.65" hidden="false" customHeight="false" outlineLevel="0" collapsed="false">
      <c r="C1882" s="72" t="n">
        <f aca="false">COUNTIFS($D$6:D1882,"&lt;&gt;"&amp;"")</f>
        <v>1877</v>
      </c>
      <c r="D1882" s="73" t="s">
        <v>12</v>
      </c>
      <c r="E1882" s="76" t="str">
        <f aca="false">
IF($D1882="정상",INDEX(임대자산!$D$3:$R$3000,MATCH($F1882,임대자산!$I$3:$I$3000,0),MATCH(E$3,임대자산!$D$3:$R$3,0)),
IF($D1882="폐업",INDEX(폐업정보!$D$3:$R$3000,MATCH($F1882,폐업정보!$I$3:$I$3000,0),MATCH(E$3,폐업정보!$D$3:$R$3,0)),
"Error"))</f>
        <v>강원</v>
      </c>
      <c r="F188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B1877</v>
      </c>
      <c r="G1882" s="76" t="str">
        <f aca="false">F1882&amp;RANDBETWEEN(0,10)</f>
        <v>B187710</v>
      </c>
      <c r="H1882" s="75" t="n">
        <f aca="false">
IF($D1882="정상",INDEX(임대자산!$D$3:$R$3000,MATCH($F1882,임대자산!$I$3:$I$3000,0),MATCH(H$4,임대자산!$D$3:$R$3,0)),
IF($D1882="폐업",INDEX(폐업정보!$D$3:$R$3000,MATCH($F1882,폐업정보!$I$3:$I$3000,0),MATCH(H$4,폐업정보!$D$3:$R$3,0)),
"Error"))</f>
        <v>45954</v>
      </c>
      <c r="I1882" s="75" t="str">
        <f aca="false">
IF($D1882="정상",INDEX(임대자산!$D$3:$R$3000,MATCH($F1882,임대자산!$I$3:$I$3000,0),MATCH(I$4,임대자산!$D$3:$R$3,0)),
IF($D1882="폐업",INDEX(폐업정보!$D$3:$R$3000,MATCH($F1882,폐업정보!$I$3:$I$3000,0),MATCH(I$4,폐업정보!$D$3:$R$3,0)),
"Error"))</f>
        <v>A1877</v>
      </c>
      <c r="J1882" s="75" t="str">
        <f aca="false">
IF($D1882="정상",INDEX(임대자산!$D$3:$R$3000,MATCH($F1882,임대자산!$I$3:$I$3000,0),MATCH(J$4,임대자산!$D$3:$R$3,0)),
IF($D1882="폐업",INDEX(폐업정보!$D$3:$R$3000,MATCH($F1882,폐업정보!$I$3:$I$3000,0),MATCH(J$4,폐업정보!$D$3:$R$3,0)),
"Error"))</f>
        <v>2855100000</v>
      </c>
      <c r="K1882" s="75" t="str">
        <f aca="false">
IF($D1882="정상",INDEX(임대자산!$D$3:$R$3000,MATCH($F1882,임대자산!$I$3:$I$3000,0),MATCH(K$4,임대자산!$D$3:$R$3,0)),
IF($D1882="폐업",INDEX(폐업정보!$D$3:$R$3000,MATCH($F1882,폐업정보!$I$3:$I$3000,0),MATCH(K$4,폐업정보!$D$3:$R$3,0)),
"Error"))</f>
        <v>C1877</v>
      </c>
      <c r="L1882" s="75" t="str">
        <f aca="false">
IF($D1882="정상",INDEX(임대자산!$D$3:$R$3000,MATCH($F1882,임대자산!$I$3:$I$3000,0),MATCH(L$4,임대자산!$D$3:$R$3,0)),
IF($D1882="폐업",INDEX(폐업정보!$D$3:$R$3000,MATCH($F1882,폐업정보!$I$3:$I$3000,0),MATCH(L$4,폐업정보!$D$3:$R$3,0)),
"Error"))</f>
        <v>D1877</v>
      </c>
      <c r="M1882" s="76" t="s">
        <v>96</v>
      </c>
      <c r="N1882" s="77"/>
      <c r="O1882" s="78" t="s">
        <v>97</v>
      </c>
      <c r="P1882" s="79" t="n">
        <f aca="false">COUNTIFS(임대자산!$I:$I,가맹점정보!F1882,임대자산!$N:$N,가맹점정보!P$4)</f>
        <v>0</v>
      </c>
      <c r="Q1882" s="80" t="n">
        <f aca="false">COUNTIFS(임대자산!$I:$I,가맹점정보!F1882,임대자산!$N:$N,가맹점정보!Q$4)</f>
        <v>0</v>
      </c>
      <c r="R1882" s="81" t="n">
        <f aca="false">COUNTIFS(임대자산!$I:$I,가맹점정보!F1882,임대자산!$N:$N,가맹점정보!R$4)</f>
        <v>1</v>
      </c>
      <c r="S1882" s="82" t="n">
        <v>55000</v>
      </c>
      <c r="T1882" s="83" t="n">
        <v>0</v>
      </c>
      <c r="U1882" s="80" t="n">
        <f aca="false">SUM(S1882:T1882)</f>
        <v>55000</v>
      </c>
      <c r="V1882" s="84" t="s">
        <v>7</v>
      </c>
      <c r="W1882" s="80" t="str">
        <f aca="true">
IF(D1882="폐업","폐업",
IF(V1882="면제","면제",
IF(AND(V1882="정상",COUNTIFS(OFFSET(Y1882,0,COUNTA(Y1882:AV1882)-1,1,-4),"미납")&gt;=3),"장기미납",
IF(AND(V1882="정상",OFFSET(Y1882,0,COUNTA(Y1882:AV1882)-1)&gt;=U1882),"정상",
IF(AND(V1882="정상",OFFSET(Y1882,0,COUNTA(Y1882:AV1882)-1)=0),"정상",
"계약서 미작성")))))</f>
        <v>면제</v>
      </c>
      <c r="X1882" s="81" t="str">
        <f aca="true">
IF(D1882="폐업","폐업",
IF(AND(V1882="정상",OFFSET(Y1882,0,COUNTA(Y1882:AV1882)-1)="미납"),"미납",
IF(AND(V1882="정상",OFFSET(Y1882,0,COUNTA(Y1882:AV1882)-1)=0),"납부 시작 전",
IF(AND(V1882="정상",OFFSET(Y1882,0,COUNTA(Y1882:AV1882)-1)&gt;=U1882),"정상",
IF(AND(V1882="면제",OFFSET(Y1882,0,COUNTA(Y1882:AV1882)-1)="면제"),"면제",
IF(AND(V1882="면제",OFFSET(Y1882,0,COUNTA(Y1882:AV1882)-1)=0),"면제",
"확인요청"))))))</f>
        <v>면제</v>
      </c>
      <c r="Y1882" s="94" t="s">
        <v>7</v>
      </c>
      <c r="Z1882" s="95" t="s">
        <v>7</v>
      </c>
      <c r="AA1882" s="95" t="s">
        <v>7</v>
      </c>
      <c r="AB1882" s="95" t="s">
        <v>7</v>
      </c>
      <c r="AC1882" s="95" t="s">
        <v>7</v>
      </c>
      <c r="AD1882" s="95" t="s">
        <v>7</v>
      </c>
      <c r="AE1882" s="95" t="s">
        <v>7</v>
      </c>
      <c r="AF1882" s="95" t="s">
        <v>7</v>
      </c>
      <c r="AG1882" s="95" t="s">
        <v>7</v>
      </c>
      <c r="AH1882" s="95" t="s">
        <v>7</v>
      </c>
      <c r="AI1882" s="95" t="s">
        <v>7</v>
      </c>
      <c r="AJ1882" s="96" t="s">
        <v>7</v>
      </c>
      <c r="AK1882" s="97" t="s">
        <v>7</v>
      </c>
      <c r="AL1882" s="95" t="s">
        <v>7</v>
      </c>
      <c r="AM1882" s="90"/>
      <c r="AN1882" s="90"/>
      <c r="AO1882" s="90"/>
      <c r="AP1882" s="90"/>
      <c r="AQ1882" s="90"/>
      <c r="AR1882" s="90"/>
      <c r="AS1882" s="90"/>
      <c r="AT1882" s="90"/>
      <c r="AU1882" s="90"/>
      <c r="AV1882" s="91"/>
      <c r="AX1882" s="92"/>
    </row>
    <row r="1883" customFormat="false" ht="15.65" hidden="false" customHeight="false" outlineLevel="0" collapsed="false">
      <c r="C1883" s="72" t="n">
        <f aca="false">COUNTIFS($D$6:D1883,"&lt;&gt;"&amp;"")</f>
        <v>1878</v>
      </c>
      <c r="D1883" s="73" t="s">
        <v>12</v>
      </c>
      <c r="E1883" s="76" t="str">
        <f aca="false">
IF($D1883="정상",INDEX(임대자산!$D$3:$R$3000,MATCH($F1883,임대자산!$I$3:$I$3000,0),MATCH(E$3,임대자산!$D$3:$R$3,0)),
IF($D1883="폐업",INDEX(폐업정보!$D$3:$R$3000,MATCH($F1883,폐업정보!$I$3:$I$3000,0),MATCH(E$3,폐업정보!$D$3:$R$3,0)),
"Error"))</f>
        <v>강원</v>
      </c>
      <c r="F188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B1878</v>
      </c>
      <c r="G1883" s="76" t="str">
        <f aca="false">F1883&amp;RANDBETWEEN(0,10)</f>
        <v>B18780</v>
      </c>
      <c r="H1883" s="75" t="n">
        <f aca="false">
IF($D1883="정상",INDEX(임대자산!$D$3:$R$3000,MATCH($F1883,임대자산!$I$3:$I$3000,0),MATCH(H$4,임대자산!$D$3:$R$3,0)),
IF($D1883="폐업",INDEX(폐업정보!$D$3:$R$3000,MATCH($F1883,폐업정보!$I$3:$I$3000,0),MATCH(H$4,폐업정보!$D$3:$R$3,0)),
"Error"))</f>
        <v>45953</v>
      </c>
      <c r="I1883" s="75" t="str">
        <f aca="false">
IF($D1883="정상",INDEX(임대자산!$D$3:$R$3000,MATCH($F1883,임대자산!$I$3:$I$3000,0),MATCH(I$4,임대자산!$D$3:$R$3,0)),
IF($D1883="폐업",INDEX(폐업정보!$D$3:$R$3000,MATCH($F1883,폐업정보!$I$3:$I$3000,0),MATCH(I$4,폐업정보!$D$3:$R$3,0)),
"Error"))</f>
        <v>A1878</v>
      </c>
      <c r="J1883" s="75" t="str">
        <f aca="false">
IF($D1883="정상",INDEX(임대자산!$D$3:$R$3000,MATCH($F1883,임대자산!$I$3:$I$3000,0),MATCH(J$4,임대자산!$D$3:$R$3,0)),
IF($D1883="폐업",INDEX(폐업정보!$D$3:$R$3000,MATCH($F1883,폐업정보!$I$3:$I$3000,0),MATCH(J$4,폐업정보!$D$3:$R$3,0)),
"Error"))</f>
        <v>7980400000</v>
      </c>
      <c r="K1883" s="75" t="str">
        <f aca="false">
IF($D1883="정상",INDEX(임대자산!$D$3:$R$3000,MATCH($F1883,임대자산!$I$3:$I$3000,0),MATCH(K$4,임대자산!$D$3:$R$3,0)),
IF($D1883="폐업",INDEX(폐업정보!$D$3:$R$3000,MATCH($F1883,폐업정보!$I$3:$I$3000,0),MATCH(K$4,폐업정보!$D$3:$R$3,0)),
"Error"))</f>
        <v>C1878</v>
      </c>
      <c r="L1883" s="75" t="str">
        <f aca="false">
IF($D1883="정상",INDEX(임대자산!$D$3:$R$3000,MATCH($F1883,임대자산!$I$3:$I$3000,0),MATCH(L$4,임대자산!$D$3:$R$3,0)),
IF($D1883="폐업",INDEX(폐업정보!$D$3:$R$3000,MATCH($F1883,폐업정보!$I$3:$I$3000,0),MATCH(L$4,폐업정보!$D$3:$R$3,0)),
"Error"))</f>
        <v>D1878</v>
      </c>
      <c r="M1883" s="76" t="s">
        <v>96</v>
      </c>
      <c r="N1883" s="77"/>
      <c r="O1883" s="78" t="s">
        <v>97</v>
      </c>
      <c r="P1883" s="79" t="n">
        <f aca="false">COUNTIFS(임대자산!$I:$I,가맹점정보!F1883,임대자산!$N:$N,가맹점정보!P$4)</f>
        <v>0</v>
      </c>
      <c r="Q1883" s="80" t="n">
        <f aca="false">COUNTIFS(임대자산!$I:$I,가맹점정보!F1883,임대자산!$N:$N,가맹점정보!Q$4)</f>
        <v>0</v>
      </c>
      <c r="R1883" s="81" t="n">
        <f aca="false">COUNTIFS(임대자산!$I:$I,가맹점정보!F1883,임대자산!$N:$N,가맹점정보!R$4)</f>
        <v>1</v>
      </c>
      <c r="S1883" s="82" t="n">
        <v>88000</v>
      </c>
      <c r="T1883" s="83" t="n">
        <v>0</v>
      </c>
      <c r="U1883" s="80" t="n">
        <f aca="false">SUM(S1883:T1883)</f>
        <v>88000</v>
      </c>
      <c r="V1883" s="84" t="s">
        <v>7</v>
      </c>
      <c r="W1883" s="80" t="str">
        <f aca="true">
IF(D1883="폐업","폐업",
IF(V1883="면제","면제",
IF(AND(V1883="정상",COUNTIFS(OFFSET(Y1883,0,COUNTA(Y1883:AV1883)-1,1,-4),"미납")&gt;=3),"장기미납",
IF(AND(V1883="정상",OFFSET(Y1883,0,COUNTA(Y1883:AV1883)-1)&gt;=U1883),"정상",
IF(AND(V1883="정상",OFFSET(Y1883,0,COUNTA(Y1883:AV1883)-1)=0),"정상",
"계약서 미작성")))))</f>
        <v>면제</v>
      </c>
      <c r="X1883" s="81" t="str">
        <f aca="true">
IF(D1883="폐업","폐업",
IF(AND(V1883="정상",OFFSET(Y1883,0,COUNTA(Y1883:AV1883)-1)="미납"),"미납",
IF(AND(V1883="정상",OFFSET(Y1883,0,COUNTA(Y1883:AV1883)-1)=0),"납부 시작 전",
IF(AND(V1883="정상",OFFSET(Y1883,0,COUNTA(Y1883:AV1883)-1)&gt;=U1883),"정상",
IF(AND(V1883="면제",OFFSET(Y1883,0,COUNTA(Y1883:AV1883)-1)="면제"),"면제",
IF(AND(V1883="면제",OFFSET(Y1883,0,COUNTA(Y1883:AV1883)-1)=0),"면제",
"확인요청"))))))</f>
        <v>면제</v>
      </c>
      <c r="Y1883" s="94" t="s">
        <v>7</v>
      </c>
      <c r="Z1883" s="95" t="s">
        <v>7</v>
      </c>
      <c r="AA1883" s="95" t="s">
        <v>7</v>
      </c>
      <c r="AB1883" s="95" t="s">
        <v>7</v>
      </c>
      <c r="AC1883" s="95" t="s">
        <v>7</v>
      </c>
      <c r="AD1883" s="95" t="s">
        <v>7</v>
      </c>
      <c r="AE1883" s="95" t="s">
        <v>7</v>
      </c>
      <c r="AF1883" s="95" t="s">
        <v>7</v>
      </c>
      <c r="AG1883" s="95" t="s">
        <v>7</v>
      </c>
      <c r="AH1883" s="95" t="s">
        <v>7</v>
      </c>
      <c r="AI1883" s="95" t="s">
        <v>7</v>
      </c>
      <c r="AJ1883" s="96" t="s">
        <v>7</v>
      </c>
      <c r="AK1883" s="97" t="s">
        <v>7</v>
      </c>
      <c r="AL1883" s="95" t="s">
        <v>7</v>
      </c>
      <c r="AM1883" s="90"/>
      <c r="AN1883" s="90"/>
      <c r="AO1883" s="90"/>
      <c r="AP1883" s="90"/>
      <c r="AQ1883" s="90"/>
      <c r="AR1883" s="90"/>
      <c r="AS1883" s="90"/>
      <c r="AT1883" s="90"/>
      <c r="AU1883" s="90"/>
      <c r="AV1883" s="91"/>
      <c r="AX1883" s="92"/>
    </row>
    <row r="1884" customFormat="false" ht="15.65" hidden="false" customHeight="false" outlineLevel="0" collapsed="false">
      <c r="C1884" s="72" t="n">
        <f aca="false">COUNTIFS($D$6:D1884,"&lt;&gt;"&amp;"")</f>
        <v>1879</v>
      </c>
      <c r="D1884" s="73" t="s">
        <v>12</v>
      </c>
      <c r="E1884" s="76" t="str">
        <f aca="false">
IF($D1884="정상",INDEX(임대자산!$D$3:$R$3000,MATCH($F1884,임대자산!$I$3:$I$3000,0),MATCH(E$3,임대자산!$D$3:$R$3,0)),
IF($D1884="폐업",INDEX(폐업정보!$D$3:$R$3000,MATCH($F1884,폐업정보!$I$3:$I$3000,0),MATCH(E$3,폐업정보!$D$3:$R$3,0)),
"Error"))</f>
        <v>서울</v>
      </c>
      <c r="F188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B1879</v>
      </c>
      <c r="G1884" s="76" t="str">
        <f aca="false">F1884&amp;RANDBETWEEN(0,10)</f>
        <v>B18790</v>
      </c>
      <c r="H1884" s="75" t="n">
        <f aca="false">
IF($D1884="정상",INDEX(임대자산!$D$3:$R$3000,MATCH($F1884,임대자산!$I$3:$I$3000,0),MATCH(H$4,임대자산!$D$3:$R$3,0)),
IF($D1884="폐업",INDEX(폐업정보!$D$3:$R$3000,MATCH($F1884,폐업정보!$I$3:$I$3000,0),MATCH(H$4,폐업정보!$D$3:$R$3,0)),
"Error"))</f>
        <v>46055</v>
      </c>
      <c r="I1884" s="75" t="str">
        <f aca="false">
IF($D1884="정상",INDEX(임대자산!$D$3:$R$3000,MATCH($F1884,임대자산!$I$3:$I$3000,0),MATCH(I$4,임대자산!$D$3:$R$3,0)),
IF($D1884="폐업",INDEX(폐업정보!$D$3:$R$3000,MATCH($F1884,폐업정보!$I$3:$I$3000,0),MATCH(I$4,폐업정보!$D$3:$R$3,0)),
"Error"))</f>
        <v>A1879</v>
      </c>
      <c r="J1884" s="75" t="str">
        <f aca="false">
IF($D1884="정상",INDEX(임대자산!$D$3:$R$3000,MATCH($F1884,임대자산!$I$3:$I$3000,0),MATCH(J$4,임대자산!$D$3:$R$3,0)),
IF($D1884="폐업",INDEX(폐업정보!$D$3:$R$3000,MATCH($F1884,폐업정보!$I$3:$I$3000,0),MATCH(J$4,폐업정보!$D$3:$R$3,0)),
"Error"))</f>
        <v>8623700000</v>
      </c>
      <c r="K1884" s="75" t="str">
        <f aca="false">
IF($D1884="정상",INDEX(임대자산!$D$3:$R$3000,MATCH($F1884,임대자산!$I$3:$I$3000,0),MATCH(K$4,임대자산!$D$3:$R$3,0)),
IF($D1884="폐업",INDEX(폐업정보!$D$3:$R$3000,MATCH($F1884,폐업정보!$I$3:$I$3000,0),MATCH(K$4,폐업정보!$D$3:$R$3,0)),
"Error"))</f>
        <v>C1879</v>
      </c>
      <c r="L1884" s="75" t="str">
        <f aca="false">
IF($D1884="정상",INDEX(임대자산!$D$3:$R$3000,MATCH($F1884,임대자산!$I$3:$I$3000,0),MATCH(L$4,임대자산!$D$3:$R$3,0)),
IF($D1884="폐업",INDEX(폐업정보!$D$3:$R$3000,MATCH($F1884,폐업정보!$I$3:$I$3000,0),MATCH(L$4,폐업정보!$D$3:$R$3,0)),
"Error"))</f>
        <v>D1879</v>
      </c>
      <c r="M1884" s="76" t="s">
        <v>96</v>
      </c>
      <c r="N1884" s="77"/>
      <c r="O1884" s="78" t="s">
        <v>97</v>
      </c>
      <c r="P1884" s="79" t="n">
        <f aca="false">COUNTIFS(임대자산!$I:$I,가맹점정보!F1884,임대자산!$N:$N,가맹점정보!P$4)</f>
        <v>0</v>
      </c>
      <c r="Q1884" s="80" t="n">
        <f aca="false">COUNTIFS(임대자산!$I:$I,가맹점정보!F1884,임대자산!$N:$N,가맹점정보!Q$4)</f>
        <v>0</v>
      </c>
      <c r="R1884" s="81" t="n">
        <f aca="false">COUNTIFS(임대자산!$I:$I,가맹점정보!F1884,임대자산!$N:$N,가맹점정보!R$4)</f>
        <v>1</v>
      </c>
      <c r="S1884" s="82" t="n">
        <v>88000</v>
      </c>
      <c r="T1884" s="83" t="n">
        <v>0</v>
      </c>
      <c r="U1884" s="80" t="n">
        <f aca="false">SUM(S1884:T1884)</f>
        <v>88000</v>
      </c>
      <c r="V1884" s="84" t="s">
        <v>7</v>
      </c>
      <c r="W1884" s="80" t="str">
        <f aca="true">
IF(D1884="폐업","폐업",
IF(V1884="면제","면제",
IF(AND(V1884="정상",COUNTIFS(OFFSET(Y1884,0,COUNTA(Y1884:AV1884)-1,1,-4),"미납")&gt;=3),"장기미납",
IF(AND(V1884="정상",OFFSET(Y1884,0,COUNTA(Y1884:AV1884)-1)&gt;=U1884),"정상",
IF(AND(V1884="정상",OFFSET(Y1884,0,COUNTA(Y1884:AV1884)-1)=0),"정상",
"계약서 미작성")))))</f>
        <v>면제</v>
      </c>
      <c r="X1884" s="81" t="str">
        <f aca="true">
IF(D1884="폐업","폐업",
IF(AND(V1884="정상",OFFSET(Y1884,0,COUNTA(Y1884:AV1884)-1)="미납"),"미납",
IF(AND(V1884="정상",OFFSET(Y1884,0,COUNTA(Y1884:AV1884)-1)=0),"납부 시작 전",
IF(AND(V1884="정상",OFFSET(Y1884,0,COUNTA(Y1884:AV1884)-1)&gt;=U1884),"정상",
IF(AND(V1884="면제",OFFSET(Y1884,0,COUNTA(Y1884:AV1884)-1)="면제"),"면제",
IF(AND(V1884="면제",OFFSET(Y1884,0,COUNTA(Y1884:AV1884)-1)=0),"면제",
"확인요청"))))))</f>
        <v>면제</v>
      </c>
      <c r="Y1884" s="94" t="s">
        <v>7</v>
      </c>
      <c r="Z1884" s="95" t="s">
        <v>7</v>
      </c>
      <c r="AA1884" s="95" t="s">
        <v>7</v>
      </c>
      <c r="AB1884" s="95" t="s">
        <v>7</v>
      </c>
      <c r="AC1884" s="95" t="s">
        <v>7</v>
      </c>
      <c r="AD1884" s="95" t="s">
        <v>7</v>
      </c>
      <c r="AE1884" s="95" t="s">
        <v>7</v>
      </c>
      <c r="AF1884" s="95" t="s">
        <v>7</v>
      </c>
      <c r="AG1884" s="95" t="s">
        <v>7</v>
      </c>
      <c r="AH1884" s="95" t="s">
        <v>7</v>
      </c>
      <c r="AI1884" s="95" t="s">
        <v>7</v>
      </c>
      <c r="AJ1884" s="96" t="s">
        <v>7</v>
      </c>
      <c r="AK1884" s="97" t="s">
        <v>7</v>
      </c>
      <c r="AL1884" s="95" t="s">
        <v>7</v>
      </c>
      <c r="AM1884" s="90"/>
      <c r="AN1884" s="90"/>
      <c r="AO1884" s="90"/>
      <c r="AP1884" s="90"/>
      <c r="AQ1884" s="90"/>
      <c r="AR1884" s="90"/>
      <c r="AS1884" s="90"/>
      <c r="AT1884" s="90"/>
      <c r="AU1884" s="90"/>
      <c r="AV1884" s="91"/>
      <c r="AX1884" s="92"/>
    </row>
    <row r="1885" customFormat="false" ht="15.65" hidden="false" customHeight="false" outlineLevel="0" collapsed="false">
      <c r="C1885" s="72" t="n">
        <f aca="false">COUNTIFS($D$6:D1885,"&lt;&gt;"&amp;"")</f>
        <v>1880</v>
      </c>
      <c r="D1885" s="73" t="s">
        <v>12</v>
      </c>
      <c r="E1885" s="76" t="str">
        <f aca="false">
IF($D1885="정상",INDEX(임대자산!$D$3:$R$3000,MATCH($F1885,임대자산!$I$3:$I$3000,0),MATCH(E$3,임대자산!$D$3:$R$3,0)),
IF($D1885="폐업",INDEX(폐업정보!$D$3:$R$3000,MATCH($F1885,폐업정보!$I$3:$I$3000,0),MATCH(E$3,폐업정보!$D$3:$R$3,0)),
"Error"))</f>
        <v>강원</v>
      </c>
      <c r="F188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B1880</v>
      </c>
      <c r="G1885" s="76" t="str">
        <f aca="false">F1885&amp;RANDBETWEEN(0,10)</f>
        <v>B188010</v>
      </c>
      <c r="H1885" s="75" t="n">
        <f aca="false">
IF($D1885="정상",INDEX(임대자산!$D$3:$R$3000,MATCH($F1885,임대자산!$I$3:$I$3000,0),MATCH(H$4,임대자산!$D$3:$R$3,0)),
IF($D1885="폐업",INDEX(폐업정보!$D$3:$R$3000,MATCH($F1885,폐업정보!$I$3:$I$3000,0),MATCH(H$4,폐업정보!$D$3:$R$3,0)),
"Error"))</f>
        <v>45958</v>
      </c>
      <c r="I1885" s="75" t="str">
        <f aca="false">
IF($D1885="정상",INDEX(임대자산!$D$3:$R$3000,MATCH($F1885,임대자산!$I$3:$I$3000,0),MATCH(I$4,임대자산!$D$3:$R$3,0)),
IF($D1885="폐업",INDEX(폐업정보!$D$3:$R$3000,MATCH($F1885,폐업정보!$I$3:$I$3000,0),MATCH(I$4,폐업정보!$D$3:$R$3,0)),
"Error"))</f>
        <v>A1880</v>
      </c>
      <c r="J1885" s="75" t="str">
        <f aca="false">
IF($D1885="정상",INDEX(임대자산!$D$3:$R$3000,MATCH($F1885,임대자산!$I$3:$I$3000,0),MATCH(J$4,임대자산!$D$3:$R$3,0)),
IF($D1885="폐업",INDEX(폐업정보!$D$3:$R$3000,MATCH($F1885,폐업정보!$I$3:$I$3000,0),MATCH(J$4,폐업정보!$D$3:$R$3,0)),
"Error"))</f>
        <v>9444600000</v>
      </c>
      <c r="K1885" s="75" t="str">
        <f aca="false">
IF($D1885="정상",INDEX(임대자산!$D$3:$R$3000,MATCH($F1885,임대자산!$I$3:$I$3000,0),MATCH(K$4,임대자산!$D$3:$R$3,0)),
IF($D1885="폐업",INDEX(폐업정보!$D$3:$R$3000,MATCH($F1885,폐업정보!$I$3:$I$3000,0),MATCH(K$4,폐업정보!$D$3:$R$3,0)),
"Error"))</f>
        <v>C1880</v>
      </c>
      <c r="L1885" s="75" t="str">
        <f aca="false">
IF($D1885="정상",INDEX(임대자산!$D$3:$R$3000,MATCH($F1885,임대자산!$I$3:$I$3000,0),MATCH(L$4,임대자산!$D$3:$R$3,0)),
IF($D1885="폐업",INDEX(폐업정보!$D$3:$R$3000,MATCH($F1885,폐업정보!$I$3:$I$3000,0),MATCH(L$4,폐업정보!$D$3:$R$3,0)),
"Error"))</f>
        <v>D1880</v>
      </c>
      <c r="M1885" s="76" t="s">
        <v>96</v>
      </c>
      <c r="N1885" s="77"/>
      <c r="O1885" s="78" t="s">
        <v>97</v>
      </c>
      <c r="P1885" s="79" t="n">
        <f aca="false">COUNTIFS(임대자산!$I:$I,가맹점정보!F1885,임대자산!$N:$N,가맹점정보!P$4)</f>
        <v>0</v>
      </c>
      <c r="Q1885" s="80" t="n">
        <f aca="false">COUNTIFS(임대자산!$I:$I,가맹점정보!F1885,임대자산!$N:$N,가맹점정보!Q$4)</f>
        <v>0</v>
      </c>
      <c r="R1885" s="81" t="n">
        <f aca="false">COUNTIFS(임대자산!$I:$I,가맹점정보!F1885,임대자산!$N:$N,가맹점정보!R$4)</f>
        <v>1</v>
      </c>
      <c r="S1885" s="82" t="n">
        <v>88000</v>
      </c>
      <c r="T1885" s="83" t="n">
        <v>0</v>
      </c>
      <c r="U1885" s="80" t="n">
        <f aca="false">SUM(S1885:T1885)</f>
        <v>88000</v>
      </c>
      <c r="V1885" s="84" t="s">
        <v>12</v>
      </c>
      <c r="W1885" s="80" t="e">
        <f aca="true">
IF(D1885="폐업","폐업",
IF(V1885="면제","면제",
IF(AND(V1885="정상",COUNTIFS(OFFSET(Y1885,0,COUNTA(Y1885:AV1885)-1,1,-4),"미납")&gt;=3),"장기미납",
IF(AND(V1885="정상",OFFSET(Y1885,0,COUNTA(Y1885:AV1885)-1)&gt;=U1885),"정상",
IF(AND(V1885="정상",OFFSET(Y1885,0,COUNTA(Y1885:AV1885)-1)=0),"정상",
"계약서 미작성")))))</f>
        <v>#VALUE!</v>
      </c>
      <c r="X1885" s="81" t="str">
        <f aca="true">
IF(D1885="폐업","폐업",
IF(AND(V1885="정상",OFFSET(Y1885,0,COUNTA(Y1885:AV1885)-1)="미납"),"미납",
IF(AND(V1885="정상",OFFSET(Y1885,0,COUNTA(Y1885:AV1885)-1)=0),"납부 시작 전",
IF(AND(V1885="정상",OFFSET(Y1885,0,COUNTA(Y1885:AV1885)-1)&gt;=U1885),"정상",
IF(AND(V1885="면제",OFFSET(Y1885,0,COUNTA(Y1885:AV1885)-1)="면제"),"면제",
IF(AND(V1885="면제",OFFSET(Y1885,0,COUNTA(Y1885:AV1885)-1)=0),"면제",
"확인요청"))))))</f>
        <v>정상</v>
      </c>
      <c r="Y1885" s="93" t="n">
        <v>0</v>
      </c>
      <c r="Z1885" s="90" t="n">
        <v>0</v>
      </c>
      <c r="AA1885" s="90" t="n">
        <v>0</v>
      </c>
      <c r="AB1885" s="90" t="n">
        <v>88000</v>
      </c>
      <c r="AC1885" s="90" t="n">
        <v>88000</v>
      </c>
      <c r="AD1885" s="90" t="n">
        <v>88000</v>
      </c>
      <c r="AE1885" s="90" t="n">
        <v>88000</v>
      </c>
      <c r="AF1885" s="90" t="n">
        <v>88000</v>
      </c>
      <c r="AG1885" s="90" t="n">
        <v>88000</v>
      </c>
      <c r="AH1885" s="90" t="n">
        <v>88000</v>
      </c>
      <c r="AI1885" s="90" t="n">
        <v>88000</v>
      </c>
      <c r="AJ1885" s="91" t="n">
        <v>88000</v>
      </c>
      <c r="AK1885" s="89" t="n">
        <v>88000</v>
      </c>
      <c r="AL1885" s="90" t="n">
        <v>88000</v>
      </c>
      <c r="AM1885" s="90"/>
      <c r="AN1885" s="90"/>
      <c r="AO1885" s="90"/>
      <c r="AP1885" s="90"/>
      <c r="AQ1885" s="90"/>
      <c r="AR1885" s="90"/>
      <c r="AS1885" s="90"/>
      <c r="AT1885" s="90"/>
      <c r="AU1885" s="90"/>
      <c r="AV1885" s="91"/>
      <c r="AX1885" s="92"/>
    </row>
    <row r="1886" customFormat="false" ht="15.65" hidden="false" customHeight="false" outlineLevel="0" collapsed="false">
      <c r="C1886" s="72" t="n">
        <f aca="false">COUNTIFS($D$6:D1886,"&lt;&gt;"&amp;"")</f>
        <v>1881</v>
      </c>
      <c r="D1886" s="73" t="s">
        <v>12</v>
      </c>
      <c r="E1886" s="76" t="str">
        <f aca="false">
IF($D1886="정상",INDEX(임대자산!$D$3:$R$3000,MATCH($F1886,임대자산!$I$3:$I$3000,0),MATCH(E$3,임대자산!$D$3:$R$3,0)),
IF($D1886="폐업",INDEX(폐업정보!$D$3:$R$3000,MATCH($F1886,폐업정보!$I$3:$I$3000,0),MATCH(E$3,폐업정보!$D$3:$R$3,0)),
"Error"))</f>
        <v>서울</v>
      </c>
      <c r="F188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B1881</v>
      </c>
      <c r="G1886" s="76" t="str">
        <f aca="false">F1886&amp;RANDBETWEEN(0,10)</f>
        <v>B18817</v>
      </c>
      <c r="H1886" s="75" t="n">
        <f aca="false">
IF($D1886="정상",INDEX(임대자산!$D$3:$R$3000,MATCH($F1886,임대자산!$I$3:$I$3000,0),MATCH(H$4,임대자산!$D$3:$R$3,0)),
IF($D1886="폐업",INDEX(폐업정보!$D$3:$R$3000,MATCH($F1886,폐업정보!$I$3:$I$3000,0),MATCH(H$4,폐업정보!$D$3:$R$3,0)),
"Error"))</f>
        <v>45945</v>
      </c>
      <c r="I1886" s="75" t="str">
        <f aca="false">
IF($D1886="정상",INDEX(임대자산!$D$3:$R$3000,MATCH($F1886,임대자산!$I$3:$I$3000,0),MATCH(I$4,임대자산!$D$3:$R$3,0)),
IF($D1886="폐업",INDEX(폐업정보!$D$3:$R$3000,MATCH($F1886,폐업정보!$I$3:$I$3000,0),MATCH(I$4,폐업정보!$D$3:$R$3,0)),
"Error"))</f>
        <v>A1881</v>
      </c>
      <c r="J1886" s="75" t="str">
        <f aca="false">
IF($D1886="정상",INDEX(임대자산!$D$3:$R$3000,MATCH($F1886,임대자산!$I$3:$I$3000,0),MATCH(J$4,임대자산!$D$3:$R$3,0)),
IF($D1886="폐업",INDEX(폐업정보!$D$3:$R$3000,MATCH($F1886,폐업정보!$I$3:$I$3000,0),MATCH(J$4,폐업정보!$D$3:$R$3,0)),
"Error"))</f>
        <v>4387500000</v>
      </c>
      <c r="K1886" s="75" t="str">
        <f aca="false">
IF($D1886="정상",INDEX(임대자산!$D$3:$R$3000,MATCH($F1886,임대자산!$I$3:$I$3000,0),MATCH(K$4,임대자산!$D$3:$R$3,0)),
IF($D1886="폐업",INDEX(폐업정보!$D$3:$R$3000,MATCH($F1886,폐업정보!$I$3:$I$3000,0),MATCH(K$4,폐업정보!$D$3:$R$3,0)),
"Error"))</f>
        <v>C1881</v>
      </c>
      <c r="L1886" s="75" t="str">
        <f aca="false">
IF($D1886="정상",INDEX(임대자산!$D$3:$R$3000,MATCH($F1886,임대자산!$I$3:$I$3000,0),MATCH(L$4,임대자산!$D$3:$R$3,0)),
IF($D1886="폐업",INDEX(폐업정보!$D$3:$R$3000,MATCH($F1886,폐업정보!$I$3:$I$3000,0),MATCH(L$4,폐업정보!$D$3:$R$3,0)),
"Error"))</f>
        <v>D1881</v>
      </c>
      <c r="M1886" s="76" t="s">
        <v>96</v>
      </c>
      <c r="N1886" s="77"/>
      <c r="O1886" s="78" t="s">
        <v>97</v>
      </c>
      <c r="P1886" s="79" t="n">
        <f aca="false">COUNTIFS(임대자산!$I:$I,가맹점정보!F1886,임대자산!$N:$N,가맹점정보!P$4)</f>
        <v>0</v>
      </c>
      <c r="Q1886" s="80" t="n">
        <f aca="false">COUNTIFS(임대자산!$I:$I,가맹점정보!F1886,임대자산!$N:$N,가맹점정보!Q$4)</f>
        <v>0</v>
      </c>
      <c r="R1886" s="81" t="n">
        <f aca="false">COUNTIFS(임대자산!$I:$I,가맹점정보!F1886,임대자산!$N:$N,가맹점정보!R$4)</f>
        <v>1</v>
      </c>
      <c r="S1886" s="82" t="n">
        <v>55000</v>
      </c>
      <c r="T1886" s="83" t="n">
        <v>0</v>
      </c>
      <c r="U1886" s="80" t="n">
        <f aca="false">SUM(S1886:T1886)</f>
        <v>55000</v>
      </c>
      <c r="V1886" s="84" t="s">
        <v>12</v>
      </c>
      <c r="W1886" s="80" t="e">
        <f aca="true">
IF(D1886="폐업","폐업",
IF(V1886="면제","면제",
IF(AND(V1886="정상",COUNTIFS(OFFSET(Y1886,0,COUNTA(Y1886:AV1886)-1,1,-4),"미납")&gt;=3),"장기미납",
IF(AND(V1886="정상",OFFSET(Y1886,0,COUNTA(Y1886:AV1886)-1)&gt;=U1886),"정상",
IF(AND(V1886="정상",OFFSET(Y1886,0,COUNTA(Y1886:AV1886)-1)=0),"정상",
"계약서 미작성")))))</f>
        <v>#VALUE!</v>
      </c>
      <c r="X1886" s="81" t="str">
        <f aca="true">
IF(D1886="폐업","폐업",
IF(AND(V1886="정상",OFFSET(Y1886,0,COUNTA(Y1886:AV1886)-1)="미납"),"미납",
IF(AND(V1886="정상",OFFSET(Y1886,0,COUNTA(Y1886:AV1886)-1)=0),"납부 시작 전",
IF(AND(V1886="정상",OFFSET(Y1886,0,COUNTA(Y1886:AV1886)-1)&gt;=U1886),"정상",
IF(AND(V1886="면제",OFFSET(Y1886,0,COUNTA(Y1886:AV1886)-1)="면제"),"면제",
IF(AND(V1886="면제",OFFSET(Y1886,0,COUNTA(Y1886:AV1886)-1)=0),"면제",
"확인요청"))))))</f>
        <v>정상</v>
      </c>
      <c r="Y1886" s="93" t="n">
        <v>0</v>
      </c>
      <c r="Z1886" s="90" t="n">
        <v>0</v>
      </c>
      <c r="AA1886" s="90" t="n">
        <v>0</v>
      </c>
      <c r="AB1886" s="90" t="n">
        <v>55000</v>
      </c>
      <c r="AC1886" s="90" t="n">
        <v>55000</v>
      </c>
      <c r="AD1886" s="90" t="n">
        <v>55000</v>
      </c>
      <c r="AE1886" s="90" t="n">
        <v>55000</v>
      </c>
      <c r="AF1886" s="90" t="n">
        <v>55000</v>
      </c>
      <c r="AG1886" s="90" t="n">
        <v>55000</v>
      </c>
      <c r="AH1886" s="90" t="n">
        <v>55000</v>
      </c>
      <c r="AI1886" s="90" t="n">
        <v>55000</v>
      </c>
      <c r="AJ1886" s="91" t="n">
        <v>55000</v>
      </c>
      <c r="AK1886" s="89" t="n">
        <v>55000</v>
      </c>
      <c r="AL1886" s="90" t="n">
        <v>55000</v>
      </c>
      <c r="AM1886" s="90"/>
      <c r="AN1886" s="90"/>
      <c r="AO1886" s="90"/>
      <c r="AP1886" s="90"/>
      <c r="AQ1886" s="90"/>
      <c r="AR1886" s="90"/>
      <c r="AS1886" s="90"/>
      <c r="AT1886" s="90"/>
      <c r="AU1886" s="90"/>
      <c r="AV1886" s="91"/>
      <c r="AX1886" s="92"/>
    </row>
    <row r="1887" customFormat="false" ht="15.65" hidden="false" customHeight="false" outlineLevel="0" collapsed="false">
      <c r="C1887" s="72" t="n">
        <f aca="false">COUNTIFS($D$6:D1887,"&lt;&gt;"&amp;"")</f>
        <v>1882</v>
      </c>
      <c r="D1887" s="73" t="s">
        <v>12</v>
      </c>
      <c r="E1887" s="76" t="str">
        <f aca="false">
IF($D1887="정상",INDEX(임대자산!$D$3:$R$3000,MATCH($F1887,임대자산!$I$3:$I$3000,0),MATCH(E$3,임대자산!$D$3:$R$3,0)),
IF($D1887="폐업",INDEX(폐업정보!$D$3:$R$3000,MATCH($F1887,폐업정보!$I$3:$I$3000,0),MATCH(E$3,폐업정보!$D$3:$R$3,0)),
"Error"))</f>
        <v>서울</v>
      </c>
      <c r="F188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B1882</v>
      </c>
      <c r="G1887" s="76" t="str">
        <f aca="false">F1887&amp;RANDBETWEEN(0,10)</f>
        <v>B18828</v>
      </c>
      <c r="H1887" s="75" t="n">
        <f aca="false">
IF($D1887="정상",INDEX(임대자산!$D$3:$R$3000,MATCH($F1887,임대자산!$I$3:$I$3000,0),MATCH(H$4,임대자산!$D$3:$R$3,0)),
IF($D1887="폐업",INDEX(폐업정보!$D$3:$R$3000,MATCH($F1887,폐업정보!$I$3:$I$3000,0),MATCH(H$4,폐업정보!$D$3:$R$3,0)),
"Error"))</f>
        <v>45945</v>
      </c>
      <c r="I1887" s="75" t="str">
        <f aca="false">
IF($D1887="정상",INDEX(임대자산!$D$3:$R$3000,MATCH($F1887,임대자산!$I$3:$I$3000,0),MATCH(I$4,임대자산!$D$3:$R$3,0)),
IF($D1887="폐업",INDEX(폐업정보!$D$3:$R$3000,MATCH($F1887,폐업정보!$I$3:$I$3000,0),MATCH(I$4,폐업정보!$D$3:$R$3,0)),
"Error"))</f>
        <v>A1882</v>
      </c>
      <c r="J1887" s="75" t="str">
        <f aca="false">
IF($D1887="정상",INDEX(임대자산!$D$3:$R$3000,MATCH($F1887,임대자산!$I$3:$I$3000,0),MATCH(J$4,임대자산!$D$3:$R$3,0)),
IF($D1887="폐업",INDEX(폐업정보!$D$3:$R$3000,MATCH($F1887,폐업정보!$I$3:$I$3000,0),MATCH(J$4,폐업정보!$D$3:$R$3,0)),
"Error"))</f>
        <v>4539300000</v>
      </c>
      <c r="K1887" s="75" t="str">
        <f aca="false">
IF($D1887="정상",INDEX(임대자산!$D$3:$R$3000,MATCH($F1887,임대자산!$I$3:$I$3000,0),MATCH(K$4,임대자산!$D$3:$R$3,0)),
IF($D1887="폐업",INDEX(폐업정보!$D$3:$R$3000,MATCH($F1887,폐업정보!$I$3:$I$3000,0),MATCH(K$4,폐업정보!$D$3:$R$3,0)),
"Error"))</f>
        <v>C1882</v>
      </c>
      <c r="L1887" s="75" t="str">
        <f aca="false">
IF($D1887="정상",INDEX(임대자산!$D$3:$R$3000,MATCH($F1887,임대자산!$I$3:$I$3000,0),MATCH(L$4,임대자산!$D$3:$R$3,0)),
IF($D1887="폐업",INDEX(폐업정보!$D$3:$R$3000,MATCH($F1887,폐업정보!$I$3:$I$3000,0),MATCH(L$4,폐업정보!$D$3:$R$3,0)),
"Error"))</f>
        <v>D1882</v>
      </c>
      <c r="M1887" s="76" t="s">
        <v>96</v>
      </c>
      <c r="N1887" s="77"/>
      <c r="O1887" s="78" t="s">
        <v>97</v>
      </c>
      <c r="P1887" s="79" t="n">
        <f aca="false">COUNTIFS(임대자산!$I:$I,가맹점정보!F1887,임대자산!$N:$N,가맹점정보!P$4)</f>
        <v>0</v>
      </c>
      <c r="Q1887" s="80" t="n">
        <f aca="false">COUNTIFS(임대자산!$I:$I,가맹점정보!F1887,임대자산!$N:$N,가맹점정보!Q$4)</f>
        <v>0</v>
      </c>
      <c r="R1887" s="81" t="n">
        <f aca="false">COUNTIFS(임대자산!$I:$I,가맹점정보!F1887,임대자산!$N:$N,가맹점정보!R$4)</f>
        <v>1</v>
      </c>
      <c r="S1887" s="82" t="n">
        <v>55000</v>
      </c>
      <c r="T1887" s="83" t="n">
        <v>0</v>
      </c>
      <c r="U1887" s="80" t="n">
        <f aca="false">SUM(S1887:T1887)</f>
        <v>55000</v>
      </c>
      <c r="V1887" s="84" t="s">
        <v>7</v>
      </c>
      <c r="W1887" s="80" t="str">
        <f aca="true">
IF(D1887="폐업","폐업",
IF(V1887="면제","면제",
IF(AND(V1887="정상",COUNTIFS(OFFSET(Y1887,0,COUNTA(Y1887:AV1887)-1,1,-4),"미납")&gt;=3),"장기미납",
IF(AND(V1887="정상",OFFSET(Y1887,0,COUNTA(Y1887:AV1887)-1)&gt;=U1887),"정상",
IF(AND(V1887="정상",OFFSET(Y1887,0,COUNTA(Y1887:AV1887)-1)=0),"정상",
"계약서 미작성")))))</f>
        <v>면제</v>
      </c>
      <c r="X1887" s="81" t="str">
        <f aca="true">
IF(D1887="폐업","폐업",
IF(AND(V1887="정상",OFFSET(Y1887,0,COUNTA(Y1887:AV1887)-1)="미납"),"미납",
IF(AND(V1887="정상",OFFSET(Y1887,0,COUNTA(Y1887:AV1887)-1)=0),"납부 시작 전",
IF(AND(V1887="정상",OFFSET(Y1887,0,COUNTA(Y1887:AV1887)-1)&gt;=U1887),"정상",
IF(AND(V1887="면제",OFFSET(Y1887,0,COUNTA(Y1887:AV1887)-1)="면제"),"면제",
IF(AND(V1887="면제",OFFSET(Y1887,0,COUNTA(Y1887:AV1887)-1)=0),"면제",
"확인요청"))))))</f>
        <v>면제</v>
      </c>
      <c r="Y1887" s="94" t="s">
        <v>7</v>
      </c>
      <c r="Z1887" s="95" t="s">
        <v>7</v>
      </c>
      <c r="AA1887" s="95" t="s">
        <v>7</v>
      </c>
      <c r="AB1887" s="95" t="s">
        <v>7</v>
      </c>
      <c r="AC1887" s="95" t="s">
        <v>7</v>
      </c>
      <c r="AD1887" s="95" t="s">
        <v>7</v>
      </c>
      <c r="AE1887" s="95" t="s">
        <v>7</v>
      </c>
      <c r="AF1887" s="95" t="s">
        <v>7</v>
      </c>
      <c r="AG1887" s="95" t="s">
        <v>7</v>
      </c>
      <c r="AH1887" s="95" t="s">
        <v>7</v>
      </c>
      <c r="AI1887" s="95" t="s">
        <v>7</v>
      </c>
      <c r="AJ1887" s="96" t="s">
        <v>7</v>
      </c>
      <c r="AK1887" s="97" t="s">
        <v>7</v>
      </c>
      <c r="AL1887" s="95" t="s">
        <v>7</v>
      </c>
      <c r="AM1887" s="90"/>
      <c r="AN1887" s="90"/>
      <c r="AO1887" s="90"/>
      <c r="AP1887" s="90"/>
      <c r="AQ1887" s="90"/>
      <c r="AR1887" s="90"/>
      <c r="AS1887" s="90"/>
      <c r="AT1887" s="90"/>
      <c r="AU1887" s="90"/>
      <c r="AV1887" s="91"/>
      <c r="AX1887" s="92"/>
    </row>
    <row r="1888" customFormat="false" ht="15.65" hidden="false" customHeight="false" outlineLevel="0" collapsed="false">
      <c r="C1888" s="72" t="n">
        <f aca="false">COUNTIFS($D$6:D1888,"&lt;&gt;"&amp;"")</f>
        <v>1883</v>
      </c>
      <c r="D1888" s="73" t="s">
        <v>12</v>
      </c>
      <c r="E1888" s="76" t="str">
        <f aca="false">
IF($D1888="정상",INDEX(임대자산!$D$3:$R$3000,MATCH($F1888,임대자산!$I$3:$I$3000,0),MATCH(E$3,임대자산!$D$3:$R$3,0)),
IF($D1888="폐업",INDEX(폐업정보!$D$3:$R$3000,MATCH($F1888,폐업정보!$I$3:$I$3000,0),MATCH(E$3,폐업정보!$D$3:$R$3,0)),
"Error"))</f>
        <v>강원</v>
      </c>
      <c r="F188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B1883</v>
      </c>
      <c r="G1888" s="76" t="str">
        <f aca="false">F1888&amp;RANDBETWEEN(0,10)</f>
        <v>B18832</v>
      </c>
      <c r="H1888" s="75" t="n">
        <f aca="false">
IF($D1888="정상",INDEX(임대자산!$D$3:$R$3000,MATCH($F1888,임대자산!$I$3:$I$3000,0),MATCH(H$4,임대자산!$D$3:$R$3,0)),
IF($D1888="폐업",INDEX(폐업정보!$D$3:$R$3000,MATCH($F1888,폐업정보!$I$3:$I$3000,0),MATCH(H$4,폐업정보!$D$3:$R$3,0)),
"Error"))</f>
        <v>45959</v>
      </c>
      <c r="I1888" s="75" t="str">
        <f aca="false">
IF($D1888="정상",INDEX(임대자산!$D$3:$R$3000,MATCH($F1888,임대자산!$I$3:$I$3000,0),MATCH(I$4,임대자산!$D$3:$R$3,0)),
IF($D1888="폐업",INDEX(폐업정보!$D$3:$R$3000,MATCH($F1888,폐업정보!$I$3:$I$3000,0),MATCH(I$4,폐업정보!$D$3:$R$3,0)),
"Error"))</f>
        <v>A1883</v>
      </c>
      <c r="J1888" s="75" t="str">
        <f aca="false">
IF($D1888="정상",INDEX(임대자산!$D$3:$R$3000,MATCH($F1888,임대자산!$I$3:$I$3000,0),MATCH(J$4,임대자산!$D$3:$R$3,0)),
IF($D1888="폐업",INDEX(폐업정보!$D$3:$R$3000,MATCH($F1888,폐업정보!$I$3:$I$3000,0),MATCH(J$4,폐업정보!$D$3:$R$3,0)),
"Error"))</f>
        <v>2806000000</v>
      </c>
      <c r="K1888" s="75" t="str">
        <f aca="false">
IF($D1888="정상",INDEX(임대자산!$D$3:$R$3000,MATCH($F1888,임대자산!$I$3:$I$3000,0),MATCH(K$4,임대자산!$D$3:$R$3,0)),
IF($D1888="폐업",INDEX(폐업정보!$D$3:$R$3000,MATCH($F1888,폐업정보!$I$3:$I$3000,0),MATCH(K$4,폐업정보!$D$3:$R$3,0)),
"Error"))</f>
        <v>C1883</v>
      </c>
      <c r="L1888" s="75" t="str">
        <f aca="false">
IF($D1888="정상",INDEX(임대자산!$D$3:$R$3000,MATCH($F1888,임대자산!$I$3:$I$3000,0),MATCH(L$4,임대자산!$D$3:$R$3,0)),
IF($D1888="폐업",INDEX(폐업정보!$D$3:$R$3000,MATCH($F1888,폐업정보!$I$3:$I$3000,0),MATCH(L$4,폐업정보!$D$3:$R$3,0)),
"Error"))</f>
        <v>D1883</v>
      </c>
      <c r="M1888" s="76" t="s">
        <v>96</v>
      </c>
      <c r="N1888" s="77"/>
      <c r="O1888" s="78" t="s">
        <v>97</v>
      </c>
      <c r="P1888" s="79" t="n">
        <f aca="false">COUNTIFS(임대자산!$I:$I,가맹점정보!F1888,임대자산!$N:$N,가맹점정보!P$4)</f>
        <v>0</v>
      </c>
      <c r="Q1888" s="80" t="n">
        <f aca="false">COUNTIFS(임대자산!$I:$I,가맹점정보!F1888,임대자산!$N:$N,가맹점정보!Q$4)</f>
        <v>0</v>
      </c>
      <c r="R1888" s="81" t="n">
        <f aca="false">COUNTIFS(임대자산!$I:$I,가맹점정보!F1888,임대자산!$N:$N,가맹점정보!R$4)</f>
        <v>1</v>
      </c>
      <c r="S1888" s="82" t="n">
        <v>55000</v>
      </c>
      <c r="T1888" s="83" t="n">
        <v>0</v>
      </c>
      <c r="U1888" s="80" t="n">
        <f aca="false">SUM(S1888:T1888)</f>
        <v>55000</v>
      </c>
      <c r="V1888" s="84" t="s">
        <v>12</v>
      </c>
      <c r="W1888" s="80" t="e">
        <f aca="true">
IF(D1888="폐업","폐업",
IF(V1888="면제","면제",
IF(AND(V1888="정상",COUNTIFS(OFFSET(Y1888,0,COUNTA(Y1888:AV1888)-1,1,-4),"미납")&gt;=3),"장기미납",
IF(AND(V1888="정상",OFFSET(Y1888,0,COUNTA(Y1888:AV1888)-1)&gt;=U1888),"정상",
IF(AND(V1888="정상",OFFSET(Y1888,0,COUNTA(Y1888:AV1888)-1)=0),"정상",
"계약서 미작성")))))</f>
        <v>#VALUE!</v>
      </c>
      <c r="X1888" s="81" t="str">
        <f aca="true">
IF(D1888="폐업","폐업",
IF(AND(V1888="정상",OFFSET(Y1888,0,COUNTA(Y1888:AV1888)-1)="미납"),"미납",
IF(AND(V1888="정상",OFFSET(Y1888,0,COUNTA(Y1888:AV1888)-1)=0),"납부 시작 전",
IF(AND(V1888="정상",OFFSET(Y1888,0,COUNTA(Y1888:AV1888)-1)&gt;=U1888),"정상",
IF(AND(V1888="면제",OFFSET(Y1888,0,COUNTA(Y1888:AV1888)-1)="면제"),"면제",
IF(AND(V1888="면제",OFFSET(Y1888,0,COUNTA(Y1888:AV1888)-1)=0),"면제",
"확인요청"))))))</f>
        <v>정상</v>
      </c>
      <c r="Y1888" s="93" t="n">
        <v>0</v>
      </c>
      <c r="Z1888" s="90" t="n">
        <v>0</v>
      </c>
      <c r="AA1888" s="90" t="n">
        <v>0</v>
      </c>
      <c r="AB1888" s="90" t="n">
        <v>55000</v>
      </c>
      <c r="AC1888" s="90" t="n">
        <v>55000</v>
      </c>
      <c r="AD1888" s="90" t="n">
        <v>55000</v>
      </c>
      <c r="AE1888" s="90" t="n">
        <v>55000</v>
      </c>
      <c r="AF1888" s="90" t="n">
        <v>55000</v>
      </c>
      <c r="AG1888" s="90" t="n">
        <v>55000</v>
      </c>
      <c r="AH1888" s="90" t="n">
        <v>55000</v>
      </c>
      <c r="AI1888" s="90" t="n">
        <v>55000</v>
      </c>
      <c r="AJ1888" s="91" t="n">
        <v>55000</v>
      </c>
      <c r="AK1888" s="89" t="n">
        <v>55000</v>
      </c>
      <c r="AL1888" s="90" t="n">
        <v>55000</v>
      </c>
      <c r="AM1888" s="90"/>
      <c r="AN1888" s="90"/>
      <c r="AO1888" s="90"/>
      <c r="AP1888" s="90"/>
      <c r="AQ1888" s="90"/>
      <c r="AR1888" s="90"/>
      <c r="AS1888" s="90"/>
      <c r="AT1888" s="90"/>
      <c r="AU1888" s="90"/>
      <c r="AV1888" s="91"/>
      <c r="AX1888" s="92"/>
    </row>
    <row r="1889" customFormat="false" ht="15.65" hidden="false" customHeight="false" outlineLevel="0" collapsed="false">
      <c r="C1889" s="72" t="n">
        <f aca="false">COUNTIFS($D$6:D1889,"&lt;&gt;"&amp;"")</f>
        <v>1884</v>
      </c>
      <c r="D1889" s="73" t="s">
        <v>12</v>
      </c>
      <c r="E1889" s="76" t="str">
        <f aca="false">
IF($D1889="정상",INDEX(임대자산!$D$3:$R$3000,MATCH($F1889,임대자산!$I$3:$I$3000,0),MATCH(E$3,임대자산!$D$3:$R$3,0)),
IF($D1889="폐업",INDEX(폐업정보!$D$3:$R$3000,MATCH($F1889,폐업정보!$I$3:$I$3000,0),MATCH(E$3,폐업정보!$D$3:$R$3,0)),
"Error"))</f>
        <v>강원</v>
      </c>
      <c r="F188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B1884</v>
      </c>
      <c r="G1889" s="76" t="str">
        <f aca="false">F1889&amp;RANDBETWEEN(0,10)</f>
        <v>B18847</v>
      </c>
      <c r="H1889" s="75" t="n">
        <f aca="false">
IF($D1889="정상",INDEX(임대자산!$D$3:$R$3000,MATCH($F1889,임대자산!$I$3:$I$3000,0),MATCH(H$4,임대자산!$D$3:$R$3,0)),
IF($D1889="폐업",INDEX(폐업정보!$D$3:$R$3000,MATCH($F1889,폐업정보!$I$3:$I$3000,0),MATCH(H$4,폐업정보!$D$3:$R$3,0)),
"Error"))</f>
        <v>45965</v>
      </c>
      <c r="I1889" s="75" t="str">
        <f aca="false">
IF($D1889="정상",INDEX(임대자산!$D$3:$R$3000,MATCH($F1889,임대자산!$I$3:$I$3000,0),MATCH(I$4,임대자산!$D$3:$R$3,0)),
IF($D1889="폐업",INDEX(폐업정보!$D$3:$R$3000,MATCH($F1889,폐업정보!$I$3:$I$3000,0),MATCH(I$4,폐업정보!$D$3:$R$3,0)),
"Error"))</f>
        <v>A1884</v>
      </c>
      <c r="J1889" s="75" t="str">
        <f aca="false">
IF($D1889="정상",INDEX(임대자산!$D$3:$R$3000,MATCH($F1889,임대자산!$I$3:$I$3000,0),MATCH(J$4,임대자산!$D$3:$R$3,0)),
IF($D1889="폐업",INDEX(폐업정보!$D$3:$R$3000,MATCH($F1889,폐업정보!$I$3:$I$3000,0),MATCH(J$4,폐업정보!$D$3:$R$3,0)),
"Error"))</f>
        <v>3378500000</v>
      </c>
      <c r="K1889" s="75" t="str">
        <f aca="false">
IF($D1889="정상",INDEX(임대자산!$D$3:$R$3000,MATCH($F1889,임대자산!$I$3:$I$3000,0),MATCH(K$4,임대자산!$D$3:$R$3,0)),
IF($D1889="폐업",INDEX(폐업정보!$D$3:$R$3000,MATCH($F1889,폐업정보!$I$3:$I$3000,0),MATCH(K$4,폐업정보!$D$3:$R$3,0)),
"Error"))</f>
        <v>C1884</v>
      </c>
      <c r="L1889" s="75" t="str">
        <f aca="false">
IF($D1889="정상",INDEX(임대자산!$D$3:$R$3000,MATCH($F1889,임대자산!$I$3:$I$3000,0),MATCH(L$4,임대자산!$D$3:$R$3,0)),
IF($D1889="폐업",INDEX(폐업정보!$D$3:$R$3000,MATCH($F1889,폐업정보!$I$3:$I$3000,0),MATCH(L$4,폐업정보!$D$3:$R$3,0)),
"Error"))</f>
        <v>D1884</v>
      </c>
      <c r="M1889" s="76" t="s">
        <v>96</v>
      </c>
      <c r="N1889" s="77"/>
      <c r="O1889" s="78" t="s">
        <v>97</v>
      </c>
      <c r="P1889" s="79" t="n">
        <f aca="false">COUNTIFS(임대자산!$I:$I,가맹점정보!F1889,임대자산!$N:$N,가맹점정보!P$4)</f>
        <v>0</v>
      </c>
      <c r="Q1889" s="80" t="n">
        <f aca="false">COUNTIFS(임대자산!$I:$I,가맹점정보!F1889,임대자산!$N:$N,가맹점정보!Q$4)</f>
        <v>0</v>
      </c>
      <c r="R1889" s="81" t="n">
        <f aca="false">COUNTIFS(임대자산!$I:$I,가맹점정보!F1889,임대자산!$N:$N,가맹점정보!R$4)</f>
        <v>1</v>
      </c>
      <c r="S1889" s="82" t="n">
        <v>55000</v>
      </c>
      <c r="T1889" s="83" t="n">
        <v>0</v>
      </c>
      <c r="U1889" s="80" t="n">
        <f aca="false">SUM(S1889:T1889)</f>
        <v>55000</v>
      </c>
      <c r="V1889" s="84" t="s">
        <v>7</v>
      </c>
      <c r="W1889" s="80" t="str">
        <f aca="true">
IF(D1889="폐업","폐업",
IF(V1889="면제","면제",
IF(AND(V1889="정상",COUNTIFS(OFFSET(Y1889,0,COUNTA(Y1889:AV1889)-1,1,-4),"미납")&gt;=3),"장기미납",
IF(AND(V1889="정상",OFFSET(Y1889,0,COUNTA(Y1889:AV1889)-1)&gt;=U1889),"정상",
IF(AND(V1889="정상",OFFSET(Y1889,0,COUNTA(Y1889:AV1889)-1)=0),"정상",
"계약서 미작성")))))</f>
        <v>면제</v>
      </c>
      <c r="X1889" s="81" t="str">
        <f aca="true">
IF(D1889="폐업","폐업",
IF(AND(V1889="정상",OFFSET(Y1889,0,COUNTA(Y1889:AV1889)-1)="미납"),"미납",
IF(AND(V1889="정상",OFFSET(Y1889,0,COUNTA(Y1889:AV1889)-1)=0),"납부 시작 전",
IF(AND(V1889="정상",OFFSET(Y1889,0,COUNTA(Y1889:AV1889)-1)&gt;=U1889),"정상",
IF(AND(V1889="면제",OFFSET(Y1889,0,COUNTA(Y1889:AV1889)-1)="면제"),"면제",
IF(AND(V1889="면제",OFFSET(Y1889,0,COUNTA(Y1889:AV1889)-1)=0),"면제",
"확인요청"))))))</f>
        <v>면제</v>
      </c>
      <c r="Y1889" s="94" t="s">
        <v>7</v>
      </c>
      <c r="Z1889" s="95" t="s">
        <v>7</v>
      </c>
      <c r="AA1889" s="95" t="s">
        <v>7</v>
      </c>
      <c r="AB1889" s="95" t="s">
        <v>7</v>
      </c>
      <c r="AC1889" s="95" t="s">
        <v>7</v>
      </c>
      <c r="AD1889" s="95" t="s">
        <v>7</v>
      </c>
      <c r="AE1889" s="95" t="s">
        <v>7</v>
      </c>
      <c r="AF1889" s="95" t="s">
        <v>7</v>
      </c>
      <c r="AG1889" s="95" t="s">
        <v>7</v>
      </c>
      <c r="AH1889" s="95" t="s">
        <v>7</v>
      </c>
      <c r="AI1889" s="95" t="s">
        <v>7</v>
      </c>
      <c r="AJ1889" s="96" t="s">
        <v>7</v>
      </c>
      <c r="AK1889" s="97" t="s">
        <v>7</v>
      </c>
      <c r="AL1889" s="95" t="s">
        <v>7</v>
      </c>
      <c r="AM1889" s="90"/>
      <c r="AN1889" s="90"/>
      <c r="AO1889" s="90"/>
      <c r="AP1889" s="90"/>
      <c r="AQ1889" s="90"/>
      <c r="AR1889" s="90"/>
      <c r="AS1889" s="90"/>
      <c r="AT1889" s="90"/>
      <c r="AU1889" s="90"/>
      <c r="AV1889" s="91"/>
      <c r="AX1889" s="92"/>
    </row>
    <row r="1890" customFormat="false" ht="15.65" hidden="false" customHeight="false" outlineLevel="0" collapsed="false">
      <c r="C1890" s="72" t="n">
        <f aca="false">COUNTIFS($D$6:D1890,"&lt;&gt;"&amp;"")</f>
        <v>1885</v>
      </c>
      <c r="D1890" s="73" t="s">
        <v>12</v>
      </c>
      <c r="E1890" s="76" t="str">
        <f aca="false">
IF($D1890="정상",INDEX(임대자산!$D$3:$R$3000,MATCH($F1890,임대자산!$I$3:$I$3000,0),MATCH(E$3,임대자산!$D$3:$R$3,0)),
IF($D1890="폐업",INDEX(폐업정보!$D$3:$R$3000,MATCH($F1890,폐업정보!$I$3:$I$3000,0),MATCH(E$3,폐업정보!$D$3:$R$3,0)),
"Error"))</f>
        <v>경기</v>
      </c>
      <c r="F189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B1885</v>
      </c>
      <c r="G1890" s="76" t="str">
        <f aca="false">F1890&amp;RANDBETWEEN(0,10)</f>
        <v>B18858</v>
      </c>
      <c r="H1890" s="75" t="n">
        <f aca="false">
IF($D1890="정상",INDEX(임대자산!$D$3:$R$3000,MATCH($F1890,임대자산!$I$3:$I$3000,0),MATCH(H$4,임대자산!$D$3:$R$3,0)),
IF($D1890="폐업",INDEX(폐업정보!$D$3:$R$3000,MATCH($F1890,폐업정보!$I$3:$I$3000,0),MATCH(H$4,폐업정보!$D$3:$R$3,0)),
"Error"))</f>
        <v>45966</v>
      </c>
      <c r="I1890" s="75" t="str">
        <f aca="false">
IF($D1890="정상",INDEX(임대자산!$D$3:$R$3000,MATCH($F1890,임대자산!$I$3:$I$3000,0),MATCH(I$4,임대자산!$D$3:$R$3,0)),
IF($D1890="폐업",INDEX(폐업정보!$D$3:$R$3000,MATCH($F1890,폐업정보!$I$3:$I$3000,0),MATCH(I$4,폐업정보!$D$3:$R$3,0)),
"Error"))</f>
        <v>A1885</v>
      </c>
      <c r="J1890" s="75" t="str">
        <f aca="false">
IF($D1890="정상",INDEX(임대자산!$D$3:$R$3000,MATCH($F1890,임대자산!$I$3:$I$3000,0),MATCH(J$4,임대자산!$D$3:$R$3,0)),
IF($D1890="폐업",INDEX(폐업정보!$D$3:$R$3000,MATCH($F1890,폐업정보!$I$3:$I$3000,0),MATCH(J$4,폐업정보!$D$3:$R$3,0)),
"Error"))</f>
        <v>2691100000</v>
      </c>
      <c r="K1890" s="75" t="str">
        <f aca="false">
IF($D1890="정상",INDEX(임대자산!$D$3:$R$3000,MATCH($F1890,임대자산!$I$3:$I$3000,0),MATCH(K$4,임대자산!$D$3:$R$3,0)),
IF($D1890="폐업",INDEX(폐업정보!$D$3:$R$3000,MATCH($F1890,폐업정보!$I$3:$I$3000,0),MATCH(K$4,폐업정보!$D$3:$R$3,0)),
"Error"))</f>
        <v>C1885</v>
      </c>
      <c r="L1890" s="75" t="str">
        <f aca="false">
IF($D1890="정상",INDEX(임대자산!$D$3:$R$3000,MATCH($F1890,임대자산!$I$3:$I$3000,0),MATCH(L$4,임대자산!$D$3:$R$3,0)),
IF($D1890="폐업",INDEX(폐업정보!$D$3:$R$3000,MATCH($F1890,폐업정보!$I$3:$I$3000,0),MATCH(L$4,폐업정보!$D$3:$R$3,0)),
"Error"))</f>
        <v>D1885</v>
      </c>
      <c r="M1890" s="76" t="s">
        <v>96</v>
      </c>
      <c r="N1890" s="77"/>
      <c r="O1890" s="78" t="s">
        <v>97</v>
      </c>
      <c r="P1890" s="79" t="n">
        <f aca="false">COUNTIFS(임대자산!$I:$I,가맹점정보!F1890,임대자산!$N:$N,가맹점정보!P$4)</f>
        <v>0</v>
      </c>
      <c r="Q1890" s="80" t="n">
        <f aca="false">COUNTIFS(임대자산!$I:$I,가맹점정보!F1890,임대자산!$N:$N,가맹점정보!Q$4)</f>
        <v>0</v>
      </c>
      <c r="R1890" s="81" t="n">
        <f aca="false">COUNTIFS(임대자산!$I:$I,가맹점정보!F1890,임대자산!$N:$N,가맹점정보!R$4)</f>
        <v>1</v>
      </c>
      <c r="S1890" s="82" t="n">
        <v>88000</v>
      </c>
      <c r="T1890" s="83" t="n">
        <v>0</v>
      </c>
      <c r="U1890" s="80" t="n">
        <f aca="false">SUM(S1890:T1890)</f>
        <v>88000</v>
      </c>
      <c r="V1890" s="84" t="s">
        <v>7</v>
      </c>
      <c r="W1890" s="80" t="str">
        <f aca="true">
IF(D1890="폐업","폐업",
IF(V1890="면제","면제",
IF(AND(V1890="정상",COUNTIFS(OFFSET(Y1890,0,COUNTA(Y1890:AV1890)-1,1,-4),"미납")&gt;=3),"장기미납",
IF(AND(V1890="정상",OFFSET(Y1890,0,COUNTA(Y1890:AV1890)-1)&gt;=U1890),"정상",
IF(AND(V1890="정상",OFFSET(Y1890,0,COUNTA(Y1890:AV1890)-1)=0),"정상",
"계약서 미작성")))))</f>
        <v>면제</v>
      </c>
      <c r="X1890" s="81" t="str">
        <f aca="true">
IF(D1890="폐업","폐업",
IF(AND(V1890="정상",OFFSET(Y1890,0,COUNTA(Y1890:AV1890)-1)="미납"),"미납",
IF(AND(V1890="정상",OFFSET(Y1890,0,COUNTA(Y1890:AV1890)-1)=0),"납부 시작 전",
IF(AND(V1890="정상",OFFSET(Y1890,0,COUNTA(Y1890:AV1890)-1)&gt;=U1890),"정상",
IF(AND(V1890="면제",OFFSET(Y1890,0,COUNTA(Y1890:AV1890)-1)="면제"),"면제",
IF(AND(V1890="면제",OFFSET(Y1890,0,COUNTA(Y1890:AV1890)-1)=0),"면제",
"확인요청"))))))</f>
        <v>면제</v>
      </c>
      <c r="Y1890" s="94" t="s">
        <v>7</v>
      </c>
      <c r="Z1890" s="95" t="s">
        <v>7</v>
      </c>
      <c r="AA1890" s="95" t="s">
        <v>7</v>
      </c>
      <c r="AB1890" s="95" t="s">
        <v>7</v>
      </c>
      <c r="AC1890" s="95" t="s">
        <v>7</v>
      </c>
      <c r="AD1890" s="95" t="s">
        <v>7</v>
      </c>
      <c r="AE1890" s="95" t="s">
        <v>7</v>
      </c>
      <c r="AF1890" s="95" t="s">
        <v>7</v>
      </c>
      <c r="AG1890" s="95" t="s">
        <v>7</v>
      </c>
      <c r="AH1890" s="95" t="s">
        <v>7</v>
      </c>
      <c r="AI1890" s="95" t="s">
        <v>7</v>
      </c>
      <c r="AJ1890" s="96" t="s">
        <v>7</v>
      </c>
      <c r="AK1890" s="97" t="s">
        <v>7</v>
      </c>
      <c r="AL1890" s="95" t="s">
        <v>7</v>
      </c>
      <c r="AM1890" s="90"/>
      <c r="AN1890" s="90"/>
      <c r="AO1890" s="90"/>
      <c r="AP1890" s="90"/>
      <c r="AQ1890" s="90"/>
      <c r="AR1890" s="90"/>
      <c r="AS1890" s="90"/>
      <c r="AT1890" s="90"/>
      <c r="AU1890" s="90"/>
      <c r="AV1890" s="91"/>
      <c r="AX1890" s="92"/>
    </row>
    <row r="1891" customFormat="false" ht="15.65" hidden="false" customHeight="false" outlineLevel="0" collapsed="false">
      <c r="C1891" s="72" t="n">
        <f aca="false">COUNTIFS($D$6:D1891,"&lt;&gt;"&amp;"")</f>
        <v>1886</v>
      </c>
      <c r="D1891" s="73" t="s">
        <v>12</v>
      </c>
      <c r="E1891" s="76" t="str">
        <f aca="false">
IF($D1891="정상",INDEX(임대자산!$D$3:$R$3000,MATCH($F1891,임대자산!$I$3:$I$3000,0),MATCH(E$3,임대자산!$D$3:$R$3,0)),
IF($D1891="폐업",INDEX(폐업정보!$D$3:$R$3000,MATCH($F1891,폐업정보!$I$3:$I$3000,0),MATCH(E$3,폐업정보!$D$3:$R$3,0)),
"Error"))</f>
        <v>경기</v>
      </c>
      <c r="F189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B1886</v>
      </c>
      <c r="G1891" s="76" t="str">
        <f aca="false">F1891&amp;RANDBETWEEN(0,10)</f>
        <v>B18865</v>
      </c>
      <c r="H1891" s="75" t="n">
        <f aca="false">
IF($D1891="정상",INDEX(임대자산!$D$3:$R$3000,MATCH($F1891,임대자산!$I$3:$I$3000,0),MATCH(H$4,임대자산!$D$3:$R$3,0)),
IF($D1891="폐업",INDEX(폐업정보!$D$3:$R$3000,MATCH($F1891,폐업정보!$I$3:$I$3000,0),MATCH(H$4,폐업정보!$D$3:$R$3,0)),
"Error"))</f>
        <v>45958</v>
      </c>
      <c r="I1891" s="75" t="str">
        <f aca="false">
IF($D1891="정상",INDEX(임대자산!$D$3:$R$3000,MATCH($F1891,임대자산!$I$3:$I$3000,0),MATCH(I$4,임대자산!$D$3:$R$3,0)),
IF($D1891="폐업",INDEX(폐업정보!$D$3:$R$3000,MATCH($F1891,폐업정보!$I$3:$I$3000,0),MATCH(I$4,폐업정보!$D$3:$R$3,0)),
"Error"))</f>
        <v>A1886</v>
      </c>
      <c r="J1891" s="75" t="str">
        <f aca="false">
IF($D1891="정상",INDEX(임대자산!$D$3:$R$3000,MATCH($F1891,임대자산!$I$3:$I$3000,0),MATCH(J$4,임대자산!$D$3:$R$3,0)),
IF($D1891="폐업",INDEX(폐업정보!$D$3:$R$3000,MATCH($F1891,폐업정보!$I$3:$I$3000,0),MATCH(J$4,폐업정보!$D$3:$R$3,0)),
"Error"))</f>
        <v>9326600000</v>
      </c>
      <c r="K1891" s="75" t="str">
        <f aca="false">
IF($D1891="정상",INDEX(임대자산!$D$3:$R$3000,MATCH($F1891,임대자산!$I$3:$I$3000,0),MATCH(K$4,임대자산!$D$3:$R$3,0)),
IF($D1891="폐업",INDEX(폐업정보!$D$3:$R$3000,MATCH($F1891,폐업정보!$I$3:$I$3000,0),MATCH(K$4,폐업정보!$D$3:$R$3,0)),
"Error"))</f>
        <v>C1886</v>
      </c>
      <c r="L1891" s="75" t="str">
        <f aca="false">
IF($D1891="정상",INDEX(임대자산!$D$3:$R$3000,MATCH($F1891,임대자산!$I$3:$I$3000,0),MATCH(L$4,임대자산!$D$3:$R$3,0)),
IF($D1891="폐업",INDEX(폐업정보!$D$3:$R$3000,MATCH($F1891,폐업정보!$I$3:$I$3000,0),MATCH(L$4,폐업정보!$D$3:$R$3,0)),
"Error"))</f>
        <v>D1886</v>
      </c>
      <c r="M1891" s="76" t="s">
        <v>96</v>
      </c>
      <c r="N1891" s="77"/>
      <c r="O1891" s="78" t="s">
        <v>97</v>
      </c>
      <c r="P1891" s="79" t="n">
        <f aca="false">COUNTIFS(임대자산!$I:$I,가맹점정보!F1891,임대자산!$N:$N,가맹점정보!P$4)</f>
        <v>0</v>
      </c>
      <c r="Q1891" s="80" t="n">
        <f aca="false">COUNTIFS(임대자산!$I:$I,가맹점정보!F1891,임대자산!$N:$N,가맹점정보!Q$4)</f>
        <v>0</v>
      </c>
      <c r="R1891" s="81" t="n">
        <f aca="false">COUNTIFS(임대자산!$I:$I,가맹점정보!F1891,임대자산!$N:$N,가맹점정보!R$4)</f>
        <v>1</v>
      </c>
      <c r="S1891" s="82" t="n">
        <v>55000</v>
      </c>
      <c r="T1891" s="83" t="n">
        <v>0</v>
      </c>
      <c r="U1891" s="80" t="n">
        <f aca="false">SUM(S1891:T1891)</f>
        <v>55000</v>
      </c>
      <c r="V1891" s="84" t="s">
        <v>7</v>
      </c>
      <c r="W1891" s="80" t="str">
        <f aca="true">
IF(D1891="폐업","폐업",
IF(V1891="면제","면제",
IF(AND(V1891="정상",COUNTIFS(OFFSET(Y1891,0,COUNTA(Y1891:AV1891)-1,1,-4),"미납")&gt;=3),"장기미납",
IF(AND(V1891="정상",OFFSET(Y1891,0,COUNTA(Y1891:AV1891)-1)&gt;=U1891),"정상",
IF(AND(V1891="정상",OFFSET(Y1891,0,COUNTA(Y1891:AV1891)-1)=0),"정상",
"계약서 미작성")))))</f>
        <v>면제</v>
      </c>
      <c r="X1891" s="81" t="str">
        <f aca="true">
IF(D1891="폐업","폐업",
IF(AND(V1891="정상",OFFSET(Y1891,0,COUNTA(Y1891:AV1891)-1)="미납"),"미납",
IF(AND(V1891="정상",OFFSET(Y1891,0,COUNTA(Y1891:AV1891)-1)=0),"납부 시작 전",
IF(AND(V1891="정상",OFFSET(Y1891,0,COUNTA(Y1891:AV1891)-1)&gt;=U1891),"정상",
IF(AND(V1891="면제",OFFSET(Y1891,0,COUNTA(Y1891:AV1891)-1)="면제"),"면제",
IF(AND(V1891="면제",OFFSET(Y1891,0,COUNTA(Y1891:AV1891)-1)=0),"면제",
"확인요청"))))))</f>
        <v>면제</v>
      </c>
      <c r="Y1891" s="94" t="s">
        <v>7</v>
      </c>
      <c r="Z1891" s="95" t="s">
        <v>7</v>
      </c>
      <c r="AA1891" s="95" t="s">
        <v>7</v>
      </c>
      <c r="AB1891" s="95" t="s">
        <v>7</v>
      </c>
      <c r="AC1891" s="95" t="s">
        <v>7</v>
      </c>
      <c r="AD1891" s="95" t="s">
        <v>7</v>
      </c>
      <c r="AE1891" s="95" t="s">
        <v>7</v>
      </c>
      <c r="AF1891" s="95" t="s">
        <v>7</v>
      </c>
      <c r="AG1891" s="95" t="s">
        <v>7</v>
      </c>
      <c r="AH1891" s="95" t="s">
        <v>7</v>
      </c>
      <c r="AI1891" s="95" t="s">
        <v>7</v>
      </c>
      <c r="AJ1891" s="96" t="s">
        <v>7</v>
      </c>
      <c r="AK1891" s="97" t="s">
        <v>7</v>
      </c>
      <c r="AL1891" s="95" t="s">
        <v>7</v>
      </c>
      <c r="AM1891" s="90"/>
      <c r="AN1891" s="90"/>
      <c r="AO1891" s="90"/>
      <c r="AP1891" s="90"/>
      <c r="AQ1891" s="90"/>
      <c r="AR1891" s="90"/>
      <c r="AS1891" s="90"/>
      <c r="AT1891" s="90"/>
      <c r="AU1891" s="90"/>
      <c r="AV1891" s="91"/>
      <c r="AX1891" s="92"/>
    </row>
    <row r="1892" customFormat="false" ht="15.65" hidden="false" customHeight="false" outlineLevel="0" collapsed="false">
      <c r="C1892" s="72" t="n">
        <f aca="false">COUNTIFS($D$6:D1892,"&lt;&gt;"&amp;"")</f>
        <v>1887</v>
      </c>
      <c r="D1892" s="73" t="s">
        <v>12</v>
      </c>
      <c r="E1892" s="76" t="str">
        <f aca="false">
IF($D1892="정상",INDEX(임대자산!$D$3:$R$3000,MATCH($F1892,임대자산!$I$3:$I$3000,0),MATCH(E$3,임대자산!$D$3:$R$3,0)),
IF($D1892="폐업",INDEX(폐업정보!$D$3:$R$3000,MATCH($F1892,폐업정보!$I$3:$I$3000,0),MATCH(E$3,폐업정보!$D$3:$R$3,0)),
"Error"))</f>
        <v>경기</v>
      </c>
      <c r="F189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B1887</v>
      </c>
      <c r="G1892" s="76" t="str">
        <f aca="false">F1892&amp;RANDBETWEEN(0,10)</f>
        <v>B18870</v>
      </c>
      <c r="H1892" s="75" t="n">
        <f aca="false">
IF($D1892="정상",INDEX(임대자산!$D$3:$R$3000,MATCH($F1892,임대자산!$I$3:$I$3000,0),MATCH(H$4,임대자산!$D$3:$R$3,0)),
IF($D1892="폐업",INDEX(폐업정보!$D$3:$R$3000,MATCH($F1892,폐업정보!$I$3:$I$3000,0),MATCH(H$4,폐업정보!$D$3:$R$3,0)),
"Error"))</f>
        <v>45971</v>
      </c>
      <c r="I1892" s="75" t="str">
        <f aca="false">
IF($D1892="정상",INDEX(임대자산!$D$3:$R$3000,MATCH($F1892,임대자산!$I$3:$I$3000,0),MATCH(I$4,임대자산!$D$3:$R$3,0)),
IF($D1892="폐업",INDEX(폐업정보!$D$3:$R$3000,MATCH($F1892,폐업정보!$I$3:$I$3000,0),MATCH(I$4,폐업정보!$D$3:$R$3,0)),
"Error"))</f>
        <v>A1887</v>
      </c>
      <c r="J1892" s="75" t="str">
        <f aca="false">
IF($D1892="정상",INDEX(임대자산!$D$3:$R$3000,MATCH($F1892,임대자산!$I$3:$I$3000,0),MATCH(J$4,임대자산!$D$3:$R$3,0)),
IF($D1892="폐업",INDEX(폐업정보!$D$3:$R$3000,MATCH($F1892,폐업정보!$I$3:$I$3000,0),MATCH(J$4,폐업정보!$D$3:$R$3,0)),
"Error"))</f>
        <v>5454000000</v>
      </c>
      <c r="K1892" s="75" t="str">
        <f aca="false">
IF($D1892="정상",INDEX(임대자산!$D$3:$R$3000,MATCH($F1892,임대자산!$I$3:$I$3000,0),MATCH(K$4,임대자산!$D$3:$R$3,0)),
IF($D1892="폐업",INDEX(폐업정보!$D$3:$R$3000,MATCH($F1892,폐업정보!$I$3:$I$3000,0),MATCH(K$4,폐업정보!$D$3:$R$3,0)),
"Error"))</f>
        <v>C1887</v>
      </c>
      <c r="L1892" s="75" t="str">
        <f aca="false">
IF($D1892="정상",INDEX(임대자산!$D$3:$R$3000,MATCH($F1892,임대자산!$I$3:$I$3000,0),MATCH(L$4,임대자산!$D$3:$R$3,0)),
IF($D1892="폐업",INDEX(폐업정보!$D$3:$R$3000,MATCH($F1892,폐업정보!$I$3:$I$3000,0),MATCH(L$4,폐업정보!$D$3:$R$3,0)),
"Error"))</f>
        <v>D1887</v>
      </c>
      <c r="M1892" s="76" t="s">
        <v>96</v>
      </c>
      <c r="N1892" s="77"/>
      <c r="O1892" s="78" t="s">
        <v>97</v>
      </c>
      <c r="P1892" s="79" t="n">
        <f aca="false">COUNTIFS(임대자산!$I:$I,가맹점정보!F1892,임대자산!$N:$N,가맹점정보!P$4)</f>
        <v>0</v>
      </c>
      <c r="Q1892" s="80" t="n">
        <f aca="false">COUNTIFS(임대자산!$I:$I,가맹점정보!F1892,임대자산!$N:$N,가맹점정보!Q$4)</f>
        <v>0</v>
      </c>
      <c r="R1892" s="81" t="n">
        <f aca="false">COUNTIFS(임대자산!$I:$I,가맹점정보!F1892,임대자산!$N:$N,가맹점정보!R$4)</f>
        <v>1</v>
      </c>
      <c r="S1892" s="82" t="n">
        <v>88000</v>
      </c>
      <c r="T1892" s="83" t="n">
        <v>0</v>
      </c>
      <c r="U1892" s="80" t="n">
        <f aca="false">SUM(S1892:T1892)</f>
        <v>88000</v>
      </c>
      <c r="V1892" s="84" t="s">
        <v>7</v>
      </c>
      <c r="W1892" s="80" t="str">
        <f aca="true">
IF(D1892="폐업","폐업",
IF(V1892="면제","면제",
IF(AND(V1892="정상",COUNTIFS(OFFSET(Y1892,0,COUNTA(Y1892:AV1892)-1,1,-4),"미납")&gt;=3),"장기미납",
IF(AND(V1892="정상",OFFSET(Y1892,0,COUNTA(Y1892:AV1892)-1)&gt;=U1892),"정상",
IF(AND(V1892="정상",OFFSET(Y1892,0,COUNTA(Y1892:AV1892)-1)=0),"정상",
"계약서 미작성")))))</f>
        <v>면제</v>
      </c>
      <c r="X1892" s="81" t="str">
        <f aca="true">
IF(D1892="폐업","폐업",
IF(AND(V1892="정상",OFFSET(Y1892,0,COUNTA(Y1892:AV1892)-1)="미납"),"미납",
IF(AND(V1892="정상",OFFSET(Y1892,0,COUNTA(Y1892:AV1892)-1)=0),"납부 시작 전",
IF(AND(V1892="정상",OFFSET(Y1892,0,COUNTA(Y1892:AV1892)-1)&gt;=U1892),"정상",
IF(AND(V1892="면제",OFFSET(Y1892,0,COUNTA(Y1892:AV1892)-1)="면제"),"면제",
IF(AND(V1892="면제",OFFSET(Y1892,0,COUNTA(Y1892:AV1892)-1)=0),"면제",
"확인요청"))))))</f>
        <v>면제</v>
      </c>
      <c r="Y1892" s="94" t="s">
        <v>7</v>
      </c>
      <c r="Z1892" s="95" t="s">
        <v>7</v>
      </c>
      <c r="AA1892" s="95" t="s">
        <v>7</v>
      </c>
      <c r="AB1892" s="95" t="s">
        <v>7</v>
      </c>
      <c r="AC1892" s="95" t="s">
        <v>7</v>
      </c>
      <c r="AD1892" s="95" t="s">
        <v>7</v>
      </c>
      <c r="AE1892" s="95" t="s">
        <v>7</v>
      </c>
      <c r="AF1892" s="95" t="s">
        <v>7</v>
      </c>
      <c r="AG1892" s="95" t="s">
        <v>7</v>
      </c>
      <c r="AH1892" s="95" t="s">
        <v>7</v>
      </c>
      <c r="AI1892" s="95" t="s">
        <v>7</v>
      </c>
      <c r="AJ1892" s="96" t="s">
        <v>7</v>
      </c>
      <c r="AK1892" s="97" t="s">
        <v>7</v>
      </c>
      <c r="AL1892" s="95" t="s">
        <v>7</v>
      </c>
      <c r="AM1892" s="90"/>
      <c r="AN1892" s="90"/>
      <c r="AO1892" s="90"/>
      <c r="AP1892" s="90"/>
      <c r="AQ1892" s="90"/>
      <c r="AR1892" s="90"/>
      <c r="AS1892" s="90"/>
      <c r="AT1892" s="90"/>
      <c r="AU1892" s="90"/>
      <c r="AV1892" s="91"/>
      <c r="AX1892" s="92"/>
    </row>
    <row r="1893" customFormat="false" ht="15.65" hidden="false" customHeight="false" outlineLevel="0" collapsed="false">
      <c r="C1893" s="72" t="n">
        <f aca="false">COUNTIFS($D$6:D1893,"&lt;&gt;"&amp;"")</f>
        <v>1888</v>
      </c>
      <c r="D1893" s="73" t="s">
        <v>12</v>
      </c>
      <c r="E1893" s="76" t="str">
        <f aca="false">
IF($D1893="정상",INDEX(임대자산!$D$3:$R$3000,MATCH($F1893,임대자산!$I$3:$I$3000,0),MATCH(E$3,임대자산!$D$3:$R$3,0)),
IF($D1893="폐업",INDEX(폐업정보!$D$3:$R$3000,MATCH($F1893,폐업정보!$I$3:$I$3000,0),MATCH(E$3,폐업정보!$D$3:$R$3,0)),
"Error"))</f>
        <v>경상</v>
      </c>
      <c r="F189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B1888</v>
      </c>
      <c r="G1893" s="76" t="str">
        <f aca="false">F1893&amp;RANDBETWEEN(0,10)</f>
        <v>B18889</v>
      </c>
      <c r="H1893" s="75" t="n">
        <f aca="false">
IF($D1893="정상",INDEX(임대자산!$D$3:$R$3000,MATCH($F1893,임대자산!$I$3:$I$3000,0),MATCH(H$4,임대자산!$D$3:$R$3,0)),
IF($D1893="폐업",INDEX(폐업정보!$D$3:$R$3000,MATCH($F1893,폐업정보!$I$3:$I$3000,0),MATCH(H$4,폐업정보!$D$3:$R$3,0)),
"Error"))</f>
        <v>45975</v>
      </c>
      <c r="I1893" s="75" t="str">
        <f aca="false">
IF($D1893="정상",INDEX(임대자산!$D$3:$R$3000,MATCH($F1893,임대자산!$I$3:$I$3000,0),MATCH(I$4,임대자산!$D$3:$R$3,0)),
IF($D1893="폐업",INDEX(폐업정보!$D$3:$R$3000,MATCH($F1893,폐업정보!$I$3:$I$3000,0),MATCH(I$4,폐업정보!$D$3:$R$3,0)),
"Error"))</f>
        <v>A1888</v>
      </c>
      <c r="J1893" s="75" t="str">
        <f aca="false">
IF($D1893="정상",INDEX(임대자산!$D$3:$R$3000,MATCH($F1893,임대자산!$I$3:$I$3000,0),MATCH(J$4,임대자산!$D$3:$R$3,0)),
IF($D1893="폐업",INDEX(폐업정보!$D$3:$R$3000,MATCH($F1893,폐업정보!$I$3:$I$3000,0),MATCH(J$4,폐업정보!$D$3:$R$3,0)),
"Error"))</f>
        <v>5464200000</v>
      </c>
      <c r="K1893" s="75" t="str">
        <f aca="false">
IF($D1893="정상",INDEX(임대자산!$D$3:$R$3000,MATCH($F1893,임대자산!$I$3:$I$3000,0),MATCH(K$4,임대자산!$D$3:$R$3,0)),
IF($D1893="폐업",INDEX(폐업정보!$D$3:$R$3000,MATCH($F1893,폐업정보!$I$3:$I$3000,0),MATCH(K$4,폐업정보!$D$3:$R$3,0)),
"Error"))</f>
        <v>C1888</v>
      </c>
      <c r="L1893" s="75" t="str">
        <f aca="false">
IF($D1893="정상",INDEX(임대자산!$D$3:$R$3000,MATCH($F1893,임대자산!$I$3:$I$3000,0),MATCH(L$4,임대자산!$D$3:$R$3,0)),
IF($D1893="폐업",INDEX(폐업정보!$D$3:$R$3000,MATCH($F1893,폐업정보!$I$3:$I$3000,0),MATCH(L$4,폐업정보!$D$3:$R$3,0)),
"Error"))</f>
        <v>D1888</v>
      </c>
      <c r="M1893" s="76" t="s">
        <v>96</v>
      </c>
      <c r="N1893" s="77"/>
      <c r="O1893" s="78" t="s">
        <v>97</v>
      </c>
      <c r="P1893" s="79" t="n">
        <f aca="false">COUNTIFS(임대자산!$I:$I,가맹점정보!F1893,임대자산!$N:$N,가맹점정보!P$4)</f>
        <v>0</v>
      </c>
      <c r="Q1893" s="80" t="n">
        <f aca="false">COUNTIFS(임대자산!$I:$I,가맹점정보!F1893,임대자산!$N:$N,가맹점정보!Q$4)</f>
        <v>0</v>
      </c>
      <c r="R1893" s="81" t="n">
        <f aca="false">COUNTIFS(임대자산!$I:$I,가맹점정보!F1893,임대자산!$N:$N,가맹점정보!R$4)</f>
        <v>1</v>
      </c>
      <c r="S1893" s="82" t="n">
        <v>55000</v>
      </c>
      <c r="T1893" s="83" t="n">
        <v>0</v>
      </c>
      <c r="U1893" s="80" t="n">
        <f aca="false">SUM(S1893:T1893)</f>
        <v>55000</v>
      </c>
      <c r="V1893" s="84" t="s">
        <v>12</v>
      </c>
      <c r="W1893" s="80" t="e">
        <f aca="true">
IF(D1893="폐업","폐업",
IF(V1893="면제","면제",
IF(AND(V1893="정상",COUNTIFS(OFFSET(Y1893,0,COUNTA(Y1893:AV1893)-1,1,-4),"미납")&gt;=3),"장기미납",
IF(AND(V1893="정상",OFFSET(Y1893,0,COUNTA(Y1893:AV1893)-1)&gt;=U1893),"정상",
IF(AND(V1893="정상",OFFSET(Y1893,0,COUNTA(Y1893:AV1893)-1)=0),"정상",
"계약서 미작성")))))</f>
        <v>#VALUE!</v>
      </c>
      <c r="X1893" s="81" t="str">
        <f aca="true">
IF(D1893="폐업","폐업",
IF(AND(V1893="정상",OFFSET(Y1893,0,COUNTA(Y1893:AV1893)-1)="미납"),"미납",
IF(AND(V1893="정상",OFFSET(Y1893,0,COUNTA(Y1893:AV1893)-1)=0),"납부 시작 전",
IF(AND(V1893="정상",OFFSET(Y1893,0,COUNTA(Y1893:AV1893)-1)&gt;=U1893),"정상",
IF(AND(V1893="면제",OFFSET(Y1893,0,COUNTA(Y1893:AV1893)-1)="면제"),"면제",
IF(AND(V1893="면제",OFFSET(Y1893,0,COUNTA(Y1893:AV1893)-1)=0),"면제",
"확인요청"))))))</f>
        <v>정상</v>
      </c>
      <c r="Y1893" s="93" t="n">
        <v>55000</v>
      </c>
      <c r="Z1893" s="90" t="n">
        <v>55000</v>
      </c>
      <c r="AA1893" s="90" t="n">
        <v>55000</v>
      </c>
      <c r="AB1893" s="95" t="s">
        <v>62</v>
      </c>
      <c r="AC1893" s="90" t="s">
        <v>108</v>
      </c>
      <c r="AD1893" s="90" t="n">
        <v>110000</v>
      </c>
      <c r="AE1893" s="95" t="s">
        <v>62</v>
      </c>
      <c r="AF1893" s="90" t="n">
        <v>55000</v>
      </c>
      <c r="AG1893" s="90" t="n">
        <v>55000</v>
      </c>
      <c r="AH1893" s="90" t="n">
        <v>55000</v>
      </c>
      <c r="AI1893" s="90" t="n">
        <v>55000</v>
      </c>
      <c r="AJ1893" s="91" t="n">
        <v>55000</v>
      </c>
      <c r="AK1893" s="89" t="n">
        <v>55000</v>
      </c>
      <c r="AL1893" s="90" t="n">
        <v>55000</v>
      </c>
      <c r="AM1893" s="90"/>
      <c r="AN1893" s="90"/>
      <c r="AO1893" s="90"/>
      <c r="AP1893" s="90"/>
      <c r="AQ1893" s="90"/>
      <c r="AR1893" s="90"/>
      <c r="AS1893" s="90"/>
      <c r="AT1893" s="90"/>
      <c r="AU1893" s="90"/>
      <c r="AV1893" s="91"/>
      <c r="AX1893" s="92"/>
    </row>
    <row r="1894" customFormat="false" ht="15.65" hidden="false" customHeight="false" outlineLevel="0" collapsed="false">
      <c r="C1894" s="72" t="n">
        <f aca="false">COUNTIFS($D$6:D1894,"&lt;&gt;"&amp;"")</f>
        <v>1889</v>
      </c>
      <c r="D1894" s="73" t="s">
        <v>12</v>
      </c>
      <c r="E1894" s="76" t="str">
        <f aca="false">
IF($D1894="정상",INDEX(임대자산!$D$3:$R$3000,MATCH($F1894,임대자산!$I$3:$I$3000,0),MATCH(E$3,임대자산!$D$3:$R$3,0)),
IF($D1894="폐업",INDEX(폐업정보!$D$3:$R$3000,MATCH($F1894,폐업정보!$I$3:$I$3000,0),MATCH(E$3,폐업정보!$D$3:$R$3,0)),
"Error"))</f>
        <v>강원</v>
      </c>
      <c r="F189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B1889</v>
      </c>
      <c r="G1894" s="76" t="str">
        <f aca="false">F1894&amp;RANDBETWEEN(0,10)</f>
        <v>B18895</v>
      </c>
      <c r="H1894" s="75" t="n">
        <f aca="false">
IF($D1894="정상",INDEX(임대자산!$D$3:$R$3000,MATCH($F1894,임대자산!$I$3:$I$3000,0),MATCH(H$4,임대자산!$D$3:$R$3,0)),
IF($D1894="폐업",INDEX(폐업정보!$D$3:$R$3000,MATCH($F1894,폐업정보!$I$3:$I$3000,0),MATCH(H$4,폐업정보!$D$3:$R$3,0)),
"Error"))</f>
        <v>45972</v>
      </c>
      <c r="I1894" s="75" t="str">
        <f aca="false">
IF($D1894="정상",INDEX(임대자산!$D$3:$R$3000,MATCH($F1894,임대자산!$I$3:$I$3000,0),MATCH(I$4,임대자산!$D$3:$R$3,0)),
IF($D1894="폐업",INDEX(폐업정보!$D$3:$R$3000,MATCH($F1894,폐업정보!$I$3:$I$3000,0),MATCH(I$4,폐업정보!$D$3:$R$3,0)),
"Error"))</f>
        <v>A1889</v>
      </c>
      <c r="J1894" s="75" t="str">
        <f aca="false">
IF($D1894="정상",INDEX(임대자산!$D$3:$R$3000,MATCH($F1894,임대자산!$I$3:$I$3000,0),MATCH(J$4,임대자산!$D$3:$R$3,0)),
IF($D1894="폐업",INDEX(폐업정보!$D$3:$R$3000,MATCH($F1894,폐업정보!$I$3:$I$3000,0),MATCH(J$4,폐업정보!$D$3:$R$3,0)),
"Error"))</f>
        <v>3706100000</v>
      </c>
      <c r="K1894" s="75" t="str">
        <f aca="false">
IF($D1894="정상",INDEX(임대자산!$D$3:$R$3000,MATCH($F1894,임대자산!$I$3:$I$3000,0),MATCH(K$4,임대자산!$D$3:$R$3,0)),
IF($D1894="폐업",INDEX(폐업정보!$D$3:$R$3000,MATCH($F1894,폐업정보!$I$3:$I$3000,0),MATCH(K$4,폐업정보!$D$3:$R$3,0)),
"Error"))</f>
        <v>C1889</v>
      </c>
      <c r="L1894" s="75" t="str">
        <f aca="false">
IF($D1894="정상",INDEX(임대자산!$D$3:$R$3000,MATCH($F1894,임대자산!$I$3:$I$3000,0),MATCH(L$4,임대자산!$D$3:$R$3,0)),
IF($D1894="폐업",INDEX(폐업정보!$D$3:$R$3000,MATCH($F1894,폐업정보!$I$3:$I$3000,0),MATCH(L$4,폐업정보!$D$3:$R$3,0)),
"Error"))</f>
        <v>D1889</v>
      </c>
      <c r="M1894" s="76" t="s">
        <v>96</v>
      </c>
      <c r="N1894" s="77"/>
      <c r="O1894" s="78" t="s">
        <v>97</v>
      </c>
      <c r="P1894" s="79" t="n">
        <f aca="false">COUNTIFS(임대자산!$I:$I,가맹점정보!F1894,임대자산!$N:$N,가맹점정보!P$4)</f>
        <v>0</v>
      </c>
      <c r="Q1894" s="80" t="n">
        <f aca="false">COUNTIFS(임대자산!$I:$I,가맹점정보!F1894,임대자산!$N:$N,가맹점정보!Q$4)</f>
        <v>0</v>
      </c>
      <c r="R1894" s="81" t="n">
        <f aca="false">COUNTIFS(임대자산!$I:$I,가맹점정보!F1894,임대자산!$N:$N,가맹점정보!R$4)</f>
        <v>1</v>
      </c>
      <c r="S1894" s="82" t="n">
        <v>55000</v>
      </c>
      <c r="T1894" s="83" t="n">
        <v>0</v>
      </c>
      <c r="U1894" s="80" t="n">
        <f aca="false">SUM(S1894:T1894)</f>
        <v>55000</v>
      </c>
      <c r="V1894" s="84" t="s">
        <v>12</v>
      </c>
      <c r="W1894" s="80" t="e">
        <f aca="true">
IF(D1894="폐업","폐업",
IF(V1894="면제","면제",
IF(AND(V1894="정상",COUNTIFS(OFFSET(Y1894,0,COUNTA(Y1894:AV1894)-1,1,-4),"미납")&gt;=3),"장기미납",
IF(AND(V1894="정상",OFFSET(Y1894,0,COUNTA(Y1894:AV1894)-1)&gt;=U1894),"정상",
IF(AND(V1894="정상",OFFSET(Y1894,0,COUNTA(Y1894:AV1894)-1)=0),"정상",
"계약서 미작성")))))</f>
        <v>#VALUE!</v>
      </c>
      <c r="X1894" s="81" t="str">
        <f aca="true">
IF(D1894="폐업","폐업",
IF(AND(V1894="정상",OFFSET(Y1894,0,COUNTA(Y1894:AV1894)-1)="미납"),"미납",
IF(AND(V1894="정상",OFFSET(Y1894,0,COUNTA(Y1894:AV1894)-1)=0),"납부 시작 전",
IF(AND(V1894="정상",OFFSET(Y1894,0,COUNTA(Y1894:AV1894)-1)&gt;=U1894),"정상",
IF(AND(V1894="면제",OFFSET(Y1894,0,COUNTA(Y1894:AV1894)-1)="면제"),"면제",
IF(AND(V1894="면제",OFFSET(Y1894,0,COUNTA(Y1894:AV1894)-1)=0),"면제",
"확인요청"))))))</f>
        <v>미납</v>
      </c>
      <c r="Y1894" s="93" t="n">
        <v>55000</v>
      </c>
      <c r="Z1894" s="90" t="n">
        <v>55000</v>
      </c>
      <c r="AA1894" s="90" t="n">
        <v>55000</v>
      </c>
      <c r="AB1894" s="90" t="s">
        <v>109</v>
      </c>
      <c r="AC1894" s="90" t="n">
        <v>110000</v>
      </c>
      <c r="AD1894" s="90" t="s">
        <v>102</v>
      </c>
      <c r="AE1894" s="90" t="s">
        <v>107</v>
      </c>
      <c r="AF1894" s="90" t="n">
        <v>55000</v>
      </c>
      <c r="AG1894" s="90" t="n">
        <v>110000</v>
      </c>
      <c r="AH1894" s="90" t="n">
        <v>55000</v>
      </c>
      <c r="AI1894" s="95" t="s">
        <v>62</v>
      </c>
      <c r="AJ1894" s="91" t="n">
        <v>110000</v>
      </c>
      <c r="AK1894" s="97" t="s">
        <v>62</v>
      </c>
      <c r="AL1894" s="95" t="s">
        <v>62</v>
      </c>
      <c r="AM1894" s="90"/>
      <c r="AN1894" s="90"/>
      <c r="AO1894" s="90"/>
      <c r="AP1894" s="90"/>
      <c r="AQ1894" s="90"/>
      <c r="AR1894" s="90"/>
      <c r="AS1894" s="90"/>
      <c r="AT1894" s="90"/>
      <c r="AU1894" s="90"/>
      <c r="AV1894" s="91"/>
      <c r="AX1894" s="92"/>
    </row>
    <row r="1895" customFormat="false" ht="15.65" hidden="false" customHeight="false" outlineLevel="0" collapsed="false">
      <c r="C1895" s="72" t="n">
        <f aca="false">COUNTIFS($D$6:D1895,"&lt;&gt;"&amp;"")</f>
        <v>1890</v>
      </c>
      <c r="D1895" s="73" t="s">
        <v>12</v>
      </c>
      <c r="E1895" s="76" t="str">
        <f aca="false">
IF($D1895="정상",INDEX(임대자산!$D$3:$R$3000,MATCH($F1895,임대자산!$I$3:$I$3000,0),MATCH(E$3,임대자산!$D$3:$R$3,0)),
IF($D1895="폐업",INDEX(폐업정보!$D$3:$R$3000,MATCH($F1895,폐업정보!$I$3:$I$3000,0),MATCH(E$3,폐업정보!$D$3:$R$3,0)),
"Error"))</f>
        <v>강원</v>
      </c>
      <c r="F189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B1890</v>
      </c>
      <c r="G1895" s="76" t="str">
        <f aca="false">F1895&amp;RANDBETWEEN(0,10)</f>
        <v>B18909</v>
      </c>
      <c r="H1895" s="75" t="n">
        <f aca="false">
IF($D1895="정상",INDEX(임대자산!$D$3:$R$3000,MATCH($F1895,임대자산!$I$3:$I$3000,0),MATCH(H$4,임대자산!$D$3:$R$3,0)),
IF($D1895="폐업",INDEX(폐업정보!$D$3:$R$3000,MATCH($F1895,폐업정보!$I$3:$I$3000,0),MATCH(H$4,폐업정보!$D$3:$R$3,0)),
"Error"))</f>
        <v>45972</v>
      </c>
      <c r="I1895" s="75" t="str">
        <f aca="false">
IF($D1895="정상",INDEX(임대자산!$D$3:$R$3000,MATCH($F1895,임대자산!$I$3:$I$3000,0),MATCH(I$4,임대자산!$D$3:$R$3,0)),
IF($D1895="폐업",INDEX(폐업정보!$D$3:$R$3000,MATCH($F1895,폐업정보!$I$3:$I$3000,0),MATCH(I$4,폐업정보!$D$3:$R$3,0)),
"Error"))</f>
        <v>A1890</v>
      </c>
      <c r="J1895" s="75" t="str">
        <f aca="false">
IF($D1895="정상",INDEX(임대자산!$D$3:$R$3000,MATCH($F1895,임대자산!$I$3:$I$3000,0),MATCH(J$4,임대자산!$D$3:$R$3,0)),
IF($D1895="폐업",INDEX(폐업정보!$D$3:$R$3000,MATCH($F1895,폐업정보!$I$3:$I$3000,0),MATCH(J$4,폐업정보!$D$3:$R$3,0)),
"Error"))</f>
        <v>1279600000</v>
      </c>
      <c r="K1895" s="75" t="str">
        <f aca="false">
IF($D1895="정상",INDEX(임대자산!$D$3:$R$3000,MATCH($F1895,임대자산!$I$3:$I$3000,0),MATCH(K$4,임대자산!$D$3:$R$3,0)),
IF($D1895="폐업",INDEX(폐업정보!$D$3:$R$3000,MATCH($F1895,폐업정보!$I$3:$I$3000,0),MATCH(K$4,폐업정보!$D$3:$R$3,0)),
"Error"))</f>
        <v>C1890</v>
      </c>
      <c r="L1895" s="75" t="str">
        <f aca="false">
IF($D1895="정상",INDEX(임대자산!$D$3:$R$3000,MATCH($F1895,임대자산!$I$3:$I$3000,0),MATCH(L$4,임대자산!$D$3:$R$3,0)),
IF($D1895="폐업",INDEX(폐업정보!$D$3:$R$3000,MATCH($F1895,폐업정보!$I$3:$I$3000,0),MATCH(L$4,폐업정보!$D$3:$R$3,0)),
"Error"))</f>
        <v>D1890</v>
      </c>
      <c r="M1895" s="76" t="s">
        <v>96</v>
      </c>
      <c r="N1895" s="77"/>
      <c r="O1895" s="78" t="s">
        <v>97</v>
      </c>
      <c r="P1895" s="79" t="n">
        <f aca="false">COUNTIFS(임대자산!$I:$I,가맹점정보!F1895,임대자산!$N:$N,가맹점정보!P$4)</f>
        <v>0</v>
      </c>
      <c r="Q1895" s="80" t="n">
        <f aca="false">COUNTIFS(임대자산!$I:$I,가맹점정보!F1895,임대자산!$N:$N,가맹점정보!Q$4)</f>
        <v>0</v>
      </c>
      <c r="R1895" s="81" t="n">
        <f aca="false">COUNTIFS(임대자산!$I:$I,가맹점정보!F1895,임대자산!$N:$N,가맹점정보!R$4)</f>
        <v>1</v>
      </c>
      <c r="S1895" s="82" t="n">
        <v>88000</v>
      </c>
      <c r="T1895" s="83" t="n">
        <v>0</v>
      </c>
      <c r="U1895" s="80" t="n">
        <f aca="false">SUM(S1895:T1895)</f>
        <v>88000</v>
      </c>
      <c r="V1895" s="84" t="s">
        <v>12</v>
      </c>
      <c r="W1895" s="80" t="e">
        <f aca="true">
IF(D1895="폐업","폐업",
IF(V1895="면제","면제",
IF(AND(V1895="정상",COUNTIFS(OFFSET(Y1895,0,COUNTA(Y1895:AV1895)-1,1,-4),"미납")&gt;=3),"장기미납",
IF(AND(V1895="정상",OFFSET(Y1895,0,COUNTA(Y1895:AV1895)-1)&gt;=U1895),"정상",
IF(AND(V1895="정상",OFFSET(Y1895,0,COUNTA(Y1895:AV1895)-1)=0),"정상",
"계약서 미작성")))))</f>
        <v>#VALUE!</v>
      </c>
      <c r="X1895" s="81" t="str">
        <f aca="true">
IF(D1895="폐업","폐업",
IF(AND(V1895="정상",OFFSET(Y1895,0,COUNTA(Y1895:AV1895)-1)="미납"),"미납",
IF(AND(V1895="정상",OFFSET(Y1895,0,COUNTA(Y1895:AV1895)-1)=0),"납부 시작 전",
IF(AND(V1895="정상",OFFSET(Y1895,0,COUNTA(Y1895:AV1895)-1)&gt;=U1895),"정상",
IF(AND(V1895="면제",OFFSET(Y1895,0,COUNTA(Y1895:AV1895)-1)="면제"),"면제",
IF(AND(V1895="면제",OFFSET(Y1895,0,COUNTA(Y1895:AV1895)-1)=0),"면제",
"확인요청"))))))</f>
        <v>정상</v>
      </c>
      <c r="Y1895" s="93" t="n">
        <v>88000</v>
      </c>
      <c r="Z1895" s="90" t="n">
        <v>88000</v>
      </c>
      <c r="AA1895" s="90" t="n">
        <v>88000</v>
      </c>
      <c r="AB1895" s="90" t="s">
        <v>108</v>
      </c>
      <c r="AC1895" s="90" t="s">
        <v>108</v>
      </c>
      <c r="AD1895" s="90" t="n">
        <v>264000</v>
      </c>
      <c r="AE1895" s="90" t="n">
        <v>88000</v>
      </c>
      <c r="AF1895" s="90" t="n">
        <v>88000</v>
      </c>
      <c r="AG1895" s="90" t="n">
        <v>88000</v>
      </c>
      <c r="AH1895" s="90" t="n">
        <v>88000</v>
      </c>
      <c r="AI1895" s="90" t="n">
        <v>88000</v>
      </c>
      <c r="AJ1895" s="91" t="n">
        <v>88000</v>
      </c>
      <c r="AK1895" s="89" t="n">
        <v>88000</v>
      </c>
      <c r="AL1895" s="90" t="n">
        <v>88000</v>
      </c>
      <c r="AM1895" s="90"/>
      <c r="AN1895" s="90"/>
      <c r="AO1895" s="90"/>
      <c r="AP1895" s="90"/>
      <c r="AQ1895" s="90"/>
      <c r="AR1895" s="90"/>
      <c r="AS1895" s="90"/>
      <c r="AT1895" s="90"/>
      <c r="AU1895" s="90"/>
      <c r="AV1895" s="91"/>
      <c r="AX1895" s="92"/>
    </row>
    <row r="1896" customFormat="false" ht="15.65" hidden="false" customHeight="false" outlineLevel="0" collapsed="false">
      <c r="C1896" s="72" t="n">
        <f aca="false">COUNTIFS($D$6:D1896,"&lt;&gt;"&amp;"")</f>
        <v>1891</v>
      </c>
      <c r="D1896" s="73" t="s">
        <v>12</v>
      </c>
      <c r="E1896" s="76" t="str">
        <f aca="false">
IF($D1896="정상",INDEX(임대자산!$D$3:$R$3000,MATCH($F1896,임대자산!$I$3:$I$3000,0),MATCH(E$3,임대자산!$D$3:$R$3,0)),
IF($D1896="폐업",INDEX(폐업정보!$D$3:$R$3000,MATCH($F1896,폐업정보!$I$3:$I$3000,0),MATCH(E$3,폐업정보!$D$3:$R$3,0)),
"Error"))</f>
        <v>서울</v>
      </c>
      <c r="F189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B1891</v>
      </c>
      <c r="G1896" s="76" t="str">
        <f aca="false">F1896&amp;RANDBETWEEN(0,10)</f>
        <v>B18911</v>
      </c>
      <c r="H1896" s="75" t="n">
        <f aca="false">
IF($D1896="정상",INDEX(임대자산!$D$3:$R$3000,MATCH($F1896,임대자산!$I$3:$I$3000,0),MATCH(H$4,임대자산!$D$3:$R$3,0)),
IF($D1896="폐업",INDEX(폐업정보!$D$3:$R$3000,MATCH($F1896,폐업정보!$I$3:$I$3000,0),MATCH(H$4,폐업정보!$D$3:$R$3,0)),
"Error"))</f>
        <v>45972</v>
      </c>
      <c r="I1896" s="75" t="str">
        <f aca="false">
IF($D1896="정상",INDEX(임대자산!$D$3:$R$3000,MATCH($F1896,임대자산!$I$3:$I$3000,0),MATCH(I$4,임대자산!$D$3:$R$3,0)),
IF($D1896="폐업",INDEX(폐업정보!$D$3:$R$3000,MATCH($F1896,폐업정보!$I$3:$I$3000,0),MATCH(I$4,폐업정보!$D$3:$R$3,0)),
"Error"))</f>
        <v>A1891</v>
      </c>
      <c r="J1896" s="75" t="str">
        <f aca="false">
IF($D1896="정상",INDEX(임대자산!$D$3:$R$3000,MATCH($F1896,임대자산!$I$3:$I$3000,0),MATCH(J$4,임대자산!$D$3:$R$3,0)),
IF($D1896="폐업",INDEX(폐업정보!$D$3:$R$3000,MATCH($F1896,폐업정보!$I$3:$I$3000,0),MATCH(J$4,폐업정보!$D$3:$R$3,0)),
"Error"))</f>
        <v>3560900000</v>
      </c>
      <c r="K1896" s="75" t="str">
        <f aca="false">
IF($D1896="정상",INDEX(임대자산!$D$3:$R$3000,MATCH($F1896,임대자산!$I$3:$I$3000,0),MATCH(K$4,임대자산!$D$3:$R$3,0)),
IF($D1896="폐업",INDEX(폐업정보!$D$3:$R$3000,MATCH($F1896,폐업정보!$I$3:$I$3000,0),MATCH(K$4,폐업정보!$D$3:$R$3,0)),
"Error"))</f>
        <v>C1891</v>
      </c>
      <c r="L1896" s="75" t="str">
        <f aca="false">
IF($D1896="정상",INDEX(임대자산!$D$3:$R$3000,MATCH($F1896,임대자산!$I$3:$I$3000,0),MATCH(L$4,임대자산!$D$3:$R$3,0)),
IF($D1896="폐업",INDEX(폐업정보!$D$3:$R$3000,MATCH($F1896,폐업정보!$I$3:$I$3000,0),MATCH(L$4,폐업정보!$D$3:$R$3,0)),
"Error"))</f>
        <v>D1891</v>
      </c>
      <c r="M1896" s="76" t="s">
        <v>96</v>
      </c>
      <c r="N1896" s="77"/>
      <c r="O1896" s="78" t="s">
        <v>97</v>
      </c>
      <c r="P1896" s="79" t="n">
        <f aca="false">COUNTIFS(임대자산!$I:$I,가맹점정보!F1896,임대자산!$N:$N,가맹점정보!P$4)</f>
        <v>0</v>
      </c>
      <c r="Q1896" s="80" t="n">
        <f aca="false">COUNTIFS(임대자산!$I:$I,가맹점정보!F1896,임대자산!$N:$N,가맹점정보!Q$4)</f>
        <v>0</v>
      </c>
      <c r="R1896" s="81" t="n">
        <f aca="false">COUNTIFS(임대자산!$I:$I,가맹점정보!F1896,임대자산!$N:$N,가맹점정보!R$4)</f>
        <v>1</v>
      </c>
      <c r="S1896" s="82" t="n">
        <v>55000</v>
      </c>
      <c r="T1896" s="83" t="n">
        <v>0</v>
      </c>
      <c r="U1896" s="80" t="n">
        <f aca="false">SUM(S1896:T1896)</f>
        <v>55000</v>
      </c>
      <c r="V1896" s="84" t="s">
        <v>12</v>
      </c>
      <c r="W1896" s="80" t="e">
        <f aca="true">
IF(D1896="폐업","폐업",
IF(V1896="면제","면제",
IF(AND(V1896="정상",COUNTIFS(OFFSET(Y1896,0,COUNTA(Y1896:AV1896)-1,1,-4),"미납")&gt;=3),"장기미납",
IF(AND(V1896="정상",OFFSET(Y1896,0,COUNTA(Y1896:AV1896)-1)&gt;=U1896),"정상",
IF(AND(V1896="정상",OFFSET(Y1896,0,COUNTA(Y1896:AV1896)-1)=0),"정상",
"계약서 미작성")))))</f>
        <v>#VALUE!</v>
      </c>
      <c r="X1896" s="81" t="str">
        <f aca="true">
IF(D1896="폐업","폐업",
IF(AND(V1896="정상",OFFSET(Y1896,0,COUNTA(Y1896:AV1896)-1)="미납"),"미납",
IF(AND(V1896="정상",OFFSET(Y1896,0,COUNTA(Y1896:AV1896)-1)=0),"납부 시작 전",
IF(AND(V1896="정상",OFFSET(Y1896,0,COUNTA(Y1896:AV1896)-1)&gt;=U1896),"정상",
IF(AND(V1896="면제",OFFSET(Y1896,0,COUNTA(Y1896:AV1896)-1)="면제"),"면제",
IF(AND(V1896="면제",OFFSET(Y1896,0,COUNTA(Y1896:AV1896)-1)=0),"면제",
"확인요청"))))))</f>
        <v>정상</v>
      </c>
      <c r="Y1896" s="93" t="n">
        <v>55000</v>
      </c>
      <c r="Z1896" s="90" t="n">
        <v>55000</v>
      </c>
      <c r="AA1896" s="90" t="n">
        <v>55000</v>
      </c>
      <c r="AB1896" s="90" t="s">
        <v>103</v>
      </c>
      <c r="AC1896" s="90" t="s">
        <v>103</v>
      </c>
      <c r="AD1896" s="90" t="s">
        <v>103</v>
      </c>
      <c r="AE1896" s="90" t="n">
        <v>220000</v>
      </c>
      <c r="AF1896" s="90" t="n">
        <v>55000</v>
      </c>
      <c r="AG1896" s="90" t="n">
        <v>55000</v>
      </c>
      <c r="AH1896" s="90" t="n">
        <v>55000</v>
      </c>
      <c r="AI1896" s="90" t="n">
        <v>55000</v>
      </c>
      <c r="AJ1896" s="91" t="n">
        <v>55000</v>
      </c>
      <c r="AK1896" s="89" t="n">
        <v>55000</v>
      </c>
      <c r="AL1896" s="90" t="n">
        <v>55000</v>
      </c>
      <c r="AM1896" s="90"/>
      <c r="AN1896" s="90"/>
      <c r="AO1896" s="90"/>
      <c r="AP1896" s="90"/>
      <c r="AQ1896" s="90"/>
      <c r="AR1896" s="90"/>
      <c r="AS1896" s="90"/>
      <c r="AT1896" s="90"/>
      <c r="AU1896" s="90"/>
      <c r="AV1896" s="91"/>
      <c r="AX1896" s="92"/>
    </row>
    <row r="1897" customFormat="false" ht="15.65" hidden="false" customHeight="false" outlineLevel="0" collapsed="false">
      <c r="C1897" s="72" t="n">
        <f aca="false">COUNTIFS($D$6:D1897,"&lt;&gt;"&amp;"")</f>
        <v>1892</v>
      </c>
      <c r="D1897" s="73" t="s">
        <v>12</v>
      </c>
      <c r="E1897" s="76" t="str">
        <f aca="false">
IF($D1897="정상",INDEX(임대자산!$D$3:$R$3000,MATCH($F1897,임대자산!$I$3:$I$3000,0),MATCH(E$3,임대자산!$D$3:$R$3,0)),
IF($D1897="폐업",INDEX(폐업정보!$D$3:$R$3000,MATCH($F1897,폐업정보!$I$3:$I$3000,0),MATCH(E$3,폐업정보!$D$3:$R$3,0)),
"Error"))</f>
        <v>서울</v>
      </c>
      <c r="F189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B1892</v>
      </c>
      <c r="G1897" s="76" t="str">
        <f aca="false">F1897&amp;RANDBETWEEN(0,10)</f>
        <v>B18920</v>
      </c>
      <c r="H1897" s="75" t="n">
        <f aca="false">
IF($D1897="정상",INDEX(임대자산!$D$3:$R$3000,MATCH($F1897,임대자산!$I$3:$I$3000,0),MATCH(H$4,임대자산!$D$3:$R$3,0)),
IF($D1897="폐업",INDEX(폐업정보!$D$3:$R$3000,MATCH($F1897,폐업정보!$I$3:$I$3000,0),MATCH(H$4,폐업정보!$D$3:$R$3,0)),
"Error"))</f>
        <v>45979</v>
      </c>
      <c r="I1897" s="75" t="str">
        <f aca="false">
IF($D1897="정상",INDEX(임대자산!$D$3:$R$3000,MATCH($F1897,임대자산!$I$3:$I$3000,0),MATCH(I$4,임대자산!$D$3:$R$3,0)),
IF($D1897="폐업",INDEX(폐업정보!$D$3:$R$3000,MATCH($F1897,폐업정보!$I$3:$I$3000,0),MATCH(I$4,폐업정보!$D$3:$R$3,0)),
"Error"))</f>
        <v>A1892</v>
      </c>
      <c r="J1897" s="75" t="str">
        <f aca="false">
IF($D1897="정상",INDEX(임대자산!$D$3:$R$3000,MATCH($F1897,임대자산!$I$3:$I$3000,0),MATCH(J$4,임대자산!$D$3:$R$3,0)),
IF($D1897="폐업",INDEX(폐업정보!$D$3:$R$3000,MATCH($F1897,폐업정보!$I$3:$I$3000,0),MATCH(J$4,폐업정보!$D$3:$R$3,0)),
"Error"))</f>
        <v>1625700000</v>
      </c>
      <c r="K1897" s="75" t="str">
        <f aca="false">
IF($D1897="정상",INDEX(임대자산!$D$3:$R$3000,MATCH($F1897,임대자산!$I$3:$I$3000,0),MATCH(K$4,임대자산!$D$3:$R$3,0)),
IF($D1897="폐업",INDEX(폐업정보!$D$3:$R$3000,MATCH($F1897,폐업정보!$I$3:$I$3000,0),MATCH(K$4,폐업정보!$D$3:$R$3,0)),
"Error"))</f>
        <v>C1892</v>
      </c>
      <c r="L1897" s="75" t="str">
        <f aca="false">
IF($D1897="정상",INDEX(임대자산!$D$3:$R$3000,MATCH($F1897,임대자산!$I$3:$I$3000,0),MATCH(L$4,임대자산!$D$3:$R$3,0)),
IF($D1897="폐업",INDEX(폐업정보!$D$3:$R$3000,MATCH($F1897,폐업정보!$I$3:$I$3000,0),MATCH(L$4,폐업정보!$D$3:$R$3,0)),
"Error"))</f>
        <v>D1892</v>
      </c>
      <c r="M1897" s="76" t="s">
        <v>96</v>
      </c>
      <c r="N1897" s="77"/>
      <c r="O1897" s="78" t="s">
        <v>97</v>
      </c>
      <c r="P1897" s="79" t="n">
        <f aca="false">COUNTIFS(임대자산!$I:$I,가맹점정보!F1897,임대자산!$N:$N,가맹점정보!P$4)</f>
        <v>0</v>
      </c>
      <c r="Q1897" s="80" t="n">
        <f aca="false">COUNTIFS(임대자산!$I:$I,가맹점정보!F1897,임대자산!$N:$N,가맹점정보!Q$4)</f>
        <v>0</v>
      </c>
      <c r="R1897" s="81" t="n">
        <f aca="false">COUNTIFS(임대자산!$I:$I,가맹점정보!F1897,임대자산!$N:$N,가맹점정보!R$4)</f>
        <v>1</v>
      </c>
      <c r="S1897" s="82" t="n">
        <v>55000</v>
      </c>
      <c r="T1897" s="83" t="n">
        <v>0</v>
      </c>
      <c r="U1897" s="80" t="n">
        <f aca="false">SUM(S1897:T1897)</f>
        <v>55000</v>
      </c>
      <c r="V1897" s="84" t="s">
        <v>12</v>
      </c>
      <c r="W1897" s="80" t="e">
        <f aca="true">
IF(D1897="폐업","폐업",
IF(V1897="면제","면제",
IF(AND(V1897="정상",COUNTIFS(OFFSET(Y1897,0,COUNTA(Y1897:AV1897)-1,1,-4),"미납")&gt;=3),"장기미납",
IF(AND(V1897="정상",OFFSET(Y1897,0,COUNTA(Y1897:AV1897)-1)&gt;=U1897),"정상",
IF(AND(V1897="정상",OFFSET(Y1897,0,COUNTA(Y1897:AV1897)-1)=0),"정상",
"계약서 미작성")))))</f>
        <v>#VALUE!</v>
      </c>
      <c r="X1897" s="81" t="str">
        <f aca="true">
IF(D1897="폐업","폐업",
IF(AND(V1897="정상",OFFSET(Y1897,0,COUNTA(Y1897:AV1897)-1)="미납"),"미납",
IF(AND(V1897="정상",OFFSET(Y1897,0,COUNTA(Y1897:AV1897)-1)=0),"납부 시작 전",
IF(AND(V1897="정상",OFFSET(Y1897,0,COUNTA(Y1897:AV1897)-1)&gt;=U1897),"정상",
IF(AND(V1897="면제",OFFSET(Y1897,0,COUNTA(Y1897:AV1897)-1)="면제"),"면제",
IF(AND(V1897="면제",OFFSET(Y1897,0,COUNTA(Y1897:AV1897)-1)=0),"면제",
"확인요청"))))))</f>
        <v>미납</v>
      </c>
      <c r="Y1897" s="93" t="n">
        <v>55000</v>
      </c>
      <c r="Z1897" s="90" t="n">
        <v>55000</v>
      </c>
      <c r="AA1897" s="90" t="n">
        <v>55000</v>
      </c>
      <c r="AB1897" s="90" t="s">
        <v>109</v>
      </c>
      <c r="AC1897" s="90" t="n">
        <v>110000</v>
      </c>
      <c r="AD1897" s="90" t="n">
        <v>55000</v>
      </c>
      <c r="AE1897" s="90" t="n">
        <v>55000</v>
      </c>
      <c r="AF1897" s="90" t="n">
        <v>55000</v>
      </c>
      <c r="AG1897" s="90" t="n">
        <v>55000</v>
      </c>
      <c r="AH1897" s="90" t="n">
        <v>55000</v>
      </c>
      <c r="AI1897" s="90" t="n">
        <v>55000</v>
      </c>
      <c r="AJ1897" s="91" t="n">
        <v>55000</v>
      </c>
      <c r="AK1897" s="89" t="n">
        <v>55000</v>
      </c>
      <c r="AL1897" s="95" t="s">
        <v>62</v>
      </c>
      <c r="AM1897" s="90"/>
      <c r="AN1897" s="90"/>
      <c r="AO1897" s="90"/>
      <c r="AP1897" s="90"/>
      <c r="AQ1897" s="90"/>
      <c r="AR1897" s="90"/>
      <c r="AS1897" s="90"/>
      <c r="AT1897" s="90"/>
      <c r="AU1897" s="90"/>
      <c r="AV1897" s="91"/>
      <c r="AX1897" s="92"/>
    </row>
    <row r="1898" customFormat="false" ht="15.65" hidden="false" customHeight="false" outlineLevel="0" collapsed="false">
      <c r="C1898" s="72" t="n">
        <f aca="false">COUNTIFS($D$6:D1898,"&lt;&gt;"&amp;"")</f>
        <v>1893</v>
      </c>
      <c r="D1898" s="73" t="s">
        <v>12</v>
      </c>
      <c r="E1898" s="76" t="str">
        <f aca="false">
IF($D1898="정상",INDEX(임대자산!$D$3:$R$3000,MATCH($F1898,임대자산!$I$3:$I$3000,0),MATCH(E$3,임대자산!$D$3:$R$3,0)),
IF($D1898="폐업",INDEX(폐업정보!$D$3:$R$3000,MATCH($F1898,폐업정보!$I$3:$I$3000,0),MATCH(E$3,폐업정보!$D$3:$R$3,0)),
"Error"))</f>
        <v>서울</v>
      </c>
      <c r="F189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B1893</v>
      </c>
      <c r="G1898" s="76" t="str">
        <f aca="false">F1898&amp;RANDBETWEEN(0,10)</f>
        <v>B18936</v>
      </c>
      <c r="H1898" s="75" t="n">
        <f aca="false">
IF($D1898="정상",INDEX(임대자산!$D$3:$R$3000,MATCH($F1898,임대자산!$I$3:$I$3000,0),MATCH(H$4,임대자산!$D$3:$R$3,0)),
IF($D1898="폐업",INDEX(폐업정보!$D$3:$R$3000,MATCH($F1898,폐업정보!$I$3:$I$3000,0),MATCH(H$4,폐업정보!$D$3:$R$3,0)),
"Error"))</f>
        <v>45979</v>
      </c>
      <c r="I1898" s="75" t="str">
        <f aca="false">
IF($D1898="정상",INDEX(임대자산!$D$3:$R$3000,MATCH($F1898,임대자산!$I$3:$I$3000,0),MATCH(I$4,임대자산!$D$3:$R$3,0)),
IF($D1898="폐업",INDEX(폐업정보!$D$3:$R$3000,MATCH($F1898,폐업정보!$I$3:$I$3000,0),MATCH(I$4,폐업정보!$D$3:$R$3,0)),
"Error"))</f>
        <v>A1893</v>
      </c>
      <c r="J1898" s="75" t="str">
        <f aca="false">
IF($D1898="정상",INDEX(임대자산!$D$3:$R$3000,MATCH($F1898,임대자산!$I$3:$I$3000,0),MATCH(J$4,임대자산!$D$3:$R$3,0)),
IF($D1898="폐업",INDEX(폐업정보!$D$3:$R$3000,MATCH($F1898,폐업정보!$I$3:$I$3000,0),MATCH(J$4,폐업정보!$D$3:$R$3,0)),
"Error"))</f>
        <v>4932300000</v>
      </c>
      <c r="K1898" s="75" t="str">
        <f aca="false">
IF($D1898="정상",INDEX(임대자산!$D$3:$R$3000,MATCH($F1898,임대자산!$I$3:$I$3000,0),MATCH(K$4,임대자산!$D$3:$R$3,0)),
IF($D1898="폐업",INDEX(폐업정보!$D$3:$R$3000,MATCH($F1898,폐업정보!$I$3:$I$3000,0),MATCH(K$4,폐업정보!$D$3:$R$3,0)),
"Error"))</f>
        <v>C1893</v>
      </c>
      <c r="L1898" s="75" t="str">
        <f aca="false">
IF($D1898="정상",INDEX(임대자산!$D$3:$R$3000,MATCH($F1898,임대자산!$I$3:$I$3000,0),MATCH(L$4,임대자산!$D$3:$R$3,0)),
IF($D1898="폐업",INDEX(폐업정보!$D$3:$R$3000,MATCH($F1898,폐업정보!$I$3:$I$3000,0),MATCH(L$4,폐업정보!$D$3:$R$3,0)),
"Error"))</f>
        <v>D1893</v>
      </c>
      <c r="M1898" s="76" t="s">
        <v>96</v>
      </c>
      <c r="N1898" s="77"/>
      <c r="O1898" s="78" t="s">
        <v>97</v>
      </c>
      <c r="P1898" s="79" t="n">
        <f aca="false">COUNTIFS(임대자산!$I:$I,가맹점정보!F1898,임대자산!$N:$N,가맹점정보!P$4)</f>
        <v>0</v>
      </c>
      <c r="Q1898" s="80" t="n">
        <f aca="false">COUNTIFS(임대자산!$I:$I,가맹점정보!F1898,임대자산!$N:$N,가맹점정보!Q$4)</f>
        <v>0</v>
      </c>
      <c r="R1898" s="81" t="n">
        <f aca="false">COUNTIFS(임대자산!$I:$I,가맹점정보!F1898,임대자산!$N:$N,가맹점정보!R$4)</f>
        <v>1</v>
      </c>
      <c r="S1898" s="82" t="n">
        <v>55000</v>
      </c>
      <c r="T1898" s="83" t="n">
        <v>0</v>
      </c>
      <c r="U1898" s="80" t="n">
        <f aca="false">SUM(S1898:T1898)</f>
        <v>55000</v>
      </c>
      <c r="V1898" s="84" t="s">
        <v>12</v>
      </c>
      <c r="W1898" s="80" t="e">
        <f aca="true">
IF(D1898="폐업","폐업",
IF(V1898="면제","면제",
IF(AND(V1898="정상",COUNTIFS(OFFSET(Y1898,0,COUNTA(Y1898:AV1898)-1,1,-4),"미납")&gt;=3),"장기미납",
IF(AND(V1898="정상",OFFSET(Y1898,0,COUNTA(Y1898:AV1898)-1)&gt;=U1898),"정상",
IF(AND(V1898="정상",OFFSET(Y1898,0,COUNTA(Y1898:AV1898)-1)=0),"정상",
"계약서 미작성")))))</f>
        <v>#VALUE!</v>
      </c>
      <c r="X1898" s="81" t="str">
        <f aca="true">
IF(D1898="폐업","폐업",
IF(AND(V1898="정상",OFFSET(Y1898,0,COUNTA(Y1898:AV1898)-1)="미납"),"미납",
IF(AND(V1898="정상",OFFSET(Y1898,0,COUNTA(Y1898:AV1898)-1)=0),"납부 시작 전",
IF(AND(V1898="정상",OFFSET(Y1898,0,COUNTA(Y1898:AV1898)-1)&gt;=U1898),"정상",
IF(AND(V1898="면제",OFFSET(Y1898,0,COUNTA(Y1898:AV1898)-1)="면제"),"면제",
IF(AND(V1898="면제",OFFSET(Y1898,0,COUNTA(Y1898:AV1898)-1)=0),"면제",
"확인요청"))))))</f>
        <v>정상</v>
      </c>
      <c r="Y1898" s="93" t="n">
        <v>55000</v>
      </c>
      <c r="Z1898" s="90" t="n">
        <v>55000</v>
      </c>
      <c r="AA1898" s="90" t="n">
        <v>55000</v>
      </c>
      <c r="AB1898" s="90" t="s">
        <v>109</v>
      </c>
      <c r="AC1898" s="90" t="n">
        <v>110000</v>
      </c>
      <c r="AD1898" s="90" t="s">
        <v>103</v>
      </c>
      <c r="AE1898" s="90" t="n">
        <v>110000</v>
      </c>
      <c r="AF1898" s="90" t="n">
        <v>55000</v>
      </c>
      <c r="AG1898" s="90" t="n">
        <v>55000</v>
      </c>
      <c r="AH1898" s="90" t="n">
        <v>55000</v>
      </c>
      <c r="AI1898" s="90" t="n">
        <v>55000</v>
      </c>
      <c r="AJ1898" s="91" t="n">
        <v>55000</v>
      </c>
      <c r="AK1898" s="89" t="n">
        <v>55000</v>
      </c>
      <c r="AL1898" s="90" t="n">
        <v>55000</v>
      </c>
      <c r="AM1898" s="90"/>
      <c r="AN1898" s="90"/>
      <c r="AO1898" s="90"/>
      <c r="AP1898" s="90"/>
      <c r="AQ1898" s="90"/>
      <c r="AR1898" s="90"/>
      <c r="AS1898" s="90"/>
      <c r="AT1898" s="90"/>
      <c r="AU1898" s="90"/>
      <c r="AV1898" s="91"/>
      <c r="AX1898" s="92"/>
    </row>
    <row r="1899" customFormat="false" ht="15.65" hidden="false" customHeight="false" outlineLevel="0" collapsed="false">
      <c r="C1899" s="72" t="n">
        <f aca="false">COUNTIFS($D$6:D1899,"&lt;&gt;"&amp;"")</f>
        <v>1894</v>
      </c>
      <c r="D1899" s="73" t="s">
        <v>12</v>
      </c>
      <c r="E1899" s="76" t="str">
        <f aca="false">
IF($D1899="정상",INDEX(임대자산!$D$3:$R$3000,MATCH($F1899,임대자산!$I$3:$I$3000,0),MATCH(E$3,임대자산!$D$3:$R$3,0)),
IF($D1899="폐업",INDEX(폐업정보!$D$3:$R$3000,MATCH($F1899,폐업정보!$I$3:$I$3000,0),MATCH(E$3,폐업정보!$D$3:$R$3,0)),
"Error"))</f>
        <v>서울</v>
      </c>
      <c r="F189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B1894</v>
      </c>
      <c r="G1899" s="76" t="str">
        <f aca="false">F1899&amp;RANDBETWEEN(0,10)</f>
        <v>B18949</v>
      </c>
      <c r="H1899" s="75" t="n">
        <f aca="false">
IF($D1899="정상",INDEX(임대자산!$D$3:$R$3000,MATCH($F1899,임대자산!$I$3:$I$3000,0),MATCH(H$4,임대자산!$D$3:$R$3,0)),
IF($D1899="폐업",INDEX(폐업정보!$D$3:$R$3000,MATCH($F1899,폐업정보!$I$3:$I$3000,0),MATCH(H$4,폐업정보!$D$3:$R$3,0)),
"Error"))</f>
        <v>45980</v>
      </c>
      <c r="I1899" s="75" t="str">
        <f aca="false">
IF($D1899="정상",INDEX(임대자산!$D$3:$R$3000,MATCH($F1899,임대자산!$I$3:$I$3000,0),MATCH(I$4,임대자산!$D$3:$R$3,0)),
IF($D1899="폐업",INDEX(폐업정보!$D$3:$R$3000,MATCH($F1899,폐업정보!$I$3:$I$3000,0),MATCH(I$4,폐업정보!$D$3:$R$3,0)),
"Error"))</f>
        <v>A1894</v>
      </c>
      <c r="J1899" s="75" t="str">
        <f aca="false">
IF($D1899="정상",INDEX(임대자산!$D$3:$R$3000,MATCH($F1899,임대자산!$I$3:$I$3000,0),MATCH(J$4,임대자산!$D$3:$R$3,0)),
IF($D1899="폐업",INDEX(폐업정보!$D$3:$R$3000,MATCH($F1899,폐업정보!$I$3:$I$3000,0),MATCH(J$4,폐업정보!$D$3:$R$3,0)),
"Error"))</f>
        <v>4034900000</v>
      </c>
      <c r="K1899" s="75" t="str">
        <f aca="false">
IF($D1899="정상",INDEX(임대자산!$D$3:$R$3000,MATCH($F1899,임대자산!$I$3:$I$3000,0),MATCH(K$4,임대자산!$D$3:$R$3,0)),
IF($D1899="폐업",INDEX(폐업정보!$D$3:$R$3000,MATCH($F1899,폐업정보!$I$3:$I$3000,0),MATCH(K$4,폐업정보!$D$3:$R$3,0)),
"Error"))</f>
        <v>C1894</v>
      </c>
      <c r="L1899" s="75" t="str">
        <f aca="false">
IF($D1899="정상",INDEX(임대자산!$D$3:$R$3000,MATCH($F1899,임대자산!$I$3:$I$3000,0),MATCH(L$4,임대자산!$D$3:$R$3,0)),
IF($D1899="폐업",INDEX(폐업정보!$D$3:$R$3000,MATCH($F1899,폐업정보!$I$3:$I$3000,0),MATCH(L$4,폐업정보!$D$3:$R$3,0)),
"Error"))</f>
        <v>D1894</v>
      </c>
      <c r="M1899" s="76" t="s">
        <v>96</v>
      </c>
      <c r="N1899" s="77"/>
      <c r="O1899" s="78" t="s">
        <v>97</v>
      </c>
      <c r="P1899" s="79" t="n">
        <f aca="false">COUNTIFS(임대자산!$I:$I,가맹점정보!F1899,임대자산!$N:$N,가맹점정보!P$4)</f>
        <v>0</v>
      </c>
      <c r="Q1899" s="80" t="n">
        <f aca="false">COUNTIFS(임대자산!$I:$I,가맹점정보!F1899,임대자산!$N:$N,가맹점정보!Q$4)</f>
        <v>0</v>
      </c>
      <c r="R1899" s="81" t="n">
        <f aca="false">COUNTIFS(임대자산!$I:$I,가맹점정보!F1899,임대자산!$N:$N,가맹점정보!R$4)</f>
        <v>1</v>
      </c>
      <c r="S1899" s="82" t="n">
        <v>88000</v>
      </c>
      <c r="T1899" s="83" t="n">
        <v>0</v>
      </c>
      <c r="U1899" s="80" t="n">
        <f aca="false">SUM(S1899:T1899)</f>
        <v>88000</v>
      </c>
      <c r="V1899" s="84" t="s">
        <v>7</v>
      </c>
      <c r="W1899" s="80" t="str">
        <f aca="true">
IF(D1899="폐업","폐업",
IF(V1899="면제","면제",
IF(AND(V1899="정상",COUNTIFS(OFFSET(Y1899,0,COUNTA(Y1899:AV1899)-1,1,-4),"미납")&gt;=3),"장기미납",
IF(AND(V1899="정상",OFFSET(Y1899,0,COUNTA(Y1899:AV1899)-1)&gt;=U1899),"정상",
IF(AND(V1899="정상",OFFSET(Y1899,0,COUNTA(Y1899:AV1899)-1)=0),"정상",
"계약서 미작성")))))</f>
        <v>면제</v>
      </c>
      <c r="X1899" s="81" t="str">
        <f aca="true">
IF(D1899="폐업","폐업",
IF(AND(V1899="정상",OFFSET(Y1899,0,COUNTA(Y1899:AV1899)-1)="미납"),"미납",
IF(AND(V1899="정상",OFFSET(Y1899,0,COUNTA(Y1899:AV1899)-1)=0),"납부 시작 전",
IF(AND(V1899="정상",OFFSET(Y1899,0,COUNTA(Y1899:AV1899)-1)&gt;=U1899),"정상",
IF(AND(V1899="면제",OFFSET(Y1899,0,COUNTA(Y1899:AV1899)-1)="면제"),"면제",
IF(AND(V1899="면제",OFFSET(Y1899,0,COUNTA(Y1899:AV1899)-1)=0),"면제",
"확인요청"))))))</f>
        <v>면제</v>
      </c>
      <c r="Y1899" s="93" t="s">
        <v>99</v>
      </c>
      <c r="Z1899" s="90" t="n">
        <v>176000</v>
      </c>
      <c r="AA1899" s="90" t="n">
        <v>88000</v>
      </c>
      <c r="AB1899" s="90" t="s">
        <v>108</v>
      </c>
      <c r="AC1899" s="90" t="n">
        <v>88000</v>
      </c>
      <c r="AD1899" s="90" t="n">
        <v>176000</v>
      </c>
      <c r="AE1899" s="90" t="n">
        <v>88000</v>
      </c>
      <c r="AF1899" s="95" t="s">
        <v>62</v>
      </c>
      <c r="AG1899" s="90" t="n">
        <v>88000</v>
      </c>
      <c r="AH1899" s="95" t="s">
        <v>62</v>
      </c>
      <c r="AI1899" s="95" t="s">
        <v>62</v>
      </c>
      <c r="AJ1899" s="96" t="s">
        <v>62</v>
      </c>
      <c r="AK1899" s="97" t="s">
        <v>7</v>
      </c>
      <c r="AL1899" s="95" t="s">
        <v>7</v>
      </c>
      <c r="AM1899" s="90"/>
      <c r="AN1899" s="90"/>
      <c r="AO1899" s="90"/>
      <c r="AP1899" s="90"/>
      <c r="AQ1899" s="90"/>
      <c r="AR1899" s="90"/>
      <c r="AS1899" s="90"/>
      <c r="AT1899" s="90"/>
      <c r="AU1899" s="90"/>
      <c r="AV1899" s="91"/>
      <c r="AX1899" s="92"/>
    </row>
    <row r="1900" customFormat="false" ht="15.65" hidden="false" customHeight="false" outlineLevel="0" collapsed="false">
      <c r="C1900" s="72" t="n">
        <f aca="false">COUNTIFS($D$6:D1900,"&lt;&gt;"&amp;"")</f>
        <v>1895</v>
      </c>
      <c r="D1900" s="73" t="s">
        <v>12</v>
      </c>
      <c r="E1900" s="76" t="str">
        <f aca="false">
IF($D1900="정상",INDEX(임대자산!$D$3:$R$3000,MATCH($F1900,임대자산!$I$3:$I$3000,0),MATCH(E$3,임대자산!$D$3:$R$3,0)),
IF($D1900="폐업",INDEX(폐업정보!$D$3:$R$3000,MATCH($F1900,폐업정보!$I$3:$I$3000,0),MATCH(E$3,폐업정보!$D$3:$R$3,0)),
"Error"))</f>
        <v>서울</v>
      </c>
      <c r="F190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B1895</v>
      </c>
      <c r="G1900" s="76" t="str">
        <f aca="false">F1900&amp;RANDBETWEEN(0,10)</f>
        <v>B18951</v>
      </c>
      <c r="H1900" s="75" t="n">
        <f aca="false">
IF($D1900="정상",INDEX(임대자산!$D$3:$R$3000,MATCH($F1900,임대자산!$I$3:$I$3000,0),MATCH(H$4,임대자산!$D$3:$R$3,0)),
IF($D1900="폐업",INDEX(폐업정보!$D$3:$R$3000,MATCH($F1900,폐업정보!$I$3:$I$3000,0),MATCH(H$4,폐업정보!$D$3:$R$3,0)),
"Error"))</f>
        <v>45980</v>
      </c>
      <c r="I1900" s="75" t="str">
        <f aca="false">
IF($D1900="정상",INDEX(임대자산!$D$3:$R$3000,MATCH($F1900,임대자산!$I$3:$I$3000,0),MATCH(I$4,임대자산!$D$3:$R$3,0)),
IF($D1900="폐업",INDEX(폐업정보!$D$3:$R$3000,MATCH($F1900,폐업정보!$I$3:$I$3000,0),MATCH(I$4,폐업정보!$D$3:$R$3,0)),
"Error"))</f>
        <v>A1895</v>
      </c>
      <c r="J1900" s="75" t="str">
        <f aca="false">
IF($D1900="정상",INDEX(임대자산!$D$3:$R$3000,MATCH($F1900,임대자산!$I$3:$I$3000,0),MATCH(J$4,임대자산!$D$3:$R$3,0)),
IF($D1900="폐업",INDEX(폐업정보!$D$3:$R$3000,MATCH($F1900,폐업정보!$I$3:$I$3000,0),MATCH(J$4,폐업정보!$D$3:$R$3,0)),
"Error"))</f>
        <v>7328700000</v>
      </c>
      <c r="K1900" s="75" t="str">
        <f aca="false">
IF($D1900="정상",INDEX(임대자산!$D$3:$R$3000,MATCH($F1900,임대자산!$I$3:$I$3000,0),MATCH(K$4,임대자산!$D$3:$R$3,0)),
IF($D1900="폐업",INDEX(폐업정보!$D$3:$R$3000,MATCH($F1900,폐업정보!$I$3:$I$3000,0),MATCH(K$4,폐업정보!$D$3:$R$3,0)),
"Error"))</f>
        <v>C1895</v>
      </c>
      <c r="L1900" s="75" t="str">
        <f aca="false">
IF($D1900="정상",INDEX(임대자산!$D$3:$R$3000,MATCH($F1900,임대자산!$I$3:$I$3000,0),MATCH(L$4,임대자산!$D$3:$R$3,0)),
IF($D1900="폐업",INDEX(폐업정보!$D$3:$R$3000,MATCH($F1900,폐업정보!$I$3:$I$3000,0),MATCH(L$4,폐업정보!$D$3:$R$3,0)),
"Error"))</f>
        <v>D1895</v>
      </c>
      <c r="M1900" s="76" t="s">
        <v>96</v>
      </c>
      <c r="N1900" s="77"/>
      <c r="O1900" s="78" t="s">
        <v>97</v>
      </c>
      <c r="P1900" s="79" t="n">
        <f aca="false">COUNTIFS(임대자산!$I:$I,가맹점정보!F1900,임대자산!$N:$N,가맹점정보!P$4)</f>
        <v>0</v>
      </c>
      <c r="Q1900" s="80" t="n">
        <f aca="false">COUNTIFS(임대자산!$I:$I,가맹점정보!F1900,임대자산!$N:$N,가맹점정보!Q$4)</f>
        <v>0</v>
      </c>
      <c r="R1900" s="81" t="n">
        <f aca="false">COUNTIFS(임대자산!$I:$I,가맹점정보!F1900,임대자산!$N:$N,가맹점정보!R$4)</f>
        <v>1</v>
      </c>
      <c r="S1900" s="82" t="n">
        <v>55000</v>
      </c>
      <c r="T1900" s="83" t="n">
        <v>0</v>
      </c>
      <c r="U1900" s="80" t="n">
        <f aca="false">SUM(S1900:T1900)</f>
        <v>55000</v>
      </c>
      <c r="V1900" s="84" t="s">
        <v>7</v>
      </c>
      <c r="W1900" s="80" t="str">
        <f aca="true">
IF(D1900="폐업","폐업",
IF(V1900="면제","면제",
IF(AND(V1900="정상",COUNTIFS(OFFSET(Y1900,0,COUNTA(Y1900:AV1900)-1,1,-4),"미납")&gt;=3),"장기미납",
IF(AND(V1900="정상",OFFSET(Y1900,0,COUNTA(Y1900:AV1900)-1)&gt;=U1900),"정상",
IF(AND(V1900="정상",OFFSET(Y1900,0,COUNTA(Y1900:AV1900)-1)=0),"정상",
"계약서 미작성")))))</f>
        <v>면제</v>
      </c>
      <c r="X1900" s="81" t="str">
        <f aca="true">
IF(D1900="폐업","폐업",
IF(AND(V1900="정상",OFFSET(Y1900,0,COUNTA(Y1900:AV1900)-1)="미납"),"미납",
IF(AND(V1900="정상",OFFSET(Y1900,0,COUNTA(Y1900:AV1900)-1)=0),"납부 시작 전",
IF(AND(V1900="정상",OFFSET(Y1900,0,COUNTA(Y1900:AV1900)-1)&gt;=U1900),"정상",
IF(AND(V1900="면제",OFFSET(Y1900,0,COUNTA(Y1900:AV1900)-1)="면제"),"면제",
IF(AND(V1900="면제",OFFSET(Y1900,0,COUNTA(Y1900:AV1900)-1)=0),"면제",
"확인요청"))))))</f>
        <v>면제</v>
      </c>
      <c r="Y1900" s="93" t="n">
        <v>55000</v>
      </c>
      <c r="Z1900" s="90" t="n">
        <v>55000</v>
      </c>
      <c r="AA1900" s="90" t="n">
        <v>55000</v>
      </c>
      <c r="AB1900" s="90" t="n">
        <v>0</v>
      </c>
      <c r="AC1900" s="90" t="n">
        <v>0</v>
      </c>
      <c r="AD1900" s="95" t="s">
        <v>7</v>
      </c>
      <c r="AE1900" s="95" t="s">
        <v>7</v>
      </c>
      <c r="AF1900" s="95" t="s">
        <v>7</v>
      </c>
      <c r="AG1900" s="95" t="s">
        <v>7</v>
      </c>
      <c r="AH1900" s="95" t="s">
        <v>7</v>
      </c>
      <c r="AI1900" s="95" t="s">
        <v>7</v>
      </c>
      <c r="AJ1900" s="96" t="s">
        <v>7</v>
      </c>
      <c r="AK1900" s="97" t="s">
        <v>7</v>
      </c>
      <c r="AL1900" s="95" t="s">
        <v>7</v>
      </c>
      <c r="AM1900" s="90"/>
      <c r="AN1900" s="90"/>
      <c r="AO1900" s="90"/>
      <c r="AP1900" s="90"/>
      <c r="AQ1900" s="90"/>
      <c r="AR1900" s="90"/>
      <c r="AS1900" s="90"/>
      <c r="AT1900" s="90"/>
      <c r="AU1900" s="90"/>
      <c r="AV1900" s="91"/>
      <c r="AX1900" s="92"/>
    </row>
    <row r="1901" customFormat="false" ht="15.65" hidden="false" customHeight="false" outlineLevel="0" collapsed="false">
      <c r="C1901" s="72" t="n">
        <f aca="false">COUNTIFS($D$6:D1901,"&lt;&gt;"&amp;"")</f>
        <v>1896</v>
      </c>
      <c r="D1901" s="73" t="s">
        <v>12</v>
      </c>
      <c r="E1901" s="76" t="str">
        <f aca="false">
IF($D1901="정상",INDEX(임대자산!$D$3:$R$3000,MATCH($F1901,임대자산!$I$3:$I$3000,0),MATCH(E$3,임대자산!$D$3:$R$3,0)),
IF($D1901="폐업",INDEX(폐업정보!$D$3:$R$3000,MATCH($F1901,폐업정보!$I$3:$I$3000,0),MATCH(E$3,폐업정보!$D$3:$R$3,0)),
"Error"))</f>
        <v>서울</v>
      </c>
      <c r="F190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B1896</v>
      </c>
      <c r="G1901" s="76" t="str">
        <f aca="false">F1901&amp;RANDBETWEEN(0,10)</f>
        <v>B189610</v>
      </c>
      <c r="H1901" s="75" t="n">
        <f aca="false">
IF($D1901="정상",INDEX(임대자산!$D$3:$R$3000,MATCH($F1901,임대자산!$I$3:$I$3000,0),MATCH(H$4,임대자산!$D$3:$R$3,0)),
IF($D1901="폐업",INDEX(폐업정보!$D$3:$R$3000,MATCH($F1901,폐업정보!$I$3:$I$3000,0),MATCH(H$4,폐업정보!$D$3:$R$3,0)),
"Error"))</f>
        <v>45980</v>
      </c>
      <c r="I1901" s="75" t="str">
        <f aca="false">
IF($D1901="정상",INDEX(임대자산!$D$3:$R$3000,MATCH($F1901,임대자산!$I$3:$I$3000,0),MATCH(I$4,임대자산!$D$3:$R$3,0)),
IF($D1901="폐업",INDEX(폐업정보!$D$3:$R$3000,MATCH($F1901,폐업정보!$I$3:$I$3000,0),MATCH(I$4,폐업정보!$D$3:$R$3,0)),
"Error"))</f>
        <v>A1896</v>
      </c>
      <c r="J1901" s="75" t="str">
        <f aca="false">
IF($D1901="정상",INDEX(임대자산!$D$3:$R$3000,MATCH($F1901,임대자산!$I$3:$I$3000,0),MATCH(J$4,임대자산!$D$3:$R$3,0)),
IF($D1901="폐업",INDEX(폐업정보!$D$3:$R$3000,MATCH($F1901,폐업정보!$I$3:$I$3000,0),MATCH(J$4,폐업정보!$D$3:$R$3,0)),
"Error"))</f>
        <v>5973300000</v>
      </c>
      <c r="K1901" s="75" t="str">
        <f aca="false">
IF($D1901="정상",INDEX(임대자산!$D$3:$R$3000,MATCH($F1901,임대자산!$I$3:$I$3000,0),MATCH(K$4,임대자산!$D$3:$R$3,0)),
IF($D1901="폐업",INDEX(폐업정보!$D$3:$R$3000,MATCH($F1901,폐업정보!$I$3:$I$3000,0),MATCH(K$4,폐업정보!$D$3:$R$3,0)),
"Error"))</f>
        <v>C1896</v>
      </c>
      <c r="L1901" s="75" t="str">
        <f aca="false">
IF($D1901="정상",INDEX(임대자산!$D$3:$R$3000,MATCH($F1901,임대자산!$I$3:$I$3000,0),MATCH(L$4,임대자산!$D$3:$R$3,0)),
IF($D1901="폐업",INDEX(폐업정보!$D$3:$R$3000,MATCH($F1901,폐업정보!$I$3:$I$3000,0),MATCH(L$4,폐업정보!$D$3:$R$3,0)),
"Error"))</f>
        <v>D1896</v>
      </c>
      <c r="M1901" s="76" t="s">
        <v>96</v>
      </c>
      <c r="N1901" s="77"/>
      <c r="O1901" s="78" t="s">
        <v>97</v>
      </c>
      <c r="P1901" s="79" t="n">
        <f aca="false">COUNTIFS(임대자산!$I:$I,가맹점정보!F1901,임대자산!$N:$N,가맹점정보!P$4)</f>
        <v>0</v>
      </c>
      <c r="Q1901" s="80" t="n">
        <f aca="false">COUNTIFS(임대자산!$I:$I,가맹점정보!F1901,임대자산!$N:$N,가맹점정보!Q$4)</f>
        <v>0</v>
      </c>
      <c r="R1901" s="81" t="n">
        <f aca="false">COUNTIFS(임대자산!$I:$I,가맹점정보!F1901,임대자산!$N:$N,가맹점정보!R$4)</f>
        <v>1</v>
      </c>
      <c r="S1901" s="82" t="n">
        <v>88000</v>
      </c>
      <c r="T1901" s="83" t="n">
        <v>0</v>
      </c>
      <c r="U1901" s="80" t="n">
        <f aca="false">SUM(S1901:T1901)</f>
        <v>88000</v>
      </c>
      <c r="V1901" s="84" t="s">
        <v>7</v>
      </c>
      <c r="W1901" s="80" t="str">
        <f aca="true">
IF(D1901="폐업","폐업",
IF(V1901="면제","면제",
IF(AND(V1901="정상",COUNTIFS(OFFSET(Y1901,0,COUNTA(Y1901:AV1901)-1,1,-4),"미납")&gt;=3),"장기미납",
IF(AND(V1901="정상",OFFSET(Y1901,0,COUNTA(Y1901:AV1901)-1)&gt;=U1901),"정상",
IF(AND(V1901="정상",OFFSET(Y1901,0,COUNTA(Y1901:AV1901)-1)=0),"정상",
"계약서 미작성")))))</f>
        <v>면제</v>
      </c>
      <c r="X1901" s="81" t="str">
        <f aca="true">
IF(D1901="폐업","폐업",
IF(AND(V1901="정상",OFFSET(Y1901,0,COUNTA(Y1901:AV1901)-1)="미납"),"미납",
IF(AND(V1901="정상",OFFSET(Y1901,0,COUNTA(Y1901:AV1901)-1)=0),"납부 시작 전",
IF(AND(V1901="정상",OFFSET(Y1901,0,COUNTA(Y1901:AV1901)-1)&gt;=U1901),"정상",
IF(AND(V1901="면제",OFFSET(Y1901,0,COUNTA(Y1901:AV1901)-1)="면제"),"면제",
IF(AND(V1901="면제",OFFSET(Y1901,0,COUNTA(Y1901:AV1901)-1)=0),"면제",
"확인요청"))))))</f>
        <v>면제</v>
      </c>
      <c r="Y1901" s="93" t="n">
        <v>88000</v>
      </c>
      <c r="Z1901" s="90" t="n">
        <v>88000</v>
      </c>
      <c r="AA1901" s="90" t="n">
        <v>88000</v>
      </c>
      <c r="AB1901" s="90" t="n">
        <v>0</v>
      </c>
      <c r="AC1901" s="90" t="n">
        <v>0</v>
      </c>
      <c r="AD1901" s="95" t="s">
        <v>7</v>
      </c>
      <c r="AE1901" s="95" t="s">
        <v>7</v>
      </c>
      <c r="AF1901" s="95" t="s">
        <v>7</v>
      </c>
      <c r="AG1901" s="95" t="s">
        <v>7</v>
      </c>
      <c r="AH1901" s="95" t="s">
        <v>7</v>
      </c>
      <c r="AI1901" s="95" t="s">
        <v>7</v>
      </c>
      <c r="AJ1901" s="96" t="s">
        <v>7</v>
      </c>
      <c r="AK1901" s="97" t="s">
        <v>7</v>
      </c>
      <c r="AL1901" s="95" t="s">
        <v>7</v>
      </c>
      <c r="AM1901" s="90"/>
      <c r="AN1901" s="90"/>
      <c r="AO1901" s="90"/>
      <c r="AP1901" s="90"/>
      <c r="AQ1901" s="90"/>
      <c r="AR1901" s="90"/>
      <c r="AS1901" s="90"/>
      <c r="AT1901" s="90"/>
      <c r="AU1901" s="90"/>
      <c r="AV1901" s="91"/>
      <c r="AX1901" s="92"/>
    </row>
    <row r="1902" customFormat="false" ht="15.65" hidden="false" customHeight="false" outlineLevel="0" collapsed="false">
      <c r="C1902" s="72" t="n">
        <f aca="false">COUNTIFS($D$6:D1902,"&lt;&gt;"&amp;"")</f>
        <v>1897</v>
      </c>
      <c r="D1902" s="73" t="s">
        <v>12</v>
      </c>
      <c r="E1902" s="76" t="str">
        <f aca="false">
IF($D1902="정상",INDEX(임대자산!$D$3:$R$3000,MATCH($F1902,임대자산!$I$3:$I$3000,0),MATCH(E$3,임대자산!$D$3:$R$3,0)),
IF($D1902="폐업",INDEX(폐업정보!$D$3:$R$3000,MATCH($F1902,폐업정보!$I$3:$I$3000,0),MATCH(E$3,폐업정보!$D$3:$R$3,0)),
"Error"))</f>
        <v>서울</v>
      </c>
      <c r="F190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B1897</v>
      </c>
      <c r="G1902" s="76" t="str">
        <f aca="false">F1902&amp;RANDBETWEEN(0,10)</f>
        <v>B18977</v>
      </c>
      <c r="H1902" s="75" t="n">
        <f aca="false">
IF($D1902="정상",INDEX(임대자산!$D$3:$R$3000,MATCH($F1902,임대자산!$I$3:$I$3000,0),MATCH(H$4,임대자산!$D$3:$R$3,0)),
IF($D1902="폐업",INDEX(폐업정보!$D$3:$R$3000,MATCH($F1902,폐업정보!$I$3:$I$3000,0),MATCH(H$4,폐업정보!$D$3:$R$3,0)),
"Error"))</f>
        <v>45980</v>
      </c>
      <c r="I1902" s="75" t="str">
        <f aca="false">
IF($D1902="정상",INDEX(임대자산!$D$3:$R$3000,MATCH($F1902,임대자산!$I$3:$I$3000,0),MATCH(I$4,임대자산!$D$3:$R$3,0)),
IF($D1902="폐업",INDEX(폐업정보!$D$3:$R$3000,MATCH($F1902,폐업정보!$I$3:$I$3000,0),MATCH(I$4,폐업정보!$D$3:$R$3,0)),
"Error"))</f>
        <v>A1897</v>
      </c>
      <c r="J1902" s="75" t="str">
        <f aca="false">
IF($D1902="정상",INDEX(임대자산!$D$3:$R$3000,MATCH($F1902,임대자산!$I$3:$I$3000,0),MATCH(J$4,임대자산!$D$3:$R$3,0)),
IF($D1902="폐업",INDEX(폐업정보!$D$3:$R$3000,MATCH($F1902,폐업정보!$I$3:$I$3000,0),MATCH(J$4,폐업정보!$D$3:$R$3,0)),
"Error"))</f>
        <v>3534400000</v>
      </c>
      <c r="K1902" s="75" t="str">
        <f aca="false">
IF($D1902="정상",INDEX(임대자산!$D$3:$R$3000,MATCH($F1902,임대자산!$I$3:$I$3000,0),MATCH(K$4,임대자산!$D$3:$R$3,0)),
IF($D1902="폐업",INDEX(폐업정보!$D$3:$R$3000,MATCH($F1902,폐업정보!$I$3:$I$3000,0),MATCH(K$4,폐업정보!$D$3:$R$3,0)),
"Error"))</f>
        <v>C1897</v>
      </c>
      <c r="L1902" s="75" t="str">
        <f aca="false">
IF($D1902="정상",INDEX(임대자산!$D$3:$R$3000,MATCH($F1902,임대자산!$I$3:$I$3000,0),MATCH(L$4,임대자산!$D$3:$R$3,0)),
IF($D1902="폐업",INDEX(폐업정보!$D$3:$R$3000,MATCH($F1902,폐업정보!$I$3:$I$3000,0),MATCH(L$4,폐업정보!$D$3:$R$3,0)),
"Error"))</f>
        <v>D1897</v>
      </c>
      <c r="M1902" s="76" t="s">
        <v>96</v>
      </c>
      <c r="N1902" s="77"/>
      <c r="O1902" s="78" t="s">
        <v>97</v>
      </c>
      <c r="P1902" s="79" t="n">
        <f aca="false">COUNTIFS(임대자산!$I:$I,가맹점정보!F1902,임대자산!$N:$N,가맹점정보!P$4)</f>
        <v>0</v>
      </c>
      <c r="Q1902" s="80" t="n">
        <f aca="false">COUNTIFS(임대자산!$I:$I,가맹점정보!F1902,임대자산!$N:$N,가맹점정보!Q$4)</f>
        <v>0</v>
      </c>
      <c r="R1902" s="81" t="n">
        <f aca="false">COUNTIFS(임대자산!$I:$I,가맹점정보!F1902,임대자산!$N:$N,가맹점정보!R$4)</f>
        <v>1</v>
      </c>
      <c r="S1902" s="82" t="n">
        <v>55000</v>
      </c>
      <c r="T1902" s="83" t="n">
        <v>0</v>
      </c>
      <c r="U1902" s="80" t="n">
        <f aca="false">SUM(S1902:T1902)</f>
        <v>55000</v>
      </c>
      <c r="V1902" s="84" t="s">
        <v>12</v>
      </c>
      <c r="W1902" s="80" t="e">
        <f aca="true">
IF(D1902="폐업","폐업",
IF(V1902="면제","면제",
IF(AND(V1902="정상",COUNTIFS(OFFSET(Y1902,0,COUNTA(Y1902:AV1902)-1,1,-4),"미납")&gt;=3),"장기미납",
IF(AND(V1902="정상",OFFSET(Y1902,0,COUNTA(Y1902:AV1902)-1)&gt;=U1902),"정상",
IF(AND(V1902="정상",OFFSET(Y1902,0,COUNTA(Y1902:AV1902)-1)=0),"정상",
"계약서 미작성")))))</f>
        <v>#VALUE!</v>
      </c>
      <c r="X1902" s="81" t="str">
        <f aca="true">
IF(D1902="폐업","폐업",
IF(AND(V1902="정상",OFFSET(Y1902,0,COUNTA(Y1902:AV1902)-1)="미납"),"미납",
IF(AND(V1902="정상",OFFSET(Y1902,0,COUNTA(Y1902:AV1902)-1)=0),"납부 시작 전",
IF(AND(V1902="정상",OFFSET(Y1902,0,COUNTA(Y1902:AV1902)-1)&gt;=U1902),"정상",
IF(AND(V1902="면제",OFFSET(Y1902,0,COUNTA(Y1902:AV1902)-1)="면제"),"면제",
IF(AND(V1902="면제",OFFSET(Y1902,0,COUNTA(Y1902:AV1902)-1)=0),"면제",
"확인요청"))))))</f>
        <v>정상</v>
      </c>
      <c r="Y1902" s="93" t="n">
        <v>55000</v>
      </c>
      <c r="Z1902" s="90" t="n">
        <v>55000</v>
      </c>
      <c r="AA1902" s="90" t="n">
        <v>55000</v>
      </c>
      <c r="AB1902" s="95" t="s">
        <v>62</v>
      </c>
      <c r="AC1902" s="90" t="n">
        <v>55000</v>
      </c>
      <c r="AD1902" s="90" t="n">
        <v>55000</v>
      </c>
      <c r="AE1902" s="90" t="n">
        <v>55000</v>
      </c>
      <c r="AF1902" s="90" t="n">
        <v>55000</v>
      </c>
      <c r="AG1902" s="90" t="n">
        <v>55000</v>
      </c>
      <c r="AH1902" s="90" t="n">
        <v>55000</v>
      </c>
      <c r="AI1902" s="95" t="s">
        <v>62</v>
      </c>
      <c r="AJ1902" s="91" t="n">
        <v>55000</v>
      </c>
      <c r="AK1902" s="97" t="s">
        <v>62</v>
      </c>
      <c r="AL1902" s="90" t="n">
        <v>165000</v>
      </c>
      <c r="AM1902" s="90"/>
      <c r="AN1902" s="90"/>
      <c r="AO1902" s="90"/>
      <c r="AP1902" s="90"/>
      <c r="AQ1902" s="90"/>
      <c r="AR1902" s="90"/>
      <c r="AS1902" s="90"/>
      <c r="AT1902" s="90"/>
      <c r="AU1902" s="90"/>
      <c r="AV1902" s="91"/>
      <c r="AX1902" s="92"/>
    </row>
    <row r="1903" customFormat="false" ht="15.65" hidden="false" customHeight="false" outlineLevel="0" collapsed="false">
      <c r="C1903" s="72" t="n">
        <f aca="false">COUNTIFS($D$6:D1903,"&lt;&gt;"&amp;"")</f>
        <v>1898</v>
      </c>
      <c r="D1903" s="73" t="s">
        <v>12</v>
      </c>
      <c r="E1903" s="76" t="str">
        <f aca="false">
IF($D1903="정상",INDEX(임대자산!$D$3:$R$3000,MATCH($F1903,임대자산!$I$3:$I$3000,0),MATCH(E$3,임대자산!$D$3:$R$3,0)),
IF($D1903="폐업",INDEX(폐업정보!$D$3:$R$3000,MATCH($F1903,폐업정보!$I$3:$I$3000,0),MATCH(E$3,폐업정보!$D$3:$R$3,0)),
"Error"))</f>
        <v>서울</v>
      </c>
      <c r="F190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B1898</v>
      </c>
      <c r="G1903" s="76" t="str">
        <f aca="false">F1903&amp;RANDBETWEEN(0,10)</f>
        <v>B18983</v>
      </c>
      <c r="H1903" s="75" t="n">
        <f aca="false">
IF($D1903="정상",INDEX(임대자산!$D$3:$R$3000,MATCH($F1903,임대자산!$I$3:$I$3000,0),MATCH(H$4,임대자산!$D$3:$R$3,0)),
IF($D1903="폐업",INDEX(폐업정보!$D$3:$R$3000,MATCH($F1903,폐업정보!$I$3:$I$3000,0),MATCH(H$4,폐업정보!$D$3:$R$3,0)),
"Error"))</f>
        <v>45968</v>
      </c>
      <c r="I1903" s="75" t="str">
        <f aca="false">
IF($D1903="정상",INDEX(임대자산!$D$3:$R$3000,MATCH($F1903,임대자산!$I$3:$I$3000,0),MATCH(I$4,임대자산!$D$3:$R$3,0)),
IF($D1903="폐업",INDEX(폐업정보!$D$3:$R$3000,MATCH($F1903,폐업정보!$I$3:$I$3000,0),MATCH(I$4,폐업정보!$D$3:$R$3,0)),
"Error"))</f>
        <v>A1898</v>
      </c>
      <c r="J1903" s="75" t="str">
        <f aca="false">
IF($D1903="정상",INDEX(임대자산!$D$3:$R$3000,MATCH($F1903,임대자산!$I$3:$I$3000,0),MATCH(J$4,임대자산!$D$3:$R$3,0)),
IF($D1903="폐업",INDEX(폐업정보!$D$3:$R$3000,MATCH($F1903,폐업정보!$I$3:$I$3000,0),MATCH(J$4,폐업정보!$D$3:$R$3,0)),
"Error"))</f>
        <v>1098200000</v>
      </c>
      <c r="K1903" s="75" t="str">
        <f aca="false">
IF($D1903="정상",INDEX(임대자산!$D$3:$R$3000,MATCH($F1903,임대자산!$I$3:$I$3000,0),MATCH(K$4,임대자산!$D$3:$R$3,0)),
IF($D1903="폐업",INDEX(폐업정보!$D$3:$R$3000,MATCH($F1903,폐업정보!$I$3:$I$3000,0),MATCH(K$4,폐업정보!$D$3:$R$3,0)),
"Error"))</f>
        <v>C1898</v>
      </c>
      <c r="L1903" s="75" t="str">
        <f aca="false">
IF($D1903="정상",INDEX(임대자산!$D$3:$R$3000,MATCH($F1903,임대자산!$I$3:$I$3000,0),MATCH(L$4,임대자산!$D$3:$R$3,0)),
IF($D1903="폐업",INDEX(폐업정보!$D$3:$R$3000,MATCH($F1903,폐업정보!$I$3:$I$3000,0),MATCH(L$4,폐업정보!$D$3:$R$3,0)),
"Error"))</f>
        <v>D1898</v>
      </c>
      <c r="M1903" s="76" t="s">
        <v>96</v>
      </c>
      <c r="N1903" s="77"/>
      <c r="O1903" s="78" t="s">
        <v>97</v>
      </c>
      <c r="P1903" s="79" t="n">
        <f aca="false">COUNTIFS(임대자산!$I:$I,가맹점정보!F1903,임대자산!$N:$N,가맹점정보!P$4)</f>
        <v>0</v>
      </c>
      <c r="Q1903" s="80" t="n">
        <f aca="false">COUNTIFS(임대자산!$I:$I,가맹점정보!F1903,임대자산!$N:$N,가맹점정보!Q$4)</f>
        <v>0</v>
      </c>
      <c r="R1903" s="81" t="n">
        <f aca="false">COUNTIFS(임대자산!$I:$I,가맹점정보!F1903,임대자산!$N:$N,가맹점정보!R$4)</f>
        <v>1</v>
      </c>
      <c r="S1903" s="82" t="n">
        <v>55000</v>
      </c>
      <c r="T1903" s="83" t="n">
        <v>0</v>
      </c>
      <c r="U1903" s="80" t="n">
        <f aca="false">SUM(S1903:T1903)</f>
        <v>55000</v>
      </c>
      <c r="V1903" s="84" t="s">
        <v>12</v>
      </c>
      <c r="W1903" s="80" t="e">
        <f aca="true">
IF(D1903="폐업","폐업",
IF(V1903="면제","면제",
IF(AND(V1903="정상",COUNTIFS(OFFSET(Y1903,0,COUNTA(Y1903:AV1903)-1,1,-4),"미납")&gt;=3),"장기미납",
IF(AND(V1903="정상",OFFSET(Y1903,0,COUNTA(Y1903:AV1903)-1)&gt;=U1903),"정상",
IF(AND(V1903="정상",OFFSET(Y1903,0,COUNTA(Y1903:AV1903)-1)=0),"정상",
"계약서 미작성")))))</f>
        <v>#VALUE!</v>
      </c>
      <c r="X1903" s="81" t="str">
        <f aca="true">
IF(D1903="폐업","폐업",
IF(AND(V1903="정상",OFFSET(Y1903,0,COUNTA(Y1903:AV1903)-1)="미납"),"미납",
IF(AND(V1903="정상",OFFSET(Y1903,0,COUNTA(Y1903:AV1903)-1)=0),"납부 시작 전",
IF(AND(V1903="정상",OFFSET(Y1903,0,COUNTA(Y1903:AV1903)-1)&gt;=U1903),"정상",
IF(AND(V1903="면제",OFFSET(Y1903,0,COUNTA(Y1903:AV1903)-1)="면제"),"면제",
IF(AND(V1903="면제",OFFSET(Y1903,0,COUNTA(Y1903:AV1903)-1)=0),"면제",
"확인요청"))))))</f>
        <v>정상</v>
      </c>
      <c r="Y1903" s="93" t="n">
        <v>55000</v>
      </c>
      <c r="Z1903" s="90" t="n">
        <v>110000</v>
      </c>
      <c r="AA1903" s="90" t="n">
        <v>55000</v>
      </c>
      <c r="AB1903" s="90" t="s">
        <v>98</v>
      </c>
      <c r="AC1903" s="90" t="n">
        <v>55000</v>
      </c>
      <c r="AD1903" s="90" t="n">
        <v>55000</v>
      </c>
      <c r="AE1903" s="90" t="n">
        <v>55000</v>
      </c>
      <c r="AF1903" s="90" t="n">
        <v>55000</v>
      </c>
      <c r="AG1903" s="90" t="n">
        <v>55000</v>
      </c>
      <c r="AH1903" s="90" t="n">
        <v>55000</v>
      </c>
      <c r="AI1903" s="90" t="n">
        <v>110000</v>
      </c>
      <c r="AJ1903" s="96" t="s">
        <v>62</v>
      </c>
      <c r="AK1903" s="89" t="n">
        <v>55000</v>
      </c>
      <c r="AL1903" s="90" t="n">
        <v>110000</v>
      </c>
      <c r="AM1903" s="90"/>
      <c r="AN1903" s="90"/>
      <c r="AO1903" s="90"/>
      <c r="AP1903" s="90"/>
      <c r="AQ1903" s="90"/>
      <c r="AR1903" s="90"/>
      <c r="AS1903" s="90"/>
      <c r="AT1903" s="90"/>
      <c r="AU1903" s="90"/>
      <c r="AV1903" s="91"/>
      <c r="AX1903" s="92"/>
    </row>
    <row r="1904" customFormat="false" ht="15.65" hidden="false" customHeight="false" outlineLevel="0" collapsed="false">
      <c r="C1904" s="72" t="n">
        <f aca="false">COUNTIFS($D$6:D1904,"&lt;&gt;"&amp;"")</f>
        <v>1899</v>
      </c>
      <c r="D1904" s="73" t="s">
        <v>12</v>
      </c>
      <c r="E1904" s="76" t="str">
        <f aca="false">
IF($D1904="정상",INDEX(임대자산!$D$3:$R$3000,MATCH($F1904,임대자산!$I$3:$I$3000,0),MATCH(E$3,임대자산!$D$3:$R$3,0)),
IF($D1904="폐업",INDEX(폐업정보!$D$3:$R$3000,MATCH($F1904,폐업정보!$I$3:$I$3000,0),MATCH(E$3,폐업정보!$D$3:$R$3,0)),
"Error"))</f>
        <v>경기</v>
      </c>
      <c r="F190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B1899</v>
      </c>
      <c r="G1904" s="76" t="str">
        <f aca="false">F1904&amp;RANDBETWEEN(0,10)</f>
        <v>B18991</v>
      </c>
      <c r="H1904" s="75" t="n">
        <f aca="false">
IF($D1904="정상",INDEX(임대자산!$D$3:$R$3000,MATCH($F1904,임대자산!$I$3:$I$3000,0),MATCH(H$4,임대자산!$D$3:$R$3,0)),
IF($D1904="폐업",INDEX(폐업정보!$D$3:$R$3000,MATCH($F1904,폐업정보!$I$3:$I$3000,0),MATCH(H$4,폐업정보!$D$3:$R$3,0)),
"Error"))</f>
        <v>45981</v>
      </c>
      <c r="I1904" s="75" t="str">
        <f aca="false">
IF($D1904="정상",INDEX(임대자산!$D$3:$R$3000,MATCH($F1904,임대자산!$I$3:$I$3000,0),MATCH(I$4,임대자산!$D$3:$R$3,0)),
IF($D1904="폐업",INDEX(폐업정보!$D$3:$R$3000,MATCH($F1904,폐업정보!$I$3:$I$3000,0),MATCH(I$4,폐업정보!$D$3:$R$3,0)),
"Error"))</f>
        <v>A1899</v>
      </c>
      <c r="J1904" s="75" t="str">
        <f aca="false">
IF($D1904="정상",INDEX(임대자산!$D$3:$R$3000,MATCH($F1904,임대자산!$I$3:$I$3000,0),MATCH(J$4,임대자산!$D$3:$R$3,0)),
IF($D1904="폐업",INDEX(폐업정보!$D$3:$R$3000,MATCH($F1904,폐업정보!$I$3:$I$3000,0),MATCH(J$4,폐업정보!$D$3:$R$3,0)),
"Error"))</f>
        <v>7523500000</v>
      </c>
      <c r="K1904" s="75" t="str">
        <f aca="false">
IF($D1904="정상",INDEX(임대자산!$D$3:$R$3000,MATCH($F1904,임대자산!$I$3:$I$3000,0),MATCH(K$4,임대자산!$D$3:$R$3,0)),
IF($D1904="폐업",INDEX(폐업정보!$D$3:$R$3000,MATCH($F1904,폐업정보!$I$3:$I$3000,0),MATCH(K$4,폐업정보!$D$3:$R$3,0)),
"Error"))</f>
        <v>C1899</v>
      </c>
      <c r="L1904" s="75" t="str">
        <f aca="false">
IF($D1904="정상",INDEX(임대자산!$D$3:$R$3000,MATCH($F1904,임대자산!$I$3:$I$3000,0),MATCH(L$4,임대자산!$D$3:$R$3,0)),
IF($D1904="폐업",INDEX(폐업정보!$D$3:$R$3000,MATCH($F1904,폐업정보!$I$3:$I$3000,0),MATCH(L$4,폐업정보!$D$3:$R$3,0)),
"Error"))</f>
        <v>D1899</v>
      </c>
      <c r="M1904" s="76" t="s">
        <v>96</v>
      </c>
      <c r="N1904" s="77"/>
      <c r="O1904" s="78" t="s">
        <v>97</v>
      </c>
      <c r="P1904" s="79" t="n">
        <f aca="false">COUNTIFS(임대자산!$I:$I,가맹점정보!F1904,임대자산!$N:$N,가맹점정보!P$4)</f>
        <v>0</v>
      </c>
      <c r="Q1904" s="80" t="n">
        <f aca="false">COUNTIFS(임대자산!$I:$I,가맹점정보!F1904,임대자산!$N:$N,가맹점정보!Q$4)</f>
        <v>0</v>
      </c>
      <c r="R1904" s="81" t="n">
        <f aca="false">COUNTIFS(임대자산!$I:$I,가맹점정보!F1904,임대자산!$N:$N,가맹점정보!R$4)</f>
        <v>1</v>
      </c>
      <c r="S1904" s="82" t="n">
        <v>55000</v>
      </c>
      <c r="T1904" s="83" t="n">
        <v>0</v>
      </c>
      <c r="U1904" s="80" t="n">
        <f aca="false">SUM(S1904:T1904)</f>
        <v>55000</v>
      </c>
      <c r="V1904" s="84" t="s">
        <v>12</v>
      </c>
      <c r="W1904" s="80" t="e">
        <f aca="true">
IF(D1904="폐업","폐업",
IF(V1904="면제","면제",
IF(AND(V1904="정상",COUNTIFS(OFFSET(Y1904,0,COUNTA(Y1904:AV1904)-1,1,-4),"미납")&gt;=3),"장기미납",
IF(AND(V1904="정상",OFFSET(Y1904,0,COUNTA(Y1904:AV1904)-1)&gt;=U1904),"정상",
IF(AND(V1904="정상",OFFSET(Y1904,0,COUNTA(Y1904:AV1904)-1)=0),"정상",
"계약서 미작성")))))</f>
        <v>#VALUE!</v>
      </c>
      <c r="X1904" s="81" t="str">
        <f aca="true">
IF(D1904="폐업","폐업",
IF(AND(V1904="정상",OFFSET(Y1904,0,COUNTA(Y1904:AV1904)-1)="미납"),"미납",
IF(AND(V1904="정상",OFFSET(Y1904,0,COUNTA(Y1904:AV1904)-1)=0),"납부 시작 전",
IF(AND(V1904="정상",OFFSET(Y1904,0,COUNTA(Y1904:AV1904)-1)&gt;=U1904),"정상",
IF(AND(V1904="면제",OFFSET(Y1904,0,COUNTA(Y1904:AV1904)-1)="면제"),"면제",
IF(AND(V1904="면제",OFFSET(Y1904,0,COUNTA(Y1904:AV1904)-1)=0),"면제",
"확인요청"))))))</f>
        <v>정상</v>
      </c>
      <c r="Y1904" s="93" t="n">
        <v>55000</v>
      </c>
      <c r="Z1904" s="90" t="n">
        <v>55000</v>
      </c>
      <c r="AA1904" s="90" t="n">
        <v>55000</v>
      </c>
      <c r="AB1904" s="90" t="s">
        <v>109</v>
      </c>
      <c r="AC1904" s="90" t="n">
        <v>110000</v>
      </c>
      <c r="AD1904" s="90" t="n">
        <v>55000</v>
      </c>
      <c r="AE1904" s="90" t="n">
        <v>55000</v>
      </c>
      <c r="AF1904" s="90" t="n">
        <v>55000</v>
      </c>
      <c r="AG1904" s="90" t="n">
        <v>55000</v>
      </c>
      <c r="AH1904" s="90" t="n">
        <v>55000</v>
      </c>
      <c r="AI1904" s="90" t="n">
        <v>55000</v>
      </c>
      <c r="AJ1904" s="91" t="n">
        <v>55000</v>
      </c>
      <c r="AK1904" s="89" t="n">
        <v>55000</v>
      </c>
      <c r="AL1904" s="90" t="n">
        <v>55000</v>
      </c>
      <c r="AM1904" s="90"/>
      <c r="AN1904" s="90"/>
      <c r="AO1904" s="90"/>
      <c r="AP1904" s="90"/>
      <c r="AQ1904" s="90"/>
      <c r="AR1904" s="90"/>
      <c r="AS1904" s="90"/>
      <c r="AT1904" s="90"/>
      <c r="AU1904" s="90"/>
      <c r="AV1904" s="91"/>
      <c r="AX1904" s="92"/>
    </row>
    <row r="1905" customFormat="false" ht="15.65" hidden="false" customHeight="false" outlineLevel="0" collapsed="false">
      <c r="C1905" s="72" t="n">
        <f aca="false">COUNTIFS($D$6:D1905,"&lt;&gt;"&amp;"")</f>
        <v>1900</v>
      </c>
      <c r="D1905" s="73" t="s">
        <v>12</v>
      </c>
      <c r="E1905" s="76" t="str">
        <f aca="false">
IF($D1905="정상",INDEX(임대자산!$D$3:$R$3000,MATCH($F1905,임대자산!$I$3:$I$3000,0),MATCH(E$3,임대자산!$D$3:$R$3,0)),
IF($D1905="폐업",INDEX(폐업정보!$D$3:$R$3000,MATCH($F1905,폐업정보!$I$3:$I$3000,0),MATCH(E$3,폐업정보!$D$3:$R$3,0)),
"Error"))</f>
        <v>경기</v>
      </c>
      <c r="F190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B1900</v>
      </c>
      <c r="G1905" s="76" t="str">
        <f aca="false">F1905&amp;RANDBETWEEN(0,10)</f>
        <v>B190010</v>
      </c>
      <c r="H1905" s="75" t="n">
        <f aca="false">
IF($D1905="정상",INDEX(임대자산!$D$3:$R$3000,MATCH($F1905,임대자산!$I$3:$I$3000,0),MATCH(H$4,임대자산!$D$3:$R$3,0)),
IF($D1905="폐업",INDEX(폐업정보!$D$3:$R$3000,MATCH($F1905,폐업정보!$I$3:$I$3000,0),MATCH(H$4,폐업정보!$D$3:$R$3,0)),
"Error"))</f>
        <v>45992</v>
      </c>
      <c r="I1905" s="75" t="str">
        <f aca="false">
IF($D1905="정상",INDEX(임대자산!$D$3:$R$3000,MATCH($F1905,임대자산!$I$3:$I$3000,0),MATCH(I$4,임대자산!$D$3:$R$3,0)),
IF($D1905="폐업",INDEX(폐업정보!$D$3:$R$3000,MATCH($F1905,폐업정보!$I$3:$I$3000,0),MATCH(I$4,폐업정보!$D$3:$R$3,0)),
"Error"))</f>
        <v>A1900</v>
      </c>
      <c r="J1905" s="75" t="str">
        <f aca="false">
IF($D1905="정상",INDEX(임대자산!$D$3:$R$3000,MATCH($F1905,임대자산!$I$3:$I$3000,0),MATCH(J$4,임대자산!$D$3:$R$3,0)),
IF($D1905="폐업",INDEX(폐업정보!$D$3:$R$3000,MATCH($F1905,폐업정보!$I$3:$I$3000,0),MATCH(J$4,폐업정보!$D$3:$R$3,0)),
"Error"))</f>
        <v>5875600000</v>
      </c>
      <c r="K1905" s="75" t="str">
        <f aca="false">
IF($D1905="정상",INDEX(임대자산!$D$3:$R$3000,MATCH($F1905,임대자산!$I$3:$I$3000,0),MATCH(K$4,임대자산!$D$3:$R$3,0)),
IF($D1905="폐업",INDEX(폐업정보!$D$3:$R$3000,MATCH($F1905,폐업정보!$I$3:$I$3000,0),MATCH(K$4,폐업정보!$D$3:$R$3,0)),
"Error"))</f>
        <v>C1900</v>
      </c>
      <c r="L1905" s="75" t="str">
        <f aca="false">
IF($D1905="정상",INDEX(임대자산!$D$3:$R$3000,MATCH($F1905,임대자산!$I$3:$I$3000,0),MATCH(L$4,임대자산!$D$3:$R$3,0)),
IF($D1905="폐업",INDEX(폐업정보!$D$3:$R$3000,MATCH($F1905,폐업정보!$I$3:$I$3000,0),MATCH(L$4,폐업정보!$D$3:$R$3,0)),
"Error"))</f>
        <v>D1900</v>
      </c>
      <c r="M1905" s="76" t="s">
        <v>96</v>
      </c>
      <c r="N1905" s="77"/>
      <c r="O1905" s="78" t="s">
        <v>97</v>
      </c>
      <c r="P1905" s="79" t="n">
        <f aca="false">COUNTIFS(임대자산!$I:$I,가맹점정보!F1905,임대자산!$N:$N,가맹점정보!P$4)</f>
        <v>0</v>
      </c>
      <c r="Q1905" s="80" t="n">
        <f aca="false">COUNTIFS(임대자산!$I:$I,가맹점정보!F1905,임대자산!$N:$N,가맹점정보!Q$4)</f>
        <v>0</v>
      </c>
      <c r="R1905" s="81" t="n">
        <f aca="false">COUNTIFS(임대자산!$I:$I,가맹점정보!F1905,임대자산!$N:$N,가맹점정보!R$4)</f>
        <v>1</v>
      </c>
      <c r="S1905" s="82" t="n">
        <v>55000</v>
      </c>
      <c r="T1905" s="83" t="n">
        <v>0</v>
      </c>
      <c r="U1905" s="80" t="n">
        <f aca="false">SUM(S1905:T1905)</f>
        <v>55000</v>
      </c>
      <c r="V1905" s="84" t="s">
        <v>12</v>
      </c>
      <c r="W1905" s="80" t="e">
        <f aca="true">
IF(D1905="폐업","폐업",
IF(V1905="면제","면제",
IF(AND(V1905="정상",COUNTIFS(OFFSET(Y1905,0,COUNTA(Y1905:AV1905)-1,1,-4),"미납")&gt;=3),"장기미납",
IF(AND(V1905="정상",OFFSET(Y1905,0,COUNTA(Y1905:AV1905)-1)&gt;=U1905),"정상",
IF(AND(V1905="정상",OFFSET(Y1905,0,COUNTA(Y1905:AV1905)-1)=0),"정상",
"계약서 미작성")))))</f>
        <v>#VALUE!</v>
      </c>
      <c r="X1905" s="81" t="str">
        <f aca="true">
IF(D1905="폐업","폐업",
IF(AND(V1905="정상",OFFSET(Y1905,0,COUNTA(Y1905:AV1905)-1)="미납"),"미납",
IF(AND(V1905="정상",OFFSET(Y1905,0,COUNTA(Y1905:AV1905)-1)=0),"납부 시작 전",
IF(AND(V1905="정상",OFFSET(Y1905,0,COUNTA(Y1905:AV1905)-1)&gt;=U1905),"정상",
IF(AND(V1905="면제",OFFSET(Y1905,0,COUNTA(Y1905:AV1905)-1)="면제"),"면제",
IF(AND(V1905="면제",OFFSET(Y1905,0,COUNTA(Y1905:AV1905)-1)=0),"면제",
"확인요청"))))))</f>
        <v>미납</v>
      </c>
      <c r="Y1905" s="93" t="n">
        <v>55000</v>
      </c>
      <c r="Z1905" s="90" t="n">
        <v>55000</v>
      </c>
      <c r="AA1905" s="90" t="n">
        <v>55000</v>
      </c>
      <c r="AB1905" s="95" t="s">
        <v>62</v>
      </c>
      <c r="AC1905" s="90" t="n">
        <v>55000</v>
      </c>
      <c r="AD1905" s="90" t="n">
        <v>55000</v>
      </c>
      <c r="AE1905" s="95" t="s">
        <v>62</v>
      </c>
      <c r="AF1905" s="90" t="n">
        <v>55000</v>
      </c>
      <c r="AG1905" s="90" t="n">
        <v>55000</v>
      </c>
      <c r="AH1905" s="95" t="s">
        <v>62</v>
      </c>
      <c r="AI1905" s="95" t="s">
        <v>62</v>
      </c>
      <c r="AJ1905" s="91" t="n">
        <v>55000</v>
      </c>
      <c r="AK1905" s="97" t="s">
        <v>62</v>
      </c>
      <c r="AL1905" s="95" t="s">
        <v>62</v>
      </c>
      <c r="AM1905" s="90"/>
      <c r="AN1905" s="90"/>
      <c r="AO1905" s="90"/>
      <c r="AP1905" s="90"/>
      <c r="AQ1905" s="90"/>
      <c r="AR1905" s="90"/>
      <c r="AS1905" s="90"/>
      <c r="AT1905" s="90"/>
      <c r="AU1905" s="90"/>
      <c r="AV1905" s="91"/>
      <c r="AX1905" s="92"/>
    </row>
    <row r="1906" customFormat="false" ht="15.65" hidden="false" customHeight="false" outlineLevel="0" collapsed="false">
      <c r="C1906" s="72" t="n">
        <f aca="false">COUNTIFS($D$6:D1906,"&lt;&gt;"&amp;"")</f>
        <v>1901</v>
      </c>
      <c r="D1906" s="73" t="s">
        <v>12</v>
      </c>
      <c r="E1906" s="76" t="str">
        <f aca="false">
IF($D1906="정상",INDEX(임대자산!$D$3:$R$3000,MATCH($F1906,임대자산!$I$3:$I$3000,0),MATCH(E$3,임대자산!$D$3:$R$3,0)),
IF($D1906="폐업",INDEX(폐업정보!$D$3:$R$3000,MATCH($F1906,폐업정보!$I$3:$I$3000,0),MATCH(E$3,폐업정보!$D$3:$R$3,0)),
"Error"))</f>
        <v>경상</v>
      </c>
      <c r="F190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B1901</v>
      </c>
      <c r="G1906" s="76" t="str">
        <f aca="false">F1906&amp;RANDBETWEEN(0,10)</f>
        <v>B19016</v>
      </c>
      <c r="H1906" s="75" t="n">
        <f aca="false">
IF($D1906="정상",INDEX(임대자산!$D$3:$R$3000,MATCH($F1906,임대자산!$I$3:$I$3000,0),MATCH(H$4,임대자산!$D$3:$R$3,0)),
IF($D1906="폐업",INDEX(폐업정보!$D$3:$R$3000,MATCH($F1906,폐업정보!$I$3:$I$3000,0),MATCH(H$4,폐업정보!$D$3:$R$3,0)),
"Error"))</f>
        <v>45989</v>
      </c>
      <c r="I1906" s="75" t="str">
        <f aca="false">
IF($D1906="정상",INDEX(임대자산!$D$3:$R$3000,MATCH($F1906,임대자산!$I$3:$I$3000,0),MATCH(I$4,임대자산!$D$3:$R$3,0)),
IF($D1906="폐업",INDEX(폐업정보!$D$3:$R$3000,MATCH($F1906,폐업정보!$I$3:$I$3000,0),MATCH(I$4,폐업정보!$D$3:$R$3,0)),
"Error"))</f>
        <v>A1901</v>
      </c>
      <c r="J1906" s="75" t="str">
        <f aca="false">
IF($D1906="정상",INDEX(임대자산!$D$3:$R$3000,MATCH($F1906,임대자산!$I$3:$I$3000,0),MATCH(J$4,임대자산!$D$3:$R$3,0)),
IF($D1906="폐업",INDEX(폐업정보!$D$3:$R$3000,MATCH($F1906,폐업정보!$I$3:$I$3000,0),MATCH(J$4,폐업정보!$D$3:$R$3,0)),
"Error"))</f>
        <v>1386800000</v>
      </c>
      <c r="K1906" s="75" t="str">
        <f aca="false">
IF($D1906="정상",INDEX(임대자산!$D$3:$R$3000,MATCH($F1906,임대자산!$I$3:$I$3000,0),MATCH(K$4,임대자산!$D$3:$R$3,0)),
IF($D1906="폐업",INDEX(폐업정보!$D$3:$R$3000,MATCH($F1906,폐업정보!$I$3:$I$3000,0),MATCH(K$4,폐업정보!$D$3:$R$3,0)),
"Error"))</f>
        <v>C1901</v>
      </c>
      <c r="L1906" s="75" t="str">
        <f aca="false">
IF($D1906="정상",INDEX(임대자산!$D$3:$R$3000,MATCH($F1906,임대자산!$I$3:$I$3000,0),MATCH(L$4,임대자산!$D$3:$R$3,0)),
IF($D1906="폐업",INDEX(폐업정보!$D$3:$R$3000,MATCH($F1906,폐업정보!$I$3:$I$3000,0),MATCH(L$4,폐업정보!$D$3:$R$3,0)),
"Error"))</f>
        <v>D1901</v>
      </c>
      <c r="M1906" s="76" t="s">
        <v>96</v>
      </c>
      <c r="N1906" s="77"/>
      <c r="O1906" s="78" t="s">
        <v>97</v>
      </c>
      <c r="P1906" s="79" t="n">
        <f aca="false">COUNTIFS(임대자산!$I:$I,가맹점정보!F1906,임대자산!$N:$N,가맹점정보!P$4)</f>
        <v>0</v>
      </c>
      <c r="Q1906" s="80" t="n">
        <f aca="false">COUNTIFS(임대자산!$I:$I,가맹점정보!F1906,임대자산!$N:$N,가맹점정보!Q$4)</f>
        <v>0</v>
      </c>
      <c r="R1906" s="81" t="n">
        <f aca="false">COUNTIFS(임대자산!$I:$I,가맹점정보!F1906,임대자산!$N:$N,가맹점정보!R$4)</f>
        <v>1</v>
      </c>
      <c r="S1906" s="82" t="n">
        <v>55000</v>
      </c>
      <c r="T1906" s="83" t="n">
        <v>0</v>
      </c>
      <c r="U1906" s="80" t="n">
        <f aca="false">SUM(S1906:T1906)</f>
        <v>55000</v>
      </c>
      <c r="V1906" s="84" t="s">
        <v>7</v>
      </c>
      <c r="W1906" s="80" t="str">
        <f aca="true">
IF(D1906="폐업","폐업",
IF(V1906="면제","면제",
IF(AND(V1906="정상",COUNTIFS(OFFSET(Y1906,0,COUNTA(Y1906:AV1906)-1,1,-4),"미납")&gt;=3),"장기미납",
IF(AND(V1906="정상",OFFSET(Y1906,0,COUNTA(Y1906:AV1906)-1)&gt;=U1906),"정상",
IF(AND(V1906="정상",OFFSET(Y1906,0,COUNTA(Y1906:AV1906)-1)=0),"정상",
"계약서 미작성")))))</f>
        <v>면제</v>
      </c>
      <c r="X1906" s="81" t="str">
        <f aca="true">
IF(D1906="폐업","폐업",
IF(AND(V1906="정상",OFFSET(Y1906,0,COUNTA(Y1906:AV1906)-1)="미납"),"미납",
IF(AND(V1906="정상",OFFSET(Y1906,0,COUNTA(Y1906:AV1906)-1)=0),"납부 시작 전",
IF(AND(V1906="정상",OFFSET(Y1906,0,COUNTA(Y1906:AV1906)-1)&gt;=U1906),"정상",
IF(AND(V1906="면제",OFFSET(Y1906,0,COUNTA(Y1906:AV1906)-1)="면제"),"면제",
IF(AND(V1906="면제",OFFSET(Y1906,0,COUNTA(Y1906:AV1906)-1)=0),"면제",
"확인요청"))))))</f>
        <v>면제</v>
      </c>
      <c r="Y1906" s="93" t="n">
        <v>55000</v>
      </c>
      <c r="Z1906" s="90" t="n">
        <v>55000</v>
      </c>
      <c r="AA1906" s="90" t="n">
        <v>55000</v>
      </c>
      <c r="AB1906" s="95" t="s">
        <v>62</v>
      </c>
      <c r="AC1906" s="95" t="s">
        <v>62</v>
      </c>
      <c r="AD1906" s="95" t="s">
        <v>62</v>
      </c>
      <c r="AE1906" s="95" t="s">
        <v>7</v>
      </c>
      <c r="AF1906" s="95" t="s">
        <v>7</v>
      </c>
      <c r="AG1906" s="95" t="s">
        <v>7</v>
      </c>
      <c r="AH1906" s="95" t="s">
        <v>7</v>
      </c>
      <c r="AI1906" s="95" t="s">
        <v>7</v>
      </c>
      <c r="AJ1906" s="96" t="s">
        <v>7</v>
      </c>
      <c r="AK1906" s="97" t="s">
        <v>7</v>
      </c>
      <c r="AL1906" s="95" t="s">
        <v>7</v>
      </c>
      <c r="AM1906" s="90"/>
      <c r="AN1906" s="90"/>
      <c r="AO1906" s="90"/>
      <c r="AP1906" s="90"/>
      <c r="AQ1906" s="90"/>
      <c r="AR1906" s="90"/>
      <c r="AS1906" s="90"/>
      <c r="AT1906" s="90"/>
      <c r="AU1906" s="90"/>
      <c r="AV1906" s="91"/>
      <c r="AX1906" s="92"/>
    </row>
    <row r="1907" customFormat="false" ht="15.65" hidden="false" customHeight="false" outlineLevel="0" collapsed="false">
      <c r="C1907" s="72" t="n">
        <f aca="false">COUNTIFS($D$6:D1907,"&lt;&gt;"&amp;"")</f>
        <v>1902</v>
      </c>
      <c r="D1907" s="73" t="s">
        <v>12</v>
      </c>
      <c r="E1907" s="76" t="str">
        <f aca="false">
IF($D1907="정상",INDEX(임대자산!$D$3:$R$3000,MATCH($F1907,임대자산!$I$3:$I$3000,0),MATCH(E$3,임대자산!$D$3:$R$3,0)),
IF($D1907="폐업",INDEX(폐업정보!$D$3:$R$3000,MATCH($F1907,폐업정보!$I$3:$I$3000,0),MATCH(E$3,폐업정보!$D$3:$R$3,0)),
"Error"))</f>
        <v>강원</v>
      </c>
      <c r="F190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B1902</v>
      </c>
      <c r="G1907" s="76" t="str">
        <f aca="false">F1907&amp;RANDBETWEEN(0,10)</f>
        <v>B19028</v>
      </c>
      <c r="H1907" s="75" t="n">
        <f aca="false">
IF($D1907="정상",INDEX(임대자산!$D$3:$R$3000,MATCH($F1907,임대자산!$I$3:$I$3000,0),MATCH(H$4,임대자산!$D$3:$R$3,0)),
IF($D1907="폐업",INDEX(폐업정보!$D$3:$R$3000,MATCH($F1907,폐업정보!$I$3:$I$3000,0),MATCH(H$4,폐업정보!$D$3:$R$3,0)),
"Error"))</f>
        <v>45992</v>
      </c>
      <c r="I1907" s="75" t="str">
        <f aca="false">
IF($D1907="정상",INDEX(임대자산!$D$3:$R$3000,MATCH($F1907,임대자산!$I$3:$I$3000,0),MATCH(I$4,임대자산!$D$3:$R$3,0)),
IF($D1907="폐업",INDEX(폐업정보!$D$3:$R$3000,MATCH($F1907,폐업정보!$I$3:$I$3000,0),MATCH(I$4,폐업정보!$D$3:$R$3,0)),
"Error"))</f>
        <v>A1902</v>
      </c>
      <c r="J1907" s="75" t="str">
        <f aca="false">
IF($D1907="정상",INDEX(임대자산!$D$3:$R$3000,MATCH($F1907,임대자산!$I$3:$I$3000,0),MATCH(J$4,임대자산!$D$3:$R$3,0)),
IF($D1907="폐업",INDEX(폐업정보!$D$3:$R$3000,MATCH($F1907,폐업정보!$I$3:$I$3000,0),MATCH(J$4,폐업정보!$D$3:$R$3,0)),
"Error"))</f>
        <v>9858100000</v>
      </c>
      <c r="K1907" s="75" t="str">
        <f aca="false">
IF($D1907="정상",INDEX(임대자산!$D$3:$R$3000,MATCH($F1907,임대자산!$I$3:$I$3000,0),MATCH(K$4,임대자산!$D$3:$R$3,0)),
IF($D1907="폐업",INDEX(폐업정보!$D$3:$R$3000,MATCH($F1907,폐업정보!$I$3:$I$3000,0),MATCH(K$4,폐업정보!$D$3:$R$3,0)),
"Error"))</f>
        <v>C1902</v>
      </c>
      <c r="L1907" s="75" t="str">
        <f aca="false">
IF($D1907="정상",INDEX(임대자산!$D$3:$R$3000,MATCH($F1907,임대자산!$I$3:$I$3000,0),MATCH(L$4,임대자산!$D$3:$R$3,0)),
IF($D1907="폐업",INDEX(폐업정보!$D$3:$R$3000,MATCH($F1907,폐업정보!$I$3:$I$3000,0),MATCH(L$4,폐업정보!$D$3:$R$3,0)),
"Error"))</f>
        <v>D1902</v>
      </c>
      <c r="M1907" s="76" t="s">
        <v>96</v>
      </c>
      <c r="N1907" s="77"/>
      <c r="O1907" s="78" t="s">
        <v>97</v>
      </c>
      <c r="P1907" s="79" t="n">
        <f aca="false">COUNTIFS(임대자산!$I:$I,가맹점정보!F1907,임대자산!$N:$N,가맹점정보!P$4)</f>
        <v>0</v>
      </c>
      <c r="Q1907" s="80" t="n">
        <f aca="false">COUNTIFS(임대자산!$I:$I,가맹점정보!F1907,임대자산!$N:$N,가맹점정보!Q$4)</f>
        <v>0</v>
      </c>
      <c r="R1907" s="81" t="n">
        <f aca="false">COUNTIFS(임대자산!$I:$I,가맹점정보!F1907,임대자산!$N:$N,가맹점정보!R$4)</f>
        <v>1</v>
      </c>
      <c r="S1907" s="82" t="n">
        <v>55000</v>
      </c>
      <c r="T1907" s="83" t="n">
        <v>0</v>
      </c>
      <c r="U1907" s="80" t="n">
        <f aca="false">SUM(S1907:T1907)</f>
        <v>55000</v>
      </c>
      <c r="V1907" s="84" t="s">
        <v>12</v>
      </c>
      <c r="W1907" s="80" t="e">
        <f aca="true">
IF(D1907="폐업","폐업",
IF(V1907="면제","면제",
IF(AND(V1907="정상",COUNTIFS(OFFSET(Y1907,0,COUNTA(Y1907:AV1907)-1,1,-4),"미납")&gt;=3),"장기미납",
IF(AND(V1907="정상",OFFSET(Y1907,0,COUNTA(Y1907:AV1907)-1)&gt;=U1907),"정상",
IF(AND(V1907="정상",OFFSET(Y1907,0,COUNTA(Y1907:AV1907)-1)=0),"정상",
"계약서 미작성")))))</f>
        <v>#VALUE!</v>
      </c>
      <c r="X1907" s="81" t="str">
        <f aca="true">
IF(D1907="폐업","폐업",
IF(AND(V1907="정상",OFFSET(Y1907,0,COUNTA(Y1907:AV1907)-1)="미납"),"미납",
IF(AND(V1907="정상",OFFSET(Y1907,0,COUNTA(Y1907:AV1907)-1)=0),"납부 시작 전",
IF(AND(V1907="정상",OFFSET(Y1907,0,COUNTA(Y1907:AV1907)-1)&gt;=U1907),"정상",
IF(AND(V1907="면제",OFFSET(Y1907,0,COUNTA(Y1907:AV1907)-1)="면제"),"면제",
IF(AND(V1907="면제",OFFSET(Y1907,0,COUNTA(Y1907:AV1907)-1)=0),"면제",
"확인요청"))))))</f>
        <v>정상</v>
      </c>
      <c r="Y1907" s="93" t="n">
        <v>110000</v>
      </c>
      <c r="Z1907" s="90" t="n">
        <v>55000</v>
      </c>
      <c r="AA1907" s="90" t="n">
        <v>55000</v>
      </c>
      <c r="AB1907" s="90" t="s">
        <v>108</v>
      </c>
      <c r="AC1907" s="90" t="n">
        <v>55000</v>
      </c>
      <c r="AD1907" s="90" t="n">
        <v>110000</v>
      </c>
      <c r="AE1907" s="90" t="s">
        <v>102</v>
      </c>
      <c r="AF1907" s="90" t="n">
        <v>110000</v>
      </c>
      <c r="AG1907" s="90" t="n">
        <v>55000</v>
      </c>
      <c r="AH1907" s="90" t="n">
        <v>55000</v>
      </c>
      <c r="AI1907" s="90" t="n">
        <v>55000</v>
      </c>
      <c r="AJ1907" s="91" t="n">
        <v>55000</v>
      </c>
      <c r="AK1907" s="89" t="n">
        <v>55000</v>
      </c>
      <c r="AL1907" s="90" t="n">
        <v>55000</v>
      </c>
      <c r="AM1907" s="90"/>
      <c r="AN1907" s="90"/>
      <c r="AO1907" s="90"/>
      <c r="AP1907" s="90"/>
      <c r="AQ1907" s="90"/>
      <c r="AR1907" s="90"/>
      <c r="AS1907" s="90"/>
      <c r="AT1907" s="90"/>
      <c r="AU1907" s="90"/>
      <c r="AV1907" s="91"/>
      <c r="AX1907" s="92"/>
    </row>
    <row r="1908" customFormat="false" ht="15.65" hidden="false" customHeight="false" outlineLevel="0" collapsed="false">
      <c r="C1908" s="72" t="n">
        <f aca="false">COUNTIFS($D$6:D1908,"&lt;&gt;"&amp;"")</f>
        <v>1903</v>
      </c>
      <c r="D1908" s="73" t="s">
        <v>12</v>
      </c>
      <c r="E1908" s="76" t="str">
        <f aca="false">
IF($D1908="정상",INDEX(임대자산!$D$3:$R$3000,MATCH($F1908,임대자산!$I$3:$I$3000,0),MATCH(E$3,임대자산!$D$3:$R$3,0)),
IF($D1908="폐업",INDEX(폐업정보!$D$3:$R$3000,MATCH($F1908,폐업정보!$I$3:$I$3000,0),MATCH(E$3,폐업정보!$D$3:$R$3,0)),
"Error"))</f>
        <v>강원</v>
      </c>
      <c r="F190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B1903</v>
      </c>
      <c r="G1908" s="76" t="str">
        <f aca="false">F1908&amp;RANDBETWEEN(0,10)</f>
        <v>B19035</v>
      </c>
      <c r="H1908" s="75" t="n">
        <f aca="false">
IF($D1908="정상",INDEX(임대자산!$D$3:$R$3000,MATCH($F1908,임대자산!$I$3:$I$3000,0),MATCH(H$4,임대자산!$D$3:$R$3,0)),
IF($D1908="폐업",INDEX(폐업정보!$D$3:$R$3000,MATCH($F1908,폐업정보!$I$3:$I$3000,0),MATCH(H$4,폐업정보!$D$3:$R$3,0)),
"Error"))</f>
        <v>45986</v>
      </c>
      <c r="I1908" s="75" t="str">
        <f aca="false">
IF($D1908="정상",INDEX(임대자산!$D$3:$R$3000,MATCH($F1908,임대자산!$I$3:$I$3000,0),MATCH(I$4,임대자산!$D$3:$R$3,0)),
IF($D1908="폐업",INDEX(폐업정보!$D$3:$R$3000,MATCH($F1908,폐업정보!$I$3:$I$3000,0),MATCH(I$4,폐업정보!$D$3:$R$3,0)),
"Error"))</f>
        <v>A1903</v>
      </c>
      <c r="J1908" s="75" t="str">
        <f aca="false">
IF($D1908="정상",INDEX(임대자산!$D$3:$R$3000,MATCH($F1908,임대자산!$I$3:$I$3000,0),MATCH(J$4,임대자산!$D$3:$R$3,0)),
IF($D1908="폐업",INDEX(폐업정보!$D$3:$R$3000,MATCH($F1908,폐업정보!$I$3:$I$3000,0),MATCH(J$4,폐업정보!$D$3:$R$3,0)),
"Error"))</f>
        <v>3424700000</v>
      </c>
      <c r="K1908" s="75" t="str">
        <f aca="false">
IF($D1908="정상",INDEX(임대자산!$D$3:$R$3000,MATCH($F1908,임대자산!$I$3:$I$3000,0),MATCH(K$4,임대자산!$D$3:$R$3,0)),
IF($D1908="폐업",INDEX(폐업정보!$D$3:$R$3000,MATCH($F1908,폐업정보!$I$3:$I$3000,0),MATCH(K$4,폐업정보!$D$3:$R$3,0)),
"Error"))</f>
        <v>C1903</v>
      </c>
      <c r="L1908" s="75" t="str">
        <f aca="false">
IF($D1908="정상",INDEX(임대자산!$D$3:$R$3000,MATCH($F1908,임대자산!$I$3:$I$3000,0),MATCH(L$4,임대자산!$D$3:$R$3,0)),
IF($D1908="폐업",INDEX(폐업정보!$D$3:$R$3000,MATCH($F1908,폐업정보!$I$3:$I$3000,0),MATCH(L$4,폐업정보!$D$3:$R$3,0)),
"Error"))</f>
        <v>D1903</v>
      </c>
      <c r="M1908" s="76" t="s">
        <v>96</v>
      </c>
      <c r="N1908" s="77"/>
      <c r="O1908" s="78" t="s">
        <v>97</v>
      </c>
      <c r="P1908" s="79" t="n">
        <f aca="false">COUNTIFS(임대자산!$I:$I,가맹점정보!F1908,임대자산!$N:$N,가맹점정보!P$4)</f>
        <v>0</v>
      </c>
      <c r="Q1908" s="80" t="n">
        <f aca="false">COUNTIFS(임대자산!$I:$I,가맹점정보!F1908,임대자산!$N:$N,가맹점정보!Q$4)</f>
        <v>0</v>
      </c>
      <c r="R1908" s="81" t="n">
        <f aca="false">COUNTIFS(임대자산!$I:$I,가맹점정보!F1908,임대자산!$N:$N,가맹점정보!R$4)</f>
        <v>1</v>
      </c>
      <c r="S1908" s="82" t="n">
        <v>88000</v>
      </c>
      <c r="T1908" s="83" t="n">
        <v>0</v>
      </c>
      <c r="U1908" s="80" t="n">
        <f aca="false">SUM(S1908:T1908)</f>
        <v>88000</v>
      </c>
      <c r="V1908" s="84" t="s">
        <v>7</v>
      </c>
      <c r="W1908" s="80" t="str">
        <f aca="true">
IF(D1908="폐업","폐업",
IF(V1908="면제","면제",
IF(AND(V1908="정상",COUNTIFS(OFFSET(Y1908,0,COUNTA(Y1908:AV1908)-1,1,-4),"미납")&gt;=3),"장기미납",
IF(AND(V1908="정상",OFFSET(Y1908,0,COUNTA(Y1908:AV1908)-1)&gt;=U1908),"정상",
IF(AND(V1908="정상",OFFSET(Y1908,0,COUNTA(Y1908:AV1908)-1)=0),"정상",
"계약서 미작성")))))</f>
        <v>면제</v>
      </c>
      <c r="X1908" s="81" t="str">
        <f aca="true">
IF(D1908="폐업","폐업",
IF(AND(V1908="정상",OFFSET(Y1908,0,COUNTA(Y1908:AV1908)-1)="미납"),"미납",
IF(AND(V1908="정상",OFFSET(Y1908,0,COUNTA(Y1908:AV1908)-1)=0),"납부 시작 전",
IF(AND(V1908="정상",OFFSET(Y1908,0,COUNTA(Y1908:AV1908)-1)&gt;=U1908),"정상",
IF(AND(V1908="면제",OFFSET(Y1908,0,COUNTA(Y1908:AV1908)-1)="면제"),"면제",
IF(AND(V1908="면제",OFFSET(Y1908,0,COUNTA(Y1908:AV1908)-1)=0),"면제",
"확인요청"))))))</f>
        <v>면제</v>
      </c>
      <c r="Y1908" s="93" t="n">
        <v>55000</v>
      </c>
      <c r="Z1908" s="90" t="n">
        <v>55000</v>
      </c>
      <c r="AA1908" s="90" t="n">
        <v>55000</v>
      </c>
      <c r="AB1908" s="95" t="s">
        <v>62</v>
      </c>
      <c r="AC1908" s="95" t="s">
        <v>62</v>
      </c>
      <c r="AD1908" s="95" t="s">
        <v>62</v>
      </c>
      <c r="AE1908" s="95" t="s">
        <v>62</v>
      </c>
      <c r="AF1908" s="95" t="s">
        <v>7</v>
      </c>
      <c r="AG1908" s="95" t="s">
        <v>7</v>
      </c>
      <c r="AH1908" s="95" t="s">
        <v>7</v>
      </c>
      <c r="AI1908" s="95" t="s">
        <v>7</v>
      </c>
      <c r="AJ1908" s="96" t="s">
        <v>7</v>
      </c>
      <c r="AK1908" s="97" t="s">
        <v>7</v>
      </c>
      <c r="AL1908" s="95" t="s">
        <v>7</v>
      </c>
      <c r="AM1908" s="90"/>
      <c r="AN1908" s="90"/>
      <c r="AO1908" s="90"/>
      <c r="AP1908" s="90"/>
      <c r="AQ1908" s="90"/>
      <c r="AR1908" s="90"/>
      <c r="AS1908" s="90"/>
      <c r="AT1908" s="90"/>
      <c r="AU1908" s="90"/>
      <c r="AV1908" s="91"/>
      <c r="AX1908" s="92"/>
    </row>
    <row r="1909" customFormat="false" ht="15.65" hidden="false" customHeight="false" outlineLevel="0" collapsed="false">
      <c r="C1909" s="72" t="n">
        <f aca="false">COUNTIFS($D$6:D1909,"&lt;&gt;"&amp;"")</f>
        <v>1904</v>
      </c>
      <c r="D1909" s="73" t="s">
        <v>12</v>
      </c>
      <c r="E1909" s="76" t="str">
        <f aca="false">
IF($D1909="정상",INDEX(임대자산!$D$3:$R$3000,MATCH($F1909,임대자산!$I$3:$I$3000,0),MATCH(E$3,임대자산!$D$3:$R$3,0)),
IF($D1909="폐업",INDEX(폐업정보!$D$3:$R$3000,MATCH($F1909,폐업정보!$I$3:$I$3000,0),MATCH(E$3,폐업정보!$D$3:$R$3,0)),
"Error"))</f>
        <v>경상</v>
      </c>
      <c r="F190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B1904</v>
      </c>
      <c r="G1909" s="76" t="str">
        <f aca="false">F1909&amp;RANDBETWEEN(0,10)</f>
        <v>B19046</v>
      </c>
      <c r="H1909" s="75" t="n">
        <f aca="false">
IF($D1909="정상",INDEX(임대자산!$D$3:$R$3000,MATCH($F1909,임대자산!$I$3:$I$3000,0),MATCH(H$4,임대자산!$D$3:$R$3,0)),
IF($D1909="폐업",INDEX(폐업정보!$D$3:$R$3000,MATCH($F1909,폐업정보!$I$3:$I$3000,0),MATCH(H$4,폐업정보!$D$3:$R$3,0)),
"Error"))</f>
        <v>46044</v>
      </c>
      <c r="I1909" s="75" t="str">
        <f aca="false">
IF($D1909="정상",INDEX(임대자산!$D$3:$R$3000,MATCH($F1909,임대자산!$I$3:$I$3000,0),MATCH(I$4,임대자산!$D$3:$R$3,0)),
IF($D1909="폐업",INDEX(폐업정보!$D$3:$R$3000,MATCH($F1909,폐업정보!$I$3:$I$3000,0),MATCH(I$4,폐업정보!$D$3:$R$3,0)),
"Error"))</f>
        <v>A1904</v>
      </c>
      <c r="J1909" s="75" t="str">
        <f aca="false">
IF($D1909="정상",INDEX(임대자산!$D$3:$R$3000,MATCH($F1909,임대자산!$I$3:$I$3000,0),MATCH(J$4,임대자산!$D$3:$R$3,0)),
IF($D1909="폐업",INDEX(폐업정보!$D$3:$R$3000,MATCH($F1909,폐업정보!$I$3:$I$3000,0),MATCH(J$4,폐업정보!$D$3:$R$3,0)),
"Error"))</f>
        <v>7967000000</v>
      </c>
      <c r="K1909" s="75" t="str">
        <f aca="false">
IF($D1909="정상",INDEX(임대자산!$D$3:$R$3000,MATCH($F1909,임대자산!$I$3:$I$3000,0),MATCH(K$4,임대자산!$D$3:$R$3,0)),
IF($D1909="폐업",INDEX(폐업정보!$D$3:$R$3000,MATCH($F1909,폐업정보!$I$3:$I$3000,0),MATCH(K$4,폐업정보!$D$3:$R$3,0)),
"Error"))</f>
        <v>C1904</v>
      </c>
      <c r="L1909" s="75" t="str">
        <f aca="false">
IF($D1909="정상",INDEX(임대자산!$D$3:$R$3000,MATCH($F1909,임대자산!$I$3:$I$3000,0),MATCH(L$4,임대자산!$D$3:$R$3,0)),
IF($D1909="폐업",INDEX(폐업정보!$D$3:$R$3000,MATCH($F1909,폐업정보!$I$3:$I$3000,0),MATCH(L$4,폐업정보!$D$3:$R$3,0)),
"Error"))</f>
        <v>D1904</v>
      </c>
      <c r="M1909" s="76" t="s">
        <v>96</v>
      </c>
      <c r="N1909" s="77"/>
      <c r="O1909" s="78" t="s">
        <v>97</v>
      </c>
      <c r="P1909" s="79" t="n">
        <f aca="false">COUNTIFS(임대자산!$I:$I,가맹점정보!F1909,임대자산!$N:$N,가맹점정보!P$4)</f>
        <v>0</v>
      </c>
      <c r="Q1909" s="80" t="n">
        <f aca="false">COUNTIFS(임대자산!$I:$I,가맹점정보!F1909,임대자산!$N:$N,가맹점정보!Q$4)</f>
        <v>0</v>
      </c>
      <c r="R1909" s="81" t="n">
        <f aca="false">COUNTIFS(임대자산!$I:$I,가맹점정보!F1909,임대자산!$N:$N,가맹점정보!R$4)</f>
        <v>1</v>
      </c>
      <c r="S1909" s="82" t="n">
        <v>27500</v>
      </c>
      <c r="T1909" s="83" t="n">
        <v>27500</v>
      </c>
      <c r="U1909" s="80" t="n">
        <f aca="false">SUM(S1909:T1909)</f>
        <v>55000</v>
      </c>
      <c r="V1909" s="84" t="s">
        <v>12</v>
      </c>
      <c r="W1909" s="80" t="e">
        <f aca="true">
IF(D1909="폐업","폐업",
IF(V1909="면제","면제",
IF(AND(V1909="정상",COUNTIFS(OFFSET(Y1909,0,COUNTA(Y1909:AV1909)-1,1,-4),"미납")&gt;=3),"장기미납",
IF(AND(V1909="정상",OFFSET(Y1909,0,COUNTA(Y1909:AV1909)-1)&gt;=U1909),"정상",
IF(AND(V1909="정상",OFFSET(Y1909,0,COUNTA(Y1909:AV1909)-1)=0),"정상",
"계약서 미작성")))))</f>
        <v>#VALUE!</v>
      </c>
      <c r="X1909" s="81" t="str">
        <f aca="true">
IF(D1909="폐업","폐업",
IF(AND(V1909="정상",OFFSET(Y1909,0,COUNTA(Y1909:AV1909)-1)="미납"),"미납",
IF(AND(V1909="정상",OFFSET(Y1909,0,COUNTA(Y1909:AV1909)-1)=0),"납부 시작 전",
IF(AND(V1909="정상",OFFSET(Y1909,0,COUNTA(Y1909:AV1909)-1)&gt;=U1909),"정상",
IF(AND(V1909="면제",OFFSET(Y1909,0,COUNTA(Y1909:AV1909)-1)="면제"),"면제",
IF(AND(V1909="면제",OFFSET(Y1909,0,COUNTA(Y1909:AV1909)-1)=0),"면제",
"확인요청"))))))</f>
        <v>미납</v>
      </c>
      <c r="Y1909" s="93" t="n">
        <v>88000</v>
      </c>
      <c r="Z1909" s="90" t="n">
        <v>88000</v>
      </c>
      <c r="AA1909" s="90" t="n">
        <v>88000</v>
      </c>
      <c r="AB1909" s="95" t="s">
        <v>62</v>
      </c>
      <c r="AC1909" s="95" t="s">
        <v>62</v>
      </c>
      <c r="AD1909" s="95" t="s">
        <v>62</v>
      </c>
      <c r="AE1909" s="90" t="n">
        <v>55000</v>
      </c>
      <c r="AF1909" s="90" t="s">
        <v>105</v>
      </c>
      <c r="AG1909" s="90" t="n">
        <v>110000</v>
      </c>
      <c r="AH1909" s="90" t="n">
        <v>55000</v>
      </c>
      <c r="AI1909" s="90" t="s">
        <v>107</v>
      </c>
      <c r="AJ1909" s="91" t="n">
        <v>110000</v>
      </c>
      <c r="AK1909" s="89" t="n">
        <v>55000</v>
      </c>
      <c r="AL1909" s="95" t="s">
        <v>62</v>
      </c>
      <c r="AM1909" s="90"/>
      <c r="AN1909" s="90"/>
      <c r="AO1909" s="90"/>
      <c r="AP1909" s="90"/>
      <c r="AQ1909" s="90"/>
      <c r="AR1909" s="90"/>
      <c r="AS1909" s="90"/>
      <c r="AT1909" s="90"/>
      <c r="AU1909" s="90"/>
      <c r="AV1909" s="91"/>
      <c r="AX1909" s="92"/>
    </row>
    <row r="1910" customFormat="false" ht="15.65" hidden="false" customHeight="false" outlineLevel="0" collapsed="false">
      <c r="C1910" s="72" t="n">
        <f aca="false">COUNTIFS($D$6:D1910,"&lt;&gt;"&amp;"")</f>
        <v>1905</v>
      </c>
      <c r="D1910" s="73" t="s">
        <v>12</v>
      </c>
      <c r="E1910" s="76" t="str">
        <f aca="false">
IF($D1910="정상",INDEX(임대자산!$D$3:$R$3000,MATCH($F1910,임대자산!$I$3:$I$3000,0),MATCH(E$3,임대자산!$D$3:$R$3,0)),
IF($D1910="폐업",INDEX(폐업정보!$D$3:$R$3000,MATCH($F1910,폐업정보!$I$3:$I$3000,0),MATCH(E$3,폐업정보!$D$3:$R$3,0)),
"Error"))</f>
        <v>경상</v>
      </c>
      <c r="F191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B1905</v>
      </c>
      <c r="G1910" s="76" t="str">
        <f aca="false">F1910&amp;RANDBETWEEN(0,10)</f>
        <v>B19056</v>
      </c>
      <c r="H1910" s="75" t="n">
        <f aca="false">
IF($D1910="정상",INDEX(임대자산!$D$3:$R$3000,MATCH($F1910,임대자산!$I$3:$I$3000,0),MATCH(H$4,임대자산!$D$3:$R$3,0)),
IF($D1910="폐업",INDEX(폐업정보!$D$3:$R$3000,MATCH($F1910,폐업정보!$I$3:$I$3000,0),MATCH(H$4,폐업정보!$D$3:$R$3,0)),
"Error"))</f>
        <v>46044</v>
      </c>
      <c r="I1910" s="75" t="str">
        <f aca="false">
IF($D1910="정상",INDEX(임대자산!$D$3:$R$3000,MATCH($F1910,임대자산!$I$3:$I$3000,0),MATCH(I$4,임대자산!$D$3:$R$3,0)),
IF($D1910="폐업",INDEX(폐업정보!$D$3:$R$3000,MATCH($F1910,폐업정보!$I$3:$I$3000,0),MATCH(I$4,폐업정보!$D$3:$R$3,0)),
"Error"))</f>
        <v>A1905</v>
      </c>
      <c r="J1910" s="75" t="str">
        <f aca="false">
IF($D1910="정상",INDEX(임대자산!$D$3:$R$3000,MATCH($F1910,임대자산!$I$3:$I$3000,0),MATCH(J$4,임대자산!$D$3:$R$3,0)),
IF($D1910="폐업",INDEX(폐업정보!$D$3:$R$3000,MATCH($F1910,폐업정보!$I$3:$I$3000,0),MATCH(J$4,폐업정보!$D$3:$R$3,0)),
"Error"))</f>
        <v>7882100000</v>
      </c>
      <c r="K1910" s="75" t="str">
        <f aca="false">
IF($D1910="정상",INDEX(임대자산!$D$3:$R$3000,MATCH($F1910,임대자산!$I$3:$I$3000,0),MATCH(K$4,임대자산!$D$3:$R$3,0)),
IF($D1910="폐업",INDEX(폐업정보!$D$3:$R$3000,MATCH($F1910,폐업정보!$I$3:$I$3000,0),MATCH(K$4,폐업정보!$D$3:$R$3,0)),
"Error"))</f>
        <v>C1905</v>
      </c>
      <c r="L1910" s="75" t="str">
        <f aca="false">
IF($D1910="정상",INDEX(임대자산!$D$3:$R$3000,MATCH($F1910,임대자산!$I$3:$I$3000,0),MATCH(L$4,임대자산!$D$3:$R$3,0)),
IF($D1910="폐업",INDEX(폐업정보!$D$3:$R$3000,MATCH($F1910,폐업정보!$I$3:$I$3000,0),MATCH(L$4,폐업정보!$D$3:$R$3,0)),
"Error"))</f>
        <v>D1905</v>
      </c>
      <c r="M1910" s="76" t="s">
        <v>96</v>
      </c>
      <c r="N1910" s="77"/>
      <c r="O1910" s="78" t="s">
        <v>97</v>
      </c>
      <c r="P1910" s="79" t="n">
        <f aca="false">COUNTIFS(임대자산!$I:$I,가맹점정보!F1910,임대자산!$N:$N,가맹점정보!P$4)</f>
        <v>0</v>
      </c>
      <c r="Q1910" s="80" t="n">
        <f aca="false">COUNTIFS(임대자산!$I:$I,가맹점정보!F1910,임대자산!$N:$N,가맹점정보!Q$4)</f>
        <v>0</v>
      </c>
      <c r="R1910" s="81" t="n">
        <f aca="false">COUNTIFS(임대자산!$I:$I,가맹점정보!F1910,임대자산!$N:$N,가맹점정보!R$4)</f>
        <v>1</v>
      </c>
      <c r="S1910" s="82" t="n">
        <v>132000</v>
      </c>
      <c r="T1910" s="83" t="n">
        <v>0</v>
      </c>
      <c r="U1910" s="80" t="n">
        <f aca="false">SUM(S1910:T1910)</f>
        <v>132000</v>
      </c>
      <c r="V1910" s="84" t="s">
        <v>12</v>
      </c>
      <c r="W1910" s="80" t="e">
        <f aca="true">
IF(D1910="폐업","폐업",
IF(V1910="면제","면제",
IF(AND(V1910="정상",COUNTIFS(OFFSET(Y1910,0,COUNTA(Y1910:AV1910)-1,1,-4),"미납")&gt;=3),"장기미납",
IF(AND(V1910="정상",OFFSET(Y1910,0,COUNTA(Y1910:AV1910)-1)&gt;=U1910),"정상",
IF(AND(V1910="정상",OFFSET(Y1910,0,COUNTA(Y1910:AV1910)-1)=0),"정상",
"계약서 미작성")))))</f>
        <v>#VALUE!</v>
      </c>
      <c r="X1910" s="81" t="str">
        <f aca="true">
IF(D1910="폐업","폐업",
IF(AND(V1910="정상",OFFSET(Y1910,0,COUNTA(Y1910:AV1910)-1)="미납"),"미납",
IF(AND(V1910="정상",OFFSET(Y1910,0,COUNTA(Y1910:AV1910)-1)=0),"납부 시작 전",
IF(AND(V1910="정상",OFFSET(Y1910,0,COUNTA(Y1910:AV1910)-1)&gt;=U1910),"정상",
IF(AND(V1910="면제",OFFSET(Y1910,0,COUNTA(Y1910:AV1910)-1)="면제"),"면제",
IF(AND(V1910="면제",OFFSET(Y1910,0,COUNTA(Y1910:AV1910)-1)=0),"면제",
"확인요청"))))))</f>
        <v>미납</v>
      </c>
      <c r="Y1910" s="93" t="n">
        <v>132000</v>
      </c>
      <c r="Z1910" s="90" t="s">
        <v>106</v>
      </c>
      <c r="AA1910" s="90" t="n">
        <v>264000</v>
      </c>
      <c r="AB1910" s="90" t="s">
        <v>109</v>
      </c>
      <c r="AC1910" s="90" t="n">
        <v>264000</v>
      </c>
      <c r="AD1910" s="90" t="n">
        <v>132000</v>
      </c>
      <c r="AE1910" s="90" t="n">
        <v>132000</v>
      </c>
      <c r="AF1910" s="90" t="n">
        <v>132000</v>
      </c>
      <c r="AG1910" s="90" t="n">
        <v>132000</v>
      </c>
      <c r="AH1910" s="90" t="n">
        <v>132000</v>
      </c>
      <c r="AI1910" s="95" t="s">
        <v>62</v>
      </c>
      <c r="AJ1910" s="91" t="n">
        <v>132000</v>
      </c>
      <c r="AK1910" s="89" t="n">
        <v>132000</v>
      </c>
      <c r="AL1910" s="95" t="s">
        <v>62</v>
      </c>
      <c r="AM1910" s="90"/>
      <c r="AN1910" s="90"/>
      <c r="AO1910" s="90"/>
      <c r="AP1910" s="90"/>
      <c r="AQ1910" s="90"/>
      <c r="AR1910" s="90"/>
      <c r="AS1910" s="90"/>
      <c r="AT1910" s="90"/>
      <c r="AU1910" s="90"/>
      <c r="AV1910" s="91"/>
      <c r="AX1910" s="92"/>
    </row>
    <row r="1911" customFormat="false" ht="15.65" hidden="false" customHeight="false" outlineLevel="0" collapsed="false">
      <c r="C1911" s="72" t="n">
        <f aca="false">COUNTIFS($D$6:D1911,"&lt;&gt;"&amp;"")</f>
        <v>1906</v>
      </c>
      <c r="D1911" s="73" t="s">
        <v>12</v>
      </c>
      <c r="E1911" s="76" t="str">
        <f aca="false">
IF($D1911="정상",INDEX(임대자산!$D$3:$R$3000,MATCH($F1911,임대자산!$I$3:$I$3000,0),MATCH(E$3,임대자산!$D$3:$R$3,0)),
IF($D1911="폐업",INDEX(폐업정보!$D$3:$R$3000,MATCH($F1911,폐업정보!$I$3:$I$3000,0),MATCH(E$3,폐업정보!$D$3:$R$3,0)),
"Error"))</f>
        <v>경상</v>
      </c>
      <c r="F191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B1906</v>
      </c>
      <c r="G1911" s="76" t="str">
        <f aca="false">F1911&amp;RANDBETWEEN(0,10)</f>
        <v>B19064</v>
      </c>
      <c r="H1911" s="75" t="n">
        <f aca="false">
IF($D1911="정상",INDEX(임대자산!$D$3:$R$3000,MATCH($F1911,임대자산!$I$3:$I$3000,0),MATCH(H$4,임대자산!$D$3:$R$3,0)),
IF($D1911="폐업",INDEX(폐업정보!$D$3:$R$3000,MATCH($F1911,폐업정보!$I$3:$I$3000,0),MATCH(H$4,폐업정보!$D$3:$R$3,0)),
"Error"))</f>
        <v>46044</v>
      </c>
      <c r="I1911" s="75" t="str">
        <f aca="false">
IF($D1911="정상",INDEX(임대자산!$D$3:$R$3000,MATCH($F1911,임대자산!$I$3:$I$3000,0),MATCH(I$4,임대자산!$D$3:$R$3,0)),
IF($D1911="폐업",INDEX(폐업정보!$D$3:$R$3000,MATCH($F1911,폐업정보!$I$3:$I$3000,0),MATCH(I$4,폐업정보!$D$3:$R$3,0)),
"Error"))</f>
        <v>A1906</v>
      </c>
      <c r="J1911" s="75" t="str">
        <f aca="false">
IF($D1911="정상",INDEX(임대자산!$D$3:$R$3000,MATCH($F1911,임대자산!$I$3:$I$3000,0),MATCH(J$4,임대자산!$D$3:$R$3,0)),
IF($D1911="폐업",INDEX(폐업정보!$D$3:$R$3000,MATCH($F1911,폐업정보!$I$3:$I$3000,0),MATCH(J$4,폐업정보!$D$3:$R$3,0)),
"Error"))</f>
        <v>2659500000</v>
      </c>
      <c r="K1911" s="75" t="str">
        <f aca="false">
IF($D1911="정상",INDEX(임대자산!$D$3:$R$3000,MATCH($F1911,임대자산!$I$3:$I$3000,0),MATCH(K$4,임대자산!$D$3:$R$3,0)),
IF($D1911="폐업",INDEX(폐업정보!$D$3:$R$3000,MATCH($F1911,폐업정보!$I$3:$I$3000,0),MATCH(K$4,폐업정보!$D$3:$R$3,0)),
"Error"))</f>
        <v>C1906</v>
      </c>
      <c r="L1911" s="75" t="str">
        <f aca="false">
IF($D1911="정상",INDEX(임대자산!$D$3:$R$3000,MATCH($F1911,임대자산!$I$3:$I$3000,0),MATCH(L$4,임대자산!$D$3:$R$3,0)),
IF($D1911="폐업",INDEX(폐업정보!$D$3:$R$3000,MATCH($F1911,폐업정보!$I$3:$I$3000,0),MATCH(L$4,폐업정보!$D$3:$R$3,0)),
"Error"))</f>
        <v>D1906</v>
      </c>
      <c r="M1911" s="76" t="s">
        <v>96</v>
      </c>
      <c r="N1911" s="77"/>
      <c r="O1911" s="78" t="s">
        <v>97</v>
      </c>
      <c r="P1911" s="79" t="n">
        <f aca="false">COUNTIFS(임대자산!$I:$I,가맹점정보!F1911,임대자산!$N:$N,가맹점정보!P$4)</f>
        <v>0</v>
      </c>
      <c r="Q1911" s="80" t="n">
        <f aca="false">COUNTIFS(임대자산!$I:$I,가맹점정보!F1911,임대자산!$N:$N,가맹점정보!Q$4)</f>
        <v>0</v>
      </c>
      <c r="R1911" s="81" t="n">
        <f aca="false">COUNTIFS(임대자산!$I:$I,가맹점정보!F1911,임대자산!$N:$N,가맹점정보!R$4)</f>
        <v>1</v>
      </c>
      <c r="S1911" s="82" t="n">
        <v>55000</v>
      </c>
      <c r="T1911" s="83" t="n">
        <v>0</v>
      </c>
      <c r="U1911" s="80" t="n">
        <f aca="false">SUM(S1911:T1911)</f>
        <v>55000</v>
      </c>
      <c r="V1911" s="84" t="s">
        <v>12</v>
      </c>
      <c r="W1911" s="80" t="e">
        <f aca="true">
IF(D1911="폐업","폐업",
IF(V1911="면제","면제",
IF(AND(V1911="정상",COUNTIFS(OFFSET(Y1911,0,COUNTA(Y1911:AV1911)-1,1,-4),"미납")&gt;=3),"장기미납",
IF(AND(V1911="정상",OFFSET(Y1911,0,COUNTA(Y1911:AV1911)-1)&gt;=U1911),"정상",
IF(AND(V1911="정상",OFFSET(Y1911,0,COUNTA(Y1911:AV1911)-1)=0),"정상",
"계약서 미작성")))))</f>
        <v>#VALUE!</v>
      </c>
      <c r="X1911" s="81" t="str">
        <f aca="true">
IF(D1911="폐업","폐업",
IF(AND(V1911="정상",OFFSET(Y1911,0,COUNTA(Y1911:AV1911)-1)="미납"),"미납",
IF(AND(V1911="정상",OFFSET(Y1911,0,COUNTA(Y1911:AV1911)-1)=0),"납부 시작 전",
IF(AND(V1911="정상",OFFSET(Y1911,0,COUNTA(Y1911:AV1911)-1)&gt;=U1911),"정상",
IF(AND(V1911="면제",OFFSET(Y1911,0,COUNTA(Y1911:AV1911)-1)="면제"),"면제",
IF(AND(V1911="면제",OFFSET(Y1911,0,COUNTA(Y1911:AV1911)-1)=0),"면제",
"확인요청"))))))</f>
        <v>정상</v>
      </c>
      <c r="Y1911" s="93" t="n">
        <v>55000</v>
      </c>
      <c r="Z1911" s="90" t="n">
        <v>55000</v>
      </c>
      <c r="AA1911" s="90" t="s">
        <v>105</v>
      </c>
      <c r="AB1911" s="95" t="s">
        <v>62</v>
      </c>
      <c r="AC1911" s="95" t="s">
        <v>62</v>
      </c>
      <c r="AD1911" s="95" t="s">
        <v>62</v>
      </c>
      <c r="AE1911" s="95" t="s">
        <v>62</v>
      </c>
      <c r="AF1911" s="95" t="s">
        <v>62</v>
      </c>
      <c r="AG1911" s="90" t="n">
        <v>110000</v>
      </c>
      <c r="AH1911" s="90" t="n">
        <v>55000</v>
      </c>
      <c r="AI1911" s="90" t="n">
        <v>55000</v>
      </c>
      <c r="AJ1911" s="91" t="n">
        <v>55000</v>
      </c>
      <c r="AK1911" s="97" t="s">
        <v>62</v>
      </c>
      <c r="AL1911" s="90" t="n">
        <v>55000</v>
      </c>
      <c r="AM1911" s="90"/>
      <c r="AN1911" s="90"/>
      <c r="AO1911" s="90"/>
      <c r="AP1911" s="90"/>
      <c r="AQ1911" s="90"/>
      <c r="AR1911" s="90"/>
      <c r="AS1911" s="90"/>
      <c r="AT1911" s="90"/>
      <c r="AU1911" s="90"/>
      <c r="AV1911" s="91"/>
      <c r="AX1911" s="92"/>
    </row>
    <row r="1912" customFormat="false" ht="15.65" hidden="false" customHeight="false" outlineLevel="0" collapsed="false">
      <c r="C1912" s="72" t="n">
        <f aca="false">COUNTIFS($D$6:D1912,"&lt;&gt;"&amp;"")</f>
        <v>1907</v>
      </c>
      <c r="D1912" s="73" t="s">
        <v>12</v>
      </c>
      <c r="E1912" s="76" t="str">
        <f aca="false">
IF($D1912="정상",INDEX(임대자산!$D$3:$R$3000,MATCH($F1912,임대자산!$I$3:$I$3000,0),MATCH(E$3,임대자산!$D$3:$R$3,0)),
IF($D1912="폐업",INDEX(폐업정보!$D$3:$R$3000,MATCH($F1912,폐업정보!$I$3:$I$3000,0),MATCH(E$3,폐업정보!$D$3:$R$3,0)),
"Error"))</f>
        <v>경상</v>
      </c>
      <c r="F191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B1907</v>
      </c>
      <c r="G1912" s="76" t="str">
        <f aca="false">F1912&amp;RANDBETWEEN(0,10)</f>
        <v>B19078</v>
      </c>
      <c r="H1912" s="75" t="n">
        <f aca="false">
IF($D1912="정상",INDEX(임대자산!$D$3:$R$3000,MATCH($F1912,임대자산!$I$3:$I$3000,0),MATCH(H$4,임대자산!$D$3:$R$3,0)),
IF($D1912="폐업",INDEX(폐업정보!$D$3:$R$3000,MATCH($F1912,폐업정보!$I$3:$I$3000,0),MATCH(H$4,폐업정보!$D$3:$R$3,0)),
"Error"))</f>
        <v>46062</v>
      </c>
      <c r="I1912" s="75" t="str">
        <f aca="false">
IF($D1912="정상",INDEX(임대자산!$D$3:$R$3000,MATCH($F1912,임대자산!$I$3:$I$3000,0),MATCH(I$4,임대자산!$D$3:$R$3,0)),
IF($D1912="폐업",INDEX(폐업정보!$D$3:$R$3000,MATCH($F1912,폐업정보!$I$3:$I$3000,0),MATCH(I$4,폐업정보!$D$3:$R$3,0)),
"Error"))</f>
        <v>A1907</v>
      </c>
      <c r="J1912" s="75" t="str">
        <f aca="false">
IF($D1912="정상",INDEX(임대자산!$D$3:$R$3000,MATCH($F1912,임대자산!$I$3:$I$3000,0),MATCH(J$4,임대자산!$D$3:$R$3,0)),
IF($D1912="폐업",INDEX(폐업정보!$D$3:$R$3000,MATCH($F1912,폐업정보!$I$3:$I$3000,0),MATCH(J$4,폐업정보!$D$3:$R$3,0)),
"Error"))</f>
        <v>5724800000</v>
      </c>
      <c r="K1912" s="75" t="str">
        <f aca="false">
IF($D1912="정상",INDEX(임대자산!$D$3:$R$3000,MATCH($F1912,임대자산!$I$3:$I$3000,0),MATCH(K$4,임대자산!$D$3:$R$3,0)),
IF($D1912="폐업",INDEX(폐업정보!$D$3:$R$3000,MATCH($F1912,폐업정보!$I$3:$I$3000,0),MATCH(K$4,폐업정보!$D$3:$R$3,0)),
"Error"))</f>
        <v>C1907</v>
      </c>
      <c r="L1912" s="75" t="str">
        <f aca="false">
IF($D1912="정상",INDEX(임대자산!$D$3:$R$3000,MATCH($F1912,임대자산!$I$3:$I$3000,0),MATCH(L$4,임대자산!$D$3:$R$3,0)),
IF($D1912="폐업",INDEX(폐업정보!$D$3:$R$3000,MATCH($F1912,폐업정보!$I$3:$I$3000,0),MATCH(L$4,폐업정보!$D$3:$R$3,0)),
"Error"))</f>
        <v>D1907</v>
      </c>
      <c r="M1912" s="76" t="s">
        <v>96</v>
      </c>
      <c r="N1912" s="77"/>
      <c r="O1912" s="78" t="s">
        <v>97</v>
      </c>
      <c r="P1912" s="79" t="n">
        <f aca="false">COUNTIFS(임대자산!$I:$I,가맹점정보!F1912,임대자산!$N:$N,가맹점정보!P$4)</f>
        <v>0</v>
      </c>
      <c r="Q1912" s="80" t="n">
        <f aca="false">COUNTIFS(임대자산!$I:$I,가맹점정보!F1912,임대자산!$N:$N,가맹점정보!Q$4)</f>
        <v>0</v>
      </c>
      <c r="R1912" s="81" t="n">
        <f aca="false">COUNTIFS(임대자산!$I:$I,가맹점정보!F1912,임대자산!$N:$N,가맹점정보!R$4)</f>
        <v>1</v>
      </c>
      <c r="S1912" s="82" t="n">
        <v>55000</v>
      </c>
      <c r="T1912" s="83" t="n">
        <v>0</v>
      </c>
      <c r="U1912" s="80" t="n">
        <f aca="false">SUM(S1912:T1912)</f>
        <v>55000</v>
      </c>
      <c r="V1912" s="84" t="s">
        <v>7</v>
      </c>
      <c r="W1912" s="80" t="str">
        <f aca="true">
IF(D1912="폐업","폐업",
IF(V1912="면제","면제",
IF(AND(V1912="정상",COUNTIFS(OFFSET(Y1912,0,COUNTA(Y1912:AV1912)-1,1,-4),"미납")&gt;=3),"장기미납",
IF(AND(V1912="정상",OFFSET(Y1912,0,COUNTA(Y1912:AV1912)-1)&gt;=U1912),"정상",
IF(AND(V1912="정상",OFFSET(Y1912,0,COUNTA(Y1912:AV1912)-1)=0),"정상",
"계약서 미작성")))))</f>
        <v>면제</v>
      </c>
      <c r="X1912" s="81" t="str">
        <f aca="true">
IF(D1912="폐업","폐업",
IF(AND(V1912="정상",OFFSET(Y1912,0,COUNTA(Y1912:AV1912)-1)="미납"),"미납",
IF(AND(V1912="정상",OFFSET(Y1912,0,COUNTA(Y1912:AV1912)-1)=0),"납부 시작 전",
IF(AND(V1912="정상",OFFSET(Y1912,0,COUNTA(Y1912:AV1912)-1)&gt;=U1912),"정상",
IF(AND(V1912="면제",OFFSET(Y1912,0,COUNTA(Y1912:AV1912)-1)="면제"),"면제",
IF(AND(V1912="면제",OFFSET(Y1912,0,COUNTA(Y1912:AV1912)-1)=0),"면제",
"확인요청"))))))</f>
        <v>면제</v>
      </c>
      <c r="Y1912" s="93" t="n">
        <v>88000</v>
      </c>
      <c r="Z1912" s="90" t="n">
        <v>88000</v>
      </c>
      <c r="AA1912" s="95" t="s">
        <v>62</v>
      </c>
      <c r="AB1912" s="95" t="s">
        <v>62</v>
      </c>
      <c r="AC1912" s="95" t="s">
        <v>62</v>
      </c>
      <c r="AD1912" s="95" t="s">
        <v>62</v>
      </c>
      <c r="AE1912" s="95" t="s">
        <v>62</v>
      </c>
      <c r="AF1912" s="95" t="s">
        <v>7</v>
      </c>
      <c r="AG1912" s="95" t="s">
        <v>7</v>
      </c>
      <c r="AH1912" s="95" t="s">
        <v>7</v>
      </c>
      <c r="AI1912" s="95" t="s">
        <v>7</v>
      </c>
      <c r="AJ1912" s="96" t="s">
        <v>7</v>
      </c>
      <c r="AK1912" s="97" t="s">
        <v>7</v>
      </c>
      <c r="AL1912" s="95" t="s">
        <v>7</v>
      </c>
      <c r="AM1912" s="90"/>
      <c r="AN1912" s="90"/>
      <c r="AO1912" s="90"/>
      <c r="AP1912" s="90"/>
      <c r="AQ1912" s="90"/>
      <c r="AR1912" s="90"/>
      <c r="AS1912" s="90"/>
      <c r="AT1912" s="90"/>
      <c r="AU1912" s="90"/>
      <c r="AV1912" s="91"/>
      <c r="AX1912" s="92"/>
    </row>
    <row r="1913" customFormat="false" ht="15.65" hidden="false" customHeight="false" outlineLevel="0" collapsed="false">
      <c r="C1913" s="72" t="n">
        <f aca="false">COUNTIFS($D$6:D1913,"&lt;&gt;"&amp;"")</f>
        <v>1908</v>
      </c>
      <c r="D1913" s="73" t="s">
        <v>12</v>
      </c>
      <c r="E1913" s="76" t="str">
        <f aca="false">
IF($D1913="정상",INDEX(임대자산!$D$3:$R$3000,MATCH($F1913,임대자산!$I$3:$I$3000,0),MATCH(E$3,임대자산!$D$3:$R$3,0)),
IF($D1913="폐업",INDEX(폐업정보!$D$3:$R$3000,MATCH($F1913,폐업정보!$I$3:$I$3000,0),MATCH(E$3,폐업정보!$D$3:$R$3,0)),
"Error"))</f>
        <v>서울</v>
      </c>
      <c r="F191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B1908</v>
      </c>
      <c r="G1913" s="76" t="str">
        <f aca="false">F1913&amp;RANDBETWEEN(0,10)</f>
        <v>B19086</v>
      </c>
      <c r="H1913" s="75" t="n">
        <f aca="false">
IF($D1913="정상",INDEX(임대자산!$D$3:$R$3000,MATCH($F1913,임대자산!$I$3:$I$3000,0),MATCH(H$4,임대자산!$D$3:$R$3,0)),
IF($D1913="폐업",INDEX(폐업정보!$D$3:$R$3000,MATCH($F1913,폐업정보!$I$3:$I$3000,0),MATCH(H$4,폐업정보!$D$3:$R$3,0)),
"Error"))</f>
        <v>45989</v>
      </c>
      <c r="I1913" s="75" t="str">
        <f aca="false">
IF($D1913="정상",INDEX(임대자산!$D$3:$R$3000,MATCH($F1913,임대자산!$I$3:$I$3000,0),MATCH(I$4,임대자산!$D$3:$R$3,0)),
IF($D1913="폐업",INDEX(폐업정보!$D$3:$R$3000,MATCH($F1913,폐업정보!$I$3:$I$3000,0),MATCH(I$4,폐업정보!$D$3:$R$3,0)),
"Error"))</f>
        <v>A1908</v>
      </c>
      <c r="J1913" s="75" t="str">
        <f aca="false">
IF($D1913="정상",INDEX(임대자산!$D$3:$R$3000,MATCH($F1913,임대자산!$I$3:$I$3000,0),MATCH(J$4,임대자산!$D$3:$R$3,0)),
IF($D1913="폐업",INDEX(폐업정보!$D$3:$R$3000,MATCH($F1913,폐업정보!$I$3:$I$3000,0),MATCH(J$4,폐업정보!$D$3:$R$3,0)),
"Error"))</f>
        <v>7216000000</v>
      </c>
      <c r="K1913" s="75" t="str">
        <f aca="false">
IF($D1913="정상",INDEX(임대자산!$D$3:$R$3000,MATCH($F1913,임대자산!$I$3:$I$3000,0),MATCH(K$4,임대자산!$D$3:$R$3,0)),
IF($D1913="폐업",INDEX(폐업정보!$D$3:$R$3000,MATCH($F1913,폐업정보!$I$3:$I$3000,0),MATCH(K$4,폐업정보!$D$3:$R$3,0)),
"Error"))</f>
        <v>C1908</v>
      </c>
      <c r="L1913" s="75" t="str">
        <f aca="false">
IF($D1913="정상",INDEX(임대자산!$D$3:$R$3000,MATCH($F1913,임대자산!$I$3:$I$3000,0),MATCH(L$4,임대자산!$D$3:$R$3,0)),
IF($D1913="폐업",INDEX(폐업정보!$D$3:$R$3000,MATCH($F1913,폐업정보!$I$3:$I$3000,0),MATCH(L$4,폐업정보!$D$3:$R$3,0)),
"Error"))</f>
        <v>D1908</v>
      </c>
      <c r="M1913" s="76" t="s">
        <v>96</v>
      </c>
      <c r="N1913" s="77"/>
      <c r="O1913" s="78" t="s">
        <v>97</v>
      </c>
      <c r="P1913" s="79" t="n">
        <f aca="false">COUNTIFS(임대자산!$I:$I,가맹점정보!F1913,임대자산!$N:$N,가맹점정보!P$4)</f>
        <v>0</v>
      </c>
      <c r="Q1913" s="80" t="n">
        <f aca="false">COUNTIFS(임대자산!$I:$I,가맹점정보!F1913,임대자산!$N:$N,가맹점정보!Q$4)</f>
        <v>0</v>
      </c>
      <c r="R1913" s="81" t="n">
        <f aca="false">COUNTIFS(임대자산!$I:$I,가맹점정보!F1913,임대자산!$N:$N,가맹점정보!R$4)</f>
        <v>1</v>
      </c>
      <c r="S1913" s="82" t="n">
        <v>55000</v>
      </c>
      <c r="T1913" s="83" t="n">
        <v>0</v>
      </c>
      <c r="U1913" s="80" t="n">
        <f aca="false">SUM(S1913:T1913)</f>
        <v>55000</v>
      </c>
      <c r="V1913" s="84" t="s">
        <v>12</v>
      </c>
      <c r="W1913" s="80" t="e">
        <f aca="true">
IF(D1913="폐업","폐업",
IF(V1913="면제","면제",
IF(AND(V1913="정상",COUNTIFS(OFFSET(Y1913,0,COUNTA(Y1913:AV1913)-1,1,-4),"미납")&gt;=3),"장기미납",
IF(AND(V1913="정상",OFFSET(Y1913,0,COUNTA(Y1913:AV1913)-1)&gt;=U1913),"정상",
IF(AND(V1913="정상",OFFSET(Y1913,0,COUNTA(Y1913:AV1913)-1)=0),"정상",
"계약서 미작성")))))</f>
        <v>#VALUE!</v>
      </c>
      <c r="X1913" s="81" t="str">
        <f aca="true">
IF(D1913="폐업","폐업",
IF(AND(V1913="정상",OFFSET(Y1913,0,COUNTA(Y1913:AV1913)-1)="미납"),"미납",
IF(AND(V1913="정상",OFFSET(Y1913,0,COUNTA(Y1913:AV1913)-1)=0),"납부 시작 전",
IF(AND(V1913="정상",OFFSET(Y1913,0,COUNTA(Y1913:AV1913)-1)&gt;=U1913),"정상",
IF(AND(V1913="면제",OFFSET(Y1913,0,COUNTA(Y1913:AV1913)-1)="면제"),"면제",
IF(AND(V1913="면제",OFFSET(Y1913,0,COUNTA(Y1913:AV1913)-1)=0),"면제",
"확인요청"))))))</f>
        <v>정상</v>
      </c>
      <c r="Y1913" s="93" t="n">
        <v>55000</v>
      </c>
      <c r="Z1913" s="90" t="n">
        <v>55000</v>
      </c>
      <c r="AA1913" s="95" t="s">
        <v>62</v>
      </c>
      <c r="AB1913" s="95" t="s">
        <v>62</v>
      </c>
      <c r="AC1913" s="95" t="s">
        <v>62</v>
      </c>
      <c r="AD1913" s="90" t="n">
        <v>55000</v>
      </c>
      <c r="AE1913" s="90" t="n">
        <v>55000</v>
      </c>
      <c r="AF1913" s="90" t="n">
        <v>55000</v>
      </c>
      <c r="AG1913" s="90" t="n">
        <v>55000</v>
      </c>
      <c r="AH1913" s="90" t="n">
        <v>55000</v>
      </c>
      <c r="AI1913" s="90" t="n">
        <v>55000</v>
      </c>
      <c r="AJ1913" s="91" t="n">
        <v>55000</v>
      </c>
      <c r="AK1913" s="89" t="n">
        <v>55000</v>
      </c>
      <c r="AL1913" s="90" t="n">
        <v>55000</v>
      </c>
      <c r="AM1913" s="90"/>
      <c r="AN1913" s="90"/>
      <c r="AO1913" s="90"/>
      <c r="AP1913" s="90"/>
      <c r="AQ1913" s="90"/>
      <c r="AR1913" s="90"/>
      <c r="AS1913" s="90"/>
      <c r="AT1913" s="90"/>
      <c r="AU1913" s="90"/>
      <c r="AV1913" s="91"/>
      <c r="AX1913" s="92"/>
    </row>
    <row r="1914" customFormat="false" ht="15.65" hidden="false" customHeight="false" outlineLevel="0" collapsed="false">
      <c r="C1914" s="72" t="n">
        <f aca="false">COUNTIFS($D$6:D1914,"&lt;&gt;"&amp;"")</f>
        <v>1909</v>
      </c>
      <c r="D1914" s="73" t="s">
        <v>12</v>
      </c>
      <c r="E1914" s="76" t="str">
        <f aca="false">
IF($D1914="정상",INDEX(임대자산!$D$3:$R$3000,MATCH($F1914,임대자산!$I$3:$I$3000,0),MATCH(E$3,임대자산!$D$3:$R$3,0)),
IF($D1914="폐업",INDEX(폐업정보!$D$3:$R$3000,MATCH($F1914,폐업정보!$I$3:$I$3000,0),MATCH(E$3,폐업정보!$D$3:$R$3,0)),
"Error"))</f>
        <v>서울</v>
      </c>
      <c r="F191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B1909</v>
      </c>
      <c r="G1914" s="76" t="str">
        <f aca="false">F1914&amp;RANDBETWEEN(0,10)</f>
        <v>B19096</v>
      </c>
      <c r="H1914" s="75" t="n">
        <f aca="false">
IF($D1914="정상",INDEX(임대자산!$D$3:$R$3000,MATCH($F1914,임대자산!$I$3:$I$3000,0),MATCH(H$4,임대자산!$D$3:$R$3,0)),
IF($D1914="폐업",INDEX(폐업정보!$D$3:$R$3000,MATCH($F1914,폐업정보!$I$3:$I$3000,0),MATCH(H$4,폐업정보!$D$3:$R$3,0)),
"Error"))</f>
        <v>45989</v>
      </c>
      <c r="I1914" s="75" t="str">
        <f aca="false">
IF($D1914="정상",INDEX(임대자산!$D$3:$R$3000,MATCH($F1914,임대자산!$I$3:$I$3000,0),MATCH(I$4,임대자산!$D$3:$R$3,0)),
IF($D1914="폐업",INDEX(폐업정보!$D$3:$R$3000,MATCH($F1914,폐업정보!$I$3:$I$3000,0),MATCH(I$4,폐업정보!$D$3:$R$3,0)),
"Error"))</f>
        <v>A1909</v>
      </c>
      <c r="J1914" s="75" t="str">
        <f aca="false">
IF($D1914="정상",INDEX(임대자산!$D$3:$R$3000,MATCH($F1914,임대자산!$I$3:$I$3000,0),MATCH(J$4,임대자산!$D$3:$R$3,0)),
IF($D1914="폐업",INDEX(폐업정보!$D$3:$R$3000,MATCH($F1914,폐업정보!$I$3:$I$3000,0),MATCH(J$4,폐업정보!$D$3:$R$3,0)),
"Error"))</f>
        <v>7831700000</v>
      </c>
      <c r="K1914" s="75" t="str">
        <f aca="false">
IF($D1914="정상",INDEX(임대자산!$D$3:$R$3000,MATCH($F1914,임대자산!$I$3:$I$3000,0),MATCH(K$4,임대자산!$D$3:$R$3,0)),
IF($D1914="폐업",INDEX(폐업정보!$D$3:$R$3000,MATCH($F1914,폐업정보!$I$3:$I$3000,0),MATCH(K$4,폐업정보!$D$3:$R$3,0)),
"Error"))</f>
        <v>C1909</v>
      </c>
      <c r="L1914" s="75" t="str">
        <f aca="false">
IF($D1914="정상",INDEX(임대자산!$D$3:$R$3000,MATCH($F1914,임대자산!$I$3:$I$3000,0),MATCH(L$4,임대자산!$D$3:$R$3,0)),
IF($D1914="폐업",INDEX(폐업정보!$D$3:$R$3000,MATCH($F1914,폐업정보!$I$3:$I$3000,0),MATCH(L$4,폐업정보!$D$3:$R$3,0)),
"Error"))</f>
        <v>D1909</v>
      </c>
      <c r="M1914" s="76" t="s">
        <v>96</v>
      </c>
      <c r="N1914" s="77"/>
      <c r="O1914" s="78" t="s">
        <v>97</v>
      </c>
      <c r="P1914" s="79" t="n">
        <f aca="false">COUNTIFS(임대자산!$I:$I,가맹점정보!F1914,임대자산!$N:$N,가맹점정보!P$4)</f>
        <v>0</v>
      </c>
      <c r="Q1914" s="80" t="n">
        <f aca="false">COUNTIFS(임대자산!$I:$I,가맹점정보!F1914,임대자산!$N:$N,가맹점정보!Q$4)</f>
        <v>0</v>
      </c>
      <c r="R1914" s="81" t="n">
        <f aca="false">COUNTIFS(임대자산!$I:$I,가맹점정보!F1914,임대자산!$N:$N,가맹점정보!R$4)</f>
        <v>1</v>
      </c>
      <c r="S1914" s="82" t="n">
        <v>55000</v>
      </c>
      <c r="T1914" s="83" t="n">
        <v>0</v>
      </c>
      <c r="U1914" s="80" t="n">
        <f aca="false">SUM(S1914:T1914)</f>
        <v>55000</v>
      </c>
      <c r="V1914" s="84" t="s">
        <v>12</v>
      </c>
      <c r="W1914" s="80" t="e">
        <f aca="true">
IF(D1914="폐업","폐업",
IF(V1914="면제","면제",
IF(AND(V1914="정상",COUNTIFS(OFFSET(Y1914,0,COUNTA(Y1914:AV1914)-1,1,-4),"미납")&gt;=3),"장기미납",
IF(AND(V1914="정상",OFFSET(Y1914,0,COUNTA(Y1914:AV1914)-1)&gt;=U1914),"정상",
IF(AND(V1914="정상",OFFSET(Y1914,0,COUNTA(Y1914:AV1914)-1)=0),"정상",
"계약서 미작성")))))</f>
        <v>#VALUE!</v>
      </c>
      <c r="X1914" s="81" t="str">
        <f aca="true">
IF(D1914="폐업","폐업",
IF(AND(V1914="정상",OFFSET(Y1914,0,COUNTA(Y1914:AV1914)-1)="미납"),"미납",
IF(AND(V1914="정상",OFFSET(Y1914,0,COUNTA(Y1914:AV1914)-1)=0),"납부 시작 전",
IF(AND(V1914="정상",OFFSET(Y1914,0,COUNTA(Y1914:AV1914)-1)&gt;=U1914),"정상",
IF(AND(V1914="면제",OFFSET(Y1914,0,COUNTA(Y1914:AV1914)-1)="면제"),"면제",
IF(AND(V1914="면제",OFFSET(Y1914,0,COUNTA(Y1914:AV1914)-1)=0),"면제",
"확인요청"))))))</f>
        <v>정상</v>
      </c>
      <c r="Y1914" s="93" t="n">
        <v>55000</v>
      </c>
      <c r="Z1914" s="90" t="n">
        <v>55000</v>
      </c>
      <c r="AA1914" s="95" t="s">
        <v>62</v>
      </c>
      <c r="AB1914" s="95" t="s">
        <v>62</v>
      </c>
      <c r="AC1914" s="90" t="n">
        <v>55000</v>
      </c>
      <c r="AD1914" s="90" t="n">
        <v>55000</v>
      </c>
      <c r="AE1914" s="90" t="n">
        <v>55000</v>
      </c>
      <c r="AF1914" s="90" t="n">
        <v>55000</v>
      </c>
      <c r="AG1914" s="90" t="n">
        <v>55000</v>
      </c>
      <c r="AH1914" s="90" t="n">
        <v>55000</v>
      </c>
      <c r="AI1914" s="90" t="n">
        <v>55000</v>
      </c>
      <c r="AJ1914" s="91" t="n">
        <v>55000</v>
      </c>
      <c r="AK1914" s="89" t="n">
        <v>55000</v>
      </c>
      <c r="AL1914" s="90" t="n">
        <v>55000</v>
      </c>
      <c r="AM1914" s="90"/>
      <c r="AN1914" s="90"/>
      <c r="AO1914" s="90"/>
      <c r="AP1914" s="90"/>
      <c r="AQ1914" s="90"/>
      <c r="AR1914" s="90"/>
      <c r="AS1914" s="90"/>
      <c r="AT1914" s="90"/>
      <c r="AU1914" s="90"/>
      <c r="AV1914" s="91"/>
      <c r="AX1914" s="92"/>
    </row>
    <row r="1915" customFormat="false" ht="15.65" hidden="false" customHeight="false" outlineLevel="0" collapsed="false">
      <c r="C1915" s="72" t="n">
        <f aca="false">COUNTIFS($D$6:D1915,"&lt;&gt;"&amp;"")</f>
        <v>1910</v>
      </c>
      <c r="D1915" s="73" t="s">
        <v>12</v>
      </c>
      <c r="E1915" s="76" t="str">
        <f aca="false">
IF($D1915="정상",INDEX(임대자산!$D$3:$R$3000,MATCH($F1915,임대자산!$I$3:$I$3000,0),MATCH(E$3,임대자산!$D$3:$R$3,0)),
IF($D1915="폐업",INDEX(폐업정보!$D$3:$R$3000,MATCH($F1915,폐업정보!$I$3:$I$3000,0),MATCH(E$3,폐업정보!$D$3:$R$3,0)),
"Error"))</f>
        <v>서울</v>
      </c>
      <c r="F191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B1910</v>
      </c>
      <c r="G1915" s="76" t="str">
        <f aca="false">F1915&amp;RANDBETWEEN(0,10)</f>
        <v>B19100</v>
      </c>
      <c r="H1915" s="75" t="n">
        <f aca="false">
IF($D1915="정상",INDEX(임대자산!$D$3:$R$3000,MATCH($F1915,임대자산!$I$3:$I$3000,0),MATCH(H$4,임대자산!$D$3:$R$3,0)),
IF($D1915="폐업",INDEX(폐업정보!$D$3:$R$3000,MATCH($F1915,폐업정보!$I$3:$I$3000,0),MATCH(H$4,폐업정보!$D$3:$R$3,0)),
"Error"))</f>
        <v>45992</v>
      </c>
      <c r="I1915" s="75" t="str">
        <f aca="false">
IF($D1915="정상",INDEX(임대자산!$D$3:$R$3000,MATCH($F1915,임대자산!$I$3:$I$3000,0),MATCH(I$4,임대자산!$D$3:$R$3,0)),
IF($D1915="폐업",INDEX(폐업정보!$D$3:$R$3000,MATCH($F1915,폐업정보!$I$3:$I$3000,0),MATCH(I$4,폐업정보!$D$3:$R$3,0)),
"Error"))</f>
        <v>A1910</v>
      </c>
      <c r="J1915" s="75" t="str">
        <f aca="false">
IF($D1915="정상",INDEX(임대자산!$D$3:$R$3000,MATCH($F1915,임대자산!$I$3:$I$3000,0),MATCH(J$4,임대자산!$D$3:$R$3,0)),
IF($D1915="폐업",INDEX(폐업정보!$D$3:$R$3000,MATCH($F1915,폐업정보!$I$3:$I$3000,0),MATCH(J$4,폐업정보!$D$3:$R$3,0)),
"Error"))</f>
        <v>2987400000</v>
      </c>
      <c r="K1915" s="75" t="str">
        <f aca="false">
IF($D1915="정상",INDEX(임대자산!$D$3:$R$3000,MATCH($F1915,임대자산!$I$3:$I$3000,0),MATCH(K$4,임대자산!$D$3:$R$3,0)),
IF($D1915="폐업",INDEX(폐업정보!$D$3:$R$3000,MATCH($F1915,폐업정보!$I$3:$I$3000,0),MATCH(K$4,폐업정보!$D$3:$R$3,0)),
"Error"))</f>
        <v>C1910</v>
      </c>
      <c r="L1915" s="75" t="str">
        <f aca="false">
IF($D1915="정상",INDEX(임대자산!$D$3:$R$3000,MATCH($F1915,임대자산!$I$3:$I$3000,0),MATCH(L$4,임대자산!$D$3:$R$3,0)),
IF($D1915="폐업",INDEX(폐업정보!$D$3:$R$3000,MATCH($F1915,폐업정보!$I$3:$I$3000,0),MATCH(L$4,폐업정보!$D$3:$R$3,0)),
"Error"))</f>
        <v>D1910</v>
      </c>
      <c r="M1915" s="76" t="s">
        <v>96</v>
      </c>
      <c r="N1915" s="77"/>
      <c r="O1915" s="78" t="s">
        <v>97</v>
      </c>
      <c r="P1915" s="79" t="n">
        <f aca="false">COUNTIFS(임대자산!$I:$I,가맹점정보!F1915,임대자산!$N:$N,가맹점정보!P$4)</f>
        <v>0</v>
      </c>
      <c r="Q1915" s="80" t="n">
        <f aca="false">COUNTIFS(임대자산!$I:$I,가맹점정보!F1915,임대자산!$N:$N,가맹점정보!Q$4)</f>
        <v>0</v>
      </c>
      <c r="R1915" s="81" t="n">
        <f aca="false">COUNTIFS(임대자산!$I:$I,가맹점정보!F1915,임대자산!$N:$N,가맹점정보!R$4)</f>
        <v>1</v>
      </c>
      <c r="S1915" s="82" t="n">
        <v>55000</v>
      </c>
      <c r="T1915" s="83" t="n">
        <v>0</v>
      </c>
      <c r="U1915" s="80" t="n">
        <f aca="false">SUM(S1915:T1915)</f>
        <v>55000</v>
      </c>
      <c r="V1915" s="84" t="s">
        <v>12</v>
      </c>
      <c r="W1915" s="80" t="e">
        <f aca="true">
IF(D1915="폐업","폐업",
IF(V1915="면제","면제",
IF(AND(V1915="정상",COUNTIFS(OFFSET(Y1915,0,COUNTA(Y1915:AV1915)-1,1,-4),"미납")&gt;=3),"장기미납",
IF(AND(V1915="정상",OFFSET(Y1915,0,COUNTA(Y1915:AV1915)-1)&gt;=U1915),"정상",
IF(AND(V1915="정상",OFFSET(Y1915,0,COUNTA(Y1915:AV1915)-1)=0),"정상",
"계약서 미작성")))))</f>
        <v>#VALUE!</v>
      </c>
      <c r="X1915" s="81" t="str">
        <f aca="true">
IF(D1915="폐업","폐업",
IF(AND(V1915="정상",OFFSET(Y1915,0,COUNTA(Y1915:AV1915)-1)="미납"),"미납",
IF(AND(V1915="정상",OFFSET(Y1915,0,COUNTA(Y1915:AV1915)-1)=0),"납부 시작 전",
IF(AND(V1915="정상",OFFSET(Y1915,0,COUNTA(Y1915:AV1915)-1)&gt;=U1915),"정상",
IF(AND(V1915="면제",OFFSET(Y1915,0,COUNTA(Y1915:AV1915)-1)="면제"),"면제",
IF(AND(V1915="면제",OFFSET(Y1915,0,COUNTA(Y1915:AV1915)-1)=0),"면제",
"확인요청"))))))</f>
        <v>정상</v>
      </c>
      <c r="Y1915" s="93" t="n">
        <v>55000</v>
      </c>
      <c r="Z1915" s="90" t="n">
        <v>55000</v>
      </c>
      <c r="AA1915" s="95" t="s">
        <v>62</v>
      </c>
      <c r="AB1915" s="95" t="s">
        <v>62</v>
      </c>
      <c r="AC1915" s="90" t="n">
        <v>55000</v>
      </c>
      <c r="AD1915" s="90" t="n">
        <v>55000</v>
      </c>
      <c r="AE1915" s="90" t="n">
        <v>55000</v>
      </c>
      <c r="AF1915" s="90" t="n">
        <v>55000</v>
      </c>
      <c r="AG1915" s="90" t="n">
        <v>55000</v>
      </c>
      <c r="AH1915" s="90" t="n">
        <v>55000</v>
      </c>
      <c r="AI1915" s="90" t="n">
        <v>55000</v>
      </c>
      <c r="AJ1915" s="91" t="n">
        <v>55000</v>
      </c>
      <c r="AK1915" s="89" t="n">
        <v>55000</v>
      </c>
      <c r="AL1915" s="90" t="n">
        <v>55000</v>
      </c>
      <c r="AM1915" s="90"/>
      <c r="AN1915" s="90"/>
      <c r="AO1915" s="90"/>
      <c r="AP1915" s="90"/>
      <c r="AQ1915" s="90"/>
      <c r="AR1915" s="90"/>
      <c r="AS1915" s="90"/>
      <c r="AT1915" s="90"/>
      <c r="AU1915" s="90"/>
      <c r="AV1915" s="91"/>
      <c r="AX1915" s="92"/>
    </row>
    <row r="1916" customFormat="false" ht="15.65" hidden="false" customHeight="false" outlineLevel="0" collapsed="false">
      <c r="C1916" s="72" t="n">
        <f aca="false">COUNTIFS($D$6:D1916,"&lt;&gt;"&amp;"")</f>
        <v>1911</v>
      </c>
      <c r="D1916" s="73" t="s">
        <v>12</v>
      </c>
      <c r="E1916" s="76" t="str">
        <f aca="false">
IF($D1916="정상",INDEX(임대자산!$D$3:$R$3000,MATCH($F1916,임대자산!$I$3:$I$3000,0),MATCH(E$3,임대자산!$D$3:$R$3,0)),
IF($D1916="폐업",INDEX(폐업정보!$D$3:$R$3000,MATCH($F1916,폐업정보!$I$3:$I$3000,0),MATCH(E$3,폐업정보!$D$3:$R$3,0)),
"Error"))</f>
        <v>서울</v>
      </c>
      <c r="F191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B1911</v>
      </c>
      <c r="G1916" s="76" t="str">
        <f aca="false">F1916&amp;RANDBETWEEN(0,10)</f>
        <v>B19112</v>
      </c>
      <c r="H1916" s="75" t="n">
        <f aca="false">
IF($D1916="정상",INDEX(임대자산!$D$3:$R$3000,MATCH($F1916,임대자산!$I$3:$I$3000,0),MATCH(H$4,임대자산!$D$3:$R$3,0)),
IF($D1916="폐업",INDEX(폐업정보!$D$3:$R$3000,MATCH($F1916,폐업정보!$I$3:$I$3000,0),MATCH(H$4,폐업정보!$D$3:$R$3,0)),
"Error"))</f>
        <v>45992</v>
      </c>
      <c r="I1916" s="75" t="str">
        <f aca="false">
IF($D1916="정상",INDEX(임대자산!$D$3:$R$3000,MATCH($F1916,임대자산!$I$3:$I$3000,0),MATCH(I$4,임대자산!$D$3:$R$3,0)),
IF($D1916="폐업",INDEX(폐업정보!$D$3:$R$3000,MATCH($F1916,폐업정보!$I$3:$I$3000,0),MATCH(I$4,폐업정보!$D$3:$R$3,0)),
"Error"))</f>
        <v>A1911</v>
      </c>
      <c r="J1916" s="75" t="str">
        <f aca="false">
IF($D1916="정상",INDEX(임대자산!$D$3:$R$3000,MATCH($F1916,임대자산!$I$3:$I$3000,0),MATCH(J$4,임대자산!$D$3:$R$3,0)),
IF($D1916="폐업",INDEX(폐업정보!$D$3:$R$3000,MATCH($F1916,폐업정보!$I$3:$I$3000,0),MATCH(J$4,폐업정보!$D$3:$R$3,0)),
"Error"))</f>
        <v>4715300000</v>
      </c>
      <c r="K1916" s="75" t="str">
        <f aca="false">
IF($D1916="정상",INDEX(임대자산!$D$3:$R$3000,MATCH($F1916,임대자산!$I$3:$I$3000,0),MATCH(K$4,임대자산!$D$3:$R$3,0)),
IF($D1916="폐업",INDEX(폐업정보!$D$3:$R$3000,MATCH($F1916,폐업정보!$I$3:$I$3000,0),MATCH(K$4,폐업정보!$D$3:$R$3,0)),
"Error"))</f>
        <v>C1911</v>
      </c>
      <c r="L1916" s="75" t="str">
        <f aca="false">
IF($D1916="정상",INDEX(임대자산!$D$3:$R$3000,MATCH($F1916,임대자산!$I$3:$I$3000,0),MATCH(L$4,임대자산!$D$3:$R$3,0)),
IF($D1916="폐업",INDEX(폐업정보!$D$3:$R$3000,MATCH($F1916,폐업정보!$I$3:$I$3000,0),MATCH(L$4,폐업정보!$D$3:$R$3,0)),
"Error"))</f>
        <v>D1911</v>
      </c>
      <c r="M1916" s="76" t="s">
        <v>96</v>
      </c>
      <c r="N1916" s="77"/>
      <c r="O1916" s="78" t="s">
        <v>97</v>
      </c>
      <c r="P1916" s="79" t="n">
        <f aca="false">COUNTIFS(임대자산!$I:$I,가맹점정보!F1916,임대자산!$N:$N,가맹점정보!P$4)</f>
        <v>0</v>
      </c>
      <c r="Q1916" s="80" t="n">
        <f aca="false">COUNTIFS(임대자산!$I:$I,가맹점정보!F1916,임대자산!$N:$N,가맹점정보!Q$4)</f>
        <v>0</v>
      </c>
      <c r="R1916" s="81" t="n">
        <f aca="false">COUNTIFS(임대자산!$I:$I,가맹점정보!F1916,임대자산!$N:$N,가맹점정보!R$4)</f>
        <v>1</v>
      </c>
      <c r="S1916" s="82" t="n">
        <v>55000</v>
      </c>
      <c r="T1916" s="83" t="n">
        <v>0</v>
      </c>
      <c r="U1916" s="80" t="n">
        <f aca="false">SUM(S1916:T1916)</f>
        <v>55000</v>
      </c>
      <c r="V1916" s="84" t="s">
        <v>12</v>
      </c>
      <c r="W1916" s="80" t="e">
        <f aca="true">
IF(D1916="폐업","폐업",
IF(V1916="면제","면제",
IF(AND(V1916="정상",COUNTIFS(OFFSET(Y1916,0,COUNTA(Y1916:AV1916)-1,1,-4),"미납")&gt;=3),"장기미납",
IF(AND(V1916="정상",OFFSET(Y1916,0,COUNTA(Y1916:AV1916)-1)&gt;=U1916),"정상",
IF(AND(V1916="정상",OFFSET(Y1916,0,COUNTA(Y1916:AV1916)-1)=0),"정상",
"계약서 미작성")))))</f>
        <v>#VALUE!</v>
      </c>
      <c r="X1916" s="81" t="str">
        <f aca="true">
IF(D1916="폐업","폐업",
IF(AND(V1916="정상",OFFSET(Y1916,0,COUNTA(Y1916:AV1916)-1)="미납"),"미납",
IF(AND(V1916="정상",OFFSET(Y1916,0,COUNTA(Y1916:AV1916)-1)=0),"납부 시작 전",
IF(AND(V1916="정상",OFFSET(Y1916,0,COUNTA(Y1916:AV1916)-1)&gt;=U1916),"정상",
IF(AND(V1916="면제",OFFSET(Y1916,0,COUNTA(Y1916:AV1916)-1)="면제"),"면제",
IF(AND(V1916="면제",OFFSET(Y1916,0,COUNTA(Y1916:AV1916)-1)=0),"면제",
"확인요청"))))))</f>
        <v>미납</v>
      </c>
      <c r="Y1916" s="93" t="s">
        <v>108</v>
      </c>
      <c r="Z1916" s="90" t="s">
        <v>108</v>
      </c>
      <c r="AA1916" s="90" t="s">
        <v>108</v>
      </c>
      <c r="AB1916" s="90" t="s">
        <v>108</v>
      </c>
      <c r="AC1916" s="90" t="s">
        <v>108</v>
      </c>
      <c r="AD1916" s="90" t="n">
        <v>330000</v>
      </c>
      <c r="AE1916" s="90" t="s">
        <v>102</v>
      </c>
      <c r="AF1916" s="90" t="n">
        <v>100000</v>
      </c>
      <c r="AG1916" s="95" t="s">
        <v>62</v>
      </c>
      <c r="AH1916" s="95" t="s">
        <v>62</v>
      </c>
      <c r="AI1916" s="95" t="s">
        <v>62</v>
      </c>
      <c r="AJ1916" s="96" t="s">
        <v>62</v>
      </c>
      <c r="AK1916" s="97" t="s">
        <v>62</v>
      </c>
      <c r="AL1916" s="95" t="s">
        <v>62</v>
      </c>
      <c r="AM1916" s="90"/>
      <c r="AN1916" s="90"/>
      <c r="AO1916" s="90"/>
      <c r="AP1916" s="90"/>
      <c r="AQ1916" s="90"/>
      <c r="AR1916" s="90"/>
      <c r="AS1916" s="90"/>
      <c r="AT1916" s="90"/>
      <c r="AU1916" s="90"/>
      <c r="AV1916" s="91"/>
      <c r="AX1916" s="92"/>
    </row>
    <row r="1917" customFormat="false" ht="15.65" hidden="false" customHeight="false" outlineLevel="0" collapsed="false">
      <c r="C1917" s="72" t="n">
        <f aca="false">COUNTIFS($D$6:D1917,"&lt;&gt;"&amp;"")</f>
        <v>1912</v>
      </c>
      <c r="D1917" s="73" t="s">
        <v>12</v>
      </c>
      <c r="E1917" s="76" t="str">
        <f aca="false">
IF($D1917="정상",INDEX(임대자산!$D$3:$R$3000,MATCH($F1917,임대자산!$I$3:$I$3000,0),MATCH(E$3,임대자산!$D$3:$R$3,0)),
IF($D1917="폐업",INDEX(폐업정보!$D$3:$R$3000,MATCH($F1917,폐업정보!$I$3:$I$3000,0),MATCH(E$3,폐업정보!$D$3:$R$3,0)),
"Error"))</f>
        <v>전라</v>
      </c>
      <c r="F191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B1912</v>
      </c>
      <c r="G1917" s="76" t="str">
        <f aca="false">F1917&amp;RANDBETWEEN(0,10)</f>
        <v>B19121</v>
      </c>
      <c r="H1917" s="75" t="n">
        <f aca="false">
IF($D1917="정상",INDEX(임대자산!$D$3:$R$3000,MATCH($F1917,임대자산!$I$3:$I$3000,0),MATCH(H$4,임대자산!$D$3:$R$3,0)),
IF($D1917="폐업",INDEX(폐업정보!$D$3:$R$3000,MATCH($F1917,폐업정보!$I$3:$I$3000,0),MATCH(H$4,폐업정보!$D$3:$R$3,0)),
"Error"))</f>
        <v>46000</v>
      </c>
      <c r="I1917" s="75" t="str">
        <f aca="false">
IF($D1917="정상",INDEX(임대자산!$D$3:$R$3000,MATCH($F1917,임대자산!$I$3:$I$3000,0),MATCH(I$4,임대자산!$D$3:$R$3,0)),
IF($D1917="폐업",INDEX(폐업정보!$D$3:$R$3000,MATCH($F1917,폐업정보!$I$3:$I$3000,0),MATCH(I$4,폐업정보!$D$3:$R$3,0)),
"Error"))</f>
        <v>A1912</v>
      </c>
      <c r="J1917" s="75" t="str">
        <f aca="false">
IF($D1917="정상",INDEX(임대자산!$D$3:$R$3000,MATCH($F1917,임대자산!$I$3:$I$3000,0),MATCH(J$4,임대자산!$D$3:$R$3,0)),
IF($D1917="폐업",INDEX(폐업정보!$D$3:$R$3000,MATCH($F1917,폐업정보!$I$3:$I$3000,0),MATCH(J$4,폐업정보!$D$3:$R$3,0)),
"Error"))</f>
        <v>5048100000</v>
      </c>
      <c r="K1917" s="75" t="str">
        <f aca="false">
IF($D1917="정상",INDEX(임대자산!$D$3:$R$3000,MATCH($F1917,임대자산!$I$3:$I$3000,0),MATCH(K$4,임대자산!$D$3:$R$3,0)),
IF($D1917="폐업",INDEX(폐업정보!$D$3:$R$3000,MATCH($F1917,폐업정보!$I$3:$I$3000,0),MATCH(K$4,폐업정보!$D$3:$R$3,0)),
"Error"))</f>
        <v>C1912</v>
      </c>
      <c r="L1917" s="75" t="str">
        <f aca="false">
IF($D1917="정상",INDEX(임대자산!$D$3:$R$3000,MATCH($F1917,임대자산!$I$3:$I$3000,0),MATCH(L$4,임대자산!$D$3:$R$3,0)),
IF($D1917="폐업",INDEX(폐업정보!$D$3:$R$3000,MATCH($F1917,폐업정보!$I$3:$I$3000,0),MATCH(L$4,폐업정보!$D$3:$R$3,0)),
"Error"))</f>
        <v>D1912</v>
      </c>
      <c r="M1917" s="76" t="s">
        <v>96</v>
      </c>
      <c r="N1917" s="77"/>
      <c r="O1917" s="78" t="s">
        <v>97</v>
      </c>
      <c r="P1917" s="79" t="n">
        <f aca="false">COUNTIFS(임대자산!$I:$I,가맹점정보!F1917,임대자산!$N:$N,가맹점정보!P$4)</f>
        <v>0</v>
      </c>
      <c r="Q1917" s="80" t="n">
        <f aca="false">COUNTIFS(임대자산!$I:$I,가맹점정보!F1917,임대자산!$N:$N,가맹점정보!Q$4)</f>
        <v>0</v>
      </c>
      <c r="R1917" s="81" t="n">
        <f aca="false">COUNTIFS(임대자산!$I:$I,가맹점정보!F1917,임대자산!$N:$N,가맹점정보!R$4)</f>
        <v>1</v>
      </c>
      <c r="S1917" s="82" t="n">
        <v>88000</v>
      </c>
      <c r="T1917" s="83" t="n">
        <v>0</v>
      </c>
      <c r="U1917" s="80" t="n">
        <f aca="false">SUM(S1917:T1917)</f>
        <v>88000</v>
      </c>
      <c r="V1917" s="84" t="s">
        <v>12</v>
      </c>
      <c r="W1917" s="80" t="e">
        <f aca="true">
IF(D1917="폐업","폐업",
IF(V1917="면제","면제",
IF(AND(V1917="정상",COUNTIFS(OFFSET(Y1917,0,COUNTA(Y1917:AV1917)-1,1,-4),"미납")&gt;=3),"장기미납",
IF(AND(V1917="정상",OFFSET(Y1917,0,COUNTA(Y1917:AV1917)-1)&gt;=U1917),"정상",
IF(AND(V1917="정상",OFFSET(Y1917,0,COUNTA(Y1917:AV1917)-1)=0),"정상",
"계약서 미작성")))))</f>
        <v>#VALUE!</v>
      </c>
      <c r="X1917" s="81" t="str">
        <f aca="true">
IF(D1917="폐업","폐업",
IF(AND(V1917="정상",OFFSET(Y1917,0,COUNTA(Y1917:AV1917)-1)="미납"),"미납",
IF(AND(V1917="정상",OFFSET(Y1917,0,COUNTA(Y1917:AV1917)-1)=0),"납부 시작 전",
IF(AND(V1917="정상",OFFSET(Y1917,0,COUNTA(Y1917:AV1917)-1)&gt;=U1917),"정상",
IF(AND(V1917="면제",OFFSET(Y1917,0,COUNTA(Y1917:AV1917)-1)="면제"),"면제",
IF(AND(V1917="면제",OFFSET(Y1917,0,COUNTA(Y1917:AV1917)-1)=0),"면제",
"확인요청"))))))</f>
        <v>정상</v>
      </c>
      <c r="Y1917" s="94" t="s">
        <v>62</v>
      </c>
      <c r="Z1917" s="95" t="s">
        <v>62</v>
      </c>
      <c r="AA1917" s="95" t="s">
        <v>62</v>
      </c>
      <c r="AB1917" s="95" t="s">
        <v>62</v>
      </c>
      <c r="AC1917" s="90" t="n">
        <v>176000</v>
      </c>
      <c r="AD1917" s="90" t="n">
        <v>88000</v>
      </c>
      <c r="AE1917" s="90" t="n">
        <v>88000</v>
      </c>
      <c r="AF1917" s="90" t="n">
        <v>88000</v>
      </c>
      <c r="AG1917" s="90" t="n">
        <v>88000</v>
      </c>
      <c r="AH1917" s="90" t="n">
        <v>88000</v>
      </c>
      <c r="AI1917" s="90" t="n">
        <v>88000</v>
      </c>
      <c r="AJ1917" s="91" t="n">
        <v>88000</v>
      </c>
      <c r="AK1917" s="89" t="n">
        <v>88000</v>
      </c>
      <c r="AL1917" s="90" t="n">
        <v>88000</v>
      </c>
      <c r="AM1917" s="90"/>
      <c r="AN1917" s="90"/>
      <c r="AO1917" s="90"/>
      <c r="AP1917" s="90"/>
      <c r="AQ1917" s="90"/>
      <c r="AR1917" s="90"/>
      <c r="AS1917" s="90"/>
      <c r="AT1917" s="90"/>
      <c r="AU1917" s="90"/>
      <c r="AV1917" s="91"/>
      <c r="AX1917" s="92"/>
    </row>
    <row r="1918" customFormat="false" ht="15.65" hidden="false" customHeight="false" outlineLevel="0" collapsed="false">
      <c r="C1918" s="72" t="n">
        <f aca="false">COUNTIFS($D$6:D1918,"&lt;&gt;"&amp;"")</f>
        <v>1913</v>
      </c>
      <c r="D1918" s="73" t="s">
        <v>12</v>
      </c>
      <c r="E1918" s="76" t="str">
        <f aca="false">
IF($D1918="정상",INDEX(임대자산!$D$3:$R$3000,MATCH($F1918,임대자산!$I$3:$I$3000,0),MATCH(E$3,임대자산!$D$3:$R$3,0)),
IF($D1918="폐업",INDEX(폐업정보!$D$3:$R$3000,MATCH($F1918,폐업정보!$I$3:$I$3000,0),MATCH(E$3,폐업정보!$D$3:$R$3,0)),
"Error"))</f>
        <v>전라</v>
      </c>
      <c r="F191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B1913</v>
      </c>
      <c r="G1918" s="76" t="str">
        <f aca="false">F1918&amp;RANDBETWEEN(0,10)</f>
        <v>B19134</v>
      </c>
      <c r="H1918" s="75" t="n">
        <f aca="false">
IF($D1918="정상",INDEX(임대자산!$D$3:$R$3000,MATCH($F1918,임대자산!$I$3:$I$3000,0),MATCH(H$4,임대자산!$D$3:$R$3,0)),
IF($D1918="폐업",INDEX(폐업정보!$D$3:$R$3000,MATCH($F1918,폐업정보!$I$3:$I$3000,0),MATCH(H$4,폐업정보!$D$3:$R$3,0)),
"Error"))</f>
        <v>46000</v>
      </c>
      <c r="I1918" s="75" t="str">
        <f aca="false">
IF($D1918="정상",INDEX(임대자산!$D$3:$R$3000,MATCH($F1918,임대자산!$I$3:$I$3000,0),MATCH(I$4,임대자산!$D$3:$R$3,0)),
IF($D1918="폐업",INDEX(폐업정보!$D$3:$R$3000,MATCH($F1918,폐업정보!$I$3:$I$3000,0),MATCH(I$4,폐업정보!$D$3:$R$3,0)),
"Error"))</f>
        <v>A1913</v>
      </c>
      <c r="J1918" s="75" t="str">
        <f aca="false">
IF($D1918="정상",INDEX(임대자산!$D$3:$R$3000,MATCH($F1918,임대자산!$I$3:$I$3000,0),MATCH(J$4,임대자산!$D$3:$R$3,0)),
IF($D1918="폐업",INDEX(폐업정보!$D$3:$R$3000,MATCH($F1918,폐업정보!$I$3:$I$3000,0),MATCH(J$4,폐업정보!$D$3:$R$3,0)),
"Error"))</f>
        <v>3246400000</v>
      </c>
      <c r="K1918" s="75" t="str">
        <f aca="false">
IF($D1918="정상",INDEX(임대자산!$D$3:$R$3000,MATCH($F1918,임대자산!$I$3:$I$3000,0),MATCH(K$4,임대자산!$D$3:$R$3,0)),
IF($D1918="폐업",INDEX(폐업정보!$D$3:$R$3000,MATCH($F1918,폐업정보!$I$3:$I$3000,0),MATCH(K$4,폐업정보!$D$3:$R$3,0)),
"Error"))</f>
        <v>C1913</v>
      </c>
      <c r="L1918" s="75" t="str">
        <f aca="false">
IF($D1918="정상",INDEX(임대자산!$D$3:$R$3000,MATCH($F1918,임대자산!$I$3:$I$3000,0),MATCH(L$4,임대자산!$D$3:$R$3,0)),
IF($D1918="폐업",INDEX(폐업정보!$D$3:$R$3000,MATCH($F1918,폐업정보!$I$3:$I$3000,0),MATCH(L$4,폐업정보!$D$3:$R$3,0)),
"Error"))</f>
        <v>D1913</v>
      </c>
      <c r="M1918" s="76" t="s">
        <v>96</v>
      </c>
      <c r="N1918" s="77"/>
      <c r="O1918" s="78" t="s">
        <v>97</v>
      </c>
      <c r="P1918" s="79" t="n">
        <f aca="false">COUNTIFS(임대자산!$I:$I,가맹점정보!F1918,임대자산!$N:$N,가맹점정보!P$4)</f>
        <v>0</v>
      </c>
      <c r="Q1918" s="80" t="n">
        <f aca="false">COUNTIFS(임대자산!$I:$I,가맹점정보!F1918,임대자산!$N:$N,가맹점정보!Q$4)</f>
        <v>0</v>
      </c>
      <c r="R1918" s="81" t="n">
        <f aca="false">COUNTIFS(임대자산!$I:$I,가맹점정보!F1918,임대자산!$N:$N,가맹점정보!R$4)</f>
        <v>1</v>
      </c>
      <c r="S1918" s="82" t="n">
        <v>55000</v>
      </c>
      <c r="T1918" s="83" t="n">
        <v>0</v>
      </c>
      <c r="U1918" s="80" t="n">
        <f aca="false">SUM(S1918:T1918)</f>
        <v>55000</v>
      </c>
      <c r="V1918" s="84" t="s">
        <v>7</v>
      </c>
      <c r="W1918" s="80" t="str">
        <f aca="true">
IF(D1918="폐업","폐업",
IF(V1918="면제","면제",
IF(AND(V1918="정상",COUNTIFS(OFFSET(Y1918,0,COUNTA(Y1918:AV1918)-1,1,-4),"미납")&gt;=3),"장기미납",
IF(AND(V1918="정상",OFFSET(Y1918,0,COUNTA(Y1918:AV1918)-1)&gt;=U1918),"정상",
IF(AND(V1918="정상",OFFSET(Y1918,0,COUNTA(Y1918:AV1918)-1)=0),"정상",
"계약서 미작성")))))</f>
        <v>면제</v>
      </c>
      <c r="X1918" s="81" t="str">
        <f aca="true">
IF(D1918="폐업","폐업",
IF(AND(V1918="정상",OFFSET(Y1918,0,COUNTA(Y1918:AV1918)-1)="미납"),"미납",
IF(AND(V1918="정상",OFFSET(Y1918,0,COUNTA(Y1918:AV1918)-1)=0),"납부 시작 전",
IF(AND(V1918="정상",OFFSET(Y1918,0,COUNTA(Y1918:AV1918)-1)&gt;=U1918),"정상",
IF(AND(V1918="면제",OFFSET(Y1918,0,COUNTA(Y1918:AV1918)-1)="면제"),"면제",
IF(AND(V1918="면제",OFFSET(Y1918,0,COUNTA(Y1918:AV1918)-1)=0),"면제",
"확인요청"))))))</f>
        <v>면제</v>
      </c>
      <c r="Y1918" s="94" t="s">
        <v>62</v>
      </c>
      <c r="Z1918" s="95" t="s">
        <v>62</v>
      </c>
      <c r="AA1918" s="95" t="s">
        <v>62</v>
      </c>
      <c r="AB1918" s="95" t="s">
        <v>62</v>
      </c>
      <c r="AC1918" s="95" t="s">
        <v>62</v>
      </c>
      <c r="AD1918" s="95" t="s">
        <v>62</v>
      </c>
      <c r="AE1918" s="95" t="s">
        <v>7</v>
      </c>
      <c r="AF1918" s="95" t="s">
        <v>7</v>
      </c>
      <c r="AG1918" s="95" t="s">
        <v>7</v>
      </c>
      <c r="AH1918" s="95" t="s">
        <v>7</v>
      </c>
      <c r="AI1918" s="95" t="s">
        <v>7</v>
      </c>
      <c r="AJ1918" s="96" t="s">
        <v>7</v>
      </c>
      <c r="AK1918" s="97" t="s">
        <v>7</v>
      </c>
      <c r="AL1918" s="95" t="s">
        <v>7</v>
      </c>
      <c r="AM1918" s="90"/>
      <c r="AN1918" s="90"/>
      <c r="AO1918" s="90"/>
      <c r="AP1918" s="90"/>
      <c r="AQ1918" s="90"/>
      <c r="AR1918" s="90"/>
      <c r="AS1918" s="90"/>
      <c r="AT1918" s="90"/>
      <c r="AU1918" s="90"/>
      <c r="AV1918" s="91"/>
      <c r="AX1918" s="92"/>
    </row>
    <row r="1919" customFormat="false" ht="15.65" hidden="false" customHeight="false" outlineLevel="0" collapsed="false">
      <c r="C1919" s="72" t="n">
        <f aca="false">COUNTIFS($D$6:D1919,"&lt;&gt;"&amp;"")</f>
        <v>1914</v>
      </c>
      <c r="D1919" s="73" t="s">
        <v>12</v>
      </c>
      <c r="E1919" s="76" t="str">
        <f aca="false">
IF($D1919="정상",INDEX(임대자산!$D$3:$R$3000,MATCH($F1919,임대자산!$I$3:$I$3000,0),MATCH(E$3,임대자산!$D$3:$R$3,0)),
IF($D1919="폐업",INDEX(폐업정보!$D$3:$R$3000,MATCH($F1919,폐업정보!$I$3:$I$3000,0),MATCH(E$3,폐업정보!$D$3:$R$3,0)),
"Error"))</f>
        <v>전라</v>
      </c>
      <c r="F191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B1914</v>
      </c>
      <c r="G1919" s="76" t="str">
        <f aca="false">F1919&amp;RANDBETWEEN(0,10)</f>
        <v>B19147</v>
      </c>
      <c r="H1919" s="75" t="n">
        <f aca="false">
IF($D1919="정상",INDEX(임대자산!$D$3:$R$3000,MATCH($F1919,임대자산!$I$3:$I$3000,0),MATCH(H$4,임대자산!$D$3:$R$3,0)),
IF($D1919="폐업",INDEX(폐업정보!$D$3:$R$3000,MATCH($F1919,폐업정보!$I$3:$I$3000,0),MATCH(H$4,폐업정보!$D$3:$R$3,0)),
"Error"))</f>
        <v>46000</v>
      </c>
      <c r="I1919" s="75" t="str">
        <f aca="false">
IF($D1919="정상",INDEX(임대자산!$D$3:$R$3000,MATCH($F1919,임대자산!$I$3:$I$3000,0),MATCH(I$4,임대자산!$D$3:$R$3,0)),
IF($D1919="폐업",INDEX(폐업정보!$D$3:$R$3000,MATCH($F1919,폐업정보!$I$3:$I$3000,0),MATCH(I$4,폐업정보!$D$3:$R$3,0)),
"Error"))</f>
        <v>A1914</v>
      </c>
      <c r="J1919" s="75" t="str">
        <f aca="false">
IF($D1919="정상",INDEX(임대자산!$D$3:$R$3000,MATCH($F1919,임대자산!$I$3:$I$3000,0),MATCH(J$4,임대자산!$D$3:$R$3,0)),
IF($D1919="폐업",INDEX(폐업정보!$D$3:$R$3000,MATCH($F1919,폐업정보!$I$3:$I$3000,0),MATCH(J$4,폐업정보!$D$3:$R$3,0)),
"Error"))</f>
        <v>4973000000</v>
      </c>
      <c r="K1919" s="75" t="str">
        <f aca="false">
IF($D1919="정상",INDEX(임대자산!$D$3:$R$3000,MATCH($F1919,임대자산!$I$3:$I$3000,0),MATCH(K$4,임대자산!$D$3:$R$3,0)),
IF($D1919="폐업",INDEX(폐업정보!$D$3:$R$3000,MATCH($F1919,폐업정보!$I$3:$I$3000,0),MATCH(K$4,폐업정보!$D$3:$R$3,0)),
"Error"))</f>
        <v>C1914</v>
      </c>
      <c r="L1919" s="75" t="str">
        <f aca="false">
IF($D1919="정상",INDEX(임대자산!$D$3:$R$3000,MATCH($F1919,임대자산!$I$3:$I$3000,0),MATCH(L$4,임대자산!$D$3:$R$3,0)),
IF($D1919="폐업",INDEX(폐업정보!$D$3:$R$3000,MATCH($F1919,폐업정보!$I$3:$I$3000,0),MATCH(L$4,폐업정보!$D$3:$R$3,0)),
"Error"))</f>
        <v>D1914</v>
      </c>
      <c r="M1919" s="76" t="s">
        <v>96</v>
      </c>
      <c r="N1919" s="77"/>
      <c r="O1919" s="78" t="s">
        <v>97</v>
      </c>
      <c r="P1919" s="79" t="n">
        <f aca="false">COUNTIFS(임대자산!$I:$I,가맹점정보!F1919,임대자산!$N:$N,가맹점정보!P$4)</f>
        <v>0</v>
      </c>
      <c r="Q1919" s="80" t="n">
        <f aca="false">COUNTIFS(임대자산!$I:$I,가맹점정보!F1919,임대자산!$N:$N,가맹점정보!Q$4)</f>
        <v>0</v>
      </c>
      <c r="R1919" s="81" t="n">
        <f aca="false">COUNTIFS(임대자산!$I:$I,가맹점정보!F1919,임대자산!$N:$N,가맹점정보!R$4)</f>
        <v>1</v>
      </c>
      <c r="S1919" s="82" t="n">
        <v>55000</v>
      </c>
      <c r="T1919" s="83" t="n">
        <v>0</v>
      </c>
      <c r="U1919" s="80" t="n">
        <f aca="false">SUM(S1919:T1919)</f>
        <v>55000</v>
      </c>
      <c r="V1919" s="84" t="s">
        <v>7</v>
      </c>
      <c r="W1919" s="80" t="str">
        <f aca="true">
IF(D1919="폐업","폐업",
IF(V1919="면제","면제",
IF(AND(V1919="정상",COUNTIFS(OFFSET(Y1919,0,COUNTA(Y1919:AV1919)-1,1,-4),"미납")&gt;=3),"장기미납",
IF(AND(V1919="정상",OFFSET(Y1919,0,COUNTA(Y1919:AV1919)-1)&gt;=U1919),"정상",
IF(AND(V1919="정상",OFFSET(Y1919,0,COUNTA(Y1919:AV1919)-1)=0),"정상",
"계약서 미작성")))))</f>
        <v>면제</v>
      </c>
      <c r="X1919" s="81" t="str">
        <f aca="true">
IF(D1919="폐업","폐업",
IF(AND(V1919="정상",OFFSET(Y1919,0,COUNTA(Y1919:AV1919)-1)="미납"),"미납",
IF(AND(V1919="정상",OFFSET(Y1919,0,COUNTA(Y1919:AV1919)-1)=0),"납부 시작 전",
IF(AND(V1919="정상",OFFSET(Y1919,0,COUNTA(Y1919:AV1919)-1)&gt;=U1919),"정상",
IF(AND(V1919="면제",OFFSET(Y1919,0,COUNTA(Y1919:AV1919)-1)="면제"),"면제",
IF(AND(V1919="면제",OFFSET(Y1919,0,COUNTA(Y1919:AV1919)-1)=0),"면제",
"확인요청"))))))</f>
        <v>면제</v>
      </c>
      <c r="Y1919" s="94" t="s">
        <v>62</v>
      </c>
      <c r="Z1919" s="95" t="s">
        <v>62</v>
      </c>
      <c r="AA1919" s="95" t="s">
        <v>62</v>
      </c>
      <c r="AB1919" s="95" t="s">
        <v>62</v>
      </c>
      <c r="AC1919" s="95" t="s">
        <v>62</v>
      </c>
      <c r="AD1919" s="95" t="s">
        <v>62</v>
      </c>
      <c r="AE1919" s="95" t="s">
        <v>7</v>
      </c>
      <c r="AF1919" s="95" t="s">
        <v>7</v>
      </c>
      <c r="AG1919" s="95" t="s">
        <v>7</v>
      </c>
      <c r="AH1919" s="95" t="s">
        <v>7</v>
      </c>
      <c r="AI1919" s="95" t="s">
        <v>7</v>
      </c>
      <c r="AJ1919" s="96" t="s">
        <v>7</v>
      </c>
      <c r="AK1919" s="97" t="s">
        <v>7</v>
      </c>
      <c r="AL1919" s="95" t="s">
        <v>7</v>
      </c>
      <c r="AM1919" s="90"/>
      <c r="AN1919" s="90"/>
      <c r="AO1919" s="90"/>
      <c r="AP1919" s="90"/>
      <c r="AQ1919" s="90"/>
      <c r="AR1919" s="90"/>
      <c r="AS1919" s="90"/>
      <c r="AT1919" s="90"/>
      <c r="AU1919" s="90"/>
      <c r="AV1919" s="91"/>
      <c r="AX1919" s="92"/>
    </row>
    <row r="1920" customFormat="false" ht="15.65" hidden="false" customHeight="false" outlineLevel="0" collapsed="false">
      <c r="C1920" s="72" t="n">
        <f aca="false">COUNTIFS($D$6:D1920,"&lt;&gt;"&amp;"")</f>
        <v>1915</v>
      </c>
      <c r="D1920" s="73" t="s">
        <v>12</v>
      </c>
      <c r="E1920" s="76" t="str">
        <f aca="false">
IF($D1920="정상",INDEX(임대자산!$D$3:$R$3000,MATCH($F1920,임대자산!$I$3:$I$3000,0),MATCH(E$3,임대자산!$D$3:$R$3,0)),
IF($D1920="폐업",INDEX(폐업정보!$D$3:$R$3000,MATCH($F1920,폐업정보!$I$3:$I$3000,0),MATCH(E$3,폐업정보!$D$3:$R$3,0)),
"Error"))</f>
        <v>경기</v>
      </c>
      <c r="F192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B1915</v>
      </c>
      <c r="G1920" s="76" t="str">
        <f aca="false">F1920&amp;RANDBETWEEN(0,10)</f>
        <v>B19157</v>
      </c>
      <c r="H1920" s="75" t="n">
        <f aca="false">
IF($D1920="정상",INDEX(임대자산!$D$3:$R$3000,MATCH($F1920,임대자산!$I$3:$I$3000,0),MATCH(H$4,임대자산!$D$3:$R$3,0)),
IF($D1920="폐업",INDEX(폐업정보!$D$3:$R$3000,MATCH($F1920,폐업정보!$I$3:$I$3000,0),MATCH(H$4,폐업정보!$D$3:$R$3,0)),
"Error"))</f>
        <v>46014</v>
      </c>
      <c r="I1920" s="75" t="str">
        <f aca="false">
IF($D1920="정상",INDEX(임대자산!$D$3:$R$3000,MATCH($F1920,임대자산!$I$3:$I$3000,0),MATCH(I$4,임대자산!$D$3:$R$3,0)),
IF($D1920="폐업",INDEX(폐업정보!$D$3:$R$3000,MATCH($F1920,폐업정보!$I$3:$I$3000,0),MATCH(I$4,폐업정보!$D$3:$R$3,0)),
"Error"))</f>
        <v>A1915</v>
      </c>
      <c r="J1920" s="75" t="str">
        <f aca="false">
IF($D1920="정상",INDEX(임대자산!$D$3:$R$3000,MATCH($F1920,임대자산!$I$3:$I$3000,0),MATCH(J$4,임대자산!$D$3:$R$3,0)),
IF($D1920="폐업",INDEX(폐업정보!$D$3:$R$3000,MATCH($F1920,폐업정보!$I$3:$I$3000,0),MATCH(J$4,폐업정보!$D$3:$R$3,0)),
"Error"))</f>
        <v>9092600000</v>
      </c>
      <c r="K1920" s="75" t="str">
        <f aca="false">
IF($D1920="정상",INDEX(임대자산!$D$3:$R$3000,MATCH($F1920,임대자산!$I$3:$I$3000,0),MATCH(K$4,임대자산!$D$3:$R$3,0)),
IF($D1920="폐업",INDEX(폐업정보!$D$3:$R$3000,MATCH($F1920,폐업정보!$I$3:$I$3000,0),MATCH(K$4,폐업정보!$D$3:$R$3,0)),
"Error"))</f>
        <v>C1915</v>
      </c>
      <c r="L1920" s="75" t="str">
        <f aca="false">
IF($D1920="정상",INDEX(임대자산!$D$3:$R$3000,MATCH($F1920,임대자산!$I$3:$I$3000,0),MATCH(L$4,임대자산!$D$3:$R$3,0)),
IF($D1920="폐업",INDEX(폐업정보!$D$3:$R$3000,MATCH($F1920,폐업정보!$I$3:$I$3000,0),MATCH(L$4,폐업정보!$D$3:$R$3,0)),
"Error"))</f>
        <v>D1915</v>
      </c>
      <c r="M1920" s="76" t="s">
        <v>96</v>
      </c>
      <c r="N1920" s="77"/>
      <c r="O1920" s="78" t="s">
        <v>97</v>
      </c>
      <c r="P1920" s="79" t="n">
        <f aca="false">COUNTIFS(임대자산!$I:$I,가맹점정보!F1920,임대자산!$N:$N,가맹점정보!P$4)</f>
        <v>0</v>
      </c>
      <c r="Q1920" s="80" t="n">
        <f aca="false">COUNTIFS(임대자산!$I:$I,가맹점정보!F1920,임대자산!$N:$N,가맹점정보!Q$4)</f>
        <v>0</v>
      </c>
      <c r="R1920" s="81" t="n">
        <f aca="false">COUNTIFS(임대자산!$I:$I,가맹점정보!F1920,임대자산!$N:$N,가맹점정보!R$4)</f>
        <v>1</v>
      </c>
      <c r="S1920" s="82" t="n">
        <v>55000</v>
      </c>
      <c r="T1920" s="83" t="n">
        <v>0</v>
      </c>
      <c r="U1920" s="80" t="n">
        <f aca="false">SUM(S1920:T1920)</f>
        <v>55000</v>
      </c>
      <c r="V1920" s="84" t="s">
        <v>12</v>
      </c>
      <c r="W1920" s="80" t="e">
        <f aca="true">
IF(D1920="폐업","폐업",
IF(V1920="면제","면제",
IF(AND(V1920="정상",COUNTIFS(OFFSET(Y1920,0,COUNTA(Y1920:AV1920)-1,1,-4),"미납")&gt;=3),"장기미납",
IF(AND(V1920="정상",OFFSET(Y1920,0,COUNTA(Y1920:AV1920)-1)&gt;=U1920),"정상",
IF(AND(V1920="정상",OFFSET(Y1920,0,COUNTA(Y1920:AV1920)-1)=0),"정상",
"계약서 미작성")))))</f>
        <v>#VALUE!</v>
      </c>
      <c r="X1920" s="81" t="str">
        <f aca="true">
IF(D1920="폐업","폐업",
IF(AND(V1920="정상",OFFSET(Y1920,0,COUNTA(Y1920:AV1920)-1)="미납"),"미납",
IF(AND(V1920="정상",OFFSET(Y1920,0,COUNTA(Y1920:AV1920)-1)=0),"납부 시작 전",
IF(AND(V1920="정상",OFFSET(Y1920,0,COUNTA(Y1920:AV1920)-1)&gt;=U1920),"정상",
IF(AND(V1920="면제",OFFSET(Y1920,0,COUNTA(Y1920:AV1920)-1)="면제"),"면제",
IF(AND(V1920="면제",OFFSET(Y1920,0,COUNTA(Y1920:AV1920)-1)=0),"면제",
"확인요청"))))))</f>
        <v>정상</v>
      </c>
      <c r="Y1920" s="94" t="s">
        <v>62</v>
      </c>
      <c r="Z1920" s="95" t="s">
        <v>62</v>
      </c>
      <c r="AA1920" s="95" t="s">
        <v>62</v>
      </c>
      <c r="AB1920" s="95" t="s">
        <v>62</v>
      </c>
      <c r="AC1920" s="95" t="s">
        <v>62</v>
      </c>
      <c r="AD1920" s="95" t="s">
        <v>62</v>
      </c>
      <c r="AE1920" s="90" t="n">
        <v>55000</v>
      </c>
      <c r="AF1920" s="90" t="n">
        <v>55000</v>
      </c>
      <c r="AG1920" s="90" t="n">
        <v>55000</v>
      </c>
      <c r="AH1920" s="90" t="n">
        <v>55000</v>
      </c>
      <c r="AI1920" s="90" t="n">
        <v>55000</v>
      </c>
      <c r="AJ1920" s="91" t="n">
        <v>55000</v>
      </c>
      <c r="AK1920" s="89" t="n">
        <v>55000</v>
      </c>
      <c r="AL1920" s="90" t="n">
        <v>55000</v>
      </c>
      <c r="AM1920" s="90"/>
      <c r="AN1920" s="90"/>
      <c r="AO1920" s="90"/>
      <c r="AP1920" s="90"/>
      <c r="AQ1920" s="90"/>
      <c r="AR1920" s="90"/>
      <c r="AS1920" s="90"/>
      <c r="AT1920" s="90"/>
      <c r="AU1920" s="90"/>
      <c r="AV1920" s="91"/>
      <c r="AX1920" s="92"/>
    </row>
    <row r="1921" customFormat="false" ht="15.65" hidden="false" customHeight="false" outlineLevel="0" collapsed="false">
      <c r="C1921" s="72" t="n">
        <f aca="false">COUNTIFS($D$6:D1921,"&lt;&gt;"&amp;"")</f>
        <v>1916</v>
      </c>
      <c r="D1921" s="73" t="s">
        <v>12</v>
      </c>
      <c r="E1921" s="76" t="str">
        <f aca="false">
IF($D1921="정상",INDEX(임대자산!$D$3:$R$3000,MATCH($F1921,임대자산!$I$3:$I$3000,0),MATCH(E$3,임대자산!$D$3:$R$3,0)),
IF($D1921="폐업",INDEX(폐업정보!$D$3:$R$3000,MATCH($F1921,폐업정보!$I$3:$I$3000,0),MATCH(E$3,폐업정보!$D$3:$R$3,0)),
"Error"))</f>
        <v>경기</v>
      </c>
      <c r="F192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B1916</v>
      </c>
      <c r="G1921" s="76" t="str">
        <f aca="false">F1921&amp;RANDBETWEEN(0,10)</f>
        <v>B19168</v>
      </c>
      <c r="H1921" s="75" t="n">
        <f aca="false">
IF($D1921="정상",INDEX(임대자산!$D$3:$R$3000,MATCH($F1921,임대자산!$I$3:$I$3000,0),MATCH(H$4,임대자산!$D$3:$R$3,0)),
IF($D1921="폐업",INDEX(폐업정보!$D$3:$R$3000,MATCH($F1921,폐업정보!$I$3:$I$3000,0),MATCH(H$4,폐업정보!$D$3:$R$3,0)),
"Error"))</f>
        <v>46014</v>
      </c>
      <c r="I1921" s="75" t="str">
        <f aca="false">
IF($D1921="정상",INDEX(임대자산!$D$3:$R$3000,MATCH($F1921,임대자산!$I$3:$I$3000,0),MATCH(I$4,임대자산!$D$3:$R$3,0)),
IF($D1921="폐업",INDEX(폐업정보!$D$3:$R$3000,MATCH($F1921,폐업정보!$I$3:$I$3000,0),MATCH(I$4,폐업정보!$D$3:$R$3,0)),
"Error"))</f>
        <v>A1916</v>
      </c>
      <c r="J1921" s="75" t="str">
        <f aca="false">
IF($D1921="정상",INDEX(임대자산!$D$3:$R$3000,MATCH($F1921,임대자산!$I$3:$I$3000,0),MATCH(J$4,임대자산!$D$3:$R$3,0)),
IF($D1921="폐업",INDEX(폐업정보!$D$3:$R$3000,MATCH($F1921,폐업정보!$I$3:$I$3000,0),MATCH(J$4,폐업정보!$D$3:$R$3,0)),
"Error"))</f>
        <v>3265200000</v>
      </c>
      <c r="K1921" s="75" t="str">
        <f aca="false">
IF($D1921="정상",INDEX(임대자산!$D$3:$R$3000,MATCH($F1921,임대자산!$I$3:$I$3000,0),MATCH(K$4,임대자산!$D$3:$R$3,0)),
IF($D1921="폐업",INDEX(폐업정보!$D$3:$R$3000,MATCH($F1921,폐업정보!$I$3:$I$3000,0),MATCH(K$4,폐업정보!$D$3:$R$3,0)),
"Error"))</f>
        <v>C1916</v>
      </c>
      <c r="L1921" s="75" t="str">
        <f aca="false">
IF($D1921="정상",INDEX(임대자산!$D$3:$R$3000,MATCH($F1921,임대자산!$I$3:$I$3000,0),MATCH(L$4,임대자산!$D$3:$R$3,0)),
IF($D1921="폐업",INDEX(폐업정보!$D$3:$R$3000,MATCH($F1921,폐업정보!$I$3:$I$3000,0),MATCH(L$4,폐업정보!$D$3:$R$3,0)),
"Error"))</f>
        <v>D1916</v>
      </c>
      <c r="M1921" s="76" t="s">
        <v>96</v>
      </c>
      <c r="N1921" s="77"/>
      <c r="O1921" s="78" t="s">
        <v>97</v>
      </c>
      <c r="P1921" s="79" t="n">
        <f aca="false">COUNTIFS(임대자산!$I:$I,가맹점정보!F1921,임대자산!$N:$N,가맹점정보!P$4)</f>
        <v>0</v>
      </c>
      <c r="Q1921" s="80" t="n">
        <f aca="false">COUNTIFS(임대자산!$I:$I,가맹점정보!F1921,임대자산!$N:$N,가맹점정보!Q$4)</f>
        <v>0</v>
      </c>
      <c r="R1921" s="81" t="n">
        <f aca="false">COUNTIFS(임대자산!$I:$I,가맹점정보!F1921,임대자산!$N:$N,가맹점정보!R$4)</f>
        <v>1</v>
      </c>
      <c r="S1921" s="82" t="n">
        <v>88000</v>
      </c>
      <c r="T1921" s="83" t="n">
        <v>0</v>
      </c>
      <c r="U1921" s="80" t="n">
        <f aca="false">SUM(S1921:T1921)</f>
        <v>88000</v>
      </c>
      <c r="V1921" s="84" t="s">
        <v>7</v>
      </c>
      <c r="W1921" s="80" t="str">
        <f aca="true">
IF(D1921="폐업","폐업",
IF(V1921="면제","면제",
IF(AND(V1921="정상",COUNTIFS(OFFSET(Y1921,0,COUNTA(Y1921:AV1921)-1,1,-4),"미납")&gt;=3),"장기미납",
IF(AND(V1921="정상",OFFSET(Y1921,0,COUNTA(Y1921:AV1921)-1)&gt;=U1921),"정상",
IF(AND(V1921="정상",OFFSET(Y1921,0,COUNTA(Y1921:AV1921)-1)=0),"정상",
"계약서 미작성")))))</f>
        <v>면제</v>
      </c>
      <c r="X1921" s="81" t="str">
        <f aca="true">
IF(D1921="폐업","폐업",
IF(AND(V1921="정상",OFFSET(Y1921,0,COUNTA(Y1921:AV1921)-1)="미납"),"미납",
IF(AND(V1921="정상",OFFSET(Y1921,0,COUNTA(Y1921:AV1921)-1)=0),"납부 시작 전",
IF(AND(V1921="정상",OFFSET(Y1921,0,COUNTA(Y1921:AV1921)-1)&gt;=U1921),"정상",
IF(AND(V1921="면제",OFFSET(Y1921,0,COUNTA(Y1921:AV1921)-1)="면제"),"면제",
IF(AND(V1921="면제",OFFSET(Y1921,0,COUNTA(Y1921:AV1921)-1)=0),"면제",
"확인요청"))))))</f>
        <v>면제</v>
      </c>
      <c r="Y1921" s="94" t="s">
        <v>62</v>
      </c>
      <c r="Z1921" s="95" t="s">
        <v>62</v>
      </c>
      <c r="AA1921" s="95" t="s">
        <v>62</v>
      </c>
      <c r="AB1921" s="95" t="s">
        <v>62</v>
      </c>
      <c r="AC1921" s="95" t="s">
        <v>62</v>
      </c>
      <c r="AD1921" s="95" t="s">
        <v>62</v>
      </c>
      <c r="AE1921" s="95" t="s">
        <v>62</v>
      </c>
      <c r="AF1921" s="95" t="s">
        <v>62</v>
      </c>
      <c r="AG1921" s="95" t="s">
        <v>62</v>
      </c>
      <c r="AH1921" s="95" t="s">
        <v>62</v>
      </c>
      <c r="AI1921" s="95" t="s">
        <v>62</v>
      </c>
      <c r="AJ1921" s="96" t="s">
        <v>7</v>
      </c>
      <c r="AK1921" s="97" t="s">
        <v>7</v>
      </c>
      <c r="AL1921" s="95" t="s">
        <v>7</v>
      </c>
      <c r="AM1921" s="90"/>
      <c r="AN1921" s="90"/>
      <c r="AO1921" s="90"/>
      <c r="AP1921" s="90"/>
      <c r="AQ1921" s="90"/>
      <c r="AR1921" s="90"/>
      <c r="AS1921" s="90"/>
      <c r="AT1921" s="90"/>
      <c r="AU1921" s="90"/>
      <c r="AV1921" s="91"/>
      <c r="AX1921" s="92"/>
    </row>
    <row r="1922" customFormat="false" ht="15.65" hidden="false" customHeight="false" outlineLevel="0" collapsed="false">
      <c r="C1922" s="72" t="n">
        <f aca="false">COUNTIFS($D$6:D1922,"&lt;&gt;"&amp;"")</f>
        <v>1917</v>
      </c>
      <c r="D1922" s="73" t="s">
        <v>12</v>
      </c>
      <c r="E1922" s="76" t="str">
        <f aca="false">
IF($D1922="정상",INDEX(임대자산!$D$3:$R$3000,MATCH($F1922,임대자산!$I$3:$I$3000,0),MATCH(E$3,임대자산!$D$3:$R$3,0)),
IF($D1922="폐업",INDEX(폐업정보!$D$3:$R$3000,MATCH($F1922,폐업정보!$I$3:$I$3000,0),MATCH(E$3,폐업정보!$D$3:$R$3,0)),
"Error"))</f>
        <v>강원</v>
      </c>
      <c r="F192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B1917</v>
      </c>
      <c r="G1922" s="76" t="str">
        <f aca="false">F1922&amp;RANDBETWEEN(0,10)</f>
        <v>B19179</v>
      </c>
      <c r="H1922" s="75" t="n">
        <f aca="false">
IF($D1922="정상",INDEX(임대자산!$D$3:$R$3000,MATCH($F1922,임대자산!$I$3:$I$3000,0),MATCH(H$4,임대자산!$D$3:$R$3,0)),
IF($D1922="폐업",INDEX(폐업정보!$D$3:$R$3000,MATCH($F1922,폐업정보!$I$3:$I$3000,0),MATCH(H$4,폐업정보!$D$3:$R$3,0)),
"Error"))</f>
        <v>46010</v>
      </c>
      <c r="I1922" s="75" t="str">
        <f aca="false">
IF($D1922="정상",INDEX(임대자산!$D$3:$R$3000,MATCH($F1922,임대자산!$I$3:$I$3000,0),MATCH(I$4,임대자산!$D$3:$R$3,0)),
IF($D1922="폐업",INDEX(폐업정보!$D$3:$R$3000,MATCH($F1922,폐업정보!$I$3:$I$3000,0),MATCH(I$4,폐업정보!$D$3:$R$3,0)),
"Error"))</f>
        <v>A1917</v>
      </c>
      <c r="J1922" s="75" t="str">
        <f aca="false">
IF($D1922="정상",INDEX(임대자산!$D$3:$R$3000,MATCH($F1922,임대자산!$I$3:$I$3000,0),MATCH(J$4,임대자산!$D$3:$R$3,0)),
IF($D1922="폐업",INDEX(폐업정보!$D$3:$R$3000,MATCH($F1922,폐업정보!$I$3:$I$3000,0),MATCH(J$4,폐업정보!$D$3:$R$3,0)),
"Error"))</f>
        <v>4125700000</v>
      </c>
      <c r="K1922" s="75" t="str">
        <f aca="false">
IF($D1922="정상",INDEX(임대자산!$D$3:$R$3000,MATCH($F1922,임대자산!$I$3:$I$3000,0),MATCH(K$4,임대자산!$D$3:$R$3,0)),
IF($D1922="폐업",INDEX(폐업정보!$D$3:$R$3000,MATCH($F1922,폐업정보!$I$3:$I$3000,0),MATCH(K$4,폐업정보!$D$3:$R$3,0)),
"Error"))</f>
        <v>C1917</v>
      </c>
      <c r="L1922" s="75" t="str">
        <f aca="false">
IF($D1922="정상",INDEX(임대자산!$D$3:$R$3000,MATCH($F1922,임대자산!$I$3:$I$3000,0),MATCH(L$4,임대자산!$D$3:$R$3,0)),
IF($D1922="폐업",INDEX(폐업정보!$D$3:$R$3000,MATCH($F1922,폐업정보!$I$3:$I$3000,0),MATCH(L$4,폐업정보!$D$3:$R$3,0)),
"Error"))</f>
        <v>D1917</v>
      </c>
      <c r="M1922" s="76" t="s">
        <v>96</v>
      </c>
      <c r="N1922" s="77"/>
      <c r="O1922" s="78" t="s">
        <v>97</v>
      </c>
      <c r="P1922" s="79" t="n">
        <f aca="false">COUNTIFS(임대자산!$I:$I,가맹점정보!F1922,임대자산!$N:$N,가맹점정보!P$4)</f>
        <v>0</v>
      </c>
      <c r="Q1922" s="80" t="n">
        <f aca="false">COUNTIFS(임대자산!$I:$I,가맹점정보!F1922,임대자산!$N:$N,가맹점정보!Q$4)</f>
        <v>0</v>
      </c>
      <c r="R1922" s="81" t="n">
        <f aca="false">COUNTIFS(임대자산!$I:$I,가맹점정보!F1922,임대자산!$N:$N,가맹점정보!R$4)</f>
        <v>1</v>
      </c>
      <c r="S1922" s="82" t="n">
        <v>55000</v>
      </c>
      <c r="T1922" s="83" t="n">
        <v>0</v>
      </c>
      <c r="U1922" s="80" t="n">
        <f aca="false">SUM(S1922:T1922)</f>
        <v>55000</v>
      </c>
      <c r="V1922" s="84" t="s">
        <v>12</v>
      </c>
      <c r="W1922" s="80" t="e">
        <f aca="true">
IF(D1922="폐업","폐업",
IF(V1922="면제","면제",
IF(AND(V1922="정상",COUNTIFS(OFFSET(Y1922,0,COUNTA(Y1922:AV1922)-1,1,-4),"미납")&gt;=3),"장기미납",
IF(AND(V1922="정상",OFFSET(Y1922,0,COUNTA(Y1922:AV1922)-1)&gt;=U1922),"정상",
IF(AND(V1922="정상",OFFSET(Y1922,0,COUNTA(Y1922:AV1922)-1)=0),"정상",
"계약서 미작성")))))</f>
        <v>#VALUE!</v>
      </c>
      <c r="X1922" s="81" t="str">
        <f aca="true">
IF(D1922="폐업","폐업",
IF(AND(V1922="정상",OFFSET(Y1922,0,COUNTA(Y1922:AV1922)-1)="미납"),"미납",
IF(AND(V1922="정상",OFFSET(Y1922,0,COUNTA(Y1922:AV1922)-1)=0),"납부 시작 전",
IF(AND(V1922="정상",OFFSET(Y1922,0,COUNTA(Y1922:AV1922)-1)&gt;=U1922),"정상",
IF(AND(V1922="면제",OFFSET(Y1922,0,COUNTA(Y1922:AV1922)-1)="면제"),"면제",
IF(AND(V1922="면제",OFFSET(Y1922,0,COUNTA(Y1922:AV1922)-1)=0),"면제",
"확인요청"))))))</f>
        <v>미납</v>
      </c>
      <c r="Y1922" s="94" t="s">
        <v>62</v>
      </c>
      <c r="Z1922" s="95" t="s">
        <v>62</v>
      </c>
      <c r="AA1922" s="95" t="s">
        <v>62</v>
      </c>
      <c r="AB1922" s="95" t="s">
        <v>62</v>
      </c>
      <c r="AC1922" s="95" t="s">
        <v>62</v>
      </c>
      <c r="AD1922" s="95" t="s">
        <v>62</v>
      </c>
      <c r="AE1922" s="95" t="s">
        <v>62</v>
      </c>
      <c r="AF1922" s="95" t="s">
        <v>62</v>
      </c>
      <c r="AG1922" s="95" t="s">
        <v>62</v>
      </c>
      <c r="AH1922" s="95" t="s">
        <v>62</v>
      </c>
      <c r="AI1922" s="95" t="s">
        <v>62</v>
      </c>
      <c r="AJ1922" s="96" t="s">
        <v>62</v>
      </c>
      <c r="AK1922" s="89" t="n">
        <v>55000</v>
      </c>
      <c r="AL1922" s="95" t="s">
        <v>62</v>
      </c>
      <c r="AM1922" s="90"/>
      <c r="AN1922" s="90"/>
      <c r="AO1922" s="90"/>
      <c r="AP1922" s="90"/>
      <c r="AQ1922" s="90"/>
      <c r="AR1922" s="90"/>
      <c r="AS1922" s="90"/>
      <c r="AT1922" s="90"/>
      <c r="AU1922" s="90"/>
      <c r="AV1922" s="91"/>
      <c r="AX1922" s="92"/>
    </row>
    <row r="1923" customFormat="false" ht="15.65" hidden="false" customHeight="false" outlineLevel="0" collapsed="false">
      <c r="C1923" s="72" t="n">
        <f aca="false">COUNTIFS($D$6:D1923,"&lt;&gt;"&amp;"")</f>
        <v>1918</v>
      </c>
      <c r="D1923" s="73" t="s">
        <v>12</v>
      </c>
      <c r="E1923" s="76" t="str">
        <f aca="false">
IF($D1923="정상",INDEX(임대자산!$D$3:$R$3000,MATCH($F1923,임대자산!$I$3:$I$3000,0),MATCH(E$3,임대자산!$D$3:$R$3,0)),
IF($D1923="폐업",INDEX(폐업정보!$D$3:$R$3000,MATCH($F1923,폐업정보!$I$3:$I$3000,0),MATCH(E$3,폐업정보!$D$3:$R$3,0)),
"Error"))</f>
        <v>강원</v>
      </c>
      <c r="F192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B1918</v>
      </c>
      <c r="G1923" s="76" t="str">
        <f aca="false">F1923&amp;RANDBETWEEN(0,10)</f>
        <v>B19182</v>
      </c>
      <c r="H1923" s="75" t="n">
        <f aca="false">
IF($D1923="정상",INDEX(임대자산!$D$3:$R$3000,MATCH($F1923,임대자산!$I$3:$I$3000,0),MATCH(H$4,임대자산!$D$3:$R$3,0)),
IF($D1923="폐업",INDEX(폐업정보!$D$3:$R$3000,MATCH($F1923,폐업정보!$I$3:$I$3000,0),MATCH(H$4,폐업정보!$D$3:$R$3,0)),
"Error"))</f>
        <v>46010</v>
      </c>
      <c r="I1923" s="75" t="str">
        <f aca="false">
IF($D1923="정상",INDEX(임대자산!$D$3:$R$3000,MATCH($F1923,임대자산!$I$3:$I$3000,0),MATCH(I$4,임대자산!$D$3:$R$3,0)),
IF($D1923="폐업",INDEX(폐업정보!$D$3:$R$3000,MATCH($F1923,폐업정보!$I$3:$I$3000,0),MATCH(I$4,폐업정보!$D$3:$R$3,0)),
"Error"))</f>
        <v>A1918</v>
      </c>
      <c r="J1923" s="75" t="str">
        <f aca="false">
IF($D1923="정상",INDEX(임대자산!$D$3:$R$3000,MATCH($F1923,임대자산!$I$3:$I$3000,0),MATCH(J$4,임대자산!$D$3:$R$3,0)),
IF($D1923="폐업",INDEX(폐업정보!$D$3:$R$3000,MATCH($F1923,폐업정보!$I$3:$I$3000,0),MATCH(J$4,폐업정보!$D$3:$R$3,0)),
"Error"))</f>
        <v>1237900000</v>
      </c>
      <c r="K1923" s="75" t="str">
        <f aca="false">
IF($D1923="정상",INDEX(임대자산!$D$3:$R$3000,MATCH($F1923,임대자산!$I$3:$I$3000,0),MATCH(K$4,임대자산!$D$3:$R$3,0)),
IF($D1923="폐업",INDEX(폐업정보!$D$3:$R$3000,MATCH($F1923,폐업정보!$I$3:$I$3000,0),MATCH(K$4,폐업정보!$D$3:$R$3,0)),
"Error"))</f>
        <v>C1918</v>
      </c>
      <c r="L1923" s="75" t="str">
        <f aca="false">
IF($D1923="정상",INDEX(임대자산!$D$3:$R$3000,MATCH($F1923,임대자산!$I$3:$I$3000,0),MATCH(L$4,임대자산!$D$3:$R$3,0)),
IF($D1923="폐업",INDEX(폐업정보!$D$3:$R$3000,MATCH($F1923,폐업정보!$I$3:$I$3000,0),MATCH(L$4,폐업정보!$D$3:$R$3,0)),
"Error"))</f>
        <v>D1918</v>
      </c>
      <c r="M1923" s="76" t="s">
        <v>96</v>
      </c>
      <c r="N1923" s="77"/>
      <c r="O1923" s="78" t="s">
        <v>97</v>
      </c>
      <c r="P1923" s="79" t="n">
        <f aca="false">COUNTIFS(임대자산!$I:$I,가맹점정보!F1923,임대자산!$N:$N,가맹점정보!P$4)</f>
        <v>0</v>
      </c>
      <c r="Q1923" s="80" t="n">
        <f aca="false">COUNTIFS(임대자산!$I:$I,가맹점정보!F1923,임대자산!$N:$N,가맹점정보!Q$4)</f>
        <v>0</v>
      </c>
      <c r="R1923" s="81" t="n">
        <f aca="false">COUNTIFS(임대자산!$I:$I,가맹점정보!F1923,임대자산!$N:$N,가맹점정보!R$4)</f>
        <v>1</v>
      </c>
      <c r="S1923" s="82" t="n">
        <v>55000</v>
      </c>
      <c r="T1923" s="83" t="n">
        <v>0</v>
      </c>
      <c r="U1923" s="80" t="n">
        <f aca="false">SUM(S1923:T1923)</f>
        <v>55000</v>
      </c>
      <c r="V1923" s="84" t="s">
        <v>7</v>
      </c>
      <c r="W1923" s="80" t="str">
        <f aca="true">
IF(D1923="폐업","폐업",
IF(V1923="면제","면제",
IF(AND(V1923="정상",COUNTIFS(OFFSET(Y1923,0,COUNTA(Y1923:AV1923)-1,1,-4),"미납")&gt;=3),"장기미납",
IF(AND(V1923="정상",OFFSET(Y1923,0,COUNTA(Y1923:AV1923)-1)&gt;=U1923),"정상",
IF(AND(V1923="정상",OFFSET(Y1923,0,COUNTA(Y1923:AV1923)-1)=0),"정상",
"계약서 미작성")))))</f>
        <v>면제</v>
      </c>
      <c r="X1923" s="81" t="str">
        <f aca="true">
IF(D1923="폐업","폐업",
IF(AND(V1923="정상",OFFSET(Y1923,0,COUNTA(Y1923:AV1923)-1)="미납"),"미납",
IF(AND(V1923="정상",OFFSET(Y1923,0,COUNTA(Y1923:AV1923)-1)=0),"납부 시작 전",
IF(AND(V1923="정상",OFFSET(Y1923,0,COUNTA(Y1923:AV1923)-1)&gt;=U1923),"정상",
IF(AND(V1923="면제",OFFSET(Y1923,0,COUNTA(Y1923:AV1923)-1)="면제"),"면제",
IF(AND(V1923="면제",OFFSET(Y1923,0,COUNTA(Y1923:AV1923)-1)=0),"면제",
"확인요청"))))))</f>
        <v>면제</v>
      </c>
      <c r="Y1923" s="94" t="s">
        <v>62</v>
      </c>
      <c r="Z1923" s="95" t="s">
        <v>62</v>
      </c>
      <c r="AA1923" s="95" t="s">
        <v>62</v>
      </c>
      <c r="AB1923" s="95" t="s">
        <v>62</v>
      </c>
      <c r="AC1923" s="95" t="s">
        <v>62</v>
      </c>
      <c r="AD1923" s="95" t="s">
        <v>62</v>
      </c>
      <c r="AE1923" s="95" t="s">
        <v>62</v>
      </c>
      <c r="AF1923" s="95" t="s">
        <v>62</v>
      </c>
      <c r="AG1923" s="95" t="s">
        <v>62</v>
      </c>
      <c r="AH1923" s="95" t="s">
        <v>62</v>
      </c>
      <c r="AI1923" s="95" t="s">
        <v>62</v>
      </c>
      <c r="AJ1923" s="96" t="s">
        <v>62</v>
      </c>
      <c r="AK1923" s="97" t="s">
        <v>62</v>
      </c>
      <c r="AL1923" s="95" t="s">
        <v>7</v>
      </c>
      <c r="AM1923" s="90"/>
      <c r="AN1923" s="90"/>
      <c r="AO1923" s="90"/>
      <c r="AP1923" s="90"/>
      <c r="AQ1923" s="90"/>
      <c r="AR1923" s="90"/>
      <c r="AS1923" s="90"/>
      <c r="AT1923" s="90"/>
      <c r="AU1923" s="90"/>
      <c r="AV1923" s="91"/>
      <c r="AX1923" s="92"/>
    </row>
    <row r="1924" customFormat="false" ht="15.65" hidden="false" customHeight="false" outlineLevel="0" collapsed="false">
      <c r="C1924" s="72" t="n">
        <f aca="false">COUNTIFS($D$6:D1924,"&lt;&gt;"&amp;"")</f>
        <v>1919</v>
      </c>
      <c r="D1924" s="73" t="s">
        <v>12</v>
      </c>
      <c r="E1924" s="76" t="str">
        <f aca="false">
IF($D1924="정상",INDEX(임대자산!$D$3:$R$3000,MATCH($F1924,임대자산!$I$3:$I$3000,0),MATCH(E$3,임대자산!$D$3:$R$3,0)),
IF($D1924="폐업",INDEX(폐업정보!$D$3:$R$3000,MATCH($F1924,폐업정보!$I$3:$I$3000,0),MATCH(E$3,폐업정보!$D$3:$R$3,0)),
"Error"))</f>
        <v>서울</v>
      </c>
      <c r="F192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B1919</v>
      </c>
      <c r="G1924" s="76" t="str">
        <f aca="false">F1924&amp;RANDBETWEEN(0,10)</f>
        <v>B19197</v>
      </c>
      <c r="H1924" s="75" t="n">
        <f aca="false">
IF($D1924="정상",INDEX(임대자산!$D$3:$R$3000,MATCH($F1924,임대자산!$I$3:$I$3000,0),MATCH(H$4,임대자산!$D$3:$R$3,0)),
IF($D1924="폐업",INDEX(폐업정보!$D$3:$R$3000,MATCH($F1924,폐업정보!$I$3:$I$3000,0),MATCH(H$4,폐업정보!$D$3:$R$3,0)),
"Error"))</f>
        <v>46009</v>
      </c>
      <c r="I1924" s="75" t="str">
        <f aca="false">
IF($D1924="정상",INDEX(임대자산!$D$3:$R$3000,MATCH($F1924,임대자산!$I$3:$I$3000,0),MATCH(I$4,임대자산!$D$3:$R$3,0)),
IF($D1924="폐업",INDEX(폐업정보!$D$3:$R$3000,MATCH($F1924,폐업정보!$I$3:$I$3000,0),MATCH(I$4,폐업정보!$D$3:$R$3,0)),
"Error"))</f>
        <v>A1919</v>
      </c>
      <c r="J1924" s="75" t="str">
        <f aca="false">
IF($D1924="정상",INDEX(임대자산!$D$3:$R$3000,MATCH($F1924,임대자산!$I$3:$I$3000,0),MATCH(J$4,임대자산!$D$3:$R$3,0)),
IF($D1924="폐업",INDEX(폐업정보!$D$3:$R$3000,MATCH($F1924,폐업정보!$I$3:$I$3000,0),MATCH(J$4,폐업정보!$D$3:$R$3,0)),
"Error"))</f>
        <v>3983600000</v>
      </c>
      <c r="K1924" s="75" t="str">
        <f aca="false">
IF($D1924="정상",INDEX(임대자산!$D$3:$R$3000,MATCH($F1924,임대자산!$I$3:$I$3000,0),MATCH(K$4,임대자산!$D$3:$R$3,0)),
IF($D1924="폐업",INDEX(폐업정보!$D$3:$R$3000,MATCH($F1924,폐업정보!$I$3:$I$3000,0),MATCH(K$4,폐업정보!$D$3:$R$3,0)),
"Error"))</f>
        <v>C1919</v>
      </c>
      <c r="L1924" s="75" t="str">
        <f aca="false">
IF($D1924="정상",INDEX(임대자산!$D$3:$R$3000,MATCH($F1924,임대자산!$I$3:$I$3000,0),MATCH(L$4,임대자산!$D$3:$R$3,0)),
IF($D1924="폐업",INDEX(폐업정보!$D$3:$R$3000,MATCH($F1924,폐업정보!$I$3:$I$3000,0),MATCH(L$4,폐업정보!$D$3:$R$3,0)),
"Error"))</f>
        <v>D1919</v>
      </c>
      <c r="M1924" s="76" t="s">
        <v>96</v>
      </c>
      <c r="N1924" s="77"/>
      <c r="O1924" s="78" t="s">
        <v>97</v>
      </c>
      <c r="P1924" s="79" t="n">
        <f aca="false">COUNTIFS(임대자산!$I:$I,가맹점정보!F1924,임대자산!$N:$N,가맹점정보!P$4)</f>
        <v>0</v>
      </c>
      <c r="Q1924" s="80" t="n">
        <f aca="false">COUNTIFS(임대자산!$I:$I,가맹점정보!F1924,임대자산!$N:$N,가맹점정보!Q$4)</f>
        <v>0</v>
      </c>
      <c r="R1924" s="81" t="n">
        <f aca="false">COUNTIFS(임대자산!$I:$I,가맹점정보!F1924,임대자산!$N:$N,가맹점정보!R$4)</f>
        <v>1</v>
      </c>
      <c r="S1924" s="82" t="n">
        <v>55000</v>
      </c>
      <c r="T1924" s="83" t="n">
        <v>0</v>
      </c>
      <c r="U1924" s="80" t="n">
        <f aca="false">SUM(S1924:T1924)</f>
        <v>55000</v>
      </c>
      <c r="V1924" s="84" t="s">
        <v>12</v>
      </c>
      <c r="W1924" s="80" t="e">
        <f aca="true">
IF(D1924="폐업","폐업",
IF(V1924="면제","면제",
IF(AND(V1924="정상",COUNTIFS(OFFSET(Y1924,0,COUNTA(Y1924:AV1924)-1,1,-4),"미납")&gt;=3),"장기미납",
IF(AND(V1924="정상",OFFSET(Y1924,0,COUNTA(Y1924:AV1924)-1)&gt;=U1924),"정상",
IF(AND(V1924="정상",OFFSET(Y1924,0,COUNTA(Y1924:AV1924)-1)=0),"정상",
"계약서 미작성")))))</f>
        <v>#VALUE!</v>
      </c>
      <c r="X1924" s="81" t="str">
        <f aca="true">
IF(D1924="폐업","폐업",
IF(AND(V1924="정상",OFFSET(Y1924,0,COUNTA(Y1924:AV1924)-1)="미납"),"미납",
IF(AND(V1924="정상",OFFSET(Y1924,0,COUNTA(Y1924:AV1924)-1)=0),"납부 시작 전",
IF(AND(V1924="정상",OFFSET(Y1924,0,COUNTA(Y1924:AV1924)-1)&gt;=U1924),"정상",
IF(AND(V1924="면제",OFFSET(Y1924,0,COUNTA(Y1924:AV1924)-1)="면제"),"면제",
IF(AND(V1924="면제",OFFSET(Y1924,0,COUNTA(Y1924:AV1924)-1)=0),"면제",
"확인요청"))))))</f>
        <v>미납</v>
      </c>
      <c r="Y1924" s="94" t="s">
        <v>62</v>
      </c>
      <c r="Z1924" s="95" t="s">
        <v>62</v>
      </c>
      <c r="AA1924" s="95" t="s">
        <v>62</v>
      </c>
      <c r="AB1924" s="95" t="s">
        <v>62</v>
      </c>
      <c r="AC1924" s="95" t="s">
        <v>62</v>
      </c>
      <c r="AD1924" s="95" t="s">
        <v>62</v>
      </c>
      <c r="AE1924" s="95" t="s">
        <v>62</v>
      </c>
      <c r="AF1924" s="95" t="s">
        <v>62</v>
      </c>
      <c r="AG1924" s="95" t="s">
        <v>62</v>
      </c>
      <c r="AH1924" s="95" t="s">
        <v>62</v>
      </c>
      <c r="AI1924" s="95" t="s">
        <v>62</v>
      </c>
      <c r="AJ1924" s="96" t="s">
        <v>62</v>
      </c>
      <c r="AK1924" s="97" t="s">
        <v>62</v>
      </c>
      <c r="AL1924" s="95" t="s">
        <v>62</v>
      </c>
      <c r="AM1924" s="90"/>
      <c r="AN1924" s="90"/>
      <c r="AO1924" s="90"/>
      <c r="AP1924" s="90"/>
      <c r="AQ1924" s="90"/>
      <c r="AR1924" s="90"/>
      <c r="AS1924" s="90"/>
      <c r="AT1924" s="90"/>
      <c r="AU1924" s="90"/>
      <c r="AV1924" s="91"/>
      <c r="AX1924" s="92"/>
    </row>
    <row r="1925" customFormat="false" ht="15.65" hidden="false" customHeight="false" outlineLevel="0" collapsed="false">
      <c r="C1925" s="72" t="n">
        <f aca="false">COUNTIFS($D$6:D1925,"&lt;&gt;"&amp;"")</f>
        <v>1920</v>
      </c>
      <c r="D1925" s="73" t="s">
        <v>12</v>
      </c>
      <c r="E1925" s="76" t="str">
        <f aca="false">
IF($D1925="정상",INDEX(임대자산!$D$3:$R$3000,MATCH($F1925,임대자산!$I$3:$I$3000,0),MATCH(E$3,임대자산!$D$3:$R$3,0)),
IF($D1925="폐업",INDEX(폐업정보!$D$3:$R$3000,MATCH($F1925,폐업정보!$I$3:$I$3000,0),MATCH(E$3,폐업정보!$D$3:$R$3,0)),
"Error"))</f>
        <v>경상</v>
      </c>
      <c r="F192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B1920</v>
      </c>
      <c r="G1925" s="76" t="str">
        <f aca="false">F1925&amp;RANDBETWEEN(0,10)</f>
        <v>B19203</v>
      </c>
      <c r="H1925" s="75" t="n">
        <f aca="false">
IF($D1925="정상",INDEX(임대자산!$D$3:$R$3000,MATCH($F1925,임대자산!$I$3:$I$3000,0),MATCH(H$4,임대자산!$D$3:$R$3,0)),
IF($D1925="폐업",INDEX(폐업정보!$D$3:$R$3000,MATCH($F1925,폐업정보!$I$3:$I$3000,0),MATCH(H$4,폐업정보!$D$3:$R$3,0)),
"Error"))</f>
        <v>45994</v>
      </c>
      <c r="I1925" s="75" t="str">
        <f aca="false">
IF($D1925="정상",INDEX(임대자산!$D$3:$R$3000,MATCH($F1925,임대자산!$I$3:$I$3000,0),MATCH(I$4,임대자산!$D$3:$R$3,0)),
IF($D1925="폐업",INDEX(폐업정보!$D$3:$R$3000,MATCH($F1925,폐업정보!$I$3:$I$3000,0),MATCH(I$4,폐업정보!$D$3:$R$3,0)),
"Error"))</f>
        <v>A1920</v>
      </c>
      <c r="J1925" s="75" t="str">
        <f aca="false">
IF($D1925="정상",INDEX(임대자산!$D$3:$R$3000,MATCH($F1925,임대자산!$I$3:$I$3000,0),MATCH(J$4,임대자산!$D$3:$R$3,0)),
IF($D1925="폐업",INDEX(폐업정보!$D$3:$R$3000,MATCH($F1925,폐업정보!$I$3:$I$3000,0),MATCH(J$4,폐업정보!$D$3:$R$3,0)),
"Error"))</f>
        <v>5553100000</v>
      </c>
      <c r="K1925" s="75" t="str">
        <f aca="false">
IF($D1925="정상",INDEX(임대자산!$D$3:$R$3000,MATCH($F1925,임대자산!$I$3:$I$3000,0),MATCH(K$4,임대자산!$D$3:$R$3,0)),
IF($D1925="폐업",INDEX(폐업정보!$D$3:$R$3000,MATCH($F1925,폐업정보!$I$3:$I$3000,0),MATCH(K$4,폐업정보!$D$3:$R$3,0)),
"Error"))</f>
        <v>C1920</v>
      </c>
      <c r="L1925" s="75" t="str">
        <f aca="false">
IF($D1925="정상",INDEX(임대자산!$D$3:$R$3000,MATCH($F1925,임대자산!$I$3:$I$3000,0),MATCH(L$4,임대자산!$D$3:$R$3,0)),
IF($D1925="폐업",INDEX(폐업정보!$D$3:$R$3000,MATCH($F1925,폐업정보!$I$3:$I$3000,0),MATCH(L$4,폐업정보!$D$3:$R$3,0)),
"Error"))</f>
        <v>D1920</v>
      </c>
      <c r="M1925" s="76" t="s">
        <v>96</v>
      </c>
      <c r="N1925" s="77"/>
      <c r="O1925" s="78" t="s">
        <v>97</v>
      </c>
      <c r="P1925" s="79" t="n">
        <f aca="false">COUNTIFS(임대자산!$I:$I,가맹점정보!F1925,임대자산!$N:$N,가맹점정보!P$4)</f>
        <v>0</v>
      </c>
      <c r="Q1925" s="80" t="n">
        <f aca="false">COUNTIFS(임대자산!$I:$I,가맹점정보!F1925,임대자산!$N:$N,가맹점정보!Q$4)</f>
        <v>0</v>
      </c>
      <c r="R1925" s="81" t="n">
        <f aca="false">COUNTIFS(임대자산!$I:$I,가맹점정보!F1925,임대자산!$N:$N,가맹점정보!R$4)</f>
        <v>1</v>
      </c>
      <c r="S1925" s="82" t="n">
        <v>88000</v>
      </c>
      <c r="T1925" s="83" t="n">
        <v>0</v>
      </c>
      <c r="U1925" s="80" t="n">
        <f aca="false">SUM(S1925:T1925)</f>
        <v>88000</v>
      </c>
      <c r="V1925" s="84" t="s">
        <v>7</v>
      </c>
      <c r="W1925" s="80" t="str">
        <f aca="true">
IF(D1925="폐업","폐업",
IF(V1925="면제","면제",
IF(AND(V1925="정상",COUNTIFS(OFFSET(Y1925,0,COUNTA(Y1925:AV1925)-1,1,-4),"미납")&gt;=3),"장기미납",
IF(AND(V1925="정상",OFFSET(Y1925,0,COUNTA(Y1925:AV1925)-1)&gt;=U1925),"정상",
IF(AND(V1925="정상",OFFSET(Y1925,0,COUNTA(Y1925:AV1925)-1)=0),"정상",
"계약서 미작성")))))</f>
        <v>면제</v>
      </c>
      <c r="X1925" s="81" t="str">
        <f aca="true">
IF(D1925="폐업","폐업",
IF(AND(V1925="정상",OFFSET(Y1925,0,COUNTA(Y1925:AV1925)-1)="미납"),"미납",
IF(AND(V1925="정상",OFFSET(Y1925,0,COUNTA(Y1925:AV1925)-1)=0),"납부 시작 전",
IF(AND(V1925="정상",OFFSET(Y1925,0,COUNTA(Y1925:AV1925)-1)&gt;=U1925),"정상",
IF(AND(V1925="면제",OFFSET(Y1925,0,COUNTA(Y1925:AV1925)-1)="면제"),"면제",
IF(AND(V1925="면제",OFFSET(Y1925,0,COUNTA(Y1925:AV1925)-1)=0),"면제",
"확인요청"))))))</f>
        <v>면제</v>
      </c>
      <c r="Y1925" s="94" t="s">
        <v>62</v>
      </c>
      <c r="Z1925" s="95" t="s">
        <v>62</v>
      </c>
      <c r="AA1925" s="95" t="s">
        <v>62</v>
      </c>
      <c r="AB1925" s="95" t="s">
        <v>62</v>
      </c>
      <c r="AC1925" s="95" t="s">
        <v>62</v>
      </c>
      <c r="AD1925" s="95" t="s">
        <v>62</v>
      </c>
      <c r="AE1925" s="95" t="s">
        <v>62</v>
      </c>
      <c r="AF1925" s="95" t="s">
        <v>62</v>
      </c>
      <c r="AG1925" s="95" t="s">
        <v>62</v>
      </c>
      <c r="AH1925" s="95" t="s">
        <v>62</v>
      </c>
      <c r="AI1925" s="95" t="s">
        <v>62</v>
      </c>
      <c r="AJ1925" s="96" t="s">
        <v>62</v>
      </c>
      <c r="AK1925" s="97" t="s">
        <v>62</v>
      </c>
      <c r="AL1925" s="95" t="s">
        <v>7</v>
      </c>
      <c r="AM1925" s="90"/>
      <c r="AN1925" s="90"/>
      <c r="AO1925" s="90"/>
      <c r="AP1925" s="90"/>
      <c r="AQ1925" s="90"/>
      <c r="AR1925" s="90"/>
      <c r="AS1925" s="90"/>
      <c r="AT1925" s="90"/>
      <c r="AU1925" s="90"/>
      <c r="AV1925" s="91"/>
      <c r="AX1925" s="92"/>
    </row>
    <row r="1926" customFormat="false" ht="15.65" hidden="false" customHeight="false" outlineLevel="0" collapsed="false">
      <c r="C1926" s="72" t="n">
        <f aca="false">COUNTIFS($D$6:D1926,"&lt;&gt;"&amp;"")</f>
        <v>1921</v>
      </c>
      <c r="D1926" s="73" t="s">
        <v>12</v>
      </c>
      <c r="E1926" s="76" t="str">
        <f aca="false">
IF($D1926="정상",INDEX(임대자산!$D$3:$R$3000,MATCH($F1926,임대자산!$I$3:$I$3000,0),MATCH(E$3,임대자산!$D$3:$R$3,0)),
IF($D1926="폐업",INDEX(폐업정보!$D$3:$R$3000,MATCH($F1926,폐업정보!$I$3:$I$3000,0),MATCH(E$3,폐업정보!$D$3:$R$3,0)),
"Error"))</f>
        <v>경상</v>
      </c>
      <c r="F192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B1921</v>
      </c>
      <c r="G1926" s="76" t="str">
        <f aca="false">F1926&amp;RANDBETWEEN(0,10)</f>
        <v>B19216</v>
      </c>
      <c r="H1926" s="75" t="n">
        <f aca="false">
IF($D1926="정상",INDEX(임대자산!$D$3:$R$3000,MATCH($F1926,임대자산!$I$3:$I$3000,0),MATCH(H$4,임대자산!$D$3:$R$3,0)),
IF($D1926="폐업",INDEX(폐업정보!$D$3:$R$3000,MATCH($F1926,폐업정보!$I$3:$I$3000,0),MATCH(H$4,폐업정보!$D$3:$R$3,0)),
"Error"))</f>
        <v>45994</v>
      </c>
      <c r="I1926" s="75" t="str">
        <f aca="false">
IF($D1926="정상",INDEX(임대자산!$D$3:$R$3000,MATCH($F1926,임대자산!$I$3:$I$3000,0),MATCH(I$4,임대자산!$D$3:$R$3,0)),
IF($D1926="폐업",INDEX(폐업정보!$D$3:$R$3000,MATCH($F1926,폐업정보!$I$3:$I$3000,0),MATCH(I$4,폐업정보!$D$3:$R$3,0)),
"Error"))</f>
        <v>A1921</v>
      </c>
      <c r="J1926" s="75" t="str">
        <f aca="false">
IF($D1926="정상",INDEX(임대자산!$D$3:$R$3000,MATCH($F1926,임대자산!$I$3:$I$3000,0),MATCH(J$4,임대자산!$D$3:$R$3,0)),
IF($D1926="폐업",INDEX(폐업정보!$D$3:$R$3000,MATCH($F1926,폐업정보!$I$3:$I$3000,0),MATCH(J$4,폐업정보!$D$3:$R$3,0)),
"Error"))</f>
        <v>3701900000</v>
      </c>
      <c r="K1926" s="75" t="str">
        <f aca="false">
IF($D1926="정상",INDEX(임대자산!$D$3:$R$3000,MATCH($F1926,임대자산!$I$3:$I$3000,0),MATCH(K$4,임대자산!$D$3:$R$3,0)),
IF($D1926="폐업",INDEX(폐업정보!$D$3:$R$3000,MATCH($F1926,폐업정보!$I$3:$I$3000,0),MATCH(K$4,폐업정보!$D$3:$R$3,0)),
"Error"))</f>
        <v>C1921</v>
      </c>
      <c r="L1926" s="75" t="str">
        <f aca="false">
IF($D1926="정상",INDEX(임대자산!$D$3:$R$3000,MATCH($F1926,임대자산!$I$3:$I$3000,0),MATCH(L$4,임대자산!$D$3:$R$3,0)),
IF($D1926="폐업",INDEX(폐업정보!$D$3:$R$3000,MATCH($F1926,폐업정보!$I$3:$I$3000,0),MATCH(L$4,폐업정보!$D$3:$R$3,0)),
"Error"))</f>
        <v>D1921</v>
      </c>
      <c r="M1926" s="76" t="s">
        <v>96</v>
      </c>
      <c r="N1926" s="77"/>
      <c r="O1926" s="78" t="s">
        <v>97</v>
      </c>
      <c r="P1926" s="79" t="n">
        <f aca="false">COUNTIFS(임대자산!$I:$I,가맹점정보!F1926,임대자산!$N:$N,가맹점정보!P$4)</f>
        <v>0</v>
      </c>
      <c r="Q1926" s="80" t="n">
        <f aca="false">COUNTIFS(임대자산!$I:$I,가맹점정보!F1926,임대자산!$N:$N,가맹점정보!Q$4)</f>
        <v>0</v>
      </c>
      <c r="R1926" s="81" t="n">
        <f aca="false">COUNTIFS(임대자산!$I:$I,가맹점정보!F1926,임대자산!$N:$N,가맹점정보!R$4)</f>
        <v>1</v>
      </c>
      <c r="S1926" s="82" t="n">
        <v>55000</v>
      </c>
      <c r="T1926" s="83" t="n">
        <v>0</v>
      </c>
      <c r="U1926" s="80" t="n">
        <f aca="false">SUM(S1926:T1926)</f>
        <v>55000</v>
      </c>
      <c r="V1926" s="84" t="s">
        <v>7</v>
      </c>
      <c r="W1926" s="80" t="str">
        <f aca="true">
IF(D1926="폐업","폐업",
IF(V1926="면제","면제",
IF(AND(V1926="정상",COUNTIFS(OFFSET(Y1926,0,COUNTA(Y1926:AV1926)-1,1,-4),"미납")&gt;=3),"장기미납",
IF(AND(V1926="정상",OFFSET(Y1926,0,COUNTA(Y1926:AV1926)-1)&gt;=U1926),"정상",
IF(AND(V1926="정상",OFFSET(Y1926,0,COUNTA(Y1926:AV1926)-1)=0),"정상",
"계약서 미작성")))))</f>
        <v>면제</v>
      </c>
      <c r="X1926" s="81" t="str">
        <f aca="true">
IF(D1926="폐업","폐업",
IF(AND(V1926="정상",OFFSET(Y1926,0,COUNTA(Y1926:AV1926)-1)="미납"),"미납",
IF(AND(V1926="정상",OFFSET(Y1926,0,COUNTA(Y1926:AV1926)-1)=0),"납부 시작 전",
IF(AND(V1926="정상",OFFSET(Y1926,0,COUNTA(Y1926:AV1926)-1)&gt;=U1926),"정상",
IF(AND(V1926="면제",OFFSET(Y1926,0,COUNTA(Y1926:AV1926)-1)="면제"),"면제",
IF(AND(V1926="면제",OFFSET(Y1926,0,COUNTA(Y1926:AV1926)-1)=0),"면제",
"확인요청"))))))</f>
        <v>면제</v>
      </c>
      <c r="Y1926" s="94" t="s">
        <v>62</v>
      </c>
      <c r="Z1926" s="95" t="s">
        <v>62</v>
      </c>
      <c r="AA1926" s="95" t="s">
        <v>62</v>
      </c>
      <c r="AB1926" s="95" t="s">
        <v>62</v>
      </c>
      <c r="AC1926" s="95" t="s">
        <v>62</v>
      </c>
      <c r="AD1926" s="95" t="s">
        <v>62</v>
      </c>
      <c r="AE1926" s="95" t="s">
        <v>62</v>
      </c>
      <c r="AF1926" s="95" t="s">
        <v>62</v>
      </c>
      <c r="AG1926" s="95" t="s">
        <v>62</v>
      </c>
      <c r="AH1926" s="95" t="s">
        <v>62</v>
      </c>
      <c r="AI1926" s="95" t="s">
        <v>62</v>
      </c>
      <c r="AJ1926" s="96" t="s">
        <v>7</v>
      </c>
      <c r="AK1926" s="97" t="s">
        <v>7</v>
      </c>
      <c r="AL1926" s="95" t="s">
        <v>7</v>
      </c>
      <c r="AM1926" s="90"/>
      <c r="AN1926" s="90"/>
      <c r="AO1926" s="90"/>
      <c r="AP1926" s="90"/>
      <c r="AQ1926" s="90"/>
      <c r="AR1926" s="90"/>
      <c r="AS1926" s="90"/>
      <c r="AT1926" s="90"/>
      <c r="AU1926" s="90"/>
      <c r="AV1926" s="91"/>
      <c r="AX1926" s="92"/>
    </row>
    <row r="1927" customFormat="false" ht="15.65" hidden="false" customHeight="false" outlineLevel="0" collapsed="false">
      <c r="C1927" s="72" t="n">
        <f aca="false">COUNTIFS($D$6:D1927,"&lt;&gt;"&amp;"")</f>
        <v>1922</v>
      </c>
      <c r="D1927" s="73" t="s">
        <v>12</v>
      </c>
      <c r="E1927" s="76" t="str">
        <f aca="false">
IF($D1927="정상",INDEX(임대자산!$D$3:$R$3000,MATCH($F1927,임대자산!$I$3:$I$3000,0),MATCH(E$3,임대자산!$D$3:$R$3,0)),
IF($D1927="폐업",INDEX(폐업정보!$D$3:$R$3000,MATCH($F1927,폐업정보!$I$3:$I$3000,0),MATCH(E$3,폐업정보!$D$3:$R$3,0)),
"Error"))</f>
        <v>경상</v>
      </c>
      <c r="F192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B1922</v>
      </c>
      <c r="G1927" s="76" t="str">
        <f aca="false">F1927&amp;RANDBETWEEN(0,10)</f>
        <v>B19221</v>
      </c>
      <c r="H1927" s="75" t="n">
        <f aca="false">
IF($D1927="정상",INDEX(임대자산!$D$3:$R$3000,MATCH($F1927,임대자산!$I$3:$I$3000,0),MATCH(H$4,임대자산!$D$3:$R$3,0)),
IF($D1927="폐업",INDEX(폐업정보!$D$3:$R$3000,MATCH($F1927,폐업정보!$I$3:$I$3000,0),MATCH(H$4,폐업정보!$D$3:$R$3,0)),
"Error"))</f>
        <v>45994</v>
      </c>
      <c r="I1927" s="75" t="str">
        <f aca="false">
IF($D1927="정상",INDEX(임대자산!$D$3:$R$3000,MATCH($F1927,임대자산!$I$3:$I$3000,0),MATCH(I$4,임대자산!$D$3:$R$3,0)),
IF($D1927="폐업",INDEX(폐업정보!$D$3:$R$3000,MATCH($F1927,폐업정보!$I$3:$I$3000,0),MATCH(I$4,폐업정보!$D$3:$R$3,0)),
"Error"))</f>
        <v>A1922</v>
      </c>
      <c r="J1927" s="75" t="str">
        <f aca="false">
IF($D1927="정상",INDEX(임대자산!$D$3:$R$3000,MATCH($F1927,임대자산!$I$3:$I$3000,0),MATCH(J$4,임대자산!$D$3:$R$3,0)),
IF($D1927="폐업",INDEX(폐업정보!$D$3:$R$3000,MATCH($F1927,폐업정보!$I$3:$I$3000,0),MATCH(J$4,폐업정보!$D$3:$R$3,0)),
"Error"))</f>
        <v>1670400000</v>
      </c>
      <c r="K1927" s="75" t="str">
        <f aca="false">
IF($D1927="정상",INDEX(임대자산!$D$3:$R$3000,MATCH($F1927,임대자산!$I$3:$I$3000,0),MATCH(K$4,임대자산!$D$3:$R$3,0)),
IF($D1927="폐업",INDEX(폐업정보!$D$3:$R$3000,MATCH($F1927,폐업정보!$I$3:$I$3000,0),MATCH(K$4,폐업정보!$D$3:$R$3,0)),
"Error"))</f>
        <v>C1922</v>
      </c>
      <c r="L1927" s="75" t="str">
        <f aca="false">
IF($D1927="정상",INDEX(임대자산!$D$3:$R$3000,MATCH($F1927,임대자산!$I$3:$I$3000,0),MATCH(L$4,임대자산!$D$3:$R$3,0)),
IF($D1927="폐업",INDEX(폐업정보!$D$3:$R$3000,MATCH($F1927,폐업정보!$I$3:$I$3000,0),MATCH(L$4,폐업정보!$D$3:$R$3,0)),
"Error"))</f>
        <v>D1922</v>
      </c>
      <c r="M1927" s="76" t="s">
        <v>96</v>
      </c>
      <c r="N1927" s="77"/>
      <c r="O1927" s="78" t="s">
        <v>97</v>
      </c>
      <c r="P1927" s="79" t="n">
        <f aca="false">COUNTIFS(임대자산!$I:$I,가맹점정보!F1927,임대자산!$N:$N,가맹점정보!P$4)</f>
        <v>0</v>
      </c>
      <c r="Q1927" s="80" t="n">
        <f aca="false">COUNTIFS(임대자산!$I:$I,가맹점정보!F1927,임대자산!$N:$N,가맹점정보!Q$4)</f>
        <v>0</v>
      </c>
      <c r="R1927" s="81" t="n">
        <f aca="false">COUNTIFS(임대자산!$I:$I,가맹점정보!F1927,임대자산!$N:$N,가맹점정보!R$4)</f>
        <v>1</v>
      </c>
      <c r="S1927" s="82" t="n">
        <v>55000</v>
      </c>
      <c r="T1927" s="83" t="n">
        <v>0</v>
      </c>
      <c r="U1927" s="80" t="n">
        <f aca="false">SUM(S1927:T1927)</f>
        <v>55000</v>
      </c>
      <c r="V1927" s="84" t="s">
        <v>7</v>
      </c>
      <c r="W1927" s="80" t="str">
        <f aca="true">
IF(D1927="폐업","폐업",
IF(V1927="면제","면제",
IF(AND(V1927="정상",COUNTIFS(OFFSET(Y1927,0,COUNTA(Y1927:AV1927)-1,1,-4),"미납")&gt;=3),"장기미납",
IF(AND(V1927="정상",OFFSET(Y1927,0,COUNTA(Y1927:AV1927)-1)&gt;=U1927),"정상",
IF(AND(V1927="정상",OFFSET(Y1927,0,COUNTA(Y1927:AV1927)-1)=0),"정상",
"계약서 미작성")))))</f>
        <v>면제</v>
      </c>
      <c r="X1927" s="81" t="str">
        <f aca="true">
IF(D1927="폐업","폐업",
IF(AND(V1927="정상",OFFSET(Y1927,0,COUNTA(Y1927:AV1927)-1)="미납"),"미납",
IF(AND(V1927="정상",OFFSET(Y1927,0,COUNTA(Y1927:AV1927)-1)=0),"납부 시작 전",
IF(AND(V1927="정상",OFFSET(Y1927,0,COUNTA(Y1927:AV1927)-1)&gt;=U1927),"정상",
IF(AND(V1927="면제",OFFSET(Y1927,0,COUNTA(Y1927:AV1927)-1)="면제"),"면제",
IF(AND(V1927="면제",OFFSET(Y1927,0,COUNTA(Y1927:AV1927)-1)=0),"면제",
"확인요청"))))))</f>
        <v>면제</v>
      </c>
      <c r="Y1927" s="94" t="s">
        <v>62</v>
      </c>
      <c r="Z1927" s="95" t="s">
        <v>62</v>
      </c>
      <c r="AA1927" s="95" t="s">
        <v>62</v>
      </c>
      <c r="AB1927" s="95" t="s">
        <v>62</v>
      </c>
      <c r="AC1927" s="95" t="s">
        <v>62</v>
      </c>
      <c r="AD1927" s="95" t="s">
        <v>62</v>
      </c>
      <c r="AE1927" s="95" t="s">
        <v>62</v>
      </c>
      <c r="AF1927" s="95" t="s">
        <v>62</v>
      </c>
      <c r="AG1927" s="95" t="s">
        <v>62</v>
      </c>
      <c r="AH1927" s="95" t="s">
        <v>62</v>
      </c>
      <c r="AI1927" s="95" t="s">
        <v>62</v>
      </c>
      <c r="AJ1927" s="96" t="s">
        <v>7</v>
      </c>
      <c r="AK1927" s="97" t="s">
        <v>7</v>
      </c>
      <c r="AL1927" s="95" t="s">
        <v>7</v>
      </c>
      <c r="AM1927" s="90"/>
      <c r="AN1927" s="90"/>
      <c r="AO1927" s="90"/>
      <c r="AP1927" s="90"/>
      <c r="AQ1927" s="90"/>
      <c r="AR1927" s="90"/>
      <c r="AS1927" s="90"/>
      <c r="AT1927" s="90"/>
      <c r="AU1927" s="90"/>
      <c r="AV1927" s="91"/>
      <c r="AX1927" s="92"/>
    </row>
    <row r="1928" customFormat="false" ht="15.65" hidden="false" customHeight="false" outlineLevel="0" collapsed="false">
      <c r="C1928" s="72" t="n">
        <f aca="false">COUNTIFS($D$6:D1928,"&lt;&gt;"&amp;"")</f>
        <v>1923</v>
      </c>
      <c r="D1928" s="73" t="s">
        <v>12</v>
      </c>
      <c r="E1928" s="76" t="str">
        <f aca="false">
IF($D1928="정상",INDEX(임대자산!$D$3:$R$3000,MATCH($F1928,임대자산!$I$3:$I$3000,0),MATCH(E$3,임대자산!$D$3:$R$3,0)),
IF($D1928="폐업",INDEX(폐업정보!$D$3:$R$3000,MATCH($F1928,폐업정보!$I$3:$I$3000,0),MATCH(E$3,폐업정보!$D$3:$R$3,0)),
"Error"))</f>
        <v>경상</v>
      </c>
      <c r="F192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B1923</v>
      </c>
      <c r="G1928" s="76" t="str">
        <f aca="false">F1928&amp;RANDBETWEEN(0,10)</f>
        <v>B19234</v>
      </c>
      <c r="H1928" s="75" t="n">
        <f aca="false">
IF($D1928="정상",INDEX(임대자산!$D$3:$R$3000,MATCH($F1928,임대자산!$I$3:$I$3000,0),MATCH(H$4,임대자산!$D$3:$R$3,0)),
IF($D1928="폐업",INDEX(폐업정보!$D$3:$R$3000,MATCH($F1928,폐업정보!$I$3:$I$3000,0),MATCH(H$4,폐업정보!$D$3:$R$3,0)),
"Error"))</f>
        <v>46020</v>
      </c>
      <c r="I1928" s="75" t="str">
        <f aca="false">
IF($D1928="정상",INDEX(임대자산!$D$3:$R$3000,MATCH($F1928,임대자산!$I$3:$I$3000,0),MATCH(I$4,임대자산!$D$3:$R$3,0)),
IF($D1928="폐업",INDEX(폐업정보!$D$3:$R$3000,MATCH($F1928,폐업정보!$I$3:$I$3000,0),MATCH(I$4,폐업정보!$D$3:$R$3,0)),
"Error"))</f>
        <v>A1923</v>
      </c>
      <c r="J1928" s="75" t="str">
        <f aca="false">
IF($D1928="정상",INDEX(임대자산!$D$3:$R$3000,MATCH($F1928,임대자산!$I$3:$I$3000,0),MATCH(J$4,임대자산!$D$3:$R$3,0)),
IF($D1928="폐업",INDEX(폐업정보!$D$3:$R$3000,MATCH($F1928,폐업정보!$I$3:$I$3000,0),MATCH(J$4,폐업정보!$D$3:$R$3,0)),
"Error"))</f>
        <v>2292500000</v>
      </c>
      <c r="K1928" s="75" t="str">
        <f aca="false">
IF($D1928="정상",INDEX(임대자산!$D$3:$R$3000,MATCH($F1928,임대자산!$I$3:$I$3000,0),MATCH(K$4,임대자산!$D$3:$R$3,0)),
IF($D1928="폐업",INDEX(폐업정보!$D$3:$R$3000,MATCH($F1928,폐업정보!$I$3:$I$3000,0),MATCH(K$4,폐업정보!$D$3:$R$3,0)),
"Error"))</f>
        <v>C1923</v>
      </c>
      <c r="L1928" s="75" t="str">
        <f aca="false">
IF($D1928="정상",INDEX(임대자산!$D$3:$R$3000,MATCH($F1928,임대자산!$I$3:$I$3000,0),MATCH(L$4,임대자산!$D$3:$R$3,0)),
IF($D1928="폐업",INDEX(폐업정보!$D$3:$R$3000,MATCH($F1928,폐업정보!$I$3:$I$3000,0),MATCH(L$4,폐업정보!$D$3:$R$3,0)),
"Error"))</f>
        <v>D1923</v>
      </c>
      <c r="M1928" s="76" t="s">
        <v>96</v>
      </c>
      <c r="N1928" s="77"/>
      <c r="O1928" s="78" t="s">
        <v>97</v>
      </c>
      <c r="P1928" s="79" t="n">
        <f aca="false">COUNTIFS(임대자산!$I:$I,가맹점정보!F1928,임대자산!$N:$N,가맹점정보!P$4)</f>
        <v>0</v>
      </c>
      <c r="Q1928" s="80" t="n">
        <f aca="false">COUNTIFS(임대자산!$I:$I,가맹점정보!F1928,임대자산!$N:$N,가맹점정보!Q$4)</f>
        <v>0</v>
      </c>
      <c r="R1928" s="81" t="n">
        <f aca="false">COUNTIFS(임대자산!$I:$I,가맹점정보!F1928,임대자산!$N:$N,가맹점정보!R$4)</f>
        <v>1</v>
      </c>
      <c r="S1928" s="82" t="n">
        <v>55000</v>
      </c>
      <c r="T1928" s="83" t="n">
        <v>0</v>
      </c>
      <c r="U1928" s="80" t="n">
        <f aca="false">SUM(S1928:T1928)</f>
        <v>55000</v>
      </c>
      <c r="V1928" s="84" t="s">
        <v>7</v>
      </c>
      <c r="W1928" s="80" t="str">
        <f aca="true">
IF(D1928="폐업","폐업",
IF(V1928="면제","면제",
IF(AND(V1928="정상",COUNTIFS(OFFSET(Y1928,0,COUNTA(Y1928:AV1928)-1,1,-4),"미납")&gt;=3),"장기미납",
IF(AND(V1928="정상",OFFSET(Y1928,0,COUNTA(Y1928:AV1928)-1)&gt;=U1928),"정상",
IF(AND(V1928="정상",OFFSET(Y1928,0,COUNTA(Y1928:AV1928)-1)=0),"정상",
"계약서 미작성")))))</f>
        <v>면제</v>
      </c>
      <c r="X1928" s="81" t="str">
        <f aca="true">
IF(D1928="폐업","폐업",
IF(AND(V1928="정상",OFFSET(Y1928,0,COUNTA(Y1928:AV1928)-1)="미납"),"미납",
IF(AND(V1928="정상",OFFSET(Y1928,0,COUNTA(Y1928:AV1928)-1)=0),"납부 시작 전",
IF(AND(V1928="정상",OFFSET(Y1928,0,COUNTA(Y1928:AV1928)-1)&gt;=U1928),"정상",
IF(AND(V1928="면제",OFFSET(Y1928,0,COUNTA(Y1928:AV1928)-1)="면제"),"면제",
IF(AND(V1928="면제",OFFSET(Y1928,0,COUNTA(Y1928:AV1928)-1)=0),"면제",
"확인요청"))))))</f>
        <v>면제</v>
      </c>
      <c r="Y1928" s="94" t="s">
        <v>62</v>
      </c>
      <c r="Z1928" s="95" t="s">
        <v>62</v>
      </c>
      <c r="AA1928" s="95" t="s">
        <v>62</v>
      </c>
      <c r="AB1928" s="95" t="s">
        <v>62</v>
      </c>
      <c r="AC1928" s="95" t="s">
        <v>62</v>
      </c>
      <c r="AD1928" s="95" t="s">
        <v>62</v>
      </c>
      <c r="AE1928" s="95" t="s">
        <v>62</v>
      </c>
      <c r="AF1928" s="95" t="s">
        <v>62</v>
      </c>
      <c r="AG1928" s="95" t="s">
        <v>62</v>
      </c>
      <c r="AH1928" s="95" t="s">
        <v>62</v>
      </c>
      <c r="AI1928" s="95" t="s">
        <v>62</v>
      </c>
      <c r="AJ1928" s="96" t="s">
        <v>62</v>
      </c>
      <c r="AK1928" s="97" t="s">
        <v>62</v>
      </c>
      <c r="AL1928" s="95" t="s">
        <v>7</v>
      </c>
      <c r="AM1928" s="90"/>
      <c r="AN1928" s="90"/>
      <c r="AO1928" s="90"/>
      <c r="AP1928" s="90"/>
      <c r="AQ1928" s="90"/>
      <c r="AR1928" s="90"/>
      <c r="AS1928" s="90"/>
      <c r="AT1928" s="90"/>
      <c r="AU1928" s="90"/>
      <c r="AV1928" s="91"/>
      <c r="AX1928" s="92"/>
    </row>
    <row r="1929" customFormat="false" ht="15.65" hidden="false" customHeight="false" outlineLevel="0" collapsed="false">
      <c r="C1929" s="72" t="n">
        <f aca="false">COUNTIFS($D$6:D1929,"&lt;&gt;"&amp;"")</f>
        <v>1924</v>
      </c>
      <c r="D1929" s="73" t="s">
        <v>12</v>
      </c>
      <c r="E1929" s="76" t="str">
        <f aca="false">
IF($D1929="정상",INDEX(임대자산!$D$3:$R$3000,MATCH($F1929,임대자산!$I$3:$I$3000,0),MATCH(E$3,임대자산!$D$3:$R$3,0)),
IF($D1929="폐업",INDEX(폐업정보!$D$3:$R$3000,MATCH($F1929,폐업정보!$I$3:$I$3000,0),MATCH(E$3,폐업정보!$D$3:$R$3,0)),
"Error"))</f>
        <v>경상</v>
      </c>
      <c r="F192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B1924</v>
      </c>
      <c r="G1929" s="76" t="str">
        <f aca="false">F1929&amp;RANDBETWEEN(0,10)</f>
        <v>B19241</v>
      </c>
      <c r="H1929" s="75" t="n">
        <f aca="false">
IF($D1929="정상",INDEX(임대자산!$D$3:$R$3000,MATCH($F1929,임대자산!$I$3:$I$3000,0),MATCH(H$4,임대자산!$D$3:$R$3,0)),
IF($D1929="폐업",INDEX(폐업정보!$D$3:$R$3000,MATCH($F1929,폐업정보!$I$3:$I$3000,0),MATCH(H$4,폐업정보!$D$3:$R$3,0)),
"Error"))</f>
        <v>46020</v>
      </c>
      <c r="I1929" s="75" t="str">
        <f aca="false">
IF($D1929="정상",INDEX(임대자산!$D$3:$R$3000,MATCH($F1929,임대자산!$I$3:$I$3000,0),MATCH(I$4,임대자산!$D$3:$R$3,0)),
IF($D1929="폐업",INDEX(폐업정보!$D$3:$R$3000,MATCH($F1929,폐업정보!$I$3:$I$3000,0),MATCH(I$4,폐업정보!$D$3:$R$3,0)),
"Error"))</f>
        <v>A1924</v>
      </c>
      <c r="J1929" s="75" t="str">
        <f aca="false">
IF($D1929="정상",INDEX(임대자산!$D$3:$R$3000,MATCH($F1929,임대자산!$I$3:$I$3000,0),MATCH(J$4,임대자산!$D$3:$R$3,0)),
IF($D1929="폐업",INDEX(폐업정보!$D$3:$R$3000,MATCH($F1929,폐업정보!$I$3:$I$3000,0),MATCH(J$4,폐업정보!$D$3:$R$3,0)),
"Error"))</f>
        <v>8259800000</v>
      </c>
      <c r="K1929" s="75" t="str">
        <f aca="false">
IF($D1929="정상",INDEX(임대자산!$D$3:$R$3000,MATCH($F1929,임대자산!$I$3:$I$3000,0),MATCH(K$4,임대자산!$D$3:$R$3,0)),
IF($D1929="폐업",INDEX(폐업정보!$D$3:$R$3000,MATCH($F1929,폐업정보!$I$3:$I$3000,0),MATCH(K$4,폐업정보!$D$3:$R$3,0)),
"Error"))</f>
        <v>C1924</v>
      </c>
      <c r="L1929" s="75" t="str">
        <f aca="false">
IF($D1929="정상",INDEX(임대자산!$D$3:$R$3000,MATCH($F1929,임대자산!$I$3:$I$3000,0),MATCH(L$4,임대자산!$D$3:$R$3,0)),
IF($D1929="폐업",INDEX(폐업정보!$D$3:$R$3000,MATCH($F1929,폐업정보!$I$3:$I$3000,0),MATCH(L$4,폐업정보!$D$3:$R$3,0)),
"Error"))</f>
        <v>D1924</v>
      </c>
      <c r="M1929" s="76" t="s">
        <v>96</v>
      </c>
      <c r="N1929" s="77"/>
      <c r="O1929" s="78" t="s">
        <v>97</v>
      </c>
      <c r="P1929" s="79" t="n">
        <f aca="false">COUNTIFS(임대자산!$I:$I,가맹점정보!F1929,임대자산!$N:$N,가맹점정보!P$4)</f>
        <v>0</v>
      </c>
      <c r="Q1929" s="80" t="n">
        <f aca="false">COUNTIFS(임대자산!$I:$I,가맹점정보!F1929,임대자산!$N:$N,가맹점정보!Q$4)</f>
        <v>0</v>
      </c>
      <c r="R1929" s="81" t="n">
        <f aca="false">COUNTIFS(임대자산!$I:$I,가맹점정보!F1929,임대자산!$N:$N,가맹점정보!R$4)</f>
        <v>1</v>
      </c>
      <c r="S1929" s="82" t="n">
        <v>88000</v>
      </c>
      <c r="T1929" s="83" t="n">
        <v>0</v>
      </c>
      <c r="U1929" s="80" t="n">
        <f aca="false">SUM(S1929:T1929)</f>
        <v>88000</v>
      </c>
      <c r="V1929" s="84" t="s">
        <v>7</v>
      </c>
      <c r="W1929" s="80" t="str">
        <f aca="true">
IF(D1929="폐업","폐업",
IF(V1929="면제","면제",
IF(AND(V1929="정상",COUNTIFS(OFFSET(Y1929,0,COUNTA(Y1929:AV1929)-1,1,-4),"미납")&gt;=3),"장기미납",
IF(AND(V1929="정상",OFFSET(Y1929,0,COUNTA(Y1929:AV1929)-1)&gt;=U1929),"정상",
IF(AND(V1929="정상",OFFSET(Y1929,0,COUNTA(Y1929:AV1929)-1)=0),"정상",
"계약서 미작성")))))</f>
        <v>면제</v>
      </c>
      <c r="X1929" s="81" t="str">
        <f aca="true">
IF(D1929="폐업","폐업",
IF(AND(V1929="정상",OFFSET(Y1929,0,COUNTA(Y1929:AV1929)-1)="미납"),"미납",
IF(AND(V1929="정상",OFFSET(Y1929,0,COUNTA(Y1929:AV1929)-1)=0),"납부 시작 전",
IF(AND(V1929="정상",OFFSET(Y1929,0,COUNTA(Y1929:AV1929)-1)&gt;=U1929),"정상",
IF(AND(V1929="면제",OFFSET(Y1929,0,COUNTA(Y1929:AV1929)-1)="면제"),"면제",
IF(AND(V1929="면제",OFFSET(Y1929,0,COUNTA(Y1929:AV1929)-1)=0),"면제",
"확인요청"))))))</f>
        <v>면제</v>
      </c>
      <c r="Y1929" s="94" t="s">
        <v>62</v>
      </c>
      <c r="Z1929" s="95" t="s">
        <v>62</v>
      </c>
      <c r="AA1929" s="95" t="s">
        <v>62</v>
      </c>
      <c r="AB1929" s="95" t="s">
        <v>62</v>
      </c>
      <c r="AC1929" s="95" t="s">
        <v>62</v>
      </c>
      <c r="AD1929" s="95" t="s">
        <v>62</v>
      </c>
      <c r="AE1929" s="95" t="s">
        <v>62</v>
      </c>
      <c r="AF1929" s="95" t="s">
        <v>62</v>
      </c>
      <c r="AG1929" s="95" t="s">
        <v>62</v>
      </c>
      <c r="AH1929" s="95" t="s">
        <v>62</v>
      </c>
      <c r="AI1929" s="95" t="s">
        <v>62</v>
      </c>
      <c r="AJ1929" s="96" t="s">
        <v>7</v>
      </c>
      <c r="AK1929" s="97" t="s">
        <v>7</v>
      </c>
      <c r="AL1929" s="95" t="s">
        <v>7</v>
      </c>
      <c r="AM1929" s="90"/>
      <c r="AN1929" s="90"/>
      <c r="AO1929" s="90"/>
      <c r="AP1929" s="90"/>
      <c r="AQ1929" s="90"/>
      <c r="AR1929" s="90"/>
      <c r="AS1929" s="90"/>
      <c r="AT1929" s="90"/>
      <c r="AU1929" s="90"/>
      <c r="AV1929" s="91"/>
      <c r="AX1929" s="92"/>
    </row>
    <row r="1930" customFormat="false" ht="15.65" hidden="false" customHeight="false" outlineLevel="0" collapsed="false">
      <c r="C1930" s="72" t="n">
        <f aca="false">COUNTIFS($D$6:D1930,"&lt;&gt;"&amp;"")</f>
        <v>1925</v>
      </c>
      <c r="D1930" s="73" t="s">
        <v>12</v>
      </c>
      <c r="E1930" s="76" t="str">
        <f aca="false">
IF($D1930="정상",INDEX(임대자산!$D$3:$R$3000,MATCH($F1930,임대자산!$I$3:$I$3000,0),MATCH(E$3,임대자산!$D$3:$R$3,0)),
IF($D1930="폐업",INDEX(폐업정보!$D$3:$R$3000,MATCH($F1930,폐업정보!$I$3:$I$3000,0),MATCH(E$3,폐업정보!$D$3:$R$3,0)),
"Error"))</f>
        <v>서울</v>
      </c>
      <c r="F193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B1925</v>
      </c>
      <c r="G1930" s="76" t="str">
        <f aca="false">F1930&amp;RANDBETWEEN(0,10)</f>
        <v>B19255</v>
      </c>
      <c r="H1930" s="75" t="n">
        <f aca="false">
IF($D1930="정상",INDEX(임대자산!$D$3:$R$3000,MATCH($F1930,임대자산!$I$3:$I$3000,0),MATCH(H$4,임대자산!$D$3:$R$3,0)),
IF($D1930="폐업",INDEX(폐업정보!$D$3:$R$3000,MATCH($F1930,폐업정보!$I$3:$I$3000,0),MATCH(H$4,폐업정보!$D$3:$R$3,0)),
"Error"))</f>
        <v>46028</v>
      </c>
      <c r="I1930" s="75" t="str">
        <f aca="false">
IF($D1930="정상",INDEX(임대자산!$D$3:$R$3000,MATCH($F1930,임대자산!$I$3:$I$3000,0),MATCH(I$4,임대자산!$D$3:$R$3,0)),
IF($D1930="폐업",INDEX(폐업정보!$D$3:$R$3000,MATCH($F1930,폐업정보!$I$3:$I$3000,0),MATCH(I$4,폐업정보!$D$3:$R$3,0)),
"Error"))</f>
        <v>A1925</v>
      </c>
      <c r="J1930" s="75" t="str">
        <f aca="false">
IF($D1930="정상",INDEX(임대자산!$D$3:$R$3000,MATCH($F1930,임대자산!$I$3:$I$3000,0),MATCH(J$4,임대자산!$D$3:$R$3,0)),
IF($D1930="폐업",INDEX(폐업정보!$D$3:$R$3000,MATCH($F1930,폐업정보!$I$3:$I$3000,0),MATCH(J$4,폐업정보!$D$3:$R$3,0)),
"Error"))</f>
        <v>7419400000</v>
      </c>
      <c r="K1930" s="75" t="str">
        <f aca="false">
IF($D1930="정상",INDEX(임대자산!$D$3:$R$3000,MATCH($F1930,임대자산!$I$3:$I$3000,0),MATCH(K$4,임대자산!$D$3:$R$3,0)),
IF($D1930="폐업",INDEX(폐업정보!$D$3:$R$3000,MATCH($F1930,폐업정보!$I$3:$I$3000,0),MATCH(K$4,폐업정보!$D$3:$R$3,0)),
"Error"))</f>
        <v>C1925</v>
      </c>
      <c r="L1930" s="75" t="str">
        <f aca="false">
IF($D1930="정상",INDEX(임대자산!$D$3:$R$3000,MATCH($F1930,임대자산!$I$3:$I$3000,0),MATCH(L$4,임대자산!$D$3:$R$3,0)),
IF($D1930="폐업",INDEX(폐업정보!$D$3:$R$3000,MATCH($F1930,폐업정보!$I$3:$I$3000,0),MATCH(L$4,폐업정보!$D$3:$R$3,0)),
"Error"))</f>
        <v>D1925</v>
      </c>
      <c r="M1930" s="76" t="s">
        <v>96</v>
      </c>
      <c r="N1930" s="77"/>
      <c r="O1930" s="78" t="s">
        <v>97</v>
      </c>
      <c r="P1930" s="79" t="n">
        <f aca="false">COUNTIFS(임대자산!$I:$I,가맹점정보!F1930,임대자산!$N:$N,가맹점정보!P$4)</f>
        <v>0</v>
      </c>
      <c r="Q1930" s="80" t="n">
        <f aca="false">COUNTIFS(임대자산!$I:$I,가맹점정보!F1930,임대자산!$N:$N,가맹점정보!Q$4)</f>
        <v>0</v>
      </c>
      <c r="R1930" s="81" t="n">
        <f aca="false">COUNTIFS(임대자산!$I:$I,가맹점정보!F1930,임대자산!$N:$N,가맹점정보!R$4)</f>
        <v>1</v>
      </c>
      <c r="S1930" s="82" t="n">
        <v>88000</v>
      </c>
      <c r="T1930" s="83" t="n">
        <v>0</v>
      </c>
      <c r="U1930" s="80" t="n">
        <f aca="false">SUM(S1930:T1930)</f>
        <v>88000</v>
      </c>
      <c r="V1930" s="84" t="s">
        <v>7</v>
      </c>
      <c r="W1930" s="80" t="str">
        <f aca="true">
IF(D1930="폐업","폐업",
IF(V1930="면제","면제",
IF(AND(V1930="정상",COUNTIFS(OFFSET(Y1930,0,COUNTA(Y1930:AV1930)-1,1,-4),"미납")&gt;=3),"장기미납",
IF(AND(V1930="정상",OFFSET(Y1930,0,COUNTA(Y1930:AV1930)-1)&gt;=U1930),"정상",
IF(AND(V1930="정상",OFFSET(Y1930,0,COUNTA(Y1930:AV1930)-1)=0),"정상",
"계약서 미작성")))))</f>
        <v>면제</v>
      </c>
      <c r="X1930" s="81" t="str">
        <f aca="true">
IF(D1930="폐업","폐업",
IF(AND(V1930="정상",OFFSET(Y1930,0,COUNTA(Y1930:AV1930)-1)="미납"),"미납",
IF(AND(V1930="정상",OFFSET(Y1930,0,COUNTA(Y1930:AV1930)-1)=0),"납부 시작 전",
IF(AND(V1930="정상",OFFSET(Y1930,0,COUNTA(Y1930:AV1930)-1)&gt;=U1930),"정상",
IF(AND(V1930="면제",OFFSET(Y1930,0,COUNTA(Y1930:AV1930)-1)="면제"),"면제",
IF(AND(V1930="면제",OFFSET(Y1930,0,COUNTA(Y1930:AV1930)-1)=0),"면제",
"확인요청"))))))</f>
        <v>면제</v>
      </c>
      <c r="Y1930" s="94" t="s">
        <v>62</v>
      </c>
      <c r="Z1930" s="95" t="s">
        <v>62</v>
      </c>
      <c r="AA1930" s="95" t="s">
        <v>62</v>
      </c>
      <c r="AB1930" s="95" t="s">
        <v>62</v>
      </c>
      <c r="AC1930" s="95" t="s">
        <v>62</v>
      </c>
      <c r="AD1930" s="95" t="s">
        <v>62</v>
      </c>
      <c r="AE1930" s="95" t="s">
        <v>62</v>
      </c>
      <c r="AF1930" s="95" t="s">
        <v>62</v>
      </c>
      <c r="AG1930" s="95" t="s">
        <v>62</v>
      </c>
      <c r="AH1930" s="95" t="s">
        <v>62</v>
      </c>
      <c r="AI1930" s="95" t="s">
        <v>62</v>
      </c>
      <c r="AJ1930" s="96" t="s">
        <v>62</v>
      </c>
      <c r="AK1930" s="97" t="s">
        <v>62</v>
      </c>
      <c r="AL1930" s="95" t="s">
        <v>7</v>
      </c>
      <c r="AM1930" s="90"/>
      <c r="AN1930" s="90"/>
      <c r="AO1930" s="90"/>
      <c r="AP1930" s="90"/>
      <c r="AQ1930" s="90"/>
      <c r="AR1930" s="90"/>
      <c r="AS1930" s="90"/>
      <c r="AT1930" s="90"/>
      <c r="AU1930" s="90"/>
      <c r="AV1930" s="91"/>
      <c r="AX1930" s="92"/>
    </row>
    <row r="1931" customFormat="false" ht="15.65" hidden="false" customHeight="false" outlineLevel="0" collapsed="false">
      <c r="C1931" s="72" t="n">
        <f aca="false">COUNTIFS($D$6:D1931,"&lt;&gt;"&amp;"")</f>
        <v>1926</v>
      </c>
      <c r="D1931" s="73" t="s">
        <v>12</v>
      </c>
      <c r="E1931" s="76" t="str">
        <f aca="false">
IF($D1931="정상",INDEX(임대자산!$D$3:$R$3000,MATCH($F1931,임대자산!$I$3:$I$3000,0),MATCH(E$3,임대자산!$D$3:$R$3,0)),
IF($D1931="폐업",INDEX(폐업정보!$D$3:$R$3000,MATCH($F1931,폐업정보!$I$3:$I$3000,0),MATCH(E$3,폐업정보!$D$3:$R$3,0)),
"Error"))</f>
        <v>서울</v>
      </c>
      <c r="F193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B1926</v>
      </c>
      <c r="G1931" s="76" t="str">
        <f aca="false">F1931&amp;RANDBETWEEN(0,10)</f>
        <v>B19261</v>
      </c>
      <c r="H1931" s="75" t="n">
        <f aca="false">
IF($D1931="정상",INDEX(임대자산!$D$3:$R$3000,MATCH($F1931,임대자산!$I$3:$I$3000,0),MATCH(H$4,임대자산!$D$3:$R$3,0)),
IF($D1931="폐업",INDEX(폐업정보!$D$3:$R$3000,MATCH($F1931,폐업정보!$I$3:$I$3000,0),MATCH(H$4,폐업정보!$D$3:$R$3,0)),
"Error"))</f>
        <v>46028</v>
      </c>
      <c r="I1931" s="75" t="str">
        <f aca="false">
IF($D1931="정상",INDEX(임대자산!$D$3:$R$3000,MATCH($F1931,임대자산!$I$3:$I$3000,0),MATCH(I$4,임대자산!$D$3:$R$3,0)),
IF($D1931="폐업",INDEX(폐업정보!$D$3:$R$3000,MATCH($F1931,폐업정보!$I$3:$I$3000,0),MATCH(I$4,폐업정보!$D$3:$R$3,0)),
"Error"))</f>
        <v>A1926</v>
      </c>
      <c r="J1931" s="75" t="str">
        <f aca="false">
IF($D1931="정상",INDEX(임대자산!$D$3:$R$3000,MATCH($F1931,임대자산!$I$3:$I$3000,0),MATCH(J$4,임대자산!$D$3:$R$3,0)),
IF($D1931="폐업",INDEX(폐업정보!$D$3:$R$3000,MATCH($F1931,폐업정보!$I$3:$I$3000,0),MATCH(J$4,폐업정보!$D$3:$R$3,0)),
"Error"))</f>
        <v>3042100000</v>
      </c>
      <c r="K1931" s="75" t="str">
        <f aca="false">
IF($D1931="정상",INDEX(임대자산!$D$3:$R$3000,MATCH($F1931,임대자산!$I$3:$I$3000,0),MATCH(K$4,임대자산!$D$3:$R$3,0)),
IF($D1931="폐업",INDEX(폐업정보!$D$3:$R$3000,MATCH($F1931,폐업정보!$I$3:$I$3000,0),MATCH(K$4,폐업정보!$D$3:$R$3,0)),
"Error"))</f>
        <v>C1926</v>
      </c>
      <c r="L1931" s="75" t="str">
        <f aca="false">
IF($D1931="정상",INDEX(임대자산!$D$3:$R$3000,MATCH($F1931,임대자산!$I$3:$I$3000,0),MATCH(L$4,임대자산!$D$3:$R$3,0)),
IF($D1931="폐업",INDEX(폐업정보!$D$3:$R$3000,MATCH($F1931,폐업정보!$I$3:$I$3000,0),MATCH(L$4,폐업정보!$D$3:$R$3,0)),
"Error"))</f>
        <v>D1926</v>
      </c>
      <c r="M1931" s="76" t="s">
        <v>96</v>
      </c>
      <c r="N1931" s="77"/>
      <c r="O1931" s="78" t="s">
        <v>97</v>
      </c>
      <c r="P1931" s="79" t="n">
        <f aca="false">COUNTIFS(임대자산!$I:$I,가맹점정보!F1931,임대자산!$N:$N,가맹점정보!P$4)</f>
        <v>0</v>
      </c>
      <c r="Q1931" s="80" t="n">
        <f aca="false">COUNTIFS(임대자산!$I:$I,가맹점정보!F1931,임대자산!$N:$N,가맹점정보!Q$4)</f>
        <v>0</v>
      </c>
      <c r="R1931" s="81" t="n">
        <f aca="false">COUNTIFS(임대자산!$I:$I,가맹점정보!F1931,임대자산!$N:$N,가맹점정보!R$4)</f>
        <v>1</v>
      </c>
      <c r="S1931" s="82" t="n">
        <v>88000</v>
      </c>
      <c r="T1931" s="83" t="n">
        <v>0</v>
      </c>
      <c r="U1931" s="80" t="n">
        <f aca="false">SUM(S1931:T1931)</f>
        <v>88000</v>
      </c>
      <c r="V1931" s="84" t="s">
        <v>7</v>
      </c>
      <c r="W1931" s="80" t="str">
        <f aca="true">
IF(D1931="폐업","폐업",
IF(V1931="면제","면제",
IF(AND(V1931="정상",COUNTIFS(OFFSET(Y1931,0,COUNTA(Y1931:AV1931)-1,1,-4),"미납")&gt;=3),"장기미납",
IF(AND(V1931="정상",OFFSET(Y1931,0,COUNTA(Y1931:AV1931)-1)&gt;=U1931),"정상",
IF(AND(V1931="정상",OFFSET(Y1931,0,COUNTA(Y1931:AV1931)-1)=0),"정상",
"계약서 미작성")))))</f>
        <v>면제</v>
      </c>
      <c r="X1931" s="81" t="str">
        <f aca="true">
IF(D1931="폐업","폐업",
IF(AND(V1931="정상",OFFSET(Y1931,0,COUNTA(Y1931:AV1931)-1)="미납"),"미납",
IF(AND(V1931="정상",OFFSET(Y1931,0,COUNTA(Y1931:AV1931)-1)=0),"납부 시작 전",
IF(AND(V1931="정상",OFFSET(Y1931,0,COUNTA(Y1931:AV1931)-1)&gt;=U1931),"정상",
IF(AND(V1931="면제",OFFSET(Y1931,0,COUNTA(Y1931:AV1931)-1)="면제"),"면제",
IF(AND(V1931="면제",OFFSET(Y1931,0,COUNTA(Y1931:AV1931)-1)=0),"면제",
"확인요청"))))))</f>
        <v>면제</v>
      </c>
      <c r="Y1931" s="94" t="s">
        <v>62</v>
      </c>
      <c r="Z1931" s="95" t="s">
        <v>62</v>
      </c>
      <c r="AA1931" s="95" t="s">
        <v>62</v>
      </c>
      <c r="AB1931" s="95" t="s">
        <v>62</v>
      </c>
      <c r="AC1931" s="95" t="s">
        <v>62</v>
      </c>
      <c r="AD1931" s="95" t="s">
        <v>62</v>
      </c>
      <c r="AE1931" s="95" t="s">
        <v>62</v>
      </c>
      <c r="AF1931" s="95" t="s">
        <v>62</v>
      </c>
      <c r="AG1931" s="95" t="s">
        <v>62</v>
      </c>
      <c r="AH1931" s="95" t="s">
        <v>62</v>
      </c>
      <c r="AI1931" s="95" t="s">
        <v>62</v>
      </c>
      <c r="AJ1931" s="96" t="s">
        <v>7</v>
      </c>
      <c r="AK1931" s="97" t="s">
        <v>7</v>
      </c>
      <c r="AL1931" s="95" t="s">
        <v>7</v>
      </c>
      <c r="AM1931" s="90"/>
      <c r="AN1931" s="90"/>
      <c r="AO1931" s="90"/>
      <c r="AP1931" s="90"/>
      <c r="AQ1931" s="90"/>
      <c r="AR1931" s="90"/>
      <c r="AS1931" s="90"/>
      <c r="AT1931" s="90"/>
      <c r="AU1931" s="90"/>
      <c r="AV1931" s="91"/>
      <c r="AX1931" s="92"/>
    </row>
    <row r="1932" customFormat="false" ht="15.65" hidden="false" customHeight="false" outlineLevel="0" collapsed="false">
      <c r="C1932" s="72" t="n">
        <f aca="false">COUNTIFS($D$6:D1932,"&lt;&gt;"&amp;"")</f>
        <v>1927</v>
      </c>
      <c r="D1932" s="73" t="s">
        <v>12</v>
      </c>
      <c r="E1932" s="76" t="str">
        <f aca="false">
IF($D1932="정상",INDEX(임대자산!$D$3:$R$3000,MATCH($F1932,임대자산!$I$3:$I$3000,0),MATCH(E$3,임대자산!$D$3:$R$3,0)),
IF($D1932="폐업",INDEX(폐업정보!$D$3:$R$3000,MATCH($F1932,폐업정보!$I$3:$I$3000,0),MATCH(E$3,폐업정보!$D$3:$R$3,0)),
"Error"))</f>
        <v>서울</v>
      </c>
      <c r="F193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B1927</v>
      </c>
      <c r="G1932" s="76" t="str">
        <f aca="false">F1932&amp;RANDBETWEEN(0,10)</f>
        <v>B192710</v>
      </c>
      <c r="H1932" s="75" t="n">
        <f aca="false">
IF($D1932="정상",INDEX(임대자산!$D$3:$R$3000,MATCH($F1932,임대자산!$I$3:$I$3000,0),MATCH(H$4,임대자산!$D$3:$R$3,0)),
IF($D1932="폐업",INDEX(폐업정보!$D$3:$R$3000,MATCH($F1932,폐업정보!$I$3:$I$3000,0),MATCH(H$4,폐업정보!$D$3:$R$3,0)),
"Error"))</f>
        <v>46030</v>
      </c>
      <c r="I1932" s="75" t="str">
        <f aca="false">
IF($D1932="정상",INDEX(임대자산!$D$3:$R$3000,MATCH($F1932,임대자산!$I$3:$I$3000,0),MATCH(I$4,임대자산!$D$3:$R$3,0)),
IF($D1932="폐업",INDEX(폐업정보!$D$3:$R$3000,MATCH($F1932,폐업정보!$I$3:$I$3000,0),MATCH(I$4,폐업정보!$D$3:$R$3,0)),
"Error"))</f>
        <v>A1927</v>
      </c>
      <c r="J1932" s="75" t="str">
        <f aca="false">
IF($D1932="정상",INDEX(임대자산!$D$3:$R$3000,MATCH($F1932,임대자산!$I$3:$I$3000,0),MATCH(J$4,임대자산!$D$3:$R$3,0)),
IF($D1932="폐업",INDEX(폐업정보!$D$3:$R$3000,MATCH($F1932,폐업정보!$I$3:$I$3000,0),MATCH(J$4,폐업정보!$D$3:$R$3,0)),
"Error"))</f>
        <v>8751700000</v>
      </c>
      <c r="K1932" s="75" t="str">
        <f aca="false">
IF($D1932="정상",INDEX(임대자산!$D$3:$R$3000,MATCH($F1932,임대자산!$I$3:$I$3000,0),MATCH(K$4,임대자산!$D$3:$R$3,0)),
IF($D1932="폐업",INDEX(폐업정보!$D$3:$R$3000,MATCH($F1932,폐업정보!$I$3:$I$3000,0),MATCH(K$4,폐업정보!$D$3:$R$3,0)),
"Error"))</f>
        <v>C1927</v>
      </c>
      <c r="L1932" s="75" t="str">
        <f aca="false">
IF($D1932="정상",INDEX(임대자산!$D$3:$R$3000,MATCH($F1932,임대자산!$I$3:$I$3000,0),MATCH(L$4,임대자산!$D$3:$R$3,0)),
IF($D1932="폐업",INDEX(폐업정보!$D$3:$R$3000,MATCH($F1932,폐업정보!$I$3:$I$3000,0),MATCH(L$4,폐업정보!$D$3:$R$3,0)),
"Error"))</f>
        <v>D1927</v>
      </c>
      <c r="M1932" s="76" t="s">
        <v>96</v>
      </c>
      <c r="N1932" s="77"/>
      <c r="O1932" s="78" t="s">
        <v>97</v>
      </c>
      <c r="P1932" s="79" t="n">
        <f aca="false">COUNTIFS(임대자산!$I:$I,가맹점정보!F1932,임대자산!$N:$N,가맹점정보!P$4)</f>
        <v>0</v>
      </c>
      <c r="Q1932" s="80" t="n">
        <f aca="false">COUNTIFS(임대자산!$I:$I,가맹점정보!F1932,임대자산!$N:$N,가맹점정보!Q$4)</f>
        <v>0</v>
      </c>
      <c r="R1932" s="81" t="n">
        <f aca="false">COUNTIFS(임대자산!$I:$I,가맹점정보!F1932,임대자산!$N:$N,가맹점정보!R$4)</f>
        <v>1</v>
      </c>
      <c r="S1932" s="82" t="n">
        <v>55000</v>
      </c>
      <c r="T1932" s="83" t="n">
        <v>0</v>
      </c>
      <c r="U1932" s="80" t="n">
        <f aca="false">SUM(S1932:T1932)</f>
        <v>55000</v>
      </c>
      <c r="V1932" s="84" t="s">
        <v>12</v>
      </c>
      <c r="W1932" s="80" t="e">
        <f aca="true">
IF(D1932="폐업","폐업",
IF(V1932="면제","면제",
IF(AND(V1932="정상",COUNTIFS(OFFSET(Y1932,0,COUNTA(Y1932:AV1932)-1,1,-4),"미납")&gt;=3),"장기미납",
IF(AND(V1932="정상",OFFSET(Y1932,0,COUNTA(Y1932:AV1932)-1)&gt;=U1932),"정상",
IF(AND(V1932="정상",OFFSET(Y1932,0,COUNTA(Y1932:AV1932)-1)=0),"정상",
"계약서 미작성")))))</f>
        <v>#VALUE!</v>
      </c>
      <c r="X1932" s="81" t="str">
        <f aca="true">
IF(D1932="폐업","폐업",
IF(AND(V1932="정상",OFFSET(Y1932,0,COUNTA(Y1932:AV1932)-1)="미납"),"미납",
IF(AND(V1932="정상",OFFSET(Y1932,0,COUNTA(Y1932:AV1932)-1)=0),"납부 시작 전",
IF(AND(V1932="정상",OFFSET(Y1932,0,COUNTA(Y1932:AV1932)-1)&gt;=U1932),"정상",
IF(AND(V1932="면제",OFFSET(Y1932,0,COUNTA(Y1932:AV1932)-1)="면제"),"면제",
IF(AND(V1932="면제",OFFSET(Y1932,0,COUNTA(Y1932:AV1932)-1)=0),"면제",
"확인요청"))))))</f>
        <v>미납</v>
      </c>
      <c r="Y1932" s="94" t="s">
        <v>62</v>
      </c>
      <c r="Z1932" s="95" t="s">
        <v>62</v>
      </c>
      <c r="AA1932" s="95" t="s">
        <v>62</v>
      </c>
      <c r="AB1932" s="95" t="s">
        <v>62</v>
      </c>
      <c r="AC1932" s="95" t="s">
        <v>62</v>
      </c>
      <c r="AD1932" s="95" t="s">
        <v>62</v>
      </c>
      <c r="AE1932" s="95" t="s">
        <v>62</v>
      </c>
      <c r="AF1932" s="95" t="s">
        <v>62</v>
      </c>
      <c r="AG1932" s="95" t="s">
        <v>62</v>
      </c>
      <c r="AH1932" s="95" t="s">
        <v>62</v>
      </c>
      <c r="AI1932" s="95" t="s">
        <v>62</v>
      </c>
      <c r="AJ1932" s="96" t="s">
        <v>62</v>
      </c>
      <c r="AK1932" s="97" t="s">
        <v>62</v>
      </c>
      <c r="AL1932" s="95" t="s">
        <v>62</v>
      </c>
      <c r="AM1932" s="90"/>
      <c r="AN1932" s="90"/>
      <c r="AO1932" s="90"/>
      <c r="AP1932" s="90"/>
      <c r="AQ1932" s="90"/>
      <c r="AR1932" s="90"/>
      <c r="AS1932" s="90"/>
      <c r="AT1932" s="90"/>
      <c r="AU1932" s="90"/>
      <c r="AV1932" s="91"/>
      <c r="AX1932" s="92"/>
    </row>
    <row r="1933" customFormat="false" ht="15.65" hidden="false" customHeight="false" outlineLevel="0" collapsed="false">
      <c r="C1933" s="72" t="n">
        <f aca="false">COUNTIFS($D$6:D1933,"&lt;&gt;"&amp;"")</f>
        <v>1928</v>
      </c>
      <c r="D1933" s="73" t="s">
        <v>12</v>
      </c>
      <c r="E1933" s="76" t="str">
        <f aca="false">
IF($D1933="정상",INDEX(임대자산!$D$3:$R$3000,MATCH($F1933,임대자산!$I$3:$I$3000,0),MATCH(E$3,임대자산!$D$3:$R$3,0)),
IF($D1933="폐업",INDEX(폐업정보!$D$3:$R$3000,MATCH($F1933,폐업정보!$I$3:$I$3000,0),MATCH(E$3,폐업정보!$D$3:$R$3,0)),
"Error"))</f>
        <v>서울</v>
      </c>
      <c r="F193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B1928</v>
      </c>
      <c r="G1933" s="76" t="str">
        <f aca="false">F1933&amp;RANDBETWEEN(0,10)</f>
        <v>B19282</v>
      </c>
      <c r="H1933" s="75" t="n">
        <f aca="false">
IF($D1933="정상",INDEX(임대자산!$D$3:$R$3000,MATCH($F1933,임대자산!$I$3:$I$3000,0),MATCH(H$4,임대자산!$D$3:$R$3,0)),
IF($D1933="폐업",INDEX(폐업정보!$D$3:$R$3000,MATCH($F1933,폐업정보!$I$3:$I$3000,0),MATCH(H$4,폐업정보!$D$3:$R$3,0)),
"Error"))</f>
        <v>46030</v>
      </c>
      <c r="I1933" s="75" t="str">
        <f aca="false">
IF($D1933="정상",INDEX(임대자산!$D$3:$R$3000,MATCH($F1933,임대자산!$I$3:$I$3000,0),MATCH(I$4,임대자산!$D$3:$R$3,0)),
IF($D1933="폐업",INDEX(폐업정보!$D$3:$R$3000,MATCH($F1933,폐업정보!$I$3:$I$3000,0),MATCH(I$4,폐업정보!$D$3:$R$3,0)),
"Error"))</f>
        <v>A1928</v>
      </c>
      <c r="J1933" s="75" t="str">
        <f aca="false">
IF($D1933="정상",INDEX(임대자산!$D$3:$R$3000,MATCH($F1933,임대자산!$I$3:$I$3000,0),MATCH(J$4,임대자산!$D$3:$R$3,0)),
IF($D1933="폐업",INDEX(폐업정보!$D$3:$R$3000,MATCH($F1933,폐업정보!$I$3:$I$3000,0),MATCH(J$4,폐업정보!$D$3:$R$3,0)),
"Error"))</f>
        <v>1488900000</v>
      </c>
      <c r="K1933" s="75" t="str">
        <f aca="false">
IF($D1933="정상",INDEX(임대자산!$D$3:$R$3000,MATCH($F1933,임대자산!$I$3:$I$3000,0),MATCH(K$4,임대자산!$D$3:$R$3,0)),
IF($D1933="폐업",INDEX(폐업정보!$D$3:$R$3000,MATCH($F1933,폐업정보!$I$3:$I$3000,0),MATCH(K$4,폐업정보!$D$3:$R$3,0)),
"Error"))</f>
        <v>C1928</v>
      </c>
      <c r="L1933" s="75" t="str">
        <f aca="false">
IF($D1933="정상",INDEX(임대자산!$D$3:$R$3000,MATCH($F1933,임대자산!$I$3:$I$3000,0),MATCH(L$4,임대자산!$D$3:$R$3,0)),
IF($D1933="폐업",INDEX(폐업정보!$D$3:$R$3000,MATCH($F1933,폐업정보!$I$3:$I$3000,0),MATCH(L$4,폐업정보!$D$3:$R$3,0)),
"Error"))</f>
        <v>D1928</v>
      </c>
      <c r="M1933" s="76" t="s">
        <v>96</v>
      </c>
      <c r="N1933" s="77"/>
      <c r="O1933" s="78" t="s">
        <v>97</v>
      </c>
      <c r="P1933" s="79" t="n">
        <f aca="false">COUNTIFS(임대자산!$I:$I,가맹점정보!F1933,임대자산!$N:$N,가맹점정보!P$4)</f>
        <v>0</v>
      </c>
      <c r="Q1933" s="80" t="n">
        <f aca="false">COUNTIFS(임대자산!$I:$I,가맹점정보!F1933,임대자산!$N:$N,가맹점정보!Q$4)</f>
        <v>0</v>
      </c>
      <c r="R1933" s="81" t="n">
        <f aca="false">COUNTIFS(임대자산!$I:$I,가맹점정보!F1933,임대자산!$N:$N,가맹점정보!R$4)</f>
        <v>1</v>
      </c>
      <c r="S1933" s="82" t="n">
        <v>88000</v>
      </c>
      <c r="T1933" s="83" t="n">
        <v>0</v>
      </c>
      <c r="U1933" s="80" t="n">
        <f aca="false">SUM(S1933:T1933)</f>
        <v>88000</v>
      </c>
      <c r="V1933" s="84" t="s">
        <v>7</v>
      </c>
      <c r="W1933" s="80" t="str">
        <f aca="true">
IF(D1933="폐업","폐업",
IF(V1933="면제","면제",
IF(AND(V1933="정상",COUNTIFS(OFFSET(Y1933,0,COUNTA(Y1933:AV1933)-1,1,-4),"미납")&gt;=3),"장기미납",
IF(AND(V1933="정상",OFFSET(Y1933,0,COUNTA(Y1933:AV1933)-1)&gt;=U1933),"정상",
IF(AND(V1933="정상",OFFSET(Y1933,0,COUNTA(Y1933:AV1933)-1)=0),"정상",
"계약서 미작성")))))</f>
        <v>면제</v>
      </c>
      <c r="X1933" s="81" t="str">
        <f aca="true">
IF(D1933="폐업","폐업",
IF(AND(V1933="정상",OFFSET(Y1933,0,COUNTA(Y1933:AV1933)-1)="미납"),"미납",
IF(AND(V1933="정상",OFFSET(Y1933,0,COUNTA(Y1933:AV1933)-1)=0),"납부 시작 전",
IF(AND(V1933="정상",OFFSET(Y1933,0,COUNTA(Y1933:AV1933)-1)&gt;=U1933),"정상",
IF(AND(V1933="면제",OFFSET(Y1933,0,COUNTA(Y1933:AV1933)-1)="면제"),"면제",
IF(AND(V1933="면제",OFFSET(Y1933,0,COUNTA(Y1933:AV1933)-1)=0),"면제",
"확인요청"))))))</f>
        <v>면제</v>
      </c>
      <c r="Y1933" s="94" t="s">
        <v>62</v>
      </c>
      <c r="Z1933" s="95" t="s">
        <v>62</v>
      </c>
      <c r="AA1933" s="95" t="s">
        <v>62</v>
      </c>
      <c r="AB1933" s="95" t="s">
        <v>62</v>
      </c>
      <c r="AC1933" s="95" t="s">
        <v>62</v>
      </c>
      <c r="AD1933" s="95" t="s">
        <v>62</v>
      </c>
      <c r="AE1933" s="95" t="s">
        <v>62</v>
      </c>
      <c r="AF1933" s="95" t="s">
        <v>62</v>
      </c>
      <c r="AG1933" s="95" t="s">
        <v>62</v>
      </c>
      <c r="AH1933" s="95" t="s">
        <v>62</v>
      </c>
      <c r="AI1933" s="95" t="s">
        <v>62</v>
      </c>
      <c r="AJ1933" s="96" t="s">
        <v>7</v>
      </c>
      <c r="AK1933" s="97" t="s">
        <v>7</v>
      </c>
      <c r="AL1933" s="95" t="s">
        <v>7</v>
      </c>
      <c r="AM1933" s="90"/>
      <c r="AN1933" s="90"/>
      <c r="AO1933" s="90"/>
      <c r="AP1933" s="90"/>
      <c r="AQ1933" s="90"/>
      <c r="AR1933" s="90"/>
      <c r="AS1933" s="90"/>
      <c r="AT1933" s="90"/>
      <c r="AU1933" s="90"/>
      <c r="AV1933" s="91"/>
      <c r="AX1933" s="92"/>
    </row>
    <row r="1934" customFormat="false" ht="15.65" hidden="false" customHeight="false" outlineLevel="0" collapsed="false">
      <c r="C1934" s="72" t="n">
        <f aca="false">COUNTIFS($D$6:D1934,"&lt;&gt;"&amp;"")</f>
        <v>1929</v>
      </c>
      <c r="D1934" s="73" t="s">
        <v>12</v>
      </c>
      <c r="E1934" s="76" t="str">
        <f aca="false">
IF($D1934="정상",INDEX(임대자산!$D$3:$R$3000,MATCH($F1934,임대자산!$I$3:$I$3000,0),MATCH(E$3,임대자산!$D$3:$R$3,0)),
IF($D1934="폐업",INDEX(폐업정보!$D$3:$R$3000,MATCH($F1934,폐업정보!$I$3:$I$3000,0),MATCH(E$3,폐업정보!$D$3:$R$3,0)),
"Error"))</f>
        <v>서울</v>
      </c>
      <c r="F193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B1929</v>
      </c>
      <c r="G1934" s="76" t="str">
        <f aca="false">F1934&amp;RANDBETWEEN(0,10)</f>
        <v>B19293</v>
      </c>
      <c r="H1934" s="75" t="n">
        <f aca="false">
IF($D1934="정상",INDEX(임대자산!$D$3:$R$3000,MATCH($F1934,임대자산!$I$3:$I$3000,0),MATCH(H$4,임대자산!$D$3:$R$3,0)),
IF($D1934="폐업",INDEX(폐업정보!$D$3:$R$3000,MATCH($F1934,폐업정보!$I$3:$I$3000,0),MATCH(H$4,폐업정보!$D$3:$R$3,0)),
"Error"))</f>
        <v>46024</v>
      </c>
      <c r="I1934" s="75" t="str">
        <f aca="false">
IF($D1934="정상",INDEX(임대자산!$D$3:$R$3000,MATCH($F1934,임대자산!$I$3:$I$3000,0),MATCH(I$4,임대자산!$D$3:$R$3,0)),
IF($D1934="폐업",INDEX(폐업정보!$D$3:$R$3000,MATCH($F1934,폐업정보!$I$3:$I$3000,0),MATCH(I$4,폐업정보!$D$3:$R$3,0)),
"Error"))</f>
        <v>A1929</v>
      </c>
      <c r="J1934" s="75" t="str">
        <f aca="false">
IF($D1934="정상",INDEX(임대자산!$D$3:$R$3000,MATCH($F1934,임대자산!$I$3:$I$3000,0),MATCH(J$4,임대자산!$D$3:$R$3,0)),
IF($D1934="폐업",INDEX(폐업정보!$D$3:$R$3000,MATCH($F1934,폐업정보!$I$3:$I$3000,0),MATCH(J$4,폐업정보!$D$3:$R$3,0)),
"Error"))</f>
        <v>6476500000</v>
      </c>
      <c r="K1934" s="75" t="str">
        <f aca="false">
IF($D1934="정상",INDEX(임대자산!$D$3:$R$3000,MATCH($F1934,임대자산!$I$3:$I$3000,0),MATCH(K$4,임대자산!$D$3:$R$3,0)),
IF($D1934="폐업",INDEX(폐업정보!$D$3:$R$3000,MATCH($F1934,폐업정보!$I$3:$I$3000,0),MATCH(K$4,폐업정보!$D$3:$R$3,0)),
"Error"))</f>
        <v>C1929</v>
      </c>
      <c r="L1934" s="75" t="str">
        <f aca="false">
IF($D1934="정상",INDEX(임대자산!$D$3:$R$3000,MATCH($F1934,임대자산!$I$3:$I$3000,0),MATCH(L$4,임대자산!$D$3:$R$3,0)),
IF($D1934="폐업",INDEX(폐업정보!$D$3:$R$3000,MATCH($F1934,폐업정보!$I$3:$I$3000,0),MATCH(L$4,폐업정보!$D$3:$R$3,0)),
"Error"))</f>
        <v>D1929</v>
      </c>
      <c r="M1934" s="76" t="s">
        <v>96</v>
      </c>
      <c r="N1934" s="77"/>
      <c r="O1934" s="78" t="s">
        <v>97</v>
      </c>
      <c r="P1934" s="79" t="n">
        <f aca="false">COUNTIFS(임대자산!$I:$I,가맹점정보!F1934,임대자산!$N:$N,가맹점정보!P$4)</f>
        <v>0</v>
      </c>
      <c r="Q1934" s="80" t="n">
        <f aca="false">COUNTIFS(임대자산!$I:$I,가맹점정보!F1934,임대자산!$N:$N,가맹점정보!Q$4)</f>
        <v>0</v>
      </c>
      <c r="R1934" s="81" t="n">
        <f aca="false">COUNTIFS(임대자산!$I:$I,가맹점정보!F1934,임대자산!$N:$N,가맹점정보!R$4)</f>
        <v>1</v>
      </c>
      <c r="S1934" s="82" t="n">
        <v>55000</v>
      </c>
      <c r="T1934" s="83" t="n">
        <v>0</v>
      </c>
      <c r="U1934" s="80" t="n">
        <f aca="false">SUM(S1934:T1934)</f>
        <v>55000</v>
      </c>
      <c r="V1934" s="84" t="s">
        <v>12</v>
      </c>
      <c r="W1934" s="80" t="e">
        <f aca="true">
IF(D1934="폐업","폐업",
IF(V1934="면제","면제",
IF(AND(V1934="정상",COUNTIFS(OFFSET(Y1934,0,COUNTA(Y1934:AV1934)-1,1,-4),"미납")&gt;=3),"장기미납",
IF(AND(V1934="정상",OFFSET(Y1934,0,COUNTA(Y1934:AV1934)-1)&gt;=U1934),"정상",
IF(AND(V1934="정상",OFFSET(Y1934,0,COUNTA(Y1934:AV1934)-1)=0),"정상",
"계약서 미작성")))))</f>
        <v>#VALUE!</v>
      </c>
      <c r="X1934" s="81" t="str">
        <f aca="true">
IF(D1934="폐업","폐업",
IF(AND(V1934="정상",OFFSET(Y1934,0,COUNTA(Y1934:AV1934)-1)="미납"),"미납",
IF(AND(V1934="정상",OFFSET(Y1934,0,COUNTA(Y1934:AV1934)-1)=0),"납부 시작 전",
IF(AND(V1934="정상",OFFSET(Y1934,0,COUNTA(Y1934:AV1934)-1)&gt;=U1934),"정상",
IF(AND(V1934="면제",OFFSET(Y1934,0,COUNTA(Y1934:AV1934)-1)="면제"),"면제",
IF(AND(V1934="면제",OFFSET(Y1934,0,COUNTA(Y1934:AV1934)-1)=0),"면제",
"확인요청"))))))</f>
        <v>미납</v>
      </c>
      <c r="Y1934" s="94" t="s">
        <v>62</v>
      </c>
      <c r="Z1934" s="95" t="s">
        <v>62</v>
      </c>
      <c r="AA1934" s="95" t="s">
        <v>62</v>
      </c>
      <c r="AB1934" s="95" t="s">
        <v>62</v>
      </c>
      <c r="AC1934" s="95" t="s">
        <v>62</v>
      </c>
      <c r="AD1934" s="95" t="s">
        <v>62</v>
      </c>
      <c r="AE1934" s="95" t="s">
        <v>62</v>
      </c>
      <c r="AF1934" s="95" t="s">
        <v>62</v>
      </c>
      <c r="AG1934" s="95" t="s">
        <v>62</v>
      </c>
      <c r="AH1934" s="95" t="s">
        <v>62</v>
      </c>
      <c r="AI1934" s="95" t="s">
        <v>62</v>
      </c>
      <c r="AJ1934" s="96" t="s">
        <v>62</v>
      </c>
      <c r="AK1934" s="97" t="s">
        <v>62</v>
      </c>
      <c r="AL1934" s="95" t="s">
        <v>62</v>
      </c>
      <c r="AM1934" s="90"/>
      <c r="AN1934" s="90"/>
      <c r="AO1934" s="90"/>
      <c r="AP1934" s="90"/>
      <c r="AQ1934" s="90"/>
      <c r="AR1934" s="90"/>
      <c r="AS1934" s="90"/>
      <c r="AT1934" s="90"/>
      <c r="AU1934" s="90"/>
      <c r="AV1934" s="91"/>
      <c r="AX1934" s="92"/>
    </row>
    <row r="1935" customFormat="false" ht="15.65" hidden="false" customHeight="false" outlineLevel="0" collapsed="false">
      <c r="C1935" s="72" t="n">
        <f aca="false">COUNTIFS($D$6:D1935,"&lt;&gt;"&amp;"")</f>
        <v>1930</v>
      </c>
      <c r="D1935" s="73" t="s">
        <v>12</v>
      </c>
      <c r="E1935" s="76" t="str">
        <f aca="false">
IF($D1935="정상",INDEX(임대자산!$D$3:$R$3000,MATCH($F1935,임대자산!$I$3:$I$3000,0),MATCH(E$3,임대자산!$D$3:$R$3,0)),
IF($D1935="폐업",INDEX(폐업정보!$D$3:$R$3000,MATCH($F1935,폐업정보!$I$3:$I$3000,0),MATCH(E$3,폐업정보!$D$3:$R$3,0)),
"Error"))</f>
        <v>경기</v>
      </c>
      <c r="F193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B1930</v>
      </c>
      <c r="G1935" s="76" t="str">
        <f aca="false">F1935&amp;RANDBETWEEN(0,10)</f>
        <v>B19309</v>
      </c>
      <c r="H1935" s="75" t="n">
        <f aca="false">
IF($D1935="정상",INDEX(임대자산!$D$3:$R$3000,MATCH($F1935,임대자산!$I$3:$I$3000,0),MATCH(H$4,임대자산!$D$3:$R$3,0)),
IF($D1935="폐업",INDEX(폐업정보!$D$3:$R$3000,MATCH($F1935,폐업정보!$I$3:$I$3000,0),MATCH(H$4,폐업정보!$D$3:$R$3,0)),
"Error"))</f>
        <v>46030</v>
      </c>
      <c r="I1935" s="75" t="str">
        <f aca="false">
IF($D1935="정상",INDEX(임대자산!$D$3:$R$3000,MATCH($F1935,임대자산!$I$3:$I$3000,0),MATCH(I$4,임대자산!$D$3:$R$3,0)),
IF($D1935="폐업",INDEX(폐업정보!$D$3:$R$3000,MATCH($F1935,폐업정보!$I$3:$I$3000,0),MATCH(I$4,폐업정보!$D$3:$R$3,0)),
"Error"))</f>
        <v>A1930</v>
      </c>
      <c r="J1935" s="75" t="str">
        <f aca="false">
IF($D1935="정상",INDEX(임대자산!$D$3:$R$3000,MATCH($F1935,임대자산!$I$3:$I$3000,0),MATCH(J$4,임대자산!$D$3:$R$3,0)),
IF($D1935="폐업",INDEX(폐업정보!$D$3:$R$3000,MATCH($F1935,폐업정보!$I$3:$I$3000,0),MATCH(J$4,폐업정보!$D$3:$R$3,0)),
"Error"))</f>
        <v>8943400000</v>
      </c>
      <c r="K1935" s="75" t="str">
        <f aca="false">
IF($D1935="정상",INDEX(임대자산!$D$3:$R$3000,MATCH($F1935,임대자산!$I$3:$I$3000,0),MATCH(K$4,임대자산!$D$3:$R$3,0)),
IF($D1935="폐업",INDEX(폐업정보!$D$3:$R$3000,MATCH($F1935,폐업정보!$I$3:$I$3000,0),MATCH(K$4,폐업정보!$D$3:$R$3,0)),
"Error"))</f>
        <v>C1930</v>
      </c>
      <c r="L1935" s="75" t="str">
        <f aca="false">
IF($D1935="정상",INDEX(임대자산!$D$3:$R$3000,MATCH($F1935,임대자산!$I$3:$I$3000,0),MATCH(L$4,임대자산!$D$3:$R$3,0)),
IF($D1935="폐업",INDEX(폐업정보!$D$3:$R$3000,MATCH($F1935,폐업정보!$I$3:$I$3000,0),MATCH(L$4,폐업정보!$D$3:$R$3,0)),
"Error"))</f>
        <v>D1930</v>
      </c>
      <c r="M1935" s="76" t="s">
        <v>96</v>
      </c>
      <c r="N1935" s="77"/>
      <c r="O1935" s="78" t="s">
        <v>97</v>
      </c>
      <c r="P1935" s="79" t="n">
        <f aca="false">COUNTIFS(임대자산!$I:$I,가맹점정보!F1935,임대자산!$N:$N,가맹점정보!P$4)</f>
        <v>0</v>
      </c>
      <c r="Q1935" s="80" t="n">
        <f aca="false">COUNTIFS(임대자산!$I:$I,가맹점정보!F1935,임대자산!$N:$N,가맹점정보!Q$4)</f>
        <v>0</v>
      </c>
      <c r="R1935" s="81" t="n">
        <f aca="false">COUNTIFS(임대자산!$I:$I,가맹점정보!F1935,임대자산!$N:$N,가맹점정보!R$4)</f>
        <v>1</v>
      </c>
      <c r="S1935" s="82" t="n">
        <v>55000</v>
      </c>
      <c r="T1935" s="83" t="n">
        <v>0</v>
      </c>
      <c r="U1935" s="80" t="n">
        <f aca="false">SUM(S1935:T1935)</f>
        <v>55000</v>
      </c>
      <c r="V1935" s="84" t="s">
        <v>7</v>
      </c>
      <c r="W1935" s="80" t="str">
        <f aca="true">
IF(D1935="폐업","폐업",
IF(V1935="면제","면제",
IF(AND(V1935="정상",COUNTIFS(OFFSET(Y1935,0,COUNTA(Y1935:AV1935)-1,1,-4),"미납")&gt;=3),"장기미납",
IF(AND(V1935="정상",OFFSET(Y1935,0,COUNTA(Y1935:AV1935)-1)&gt;=U1935),"정상",
IF(AND(V1935="정상",OFFSET(Y1935,0,COUNTA(Y1935:AV1935)-1)=0),"정상",
"계약서 미작성")))))</f>
        <v>면제</v>
      </c>
      <c r="X1935" s="81" t="str">
        <f aca="true">
IF(D1935="폐업","폐업",
IF(AND(V1935="정상",OFFSET(Y1935,0,COUNTA(Y1935:AV1935)-1)="미납"),"미납",
IF(AND(V1935="정상",OFFSET(Y1935,0,COUNTA(Y1935:AV1935)-1)=0),"납부 시작 전",
IF(AND(V1935="정상",OFFSET(Y1935,0,COUNTA(Y1935:AV1935)-1)&gt;=U1935),"정상",
IF(AND(V1935="면제",OFFSET(Y1935,0,COUNTA(Y1935:AV1935)-1)="면제"),"면제",
IF(AND(V1935="면제",OFFSET(Y1935,0,COUNTA(Y1935:AV1935)-1)=0),"면제",
"확인요청"))))))</f>
        <v>면제</v>
      </c>
      <c r="Y1935" s="94" t="s">
        <v>62</v>
      </c>
      <c r="Z1935" s="95" t="s">
        <v>62</v>
      </c>
      <c r="AA1935" s="95" t="s">
        <v>62</v>
      </c>
      <c r="AB1935" s="95" t="s">
        <v>62</v>
      </c>
      <c r="AC1935" s="95" t="s">
        <v>62</v>
      </c>
      <c r="AD1935" s="95" t="s">
        <v>62</v>
      </c>
      <c r="AE1935" s="95" t="s">
        <v>62</v>
      </c>
      <c r="AF1935" s="95" t="s">
        <v>62</v>
      </c>
      <c r="AG1935" s="95" t="s">
        <v>62</v>
      </c>
      <c r="AH1935" s="95" t="s">
        <v>62</v>
      </c>
      <c r="AI1935" s="95" t="s">
        <v>7</v>
      </c>
      <c r="AJ1935" s="96" t="s">
        <v>7</v>
      </c>
      <c r="AK1935" s="97" t="s">
        <v>7</v>
      </c>
      <c r="AL1935" s="95" t="s">
        <v>7</v>
      </c>
      <c r="AM1935" s="90"/>
      <c r="AN1935" s="90"/>
      <c r="AO1935" s="90"/>
      <c r="AP1935" s="90"/>
      <c r="AQ1935" s="90"/>
      <c r="AR1935" s="90"/>
      <c r="AS1935" s="90"/>
      <c r="AT1935" s="90"/>
      <c r="AU1935" s="90"/>
      <c r="AV1935" s="91"/>
      <c r="AX1935" s="92"/>
    </row>
    <row r="1936" customFormat="false" ht="15.65" hidden="false" customHeight="false" outlineLevel="0" collapsed="false">
      <c r="C1936" s="72" t="n">
        <f aca="false">COUNTIFS($D$6:D1936,"&lt;&gt;"&amp;"")</f>
        <v>1931</v>
      </c>
      <c r="D1936" s="73" t="s">
        <v>12</v>
      </c>
      <c r="E1936" s="76" t="str">
        <f aca="false">
IF($D1936="정상",INDEX(임대자산!$D$3:$R$3000,MATCH($F1936,임대자산!$I$3:$I$3000,0),MATCH(E$3,임대자산!$D$3:$R$3,0)),
IF($D1936="폐업",INDEX(폐업정보!$D$3:$R$3000,MATCH($F1936,폐업정보!$I$3:$I$3000,0),MATCH(E$3,폐업정보!$D$3:$R$3,0)),
"Error"))</f>
        <v>경기</v>
      </c>
      <c r="F193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B1931</v>
      </c>
      <c r="G1936" s="76" t="str">
        <f aca="false">F1936&amp;RANDBETWEEN(0,10)</f>
        <v>B19315</v>
      </c>
      <c r="H1936" s="75" t="n">
        <f aca="false">
IF($D1936="정상",INDEX(임대자산!$D$3:$R$3000,MATCH($F1936,임대자산!$I$3:$I$3000,0),MATCH(H$4,임대자산!$D$3:$R$3,0)),
IF($D1936="폐업",INDEX(폐업정보!$D$3:$R$3000,MATCH($F1936,폐업정보!$I$3:$I$3000,0),MATCH(H$4,폐업정보!$D$3:$R$3,0)),
"Error"))</f>
        <v>46034</v>
      </c>
      <c r="I1936" s="75" t="str">
        <f aca="false">
IF($D1936="정상",INDEX(임대자산!$D$3:$R$3000,MATCH($F1936,임대자산!$I$3:$I$3000,0),MATCH(I$4,임대자산!$D$3:$R$3,0)),
IF($D1936="폐업",INDEX(폐업정보!$D$3:$R$3000,MATCH($F1936,폐업정보!$I$3:$I$3000,0),MATCH(I$4,폐업정보!$D$3:$R$3,0)),
"Error"))</f>
        <v>A1931</v>
      </c>
      <c r="J1936" s="75" t="str">
        <f aca="false">
IF($D1936="정상",INDEX(임대자산!$D$3:$R$3000,MATCH($F1936,임대자산!$I$3:$I$3000,0),MATCH(J$4,임대자산!$D$3:$R$3,0)),
IF($D1936="폐업",INDEX(폐업정보!$D$3:$R$3000,MATCH($F1936,폐업정보!$I$3:$I$3000,0),MATCH(J$4,폐업정보!$D$3:$R$3,0)),
"Error"))</f>
        <v>5222700000</v>
      </c>
      <c r="K1936" s="75" t="str">
        <f aca="false">
IF($D1936="정상",INDEX(임대자산!$D$3:$R$3000,MATCH($F1936,임대자산!$I$3:$I$3000,0),MATCH(K$4,임대자산!$D$3:$R$3,0)),
IF($D1936="폐업",INDEX(폐업정보!$D$3:$R$3000,MATCH($F1936,폐업정보!$I$3:$I$3000,0),MATCH(K$4,폐업정보!$D$3:$R$3,0)),
"Error"))</f>
        <v>C1931</v>
      </c>
      <c r="L1936" s="75" t="str">
        <f aca="false">
IF($D1936="정상",INDEX(임대자산!$D$3:$R$3000,MATCH($F1936,임대자산!$I$3:$I$3000,0),MATCH(L$4,임대자산!$D$3:$R$3,0)),
IF($D1936="폐업",INDEX(폐업정보!$D$3:$R$3000,MATCH($F1936,폐업정보!$I$3:$I$3000,0),MATCH(L$4,폐업정보!$D$3:$R$3,0)),
"Error"))</f>
        <v>D1931</v>
      </c>
      <c r="M1936" s="76" t="s">
        <v>96</v>
      </c>
      <c r="N1936" s="77"/>
      <c r="O1936" s="78" t="s">
        <v>97</v>
      </c>
      <c r="P1936" s="79" t="n">
        <f aca="false">COUNTIFS(임대자산!$I:$I,가맹점정보!F1936,임대자산!$N:$N,가맹점정보!P$4)</f>
        <v>0</v>
      </c>
      <c r="Q1936" s="80" t="n">
        <f aca="false">COUNTIFS(임대자산!$I:$I,가맹점정보!F1936,임대자산!$N:$N,가맹점정보!Q$4)</f>
        <v>0</v>
      </c>
      <c r="R1936" s="81" t="n">
        <f aca="false">COUNTIFS(임대자산!$I:$I,가맹점정보!F1936,임대자산!$N:$N,가맹점정보!R$4)</f>
        <v>1</v>
      </c>
      <c r="S1936" s="82" t="n">
        <v>55000</v>
      </c>
      <c r="T1936" s="83" t="n">
        <v>0</v>
      </c>
      <c r="U1936" s="80" t="n">
        <f aca="false">SUM(S1936:T1936)</f>
        <v>55000</v>
      </c>
      <c r="V1936" s="84" t="s">
        <v>7</v>
      </c>
      <c r="W1936" s="80" t="str">
        <f aca="true">
IF(D1936="폐업","폐업",
IF(V1936="면제","면제",
IF(AND(V1936="정상",COUNTIFS(OFFSET(Y1936,0,COUNTA(Y1936:AV1936)-1,1,-4),"미납")&gt;=3),"장기미납",
IF(AND(V1936="정상",OFFSET(Y1936,0,COUNTA(Y1936:AV1936)-1)&gt;=U1936),"정상",
IF(AND(V1936="정상",OFFSET(Y1936,0,COUNTA(Y1936:AV1936)-1)=0),"정상",
"계약서 미작성")))))</f>
        <v>면제</v>
      </c>
      <c r="X1936" s="81" t="str">
        <f aca="true">
IF(D1936="폐업","폐업",
IF(AND(V1936="정상",OFFSET(Y1936,0,COUNTA(Y1936:AV1936)-1)="미납"),"미납",
IF(AND(V1936="정상",OFFSET(Y1936,0,COUNTA(Y1936:AV1936)-1)=0),"납부 시작 전",
IF(AND(V1936="정상",OFFSET(Y1936,0,COUNTA(Y1936:AV1936)-1)&gt;=U1936),"정상",
IF(AND(V1936="면제",OFFSET(Y1936,0,COUNTA(Y1936:AV1936)-1)="면제"),"면제",
IF(AND(V1936="면제",OFFSET(Y1936,0,COUNTA(Y1936:AV1936)-1)=0),"면제",
"확인요청"))))))</f>
        <v>면제</v>
      </c>
      <c r="Y1936" s="94" t="s">
        <v>62</v>
      </c>
      <c r="Z1936" s="95" t="s">
        <v>62</v>
      </c>
      <c r="AA1936" s="95" t="s">
        <v>62</v>
      </c>
      <c r="AB1936" s="95" t="s">
        <v>62</v>
      </c>
      <c r="AC1936" s="95" t="s">
        <v>62</v>
      </c>
      <c r="AD1936" s="95" t="s">
        <v>62</v>
      </c>
      <c r="AE1936" s="95" t="s">
        <v>62</v>
      </c>
      <c r="AF1936" s="95" t="s">
        <v>62</v>
      </c>
      <c r="AG1936" s="95" t="s">
        <v>62</v>
      </c>
      <c r="AH1936" s="95" t="s">
        <v>62</v>
      </c>
      <c r="AI1936" s="95" t="s">
        <v>62</v>
      </c>
      <c r="AJ1936" s="96" t="s">
        <v>7</v>
      </c>
      <c r="AK1936" s="97" t="s">
        <v>7</v>
      </c>
      <c r="AL1936" s="95" t="s">
        <v>7</v>
      </c>
      <c r="AM1936" s="90"/>
      <c r="AN1936" s="90"/>
      <c r="AO1936" s="90"/>
      <c r="AP1936" s="90"/>
      <c r="AQ1936" s="90"/>
      <c r="AR1936" s="90"/>
      <c r="AS1936" s="90"/>
      <c r="AT1936" s="90"/>
      <c r="AU1936" s="90"/>
      <c r="AV1936" s="91"/>
      <c r="AX1936" s="92"/>
    </row>
    <row r="1937" customFormat="false" ht="15.65" hidden="false" customHeight="false" outlineLevel="0" collapsed="false">
      <c r="C1937" s="72" t="n">
        <f aca="false">COUNTIFS($D$6:D1937,"&lt;&gt;"&amp;"")</f>
        <v>1932</v>
      </c>
      <c r="D1937" s="73" t="s">
        <v>12</v>
      </c>
      <c r="E1937" s="76" t="str">
        <f aca="false">
IF($D1937="정상",INDEX(임대자산!$D$3:$R$3000,MATCH($F1937,임대자산!$I$3:$I$3000,0),MATCH(E$3,임대자산!$D$3:$R$3,0)),
IF($D1937="폐업",INDEX(폐업정보!$D$3:$R$3000,MATCH($F1937,폐업정보!$I$3:$I$3000,0),MATCH(E$3,폐업정보!$D$3:$R$3,0)),
"Error"))</f>
        <v>경상</v>
      </c>
      <c r="F193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B1932</v>
      </c>
      <c r="G1937" s="76" t="str">
        <f aca="false">F1937&amp;RANDBETWEEN(0,10)</f>
        <v>B193210</v>
      </c>
      <c r="H1937" s="75" t="n">
        <f aca="false">
IF($D1937="정상",INDEX(임대자산!$D$3:$R$3000,MATCH($F1937,임대자산!$I$3:$I$3000,0),MATCH(H$4,임대자산!$D$3:$R$3,0)),
IF($D1937="폐업",INDEX(폐업정보!$D$3:$R$3000,MATCH($F1937,폐업정보!$I$3:$I$3000,0),MATCH(H$4,폐업정보!$D$3:$R$3,0)),
"Error"))</f>
        <v>46034</v>
      </c>
      <c r="I1937" s="75" t="str">
        <f aca="false">
IF($D1937="정상",INDEX(임대자산!$D$3:$R$3000,MATCH($F1937,임대자산!$I$3:$I$3000,0),MATCH(I$4,임대자산!$D$3:$R$3,0)),
IF($D1937="폐업",INDEX(폐업정보!$D$3:$R$3000,MATCH($F1937,폐업정보!$I$3:$I$3000,0),MATCH(I$4,폐업정보!$D$3:$R$3,0)),
"Error"))</f>
        <v>A1932</v>
      </c>
      <c r="J1937" s="75" t="str">
        <f aca="false">
IF($D1937="정상",INDEX(임대자산!$D$3:$R$3000,MATCH($F1937,임대자산!$I$3:$I$3000,0),MATCH(J$4,임대자산!$D$3:$R$3,0)),
IF($D1937="폐업",INDEX(폐업정보!$D$3:$R$3000,MATCH($F1937,폐업정보!$I$3:$I$3000,0),MATCH(J$4,폐업정보!$D$3:$R$3,0)),
"Error"))</f>
        <v>2220800000</v>
      </c>
      <c r="K1937" s="75" t="str">
        <f aca="false">
IF($D1937="정상",INDEX(임대자산!$D$3:$R$3000,MATCH($F1937,임대자산!$I$3:$I$3000,0),MATCH(K$4,임대자산!$D$3:$R$3,0)),
IF($D1937="폐업",INDEX(폐업정보!$D$3:$R$3000,MATCH($F1937,폐업정보!$I$3:$I$3000,0),MATCH(K$4,폐업정보!$D$3:$R$3,0)),
"Error"))</f>
        <v>C1932</v>
      </c>
      <c r="L1937" s="75" t="str">
        <f aca="false">
IF($D1937="정상",INDEX(임대자산!$D$3:$R$3000,MATCH($F1937,임대자산!$I$3:$I$3000,0),MATCH(L$4,임대자산!$D$3:$R$3,0)),
IF($D1937="폐업",INDEX(폐업정보!$D$3:$R$3000,MATCH($F1937,폐업정보!$I$3:$I$3000,0),MATCH(L$4,폐업정보!$D$3:$R$3,0)),
"Error"))</f>
        <v>D1932</v>
      </c>
      <c r="M1937" s="76" t="s">
        <v>96</v>
      </c>
      <c r="N1937" s="77"/>
      <c r="O1937" s="78" t="s">
        <v>97</v>
      </c>
      <c r="P1937" s="79" t="n">
        <f aca="false">COUNTIFS(임대자산!$I:$I,가맹점정보!F1937,임대자산!$N:$N,가맹점정보!P$4)</f>
        <v>0</v>
      </c>
      <c r="Q1937" s="80" t="n">
        <f aca="false">COUNTIFS(임대자산!$I:$I,가맹점정보!F1937,임대자산!$N:$N,가맹점정보!Q$4)</f>
        <v>0</v>
      </c>
      <c r="R1937" s="81" t="n">
        <f aca="false">COUNTIFS(임대자산!$I:$I,가맹점정보!F1937,임대자산!$N:$N,가맹점정보!R$4)</f>
        <v>1</v>
      </c>
      <c r="S1937" s="82" t="n">
        <v>55000</v>
      </c>
      <c r="T1937" s="83" t="n">
        <v>0</v>
      </c>
      <c r="U1937" s="80" t="n">
        <f aca="false">SUM(S1937:T1937)</f>
        <v>55000</v>
      </c>
      <c r="V1937" s="84" t="s">
        <v>7</v>
      </c>
      <c r="W1937" s="80" t="str">
        <f aca="true">
IF(D1937="폐업","폐업",
IF(V1937="면제","면제",
IF(AND(V1937="정상",COUNTIFS(OFFSET(Y1937,0,COUNTA(Y1937:AV1937)-1,1,-4),"미납")&gt;=3),"장기미납",
IF(AND(V1937="정상",OFFSET(Y1937,0,COUNTA(Y1937:AV1937)-1)&gt;=U1937),"정상",
IF(AND(V1937="정상",OFFSET(Y1937,0,COUNTA(Y1937:AV1937)-1)=0),"정상",
"계약서 미작성")))))</f>
        <v>면제</v>
      </c>
      <c r="X1937" s="81" t="str">
        <f aca="true">
IF(D1937="폐업","폐업",
IF(AND(V1937="정상",OFFSET(Y1937,0,COUNTA(Y1937:AV1937)-1)="미납"),"미납",
IF(AND(V1937="정상",OFFSET(Y1937,0,COUNTA(Y1937:AV1937)-1)=0),"납부 시작 전",
IF(AND(V1937="정상",OFFSET(Y1937,0,COUNTA(Y1937:AV1937)-1)&gt;=U1937),"정상",
IF(AND(V1937="면제",OFFSET(Y1937,0,COUNTA(Y1937:AV1937)-1)="면제"),"면제",
IF(AND(V1937="면제",OFFSET(Y1937,0,COUNTA(Y1937:AV1937)-1)=0),"면제",
"확인요청"))))))</f>
        <v>면제</v>
      </c>
      <c r="Y1937" s="94" t="s">
        <v>62</v>
      </c>
      <c r="Z1937" s="95" t="s">
        <v>62</v>
      </c>
      <c r="AA1937" s="95" t="s">
        <v>62</v>
      </c>
      <c r="AB1937" s="95" t="s">
        <v>62</v>
      </c>
      <c r="AC1937" s="95" t="s">
        <v>62</v>
      </c>
      <c r="AD1937" s="95" t="s">
        <v>62</v>
      </c>
      <c r="AE1937" s="95" t="s">
        <v>62</v>
      </c>
      <c r="AF1937" s="95" t="s">
        <v>62</v>
      </c>
      <c r="AG1937" s="95" t="s">
        <v>62</v>
      </c>
      <c r="AH1937" s="95" t="s">
        <v>62</v>
      </c>
      <c r="AI1937" s="95" t="s">
        <v>62</v>
      </c>
      <c r="AJ1937" s="96" t="s">
        <v>7</v>
      </c>
      <c r="AK1937" s="97" t="s">
        <v>7</v>
      </c>
      <c r="AL1937" s="95" t="s">
        <v>7</v>
      </c>
      <c r="AM1937" s="90"/>
      <c r="AN1937" s="90"/>
      <c r="AO1937" s="90"/>
      <c r="AP1937" s="90"/>
      <c r="AQ1937" s="90"/>
      <c r="AR1937" s="90"/>
      <c r="AS1937" s="90"/>
      <c r="AT1937" s="90"/>
      <c r="AU1937" s="90"/>
      <c r="AV1937" s="91"/>
      <c r="AX1937" s="92"/>
    </row>
    <row r="1938" customFormat="false" ht="15.65" hidden="false" customHeight="false" outlineLevel="0" collapsed="false">
      <c r="C1938" s="72" t="n">
        <f aca="false">COUNTIFS($D$6:D1938,"&lt;&gt;"&amp;"")</f>
        <v>1933</v>
      </c>
      <c r="D1938" s="73" t="s">
        <v>12</v>
      </c>
      <c r="E1938" s="76" t="str">
        <f aca="false">
IF($D1938="정상",INDEX(임대자산!$D$3:$R$3000,MATCH($F1938,임대자산!$I$3:$I$3000,0),MATCH(E$3,임대자산!$D$3:$R$3,0)),
IF($D1938="폐업",INDEX(폐업정보!$D$3:$R$3000,MATCH($F1938,폐업정보!$I$3:$I$3000,0),MATCH(E$3,폐업정보!$D$3:$R$3,0)),
"Error"))</f>
        <v>경상</v>
      </c>
      <c r="F193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B1933</v>
      </c>
      <c r="G1938" s="76" t="str">
        <f aca="false">F1938&amp;RANDBETWEEN(0,10)</f>
        <v>B19332</v>
      </c>
      <c r="H1938" s="75" t="n">
        <f aca="false">
IF($D1938="정상",INDEX(임대자산!$D$3:$R$3000,MATCH($F1938,임대자산!$I$3:$I$3000,0),MATCH(H$4,임대자산!$D$3:$R$3,0)),
IF($D1938="폐업",INDEX(폐업정보!$D$3:$R$3000,MATCH($F1938,폐업정보!$I$3:$I$3000,0),MATCH(H$4,폐업정보!$D$3:$R$3,0)),
"Error"))</f>
        <v>46034</v>
      </c>
      <c r="I1938" s="75" t="str">
        <f aca="false">
IF($D1938="정상",INDEX(임대자산!$D$3:$R$3000,MATCH($F1938,임대자산!$I$3:$I$3000,0),MATCH(I$4,임대자산!$D$3:$R$3,0)),
IF($D1938="폐업",INDEX(폐업정보!$D$3:$R$3000,MATCH($F1938,폐업정보!$I$3:$I$3000,0),MATCH(I$4,폐업정보!$D$3:$R$3,0)),
"Error"))</f>
        <v>A1933</v>
      </c>
      <c r="J1938" s="75" t="str">
        <f aca="false">
IF($D1938="정상",INDEX(임대자산!$D$3:$R$3000,MATCH($F1938,임대자산!$I$3:$I$3000,0),MATCH(J$4,임대자산!$D$3:$R$3,0)),
IF($D1938="폐업",INDEX(폐업정보!$D$3:$R$3000,MATCH($F1938,폐업정보!$I$3:$I$3000,0),MATCH(J$4,폐업정보!$D$3:$R$3,0)),
"Error"))</f>
        <v>4560800000</v>
      </c>
      <c r="K1938" s="75" t="str">
        <f aca="false">
IF($D1938="정상",INDEX(임대자산!$D$3:$R$3000,MATCH($F1938,임대자산!$I$3:$I$3000,0),MATCH(K$4,임대자산!$D$3:$R$3,0)),
IF($D1938="폐업",INDEX(폐업정보!$D$3:$R$3000,MATCH($F1938,폐업정보!$I$3:$I$3000,0),MATCH(K$4,폐업정보!$D$3:$R$3,0)),
"Error"))</f>
        <v>C1933</v>
      </c>
      <c r="L1938" s="75" t="str">
        <f aca="false">
IF($D1938="정상",INDEX(임대자산!$D$3:$R$3000,MATCH($F1938,임대자산!$I$3:$I$3000,0),MATCH(L$4,임대자산!$D$3:$R$3,0)),
IF($D1938="폐업",INDEX(폐업정보!$D$3:$R$3000,MATCH($F1938,폐업정보!$I$3:$I$3000,0),MATCH(L$4,폐업정보!$D$3:$R$3,0)),
"Error"))</f>
        <v>D1933</v>
      </c>
      <c r="M1938" s="76" t="s">
        <v>96</v>
      </c>
      <c r="N1938" s="77"/>
      <c r="O1938" s="78" t="s">
        <v>97</v>
      </c>
      <c r="P1938" s="79" t="n">
        <f aca="false">COUNTIFS(임대자산!$I:$I,가맹점정보!F1938,임대자산!$N:$N,가맹점정보!P$4)</f>
        <v>0</v>
      </c>
      <c r="Q1938" s="80" t="n">
        <f aca="false">COUNTIFS(임대자산!$I:$I,가맹점정보!F1938,임대자산!$N:$N,가맹점정보!Q$4)</f>
        <v>0</v>
      </c>
      <c r="R1938" s="81" t="n">
        <f aca="false">COUNTIFS(임대자산!$I:$I,가맹점정보!F1938,임대자산!$N:$N,가맹점정보!R$4)</f>
        <v>1</v>
      </c>
      <c r="S1938" s="82" t="n">
        <v>44000</v>
      </c>
      <c r="T1938" s="83" t="n">
        <v>44000</v>
      </c>
      <c r="U1938" s="80" t="n">
        <f aca="false">SUM(S1938:T1938)</f>
        <v>88000</v>
      </c>
      <c r="V1938" s="84" t="s">
        <v>12</v>
      </c>
      <c r="W1938" s="80" t="e">
        <f aca="true">
IF(D1938="폐업","폐업",
IF(V1938="면제","면제",
IF(AND(V1938="정상",COUNTIFS(OFFSET(Y1938,0,COUNTA(Y1938:AV1938)-1,1,-4),"미납")&gt;=3),"장기미납",
IF(AND(V1938="정상",OFFSET(Y1938,0,COUNTA(Y1938:AV1938)-1)&gt;=U1938),"정상",
IF(AND(V1938="정상",OFFSET(Y1938,0,COUNTA(Y1938:AV1938)-1)=0),"정상",
"계약서 미작성")))))</f>
        <v>#VALUE!</v>
      </c>
      <c r="X1938" s="81" t="str">
        <f aca="true">
IF(D1938="폐업","폐업",
IF(AND(V1938="정상",OFFSET(Y1938,0,COUNTA(Y1938:AV1938)-1)="미납"),"미납",
IF(AND(V1938="정상",OFFSET(Y1938,0,COUNTA(Y1938:AV1938)-1)=0),"납부 시작 전",
IF(AND(V1938="정상",OFFSET(Y1938,0,COUNTA(Y1938:AV1938)-1)&gt;=U1938),"정상",
IF(AND(V1938="면제",OFFSET(Y1938,0,COUNTA(Y1938:AV1938)-1)="면제"),"면제",
IF(AND(V1938="면제",OFFSET(Y1938,0,COUNTA(Y1938:AV1938)-1)=0),"면제",
"확인요청"))))))</f>
        <v>정상</v>
      </c>
      <c r="Y1938" s="94" t="s">
        <v>62</v>
      </c>
      <c r="Z1938" s="95" t="s">
        <v>62</v>
      </c>
      <c r="AA1938" s="95" t="s">
        <v>62</v>
      </c>
      <c r="AB1938" s="95" t="s">
        <v>62</v>
      </c>
      <c r="AC1938" s="95" t="s">
        <v>62</v>
      </c>
      <c r="AD1938" s="95" t="s">
        <v>62</v>
      </c>
      <c r="AE1938" s="90" t="n">
        <v>88000</v>
      </c>
      <c r="AF1938" s="90" t="n">
        <v>88000</v>
      </c>
      <c r="AG1938" s="90" t="n">
        <v>88000</v>
      </c>
      <c r="AH1938" s="90" t="n">
        <v>88000</v>
      </c>
      <c r="AI1938" s="90" t="n">
        <v>88000</v>
      </c>
      <c r="AJ1938" s="91" t="n">
        <v>88000</v>
      </c>
      <c r="AK1938" s="89" t="n">
        <v>88000</v>
      </c>
      <c r="AL1938" s="90" t="n">
        <v>88000</v>
      </c>
      <c r="AM1938" s="90"/>
      <c r="AN1938" s="90"/>
      <c r="AO1938" s="90"/>
      <c r="AP1938" s="90"/>
      <c r="AQ1938" s="90"/>
      <c r="AR1938" s="90"/>
      <c r="AS1938" s="90"/>
      <c r="AT1938" s="90"/>
      <c r="AU1938" s="90"/>
      <c r="AV1938" s="91"/>
      <c r="AX1938" s="92"/>
    </row>
    <row r="1939" customFormat="false" ht="15.65" hidden="false" customHeight="false" outlineLevel="0" collapsed="false">
      <c r="C1939" s="72" t="n">
        <f aca="false">COUNTIFS($D$6:D1939,"&lt;&gt;"&amp;"")</f>
        <v>1934</v>
      </c>
      <c r="D1939" s="73" t="s">
        <v>12</v>
      </c>
      <c r="E1939" s="76" t="str">
        <f aca="false">
IF($D1939="정상",INDEX(임대자산!$D$3:$R$3000,MATCH($F1939,임대자산!$I$3:$I$3000,0),MATCH(E$3,임대자산!$D$3:$R$3,0)),
IF($D1939="폐업",INDEX(폐업정보!$D$3:$R$3000,MATCH($F1939,폐업정보!$I$3:$I$3000,0),MATCH(E$3,폐업정보!$D$3:$R$3,0)),
"Error"))</f>
        <v>전라</v>
      </c>
      <c r="F193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B1934</v>
      </c>
      <c r="G1939" s="76" t="str">
        <f aca="false">F1939&amp;RANDBETWEEN(0,10)</f>
        <v>B19346</v>
      </c>
      <c r="H1939" s="75" t="n">
        <f aca="false">
IF($D1939="정상",INDEX(임대자산!$D$3:$R$3000,MATCH($F1939,임대자산!$I$3:$I$3000,0),MATCH(H$4,임대자산!$D$3:$R$3,0)),
IF($D1939="폐업",INDEX(폐업정보!$D$3:$R$3000,MATCH($F1939,폐업정보!$I$3:$I$3000,0),MATCH(H$4,폐업정보!$D$3:$R$3,0)),
"Error"))</f>
        <v>46037</v>
      </c>
      <c r="I1939" s="75" t="str">
        <f aca="false">
IF($D1939="정상",INDEX(임대자산!$D$3:$R$3000,MATCH($F1939,임대자산!$I$3:$I$3000,0),MATCH(I$4,임대자산!$D$3:$R$3,0)),
IF($D1939="폐업",INDEX(폐업정보!$D$3:$R$3000,MATCH($F1939,폐업정보!$I$3:$I$3000,0),MATCH(I$4,폐업정보!$D$3:$R$3,0)),
"Error"))</f>
        <v>A1934</v>
      </c>
      <c r="J1939" s="75" t="str">
        <f aca="false">
IF($D1939="정상",INDEX(임대자산!$D$3:$R$3000,MATCH($F1939,임대자산!$I$3:$I$3000,0),MATCH(J$4,임대자산!$D$3:$R$3,0)),
IF($D1939="폐업",INDEX(폐업정보!$D$3:$R$3000,MATCH($F1939,폐업정보!$I$3:$I$3000,0),MATCH(J$4,폐업정보!$D$3:$R$3,0)),
"Error"))</f>
        <v>6146700000</v>
      </c>
      <c r="K1939" s="75" t="str">
        <f aca="false">
IF($D1939="정상",INDEX(임대자산!$D$3:$R$3000,MATCH($F1939,임대자산!$I$3:$I$3000,0),MATCH(K$4,임대자산!$D$3:$R$3,0)),
IF($D1939="폐업",INDEX(폐업정보!$D$3:$R$3000,MATCH($F1939,폐업정보!$I$3:$I$3000,0),MATCH(K$4,폐업정보!$D$3:$R$3,0)),
"Error"))</f>
        <v>C1934</v>
      </c>
      <c r="L1939" s="75" t="str">
        <f aca="false">
IF($D1939="정상",INDEX(임대자산!$D$3:$R$3000,MATCH($F1939,임대자산!$I$3:$I$3000,0),MATCH(L$4,임대자산!$D$3:$R$3,0)),
IF($D1939="폐업",INDEX(폐업정보!$D$3:$R$3000,MATCH($F1939,폐업정보!$I$3:$I$3000,0),MATCH(L$4,폐업정보!$D$3:$R$3,0)),
"Error"))</f>
        <v>D1934</v>
      </c>
      <c r="M1939" s="76" t="s">
        <v>96</v>
      </c>
      <c r="N1939" s="77"/>
      <c r="O1939" s="78" t="s">
        <v>97</v>
      </c>
      <c r="P1939" s="79" t="n">
        <f aca="false">COUNTIFS(임대자산!$I:$I,가맹점정보!F1939,임대자산!$N:$N,가맹점정보!P$4)</f>
        <v>0</v>
      </c>
      <c r="Q1939" s="80" t="n">
        <f aca="false">COUNTIFS(임대자산!$I:$I,가맹점정보!F1939,임대자산!$N:$N,가맹점정보!Q$4)</f>
        <v>0</v>
      </c>
      <c r="R1939" s="81" t="n">
        <f aca="false">COUNTIFS(임대자산!$I:$I,가맹점정보!F1939,임대자산!$N:$N,가맹점정보!R$4)</f>
        <v>1</v>
      </c>
      <c r="S1939" s="82" t="n">
        <v>55000</v>
      </c>
      <c r="T1939" s="83" t="n">
        <v>0</v>
      </c>
      <c r="U1939" s="80" t="n">
        <f aca="false">SUM(S1939:T1939)</f>
        <v>55000</v>
      </c>
      <c r="V1939" s="84" t="s">
        <v>12</v>
      </c>
      <c r="W1939" s="80" t="e">
        <f aca="true">
IF(D1939="폐업","폐업",
IF(V1939="면제","면제",
IF(AND(V1939="정상",COUNTIFS(OFFSET(Y1939,0,COUNTA(Y1939:AV1939)-1,1,-4),"미납")&gt;=3),"장기미납",
IF(AND(V1939="정상",OFFSET(Y1939,0,COUNTA(Y1939:AV1939)-1)&gt;=U1939),"정상",
IF(AND(V1939="정상",OFFSET(Y1939,0,COUNTA(Y1939:AV1939)-1)=0),"정상",
"계약서 미작성")))))</f>
        <v>#VALUE!</v>
      </c>
      <c r="X1939" s="81" t="str">
        <f aca="true">
IF(D1939="폐업","폐업",
IF(AND(V1939="정상",OFFSET(Y1939,0,COUNTA(Y1939:AV1939)-1)="미납"),"미납",
IF(AND(V1939="정상",OFFSET(Y1939,0,COUNTA(Y1939:AV1939)-1)=0),"납부 시작 전",
IF(AND(V1939="정상",OFFSET(Y1939,0,COUNTA(Y1939:AV1939)-1)&gt;=U1939),"정상",
IF(AND(V1939="면제",OFFSET(Y1939,0,COUNTA(Y1939:AV1939)-1)="면제"),"면제",
IF(AND(V1939="면제",OFFSET(Y1939,0,COUNTA(Y1939:AV1939)-1)=0),"면제",
"확인요청"))))))</f>
        <v>미납</v>
      </c>
      <c r="Y1939" s="94" t="s">
        <v>62</v>
      </c>
      <c r="Z1939" s="95" t="s">
        <v>62</v>
      </c>
      <c r="AA1939" s="95" t="s">
        <v>62</v>
      </c>
      <c r="AB1939" s="95" t="s">
        <v>62</v>
      </c>
      <c r="AC1939" s="90" t="n">
        <v>55000</v>
      </c>
      <c r="AD1939" s="90" t="n">
        <v>55000</v>
      </c>
      <c r="AE1939" s="95" t="s">
        <v>62</v>
      </c>
      <c r="AF1939" s="90" t="n">
        <v>55000</v>
      </c>
      <c r="AG1939" s="95" t="s">
        <v>62</v>
      </c>
      <c r="AH1939" s="95" t="s">
        <v>62</v>
      </c>
      <c r="AI1939" s="90" t="n">
        <v>55000</v>
      </c>
      <c r="AJ1939" s="91" t="n">
        <v>55000</v>
      </c>
      <c r="AK1939" s="89" t="n">
        <v>55000</v>
      </c>
      <c r="AL1939" s="95" t="s">
        <v>62</v>
      </c>
      <c r="AM1939" s="90"/>
      <c r="AN1939" s="90"/>
      <c r="AO1939" s="90"/>
      <c r="AP1939" s="90"/>
      <c r="AQ1939" s="90"/>
      <c r="AR1939" s="90"/>
      <c r="AS1939" s="90"/>
      <c r="AT1939" s="90"/>
      <c r="AU1939" s="90"/>
      <c r="AV1939" s="91"/>
      <c r="AX1939" s="92"/>
    </row>
    <row r="1940" customFormat="false" ht="15.65" hidden="false" customHeight="false" outlineLevel="0" collapsed="false">
      <c r="C1940" s="72" t="n">
        <f aca="false">COUNTIFS($D$6:D1940,"&lt;&gt;"&amp;"")</f>
        <v>1935</v>
      </c>
      <c r="D1940" s="73" t="s">
        <v>12</v>
      </c>
      <c r="E1940" s="76" t="str">
        <f aca="false">
IF($D1940="정상",INDEX(임대자산!$D$3:$R$3000,MATCH($F1940,임대자산!$I$3:$I$3000,0),MATCH(E$3,임대자산!$D$3:$R$3,0)),
IF($D1940="폐업",INDEX(폐업정보!$D$3:$R$3000,MATCH($F1940,폐업정보!$I$3:$I$3000,0),MATCH(E$3,폐업정보!$D$3:$R$3,0)),
"Error"))</f>
        <v>경상</v>
      </c>
      <c r="F194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B1935</v>
      </c>
      <c r="G1940" s="76" t="str">
        <f aca="false">F1940&amp;RANDBETWEEN(0,10)</f>
        <v>B19359</v>
      </c>
      <c r="H1940" s="75" t="n">
        <f aca="false">
IF($D1940="정상",INDEX(임대자산!$D$3:$R$3000,MATCH($F1940,임대자산!$I$3:$I$3000,0),MATCH(H$4,임대자산!$D$3:$R$3,0)),
IF($D1940="폐업",INDEX(폐업정보!$D$3:$R$3000,MATCH($F1940,폐업정보!$I$3:$I$3000,0),MATCH(H$4,폐업정보!$D$3:$R$3,0)),
"Error"))</f>
        <v>46049</v>
      </c>
      <c r="I1940" s="75" t="str">
        <f aca="false">
IF($D1940="정상",INDEX(임대자산!$D$3:$R$3000,MATCH($F1940,임대자산!$I$3:$I$3000,0),MATCH(I$4,임대자산!$D$3:$R$3,0)),
IF($D1940="폐업",INDEX(폐업정보!$D$3:$R$3000,MATCH($F1940,폐업정보!$I$3:$I$3000,0),MATCH(I$4,폐업정보!$D$3:$R$3,0)),
"Error"))</f>
        <v>A1935</v>
      </c>
      <c r="J1940" s="75" t="str">
        <f aca="false">
IF($D1940="정상",INDEX(임대자산!$D$3:$R$3000,MATCH($F1940,임대자산!$I$3:$I$3000,0),MATCH(J$4,임대자산!$D$3:$R$3,0)),
IF($D1940="폐업",INDEX(폐업정보!$D$3:$R$3000,MATCH($F1940,폐업정보!$I$3:$I$3000,0),MATCH(J$4,폐업정보!$D$3:$R$3,0)),
"Error"))</f>
        <v>1022000000</v>
      </c>
      <c r="K1940" s="75" t="str">
        <f aca="false">
IF($D1940="정상",INDEX(임대자산!$D$3:$R$3000,MATCH($F1940,임대자산!$I$3:$I$3000,0),MATCH(K$4,임대자산!$D$3:$R$3,0)),
IF($D1940="폐업",INDEX(폐업정보!$D$3:$R$3000,MATCH($F1940,폐업정보!$I$3:$I$3000,0),MATCH(K$4,폐업정보!$D$3:$R$3,0)),
"Error"))</f>
        <v>C1935</v>
      </c>
      <c r="L1940" s="75" t="str">
        <f aca="false">
IF($D1940="정상",INDEX(임대자산!$D$3:$R$3000,MATCH($F1940,임대자산!$I$3:$I$3000,0),MATCH(L$4,임대자산!$D$3:$R$3,0)),
IF($D1940="폐업",INDEX(폐업정보!$D$3:$R$3000,MATCH($F1940,폐업정보!$I$3:$I$3000,0),MATCH(L$4,폐업정보!$D$3:$R$3,0)),
"Error"))</f>
        <v>D1935</v>
      </c>
      <c r="M1940" s="76" t="s">
        <v>96</v>
      </c>
      <c r="N1940" s="77"/>
      <c r="O1940" s="78" t="s">
        <v>97</v>
      </c>
      <c r="P1940" s="79" t="n">
        <f aca="false">COUNTIFS(임대자산!$I:$I,가맹점정보!F1940,임대자산!$N:$N,가맹점정보!P$4)</f>
        <v>0</v>
      </c>
      <c r="Q1940" s="80" t="n">
        <f aca="false">COUNTIFS(임대자산!$I:$I,가맹점정보!F1940,임대자산!$N:$N,가맹점정보!Q$4)</f>
        <v>0</v>
      </c>
      <c r="R1940" s="81" t="n">
        <f aca="false">COUNTIFS(임대자산!$I:$I,가맹점정보!F1940,임대자산!$N:$N,가맹점정보!R$4)</f>
        <v>1</v>
      </c>
      <c r="S1940" s="82" t="n">
        <v>55000</v>
      </c>
      <c r="T1940" s="83" t="n">
        <v>0</v>
      </c>
      <c r="U1940" s="80" t="n">
        <f aca="false">SUM(S1940:T1940)</f>
        <v>55000</v>
      </c>
      <c r="V1940" s="84" t="s">
        <v>7</v>
      </c>
      <c r="W1940" s="80" t="str">
        <f aca="true">
IF(D1940="폐업","폐업",
IF(V1940="면제","면제",
IF(AND(V1940="정상",COUNTIFS(OFFSET(Y1940,0,COUNTA(Y1940:AV1940)-1,1,-4),"미납")&gt;=3),"장기미납",
IF(AND(V1940="정상",OFFSET(Y1940,0,COUNTA(Y1940:AV1940)-1)&gt;=U1940),"정상",
IF(AND(V1940="정상",OFFSET(Y1940,0,COUNTA(Y1940:AV1940)-1)=0),"정상",
"계약서 미작성")))))</f>
        <v>면제</v>
      </c>
      <c r="X1940" s="81" t="str">
        <f aca="true">
IF(D1940="폐업","폐업",
IF(AND(V1940="정상",OFFSET(Y1940,0,COUNTA(Y1940:AV1940)-1)="미납"),"미납",
IF(AND(V1940="정상",OFFSET(Y1940,0,COUNTA(Y1940:AV1940)-1)=0),"납부 시작 전",
IF(AND(V1940="정상",OFFSET(Y1940,0,COUNTA(Y1940:AV1940)-1)&gt;=U1940),"정상",
IF(AND(V1940="면제",OFFSET(Y1940,0,COUNTA(Y1940:AV1940)-1)="면제"),"면제",
IF(AND(V1940="면제",OFFSET(Y1940,0,COUNTA(Y1940:AV1940)-1)=0),"면제",
"확인요청"))))))</f>
        <v>면제</v>
      </c>
      <c r="Y1940" s="94" t="s">
        <v>62</v>
      </c>
      <c r="Z1940" s="95" t="s">
        <v>62</v>
      </c>
      <c r="AA1940" s="95" t="s">
        <v>62</v>
      </c>
      <c r="AB1940" s="95" t="s">
        <v>62</v>
      </c>
      <c r="AC1940" s="95" t="s">
        <v>62</v>
      </c>
      <c r="AD1940" s="95" t="s">
        <v>62</v>
      </c>
      <c r="AE1940" s="95" t="s">
        <v>62</v>
      </c>
      <c r="AF1940" s="95" t="s">
        <v>62</v>
      </c>
      <c r="AG1940" s="95" t="s">
        <v>62</v>
      </c>
      <c r="AH1940" s="95" t="s">
        <v>62</v>
      </c>
      <c r="AI1940" s="95" t="s">
        <v>62</v>
      </c>
      <c r="AJ1940" s="96" t="s">
        <v>62</v>
      </c>
      <c r="AK1940" s="97" t="s">
        <v>62</v>
      </c>
      <c r="AL1940" s="95" t="s">
        <v>7</v>
      </c>
      <c r="AM1940" s="90"/>
      <c r="AN1940" s="90"/>
      <c r="AO1940" s="90"/>
      <c r="AP1940" s="90"/>
      <c r="AQ1940" s="90"/>
      <c r="AR1940" s="90"/>
      <c r="AS1940" s="90"/>
      <c r="AT1940" s="90"/>
      <c r="AU1940" s="90"/>
      <c r="AV1940" s="91"/>
      <c r="AX1940" s="92"/>
    </row>
    <row r="1941" customFormat="false" ht="15.65" hidden="false" customHeight="false" outlineLevel="0" collapsed="false">
      <c r="C1941" s="72" t="n">
        <f aca="false">COUNTIFS($D$6:D1941,"&lt;&gt;"&amp;"")</f>
        <v>1936</v>
      </c>
      <c r="D1941" s="73" t="s">
        <v>12</v>
      </c>
      <c r="E1941" s="76" t="str">
        <f aca="false">
IF($D1941="정상",INDEX(임대자산!$D$3:$R$3000,MATCH($F1941,임대자산!$I$3:$I$3000,0),MATCH(E$3,임대자산!$D$3:$R$3,0)),
IF($D1941="폐업",INDEX(폐업정보!$D$3:$R$3000,MATCH($F1941,폐업정보!$I$3:$I$3000,0),MATCH(E$3,폐업정보!$D$3:$R$3,0)),
"Error"))</f>
        <v>경상</v>
      </c>
      <c r="F194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B1936</v>
      </c>
      <c r="G1941" s="76" t="str">
        <f aca="false">F1941&amp;RANDBETWEEN(0,10)</f>
        <v>B19362</v>
      </c>
      <c r="H1941" s="75" t="n">
        <f aca="false">
IF($D1941="정상",INDEX(임대자산!$D$3:$R$3000,MATCH($F1941,임대자산!$I$3:$I$3000,0),MATCH(H$4,임대자산!$D$3:$R$3,0)),
IF($D1941="폐업",INDEX(폐업정보!$D$3:$R$3000,MATCH($F1941,폐업정보!$I$3:$I$3000,0),MATCH(H$4,폐업정보!$D$3:$R$3,0)),
"Error"))</f>
        <v>46051</v>
      </c>
      <c r="I1941" s="75" t="str">
        <f aca="false">
IF($D1941="정상",INDEX(임대자산!$D$3:$R$3000,MATCH($F1941,임대자산!$I$3:$I$3000,0),MATCH(I$4,임대자산!$D$3:$R$3,0)),
IF($D1941="폐업",INDEX(폐업정보!$D$3:$R$3000,MATCH($F1941,폐업정보!$I$3:$I$3000,0),MATCH(I$4,폐업정보!$D$3:$R$3,0)),
"Error"))</f>
        <v>A1936</v>
      </c>
      <c r="J1941" s="75" t="str">
        <f aca="false">
IF($D1941="정상",INDEX(임대자산!$D$3:$R$3000,MATCH($F1941,임대자산!$I$3:$I$3000,0),MATCH(J$4,임대자산!$D$3:$R$3,0)),
IF($D1941="폐업",INDEX(폐업정보!$D$3:$R$3000,MATCH($F1941,폐업정보!$I$3:$I$3000,0),MATCH(J$4,폐업정보!$D$3:$R$3,0)),
"Error"))</f>
        <v>7026800000</v>
      </c>
      <c r="K1941" s="75" t="str">
        <f aca="false">
IF($D1941="정상",INDEX(임대자산!$D$3:$R$3000,MATCH($F1941,임대자산!$I$3:$I$3000,0),MATCH(K$4,임대자산!$D$3:$R$3,0)),
IF($D1941="폐업",INDEX(폐업정보!$D$3:$R$3000,MATCH($F1941,폐업정보!$I$3:$I$3000,0),MATCH(K$4,폐업정보!$D$3:$R$3,0)),
"Error"))</f>
        <v>C1936</v>
      </c>
      <c r="L1941" s="75" t="str">
        <f aca="false">
IF($D1941="정상",INDEX(임대자산!$D$3:$R$3000,MATCH($F1941,임대자산!$I$3:$I$3000,0),MATCH(L$4,임대자산!$D$3:$R$3,0)),
IF($D1941="폐업",INDEX(폐업정보!$D$3:$R$3000,MATCH($F1941,폐업정보!$I$3:$I$3000,0),MATCH(L$4,폐업정보!$D$3:$R$3,0)),
"Error"))</f>
        <v>D1936</v>
      </c>
      <c r="M1941" s="76" t="s">
        <v>96</v>
      </c>
      <c r="N1941" s="77"/>
      <c r="O1941" s="78" t="s">
        <v>97</v>
      </c>
      <c r="P1941" s="79" t="n">
        <f aca="false">COUNTIFS(임대자산!$I:$I,가맹점정보!F1941,임대자산!$N:$N,가맹점정보!P$4)</f>
        <v>0</v>
      </c>
      <c r="Q1941" s="80" t="n">
        <f aca="false">COUNTIFS(임대자산!$I:$I,가맹점정보!F1941,임대자산!$N:$N,가맹점정보!Q$4)</f>
        <v>0</v>
      </c>
      <c r="R1941" s="81" t="n">
        <f aca="false">COUNTIFS(임대자산!$I:$I,가맹점정보!F1941,임대자산!$N:$N,가맹점정보!R$4)</f>
        <v>1</v>
      </c>
      <c r="S1941" s="82" t="n">
        <v>55000</v>
      </c>
      <c r="T1941" s="83" t="n">
        <v>0</v>
      </c>
      <c r="U1941" s="80" t="n">
        <f aca="false">SUM(S1941:T1941)</f>
        <v>55000</v>
      </c>
      <c r="V1941" s="84" t="s">
        <v>7</v>
      </c>
      <c r="W1941" s="80" t="str">
        <f aca="true">
IF(D1941="폐업","폐업",
IF(V1941="면제","면제",
IF(AND(V1941="정상",COUNTIFS(OFFSET(Y1941,0,COUNTA(Y1941:AV1941)-1,1,-4),"미납")&gt;=3),"장기미납",
IF(AND(V1941="정상",OFFSET(Y1941,0,COUNTA(Y1941:AV1941)-1)&gt;=U1941),"정상",
IF(AND(V1941="정상",OFFSET(Y1941,0,COUNTA(Y1941:AV1941)-1)=0),"정상",
"계약서 미작성")))))</f>
        <v>면제</v>
      </c>
      <c r="X1941" s="81" t="str">
        <f aca="true">
IF(D1941="폐업","폐업",
IF(AND(V1941="정상",OFFSET(Y1941,0,COUNTA(Y1941:AV1941)-1)="미납"),"미납",
IF(AND(V1941="정상",OFFSET(Y1941,0,COUNTA(Y1941:AV1941)-1)=0),"납부 시작 전",
IF(AND(V1941="정상",OFFSET(Y1941,0,COUNTA(Y1941:AV1941)-1)&gt;=U1941),"정상",
IF(AND(V1941="면제",OFFSET(Y1941,0,COUNTA(Y1941:AV1941)-1)="면제"),"면제",
IF(AND(V1941="면제",OFFSET(Y1941,0,COUNTA(Y1941:AV1941)-1)=0),"면제",
"확인요청"))))))</f>
        <v>면제</v>
      </c>
      <c r="Y1941" s="94" t="s">
        <v>62</v>
      </c>
      <c r="Z1941" s="95" t="s">
        <v>62</v>
      </c>
      <c r="AA1941" s="95" t="s">
        <v>62</v>
      </c>
      <c r="AB1941" s="95" t="s">
        <v>62</v>
      </c>
      <c r="AC1941" s="95" t="s">
        <v>62</v>
      </c>
      <c r="AD1941" s="95" t="s">
        <v>62</v>
      </c>
      <c r="AE1941" s="95" t="s">
        <v>62</v>
      </c>
      <c r="AF1941" s="95" t="s">
        <v>62</v>
      </c>
      <c r="AG1941" s="95" t="s">
        <v>62</v>
      </c>
      <c r="AH1941" s="95" t="s">
        <v>62</v>
      </c>
      <c r="AI1941" s="95" t="s">
        <v>62</v>
      </c>
      <c r="AJ1941" s="96" t="s">
        <v>7</v>
      </c>
      <c r="AK1941" s="97" t="s">
        <v>7</v>
      </c>
      <c r="AL1941" s="95" t="s">
        <v>7</v>
      </c>
      <c r="AM1941" s="90"/>
      <c r="AN1941" s="90"/>
      <c r="AO1941" s="90"/>
      <c r="AP1941" s="90"/>
      <c r="AQ1941" s="90"/>
      <c r="AR1941" s="90"/>
      <c r="AS1941" s="90"/>
      <c r="AT1941" s="90"/>
      <c r="AU1941" s="90"/>
      <c r="AV1941" s="91"/>
      <c r="AX1941" s="92"/>
    </row>
    <row r="1942" customFormat="false" ht="15.65" hidden="false" customHeight="false" outlineLevel="0" collapsed="false">
      <c r="C1942" s="72" t="n">
        <f aca="false">COUNTIFS($D$6:D1942,"&lt;&gt;"&amp;"")</f>
        <v>1937</v>
      </c>
      <c r="D1942" s="73" t="s">
        <v>12</v>
      </c>
      <c r="E1942" s="76" t="str">
        <f aca="false">
IF($D1942="정상",INDEX(임대자산!$D$3:$R$3000,MATCH($F1942,임대자산!$I$3:$I$3000,0),MATCH(E$3,임대자산!$D$3:$R$3,0)),
IF($D1942="폐업",INDEX(폐업정보!$D$3:$R$3000,MATCH($F1942,폐업정보!$I$3:$I$3000,0),MATCH(E$3,폐업정보!$D$3:$R$3,0)),
"Error"))</f>
        <v>경상</v>
      </c>
      <c r="F194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B1937</v>
      </c>
      <c r="G1942" s="76" t="str">
        <f aca="false">F1942&amp;RANDBETWEEN(0,10)</f>
        <v>B19379</v>
      </c>
      <c r="H1942" s="75" t="n">
        <f aca="false">
IF($D1942="정상",INDEX(임대자산!$D$3:$R$3000,MATCH($F1942,임대자산!$I$3:$I$3000,0),MATCH(H$4,임대자산!$D$3:$R$3,0)),
IF($D1942="폐업",INDEX(폐업정보!$D$3:$R$3000,MATCH($F1942,폐업정보!$I$3:$I$3000,0),MATCH(H$4,폐업정보!$D$3:$R$3,0)),
"Error"))</f>
        <v>46051</v>
      </c>
      <c r="I1942" s="75" t="str">
        <f aca="false">
IF($D1942="정상",INDEX(임대자산!$D$3:$R$3000,MATCH($F1942,임대자산!$I$3:$I$3000,0),MATCH(I$4,임대자산!$D$3:$R$3,0)),
IF($D1942="폐업",INDEX(폐업정보!$D$3:$R$3000,MATCH($F1942,폐업정보!$I$3:$I$3000,0),MATCH(I$4,폐업정보!$D$3:$R$3,0)),
"Error"))</f>
        <v>A1937</v>
      </c>
      <c r="J1942" s="75" t="str">
        <f aca="false">
IF($D1942="정상",INDEX(임대자산!$D$3:$R$3000,MATCH($F1942,임대자산!$I$3:$I$3000,0),MATCH(J$4,임대자산!$D$3:$R$3,0)),
IF($D1942="폐업",INDEX(폐업정보!$D$3:$R$3000,MATCH($F1942,폐업정보!$I$3:$I$3000,0),MATCH(J$4,폐업정보!$D$3:$R$3,0)),
"Error"))</f>
        <v>9268100000</v>
      </c>
      <c r="K1942" s="75" t="str">
        <f aca="false">
IF($D1942="정상",INDEX(임대자산!$D$3:$R$3000,MATCH($F1942,임대자산!$I$3:$I$3000,0),MATCH(K$4,임대자산!$D$3:$R$3,0)),
IF($D1942="폐업",INDEX(폐업정보!$D$3:$R$3000,MATCH($F1942,폐업정보!$I$3:$I$3000,0),MATCH(K$4,폐업정보!$D$3:$R$3,0)),
"Error"))</f>
        <v>C1937</v>
      </c>
      <c r="L1942" s="75" t="str">
        <f aca="false">
IF($D1942="정상",INDEX(임대자산!$D$3:$R$3000,MATCH($F1942,임대자산!$I$3:$I$3000,0),MATCH(L$4,임대자산!$D$3:$R$3,0)),
IF($D1942="폐업",INDEX(폐업정보!$D$3:$R$3000,MATCH($F1942,폐업정보!$I$3:$I$3000,0),MATCH(L$4,폐업정보!$D$3:$R$3,0)),
"Error"))</f>
        <v>D1937</v>
      </c>
      <c r="M1942" s="76" t="s">
        <v>96</v>
      </c>
      <c r="N1942" s="77"/>
      <c r="O1942" s="78" t="s">
        <v>97</v>
      </c>
      <c r="P1942" s="79" t="n">
        <f aca="false">COUNTIFS(임대자산!$I:$I,가맹점정보!F1942,임대자산!$N:$N,가맹점정보!P$4)</f>
        <v>0</v>
      </c>
      <c r="Q1942" s="80" t="n">
        <f aca="false">COUNTIFS(임대자산!$I:$I,가맹점정보!F1942,임대자산!$N:$N,가맹점정보!Q$4)</f>
        <v>0</v>
      </c>
      <c r="R1942" s="81" t="n">
        <f aca="false">COUNTIFS(임대자산!$I:$I,가맹점정보!F1942,임대자산!$N:$N,가맹점정보!R$4)</f>
        <v>1</v>
      </c>
      <c r="S1942" s="82" t="n">
        <v>55000</v>
      </c>
      <c r="T1942" s="83" t="n">
        <v>0</v>
      </c>
      <c r="U1942" s="80" t="n">
        <f aca="false">SUM(S1942:T1942)</f>
        <v>55000</v>
      </c>
      <c r="V1942" s="84" t="s">
        <v>7</v>
      </c>
      <c r="W1942" s="80" t="str">
        <f aca="true">
IF(D1942="폐업","폐업",
IF(V1942="면제","면제",
IF(AND(V1942="정상",COUNTIFS(OFFSET(Y1942,0,COUNTA(Y1942:AV1942)-1,1,-4),"미납")&gt;=3),"장기미납",
IF(AND(V1942="정상",OFFSET(Y1942,0,COUNTA(Y1942:AV1942)-1)&gt;=U1942),"정상",
IF(AND(V1942="정상",OFFSET(Y1942,0,COUNTA(Y1942:AV1942)-1)=0),"정상",
"계약서 미작성")))))</f>
        <v>면제</v>
      </c>
      <c r="X1942" s="81" t="str">
        <f aca="true">
IF(D1942="폐업","폐업",
IF(AND(V1942="정상",OFFSET(Y1942,0,COUNTA(Y1942:AV1942)-1)="미납"),"미납",
IF(AND(V1942="정상",OFFSET(Y1942,0,COUNTA(Y1942:AV1942)-1)=0),"납부 시작 전",
IF(AND(V1942="정상",OFFSET(Y1942,0,COUNTA(Y1942:AV1942)-1)&gt;=U1942),"정상",
IF(AND(V1942="면제",OFFSET(Y1942,0,COUNTA(Y1942:AV1942)-1)="면제"),"면제",
IF(AND(V1942="면제",OFFSET(Y1942,0,COUNTA(Y1942:AV1942)-1)=0),"면제",
"확인요청"))))))</f>
        <v>면제</v>
      </c>
      <c r="Y1942" s="94" t="s">
        <v>62</v>
      </c>
      <c r="Z1942" s="95" t="s">
        <v>62</v>
      </c>
      <c r="AA1942" s="95" t="s">
        <v>62</v>
      </c>
      <c r="AB1942" s="95" t="s">
        <v>62</v>
      </c>
      <c r="AC1942" s="95" t="s">
        <v>62</v>
      </c>
      <c r="AD1942" s="95" t="s">
        <v>62</v>
      </c>
      <c r="AE1942" s="95" t="s">
        <v>62</v>
      </c>
      <c r="AF1942" s="95" t="s">
        <v>62</v>
      </c>
      <c r="AG1942" s="95" t="s">
        <v>62</v>
      </c>
      <c r="AH1942" s="95" t="s">
        <v>62</v>
      </c>
      <c r="AI1942" s="95" t="s">
        <v>62</v>
      </c>
      <c r="AJ1942" s="96" t="s">
        <v>7</v>
      </c>
      <c r="AK1942" s="97" t="s">
        <v>7</v>
      </c>
      <c r="AL1942" s="95" t="s">
        <v>7</v>
      </c>
      <c r="AM1942" s="90"/>
      <c r="AN1942" s="90"/>
      <c r="AO1942" s="90"/>
      <c r="AP1942" s="90"/>
      <c r="AQ1942" s="90"/>
      <c r="AR1942" s="90"/>
      <c r="AS1942" s="90"/>
      <c r="AT1942" s="90"/>
      <c r="AU1942" s="90"/>
      <c r="AV1942" s="91"/>
      <c r="AX1942" s="92"/>
    </row>
    <row r="1943" customFormat="false" ht="15.65" hidden="false" customHeight="false" outlineLevel="0" collapsed="false">
      <c r="C1943" s="72" t="n">
        <f aca="false">COUNTIFS($D$6:D1943,"&lt;&gt;"&amp;"")</f>
        <v>1938</v>
      </c>
      <c r="D1943" s="73" t="s">
        <v>12</v>
      </c>
      <c r="E1943" s="76" t="str">
        <f aca="false">
IF($D1943="정상",INDEX(임대자산!$D$3:$R$3000,MATCH($F1943,임대자산!$I$3:$I$3000,0),MATCH(E$3,임대자산!$D$3:$R$3,0)),
IF($D1943="폐업",INDEX(폐업정보!$D$3:$R$3000,MATCH($F1943,폐업정보!$I$3:$I$3000,0),MATCH(E$3,폐업정보!$D$3:$R$3,0)),
"Error"))</f>
        <v>경기</v>
      </c>
      <c r="F194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B1938</v>
      </c>
      <c r="G1943" s="76" t="str">
        <f aca="false">F1943&amp;RANDBETWEEN(0,10)</f>
        <v>B19380</v>
      </c>
      <c r="H1943" s="75" t="n">
        <f aca="false">
IF($D1943="정상",INDEX(임대자산!$D$3:$R$3000,MATCH($F1943,임대자산!$I$3:$I$3000,0),MATCH(H$4,임대자산!$D$3:$R$3,0)),
IF($D1943="폐업",INDEX(폐업정보!$D$3:$R$3000,MATCH($F1943,폐업정보!$I$3:$I$3000,0),MATCH(H$4,폐업정보!$D$3:$R$3,0)),
"Error"))</f>
        <v>46058</v>
      </c>
      <c r="I1943" s="75" t="str">
        <f aca="false">
IF($D1943="정상",INDEX(임대자산!$D$3:$R$3000,MATCH($F1943,임대자산!$I$3:$I$3000,0),MATCH(I$4,임대자산!$D$3:$R$3,0)),
IF($D1943="폐업",INDEX(폐업정보!$D$3:$R$3000,MATCH($F1943,폐업정보!$I$3:$I$3000,0),MATCH(I$4,폐업정보!$D$3:$R$3,0)),
"Error"))</f>
        <v>A1938</v>
      </c>
      <c r="J1943" s="75" t="str">
        <f aca="false">
IF($D1943="정상",INDEX(임대자산!$D$3:$R$3000,MATCH($F1943,임대자산!$I$3:$I$3000,0),MATCH(J$4,임대자산!$D$3:$R$3,0)),
IF($D1943="폐업",INDEX(폐업정보!$D$3:$R$3000,MATCH($F1943,폐업정보!$I$3:$I$3000,0),MATCH(J$4,폐업정보!$D$3:$R$3,0)),
"Error"))</f>
        <v>1094100000</v>
      </c>
      <c r="K1943" s="75" t="str">
        <f aca="false">
IF($D1943="정상",INDEX(임대자산!$D$3:$R$3000,MATCH($F1943,임대자산!$I$3:$I$3000,0),MATCH(K$4,임대자산!$D$3:$R$3,0)),
IF($D1943="폐업",INDEX(폐업정보!$D$3:$R$3000,MATCH($F1943,폐업정보!$I$3:$I$3000,0),MATCH(K$4,폐업정보!$D$3:$R$3,0)),
"Error"))</f>
        <v>C1938</v>
      </c>
      <c r="L1943" s="75" t="str">
        <f aca="false">
IF($D1943="정상",INDEX(임대자산!$D$3:$R$3000,MATCH($F1943,임대자산!$I$3:$I$3000,0),MATCH(L$4,임대자산!$D$3:$R$3,0)),
IF($D1943="폐업",INDEX(폐업정보!$D$3:$R$3000,MATCH($F1943,폐업정보!$I$3:$I$3000,0),MATCH(L$4,폐업정보!$D$3:$R$3,0)),
"Error"))</f>
        <v>D1938</v>
      </c>
      <c r="M1943" s="76" t="s">
        <v>96</v>
      </c>
      <c r="N1943" s="77"/>
      <c r="O1943" s="78" t="s">
        <v>97</v>
      </c>
      <c r="P1943" s="79" t="n">
        <f aca="false">COUNTIFS(임대자산!$I:$I,가맹점정보!F1943,임대자산!$N:$N,가맹점정보!P$4)</f>
        <v>0</v>
      </c>
      <c r="Q1943" s="80" t="n">
        <f aca="false">COUNTIFS(임대자산!$I:$I,가맹점정보!F1943,임대자산!$N:$N,가맹점정보!Q$4)</f>
        <v>0</v>
      </c>
      <c r="R1943" s="81" t="n">
        <f aca="false">COUNTIFS(임대자산!$I:$I,가맹점정보!F1943,임대자산!$N:$N,가맹점정보!R$4)</f>
        <v>1</v>
      </c>
      <c r="S1943" s="82" t="n">
        <v>88000</v>
      </c>
      <c r="T1943" s="83" t="n">
        <v>0</v>
      </c>
      <c r="U1943" s="80" t="n">
        <f aca="false">SUM(S1943:T1943)</f>
        <v>88000</v>
      </c>
      <c r="V1943" s="84" t="s">
        <v>7</v>
      </c>
      <c r="W1943" s="80" t="str">
        <f aca="true">
IF(D1943="폐업","폐업",
IF(V1943="면제","면제",
IF(AND(V1943="정상",COUNTIFS(OFFSET(Y1943,0,COUNTA(Y1943:AV1943)-1,1,-4),"미납")&gt;=3),"장기미납",
IF(AND(V1943="정상",OFFSET(Y1943,0,COUNTA(Y1943:AV1943)-1)&gt;=U1943),"정상",
IF(AND(V1943="정상",OFFSET(Y1943,0,COUNTA(Y1943:AV1943)-1)=0),"정상",
"계약서 미작성")))))</f>
        <v>면제</v>
      </c>
      <c r="X1943" s="81" t="str">
        <f aca="true">
IF(D1943="폐업","폐업",
IF(AND(V1943="정상",OFFSET(Y1943,0,COUNTA(Y1943:AV1943)-1)="미납"),"미납",
IF(AND(V1943="정상",OFFSET(Y1943,0,COUNTA(Y1943:AV1943)-1)=0),"납부 시작 전",
IF(AND(V1943="정상",OFFSET(Y1943,0,COUNTA(Y1943:AV1943)-1)&gt;=U1943),"정상",
IF(AND(V1943="면제",OFFSET(Y1943,0,COUNTA(Y1943:AV1943)-1)="면제"),"면제",
IF(AND(V1943="면제",OFFSET(Y1943,0,COUNTA(Y1943:AV1943)-1)=0),"면제",
"확인요청"))))))</f>
        <v>면제</v>
      </c>
      <c r="Y1943" s="94" t="s">
        <v>62</v>
      </c>
      <c r="Z1943" s="95" t="s">
        <v>62</v>
      </c>
      <c r="AA1943" s="95" t="s">
        <v>62</v>
      </c>
      <c r="AB1943" s="95" t="s">
        <v>62</v>
      </c>
      <c r="AC1943" s="95" t="s">
        <v>62</v>
      </c>
      <c r="AD1943" s="95" t="s">
        <v>62</v>
      </c>
      <c r="AE1943" s="95" t="s">
        <v>62</v>
      </c>
      <c r="AF1943" s="95" t="s">
        <v>62</v>
      </c>
      <c r="AG1943" s="95" t="s">
        <v>62</v>
      </c>
      <c r="AH1943" s="95" t="s">
        <v>62</v>
      </c>
      <c r="AI1943" s="95" t="s">
        <v>62</v>
      </c>
      <c r="AJ1943" s="96" t="s">
        <v>7</v>
      </c>
      <c r="AK1943" s="97" t="s">
        <v>7</v>
      </c>
      <c r="AL1943" s="95" t="s">
        <v>7</v>
      </c>
      <c r="AM1943" s="90"/>
      <c r="AN1943" s="90"/>
      <c r="AO1943" s="90"/>
      <c r="AP1943" s="90"/>
      <c r="AQ1943" s="90"/>
      <c r="AR1943" s="90"/>
      <c r="AS1943" s="90"/>
      <c r="AT1943" s="90"/>
      <c r="AU1943" s="90"/>
      <c r="AV1943" s="91"/>
      <c r="AX1943" s="92"/>
    </row>
    <row r="1944" customFormat="false" ht="15.65" hidden="false" customHeight="false" outlineLevel="0" collapsed="false">
      <c r="C1944" s="72" t="n">
        <f aca="false">COUNTIFS($D$6:D1944,"&lt;&gt;"&amp;"")</f>
        <v>1939</v>
      </c>
      <c r="D1944" s="73" t="s">
        <v>12</v>
      </c>
      <c r="E1944" s="76" t="str">
        <f aca="false">
IF($D1944="정상",INDEX(임대자산!$D$3:$R$3000,MATCH($F1944,임대자산!$I$3:$I$3000,0),MATCH(E$3,임대자산!$D$3:$R$3,0)),
IF($D1944="폐업",INDEX(폐업정보!$D$3:$R$3000,MATCH($F1944,폐업정보!$I$3:$I$3000,0),MATCH(E$3,폐업정보!$D$3:$R$3,0)),
"Error"))</f>
        <v>경기</v>
      </c>
      <c r="F194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B1939</v>
      </c>
      <c r="G1944" s="76" t="str">
        <f aca="false">F1944&amp;RANDBETWEEN(0,10)</f>
        <v>B19390</v>
      </c>
      <c r="H1944" s="75" t="n">
        <f aca="false">
IF($D1944="정상",INDEX(임대자산!$D$3:$R$3000,MATCH($F1944,임대자산!$I$3:$I$3000,0),MATCH(H$4,임대자산!$D$3:$R$3,0)),
IF($D1944="폐업",INDEX(폐업정보!$D$3:$R$3000,MATCH($F1944,폐업정보!$I$3:$I$3000,0),MATCH(H$4,폐업정보!$D$3:$R$3,0)),
"Error"))</f>
        <v>46058</v>
      </c>
      <c r="I1944" s="75" t="str">
        <f aca="false">
IF($D1944="정상",INDEX(임대자산!$D$3:$R$3000,MATCH($F1944,임대자산!$I$3:$I$3000,0),MATCH(I$4,임대자산!$D$3:$R$3,0)),
IF($D1944="폐업",INDEX(폐업정보!$D$3:$R$3000,MATCH($F1944,폐업정보!$I$3:$I$3000,0),MATCH(I$4,폐업정보!$D$3:$R$3,0)),
"Error"))</f>
        <v>A1939</v>
      </c>
      <c r="J1944" s="75" t="str">
        <f aca="false">
IF($D1944="정상",INDEX(임대자산!$D$3:$R$3000,MATCH($F1944,임대자산!$I$3:$I$3000,0),MATCH(J$4,임대자산!$D$3:$R$3,0)),
IF($D1944="폐업",INDEX(폐업정보!$D$3:$R$3000,MATCH($F1944,폐업정보!$I$3:$I$3000,0),MATCH(J$4,폐업정보!$D$3:$R$3,0)),
"Error"))</f>
        <v>7250000000</v>
      </c>
      <c r="K1944" s="75" t="str">
        <f aca="false">
IF($D1944="정상",INDEX(임대자산!$D$3:$R$3000,MATCH($F1944,임대자산!$I$3:$I$3000,0),MATCH(K$4,임대자산!$D$3:$R$3,0)),
IF($D1944="폐업",INDEX(폐업정보!$D$3:$R$3000,MATCH($F1944,폐업정보!$I$3:$I$3000,0),MATCH(K$4,폐업정보!$D$3:$R$3,0)),
"Error"))</f>
        <v>C1939</v>
      </c>
      <c r="L1944" s="75" t="str">
        <f aca="false">
IF($D1944="정상",INDEX(임대자산!$D$3:$R$3000,MATCH($F1944,임대자산!$I$3:$I$3000,0),MATCH(L$4,임대자산!$D$3:$R$3,0)),
IF($D1944="폐업",INDEX(폐업정보!$D$3:$R$3000,MATCH($F1944,폐업정보!$I$3:$I$3000,0),MATCH(L$4,폐업정보!$D$3:$R$3,0)),
"Error"))</f>
        <v>D1939</v>
      </c>
      <c r="M1944" s="76" t="s">
        <v>96</v>
      </c>
      <c r="N1944" s="77"/>
      <c r="O1944" s="78" t="s">
        <v>97</v>
      </c>
      <c r="P1944" s="79" t="n">
        <f aca="false">COUNTIFS(임대자산!$I:$I,가맹점정보!F1944,임대자산!$N:$N,가맹점정보!P$4)</f>
        <v>0</v>
      </c>
      <c r="Q1944" s="80" t="n">
        <f aca="false">COUNTIFS(임대자산!$I:$I,가맹점정보!F1944,임대자산!$N:$N,가맹점정보!Q$4)</f>
        <v>0</v>
      </c>
      <c r="R1944" s="81" t="n">
        <f aca="false">COUNTIFS(임대자산!$I:$I,가맹점정보!F1944,임대자산!$N:$N,가맹점정보!R$4)</f>
        <v>1</v>
      </c>
      <c r="S1944" s="82" t="n">
        <v>55000</v>
      </c>
      <c r="T1944" s="83" t="n">
        <v>0</v>
      </c>
      <c r="U1944" s="80" t="n">
        <f aca="false">SUM(S1944:T1944)</f>
        <v>55000</v>
      </c>
      <c r="V1944" s="84" t="s">
        <v>7</v>
      </c>
      <c r="W1944" s="80" t="str">
        <f aca="true">
IF(D1944="폐업","폐업",
IF(V1944="면제","면제",
IF(AND(V1944="정상",COUNTIFS(OFFSET(Y1944,0,COUNTA(Y1944:AV1944)-1,1,-4),"미납")&gt;=3),"장기미납",
IF(AND(V1944="정상",OFFSET(Y1944,0,COUNTA(Y1944:AV1944)-1)&gt;=U1944),"정상",
IF(AND(V1944="정상",OFFSET(Y1944,0,COUNTA(Y1944:AV1944)-1)=0),"정상",
"계약서 미작성")))))</f>
        <v>면제</v>
      </c>
      <c r="X1944" s="81" t="str">
        <f aca="true">
IF(D1944="폐업","폐업",
IF(AND(V1944="정상",OFFSET(Y1944,0,COUNTA(Y1944:AV1944)-1)="미납"),"미납",
IF(AND(V1944="정상",OFFSET(Y1944,0,COUNTA(Y1944:AV1944)-1)=0),"납부 시작 전",
IF(AND(V1944="정상",OFFSET(Y1944,0,COUNTA(Y1944:AV1944)-1)&gt;=U1944),"정상",
IF(AND(V1944="면제",OFFSET(Y1944,0,COUNTA(Y1944:AV1944)-1)="면제"),"면제",
IF(AND(V1944="면제",OFFSET(Y1944,0,COUNTA(Y1944:AV1944)-1)=0),"면제",
"확인요청"))))))</f>
        <v>면제</v>
      </c>
      <c r="Y1944" s="94" t="s">
        <v>62</v>
      </c>
      <c r="Z1944" s="95" t="s">
        <v>62</v>
      </c>
      <c r="AA1944" s="95" t="s">
        <v>62</v>
      </c>
      <c r="AB1944" s="95" t="s">
        <v>62</v>
      </c>
      <c r="AC1944" s="95" t="s">
        <v>62</v>
      </c>
      <c r="AD1944" s="95" t="s">
        <v>62</v>
      </c>
      <c r="AE1944" s="95" t="s">
        <v>62</v>
      </c>
      <c r="AF1944" s="95" t="s">
        <v>62</v>
      </c>
      <c r="AG1944" s="95" t="s">
        <v>62</v>
      </c>
      <c r="AH1944" s="95" t="s">
        <v>62</v>
      </c>
      <c r="AI1944" s="95" t="s">
        <v>62</v>
      </c>
      <c r="AJ1944" s="96" t="s">
        <v>7</v>
      </c>
      <c r="AK1944" s="97" t="s">
        <v>7</v>
      </c>
      <c r="AL1944" s="95" t="s">
        <v>7</v>
      </c>
      <c r="AM1944" s="90"/>
      <c r="AN1944" s="90"/>
      <c r="AO1944" s="90"/>
      <c r="AP1944" s="90"/>
      <c r="AQ1944" s="90"/>
      <c r="AR1944" s="90"/>
      <c r="AS1944" s="90"/>
      <c r="AT1944" s="90"/>
      <c r="AU1944" s="90"/>
      <c r="AV1944" s="91"/>
      <c r="AX1944" s="92"/>
    </row>
    <row r="1945" customFormat="false" ht="15.65" hidden="false" customHeight="false" outlineLevel="0" collapsed="false">
      <c r="C1945" s="72" t="n">
        <f aca="false">COUNTIFS($D$6:D1945,"&lt;&gt;"&amp;"")</f>
        <v>1940</v>
      </c>
      <c r="D1945" s="73" t="s">
        <v>12</v>
      </c>
      <c r="E1945" s="76" t="str">
        <f aca="false">
IF($D1945="정상",INDEX(임대자산!$D$3:$R$3000,MATCH($F1945,임대자산!$I$3:$I$3000,0),MATCH(E$3,임대자산!$D$3:$R$3,0)),
IF($D1945="폐업",INDEX(폐업정보!$D$3:$R$3000,MATCH($F1945,폐업정보!$I$3:$I$3000,0),MATCH(E$3,폐업정보!$D$3:$R$3,0)),
"Error"))</f>
        <v>경상</v>
      </c>
      <c r="F194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B1940</v>
      </c>
      <c r="G1945" s="76" t="str">
        <f aca="false">F1945&amp;RANDBETWEEN(0,10)</f>
        <v>B19404</v>
      </c>
      <c r="H1945" s="75" t="n">
        <f aca="false">
IF($D1945="정상",INDEX(임대자산!$D$3:$R$3000,MATCH($F1945,임대자산!$I$3:$I$3000,0),MATCH(H$4,임대자산!$D$3:$R$3,0)),
IF($D1945="폐업",INDEX(폐업정보!$D$3:$R$3000,MATCH($F1945,폐업정보!$I$3:$I$3000,0),MATCH(H$4,폐업정보!$D$3:$R$3,0)),
"Error"))</f>
        <v>46051</v>
      </c>
      <c r="I1945" s="75" t="str">
        <f aca="false">
IF($D1945="정상",INDEX(임대자산!$D$3:$R$3000,MATCH($F1945,임대자산!$I$3:$I$3000,0),MATCH(I$4,임대자산!$D$3:$R$3,0)),
IF($D1945="폐업",INDEX(폐업정보!$D$3:$R$3000,MATCH($F1945,폐업정보!$I$3:$I$3000,0),MATCH(I$4,폐업정보!$D$3:$R$3,0)),
"Error"))</f>
        <v>A1940</v>
      </c>
      <c r="J1945" s="75" t="str">
        <f aca="false">
IF($D1945="정상",INDEX(임대자산!$D$3:$R$3000,MATCH($F1945,임대자산!$I$3:$I$3000,0),MATCH(J$4,임대자산!$D$3:$R$3,0)),
IF($D1945="폐업",INDEX(폐업정보!$D$3:$R$3000,MATCH($F1945,폐업정보!$I$3:$I$3000,0),MATCH(J$4,폐업정보!$D$3:$R$3,0)),
"Error"))</f>
        <v>2201500000</v>
      </c>
      <c r="K1945" s="75" t="str">
        <f aca="false">
IF($D1945="정상",INDEX(임대자산!$D$3:$R$3000,MATCH($F1945,임대자산!$I$3:$I$3000,0),MATCH(K$4,임대자산!$D$3:$R$3,0)),
IF($D1945="폐업",INDEX(폐업정보!$D$3:$R$3000,MATCH($F1945,폐업정보!$I$3:$I$3000,0),MATCH(K$4,폐업정보!$D$3:$R$3,0)),
"Error"))</f>
        <v>C1940</v>
      </c>
      <c r="L1945" s="75" t="str">
        <f aca="false">
IF($D1945="정상",INDEX(임대자산!$D$3:$R$3000,MATCH($F1945,임대자산!$I$3:$I$3000,0),MATCH(L$4,임대자산!$D$3:$R$3,0)),
IF($D1945="폐업",INDEX(폐업정보!$D$3:$R$3000,MATCH($F1945,폐업정보!$I$3:$I$3000,0),MATCH(L$4,폐업정보!$D$3:$R$3,0)),
"Error"))</f>
        <v>D1940</v>
      </c>
      <c r="M1945" s="76" t="s">
        <v>96</v>
      </c>
      <c r="N1945" s="77"/>
      <c r="O1945" s="78" t="s">
        <v>97</v>
      </c>
      <c r="P1945" s="79" t="n">
        <f aca="false">COUNTIFS(임대자산!$I:$I,가맹점정보!F1945,임대자산!$N:$N,가맹점정보!P$4)</f>
        <v>0</v>
      </c>
      <c r="Q1945" s="80" t="n">
        <f aca="false">COUNTIFS(임대자산!$I:$I,가맹점정보!F1945,임대자산!$N:$N,가맹점정보!Q$4)</f>
        <v>0</v>
      </c>
      <c r="R1945" s="81" t="n">
        <f aca="false">COUNTIFS(임대자산!$I:$I,가맹점정보!F1945,임대자산!$N:$N,가맹점정보!R$4)</f>
        <v>1</v>
      </c>
      <c r="S1945" s="82" t="n">
        <v>55000</v>
      </c>
      <c r="T1945" s="83" t="n">
        <v>0</v>
      </c>
      <c r="U1945" s="80" t="n">
        <f aca="false">SUM(S1945:T1945)</f>
        <v>55000</v>
      </c>
      <c r="V1945" s="84" t="s">
        <v>12</v>
      </c>
      <c r="W1945" s="80" t="e">
        <f aca="true">
IF(D1945="폐업","폐업",
IF(V1945="면제","면제",
IF(AND(V1945="정상",COUNTIFS(OFFSET(Y1945,0,COUNTA(Y1945:AV1945)-1,1,-4),"미납")&gt;=3),"장기미납",
IF(AND(V1945="정상",OFFSET(Y1945,0,COUNTA(Y1945:AV1945)-1)&gt;=U1945),"정상",
IF(AND(V1945="정상",OFFSET(Y1945,0,COUNTA(Y1945:AV1945)-1)=0),"정상",
"계약서 미작성")))))</f>
        <v>#VALUE!</v>
      </c>
      <c r="X1945" s="81" t="str">
        <f aca="true">
IF(D1945="폐업","폐업",
IF(AND(V1945="정상",OFFSET(Y1945,0,COUNTA(Y1945:AV1945)-1)="미납"),"미납",
IF(AND(V1945="정상",OFFSET(Y1945,0,COUNTA(Y1945:AV1945)-1)=0),"납부 시작 전",
IF(AND(V1945="정상",OFFSET(Y1945,0,COUNTA(Y1945:AV1945)-1)&gt;=U1945),"정상",
IF(AND(V1945="면제",OFFSET(Y1945,0,COUNTA(Y1945:AV1945)-1)="면제"),"면제",
IF(AND(V1945="면제",OFFSET(Y1945,0,COUNTA(Y1945:AV1945)-1)=0),"면제",
"확인요청"))))))</f>
        <v>미납</v>
      </c>
      <c r="Y1945" s="94" t="s">
        <v>62</v>
      </c>
      <c r="Z1945" s="95" t="s">
        <v>62</v>
      </c>
      <c r="AA1945" s="95" t="s">
        <v>62</v>
      </c>
      <c r="AB1945" s="95" t="s">
        <v>62</v>
      </c>
      <c r="AC1945" s="95" t="s">
        <v>62</v>
      </c>
      <c r="AD1945" s="95" t="s">
        <v>62</v>
      </c>
      <c r="AE1945" s="95" t="s">
        <v>62</v>
      </c>
      <c r="AF1945" s="95" t="s">
        <v>62</v>
      </c>
      <c r="AG1945" s="95" t="s">
        <v>62</v>
      </c>
      <c r="AH1945" s="95" t="s">
        <v>62</v>
      </c>
      <c r="AI1945" s="95" t="s">
        <v>62</v>
      </c>
      <c r="AJ1945" s="96" t="s">
        <v>62</v>
      </c>
      <c r="AK1945" s="97" t="s">
        <v>62</v>
      </c>
      <c r="AL1945" s="95" t="s">
        <v>62</v>
      </c>
      <c r="AM1945" s="90"/>
      <c r="AN1945" s="90"/>
      <c r="AO1945" s="90"/>
      <c r="AP1945" s="90"/>
      <c r="AQ1945" s="90"/>
      <c r="AR1945" s="90"/>
      <c r="AS1945" s="90"/>
      <c r="AT1945" s="90"/>
      <c r="AU1945" s="90"/>
      <c r="AV1945" s="91"/>
      <c r="AX1945" s="92"/>
    </row>
    <row r="1946" customFormat="false" ht="15.65" hidden="false" customHeight="false" outlineLevel="0" collapsed="false">
      <c r="C1946" s="72" t="n">
        <f aca="false">COUNTIFS($D$6:D1946,"&lt;&gt;"&amp;"")</f>
        <v>1941</v>
      </c>
      <c r="D1946" s="73" t="s">
        <v>12</v>
      </c>
      <c r="E1946" s="76" t="str">
        <f aca="false">
IF($D1946="정상",INDEX(임대자산!$D$3:$R$3000,MATCH($F1946,임대자산!$I$3:$I$3000,0),MATCH(E$3,임대자산!$D$3:$R$3,0)),
IF($D1946="폐업",INDEX(폐업정보!$D$3:$R$3000,MATCH($F1946,폐업정보!$I$3:$I$3000,0),MATCH(E$3,폐업정보!$D$3:$R$3,0)),
"Error"))</f>
        <v>강원</v>
      </c>
      <c r="F194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B1941</v>
      </c>
      <c r="G1946" s="76" t="str">
        <f aca="false">F1946&amp;RANDBETWEEN(0,10)</f>
        <v>B19418</v>
      </c>
      <c r="H1946" s="75" t="n">
        <f aca="false">
IF($D1946="정상",INDEX(임대자산!$D$3:$R$3000,MATCH($F1946,임대자산!$I$3:$I$3000,0),MATCH(H$4,임대자산!$D$3:$R$3,0)),
IF($D1946="폐업",INDEX(폐업정보!$D$3:$R$3000,MATCH($F1946,폐업정보!$I$3:$I$3000,0),MATCH(H$4,폐업정보!$D$3:$R$3,0)),
"Error"))</f>
        <v>46058</v>
      </c>
      <c r="I1946" s="75" t="str">
        <f aca="false">
IF($D1946="정상",INDEX(임대자산!$D$3:$R$3000,MATCH($F1946,임대자산!$I$3:$I$3000,0),MATCH(I$4,임대자산!$D$3:$R$3,0)),
IF($D1946="폐업",INDEX(폐업정보!$D$3:$R$3000,MATCH($F1946,폐업정보!$I$3:$I$3000,0),MATCH(I$4,폐업정보!$D$3:$R$3,0)),
"Error"))</f>
        <v>A1941</v>
      </c>
      <c r="J1946" s="75" t="str">
        <f aca="false">
IF($D1946="정상",INDEX(임대자산!$D$3:$R$3000,MATCH($F1946,임대자산!$I$3:$I$3000,0),MATCH(J$4,임대자산!$D$3:$R$3,0)),
IF($D1946="폐업",INDEX(폐업정보!$D$3:$R$3000,MATCH($F1946,폐업정보!$I$3:$I$3000,0),MATCH(J$4,폐업정보!$D$3:$R$3,0)),
"Error"))</f>
        <v>4190100000</v>
      </c>
      <c r="K1946" s="75" t="str">
        <f aca="false">
IF($D1946="정상",INDEX(임대자산!$D$3:$R$3000,MATCH($F1946,임대자산!$I$3:$I$3000,0),MATCH(K$4,임대자산!$D$3:$R$3,0)),
IF($D1946="폐업",INDEX(폐업정보!$D$3:$R$3000,MATCH($F1946,폐업정보!$I$3:$I$3000,0),MATCH(K$4,폐업정보!$D$3:$R$3,0)),
"Error"))</f>
        <v>C1941</v>
      </c>
      <c r="L1946" s="75" t="str">
        <f aca="false">
IF($D1946="정상",INDEX(임대자산!$D$3:$R$3000,MATCH($F1946,임대자산!$I$3:$I$3000,0),MATCH(L$4,임대자산!$D$3:$R$3,0)),
IF($D1946="폐업",INDEX(폐업정보!$D$3:$R$3000,MATCH($F1946,폐업정보!$I$3:$I$3000,0),MATCH(L$4,폐업정보!$D$3:$R$3,0)),
"Error"))</f>
        <v>D1941</v>
      </c>
      <c r="M1946" s="76" t="s">
        <v>96</v>
      </c>
      <c r="N1946" s="77"/>
      <c r="O1946" s="78" t="s">
        <v>97</v>
      </c>
      <c r="P1946" s="79" t="n">
        <f aca="false">COUNTIFS(임대자산!$I:$I,가맹점정보!F1946,임대자산!$N:$N,가맹점정보!P$4)</f>
        <v>0</v>
      </c>
      <c r="Q1946" s="80" t="n">
        <f aca="false">COUNTIFS(임대자산!$I:$I,가맹점정보!F1946,임대자산!$N:$N,가맹점정보!Q$4)</f>
        <v>0</v>
      </c>
      <c r="R1946" s="81" t="n">
        <f aca="false">COUNTIFS(임대자산!$I:$I,가맹점정보!F1946,임대자산!$N:$N,가맹점정보!R$4)</f>
        <v>1</v>
      </c>
      <c r="S1946" s="82" t="n">
        <v>55000</v>
      </c>
      <c r="T1946" s="83" t="n">
        <v>0</v>
      </c>
      <c r="U1946" s="80" t="n">
        <f aca="false">SUM(S1946:T1946)</f>
        <v>55000</v>
      </c>
      <c r="V1946" s="84" t="s">
        <v>7</v>
      </c>
      <c r="W1946" s="80" t="str">
        <f aca="true">
IF(D1946="폐업","폐업",
IF(V1946="면제","면제",
IF(AND(V1946="정상",COUNTIFS(OFFSET(Y1946,0,COUNTA(Y1946:AV1946)-1,1,-4),"미납")&gt;=3),"장기미납",
IF(AND(V1946="정상",OFFSET(Y1946,0,COUNTA(Y1946:AV1946)-1)&gt;=U1946),"정상",
IF(AND(V1946="정상",OFFSET(Y1946,0,COUNTA(Y1946:AV1946)-1)=0),"정상",
"계약서 미작성")))))</f>
        <v>면제</v>
      </c>
      <c r="X1946" s="81" t="str">
        <f aca="true">
IF(D1946="폐업","폐업",
IF(AND(V1946="정상",OFFSET(Y1946,0,COUNTA(Y1946:AV1946)-1)="미납"),"미납",
IF(AND(V1946="정상",OFFSET(Y1946,0,COUNTA(Y1946:AV1946)-1)=0),"납부 시작 전",
IF(AND(V1946="정상",OFFSET(Y1946,0,COUNTA(Y1946:AV1946)-1)&gt;=U1946),"정상",
IF(AND(V1946="면제",OFFSET(Y1946,0,COUNTA(Y1946:AV1946)-1)="면제"),"면제",
IF(AND(V1946="면제",OFFSET(Y1946,0,COUNTA(Y1946:AV1946)-1)=0),"면제",
"확인요청"))))))</f>
        <v>면제</v>
      </c>
      <c r="Y1946" s="94" t="s">
        <v>62</v>
      </c>
      <c r="Z1946" s="95" t="s">
        <v>62</v>
      </c>
      <c r="AA1946" s="95" t="s">
        <v>62</v>
      </c>
      <c r="AB1946" s="95" t="s">
        <v>62</v>
      </c>
      <c r="AC1946" s="95" t="s">
        <v>62</v>
      </c>
      <c r="AD1946" s="95" t="s">
        <v>62</v>
      </c>
      <c r="AE1946" s="95" t="s">
        <v>62</v>
      </c>
      <c r="AF1946" s="95" t="s">
        <v>62</v>
      </c>
      <c r="AG1946" s="95" t="s">
        <v>62</v>
      </c>
      <c r="AH1946" s="95" t="s">
        <v>62</v>
      </c>
      <c r="AI1946" s="95" t="s">
        <v>62</v>
      </c>
      <c r="AJ1946" s="96" t="s">
        <v>7</v>
      </c>
      <c r="AK1946" s="97" t="s">
        <v>7</v>
      </c>
      <c r="AL1946" s="95" t="s">
        <v>7</v>
      </c>
      <c r="AM1946" s="90"/>
      <c r="AN1946" s="90"/>
      <c r="AO1946" s="90"/>
      <c r="AP1946" s="90"/>
      <c r="AQ1946" s="90"/>
      <c r="AR1946" s="90"/>
      <c r="AS1946" s="90"/>
      <c r="AT1946" s="90"/>
      <c r="AU1946" s="90"/>
      <c r="AV1946" s="91"/>
      <c r="AX1946" s="92"/>
    </row>
    <row r="1947" customFormat="false" ht="15.65" hidden="false" customHeight="false" outlineLevel="0" collapsed="false">
      <c r="C1947" s="72" t="n">
        <f aca="false">COUNTIFS($D$6:D1947,"&lt;&gt;"&amp;"")</f>
        <v>1942</v>
      </c>
      <c r="D1947" s="73" t="s">
        <v>12</v>
      </c>
      <c r="E1947" s="76" t="str">
        <f aca="false">
IF($D1947="정상",INDEX(임대자산!$D$3:$R$3000,MATCH($F1947,임대자산!$I$3:$I$3000,0),MATCH(E$3,임대자산!$D$3:$R$3,0)),
IF($D1947="폐업",INDEX(폐업정보!$D$3:$R$3000,MATCH($F1947,폐업정보!$I$3:$I$3000,0),MATCH(E$3,폐업정보!$D$3:$R$3,0)),
"Error"))</f>
        <v>서울</v>
      </c>
      <c r="F194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B1942</v>
      </c>
      <c r="G1947" s="76" t="str">
        <f aca="false">F1947&amp;RANDBETWEEN(0,10)</f>
        <v>B19421</v>
      </c>
      <c r="H1947" s="75" t="n">
        <f aca="false">
IF($D1947="정상",INDEX(임대자산!$D$3:$R$3000,MATCH($F1947,임대자산!$I$3:$I$3000,0),MATCH(H$4,임대자산!$D$3:$R$3,0)),
IF($D1947="폐업",INDEX(폐업정보!$D$3:$R$3000,MATCH($F1947,폐업정보!$I$3:$I$3000,0),MATCH(H$4,폐업정보!$D$3:$R$3,0)),
"Error"))</f>
        <v>46062</v>
      </c>
      <c r="I1947" s="75" t="str">
        <f aca="false">
IF($D1947="정상",INDEX(임대자산!$D$3:$R$3000,MATCH($F1947,임대자산!$I$3:$I$3000,0),MATCH(I$4,임대자산!$D$3:$R$3,0)),
IF($D1947="폐업",INDEX(폐업정보!$D$3:$R$3000,MATCH($F1947,폐업정보!$I$3:$I$3000,0),MATCH(I$4,폐업정보!$D$3:$R$3,0)),
"Error"))</f>
        <v>A1942</v>
      </c>
      <c r="J1947" s="75" t="str">
        <f aca="false">
IF($D1947="정상",INDEX(임대자산!$D$3:$R$3000,MATCH($F1947,임대자산!$I$3:$I$3000,0),MATCH(J$4,임대자산!$D$3:$R$3,0)),
IF($D1947="폐업",INDEX(폐업정보!$D$3:$R$3000,MATCH($F1947,폐업정보!$I$3:$I$3000,0),MATCH(J$4,폐업정보!$D$3:$R$3,0)),
"Error"))</f>
        <v>7196300000</v>
      </c>
      <c r="K1947" s="75" t="str">
        <f aca="false">
IF($D1947="정상",INDEX(임대자산!$D$3:$R$3000,MATCH($F1947,임대자산!$I$3:$I$3000,0),MATCH(K$4,임대자산!$D$3:$R$3,0)),
IF($D1947="폐업",INDEX(폐업정보!$D$3:$R$3000,MATCH($F1947,폐업정보!$I$3:$I$3000,0),MATCH(K$4,폐업정보!$D$3:$R$3,0)),
"Error"))</f>
        <v>C1942</v>
      </c>
      <c r="L1947" s="75" t="str">
        <f aca="false">
IF($D1947="정상",INDEX(임대자산!$D$3:$R$3000,MATCH($F1947,임대자산!$I$3:$I$3000,0),MATCH(L$4,임대자산!$D$3:$R$3,0)),
IF($D1947="폐업",INDEX(폐업정보!$D$3:$R$3000,MATCH($F1947,폐업정보!$I$3:$I$3000,0),MATCH(L$4,폐업정보!$D$3:$R$3,0)),
"Error"))</f>
        <v>D1942</v>
      </c>
      <c r="M1947" s="76" t="s">
        <v>96</v>
      </c>
      <c r="N1947" s="77"/>
      <c r="O1947" s="78" t="s">
        <v>97</v>
      </c>
      <c r="P1947" s="79" t="n">
        <f aca="false">COUNTIFS(임대자산!$I:$I,가맹점정보!F1947,임대자산!$N:$N,가맹점정보!P$4)</f>
        <v>0</v>
      </c>
      <c r="Q1947" s="80" t="n">
        <f aca="false">COUNTIFS(임대자산!$I:$I,가맹점정보!F1947,임대자산!$N:$N,가맹점정보!Q$4)</f>
        <v>0</v>
      </c>
      <c r="R1947" s="81" t="n">
        <f aca="false">COUNTIFS(임대자산!$I:$I,가맹점정보!F1947,임대자산!$N:$N,가맹점정보!R$4)</f>
        <v>1</v>
      </c>
      <c r="S1947" s="82" t="n">
        <v>55000</v>
      </c>
      <c r="T1947" s="83" t="n">
        <v>0</v>
      </c>
      <c r="U1947" s="80" t="n">
        <f aca="false">SUM(S1947:T1947)</f>
        <v>55000</v>
      </c>
      <c r="V1947" s="84" t="s">
        <v>7</v>
      </c>
      <c r="W1947" s="80" t="str">
        <f aca="true">
IF(D1947="폐업","폐업",
IF(V1947="면제","면제",
IF(AND(V1947="정상",COUNTIFS(OFFSET(Y1947,0,COUNTA(Y1947:AV1947)-1,1,-4),"미납")&gt;=3),"장기미납",
IF(AND(V1947="정상",OFFSET(Y1947,0,COUNTA(Y1947:AV1947)-1)&gt;=U1947),"정상",
IF(AND(V1947="정상",OFFSET(Y1947,0,COUNTA(Y1947:AV1947)-1)=0),"정상",
"계약서 미작성")))))</f>
        <v>면제</v>
      </c>
      <c r="X1947" s="81" t="str">
        <f aca="true">
IF(D1947="폐업","폐업",
IF(AND(V1947="정상",OFFSET(Y1947,0,COUNTA(Y1947:AV1947)-1)="미납"),"미납",
IF(AND(V1947="정상",OFFSET(Y1947,0,COUNTA(Y1947:AV1947)-1)=0),"납부 시작 전",
IF(AND(V1947="정상",OFFSET(Y1947,0,COUNTA(Y1947:AV1947)-1)&gt;=U1947),"정상",
IF(AND(V1947="면제",OFFSET(Y1947,0,COUNTA(Y1947:AV1947)-1)="면제"),"면제",
IF(AND(V1947="면제",OFFSET(Y1947,0,COUNTA(Y1947:AV1947)-1)=0),"면제",
"확인요청"))))))</f>
        <v>면제</v>
      </c>
      <c r="Y1947" s="94" t="s">
        <v>62</v>
      </c>
      <c r="Z1947" s="95" t="s">
        <v>62</v>
      </c>
      <c r="AA1947" s="95" t="s">
        <v>62</v>
      </c>
      <c r="AB1947" s="95" t="s">
        <v>62</v>
      </c>
      <c r="AC1947" s="95" t="s">
        <v>62</v>
      </c>
      <c r="AD1947" s="95" t="s">
        <v>62</v>
      </c>
      <c r="AE1947" s="95" t="s">
        <v>62</v>
      </c>
      <c r="AF1947" s="95" t="s">
        <v>62</v>
      </c>
      <c r="AG1947" s="95" t="s">
        <v>7</v>
      </c>
      <c r="AH1947" s="95" t="s">
        <v>7</v>
      </c>
      <c r="AI1947" s="95" t="s">
        <v>7</v>
      </c>
      <c r="AJ1947" s="96" t="s">
        <v>7</v>
      </c>
      <c r="AK1947" s="97" t="s">
        <v>7</v>
      </c>
      <c r="AL1947" s="95" t="s">
        <v>7</v>
      </c>
      <c r="AM1947" s="90"/>
      <c r="AN1947" s="90"/>
      <c r="AO1947" s="90"/>
      <c r="AP1947" s="90"/>
      <c r="AQ1947" s="90"/>
      <c r="AR1947" s="90"/>
      <c r="AS1947" s="90"/>
      <c r="AT1947" s="90"/>
      <c r="AU1947" s="90"/>
      <c r="AV1947" s="91"/>
      <c r="AX1947" s="92"/>
    </row>
    <row r="1948" customFormat="false" ht="15.65" hidden="false" customHeight="false" outlineLevel="0" collapsed="false">
      <c r="C1948" s="72" t="n">
        <f aca="false">COUNTIFS($D$6:D1948,"&lt;&gt;"&amp;"")</f>
        <v>1943</v>
      </c>
      <c r="D1948" s="73" t="s">
        <v>12</v>
      </c>
      <c r="E1948" s="76" t="str">
        <f aca="false">
IF($D1948="정상",INDEX(임대자산!$D$3:$R$3000,MATCH($F1948,임대자산!$I$3:$I$3000,0),MATCH(E$3,임대자산!$D$3:$R$3,0)),
IF($D1948="폐업",INDEX(폐업정보!$D$3:$R$3000,MATCH($F1948,폐업정보!$I$3:$I$3000,0),MATCH(E$3,폐업정보!$D$3:$R$3,0)),
"Error"))</f>
        <v>서울</v>
      </c>
      <c r="F194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B1943</v>
      </c>
      <c r="G1948" s="76" t="str">
        <f aca="false">F1948&amp;RANDBETWEEN(0,10)</f>
        <v>B19434</v>
      </c>
      <c r="H1948" s="75" t="n">
        <f aca="false">
IF($D1948="정상",INDEX(임대자산!$D$3:$R$3000,MATCH($F1948,임대자산!$I$3:$I$3000,0),MATCH(H$4,임대자산!$D$3:$R$3,0)),
IF($D1948="폐업",INDEX(폐업정보!$D$3:$R$3000,MATCH($F1948,폐업정보!$I$3:$I$3000,0),MATCH(H$4,폐업정보!$D$3:$R$3,0)),
"Error"))</f>
        <v>46062</v>
      </c>
      <c r="I1948" s="75" t="str">
        <f aca="false">
IF($D1948="정상",INDEX(임대자산!$D$3:$R$3000,MATCH($F1948,임대자산!$I$3:$I$3000,0),MATCH(I$4,임대자산!$D$3:$R$3,0)),
IF($D1948="폐업",INDEX(폐업정보!$D$3:$R$3000,MATCH($F1948,폐업정보!$I$3:$I$3000,0),MATCH(I$4,폐업정보!$D$3:$R$3,0)),
"Error"))</f>
        <v>A1943</v>
      </c>
      <c r="J1948" s="75" t="str">
        <f aca="false">
IF($D1948="정상",INDEX(임대자산!$D$3:$R$3000,MATCH($F1948,임대자산!$I$3:$I$3000,0),MATCH(J$4,임대자산!$D$3:$R$3,0)),
IF($D1948="폐업",INDEX(폐업정보!$D$3:$R$3000,MATCH($F1948,폐업정보!$I$3:$I$3000,0),MATCH(J$4,폐업정보!$D$3:$R$3,0)),
"Error"))</f>
        <v>2344200000</v>
      </c>
      <c r="K1948" s="75" t="str">
        <f aca="false">
IF($D1948="정상",INDEX(임대자산!$D$3:$R$3000,MATCH($F1948,임대자산!$I$3:$I$3000,0),MATCH(K$4,임대자산!$D$3:$R$3,0)),
IF($D1948="폐업",INDEX(폐업정보!$D$3:$R$3000,MATCH($F1948,폐업정보!$I$3:$I$3000,0),MATCH(K$4,폐업정보!$D$3:$R$3,0)),
"Error"))</f>
        <v>C1943</v>
      </c>
      <c r="L1948" s="75" t="str">
        <f aca="false">
IF($D1948="정상",INDEX(임대자산!$D$3:$R$3000,MATCH($F1948,임대자산!$I$3:$I$3000,0),MATCH(L$4,임대자산!$D$3:$R$3,0)),
IF($D1948="폐업",INDEX(폐업정보!$D$3:$R$3000,MATCH($F1948,폐업정보!$I$3:$I$3000,0),MATCH(L$4,폐업정보!$D$3:$R$3,0)),
"Error"))</f>
        <v>D1943</v>
      </c>
      <c r="M1948" s="76" t="s">
        <v>96</v>
      </c>
      <c r="N1948" s="77"/>
      <c r="O1948" s="78" t="s">
        <v>97</v>
      </c>
      <c r="P1948" s="79" t="n">
        <f aca="false">COUNTIFS(임대자산!$I:$I,가맹점정보!F1948,임대자산!$N:$N,가맹점정보!P$4)</f>
        <v>0</v>
      </c>
      <c r="Q1948" s="80" t="n">
        <f aca="false">COUNTIFS(임대자산!$I:$I,가맹점정보!F1948,임대자산!$N:$N,가맹점정보!Q$4)</f>
        <v>0</v>
      </c>
      <c r="R1948" s="81" t="n">
        <f aca="false">COUNTIFS(임대자산!$I:$I,가맹점정보!F1948,임대자산!$N:$N,가맹점정보!R$4)</f>
        <v>1</v>
      </c>
      <c r="S1948" s="82" t="n">
        <v>55000</v>
      </c>
      <c r="T1948" s="83" t="n">
        <v>0</v>
      </c>
      <c r="U1948" s="80" t="n">
        <f aca="false">SUM(S1948:T1948)</f>
        <v>55000</v>
      </c>
      <c r="V1948" s="84" t="s">
        <v>12</v>
      </c>
      <c r="W1948" s="80" t="e">
        <f aca="true">
IF(D1948="폐업","폐업",
IF(V1948="면제","면제",
IF(AND(V1948="정상",COUNTIFS(OFFSET(Y1948,0,COUNTA(Y1948:AV1948)-1,1,-4),"미납")&gt;=3),"장기미납",
IF(AND(V1948="정상",OFFSET(Y1948,0,COUNTA(Y1948:AV1948)-1)&gt;=U1948),"정상",
IF(AND(V1948="정상",OFFSET(Y1948,0,COUNTA(Y1948:AV1948)-1)=0),"정상",
"계약서 미작성")))))</f>
        <v>#VALUE!</v>
      </c>
      <c r="X1948" s="81" t="str">
        <f aca="true">
IF(D1948="폐업","폐업",
IF(AND(V1948="정상",OFFSET(Y1948,0,COUNTA(Y1948:AV1948)-1)="미납"),"미납",
IF(AND(V1948="정상",OFFSET(Y1948,0,COUNTA(Y1948:AV1948)-1)=0),"납부 시작 전",
IF(AND(V1948="정상",OFFSET(Y1948,0,COUNTA(Y1948:AV1948)-1)&gt;=U1948),"정상",
IF(AND(V1948="면제",OFFSET(Y1948,0,COUNTA(Y1948:AV1948)-1)="면제"),"면제",
IF(AND(V1948="면제",OFFSET(Y1948,0,COUNTA(Y1948:AV1948)-1)=0),"면제",
"확인요청"))))))</f>
        <v>정상</v>
      </c>
      <c r="Y1948" s="94" t="s">
        <v>62</v>
      </c>
      <c r="Z1948" s="95" t="s">
        <v>62</v>
      </c>
      <c r="AA1948" s="95" t="s">
        <v>62</v>
      </c>
      <c r="AB1948" s="95" t="s">
        <v>62</v>
      </c>
      <c r="AC1948" s="90" t="n">
        <v>55000</v>
      </c>
      <c r="AD1948" s="95" t="s">
        <v>62</v>
      </c>
      <c r="AE1948" s="90" t="n">
        <v>55000</v>
      </c>
      <c r="AF1948" s="90" t="n">
        <v>55000</v>
      </c>
      <c r="AG1948" s="90" t="n">
        <v>55000</v>
      </c>
      <c r="AH1948" s="90" t="n">
        <v>55000</v>
      </c>
      <c r="AI1948" s="90" t="n">
        <v>55000</v>
      </c>
      <c r="AJ1948" s="91" t="n">
        <v>55000</v>
      </c>
      <c r="AK1948" s="89" t="n">
        <v>55000</v>
      </c>
      <c r="AL1948" s="90" t="n">
        <v>55000</v>
      </c>
      <c r="AM1948" s="90"/>
      <c r="AN1948" s="90"/>
      <c r="AO1948" s="90"/>
      <c r="AP1948" s="90"/>
      <c r="AQ1948" s="90"/>
      <c r="AR1948" s="90"/>
      <c r="AS1948" s="90"/>
      <c r="AT1948" s="90"/>
      <c r="AU1948" s="90"/>
      <c r="AV1948" s="91"/>
      <c r="AX1948" s="92"/>
    </row>
    <row r="1949" customFormat="false" ht="15.65" hidden="false" customHeight="false" outlineLevel="0" collapsed="false">
      <c r="C1949" s="72" t="n">
        <f aca="false">COUNTIFS($D$6:D1949,"&lt;&gt;"&amp;"")</f>
        <v>1944</v>
      </c>
      <c r="D1949" s="73" t="s">
        <v>12</v>
      </c>
      <c r="E1949" s="76" t="str">
        <f aca="false">
IF($D1949="정상",INDEX(임대자산!$D$3:$R$3000,MATCH($F1949,임대자산!$I$3:$I$3000,0),MATCH(E$3,임대자산!$D$3:$R$3,0)),
IF($D1949="폐업",INDEX(폐업정보!$D$3:$R$3000,MATCH($F1949,폐업정보!$I$3:$I$3000,0),MATCH(E$3,폐업정보!$D$3:$R$3,0)),
"Error"))</f>
        <v>경상</v>
      </c>
      <c r="F194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B1944</v>
      </c>
      <c r="G1949" s="76" t="str">
        <f aca="false">F1949&amp;RANDBETWEEN(0,10)</f>
        <v>B19446</v>
      </c>
      <c r="H1949" s="75" t="n">
        <f aca="false">
IF($D1949="정상",INDEX(임대자산!$D$3:$R$3000,MATCH($F1949,임대자산!$I$3:$I$3000,0),MATCH(H$4,임대자산!$D$3:$R$3,0)),
IF($D1949="폐업",INDEX(폐업정보!$D$3:$R$3000,MATCH($F1949,폐업정보!$I$3:$I$3000,0),MATCH(H$4,폐업정보!$D$3:$R$3,0)),
"Error"))</f>
        <v>46062</v>
      </c>
      <c r="I1949" s="75" t="str">
        <f aca="false">
IF($D1949="정상",INDEX(임대자산!$D$3:$R$3000,MATCH($F1949,임대자산!$I$3:$I$3000,0),MATCH(I$4,임대자산!$D$3:$R$3,0)),
IF($D1949="폐업",INDEX(폐업정보!$D$3:$R$3000,MATCH($F1949,폐업정보!$I$3:$I$3000,0),MATCH(I$4,폐업정보!$D$3:$R$3,0)),
"Error"))</f>
        <v>A1944</v>
      </c>
      <c r="J1949" s="75" t="str">
        <f aca="false">
IF($D1949="정상",INDEX(임대자산!$D$3:$R$3000,MATCH($F1949,임대자산!$I$3:$I$3000,0),MATCH(J$4,임대자산!$D$3:$R$3,0)),
IF($D1949="폐업",INDEX(폐업정보!$D$3:$R$3000,MATCH($F1949,폐업정보!$I$3:$I$3000,0),MATCH(J$4,폐업정보!$D$3:$R$3,0)),
"Error"))</f>
        <v>9923000000</v>
      </c>
      <c r="K1949" s="75" t="str">
        <f aca="false">
IF($D1949="정상",INDEX(임대자산!$D$3:$R$3000,MATCH($F1949,임대자산!$I$3:$I$3000,0),MATCH(K$4,임대자산!$D$3:$R$3,0)),
IF($D1949="폐업",INDEX(폐업정보!$D$3:$R$3000,MATCH($F1949,폐업정보!$I$3:$I$3000,0),MATCH(K$4,폐업정보!$D$3:$R$3,0)),
"Error"))</f>
        <v>C1944</v>
      </c>
      <c r="L1949" s="75" t="str">
        <f aca="false">
IF($D1949="정상",INDEX(임대자산!$D$3:$R$3000,MATCH($F1949,임대자산!$I$3:$I$3000,0),MATCH(L$4,임대자산!$D$3:$R$3,0)),
IF($D1949="폐업",INDEX(폐업정보!$D$3:$R$3000,MATCH($F1949,폐업정보!$I$3:$I$3000,0),MATCH(L$4,폐업정보!$D$3:$R$3,0)),
"Error"))</f>
        <v>D1944</v>
      </c>
      <c r="M1949" s="76" t="s">
        <v>96</v>
      </c>
      <c r="N1949" s="77"/>
      <c r="O1949" s="78" t="s">
        <v>97</v>
      </c>
      <c r="P1949" s="79" t="n">
        <f aca="false">COUNTIFS(임대자산!$I:$I,가맹점정보!F1949,임대자산!$N:$N,가맹점정보!P$4)</f>
        <v>0</v>
      </c>
      <c r="Q1949" s="80" t="n">
        <f aca="false">COUNTIFS(임대자산!$I:$I,가맹점정보!F1949,임대자산!$N:$N,가맹점정보!Q$4)</f>
        <v>0</v>
      </c>
      <c r="R1949" s="81" t="n">
        <f aca="false">COUNTIFS(임대자산!$I:$I,가맹점정보!F1949,임대자산!$N:$N,가맹점정보!R$4)</f>
        <v>1</v>
      </c>
      <c r="S1949" s="82" t="n">
        <v>55000</v>
      </c>
      <c r="T1949" s="83" t="n">
        <v>0</v>
      </c>
      <c r="U1949" s="80" t="n">
        <f aca="false">SUM(S1949:T1949)</f>
        <v>55000</v>
      </c>
      <c r="V1949" s="84" t="s">
        <v>7</v>
      </c>
      <c r="W1949" s="80" t="str">
        <f aca="true">
IF(D1949="폐업","폐업",
IF(V1949="면제","면제",
IF(AND(V1949="정상",COUNTIFS(OFFSET(Y1949,0,COUNTA(Y1949:AV1949)-1,1,-4),"미납")&gt;=3),"장기미납",
IF(AND(V1949="정상",OFFSET(Y1949,0,COUNTA(Y1949:AV1949)-1)&gt;=U1949),"정상",
IF(AND(V1949="정상",OFFSET(Y1949,0,COUNTA(Y1949:AV1949)-1)=0),"정상",
"계약서 미작성")))))</f>
        <v>면제</v>
      </c>
      <c r="X1949" s="81" t="str">
        <f aca="true">
IF(D1949="폐업","폐업",
IF(AND(V1949="정상",OFFSET(Y1949,0,COUNTA(Y1949:AV1949)-1)="미납"),"미납",
IF(AND(V1949="정상",OFFSET(Y1949,0,COUNTA(Y1949:AV1949)-1)=0),"납부 시작 전",
IF(AND(V1949="정상",OFFSET(Y1949,0,COUNTA(Y1949:AV1949)-1)&gt;=U1949),"정상",
IF(AND(V1949="면제",OFFSET(Y1949,0,COUNTA(Y1949:AV1949)-1)="면제"),"면제",
IF(AND(V1949="면제",OFFSET(Y1949,0,COUNTA(Y1949:AV1949)-1)=0),"면제",
"확인요청"))))))</f>
        <v>면제</v>
      </c>
      <c r="Y1949" s="94" t="s">
        <v>62</v>
      </c>
      <c r="Z1949" s="95" t="s">
        <v>62</v>
      </c>
      <c r="AA1949" s="95" t="s">
        <v>62</v>
      </c>
      <c r="AB1949" s="95" t="s">
        <v>62</v>
      </c>
      <c r="AC1949" s="95" t="s">
        <v>62</v>
      </c>
      <c r="AD1949" s="95" t="s">
        <v>62</v>
      </c>
      <c r="AE1949" s="95" t="s">
        <v>7</v>
      </c>
      <c r="AF1949" s="95" t="s">
        <v>7</v>
      </c>
      <c r="AG1949" s="95" t="s">
        <v>7</v>
      </c>
      <c r="AH1949" s="95" t="s">
        <v>7</v>
      </c>
      <c r="AI1949" s="95" t="s">
        <v>7</v>
      </c>
      <c r="AJ1949" s="96" t="s">
        <v>7</v>
      </c>
      <c r="AK1949" s="97" t="s">
        <v>7</v>
      </c>
      <c r="AL1949" s="95" t="s">
        <v>7</v>
      </c>
      <c r="AM1949" s="90"/>
      <c r="AN1949" s="90"/>
      <c r="AO1949" s="90"/>
      <c r="AP1949" s="90"/>
      <c r="AQ1949" s="90"/>
      <c r="AR1949" s="90"/>
      <c r="AS1949" s="90"/>
      <c r="AT1949" s="90"/>
      <c r="AU1949" s="90"/>
      <c r="AV1949" s="91"/>
      <c r="AX1949" s="92"/>
    </row>
    <row r="1950" customFormat="false" ht="15.65" hidden="false" customHeight="false" outlineLevel="0" collapsed="false">
      <c r="C1950" s="72" t="n">
        <f aca="false">COUNTIFS($D$6:D1950,"&lt;&gt;"&amp;"")</f>
        <v>1945</v>
      </c>
      <c r="D1950" s="73" t="s">
        <v>12</v>
      </c>
      <c r="E1950" s="76" t="str">
        <f aca="false">
IF($D1950="정상",INDEX(임대자산!$D$3:$R$3000,MATCH($F1950,임대자산!$I$3:$I$3000,0),MATCH(E$3,임대자산!$D$3:$R$3,0)),
IF($D1950="폐업",INDEX(폐업정보!$D$3:$R$3000,MATCH($F1950,폐업정보!$I$3:$I$3000,0),MATCH(E$3,폐업정보!$D$3:$R$3,0)),
"Error"))</f>
        <v>경상</v>
      </c>
      <c r="F195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B1945</v>
      </c>
      <c r="G1950" s="76" t="str">
        <f aca="false">F1950&amp;RANDBETWEEN(0,10)</f>
        <v>B19456</v>
      </c>
      <c r="H1950" s="75" t="n">
        <f aca="false">
IF($D1950="정상",INDEX(임대자산!$D$3:$R$3000,MATCH($F1950,임대자산!$I$3:$I$3000,0),MATCH(H$4,임대자산!$D$3:$R$3,0)),
IF($D1950="폐업",INDEX(폐업정보!$D$3:$R$3000,MATCH($F1950,폐업정보!$I$3:$I$3000,0),MATCH(H$4,폐업정보!$D$3:$R$3,0)),
"Error"))</f>
        <v>46062</v>
      </c>
      <c r="I1950" s="75" t="str">
        <f aca="false">
IF($D1950="정상",INDEX(임대자산!$D$3:$R$3000,MATCH($F1950,임대자산!$I$3:$I$3000,0),MATCH(I$4,임대자산!$D$3:$R$3,0)),
IF($D1950="폐업",INDEX(폐업정보!$D$3:$R$3000,MATCH($F1950,폐업정보!$I$3:$I$3000,0),MATCH(I$4,폐업정보!$D$3:$R$3,0)),
"Error"))</f>
        <v>A1945</v>
      </c>
      <c r="J1950" s="75" t="str">
        <f aca="false">
IF($D1950="정상",INDEX(임대자산!$D$3:$R$3000,MATCH($F1950,임대자산!$I$3:$I$3000,0),MATCH(J$4,임대자산!$D$3:$R$3,0)),
IF($D1950="폐업",INDEX(폐업정보!$D$3:$R$3000,MATCH($F1950,폐업정보!$I$3:$I$3000,0),MATCH(J$4,폐업정보!$D$3:$R$3,0)),
"Error"))</f>
        <v>5718800000</v>
      </c>
      <c r="K1950" s="75" t="str">
        <f aca="false">
IF($D1950="정상",INDEX(임대자산!$D$3:$R$3000,MATCH($F1950,임대자산!$I$3:$I$3000,0),MATCH(K$4,임대자산!$D$3:$R$3,0)),
IF($D1950="폐업",INDEX(폐업정보!$D$3:$R$3000,MATCH($F1950,폐업정보!$I$3:$I$3000,0),MATCH(K$4,폐업정보!$D$3:$R$3,0)),
"Error"))</f>
        <v>C1945</v>
      </c>
      <c r="L1950" s="75" t="str">
        <f aca="false">
IF($D1950="정상",INDEX(임대자산!$D$3:$R$3000,MATCH($F1950,임대자산!$I$3:$I$3000,0),MATCH(L$4,임대자산!$D$3:$R$3,0)),
IF($D1950="폐업",INDEX(폐업정보!$D$3:$R$3000,MATCH($F1950,폐업정보!$I$3:$I$3000,0),MATCH(L$4,폐업정보!$D$3:$R$3,0)),
"Error"))</f>
        <v>D1945</v>
      </c>
      <c r="M1950" s="76" t="s">
        <v>96</v>
      </c>
      <c r="N1950" s="77"/>
      <c r="O1950" s="78" t="s">
        <v>97</v>
      </c>
      <c r="P1950" s="79" t="n">
        <f aca="false">COUNTIFS(임대자산!$I:$I,가맹점정보!F1950,임대자산!$N:$N,가맹점정보!P$4)</f>
        <v>0</v>
      </c>
      <c r="Q1950" s="80" t="n">
        <f aca="false">COUNTIFS(임대자산!$I:$I,가맹점정보!F1950,임대자산!$N:$N,가맹점정보!Q$4)</f>
        <v>0</v>
      </c>
      <c r="R1950" s="81" t="n">
        <f aca="false">COUNTIFS(임대자산!$I:$I,가맹점정보!F1950,임대자산!$N:$N,가맹점정보!R$4)</f>
        <v>1</v>
      </c>
      <c r="S1950" s="82" t="n">
        <v>55000</v>
      </c>
      <c r="T1950" s="83" t="n">
        <v>0</v>
      </c>
      <c r="U1950" s="80" t="n">
        <f aca="false">SUM(S1950:T1950)</f>
        <v>55000</v>
      </c>
      <c r="V1950" s="84" t="s">
        <v>7</v>
      </c>
      <c r="W1950" s="80" t="str">
        <f aca="true">
IF(D1950="폐업","폐업",
IF(V1950="면제","면제",
IF(AND(V1950="정상",COUNTIFS(OFFSET(Y1950,0,COUNTA(Y1950:AV1950)-1,1,-4),"미납")&gt;=3),"장기미납",
IF(AND(V1950="정상",OFFSET(Y1950,0,COUNTA(Y1950:AV1950)-1)&gt;=U1950),"정상",
IF(AND(V1950="정상",OFFSET(Y1950,0,COUNTA(Y1950:AV1950)-1)=0),"정상",
"계약서 미작성")))))</f>
        <v>면제</v>
      </c>
      <c r="X1950" s="81" t="str">
        <f aca="true">
IF(D1950="폐업","폐업",
IF(AND(V1950="정상",OFFSET(Y1950,0,COUNTA(Y1950:AV1950)-1)="미납"),"미납",
IF(AND(V1950="정상",OFFSET(Y1950,0,COUNTA(Y1950:AV1950)-1)=0),"납부 시작 전",
IF(AND(V1950="정상",OFFSET(Y1950,0,COUNTA(Y1950:AV1950)-1)&gt;=U1950),"정상",
IF(AND(V1950="면제",OFFSET(Y1950,0,COUNTA(Y1950:AV1950)-1)="면제"),"면제",
IF(AND(V1950="면제",OFFSET(Y1950,0,COUNTA(Y1950:AV1950)-1)=0),"면제",
"확인요청"))))))</f>
        <v>면제</v>
      </c>
      <c r="Y1950" s="94" t="s">
        <v>62</v>
      </c>
      <c r="Z1950" s="95" t="s">
        <v>62</v>
      </c>
      <c r="AA1950" s="95" t="s">
        <v>62</v>
      </c>
      <c r="AB1950" s="95" t="s">
        <v>62</v>
      </c>
      <c r="AC1950" s="95" t="s">
        <v>62</v>
      </c>
      <c r="AD1950" s="95" t="s">
        <v>62</v>
      </c>
      <c r="AE1950" s="95" t="s">
        <v>62</v>
      </c>
      <c r="AF1950" s="95" t="s">
        <v>62</v>
      </c>
      <c r="AG1950" s="95" t="s">
        <v>62</v>
      </c>
      <c r="AH1950" s="95" t="s">
        <v>7</v>
      </c>
      <c r="AI1950" s="95" t="s">
        <v>7</v>
      </c>
      <c r="AJ1950" s="96" t="s">
        <v>7</v>
      </c>
      <c r="AK1950" s="97" t="s">
        <v>7</v>
      </c>
      <c r="AL1950" s="95" t="s">
        <v>7</v>
      </c>
      <c r="AM1950" s="90"/>
      <c r="AN1950" s="90"/>
      <c r="AO1950" s="90"/>
      <c r="AP1950" s="90"/>
      <c r="AQ1950" s="90"/>
      <c r="AR1950" s="90"/>
      <c r="AS1950" s="90"/>
      <c r="AT1950" s="90"/>
      <c r="AU1950" s="90"/>
      <c r="AV1950" s="91"/>
      <c r="AX1950" s="92"/>
    </row>
    <row r="1951" customFormat="false" ht="15.65" hidden="false" customHeight="false" outlineLevel="0" collapsed="false">
      <c r="C1951" s="72" t="n">
        <f aca="false">COUNTIFS($D$6:D1951,"&lt;&gt;"&amp;"")</f>
        <v>1946</v>
      </c>
      <c r="D1951" s="73" t="s">
        <v>12</v>
      </c>
      <c r="E1951" s="76" t="str">
        <f aca="false">
IF($D1951="정상",INDEX(임대자산!$D$3:$R$3000,MATCH($F1951,임대자산!$I$3:$I$3000,0),MATCH(E$3,임대자산!$D$3:$R$3,0)),
IF($D1951="폐업",INDEX(폐업정보!$D$3:$R$3000,MATCH($F1951,폐업정보!$I$3:$I$3000,0),MATCH(E$3,폐업정보!$D$3:$R$3,0)),
"Error"))</f>
        <v>경상</v>
      </c>
      <c r="F195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B1946</v>
      </c>
      <c r="G1951" s="76" t="str">
        <f aca="false">F1951&amp;RANDBETWEEN(0,10)</f>
        <v>B19461</v>
      </c>
      <c r="H1951" s="75" t="n">
        <f aca="false">
IF($D1951="정상",INDEX(임대자산!$D$3:$R$3000,MATCH($F1951,임대자산!$I$3:$I$3000,0),MATCH(H$4,임대자산!$D$3:$R$3,0)),
IF($D1951="폐업",INDEX(폐업정보!$D$3:$R$3000,MATCH($F1951,폐업정보!$I$3:$I$3000,0),MATCH(H$4,폐업정보!$D$3:$R$3,0)),
"Error"))</f>
        <v>46062</v>
      </c>
      <c r="I1951" s="75" t="str">
        <f aca="false">
IF($D1951="정상",INDEX(임대자산!$D$3:$R$3000,MATCH($F1951,임대자산!$I$3:$I$3000,0),MATCH(I$4,임대자산!$D$3:$R$3,0)),
IF($D1951="폐업",INDEX(폐업정보!$D$3:$R$3000,MATCH($F1951,폐업정보!$I$3:$I$3000,0),MATCH(I$4,폐업정보!$D$3:$R$3,0)),
"Error"))</f>
        <v>A1946</v>
      </c>
      <c r="J1951" s="75" t="str">
        <f aca="false">
IF($D1951="정상",INDEX(임대자산!$D$3:$R$3000,MATCH($F1951,임대자산!$I$3:$I$3000,0),MATCH(J$4,임대자산!$D$3:$R$3,0)),
IF($D1951="폐업",INDEX(폐업정보!$D$3:$R$3000,MATCH($F1951,폐업정보!$I$3:$I$3000,0),MATCH(J$4,폐업정보!$D$3:$R$3,0)),
"Error"))</f>
        <v>7353400000</v>
      </c>
      <c r="K1951" s="75" t="str">
        <f aca="false">
IF($D1951="정상",INDEX(임대자산!$D$3:$R$3000,MATCH($F1951,임대자산!$I$3:$I$3000,0),MATCH(K$4,임대자산!$D$3:$R$3,0)),
IF($D1951="폐업",INDEX(폐업정보!$D$3:$R$3000,MATCH($F1951,폐업정보!$I$3:$I$3000,0),MATCH(K$4,폐업정보!$D$3:$R$3,0)),
"Error"))</f>
        <v>C1946</v>
      </c>
      <c r="L1951" s="75" t="str">
        <f aca="false">
IF($D1951="정상",INDEX(임대자산!$D$3:$R$3000,MATCH($F1951,임대자산!$I$3:$I$3000,0),MATCH(L$4,임대자산!$D$3:$R$3,0)),
IF($D1951="폐업",INDEX(폐업정보!$D$3:$R$3000,MATCH($F1951,폐업정보!$I$3:$I$3000,0),MATCH(L$4,폐업정보!$D$3:$R$3,0)),
"Error"))</f>
        <v>D1946</v>
      </c>
      <c r="M1951" s="76" t="s">
        <v>96</v>
      </c>
      <c r="N1951" s="77"/>
      <c r="O1951" s="78" t="s">
        <v>97</v>
      </c>
      <c r="P1951" s="79" t="n">
        <f aca="false">COUNTIFS(임대자산!$I:$I,가맹점정보!F1951,임대자산!$N:$N,가맹점정보!P$4)</f>
        <v>0</v>
      </c>
      <c r="Q1951" s="80" t="n">
        <f aca="false">COUNTIFS(임대자산!$I:$I,가맹점정보!F1951,임대자산!$N:$N,가맹점정보!Q$4)</f>
        <v>0</v>
      </c>
      <c r="R1951" s="81" t="n">
        <f aca="false">COUNTIFS(임대자산!$I:$I,가맹점정보!F1951,임대자산!$N:$N,가맹점정보!R$4)</f>
        <v>1</v>
      </c>
      <c r="S1951" s="82" t="n">
        <v>55000</v>
      </c>
      <c r="T1951" s="83" t="n">
        <v>0</v>
      </c>
      <c r="U1951" s="80" t="n">
        <f aca="false">SUM(S1951:T1951)</f>
        <v>55000</v>
      </c>
      <c r="V1951" s="84" t="s">
        <v>7</v>
      </c>
      <c r="W1951" s="80" t="str">
        <f aca="true">
IF(D1951="폐업","폐업",
IF(V1951="면제","면제",
IF(AND(V1951="정상",COUNTIFS(OFFSET(Y1951,0,COUNTA(Y1951:AV1951)-1,1,-4),"미납")&gt;=3),"장기미납",
IF(AND(V1951="정상",OFFSET(Y1951,0,COUNTA(Y1951:AV1951)-1)&gt;=U1951),"정상",
IF(AND(V1951="정상",OFFSET(Y1951,0,COUNTA(Y1951:AV1951)-1)=0),"정상",
"계약서 미작성")))))</f>
        <v>면제</v>
      </c>
      <c r="X1951" s="81" t="str">
        <f aca="true">
IF(D1951="폐업","폐업",
IF(AND(V1951="정상",OFFSET(Y1951,0,COUNTA(Y1951:AV1951)-1)="미납"),"미납",
IF(AND(V1951="정상",OFFSET(Y1951,0,COUNTA(Y1951:AV1951)-1)=0),"납부 시작 전",
IF(AND(V1951="정상",OFFSET(Y1951,0,COUNTA(Y1951:AV1951)-1)&gt;=U1951),"정상",
IF(AND(V1951="면제",OFFSET(Y1951,0,COUNTA(Y1951:AV1951)-1)="면제"),"면제",
IF(AND(V1951="면제",OFFSET(Y1951,0,COUNTA(Y1951:AV1951)-1)=0),"면제",
"확인요청"))))))</f>
        <v>면제</v>
      </c>
      <c r="Y1951" s="94" t="s">
        <v>62</v>
      </c>
      <c r="Z1951" s="95" t="s">
        <v>62</v>
      </c>
      <c r="AA1951" s="95" t="s">
        <v>62</v>
      </c>
      <c r="AB1951" s="95" t="s">
        <v>62</v>
      </c>
      <c r="AC1951" s="95" t="s">
        <v>62</v>
      </c>
      <c r="AD1951" s="95" t="s">
        <v>62</v>
      </c>
      <c r="AE1951" s="95" t="s">
        <v>7</v>
      </c>
      <c r="AF1951" s="95" t="s">
        <v>7</v>
      </c>
      <c r="AG1951" s="95" t="s">
        <v>7</v>
      </c>
      <c r="AH1951" s="95" t="s">
        <v>7</v>
      </c>
      <c r="AI1951" s="95" t="s">
        <v>7</v>
      </c>
      <c r="AJ1951" s="96" t="s">
        <v>7</v>
      </c>
      <c r="AK1951" s="97" t="s">
        <v>7</v>
      </c>
      <c r="AL1951" s="95" t="s">
        <v>7</v>
      </c>
      <c r="AM1951" s="90"/>
      <c r="AN1951" s="90"/>
      <c r="AO1951" s="90"/>
      <c r="AP1951" s="90"/>
      <c r="AQ1951" s="90"/>
      <c r="AR1951" s="90"/>
      <c r="AS1951" s="90"/>
      <c r="AT1951" s="90"/>
      <c r="AU1951" s="90"/>
      <c r="AV1951" s="91"/>
      <c r="AX1951" s="92"/>
    </row>
    <row r="1952" customFormat="false" ht="15.65" hidden="false" customHeight="false" outlineLevel="0" collapsed="false">
      <c r="C1952" s="72" t="n">
        <f aca="false">COUNTIFS($D$6:D1952,"&lt;&gt;"&amp;"")</f>
        <v>1947</v>
      </c>
      <c r="D1952" s="73" t="s">
        <v>12</v>
      </c>
      <c r="E1952" s="76" t="str">
        <f aca="false">
IF($D1952="정상",INDEX(임대자산!$D$3:$R$3000,MATCH($F1952,임대자산!$I$3:$I$3000,0),MATCH(E$3,임대자산!$D$3:$R$3,0)),
IF($D1952="폐업",INDEX(폐업정보!$D$3:$R$3000,MATCH($F1952,폐업정보!$I$3:$I$3000,0),MATCH(E$3,폐업정보!$D$3:$R$3,0)),
"Error"))</f>
        <v>강원</v>
      </c>
      <c r="F195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B1947</v>
      </c>
      <c r="G1952" s="76" t="str">
        <f aca="false">F1952&amp;RANDBETWEEN(0,10)</f>
        <v>B19473</v>
      </c>
      <c r="H1952" s="75" t="n">
        <f aca="false">
IF($D1952="정상",INDEX(임대자산!$D$3:$R$3000,MATCH($F1952,임대자산!$I$3:$I$3000,0),MATCH(H$4,임대자산!$D$3:$R$3,0)),
IF($D1952="폐업",INDEX(폐업정보!$D$3:$R$3000,MATCH($F1952,폐업정보!$I$3:$I$3000,0),MATCH(H$4,폐업정보!$D$3:$R$3,0)),
"Error"))</f>
        <v>46062</v>
      </c>
      <c r="I1952" s="75" t="str">
        <f aca="false">
IF($D1952="정상",INDEX(임대자산!$D$3:$R$3000,MATCH($F1952,임대자산!$I$3:$I$3000,0),MATCH(I$4,임대자산!$D$3:$R$3,0)),
IF($D1952="폐업",INDEX(폐업정보!$D$3:$R$3000,MATCH($F1952,폐업정보!$I$3:$I$3000,0),MATCH(I$4,폐업정보!$D$3:$R$3,0)),
"Error"))</f>
        <v>A1947</v>
      </c>
      <c r="J1952" s="75" t="str">
        <f aca="false">
IF($D1952="정상",INDEX(임대자산!$D$3:$R$3000,MATCH($F1952,임대자산!$I$3:$I$3000,0),MATCH(J$4,임대자산!$D$3:$R$3,0)),
IF($D1952="폐업",INDEX(폐업정보!$D$3:$R$3000,MATCH($F1952,폐업정보!$I$3:$I$3000,0),MATCH(J$4,폐업정보!$D$3:$R$3,0)),
"Error"))</f>
        <v>4665800000</v>
      </c>
      <c r="K1952" s="75" t="str">
        <f aca="false">
IF($D1952="정상",INDEX(임대자산!$D$3:$R$3000,MATCH($F1952,임대자산!$I$3:$I$3000,0),MATCH(K$4,임대자산!$D$3:$R$3,0)),
IF($D1952="폐업",INDEX(폐업정보!$D$3:$R$3000,MATCH($F1952,폐업정보!$I$3:$I$3000,0),MATCH(K$4,폐업정보!$D$3:$R$3,0)),
"Error"))</f>
        <v>C1947</v>
      </c>
      <c r="L1952" s="75" t="str">
        <f aca="false">
IF($D1952="정상",INDEX(임대자산!$D$3:$R$3000,MATCH($F1952,임대자산!$I$3:$I$3000,0),MATCH(L$4,임대자산!$D$3:$R$3,0)),
IF($D1952="폐업",INDEX(폐업정보!$D$3:$R$3000,MATCH($F1952,폐업정보!$I$3:$I$3000,0),MATCH(L$4,폐업정보!$D$3:$R$3,0)),
"Error"))</f>
        <v>D1947</v>
      </c>
      <c r="M1952" s="76" t="s">
        <v>96</v>
      </c>
      <c r="N1952" s="77"/>
      <c r="O1952" s="78" t="s">
        <v>97</v>
      </c>
      <c r="P1952" s="79" t="n">
        <f aca="false">COUNTIFS(임대자산!$I:$I,가맹점정보!F1952,임대자산!$N:$N,가맹점정보!P$4)</f>
        <v>0</v>
      </c>
      <c r="Q1952" s="80" t="n">
        <f aca="false">COUNTIFS(임대자산!$I:$I,가맹점정보!F1952,임대자산!$N:$N,가맹점정보!Q$4)</f>
        <v>0</v>
      </c>
      <c r="R1952" s="81" t="n">
        <f aca="false">COUNTIFS(임대자산!$I:$I,가맹점정보!F1952,임대자산!$N:$N,가맹점정보!R$4)</f>
        <v>1</v>
      </c>
      <c r="S1952" s="82" t="n">
        <v>55000</v>
      </c>
      <c r="T1952" s="83" t="n">
        <v>0</v>
      </c>
      <c r="U1952" s="80" t="n">
        <f aca="false">SUM(S1952:T1952)</f>
        <v>55000</v>
      </c>
      <c r="V1952" s="84" t="s">
        <v>7</v>
      </c>
      <c r="W1952" s="80" t="str">
        <f aca="true">
IF(D1952="폐업","폐업",
IF(V1952="면제","면제",
IF(AND(V1952="정상",COUNTIFS(OFFSET(Y1952,0,COUNTA(Y1952:AV1952)-1,1,-4),"미납")&gt;=3),"장기미납",
IF(AND(V1952="정상",OFFSET(Y1952,0,COUNTA(Y1952:AV1952)-1)&gt;=U1952),"정상",
IF(AND(V1952="정상",OFFSET(Y1952,0,COUNTA(Y1952:AV1952)-1)=0),"정상",
"계약서 미작성")))))</f>
        <v>면제</v>
      </c>
      <c r="X1952" s="81" t="str">
        <f aca="true">
IF(D1952="폐업","폐업",
IF(AND(V1952="정상",OFFSET(Y1952,0,COUNTA(Y1952:AV1952)-1)="미납"),"미납",
IF(AND(V1952="정상",OFFSET(Y1952,0,COUNTA(Y1952:AV1952)-1)=0),"납부 시작 전",
IF(AND(V1952="정상",OFFSET(Y1952,0,COUNTA(Y1952:AV1952)-1)&gt;=U1952),"정상",
IF(AND(V1952="면제",OFFSET(Y1952,0,COUNTA(Y1952:AV1952)-1)="면제"),"면제",
IF(AND(V1952="면제",OFFSET(Y1952,0,COUNTA(Y1952:AV1952)-1)=0),"면제",
"확인요청"))))))</f>
        <v>면제</v>
      </c>
      <c r="Y1952" s="94" t="s">
        <v>62</v>
      </c>
      <c r="Z1952" s="95" t="s">
        <v>62</v>
      </c>
      <c r="AA1952" s="95" t="s">
        <v>62</v>
      </c>
      <c r="AB1952" s="95" t="s">
        <v>62</v>
      </c>
      <c r="AC1952" s="95" t="s">
        <v>62</v>
      </c>
      <c r="AD1952" s="95" t="s">
        <v>62</v>
      </c>
      <c r="AE1952" s="95" t="s">
        <v>62</v>
      </c>
      <c r="AF1952" s="95" t="s">
        <v>62</v>
      </c>
      <c r="AG1952" s="95" t="s">
        <v>62</v>
      </c>
      <c r="AH1952" s="95" t="s">
        <v>7</v>
      </c>
      <c r="AI1952" s="95" t="s">
        <v>7</v>
      </c>
      <c r="AJ1952" s="96" t="s">
        <v>7</v>
      </c>
      <c r="AK1952" s="97" t="s">
        <v>7</v>
      </c>
      <c r="AL1952" s="95" t="s">
        <v>7</v>
      </c>
      <c r="AM1952" s="90"/>
      <c r="AN1952" s="90"/>
      <c r="AO1952" s="90"/>
      <c r="AP1952" s="90"/>
      <c r="AQ1952" s="90"/>
      <c r="AR1952" s="90"/>
      <c r="AS1952" s="90"/>
      <c r="AT1952" s="90"/>
      <c r="AU1952" s="90"/>
      <c r="AV1952" s="91"/>
      <c r="AX1952" s="92"/>
    </row>
    <row r="1953" customFormat="false" ht="15.65" hidden="false" customHeight="false" outlineLevel="0" collapsed="false">
      <c r="C1953" s="72" t="n">
        <f aca="false">COUNTIFS($D$6:D1953,"&lt;&gt;"&amp;"")</f>
        <v>1948</v>
      </c>
      <c r="D1953" s="73" t="s">
        <v>12</v>
      </c>
      <c r="E1953" s="76" t="str">
        <f aca="false">
IF($D1953="정상",INDEX(임대자산!$D$3:$R$3000,MATCH($F1953,임대자산!$I$3:$I$3000,0),MATCH(E$3,임대자산!$D$3:$R$3,0)),
IF($D1953="폐업",INDEX(폐업정보!$D$3:$R$3000,MATCH($F1953,폐업정보!$I$3:$I$3000,0),MATCH(E$3,폐업정보!$D$3:$R$3,0)),
"Error"))</f>
        <v>경상</v>
      </c>
      <c r="F195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B1948</v>
      </c>
      <c r="G1953" s="76" t="str">
        <f aca="false">F1953&amp;RANDBETWEEN(0,10)</f>
        <v>B19482</v>
      </c>
      <c r="H1953" s="75" t="n">
        <f aca="false">
IF($D1953="정상",INDEX(임대자산!$D$3:$R$3000,MATCH($F1953,임대자산!$I$3:$I$3000,0),MATCH(H$4,임대자산!$D$3:$R$3,0)),
IF($D1953="폐업",INDEX(폐업정보!$D$3:$R$3000,MATCH($F1953,폐업정보!$I$3:$I$3000,0),MATCH(H$4,폐업정보!$D$3:$R$3,0)),
"Error"))</f>
        <v>46062</v>
      </c>
      <c r="I1953" s="75" t="str">
        <f aca="false">
IF($D1953="정상",INDEX(임대자산!$D$3:$R$3000,MATCH($F1953,임대자산!$I$3:$I$3000,0),MATCH(I$4,임대자산!$D$3:$R$3,0)),
IF($D1953="폐업",INDEX(폐업정보!$D$3:$R$3000,MATCH($F1953,폐업정보!$I$3:$I$3000,0),MATCH(I$4,폐업정보!$D$3:$R$3,0)),
"Error"))</f>
        <v>A1948</v>
      </c>
      <c r="J1953" s="75" t="str">
        <f aca="false">
IF($D1953="정상",INDEX(임대자산!$D$3:$R$3000,MATCH($F1953,임대자산!$I$3:$I$3000,0),MATCH(J$4,임대자산!$D$3:$R$3,0)),
IF($D1953="폐업",INDEX(폐업정보!$D$3:$R$3000,MATCH($F1953,폐업정보!$I$3:$I$3000,0),MATCH(J$4,폐업정보!$D$3:$R$3,0)),
"Error"))</f>
        <v>4706900000</v>
      </c>
      <c r="K1953" s="75" t="str">
        <f aca="false">
IF($D1953="정상",INDEX(임대자산!$D$3:$R$3000,MATCH($F1953,임대자산!$I$3:$I$3000,0),MATCH(K$4,임대자산!$D$3:$R$3,0)),
IF($D1953="폐업",INDEX(폐업정보!$D$3:$R$3000,MATCH($F1953,폐업정보!$I$3:$I$3000,0),MATCH(K$4,폐업정보!$D$3:$R$3,0)),
"Error"))</f>
        <v>C1948</v>
      </c>
      <c r="L1953" s="75" t="str">
        <f aca="false">
IF($D1953="정상",INDEX(임대자산!$D$3:$R$3000,MATCH($F1953,임대자산!$I$3:$I$3000,0),MATCH(L$4,임대자산!$D$3:$R$3,0)),
IF($D1953="폐업",INDEX(폐업정보!$D$3:$R$3000,MATCH($F1953,폐업정보!$I$3:$I$3000,0),MATCH(L$4,폐업정보!$D$3:$R$3,0)),
"Error"))</f>
        <v>D1948</v>
      </c>
      <c r="M1953" s="76" t="s">
        <v>96</v>
      </c>
      <c r="N1953" s="77"/>
      <c r="O1953" s="78" t="s">
        <v>97</v>
      </c>
      <c r="P1953" s="79" t="n">
        <f aca="false">COUNTIFS(임대자산!$I:$I,가맹점정보!F1953,임대자산!$N:$N,가맹점정보!P$4)</f>
        <v>0</v>
      </c>
      <c r="Q1953" s="80" t="n">
        <f aca="false">COUNTIFS(임대자산!$I:$I,가맹점정보!F1953,임대자산!$N:$N,가맹점정보!Q$4)</f>
        <v>0</v>
      </c>
      <c r="R1953" s="81" t="n">
        <f aca="false">COUNTIFS(임대자산!$I:$I,가맹점정보!F1953,임대자산!$N:$N,가맹점정보!R$4)</f>
        <v>1</v>
      </c>
      <c r="S1953" s="82" t="n">
        <v>55000</v>
      </c>
      <c r="T1953" s="83" t="n">
        <v>0</v>
      </c>
      <c r="U1953" s="80" t="n">
        <f aca="false">SUM(S1953:T1953)</f>
        <v>55000</v>
      </c>
      <c r="V1953" s="84" t="s">
        <v>7</v>
      </c>
      <c r="W1953" s="80" t="str">
        <f aca="true">
IF(D1953="폐업","폐업",
IF(V1953="면제","면제",
IF(AND(V1953="정상",COUNTIFS(OFFSET(Y1953,0,COUNTA(Y1953:AV1953)-1,1,-4),"미납")&gt;=3),"장기미납",
IF(AND(V1953="정상",OFFSET(Y1953,0,COUNTA(Y1953:AV1953)-1)&gt;=U1953),"정상",
IF(AND(V1953="정상",OFFSET(Y1953,0,COUNTA(Y1953:AV1953)-1)=0),"정상",
"계약서 미작성")))))</f>
        <v>면제</v>
      </c>
      <c r="X1953" s="81" t="str">
        <f aca="true">
IF(D1953="폐업","폐업",
IF(AND(V1953="정상",OFFSET(Y1953,0,COUNTA(Y1953:AV1953)-1)="미납"),"미납",
IF(AND(V1953="정상",OFFSET(Y1953,0,COUNTA(Y1953:AV1953)-1)=0),"납부 시작 전",
IF(AND(V1953="정상",OFFSET(Y1953,0,COUNTA(Y1953:AV1953)-1)&gt;=U1953),"정상",
IF(AND(V1953="면제",OFFSET(Y1953,0,COUNTA(Y1953:AV1953)-1)="면제"),"면제",
IF(AND(V1953="면제",OFFSET(Y1953,0,COUNTA(Y1953:AV1953)-1)=0),"면제",
"확인요청"))))))</f>
        <v>면제</v>
      </c>
      <c r="Y1953" s="94" t="s">
        <v>62</v>
      </c>
      <c r="Z1953" s="95" t="s">
        <v>62</v>
      </c>
      <c r="AA1953" s="95" t="s">
        <v>62</v>
      </c>
      <c r="AB1953" s="95" t="s">
        <v>62</v>
      </c>
      <c r="AC1953" s="95" t="s">
        <v>62</v>
      </c>
      <c r="AD1953" s="95" t="s">
        <v>62</v>
      </c>
      <c r="AE1953" s="95" t="s">
        <v>62</v>
      </c>
      <c r="AF1953" s="95" t="s">
        <v>62</v>
      </c>
      <c r="AG1953" s="95" t="s">
        <v>7</v>
      </c>
      <c r="AH1953" s="95" t="s">
        <v>7</v>
      </c>
      <c r="AI1953" s="95" t="s">
        <v>7</v>
      </c>
      <c r="AJ1953" s="96" t="s">
        <v>7</v>
      </c>
      <c r="AK1953" s="97" t="s">
        <v>7</v>
      </c>
      <c r="AL1953" s="95" t="s">
        <v>7</v>
      </c>
      <c r="AM1953" s="90"/>
      <c r="AN1953" s="90"/>
      <c r="AO1953" s="90"/>
      <c r="AP1953" s="90"/>
      <c r="AQ1953" s="90"/>
      <c r="AR1953" s="90"/>
      <c r="AS1953" s="90"/>
      <c r="AT1953" s="90"/>
      <c r="AU1953" s="90"/>
      <c r="AV1953" s="91"/>
      <c r="AX1953" s="92"/>
    </row>
    <row r="1954" customFormat="false" ht="15.65" hidden="false" customHeight="false" outlineLevel="0" collapsed="false">
      <c r="C1954" s="72" t="n">
        <f aca="false">COUNTIFS($D$6:D1954,"&lt;&gt;"&amp;"")</f>
        <v>1949</v>
      </c>
      <c r="D1954" s="73" t="s">
        <v>12</v>
      </c>
      <c r="E1954" s="76" t="str">
        <f aca="false">
IF($D1954="정상",INDEX(임대자산!$D$3:$R$3000,MATCH($F1954,임대자산!$I$3:$I$3000,0),MATCH(E$3,임대자산!$D$3:$R$3,0)),
IF($D1954="폐업",INDEX(폐업정보!$D$3:$R$3000,MATCH($F1954,폐업정보!$I$3:$I$3000,0),MATCH(E$3,폐업정보!$D$3:$R$3,0)),
"Error"))</f>
        <v>강원</v>
      </c>
      <c r="F195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B1949</v>
      </c>
      <c r="G1954" s="76" t="str">
        <f aca="false">F1954&amp;RANDBETWEEN(0,10)</f>
        <v>B194910</v>
      </c>
      <c r="H1954" s="75" t="n">
        <f aca="false">
IF($D1954="정상",INDEX(임대자산!$D$3:$R$3000,MATCH($F1954,임대자산!$I$3:$I$3000,0),MATCH(H$4,임대자산!$D$3:$R$3,0)),
IF($D1954="폐업",INDEX(폐업정보!$D$3:$R$3000,MATCH($F1954,폐업정보!$I$3:$I$3000,0),MATCH(H$4,폐업정보!$D$3:$R$3,0)),
"Error"))</f>
        <v>46062</v>
      </c>
      <c r="I1954" s="75" t="str">
        <f aca="false">
IF($D1954="정상",INDEX(임대자산!$D$3:$R$3000,MATCH($F1954,임대자산!$I$3:$I$3000,0),MATCH(I$4,임대자산!$D$3:$R$3,0)),
IF($D1954="폐업",INDEX(폐업정보!$D$3:$R$3000,MATCH($F1954,폐업정보!$I$3:$I$3000,0),MATCH(I$4,폐업정보!$D$3:$R$3,0)),
"Error"))</f>
        <v>A1949</v>
      </c>
      <c r="J1954" s="75" t="str">
        <f aca="false">
IF($D1954="정상",INDEX(임대자산!$D$3:$R$3000,MATCH($F1954,임대자산!$I$3:$I$3000,0),MATCH(J$4,임대자산!$D$3:$R$3,0)),
IF($D1954="폐업",INDEX(폐업정보!$D$3:$R$3000,MATCH($F1954,폐업정보!$I$3:$I$3000,0),MATCH(J$4,폐업정보!$D$3:$R$3,0)),
"Error"))</f>
        <v>9298400000</v>
      </c>
      <c r="K1954" s="75" t="str">
        <f aca="false">
IF($D1954="정상",INDEX(임대자산!$D$3:$R$3000,MATCH($F1954,임대자산!$I$3:$I$3000,0),MATCH(K$4,임대자산!$D$3:$R$3,0)),
IF($D1954="폐업",INDEX(폐업정보!$D$3:$R$3000,MATCH($F1954,폐업정보!$I$3:$I$3000,0),MATCH(K$4,폐업정보!$D$3:$R$3,0)),
"Error"))</f>
        <v>C1949</v>
      </c>
      <c r="L1954" s="75" t="str">
        <f aca="false">
IF($D1954="정상",INDEX(임대자산!$D$3:$R$3000,MATCH($F1954,임대자산!$I$3:$I$3000,0),MATCH(L$4,임대자산!$D$3:$R$3,0)),
IF($D1954="폐업",INDEX(폐업정보!$D$3:$R$3000,MATCH($F1954,폐업정보!$I$3:$I$3000,0),MATCH(L$4,폐업정보!$D$3:$R$3,0)),
"Error"))</f>
        <v>D1949</v>
      </c>
      <c r="M1954" s="76" t="s">
        <v>96</v>
      </c>
      <c r="N1954" s="77"/>
      <c r="O1954" s="78" t="s">
        <v>97</v>
      </c>
      <c r="P1954" s="79" t="n">
        <f aca="false">COUNTIFS(임대자산!$I:$I,가맹점정보!F1954,임대자산!$N:$N,가맹점정보!P$4)</f>
        <v>0</v>
      </c>
      <c r="Q1954" s="80" t="n">
        <f aca="false">COUNTIFS(임대자산!$I:$I,가맹점정보!F1954,임대자산!$N:$N,가맹점정보!Q$4)</f>
        <v>0</v>
      </c>
      <c r="R1954" s="81" t="n">
        <f aca="false">COUNTIFS(임대자산!$I:$I,가맹점정보!F1954,임대자산!$N:$N,가맹점정보!R$4)</f>
        <v>1</v>
      </c>
      <c r="S1954" s="82" t="n">
        <v>55000</v>
      </c>
      <c r="T1954" s="83" t="n">
        <v>0</v>
      </c>
      <c r="U1954" s="80" t="n">
        <f aca="false">SUM(S1954:T1954)</f>
        <v>55000</v>
      </c>
      <c r="V1954" s="84" t="s">
        <v>7</v>
      </c>
      <c r="W1954" s="80" t="str">
        <f aca="true">
IF(D1954="폐업","폐업",
IF(V1954="면제","면제",
IF(AND(V1954="정상",COUNTIFS(OFFSET(Y1954,0,COUNTA(Y1954:AV1954)-1,1,-4),"미납")&gt;=3),"장기미납",
IF(AND(V1954="정상",OFFSET(Y1954,0,COUNTA(Y1954:AV1954)-1)&gt;=U1954),"정상",
IF(AND(V1954="정상",OFFSET(Y1954,0,COUNTA(Y1954:AV1954)-1)=0),"정상",
"계약서 미작성")))))</f>
        <v>면제</v>
      </c>
      <c r="X1954" s="81" t="str">
        <f aca="true">
IF(D1954="폐업","폐업",
IF(AND(V1954="정상",OFFSET(Y1954,0,COUNTA(Y1954:AV1954)-1)="미납"),"미납",
IF(AND(V1954="정상",OFFSET(Y1954,0,COUNTA(Y1954:AV1954)-1)=0),"납부 시작 전",
IF(AND(V1954="정상",OFFSET(Y1954,0,COUNTA(Y1954:AV1954)-1)&gt;=U1954),"정상",
IF(AND(V1954="면제",OFFSET(Y1954,0,COUNTA(Y1954:AV1954)-1)="면제"),"면제",
IF(AND(V1954="면제",OFFSET(Y1954,0,COUNTA(Y1954:AV1954)-1)=0),"면제",
"확인요청"))))))</f>
        <v>면제</v>
      </c>
      <c r="Y1954" s="94" t="s">
        <v>62</v>
      </c>
      <c r="Z1954" s="95" t="s">
        <v>62</v>
      </c>
      <c r="AA1954" s="95" t="s">
        <v>62</v>
      </c>
      <c r="AB1954" s="95" t="s">
        <v>62</v>
      </c>
      <c r="AC1954" s="95" t="s">
        <v>62</v>
      </c>
      <c r="AD1954" s="95" t="s">
        <v>62</v>
      </c>
      <c r="AE1954" s="95" t="s">
        <v>62</v>
      </c>
      <c r="AF1954" s="95" t="s">
        <v>7</v>
      </c>
      <c r="AG1954" s="95" t="s">
        <v>7</v>
      </c>
      <c r="AH1954" s="95" t="s">
        <v>7</v>
      </c>
      <c r="AI1954" s="95" t="s">
        <v>7</v>
      </c>
      <c r="AJ1954" s="96" t="s">
        <v>7</v>
      </c>
      <c r="AK1954" s="97" t="s">
        <v>7</v>
      </c>
      <c r="AL1954" s="95" t="s">
        <v>7</v>
      </c>
      <c r="AM1954" s="90"/>
      <c r="AN1954" s="90"/>
      <c r="AO1954" s="90"/>
      <c r="AP1954" s="90"/>
      <c r="AQ1954" s="90"/>
      <c r="AR1954" s="90"/>
      <c r="AS1954" s="90"/>
      <c r="AT1954" s="90"/>
      <c r="AU1954" s="90"/>
      <c r="AV1954" s="91"/>
      <c r="AX1954" s="92"/>
    </row>
    <row r="1955" customFormat="false" ht="15.65" hidden="false" customHeight="false" outlineLevel="0" collapsed="false">
      <c r="C1955" s="72" t="n">
        <f aca="false">COUNTIFS($D$6:D1955,"&lt;&gt;"&amp;"")</f>
        <v>1950</v>
      </c>
      <c r="D1955" s="73" t="s">
        <v>12</v>
      </c>
      <c r="E1955" s="76" t="str">
        <f aca="false">
IF($D1955="정상",INDEX(임대자산!$D$3:$R$3000,MATCH($F1955,임대자산!$I$3:$I$3000,0),MATCH(E$3,임대자산!$D$3:$R$3,0)),
IF($D1955="폐업",INDEX(폐업정보!$D$3:$R$3000,MATCH($F1955,폐업정보!$I$3:$I$3000,0),MATCH(E$3,폐업정보!$D$3:$R$3,0)),
"Error"))</f>
        <v>강원</v>
      </c>
      <c r="F195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B1950</v>
      </c>
      <c r="G1955" s="76" t="str">
        <f aca="false">F1955&amp;RANDBETWEEN(0,10)</f>
        <v>B19501</v>
      </c>
      <c r="H1955" s="75" t="n">
        <f aca="false">
IF($D1955="정상",INDEX(임대자산!$D$3:$R$3000,MATCH($F1955,임대자산!$I$3:$I$3000,0),MATCH(H$4,임대자산!$D$3:$R$3,0)),
IF($D1955="폐업",INDEX(폐업정보!$D$3:$R$3000,MATCH($F1955,폐업정보!$I$3:$I$3000,0),MATCH(H$4,폐업정보!$D$3:$R$3,0)),
"Error"))</f>
        <v>46062</v>
      </c>
      <c r="I1955" s="75" t="str">
        <f aca="false">
IF($D1955="정상",INDEX(임대자산!$D$3:$R$3000,MATCH($F1955,임대자산!$I$3:$I$3000,0),MATCH(I$4,임대자산!$D$3:$R$3,0)),
IF($D1955="폐업",INDEX(폐업정보!$D$3:$R$3000,MATCH($F1955,폐업정보!$I$3:$I$3000,0),MATCH(I$4,폐업정보!$D$3:$R$3,0)),
"Error"))</f>
        <v>A1950</v>
      </c>
      <c r="J1955" s="75" t="str">
        <f aca="false">
IF($D1955="정상",INDEX(임대자산!$D$3:$R$3000,MATCH($F1955,임대자산!$I$3:$I$3000,0),MATCH(J$4,임대자산!$D$3:$R$3,0)),
IF($D1955="폐업",INDEX(폐업정보!$D$3:$R$3000,MATCH($F1955,폐업정보!$I$3:$I$3000,0),MATCH(J$4,폐업정보!$D$3:$R$3,0)),
"Error"))</f>
        <v>6338100000</v>
      </c>
      <c r="K1955" s="75" t="str">
        <f aca="false">
IF($D1955="정상",INDEX(임대자산!$D$3:$R$3000,MATCH($F1955,임대자산!$I$3:$I$3000,0),MATCH(K$4,임대자산!$D$3:$R$3,0)),
IF($D1955="폐업",INDEX(폐업정보!$D$3:$R$3000,MATCH($F1955,폐업정보!$I$3:$I$3000,0),MATCH(K$4,폐업정보!$D$3:$R$3,0)),
"Error"))</f>
        <v>C1950</v>
      </c>
      <c r="L1955" s="75" t="str">
        <f aca="false">
IF($D1955="정상",INDEX(임대자산!$D$3:$R$3000,MATCH($F1955,임대자산!$I$3:$I$3000,0),MATCH(L$4,임대자산!$D$3:$R$3,0)),
IF($D1955="폐업",INDEX(폐업정보!$D$3:$R$3000,MATCH($F1955,폐업정보!$I$3:$I$3000,0),MATCH(L$4,폐업정보!$D$3:$R$3,0)),
"Error"))</f>
        <v>D1950</v>
      </c>
      <c r="M1955" s="76" t="s">
        <v>96</v>
      </c>
      <c r="N1955" s="77"/>
      <c r="O1955" s="78" t="s">
        <v>97</v>
      </c>
      <c r="P1955" s="79" t="n">
        <f aca="false">COUNTIFS(임대자산!$I:$I,가맹점정보!F1955,임대자산!$N:$N,가맹점정보!P$4)</f>
        <v>0</v>
      </c>
      <c r="Q1955" s="80" t="n">
        <f aca="false">COUNTIFS(임대자산!$I:$I,가맹점정보!F1955,임대자산!$N:$N,가맹점정보!Q$4)</f>
        <v>0</v>
      </c>
      <c r="R1955" s="81" t="n">
        <f aca="false">COUNTIFS(임대자산!$I:$I,가맹점정보!F1955,임대자산!$N:$N,가맹점정보!R$4)</f>
        <v>1</v>
      </c>
      <c r="S1955" s="82" t="n">
        <v>88000</v>
      </c>
      <c r="T1955" s="83" t="n">
        <v>0</v>
      </c>
      <c r="U1955" s="80" t="n">
        <f aca="false">SUM(S1955:T1955)</f>
        <v>88000</v>
      </c>
      <c r="V1955" s="84" t="s">
        <v>12</v>
      </c>
      <c r="W1955" s="80" t="e">
        <f aca="true">
IF(D1955="폐업","폐업",
IF(V1955="면제","면제",
IF(AND(V1955="정상",COUNTIFS(OFFSET(Y1955,0,COUNTA(Y1955:AV1955)-1,1,-4),"미납")&gt;=3),"장기미납",
IF(AND(V1955="정상",OFFSET(Y1955,0,COUNTA(Y1955:AV1955)-1)&gt;=U1955),"정상",
IF(AND(V1955="정상",OFFSET(Y1955,0,COUNTA(Y1955:AV1955)-1)=0),"정상",
"계약서 미작성")))))</f>
        <v>#VALUE!</v>
      </c>
      <c r="X1955" s="81" t="str">
        <f aca="true">
IF(D1955="폐업","폐업",
IF(AND(V1955="정상",OFFSET(Y1955,0,COUNTA(Y1955:AV1955)-1)="미납"),"미납",
IF(AND(V1955="정상",OFFSET(Y1955,0,COUNTA(Y1955:AV1955)-1)=0),"납부 시작 전",
IF(AND(V1955="정상",OFFSET(Y1955,0,COUNTA(Y1955:AV1955)-1)&gt;=U1955),"정상",
IF(AND(V1955="면제",OFFSET(Y1955,0,COUNTA(Y1955:AV1955)-1)="면제"),"면제",
IF(AND(V1955="면제",OFFSET(Y1955,0,COUNTA(Y1955:AV1955)-1)=0),"면제",
"확인요청"))))))</f>
        <v>미납</v>
      </c>
      <c r="Y1955" s="94" t="s">
        <v>62</v>
      </c>
      <c r="Z1955" s="95" t="s">
        <v>62</v>
      </c>
      <c r="AA1955" s="95" t="s">
        <v>62</v>
      </c>
      <c r="AB1955" s="95" t="s">
        <v>62</v>
      </c>
      <c r="AC1955" s="95" t="s">
        <v>62</v>
      </c>
      <c r="AD1955" s="95" t="s">
        <v>62</v>
      </c>
      <c r="AE1955" s="95" t="s">
        <v>62</v>
      </c>
      <c r="AF1955" s="95" t="s">
        <v>62</v>
      </c>
      <c r="AG1955" s="95" t="s">
        <v>62</v>
      </c>
      <c r="AH1955" s="95" t="s">
        <v>62</v>
      </c>
      <c r="AI1955" s="95" t="s">
        <v>62</v>
      </c>
      <c r="AJ1955" s="96" t="s">
        <v>62</v>
      </c>
      <c r="AK1955" s="97" t="s">
        <v>62</v>
      </c>
      <c r="AL1955" s="95" t="s">
        <v>62</v>
      </c>
      <c r="AM1955" s="90"/>
      <c r="AN1955" s="90"/>
      <c r="AO1955" s="90"/>
      <c r="AP1955" s="90"/>
      <c r="AQ1955" s="90"/>
      <c r="AR1955" s="90"/>
      <c r="AS1955" s="90"/>
      <c r="AT1955" s="90"/>
      <c r="AU1955" s="90"/>
      <c r="AV1955" s="91"/>
      <c r="AX1955" s="92"/>
    </row>
    <row r="1956" customFormat="false" ht="15.65" hidden="false" customHeight="false" outlineLevel="0" collapsed="false">
      <c r="C1956" s="72" t="n">
        <f aca="false">COUNTIFS($D$6:D1956,"&lt;&gt;"&amp;"")</f>
        <v>1951</v>
      </c>
      <c r="D1956" s="73" t="s">
        <v>12</v>
      </c>
      <c r="E1956" s="76" t="str">
        <f aca="false">
IF($D1956="정상",INDEX(임대자산!$D$3:$R$3000,MATCH($F1956,임대자산!$I$3:$I$3000,0),MATCH(E$3,임대자산!$D$3:$R$3,0)),
IF($D1956="폐업",INDEX(폐업정보!$D$3:$R$3000,MATCH($F1956,폐업정보!$I$3:$I$3000,0),MATCH(E$3,폐업정보!$D$3:$R$3,0)),
"Error"))</f>
        <v>강원</v>
      </c>
      <c r="F195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B1951</v>
      </c>
      <c r="G1956" s="76" t="str">
        <f aca="false">F1956&amp;RANDBETWEEN(0,10)</f>
        <v>B19512</v>
      </c>
      <c r="H1956" s="75" t="n">
        <f aca="false">
IF($D1956="정상",INDEX(임대자산!$D$3:$R$3000,MATCH($F1956,임대자산!$I$3:$I$3000,0),MATCH(H$4,임대자산!$D$3:$R$3,0)),
IF($D1956="폐업",INDEX(폐업정보!$D$3:$R$3000,MATCH($F1956,폐업정보!$I$3:$I$3000,0),MATCH(H$4,폐업정보!$D$3:$R$3,0)),
"Error"))</f>
        <v>46062</v>
      </c>
      <c r="I1956" s="75" t="str">
        <f aca="false">
IF($D1956="정상",INDEX(임대자산!$D$3:$R$3000,MATCH($F1956,임대자산!$I$3:$I$3000,0),MATCH(I$4,임대자산!$D$3:$R$3,0)),
IF($D1956="폐업",INDEX(폐업정보!$D$3:$R$3000,MATCH($F1956,폐업정보!$I$3:$I$3000,0),MATCH(I$4,폐업정보!$D$3:$R$3,0)),
"Error"))</f>
        <v>A1951</v>
      </c>
      <c r="J1956" s="75" t="str">
        <f aca="false">
IF($D1956="정상",INDEX(임대자산!$D$3:$R$3000,MATCH($F1956,임대자산!$I$3:$I$3000,0),MATCH(J$4,임대자산!$D$3:$R$3,0)),
IF($D1956="폐업",INDEX(폐업정보!$D$3:$R$3000,MATCH($F1956,폐업정보!$I$3:$I$3000,0),MATCH(J$4,폐업정보!$D$3:$R$3,0)),
"Error"))</f>
        <v>2389400000</v>
      </c>
      <c r="K1956" s="75" t="str">
        <f aca="false">
IF($D1956="정상",INDEX(임대자산!$D$3:$R$3000,MATCH($F1956,임대자산!$I$3:$I$3000,0),MATCH(K$4,임대자산!$D$3:$R$3,0)),
IF($D1956="폐업",INDEX(폐업정보!$D$3:$R$3000,MATCH($F1956,폐업정보!$I$3:$I$3000,0),MATCH(K$4,폐업정보!$D$3:$R$3,0)),
"Error"))</f>
        <v>C1951</v>
      </c>
      <c r="L1956" s="75" t="str">
        <f aca="false">
IF($D1956="정상",INDEX(임대자산!$D$3:$R$3000,MATCH($F1956,임대자산!$I$3:$I$3000,0),MATCH(L$4,임대자산!$D$3:$R$3,0)),
IF($D1956="폐업",INDEX(폐업정보!$D$3:$R$3000,MATCH($F1956,폐업정보!$I$3:$I$3000,0),MATCH(L$4,폐업정보!$D$3:$R$3,0)),
"Error"))</f>
        <v>D1951</v>
      </c>
      <c r="M1956" s="76" t="s">
        <v>96</v>
      </c>
      <c r="N1956" s="77"/>
      <c r="O1956" s="78" t="s">
        <v>97</v>
      </c>
      <c r="P1956" s="79" t="n">
        <f aca="false">COUNTIFS(임대자산!$I:$I,가맹점정보!F1956,임대자산!$N:$N,가맹점정보!P$4)</f>
        <v>0</v>
      </c>
      <c r="Q1956" s="80" t="n">
        <f aca="false">COUNTIFS(임대자산!$I:$I,가맹점정보!F1956,임대자산!$N:$N,가맹점정보!Q$4)</f>
        <v>0</v>
      </c>
      <c r="R1956" s="81" t="n">
        <f aca="false">COUNTIFS(임대자산!$I:$I,가맹점정보!F1956,임대자산!$N:$N,가맹점정보!R$4)</f>
        <v>1</v>
      </c>
      <c r="S1956" s="82" t="n">
        <v>55000</v>
      </c>
      <c r="T1956" s="83" t="n">
        <v>0</v>
      </c>
      <c r="U1956" s="80" t="n">
        <f aca="false">SUM(S1956:T1956)</f>
        <v>55000</v>
      </c>
      <c r="V1956" s="84" t="s">
        <v>7</v>
      </c>
      <c r="W1956" s="80" t="str">
        <f aca="true">
IF(D1956="폐업","폐업",
IF(V1956="면제","면제",
IF(AND(V1956="정상",COUNTIFS(OFFSET(Y1956,0,COUNTA(Y1956:AV1956)-1,1,-4),"미납")&gt;=3),"장기미납",
IF(AND(V1956="정상",OFFSET(Y1956,0,COUNTA(Y1956:AV1956)-1)&gt;=U1956),"정상",
IF(AND(V1956="정상",OFFSET(Y1956,0,COUNTA(Y1956:AV1956)-1)=0),"정상",
"계약서 미작성")))))</f>
        <v>면제</v>
      </c>
      <c r="X1956" s="81" t="str">
        <f aca="true">
IF(D1956="폐업","폐업",
IF(AND(V1956="정상",OFFSET(Y1956,0,COUNTA(Y1956:AV1956)-1)="미납"),"미납",
IF(AND(V1956="정상",OFFSET(Y1956,0,COUNTA(Y1956:AV1956)-1)=0),"납부 시작 전",
IF(AND(V1956="정상",OFFSET(Y1956,0,COUNTA(Y1956:AV1956)-1)&gt;=U1956),"정상",
IF(AND(V1956="면제",OFFSET(Y1956,0,COUNTA(Y1956:AV1956)-1)="면제"),"면제",
IF(AND(V1956="면제",OFFSET(Y1956,0,COUNTA(Y1956:AV1956)-1)=0),"면제",
"확인요청"))))))</f>
        <v>면제</v>
      </c>
      <c r="Y1956" s="94" t="s">
        <v>62</v>
      </c>
      <c r="Z1956" s="95" t="s">
        <v>62</v>
      </c>
      <c r="AA1956" s="95" t="s">
        <v>62</v>
      </c>
      <c r="AB1956" s="95" t="s">
        <v>62</v>
      </c>
      <c r="AC1956" s="95" t="s">
        <v>62</v>
      </c>
      <c r="AD1956" s="95" t="s">
        <v>62</v>
      </c>
      <c r="AE1956" s="95" t="s">
        <v>7</v>
      </c>
      <c r="AF1956" s="95" t="s">
        <v>7</v>
      </c>
      <c r="AG1956" s="95" t="s">
        <v>7</v>
      </c>
      <c r="AH1956" s="95" t="s">
        <v>7</v>
      </c>
      <c r="AI1956" s="95" t="s">
        <v>7</v>
      </c>
      <c r="AJ1956" s="96" t="s">
        <v>7</v>
      </c>
      <c r="AK1956" s="97" t="s">
        <v>7</v>
      </c>
      <c r="AL1956" s="95" t="s">
        <v>7</v>
      </c>
      <c r="AM1956" s="90"/>
      <c r="AN1956" s="90"/>
      <c r="AO1956" s="90"/>
      <c r="AP1956" s="90"/>
      <c r="AQ1956" s="90"/>
      <c r="AR1956" s="90"/>
      <c r="AS1956" s="90"/>
      <c r="AT1956" s="90"/>
      <c r="AU1956" s="90"/>
      <c r="AV1956" s="91"/>
      <c r="AX1956" s="92"/>
    </row>
    <row r="1957" customFormat="false" ht="15.65" hidden="false" customHeight="false" outlineLevel="0" collapsed="false">
      <c r="C1957" s="72" t="n">
        <f aca="false">COUNTIFS($D$6:D1957,"&lt;&gt;"&amp;"")</f>
        <v>1952</v>
      </c>
      <c r="D1957" s="73" t="s">
        <v>12</v>
      </c>
      <c r="E1957" s="76" t="str">
        <f aca="false">
IF($D1957="정상",INDEX(임대자산!$D$3:$R$3000,MATCH($F1957,임대자산!$I$3:$I$3000,0),MATCH(E$3,임대자산!$D$3:$R$3,0)),
IF($D1957="폐업",INDEX(폐업정보!$D$3:$R$3000,MATCH($F1957,폐업정보!$I$3:$I$3000,0),MATCH(E$3,폐업정보!$D$3:$R$3,0)),
"Error"))</f>
        <v>서울</v>
      </c>
      <c r="F195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B1952</v>
      </c>
      <c r="G1957" s="76" t="str">
        <f aca="false">F1957&amp;RANDBETWEEN(0,10)</f>
        <v>B19529</v>
      </c>
      <c r="H1957" s="75" t="n">
        <f aca="false">
IF($D1957="정상",INDEX(임대자산!$D$3:$R$3000,MATCH($F1957,임대자산!$I$3:$I$3000,0),MATCH(H$4,임대자산!$D$3:$R$3,0)),
IF($D1957="폐업",INDEX(폐업정보!$D$3:$R$3000,MATCH($F1957,폐업정보!$I$3:$I$3000,0),MATCH(H$4,폐업정보!$D$3:$R$3,0)),
"Error"))</f>
        <v>46062</v>
      </c>
      <c r="I1957" s="75" t="str">
        <f aca="false">
IF($D1957="정상",INDEX(임대자산!$D$3:$R$3000,MATCH($F1957,임대자산!$I$3:$I$3000,0),MATCH(I$4,임대자산!$D$3:$R$3,0)),
IF($D1957="폐업",INDEX(폐업정보!$D$3:$R$3000,MATCH($F1957,폐업정보!$I$3:$I$3000,0),MATCH(I$4,폐업정보!$D$3:$R$3,0)),
"Error"))</f>
        <v>A1952</v>
      </c>
      <c r="J1957" s="75" t="str">
        <f aca="false">
IF($D1957="정상",INDEX(임대자산!$D$3:$R$3000,MATCH($F1957,임대자산!$I$3:$I$3000,0),MATCH(J$4,임대자산!$D$3:$R$3,0)),
IF($D1957="폐업",INDEX(폐업정보!$D$3:$R$3000,MATCH($F1957,폐업정보!$I$3:$I$3000,0),MATCH(J$4,폐업정보!$D$3:$R$3,0)),
"Error"))</f>
        <v>7998600000</v>
      </c>
      <c r="K1957" s="75" t="str">
        <f aca="false">
IF($D1957="정상",INDEX(임대자산!$D$3:$R$3000,MATCH($F1957,임대자산!$I$3:$I$3000,0),MATCH(K$4,임대자산!$D$3:$R$3,0)),
IF($D1957="폐업",INDEX(폐업정보!$D$3:$R$3000,MATCH($F1957,폐업정보!$I$3:$I$3000,0),MATCH(K$4,폐업정보!$D$3:$R$3,0)),
"Error"))</f>
        <v>C1952</v>
      </c>
      <c r="L1957" s="75" t="str">
        <f aca="false">
IF($D1957="정상",INDEX(임대자산!$D$3:$R$3000,MATCH($F1957,임대자산!$I$3:$I$3000,0),MATCH(L$4,임대자산!$D$3:$R$3,0)),
IF($D1957="폐업",INDEX(폐업정보!$D$3:$R$3000,MATCH($F1957,폐업정보!$I$3:$I$3000,0),MATCH(L$4,폐업정보!$D$3:$R$3,0)),
"Error"))</f>
        <v>D1952</v>
      </c>
      <c r="M1957" s="76" t="s">
        <v>96</v>
      </c>
      <c r="N1957" s="77"/>
      <c r="O1957" s="78" t="s">
        <v>97</v>
      </c>
      <c r="P1957" s="79" t="n">
        <f aca="false">COUNTIFS(임대자산!$I:$I,가맹점정보!F1957,임대자산!$N:$N,가맹점정보!P$4)</f>
        <v>0</v>
      </c>
      <c r="Q1957" s="80" t="n">
        <f aca="false">COUNTIFS(임대자산!$I:$I,가맹점정보!F1957,임대자산!$N:$N,가맹점정보!Q$4)</f>
        <v>0</v>
      </c>
      <c r="R1957" s="81" t="n">
        <f aca="false">COUNTIFS(임대자산!$I:$I,가맹점정보!F1957,임대자산!$N:$N,가맹점정보!R$4)</f>
        <v>1</v>
      </c>
      <c r="S1957" s="82" t="n">
        <v>55000</v>
      </c>
      <c r="T1957" s="83" t="n">
        <v>0</v>
      </c>
      <c r="U1957" s="80" t="n">
        <f aca="false">SUM(S1957:T1957)</f>
        <v>55000</v>
      </c>
      <c r="V1957" s="84" t="s">
        <v>12</v>
      </c>
      <c r="W1957" s="80" t="e">
        <f aca="true">
IF(D1957="폐업","폐업",
IF(V1957="면제","면제",
IF(AND(V1957="정상",COUNTIFS(OFFSET(Y1957,0,COUNTA(Y1957:AV1957)-1,1,-4),"미납")&gt;=3),"장기미납",
IF(AND(V1957="정상",OFFSET(Y1957,0,COUNTA(Y1957:AV1957)-1)&gt;=U1957),"정상",
IF(AND(V1957="정상",OFFSET(Y1957,0,COUNTA(Y1957:AV1957)-1)=0),"정상",
"계약서 미작성")))))</f>
        <v>#VALUE!</v>
      </c>
      <c r="X1957" s="81" t="str">
        <f aca="true">
IF(D1957="폐업","폐업",
IF(AND(V1957="정상",OFFSET(Y1957,0,COUNTA(Y1957:AV1957)-1)="미납"),"미납",
IF(AND(V1957="정상",OFFSET(Y1957,0,COUNTA(Y1957:AV1957)-1)=0),"납부 시작 전",
IF(AND(V1957="정상",OFFSET(Y1957,0,COUNTA(Y1957:AV1957)-1)&gt;=U1957),"정상",
IF(AND(V1957="면제",OFFSET(Y1957,0,COUNTA(Y1957:AV1957)-1)="면제"),"면제",
IF(AND(V1957="면제",OFFSET(Y1957,0,COUNTA(Y1957:AV1957)-1)=0),"면제",
"확인요청"))))))</f>
        <v>정상</v>
      </c>
      <c r="Y1957" s="94" t="s">
        <v>62</v>
      </c>
      <c r="Z1957" s="95" t="s">
        <v>62</v>
      </c>
      <c r="AA1957" s="95" t="s">
        <v>62</v>
      </c>
      <c r="AB1957" s="95" t="s">
        <v>62</v>
      </c>
      <c r="AC1957" s="95" t="s">
        <v>62</v>
      </c>
      <c r="AD1957" s="95" t="s">
        <v>62</v>
      </c>
      <c r="AE1957" s="95" t="s">
        <v>62</v>
      </c>
      <c r="AF1957" s="95" t="s">
        <v>62</v>
      </c>
      <c r="AG1957" s="95" t="s">
        <v>62</v>
      </c>
      <c r="AH1957" s="95" t="s">
        <v>62</v>
      </c>
      <c r="AI1957" s="95" t="s">
        <v>62</v>
      </c>
      <c r="AJ1957" s="96" t="s">
        <v>62</v>
      </c>
      <c r="AK1957" s="97" t="s">
        <v>62</v>
      </c>
      <c r="AL1957" s="90" t="n">
        <v>55000</v>
      </c>
      <c r="AM1957" s="90"/>
      <c r="AN1957" s="90"/>
      <c r="AO1957" s="90"/>
      <c r="AP1957" s="90"/>
      <c r="AQ1957" s="90"/>
      <c r="AR1957" s="90"/>
      <c r="AS1957" s="90"/>
      <c r="AT1957" s="90"/>
      <c r="AU1957" s="90"/>
      <c r="AV1957" s="91"/>
      <c r="AX1957" s="92"/>
    </row>
    <row r="1958" customFormat="false" ht="15.65" hidden="false" customHeight="false" outlineLevel="0" collapsed="false">
      <c r="C1958" s="72" t="n">
        <f aca="false">COUNTIFS($D$6:D1958,"&lt;&gt;"&amp;"")</f>
        <v>1953</v>
      </c>
      <c r="D1958" s="73" t="s">
        <v>12</v>
      </c>
      <c r="E1958" s="76" t="str">
        <f aca="false">
IF($D1958="정상",INDEX(임대자산!$D$3:$R$3000,MATCH($F1958,임대자산!$I$3:$I$3000,0),MATCH(E$3,임대자산!$D$3:$R$3,0)),
IF($D1958="폐업",INDEX(폐업정보!$D$3:$R$3000,MATCH($F1958,폐업정보!$I$3:$I$3000,0),MATCH(E$3,폐업정보!$D$3:$R$3,0)),
"Error"))</f>
        <v>서울</v>
      </c>
      <c r="F1958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B1953</v>
      </c>
      <c r="G1958" s="76" t="str">
        <f aca="false">F1958&amp;RANDBETWEEN(0,10)</f>
        <v>B19537</v>
      </c>
      <c r="H1958" s="75" t="n">
        <f aca="false">
IF($D1958="정상",INDEX(임대자산!$D$3:$R$3000,MATCH($F1958,임대자산!$I$3:$I$3000,0),MATCH(H$4,임대자산!$D$3:$R$3,0)),
IF($D1958="폐업",INDEX(폐업정보!$D$3:$R$3000,MATCH($F1958,폐업정보!$I$3:$I$3000,0),MATCH(H$4,폐업정보!$D$3:$R$3,0)),
"Error"))</f>
        <v>46062</v>
      </c>
      <c r="I1958" s="75" t="str">
        <f aca="false">
IF($D1958="정상",INDEX(임대자산!$D$3:$R$3000,MATCH($F1958,임대자산!$I$3:$I$3000,0),MATCH(I$4,임대자산!$D$3:$R$3,0)),
IF($D1958="폐업",INDEX(폐업정보!$D$3:$R$3000,MATCH($F1958,폐업정보!$I$3:$I$3000,0),MATCH(I$4,폐업정보!$D$3:$R$3,0)),
"Error"))</f>
        <v>A1953</v>
      </c>
      <c r="J1958" s="75" t="str">
        <f aca="false">
IF($D1958="정상",INDEX(임대자산!$D$3:$R$3000,MATCH($F1958,임대자산!$I$3:$I$3000,0),MATCH(J$4,임대자산!$D$3:$R$3,0)),
IF($D1958="폐업",INDEX(폐업정보!$D$3:$R$3000,MATCH($F1958,폐업정보!$I$3:$I$3000,0),MATCH(J$4,폐업정보!$D$3:$R$3,0)),
"Error"))</f>
        <v>2454200000</v>
      </c>
      <c r="K1958" s="75" t="str">
        <f aca="false">
IF($D1958="정상",INDEX(임대자산!$D$3:$R$3000,MATCH($F1958,임대자산!$I$3:$I$3000,0),MATCH(K$4,임대자산!$D$3:$R$3,0)),
IF($D1958="폐업",INDEX(폐업정보!$D$3:$R$3000,MATCH($F1958,폐업정보!$I$3:$I$3000,0),MATCH(K$4,폐업정보!$D$3:$R$3,0)),
"Error"))</f>
        <v>C1953</v>
      </c>
      <c r="L1958" s="75" t="str">
        <f aca="false">
IF($D1958="정상",INDEX(임대자산!$D$3:$R$3000,MATCH($F1958,임대자산!$I$3:$I$3000,0),MATCH(L$4,임대자산!$D$3:$R$3,0)),
IF($D1958="폐업",INDEX(폐업정보!$D$3:$R$3000,MATCH($F1958,폐업정보!$I$3:$I$3000,0),MATCH(L$4,폐업정보!$D$3:$R$3,0)),
"Error"))</f>
        <v>D1953</v>
      </c>
      <c r="M1958" s="76" t="s">
        <v>96</v>
      </c>
      <c r="N1958" s="77"/>
      <c r="O1958" s="78" t="s">
        <v>97</v>
      </c>
      <c r="P1958" s="79" t="n">
        <f aca="false">COUNTIFS(임대자산!$I:$I,가맹점정보!F1958,임대자산!$N:$N,가맹점정보!P$4)</f>
        <v>0</v>
      </c>
      <c r="Q1958" s="80" t="n">
        <f aca="false">COUNTIFS(임대자산!$I:$I,가맹점정보!F1958,임대자산!$N:$N,가맹점정보!Q$4)</f>
        <v>0</v>
      </c>
      <c r="R1958" s="81" t="n">
        <f aca="false">COUNTIFS(임대자산!$I:$I,가맹점정보!F1958,임대자산!$N:$N,가맹점정보!R$4)</f>
        <v>1</v>
      </c>
      <c r="S1958" s="82" t="n">
        <v>55000</v>
      </c>
      <c r="T1958" s="83" t="n">
        <v>0</v>
      </c>
      <c r="U1958" s="80" t="n">
        <f aca="false">SUM(S1958:T1958)</f>
        <v>55000</v>
      </c>
      <c r="V1958" s="84" t="s">
        <v>7</v>
      </c>
      <c r="W1958" s="80" t="str">
        <f aca="true">
IF(D1958="폐업","폐업",
IF(V1958="면제","면제",
IF(AND(V1958="정상",COUNTIFS(OFFSET(Y1958,0,COUNTA(Y1958:AV1958)-1,1,-4),"미납")&gt;=3),"장기미납",
IF(AND(V1958="정상",OFFSET(Y1958,0,COUNTA(Y1958:AV1958)-1)&gt;=U1958),"정상",
IF(AND(V1958="정상",OFFSET(Y1958,0,COUNTA(Y1958:AV1958)-1)=0),"정상",
"계약서 미작성")))))</f>
        <v>면제</v>
      </c>
      <c r="X1958" s="81" t="str">
        <f aca="true">
IF(D1958="폐업","폐업",
IF(AND(V1958="정상",OFFSET(Y1958,0,COUNTA(Y1958:AV1958)-1)="미납"),"미납",
IF(AND(V1958="정상",OFFSET(Y1958,0,COUNTA(Y1958:AV1958)-1)=0),"납부 시작 전",
IF(AND(V1958="정상",OFFSET(Y1958,0,COUNTA(Y1958:AV1958)-1)&gt;=U1958),"정상",
IF(AND(V1958="면제",OFFSET(Y1958,0,COUNTA(Y1958:AV1958)-1)="면제"),"면제",
IF(AND(V1958="면제",OFFSET(Y1958,0,COUNTA(Y1958:AV1958)-1)=0),"면제",
"확인요청"))))))</f>
        <v>면제</v>
      </c>
      <c r="Y1958" s="94" t="s">
        <v>62</v>
      </c>
      <c r="Z1958" s="95" t="s">
        <v>62</v>
      </c>
      <c r="AA1958" s="95" t="s">
        <v>62</v>
      </c>
      <c r="AB1958" s="95" t="s">
        <v>62</v>
      </c>
      <c r="AC1958" s="95" t="s">
        <v>62</v>
      </c>
      <c r="AD1958" s="95" t="s">
        <v>62</v>
      </c>
      <c r="AE1958" s="95" t="s">
        <v>62</v>
      </c>
      <c r="AF1958" s="95" t="s">
        <v>62</v>
      </c>
      <c r="AG1958" s="95" t="s">
        <v>62</v>
      </c>
      <c r="AH1958" s="95" t="s">
        <v>62</v>
      </c>
      <c r="AI1958" s="95" t="s">
        <v>62</v>
      </c>
      <c r="AJ1958" s="96" t="s">
        <v>7</v>
      </c>
      <c r="AK1958" s="97" t="s">
        <v>7</v>
      </c>
      <c r="AL1958" s="95" t="s">
        <v>7</v>
      </c>
      <c r="AM1958" s="90"/>
      <c r="AN1958" s="90"/>
      <c r="AO1958" s="90"/>
      <c r="AP1958" s="90"/>
      <c r="AQ1958" s="90"/>
      <c r="AR1958" s="90"/>
      <c r="AS1958" s="90"/>
      <c r="AT1958" s="90"/>
      <c r="AU1958" s="90"/>
      <c r="AV1958" s="91"/>
      <c r="AX1958" s="92"/>
    </row>
    <row r="1959" customFormat="false" ht="15.65" hidden="false" customHeight="false" outlineLevel="0" collapsed="false">
      <c r="C1959" s="72" t="n">
        <f aca="false">COUNTIFS($D$6:D1959,"&lt;&gt;"&amp;"")</f>
        <v>1954</v>
      </c>
      <c r="D1959" s="73" t="s">
        <v>12</v>
      </c>
      <c r="E1959" s="76" t="str">
        <f aca="false">
IF($D1959="정상",INDEX(임대자산!$D$3:$R$3000,MATCH($F1959,임대자산!$I$3:$I$3000,0),MATCH(E$3,임대자산!$D$3:$R$3,0)),
IF($D1959="폐업",INDEX(폐업정보!$D$3:$R$3000,MATCH($F1959,폐업정보!$I$3:$I$3000,0),MATCH(E$3,폐업정보!$D$3:$R$3,0)),
"Error"))</f>
        <v>경기</v>
      </c>
      <c r="F1959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B1954</v>
      </c>
      <c r="G1959" s="76" t="str">
        <f aca="false">F1959&amp;RANDBETWEEN(0,10)</f>
        <v>B19542</v>
      </c>
      <c r="H1959" s="75" t="n">
        <f aca="false">
IF($D1959="정상",INDEX(임대자산!$D$3:$R$3000,MATCH($F1959,임대자산!$I$3:$I$3000,0),MATCH(H$4,임대자산!$D$3:$R$3,0)),
IF($D1959="폐업",INDEX(폐업정보!$D$3:$R$3000,MATCH($F1959,폐업정보!$I$3:$I$3000,0),MATCH(H$4,폐업정보!$D$3:$R$3,0)),
"Error"))</f>
        <v>46062</v>
      </c>
      <c r="I1959" s="75" t="str">
        <f aca="false">
IF($D1959="정상",INDEX(임대자산!$D$3:$R$3000,MATCH($F1959,임대자산!$I$3:$I$3000,0),MATCH(I$4,임대자산!$D$3:$R$3,0)),
IF($D1959="폐업",INDEX(폐업정보!$D$3:$R$3000,MATCH($F1959,폐업정보!$I$3:$I$3000,0),MATCH(I$4,폐업정보!$D$3:$R$3,0)),
"Error"))</f>
        <v>A1954</v>
      </c>
      <c r="J1959" s="75" t="str">
        <f aca="false">
IF($D1959="정상",INDEX(임대자산!$D$3:$R$3000,MATCH($F1959,임대자산!$I$3:$I$3000,0),MATCH(J$4,임대자산!$D$3:$R$3,0)),
IF($D1959="폐업",INDEX(폐업정보!$D$3:$R$3000,MATCH($F1959,폐업정보!$I$3:$I$3000,0),MATCH(J$4,폐업정보!$D$3:$R$3,0)),
"Error"))</f>
        <v>8940800000</v>
      </c>
      <c r="K1959" s="75" t="str">
        <f aca="false">
IF($D1959="정상",INDEX(임대자산!$D$3:$R$3000,MATCH($F1959,임대자산!$I$3:$I$3000,0),MATCH(K$4,임대자산!$D$3:$R$3,0)),
IF($D1959="폐업",INDEX(폐업정보!$D$3:$R$3000,MATCH($F1959,폐업정보!$I$3:$I$3000,0),MATCH(K$4,폐업정보!$D$3:$R$3,0)),
"Error"))</f>
        <v>C1954</v>
      </c>
      <c r="L1959" s="75" t="str">
        <f aca="false">
IF($D1959="정상",INDEX(임대자산!$D$3:$R$3000,MATCH($F1959,임대자산!$I$3:$I$3000,0),MATCH(L$4,임대자산!$D$3:$R$3,0)),
IF($D1959="폐업",INDEX(폐업정보!$D$3:$R$3000,MATCH($F1959,폐업정보!$I$3:$I$3000,0),MATCH(L$4,폐업정보!$D$3:$R$3,0)),
"Error"))</f>
        <v>D1954</v>
      </c>
      <c r="M1959" s="76" t="s">
        <v>96</v>
      </c>
      <c r="N1959" s="77"/>
      <c r="O1959" s="78" t="s">
        <v>97</v>
      </c>
      <c r="P1959" s="79" t="n">
        <f aca="false">COUNTIFS(임대자산!$I:$I,가맹점정보!F1959,임대자산!$N:$N,가맹점정보!P$4)</f>
        <v>0</v>
      </c>
      <c r="Q1959" s="80" t="n">
        <f aca="false">COUNTIFS(임대자산!$I:$I,가맹점정보!F1959,임대자산!$N:$N,가맹점정보!Q$4)</f>
        <v>0</v>
      </c>
      <c r="R1959" s="81" t="n">
        <f aca="false">COUNTIFS(임대자산!$I:$I,가맹점정보!F1959,임대자산!$N:$N,가맹점정보!R$4)</f>
        <v>1</v>
      </c>
      <c r="S1959" s="82" t="n">
        <v>55000</v>
      </c>
      <c r="T1959" s="83" t="n">
        <v>0</v>
      </c>
      <c r="U1959" s="80" t="n">
        <f aca="false">SUM(S1959:T1959)</f>
        <v>55000</v>
      </c>
      <c r="V1959" s="84" t="s">
        <v>7</v>
      </c>
      <c r="W1959" s="80" t="str">
        <f aca="true">
IF(D1959="폐업","폐업",
IF(V1959="면제","면제",
IF(AND(V1959="정상",COUNTIFS(OFFSET(Y1959,0,COUNTA(Y1959:AV1959)-1,1,-4),"미납")&gt;=3),"장기미납",
IF(AND(V1959="정상",OFFSET(Y1959,0,COUNTA(Y1959:AV1959)-1)&gt;=U1959),"정상",
IF(AND(V1959="정상",OFFSET(Y1959,0,COUNTA(Y1959:AV1959)-1)=0),"정상",
"계약서 미작성")))))</f>
        <v>면제</v>
      </c>
      <c r="X1959" s="81" t="str">
        <f aca="true">
IF(D1959="폐업","폐업",
IF(AND(V1959="정상",OFFSET(Y1959,0,COUNTA(Y1959:AV1959)-1)="미납"),"미납",
IF(AND(V1959="정상",OFFSET(Y1959,0,COUNTA(Y1959:AV1959)-1)=0),"납부 시작 전",
IF(AND(V1959="정상",OFFSET(Y1959,0,COUNTA(Y1959:AV1959)-1)&gt;=U1959),"정상",
IF(AND(V1959="면제",OFFSET(Y1959,0,COUNTA(Y1959:AV1959)-1)="면제"),"면제",
IF(AND(V1959="면제",OFFSET(Y1959,0,COUNTA(Y1959:AV1959)-1)=0),"면제",
"확인요청"))))))</f>
        <v>면제</v>
      </c>
      <c r="Y1959" s="94" t="s">
        <v>62</v>
      </c>
      <c r="Z1959" s="95" t="s">
        <v>62</v>
      </c>
      <c r="AA1959" s="95" t="s">
        <v>62</v>
      </c>
      <c r="AB1959" s="95" t="s">
        <v>62</v>
      </c>
      <c r="AC1959" s="95" t="s">
        <v>62</v>
      </c>
      <c r="AD1959" s="95" t="s">
        <v>62</v>
      </c>
      <c r="AE1959" s="95" t="s">
        <v>62</v>
      </c>
      <c r="AF1959" s="95" t="s">
        <v>62</v>
      </c>
      <c r="AG1959" s="95" t="s">
        <v>7</v>
      </c>
      <c r="AH1959" s="95" t="s">
        <v>7</v>
      </c>
      <c r="AI1959" s="95" t="s">
        <v>7</v>
      </c>
      <c r="AJ1959" s="96" t="s">
        <v>7</v>
      </c>
      <c r="AK1959" s="97" t="s">
        <v>7</v>
      </c>
      <c r="AL1959" s="95" t="s">
        <v>7</v>
      </c>
      <c r="AM1959" s="90"/>
      <c r="AN1959" s="90"/>
      <c r="AO1959" s="90"/>
      <c r="AP1959" s="90"/>
      <c r="AQ1959" s="90"/>
      <c r="AR1959" s="90"/>
      <c r="AS1959" s="90"/>
      <c r="AT1959" s="90"/>
      <c r="AU1959" s="90"/>
      <c r="AV1959" s="91"/>
      <c r="AX1959" s="92"/>
    </row>
    <row r="1960" customFormat="false" ht="15.65" hidden="false" customHeight="false" outlineLevel="0" collapsed="false">
      <c r="C1960" s="72" t="n">
        <f aca="false">COUNTIFS($D$6:D1960,"&lt;&gt;"&amp;"")</f>
        <v>1955</v>
      </c>
      <c r="D1960" s="73" t="s">
        <v>12</v>
      </c>
      <c r="E1960" s="76" t="str">
        <f aca="false">
IF($D1960="정상",INDEX(임대자산!$D$3:$R$3000,MATCH($F1960,임대자산!$I$3:$I$3000,0),MATCH(E$3,임대자산!$D$3:$R$3,0)),
IF($D1960="폐업",INDEX(폐업정보!$D$3:$R$3000,MATCH($F1960,폐업정보!$I$3:$I$3000,0),MATCH(E$3,폐업정보!$D$3:$R$3,0)),
"Error"))</f>
        <v>경기</v>
      </c>
      <c r="F1960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B1955</v>
      </c>
      <c r="G1960" s="76" t="str">
        <f aca="false">F1960&amp;RANDBETWEEN(0,10)</f>
        <v>B19555</v>
      </c>
      <c r="H1960" s="75" t="n">
        <f aca="false">
IF($D1960="정상",INDEX(임대자산!$D$3:$R$3000,MATCH($F1960,임대자산!$I$3:$I$3000,0),MATCH(H$4,임대자산!$D$3:$R$3,0)),
IF($D1960="폐업",INDEX(폐업정보!$D$3:$R$3000,MATCH($F1960,폐업정보!$I$3:$I$3000,0),MATCH(H$4,폐업정보!$D$3:$R$3,0)),
"Error"))</f>
        <v>46062</v>
      </c>
      <c r="I1960" s="75" t="str">
        <f aca="false">
IF($D1960="정상",INDEX(임대자산!$D$3:$R$3000,MATCH($F1960,임대자산!$I$3:$I$3000,0),MATCH(I$4,임대자산!$D$3:$R$3,0)),
IF($D1960="폐업",INDEX(폐업정보!$D$3:$R$3000,MATCH($F1960,폐업정보!$I$3:$I$3000,0),MATCH(I$4,폐업정보!$D$3:$R$3,0)),
"Error"))</f>
        <v>A1955</v>
      </c>
      <c r="J1960" s="75" t="str">
        <f aca="false">
IF($D1960="정상",INDEX(임대자산!$D$3:$R$3000,MATCH($F1960,임대자산!$I$3:$I$3000,0),MATCH(J$4,임대자산!$D$3:$R$3,0)),
IF($D1960="폐업",INDEX(폐업정보!$D$3:$R$3000,MATCH($F1960,폐업정보!$I$3:$I$3000,0),MATCH(J$4,폐업정보!$D$3:$R$3,0)),
"Error"))</f>
        <v>9086900000</v>
      </c>
      <c r="K1960" s="75" t="str">
        <f aca="false">
IF($D1960="정상",INDEX(임대자산!$D$3:$R$3000,MATCH($F1960,임대자산!$I$3:$I$3000,0),MATCH(K$4,임대자산!$D$3:$R$3,0)),
IF($D1960="폐업",INDEX(폐업정보!$D$3:$R$3000,MATCH($F1960,폐업정보!$I$3:$I$3000,0),MATCH(K$4,폐업정보!$D$3:$R$3,0)),
"Error"))</f>
        <v>C1955</v>
      </c>
      <c r="L1960" s="75" t="str">
        <f aca="false">
IF($D1960="정상",INDEX(임대자산!$D$3:$R$3000,MATCH($F1960,임대자산!$I$3:$I$3000,0),MATCH(L$4,임대자산!$D$3:$R$3,0)),
IF($D1960="폐업",INDEX(폐업정보!$D$3:$R$3000,MATCH($F1960,폐업정보!$I$3:$I$3000,0),MATCH(L$4,폐업정보!$D$3:$R$3,0)),
"Error"))</f>
        <v>D1955</v>
      </c>
      <c r="M1960" s="76" t="s">
        <v>96</v>
      </c>
      <c r="N1960" s="77"/>
      <c r="O1960" s="78" t="s">
        <v>97</v>
      </c>
      <c r="P1960" s="79" t="n">
        <f aca="false">COUNTIFS(임대자산!$I:$I,가맹점정보!F1960,임대자산!$N:$N,가맹점정보!P$4)</f>
        <v>0</v>
      </c>
      <c r="Q1960" s="80" t="n">
        <f aca="false">COUNTIFS(임대자산!$I:$I,가맹점정보!F1960,임대자산!$N:$N,가맹점정보!Q$4)</f>
        <v>0</v>
      </c>
      <c r="R1960" s="81" t="n">
        <f aca="false">COUNTIFS(임대자산!$I:$I,가맹점정보!F1960,임대자산!$N:$N,가맹점정보!R$4)</f>
        <v>1</v>
      </c>
      <c r="S1960" s="82" t="n">
        <v>55000</v>
      </c>
      <c r="T1960" s="83" t="n">
        <v>0</v>
      </c>
      <c r="U1960" s="80" t="n">
        <f aca="false">SUM(S1960:T1960)</f>
        <v>55000</v>
      </c>
      <c r="V1960" s="84" t="s">
        <v>12</v>
      </c>
      <c r="W1960" s="80" t="e">
        <f aca="true">
IF(D1960="폐업","폐업",
IF(V1960="면제","면제",
IF(AND(V1960="정상",COUNTIFS(OFFSET(Y1960,0,COUNTA(Y1960:AV1960)-1,1,-4),"미납")&gt;=3),"장기미납",
IF(AND(V1960="정상",OFFSET(Y1960,0,COUNTA(Y1960:AV1960)-1)&gt;=U1960),"정상",
IF(AND(V1960="정상",OFFSET(Y1960,0,COUNTA(Y1960:AV1960)-1)=0),"정상",
"계약서 미작성")))))</f>
        <v>#VALUE!</v>
      </c>
      <c r="X1960" s="81" t="str">
        <f aca="true">
IF(D1960="폐업","폐업",
IF(AND(V1960="정상",OFFSET(Y1960,0,COUNTA(Y1960:AV1960)-1)="미납"),"미납",
IF(AND(V1960="정상",OFFSET(Y1960,0,COUNTA(Y1960:AV1960)-1)=0),"납부 시작 전",
IF(AND(V1960="정상",OFFSET(Y1960,0,COUNTA(Y1960:AV1960)-1)&gt;=U1960),"정상",
IF(AND(V1960="면제",OFFSET(Y1960,0,COUNTA(Y1960:AV1960)-1)="면제"),"면제",
IF(AND(V1960="면제",OFFSET(Y1960,0,COUNTA(Y1960:AV1960)-1)=0),"면제",
"확인요청"))))))</f>
        <v>미납</v>
      </c>
      <c r="Y1960" s="94" t="s">
        <v>62</v>
      </c>
      <c r="Z1960" s="95" t="s">
        <v>62</v>
      </c>
      <c r="AA1960" s="95" t="s">
        <v>62</v>
      </c>
      <c r="AB1960" s="95" t="s">
        <v>62</v>
      </c>
      <c r="AC1960" s="95" t="s">
        <v>62</v>
      </c>
      <c r="AD1960" s="95" t="s">
        <v>62</v>
      </c>
      <c r="AE1960" s="95" t="s">
        <v>62</v>
      </c>
      <c r="AF1960" s="95" t="s">
        <v>62</v>
      </c>
      <c r="AG1960" s="95" t="s">
        <v>62</v>
      </c>
      <c r="AH1960" s="95" t="s">
        <v>62</v>
      </c>
      <c r="AI1960" s="95" t="s">
        <v>62</v>
      </c>
      <c r="AJ1960" s="96" t="s">
        <v>62</v>
      </c>
      <c r="AK1960" s="97" t="s">
        <v>62</v>
      </c>
      <c r="AL1960" s="95" t="s">
        <v>62</v>
      </c>
      <c r="AM1960" s="90"/>
      <c r="AN1960" s="90"/>
      <c r="AO1960" s="90"/>
      <c r="AP1960" s="90"/>
      <c r="AQ1960" s="90"/>
      <c r="AR1960" s="90"/>
      <c r="AS1960" s="90"/>
      <c r="AT1960" s="90"/>
      <c r="AU1960" s="90"/>
      <c r="AV1960" s="91"/>
      <c r="AX1960" s="92"/>
    </row>
    <row r="1961" customFormat="false" ht="15.65" hidden="false" customHeight="false" outlineLevel="0" collapsed="false">
      <c r="C1961" s="72" t="n">
        <f aca="false">COUNTIFS($D$6:D1961,"&lt;&gt;"&amp;"")</f>
        <v>1956</v>
      </c>
      <c r="D1961" s="73" t="s">
        <v>12</v>
      </c>
      <c r="E1961" s="76" t="str">
        <f aca="false">
IF($D1961="정상",INDEX(임대자산!$D$3:$R$3000,MATCH($F1961,임대자산!$I$3:$I$3000,0),MATCH(E$3,임대자산!$D$3:$R$3,0)),
IF($D1961="폐업",INDEX(폐업정보!$D$3:$R$3000,MATCH($F1961,폐업정보!$I$3:$I$3000,0),MATCH(E$3,폐업정보!$D$3:$R$3,0)),
"Error"))</f>
        <v>경기</v>
      </c>
      <c r="F1961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B1956</v>
      </c>
      <c r="G1961" s="76" t="str">
        <f aca="false">F1961&amp;RANDBETWEEN(0,10)</f>
        <v>B19565</v>
      </c>
      <c r="H1961" s="75" t="n">
        <f aca="false">
IF($D1961="정상",INDEX(임대자산!$D$3:$R$3000,MATCH($F1961,임대자산!$I$3:$I$3000,0),MATCH(H$4,임대자산!$D$3:$R$3,0)),
IF($D1961="폐업",INDEX(폐업정보!$D$3:$R$3000,MATCH($F1961,폐업정보!$I$3:$I$3000,0),MATCH(H$4,폐업정보!$D$3:$R$3,0)),
"Error"))</f>
        <v>46062</v>
      </c>
      <c r="I1961" s="75" t="str">
        <f aca="false">
IF($D1961="정상",INDEX(임대자산!$D$3:$R$3000,MATCH($F1961,임대자산!$I$3:$I$3000,0),MATCH(I$4,임대자산!$D$3:$R$3,0)),
IF($D1961="폐업",INDEX(폐업정보!$D$3:$R$3000,MATCH($F1961,폐업정보!$I$3:$I$3000,0),MATCH(I$4,폐업정보!$D$3:$R$3,0)),
"Error"))</f>
        <v>A1956</v>
      </c>
      <c r="J1961" s="75" t="str">
        <f aca="false">
IF($D1961="정상",INDEX(임대자산!$D$3:$R$3000,MATCH($F1961,임대자산!$I$3:$I$3000,0),MATCH(J$4,임대자산!$D$3:$R$3,0)),
IF($D1961="폐업",INDEX(폐업정보!$D$3:$R$3000,MATCH($F1961,폐업정보!$I$3:$I$3000,0),MATCH(J$4,폐업정보!$D$3:$R$3,0)),
"Error"))</f>
        <v>2518100000</v>
      </c>
      <c r="K1961" s="75" t="str">
        <f aca="false">
IF($D1961="정상",INDEX(임대자산!$D$3:$R$3000,MATCH($F1961,임대자산!$I$3:$I$3000,0),MATCH(K$4,임대자산!$D$3:$R$3,0)),
IF($D1961="폐업",INDEX(폐업정보!$D$3:$R$3000,MATCH($F1961,폐업정보!$I$3:$I$3000,0),MATCH(K$4,폐업정보!$D$3:$R$3,0)),
"Error"))</f>
        <v>C1956</v>
      </c>
      <c r="L1961" s="75" t="str">
        <f aca="false">
IF($D1961="정상",INDEX(임대자산!$D$3:$R$3000,MATCH($F1961,임대자산!$I$3:$I$3000,0),MATCH(L$4,임대자산!$D$3:$R$3,0)),
IF($D1961="폐업",INDEX(폐업정보!$D$3:$R$3000,MATCH($F1961,폐업정보!$I$3:$I$3000,0),MATCH(L$4,폐업정보!$D$3:$R$3,0)),
"Error"))</f>
        <v>D1956</v>
      </c>
      <c r="M1961" s="76" t="s">
        <v>96</v>
      </c>
      <c r="N1961" s="77"/>
      <c r="O1961" s="78" t="s">
        <v>97</v>
      </c>
      <c r="P1961" s="79" t="n">
        <f aca="false">COUNTIFS(임대자산!$I:$I,가맹점정보!F1961,임대자산!$N:$N,가맹점정보!P$4)</f>
        <v>0</v>
      </c>
      <c r="Q1961" s="80" t="n">
        <f aca="false">COUNTIFS(임대자산!$I:$I,가맹점정보!F1961,임대자산!$N:$N,가맹점정보!Q$4)</f>
        <v>0</v>
      </c>
      <c r="R1961" s="81" t="n">
        <f aca="false">COUNTIFS(임대자산!$I:$I,가맹점정보!F1961,임대자산!$N:$N,가맹점정보!R$4)</f>
        <v>1</v>
      </c>
      <c r="S1961" s="82" t="n">
        <v>88000</v>
      </c>
      <c r="T1961" s="83" t="n">
        <v>0</v>
      </c>
      <c r="U1961" s="80" t="n">
        <f aca="false">SUM(S1961:T1961)</f>
        <v>88000</v>
      </c>
      <c r="V1961" s="84" t="s">
        <v>12</v>
      </c>
      <c r="W1961" s="80" t="e">
        <f aca="true">
IF(D1961="폐업","폐업",
IF(V1961="면제","면제",
IF(AND(V1961="정상",COUNTIFS(OFFSET(Y1961,0,COUNTA(Y1961:AV1961)-1,1,-4),"미납")&gt;=3),"장기미납",
IF(AND(V1961="정상",OFFSET(Y1961,0,COUNTA(Y1961:AV1961)-1)&gt;=U1961),"정상",
IF(AND(V1961="정상",OFFSET(Y1961,0,COUNTA(Y1961:AV1961)-1)=0),"정상",
"계약서 미작성")))))</f>
        <v>#VALUE!</v>
      </c>
      <c r="X1961" s="81" t="str">
        <f aca="true">
IF(D1961="폐업","폐업",
IF(AND(V1961="정상",OFFSET(Y1961,0,COUNTA(Y1961:AV1961)-1)="미납"),"미납",
IF(AND(V1961="정상",OFFSET(Y1961,0,COUNTA(Y1961:AV1961)-1)=0),"납부 시작 전",
IF(AND(V1961="정상",OFFSET(Y1961,0,COUNTA(Y1961:AV1961)-1)&gt;=U1961),"정상",
IF(AND(V1961="면제",OFFSET(Y1961,0,COUNTA(Y1961:AV1961)-1)="면제"),"면제",
IF(AND(V1961="면제",OFFSET(Y1961,0,COUNTA(Y1961:AV1961)-1)=0),"면제",
"확인요청"))))))</f>
        <v>미납</v>
      </c>
      <c r="Y1961" s="94" t="s">
        <v>62</v>
      </c>
      <c r="Z1961" s="95" t="s">
        <v>62</v>
      </c>
      <c r="AA1961" s="95" t="s">
        <v>62</v>
      </c>
      <c r="AB1961" s="95" t="s">
        <v>62</v>
      </c>
      <c r="AC1961" s="95" t="s">
        <v>62</v>
      </c>
      <c r="AD1961" s="95" t="s">
        <v>62</v>
      </c>
      <c r="AE1961" s="95" t="s">
        <v>62</v>
      </c>
      <c r="AF1961" s="95" t="s">
        <v>62</v>
      </c>
      <c r="AG1961" s="95" t="s">
        <v>62</v>
      </c>
      <c r="AH1961" s="95" t="s">
        <v>62</v>
      </c>
      <c r="AI1961" s="95" t="s">
        <v>62</v>
      </c>
      <c r="AJ1961" s="96" t="s">
        <v>62</v>
      </c>
      <c r="AK1961" s="97" t="s">
        <v>62</v>
      </c>
      <c r="AL1961" s="95" t="s">
        <v>62</v>
      </c>
      <c r="AM1961" s="90"/>
      <c r="AN1961" s="90"/>
      <c r="AO1961" s="90"/>
      <c r="AP1961" s="90"/>
      <c r="AQ1961" s="90"/>
      <c r="AR1961" s="90"/>
      <c r="AS1961" s="90"/>
      <c r="AT1961" s="90"/>
      <c r="AU1961" s="90"/>
      <c r="AV1961" s="91"/>
      <c r="AX1961" s="92"/>
    </row>
    <row r="1962" customFormat="false" ht="15.65" hidden="false" customHeight="false" outlineLevel="0" collapsed="false">
      <c r="C1962" s="72" t="n">
        <f aca="false">COUNTIFS($D$6:D1962,"&lt;&gt;"&amp;"")</f>
        <v>1957</v>
      </c>
      <c r="D1962" s="73" t="s">
        <v>12</v>
      </c>
      <c r="E1962" s="76" t="str">
        <f aca="false">
IF($D1962="정상",INDEX(임대자산!$D$3:$R$3000,MATCH($F1962,임대자산!$I$3:$I$3000,0),MATCH(E$3,임대자산!$D$3:$R$3,0)),
IF($D1962="폐업",INDEX(폐업정보!$D$3:$R$3000,MATCH($F1962,폐업정보!$I$3:$I$3000,0),MATCH(E$3,폐업정보!$D$3:$R$3,0)),
"Error"))</f>
        <v>경기</v>
      </c>
      <c r="F1962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B1957</v>
      </c>
      <c r="G1962" s="76" t="str">
        <f aca="false">F1962&amp;RANDBETWEEN(0,10)</f>
        <v>B19574</v>
      </c>
      <c r="H1962" s="75" t="n">
        <f aca="false">
IF($D1962="정상",INDEX(임대자산!$D$3:$R$3000,MATCH($F1962,임대자산!$I$3:$I$3000,0),MATCH(H$4,임대자산!$D$3:$R$3,0)),
IF($D1962="폐업",INDEX(폐업정보!$D$3:$R$3000,MATCH($F1962,폐업정보!$I$3:$I$3000,0),MATCH(H$4,폐업정보!$D$3:$R$3,0)),
"Error"))</f>
        <v>46062</v>
      </c>
      <c r="I1962" s="75" t="str">
        <f aca="false">
IF($D1962="정상",INDEX(임대자산!$D$3:$R$3000,MATCH($F1962,임대자산!$I$3:$I$3000,0),MATCH(I$4,임대자산!$D$3:$R$3,0)),
IF($D1962="폐업",INDEX(폐업정보!$D$3:$R$3000,MATCH($F1962,폐업정보!$I$3:$I$3000,0),MATCH(I$4,폐업정보!$D$3:$R$3,0)),
"Error"))</f>
        <v>A1957</v>
      </c>
      <c r="J1962" s="75" t="str">
        <f aca="false">
IF($D1962="정상",INDEX(임대자산!$D$3:$R$3000,MATCH($F1962,임대자산!$I$3:$I$3000,0),MATCH(J$4,임대자산!$D$3:$R$3,0)),
IF($D1962="폐업",INDEX(폐업정보!$D$3:$R$3000,MATCH($F1962,폐업정보!$I$3:$I$3000,0),MATCH(J$4,폐업정보!$D$3:$R$3,0)),
"Error"))</f>
        <v>3727700000</v>
      </c>
      <c r="K1962" s="75" t="str">
        <f aca="false">
IF($D1962="정상",INDEX(임대자산!$D$3:$R$3000,MATCH($F1962,임대자산!$I$3:$I$3000,0),MATCH(K$4,임대자산!$D$3:$R$3,0)),
IF($D1962="폐업",INDEX(폐업정보!$D$3:$R$3000,MATCH($F1962,폐업정보!$I$3:$I$3000,0),MATCH(K$4,폐업정보!$D$3:$R$3,0)),
"Error"))</f>
        <v>C1957</v>
      </c>
      <c r="L1962" s="75" t="str">
        <f aca="false">
IF($D1962="정상",INDEX(임대자산!$D$3:$R$3000,MATCH($F1962,임대자산!$I$3:$I$3000,0),MATCH(L$4,임대자산!$D$3:$R$3,0)),
IF($D1962="폐업",INDEX(폐업정보!$D$3:$R$3000,MATCH($F1962,폐업정보!$I$3:$I$3000,0),MATCH(L$4,폐업정보!$D$3:$R$3,0)),
"Error"))</f>
        <v>D1957</v>
      </c>
      <c r="M1962" s="76" t="s">
        <v>96</v>
      </c>
      <c r="N1962" s="77"/>
      <c r="O1962" s="78" t="s">
        <v>97</v>
      </c>
      <c r="P1962" s="79" t="n">
        <f aca="false">COUNTIFS(임대자산!$I:$I,가맹점정보!F1962,임대자산!$N:$N,가맹점정보!P$4)</f>
        <v>0</v>
      </c>
      <c r="Q1962" s="80" t="n">
        <f aca="false">COUNTIFS(임대자산!$I:$I,가맹점정보!F1962,임대자산!$N:$N,가맹점정보!Q$4)</f>
        <v>0</v>
      </c>
      <c r="R1962" s="81" t="n">
        <f aca="false">COUNTIFS(임대자산!$I:$I,가맹점정보!F1962,임대자산!$N:$N,가맹점정보!R$4)</f>
        <v>1</v>
      </c>
      <c r="S1962" s="82" t="n">
        <v>88000</v>
      </c>
      <c r="T1962" s="83" t="n">
        <v>0</v>
      </c>
      <c r="U1962" s="80" t="n">
        <f aca="false">SUM(S1962:T1962)</f>
        <v>88000</v>
      </c>
      <c r="V1962" s="84" t="s">
        <v>7</v>
      </c>
      <c r="W1962" s="80" t="str">
        <f aca="true">
IF(D1962="폐업","폐업",
IF(V1962="면제","면제",
IF(AND(V1962="정상",COUNTIFS(OFFSET(Y1962,0,COUNTA(Y1962:AV1962)-1,1,-4),"미납")&gt;=3),"장기미납",
IF(AND(V1962="정상",OFFSET(Y1962,0,COUNTA(Y1962:AV1962)-1)&gt;=U1962),"정상",
IF(AND(V1962="정상",OFFSET(Y1962,0,COUNTA(Y1962:AV1962)-1)=0),"정상",
"계약서 미작성")))))</f>
        <v>면제</v>
      </c>
      <c r="X1962" s="81" t="str">
        <f aca="true">
IF(D1962="폐업","폐업",
IF(AND(V1962="정상",OFFSET(Y1962,0,COUNTA(Y1962:AV1962)-1)="미납"),"미납",
IF(AND(V1962="정상",OFFSET(Y1962,0,COUNTA(Y1962:AV1962)-1)=0),"납부 시작 전",
IF(AND(V1962="정상",OFFSET(Y1962,0,COUNTA(Y1962:AV1962)-1)&gt;=U1962),"정상",
IF(AND(V1962="면제",OFFSET(Y1962,0,COUNTA(Y1962:AV1962)-1)="면제"),"면제",
IF(AND(V1962="면제",OFFSET(Y1962,0,COUNTA(Y1962:AV1962)-1)=0),"면제",
"확인요청"))))))</f>
        <v>면제</v>
      </c>
      <c r="Y1962" s="94" t="s">
        <v>62</v>
      </c>
      <c r="Z1962" s="95" t="s">
        <v>62</v>
      </c>
      <c r="AA1962" s="95" t="s">
        <v>62</v>
      </c>
      <c r="AB1962" s="95" t="s">
        <v>62</v>
      </c>
      <c r="AC1962" s="95" t="s">
        <v>62</v>
      </c>
      <c r="AD1962" s="95" t="s">
        <v>62</v>
      </c>
      <c r="AE1962" s="95" t="s">
        <v>7</v>
      </c>
      <c r="AF1962" s="95" t="s">
        <v>7</v>
      </c>
      <c r="AG1962" s="95" t="s">
        <v>7</v>
      </c>
      <c r="AH1962" s="95" t="s">
        <v>7</v>
      </c>
      <c r="AI1962" s="95" t="s">
        <v>7</v>
      </c>
      <c r="AJ1962" s="96" t="s">
        <v>7</v>
      </c>
      <c r="AK1962" s="97" t="s">
        <v>7</v>
      </c>
      <c r="AL1962" s="95" t="s">
        <v>7</v>
      </c>
      <c r="AM1962" s="90"/>
      <c r="AN1962" s="90"/>
      <c r="AO1962" s="90"/>
      <c r="AP1962" s="90"/>
      <c r="AQ1962" s="90"/>
      <c r="AR1962" s="90"/>
      <c r="AS1962" s="90"/>
      <c r="AT1962" s="90"/>
      <c r="AU1962" s="90"/>
      <c r="AV1962" s="91"/>
      <c r="AX1962" s="92"/>
    </row>
    <row r="1963" customFormat="false" ht="15.65" hidden="false" customHeight="false" outlineLevel="0" collapsed="false">
      <c r="C1963" s="72" t="n">
        <f aca="false">COUNTIFS($D$6:D1963,"&lt;&gt;"&amp;"")</f>
        <v>1958</v>
      </c>
      <c r="D1963" s="73" t="s">
        <v>12</v>
      </c>
      <c r="E1963" s="76" t="str">
        <f aca="false">
IF($D1963="정상",INDEX(임대자산!$D$3:$R$3000,MATCH($F1963,임대자산!$I$3:$I$3000,0),MATCH(E$3,임대자산!$D$3:$R$3,0)),
IF($D1963="폐업",INDEX(폐업정보!$D$3:$R$3000,MATCH($F1963,폐업정보!$I$3:$I$3000,0),MATCH(E$3,폐업정보!$D$3:$R$3,0)),
"Error"))</f>
        <v>경기</v>
      </c>
      <c r="F1963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B1958</v>
      </c>
      <c r="G1963" s="76" t="str">
        <f aca="false">F1963&amp;RANDBETWEEN(0,10)</f>
        <v>B195810</v>
      </c>
      <c r="H1963" s="75" t="n">
        <f aca="false">
IF($D1963="정상",INDEX(임대자산!$D$3:$R$3000,MATCH($F1963,임대자산!$I$3:$I$3000,0),MATCH(H$4,임대자산!$D$3:$R$3,0)),
IF($D1963="폐업",INDEX(폐업정보!$D$3:$R$3000,MATCH($F1963,폐업정보!$I$3:$I$3000,0),MATCH(H$4,폐업정보!$D$3:$R$3,0)),
"Error"))</f>
        <v>46062</v>
      </c>
      <c r="I1963" s="75" t="str">
        <f aca="false">
IF($D1963="정상",INDEX(임대자산!$D$3:$R$3000,MATCH($F1963,임대자산!$I$3:$I$3000,0),MATCH(I$4,임대자산!$D$3:$R$3,0)),
IF($D1963="폐업",INDEX(폐업정보!$D$3:$R$3000,MATCH($F1963,폐업정보!$I$3:$I$3000,0),MATCH(I$4,폐업정보!$D$3:$R$3,0)),
"Error"))</f>
        <v>A1958</v>
      </c>
      <c r="J1963" s="75" t="str">
        <f aca="false">
IF($D1963="정상",INDEX(임대자산!$D$3:$R$3000,MATCH($F1963,임대자산!$I$3:$I$3000,0),MATCH(J$4,임대자산!$D$3:$R$3,0)),
IF($D1963="폐업",INDEX(폐업정보!$D$3:$R$3000,MATCH($F1963,폐업정보!$I$3:$I$3000,0),MATCH(J$4,폐업정보!$D$3:$R$3,0)),
"Error"))</f>
        <v>8866700000</v>
      </c>
      <c r="K1963" s="75" t="str">
        <f aca="false">
IF($D1963="정상",INDEX(임대자산!$D$3:$R$3000,MATCH($F1963,임대자산!$I$3:$I$3000,0),MATCH(K$4,임대자산!$D$3:$R$3,0)),
IF($D1963="폐업",INDEX(폐업정보!$D$3:$R$3000,MATCH($F1963,폐업정보!$I$3:$I$3000,0),MATCH(K$4,폐업정보!$D$3:$R$3,0)),
"Error"))</f>
        <v>C1958</v>
      </c>
      <c r="L1963" s="75" t="str">
        <f aca="false">
IF($D1963="정상",INDEX(임대자산!$D$3:$R$3000,MATCH($F1963,임대자산!$I$3:$I$3000,0),MATCH(L$4,임대자산!$D$3:$R$3,0)),
IF($D1963="폐업",INDEX(폐업정보!$D$3:$R$3000,MATCH($F1963,폐업정보!$I$3:$I$3000,0),MATCH(L$4,폐업정보!$D$3:$R$3,0)),
"Error"))</f>
        <v>D1958</v>
      </c>
      <c r="M1963" s="76" t="s">
        <v>96</v>
      </c>
      <c r="N1963" s="77"/>
      <c r="O1963" s="78" t="s">
        <v>97</v>
      </c>
      <c r="P1963" s="79" t="n">
        <f aca="false">COUNTIFS(임대자산!$I:$I,가맹점정보!F1963,임대자산!$N:$N,가맹점정보!P$4)</f>
        <v>0</v>
      </c>
      <c r="Q1963" s="80" t="n">
        <f aca="false">COUNTIFS(임대자산!$I:$I,가맹점정보!F1963,임대자산!$N:$N,가맹점정보!Q$4)</f>
        <v>0</v>
      </c>
      <c r="R1963" s="81" t="n">
        <f aca="false">COUNTIFS(임대자산!$I:$I,가맹점정보!F1963,임대자산!$N:$N,가맹점정보!R$4)</f>
        <v>1</v>
      </c>
      <c r="S1963" s="82" t="n">
        <v>55000</v>
      </c>
      <c r="T1963" s="83" t="n">
        <v>0</v>
      </c>
      <c r="U1963" s="80" t="n">
        <f aca="false">SUM(S1963:T1963)</f>
        <v>55000</v>
      </c>
      <c r="V1963" s="84" t="s">
        <v>7</v>
      </c>
      <c r="W1963" s="80" t="str">
        <f aca="true">
IF(D1963="폐업","폐업",
IF(V1963="면제","면제",
IF(AND(V1963="정상",COUNTIFS(OFFSET(Y1963,0,COUNTA(Y1963:AV1963)-1,1,-4),"미납")&gt;=3),"장기미납",
IF(AND(V1963="정상",OFFSET(Y1963,0,COUNTA(Y1963:AV1963)-1)&gt;=U1963),"정상",
IF(AND(V1963="정상",OFFSET(Y1963,0,COUNTA(Y1963:AV1963)-1)=0),"정상",
"계약서 미작성")))))</f>
        <v>면제</v>
      </c>
      <c r="X1963" s="81" t="str">
        <f aca="true">
IF(D1963="폐업","폐업",
IF(AND(V1963="정상",OFFSET(Y1963,0,COUNTA(Y1963:AV1963)-1)="미납"),"미납",
IF(AND(V1963="정상",OFFSET(Y1963,0,COUNTA(Y1963:AV1963)-1)=0),"납부 시작 전",
IF(AND(V1963="정상",OFFSET(Y1963,0,COUNTA(Y1963:AV1963)-1)&gt;=U1963),"정상",
IF(AND(V1963="면제",OFFSET(Y1963,0,COUNTA(Y1963:AV1963)-1)="면제"),"면제",
IF(AND(V1963="면제",OFFSET(Y1963,0,COUNTA(Y1963:AV1963)-1)=0),"면제",
"확인요청"))))))</f>
        <v>면제</v>
      </c>
      <c r="Y1963" s="94" t="s">
        <v>62</v>
      </c>
      <c r="Z1963" s="95" t="s">
        <v>62</v>
      </c>
      <c r="AA1963" s="95" t="s">
        <v>62</v>
      </c>
      <c r="AB1963" s="95" t="s">
        <v>62</v>
      </c>
      <c r="AC1963" s="95" t="s">
        <v>62</v>
      </c>
      <c r="AD1963" s="95" t="s">
        <v>62</v>
      </c>
      <c r="AE1963" s="95" t="s">
        <v>62</v>
      </c>
      <c r="AF1963" s="95" t="s">
        <v>7</v>
      </c>
      <c r="AG1963" s="95" t="s">
        <v>7</v>
      </c>
      <c r="AH1963" s="95" t="s">
        <v>7</v>
      </c>
      <c r="AI1963" s="95" t="s">
        <v>7</v>
      </c>
      <c r="AJ1963" s="96" t="s">
        <v>7</v>
      </c>
      <c r="AK1963" s="97" t="s">
        <v>7</v>
      </c>
      <c r="AL1963" s="95" t="s">
        <v>7</v>
      </c>
      <c r="AM1963" s="90"/>
      <c r="AN1963" s="90"/>
      <c r="AO1963" s="90"/>
      <c r="AP1963" s="90"/>
      <c r="AQ1963" s="90"/>
      <c r="AR1963" s="90"/>
      <c r="AS1963" s="90"/>
      <c r="AT1963" s="90"/>
      <c r="AU1963" s="90"/>
      <c r="AV1963" s="91"/>
      <c r="AX1963" s="92"/>
    </row>
    <row r="1964" customFormat="false" ht="15.65" hidden="false" customHeight="false" outlineLevel="0" collapsed="false">
      <c r="C1964" s="72" t="n">
        <f aca="false">COUNTIFS($D$6:D1964,"&lt;&gt;"&amp;"")</f>
        <v>1959</v>
      </c>
      <c r="D1964" s="73" t="s">
        <v>12</v>
      </c>
      <c r="E1964" s="76" t="str">
        <f aca="false">
IF($D1964="정상",INDEX(임대자산!$D$3:$R$3000,MATCH($F1964,임대자산!$I$3:$I$3000,0),MATCH(E$3,임대자산!$D$3:$R$3,0)),
IF($D1964="폐업",INDEX(폐업정보!$D$3:$R$3000,MATCH($F1964,폐업정보!$I$3:$I$3000,0),MATCH(E$3,폐업정보!$D$3:$R$3,0)),
"Error"))</f>
        <v>전라</v>
      </c>
      <c r="F1964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B1959</v>
      </c>
      <c r="G1964" s="76" t="str">
        <f aca="false">F1964&amp;RANDBETWEEN(0,10)</f>
        <v>B19593</v>
      </c>
      <c r="H1964" s="75" t="n">
        <f aca="false">
IF($D1964="정상",INDEX(임대자산!$D$3:$R$3000,MATCH($F1964,임대자산!$I$3:$I$3000,0),MATCH(H$4,임대자산!$D$3:$R$3,0)),
IF($D1964="폐업",INDEX(폐업정보!$D$3:$R$3000,MATCH($F1964,폐업정보!$I$3:$I$3000,0),MATCH(H$4,폐업정보!$D$3:$R$3,0)),
"Error"))</f>
        <v>46062</v>
      </c>
      <c r="I1964" s="75" t="str">
        <f aca="false">
IF($D1964="정상",INDEX(임대자산!$D$3:$R$3000,MATCH($F1964,임대자산!$I$3:$I$3000,0),MATCH(I$4,임대자산!$D$3:$R$3,0)),
IF($D1964="폐업",INDEX(폐업정보!$D$3:$R$3000,MATCH($F1964,폐업정보!$I$3:$I$3000,0),MATCH(I$4,폐업정보!$D$3:$R$3,0)),
"Error"))</f>
        <v>A1959</v>
      </c>
      <c r="J1964" s="75" t="str">
        <f aca="false">
IF($D1964="정상",INDEX(임대자산!$D$3:$R$3000,MATCH($F1964,임대자산!$I$3:$I$3000,0),MATCH(J$4,임대자산!$D$3:$R$3,0)),
IF($D1964="폐업",INDEX(폐업정보!$D$3:$R$3000,MATCH($F1964,폐업정보!$I$3:$I$3000,0),MATCH(J$4,폐업정보!$D$3:$R$3,0)),
"Error"))</f>
        <v>6208400000</v>
      </c>
      <c r="K1964" s="75" t="str">
        <f aca="false">
IF($D1964="정상",INDEX(임대자산!$D$3:$R$3000,MATCH($F1964,임대자산!$I$3:$I$3000,0),MATCH(K$4,임대자산!$D$3:$R$3,0)),
IF($D1964="폐업",INDEX(폐업정보!$D$3:$R$3000,MATCH($F1964,폐업정보!$I$3:$I$3000,0),MATCH(K$4,폐업정보!$D$3:$R$3,0)),
"Error"))</f>
        <v>C1959</v>
      </c>
      <c r="L1964" s="75" t="str">
        <f aca="false">
IF($D1964="정상",INDEX(임대자산!$D$3:$R$3000,MATCH($F1964,임대자산!$I$3:$I$3000,0),MATCH(L$4,임대자산!$D$3:$R$3,0)),
IF($D1964="폐업",INDEX(폐업정보!$D$3:$R$3000,MATCH($F1964,폐업정보!$I$3:$I$3000,0),MATCH(L$4,폐업정보!$D$3:$R$3,0)),
"Error"))</f>
        <v>D1959</v>
      </c>
      <c r="M1964" s="76" t="s">
        <v>96</v>
      </c>
      <c r="N1964" s="77"/>
      <c r="O1964" s="78" t="s">
        <v>97</v>
      </c>
      <c r="P1964" s="79" t="n">
        <f aca="false">COUNTIFS(임대자산!$I:$I,가맹점정보!F1964,임대자산!$N:$N,가맹점정보!P$4)</f>
        <v>0</v>
      </c>
      <c r="Q1964" s="80" t="n">
        <f aca="false">COUNTIFS(임대자산!$I:$I,가맹점정보!F1964,임대자산!$N:$N,가맹점정보!Q$4)</f>
        <v>0</v>
      </c>
      <c r="R1964" s="81" t="n">
        <f aca="false">COUNTIFS(임대자산!$I:$I,가맹점정보!F1964,임대자산!$N:$N,가맹점정보!R$4)</f>
        <v>1</v>
      </c>
      <c r="S1964" s="82" t="n">
        <v>55000</v>
      </c>
      <c r="T1964" s="83" t="n">
        <v>0</v>
      </c>
      <c r="U1964" s="80" t="n">
        <f aca="false">SUM(S1964:T1964)</f>
        <v>55000</v>
      </c>
      <c r="V1964" s="84" t="s">
        <v>12</v>
      </c>
      <c r="W1964" s="80" t="e">
        <f aca="true">
IF(D1964="폐업","폐업",
IF(V1964="면제","면제",
IF(AND(V1964="정상",COUNTIFS(OFFSET(Y1964,0,COUNTA(Y1964:AV1964)-1,1,-4),"미납")&gt;=3),"장기미납",
IF(AND(V1964="정상",OFFSET(Y1964,0,COUNTA(Y1964:AV1964)-1)&gt;=U1964),"정상",
IF(AND(V1964="정상",OFFSET(Y1964,0,COUNTA(Y1964:AV1964)-1)=0),"정상",
"계약서 미작성")))))</f>
        <v>#VALUE!</v>
      </c>
      <c r="X1964" s="81" t="str">
        <f aca="true">
IF(D1964="폐업","폐업",
IF(AND(V1964="정상",OFFSET(Y1964,0,COUNTA(Y1964:AV1964)-1)="미납"),"미납",
IF(AND(V1964="정상",OFFSET(Y1964,0,COUNTA(Y1964:AV1964)-1)=0),"납부 시작 전",
IF(AND(V1964="정상",OFFSET(Y1964,0,COUNTA(Y1964:AV1964)-1)&gt;=U1964),"정상",
IF(AND(V1964="면제",OFFSET(Y1964,0,COUNTA(Y1964:AV1964)-1)="면제"),"면제",
IF(AND(V1964="면제",OFFSET(Y1964,0,COUNTA(Y1964:AV1964)-1)=0),"면제",
"확인요청"))))))</f>
        <v>미납</v>
      </c>
      <c r="Y1964" s="94" t="s">
        <v>62</v>
      </c>
      <c r="Z1964" s="95" t="s">
        <v>62</v>
      </c>
      <c r="AA1964" s="95" t="s">
        <v>62</v>
      </c>
      <c r="AB1964" s="95" t="s">
        <v>62</v>
      </c>
      <c r="AC1964" s="95" t="s">
        <v>62</v>
      </c>
      <c r="AD1964" s="95" t="s">
        <v>62</v>
      </c>
      <c r="AE1964" s="95" t="s">
        <v>62</v>
      </c>
      <c r="AF1964" s="95" t="s">
        <v>62</v>
      </c>
      <c r="AG1964" s="95" t="s">
        <v>62</v>
      </c>
      <c r="AH1964" s="95" t="s">
        <v>62</v>
      </c>
      <c r="AI1964" s="95" t="s">
        <v>62</v>
      </c>
      <c r="AJ1964" s="96" t="s">
        <v>62</v>
      </c>
      <c r="AK1964" s="97" t="s">
        <v>62</v>
      </c>
      <c r="AL1964" s="95" t="s">
        <v>62</v>
      </c>
      <c r="AM1964" s="90"/>
      <c r="AN1964" s="90"/>
      <c r="AO1964" s="90"/>
      <c r="AP1964" s="90"/>
      <c r="AQ1964" s="90"/>
      <c r="AR1964" s="90"/>
      <c r="AS1964" s="90"/>
      <c r="AT1964" s="90"/>
      <c r="AU1964" s="90"/>
      <c r="AV1964" s="91"/>
      <c r="AX1964" s="92"/>
    </row>
    <row r="1965" customFormat="false" ht="15.65" hidden="false" customHeight="false" outlineLevel="0" collapsed="false">
      <c r="C1965" s="72" t="n">
        <f aca="false">COUNTIFS($D$6:D1965,"&lt;&gt;"&amp;"")</f>
        <v>1960</v>
      </c>
      <c r="D1965" s="73" t="s">
        <v>12</v>
      </c>
      <c r="E1965" s="76" t="str">
        <f aca="false">
IF($D1965="정상",INDEX(임대자산!$D$3:$R$3000,MATCH($F1965,임대자산!$I$3:$I$3000,0),MATCH(E$3,임대자산!$D$3:$R$3,0)),
IF($D1965="폐업",INDEX(폐업정보!$D$3:$R$3000,MATCH($F1965,폐업정보!$I$3:$I$3000,0),MATCH(E$3,폐업정보!$D$3:$R$3,0)),
"Error"))</f>
        <v>전라</v>
      </c>
      <c r="F1965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B1960</v>
      </c>
      <c r="G1965" s="76" t="str">
        <f aca="false">F1965&amp;RANDBETWEEN(0,10)</f>
        <v>B19604</v>
      </c>
      <c r="H1965" s="75" t="n">
        <f aca="false">
IF($D1965="정상",INDEX(임대자산!$D$3:$R$3000,MATCH($F1965,임대자산!$I$3:$I$3000,0),MATCH(H$4,임대자산!$D$3:$R$3,0)),
IF($D1965="폐업",INDEX(폐업정보!$D$3:$R$3000,MATCH($F1965,폐업정보!$I$3:$I$3000,0),MATCH(H$4,폐업정보!$D$3:$R$3,0)),
"Error"))</f>
        <v>46062</v>
      </c>
      <c r="I1965" s="75" t="str">
        <f aca="false">
IF($D1965="정상",INDEX(임대자산!$D$3:$R$3000,MATCH($F1965,임대자산!$I$3:$I$3000,0),MATCH(I$4,임대자산!$D$3:$R$3,0)),
IF($D1965="폐업",INDEX(폐업정보!$D$3:$R$3000,MATCH($F1965,폐업정보!$I$3:$I$3000,0),MATCH(I$4,폐업정보!$D$3:$R$3,0)),
"Error"))</f>
        <v>A1960</v>
      </c>
      <c r="J1965" s="75" t="str">
        <f aca="false">
IF($D1965="정상",INDEX(임대자산!$D$3:$R$3000,MATCH($F1965,임대자산!$I$3:$I$3000,0),MATCH(J$4,임대자산!$D$3:$R$3,0)),
IF($D1965="폐업",INDEX(폐업정보!$D$3:$R$3000,MATCH($F1965,폐업정보!$I$3:$I$3000,0),MATCH(J$4,폐업정보!$D$3:$R$3,0)),
"Error"))</f>
        <v>1246700000</v>
      </c>
      <c r="K1965" s="75" t="str">
        <f aca="false">
IF($D1965="정상",INDEX(임대자산!$D$3:$R$3000,MATCH($F1965,임대자산!$I$3:$I$3000,0),MATCH(K$4,임대자산!$D$3:$R$3,0)),
IF($D1965="폐업",INDEX(폐업정보!$D$3:$R$3000,MATCH($F1965,폐업정보!$I$3:$I$3000,0),MATCH(K$4,폐업정보!$D$3:$R$3,0)),
"Error"))</f>
        <v>C1960</v>
      </c>
      <c r="L1965" s="75" t="str">
        <f aca="false">
IF($D1965="정상",INDEX(임대자산!$D$3:$R$3000,MATCH($F1965,임대자산!$I$3:$I$3000,0),MATCH(L$4,임대자산!$D$3:$R$3,0)),
IF($D1965="폐업",INDEX(폐업정보!$D$3:$R$3000,MATCH($F1965,폐업정보!$I$3:$I$3000,0),MATCH(L$4,폐업정보!$D$3:$R$3,0)),
"Error"))</f>
        <v>D1960</v>
      </c>
      <c r="M1965" s="76" t="s">
        <v>96</v>
      </c>
      <c r="N1965" s="77"/>
      <c r="O1965" s="78" t="s">
        <v>97</v>
      </c>
      <c r="P1965" s="79" t="n">
        <f aca="false">COUNTIFS(임대자산!$I:$I,가맹점정보!F1965,임대자산!$N:$N,가맹점정보!P$4)</f>
        <v>0</v>
      </c>
      <c r="Q1965" s="80" t="n">
        <f aca="false">COUNTIFS(임대자산!$I:$I,가맹점정보!F1965,임대자산!$N:$N,가맹점정보!Q$4)</f>
        <v>0</v>
      </c>
      <c r="R1965" s="81" t="n">
        <f aca="false">COUNTIFS(임대자산!$I:$I,가맹점정보!F1965,임대자산!$N:$N,가맹점정보!R$4)</f>
        <v>1</v>
      </c>
      <c r="S1965" s="82" t="n">
        <v>55000</v>
      </c>
      <c r="T1965" s="83" t="n">
        <v>0</v>
      </c>
      <c r="U1965" s="80" t="n">
        <f aca="false">SUM(S1965:T1965)</f>
        <v>55000</v>
      </c>
      <c r="V1965" s="84" t="s">
        <v>7</v>
      </c>
      <c r="W1965" s="80" t="str">
        <f aca="true">
IF(D1965="폐업","폐업",
IF(V1965="면제","면제",
IF(AND(V1965="정상",COUNTIFS(OFFSET(Y1965,0,COUNTA(Y1965:AV1965)-1,1,-4),"미납")&gt;=3),"장기미납",
IF(AND(V1965="정상",OFFSET(Y1965,0,COUNTA(Y1965:AV1965)-1)&gt;=U1965),"정상",
IF(AND(V1965="정상",OFFSET(Y1965,0,COUNTA(Y1965:AV1965)-1)=0),"정상",
"계약서 미작성")))))</f>
        <v>면제</v>
      </c>
      <c r="X1965" s="81" t="str">
        <f aca="true">
IF(D1965="폐업","폐업",
IF(AND(V1965="정상",OFFSET(Y1965,0,COUNTA(Y1965:AV1965)-1)="미납"),"미납",
IF(AND(V1965="정상",OFFSET(Y1965,0,COUNTA(Y1965:AV1965)-1)=0),"납부 시작 전",
IF(AND(V1965="정상",OFFSET(Y1965,0,COUNTA(Y1965:AV1965)-1)&gt;=U1965),"정상",
IF(AND(V1965="면제",OFFSET(Y1965,0,COUNTA(Y1965:AV1965)-1)="면제"),"면제",
IF(AND(V1965="면제",OFFSET(Y1965,0,COUNTA(Y1965:AV1965)-1)=0),"면제",
"확인요청"))))))</f>
        <v>면제</v>
      </c>
      <c r="Y1965" s="94" t="s">
        <v>62</v>
      </c>
      <c r="Z1965" s="95" t="s">
        <v>62</v>
      </c>
      <c r="AA1965" s="95" t="s">
        <v>62</v>
      </c>
      <c r="AB1965" s="95" t="s">
        <v>62</v>
      </c>
      <c r="AC1965" s="95" t="s">
        <v>62</v>
      </c>
      <c r="AD1965" s="95" t="s">
        <v>62</v>
      </c>
      <c r="AE1965" s="95" t="s">
        <v>7</v>
      </c>
      <c r="AF1965" s="95" t="s">
        <v>7</v>
      </c>
      <c r="AG1965" s="95" t="s">
        <v>7</v>
      </c>
      <c r="AH1965" s="95" t="s">
        <v>7</v>
      </c>
      <c r="AI1965" s="95" t="s">
        <v>7</v>
      </c>
      <c r="AJ1965" s="96" t="s">
        <v>7</v>
      </c>
      <c r="AK1965" s="97" t="s">
        <v>7</v>
      </c>
      <c r="AL1965" s="95" t="s">
        <v>7</v>
      </c>
      <c r="AM1965" s="90"/>
      <c r="AN1965" s="90"/>
      <c r="AO1965" s="90"/>
      <c r="AP1965" s="90"/>
      <c r="AQ1965" s="90"/>
      <c r="AR1965" s="90"/>
      <c r="AS1965" s="90"/>
      <c r="AT1965" s="90"/>
      <c r="AU1965" s="90"/>
      <c r="AV1965" s="91"/>
      <c r="AX1965" s="92"/>
    </row>
    <row r="1966" customFormat="false" ht="15.65" hidden="false" customHeight="false" outlineLevel="0" collapsed="false">
      <c r="C1966" s="72" t="n">
        <f aca="false">COUNTIFS($D$6:D1966,"&lt;&gt;"&amp;"")</f>
        <v>1961</v>
      </c>
      <c r="D1966" s="73" t="s">
        <v>12</v>
      </c>
      <c r="E1966" s="76" t="str">
        <f aca="false">
IF($D1966="정상",INDEX(임대자산!$D$3:$R$3000,MATCH($F1966,임대자산!$I$3:$I$3000,0),MATCH(E$3,임대자산!$D$3:$R$3,0)),
IF($D1966="폐업",INDEX(폐업정보!$D$3:$R$3000,MATCH($F1966,폐업정보!$I$3:$I$3000,0),MATCH(E$3,폐업정보!$D$3:$R$3,0)),
"Error"))</f>
        <v>강원</v>
      </c>
      <c r="F1966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B1961</v>
      </c>
      <c r="G1966" s="76" t="str">
        <f aca="false">F1966&amp;RANDBETWEEN(0,10)</f>
        <v>B19611</v>
      </c>
      <c r="H1966" s="75" t="n">
        <f aca="false">
IF($D1966="정상",INDEX(임대자산!$D$3:$R$3000,MATCH($F1966,임대자산!$I$3:$I$3000,0),MATCH(H$4,임대자산!$D$3:$R$3,0)),
IF($D1966="폐업",INDEX(폐업정보!$D$3:$R$3000,MATCH($F1966,폐업정보!$I$3:$I$3000,0),MATCH(H$4,폐업정보!$D$3:$R$3,0)),
"Error"))</f>
        <v>46062</v>
      </c>
      <c r="I1966" s="75" t="str">
        <f aca="false">
IF($D1966="정상",INDEX(임대자산!$D$3:$R$3000,MATCH($F1966,임대자산!$I$3:$I$3000,0),MATCH(I$4,임대자산!$D$3:$R$3,0)),
IF($D1966="폐업",INDEX(폐업정보!$D$3:$R$3000,MATCH($F1966,폐업정보!$I$3:$I$3000,0),MATCH(I$4,폐업정보!$D$3:$R$3,0)),
"Error"))</f>
        <v>A1961</v>
      </c>
      <c r="J1966" s="75" t="str">
        <f aca="false">
IF($D1966="정상",INDEX(임대자산!$D$3:$R$3000,MATCH($F1966,임대자산!$I$3:$I$3000,0),MATCH(J$4,임대자산!$D$3:$R$3,0)),
IF($D1966="폐업",INDEX(폐업정보!$D$3:$R$3000,MATCH($F1966,폐업정보!$I$3:$I$3000,0),MATCH(J$4,폐업정보!$D$3:$R$3,0)),
"Error"))</f>
        <v>4256300000</v>
      </c>
      <c r="K1966" s="75" t="str">
        <f aca="false">
IF($D1966="정상",INDEX(임대자산!$D$3:$R$3000,MATCH($F1966,임대자산!$I$3:$I$3000,0),MATCH(K$4,임대자산!$D$3:$R$3,0)),
IF($D1966="폐업",INDEX(폐업정보!$D$3:$R$3000,MATCH($F1966,폐업정보!$I$3:$I$3000,0),MATCH(K$4,폐업정보!$D$3:$R$3,0)),
"Error"))</f>
        <v>C1961</v>
      </c>
      <c r="L1966" s="75" t="str">
        <f aca="false">
IF($D1966="정상",INDEX(임대자산!$D$3:$R$3000,MATCH($F1966,임대자산!$I$3:$I$3000,0),MATCH(L$4,임대자산!$D$3:$R$3,0)),
IF($D1966="폐업",INDEX(폐업정보!$D$3:$R$3000,MATCH($F1966,폐업정보!$I$3:$I$3000,0),MATCH(L$4,폐업정보!$D$3:$R$3,0)),
"Error"))</f>
        <v>D1961</v>
      </c>
      <c r="M1966" s="76" t="s">
        <v>96</v>
      </c>
      <c r="N1966" s="77"/>
      <c r="O1966" s="78" t="s">
        <v>97</v>
      </c>
      <c r="P1966" s="79" t="n">
        <f aca="false">COUNTIFS(임대자산!$I:$I,가맹점정보!F1966,임대자산!$N:$N,가맹점정보!P$4)</f>
        <v>0</v>
      </c>
      <c r="Q1966" s="80" t="n">
        <f aca="false">COUNTIFS(임대자산!$I:$I,가맹점정보!F1966,임대자산!$N:$N,가맹점정보!Q$4)</f>
        <v>0</v>
      </c>
      <c r="R1966" s="81" t="n">
        <f aca="false">COUNTIFS(임대자산!$I:$I,가맹점정보!F1966,임대자산!$N:$N,가맹점정보!R$4)</f>
        <v>1</v>
      </c>
      <c r="S1966" s="82" t="n">
        <v>55000</v>
      </c>
      <c r="T1966" s="83" t="n">
        <v>0</v>
      </c>
      <c r="U1966" s="80" t="n">
        <f aca="false">SUM(S1966:T1966)</f>
        <v>55000</v>
      </c>
      <c r="V1966" s="84" t="s">
        <v>7</v>
      </c>
      <c r="W1966" s="80" t="str">
        <f aca="true">
IF(D1966="폐업","폐업",
IF(V1966="면제","면제",
IF(AND(V1966="정상",COUNTIFS(OFFSET(Y1966,0,COUNTA(Y1966:AV1966)-1,1,-4),"미납")&gt;=3),"장기미납",
IF(AND(V1966="정상",OFFSET(Y1966,0,COUNTA(Y1966:AV1966)-1)&gt;=U1966),"정상",
IF(AND(V1966="정상",OFFSET(Y1966,0,COUNTA(Y1966:AV1966)-1)=0),"정상",
"계약서 미작성")))))</f>
        <v>면제</v>
      </c>
      <c r="X1966" s="81" t="str">
        <f aca="true">
IF(D1966="폐업","폐업",
IF(AND(V1966="정상",OFFSET(Y1966,0,COUNTA(Y1966:AV1966)-1)="미납"),"미납",
IF(AND(V1966="정상",OFFSET(Y1966,0,COUNTA(Y1966:AV1966)-1)=0),"납부 시작 전",
IF(AND(V1966="정상",OFFSET(Y1966,0,COUNTA(Y1966:AV1966)-1)&gt;=U1966),"정상",
IF(AND(V1966="면제",OFFSET(Y1966,0,COUNTA(Y1966:AV1966)-1)="면제"),"면제",
IF(AND(V1966="면제",OFFSET(Y1966,0,COUNTA(Y1966:AV1966)-1)=0),"면제",
"확인요청"))))))</f>
        <v>면제</v>
      </c>
      <c r="Y1966" s="94" t="s">
        <v>62</v>
      </c>
      <c r="Z1966" s="95" t="s">
        <v>62</v>
      </c>
      <c r="AA1966" s="95" t="s">
        <v>62</v>
      </c>
      <c r="AB1966" s="95" t="s">
        <v>62</v>
      </c>
      <c r="AC1966" s="95" t="s">
        <v>62</v>
      </c>
      <c r="AD1966" s="95" t="s">
        <v>62</v>
      </c>
      <c r="AE1966" s="95" t="s">
        <v>7</v>
      </c>
      <c r="AF1966" s="95" t="s">
        <v>7</v>
      </c>
      <c r="AG1966" s="95" t="s">
        <v>7</v>
      </c>
      <c r="AH1966" s="95" t="s">
        <v>7</v>
      </c>
      <c r="AI1966" s="95" t="s">
        <v>7</v>
      </c>
      <c r="AJ1966" s="96" t="s">
        <v>7</v>
      </c>
      <c r="AK1966" s="97" t="s">
        <v>7</v>
      </c>
      <c r="AL1966" s="95" t="s">
        <v>7</v>
      </c>
      <c r="AM1966" s="90"/>
      <c r="AN1966" s="90"/>
      <c r="AO1966" s="90"/>
      <c r="AP1966" s="90"/>
      <c r="AQ1966" s="90"/>
      <c r="AR1966" s="90"/>
      <c r="AS1966" s="90"/>
      <c r="AT1966" s="90"/>
      <c r="AU1966" s="90"/>
      <c r="AV1966" s="91"/>
      <c r="AX1966" s="92"/>
    </row>
    <row r="1967" customFormat="false" ht="15.65" hidden="false" customHeight="false" outlineLevel="0" collapsed="false">
      <c r="C1967" s="72" t="n">
        <f aca="false">COUNTIFS($D$6:D1967,"&lt;&gt;"&amp;"")</f>
        <v>1962</v>
      </c>
      <c r="D1967" s="73" t="s">
        <v>12</v>
      </c>
      <c r="E1967" s="76" t="str">
        <f aca="false">
IF($D1967="정상",INDEX(임대자산!$D$3:$R$3000,MATCH($F1967,임대자산!$I$3:$I$3000,0),MATCH(E$3,임대자산!$D$3:$R$3,0)),
IF($D1967="폐업",INDEX(폐업정보!$D$3:$R$3000,MATCH($F1967,폐업정보!$I$3:$I$3000,0),MATCH(E$3,폐업정보!$D$3:$R$3,0)),
"Error"))</f>
        <v>서울</v>
      </c>
      <c r="F1967" s="76" t="str">
        <f aca="false">
IF(LEN("B"&amp;"000"&amp;ROW()-5)=5,"B"&amp;"000"&amp;ROW()-5,
IF(LEN("B"&amp;"000"&amp;ROW()-5)=6,"B"&amp;"00"&amp;ROW()-5,
IF(LEN("B"&amp;"000"&amp;ROW()-5)=7,"B"&amp;"0"&amp;ROW()-5,
IF(LEN("B"&amp;"000"&amp;ROW()-5)=8,"B"&amp;ROW()-5,
"Error"))))</f>
        <v>B1962</v>
      </c>
      <c r="G1967" s="76" t="str">
        <f aca="false">F1967&amp;RANDBETWEEN(0,10)</f>
        <v>B19620</v>
      </c>
      <c r="H1967" s="75" t="n">
        <f aca="false">
IF($D1967="정상",INDEX(임대자산!$D$3:$R$3000,MATCH($F1967,임대자산!$I$3:$I$3000,0),MATCH(H$4,임대자산!$D$3:$R$3,0)),
IF($D1967="폐업",INDEX(폐업정보!$D$3:$R$3000,MATCH($F1967,폐업정보!$I$3:$I$3000,0),MATCH(H$4,폐업정보!$D$3:$R$3,0)),
"Error"))</f>
        <v>46062</v>
      </c>
      <c r="I1967" s="75" t="str">
        <f aca="false">
IF($D1967="정상",INDEX(임대자산!$D$3:$R$3000,MATCH($F1967,임대자산!$I$3:$I$3000,0),MATCH(I$4,임대자산!$D$3:$R$3,0)),
IF($D1967="폐업",INDEX(폐업정보!$D$3:$R$3000,MATCH($F1967,폐업정보!$I$3:$I$3000,0),MATCH(I$4,폐업정보!$D$3:$R$3,0)),
"Error"))</f>
        <v>A1962</v>
      </c>
      <c r="J1967" s="75" t="str">
        <f aca="false">
IF($D1967="정상",INDEX(임대자산!$D$3:$R$3000,MATCH($F1967,임대자산!$I$3:$I$3000,0),MATCH(J$4,임대자산!$D$3:$R$3,0)),
IF($D1967="폐업",INDEX(폐업정보!$D$3:$R$3000,MATCH($F1967,폐업정보!$I$3:$I$3000,0),MATCH(J$4,폐업정보!$D$3:$R$3,0)),
"Error"))</f>
        <v>1292300000</v>
      </c>
      <c r="K1967" s="75" t="str">
        <f aca="false">
IF($D1967="정상",INDEX(임대자산!$D$3:$R$3000,MATCH($F1967,임대자산!$I$3:$I$3000,0),MATCH(K$4,임대자산!$D$3:$R$3,0)),
IF($D1967="폐업",INDEX(폐업정보!$D$3:$R$3000,MATCH($F1967,폐업정보!$I$3:$I$3000,0),MATCH(K$4,폐업정보!$D$3:$R$3,0)),
"Error"))</f>
        <v>C1962</v>
      </c>
      <c r="L1967" s="75" t="str">
        <f aca="false">
IF($D1967="정상",INDEX(임대자산!$D$3:$R$3000,MATCH($F1967,임대자산!$I$3:$I$3000,0),MATCH(L$4,임대자산!$D$3:$R$3,0)),
IF($D1967="폐업",INDEX(폐업정보!$D$3:$R$3000,MATCH($F1967,폐업정보!$I$3:$I$3000,0),MATCH(L$4,폐업정보!$D$3:$R$3,0)),
"Error"))</f>
        <v>D1962</v>
      </c>
      <c r="M1967" s="76" t="s">
        <v>96</v>
      </c>
      <c r="N1967" s="77"/>
      <c r="O1967" s="78" t="s">
        <v>97</v>
      </c>
      <c r="P1967" s="79" t="n">
        <f aca="false">COUNTIFS(임대자산!$I:$I,가맹점정보!F1967,임대자산!$N:$N,가맹점정보!P$4)</f>
        <v>0</v>
      </c>
      <c r="Q1967" s="80" t="n">
        <f aca="false">COUNTIFS(임대자산!$I:$I,가맹점정보!F1967,임대자산!$N:$N,가맹점정보!Q$4)</f>
        <v>0</v>
      </c>
      <c r="R1967" s="81" t="n">
        <f aca="false">COUNTIFS(임대자산!$I:$I,가맹점정보!F1967,임대자산!$N:$N,가맹점정보!R$4)</f>
        <v>1</v>
      </c>
      <c r="S1967" s="82" t="n">
        <v>55000</v>
      </c>
      <c r="T1967" s="83" t="n">
        <v>0</v>
      </c>
      <c r="U1967" s="80" t="n">
        <f aca="false">SUM(S1967:T1967)</f>
        <v>55000</v>
      </c>
      <c r="V1967" s="84" t="s">
        <v>7</v>
      </c>
      <c r="W1967" s="80" t="str">
        <f aca="true">
IF(D1967="폐업","폐업",
IF(V1967="면제","면제",
IF(AND(V1967="정상",COUNTIFS(OFFSET(Y1967,0,COUNTA(Y1967:AV1967)-1,1,-4),"미납")&gt;=3),"장기미납",
IF(AND(V1967="정상",OFFSET(Y1967,0,COUNTA(Y1967:AV1967)-1)&gt;=U1967),"정상",
IF(AND(V1967="정상",OFFSET(Y1967,0,COUNTA(Y1967:AV1967)-1)=0),"정상",
"계약서 미작성")))))</f>
        <v>면제</v>
      </c>
      <c r="X1967" s="81" t="str">
        <f aca="true">
IF(D1967="폐업","폐업",
IF(AND(V1967="정상",OFFSET(Y1967,0,COUNTA(Y1967:AV1967)-1)="미납"),"미납",
IF(AND(V1967="정상",OFFSET(Y1967,0,COUNTA(Y1967:AV1967)-1)=0),"납부 시작 전",
IF(AND(V1967="정상",OFFSET(Y1967,0,COUNTA(Y1967:AV1967)-1)&gt;=U1967),"정상",
IF(AND(V1967="면제",OFFSET(Y1967,0,COUNTA(Y1967:AV1967)-1)="면제"),"면제",
IF(AND(V1967="면제",OFFSET(Y1967,0,COUNTA(Y1967:AV1967)-1)=0),"면제",
"확인요청"))))))</f>
        <v>면제</v>
      </c>
      <c r="Y1967" s="94" t="s">
        <v>62</v>
      </c>
      <c r="Z1967" s="95" t="s">
        <v>62</v>
      </c>
      <c r="AA1967" s="95" t="s">
        <v>62</v>
      </c>
      <c r="AB1967" s="95" t="s">
        <v>62</v>
      </c>
      <c r="AC1967" s="95" t="s">
        <v>62</v>
      </c>
      <c r="AD1967" s="95" t="s">
        <v>62</v>
      </c>
      <c r="AE1967" s="95" t="s">
        <v>62</v>
      </c>
      <c r="AF1967" s="95" t="s">
        <v>62</v>
      </c>
      <c r="AG1967" s="95" t="s">
        <v>62</v>
      </c>
      <c r="AH1967" s="95" t="s">
        <v>7</v>
      </c>
      <c r="AI1967" s="95" t="s">
        <v>7</v>
      </c>
      <c r="AJ1967" s="96" t="s">
        <v>7</v>
      </c>
      <c r="AK1967" s="97" t="s">
        <v>7</v>
      </c>
      <c r="AL1967" s="95" t="s">
        <v>7</v>
      </c>
      <c r="AM1967" s="90"/>
      <c r="AN1967" s="90"/>
      <c r="AO1967" s="90"/>
      <c r="AP1967" s="90"/>
      <c r="AQ1967" s="90"/>
      <c r="AR1967" s="90"/>
      <c r="AS1967" s="90"/>
      <c r="AT1967" s="90"/>
      <c r="AU1967" s="90"/>
      <c r="AV1967" s="91"/>
      <c r="AX1967" s="92"/>
    </row>
    <row r="1968" customFormat="false" ht="13.5" hidden="false" customHeight="false" outlineLevel="0" collapsed="false">
      <c r="C1968" s="72"/>
      <c r="D1968" s="73"/>
      <c r="E1968" s="76"/>
      <c r="F1968" s="76"/>
      <c r="G1968" s="76"/>
      <c r="H1968" s="76"/>
      <c r="I1968" s="76"/>
      <c r="J1968" s="76"/>
      <c r="K1968" s="76"/>
      <c r="L1968" s="76"/>
      <c r="M1968" s="76"/>
      <c r="N1968" s="77"/>
      <c r="O1968" s="77"/>
      <c r="P1968" s="79"/>
      <c r="Q1968" s="80"/>
      <c r="R1968" s="80"/>
      <c r="S1968" s="82"/>
      <c r="T1968" s="83"/>
      <c r="U1968" s="80"/>
      <c r="V1968" s="83"/>
      <c r="W1968" s="80"/>
      <c r="X1968" s="81"/>
      <c r="Y1968" s="93"/>
      <c r="Z1968" s="90"/>
      <c r="AA1968" s="90"/>
      <c r="AB1968" s="90"/>
      <c r="AC1968" s="90"/>
      <c r="AD1968" s="90"/>
      <c r="AE1968" s="90"/>
      <c r="AF1968" s="90"/>
      <c r="AG1968" s="90"/>
      <c r="AH1968" s="90"/>
      <c r="AI1968" s="90"/>
      <c r="AJ1968" s="91"/>
      <c r="AK1968" s="89"/>
      <c r="AL1968" s="90"/>
      <c r="AM1968" s="90"/>
      <c r="AN1968" s="90"/>
      <c r="AO1968" s="90"/>
      <c r="AP1968" s="90"/>
      <c r="AQ1968" s="90"/>
      <c r="AR1968" s="90"/>
      <c r="AS1968" s="90"/>
      <c r="AT1968" s="90"/>
      <c r="AU1968" s="90"/>
      <c r="AV1968" s="91"/>
    </row>
    <row r="1969" customFormat="false" ht="13.5" hidden="false" customHeight="false" outlineLevel="0" collapsed="false">
      <c r="C1969" s="72"/>
      <c r="D1969" s="73"/>
      <c r="E1969" s="76"/>
      <c r="F1969" s="76"/>
      <c r="G1969" s="76"/>
      <c r="H1969" s="76"/>
      <c r="I1969" s="76"/>
      <c r="J1969" s="76"/>
      <c r="K1969" s="76"/>
      <c r="L1969" s="76"/>
      <c r="M1969" s="76"/>
      <c r="N1969" s="77"/>
      <c r="O1969" s="77"/>
      <c r="P1969" s="79"/>
      <c r="Q1969" s="80"/>
      <c r="R1969" s="80"/>
      <c r="S1969" s="82"/>
      <c r="T1969" s="83"/>
      <c r="U1969" s="80"/>
      <c r="V1969" s="83"/>
      <c r="W1969" s="80"/>
      <c r="X1969" s="81"/>
      <c r="Y1969" s="93"/>
      <c r="Z1969" s="90"/>
      <c r="AA1969" s="90"/>
      <c r="AB1969" s="90"/>
      <c r="AC1969" s="90"/>
      <c r="AD1969" s="90"/>
      <c r="AE1969" s="90"/>
      <c r="AF1969" s="90"/>
      <c r="AG1969" s="90"/>
      <c r="AH1969" s="90"/>
      <c r="AI1969" s="90"/>
      <c r="AJ1969" s="91"/>
      <c r="AK1969" s="89"/>
      <c r="AL1969" s="90"/>
      <c r="AM1969" s="90"/>
      <c r="AN1969" s="90"/>
      <c r="AO1969" s="90"/>
      <c r="AP1969" s="90"/>
      <c r="AQ1969" s="90"/>
      <c r="AR1969" s="90"/>
      <c r="AS1969" s="90"/>
      <c r="AT1969" s="90"/>
      <c r="AU1969" s="90"/>
      <c r="AV1969" s="91"/>
    </row>
    <row r="1970" customFormat="false" ht="13.5" hidden="false" customHeight="false" outlineLevel="0" collapsed="false">
      <c r="C1970" s="72"/>
      <c r="D1970" s="73"/>
      <c r="E1970" s="76"/>
      <c r="F1970" s="76"/>
      <c r="G1970" s="76"/>
      <c r="H1970" s="76"/>
      <c r="I1970" s="76"/>
      <c r="J1970" s="76"/>
      <c r="K1970" s="76"/>
      <c r="L1970" s="76"/>
      <c r="M1970" s="76"/>
      <c r="N1970" s="77"/>
      <c r="O1970" s="77"/>
      <c r="P1970" s="79"/>
      <c r="Q1970" s="80"/>
      <c r="R1970" s="80"/>
      <c r="S1970" s="82"/>
      <c r="T1970" s="83"/>
      <c r="U1970" s="80"/>
      <c r="V1970" s="83"/>
      <c r="W1970" s="80"/>
      <c r="X1970" s="81"/>
      <c r="Y1970" s="93"/>
      <c r="Z1970" s="90"/>
      <c r="AA1970" s="90"/>
      <c r="AB1970" s="90"/>
      <c r="AC1970" s="90"/>
      <c r="AD1970" s="90"/>
      <c r="AE1970" s="90"/>
      <c r="AF1970" s="90"/>
      <c r="AG1970" s="90"/>
      <c r="AH1970" s="90"/>
      <c r="AI1970" s="90"/>
      <c r="AJ1970" s="91"/>
      <c r="AK1970" s="89"/>
      <c r="AL1970" s="90"/>
      <c r="AM1970" s="90"/>
      <c r="AN1970" s="90"/>
      <c r="AO1970" s="90"/>
      <c r="AP1970" s="90"/>
      <c r="AQ1970" s="90"/>
      <c r="AR1970" s="90"/>
      <c r="AS1970" s="90"/>
      <c r="AT1970" s="90"/>
      <c r="AU1970" s="90"/>
      <c r="AV1970" s="91"/>
    </row>
    <row r="1971" customFormat="false" ht="13.5" hidden="false" customHeight="false" outlineLevel="0" collapsed="false">
      <c r="C1971" s="72"/>
      <c r="D1971" s="73"/>
      <c r="E1971" s="76"/>
      <c r="F1971" s="76"/>
      <c r="G1971" s="76"/>
      <c r="H1971" s="76"/>
      <c r="I1971" s="76"/>
      <c r="J1971" s="76"/>
      <c r="K1971" s="76"/>
      <c r="L1971" s="76"/>
      <c r="M1971" s="76"/>
      <c r="N1971" s="77"/>
      <c r="O1971" s="77"/>
      <c r="P1971" s="79"/>
      <c r="Q1971" s="80"/>
      <c r="R1971" s="80"/>
      <c r="S1971" s="82"/>
      <c r="T1971" s="83"/>
      <c r="U1971" s="80"/>
      <c r="V1971" s="83"/>
      <c r="W1971" s="80"/>
      <c r="X1971" s="81"/>
      <c r="Y1971" s="93"/>
      <c r="Z1971" s="90"/>
      <c r="AA1971" s="90"/>
      <c r="AB1971" s="90"/>
      <c r="AC1971" s="90"/>
      <c r="AD1971" s="90"/>
      <c r="AE1971" s="90"/>
      <c r="AF1971" s="90"/>
      <c r="AG1971" s="90"/>
      <c r="AH1971" s="90"/>
      <c r="AI1971" s="90"/>
      <c r="AJ1971" s="91"/>
      <c r="AK1971" s="89"/>
      <c r="AL1971" s="90"/>
      <c r="AM1971" s="90"/>
      <c r="AN1971" s="90"/>
      <c r="AO1971" s="90"/>
      <c r="AP1971" s="90"/>
      <c r="AQ1971" s="90"/>
      <c r="AR1971" s="90"/>
      <c r="AS1971" s="90"/>
      <c r="AT1971" s="90"/>
      <c r="AU1971" s="90"/>
      <c r="AV1971" s="91"/>
    </row>
    <row r="1972" customFormat="false" ht="13.5" hidden="false" customHeight="false" outlineLevel="0" collapsed="false">
      <c r="C1972" s="72"/>
      <c r="D1972" s="73"/>
      <c r="E1972" s="76"/>
      <c r="F1972" s="76"/>
      <c r="G1972" s="76"/>
      <c r="H1972" s="76"/>
      <c r="I1972" s="76"/>
      <c r="J1972" s="76"/>
      <c r="K1972" s="76"/>
      <c r="L1972" s="76"/>
      <c r="M1972" s="76"/>
      <c r="N1972" s="77"/>
      <c r="O1972" s="77"/>
      <c r="P1972" s="79"/>
      <c r="Q1972" s="80"/>
      <c r="R1972" s="80"/>
      <c r="S1972" s="82"/>
      <c r="T1972" s="83"/>
      <c r="U1972" s="80"/>
      <c r="V1972" s="83"/>
      <c r="W1972" s="80"/>
      <c r="X1972" s="81"/>
      <c r="Y1972" s="93"/>
      <c r="Z1972" s="90"/>
      <c r="AA1972" s="90"/>
      <c r="AB1972" s="90"/>
      <c r="AC1972" s="90"/>
      <c r="AD1972" s="90"/>
      <c r="AE1972" s="90"/>
      <c r="AF1972" s="90"/>
      <c r="AG1972" s="90"/>
      <c r="AH1972" s="90"/>
      <c r="AI1972" s="90"/>
      <c r="AJ1972" s="91"/>
      <c r="AK1972" s="89"/>
      <c r="AL1972" s="90"/>
      <c r="AM1972" s="90"/>
      <c r="AN1972" s="90"/>
      <c r="AO1972" s="90"/>
      <c r="AP1972" s="90"/>
      <c r="AQ1972" s="90"/>
      <c r="AR1972" s="90"/>
      <c r="AS1972" s="90"/>
      <c r="AT1972" s="90"/>
      <c r="AU1972" s="90"/>
      <c r="AV1972" s="91"/>
    </row>
    <row r="1973" customFormat="false" ht="13.5" hidden="false" customHeight="false" outlineLevel="0" collapsed="false">
      <c r="C1973" s="72"/>
      <c r="D1973" s="73"/>
      <c r="E1973" s="76"/>
      <c r="F1973" s="76"/>
      <c r="G1973" s="76"/>
      <c r="H1973" s="76"/>
      <c r="I1973" s="76"/>
      <c r="J1973" s="76"/>
      <c r="K1973" s="76"/>
      <c r="L1973" s="76"/>
      <c r="M1973" s="76"/>
      <c r="N1973" s="77"/>
      <c r="O1973" s="77"/>
      <c r="P1973" s="79"/>
      <c r="Q1973" s="80"/>
      <c r="R1973" s="80"/>
      <c r="S1973" s="82"/>
      <c r="T1973" s="83"/>
      <c r="U1973" s="80"/>
      <c r="V1973" s="83"/>
      <c r="W1973" s="80"/>
      <c r="X1973" s="81"/>
      <c r="Y1973" s="93"/>
      <c r="Z1973" s="90"/>
      <c r="AA1973" s="90"/>
      <c r="AB1973" s="90"/>
      <c r="AC1973" s="90"/>
      <c r="AD1973" s="90"/>
      <c r="AE1973" s="90"/>
      <c r="AF1973" s="90"/>
      <c r="AG1973" s="90"/>
      <c r="AH1973" s="90"/>
      <c r="AI1973" s="90"/>
      <c r="AJ1973" s="91"/>
      <c r="AK1973" s="89"/>
      <c r="AL1973" s="90"/>
      <c r="AM1973" s="90"/>
      <c r="AN1973" s="90"/>
      <c r="AO1973" s="90"/>
      <c r="AP1973" s="90"/>
      <c r="AQ1973" s="90"/>
      <c r="AR1973" s="90"/>
      <c r="AS1973" s="90"/>
      <c r="AT1973" s="90"/>
      <c r="AU1973" s="90"/>
      <c r="AV1973" s="91"/>
    </row>
    <row r="1974" customFormat="false" ht="13.5" hidden="false" customHeight="false" outlineLevel="0" collapsed="false">
      <c r="C1974" s="72"/>
      <c r="D1974" s="73"/>
      <c r="E1974" s="76"/>
      <c r="F1974" s="76"/>
      <c r="G1974" s="76"/>
      <c r="H1974" s="76"/>
      <c r="I1974" s="76"/>
      <c r="J1974" s="76"/>
      <c r="K1974" s="76"/>
      <c r="L1974" s="76"/>
      <c r="M1974" s="76"/>
      <c r="N1974" s="77"/>
      <c r="O1974" s="77"/>
      <c r="P1974" s="79"/>
      <c r="Q1974" s="80"/>
      <c r="R1974" s="80"/>
      <c r="S1974" s="82"/>
      <c r="T1974" s="83"/>
      <c r="U1974" s="80"/>
      <c r="V1974" s="83"/>
      <c r="W1974" s="80"/>
      <c r="X1974" s="81"/>
      <c r="Y1974" s="93"/>
      <c r="Z1974" s="90"/>
      <c r="AA1974" s="90"/>
      <c r="AB1974" s="90"/>
      <c r="AC1974" s="90"/>
      <c r="AD1974" s="90"/>
      <c r="AE1974" s="90"/>
      <c r="AF1974" s="90"/>
      <c r="AG1974" s="90"/>
      <c r="AH1974" s="90"/>
      <c r="AI1974" s="90"/>
      <c r="AJ1974" s="91"/>
      <c r="AK1974" s="89"/>
      <c r="AL1974" s="90"/>
      <c r="AM1974" s="90"/>
      <c r="AN1974" s="90"/>
      <c r="AO1974" s="90"/>
      <c r="AP1974" s="90"/>
      <c r="AQ1974" s="90"/>
      <c r="AR1974" s="90"/>
      <c r="AS1974" s="90"/>
      <c r="AT1974" s="90"/>
      <c r="AU1974" s="90"/>
      <c r="AV1974" s="91"/>
    </row>
    <row r="1975" customFormat="false" ht="13.5" hidden="false" customHeight="false" outlineLevel="0" collapsed="false">
      <c r="C1975" s="72"/>
      <c r="D1975" s="73"/>
      <c r="E1975" s="76"/>
      <c r="F1975" s="76"/>
      <c r="G1975" s="76"/>
      <c r="H1975" s="76"/>
      <c r="I1975" s="76"/>
      <c r="J1975" s="76"/>
      <c r="K1975" s="76"/>
      <c r="L1975" s="76"/>
      <c r="M1975" s="76"/>
      <c r="N1975" s="77"/>
      <c r="O1975" s="77"/>
      <c r="P1975" s="79"/>
      <c r="Q1975" s="80"/>
      <c r="R1975" s="80"/>
      <c r="S1975" s="82"/>
      <c r="T1975" s="83"/>
      <c r="U1975" s="80"/>
      <c r="V1975" s="83"/>
      <c r="W1975" s="80"/>
      <c r="X1975" s="81"/>
      <c r="Y1975" s="93"/>
      <c r="Z1975" s="90"/>
      <c r="AA1975" s="90"/>
      <c r="AB1975" s="90"/>
      <c r="AC1975" s="90"/>
      <c r="AD1975" s="90"/>
      <c r="AE1975" s="90"/>
      <c r="AF1975" s="90"/>
      <c r="AG1975" s="90"/>
      <c r="AH1975" s="90"/>
      <c r="AI1975" s="90"/>
      <c r="AJ1975" s="91"/>
      <c r="AK1975" s="89"/>
      <c r="AL1975" s="90"/>
      <c r="AM1975" s="90"/>
      <c r="AN1975" s="90"/>
      <c r="AO1975" s="90"/>
      <c r="AP1975" s="90"/>
      <c r="AQ1975" s="90"/>
      <c r="AR1975" s="90"/>
      <c r="AS1975" s="90"/>
      <c r="AT1975" s="90"/>
      <c r="AU1975" s="90"/>
      <c r="AV1975" s="91"/>
    </row>
    <row r="1976" customFormat="false" ht="13.5" hidden="false" customHeight="false" outlineLevel="0" collapsed="false">
      <c r="C1976" s="72"/>
      <c r="D1976" s="73"/>
      <c r="E1976" s="76"/>
      <c r="F1976" s="76"/>
      <c r="G1976" s="76"/>
      <c r="H1976" s="76"/>
      <c r="I1976" s="76"/>
      <c r="J1976" s="76"/>
      <c r="K1976" s="76"/>
      <c r="L1976" s="76"/>
      <c r="M1976" s="76"/>
      <c r="N1976" s="77"/>
      <c r="O1976" s="77"/>
      <c r="P1976" s="79"/>
      <c r="Q1976" s="80"/>
      <c r="R1976" s="80"/>
      <c r="S1976" s="82"/>
      <c r="T1976" s="83"/>
      <c r="U1976" s="80"/>
      <c r="V1976" s="83"/>
      <c r="W1976" s="80"/>
      <c r="X1976" s="81"/>
      <c r="Y1976" s="93"/>
      <c r="Z1976" s="90"/>
      <c r="AA1976" s="90"/>
      <c r="AB1976" s="90"/>
      <c r="AC1976" s="90"/>
      <c r="AD1976" s="90"/>
      <c r="AE1976" s="90"/>
      <c r="AF1976" s="90"/>
      <c r="AG1976" s="90"/>
      <c r="AH1976" s="90"/>
      <c r="AI1976" s="90"/>
      <c r="AJ1976" s="91"/>
      <c r="AK1976" s="89"/>
      <c r="AL1976" s="90"/>
      <c r="AM1976" s="90"/>
      <c r="AN1976" s="90"/>
      <c r="AO1976" s="90"/>
      <c r="AP1976" s="90"/>
      <c r="AQ1976" s="90"/>
      <c r="AR1976" s="90"/>
      <c r="AS1976" s="90"/>
      <c r="AT1976" s="90"/>
      <c r="AU1976" s="90"/>
      <c r="AV1976" s="91"/>
    </row>
    <row r="1977" customFormat="false" ht="13.5" hidden="false" customHeight="false" outlineLevel="0" collapsed="false">
      <c r="C1977" s="72"/>
      <c r="D1977" s="73"/>
      <c r="E1977" s="76"/>
      <c r="F1977" s="76"/>
      <c r="G1977" s="76"/>
      <c r="H1977" s="76"/>
      <c r="I1977" s="76"/>
      <c r="J1977" s="76"/>
      <c r="K1977" s="76"/>
      <c r="L1977" s="76"/>
      <c r="M1977" s="76"/>
      <c r="N1977" s="77"/>
      <c r="O1977" s="77"/>
      <c r="P1977" s="79"/>
      <c r="Q1977" s="80"/>
      <c r="R1977" s="80"/>
      <c r="S1977" s="82"/>
      <c r="T1977" s="83"/>
      <c r="U1977" s="80"/>
      <c r="V1977" s="83"/>
      <c r="W1977" s="80"/>
      <c r="X1977" s="81"/>
      <c r="Y1977" s="93"/>
      <c r="Z1977" s="90"/>
      <c r="AA1977" s="90"/>
      <c r="AB1977" s="90"/>
      <c r="AC1977" s="90"/>
      <c r="AD1977" s="90"/>
      <c r="AE1977" s="90"/>
      <c r="AF1977" s="90"/>
      <c r="AG1977" s="90"/>
      <c r="AH1977" s="90"/>
      <c r="AI1977" s="90"/>
      <c r="AJ1977" s="91"/>
      <c r="AK1977" s="89"/>
      <c r="AL1977" s="90"/>
      <c r="AM1977" s="90"/>
      <c r="AN1977" s="90"/>
      <c r="AO1977" s="90"/>
      <c r="AP1977" s="90"/>
      <c r="AQ1977" s="90"/>
      <c r="AR1977" s="90"/>
      <c r="AS1977" s="90"/>
      <c r="AT1977" s="90"/>
      <c r="AU1977" s="90"/>
      <c r="AV1977" s="91"/>
    </row>
    <row r="1978" customFormat="false" ht="13.5" hidden="false" customHeight="false" outlineLevel="0" collapsed="false">
      <c r="C1978" s="72"/>
      <c r="D1978" s="73"/>
      <c r="E1978" s="76"/>
      <c r="F1978" s="76"/>
      <c r="G1978" s="76"/>
      <c r="H1978" s="76"/>
      <c r="I1978" s="76"/>
      <c r="J1978" s="76"/>
      <c r="K1978" s="76"/>
      <c r="L1978" s="76"/>
      <c r="M1978" s="76"/>
      <c r="N1978" s="77"/>
      <c r="O1978" s="77"/>
      <c r="P1978" s="79"/>
      <c r="Q1978" s="80"/>
      <c r="R1978" s="80"/>
      <c r="S1978" s="82"/>
      <c r="T1978" s="83"/>
      <c r="U1978" s="80"/>
      <c r="V1978" s="83"/>
      <c r="W1978" s="80"/>
      <c r="X1978" s="81"/>
      <c r="Y1978" s="93"/>
      <c r="Z1978" s="90"/>
      <c r="AA1978" s="90"/>
      <c r="AB1978" s="90"/>
      <c r="AC1978" s="90"/>
      <c r="AD1978" s="90"/>
      <c r="AE1978" s="90"/>
      <c r="AF1978" s="90"/>
      <c r="AG1978" s="90"/>
      <c r="AH1978" s="90"/>
      <c r="AI1978" s="90"/>
      <c r="AJ1978" s="91"/>
      <c r="AK1978" s="89"/>
      <c r="AL1978" s="90"/>
      <c r="AM1978" s="90"/>
      <c r="AN1978" s="90"/>
      <c r="AO1978" s="90"/>
      <c r="AP1978" s="90"/>
      <c r="AQ1978" s="90"/>
      <c r="AR1978" s="90"/>
      <c r="AS1978" s="90"/>
      <c r="AT1978" s="90"/>
      <c r="AU1978" s="90"/>
      <c r="AV1978" s="91"/>
    </row>
    <row r="1979" customFormat="false" ht="13.5" hidden="false" customHeight="false" outlineLevel="0" collapsed="false">
      <c r="C1979" s="72"/>
      <c r="D1979" s="73"/>
      <c r="E1979" s="76"/>
      <c r="F1979" s="76"/>
      <c r="G1979" s="76"/>
      <c r="H1979" s="76"/>
      <c r="I1979" s="76"/>
      <c r="J1979" s="76"/>
      <c r="K1979" s="76"/>
      <c r="L1979" s="76"/>
      <c r="M1979" s="76"/>
      <c r="N1979" s="77"/>
      <c r="O1979" s="77"/>
      <c r="P1979" s="79"/>
      <c r="Q1979" s="80"/>
      <c r="R1979" s="80"/>
      <c r="S1979" s="82"/>
      <c r="T1979" s="83"/>
      <c r="U1979" s="80"/>
      <c r="V1979" s="83"/>
      <c r="W1979" s="80"/>
      <c r="X1979" s="81"/>
      <c r="Y1979" s="93"/>
      <c r="Z1979" s="90"/>
      <c r="AA1979" s="90"/>
      <c r="AB1979" s="90"/>
      <c r="AC1979" s="90"/>
      <c r="AD1979" s="90"/>
      <c r="AE1979" s="90"/>
      <c r="AF1979" s="90"/>
      <c r="AG1979" s="90"/>
      <c r="AH1979" s="90"/>
      <c r="AI1979" s="90"/>
      <c r="AJ1979" s="91"/>
      <c r="AK1979" s="89"/>
      <c r="AL1979" s="90"/>
      <c r="AM1979" s="90"/>
      <c r="AN1979" s="90"/>
      <c r="AO1979" s="90"/>
      <c r="AP1979" s="90"/>
      <c r="AQ1979" s="90"/>
      <c r="AR1979" s="90"/>
      <c r="AS1979" s="90"/>
      <c r="AT1979" s="90"/>
      <c r="AU1979" s="90"/>
      <c r="AV1979" s="91"/>
    </row>
    <row r="1980" customFormat="false" ht="13.5" hidden="false" customHeight="false" outlineLevel="0" collapsed="false">
      <c r="C1980" s="72"/>
      <c r="D1980" s="73"/>
      <c r="E1980" s="76"/>
      <c r="F1980" s="76"/>
      <c r="G1980" s="76"/>
      <c r="H1980" s="76"/>
      <c r="I1980" s="76"/>
      <c r="J1980" s="76"/>
      <c r="K1980" s="76"/>
      <c r="L1980" s="76"/>
      <c r="M1980" s="76"/>
      <c r="N1980" s="77"/>
      <c r="O1980" s="77"/>
      <c r="P1980" s="79"/>
      <c r="Q1980" s="80"/>
      <c r="R1980" s="80"/>
      <c r="S1980" s="82"/>
      <c r="T1980" s="83"/>
      <c r="U1980" s="80"/>
      <c r="V1980" s="83"/>
      <c r="W1980" s="80"/>
      <c r="X1980" s="81"/>
      <c r="Y1980" s="93"/>
      <c r="Z1980" s="90"/>
      <c r="AA1980" s="90"/>
      <c r="AB1980" s="90"/>
      <c r="AC1980" s="90"/>
      <c r="AD1980" s="90"/>
      <c r="AE1980" s="90"/>
      <c r="AF1980" s="90"/>
      <c r="AG1980" s="90"/>
      <c r="AH1980" s="90"/>
      <c r="AI1980" s="90"/>
      <c r="AJ1980" s="91"/>
      <c r="AK1980" s="89"/>
      <c r="AL1980" s="90"/>
      <c r="AM1980" s="90"/>
      <c r="AN1980" s="90"/>
      <c r="AO1980" s="90"/>
      <c r="AP1980" s="90"/>
      <c r="AQ1980" s="90"/>
      <c r="AR1980" s="90"/>
      <c r="AS1980" s="90"/>
      <c r="AT1980" s="90"/>
      <c r="AU1980" s="90"/>
      <c r="AV1980" s="91"/>
    </row>
    <row r="1981" customFormat="false" ht="13.5" hidden="false" customHeight="false" outlineLevel="0" collapsed="false">
      <c r="C1981" s="72"/>
      <c r="D1981" s="73"/>
      <c r="E1981" s="76"/>
      <c r="F1981" s="76"/>
      <c r="G1981" s="76"/>
      <c r="H1981" s="76"/>
      <c r="I1981" s="76"/>
      <c r="J1981" s="76"/>
      <c r="K1981" s="76"/>
      <c r="L1981" s="76"/>
      <c r="M1981" s="76"/>
      <c r="N1981" s="77"/>
      <c r="O1981" s="77"/>
      <c r="P1981" s="79"/>
      <c r="Q1981" s="80"/>
      <c r="R1981" s="80"/>
      <c r="S1981" s="82"/>
      <c r="T1981" s="83"/>
      <c r="U1981" s="80"/>
      <c r="V1981" s="83"/>
      <c r="W1981" s="80"/>
      <c r="X1981" s="81"/>
      <c r="Y1981" s="93"/>
      <c r="Z1981" s="90"/>
      <c r="AA1981" s="90"/>
      <c r="AB1981" s="90"/>
      <c r="AC1981" s="90"/>
      <c r="AD1981" s="90"/>
      <c r="AE1981" s="90"/>
      <c r="AF1981" s="90"/>
      <c r="AG1981" s="90"/>
      <c r="AH1981" s="90"/>
      <c r="AI1981" s="90"/>
      <c r="AJ1981" s="91"/>
      <c r="AK1981" s="89"/>
      <c r="AL1981" s="90"/>
      <c r="AM1981" s="90"/>
      <c r="AN1981" s="90"/>
      <c r="AO1981" s="90"/>
      <c r="AP1981" s="90"/>
      <c r="AQ1981" s="90"/>
      <c r="AR1981" s="90"/>
      <c r="AS1981" s="90"/>
      <c r="AT1981" s="90"/>
      <c r="AU1981" s="90"/>
      <c r="AV1981" s="91"/>
    </row>
    <row r="1982" customFormat="false" ht="13.5" hidden="false" customHeight="false" outlineLevel="0" collapsed="false">
      <c r="C1982" s="72"/>
      <c r="D1982" s="73"/>
      <c r="E1982" s="76"/>
      <c r="F1982" s="76"/>
      <c r="G1982" s="76"/>
      <c r="H1982" s="76"/>
      <c r="I1982" s="76"/>
      <c r="J1982" s="76"/>
      <c r="K1982" s="76"/>
      <c r="L1982" s="76"/>
      <c r="M1982" s="76"/>
      <c r="N1982" s="77"/>
      <c r="O1982" s="77"/>
      <c r="P1982" s="79"/>
      <c r="Q1982" s="80"/>
      <c r="R1982" s="80"/>
      <c r="S1982" s="82"/>
      <c r="T1982" s="83"/>
      <c r="U1982" s="80"/>
      <c r="V1982" s="83"/>
      <c r="W1982" s="80"/>
      <c r="X1982" s="81"/>
      <c r="Y1982" s="93"/>
      <c r="Z1982" s="90"/>
      <c r="AA1982" s="90"/>
      <c r="AB1982" s="90"/>
      <c r="AC1982" s="90"/>
      <c r="AD1982" s="90"/>
      <c r="AE1982" s="90"/>
      <c r="AF1982" s="90"/>
      <c r="AG1982" s="90"/>
      <c r="AH1982" s="90"/>
      <c r="AI1982" s="90"/>
      <c r="AJ1982" s="91"/>
      <c r="AK1982" s="89"/>
      <c r="AL1982" s="90"/>
      <c r="AM1982" s="90"/>
      <c r="AN1982" s="90"/>
      <c r="AO1982" s="90"/>
      <c r="AP1982" s="90"/>
      <c r="AQ1982" s="90"/>
      <c r="AR1982" s="90"/>
      <c r="AS1982" s="90"/>
      <c r="AT1982" s="90"/>
      <c r="AU1982" s="90"/>
      <c r="AV1982" s="91"/>
    </row>
    <row r="1983" customFormat="false" ht="13.5" hidden="false" customHeight="false" outlineLevel="0" collapsed="false">
      <c r="C1983" s="72"/>
      <c r="D1983" s="73"/>
      <c r="E1983" s="76"/>
      <c r="F1983" s="76"/>
      <c r="G1983" s="76"/>
      <c r="H1983" s="76"/>
      <c r="I1983" s="76"/>
      <c r="J1983" s="76"/>
      <c r="K1983" s="76"/>
      <c r="L1983" s="76"/>
      <c r="M1983" s="76"/>
      <c r="N1983" s="77"/>
      <c r="O1983" s="77"/>
      <c r="P1983" s="79"/>
      <c r="Q1983" s="80"/>
      <c r="R1983" s="80"/>
      <c r="S1983" s="82"/>
      <c r="T1983" s="83"/>
      <c r="U1983" s="80"/>
      <c r="V1983" s="83"/>
      <c r="W1983" s="80"/>
      <c r="X1983" s="81"/>
      <c r="Y1983" s="93"/>
      <c r="Z1983" s="90"/>
      <c r="AA1983" s="90"/>
      <c r="AB1983" s="90"/>
      <c r="AC1983" s="90"/>
      <c r="AD1983" s="90"/>
      <c r="AE1983" s="90"/>
      <c r="AF1983" s="90"/>
      <c r="AG1983" s="90"/>
      <c r="AH1983" s="90"/>
      <c r="AI1983" s="90"/>
      <c r="AJ1983" s="91"/>
      <c r="AK1983" s="89"/>
      <c r="AL1983" s="90"/>
      <c r="AM1983" s="90"/>
      <c r="AN1983" s="90"/>
      <c r="AO1983" s="90"/>
      <c r="AP1983" s="90"/>
      <c r="AQ1983" s="90"/>
      <c r="AR1983" s="90"/>
      <c r="AS1983" s="90"/>
      <c r="AT1983" s="90"/>
      <c r="AU1983" s="90"/>
      <c r="AV1983" s="91"/>
    </row>
    <row r="1984" customFormat="false" ht="13.5" hidden="false" customHeight="false" outlineLevel="0" collapsed="false">
      <c r="C1984" s="72"/>
      <c r="D1984" s="73"/>
      <c r="E1984" s="76"/>
      <c r="F1984" s="76"/>
      <c r="G1984" s="76"/>
      <c r="H1984" s="76"/>
      <c r="I1984" s="76"/>
      <c r="J1984" s="76"/>
      <c r="K1984" s="76"/>
      <c r="L1984" s="76"/>
      <c r="M1984" s="76"/>
      <c r="N1984" s="77"/>
      <c r="O1984" s="77"/>
      <c r="P1984" s="79"/>
      <c r="Q1984" s="80"/>
      <c r="R1984" s="80"/>
      <c r="S1984" s="82"/>
      <c r="T1984" s="83"/>
      <c r="U1984" s="80"/>
      <c r="V1984" s="83"/>
      <c r="W1984" s="80"/>
      <c r="X1984" s="81"/>
      <c r="Y1984" s="93"/>
      <c r="Z1984" s="90"/>
      <c r="AA1984" s="90"/>
      <c r="AB1984" s="90"/>
      <c r="AC1984" s="90"/>
      <c r="AD1984" s="90"/>
      <c r="AE1984" s="90"/>
      <c r="AF1984" s="90"/>
      <c r="AG1984" s="90"/>
      <c r="AH1984" s="90"/>
      <c r="AI1984" s="90"/>
      <c r="AJ1984" s="91"/>
      <c r="AK1984" s="89"/>
      <c r="AL1984" s="90"/>
      <c r="AM1984" s="90"/>
      <c r="AN1984" s="90"/>
      <c r="AO1984" s="90"/>
      <c r="AP1984" s="90"/>
      <c r="AQ1984" s="90"/>
      <c r="AR1984" s="90"/>
      <c r="AS1984" s="90"/>
      <c r="AT1984" s="90"/>
      <c r="AU1984" s="90"/>
      <c r="AV1984" s="91"/>
    </row>
    <row r="1985" customFormat="false" ht="13.5" hidden="false" customHeight="false" outlineLevel="0" collapsed="false">
      <c r="C1985" s="72"/>
      <c r="D1985" s="73"/>
      <c r="E1985" s="76"/>
      <c r="F1985" s="76"/>
      <c r="G1985" s="76"/>
      <c r="H1985" s="76"/>
      <c r="I1985" s="76"/>
      <c r="J1985" s="76"/>
      <c r="K1985" s="76"/>
      <c r="L1985" s="76"/>
      <c r="M1985" s="76"/>
      <c r="N1985" s="77"/>
      <c r="O1985" s="77"/>
      <c r="P1985" s="79"/>
      <c r="Q1985" s="80"/>
      <c r="R1985" s="80"/>
      <c r="S1985" s="82"/>
      <c r="T1985" s="83"/>
      <c r="U1985" s="80"/>
      <c r="V1985" s="83"/>
      <c r="W1985" s="80"/>
      <c r="X1985" s="81"/>
      <c r="Y1985" s="93"/>
      <c r="Z1985" s="90"/>
      <c r="AA1985" s="90"/>
      <c r="AB1985" s="90"/>
      <c r="AC1985" s="90"/>
      <c r="AD1985" s="90"/>
      <c r="AE1985" s="90"/>
      <c r="AF1985" s="90"/>
      <c r="AG1985" s="90"/>
      <c r="AH1985" s="90"/>
      <c r="AI1985" s="90"/>
      <c r="AJ1985" s="91"/>
      <c r="AK1985" s="89"/>
      <c r="AL1985" s="90"/>
      <c r="AM1985" s="90"/>
      <c r="AN1985" s="90"/>
      <c r="AO1985" s="90"/>
      <c r="AP1985" s="90"/>
      <c r="AQ1985" s="90"/>
      <c r="AR1985" s="90"/>
      <c r="AS1985" s="90"/>
      <c r="AT1985" s="90"/>
      <c r="AU1985" s="90"/>
      <c r="AV1985" s="91"/>
    </row>
    <row r="1986" customFormat="false" ht="13.5" hidden="false" customHeight="false" outlineLevel="0" collapsed="false">
      <c r="C1986" s="72"/>
      <c r="D1986" s="73"/>
      <c r="E1986" s="76"/>
      <c r="F1986" s="76"/>
      <c r="G1986" s="76"/>
      <c r="H1986" s="76"/>
      <c r="I1986" s="76"/>
      <c r="J1986" s="76"/>
      <c r="K1986" s="76"/>
      <c r="L1986" s="76"/>
      <c r="M1986" s="76"/>
      <c r="N1986" s="77"/>
      <c r="O1986" s="77"/>
      <c r="P1986" s="79"/>
      <c r="Q1986" s="80"/>
      <c r="R1986" s="80"/>
      <c r="S1986" s="82"/>
      <c r="T1986" s="83"/>
      <c r="U1986" s="80"/>
      <c r="V1986" s="83"/>
      <c r="W1986" s="80"/>
      <c r="X1986" s="81"/>
      <c r="Y1986" s="93"/>
      <c r="Z1986" s="90"/>
      <c r="AA1986" s="90"/>
      <c r="AB1986" s="90"/>
      <c r="AC1986" s="90"/>
      <c r="AD1986" s="90"/>
      <c r="AE1986" s="90"/>
      <c r="AF1986" s="90"/>
      <c r="AG1986" s="90"/>
      <c r="AH1986" s="90"/>
      <c r="AI1986" s="90"/>
      <c r="AJ1986" s="91"/>
      <c r="AK1986" s="89"/>
      <c r="AL1986" s="90"/>
      <c r="AM1986" s="90"/>
      <c r="AN1986" s="90"/>
      <c r="AO1986" s="90"/>
      <c r="AP1986" s="90"/>
      <c r="AQ1986" s="90"/>
      <c r="AR1986" s="90"/>
      <c r="AS1986" s="90"/>
      <c r="AT1986" s="90"/>
      <c r="AU1986" s="90"/>
      <c r="AV1986" s="91"/>
    </row>
    <row r="1987" customFormat="false" ht="13.5" hidden="false" customHeight="false" outlineLevel="0" collapsed="false">
      <c r="C1987" s="72"/>
      <c r="D1987" s="73"/>
      <c r="E1987" s="76"/>
      <c r="F1987" s="76"/>
      <c r="G1987" s="76"/>
      <c r="H1987" s="76"/>
      <c r="I1987" s="76"/>
      <c r="J1987" s="76"/>
      <c r="K1987" s="76"/>
      <c r="L1987" s="76"/>
      <c r="M1987" s="76"/>
      <c r="N1987" s="77"/>
      <c r="O1987" s="77"/>
      <c r="P1987" s="79"/>
      <c r="Q1987" s="80"/>
      <c r="R1987" s="80"/>
      <c r="S1987" s="82"/>
      <c r="T1987" s="83"/>
      <c r="U1987" s="80"/>
      <c r="V1987" s="83"/>
      <c r="W1987" s="80"/>
      <c r="X1987" s="81"/>
      <c r="Y1987" s="93"/>
      <c r="Z1987" s="90"/>
      <c r="AA1987" s="90"/>
      <c r="AB1987" s="90"/>
      <c r="AC1987" s="90"/>
      <c r="AD1987" s="90"/>
      <c r="AE1987" s="90"/>
      <c r="AF1987" s="90"/>
      <c r="AG1987" s="90"/>
      <c r="AH1987" s="90"/>
      <c r="AI1987" s="90"/>
      <c r="AJ1987" s="91"/>
      <c r="AK1987" s="89"/>
      <c r="AL1987" s="90"/>
      <c r="AM1987" s="90"/>
      <c r="AN1987" s="90"/>
      <c r="AO1987" s="90"/>
      <c r="AP1987" s="90"/>
      <c r="AQ1987" s="90"/>
      <c r="AR1987" s="90"/>
      <c r="AS1987" s="90"/>
      <c r="AT1987" s="90"/>
      <c r="AU1987" s="90"/>
      <c r="AV1987" s="91"/>
    </row>
    <row r="1988" customFormat="false" ht="13.5" hidden="false" customHeight="false" outlineLevel="0" collapsed="false">
      <c r="C1988" s="72"/>
      <c r="D1988" s="73"/>
      <c r="E1988" s="76"/>
      <c r="F1988" s="76"/>
      <c r="G1988" s="76"/>
      <c r="H1988" s="76"/>
      <c r="I1988" s="76"/>
      <c r="J1988" s="76"/>
      <c r="K1988" s="76"/>
      <c r="L1988" s="76"/>
      <c r="M1988" s="76"/>
      <c r="N1988" s="77"/>
      <c r="O1988" s="77"/>
      <c r="P1988" s="79"/>
      <c r="Q1988" s="80"/>
      <c r="R1988" s="80"/>
      <c r="S1988" s="82"/>
      <c r="T1988" s="83"/>
      <c r="U1988" s="80"/>
      <c r="V1988" s="83"/>
      <c r="W1988" s="80"/>
      <c r="X1988" s="81"/>
      <c r="Y1988" s="93"/>
      <c r="Z1988" s="90"/>
      <c r="AA1988" s="90"/>
      <c r="AB1988" s="90"/>
      <c r="AC1988" s="90"/>
      <c r="AD1988" s="90"/>
      <c r="AE1988" s="90"/>
      <c r="AF1988" s="90"/>
      <c r="AG1988" s="90"/>
      <c r="AH1988" s="90"/>
      <c r="AI1988" s="90"/>
      <c r="AJ1988" s="91"/>
      <c r="AK1988" s="89"/>
      <c r="AL1988" s="90"/>
      <c r="AM1988" s="90"/>
      <c r="AN1988" s="90"/>
      <c r="AO1988" s="90"/>
      <c r="AP1988" s="90"/>
      <c r="AQ1988" s="90"/>
      <c r="AR1988" s="90"/>
      <c r="AS1988" s="90"/>
      <c r="AT1988" s="90"/>
      <c r="AU1988" s="90"/>
      <c r="AV1988" s="91"/>
    </row>
    <row r="1989" customFormat="false" ht="13.5" hidden="false" customHeight="false" outlineLevel="0" collapsed="false">
      <c r="C1989" s="72"/>
      <c r="D1989" s="73"/>
      <c r="E1989" s="76"/>
      <c r="F1989" s="76"/>
      <c r="G1989" s="76"/>
      <c r="H1989" s="76"/>
      <c r="I1989" s="76"/>
      <c r="J1989" s="76"/>
      <c r="K1989" s="76"/>
      <c r="L1989" s="76"/>
      <c r="M1989" s="76"/>
      <c r="N1989" s="77"/>
      <c r="O1989" s="77"/>
      <c r="P1989" s="79"/>
      <c r="Q1989" s="80"/>
      <c r="R1989" s="80"/>
      <c r="S1989" s="82"/>
      <c r="T1989" s="83"/>
      <c r="U1989" s="80"/>
      <c r="V1989" s="83"/>
      <c r="W1989" s="80"/>
      <c r="X1989" s="81"/>
      <c r="Y1989" s="93"/>
      <c r="Z1989" s="90"/>
      <c r="AA1989" s="90"/>
      <c r="AB1989" s="90"/>
      <c r="AC1989" s="90"/>
      <c r="AD1989" s="90"/>
      <c r="AE1989" s="90"/>
      <c r="AF1989" s="90"/>
      <c r="AG1989" s="90"/>
      <c r="AH1989" s="90"/>
      <c r="AI1989" s="90"/>
      <c r="AJ1989" s="91"/>
      <c r="AK1989" s="89"/>
      <c r="AL1989" s="90"/>
      <c r="AM1989" s="90"/>
      <c r="AN1989" s="90"/>
      <c r="AO1989" s="90"/>
      <c r="AP1989" s="90"/>
      <c r="AQ1989" s="90"/>
      <c r="AR1989" s="90"/>
      <c r="AS1989" s="90"/>
      <c r="AT1989" s="90"/>
      <c r="AU1989" s="90"/>
      <c r="AV1989" s="91"/>
    </row>
    <row r="1990" customFormat="false" ht="13.5" hidden="false" customHeight="false" outlineLevel="0" collapsed="false">
      <c r="C1990" s="72"/>
      <c r="D1990" s="73"/>
      <c r="E1990" s="76"/>
      <c r="F1990" s="76"/>
      <c r="G1990" s="76"/>
      <c r="H1990" s="76"/>
      <c r="I1990" s="76"/>
      <c r="J1990" s="76"/>
      <c r="K1990" s="76"/>
      <c r="L1990" s="76"/>
      <c r="M1990" s="76"/>
      <c r="N1990" s="77"/>
      <c r="O1990" s="77"/>
      <c r="P1990" s="79"/>
      <c r="Q1990" s="80"/>
      <c r="R1990" s="80"/>
      <c r="S1990" s="82"/>
      <c r="T1990" s="83"/>
      <c r="U1990" s="80"/>
      <c r="V1990" s="83"/>
      <c r="W1990" s="80"/>
      <c r="X1990" s="81"/>
      <c r="Y1990" s="93"/>
      <c r="Z1990" s="90"/>
      <c r="AA1990" s="90"/>
      <c r="AB1990" s="90"/>
      <c r="AC1990" s="90"/>
      <c r="AD1990" s="90"/>
      <c r="AE1990" s="90"/>
      <c r="AF1990" s="90"/>
      <c r="AG1990" s="90"/>
      <c r="AH1990" s="90"/>
      <c r="AI1990" s="90"/>
      <c r="AJ1990" s="91"/>
      <c r="AK1990" s="89"/>
      <c r="AL1990" s="90"/>
      <c r="AM1990" s="90"/>
      <c r="AN1990" s="90"/>
      <c r="AO1990" s="90"/>
      <c r="AP1990" s="90"/>
      <c r="AQ1990" s="90"/>
      <c r="AR1990" s="90"/>
      <c r="AS1990" s="90"/>
      <c r="AT1990" s="90"/>
      <c r="AU1990" s="90"/>
      <c r="AV1990" s="91"/>
    </row>
    <row r="1991" customFormat="false" ht="13.5" hidden="false" customHeight="false" outlineLevel="0" collapsed="false">
      <c r="C1991" s="72"/>
      <c r="D1991" s="73"/>
      <c r="E1991" s="76"/>
      <c r="F1991" s="76"/>
      <c r="G1991" s="76"/>
      <c r="H1991" s="76"/>
      <c r="I1991" s="76"/>
      <c r="J1991" s="76"/>
      <c r="K1991" s="76"/>
      <c r="L1991" s="76"/>
      <c r="M1991" s="76"/>
      <c r="N1991" s="77"/>
      <c r="O1991" s="77"/>
      <c r="P1991" s="79"/>
      <c r="Q1991" s="80"/>
      <c r="R1991" s="80"/>
      <c r="S1991" s="82"/>
      <c r="T1991" s="83"/>
      <c r="U1991" s="80"/>
      <c r="V1991" s="83"/>
      <c r="W1991" s="80"/>
      <c r="X1991" s="81"/>
      <c r="Y1991" s="93"/>
      <c r="Z1991" s="90"/>
      <c r="AA1991" s="90"/>
      <c r="AB1991" s="90"/>
      <c r="AC1991" s="90"/>
      <c r="AD1991" s="90"/>
      <c r="AE1991" s="90"/>
      <c r="AF1991" s="90"/>
      <c r="AG1991" s="90"/>
      <c r="AH1991" s="90"/>
      <c r="AI1991" s="90"/>
      <c r="AJ1991" s="91"/>
      <c r="AK1991" s="89"/>
      <c r="AL1991" s="90"/>
      <c r="AM1991" s="90"/>
      <c r="AN1991" s="90"/>
      <c r="AO1991" s="90"/>
      <c r="AP1991" s="90"/>
      <c r="AQ1991" s="90"/>
      <c r="AR1991" s="90"/>
      <c r="AS1991" s="90"/>
      <c r="AT1991" s="90"/>
      <c r="AU1991" s="90"/>
      <c r="AV1991" s="91"/>
    </row>
    <row r="1992" customFormat="false" ht="13.5" hidden="false" customHeight="false" outlineLevel="0" collapsed="false">
      <c r="C1992" s="72"/>
      <c r="D1992" s="73"/>
      <c r="E1992" s="76"/>
      <c r="F1992" s="76"/>
      <c r="G1992" s="76"/>
      <c r="H1992" s="76"/>
      <c r="I1992" s="76"/>
      <c r="J1992" s="76"/>
      <c r="K1992" s="76"/>
      <c r="L1992" s="76"/>
      <c r="M1992" s="76"/>
      <c r="N1992" s="77"/>
      <c r="O1992" s="77"/>
      <c r="P1992" s="79"/>
      <c r="Q1992" s="80"/>
      <c r="R1992" s="80"/>
      <c r="S1992" s="82"/>
      <c r="T1992" s="83"/>
      <c r="U1992" s="80"/>
      <c r="V1992" s="83"/>
      <c r="W1992" s="80"/>
      <c r="X1992" s="81"/>
      <c r="Y1992" s="93"/>
      <c r="Z1992" s="90"/>
      <c r="AA1992" s="90"/>
      <c r="AB1992" s="90"/>
      <c r="AC1992" s="90"/>
      <c r="AD1992" s="90"/>
      <c r="AE1992" s="90"/>
      <c r="AF1992" s="90"/>
      <c r="AG1992" s="90"/>
      <c r="AH1992" s="90"/>
      <c r="AI1992" s="90"/>
      <c r="AJ1992" s="91"/>
      <c r="AK1992" s="89"/>
      <c r="AL1992" s="90"/>
      <c r="AM1992" s="90"/>
      <c r="AN1992" s="90"/>
      <c r="AO1992" s="90"/>
      <c r="AP1992" s="90"/>
      <c r="AQ1992" s="90"/>
      <c r="AR1992" s="90"/>
      <c r="AS1992" s="90"/>
      <c r="AT1992" s="90"/>
      <c r="AU1992" s="90"/>
      <c r="AV1992" s="91"/>
    </row>
    <row r="1993" customFormat="false" ht="13.5" hidden="false" customHeight="false" outlineLevel="0" collapsed="false">
      <c r="C1993" s="72"/>
      <c r="D1993" s="73"/>
      <c r="E1993" s="76"/>
      <c r="F1993" s="76"/>
      <c r="G1993" s="76"/>
      <c r="H1993" s="76"/>
      <c r="I1993" s="76"/>
      <c r="J1993" s="76"/>
      <c r="K1993" s="76"/>
      <c r="L1993" s="76"/>
      <c r="M1993" s="76"/>
      <c r="N1993" s="77"/>
      <c r="O1993" s="77"/>
      <c r="P1993" s="79"/>
      <c r="Q1993" s="80"/>
      <c r="R1993" s="80"/>
      <c r="S1993" s="82"/>
      <c r="T1993" s="83"/>
      <c r="U1993" s="80"/>
      <c r="V1993" s="83"/>
      <c r="W1993" s="80"/>
      <c r="X1993" s="81"/>
      <c r="Y1993" s="93"/>
      <c r="Z1993" s="90"/>
      <c r="AA1993" s="90"/>
      <c r="AB1993" s="90"/>
      <c r="AC1993" s="90"/>
      <c r="AD1993" s="90"/>
      <c r="AE1993" s="90"/>
      <c r="AF1993" s="90"/>
      <c r="AG1993" s="90"/>
      <c r="AH1993" s="90"/>
      <c r="AI1993" s="90"/>
      <c r="AJ1993" s="91"/>
      <c r="AK1993" s="89"/>
      <c r="AL1993" s="90"/>
      <c r="AM1993" s="90"/>
      <c r="AN1993" s="90"/>
      <c r="AO1993" s="90"/>
      <c r="AP1993" s="90"/>
      <c r="AQ1993" s="90"/>
      <c r="AR1993" s="90"/>
      <c r="AS1993" s="90"/>
      <c r="AT1993" s="90"/>
      <c r="AU1993" s="90"/>
      <c r="AV1993" s="91"/>
    </row>
    <row r="1994" customFormat="false" ht="13.5" hidden="false" customHeight="false" outlineLevel="0" collapsed="false">
      <c r="C1994" s="72"/>
      <c r="D1994" s="73"/>
      <c r="E1994" s="76"/>
      <c r="F1994" s="76"/>
      <c r="G1994" s="76"/>
      <c r="H1994" s="76"/>
      <c r="I1994" s="76"/>
      <c r="J1994" s="76"/>
      <c r="K1994" s="76"/>
      <c r="L1994" s="76"/>
      <c r="M1994" s="76"/>
      <c r="N1994" s="77"/>
      <c r="O1994" s="77"/>
      <c r="P1994" s="79"/>
      <c r="Q1994" s="80"/>
      <c r="R1994" s="80"/>
      <c r="S1994" s="82"/>
      <c r="T1994" s="83"/>
      <c r="U1994" s="80"/>
      <c r="V1994" s="83"/>
      <c r="W1994" s="80"/>
      <c r="X1994" s="81"/>
      <c r="Y1994" s="93"/>
      <c r="Z1994" s="90"/>
      <c r="AA1994" s="90"/>
      <c r="AB1994" s="90"/>
      <c r="AC1994" s="90"/>
      <c r="AD1994" s="90"/>
      <c r="AE1994" s="90"/>
      <c r="AF1994" s="90"/>
      <c r="AG1994" s="90"/>
      <c r="AH1994" s="90"/>
      <c r="AI1994" s="90"/>
      <c r="AJ1994" s="91"/>
      <c r="AK1994" s="89"/>
      <c r="AL1994" s="90"/>
      <c r="AM1994" s="90"/>
      <c r="AN1994" s="90"/>
      <c r="AO1994" s="90"/>
      <c r="AP1994" s="90"/>
      <c r="AQ1994" s="90"/>
      <c r="AR1994" s="90"/>
      <c r="AS1994" s="90"/>
      <c r="AT1994" s="90"/>
      <c r="AU1994" s="90"/>
      <c r="AV1994" s="91"/>
    </row>
    <row r="1995" customFormat="false" ht="13.5" hidden="false" customHeight="false" outlineLevel="0" collapsed="false">
      <c r="C1995" s="72"/>
      <c r="D1995" s="73"/>
      <c r="E1995" s="76"/>
      <c r="F1995" s="76"/>
      <c r="G1995" s="76"/>
      <c r="H1995" s="76"/>
      <c r="I1995" s="76"/>
      <c r="J1995" s="76"/>
      <c r="K1995" s="76"/>
      <c r="L1995" s="76"/>
      <c r="M1995" s="76"/>
      <c r="N1995" s="77"/>
      <c r="O1995" s="77"/>
      <c r="P1995" s="79"/>
      <c r="Q1995" s="80"/>
      <c r="R1995" s="80"/>
      <c r="S1995" s="82"/>
      <c r="T1995" s="83"/>
      <c r="U1995" s="80"/>
      <c r="V1995" s="83"/>
      <c r="W1995" s="80"/>
      <c r="X1995" s="81"/>
      <c r="Y1995" s="93"/>
      <c r="Z1995" s="90"/>
      <c r="AA1995" s="90"/>
      <c r="AB1995" s="90"/>
      <c r="AC1995" s="90"/>
      <c r="AD1995" s="90"/>
      <c r="AE1995" s="90"/>
      <c r="AF1995" s="90"/>
      <c r="AG1995" s="90"/>
      <c r="AH1995" s="90"/>
      <c r="AI1995" s="90"/>
      <c r="AJ1995" s="91"/>
      <c r="AK1995" s="89"/>
      <c r="AL1995" s="90"/>
      <c r="AM1995" s="90"/>
      <c r="AN1995" s="90"/>
      <c r="AO1995" s="90"/>
      <c r="AP1995" s="90"/>
      <c r="AQ1995" s="90"/>
      <c r="AR1995" s="90"/>
      <c r="AS1995" s="90"/>
      <c r="AT1995" s="90"/>
      <c r="AU1995" s="90"/>
      <c r="AV1995" s="91"/>
    </row>
    <row r="1996" customFormat="false" ht="13.5" hidden="false" customHeight="false" outlineLevel="0" collapsed="false">
      <c r="C1996" s="72"/>
      <c r="D1996" s="73"/>
      <c r="E1996" s="76"/>
      <c r="F1996" s="76"/>
      <c r="G1996" s="76"/>
      <c r="H1996" s="76"/>
      <c r="I1996" s="76"/>
      <c r="J1996" s="76"/>
      <c r="K1996" s="76"/>
      <c r="L1996" s="76"/>
      <c r="M1996" s="76"/>
      <c r="N1996" s="77"/>
      <c r="O1996" s="77"/>
      <c r="P1996" s="79"/>
      <c r="Q1996" s="80"/>
      <c r="R1996" s="80"/>
      <c r="S1996" s="82"/>
      <c r="T1996" s="83"/>
      <c r="U1996" s="80"/>
      <c r="V1996" s="83"/>
      <c r="W1996" s="80"/>
      <c r="X1996" s="81"/>
      <c r="Y1996" s="93"/>
      <c r="Z1996" s="90"/>
      <c r="AA1996" s="90"/>
      <c r="AB1996" s="90"/>
      <c r="AC1996" s="90"/>
      <c r="AD1996" s="90"/>
      <c r="AE1996" s="90"/>
      <c r="AF1996" s="90"/>
      <c r="AG1996" s="90"/>
      <c r="AH1996" s="90"/>
      <c r="AI1996" s="90"/>
      <c r="AJ1996" s="91"/>
      <c r="AK1996" s="89"/>
      <c r="AL1996" s="90"/>
      <c r="AM1996" s="90"/>
      <c r="AN1996" s="90"/>
      <c r="AO1996" s="90"/>
      <c r="AP1996" s="90"/>
      <c r="AQ1996" s="90"/>
      <c r="AR1996" s="90"/>
      <c r="AS1996" s="90"/>
      <c r="AT1996" s="90"/>
      <c r="AU1996" s="90"/>
      <c r="AV1996" s="91"/>
    </row>
    <row r="1997" customFormat="false" ht="13.5" hidden="false" customHeight="false" outlineLevel="0" collapsed="false">
      <c r="C1997" s="72"/>
      <c r="D1997" s="73"/>
      <c r="E1997" s="76"/>
      <c r="F1997" s="76"/>
      <c r="G1997" s="76"/>
      <c r="H1997" s="76"/>
      <c r="I1997" s="76"/>
      <c r="J1997" s="76"/>
      <c r="K1997" s="76"/>
      <c r="L1997" s="76"/>
      <c r="M1997" s="76"/>
      <c r="N1997" s="77"/>
      <c r="O1997" s="77"/>
      <c r="P1997" s="79"/>
      <c r="Q1997" s="80"/>
      <c r="R1997" s="80"/>
      <c r="S1997" s="82"/>
      <c r="T1997" s="83"/>
      <c r="U1997" s="80"/>
      <c r="V1997" s="83"/>
      <c r="W1997" s="80"/>
      <c r="X1997" s="81"/>
      <c r="Y1997" s="93"/>
      <c r="Z1997" s="90"/>
      <c r="AA1997" s="90"/>
      <c r="AB1997" s="90"/>
      <c r="AC1997" s="90"/>
      <c r="AD1997" s="90"/>
      <c r="AE1997" s="90"/>
      <c r="AF1997" s="90"/>
      <c r="AG1997" s="90"/>
      <c r="AH1997" s="90"/>
      <c r="AI1997" s="90"/>
      <c r="AJ1997" s="91"/>
      <c r="AK1997" s="89"/>
      <c r="AL1997" s="90"/>
      <c r="AM1997" s="90"/>
      <c r="AN1997" s="90"/>
      <c r="AO1997" s="90"/>
      <c r="AP1997" s="90"/>
      <c r="AQ1997" s="90"/>
      <c r="AR1997" s="90"/>
      <c r="AS1997" s="90"/>
      <c r="AT1997" s="90"/>
      <c r="AU1997" s="90"/>
      <c r="AV1997" s="91"/>
    </row>
    <row r="1998" customFormat="false" ht="13.5" hidden="false" customHeight="false" outlineLevel="0" collapsed="false">
      <c r="C1998" s="72"/>
      <c r="D1998" s="73"/>
      <c r="E1998" s="76"/>
      <c r="F1998" s="76"/>
      <c r="G1998" s="76"/>
      <c r="H1998" s="76"/>
      <c r="I1998" s="76"/>
      <c r="J1998" s="76"/>
      <c r="K1998" s="76"/>
      <c r="L1998" s="76"/>
      <c r="M1998" s="76"/>
      <c r="N1998" s="77"/>
      <c r="O1998" s="77"/>
      <c r="P1998" s="79"/>
      <c r="Q1998" s="80"/>
      <c r="R1998" s="80"/>
      <c r="S1998" s="82"/>
      <c r="T1998" s="83"/>
      <c r="U1998" s="80"/>
      <c r="V1998" s="83"/>
      <c r="W1998" s="80"/>
      <c r="X1998" s="81"/>
      <c r="Y1998" s="93"/>
      <c r="Z1998" s="90"/>
      <c r="AA1998" s="90"/>
      <c r="AB1998" s="90"/>
      <c r="AC1998" s="90"/>
      <c r="AD1998" s="90"/>
      <c r="AE1998" s="90"/>
      <c r="AF1998" s="90"/>
      <c r="AG1998" s="90"/>
      <c r="AH1998" s="90"/>
      <c r="AI1998" s="90"/>
      <c r="AJ1998" s="91"/>
      <c r="AK1998" s="89"/>
      <c r="AL1998" s="90"/>
      <c r="AM1998" s="90"/>
      <c r="AN1998" s="90"/>
      <c r="AO1998" s="90"/>
      <c r="AP1998" s="90"/>
      <c r="AQ1998" s="90"/>
      <c r="AR1998" s="90"/>
      <c r="AS1998" s="90"/>
      <c r="AT1998" s="90"/>
      <c r="AU1998" s="90"/>
      <c r="AV1998" s="91"/>
    </row>
    <row r="1999" customFormat="false" ht="13.5" hidden="false" customHeight="false" outlineLevel="0" collapsed="false">
      <c r="C1999" s="72"/>
      <c r="D1999" s="73"/>
      <c r="E1999" s="76"/>
      <c r="F1999" s="76"/>
      <c r="G1999" s="76"/>
      <c r="H1999" s="76"/>
      <c r="I1999" s="76"/>
      <c r="J1999" s="76"/>
      <c r="K1999" s="76"/>
      <c r="L1999" s="76"/>
      <c r="M1999" s="76"/>
      <c r="N1999" s="77"/>
      <c r="O1999" s="77"/>
      <c r="P1999" s="79"/>
      <c r="Q1999" s="80"/>
      <c r="R1999" s="80"/>
      <c r="S1999" s="82"/>
      <c r="T1999" s="83"/>
      <c r="U1999" s="80"/>
      <c r="V1999" s="83"/>
      <c r="W1999" s="80"/>
      <c r="X1999" s="81"/>
      <c r="Y1999" s="93"/>
      <c r="Z1999" s="90"/>
      <c r="AA1999" s="90"/>
      <c r="AB1999" s="90"/>
      <c r="AC1999" s="90"/>
      <c r="AD1999" s="90"/>
      <c r="AE1999" s="90"/>
      <c r="AF1999" s="90"/>
      <c r="AG1999" s="90"/>
      <c r="AH1999" s="90"/>
      <c r="AI1999" s="90"/>
      <c r="AJ1999" s="91"/>
      <c r="AK1999" s="89"/>
      <c r="AL1999" s="90"/>
      <c r="AM1999" s="90"/>
      <c r="AN1999" s="90"/>
      <c r="AO1999" s="90"/>
      <c r="AP1999" s="90"/>
      <c r="AQ1999" s="90"/>
      <c r="AR1999" s="90"/>
      <c r="AS1999" s="90"/>
      <c r="AT1999" s="90"/>
      <c r="AU1999" s="90"/>
      <c r="AV1999" s="91"/>
    </row>
    <row r="2000" customFormat="false" ht="13.5" hidden="false" customHeight="false" outlineLevel="0" collapsed="false">
      <c r="C2000" s="72"/>
      <c r="D2000" s="73"/>
      <c r="E2000" s="76"/>
      <c r="F2000" s="76"/>
      <c r="G2000" s="76"/>
      <c r="H2000" s="76"/>
      <c r="I2000" s="76"/>
      <c r="J2000" s="76"/>
      <c r="K2000" s="76"/>
      <c r="L2000" s="76"/>
      <c r="M2000" s="76"/>
      <c r="N2000" s="77"/>
      <c r="O2000" s="77"/>
      <c r="P2000" s="79"/>
      <c r="Q2000" s="80"/>
      <c r="R2000" s="80"/>
      <c r="S2000" s="82"/>
      <c r="T2000" s="83"/>
      <c r="U2000" s="80"/>
      <c r="V2000" s="83"/>
      <c r="W2000" s="80"/>
      <c r="X2000" s="81"/>
      <c r="Y2000" s="93"/>
      <c r="Z2000" s="90"/>
      <c r="AA2000" s="90"/>
      <c r="AB2000" s="90"/>
      <c r="AC2000" s="90"/>
      <c r="AD2000" s="90"/>
      <c r="AE2000" s="90"/>
      <c r="AF2000" s="90"/>
      <c r="AG2000" s="90"/>
      <c r="AH2000" s="90"/>
      <c r="AI2000" s="90"/>
      <c r="AJ2000" s="91"/>
      <c r="AK2000" s="89"/>
      <c r="AL2000" s="90"/>
      <c r="AM2000" s="90"/>
      <c r="AN2000" s="90"/>
      <c r="AO2000" s="90"/>
      <c r="AP2000" s="90"/>
      <c r="AQ2000" s="90"/>
      <c r="AR2000" s="90"/>
      <c r="AS2000" s="90"/>
      <c r="AT2000" s="90"/>
      <c r="AU2000" s="90"/>
      <c r="AV2000" s="91"/>
    </row>
    <row r="2001" customFormat="false" ht="13.5" hidden="false" customHeight="false" outlineLevel="0" collapsed="false">
      <c r="C2001" s="72"/>
      <c r="D2001" s="73"/>
      <c r="E2001" s="76"/>
      <c r="F2001" s="76"/>
      <c r="G2001" s="76"/>
      <c r="H2001" s="76"/>
      <c r="I2001" s="76"/>
      <c r="J2001" s="76"/>
      <c r="K2001" s="76"/>
      <c r="L2001" s="76"/>
      <c r="M2001" s="76"/>
      <c r="N2001" s="77"/>
      <c r="O2001" s="77"/>
      <c r="P2001" s="79"/>
      <c r="Q2001" s="80"/>
      <c r="R2001" s="80"/>
      <c r="S2001" s="82"/>
      <c r="T2001" s="83"/>
      <c r="U2001" s="80"/>
      <c r="V2001" s="83"/>
      <c r="W2001" s="80"/>
      <c r="X2001" s="81"/>
      <c r="Y2001" s="93"/>
      <c r="Z2001" s="90"/>
      <c r="AA2001" s="90"/>
      <c r="AB2001" s="90"/>
      <c r="AC2001" s="90"/>
      <c r="AD2001" s="90"/>
      <c r="AE2001" s="90"/>
      <c r="AF2001" s="90"/>
      <c r="AG2001" s="90"/>
      <c r="AH2001" s="90"/>
      <c r="AI2001" s="90"/>
      <c r="AJ2001" s="91"/>
      <c r="AK2001" s="89"/>
      <c r="AL2001" s="90"/>
      <c r="AM2001" s="90"/>
      <c r="AN2001" s="90"/>
      <c r="AO2001" s="90"/>
      <c r="AP2001" s="90"/>
      <c r="AQ2001" s="90"/>
      <c r="AR2001" s="90"/>
      <c r="AS2001" s="90"/>
      <c r="AT2001" s="90"/>
      <c r="AU2001" s="90"/>
      <c r="AV2001" s="91"/>
    </row>
    <row r="2002" customFormat="false" ht="13.5" hidden="false" customHeight="false" outlineLevel="0" collapsed="false">
      <c r="C2002" s="72"/>
      <c r="D2002" s="73"/>
      <c r="E2002" s="76"/>
      <c r="F2002" s="76"/>
      <c r="G2002" s="76"/>
      <c r="H2002" s="76"/>
      <c r="I2002" s="76"/>
      <c r="J2002" s="76"/>
      <c r="K2002" s="76"/>
      <c r="L2002" s="76"/>
      <c r="M2002" s="76"/>
      <c r="N2002" s="77"/>
      <c r="O2002" s="77"/>
      <c r="P2002" s="79"/>
      <c r="Q2002" s="80"/>
      <c r="R2002" s="80"/>
      <c r="S2002" s="82"/>
      <c r="T2002" s="83"/>
      <c r="U2002" s="80"/>
      <c r="V2002" s="83"/>
      <c r="W2002" s="80"/>
      <c r="X2002" s="81"/>
      <c r="Y2002" s="93"/>
      <c r="Z2002" s="90"/>
      <c r="AA2002" s="90"/>
      <c r="AB2002" s="90"/>
      <c r="AC2002" s="90"/>
      <c r="AD2002" s="90"/>
      <c r="AE2002" s="90"/>
      <c r="AF2002" s="90"/>
      <c r="AG2002" s="90"/>
      <c r="AH2002" s="90"/>
      <c r="AI2002" s="90"/>
      <c r="AJ2002" s="91"/>
      <c r="AK2002" s="89"/>
      <c r="AL2002" s="90"/>
      <c r="AM2002" s="90"/>
      <c r="AN2002" s="90"/>
      <c r="AO2002" s="90"/>
      <c r="AP2002" s="90"/>
      <c r="AQ2002" s="90"/>
      <c r="AR2002" s="90"/>
      <c r="AS2002" s="90"/>
      <c r="AT2002" s="90"/>
      <c r="AU2002" s="90"/>
      <c r="AV2002" s="91"/>
    </row>
    <row r="2003" customFormat="false" ht="13.5" hidden="false" customHeight="false" outlineLevel="0" collapsed="false">
      <c r="C2003" s="72"/>
      <c r="D2003" s="73"/>
      <c r="E2003" s="76"/>
      <c r="F2003" s="76"/>
      <c r="G2003" s="76"/>
      <c r="H2003" s="76"/>
      <c r="I2003" s="76"/>
      <c r="J2003" s="76"/>
      <c r="K2003" s="76"/>
      <c r="L2003" s="76"/>
      <c r="M2003" s="76"/>
      <c r="N2003" s="77"/>
      <c r="O2003" s="77"/>
      <c r="P2003" s="79"/>
      <c r="Q2003" s="80"/>
      <c r="R2003" s="80"/>
      <c r="S2003" s="82"/>
      <c r="T2003" s="83"/>
      <c r="U2003" s="80"/>
      <c r="V2003" s="83"/>
      <c r="W2003" s="80"/>
      <c r="X2003" s="81"/>
      <c r="Y2003" s="93"/>
      <c r="Z2003" s="90"/>
      <c r="AA2003" s="90"/>
      <c r="AB2003" s="90"/>
      <c r="AC2003" s="90"/>
      <c r="AD2003" s="90"/>
      <c r="AE2003" s="90"/>
      <c r="AF2003" s="90"/>
      <c r="AG2003" s="90"/>
      <c r="AH2003" s="90"/>
      <c r="AI2003" s="90"/>
      <c r="AJ2003" s="91"/>
      <c r="AK2003" s="89"/>
      <c r="AL2003" s="90"/>
      <c r="AM2003" s="90"/>
      <c r="AN2003" s="90"/>
      <c r="AO2003" s="90"/>
      <c r="AP2003" s="90"/>
      <c r="AQ2003" s="90"/>
      <c r="AR2003" s="90"/>
      <c r="AS2003" s="90"/>
      <c r="AT2003" s="90"/>
      <c r="AU2003" s="90"/>
      <c r="AV2003" s="91"/>
    </row>
    <row r="2004" customFormat="false" ht="13.5" hidden="false" customHeight="false" outlineLevel="0" collapsed="false">
      <c r="C2004" s="72"/>
      <c r="D2004" s="73"/>
      <c r="E2004" s="76"/>
      <c r="F2004" s="76"/>
      <c r="G2004" s="76"/>
      <c r="H2004" s="76"/>
      <c r="I2004" s="76"/>
      <c r="J2004" s="76"/>
      <c r="K2004" s="76"/>
      <c r="L2004" s="76"/>
      <c r="M2004" s="76"/>
      <c r="N2004" s="77"/>
      <c r="O2004" s="77"/>
      <c r="P2004" s="79"/>
      <c r="Q2004" s="80"/>
      <c r="R2004" s="80"/>
      <c r="S2004" s="82"/>
      <c r="T2004" s="83"/>
      <c r="U2004" s="80"/>
      <c r="V2004" s="83"/>
      <c r="W2004" s="80"/>
      <c r="X2004" s="81"/>
      <c r="Y2004" s="93"/>
      <c r="Z2004" s="90"/>
      <c r="AA2004" s="90"/>
      <c r="AB2004" s="90"/>
      <c r="AC2004" s="90"/>
      <c r="AD2004" s="90"/>
      <c r="AE2004" s="90"/>
      <c r="AF2004" s="90"/>
      <c r="AG2004" s="90"/>
      <c r="AH2004" s="90"/>
      <c r="AI2004" s="90"/>
      <c r="AJ2004" s="91"/>
      <c r="AK2004" s="89"/>
      <c r="AL2004" s="90"/>
      <c r="AM2004" s="90"/>
      <c r="AN2004" s="90"/>
      <c r="AO2004" s="90"/>
      <c r="AP2004" s="90"/>
      <c r="AQ2004" s="90"/>
      <c r="AR2004" s="90"/>
      <c r="AS2004" s="90"/>
      <c r="AT2004" s="90"/>
      <c r="AU2004" s="90"/>
      <c r="AV2004" s="91"/>
    </row>
    <row r="2005" customFormat="false" ht="13.5" hidden="false" customHeight="false" outlineLevel="0" collapsed="false">
      <c r="C2005" s="72"/>
      <c r="D2005" s="73"/>
      <c r="E2005" s="76"/>
      <c r="F2005" s="76"/>
      <c r="G2005" s="76"/>
      <c r="H2005" s="76"/>
      <c r="I2005" s="76"/>
      <c r="J2005" s="76"/>
      <c r="K2005" s="76"/>
      <c r="L2005" s="76"/>
      <c r="M2005" s="76"/>
      <c r="N2005" s="77"/>
      <c r="O2005" s="77"/>
      <c r="P2005" s="79"/>
      <c r="Q2005" s="80"/>
      <c r="R2005" s="80"/>
      <c r="S2005" s="82"/>
      <c r="T2005" s="83"/>
      <c r="U2005" s="80"/>
      <c r="V2005" s="83"/>
      <c r="W2005" s="80"/>
      <c r="X2005" s="81"/>
      <c r="Y2005" s="93"/>
      <c r="Z2005" s="90"/>
      <c r="AA2005" s="90"/>
      <c r="AB2005" s="90"/>
      <c r="AC2005" s="90"/>
      <c r="AD2005" s="90"/>
      <c r="AE2005" s="90"/>
      <c r="AF2005" s="90"/>
      <c r="AG2005" s="90"/>
      <c r="AH2005" s="90"/>
      <c r="AI2005" s="90"/>
      <c r="AJ2005" s="91"/>
      <c r="AK2005" s="89"/>
      <c r="AL2005" s="90"/>
      <c r="AM2005" s="90"/>
      <c r="AN2005" s="90"/>
      <c r="AO2005" s="90"/>
      <c r="AP2005" s="90"/>
      <c r="AQ2005" s="90"/>
      <c r="AR2005" s="90"/>
      <c r="AS2005" s="90"/>
      <c r="AT2005" s="90"/>
      <c r="AU2005" s="90"/>
      <c r="AV2005" s="91"/>
    </row>
    <row r="2006" customFormat="false" ht="13.5" hidden="false" customHeight="false" outlineLevel="0" collapsed="false">
      <c r="C2006" s="72"/>
      <c r="D2006" s="73"/>
      <c r="E2006" s="76"/>
      <c r="F2006" s="76"/>
      <c r="G2006" s="76"/>
      <c r="H2006" s="76"/>
      <c r="I2006" s="76"/>
      <c r="J2006" s="76"/>
      <c r="K2006" s="76"/>
      <c r="L2006" s="76"/>
      <c r="M2006" s="76"/>
      <c r="N2006" s="77"/>
      <c r="O2006" s="77"/>
      <c r="P2006" s="79"/>
      <c r="Q2006" s="80"/>
      <c r="R2006" s="80"/>
      <c r="S2006" s="82"/>
      <c r="T2006" s="83"/>
      <c r="U2006" s="80"/>
      <c r="V2006" s="83"/>
      <c r="W2006" s="80"/>
      <c r="X2006" s="81"/>
      <c r="Y2006" s="93"/>
      <c r="Z2006" s="90"/>
      <c r="AA2006" s="90"/>
      <c r="AB2006" s="90"/>
      <c r="AC2006" s="90"/>
      <c r="AD2006" s="90"/>
      <c r="AE2006" s="90"/>
      <c r="AF2006" s="90"/>
      <c r="AG2006" s="90"/>
      <c r="AH2006" s="90"/>
      <c r="AI2006" s="90"/>
      <c r="AJ2006" s="91"/>
      <c r="AK2006" s="89"/>
      <c r="AL2006" s="90"/>
      <c r="AM2006" s="90"/>
      <c r="AN2006" s="90"/>
      <c r="AO2006" s="90"/>
      <c r="AP2006" s="90"/>
      <c r="AQ2006" s="90"/>
      <c r="AR2006" s="90"/>
      <c r="AS2006" s="90"/>
      <c r="AT2006" s="90"/>
      <c r="AU2006" s="90"/>
      <c r="AV2006" s="91"/>
    </row>
    <row r="2007" customFormat="false" ht="13.5" hidden="false" customHeight="false" outlineLevel="0" collapsed="false">
      <c r="C2007" s="72"/>
      <c r="D2007" s="73"/>
      <c r="E2007" s="76"/>
      <c r="F2007" s="76"/>
      <c r="G2007" s="76"/>
      <c r="H2007" s="76"/>
      <c r="I2007" s="76"/>
      <c r="J2007" s="76"/>
      <c r="K2007" s="76"/>
      <c r="L2007" s="76"/>
      <c r="M2007" s="76"/>
      <c r="N2007" s="77"/>
      <c r="O2007" s="77"/>
      <c r="P2007" s="79"/>
      <c r="Q2007" s="80"/>
      <c r="R2007" s="80"/>
      <c r="S2007" s="82"/>
      <c r="T2007" s="83"/>
      <c r="U2007" s="80"/>
      <c r="V2007" s="83"/>
      <c r="W2007" s="80"/>
      <c r="X2007" s="81"/>
      <c r="Y2007" s="93"/>
      <c r="Z2007" s="90"/>
      <c r="AA2007" s="90"/>
      <c r="AB2007" s="90"/>
      <c r="AC2007" s="90"/>
      <c r="AD2007" s="90"/>
      <c r="AE2007" s="90"/>
      <c r="AF2007" s="90"/>
      <c r="AG2007" s="90"/>
      <c r="AH2007" s="90"/>
      <c r="AI2007" s="90"/>
      <c r="AJ2007" s="91"/>
      <c r="AK2007" s="89"/>
      <c r="AL2007" s="90"/>
      <c r="AM2007" s="90"/>
      <c r="AN2007" s="90"/>
      <c r="AO2007" s="90"/>
      <c r="AP2007" s="90"/>
      <c r="AQ2007" s="90"/>
      <c r="AR2007" s="90"/>
      <c r="AS2007" s="90"/>
      <c r="AT2007" s="90"/>
      <c r="AU2007" s="90"/>
      <c r="AV2007" s="91"/>
    </row>
    <row r="2008" customFormat="false" ht="13.5" hidden="false" customHeight="false" outlineLevel="0" collapsed="false">
      <c r="C2008" s="72"/>
      <c r="D2008" s="73"/>
      <c r="E2008" s="76"/>
      <c r="F2008" s="76"/>
      <c r="G2008" s="76"/>
      <c r="H2008" s="76"/>
      <c r="I2008" s="76"/>
      <c r="J2008" s="76"/>
      <c r="K2008" s="76"/>
      <c r="L2008" s="76"/>
      <c r="M2008" s="76"/>
      <c r="N2008" s="77"/>
      <c r="O2008" s="77"/>
      <c r="P2008" s="79"/>
      <c r="Q2008" s="80"/>
      <c r="R2008" s="80"/>
      <c r="S2008" s="82"/>
      <c r="T2008" s="83"/>
      <c r="U2008" s="80"/>
      <c r="V2008" s="83"/>
      <c r="W2008" s="80"/>
      <c r="X2008" s="81"/>
      <c r="Y2008" s="93"/>
      <c r="Z2008" s="90"/>
      <c r="AA2008" s="90"/>
      <c r="AB2008" s="90"/>
      <c r="AC2008" s="90"/>
      <c r="AD2008" s="90"/>
      <c r="AE2008" s="90"/>
      <c r="AF2008" s="90"/>
      <c r="AG2008" s="90"/>
      <c r="AH2008" s="90"/>
      <c r="AI2008" s="90"/>
      <c r="AJ2008" s="91"/>
      <c r="AK2008" s="89"/>
      <c r="AL2008" s="90"/>
      <c r="AM2008" s="90"/>
      <c r="AN2008" s="90"/>
      <c r="AO2008" s="90"/>
      <c r="AP2008" s="90"/>
      <c r="AQ2008" s="90"/>
      <c r="AR2008" s="90"/>
      <c r="AS2008" s="90"/>
      <c r="AT2008" s="90"/>
      <c r="AU2008" s="90"/>
      <c r="AV2008" s="91"/>
    </row>
    <row r="2009" customFormat="false" ht="13.5" hidden="false" customHeight="false" outlineLevel="0" collapsed="false">
      <c r="C2009" s="72"/>
      <c r="D2009" s="73"/>
      <c r="E2009" s="76"/>
      <c r="F2009" s="76"/>
      <c r="G2009" s="76"/>
      <c r="H2009" s="76"/>
      <c r="I2009" s="76"/>
      <c r="J2009" s="76"/>
      <c r="K2009" s="76"/>
      <c r="L2009" s="76"/>
      <c r="M2009" s="76"/>
      <c r="N2009" s="77"/>
      <c r="O2009" s="77"/>
      <c r="P2009" s="79"/>
      <c r="Q2009" s="80"/>
      <c r="R2009" s="80"/>
      <c r="S2009" s="82"/>
      <c r="T2009" s="83"/>
      <c r="U2009" s="80"/>
      <c r="V2009" s="83"/>
      <c r="W2009" s="80"/>
      <c r="X2009" s="81"/>
      <c r="Y2009" s="93"/>
      <c r="Z2009" s="90"/>
      <c r="AA2009" s="90"/>
      <c r="AB2009" s="90"/>
      <c r="AC2009" s="90"/>
      <c r="AD2009" s="90"/>
      <c r="AE2009" s="90"/>
      <c r="AF2009" s="90"/>
      <c r="AG2009" s="90"/>
      <c r="AH2009" s="90"/>
      <c r="AI2009" s="90"/>
      <c r="AJ2009" s="91"/>
      <c r="AK2009" s="89"/>
      <c r="AL2009" s="90"/>
      <c r="AM2009" s="90"/>
      <c r="AN2009" s="90"/>
      <c r="AO2009" s="90"/>
      <c r="AP2009" s="90"/>
      <c r="AQ2009" s="90"/>
      <c r="AR2009" s="90"/>
      <c r="AS2009" s="90"/>
      <c r="AT2009" s="90"/>
      <c r="AU2009" s="90"/>
      <c r="AV2009" s="91"/>
    </row>
    <row r="2010" customFormat="false" ht="13.5" hidden="false" customHeight="false" outlineLevel="0" collapsed="false">
      <c r="C2010" s="72"/>
      <c r="D2010" s="73"/>
      <c r="E2010" s="76"/>
      <c r="F2010" s="76"/>
      <c r="G2010" s="76"/>
      <c r="H2010" s="76"/>
      <c r="I2010" s="76"/>
      <c r="J2010" s="76"/>
      <c r="K2010" s="76"/>
      <c r="L2010" s="76"/>
      <c r="M2010" s="76"/>
      <c r="N2010" s="77"/>
      <c r="O2010" s="77"/>
      <c r="P2010" s="79"/>
      <c r="Q2010" s="80"/>
      <c r="R2010" s="80"/>
      <c r="S2010" s="82"/>
      <c r="T2010" s="83"/>
      <c r="U2010" s="80"/>
      <c r="V2010" s="83"/>
      <c r="W2010" s="80"/>
      <c r="X2010" s="81"/>
      <c r="Y2010" s="93"/>
      <c r="Z2010" s="90"/>
      <c r="AA2010" s="90"/>
      <c r="AB2010" s="90"/>
      <c r="AC2010" s="90"/>
      <c r="AD2010" s="90"/>
      <c r="AE2010" s="90"/>
      <c r="AF2010" s="90"/>
      <c r="AG2010" s="90"/>
      <c r="AH2010" s="90"/>
      <c r="AI2010" s="90"/>
      <c r="AJ2010" s="91"/>
      <c r="AK2010" s="89"/>
      <c r="AL2010" s="90"/>
      <c r="AM2010" s="90"/>
      <c r="AN2010" s="90"/>
      <c r="AO2010" s="90"/>
      <c r="AP2010" s="90"/>
      <c r="AQ2010" s="90"/>
      <c r="AR2010" s="90"/>
      <c r="AS2010" s="90"/>
      <c r="AT2010" s="90"/>
      <c r="AU2010" s="90"/>
      <c r="AV2010" s="91"/>
    </row>
  </sheetData>
  <mergeCells count="28">
    <mergeCell ref="C2:E2"/>
    <mergeCell ref="C3:C5"/>
    <mergeCell ref="D3:D5"/>
    <mergeCell ref="E3:E5"/>
    <mergeCell ref="F3:O3"/>
    <mergeCell ref="P3:R3"/>
    <mergeCell ref="S3:X3"/>
    <mergeCell ref="Y3:AJ3"/>
    <mergeCell ref="AK3:AV3"/>
    <mergeCell ref="F4:F5"/>
    <mergeCell ref="G4:G5"/>
    <mergeCell ref="H4:H5"/>
    <mergeCell ref="I4:I5"/>
    <mergeCell ref="J4:J5"/>
    <mergeCell ref="K4:K5"/>
    <mergeCell ref="L4:L5"/>
    <mergeCell ref="M4:M5"/>
    <mergeCell ref="N4:N5"/>
    <mergeCell ref="O4:O5"/>
    <mergeCell ref="P4:P5"/>
    <mergeCell ref="Q4:Q5"/>
    <mergeCell ref="R4:R5"/>
    <mergeCell ref="S4:U4"/>
    <mergeCell ref="V4:V5"/>
    <mergeCell ref="W4:W5"/>
    <mergeCell ref="X4:X5"/>
    <mergeCell ref="Y4:AJ4"/>
    <mergeCell ref="AK4:AV4"/>
  </mergeCells>
  <conditionalFormatting sqref="C6:AV2010">
    <cfRule type="expression" priority="2" aboveAverage="0" equalAverage="0" bottom="0" percent="0" rank="0" text="" dxfId="0">
      <formula>$D6="폐업"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T199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1909" activePane="bottomRight" state="frozen"/>
      <selection pane="topLeft" activeCell="A1" activeCellId="0" sqref="A1"/>
      <selection pane="topRight" activeCell="C1" activeCellId="0" sqref="C1"/>
      <selection pane="bottomLeft" activeCell="A1909" activeCellId="0" sqref="A1909"/>
      <selection pane="bottomRight" activeCell="B1967" activeCellId="0" sqref="B1967"/>
    </sheetView>
  </sheetViews>
  <sheetFormatPr defaultColWidth="9" defaultRowHeight="13.5" zeroHeight="false" outlineLevelRow="0" outlineLevelCol="0"/>
  <cols>
    <col collapsed="false" customWidth="true" hidden="false" outlineLevel="0" max="1" min="1" style="98" width="13.25"/>
    <col collapsed="false" customWidth="true" hidden="false" outlineLevel="0" max="3" min="2" style="99" width="5"/>
    <col collapsed="false" customWidth="true" hidden="false" outlineLevel="0" max="4" min="4" style="99" width="20.5"/>
    <col collapsed="false" customWidth="true" hidden="false" outlineLevel="0" max="5" min="5" style="99" width="11"/>
    <col collapsed="false" customWidth="true" hidden="false" outlineLevel="0" max="6" min="6" style="99" width="11.63"/>
    <col collapsed="false" customWidth="false" hidden="false" outlineLevel="0" max="7" min="7" style="99" width="9"/>
    <col collapsed="false" customWidth="true" hidden="false" outlineLevel="0" max="8" min="8" style="99" width="31"/>
    <col collapsed="false" customWidth="true" hidden="false" outlineLevel="0" max="9" min="9" style="99" width="15.25"/>
    <col collapsed="false" customWidth="true" hidden="false" outlineLevel="0" max="10" min="10" style="99" width="15.38"/>
    <col collapsed="false" customWidth="true" hidden="false" outlineLevel="0" max="11" min="11" style="99" width="17.25"/>
    <col collapsed="false" customWidth="true" hidden="false" outlineLevel="0" max="12" min="12" style="99" width="42"/>
    <col collapsed="false" customWidth="true" hidden="false" outlineLevel="0" max="13" min="13" style="99" width="12.38"/>
    <col collapsed="false" customWidth="true" hidden="false" outlineLevel="0" max="14" min="14" style="99" width="6.5"/>
    <col collapsed="false" customWidth="true" hidden="false" outlineLevel="0" max="15" min="15" style="99" width="11.5"/>
    <col collapsed="false" customWidth="true" hidden="false" outlineLevel="0" max="16" min="16" style="99" width="22.38"/>
    <col collapsed="false" customWidth="true" hidden="false" outlineLevel="0" max="17" min="17" style="99" width="7.38"/>
    <col collapsed="false" customWidth="true" hidden="false" outlineLevel="0" max="18" min="18" style="100" width="43.75"/>
    <col collapsed="false" customWidth="false" hidden="false" outlineLevel="0" max="16384" min="19" style="99" width="9"/>
  </cols>
  <sheetData>
    <row r="1" customFormat="false" ht="13.5" hidden="false" customHeight="false" outlineLevel="0" collapsed="false">
      <c r="L1" s="101"/>
    </row>
    <row r="2" customFormat="false" ht="17.25" hidden="false" customHeight="true" outlineLevel="0" collapsed="false"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3"/>
      <c r="P2" s="102"/>
      <c r="Q2" s="102"/>
      <c r="R2" s="104"/>
    </row>
    <row r="3" customFormat="false" ht="24" hidden="false" customHeight="true" outlineLevel="0" collapsed="false">
      <c r="B3" s="105" t="s">
        <v>112</v>
      </c>
      <c r="C3" s="105"/>
      <c r="D3" s="106" t="s">
        <v>113</v>
      </c>
      <c r="E3" s="106" t="s">
        <v>114</v>
      </c>
      <c r="F3" s="106" t="s">
        <v>83</v>
      </c>
      <c r="G3" s="106" t="s">
        <v>76</v>
      </c>
      <c r="H3" s="106" t="s">
        <v>84</v>
      </c>
      <c r="I3" s="106" t="s">
        <v>115</v>
      </c>
      <c r="J3" s="106" t="s">
        <v>85</v>
      </c>
      <c r="K3" s="106" t="s">
        <v>86</v>
      </c>
      <c r="L3" s="106" t="s">
        <v>87</v>
      </c>
      <c r="M3" s="106" t="s">
        <v>116</v>
      </c>
      <c r="N3" s="106" t="s">
        <v>68</v>
      </c>
      <c r="O3" s="107" t="s">
        <v>117</v>
      </c>
      <c r="P3" s="106" t="s">
        <v>75</v>
      </c>
      <c r="Q3" s="106" t="s">
        <v>118</v>
      </c>
      <c r="R3" s="108" t="s">
        <v>56</v>
      </c>
    </row>
    <row r="4" customFormat="false" ht="24" hidden="false" customHeight="true" outlineLevel="0" collapsed="false">
      <c r="B4" s="105" t="s">
        <v>119</v>
      </c>
      <c r="C4" s="109" t="s">
        <v>120</v>
      </c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  <c r="P4" s="106"/>
      <c r="Q4" s="106"/>
      <c r="R4" s="108"/>
    </row>
    <row r="5" customFormat="false" ht="12.75" hidden="false" customHeight="true" outlineLevel="0" collapsed="false">
      <c r="B5" s="110" t="n">
        <f aca="false">ROW()-4</f>
        <v>1</v>
      </c>
      <c r="C5" s="111" t="n">
        <f aca="false">COUNTIFS($D$5:D5,D5)</f>
        <v>1</v>
      </c>
      <c r="D5" s="112" t="s">
        <v>121</v>
      </c>
      <c r="E5" s="113" t="s">
        <v>122</v>
      </c>
      <c r="F5" s="114" t="n">
        <v>45609</v>
      </c>
      <c r="G5" s="112" t="s">
        <v>26</v>
      </c>
      <c r="H5" s="11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A0001</v>
      </c>
      <c r="I5" s="11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B0001</v>
      </c>
      <c r="J5" s="113" t="s">
        <v>123</v>
      </c>
      <c r="K5" s="11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C0001</v>
      </c>
      <c r="L5" s="11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D0001</v>
      </c>
      <c r="M5" s="11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E0001</v>
      </c>
      <c r="N5" s="113" t="s">
        <v>71</v>
      </c>
      <c r="O5" s="116" t="n">
        <v>1000000</v>
      </c>
      <c r="P5" s="112" t="s">
        <v>18</v>
      </c>
      <c r="Q5" s="112" t="s">
        <v>124</v>
      </c>
      <c r="R5" s="117"/>
      <c r="T5" s="118"/>
    </row>
    <row r="6" customFormat="false" ht="12.75" hidden="false" customHeight="true" outlineLevel="0" collapsed="false">
      <c r="B6" s="119" t="n">
        <f aca="false">ROW()-4</f>
        <v>2</v>
      </c>
      <c r="C6" s="120" t="n">
        <f aca="false">COUNTIFS($D$5:D6,D6)</f>
        <v>2</v>
      </c>
      <c r="D6" s="121" t="s">
        <v>121</v>
      </c>
      <c r="E6" s="122" t="s">
        <v>125</v>
      </c>
      <c r="F6" s="123" t="n">
        <v>43594</v>
      </c>
      <c r="G6" s="121" t="s">
        <v>24</v>
      </c>
      <c r="H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A0002</v>
      </c>
      <c r="I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B0002</v>
      </c>
      <c r="J6" s="124" t="s">
        <v>126</v>
      </c>
      <c r="K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C0002</v>
      </c>
      <c r="L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D0002</v>
      </c>
      <c r="M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E0002</v>
      </c>
      <c r="N6" s="122" t="s">
        <v>71</v>
      </c>
      <c r="O6" s="126" t="n">
        <v>1000000</v>
      </c>
      <c r="P6" s="121" t="s">
        <v>18</v>
      </c>
      <c r="Q6" s="121" t="s">
        <v>124</v>
      </c>
      <c r="R6" s="127"/>
      <c r="T6" s="118"/>
    </row>
    <row r="7" customFormat="false" ht="12.75" hidden="false" customHeight="true" outlineLevel="0" collapsed="false">
      <c r="B7" s="119" t="n">
        <f aca="false">ROW()-4</f>
        <v>3</v>
      </c>
      <c r="C7" s="120" t="n">
        <f aca="false">COUNTIFS($D$5:D7,D7)</f>
        <v>3</v>
      </c>
      <c r="D7" s="121" t="s">
        <v>121</v>
      </c>
      <c r="E7" s="122" t="s">
        <v>127</v>
      </c>
      <c r="F7" s="123" t="n">
        <v>42852</v>
      </c>
      <c r="G7" s="121" t="s">
        <v>30</v>
      </c>
      <c r="H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A0003</v>
      </c>
      <c r="I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B0003</v>
      </c>
      <c r="J7" s="124" t="s">
        <v>128</v>
      </c>
      <c r="K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C0003</v>
      </c>
      <c r="L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D0003</v>
      </c>
      <c r="M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E0003</v>
      </c>
      <c r="N7" s="122" t="s">
        <v>71</v>
      </c>
      <c r="O7" s="126" t="n">
        <v>1000000</v>
      </c>
      <c r="P7" s="121" t="s">
        <v>18</v>
      </c>
      <c r="Q7" s="121" t="s">
        <v>124</v>
      </c>
      <c r="R7" s="127"/>
      <c r="T7" s="118"/>
    </row>
    <row r="8" customFormat="false" ht="12.75" hidden="false" customHeight="true" outlineLevel="0" collapsed="false">
      <c r="B8" s="119" t="n">
        <f aca="false">ROW()-4</f>
        <v>4</v>
      </c>
      <c r="C8" s="120" t="n">
        <f aca="false">COUNTIFS($D$5:D8,D8)</f>
        <v>4</v>
      </c>
      <c r="D8" s="121" t="s">
        <v>121</v>
      </c>
      <c r="E8" s="122" t="s">
        <v>129</v>
      </c>
      <c r="F8" s="123" t="n">
        <v>42783</v>
      </c>
      <c r="G8" s="121" t="s">
        <v>30</v>
      </c>
      <c r="H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A0004</v>
      </c>
      <c r="I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B0004</v>
      </c>
      <c r="J8" s="124" t="s">
        <v>130</v>
      </c>
      <c r="K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C0004</v>
      </c>
      <c r="L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D0004</v>
      </c>
      <c r="M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E0004</v>
      </c>
      <c r="N8" s="122" t="s">
        <v>71</v>
      </c>
      <c r="O8" s="126" t="n">
        <v>1000000</v>
      </c>
      <c r="P8" s="121" t="s">
        <v>18</v>
      </c>
      <c r="Q8" s="121" t="s">
        <v>124</v>
      </c>
      <c r="R8" s="127"/>
      <c r="T8" s="118"/>
    </row>
    <row r="9" customFormat="false" ht="12.75" hidden="false" customHeight="true" outlineLevel="0" collapsed="false">
      <c r="B9" s="119" t="n">
        <f aca="false">ROW()-4</f>
        <v>5</v>
      </c>
      <c r="C9" s="120" t="n">
        <f aca="false">COUNTIFS($D$5:D9,D9)</f>
        <v>5</v>
      </c>
      <c r="D9" s="121" t="s">
        <v>121</v>
      </c>
      <c r="E9" s="122" t="s">
        <v>131</v>
      </c>
      <c r="F9" s="123" t="n">
        <v>42789</v>
      </c>
      <c r="G9" s="121" t="s">
        <v>22</v>
      </c>
      <c r="H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A0005</v>
      </c>
      <c r="I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B0005</v>
      </c>
      <c r="J9" s="124" t="s">
        <v>132</v>
      </c>
      <c r="K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C0005</v>
      </c>
      <c r="L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D0005</v>
      </c>
      <c r="M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E0005</v>
      </c>
      <c r="N9" s="122" t="s">
        <v>71</v>
      </c>
      <c r="O9" s="126" t="n">
        <v>1000000</v>
      </c>
      <c r="P9" s="121" t="s">
        <v>18</v>
      </c>
      <c r="Q9" s="121" t="s">
        <v>124</v>
      </c>
      <c r="R9" s="127"/>
      <c r="T9" s="118"/>
    </row>
    <row r="10" customFormat="false" ht="12.75" hidden="false" customHeight="true" outlineLevel="0" collapsed="false">
      <c r="B10" s="119" t="n">
        <f aca="false">ROW()-4</f>
        <v>6</v>
      </c>
      <c r="C10" s="120" t="n">
        <f aca="false">COUNTIFS($D$5:D10,D10)</f>
        <v>6</v>
      </c>
      <c r="D10" s="121" t="s">
        <v>121</v>
      </c>
      <c r="E10" s="122" t="s">
        <v>133</v>
      </c>
      <c r="F10" s="123" t="n">
        <v>45945</v>
      </c>
      <c r="G10" s="121" t="s">
        <v>22</v>
      </c>
      <c r="H1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A0006</v>
      </c>
      <c r="I1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B0006</v>
      </c>
      <c r="J10" s="122" t="s">
        <v>134</v>
      </c>
      <c r="K1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C0006</v>
      </c>
      <c r="L1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D0006</v>
      </c>
      <c r="M1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E0006</v>
      </c>
      <c r="N10" s="122" t="s">
        <v>71</v>
      </c>
      <c r="O10" s="126" t="n">
        <v>1000000</v>
      </c>
      <c r="P10" s="121" t="s">
        <v>18</v>
      </c>
      <c r="Q10" s="121" t="s">
        <v>124</v>
      </c>
      <c r="R10" s="127"/>
      <c r="T10" s="118"/>
    </row>
    <row r="11" customFormat="false" ht="12.75" hidden="false" customHeight="true" outlineLevel="0" collapsed="false">
      <c r="B11" s="119" t="n">
        <f aca="false">ROW()-4</f>
        <v>7</v>
      </c>
      <c r="C11" s="120" t="n">
        <f aca="false">COUNTIFS($D$5:D11,D11)</f>
        <v>7</v>
      </c>
      <c r="D11" s="121" t="s">
        <v>121</v>
      </c>
      <c r="E11" s="122" t="s">
        <v>135</v>
      </c>
      <c r="F11" s="123" t="n">
        <v>43389</v>
      </c>
      <c r="G11" s="121" t="s">
        <v>22</v>
      </c>
      <c r="H1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A0007</v>
      </c>
      <c r="I1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B0007</v>
      </c>
      <c r="J11" s="124" t="s">
        <v>136</v>
      </c>
      <c r="K1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C0007</v>
      </c>
      <c r="L1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D0007</v>
      </c>
      <c r="M1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E0007</v>
      </c>
      <c r="N11" s="122" t="s">
        <v>71</v>
      </c>
      <c r="O11" s="126" t="n">
        <v>1000000</v>
      </c>
      <c r="P11" s="121" t="s">
        <v>18</v>
      </c>
      <c r="Q11" s="121" t="s">
        <v>124</v>
      </c>
      <c r="R11" s="127"/>
      <c r="T11" s="118"/>
    </row>
    <row r="12" customFormat="false" ht="12.75" hidden="false" customHeight="true" outlineLevel="0" collapsed="false">
      <c r="B12" s="119" t="n">
        <f aca="false">ROW()-4</f>
        <v>8</v>
      </c>
      <c r="C12" s="120" t="n">
        <f aca="false">COUNTIFS($D$5:D12,D12)</f>
        <v>8</v>
      </c>
      <c r="D12" s="121" t="s">
        <v>121</v>
      </c>
      <c r="E12" s="122" t="s">
        <v>137</v>
      </c>
      <c r="F12" s="123" t="n">
        <v>42794</v>
      </c>
      <c r="G12" s="121" t="s">
        <v>24</v>
      </c>
      <c r="H1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A0008</v>
      </c>
      <c r="I1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B0008</v>
      </c>
      <c r="J12" s="124" t="s">
        <v>138</v>
      </c>
      <c r="K1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C0008</v>
      </c>
      <c r="L1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D0008</v>
      </c>
      <c r="M1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E0008</v>
      </c>
      <c r="N12" s="122" t="s">
        <v>71</v>
      </c>
      <c r="O12" s="126" t="n">
        <v>1000000</v>
      </c>
      <c r="P12" s="121" t="s">
        <v>18</v>
      </c>
      <c r="Q12" s="121" t="s">
        <v>124</v>
      </c>
      <c r="R12" s="127"/>
      <c r="T12" s="118"/>
    </row>
    <row r="13" customFormat="false" ht="12.75" hidden="false" customHeight="true" outlineLevel="0" collapsed="false">
      <c r="B13" s="119" t="n">
        <f aca="false">ROW()-4</f>
        <v>9</v>
      </c>
      <c r="C13" s="120" t="n">
        <f aca="false">COUNTIFS($D$5:D13,D13)</f>
        <v>9</v>
      </c>
      <c r="D13" s="121" t="s">
        <v>121</v>
      </c>
      <c r="E13" s="122" t="s">
        <v>139</v>
      </c>
      <c r="F13" s="123" t="n">
        <v>42843</v>
      </c>
      <c r="G13" s="121" t="s">
        <v>24</v>
      </c>
      <c r="H1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A0009</v>
      </c>
      <c r="I1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B0009</v>
      </c>
      <c r="J13" s="124" t="s">
        <v>140</v>
      </c>
      <c r="K1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C0009</v>
      </c>
      <c r="L1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D0009</v>
      </c>
      <c r="M1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E0009</v>
      </c>
      <c r="N13" s="122" t="s">
        <v>71</v>
      </c>
      <c r="O13" s="126" t="n">
        <v>1000000</v>
      </c>
      <c r="P13" s="121" t="s">
        <v>18</v>
      </c>
      <c r="Q13" s="121" t="s">
        <v>124</v>
      </c>
      <c r="R13" s="127"/>
      <c r="T13" s="118"/>
    </row>
    <row r="14" customFormat="false" ht="12.75" hidden="false" customHeight="true" outlineLevel="0" collapsed="false">
      <c r="B14" s="119" t="n">
        <f aca="false">ROW()-4</f>
        <v>10</v>
      </c>
      <c r="C14" s="120" t="n">
        <f aca="false">COUNTIFS($D$5:D14,D14)</f>
        <v>10</v>
      </c>
      <c r="D14" s="121" t="s">
        <v>121</v>
      </c>
      <c r="E14" s="122" t="s">
        <v>141</v>
      </c>
      <c r="F14" s="123" t="n">
        <v>44256</v>
      </c>
      <c r="G14" s="121" t="s">
        <v>26</v>
      </c>
      <c r="H1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A0010</v>
      </c>
      <c r="I1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B0010</v>
      </c>
      <c r="J14" s="124" t="s">
        <v>142</v>
      </c>
      <c r="K1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C0010</v>
      </c>
      <c r="L1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D0010</v>
      </c>
      <c r="M1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E0010</v>
      </c>
      <c r="N14" s="122" t="s">
        <v>71</v>
      </c>
      <c r="O14" s="126" t="n">
        <v>1000000</v>
      </c>
      <c r="P14" s="121" t="s">
        <v>18</v>
      </c>
      <c r="Q14" s="121" t="s">
        <v>124</v>
      </c>
      <c r="R14" s="127"/>
      <c r="T14" s="118"/>
    </row>
    <row r="15" customFormat="false" ht="12.75" hidden="false" customHeight="true" outlineLevel="0" collapsed="false">
      <c r="B15" s="119" t="n">
        <f aca="false">ROW()-4</f>
        <v>11</v>
      </c>
      <c r="C15" s="120" t="n">
        <f aca="false">COUNTIFS($D$5:D15,D15)</f>
        <v>11</v>
      </c>
      <c r="D15" s="121" t="s">
        <v>121</v>
      </c>
      <c r="E15" s="122" t="s">
        <v>143</v>
      </c>
      <c r="F15" s="123" t="n">
        <v>43235</v>
      </c>
      <c r="G15" s="121" t="s">
        <v>30</v>
      </c>
      <c r="H1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A0011</v>
      </c>
      <c r="I1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B0011</v>
      </c>
      <c r="J15" s="124" t="s">
        <v>144</v>
      </c>
      <c r="K1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C0011</v>
      </c>
      <c r="L1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D0011</v>
      </c>
      <c r="M1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E0011</v>
      </c>
      <c r="N15" s="122" t="s">
        <v>71</v>
      </c>
      <c r="O15" s="126" t="n">
        <v>1000000</v>
      </c>
      <c r="P15" s="121" t="s">
        <v>18</v>
      </c>
      <c r="Q15" s="121" t="s">
        <v>124</v>
      </c>
      <c r="R15" s="127"/>
      <c r="T15" s="118"/>
    </row>
    <row r="16" customFormat="false" ht="12.75" hidden="false" customHeight="true" outlineLevel="0" collapsed="false">
      <c r="B16" s="119" t="n">
        <f aca="false">ROW()-4</f>
        <v>12</v>
      </c>
      <c r="C16" s="120" t="n">
        <f aca="false">COUNTIFS($D$5:D16,D16)</f>
        <v>12</v>
      </c>
      <c r="D16" s="121" t="s">
        <v>121</v>
      </c>
      <c r="E16" s="122" t="s">
        <v>145</v>
      </c>
      <c r="F16" s="123" t="n">
        <v>42867</v>
      </c>
      <c r="G16" s="121" t="s">
        <v>24</v>
      </c>
      <c r="H1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A0012</v>
      </c>
      <c r="I1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B0012</v>
      </c>
      <c r="J16" s="124" t="s">
        <v>146</v>
      </c>
      <c r="K1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C0012</v>
      </c>
      <c r="L1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D0012</v>
      </c>
      <c r="M1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E0012</v>
      </c>
      <c r="N16" s="122" t="s">
        <v>71</v>
      </c>
      <c r="O16" s="126" t="n">
        <v>1000000</v>
      </c>
      <c r="P16" s="121" t="s">
        <v>18</v>
      </c>
      <c r="Q16" s="121" t="s">
        <v>124</v>
      </c>
      <c r="R16" s="127"/>
      <c r="T16" s="118"/>
    </row>
    <row r="17" customFormat="false" ht="12.75" hidden="false" customHeight="true" outlineLevel="0" collapsed="false">
      <c r="B17" s="119" t="n">
        <f aca="false">ROW()-4</f>
        <v>13</v>
      </c>
      <c r="C17" s="120" t="n">
        <f aca="false">COUNTIFS($D$5:D17,D17)</f>
        <v>13</v>
      </c>
      <c r="D17" s="121" t="s">
        <v>121</v>
      </c>
      <c r="E17" s="122" t="s">
        <v>147</v>
      </c>
      <c r="F17" s="123" t="n">
        <v>42790</v>
      </c>
      <c r="G17" s="121" t="s">
        <v>22</v>
      </c>
      <c r="H1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A0013</v>
      </c>
      <c r="I1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B0013</v>
      </c>
      <c r="J17" s="124" t="s">
        <v>148</v>
      </c>
      <c r="K1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C0013</v>
      </c>
      <c r="L1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D0013</v>
      </c>
      <c r="M1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E0013</v>
      </c>
      <c r="N17" s="122" t="s">
        <v>71</v>
      </c>
      <c r="O17" s="126" t="n">
        <v>1000000</v>
      </c>
      <c r="P17" s="121" t="s">
        <v>18</v>
      </c>
      <c r="Q17" s="121" t="s">
        <v>124</v>
      </c>
      <c r="R17" s="127"/>
      <c r="T17" s="118"/>
    </row>
    <row r="18" customFormat="false" ht="12.75" hidden="false" customHeight="true" outlineLevel="0" collapsed="false">
      <c r="B18" s="119" t="n">
        <f aca="false">ROW()-4</f>
        <v>14</v>
      </c>
      <c r="C18" s="120" t="n">
        <f aca="false">COUNTIFS($D$5:D18,D18)</f>
        <v>14</v>
      </c>
      <c r="D18" s="121" t="s">
        <v>121</v>
      </c>
      <c r="E18" s="122" t="s">
        <v>149</v>
      </c>
      <c r="F18" s="123"/>
      <c r="G18" s="121" t="s">
        <v>28</v>
      </c>
      <c r="H18" s="122"/>
      <c r="I18" s="122"/>
      <c r="J18" s="124"/>
      <c r="K18" s="122"/>
      <c r="L18" s="125"/>
      <c r="M1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E0014</v>
      </c>
      <c r="N18" s="122" t="s">
        <v>71</v>
      </c>
      <c r="O18" s="126" t="n">
        <v>1000000</v>
      </c>
      <c r="P18" s="121" t="s">
        <v>19</v>
      </c>
      <c r="Q18" s="122"/>
      <c r="R18" s="128" t="s">
        <v>61</v>
      </c>
      <c r="T18" s="118"/>
    </row>
    <row r="19" customFormat="false" ht="12.75" hidden="false" customHeight="true" outlineLevel="0" collapsed="false">
      <c r="B19" s="119" t="n">
        <f aca="false">ROW()-4</f>
        <v>15</v>
      </c>
      <c r="C19" s="120" t="n">
        <f aca="false">COUNTIFS($D$5:D19,D19)</f>
        <v>15</v>
      </c>
      <c r="D19" s="121" t="s">
        <v>121</v>
      </c>
      <c r="E19" s="122" t="s">
        <v>150</v>
      </c>
      <c r="F19" s="123" t="n">
        <v>43181</v>
      </c>
      <c r="G19" s="121" t="s">
        <v>24</v>
      </c>
      <c r="H1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A0015</v>
      </c>
      <c r="I1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B0015</v>
      </c>
      <c r="J19" s="124" t="s">
        <v>151</v>
      </c>
      <c r="K1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C0015</v>
      </c>
      <c r="L1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D0015</v>
      </c>
      <c r="M1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E0015</v>
      </c>
      <c r="N19" s="122" t="s">
        <v>71</v>
      </c>
      <c r="O19" s="126" t="n">
        <v>1000000</v>
      </c>
      <c r="P19" s="121" t="s">
        <v>18</v>
      </c>
      <c r="Q19" s="121" t="s">
        <v>124</v>
      </c>
      <c r="R19" s="127"/>
      <c r="T19" s="118"/>
    </row>
    <row r="20" customFormat="false" ht="12.75" hidden="false" customHeight="true" outlineLevel="0" collapsed="false">
      <c r="B20" s="119" t="n">
        <f aca="false">ROW()-4</f>
        <v>16</v>
      </c>
      <c r="C20" s="120" t="n">
        <f aca="false">COUNTIFS($D$5:D20,D20)</f>
        <v>16</v>
      </c>
      <c r="D20" s="121" t="s">
        <v>121</v>
      </c>
      <c r="E20" s="122" t="s">
        <v>152</v>
      </c>
      <c r="F20" s="123" t="n">
        <v>43791</v>
      </c>
      <c r="G20" s="121" t="s">
        <v>30</v>
      </c>
      <c r="H2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A0016</v>
      </c>
      <c r="I2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B0016</v>
      </c>
      <c r="J20" s="124" t="s">
        <v>153</v>
      </c>
      <c r="K2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C0016</v>
      </c>
      <c r="L2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D0016</v>
      </c>
      <c r="M2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E0016</v>
      </c>
      <c r="N20" s="122" t="s">
        <v>71</v>
      </c>
      <c r="O20" s="126" t="n">
        <v>1000000</v>
      </c>
      <c r="P20" s="121" t="s">
        <v>18</v>
      </c>
      <c r="Q20" s="121" t="s">
        <v>124</v>
      </c>
      <c r="R20" s="127"/>
      <c r="T20" s="118"/>
    </row>
    <row r="21" customFormat="false" ht="12.75" hidden="false" customHeight="true" outlineLevel="0" collapsed="false">
      <c r="B21" s="119" t="n">
        <f aca="false">ROW()-4</f>
        <v>17</v>
      </c>
      <c r="C21" s="120" t="n">
        <f aca="false">COUNTIFS($D$5:D21,D21)</f>
        <v>17</v>
      </c>
      <c r="D21" s="121" t="s">
        <v>121</v>
      </c>
      <c r="E21" s="122" t="s">
        <v>154</v>
      </c>
      <c r="F21" s="123" t="n">
        <v>43984</v>
      </c>
      <c r="G21" s="121" t="s">
        <v>30</v>
      </c>
      <c r="H2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A0017</v>
      </c>
      <c r="I2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B0017</v>
      </c>
      <c r="J21" s="124" t="s">
        <v>155</v>
      </c>
      <c r="K2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C0017</v>
      </c>
      <c r="L2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D0017</v>
      </c>
      <c r="M2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E0017</v>
      </c>
      <c r="N21" s="122" t="s">
        <v>71</v>
      </c>
      <c r="O21" s="126" t="n">
        <v>1000000</v>
      </c>
      <c r="P21" s="121" t="s">
        <v>18</v>
      </c>
      <c r="Q21" s="121" t="s">
        <v>124</v>
      </c>
      <c r="R21" s="127"/>
      <c r="T21" s="118"/>
    </row>
    <row r="22" customFormat="false" ht="12.75" hidden="false" customHeight="true" outlineLevel="0" collapsed="false">
      <c r="B22" s="119" t="n">
        <f aca="false">ROW()-4</f>
        <v>18</v>
      </c>
      <c r="C22" s="120" t="n">
        <f aca="false">COUNTIFS($D$5:D22,D22)</f>
        <v>18</v>
      </c>
      <c r="D22" s="121" t="s">
        <v>121</v>
      </c>
      <c r="E22" s="122" t="s">
        <v>156</v>
      </c>
      <c r="F22" s="123" t="n">
        <v>43843</v>
      </c>
      <c r="G22" s="121" t="s">
        <v>30</v>
      </c>
      <c r="H2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A0018</v>
      </c>
      <c r="I2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B0018</v>
      </c>
      <c r="J22" s="124" t="s">
        <v>157</v>
      </c>
      <c r="K2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C0018</v>
      </c>
      <c r="L2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D0018</v>
      </c>
      <c r="M2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E0018</v>
      </c>
      <c r="N22" s="122" t="s">
        <v>71</v>
      </c>
      <c r="O22" s="126" t="n">
        <v>1000000</v>
      </c>
      <c r="P22" s="121" t="s">
        <v>18</v>
      </c>
      <c r="Q22" s="121" t="s">
        <v>124</v>
      </c>
      <c r="R22" s="127"/>
      <c r="T22" s="118"/>
    </row>
    <row r="23" customFormat="false" ht="12.75" hidden="false" customHeight="true" outlineLevel="0" collapsed="false">
      <c r="B23" s="119" t="n">
        <f aca="false">ROW()-4</f>
        <v>19</v>
      </c>
      <c r="C23" s="120" t="n">
        <f aca="false">COUNTIFS($D$5:D23,D23)</f>
        <v>19</v>
      </c>
      <c r="D23" s="121" t="s">
        <v>121</v>
      </c>
      <c r="E23" s="122" t="s">
        <v>158</v>
      </c>
      <c r="F23" s="123" t="n">
        <v>42846</v>
      </c>
      <c r="G23" s="121" t="s">
        <v>24</v>
      </c>
      <c r="H2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A0019</v>
      </c>
      <c r="I2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B0019</v>
      </c>
      <c r="J23" s="124" t="s">
        <v>159</v>
      </c>
      <c r="K2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C0019</v>
      </c>
      <c r="L2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D0019</v>
      </c>
      <c r="M2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E0019</v>
      </c>
      <c r="N23" s="122" t="s">
        <v>71</v>
      </c>
      <c r="O23" s="126" t="n">
        <v>1000000</v>
      </c>
      <c r="P23" s="121" t="s">
        <v>18</v>
      </c>
      <c r="Q23" s="121" t="s">
        <v>124</v>
      </c>
      <c r="R23" s="127"/>
      <c r="T23" s="118"/>
    </row>
    <row r="24" customFormat="false" ht="12.75" hidden="false" customHeight="true" outlineLevel="0" collapsed="false">
      <c r="B24" s="119" t="n">
        <f aca="false">ROW()-4</f>
        <v>20</v>
      </c>
      <c r="C24" s="120" t="n">
        <f aca="false">COUNTIFS($D$5:D24,D24)</f>
        <v>20</v>
      </c>
      <c r="D24" s="121" t="s">
        <v>121</v>
      </c>
      <c r="E24" s="122" t="s">
        <v>160</v>
      </c>
      <c r="F24" s="123" t="n">
        <v>42789</v>
      </c>
      <c r="G24" s="121" t="s">
        <v>22</v>
      </c>
      <c r="H2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A0020</v>
      </c>
      <c r="I2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B0020</v>
      </c>
      <c r="J24" s="124" t="s">
        <v>161</v>
      </c>
      <c r="K2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C0020</v>
      </c>
      <c r="L2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D0020</v>
      </c>
      <c r="M2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E0020</v>
      </c>
      <c r="N24" s="122" t="s">
        <v>71</v>
      </c>
      <c r="O24" s="126" t="n">
        <v>1000000</v>
      </c>
      <c r="P24" s="121" t="s">
        <v>18</v>
      </c>
      <c r="Q24" s="121" t="s">
        <v>124</v>
      </c>
      <c r="R24" s="127"/>
      <c r="T24" s="118"/>
    </row>
    <row r="25" customFormat="false" ht="12.75" hidden="false" customHeight="true" outlineLevel="0" collapsed="false">
      <c r="B25" s="119" t="n">
        <f aca="false">ROW()-4</f>
        <v>21</v>
      </c>
      <c r="C25" s="120" t="n">
        <f aca="false">COUNTIFS($D$5:D25,D25)</f>
        <v>21</v>
      </c>
      <c r="D25" s="121" t="s">
        <v>121</v>
      </c>
      <c r="E25" s="122" t="s">
        <v>162</v>
      </c>
      <c r="F25" s="123" t="n">
        <v>45821</v>
      </c>
      <c r="G25" s="121" t="s">
        <v>30</v>
      </c>
      <c r="H2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A0021</v>
      </c>
      <c r="I2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B0021</v>
      </c>
      <c r="J25" s="122" t="s">
        <v>163</v>
      </c>
      <c r="K2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C0021</v>
      </c>
      <c r="L2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D0021</v>
      </c>
      <c r="M2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E0021</v>
      </c>
      <c r="N25" s="122" t="s">
        <v>71</v>
      </c>
      <c r="O25" s="126" t="n">
        <v>1000000</v>
      </c>
      <c r="P25" s="121" t="s">
        <v>18</v>
      </c>
      <c r="Q25" s="121" t="s">
        <v>124</v>
      </c>
      <c r="R25" s="127"/>
      <c r="T25" s="118"/>
    </row>
    <row r="26" customFormat="false" ht="12.75" hidden="false" customHeight="true" outlineLevel="0" collapsed="false">
      <c r="B26" s="119" t="n">
        <f aca="false">ROW()-4</f>
        <v>22</v>
      </c>
      <c r="C26" s="120" t="n">
        <f aca="false">COUNTIFS($D$5:D26,D26)</f>
        <v>22</v>
      </c>
      <c r="D26" s="121" t="s">
        <v>121</v>
      </c>
      <c r="E26" s="122" t="s">
        <v>164</v>
      </c>
      <c r="F26" s="123" t="n">
        <v>43194</v>
      </c>
      <c r="G26" s="121" t="s">
        <v>26</v>
      </c>
      <c r="H2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A0022</v>
      </c>
      <c r="I2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B0022</v>
      </c>
      <c r="J26" s="124" t="s">
        <v>165</v>
      </c>
      <c r="K2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C0022</v>
      </c>
      <c r="L2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D0022</v>
      </c>
      <c r="M2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E0022</v>
      </c>
      <c r="N26" s="122" t="s">
        <v>71</v>
      </c>
      <c r="O26" s="126" t="n">
        <v>1000000</v>
      </c>
      <c r="P26" s="121" t="s">
        <v>18</v>
      </c>
      <c r="Q26" s="121" t="s">
        <v>124</v>
      </c>
      <c r="R26" s="127"/>
      <c r="T26" s="118"/>
    </row>
    <row r="27" customFormat="false" ht="12.75" hidden="false" customHeight="true" outlineLevel="0" collapsed="false">
      <c r="B27" s="119" t="n">
        <f aca="false">ROW()-4</f>
        <v>23</v>
      </c>
      <c r="C27" s="120" t="n">
        <f aca="false">COUNTIFS($D$5:D27,D27)</f>
        <v>23</v>
      </c>
      <c r="D27" s="121" t="s">
        <v>121</v>
      </c>
      <c r="E27" s="122" t="s">
        <v>166</v>
      </c>
      <c r="F27" s="123" t="n">
        <v>46003</v>
      </c>
      <c r="G27" s="121" t="s">
        <v>24</v>
      </c>
      <c r="H2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A0023</v>
      </c>
      <c r="I2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B0023</v>
      </c>
      <c r="J27" s="122" t="s">
        <v>167</v>
      </c>
      <c r="K2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C0023</v>
      </c>
      <c r="L2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D0023</v>
      </c>
      <c r="M2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E0023</v>
      </c>
      <c r="N27" s="122" t="s">
        <v>71</v>
      </c>
      <c r="O27" s="126" t="n">
        <v>1000000</v>
      </c>
      <c r="P27" s="121" t="s">
        <v>18</v>
      </c>
      <c r="Q27" s="121" t="s">
        <v>124</v>
      </c>
      <c r="R27" s="127"/>
      <c r="T27" s="118"/>
    </row>
    <row r="28" customFormat="false" ht="12.75" hidden="false" customHeight="true" outlineLevel="0" collapsed="false">
      <c r="B28" s="119" t="n">
        <f aca="false">ROW()-4</f>
        <v>24</v>
      </c>
      <c r="C28" s="120" t="n">
        <f aca="false">COUNTIFS($D$5:D28,D28)</f>
        <v>24</v>
      </c>
      <c r="D28" s="121" t="s">
        <v>121</v>
      </c>
      <c r="E28" s="122" t="s">
        <v>168</v>
      </c>
      <c r="F28" s="123" t="n">
        <v>44120</v>
      </c>
      <c r="G28" s="121" t="s">
        <v>30</v>
      </c>
      <c r="H2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A0024</v>
      </c>
      <c r="I2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B0024</v>
      </c>
      <c r="J28" s="124" t="s">
        <v>169</v>
      </c>
      <c r="K2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C0024</v>
      </c>
      <c r="L2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D0024</v>
      </c>
      <c r="M2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E0024</v>
      </c>
      <c r="N28" s="122" t="s">
        <v>71</v>
      </c>
      <c r="O28" s="126" t="n">
        <v>1000000</v>
      </c>
      <c r="P28" s="121" t="s">
        <v>18</v>
      </c>
      <c r="Q28" s="121" t="s">
        <v>124</v>
      </c>
      <c r="R28" s="127"/>
      <c r="T28" s="118"/>
    </row>
    <row r="29" customFormat="false" ht="12.75" hidden="false" customHeight="true" outlineLevel="0" collapsed="false">
      <c r="B29" s="119" t="n">
        <f aca="false">ROW()-4</f>
        <v>25</v>
      </c>
      <c r="C29" s="120" t="n">
        <f aca="false">COUNTIFS($D$5:D29,D29)</f>
        <v>25</v>
      </c>
      <c r="D29" s="121" t="s">
        <v>121</v>
      </c>
      <c r="E29" s="122" t="s">
        <v>170</v>
      </c>
      <c r="F29" s="123" t="n">
        <v>44139</v>
      </c>
      <c r="G29" s="121" t="s">
        <v>24</v>
      </c>
      <c r="H2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A0025</v>
      </c>
      <c r="I2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B0025</v>
      </c>
      <c r="J29" s="124" t="s">
        <v>171</v>
      </c>
      <c r="K2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C0025</v>
      </c>
      <c r="L2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D0025</v>
      </c>
      <c r="M2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E0025</v>
      </c>
      <c r="N29" s="122" t="s">
        <v>71</v>
      </c>
      <c r="O29" s="126" t="n">
        <v>1000000</v>
      </c>
      <c r="P29" s="121" t="s">
        <v>18</v>
      </c>
      <c r="Q29" s="121" t="s">
        <v>124</v>
      </c>
      <c r="R29" s="127"/>
      <c r="T29" s="118"/>
    </row>
    <row r="30" customFormat="false" ht="12.75" hidden="false" customHeight="true" outlineLevel="0" collapsed="false">
      <c r="B30" s="119" t="n">
        <f aca="false">ROW()-4</f>
        <v>26</v>
      </c>
      <c r="C30" s="120" t="n">
        <f aca="false">COUNTIFS($D$5:D30,D30)</f>
        <v>26</v>
      </c>
      <c r="D30" s="121" t="s">
        <v>121</v>
      </c>
      <c r="E30" s="122" t="s">
        <v>172</v>
      </c>
      <c r="F30" s="123" t="n">
        <v>45881</v>
      </c>
      <c r="G30" s="121" t="s">
        <v>24</v>
      </c>
      <c r="H3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A0026</v>
      </c>
      <c r="I3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B0026</v>
      </c>
      <c r="J30" s="122" t="s">
        <v>173</v>
      </c>
      <c r="K3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C0026</v>
      </c>
      <c r="L3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D0026</v>
      </c>
      <c r="M3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E0026</v>
      </c>
      <c r="N30" s="122" t="s">
        <v>71</v>
      </c>
      <c r="O30" s="126" t="n">
        <v>1000000</v>
      </c>
      <c r="P30" s="121" t="s">
        <v>18</v>
      </c>
      <c r="Q30" s="121" t="s">
        <v>124</v>
      </c>
      <c r="R30" s="127"/>
      <c r="T30" s="118"/>
    </row>
    <row r="31" customFormat="false" ht="12.75" hidden="false" customHeight="true" outlineLevel="0" collapsed="false">
      <c r="B31" s="119" t="n">
        <f aca="false">ROW()-4</f>
        <v>27</v>
      </c>
      <c r="C31" s="120" t="n">
        <f aca="false">COUNTIFS($D$5:D31,D31)</f>
        <v>27</v>
      </c>
      <c r="D31" s="121" t="s">
        <v>121</v>
      </c>
      <c r="E31" s="122" t="s">
        <v>174</v>
      </c>
      <c r="F31" s="123" t="n">
        <v>42979</v>
      </c>
      <c r="G31" s="121" t="s">
        <v>26</v>
      </c>
      <c r="H3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A0027</v>
      </c>
      <c r="I3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B0027</v>
      </c>
      <c r="J31" s="124" t="s">
        <v>175</v>
      </c>
      <c r="K3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C0027</v>
      </c>
      <c r="L3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D0027</v>
      </c>
      <c r="M3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E0027</v>
      </c>
      <c r="N31" s="122" t="s">
        <v>71</v>
      </c>
      <c r="O31" s="126" t="n">
        <v>1000000</v>
      </c>
      <c r="P31" s="121" t="s">
        <v>18</v>
      </c>
      <c r="Q31" s="121" t="s">
        <v>124</v>
      </c>
      <c r="R31" s="127"/>
      <c r="T31" s="118"/>
    </row>
    <row r="32" customFormat="false" ht="12.75" hidden="false" customHeight="true" outlineLevel="0" collapsed="false">
      <c r="B32" s="119" t="n">
        <f aca="false">ROW()-4</f>
        <v>28</v>
      </c>
      <c r="C32" s="120" t="n">
        <f aca="false">COUNTIFS($D$5:D32,D32)</f>
        <v>28</v>
      </c>
      <c r="D32" s="121" t="s">
        <v>121</v>
      </c>
      <c r="E32" s="122" t="s">
        <v>176</v>
      </c>
      <c r="F32" s="123" t="n">
        <v>42789</v>
      </c>
      <c r="G32" s="121" t="s">
        <v>30</v>
      </c>
      <c r="H3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A0028</v>
      </c>
      <c r="I3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B0028</v>
      </c>
      <c r="J32" s="124" t="s">
        <v>177</v>
      </c>
      <c r="K3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C0028</v>
      </c>
      <c r="L3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D0028</v>
      </c>
      <c r="M3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E0028</v>
      </c>
      <c r="N32" s="122" t="s">
        <v>71</v>
      </c>
      <c r="O32" s="126" t="n">
        <v>1000000</v>
      </c>
      <c r="P32" s="121" t="s">
        <v>18</v>
      </c>
      <c r="Q32" s="121" t="s">
        <v>124</v>
      </c>
      <c r="R32" s="127"/>
      <c r="T32" s="118"/>
    </row>
    <row r="33" customFormat="false" ht="12.75" hidden="false" customHeight="true" outlineLevel="0" collapsed="false">
      <c r="B33" s="119" t="n">
        <f aca="false">ROW()-4</f>
        <v>29</v>
      </c>
      <c r="C33" s="120" t="n">
        <f aca="false">COUNTIFS($D$5:D33,D33)</f>
        <v>29</v>
      </c>
      <c r="D33" s="121" t="s">
        <v>121</v>
      </c>
      <c r="E33" s="122" t="s">
        <v>178</v>
      </c>
      <c r="F33" s="123" t="n">
        <v>43396</v>
      </c>
      <c r="G33" s="121" t="s">
        <v>30</v>
      </c>
      <c r="H3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A0029</v>
      </c>
      <c r="I3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B0029</v>
      </c>
      <c r="J33" s="124" t="s">
        <v>179</v>
      </c>
      <c r="K3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C0029</v>
      </c>
      <c r="L3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D0029</v>
      </c>
      <c r="M3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E0029</v>
      </c>
      <c r="N33" s="122" t="s">
        <v>71</v>
      </c>
      <c r="O33" s="126" t="n">
        <v>1000000</v>
      </c>
      <c r="P33" s="121" t="s">
        <v>18</v>
      </c>
      <c r="Q33" s="121" t="s">
        <v>124</v>
      </c>
      <c r="R33" s="127"/>
      <c r="T33" s="118"/>
    </row>
    <row r="34" customFormat="false" ht="12.75" hidden="false" customHeight="true" outlineLevel="0" collapsed="false">
      <c r="B34" s="119" t="n">
        <f aca="false">ROW()-4</f>
        <v>30</v>
      </c>
      <c r="C34" s="120" t="n">
        <f aca="false">COUNTIFS($D$5:D34,D34)</f>
        <v>30</v>
      </c>
      <c r="D34" s="121" t="s">
        <v>121</v>
      </c>
      <c r="E34" s="122" t="s">
        <v>180</v>
      </c>
      <c r="F34" s="123" t="n">
        <v>43032</v>
      </c>
      <c r="G34" s="121" t="s">
        <v>24</v>
      </c>
      <c r="H3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A0030</v>
      </c>
      <c r="I3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B0030</v>
      </c>
      <c r="J34" s="124" t="s">
        <v>181</v>
      </c>
      <c r="K3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C0030</v>
      </c>
      <c r="L3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D0030</v>
      </c>
      <c r="M3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E0030</v>
      </c>
      <c r="N34" s="122" t="s">
        <v>71</v>
      </c>
      <c r="O34" s="126" t="n">
        <v>1000000</v>
      </c>
      <c r="P34" s="121" t="s">
        <v>18</v>
      </c>
      <c r="Q34" s="121" t="s">
        <v>124</v>
      </c>
      <c r="R34" s="127"/>
      <c r="T34" s="118"/>
    </row>
    <row r="35" customFormat="false" ht="12.75" hidden="false" customHeight="true" outlineLevel="0" collapsed="false">
      <c r="B35" s="119" t="n">
        <f aca="false">ROW()-4</f>
        <v>31</v>
      </c>
      <c r="C35" s="120" t="n">
        <f aca="false">COUNTIFS($D$5:D35,D35)</f>
        <v>31</v>
      </c>
      <c r="D35" s="121" t="s">
        <v>121</v>
      </c>
      <c r="E35" s="122" t="s">
        <v>182</v>
      </c>
      <c r="F35" s="123" t="n">
        <v>43970</v>
      </c>
      <c r="G35" s="121" t="s">
        <v>30</v>
      </c>
      <c r="H3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A0031</v>
      </c>
      <c r="I3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B0031</v>
      </c>
      <c r="J35" s="124" t="s">
        <v>183</v>
      </c>
      <c r="K3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C0031</v>
      </c>
      <c r="L3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D0031</v>
      </c>
      <c r="M3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E0031</v>
      </c>
      <c r="N35" s="122" t="s">
        <v>71</v>
      </c>
      <c r="O35" s="126" t="n">
        <v>1000000</v>
      </c>
      <c r="P35" s="121" t="s">
        <v>18</v>
      </c>
      <c r="Q35" s="121" t="s">
        <v>124</v>
      </c>
      <c r="R35" s="127"/>
      <c r="T35" s="118"/>
    </row>
    <row r="36" customFormat="false" ht="12.75" hidden="false" customHeight="true" outlineLevel="0" collapsed="false">
      <c r="B36" s="119" t="n">
        <f aca="false">ROW()-4</f>
        <v>32</v>
      </c>
      <c r="C36" s="120" t="n">
        <f aca="false">COUNTIFS($D$5:D36,D36)</f>
        <v>32</v>
      </c>
      <c r="D36" s="121" t="s">
        <v>121</v>
      </c>
      <c r="E36" s="122" t="s">
        <v>184</v>
      </c>
      <c r="F36" s="123" t="n">
        <v>42846</v>
      </c>
      <c r="G36" s="121" t="s">
        <v>30</v>
      </c>
      <c r="H3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A0032</v>
      </c>
      <c r="I3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B0032</v>
      </c>
      <c r="J36" s="124" t="s">
        <v>185</v>
      </c>
      <c r="K3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C0032</v>
      </c>
      <c r="L3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D0032</v>
      </c>
      <c r="M3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E0032</v>
      </c>
      <c r="N36" s="122" t="s">
        <v>71</v>
      </c>
      <c r="O36" s="126" t="n">
        <v>1000000</v>
      </c>
      <c r="P36" s="121" t="s">
        <v>18</v>
      </c>
      <c r="Q36" s="121" t="s">
        <v>124</v>
      </c>
      <c r="R36" s="127"/>
      <c r="T36" s="118"/>
    </row>
    <row r="37" customFormat="false" ht="12.75" hidden="false" customHeight="true" outlineLevel="0" collapsed="false">
      <c r="B37" s="119" t="n">
        <f aca="false">ROW()-4</f>
        <v>33</v>
      </c>
      <c r="C37" s="120" t="n">
        <f aca="false">COUNTIFS($D$5:D37,D37)</f>
        <v>33</v>
      </c>
      <c r="D37" s="121" t="s">
        <v>121</v>
      </c>
      <c r="E37" s="122" t="s">
        <v>186</v>
      </c>
      <c r="F37" s="123" t="n">
        <v>44021</v>
      </c>
      <c r="G37" s="121" t="s">
        <v>28</v>
      </c>
      <c r="H3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A0033</v>
      </c>
      <c r="I3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B0033</v>
      </c>
      <c r="J37" s="124" t="s">
        <v>187</v>
      </c>
      <c r="K3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C0033</v>
      </c>
      <c r="L3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D0033</v>
      </c>
      <c r="M3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E0033</v>
      </c>
      <c r="N37" s="122" t="s">
        <v>71</v>
      </c>
      <c r="O37" s="126" t="n">
        <v>1000000</v>
      </c>
      <c r="P37" s="121" t="s">
        <v>18</v>
      </c>
      <c r="Q37" s="121" t="s">
        <v>124</v>
      </c>
      <c r="R37" s="127"/>
      <c r="T37" s="118"/>
    </row>
    <row r="38" customFormat="false" ht="12.75" hidden="false" customHeight="true" outlineLevel="0" collapsed="false">
      <c r="B38" s="119" t="n">
        <f aca="false">ROW()-4</f>
        <v>34</v>
      </c>
      <c r="C38" s="120" t="n">
        <f aca="false">COUNTIFS($D$5:D38,D38)</f>
        <v>34</v>
      </c>
      <c r="D38" s="121" t="s">
        <v>121</v>
      </c>
      <c r="E38" s="122" t="s">
        <v>188</v>
      </c>
      <c r="F38" s="123" t="n">
        <v>44151</v>
      </c>
      <c r="G38" s="121" t="s">
        <v>28</v>
      </c>
      <c r="H3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A0034</v>
      </c>
      <c r="I3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B0034</v>
      </c>
      <c r="J38" s="124" t="s">
        <v>189</v>
      </c>
      <c r="K3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C0034</v>
      </c>
      <c r="L3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D0034</v>
      </c>
      <c r="M3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E0034</v>
      </c>
      <c r="N38" s="122" t="s">
        <v>71</v>
      </c>
      <c r="O38" s="126" t="n">
        <v>1000000</v>
      </c>
      <c r="P38" s="121" t="s">
        <v>18</v>
      </c>
      <c r="Q38" s="121" t="s">
        <v>124</v>
      </c>
      <c r="R38" s="127"/>
      <c r="T38" s="118"/>
    </row>
    <row r="39" customFormat="false" ht="12.75" hidden="false" customHeight="true" outlineLevel="0" collapsed="false">
      <c r="B39" s="119" t="n">
        <f aca="false">ROW()-4</f>
        <v>35</v>
      </c>
      <c r="C39" s="120" t="n">
        <f aca="false">COUNTIFS($D$5:D39,D39)</f>
        <v>35</v>
      </c>
      <c r="D39" s="121" t="s">
        <v>121</v>
      </c>
      <c r="E39" s="122" t="s">
        <v>190</v>
      </c>
      <c r="F39" s="123" t="n">
        <v>44440</v>
      </c>
      <c r="G39" s="121" t="s">
        <v>22</v>
      </c>
      <c r="H3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A0035</v>
      </c>
      <c r="I3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B0035</v>
      </c>
      <c r="J39" s="124" t="s">
        <v>191</v>
      </c>
      <c r="K3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C0035</v>
      </c>
      <c r="L3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D0035</v>
      </c>
      <c r="M3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E0035</v>
      </c>
      <c r="N39" s="122" t="s">
        <v>71</v>
      </c>
      <c r="O39" s="126" t="n">
        <v>1000000</v>
      </c>
      <c r="P39" s="121" t="s">
        <v>18</v>
      </c>
      <c r="Q39" s="121" t="s">
        <v>124</v>
      </c>
      <c r="R39" s="127"/>
      <c r="T39" s="118"/>
    </row>
    <row r="40" customFormat="false" ht="12.75" hidden="false" customHeight="true" outlineLevel="0" collapsed="false">
      <c r="B40" s="119" t="n">
        <f aca="false">ROW()-4</f>
        <v>36</v>
      </c>
      <c r="C40" s="120" t="n">
        <f aca="false">COUNTIFS($D$5:D40,D40)</f>
        <v>36</v>
      </c>
      <c r="D40" s="121" t="s">
        <v>121</v>
      </c>
      <c r="E40" s="122" t="s">
        <v>192</v>
      </c>
      <c r="F40" s="123" t="n">
        <v>44126</v>
      </c>
      <c r="G40" s="121" t="s">
        <v>24</v>
      </c>
      <c r="H4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A0036</v>
      </c>
      <c r="I4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B0036</v>
      </c>
      <c r="J40" s="124" t="s">
        <v>193</v>
      </c>
      <c r="K4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C0036</v>
      </c>
      <c r="L4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D0036</v>
      </c>
      <c r="M4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E0036</v>
      </c>
      <c r="N40" s="122" t="s">
        <v>71</v>
      </c>
      <c r="O40" s="126" t="n">
        <v>1000000</v>
      </c>
      <c r="P40" s="121" t="s">
        <v>18</v>
      </c>
      <c r="Q40" s="121" t="s">
        <v>124</v>
      </c>
      <c r="R40" s="127"/>
      <c r="T40" s="118"/>
    </row>
    <row r="41" customFormat="false" ht="12.75" hidden="false" customHeight="true" outlineLevel="0" collapsed="false">
      <c r="B41" s="119" t="n">
        <f aca="false">ROW()-4</f>
        <v>37</v>
      </c>
      <c r="C41" s="120" t="n">
        <f aca="false">COUNTIFS($D$5:D41,D41)</f>
        <v>37</v>
      </c>
      <c r="D41" s="121" t="s">
        <v>121</v>
      </c>
      <c r="E41" s="122" t="s">
        <v>194</v>
      </c>
      <c r="F41" s="123" t="n">
        <v>44126</v>
      </c>
      <c r="G41" s="121" t="s">
        <v>24</v>
      </c>
      <c r="H4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A0037</v>
      </c>
      <c r="I4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B0037</v>
      </c>
      <c r="J41" s="124" t="s">
        <v>195</v>
      </c>
      <c r="K4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C0037</v>
      </c>
      <c r="L4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D0037</v>
      </c>
      <c r="M4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E0037</v>
      </c>
      <c r="N41" s="122" t="s">
        <v>71</v>
      </c>
      <c r="O41" s="126" t="n">
        <v>1000000</v>
      </c>
      <c r="P41" s="121" t="s">
        <v>18</v>
      </c>
      <c r="Q41" s="121" t="s">
        <v>124</v>
      </c>
      <c r="R41" s="127"/>
      <c r="T41" s="118"/>
    </row>
    <row r="42" customFormat="false" ht="12.75" hidden="false" customHeight="true" outlineLevel="0" collapsed="false">
      <c r="B42" s="119" t="n">
        <f aca="false">ROW()-4</f>
        <v>38</v>
      </c>
      <c r="C42" s="120" t="n">
        <f aca="false">COUNTIFS($D$5:D42,D42)</f>
        <v>38</v>
      </c>
      <c r="D42" s="121" t="s">
        <v>121</v>
      </c>
      <c r="E42" s="122" t="s">
        <v>196</v>
      </c>
      <c r="F42" s="123" t="n">
        <v>44102</v>
      </c>
      <c r="G42" s="121" t="s">
        <v>30</v>
      </c>
      <c r="H4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A0038</v>
      </c>
      <c r="I4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B0038</v>
      </c>
      <c r="J42" s="124" t="s">
        <v>197</v>
      </c>
      <c r="K4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C0038</v>
      </c>
      <c r="L4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D0038</v>
      </c>
      <c r="M4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E0038</v>
      </c>
      <c r="N42" s="122" t="s">
        <v>71</v>
      </c>
      <c r="O42" s="126" t="n">
        <v>1000000</v>
      </c>
      <c r="P42" s="121" t="s">
        <v>18</v>
      </c>
      <c r="Q42" s="121" t="s">
        <v>124</v>
      </c>
      <c r="R42" s="127"/>
      <c r="T42" s="118"/>
    </row>
    <row r="43" customFormat="false" ht="12.75" hidden="false" customHeight="true" outlineLevel="0" collapsed="false">
      <c r="B43" s="119" t="n">
        <f aca="false">ROW()-4</f>
        <v>39</v>
      </c>
      <c r="C43" s="120" t="n">
        <f aca="false">COUNTIFS($D$5:D43,D43)</f>
        <v>39</v>
      </c>
      <c r="D43" s="121" t="s">
        <v>121</v>
      </c>
      <c r="E43" s="122" t="s">
        <v>198</v>
      </c>
      <c r="F43" s="123" t="n">
        <v>44967</v>
      </c>
      <c r="G43" s="121" t="s">
        <v>24</v>
      </c>
      <c r="H4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A0039</v>
      </c>
      <c r="I4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B0039</v>
      </c>
      <c r="J43" s="124" t="s">
        <v>199</v>
      </c>
      <c r="K4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C0039</v>
      </c>
      <c r="L4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D0039</v>
      </c>
      <c r="M4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E0039</v>
      </c>
      <c r="N43" s="122" t="s">
        <v>71</v>
      </c>
      <c r="O43" s="126" t="n">
        <v>1000000</v>
      </c>
      <c r="P43" s="121" t="s">
        <v>18</v>
      </c>
      <c r="Q43" s="121" t="s">
        <v>124</v>
      </c>
      <c r="R43" s="127"/>
      <c r="T43" s="118"/>
    </row>
    <row r="44" customFormat="false" ht="12.75" hidden="false" customHeight="true" outlineLevel="0" collapsed="false">
      <c r="B44" s="119" t="n">
        <f aca="false">ROW()-4</f>
        <v>40</v>
      </c>
      <c r="C44" s="120" t="n">
        <f aca="false">COUNTIFS($D$5:D44,D44)</f>
        <v>40</v>
      </c>
      <c r="D44" s="121" t="s">
        <v>121</v>
      </c>
      <c r="E44" s="122" t="s">
        <v>200</v>
      </c>
      <c r="F44" s="123" t="n">
        <v>44349</v>
      </c>
      <c r="G44" s="121" t="s">
        <v>24</v>
      </c>
      <c r="H4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A0040</v>
      </c>
      <c r="I4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B0040</v>
      </c>
      <c r="J44" s="124" t="s">
        <v>201</v>
      </c>
      <c r="K4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C0040</v>
      </c>
      <c r="L4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D0040</v>
      </c>
      <c r="M4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E0040</v>
      </c>
      <c r="N44" s="122" t="s">
        <v>71</v>
      </c>
      <c r="O44" s="126" t="n">
        <v>1000000</v>
      </c>
      <c r="P44" s="121" t="s">
        <v>18</v>
      </c>
      <c r="Q44" s="121" t="s">
        <v>124</v>
      </c>
      <c r="R44" s="127"/>
      <c r="T44" s="118"/>
    </row>
    <row r="45" customFormat="false" ht="12.75" hidden="false" customHeight="true" outlineLevel="0" collapsed="false">
      <c r="B45" s="119" t="n">
        <f aca="false">ROW()-4</f>
        <v>41</v>
      </c>
      <c r="C45" s="120" t="n">
        <f aca="false">COUNTIFS($D$5:D45,D45)</f>
        <v>41</v>
      </c>
      <c r="D45" s="121" t="s">
        <v>121</v>
      </c>
      <c r="E45" s="122" t="s">
        <v>202</v>
      </c>
      <c r="F45" s="123" t="n">
        <v>43045</v>
      </c>
      <c r="G45" s="121" t="s">
        <v>28</v>
      </c>
      <c r="H4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A0041</v>
      </c>
      <c r="I4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B0041</v>
      </c>
      <c r="J45" s="124" t="s">
        <v>203</v>
      </c>
      <c r="K4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C0041</v>
      </c>
      <c r="L4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D0041</v>
      </c>
      <c r="M4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E0041</v>
      </c>
      <c r="N45" s="122" t="s">
        <v>71</v>
      </c>
      <c r="O45" s="126" t="n">
        <v>1000000</v>
      </c>
      <c r="P45" s="121" t="s">
        <v>18</v>
      </c>
      <c r="Q45" s="121" t="s">
        <v>124</v>
      </c>
      <c r="R45" s="127"/>
      <c r="T45" s="118"/>
    </row>
    <row r="46" customFormat="false" ht="12.75" hidden="false" customHeight="true" outlineLevel="0" collapsed="false">
      <c r="B46" s="119" t="n">
        <f aca="false">ROW()-4</f>
        <v>42</v>
      </c>
      <c r="C46" s="120" t="n">
        <f aca="false">COUNTIFS($D$5:D46,D46)</f>
        <v>42</v>
      </c>
      <c r="D46" s="121" t="s">
        <v>121</v>
      </c>
      <c r="E46" s="122" t="s">
        <v>204</v>
      </c>
      <c r="F46" s="123"/>
      <c r="G46" s="121" t="s">
        <v>26</v>
      </c>
      <c r="H46" s="122"/>
      <c r="I46" s="122"/>
      <c r="J46" s="124"/>
      <c r="K46" s="122"/>
      <c r="L46" s="125"/>
      <c r="M4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E0042</v>
      </c>
      <c r="N46" s="122" t="s">
        <v>71</v>
      </c>
      <c r="O46" s="126" t="n">
        <v>1000000</v>
      </c>
      <c r="P46" s="121" t="s">
        <v>19</v>
      </c>
      <c r="Q46" s="122"/>
      <c r="R46" s="128" t="s">
        <v>61</v>
      </c>
      <c r="T46" s="118"/>
    </row>
    <row r="47" customFormat="false" ht="12.75" hidden="false" customHeight="true" outlineLevel="0" collapsed="false">
      <c r="B47" s="119" t="n">
        <f aca="false">ROW()-4</f>
        <v>43</v>
      </c>
      <c r="C47" s="120" t="n">
        <f aca="false">COUNTIFS($D$5:D47,D47)</f>
        <v>43</v>
      </c>
      <c r="D47" s="121" t="s">
        <v>121</v>
      </c>
      <c r="E47" s="122" t="s">
        <v>205</v>
      </c>
      <c r="F47" s="123" t="n">
        <v>43475</v>
      </c>
      <c r="G47" s="121" t="s">
        <v>26</v>
      </c>
      <c r="H4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A0043</v>
      </c>
      <c r="I4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B0043</v>
      </c>
      <c r="J47" s="124" t="s">
        <v>206</v>
      </c>
      <c r="K4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C0043</v>
      </c>
      <c r="L4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D0043</v>
      </c>
      <c r="M4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E0043</v>
      </c>
      <c r="N47" s="122" t="s">
        <v>71</v>
      </c>
      <c r="O47" s="126" t="n">
        <v>1000000</v>
      </c>
      <c r="P47" s="121" t="s">
        <v>18</v>
      </c>
      <c r="Q47" s="121" t="s">
        <v>124</v>
      </c>
      <c r="R47" s="127"/>
      <c r="T47" s="118"/>
    </row>
    <row r="48" customFormat="false" ht="12.75" hidden="false" customHeight="true" outlineLevel="0" collapsed="false">
      <c r="B48" s="119" t="n">
        <f aca="false">ROW()-4</f>
        <v>44</v>
      </c>
      <c r="C48" s="120" t="n">
        <f aca="false">COUNTIFS($D$5:D48,D48)</f>
        <v>44</v>
      </c>
      <c r="D48" s="121" t="s">
        <v>121</v>
      </c>
      <c r="E48" s="122" t="s">
        <v>207</v>
      </c>
      <c r="F48" s="123" t="n">
        <v>45805</v>
      </c>
      <c r="G48" s="121" t="s">
        <v>22</v>
      </c>
      <c r="H4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A0044</v>
      </c>
      <c r="I4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B0044</v>
      </c>
      <c r="J48" s="122" t="s">
        <v>208</v>
      </c>
      <c r="K4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C0044</v>
      </c>
      <c r="L4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D0044</v>
      </c>
      <c r="M4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E0044</v>
      </c>
      <c r="N48" s="122" t="s">
        <v>71</v>
      </c>
      <c r="O48" s="126" t="n">
        <v>1000000</v>
      </c>
      <c r="P48" s="121" t="s">
        <v>18</v>
      </c>
      <c r="Q48" s="121" t="s">
        <v>124</v>
      </c>
      <c r="R48" s="127"/>
      <c r="T48" s="118"/>
    </row>
    <row r="49" customFormat="false" ht="12.75" hidden="false" customHeight="true" outlineLevel="0" collapsed="false">
      <c r="B49" s="119" t="n">
        <f aca="false">ROW()-4</f>
        <v>45</v>
      </c>
      <c r="C49" s="120" t="n">
        <f aca="false">COUNTIFS($D$5:D49,D49)</f>
        <v>45</v>
      </c>
      <c r="D49" s="121" t="s">
        <v>121</v>
      </c>
      <c r="E49" s="122" t="s">
        <v>209</v>
      </c>
      <c r="F49" s="123"/>
      <c r="G49" s="121" t="s">
        <v>210</v>
      </c>
      <c r="H49" s="122"/>
      <c r="I49" s="122"/>
      <c r="J49" s="124"/>
      <c r="K49" s="122"/>
      <c r="L49" s="125"/>
      <c r="M4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E0045</v>
      </c>
      <c r="N49" s="122" t="s">
        <v>71</v>
      </c>
      <c r="O49" s="126" t="n">
        <v>1000000</v>
      </c>
      <c r="P49" s="121" t="s">
        <v>19</v>
      </c>
      <c r="Q49" s="122"/>
      <c r="R49" s="128" t="s">
        <v>59</v>
      </c>
      <c r="T49" s="118"/>
    </row>
    <row r="50" customFormat="false" ht="12.75" hidden="false" customHeight="true" outlineLevel="0" collapsed="false">
      <c r="B50" s="119" t="n">
        <f aca="false">ROW()-4</f>
        <v>46</v>
      </c>
      <c r="C50" s="120" t="n">
        <f aca="false">COUNTIFS($D$5:D50,D50)</f>
        <v>46</v>
      </c>
      <c r="D50" s="121" t="s">
        <v>121</v>
      </c>
      <c r="E50" s="122" t="s">
        <v>211</v>
      </c>
      <c r="F50" s="123" t="n">
        <v>43486</v>
      </c>
      <c r="G50" s="121" t="s">
        <v>28</v>
      </c>
      <c r="H5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A0046</v>
      </c>
      <c r="I5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B0046</v>
      </c>
      <c r="J50" s="124" t="s">
        <v>212</v>
      </c>
      <c r="K5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C0046</v>
      </c>
      <c r="L5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D0046</v>
      </c>
      <c r="M5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E0046</v>
      </c>
      <c r="N50" s="122" t="s">
        <v>71</v>
      </c>
      <c r="O50" s="126" t="n">
        <v>1000000</v>
      </c>
      <c r="P50" s="121" t="s">
        <v>18</v>
      </c>
      <c r="Q50" s="121" t="s">
        <v>124</v>
      </c>
      <c r="R50" s="127"/>
      <c r="T50" s="118"/>
    </row>
    <row r="51" customFormat="false" ht="12.75" hidden="false" customHeight="true" outlineLevel="0" collapsed="false">
      <c r="B51" s="119" t="n">
        <f aca="false">ROW()-4</f>
        <v>47</v>
      </c>
      <c r="C51" s="120" t="n">
        <f aca="false">COUNTIFS($D$5:D51,D51)</f>
        <v>47</v>
      </c>
      <c r="D51" s="121" t="s">
        <v>121</v>
      </c>
      <c r="E51" s="122" t="s">
        <v>213</v>
      </c>
      <c r="F51" s="123" t="n">
        <v>44144</v>
      </c>
      <c r="G51" s="121" t="s">
        <v>24</v>
      </c>
      <c r="H5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A0047</v>
      </c>
      <c r="I5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B0047</v>
      </c>
      <c r="J51" s="124" t="s">
        <v>214</v>
      </c>
      <c r="K5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C0047</v>
      </c>
      <c r="L5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D0047</v>
      </c>
      <c r="M5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E0047</v>
      </c>
      <c r="N51" s="122" t="s">
        <v>71</v>
      </c>
      <c r="O51" s="126" t="n">
        <v>1000000</v>
      </c>
      <c r="P51" s="121" t="s">
        <v>18</v>
      </c>
      <c r="Q51" s="121" t="s">
        <v>124</v>
      </c>
      <c r="R51" s="127"/>
      <c r="T51" s="118"/>
    </row>
    <row r="52" customFormat="false" ht="12.75" hidden="false" customHeight="true" outlineLevel="0" collapsed="false">
      <c r="B52" s="119" t="n">
        <f aca="false">ROW()-4</f>
        <v>48</v>
      </c>
      <c r="C52" s="120" t="n">
        <f aca="false">COUNTIFS($D$5:D52,D52)</f>
        <v>48</v>
      </c>
      <c r="D52" s="121" t="s">
        <v>121</v>
      </c>
      <c r="E52" s="122" t="s">
        <v>215</v>
      </c>
      <c r="F52" s="123" t="n">
        <v>43475</v>
      </c>
      <c r="G52" s="121" t="s">
        <v>26</v>
      </c>
      <c r="H5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A0048</v>
      </c>
      <c r="I5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B0048</v>
      </c>
      <c r="J52" s="124" t="s">
        <v>216</v>
      </c>
      <c r="K5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C0048</v>
      </c>
      <c r="L5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D0048</v>
      </c>
      <c r="M5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E0048</v>
      </c>
      <c r="N52" s="122" t="s">
        <v>71</v>
      </c>
      <c r="O52" s="126" t="n">
        <v>1000000</v>
      </c>
      <c r="P52" s="121" t="s">
        <v>18</v>
      </c>
      <c r="Q52" s="121" t="s">
        <v>124</v>
      </c>
      <c r="R52" s="127"/>
      <c r="T52" s="118"/>
    </row>
    <row r="53" customFormat="false" ht="12.75" hidden="false" customHeight="true" outlineLevel="0" collapsed="false">
      <c r="B53" s="119" t="n">
        <f aca="false">ROW()-4</f>
        <v>49</v>
      </c>
      <c r="C53" s="120" t="n">
        <f aca="false">COUNTIFS($D$5:D53,D53)</f>
        <v>49</v>
      </c>
      <c r="D53" s="121" t="s">
        <v>121</v>
      </c>
      <c r="E53" s="122" t="s">
        <v>217</v>
      </c>
      <c r="F53" s="123" t="n">
        <v>44131</v>
      </c>
      <c r="G53" s="121" t="s">
        <v>24</v>
      </c>
      <c r="H5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A0049</v>
      </c>
      <c r="I5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B0049</v>
      </c>
      <c r="J53" s="124" t="s">
        <v>218</v>
      </c>
      <c r="K5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C0049</v>
      </c>
      <c r="L5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D0049</v>
      </c>
      <c r="M5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E0049</v>
      </c>
      <c r="N53" s="122" t="s">
        <v>71</v>
      </c>
      <c r="O53" s="126" t="n">
        <v>1000000</v>
      </c>
      <c r="P53" s="121" t="s">
        <v>18</v>
      </c>
      <c r="Q53" s="121" t="s">
        <v>124</v>
      </c>
      <c r="R53" s="127"/>
      <c r="T53" s="118"/>
    </row>
    <row r="54" customFormat="false" ht="12.75" hidden="false" customHeight="true" outlineLevel="0" collapsed="false">
      <c r="B54" s="119" t="n">
        <f aca="false">ROW()-4</f>
        <v>50</v>
      </c>
      <c r="C54" s="120" t="n">
        <f aca="false">COUNTIFS($D$5:D54,D54)</f>
        <v>50</v>
      </c>
      <c r="D54" s="121" t="s">
        <v>121</v>
      </c>
      <c r="E54" s="122" t="s">
        <v>219</v>
      </c>
      <c r="F54" s="123" t="n">
        <v>43783</v>
      </c>
      <c r="G54" s="121" t="s">
        <v>28</v>
      </c>
      <c r="H5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A0050</v>
      </c>
      <c r="I5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B0050</v>
      </c>
      <c r="J54" s="124" t="s">
        <v>220</v>
      </c>
      <c r="K5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C0050</v>
      </c>
      <c r="L5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D0050</v>
      </c>
      <c r="M5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E0050</v>
      </c>
      <c r="N54" s="122" t="s">
        <v>71</v>
      </c>
      <c r="O54" s="126" t="n">
        <v>1000000</v>
      </c>
      <c r="P54" s="121" t="s">
        <v>18</v>
      </c>
      <c r="Q54" s="121" t="s">
        <v>124</v>
      </c>
      <c r="R54" s="127"/>
      <c r="T54" s="118"/>
    </row>
    <row r="55" customFormat="false" ht="12.75" hidden="false" customHeight="true" outlineLevel="0" collapsed="false">
      <c r="B55" s="119" t="n">
        <f aca="false">ROW()-4</f>
        <v>51</v>
      </c>
      <c r="C55" s="120" t="n">
        <f aca="false">COUNTIFS($D$5:D55,D55)</f>
        <v>51</v>
      </c>
      <c r="D55" s="121" t="s">
        <v>121</v>
      </c>
      <c r="E55" s="122" t="s">
        <v>221</v>
      </c>
      <c r="F55" s="123" t="n">
        <v>44133</v>
      </c>
      <c r="G55" s="121" t="s">
        <v>24</v>
      </c>
      <c r="H5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A0051</v>
      </c>
      <c r="I5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B0051</v>
      </c>
      <c r="J55" s="124" t="s">
        <v>222</v>
      </c>
      <c r="K5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C0051</v>
      </c>
      <c r="L5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D0051</v>
      </c>
      <c r="M5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E0051</v>
      </c>
      <c r="N55" s="122" t="s">
        <v>71</v>
      </c>
      <c r="O55" s="126" t="n">
        <v>1000000</v>
      </c>
      <c r="P55" s="121" t="s">
        <v>18</v>
      </c>
      <c r="Q55" s="121" t="s">
        <v>124</v>
      </c>
      <c r="R55" s="127"/>
      <c r="T55" s="118"/>
    </row>
    <row r="56" s="118" customFormat="true" ht="12.75" hidden="false" customHeight="true" outlineLevel="0" collapsed="false">
      <c r="A56" s="98"/>
      <c r="B56" s="119" t="n">
        <f aca="false">ROW()-4</f>
        <v>52</v>
      </c>
      <c r="C56" s="120" t="n">
        <f aca="false">COUNTIFS($D$5:D56,D56)</f>
        <v>52</v>
      </c>
      <c r="D56" s="121" t="s">
        <v>121</v>
      </c>
      <c r="E56" s="122" t="s">
        <v>223</v>
      </c>
      <c r="F56" s="123" t="n">
        <v>43460</v>
      </c>
      <c r="G56" s="121" t="s">
        <v>26</v>
      </c>
      <c r="H5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A0052</v>
      </c>
      <c r="I5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B0052</v>
      </c>
      <c r="J56" s="124" t="s">
        <v>224</v>
      </c>
      <c r="K5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C0052</v>
      </c>
      <c r="L5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D0052</v>
      </c>
      <c r="M5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E0052</v>
      </c>
      <c r="N56" s="122" t="s">
        <v>71</v>
      </c>
      <c r="O56" s="126" t="n">
        <v>1000000</v>
      </c>
      <c r="P56" s="121" t="s">
        <v>18</v>
      </c>
      <c r="Q56" s="121" t="s">
        <v>124</v>
      </c>
      <c r="R56" s="127"/>
    </row>
    <row r="57" customFormat="false" ht="12.75" hidden="false" customHeight="true" outlineLevel="0" collapsed="false">
      <c r="B57" s="119" t="n">
        <f aca="false">ROW()-4</f>
        <v>53</v>
      </c>
      <c r="C57" s="120" t="n">
        <f aca="false">COUNTIFS($D$5:D57,D57)</f>
        <v>53</v>
      </c>
      <c r="D57" s="121" t="s">
        <v>121</v>
      </c>
      <c r="E57" s="122" t="s">
        <v>225</v>
      </c>
      <c r="F57" s="123" t="n">
        <v>45862</v>
      </c>
      <c r="G57" s="121" t="s">
        <v>26</v>
      </c>
      <c r="H5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A0053</v>
      </c>
      <c r="I5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B0053</v>
      </c>
      <c r="J57" s="122" t="s">
        <v>226</v>
      </c>
      <c r="K5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C0053</v>
      </c>
      <c r="L5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D0053</v>
      </c>
      <c r="M5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E0053</v>
      </c>
      <c r="N57" s="122" t="s">
        <v>71</v>
      </c>
      <c r="O57" s="126" t="n">
        <v>1000000</v>
      </c>
      <c r="P57" s="121" t="s">
        <v>18</v>
      </c>
      <c r="Q57" s="121" t="s">
        <v>124</v>
      </c>
      <c r="R57" s="127"/>
      <c r="T57" s="118"/>
    </row>
    <row r="58" customFormat="false" ht="12.75" hidden="false" customHeight="true" outlineLevel="0" collapsed="false">
      <c r="B58" s="119" t="n">
        <f aca="false">ROW()-4</f>
        <v>54</v>
      </c>
      <c r="C58" s="120" t="n">
        <f aca="false">COUNTIFS($D$5:D58,D58)</f>
        <v>54</v>
      </c>
      <c r="D58" s="121" t="s">
        <v>121</v>
      </c>
      <c r="E58" s="122" t="s">
        <v>227</v>
      </c>
      <c r="F58" s="123" t="n">
        <v>44088</v>
      </c>
      <c r="G58" s="121" t="s">
        <v>22</v>
      </c>
      <c r="H5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A0054</v>
      </c>
      <c r="I5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B0054</v>
      </c>
      <c r="J58" s="124" t="s">
        <v>228</v>
      </c>
      <c r="K5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C0054</v>
      </c>
      <c r="L5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D0054</v>
      </c>
      <c r="M5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E0054</v>
      </c>
      <c r="N58" s="122" t="s">
        <v>71</v>
      </c>
      <c r="O58" s="126" t="n">
        <v>1000000</v>
      </c>
      <c r="P58" s="121" t="s">
        <v>18</v>
      </c>
      <c r="Q58" s="121" t="s">
        <v>124</v>
      </c>
      <c r="R58" s="127"/>
      <c r="T58" s="118"/>
    </row>
    <row r="59" customFormat="false" ht="12.75" hidden="false" customHeight="true" outlineLevel="0" collapsed="false">
      <c r="B59" s="119" t="n">
        <f aca="false">ROW()-4</f>
        <v>55</v>
      </c>
      <c r="C59" s="120" t="n">
        <f aca="false">COUNTIFS($D$5:D59,D59)</f>
        <v>55</v>
      </c>
      <c r="D59" s="121" t="s">
        <v>121</v>
      </c>
      <c r="E59" s="122" t="s">
        <v>229</v>
      </c>
      <c r="F59" s="123" t="n">
        <v>44004</v>
      </c>
      <c r="G59" s="121" t="s">
        <v>22</v>
      </c>
      <c r="H5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A0055</v>
      </c>
      <c r="I5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B0055</v>
      </c>
      <c r="J59" s="124" t="s">
        <v>230</v>
      </c>
      <c r="K5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C0055</v>
      </c>
      <c r="L5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D0055</v>
      </c>
      <c r="M5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E0055</v>
      </c>
      <c r="N59" s="122" t="s">
        <v>71</v>
      </c>
      <c r="O59" s="126" t="n">
        <v>1000000</v>
      </c>
      <c r="P59" s="121" t="s">
        <v>18</v>
      </c>
      <c r="Q59" s="121" t="s">
        <v>124</v>
      </c>
      <c r="R59" s="127"/>
      <c r="T59" s="118"/>
    </row>
    <row r="60" customFormat="false" ht="12.75" hidden="false" customHeight="true" outlineLevel="0" collapsed="false">
      <c r="B60" s="119" t="n">
        <f aca="false">ROW()-4</f>
        <v>56</v>
      </c>
      <c r="C60" s="120" t="n">
        <f aca="false">COUNTIFS($D$5:D60,D60)</f>
        <v>56</v>
      </c>
      <c r="D60" s="121" t="s">
        <v>121</v>
      </c>
      <c r="E60" s="122" t="s">
        <v>231</v>
      </c>
      <c r="F60" s="123" t="n">
        <v>44935</v>
      </c>
      <c r="G60" s="121" t="s">
        <v>24</v>
      </c>
      <c r="H6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A0056</v>
      </c>
      <c r="I6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B0056</v>
      </c>
      <c r="J60" s="124" t="s">
        <v>232</v>
      </c>
      <c r="K6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C0056</v>
      </c>
      <c r="L6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D0056</v>
      </c>
      <c r="M6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E0056</v>
      </c>
      <c r="N60" s="122" t="s">
        <v>71</v>
      </c>
      <c r="O60" s="126" t="n">
        <v>1000000</v>
      </c>
      <c r="P60" s="121" t="s">
        <v>18</v>
      </c>
      <c r="Q60" s="121" t="s">
        <v>124</v>
      </c>
      <c r="R60" s="127"/>
      <c r="T60" s="118"/>
    </row>
    <row r="61" customFormat="false" ht="12.75" hidden="false" customHeight="true" outlineLevel="0" collapsed="false">
      <c r="B61" s="119" t="n">
        <f aca="false">ROW()-4</f>
        <v>57</v>
      </c>
      <c r="C61" s="120" t="n">
        <f aca="false">COUNTIFS($D$5:D61,D61)</f>
        <v>57</v>
      </c>
      <c r="D61" s="121" t="s">
        <v>121</v>
      </c>
      <c r="E61" s="122" t="s">
        <v>233</v>
      </c>
      <c r="F61" s="123" t="n">
        <v>43774</v>
      </c>
      <c r="G61" s="121" t="s">
        <v>28</v>
      </c>
      <c r="H6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A0057</v>
      </c>
      <c r="I6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B0057</v>
      </c>
      <c r="J61" s="124" t="s">
        <v>234</v>
      </c>
      <c r="K6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C0057</v>
      </c>
      <c r="L6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D0057</v>
      </c>
      <c r="M6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E0057</v>
      </c>
      <c r="N61" s="122" t="s">
        <v>71</v>
      </c>
      <c r="O61" s="126" t="n">
        <v>1000000</v>
      </c>
      <c r="P61" s="121" t="s">
        <v>18</v>
      </c>
      <c r="Q61" s="121" t="s">
        <v>124</v>
      </c>
      <c r="R61" s="127"/>
      <c r="T61" s="118"/>
    </row>
    <row r="62" customFormat="false" ht="12.75" hidden="false" customHeight="true" outlineLevel="0" collapsed="false">
      <c r="B62" s="119" t="n">
        <f aca="false">ROW()-4</f>
        <v>58</v>
      </c>
      <c r="C62" s="120" t="n">
        <f aca="false">COUNTIFS($D$5:D62,D62)</f>
        <v>58</v>
      </c>
      <c r="D62" s="121" t="s">
        <v>121</v>
      </c>
      <c r="E62" s="122" t="s">
        <v>235</v>
      </c>
      <c r="F62" s="123" t="n">
        <v>44111</v>
      </c>
      <c r="G62" s="121" t="s">
        <v>26</v>
      </c>
      <c r="H6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A0058</v>
      </c>
      <c r="I6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B0058</v>
      </c>
      <c r="J62" s="124" t="s">
        <v>236</v>
      </c>
      <c r="K6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C0058</v>
      </c>
      <c r="L6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D0058</v>
      </c>
      <c r="M6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E0058</v>
      </c>
      <c r="N62" s="122" t="s">
        <v>71</v>
      </c>
      <c r="O62" s="126" t="n">
        <v>1000000</v>
      </c>
      <c r="P62" s="121" t="s">
        <v>18</v>
      </c>
      <c r="Q62" s="121" t="s">
        <v>124</v>
      </c>
      <c r="R62" s="127"/>
      <c r="T62" s="118"/>
    </row>
    <row r="63" customFormat="false" ht="12.75" hidden="false" customHeight="true" outlineLevel="0" collapsed="false">
      <c r="B63" s="119" t="n">
        <f aca="false">ROW()-4</f>
        <v>59</v>
      </c>
      <c r="C63" s="120" t="n">
        <f aca="false">COUNTIFS($D$5:D63,D63)</f>
        <v>59</v>
      </c>
      <c r="D63" s="121" t="s">
        <v>121</v>
      </c>
      <c r="E63" s="122" t="s">
        <v>237</v>
      </c>
      <c r="F63" s="123" t="n">
        <v>44225</v>
      </c>
      <c r="G63" s="121" t="s">
        <v>26</v>
      </c>
      <c r="H6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A0059</v>
      </c>
      <c r="I6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B0059</v>
      </c>
      <c r="J63" s="124" t="s">
        <v>238</v>
      </c>
      <c r="K6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C0059</v>
      </c>
      <c r="L6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D0059</v>
      </c>
      <c r="M6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E0059</v>
      </c>
      <c r="N63" s="122" t="s">
        <v>71</v>
      </c>
      <c r="O63" s="126" t="n">
        <v>1000000</v>
      </c>
      <c r="P63" s="121" t="s">
        <v>18</v>
      </c>
      <c r="Q63" s="121" t="s">
        <v>124</v>
      </c>
      <c r="R63" s="127"/>
      <c r="T63" s="118"/>
    </row>
    <row r="64" customFormat="false" ht="12.75" hidden="false" customHeight="true" outlineLevel="0" collapsed="false">
      <c r="B64" s="119" t="n">
        <f aca="false">ROW()-4</f>
        <v>60</v>
      </c>
      <c r="C64" s="120" t="n">
        <f aca="false">COUNTIFS($D$5:D64,D64)</f>
        <v>60</v>
      </c>
      <c r="D64" s="121" t="s">
        <v>121</v>
      </c>
      <c r="E64" s="122" t="s">
        <v>239</v>
      </c>
      <c r="F64" s="123" t="n">
        <v>44228</v>
      </c>
      <c r="G64" s="121" t="s">
        <v>26</v>
      </c>
      <c r="H6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A0060</v>
      </c>
      <c r="I6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B0060</v>
      </c>
      <c r="J64" s="124" t="s">
        <v>240</v>
      </c>
      <c r="K6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C0060</v>
      </c>
      <c r="L6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D0060</v>
      </c>
      <c r="M6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E0060</v>
      </c>
      <c r="N64" s="122" t="s">
        <v>71</v>
      </c>
      <c r="O64" s="126" t="n">
        <v>1000000</v>
      </c>
      <c r="P64" s="121" t="s">
        <v>18</v>
      </c>
      <c r="Q64" s="121" t="s">
        <v>124</v>
      </c>
      <c r="R64" s="127"/>
      <c r="T64" s="118"/>
    </row>
    <row r="65" customFormat="false" ht="12.75" hidden="false" customHeight="true" outlineLevel="0" collapsed="false">
      <c r="B65" s="119" t="n">
        <f aca="false">ROW()-4</f>
        <v>61</v>
      </c>
      <c r="C65" s="120" t="n">
        <f aca="false">COUNTIFS($D$5:D65,D65)</f>
        <v>61</v>
      </c>
      <c r="D65" s="121" t="s">
        <v>121</v>
      </c>
      <c r="E65" s="122" t="s">
        <v>241</v>
      </c>
      <c r="F65" s="123" t="n">
        <v>44258</v>
      </c>
      <c r="G65" s="121" t="s">
        <v>30</v>
      </c>
      <c r="H6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A0061</v>
      </c>
      <c r="I6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B0061</v>
      </c>
      <c r="J65" s="124" t="s">
        <v>242</v>
      </c>
      <c r="K6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C0061</v>
      </c>
      <c r="L6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D0061</v>
      </c>
      <c r="M6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E0061</v>
      </c>
      <c r="N65" s="122" t="s">
        <v>71</v>
      </c>
      <c r="O65" s="126" t="n">
        <v>1000000</v>
      </c>
      <c r="P65" s="121" t="s">
        <v>18</v>
      </c>
      <c r="Q65" s="121" t="s">
        <v>124</v>
      </c>
      <c r="R65" s="127"/>
      <c r="T65" s="118"/>
    </row>
    <row r="66" customFormat="false" ht="12.75" hidden="false" customHeight="true" outlineLevel="0" collapsed="false">
      <c r="B66" s="119" t="n">
        <f aca="false">ROW()-4</f>
        <v>62</v>
      </c>
      <c r="C66" s="120" t="n">
        <f aca="false">COUNTIFS($D$5:D66,D66)</f>
        <v>62</v>
      </c>
      <c r="D66" s="121" t="s">
        <v>121</v>
      </c>
      <c r="E66" s="122" t="s">
        <v>243</v>
      </c>
      <c r="F66" s="123" t="n">
        <v>45163</v>
      </c>
      <c r="G66" s="121" t="s">
        <v>24</v>
      </c>
      <c r="H6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A0062</v>
      </c>
      <c r="I6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B0062</v>
      </c>
      <c r="J66" s="124" t="s">
        <v>244</v>
      </c>
      <c r="K6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C0062</v>
      </c>
      <c r="L6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D0062</v>
      </c>
      <c r="M6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E0062</v>
      </c>
      <c r="N66" s="122" t="s">
        <v>71</v>
      </c>
      <c r="O66" s="126" t="n">
        <v>1000000</v>
      </c>
      <c r="P66" s="121" t="s">
        <v>18</v>
      </c>
      <c r="Q66" s="121" t="s">
        <v>124</v>
      </c>
      <c r="R66" s="127"/>
      <c r="T66" s="118"/>
    </row>
    <row r="67" customFormat="false" ht="12.75" hidden="false" customHeight="true" outlineLevel="0" collapsed="false">
      <c r="B67" s="119" t="n">
        <f aca="false">ROW()-4</f>
        <v>63</v>
      </c>
      <c r="C67" s="120" t="n">
        <f aca="false">COUNTIFS($D$5:D67,D67)</f>
        <v>63</v>
      </c>
      <c r="D67" s="121" t="s">
        <v>121</v>
      </c>
      <c r="E67" s="122" t="s">
        <v>245</v>
      </c>
      <c r="F67" s="123" t="n">
        <v>44005</v>
      </c>
      <c r="G67" s="121" t="s">
        <v>28</v>
      </c>
      <c r="H6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A0063</v>
      </c>
      <c r="I6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B0063</v>
      </c>
      <c r="J67" s="124" t="s">
        <v>246</v>
      </c>
      <c r="K6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C0063</v>
      </c>
      <c r="L6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D0063</v>
      </c>
      <c r="M6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E0063</v>
      </c>
      <c r="N67" s="122" t="s">
        <v>71</v>
      </c>
      <c r="O67" s="126" t="n">
        <v>1000000</v>
      </c>
      <c r="P67" s="121" t="s">
        <v>18</v>
      </c>
      <c r="Q67" s="121" t="s">
        <v>124</v>
      </c>
      <c r="R67" s="127"/>
      <c r="T67" s="118"/>
    </row>
    <row r="68" customFormat="false" ht="12.75" hidden="false" customHeight="true" outlineLevel="0" collapsed="false">
      <c r="B68" s="119" t="n">
        <f aca="false">ROW()-4</f>
        <v>64</v>
      </c>
      <c r="C68" s="120" t="n">
        <f aca="false">COUNTIFS($D$5:D68,D68)</f>
        <v>64</v>
      </c>
      <c r="D68" s="121" t="s">
        <v>121</v>
      </c>
      <c r="E68" s="122" t="s">
        <v>247</v>
      </c>
      <c r="F68" s="123" t="n">
        <v>43971</v>
      </c>
      <c r="G68" s="121" t="s">
        <v>22</v>
      </c>
      <c r="H6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A0064</v>
      </c>
      <c r="I6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B0064</v>
      </c>
      <c r="J68" s="124" t="s">
        <v>248</v>
      </c>
      <c r="K6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C0064</v>
      </c>
      <c r="L6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D0064</v>
      </c>
      <c r="M6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E0064</v>
      </c>
      <c r="N68" s="122" t="s">
        <v>71</v>
      </c>
      <c r="O68" s="126" t="n">
        <v>1000000</v>
      </c>
      <c r="P68" s="121" t="s">
        <v>18</v>
      </c>
      <c r="Q68" s="121" t="s">
        <v>124</v>
      </c>
      <c r="R68" s="127"/>
      <c r="T68" s="118"/>
    </row>
    <row r="69" customFormat="false" ht="12.75" hidden="false" customHeight="true" outlineLevel="0" collapsed="false">
      <c r="B69" s="119" t="n">
        <f aca="false">ROW()-4</f>
        <v>65</v>
      </c>
      <c r="C69" s="120" t="n">
        <f aca="false">COUNTIFS($D$5:D69,D69)</f>
        <v>65</v>
      </c>
      <c r="D69" s="121" t="s">
        <v>121</v>
      </c>
      <c r="E69" s="122" t="s">
        <v>249</v>
      </c>
      <c r="F69" s="123" t="n">
        <v>43474</v>
      </c>
      <c r="G69" s="121" t="s">
        <v>26</v>
      </c>
      <c r="H6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A0065</v>
      </c>
      <c r="I6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B0065</v>
      </c>
      <c r="J69" s="124" t="s">
        <v>250</v>
      </c>
      <c r="K6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C0065</v>
      </c>
      <c r="L6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D0065</v>
      </c>
      <c r="M6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E0065</v>
      </c>
      <c r="N69" s="122" t="s">
        <v>71</v>
      </c>
      <c r="O69" s="126" t="n">
        <v>1000000</v>
      </c>
      <c r="P69" s="121" t="s">
        <v>18</v>
      </c>
      <c r="Q69" s="121" t="s">
        <v>124</v>
      </c>
      <c r="R69" s="127"/>
      <c r="T69" s="118"/>
    </row>
    <row r="70" customFormat="false" ht="12.75" hidden="false" customHeight="true" outlineLevel="0" collapsed="false">
      <c r="B70" s="119" t="n">
        <f aca="false">ROW()-4</f>
        <v>66</v>
      </c>
      <c r="C70" s="120" t="n">
        <f aca="false">COUNTIFS($D$5:D70,D70)</f>
        <v>66</v>
      </c>
      <c r="D70" s="121" t="s">
        <v>121</v>
      </c>
      <c r="E70" s="122" t="s">
        <v>251</v>
      </c>
      <c r="F70" s="123" t="n">
        <v>44208</v>
      </c>
      <c r="G70" s="121" t="s">
        <v>26</v>
      </c>
      <c r="H7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A0066</v>
      </c>
      <c r="I7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B0066</v>
      </c>
      <c r="J70" s="124" t="s">
        <v>252</v>
      </c>
      <c r="K7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C0066</v>
      </c>
      <c r="L7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D0066</v>
      </c>
      <c r="M7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E0066</v>
      </c>
      <c r="N70" s="122" t="s">
        <v>71</v>
      </c>
      <c r="O70" s="126" t="n">
        <v>1000000</v>
      </c>
      <c r="P70" s="121" t="s">
        <v>18</v>
      </c>
      <c r="Q70" s="121" t="s">
        <v>124</v>
      </c>
      <c r="R70" s="127"/>
      <c r="T70" s="118"/>
    </row>
    <row r="71" customFormat="false" ht="12.75" hidden="false" customHeight="true" outlineLevel="0" collapsed="false">
      <c r="B71" s="119" t="n">
        <f aca="false">ROW()-4</f>
        <v>67</v>
      </c>
      <c r="C71" s="120" t="n">
        <f aca="false">COUNTIFS($D$5:D71,D71)</f>
        <v>67</v>
      </c>
      <c r="D71" s="121" t="s">
        <v>121</v>
      </c>
      <c r="E71" s="122" t="s">
        <v>253</v>
      </c>
      <c r="F71" s="123" t="n">
        <v>43599</v>
      </c>
      <c r="G71" s="121" t="s">
        <v>28</v>
      </c>
      <c r="H7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A0067</v>
      </c>
      <c r="I7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B0067</v>
      </c>
      <c r="J71" s="124" t="s">
        <v>254</v>
      </c>
      <c r="K7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C0067</v>
      </c>
      <c r="L7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D0067</v>
      </c>
      <c r="M7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E0067</v>
      </c>
      <c r="N71" s="122" t="s">
        <v>71</v>
      </c>
      <c r="O71" s="126" t="n">
        <v>1000000</v>
      </c>
      <c r="P71" s="121" t="s">
        <v>18</v>
      </c>
      <c r="Q71" s="121" t="s">
        <v>124</v>
      </c>
      <c r="R71" s="127"/>
      <c r="T71" s="118"/>
    </row>
    <row r="72" customFormat="false" ht="12.75" hidden="false" customHeight="true" outlineLevel="0" collapsed="false">
      <c r="B72" s="119" t="n">
        <f aca="false">ROW()-4</f>
        <v>68</v>
      </c>
      <c r="C72" s="120" t="n">
        <f aca="false">COUNTIFS($D$5:D72,D72)</f>
        <v>68</v>
      </c>
      <c r="D72" s="121" t="s">
        <v>121</v>
      </c>
      <c r="E72" s="122" t="s">
        <v>255</v>
      </c>
      <c r="F72" s="123" t="n">
        <v>44140</v>
      </c>
      <c r="G72" s="121" t="s">
        <v>22</v>
      </c>
      <c r="H7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A0068</v>
      </c>
      <c r="I7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B0068</v>
      </c>
      <c r="J72" s="124" t="s">
        <v>256</v>
      </c>
      <c r="K7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C0068</v>
      </c>
      <c r="L7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D0068</v>
      </c>
      <c r="M7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E0068</v>
      </c>
      <c r="N72" s="122" t="s">
        <v>71</v>
      </c>
      <c r="O72" s="126" t="n">
        <v>1000000</v>
      </c>
      <c r="P72" s="121" t="s">
        <v>18</v>
      </c>
      <c r="Q72" s="121" t="s">
        <v>124</v>
      </c>
      <c r="R72" s="127"/>
      <c r="T72" s="118"/>
    </row>
    <row r="73" customFormat="false" ht="12.75" hidden="false" customHeight="true" outlineLevel="0" collapsed="false">
      <c r="B73" s="119" t="n">
        <f aca="false">ROW()-4</f>
        <v>69</v>
      </c>
      <c r="C73" s="120" t="n">
        <f aca="false">COUNTIFS($D$5:D73,D73)</f>
        <v>69</v>
      </c>
      <c r="D73" s="121" t="s">
        <v>121</v>
      </c>
      <c r="E73" s="122" t="s">
        <v>257</v>
      </c>
      <c r="F73" s="123" t="n">
        <v>44145</v>
      </c>
      <c r="G73" s="121" t="s">
        <v>22</v>
      </c>
      <c r="H7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A0069</v>
      </c>
      <c r="I7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B0069</v>
      </c>
      <c r="J73" s="124" t="s">
        <v>258</v>
      </c>
      <c r="K7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C0069</v>
      </c>
      <c r="L7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D0069</v>
      </c>
      <c r="M7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E0069</v>
      </c>
      <c r="N73" s="122" t="s">
        <v>71</v>
      </c>
      <c r="O73" s="126" t="n">
        <v>1000000</v>
      </c>
      <c r="P73" s="121" t="s">
        <v>18</v>
      </c>
      <c r="Q73" s="121" t="s">
        <v>124</v>
      </c>
      <c r="R73" s="127"/>
      <c r="T73" s="118"/>
    </row>
    <row r="74" customFormat="false" ht="12.75" hidden="false" customHeight="true" outlineLevel="0" collapsed="false">
      <c r="B74" s="119" t="n">
        <f aca="false">ROW()-4</f>
        <v>70</v>
      </c>
      <c r="C74" s="120" t="n">
        <f aca="false">COUNTIFS($D$5:D74,D74)</f>
        <v>70</v>
      </c>
      <c r="D74" s="121" t="s">
        <v>121</v>
      </c>
      <c r="E74" s="122" t="s">
        <v>259</v>
      </c>
      <c r="F74" s="123" t="n">
        <v>44741</v>
      </c>
      <c r="G74" s="121" t="s">
        <v>26</v>
      </c>
      <c r="H7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A0070</v>
      </c>
      <c r="I7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B0070</v>
      </c>
      <c r="J74" s="124" t="s">
        <v>260</v>
      </c>
      <c r="K7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C0070</v>
      </c>
      <c r="L7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D0070</v>
      </c>
      <c r="M7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E0070</v>
      </c>
      <c r="N74" s="122" t="s">
        <v>71</v>
      </c>
      <c r="O74" s="126" t="n">
        <v>1000000</v>
      </c>
      <c r="P74" s="121" t="s">
        <v>18</v>
      </c>
      <c r="Q74" s="121" t="s">
        <v>124</v>
      </c>
      <c r="R74" s="127"/>
      <c r="T74" s="118"/>
    </row>
    <row r="75" customFormat="false" ht="12.75" hidden="false" customHeight="true" outlineLevel="0" collapsed="false">
      <c r="B75" s="119" t="n">
        <f aca="false">ROW()-4</f>
        <v>71</v>
      </c>
      <c r="C75" s="120" t="n">
        <f aca="false">COUNTIFS($D$5:D75,D75)</f>
        <v>71</v>
      </c>
      <c r="D75" s="121" t="s">
        <v>121</v>
      </c>
      <c r="E75" s="122" t="s">
        <v>261</v>
      </c>
      <c r="F75" s="123" t="n">
        <v>44133</v>
      </c>
      <c r="G75" s="121" t="s">
        <v>26</v>
      </c>
      <c r="H7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A0071</v>
      </c>
      <c r="I7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B0071</v>
      </c>
      <c r="J75" s="124" t="s">
        <v>262</v>
      </c>
      <c r="K7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C0071</v>
      </c>
      <c r="L7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D0071</v>
      </c>
      <c r="M7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E0071</v>
      </c>
      <c r="N75" s="122" t="s">
        <v>71</v>
      </c>
      <c r="O75" s="126" t="n">
        <v>1000000</v>
      </c>
      <c r="P75" s="121" t="s">
        <v>18</v>
      </c>
      <c r="Q75" s="121" t="s">
        <v>124</v>
      </c>
      <c r="R75" s="127"/>
      <c r="T75" s="118"/>
    </row>
    <row r="76" customFormat="false" ht="12.75" hidden="false" customHeight="true" outlineLevel="0" collapsed="false">
      <c r="B76" s="119" t="n">
        <f aca="false">ROW()-4</f>
        <v>72</v>
      </c>
      <c r="C76" s="120" t="n">
        <f aca="false">COUNTIFS($D$5:D76,D76)</f>
        <v>72</v>
      </c>
      <c r="D76" s="121" t="s">
        <v>121</v>
      </c>
      <c r="E76" s="122" t="s">
        <v>263</v>
      </c>
      <c r="F76" s="123" t="n">
        <v>44846</v>
      </c>
      <c r="G76" s="121" t="s">
        <v>24</v>
      </c>
      <c r="H7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A0072</v>
      </c>
      <c r="I7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B0072</v>
      </c>
      <c r="J76" s="124" t="s">
        <v>264</v>
      </c>
      <c r="K7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C0072</v>
      </c>
      <c r="L7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D0072</v>
      </c>
      <c r="M7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E0072</v>
      </c>
      <c r="N76" s="122" t="s">
        <v>71</v>
      </c>
      <c r="O76" s="126" t="n">
        <v>1000000</v>
      </c>
      <c r="P76" s="121" t="s">
        <v>18</v>
      </c>
      <c r="Q76" s="121" t="s">
        <v>124</v>
      </c>
      <c r="R76" s="127"/>
      <c r="T76" s="118"/>
    </row>
    <row r="77" customFormat="false" ht="12.75" hidden="false" customHeight="true" outlineLevel="0" collapsed="false">
      <c r="B77" s="119" t="n">
        <f aca="false">ROW()-4</f>
        <v>73</v>
      </c>
      <c r="C77" s="120" t="n">
        <f aca="false">COUNTIFS($D$5:D77,D77)</f>
        <v>73</v>
      </c>
      <c r="D77" s="121" t="s">
        <v>121</v>
      </c>
      <c r="E77" s="122" t="s">
        <v>265</v>
      </c>
      <c r="F77" s="123"/>
      <c r="G77" s="121" t="s">
        <v>28</v>
      </c>
      <c r="H77" s="122"/>
      <c r="I77" s="122"/>
      <c r="J77" s="124"/>
      <c r="K77" s="122"/>
      <c r="L77" s="125"/>
      <c r="M7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E0073</v>
      </c>
      <c r="N77" s="122" t="s">
        <v>71</v>
      </c>
      <c r="O77" s="126" t="n">
        <v>1000000</v>
      </c>
      <c r="P77" s="121" t="s">
        <v>19</v>
      </c>
      <c r="Q77" s="122"/>
      <c r="R77" s="128" t="s">
        <v>61</v>
      </c>
      <c r="T77" s="118"/>
    </row>
    <row r="78" customFormat="false" ht="12.75" hidden="false" customHeight="true" outlineLevel="0" collapsed="false">
      <c r="B78" s="119" t="n">
        <f aca="false">ROW()-4</f>
        <v>74</v>
      </c>
      <c r="C78" s="120" t="n">
        <f aca="false">COUNTIFS($D$5:D78,D78)</f>
        <v>74</v>
      </c>
      <c r="D78" s="121" t="s">
        <v>121</v>
      </c>
      <c r="E78" s="122" t="s">
        <v>266</v>
      </c>
      <c r="F78" s="123" t="n">
        <v>43727</v>
      </c>
      <c r="G78" s="121" t="s">
        <v>28</v>
      </c>
      <c r="H7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A0074</v>
      </c>
      <c r="I7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B0074</v>
      </c>
      <c r="J78" s="124" t="s">
        <v>267</v>
      </c>
      <c r="K7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C0074</v>
      </c>
      <c r="L7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D0074</v>
      </c>
      <c r="M7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E0074</v>
      </c>
      <c r="N78" s="122" t="s">
        <v>71</v>
      </c>
      <c r="O78" s="126" t="n">
        <v>1000000</v>
      </c>
      <c r="P78" s="121" t="s">
        <v>18</v>
      </c>
      <c r="Q78" s="121" t="s">
        <v>124</v>
      </c>
      <c r="R78" s="127"/>
      <c r="T78" s="118"/>
    </row>
    <row r="79" customFormat="false" ht="12.75" hidden="false" customHeight="true" outlineLevel="0" collapsed="false">
      <c r="B79" s="119" t="n">
        <f aca="false">ROW()-4</f>
        <v>75</v>
      </c>
      <c r="C79" s="120" t="n">
        <f aca="false">COUNTIFS($D$5:D79,D79)</f>
        <v>75</v>
      </c>
      <c r="D79" s="121" t="s">
        <v>121</v>
      </c>
      <c r="E79" s="122" t="s">
        <v>268</v>
      </c>
      <c r="F79" s="123" t="n">
        <v>43984</v>
      </c>
      <c r="G79" s="121" t="s">
        <v>28</v>
      </c>
      <c r="H7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A0075</v>
      </c>
      <c r="I7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B0075</v>
      </c>
      <c r="J79" s="124" t="s">
        <v>269</v>
      </c>
      <c r="K7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C0075</v>
      </c>
      <c r="L7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D0075</v>
      </c>
      <c r="M7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E0075</v>
      </c>
      <c r="N79" s="122" t="s">
        <v>71</v>
      </c>
      <c r="O79" s="126" t="n">
        <v>1000000</v>
      </c>
      <c r="P79" s="121" t="s">
        <v>18</v>
      </c>
      <c r="Q79" s="121" t="s">
        <v>124</v>
      </c>
      <c r="R79" s="127"/>
      <c r="T79" s="118"/>
    </row>
    <row r="80" customFormat="false" ht="12.75" hidden="false" customHeight="true" outlineLevel="0" collapsed="false">
      <c r="B80" s="119" t="n">
        <f aca="false">ROW()-4</f>
        <v>76</v>
      </c>
      <c r="C80" s="120" t="n">
        <f aca="false">COUNTIFS($D$5:D80,D80)</f>
        <v>76</v>
      </c>
      <c r="D80" s="121" t="s">
        <v>121</v>
      </c>
      <c r="E80" s="122" t="s">
        <v>270</v>
      </c>
      <c r="F80" s="123" t="n">
        <v>45643</v>
      </c>
      <c r="G80" s="121" t="s">
        <v>22</v>
      </c>
      <c r="H8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A0076</v>
      </c>
      <c r="I8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B0076</v>
      </c>
      <c r="J80" s="122" t="s">
        <v>271</v>
      </c>
      <c r="K8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C0076</v>
      </c>
      <c r="L8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D0076</v>
      </c>
      <c r="M8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E0076</v>
      </c>
      <c r="N80" s="122" t="s">
        <v>71</v>
      </c>
      <c r="O80" s="126" t="n">
        <v>1000000</v>
      </c>
      <c r="P80" s="121" t="s">
        <v>18</v>
      </c>
      <c r="Q80" s="121" t="s">
        <v>124</v>
      </c>
      <c r="R80" s="127"/>
      <c r="T80" s="118"/>
    </row>
    <row r="81" customFormat="false" ht="12.75" hidden="false" customHeight="true" outlineLevel="0" collapsed="false">
      <c r="B81" s="119" t="n">
        <f aca="false">ROW()-4</f>
        <v>77</v>
      </c>
      <c r="C81" s="120" t="n">
        <f aca="false">COUNTIFS($D$5:D81,D81)</f>
        <v>77</v>
      </c>
      <c r="D81" s="121" t="s">
        <v>121</v>
      </c>
      <c r="E81" s="122" t="s">
        <v>272</v>
      </c>
      <c r="F81" s="123" t="n">
        <v>43971</v>
      </c>
      <c r="G81" s="121" t="s">
        <v>22</v>
      </c>
      <c r="H8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A0077</v>
      </c>
      <c r="I8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B0077</v>
      </c>
      <c r="J81" s="124" t="s">
        <v>273</v>
      </c>
      <c r="K8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C0077</v>
      </c>
      <c r="L8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D0077</v>
      </c>
      <c r="M8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E0077</v>
      </c>
      <c r="N81" s="122" t="s">
        <v>71</v>
      </c>
      <c r="O81" s="126" t="n">
        <v>1000000</v>
      </c>
      <c r="P81" s="121" t="s">
        <v>18</v>
      </c>
      <c r="Q81" s="121" t="s">
        <v>124</v>
      </c>
      <c r="R81" s="127"/>
      <c r="T81" s="118"/>
    </row>
    <row r="82" customFormat="false" ht="12.75" hidden="false" customHeight="true" outlineLevel="0" collapsed="false">
      <c r="B82" s="119" t="n">
        <f aca="false">ROW()-4</f>
        <v>78</v>
      </c>
      <c r="C82" s="120" t="n">
        <f aca="false">COUNTIFS($D$5:D82,D82)</f>
        <v>78</v>
      </c>
      <c r="D82" s="121" t="s">
        <v>121</v>
      </c>
      <c r="E82" s="122" t="s">
        <v>274</v>
      </c>
      <c r="F82" s="123" t="n">
        <v>44445</v>
      </c>
      <c r="G82" s="121" t="s">
        <v>30</v>
      </c>
      <c r="H8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A0078</v>
      </c>
      <c r="I8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B0078</v>
      </c>
      <c r="J82" s="124" t="s">
        <v>275</v>
      </c>
      <c r="K8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C0078</v>
      </c>
      <c r="L8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D0078</v>
      </c>
      <c r="M8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E0078</v>
      </c>
      <c r="N82" s="122" t="s">
        <v>71</v>
      </c>
      <c r="O82" s="126" t="n">
        <v>1000000</v>
      </c>
      <c r="P82" s="121" t="s">
        <v>18</v>
      </c>
      <c r="Q82" s="121" t="s">
        <v>124</v>
      </c>
      <c r="R82" s="127"/>
      <c r="T82" s="118"/>
    </row>
    <row r="83" customFormat="false" ht="12.75" hidden="false" customHeight="true" outlineLevel="0" collapsed="false">
      <c r="B83" s="119" t="n">
        <f aca="false">ROW()-4</f>
        <v>79</v>
      </c>
      <c r="C83" s="120" t="n">
        <f aca="false">COUNTIFS($D$5:D83,D83)</f>
        <v>79</v>
      </c>
      <c r="D83" s="121" t="s">
        <v>121</v>
      </c>
      <c r="E83" s="122" t="s">
        <v>276</v>
      </c>
      <c r="F83" s="123" t="n">
        <v>44005</v>
      </c>
      <c r="G83" s="121" t="s">
        <v>26</v>
      </c>
      <c r="H8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A0079</v>
      </c>
      <c r="I8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B0079</v>
      </c>
      <c r="J83" s="124" t="s">
        <v>277</v>
      </c>
      <c r="K8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C0079</v>
      </c>
      <c r="L8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D0079</v>
      </c>
      <c r="M8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E0079</v>
      </c>
      <c r="N83" s="122" t="s">
        <v>71</v>
      </c>
      <c r="O83" s="126" t="n">
        <v>1000000</v>
      </c>
      <c r="P83" s="121" t="s">
        <v>18</v>
      </c>
      <c r="Q83" s="121" t="s">
        <v>124</v>
      </c>
      <c r="R83" s="127"/>
      <c r="T83" s="118"/>
    </row>
    <row r="84" customFormat="false" ht="12.75" hidden="false" customHeight="true" outlineLevel="0" collapsed="false">
      <c r="B84" s="119" t="n">
        <f aca="false">ROW()-4</f>
        <v>80</v>
      </c>
      <c r="C84" s="120" t="n">
        <f aca="false">COUNTIFS($D$5:D84,D84)</f>
        <v>80</v>
      </c>
      <c r="D84" s="121" t="s">
        <v>121</v>
      </c>
      <c r="E84" s="122" t="s">
        <v>278</v>
      </c>
      <c r="F84" s="123" t="n">
        <v>44756</v>
      </c>
      <c r="G84" s="121" t="s">
        <v>26</v>
      </c>
      <c r="H8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A0080</v>
      </c>
      <c r="I8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B0080</v>
      </c>
      <c r="J84" s="124" t="s">
        <v>279</v>
      </c>
      <c r="K8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C0080</v>
      </c>
      <c r="L8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D0080</v>
      </c>
      <c r="M8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E0080</v>
      </c>
      <c r="N84" s="122" t="s">
        <v>71</v>
      </c>
      <c r="O84" s="126" t="n">
        <v>1000000</v>
      </c>
      <c r="P84" s="121" t="s">
        <v>18</v>
      </c>
      <c r="Q84" s="121" t="s">
        <v>124</v>
      </c>
      <c r="R84" s="127"/>
      <c r="T84" s="118"/>
    </row>
    <row r="85" customFormat="false" ht="12.75" hidden="false" customHeight="true" outlineLevel="0" collapsed="false">
      <c r="B85" s="119" t="n">
        <f aca="false">ROW()-4</f>
        <v>81</v>
      </c>
      <c r="C85" s="120" t="n">
        <f aca="false">COUNTIFS($D$5:D85,D85)</f>
        <v>81</v>
      </c>
      <c r="D85" s="121" t="s">
        <v>121</v>
      </c>
      <c r="E85" s="122" t="s">
        <v>280</v>
      </c>
      <c r="F85" s="123" t="n">
        <v>44340</v>
      </c>
      <c r="G85" s="121" t="s">
        <v>24</v>
      </c>
      <c r="H8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A0081</v>
      </c>
      <c r="I8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B0081</v>
      </c>
      <c r="J85" s="124" t="s">
        <v>281</v>
      </c>
      <c r="K8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C0081</v>
      </c>
      <c r="L8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D0081</v>
      </c>
      <c r="M8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E0081</v>
      </c>
      <c r="N85" s="122" t="s">
        <v>71</v>
      </c>
      <c r="O85" s="126" t="n">
        <v>1000000</v>
      </c>
      <c r="P85" s="121" t="s">
        <v>18</v>
      </c>
      <c r="Q85" s="121" t="s">
        <v>124</v>
      </c>
      <c r="R85" s="127"/>
      <c r="T85" s="118"/>
    </row>
    <row r="86" customFormat="false" ht="12.75" hidden="false" customHeight="true" outlineLevel="0" collapsed="false">
      <c r="B86" s="119" t="n">
        <f aca="false">ROW()-4</f>
        <v>82</v>
      </c>
      <c r="C86" s="120" t="n">
        <f aca="false">COUNTIFS($D$5:D86,D86)</f>
        <v>82</v>
      </c>
      <c r="D86" s="121" t="s">
        <v>121</v>
      </c>
      <c r="E86" s="122" t="s">
        <v>282</v>
      </c>
      <c r="F86" s="123" t="n">
        <v>44095</v>
      </c>
      <c r="G86" s="121" t="s">
        <v>24</v>
      </c>
      <c r="H8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A0082</v>
      </c>
      <c r="I8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B0082</v>
      </c>
      <c r="J86" s="124" t="s">
        <v>283</v>
      </c>
      <c r="K8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C0082</v>
      </c>
      <c r="L8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D0082</v>
      </c>
      <c r="M8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E0082</v>
      </c>
      <c r="N86" s="122" t="s">
        <v>71</v>
      </c>
      <c r="O86" s="126" t="n">
        <v>1000000</v>
      </c>
      <c r="P86" s="121" t="s">
        <v>18</v>
      </c>
      <c r="Q86" s="121" t="s">
        <v>124</v>
      </c>
      <c r="R86" s="127"/>
      <c r="T86" s="118"/>
    </row>
    <row r="87" customFormat="false" ht="12.75" hidden="false" customHeight="true" outlineLevel="0" collapsed="false">
      <c r="B87" s="119" t="n">
        <f aca="false">ROW()-4</f>
        <v>83</v>
      </c>
      <c r="C87" s="120" t="n">
        <f aca="false">COUNTIFS($D$5:D87,D87)</f>
        <v>83</v>
      </c>
      <c r="D87" s="121" t="s">
        <v>121</v>
      </c>
      <c r="E87" s="122" t="s">
        <v>284</v>
      </c>
      <c r="F87" s="123" t="n">
        <v>44777</v>
      </c>
      <c r="G87" s="121" t="s">
        <v>26</v>
      </c>
      <c r="H8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A0083</v>
      </c>
      <c r="I8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B0083</v>
      </c>
      <c r="J87" s="124" t="s">
        <v>285</v>
      </c>
      <c r="K8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C0083</v>
      </c>
      <c r="L8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D0083</v>
      </c>
      <c r="M8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E0083</v>
      </c>
      <c r="N87" s="122" t="s">
        <v>71</v>
      </c>
      <c r="O87" s="126" t="n">
        <v>1000000</v>
      </c>
      <c r="P87" s="121" t="s">
        <v>18</v>
      </c>
      <c r="Q87" s="121" t="s">
        <v>124</v>
      </c>
      <c r="R87" s="127"/>
      <c r="T87" s="118"/>
    </row>
    <row r="88" customFormat="false" ht="12.75" hidden="false" customHeight="true" outlineLevel="0" collapsed="false">
      <c r="B88" s="119" t="n">
        <f aca="false">ROW()-4</f>
        <v>84</v>
      </c>
      <c r="C88" s="120" t="n">
        <f aca="false">COUNTIFS($D$5:D88,D88)</f>
        <v>84</v>
      </c>
      <c r="D88" s="121" t="s">
        <v>121</v>
      </c>
      <c r="E88" s="122" t="s">
        <v>286</v>
      </c>
      <c r="F88" s="123" t="n">
        <v>43490</v>
      </c>
      <c r="G88" s="121" t="s">
        <v>26</v>
      </c>
      <c r="H8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A0084</v>
      </c>
      <c r="I8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B0084</v>
      </c>
      <c r="J88" s="124" t="s">
        <v>287</v>
      </c>
      <c r="K8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C0084</v>
      </c>
      <c r="L8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D0084</v>
      </c>
      <c r="M8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E0084</v>
      </c>
      <c r="N88" s="122" t="s">
        <v>71</v>
      </c>
      <c r="O88" s="126" t="n">
        <v>1000000</v>
      </c>
      <c r="P88" s="121" t="s">
        <v>18</v>
      </c>
      <c r="Q88" s="121" t="s">
        <v>124</v>
      </c>
      <c r="R88" s="127"/>
      <c r="T88" s="118"/>
    </row>
    <row r="89" customFormat="false" ht="12.75" hidden="false" customHeight="true" outlineLevel="0" collapsed="false">
      <c r="B89" s="119" t="n">
        <f aca="false">ROW()-4</f>
        <v>85</v>
      </c>
      <c r="C89" s="120" t="n">
        <f aca="false">COUNTIFS($D$5:D89,D89)</f>
        <v>85</v>
      </c>
      <c r="D89" s="121" t="s">
        <v>121</v>
      </c>
      <c r="E89" s="122" t="s">
        <v>288</v>
      </c>
      <c r="F89" s="123" t="n">
        <v>44217</v>
      </c>
      <c r="G89" s="121" t="s">
        <v>30</v>
      </c>
      <c r="H8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A0085</v>
      </c>
      <c r="I8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B0085</v>
      </c>
      <c r="J89" s="124" t="s">
        <v>289</v>
      </c>
      <c r="K8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C0085</v>
      </c>
      <c r="L8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D0085</v>
      </c>
      <c r="M8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E0085</v>
      </c>
      <c r="N89" s="122" t="s">
        <v>71</v>
      </c>
      <c r="O89" s="126" t="n">
        <v>1000000</v>
      </c>
      <c r="P89" s="121" t="s">
        <v>18</v>
      </c>
      <c r="Q89" s="121" t="s">
        <v>124</v>
      </c>
      <c r="R89" s="127"/>
      <c r="T89" s="118"/>
    </row>
    <row r="90" customFormat="false" ht="12.75" hidden="false" customHeight="true" outlineLevel="0" collapsed="false">
      <c r="B90" s="119" t="n">
        <f aca="false">ROW()-4</f>
        <v>86</v>
      </c>
      <c r="C90" s="120" t="n">
        <f aca="false">COUNTIFS($D$5:D90,D90)</f>
        <v>86</v>
      </c>
      <c r="D90" s="121" t="s">
        <v>121</v>
      </c>
      <c r="E90" s="122" t="s">
        <v>290</v>
      </c>
      <c r="F90" s="123" t="n">
        <v>44679</v>
      </c>
      <c r="G90" s="121" t="s">
        <v>26</v>
      </c>
      <c r="H9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A0086</v>
      </c>
      <c r="I9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B0086</v>
      </c>
      <c r="J90" s="124" t="s">
        <v>291</v>
      </c>
      <c r="K9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C0086</v>
      </c>
      <c r="L9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D0086</v>
      </c>
      <c r="M9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E0086</v>
      </c>
      <c r="N90" s="122" t="s">
        <v>71</v>
      </c>
      <c r="O90" s="126" t="n">
        <v>1000000</v>
      </c>
      <c r="P90" s="121" t="s">
        <v>18</v>
      </c>
      <c r="Q90" s="121" t="s">
        <v>124</v>
      </c>
      <c r="R90" s="127"/>
      <c r="T90" s="118"/>
    </row>
    <row r="91" customFormat="false" ht="12.75" hidden="false" customHeight="true" outlineLevel="0" collapsed="false">
      <c r="B91" s="119" t="n">
        <f aca="false">ROW()-4</f>
        <v>87</v>
      </c>
      <c r="C91" s="120" t="n">
        <f aca="false">COUNTIFS($D$5:D91,D91)</f>
        <v>87</v>
      </c>
      <c r="D91" s="121" t="s">
        <v>121</v>
      </c>
      <c r="E91" s="122" t="s">
        <v>292</v>
      </c>
      <c r="F91" s="123" t="n">
        <v>44151</v>
      </c>
      <c r="G91" s="121" t="s">
        <v>28</v>
      </c>
      <c r="H9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A0087</v>
      </c>
      <c r="I9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B0087</v>
      </c>
      <c r="J91" s="124" t="s">
        <v>293</v>
      </c>
      <c r="K9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C0087</v>
      </c>
      <c r="L9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D0087</v>
      </c>
      <c r="M9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E0087</v>
      </c>
      <c r="N91" s="122" t="s">
        <v>71</v>
      </c>
      <c r="O91" s="126" t="n">
        <v>1000000</v>
      </c>
      <c r="P91" s="121" t="s">
        <v>18</v>
      </c>
      <c r="Q91" s="121" t="s">
        <v>124</v>
      </c>
      <c r="R91" s="127"/>
      <c r="T91" s="118"/>
    </row>
    <row r="92" customFormat="false" ht="12.75" hidden="false" customHeight="true" outlineLevel="0" collapsed="false">
      <c r="B92" s="119" t="n">
        <f aca="false">ROW()-4</f>
        <v>88</v>
      </c>
      <c r="C92" s="120" t="n">
        <f aca="false">COUNTIFS($D$5:D92,D92)</f>
        <v>88</v>
      </c>
      <c r="D92" s="121" t="s">
        <v>121</v>
      </c>
      <c r="E92" s="122" t="s">
        <v>294</v>
      </c>
      <c r="F92" s="123" t="n">
        <v>45856</v>
      </c>
      <c r="G92" s="121" t="s">
        <v>28</v>
      </c>
      <c r="H9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A0088</v>
      </c>
      <c r="I9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B0088</v>
      </c>
      <c r="J92" s="122" t="s">
        <v>295</v>
      </c>
      <c r="K9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C0088</v>
      </c>
      <c r="L9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D0088</v>
      </c>
      <c r="M9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E0088</v>
      </c>
      <c r="N92" s="122" t="s">
        <v>71</v>
      </c>
      <c r="O92" s="126" t="n">
        <v>1000000</v>
      </c>
      <c r="P92" s="121" t="s">
        <v>18</v>
      </c>
      <c r="Q92" s="121" t="s">
        <v>124</v>
      </c>
      <c r="R92" s="127"/>
      <c r="T92" s="118"/>
    </row>
    <row r="93" customFormat="false" ht="12.75" hidden="false" customHeight="true" outlineLevel="0" collapsed="false">
      <c r="B93" s="119" t="n">
        <f aca="false">ROW()-4</f>
        <v>89</v>
      </c>
      <c r="C93" s="120" t="n">
        <f aca="false">COUNTIFS($D$5:D93,D93)</f>
        <v>89</v>
      </c>
      <c r="D93" s="121" t="s">
        <v>121</v>
      </c>
      <c r="E93" s="122" t="s">
        <v>296</v>
      </c>
      <c r="F93" s="123" t="n">
        <v>44056</v>
      </c>
      <c r="G93" s="121" t="s">
        <v>22</v>
      </c>
      <c r="H9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A0089</v>
      </c>
      <c r="I9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B0089</v>
      </c>
      <c r="J93" s="124" t="s">
        <v>297</v>
      </c>
      <c r="K9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C0089</v>
      </c>
      <c r="L9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D0089</v>
      </c>
      <c r="M9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E0089</v>
      </c>
      <c r="N93" s="122" t="s">
        <v>71</v>
      </c>
      <c r="O93" s="126" t="n">
        <v>1000000</v>
      </c>
      <c r="P93" s="121" t="s">
        <v>18</v>
      </c>
      <c r="Q93" s="121" t="s">
        <v>124</v>
      </c>
      <c r="R93" s="127"/>
      <c r="T93" s="118"/>
    </row>
    <row r="94" customFormat="false" ht="12.75" hidden="false" customHeight="true" outlineLevel="0" collapsed="false">
      <c r="B94" s="119" t="n">
        <f aca="false">ROW()-4</f>
        <v>90</v>
      </c>
      <c r="C94" s="120" t="n">
        <f aca="false">COUNTIFS($D$5:D94,D94)</f>
        <v>90</v>
      </c>
      <c r="D94" s="121" t="s">
        <v>121</v>
      </c>
      <c r="E94" s="122" t="s">
        <v>298</v>
      </c>
      <c r="F94" s="123" t="n">
        <v>44411</v>
      </c>
      <c r="G94" s="121" t="s">
        <v>22</v>
      </c>
      <c r="H9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A0090</v>
      </c>
      <c r="I9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B0090</v>
      </c>
      <c r="J94" s="124" t="s">
        <v>299</v>
      </c>
      <c r="K9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C0090</v>
      </c>
      <c r="L9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D0090</v>
      </c>
      <c r="M9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E0090</v>
      </c>
      <c r="N94" s="122" t="s">
        <v>71</v>
      </c>
      <c r="O94" s="126" t="n">
        <v>1000000</v>
      </c>
      <c r="P94" s="121" t="s">
        <v>18</v>
      </c>
      <c r="Q94" s="121" t="s">
        <v>124</v>
      </c>
      <c r="R94" s="127"/>
      <c r="T94" s="118"/>
    </row>
    <row r="95" customFormat="false" ht="12.75" hidden="false" customHeight="true" outlineLevel="0" collapsed="false">
      <c r="B95" s="119" t="n">
        <f aca="false">ROW()-4</f>
        <v>91</v>
      </c>
      <c r="C95" s="120" t="n">
        <f aca="false">COUNTIFS($D$5:D95,D95)</f>
        <v>91</v>
      </c>
      <c r="D95" s="121" t="s">
        <v>121</v>
      </c>
      <c r="E95" s="122" t="s">
        <v>300</v>
      </c>
      <c r="F95" s="123" t="n">
        <v>45131</v>
      </c>
      <c r="G95" s="121" t="s">
        <v>24</v>
      </c>
      <c r="H9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A0091</v>
      </c>
      <c r="I9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B0091</v>
      </c>
      <c r="J95" s="124" t="s">
        <v>301</v>
      </c>
      <c r="K9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C0091</v>
      </c>
      <c r="L9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D0091</v>
      </c>
      <c r="M9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E0091</v>
      </c>
      <c r="N95" s="122" t="s">
        <v>71</v>
      </c>
      <c r="O95" s="126" t="n">
        <v>1000000</v>
      </c>
      <c r="P95" s="121" t="s">
        <v>18</v>
      </c>
      <c r="Q95" s="121" t="s">
        <v>124</v>
      </c>
      <c r="R95" s="127"/>
      <c r="T95" s="118"/>
    </row>
    <row r="96" customFormat="false" ht="12.75" hidden="false" customHeight="true" outlineLevel="0" collapsed="false">
      <c r="B96" s="119" t="n">
        <f aca="false">ROW()-4</f>
        <v>92</v>
      </c>
      <c r="C96" s="120" t="n">
        <f aca="false">COUNTIFS($D$5:D96,D96)</f>
        <v>92</v>
      </c>
      <c r="D96" s="121" t="s">
        <v>121</v>
      </c>
      <c r="E96" s="122" t="s">
        <v>302</v>
      </c>
      <c r="F96" s="123" t="n">
        <v>43983</v>
      </c>
      <c r="G96" s="121" t="s">
        <v>22</v>
      </c>
      <c r="H9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A0092</v>
      </c>
      <c r="I9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B0092</v>
      </c>
      <c r="J96" s="124" t="s">
        <v>303</v>
      </c>
      <c r="K9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C0092</v>
      </c>
      <c r="L9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D0092</v>
      </c>
      <c r="M9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E0092</v>
      </c>
      <c r="N96" s="122" t="s">
        <v>71</v>
      </c>
      <c r="O96" s="126" t="n">
        <v>1000000</v>
      </c>
      <c r="P96" s="121" t="s">
        <v>18</v>
      </c>
      <c r="Q96" s="121" t="s">
        <v>124</v>
      </c>
      <c r="R96" s="127"/>
      <c r="T96" s="118"/>
    </row>
    <row r="97" customFormat="false" ht="12.75" hidden="false" customHeight="true" outlineLevel="0" collapsed="false">
      <c r="B97" s="119" t="n">
        <f aca="false">ROW()-4</f>
        <v>93</v>
      </c>
      <c r="C97" s="120" t="n">
        <f aca="false">COUNTIFS($D$5:D97,D97)</f>
        <v>93</v>
      </c>
      <c r="D97" s="121" t="s">
        <v>121</v>
      </c>
      <c r="E97" s="122" t="s">
        <v>304</v>
      </c>
      <c r="F97" s="123" t="n">
        <v>44148</v>
      </c>
      <c r="G97" s="121" t="s">
        <v>30</v>
      </c>
      <c r="H9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A0093</v>
      </c>
      <c r="I9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B0093</v>
      </c>
      <c r="J97" s="124" t="s">
        <v>305</v>
      </c>
      <c r="K9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C0093</v>
      </c>
      <c r="L9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D0093</v>
      </c>
      <c r="M9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E0093</v>
      </c>
      <c r="N97" s="122" t="s">
        <v>71</v>
      </c>
      <c r="O97" s="126" t="n">
        <v>1000000</v>
      </c>
      <c r="P97" s="121" t="s">
        <v>18</v>
      </c>
      <c r="Q97" s="121" t="s">
        <v>124</v>
      </c>
      <c r="R97" s="127"/>
      <c r="T97" s="118"/>
    </row>
    <row r="98" customFormat="false" ht="12.75" hidden="false" customHeight="true" outlineLevel="0" collapsed="false">
      <c r="B98" s="119" t="n">
        <f aca="false">ROW()-4</f>
        <v>94</v>
      </c>
      <c r="C98" s="120" t="n">
        <f aca="false">COUNTIFS($D$5:D98,D98)</f>
        <v>94</v>
      </c>
      <c r="D98" s="121" t="s">
        <v>121</v>
      </c>
      <c r="E98" s="122" t="s">
        <v>306</v>
      </c>
      <c r="F98" s="123" t="n">
        <v>44054</v>
      </c>
      <c r="G98" s="121" t="s">
        <v>28</v>
      </c>
      <c r="H9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A0094</v>
      </c>
      <c r="I9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B0094</v>
      </c>
      <c r="J98" s="124" t="s">
        <v>307</v>
      </c>
      <c r="K9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C0094</v>
      </c>
      <c r="L9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D0094</v>
      </c>
      <c r="M9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E0094</v>
      </c>
      <c r="N98" s="122" t="s">
        <v>71</v>
      </c>
      <c r="O98" s="126" t="n">
        <v>1000000</v>
      </c>
      <c r="P98" s="121" t="s">
        <v>18</v>
      </c>
      <c r="Q98" s="121" t="s">
        <v>124</v>
      </c>
      <c r="R98" s="127"/>
      <c r="T98" s="118"/>
    </row>
    <row r="99" customFormat="false" ht="12.75" hidden="false" customHeight="true" outlineLevel="0" collapsed="false">
      <c r="B99" s="119" t="n">
        <f aca="false">ROW()-4</f>
        <v>95</v>
      </c>
      <c r="C99" s="120" t="n">
        <f aca="false">COUNTIFS($D$5:D99,D99)</f>
        <v>95</v>
      </c>
      <c r="D99" s="121" t="s">
        <v>121</v>
      </c>
      <c r="E99" s="122" t="s">
        <v>308</v>
      </c>
      <c r="F99" s="123" t="n">
        <v>44750</v>
      </c>
      <c r="G99" s="121" t="s">
        <v>24</v>
      </c>
      <c r="H9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A0095</v>
      </c>
      <c r="I9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B0095</v>
      </c>
      <c r="J99" s="124" t="s">
        <v>309</v>
      </c>
      <c r="K9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C0095</v>
      </c>
      <c r="L9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D0095</v>
      </c>
      <c r="M9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E0095</v>
      </c>
      <c r="N99" s="122" t="s">
        <v>71</v>
      </c>
      <c r="O99" s="126" t="n">
        <v>1000000</v>
      </c>
      <c r="P99" s="121" t="s">
        <v>18</v>
      </c>
      <c r="Q99" s="121" t="s">
        <v>124</v>
      </c>
      <c r="R99" s="127"/>
      <c r="T99" s="118"/>
    </row>
    <row r="100" customFormat="false" ht="12.75" hidden="false" customHeight="true" outlineLevel="0" collapsed="false">
      <c r="B100" s="119" t="n">
        <f aca="false">ROW()-4</f>
        <v>96</v>
      </c>
      <c r="C100" s="120" t="n">
        <f aca="false">COUNTIFS($D$5:D100,D100)</f>
        <v>96</v>
      </c>
      <c r="D100" s="121" t="s">
        <v>121</v>
      </c>
      <c r="E100" s="122" t="s">
        <v>310</v>
      </c>
      <c r="F100" s="123" t="n">
        <v>46000</v>
      </c>
      <c r="G100" s="121" t="s">
        <v>24</v>
      </c>
      <c r="H10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A0096</v>
      </c>
      <c r="I10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B0096</v>
      </c>
      <c r="J100" s="122" t="s">
        <v>311</v>
      </c>
      <c r="K10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C0096</v>
      </c>
      <c r="L10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D0096</v>
      </c>
      <c r="M10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E0096</v>
      </c>
      <c r="N100" s="122" t="s">
        <v>71</v>
      </c>
      <c r="O100" s="126" t="n">
        <v>1000000</v>
      </c>
      <c r="P100" s="121" t="s">
        <v>18</v>
      </c>
      <c r="Q100" s="121" t="s">
        <v>124</v>
      </c>
      <c r="R100" s="127"/>
      <c r="T100" s="118"/>
    </row>
    <row r="101" customFormat="false" ht="12.75" hidden="false" customHeight="true" outlineLevel="0" collapsed="false">
      <c r="B101" s="119" t="n">
        <f aca="false">ROW()-4</f>
        <v>97</v>
      </c>
      <c r="C101" s="120" t="n">
        <f aca="false">COUNTIFS($D$5:D101,D101)</f>
        <v>97</v>
      </c>
      <c r="D101" s="121" t="s">
        <v>121</v>
      </c>
      <c r="E101" s="122" t="s">
        <v>312</v>
      </c>
      <c r="F101" s="123" t="n">
        <v>44029</v>
      </c>
      <c r="G101" s="121" t="s">
        <v>22</v>
      </c>
      <c r="H10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A0097</v>
      </c>
      <c r="I10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B0097</v>
      </c>
      <c r="J101" s="124" t="s">
        <v>313</v>
      </c>
      <c r="K10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C0097</v>
      </c>
      <c r="L10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D0097</v>
      </c>
      <c r="M10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E0097</v>
      </c>
      <c r="N101" s="122" t="s">
        <v>71</v>
      </c>
      <c r="O101" s="126" t="n">
        <v>1000000</v>
      </c>
      <c r="P101" s="121" t="s">
        <v>18</v>
      </c>
      <c r="Q101" s="121" t="s">
        <v>124</v>
      </c>
      <c r="R101" s="127"/>
      <c r="T101" s="118"/>
    </row>
    <row r="102" customFormat="false" ht="12.75" hidden="false" customHeight="true" outlineLevel="0" collapsed="false">
      <c r="B102" s="119" t="n">
        <f aca="false">ROW()-4</f>
        <v>98</v>
      </c>
      <c r="C102" s="120" t="n">
        <f aca="false">COUNTIFS($D$5:D102,D102)</f>
        <v>98</v>
      </c>
      <c r="D102" s="121" t="s">
        <v>121</v>
      </c>
      <c r="E102" s="122" t="s">
        <v>314</v>
      </c>
      <c r="F102" s="123" t="n">
        <v>44005</v>
      </c>
      <c r="G102" s="121" t="s">
        <v>26</v>
      </c>
      <c r="H10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A0098</v>
      </c>
      <c r="I10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B0098</v>
      </c>
      <c r="J102" s="124" t="s">
        <v>315</v>
      </c>
      <c r="K10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C0098</v>
      </c>
      <c r="L10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D0098</v>
      </c>
      <c r="M10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E0098</v>
      </c>
      <c r="N102" s="122" t="s">
        <v>71</v>
      </c>
      <c r="O102" s="126" t="n">
        <v>1000000</v>
      </c>
      <c r="P102" s="121" t="s">
        <v>18</v>
      </c>
      <c r="Q102" s="121" t="s">
        <v>124</v>
      </c>
      <c r="R102" s="127"/>
      <c r="T102" s="118"/>
    </row>
    <row r="103" customFormat="false" ht="12.75" hidden="false" customHeight="true" outlineLevel="0" collapsed="false">
      <c r="B103" s="119" t="n">
        <f aca="false">ROW()-4</f>
        <v>99</v>
      </c>
      <c r="C103" s="120" t="n">
        <f aca="false">COUNTIFS($D$5:D103,D103)</f>
        <v>99</v>
      </c>
      <c r="D103" s="121" t="s">
        <v>121</v>
      </c>
      <c r="E103" s="122" t="s">
        <v>316</v>
      </c>
      <c r="F103" s="123" t="n">
        <v>43910</v>
      </c>
      <c r="G103" s="121" t="s">
        <v>28</v>
      </c>
      <c r="H10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A0099</v>
      </c>
      <c r="I10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B0099</v>
      </c>
      <c r="J103" s="124" t="s">
        <v>317</v>
      </c>
      <c r="K10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C0099</v>
      </c>
      <c r="L10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D0099</v>
      </c>
      <c r="M10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E0099</v>
      </c>
      <c r="N103" s="122" t="s">
        <v>71</v>
      </c>
      <c r="O103" s="126" t="n">
        <v>1000000</v>
      </c>
      <c r="P103" s="121" t="s">
        <v>18</v>
      </c>
      <c r="Q103" s="121" t="s">
        <v>124</v>
      </c>
      <c r="R103" s="127"/>
      <c r="T103" s="118"/>
    </row>
    <row r="104" customFormat="false" ht="12.75" hidden="false" customHeight="true" outlineLevel="0" collapsed="false">
      <c r="B104" s="119" t="n">
        <f aca="false">ROW()-4</f>
        <v>100</v>
      </c>
      <c r="C104" s="120" t="n">
        <f aca="false">COUNTIFS($D$5:D104,D104)</f>
        <v>100</v>
      </c>
      <c r="D104" s="121" t="s">
        <v>121</v>
      </c>
      <c r="E104" s="122" t="s">
        <v>318</v>
      </c>
      <c r="F104" s="123" t="n">
        <v>43652</v>
      </c>
      <c r="G104" s="121" t="s">
        <v>30</v>
      </c>
      <c r="H10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A0100</v>
      </c>
      <c r="I10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B0100</v>
      </c>
      <c r="J104" s="124" t="s">
        <v>319</v>
      </c>
      <c r="K10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C0100</v>
      </c>
      <c r="L10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D0100</v>
      </c>
      <c r="M10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E0100</v>
      </c>
      <c r="N104" s="122" t="s">
        <v>71</v>
      </c>
      <c r="O104" s="126" t="n">
        <v>1000000</v>
      </c>
      <c r="P104" s="121" t="s">
        <v>18</v>
      </c>
      <c r="Q104" s="121" t="s">
        <v>124</v>
      </c>
      <c r="R104" s="127"/>
      <c r="T104" s="118"/>
    </row>
    <row r="105" customFormat="false" ht="12.75" hidden="false" customHeight="true" outlineLevel="0" collapsed="false">
      <c r="B105" s="119" t="n">
        <f aca="false">ROW()-4</f>
        <v>101</v>
      </c>
      <c r="C105" s="120" t="n">
        <f aca="false">COUNTIFS($D$5:D105,D105)</f>
        <v>101</v>
      </c>
      <c r="D105" s="121" t="s">
        <v>121</v>
      </c>
      <c r="E105" s="122" t="s">
        <v>320</v>
      </c>
      <c r="F105" s="123" t="n">
        <v>44056</v>
      </c>
      <c r="G105" s="121" t="s">
        <v>22</v>
      </c>
      <c r="H10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A0101</v>
      </c>
      <c r="I10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B0101</v>
      </c>
      <c r="J105" s="124" t="s">
        <v>321</v>
      </c>
      <c r="K10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C0101</v>
      </c>
      <c r="L10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D0101</v>
      </c>
      <c r="M10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E0101</v>
      </c>
      <c r="N105" s="122" t="s">
        <v>71</v>
      </c>
      <c r="O105" s="126" t="n">
        <v>1000000</v>
      </c>
      <c r="P105" s="121" t="s">
        <v>18</v>
      </c>
      <c r="Q105" s="121" t="s">
        <v>124</v>
      </c>
      <c r="R105" s="127"/>
      <c r="T105" s="118"/>
    </row>
    <row r="106" customFormat="false" ht="12.75" hidden="false" customHeight="true" outlineLevel="0" collapsed="false">
      <c r="B106" s="119" t="n">
        <f aca="false">ROW()-4</f>
        <v>102</v>
      </c>
      <c r="C106" s="120" t="n">
        <f aca="false">COUNTIFS($D$5:D106,D106)</f>
        <v>102</v>
      </c>
      <c r="D106" s="121" t="s">
        <v>121</v>
      </c>
      <c r="E106" s="122" t="s">
        <v>322</v>
      </c>
      <c r="F106" s="123" t="n">
        <v>44029</v>
      </c>
      <c r="G106" s="121" t="s">
        <v>30</v>
      </c>
      <c r="H10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A0102</v>
      </c>
      <c r="I10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B0102</v>
      </c>
      <c r="J106" s="124" t="s">
        <v>323</v>
      </c>
      <c r="K10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C0102</v>
      </c>
      <c r="L10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D0102</v>
      </c>
      <c r="M10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E0102</v>
      </c>
      <c r="N106" s="122" t="s">
        <v>71</v>
      </c>
      <c r="O106" s="126" t="n">
        <v>1000000</v>
      </c>
      <c r="P106" s="121" t="s">
        <v>18</v>
      </c>
      <c r="Q106" s="121" t="s">
        <v>124</v>
      </c>
      <c r="R106" s="127"/>
      <c r="T106" s="118"/>
    </row>
    <row r="107" customFormat="false" ht="12.75" hidden="false" customHeight="true" outlineLevel="0" collapsed="false">
      <c r="B107" s="119" t="n">
        <f aca="false">ROW()-4</f>
        <v>103</v>
      </c>
      <c r="C107" s="120" t="n">
        <f aca="false">COUNTIFS($D$5:D107,D107)</f>
        <v>103</v>
      </c>
      <c r="D107" s="121" t="s">
        <v>121</v>
      </c>
      <c r="E107" s="122" t="s">
        <v>324</v>
      </c>
      <c r="F107" s="123" t="n">
        <v>43441</v>
      </c>
      <c r="G107" s="121" t="s">
        <v>30</v>
      </c>
      <c r="H10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A0103</v>
      </c>
      <c r="I10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B0103</v>
      </c>
      <c r="J107" s="124" t="s">
        <v>325</v>
      </c>
      <c r="K10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C0103</v>
      </c>
      <c r="L10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D0103</v>
      </c>
      <c r="M10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E0103</v>
      </c>
      <c r="N107" s="122" t="s">
        <v>71</v>
      </c>
      <c r="O107" s="126" t="n">
        <v>1000000</v>
      </c>
      <c r="P107" s="121" t="s">
        <v>18</v>
      </c>
      <c r="Q107" s="121" t="s">
        <v>124</v>
      </c>
      <c r="R107" s="127"/>
      <c r="T107" s="118"/>
    </row>
    <row r="108" customFormat="false" ht="12.75" hidden="false" customHeight="true" outlineLevel="0" collapsed="false">
      <c r="B108" s="119" t="n">
        <f aca="false">ROW()-4</f>
        <v>104</v>
      </c>
      <c r="C108" s="120" t="n">
        <f aca="false">COUNTIFS($D$5:D108,D108)</f>
        <v>104</v>
      </c>
      <c r="D108" s="121" t="s">
        <v>121</v>
      </c>
      <c r="E108" s="122" t="s">
        <v>326</v>
      </c>
      <c r="F108" s="123" t="n">
        <v>43802</v>
      </c>
      <c r="G108" s="121" t="s">
        <v>24</v>
      </c>
      <c r="H10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A0104</v>
      </c>
      <c r="I10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B0104</v>
      </c>
      <c r="J108" s="124" t="s">
        <v>327</v>
      </c>
      <c r="K10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C0104</v>
      </c>
      <c r="L10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D0104</v>
      </c>
      <c r="M10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E0104</v>
      </c>
      <c r="N108" s="122" t="s">
        <v>71</v>
      </c>
      <c r="O108" s="126" t="n">
        <v>1000000</v>
      </c>
      <c r="P108" s="121" t="s">
        <v>18</v>
      </c>
      <c r="Q108" s="121" t="s">
        <v>124</v>
      </c>
      <c r="R108" s="127"/>
      <c r="T108" s="118"/>
    </row>
    <row r="109" customFormat="false" ht="12.75" hidden="false" customHeight="true" outlineLevel="0" collapsed="false">
      <c r="B109" s="119" t="n">
        <f aca="false">ROW()-4</f>
        <v>105</v>
      </c>
      <c r="C109" s="120" t="n">
        <f aca="false">COUNTIFS($D$5:D109,D109)</f>
        <v>105</v>
      </c>
      <c r="D109" s="121" t="s">
        <v>121</v>
      </c>
      <c r="E109" s="122" t="s">
        <v>328</v>
      </c>
      <c r="F109" s="123"/>
      <c r="G109" s="121" t="s">
        <v>26</v>
      </c>
      <c r="H109" s="122"/>
      <c r="I109" s="122"/>
      <c r="J109" s="124"/>
      <c r="K109" s="122"/>
      <c r="L109" s="125"/>
      <c r="M10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E0105</v>
      </c>
      <c r="N109" s="122" t="s">
        <v>71</v>
      </c>
      <c r="O109" s="126" t="n">
        <v>1000000</v>
      </c>
      <c r="P109" s="121" t="s">
        <v>19</v>
      </c>
      <c r="Q109" s="122"/>
      <c r="R109" s="128" t="s">
        <v>61</v>
      </c>
      <c r="T109" s="118"/>
    </row>
    <row r="110" customFormat="false" ht="12.75" hidden="false" customHeight="true" outlineLevel="0" collapsed="false">
      <c r="B110" s="119" t="n">
        <f aca="false">ROW()-4</f>
        <v>106</v>
      </c>
      <c r="C110" s="120" t="n">
        <f aca="false">COUNTIFS($D$5:D110,D110)</f>
        <v>106</v>
      </c>
      <c r="D110" s="121" t="s">
        <v>121</v>
      </c>
      <c r="E110" s="122" t="s">
        <v>329</v>
      </c>
      <c r="F110" s="123" t="n">
        <v>45763</v>
      </c>
      <c r="G110" s="121" t="s">
        <v>28</v>
      </c>
      <c r="H11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A0106</v>
      </c>
      <c r="I11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B0106</v>
      </c>
      <c r="J110" s="122" t="s">
        <v>330</v>
      </c>
      <c r="K11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C0106</v>
      </c>
      <c r="L11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D0106</v>
      </c>
      <c r="M11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E0106</v>
      </c>
      <c r="N110" s="122" t="s">
        <v>71</v>
      </c>
      <c r="O110" s="126" t="n">
        <v>1000000</v>
      </c>
      <c r="P110" s="121" t="s">
        <v>18</v>
      </c>
      <c r="Q110" s="121" t="s">
        <v>124</v>
      </c>
      <c r="R110" s="127"/>
      <c r="T110" s="118"/>
    </row>
    <row r="111" customFormat="false" ht="12.75" hidden="false" customHeight="true" outlineLevel="0" collapsed="false">
      <c r="B111" s="119" t="n">
        <f aca="false">ROW()-4</f>
        <v>107</v>
      </c>
      <c r="C111" s="120" t="n">
        <f aca="false">COUNTIFS($D$5:D111,D111)</f>
        <v>107</v>
      </c>
      <c r="D111" s="121" t="s">
        <v>121</v>
      </c>
      <c r="E111" s="122" t="s">
        <v>331</v>
      </c>
      <c r="F111" s="123" t="n">
        <v>44700</v>
      </c>
      <c r="G111" s="121" t="s">
        <v>26</v>
      </c>
      <c r="H11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A0107</v>
      </c>
      <c r="I11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B0107</v>
      </c>
      <c r="J111" s="124" t="s">
        <v>332</v>
      </c>
      <c r="K11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C0107</v>
      </c>
      <c r="L11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D0107</v>
      </c>
      <c r="M11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E0107</v>
      </c>
      <c r="N111" s="122" t="s">
        <v>71</v>
      </c>
      <c r="O111" s="126" t="n">
        <v>1000000</v>
      </c>
      <c r="P111" s="121" t="s">
        <v>18</v>
      </c>
      <c r="Q111" s="121" t="s">
        <v>124</v>
      </c>
      <c r="R111" s="127"/>
      <c r="T111" s="118"/>
    </row>
    <row r="112" customFormat="false" ht="12.75" hidden="false" customHeight="true" outlineLevel="0" collapsed="false">
      <c r="B112" s="119" t="n">
        <f aca="false">ROW()-4</f>
        <v>108</v>
      </c>
      <c r="C112" s="120" t="n">
        <f aca="false">COUNTIFS($D$5:D112,D112)</f>
        <v>108</v>
      </c>
      <c r="D112" s="121" t="s">
        <v>121</v>
      </c>
      <c r="E112" s="122" t="s">
        <v>333</v>
      </c>
      <c r="F112" s="123" t="n">
        <v>42781</v>
      </c>
      <c r="G112" s="121" t="s">
        <v>30</v>
      </c>
      <c r="H11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A0108</v>
      </c>
      <c r="I11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B0108</v>
      </c>
      <c r="J112" s="124" t="s">
        <v>334</v>
      </c>
      <c r="K11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C0108</v>
      </c>
      <c r="L11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D0108</v>
      </c>
      <c r="M11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E0108</v>
      </c>
      <c r="N112" s="122" t="s">
        <v>71</v>
      </c>
      <c r="O112" s="126" t="n">
        <v>1000000</v>
      </c>
      <c r="P112" s="121" t="s">
        <v>18</v>
      </c>
      <c r="Q112" s="121" t="s">
        <v>124</v>
      </c>
      <c r="R112" s="127"/>
      <c r="T112" s="118"/>
    </row>
    <row r="113" customFormat="false" ht="12.75" hidden="false" customHeight="true" outlineLevel="0" collapsed="false">
      <c r="B113" s="119" t="n">
        <f aca="false">ROW()-4</f>
        <v>109</v>
      </c>
      <c r="C113" s="120" t="n">
        <f aca="false">COUNTIFS($D$5:D113,D113)</f>
        <v>109</v>
      </c>
      <c r="D113" s="121" t="s">
        <v>121</v>
      </c>
      <c r="E113" s="122" t="s">
        <v>335</v>
      </c>
      <c r="F113" s="123" t="n">
        <v>44109</v>
      </c>
      <c r="G113" s="121" t="s">
        <v>30</v>
      </c>
      <c r="H11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A0109</v>
      </c>
      <c r="I11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B0109</v>
      </c>
      <c r="J113" s="124" t="s">
        <v>336</v>
      </c>
      <c r="K11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C0109</v>
      </c>
      <c r="L11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D0109</v>
      </c>
      <c r="M11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E0109</v>
      </c>
      <c r="N113" s="122" t="s">
        <v>71</v>
      </c>
      <c r="O113" s="126" t="n">
        <v>1000000</v>
      </c>
      <c r="P113" s="121" t="s">
        <v>18</v>
      </c>
      <c r="Q113" s="121" t="s">
        <v>124</v>
      </c>
      <c r="R113" s="127"/>
      <c r="T113" s="118"/>
    </row>
    <row r="114" customFormat="false" ht="12.75" hidden="false" customHeight="true" outlineLevel="0" collapsed="false">
      <c r="B114" s="119" t="n">
        <f aca="false">ROW()-4</f>
        <v>110</v>
      </c>
      <c r="C114" s="120" t="n">
        <f aca="false">COUNTIFS($D$5:D114,D114)</f>
        <v>110</v>
      </c>
      <c r="D114" s="121" t="s">
        <v>121</v>
      </c>
      <c r="E114" s="122" t="s">
        <v>337</v>
      </c>
      <c r="F114" s="123"/>
      <c r="G114" s="121" t="s">
        <v>210</v>
      </c>
      <c r="H114" s="122"/>
      <c r="I114" s="122"/>
      <c r="J114" s="124"/>
      <c r="K114" s="122"/>
      <c r="L114" s="125"/>
      <c r="M11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E0110</v>
      </c>
      <c r="N114" s="122" t="s">
        <v>71</v>
      </c>
      <c r="O114" s="126" t="n">
        <v>1000000</v>
      </c>
      <c r="P114" s="121" t="s">
        <v>19</v>
      </c>
      <c r="Q114" s="122"/>
      <c r="R114" s="128" t="s">
        <v>59</v>
      </c>
      <c r="T114" s="118"/>
    </row>
    <row r="115" customFormat="false" ht="12.75" hidden="false" customHeight="true" outlineLevel="0" collapsed="false">
      <c r="B115" s="119" t="n">
        <f aca="false">ROW()-4</f>
        <v>111</v>
      </c>
      <c r="C115" s="120" t="n">
        <f aca="false">COUNTIFS($D$5:D115,D115)</f>
        <v>111</v>
      </c>
      <c r="D115" s="121" t="s">
        <v>121</v>
      </c>
      <c r="E115" s="122" t="s">
        <v>338</v>
      </c>
      <c r="F115" s="123" t="n">
        <v>43363</v>
      </c>
      <c r="G115" s="121" t="s">
        <v>30</v>
      </c>
      <c r="H11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A0111</v>
      </c>
      <c r="I11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B0111</v>
      </c>
      <c r="J115" s="124" t="s">
        <v>339</v>
      </c>
      <c r="K11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C0111</v>
      </c>
      <c r="L11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D0111</v>
      </c>
      <c r="M11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E0111</v>
      </c>
      <c r="N115" s="122" t="s">
        <v>71</v>
      </c>
      <c r="O115" s="126" t="n">
        <v>1000000</v>
      </c>
      <c r="P115" s="121" t="s">
        <v>18</v>
      </c>
      <c r="Q115" s="121" t="s">
        <v>124</v>
      </c>
      <c r="R115" s="127"/>
      <c r="T115" s="118"/>
    </row>
    <row r="116" customFormat="false" ht="12.75" hidden="false" customHeight="true" outlineLevel="0" collapsed="false">
      <c r="B116" s="119" t="n">
        <f aca="false">ROW()-4</f>
        <v>112</v>
      </c>
      <c r="C116" s="120" t="n">
        <f aca="false">COUNTIFS($D$5:D116,D116)</f>
        <v>112</v>
      </c>
      <c r="D116" s="121" t="s">
        <v>121</v>
      </c>
      <c r="E116" s="122" t="s">
        <v>340</v>
      </c>
      <c r="F116" s="123" t="n">
        <v>43060</v>
      </c>
      <c r="G116" s="121" t="s">
        <v>22</v>
      </c>
      <c r="H11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A0112</v>
      </c>
      <c r="I11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B0112</v>
      </c>
      <c r="J116" s="124" t="s">
        <v>341</v>
      </c>
      <c r="K11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C0112</v>
      </c>
      <c r="L11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D0112</v>
      </c>
      <c r="M11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E0112</v>
      </c>
      <c r="N116" s="122" t="s">
        <v>71</v>
      </c>
      <c r="O116" s="126" t="n">
        <v>1000000</v>
      </c>
      <c r="P116" s="121" t="s">
        <v>18</v>
      </c>
      <c r="Q116" s="121" t="s">
        <v>124</v>
      </c>
      <c r="R116" s="127"/>
      <c r="T116" s="118"/>
    </row>
    <row r="117" customFormat="false" ht="12.75" hidden="false" customHeight="true" outlineLevel="0" collapsed="false">
      <c r="B117" s="119" t="n">
        <f aca="false">ROW()-4</f>
        <v>113</v>
      </c>
      <c r="C117" s="120" t="n">
        <f aca="false">COUNTIFS($D$5:D117,D117)</f>
        <v>113</v>
      </c>
      <c r="D117" s="121" t="s">
        <v>121</v>
      </c>
      <c r="E117" s="122" t="s">
        <v>342</v>
      </c>
      <c r="F117" s="123" t="n">
        <v>42846</v>
      </c>
      <c r="G117" s="121" t="s">
        <v>30</v>
      </c>
      <c r="H11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A0113</v>
      </c>
      <c r="I11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B0113</v>
      </c>
      <c r="J117" s="124" t="s">
        <v>343</v>
      </c>
      <c r="K11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C0113</v>
      </c>
      <c r="L11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D0113</v>
      </c>
      <c r="M11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E0113</v>
      </c>
      <c r="N117" s="122" t="s">
        <v>71</v>
      </c>
      <c r="O117" s="126" t="n">
        <v>1000000</v>
      </c>
      <c r="P117" s="121" t="s">
        <v>18</v>
      </c>
      <c r="Q117" s="121" t="s">
        <v>124</v>
      </c>
      <c r="R117" s="127"/>
      <c r="T117" s="118"/>
    </row>
    <row r="118" s="118" customFormat="true" ht="12.75" hidden="false" customHeight="true" outlineLevel="0" collapsed="false">
      <c r="A118" s="98"/>
      <c r="B118" s="119" t="n">
        <f aca="false">ROW()-4</f>
        <v>114</v>
      </c>
      <c r="C118" s="120" t="n">
        <f aca="false">COUNTIFS($D$5:D118,D118)</f>
        <v>114</v>
      </c>
      <c r="D118" s="121" t="s">
        <v>121</v>
      </c>
      <c r="E118" s="122" t="s">
        <v>344</v>
      </c>
      <c r="F118" s="123" t="n">
        <v>44250</v>
      </c>
      <c r="G118" s="121" t="s">
        <v>30</v>
      </c>
      <c r="H11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A0114</v>
      </c>
      <c r="I11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B0114</v>
      </c>
      <c r="J118" s="124" t="s">
        <v>345</v>
      </c>
      <c r="K11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C0114</v>
      </c>
      <c r="L11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D0114</v>
      </c>
      <c r="M11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E0114</v>
      </c>
      <c r="N118" s="122" t="s">
        <v>71</v>
      </c>
      <c r="O118" s="126" t="n">
        <v>1000000</v>
      </c>
      <c r="P118" s="121" t="s">
        <v>18</v>
      </c>
      <c r="Q118" s="121" t="s">
        <v>124</v>
      </c>
      <c r="R118" s="127"/>
    </row>
    <row r="119" customFormat="false" ht="12.75" hidden="false" customHeight="true" outlineLevel="0" collapsed="false">
      <c r="B119" s="119" t="n">
        <f aca="false">ROW()-4</f>
        <v>115</v>
      </c>
      <c r="C119" s="120" t="n">
        <f aca="false">COUNTIFS($D$5:D119,D119)</f>
        <v>115</v>
      </c>
      <c r="D119" s="121" t="s">
        <v>121</v>
      </c>
      <c r="E119" s="122" t="s">
        <v>346</v>
      </c>
      <c r="F119" s="123" t="n">
        <v>44117</v>
      </c>
      <c r="G119" s="121" t="s">
        <v>30</v>
      </c>
      <c r="H11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A0115</v>
      </c>
      <c r="I11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B0115</v>
      </c>
      <c r="J119" s="124" t="s">
        <v>347</v>
      </c>
      <c r="K11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C0115</v>
      </c>
      <c r="L11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D0115</v>
      </c>
      <c r="M11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E0115</v>
      </c>
      <c r="N119" s="122" t="s">
        <v>71</v>
      </c>
      <c r="O119" s="126" t="n">
        <v>1000000</v>
      </c>
      <c r="P119" s="121" t="s">
        <v>18</v>
      </c>
      <c r="Q119" s="121" t="s">
        <v>124</v>
      </c>
      <c r="R119" s="127"/>
      <c r="T119" s="118"/>
    </row>
    <row r="120" customFormat="false" ht="12.75" hidden="false" customHeight="true" outlineLevel="0" collapsed="false">
      <c r="B120" s="119" t="n">
        <f aca="false">ROW()-4</f>
        <v>116</v>
      </c>
      <c r="C120" s="120" t="n">
        <f aca="false">COUNTIFS($D$5:D120,D120)</f>
        <v>116</v>
      </c>
      <c r="D120" s="121" t="s">
        <v>121</v>
      </c>
      <c r="E120" s="122" t="s">
        <v>348</v>
      </c>
      <c r="F120" s="123" t="n">
        <v>44117</v>
      </c>
      <c r="G120" s="121" t="s">
        <v>30</v>
      </c>
      <c r="H12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A0116</v>
      </c>
      <c r="I12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B0116</v>
      </c>
      <c r="J120" s="124" t="s">
        <v>349</v>
      </c>
      <c r="K12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C0116</v>
      </c>
      <c r="L12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D0116</v>
      </c>
      <c r="M12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E0116</v>
      </c>
      <c r="N120" s="122" t="s">
        <v>71</v>
      </c>
      <c r="O120" s="126" t="n">
        <v>1000000</v>
      </c>
      <c r="P120" s="121" t="s">
        <v>18</v>
      </c>
      <c r="Q120" s="121" t="s">
        <v>124</v>
      </c>
      <c r="R120" s="127"/>
      <c r="T120" s="118"/>
    </row>
    <row r="121" customFormat="false" ht="12.75" hidden="false" customHeight="true" outlineLevel="0" collapsed="false">
      <c r="B121" s="119" t="n">
        <f aca="false">ROW()-4</f>
        <v>117</v>
      </c>
      <c r="C121" s="120" t="n">
        <f aca="false">COUNTIFS($D$5:D121,D121)</f>
        <v>117</v>
      </c>
      <c r="D121" s="121" t="s">
        <v>121</v>
      </c>
      <c r="E121" s="122" t="s">
        <v>350</v>
      </c>
      <c r="F121" s="123" t="n">
        <v>44088</v>
      </c>
      <c r="G121" s="121" t="s">
        <v>30</v>
      </c>
      <c r="H12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A0117</v>
      </c>
      <c r="I12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B0117</v>
      </c>
      <c r="J121" s="124" t="s">
        <v>351</v>
      </c>
      <c r="K12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C0117</v>
      </c>
      <c r="L12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D0117</v>
      </c>
      <c r="M12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E0117</v>
      </c>
      <c r="N121" s="122" t="s">
        <v>71</v>
      </c>
      <c r="O121" s="126" t="n">
        <v>1000000</v>
      </c>
      <c r="P121" s="121" t="s">
        <v>18</v>
      </c>
      <c r="Q121" s="121" t="s">
        <v>124</v>
      </c>
      <c r="R121" s="127"/>
      <c r="T121" s="118"/>
    </row>
    <row r="122" customFormat="false" ht="12.75" hidden="false" customHeight="true" outlineLevel="0" collapsed="false">
      <c r="B122" s="119" t="n">
        <f aca="false">ROW()-4</f>
        <v>118</v>
      </c>
      <c r="C122" s="120" t="n">
        <f aca="false">COUNTIFS($D$5:D122,D122)</f>
        <v>118</v>
      </c>
      <c r="D122" s="121" t="s">
        <v>121</v>
      </c>
      <c r="E122" s="122" t="s">
        <v>352</v>
      </c>
      <c r="F122" s="123" t="n">
        <v>44034</v>
      </c>
      <c r="G122" s="121" t="s">
        <v>30</v>
      </c>
      <c r="H12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A0118</v>
      </c>
      <c r="I12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B0118</v>
      </c>
      <c r="J122" s="124" t="s">
        <v>353</v>
      </c>
      <c r="K12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C0118</v>
      </c>
      <c r="L12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D0118</v>
      </c>
      <c r="M12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E0118</v>
      </c>
      <c r="N122" s="122" t="s">
        <v>71</v>
      </c>
      <c r="O122" s="126" t="n">
        <v>1000000</v>
      </c>
      <c r="P122" s="121" t="s">
        <v>18</v>
      </c>
      <c r="Q122" s="121" t="s">
        <v>124</v>
      </c>
      <c r="R122" s="127"/>
      <c r="T122" s="118"/>
    </row>
    <row r="123" customFormat="false" ht="12.75" hidden="false" customHeight="true" outlineLevel="0" collapsed="false">
      <c r="B123" s="119" t="n">
        <f aca="false">ROW()-4</f>
        <v>119</v>
      </c>
      <c r="C123" s="120" t="n">
        <f aca="false">COUNTIFS($D$5:D123,D123)</f>
        <v>119</v>
      </c>
      <c r="D123" s="121" t="s">
        <v>121</v>
      </c>
      <c r="E123" s="122" t="s">
        <v>354</v>
      </c>
      <c r="F123" s="123" t="n">
        <v>44034</v>
      </c>
      <c r="G123" s="121" t="s">
        <v>30</v>
      </c>
      <c r="H12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A0119</v>
      </c>
      <c r="I12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B0119</v>
      </c>
      <c r="J123" s="124" t="s">
        <v>355</v>
      </c>
      <c r="K12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C0119</v>
      </c>
      <c r="L12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D0119</v>
      </c>
      <c r="M12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E0119</v>
      </c>
      <c r="N123" s="122" t="s">
        <v>71</v>
      </c>
      <c r="O123" s="126" t="n">
        <v>1000000</v>
      </c>
      <c r="P123" s="121" t="s">
        <v>18</v>
      </c>
      <c r="Q123" s="121" t="s">
        <v>124</v>
      </c>
      <c r="R123" s="127"/>
      <c r="T123" s="118"/>
    </row>
    <row r="124" customFormat="false" ht="12.75" hidden="false" customHeight="true" outlineLevel="0" collapsed="false">
      <c r="B124" s="119" t="n">
        <f aca="false">ROW()-4</f>
        <v>120</v>
      </c>
      <c r="C124" s="120" t="n">
        <f aca="false">COUNTIFS($D$5:D124,D124)</f>
        <v>120</v>
      </c>
      <c r="D124" s="121" t="s">
        <v>121</v>
      </c>
      <c r="E124" s="122" t="s">
        <v>356</v>
      </c>
      <c r="F124" s="123" t="n">
        <v>44235</v>
      </c>
      <c r="G124" s="121" t="s">
        <v>30</v>
      </c>
      <c r="H12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A0120</v>
      </c>
      <c r="I12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B0120</v>
      </c>
      <c r="J124" s="124" t="s">
        <v>357</v>
      </c>
      <c r="K12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C0120</v>
      </c>
      <c r="L12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D0120</v>
      </c>
      <c r="M12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E0120</v>
      </c>
      <c r="N124" s="122" t="s">
        <v>71</v>
      </c>
      <c r="O124" s="126" t="n">
        <v>1000000</v>
      </c>
      <c r="P124" s="121" t="s">
        <v>18</v>
      </c>
      <c r="Q124" s="121" t="s">
        <v>124</v>
      </c>
      <c r="R124" s="127"/>
      <c r="T124" s="118"/>
    </row>
    <row r="125" customFormat="false" ht="12.75" hidden="false" customHeight="true" outlineLevel="0" collapsed="false">
      <c r="B125" s="119" t="n">
        <f aca="false">ROW()-4</f>
        <v>121</v>
      </c>
      <c r="C125" s="120" t="n">
        <f aca="false">COUNTIFS($D$5:D125,D125)</f>
        <v>121</v>
      </c>
      <c r="D125" s="121" t="s">
        <v>121</v>
      </c>
      <c r="E125" s="122" t="s">
        <v>358</v>
      </c>
      <c r="F125" s="123" t="n">
        <v>44232</v>
      </c>
      <c r="G125" s="121" t="s">
        <v>30</v>
      </c>
      <c r="H12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A0121</v>
      </c>
      <c r="I12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B0121</v>
      </c>
      <c r="J125" s="124" t="s">
        <v>359</v>
      </c>
      <c r="K12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C0121</v>
      </c>
      <c r="L12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D0121</v>
      </c>
      <c r="M12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E0121</v>
      </c>
      <c r="N125" s="122" t="s">
        <v>71</v>
      </c>
      <c r="O125" s="126" t="n">
        <v>1000000</v>
      </c>
      <c r="P125" s="121" t="s">
        <v>18</v>
      </c>
      <c r="Q125" s="121" t="s">
        <v>124</v>
      </c>
      <c r="R125" s="127"/>
      <c r="T125" s="118"/>
    </row>
    <row r="126" customFormat="false" ht="12.75" hidden="false" customHeight="true" outlineLevel="0" collapsed="false">
      <c r="B126" s="119" t="n">
        <f aca="false">ROW()-4</f>
        <v>122</v>
      </c>
      <c r="C126" s="120" t="n">
        <f aca="false">COUNTIFS($D$5:D126,D126)</f>
        <v>122</v>
      </c>
      <c r="D126" s="121" t="s">
        <v>121</v>
      </c>
      <c r="E126" s="122" t="s">
        <v>360</v>
      </c>
      <c r="F126" s="123" t="n">
        <v>42781</v>
      </c>
      <c r="G126" s="121" t="s">
        <v>26</v>
      </c>
      <c r="H12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A0122</v>
      </c>
      <c r="I12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B0122</v>
      </c>
      <c r="J126" s="124" t="s">
        <v>361</v>
      </c>
      <c r="K12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C0122</v>
      </c>
      <c r="L12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D0122</v>
      </c>
      <c r="M12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E0122</v>
      </c>
      <c r="N126" s="122" t="s">
        <v>71</v>
      </c>
      <c r="O126" s="126" t="n">
        <v>1000000</v>
      </c>
      <c r="P126" s="121" t="s">
        <v>18</v>
      </c>
      <c r="Q126" s="121" t="s">
        <v>124</v>
      </c>
      <c r="R126" s="127"/>
      <c r="T126" s="118"/>
    </row>
    <row r="127" customFormat="false" ht="12.75" hidden="false" customHeight="true" outlineLevel="0" collapsed="false">
      <c r="B127" s="119" t="n">
        <f aca="false">ROW()-4</f>
        <v>123</v>
      </c>
      <c r="C127" s="120" t="n">
        <f aca="false">COUNTIFS($D$5:D127,D127)</f>
        <v>123</v>
      </c>
      <c r="D127" s="121" t="s">
        <v>121</v>
      </c>
      <c r="E127" s="122" t="s">
        <v>362</v>
      </c>
      <c r="F127" s="123" t="n">
        <v>44021</v>
      </c>
      <c r="G127" s="121" t="s">
        <v>30</v>
      </c>
      <c r="H12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A0123</v>
      </c>
      <c r="I12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B0123</v>
      </c>
      <c r="J127" s="124" t="s">
        <v>363</v>
      </c>
      <c r="K12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C0123</v>
      </c>
      <c r="L12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D0123</v>
      </c>
      <c r="M12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E0123</v>
      </c>
      <c r="N127" s="122" t="s">
        <v>71</v>
      </c>
      <c r="O127" s="126" t="n">
        <v>1000000</v>
      </c>
      <c r="P127" s="121" t="s">
        <v>18</v>
      </c>
      <c r="Q127" s="121" t="s">
        <v>124</v>
      </c>
      <c r="R127" s="127"/>
      <c r="T127" s="118"/>
    </row>
    <row r="128" customFormat="false" ht="12.75" hidden="false" customHeight="true" outlineLevel="0" collapsed="false">
      <c r="B128" s="119" t="n">
        <f aca="false">ROW()-4</f>
        <v>124</v>
      </c>
      <c r="C128" s="120" t="n">
        <f aca="false">COUNTIFS($D$5:D128,D128)</f>
        <v>124</v>
      </c>
      <c r="D128" s="121" t="s">
        <v>121</v>
      </c>
      <c r="E128" s="122" t="s">
        <v>364</v>
      </c>
      <c r="F128" s="123" t="n">
        <v>45681</v>
      </c>
      <c r="G128" s="121" t="s">
        <v>22</v>
      </c>
      <c r="H12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A0124</v>
      </c>
      <c r="I12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B0124</v>
      </c>
      <c r="J128" s="122" t="s">
        <v>365</v>
      </c>
      <c r="K12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C0124</v>
      </c>
      <c r="L12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D0124</v>
      </c>
      <c r="M12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E0124</v>
      </c>
      <c r="N128" s="122" t="s">
        <v>71</v>
      </c>
      <c r="O128" s="126" t="n">
        <v>1000000</v>
      </c>
      <c r="P128" s="121" t="s">
        <v>18</v>
      </c>
      <c r="Q128" s="121" t="s">
        <v>124</v>
      </c>
      <c r="R128" s="127"/>
      <c r="T128" s="118"/>
    </row>
    <row r="129" customFormat="false" ht="12.75" hidden="false" customHeight="true" outlineLevel="0" collapsed="false">
      <c r="B129" s="119" t="n">
        <f aca="false">ROW()-4</f>
        <v>125</v>
      </c>
      <c r="C129" s="120" t="n">
        <f aca="false">COUNTIFS($D$5:D129,D129)</f>
        <v>125</v>
      </c>
      <c r="D129" s="121" t="s">
        <v>121</v>
      </c>
      <c r="E129" s="122" t="s">
        <v>366</v>
      </c>
      <c r="F129" s="123" t="n">
        <v>44126</v>
      </c>
      <c r="G129" s="121" t="s">
        <v>30</v>
      </c>
      <c r="H12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A0125</v>
      </c>
      <c r="I12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B0125</v>
      </c>
      <c r="J129" s="124" t="s">
        <v>367</v>
      </c>
      <c r="K12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C0125</v>
      </c>
      <c r="L12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D0125</v>
      </c>
      <c r="M12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E0125</v>
      </c>
      <c r="N129" s="122" t="s">
        <v>71</v>
      </c>
      <c r="O129" s="126" t="n">
        <v>1000000</v>
      </c>
      <c r="P129" s="121" t="s">
        <v>18</v>
      </c>
      <c r="Q129" s="121" t="s">
        <v>124</v>
      </c>
      <c r="R129" s="127"/>
      <c r="T129" s="118"/>
    </row>
    <row r="130" s="118" customFormat="true" ht="12.75" hidden="false" customHeight="true" outlineLevel="0" collapsed="false">
      <c r="A130" s="98"/>
      <c r="B130" s="119" t="n">
        <f aca="false">ROW()-4</f>
        <v>126</v>
      </c>
      <c r="C130" s="120" t="n">
        <f aca="false">COUNTIFS($D$5:D130,D130)</f>
        <v>126</v>
      </c>
      <c r="D130" s="121" t="s">
        <v>121</v>
      </c>
      <c r="E130" s="122" t="s">
        <v>368</v>
      </c>
      <c r="F130" s="123" t="n">
        <v>43795</v>
      </c>
      <c r="G130" s="121" t="s">
        <v>30</v>
      </c>
      <c r="H13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A0126</v>
      </c>
      <c r="I13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B0126</v>
      </c>
      <c r="J130" s="124" t="s">
        <v>369</v>
      </c>
      <c r="K13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C0126</v>
      </c>
      <c r="L13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D0126</v>
      </c>
      <c r="M13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E0126</v>
      </c>
      <c r="N130" s="122" t="s">
        <v>71</v>
      </c>
      <c r="O130" s="126" t="n">
        <v>1000000</v>
      </c>
      <c r="P130" s="121" t="s">
        <v>18</v>
      </c>
      <c r="Q130" s="121" t="s">
        <v>124</v>
      </c>
      <c r="R130" s="127"/>
    </row>
    <row r="131" customFormat="false" ht="12.75" hidden="false" customHeight="true" outlineLevel="0" collapsed="false">
      <c r="B131" s="119" t="n">
        <f aca="false">ROW()-4</f>
        <v>127</v>
      </c>
      <c r="C131" s="120" t="n">
        <f aca="false">COUNTIFS($D$5:D131,D131)</f>
        <v>127</v>
      </c>
      <c r="D131" s="121" t="s">
        <v>121</v>
      </c>
      <c r="E131" s="122" t="s">
        <v>370</v>
      </c>
      <c r="F131" s="123" t="n">
        <v>43489</v>
      </c>
      <c r="G131" s="121" t="s">
        <v>30</v>
      </c>
      <c r="H13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A0127</v>
      </c>
      <c r="I13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B0127</v>
      </c>
      <c r="J131" s="124" t="s">
        <v>371</v>
      </c>
      <c r="K13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C0127</v>
      </c>
      <c r="L13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D0127</v>
      </c>
      <c r="M13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E0127</v>
      </c>
      <c r="N131" s="122" t="s">
        <v>71</v>
      </c>
      <c r="O131" s="126" t="n">
        <v>1000000</v>
      </c>
      <c r="P131" s="121" t="s">
        <v>18</v>
      </c>
      <c r="Q131" s="121" t="s">
        <v>124</v>
      </c>
      <c r="R131" s="127"/>
      <c r="T131" s="118"/>
    </row>
    <row r="132" customFormat="false" ht="12.75" hidden="false" customHeight="true" outlineLevel="0" collapsed="false">
      <c r="B132" s="119" t="n">
        <f aca="false">ROW()-4</f>
        <v>128</v>
      </c>
      <c r="C132" s="120" t="n">
        <f aca="false">COUNTIFS($D$5:D132,D132)</f>
        <v>128</v>
      </c>
      <c r="D132" s="121" t="s">
        <v>121</v>
      </c>
      <c r="E132" s="122" t="s">
        <v>372</v>
      </c>
      <c r="F132" s="123" t="n">
        <v>44029</v>
      </c>
      <c r="G132" s="121" t="s">
        <v>30</v>
      </c>
      <c r="H13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A0128</v>
      </c>
      <c r="I13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B0128</v>
      </c>
      <c r="J132" s="124" t="s">
        <v>373</v>
      </c>
      <c r="K13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C0128</v>
      </c>
      <c r="L13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D0128</v>
      </c>
      <c r="M13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E0128</v>
      </c>
      <c r="N132" s="122" t="s">
        <v>71</v>
      </c>
      <c r="O132" s="126" t="n">
        <v>1000000</v>
      </c>
      <c r="P132" s="121" t="s">
        <v>18</v>
      </c>
      <c r="Q132" s="121" t="s">
        <v>124</v>
      </c>
      <c r="R132" s="127"/>
      <c r="T132" s="118"/>
    </row>
    <row r="133" customFormat="false" ht="12.75" hidden="false" customHeight="true" outlineLevel="0" collapsed="false">
      <c r="B133" s="119" t="n">
        <f aca="false">ROW()-4</f>
        <v>129</v>
      </c>
      <c r="C133" s="120" t="n">
        <f aca="false">COUNTIFS($D$5:D133,D133)</f>
        <v>129</v>
      </c>
      <c r="D133" s="121" t="s">
        <v>121</v>
      </c>
      <c r="E133" s="122" t="s">
        <v>374</v>
      </c>
      <c r="F133" s="123" t="n">
        <v>44040</v>
      </c>
      <c r="G133" s="121" t="s">
        <v>30</v>
      </c>
      <c r="H13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A0129</v>
      </c>
      <c r="I13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B0129</v>
      </c>
      <c r="J133" s="124" t="s">
        <v>375</v>
      </c>
      <c r="K13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C0129</v>
      </c>
      <c r="L13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D0129</v>
      </c>
      <c r="M13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E0129</v>
      </c>
      <c r="N133" s="122" t="s">
        <v>71</v>
      </c>
      <c r="O133" s="126" t="n">
        <v>1000000</v>
      </c>
      <c r="P133" s="121" t="s">
        <v>18</v>
      </c>
      <c r="Q133" s="121" t="s">
        <v>124</v>
      </c>
      <c r="R133" s="127"/>
      <c r="T133" s="118"/>
    </row>
    <row r="134" customFormat="false" ht="12.75" hidden="false" customHeight="true" outlineLevel="0" collapsed="false">
      <c r="B134" s="119" t="n">
        <f aca="false">ROW()-4</f>
        <v>130</v>
      </c>
      <c r="C134" s="120" t="n">
        <f aca="false">COUNTIFS($D$5:D134,D134)</f>
        <v>130</v>
      </c>
      <c r="D134" s="121" t="s">
        <v>121</v>
      </c>
      <c r="E134" s="122" t="s">
        <v>376</v>
      </c>
      <c r="F134" s="123" t="n">
        <v>44050</v>
      </c>
      <c r="G134" s="121" t="s">
        <v>30</v>
      </c>
      <c r="H13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A0130</v>
      </c>
      <c r="I13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B0130</v>
      </c>
      <c r="J134" s="124" t="s">
        <v>377</v>
      </c>
      <c r="K13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C0130</v>
      </c>
      <c r="L13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D0130</v>
      </c>
      <c r="M13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E0130</v>
      </c>
      <c r="N134" s="122" t="s">
        <v>71</v>
      </c>
      <c r="O134" s="126" t="n">
        <v>1000000</v>
      </c>
      <c r="P134" s="121" t="s">
        <v>18</v>
      </c>
      <c r="Q134" s="121" t="s">
        <v>124</v>
      </c>
      <c r="R134" s="127"/>
      <c r="T134" s="118"/>
    </row>
    <row r="135" customFormat="false" ht="12.75" hidden="false" customHeight="true" outlineLevel="0" collapsed="false">
      <c r="B135" s="119" t="n">
        <f aca="false">ROW()-4</f>
        <v>131</v>
      </c>
      <c r="C135" s="120" t="n">
        <f aca="false">COUNTIFS($D$5:D135,D135)</f>
        <v>131</v>
      </c>
      <c r="D135" s="121" t="s">
        <v>121</v>
      </c>
      <c r="E135" s="122" t="s">
        <v>378</v>
      </c>
      <c r="F135" s="123" t="n">
        <v>42838</v>
      </c>
      <c r="G135" s="121" t="s">
        <v>30</v>
      </c>
      <c r="H13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A0131</v>
      </c>
      <c r="I13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B0131</v>
      </c>
      <c r="J135" s="124" t="s">
        <v>379</v>
      </c>
      <c r="K13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C0131</v>
      </c>
      <c r="L13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D0131</v>
      </c>
      <c r="M13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E0131</v>
      </c>
      <c r="N135" s="122" t="s">
        <v>71</v>
      </c>
      <c r="O135" s="126" t="n">
        <v>1000000</v>
      </c>
      <c r="P135" s="121" t="s">
        <v>18</v>
      </c>
      <c r="Q135" s="121" t="s">
        <v>124</v>
      </c>
      <c r="R135" s="127"/>
      <c r="T135" s="118"/>
    </row>
    <row r="136" customFormat="false" ht="12.75" hidden="false" customHeight="true" outlineLevel="0" collapsed="false">
      <c r="B136" s="119" t="n">
        <f aca="false">ROW()-4</f>
        <v>132</v>
      </c>
      <c r="C136" s="120" t="n">
        <f aca="false">COUNTIFS($D$5:D136,D136)</f>
        <v>132</v>
      </c>
      <c r="D136" s="121" t="s">
        <v>121</v>
      </c>
      <c r="E136" s="122" t="s">
        <v>380</v>
      </c>
      <c r="F136" s="123"/>
      <c r="G136" s="121" t="s">
        <v>210</v>
      </c>
      <c r="H136" s="122"/>
      <c r="I136" s="122"/>
      <c r="J136" s="122"/>
      <c r="K136" s="122"/>
      <c r="L136" s="125"/>
      <c r="M13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E0132</v>
      </c>
      <c r="N136" s="122" t="s">
        <v>71</v>
      </c>
      <c r="O136" s="126" t="n">
        <v>1000000</v>
      </c>
      <c r="P136" s="121" t="s">
        <v>19</v>
      </c>
      <c r="Q136" s="122"/>
      <c r="R136" s="128" t="s">
        <v>59</v>
      </c>
      <c r="T136" s="118"/>
    </row>
    <row r="137" customFormat="false" ht="12.75" hidden="false" customHeight="true" outlineLevel="0" collapsed="false">
      <c r="B137" s="119" t="n">
        <f aca="false">ROW()-4</f>
        <v>133</v>
      </c>
      <c r="C137" s="120" t="n">
        <f aca="false">COUNTIFS($D$5:D137,D137)</f>
        <v>133</v>
      </c>
      <c r="D137" s="121" t="s">
        <v>121</v>
      </c>
      <c r="E137" s="122" t="s">
        <v>381</v>
      </c>
      <c r="F137" s="123" t="n">
        <v>45694</v>
      </c>
      <c r="G137" s="121" t="s">
        <v>22</v>
      </c>
      <c r="H13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A0133</v>
      </c>
      <c r="I13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B0133</v>
      </c>
      <c r="J137" s="122" t="s">
        <v>382</v>
      </c>
      <c r="K13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C0133</v>
      </c>
      <c r="L13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D0133</v>
      </c>
      <c r="M13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E0133</v>
      </c>
      <c r="N137" s="122" t="s">
        <v>71</v>
      </c>
      <c r="O137" s="126" t="n">
        <v>1000000</v>
      </c>
      <c r="P137" s="121" t="s">
        <v>18</v>
      </c>
      <c r="Q137" s="121" t="s">
        <v>124</v>
      </c>
      <c r="R137" s="127"/>
      <c r="T137" s="118"/>
    </row>
    <row r="138" customFormat="false" ht="12.75" hidden="false" customHeight="true" outlineLevel="0" collapsed="false">
      <c r="B138" s="119" t="n">
        <f aca="false">ROW()-4</f>
        <v>134</v>
      </c>
      <c r="C138" s="120" t="n">
        <f aca="false">COUNTIFS($D$5:D138,D138)</f>
        <v>134</v>
      </c>
      <c r="D138" s="121" t="s">
        <v>121</v>
      </c>
      <c r="E138" s="122" t="s">
        <v>383</v>
      </c>
      <c r="F138" s="123" t="n">
        <v>45659</v>
      </c>
      <c r="G138" s="121" t="s">
        <v>22</v>
      </c>
      <c r="H13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A0134</v>
      </c>
      <c r="I13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B0134</v>
      </c>
      <c r="J138" s="122" t="s">
        <v>384</v>
      </c>
      <c r="K13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C0134</v>
      </c>
      <c r="L13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D0134</v>
      </c>
      <c r="M13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E0134</v>
      </c>
      <c r="N138" s="122" t="s">
        <v>71</v>
      </c>
      <c r="O138" s="126" t="n">
        <v>1000000</v>
      </c>
      <c r="P138" s="121" t="s">
        <v>18</v>
      </c>
      <c r="Q138" s="121" t="s">
        <v>124</v>
      </c>
      <c r="R138" s="127"/>
      <c r="T138" s="118"/>
    </row>
    <row r="139" customFormat="false" ht="12.75" hidden="false" customHeight="true" outlineLevel="0" collapsed="false">
      <c r="B139" s="119" t="n">
        <f aca="false">ROW()-4</f>
        <v>135</v>
      </c>
      <c r="C139" s="120" t="n">
        <f aca="false">COUNTIFS($D$5:D139,D139)</f>
        <v>135</v>
      </c>
      <c r="D139" s="121" t="s">
        <v>121</v>
      </c>
      <c r="E139" s="122" t="s">
        <v>385</v>
      </c>
      <c r="F139" s="123" t="n">
        <v>45602</v>
      </c>
      <c r="G139" s="121" t="s">
        <v>22</v>
      </c>
      <c r="H13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A0135</v>
      </c>
      <c r="I13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B0135</v>
      </c>
      <c r="J139" s="122" t="s">
        <v>386</v>
      </c>
      <c r="K13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C0135</v>
      </c>
      <c r="L13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D0135</v>
      </c>
      <c r="M13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E0135</v>
      </c>
      <c r="N139" s="122" t="s">
        <v>71</v>
      </c>
      <c r="O139" s="126" t="n">
        <v>1000000</v>
      </c>
      <c r="P139" s="121" t="s">
        <v>18</v>
      </c>
      <c r="Q139" s="121" t="s">
        <v>124</v>
      </c>
      <c r="R139" s="127"/>
      <c r="T139" s="118"/>
    </row>
    <row r="140" customFormat="false" ht="12.75" hidden="false" customHeight="true" outlineLevel="0" collapsed="false">
      <c r="B140" s="119" t="n">
        <f aca="false">ROW()-4</f>
        <v>136</v>
      </c>
      <c r="C140" s="120" t="n">
        <f aca="false">COUNTIFS($D$5:D140,D140)</f>
        <v>136</v>
      </c>
      <c r="D140" s="121" t="s">
        <v>121</v>
      </c>
      <c r="E140" s="122" t="s">
        <v>387</v>
      </c>
      <c r="F140" s="123" t="n">
        <v>45700</v>
      </c>
      <c r="G140" s="121" t="s">
        <v>30</v>
      </c>
      <c r="H14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A0136</v>
      </c>
      <c r="I14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B0136</v>
      </c>
      <c r="J140" s="122" t="s">
        <v>388</v>
      </c>
      <c r="K14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C0136</v>
      </c>
      <c r="L14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D0136</v>
      </c>
      <c r="M14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E0136</v>
      </c>
      <c r="N140" s="122" t="s">
        <v>71</v>
      </c>
      <c r="O140" s="126" t="n">
        <v>1000000</v>
      </c>
      <c r="P140" s="121" t="s">
        <v>18</v>
      </c>
      <c r="Q140" s="121" t="s">
        <v>124</v>
      </c>
      <c r="R140" s="127"/>
      <c r="T140" s="118"/>
    </row>
    <row r="141" s="118" customFormat="true" ht="12.75" hidden="false" customHeight="true" outlineLevel="0" collapsed="false">
      <c r="A141" s="98"/>
      <c r="B141" s="129" t="n">
        <f aca="false">ROW()-4</f>
        <v>137</v>
      </c>
      <c r="C141" s="130" t="n">
        <f aca="false">COUNTIFS($D$5:D141,D141)</f>
        <v>137</v>
      </c>
      <c r="D141" s="131" t="s">
        <v>121</v>
      </c>
      <c r="E141" s="132" t="s">
        <v>389</v>
      </c>
      <c r="F141" s="133" t="n">
        <v>45842</v>
      </c>
      <c r="G141" s="131" t="s">
        <v>30</v>
      </c>
      <c r="H141" s="13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A0137</v>
      </c>
      <c r="I141" s="13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B0137</v>
      </c>
      <c r="J141" s="132" t="s">
        <v>390</v>
      </c>
      <c r="K141" s="13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C0137</v>
      </c>
      <c r="L141" s="134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D0137</v>
      </c>
      <c r="M141" s="13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E0137</v>
      </c>
      <c r="N141" s="132" t="s">
        <v>71</v>
      </c>
      <c r="O141" s="135" t="n">
        <v>1000000</v>
      </c>
      <c r="P141" s="131" t="s">
        <v>18</v>
      </c>
      <c r="Q141" s="131" t="s">
        <v>124</v>
      </c>
      <c r="R141" s="136"/>
    </row>
    <row r="142" customFormat="false" ht="12.75" hidden="false" customHeight="true" outlineLevel="0" collapsed="false">
      <c r="B142" s="110" t="n">
        <f aca="false">ROW()-4</f>
        <v>138</v>
      </c>
      <c r="C142" s="111" t="n">
        <f aca="false">COUNTIFS($D$5:D142,D142)</f>
        <v>1</v>
      </c>
      <c r="D142" s="112" t="s">
        <v>391</v>
      </c>
      <c r="E142" s="113" t="s">
        <v>392</v>
      </c>
      <c r="F142" s="114" t="n">
        <v>45861</v>
      </c>
      <c r="G142" s="112" t="s">
        <v>22</v>
      </c>
      <c r="H142" s="11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A0138</v>
      </c>
      <c r="I142" s="11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B0138</v>
      </c>
      <c r="J142" s="113" t="s">
        <v>393</v>
      </c>
      <c r="K142" s="11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C0138</v>
      </c>
      <c r="L142" s="11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D0138</v>
      </c>
      <c r="M142" s="11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E0138</v>
      </c>
      <c r="N142" s="113" t="s">
        <v>73</v>
      </c>
      <c r="O142" s="116" t="n">
        <v>3500000</v>
      </c>
      <c r="P142" s="112" t="s">
        <v>18</v>
      </c>
      <c r="Q142" s="112" t="s">
        <v>124</v>
      </c>
      <c r="R142" s="117"/>
      <c r="T142" s="118"/>
    </row>
    <row r="143" customFormat="false" ht="12.75" hidden="false" customHeight="true" outlineLevel="0" collapsed="false">
      <c r="B143" s="119" t="n">
        <f aca="false">ROW()-4</f>
        <v>139</v>
      </c>
      <c r="C143" s="120" t="n">
        <f aca="false">COUNTIFS($D$5:D143,D143)</f>
        <v>2</v>
      </c>
      <c r="D143" s="121" t="s">
        <v>391</v>
      </c>
      <c r="E143" s="122" t="s">
        <v>394</v>
      </c>
      <c r="F143" s="123"/>
      <c r="G143" s="121" t="s">
        <v>210</v>
      </c>
      <c r="H143" s="122"/>
      <c r="I143" s="122"/>
      <c r="J143" s="122"/>
      <c r="K143" s="122"/>
      <c r="L143" s="125"/>
      <c r="M14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E0139</v>
      </c>
      <c r="N143" s="122" t="s">
        <v>73</v>
      </c>
      <c r="O143" s="126" t="n">
        <v>3500000</v>
      </c>
      <c r="P143" s="121" t="s">
        <v>19</v>
      </c>
      <c r="Q143" s="122"/>
      <c r="R143" s="128" t="s">
        <v>59</v>
      </c>
      <c r="T143" s="118"/>
    </row>
    <row r="144" customFormat="false" ht="12.75" hidden="false" customHeight="true" outlineLevel="0" collapsed="false">
      <c r="B144" s="119" t="n">
        <f aca="false">ROW()-4</f>
        <v>140</v>
      </c>
      <c r="C144" s="120" t="n">
        <f aca="false">COUNTIFS($D$5:D144,D144)</f>
        <v>3</v>
      </c>
      <c r="D144" s="121" t="s">
        <v>391</v>
      </c>
      <c r="E144" s="122" t="s">
        <v>395</v>
      </c>
      <c r="F144" s="123" t="n">
        <v>44683</v>
      </c>
      <c r="G144" s="121" t="s">
        <v>22</v>
      </c>
      <c r="H14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A0140</v>
      </c>
      <c r="I14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B0140</v>
      </c>
      <c r="J144" s="122" t="s">
        <v>396</v>
      </c>
      <c r="K14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C0140</v>
      </c>
      <c r="L14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D0140</v>
      </c>
      <c r="M14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E0140</v>
      </c>
      <c r="N144" s="122" t="s">
        <v>73</v>
      </c>
      <c r="O144" s="126" t="n">
        <v>3500000</v>
      </c>
      <c r="P144" s="121" t="s">
        <v>18</v>
      </c>
      <c r="Q144" s="121" t="s">
        <v>124</v>
      </c>
      <c r="R144" s="127"/>
      <c r="T144" s="118"/>
    </row>
    <row r="145" customFormat="false" ht="12.75" hidden="false" customHeight="true" outlineLevel="0" collapsed="false">
      <c r="B145" s="119" t="n">
        <f aca="false">ROW()-4</f>
        <v>141</v>
      </c>
      <c r="C145" s="120" t="n">
        <f aca="false">COUNTIFS($D$5:D145,D145)</f>
        <v>4</v>
      </c>
      <c r="D145" s="121" t="s">
        <v>391</v>
      </c>
      <c r="E145" s="122" t="s">
        <v>397</v>
      </c>
      <c r="F145" s="123" t="n">
        <v>45576</v>
      </c>
      <c r="G145" s="121" t="s">
        <v>22</v>
      </c>
      <c r="H14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A0141</v>
      </c>
      <c r="I14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B0141</v>
      </c>
      <c r="J145" s="122" t="s">
        <v>398</v>
      </c>
      <c r="K14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C0141</v>
      </c>
      <c r="L14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D0141</v>
      </c>
      <c r="M14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E0141</v>
      </c>
      <c r="N145" s="122" t="s">
        <v>73</v>
      </c>
      <c r="O145" s="126" t="n">
        <v>3500000</v>
      </c>
      <c r="P145" s="121" t="s">
        <v>18</v>
      </c>
      <c r="Q145" s="121" t="s">
        <v>124</v>
      </c>
      <c r="R145" s="127"/>
      <c r="T145" s="118"/>
    </row>
    <row r="146" customFormat="false" ht="12.75" hidden="false" customHeight="true" outlineLevel="0" collapsed="false">
      <c r="B146" s="119" t="n">
        <f aca="false">ROW()-4</f>
        <v>142</v>
      </c>
      <c r="C146" s="120" t="n">
        <f aca="false">COUNTIFS($D$5:D146,D146)</f>
        <v>5</v>
      </c>
      <c r="D146" s="121" t="s">
        <v>391</v>
      </c>
      <c r="E146" s="122" t="s">
        <v>399</v>
      </c>
      <c r="F146" s="123" t="n">
        <v>44708</v>
      </c>
      <c r="G146" s="121" t="s">
        <v>22</v>
      </c>
      <c r="H14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A0142</v>
      </c>
      <c r="I14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B0142</v>
      </c>
      <c r="J146" s="122" t="s">
        <v>400</v>
      </c>
      <c r="K14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C0142</v>
      </c>
      <c r="L14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D0142</v>
      </c>
      <c r="M14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E0142</v>
      </c>
      <c r="N146" s="122" t="s">
        <v>73</v>
      </c>
      <c r="O146" s="126" t="n">
        <v>3500000</v>
      </c>
      <c r="P146" s="121" t="s">
        <v>18</v>
      </c>
      <c r="Q146" s="121" t="s">
        <v>124</v>
      </c>
      <c r="R146" s="127"/>
      <c r="T146" s="118"/>
    </row>
    <row r="147" customFormat="false" ht="12.75" hidden="false" customHeight="true" outlineLevel="0" collapsed="false">
      <c r="B147" s="119" t="n">
        <f aca="false">ROW()-4</f>
        <v>143</v>
      </c>
      <c r="C147" s="120" t="n">
        <f aca="false">COUNTIFS($D$5:D147,D147)</f>
        <v>6</v>
      </c>
      <c r="D147" s="121" t="s">
        <v>391</v>
      </c>
      <c r="E147" s="122" t="s">
        <v>401</v>
      </c>
      <c r="F147" s="123" t="n">
        <v>45820</v>
      </c>
      <c r="G147" s="121" t="s">
        <v>22</v>
      </c>
      <c r="H14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A0143</v>
      </c>
      <c r="I14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B0143</v>
      </c>
      <c r="J147" s="122" t="s">
        <v>402</v>
      </c>
      <c r="K14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C0143</v>
      </c>
      <c r="L14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D0143</v>
      </c>
      <c r="M14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E0143</v>
      </c>
      <c r="N147" s="122" t="s">
        <v>73</v>
      </c>
      <c r="O147" s="126" t="n">
        <v>3500000</v>
      </c>
      <c r="P147" s="121" t="s">
        <v>18</v>
      </c>
      <c r="Q147" s="121" t="s">
        <v>124</v>
      </c>
      <c r="R147" s="127"/>
      <c r="T147" s="118"/>
    </row>
    <row r="148" customFormat="false" ht="12.75" hidden="false" customHeight="true" outlineLevel="0" collapsed="false">
      <c r="B148" s="119" t="n">
        <f aca="false">ROW()-4</f>
        <v>144</v>
      </c>
      <c r="C148" s="120" t="n">
        <f aca="false">COUNTIFS($D$5:D148,D148)</f>
        <v>7</v>
      </c>
      <c r="D148" s="121" t="s">
        <v>391</v>
      </c>
      <c r="E148" s="122" t="s">
        <v>403</v>
      </c>
      <c r="F148" s="123" t="n">
        <v>44729</v>
      </c>
      <c r="G148" s="121" t="s">
        <v>22</v>
      </c>
      <c r="H14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A0144</v>
      </c>
      <c r="I14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B0144</v>
      </c>
      <c r="J148" s="122" t="s">
        <v>404</v>
      </c>
      <c r="K14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C0144</v>
      </c>
      <c r="L14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D0144</v>
      </c>
      <c r="M14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E0144</v>
      </c>
      <c r="N148" s="122" t="s">
        <v>73</v>
      </c>
      <c r="O148" s="126" t="n">
        <v>3500000</v>
      </c>
      <c r="P148" s="121" t="s">
        <v>18</v>
      </c>
      <c r="Q148" s="121" t="s">
        <v>124</v>
      </c>
      <c r="R148" s="127"/>
      <c r="T148" s="118"/>
    </row>
    <row r="149" customFormat="false" ht="12.75" hidden="false" customHeight="true" outlineLevel="0" collapsed="false">
      <c r="B149" s="119" t="n">
        <f aca="false">ROW()-4</f>
        <v>145</v>
      </c>
      <c r="C149" s="120" t="n">
        <f aca="false">COUNTIFS($D$5:D149,D149)</f>
        <v>8</v>
      </c>
      <c r="D149" s="121" t="s">
        <v>391</v>
      </c>
      <c r="E149" s="122" t="s">
        <v>405</v>
      </c>
      <c r="F149" s="123" t="n">
        <v>44719</v>
      </c>
      <c r="G149" s="121" t="s">
        <v>22</v>
      </c>
      <c r="H14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A0145</v>
      </c>
      <c r="I14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B0145</v>
      </c>
      <c r="J149" s="122" t="s">
        <v>406</v>
      </c>
      <c r="K14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C0145</v>
      </c>
      <c r="L14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D0145</v>
      </c>
      <c r="M14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E0145</v>
      </c>
      <c r="N149" s="122" t="s">
        <v>73</v>
      </c>
      <c r="O149" s="126" t="n">
        <v>3500000</v>
      </c>
      <c r="P149" s="121" t="s">
        <v>18</v>
      </c>
      <c r="Q149" s="121" t="s">
        <v>124</v>
      </c>
      <c r="R149" s="127"/>
      <c r="T149" s="118"/>
    </row>
    <row r="150" customFormat="false" ht="12.75" hidden="false" customHeight="true" outlineLevel="0" collapsed="false">
      <c r="B150" s="119" t="n">
        <f aca="false">ROW()-4</f>
        <v>146</v>
      </c>
      <c r="C150" s="120" t="n">
        <f aca="false">COUNTIFS($D$5:D150,D150)</f>
        <v>9</v>
      </c>
      <c r="D150" s="121" t="s">
        <v>391</v>
      </c>
      <c r="E150" s="122" t="s">
        <v>407</v>
      </c>
      <c r="F150" s="123" t="n">
        <v>44715</v>
      </c>
      <c r="G150" s="121" t="s">
        <v>28</v>
      </c>
      <c r="H15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A0146</v>
      </c>
      <c r="I15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B0146</v>
      </c>
      <c r="J150" s="122" t="s">
        <v>408</v>
      </c>
      <c r="K15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C0146</v>
      </c>
      <c r="L15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D0146</v>
      </c>
      <c r="M15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E0146</v>
      </c>
      <c r="N150" s="122" t="s">
        <v>73</v>
      </c>
      <c r="O150" s="126" t="n">
        <v>3500000</v>
      </c>
      <c r="P150" s="121" t="s">
        <v>18</v>
      </c>
      <c r="Q150" s="121" t="s">
        <v>124</v>
      </c>
      <c r="R150" s="127"/>
      <c r="T150" s="118"/>
    </row>
    <row r="151" customFormat="false" ht="12.75" hidden="false" customHeight="true" outlineLevel="0" collapsed="false">
      <c r="B151" s="119" t="n">
        <f aca="false">ROW()-4</f>
        <v>147</v>
      </c>
      <c r="C151" s="120" t="n">
        <f aca="false">COUNTIFS($D$5:D151,D151)</f>
        <v>10</v>
      </c>
      <c r="D151" s="121" t="s">
        <v>391</v>
      </c>
      <c r="E151" s="122" t="s">
        <v>409</v>
      </c>
      <c r="F151" s="123" t="n">
        <v>45968</v>
      </c>
      <c r="G151" s="121" t="s">
        <v>28</v>
      </c>
      <c r="H15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A0147</v>
      </c>
      <c r="I15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B0147</v>
      </c>
      <c r="J151" s="122" t="s">
        <v>410</v>
      </c>
      <c r="K15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C0147</v>
      </c>
      <c r="L15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D0147</v>
      </c>
      <c r="M15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E0147</v>
      </c>
      <c r="N151" s="122" t="s">
        <v>73</v>
      </c>
      <c r="O151" s="126" t="n">
        <v>3500000</v>
      </c>
      <c r="P151" s="121" t="s">
        <v>18</v>
      </c>
      <c r="Q151" s="121" t="s">
        <v>124</v>
      </c>
      <c r="R151" s="127"/>
      <c r="T151" s="118"/>
    </row>
    <row r="152" customFormat="false" ht="12.75" hidden="false" customHeight="true" outlineLevel="0" collapsed="false">
      <c r="B152" s="119" t="n">
        <f aca="false">ROW()-4</f>
        <v>148</v>
      </c>
      <c r="C152" s="120" t="n">
        <f aca="false">COUNTIFS($D$5:D152,D152)</f>
        <v>11</v>
      </c>
      <c r="D152" s="121" t="s">
        <v>391</v>
      </c>
      <c r="E152" s="122" t="s">
        <v>411</v>
      </c>
      <c r="F152" s="123" t="n">
        <v>45483</v>
      </c>
      <c r="G152" s="121" t="s">
        <v>24</v>
      </c>
      <c r="H15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A0148</v>
      </c>
      <c r="I15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B0148</v>
      </c>
      <c r="J152" s="122" t="s">
        <v>412</v>
      </c>
      <c r="K15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C0148</v>
      </c>
      <c r="L15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D0148</v>
      </c>
      <c r="M15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E0148</v>
      </c>
      <c r="N152" s="122" t="s">
        <v>73</v>
      </c>
      <c r="O152" s="126" t="n">
        <v>3500000</v>
      </c>
      <c r="P152" s="121" t="s">
        <v>18</v>
      </c>
      <c r="Q152" s="121" t="s">
        <v>124</v>
      </c>
      <c r="R152" s="127"/>
      <c r="T152" s="118"/>
    </row>
    <row r="153" customFormat="false" ht="12.75" hidden="false" customHeight="true" outlineLevel="0" collapsed="false">
      <c r="B153" s="119" t="n">
        <f aca="false">ROW()-4</f>
        <v>149</v>
      </c>
      <c r="C153" s="120" t="n">
        <f aca="false">COUNTIFS($D$5:D153,D153)</f>
        <v>12</v>
      </c>
      <c r="D153" s="121" t="s">
        <v>391</v>
      </c>
      <c r="E153" s="122" t="s">
        <v>413</v>
      </c>
      <c r="F153" s="123"/>
      <c r="G153" s="121" t="s">
        <v>210</v>
      </c>
      <c r="H153" s="122"/>
      <c r="I153" s="122"/>
      <c r="J153" s="122"/>
      <c r="K153" s="122"/>
      <c r="L153" s="125"/>
      <c r="M15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E0149</v>
      </c>
      <c r="N153" s="122" t="s">
        <v>73</v>
      </c>
      <c r="O153" s="126" t="n">
        <v>3500000</v>
      </c>
      <c r="P153" s="121" t="s">
        <v>19</v>
      </c>
      <c r="Q153" s="122"/>
      <c r="R153" s="128" t="s">
        <v>59</v>
      </c>
      <c r="T153" s="118"/>
    </row>
    <row r="154" customFormat="false" ht="12.75" hidden="false" customHeight="true" outlineLevel="0" collapsed="false">
      <c r="B154" s="119" t="n">
        <f aca="false">ROW()-4</f>
        <v>150</v>
      </c>
      <c r="C154" s="120" t="n">
        <f aca="false">COUNTIFS($D$5:D154,D154)</f>
        <v>13</v>
      </c>
      <c r="D154" s="121" t="s">
        <v>391</v>
      </c>
      <c r="E154" s="122" t="s">
        <v>414</v>
      </c>
      <c r="F154" s="123" t="n">
        <v>44728</v>
      </c>
      <c r="G154" s="121" t="s">
        <v>24</v>
      </c>
      <c r="H15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A0150</v>
      </c>
      <c r="I15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B0150</v>
      </c>
      <c r="J154" s="122" t="s">
        <v>415</v>
      </c>
      <c r="K15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C0150</v>
      </c>
      <c r="L15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D0150</v>
      </c>
      <c r="M15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E0150</v>
      </c>
      <c r="N154" s="122" t="s">
        <v>73</v>
      </c>
      <c r="O154" s="126" t="n">
        <v>3500000</v>
      </c>
      <c r="P154" s="121" t="s">
        <v>18</v>
      </c>
      <c r="Q154" s="121" t="s">
        <v>124</v>
      </c>
      <c r="R154" s="127"/>
      <c r="T154" s="118"/>
    </row>
    <row r="155" customFormat="false" ht="12.75" hidden="false" customHeight="true" outlineLevel="0" collapsed="false">
      <c r="B155" s="119" t="n">
        <f aca="false">ROW()-4</f>
        <v>151</v>
      </c>
      <c r="C155" s="120" t="n">
        <f aca="false">COUNTIFS($D$5:D155,D155)</f>
        <v>14</v>
      </c>
      <c r="D155" s="121" t="s">
        <v>391</v>
      </c>
      <c r="E155" s="122" t="s">
        <v>416</v>
      </c>
      <c r="F155" s="123" t="n">
        <v>44712</v>
      </c>
      <c r="G155" s="121" t="s">
        <v>26</v>
      </c>
      <c r="H15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A0151</v>
      </c>
      <c r="I15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B0151</v>
      </c>
      <c r="J155" s="122" t="s">
        <v>417</v>
      </c>
      <c r="K15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C0151</v>
      </c>
      <c r="L15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D0151</v>
      </c>
      <c r="M15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E0151</v>
      </c>
      <c r="N155" s="122" t="s">
        <v>73</v>
      </c>
      <c r="O155" s="126" t="n">
        <v>3500000</v>
      </c>
      <c r="P155" s="121" t="s">
        <v>18</v>
      </c>
      <c r="Q155" s="121" t="s">
        <v>124</v>
      </c>
      <c r="R155" s="127"/>
      <c r="T155" s="118"/>
    </row>
    <row r="156" customFormat="false" ht="12.75" hidden="false" customHeight="true" outlineLevel="0" collapsed="false">
      <c r="B156" s="119" t="n">
        <f aca="false">ROW()-4</f>
        <v>152</v>
      </c>
      <c r="C156" s="120" t="n">
        <f aca="false">COUNTIFS($D$5:D156,D156)</f>
        <v>15</v>
      </c>
      <c r="D156" s="121" t="s">
        <v>391</v>
      </c>
      <c r="E156" s="122" t="s">
        <v>418</v>
      </c>
      <c r="F156" s="123" t="n">
        <v>44712</v>
      </c>
      <c r="G156" s="121" t="s">
        <v>26</v>
      </c>
      <c r="H15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A0152</v>
      </c>
      <c r="I15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B0152</v>
      </c>
      <c r="J156" s="122" t="s">
        <v>419</v>
      </c>
      <c r="K15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C0152</v>
      </c>
      <c r="L15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D0152</v>
      </c>
      <c r="M15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E0152</v>
      </c>
      <c r="N156" s="122" t="s">
        <v>73</v>
      </c>
      <c r="O156" s="126" t="n">
        <v>3500000</v>
      </c>
      <c r="P156" s="121" t="s">
        <v>18</v>
      </c>
      <c r="Q156" s="121" t="s">
        <v>124</v>
      </c>
      <c r="R156" s="127"/>
      <c r="T156" s="118"/>
    </row>
    <row r="157" customFormat="false" ht="12.75" hidden="false" customHeight="true" outlineLevel="0" collapsed="false">
      <c r="B157" s="119" t="n">
        <f aca="false">ROW()-4</f>
        <v>153</v>
      </c>
      <c r="C157" s="120" t="n">
        <f aca="false">COUNTIFS($D$5:D157,D157)</f>
        <v>16</v>
      </c>
      <c r="D157" s="121" t="s">
        <v>391</v>
      </c>
      <c r="E157" s="122" t="s">
        <v>420</v>
      </c>
      <c r="F157" s="123" t="n">
        <v>44719</v>
      </c>
      <c r="G157" s="121" t="s">
        <v>26</v>
      </c>
      <c r="H15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A0153</v>
      </c>
      <c r="I15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B0153</v>
      </c>
      <c r="J157" s="122" t="s">
        <v>421</v>
      </c>
      <c r="K15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C0153</v>
      </c>
      <c r="L15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D0153</v>
      </c>
      <c r="M15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E0153</v>
      </c>
      <c r="N157" s="122" t="s">
        <v>73</v>
      </c>
      <c r="O157" s="126" t="n">
        <v>3500000</v>
      </c>
      <c r="P157" s="121" t="s">
        <v>18</v>
      </c>
      <c r="Q157" s="121" t="s">
        <v>124</v>
      </c>
      <c r="R157" s="127"/>
      <c r="T157" s="118"/>
    </row>
    <row r="158" customFormat="false" ht="12.75" hidden="false" customHeight="true" outlineLevel="0" collapsed="false">
      <c r="B158" s="119" t="n">
        <f aca="false">ROW()-4</f>
        <v>154</v>
      </c>
      <c r="C158" s="120" t="n">
        <f aca="false">COUNTIFS($D$5:D158,D158)</f>
        <v>17</v>
      </c>
      <c r="D158" s="121" t="s">
        <v>391</v>
      </c>
      <c r="E158" s="122" t="s">
        <v>422</v>
      </c>
      <c r="F158" s="123" t="n">
        <v>45247</v>
      </c>
      <c r="G158" s="121" t="s">
        <v>28</v>
      </c>
      <c r="H15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A0154</v>
      </c>
      <c r="I15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B0154</v>
      </c>
      <c r="J158" s="122" t="s">
        <v>423</v>
      </c>
      <c r="K15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C0154</v>
      </c>
      <c r="L15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D0154</v>
      </c>
      <c r="M15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E0154</v>
      </c>
      <c r="N158" s="122" t="s">
        <v>73</v>
      </c>
      <c r="O158" s="126" t="n">
        <v>3500000</v>
      </c>
      <c r="P158" s="121" t="s">
        <v>18</v>
      </c>
      <c r="Q158" s="121" t="s">
        <v>124</v>
      </c>
      <c r="R158" s="127"/>
      <c r="T158" s="118"/>
    </row>
    <row r="159" customFormat="false" ht="12.75" hidden="false" customHeight="true" outlineLevel="0" collapsed="false">
      <c r="B159" s="119" t="n">
        <f aca="false">ROW()-4</f>
        <v>155</v>
      </c>
      <c r="C159" s="120" t="n">
        <f aca="false">COUNTIFS($D$5:D159,D159)</f>
        <v>18</v>
      </c>
      <c r="D159" s="121" t="s">
        <v>391</v>
      </c>
      <c r="E159" s="122" t="s">
        <v>424</v>
      </c>
      <c r="F159" s="123" t="n">
        <v>44755</v>
      </c>
      <c r="G159" s="121" t="s">
        <v>28</v>
      </c>
      <c r="H15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A0155</v>
      </c>
      <c r="I15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B0155</v>
      </c>
      <c r="J159" s="122" t="s">
        <v>425</v>
      </c>
      <c r="K15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C0155</v>
      </c>
      <c r="L15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D0155</v>
      </c>
      <c r="M15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E0155</v>
      </c>
      <c r="N159" s="122" t="s">
        <v>73</v>
      </c>
      <c r="O159" s="126" t="n">
        <v>3500000</v>
      </c>
      <c r="P159" s="121" t="s">
        <v>18</v>
      </c>
      <c r="Q159" s="121" t="s">
        <v>124</v>
      </c>
      <c r="R159" s="127"/>
      <c r="T159" s="118"/>
    </row>
    <row r="160" customFormat="false" ht="12.75" hidden="false" customHeight="true" outlineLevel="0" collapsed="false">
      <c r="B160" s="119" t="n">
        <f aca="false">ROW()-4</f>
        <v>156</v>
      </c>
      <c r="C160" s="120" t="n">
        <f aca="false">COUNTIFS($D$5:D160,D160)</f>
        <v>19</v>
      </c>
      <c r="D160" s="121" t="s">
        <v>391</v>
      </c>
      <c r="E160" s="122" t="s">
        <v>426</v>
      </c>
      <c r="F160" s="123" t="n">
        <v>44740</v>
      </c>
      <c r="G160" s="121" t="s">
        <v>28</v>
      </c>
      <c r="H16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A0156</v>
      </c>
      <c r="I16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B0156</v>
      </c>
      <c r="J160" s="122" t="s">
        <v>427</v>
      </c>
      <c r="K16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C0156</v>
      </c>
      <c r="L16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D0156</v>
      </c>
      <c r="M16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E0156</v>
      </c>
      <c r="N160" s="122" t="s">
        <v>73</v>
      </c>
      <c r="O160" s="126" t="n">
        <v>3500000</v>
      </c>
      <c r="P160" s="121" t="s">
        <v>18</v>
      </c>
      <c r="Q160" s="121" t="s">
        <v>124</v>
      </c>
      <c r="R160" s="127"/>
      <c r="T160" s="118"/>
    </row>
    <row r="161" customFormat="false" ht="12.75" hidden="false" customHeight="true" outlineLevel="0" collapsed="false">
      <c r="B161" s="119" t="n">
        <f aca="false">ROW()-4</f>
        <v>157</v>
      </c>
      <c r="C161" s="120" t="n">
        <f aca="false">COUNTIFS($D$5:D161,D161)</f>
        <v>20</v>
      </c>
      <c r="D161" s="121" t="s">
        <v>391</v>
      </c>
      <c r="E161" s="122" t="s">
        <v>428</v>
      </c>
      <c r="F161" s="123" t="n">
        <v>44873</v>
      </c>
      <c r="G161" s="121" t="s">
        <v>24</v>
      </c>
      <c r="H16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A0157</v>
      </c>
      <c r="I16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B0157</v>
      </c>
      <c r="J161" s="122" t="s">
        <v>429</v>
      </c>
      <c r="K16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C0157</v>
      </c>
      <c r="L16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D0157</v>
      </c>
      <c r="M16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E0157</v>
      </c>
      <c r="N161" s="122" t="s">
        <v>73</v>
      </c>
      <c r="O161" s="126" t="n">
        <v>3500000</v>
      </c>
      <c r="P161" s="121" t="s">
        <v>18</v>
      </c>
      <c r="Q161" s="121" t="s">
        <v>124</v>
      </c>
      <c r="R161" s="127"/>
      <c r="T161" s="118"/>
    </row>
    <row r="162" customFormat="false" ht="12.75" hidden="false" customHeight="true" outlineLevel="0" collapsed="false">
      <c r="B162" s="119" t="n">
        <f aca="false">ROW()-4</f>
        <v>158</v>
      </c>
      <c r="C162" s="120" t="n">
        <f aca="false">COUNTIFS($D$5:D162,D162)</f>
        <v>21</v>
      </c>
      <c r="D162" s="121" t="s">
        <v>391</v>
      </c>
      <c r="E162" s="122" t="s">
        <v>430</v>
      </c>
      <c r="F162" s="123" t="n">
        <v>42956</v>
      </c>
      <c r="G162" s="121" t="s">
        <v>24</v>
      </c>
      <c r="H16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A0158</v>
      </c>
      <c r="I16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B0158</v>
      </c>
      <c r="J162" s="122" t="s">
        <v>431</v>
      </c>
      <c r="K16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C0158</v>
      </c>
      <c r="L16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D0158</v>
      </c>
      <c r="M16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E0158</v>
      </c>
      <c r="N162" s="122" t="s">
        <v>73</v>
      </c>
      <c r="O162" s="126" t="n">
        <v>3500000</v>
      </c>
      <c r="P162" s="121" t="s">
        <v>18</v>
      </c>
      <c r="Q162" s="121" t="s">
        <v>124</v>
      </c>
      <c r="R162" s="127"/>
      <c r="T162" s="118"/>
    </row>
    <row r="163" customFormat="false" ht="12.75" hidden="false" customHeight="true" outlineLevel="0" collapsed="false">
      <c r="B163" s="119" t="n">
        <f aca="false">ROW()-4</f>
        <v>159</v>
      </c>
      <c r="C163" s="120" t="n">
        <f aca="false">COUNTIFS($D$5:D163,D163)</f>
        <v>22</v>
      </c>
      <c r="D163" s="121" t="s">
        <v>391</v>
      </c>
      <c r="E163" s="122" t="s">
        <v>432</v>
      </c>
      <c r="F163" s="123" t="n">
        <v>44733</v>
      </c>
      <c r="G163" s="121" t="s">
        <v>24</v>
      </c>
      <c r="H16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A0159</v>
      </c>
      <c r="I16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B0159</v>
      </c>
      <c r="J163" s="124" t="s">
        <v>433</v>
      </c>
      <c r="K16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C0159</v>
      </c>
      <c r="L16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D0159</v>
      </c>
      <c r="M16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E0159</v>
      </c>
      <c r="N163" s="122" t="s">
        <v>73</v>
      </c>
      <c r="O163" s="126" t="n">
        <v>3500000</v>
      </c>
      <c r="P163" s="121" t="s">
        <v>18</v>
      </c>
      <c r="Q163" s="121" t="s">
        <v>124</v>
      </c>
      <c r="R163" s="127"/>
      <c r="T163" s="118"/>
    </row>
    <row r="164" customFormat="false" ht="12.75" hidden="false" customHeight="true" outlineLevel="0" collapsed="false">
      <c r="B164" s="119" t="n">
        <f aca="false">ROW()-4</f>
        <v>160</v>
      </c>
      <c r="C164" s="120" t="n">
        <f aca="false">COUNTIFS($D$5:D164,D164)</f>
        <v>23</v>
      </c>
      <c r="D164" s="121" t="s">
        <v>391</v>
      </c>
      <c r="E164" s="122" t="s">
        <v>434</v>
      </c>
      <c r="F164" s="123" t="n">
        <v>45807</v>
      </c>
      <c r="G164" s="121" t="s">
        <v>24</v>
      </c>
      <c r="H16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A0160</v>
      </c>
      <c r="I16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B0160</v>
      </c>
      <c r="J164" s="122" t="s">
        <v>435</v>
      </c>
      <c r="K16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C0160</v>
      </c>
      <c r="L16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D0160</v>
      </c>
      <c r="M16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E0160</v>
      </c>
      <c r="N164" s="122" t="s">
        <v>73</v>
      </c>
      <c r="O164" s="126" t="n">
        <v>3500000</v>
      </c>
      <c r="P164" s="121" t="s">
        <v>18</v>
      </c>
      <c r="Q164" s="121" t="s">
        <v>124</v>
      </c>
      <c r="R164" s="127"/>
      <c r="T164" s="118"/>
    </row>
    <row r="165" customFormat="false" ht="12.75" hidden="false" customHeight="true" outlineLevel="0" collapsed="false">
      <c r="B165" s="119" t="n">
        <f aca="false">ROW()-4</f>
        <v>161</v>
      </c>
      <c r="C165" s="120" t="n">
        <f aca="false">COUNTIFS($D$5:D165,D165)</f>
        <v>24</v>
      </c>
      <c r="D165" s="121" t="s">
        <v>391</v>
      </c>
      <c r="E165" s="122" t="s">
        <v>436</v>
      </c>
      <c r="F165" s="123" t="n">
        <v>44756</v>
      </c>
      <c r="G165" s="121" t="s">
        <v>24</v>
      </c>
      <c r="H16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A0161</v>
      </c>
      <c r="I16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B0161</v>
      </c>
      <c r="J165" s="124" t="s">
        <v>437</v>
      </c>
      <c r="K16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C0161</v>
      </c>
      <c r="L16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D0161</v>
      </c>
      <c r="M16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E0161</v>
      </c>
      <c r="N165" s="122" t="s">
        <v>73</v>
      </c>
      <c r="O165" s="126" t="n">
        <v>3500000</v>
      </c>
      <c r="P165" s="121" t="s">
        <v>18</v>
      </c>
      <c r="Q165" s="121" t="s">
        <v>124</v>
      </c>
      <c r="R165" s="127"/>
      <c r="T165" s="118"/>
    </row>
    <row r="166" customFormat="false" ht="12.75" hidden="false" customHeight="true" outlineLevel="0" collapsed="false">
      <c r="B166" s="119" t="n">
        <f aca="false">ROW()-4</f>
        <v>162</v>
      </c>
      <c r="C166" s="120" t="n">
        <f aca="false">COUNTIFS($D$5:D166,D166)</f>
        <v>25</v>
      </c>
      <c r="D166" s="121" t="s">
        <v>391</v>
      </c>
      <c r="E166" s="122" t="s">
        <v>438</v>
      </c>
      <c r="F166" s="123" t="n">
        <v>45881</v>
      </c>
      <c r="G166" s="121" t="s">
        <v>24</v>
      </c>
      <c r="H16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A0162</v>
      </c>
      <c r="I16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B0162</v>
      </c>
      <c r="J166" s="122" t="s">
        <v>439</v>
      </c>
      <c r="K16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C0162</v>
      </c>
      <c r="L16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D0162</v>
      </c>
      <c r="M16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E0162</v>
      </c>
      <c r="N166" s="122" t="s">
        <v>73</v>
      </c>
      <c r="O166" s="126" t="n">
        <v>3500000</v>
      </c>
      <c r="P166" s="121" t="s">
        <v>18</v>
      </c>
      <c r="Q166" s="121" t="s">
        <v>124</v>
      </c>
      <c r="R166" s="127"/>
      <c r="T166" s="118"/>
    </row>
    <row r="167" customFormat="false" ht="12.75" hidden="false" customHeight="true" outlineLevel="0" collapsed="false">
      <c r="B167" s="119" t="n">
        <f aca="false">ROW()-4</f>
        <v>163</v>
      </c>
      <c r="C167" s="120" t="n">
        <f aca="false">COUNTIFS($D$5:D167,D167)</f>
        <v>26</v>
      </c>
      <c r="D167" s="121" t="s">
        <v>391</v>
      </c>
      <c r="E167" s="122" t="s">
        <v>440</v>
      </c>
      <c r="F167" s="123" t="n">
        <v>45750</v>
      </c>
      <c r="G167" s="121" t="s">
        <v>26</v>
      </c>
      <c r="H16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A0163</v>
      </c>
      <c r="I16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B0163</v>
      </c>
      <c r="J167" s="122" t="s">
        <v>441</v>
      </c>
      <c r="K16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C0163</v>
      </c>
      <c r="L16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D0163</v>
      </c>
      <c r="M16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E0163</v>
      </c>
      <c r="N167" s="122" t="s">
        <v>73</v>
      </c>
      <c r="O167" s="126" t="n">
        <v>3500000</v>
      </c>
      <c r="P167" s="121" t="s">
        <v>18</v>
      </c>
      <c r="Q167" s="121" t="s">
        <v>124</v>
      </c>
      <c r="R167" s="127"/>
      <c r="T167" s="118"/>
    </row>
    <row r="168" customFormat="false" ht="12.75" hidden="false" customHeight="true" outlineLevel="0" collapsed="false">
      <c r="B168" s="119" t="n">
        <f aca="false">ROW()-4</f>
        <v>164</v>
      </c>
      <c r="C168" s="120" t="n">
        <f aca="false">COUNTIFS($D$5:D168,D168)</f>
        <v>27</v>
      </c>
      <c r="D168" s="121" t="s">
        <v>391</v>
      </c>
      <c r="E168" s="122" t="s">
        <v>442</v>
      </c>
      <c r="F168" s="123" t="n">
        <v>44763</v>
      </c>
      <c r="G168" s="121" t="s">
        <v>26</v>
      </c>
      <c r="H16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A0164</v>
      </c>
      <c r="I16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B0164</v>
      </c>
      <c r="J168" s="122" t="s">
        <v>443</v>
      </c>
      <c r="K16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C0164</v>
      </c>
      <c r="L16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D0164</v>
      </c>
      <c r="M16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E0164</v>
      </c>
      <c r="N168" s="122" t="s">
        <v>73</v>
      </c>
      <c r="O168" s="126" t="n">
        <v>3500000</v>
      </c>
      <c r="P168" s="121" t="s">
        <v>18</v>
      </c>
      <c r="Q168" s="121" t="s">
        <v>124</v>
      </c>
      <c r="R168" s="127"/>
      <c r="T168" s="118"/>
    </row>
    <row r="169" s="118" customFormat="true" ht="12.75" hidden="false" customHeight="true" outlineLevel="0" collapsed="false">
      <c r="A169" s="98"/>
      <c r="B169" s="119" t="n">
        <f aca="false">ROW()-4</f>
        <v>165</v>
      </c>
      <c r="C169" s="120" t="n">
        <f aca="false">COUNTIFS($D$5:D169,D169)</f>
        <v>28</v>
      </c>
      <c r="D169" s="121" t="s">
        <v>391</v>
      </c>
      <c r="E169" s="122" t="s">
        <v>444</v>
      </c>
      <c r="F169" s="123" t="n">
        <v>44756</v>
      </c>
      <c r="G169" s="121" t="s">
        <v>26</v>
      </c>
      <c r="H16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A0165</v>
      </c>
      <c r="I16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B0165</v>
      </c>
      <c r="J169" s="122" t="s">
        <v>445</v>
      </c>
      <c r="K16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C0165</v>
      </c>
      <c r="L16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D0165</v>
      </c>
      <c r="M16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E0165</v>
      </c>
      <c r="N169" s="122" t="s">
        <v>73</v>
      </c>
      <c r="O169" s="126" t="n">
        <v>3500000</v>
      </c>
      <c r="P169" s="121" t="s">
        <v>18</v>
      </c>
      <c r="Q169" s="121" t="s">
        <v>124</v>
      </c>
      <c r="R169" s="127"/>
    </row>
    <row r="170" customFormat="false" ht="12.75" hidden="false" customHeight="true" outlineLevel="0" collapsed="false">
      <c r="B170" s="119" t="n">
        <f aca="false">ROW()-4</f>
        <v>166</v>
      </c>
      <c r="C170" s="120" t="n">
        <f aca="false">COUNTIFS($D$5:D170,D170)</f>
        <v>29</v>
      </c>
      <c r="D170" s="121" t="s">
        <v>391</v>
      </c>
      <c r="E170" s="122" t="s">
        <v>446</v>
      </c>
      <c r="F170" s="123" t="n">
        <v>44762</v>
      </c>
      <c r="G170" s="121" t="s">
        <v>26</v>
      </c>
      <c r="H17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A0166</v>
      </c>
      <c r="I17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B0166</v>
      </c>
      <c r="J170" s="122" t="s">
        <v>447</v>
      </c>
      <c r="K17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C0166</v>
      </c>
      <c r="L17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D0166</v>
      </c>
      <c r="M17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E0166</v>
      </c>
      <c r="N170" s="122" t="s">
        <v>73</v>
      </c>
      <c r="O170" s="126" t="n">
        <v>3500000</v>
      </c>
      <c r="P170" s="121" t="s">
        <v>18</v>
      </c>
      <c r="Q170" s="121" t="s">
        <v>124</v>
      </c>
      <c r="R170" s="127"/>
      <c r="T170" s="118"/>
    </row>
    <row r="171" s="118" customFormat="true" ht="12.75" hidden="false" customHeight="true" outlineLevel="0" collapsed="false">
      <c r="A171" s="98"/>
      <c r="B171" s="119" t="n">
        <f aca="false">ROW()-4</f>
        <v>167</v>
      </c>
      <c r="C171" s="120" t="n">
        <f aca="false">COUNTIFS($D$5:D171,D171)</f>
        <v>30</v>
      </c>
      <c r="D171" s="121" t="s">
        <v>391</v>
      </c>
      <c r="E171" s="122" t="s">
        <v>448</v>
      </c>
      <c r="F171" s="123" t="n">
        <v>44762</v>
      </c>
      <c r="G171" s="121" t="s">
        <v>26</v>
      </c>
      <c r="H17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A0167</v>
      </c>
      <c r="I17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B0167</v>
      </c>
      <c r="J171" s="122" t="s">
        <v>449</v>
      </c>
      <c r="K17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C0167</v>
      </c>
      <c r="L17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D0167</v>
      </c>
      <c r="M17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E0167</v>
      </c>
      <c r="N171" s="122" t="s">
        <v>73</v>
      </c>
      <c r="O171" s="126" t="n">
        <v>3500000</v>
      </c>
      <c r="P171" s="121" t="s">
        <v>18</v>
      </c>
      <c r="Q171" s="121" t="s">
        <v>124</v>
      </c>
      <c r="R171" s="127"/>
    </row>
    <row r="172" customFormat="false" ht="12.75" hidden="false" customHeight="true" outlineLevel="0" collapsed="false">
      <c r="B172" s="119" t="n">
        <f aca="false">ROW()-4</f>
        <v>168</v>
      </c>
      <c r="C172" s="120" t="n">
        <f aca="false">COUNTIFS($D$5:D172,D172)</f>
        <v>31</v>
      </c>
      <c r="D172" s="121" t="s">
        <v>391</v>
      </c>
      <c r="E172" s="122" t="s">
        <v>450</v>
      </c>
      <c r="F172" s="123" t="n">
        <v>45405</v>
      </c>
      <c r="G172" s="121" t="s">
        <v>26</v>
      </c>
      <c r="H17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A0168</v>
      </c>
      <c r="I17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B0168</v>
      </c>
      <c r="J172" s="122" t="s">
        <v>451</v>
      </c>
      <c r="K17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C0168</v>
      </c>
      <c r="L17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D0168</v>
      </c>
      <c r="M17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E0168</v>
      </c>
      <c r="N172" s="122" t="s">
        <v>73</v>
      </c>
      <c r="O172" s="126" t="n">
        <v>3500000</v>
      </c>
      <c r="P172" s="121" t="s">
        <v>18</v>
      </c>
      <c r="Q172" s="121" t="s">
        <v>124</v>
      </c>
      <c r="R172" s="127"/>
      <c r="T172" s="118"/>
    </row>
    <row r="173" customFormat="false" ht="12.75" hidden="false" customHeight="true" outlineLevel="0" collapsed="false">
      <c r="B173" s="119" t="n">
        <f aca="false">ROW()-4</f>
        <v>169</v>
      </c>
      <c r="C173" s="120" t="n">
        <f aca="false">COUNTIFS($D$5:D173,D173)</f>
        <v>32</v>
      </c>
      <c r="D173" s="121" t="s">
        <v>391</v>
      </c>
      <c r="E173" s="122" t="s">
        <v>452</v>
      </c>
      <c r="F173" s="123" t="n">
        <v>44753</v>
      </c>
      <c r="G173" s="121" t="s">
        <v>30</v>
      </c>
      <c r="H17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A0169</v>
      </c>
      <c r="I17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B0169</v>
      </c>
      <c r="J173" s="122" t="s">
        <v>453</v>
      </c>
      <c r="K17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C0169</v>
      </c>
      <c r="L17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D0169</v>
      </c>
      <c r="M17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E0169</v>
      </c>
      <c r="N173" s="122" t="s">
        <v>73</v>
      </c>
      <c r="O173" s="126" t="n">
        <v>3500000</v>
      </c>
      <c r="P173" s="121" t="s">
        <v>18</v>
      </c>
      <c r="Q173" s="121" t="s">
        <v>124</v>
      </c>
      <c r="R173" s="127"/>
      <c r="T173" s="118"/>
    </row>
    <row r="174" customFormat="false" ht="12.75" hidden="false" customHeight="true" outlineLevel="0" collapsed="false">
      <c r="B174" s="119" t="n">
        <f aca="false">ROW()-4</f>
        <v>170</v>
      </c>
      <c r="C174" s="120" t="n">
        <f aca="false">COUNTIFS($D$5:D174,D174)</f>
        <v>33</v>
      </c>
      <c r="D174" s="121" t="s">
        <v>391</v>
      </c>
      <c r="E174" s="122" t="s">
        <v>454</v>
      </c>
      <c r="F174" s="123" t="n">
        <v>45357</v>
      </c>
      <c r="G174" s="121" t="s">
        <v>30</v>
      </c>
      <c r="H17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A0170</v>
      </c>
      <c r="I17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B0170</v>
      </c>
      <c r="J174" s="122" t="s">
        <v>455</v>
      </c>
      <c r="K17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C0170</v>
      </c>
      <c r="L17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D0170</v>
      </c>
      <c r="M17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E0170</v>
      </c>
      <c r="N174" s="122" t="s">
        <v>73</v>
      </c>
      <c r="O174" s="126" t="n">
        <v>3500000</v>
      </c>
      <c r="P174" s="121" t="s">
        <v>18</v>
      </c>
      <c r="Q174" s="121" t="s">
        <v>124</v>
      </c>
      <c r="R174" s="127"/>
      <c r="T174" s="118"/>
    </row>
    <row r="175" customFormat="false" ht="12.75" hidden="false" customHeight="true" outlineLevel="0" collapsed="false">
      <c r="B175" s="119" t="n">
        <f aca="false">ROW()-4</f>
        <v>171</v>
      </c>
      <c r="C175" s="120" t="n">
        <f aca="false">COUNTIFS($D$5:D175,D175)</f>
        <v>34</v>
      </c>
      <c r="D175" s="121" t="s">
        <v>391</v>
      </c>
      <c r="E175" s="122" t="s">
        <v>456</v>
      </c>
      <c r="F175" s="123" t="n">
        <v>44754</v>
      </c>
      <c r="G175" s="121" t="s">
        <v>22</v>
      </c>
      <c r="H17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A0171</v>
      </c>
      <c r="I17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B0171</v>
      </c>
      <c r="J175" s="122" t="s">
        <v>457</v>
      </c>
      <c r="K17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C0171</v>
      </c>
      <c r="L17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D0171</v>
      </c>
      <c r="M17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E0171</v>
      </c>
      <c r="N175" s="122" t="s">
        <v>73</v>
      </c>
      <c r="O175" s="126" t="n">
        <v>3500000</v>
      </c>
      <c r="P175" s="121" t="s">
        <v>18</v>
      </c>
      <c r="Q175" s="121" t="s">
        <v>124</v>
      </c>
      <c r="R175" s="127"/>
      <c r="T175" s="118"/>
    </row>
    <row r="176" customFormat="false" ht="12.75" hidden="false" customHeight="true" outlineLevel="0" collapsed="false">
      <c r="B176" s="119" t="n">
        <f aca="false">ROW()-4</f>
        <v>172</v>
      </c>
      <c r="C176" s="120" t="n">
        <f aca="false">COUNTIFS($D$5:D176,D176)</f>
        <v>35</v>
      </c>
      <c r="D176" s="121" t="s">
        <v>391</v>
      </c>
      <c r="E176" s="122" t="s">
        <v>458</v>
      </c>
      <c r="F176" s="123" t="n">
        <v>44761</v>
      </c>
      <c r="G176" s="121" t="s">
        <v>22</v>
      </c>
      <c r="H17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A0172</v>
      </c>
      <c r="I17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B0172</v>
      </c>
      <c r="J176" s="122" t="s">
        <v>459</v>
      </c>
      <c r="K17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C0172</v>
      </c>
      <c r="L17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D0172</v>
      </c>
      <c r="M17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E0172</v>
      </c>
      <c r="N176" s="122" t="s">
        <v>73</v>
      </c>
      <c r="O176" s="126" t="n">
        <v>3500000</v>
      </c>
      <c r="P176" s="121" t="s">
        <v>18</v>
      </c>
      <c r="Q176" s="121" t="s">
        <v>124</v>
      </c>
      <c r="R176" s="127"/>
      <c r="T176" s="118"/>
    </row>
    <row r="177" customFormat="false" ht="12.75" hidden="false" customHeight="true" outlineLevel="0" collapsed="false">
      <c r="B177" s="119" t="n">
        <f aca="false">ROW()-4</f>
        <v>173</v>
      </c>
      <c r="C177" s="120" t="n">
        <f aca="false">COUNTIFS($D$5:D177,D177)</f>
        <v>36</v>
      </c>
      <c r="D177" s="121" t="s">
        <v>391</v>
      </c>
      <c r="E177" s="124" t="s">
        <v>460</v>
      </c>
      <c r="F177" s="137" t="n">
        <v>45926</v>
      </c>
      <c r="G177" s="138" t="s">
        <v>28</v>
      </c>
      <c r="H177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A0173</v>
      </c>
      <c r="I177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B0173</v>
      </c>
      <c r="J177" s="124" t="s">
        <v>461</v>
      </c>
      <c r="K177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C0173</v>
      </c>
      <c r="L177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D0173</v>
      </c>
      <c r="M17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E0173</v>
      </c>
      <c r="N177" s="122" t="s">
        <v>73</v>
      </c>
      <c r="O177" s="126" t="n">
        <v>3500000</v>
      </c>
      <c r="P177" s="121" t="s">
        <v>18</v>
      </c>
      <c r="Q177" s="121" t="s">
        <v>124</v>
      </c>
      <c r="R177" s="127"/>
      <c r="T177" s="118"/>
    </row>
    <row r="178" customFormat="false" ht="12.75" hidden="false" customHeight="true" outlineLevel="0" collapsed="false">
      <c r="B178" s="119" t="n">
        <f aca="false">ROW()-4</f>
        <v>174</v>
      </c>
      <c r="C178" s="120" t="n">
        <f aca="false">COUNTIFS($D$5:D178,D178)</f>
        <v>37</v>
      </c>
      <c r="D178" s="121" t="s">
        <v>391</v>
      </c>
      <c r="E178" s="122" t="s">
        <v>462</v>
      </c>
      <c r="F178" s="123" t="n">
        <v>44739</v>
      </c>
      <c r="G178" s="121" t="s">
        <v>22</v>
      </c>
      <c r="H17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A0174</v>
      </c>
      <c r="I17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B0174</v>
      </c>
      <c r="J178" s="122" t="s">
        <v>463</v>
      </c>
      <c r="K17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C0174</v>
      </c>
      <c r="L17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D0174</v>
      </c>
      <c r="M17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E0174</v>
      </c>
      <c r="N178" s="122" t="s">
        <v>73</v>
      </c>
      <c r="O178" s="126" t="n">
        <v>3500000</v>
      </c>
      <c r="P178" s="121" t="s">
        <v>18</v>
      </c>
      <c r="Q178" s="121" t="s">
        <v>124</v>
      </c>
      <c r="R178" s="127"/>
      <c r="T178" s="118"/>
    </row>
    <row r="179" customFormat="false" ht="12.75" hidden="false" customHeight="true" outlineLevel="0" collapsed="false">
      <c r="B179" s="119" t="n">
        <f aca="false">ROW()-4</f>
        <v>175</v>
      </c>
      <c r="C179" s="120" t="n">
        <f aca="false">COUNTIFS($D$5:D179,D179)</f>
        <v>38</v>
      </c>
      <c r="D179" s="121" t="s">
        <v>391</v>
      </c>
      <c r="E179" s="122" t="s">
        <v>464</v>
      </c>
      <c r="F179" s="123" t="n">
        <v>45146</v>
      </c>
      <c r="G179" s="121" t="s">
        <v>22</v>
      </c>
      <c r="H17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A0175</v>
      </c>
      <c r="I17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B0175</v>
      </c>
      <c r="J179" s="122" t="s">
        <v>465</v>
      </c>
      <c r="K17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C0175</v>
      </c>
      <c r="L17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D0175</v>
      </c>
      <c r="M17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E0175</v>
      </c>
      <c r="N179" s="122" t="s">
        <v>73</v>
      </c>
      <c r="O179" s="126" t="n">
        <v>3500000</v>
      </c>
      <c r="P179" s="121" t="s">
        <v>18</v>
      </c>
      <c r="Q179" s="121" t="s">
        <v>124</v>
      </c>
      <c r="R179" s="127"/>
      <c r="T179" s="118"/>
    </row>
    <row r="180" customFormat="false" ht="12.75" hidden="false" customHeight="true" outlineLevel="0" collapsed="false">
      <c r="B180" s="119" t="n">
        <f aca="false">ROW()-4</f>
        <v>176</v>
      </c>
      <c r="C180" s="120" t="n">
        <f aca="false">COUNTIFS($D$5:D180,D180)</f>
        <v>39</v>
      </c>
      <c r="D180" s="121" t="s">
        <v>391</v>
      </c>
      <c r="E180" s="122" t="s">
        <v>466</v>
      </c>
      <c r="F180" s="123" t="n">
        <v>45537</v>
      </c>
      <c r="G180" s="121" t="s">
        <v>22</v>
      </c>
      <c r="H18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A0176</v>
      </c>
      <c r="I18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B0176</v>
      </c>
      <c r="J180" s="122" t="s">
        <v>467</v>
      </c>
      <c r="K18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C0176</v>
      </c>
      <c r="L18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D0176</v>
      </c>
      <c r="M18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E0176</v>
      </c>
      <c r="N180" s="122" t="s">
        <v>73</v>
      </c>
      <c r="O180" s="126" t="n">
        <v>3500000</v>
      </c>
      <c r="P180" s="121" t="s">
        <v>18</v>
      </c>
      <c r="Q180" s="121" t="s">
        <v>124</v>
      </c>
      <c r="R180" s="127"/>
      <c r="T180" s="118"/>
    </row>
    <row r="181" customFormat="false" ht="12.75" hidden="false" customHeight="true" outlineLevel="0" collapsed="false">
      <c r="B181" s="119" t="n">
        <f aca="false">ROW()-4</f>
        <v>177</v>
      </c>
      <c r="C181" s="120" t="n">
        <f aca="false">COUNTIFS($D$5:D181,D181)</f>
        <v>40</v>
      </c>
      <c r="D181" s="121" t="s">
        <v>391</v>
      </c>
      <c r="E181" s="122" t="s">
        <v>468</v>
      </c>
      <c r="F181" s="123" t="n">
        <v>44763</v>
      </c>
      <c r="G181" s="121" t="s">
        <v>22</v>
      </c>
      <c r="H18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A0177</v>
      </c>
      <c r="I18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B0177</v>
      </c>
      <c r="J181" s="122" t="s">
        <v>469</v>
      </c>
      <c r="K18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C0177</v>
      </c>
      <c r="L18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D0177</v>
      </c>
      <c r="M18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E0177</v>
      </c>
      <c r="N181" s="122" t="s">
        <v>73</v>
      </c>
      <c r="O181" s="126" t="n">
        <v>3500000</v>
      </c>
      <c r="P181" s="121" t="s">
        <v>18</v>
      </c>
      <c r="Q181" s="121" t="s">
        <v>124</v>
      </c>
      <c r="R181" s="127"/>
      <c r="T181" s="118"/>
    </row>
    <row r="182" customFormat="false" ht="12.75" hidden="false" customHeight="true" outlineLevel="0" collapsed="false">
      <c r="B182" s="119" t="n">
        <f aca="false">ROW()-4</f>
        <v>178</v>
      </c>
      <c r="C182" s="120" t="n">
        <f aca="false">COUNTIFS($D$5:D182,D182)</f>
        <v>41</v>
      </c>
      <c r="D182" s="121" t="s">
        <v>391</v>
      </c>
      <c r="E182" s="122" t="s">
        <v>470</v>
      </c>
      <c r="F182" s="123" t="n">
        <v>44757</v>
      </c>
      <c r="G182" s="121" t="s">
        <v>22</v>
      </c>
      <c r="H18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A0178</v>
      </c>
      <c r="I18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B0178</v>
      </c>
      <c r="J182" s="122" t="s">
        <v>471</v>
      </c>
      <c r="K18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C0178</v>
      </c>
      <c r="L18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D0178</v>
      </c>
      <c r="M18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E0178</v>
      </c>
      <c r="N182" s="122" t="s">
        <v>73</v>
      </c>
      <c r="O182" s="126" t="n">
        <v>3500000</v>
      </c>
      <c r="P182" s="121" t="s">
        <v>18</v>
      </c>
      <c r="Q182" s="121" t="s">
        <v>124</v>
      </c>
      <c r="R182" s="127"/>
      <c r="T182" s="118"/>
    </row>
    <row r="183" customFormat="false" ht="12.75" hidden="false" customHeight="true" outlineLevel="0" collapsed="false">
      <c r="B183" s="119" t="n">
        <f aca="false">ROW()-4</f>
        <v>179</v>
      </c>
      <c r="C183" s="120" t="n">
        <f aca="false">COUNTIFS($D$5:D183,D183)</f>
        <v>42</v>
      </c>
      <c r="D183" s="121" t="s">
        <v>391</v>
      </c>
      <c r="E183" s="122" t="s">
        <v>472</v>
      </c>
      <c r="F183" s="123"/>
      <c r="G183" s="121" t="s">
        <v>26</v>
      </c>
      <c r="H183" s="122"/>
      <c r="I183" s="122"/>
      <c r="J183" s="122"/>
      <c r="K183" s="122"/>
      <c r="L183" s="125"/>
      <c r="M18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E0179</v>
      </c>
      <c r="N183" s="122" t="s">
        <v>73</v>
      </c>
      <c r="O183" s="126" t="n">
        <v>3500000</v>
      </c>
      <c r="P183" s="121" t="s">
        <v>19</v>
      </c>
      <c r="Q183" s="122"/>
      <c r="R183" s="128" t="s">
        <v>61</v>
      </c>
      <c r="T183" s="118"/>
    </row>
    <row r="184" customFormat="false" ht="12.75" hidden="false" customHeight="true" outlineLevel="0" collapsed="false">
      <c r="B184" s="119" t="n">
        <f aca="false">ROW()-4</f>
        <v>180</v>
      </c>
      <c r="C184" s="120" t="n">
        <f aca="false">COUNTIFS($D$5:D184,D184)</f>
        <v>43</v>
      </c>
      <c r="D184" s="121" t="s">
        <v>391</v>
      </c>
      <c r="E184" s="122" t="s">
        <v>473</v>
      </c>
      <c r="F184" s="123" t="n">
        <v>44769</v>
      </c>
      <c r="G184" s="121" t="s">
        <v>26</v>
      </c>
      <c r="H18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A0180</v>
      </c>
      <c r="I18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B0180</v>
      </c>
      <c r="J184" s="122" t="s">
        <v>474</v>
      </c>
      <c r="K18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C0180</v>
      </c>
      <c r="L18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D0180</v>
      </c>
      <c r="M18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E0180</v>
      </c>
      <c r="N184" s="122" t="s">
        <v>73</v>
      </c>
      <c r="O184" s="126" t="n">
        <v>3500000</v>
      </c>
      <c r="P184" s="121" t="s">
        <v>18</v>
      </c>
      <c r="Q184" s="121" t="s">
        <v>124</v>
      </c>
      <c r="R184" s="127"/>
      <c r="T184" s="118"/>
    </row>
    <row r="185" customFormat="false" ht="12.75" hidden="false" customHeight="true" outlineLevel="0" collapsed="false">
      <c r="B185" s="119" t="n">
        <f aca="false">ROW()-4</f>
        <v>181</v>
      </c>
      <c r="C185" s="120" t="n">
        <f aca="false">COUNTIFS($D$5:D185,D185)</f>
        <v>44</v>
      </c>
      <c r="D185" s="121" t="s">
        <v>391</v>
      </c>
      <c r="E185" s="122" t="s">
        <v>475</v>
      </c>
      <c r="F185" s="123" t="n">
        <v>45239</v>
      </c>
      <c r="G185" s="121" t="s">
        <v>30</v>
      </c>
      <c r="H18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A0181</v>
      </c>
      <c r="I18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B0181</v>
      </c>
      <c r="J185" s="122" t="s">
        <v>476</v>
      </c>
      <c r="K18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C0181</v>
      </c>
      <c r="L18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D0181</v>
      </c>
      <c r="M18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E0181</v>
      </c>
      <c r="N185" s="122" t="s">
        <v>73</v>
      </c>
      <c r="O185" s="126" t="n">
        <v>3500000</v>
      </c>
      <c r="P185" s="121" t="s">
        <v>18</v>
      </c>
      <c r="Q185" s="121" t="s">
        <v>124</v>
      </c>
      <c r="R185" s="127"/>
      <c r="T185" s="118"/>
    </row>
    <row r="186" customFormat="false" ht="12.75" hidden="false" customHeight="true" outlineLevel="0" collapsed="false">
      <c r="B186" s="119" t="n">
        <f aca="false">ROW()-4</f>
        <v>182</v>
      </c>
      <c r="C186" s="120" t="n">
        <f aca="false">COUNTIFS($D$5:D186,D186)</f>
        <v>45</v>
      </c>
      <c r="D186" s="121" t="s">
        <v>391</v>
      </c>
      <c r="E186" s="122" t="s">
        <v>477</v>
      </c>
      <c r="F186" s="123" t="n">
        <v>45776</v>
      </c>
      <c r="G186" s="121" t="s">
        <v>24</v>
      </c>
      <c r="H18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A0182</v>
      </c>
      <c r="I18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B0182</v>
      </c>
      <c r="J186" s="122" t="s">
        <v>478</v>
      </c>
      <c r="K18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C0182</v>
      </c>
      <c r="L18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D0182</v>
      </c>
      <c r="M18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E0182</v>
      </c>
      <c r="N186" s="122" t="s">
        <v>73</v>
      </c>
      <c r="O186" s="126" t="n">
        <v>3500000</v>
      </c>
      <c r="P186" s="121" t="s">
        <v>18</v>
      </c>
      <c r="Q186" s="121" t="s">
        <v>124</v>
      </c>
      <c r="R186" s="127"/>
      <c r="T186" s="118"/>
    </row>
    <row r="187" customFormat="false" ht="12.75" hidden="false" customHeight="true" outlineLevel="0" collapsed="false">
      <c r="B187" s="119" t="n">
        <f aca="false">ROW()-4</f>
        <v>183</v>
      </c>
      <c r="C187" s="120" t="n">
        <f aca="false">COUNTIFS($D$5:D187,D187)</f>
        <v>46</v>
      </c>
      <c r="D187" s="121" t="s">
        <v>391</v>
      </c>
      <c r="E187" s="122" t="s">
        <v>479</v>
      </c>
      <c r="F187" s="123" t="n">
        <v>44776</v>
      </c>
      <c r="G187" s="121" t="s">
        <v>30</v>
      </c>
      <c r="H18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A0183</v>
      </c>
      <c r="I18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B0183</v>
      </c>
      <c r="J187" s="122" t="s">
        <v>480</v>
      </c>
      <c r="K18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C0183</v>
      </c>
      <c r="L18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D0183</v>
      </c>
      <c r="M18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E0183</v>
      </c>
      <c r="N187" s="122" t="s">
        <v>73</v>
      </c>
      <c r="O187" s="126" t="n">
        <v>3500000</v>
      </c>
      <c r="P187" s="121" t="s">
        <v>18</v>
      </c>
      <c r="Q187" s="121" t="s">
        <v>124</v>
      </c>
      <c r="R187" s="127"/>
      <c r="T187" s="118"/>
    </row>
    <row r="188" customFormat="false" ht="12.75" hidden="false" customHeight="true" outlineLevel="0" collapsed="false">
      <c r="B188" s="119" t="n">
        <f aca="false">ROW()-4</f>
        <v>184</v>
      </c>
      <c r="C188" s="120" t="n">
        <f aca="false">COUNTIFS($D$5:D188,D188)</f>
        <v>47</v>
      </c>
      <c r="D188" s="121" t="s">
        <v>391</v>
      </c>
      <c r="E188" s="122" t="s">
        <v>481</v>
      </c>
      <c r="F188" s="123" t="n">
        <v>45050</v>
      </c>
      <c r="G188" s="121" t="s">
        <v>30</v>
      </c>
      <c r="H18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A0184</v>
      </c>
      <c r="I18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B0184</v>
      </c>
      <c r="J188" s="122" t="s">
        <v>482</v>
      </c>
      <c r="K18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C0184</v>
      </c>
      <c r="L18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D0184</v>
      </c>
      <c r="M18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E0184</v>
      </c>
      <c r="N188" s="122" t="s">
        <v>73</v>
      </c>
      <c r="O188" s="126" t="n">
        <v>3500000</v>
      </c>
      <c r="P188" s="121" t="s">
        <v>18</v>
      </c>
      <c r="Q188" s="121" t="s">
        <v>124</v>
      </c>
      <c r="R188" s="127"/>
      <c r="T188" s="118"/>
    </row>
    <row r="189" customFormat="false" ht="12.75" hidden="false" customHeight="true" outlineLevel="0" collapsed="false">
      <c r="B189" s="119" t="n">
        <f aca="false">ROW()-4</f>
        <v>185</v>
      </c>
      <c r="C189" s="120" t="n">
        <f aca="false">COUNTIFS($D$5:D189,D189)</f>
        <v>48</v>
      </c>
      <c r="D189" s="121" t="s">
        <v>391</v>
      </c>
      <c r="E189" s="122" t="s">
        <v>483</v>
      </c>
      <c r="F189" s="123" t="n">
        <v>44792</v>
      </c>
      <c r="G189" s="121" t="s">
        <v>22</v>
      </c>
      <c r="H18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A0185</v>
      </c>
      <c r="I18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B0185</v>
      </c>
      <c r="J189" s="122" t="s">
        <v>484</v>
      </c>
      <c r="K18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C0185</v>
      </c>
      <c r="L18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D0185</v>
      </c>
      <c r="M18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E0185</v>
      </c>
      <c r="N189" s="122" t="s">
        <v>73</v>
      </c>
      <c r="O189" s="126" t="n">
        <v>3500000</v>
      </c>
      <c r="P189" s="121" t="s">
        <v>18</v>
      </c>
      <c r="Q189" s="121" t="s">
        <v>124</v>
      </c>
      <c r="R189" s="127"/>
      <c r="T189" s="118"/>
    </row>
    <row r="190" customFormat="false" ht="12.75" hidden="false" customHeight="true" outlineLevel="0" collapsed="false">
      <c r="B190" s="119" t="n">
        <f aca="false">ROW()-4</f>
        <v>186</v>
      </c>
      <c r="C190" s="120" t="n">
        <f aca="false">COUNTIFS($D$5:D190,D190)</f>
        <v>49</v>
      </c>
      <c r="D190" s="121" t="s">
        <v>391</v>
      </c>
      <c r="E190" s="122" t="s">
        <v>485</v>
      </c>
      <c r="F190" s="123" t="n">
        <v>45737</v>
      </c>
      <c r="G190" s="121" t="s">
        <v>22</v>
      </c>
      <c r="H19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A0186</v>
      </c>
      <c r="I19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B0186</v>
      </c>
      <c r="J190" s="122" t="s">
        <v>486</v>
      </c>
      <c r="K19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C0186</v>
      </c>
      <c r="L19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D0186</v>
      </c>
      <c r="M19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E0186</v>
      </c>
      <c r="N190" s="122" t="s">
        <v>73</v>
      </c>
      <c r="O190" s="126" t="n">
        <v>3500000</v>
      </c>
      <c r="P190" s="121" t="s">
        <v>18</v>
      </c>
      <c r="Q190" s="121" t="s">
        <v>124</v>
      </c>
      <c r="R190" s="127"/>
      <c r="T190" s="118"/>
    </row>
    <row r="191" customFormat="false" ht="12.75" hidden="false" customHeight="true" outlineLevel="0" collapsed="false">
      <c r="B191" s="119" t="n">
        <f aca="false">ROW()-4</f>
        <v>187</v>
      </c>
      <c r="C191" s="120" t="n">
        <f aca="false">COUNTIFS($D$5:D191,D191)</f>
        <v>50</v>
      </c>
      <c r="D191" s="121" t="s">
        <v>391</v>
      </c>
      <c r="E191" s="122" t="s">
        <v>487</v>
      </c>
      <c r="F191" s="123" t="n">
        <v>44769</v>
      </c>
      <c r="G191" s="121" t="s">
        <v>22</v>
      </c>
      <c r="H19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A0187</v>
      </c>
      <c r="I19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B0187</v>
      </c>
      <c r="J191" s="122" t="s">
        <v>488</v>
      </c>
      <c r="K19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C0187</v>
      </c>
      <c r="L19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D0187</v>
      </c>
      <c r="M19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E0187</v>
      </c>
      <c r="N191" s="122" t="s">
        <v>73</v>
      </c>
      <c r="O191" s="126" t="n">
        <v>3500000</v>
      </c>
      <c r="P191" s="121" t="s">
        <v>18</v>
      </c>
      <c r="Q191" s="121" t="s">
        <v>124</v>
      </c>
      <c r="R191" s="127"/>
      <c r="T191" s="118"/>
    </row>
    <row r="192" customFormat="false" ht="12.75" hidden="false" customHeight="true" outlineLevel="0" collapsed="false">
      <c r="B192" s="119" t="n">
        <f aca="false">ROW()-4</f>
        <v>188</v>
      </c>
      <c r="C192" s="120" t="n">
        <f aca="false">COUNTIFS($D$5:D192,D192)</f>
        <v>51</v>
      </c>
      <c r="D192" s="121" t="s">
        <v>391</v>
      </c>
      <c r="E192" s="122" t="s">
        <v>489</v>
      </c>
      <c r="F192" s="123" t="n">
        <v>44778</v>
      </c>
      <c r="G192" s="121" t="s">
        <v>22</v>
      </c>
      <c r="H19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A0188</v>
      </c>
      <c r="I19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B0188</v>
      </c>
      <c r="J192" s="122" t="s">
        <v>490</v>
      </c>
      <c r="K19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C0188</v>
      </c>
      <c r="L19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D0188</v>
      </c>
      <c r="M19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E0188</v>
      </c>
      <c r="N192" s="122" t="s">
        <v>73</v>
      </c>
      <c r="O192" s="126" t="n">
        <v>3500000</v>
      </c>
      <c r="P192" s="121" t="s">
        <v>18</v>
      </c>
      <c r="Q192" s="121" t="s">
        <v>124</v>
      </c>
      <c r="R192" s="127"/>
      <c r="T192" s="118"/>
    </row>
    <row r="193" customFormat="false" ht="12.75" hidden="false" customHeight="true" outlineLevel="0" collapsed="false">
      <c r="B193" s="119" t="n">
        <f aca="false">ROW()-4</f>
        <v>189</v>
      </c>
      <c r="C193" s="120" t="n">
        <f aca="false">COUNTIFS($D$5:D193,D193)</f>
        <v>52</v>
      </c>
      <c r="D193" s="121" t="s">
        <v>391</v>
      </c>
      <c r="E193" s="122" t="s">
        <v>491</v>
      </c>
      <c r="F193" s="123" t="n">
        <v>45855</v>
      </c>
      <c r="G193" s="121" t="s">
        <v>28</v>
      </c>
      <c r="H19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A0189</v>
      </c>
      <c r="I19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B0189</v>
      </c>
      <c r="J193" s="122" t="s">
        <v>492</v>
      </c>
      <c r="K19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C0189</v>
      </c>
      <c r="L19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D0189</v>
      </c>
      <c r="M19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E0189</v>
      </c>
      <c r="N193" s="122" t="s">
        <v>73</v>
      </c>
      <c r="O193" s="126" t="n">
        <v>3500000</v>
      </c>
      <c r="P193" s="121" t="s">
        <v>18</v>
      </c>
      <c r="Q193" s="121" t="s">
        <v>124</v>
      </c>
      <c r="R193" s="127"/>
      <c r="T193" s="118"/>
    </row>
    <row r="194" s="118" customFormat="true" ht="12.75" hidden="false" customHeight="true" outlineLevel="0" collapsed="false">
      <c r="A194" s="98"/>
      <c r="B194" s="119" t="n">
        <f aca="false">ROW()-4</f>
        <v>190</v>
      </c>
      <c r="C194" s="120" t="n">
        <f aca="false">COUNTIFS($D$5:D194,D194)</f>
        <v>53</v>
      </c>
      <c r="D194" s="121" t="s">
        <v>391</v>
      </c>
      <c r="E194" s="122" t="s">
        <v>493</v>
      </c>
      <c r="F194" s="123" t="n">
        <v>44824</v>
      </c>
      <c r="G194" s="121" t="s">
        <v>26</v>
      </c>
      <c r="H19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A0190</v>
      </c>
      <c r="I19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B0190</v>
      </c>
      <c r="J194" s="122" t="s">
        <v>494</v>
      </c>
      <c r="K19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C0190</v>
      </c>
      <c r="L19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D0190</v>
      </c>
      <c r="M19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E0190</v>
      </c>
      <c r="N194" s="122" t="s">
        <v>73</v>
      </c>
      <c r="O194" s="126" t="n">
        <v>3500000</v>
      </c>
      <c r="P194" s="121" t="s">
        <v>18</v>
      </c>
      <c r="Q194" s="121" t="s">
        <v>124</v>
      </c>
      <c r="R194" s="127"/>
    </row>
    <row r="195" customFormat="false" ht="12.75" hidden="false" customHeight="true" outlineLevel="0" collapsed="false">
      <c r="B195" s="119" t="n">
        <f aca="false">ROW()-4</f>
        <v>191</v>
      </c>
      <c r="C195" s="120" t="n">
        <f aca="false">COUNTIFS($D$5:D195,D195)</f>
        <v>54</v>
      </c>
      <c r="D195" s="121" t="s">
        <v>391</v>
      </c>
      <c r="E195" s="122" t="s">
        <v>495</v>
      </c>
      <c r="F195" s="123" t="n">
        <v>44830</v>
      </c>
      <c r="G195" s="121" t="s">
        <v>22</v>
      </c>
      <c r="H19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A0191</v>
      </c>
      <c r="I19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B0191</v>
      </c>
      <c r="J195" s="122" t="s">
        <v>496</v>
      </c>
      <c r="K19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C0191</v>
      </c>
      <c r="L19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D0191</v>
      </c>
      <c r="M19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E0191</v>
      </c>
      <c r="N195" s="122" t="s">
        <v>73</v>
      </c>
      <c r="O195" s="126" t="n">
        <v>3500000</v>
      </c>
      <c r="P195" s="121" t="s">
        <v>18</v>
      </c>
      <c r="Q195" s="121" t="s">
        <v>124</v>
      </c>
      <c r="R195" s="127"/>
      <c r="T195" s="118"/>
    </row>
    <row r="196" customFormat="false" ht="12.75" hidden="false" customHeight="true" outlineLevel="0" collapsed="false">
      <c r="B196" s="119" t="n">
        <f aca="false">ROW()-4</f>
        <v>192</v>
      </c>
      <c r="C196" s="120" t="n">
        <f aca="false">COUNTIFS($D$5:D196,D196)</f>
        <v>55</v>
      </c>
      <c r="D196" s="121" t="s">
        <v>391</v>
      </c>
      <c r="E196" s="122" t="s">
        <v>497</v>
      </c>
      <c r="F196" s="123"/>
      <c r="G196" s="121" t="s">
        <v>28</v>
      </c>
      <c r="H196" s="122"/>
      <c r="I196" s="122"/>
      <c r="J196" s="122"/>
      <c r="K196" s="122"/>
      <c r="L196" s="125"/>
      <c r="M19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E0192</v>
      </c>
      <c r="N196" s="122" t="s">
        <v>73</v>
      </c>
      <c r="O196" s="126" t="n">
        <v>3500000</v>
      </c>
      <c r="P196" s="121" t="s">
        <v>19</v>
      </c>
      <c r="Q196" s="122"/>
      <c r="R196" s="128" t="s">
        <v>61</v>
      </c>
      <c r="T196" s="118"/>
    </row>
    <row r="197" customFormat="false" ht="12.75" hidden="false" customHeight="true" outlineLevel="0" collapsed="false">
      <c r="B197" s="119" t="n">
        <f aca="false">ROW()-4</f>
        <v>193</v>
      </c>
      <c r="C197" s="120" t="n">
        <f aca="false">COUNTIFS($D$5:D197,D197)</f>
        <v>56</v>
      </c>
      <c r="D197" s="121" t="s">
        <v>391</v>
      </c>
      <c r="E197" s="122" t="s">
        <v>498</v>
      </c>
      <c r="F197" s="123" t="n">
        <v>44820</v>
      </c>
      <c r="G197" s="121" t="s">
        <v>28</v>
      </c>
      <c r="H19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A0193</v>
      </c>
      <c r="I19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B0193</v>
      </c>
      <c r="J197" s="122" t="s">
        <v>499</v>
      </c>
      <c r="K19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C0193</v>
      </c>
      <c r="L19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D0193</v>
      </c>
      <c r="M19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E0193</v>
      </c>
      <c r="N197" s="122" t="s">
        <v>73</v>
      </c>
      <c r="O197" s="126" t="n">
        <v>3500000</v>
      </c>
      <c r="P197" s="121" t="s">
        <v>18</v>
      </c>
      <c r="Q197" s="121" t="s">
        <v>124</v>
      </c>
      <c r="R197" s="127"/>
      <c r="T197" s="118"/>
    </row>
    <row r="198" customFormat="false" ht="12.75" hidden="false" customHeight="true" outlineLevel="0" collapsed="false">
      <c r="B198" s="119" t="n">
        <f aca="false">ROW()-4</f>
        <v>194</v>
      </c>
      <c r="C198" s="120" t="n">
        <f aca="false">COUNTIFS($D$5:D198,D198)</f>
        <v>57</v>
      </c>
      <c r="D198" s="121" t="s">
        <v>391</v>
      </c>
      <c r="E198" s="122" t="s">
        <v>500</v>
      </c>
      <c r="F198" s="123" t="n">
        <v>45219</v>
      </c>
      <c r="G198" s="121" t="s">
        <v>28</v>
      </c>
      <c r="H19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A0194</v>
      </c>
      <c r="I19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B0194</v>
      </c>
      <c r="J198" s="122" t="s">
        <v>501</v>
      </c>
      <c r="K19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C0194</v>
      </c>
      <c r="L19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D0194</v>
      </c>
      <c r="M19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E0194</v>
      </c>
      <c r="N198" s="122" t="s">
        <v>73</v>
      </c>
      <c r="O198" s="126" t="n">
        <v>3500000</v>
      </c>
      <c r="P198" s="121" t="s">
        <v>18</v>
      </c>
      <c r="Q198" s="121" t="s">
        <v>124</v>
      </c>
      <c r="R198" s="127"/>
      <c r="T198" s="118"/>
    </row>
    <row r="199" customFormat="false" ht="12.75" hidden="false" customHeight="true" outlineLevel="0" collapsed="false">
      <c r="B199" s="119" t="n">
        <f aca="false">ROW()-4</f>
        <v>195</v>
      </c>
      <c r="C199" s="120" t="n">
        <f aca="false">COUNTIFS($D$5:D199,D199)</f>
        <v>58</v>
      </c>
      <c r="D199" s="121" t="s">
        <v>391</v>
      </c>
      <c r="E199" s="122" t="s">
        <v>502</v>
      </c>
      <c r="F199" s="123" t="n">
        <v>45609</v>
      </c>
      <c r="G199" s="121" t="s">
        <v>22</v>
      </c>
      <c r="H19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A0195</v>
      </c>
      <c r="I19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B0195</v>
      </c>
      <c r="J199" s="122" t="s">
        <v>503</v>
      </c>
      <c r="K19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C0195</v>
      </c>
      <c r="L19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D0195</v>
      </c>
      <c r="M19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E0195</v>
      </c>
      <c r="N199" s="122" t="s">
        <v>73</v>
      </c>
      <c r="O199" s="126" t="n">
        <v>3500000</v>
      </c>
      <c r="P199" s="121" t="s">
        <v>18</v>
      </c>
      <c r="Q199" s="121" t="s">
        <v>124</v>
      </c>
      <c r="R199" s="127"/>
      <c r="T199" s="118"/>
    </row>
    <row r="200" customFormat="false" ht="12.75" hidden="false" customHeight="true" outlineLevel="0" collapsed="false">
      <c r="B200" s="119" t="n">
        <f aca="false">ROW()-4</f>
        <v>196</v>
      </c>
      <c r="C200" s="120" t="n">
        <f aca="false">COUNTIFS($D$5:D200,D200)</f>
        <v>59</v>
      </c>
      <c r="D200" s="121" t="s">
        <v>391</v>
      </c>
      <c r="E200" s="122" t="s">
        <v>504</v>
      </c>
      <c r="F200" s="123" t="n">
        <v>44827</v>
      </c>
      <c r="G200" s="121" t="s">
        <v>22</v>
      </c>
      <c r="H20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A0196</v>
      </c>
      <c r="I20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B0196</v>
      </c>
      <c r="J200" s="122" t="s">
        <v>505</v>
      </c>
      <c r="K20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C0196</v>
      </c>
      <c r="L20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D0196</v>
      </c>
      <c r="M20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E0196</v>
      </c>
      <c r="N200" s="122" t="s">
        <v>73</v>
      </c>
      <c r="O200" s="126" t="n">
        <v>3500000</v>
      </c>
      <c r="P200" s="121" t="s">
        <v>18</v>
      </c>
      <c r="Q200" s="121" t="s">
        <v>124</v>
      </c>
      <c r="R200" s="127"/>
      <c r="T200" s="118"/>
    </row>
    <row r="201" customFormat="false" ht="12.75" hidden="false" customHeight="true" outlineLevel="0" collapsed="false">
      <c r="B201" s="119" t="n">
        <f aca="false">ROW()-4</f>
        <v>197</v>
      </c>
      <c r="C201" s="120" t="n">
        <f aca="false">COUNTIFS($D$5:D201,D201)</f>
        <v>60</v>
      </c>
      <c r="D201" s="121" t="s">
        <v>391</v>
      </c>
      <c r="E201" s="122" t="s">
        <v>506</v>
      </c>
      <c r="F201" s="123" t="n">
        <v>45784</v>
      </c>
      <c r="G201" s="121" t="s">
        <v>22</v>
      </c>
      <c r="H20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A0197</v>
      </c>
      <c r="I20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B0197</v>
      </c>
      <c r="J201" s="122" t="s">
        <v>507</v>
      </c>
      <c r="K20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C0197</v>
      </c>
      <c r="L20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D0197</v>
      </c>
      <c r="M20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E0197</v>
      </c>
      <c r="N201" s="122" t="s">
        <v>73</v>
      </c>
      <c r="O201" s="126" t="n">
        <v>3500000</v>
      </c>
      <c r="P201" s="121" t="s">
        <v>18</v>
      </c>
      <c r="Q201" s="121" t="s">
        <v>124</v>
      </c>
      <c r="R201" s="127"/>
      <c r="T201" s="118"/>
    </row>
    <row r="202" customFormat="false" ht="12.75" hidden="false" customHeight="true" outlineLevel="0" collapsed="false">
      <c r="B202" s="119" t="n">
        <f aca="false">ROW()-4</f>
        <v>198</v>
      </c>
      <c r="C202" s="120" t="n">
        <f aca="false">COUNTIFS($D$5:D202,D202)</f>
        <v>61</v>
      </c>
      <c r="D202" s="121" t="s">
        <v>391</v>
      </c>
      <c r="E202" s="122" t="s">
        <v>508</v>
      </c>
      <c r="F202" s="123" t="n">
        <v>45300</v>
      </c>
      <c r="G202" s="121" t="s">
        <v>24</v>
      </c>
      <c r="H20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A0198</v>
      </c>
      <c r="I20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B0198</v>
      </c>
      <c r="J202" s="122" t="s">
        <v>509</v>
      </c>
      <c r="K20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C0198</v>
      </c>
      <c r="L20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D0198</v>
      </c>
      <c r="M20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E0198</v>
      </c>
      <c r="N202" s="122" t="s">
        <v>73</v>
      </c>
      <c r="O202" s="126" t="n">
        <v>3500000</v>
      </c>
      <c r="P202" s="121" t="s">
        <v>18</v>
      </c>
      <c r="Q202" s="121" t="s">
        <v>124</v>
      </c>
      <c r="R202" s="127"/>
      <c r="T202" s="118"/>
    </row>
    <row r="203" customFormat="false" ht="12.75" hidden="false" customHeight="true" outlineLevel="0" collapsed="false">
      <c r="B203" s="119" t="n">
        <f aca="false">ROW()-4</f>
        <v>199</v>
      </c>
      <c r="C203" s="120" t="n">
        <f aca="false">COUNTIFS($D$5:D203,D203)</f>
        <v>62</v>
      </c>
      <c r="D203" s="121" t="s">
        <v>391</v>
      </c>
      <c r="E203" s="122" t="s">
        <v>510</v>
      </c>
      <c r="F203" s="123" t="n">
        <v>44840</v>
      </c>
      <c r="G203" s="121" t="s">
        <v>28</v>
      </c>
      <c r="H20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A0199</v>
      </c>
      <c r="I20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B0199</v>
      </c>
      <c r="J203" s="122" t="s">
        <v>511</v>
      </c>
      <c r="K20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C0199</v>
      </c>
      <c r="L20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D0199</v>
      </c>
      <c r="M20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E0199</v>
      </c>
      <c r="N203" s="122" t="s">
        <v>73</v>
      </c>
      <c r="O203" s="126" t="n">
        <v>3500000</v>
      </c>
      <c r="P203" s="121" t="s">
        <v>18</v>
      </c>
      <c r="Q203" s="121" t="s">
        <v>124</v>
      </c>
      <c r="R203" s="127"/>
      <c r="T203" s="118"/>
    </row>
    <row r="204" customFormat="false" ht="12.75" hidden="false" customHeight="true" outlineLevel="0" collapsed="false">
      <c r="B204" s="119" t="n">
        <f aca="false">ROW()-4</f>
        <v>200</v>
      </c>
      <c r="C204" s="120" t="n">
        <f aca="false">COUNTIFS($D$5:D204,D204)</f>
        <v>63</v>
      </c>
      <c r="D204" s="121" t="s">
        <v>391</v>
      </c>
      <c r="E204" s="122" t="s">
        <v>512</v>
      </c>
      <c r="F204" s="123" t="n">
        <v>44847</v>
      </c>
      <c r="G204" s="121" t="s">
        <v>28</v>
      </c>
      <c r="H20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A0200</v>
      </c>
      <c r="I20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B0200</v>
      </c>
      <c r="J204" s="122" t="s">
        <v>513</v>
      </c>
      <c r="K20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C0200</v>
      </c>
      <c r="L20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D0200</v>
      </c>
      <c r="M20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E0200</v>
      </c>
      <c r="N204" s="122" t="s">
        <v>73</v>
      </c>
      <c r="O204" s="126" t="n">
        <v>3500000</v>
      </c>
      <c r="P204" s="121" t="s">
        <v>18</v>
      </c>
      <c r="Q204" s="121" t="s">
        <v>124</v>
      </c>
      <c r="R204" s="127"/>
      <c r="T204" s="118"/>
    </row>
    <row r="205" s="118" customFormat="true" ht="12.75" hidden="false" customHeight="true" outlineLevel="0" collapsed="false">
      <c r="A205" s="98"/>
      <c r="B205" s="119" t="n">
        <f aca="false">ROW()-4</f>
        <v>201</v>
      </c>
      <c r="C205" s="120" t="n">
        <f aca="false">COUNTIFS($D$5:D205,D205)</f>
        <v>64</v>
      </c>
      <c r="D205" s="121" t="s">
        <v>391</v>
      </c>
      <c r="E205" s="122" t="s">
        <v>514</v>
      </c>
      <c r="F205" s="137" t="n">
        <v>45901</v>
      </c>
      <c r="G205" s="138" t="s">
        <v>28</v>
      </c>
      <c r="H205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A0201</v>
      </c>
      <c r="I205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B0201</v>
      </c>
      <c r="J205" s="124" t="s">
        <v>515</v>
      </c>
      <c r="K205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C0201</v>
      </c>
      <c r="L205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D0201</v>
      </c>
      <c r="M20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E0201</v>
      </c>
      <c r="N205" s="122" t="s">
        <v>73</v>
      </c>
      <c r="O205" s="126" t="n">
        <v>3500000</v>
      </c>
      <c r="P205" s="121" t="s">
        <v>18</v>
      </c>
      <c r="Q205" s="121" t="s">
        <v>124</v>
      </c>
      <c r="R205" s="127"/>
    </row>
    <row r="206" customFormat="false" ht="12.75" hidden="false" customHeight="true" outlineLevel="0" collapsed="false">
      <c r="B206" s="119" t="n">
        <f aca="false">ROW()-4</f>
        <v>202</v>
      </c>
      <c r="C206" s="120" t="n">
        <f aca="false">COUNTIFS($D$5:D206,D206)</f>
        <v>65</v>
      </c>
      <c r="D206" s="121" t="s">
        <v>391</v>
      </c>
      <c r="E206" s="122" t="s">
        <v>516</v>
      </c>
      <c r="F206" s="123" t="n">
        <v>45567</v>
      </c>
      <c r="G206" s="121" t="s">
        <v>28</v>
      </c>
      <c r="H20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A0202</v>
      </c>
      <c r="I20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B0202</v>
      </c>
      <c r="J206" s="122" t="s">
        <v>517</v>
      </c>
      <c r="K20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C0202</v>
      </c>
      <c r="L20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D0202</v>
      </c>
      <c r="M20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E0202</v>
      </c>
      <c r="N206" s="122" t="s">
        <v>73</v>
      </c>
      <c r="O206" s="126" t="n">
        <v>3500000</v>
      </c>
      <c r="P206" s="121" t="s">
        <v>18</v>
      </c>
      <c r="Q206" s="121" t="s">
        <v>124</v>
      </c>
      <c r="R206" s="127"/>
      <c r="T206" s="118"/>
    </row>
    <row r="207" customFormat="false" ht="12.75" hidden="false" customHeight="true" outlineLevel="0" collapsed="false">
      <c r="B207" s="119" t="n">
        <f aca="false">ROW()-4</f>
        <v>203</v>
      </c>
      <c r="C207" s="120" t="n">
        <f aca="false">COUNTIFS($D$5:D207,D207)</f>
        <v>66</v>
      </c>
      <c r="D207" s="121" t="s">
        <v>391</v>
      </c>
      <c r="E207" s="122" t="s">
        <v>518</v>
      </c>
      <c r="F207" s="137" t="n">
        <v>45896</v>
      </c>
      <c r="G207" s="138" t="s">
        <v>28</v>
      </c>
      <c r="H207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A0203</v>
      </c>
      <c r="I207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B0203</v>
      </c>
      <c r="J207" s="124" t="s">
        <v>519</v>
      </c>
      <c r="K207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C0203</v>
      </c>
      <c r="L207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D0203</v>
      </c>
      <c r="M20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E0203</v>
      </c>
      <c r="N207" s="122" t="s">
        <v>73</v>
      </c>
      <c r="O207" s="126" t="n">
        <v>3500000</v>
      </c>
      <c r="P207" s="121" t="s">
        <v>18</v>
      </c>
      <c r="Q207" s="121" t="s">
        <v>124</v>
      </c>
      <c r="R207" s="127"/>
      <c r="T207" s="118"/>
    </row>
    <row r="208" customFormat="false" ht="12.75" hidden="false" customHeight="true" outlineLevel="0" collapsed="false">
      <c r="B208" s="119" t="n">
        <f aca="false">ROW()-4</f>
        <v>204</v>
      </c>
      <c r="C208" s="120" t="n">
        <f aca="false">COUNTIFS($D$5:D208,D208)</f>
        <v>67</v>
      </c>
      <c r="D208" s="121" t="s">
        <v>391</v>
      </c>
      <c r="E208" s="122" t="s">
        <v>520</v>
      </c>
      <c r="F208" s="123" t="n">
        <v>45240</v>
      </c>
      <c r="G208" s="121" t="s">
        <v>24</v>
      </c>
      <c r="H20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A0204</v>
      </c>
      <c r="I20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B0204</v>
      </c>
      <c r="J208" s="122" t="s">
        <v>521</v>
      </c>
      <c r="K20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C0204</v>
      </c>
      <c r="L20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D0204</v>
      </c>
      <c r="M20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E0204</v>
      </c>
      <c r="N208" s="122" t="s">
        <v>73</v>
      </c>
      <c r="O208" s="126" t="n">
        <v>3500000</v>
      </c>
      <c r="P208" s="121" t="s">
        <v>18</v>
      </c>
      <c r="Q208" s="121" t="s">
        <v>124</v>
      </c>
      <c r="R208" s="127"/>
      <c r="T208" s="118"/>
    </row>
    <row r="209" customFormat="false" ht="12.75" hidden="false" customHeight="true" outlineLevel="0" collapsed="false">
      <c r="B209" s="119" t="n">
        <f aca="false">ROW()-4</f>
        <v>205</v>
      </c>
      <c r="C209" s="120" t="n">
        <f aca="false">COUNTIFS($D$5:D209,D209)</f>
        <v>68</v>
      </c>
      <c r="D209" s="121" t="s">
        <v>391</v>
      </c>
      <c r="E209" s="122" t="s">
        <v>522</v>
      </c>
      <c r="F209" s="123" t="n">
        <v>44838</v>
      </c>
      <c r="G209" s="121" t="s">
        <v>30</v>
      </c>
      <c r="H20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A0205</v>
      </c>
      <c r="I20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B0205</v>
      </c>
      <c r="J209" s="122" t="s">
        <v>523</v>
      </c>
      <c r="K20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C0205</v>
      </c>
      <c r="L20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D0205</v>
      </c>
      <c r="M20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E0205</v>
      </c>
      <c r="N209" s="122" t="s">
        <v>73</v>
      </c>
      <c r="O209" s="126" t="n">
        <v>3500000</v>
      </c>
      <c r="P209" s="121" t="s">
        <v>18</v>
      </c>
      <c r="Q209" s="121" t="s">
        <v>124</v>
      </c>
      <c r="R209" s="127"/>
      <c r="T209" s="118"/>
    </row>
    <row r="210" customFormat="false" ht="12.75" hidden="false" customHeight="true" outlineLevel="0" collapsed="false">
      <c r="B210" s="119" t="n">
        <f aca="false">ROW()-4</f>
        <v>206</v>
      </c>
      <c r="C210" s="120" t="n">
        <f aca="false">COUNTIFS($D$5:D210,D210)</f>
        <v>69</v>
      </c>
      <c r="D210" s="121" t="s">
        <v>391</v>
      </c>
      <c r="E210" s="122" t="s">
        <v>524</v>
      </c>
      <c r="F210" s="123" t="n">
        <v>44854</v>
      </c>
      <c r="G210" s="121" t="s">
        <v>26</v>
      </c>
      <c r="H21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A0206</v>
      </c>
      <c r="I21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B0206</v>
      </c>
      <c r="J210" s="122" t="s">
        <v>525</v>
      </c>
      <c r="K21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C0206</v>
      </c>
      <c r="L21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D0206</v>
      </c>
      <c r="M21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E0206</v>
      </c>
      <c r="N210" s="122" t="s">
        <v>73</v>
      </c>
      <c r="O210" s="126" t="n">
        <v>3500000</v>
      </c>
      <c r="P210" s="121" t="s">
        <v>18</v>
      </c>
      <c r="Q210" s="121" t="s">
        <v>124</v>
      </c>
      <c r="R210" s="127"/>
      <c r="T210" s="118"/>
    </row>
    <row r="211" customFormat="false" ht="12.75" hidden="false" customHeight="true" outlineLevel="0" collapsed="false">
      <c r="B211" s="119" t="n">
        <f aca="false">ROW()-4</f>
        <v>207</v>
      </c>
      <c r="C211" s="120" t="n">
        <f aca="false">COUNTIFS($D$5:D211,D211)</f>
        <v>70</v>
      </c>
      <c r="D211" s="121" t="s">
        <v>391</v>
      </c>
      <c r="E211" s="122" t="s">
        <v>526</v>
      </c>
      <c r="F211" s="123" t="n">
        <v>44860</v>
      </c>
      <c r="G211" s="121" t="s">
        <v>22</v>
      </c>
      <c r="H21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A0207</v>
      </c>
      <c r="I21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B0207</v>
      </c>
      <c r="J211" s="122" t="s">
        <v>527</v>
      </c>
      <c r="K21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C0207</v>
      </c>
      <c r="L21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D0207</v>
      </c>
      <c r="M21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E0207</v>
      </c>
      <c r="N211" s="122" t="s">
        <v>73</v>
      </c>
      <c r="O211" s="126" t="n">
        <v>3500000</v>
      </c>
      <c r="P211" s="121" t="s">
        <v>18</v>
      </c>
      <c r="Q211" s="121" t="s">
        <v>124</v>
      </c>
      <c r="R211" s="127"/>
      <c r="T211" s="118"/>
    </row>
    <row r="212" customFormat="false" ht="12.75" hidden="false" customHeight="true" outlineLevel="0" collapsed="false">
      <c r="B212" s="119" t="n">
        <f aca="false">ROW()-4</f>
        <v>208</v>
      </c>
      <c r="C212" s="120" t="n">
        <f aca="false">COUNTIFS($D$5:D212,D212)</f>
        <v>71</v>
      </c>
      <c r="D212" s="121" t="s">
        <v>391</v>
      </c>
      <c r="E212" s="122" t="s">
        <v>528</v>
      </c>
      <c r="F212" s="123" t="n">
        <v>44831</v>
      </c>
      <c r="G212" s="121" t="s">
        <v>22</v>
      </c>
      <c r="H21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A0208</v>
      </c>
      <c r="I21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B0208</v>
      </c>
      <c r="J212" s="122" t="s">
        <v>529</v>
      </c>
      <c r="K21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C0208</v>
      </c>
      <c r="L21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D0208</v>
      </c>
      <c r="M21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E0208</v>
      </c>
      <c r="N212" s="122" t="s">
        <v>73</v>
      </c>
      <c r="O212" s="126" t="n">
        <v>3500000</v>
      </c>
      <c r="P212" s="121" t="s">
        <v>18</v>
      </c>
      <c r="Q212" s="121" t="s">
        <v>124</v>
      </c>
      <c r="R212" s="127"/>
      <c r="T212" s="118"/>
    </row>
    <row r="213" customFormat="false" ht="12.75" hidden="false" customHeight="true" outlineLevel="0" collapsed="false">
      <c r="B213" s="119" t="n">
        <f aca="false">ROW()-4</f>
        <v>209</v>
      </c>
      <c r="C213" s="120" t="n">
        <f aca="false">COUNTIFS($D$5:D213,D213)</f>
        <v>72</v>
      </c>
      <c r="D213" s="121" t="s">
        <v>391</v>
      </c>
      <c r="E213" s="122" t="s">
        <v>530</v>
      </c>
      <c r="F213" s="123" t="n">
        <v>44854</v>
      </c>
      <c r="G213" s="121" t="s">
        <v>22</v>
      </c>
      <c r="H21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A0209</v>
      </c>
      <c r="I21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B0209</v>
      </c>
      <c r="J213" s="122" t="s">
        <v>531</v>
      </c>
      <c r="K21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C0209</v>
      </c>
      <c r="L21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D0209</v>
      </c>
      <c r="M21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E0209</v>
      </c>
      <c r="N213" s="122" t="s">
        <v>73</v>
      </c>
      <c r="O213" s="126" t="n">
        <v>3500000</v>
      </c>
      <c r="P213" s="121" t="s">
        <v>18</v>
      </c>
      <c r="Q213" s="121" t="s">
        <v>124</v>
      </c>
      <c r="R213" s="127"/>
      <c r="T213" s="118"/>
    </row>
    <row r="214" customFormat="false" ht="12.75" hidden="false" customHeight="true" outlineLevel="0" collapsed="false">
      <c r="B214" s="119" t="n">
        <f aca="false">ROW()-4</f>
        <v>210</v>
      </c>
      <c r="C214" s="120" t="n">
        <f aca="false">COUNTIFS($D$5:D214,D214)</f>
        <v>73</v>
      </c>
      <c r="D214" s="121" t="s">
        <v>391</v>
      </c>
      <c r="E214" s="122" t="s">
        <v>532</v>
      </c>
      <c r="F214" s="123" t="n">
        <v>44874</v>
      </c>
      <c r="G214" s="121" t="s">
        <v>26</v>
      </c>
      <c r="H21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A0210</v>
      </c>
      <c r="I21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B0210</v>
      </c>
      <c r="J214" s="122" t="s">
        <v>533</v>
      </c>
      <c r="K21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C0210</v>
      </c>
      <c r="L21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D0210</v>
      </c>
      <c r="M21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E0210</v>
      </c>
      <c r="N214" s="122" t="s">
        <v>73</v>
      </c>
      <c r="O214" s="126" t="n">
        <v>3500000</v>
      </c>
      <c r="P214" s="121" t="s">
        <v>18</v>
      </c>
      <c r="Q214" s="121" t="s">
        <v>124</v>
      </c>
      <c r="R214" s="127"/>
      <c r="T214" s="118"/>
    </row>
    <row r="215" customFormat="false" ht="12.75" hidden="false" customHeight="true" outlineLevel="0" collapsed="false">
      <c r="B215" s="119" t="n">
        <f aca="false">ROW()-4</f>
        <v>211</v>
      </c>
      <c r="C215" s="120" t="n">
        <f aca="false">COUNTIFS($D$5:D215,D215)</f>
        <v>74</v>
      </c>
      <c r="D215" s="121" t="s">
        <v>391</v>
      </c>
      <c r="E215" s="122" t="s">
        <v>534</v>
      </c>
      <c r="F215" s="123" t="n">
        <v>44838</v>
      </c>
      <c r="G215" s="121" t="s">
        <v>26</v>
      </c>
      <c r="H21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A0211</v>
      </c>
      <c r="I21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B0211</v>
      </c>
      <c r="J215" s="122" t="s">
        <v>535</v>
      </c>
      <c r="K21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C0211</v>
      </c>
      <c r="L21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D0211</v>
      </c>
      <c r="M21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E0211</v>
      </c>
      <c r="N215" s="122" t="s">
        <v>73</v>
      </c>
      <c r="O215" s="126" t="n">
        <v>3500000</v>
      </c>
      <c r="P215" s="121" t="s">
        <v>18</v>
      </c>
      <c r="Q215" s="121" t="s">
        <v>124</v>
      </c>
      <c r="R215" s="127"/>
      <c r="T215" s="118"/>
    </row>
    <row r="216" customFormat="false" ht="12.75" hidden="false" customHeight="true" outlineLevel="0" collapsed="false">
      <c r="B216" s="119" t="n">
        <f aca="false">ROW()-4</f>
        <v>212</v>
      </c>
      <c r="C216" s="120" t="n">
        <f aca="false">COUNTIFS($D$5:D216,D216)</f>
        <v>75</v>
      </c>
      <c r="D216" s="121" t="s">
        <v>391</v>
      </c>
      <c r="E216" s="122" t="s">
        <v>536</v>
      </c>
      <c r="F216" s="123" t="n">
        <v>44862</v>
      </c>
      <c r="G216" s="121" t="s">
        <v>28</v>
      </c>
      <c r="H21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A0212</v>
      </c>
      <c r="I21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B0212</v>
      </c>
      <c r="J216" s="122" t="s">
        <v>537</v>
      </c>
      <c r="K21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C0212</v>
      </c>
      <c r="L21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D0212</v>
      </c>
      <c r="M21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E0212</v>
      </c>
      <c r="N216" s="122" t="s">
        <v>73</v>
      </c>
      <c r="O216" s="126" t="n">
        <v>3500000</v>
      </c>
      <c r="P216" s="121" t="s">
        <v>18</v>
      </c>
      <c r="Q216" s="121" t="s">
        <v>124</v>
      </c>
      <c r="R216" s="127"/>
      <c r="T216" s="118"/>
    </row>
    <row r="217" customFormat="false" ht="12.75" hidden="false" customHeight="true" outlineLevel="0" collapsed="false">
      <c r="B217" s="119" t="n">
        <f aca="false">ROW()-4</f>
        <v>213</v>
      </c>
      <c r="C217" s="120" t="n">
        <f aca="false">COUNTIFS($D$5:D217,D217)</f>
        <v>76</v>
      </c>
      <c r="D217" s="121" t="s">
        <v>391</v>
      </c>
      <c r="E217" s="122" t="s">
        <v>538</v>
      </c>
      <c r="F217" s="123" t="n">
        <v>44889</v>
      </c>
      <c r="G217" s="121" t="s">
        <v>30</v>
      </c>
      <c r="H21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A0213</v>
      </c>
      <c r="I21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B0213</v>
      </c>
      <c r="J217" s="122" t="s">
        <v>539</v>
      </c>
      <c r="K21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C0213</v>
      </c>
      <c r="L21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D0213</v>
      </c>
      <c r="M21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E0213</v>
      </c>
      <c r="N217" s="122" t="s">
        <v>73</v>
      </c>
      <c r="O217" s="126" t="n">
        <v>3500000</v>
      </c>
      <c r="P217" s="121" t="s">
        <v>18</v>
      </c>
      <c r="Q217" s="121" t="s">
        <v>124</v>
      </c>
      <c r="R217" s="127"/>
      <c r="T217" s="118"/>
    </row>
    <row r="218" customFormat="false" ht="12.75" hidden="false" customHeight="true" outlineLevel="0" collapsed="false">
      <c r="B218" s="119" t="n">
        <f aca="false">ROW()-4</f>
        <v>214</v>
      </c>
      <c r="C218" s="120" t="n">
        <f aca="false">COUNTIFS($D$5:D218,D218)</f>
        <v>77</v>
      </c>
      <c r="D218" s="121" t="s">
        <v>391</v>
      </c>
      <c r="E218" s="122" t="s">
        <v>540</v>
      </c>
      <c r="F218" s="123" t="n">
        <v>44979</v>
      </c>
      <c r="G218" s="121" t="s">
        <v>24</v>
      </c>
      <c r="H21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A0214</v>
      </c>
      <c r="I21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B0214</v>
      </c>
      <c r="J218" s="122" t="s">
        <v>541</v>
      </c>
      <c r="K21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C0214</v>
      </c>
      <c r="L21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D0214</v>
      </c>
      <c r="M21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E0214</v>
      </c>
      <c r="N218" s="122" t="s">
        <v>73</v>
      </c>
      <c r="O218" s="126" t="n">
        <v>3500000</v>
      </c>
      <c r="P218" s="121" t="s">
        <v>18</v>
      </c>
      <c r="Q218" s="121" t="s">
        <v>124</v>
      </c>
      <c r="R218" s="127"/>
      <c r="T218" s="118"/>
    </row>
    <row r="219" customFormat="false" ht="12.75" hidden="false" customHeight="true" outlineLevel="0" collapsed="false">
      <c r="B219" s="119" t="n">
        <f aca="false">ROW()-4</f>
        <v>215</v>
      </c>
      <c r="C219" s="120" t="n">
        <f aca="false">COUNTIFS($D$5:D219,D219)</f>
        <v>78</v>
      </c>
      <c r="D219" s="121" t="s">
        <v>391</v>
      </c>
      <c r="E219" s="122" t="s">
        <v>542</v>
      </c>
      <c r="F219" s="123" t="n">
        <v>45579</v>
      </c>
      <c r="G219" s="121" t="s">
        <v>24</v>
      </c>
      <c r="H21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A0215</v>
      </c>
      <c r="I21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B0215</v>
      </c>
      <c r="J219" s="122" t="s">
        <v>543</v>
      </c>
      <c r="K21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C0215</v>
      </c>
      <c r="L21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D0215</v>
      </c>
      <c r="M21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E0215</v>
      </c>
      <c r="N219" s="122" t="s">
        <v>73</v>
      </c>
      <c r="O219" s="126" t="n">
        <v>3500000</v>
      </c>
      <c r="P219" s="121" t="s">
        <v>18</v>
      </c>
      <c r="Q219" s="121" t="s">
        <v>124</v>
      </c>
      <c r="R219" s="127"/>
      <c r="T219" s="118"/>
    </row>
    <row r="220" customFormat="false" ht="12.75" hidden="false" customHeight="true" outlineLevel="0" collapsed="false">
      <c r="B220" s="119" t="n">
        <f aca="false">ROW()-4</f>
        <v>216</v>
      </c>
      <c r="C220" s="120" t="n">
        <f aca="false">COUNTIFS($D$5:D220,D220)</f>
        <v>79</v>
      </c>
      <c r="D220" s="121" t="s">
        <v>391</v>
      </c>
      <c r="E220" s="122" t="s">
        <v>544</v>
      </c>
      <c r="F220" s="123" t="n">
        <v>45672</v>
      </c>
      <c r="G220" s="121" t="s">
        <v>22</v>
      </c>
      <c r="H22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A0216</v>
      </c>
      <c r="I22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B0216</v>
      </c>
      <c r="J220" s="122" t="s">
        <v>545</v>
      </c>
      <c r="K22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C0216</v>
      </c>
      <c r="L22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D0216</v>
      </c>
      <c r="M22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E0216</v>
      </c>
      <c r="N220" s="122" t="s">
        <v>73</v>
      </c>
      <c r="O220" s="126" t="n">
        <v>3500000</v>
      </c>
      <c r="P220" s="121" t="s">
        <v>18</v>
      </c>
      <c r="Q220" s="121" t="s">
        <v>124</v>
      </c>
      <c r="R220" s="127"/>
      <c r="T220" s="118"/>
    </row>
    <row r="221" customFormat="false" ht="12.75" hidden="false" customHeight="true" outlineLevel="0" collapsed="false">
      <c r="B221" s="119" t="n">
        <f aca="false">ROW()-4</f>
        <v>217</v>
      </c>
      <c r="C221" s="120" t="n">
        <f aca="false">COUNTIFS($D$5:D221,D221)</f>
        <v>80</v>
      </c>
      <c r="D221" s="121" t="s">
        <v>391</v>
      </c>
      <c r="E221" s="122" t="s">
        <v>546</v>
      </c>
      <c r="F221" s="123" t="n">
        <v>46029</v>
      </c>
      <c r="G221" s="121" t="s">
        <v>22</v>
      </c>
      <c r="H22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A0217</v>
      </c>
      <c r="I22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B0217</v>
      </c>
      <c r="J221" s="122" t="s">
        <v>547</v>
      </c>
      <c r="K22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C0217</v>
      </c>
      <c r="L22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D0217</v>
      </c>
      <c r="M22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E0217</v>
      </c>
      <c r="N221" s="122" t="s">
        <v>73</v>
      </c>
      <c r="O221" s="126" t="n">
        <v>3500000</v>
      </c>
      <c r="P221" s="121" t="s">
        <v>18</v>
      </c>
      <c r="Q221" s="121" t="s">
        <v>124</v>
      </c>
      <c r="R221" s="127"/>
      <c r="T221" s="118"/>
    </row>
    <row r="222" customFormat="false" ht="12.75" hidden="false" customHeight="true" outlineLevel="0" collapsed="false">
      <c r="B222" s="119" t="n">
        <f aca="false">ROW()-4</f>
        <v>218</v>
      </c>
      <c r="C222" s="120" t="n">
        <f aca="false">COUNTIFS($D$5:D222,D222)</f>
        <v>81</v>
      </c>
      <c r="D222" s="121" t="s">
        <v>391</v>
      </c>
      <c r="E222" s="122" t="s">
        <v>548</v>
      </c>
      <c r="F222" s="123" t="n">
        <v>44886</v>
      </c>
      <c r="G222" s="121" t="s">
        <v>28</v>
      </c>
      <c r="H22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A0218</v>
      </c>
      <c r="I22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B0218</v>
      </c>
      <c r="J222" s="122" t="s">
        <v>549</v>
      </c>
      <c r="K22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C0218</v>
      </c>
      <c r="L22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D0218</v>
      </c>
      <c r="M22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E0218</v>
      </c>
      <c r="N222" s="122" t="s">
        <v>73</v>
      </c>
      <c r="O222" s="126" t="n">
        <v>3500000</v>
      </c>
      <c r="P222" s="121" t="s">
        <v>18</v>
      </c>
      <c r="Q222" s="121" t="s">
        <v>124</v>
      </c>
      <c r="R222" s="127"/>
      <c r="T222" s="118"/>
    </row>
    <row r="223" customFormat="false" ht="12.75" hidden="false" customHeight="true" outlineLevel="0" collapsed="false">
      <c r="B223" s="119" t="n">
        <f aca="false">ROW()-4</f>
        <v>219</v>
      </c>
      <c r="C223" s="120" t="n">
        <f aca="false">COUNTIFS($D$5:D223,D223)</f>
        <v>82</v>
      </c>
      <c r="D223" s="121" t="s">
        <v>391</v>
      </c>
      <c r="E223" s="122" t="s">
        <v>550</v>
      </c>
      <c r="F223" s="123" t="n">
        <v>44901</v>
      </c>
      <c r="G223" s="121" t="s">
        <v>28</v>
      </c>
      <c r="H22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A0219</v>
      </c>
      <c r="I22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B0219</v>
      </c>
      <c r="J223" s="122" t="s">
        <v>551</v>
      </c>
      <c r="K22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C0219</v>
      </c>
      <c r="L22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D0219</v>
      </c>
      <c r="M22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E0219</v>
      </c>
      <c r="N223" s="122" t="s">
        <v>73</v>
      </c>
      <c r="O223" s="126" t="n">
        <v>3500000</v>
      </c>
      <c r="P223" s="121" t="s">
        <v>18</v>
      </c>
      <c r="Q223" s="121" t="s">
        <v>124</v>
      </c>
      <c r="R223" s="127"/>
      <c r="T223" s="118"/>
    </row>
    <row r="224" customFormat="false" ht="12.75" hidden="false" customHeight="true" outlineLevel="0" collapsed="false">
      <c r="B224" s="119" t="n">
        <f aca="false">ROW()-4</f>
        <v>220</v>
      </c>
      <c r="C224" s="120" t="n">
        <f aca="false">COUNTIFS($D$5:D224,D224)</f>
        <v>83</v>
      </c>
      <c r="D224" s="121" t="s">
        <v>391</v>
      </c>
      <c r="E224" s="122" t="s">
        <v>552</v>
      </c>
      <c r="F224" s="123" t="n">
        <v>44908</v>
      </c>
      <c r="G224" s="121" t="s">
        <v>30</v>
      </c>
      <c r="H22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A0220</v>
      </c>
      <c r="I22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B0220</v>
      </c>
      <c r="J224" s="122" t="s">
        <v>553</v>
      </c>
      <c r="K22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C0220</v>
      </c>
      <c r="L22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D0220</v>
      </c>
      <c r="M22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E0220</v>
      </c>
      <c r="N224" s="122" t="s">
        <v>73</v>
      </c>
      <c r="O224" s="126" t="n">
        <v>3500000</v>
      </c>
      <c r="P224" s="121" t="s">
        <v>18</v>
      </c>
      <c r="Q224" s="121" t="s">
        <v>124</v>
      </c>
      <c r="R224" s="127"/>
      <c r="T224" s="118"/>
    </row>
    <row r="225" customFormat="false" ht="12.75" hidden="false" customHeight="true" outlineLevel="0" collapsed="false">
      <c r="B225" s="119" t="n">
        <f aca="false">ROW()-4</f>
        <v>221</v>
      </c>
      <c r="C225" s="120" t="n">
        <f aca="false">COUNTIFS($D$5:D225,D225)</f>
        <v>84</v>
      </c>
      <c r="D225" s="121" t="s">
        <v>391</v>
      </c>
      <c r="E225" s="122" t="s">
        <v>554</v>
      </c>
      <c r="F225" s="123" t="n">
        <v>44917</v>
      </c>
      <c r="G225" s="121" t="s">
        <v>28</v>
      </c>
      <c r="H22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A0221</v>
      </c>
      <c r="I22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B0221</v>
      </c>
      <c r="J225" s="122" t="s">
        <v>555</v>
      </c>
      <c r="K22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C0221</v>
      </c>
      <c r="L22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D0221</v>
      </c>
      <c r="M22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E0221</v>
      </c>
      <c r="N225" s="122" t="s">
        <v>73</v>
      </c>
      <c r="O225" s="126" t="n">
        <v>3500000</v>
      </c>
      <c r="P225" s="121" t="s">
        <v>18</v>
      </c>
      <c r="Q225" s="121" t="s">
        <v>124</v>
      </c>
      <c r="R225" s="127"/>
      <c r="T225" s="118"/>
    </row>
    <row r="226" customFormat="false" ht="12.75" hidden="false" customHeight="true" outlineLevel="0" collapsed="false">
      <c r="B226" s="119" t="n">
        <f aca="false">ROW()-4</f>
        <v>222</v>
      </c>
      <c r="C226" s="120" t="n">
        <f aca="false">COUNTIFS($D$5:D226,D226)</f>
        <v>85</v>
      </c>
      <c r="D226" s="121" t="s">
        <v>391</v>
      </c>
      <c r="E226" s="122" t="s">
        <v>556</v>
      </c>
      <c r="F226" s="123" t="n">
        <v>44900</v>
      </c>
      <c r="G226" s="121" t="s">
        <v>28</v>
      </c>
      <c r="H22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A0222</v>
      </c>
      <c r="I22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B0222</v>
      </c>
      <c r="J226" s="122" t="s">
        <v>557</v>
      </c>
      <c r="K22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C0222</v>
      </c>
      <c r="L22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D0222</v>
      </c>
      <c r="M22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E0222</v>
      </c>
      <c r="N226" s="122" t="s">
        <v>73</v>
      </c>
      <c r="O226" s="126" t="n">
        <v>3500000</v>
      </c>
      <c r="P226" s="121" t="s">
        <v>18</v>
      </c>
      <c r="Q226" s="121" t="s">
        <v>124</v>
      </c>
      <c r="R226" s="127"/>
      <c r="T226" s="118"/>
    </row>
    <row r="227" customFormat="false" ht="12.75" hidden="false" customHeight="true" outlineLevel="0" collapsed="false">
      <c r="B227" s="119" t="n">
        <f aca="false">ROW()-4</f>
        <v>223</v>
      </c>
      <c r="C227" s="120" t="n">
        <f aca="false">COUNTIFS($D$5:D227,D227)</f>
        <v>86</v>
      </c>
      <c r="D227" s="121" t="s">
        <v>391</v>
      </c>
      <c r="E227" s="122" t="s">
        <v>558</v>
      </c>
      <c r="F227" s="123" t="n">
        <v>45408</v>
      </c>
      <c r="G227" s="121" t="s">
        <v>24</v>
      </c>
      <c r="H22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A0223</v>
      </c>
      <c r="I22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B0223</v>
      </c>
      <c r="J227" s="122" t="s">
        <v>559</v>
      </c>
      <c r="K22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C0223</v>
      </c>
      <c r="L22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D0223</v>
      </c>
      <c r="M22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E0223</v>
      </c>
      <c r="N227" s="122" t="s">
        <v>73</v>
      </c>
      <c r="O227" s="126" t="n">
        <v>3500000</v>
      </c>
      <c r="P227" s="121" t="s">
        <v>18</v>
      </c>
      <c r="Q227" s="121" t="s">
        <v>124</v>
      </c>
      <c r="R227" s="127"/>
      <c r="T227" s="118"/>
    </row>
    <row r="228" customFormat="false" ht="12.75" hidden="false" customHeight="true" outlineLevel="0" collapsed="false">
      <c r="B228" s="119" t="n">
        <f aca="false">ROW()-4</f>
        <v>224</v>
      </c>
      <c r="C228" s="120" t="n">
        <f aca="false">COUNTIFS($D$5:D228,D228)</f>
        <v>87</v>
      </c>
      <c r="D228" s="121" t="s">
        <v>391</v>
      </c>
      <c r="E228" s="122" t="s">
        <v>560</v>
      </c>
      <c r="F228" s="123" t="n">
        <v>45817</v>
      </c>
      <c r="G228" s="121" t="s">
        <v>28</v>
      </c>
      <c r="H22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A0224</v>
      </c>
      <c r="I22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B0224</v>
      </c>
      <c r="J228" s="122" t="s">
        <v>561</v>
      </c>
      <c r="K22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C0224</v>
      </c>
      <c r="L22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D0224</v>
      </c>
      <c r="M22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E0224</v>
      </c>
      <c r="N228" s="122" t="s">
        <v>73</v>
      </c>
      <c r="O228" s="126" t="n">
        <v>3500000</v>
      </c>
      <c r="P228" s="121" t="s">
        <v>18</v>
      </c>
      <c r="Q228" s="121" t="s">
        <v>124</v>
      </c>
      <c r="R228" s="127"/>
      <c r="T228" s="118"/>
    </row>
    <row r="229" customFormat="false" ht="12.75" hidden="false" customHeight="true" outlineLevel="0" collapsed="false">
      <c r="B229" s="119" t="n">
        <f aca="false">ROW()-4</f>
        <v>225</v>
      </c>
      <c r="C229" s="120" t="n">
        <f aca="false">COUNTIFS($D$5:D229,D229)</f>
        <v>88</v>
      </c>
      <c r="D229" s="121" t="s">
        <v>391</v>
      </c>
      <c r="E229" s="122" t="s">
        <v>562</v>
      </c>
      <c r="F229" s="123" t="n">
        <v>44923</v>
      </c>
      <c r="G229" s="121" t="s">
        <v>24</v>
      </c>
      <c r="H22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A0225</v>
      </c>
      <c r="I22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B0225</v>
      </c>
      <c r="J229" s="122" t="s">
        <v>563</v>
      </c>
      <c r="K22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C0225</v>
      </c>
      <c r="L22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D0225</v>
      </c>
      <c r="M22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E0225</v>
      </c>
      <c r="N229" s="122" t="s">
        <v>73</v>
      </c>
      <c r="O229" s="126" t="n">
        <v>3500000</v>
      </c>
      <c r="P229" s="121" t="s">
        <v>18</v>
      </c>
      <c r="Q229" s="121" t="s">
        <v>124</v>
      </c>
      <c r="R229" s="127"/>
      <c r="T229" s="118"/>
    </row>
    <row r="230" customFormat="false" ht="12.75" hidden="false" customHeight="true" outlineLevel="0" collapsed="false">
      <c r="B230" s="119" t="n">
        <f aca="false">ROW()-4</f>
        <v>226</v>
      </c>
      <c r="C230" s="120" t="n">
        <f aca="false">COUNTIFS($D$5:D230,D230)</f>
        <v>89</v>
      </c>
      <c r="D230" s="121" t="s">
        <v>391</v>
      </c>
      <c r="E230" s="122" t="s">
        <v>564</v>
      </c>
      <c r="F230" s="123" t="n">
        <v>45512</v>
      </c>
      <c r="G230" s="121" t="s">
        <v>28</v>
      </c>
      <c r="H23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A0226</v>
      </c>
      <c r="I23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B0226</v>
      </c>
      <c r="J230" s="122" t="s">
        <v>565</v>
      </c>
      <c r="K23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C0226</v>
      </c>
      <c r="L23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D0226</v>
      </c>
      <c r="M23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E0226</v>
      </c>
      <c r="N230" s="122" t="s">
        <v>73</v>
      </c>
      <c r="O230" s="126" t="n">
        <v>3500000</v>
      </c>
      <c r="P230" s="121" t="s">
        <v>18</v>
      </c>
      <c r="Q230" s="121" t="s">
        <v>124</v>
      </c>
      <c r="R230" s="127"/>
      <c r="T230" s="118"/>
    </row>
    <row r="231" customFormat="false" ht="12.75" hidden="false" customHeight="true" outlineLevel="0" collapsed="false">
      <c r="B231" s="119" t="n">
        <f aca="false">ROW()-4</f>
        <v>227</v>
      </c>
      <c r="C231" s="120" t="n">
        <f aca="false">COUNTIFS($D$5:D231,D231)</f>
        <v>90</v>
      </c>
      <c r="D231" s="121" t="s">
        <v>391</v>
      </c>
      <c r="E231" s="122" t="s">
        <v>566</v>
      </c>
      <c r="F231" s="123" t="n">
        <v>44980</v>
      </c>
      <c r="G231" s="121" t="s">
        <v>30</v>
      </c>
      <c r="H23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A0227</v>
      </c>
      <c r="I23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B0227</v>
      </c>
      <c r="J231" s="122" t="s">
        <v>567</v>
      </c>
      <c r="K23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C0227</v>
      </c>
      <c r="L23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D0227</v>
      </c>
      <c r="M23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E0227</v>
      </c>
      <c r="N231" s="122" t="s">
        <v>73</v>
      </c>
      <c r="O231" s="126" t="n">
        <v>3500000</v>
      </c>
      <c r="P231" s="121" t="s">
        <v>18</v>
      </c>
      <c r="Q231" s="121" t="s">
        <v>124</v>
      </c>
      <c r="R231" s="127"/>
      <c r="T231" s="118"/>
    </row>
    <row r="232" customFormat="false" ht="12.75" hidden="false" customHeight="true" outlineLevel="0" collapsed="false">
      <c r="B232" s="119" t="n">
        <f aca="false">ROW()-4</f>
        <v>228</v>
      </c>
      <c r="C232" s="120" t="n">
        <f aca="false">COUNTIFS($D$5:D232,D232)</f>
        <v>91</v>
      </c>
      <c r="D232" s="121" t="s">
        <v>391</v>
      </c>
      <c r="E232" s="122" t="s">
        <v>568</v>
      </c>
      <c r="F232" s="123" t="n">
        <v>45572</v>
      </c>
      <c r="G232" s="121" t="s">
        <v>22</v>
      </c>
      <c r="H23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A0228</v>
      </c>
      <c r="I23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B0228</v>
      </c>
      <c r="J232" s="122" t="s">
        <v>569</v>
      </c>
      <c r="K23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C0228</v>
      </c>
      <c r="L23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D0228</v>
      </c>
      <c r="M23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E0228</v>
      </c>
      <c r="N232" s="122" t="s">
        <v>73</v>
      </c>
      <c r="O232" s="126" t="n">
        <v>3500000</v>
      </c>
      <c r="P232" s="121" t="s">
        <v>18</v>
      </c>
      <c r="Q232" s="121" t="s">
        <v>124</v>
      </c>
      <c r="R232" s="127"/>
      <c r="T232" s="118"/>
    </row>
    <row r="233" customFormat="false" ht="12.75" hidden="false" customHeight="true" outlineLevel="0" collapsed="false">
      <c r="B233" s="119" t="n">
        <f aca="false">ROW()-4</f>
        <v>229</v>
      </c>
      <c r="C233" s="120" t="n">
        <f aca="false">COUNTIFS($D$5:D233,D233)</f>
        <v>92</v>
      </c>
      <c r="D233" s="121" t="s">
        <v>391</v>
      </c>
      <c r="E233" s="122" t="s">
        <v>570</v>
      </c>
      <c r="F233" s="123" t="n">
        <v>44977</v>
      </c>
      <c r="G233" s="121" t="s">
        <v>22</v>
      </c>
      <c r="H23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A0229</v>
      </c>
      <c r="I23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B0229</v>
      </c>
      <c r="J233" s="122" t="s">
        <v>571</v>
      </c>
      <c r="K23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C0229</v>
      </c>
      <c r="L23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D0229</v>
      </c>
      <c r="M23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E0229</v>
      </c>
      <c r="N233" s="122" t="s">
        <v>73</v>
      </c>
      <c r="O233" s="126" t="n">
        <v>3500000</v>
      </c>
      <c r="P233" s="121" t="s">
        <v>18</v>
      </c>
      <c r="Q233" s="121" t="s">
        <v>124</v>
      </c>
      <c r="R233" s="127"/>
      <c r="T233" s="118"/>
    </row>
    <row r="234" customFormat="false" ht="12.75" hidden="false" customHeight="true" outlineLevel="0" collapsed="false">
      <c r="B234" s="119" t="n">
        <f aca="false">ROW()-4</f>
        <v>230</v>
      </c>
      <c r="C234" s="120" t="n">
        <f aca="false">COUNTIFS($D$5:D234,D234)</f>
        <v>93</v>
      </c>
      <c r="D234" s="121" t="s">
        <v>391</v>
      </c>
      <c r="E234" s="122" t="s">
        <v>572</v>
      </c>
      <c r="F234" s="123" t="n">
        <v>44972</v>
      </c>
      <c r="G234" s="121" t="s">
        <v>22</v>
      </c>
      <c r="H23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A0230</v>
      </c>
      <c r="I23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B0230</v>
      </c>
      <c r="J234" s="122" t="s">
        <v>573</v>
      </c>
      <c r="K23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C0230</v>
      </c>
      <c r="L23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D0230</v>
      </c>
      <c r="M23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E0230</v>
      </c>
      <c r="N234" s="122" t="s">
        <v>73</v>
      </c>
      <c r="O234" s="126" t="n">
        <v>3500000</v>
      </c>
      <c r="P234" s="121" t="s">
        <v>18</v>
      </c>
      <c r="Q234" s="121" t="s">
        <v>124</v>
      </c>
      <c r="R234" s="127"/>
      <c r="T234" s="118"/>
    </row>
    <row r="235" customFormat="false" ht="12.75" hidden="false" customHeight="true" outlineLevel="0" collapsed="false">
      <c r="B235" s="119" t="n">
        <f aca="false">ROW()-4</f>
        <v>231</v>
      </c>
      <c r="C235" s="120" t="n">
        <f aca="false">COUNTIFS($D$5:D235,D235)</f>
        <v>94</v>
      </c>
      <c r="D235" s="121" t="s">
        <v>391</v>
      </c>
      <c r="E235" s="122" t="s">
        <v>574</v>
      </c>
      <c r="F235" s="123" t="n">
        <v>44993</v>
      </c>
      <c r="G235" s="121" t="s">
        <v>28</v>
      </c>
      <c r="H23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A0231</v>
      </c>
      <c r="I23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B0231</v>
      </c>
      <c r="J235" s="122" t="s">
        <v>575</v>
      </c>
      <c r="K23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C0231</v>
      </c>
      <c r="L23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D0231</v>
      </c>
      <c r="M23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E0231</v>
      </c>
      <c r="N235" s="122" t="s">
        <v>73</v>
      </c>
      <c r="O235" s="126" t="n">
        <v>3500000</v>
      </c>
      <c r="P235" s="121" t="s">
        <v>18</v>
      </c>
      <c r="Q235" s="121" t="s">
        <v>124</v>
      </c>
      <c r="R235" s="127"/>
      <c r="T235" s="118"/>
    </row>
    <row r="236" customFormat="false" ht="12.75" hidden="false" customHeight="true" outlineLevel="0" collapsed="false">
      <c r="B236" s="119" t="n">
        <f aca="false">ROW()-4</f>
        <v>232</v>
      </c>
      <c r="C236" s="120" t="n">
        <f aca="false">COUNTIFS($D$5:D236,D236)</f>
        <v>95</v>
      </c>
      <c r="D236" s="121" t="s">
        <v>391</v>
      </c>
      <c r="E236" s="122" t="s">
        <v>576</v>
      </c>
      <c r="F236" s="123" t="n">
        <v>45442</v>
      </c>
      <c r="G236" s="121" t="s">
        <v>28</v>
      </c>
      <c r="H23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A0232</v>
      </c>
      <c r="I23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B0232</v>
      </c>
      <c r="J236" s="122" t="s">
        <v>577</v>
      </c>
      <c r="K23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C0232</v>
      </c>
      <c r="L23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D0232</v>
      </c>
      <c r="M23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E0232</v>
      </c>
      <c r="N236" s="122" t="s">
        <v>73</v>
      </c>
      <c r="O236" s="126" t="n">
        <v>3500000</v>
      </c>
      <c r="P236" s="121" t="s">
        <v>18</v>
      </c>
      <c r="Q236" s="121" t="s">
        <v>124</v>
      </c>
      <c r="R236" s="127"/>
      <c r="T236" s="118"/>
    </row>
    <row r="237" customFormat="false" ht="12.75" hidden="false" customHeight="true" outlineLevel="0" collapsed="false">
      <c r="B237" s="119" t="n">
        <f aca="false">ROW()-4</f>
        <v>233</v>
      </c>
      <c r="C237" s="120" t="n">
        <f aca="false">COUNTIFS($D$5:D237,D237)</f>
        <v>96</v>
      </c>
      <c r="D237" s="121" t="s">
        <v>391</v>
      </c>
      <c r="E237" s="122" t="s">
        <v>578</v>
      </c>
      <c r="F237" s="123"/>
      <c r="G237" s="121" t="s">
        <v>210</v>
      </c>
      <c r="H237" s="122"/>
      <c r="I237" s="122"/>
      <c r="J237" s="124"/>
      <c r="K237" s="122"/>
      <c r="L237" s="125"/>
      <c r="M23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E0233</v>
      </c>
      <c r="N237" s="122" t="s">
        <v>73</v>
      </c>
      <c r="O237" s="126" t="n">
        <v>3500000</v>
      </c>
      <c r="P237" s="121" t="s">
        <v>19</v>
      </c>
      <c r="Q237" s="122"/>
      <c r="R237" s="128" t="s">
        <v>59</v>
      </c>
      <c r="T237" s="118"/>
    </row>
    <row r="238" customFormat="false" ht="12.75" hidden="false" customHeight="true" outlineLevel="0" collapsed="false">
      <c r="B238" s="119" t="n">
        <f aca="false">ROW()-4</f>
        <v>234</v>
      </c>
      <c r="C238" s="120" t="n">
        <f aca="false">COUNTIFS($D$5:D238,D238)</f>
        <v>97</v>
      </c>
      <c r="D238" s="121" t="s">
        <v>391</v>
      </c>
      <c r="E238" s="122" t="s">
        <v>579</v>
      </c>
      <c r="F238" s="123" t="n">
        <v>44993</v>
      </c>
      <c r="G238" s="121" t="s">
        <v>24</v>
      </c>
      <c r="H23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A0234</v>
      </c>
      <c r="I23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B0234</v>
      </c>
      <c r="J238" s="122" t="s">
        <v>580</v>
      </c>
      <c r="K23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C0234</v>
      </c>
      <c r="L23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D0234</v>
      </c>
      <c r="M23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E0234</v>
      </c>
      <c r="N238" s="122" t="s">
        <v>73</v>
      </c>
      <c r="O238" s="126" t="n">
        <v>3500000</v>
      </c>
      <c r="P238" s="121" t="s">
        <v>18</v>
      </c>
      <c r="Q238" s="121" t="s">
        <v>124</v>
      </c>
      <c r="R238" s="127"/>
      <c r="T238" s="118"/>
    </row>
    <row r="239" customFormat="false" ht="12.75" hidden="false" customHeight="true" outlineLevel="0" collapsed="false">
      <c r="B239" s="119" t="n">
        <f aca="false">ROW()-4</f>
        <v>235</v>
      </c>
      <c r="C239" s="120" t="n">
        <f aca="false">COUNTIFS($D$5:D239,D239)</f>
        <v>98</v>
      </c>
      <c r="D239" s="121" t="s">
        <v>391</v>
      </c>
      <c r="E239" s="122" t="s">
        <v>581</v>
      </c>
      <c r="F239" s="123" t="n">
        <v>45008</v>
      </c>
      <c r="G239" s="121" t="s">
        <v>28</v>
      </c>
      <c r="H23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A0235</v>
      </c>
      <c r="I23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B0235</v>
      </c>
      <c r="J239" s="122" t="s">
        <v>582</v>
      </c>
      <c r="K23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C0235</v>
      </c>
      <c r="L23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D0235</v>
      </c>
      <c r="M23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E0235</v>
      </c>
      <c r="N239" s="122" t="s">
        <v>73</v>
      </c>
      <c r="O239" s="126" t="n">
        <v>3500000</v>
      </c>
      <c r="P239" s="121" t="s">
        <v>18</v>
      </c>
      <c r="Q239" s="121" t="s">
        <v>124</v>
      </c>
      <c r="R239" s="127"/>
      <c r="T239" s="118"/>
    </row>
    <row r="240" customFormat="false" ht="12.75" hidden="false" customHeight="true" outlineLevel="0" collapsed="false">
      <c r="B240" s="119" t="n">
        <f aca="false">ROW()-4</f>
        <v>236</v>
      </c>
      <c r="C240" s="120" t="n">
        <f aca="false">COUNTIFS($D$5:D240,D240)</f>
        <v>99</v>
      </c>
      <c r="D240" s="121" t="s">
        <v>391</v>
      </c>
      <c r="E240" s="122" t="s">
        <v>583</v>
      </c>
      <c r="F240" s="123" t="n">
        <v>44998</v>
      </c>
      <c r="G240" s="121" t="s">
        <v>22</v>
      </c>
      <c r="H24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A0236</v>
      </c>
      <c r="I24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B0236</v>
      </c>
      <c r="J240" s="122" t="s">
        <v>584</v>
      </c>
      <c r="K24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C0236</v>
      </c>
      <c r="L24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D0236</v>
      </c>
      <c r="M24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E0236</v>
      </c>
      <c r="N240" s="122" t="s">
        <v>73</v>
      </c>
      <c r="O240" s="126" t="n">
        <v>3500000</v>
      </c>
      <c r="P240" s="121" t="s">
        <v>18</v>
      </c>
      <c r="Q240" s="121" t="s">
        <v>124</v>
      </c>
      <c r="R240" s="127"/>
      <c r="T240" s="118"/>
    </row>
    <row r="241" customFormat="false" ht="12.75" hidden="false" customHeight="true" outlineLevel="0" collapsed="false">
      <c r="B241" s="119" t="n">
        <f aca="false">ROW()-4</f>
        <v>237</v>
      </c>
      <c r="C241" s="120" t="n">
        <f aca="false">COUNTIFS($D$5:D241,D241)</f>
        <v>100</v>
      </c>
      <c r="D241" s="121" t="s">
        <v>391</v>
      </c>
      <c r="E241" s="122" t="s">
        <v>585</v>
      </c>
      <c r="F241" s="123"/>
      <c r="G241" s="121" t="s">
        <v>210</v>
      </c>
      <c r="H241" s="122"/>
      <c r="I241" s="122"/>
      <c r="J241" s="122"/>
      <c r="K241" s="122"/>
      <c r="L241" s="125"/>
      <c r="M24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E0237</v>
      </c>
      <c r="N241" s="122" t="s">
        <v>73</v>
      </c>
      <c r="O241" s="126" t="n">
        <v>3500000</v>
      </c>
      <c r="P241" s="121" t="s">
        <v>19</v>
      </c>
      <c r="Q241" s="122"/>
      <c r="R241" s="128" t="s">
        <v>59</v>
      </c>
      <c r="T241" s="118"/>
    </row>
    <row r="242" customFormat="false" ht="12.75" hidden="false" customHeight="true" outlineLevel="0" collapsed="false">
      <c r="B242" s="119" t="n">
        <f aca="false">ROW()-4</f>
        <v>238</v>
      </c>
      <c r="C242" s="120" t="n">
        <f aca="false">COUNTIFS($D$5:D242,D242)</f>
        <v>101</v>
      </c>
      <c r="D242" s="121" t="s">
        <v>391</v>
      </c>
      <c r="E242" s="122" t="s">
        <v>586</v>
      </c>
      <c r="F242" s="123" t="n">
        <v>45482</v>
      </c>
      <c r="G242" s="121" t="s">
        <v>22</v>
      </c>
      <c r="H24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A0238</v>
      </c>
      <c r="I24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B0238</v>
      </c>
      <c r="J242" s="122" t="s">
        <v>587</v>
      </c>
      <c r="K24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C0238</v>
      </c>
      <c r="L24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D0238</v>
      </c>
      <c r="M24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E0238</v>
      </c>
      <c r="N242" s="122" t="s">
        <v>73</v>
      </c>
      <c r="O242" s="126" t="n">
        <v>3500000</v>
      </c>
      <c r="P242" s="121" t="s">
        <v>18</v>
      </c>
      <c r="Q242" s="121" t="s">
        <v>124</v>
      </c>
      <c r="R242" s="127"/>
      <c r="T242" s="118"/>
    </row>
    <row r="243" customFormat="false" ht="12.75" hidden="false" customHeight="true" outlineLevel="0" collapsed="false">
      <c r="B243" s="119" t="n">
        <f aca="false">ROW()-4</f>
        <v>239</v>
      </c>
      <c r="C243" s="120" t="n">
        <f aca="false">COUNTIFS($D$5:D243,D243)</f>
        <v>102</v>
      </c>
      <c r="D243" s="121" t="s">
        <v>391</v>
      </c>
      <c r="E243" s="122" t="s">
        <v>588</v>
      </c>
      <c r="F243" s="123" t="n">
        <v>45035</v>
      </c>
      <c r="G243" s="121" t="s">
        <v>30</v>
      </c>
      <c r="H24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A0239</v>
      </c>
      <c r="I24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B0239</v>
      </c>
      <c r="J243" s="122" t="s">
        <v>589</v>
      </c>
      <c r="K24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C0239</v>
      </c>
      <c r="L24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D0239</v>
      </c>
      <c r="M24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E0239</v>
      </c>
      <c r="N243" s="122" t="s">
        <v>73</v>
      </c>
      <c r="O243" s="126" t="n">
        <v>3500000</v>
      </c>
      <c r="P243" s="121" t="s">
        <v>18</v>
      </c>
      <c r="Q243" s="121" t="s">
        <v>124</v>
      </c>
      <c r="R243" s="127"/>
      <c r="T243" s="118"/>
    </row>
    <row r="244" customFormat="false" ht="12.75" hidden="false" customHeight="true" outlineLevel="0" collapsed="false">
      <c r="B244" s="119" t="n">
        <f aca="false">ROW()-4</f>
        <v>240</v>
      </c>
      <c r="C244" s="120" t="n">
        <f aca="false">COUNTIFS($D$5:D244,D244)</f>
        <v>103</v>
      </c>
      <c r="D244" s="121" t="s">
        <v>391</v>
      </c>
      <c r="E244" s="122" t="s">
        <v>590</v>
      </c>
      <c r="F244" s="123" t="n">
        <v>45029</v>
      </c>
      <c r="G244" s="121" t="s">
        <v>30</v>
      </c>
      <c r="H24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A0240</v>
      </c>
      <c r="I24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B0240</v>
      </c>
      <c r="J244" s="122" t="s">
        <v>591</v>
      </c>
      <c r="K24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C0240</v>
      </c>
      <c r="L24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D0240</v>
      </c>
      <c r="M24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E0240</v>
      </c>
      <c r="N244" s="122" t="s">
        <v>73</v>
      </c>
      <c r="O244" s="126" t="n">
        <v>3500000</v>
      </c>
      <c r="P244" s="121" t="s">
        <v>18</v>
      </c>
      <c r="Q244" s="121" t="s">
        <v>124</v>
      </c>
      <c r="R244" s="127"/>
      <c r="T244" s="118"/>
    </row>
    <row r="245" customFormat="false" ht="12.75" hidden="false" customHeight="true" outlineLevel="0" collapsed="false">
      <c r="B245" s="119" t="n">
        <f aca="false">ROW()-4</f>
        <v>241</v>
      </c>
      <c r="C245" s="120" t="n">
        <f aca="false">COUNTIFS($D$5:D245,D245)</f>
        <v>104</v>
      </c>
      <c r="D245" s="121" t="s">
        <v>391</v>
      </c>
      <c r="E245" s="122" t="s">
        <v>592</v>
      </c>
      <c r="F245" s="123" t="n">
        <v>45020</v>
      </c>
      <c r="G245" s="121" t="s">
        <v>30</v>
      </c>
      <c r="H24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A0241</v>
      </c>
      <c r="I24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B0241</v>
      </c>
      <c r="J245" s="122" t="s">
        <v>593</v>
      </c>
      <c r="K24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C0241</v>
      </c>
      <c r="L24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D0241</v>
      </c>
      <c r="M24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E0241</v>
      </c>
      <c r="N245" s="122" t="s">
        <v>73</v>
      </c>
      <c r="O245" s="126" t="n">
        <v>3500000</v>
      </c>
      <c r="P245" s="121" t="s">
        <v>18</v>
      </c>
      <c r="Q245" s="121" t="s">
        <v>124</v>
      </c>
      <c r="R245" s="127"/>
      <c r="T245" s="118"/>
    </row>
    <row r="246" customFormat="false" ht="12.75" hidden="false" customHeight="true" outlineLevel="0" collapsed="false">
      <c r="B246" s="119" t="n">
        <f aca="false">ROW()-4</f>
        <v>242</v>
      </c>
      <c r="C246" s="120" t="n">
        <f aca="false">COUNTIFS($D$5:D246,D246)</f>
        <v>105</v>
      </c>
      <c r="D246" s="121" t="s">
        <v>391</v>
      </c>
      <c r="E246" s="122" t="s">
        <v>594</v>
      </c>
      <c r="F246" s="123" t="n">
        <v>45020</v>
      </c>
      <c r="G246" s="121" t="s">
        <v>30</v>
      </c>
      <c r="H24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A0242</v>
      </c>
      <c r="I24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B0242</v>
      </c>
      <c r="J246" s="122" t="s">
        <v>595</v>
      </c>
      <c r="K24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C0242</v>
      </c>
      <c r="L24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D0242</v>
      </c>
      <c r="M24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E0242</v>
      </c>
      <c r="N246" s="122" t="s">
        <v>73</v>
      </c>
      <c r="O246" s="126" t="n">
        <v>3500000</v>
      </c>
      <c r="P246" s="121" t="s">
        <v>18</v>
      </c>
      <c r="Q246" s="121" t="s">
        <v>124</v>
      </c>
      <c r="R246" s="127"/>
      <c r="T246" s="118"/>
    </row>
    <row r="247" customFormat="false" ht="12.75" hidden="false" customHeight="true" outlineLevel="0" collapsed="false">
      <c r="B247" s="119" t="n">
        <f aca="false">ROW()-4</f>
        <v>243</v>
      </c>
      <c r="C247" s="120" t="n">
        <f aca="false">COUNTIFS($D$5:D247,D247)</f>
        <v>106</v>
      </c>
      <c r="D247" s="121" t="s">
        <v>391</v>
      </c>
      <c r="E247" s="122" t="s">
        <v>596</v>
      </c>
      <c r="F247" s="123" t="n">
        <v>45041</v>
      </c>
      <c r="G247" s="121" t="s">
        <v>22</v>
      </c>
      <c r="H24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A0243</v>
      </c>
      <c r="I24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B0243</v>
      </c>
      <c r="J247" s="122" t="s">
        <v>597</v>
      </c>
      <c r="K24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C0243</v>
      </c>
      <c r="L24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D0243</v>
      </c>
      <c r="M24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E0243</v>
      </c>
      <c r="N247" s="122" t="s">
        <v>73</v>
      </c>
      <c r="O247" s="126" t="n">
        <v>3500000</v>
      </c>
      <c r="P247" s="121" t="s">
        <v>18</v>
      </c>
      <c r="Q247" s="121" t="s">
        <v>124</v>
      </c>
      <c r="R247" s="127"/>
      <c r="T247" s="118"/>
    </row>
    <row r="248" customFormat="false" ht="12.75" hidden="false" customHeight="true" outlineLevel="0" collapsed="false">
      <c r="B248" s="119" t="n">
        <f aca="false">ROW()-4</f>
        <v>244</v>
      </c>
      <c r="C248" s="120" t="n">
        <f aca="false">COUNTIFS($D$5:D248,D248)</f>
        <v>107</v>
      </c>
      <c r="D248" s="121" t="s">
        <v>391</v>
      </c>
      <c r="E248" s="122" t="s">
        <v>598</v>
      </c>
      <c r="F248" s="123" t="n">
        <v>45393</v>
      </c>
      <c r="G248" s="121" t="s">
        <v>22</v>
      </c>
      <c r="H24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A0244</v>
      </c>
      <c r="I24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B0244</v>
      </c>
      <c r="J248" s="122" t="s">
        <v>599</v>
      </c>
      <c r="K24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C0244</v>
      </c>
      <c r="L24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D0244</v>
      </c>
      <c r="M24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E0244</v>
      </c>
      <c r="N248" s="122" t="s">
        <v>73</v>
      </c>
      <c r="O248" s="126" t="n">
        <v>3500000</v>
      </c>
      <c r="P248" s="121" t="s">
        <v>18</v>
      </c>
      <c r="Q248" s="121" t="s">
        <v>124</v>
      </c>
      <c r="R248" s="127"/>
      <c r="T248" s="118"/>
    </row>
    <row r="249" customFormat="false" ht="12.75" hidden="false" customHeight="true" outlineLevel="0" collapsed="false">
      <c r="B249" s="119" t="n">
        <f aca="false">ROW()-4</f>
        <v>245</v>
      </c>
      <c r="C249" s="120" t="n">
        <f aca="false">COUNTIFS($D$5:D249,D249)</f>
        <v>108</v>
      </c>
      <c r="D249" s="121" t="s">
        <v>391</v>
      </c>
      <c r="E249" s="122" t="s">
        <v>600</v>
      </c>
      <c r="F249" s="123" t="n">
        <v>45041</v>
      </c>
      <c r="G249" s="121" t="s">
        <v>26</v>
      </c>
      <c r="H24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A0245</v>
      </c>
      <c r="I24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B0245</v>
      </c>
      <c r="J249" s="122" t="s">
        <v>601</v>
      </c>
      <c r="K24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C0245</v>
      </c>
      <c r="L24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D0245</v>
      </c>
      <c r="M24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E0245</v>
      </c>
      <c r="N249" s="122" t="s">
        <v>73</v>
      </c>
      <c r="O249" s="126" t="n">
        <v>3500000</v>
      </c>
      <c r="P249" s="121" t="s">
        <v>18</v>
      </c>
      <c r="Q249" s="121" t="s">
        <v>124</v>
      </c>
      <c r="R249" s="127"/>
      <c r="T249" s="118"/>
    </row>
    <row r="250" customFormat="false" ht="12.75" hidden="false" customHeight="true" outlineLevel="0" collapsed="false">
      <c r="B250" s="119" t="n">
        <f aca="false">ROW()-4</f>
        <v>246</v>
      </c>
      <c r="C250" s="120" t="n">
        <f aca="false">COUNTIFS($D$5:D250,D250)</f>
        <v>109</v>
      </c>
      <c r="D250" s="121" t="s">
        <v>391</v>
      </c>
      <c r="E250" s="122" t="s">
        <v>602</v>
      </c>
      <c r="F250" s="123" t="n">
        <v>45043</v>
      </c>
      <c r="G250" s="121" t="s">
        <v>26</v>
      </c>
      <c r="H25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A0246</v>
      </c>
      <c r="I25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B0246</v>
      </c>
      <c r="J250" s="122" t="s">
        <v>603</v>
      </c>
      <c r="K25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C0246</v>
      </c>
      <c r="L25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D0246</v>
      </c>
      <c r="M25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E0246</v>
      </c>
      <c r="N250" s="122" t="s">
        <v>73</v>
      </c>
      <c r="O250" s="126" t="n">
        <v>3500000</v>
      </c>
      <c r="P250" s="121" t="s">
        <v>18</v>
      </c>
      <c r="Q250" s="121" t="s">
        <v>124</v>
      </c>
      <c r="R250" s="127"/>
      <c r="T250" s="118"/>
    </row>
    <row r="251" customFormat="false" ht="12.75" hidden="false" customHeight="true" outlineLevel="0" collapsed="false">
      <c r="B251" s="119" t="n">
        <f aca="false">ROW()-4</f>
        <v>247</v>
      </c>
      <c r="C251" s="120" t="n">
        <f aca="false">COUNTIFS($D$5:D251,D251)</f>
        <v>110</v>
      </c>
      <c r="D251" s="121" t="s">
        <v>391</v>
      </c>
      <c r="E251" s="122" t="s">
        <v>604</v>
      </c>
      <c r="F251" s="123" t="n">
        <v>45041</v>
      </c>
      <c r="G251" s="121" t="s">
        <v>28</v>
      </c>
      <c r="H25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A0247</v>
      </c>
      <c r="I25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B0247</v>
      </c>
      <c r="J251" s="122" t="s">
        <v>605</v>
      </c>
      <c r="K25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C0247</v>
      </c>
      <c r="L25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D0247</v>
      </c>
      <c r="M25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E0247</v>
      </c>
      <c r="N251" s="122" t="s">
        <v>73</v>
      </c>
      <c r="O251" s="126" t="n">
        <v>3500000</v>
      </c>
      <c r="P251" s="121" t="s">
        <v>18</v>
      </c>
      <c r="Q251" s="121" t="s">
        <v>124</v>
      </c>
      <c r="R251" s="127"/>
      <c r="T251" s="118"/>
    </row>
    <row r="252" customFormat="false" ht="12.75" hidden="false" customHeight="true" outlineLevel="0" collapsed="false">
      <c r="B252" s="119" t="n">
        <f aca="false">ROW()-4</f>
        <v>248</v>
      </c>
      <c r="C252" s="120" t="n">
        <f aca="false">COUNTIFS($D$5:D252,D252)</f>
        <v>111</v>
      </c>
      <c r="D252" s="121" t="s">
        <v>391</v>
      </c>
      <c r="E252" s="122" t="s">
        <v>606</v>
      </c>
      <c r="F252" s="123" t="n">
        <v>45797</v>
      </c>
      <c r="G252" s="121" t="s">
        <v>26</v>
      </c>
      <c r="H25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A0248</v>
      </c>
      <c r="I25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B0248</v>
      </c>
      <c r="J252" s="122" t="s">
        <v>607</v>
      </c>
      <c r="K25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C0248</v>
      </c>
      <c r="L25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D0248</v>
      </c>
      <c r="M25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E0248</v>
      </c>
      <c r="N252" s="122" t="s">
        <v>73</v>
      </c>
      <c r="O252" s="126" t="n">
        <v>3500000</v>
      </c>
      <c r="P252" s="121" t="s">
        <v>18</v>
      </c>
      <c r="Q252" s="121" t="s">
        <v>124</v>
      </c>
      <c r="R252" s="127"/>
      <c r="T252" s="118"/>
    </row>
    <row r="253" customFormat="false" ht="12.75" hidden="false" customHeight="true" outlineLevel="0" collapsed="false">
      <c r="B253" s="119" t="n">
        <f aca="false">ROW()-4</f>
        <v>249</v>
      </c>
      <c r="C253" s="120" t="n">
        <f aca="false">COUNTIFS($D$5:D253,D253)</f>
        <v>112</v>
      </c>
      <c r="D253" s="121" t="s">
        <v>391</v>
      </c>
      <c r="E253" s="122" t="s">
        <v>608</v>
      </c>
      <c r="F253" s="123" t="n">
        <v>45055</v>
      </c>
      <c r="G253" s="121" t="s">
        <v>22</v>
      </c>
      <c r="H25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A0249</v>
      </c>
      <c r="I25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B0249</v>
      </c>
      <c r="J253" s="122" t="s">
        <v>609</v>
      </c>
      <c r="K25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C0249</v>
      </c>
      <c r="L25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D0249</v>
      </c>
      <c r="M25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E0249</v>
      </c>
      <c r="N253" s="122" t="s">
        <v>73</v>
      </c>
      <c r="O253" s="126" t="n">
        <v>3500000</v>
      </c>
      <c r="P253" s="121" t="s">
        <v>18</v>
      </c>
      <c r="Q253" s="121" t="s">
        <v>124</v>
      </c>
      <c r="R253" s="127"/>
      <c r="T253" s="118"/>
    </row>
    <row r="254" customFormat="false" ht="12.75" hidden="false" customHeight="true" outlineLevel="0" collapsed="false">
      <c r="B254" s="119" t="n">
        <f aca="false">ROW()-4</f>
        <v>250</v>
      </c>
      <c r="C254" s="120" t="n">
        <f aca="false">COUNTIFS($D$5:D254,D254)</f>
        <v>113</v>
      </c>
      <c r="D254" s="121" t="s">
        <v>391</v>
      </c>
      <c r="E254" s="122" t="s">
        <v>610</v>
      </c>
      <c r="F254" s="123" t="n">
        <v>45070</v>
      </c>
      <c r="G254" s="121" t="s">
        <v>30</v>
      </c>
      <c r="H25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A0250</v>
      </c>
      <c r="I25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B0250</v>
      </c>
      <c r="J254" s="122" t="s">
        <v>611</v>
      </c>
      <c r="K25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C0250</v>
      </c>
      <c r="L25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D0250</v>
      </c>
      <c r="M25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E0250</v>
      </c>
      <c r="N254" s="122" t="s">
        <v>73</v>
      </c>
      <c r="O254" s="126" t="n">
        <v>3500000</v>
      </c>
      <c r="P254" s="121" t="s">
        <v>18</v>
      </c>
      <c r="Q254" s="121" t="s">
        <v>124</v>
      </c>
      <c r="R254" s="127"/>
      <c r="T254" s="118"/>
    </row>
    <row r="255" customFormat="false" ht="12.75" hidden="false" customHeight="true" outlineLevel="0" collapsed="false">
      <c r="B255" s="119" t="n">
        <f aca="false">ROW()-4</f>
        <v>251</v>
      </c>
      <c r="C255" s="120" t="n">
        <f aca="false">COUNTIFS($D$5:D255,D255)</f>
        <v>114</v>
      </c>
      <c r="D255" s="121" t="s">
        <v>391</v>
      </c>
      <c r="E255" s="122" t="s">
        <v>612</v>
      </c>
      <c r="F255" s="123" t="n">
        <v>45048</v>
      </c>
      <c r="G255" s="121" t="s">
        <v>28</v>
      </c>
      <c r="H25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A0251</v>
      </c>
      <c r="I25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B0251</v>
      </c>
      <c r="J255" s="122" t="s">
        <v>613</v>
      </c>
      <c r="K25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C0251</v>
      </c>
      <c r="L25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D0251</v>
      </c>
      <c r="M25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E0251</v>
      </c>
      <c r="N255" s="122" t="s">
        <v>73</v>
      </c>
      <c r="O255" s="126" t="n">
        <v>3500000</v>
      </c>
      <c r="P255" s="121" t="s">
        <v>18</v>
      </c>
      <c r="Q255" s="121" t="s">
        <v>124</v>
      </c>
      <c r="R255" s="127"/>
      <c r="T255" s="118"/>
    </row>
    <row r="256" customFormat="false" ht="12.75" hidden="false" customHeight="true" outlineLevel="0" collapsed="false">
      <c r="B256" s="119" t="n">
        <f aca="false">ROW()-4</f>
        <v>252</v>
      </c>
      <c r="C256" s="120" t="n">
        <f aca="false">COUNTIFS($D$5:D256,D256)</f>
        <v>115</v>
      </c>
      <c r="D256" s="121" t="s">
        <v>391</v>
      </c>
      <c r="E256" s="122" t="s">
        <v>614</v>
      </c>
      <c r="F256" s="123" t="n">
        <v>45056</v>
      </c>
      <c r="G256" s="121" t="s">
        <v>28</v>
      </c>
      <c r="H25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A0252</v>
      </c>
      <c r="I25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B0252</v>
      </c>
      <c r="J256" s="122" t="s">
        <v>615</v>
      </c>
      <c r="K25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C0252</v>
      </c>
      <c r="L25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D0252</v>
      </c>
      <c r="M25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E0252</v>
      </c>
      <c r="N256" s="122" t="s">
        <v>73</v>
      </c>
      <c r="O256" s="126" t="n">
        <v>3500000</v>
      </c>
      <c r="P256" s="121" t="s">
        <v>18</v>
      </c>
      <c r="Q256" s="121" t="s">
        <v>124</v>
      </c>
      <c r="R256" s="127"/>
      <c r="T256" s="118"/>
    </row>
    <row r="257" customFormat="false" ht="12.75" hidden="false" customHeight="true" outlineLevel="0" collapsed="false">
      <c r="B257" s="119" t="n">
        <f aca="false">ROW()-4</f>
        <v>253</v>
      </c>
      <c r="C257" s="120" t="n">
        <f aca="false">COUNTIFS($D$5:D257,D257)</f>
        <v>116</v>
      </c>
      <c r="D257" s="121" t="s">
        <v>391</v>
      </c>
      <c r="E257" s="122" t="s">
        <v>616</v>
      </c>
      <c r="F257" s="123" t="n">
        <v>45064</v>
      </c>
      <c r="G257" s="121" t="s">
        <v>28</v>
      </c>
      <c r="H25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A0253</v>
      </c>
      <c r="I25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B0253</v>
      </c>
      <c r="J257" s="122" t="s">
        <v>617</v>
      </c>
      <c r="K25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C0253</v>
      </c>
      <c r="L25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D0253</v>
      </c>
      <c r="M25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E0253</v>
      </c>
      <c r="N257" s="122" t="s">
        <v>73</v>
      </c>
      <c r="O257" s="126" t="n">
        <v>3500000</v>
      </c>
      <c r="P257" s="121" t="s">
        <v>18</v>
      </c>
      <c r="Q257" s="121" t="s">
        <v>124</v>
      </c>
      <c r="R257" s="127"/>
      <c r="T257" s="118"/>
    </row>
    <row r="258" customFormat="false" ht="12.75" hidden="false" customHeight="true" outlineLevel="0" collapsed="false">
      <c r="B258" s="119" t="n">
        <f aca="false">ROW()-4</f>
        <v>254</v>
      </c>
      <c r="C258" s="120" t="n">
        <f aca="false">COUNTIFS($D$5:D258,D258)</f>
        <v>117</v>
      </c>
      <c r="D258" s="121" t="s">
        <v>391</v>
      </c>
      <c r="E258" s="122" t="s">
        <v>618</v>
      </c>
      <c r="F258" s="123" t="n">
        <v>45063</v>
      </c>
      <c r="G258" s="121" t="s">
        <v>28</v>
      </c>
      <c r="H25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A0254</v>
      </c>
      <c r="I25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B0254</v>
      </c>
      <c r="J258" s="122" t="s">
        <v>619</v>
      </c>
      <c r="K25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C0254</v>
      </c>
      <c r="L25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D0254</v>
      </c>
      <c r="M25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E0254</v>
      </c>
      <c r="N258" s="122" t="s">
        <v>73</v>
      </c>
      <c r="O258" s="126" t="n">
        <v>3500000</v>
      </c>
      <c r="P258" s="121" t="s">
        <v>18</v>
      </c>
      <c r="Q258" s="121" t="s">
        <v>124</v>
      </c>
      <c r="R258" s="127"/>
      <c r="T258" s="118"/>
    </row>
    <row r="259" customFormat="false" ht="12.75" hidden="false" customHeight="true" outlineLevel="0" collapsed="false">
      <c r="B259" s="119" t="n">
        <f aca="false">ROW()-4</f>
        <v>255</v>
      </c>
      <c r="C259" s="120" t="n">
        <f aca="false">COUNTIFS($D$5:D259,D259)</f>
        <v>118</v>
      </c>
      <c r="D259" s="121" t="s">
        <v>391</v>
      </c>
      <c r="E259" s="122" t="s">
        <v>620</v>
      </c>
      <c r="F259" s="123" t="n">
        <v>45498</v>
      </c>
      <c r="G259" s="121" t="s">
        <v>28</v>
      </c>
      <c r="H25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A0255</v>
      </c>
      <c r="I25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B0255</v>
      </c>
      <c r="J259" s="122" t="s">
        <v>621</v>
      </c>
      <c r="K25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C0255</v>
      </c>
      <c r="L25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D0255</v>
      </c>
      <c r="M25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E0255</v>
      </c>
      <c r="N259" s="122" t="s">
        <v>73</v>
      </c>
      <c r="O259" s="126" t="n">
        <v>3500000</v>
      </c>
      <c r="P259" s="121" t="s">
        <v>18</v>
      </c>
      <c r="Q259" s="121" t="s">
        <v>124</v>
      </c>
      <c r="R259" s="127"/>
      <c r="T259" s="118"/>
    </row>
    <row r="260" customFormat="false" ht="12.75" hidden="false" customHeight="true" outlineLevel="0" collapsed="false">
      <c r="B260" s="119" t="n">
        <f aca="false">ROW()-4</f>
        <v>256</v>
      </c>
      <c r="C260" s="120" t="n">
        <f aca="false">COUNTIFS($D$5:D260,D260)</f>
        <v>119</v>
      </c>
      <c r="D260" s="121" t="s">
        <v>391</v>
      </c>
      <c r="E260" s="122" t="s">
        <v>622</v>
      </c>
      <c r="F260" s="123" t="n">
        <v>45092</v>
      </c>
      <c r="G260" s="121" t="s">
        <v>30</v>
      </c>
      <c r="H26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A0256</v>
      </c>
      <c r="I26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B0256</v>
      </c>
      <c r="J260" s="122" t="s">
        <v>623</v>
      </c>
      <c r="K26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C0256</v>
      </c>
      <c r="L26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D0256</v>
      </c>
      <c r="M26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E0256</v>
      </c>
      <c r="N260" s="122" t="s">
        <v>73</v>
      </c>
      <c r="O260" s="126" t="n">
        <v>3500000</v>
      </c>
      <c r="P260" s="121" t="s">
        <v>18</v>
      </c>
      <c r="Q260" s="121" t="s">
        <v>124</v>
      </c>
      <c r="R260" s="127"/>
      <c r="T260" s="118"/>
    </row>
    <row r="261" customFormat="false" ht="12.75" hidden="false" customHeight="true" outlineLevel="0" collapsed="false">
      <c r="B261" s="119" t="n">
        <f aca="false">ROW()-4</f>
        <v>257</v>
      </c>
      <c r="C261" s="120" t="n">
        <f aca="false">COUNTIFS($D$5:D261,D261)</f>
        <v>120</v>
      </c>
      <c r="D261" s="121" t="s">
        <v>391</v>
      </c>
      <c r="E261" s="122" t="s">
        <v>624</v>
      </c>
      <c r="F261" s="123" t="n">
        <v>45096</v>
      </c>
      <c r="G261" s="121" t="s">
        <v>24</v>
      </c>
      <c r="H26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A0257</v>
      </c>
      <c r="I26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B0257</v>
      </c>
      <c r="J261" s="124" t="s">
        <v>625</v>
      </c>
      <c r="K26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C0257</v>
      </c>
      <c r="L26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D0257</v>
      </c>
      <c r="M26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E0257</v>
      </c>
      <c r="N261" s="122" t="s">
        <v>73</v>
      </c>
      <c r="O261" s="126" t="n">
        <v>3500000</v>
      </c>
      <c r="P261" s="121" t="s">
        <v>18</v>
      </c>
      <c r="Q261" s="121" t="s">
        <v>124</v>
      </c>
      <c r="R261" s="127"/>
      <c r="T261" s="118"/>
    </row>
    <row r="262" customFormat="false" ht="12.75" hidden="false" customHeight="true" outlineLevel="0" collapsed="false">
      <c r="B262" s="119" t="n">
        <f aca="false">ROW()-4</f>
        <v>258</v>
      </c>
      <c r="C262" s="120" t="n">
        <f aca="false">COUNTIFS($D$5:D262,D262)</f>
        <v>121</v>
      </c>
      <c r="D262" s="121" t="s">
        <v>391</v>
      </c>
      <c r="E262" s="122" t="s">
        <v>626</v>
      </c>
      <c r="F262" s="123" t="n">
        <v>45769</v>
      </c>
      <c r="G262" s="121" t="s">
        <v>24</v>
      </c>
      <c r="H26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A0258</v>
      </c>
      <c r="I26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B0258</v>
      </c>
      <c r="J262" s="122" t="s">
        <v>627</v>
      </c>
      <c r="K26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C0258</v>
      </c>
      <c r="L26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D0258</v>
      </c>
      <c r="M26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E0258</v>
      </c>
      <c r="N262" s="122" t="s">
        <v>73</v>
      </c>
      <c r="O262" s="126" t="n">
        <v>3500000</v>
      </c>
      <c r="P262" s="121" t="s">
        <v>18</v>
      </c>
      <c r="Q262" s="121" t="s">
        <v>124</v>
      </c>
      <c r="R262" s="127"/>
      <c r="T262" s="118"/>
    </row>
    <row r="263" customFormat="false" ht="12.75" hidden="false" customHeight="true" outlineLevel="0" collapsed="false">
      <c r="B263" s="119" t="n">
        <f aca="false">ROW()-4</f>
        <v>259</v>
      </c>
      <c r="C263" s="120" t="n">
        <f aca="false">COUNTIFS($D$5:D263,D263)</f>
        <v>122</v>
      </c>
      <c r="D263" s="121" t="s">
        <v>391</v>
      </c>
      <c r="E263" s="124" t="s">
        <v>628</v>
      </c>
      <c r="F263" s="137" t="n">
        <v>45924</v>
      </c>
      <c r="G263" s="138" t="s">
        <v>28</v>
      </c>
      <c r="H263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A0259</v>
      </c>
      <c r="I263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B0259</v>
      </c>
      <c r="J263" s="124" t="s">
        <v>629</v>
      </c>
      <c r="K263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C0259</v>
      </c>
      <c r="L263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D0259</v>
      </c>
      <c r="M26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E0259</v>
      </c>
      <c r="N263" s="122" t="s">
        <v>73</v>
      </c>
      <c r="O263" s="126" t="n">
        <v>3500000</v>
      </c>
      <c r="P263" s="121" t="s">
        <v>18</v>
      </c>
      <c r="Q263" s="121" t="s">
        <v>124</v>
      </c>
      <c r="R263" s="127"/>
      <c r="T263" s="118"/>
    </row>
    <row r="264" customFormat="false" ht="12.75" hidden="false" customHeight="true" outlineLevel="0" collapsed="false">
      <c r="B264" s="119" t="n">
        <f aca="false">ROW()-4</f>
        <v>260</v>
      </c>
      <c r="C264" s="120" t="n">
        <f aca="false">COUNTIFS($D$5:D264,D264)</f>
        <v>123</v>
      </c>
      <c r="D264" s="121" t="s">
        <v>391</v>
      </c>
      <c r="E264" s="122" t="s">
        <v>630</v>
      </c>
      <c r="F264" s="123" t="n">
        <v>45931</v>
      </c>
      <c r="G264" s="121" t="s">
        <v>30</v>
      </c>
      <c r="H26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A0260</v>
      </c>
      <c r="I26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B0260</v>
      </c>
      <c r="J264" s="122" t="s">
        <v>631</v>
      </c>
      <c r="K26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C0260</v>
      </c>
      <c r="L26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D0260</v>
      </c>
      <c r="M26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E0260</v>
      </c>
      <c r="N264" s="122" t="s">
        <v>73</v>
      </c>
      <c r="O264" s="126" t="n">
        <v>3500000</v>
      </c>
      <c r="P264" s="121" t="s">
        <v>18</v>
      </c>
      <c r="Q264" s="121" t="s">
        <v>124</v>
      </c>
      <c r="R264" s="127"/>
      <c r="T264" s="118"/>
    </row>
    <row r="265" customFormat="false" ht="12.75" hidden="false" customHeight="true" outlineLevel="0" collapsed="false">
      <c r="B265" s="119" t="n">
        <f aca="false">ROW()-4</f>
        <v>261</v>
      </c>
      <c r="C265" s="120" t="n">
        <f aca="false">COUNTIFS($D$5:D265,D265)</f>
        <v>124</v>
      </c>
      <c r="D265" s="121" t="s">
        <v>391</v>
      </c>
      <c r="E265" s="122" t="s">
        <v>632</v>
      </c>
      <c r="F265" s="123" t="n">
        <v>45088</v>
      </c>
      <c r="G265" s="121" t="s">
        <v>28</v>
      </c>
      <c r="H26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A0261</v>
      </c>
      <c r="I26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B0261</v>
      </c>
      <c r="J265" s="122" t="s">
        <v>633</v>
      </c>
      <c r="K26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C0261</v>
      </c>
      <c r="L26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D0261</v>
      </c>
      <c r="M26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E0261</v>
      </c>
      <c r="N265" s="122" t="s">
        <v>73</v>
      </c>
      <c r="O265" s="126" t="n">
        <v>3500000</v>
      </c>
      <c r="P265" s="121" t="s">
        <v>18</v>
      </c>
      <c r="Q265" s="121" t="s">
        <v>124</v>
      </c>
      <c r="R265" s="127"/>
      <c r="T265" s="118"/>
    </row>
    <row r="266" customFormat="false" ht="12.75" hidden="false" customHeight="true" outlineLevel="0" collapsed="false">
      <c r="B266" s="119" t="n">
        <f aca="false">ROW()-4</f>
        <v>262</v>
      </c>
      <c r="C266" s="120" t="n">
        <f aca="false">COUNTIFS($D$5:D266,D266)</f>
        <v>125</v>
      </c>
      <c r="D266" s="121" t="s">
        <v>391</v>
      </c>
      <c r="E266" s="122" t="s">
        <v>634</v>
      </c>
      <c r="F266" s="123" t="n">
        <v>45127</v>
      </c>
      <c r="G266" s="121" t="s">
        <v>30</v>
      </c>
      <c r="H26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A0262</v>
      </c>
      <c r="I26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B0262</v>
      </c>
      <c r="J266" s="122" t="s">
        <v>635</v>
      </c>
      <c r="K26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C0262</v>
      </c>
      <c r="L26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D0262</v>
      </c>
      <c r="M26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E0262</v>
      </c>
      <c r="N266" s="122" t="s">
        <v>73</v>
      </c>
      <c r="O266" s="126" t="n">
        <v>3500000</v>
      </c>
      <c r="P266" s="121" t="s">
        <v>18</v>
      </c>
      <c r="Q266" s="121" t="s">
        <v>124</v>
      </c>
      <c r="R266" s="127"/>
      <c r="T266" s="118"/>
    </row>
    <row r="267" customFormat="false" ht="12.75" hidden="false" customHeight="true" outlineLevel="0" collapsed="false">
      <c r="B267" s="119" t="n">
        <f aca="false">ROW()-4</f>
        <v>263</v>
      </c>
      <c r="C267" s="120" t="n">
        <f aca="false">COUNTIFS($D$5:D267,D267)</f>
        <v>126</v>
      </c>
      <c r="D267" s="121" t="s">
        <v>391</v>
      </c>
      <c r="E267" s="122" t="s">
        <v>636</v>
      </c>
      <c r="F267" s="123" t="n">
        <v>45930</v>
      </c>
      <c r="G267" s="121" t="s">
        <v>30</v>
      </c>
      <c r="H26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A0263</v>
      </c>
      <c r="I26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B0263</v>
      </c>
      <c r="J267" s="122" t="s">
        <v>637</v>
      </c>
      <c r="K26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C0263</v>
      </c>
      <c r="L26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D0263</v>
      </c>
      <c r="M26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E0263</v>
      </c>
      <c r="N267" s="122" t="s">
        <v>73</v>
      </c>
      <c r="O267" s="126" t="n">
        <v>3500000</v>
      </c>
      <c r="P267" s="121" t="s">
        <v>18</v>
      </c>
      <c r="Q267" s="121" t="s">
        <v>124</v>
      </c>
      <c r="R267" s="127"/>
      <c r="T267" s="118"/>
    </row>
    <row r="268" customFormat="false" ht="12.75" hidden="false" customHeight="true" outlineLevel="0" collapsed="false">
      <c r="B268" s="119" t="n">
        <f aca="false">ROW()-4</f>
        <v>264</v>
      </c>
      <c r="C268" s="120" t="n">
        <f aca="false">COUNTIFS($D$5:D268,D268)</f>
        <v>127</v>
      </c>
      <c r="D268" s="121" t="s">
        <v>391</v>
      </c>
      <c r="E268" s="122" t="s">
        <v>638</v>
      </c>
      <c r="F268" s="123" t="n">
        <v>45266</v>
      </c>
      <c r="G268" s="121" t="s">
        <v>26</v>
      </c>
      <c r="H26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A0264</v>
      </c>
      <c r="I26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B0264</v>
      </c>
      <c r="J268" s="122" t="s">
        <v>639</v>
      </c>
      <c r="K26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C0264</v>
      </c>
      <c r="L26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D0264</v>
      </c>
      <c r="M26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E0264</v>
      </c>
      <c r="N268" s="122" t="s">
        <v>73</v>
      </c>
      <c r="O268" s="126" t="n">
        <v>3500000</v>
      </c>
      <c r="P268" s="121" t="s">
        <v>18</v>
      </c>
      <c r="Q268" s="121" t="s">
        <v>124</v>
      </c>
      <c r="R268" s="127"/>
      <c r="T268" s="118"/>
    </row>
    <row r="269" customFormat="false" ht="12.75" hidden="false" customHeight="true" outlineLevel="0" collapsed="false">
      <c r="B269" s="119" t="n">
        <f aca="false">ROW()-4</f>
        <v>265</v>
      </c>
      <c r="C269" s="120" t="n">
        <f aca="false">COUNTIFS($D$5:D269,D269)</f>
        <v>128</v>
      </c>
      <c r="D269" s="121" t="s">
        <v>391</v>
      </c>
      <c r="E269" s="122" t="s">
        <v>640</v>
      </c>
      <c r="F269" s="123" t="n">
        <v>45827</v>
      </c>
      <c r="G269" s="121" t="s">
        <v>22</v>
      </c>
      <c r="H26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A0265</v>
      </c>
      <c r="I26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B0265</v>
      </c>
      <c r="J269" s="122" t="s">
        <v>641</v>
      </c>
      <c r="K26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C0265</v>
      </c>
      <c r="L26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D0265</v>
      </c>
      <c r="M26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E0265</v>
      </c>
      <c r="N269" s="122" t="s">
        <v>73</v>
      </c>
      <c r="O269" s="126" t="n">
        <v>3500000</v>
      </c>
      <c r="P269" s="121" t="s">
        <v>18</v>
      </c>
      <c r="Q269" s="121" t="s">
        <v>124</v>
      </c>
      <c r="R269" s="127"/>
      <c r="T269" s="118"/>
    </row>
    <row r="270" customFormat="false" ht="12.75" hidden="false" customHeight="true" outlineLevel="0" collapsed="false">
      <c r="B270" s="119" t="n">
        <f aca="false">ROW()-4</f>
        <v>266</v>
      </c>
      <c r="C270" s="120" t="n">
        <f aca="false">COUNTIFS($D$5:D270,D270)</f>
        <v>129</v>
      </c>
      <c r="D270" s="121" t="s">
        <v>391</v>
      </c>
      <c r="E270" s="122" t="s">
        <v>642</v>
      </c>
      <c r="F270" s="123" t="n">
        <v>45166</v>
      </c>
      <c r="G270" s="121" t="s">
        <v>28</v>
      </c>
      <c r="H27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A0266</v>
      </c>
      <c r="I27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B0266</v>
      </c>
      <c r="J270" s="122" t="s">
        <v>643</v>
      </c>
      <c r="K27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C0266</v>
      </c>
      <c r="L27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D0266</v>
      </c>
      <c r="M27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E0266</v>
      </c>
      <c r="N270" s="122" t="s">
        <v>73</v>
      </c>
      <c r="O270" s="126" t="n">
        <v>3500000</v>
      </c>
      <c r="P270" s="121" t="s">
        <v>18</v>
      </c>
      <c r="Q270" s="121" t="s">
        <v>124</v>
      </c>
      <c r="R270" s="127"/>
      <c r="T270" s="118"/>
    </row>
    <row r="271" customFormat="false" ht="12.75" hidden="false" customHeight="true" outlineLevel="0" collapsed="false">
      <c r="B271" s="119" t="n">
        <f aca="false">ROW()-4</f>
        <v>267</v>
      </c>
      <c r="C271" s="120" t="n">
        <f aca="false">COUNTIFS($D$5:D271,D271)</f>
        <v>130</v>
      </c>
      <c r="D271" s="121" t="s">
        <v>391</v>
      </c>
      <c r="E271" s="122" t="s">
        <v>644</v>
      </c>
      <c r="F271" s="123" t="n">
        <v>45534</v>
      </c>
      <c r="G271" s="121" t="s">
        <v>28</v>
      </c>
      <c r="H27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A0267</v>
      </c>
      <c r="I27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B0267</v>
      </c>
      <c r="J271" s="122" t="s">
        <v>645</v>
      </c>
      <c r="K27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C0267</v>
      </c>
      <c r="L27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D0267</v>
      </c>
      <c r="M27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E0267</v>
      </c>
      <c r="N271" s="122" t="s">
        <v>73</v>
      </c>
      <c r="O271" s="126" t="n">
        <v>3500000</v>
      </c>
      <c r="P271" s="121" t="s">
        <v>18</v>
      </c>
      <c r="Q271" s="121" t="s">
        <v>124</v>
      </c>
      <c r="R271" s="127"/>
      <c r="T271" s="118"/>
    </row>
    <row r="272" customFormat="false" ht="12.75" hidden="false" customHeight="true" outlineLevel="0" collapsed="false">
      <c r="B272" s="119" t="n">
        <f aca="false">ROW()-4</f>
        <v>268</v>
      </c>
      <c r="C272" s="120" t="n">
        <f aca="false">COUNTIFS($D$5:D272,D272)</f>
        <v>131</v>
      </c>
      <c r="D272" s="121" t="s">
        <v>391</v>
      </c>
      <c r="E272" s="122" t="s">
        <v>646</v>
      </c>
      <c r="F272" s="123" t="n">
        <v>45182</v>
      </c>
      <c r="G272" s="121" t="s">
        <v>24</v>
      </c>
      <c r="H27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A0268</v>
      </c>
      <c r="I27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B0268</v>
      </c>
      <c r="J272" s="122" t="s">
        <v>647</v>
      </c>
      <c r="K27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C0268</v>
      </c>
      <c r="L27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D0268</v>
      </c>
      <c r="M27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E0268</v>
      </c>
      <c r="N272" s="122" t="s">
        <v>73</v>
      </c>
      <c r="O272" s="126" t="n">
        <v>3500000</v>
      </c>
      <c r="P272" s="121" t="s">
        <v>18</v>
      </c>
      <c r="Q272" s="121" t="s">
        <v>124</v>
      </c>
      <c r="R272" s="127"/>
      <c r="T272" s="118"/>
    </row>
    <row r="273" customFormat="false" ht="12.75" hidden="false" customHeight="true" outlineLevel="0" collapsed="false">
      <c r="B273" s="119" t="n">
        <f aca="false">ROW()-4</f>
        <v>269</v>
      </c>
      <c r="C273" s="120" t="n">
        <f aca="false">COUNTIFS($D$5:D273,D273)</f>
        <v>132</v>
      </c>
      <c r="D273" s="121" t="s">
        <v>391</v>
      </c>
      <c r="E273" s="122" t="s">
        <v>648</v>
      </c>
      <c r="F273" s="123" t="n">
        <v>45182</v>
      </c>
      <c r="G273" s="121" t="s">
        <v>24</v>
      </c>
      <c r="H27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A0269</v>
      </c>
      <c r="I27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B0269</v>
      </c>
      <c r="J273" s="122" t="s">
        <v>649</v>
      </c>
      <c r="K27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C0269</v>
      </c>
      <c r="L27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D0269</v>
      </c>
      <c r="M27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E0269</v>
      </c>
      <c r="N273" s="122" t="s">
        <v>73</v>
      </c>
      <c r="O273" s="126" t="n">
        <v>3500000</v>
      </c>
      <c r="P273" s="121" t="s">
        <v>18</v>
      </c>
      <c r="Q273" s="121" t="s">
        <v>124</v>
      </c>
      <c r="R273" s="127"/>
      <c r="T273" s="118"/>
    </row>
    <row r="274" customFormat="false" ht="12.75" hidden="false" customHeight="true" outlineLevel="0" collapsed="false">
      <c r="B274" s="119" t="n">
        <f aca="false">ROW()-4</f>
        <v>270</v>
      </c>
      <c r="C274" s="120" t="n">
        <f aca="false">COUNTIFS($D$5:D274,D274)</f>
        <v>133</v>
      </c>
      <c r="D274" s="121" t="s">
        <v>391</v>
      </c>
      <c r="E274" s="122" t="s">
        <v>650</v>
      </c>
      <c r="F274" s="123" t="n">
        <v>45181</v>
      </c>
      <c r="G274" s="121" t="s">
        <v>24</v>
      </c>
      <c r="H27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A0270</v>
      </c>
      <c r="I27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B0270</v>
      </c>
      <c r="J274" s="122" t="s">
        <v>651</v>
      </c>
      <c r="K27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C0270</v>
      </c>
      <c r="L27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D0270</v>
      </c>
      <c r="M27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E0270</v>
      </c>
      <c r="N274" s="122" t="s">
        <v>73</v>
      </c>
      <c r="O274" s="126" t="n">
        <v>3500000</v>
      </c>
      <c r="P274" s="121" t="s">
        <v>18</v>
      </c>
      <c r="Q274" s="121" t="s">
        <v>124</v>
      </c>
      <c r="R274" s="127"/>
      <c r="T274" s="118"/>
    </row>
    <row r="275" customFormat="false" ht="12.75" hidden="false" customHeight="true" outlineLevel="0" collapsed="false">
      <c r="B275" s="119" t="n">
        <f aca="false">ROW()-4</f>
        <v>271</v>
      </c>
      <c r="C275" s="120" t="n">
        <f aca="false">COUNTIFS($D$5:D275,D275)</f>
        <v>134</v>
      </c>
      <c r="D275" s="121" t="s">
        <v>391</v>
      </c>
      <c r="E275" s="122" t="s">
        <v>652</v>
      </c>
      <c r="F275" s="123" t="n">
        <v>45183</v>
      </c>
      <c r="G275" s="121" t="s">
        <v>24</v>
      </c>
      <c r="H27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A0271</v>
      </c>
      <c r="I27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B0271</v>
      </c>
      <c r="J275" s="124" t="s">
        <v>653</v>
      </c>
      <c r="K27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C0271</v>
      </c>
      <c r="L27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D0271</v>
      </c>
      <c r="M27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E0271</v>
      </c>
      <c r="N275" s="122" t="s">
        <v>73</v>
      </c>
      <c r="O275" s="126" t="n">
        <v>3500000</v>
      </c>
      <c r="P275" s="121" t="s">
        <v>18</v>
      </c>
      <c r="Q275" s="121" t="s">
        <v>124</v>
      </c>
      <c r="R275" s="127"/>
      <c r="T275" s="118"/>
    </row>
    <row r="276" customFormat="false" ht="12.75" hidden="false" customHeight="true" outlineLevel="0" collapsed="false">
      <c r="B276" s="119" t="n">
        <f aca="false">ROW()-4</f>
        <v>272</v>
      </c>
      <c r="C276" s="120" t="n">
        <f aca="false">COUNTIFS($D$5:D276,D276)</f>
        <v>135</v>
      </c>
      <c r="D276" s="121" t="s">
        <v>391</v>
      </c>
      <c r="E276" s="122" t="s">
        <v>654</v>
      </c>
      <c r="F276" s="123" t="n">
        <v>45175</v>
      </c>
      <c r="G276" s="121" t="s">
        <v>26</v>
      </c>
      <c r="H27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A0272</v>
      </c>
      <c r="I27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B0272</v>
      </c>
      <c r="J276" s="122" t="s">
        <v>655</v>
      </c>
      <c r="K27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C0272</v>
      </c>
      <c r="L27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D0272</v>
      </c>
      <c r="M27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E0272</v>
      </c>
      <c r="N276" s="122" t="s">
        <v>73</v>
      </c>
      <c r="O276" s="126" t="n">
        <v>3500000</v>
      </c>
      <c r="P276" s="121" t="s">
        <v>18</v>
      </c>
      <c r="Q276" s="121" t="s">
        <v>124</v>
      </c>
      <c r="R276" s="127"/>
      <c r="T276" s="118"/>
    </row>
    <row r="277" customFormat="false" ht="12.75" hidden="false" customHeight="true" outlineLevel="0" collapsed="false">
      <c r="B277" s="119" t="n">
        <f aca="false">ROW()-4</f>
        <v>273</v>
      </c>
      <c r="C277" s="120" t="n">
        <f aca="false">COUNTIFS($D$5:D277,D277)</f>
        <v>136</v>
      </c>
      <c r="D277" s="121" t="s">
        <v>391</v>
      </c>
      <c r="E277" s="122" t="s">
        <v>656</v>
      </c>
      <c r="F277" s="123" t="n">
        <v>45183</v>
      </c>
      <c r="G277" s="121" t="s">
        <v>26</v>
      </c>
      <c r="H27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A0273</v>
      </c>
      <c r="I27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B0273</v>
      </c>
      <c r="J277" s="122" t="s">
        <v>657</v>
      </c>
      <c r="K27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C0273</v>
      </c>
      <c r="L27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D0273</v>
      </c>
      <c r="M27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E0273</v>
      </c>
      <c r="N277" s="122" t="s">
        <v>73</v>
      </c>
      <c r="O277" s="126" t="n">
        <v>3500000</v>
      </c>
      <c r="P277" s="121" t="s">
        <v>18</v>
      </c>
      <c r="Q277" s="121" t="s">
        <v>124</v>
      </c>
      <c r="R277" s="127"/>
      <c r="T277" s="118"/>
    </row>
    <row r="278" customFormat="false" ht="12.75" hidden="false" customHeight="true" outlineLevel="0" collapsed="false">
      <c r="B278" s="119" t="n">
        <f aca="false">ROW()-4</f>
        <v>274</v>
      </c>
      <c r="C278" s="120" t="n">
        <f aca="false">COUNTIFS($D$5:D278,D278)</f>
        <v>137</v>
      </c>
      <c r="D278" s="121" t="s">
        <v>391</v>
      </c>
      <c r="E278" s="122" t="s">
        <v>658</v>
      </c>
      <c r="F278" s="123" t="n">
        <v>45180</v>
      </c>
      <c r="G278" s="121" t="s">
        <v>26</v>
      </c>
      <c r="H27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A0274</v>
      </c>
      <c r="I27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B0274</v>
      </c>
      <c r="J278" s="122" t="s">
        <v>659</v>
      </c>
      <c r="K27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C0274</v>
      </c>
      <c r="L27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D0274</v>
      </c>
      <c r="M27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E0274</v>
      </c>
      <c r="N278" s="122" t="s">
        <v>73</v>
      </c>
      <c r="O278" s="126" t="n">
        <v>3500000</v>
      </c>
      <c r="P278" s="121" t="s">
        <v>18</v>
      </c>
      <c r="Q278" s="121" t="s">
        <v>124</v>
      </c>
      <c r="R278" s="127"/>
      <c r="T278" s="118"/>
    </row>
    <row r="279" customFormat="false" ht="12.75" hidden="false" customHeight="true" outlineLevel="0" collapsed="false">
      <c r="B279" s="119" t="n">
        <f aca="false">ROW()-4</f>
        <v>275</v>
      </c>
      <c r="C279" s="120" t="n">
        <f aca="false">COUNTIFS($D$5:D279,D279)</f>
        <v>138</v>
      </c>
      <c r="D279" s="121" t="s">
        <v>391</v>
      </c>
      <c r="E279" s="122" t="s">
        <v>660</v>
      </c>
      <c r="F279" s="123" t="n">
        <v>45328</v>
      </c>
      <c r="G279" s="121" t="s">
        <v>26</v>
      </c>
      <c r="H27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A0275</v>
      </c>
      <c r="I27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B0275</v>
      </c>
      <c r="J279" s="122" t="s">
        <v>661</v>
      </c>
      <c r="K27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C0275</v>
      </c>
      <c r="L27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D0275</v>
      </c>
      <c r="M27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E0275</v>
      </c>
      <c r="N279" s="122" t="s">
        <v>73</v>
      </c>
      <c r="O279" s="126" t="n">
        <v>3500000</v>
      </c>
      <c r="P279" s="121" t="s">
        <v>18</v>
      </c>
      <c r="Q279" s="121" t="s">
        <v>124</v>
      </c>
      <c r="R279" s="127"/>
      <c r="T279" s="118"/>
    </row>
    <row r="280" customFormat="false" ht="12.75" hidden="false" customHeight="true" outlineLevel="0" collapsed="false">
      <c r="B280" s="119" t="n">
        <f aca="false">ROW()-4</f>
        <v>276</v>
      </c>
      <c r="C280" s="120" t="n">
        <f aca="false">COUNTIFS($D$5:D280,D280)</f>
        <v>139</v>
      </c>
      <c r="D280" s="121" t="s">
        <v>391</v>
      </c>
      <c r="E280" s="122" t="s">
        <v>662</v>
      </c>
      <c r="F280" s="123" t="n">
        <v>45812</v>
      </c>
      <c r="G280" s="121" t="s">
        <v>22</v>
      </c>
      <c r="H28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A0276</v>
      </c>
      <c r="I28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B0276</v>
      </c>
      <c r="J280" s="122" t="s">
        <v>663</v>
      </c>
      <c r="K28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C0276</v>
      </c>
      <c r="L28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D0276</v>
      </c>
      <c r="M28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E0276</v>
      </c>
      <c r="N280" s="122" t="s">
        <v>73</v>
      </c>
      <c r="O280" s="126" t="n">
        <v>3500000</v>
      </c>
      <c r="P280" s="121" t="s">
        <v>18</v>
      </c>
      <c r="Q280" s="121" t="s">
        <v>124</v>
      </c>
      <c r="R280" s="127"/>
      <c r="T280" s="118"/>
    </row>
    <row r="281" customFormat="false" ht="12.75" hidden="false" customHeight="true" outlineLevel="0" collapsed="false">
      <c r="B281" s="119" t="n">
        <f aca="false">ROW()-4</f>
        <v>277</v>
      </c>
      <c r="C281" s="120" t="n">
        <f aca="false">COUNTIFS($D$5:D281,D281)</f>
        <v>140</v>
      </c>
      <c r="D281" s="121" t="s">
        <v>391</v>
      </c>
      <c r="E281" s="122" t="s">
        <v>664</v>
      </c>
      <c r="F281" s="123" t="n">
        <v>45162</v>
      </c>
      <c r="G281" s="121" t="s">
        <v>22</v>
      </c>
      <c r="H28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A0277</v>
      </c>
      <c r="I28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B0277</v>
      </c>
      <c r="J281" s="122" t="s">
        <v>665</v>
      </c>
      <c r="K28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C0277</v>
      </c>
      <c r="L28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D0277</v>
      </c>
      <c r="M28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E0277</v>
      </c>
      <c r="N281" s="122" t="s">
        <v>73</v>
      </c>
      <c r="O281" s="126" t="n">
        <v>3500000</v>
      </c>
      <c r="P281" s="121" t="s">
        <v>18</v>
      </c>
      <c r="Q281" s="121" t="s">
        <v>124</v>
      </c>
      <c r="R281" s="127"/>
      <c r="T281" s="118"/>
    </row>
    <row r="282" customFormat="false" ht="12.75" hidden="false" customHeight="true" outlineLevel="0" collapsed="false">
      <c r="B282" s="119" t="n">
        <f aca="false">ROW()-4</f>
        <v>278</v>
      </c>
      <c r="C282" s="120" t="n">
        <f aca="false">COUNTIFS($D$5:D282,D282)</f>
        <v>141</v>
      </c>
      <c r="D282" s="121" t="s">
        <v>391</v>
      </c>
      <c r="E282" s="122" t="s">
        <v>666</v>
      </c>
      <c r="F282" s="123" t="n">
        <v>45184</v>
      </c>
      <c r="G282" s="121" t="s">
        <v>24</v>
      </c>
      <c r="H28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A0278</v>
      </c>
      <c r="I28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B0278</v>
      </c>
      <c r="J282" s="122" t="s">
        <v>667</v>
      </c>
      <c r="K28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C0278</v>
      </c>
      <c r="L28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D0278</v>
      </c>
      <c r="M28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E0278</v>
      </c>
      <c r="N282" s="122" t="s">
        <v>73</v>
      </c>
      <c r="O282" s="126" t="n">
        <v>3500000</v>
      </c>
      <c r="P282" s="121" t="s">
        <v>18</v>
      </c>
      <c r="Q282" s="121" t="s">
        <v>124</v>
      </c>
      <c r="R282" s="127"/>
      <c r="T282" s="118"/>
    </row>
    <row r="283" customFormat="false" ht="12.75" hidden="false" customHeight="true" outlineLevel="0" collapsed="false">
      <c r="B283" s="119" t="n">
        <f aca="false">ROW()-4</f>
        <v>279</v>
      </c>
      <c r="C283" s="120" t="n">
        <f aca="false">COUNTIFS($D$5:D283,D283)</f>
        <v>142</v>
      </c>
      <c r="D283" s="121" t="s">
        <v>391</v>
      </c>
      <c r="E283" s="122" t="s">
        <v>668</v>
      </c>
      <c r="F283" s="123" t="n">
        <v>45951</v>
      </c>
      <c r="G283" s="121" t="s">
        <v>28</v>
      </c>
      <c r="H28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A0279</v>
      </c>
      <c r="I28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B0279</v>
      </c>
      <c r="J283" s="122" t="s">
        <v>669</v>
      </c>
      <c r="K28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C0279</v>
      </c>
      <c r="L28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D0279</v>
      </c>
      <c r="M28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E0279</v>
      </c>
      <c r="N283" s="122" t="s">
        <v>73</v>
      </c>
      <c r="O283" s="126" t="n">
        <v>3500000</v>
      </c>
      <c r="P283" s="121" t="s">
        <v>18</v>
      </c>
      <c r="Q283" s="121" t="s">
        <v>124</v>
      </c>
      <c r="R283" s="127"/>
      <c r="T283" s="118"/>
    </row>
    <row r="284" customFormat="false" ht="12.75" hidden="false" customHeight="true" outlineLevel="0" collapsed="false">
      <c r="B284" s="119" t="n">
        <f aca="false">ROW()-4</f>
        <v>280</v>
      </c>
      <c r="C284" s="120" t="n">
        <f aca="false">COUNTIFS($D$5:D284,D284)</f>
        <v>143</v>
      </c>
      <c r="D284" s="121" t="s">
        <v>391</v>
      </c>
      <c r="E284" s="122" t="s">
        <v>670</v>
      </c>
      <c r="F284" s="123" t="n">
        <v>45189</v>
      </c>
      <c r="G284" s="121" t="s">
        <v>26</v>
      </c>
      <c r="H28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A0280</v>
      </c>
      <c r="I28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B0280</v>
      </c>
      <c r="J284" s="122" t="s">
        <v>671</v>
      </c>
      <c r="K28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C0280</v>
      </c>
      <c r="L28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D0280</v>
      </c>
      <c r="M28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E0280</v>
      </c>
      <c r="N284" s="122" t="s">
        <v>73</v>
      </c>
      <c r="O284" s="126" t="n">
        <v>3500000</v>
      </c>
      <c r="P284" s="121" t="s">
        <v>18</v>
      </c>
      <c r="Q284" s="121" t="s">
        <v>124</v>
      </c>
      <c r="R284" s="127"/>
      <c r="T284" s="118"/>
    </row>
    <row r="285" customFormat="false" ht="12.75" hidden="false" customHeight="true" outlineLevel="0" collapsed="false">
      <c r="B285" s="119" t="n">
        <f aca="false">ROW()-4</f>
        <v>281</v>
      </c>
      <c r="C285" s="120" t="n">
        <f aca="false">COUNTIFS($D$5:D285,D285)</f>
        <v>144</v>
      </c>
      <c r="D285" s="121" t="s">
        <v>391</v>
      </c>
      <c r="E285" s="122" t="s">
        <v>672</v>
      </c>
      <c r="F285" s="123" t="n">
        <v>45189</v>
      </c>
      <c r="G285" s="121" t="s">
        <v>28</v>
      </c>
      <c r="H28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A0281</v>
      </c>
      <c r="I28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B0281</v>
      </c>
      <c r="J285" s="122" t="s">
        <v>673</v>
      </c>
      <c r="K28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C0281</v>
      </c>
      <c r="L28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D0281</v>
      </c>
      <c r="M28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E0281</v>
      </c>
      <c r="N285" s="122" t="s">
        <v>73</v>
      </c>
      <c r="O285" s="126" t="n">
        <v>3500000</v>
      </c>
      <c r="P285" s="121" t="s">
        <v>18</v>
      </c>
      <c r="Q285" s="121" t="s">
        <v>124</v>
      </c>
      <c r="R285" s="127"/>
      <c r="T285" s="118"/>
    </row>
    <row r="286" customFormat="false" ht="12.75" hidden="false" customHeight="true" outlineLevel="0" collapsed="false">
      <c r="B286" s="119" t="n">
        <f aca="false">ROW()-4</f>
        <v>282</v>
      </c>
      <c r="C286" s="120" t="n">
        <f aca="false">COUNTIFS($D$5:D286,D286)</f>
        <v>145</v>
      </c>
      <c r="D286" s="121" t="s">
        <v>391</v>
      </c>
      <c r="E286" s="122" t="s">
        <v>674</v>
      </c>
      <c r="F286" s="123" t="n">
        <v>45205</v>
      </c>
      <c r="G286" s="121" t="s">
        <v>28</v>
      </c>
      <c r="H28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A0282</v>
      </c>
      <c r="I28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B0282</v>
      </c>
      <c r="J286" s="122" t="s">
        <v>675</v>
      </c>
      <c r="K28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C0282</v>
      </c>
      <c r="L28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D0282</v>
      </c>
      <c r="M28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E0282</v>
      </c>
      <c r="N286" s="122" t="s">
        <v>73</v>
      </c>
      <c r="O286" s="126" t="n">
        <v>3500000</v>
      </c>
      <c r="P286" s="121" t="s">
        <v>18</v>
      </c>
      <c r="Q286" s="121" t="s">
        <v>124</v>
      </c>
      <c r="R286" s="127"/>
      <c r="T286" s="118"/>
    </row>
    <row r="287" customFormat="false" ht="12.75" hidden="false" customHeight="true" outlineLevel="0" collapsed="false">
      <c r="B287" s="119" t="n">
        <f aca="false">ROW()-4</f>
        <v>283</v>
      </c>
      <c r="C287" s="120" t="n">
        <f aca="false">COUNTIFS($D$5:D287,D287)</f>
        <v>146</v>
      </c>
      <c r="D287" s="121" t="s">
        <v>391</v>
      </c>
      <c r="E287" s="122" t="s">
        <v>676</v>
      </c>
      <c r="F287" s="123" t="n">
        <v>45205</v>
      </c>
      <c r="G287" s="121" t="s">
        <v>28</v>
      </c>
      <c r="H28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A0283</v>
      </c>
      <c r="I28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B0283</v>
      </c>
      <c r="J287" s="122" t="s">
        <v>677</v>
      </c>
      <c r="K28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C0283</v>
      </c>
      <c r="L28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D0283</v>
      </c>
      <c r="M28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E0283</v>
      </c>
      <c r="N287" s="122" t="s">
        <v>73</v>
      </c>
      <c r="O287" s="126" t="n">
        <v>3500000</v>
      </c>
      <c r="P287" s="121" t="s">
        <v>18</v>
      </c>
      <c r="Q287" s="121" t="s">
        <v>124</v>
      </c>
      <c r="R287" s="127"/>
      <c r="T287" s="118"/>
    </row>
    <row r="288" customFormat="false" ht="12.75" hidden="false" customHeight="true" outlineLevel="0" collapsed="false">
      <c r="B288" s="119" t="n">
        <f aca="false">ROW()-4</f>
        <v>284</v>
      </c>
      <c r="C288" s="120" t="n">
        <f aca="false">COUNTIFS($D$5:D288,D288)</f>
        <v>147</v>
      </c>
      <c r="D288" s="121" t="s">
        <v>391</v>
      </c>
      <c r="E288" s="122" t="s">
        <v>678</v>
      </c>
      <c r="F288" s="123" t="n">
        <v>45209</v>
      </c>
      <c r="G288" s="121" t="s">
        <v>28</v>
      </c>
      <c r="H28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A0284</v>
      </c>
      <c r="I28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B0284</v>
      </c>
      <c r="J288" s="122" t="s">
        <v>679</v>
      </c>
      <c r="K28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C0284</v>
      </c>
      <c r="L28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D0284</v>
      </c>
      <c r="M28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E0284</v>
      </c>
      <c r="N288" s="122" t="s">
        <v>73</v>
      </c>
      <c r="O288" s="126" t="n">
        <v>3500000</v>
      </c>
      <c r="P288" s="121" t="s">
        <v>18</v>
      </c>
      <c r="Q288" s="121" t="s">
        <v>124</v>
      </c>
      <c r="R288" s="127"/>
      <c r="T288" s="118"/>
    </row>
    <row r="289" customFormat="false" ht="12.75" hidden="false" customHeight="true" outlineLevel="0" collapsed="false">
      <c r="B289" s="119" t="n">
        <f aca="false">ROW()-4</f>
        <v>285</v>
      </c>
      <c r="C289" s="120" t="n">
        <f aca="false">COUNTIFS($D$5:D289,D289)</f>
        <v>148</v>
      </c>
      <c r="D289" s="121" t="s">
        <v>391</v>
      </c>
      <c r="E289" s="122" t="s">
        <v>680</v>
      </c>
      <c r="F289" s="123" t="n">
        <v>45210</v>
      </c>
      <c r="G289" s="121" t="s">
        <v>30</v>
      </c>
      <c r="H28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A0285</v>
      </c>
      <c r="I28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B0285</v>
      </c>
      <c r="J289" s="122" t="s">
        <v>681</v>
      </c>
      <c r="K28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C0285</v>
      </c>
      <c r="L28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D0285</v>
      </c>
      <c r="M28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E0285</v>
      </c>
      <c r="N289" s="122" t="s">
        <v>73</v>
      </c>
      <c r="O289" s="126" t="n">
        <v>3500000</v>
      </c>
      <c r="P289" s="121" t="s">
        <v>18</v>
      </c>
      <c r="Q289" s="121" t="s">
        <v>124</v>
      </c>
      <c r="R289" s="127"/>
      <c r="T289" s="118"/>
    </row>
    <row r="290" customFormat="false" ht="12.75" hidden="false" customHeight="true" outlineLevel="0" collapsed="false">
      <c r="B290" s="119" t="n">
        <f aca="false">ROW()-4</f>
        <v>286</v>
      </c>
      <c r="C290" s="120" t="n">
        <f aca="false">COUNTIFS($D$5:D290,D290)</f>
        <v>149</v>
      </c>
      <c r="D290" s="121" t="s">
        <v>391</v>
      </c>
      <c r="E290" s="122" t="s">
        <v>682</v>
      </c>
      <c r="F290" s="123" t="n">
        <v>45210</v>
      </c>
      <c r="G290" s="121" t="s">
        <v>30</v>
      </c>
      <c r="H29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A0286</v>
      </c>
      <c r="I29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B0286</v>
      </c>
      <c r="J290" s="122" t="s">
        <v>683</v>
      </c>
      <c r="K29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C0286</v>
      </c>
      <c r="L29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D0286</v>
      </c>
      <c r="M29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E0286</v>
      </c>
      <c r="N290" s="122" t="s">
        <v>73</v>
      </c>
      <c r="O290" s="126" t="n">
        <v>3500000</v>
      </c>
      <c r="P290" s="121" t="s">
        <v>18</v>
      </c>
      <c r="Q290" s="121" t="s">
        <v>124</v>
      </c>
      <c r="R290" s="127"/>
      <c r="T290" s="118"/>
    </row>
    <row r="291" customFormat="false" ht="12.75" hidden="false" customHeight="true" outlineLevel="0" collapsed="false">
      <c r="B291" s="119" t="n">
        <f aca="false">ROW()-4</f>
        <v>287</v>
      </c>
      <c r="C291" s="120" t="n">
        <f aca="false">COUNTIFS($D$5:D291,D291)</f>
        <v>150</v>
      </c>
      <c r="D291" s="121" t="s">
        <v>391</v>
      </c>
      <c r="E291" s="122" t="s">
        <v>684</v>
      </c>
      <c r="F291" s="123" t="n">
        <v>45189</v>
      </c>
      <c r="G291" s="121" t="s">
        <v>22</v>
      </c>
      <c r="H29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A0287</v>
      </c>
      <c r="I29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B0287</v>
      </c>
      <c r="J291" s="122" t="s">
        <v>685</v>
      </c>
      <c r="K29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C0287</v>
      </c>
      <c r="L29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D0287</v>
      </c>
      <c r="M29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E0287</v>
      </c>
      <c r="N291" s="122" t="s">
        <v>73</v>
      </c>
      <c r="O291" s="126" t="n">
        <v>3500000</v>
      </c>
      <c r="P291" s="121" t="s">
        <v>18</v>
      </c>
      <c r="Q291" s="121" t="s">
        <v>124</v>
      </c>
      <c r="R291" s="127"/>
      <c r="T291" s="118"/>
    </row>
    <row r="292" customFormat="false" ht="12.75" hidden="false" customHeight="true" outlineLevel="0" collapsed="false">
      <c r="B292" s="119" t="n">
        <f aca="false">ROW()-4</f>
        <v>288</v>
      </c>
      <c r="C292" s="120" t="n">
        <f aca="false">COUNTIFS($D$5:D292,D292)</f>
        <v>151</v>
      </c>
      <c r="D292" s="121" t="s">
        <v>391</v>
      </c>
      <c r="E292" s="122" t="s">
        <v>686</v>
      </c>
      <c r="F292" s="123" t="n">
        <v>45217</v>
      </c>
      <c r="G292" s="121" t="s">
        <v>22</v>
      </c>
      <c r="H29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A0288</v>
      </c>
      <c r="I29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B0288</v>
      </c>
      <c r="J292" s="122" t="s">
        <v>687</v>
      </c>
      <c r="K29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C0288</v>
      </c>
      <c r="L29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D0288</v>
      </c>
      <c r="M29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E0288</v>
      </c>
      <c r="N292" s="122" t="s">
        <v>73</v>
      </c>
      <c r="O292" s="126" t="n">
        <v>3500000</v>
      </c>
      <c r="P292" s="121" t="s">
        <v>18</v>
      </c>
      <c r="Q292" s="121" t="s">
        <v>124</v>
      </c>
      <c r="R292" s="127"/>
      <c r="T292" s="118"/>
    </row>
    <row r="293" customFormat="false" ht="12.75" hidden="false" customHeight="true" outlineLevel="0" collapsed="false">
      <c r="B293" s="119" t="n">
        <f aca="false">ROW()-4</f>
        <v>289</v>
      </c>
      <c r="C293" s="120" t="n">
        <f aca="false">COUNTIFS($D$5:D293,D293)</f>
        <v>152</v>
      </c>
      <c r="D293" s="121" t="s">
        <v>391</v>
      </c>
      <c r="E293" s="122" t="s">
        <v>688</v>
      </c>
      <c r="F293" s="123" t="n">
        <v>45842</v>
      </c>
      <c r="G293" s="121" t="s">
        <v>28</v>
      </c>
      <c r="H29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A0289</v>
      </c>
      <c r="I29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B0289</v>
      </c>
      <c r="J293" s="122" t="s">
        <v>689</v>
      </c>
      <c r="K29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C0289</v>
      </c>
      <c r="L29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D0289</v>
      </c>
      <c r="M29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E0289</v>
      </c>
      <c r="N293" s="122" t="s">
        <v>73</v>
      </c>
      <c r="O293" s="126" t="n">
        <v>3500000</v>
      </c>
      <c r="P293" s="121" t="s">
        <v>18</v>
      </c>
      <c r="Q293" s="121" t="s">
        <v>124</v>
      </c>
      <c r="R293" s="127"/>
      <c r="T293" s="118"/>
    </row>
    <row r="294" customFormat="false" ht="12.75" hidden="false" customHeight="true" outlineLevel="0" collapsed="false">
      <c r="B294" s="119" t="n">
        <f aca="false">ROW()-4</f>
        <v>290</v>
      </c>
      <c r="C294" s="120" t="n">
        <f aca="false">COUNTIFS($D$5:D294,D294)</f>
        <v>153</v>
      </c>
      <c r="D294" s="121" t="s">
        <v>391</v>
      </c>
      <c r="E294" s="122" t="s">
        <v>690</v>
      </c>
      <c r="F294" s="123" t="n">
        <v>45246</v>
      </c>
      <c r="G294" s="121" t="s">
        <v>28</v>
      </c>
      <c r="H29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A0290</v>
      </c>
      <c r="I29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B0290</v>
      </c>
      <c r="J294" s="122" t="s">
        <v>691</v>
      </c>
      <c r="K29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C0290</v>
      </c>
      <c r="L29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D0290</v>
      </c>
      <c r="M29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E0290</v>
      </c>
      <c r="N294" s="122" t="s">
        <v>73</v>
      </c>
      <c r="O294" s="126" t="n">
        <v>3500000</v>
      </c>
      <c r="P294" s="121" t="s">
        <v>18</v>
      </c>
      <c r="Q294" s="121" t="s">
        <v>124</v>
      </c>
      <c r="R294" s="127"/>
      <c r="T294" s="118"/>
    </row>
    <row r="295" customFormat="false" ht="12.75" hidden="false" customHeight="true" outlineLevel="0" collapsed="false">
      <c r="B295" s="119" t="n">
        <f aca="false">ROW()-4</f>
        <v>291</v>
      </c>
      <c r="C295" s="120" t="n">
        <f aca="false">COUNTIFS($D$5:D295,D295)</f>
        <v>154</v>
      </c>
      <c r="D295" s="121" t="s">
        <v>391</v>
      </c>
      <c r="E295" s="122" t="s">
        <v>692</v>
      </c>
      <c r="F295" s="123" t="n">
        <v>45246</v>
      </c>
      <c r="G295" s="121" t="s">
        <v>28</v>
      </c>
      <c r="H29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A0291</v>
      </c>
      <c r="I29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B0291</v>
      </c>
      <c r="J295" s="122" t="s">
        <v>693</v>
      </c>
      <c r="K29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C0291</v>
      </c>
      <c r="L29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D0291</v>
      </c>
      <c r="M29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E0291</v>
      </c>
      <c r="N295" s="122" t="s">
        <v>73</v>
      </c>
      <c r="O295" s="126" t="n">
        <v>3500000</v>
      </c>
      <c r="P295" s="121" t="s">
        <v>18</v>
      </c>
      <c r="Q295" s="121" t="s">
        <v>124</v>
      </c>
      <c r="R295" s="127"/>
      <c r="T295" s="118"/>
    </row>
    <row r="296" customFormat="false" ht="12.75" hidden="false" customHeight="true" outlineLevel="0" collapsed="false">
      <c r="B296" s="119" t="n">
        <f aca="false">ROW()-4</f>
        <v>292</v>
      </c>
      <c r="C296" s="120" t="n">
        <f aca="false">COUNTIFS($D$5:D296,D296)</f>
        <v>155</v>
      </c>
      <c r="D296" s="121" t="s">
        <v>391</v>
      </c>
      <c r="E296" s="122" t="s">
        <v>694</v>
      </c>
      <c r="F296" s="123" t="n">
        <v>45924</v>
      </c>
      <c r="G296" s="121" t="s">
        <v>28</v>
      </c>
      <c r="H29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A0292</v>
      </c>
      <c r="I29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B0292</v>
      </c>
      <c r="J296" s="122" t="s">
        <v>695</v>
      </c>
      <c r="K29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C0292</v>
      </c>
      <c r="L29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D0292</v>
      </c>
      <c r="M29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E0292</v>
      </c>
      <c r="N296" s="122" t="s">
        <v>73</v>
      </c>
      <c r="O296" s="126" t="n">
        <v>3500000</v>
      </c>
      <c r="P296" s="121" t="s">
        <v>18</v>
      </c>
      <c r="Q296" s="121" t="s">
        <v>124</v>
      </c>
      <c r="R296" s="127"/>
      <c r="T296" s="118"/>
    </row>
    <row r="297" customFormat="false" ht="12.75" hidden="false" customHeight="true" outlineLevel="0" collapsed="false">
      <c r="B297" s="119" t="n">
        <f aca="false">ROW()-4</f>
        <v>293</v>
      </c>
      <c r="C297" s="120" t="n">
        <f aca="false">COUNTIFS($D$5:D297,D297)</f>
        <v>156</v>
      </c>
      <c r="D297" s="121" t="s">
        <v>391</v>
      </c>
      <c r="E297" s="122" t="s">
        <v>696</v>
      </c>
      <c r="F297" s="123" t="n">
        <v>45245</v>
      </c>
      <c r="G297" s="121" t="s">
        <v>30</v>
      </c>
      <c r="H29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A0293</v>
      </c>
      <c r="I29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B0293</v>
      </c>
      <c r="J297" s="122" t="s">
        <v>697</v>
      </c>
      <c r="K29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C0293</v>
      </c>
      <c r="L29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D0293</v>
      </c>
      <c r="M29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E0293</v>
      </c>
      <c r="N297" s="122" t="s">
        <v>73</v>
      </c>
      <c r="O297" s="126" t="n">
        <v>3500000</v>
      </c>
      <c r="P297" s="121" t="s">
        <v>18</v>
      </c>
      <c r="Q297" s="121" t="s">
        <v>124</v>
      </c>
      <c r="R297" s="127"/>
      <c r="T297" s="118"/>
    </row>
    <row r="298" customFormat="false" ht="12.75" hidden="false" customHeight="true" outlineLevel="0" collapsed="false">
      <c r="B298" s="119" t="n">
        <f aca="false">ROW()-4</f>
        <v>294</v>
      </c>
      <c r="C298" s="120" t="n">
        <f aca="false">COUNTIFS($D$5:D298,D298)</f>
        <v>157</v>
      </c>
      <c r="D298" s="121" t="s">
        <v>391</v>
      </c>
      <c r="E298" s="122" t="s">
        <v>698</v>
      </c>
      <c r="F298" s="123" t="n">
        <v>45245</v>
      </c>
      <c r="G298" s="121" t="s">
        <v>30</v>
      </c>
      <c r="H29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A0294</v>
      </c>
      <c r="I29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B0294</v>
      </c>
      <c r="J298" s="122" t="s">
        <v>699</v>
      </c>
      <c r="K29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C0294</v>
      </c>
      <c r="L29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D0294</v>
      </c>
      <c r="M29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E0294</v>
      </c>
      <c r="N298" s="122" t="s">
        <v>73</v>
      </c>
      <c r="O298" s="126" t="n">
        <v>3500000</v>
      </c>
      <c r="P298" s="121" t="s">
        <v>18</v>
      </c>
      <c r="Q298" s="121" t="s">
        <v>124</v>
      </c>
      <c r="R298" s="127"/>
      <c r="T298" s="118"/>
    </row>
    <row r="299" customFormat="false" ht="12.75" hidden="false" customHeight="true" outlineLevel="0" collapsed="false">
      <c r="B299" s="119" t="n">
        <f aca="false">ROW()-4</f>
        <v>295</v>
      </c>
      <c r="C299" s="120" t="n">
        <f aca="false">COUNTIFS($D$5:D299,D299)</f>
        <v>158</v>
      </c>
      <c r="D299" s="121" t="s">
        <v>391</v>
      </c>
      <c r="E299" s="122" t="s">
        <v>700</v>
      </c>
      <c r="F299" s="123" t="n">
        <v>45252</v>
      </c>
      <c r="G299" s="121" t="s">
        <v>30</v>
      </c>
      <c r="H29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A0295</v>
      </c>
      <c r="I29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B0295</v>
      </c>
      <c r="J299" s="122" t="s">
        <v>701</v>
      </c>
      <c r="K29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C0295</v>
      </c>
      <c r="L29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D0295</v>
      </c>
      <c r="M29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E0295</v>
      </c>
      <c r="N299" s="122" t="s">
        <v>73</v>
      </c>
      <c r="O299" s="126" t="n">
        <v>3500000</v>
      </c>
      <c r="P299" s="121" t="s">
        <v>18</v>
      </c>
      <c r="Q299" s="121" t="s">
        <v>124</v>
      </c>
      <c r="R299" s="127"/>
      <c r="T299" s="118"/>
    </row>
    <row r="300" customFormat="false" ht="12.75" hidden="false" customHeight="true" outlineLevel="0" collapsed="false">
      <c r="B300" s="119" t="n">
        <f aca="false">ROW()-4</f>
        <v>296</v>
      </c>
      <c r="C300" s="120" t="n">
        <f aca="false">COUNTIFS($D$5:D300,D300)</f>
        <v>159</v>
      </c>
      <c r="D300" s="121" t="s">
        <v>391</v>
      </c>
      <c r="E300" s="122" t="s">
        <v>702</v>
      </c>
      <c r="F300" s="123" t="n">
        <v>45239</v>
      </c>
      <c r="G300" s="121" t="s">
        <v>30</v>
      </c>
      <c r="H30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A0296</v>
      </c>
      <c r="I30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B0296</v>
      </c>
      <c r="J300" s="122" t="s">
        <v>703</v>
      </c>
      <c r="K30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C0296</v>
      </c>
      <c r="L30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D0296</v>
      </c>
      <c r="M30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E0296</v>
      </c>
      <c r="N300" s="122" t="s">
        <v>73</v>
      </c>
      <c r="O300" s="126" t="n">
        <v>3500000</v>
      </c>
      <c r="P300" s="121" t="s">
        <v>18</v>
      </c>
      <c r="Q300" s="121" t="s">
        <v>124</v>
      </c>
      <c r="R300" s="127"/>
      <c r="T300" s="118"/>
    </row>
    <row r="301" customFormat="false" ht="12.75" hidden="false" customHeight="true" outlineLevel="0" collapsed="false">
      <c r="B301" s="119" t="n">
        <f aca="false">ROW()-4</f>
        <v>297</v>
      </c>
      <c r="C301" s="120" t="n">
        <f aca="false">COUNTIFS($D$5:D301,D301)</f>
        <v>160</v>
      </c>
      <c r="D301" s="121" t="s">
        <v>391</v>
      </c>
      <c r="E301" s="122" t="s">
        <v>704</v>
      </c>
      <c r="F301" s="123" t="n">
        <v>45239</v>
      </c>
      <c r="G301" s="121" t="s">
        <v>30</v>
      </c>
      <c r="H30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A0297</v>
      </c>
      <c r="I30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B0297</v>
      </c>
      <c r="J301" s="122" t="s">
        <v>705</v>
      </c>
      <c r="K30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C0297</v>
      </c>
      <c r="L30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D0297</v>
      </c>
      <c r="M30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E0297</v>
      </c>
      <c r="N301" s="122" t="s">
        <v>73</v>
      </c>
      <c r="O301" s="126" t="n">
        <v>3500000</v>
      </c>
      <c r="P301" s="121" t="s">
        <v>18</v>
      </c>
      <c r="Q301" s="121" t="s">
        <v>124</v>
      </c>
      <c r="R301" s="127"/>
      <c r="T301" s="118"/>
    </row>
    <row r="302" customFormat="false" ht="12.75" hidden="false" customHeight="true" outlineLevel="0" collapsed="false">
      <c r="B302" s="119" t="n">
        <f aca="false">ROW()-4</f>
        <v>298</v>
      </c>
      <c r="C302" s="120" t="n">
        <f aca="false">COUNTIFS($D$5:D302,D302)</f>
        <v>161</v>
      </c>
      <c r="D302" s="121" t="s">
        <v>391</v>
      </c>
      <c r="E302" s="122" t="s">
        <v>706</v>
      </c>
      <c r="F302" s="123" t="n">
        <v>45229</v>
      </c>
      <c r="G302" s="121" t="s">
        <v>22</v>
      </c>
      <c r="H30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A0298</v>
      </c>
      <c r="I30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B0298</v>
      </c>
      <c r="J302" s="122" t="s">
        <v>707</v>
      </c>
      <c r="K30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C0298</v>
      </c>
      <c r="L30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D0298</v>
      </c>
      <c r="M30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E0298</v>
      </c>
      <c r="N302" s="122" t="s">
        <v>73</v>
      </c>
      <c r="O302" s="126" t="n">
        <v>3500000</v>
      </c>
      <c r="P302" s="121" t="s">
        <v>18</v>
      </c>
      <c r="Q302" s="121" t="s">
        <v>124</v>
      </c>
      <c r="R302" s="127"/>
      <c r="T302" s="118"/>
    </row>
    <row r="303" customFormat="false" ht="12.75" hidden="false" customHeight="true" outlineLevel="0" collapsed="false">
      <c r="B303" s="119" t="n">
        <f aca="false">ROW()-4</f>
        <v>299</v>
      </c>
      <c r="C303" s="120" t="n">
        <f aca="false">COUNTIFS($D$5:D303,D303)</f>
        <v>162</v>
      </c>
      <c r="D303" s="121" t="s">
        <v>391</v>
      </c>
      <c r="E303" s="122" t="s">
        <v>708</v>
      </c>
      <c r="F303" s="123" t="n">
        <v>45280</v>
      </c>
      <c r="G303" s="121" t="s">
        <v>26</v>
      </c>
      <c r="H30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A0299</v>
      </c>
      <c r="I30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B0299</v>
      </c>
      <c r="J303" s="122" t="s">
        <v>709</v>
      </c>
      <c r="K30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C0299</v>
      </c>
      <c r="L30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D0299</v>
      </c>
      <c r="M30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E0299</v>
      </c>
      <c r="N303" s="122" t="s">
        <v>73</v>
      </c>
      <c r="O303" s="126" t="n">
        <v>3500000</v>
      </c>
      <c r="P303" s="121" t="s">
        <v>18</v>
      </c>
      <c r="Q303" s="121" t="s">
        <v>124</v>
      </c>
      <c r="R303" s="127"/>
      <c r="T303" s="118"/>
    </row>
    <row r="304" customFormat="false" ht="12.75" hidden="false" customHeight="true" outlineLevel="0" collapsed="false">
      <c r="B304" s="119" t="n">
        <f aca="false">ROW()-4</f>
        <v>300</v>
      </c>
      <c r="C304" s="120" t="n">
        <f aca="false">COUNTIFS($D$5:D304,D304)</f>
        <v>163</v>
      </c>
      <c r="D304" s="121" t="s">
        <v>391</v>
      </c>
      <c r="E304" s="122" t="s">
        <v>710</v>
      </c>
      <c r="F304" s="123" t="n">
        <v>45258</v>
      </c>
      <c r="G304" s="121" t="s">
        <v>22</v>
      </c>
      <c r="H30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A0300</v>
      </c>
      <c r="I30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B0300</v>
      </c>
      <c r="J304" s="122" t="s">
        <v>711</v>
      </c>
      <c r="K30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C0300</v>
      </c>
      <c r="L30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D0300</v>
      </c>
      <c r="M30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E0300</v>
      </c>
      <c r="N304" s="122" t="s">
        <v>73</v>
      </c>
      <c r="O304" s="126" t="n">
        <v>3500000</v>
      </c>
      <c r="P304" s="121" t="s">
        <v>18</v>
      </c>
      <c r="Q304" s="121" t="s">
        <v>124</v>
      </c>
      <c r="R304" s="127"/>
      <c r="T304" s="118"/>
    </row>
    <row r="305" customFormat="false" ht="12.75" hidden="false" customHeight="true" outlineLevel="0" collapsed="false">
      <c r="B305" s="119" t="n">
        <f aca="false">ROW()-4</f>
        <v>301</v>
      </c>
      <c r="C305" s="120" t="n">
        <f aca="false">COUNTIFS($D$5:D305,D305)</f>
        <v>164</v>
      </c>
      <c r="D305" s="121" t="s">
        <v>391</v>
      </c>
      <c r="E305" s="122" t="s">
        <v>712</v>
      </c>
      <c r="F305" s="123" t="n">
        <v>45196</v>
      </c>
      <c r="G305" s="121" t="s">
        <v>30</v>
      </c>
      <c r="H30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A0301</v>
      </c>
      <c r="I30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B0301</v>
      </c>
      <c r="J305" s="122" t="s">
        <v>713</v>
      </c>
      <c r="K30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C0301</v>
      </c>
      <c r="L30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D0301</v>
      </c>
      <c r="M30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E0301</v>
      </c>
      <c r="N305" s="122" t="s">
        <v>73</v>
      </c>
      <c r="O305" s="126" t="n">
        <v>3500000</v>
      </c>
      <c r="P305" s="121" t="s">
        <v>18</v>
      </c>
      <c r="Q305" s="121" t="s">
        <v>124</v>
      </c>
      <c r="R305" s="127"/>
      <c r="T305" s="118"/>
    </row>
    <row r="306" customFormat="false" ht="12.75" hidden="false" customHeight="true" outlineLevel="0" collapsed="false">
      <c r="B306" s="119" t="n">
        <f aca="false">ROW()-4</f>
        <v>302</v>
      </c>
      <c r="C306" s="120" t="n">
        <f aca="false">COUNTIFS($D$5:D306,D306)</f>
        <v>165</v>
      </c>
      <c r="D306" s="121" t="s">
        <v>391</v>
      </c>
      <c r="E306" s="122" t="s">
        <v>714</v>
      </c>
      <c r="F306" s="123"/>
      <c r="G306" s="121" t="s">
        <v>210</v>
      </c>
      <c r="H306" s="122"/>
      <c r="I306" s="122"/>
      <c r="J306" s="122"/>
      <c r="K306" s="122"/>
      <c r="L306" s="125"/>
      <c r="M30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E0302</v>
      </c>
      <c r="N306" s="122" t="s">
        <v>73</v>
      </c>
      <c r="O306" s="126" t="n">
        <v>3500000</v>
      </c>
      <c r="P306" s="121" t="s">
        <v>19</v>
      </c>
      <c r="Q306" s="122"/>
      <c r="R306" s="128" t="s">
        <v>59</v>
      </c>
      <c r="T306" s="118"/>
    </row>
    <row r="307" customFormat="false" ht="12.75" hidden="false" customHeight="true" outlineLevel="0" collapsed="false">
      <c r="B307" s="119" t="n">
        <f aca="false">ROW()-4</f>
        <v>303</v>
      </c>
      <c r="C307" s="120" t="n">
        <f aca="false">COUNTIFS($D$5:D307,D307)</f>
        <v>166</v>
      </c>
      <c r="D307" s="121" t="s">
        <v>391</v>
      </c>
      <c r="E307" s="122" t="s">
        <v>715</v>
      </c>
      <c r="F307" s="123"/>
      <c r="G307" s="121" t="s">
        <v>210</v>
      </c>
      <c r="H307" s="122"/>
      <c r="I307" s="122"/>
      <c r="J307" s="122"/>
      <c r="K307" s="122"/>
      <c r="L307" s="125"/>
      <c r="M30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E0303</v>
      </c>
      <c r="N307" s="122" t="s">
        <v>73</v>
      </c>
      <c r="O307" s="126" t="n">
        <v>3500000</v>
      </c>
      <c r="P307" s="121" t="s">
        <v>19</v>
      </c>
      <c r="Q307" s="122"/>
      <c r="R307" s="128" t="s">
        <v>59</v>
      </c>
      <c r="T307" s="118"/>
    </row>
    <row r="308" customFormat="false" ht="12.75" hidden="false" customHeight="true" outlineLevel="0" collapsed="false">
      <c r="B308" s="119" t="n">
        <f aca="false">ROW()-4</f>
        <v>304</v>
      </c>
      <c r="C308" s="120" t="n">
        <f aca="false">COUNTIFS($D$5:D308,D308)</f>
        <v>167</v>
      </c>
      <c r="D308" s="121" t="s">
        <v>391</v>
      </c>
      <c r="E308" s="122" t="s">
        <v>716</v>
      </c>
      <c r="F308" s="123" t="n">
        <v>45237</v>
      </c>
      <c r="G308" s="121" t="s">
        <v>30</v>
      </c>
      <c r="H30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A0304</v>
      </c>
      <c r="I30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B0304</v>
      </c>
      <c r="J308" s="122" t="s">
        <v>717</v>
      </c>
      <c r="K30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C0304</v>
      </c>
      <c r="L30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D0304</v>
      </c>
      <c r="M30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E0304</v>
      </c>
      <c r="N308" s="122" t="s">
        <v>73</v>
      </c>
      <c r="O308" s="126" t="n">
        <v>3500000</v>
      </c>
      <c r="P308" s="121" t="s">
        <v>18</v>
      </c>
      <c r="Q308" s="121" t="s">
        <v>124</v>
      </c>
      <c r="R308" s="127"/>
      <c r="T308" s="118"/>
    </row>
    <row r="309" customFormat="false" ht="12.75" hidden="false" customHeight="true" outlineLevel="0" collapsed="false">
      <c r="B309" s="119" t="n">
        <f aca="false">ROW()-4</f>
        <v>305</v>
      </c>
      <c r="C309" s="120" t="n">
        <f aca="false">COUNTIFS($D$5:D309,D309)</f>
        <v>168</v>
      </c>
      <c r="D309" s="121" t="s">
        <v>391</v>
      </c>
      <c r="E309" s="122" t="s">
        <v>718</v>
      </c>
      <c r="F309" s="123" t="n">
        <v>45271</v>
      </c>
      <c r="G309" s="121" t="s">
        <v>28</v>
      </c>
      <c r="H30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A0305</v>
      </c>
      <c r="I30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B0305</v>
      </c>
      <c r="J309" s="122" t="s">
        <v>719</v>
      </c>
      <c r="K30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C0305</v>
      </c>
      <c r="L30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D0305</v>
      </c>
      <c r="M30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E0305</v>
      </c>
      <c r="N309" s="122" t="s">
        <v>73</v>
      </c>
      <c r="O309" s="126" t="n">
        <v>3500000</v>
      </c>
      <c r="P309" s="121" t="s">
        <v>18</v>
      </c>
      <c r="Q309" s="121" t="s">
        <v>124</v>
      </c>
      <c r="R309" s="127"/>
      <c r="T309" s="118"/>
    </row>
    <row r="310" customFormat="false" ht="12.75" hidden="false" customHeight="true" outlineLevel="0" collapsed="false">
      <c r="B310" s="119" t="n">
        <f aca="false">ROW()-4</f>
        <v>306</v>
      </c>
      <c r="C310" s="120" t="n">
        <f aca="false">COUNTIFS($D$5:D310,D310)</f>
        <v>169</v>
      </c>
      <c r="D310" s="121" t="s">
        <v>391</v>
      </c>
      <c r="E310" s="122" t="s">
        <v>720</v>
      </c>
      <c r="F310" s="123" t="n">
        <v>45273</v>
      </c>
      <c r="G310" s="121" t="s">
        <v>28</v>
      </c>
      <c r="H31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A0306</v>
      </c>
      <c r="I31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B0306</v>
      </c>
      <c r="J310" s="122" t="s">
        <v>721</v>
      </c>
      <c r="K31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C0306</v>
      </c>
      <c r="L31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D0306</v>
      </c>
      <c r="M31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E0306</v>
      </c>
      <c r="N310" s="122" t="s">
        <v>73</v>
      </c>
      <c r="O310" s="126" t="n">
        <v>3500000</v>
      </c>
      <c r="P310" s="121" t="s">
        <v>18</v>
      </c>
      <c r="Q310" s="121" t="s">
        <v>124</v>
      </c>
      <c r="R310" s="127"/>
      <c r="T310" s="118"/>
    </row>
    <row r="311" customFormat="false" ht="12.75" hidden="false" customHeight="true" outlineLevel="0" collapsed="false">
      <c r="B311" s="119" t="n">
        <f aca="false">ROW()-4</f>
        <v>307</v>
      </c>
      <c r="C311" s="120" t="n">
        <f aca="false">COUNTIFS($D$5:D311,D311)</f>
        <v>170</v>
      </c>
      <c r="D311" s="121" t="s">
        <v>391</v>
      </c>
      <c r="E311" s="122" t="s">
        <v>722</v>
      </c>
      <c r="F311" s="123" t="n">
        <v>45765</v>
      </c>
      <c r="G311" s="121" t="s">
        <v>30</v>
      </c>
      <c r="H31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A0307</v>
      </c>
      <c r="I31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B0307</v>
      </c>
      <c r="J311" s="122" t="s">
        <v>723</v>
      </c>
      <c r="K31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C0307</v>
      </c>
      <c r="L31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D0307</v>
      </c>
      <c r="M31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E0307</v>
      </c>
      <c r="N311" s="122" t="s">
        <v>73</v>
      </c>
      <c r="O311" s="126" t="n">
        <v>3500000</v>
      </c>
      <c r="P311" s="121" t="s">
        <v>18</v>
      </c>
      <c r="Q311" s="121" t="s">
        <v>124</v>
      </c>
      <c r="R311" s="127"/>
      <c r="T311" s="118"/>
    </row>
    <row r="312" customFormat="false" ht="12.75" hidden="false" customHeight="true" outlineLevel="0" collapsed="false">
      <c r="B312" s="119" t="n">
        <f aca="false">ROW()-4</f>
        <v>308</v>
      </c>
      <c r="C312" s="120" t="n">
        <f aca="false">COUNTIFS($D$5:D312,D312)</f>
        <v>171</v>
      </c>
      <c r="D312" s="121" t="s">
        <v>391</v>
      </c>
      <c r="E312" s="122" t="s">
        <v>724</v>
      </c>
      <c r="F312" s="123" t="n">
        <v>45765</v>
      </c>
      <c r="G312" s="121" t="s">
        <v>30</v>
      </c>
      <c r="H31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A0308</v>
      </c>
      <c r="I31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B0308</v>
      </c>
      <c r="J312" s="122" t="s">
        <v>725</v>
      </c>
      <c r="K31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C0308</v>
      </c>
      <c r="L31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D0308</v>
      </c>
      <c r="M31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E0308</v>
      </c>
      <c r="N312" s="122" t="s">
        <v>73</v>
      </c>
      <c r="O312" s="126" t="n">
        <v>3500000</v>
      </c>
      <c r="P312" s="121" t="s">
        <v>18</v>
      </c>
      <c r="Q312" s="121" t="s">
        <v>124</v>
      </c>
      <c r="R312" s="127"/>
      <c r="T312" s="118"/>
    </row>
    <row r="313" customFormat="false" ht="12.75" hidden="false" customHeight="true" outlineLevel="0" collapsed="false">
      <c r="B313" s="119" t="n">
        <f aca="false">ROW()-4</f>
        <v>309</v>
      </c>
      <c r="C313" s="120" t="n">
        <f aca="false">COUNTIFS($D$5:D313,D313)</f>
        <v>172</v>
      </c>
      <c r="D313" s="121" t="s">
        <v>391</v>
      </c>
      <c r="E313" s="122" t="s">
        <v>726</v>
      </c>
      <c r="F313" s="123" t="n">
        <v>45296</v>
      </c>
      <c r="G313" s="121" t="s">
        <v>30</v>
      </c>
      <c r="H31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A0309</v>
      </c>
      <c r="I31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B0309</v>
      </c>
      <c r="J313" s="122" t="s">
        <v>727</v>
      </c>
      <c r="K31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C0309</v>
      </c>
      <c r="L31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D0309</v>
      </c>
      <c r="M31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E0309</v>
      </c>
      <c r="N313" s="122" t="s">
        <v>73</v>
      </c>
      <c r="O313" s="126" t="n">
        <v>3500000</v>
      </c>
      <c r="P313" s="121" t="s">
        <v>18</v>
      </c>
      <c r="Q313" s="121" t="s">
        <v>124</v>
      </c>
      <c r="R313" s="127"/>
      <c r="T313" s="118"/>
    </row>
    <row r="314" customFormat="false" ht="12.75" hidden="false" customHeight="true" outlineLevel="0" collapsed="false">
      <c r="B314" s="119" t="n">
        <f aca="false">ROW()-4</f>
        <v>310</v>
      </c>
      <c r="C314" s="120" t="n">
        <f aca="false">COUNTIFS($D$5:D314,D314)</f>
        <v>173</v>
      </c>
      <c r="D314" s="121" t="s">
        <v>391</v>
      </c>
      <c r="E314" s="122" t="s">
        <v>728</v>
      </c>
      <c r="F314" s="123" t="n">
        <v>45296</v>
      </c>
      <c r="G314" s="121" t="s">
        <v>30</v>
      </c>
      <c r="H31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A0310</v>
      </c>
      <c r="I31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B0310</v>
      </c>
      <c r="J314" s="122" t="s">
        <v>729</v>
      </c>
      <c r="K31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C0310</v>
      </c>
      <c r="L31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D0310</v>
      </c>
      <c r="M31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E0310</v>
      </c>
      <c r="N314" s="122" t="s">
        <v>73</v>
      </c>
      <c r="O314" s="126" t="n">
        <v>3500000</v>
      </c>
      <c r="P314" s="121" t="s">
        <v>18</v>
      </c>
      <c r="Q314" s="121" t="s">
        <v>124</v>
      </c>
      <c r="R314" s="127"/>
      <c r="T314" s="118"/>
    </row>
    <row r="315" customFormat="false" ht="12.75" hidden="false" customHeight="true" outlineLevel="0" collapsed="false">
      <c r="B315" s="119" t="n">
        <f aca="false">ROW()-4</f>
        <v>311</v>
      </c>
      <c r="C315" s="120" t="n">
        <f aca="false">COUNTIFS($D$5:D315,D315)</f>
        <v>174</v>
      </c>
      <c r="D315" s="121" t="s">
        <v>391</v>
      </c>
      <c r="E315" s="122" t="s">
        <v>730</v>
      </c>
      <c r="F315" s="123" t="n">
        <v>45282</v>
      </c>
      <c r="G315" s="121" t="s">
        <v>30</v>
      </c>
      <c r="H31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A0311</v>
      </c>
      <c r="I31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B0311</v>
      </c>
      <c r="J315" s="122" t="s">
        <v>731</v>
      </c>
      <c r="K31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C0311</v>
      </c>
      <c r="L31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D0311</v>
      </c>
      <c r="M31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E0311</v>
      </c>
      <c r="N315" s="122" t="s">
        <v>73</v>
      </c>
      <c r="O315" s="126" t="n">
        <v>3500000</v>
      </c>
      <c r="P315" s="121" t="s">
        <v>18</v>
      </c>
      <c r="Q315" s="121" t="s">
        <v>124</v>
      </c>
      <c r="R315" s="127"/>
      <c r="T315" s="118"/>
    </row>
    <row r="316" customFormat="false" ht="12.75" hidden="false" customHeight="true" outlineLevel="0" collapsed="false">
      <c r="B316" s="119" t="n">
        <f aca="false">ROW()-4</f>
        <v>312</v>
      </c>
      <c r="C316" s="120" t="n">
        <f aca="false">COUNTIFS($D$5:D316,D316)</f>
        <v>175</v>
      </c>
      <c r="D316" s="121" t="s">
        <v>391</v>
      </c>
      <c r="E316" s="122" t="s">
        <v>732</v>
      </c>
      <c r="F316" s="123" t="n">
        <v>45306</v>
      </c>
      <c r="G316" s="121" t="s">
        <v>22</v>
      </c>
      <c r="H31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A0312</v>
      </c>
      <c r="I31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B0312</v>
      </c>
      <c r="J316" s="122" t="s">
        <v>733</v>
      </c>
      <c r="K31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C0312</v>
      </c>
      <c r="L31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D0312</v>
      </c>
      <c r="M31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E0312</v>
      </c>
      <c r="N316" s="122" t="s">
        <v>73</v>
      </c>
      <c r="O316" s="126" t="n">
        <v>3500000</v>
      </c>
      <c r="P316" s="121" t="s">
        <v>18</v>
      </c>
      <c r="Q316" s="121" t="s">
        <v>124</v>
      </c>
      <c r="R316" s="127"/>
      <c r="T316" s="118"/>
    </row>
    <row r="317" customFormat="false" ht="12.75" hidden="false" customHeight="true" outlineLevel="0" collapsed="false">
      <c r="B317" s="119" t="n">
        <f aca="false">ROW()-4</f>
        <v>313</v>
      </c>
      <c r="C317" s="120" t="n">
        <f aca="false">COUNTIFS($D$5:D317,D317)</f>
        <v>176</v>
      </c>
      <c r="D317" s="121" t="s">
        <v>391</v>
      </c>
      <c r="E317" s="122" t="s">
        <v>734</v>
      </c>
      <c r="F317" s="123"/>
      <c r="G317" s="121" t="s">
        <v>26</v>
      </c>
      <c r="H317" s="122"/>
      <c r="I317" s="122"/>
      <c r="J317" s="122"/>
      <c r="K317" s="122"/>
      <c r="L317" s="125"/>
      <c r="M31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E0313</v>
      </c>
      <c r="N317" s="122" t="s">
        <v>73</v>
      </c>
      <c r="O317" s="126" t="n">
        <v>3500000</v>
      </c>
      <c r="P317" s="121" t="s">
        <v>19</v>
      </c>
      <c r="Q317" s="122"/>
      <c r="R317" s="128" t="s">
        <v>61</v>
      </c>
      <c r="T317" s="118"/>
    </row>
    <row r="318" customFormat="false" ht="12.75" hidden="false" customHeight="true" outlineLevel="0" collapsed="false">
      <c r="B318" s="119" t="n">
        <f aca="false">ROW()-4</f>
        <v>314</v>
      </c>
      <c r="C318" s="120" t="n">
        <f aca="false">COUNTIFS($D$5:D318,D318)</f>
        <v>177</v>
      </c>
      <c r="D318" s="121" t="s">
        <v>391</v>
      </c>
      <c r="E318" s="122" t="s">
        <v>735</v>
      </c>
      <c r="F318" s="123" t="n">
        <v>45294</v>
      </c>
      <c r="G318" s="121" t="s">
        <v>26</v>
      </c>
      <c r="H31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A0314</v>
      </c>
      <c r="I31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B0314</v>
      </c>
      <c r="J318" s="122" t="s">
        <v>736</v>
      </c>
      <c r="K31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C0314</v>
      </c>
      <c r="L31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D0314</v>
      </c>
      <c r="M31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E0314</v>
      </c>
      <c r="N318" s="122" t="s">
        <v>73</v>
      </c>
      <c r="O318" s="126" t="n">
        <v>3500000</v>
      </c>
      <c r="P318" s="121" t="s">
        <v>18</v>
      </c>
      <c r="Q318" s="121" t="s">
        <v>124</v>
      </c>
      <c r="R318" s="127"/>
      <c r="T318" s="118"/>
    </row>
    <row r="319" customFormat="false" ht="12.75" hidden="false" customHeight="true" outlineLevel="0" collapsed="false">
      <c r="B319" s="119" t="n">
        <f aca="false">ROW()-4</f>
        <v>315</v>
      </c>
      <c r="C319" s="120" t="n">
        <f aca="false">COUNTIFS($D$5:D319,D319)</f>
        <v>178</v>
      </c>
      <c r="D319" s="121" t="s">
        <v>391</v>
      </c>
      <c r="E319" s="122" t="s">
        <v>737</v>
      </c>
      <c r="F319" s="123" t="n">
        <v>46062</v>
      </c>
      <c r="G319" s="121" t="s">
        <v>26</v>
      </c>
      <c r="H31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A0315</v>
      </c>
      <c r="I31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B0315</v>
      </c>
      <c r="J319" s="122" t="s">
        <v>738</v>
      </c>
      <c r="K31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C0315</v>
      </c>
      <c r="L31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D0315</v>
      </c>
      <c r="M31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E0315</v>
      </c>
      <c r="N319" s="122" t="s">
        <v>73</v>
      </c>
      <c r="O319" s="126" t="n">
        <v>3500000</v>
      </c>
      <c r="P319" s="121" t="s">
        <v>18</v>
      </c>
      <c r="Q319" s="121" t="s">
        <v>124</v>
      </c>
      <c r="R319" s="127"/>
      <c r="T319" s="118"/>
    </row>
    <row r="320" customFormat="false" ht="12.75" hidden="false" customHeight="true" outlineLevel="0" collapsed="false">
      <c r="B320" s="119" t="n">
        <f aca="false">ROW()-4</f>
        <v>316</v>
      </c>
      <c r="C320" s="120" t="n">
        <f aca="false">COUNTIFS($D$5:D320,D320)</f>
        <v>179</v>
      </c>
      <c r="D320" s="121" t="s">
        <v>391</v>
      </c>
      <c r="E320" s="122" t="s">
        <v>739</v>
      </c>
      <c r="F320" s="123" t="n">
        <v>45862</v>
      </c>
      <c r="G320" s="121" t="s">
        <v>26</v>
      </c>
      <c r="H32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A0316</v>
      </c>
      <c r="I32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B0316</v>
      </c>
      <c r="J320" s="122" t="s">
        <v>740</v>
      </c>
      <c r="K32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C0316</v>
      </c>
      <c r="L32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D0316</v>
      </c>
      <c r="M32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E0316</v>
      </c>
      <c r="N320" s="122" t="s">
        <v>73</v>
      </c>
      <c r="O320" s="126" t="n">
        <v>3500000</v>
      </c>
      <c r="P320" s="121" t="s">
        <v>18</v>
      </c>
      <c r="Q320" s="121" t="s">
        <v>124</v>
      </c>
      <c r="R320" s="127"/>
      <c r="T320" s="118"/>
    </row>
    <row r="321" customFormat="false" ht="12.75" hidden="false" customHeight="true" outlineLevel="0" collapsed="false">
      <c r="B321" s="119" t="n">
        <f aca="false">ROW()-4</f>
        <v>317</v>
      </c>
      <c r="C321" s="120" t="n">
        <f aca="false">COUNTIFS($D$5:D321,D321)</f>
        <v>180</v>
      </c>
      <c r="D321" s="121" t="s">
        <v>391</v>
      </c>
      <c r="E321" s="122" t="s">
        <v>741</v>
      </c>
      <c r="F321" s="123"/>
      <c r="G321" s="121" t="s">
        <v>210</v>
      </c>
      <c r="H321" s="124"/>
      <c r="I321" s="122"/>
      <c r="J321" s="122"/>
      <c r="K321" s="122"/>
      <c r="L321" s="125"/>
      <c r="M32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E0317</v>
      </c>
      <c r="N321" s="122" t="s">
        <v>73</v>
      </c>
      <c r="O321" s="126" t="n">
        <v>3500000</v>
      </c>
      <c r="P321" s="121" t="s">
        <v>19</v>
      </c>
      <c r="Q321" s="122"/>
      <c r="R321" s="128" t="s">
        <v>59</v>
      </c>
      <c r="T321" s="118"/>
    </row>
    <row r="322" customFormat="false" ht="12.75" hidden="false" customHeight="true" outlineLevel="0" collapsed="false">
      <c r="B322" s="119" t="n">
        <f aca="false">ROW()-4</f>
        <v>318</v>
      </c>
      <c r="C322" s="120" t="n">
        <f aca="false">COUNTIFS($D$5:D322,D322)</f>
        <v>181</v>
      </c>
      <c r="D322" s="121" t="s">
        <v>391</v>
      </c>
      <c r="E322" s="122" t="s">
        <v>742</v>
      </c>
      <c r="F322" s="123" t="n">
        <v>45309</v>
      </c>
      <c r="G322" s="121" t="s">
        <v>26</v>
      </c>
      <c r="H32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A0318</v>
      </c>
      <c r="I32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B0318</v>
      </c>
      <c r="J322" s="122" t="s">
        <v>743</v>
      </c>
      <c r="K32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C0318</v>
      </c>
      <c r="L32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D0318</v>
      </c>
      <c r="M32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E0318</v>
      </c>
      <c r="N322" s="122" t="s">
        <v>73</v>
      </c>
      <c r="O322" s="126" t="n">
        <v>3500000</v>
      </c>
      <c r="P322" s="121" t="s">
        <v>18</v>
      </c>
      <c r="Q322" s="121" t="s">
        <v>124</v>
      </c>
      <c r="R322" s="127"/>
      <c r="T322" s="118"/>
    </row>
    <row r="323" customFormat="false" ht="12.75" hidden="false" customHeight="true" outlineLevel="0" collapsed="false">
      <c r="B323" s="119" t="n">
        <f aca="false">ROW()-4</f>
        <v>319</v>
      </c>
      <c r="C323" s="120" t="n">
        <f aca="false">COUNTIFS($D$5:D323,D323)</f>
        <v>182</v>
      </c>
      <c r="D323" s="121" t="s">
        <v>391</v>
      </c>
      <c r="E323" s="122" t="s">
        <v>744</v>
      </c>
      <c r="F323" s="123" t="n">
        <v>45370</v>
      </c>
      <c r="G323" s="121" t="s">
        <v>26</v>
      </c>
      <c r="H32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A0319</v>
      </c>
      <c r="I32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B0319</v>
      </c>
      <c r="J323" s="122" t="s">
        <v>745</v>
      </c>
      <c r="K32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C0319</v>
      </c>
      <c r="L32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D0319</v>
      </c>
      <c r="M32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E0319</v>
      </c>
      <c r="N323" s="122" t="s">
        <v>73</v>
      </c>
      <c r="O323" s="126" t="n">
        <v>3500000</v>
      </c>
      <c r="P323" s="121" t="s">
        <v>18</v>
      </c>
      <c r="Q323" s="121" t="s">
        <v>124</v>
      </c>
      <c r="R323" s="127"/>
      <c r="T323" s="118"/>
    </row>
    <row r="324" customFormat="false" ht="12.75" hidden="false" customHeight="true" outlineLevel="0" collapsed="false">
      <c r="B324" s="119" t="n">
        <f aca="false">ROW()-4</f>
        <v>320</v>
      </c>
      <c r="C324" s="120" t="n">
        <f aca="false">COUNTIFS($D$5:D324,D324)</f>
        <v>183</v>
      </c>
      <c r="D324" s="121" t="s">
        <v>391</v>
      </c>
      <c r="E324" s="122" t="s">
        <v>746</v>
      </c>
      <c r="F324" s="123" t="n">
        <v>45743</v>
      </c>
      <c r="G324" s="121" t="s">
        <v>28</v>
      </c>
      <c r="H32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A0320</v>
      </c>
      <c r="I32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B0320</v>
      </c>
      <c r="J324" s="122" t="s">
        <v>747</v>
      </c>
      <c r="K32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C0320</v>
      </c>
      <c r="L32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D0320</v>
      </c>
      <c r="M32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E0320</v>
      </c>
      <c r="N324" s="122" t="s">
        <v>73</v>
      </c>
      <c r="O324" s="126" t="n">
        <v>3500000</v>
      </c>
      <c r="P324" s="121" t="s">
        <v>18</v>
      </c>
      <c r="Q324" s="121" t="s">
        <v>124</v>
      </c>
      <c r="R324" s="127"/>
      <c r="T324" s="118"/>
    </row>
    <row r="325" customFormat="false" ht="12.75" hidden="false" customHeight="true" outlineLevel="0" collapsed="false">
      <c r="B325" s="119" t="n">
        <f aca="false">ROW()-4</f>
        <v>321</v>
      </c>
      <c r="C325" s="120" t="n">
        <f aca="false">COUNTIFS($D$5:D325,D325)</f>
        <v>184</v>
      </c>
      <c r="D325" s="121" t="s">
        <v>391</v>
      </c>
      <c r="E325" s="122" t="s">
        <v>748</v>
      </c>
      <c r="F325" s="123" t="n">
        <v>45301</v>
      </c>
      <c r="G325" s="121" t="s">
        <v>30</v>
      </c>
      <c r="H32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A0321</v>
      </c>
      <c r="I32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B0321</v>
      </c>
      <c r="J325" s="122" t="s">
        <v>749</v>
      </c>
      <c r="K32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C0321</v>
      </c>
      <c r="L32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D0321</v>
      </c>
      <c r="M32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E0321</v>
      </c>
      <c r="N325" s="122" t="s">
        <v>73</v>
      </c>
      <c r="O325" s="126" t="n">
        <v>3500000</v>
      </c>
      <c r="P325" s="121" t="s">
        <v>18</v>
      </c>
      <c r="Q325" s="121" t="s">
        <v>124</v>
      </c>
      <c r="R325" s="127"/>
      <c r="T325" s="118"/>
    </row>
    <row r="326" customFormat="false" ht="12.75" hidden="false" customHeight="true" outlineLevel="0" collapsed="false">
      <c r="B326" s="119" t="n">
        <f aca="false">ROW()-4</f>
        <v>322</v>
      </c>
      <c r="C326" s="120" t="n">
        <f aca="false">COUNTIFS($D$5:D326,D326)</f>
        <v>185</v>
      </c>
      <c r="D326" s="121" t="s">
        <v>391</v>
      </c>
      <c r="E326" s="122" t="s">
        <v>750</v>
      </c>
      <c r="F326" s="123" t="n">
        <v>45301</v>
      </c>
      <c r="G326" s="121" t="s">
        <v>30</v>
      </c>
      <c r="H32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A0322</v>
      </c>
      <c r="I32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B0322</v>
      </c>
      <c r="J326" s="122" t="s">
        <v>751</v>
      </c>
      <c r="K32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C0322</v>
      </c>
      <c r="L32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D0322</v>
      </c>
      <c r="M32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E0322</v>
      </c>
      <c r="N326" s="122" t="s">
        <v>73</v>
      </c>
      <c r="O326" s="126" t="n">
        <v>3500000</v>
      </c>
      <c r="P326" s="121" t="s">
        <v>18</v>
      </c>
      <c r="Q326" s="121" t="s">
        <v>124</v>
      </c>
      <c r="R326" s="127"/>
      <c r="T326" s="118"/>
    </row>
    <row r="327" customFormat="false" ht="12.75" hidden="false" customHeight="true" outlineLevel="0" collapsed="false">
      <c r="B327" s="119" t="n">
        <f aca="false">ROW()-4</f>
        <v>323</v>
      </c>
      <c r="C327" s="120" t="n">
        <f aca="false">COUNTIFS($D$5:D327,D327)</f>
        <v>186</v>
      </c>
      <c r="D327" s="121" t="s">
        <v>391</v>
      </c>
      <c r="E327" s="122" t="s">
        <v>752</v>
      </c>
      <c r="F327" s="123" t="n">
        <v>45308</v>
      </c>
      <c r="G327" s="121" t="s">
        <v>30</v>
      </c>
      <c r="H32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A0323</v>
      </c>
      <c r="I32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B0323</v>
      </c>
      <c r="J327" s="122" t="s">
        <v>753</v>
      </c>
      <c r="K32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C0323</v>
      </c>
      <c r="L32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D0323</v>
      </c>
      <c r="M32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E0323</v>
      </c>
      <c r="N327" s="122" t="s">
        <v>73</v>
      </c>
      <c r="O327" s="126" t="n">
        <v>3500000</v>
      </c>
      <c r="P327" s="121" t="s">
        <v>18</v>
      </c>
      <c r="Q327" s="121" t="s">
        <v>124</v>
      </c>
      <c r="R327" s="127"/>
      <c r="T327" s="118"/>
    </row>
    <row r="328" customFormat="false" ht="12.75" hidden="false" customHeight="true" outlineLevel="0" collapsed="false">
      <c r="B328" s="119" t="n">
        <f aca="false">ROW()-4</f>
        <v>324</v>
      </c>
      <c r="C328" s="120" t="n">
        <f aca="false">COUNTIFS($D$5:D328,D328)</f>
        <v>187</v>
      </c>
      <c r="D328" s="121" t="s">
        <v>391</v>
      </c>
      <c r="E328" s="122" t="s">
        <v>754</v>
      </c>
      <c r="F328" s="123" t="n">
        <v>45323</v>
      </c>
      <c r="G328" s="121" t="s">
        <v>30</v>
      </c>
      <c r="H32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A0324</v>
      </c>
      <c r="I32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B0324</v>
      </c>
      <c r="J328" s="122" t="s">
        <v>755</v>
      </c>
      <c r="K32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C0324</v>
      </c>
      <c r="L32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D0324</v>
      </c>
      <c r="M32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E0324</v>
      </c>
      <c r="N328" s="122" t="s">
        <v>73</v>
      </c>
      <c r="O328" s="126" t="n">
        <v>3500000</v>
      </c>
      <c r="P328" s="121" t="s">
        <v>18</v>
      </c>
      <c r="Q328" s="121" t="s">
        <v>124</v>
      </c>
      <c r="R328" s="127"/>
      <c r="T328" s="118"/>
    </row>
    <row r="329" customFormat="false" ht="12.75" hidden="false" customHeight="true" outlineLevel="0" collapsed="false">
      <c r="B329" s="119" t="n">
        <f aca="false">ROW()-4</f>
        <v>325</v>
      </c>
      <c r="C329" s="120" t="n">
        <f aca="false">COUNTIFS($D$5:D329,D329)</f>
        <v>188</v>
      </c>
      <c r="D329" s="121" t="s">
        <v>391</v>
      </c>
      <c r="E329" s="122" t="s">
        <v>756</v>
      </c>
      <c r="F329" s="123" t="n">
        <v>45323</v>
      </c>
      <c r="G329" s="121" t="s">
        <v>30</v>
      </c>
      <c r="H32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A0325</v>
      </c>
      <c r="I32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B0325</v>
      </c>
      <c r="J329" s="122" t="s">
        <v>757</v>
      </c>
      <c r="K32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C0325</v>
      </c>
      <c r="L32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D0325</v>
      </c>
      <c r="M32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E0325</v>
      </c>
      <c r="N329" s="122" t="s">
        <v>73</v>
      </c>
      <c r="O329" s="126" t="n">
        <v>3500000</v>
      </c>
      <c r="P329" s="121" t="s">
        <v>18</v>
      </c>
      <c r="Q329" s="121" t="s">
        <v>124</v>
      </c>
      <c r="R329" s="127"/>
      <c r="T329" s="118"/>
    </row>
    <row r="330" customFormat="false" ht="12.75" hidden="false" customHeight="true" outlineLevel="0" collapsed="false">
      <c r="B330" s="119" t="n">
        <f aca="false">ROW()-4</f>
        <v>326</v>
      </c>
      <c r="C330" s="120" t="n">
        <f aca="false">COUNTIFS($D$5:D330,D330)</f>
        <v>189</v>
      </c>
      <c r="D330" s="121" t="s">
        <v>391</v>
      </c>
      <c r="E330" s="122" t="s">
        <v>758</v>
      </c>
      <c r="F330" s="123" t="n">
        <v>45321</v>
      </c>
      <c r="G330" s="121" t="s">
        <v>24</v>
      </c>
      <c r="H33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A0326</v>
      </c>
      <c r="I33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B0326</v>
      </c>
      <c r="J330" s="122" t="s">
        <v>759</v>
      </c>
      <c r="K33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C0326</v>
      </c>
      <c r="L33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D0326</v>
      </c>
      <c r="M33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E0326</v>
      </c>
      <c r="N330" s="122" t="s">
        <v>73</v>
      </c>
      <c r="O330" s="126" t="n">
        <v>3500000</v>
      </c>
      <c r="P330" s="121" t="s">
        <v>18</v>
      </c>
      <c r="Q330" s="121" t="s">
        <v>124</v>
      </c>
      <c r="R330" s="127"/>
      <c r="T330" s="118"/>
    </row>
    <row r="331" customFormat="false" ht="12.75" hidden="false" customHeight="true" outlineLevel="0" collapsed="false">
      <c r="B331" s="119" t="n">
        <f aca="false">ROW()-4</f>
        <v>327</v>
      </c>
      <c r="C331" s="120" t="n">
        <f aca="false">COUNTIFS($D$5:D331,D331)</f>
        <v>190</v>
      </c>
      <c r="D331" s="121" t="s">
        <v>391</v>
      </c>
      <c r="E331" s="122" t="s">
        <v>760</v>
      </c>
      <c r="F331" s="123" t="n">
        <v>45321</v>
      </c>
      <c r="G331" s="121" t="s">
        <v>24</v>
      </c>
      <c r="H33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A0327</v>
      </c>
      <c r="I33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B0327</v>
      </c>
      <c r="J331" s="122" t="s">
        <v>761</v>
      </c>
      <c r="K33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C0327</v>
      </c>
      <c r="L33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D0327</v>
      </c>
      <c r="M33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E0327</v>
      </c>
      <c r="N331" s="122" t="s">
        <v>73</v>
      </c>
      <c r="O331" s="126" t="n">
        <v>3500000</v>
      </c>
      <c r="P331" s="121" t="s">
        <v>18</v>
      </c>
      <c r="Q331" s="121" t="s">
        <v>124</v>
      </c>
      <c r="R331" s="127"/>
      <c r="T331" s="118"/>
    </row>
    <row r="332" customFormat="false" ht="12.75" hidden="false" customHeight="true" outlineLevel="0" collapsed="false">
      <c r="B332" s="119" t="n">
        <f aca="false">ROW()-4</f>
        <v>328</v>
      </c>
      <c r="C332" s="120" t="n">
        <f aca="false">COUNTIFS($D$5:D332,D332)</f>
        <v>191</v>
      </c>
      <c r="D332" s="121" t="s">
        <v>391</v>
      </c>
      <c r="E332" s="122" t="s">
        <v>762</v>
      </c>
      <c r="F332" s="123" t="n">
        <v>45342</v>
      </c>
      <c r="G332" s="121" t="s">
        <v>24</v>
      </c>
      <c r="H33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A0328</v>
      </c>
      <c r="I33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B0328</v>
      </c>
      <c r="J332" s="122" t="s">
        <v>763</v>
      </c>
      <c r="K33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C0328</v>
      </c>
      <c r="L33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D0328</v>
      </c>
      <c r="M33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E0328</v>
      </c>
      <c r="N332" s="122" t="s">
        <v>73</v>
      </c>
      <c r="O332" s="126" t="n">
        <v>3500000</v>
      </c>
      <c r="P332" s="121" t="s">
        <v>18</v>
      </c>
      <c r="Q332" s="121" t="s">
        <v>124</v>
      </c>
      <c r="R332" s="127"/>
      <c r="T332" s="118"/>
    </row>
    <row r="333" customFormat="false" ht="12.75" hidden="false" customHeight="true" outlineLevel="0" collapsed="false">
      <c r="B333" s="119" t="n">
        <f aca="false">ROW()-4</f>
        <v>329</v>
      </c>
      <c r="C333" s="120" t="n">
        <f aca="false">COUNTIFS($D$5:D333,D333)</f>
        <v>192</v>
      </c>
      <c r="D333" s="121" t="s">
        <v>391</v>
      </c>
      <c r="E333" s="122" t="s">
        <v>764</v>
      </c>
      <c r="F333" s="123" t="n">
        <v>45342</v>
      </c>
      <c r="G333" s="121" t="s">
        <v>24</v>
      </c>
      <c r="H33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A0329</v>
      </c>
      <c r="I33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B0329</v>
      </c>
      <c r="J333" s="122" t="s">
        <v>765</v>
      </c>
      <c r="K33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C0329</v>
      </c>
      <c r="L33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D0329</v>
      </c>
      <c r="M33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E0329</v>
      </c>
      <c r="N333" s="122" t="s">
        <v>73</v>
      </c>
      <c r="O333" s="126" t="n">
        <v>3500000</v>
      </c>
      <c r="P333" s="121" t="s">
        <v>18</v>
      </c>
      <c r="Q333" s="121" t="s">
        <v>124</v>
      </c>
      <c r="R333" s="127"/>
      <c r="T333" s="118"/>
    </row>
    <row r="334" customFormat="false" ht="12.75" hidden="false" customHeight="true" outlineLevel="0" collapsed="false">
      <c r="B334" s="119" t="n">
        <f aca="false">ROW()-4</f>
        <v>330</v>
      </c>
      <c r="C334" s="120" t="n">
        <f aca="false">COUNTIFS($D$5:D334,D334)</f>
        <v>193</v>
      </c>
      <c r="D334" s="121" t="s">
        <v>391</v>
      </c>
      <c r="E334" s="122" t="s">
        <v>766</v>
      </c>
      <c r="F334" s="123" t="n">
        <v>45337</v>
      </c>
      <c r="G334" s="121" t="s">
        <v>26</v>
      </c>
      <c r="H33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A0330</v>
      </c>
      <c r="I33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B0330</v>
      </c>
      <c r="J334" s="122" t="s">
        <v>767</v>
      </c>
      <c r="K33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C0330</v>
      </c>
      <c r="L33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D0330</v>
      </c>
      <c r="M33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E0330</v>
      </c>
      <c r="N334" s="122" t="s">
        <v>73</v>
      </c>
      <c r="O334" s="126" t="n">
        <v>3500000</v>
      </c>
      <c r="P334" s="121" t="s">
        <v>18</v>
      </c>
      <c r="Q334" s="121" t="s">
        <v>124</v>
      </c>
      <c r="R334" s="127"/>
      <c r="T334" s="118"/>
    </row>
    <row r="335" customFormat="false" ht="12.75" hidden="false" customHeight="true" outlineLevel="0" collapsed="false">
      <c r="B335" s="119" t="n">
        <f aca="false">ROW()-4</f>
        <v>331</v>
      </c>
      <c r="C335" s="120" t="n">
        <f aca="false">COUNTIFS($D$5:D335,D335)</f>
        <v>194</v>
      </c>
      <c r="D335" s="121" t="s">
        <v>391</v>
      </c>
      <c r="E335" s="122" t="s">
        <v>768</v>
      </c>
      <c r="F335" s="123" t="n">
        <v>45789</v>
      </c>
      <c r="G335" s="121" t="s">
        <v>24</v>
      </c>
      <c r="H33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A0331</v>
      </c>
      <c r="I33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B0331</v>
      </c>
      <c r="J335" s="122" t="s">
        <v>769</v>
      </c>
      <c r="K33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C0331</v>
      </c>
      <c r="L33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D0331</v>
      </c>
      <c r="M33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E0331</v>
      </c>
      <c r="N335" s="122" t="s">
        <v>73</v>
      </c>
      <c r="O335" s="126" t="n">
        <v>3500000</v>
      </c>
      <c r="P335" s="121" t="s">
        <v>18</v>
      </c>
      <c r="Q335" s="121" t="s">
        <v>124</v>
      </c>
      <c r="R335" s="127"/>
      <c r="T335" s="118"/>
    </row>
    <row r="336" customFormat="false" ht="12.75" hidden="false" customHeight="true" outlineLevel="0" collapsed="false">
      <c r="B336" s="119" t="n">
        <f aca="false">ROW()-4</f>
        <v>332</v>
      </c>
      <c r="C336" s="120" t="n">
        <f aca="false">COUNTIFS($D$5:D336,D336)</f>
        <v>195</v>
      </c>
      <c r="D336" s="121" t="s">
        <v>391</v>
      </c>
      <c r="E336" s="122" t="s">
        <v>770</v>
      </c>
      <c r="F336" s="123" t="n">
        <v>45792</v>
      </c>
      <c r="G336" s="121" t="s">
        <v>24</v>
      </c>
      <c r="H33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A0332</v>
      </c>
      <c r="I33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B0332</v>
      </c>
      <c r="J336" s="122" t="s">
        <v>771</v>
      </c>
      <c r="K33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C0332</v>
      </c>
      <c r="L33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D0332</v>
      </c>
      <c r="M33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E0332</v>
      </c>
      <c r="N336" s="122" t="s">
        <v>73</v>
      </c>
      <c r="O336" s="126" t="n">
        <v>3500000</v>
      </c>
      <c r="P336" s="121" t="s">
        <v>18</v>
      </c>
      <c r="Q336" s="121" t="s">
        <v>124</v>
      </c>
      <c r="R336" s="127"/>
      <c r="T336" s="118"/>
    </row>
    <row r="337" customFormat="false" ht="12.75" hidden="false" customHeight="true" outlineLevel="0" collapsed="false">
      <c r="B337" s="119" t="n">
        <f aca="false">ROW()-4</f>
        <v>333</v>
      </c>
      <c r="C337" s="120" t="n">
        <f aca="false">COUNTIFS($D$5:D337,D337)</f>
        <v>196</v>
      </c>
      <c r="D337" s="121" t="s">
        <v>391</v>
      </c>
      <c r="E337" s="122" t="s">
        <v>772</v>
      </c>
      <c r="F337" s="123" t="n">
        <v>45267</v>
      </c>
      <c r="G337" s="121" t="s">
        <v>24</v>
      </c>
      <c r="H33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A0333</v>
      </c>
      <c r="I33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B0333</v>
      </c>
      <c r="J337" s="122" t="s">
        <v>773</v>
      </c>
      <c r="K33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C0333</v>
      </c>
      <c r="L33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D0333</v>
      </c>
      <c r="M33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E0333</v>
      </c>
      <c r="N337" s="122" t="s">
        <v>73</v>
      </c>
      <c r="O337" s="126" t="n">
        <v>3500000</v>
      </c>
      <c r="P337" s="121" t="s">
        <v>18</v>
      </c>
      <c r="Q337" s="121" t="s">
        <v>124</v>
      </c>
      <c r="R337" s="127"/>
      <c r="T337" s="118"/>
    </row>
    <row r="338" customFormat="false" ht="12.75" hidden="false" customHeight="true" outlineLevel="0" collapsed="false">
      <c r="B338" s="119" t="n">
        <f aca="false">ROW()-4</f>
        <v>334</v>
      </c>
      <c r="C338" s="120" t="n">
        <f aca="false">COUNTIFS($D$5:D338,D338)</f>
        <v>197</v>
      </c>
      <c r="D338" s="121" t="s">
        <v>391</v>
      </c>
      <c r="E338" s="122" t="s">
        <v>774</v>
      </c>
      <c r="F338" s="123" t="n">
        <v>45267</v>
      </c>
      <c r="G338" s="121" t="s">
        <v>24</v>
      </c>
      <c r="H33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A0334</v>
      </c>
      <c r="I33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B0334</v>
      </c>
      <c r="J338" s="122" t="s">
        <v>775</v>
      </c>
      <c r="K33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C0334</v>
      </c>
      <c r="L33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D0334</v>
      </c>
      <c r="M33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E0334</v>
      </c>
      <c r="N338" s="122" t="s">
        <v>73</v>
      </c>
      <c r="O338" s="126" t="n">
        <v>3500000</v>
      </c>
      <c r="P338" s="121" t="s">
        <v>18</v>
      </c>
      <c r="Q338" s="121" t="s">
        <v>124</v>
      </c>
      <c r="R338" s="127"/>
      <c r="T338" s="118"/>
    </row>
    <row r="339" customFormat="false" ht="12.75" hidden="false" customHeight="true" outlineLevel="0" collapsed="false">
      <c r="B339" s="119" t="n">
        <f aca="false">ROW()-4</f>
        <v>335</v>
      </c>
      <c r="C339" s="120" t="n">
        <f aca="false">COUNTIFS($D$5:D339,D339)</f>
        <v>198</v>
      </c>
      <c r="D339" s="121" t="s">
        <v>391</v>
      </c>
      <c r="E339" s="122" t="s">
        <v>776</v>
      </c>
      <c r="F339" s="123" t="n">
        <v>45328</v>
      </c>
      <c r="G339" s="121" t="s">
        <v>26</v>
      </c>
      <c r="H33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A0335</v>
      </c>
      <c r="I33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B0335</v>
      </c>
      <c r="J339" s="122" t="s">
        <v>777</v>
      </c>
      <c r="K33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C0335</v>
      </c>
      <c r="L33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D0335</v>
      </c>
      <c r="M33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E0335</v>
      </c>
      <c r="N339" s="122" t="s">
        <v>73</v>
      </c>
      <c r="O339" s="126" t="n">
        <v>3500000</v>
      </c>
      <c r="P339" s="121" t="s">
        <v>18</v>
      </c>
      <c r="Q339" s="121" t="s">
        <v>124</v>
      </c>
      <c r="R339" s="127"/>
      <c r="T339" s="118"/>
    </row>
    <row r="340" customFormat="false" ht="12.75" hidden="false" customHeight="true" outlineLevel="0" collapsed="false">
      <c r="B340" s="119" t="n">
        <f aca="false">ROW()-4</f>
        <v>336</v>
      </c>
      <c r="C340" s="120" t="n">
        <f aca="false">COUNTIFS($D$5:D340,D340)</f>
        <v>199</v>
      </c>
      <c r="D340" s="121" t="s">
        <v>391</v>
      </c>
      <c r="E340" s="122" t="s">
        <v>778</v>
      </c>
      <c r="F340" s="123" t="n">
        <v>45328</v>
      </c>
      <c r="G340" s="121" t="s">
        <v>26</v>
      </c>
      <c r="H34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A0336</v>
      </c>
      <c r="I34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B0336</v>
      </c>
      <c r="J340" s="122" t="s">
        <v>779</v>
      </c>
      <c r="K34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C0336</v>
      </c>
      <c r="L34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D0336</v>
      </c>
      <c r="M34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E0336</v>
      </c>
      <c r="N340" s="122" t="s">
        <v>73</v>
      </c>
      <c r="O340" s="126" t="n">
        <v>3500000</v>
      </c>
      <c r="P340" s="121" t="s">
        <v>18</v>
      </c>
      <c r="Q340" s="121" t="s">
        <v>124</v>
      </c>
      <c r="R340" s="127"/>
      <c r="T340" s="118"/>
    </row>
    <row r="341" customFormat="false" ht="12.75" hidden="false" customHeight="true" outlineLevel="0" collapsed="false">
      <c r="B341" s="119" t="n">
        <f aca="false">ROW()-4</f>
        <v>337</v>
      </c>
      <c r="C341" s="120" t="n">
        <f aca="false">COUNTIFS($D$5:D341,D341)</f>
        <v>200</v>
      </c>
      <c r="D341" s="121" t="s">
        <v>391</v>
      </c>
      <c r="E341" s="122" t="s">
        <v>780</v>
      </c>
      <c r="F341" s="123" t="n">
        <v>45758</v>
      </c>
      <c r="G341" s="121" t="s">
        <v>24</v>
      </c>
      <c r="H34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A0337</v>
      </c>
      <c r="I34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B0337</v>
      </c>
      <c r="J341" s="122" t="s">
        <v>781</v>
      </c>
      <c r="K34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C0337</v>
      </c>
      <c r="L34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D0337</v>
      </c>
      <c r="M34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E0337</v>
      </c>
      <c r="N341" s="122" t="s">
        <v>73</v>
      </c>
      <c r="O341" s="126" t="n">
        <v>3500000</v>
      </c>
      <c r="P341" s="121" t="s">
        <v>18</v>
      </c>
      <c r="Q341" s="121" t="s">
        <v>124</v>
      </c>
      <c r="R341" s="127"/>
      <c r="T341" s="118"/>
    </row>
    <row r="342" customFormat="false" ht="12.75" hidden="false" customHeight="true" outlineLevel="0" collapsed="false">
      <c r="B342" s="119" t="n">
        <f aca="false">ROW()-4</f>
        <v>338</v>
      </c>
      <c r="C342" s="120" t="n">
        <f aca="false">COUNTIFS($D$5:D342,D342)</f>
        <v>201</v>
      </c>
      <c r="D342" s="121" t="s">
        <v>391</v>
      </c>
      <c r="E342" s="122" t="s">
        <v>782</v>
      </c>
      <c r="F342" s="123" t="n">
        <v>45741</v>
      </c>
      <c r="G342" s="121" t="s">
        <v>24</v>
      </c>
      <c r="H34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A0338</v>
      </c>
      <c r="I34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B0338</v>
      </c>
      <c r="J342" s="122" t="s">
        <v>783</v>
      </c>
      <c r="K34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C0338</v>
      </c>
      <c r="L34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D0338</v>
      </c>
      <c r="M34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E0338</v>
      </c>
      <c r="N342" s="122" t="s">
        <v>73</v>
      </c>
      <c r="O342" s="126" t="n">
        <v>3500000</v>
      </c>
      <c r="P342" s="121" t="s">
        <v>18</v>
      </c>
      <c r="Q342" s="121" t="s">
        <v>124</v>
      </c>
      <c r="R342" s="127"/>
      <c r="T342" s="118"/>
    </row>
    <row r="343" customFormat="false" ht="12.75" hidden="false" customHeight="true" outlineLevel="0" collapsed="false">
      <c r="B343" s="119" t="n">
        <f aca="false">ROW()-4</f>
        <v>339</v>
      </c>
      <c r="C343" s="120" t="n">
        <f aca="false">COUNTIFS($D$5:D343,D343)</f>
        <v>202</v>
      </c>
      <c r="D343" s="121" t="s">
        <v>391</v>
      </c>
      <c r="E343" s="122" t="s">
        <v>784</v>
      </c>
      <c r="F343" s="123" t="n">
        <v>45317</v>
      </c>
      <c r="G343" s="121" t="s">
        <v>26</v>
      </c>
      <c r="H34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A0339</v>
      </c>
      <c r="I34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B0339</v>
      </c>
      <c r="J343" s="122" t="s">
        <v>785</v>
      </c>
      <c r="K34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C0339</v>
      </c>
      <c r="L34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D0339</v>
      </c>
      <c r="M34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E0339</v>
      </c>
      <c r="N343" s="122" t="s">
        <v>73</v>
      </c>
      <c r="O343" s="126" t="n">
        <v>3500000</v>
      </c>
      <c r="P343" s="121" t="s">
        <v>18</v>
      </c>
      <c r="Q343" s="121" t="s">
        <v>124</v>
      </c>
      <c r="R343" s="127"/>
      <c r="T343" s="118"/>
    </row>
    <row r="344" customFormat="false" ht="12.75" hidden="false" customHeight="true" outlineLevel="0" collapsed="false">
      <c r="B344" s="119" t="n">
        <f aca="false">ROW()-4</f>
        <v>340</v>
      </c>
      <c r="C344" s="120" t="n">
        <f aca="false">COUNTIFS($D$5:D344,D344)</f>
        <v>203</v>
      </c>
      <c r="D344" s="121" t="s">
        <v>391</v>
      </c>
      <c r="E344" s="122" t="s">
        <v>786</v>
      </c>
      <c r="F344" s="123" t="n">
        <v>45342</v>
      </c>
      <c r="G344" s="121" t="s">
        <v>28</v>
      </c>
      <c r="H34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A0340</v>
      </c>
      <c r="I34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B0340</v>
      </c>
      <c r="J344" s="122" t="s">
        <v>787</v>
      </c>
      <c r="K34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C0340</v>
      </c>
      <c r="L34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D0340</v>
      </c>
      <c r="M34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E0340</v>
      </c>
      <c r="N344" s="122" t="s">
        <v>73</v>
      </c>
      <c r="O344" s="126" t="n">
        <v>3500000</v>
      </c>
      <c r="P344" s="121" t="s">
        <v>18</v>
      </c>
      <c r="Q344" s="121" t="s">
        <v>124</v>
      </c>
      <c r="R344" s="127"/>
      <c r="T344" s="118"/>
    </row>
    <row r="345" customFormat="false" ht="12.75" hidden="false" customHeight="true" outlineLevel="0" collapsed="false">
      <c r="B345" s="119" t="n">
        <f aca="false">ROW()-4</f>
        <v>341</v>
      </c>
      <c r="C345" s="120" t="n">
        <f aca="false">COUNTIFS($D$5:D345,D345)</f>
        <v>204</v>
      </c>
      <c r="D345" s="121" t="s">
        <v>391</v>
      </c>
      <c r="E345" s="122" t="s">
        <v>788</v>
      </c>
      <c r="F345" s="123" t="n">
        <v>45363</v>
      </c>
      <c r="G345" s="121" t="s">
        <v>22</v>
      </c>
      <c r="H34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A0341</v>
      </c>
      <c r="I34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B0341</v>
      </c>
      <c r="J345" s="122" t="s">
        <v>789</v>
      </c>
      <c r="K34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C0341</v>
      </c>
      <c r="L34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D0341</v>
      </c>
      <c r="M34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E0341</v>
      </c>
      <c r="N345" s="122" t="s">
        <v>73</v>
      </c>
      <c r="O345" s="126" t="n">
        <v>3500000</v>
      </c>
      <c r="P345" s="121" t="s">
        <v>18</v>
      </c>
      <c r="Q345" s="121" t="s">
        <v>124</v>
      </c>
      <c r="R345" s="127"/>
      <c r="T345" s="118"/>
    </row>
    <row r="346" customFormat="false" ht="12.75" hidden="false" customHeight="true" outlineLevel="0" collapsed="false">
      <c r="B346" s="119" t="n">
        <f aca="false">ROW()-4</f>
        <v>342</v>
      </c>
      <c r="C346" s="120" t="n">
        <f aca="false">COUNTIFS($D$5:D346,D346)</f>
        <v>205</v>
      </c>
      <c r="D346" s="121" t="s">
        <v>391</v>
      </c>
      <c r="E346" s="122" t="s">
        <v>790</v>
      </c>
      <c r="F346" s="123" t="n">
        <v>44935</v>
      </c>
      <c r="G346" s="121" t="s">
        <v>22</v>
      </c>
      <c r="H34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A0342</v>
      </c>
      <c r="I34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B0342</v>
      </c>
      <c r="J346" s="122" t="s">
        <v>791</v>
      </c>
      <c r="K34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C0342</v>
      </c>
      <c r="L34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D0342</v>
      </c>
      <c r="M34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E0342</v>
      </c>
      <c r="N346" s="122" t="s">
        <v>73</v>
      </c>
      <c r="O346" s="126" t="n">
        <v>3500000</v>
      </c>
      <c r="P346" s="121" t="s">
        <v>18</v>
      </c>
      <c r="Q346" s="121" t="s">
        <v>124</v>
      </c>
      <c r="R346" s="127"/>
      <c r="T346" s="118"/>
    </row>
    <row r="347" customFormat="false" ht="12.75" hidden="false" customHeight="true" outlineLevel="0" collapsed="false">
      <c r="B347" s="119" t="n">
        <f aca="false">ROW()-4</f>
        <v>343</v>
      </c>
      <c r="C347" s="120" t="n">
        <f aca="false">COUNTIFS($D$5:D347,D347)</f>
        <v>206</v>
      </c>
      <c r="D347" s="121" t="s">
        <v>391</v>
      </c>
      <c r="E347" s="122" t="s">
        <v>792</v>
      </c>
      <c r="F347" s="123" t="n">
        <v>45092</v>
      </c>
      <c r="G347" s="121" t="s">
        <v>22</v>
      </c>
      <c r="H34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A0343</v>
      </c>
      <c r="I34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B0343</v>
      </c>
      <c r="J347" s="122" t="s">
        <v>793</v>
      </c>
      <c r="K34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C0343</v>
      </c>
      <c r="L34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D0343</v>
      </c>
      <c r="M34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E0343</v>
      </c>
      <c r="N347" s="122" t="s">
        <v>73</v>
      </c>
      <c r="O347" s="126" t="n">
        <v>3500000</v>
      </c>
      <c r="P347" s="121" t="s">
        <v>18</v>
      </c>
      <c r="Q347" s="121" t="s">
        <v>124</v>
      </c>
      <c r="R347" s="127"/>
      <c r="T347" s="118"/>
    </row>
    <row r="348" customFormat="false" ht="12.75" hidden="false" customHeight="true" outlineLevel="0" collapsed="false">
      <c r="B348" s="119" t="n">
        <f aca="false">ROW()-4</f>
        <v>344</v>
      </c>
      <c r="C348" s="120" t="n">
        <f aca="false">COUNTIFS($D$5:D348,D348)</f>
        <v>207</v>
      </c>
      <c r="D348" s="121" t="s">
        <v>391</v>
      </c>
      <c r="E348" s="122" t="s">
        <v>794</v>
      </c>
      <c r="F348" s="123"/>
      <c r="G348" s="121" t="s">
        <v>210</v>
      </c>
      <c r="H348" s="122"/>
      <c r="I348" s="122"/>
      <c r="J348" s="122"/>
      <c r="K348" s="122"/>
      <c r="L348" s="125"/>
      <c r="M34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E0344</v>
      </c>
      <c r="N348" s="122" t="s">
        <v>73</v>
      </c>
      <c r="O348" s="126" t="n">
        <v>3500000</v>
      </c>
      <c r="P348" s="121" t="s">
        <v>19</v>
      </c>
      <c r="Q348" s="122"/>
      <c r="R348" s="128" t="s">
        <v>59</v>
      </c>
      <c r="T348" s="118"/>
    </row>
    <row r="349" customFormat="false" ht="12.75" hidden="false" customHeight="true" outlineLevel="0" collapsed="false">
      <c r="B349" s="119" t="n">
        <f aca="false">ROW()-4</f>
        <v>345</v>
      </c>
      <c r="C349" s="120" t="n">
        <f aca="false">COUNTIFS($D$5:D349,D349)</f>
        <v>208</v>
      </c>
      <c r="D349" s="121" t="s">
        <v>391</v>
      </c>
      <c r="E349" s="122" t="s">
        <v>795</v>
      </c>
      <c r="F349" s="123" t="n">
        <v>45343</v>
      </c>
      <c r="G349" s="121" t="s">
        <v>22</v>
      </c>
      <c r="H34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A0345</v>
      </c>
      <c r="I34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B0345</v>
      </c>
      <c r="J349" s="122" t="s">
        <v>796</v>
      </c>
      <c r="K34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C0345</v>
      </c>
      <c r="L34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D0345</v>
      </c>
      <c r="M34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E0345</v>
      </c>
      <c r="N349" s="122" t="s">
        <v>73</v>
      </c>
      <c r="O349" s="126" t="n">
        <v>3500000</v>
      </c>
      <c r="P349" s="121" t="s">
        <v>18</v>
      </c>
      <c r="Q349" s="121" t="s">
        <v>124</v>
      </c>
      <c r="R349" s="127"/>
      <c r="T349" s="118"/>
    </row>
    <row r="350" customFormat="false" ht="12.75" hidden="false" customHeight="true" outlineLevel="0" collapsed="false">
      <c r="B350" s="119" t="n">
        <f aca="false">ROW()-4</f>
        <v>346</v>
      </c>
      <c r="C350" s="120" t="n">
        <f aca="false">COUNTIFS($D$5:D350,D350)</f>
        <v>209</v>
      </c>
      <c r="D350" s="121" t="s">
        <v>391</v>
      </c>
      <c r="E350" s="122" t="s">
        <v>797</v>
      </c>
      <c r="F350" s="123" t="n">
        <v>45113</v>
      </c>
      <c r="G350" s="121" t="s">
        <v>22</v>
      </c>
      <c r="H35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A0346</v>
      </c>
      <c r="I35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B0346</v>
      </c>
      <c r="J350" s="122" t="s">
        <v>798</v>
      </c>
      <c r="K35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C0346</v>
      </c>
      <c r="L35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D0346</v>
      </c>
      <c r="M35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E0346</v>
      </c>
      <c r="N350" s="122" t="s">
        <v>73</v>
      </c>
      <c r="O350" s="126" t="n">
        <v>3500000</v>
      </c>
      <c r="P350" s="121" t="s">
        <v>18</v>
      </c>
      <c r="Q350" s="121" t="s">
        <v>124</v>
      </c>
      <c r="R350" s="127"/>
      <c r="T350" s="118"/>
    </row>
    <row r="351" customFormat="false" ht="12.75" hidden="false" customHeight="true" outlineLevel="0" collapsed="false">
      <c r="B351" s="119" t="n">
        <f aca="false">ROW()-4</f>
        <v>347</v>
      </c>
      <c r="C351" s="120" t="n">
        <f aca="false">COUNTIFS($D$5:D351,D351)</f>
        <v>210</v>
      </c>
      <c r="D351" s="121" t="s">
        <v>391</v>
      </c>
      <c r="E351" s="122" t="s">
        <v>799</v>
      </c>
      <c r="F351" s="123" t="n">
        <v>45370</v>
      </c>
      <c r="G351" s="121" t="s">
        <v>26</v>
      </c>
      <c r="H35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A0347</v>
      </c>
      <c r="I35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B0347</v>
      </c>
      <c r="J351" s="122" t="s">
        <v>800</v>
      </c>
      <c r="K35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C0347</v>
      </c>
      <c r="L35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D0347</v>
      </c>
      <c r="M35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E0347</v>
      </c>
      <c r="N351" s="122" t="s">
        <v>73</v>
      </c>
      <c r="O351" s="126" t="n">
        <v>3500000</v>
      </c>
      <c r="P351" s="121" t="s">
        <v>18</v>
      </c>
      <c r="Q351" s="121" t="s">
        <v>124</v>
      </c>
      <c r="R351" s="127"/>
      <c r="T351" s="118"/>
    </row>
    <row r="352" customFormat="false" ht="12.75" hidden="false" customHeight="true" outlineLevel="0" collapsed="false">
      <c r="B352" s="119" t="n">
        <f aca="false">ROW()-4</f>
        <v>348</v>
      </c>
      <c r="C352" s="120" t="n">
        <f aca="false">COUNTIFS($D$5:D352,D352)</f>
        <v>211</v>
      </c>
      <c r="D352" s="121" t="s">
        <v>391</v>
      </c>
      <c r="E352" s="122" t="s">
        <v>801</v>
      </c>
      <c r="F352" s="123" t="n">
        <v>45356</v>
      </c>
      <c r="G352" s="121" t="s">
        <v>22</v>
      </c>
      <c r="H35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A0348</v>
      </c>
      <c r="I35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B0348</v>
      </c>
      <c r="J352" s="122" t="s">
        <v>802</v>
      </c>
      <c r="K35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C0348</v>
      </c>
      <c r="L35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D0348</v>
      </c>
      <c r="M35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E0348</v>
      </c>
      <c r="N352" s="122" t="s">
        <v>73</v>
      </c>
      <c r="O352" s="126" t="n">
        <v>3500000</v>
      </c>
      <c r="P352" s="121" t="s">
        <v>18</v>
      </c>
      <c r="Q352" s="121" t="s">
        <v>124</v>
      </c>
      <c r="R352" s="127"/>
      <c r="T352" s="118"/>
    </row>
    <row r="353" customFormat="false" ht="12.75" hidden="false" customHeight="true" outlineLevel="0" collapsed="false">
      <c r="B353" s="119" t="n">
        <f aca="false">ROW()-4</f>
        <v>349</v>
      </c>
      <c r="C353" s="120" t="n">
        <f aca="false">COUNTIFS($D$5:D353,D353)</f>
        <v>212</v>
      </c>
      <c r="D353" s="121" t="s">
        <v>391</v>
      </c>
      <c r="E353" s="122" t="s">
        <v>803</v>
      </c>
      <c r="F353" s="123" t="n">
        <v>45358</v>
      </c>
      <c r="G353" s="121" t="s">
        <v>28</v>
      </c>
      <c r="H35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A0349</v>
      </c>
      <c r="I35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B0349</v>
      </c>
      <c r="J353" s="122" t="s">
        <v>582</v>
      </c>
      <c r="K35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C0349</v>
      </c>
      <c r="L35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D0349</v>
      </c>
      <c r="M35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E0349</v>
      </c>
      <c r="N353" s="122" t="s">
        <v>73</v>
      </c>
      <c r="O353" s="126" t="n">
        <v>3500000</v>
      </c>
      <c r="P353" s="121" t="s">
        <v>18</v>
      </c>
      <c r="Q353" s="121" t="s">
        <v>124</v>
      </c>
      <c r="R353" s="127"/>
      <c r="T353" s="118"/>
    </row>
    <row r="354" customFormat="false" ht="12.75" hidden="false" customHeight="true" outlineLevel="0" collapsed="false">
      <c r="B354" s="119" t="n">
        <f aca="false">ROW()-4</f>
        <v>350</v>
      </c>
      <c r="C354" s="120" t="n">
        <f aca="false">COUNTIFS($D$5:D354,D354)</f>
        <v>213</v>
      </c>
      <c r="D354" s="121" t="s">
        <v>391</v>
      </c>
      <c r="E354" s="122" t="s">
        <v>804</v>
      </c>
      <c r="F354" s="123" t="n">
        <v>45588</v>
      </c>
      <c r="G354" s="121" t="s">
        <v>26</v>
      </c>
      <c r="H35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A0350</v>
      </c>
      <c r="I35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B0350</v>
      </c>
      <c r="J354" s="122" t="s">
        <v>805</v>
      </c>
      <c r="K35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C0350</v>
      </c>
      <c r="L35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D0350</v>
      </c>
      <c r="M35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E0350</v>
      </c>
      <c r="N354" s="122" t="s">
        <v>73</v>
      </c>
      <c r="O354" s="126" t="n">
        <v>3500000</v>
      </c>
      <c r="P354" s="121" t="s">
        <v>18</v>
      </c>
      <c r="Q354" s="121" t="s">
        <v>124</v>
      </c>
      <c r="R354" s="127"/>
      <c r="T354" s="118"/>
    </row>
    <row r="355" customFormat="false" ht="12.75" hidden="false" customHeight="true" outlineLevel="0" collapsed="false">
      <c r="B355" s="119" t="n">
        <f aca="false">ROW()-4</f>
        <v>351</v>
      </c>
      <c r="C355" s="120" t="n">
        <f aca="false">COUNTIFS($D$5:D355,D355)</f>
        <v>214</v>
      </c>
      <c r="D355" s="121" t="s">
        <v>391</v>
      </c>
      <c r="E355" s="122" t="s">
        <v>806</v>
      </c>
      <c r="F355" s="123" t="n">
        <v>45667</v>
      </c>
      <c r="G355" s="121" t="s">
        <v>24</v>
      </c>
      <c r="H35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A0351</v>
      </c>
      <c r="I35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B0351</v>
      </c>
      <c r="J355" s="122" t="s">
        <v>807</v>
      </c>
      <c r="K35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C0351</v>
      </c>
      <c r="L35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D0351</v>
      </c>
      <c r="M35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E0351</v>
      </c>
      <c r="N355" s="122" t="s">
        <v>73</v>
      </c>
      <c r="O355" s="126" t="n">
        <v>3500000</v>
      </c>
      <c r="P355" s="121" t="s">
        <v>18</v>
      </c>
      <c r="Q355" s="121" t="s">
        <v>124</v>
      </c>
      <c r="R355" s="127"/>
      <c r="T355" s="118"/>
    </row>
    <row r="356" customFormat="false" ht="12.75" hidden="false" customHeight="true" outlineLevel="0" collapsed="false">
      <c r="B356" s="119" t="n">
        <f aca="false">ROW()-4</f>
        <v>352</v>
      </c>
      <c r="C356" s="120" t="n">
        <f aca="false">COUNTIFS($D$5:D356,D356)</f>
        <v>215</v>
      </c>
      <c r="D356" s="121" t="s">
        <v>391</v>
      </c>
      <c r="E356" s="122" t="s">
        <v>808</v>
      </c>
      <c r="F356" s="123"/>
      <c r="G356" s="121" t="s">
        <v>24</v>
      </c>
      <c r="H356" s="122"/>
      <c r="I356" s="122"/>
      <c r="J356" s="122"/>
      <c r="K356" s="122"/>
      <c r="L356" s="125"/>
      <c r="M35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E0352</v>
      </c>
      <c r="N356" s="122" t="s">
        <v>73</v>
      </c>
      <c r="O356" s="126" t="n">
        <v>3500000</v>
      </c>
      <c r="P356" s="121" t="s">
        <v>19</v>
      </c>
      <c r="Q356" s="122"/>
      <c r="R356" s="128" t="s">
        <v>61</v>
      </c>
      <c r="T356" s="118"/>
    </row>
    <row r="357" customFormat="false" ht="12.75" hidden="false" customHeight="true" outlineLevel="0" collapsed="false">
      <c r="B357" s="119" t="n">
        <f aca="false">ROW()-4</f>
        <v>353</v>
      </c>
      <c r="C357" s="120" t="n">
        <f aca="false">COUNTIFS($D$5:D357,D357)</f>
        <v>216</v>
      </c>
      <c r="D357" s="121" t="s">
        <v>391</v>
      </c>
      <c r="E357" s="122" t="s">
        <v>809</v>
      </c>
      <c r="F357" s="123"/>
      <c r="G357" s="121" t="s">
        <v>24</v>
      </c>
      <c r="H357" s="122"/>
      <c r="I357" s="122"/>
      <c r="J357" s="122"/>
      <c r="K357" s="122"/>
      <c r="L357" s="125"/>
      <c r="M35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E0353</v>
      </c>
      <c r="N357" s="122" t="s">
        <v>73</v>
      </c>
      <c r="O357" s="126" t="n">
        <v>3500000</v>
      </c>
      <c r="P357" s="121" t="s">
        <v>19</v>
      </c>
      <c r="Q357" s="122"/>
      <c r="R357" s="128" t="s">
        <v>61</v>
      </c>
      <c r="T357" s="118"/>
    </row>
    <row r="358" customFormat="false" ht="12.75" hidden="false" customHeight="true" outlineLevel="0" collapsed="false">
      <c r="B358" s="119" t="n">
        <f aca="false">ROW()-4</f>
        <v>354</v>
      </c>
      <c r="C358" s="120" t="n">
        <f aca="false">COUNTIFS($D$5:D358,D358)</f>
        <v>217</v>
      </c>
      <c r="D358" s="121" t="s">
        <v>391</v>
      </c>
      <c r="E358" s="122" t="s">
        <v>810</v>
      </c>
      <c r="F358" s="123" t="n">
        <v>45356</v>
      </c>
      <c r="G358" s="121" t="s">
        <v>22</v>
      </c>
      <c r="H35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A0354</v>
      </c>
      <c r="I35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B0354</v>
      </c>
      <c r="J358" s="122" t="s">
        <v>811</v>
      </c>
      <c r="K35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C0354</v>
      </c>
      <c r="L35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D0354</v>
      </c>
      <c r="M35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E0354</v>
      </c>
      <c r="N358" s="122" t="s">
        <v>73</v>
      </c>
      <c r="O358" s="126" t="n">
        <v>3500000</v>
      </c>
      <c r="P358" s="121" t="s">
        <v>18</v>
      </c>
      <c r="Q358" s="121" t="s">
        <v>124</v>
      </c>
      <c r="R358" s="127"/>
      <c r="T358" s="118"/>
    </row>
    <row r="359" customFormat="false" ht="12.75" hidden="false" customHeight="true" outlineLevel="0" collapsed="false">
      <c r="B359" s="119" t="n">
        <f aca="false">ROW()-4</f>
        <v>355</v>
      </c>
      <c r="C359" s="120" t="n">
        <f aca="false">COUNTIFS($D$5:D359,D359)</f>
        <v>218</v>
      </c>
      <c r="D359" s="121" t="s">
        <v>391</v>
      </c>
      <c r="E359" s="122" t="s">
        <v>812</v>
      </c>
      <c r="F359" s="123" t="n">
        <v>45371</v>
      </c>
      <c r="G359" s="121" t="s">
        <v>22</v>
      </c>
      <c r="H35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A0355</v>
      </c>
      <c r="I35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B0355</v>
      </c>
      <c r="J359" s="122" t="s">
        <v>813</v>
      </c>
      <c r="K35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C0355</v>
      </c>
      <c r="L35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D0355</v>
      </c>
      <c r="M35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E0355</v>
      </c>
      <c r="N359" s="122" t="s">
        <v>73</v>
      </c>
      <c r="O359" s="126" t="n">
        <v>3500000</v>
      </c>
      <c r="P359" s="121" t="s">
        <v>18</v>
      </c>
      <c r="Q359" s="121" t="s">
        <v>124</v>
      </c>
      <c r="R359" s="127"/>
      <c r="T359" s="118"/>
    </row>
    <row r="360" customFormat="false" ht="12.75" hidden="false" customHeight="true" outlineLevel="0" collapsed="false">
      <c r="B360" s="119" t="n">
        <f aca="false">ROW()-4</f>
        <v>356</v>
      </c>
      <c r="C360" s="120" t="n">
        <f aca="false">COUNTIFS($D$5:D360,D360)</f>
        <v>219</v>
      </c>
      <c r="D360" s="121" t="s">
        <v>391</v>
      </c>
      <c r="E360" s="122" t="s">
        <v>814</v>
      </c>
      <c r="F360" s="123" t="n">
        <v>45371</v>
      </c>
      <c r="G360" s="121" t="s">
        <v>22</v>
      </c>
      <c r="H36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A0356</v>
      </c>
      <c r="I36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B0356</v>
      </c>
      <c r="J360" s="122" t="s">
        <v>815</v>
      </c>
      <c r="K36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C0356</v>
      </c>
      <c r="L36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D0356</v>
      </c>
      <c r="M36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E0356</v>
      </c>
      <c r="N360" s="122" t="s">
        <v>73</v>
      </c>
      <c r="O360" s="126" t="n">
        <v>3500000</v>
      </c>
      <c r="P360" s="121" t="s">
        <v>18</v>
      </c>
      <c r="Q360" s="121" t="s">
        <v>124</v>
      </c>
      <c r="R360" s="127"/>
      <c r="T360" s="118"/>
    </row>
    <row r="361" customFormat="false" ht="12.75" hidden="false" customHeight="true" outlineLevel="0" collapsed="false">
      <c r="B361" s="119" t="n">
        <f aca="false">ROW()-4</f>
        <v>357</v>
      </c>
      <c r="C361" s="120" t="n">
        <f aca="false">COUNTIFS($D$5:D361,D361)</f>
        <v>220</v>
      </c>
      <c r="D361" s="121" t="s">
        <v>391</v>
      </c>
      <c r="E361" s="122" t="s">
        <v>816</v>
      </c>
      <c r="F361" s="123" t="n">
        <v>45371</v>
      </c>
      <c r="G361" s="121" t="s">
        <v>22</v>
      </c>
      <c r="H36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A0357</v>
      </c>
      <c r="I36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B0357</v>
      </c>
      <c r="J361" s="122" t="s">
        <v>817</v>
      </c>
      <c r="K36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C0357</v>
      </c>
      <c r="L36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D0357</v>
      </c>
      <c r="M36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E0357</v>
      </c>
      <c r="N361" s="122" t="s">
        <v>73</v>
      </c>
      <c r="O361" s="126" t="n">
        <v>3500000</v>
      </c>
      <c r="P361" s="121" t="s">
        <v>18</v>
      </c>
      <c r="Q361" s="121" t="s">
        <v>124</v>
      </c>
      <c r="R361" s="127"/>
      <c r="T361" s="118"/>
    </row>
    <row r="362" customFormat="false" ht="12.75" hidden="false" customHeight="true" outlineLevel="0" collapsed="false">
      <c r="B362" s="119" t="n">
        <f aca="false">ROW()-4</f>
        <v>358</v>
      </c>
      <c r="C362" s="120" t="n">
        <f aca="false">COUNTIFS($D$5:D362,D362)</f>
        <v>221</v>
      </c>
      <c r="D362" s="121" t="s">
        <v>391</v>
      </c>
      <c r="E362" s="122" t="s">
        <v>818</v>
      </c>
      <c r="F362" s="123" t="n">
        <v>45383</v>
      </c>
      <c r="G362" s="121" t="s">
        <v>24</v>
      </c>
      <c r="H36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A0358</v>
      </c>
      <c r="I36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B0358</v>
      </c>
      <c r="J362" s="122" t="s">
        <v>819</v>
      </c>
      <c r="K36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C0358</v>
      </c>
      <c r="L36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D0358</v>
      </c>
      <c r="M36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E0358</v>
      </c>
      <c r="N362" s="122" t="s">
        <v>73</v>
      </c>
      <c r="O362" s="126" t="n">
        <v>3500000</v>
      </c>
      <c r="P362" s="121" t="s">
        <v>18</v>
      </c>
      <c r="Q362" s="121" t="s">
        <v>124</v>
      </c>
      <c r="R362" s="127"/>
      <c r="T362" s="118"/>
    </row>
    <row r="363" customFormat="false" ht="12.75" hidden="false" customHeight="true" outlineLevel="0" collapsed="false">
      <c r="B363" s="119" t="n">
        <f aca="false">ROW()-4</f>
        <v>359</v>
      </c>
      <c r="C363" s="120" t="n">
        <f aca="false">COUNTIFS($D$5:D363,D363)</f>
        <v>222</v>
      </c>
      <c r="D363" s="121" t="s">
        <v>391</v>
      </c>
      <c r="E363" s="122" t="s">
        <v>820</v>
      </c>
      <c r="F363" s="123" t="n">
        <v>45387</v>
      </c>
      <c r="G363" s="121" t="s">
        <v>26</v>
      </c>
      <c r="H36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A0359</v>
      </c>
      <c r="I36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B0359</v>
      </c>
      <c r="J363" s="122" t="s">
        <v>821</v>
      </c>
      <c r="K36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C0359</v>
      </c>
      <c r="L36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D0359</v>
      </c>
      <c r="M36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E0359</v>
      </c>
      <c r="N363" s="122" t="s">
        <v>73</v>
      </c>
      <c r="O363" s="126" t="n">
        <v>3500000</v>
      </c>
      <c r="P363" s="121" t="s">
        <v>18</v>
      </c>
      <c r="Q363" s="121" t="s">
        <v>124</v>
      </c>
      <c r="R363" s="127"/>
      <c r="T363" s="118"/>
    </row>
    <row r="364" customFormat="false" ht="12.75" hidden="false" customHeight="true" outlineLevel="0" collapsed="false">
      <c r="B364" s="119" t="n">
        <f aca="false">ROW()-4</f>
        <v>360</v>
      </c>
      <c r="C364" s="120" t="n">
        <f aca="false">COUNTIFS($D$5:D364,D364)</f>
        <v>223</v>
      </c>
      <c r="D364" s="121" t="s">
        <v>391</v>
      </c>
      <c r="E364" s="122" t="s">
        <v>822</v>
      </c>
      <c r="F364" s="123" t="n">
        <v>45344</v>
      </c>
      <c r="G364" s="121" t="s">
        <v>26</v>
      </c>
      <c r="H36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A0360</v>
      </c>
      <c r="I36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B0360</v>
      </c>
      <c r="J364" s="122" t="s">
        <v>823</v>
      </c>
      <c r="K36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C0360</v>
      </c>
      <c r="L36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D0360</v>
      </c>
      <c r="M36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E0360</v>
      </c>
      <c r="N364" s="122" t="s">
        <v>73</v>
      </c>
      <c r="O364" s="126" t="n">
        <v>3500000</v>
      </c>
      <c r="P364" s="121" t="s">
        <v>18</v>
      </c>
      <c r="Q364" s="121" t="s">
        <v>124</v>
      </c>
      <c r="R364" s="127"/>
      <c r="T364" s="118"/>
    </row>
    <row r="365" customFormat="false" ht="12.75" hidden="false" customHeight="true" outlineLevel="0" collapsed="false">
      <c r="B365" s="119" t="n">
        <f aca="false">ROW()-4</f>
        <v>361</v>
      </c>
      <c r="C365" s="120" t="n">
        <f aca="false">COUNTIFS($D$5:D365,D365)</f>
        <v>224</v>
      </c>
      <c r="D365" s="121" t="s">
        <v>391</v>
      </c>
      <c r="E365" s="122" t="s">
        <v>824</v>
      </c>
      <c r="F365" s="123" t="n">
        <v>45393</v>
      </c>
      <c r="G365" s="121" t="s">
        <v>26</v>
      </c>
      <c r="H36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A0361</v>
      </c>
      <c r="I36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B0361</v>
      </c>
      <c r="J365" s="122" t="s">
        <v>825</v>
      </c>
      <c r="K36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C0361</v>
      </c>
      <c r="L36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D0361</v>
      </c>
      <c r="M36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E0361</v>
      </c>
      <c r="N365" s="122" t="s">
        <v>73</v>
      </c>
      <c r="O365" s="126" t="n">
        <v>3500000</v>
      </c>
      <c r="P365" s="121" t="s">
        <v>18</v>
      </c>
      <c r="Q365" s="121" t="s">
        <v>124</v>
      </c>
      <c r="R365" s="127"/>
      <c r="T365" s="118"/>
    </row>
    <row r="366" customFormat="false" ht="12.75" hidden="false" customHeight="true" outlineLevel="0" collapsed="false">
      <c r="B366" s="119" t="n">
        <f aca="false">ROW()-4</f>
        <v>362</v>
      </c>
      <c r="C366" s="120" t="n">
        <f aca="false">COUNTIFS($D$5:D366,D366)</f>
        <v>225</v>
      </c>
      <c r="D366" s="121" t="s">
        <v>391</v>
      </c>
      <c r="E366" s="122" t="s">
        <v>826</v>
      </c>
      <c r="F366" s="123"/>
      <c r="G366" s="121" t="s">
        <v>210</v>
      </c>
      <c r="H366" s="122"/>
      <c r="I366" s="122"/>
      <c r="J366" s="122"/>
      <c r="K366" s="122"/>
      <c r="L366" s="125"/>
      <c r="M36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E0362</v>
      </c>
      <c r="N366" s="122" t="s">
        <v>73</v>
      </c>
      <c r="O366" s="126" t="n">
        <v>3500000</v>
      </c>
      <c r="P366" s="121" t="s">
        <v>19</v>
      </c>
      <c r="Q366" s="122"/>
      <c r="R366" s="128" t="s">
        <v>59</v>
      </c>
      <c r="T366" s="118"/>
    </row>
    <row r="367" customFormat="false" ht="12.75" hidden="false" customHeight="true" outlineLevel="0" collapsed="false">
      <c r="B367" s="119" t="n">
        <f aca="false">ROW()-4</f>
        <v>363</v>
      </c>
      <c r="C367" s="120" t="n">
        <f aca="false">COUNTIFS($D$5:D367,D367)</f>
        <v>226</v>
      </c>
      <c r="D367" s="121" t="s">
        <v>391</v>
      </c>
      <c r="E367" s="122" t="s">
        <v>827</v>
      </c>
      <c r="F367" s="123"/>
      <c r="G367" s="121" t="s">
        <v>210</v>
      </c>
      <c r="H367" s="122"/>
      <c r="I367" s="122"/>
      <c r="J367" s="122"/>
      <c r="K367" s="122"/>
      <c r="L367" s="125"/>
      <c r="M36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E0363</v>
      </c>
      <c r="N367" s="122" t="s">
        <v>73</v>
      </c>
      <c r="O367" s="126" t="n">
        <v>3500000</v>
      </c>
      <c r="P367" s="121" t="s">
        <v>19</v>
      </c>
      <c r="Q367" s="122"/>
      <c r="R367" s="128" t="s">
        <v>59</v>
      </c>
      <c r="T367" s="118"/>
    </row>
    <row r="368" customFormat="false" ht="12.75" hidden="false" customHeight="true" outlineLevel="0" collapsed="false">
      <c r="B368" s="119" t="n">
        <f aca="false">ROW()-4</f>
        <v>364</v>
      </c>
      <c r="C368" s="120" t="n">
        <f aca="false">COUNTIFS($D$5:D368,D368)</f>
        <v>227</v>
      </c>
      <c r="D368" s="121" t="s">
        <v>391</v>
      </c>
      <c r="E368" s="122" t="s">
        <v>828</v>
      </c>
      <c r="F368" s="123" t="n">
        <v>45383</v>
      </c>
      <c r="G368" s="121" t="s">
        <v>26</v>
      </c>
      <c r="H36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A0364</v>
      </c>
      <c r="I36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B0364</v>
      </c>
      <c r="J368" s="122" t="s">
        <v>829</v>
      </c>
      <c r="K36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C0364</v>
      </c>
      <c r="L36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D0364</v>
      </c>
      <c r="M36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E0364</v>
      </c>
      <c r="N368" s="122" t="s">
        <v>73</v>
      </c>
      <c r="O368" s="126" t="n">
        <v>3500000</v>
      </c>
      <c r="P368" s="121" t="s">
        <v>18</v>
      </c>
      <c r="Q368" s="121" t="s">
        <v>124</v>
      </c>
      <c r="R368" s="127"/>
      <c r="T368" s="118"/>
    </row>
    <row r="369" customFormat="false" ht="12.75" hidden="false" customHeight="true" outlineLevel="0" collapsed="false">
      <c r="B369" s="119" t="n">
        <f aca="false">ROW()-4</f>
        <v>365</v>
      </c>
      <c r="C369" s="120" t="n">
        <f aca="false">COUNTIFS($D$5:D369,D369)</f>
        <v>228</v>
      </c>
      <c r="D369" s="121" t="s">
        <v>391</v>
      </c>
      <c r="E369" s="122" t="s">
        <v>830</v>
      </c>
      <c r="F369" s="123" t="n">
        <v>45432</v>
      </c>
      <c r="G369" s="121" t="s">
        <v>28</v>
      </c>
      <c r="H36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A0365</v>
      </c>
      <c r="I36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B0365</v>
      </c>
      <c r="J369" s="122" t="s">
        <v>831</v>
      </c>
      <c r="K36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C0365</v>
      </c>
      <c r="L36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D0365</v>
      </c>
      <c r="M36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E0365</v>
      </c>
      <c r="N369" s="122" t="s">
        <v>73</v>
      </c>
      <c r="O369" s="126" t="n">
        <v>3500000</v>
      </c>
      <c r="P369" s="121" t="s">
        <v>18</v>
      </c>
      <c r="Q369" s="121" t="s">
        <v>124</v>
      </c>
      <c r="R369" s="127"/>
      <c r="T369" s="118"/>
    </row>
    <row r="370" customFormat="false" ht="12.75" hidden="false" customHeight="true" outlineLevel="0" collapsed="false">
      <c r="B370" s="119" t="n">
        <f aca="false">ROW()-4</f>
        <v>366</v>
      </c>
      <c r="C370" s="120" t="n">
        <f aca="false">COUNTIFS($D$5:D370,D370)</f>
        <v>229</v>
      </c>
      <c r="D370" s="121" t="s">
        <v>391</v>
      </c>
      <c r="E370" s="122" t="s">
        <v>832</v>
      </c>
      <c r="F370" s="123" t="n">
        <v>45406</v>
      </c>
      <c r="G370" s="121" t="s">
        <v>22</v>
      </c>
      <c r="H37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A0366</v>
      </c>
      <c r="I37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B0366</v>
      </c>
      <c r="J370" s="122" t="s">
        <v>833</v>
      </c>
      <c r="K37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C0366</v>
      </c>
      <c r="L37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D0366</v>
      </c>
      <c r="M37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E0366</v>
      </c>
      <c r="N370" s="122" t="s">
        <v>73</v>
      </c>
      <c r="O370" s="126" t="n">
        <v>3500000</v>
      </c>
      <c r="P370" s="121" t="s">
        <v>18</v>
      </c>
      <c r="Q370" s="121" t="s">
        <v>124</v>
      </c>
      <c r="R370" s="127"/>
      <c r="T370" s="118"/>
    </row>
    <row r="371" customFormat="false" ht="12.75" hidden="false" customHeight="true" outlineLevel="0" collapsed="false">
      <c r="B371" s="119" t="n">
        <f aca="false">ROW()-4</f>
        <v>367</v>
      </c>
      <c r="C371" s="120" t="n">
        <f aca="false">COUNTIFS($D$5:D371,D371)</f>
        <v>230</v>
      </c>
      <c r="D371" s="121" t="s">
        <v>391</v>
      </c>
      <c r="E371" s="122" t="s">
        <v>834</v>
      </c>
      <c r="F371" s="123" t="n">
        <v>45420</v>
      </c>
      <c r="G371" s="121" t="s">
        <v>30</v>
      </c>
      <c r="H37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A0367</v>
      </c>
      <c r="I37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B0367</v>
      </c>
      <c r="J371" s="122" t="s">
        <v>835</v>
      </c>
      <c r="K37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C0367</v>
      </c>
      <c r="L37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D0367</v>
      </c>
      <c r="M37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E0367</v>
      </c>
      <c r="N371" s="122" t="s">
        <v>73</v>
      </c>
      <c r="O371" s="126" t="n">
        <v>3500000</v>
      </c>
      <c r="P371" s="121" t="s">
        <v>18</v>
      </c>
      <c r="Q371" s="121" t="s">
        <v>124</v>
      </c>
      <c r="R371" s="127"/>
      <c r="T371" s="118"/>
    </row>
    <row r="372" customFormat="false" ht="12.75" hidden="false" customHeight="true" outlineLevel="0" collapsed="false">
      <c r="B372" s="119" t="n">
        <f aca="false">ROW()-4</f>
        <v>368</v>
      </c>
      <c r="C372" s="120" t="n">
        <f aca="false">COUNTIFS($D$5:D372,D372)</f>
        <v>231</v>
      </c>
      <c r="D372" s="121" t="s">
        <v>391</v>
      </c>
      <c r="E372" s="122" t="s">
        <v>836</v>
      </c>
      <c r="F372" s="123" t="n">
        <v>45421</v>
      </c>
      <c r="G372" s="121" t="s">
        <v>22</v>
      </c>
      <c r="H37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A0368</v>
      </c>
      <c r="I37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B0368</v>
      </c>
      <c r="J372" s="122" t="s">
        <v>837</v>
      </c>
      <c r="K37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C0368</v>
      </c>
      <c r="L37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D0368</v>
      </c>
      <c r="M37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E0368</v>
      </c>
      <c r="N372" s="122" t="s">
        <v>73</v>
      </c>
      <c r="O372" s="126" t="n">
        <v>3500000</v>
      </c>
      <c r="P372" s="121" t="s">
        <v>18</v>
      </c>
      <c r="Q372" s="121" t="s">
        <v>124</v>
      </c>
      <c r="R372" s="127"/>
      <c r="T372" s="118"/>
    </row>
    <row r="373" customFormat="false" ht="12.75" hidden="false" customHeight="true" outlineLevel="0" collapsed="false">
      <c r="B373" s="119" t="n">
        <f aca="false">ROW()-4</f>
        <v>369</v>
      </c>
      <c r="C373" s="120" t="n">
        <f aca="false">COUNTIFS($D$5:D373,D373)</f>
        <v>232</v>
      </c>
      <c r="D373" s="121" t="s">
        <v>391</v>
      </c>
      <c r="E373" s="122" t="s">
        <v>838</v>
      </c>
      <c r="F373" s="123" t="n">
        <v>45416</v>
      </c>
      <c r="G373" s="121" t="s">
        <v>22</v>
      </c>
      <c r="H37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A0369</v>
      </c>
      <c r="I37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B0369</v>
      </c>
      <c r="J373" s="122" t="s">
        <v>839</v>
      </c>
      <c r="K37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C0369</v>
      </c>
      <c r="L37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D0369</v>
      </c>
      <c r="M37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E0369</v>
      </c>
      <c r="N373" s="122" t="s">
        <v>73</v>
      </c>
      <c r="O373" s="126" t="n">
        <v>3500000</v>
      </c>
      <c r="P373" s="121" t="s">
        <v>18</v>
      </c>
      <c r="Q373" s="121" t="s">
        <v>124</v>
      </c>
      <c r="R373" s="127"/>
      <c r="T373" s="118"/>
    </row>
    <row r="374" customFormat="false" ht="12.75" hidden="false" customHeight="true" outlineLevel="0" collapsed="false">
      <c r="B374" s="119" t="n">
        <f aca="false">ROW()-4</f>
        <v>370</v>
      </c>
      <c r="C374" s="120" t="n">
        <f aca="false">COUNTIFS($D$5:D374,D374)</f>
        <v>233</v>
      </c>
      <c r="D374" s="121" t="s">
        <v>391</v>
      </c>
      <c r="E374" s="122" t="s">
        <v>840</v>
      </c>
      <c r="F374" s="123" t="n">
        <v>45419</v>
      </c>
      <c r="G374" s="121" t="s">
        <v>26</v>
      </c>
      <c r="H37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A0370</v>
      </c>
      <c r="I37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B0370</v>
      </c>
      <c r="J374" s="122" t="s">
        <v>841</v>
      </c>
      <c r="K37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C0370</v>
      </c>
      <c r="L37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D0370</v>
      </c>
      <c r="M37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E0370</v>
      </c>
      <c r="N374" s="122" t="s">
        <v>73</v>
      </c>
      <c r="O374" s="126" t="n">
        <v>3500000</v>
      </c>
      <c r="P374" s="121" t="s">
        <v>18</v>
      </c>
      <c r="Q374" s="121" t="s">
        <v>124</v>
      </c>
      <c r="R374" s="127"/>
      <c r="T374" s="118"/>
    </row>
    <row r="375" customFormat="false" ht="12.75" hidden="false" customHeight="true" outlineLevel="0" collapsed="false">
      <c r="B375" s="119" t="n">
        <f aca="false">ROW()-4</f>
        <v>371</v>
      </c>
      <c r="C375" s="120" t="n">
        <f aca="false">COUNTIFS($D$5:D375,D375)</f>
        <v>234</v>
      </c>
      <c r="D375" s="121" t="s">
        <v>391</v>
      </c>
      <c r="E375" s="122" t="s">
        <v>842</v>
      </c>
      <c r="F375" s="123" t="n">
        <v>45432</v>
      </c>
      <c r="G375" s="121" t="s">
        <v>24</v>
      </c>
      <c r="H37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A0371</v>
      </c>
      <c r="I37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B0371</v>
      </c>
      <c r="J375" s="122" t="s">
        <v>843</v>
      </c>
      <c r="K37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C0371</v>
      </c>
      <c r="L37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D0371</v>
      </c>
      <c r="M37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E0371</v>
      </c>
      <c r="N375" s="122" t="s">
        <v>73</v>
      </c>
      <c r="O375" s="126" t="n">
        <v>3500000</v>
      </c>
      <c r="P375" s="121" t="s">
        <v>18</v>
      </c>
      <c r="Q375" s="121" t="s">
        <v>124</v>
      </c>
      <c r="R375" s="127"/>
      <c r="T375" s="118"/>
    </row>
    <row r="376" customFormat="false" ht="12.75" hidden="false" customHeight="true" outlineLevel="0" collapsed="false">
      <c r="B376" s="119" t="n">
        <f aca="false">ROW()-4</f>
        <v>372</v>
      </c>
      <c r="C376" s="120" t="n">
        <f aca="false">COUNTIFS($D$5:D376,D376)</f>
        <v>235</v>
      </c>
      <c r="D376" s="121" t="s">
        <v>391</v>
      </c>
      <c r="E376" s="122" t="s">
        <v>844</v>
      </c>
      <c r="F376" s="123" t="n">
        <v>45376</v>
      </c>
      <c r="G376" s="121" t="s">
        <v>24</v>
      </c>
      <c r="H37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A0372</v>
      </c>
      <c r="I37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B0372</v>
      </c>
      <c r="J376" s="122" t="s">
        <v>845</v>
      </c>
      <c r="K37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C0372</v>
      </c>
      <c r="L37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D0372</v>
      </c>
      <c r="M37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E0372</v>
      </c>
      <c r="N376" s="122" t="s">
        <v>73</v>
      </c>
      <c r="O376" s="126" t="n">
        <v>3500000</v>
      </c>
      <c r="P376" s="121" t="s">
        <v>18</v>
      </c>
      <c r="Q376" s="121" t="s">
        <v>124</v>
      </c>
      <c r="R376" s="127"/>
      <c r="T376" s="118"/>
    </row>
    <row r="377" customFormat="false" ht="12.75" hidden="false" customHeight="true" outlineLevel="0" collapsed="false">
      <c r="B377" s="119" t="n">
        <f aca="false">ROW()-4</f>
        <v>373</v>
      </c>
      <c r="C377" s="120" t="n">
        <f aca="false">COUNTIFS($D$5:D377,D377)</f>
        <v>236</v>
      </c>
      <c r="D377" s="121" t="s">
        <v>391</v>
      </c>
      <c r="E377" s="122" t="s">
        <v>846</v>
      </c>
      <c r="F377" s="123" t="n">
        <v>45405</v>
      </c>
      <c r="G377" s="121" t="s">
        <v>22</v>
      </c>
      <c r="H37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A0373</v>
      </c>
      <c r="I37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B0373</v>
      </c>
      <c r="J377" s="122" t="s">
        <v>847</v>
      </c>
      <c r="K37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C0373</v>
      </c>
      <c r="L37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D0373</v>
      </c>
      <c r="M37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E0373</v>
      </c>
      <c r="N377" s="122" t="s">
        <v>73</v>
      </c>
      <c r="O377" s="126" t="n">
        <v>3500000</v>
      </c>
      <c r="P377" s="121" t="s">
        <v>18</v>
      </c>
      <c r="Q377" s="121" t="s">
        <v>124</v>
      </c>
      <c r="R377" s="127"/>
      <c r="T377" s="118"/>
    </row>
    <row r="378" customFormat="false" ht="12.75" hidden="false" customHeight="true" outlineLevel="0" collapsed="false">
      <c r="B378" s="119" t="n">
        <f aca="false">ROW()-4</f>
        <v>374</v>
      </c>
      <c r="C378" s="120" t="n">
        <f aca="false">COUNTIFS($D$5:D378,D378)</f>
        <v>237</v>
      </c>
      <c r="D378" s="121" t="s">
        <v>391</v>
      </c>
      <c r="E378" s="122" t="s">
        <v>848</v>
      </c>
      <c r="F378" s="123" t="n">
        <v>45414</v>
      </c>
      <c r="G378" s="121" t="s">
        <v>22</v>
      </c>
      <c r="H37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A0374</v>
      </c>
      <c r="I37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B0374</v>
      </c>
      <c r="J378" s="122" t="s">
        <v>849</v>
      </c>
      <c r="K37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C0374</v>
      </c>
      <c r="L37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D0374</v>
      </c>
      <c r="M37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E0374</v>
      </c>
      <c r="N378" s="122" t="s">
        <v>73</v>
      </c>
      <c r="O378" s="126" t="n">
        <v>3500000</v>
      </c>
      <c r="P378" s="121" t="s">
        <v>18</v>
      </c>
      <c r="Q378" s="121" t="s">
        <v>124</v>
      </c>
      <c r="R378" s="127"/>
      <c r="T378" s="118"/>
    </row>
    <row r="379" customFormat="false" ht="12.75" hidden="false" customHeight="true" outlineLevel="0" collapsed="false">
      <c r="B379" s="119" t="n">
        <f aca="false">ROW()-4</f>
        <v>375</v>
      </c>
      <c r="C379" s="120" t="n">
        <f aca="false">COUNTIFS($D$5:D379,D379)</f>
        <v>238</v>
      </c>
      <c r="D379" s="121" t="s">
        <v>391</v>
      </c>
      <c r="E379" s="122" t="s">
        <v>850</v>
      </c>
      <c r="F379" s="123" t="n">
        <v>45454</v>
      </c>
      <c r="G379" s="121" t="s">
        <v>24</v>
      </c>
      <c r="H37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A0375</v>
      </c>
      <c r="I37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B0375</v>
      </c>
      <c r="J379" s="122" t="s">
        <v>851</v>
      </c>
      <c r="K37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C0375</v>
      </c>
      <c r="L37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D0375</v>
      </c>
      <c r="M37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E0375</v>
      </c>
      <c r="N379" s="122" t="s">
        <v>73</v>
      </c>
      <c r="O379" s="126" t="n">
        <v>3500000</v>
      </c>
      <c r="P379" s="121" t="s">
        <v>18</v>
      </c>
      <c r="Q379" s="121" t="s">
        <v>124</v>
      </c>
      <c r="R379" s="127"/>
      <c r="T379" s="118"/>
    </row>
    <row r="380" customFormat="false" ht="12.75" hidden="false" customHeight="true" outlineLevel="0" collapsed="false">
      <c r="B380" s="119" t="n">
        <f aca="false">ROW()-4</f>
        <v>376</v>
      </c>
      <c r="C380" s="120" t="n">
        <f aca="false">COUNTIFS($D$5:D380,D380)</f>
        <v>239</v>
      </c>
      <c r="D380" s="121" t="s">
        <v>391</v>
      </c>
      <c r="E380" s="122" t="s">
        <v>852</v>
      </c>
      <c r="F380" s="123" t="n">
        <v>45763</v>
      </c>
      <c r="G380" s="121" t="s">
        <v>28</v>
      </c>
      <c r="H38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A0376</v>
      </c>
      <c r="I38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B0376</v>
      </c>
      <c r="J380" s="122" t="s">
        <v>853</v>
      </c>
      <c r="K38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C0376</v>
      </c>
      <c r="L38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D0376</v>
      </c>
      <c r="M38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E0376</v>
      </c>
      <c r="N380" s="122" t="s">
        <v>73</v>
      </c>
      <c r="O380" s="126" t="n">
        <v>3500000</v>
      </c>
      <c r="P380" s="121" t="s">
        <v>18</v>
      </c>
      <c r="Q380" s="121" t="s">
        <v>124</v>
      </c>
      <c r="R380" s="127"/>
      <c r="T380" s="118"/>
    </row>
    <row r="381" customFormat="false" ht="12.75" hidden="false" customHeight="true" outlineLevel="0" collapsed="false">
      <c r="B381" s="119" t="n">
        <f aca="false">ROW()-4</f>
        <v>377</v>
      </c>
      <c r="C381" s="120" t="n">
        <f aca="false">COUNTIFS($D$5:D381,D381)</f>
        <v>240</v>
      </c>
      <c r="D381" s="121" t="s">
        <v>391</v>
      </c>
      <c r="E381" s="122" t="s">
        <v>854</v>
      </c>
      <c r="F381" s="123" t="n">
        <v>45463</v>
      </c>
      <c r="G381" s="121" t="s">
        <v>24</v>
      </c>
      <c r="H38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A0377</v>
      </c>
      <c r="I38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B0377</v>
      </c>
      <c r="J381" s="122" t="s">
        <v>855</v>
      </c>
      <c r="K38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C0377</v>
      </c>
      <c r="L38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D0377</v>
      </c>
      <c r="M38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E0377</v>
      </c>
      <c r="N381" s="122" t="s">
        <v>73</v>
      </c>
      <c r="O381" s="126" t="n">
        <v>3500000</v>
      </c>
      <c r="P381" s="121" t="s">
        <v>18</v>
      </c>
      <c r="Q381" s="121" t="s">
        <v>124</v>
      </c>
      <c r="R381" s="127"/>
      <c r="T381" s="118"/>
    </row>
    <row r="382" customFormat="false" ht="12.75" hidden="false" customHeight="true" outlineLevel="0" collapsed="false">
      <c r="B382" s="119" t="n">
        <f aca="false">ROW()-4</f>
        <v>378</v>
      </c>
      <c r="C382" s="120" t="n">
        <f aca="false">COUNTIFS($D$5:D382,D382)</f>
        <v>241</v>
      </c>
      <c r="D382" s="121" t="s">
        <v>391</v>
      </c>
      <c r="E382" s="122" t="s">
        <v>856</v>
      </c>
      <c r="F382" s="123" t="n">
        <v>46041</v>
      </c>
      <c r="G382" s="121" t="s">
        <v>28</v>
      </c>
      <c r="H38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A0378</v>
      </c>
      <c r="I38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B0378</v>
      </c>
      <c r="J382" s="122" t="s">
        <v>857</v>
      </c>
      <c r="K38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C0378</v>
      </c>
      <c r="L38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D0378</v>
      </c>
      <c r="M38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E0378</v>
      </c>
      <c r="N382" s="122" t="s">
        <v>73</v>
      </c>
      <c r="O382" s="126" t="n">
        <v>3500000</v>
      </c>
      <c r="P382" s="121" t="s">
        <v>18</v>
      </c>
      <c r="Q382" s="121" t="s">
        <v>124</v>
      </c>
      <c r="R382" s="127"/>
      <c r="T382" s="118"/>
    </row>
    <row r="383" customFormat="false" ht="12.75" hidden="false" customHeight="true" outlineLevel="0" collapsed="false">
      <c r="B383" s="119" t="n">
        <f aca="false">ROW()-4</f>
        <v>379</v>
      </c>
      <c r="C383" s="120" t="n">
        <f aca="false">COUNTIFS($D$5:D383,D383)</f>
        <v>242</v>
      </c>
      <c r="D383" s="121" t="s">
        <v>391</v>
      </c>
      <c r="E383" s="122" t="s">
        <v>858</v>
      </c>
      <c r="F383" s="123" t="n">
        <v>45441</v>
      </c>
      <c r="G383" s="121" t="s">
        <v>30</v>
      </c>
      <c r="H38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A0379</v>
      </c>
      <c r="I38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B0379</v>
      </c>
      <c r="J383" s="122" t="s">
        <v>859</v>
      </c>
      <c r="K38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C0379</v>
      </c>
      <c r="L38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D0379</v>
      </c>
      <c r="M38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E0379</v>
      </c>
      <c r="N383" s="122" t="s">
        <v>73</v>
      </c>
      <c r="O383" s="126" t="n">
        <v>3500000</v>
      </c>
      <c r="P383" s="121" t="s">
        <v>18</v>
      </c>
      <c r="Q383" s="121" t="s">
        <v>124</v>
      </c>
      <c r="R383" s="127"/>
      <c r="T383" s="118"/>
    </row>
    <row r="384" customFormat="false" ht="12.75" hidden="false" customHeight="true" outlineLevel="0" collapsed="false">
      <c r="B384" s="119" t="n">
        <f aca="false">ROW()-4</f>
        <v>380</v>
      </c>
      <c r="C384" s="120" t="n">
        <f aca="false">COUNTIFS($D$5:D384,D384)</f>
        <v>243</v>
      </c>
      <c r="D384" s="121" t="s">
        <v>391</v>
      </c>
      <c r="E384" s="122" t="s">
        <v>860</v>
      </c>
      <c r="F384" s="123" t="n">
        <v>45441</v>
      </c>
      <c r="G384" s="121" t="s">
        <v>30</v>
      </c>
      <c r="H38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A0380</v>
      </c>
      <c r="I38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B0380</v>
      </c>
      <c r="J384" s="122" t="s">
        <v>861</v>
      </c>
      <c r="K38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C0380</v>
      </c>
      <c r="L38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D0380</v>
      </c>
      <c r="M38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E0380</v>
      </c>
      <c r="N384" s="122" t="s">
        <v>73</v>
      </c>
      <c r="O384" s="126" t="n">
        <v>3500000</v>
      </c>
      <c r="P384" s="121" t="s">
        <v>18</v>
      </c>
      <c r="Q384" s="121" t="s">
        <v>124</v>
      </c>
      <c r="R384" s="127"/>
      <c r="T384" s="118"/>
    </row>
    <row r="385" customFormat="false" ht="12.75" hidden="false" customHeight="true" outlineLevel="0" collapsed="false">
      <c r="B385" s="119" t="n">
        <f aca="false">ROW()-4</f>
        <v>381</v>
      </c>
      <c r="C385" s="120" t="n">
        <f aca="false">COUNTIFS($D$5:D385,D385)</f>
        <v>244</v>
      </c>
      <c r="D385" s="121" t="s">
        <v>391</v>
      </c>
      <c r="E385" s="122" t="s">
        <v>862</v>
      </c>
      <c r="F385" s="123" t="n">
        <v>45461</v>
      </c>
      <c r="G385" s="121" t="s">
        <v>30</v>
      </c>
      <c r="H38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A0381</v>
      </c>
      <c r="I38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B0381</v>
      </c>
      <c r="J385" s="124" t="s">
        <v>863</v>
      </c>
      <c r="K38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C0381</v>
      </c>
      <c r="L38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D0381</v>
      </c>
      <c r="M38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E0381</v>
      </c>
      <c r="N385" s="122" t="s">
        <v>73</v>
      </c>
      <c r="O385" s="126" t="n">
        <v>3500000</v>
      </c>
      <c r="P385" s="121" t="s">
        <v>18</v>
      </c>
      <c r="Q385" s="121" t="s">
        <v>124</v>
      </c>
      <c r="R385" s="127"/>
      <c r="T385" s="118"/>
    </row>
    <row r="386" customFormat="false" ht="12.75" hidden="false" customHeight="true" outlineLevel="0" collapsed="false">
      <c r="B386" s="119" t="n">
        <f aca="false">ROW()-4</f>
        <v>382</v>
      </c>
      <c r="C386" s="120" t="n">
        <f aca="false">COUNTIFS($D$5:D386,D386)</f>
        <v>245</v>
      </c>
      <c r="D386" s="121" t="s">
        <v>391</v>
      </c>
      <c r="E386" s="122" t="s">
        <v>864</v>
      </c>
      <c r="F386" s="123" t="n">
        <v>45454</v>
      </c>
      <c r="G386" s="121" t="s">
        <v>28</v>
      </c>
      <c r="H38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A0382</v>
      </c>
      <c r="I38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B0382</v>
      </c>
      <c r="J386" s="122" t="s">
        <v>865</v>
      </c>
      <c r="K38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C0382</v>
      </c>
      <c r="L38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D0382</v>
      </c>
      <c r="M38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E0382</v>
      </c>
      <c r="N386" s="122" t="s">
        <v>73</v>
      </c>
      <c r="O386" s="126" t="n">
        <v>3500000</v>
      </c>
      <c r="P386" s="121" t="s">
        <v>18</v>
      </c>
      <c r="Q386" s="121" t="s">
        <v>124</v>
      </c>
      <c r="R386" s="127"/>
      <c r="T386" s="118"/>
    </row>
    <row r="387" customFormat="false" ht="12.75" hidden="false" customHeight="true" outlineLevel="0" collapsed="false">
      <c r="B387" s="119" t="n">
        <f aca="false">ROW()-4</f>
        <v>383</v>
      </c>
      <c r="C387" s="120" t="n">
        <f aca="false">COUNTIFS($D$5:D387,D387)</f>
        <v>246</v>
      </c>
      <c r="D387" s="121" t="s">
        <v>391</v>
      </c>
      <c r="E387" s="122" t="s">
        <v>866</v>
      </c>
      <c r="F387" s="123" t="n">
        <v>45460</v>
      </c>
      <c r="G387" s="121" t="s">
        <v>22</v>
      </c>
      <c r="H38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A0383</v>
      </c>
      <c r="I38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B0383</v>
      </c>
      <c r="J387" s="122" t="s">
        <v>867</v>
      </c>
      <c r="K38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C0383</v>
      </c>
      <c r="L38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D0383</v>
      </c>
      <c r="M38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E0383</v>
      </c>
      <c r="N387" s="122" t="s">
        <v>73</v>
      </c>
      <c r="O387" s="126" t="n">
        <v>3500000</v>
      </c>
      <c r="P387" s="121" t="s">
        <v>18</v>
      </c>
      <c r="Q387" s="121" t="s">
        <v>124</v>
      </c>
      <c r="R387" s="127"/>
      <c r="T387" s="118"/>
    </row>
    <row r="388" customFormat="false" ht="12.75" hidden="false" customHeight="true" outlineLevel="0" collapsed="false">
      <c r="B388" s="119" t="n">
        <f aca="false">ROW()-4</f>
        <v>384</v>
      </c>
      <c r="C388" s="120" t="n">
        <f aca="false">COUNTIFS($D$5:D388,D388)</f>
        <v>247</v>
      </c>
      <c r="D388" s="121" t="s">
        <v>391</v>
      </c>
      <c r="E388" s="122" t="s">
        <v>868</v>
      </c>
      <c r="F388" s="123" t="n">
        <v>45861</v>
      </c>
      <c r="G388" s="121" t="s">
        <v>22</v>
      </c>
      <c r="H38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A0384</v>
      </c>
      <c r="I38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B0384</v>
      </c>
      <c r="J388" s="122" t="s">
        <v>869</v>
      </c>
      <c r="K38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C0384</v>
      </c>
      <c r="L38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D0384</v>
      </c>
      <c r="M38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E0384</v>
      </c>
      <c r="N388" s="122" t="s">
        <v>73</v>
      </c>
      <c r="O388" s="126" t="n">
        <v>3500000</v>
      </c>
      <c r="P388" s="121" t="s">
        <v>18</v>
      </c>
      <c r="Q388" s="121" t="s">
        <v>124</v>
      </c>
      <c r="R388" s="127"/>
      <c r="T388" s="118"/>
    </row>
    <row r="389" customFormat="false" ht="12.75" hidden="false" customHeight="true" outlineLevel="0" collapsed="false">
      <c r="B389" s="119" t="n">
        <f aca="false">ROW()-4</f>
        <v>385</v>
      </c>
      <c r="C389" s="120" t="n">
        <f aca="false">COUNTIFS($D$5:D389,D389)</f>
        <v>248</v>
      </c>
      <c r="D389" s="121" t="s">
        <v>391</v>
      </c>
      <c r="E389" s="122" t="s">
        <v>870</v>
      </c>
      <c r="F389" s="123" t="n">
        <v>45469</v>
      </c>
      <c r="G389" s="121" t="s">
        <v>26</v>
      </c>
      <c r="H38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A0385</v>
      </c>
      <c r="I38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B0385</v>
      </c>
      <c r="J389" s="122" t="s">
        <v>871</v>
      </c>
      <c r="K38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C0385</v>
      </c>
      <c r="L38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D0385</v>
      </c>
      <c r="M38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E0385</v>
      </c>
      <c r="N389" s="122" t="s">
        <v>73</v>
      </c>
      <c r="O389" s="126" t="n">
        <v>3500000</v>
      </c>
      <c r="P389" s="121" t="s">
        <v>18</v>
      </c>
      <c r="Q389" s="121" t="s">
        <v>124</v>
      </c>
      <c r="R389" s="127"/>
      <c r="T389" s="118"/>
    </row>
    <row r="390" customFormat="false" ht="12.75" hidden="false" customHeight="true" outlineLevel="0" collapsed="false">
      <c r="B390" s="119" t="n">
        <f aca="false">ROW()-4</f>
        <v>386</v>
      </c>
      <c r="C390" s="120" t="n">
        <f aca="false">COUNTIFS($D$5:D390,D390)</f>
        <v>249</v>
      </c>
      <c r="D390" s="121" t="s">
        <v>391</v>
      </c>
      <c r="E390" s="122" t="s">
        <v>872</v>
      </c>
      <c r="F390" s="123" t="n">
        <v>45490</v>
      </c>
      <c r="G390" s="121" t="s">
        <v>28</v>
      </c>
      <c r="H39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A0386</v>
      </c>
      <c r="I39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B0386</v>
      </c>
      <c r="J390" s="122" t="s">
        <v>873</v>
      </c>
      <c r="K39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C0386</v>
      </c>
      <c r="L39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D0386</v>
      </c>
      <c r="M39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E0386</v>
      </c>
      <c r="N390" s="122" t="s">
        <v>73</v>
      </c>
      <c r="O390" s="126" t="n">
        <v>3500000</v>
      </c>
      <c r="P390" s="121" t="s">
        <v>18</v>
      </c>
      <c r="Q390" s="121" t="s">
        <v>124</v>
      </c>
      <c r="R390" s="127"/>
      <c r="T390" s="118"/>
    </row>
    <row r="391" customFormat="false" ht="12.75" hidden="false" customHeight="true" outlineLevel="0" collapsed="false">
      <c r="B391" s="119" t="n">
        <f aca="false">ROW()-4</f>
        <v>387</v>
      </c>
      <c r="C391" s="120" t="n">
        <f aca="false">COUNTIFS($D$5:D391,D391)</f>
        <v>250</v>
      </c>
      <c r="D391" s="121" t="s">
        <v>391</v>
      </c>
      <c r="E391" s="122" t="s">
        <v>874</v>
      </c>
      <c r="F391" s="123" t="n">
        <v>45485</v>
      </c>
      <c r="G391" s="121" t="s">
        <v>30</v>
      </c>
      <c r="H39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A0387</v>
      </c>
      <c r="I39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B0387</v>
      </c>
      <c r="J391" s="122" t="s">
        <v>875</v>
      </c>
      <c r="K39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C0387</v>
      </c>
      <c r="L39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D0387</v>
      </c>
      <c r="M39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E0387</v>
      </c>
      <c r="N391" s="122" t="s">
        <v>73</v>
      </c>
      <c r="O391" s="126" t="n">
        <v>3500000</v>
      </c>
      <c r="P391" s="121" t="s">
        <v>18</v>
      </c>
      <c r="Q391" s="121" t="s">
        <v>124</v>
      </c>
      <c r="R391" s="127"/>
      <c r="T391" s="118"/>
    </row>
    <row r="392" customFormat="false" ht="12.75" hidden="false" customHeight="true" outlineLevel="0" collapsed="false">
      <c r="B392" s="119" t="n">
        <f aca="false">ROW()-4</f>
        <v>388</v>
      </c>
      <c r="C392" s="120" t="n">
        <f aca="false">COUNTIFS($D$5:D392,D392)</f>
        <v>251</v>
      </c>
      <c r="D392" s="121" t="s">
        <v>391</v>
      </c>
      <c r="E392" s="122" t="s">
        <v>876</v>
      </c>
      <c r="F392" s="123" t="n">
        <v>45485</v>
      </c>
      <c r="G392" s="121" t="s">
        <v>30</v>
      </c>
      <c r="H39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A0388</v>
      </c>
      <c r="I39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B0388</v>
      </c>
      <c r="J392" s="122" t="s">
        <v>877</v>
      </c>
      <c r="K39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C0388</v>
      </c>
      <c r="L39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D0388</v>
      </c>
      <c r="M39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E0388</v>
      </c>
      <c r="N392" s="122" t="s">
        <v>73</v>
      </c>
      <c r="O392" s="126" t="n">
        <v>3500000</v>
      </c>
      <c r="P392" s="121" t="s">
        <v>18</v>
      </c>
      <c r="Q392" s="121" t="s">
        <v>124</v>
      </c>
      <c r="R392" s="127"/>
      <c r="T392" s="118"/>
    </row>
    <row r="393" customFormat="false" ht="12.75" hidden="false" customHeight="true" outlineLevel="0" collapsed="false">
      <c r="B393" s="119" t="n">
        <f aca="false">ROW()-4</f>
        <v>389</v>
      </c>
      <c r="C393" s="120" t="n">
        <f aca="false">COUNTIFS($D$5:D393,D393)</f>
        <v>252</v>
      </c>
      <c r="D393" s="121" t="s">
        <v>391</v>
      </c>
      <c r="E393" s="122" t="s">
        <v>878</v>
      </c>
      <c r="F393" s="123" t="n">
        <v>45932</v>
      </c>
      <c r="G393" s="121" t="s">
        <v>30</v>
      </c>
      <c r="H39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A0389</v>
      </c>
      <c r="I39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B0389</v>
      </c>
      <c r="J393" s="122" t="s">
        <v>879</v>
      </c>
      <c r="K39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C0389</v>
      </c>
      <c r="L39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D0389</v>
      </c>
      <c r="M39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E0389</v>
      </c>
      <c r="N393" s="122" t="s">
        <v>73</v>
      </c>
      <c r="O393" s="126" t="n">
        <v>3500000</v>
      </c>
      <c r="P393" s="121" t="s">
        <v>18</v>
      </c>
      <c r="Q393" s="121" t="s">
        <v>124</v>
      </c>
      <c r="R393" s="127"/>
      <c r="T393" s="118"/>
    </row>
    <row r="394" customFormat="false" ht="12.75" hidden="false" customHeight="true" outlineLevel="0" collapsed="false">
      <c r="B394" s="119" t="n">
        <f aca="false">ROW()-4</f>
        <v>390</v>
      </c>
      <c r="C394" s="120" t="n">
        <f aca="false">COUNTIFS($D$5:D394,D394)</f>
        <v>253</v>
      </c>
      <c r="D394" s="121" t="s">
        <v>391</v>
      </c>
      <c r="E394" s="122" t="s">
        <v>880</v>
      </c>
      <c r="F394" s="123" t="n">
        <v>45471</v>
      </c>
      <c r="G394" s="121" t="s">
        <v>30</v>
      </c>
      <c r="H39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A0390</v>
      </c>
      <c r="I39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B0390</v>
      </c>
      <c r="J394" s="122" t="s">
        <v>881</v>
      </c>
      <c r="K39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C0390</v>
      </c>
      <c r="L39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D0390</v>
      </c>
      <c r="M39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E0390</v>
      </c>
      <c r="N394" s="122" t="s">
        <v>73</v>
      </c>
      <c r="O394" s="126" t="n">
        <v>3500000</v>
      </c>
      <c r="P394" s="121" t="s">
        <v>18</v>
      </c>
      <c r="Q394" s="121" t="s">
        <v>124</v>
      </c>
      <c r="R394" s="127"/>
      <c r="T394" s="118"/>
    </row>
    <row r="395" customFormat="false" ht="12.75" hidden="false" customHeight="true" outlineLevel="0" collapsed="false">
      <c r="B395" s="119" t="n">
        <f aca="false">ROW()-4</f>
        <v>391</v>
      </c>
      <c r="C395" s="120" t="n">
        <f aca="false">COUNTIFS($D$5:D395,D395)</f>
        <v>254</v>
      </c>
      <c r="D395" s="121" t="s">
        <v>391</v>
      </c>
      <c r="E395" s="122" t="s">
        <v>882</v>
      </c>
      <c r="F395" s="123"/>
      <c r="G395" s="121" t="s">
        <v>28</v>
      </c>
      <c r="H395" s="122"/>
      <c r="I395" s="122"/>
      <c r="J395" s="122"/>
      <c r="K395" s="122"/>
      <c r="L395" s="125"/>
      <c r="M39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E0391</v>
      </c>
      <c r="N395" s="122" t="s">
        <v>73</v>
      </c>
      <c r="O395" s="126" t="n">
        <v>3500000</v>
      </c>
      <c r="P395" s="121" t="s">
        <v>19</v>
      </c>
      <c r="Q395" s="122"/>
      <c r="R395" s="128" t="s">
        <v>61</v>
      </c>
      <c r="T395" s="118"/>
    </row>
    <row r="396" customFormat="false" ht="12.75" hidden="false" customHeight="true" outlineLevel="0" collapsed="false">
      <c r="B396" s="119" t="n">
        <f aca="false">ROW()-4</f>
        <v>392</v>
      </c>
      <c r="C396" s="120" t="n">
        <f aca="false">COUNTIFS($D$5:D396,D396)</f>
        <v>255</v>
      </c>
      <c r="D396" s="121" t="s">
        <v>391</v>
      </c>
      <c r="E396" s="122" t="s">
        <v>883</v>
      </c>
      <c r="F396" s="123" t="n">
        <v>46022</v>
      </c>
      <c r="G396" s="121" t="s">
        <v>24</v>
      </c>
      <c r="H39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A0392</v>
      </c>
      <c r="I39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B0392</v>
      </c>
      <c r="J396" s="122" t="s">
        <v>884</v>
      </c>
      <c r="K39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C0392</v>
      </c>
      <c r="L39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D0392</v>
      </c>
      <c r="M39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E0392</v>
      </c>
      <c r="N396" s="122" t="s">
        <v>73</v>
      </c>
      <c r="O396" s="126" t="n">
        <v>3500000</v>
      </c>
      <c r="P396" s="121" t="s">
        <v>18</v>
      </c>
      <c r="Q396" s="121" t="s">
        <v>124</v>
      </c>
      <c r="R396" s="127"/>
      <c r="T396" s="118"/>
    </row>
    <row r="397" customFormat="false" ht="12.75" hidden="false" customHeight="true" outlineLevel="0" collapsed="false">
      <c r="B397" s="119" t="n">
        <f aca="false">ROW()-4</f>
        <v>393</v>
      </c>
      <c r="C397" s="120" t="n">
        <f aca="false">COUNTIFS($D$5:D397,D397)</f>
        <v>256</v>
      </c>
      <c r="D397" s="121" t="s">
        <v>391</v>
      </c>
      <c r="E397" s="122" t="s">
        <v>885</v>
      </c>
      <c r="F397" s="123" t="n">
        <v>45468</v>
      </c>
      <c r="G397" s="121" t="s">
        <v>28</v>
      </c>
      <c r="H39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A0393</v>
      </c>
      <c r="I39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B0393</v>
      </c>
      <c r="J397" s="122" t="s">
        <v>886</v>
      </c>
      <c r="K39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C0393</v>
      </c>
      <c r="L39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D0393</v>
      </c>
      <c r="M39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E0393</v>
      </c>
      <c r="N397" s="122" t="s">
        <v>73</v>
      </c>
      <c r="O397" s="126" t="n">
        <v>3500000</v>
      </c>
      <c r="P397" s="121" t="s">
        <v>18</v>
      </c>
      <c r="Q397" s="121" t="s">
        <v>124</v>
      </c>
      <c r="R397" s="127"/>
      <c r="T397" s="118"/>
    </row>
    <row r="398" customFormat="false" ht="12.75" hidden="false" customHeight="true" outlineLevel="0" collapsed="false">
      <c r="B398" s="119" t="n">
        <f aca="false">ROW()-4</f>
        <v>394</v>
      </c>
      <c r="C398" s="120" t="n">
        <f aca="false">COUNTIFS($D$5:D398,D398)</f>
        <v>257</v>
      </c>
      <c r="D398" s="121" t="s">
        <v>391</v>
      </c>
      <c r="E398" s="122" t="s">
        <v>887</v>
      </c>
      <c r="F398" s="123" t="n">
        <v>45462</v>
      </c>
      <c r="G398" s="121" t="s">
        <v>28</v>
      </c>
      <c r="H39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A0394</v>
      </c>
      <c r="I39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B0394</v>
      </c>
      <c r="J398" s="122" t="s">
        <v>888</v>
      </c>
      <c r="K39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C0394</v>
      </c>
      <c r="L39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D0394</v>
      </c>
      <c r="M39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E0394</v>
      </c>
      <c r="N398" s="122" t="s">
        <v>73</v>
      </c>
      <c r="O398" s="126" t="n">
        <v>3500000</v>
      </c>
      <c r="P398" s="121" t="s">
        <v>18</v>
      </c>
      <c r="Q398" s="121" t="s">
        <v>124</v>
      </c>
      <c r="R398" s="127"/>
      <c r="T398" s="118"/>
    </row>
    <row r="399" customFormat="false" ht="12.75" hidden="false" customHeight="true" outlineLevel="0" collapsed="false">
      <c r="B399" s="119" t="n">
        <f aca="false">ROW()-4</f>
        <v>395</v>
      </c>
      <c r="C399" s="120" t="n">
        <f aca="false">COUNTIFS($D$5:D399,D399)</f>
        <v>258</v>
      </c>
      <c r="D399" s="121" t="s">
        <v>391</v>
      </c>
      <c r="E399" s="122" t="s">
        <v>889</v>
      </c>
      <c r="F399" s="123" t="n">
        <v>45916</v>
      </c>
      <c r="G399" s="121" t="s">
        <v>28</v>
      </c>
      <c r="H39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A0395</v>
      </c>
      <c r="I39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B0395</v>
      </c>
      <c r="J399" s="122" t="s">
        <v>890</v>
      </c>
      <c r="K39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C0395</v>
      </c>
      <c r="L39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D0395</v>
      </c>
      <c r="M39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E0395</v>
      </c>
      <c r="N399" s="122" t="s">
        <v>73</v>
      </c>
      <c r="O399" s="126" t="n">
        <v>3500000</v>
      </c>
      <c r="P399" s="121" t="s">
        <v>18</v>
      </c>
      <c r="Q399" s="121" t="s">
        <v>124</v>
      </c>
      <c r="R399" s="127"/>
      <c r="T399" s="118"/>
    </row>
    <row r="400" customFormat="false" ht="12.75" hidden="false" customHeight="true" outlineLevel="0" collapsed="false">
      <c r="B400" s="119" t="n">
        <f aca="false">ROW()-4</f>
        <v>396</v>
      </c>
      <c r="C400" s="120" t="n">
        <f aca="false">COUNTIFS($D$5:D400,D400)</f>
        <v>259</v>
      </c>
      <c r="D400" s="121" t="s">
        <v>391</v>
      </c>
      <c r="E400" s="122" t="s">
        <v>891</v>
      </c>
      <c r="F400" s="123" t="n">
        <v>45512</v>
      </c>
      <c r="G400" s="121" t="s">
        <v>26</v>
      </c>
      <c r="H40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A0396</v>
      </c>
      <c r="I40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B0396</v>
      </c>
      <c r="J400" s="122" t="s">
        <v>892</v>
      </c>
      <c r="K40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C0396</v>
      </c>
      <c r="L40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D0396</v>
      </c>
      <c r="M40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E0396</v>
      </c>
      <c r="N400" s="122" t="s">
        <v>73</v>
      </c>
      <c r="O400" s="126" t="n">
        <v>3500000</v>
      </c>
      <c r="P400" s="121" t="s">
        <v>18</v>
      </c>
      <c r="Q400" s="121" t="s">
        <v>124</v>
      </c>
      <c r="R400" s="127"/>
      <c r="T400" s="118"/>
    </row>
    <row r="401" customFormat="false" ht="12.75" hidden="false" customHeight="true" outlineLevel="0" collapsed="false">
      <c r="B401" s="119" t="n">
        <f aca="false">ROW()-4</f>
        <v>397</v>
      </c>
      <c r="C401" s="120" t="n">
        <f aca="false">COUNTIFS($D$5:D401,D401)</f>
        <v>260</v>
      </c>
      <c r="D401" s="121" t="s">
        <v>391</v>
      </c>
      <c r="E401" s="122" t="s">
        <v>893</v>
      </c>
      <c r="F401" s="123" t="n">
        <v>45511</v>
      </c>
      <c r="G401" s="121" t="s">
        <v>30</v>
      </c>
      <c r="H40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A0397</v>
      </c>
      <c r="I40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B0397</v>
      </c>
      <c r="J401" s="122" t="s">
        <v>894</v>
      </c>
      <c r="K40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C0397</v>
      </c>
      <c r="L40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D0397</v>
      </c>
      <c r="M40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E0397</v>
      </c>
      <c r="N401" s="122" t="s">
        <v>73</v>
      </c>
      <c r="O401" s="126" t="n">
        <v>3500000</v>
      </c>
      <c r="P401" s="121" t="s">
        <v>18</v>
      </c>
      <c r="Q401" s="121" t="s">
        <v>124</v>
      </c>
      <c r="R401" s="127"/>
      <c r="T401" s="118"/>
    </row>
    <row r="402" customFormat="false" ht="12.75" hidden="false" customHeight="true" outlineLevel="0" collapsed="false">
      <c r="B402" s="119" t="n">
        <f aca="false">ROW()-4</f>
        <v>398</v>
      </c>
      <c r="C402" s="120" t="n">
        <f aca="false">COUNTIFS($D$5:D402,D402)</f>
        <v>261</v>
      </c>
      <c r="D402" s="121" t="s">
        <v>391</v>
      </c>
      <c r="E402" s="122" t="s">
        <v>895</v>
      </c>
      <c r="F402" s="123" t="n">
        <v>45499</v>
      </c>
      <c r="G402" s="121" t="s">
        <v>22</v>
      </c>
      <c r="H40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A0398</v>
      </c>
      <c r="I40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B0398</v>
      </c>
      <c r="J402" s="122" t="s">
        <v>896</v>
      </c>
      <c r="K40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C0398</v>
      </c>
      <c r="L40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D0398</v>
      </c>
      <c r="M40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E0398</v>
      </c>
      <c r="N402" s="122" t="s">
        <v>73</v>
      </c>
      <c r="O402" s="126" t="n">
        <v>3500000</v>
      </c>
      <c r="P402" s="121" t="s">
        <v>18</v>
      </c>
      <c r="Q402" s="121" t="s">
        <v>124</v>
      </c>
      <c r="R402" s="127"/>
      <c r="T402" s="118"/>
    </row>
    <row r="403" customFormat="false" ht="12.75" hidden="false" customHeight="true" outlineLevel="0" collapsed="false">
      <c r="B403" s="119" t="n">
        <f aca="false">ROW()-4</f>
        <v>399</v>
      </c>
      <c r="C403" s="120" t="n">
        <f aca="false">COUNTIFS($D$5:D403,D403)</f>
        <v>262</v>
      </c>
      <c r="D403" s="121" t="s">
        <v>391</v>
      </c>
      <c r="E403" s="122" t="s">
        <v>897</v>
      </c>
      <c r="F403" s="123" t="n">
        <v>45511</v>
      </c>
      <c r="G403" s="121" t="s">
        <v>26</v>
      </c>
      <c r="H40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A0399</v>
      </c>
      <c r="I40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B0399</v>
      </c>
      <c r="J403" s="122" t="s">
        <v>898</v>
      </c>
      <c r="K40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C0399</v>
      </c>
      <c r="L40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D0399</v>
      </c>
      <c r="M40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E0399</v>
      </c>
      <c r="N403" s="122" t="s">
        <v>73</v>
      </c>
      <c r="O403" s="126" t="n">
        <v>3500000</v>
      </c>
      <c r="P403" s="121" t="s">
        <v>18</v>
      </c>
      <c r="Q403" s="121" t="s">
        <v>124</v>
      </c>
      <c r="R403" s="127"/>
      <c r="T403" s="118"/>
    </row>
    <row r="404" customFormat="false" ht="12.75" hidden="false" customHeight="true" outlineLevel="0" collapsed="false">
      <c r="B404" s="119" t="n">
        <f aca="false">ROW()-4</f>
        <v>400</v>
      </c>
      <c r="C404" s="120" t="n">
        <f aca="false">COUNTIFS($D$5:D404,D404)</f>
        <v>263</v>
      </c>
      <c r="D404" s="121" t="s">
        <v>391</v>
      </c>
      <c r="E404" s="122" t="s">
        <v>899</v>
      </c>
      <c r="F404" s="123" t="n">
        <v>45852</v>
      </c>
      <c r="G404" s="121" t="s">
        <v>28</v>
      </c>
      <c r="H40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A0400</v>
      </c>
      <c r="I40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B0400</v>
      </c>
      <c r="J404" s="122" t="s">
        <v>900</v>
      </c>
      <c r="K40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C0400</v>
      </c>
      <c r="L40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D0400</v>
      </c>
      <c r="M40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E0400</v>
      </c>
      <c r="N404" s="122" t="s">
        <v>73</v>
      </c>
      <c r="O404" s="126" t="n">
        <v>3500000</v>
      </c>
      <c r="P404" s="121" t="s">
        <v>18</v>
      </c>
      <c r="Q404" s="121" t="s">
        <v>124</v>
      </c>
      <c r="R404" s="127"/>
      <c r="T404" s="118"/>
    </row>
    <row r="405" customFormat="false" ht="12.75" hidden="false" customHeight="true" outlineLevel="0" collapsed="false">
      <c r="B405" s="119" t="n">
        <f aca="false">ROW()-4</f>
        <v>401</v>
      </c>
      <c r="C405" s="120" t="n">
        <f aca="false">COUNTIFS($D$5:D405,D405)</f>
        <v>264</v>
      </c>
      <c r="D405" s="121" t="s">
        <v>391</v>
      </c>
      <c r="E405" s="122" t="s">
        <v>901</v>
      </c>
      <c r="F405" s="123" t="n">
        <v>45498</v>
      </c>
      <c r="G405" s="121" t="s">
        <v>28</v>
      </c>
      <c r="H40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A0401</v>
      </c>
      <c r="I40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B0401</v>
      </c>
      <c r="J405" s="122" t="s">
        <v>902</v>
      </c>
      <c r="K40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C0401</v>
      </c>
      <c r="L40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D0401</v>
      </c>
      <c r="M40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E0401</v>
      </c>
      <c r="N405" s="122" t="s">
        <v>73</v>
      </c>
      <c r="O405" s="126" t="n">
        <v>3500000</v>
      </c>
      <c r="P405" s="121" t="s">
        <v>18</v>
      </c>
      <c r="Q405" s="121" t="s">
        <v>124</v>
      </c>
      <c r="R405" s="127"/>
      <c r="T405" s="118"/>
    </row>
    <row r="406" customFormat="false" ht="12.75" hidden="false" customHeight="true" outlineLevel="0" collapsed="false">
      <c r="B406" s="119" t="n">
        <f aca="false">ROW()-4</f>
        <v>402</v>
      </c>
      <c r="C406" s="120" t="n">
        <f aca="false">COUNTIFS($D$5:D406,D406)</f>
        <v>265</v>
      </c>
      <c r="D406" s="121" t="s">
        <v>391</v>
      </c>
      <c r="E406" s="122" t="s">
        <v>903</v>
      </c>
      <c r="F406" s="123" t="n">
        <v>45541</v>
      </c>
      <c r="G406" s="121" t="s">
        <v>30</v>
      </c>
      <c r="H40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A0402</v>
      </c>
      <c r="I40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B0402</v>
      </c>
      <c r="J406" s="122" t="s">
        <v>904</v>
      </c>
      <c r="K40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C0402</v>
      </c>
      <c r="L40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D0402</v>
      </c>
      <c r="M40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E0402</v>
      </c>
      <c r="N406" s="122" t="s">
        <v>73</v>
      </c>
      <c r="O406" s="126" t="n">
        <v>3500000</v>
      </c>
      <c r="P406" s="121" t="s">
        <v>18</v>
      </c>
      <c r="Q406" s="121" t="s">
        <v>124</v>
      </c>
      <c r="R406" s="127"/>
      <c r="T406" s="118"/>
    </row>
    <row r="407" customFormat="false" ht="12.75" hidden="false" customHeight="true" outlineLevel="0" collapsed="false">
      <c r="B407" s="140" t="n">
        <f aca="false">ROW()-4</f>
        <v>403</v>
      </c>
      <c r="C407" s="141" t="n">
        <f aca="false">COUNTIFS($D$5:D407,D407)</f>
        <v>266</v>
      </c>
      <c r="D407" s="142" t="s">
        <v>391</v>
      </c>
      <c r="E407" s="143" t="s">
        <v>905</v>
      </c>
      <c r="F407" s="144" t="n">
        <v>46062</v>
      </c>
      <c r="G407" s="142" t="s">
        <v>28</v>
      </c>
      <c r="H407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A0403</v>
      </c>
      <c r="I407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B0403</v>
      </c>
      <c r="J407" s="143" t="s">
        <v>906</v>
      </c>
      <c r="K407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C0403</v>
      </c>
      <c r="L407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D0403</v>
      </c>
      <c r="M407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E0403</v>
      </c>
      <c r="N407" s="143" t="s">
        <v>73</v>
      </c>
      <c r="O407" s="146" t="n">
        <v>3500000</v>
      </c>
      <c r="P407" s="142" t="s">
        <v>907</v>
      </c>
      <c r="Q407" s="143" t="s">
        <v>908</v>
      </c>
      <c r="R407" s="147"/>
      <c r="T407" s="118"/>
    </row>
    <row r="408" customFormat="false" ht="12.75" hidden="false" customHeight="true" outlineLevel="0" collapsed="false">
      <c r="B408" s="119" t="n">
        <f aca="false">ROW()-4</f>
        <v>404</v>
      </c>
      <c r="C408" s="120" t="n">
        <f aca="false">COUNTIFS($D$5:D408,D408)</f>
        <v>267</v>
      </c>
      <c r="D408" s="121" t="s">
        <v>391</v>
      </c>
      <c r="E408" s="122" t="s">
        <v>909</v>
      </c>
      <c r="F408" s="123" t="n">
        <v>45971</v>
      </c>
      <c r="G408" s="121" t="s">
        <v>28</v>
      </c>
      <c r="H40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A0404</v>
      </c>
      <c r="I40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B0404</v>
      </c>
      <c r="J408" s="122" t="s">
        <v>910</v>
      </c>
      <c r="K40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C0404</v>
      </c>
      <c r="L40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D0404</v>
      </c>
      <c r="M40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E0404</v>
      </c>
      <c r="N408" s="122" t="s">
        <v>73</v>
      </c>
      <c r="O408" s="126" t="n">
        <v>3500000</v>
      </c>
      <c r="P408" s="121" t="s">
        <v>18</v>
      </c>
      <c r="Q408" s="121" t="s">
        <v>124</v>
      </c>
      <c r="R408" s="127"/>
      <c r="T408" s="118"/>
    </row>
    <row r="409" customFormat="false" ht="12.75" hidden="false" customHeight="true" outlineLevel="0" collapsed="false">
      <c r="B409" s="119" t="n">
        <f aca="false">ROW()-4</f>
        <v>405</v>
      </c>
      <c r="C409" s="120" t="n">
        <f aca="false">COUNTIFS($D$5:D409,D409)</f>
        <v>268</v>
      </c>
      <c r="D409" s="121" t="s">
        <v>391</v>
      </c>
      <c r="E409" s="122" t="s">
        <v>911</v>
      </c>
      <c r="F409" s="123" t="n">
        <v>45720</v>
      </c>
      <c r="G409" s="121" t="s">
        <v>24</v>
      </c>
      <c r="H40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A0405</v>
      </c>
      <c r="I40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B0405</v>
      </c>
      <c r="J409" s="122" t="s">
        <v>912</v>
      </c>
      <c r="K40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C0405</v>
      </c>
      <c r="L40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D0405</v>
      </c>
      <c r="M40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E0405</v>
      </c>
      <c r="N409" s="122" t="s">
        <v>73</v>
      </c>
      <c r="O409" s="126" t="n">
        <v>3500000</v>
      </c>
      <c r="P409" s="121" t="s">
        <v>18</v>
      </c>
      <c r="Q409" s="121" t="s">
        <v>124</v>
      </c>
      <c r="R409" s="127"/>
      <c r="T409" s="118"/>
    </row>
    <row r="410" customFormat="false" ht="12.75" hidden="false" customHeight="true" outlineLevel="0" collapsed="false">
      <c r="B410" s="119" t="n">
        <f aca="false">ROW()-4</f>
        <v>406</v>
      </c>
      <c r="C410" s="120" t="n">
        <f aca="false">COUNTIFS($D$5:D410,D410)</f>
        <v>269</v>
      </c>
      <c r="D410" s="121" t="s">
        <v>391</v>
      </c>
      <c r="E410" s="122" t="s">
        <v>913</v>
      </c>
      <c r="F410" s="123" t="n">
        <v>45435</v>
      </c>
      <c r="G410" s="121" t="s">
        <v>30</v>
      </c>
      <c r="H41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A0406</v>
      </c>
      <c r="I41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B0406</v>
      </c>
      <c r="J410" s="122" t="s">
        <v>914</v>
      </c>
      <c r="K41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C0406</v>
      </c>
      <c r="L41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D0406</v>
      </c>
      <c r="M41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E0406</v>
      </c>
      <c r="N410" s="122" t="s">
        <v>73</v>
      </c>
      <c r="O410" s="126" t="n">
        <v>3500000</v>
      </c>
      <c r="P410" s="121" t="s">
        <v>18</v>
      </c>
      <c r="Q410" s="121" t="s">
        <v>124</v>
      </c>
      <c r="R410" s="127"/>
      <c r="T410" s="118"/>
    </row>
    <row r="411" customFormat="false" ht="12.75" hidden="false" customHeight="true" outlineLevel="0" collapsed="false">
      <c r="B411" s="119" t="n">
        <f aca="false">ROW()-4</f>
        <v>407</v>
      </c>
      <c r="C411" s="120" t="n">
        <f aca="false">COUNTIFS($D$5:D411,D411)</f>
        <v>270</v>
      </c>
      <c r="D411" s="121" t="s">
        <v>391</v>
      </c>
      <c r="E411" s="122" t="s">
        <v>915</v>
      </c>
      <c r="F411" s="123" t="n">
        <v>45558</v>
      </c>
      <c r="G411" s="121" t="s">
        <v>22</v>
      </c>
      <c r="H41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A0407</v>
      </c>
      <c r="I41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B0407</v>
      </c>
      <c r="J411" s="122" t="s">
        <v>916</v>
      </c>
      <c r="K41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C0407</v>
      </c>
      <c r="L41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D0407</v>
      </c>
      <c r="M41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E0407</v>
      </c>
      <c r="N411" s="122" t="s">
        <v>73</v>
      </c>
      <c r="O411" s="126" t="n">
        <v>3500000</v>
      </c>
      <c r="P411" s="121" t="s">
        <v>18</v>
      </c>
      <c r="Q411" s="121" t="s">
        <v>124</v>
      </c>
      <c r="R411" s="127"/>
      <c r="T411" s="118"/>
    </row>
    <row r="412" customFormat="false" ht="12.75" hidden="false" customHeight="true" outlineLevel="0" collapsed="false">
      <c r="B412" s="119" t="n">
        <f aca="false">ROW()-4</f>
        <v>408</v>
      </c>
      <c r="C412" s="120" t="n">
        <f aca="false">COUNTIFS($D$5:D412,D412)</f>
        <v>271</v>
      </c>
      <c r="D412" s="121" t="s">
        <v>391</v>
      </c>
      <c r="E412" s="122" t="s">
        <v>917</v>
      </c>
      <c r="F412" s="123" t="n">
        <v>45558</v>
      </c>
      <c r="G412" s="121" t="s">
        <v>22</v>
      </c>
      <c r="H41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A0408</v>
      </c>
      <c r="I41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B0408</v>
      </c>
      <c r="J412" s="122" t="s">
        <v>918</v>
      </c>
      <c r="K41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C0408</v>
      </c>
      <c r="L41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D0408</v>
      </c>
      <c r="M41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E0408</v>
      </c>
      <c r="N412" s="122" t="s">
        <v>73</v>
      </c>
      <c r="O412" s="126" t="n">
        <v>3500000</v>
      </c>
      <c r="P412" s="121" t="s">
        <v>18</v>
      </c>
      <c r="Q412" s="121" t="s">
        <v>124</v>
      </c>
      <c r="R412" s="127"/>
      <c r="T412" s="118"/>
    </row>
    <row r="413" customFormat="false" ht="12.75" hidden="false" customHeight="true" outlineLevel="0" collapsed="false">
      <c r="B413" s="119" t="n">
        <f aca="false">ROW()-4</f>
        <v>409</v>
      </c>
      <c r="C413" s="120" t="n">
        <f aca="false">COUNTIFS($D$5:D413,D413)</f>
        <v>272</v>
      </c>
      <c r="D413" s="121" t="s">
        <v>391</v>
      </c>
      <c r="E413" s="122" t="s">
        <v>919</v>
      </c>
      <c r="F413" s="123" t="n">
        <v>45562</v>
      </c>
      <c r="G413" s="121" t="s">
        <v>30</v>
      </c>
      <c r="H41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A0409</v>
      </c>
      <c r="I41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B0409</v>
      </c>
      <c r="J413" s="122" t="s">
        <v>920</v>
      </c>
      <c r="K41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C0409</v>
      </c>
      <c r="L41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D0409</v>
      </c>
      <c r="M41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E0409</v>
      </c>
      <c r="N413" s="122" t="s">
        <v>73</v>
      </c>
      <c r="O413" s="126" t="n">
        <v>3500000</v>
      </c>
      <c r="P413" s="121" t="s">
        <v>18</v>
      </c>
      <c r="Q413" s="121" t="s">
        <v>124</v>
      </c>
      <c r="R413" s="127"/>
      <c r="T413" s="118"/>
    </row>
    <row r="414" customFormat="false" ht="12.75" hidden="false" customHeight="true" outlineLevel="0" collapsed="false">
      <c r="B414" s="119" t="n">
        <f aca="false">ROW()-4</f>
        <v>410</v>
      </c>
      <c r="C414" s="120" t="n">
        <f aca="false">COUNTIFS($D$5:D414,D414)</f>
        <v>273</v>
      </c>
      <c r="D414" s="121" t="s">
        <v>391</v>
      </c>
      <c r="E414" s="122" t="s">
        <v>921</v>
      </c>
      <c r="F414" s="123"/>
      <c r="G414" s="121" t="s">
        <v>26</v>
      </c>
      <c r="H414" s="122"/>
      <c r="I414" s="122"/>
      <c r="J414" s="122"/>
      <c r="K414" s="122"/>
      <c r="L414" s="125"/>
      <c r="M41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E0410</v>
      </c>
      <c r="N414" s="122" t="s">
        <v>73</v>
      </c>
      <c r="O414" s="126" t="n">
        <v>3500000</v>
      </c>
      <c r="P414" s="121" t="s">
        <v>19</v>
      </c>
      <c r="Q414" s="122"/>
      <c r="R414" s="128" t="s">
        <v>61</v>
      </c>
      <c r="T414" s="118"/>
    </row>
    <row r="415" customFormat="false" ht="12.75" hidden="false" customHeight="true" outlineLevel="0" collapsed="false">
      <c r="B415" s="119" t="n">
        <f aca="false">ROW()-4</f>
        <v>411</v>
      </c>
      <c r="C415" s="120" t="n">
        <f aca="false">COUNTIFS($D$5:D415,D415)</f>
        <v>274</v>
      </c>
      <c r="D415" s="121" t="s">
        <v>391</v>
      </c>
      <c r="E415" s="122" t="s">
        <v>922</v>
      </c>
      <c r="F415" s="123" t="n">
        <v>45604</v>
      </c>
      <c r="G415" s="121" t="s">
        <v>26</v>
      </c>
      <c r="H41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A0411</v>
      </c>
      <c r="I41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B0411</v>
      </c>
      <c r="J415" s="122" t="s">
        <v>923</v>
      </c>
      <c r="K41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C0411</v>
      </c>
      <c r="L41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D0411</v>
      </c>
      <c r="M41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E0411</v>
      </c>
      <c r="N415" s="122" t="s">
        <v>73</v>
      </c>
      <c r="O415" s="126" t="n">
        <v>3500000</v>
      </c>
      <c r="P415" s="121" t="s">
        <v>18</v>
      </c>
      <c r="Q415" s="121" t="s">
        <v>124</v>
      </c>
      <c r="R415" s="127"/>
      <c r="T415" s="118"/>
    </row>
    <row r="416" customFormat="false" ht="12.75" hidden="false" customHeight="true" outlineLevel="0" collapsed="false">
      <c r="B416" s="119" t="n">
        <f aca="false">ROW()-4</f>
        <v>412</v>
      </c>
      <c r="C416" s="120" t="n">
        <f aca="false">COUNTIFS($D$5:D416,D416)</f>
        <v>275</v>
      </c>
      <c r="D416" s="121" t="s">
        <v>391</v>
      </c>
      <c r="E416" s="122" t="s">
        <v>924</v>
      </c>
      <c r="F416" s="123" t="n">
        <v>45569</v>
      </c>
      <c r="G416" s="121" t="s">
        <v>22</v>
      </c>
      <c r="H41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A0412</v>
      </c>
      <c r="I41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B0412</v>
      </c>
      <c r="J416" s="122" t="s">
        <v>925</v>
      </c>
      <c r="K41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C0412</v>
      </c>
      <c r="L41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D0412</v>
      </c>
      <c r="M41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E0412</v>
      </c>
      <c r="N416" s="122" t="s">
        <v>73</v>
      </c>
      <c r="O416" s="126" t="n">
        <v>3500000</v>
      </c>
      <c r="P416" s="121" t="s">
        <v>18</v>
      </c>
      <c r="Q416" s="121" t="s">
        <v>124</v>
      </c>
      <c r="R416" s="127"/>
      <c r="T416" s="118"/>
    </row>
    <row r="417" customFormat="false" ht="12.75" hidden="false" customHeight="true" outlineLevel="0" collapsed="false">
      <c r="B417" s="119" t="n">
        <f aca="false">ROW()-4</f>
        <v>413</v>
      </c>
      <c r="C417" s="120" t="n">
        <f aca="false">COUNTIFS($D$5:D417,D417)</f>
        <v>276</v>
      </c>
      <c r="D417" s="121" t="s">
        <v>391</v>
      </c>
      <c r="E417" s="122" t="s">
        <v>926</v>
      </c>
      <c r="F417" s="123" t="n">
        <v>45569</v>
      </c>
      <c r="G417" s="121" t="s">
        <v>22</v>
      </c>
      <c r="H41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A0413</v>
      </c>
      <c r="I41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B0413</v>
      </c>
      <c r="J417" s="122" t="s">
        <v>927</v>
      </c>
      <c r="K41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C0413</v>
      </c>
      <c r="L41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D0413</v>
      </c>
      <c r="M41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E0413</v>
      </c>
      <c r="N417" s="122" t="s">
        <v>73</v>
      </c>
      <c r="O417" s="126" t="n">
        <v>3500000</v>
      </c>
      <c r="P417" s="121" t="s">
        <v>18</v>
      </c>
      <c r="Q417" s="121" t="s">
        <v>124</v>
      </c>
      <c r="R417" s="127"/>
      <c r="T417" s="118"/>
    </row>
    <row r="418" customFormat="false" ht="12.75" hidden="false" customHeight="true" outlineLevel="0" collapsed="false">
      <c r="B418" s="119" t="n">
        <f aca="false">ROW()-4</f>
        <v>414</v>
      </c>
      <c r="C418" s="120" t="n">
        <f aca="false">COUNTIFS($D$5:D418,D418)</f>
        <v>277</v>
      </c>
      <c r="D418" s="121" t="s">
        <v>391</v>
      </c>
      <c r="E418" s="122" t="s">
        <v>928</v>
      </c>
      <c r="F418" s="123"/>
      <c r="G418" s="121" t="s">
        <v>210</v>
      </c>
      <c r="H418" s="122"/>
      <c r="I418" s="122"/>
      <c r="J418" s="122"/>
      <c r="K418" s="122"/>
      <c r="L418" s="125"/>
      <c r="M41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E0414</v>
      </c>
      <c r="N418" s="122" t="s">
        <v>73</v>
      </c>
      <c r="O418" s="126" t="n">
        <v>3500000</v>
      </c>
      <c r="P418" s="121" t="s">
        <v>19</v>
      </c>
      <c r="Q418" s="122"/>
      <c r="R418" s="128" t="s">
        <v>59</v>
      </c>
      <c r="T418" s="118"/>
    </row>
    <row r="419" customFormat="false" ht="12.75" hidden="false" customHeight="true" outlineLevel="0" collapsed="false">
      <c r="B419" s="119" t="n">
        <f aca="false">ROW()-4</f>
        <v>415</v>
      </c>
      <c r="C419" s="120" t="n">
        <f aca="false">COUNTIFS($D$5:D419,D419)</f>
        <v>278</v>
      </c>
      <c r="D419" s="121" t="s">
        <v>391</v>
      </c>
      <c r="E419" s="122" t="s">
        <v>929</v>
      </c>
      <c r="F419" s="123" t="n">
        <v>45562</v>
      </c>
      <c r="G419" s="121" t="s">
        <v>22</v>
      </c>
      <c r="H41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A0415</v>
      </c>
      <c r="I41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B0415</v>
      </c>
      <c r="J419" s="122" t="s">
        <v>930</v>
      </c>
      <c r="K41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C0415</v>
      </c>
      <c r="L41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D0415</v>
      </c>
      <c r="M41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E0415</v>
      </c>
      <c r="N419" s="122" t="s">
        <v>73</v>
      </c>
      <c r="O419" s="126" t="n">
        <v>3500000</v>
      </c>
      <c r="P419" s="121" t="s">
        <v>18</v>
      </c>
      <c r="Q419" s="121" t="s">
        <v>124</v>
      </c>
      <c r="R419" s="127"/>
      <c r="T419" s="118"/>
    </row>
    <row r="420" customFormat="false" ht="12.75" hidden="false" customHeight="true" outlineLevel="0" collapsed="false">
      <c r="B420" s="119" t="n">
        <f aca="false">ROW()-4</f>
        <v>416</v>
      </c>
      <c r="C420" s="120" t="n">
        <f aca="false">COUNTIFS($D$5:D420,D420)</f>
        <v>279</v>
      </c>
      <c r="D420" s="121" t="s">
        <v>391</v>
      </c>
      <c r="E420" s="122" t="s">
        <v>931</v>
      </c>
      <c r="F420" s="123" t="n">
        <v>45575</v>
      </c>
      <c r="G420" s="121" t="s">
        <v>28</v>
      </c>
      <c r="H42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A0416</v>
      </c>
      <c r="I42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B0416</v>
      </c>
      <c r="J420" s="124" t="s">
        <v>932</v>
      </c>
      <c r="K42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C0416</v>
      </c>
      <c r="L42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D0416</v>
      </c>
      <c r="M42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E0416</v>
      </c>
      <c r="N420" s="122" t="s">
        <v>73</v>
      </c>
      <c r="O420" s="126" t="n">
        <v>3500000</v>
      </c>
      <c r="P420" s="121" t="s">
        <v>18</v>
      </c>
      <c r="Q420" s="121" t="s">
        <v>124</v>
      </c>
      <c r="R420" s="127"/>
      <c r="T420" s="118"/>
    </row>
    <row r="421" customFormat="false" ht="12.75" hidden="false" customHeight="true" outlineLevel="0" collapsed="false">
      <c r="B421" s="119" t="n">
        <f aca="false">ROW()-4</f>
        <v>417</v>
      </c>
      <c r="C421" s="120" t="n">
        <f aca="false">COUNTIFS($D$5:D421,D421)</f>
        <v>280</v>
      </c>
      <c r="D421" s="121" t="s">
        <v>391</v>
      </c>
      <c r="E421" s="122" t="s">
        <v>933</v>
      </c>
      <c r="F421" s="123" t="n">
        <v>46022</v>
      </c>
      <c r="G421" s="121" t="s">
        <v>22</v>
      </c>
      <c r="H42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A0417</v>
      </c>
      <c r="I42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B0417</v>
      </c>
      <c r="J421" s="122" t="s">
        <v>934</v>
      </c>
      <c r="K42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C0417</v>
      </c>
      <c r="L42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D0417</v>
      </c>
      <c r="M42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E0417</v>
      </c>
      <c r="N421" s="122" t="s">
        <v>73</v>
      </c>
      <c r="O421" s="126" t="n">
        <v>3500000</v>
      </c>
      <c r="P421" s="121" t="s">
        <v>18</v>
      </c>
      <c r="Q421" s="121" t="s">
        <v>124</v>
      </c>
      <c r="R421" s="127"/>
      <c r="T421" s="118"/>
    </row>
    <row r="422" customFormat="false" ht="12.75" hidden="false" customHeight="true" outlineLevel="0" collapsed="false">
      <c r="B422" s="119" t="n">
        <f aca="false">ROW()-4</f>
        <v>418</v>
      </c>
      <c r="C422" s="120" t="n">
        <f aca="false">COUNTIFS($D$5:D422,D422)</f>
        <v>281</v>
      </c>
      <c r="D422" s="121" t="s">
        <v>391</v>
      </c>
      <c r="E422" s="122" t="s">
        <v>935</v>
      </c>
      <c r="F422" s="123" t="n">
        <v>45596</v>
      </c>
      <c r="G422" s="121" t="s">
        <v>24</v>
      </c>
      <c r="H42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A0418</v>
      </c>
      <c r="I42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B0418</v>
      </c>
      <c r="J422" s="122" t="s">
        <v>936</v>
      </c>
      <c r="K42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C0418</v>
      </c>
      <c r="L42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D0418</v>
      </c>
      <c r="M42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E0418</v>
      </c>
      <c r="N422" s="122" t="s">
        <v>73</v>
      </c>
      <c r="O422" s="126" t="n">
        <v>3500000</v>
      </c>
      <c r="P422" s="121" t="s">
        <v>18</v>
      </c>
      <c r="Q422" s="121" t="s">
        <v>124</v>
      </c>
      <c r="R422" s="127"/>
      <c r="T422" s="118"/>
    </row>
    <row r="423" customFormat="false" ht="12.75" hidden="false" customHeight="true" outlineLevel="0" collapsed="false">
      <c r="B423" s="119" t="n">
        <f aca="false">ROW()-4</f>
        <v>419</v>
      </c>
      <c r="C423" s="120" t="n">
        <f aca="false">COUNTIFS($D$5:D423,D423)</f>
        <v>282</v>
      </c>
      <c r="D423" s="121" t="s">
        <v>391</v>
      </c>
      <c r="E423" s="122" t="s">
        <v>937</v>
      </c>
      <c r="F423" s="123" t="n">
        <v>45610</v>
      </c>
      <c r="G423" s="121" t="s">
        <v>26</v>
      </c>
      <c r="H42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A0419</v>
      </c>
      <c r="I42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B0419</v>
      </c>
      <c r="J423" s="122" t="s">
        <v>938</v>
      </c>
      <c r="K42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C0419</v>
      </c>
      <c r="L42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D0419</v>
      </c>
      <c r="M42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E0419</v>
      </c>
      <c r="N423" s="122" t="s">
        <v>73</v>
      </c>
      <c r="O423" s="126" t="n">
        <v>3500000</v>
      </c>
      <c r="P423" s="121" t="s">
        <v>18</v>
      </c>
      <c r="Q423" s="121" t="s">
        <v>124</v>
      </c>
      <c r="R423" s="127"/>
      <c r="T423" s="118"/>
    </row>
    <row r="424" customFormat="false" ht="12.75" hidden="false" customHeight="true" outlineLevel="0" collapsed="false">
      <c r="B424" s="119" t="n">
        <f aca="false">ROW()-4</f>
        <v>420</v>
      </c>
      <c r="C424" s="120" t="n">
        <f aca="false">COUNTIFS($D$5:D424,D424)</f>
        <v>283</v>
      </c>
      <c r="D424" s="121" t="s">
        <v>391</v>
      </c>
      <c r="E424" s="122" t="s">
        <v>939</v>
      </c>
      <c r="F424" s="123" t="n">
        <v>45622</v>
      </c>
      <c r="G424" s="121" t="s">
        <v>26</v>
      </c>
      <c r="H42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A0420</v>
      </c>
      <c r="I42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B0420</v>
      </c>
      <c r="J424" s="122" t="s">
        <v>940</v>
      </c>
      <c r="K42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C0420</v>
      </c>
      <c r="L42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D0420</v>
      </c>
      <c r="M42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E0420</v>
      </c>
      <c r="N424" s="122" t="s">
        <v>73</v>
      </c>
      <c r="O424" s="126" t="n">
        <v>3500000</v>
      </c>
      <c r="P424" s="121" t="s">
        <v>18</v>
      </c>
      <c r="Q424" s="121" t="s">
        <v>124</v>
      </c>
      <c r="R424" s="127"/>
      <c r="T424" s="118"/>
    </row>
    <row r="425" customFormat="false" ht="12.75" hidden="false" customHeight="true" outlineLevel="0" collapsed="false">
      <c r="B425" s="119" t="n">
        <f aca="false">ROW()-4</f>
        <v>421</v>
      </c>
      <c r="C425" s="120" t="n">
        <f aca="false">COUNTIFS($D$5:D425,D425)</f>
        <v>284</v>
      </c>
      <c r="D425" s="121" t="s">
        <v>391</v>
      </c>
      <c r="E425" s="122" t="s">
        <v>941</v>
      </c>
      <c r="F425" s="123" t="n">
        <v>45622</v>
      </c>
      <c r="G425" s="121" t="s">
        <v>26</v>
      </c>
      <c r="H42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A0421</v>
      </c>
      <c r="I42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B0421</v>
      </c>
      <c r="J425" s="122" t="s">
        <v>942</v>
      </c>
      <c r="K42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C0421</v>
      </c>
      <c r="L42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D0421</v>
      </c>
      <c r="M42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E0421</v>
      </c>
      <c r="N425" s="122" t="s">
        <v>73</v>
      </c>
      <c r="O425" s="126" t="n">
        <v>3500000</v>
      </c>
      <c r="P425" s="121" t="s">
        <v>18</v>
      </c>
      <c r="Q425" s="121" t="s">
        <v>124</v>
      </c>
      <c r="R425" s="127"/>
      <c r="T425" s="118"/>
    </row>
    <row r="426" customFormat="false" ht="12.75" hidden="false" customHeight="true" outlineLevel="0" collapsed="false">
      <c r="B426" s="119" t="n">
        <f aca="false">ROW()-4</f>
        <v>422</v>
      </c>
      <c r="C426" s="120" t="n">
        <f aca="false">COUNTIFS($D$5:D426,D426)</f>
        <v>285</v>
      </c>
      <c r="D426" s="121" t="s">
        <v>391</v>
      </c>
      <c r="E426" s="122" t="s">
        <v>943</v>
      </c>
      <c r="F426" s="123"/>
      <c r="G426" s="121" t="s">
        <v>210</v>
      </c>
      <c r="H426" s="122"/>
      <c r="I426" s="122"/>
      <c r="J426" s="122"/>
      <c r="K426" s="122"/>
      <c r="L426" s="125"/>
      <c r="M42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E0422</v>
      </c>
      <c r="N426" s="122" t="s">
        <v>73</v>
      </c>
      <c r="O426" s="126" t="n">
        <v>3500000</v>
      </c>
      <c r="P426" s="121" t="s">
        <v>19</v>
      </c>
      <c r="Q426" s="122"/>
      <c r="R426" s="128" t="s">
        <v>59</v>
      </c>
      <c r="T426" s="118"/>
    </row>
    <row r="427" customFormat="false" ht="12.75" hidden="false" customHeight="true" outlineLevel="0" collapsed="false">
      <c r="B427" s="119" t="n">
        <f aca="false">ROW()-4</f>
        <v>423</v>
      </c>
      <c r="C427" s="120" t="n">
        <f aca="false">COUNTIFS($D$5:D427,D427)</f>
        <v>286</v>
      </c>
      <c r="D427" s="121" t="s">
        <v>391</v>
      </c>
      <c r="E427" s="122" t="s">
        <v>944</v>
      </c>
      <c r="F427" s="123"/>
      <c r="G427" s="121" t="s">
        <v>210</v>
      </c>
      <c r="H427" s="122"/>
      <c r="I427" s="122"/>
      <c r="J427" s="122"/>
      <c r="K427" s="122"/>
      <c r="L427" s="125"/>
      <c r="M42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E0423</v>
      </c>
      <c r="N427" s="122" t="s">
        <v>73</v>
      </c>
      <c r="O427" s="126" t="n">
        <v>3500000</v>
      </c>
      <c r="P427" s="121" t="s">
        <v>19</v>
      </c>
      <c r="Q427" s="122"/>
      <c r="R427" s="128" t="s">
        <v>59</v>
      </c>
      <c r="T427" s="118"/>
    </row>
    <row r="428" customFormat="false" ht="12.75" hidden="false" customHeight="true" outlineLevel="0" collapsed="false">
      <c r="B428" s="119" t="n">
        <f aca="false">ROW()-4</f>
        <v>424</v>
      </c>
      <c r="C428" s="120" t="n">
        <f aca="false">COUNTIFS($D$5:D428,D428)</f>
        <v>287</v>
      </c>
      <c r="D428" s="121" t="s">
        <v>391</v>
      </c>
      <c r="E428" s="122" t="s">
        <v>945</v>
      </c>
      <c r="F428" s="123"/>
      <c r="G428" s="121" t="s">
        <v>210</v>
      </c>
      <c r="H428" s="122"/>
      <c r="I428" s="122"/>
      <c r="J428" s="122"/>
      <c r="K428" s="122"/>
      <c r="L428" s="125"/>
      <c r="M42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E0424</v>
      </c>
      <c r="N428" s="122" t="s">
        <v>73</v>
      </c>
      <c r="O428" s="126" t="n">
        <v>3500000</v>
      </c>
      <c r="P428" s="121" t="s">
        <v>19</v>
      </c>
      <c r="Q428" s="122"/>
      <c r="R428" s="128" t="s">
        <v>59</v>
      </c>
      <c r="T428" s="118"/>
    </row>
    <row r="429" customFormat="false" ht="12.75" hidden="false" customHeight="true" outlineLevel="0" collapsed="false">
      <c r="B429" s="119" t="n">
        <f aca="false">ROW()-4</f>
        <v>425</v>
      </c>
      <c r="C429" s="120" t="n">
        <f aca="false">COUNTIFS($D$5:D429,D429)</f>
        <v>288</v>
      </c>
      <c r="D429" s="121" t="s">
        <v>391</v>
      </c>
      <c r="E429" s="122" t="s">
        <v>946</v>
      </c>
      <c r="F429" s="123" t="n">
        <v>45929</v>
      </c>
      <c r="G429" s="121" t="s">
        <v>28</v>
      </c>
      <c r="H42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A0425</v>
      </c>
      <c r="I42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B0425</v>
      </c>
      <c r="J429" s="122" t="s">
        <v>947</v>
      </c>
      <c r="K42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C0425</v>
      </c>
      <c r="L42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D0425</v>
      </c>
      <c r="M42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E0425</v>
      </c>
      <c r="N429" s="122" t="s">
        <v>73</v>
      </c>
      <c r="O429" s="126" t="n">
        <v>3500000</v>
      </c>
      <c r="P429" s="121" t="s">
        <v>18</v>
      </c>
      <c r="Q429" s="121" t="s">
        <v>124</v>
      </c>
      <c r="R429" s="127"/>
      <c r="T429" s="118"/>
    </row>
    <row r="430" customFormat="false" ht="12.75" hidden="false" customHeight="true" outlineLevel="0" collapsed="false">
      <c r="B430" s="119" t="n">
        <f aca="false">ROW()-4</f>
        <v>426</v>
      </c>
      <c r="C430" s="120" t="n">
        <f aca="false">COUNTIFS($D$5:D430,D430)</f>
        <v>289</v>
      </c>
      <c r="D430" s="121" t="s">
        <v>391</v>
      </c>
      <c r="E430" s="122" t="s">
        <v>948</v>
      </c>
      <c r="F430" s="123" t="n">
        <v>45625</v>
      </c>
      <c r="G430" s="121" t="s">
        <v>28</v>
      </c>
      <c r="H43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A0426</v>
      </c>
      <c r="I43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B0426</v>
      </c>
      <c r="J430" s="122" t="s">
        <v>949</v>
      </c>
      <c r="K43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C0426</v>
      </c>
      <c r="L43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D0426</v>
      </c>
      <c r="M43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E0426</v>
      </c>
      <c r="N430" s="122" t="s">
        <v>73</v>
      </c>
      <c r="O430" s="126" t="n">
        <v>3500000</v>
      </c>
      <c r="P430" s="121" t="s">
        <v>18</v>
      </c>
      <c r="Q430" s="121" t="s">
        <v>124</v>
      </c>
      <c r="R430" s="127"/>
      <c r="T430" s="118"/>
    </row>
    <row r="431" customFormat="false" ht="12.75" hidden="false" customHeight="true" outlineLevel="0" collapsed="false">
      <c r="B431" s="119" t="n">
        <f aca="false">ROW()-4</f>
        <v>427</v>
      </c>
      <c r="C431" s="120" t="n">
        <f aca="false">COUNTIFS($D$5:D431,D431)</f>
        <v>290</v>
      </c>
      <c r="D431" s="121" t="s">
        <v>391</v>
      </c>
      <c r="E431" s="122" t="s">
        <v>950</v>
      </c>
      <c r="F431" s="123" t="n">
        <v>45630</v>
      </c>
      <c r="G431" s="121" t="s">
        <v>30</v>
      </c>
      <c r="H43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A0427</v>
      </c>
      <c r="I43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B0427</v>
      </c>
      <c r="J431" s="122" t="s">
        <v>951</v>
      </c>
      <c r="K43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C0427</v>
      </c>
      <c r="L43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D0427</v>
      </c>
      <c r="M43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E0427</v>
      </c>
      <c r="N431" s="122" t="s">
        <v>73</v>
      </c>
      <c r="O431" s="126" t="n">
        <v>3500000</v>
      </c>
      <c r="P431" s="121" t="s">
        <v>18</v>
      </c>
      <c r="Q431" s="121" t="s">
        <v>124</v>
      </c>
      <c r="R431" s="127"/>
      <c r="T431" s="118"/>
    </row>
    <row r="432" customFormat="false" ht="12.75" hidden="false" customHeight="true" outlineLevel="0" collapsed="false">
      <c r="B432" s="119" t="n">
        <f aca="false">ROW()-4</f>
        <v>428</v>
      </c>
      <c r="C432" s="120" t="n">
        <f aca="false">COUNTIFS($D$5:D432,D432)</f>
        <v>291</v>
      </c>
      <c r="D432" s="121" t="s">
        <v>391</v>
      </c>
      <c r="E432" s="122" t="s">
        <v>952</v>
      </c>
      <c r="F432" s="123" t="n">
        <v>45845</v>
      </c>
      <c r="G432" s="121" t="s">
        <v>26</v>
      </c>
      <c r="H43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A0428</v>
      </c>
      <c r="I43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B0428</v>
      </c>
      <c r="J432" s="122" t="s">
        <v>953</v>
      </c>
      <c r="K43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C0428</v>
      </c>
      <c r="L43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D0428</v>
      </c>
      <c r="M43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E0428</v>
      </c>
      <c r="N432" s="122" t="s">
        <v>73</v>
      </c>
      <c r="O432" s="126" t="n">
        <v>3500000</v>
      </c>
      <c r="P432" s="121" t="s">
        <v>18</v>
      </c>
      <c r="Q432" s="121" t="s">
        <v>124</v>
      </c>
      <c r="R432" s="127"/>
      <c r="T432" s="118"/>
    </row>
    <row r="433" customFormat="false" ht="12.75" hidden="false" customHeight="true" outlineLevel="0" collapsed="false">
      <c r="B433" s="119" t="n">
        <f aca="false">ROW()-4</f>
        <v>429</v>
      </c>
      <c r="C433" s="120" t="n">
        <f aca="false">COUNTIFS($D$5:D433,D433)</f>
        <v>292</v>
      </c>
      <c r="D433" s="121" t="s">
        <v>391</v>
      </c>
      <c r="E433" s="122" t="s">
        <v>954</v>
      </c>
      <c r="F433" s="123" t="n">
        <v>45637</v>
      </c>
      <c r="G433" s="121" t="s">
        <v>30</v>
      </c>
      <c r="H43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A0429</v>
      </c>
      <c r="I43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B0429</v>
      </c>
      <c r="J433" s="122" t="s">
        <v>955</v>
      </c>
      <c r="K43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C0429</v>
      </c>
      <c r="L43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D0429</v>
      </c>
      <c r="M43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E0429</v>
      </c>
      <c r="N433" s="122" t="s">
        <v>73</v>
      </c>
      <c r="O433" s="126" t="n">
        <v>3500000</v>
      </c>
      <c r="P433" s="121" t="s">
        <v>18</v>
      </c>
      <c r="Q433" s="121" t="s">
        <v>124</v>
      </c>
      <c r="R433" s="127"/>
      <c r="T433" s="118"/>
    </row>
    <row r="434" customFormat="false" ht="12.75" hidden="false" customHeight="true" outlineLevel="0" collapsed="false">
      <c r="B434" s="119" t="n">
        <f aca="false">ROW()-4</f>
        <v>430</v>
      </c>
      <c r="C434" s="120" t="n">
        <f aca="false">COUNTIFS($D$5:D434,D434)</f>
        <v>293</v>
      </c>
      <c r="D434" s="121" t="s">
        <v>391</v>
      </c>
      <c r="E434" s="122" t="s">
        <v>956</v>
      </c>
      <c r="F434" s="123" t="n">
        <v>45649</v>
      </c>
      <c r="G434" s="121" t="s">
        <v>24</v>
      </c>
      <c r="H43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A0430</v>
      </c>
      <c r="I43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B0430</v>
      </c>
      <c r="J434" s="122" t="s">
        <v>957</v>
      </c>
      <c r="K43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C0430</v>
      </c>
      <c r="L43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D0430</v>
      </c>
      <c r="M43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E0430</v>
      </c>
      <c r="N434" s="122" t="s">
        <v>73</v>
      </c>
      <c r="O434" s="126" t="n">
        <v>3500000</v>
      </c>
      <c r="P434" s="121" t="s">
        <v>18</v>
      </c>
      <c r="Q434" s="121" t="s">
        <v>124</v>
      </c>
      <c r="R434" s="127"/>
      <c r="T434" s="118"/>
    </row>
    <row r="435" customFormat="false" ht="12.75" hidden="false" customHeight="true" outlineLevel="0" collapsed="false">
      <c r="B435" s="119" t="n">
        <f aca="false">ROW()-4</f>
        <v>431</v>
      </c>
      <c r="C435" s="120" t="n">
        <f aca="false">COUNTIFS($D$5:D435,D435)</f>
        <v>294</v>
      </c>
      <c r="D435" s="121" t="s">
        <v>391</v>
      </c>
      <c r="E435" s="122" t="s">
        <v>958</v>
      </c>
      <c r="F435" s="123" t="n">
        <v>45567</v>
      </c>
      <c r="G435" s="121" t="s">
        <v>30</v>
      </c>
      <c r="H43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A0431</v>
      </c>
      <c r="I43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B0431</v>
      </c>
      <c r="J435" s="122" t="s">
        <v>959</v>
      </c>
      <c r="K43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C0431</v>
      </c>
      <c r="L43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D0431</v>
      </c>
      <c r="M43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E0431</v>
      </c>
      <c r="N435" s="122" t="s">
        <v>73</v>
      </c>
      <c r="O435" s="126" t="n">
        <v>3500000</v>
      </c>
      <c r="P435" s="121" t="s">
        <v>18</v>
      </c>
      <c r="Q435" s="121" t="s">
        <v>124</v>
      </c>
      <c r="R435" s="127"/>
      <c r="T435" s="118"/>
    </row>
    <row r="436" customFormat="false" ht="12.75" hidden="false" customHeight="true" outlineLevel="0" collapsed="false">
      <c r="B436" s="119" t="n">
        <f aca="false">ROW()-4</f>
        <v>432</v>
      </c>
      <c r="C436" s="120" t="n">
        <f aca="false">COUNTIFS($D$5:D436,D436)</f>
        <v>295</v>
      </c>
      <c r="D436" s="121" t="s">
        <v>391</v>
      </c>
      <c r="E436" s="122" t="s">
        <v>960</v>
      </c>
      <c r="F436" s="123" t="n">
        <v>45567</v>
      </c>
      <c r="G436" s="121" t="s">
        <v>30</v>
      </c>
      <c r="H43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A0432</v>
      </c>
      <c r="I43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B0432</v>
      </c>
      <c r="J436" s="122" t="s">
        <v>961</v>
      </c>
      <c r="K43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C0432</v>
      </c>
      <c r="L43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D0432</v>
      </c>
      <c r="M43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E0432</v>
      </c>
      <c r="N436" s="122" t="s">
        <v>73</v>
      </c>
      <c r="O436" s="126" t="n">
        <v>3500000</v>
      </c>
      <c r="P436" s="121" t="s">
        <v>18</v>
      </c>
      <c r="Q436" s="121" t="s">
        <v>124</v>
      </c>
      <c r="R436" s="127"/>
      <c r="T436" s="118"/>
    </row>
    <row r="437" customFormat="false" ht="12.75" hidden="false" customHeight="true" outlineLevel="0" collapsed="false">
      <c r="B437" s="119" t="n">
        <f aca="false">ROW()-4</f>
        <v>433</v>
      </c>
      <c r="C437" s="120" t="n">
        <f aca="false">COUNTIFS($D$5:D437,D437)</f>
        <v>296</v>
      </c>
      <c r="D437" s="121" t="s">
        <v>391</v>
      </c>
      <c r="E437" s="122" t="s">
        <v>962</v>
      </c>
      <c r="F437" s="123" t="n">
        <v>45587</v>
      </c>
      <c r="G437" s="121" t="s">
        <v>30</v>
      </c>
      <c r="H43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A0433</v>
      </c>
      <c r="I43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B0433</v>
      </c>
      <c r="J437" s="122" t="s">
        <v>963</v>
      </c>
      <c r="K43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C0433</v>
      </c>
      <c r="L43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D0433</v>
      </c>
      <c r="M43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E0433</v>
      </c>
      <c r="N437" s="122" t="s">
        <v>73</v>
      </c>
      <c r="O437" s="126" t="n">
        <v>3500000</v>
      </c>
      <c r="P437" s="121" t="s">
        <v>18</v>
      </c>
      <c r="Q437" s="121" t="s">
        <v>124</v>
      </c>
      <c r="R437" s="127"/>
      <c r="T437" s="118"/>
    </row>
    <row r="438" customFormat="false" ht="12.75" hidden="false" customHeight="true" outlineLevel="0" collapsed="false">
      <c r="B438" s="119" t="n">
        <f aca="false">ROW()-4</f>
        <v>434</v>
      </c>
      <c r="C438" s="120" t="n">
        <f aca="false">COUNTIFS($D$5:D438,D438)</f>
        <v>297</v>
      </c>
      <c r="D438" s="121" t="s">
        <v>391</v>
      </c>
      <c r="E438" s="122" t="s">
        <v>964</v>
      </c>
      <c r="F438" s="123" t="n">
        <v>45607</v>
      </c>
      <c r="G438" s="121" t="s">
        <v>30</v>
      </c>
      <c r="H43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A0434</v>
      </c>
      <c r="I43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B0434</v>
      </c>
      <c r="J438" s="122" t="s">
        <v>965</v>
      </c>
      <c r="K43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C0434</v>
      </c>
      <c r="L43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D0434</v>
      </c>
      <c r="M43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E0434</v>
      </c>
      <c r="N438" s="122" t="s">
        <v>73</v>
      </c>
      <c r="O438" s="126" t="n">
        <v>3500000</v>
      </c>
      <c r="P438" s="121" t="s">
        <v>18</v>
      </c>
      <c r="Q438" s="121" t="s">
        <v>124</v>
      </c>
      <c r="R438" s="127"/>
      <c r="T438" s="118"/>
    </row>
    <row r="439" customFormat="false" ht="12.75" hidden="false" customHeight="true" outlineLevel="0" collapsed="false">
      <c r="B439" s="119" t="n">
        <f aca="false">ROW()-4</f>
        <v>435</v>
      </c>
      <c r="C439" s="120" t="n">
        <f aca="false">COUNTIFS($D$5:D439,D439)</f>
        <v>298</v>
      </c>
      <c r="D439" s="121" t="s">
        <v>391</v>
      </c>
      <c r="E439" s="122" t="s">
        <v>966</v>
      </c>
      <c r="F439" s="123" t="n">
        <v>45666</v>
      </c>
      <c r="G439" s="121" t="s">
        <v>26</v>
      </c>
      <c r="H43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A0435</v>
      </c>
      <c r="I43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B0435</v>
      </c>
      <c r="J439" s="122" t="s">
        <v>967</v>
      </c>
      <c r="K43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C0435</v>
      </c>
      <c r="L43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D0435</v>
      </c>
      <c r="M43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E0435</v>
      </c>
      <c r="N439" s="122" t="s">
        <v>73</v>
      </c>
      <c r="O439" s="126" t="n">
        <v>3500000</v>
      </c>
      <c r="P439" s="121" t="s">
        <v>18</v>
      </c>
      <c r="Q439" s="121" t="s">
        <v>124</v>
      </c>
      <c r="R439" s="127"/>
      <c r="T439" s="118"/>
    </row>
    <row r="440" customFormat="false" ht="12.75" hidden="false" customHeight="true" outlineLevel="0" collapsed="false">
      <c r="B440" s="119" t="n">
        <f aca="false">ROW()-4</f>
        <v>436</v>
      </c>
      <c r="C440" s="120" t="n">
        <f aca="false">COUNTIFS($D$5:D440,D440)</f>
        <v>299</v>
      </c>
      <c r="D440" s="121" t="s">
        <v>391</v>
      </c>
      <c r="E440" s="122" t="s">
        <v>968</v>
      </c>
      <c r="F440" s="123" t="n">
        <v>45667</v>
      </c>
      <c r="G440" s="121" t="s">
        <v>24</v>
      </c>
      <c r="H44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A0436</v>
      </c>
      <c r="I44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B0436</v>
      </c>
      <c r="J440" s="122" t="s">
        <v>969</v>
      </c>
      <c r="K44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C0436</v>
      </c>
      <c r="L44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D0436</v>
      </c>
      <c r="M44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E0436</v>
      </c>
      <c r="N440" s="122" t="s">
        <v>73</v>
      </c>
      <c r="O440" s="126" t="n">
        <v>3500000</v>
      </c>
      <c r="P440" s="121" t="s">
        <v>18</v>
      </c>
      <c r="Q440" s="121" t="s">
        <v>124</v>
      </c>
      <c r="R440" s="127"/>
      <c r="T440" s="118"/>
    </row>
    <row r="441" customFormat="false" ht="12.75" hidden="false" customHeight="true" outlineLevel="0" collapsed="false">
      <c r="B441" s="119" t="n">
        <f aca="false">ROW()-4</f>
        <v>437</v>
      </c>
      <c r="C441" s="120" t="n">
        <f aca="false">COUNTIFS($D$5:D441,D441)</f>
        <v>300</v>
      </c>
      <c r="D441" s="121" t="s">
        <v>391</v>
      </c>
      <c r="E441" s="122" t="s">
        <v>970</v>
      </c>
      <c r="F441" s="123" t="n">
        <v>45667</v>
      </c>
      <c r="G441" s="121" t="s">
        <v>30</v>
      </c>
      <c r="H44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A0437</v>
      </c>
      <c r="I44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B0437</v>
      </c>
      <c r="J441" s="122" t="s">
        <v>971</v>
      </c>
      <c r="K44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C0437</v>
      </c>
      <c r="L44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D0437</v>
      </c>
      <c r="M44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E0437</v>
      </c>
      <c r="N441" s="122" t="s">
        <v>73</v>
      </c>
      <c r="O441" s="126" t="n">
        <v>3500000</v>
      </c>
      <c r="P441" s="121" t="s">
        <v>18</v>
      </c>
      <c r="Q441" s="121" t="s">
        <v>124</v>
      </c>
      <c r="R441" s="127"/>
      <c r="T441" s="118"/>
    </row>
    <row r="442" customFormat="false" ht="12.75" hidden="false" customHeight="true" outlineLevel="0" collapsed="false">
      <c r="B442" s="119" t="n">
        <f aca="false">ROW()-4</f>
        <v>438</v>
      </c>
      <c r="C442" s="120" t="n">
        <f aca="false">COUNTIFS($D$5:D442,D442)</f>
        <v>301</v>
      </c>
      <c r="D442" s="121" t="s">
        <v>391</v>
      </c>
      <c r="E442" s="122" t="s">
        <v>972</v>
      </c>
      <c r="F442" s="123" t="n">
        <v>45665</v>
      </c>
      <c r="G442" s="121" t="s">
        <v>26</v>
      </c>
      <c r="H44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A0438</v>
      </c>
      <c r="I44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B0438</v>
      </c>
      <c r="J442" s="122" t="s">
        <v>973</v>
      </c>
      <c r="K44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C0438</v>
      </c>
      <c r="L44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D0438</v>
      </c>
      <c r="M44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E0438</v>
      </c>
      <c r="N442" s="122" t="s">
        <v>73</v>
      </c>
      <c r="O442" s="126" t="n">
        <v>3500000</v>
      </c>
      <c r="P442" s="121" t="s">
        <v>18</v>
      </c>
      <c r="Q442" s="121" t="s">
        <v>124</v>
      </c>
      <c r="R442" s="127"/>
      <c r="T442" s="118"/>
    </row>
    <row r="443" customFormat="false" ht="12.75" hidden="false" customHeight="true" outlineLevel="0" collapsed="false">
      <c r="B443" s="119" t="n">
        <f aca="false">ROW()-4</f>
        <v>439</v>
      </c>
      <c r="C443" s="120" t="n">
        <f aca="false">COUNTIFS($D$5:D443,D443)</f>
        <v>302</v>
      </c>
      <c r="D443" s="121" t="s">
        <v>391</v>
      </c>
      <c r="E443" s="122" t="s">
        <v>974</v>
      </c>
      <c r="F443" s="123" t="n">
        <v>45961</v>
      </c>
      <c r="G443" s="121" t="s">
        <v>30</v>
      </c>
      <c r="H44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A0439</v>
      </c>
      <c r="I44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B0439</v>
      </c>
      <c r="J443" s="122" t="s">
        <v>975</v>
      </c>
      <c r="K44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C0439</v>
      </c>
      <c r="L44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D0439</v>
      </c>
      <c r="M44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E0439</v>
      </c>
      <c r="N443" s="122" t="s">
        <v>73</v>
      </c>
      <c r="O443" s="126" t="n">
        <v>3500000</v>
      </c>
      <c r="P443" s="121" t="s">
        <v>18</v>
      </c>
      <c r="Q443" s="121" t="s">
        <v>124</v>
      </c>
      <c r="R443" s="127"/>
      <c r="T443" s="118"/>
    </row>
    <row r="444" customFormat="false" ht="12.75" hidden="false" customHeight="true" outlineLevel="0" collapsed="false">
      <c r="B444" s="119" t="n">
        <f aca="false">ROW()-4</f>
        <v>440</v>
      </c>
      <c r="C444" s="120" t="n">
        <f aca="false">COUNTIFS($D$5:D444,D444)</f>
        <v>303</v>
      </c>
      <c r="D444" s="121" t="s">
        <v>391</v>
      </c>
      <c r="E444" s="122" t="s">
        <v>976</v>
      </c>
      <c r="F444" s="123" t="n">
        <v>45677</v>
      </c>
      <c r="G444" s="121" t="s">
        <v>24</v>
      </c>
      <c r="H44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A0440</v>
      </c>
      <c r="I44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B0440</v>
      </c>
      <c r="J444" s="122" t="s">
        <v>977</v>
      </c>
      <c r="K44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C0440</v>
      </c>
      <c r="L44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D0440</v>
      </c>
      <c r="M44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E0440</v>
      </c>
      <c r="N444" s="122" t="s">
        <v>73</v>
      </c>
      <c r="O444" s="126" t="n">
        <v>3500000</v>
      </c>
      <c r="P444" s="121" t="s">
        <v>18</v>
      </c>
      <c r="Q444" s="121" t="s">
        <v>124</v>
      </c>
      <c r="R444" s="127"/>
      <c r="T444" s="118"/>
    </row>
    <row r="445" customFormat="false" ht="12.75" hidden="false" customHeight="true" outlineLevel="0" collapsed="false">
      <c r="B445" s="119" t="n">
        <f aca="false">ROW()-4</f>
        <v>441</v>
      </c>
      <c r="C445" s="120" t="n">
        <f aca="false">COUNTIFS($D$5:D445,D445)</f>
        <v>304</v>
      </c>
      <c r="D445" s="121" t="s">
        <v>391</v>
      </c>
      <c r="E445" s="122" t="s">
        <v>978</v>
      </c>
      <c r="F445" s="123" t="n">
        <v>45678</v>
      </c>
      <c r="G445" s="121" t="s">
        <v>22</v>
      </c>
      <c r="H44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A0441</v>
      </c>
      <c r="I44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B0441</v>
      </c>
      <c r="J445" s="122" t="s">
        <v>979</v>
      </c>
      <c r="K44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C0441</v>
      </c>
      <c r="L44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D0441</v>
      </c>
      <c r="M44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E0441</v>
      </c>
      <c r="N445" s="122" t="s">
        <v>73</v>
      </c>
      <c r="O445" s="126" t="n">
        <v>3500000</v>
      </c>
      <c r="P445" s="121" t="s">
        <v>18</v>
      </c>
      <c r="Q445" s="121" t="s">
        <v>124</v>
      </c>
      <c r="R445" s="127"/>
      <c r="T445" s="118"/>
    </row>
    <row r="446" customFormat="false" ht="12.75" hidden="false" customHeight="true" outlineLevel="0" collapsed="false">
      <c r="B446" s="119" t="n">
        <f aca="false">ROW()-4</f>
        <v>442</v>
      </c>
      <c r="C446" s="120" t="n">
        <f aca="false">COUNTIFS($D$5:D446,D446)</f>
        <v>305</v>
      </c>
      <c r="D446" s="121" t="s">
        <v>391</v>
      </c>
      <c r="E446" s="122" t="s">
        <v>980</v>
      </c>
      <c r="F446" s="123" t="n">
        <v>45680</v>
      </c>
      <c r="G446" s="121" t="s">
        <v>26</v>
      </c>
      <c r="H44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A0442</v>
      </c>
      <c r="I44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B0442</v>
      </c>
      <c r="J446" s="122" t="s">
        <v>981</v>
      </c>
      <c r="K44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C0442</v>
      </c>
      <c r="L44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D0442</v>
      </c>
      <c r="M44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E0442</v>
      </c>
      <c r="N446" s="122" t="s">
        <v>73</v>
      </c>
      <c r="O446" s="126" t="n">
        <v>3500000</v>
      </c>
      <c r="P446" s="121" t="s">
        <v>18</v>
      </c>
      <c r="Q446" s="121" t="s">
        <v>124</v>
      </c>
      <c r="R446" s="127"/>
      <c r="T446" s="118"/>
    </row>
    <row r="447" customFormat="false" ht="12.75" hidden="false" customHeight="true" outlineLevel="0" collapsed="false">
      <c r="B447" s="119" t="n">
        <f aca="false">ROW()-4</f>
        <v>443</v>
      </c>
      <c r="C447" s="120" t="n">
        <f aca="false">COUNTIFS($D$5:D447,D447)</f>
        <v>306</v>
      </c>
      <c r="D447" s="121" t="s">
        <v>391</v>
      </c>
      <c r="E447" s="122" t="s">
        <v>982</v>
      </c>
      <c r="F447" s="123" t="n">
        <v>45695</v>
      </c>
      <c r="G447" s="121" t="s">
        <v>22</v>
      </c>
      <c r="H44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A0443</v>
      </c>
      <c r="I44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B0443</v>
      </c>
      <c r="J447" s="122" t="s">
        <v>983</v>
      </c>
      <c r="K44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C0443</v>
      </c>
      <c r="L44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D0443</v>
      </c>
      <c r="M44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E0443</v>
      </c>
      <c r="N447" s="122" t="s">
        <v>73</v>
      </c>
      <c r="O447" s="126" t="n">
        <v>3500000</v>
      </c>
      <c r="P447" s="121" t="s">
        <v>18</v>
      </c>
      <c r="Q447" s="121" t="s">
        <v>124</v>
      </c>
      <c r="R447" s="127"/>
      <c r="T447" s="118"/>
    </row>
    <row r="448" customFormat="false" ht="12.75" hidden="false" customHeight="true" outlineLevel="0" collapsed="false">
      <c r="B448" s="119" t="n">
        <f aca="false">ROW()-4</f>
        <v>444</v>
      </c>
      <c r="C448" s="120" t="n">
        <f aca="false">COUNTIFS($D$5:D448,D448)</f>
        <v>307</v>
      </c>
      <c r="D448" s="121" t="s">
        <v>391</v>
      </c>
      <c r="E448" s="122" t="s">
        <v>984</v>
      </c>
      <c r="F448" s="123" t="n">
        <v>45692</v>
      </c>
      <c r="G448" s="121" t="s">
        <v>26</v>
      </c>
      <c r="H44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A0444</v>
      </c>
      <c r="I44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B0444</v>
      </c>
      <c r="J448" s="122" t="s">
        <v>985</v>
      </c>
      <c r="K44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C0444</v>
      </c>
      <c r="L44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D0444</v>
      </c>
      <c r="M44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E0444</v>
      </c>
      <c r="N448" s="122" t="s">
        <v>73</v>
      </c>
      <c r="O448" s="126" t="n">
        <v>3500000</v>
      </c>
      <c r="P448" s="121" t="s">
        <v>18</v>
      </c>
      <c r="Q448" s="121" t="s">
        <v>124</v>
      </c>
      <c r="R448" s="127"/>
      <c r="T448" s="118"/>
    </row>
    <row r="449" customFormat="false" ht="12.75" hidden="false" customHeight="true" outlineLevel="0" collapsed="false">
      <c r="B449" s="119" t="n">
        <f aca="false">ROW()-4</f>
        <v>445</v>
      </c>
      <c r="C449" s="120" t="n">
        <f aca="false">COUNTIFS($D$5:D449,D449)</f>
        <v>308</v>
      </c>
      <c r="D449" s="121" t="s">
        <v>391</v>
      </c>
      <c r="E449" s="122" t="s">
        <v>986</v>
      </c>
      <c r="F449" s="123" t="n">
        <v>45698</v>
      </c>
      <c r="G449" s="121" t="s">
        <v>24</v>
      </c>
      <c r="H44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A0445</v>
      </c>
      <c r="I44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B0445</v>
      </c>
      <c r="J449" s="122" t="s">
        <v>987</v>
      </c>
      <c r="K44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C0445</v>
      </c>
      <c r="L44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D0445</v>
      </c>
      <c r="M44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E0445</v>
      </c>
      <c r="N449" s="122" t="s">
        <v>73</v>
      </c>
      <c r="O449" s="126" t="n">
        <v>3500000</v>
      </c>
      <c r="P449" s="121" t="s">
        <v>18</v>
      </c>
      <c r="Q449" s="121" t="s">
        <v>124</v>
      </c>
      <c r="R449" s="127"/>
      <c r="T449" s="118"/>
    </row>
    <row r="450" customFormat="false" ht="12.75" hidden="false" customHeight="true" outlineLevel="0" collapsed="false">
      <c r="B450" s="119" t="n">
        <f aca="false">ROW()-4</f>
        <v>446</v>
      </c>
      <c r="C450" s="120" t="n">
        <f aca="false">COUNTIFS($D$5:D450,D450)</f>
        <v>309</v>
      </c>
      <c r="D450" s="121" t="s">
        <v>391</v>
      </c>
      <c r="E450" s="122" t="s">
        <v>988</v>
      </c>
      <c r="F450" s="123" t="n">
        <v>45706</v>
      </c>
      <c r="G450" s="121" t="s">
        <v>26</v>
      </c>
      <c r="H45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A0446</v>
      </c>
      <c r="I45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B0446</v>
      </c>
      <c r="J450" s="122" t="s">
        <v>989</v>
      </c>
      <c r="K45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C0446</v>
      </c>
      <c r="L45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D0446</v>
      </c>
      <c r="M45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E0446</v>
      </c>
      <c r="N450" s="122" t="s">
        <v>73</v>
      </c>
      <c r="O450" s="126" t="n">
        <v>3500000</v>
      </c>
      <c r="P450" s="121" t="s">
        <v>18</v>
      </c>
      <c r="Q450" s="121" t="s">
        <v>124</v>
      </c>
      <c r="R450" s="127"/>
      <c r="T450" s="118"/>
    </row>
    <row r="451" customFormat="false" ht="12.75" hidden="false" customHeight="true" outlineLevel="0" collapsed="false">
      <c r="B451" s="119" t="n">
        <f aca="false">ROW()-4</f>
        <v>447</v>
      </c>
      <c r="C451" s="120" t="n">
        <f aca="false">COUNTIFS($D$5:D451,D451)</f>
        <v>310</v>
      </c>
      <c r="D451" s="121" t="s">
        <v>391</v>
      </c>
      <c r="E451" s="122" t="s">
        <v>990</v>
      </c>
      <c r="F451" s="123" t="n">
        <v>45706</v>
      </c>
      <c r="G451" s="121" t="s">
        <v>26</v>
      </c>
      <c r="H45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A0447</v>
      </c>
      <c r="I45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B0447</v>
      </c>
      <c r="J451" s="122" t="s">
        <v>991</v>
      </c>
      <c r="K45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C0447</v>
      </c>
      <c r="L45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D0447</v>
      </c>
      <c r="M45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E0447</v>
      </c>
      <c r="N451" s="122" t="s">
        <v>73</v>
      </c>
      <c r="O451" s="126" t="n">
        <v>3500000</v>
      </c>
      <c r="P451" s="121" t="s">
        <v>18</v>
      </c>
      <c r="Q451" s="121" t="s">
        <v>124</v>
      </c>
      <c r="R451" s="127"/>
      <c r="T451" s="118"/>
    </row>
    <row r="452" customFormat="false" ht="12.75" hidden="false" customHeight="true" outlineLevel="0" collapsed="false">
      <c r="B452" s="119" t="n">
        <f aca="false">ROW()-4</f>
        <v>448</v>
      </c>
      <c r="C452" s="120" t="n">
        <f aca="false">COUNTIFS($D$5:D452,D452)</f>
        <v>311</v>
      </c>
      <c r="D452" s="121" t="s">
        <v>391</v>
      </c>
      <c r="E452" s="122" t="s">
        <v>992</v>
      </c>
      <c r="F452" s="123" t="n">
        <v>45707</v>
      </c>
      <c r="G452" s="121" t="s">
        <v>26</v>
      </c>
      <c r="H45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A0448</v>
      </c>
      <c r="I45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B0448</v>
      </c>
      <c r="J452" s="122" t="s">
        <v>993</v>
      </c>
      <c r="K45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C0448</v>
      </c>
      <c r="L45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D0448</v>
      </c>
      <c r="M45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E0448</v>
      </c>
      <c r="N452" s="122" t="s">
        <v>73</v>
      </c>
      <c r="O452" s="126" t="n">
        <v>3500000</v>
      </c>
      <c r="P452" s="121" t="s">
        <v>18</v>
      </c>
      <c r="Q452" s="121" t="s">
        <v>124</v>
      </c>
      <c r="R452" s="127"/>
      <c r="T452" s="118"/>
    </row>
    <row r="453" customFormat="false" ht="12.75" hidden="false" customHeight="true" outlineLevel="0" collapsed="false">
      <c r="B453" s="119" t="n">
        <f aca="false">ROW()-4</f>
        <v>449</v>
      </c>
      <c r="C453" s="120" t="n">
        <f aca="false">COUNTIFS($D$5:D453,D453)</f>
        <v>312</v>
      </c>
      <c r="D453" s="121" t="s">
        <v>391</v>
      </c>
      <c r="E453" s="122" t="s">
        <v>994</v>
      </c>
      <c r="F453" s="123" t="n">
        <v>45712</v>
      </c>
      <c r="G453" s="121" t="s">
        <v>26</v>
      </c>
      <c r="H45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A0449</v>
      </c>
      <c r="I45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B0449</v>
      </c>
      <c r="J453" s="122" t="s">
        <v>995</v>
      </c>
      <c r="K45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C0449</v>
      </c>
      <c r="L45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D0449</v>
      </c>
      <c r="M45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E0449</v>
      </c>
      <c r="N453" s="122" t="s">
        <v>73</v>
      </c>
      <c r="O453" s="126" t="n">
        <v>3500000</v>
      </c>
      <c r="P453" s="121" t="s">
        <v>18</v>
      </c>
      <c r="Q453" s="121" t="s">
        <v>124</v>
      </c>
      <c r="R453" s="127"/>
      <c r="T453" s="118"/>
    </row>
    <row r="454" customFormat="false" ht="12.75" hidden="false" customHeight="true" outlineLevel="0" collapsed="false">
      <c r="B454" s="119" t="n">
        <f aca="false">ROW()-4</f>
        <v>450</v>
      </c>
      <c r="C454" s="120" t="n">
        <f aca="false">COUNTIFS($D$5:D454,D454)</f>
        <v>313</v>
      </c>
      <c r="D454" s="121" t="s">
        <v>391</v>
      </c>
      <c r="E454" s="122" t="s">
        <v>996</v>
      </c>
      <c r="F454" s="123" t="n">
        <v>45610</v>
      </c>
      <c r="G454" s="121" t="s">
        <v>22</v>
      </c>
      <c r="H45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A0450</v>
      </c>
      <c r="I45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B0450</v>
      </c>
      <c r="J454" s="122" t="s">
        <v>997</v>
      </c>
      <c r="K45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C0450</v>
      </c>
      <c r="L45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D0450</v>
      </c>
      <c r="M45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E0450</v>
      </c>
      <c r="N454" s="122" t="s">
        <v>73</v>
      </c>
      <c r="O454" s="126" t="n">
        <v>3500000</v>
      </c>
      <c r="P454" s="121" t="s">
        <v>18</v>
      </c>
      <c r="Q454" s="121" t="s">
        <v>124</v>
      </c>
      <c r="R454" s="127"/>
      <c r="T454" s="118"/>
    </row>
    <row r="455" customFormat="false" ht="12.75" hidden="false" customHeight="true" outlineLevel="0" collapsed="false">
      <c r="B455" s="119" t="n">
        <f aca="false">ROW()-4</f>
        <v>451</v>
      </c>
      <c r="C455" s="120" t="n">
        <f aca="false">COUNTIFS($D$5:D455,D455)</f>
        <v>314</v>
      </c>
      <c r="D455" s="121" t="s">
        <v>391</v>
      </c>
      <c r="E455" s="122" t="s">
        <v>998</v>
      </c>
      <c r="F455" s="123" t="n">
        <v>45741</v>
      </c>
      <c r="G455" s="121" t="s">
        <v>22</v>
      </c>
      <c r="H45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A0451</v>
      </c>
      <c r="I45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B0451</v>
      </c>
      <c r="J455" s="122" t="s">
        <v>999</v>
      </c>
      <c r="K45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C0451</v>
      </c>
      <c r="L45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D0451</v>
      </c>
      <c r="M45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E0451</v>
      </c>
      <c r="N455" s="122" t="s">
        <v>73</v>
      </c>
      <c r="O455" s="126" t="n">
        <v>3500000</v>
      </c>
      <c r="P455" s="121" t="s">
        <v>18</v>
      </c>
      <c r="Q455" s="121" t="s">
        <v>124</v>
      </c>
      <c r="R455" s="127"/>
      <c r="T455" s="118"/>
    </row>
    <row r="456" customFormat="false" ht="12.75" hidden="false" customHeight="true" outlineLevel="0" collapsed="false">
      <c r="B456" s="119" t="n">
        <f aca="false">ROW()-4</f>
        <v>452</v>
      </c>
      <c r="C456" s="120" t="n">
        <f aca="false">COUNTIFS($D$5:D456,D456)</f>
        <v>315</v>
      </c>
      <c r="D456" s="121" t="s">
        <v>391</v>
      </c>
      <c r="E456" s="122" t="s">
        <v>1000</v>
      </c>
      <c r="F456" s="123" t="n">
        <v>45747</v>
      </c>
      <c r="G456" s="121" t="s">
        <v>26</v>
      </c>
      <c r="H45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A0452</v>
      </c>
      <c r="I45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B0452</v>
      </c>
      <c r="J456" s="122" t="s">
        <v>1001</v>
      </c>
      <c r="K45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C0452</v>
      </c>
      <c r="L45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D0452</v>
      </c>
      <c r="M45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E0452</v>
      </c>
      <c r="N456" s="122" t="s">
        <v>73</v>
      </c>
      <c r="O456" s="126" t="n">
        <v>3500000</v>
      </c>
      <c r="P456" s="121" t="s">
        <v>18</v>
      </c>
      <c r="Q456" s="121" t="s">
        <v>124</v>
      </c>
      <c r="R456" s="127"/>
      <c r="T456" s="118"/>
    </row>
    <row r="457" customFormat="false" ht="12.75" hidden="false" customHeight="true" outlineLevel="0" collapsed="false">
      <c r="B457" s="119" t="n">
        <f aca="false">ROW()-4</f>
        <v>453</v>
      </c>
      <c r="C457" s="120" t="n">
        <f aca="false">COUNTIFS($D$5:D457,D457)</f>
        <v>316</v>
      </c>
      <c r="D457" s="121" t="s">
        <v>391</v>
      </c>
      <c r="E457" s="122" t="s">
        <v>1002</v>
      </c>
      <c r="F457" s="123" t="n">
        <v>45747</v>
      </c>
      <c r="G457" s="121" t="s">
        <v>26</v>
      </c>
      <c r="H45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A0453</v>
      </c>
      <c r="I45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B0453</v>
      </c>
      <c r="J457" s="122" t="s">
        <v>1003</v>
      </c>
      <c r="K45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C0453</v>
      </c>
      <c r="L45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D0453</v>
      </c>
      <c r="M45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E0453</v>
      </c>
      <c r="N457" s="122" t="s">
        <v>73</v>
      </c>
      <c r="O457" s="126" t="n">
        <v>3500000</v>
      </c>
      <c r="P457" s="121" t="s">
        <v>18</v>
      </c>
      <c r="Q457" s="121" t="s">
        <v>124</v>
      </c>
      <c r="R457" s="127"/>
      <c r="T457" s="118"/>
    </row>
    <row r="458" customFormat="false" ht="12.75" hidden="false" customHeight="true" outlineLevel="0" collapsed="false">
      <c r="B458" s="119" t="n">
        <f aca="false">ROW()-4</f>
        <v>454</v>
      </c>
      <c r="C458" s="120" t="n">
        <f aca="false">COUNTIFS($D$5:D458,D458)</f>
        <v>317</v>
      </c>
      <c r="D458" s="121" t="s">
        <v>391</v>
      </c>
      <c r="E458" s="122" t="s">
        <v>1004</v>
      </c>
      <c r="F458" s="123" t="n">
        <v>45756</v>
      </c>
      <c r="G458" s="121" t="s">
        <v>30</v>
      </c>
      <c r="H45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A0454</v>
      </c>
      <c r="I45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B0454</v>
      </c>
      <c r="J458" s="122" t="s">
        <v>1005</v>
      </c>
      <c r="K45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C0454</v>
      </c>
      <c r="L45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D0454</v>
      </c>
      <c r="M45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E0454</v>
      </c>
      <c r="N458" s="122" t="s">
        <v>73</v>
      </c>
      <c r="O458" s="126" t="n">
        <v>3500000</v>
      </c>
      <c r="P458" s="121" t="s">
        <v>18</v>
      </c>
      <c r="Q458" s="121" t="s">
        <v>124</v>
      </c>
      <c r="R458" s="127"/>
      <c r="T458" s="118"/>
    </row>
    <row r="459" customFormat="false" ht="12.75" hidden="false" customHeight="true" outlineLevel="0" collapsed="false">
      <c r="B459" s="119" t="n">
        <f aca="false">ROW()-4</f>
        <v>455</v>
      </c>
      <c r="C459" s="120" t="n">
        <f aca="false">COUNTIFS($D$5:D459,D459)</f>
        <v>318</v>
      </c>
      <c r="D459" s="121" t="s">
        <v>391</v>
      </c>
      <c r="E459" s="122" t="s">
        <v>1006</v>
      </c>
      <c r="F459" s="123" t="n">
        <v>45756</v>
      </c>
      <c r="G459" s="121" t="s">
        <v>30</v>
      </c>
      <c r="H45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A0455</v>
      </c>
      <c r="I45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B0455</v>
      </c>
      <c r="J459" s="122" t="s">
        <v>1007</v>
      </c>
      <c r="K45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C0455</v>
      </c>
      <c r="L45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D0455</v>
      </c>
      <c r="M45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E0455</v>
      </c>
      <c r="N459" s="122" t="s">
        <v>73</v>
      </c>
      <c r="O459" s="126" t="n">
        <v>3500000</v>
      </c>
      <c r="P459" s="121" t="s">
        <v>18</v>
      </c>
      <c r="Q459" s="121" t="s">
        <v>124</v>
      </c>
      <c r="R459" s="127"/>
      <c r="T459" s="118"/>
    </row>
    <row r="460" customFormat="false" ht="12.75" hidden="false" customHeight="true" outlineLevel="0" collapsed="false">
      <c r="B460" s="119" t="n">
        <f aca="false">ROW()-4</f>
        <v>456</v>
      </c>
      <c r="C460" s="120" t="n">
        <f aca="false">COUNTIFS($D$5:D460,D460)</f>
        <v>319</v>
      </c>
      <c r="D460" s="121" t="s">
        <v>391</v>
      </c>
      <c r="E460" s="122" t="s">
        <v>1008</v>
      </c>
      <c r="F460" s="123" t="n">
        <v>45756</v>
      </c>
      <c r="G460" s="121" t="s">
        <v>26</v>
      </c>
      <c r="H46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A0456</v>
      </c>
      <c r="I46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B0456</v>
      </c>
      <c r="J460" s="122" t="s">
        <v>1009</v>
      </c>
      <c r="K46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C0456</v>
      </c>
      <c r="L46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D0456</v>
      </c>
      <c r="M46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E0456</v>
      </c>
      <c r="N460" s="122" t="s">
        <v>73</v>
      </c>
      <c r="O460" s="126" t="n">
        <v>3500000</v>
      </c>
      <c r="P460" s="121" t="s">
        <v>18</v>
      </c>
      <c r="Q460" s="121" t="s">
        <v>124</v>
      </c>
      <c r="R460" s="127"/>
      <c r="T460" s="118"/>
    </row>
    <row r="461" customFormat="false" ht="12.75" hidden="false" customHeight="true" outlineLevel="0" collapsed="false">
      <c r="B461" s="119" t="n">
        <f aca="false">ROW()-4</f>
        <v>457</v>
      </c>
      <c r="C461" s="120" t="n">
        <f aca="false">COUNTIFS($D$5:D461,D461)</f>
        <v>320</v>
      </c>
      <c r="D461" s="121" t="s">
        <v>391</v>
      </c>
      <c r="E461" s="122" t="s">
        <v>1010</v>
      </c>
      <c r="F461" s="123" t="n">
        <v>45758</v>
      </c>
      <c r="G461" s="121" t="s">
        <v>26</v>
      </c>
      <c r="H46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A0457</v>
      </c>
      <c r="I46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B0457</v>
      </c>
      <c r="J461" s="122" t="s">
        <v>1011</v>
      </c>
      <c r="K46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C0457</v>
      </c>
      <c r="L46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D0457</v>
      </c>
      <c r="M46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E0457</v>
      </c>
      <c r="N461" s="122" t="s">
        <v>73</v>
      </c>
      <c r="O461" s="126" t="n">
        <v>3500000</v>
      </c>
      <c r="P461" s="121" t="s">
        <v>18</v>
      </c>
      <c r="Q461" s="121" t="s">
        <v>124</v>
      </c>
      <c r="R461" s="127"/>
      <c r="T461" s="118"/>
    </row>
    <row r="462" customFormat="false" ht="12.75" hidden="false" customHeight="true" outlineLevel="0" collapsed="false">
      <c r="B462" s="119" t="n">
        <f aca="false">ROW()-4</f>
        <v>458</v>
      </c>
      <c r="C462" s="120" t="n">
        <f aca="false">COUNTIFS($D$5:D462,D462)</f>
        <v>321</v>
      </c>
      <c r="D462" s="121" t="s">
        <v>391</v>
      </c>
      <c r="E462" s="122" t="s">
        <v>1012</v>
      </c>
      <c r="F462" s="123" t="n">
        <v>45758</v>
      </c>
      <c r="G462" s="121" t="s">
        <v>26</v>
      </c>
      <c r="H46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A0458</v>
      </c>
      <c r="I46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B0458</v>
      </c>
      <c r="J462" s="124" t="s">
        <v>1013</v>
      </c>
      <c r="K46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C0458</v>
      </c>
      <c r="L46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D0458</v>
      </c>
      <c r="M46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E0458</v>
      </c>
      <c r="N462" s="122" t="s">
        <v>73</v>
      </c>
      <c r="O462" s="126" t="n">
        <v>3500000</v>
      </c>
      <c r="P462" s="121" t="s">
        <v>18</v>
      </c>
      <c r="Q462" s="121" t="s">
        <v>124</v>
      </c>
      <c r="R462" s="127"/>
      <c r="T462" s="118"/>
    </row>
    <row r="463" customFormat="false" ht="12.75" hidden="false" customHeight="true" outlineLevel="0" collapsed="false">
      <c r="B463" s="119" t="n">
        <f aca="false">ROW()-4</f>
        <v>459</v>
      </c>
      <c r="C463" s="120" t="n">
        <f aca="false">COUNTIFS($D$5:D463,D463)</f>
        <v>322</v>
      </c>
      <c r="D463" s="121" t="s">
        <v>391</v>
      </c>
      <c r="E463" s="122" t="s">
        <v>1014</v>
      </c>
      <c r="F463" s="123" t="n">
        <v>45758</v>
      </c>
      <c r="G463" s="121" t="s">
        <v>26</v>
      </c>
      <c r="H46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A0459</v>
      </c>
      <c r="I46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B0459</v>
      </c>
      <c r="J463" s="124" t="s">
        <v>1015</v>
      </c>
      <c r="K46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C0459</v>
      </c>
      <c r="L46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D0459</v>
      </c>
      <c r="M46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E0459</v>
      </c>
      <c r="N463" s="122" t="s">
        <v>73</v>
      </c>
      <c r="O463" s="126" t="n">
        <v>3500000</v>
      </c>
      <c r="P463" s="121" t="s">
        <v>18</v>
      </c>
      <c r="Q463" s="121" t="s">
        <v>124</v>
      </c>
      <c r="R463" s="127"/>
      <c r="T463" s="118"/>
    </row>
    <row r="464" customFormat="false" ht="12.75" hidden="false" customHeight="true" outlineLevel="0" collapsed="false">
      <c r="B464" s="119" t="n">
        <f aca="false">ROW()-4</f>
        <v>460</v>
      </c>
      <c r="C464" s="120" t="n">
        <f aca="false">COUNTIFS($D$5:D464,D464)</f>
        <v>323</v>
      </c>
      <c r="D464" s="121" t="s">
        <v>391</v>
      </c>
      <c r="E464" s="122" t="s">
        <v>1016</v>
      </c>
      <c r="F464" s="123" t="n">
        <v>45749</v>
      </c>
      <c r="G464" s="121" t="s">
        <v>26</v>
      </c>
      <c r="H46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A0460</v>
      </c>
      <c r="I46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B0460</v>
      </c>
      <c r="J464" s="122" t="s">
        <v>1017</v>
      </c>
      <c r="K46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C0460</v>
      </c>
      <c r="L46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D0460</v>
      </c>
      <c r="M46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E0460</v>
      </c>
      <c r="N464" s="122" t="s">
        <v>73</v>
      </c>
      <c r="O464" s="126" t="n">
        <v>3500000</v>
      </c>
      <c r="P464" s="121" t="s">
        <v>18</v>
      </c>
      <c r="Q464" s="121" t="s">
        <v>124</v>
      </c>
      <c r="R464" s="127"/>
      <c r="T464" s="118"/>
    </row>
    <row r="465" customFormat="false" ht="12.75" hidden="false" customHeight="true" outlineLevel="0" collapsed="false">
      <c r="B465" s="119" t="n">
        <f aca="false">ROW()-4</f>
        <v>461</v>
      </c>
      <c r="C465" s="120" t="n">
        <f aca="false">COUNTIFS($D$5:D465,D465)</f>
        <v>324</v>
      </c>
      <c r="D465" s="121" t="s">
        <v>391</v>
      </c>
      <c r="E465" s="122" t="s">
        <v>1018</v>
      </c>
      <c r="F465" s="123" t="n">
        <v>45769</v>
      </c>
      <c r="G465" s="121" t="s">
        <v>26</v>
      </c>
      <c r="H46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A0461</v>
      </c>
      <c r="I46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B0461</v>
      </c>
      <c r="J465" s="122" t="s">
        <v>1019</v>
      </c>
      <c r="K46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C0461</v>
      </c>
      <c r="L46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D0461</v>
      </c>
      <c r="M46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E0461</v>
      </c>
      <c r="N465" s="122" t="s">
        <v>73</v>
      </c>
      <c r="O465" s="126" t="n">
        <v>3500000</v>
      </c>
      <c r="P465" s="121" t="s">
        <v>18</v>
      </c>
      <c r="Q465" s="121" t="s">
        <v>124</v>
      </c>
      <c r="R465" s="127"/>
      <c r="T465" s="118"/>
    </row>
    <row r="466" customFormat="false" ht="12.75" hidden="false" customHeight="true" outlineLevel="0" collapsed="false">
      <c r="B466" s="119" t="n">
        <f aca="false">ROW()-4</f>
        <v>462</v>
      </c>
      <c r="C466" s="120" t="n">
        <f aca="false">COUNTIFS($D$5:D466,D466)</f>
        <v>325</v>
      </c>
      <c r="D466" s="121" t="s">
        <v>391</v>
      </c>
      <c r="E466" s="122" t="s">
        <v>1020</v>
      </c>
      <c r="F466" s="123" t="n">
        <v>45768</v>
      </c>
      <c r="G466" s="121" t="s">
        <v>30</v>
      </c>
      <c r="H46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A0462</v>
      </c>
      <c r="I46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B0462</v>
      </c>
      <c r="J466" s="122" t="s">
        <v>1021</v>
      </c>
      <c r="K46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C0462</v>
      </c>
      <c r="L46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D0462</v>
      </c>
      <c r="M46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E0462</v>
      </c>
      <c r="N466" s="122" t="s">
        <v>73</v>
      </c>
      <c r="O466" s="126" t="n">
        <v>3500000</v>
      </c>
      <c r="P466" s="121" t="s">
        <v>18</v>
      </c>
      <c r="Q466" s="121" t="s">
        <v>124</v>
      </c>
      <c r="R466" s="127"/>
      <c r="T466" s="118"/>
    </row>
    <row r="467" customFormat="false" ht="12.75" hidden="false" customHeight="true" outlineLevel="0" collapsed="false">
      <c r="B467" s="119" t="n">
        <f aca="false">ROW()-4</f>
        <v>463</v>
      </c>
      <c r="C467" s="120" t="n">
        <f aca="false">COUNTIFS($D$5:D467,D467)</f>
        <v>326</v>
      </c>
      <c r="D467" s="121" t="s">
        <v>391</v>
      </c>
      <c r="E467" s="122" t="s">
        <v>1022</v>
      </c>
      <c r="F467" s="123" t="n">
        <v>45776</v>
      </c>
      <c r="G467" s="121" t="s">
        <v>24</v>
      </c>
      <c r="H46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A0463</v>
      </c>
      <c r="I46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B0463</v>
      </c>
      <c r="J467" s="122" t="s">
        <v>1023</v>
      </c>
      <c r="K46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C0463</v>
      </c>
      <c r="L46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D0463</v>
      </c>
      <c r="M46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E0463</v>
      </c>
      <c r="N467" s="122" t="s">
        <v>73</v>
      </c>
      <c r="O467" s="126" t="n">
        <v>3500000</v>
      </c>
      <c r="P467" s="121" t="s">
        <v>18</v>
      </c>
      <c r="Q467" s="121" t="s">
        <v>124</v>
      </c>
      <c r="R467" s="127"/>
      <c r="T467" s="118"/>
    </row>
    <row r="468" customFormat="false" ht="12.75" hidden="false" customHeight="true" outlineLevel="0" collapsed="false">
      <c r="B468" s="119" t="n">
        <f aca="false">ROW()-4</f>
        <v>464</v>
      </c>
      <c r="C468" s="120" t="n">
        <f aca="false">COUNTIFS($D$5:D468,D468)</f>
        <v>327</v>
      </c>
      <c r="D468" s="121" t="s">
        <v>391</v>
      </c>
      <c r="E468" s="122" t="s">
        <v>1024</v>
      </c>
      <c r="F468" s="123" t="n">
        <v>45761</v>
      </c>
      <c r="G468" s="121" t="s">
        <v>30</v>
      </c>
      <c r="H46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A0464</v>
      </c>
      <c r="I46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B0464</v>
      </c>
      <c r="J468" s="122" t="s">
        <v>1025</v>
      </c>
      <c r="K46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C0464</v>
      </c>
      <c r="L46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D0464</v>
      </c>
      <c r="M46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E0464</v>
      </c>
      <c r="N468" s="122" t="s">
        <v>73</v>
      </c>
      <c r="O468" s="126" t="n">
        <v>3500000</v>
      </c>
      <c r="P468" s="121" t="s">
        <v>18</v>
      </c>
      <c r="Q468" s="121" t="s">
        <v>124</v>
      </c>
      <c r="R468" s="127"/>
      <c r="T468" s="118"/>
    </row>
    <row r="469" customFormat="false" ht="12.75" hidden="false" customHeight="true" outlineLevel="0" collapsed="false">
      <c r="B469" s="119" t="n">
        <f aca="false">ROW()-4</f>
        <v>465</v>
      </c>
      <c r="C469" s="120" t="n">
        <f aca="false">COUNTIFS($D$5:D469,D469)</f>
        <v>328</v>
      </c>
      <c r="D469" s="121" t="s">
        <v>391</v>
      </c>
      <c r="E469" s="122" t="s">
        <v>1026</v>
      </c>
      <c r="F469" s="123" t="n">
        <v>45054</v>
      </c>
      <c r="G469" s="121" t="s">
        <v>26</v>
      </c>
      <c r="H46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A0465</v>
      </c>
      <c r="I46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B0465</v>
      </c>
      <c r="J469" s="122" t="s">
        <v>1027</v>
      </c>
      <c r="K46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C0465</v>
      </c>
      <c r="L46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D0465</v>
      </c>
      <c r="M46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E0465</v>
      </c>
      <c r="N469" s="122" t="s">
        <v>73</v>
      </c>
      <c r="O469" s="126" t="n">
        <v>3500000</v>
      </c>
      <c r="P469" s="121" t="s">
        <v>18</v>
      </c>
      <c r="Q469" s="121" t="s">
        <v>124</v>
      </c>
      <c r="R469" s="127"/>
      <c r="T469" s="118"/>
    </row>
    <row r="470" customFormat="false" ht="12.75" hidden="false" customHeight="true" outlineLevel="0" collapsed="false">
      <c r="B470" s="119" t="n">
        <f aca="false">ROW()-4</f>
        <v>466</v>
      </c>
      <c r="C470" s="120" t="n">
        <f aca="false">COUNTIFS($D$5:D470,D470)</f>
        <v>329</v>
      </c>
      <c r="D470" s="121" t="s">
        <v>391</v>
      </c>
      <c r="E470" s="122" t="s">
        <v>1028</v>
      </c>
      <c r="F470" s="123" t="n">
        <v>45279</v>
      </c>
      <c r="G470" s="121" t="s">
        <v>26</v>
      </c>
      <c r="H47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A0466</v>
      </c>
      <c r="I47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B0466</v>
      </c>
      <c r="J470" s="122" t="s">
        <v>1029</v>
      </c>
      <c r="K47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C0466</v>
      </c>
      <c r="L47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D0466</v>
      </c>
      <c r="M47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E0466</v>
      </c>
      <c r="N470" s="122" t="s">
        <v>73</v>
      </c>
      <c r="O470" s="126" t="n">
        <v>3500000</v>
      </c>
      <c r="P470" s="121" t="s">
        <v>18</v>
      </c>
      <c r="Q470" s="121" t="s">
        <v>124</v>
      </c>
      <c r="R470" s="127"/>
      <c r="T470" s="118"/>
    </row>
    <row r="471" customFormat="false" ht="12.75" hidden="false" customHeight="true" outlineLevel="0" collapsed="false">
      <c r="B471" s="119" t="n">
        <f aca="false">ROW()-4</f>
        <v>467</v>
      </c>
      <c r="C471" s="120" t="n">
        <f aca="false">COUNTIFS($D$5:D471,D471)</f>
        <v>330</v>
      </c>
      <c r="D471" s="121" t="s">
        <v>391</v>
      </c>
      <c r="E471" s="122" t="s">
        <v>1030</v>
      </c>
      <c r="F471" s="123" t="n">
        <v>45041</v>
      </c>
      <c r="G471" s="121" t="s">
        <v>30</v>
      </c>
      <c r="H47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A0467</v>
      </c>
      <c r="I47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B0467</v>
      </c>
      <c r="J471" s="122" t="s">
        <v>1031</v>
      </c>
      <c r="K47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C0467</v>
      </c>
      <c r="L47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D0467</v>
      </c>
      <c r="M47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E0467</v>
      </c>
      <c r="N471" s="122" t="s">
        <v>73</v>
      </c>
      <c r="O471" s="126" t="n">
        <v>3500000</v>
      </c>
      <c r="P471" s="121" t="s">
        <v>18</v>
      </c>
      <c r="Q471" s="121" t="s">
        <v>124</v>
      </c>
      <c r="R471" s="127"/>
      <c r="T471" s="118"/>
    </row>
    <row r="472" customFormat="false" ht="12.75" hidden="false" customHeight="true" outlineLevel="0" collapsed="false">
      <c r="B472" s="119" t="n">
        <f aca="false">ROW()-4</f>
        <v>468</v>
      </c>
      <c r="C472" s="120" t="n">
        <f aca="false">COUNTIFS($D$5:D472,D472)</f>
        <v>331</v>
      </c>
      <c r="D472" s="121" t="s">
        <v>391</v>
      </c>
      <c r="E472" s="122" t="s">
        <v>1032</v>
      </c>
      <c r="F472" s="123" t="n">
        <v>45546</v>
      </c>
      <c r="G472" s="121" t="s">
        <v>30</v>
      </c>
      <c r="H47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A0468</v>
      </c>
      <c r="I47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B0468</v>
      </c>
      <c r="J472" s="122" t="s">
        <v>1033</v>
      </c>
      <c r="K47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C0468</v>
      </c>
      <c r="L47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D0468</v>
      </c>
      <c r="M47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E0468</v>
      </c>
      <c r="N472" s="122" t="s">
        <v>73</v>
      </c>
      <c r="O472" s="126" t="n">
        <v>3500000</v>
      </c>
      <c r="P472" s="121" t="s">
        <v>18</v>
      </c>
      <c r="Q472" s="121" t="s">
        <v>124</v>
      </c>
      <c r="R472" s="127"/>
      <c r="T472" s="118"/>
    </row>
    <row r="473" customFormat="false" ht="12.75" hidden="false" customHeight="true" outlineLevel="0" collapsed="false">
      <c r="B473" s="119" t="n">
        <f aca="false">ROW()-4</f>
        <v>469</v>
      </c>
      <c r="C473" s="120" t="n">
        <f aca="false">COUNTIFS($D$5:D473,D473)</f>
        <v>332</v>
      </c>
      <c r="D473" s="121" t="s">
        <v>391</v>
      </c>
      <c r="E473" s="122" t="s">
        <v>1034</v>
      </c>
      <c r="F473" s="123" t="n">
        <v>45173</v>
      </c>
      <c r="G473" s="121" t="s">
        <v>24</v>
      </c>
      <c r="H47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A0469</v>
      </c>
      <c r="I47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B0469</v>
      </c>
      <c r="J473" s="122" t="s">
        <v>1035</v>
      </c>
      <c r="K47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C0469</v>
      </c>
      <c r="L47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D0469</v>
      </c>
      <c r="M47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E0469</v>
      </c>
      <c r="N473" s="122" t="s">
        <v>73</v>
      </c>
      <c r="O473" s="126" t="n">
        <v>3500000</v>
      </c>
      <c r="P473" s="121" t="s">
        <v>18</v>
      </c>
      <c r="Q473" s="121" t="s">
        <v>124</v>
      </c>
      <c r="R473" s="127"/>
      <c r="T473" s="118"/>
    </row>
    <row r="474" customFormat="false" ht="12.75" hidden="false" customHeight="true" outlineLevel="0" collapsed="false">
      <c r="B474" s="119" t="n">
        <f aca="false">ROW()-4</f>
        <v>470</v>
      </c>
      <c r="C474" s="120" t="n">
        <f aca="false">COUNTIFS($D$5:D474,D474)</f>
        <v>333</v>
      </c>
      <c r="D474" s="121" t="s">
        <v>391</v>
      </c>
      <c r="E474" s="122" t="s">
        <v>1036</v>
      </c>
      <c r="F474" s="123" t="n">
        <v>45097</v>
      </c>
      <c r="G474" s="121" t="s">
        <v>22</v>
      </c>
      <c r="H47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A0470</v>
      </c>
      <c r="I47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B0470</v>
      </c>
      <c r="J474" s="122" t="s">
        <v>1037</v>
      </c>
      <c r="K47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C0470</v>
      </c>
      <c r="L47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D0470</v>
      </c>
      <c r="M47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E0470</v>
      </c>
      <c r="N474" s="122" t="s">
        <v>73</v>
      </c>
      <c r="O474" s="126" t="n">
        <v>3500000</v>
      </c>
      <c r="P474" s="121" t="s">
        <v>18</v>
      </c>
      <c r="Q474" s="121" t="s">
        <v>124</v>
      </c>
      <c r="R474" s="127"/>
      <c r="T474" s="118"/>
    </row>
    <row r="475" customFormat="false" ht="12.75" hidden="false" customHeight="true" outlineLevel="0" collapsed="false">
      <c r="B475" s="119" t="n">
        <f aca="false">ROW()-4</f>
        <v>471</v>
      </c>
      <c r="C475" s="120" t="n">
        <f aca="false">COUNTIFS($D$5:D475,D475)</f>
        <v>334</v>
      </c>
      <c r="D475" s="121" t="s">
        <v>391</v>
      </c>
      <c r="E475" s="122" t="s">
        <v>1038</v>
      </c>
      <c r="F475" s="123" t="n">
        <v>44971</v>
      </c>
      <c r="G475" s="121" t="s">
        <v>22</v>
      </c>
      <c r="H47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A0471</v>
      </c>
      <c r="I47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B0471</v>
      </c>
      <c r="J475" s="122" t="s">
        <v>1039</v>
      </c>
      <c r="K47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C0471</v>
      </c>
      <c r="L47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D0471</v>
      </c>
      <c r="M47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E0471</v>
      </c>
      <c r="N475" s="122" t="s">
        <v>73</v>
      </c>
      <c r="O475" s="126" t="n">
        <v>3500000</v>
      </c>
      <c r="P475" s="121" t="s">
        <v>18</v>
      </c>
      <c r="Q475" s="121" t="s">
        <v>124</v>
      </c>
      <c r="R475" s="127"/>
      <c r="T475" s="118"/>
    </row>
    <row r="476" customFormat="false" ht="12.75" hidden="false" customHeight="true" outlineLevel="0" collapsed="false">
      <c r="B476" s="119" t="n">
        <f aca="false">ROW()-4</f>
        <v>472</v>
      </c>
      <c r="C476" s="120" t="n">
        <f aca="false">COUNTIFS($D$5:D476,D476)</f>
        <v>335</v>
      </c>
      <c r="D476" s="121" t="s">
        <v>391</v>
      </c>
      <c r="E476" s="122" t="s">
        <v>1040</v>
      </c>
      <c r="F476" s="123" t="n">
        <v>45250</v>
      </c>
      <c r="G476" s="121" t="s">
        <v>22</v>
      </c>
      <c r="H47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A0472</v>
      </c>
      <c r="I47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B0472</v>
      </c>
      <c r="J476" s="122" t="s">
        <v>1041</v>
      </c>
      <c r="K47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C0472</v>
      </c>
      <c r="L47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D0472</v>
      </c>
      <c r="M47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E0472</v>
      </c>
      <c r="N476" s="122" t="s">
        <v>73</v>
      </c>
      <c r="O476" s="126" t="n">
        <v>3500000</v>
      </c>
      <c r="P476" s="121" t="s">
        <v>18</v>
      </c>
      <c r="Q476" s="121" t="s">
        <v>124</v>
      </c>
      <c r="R476" s="127"/>
      <c r="T476" s="118"/>
    </row>
    <row r="477" customFormat="false" ht="12.75" hidden="false" customHeight="true" outlineLevel="0" collapsed="false">
      <c r="B477" s="119" t="n">
        <f aca="false">ROW()-4</f>
        <v>473</v>
      </c>
      <c r="C477" s="120" t="n">
        <f aca="false">COUNTIFS($D$5:D477,D477)</f>
        <v>336</v>
      </c>
      <c r="D477" s="121" t="s">
        <v>391</v>
      </c>
      <c r="E477" s="122" t="s">
        <v>1042</v>
      </c>
      <c r="F477" s="123" t="n">
        <v>45184</v>
      </c>
      <c r="G477" s="121" t="s">
        <v>22</v>
      </c>
      <c r="H47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A0473</v>
      </c>
      <c r="I47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B0473</v>
      </c>
      <c r="J477" s="122" t="s">
        <v>1043</v>
      </c>
      <c r="K47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C0473</v>
      </c>
      <c r="L47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D0473</v>
      </c>
      <c r="M47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E0473</v>
      </c>
      <c r="N477" s="122" t="s">
        <v>73</v>
      </c>
      <c r="O477" s="126" t="n">
        <v>3500000</v>
      </c>
      <c r="P477" s="121" t="s">
        <v>18</v>
      </c>
      <c r="Q477" s="121" t="s">
        <v>124</v>
      </c>
      <c r="R477" s="127"/>
      <c r="T477" s="118"/>
    </row>
    <row r="478" customFormat="false" ht="12.75" hidden="false" customHeight="true" outlineLevel="0" collapsed="false">
      <c r="B478" s="119" t="n">
        <f aca="false">ROW()-4</f>
        <v>474</v>
      </c>
      <c r="C478" s="120" t="n">
        <f aca="false">COUNTIFS($D$5:D478,D478)</f>
        <v>337</v>
      </c>
      <c r="D478" s="121" t="s">
        <v>391</v>
      </c>
      <c r="E478" s="122" t="s">
        <v>1044</v>
      </c>
      <c r="F478" s="123" t="n">
        <v>44964</v>
      </c>
      <c r="G478" s="121" t="s">
        <v>22</v>
      </c>
      <c r="H47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A0474</v>
      </c>
      <c r="I47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B0474</v>
      </c>
      <c r="J478" s="122" t="s">
        <v>1045</v>
      </c>
      <c r="K47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C0474</v>
      </c>
      <c r="L47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D0474</v>
      </c>
      <c r="M47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E0474</v>
      </c>
      <c r="N478" s="122" t="s">
        <v>73</v>
      </c>
      <c r="O478" s="126" t="n">
        <v>3500000</v>
      </c>
      <c r="P478" s="121" t="s">
        <v>18</v>
      </c>
      <c r="Q478" s="121" t="s">
        <v>124</v>
      </c>
      <c r="R478" s="127"/>
      <c r="T478" s="118"/>
    </row>
    <row r="479" customFormat="false" ht="12.75" hidden="false" customHeight="true" outlineLevel="0" collapsed="false">
      <c r="B479" s="119" t="n">
        <f aca="false">ROW()-4</f>
        <v>475</v>
      </c>
      <c r="C479" s="120" t="n">
        <f aca="false">COUNTIFS($D$5:D479,D479)</f>
        <v>338</v>
      </c>
      <c r="D479" s="121" t="s">
        <v>391</v>
      </c>
      <c r="E479" s="122" t="s">
        <v>1046</v>
      </c>
      <c r="F479" s="123" t="n">
        <v>45236</v>
      </c>
      <c r="G479" s="121" t="s">
        <v>22</v>
      </c>
      <c r="H47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A0475</v>
      </c>
      <c r="I47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B0475</v>
      </c>
      <c r="J479" s="122" t="s">
        <v>1047</v>
      </c>
      <c r="K47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C0475</v>
      </c>
      <c r="L47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D0475</v>
      </c>
      <c r="M47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E0475</v>
      </c>
      <c r="N479" s="122" t="s">
        <v>73</v>
      </c>
      <c r="O479" s="126" t="n">
        <v>3500000</v>
      </c>
      <c r="P479" s="121" t="s">
        <v>18</v>
      </c>
      <c r="Q479" s="121" t="s">
        <v>124</v>
      </c>
      <c r="R479" s="127"/>
      <c r="T479" s="118"/>
    </row>
    <row r="480" customFormat="false" ht="12.75" hidden="false" customHeight="true" outlineLevel="0" collapsed="false">
      <c r="B480" s="119" t="n">
        <f aca="false">ROW()-4</f>
        <v>476</v>
      </c>
      <c r="C480" s="120" t="n">
        <f aca="false">COUNTIFS($D$5:D480,D480)</f>
        <v>339</v>
      </c>
      <c r="D480" s="121" t="s">
        <v>391</v>
      </c>
      <c r="E480" s="122" t="s">
        <v>1048</v>
      </c>
      <c r="F480" s="123" t="n">
        <v>45229</v>
      </c>
      <c r="G480" s="121" t="s">
        <v>22</v>
      </c>
      <c r="H48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A0476</v>
      </c>
      <c r="I48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B0476</v>
      </c>
      <c r="J480" s="122" t="s">
        <v>1049</v>
      </c>
      <c r="K48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C0476</v>
      </c>
      <c r="L48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D0476</v>
      </c>
      <c r="M48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E0476</v>
      </c>
      <c r="N480" s="122" t="s">
        <v>73</v>
      </c>
      <c r="O480" s="126" t="n">
        <v>3500000</v>
      </c>
      <c r="P480" s="121" t="s">
        <v>18</v>
      </c>
      <c r="Q480" s="121" t="s">
        <v>124</v>
      </c>
      <c r="R480" s="127"/>
      <c r="T480" s="118"/>
    </row>
    <row r="481" s="118" customFormat="true" ht="12.75" hidden="false" customHeight="true" outlineLevel="0" collapsed="false">
      <c r="A481" s="98"/>
      <c r="B481" s="119" t="n">
        <f aca="false">ROW()-4</f>
        <v>477</v>
      </c>
      <c r="C481" s="120" t="n">
        <f aca="false">COUNTIFS($D$5:D481,D481)</f>
        <v>340</v>
      </c>
      <c r="D481" s="121" t="s">
        <v>391</v>
      </c>
      <c r="E481" s="122" t="s">
        <v>1050</v>
      </c>
      <c r="F481" s="123" t="n">
        <v>45309</v>
      </c>
      <c r="G481" s="121" t="s">
        <v>22</v>
      </c>
      <c r="H48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A0477</v>
      </c>
      <c r="I48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B0477</v>
      </c>
      <c r="J481" s="122" t="s">
        <v>1051</v>
      </c>
      <c r="K48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C0477</v>
      </c>
      <c r="L48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D0477</v>
      </c>
      <c r="M48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E0477</v>
      </c>
      <c r="N481" s="122" t="s">
        <v>73</v>
      </c>
      <c r="O481" s="126" t="n">
        <v>3500000</v>
      </c>
      <c r="P481" s="121" t="s">
        <v>18</v>
      </c>
      <c r="Q481" s="121" t="s">
        <v>124</v>
      </c>
      <c r="R481" s="127"/>
    </row>
    <row r="482" s="118" customFormat="true" ht="12.75" hidden="false" customHeight="true" outlineLevel="0" collapsed="false">
      <c r="A482" s="98"/>
      <c r="B482" s="119" t="n">
        <f aca="false">ROW()-4</f>
        <v>478</v>
      </c>
      <c r="C482" s="120" t="n">
        <f aca="false">COUNTIFS($D$5:D482,D482)</f>
        <v>341</v>
      </c>
      <c r="D482" s="121" t="s">
        <v>391</v>
      </c>
      <c r="E482" s="124" t="s">
        <v>1052</v>
      </c>
      <c r="F482" s="137" t="n">
        <v>45904</v>
      </c>
      <c r="G482" s="138" t="s">
        <v>24</v>
      </c>
      <c r="H482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A0478</v>
      </c>
      <c r="I482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B0478</v>
      </c>
      <c r="J482" s="124" t="s">
        <v>1053</v>
      </c>
      <c r="K482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C0478</v>
      </c>
      <c r="L482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D0478</v>
      </c>
      <c r="M48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E0478</v>
      </c>
      <c r="N482" s="122" t="s">
        <v>73</v>
      </c>
      <c r="O482" s="126" t="n">
        <v>3500000</v>
      </c>
      <c r="P482" s="121" t="s">
        <v>18</v>
      </c>
      <c r="Q482" s="121" t="s">
        <v>124</v>
      </c>
      <c r="R482" s="127"/>
    </row>
    <row r="483" s="118" customFormat="true" ht="12.75" hidden="false" customHeight="true" outlineLevel="0" collapsed="false">
      <c r="A483" s="98"/>
      <c r="B483" s="119" t="n">
        <f aca="false">ROW()-4</f>
        <v>479</v>
      </c>
      <c r="C483" s="120" t="n">
        <f aca="false">COUNTIFS($D$5:D483,D483)</f>
        <v>342</v>
      </c>
      <c r="D483" s="121" t="s">
        <v>391</v>
      </c>
      <c r="E483" s="122" t="s">
        <v>1054</v>
      </c>
      <c r="F483" s="123" t="n">
        <v>45805</v>
      </c>
      <c r="G483" s="121" t="s">
        <v>26</v>
      </c>
      <c r="H48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A0479</v>
      </c>
      <c r="I48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B0479</v>
      </c>
      <c r="J483" s="122" t="s">
        <v>1055</v>
      </c>
      <c r="K48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C0479</v>
      </c>
      <c r="L48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D0479</v>
      </c>
      <c r="M48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E0479</v>
      </c>
      <c r="N483" s="122" t="s">
        <v>73</v>
      </c>
      <c r="O483" s="126" t="n">
        <v>3500000</v>
      </c>
      <c r="P483" s="121" t="s">
        <v>18</v>
      </c>
      <c r="Q483" s="121" t="s">
        <v>124</v>
      </c>
      <c r="R483" s="127"/>
    </row>
    <row r="484" s="118" customFormat="true" ht="12.75" hidden="false" customHeight="true" outlineLevel="0" collapsed="false">
      <c r="A484" s="98"/>
      <c r="B484" s="119" t="n">
        <f aca="false">ROW()-4</f>
        <v>480</v>
      </c>
      <c r="C484" s="120" t="n">
        <f aca="false">COUNTIFS($D$5:D484,D484)</f>
        <v>343</v>
      </c>
      <c r="D484" s="121" t="s">
        <v>391</v>
      </c>
      <c r="E484" s="122" t="s">
        <v>1056</v>
      </c>
      <c r="F484" s="123" t="n">
        <v>45258</v>
      </c>
      <c r="G484" s="121" t="s">
        <v>28</v>
      </c>
      <c r="H48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A0480</v>
      </c>
      <c r="I48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B0480</v>
      </c>
      <c r="J484" s="122" t="s">
        <v>1057</v>
      </c>
      <c r="K48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C0480</v>
      </c>
      <c r="L48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D0480</v>
      </c>
      <c r="M48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E0480</v>
      </c>
      <c r="N484" s="122" t="s">
        <v>73</v>
      </c>
      <c r="O484" s="126" t="n">
        <v>3500000</v>
      </c>
      <c r="P484" s="121" t="s">
        <v>18</v>
      </c>
      <c r="Q484" s="121" t="s">
        <v>124</v>
      </c>
      <c r="R484" s="127"/>
    </row>
    <row r="485" s="118" customFormat="true" ht="12.75" hidden="false" customHeight="true" outlineLevel="0" collapsed="false">
      <c r="A485" s="98"/>
      <c r="B485" s="119" t="n">
        <f aca="false">ROW()-4</f>
        <v>481</v>
      </c>
      <c r="C485" s="120" t="n">
        <f aca="false">COUNTIFS($D$5:D485,D485)</f>
        <v>344</v>
      </c>
      <c r="D485" s="121" t="s">
        <v>391</v>
      </c>
      <c r="E485" s="122" t="s">
        <v>1058</v>
      </c>
      <c r="F485" s="123" t="n">
        <v>45443</v>
      </c>
      <c r="G485" s="121" t="s">
        <v>28</v>
      </c>
      <c r="H48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A0481</v>
      </c>
      <c r="I48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B0481</v>
      </c>
      <c r="J485" s="122" t="s">
        <v>1059</v>
      </c>
      <c r="K48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C0481</v>
      </c>
      <c r="L48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D0481</v>
      </c>
      <c r="M48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E0481</v>
      </c>
      <c r="N485" s="122" t="s">
        <v>73</v>
      </c>
      <c r="O485" s="126" t="n">
        <v>3500000</v>
      </c>
      <c r="P485" s="121" t="s">
        <v>18</v>
      </c>
      <c r="Q485" s="121" t="s">
        <v>124</v>
      </c>
      <c r="R485" s="127"/>
    </row>
    <row r="486" s="118" customFormat="true" ht="12.75" hidden="false" customHeight="true" outlineLevel="0" collapsed="false">
      <c r="A486" s="98"/>
      <c r="B486" s="119" t="n">
        <f aca="false">ROW()-4</f>
        <v>482</v>
      </c>
      <c r="C486" s="120" t="n">
        <f aca="false">COUNTIFS($D$5:D486,D486)</f>
        <v>345</v>
      </c>
      <c r="D486" s="121" t="s">
        <v>391</v>
      </c>
      <c r="E486" s="122" t="s">
        <v>1060</v>
      </c>
      <c r="F486" s="123" t="n">
        <v>45497</v>
      </c>
      <c r="G486" s="121" t="s">
        <v>28</v>
      </c>
      <c r="H48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A0482</v>
      </c>
      <c r="I48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B0482</v>
      </c>
      <c r="J486" s="122" t="s">
        <v>1061</v>
      </c>
      <c r="K48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C0482</v>
      </c>
      <c r="L48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D0482</v>
      </c>
      <c r="M48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E0482</v>
      </c>
      <c r="N486" s="122" t="s">
        <v>73</v>
      </c>
      <c r="O486" s="126" t="n">
        <v>3500000</v>
      </c>
      <c r="P486" s="121" t="s">
        <v>18</v>
      </c>
      <c r="Q486" s="121" t="s">
        <v>124</v>
      </c>
      <c r="R486" s="127"/>
    </row>
    <row r="487" s="118" customFormat="true" ht="12.75" hidden="false" customHeight="true" outlineLevel="0" collapsed="false">
      <c r="A487" s="98"/>
      <c r="B487" s="119" t="n">
        <f aca="false">ROW()-4</f>
        <v>483</v>
      </c>
      <c r="C487" s="120" t="n">
        <f aca="false">COUNTIFS($D$5:D487,D487)</f>
        <v>346</v>
      </c>
      <c r="D487" s="121" t="s">
        <v>391</v>
      </c>
      <c r="E487" s="122" t="s">
        <v>1062</v>
      </c>
      <c r="F487" s="123" t="n">
        <v>45810</v>
      </c>
      <c r="G487" s="121" t="s">
        <v>24</v>
      </c>
      <c r="H48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A0483</v>
      </c>
      <c r="I48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B0483</v>
      </c>
      <c r="J487" s="122" t="s">
        <v>1063</v>
      </c>
      <c r="K48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C0483</v>
      </c>
      <c r="L48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D0483</v>
      </c>
      <c r="M48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E0483</v>
      </c>
      <c r="N487" s="122" t="s">
        <v>73</v>
      </c>
      <c r="O487" s="126" t="n">
        <v>3500000</v>
      </c>
      <c r="P487" s="121" t="s">
        <v>18</v>
      </c>
      <c r="Q487" s="121" t="s">
        <v>124</v>
      </c>
      <c r="R487" s="127"/>
    </row>
    <row r="488" s="118" customFormat="true" ht="12.75" hidden="false" customHeight="true" outlineLevel="0" collapsed="false">
      <c r="A488" s="98"/>
      <c r="B488" s="119" t="n">
        <f aca="false">ROW()-4</f>
        <v>484</v>
      </c>
      <c r="C488" s="120" t="n">
        <f aca="false">COUNTIFS($D$5:D488,D488)</f>
        <v>347</v>
      </c>
      <c r="D488" s="121" t="s">
        <v>391</v>
      </c>
      <c r="E488" s="122" t="s">
        <v>1064</v>
      </c>
      <c r="F488" s="123" t="n">
        <v>45810</v>
      </c>
      <c r="G488" s="121" t="s">
        <v>24</v>
      </c>
      <c r="H48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A0484</v>
      </c>
      <c r="I48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B0484</v>
      </c>
      <c r="J488" s="122" t="s">
        <v>1065</v>
      </c>
      <c r="K48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C0484</v>
      </c>
      <c r="L48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D0484</v>
      </c>
      <c r="M48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E0484</v>
      </c>
      <c r="N488" s="122" t="s">
        <v>73</v>
      </c>
      <c r="O488" s="126" t="n">
        <v>3500000</v>
      </c>
      <c r="P488" s="121" t="s">
        <v>18</v>
      </c>
      <c r="Q488" s="121" t="s">
        <v>124</v>
      </c>
      <c r="R488" s="127"/>
    </row>
    <row r="489" s="118" customFormat="true" ht="12.75" hidden="false" customHeight="true" outlineLevel="0" collapsed="false">
      <c r="A489" s="98"/>
      <c r="B489" s="119" t="n">
        <f aca="false">ROW()-4</f>
        <v>485</v>
      </c>
      <c r="C489" s="120" t="n">
        <f aca="false">COUNTIFS($D$5:D489,D489)</f>
        <v>348</v>
      </c>
      <c r="D489" s="121" t="s">
        <v>391</v>
      </c>
      <c r="E489" s="122" t="s">
        <v>1066</v>
      </c>
      <c r="F489" s="123" t="n">
        <v>45610</v>
      </c>
      <c r="G489" s="121" t="s">
        <v>22</v>
      </c>
      <c r="H48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A0485</v>
      </c>
      <c r="I48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B0485</v>
      </c>
      <c r="J489" s="122" t="s">
        <v>1067</v>
      </c>
      <c r="K48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C0485</v>
      </c>
      <c r="L48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D0485</v>
      </c>
      <c r="M48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E0485</v>
      </c>
      <c r="N489" s="122" t="s">
        <v>73</v>
      </c>
      <c r="O489" s="126" t="n">
        <v>3500000</v>
      </c>
      <c r="P489" s="121" t="s">
        <v>18</v>
      </c>
      <c r="Q489" s="121" t="s">
        <v>124</v>
      </c>
      <c r="R489" s="127"/>
    </row>
    <row r="490" s="118" customFormat="true" ht="12.75" hidden="false" customHeight="true" outlineLevel="0" collapsed="false">
      <c r="A490" s="98"/>
      <c r="B490" s="119" t="n">
        <f aca="false">ROW()-4</f>
        <v>486</v>
      </c>
      <c r="C490" s="120" t="n">
        <f aca="false">COUNTIFS($D$5:D490,D490)</f>
        <v>349</v>
      </c>
      <c r="D490" s="121" t="s">
        <v>391</v>
      </c>
      <c r="E490" s="122" t="s">
        <v>1068</v>
      </c>
      <c r="F490" s="123" t="n">
        <v>45582</v>
      </c>
      <c r="G490" s="121" t="s">
        <v>22</v>
      </c>
      <c r="H49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A0486</v>
      </c>
      <c r="I49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B0486</v>
      </c>
      <c r="J490" s="122" t="s">
        <v>1069</v>
      </c>
      <c r="K49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C0486</v>
      </c>
      <c r="L49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D0486</v>
      </c>
      <c r="M49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E0486</v>
      </c>
      <c r="N490" s="122" t="s">
        <v>73</v>
      </c>
      <c r="O490" s="126" t="n">
        <v>3500000</v>
      </c>
      <c r="P490" s="121" t="s">
        <v>18</v>
      </c>
      <c r="Q490" s="121" t="s">
        <v>124</v>
      </c>
      <c r="R490" s="127"/>
    </row>
    <row r="491" s="118" customFormat="true" ht="12.75" hidden="false" customHeight="true" outlineLevel="0" collapsed="false">
      <c r="A491" s="98"/>
      <c r="B491" s="119" t="n">
        <f aca="false">ROW()-4</f>
        <v>487</v>
      </c>
      <c r="C491" s="120" t="n">
        <f aca="false">COUNTIFS($D$5:D491,D491)</f>
        <v>350</v>
      </c>
      <c r="D491" s="121" t="s">
        <v>391</v>
      </c>
      <c r="E491" s="122" t="s">
        <v>1070</v>
      </c>
      <c r="F491" s="123" t="n">
        <v>45663</v>
      </c>
      <c r="G491" s="121" t="s">
        <v>22</v>
      </c>
      <c r="H49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A0487</v>
      </c>
      <c r="I49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B0487</v>
      </c>
      <c r="J491" s="122" t="s">
        <v>1071</v>
      </c>
      <c r="K49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C0487</v>
      </c>
      <c r="L49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D0487</v>
      </c>
      <c r="M49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E0487</v>
      </c>
      <c r="N491" s="122" t="s">
        <v>73</v>
      </c>
      <c r="O491" s="126" t="n">
        <v>3500000</v>
      </c>
      <c r="P491" s="121" t="s">
        <v>18</v>
      </c>
      <c r="Q491" s="121" t="s">
        <v>124</v>
      </c>
      <c r="R491" s="127"/>
    </row>
    <row r="492" s="118" customFormat="true" ht="12.75" hidden="false" customHeight="true" outlineLevel="0" collapsed="false">
      <c r="A492" s="98"/>
      <c r="B492" s="119" t="n">
        <f aca="false">ROW()-4</f>
        <v>488</v>
      </c>
      <c r="C492" s="120" t="n">
        <f aca="false">COUNTIFS($D$5:D492,D492)</f>
        <v>351</v>
      </c>
      <c r="D492" s="121" t="s">
        <v>391</v>
      </c>
      <c r="E492" s="122" t="s">
        <v>1072</v>
      </c>
      <c r="F492" s="123" t="n">
        <v>45833</v>
      </c>
      <c r="G492" s="121" t="s">
        <v>26</v>
      </c>
      <c r="H49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A0488</v>
      </c>
      <c r="I49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B0488</v>
      </c>
      <c r="J492" s="122" t="s">
        <v>1073</v>
      </c>
      <c r="K49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C0488</v>
      </c>
      <c r="L49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D0488</v>
      </c>
      <c r="M49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E0488</v>
      </c>
      <c r="N492" s="122" t="s">
        <v>73</v>
      </c>
      <c r="O492" s="126" t="n">
        <v>3500000</v>
      </c>
      <c r="P492" s="121" t="s">
        <v>18</v>
      </c>
      <c r="Q492" s="121" t="s">
        <v>124</v>
      </c>
      <c r="R492" s="127"/>
    </row>
    <row r="493" s="118" customFormat="true" ht="12.75" hidden="false" customHeight="true" outlineLevel="0" collapsed="false">
      <c r="A493" s="98"/>
      <c r="B493" s="119" t="n">
        <f aca="false">ROW()-4</f>
        <v>489</v>
      </c>
      <c r="C493" s="120" t="n">
        <f aca="false">COUNTIFS($D$5:D493,D493)</f>
        <v>352</v>
      </c>
      <c r="D493" s="121" t="s">
        <v>391</v>
      </c>
      <c r="E493" s="122" t="s">
        <v>1074</v>
      </c>
      <c r="F493" s="123" t="n">
        <v>45833</v>
      </c>
      <c r="G493" s="121" t="s">
        <v>22</v>
      </c>
      <c r="H49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A0489</v>
      </c>
      <c r="I49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B0489</v>
      </c>
      <c r="J493" s="122" t="s">
        <v>1075</v>
      </c>
      <c r="K49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C0489</v>
      </c>
      <c r="L49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D0489</v>
      </c>
      <c r="M49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E0489</v>
      </c>
      <c r="N493" s="122" t="s">
        <v>73</v>
      </c>
      <c r="O493" s="126" t="n">
        <v>3500000</v>
      </c>
      <c r="P493" s="121" t="s">
        <v>18</v>
      </c>
      <c r="Q493" s="121" t="s">
        <v>124</v>
      </c>
      <c r="R493" s="127"/>
    </row>
    <row r="494" customFormat="false" ht="12.75" hidden="false" customHeight="true" outlineLevel="0" collapsed="false">
      <c r="B494" s="119" t="n">
        <f aca="false">ROW()-4</f>
        <v>490</v>
      </c>
      <c r="C494" s="120" t="n">
        <f aca="false">COUNTIFS($D$5:D494,D494)</f>
        <v>353</v>
      </c>
      <c r="D494" s="121" t="s">
        <v>391</v>
      </c>
      <c r="E494" s="122" t="s">
        <v>1076</v>
      </c>
      <c r="F494" s="123" t="n">
        <v>45439</v>
      </c>
      <c r="G494" s="121" t="s">
        <v>30</v>
      </c>
      <c r="H49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A0490</v>
      </c>
      <c r="I49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B0490</v>
      </c>
      <c r="J494" s="122" t="s">
        <v>1077</v>
      </c>
      <c r="K49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C0490</v>
      </c>
      <c r="L49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D0490</v>
      </c>
      <c r="M49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E0490</v>
      </c>
      <c r="N494" s="122" t="s">
        <v>73</v>
      </c>
      <c r="O494" s="126" t="n">
        <v>3500000</v>
      </c>
      <c r="P494" s="121" t="s">
        <v>18</v>
      </c>
      <c r="Q494" s="121" t="s">
        <v>124</v>
      </c>
      <c r="R494" s="127"/>
      <c r="T494" s="118"/>
    </row>
    <row r="495" customFormat="false" ht="12.75" hidden="false" customHeight="true" outlineLevel="0" collapsed="false">
      <c r="B495" s="119" t="n">
        <f aca="false">ROW()-4</f>
        <v>491</v>
      </c>
      <c r="C495" s="120" t="n">
        <f aca="false">COUNTIFS($D$5:D495,D495)</f>
        <v>354</v>
      </c>
      <c r="D495" s="121" t="s">
        <v>391</v>
      </c>
      <c r="E495" s="122" t="s">
        <v>1078</v>
      </c>
      <c r="F495" s="123" t="n">
        <v>45831</v>
      </c>
      <c r="G495" s="121" t="s">
        <v>30</v>
      </c>
      <c r="H49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A0491</v>
      </c>
      <c r="I49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B0491</v>
      </c>
      <c r="J495" s="122" t="s">
        <v>1079</v>
      </c>
      <c r="K49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C0491</v>
      </c>
      <c r="L49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D0491</v>
      </c>
      <c r="M49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E0491</v>
      </c>
      <c r="N495" s="122" t="s">
        <v>73</v>
      </c>
      <c r="O495" s="126" t="n">
        <v>3500000</v>
      </c>
      <c r="P495" s="121" t="s">
        <v>18</v>
      </c>
      <c r="Q495" s="121" t="s">
        <v>124</v>
      </c>
      <c r="R495" s="127"/>
      <c r="T495" s="118"/>
    </row>
    <row r="496" customFormat="false" ht="12.75" hidden="false" customHeight="true" outlineLevel="0" collapsed="false">
      <c r="B496" s="119" t="n">
        <f aca="false">ROW()-4</f>
        <v>492</v>
      </c>
      <c r="C496" s="120" t="n">
        <f aca="false">COUNTIFS($D$5:D496,D496)</f>
        <v>355</v>
      </c>
      <c r="D496" s="121" t="s">
        <v>391</v>
      </c>
      <c r="E496" s="122" t="s">
        <v>1080</v>
      </c>
      <c r="F496" s="123" t="n">
        <v>45744</v>
      </c>
      <c r="G496" s="121" t="s">
        <v>22</v>
      </c>
      <c r="H49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A0492</v>
      </c>
      <c r="I49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B0492</v>
      </c>
      <c r="J496" s="122" t="s">
        <v>1081</v>
      </c>
      <c r="K49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C0492</v>
      </c>
      <c r="L49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D0492</v>
      </c>
      <c r="M49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E0492</v>
      </c>
      <c r="N496" s="122" t="s">
        <v>73</v>
      </c>
      <c r="O496" s="126" t="n">
        <v>3500000</v>
      </c>
      <c r="P496" s="121" t="s">
        <v>18</v>
      </c>
      <c r="Q496" s="121" t="s">
        <v>124</v>
      </c>
      <c r="R496" s="127"/>
      <c r="T496" s="118"/>
    </row>
    <row r="497" customFormat="false" ht="12.75" hidden="false" customHeight="true" outlineLevel="0" collapsed="false">
      <c r="B497" s="119" t="n">
        <f aca="false">ROW()-4</f>
        <v>493</v>
      </c>
      <c r="C497" s="120" t="n">
        <f aca="false">COUNTIFS($D$5:D497,D497)</f>
        <v>356</v>
      </c>
      <c r="D497" s="121" t="s">
        <v>391</v>
      </c>
      <c r="E497" s="122" t="s">
        <v>1082</v>
      </c>
      <c r="F497" s="123" t="n">
        <v>45833</v>
      </c>
      <c r="G497" s="121" t="s">
        <v>28</v>
      </c>
      <c r="H49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A0493</v>
      </c>
      <c r="I49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B0493</v>
      </c>
      <c r="J497" s="122" t="s">
        <v>1083</v>
      </c>
      <c r="K49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C0493</v>
      </c>
      <c r="L49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D0493</v>
      </c>
      <c r="M49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E0493</v>
      </c>
      <c r="N497" s="122" t="s">
        <v>73</v>
      </c>
      <c r="O497" s="126" t="n">
        <v>3500000</v>
      </c>
      <c r="P497" s="121" t="s">
        <v>18</v>
      </c>
      <c r="Q497" s="121" t="s">
        <v>124</v>
      </c>
      <c r="R497" s="127"/>
      <c r="T497" s="118"/>
    </row>
    <row r="498" customFormat="false" ht="12.75" hidden="false" customHeight="true" outlineLevel="0" collapsed="false">
      <c r="B498" s="119" t="n">
        <f aca="false">ROW()-4</f>
        <v>494</v>
      </c>
      <c r="C498" s="120" t="n">
        <f aca="false">COUNTIFS($D$5:D498,D498)</f>
        <v>357</v>
      </c>
      <c r="D498" s="121" t="s">
        <v>391</v>
      </c>
      <c r="E498" s="122" t="s">
        <v>1084</v>
      </c>
      <c r="F498" s="123" t="n">
        <v>45859</v>
      </c>
      <c r="G498" s="121" t="s">
        <v>28</v>
      </c>
      <c r="H49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A0494</v>
      </c>
      <c r="I49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B0494</v>
      </c>
      <c r="J498" s="122" t="s">
        <v>1085</v>
      </c>
      <c r="K49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C0494</v>
      </c>
      <c r="L49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D0494</v>
      </c>
      <c r="M49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E0494</v>
      </c>
      <c r="N498" s="122" t="s">
        <v>73</v>
      </c>
      <c r="O498" s="126" t="n">
        <v>3500000</v>
      </c>
      <c r="P498" s="121" t="s">
        <v>18</v>
      </c>
      <c r="Q498" s="121" t="s">
        <v>124</v>
      </c>
      <c r="R498" s="127"/>
      <c r="T498" s="118"/>
    </row>
    <row r="499" customFormat="false" ht="12.75" hidden="false" customHeight="true" outlineLevel="0" collapsed="false">
      <c r="B499" s="119" t="n">
        <f aca="false">ROW()-4</f>
        <v>495</v>
      </c>
      <c r="C499" s="120" t="n">
        <f aca="false">COUNTIFS($D$5:D499,D499)</f>
        <v>358</v>
      </c>
      <c r="D499" s="121" t="s">
        <v>391</v>
      </c>
      <c r="E499" s="122" t="s">
        <v>1086</v>
      </c>
      <c r="F499" s="123" t="n">
        <v>45868</v>
      </c>
      <c r="G499" s="121" t="s">
        <v>28</v>
      </c>
      <c r="H49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A0495</v>
      </c>
      <c r="I49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B0495</v>
      </c>
      <c r="J499" s="122" t="s">
        <v>1087</v>
      </c>
      <c r="K49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C0495</v>
      </c>
      <c r="L49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D0495</v>
      </c>
      <c r="M49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E0495</v>
      </c>
      <c r="N499" s="122" t="s">
        <v>73</v>
      </c>
      <c r="O499" s="126" t="n">
        <v>3500000</v>
      </c>
      <c r="P499" s="121" t="s">
        <v>18</v>
      </c>
      <c r="Q499" s="121" t="s">
        <v>124</v>
      </c>
      <c r="R499" s="127"/>
      <c r="T499" s="118"/>
    </row>
    <row r="500" customFormat="false" ht="12.75" hidden="false" customHeight="true" outlineLevel="0" collapsed="false">
      <c r="B500" s="119" t="n">
        <f aca="false">ROW()-4</f>
        <v>496</v>
      </c>
      <c r="C500" s="120" t="n">
        <f aca="false">COUNTIFS($D$5:D500,D500)</f>
        <v>359</v>
      </c>
      <c r="D500" s="121" t="s">
        <v>391</v>
      </c>
      <c r="E500" s="122" t="s">
        <v>1088</v>
      </c>
      <c r="F500" s="123" t="n">
        <v>45868</v>
      </c>
      <c r="G500" s="121" t="s">
        <v>28</v>
      </c>
      <c r="H50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A0496</v>
      </c>
      <c r="I50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B0496</v>
      </c>
      <c r="J500" s="122" t="s">
        <v>1089</v>
      </c>
      <c r="K50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C0496</v>
      </c>
      <c r="L50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D0496</v>
      </c>
      <c r="M50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E0496</v>
      </c>
      <c r="N500" s="122" t="s">
        <v>73</v>
      </c>
      <c r="O500" s="126" t="n">
        <v>3500000</v>
      </c>
      <c r="P500" s="121" t="s">
        <v>18</v>
      </c>
      <c r="Q500" s="121" t="s">
        <v>124</v>
      </c>
      <c r="R500" s="127"/>
      <c r="T500" s="118"/>
    </row>
    <row r="501" customFormat="false" ht="12.75" hidden="false" customHeight="true" outlineLevel="0" collapsed="false">
      <c r="B501" s="119" t="n">
        <f aca="false">ROW()-4</f>
        <v>497</v>
      </c>
      <c r="C501" s="120" t="n">
        <f aca="false">COUNTIFS($D$5:D501,D501)</f>
        <v>360</v>
      </c>
      <c r="D501" s="121" t="s">
        <v>391</v>
      </c>
      <c r="E501" s="122" t="s">
        <v>1090</v>
      </c>
      <c r="F501" s="123" t="n">
        <v>45863</v>
      </c>
      <c r="G501" s="121" t="s">
        <v>30</v>
      </c>
      <c r="H50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A0497</v>
      </c>
      <c r="I50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B0497</v>
      </c>
      <c r="J501" s="122" t="s">
        <v>1091</v>
      </c>
      <c r="K50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C0497</v>
      </c>
      <c r="L50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D0497</v>
      </c>
      <c r="M50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E0497</v>
      </c>
      <c r="N501" s="122" t="s">
        <v>73</v>
      </c>
      <c r="O501" s="126" t="n">
        <v>3500000</v>
      </c>
      <c r="P501" s="121" t="s">
        <v>18</v>
      </c>
      <c r="Q501" s="121" t="s">
        <v>124</v>
      </c>
      <c r="R501" s="127"/>
      <c r="T501" s="118"/>
    </row>
    <row r="502" customFormat="false" ht="12.75" hidden="false" customHeight="true" outlineLevel="0" collapsed="false">
      <c r="B502" s="119" t="n">
        <f aca="false">ROW()-4</f>
        <v>498</v>
      </c>
      <c r="C502" s="120" t="n">
        <f aca="false">COUNTIFS($D$5:D502,D502)</f>
        <v>361</v>
      </c>
      <c r="D502" s="121" t="s">
        <v>391</v>
      </c>
      <c r="E502" s="122" t="s">
        <v>1092</v>
      </c>
      <c r="F502" s="123" t="n">
        <v>45866</v>
      </c>
      <c r="G502" s="121" t="s">
        <v>26</v>
      </c>
      <c r="H50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A0498</v>
      </c>
      <c r="I50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B0498</v>
      </c>
      <c r="J502" s="122" t="s">
        <v>1093</v>
      </c>
      <c r="K50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C0498</v>
      </c>
      <c r="L50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D0498</v>
      </c>
      <c r="M50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E0498</v>
      </c>
      <c r="N502" s="122" t="s">
        <v>73</v>
      </c>
      <c r="O502" s="126" t="n">
        <v>3500000</v>
      </c>
      <c r="P502" s="121" t="s">
        <v>18</v>
      </c>
      <c r="Q502" s="121" t="s">
        <v>124</v>
      </c>
      <c r="R502" s="127"/>
      <c r="T502" s="118"/>
    </row>
    <row r="503" customFormat="false" ht="12.75" hidden="false" customHeight="true" outlineLevel="0" collapsed="false">
      <c r="B503" s="119" t="n">
        <f aca="false">ROW()-4</f>
        <v>499</v>
      </c>
      <c r="C503" s="120" t="n">
        <f aca="false">COUNTIFS($D$5:D503,D503)</f>
        <v>362</v>
      </c>
      <c r="D503" s="121" t="s">
        <v>391</v>
      </c>
      <c r="E503" s="122" t="s">
        <v>1094</v>
      </c>
      <c r="F503" s="123" t="n">
        <v>45341</v>
      </c>
      <c r="G503" s="121" t="s">
        <v>22</v>
      </c>
      <c r="H50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A0499</v>
      </c>
      <c r="I50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B0499</v>
      </c>
      <c r="J503" s="122" t="s">
        <v>1095</v>
      </c>
      <c r="K50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C0499</v>
      </c>
      <c r="L50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D0499</v>
      </c>
      <c r="M50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E0499</v>
      </c>
      <c r="N503" s="122" t="s">
        <v>73</v>
      </c>
      <c r="O503" s="126" t="n">
        <v>3500000</v>
      </c>
      <c r="P503" s="121" t="s">
        <v>18</v>
      </c>
      <c r="Q503" s="121" t="s">
        <v>124</v>
      </c>
      <c r="R503" s="127"/>
      <c r="T503" s="118"/>
    </row>
    <row r="504" customFormat="false" ht="12.75" hidden="false" customHeight="true" outlineLevel="0" collapsed="false">
      <c r="B504" s="119" t="n">
        <f aca="false">ROW()-4</f>
        <v>500</v>
      </c>
      <c r="C504" s="120" t="n">
        <f aca="false">COUNTIFS($D$5:D504,D504)</f>
        <v>363</v>
      </c>
      <c r="D504" s="121" t="s">
        <v>391</v>
      </c>
      <c r="E504" s="122" t="s">
        <v>1096</v>
      </c>
      <c r="F504" s="123" t="n">
        <v>45714</v>
      </c>
      <c r="G504" s="121" t="s">
        <v>22</v>
      </c>
      <c r="H50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A0500</v>
      </c>
      <c r="I50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B0500</v>
      </c>
      <c r="J504" s="122" t="s">
        <v>1097</v>
      </c>
      <c r="K50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C0500</v>
      </c>
      <c r="L50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D0500</v>
      </c>
      <c r="M50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E0500</v>
      </c>
      <c r="N504" s="122" t="s">
        <v>73</v>
      </c>
      <c r="O504" s="126" t="n">
        <v>3500000</v>
      </c>
      <c r="P504" s="121" t="s">
        <v>18</v>
      </c>
      <c r="Q504" s="121" t="s">
        <v>124</v>
      </c>
      <c r="R504" s="127"/>
      <c r="T504" s="118"/>
    </row>
    <row r="505" customFormat="false" ht="12.75" hidden="false" customHeight="true" outlineLevel="0" collapsed="false">
      <c r="B505" s="119" t="n">
        <f aca="false">ROW()-4</f>
        <v>501</v>
      </c>
      <c r="C505" s="120" t="n">
        <f aca="false">COUNTIFS($D$5:D505,D505)</f>
        <v>364</v>
      </c>
      <c r="D505" s="121" t="s">
        <v>391</v>
      </c>
      <c r="E505" s="122" t="s">
        <v>1098</v>
      </c>
      <c r="F505" s="123" t="n">
        <v>45393</v>
      </c>
      <c r="G505" s="121" t="s">
        <v>22</v>
      </c>
      <c r="H50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A0501</v>
      </c>
      <c r="I50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B0501</v>
      </c>
      <c r="J505" s="122" t="s">
        <v>1099</v>
      </c>
      <c r="K50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C0501</v>
      </c>
      <c r="L50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D0501</v>
      </c>
      <c r="M50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E0501</v>
      </c>
      <c r="N505" s="122" t="s">
        <v>73</v>
      </c>
      <c r="O505" s="126" t="n">
        <v>3500000</v>
      </c>
      <c r="P505" s="121" t="s">
        <v>18</v>
      </c>
      <c r="Q505" s="121" t="s">
        <v>124</v>
      </c>
      <c r="R505" s="127"/>
      <c r="T505" s="118"/>
    </row>
    <row r="506" customFormat="false" ht="12.75" hidden="false" customHeight="true" outlineLevel="0" collapsed="false">
      <c r="B506" s="119" t="n">
        <f aca="false">ROW()-4</f>
        <v>502</v>
      </c>
      <c r="C506" s="120" t="n">
        <f aca="false">COUNTIFS($D$5:D506,D506)</f>
        <v>365</v>
      </c>
      <c r="D506" s="121" t="s">
        <v>391</v>
      </c>
      <c r="E506" s="122" t="s">
        <v>1100</v>
      </c>
      <c r="F506" s="123" t="n">
        <v>45842</v>
      </c>
      <c r="G506" s="121" t="s">
        <v>28</v>
      </c>
      <c r="H50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A0502</v>
      </c>
      <c r="I50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B0502</v>
      </c>
      <c r="J506" s="122" t="s">
        <v>1101</v>
      </c>
      <c r="K50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C0502</v>
      </c>
      <c r="L50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D0502</v>
      </c>
      <c r="M50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E0502</v>
      </c>
      <c r="N506" s="122" t="s">
        <v>73</v>
      </c>
      <c r="O506" s="126" t="n">
        <v>3500000</v>
      </c>
      <c r="P506" s="121" t="s">
        <v>18</v>
      </c>
      <c r="Q506" s="121" t="s">
        <v>124</v>
      </c>
      <c r="R506" s="127"/>
      <c r="T506" s="118"/>
    </row>
    <row r="507" customFormat="false" ht="12.75" hidden="false" customHeight="true" outlineLevel="0" collapsed="false">
      <c r="B507" s="119" t="n">
        <f aca="false">ROW()-4</f>
        <v>503</v>
      </c>
      <c r="C507" s="120" t="n">
        <f aca="false">COUNTIFS($D$5:D507,D507)</f>
        <v>366</v>
      </c>
      <c r="D507" s="121" t="s">
        <v>391</v>
      </c>
      <c r="E507" s="122" t="s">
        <v>1102</v>
      </c>
      <c r="F507" s="123" t="n">
        <v>45889</v>
      </c>
      <c r="G507" s="121" t="s">
        <v>30</v>
      </c>
      <c r="H50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A0503</v>
      </c>
      <c r="I50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B0503</v>
      </c>
      <c r="J507" s="122" t="s">
        <v>1103</v>
      </c>
      <c r="K50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C0503</v>
      </c>
      <c r="L50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D0503</v>
      </c>
      <c r="M50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E0503</v>
      </c>
      <c r="N507" s="122" t="s">
        <v>73</v>
      </c>
      <c r="O507" s="126" t="n">
        <v>3500000</v>
      </c>
      <c r="P507" s="121" t="s">
        <v>18</v>
      </c>
      <c r="Q507" s="121" t="s">
        <v>124</v>
      </c>
      <c r="R507" s="127"/>
      <c r="T507" s="118"/>
    </row>
    <row r="508" customFormat="false" ht="12.75" hidden="false" customHeight="true" outlineLevel="0" collapsed="false">
      <c r="B508" s="119" t="n">
        <f aca="false">ROW()-4</f>
        <v>504</v>
      </c>
      <c r="C508" s="120" t="n">
        <f aca="false">COUNTIFS($D$5:D508,D508)</f>
        <v>367</v>
      </c>
      <c r="D508" s="121" t="s">
        <v>391</v>
      </c>
      <c r="E508" s="122" t="s">
        <v>1104</v>
      </c>
      <c r="F508" s="123" t="n">
        <v>45883</v>
      </c>
      <c r="G508" s="121" t="s">
        <v>24</v>
      </c>
      <c r="H50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A0504</v>
      </c>
      <c r="I50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B0504</v>
      </c>
      <c r="J508" s="122" t="s">
        <v>1105</v>
      </c>
      <c r="K50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C0504</v>
      </c>
      <c r="L50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D0504</v>
      </c>
      <c r="M50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E0504</v>
      </c>
      <c r="N508" s="122" t="s">
        <v>73</v>
      </c>
      <c r="O508" s="126" t="n">
        <v>3500000</v>
      </c>
      <c r="P508" s="121" t="s">
        <v>18</v>
      </c>
      <c r="Q508" s="121" t="s">
        <v>124</v>
      </c>
      <c r="R508" s="127"/>
      <c r="T508" s="118"/>
    </row>
    <row r="509" customFormat="false" ht="12.75" hidden="false" customHeight="true" outlineLevel="0" collapsed="false">
      <c r="B509" s="119" t="n">
        <f aca="false">ROW()-4</f>
        <v>505</v>
      </c>
      <c r="C509" s="120" t="n">
        <f aca="false">COUNTIFS($D$5:D509,D509)</f>
        <v>368</v>
      </c>
      <c r="D509" s="121" t="s">
        <v>391</v>
      </c>
      <c r="E509" s="122" t="s">
        <v>1106</v>
      </c>
      <c r="F509" s="123" t="n">
        <v>45868</v>
      </c>
      <c r="G509" s="121" t="s">
        <v>30</v>
      </c>
      <c r="H50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A0505</v>
      </c>
      <c r="I50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B0505</v>
      </c>
      <c r="J509" s="122" t="s">
        <v>1107</v>
      </c>
      <c r="K50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C0505</v>
      </c>
      <c r="L50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D0505</v>
      </c>
      <c r="M50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E0505</v>
      </c>
      <c r="N509" s="122" t="s">
        <v>73</v>
      </c>
      <c r="O509" s="126" t="n">
        <v>3500000</v>
      </c>
      <c r="P509" s="121" t="s">
        <v>18</v>
      </c>
      <c r="Q509" s="121" t="s">
        <v>124</v>
      </c>
      <c r="R509" s="127"/>
      <c r="T509" s="118"/>
    </row>
    <row r="510" s="118" customFormat="true" ht="12.75" hidden="false" customHeight="true" outlineLevel="0" collapsed="false">
      <c r="A510" s="98"/>
      <c r="B510" s="119" t="n">
        <f aca="false">ROW()-4</f>
        <v>506</v>
      </c>
      <c r="C510" s="120" t="n">
        <f aca="false">COUNTIFS($D$5:D510,D510)</f>
        <v>369</v>
      </c>
      <c r="D510" s="121" t="s">
        <v>391</v>
      </c>
      <c r="E510" s="122" t="s">
        <v>1108</v>
      </c>
      <c r="F510" s="123" t="n">
        <v>45875</v>
      </c>
      <c r="G510" s="121" t="s">
        <v>28</v>
      </c>
      <c r="H51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A0506</v>
      </c>
      <c r="I51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B0506</v>
      </c>
      <c r="J510" s="122" t="s">
        <v>1109</v>
      </c>
      <c r="K51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C0506</v>
      </c>
      <c r="L51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D0506</v>
      </c>
      <c r="M51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E0506</v>
      </c>
      <c r="N510" s="122" t="s">
        <v>73</v>
      </c>
      <c r="O510" s="126" t="n">
        <v>3500000</v>
      </c>
      <c r="P510" s="121" t="s">
        <v>18</v>
      </c>
      <c r="Q510" s="121" t="s">
        <v>124</v>
      </c>
      <c r="R510" s="127"/>
    </row>
    <row r="511" s="118" customFormat="true" ht="12.75" hidden="false" customHeight="true" outlineLevel="0" collapsed="false">
      <c r="A511" s="98"/>
      <c r="B511" s="119" t="n">
        <f aca="false">ROW()-4</f>
        <v>507</v>
      </c>
      <c r="C511" s="120" t="n">
        <f aca="false">COUNTIFS($D$5:D511,D511)</f>
        <v>370</v>
      </c>
      <c r="D511" s="121" t="s">
        <v>391</v>
      </c>
      <c r="E511" s="122" t="s">
        <v>1110</v>
      </c>
      <c r="F511" s="123" t="n">
        <v>45896</v>
      </c>
      <c r="G511" s="121" t="s">
        <v>30</v>
      </c>
      <c r="H51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A0507</v>
      </c>
      <c r="I51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B0507</v>
      </c>
      <c r="J511" s="122" t="s">
        <v>1111</v>
      </c>
      <c r="K51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C0507</v>
      </c>
      <c r="L51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D0507</v>
      </c>
      <c r="M51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E0507</v>
      </c>
      <c r="N511" s="122" t="s">
        <v>73</v>
      </c>
      <c r="O511" s="126" t="n">
        <v>3500000</v>
      </c>
      <c r="P511" s="121" t="s">
        <v>18</v>
      </c>
      <c r="Q511" s="121" t="s">
        <v>124</v>
      </c>
      <c r="R511" s="127"/>
    </row>
    <row r="512" customFormat="false" ht="12.75" hidden="false" customHeight="true" outlineLevel="0" collapsed="false">
      <c r="B512" s="119" t="n">
        <f aca="false">ROW()-4</f>
        <v>508</v>
      </c>
      <c r="C512" s="120" t="n">
        <f aca="false">COUNTIFS($D$5:D512,D512)</f>
        <v>371</v>
      </c>
      <c r="D512" s="121" t="s">
        <v>391</v>
      </c>
      <c r="E512" s="122" t="s">
        <v>1112</v>
      </c>
      <c r="F512" s="123" t="n">
        <v>45896</v>
      </c>
      <c r="G512" s="121" t="s">
        <v>30</v>
      </c>
      <c r="H51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A0508</v>
      </c>
      <c r="I51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B0508</v>
      </c>
      <c r="J512" s="122" t="s">
        <v>1113</v>
      </c>
      <c r="K51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C0508</v>
      </c>
      <c r="L51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D0508</v>
      </c>
      <c r="M51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E0508</v>
      </c>
      <c r="N512" s="122" t="s">
        <v>73</v>
      </c>
      <c r="O512" s="126" t="n">
        <v>3500000</v>
      </c>
      <c r="P512" s="121" t="s">
        <v>18</v>
      </c>
      <c r="Q512" s="121" t="s">
        <v>124</v>
      </c>
      <c r="R512" s="127"/>
      <c r="T512" s="118"/>
    </row>
    <row r="513" s="118" customFormat="true" ht="12.75" hidden="false" customHeight="true" outlineLevel="0" collapsed="false">
      <c r="A513" s="98"/>
      <c r="B513" s="119" t="n">
        <f aca="false">ROW()-4</f>
        <v>509</v>
      </c>
      <c r="C513" s="120" t="n">
        <f aca="false">COUNTIFS($D$5:D513,D513)</f>
        <v>372</v>
      </c>
      <c r="D513" s="121" t="s">
        <v>391</v>
      </c>
      <c r="E513" s="122" t="s">
        <v>1114</v>
      </c>
      <c r="F513" s="137" t="n">
        <v>45924</v>
      </c>
      <c r="G513" s="138" t="s">
        <v>26</v>
      </c>
      <c r="H513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A0509</v>
      </c>
      <c r="I513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B0509</v>
      </c>
      <c r="J513" s="124" t="s">
        <v>1115</v>
      </c>
      <c r="K513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C0509</v>
      </c>
      <c r="L513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D0509</v>
      </c>
      <c r="M51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E0509</v>
      </c>
      <c r="N513" s="122" t="s">
        <v>73</v>
      </c>
      <c r="O513" s="126" t="n">
        <v>3500000</v>
      </c>
      <c r="P513" s="121" t="s">
        <v>18</v>
      </c>
      <c r="Q513" s="121" t="s">
        <v>124</v>
      </c>
      <c r="R513" s="127"/>
    </row>
    <row r="514" s="118" customFormat="true" ht="12.75" hidden="false" customHeight="true" outlineLevel="0" collapsed="false">
      <c r="A514" s="98"/>
      <c r="B514" s="148" t="n">
        <f aca="false">ROW()-4</f>
        <v>510</v>
      </c>
      <c r="C514" s="149" t="n">
        <f aca="false">COUNTIFS($D$5:D514,D514)</f>
        <v>373</v>
      </c>
      <c r="D514" s="138" t="s">
        <v>391</v>
      </c>
      <c r="E514" s="124" t="s">
        <v>1116</v>
      </c>
      <c r="F514" s="137" t="n">
        <v>45919</v>
      </c>
      <c r="G514" s="138" t="s">
        <v>26</v>
      </c>
      <c r="H514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A0510</v>
      </c>
      <c r="I514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B0510</v>
      </c>
      <c r="J514" s="124" t="s">
        <v>1117</v>
      </c>
      <c r="K514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C0510</v>
      </c>
      <c r="L514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D0510</v>
      </c>
      <c r="M514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E0510</v>
      </c>
      <c r="N514" s="124" t="s">
        <v>73</v>
      </c>
      <c r="O514" s="150" t="n">
        <v>3500000</v>
      </c>
      <c r="P514" s="121" t="s">
        <v>18</v>
      </c>
      <c r="Q514" s="138" t="s">
        <v>124</v>
      </c>
      <c r="R514" s="151"/>
    </row>
    <row r="515" s="118" customFormat="true" ht="12.75" hidden="false" customHeight="true" outlineLevel="0" collapsed="false">
      <c r="A515" s="98"/>
      <c r="B515" s="148" t="n">
        <f aca="false">ROW()-4</f>
        <v>511</v>
      </c>
      <c r="C515" s="149" t="n">
        <f aca="false">COUNTIFS($D$5:D515,D515)</f>
        <v>374</v>
      </c>
      <c r="D515" s="138" t="s">
        <v>391</v>
      </c>
      <c r="E515" s="124" t="s">
        <v>1118</v>
      </c>
      <c r="F515" s="137" t="n">
        <v>45926</v>
      </c>
      <c r="G515" s="138" t="s">
        <v>28</v>
      </c>
      <c r="H515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A0511</v>
      </c>
      <c r="I515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B0511</v>
      </c>
      <c r="J515" s="124" t="s">
        <v>1119</v>
      </c>
      <c r="K515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C0511</v>
      </c>
      <c r="L515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D0511</v>
      </c>
      <c r="M515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E0511</v>
      </c>
      <c r="N515" s="124" t="s">
        <v>73</v>
      </c>
      <c r="O515" s="150" t="n">
        <v>3500000</v>
      </c>
      <c r="P515" s="121" t="s">
        <v>18</v>
      </c>
      <c r="Q515" s="138" t="s">
        <v>124</v>
      </c>
      <c r="R515" s="151"/>
    </row>
    <row r="516" s="118" customFormat="true" ht="12.75" hidden="false" customHeight="true" outlineLevel="0" collapsed="false">
      <c r="A516" s="98"/>
      <c r="B516" s="148" t="n">
        <f aca="false">ROW()-4</f>
        <v>512</v>
      </c>
      <c r="C516" s="149" t="n">
        <f aca="false">COUNTIFS($D$5:D516,D516)</f>
        <v>375</v>
      </c>
      <c r="D516" s="138" t="s">
        <v>391</v>
      </c>
      <c r="E516" s="124" t="s">
        <v>1120</v>
      </c>
      <c r="F516" s="137" t="n">
        <v>45917</v>
      </c>
      <c r="G516" s="138" t="s">
        <v>30</v>
      </c>
      <c r="H516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A0512</v>
      </c>
      <c r="I516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B0512</v>
      </c>
      <c r="J516" s="124" t="s">
        <v>1121</v>
      </c>
      <c r="K516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C0512</v>
      </c>
      <c r="L516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D0512</v>
      </c>
      <c r="M516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E0512</v>
      </c>
      <c r="N516" s="124" t="s">
        <v>73</v>
      </c>
      <c r="O516" s="150" t="n">
        <v>3500000</v>
      </c>
      <c r="P516" s="121" t="s">
        <v>18</v>
      </c>
      <c r="Q516" s="138" t="s">
        <v>124</v>
      </c>
      <c r="R516" s="151"/>
    </row>
    <row r="517" s="118" customFormat="true" ht="12.75" hidden="false" customHeight="true" outlineLevel="0" collapsed="false">
      <c r="A517" s="98"/>
      <c r="B517" s="148" t="n">
        <f aca="false">ROW()-4</f>
        <v>513</v>
      </c>
      <c r="C517" s="149" t="n">
        <f aca="false">COUNTIFS($D$5:D517,D517)</f>
        <v>376</v>
      </c>
      <c r="D517" s="138" t="s">
        <v>391</v>
      </c>
      <c r="E517" s="124" t="s">
        <v>1122</v>
      </c>
      <c r="F517" s="137" t="n">
        <v>45925</v>
      </c>
      <c r="G517" s="138" t="s">
        <v>28</v>
      </c>
      <c r="H517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A0513</v>
      </c>
      <c r="I517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B0513</v>
      </c>
      <c r="J517" s="124" t="s">
        <v>1123</v>
      </c>
      <c r="K517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C0513</v>
      </c>
      <c r="L517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D0513</v>
      </c>
      <c r="M517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E0513</v>
      </c>
      <c r="N517" s="124" t="s">
        <v>73</v>
      </c>
      <c r="O517" s="150" t="n">
        <v>3500000</v>
      </c>
      <c r="P517" s="121" t="s">
        <v>18</v>
      </c>
      <c r="Q517" s="138" t="s">
        <v>124</v>
      </c>
      <c r="R517" s="151"/>
    </row>
    <row r="518" s="118" customFormat="true" ht="12.75" hidden="false" customHeight="true" outlineLevel="0" collapsed="false">
      <c r="A518" s="98"/>
      <c r="B518" s="148" t="n">
        <f aca="false">ROW()-4</f>
        <v>514</v>
      </c>
      <c r="C518" s="149" t="n">
        <f aca="false">COUNTIFS($D$5:D518,D518)</f>
        <v>377</v>
      </c>
      <c r="D518" s="138" t="s">
        <v>391</v>
      </c>
      <c r="E518" s="124" t="s">
        <v>1124</v>
      </c>
      <c r="F518" s="137" t="n">
        <v>45926</v>
      </c>
      <c r="G518" s="138" t="s">
        <v>26</v>
      </c>
      <c r="H518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A0514</v>
      </c>
      <c r="I518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B0514</v>
      </c>
      <c r="J518" s="124" t="s">
        <v>1125</v>
      </c>
      <c r="K518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C0514</v>
      </c>
      <c r="L518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D0514</v>
      </c>
      <c r="M518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E0514</v>
      </c>
      <c r="N518" s="124" t="s">
        <v>73</v>
      </c>
      <c r="O518" s="150" t="n">
        <v>3500000</v>
      </c>
      <c r="P518" s="121" t="s">
        <v>18</v>
      </c>
      <c r="Q518" s="138" t="s">
        <v>124</v>
      </c>
      <c r="R518" s="151"/>
    </row>
    <row r="519" s="118" customFormat="true" ht="12.75" hidden="false" customHeight="true" outlineLevel="0" collapsed="false">
      <c r="A519" s="98"/>
      <c r="B519" s="148" t="n">
        <f aca="false">ROW()-4</f>
        <v>515</v>
      </c>
      <c r="C519" s="149" t="n">
        <f aca="false">COUNTIFS($D$5:D519,D519)</f>
        <v>378</v>
      </c>
      <c r="D519" s="138" t="s">
        <v>391</v>
      </c>
      <c r="E519" s="124" t="s">
        <v>1126</v>
      </c>
      <c r="F519" s="137" t="n">
        <v>45922</v>
      </c>
      <c r="G519" s="138" t="s">
        <v>28</v>
      </c>
      <c r="H519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A0515</v>
      </c>
      <c r="I519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B0515</v>
      </c>
      <c r="J519" s="124" t="s">
        <v>1127</v>
      </c>
      <c r="K519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C0515</v>
      </c>
      <c r="L519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D0515</v>
      </c>
      <c r="M519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E0515</v>
      </c>
      <c r="N519" s="124" t="s">
        <v>73</v>
      </c>
      <c r="O519" s="150" t="n">
        <v>3500000</v>
      </c>
      <c r="P519" s="121" t="s">
        <v>18</v>
      </c>
      <c r="Q519" s="138" t="s">
        <v>124</v>
      </c>
      <c r="R519" s="151"/>
    </row>
    <row r="520" s="118" customFormat="true" ht="12.75" hidden="false" customHeight="true" outlineLevel="0" collapsed="false">
      <c r="A520" s="98"/>
      <c r="B520" s="148" t="n">
        <f aca="false">ROW()-4</f>
        <v>516</v>
      </c>
      <c r="C520" s="149" t="n">
        <f aca="false">COUNTIFS($D$5:D520,D520)</f>
        <v>379</v>
      </c>
      <c r="D520" s="138" t="s">
        <v>391</v>
      </c>
      <c r="E520" s="122" t="s">
        <v>1128</v>
      </c>
      <c r="F520" s="123" t="n">
        <v>45945</v>
      </c>
      <c r="G520" s="121" t="s">
        <v>28</v>
      </c>
      <c r="H52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A0516</v>
      </c>
      <c r="I52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B0516</v>
      </c>
      <c r="J520" s="122" t="s">
        <v>1129</v>
      </c>
      <c r="K52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C0516</v>
      </c>
      <c r="L52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D0516</v>
      </c>
      <c r="M520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E0516</v>
      </c>
      <c r="N520" s="124" t="s">
        <v>73</v>
      </c>
      <c r="O520" s="150" t="n">
        <v>3500000</v>
      </c>
      <c r="P520" s="121" t="s">
        <v>18</v>
      </c>
      <c r="Q520" s="138" t="s">
        <v>124</v>
      </c>
      <c r="R520" s="151"/>
    </row>
    <row r="521" s="118" customFormat="true" ht="12.75" hidden="false" customHeight="true" outlineLevel="0" collapsed="false">
      <c r="A521" s="98"/>
      <c r="B521" s="148" t="n">
        <f aca="false">ROW()-4</f>
        <v>517</v>
      </c>
      <c r="C521" s="149" t="n">
        <f aca="false">COUNTIFS($D$5:D521,D521)</f>
        <v>380</v>
      </c>
      <c r="D521" s="138" t="s">
        <v>391</v>
      </c>
      <c r="E521" s="122" t="s">
        <v>1130</v>
      </c>
      <c r="F521" s="123" t="n">
        <v>45929</v>
      </c>
      <c r="G521" s="121" t="s">
        <v>28</v>
      </c>
      <c r="H52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A0517</v>
      </c>
      <c r="I52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B0517</v>
      </c>
      <c r="J521" s="122" t="s">
        <v>1131</v>
      </c>
      <c r="K52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C0517</v>
      </c>
      <c r="L52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D0517</v>
      </c>
      <c r="M521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E0517</v>
      </c>
      <c r="N521" s="124" t="s">
        <v>73</v>
      </c>
      <c r="O521" s="150" t="n">
        <v>3500000</v>
      </c>
      <c r="P521" s="121" t="s">
        <v>18</v>
      </c>
      <c r="Q521" s="138" t="s">
        <v>124</v>
      </c>
      <c r="R521" s="151"/>
    </row>
    <row r="522" s="118" customFormat="true" ht="12.75" hidden="false" customHeight="true" outlineLevel="0" collapsed="false">
      <c r="A522" s="98"/>
      <c r="B522" s="148" t="n">
        <f aca="false">ROW()-4</f>
        <v>518</v>
      </c>
      <c r="C522" s="149" t="n">
        <f aca="false">COUNTIFS($D$5:D522,D522)</f>
        <v>381</v>
      </c>
      <c r="D522" s="138" t="s">
        <v>391</v>
      </c>
      <c r="E522" s="122" t="s">
        <v>1132</v>
      </c>
      <c r="F522" s="123" t="n">
        <v>45918</v>
      </c>
      <c r="G522" s="121" t="s">
        <v>30</v>
      </c>
      <c r="H52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A0518</v>
      </c>
      <c r="I52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B0518</v>
      </c>
      <c r="J522" s="122" t="s">
        <v>1133</v>
      </c>
      <c r="K52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C0518</v>
      </c>
      <c r="L52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D0518</v>
      </c>
      <c r="M522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E0518</v>
      </c>
      <c r="N522" s="124" t="s">
        <v>73</v>
      </c>
      <c r="O522" s="150" t="n">
        <v>3500000</v>
      </c>
      <c r="P522" s="121" t="s">
        <v>18</v>
      </c>
      <c r="Q522" s="138" t="s">
        <v>124</v>
      </c>
      <c r="R522" s="151"/>
    </row>
    <row r="523" s="118" customFormat="true" ht="12.75" hidden="false" customHeight="true" outlineLevel="0" collapsed="false">
      <c r="A523" s="98"/>
      <c r="B523" s="148" t="n">
        <f aca="false">ROW()-4</f>
        <v>519</v>
      </c>
      <c r="C523" s="149" t="n">
        <f aca="false">COUNTIFS($D$5:D523,D523)</f>
        <v>382</v>
      </c>
      <c r="D523" s="138" t="s">
        <v>391</v>
      </c>
      <c r="E523" s="122" t="s">
        <v>1134</v>
      </c>
      <c r="F523" s="123" t="n">
        <v>45917</v>
      </c>
      <c r="G523" s="121" t="s">
        <v>28</v>
      </c>
      <c r="H52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A0519</v>
      </c>
      <c r="I52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B0519</v>
      </c>
      <c r="J523" s="122" t="s">
        <v>1135</v>
      </c>
      <c r="K52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C0519</v>
      </c>
      <c r="L52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D0519</v>
      </c>
      <c r="M523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E0519</v>
      </c>
      <c r="N523" s="124" t="s">
        <v>73</v>
      </c>
      <c r="O523" s="150" t="n">
        <v>3500000</v>
      </c>
      <c r="P523" s="121" t="s">
        <v>18</v>
      </c>
      <c r="Q523" s="138" t="s">
        <v>124</v>
      </c>
      <c r="R523" s="151"/>
    </row>
    <row r="524" s="118" customFormat="true" ht="12.75" hidden="false" customHeight="true" outlineLevel="0" collapsed="false">
      <c r="A524" s="98"/>
      <c r="B524" s="148" t="n">
        <f aca="false">ROW()-4</f>
        <v>520</v>
      </c>
      <c r="C524" s="149" t="n">
        <f aca="false">COUNTIFS($D$5:D524,D524)</f>
        <v>383</v>
      </c>
      <c r="D524" s="138" t="s">
        <v>391</v>
      </c>
      <c r="E524" s="122" t="s">
        <v>1136</v>
      </c>
      <c r="F524" s="123" t="n">
        <v>45945</v>
      </c>
      <c r="G524" s="121" t="s">
        <v>30</v>
      </c>
      <c r="H52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A0520</v>
      </c>
      <c r="I52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B0520</v>
      </c>
      <c r="J524" s="122" t="s">
        <v>1137</v>
      </c>
      <c r="K52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C0520</v>
      </c>
      <c r="L52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D0520</v>
      </c>
      <c r="M524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E0520</v>
      </c>
      <c r="N524" s="124" t="s">
        <v>73</v>
      </c>
      <c r="O524" s="150" t="n">
        <v>3500000</v>
      </c>
      <c r="P524" s="121" t="s">
        <v>18</v>
      </c>
      <c r="Q524" s="138" t="s">
        <v>124</v>
      </c>
      <c r="R524" s="151"/>
    </row>
    <row r="525" s="118" customFormat="true" ht="12.75" hidden="false" customHeight="true" outlineLevel="0" collapsed="false">
      <c r="A525" s="98"/>
      <c r="B525" s="148" t="n">
        <f aca="false">ROW()-4</f>
        <v>521</v>
      </c>
      <c r="C525" s="149" t="n">
        <f aca="false">COUNTIFS($D$5:D525,D525)</f>
        <v>384</v>
      </c>
      <c r="D525" s="138" t="s">
        <v>391</v>
      </c>
      <c r="E525" s="122" t="s">
        <v>1138</v>
      </c>
      <c r="F525" s="123" t="n">
        <v>45931</v>
      </c>
      <c r="G525" s="121" t="s">
        <v>30</v>
      </c>
      <c r="H52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A0521</v>
      </c>
      <c r="I52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B0521</v>
      </c>
      <c r="J525" s="122" t="s">
        <v>1139</v>
      </c>
      <c r="K52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C0521</v>
      </c>
      <c r="L52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D0521</v>
      </c>
      <c r="M525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E0521</v>
      </c>
      <c r="N525" s="124" t="s">
        <v>73</v>
      </c>
      <c r="O525" s="150" t="n">
        <v>3500000</v>
      </c>
      <c r="P525" s="121" t="s">
        <v>18</v>
      </c>
      <c r="Q525" s="138" t="s">
        <v>124</v>
      </c>
      <c r="R525" s="151"/>
    </row>
    <row r="526" s="118" customFormat="true" ht="12.75" hidden="false" customHeight="true" outlineLevel="0" collapsed="false">
      <c r="A526" s="98"/>
      <c r="B526" s="148" t="n">
        <f aca="false">ROW()-4</f>
        <v>522</v>
      </c>
      <c r="C526" s="149" t="n">
        <f aca="false">COUNTIFS($D$5:D526,D526)</f>
        <v>385</v>
      </c>
      <c r="D526" s="138" t="s">
        <v>391</v>
      </c>
      <c r="E526" s="122" t="s">
        <v>1140</v>
      </c>
      <c r="F526" s="123" t="n">
        <v>45946</v>
      </c>
      <c r="G526" s="121" t="s">
        <v>26</v>
      </c>
      <c r="H52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A0522</v>
      </c>
      <c r="I52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B0522</v>
      </c>
      <c r="J526" s="122" t="s">
        <v>1141</v>
      </c>
      <c r="K52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C0522</v>
      </c>
      <c r="L52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D0522</v>
      </c>
      <c r="M526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E0522</v>
      </c>
      <c r="N526" s="124" t="s">
        <v>73</v>
      </c>
      <c r="O526" s="150" t="n">
        <v>3500000</v>
      </c>
      <c r="P526" s="121" t="s">
        <v>18</v>
      </c>
      <c r="Q526" s="138" t="s">
        <v>124</v>
      </c>
      <c r="R526" s="151"/>
    </row>
    <row r="527" s="118" customFormat="true" ht="12.75" hidden="false" customHeight="true" outlineLevel="0" collapsed="false">
      <c r="A527" s="98"/>
      <c r="B527" s="148" t="n">
        <f aca="false">ROW()-4</f>
        <v>523</v>
      </c>
      <c r="C527" s="149" t="n">
        <f aca="false">COUNTIFS($D$5:D527,D527)</f>
        <v>386</v>
      </c>
      <c r="D527" s="138" t="s">
        <v>391</v>
      </c>
      <c r="E527" s="122" t="s">
        <v>1142</v>
      </c>
      <c r="F527" s="123" t="n">
        <v>45960</v>
      </c>
      <c r="G527" s="121" t="s">
        <v>26</v>
      </c>
      <c r="H52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A0523</v>
      </c>
      <c r="I52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B0523</v>
      </c>
      <c r="J527" s="122" t="s">
        <v>1143</v>
      </c>
      <c r="K52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C0523</v>
      </c>
      <c r="L52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D0523</v>
      </c>
      <c r="M527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E0523</v>
      </c>
      <c r="N527" s="124" t="s">
        <v>73</v>
      </c>
      <c r="O527" s="150" t="n">
        <v>3500000</v>
      </c>
      <c r="P527" s="121" t="s">
        <v>18</v>
      </c>
      <c r="Q527" s="138" t="s">
        <v>124</v>
      </c>
      <c r="R527" s="151"/>
    </row>
    <row r="528" s="118" customFormat="true" ht="12.75" hidden="false" customHeight="true" outlineLevel="0" collapsed="false">
      <c r="A528" s="98"/>
      <c r="B528" s="148" t="n">
        <f aca="false">ROW()-4</f>
        <v>524</v>
      </c>
      <c r="C528" s="149" t="n">
        <f aca="false">COUNTIFS($D$5:D528,D528)</f>
        <v>387</v>
      </c>
      <c r="D528" s="138" t="s">
        <v>391</v>
      </c>
      <c r="E528" s="122" t="s">
        <v>1144</v>
      </c>
      <c r="F528" s="123" t="n">
        <v>45971</v>
      </c>
      <c r="G528" s="121" t="s">
        <v>30</v>
      </c>
      <c r="H52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A0524</v>
      </c>
      <c r="I52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B0524</v>
      </c>
      <c r="J528" s="122" t="s">
        <v>1145</v>
      </c>
      <c r="K52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C0524</v>
      </c>
      <c r="L52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D0524</v>
      </c>
      <c r="M528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E0524</v>
      </c>
      <c r="N528" s="124" t="s">
        <v>73</v>
      </c>
      <c r="O528" s="150" t="n">
        <v>3500000</v>
      </c>
      <c r="P528" s="121" t="s">
        <v>18</v>
      </c>
      <c r="Q528" s="138" t="s">
        <v>124</v>
      </c>
      <c r="R528" s="151"/>
    </row>
    <row r="529" s="118" customFormat="true" ht="12.75" hidden="false" customHeight="true" outlineLevel="0" collapsed="false">
      <c r="A529" s="98"/>
      <c r="B529" s="148" t="n">
        <f aca="false">ROW()-4</f>
        <v>525</v>
      </c>
      <c r="C529" s="149" t="n">
        <f aca="false">COUNTIFS($D$5:D529,D529)</f>
        <v>388</v>
      </c>
      <c r="D529" s="138" t="s">
        <v>391</v>
      </c>
      <c r="E529" s="122" t="s">
        <v>1146</v>
      </c>
      <c r="F529" s="123" t="n">
        <v>45971</v>
      </c>
      <c r="G529" s="121" t="s">
        <v>30</v>
      </c>
      <c r="H52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A0525</v>
      </c>
      <c r="I52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B0525</v>
      </c>
      <c r="J529" s="122" t="s">
        <v>1147</v>
      </c>
      <c r="K52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C0525</v>
      </c>
      <c r="L52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D0525</v>
      </c>
      <c r="M529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E0525</v>
      </c>
      <c r="N529" s="124" t="s">
        <v>73</v>
      </c>
      <c r="O529" s="150" t="n">
        <v>3500000</v>
      </c>
      <c r="P529" s="121" t="s">
        <v>18</v>
      </c>
      <c r="Q529" s="138" t="s">
        <v>124</v>
      </c>
      <c r="R529" s="151"/>
    </row>
    <row r="530" s="118" customFormat="true" ht="12.75" hidden="false" customHeight="true" outlineLevel="0" collapsed="false">
      <c r="A530" s="98"/>
      <c r="B530" s="148" t="n">
        <f aca="false">ROW()-4</f>
        <v>526</v>
      </c>
      <c r="C530" s="149" t="n">
        <f aca="false">COUNTIFS($D$5:D530,D530)</f>
        <v>389</v>
      </c>
      <c r="D530" s="138" t="s">
        <v>391</v>
      </c>
      <c r="E530" s="122" t="s">
        <v>1148</v>
      </c>
      <c r="F530" s="123" t="n">
        <v>45974</v>
      </c>
      <c r="G530" s="121" t="s">
        <v>24</v>
      </c>
      <c r="H53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A0526</v>
      </c>
      <c r="I53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B0526</v>
      </c>
      <c r="J530" s="122" t="s">
        <v>1149</v>
      </c>
      <c r="K53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C0526</v>
      </c>
      <c r="L53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D0526</v>
      </c>
      <c r="M530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E0526</v>
      </c>
      <c r="N530" s="124" t="s">
        <v>73</v>
      </c>
      <c r="O530" s="150" t="n">
        <v>3500000</v>
      </c>
      <c r="P530" s="121" t="s">
        <v>18</v>
      </c>
      <c r="Q530" s="138" t="s">
        <v>124</v>
      </c>
      <c r="R530" s="151"/>
    </row>
    <row r="531" s="118" customFormat="true" ht="12.75" hidden="false" customHeight="true" outlineLevel="0" collapsed="false">
      <c r="A531" s="98"/>
      <c r="B531" s="148" t="n">
        <f aca="false">ROW()-4</f>
        <v>527</v>
      </c>
      <c r="C531" s="149" t="n">
        <f aca="false">COUNTIFS($D$5:D531,D531)</f>
        <v>390</v>
      </c>
      <c r="D531" s="138" t="s">
        <v>391</v>
      </c>
      <c r="E531" s="122" t="s">
        <v>1150</v>
      </c>
      <c r="F531" s="123" t="n">
        <v>45979</v>
      </c>
      <c r="G531" s="121" t="s">
        <v>26</v>
      </c>
      <c r="H53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A0527</v>
      </c>
      <c r="I53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B0527</v>
      </c>
      <c r="J531" s="122" t="s">
        <v>1151</v>
      </c>
      <c r="K53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C0527</v>
      </c>
      <c r="L53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D0527</v>
      </c>
      <c r="M531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E0527</v>
      </c>
      <c r="N531" s="124" t="s">
        <v>73</v>
      </c>
      <c r="O531" s="150" t="n">
        <v>3500000</v>
      </c>
      <c r="P531" s="121" t="s">
        <v>18</v>
      </c>
      <c r="Q531" s="138" t="s">
        <v>124</v>
      </c>
      <c r="R531" s="151"/>
    </row>
    <row r="532" s="118" customFormat="true" ht="12.75" hidden="false" customHeight="true" outlineLevel="0" collapsed="false">
      <c r="A532" s="98"/>
      <c r="B532" s="148" t="n">
        <f aca="false">ROW()-4</f>
        <v>528</v>
      </c>
      <c r="C532" s="149" t="n">
        <f aca="false">COUNTIFS($D$5:D532,D532)</f>
        <v>391</v>
      </c>
      <c r="D532" s="138" t="s">
        <v>391</v>
      </c>
      <c r="E532" s="122" t="s">
        <v>1152</v>
      </c>
      <c r="F532" s="123" t="n">
        <v>45979</v>
      </c>
      <c r="G532" s="121" t="s">
        <v>26</v>
      </c>
      <c r="H53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A0528</v>
      </c>
      <c r="I53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B0528</v>
      </c>
      <c r="J532" s="122" t="s">
        <v>1153</v>
      </c>
      <c r="K53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C0528</v>
      </c>
      <c r="L53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D0528</v>
      </c>
      <c r="M532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E0528</v>
      </c>
      <c r="N532" s="124" t="s">
        <v>73</v>
      </c>
      <c r="O532" s="150" t="n">
        <v>3500000</v>
      </c>
      <c r="P532" s="121" t="s">
        <v>18</v>
      </c>
      <c r="Q532" s="138" t="s">
        <v>124</v>
      </c>
      <c r="R532" s="151"/>
    </row>
    <row r="533" s="118" customFormat="true" ht="12.75" hidden="false" customHeight="true" outlineLevel="0" collapsed="false">
      <c r="A533" s="98"/>
      <c r="B533" s="148" t="n">
        <f aca="false">ROW()-4</f>
        <v>529</v>
      </c>
      <c r="C533" s="149" t="n">
        <f aca="false">COUNTIFS($D$5:D533,D533)</f>
        <v>392</v>
      </c>
      <c r="D533" s="138" t="s">
        <v>391</v>
      </c>
      <c r="E533" s="122" t="s">
        <v>1154</v>
      </c>
      <c r="F533" s="123" t="n">
        <v>45978</v>
      </c>
      <c r="G533" s="121" t="s">
        <v>26</v>
      </c>
      <c r="H53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A0529</v>
      </c>
      <c r="I53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B0529</v>
      </c>
      <c r="J533" s="122" t="s">
        <v>1155</v>
      </c>
      <c r="K53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C0529</v>
      </c>
      <c r="L53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D0529</v>
      </c>
      <c r="M533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E0529</v>
      </c>
      <c r="N533" s="124" t="s">
        <v>73</v>
      </c>
      <c r="O533" s="150" t="n">
        <v>3500000</v>
      </c>
      <c r="P533" s="121" t="s">
        <v>18</v>
      </c>
      <c r="Q533" s="138" t="s">
        <v>124</v>
      </c>
      <c r="R533" s="151"/>
    </row>
    <row r="534" s="118" customFormat="true" ht="12.75" hidden="false" customHeight="true" outlineLevel="0" collapsed="false">
      <c r="A534" s="98"/>
      <c r="B534" s="148" t="n">
        <f aca="false">ROW()-4</f>
        <v>530</v>
      </c>
      <c r="C534" s="149" t="n">
        <f aca="false">COUNTIFS($D$5:D534,D534)</f>
        <v>393</v>
      </c>
      <c r="D534" s="138" t="s">
        <v>391</v>
      </c>
      <c r="E534" s="122" t="s">
        <v>1156</v>
      </c>
      <c r="F534" s="123" t="n">
        <v>45834</v>
      </c>
      <c r="G534" s="121" t="s">
        <v>22</v>
      </c>
      <c r="H53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A0530</v>
      </c>
      <c r="I53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B0530</v>
      </c>
      <c r="J534" s="122" t="s">
        <v>1157</v>
      </c>
      <c r="K53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C0530</v>
      </c>
      <c r="L53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D0530</v>
      </c>
      <c r="M534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E0530</v>
      </c>
      <c r="N534" s="124" t="s">
        <v>73</v>
      </c>
      <c r="O534" s="150" t="n">
        <v>3500000</v>
      </c>
      <c r="P534" s="121" t="s">
        <v>18</v>
      </c>
      <c r="Q534" s="138" t="s">
        <v>124</v>
      </c>
      <c r="R534" s="151"/>
    </row>
    <row r="535" s="118" customFormat="true" ht="12.75" hidden="false" customHeight="true" outlineLevel="0" collapsed="false">
      <c r="A535" s="98"/>
      <c r="B535" s="148" t="n">
        <f aca="false">ROW()-4</f>
        <v>531</v>
      </c>
      <c r="C535" s="149" t="n">
        <f aca="false">COUNTIFS($D$5:D535,D535)</f>
        <v>394</v>
      </c>
      <c r="D535" s="138" t="s">
        <v>391</v>
      </c>
      <c r="E535" s="122" t="s">
        <v>1158</v>
      </c>
      <c r="F535" s="123" t="n">
        <v>45988</v>
      </c>
      <c r="G535" s="121" t="s">
        <v>22</v>
      </c>
      <c r="H53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A0531</v>
      </c>
      <c r="I53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B0531</v>
      </c>
      <c r="J535" s="122" t="s">
        <v>1159</v>
      </c>
      <c r="K53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C0531</v>
      </c>
      <c r="L53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D0531</v>
      </c>
      <c r="M535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E0531</v>
      </c>
      <c r="N535" s="124" t="s">
        <v>73</v>
      </c>
      <c r="O535" s="150" t="n">
        <v>3500000</v>
      </c>
      <c r="P535" s="121" t="s">
        <v>18</v>
      </c>
      <c r="Q535" s="138" t="s">
        <v>124</v>
      </c>
      <c r="R535" s="151"/>
    </row>
    <row r="536" s="118" customFormat="true" ht="12.75" hidden="false" customHeight="true" outlineLevel="0" collapsed="false">
      <c r="A536" s="98"/>
      <c r="B536" s="148" t="n">
        <f aca="false">ROW()-4</f>
        <v>532</v>
      </c>
      <c r="C536" s="149" t="n">
        <f aca="false">COUNTIFS($D$5:D536,D536)</f>
        <v>395</v>
      </c>
      <c r="D536" s="138" t="s">
        <v>391</v>
      </c>
      <c r="E536" s="122" t="s">
        <v>1160</v>
      </c>
      <c r="F536" s="123" t="n">
        <v>45985</v>
      </c>
      <c r="G536" s="121" t="s">
        <v>26</v>
      </c>
      <c r="H53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A0532</v>
      </c>
      <c r="I53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B0532</v>
      </c>
      <c r="J536" s="122" t="s">
        <v>1161</v>
      </c>
      <c r="K53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C0532</v>
      </c>
      <c r="L53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D0532</v>
      </c>
      <c r="M536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E0532</v>
      </c>
      <c r="N536" s="124" t="s">
        <v>73</v>
      </c>
      <c r="O536" s="150" t="n">
        <v>3500000</v>
      </c>
      <c r="P536" s="121" t="s">
        <v>18</v>
      </c>
      <c r="Q536" s="138" t="s">
        <v>124</v>
      </c>
      <c r="R536" s="151"/>
    </row>
    <row r="537" s="118" customFormat="true" ht="12.75" hidden="false" customHeight="true" outlineLevel="0" collapsed="false">
      <c r="A537" s="98"/>
      <c r="B537" s="148" t="n">
        <f aca="false">ROW()-4</f>
        <v>533</v>
      </c>
      <c r="C537" s="149" t="n">
        <f aca="false">COUNTIFS($D$5:D537,D537)</f>
        <v>396</v>
      </c>
      <c r="D537" s="138" t="s">
        <v>391</v>
      </c>
      <c r="E537" s="122" t="s">
        <v>1162</v>
      </c>
      <c r="F537" s="123" t="n">
        <v>45987</v>
      </c>
      <c r="G537" s="121" t="s">
        <v>28</v>
      </c>
      <c r="H53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A0533</v>
      </c>
      <c r="I53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B0533</v>
      </c>
      <c r="J537" s="122" t="s">
        <v>1163</v>
      </c>
      <c r="K53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C0533</v>
      </c>
      <c r="L53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D0533</v>
      </c>
      <c r="M537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E0533</v>
      </c>
      <c r="N537" s="124" t="s">
        <v>73</v>
      </c>
      <c r="O537" s="150" t="n">
        <v>3500000</v>
      </c>
      <c r="P537" s="121" t="s">
        <v>18</v>
      </c>
      <c r="Q537" s="138" t="s">
        <v>124</v>
      </c>
      <c r="R537" s="151"/>
    </row>
    <row r="538" s="118" customFormat="true" ht="12.75" hidden="false" customHeight="true" outlineLevel="0" collapsed="false">
      <c r="A538" s="98"/>
      <c r="B538" s="148" t="n">
        <f aca="false">ROW()-4</f>
        <v>534</v>
      </c>
      <c r="C538" s="149" t="n">
        <f aca="false">COUNTIFS($D$5:D538,D538)</f>
        <v>397</v>
      </c>
      <c r="D538" s="138" t="s">
        <v>391</v>
      </c>
      <c r="E538" s="122" t="s">
        <v>1164</v>
      </c>
      <c r="F538" s="123" t="n">
        <v>45988</v>
      </c>
      <c r="G538" s="121" t="s">
        <v>26</v>
      </c>
      <c r="H53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A0534</v>
      </c>
      <c r="I53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B0534</v>
      </c>
      <c r="J538" s="122" t="s">
        <v>1165</v>
      </c>
      <c r="K53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C0534</v>
      </c>
      <c r="L53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D0534</v>
      </c>
      <c r="M538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E0534</v>
      </c>
      <c r="N538" s="124" t="s">
        <v>73</v>
      </c>
      <c r="O538" s="150" t="n">
        <v>3500000</v>
      </c>
      <c r="P538" s="121" t="s">
        <v>18</v>
      </c>
      <c r="Q538" s="138" t="s">
        <v>124</v>
      </c>
      <c r="R538" s="151"/>
    </row>
    <row r="539" s="118" customFormat="true" ht="12.75" hidden="false" customHeight="true" outlineLevel="0" collapsed="false">
      <c r="A539" s="98"/>
      <c r="B539" s="148" t="n">
        <f aca="false">ROW()-4</f>
        <v>535</v>
      </c>
      <c r="C539" s="149" t="n">
        <f aca="false">COUNTIFS($D$5:D539,D539)</f>
        <v>398</v>
      </c>
      <c r="D539" s="138" t="s">
        <v>391</v>
      </c>
      <c r="E539" s="122" t="s">
        <v>1166</v>
      </c>
      <c r="F539" s="123" t="n">
        <v>45979</v>
      </c>
      <c r="G539" s="121" t="s">
        <v>30</v>
      </c>
      <c r="H53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A0535</v>
      </c>
      <c r="I53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B0535</v>
      </c>
      <c r="J539" s="122" t="s">
        <v>1167</v>
      </c>
      <c r="K53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C0535</v>
      </c>
      <c r="L53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D0535</v>
      </c>
      <c r="M539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E0535</v>
      </c>
      <c r="N539" s="124" t="s">
        <v>73</v>
      </c>
      <c r="O539" s="150" t="n">
        <v>3500000</v>
      </c>
      <c r="P539" s="121" t="s">
        <v>18</v>
      </c>
      <c r="Q539" s="138" t="s">
        <v>124</v>
      </c>
      <c r="R539" s="151"/>
    </row>
    <row r="540" s="118" customFormat="true" ht="12.75" hidden="false" customHeight="true" outlineLevel="0" collapsed="false">
      <c r="A540" s="98"/>
      <c r="B540" s="148" t="n">
        <f aca="false">ROW()-4</f>
        <v>536</v>
      </c>
      <c r="C540" s="149" t="n">
        <f aca="false">COUNTIFS($D$5:D540,D540)</f>
        <v>399</v>
      </c>
      <c r="D540" s="138" t="s">
        <v>391</v>
      </c>
      <c r="E540" s="122" t="s">
        <v>1168</v>
      </c>
      <c r="F540" s="123" t="n">
        <v>45993</v>
      </c>
      <c r="G540" s="121" t="s">
        <v>22</v>
      </c>
      <c r="H54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A0536</v>
      </c>
      <c r="I54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B0536</v>
      </c>
      <c r="J540" s="122" t="s">
        <v>1169</v>
      </c>
      <c r="K54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C0536</v>
      </c>
      <c r="L54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D0536</v>
      </c>
      <c r="M540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E0536</v>
      </c>
      <c r="N540" s="124" t="s">
        <v>73</v>
      </c>
      <c r="O540" s="150" t="n">
        <v>3500000</v>
      </c>
      <c r="P540" s="121" t="s">
        <v>18</v>
      </c>
      <c r="Q540" s="138" t="s">
        <v>124</v>
      </c>
      <c r="R540" s="151"/>
    </row>
    <row r="541" s="118" customFormat="true" ht="12.75" hidden="false" customHeight="true" outlineLevel="0" collapsed="false">
      <c r="A541" s="98"/>
      <c r="B541" s="148" t="n">
        <f aca="false">ROW()-4</f>
        <v>537</v>
      </c>
      <c r="C541" s="149" t="n">
        <f aca="false">COUNTIFS($D$5:D541,D541)</f>
        <v>400</v>
      </c>
      <c r="D541" s="138" t="s">
        <v>391</v>
      </c>
      <c r="E541" s="122" t="s">
        <v>1170</v>
      </c>
      <c r="F541" s="123" t="n">
        <v>45993</v>
      </c>
      <c r="G541" s="121" t="s">
        <v>22</v>
      </c>
      <c r="H54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A0537</v>
      </c>
      <c r="I54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B0537</v>
      </c>
      <c r="J541" s="122" t="s">
        <v>1171</v>
      </c>
      <c r="K54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C0537</v>
      </c>
      <c r="L54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D0537</v>
      </c>
      <c r="M541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E0537</v>
      </c>
      <c r="N541" s="124" t="s">
        <v>73</v>
      </c>
      <c r="O541" s="150" t="n">
        <v>3500000</v>
      </c>
      <c r="P541" s="121" t="s">
        <v>18</v>
      </c>
      <c r="Q541" s="138" t="s">
        <v>124</v>
      </c>
      <c r="R541" s="151"/>
    </row>
    <row r="542" s="118" customFormat="true" ht="12.75" hidden="false" customHeight="true" outlineLevel="0" collapsed="false">
      <c r="A542" s="98"/>
      <c r="B542" s="148" t="n">
        <f aca="false">ROW()-4</f>
        <v>538</v>
      </c>
      <c r="C542" s="149" t="n">
        <f aca="false">COUNTIFS($D$5:D542,D542)</f>
        <v>401</v>
      </c>
      <c r="D542" s="138" t="s">
        <v>391</v>
      </c>
      <c r="E542" s="122" t="s">
        <v>1172</v>
      </c>
      <c r="F542" s="123" t="n">
        <v>45999</v>
      </c>
      <c r="G542" s="121" t="s">
        <v>30</v>
      </c>
      <c r="H54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A0538</v>
      </c>
      <c r="I54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B0538</v>
      </c>
      <c r="J542" s="122" t="s">
        <v>1173</v>
      </c>
      <c r="K54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C0538</v>
      </c>
      <c r="L54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D0538</v>
      </c>
      <c r="M542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E0538</v>
      </c>
      <c r="N542" s="124" t="s">
        <v>73</v>
      </c>
      <c r="O542" s="150" t="n">
        <v>3500000</v>
      </c>
      <c r="P542" s="121" t="s">
        <v>18</v>
      </c>
      <c r="Q542" s="138" t="s">
        <v>124</v>
      </c>
      <c r="R542" s="151"/>
    </row>
    <row r="543" s="118" customFormat="true" ht="12.75" hidden="false" customHeight="true" outlineLevel="0" collapsed="false">
      <c r="A543" s="98"/>
      <c r="B543" s="148" t="n">
        <f aca="false">ROW()-4</f>
        <v>539</v>
      </c>
      <c r="C543" s="149" t="n">
        <f aca="false">COUNTIFS($D$5:D543,D543)</f>
        <v>402</v>
      </c>
      <c r="D543" s="138" t="s">
        <v>391</v>
      </c>
      <c r="E543" s="122" t="s">
        <v>1174</v>
      </c>
      <c r="F543" s="123" t="n">
        <v>46003</v>
      </c>
      <c r="G543" s="121" t="s">
        <v>22</v>
      </c>
      <c r="H54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A0539</v>
      </c>
      <c r="I54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B0539</v>
      </c>
      <c r="J543" s="122" t="s">
        <v>1175</v>
      </c>
      <c r="K54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C0539</v>
      </c>
      <c r="L54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D0539</v>
      </c>
      <c r="M543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E0539</v>
      </c>
      <c r="N543" s="124" t="s">
        <v>73</v>
      </c>
      <c r="O543" s="150" t="n">
        <v>3500000</v>
      </c>
      <c r="P543" s="121" t="s">
        <v>18</v>
      </c>
      <c r="Q543" s="138" t="s">
        <v>124</v>
      </c>
      <c r="R543" s="151"/>
    </row>
    <row r="544" s="118" customFormat="true" ht="12.75" hidden="false" customHeight="true" outlineLevel="0" collapsed="false">
      <c r="A544" s="98"/>
      <c r="B544" s="148" t="n">
        <f aca="false">ROW()-4</f>
        <v>540</v>
      </c>
      <c r="C544" s="149" t="n">
        <f aca="false">COUNTIFS($D$5:D544,D544)</f>
        <v>403</v>
      </c>
      <c r="D544" s="138" t="s">
        <v>391</v>
      </c>
      <c r="E544" s="122" t="s">
        <v>1176</v>
      </c>
      <c r="F544" s="123" t="n">
        <v>46003</v>
      </c>
      <c r="G544" s="121" t="s">
        <v>22</v>
      </c>
      <c r="H54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A0540</v>
      </c>
      <c r="I54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B0540</v>
      </c>
      <c r="J544" s="122" t="s">
        <v>1177</v>
      </c>
      <c r="K54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C0540</v>
      </c>
      <c r="L54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D0540</v>
      </c>
      <c r="M544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E0540</v>
      </c>
      <c r="N544" s="124" t="s">
        <v>73</v>
      </c>
      <c r="O544" s="150" t="n">
        <v>3500000</v>
      </c>
      <c r="P544" s="121" t="s">
        <v>18</v>
      </c>
      <c r="Q544" s="138" t="s">
        <v>124</v>
      </c>
      <c r="R544" s="151"/>
    </row>
    <row r="545" s="118" customFormat="true" ht="12.75" hidden="false" customHeight="true" outlineLevel="0" collapsed="false">
      <c r="A545" s="98"/>
      <c r="B545" s="148" t="n">
        <f aca="false">ROW()-4</f>
        <v>541</v>
      </c>
      <c r="C545" s="149" t="n">
        <f aca="false">COUNTIFS($D$5:D545,D545)</f>
        <v>404</v>
      </c>
      <c r="D545" s="138" t="s">
        <v>391</v>
      </c>
      <c r="E545" s="122" t="s">
        <v>1178</v>
      </c>
      <c r="F545" s="123" t="n">
        <v>46013</v>
      </c>
      <c r="G545" s="121" t="s">
        <v>26</v>
      </c>
      <c r="H54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A0541</v>
      </c>
      <c r="I54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B0541</v>
      </c>
      <c r="J545" s="122" t="s">
        <v>1179</v>
      </c>
      <c r="K54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C0541</v>
      </c>
      <c r="L54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D0541</v>
      </c>
      <c r="M545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E0541</v>
      </c>
      <c r="N545" s="124" t="s">
        <v>73</v>
      </c>
      <c r="O545" s="150" t="n">
        <v>3500000</v>
      </c>
      <c r="P545" s="121" t="s">
        <v>18</v>
      </c>
      <c r="Q545" s="138" t="s">
        <v>124</v>
      </c>
      <c r="R545" s="151"/>
    </row>
    <row r="546" s="118" customFormat="true" ht="12.75" hidden="false" customHeight="true" outlineLevel="0" collapsed="false">
      <c r="A546" s="98"/>
      <c r="B546" s="148" t="n">
        <f aca="false">ROW()-4</f>
        <v>542</v>
      </c>
      <c r="C546" s="149" t="n">
        <f aca="false">COUNTIFS($D$5:D546,D546)</f>
        <v>405</v>
      </c>
      <c r="D546" s="138" t="s">
        <v>391</v>
      </c>
      <c r="E546" s="122" t="s">
        <v>1180</v>
      </c>
      <c r="F546" s="123" t="n">
        <v>46015</v>
      </c>
      <c r="G546" s="121" t="s">
        <v>26</v>
      </c>
      <c r="H54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A0542</v>
      </c>
      <c r="I54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B0542</v>
      </c>
      <c r="J546" s="122" t="s">
        <v>1181</v>
      </c>
      <c r="K54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C0542</v>
      </c>
      <c r="L54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D0542</v>
      </c>
      <c r="M546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E0542</v>
      </c>
      <c r="N546" s="124" t="s">
        <v>73</v>
      </c>
      <c r="O546" s="150" t="n">
        <v>3500000</v>
      </c>
      <c r="P546" s="121" t="s">
        <v>18</v>
      </c>
      <c r="Q546" s="138" t="s">
        <v>124</v>
      </c>
      <c r="R546" s="151"/>
    </row>
    <row r="547" s="118" customFormat="true" ht="12.75" hidden="false" customHeight="true" outlineLevel="0" collapsed="false">
      <c r="A547" s="98"/>
      <c r="B547" s="148" t="n">
        <f aca="false">ROW()-4</f>
        <v>543</v>
      </c>
      <c r="C547" s="149" t="n">
        <f aca="false">COUNTIFS($D$5:D547,D547)</f>
        <v>406</v>
      </c>
      <c r="D547" s="138" t="s">
        <v>391</v>
      </c>
      <c r="E547" s="122" t="s">
        <v>1182</v>
      </c>
      <c r="F547" s="123" t="n">
        <v>46015</v>
      </c>
      <c r="G547" s="121" t="s">
        <v>26</v>
      </c>
      <c r="H54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A0543</v>
      </c>
      <c r="I54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B0543</v>
      </c>
      <c r="J547" s="122" t="s">
        <v>1183</v>
      </c>
      <c r="K54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C0543</v>
      </c>
      <c r="L54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D0543</v>
      </c>
      <c r="M547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E0543</v>
      </c>
      <c r="N547" s="124" t="s">
        <v>73</v>
      </c>
      <c r="O547" s="150" t="n">
        <v>3500000</v>
      </c>
      <c r="P547" s="121" t="s">
        <v>18</v>
      </c>
      <c r="Q547" s="138" t="s">
        <v>124</v>
      </c>
      <c r="R547" s="151"/>
    </row>
    <row r="548" s="118" customFormat="true" ht="12.75" hidden="false" customHeight="true" outlineLevel="0" collapsed="false">
      <c r="A548" s="98"/>
      <c r="B548" s="148" t="n">
        <f aca="false">ROW()-4</f>
        <v>544</v>
      </c>
      <c r="C548" s="149" t="n">
        <f aca="false">COUNTIFS($D$5:D548,D548)</f>
        <v>407</v>
      </c>
      <c r="D548" s="138" t="s">
        <v>391</v>
      </c>
      <c r="E548" s="122" t="s">
        <v>1184</v>
      </c>
      <c r="F548" s="123" t="n">
        <v>46031</v>
      </c>
      <c r="G548" s="121" t="s">
        <v>26</v>
      </c>
      <c r="H54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A0544</v>
      </c>
      <c r="I54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B0544</v>
      </c>
      <c r="J548" s="122" t="s">
        <v>1185</v>
      </c>
      <c r="K54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C0544</v>
      </c>
      <c r="L54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D0544</v>
      </c>
      <c r="M548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E0544</v>
      </c>
      <c r="N548" s="124" t="s">
        <v>73</v>
      </c>
      <c r="O548" s="150" t="n">
        <v>3500000</v>
      </c>
      <c r="P548" s="121" t="s">
        <v>18</v>
      </c>
      <c r="Q548" s="138" t="s">
        <v>124</v>
      </c>
      <c r="R548" s="151"/>
    </row>
    <row r="549" s="118" customFormat="true" ht="12.75" hidden="false" customHeight="true" outlineLevel="0" collapsed="false">
      <c r="A549" s="98"/>
      <c r="B549" s="148" t="n">
        <f aca="false">ROW()-4</f>
        <v>545</v>
      </c>
      <c r="C549" s="149" t="n">
        <f aca="false">COUNTIFS($D$5:D549,D549)</f>
        <v>408</v>
      </c>
      <c r="D549" s="138" t="s">
        <v>391</v>
      </c>
      <c r="E549" s="122" t="s">
        <v>1186</v>
      </c>
      <c r="F549" s="123" t="n">
        <v>46038</v>
      </c>
      <c r="G549" s="121" t="s">
        <v>24</v>
      </c>
      <c r="H54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A0545</v>
      </c>
      <c r="I54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B0545</v>
      </c>
      <c r="J549" s="122" t="s">
        <v>1187</v>
      </c>
      <c r="K54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C0545</v>
      </c>
      <c r="L54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D0545</v>
      </c>
      <c r="M549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E0545</v>
      </c>
      <c r="N549" s="124" t="s">
        <v>73</v>
      </c>
      <c r="O549" s="150" t="n">
        <v>3500000</v>
      </c>
      <c r="P549" s="121" t="s">
        <v>18</v>
      </c>
      <c r="Q549" s="138" t="s">
        <v>124</v>
      </c>
      <c r="R549" s="151"/>
    </row>
    <row r="550" s="118" customFormat="true" ht="12.75" hidden="false" customHeight="true" outlineLevel="0" collapsed="false">
      <c r="A550" s="98"/>
      <c r="B550" s="148" t="n">
        <f aca="false">ROW()-4</f>
        <v>546</v>
      </c>
      <c r="C550" s="149" t="n">
        <f aca="false">COUNTIFS($D$5:D550,D550)</f>
        <v>409</v>
      </c>
      <c r="D550" s="138" t="s">
        <v>391</v>
      </c>
      <c r="E550" s="122" t="s">
        <v>1188</v>
      </c>
      <c r="F550" s="123" t="n">
        <v>46034</v>
      </c>
      <c r="G550" s="121" t="s">
        <v>26</v>
      </c>
      <c r="H55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A0546</v>
      </c>
      <c r="I55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B0546</v>
      </c>
      <c r="J550" s="122" t="s">
        <v>1189</v>
      </c>
      <c r="K55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C0546</v>
      </c>
      <c r="L55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D0546</v>
      </c>
      <c r="M550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E0546</v>
      </c>
      <c r="N550" s="124" t="s">
        <v>73</v>
      </c>
      <c r="O550" s="150" t="n">
        <v>3500000</v>
      </c>
      <c r="P550" s="121" t="s">
        <v>18</v>
      </c>
      <c r="Q550" s="138" t="s">
        <v>124</v>
      </c>
      <c r="R550" s="151"/>
    </row>
    <row r="551" s="118" customFormat="true" ht="12.75" hidden="false" customHeight="true" outlineLevel="0" collapsed="false">
      <c r="A551" s="98"/>
      <c r="B551" s="148" t="n">
        <f aca="false">ROW()-4</f>
        <v>547</v>
      </c>
      <c r="C551" s="149" t="n">
        <f aca="false">COUNTIFS($D$5:D551,D551)</f>
        <v>410</v>
      </c>
      <c r="D551" s="138" t="s">
        <v>391</v>
      </c>
      <c r="E551" s="122" t="s">
        <v>1190</v>
      </c>
      <c r="F551" s="123" t="n">
        <v>46050</v>
      </c>
      <c r="G551" s="121" t="s">
        <v>30</v>
      </c>
      <c r="H55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A0547</v>
      </c>
      <c r="I55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B0547</v>
      </c>
      <c r="J551" s="122" t="s">
        <v>1191</v>
      </c>
      <c r="K55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C0547</v>
      </c>
      <c r="L55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D0547</v>
      </c>
      <c r="M551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E0547</v>
      </c>
      <c r="N551" s="124" t="s">
        <v>73</v>
      </c>
      <c r="O551" s="150" t="n">
        <v>3500000</v>
      </c>
      <c r="P551" s="121" t="s">
        <v>18</v>
      </c>
      <c r="Q551" s="138" t="s">
        <v>124</v>
      </c>
      <c r="R551" s="151"/>
    </row>
    <row r="552" s="118" customFormat="true" ht="12.75" hidden="false" customHeight="true" outlineLevel="0" collapsed="false">
      <c r="A552" s="98"/>
      <c r="B552" s="148" t="n">
        <f aca="false">ROW()-4</f>
        <v>548</v>
      </c>
      <c r="C552" s="149" t="n">
        <f aca="false">COUNTIFS($D$5:D552,D552)</f>
        <v>411</v>
      </c>
      <c r="D552" s="138" t="s">
        <v>391</v>
      </c>
      <c r="E552" s="122" t="s">
        <v>1192</v>
      </c>
      <c r="F552" s="123" t="n">
        <v>46050</v>
      </c>
      <c r="G552" s="121" t="s">
        <v>30</v>
      </c>
      <c r="H55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A0548</v>
      </c>
      <c r="I55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B0548</v>
      </c>
      <c r="J552" s="122" t="s">
        <v>1193</v>
      </c>
      <c r="K55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C0548</v>
      </c>
      <c r="L55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D0548</v>
      </c>
      <c r="M552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E0548</v>
      </c>
      <c r="N552" s="124" t="s">
        <v>73</v>
      </c>
      <c r="O552" s="150" t="n">
        <v>3500000</v>
      </c>
      <c r="P552" s="121" t="s">
        <v>18</v>
      </c>
      <c r="Q552" s="138" t="s">
        <v>124</v>
      </c>
      <c r="R552" s="151"/>
    </row>
    <row r="553" s="118" customFormat="true" ht="12.75" hidden="false" customHeight="true" outlineLevel="0" collapsed="false">
      <c r="A553" s="98"/>
      <c r="B553" s="148" t="n">
        <f aca="false">ROW()-4</f>
        <v>549</v>
      </c>
      <c r="C553" s="149" t="n">
        <f aca="false">COUNTIFS($D$5:D553,D553)</f>
        <v>412</v>
      </c>
      <c r="D553" s="138" t="s">
        <v>391</v>
      </c>
      <c r="E553" s="122" t="s">
        <v>1194</v>
      </c>
      <c r="F553" s="123" t="n">
        <v>46038</v>
      </c>
      <c r="G553" s="121" t="s">
        <v>26</v>
      </c>
      <c r="H55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A0549</v>
      </c>
      <c r="I55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B0549</v>
      </c>
      <c r="J553" s="122" t="s">
        <v>1195</v>
      </c>
      <c r="K55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C0549</v>
      </c>
      <c r="L55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D0549</v>
      </c>
      <c r="M553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E0549</v>
      </c>
      <c r="N553" s="124" t="s">
        <v>73</v>
      </c>
      <c r="O553" s="150" t="n">
        <v>3500000</v>
      </c>
      <c r="P553" s="121" t="s">
        <v>18</v>
      </c>
      <c r="Q553" s="138" t="s">
        <v>124</v>
      </c>
      <c r="R553" s="151"/>
    </row>
    <row r="554" s="118" customFormat="true" ht="12.75" hidden="false" customHeight="true" outlineLevel="0" collapsed="false">
      <c r="A554" s="98"/>
      <c r="B554" s="148" t="n">
        <f aca="false">ROW()-4</f>
        <v>550</v>
      </c>
      <c r="C554" s="149" t="n">
        <f aca="false">COUNTIFS($D$5:D554,D554)</f>
        <v>413</v>
      </c>
      <c r="D554" s="138" t="s">
        <v>391</v>
      </c>
      <c r="E554" s="122" t="s">
        <v>1196</v>
      </c>
      <c r="F554" s="123" t="n">
        <v>46035</v>
      </c>
      <c r="G554" s="121" t="s">
        <v>26</v>
      </c>
      <c r="H55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A0550</v>
      </c>
      <c r="I55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B0550</v>
      </c>
      <c r="J554" s="122" t="s">
        <v>1197</v>
      </c>
      <c r="K55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C0550</v>
      </c>
      <c r="L55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D0550</v>
      </c>
      <c r="M554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E0550</v>
      </c>
      <c r="N554" s="124" t="s">
        <v>73</v>
      </c>
      <c r="O554" s="150" t="n">
        <v>3500000</v>
      </c>
      <c r="P554" s="121" t="s">
        <v>18</v>
      </c>
      <c r="Q554" s="138" t="s">
        <v>124</v>
      </c>
      <c r="R554" s="151"/>
    </row>
    <row r="555" s="118" customFormat="true" ht="12.75" hidden="false" customHeight="true" outlineLevel="0" collapsed="false">
      <c r="A555" s="98"/>
      <c r="B555" s="148" t="n">
        <f aca="false">ROW()-4</f>
        <v>551</v>
      </c>
      <c r="C555" s="149" t="n">
        <f aca="false">COUNTIFS($D$5:D555,D555)</f>
        <v>414</v>
      </c>
      <c r="D555" s="138" t="s">
        <v>391</v>
      </c>
      <c r="E555" s="122" t="s">
        <v>1198</v>
      </c>
      <c r="F555" s="123" t="n">
        <v>46049</v>
      </c>
      <c r="G555" s="121" t="s">
        <v>30</v>
      </c>
      <c r="H55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A0551</v>
      </c>
      <c r="I55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B0551</v>
      </c>
      <c r="J555" s="122" t="s">
        <v>1199</v>
      </c>
      <c r="K55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C0551</v>
      </c>
      <c r="L55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D0551</v>
      </c>
      <c r="M555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E0551</v>
      </c>
      <c r="N555" s="124" t="s">
        <v>73</v>
      </c>
      <c r="O555" s="150" t="n">
        <v>3500000</v>
      </c>
      <c r="P555" s="121" t="s">
        <v>18</v>
      </c>
      <c r="Q555" s="138" t="s">
        <v>124</v>
      </c>
      <c r="R555" s="151"/>
    </row>
    <row r="556" s="118" customFormat="true" ht="12.75" hidden="false" customHeight="true" outlineLevel="0" collapsed="false">
      <c r="A556" s="98"/>
      <c r="B556" s="148" t="n">
        <f aca="false">ROW()-4</f>
        <v>552</v>
      </c>
      <c r="C556" s="149" t="n">
        <f aca="false">COUNTIFS($D$5:D556,D556)</f>
        <v>415</v>
      </c>
      <c r="D556" s="138" t="s">
        <v>391</v>
      </c>
      <c r="E556" s="122" t="s">
        <v>1200</v>
      </c>
      <c r="F556" s="123" t="n">
        <v>46062</v>
      </c>
      <c r="G556" s="121" t="s">
        <v>26</v>
      </c>
      <c r="H55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A0552</v>
      </c>
      <c r="I55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B0552</v>
      </c>
      <c r="J556" s="122" t="s">
        <v>1201</v>
      </c>
      <c r="K55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C0552</v>
      </c>
      <c r="L55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D0552</v>
      </c>
      <c r="M556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E0552</v>
      </c>
      <c r="N556" s="124" t="s">
        <v>73</v>
      </c>
      <c r="O556" s="150" t="n">
        <v>3500000</v>
      </c>
      <c r="P556" s="121" t="s">
        <v>18</v>
      </c>
      <c r="Q556" s="138" t="s">
        <v>124</v>
      </c>
      <c r="R556" s="151"/>
    </row>
    <row r="557" s="118" customFormat="true" ht="12.75" hidden="false" customHeight="true" outlineLevel="0" collapsed="false">
      <c r="A557" s="98"/>
      <c r="B557" s="148" t="n">
        <f aca="false">ROW()-4</f>
        <v>553</v>
      </c>
      <c r="C557" s="149" t="n">
        <f aca="false">COUNTIFS($D$5:D557,D557)</f>
        <v>416</v>
      </c>
      <c r="D557" s="138" t="s">
        <v>391</v>
      </c>
      <c r="E557" s="122" t="s">
        <v>1202</v>
      </c>
      <c r="F557" s="123" t="n">
        <v>46062</v>
      </c>
      <c r="G557" s="121" t="s">
        <v>30</v>
      </c>
      <c r="H55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A0553</v>
      </c>
      <c r="I55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B0553</v>
      </c>
      <c r="J557" s="122" t="s">
        <v>1203</v>
      </c>
      <c r="K55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C0553</v>
      </c>
      <c r="L55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D0553</v>
      </c>
      <c r="M557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E0553</v>
      </c>
      <c r="N557" s="124" t="s">
        <v>73</v>
      </c>
      <c r="O557" s="150" t="n">
        <v>3500000</v>
      </c>
      <c r="P557" s="121" t="s">
        <v>18</v>
      </c>
      <c r="Q557" s="138" t="s">
        <v>124</v>
      </c>
      <c r="R557" s="151"/>
    </row>
    <row r="558" s="118" customFormat="true" ht="12.75" hidden="false" customHeight="true" outlineLevel="0" collapsed="false">
      <c r="A558" s="98"/>
      <c r="B558" s="148" t="n">
        <f aca="false">ROW()-4</f>
        <v>554</v>
      </c>
      <c r="C558" s="149" t="n">
        <f aca="false">COUNTIFS($D$5:D558,D558)</f>
        <v>417</v>
      </c>
      <c r="D558" s="138" t="s">
        <v>391</v>
      </c>
      <c r="E558" s="122" t="s">
        <v>1204</v>
      </c>
      <c r="F558" s="123" t="n">
        <v>46052</v>
      </c>
      <c r="G558" s="121" t="s">
        <v>24</v>
      </c>
      <c r="H55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A0554</v>
      </c>
      <c r="I55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B0554</v>
      </c>
      <c r="J558" s="122" t="s">
        <v>1205</v>
      </c>
      <c r="K55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C0554</v>
      </c>
      <c r="L55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D0554</v>
      </c>
      <c r="M558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E0554</v>
      </c>
      <c r="N558" s="124" t="s">
        <v>73</v>
      </c>
      <c r="O558" s="150" t="n">
        <v>3500000</v>
      </c>
      <c r="P558" s="121" t="s">
        <v>18</v>
      </c>
      <c r="Q558" s="138" t="s">
        <v>124</v>
      </c>
      <c r="R558" s="151"/>
    </row>
    <row r="559" s="118" customFormat="true" ht="12.75" hidden="false" customHeight="true" outlineLevel="0" collapsed="false">
      <c r="A559" s="98"/>
      <c r="B559" s="152" t="n">
        <f aca="false">ROW()-4</f>
        <v>555</v>
      </c>
      <c r="C559" s="153" t="n">
        <f aca="false">COUNTIFS($D$5:D559,D559)</f>
        <v>418</v>
      </c>
      <c r="D559" s="154" t="s">
        <v>391</v>
      </c>
      <c r="E559" s="155" t="s">
        <v>1206</v>
      </c>
      <c r="F559" s="156" t="n">
        <v>46062</v>
      </c>
      <c r="G559" s="154" t="s">
        <v>28</v>
      </c>
      <c r="H559" s="155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A0555</v>
      </c>
      <c r="I559" s="155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B0555</v>
      </c>
      <c r="J559" s="155" t="s">
        <v>1207</v>
      </c>
      <c r="K559" s="155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C0555</v>
      </c>
      <c r="L559" s="157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D0555</v>
      </c>
      <c r="M559" s="155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E0555</v>
      </c>
      <c r="N559" s="155" t="s">
        <v>73</v>
      </c>
      <c r="O559" s="158" t="n">
        <v>3500000</v>
      </c>
      <c r="P559" s="154" t="s">
        <v>1208</v>
      </c>
      <c r="Q559" s="155" t="s">
        <v>908</v>
      </c>
      <c r="R559" s="159"/>
    </row>
    <row r="560" customFormat="false" ht="12.75" hidden="false" customHeight="true" outlineLevel="0" collapsed="false">
      <c r="B560" s="110" t="n">
        <f aca="false">ROW()-4</f>
        <v>556</v>
      </c>
      <c r="C560" s="111" t="n">
        <f aca="false">COUNTIFS($D$5:D560,D560)</f>
        <v>1</v>
      </c>
      <c r="D560" s="112" t="s">
        <v>1209</v>
      </c>
      <c r="E560" s="113" t="s">
        <v>1210</v>
      </c>
      <c r="F560" s="114" t="n">
        <v>43782</v>
      </c>
      <c r="G560" s="112" t="s">
        <v>28</v>
      </c>
      <c r="H560" s="11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A0556</v>
      </c>
      <c r="I560" s="11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B0556</v>
      </c>
      <c r="J560" s="113" t="s">
        <v>1211</v>
      </c>
      <c r="K560" s="11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C0556</v>
      </c>
      <c r="L560" s="11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D0556</v>
      </c>
      <c r="M560" s="11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E0556</v>
      </c>
      <c r="N560" s="113" t="s">
        <v>72</v>
      </c>
      <c r="O560" s="116" t="n">
        <v>2000000</v>
      </c>
      <c r="P560" s="112" t="s">
        <v>18</v>
      </c>
      <c r="Q560" s="112" t="s">
        <v>124</v>
      </c>
      <c r="R560" s="117"/>
      <c r="T560" s="118"/>
    </row>
    <row r="561" customFormat="false" ht="12.75" hidden="false" customHeight="true" outlineLevel="0" collapsed="false">
      <c r="B561" s="119" t="n">
        <f aca="false">ROW()-4</f>
        <v>557</v>
      </c>
      <c r="C561" s="120" t="n">
        <f aca="false">COUNTIFS($D$5:D561,D561)</f>
        <v>2</v>
      </c>
      <c r="D561" s="121" t="s">
        <v>1209</v>
      </c>
      <c r="E561" s="122" t="s">
        <v>1212</v>
      </c>
      <c r="F561" s="123" t="n">
        <v>45071</v>
      </c>
      <c r="G561" s="121" t="s">
        <v>22</v>
      </c>
      <c r="H56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A0557</v>
      </c>
      <c r="I56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B0557</v>
      </c>
      <c r="J561" s="122" t="s">
        <v>1213</v>
      </c>
      <c r="K56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C0557</v>
      </c>
      <c r="L56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D0557</v>
      </c>
      <c r="M56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E0557</v>
      </c>
      <c r="N561" s="122" t="s">
        <v>72</v>
      </c>
      <c r="O561" s="126" t="n">
        <v>2000000</v>
      </c>
      <c r="P561" s="121" t="s">
        <v>18</v>
      </c>
      <c r="Q561" s="121" t="s">
        <v>124</v>
      </c>
      <c r="R561" s="127"/>
      <c r="T561" s="118"/>
    </row>
    <row r="562" customFormat="false" ht="12.75" hidden="false" customHeight="true" outlineLevel="0" collapsed="false">
      <c r="B562" s="119" t="n">
        <f aca="false">ROW()-4</f>
        <v>558</v>
      </c>
      <c r="C562" s="120" t="n">
        <f aca="false">COUNTIFS($D$5:D562,D562)</f>
        <v>3</v>
      </c>
      <c r="D562" s="121" t="s">
        <v>1209</v>
      </c>
      <c r="E562" s="122" t="s">
        <v>1214</v>
      </c>
      <c r="F562" s="123" t="n">
        <v>44510</v>
      </c>
      <c r="G562" s="121" t="s">
        <v>24</v>
      </c>
      <c r="H56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A0558</v>
      </c>
      <c r="I56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B0558</v>
      </c>
      <c r="J562" s="124" t="s">
        <v>1215</v>
      </c>
      <c r="K56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C0558</v>
      </c>
      <c r="L56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D0558</v>
      </c>
      <c r="M56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E0558</v>
      </c>
      <c r="N562" s="122" t="s">
        <v>72</v>
      </c>
      <c r="O562" s="126" t="n">
        <v>2000000</v>
      </c>
      <c r="P562" s="121" t="s">
        <v>18</v>
      </c>
      <c r="Q562" s="121" t="s">
        <v>124</v>
      </c>
      <c r="R562" s="127"/>
      <c r="T562" s="118"/>
    </row>
    <row r="563" customFormat="false" ht="12.75" hidden="false" customHeight="true" outlineLevel="0" collapsed="false">
      <c r="B563" s="119" t="n">
        <f aca="false">ROW()-4</f>
        <v>559</v>
      </c>
      <c r="C563" s="120" t="n">
        <f aca="false">COUNTIFS($D$5:D563,D563)</f>
        <v>4</v>
      </c>
      <c r="D563" s="121" t="s">
        <v>1209</v>
      </c>
      <c r="E563" s="122" t="s">
        <v>1216</v>
      </c>
      <c r="F563" s="123" t="n">
        <v>43868</v>
      </c>
      <c r="G563" s="121" t="s">
        <v>22</v>
      </c>
      <c r="H56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A0559</v>
      </c>
      <c r="I56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B0559</v>
      </c>
      <c r="J563" s="122" t="s">
        <v>1217</v>
      </c>
      <c r="K56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C0559</v>
      </c>
      <c r="L56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D0559</v>
      </c>
      <c r="M56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E0559</v>
      </c>
      <c r="N563" s="122" t="s">
        <v>72</v>
      </c>
      <c r="O563" s="126" t="n">
        <v>2000000</v>
      </c>
      <c r="P563" s="121" t="s">
        <v>18</v>
      </c>
      <c r="Q563" s="121" t="s">
        <v>124</v>
      </c>
      <c r="R563" s="127"/>
      <c r="T563" s="118"/>
    </row>
    <row r="564" customFormat="false" ht="12.75" hidden="false" customHeight="true" outlineLevel="0" collapsed="false">
      <c r="B564" s="119" t="n">
        <f aca="false">ROW()-4</f>
        <v>560</v>
      </c>
      <c r="C564" s="120" t="n">
        <f aca="false">COUNTIFS($D$5:D564,D564)</f>
        <v>5</v>
      </c>
      <c r="D564" s="121" t="s">
        <v>1209</v>
      </c>
      <c r="E564" s="122" t="s">
        <v>1218</v>
      </c>
      <c r="F564" s="123" t="n">
        <v>46001</v>
      </c>
      <c r="G564" s="121" t="s">
        <v>22</v>
      </c>
      <c r="H56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A0560</v>
      </c>
      <c r="I56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B0560</v>
      </c>
      <c r="J564" s="122" t="s">
        <v>1219</v>
      </c>
      <c r="K56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C0560</v>
      </c>
      <c r="L56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D0560</v>
      </c>
      <c r="M56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E0560</v>
      </c>
      <c r="N564" s="122" t="s">
        <v>72</v>
      </c>
      <c r="O564" s="126" t="n">
        <v>2000000</v>
      </c>
      <c r="P564" s="121" t="s">
        <v>18</v>
      </c>
      <c r="Q564" s="121" t="s">
        <v>124</v>
      </c>
      <c r="R564" s="127"/>
      <c r="T564" s="118"/>
    </row>
    <row r="565" customFormat="false" ht="12.75" hidden="false" customHeight="true" outlineLevel="0" collapsed="false">
      <c r="B565" s="119" t="n">
        <f aca="false">ROW()-4</f>
        <v>561</v>
      </c>
      <c r="C565" s="120" t="n">
        <f aca="false">COUNTIFS($D$5:D565,D565)</f>
        <v>6</v>
      </c>
      <c r="D565" s="121" t="s">
        <v>1209</v>
      </c>
      <c r="E565" s="122" t="s">
        <v>1220</v>
      </c>
      <c r="F565" s="123" t="n">
        <v>43256</v>
      </c>
      <c r="G565" s="121" t="s">
        <v>28</v>
      </c>
      <c r="H56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A0561</v>
      </c>
      <c r="I56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B0561</v>
      </c>
      <c r="J565" s="122" t="s">
        <v>1221</v>
      </c>
      <c r="K56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C0561</v>
      </c>
      <c r="L56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D0561</v>
      </c>
      <c r="M56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E0561</v>
      </c>
      <c r="N565" s="122" t="s">
        <v>72</v>
      </c>
      <c r="O565" s="126" t="n">
        <v>2000000</v>
      </c>
      <c r="P565" s="121" t="s">
        <v>18</v>
      </c>
      <c r="Q565" s="121" t="s">
        <v>124</v>
      </c>
      <c r="R565" s="127"/>
      <c r="T565" s="118"/>
    </row>
    <row r="566" customFormat="false" ht="12.75" hidden="false" customHeight="true" outlineLevel="0" collapsed="false">
      <c r="B566" s="119" t="n">
        <f aca="false">ROW()-4</f>
        <v>562</v>
      </c>
      <c r="C566" s="120" t="n">
        <f aca="false">COUNTIFS($D$5:D566,D566)</f>
        <v>7</v>
      </c>
      <c r="D566" s="121" t="s">
        <v>1209</v>
      </c>
      <c r="E566" s="122" t="s">
        <v>1222</v>
      </c>
      <c r="F566" s="123" t="n">
        <v>45104</v>
      </c>
      <c r="G566" s="121" t="s">
        <v>22</v>
      </c>
      <c r="H56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A0562</v>
      </c>
      <c r="I56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B0562</v>
      </c>
      <c r="J566" s="122" t="s">
        <v>1223</v>
      </c>
      <c r="K56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C0562</v>
      </c>
      <c r="L56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D0562</v>
      </c>
      <c r="M56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E0562</v>
      </c>
      <c r="N566" s="122" t="s">
        <v>72</v>
      </c>
      <c r="O566" s="126" t="n">
        <v>2000000</v>
      </c>
      <c r="P566" s="121" t="s">
        <v>18</v>
      </c>
      <c r="Q566" s="121" t="s">
        <v>124</v>
      </c>
      <c r="R566" s="127"/>
      <c r="T566" s="118"/>
    </row>
    <row r="567" customFormat="false" ht="12.75" hidden="false" customHeight="true" outlineLevel="0" collapsed="false">
      <c r="B567" s="119" t="n">
        <f aca="false">ROW()-4</f>
        <v>563</v>
      </c>
      <c r="C567" s="120" t="n">
        <f aca="false">COUNTIFS($D$5:D567,D567)</f>
        <v>8</v>
      </c>
      <c r="D567" s="121" t="s">
        <v>1209</v>
      </c>
      <c r="E567" s="122" t="s">
        <v>1224</v>
      </c>
      <c r="F567" s="123" t="n">
        <v>45264</v>
      </c>
      <c r="G567" s="121" t="s">
        <v>24</v>
      </c>
      <c r="H56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A0563</v>
      </c>
      <c r="I56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B0563</v>
      </c>
      <c r="J567" s="122" t="s">
        <v>1225</v>
      </c>
      <c r="K56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C0563</v>
      </c>
      <c r="L56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D0563</v>
      </c>
      <c r="M56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E0563</v>
      </c>
      <c r="N567" s="122" t="s">
        <v>72</v>
      </c>
      <c r="O567" s="126" t="n">
        <v>2000000</v>
      </c>
      <c r="P567" s="121" t="s">
        <v>18</v>
      </c>
      <c r="Q567" s="121" t="s">
        <v>124</v>
      </c>
      <c r="R567" s="127"/>
      <c r="T567" s="118"/>
    </row>
    <row r="568" customFormat="false" ht="12.75" hidden="false" customHeight="true" outlineLevel="0" collapsed="false">
      <c r="B568" s="119" t="n">
        <f aca="false">ROW()-4</f>
        <v>564</v>
      </c>
      <c r="C568" s="120" t="n">
        <f aca="false">COUNTIFS($D$5:D568,D568)</f>
        <v>9</v>
      </c>
      <c r="D568" s="121" t="s">
        <v>1209</v>
      </c>
      <c r="E568" s="122" t="s">
        <v>1226</v>
      </c>
      <c r="F568" s="123" t="n">
        <v>43319</v>
      </c>
      <c r="G568" s="121" t="s">
        <v>28</v>
      </c>
      <c r="H56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A0564</v>
      </c>
      <c r="I56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B0564</v>
      </c>
      <c r="J568" s="124" t="s">
        <v>1227</v>
      </c>
      <c r="K56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C0564</v>
      </c>
      <c r="L56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D0564</v>
      </c>
      <c r="M56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E0564</v>
      </c>
      <c r="N568" s="122" t="s">
        <v>72</v>
      </c>
      <c r="O568" s="126" t="n">
        <v>2000000</v>
      </c>
      <c r="P568" s="121" t="s">
        <v>18</v>
      </c>
      <c r="Q568" s="121" t="s">
        <v>124</v>
      </c>
      <c r="R568" s="127"/>
      <c r="T568" s="118"/>
    </row>
    <row r="569" customFormat="false" ht="12.75" hidden="false" customHeight="true" outlineLevel="0" collapsed="false">
      <c r="B569" s="119" t="n">
        <f aca="false">ROW()-4</f>
        <v>565</v>
      </c>
      <c r="C569" s="120" t="n">
        <f aca="false">COUNTIFS($D$5:D569,D569)</f>
        <v>10</v>
      </c>
      <c r="D569" s="121" t="s">
        <v>1209</v>
      </c>
      <c r="E569" s="122" t="s">
        <v>1228</v>
      </c>
      <c r="F569" s="123" t="n">
        <v>43333</v>
      </c>
      <c r="G569" s="121" t="s">
        <v>28</v>
      </c>
      <c r="H56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A0565</v>
      </c>
      <c r="I56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B0565</v>
      </c>
      <c r="J569" s="122" t="s">
        <v>1229</v>
      </c>
      <c r="K56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C0565</v>
      </c>
      <c r="L56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D0565</v>
      </c>
      <c r="M56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E0565</v>
      </c>
      <c r="N569" s="122" t="s">
        <v>72</v>
      </c>
      <c r="O569" s="126" t="n">
        <v>2000000</v>
      </c>
      <c r="P569" s="121" t="s">
        <v>18</v>
      </c>
      <c r="Q569" s="121" t="s">
        <v>124</v>
      </c>
      <c r="R569" s="127"/>
      <c r="T569" s="118"/>
    </row>
    <row r="570" customFormat="false" ht="12.75" hidden="false" customHeight="true" outlineLevel="0" collapsed="false">
      <c r="B570" s="119" t="n">
        <f aca="false">ROW()-4</f>
        <v>566</v>
      </c>
      <c r="C570" s="120" t="n">
        <f aca="false">COUNTIFS($D$5:D570,D570)</f>
        <v>11</v>
      </c>
      <c r="D570" s="121" t="s">
        <v>1209</v>
      </c>
      <c r="E570" s="122" t="s">
        <v>1230</v>
      </c>
      <c r="F570" s="123" t="n">
        <v>43389</v>
      </c>
      <c r="G570" s="121" t="s">
        <v>24</v>
      </c>
      <c r="H57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A0566</v>
      </c>
      <c r="I57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B0566</v>
      </c>
      <c r="J570" s="124" t="s">
        <v>1231</v>
      </c>
      <c r="K57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C0566</v>
      </c>
      <c r="L57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D0566</v>
      </c>
      <c r="M57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E0566</v>
      </c>
      <c r="N570" s="122" t="s">
        <v>72</v>
      </c>
      <c r="O570" s="126" t="n">
        <v>2000000</v>
      </c>
      <c r="P570" s="121" t="s">
        <v>18</v>
      </c>
      <c r="Q570" s="121" t="s">
        <v>124</v>
      </c>
      <c r="R570" s="127"/>
      <c r="T570" s="118"/>
    </row>
    <row r="571" customFormat="false" ht="12.75" hidden="false" customHeight="true" outlineLevel="0" collapsed="false">
      <c r="B571" s="119" t="n">
        <f aca="false">ROW()-4</f>
        <v>567</v>
      </c>
      <c r="C571" s="120" t="n">
        <f aca="false">COUNTIFS($D$5:D571,D571)</f>
        <v>12</v>
      </c>
      <c r="D571" s="121" t="s">
        <v>1209</v>
      </c>
      <c r="E571" s="122" t="s">
        <v>1232</v>
      </c>
      <c r="F571" s="123" t="n">
        <v>43389</v>
      </c>
      <c r="G571" s="121" t="s">
        <v>28</v>
      </c>
      <c r="H57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A0567</v>
      </c>
      <c r="I57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B0567</v>
      </c>
      <c r="J571" s="122" t="s">
        <v>1233</v>
      </c>
      <c r="K57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C0567</v>
      </c>
      <c r="L57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D0567</v>
      </c>
      <c r="M57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E0567</v>
      </c>
      <c r="N571" s="122" t="s">
        <v>72</v>
      </c>
      <c r="O571" s="126" t="n">
        <v>2000000</v>
      </c>
      <c r="P571" s="121" t="s">
        <v>18</v>
      </c>
      <c r="Q571" s="121" t="s">
        <v>124</v>
      </c>
      <c r="R571" s="127"/>
      <c r="T571" s="118"/>
    </row>
    <row r="572" customFormat="false" ht="12.75" hidden="false" customHeight="true" outlineLevel="0" collapsed="false">
      <c r="B572" s="119" t="n">
        <f aca="false">ROW()-4</f>
        <v>568</v>
      </c>
      <c r="C572" s="120" t="n">
        <f aca="false">COUNTIFS($D$5:D572,D572)</f>
        <v>13</v>
      </c>
      <c r="D572" s="121" t="s">
        <v>1209</v>
      </c>
      <c r="E572" s="122" t="s">
        <v>1234</v>
      </c>
      <c r="F572" s="123" t="n">
        <v>43390</v>
      </c>
      <c r="G572" s="121" t="s">
        <v>22</v>
      </c>
      <c r="H57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A0568</v>
      </c>
      <c r="I57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B0568</v>
      </c>
      <c r="J572" s="122" t="s">
        <v>1235</v>
      </c>
      <c r="K57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C0568</v>
      </c>
      <c r="L57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D0568</v>
      </c>
      <c r="M57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E0568</v>
      </c>
      <c r="N572" s="122" t="s">
        <v>72</v>
      </c>
      <c r="O572" s="126" t="n">
        <v>2000000</v>
      </c>
      <c r="P572" s="121" t="s">
        <v>18</v>
      </c>
      <c r="Q572" s="121" t="s">
        <v>124</v>
      </c>
      <c r="R572" s="127"/>
      <c r="T572" s="118"/>
    </row>
    <row r="573" customFormat="false" ht="12.75" hidden="false" customHeight="true" outlineLevel="0" collapsed="false">
      <c r="B573" s="119" t="n">
        <f aca="false">ROW()-4</f>
        <v>569</v>
      </c>
      <c r="C573" s="120" t="n">
        <f aca="false">COUNTIFS($D$5:D573,D573)</f>
        <v>14</v>
      </c>
      <c r="D573" s="121" t="s">
        <v>1209</v>
      </c>
      <c r="E573" s="122" t="s">
        <v>1236</v>
      </c>
      <c r="F573" s="123" t="n">
        <v>43395</v>
      </c>
      <c r="G573" s="121" t="s">
        <v>28</v>
      </c>
      <c r="H57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A0569</v>
      </c>
      <c r="I57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B0569</v>
      </c>
      <c r="J573" s="124" t="s">
        <v>1237</v>
      </c>
      <c r="K57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C0569</v>
      </c>
      <c r="L57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D0569</v>
      </c>
      <c r="M57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E0569</v>
      </c>
      <c r="N573" s="122" t="s">
        <v>72</v>
      </c>
      <c r="O573" s="126" t="n">
        <v>2000000</v>
      </c>
      <c r="P573" s="121" t="s">
        <v>18</v>
      </c>
      <c r="Q573" s="121" t="s">
        <v>124</v>
      </c>
      <c r="R573" s="127"/>
      <c r="T573" s="118"/>
    </row>
    <row r="574" customFormat="false" ht="12.75" hidden="false" customHeight="true" outlineLevel="0" collapsed="false">
      <c r="B574" s="119" t="n">
        <f aca="false">ROW()-4</f>
        <v>570</v>
      </c>
      <c r="C574" s="120" t="n">
        <f aca="false">COUNTIFS($D$5:D574,D574)</f>
        <v>15</v>
      </c>
      <c r="D574" s="121" t="s">
        <v>1209</v>
      </c>
      <c r="E574" s="122" t="s">
        <v>1238</v>
      </c>
      <c r="F574" s="123" t="n">
        <v>43417</v>
      </c>
      <c r="G574" s="121" t="s">
        <v>22</v>
      </c>
      <c r="H57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A0570</v>
      </c>
      <c r="I57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B0570</v>
      </c>
      <c r="J574" s="122" t="s">
        <v>1239</v>
      </c>
      <c r="K57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C0570</v>
      </c>
      <c r="L57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D0570</v>
      </c>
      <c r="M57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E0570</v>
      </c>
      <c r="N574" s="122" t="s">
        <v>72</v>
      </c>
      <c r="O574" s="126" t="n">
        <v>2000000</v>
      </c>
      <c r="P574" s="121" t="s">
        <v>18</v>
      </c>
      <c r="Q574" s="121" t="s">
        <v>124</v>
      </c>
      <c r="R574" s="127"/>
      <c r="T574" s="118"/>
    </row>
    <row r="575" customFormat="false" ht="12.75" hidden="false" customHeight="true" outlineLevel="0" collapsed="false">
      <c r="B575" s="119" t="n">
        <f aca="false">ROW()-4</f>
        <v>571</v>
      </c>
      <c r="C575" s="120" t="n">
        <f aca="false">COUNTIFS($D$5:D575,D575)</f>
        <v>16</v>
      </c>
      <c r="D575" s="121" t="s">
        <v>1209</v>
      </c>
      <c r="E575" s="122" t="s">
        <v>1240</v>
      </c>
      <c r="F575" s="123" t="n">
        <v>44361</v>
      </c>
      <c r="G575" s="121" t="s">
        <v>28</v>
      </c>
      <c r="H57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A0571</v>
      </c>
      <c r="I57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B0571</v>
      </c>
      <c r="J575" s="122" t="s">
        <v>1241</v>
      </c>
      <c r="K57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C0571</v>
      </c>
      <c r="L57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D0571</v>
      </c>
      <c r="M57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E0571</v>
      </c>
      <c r="N575" s="122" t="s">
        <v>72</v>
      </c>
      <c r="O575" s="126" t="n">
        <v>2000000</v>
      </c>
      <c r="P575" s="121" t="s">
        <v>18</v>
      </c>
      <c r="Q575" s="121" t="s">
        <v>124</v>
      </c>
      <c r="R575" s="127"/>
      <c r="T575" s="118"/>
    </row>
    <row r="576" customFormat="false" ht="12.75" hidden="false" customHeight="true" outlineLevel="0" collapsed="false">
      <c r="B576" s="119" t="n">
        <f aca="false">ROW()-4</f>
        <v>572</v>
      </c>
      <c r="C576" s="120" t="n">
        <f aca="false">COUNTIFS($D$5:D576,D576)</f>
        <v>17</v>
      </c>
      <c r="D576" s="121" t="s">
        <v>1209</v>
      </c>
      <c r="E576" s="122" t="s">
        <v>1242</v>
      </c>
      <c r="F576" s="123" t="n">
        <v>43444</v>
      </c>
      <c r="G576" s="121" t="s">
        <v>26</v>
      </c>
      <c r="H57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A0572</v>
      </c>
      <c r="I57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B0572</v>
      </c>
      <c r="J576" s="122" t="s">
        <v>1243</v>
      </c>
      <c r="K57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C0572</v>
      </c>
      <c r="L57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D0572</v>
      </c>
      <c r="M57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E0572</v>
      </c>
      <c r="N576" s="122" t="s">
        <v>72</v>
      </c>
      <c r="O576" s="126" t="n">
        <v>2000000</v>
      </c>
      <c r="P576" s="121" t="s">
        <v>18</v>
      </c>
      <c r="Q576" s="121" t="s">
        <v>124</v>
      </c>
      <c r="R576" s="127"/>
      <c r="T576" s="118"/>
    </row>
    <row r="577" customFormat="false" ht="12.75" hidden="false" customHeight="true" outlineLevel="0" collapsed="false">
      <c r="B577" s="119" t="n">
        <f aca="false">ROW()-4</f>
        <v>573</v>
      </c>
      <c r="C577" s="120" t="n">
        <f aca="false">COUNTIFS($D$5:D577,D577)</f>
        <v>18</v>
      </c>
      <c r="D577" s="121" t="s">
        <v>1209</v>
      </c>
      <c r="E577" s="122" t="s">
        <v>1244</v>
      </c>
      <c r="F577" s="123" t="n">
        <v>45250</v>
      </c>
      <c r="G577" s="121" t="s">
        <v>26</v>
      </c>
      <c r="H57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A0573</v>
      </c>
      <c r="I57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B0573</v>
      </c>
      <c r="J577" s="122" t="s">
        <v>1245</v>
      </c>
      <c r="K57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C0573</v>
      </c>
      <c r="L57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D0573</v>
      </c>
      <c r="M57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E0573</v>
      </c>
      <c r="N577" s="122" t="s">
        <v>72</v>
      </c>
      <c r="O577" s="126" t="n">
        <v>2000000</v>
      </c>
      <c r="P577" s="121" t="s">
        <v>18</v>
      </c>
      <c r="Q577" s="121" t="s">
        <v>124</v>
      </c>
      <c r="R577" s="127"/>
      <c r="T577" s="118"/>
    </row>
    <row r="578" customFormat="false" ht="12.75" hidden="false" customHeight="true" outlineLevel="0" collapsed="false">
      <c r="B578" s="119" t="n">
        <f aca="false">ROW()-4</f>
        <v>574</v>
      </c>
      <c r="C578" s="120" t="n">
        <f aca="false">COUNTIFS($D$5:D578,D578)</f>
        <v>19</v>
      </c>
      <c r="D578" s="121" t="s">
        <v>1209</v>
      </c>
      <c r="E578" s="122" t="s">
        <v>1246</v>
      </c>
      <c r="F578" s="123" t="n">
        <v>43446</v>
      </c>
      <c r="G578" s="121" t="s">
        <v>22</v>
      </c>
      <c r="H57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A0574</v>
      </c>
      <c r="I57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B0574</v>
      </c>
      <c r="J578" s="124" t="s">
        <v>1247</v>
      </c>
      <c r="K57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C0574</v>
      </c>
      <c r="L57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D0574</v>
      </c>
      <c r="M57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E0574</v>
      </c>
      <c r="N578" s="122" t="s">
        <v>72</v>
      </c>
      <c r="O578" s="126" t="n">
        <v>2000000</v>
      </c>
      <c r="P578" s="121" t="s">
        <v>18</v>
      </c>
      <c r="Q578" s="121" t="s">
        <v>124</v>
      </c>
      <c r="R578" s="127"/>
      <c r="T578" s="118"/>
    </row>
    <row r="579" customFormat="false" ht="12.75" hidden="false" customHeight="true" outlineLevel="0" collapsed="false">
      <c r="B579" s="119" t="n">
        <f aca="false">ROW()-4</f>
        <v>575</v>
      </c>
      <c r="C579" s="120" t="n">
        <f aca="false">COUNTIFS($D$5:D579,D579)</f>
        <v>20</v>
      </c>
      <c r="D579" s="121" t="s">
        <v>1209</v>
      </c>
      <c r="E579" s="122" t="s">
        <v>1248</v>
      </c>
      <c r="F579" s="123" t="n">
        <v>43451</v>
      </c>
      <c r="G579" s="121" t="s">
        <v>28</v>
      </c>
      <c r="H57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A0575</v>
      </c>
      <c r="I57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B0575</v>
      </c>
      <c r="J579" s="122" t="s">
        <v>837</v>
      </c>
      <c r="K57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C0575</v>
      </c>
      <c r="L57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D0575</v>
      </c>
      <c r="M57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E0575</v>
      </c>
      <c r="N579" s="122" t="s">
        <v>72</v>
      </c>
      <c r="O579" s="126" t="n">
        <v>2000000</v>
      </c>
      <c r="P579" s="121" t="s">
        <v>18</v>
      </c>
      <c r="Q579" s="121" t="s">
        <v>124</v>
      </c>
      <c r="R579" s="127"/>
      <c r="T579" s="118"/>
    </row>
    <row r="580" customFormat="false" ht="12.75" hidden="false" customHeight="true" outlineLevel="0" collapsed="false">
      <c r="B580" s="119" t="n">
        <f aca="false">ROW()-4</f>
        <v>576</v>
      </c>
      <c r="C580" s="120" t="n">
        <f aca="false">COUNTIFS($D$5:D580,D580)</f>
        <v>21</v>
      </c>
      <c r="D580" s="121" t="s">
        <v>1209</v>
      </c>
      <c r="E580" s="122" t="s">
        <v>1249</v>
      </c>
      <c r="F580" s="123" t="n">
        <v>43556</v>
      </c>
      <c r="G580" s="121" t="s">
        <v>24</v>
      </c>
      <c r="H58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A0576</v>
      </c>
      <c r="I58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B0576</v>
      </c>
      <c r="J580" s="122" t="s">
        <v>1250</v>
      </c>
      <c r="K58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C0576</v>
      </c>
      <c r="L58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D0576</v>
      </c>
      <c r="M58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E0576</v>
      </c>
      <c r="N580" s="122" t="s">
        <v>72</v>
      </c>
      <c r="O580" s="126" t="n">
        <v>2000000</v>
      </c>
      <c r="P580" s="121" t="s">
        <v>18</v>
      </c>
      <c r="Q580" s="121" t="s">
        <v>124</v>
      </c>
      <c r="R580" s="127"/>
      <c r="T580" s="118"/>
    </row>
    <row r="581" s="118" customFormat="true" ht="12.75" hidden="false" customHeight="true" outlineLevel="0" collapsed="false">
      <c r="A581" s="98"/>
      <c r="B581" s="119" t="n">
        <f aca="false">ROW()-4</f>
        <v>577</v>
      </c>
      <c r="C581" s="120" t="n">
        <f aca="false">COUNTIFS($D$5:D581,D581)</f>
        <v>22</v>
      </c>
      <c r="D581" s="121" t="s">
        <v>1209</v>
      </c>
      <c r="E581" s="122" t="s">
        <v>1251</v>
      </c>
      <c r="F581" s="123" t="n">
        <v>43517</v>
      </c>
      <c r="G581" s="121" t="s">
        <v>24</v>
      </c>
      <c r="H58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A0577</v>
      </c>
      <c r="I58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B0577</v>
      </c>
      <c r="J581" s="124" t="s">
        <v>1252</v>
      </c>
      <c r="K58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C0577</v>
      </c>
      <c r="L58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D0577</v>
      </c>
      <c r="M58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E0577</v>
      </c>
      <c r="N581" s="122" t="s">
        <v>72</v>
      </c>
      <c r="O581" s="126" t="n">
        <v>2000000</v>
      </c>
      <c r="P581" s="121" t="s">
        <v>18</v>
      </c>
      <c r="Q581" s="121" t="s">
        <v>124</v>
      </c>
      <c r="R581" s="127"/>
    </row>
    <row r="582" s="118" customFormat="true" ht="12.75" hidden="false" customHeight="true" outlineLevel="0" collapsed="false">
      <c r="A582" s="98"/>
      <c r="B582" s="119" t="n">
        <f aca="false">ROW()-4</f>
        <v>578</v>
      </c>
      <c r="C582" s="120" t="n">
        <f aca="false">COUNTIFS($D$5:D582,D582)</f>
        <v>23</v>
      </c>
      <c r="D582" s="121" t="s">
        <v>1209</v>
      </c>
      <c r="E582" s="122" t="s">
        <v>1253</v>
      </c>
      <c r="F582" s="123" t="n">
        <v>44532</v>
      </c>
      <c r="G582" s="121" t="s">
        <v>26</v>
      </c>
      <c r="H58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A0578</v>
      </c>
      <c r="I58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B0578</v>
      </c>
      <c r="J582" s="124" t="s">
        <v>1254</v>
      </c>
      <c r="K58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C0578</v>
      </c>
      <c r="L58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D0578</v>
      </c>
      <c r="M58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E0578</v>
      </c>
      <c r="N582" s="122" t="s">
        <v>72</v>
      </c>
      <c r="O582" s="126" t="n">
        <v>2000000</v>
      </c>
      <c r="P582" s="121" t="s">
        <v>18</v>
      </c>
      <c r="Q582" s="121" t="s">
        <v>124</v>
      </c>
      <c r="R582" s="127"/>
    </row>
    <row r="583" customFormat="false" ht="12.75" hidden="false" customHeight="true" outlineLevel="0" collapsed="false">
      <c r="B583" s="119" t="n">
        <f aca="false">ROW()-4</f>
        <v>579</v>
      </c>
      <c r="C583" s="120" t="n">
        <f aca="false">COUNTIFS($D$5:D583,D583)</f>
        <v>24</v>
      </c>
      <c r="D583" s="121" t="s">
        <v>1209</v>
      </c>
      <c r="E583" s="122" t="s">
        <v>1255</v>
      </c>
      <c r="F583" s="123" t="n">
        <v>43556</v>
      </c>
      <c r="G583" s="121" t="s">
        <v>24</v>
      </c>
      <c r="H58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A0579</v>
      </c>
      <c r="I58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B0579</v>
      </c>
      <c r="J583" s="124" t="s">
        <v>1256</v>
      </c>
      <c r="K58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C0579</v>
      </c>
      <c r="L58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D0579</v>
      </c>
      <c r="M58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E0579</v>
      </c>
      <c r="N583" s="122" t="s">
        <v>72</v>
      </c>
      <c r="O583" s="126" t="n">
        <v>2000000</v>
      </c>
      <c r="P583" s="121" t="s">
        <v>18</v>
      </c>
      <c r="Q583" s="121" t="s">
        <v>124</v>
      </c>
      <c r="R583" s="127"/>
      <c r="T583" s="118"/>
    </row>
    <row r="584" customFormat="false" ht="12.75" hidden="false" customHeight="true" outlineLevel="0" collapsed="false">
      <c r="B584" s="119" t="n">
        <f aca="false">ROW()-4</f>
        <v>580</v>
      </c>
      <c r="C584" s="120" t="n">
        <f aca="false">COUNTIFS($D$5:D584,D584)</f>
        <v>25</v>
      </c>
      <c r="D584" s="121" t="s">
        <v>1209</v>
      </c>
      <c r="E584" s="122" t="s">
        <v>1257</v>
      </c>
      <c r="F584" s="123" t="n">
        <v>43558</v>
      </c>
      <c r="G584" s="121" t="s">
        <v>26</v>
      </c>
      <c r="H58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A0580</v>
      </c>
      <c r="I58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B0580</v>
      </c>
      <c r="J584" s="122" t="s">
        <v>1258</v>
      </c>
      <c r="K58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C0580</v>
      </c>
      <c r="L58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D0580</v>
      </c>
      <c r="M58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E0580</v>
      </c>
      <c r="N584" s="122" t="s">
        <v>72</v>
      </c>
      <c r="O584" s="126" t="n">
        <v>2000000</v>
      </c>
      <c r="P584" s="121" t="s">
        <v>18</v>
      </c>
      <c r="Q584" s="121" t="s">
        <v>124</v>
      </c>
      <c r="R584" s="127"/>
      <c r="T584" s="118"/>
    </row>
    <row r="585" customFormat="false" ht="12.75" hidden="false" customHeight="true" outlineLevel="0" collapsed="false">
      <c r="B585" s="119" t="n">
        <f aca="false">ROW()-4</f>
        <v>581</v>
      </c>
      <c r="C585" s="120" t="n">
        <f aca="false">COUNTIFS($D$5:D585,D585)</f>
        <v>26</v>
      </c>
      <c r="D585" s="121" t="s">
        <v>1209</v>
      </c>
      <c r="E585" s="122" t="s">
        <v>1259</v>
      </c>
      <c r="F585" s="123" t="n">
        <v>43588</v>
      </c>
      <c r="G585" s="121" t="s">
        <v>28</v>
      </c>
      <c r="H58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A0581</v>
      </c>
      <c r="I58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B0581</v>
      </c>
      <c r="J585" s="122" t="s">
        <v>1260</v>
      </c>
      <c r="K58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C0581</v>
      </c>
      <c r="L58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D0581</v>
      </c>
      <c r="M58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E0581</v>
      </c>
      <c r="N585" s="122" t="s">
        <v>72</v>
      </c>
      <c r="O585" s="126" t="n">
        <v>2000000</v>
      </c>
      <c r="P585" s="121" t="s">
        <v>18</v>
      </c>
      <c r="Q585" s="121" t="s">
        <v>124</v>
      </c>
      <c r="R585" s="127"/>
      <c r="T585" s="118"/>
    </row>
    <row r="586" customFormat="false" ht="12.75" hidden="false" customHeight="true" outlineLevel="0" collapsed="false">
      <c r="B586" s="119" t="n">
        <f aca="false">ROW()-4</f>
        <v>582</v>
      </c>
      <c r="C586" s="120" t="n">
        <f aca="false">COUNTIFS($D$5:D586,D586)</f>
        <v>27</v>
      </c>
      <c r="D586" s="121" t="s">
        <v>1209</v>
      </c>
      <c r="E586" s="122" t="s">
        <v>1261</v>
      </c>
      <c r="F586" s="123" t="n">
        <v>43613</v>
      </c>
      <c r="G586" s="121" t="s">
        <v>22</v>
      </c>
      <c r="H58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A0582</v>
      </c>
      <c r="I58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B0582</v>
      </c>
      <c r="J586" s="122" t="s">
        <v>1262</v>
      </c>
      <c r="K58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C0582</v>
      </c>
      <c r="L58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D0582</v>
      </c>
      <c r="M58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E0582</v>
      </c>
      <c r="N586" s="122" t="s">
        <v>72</v>
      </c>
      <c r="O586" s="126" t="n">
        <v>2000000</v>
      </c>
      <c r="P586" s="121" t="s">
        <v>18</v>
      </c>
      <c r="Q586" s="121" t="s">
        <v>124</v>
      </c>
      <c r="R586" s="127"/>
      <c r="T586" s="118"/>
    </row>
    <row r="587" customFormat="false" ht="12.75" hidden="false" customHeight="true" outlineLevel="0" collapsed="false">
      <c r="B587" s="119" t="n">
        <f aca="false">ROW()-4</f>
        <v>583</v>
      </c>
      <c r="C587" s="120" t="n">
        <f aca="false">COUNTIFS($D$5:D587,D587)</f>
        <v>28</v>
      </c>
      <c r="D587" s="121" t="s">
        <v>1209</v>
      </c>
      <c r="E587" s="122" t="s">
        <v>1263</v>
      </c>
      <c r="F587" s="123" t="n">
        <v>43627</v>
      </c>
      <c r="G587" s="121" t="s">
        <v>28</v>
      </c>
      <c r="H58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A0583</v>
      </c>
      <c r="I58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B0583</v>
      </c>
      <c r="J587" s="122" t="s">
        <v>1264</v>
      </c>
      <c r="K58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C0583</v>
      </c>
      <c r="L58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D0583</v>
      </c>
      <c r="M58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E0583</v>
      </c>
      <c r="N587" s="122" t="s">
        <v>72</v>
      </c>
      <c r="O587" s="126" t="n">
        <v>2000000</v>
      </c>
      <c r="P587" s="121" t="s">
        <v>18</v>
      </c>
      <c r="Q587" s="121" t="s">
        <v>124</v>
      </c>
      <c r="R587" s="127"/>
      <c r="T587" s="118"/>
    </row>
    <row r="588" customFormat="false" ht="12.75" hidden="false" customHeight="true" outlineLevel="0" collapsed="false">
      <c r="B588" s="119" t="n">
        <f aca="false">ROW()-4</f>
        <v>584</v>
      </c>
      <c r="C588" s="120" t="n">
        <f aca="false">COUNTIFS($D$5:D588,D588)</f>
        <v>29</v>
      </c>
      <c r="D588" s="121" t="s">
        <v>1209</v>
      </c>
      <c r="E588" s="122" t="s">
        <v>1265</v>
      </c>
      <c r="F588" s="123" t="n">
        <v>43628</v>
      </c>
      <c r="G588" s="121" t="s">
        <v>26</v>
      </c>
      <c r="H58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A0584</v>
      </c>
      <c r="I58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B0584</v>
      </c>
      <c r="J588" s="122" t="s">
        <v>1266</v>
      </c>
      <c r="K58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C0584</v>
      </c>
      <c r="L58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D0584</v>
      </c>
      <c r="M58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E0584</v>
      </c>
      <c r="N588" s="122" t="s">
        <v>72</v>
      </c>
      <c r="O588" s="126" t="n">
        <v>2000000</v>
      </c>
      <c r="P588" s="121" t="s">
        <v>18</v>
      </c>
      <c r="Q588" s="121" t="s">
        <v>124</v>
      </c>
      <c r="R588" s="127"/>
      <c r="T588" s="118"/>
    </row>
    <row r="589" customFormat="false" ht="12.75" hidden="false" customHeight="true" outlineLevel="0" collapsed="false">
      <c r="B589" s="119" t="n">
        <f aca="false">ROW()-4</f>
        <v>585</v>
      </c>
      <c r="C589" s="120" t="n">
        <f aca="false">COUNTIFS($D$5:D589,D589)</f>
        <v>30</v>
      </c>
      <c r="D589" s="121" t="s">
        <v>1209</v>
      </c>
      <c r="E589" s="122" t="s">
        <v>1267</v>
      </c>
      <c r="F589" s="123" t="n">
        <v>43643</v>
      </c>
      <c r="G589" s="121" t="s">
        <v>28</v>
      </c>
      <c r="H58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A0585</v>
      </c>
      <c r="I58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B0585</v>
      </c>
      <c r="J589" s="122" t="s">
        <v>1268</v>
      </c>
      <c r="K58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C0585</v>
      </c>
      <c r="L58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D0585</v>
      </c>
      <c r="M58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E0585</v>
      </c>
      <c r="N589" s="122" t="s">
        <v>72</v>
      </c>
      <c r="O589" s="126" t="n">
        <v>2000000</v>
      </c>
      <c r="P589" s="121" t="s">
        <v>18</v>
      </c>
      <c r="Q589" s="121" t="s">
        <v>124</v>
      </c>
      <c r="R589" s="127"/>
      <c r="T589" s="118"/>
    </row>
    <row r="590" s="118" customFormat="true" ht="12.75" hidden="false" customHeight="true" outlineLevel="0" collapsed="false">
      <c r="A590" s="98"/>
      <c r="B590" s="119" t="n">
        <f aca="false">ROW()-4</f>
        <v>586</v>
      </c>
      <c r="C590" s="120" t="n">
        <f aca="false">COUNTIFS($D$5:D590,D590)</f>
        <v>31</v>
      </c>
      <c r="D590" s="121" t="s">
        <v>1209</v>
      </c>
      <c r="E590" s="122" t="s">
        <v>1269</v>
      </c>
      <c r="F590" s="123" t="n">
        <v>43647</v>
      </c>
      <c r="G590" s="121" t="s">
        <v>28</v>
      </c>
      <c r="H59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A0586</v>
      </c>
      <c r="I59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B0586</v>
      </c>
      <c r="J590" s="124" t="s">
        <v>1270</v>
      </c>
      <c r="K59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C0586</v>
      </c>
      <c r="L59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D0586</v>
      </c>
      <c r="M59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E0586</v>
      </c>
      <c r="N590" s="122" t="s">
        <v>72</v>
      </c>
      <c r="O590" s="126" t="n">
        <v>2000000</v>
      </c>
      <c r="P590" s="121" t="s">
        <v>18</v>
      </c>
      <c r="Q590" s="121" t="s">
        <v>124</v>
      </c>
      <c r="R590" s="127"/>
    </row>
    <row r="591" customFormat="false" ht="12.75" hidden="false" customHeight="true" outlineLevel="0" collapsed="false">
      <c r="B591" s="119" t="n">
        <f aca="false">ROW()-4</f>
        <v>587</v>
      </c>
      <c r="C591" s="120" t="n">
        <f aca="false">COUNTIFS($D$5:D591,D591)</f>
        <v>32</v>
      </c>
      <c r="D591" s="121" t="s">
        <v>1209</v>
      </c>
      <c r="E591" s="122" t="s">
        <v>1271</v>
      </c>
      <c r="F591" s="123" t="n">
        <v>43657</v>
      </c>
      <c r="G591" s="121" t="s">
        <v>26</v>
      </c>
      <c r="H59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A0587</v>
      </c>
      <c r="I59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B0587</v>
      </c>
      <c r="J591" s="124" t="s">
        <v>1272</v>
      </c>
      <c r="K59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C0587</v>
      </c>
      <c r="L59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D0587</v>
      </c>
      <c r="M59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E0587</v>
      </c>
      <c r="N591" s="122" t="s">
        <v>72</v>
      </c>
      <c r="O591" s="126" t="n">
        <v>2000000</v>
      </c>
      <c r="P591" s="121" t="s">
        <v>18</v>
      </c>
      <c r="Q591" s="121" t="s">
        <v>124</v>
      </c>
      <c r="R591" s="127"/>
      <c r="T591" s="118"/>
    </row>
    <row r="592" customFormat="false" ht="12.75" hidden="false" customHeight="true" outlineLevel="0" collapsed="false">
      <c r="B592" s="119" t="n">
        <f aca="false">ROW()-4</f>
        <v>588</v>
      </c>
      <c r="C592" s="120" t="n">
        <f aca="false">COUNTIFS($D$5:D592,D592)</f>
        <v>33</v>
      </c>
      <c r="D592" s="121" t="s">
        <v>1209</v>
      </c>
      <c r="E592" s="122" t="s">
        <v>1273</v>
      </c>
      <c r="F592" s="123" t="n">
        <v>43670</v>
      </c>
      <c r="G592" s="121" t="s">
        <v>26</v>
      </c>
      <c r="H59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A0588</v>
      </c>
      <c r="I59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B0588</v>
      </c>
      <c r="J592" s="122" t="s">
        <v>1274</v>
      </c>
      <c r="K59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C0588</v>
      </c>
      <c r="L59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D0588</v>
      </c>
      <c r="M59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E0588</v>
      </c>
      <c r="N592" s="122" t="s">
        <v>72</v>
      </c>
      <c r="O592" s="126" t="n">
        <v>2000000</v>
      </c>
      <c r="P592" s="121" t="s">
        <v>18</v>
      </c>
      <c r="Q592" s="121" t="s">
        <v>124</v>
      </c>
      <c r="R592" s="127"/>
      <c r="T592" s="118"/>
    </row>
    <row r="593" customFormat="false" ht="12.75" hidden="false" customHeight="true" outlineLevel="0" collapsed="false">
      <c r="B593" s="119" t="n">
        <f aca="false">ROW()-4</f>
        <v>589</v>
      </c>
      <c r="C593" s="120" t="n">
        <f aca="false">COUNTIFS($D$5:D593,D593)</f>
        <v>34</v>
      </c>
      <c r="D593" s="121" t="s">
        <v>1209</v>
      </c>
      <c r="E593" s="122" t="s">
        <v>1275</v>
      </c>
      <c r="F593" s="123" t="n">
        <v>43676</v>
      </c>
      <c r="G593" s="121" t="s">
        <v>28</v>
      </c>
      <c r="H59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A0589</v>
      </c>
      <c r="I59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B0589</v>
      </c>
      <c r="J593" s="122" t="s">
        <v>1276</v>
      </c>
      <c r="K59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C0589</v>
      </c>
      <c r="L59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D0589</v>
      </c>
      <c r="M59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E0589</v>
      </c>
      <c r="N593" s="122" t="s">
        <v>72</v>
      </c>
      <c r="O593" s="126" t="n">
        <v>2000000</v>
      </c>
      <c r="P593" s="121" t="s">
        <v>18</v>
      </c>
      <c r="Q593" s="121" t="s">
        <v>124</v>
      </c>
      <c r="R593" s="127"/>
      <c r="T593" s="118"/>
    </row>
    <row r="594" customFormat="false" ht="12.75" hidden="false" customHeight="true" outlineLevel="0" collapsed="false">
      <c r="B594" s="119" t="n">
        <f aca="false">ROW()-4</f>
        <v>590</v>
      </c>
      <c r="C594" s="120" t="n">
        <f aca="false">COUNTIFS($D$5:D594,D594)</f>
        <v>35</v>
      </c>
      <c r="D594" s="121" t="s">
        <v>1209</v>
      </c>
      <c r="E594" s="122" t="s">
        <v>1277</v>
      </c>
      <c r="F594" s="123" t="n">
        <v>43698</v>
      </c>
      <c r="G594" s="121" t="s">
        <v>24</v>
      </c>
      <c r="H59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A0590</v>
      </c>
      <c r="I59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B0590</v>
      </c>
      <c r="J594" s="124" t="s">
        <v>1278</v>
      </c>
      <c r="K59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C0590</v>
      </c>
      <c r="L59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D0590</v>
      </c>
      <c r="M59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E0590</v>
      </c>
      <c r="N594" s="122" t="s">
        <v>72</v>
      </c>
      <c r="O594" s="126" t="n">
        <v>2000000</v>
      </c>
      <c r="P594" s="121" t="s">
        <v>18</v>
      </c>
      <c r="Q594" s="121" t="s">
        <v>124</v>
      </c>
      <c r="R594" s="127"/>
      <c r="T594" s="118"/>
    </row>
    <row r="595" customFormat="false" ht="12.75" hidden="false" customHeight="true" outlineLevel="0" collapsed="false">
      <c r="B595" s="119" t="n">
        <f aca="false">ROW()-4</f>
        <v>591</v>
      </c>
      <c r="C595" s="120" t="n">
        <f aca="false">COUNTIFS($D$5:D595,D595)</f>
        <v>36</v>
      </c>
      <c r="D595" s="121" t="s">
        <v>1209</v>
      </c>
      <c r="E595" s="122" t="s">
        <v>1279</v>
      </c>
      <c r="F595" s="123" t="n">
        <v>45236</v>
      </c>
      <c r="G595" s="121" t="s">
        <v>22</v>
      </c>
      <c r="H59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A0591</v>
      </c>
      <c r="I59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B0591</v>
      </c>
      <c r="J595" s="122" t="s">
        <v>1280</v>
      </c>
      <c r="K59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C0591</v>
      </c>
      <c r="L59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D0591</v>
      </c>
      <c r="M59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E0591</v>
      </c>
      <c r="N595" s="122" t="s">
        <v>72</v>
      </c>
      <c r="O595" s="126" t="n">
        <v>2000000</v>
      </c>
      <c r="P595" s="121" t="s">
        <v>18</v>
      </c>
      <c r="Q595" s="121" t="s">
        <v>124</v>
      </c>
      <c r="R595" s="127"/>
      <c r="T595" s="118"/>
    </row>
    <row r="596" customFormat="false" ht="12.75" hidden="false" customHeight="true" outlineLevel="0" collapsed="false">
      <c r="B596" s="119" t="n">
        <f aca="false">ROW()-4</f>
        <v>592</v>
      </c>
      <c r="C596" s="120" t="n">
        <f aca="false">COUNTIFS($D$5:D596,D596)</f>
        <v>37</v>
      </c>
      <c r="D596" s="121" t="s">
        <v>1209</v>
      </c>
      <c r="E596" s="122" t="s">
        <v>1281</v>
      </c>
      <c r="F596" s="123" t="n">
        <v>43705</v>
      </c>
      <c r="G596" s="121" t="s">
        <v>28</v>
      </c>
      <c r="H59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A0592</v>
      </c>
      <c r="I59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B0592</v>
      </c>
      <c r="J596" s="124" t="s">
        <v>1282</v>
      </c>
      <c r="K59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C0592</v>
      </c>
      <c r="L59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D0592</v>
      </c>
      <c r="M59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E0592</v>
      </c>
      <c r="N596" s="122" t="s">
        <v>72</v>
      </c>
      <c r="O596" s="126" t="n">
        <v>2000000</v>
      </c>
      <c r="P596" s="121" t="s">
        <v>18</v>
      </c>
      <c r="Q596" s="121" t="s">
        <v>124</v>
      </c>
      <c r="R596" s="127"/>
      <c r="T596" s="118"/>
    </row>
    <row r="597" customFormat="false" ht="12.75" hidden="false" customHeight="true" outlineLevel="0" collapsed="false">
      <c r="B597" s="119" t="n">
        <f aca="false">ROW()-4</f>
        <v>593</v>
      </c>
      <c r="C597" s="120" t="n">
        <f aca="false">COUNTIFS($D$5:D597,D597)</f>
        <v>38</v>
      </c>
      <c r="D597" s="121" t="s">
        <v>1209</v>
      </c>
      <c r="E597" s="122" t="s">
        <v>1283</v>
      </c>
      <c r="F597" s="123" t="n">
        <v>43753</v>
      </c>
      <c r="G597" s="121" t="s">
        <v>22</v>
      </c>
      <c r="H59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A0593</v>
      </c>
      <c r="I59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B0593</v>
      </c>
      <c r="J597" s="122" t="s">
        <v>1284</v>
      </c>
      <c r="K59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C0593</v>
      </c>
      <c r="L59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D0593</v>
      </c>
      <c r="M59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E0593</v>
      </c>
      <c r="N597" s="122" t="s">
        <v>72</v>
      </c>
      <c r="O597" s="126" t="n">
        <v>2000000</v>
      </c>
      <c r="P597" s="121" t="s">
        <v>18</v>
      </c>
      <c r="Q597" s="121" t="s">
        <v>124</v>
      </c>
      <c r="R597" s="127"/>
      <c r="T597" s="118"/>
    </row>
    <row r="598" customFormat="false" ht="12.75" hidden="false" customHeight="true" outlineLevel="0" collapsed="false">
      <c r="B598" s="119" t="n">
        <f aca="false">ROW()-4</f>
        <v>594</v>
      </c>
      <c r="C598" s="120" t="n">
        <f aca="false">COUNTIFS($D$5:D598,D598)</f>
        <v>39</v>
      </c>
      <c r="D598" s="121" t="s">
        <v>1209</v>
      </c>
      <c r="E598" s="122" t="s">
        <v>1285</v>
      </c>
      <c r="F598" s="123" t="n">
        <v>44880</v>
      </c>
      <c r="G598" s="121" t="s">
        <v>22</v>
      </c>
      <c r="H59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A0594</v>
      </c>
      <c r="I59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B0594</v>
      </c>
      <c r="J598" s="122" t="s">
        <v>1286</v>
      </c>
      <c r="K59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C0594</v>
      </c>
      <c r="L59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D0594</v>
      </c>
      <c r="M59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E0594</v>
      </c>
      <c r="N598" s="122" t="s">
        <v>72</v>
      </c>
      <c r="O598" s="126" t="n">
        <v>2000000</v>
      </c>
      <c r="P598" s="121" t="s">
        <v>18</v>
      </c>
      <c r="Q598" s="121" t="s">
        <v>124</v>
      </c>
      <c r="R598" s="127"/>
      <c r="T598" s="118"/>
    </row>
    <row r="599" customFormat="false" ht="12.75" hidden="false" customHeight="true" outlineLevel="0" collapsed="false">
      <c r="B599" s="119" t="n">
        <f aca="false">ROW()-4</f>
        <v>595</v>
      </c>
      <c r="C599" s="120" t="n">
        <f aca="false">COUNTIFS($D$5:D599,D599)</f>
        <v>40</v>
      </c>
      <c r="D599" s="121" t="s">
        <v>1209</v>
      </c>
      <c r="E599" s="122" t="s">
        <v>1287</v>
      </c>
      <c r="F599" s="123" t="n">
        <v>45441</v>
      </c>
      <c r="G599" s="121" t="s">
        <v>22</v>
      </c>
      <c r="H59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A0595</v>
      </c>
      <c r="I59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B0595</v>
      </c>
      <c r="J599" s="122" t="s">
        <v>1288</v>
      </c>
      <c r="K59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C0595</v>
      </c>
      <c r="L59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D0595</v>
      </c>
      <c r="M59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E0595</v>
      </c>
      <c r="N599" s="122" t="s">
        <v>72</v>
      </c>
      <c r="O599" s="126" t="n">
        <v>2000000</v>
      </c>
      <c r="P599" s="121" t="s">
        <v>18</v>
      </c>
      <c r="Q599" s="121" t="s">
        <v>124</v>
      </c>
      <c r="R599" s="127"/>
      <c r="T599" s="118"/>
    </row>
    <row r="600" customFormat="false" ht="12.75" hidden="false" customHeight="true" outlineLevel="0" collapsed="false">
      <c r="B600" s="119" t="n">
        <f aca="false">ROW()-4</f>
        <v>596</v>
      </c>
      <c r="C600" s="120" t="n">
        <f aca="false">COUNTIFS($D$5:D600,D600)</f>
        <v>41</v>
      </c>
      <c r="D600" s="121" t="s">
        <v>1209</v>
      </c>
      <c r="E600" s="122" t="s">
        <v>1289</v>
      </c>
      <c r="F600" s="123" t="n">
        <v>43776</v>
      </c>
      <c r="G600" s="121" t="s">
        <v>30</v>
      </c>
      <c r="H60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A0596</v>
      </c>
      <c r="I60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B0596</v>
      </c>
      <c r="J600" s="124" t="s">
        <v>1290</v>
      </c>
      <c r="K60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C0596</v>
      </c>
      <c r="L60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D0596</v>
      </c>
      <c r="M60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E0596</v>
      </c>
      <c r="N600" s="122" t="s">
        <v>72</v>
      </c>
      <c r="O600" s="126" t="n">
        <v>2000000</v>
      </c>
      <c r="P600" s="121" t="s">
        <v>18</v>
      </c>
      <c r="Q600" s="121" t="s">
        <v>124</v>
      </c>
      <c r="R600" s="127"/>
      <c r="T600" s="118"/>
    </row>
    <row r="601" customFormat="false" ht="12.75" hidden="false" customHeight="true" outlineLevel="0" collapsed="false">
      <c r="B601" s="119" t="n">
        <f aca="false">ROW()-4</f>
        <v>597</v>
      </c>
      <c r="C601" s="120" t="n">
        <f aca="false">COUNTIFS($D$5:D601,D601)</f>
        <v>42</v>
      </c>
      <c r="D601" s="121" t="s">
        <v>1209</v>
      </c>
      <c r="E601" s="122" t="s">
        <v>1291</v>
      </c>
      <c r="F601" s="123" t="n">
        <v>43706</v>
      </c>
      <c r="G601" s="121" t="s">
        <v>22</v>
      </c>
      <c r="H60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A0597</v>
      </c>
      <c r="I60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B0597</v>
      </c>
      <c r="J601" s="122" t="s">
        <v>1292</v>
      </c>
      <c r="K60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C0597</v>
      </c>
      <c r="L60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D0597</v>
      </c>
      <c r="M60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E0597</v>
      </c>
      <c r="N601" s="122" t="s">
        <v>72</v>
      </c>
      <c r="O601" s="126" t="n">
        <v>2000000</v>
      </c>
      <c r="P601" s="121" t="s">
        <v>18</v>
      </c>
      <c r="Q601" s="121" t="s">
        <v>124</v>
      </c>
      <c r="R601" s="127"/>
      <c r="T601" s="118"/>
    </row>
    <row r="602" customFormat="false" ht="12.75" hidden="false" customHeight="true" outlineLevel="0" collapsed="false">
      <c r="B602" s="119" t="n">
        <f aca="false">ROW()-4</f>
        <v>598</v>
      </c>
      <c r="C602" s="120" t="n">
        <f aca="false">COUNTIFS($D$5:D602,D602)</f>
        <v>43</v>
      </c>
      <c r="D602" s="121" t="s">
        <v>1209</v>
      </c>
      <c r="E602" s="122" t="s">
        <v>1293</v>
      </c>
      <c r="F602" s="123" t="n">
        <v>45793</v>
      </c>
      <c r="G602" s="121" t="s">
        <v>26</v>
      </c>
      <c r="H60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A0598</v>
      </c>
      <c r="I60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B0598</v>
      </c>
      <c r="J602" s="122" t="s">
        <v>1294</v>
      </c>
      <c r="K60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C0598</v>
      </c>
      <c r="L60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D0598</v>
      </c>
      <c r="M60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E0598</v>
      </c>
      <c r="N602" s="122" t="s">
        <v>72</v>
      </c>
      <c r="O602" s="126" t="n">
        <v>2000000</v>
      </c>
      <c r="P602" s="121" t="s">
        <v>18</v>
      </c>
      <c r="Q602" s="121" t="s">
        <v>124</v>
      </c>
      <c r="R602" s="127"/>
      <c r="T602" s="118"/>
    </row>
    <row r="603" customFormat="false" ht="12.75" hidden="false" customHeight="true" outlineLevel="0" collapsed="false">
      <c r="B603" s="119" t="n">
        <f aca="false">ROW()-4</f>
        <v>599</v>
      </c>
      <c r="C603" s="120" t="n">
        <f aca="false">COUNTIFS($D$5:D603,D603)</f>
        <v>44</v>
      </c>
      <c r="D603" s="121" t="s">
        <v>1209</v>
      </c>
      <c r="E603" s="122" t="s">
        <v>1295</v>
      </c>
      <c r="F603" s="123" t="n">
        <v>44811</v>
      </c>
      <c r="G603" s="121" t="s">
        <v>24</v>
      </c>
      <c r="H60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A0599</v>
      </c>
      <c r="I60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B0599</v>
      </c>
      <c r="J603" s="122" t="s">
        <v>1296</v>
      </c>
      <c r="K60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C0599</v>
      </c>
      <c r="L60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D0599</v>
      </c>
      <c r="M60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E0599</v>
      </c>
      <c r="N603" s="122" t="s">
        <v>72</v>
      </c>
      <c r="O603" s="126" t="n">
        <v>2000000</v>
      </c>
      <c r="P603" s="121" t="s">
        <v>18</v>
      </c>
      <c r="Q603" s="121" t="s">
        <v>124</v>
      </c>
      <c r="R603" s="127"/>
      <c r="T603" s="118"/>
    </row>
    <row r="604" customFormat="false" ht="12.75" hidden="false" customHeight="true" outlineLevel="0" collapsed="false">
      <c r="B604" s="119" t="n">
        <f aca="false">ROW()-4</f>
        <v>600</v>
      </c>
      <c r="C604" s="120" t="n">
        <f aca="false">COUNTIFS($D$5:D604,D604)</f>
        <v>45</v>
      </c>
      <c r="D604" s="121" t="s">
        <v>1209</v>
      </c>
      <c r="E604" s="122" t="s">
        <v>1297</v>
      </c>
      <c r="F604" s="123" t="n">
        <v>43794</v>
      </c>
      <c r="G604" s="121" t="s">
        <v>26</v>
      </c>
      <c r="H60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A0600</v>
      </c>
      <c r="I60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B0600</v>
      </c>
      <c r="J604" s="122" t="s">
        <v>1298</v>
      </c>
      <c r="K60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C0600</v>
      </c>
      <c r="L60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D0600</v>
      </c>
      <c r="M60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E0600</v>
      </c>
      <c r="N604" s="122" t="s">
        <v>72</v>
      </c>
      <c r="O604" s="126" t="n">
        <v>2000000</v>
      </c>
      <c r="P604" s="121" t="s">
        <v>18</v>
      </c>
      <c r="Q604" s="121" t="s">
        <v>124</v>
      </c>
      <c r="R604" s="127"/>
      <c r="T604" s="118"/>
    </row>
    <row r="605" customFormat="false" ht="12.75" hidden="false" customHeight="true" outlineLevel="0" collapsed="false">
      <c r="B605" s="119" t="n">
        <f aca="false">ROW()-4</f>
        <v>601</v>
      </c>
      <c r="C605" s="120" t="n">
        <f aca="false">COUNTIFS($D$5:D605,D605)</f>
        <v>46</v>
      </c>
      <c r="D605" s="121" t="s">
        <v>1209</v>
      </c>
      <c r="E605" s="122" t="s">
        <v>1299</v>
      </c>
      <c r="F605" s="123" t="n">
        <v>43795</v>
      </c>
      <c r="G605" s="121" t="s">
        <v>22</v>
      </c>
      <c r="H60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A0601</v>
      </c>
      <c r="I60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B0601</v>
      </c>
      <c r="J605" s="124" t="s">
        <v>1300</v>
      </c>
      <c r="K60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C0601</v>
      </c>
      <c r="L60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D0601</v>
      </c>
      <c r="M60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E0601</v>
      </c>
      <c r="N605" s="122" t="s">
        <v>72</v>
      </c>
      <c r="O605" s="126" t="n">
        <v>2000000</v>
      </c>
      <c r="P605" s="121" t="s">
        <v>18</v>
      </c>
      <c r="Q605" s="121" t="s">
        <v>124</v>
      </c>
      <c r="R605" s="127"/>
      <c r="T605" s="118"/>
    </row>
    <row r="606" s="118" customFormat="true" ht="12.75" hidden="false" customHeight="true" outlineLevel="0" collapsed="false">
      <c r="A606" s="98"/>
      <c r="B606" s="119" t="n">
        <f aca="false">ROW()-4</f>
        <v>602</v>
      </c>
      <c r="C606" s="120" t="n">
        <f aca="false">COUNTIFS($D$5:D606,D606)</f>
        <v>47</v>
      </c>
      <c r="D606" s="121" t="s">
        <v>1209</v>
      </c>
      <c r="E606" s="122" t="s">
        <v>1301</v>
      </c>
      <c r="F606" s="123" t="n">
        <v>43833</v>
      </c>
      <c r="G606" s="121" t="s">
        <v>24</v>
      </c>
      <c r="H60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A0602</v>
      </c>
      <c r="I60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B0602</v>
      </c>
      <c r="J606" s="124" t="s">
        <v>1302</v>
      </c>
      <c r="K60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C0602</v>
      </c>
      <c r="L60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D0602</v>
      </c>
      <c r="M60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E0602</v>
      </c>
      <c r="N606" s="122" t="s">
        <v>72</v>
      </c>
      <c r="O606" s="126" t="n">
        <v>2000000</v>
      </c>
      <c r="P606" s="121" t="s">
        <v>18</v>
      </c>
      <c r="Q606" s="121" t="s">
        <v>124</v>
      </c>
      <c r="R606" s="127"/>
    </row>
    <row r="607" customFormat="false" ht="12.75" hidden="false" customHeight="true" outlineLevel="0" collapsed="false">
      <c r="B607" s="119" t="n">
        <f aca="false">ROW()-4</f>
        <v>603</v>
      </c>
      <c r="C607" s="120" t="n">
        <f aca="false">COUNTIFS($D$5:D607,D607)</f>
        <v>48</v>
      </c>
      <c r="D607" s="121" t="s">
        <v>1209</v>
      </c>
      <c r="E607" s="122" t="s">
        <v>1303</v>
      </c>
      <c r="F607" s="123" t="n">
        <v>43837</v>
      </c>
      <c r="G607" s="121" t="s">
        <v>24</v>
      </c>
      <c r="H60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A0603</v>
      </c>
      <c r="I60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B0603</v>
      </c>
      <c r="J607" s="122" t="s">
        <v>1304</v>
      </c>
      <c r="K60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C0603</v>
      </c>
      <c r="L60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D0603</v>
      </c>
      <c r="M60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E0603</v>
      </c>
      <c r="N607" s="122" t="s">
        <v>72</v>
      </c>
      <c r="O607" s="126" t="n">
        <v>2000000</v>
      </c>
      <c r="P607" s="121" t="s">
        <v>18</v>
      </c>
      <c r="Q607" s="121" t="s">
        <v>124</v>
      </c>
      <c r="R607" s="127"/>
      <c r="T607" s="118"/>
    </row>
    <row r="608" customFormat="false" ht="12.75" hidden="false" customHeight="true" outlineLevel="0" collapsed="false">
      <c r="B608" s="119" t="n">
        <f aca="false">ROW()-4</f>
        <v>604</v>
      </c>
      <c r="C608" s="120" t="n">
        <f aca="false">COUNTIFS($D$5:D608,D608)</f>
        <v>49</v>
      </c>
      <c r="D608" s="121" t="s">
        <v>1209</v>
      </c>
      <c r="E608" s="122" t="s">
        <v>1305</v>
      </c>
      <c r="F608" s="123" t="n">
        <v>46062</v>
      </c>
      <c r="G608" s="121" t="s">
        <v>24</v>
      </c>
      <c r="H60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A0604</v>
      </c>
      <c r="I60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B0604</v>
      </c>
      <c r="J608" s="122" t="s">
        <v>1306</v>
      </c>
      <c r="K60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C0604</v>
      </c>
      <c r="L60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D0604</v>
      </c>
      <c r="M60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E0604</v>
      </c>
      <c r="N608" s="122" t="s">
        <v>72</v>
      </c>
      <c r="O608" s="126" t="n">
        <v>2000000</v>
      </c>
      <c r="P608" s="121" t="s">
        <v>18</v>
      </c>
      <c r="Q608" s="121" t="s">
        <v>124</v>
      </c>
      <c r="R608" s="127"/>
      <c r="T608" s="118"/>
    </row>
    <row r="609" customFormat="false" ht="12.75" hidden="false" customHeight="true" outlineLevel="0" collapsed="false">
      <c r="B609" s="119" t="n">
        <f aca="false">ROW()-4</f>
        <v>605</v>
      </c>
      <c r="C609" s="120" t="n">
        <f aca="false">COUNTIFS($D$5:D609,D609)</f>
        <v>50</v>
      </c>
      <c r="D609" s="121" t="s">
        <v>1209</v>
      </c>
      <c r="E609" s="122" t="s">
        <v>1307</v>
      </c>
      <c r="F609" s="123" t="n">
        <v>45289</v>
      </c>
      <c r="G609" s="121" t="s">
        <v>22</v>
      </c>
      <c r="H60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A0605</v>
      </c>
      <c r="I60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B0605</v>
      </c>
      <c r="J609" s="122" t="s">
        <v>1308</v>
      </c>
      <c r="K60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C0605</v>
      </c>
      <c r="L60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D0605</v>
      </c>
      <c r="M60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E0605</v>
      </c>
      <c r="N609" s="122" t="s">
        <v>72</v>
      </c>
      <c r="O609" s="126" t="n">
        <v>2000000</v>
      </c>
      <c r="P609" s="121" t="s">
        <v>18</v>
      </c>
      <c r="Q609" s="121" t="s">
        <v>124</v>
      </c>
      <c r="R609" s="127"/>
      <c r="T609" s="118"/>
    </row>
    <row r="610" customFormat="false" ht="12.75" hidden="false" customHeight="true" outlineLevel="0" collapsed="false">
      <c r="B610" s="119" t="n">
        <f aca="false">ROW()-4</f>
        <v>606</v>
      </c>
      <c r="C610" s="120" t="n">
        <f aca="false">COUNTIFS($D$5:D610,D610)</f>
        <v>51</v>
      </c>
      <c r="D610" s="121" t="s">
        <v>1209</v>
      </c>
      <c r="E610" s="122" t="s">
        <v>1309</v>
      </c>
      <c r="F610" s="123" t="n">
        <v>45177</v>
      </c>
      <c r="G610" s="121" t="s">
        <v>26</v>
      </c>
      <c r="H61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A0606</v>
      </c>
      <c r="I61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B0606</v>
      </c>
      <c r="J610" s="122" t="s">
        <v>1310</v>
      </c>
      <c r="K61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C0606</v>
      </c>
      <c r="L61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D0606</v>
      </c>
      <c r="M61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E0606</v>
      </c>
      <c r="N610" s="122" t="s">
        <v>72</v>
      </c>
      <c r="O610" s="126" t="n">
        <v>2000000</v>
      </c>
      <c r="P610" s="121" t="s">
        <v>18</v>
      </c>
      <c r="Q610" s="121" t="s">
        <v>124</v>
      </c>
      <c r="R610" s="127"/>
      <c r="T610" s="118"/>
    </row>
    <row r="611" customFormat="false" ht="12.75" hidden="false" customHeight="true" outlineLevel="0" collapsed="false">
      <c r="B611" s="119" t="n">
        <f aca="false">ROW()-4</f>
        <v>607</v>
      </c>
      <c r="C611" s="120" t="n">
        <f aca="false">COUNTIFS($D$5:D611,D611)</f>
        <v>52</v>
      </c>
      <c r="D611" s="121" t="s">
        <v>1209</v>
      </c>
      <c r="E611" s="122" t="s">
        <v>1311</v>
      </c>
      <c r="F611" s="123" t="n">
        <v>44145</v>
      </c>
      <c r="G611" s="121" t="s">
        <v>28</v>
      </c>
      <c r="H61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A0607</v>
      </c>
      <c r="I61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B0607</v>
      </c>
      <c r="J611" s="122" t="s">
        <v>1312</v>
      </c>
      <c r="K61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C0607</v>
      </c>
      <c r="L61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D0607</v>
      </c>
      <c r="M61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E0607</v>
      </c>
      <c r="N611" s="122" t="s">
        <v>72</v>
      </c>
      <c r="O611" s="126" t="n">
        <v>2000000</v>
      </c>
      <c r="P611" s="121" t="s">
        <v>18</v>
      </c>
      <c r="Q611" s="121" t="s">
        <v>124</v>
      </c>
      <c r="R611" s="127"/>
      <c r="T611" s="118"/>
    </row>
    <row r="612" customFormat="false" ht="12.75" hidden="false" customHeight="true" outlineLevel="0" collapsed="false">
      <c r="B612" s="119" t="n">
        <f aca="false">ROW()-4</f>
        <v>608</v>
      </c>
      <c r="C612" s="120" t="n">
        <f aca="false">COUNTIFS($D$5:D612,D612)</f>
        <v>53</v>
      </c>
      <c r="D612" s="121" t="s">
        <v>1209</v>
      </c>
      <c r="E612" s="122" t="s">
        <v>1313</v>
      </c>
      <c r="F612" s="123" t="n">
        <v>45196</v>
      </c>
      <c r="G612" s="121" t="s">
        <v>28</v>
      </c>
      <c r="H61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A0608</v>
      </c>
      <c r="I61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B0608</v>
      </c>
      <c r="J612" s="122" t="s">
        <v>1314</v>
      </c>
      <c r="K61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C0608</v>
      </c>
      <c r="L61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D0608</v>
      </c>
      <c r="M61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E0608</v>
      </c>
      <c r="N612" s="122" t="s">
        <v>72</v>
      </c>
      <c r="O612" s="126" t="n">
        <v>2000000</v>
      </c>
      <c r="P612" s="121" t="s">
        <v>18</v>
      </c>
      <c r="Q612" s="121" t="s">
        <v>124</v>
      </c>
      <c r="R612" s="127"/>
      <c r="T612" s="118"/>
    </row>
    <row r="613" customFormat="false" ht="12.75" hidden="false" customHeight="true" outlineLevel="0" collapsed="false">
      <c r="B613" s="119" t="n">
        <f aca="false">ROW()-4</f>
        <v>609</v>
      </c>
      <c r="C613" s="120" t="n">
        <f aca="false">COUNTIFS($D$5:D613,D613)</f>
        <v>54</v>
      </c>
      <c r="D613" s="121" t="s">
        <v>1209</v>
      </c>
      <c r="E613" s="122" t="s">
        <v>1315</v>
      </c>
      <c r="F613" s="123" t="n">
        <v>43942</v>
      </c>
      <c r="G613" s="121" t="s">
        <v>22</v>
      </c>
      <c r="H61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A0609</v>
      </c>
      <c r="I61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B0609</v>
      </c>
      <c r="J613" s="122" t="s">
        <v>1316</v>
      </c>
      <c r="K61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C0609</v>
      </c>
      <c r="L61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D0609</v>
      </c>
      <c r="M61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E0609</v>
      </c>
      <c r="N613" s="122" t="s">
        <v>72</v>
      </c>
      <c r="O613" s="126" t="n">
        <v>2000000</v>
      </c>
      <c r="P613" s="121" t="s">
        <v>18</v>
      </c>
      <c r="Q613" s="121" t="s">
        <v>124</v>
      </c>
      <c r="R613" s="127"/>
      <c r="T613" s="118"/>
    </row>
    <row r="614" customFormat="false" ht="12.75" hidden="false" customHeight="true" outlineLevel="0" collapsed="false">
      <c r="B614" s="119" t="n">
        <f aca="false">ROW()-4</f>
        <v>610</v>
      </c>
      <c r="C614" s="120" t="n">
        <f aca="false">COUNTIFS($D$5:D614,D614)</f>
        <v>55</v>
      </c>
      <c r="D614" s="121" t="s">
        <v>1209</v>
      </c>
      <c r="E614" s="122" t="s">
        <v>1317</v>
      </c>
      <c r="F614" s="123" t="n">
        <v>43468</v>
      </c>
      <c r="G614" s="121" t="s">
        <v>24</v>
      </c>
      <c r="H61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A0610</v>
      </c>
      <c r="I61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B0610</v>
      </c>
      <c r="J614" s="122" t="s">
        <v>1318</v>
      </c>
      <c r="K61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C0610</v>
      </c>
      <c r="L61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D0610</v>
      </c>
      <c r="M61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E0610</v>
      </c>
      <c r="N614" s="122" t="s">
        <v>72</v>
      </c>
      <c r="O614" s="126" t="n">
        <v>2000000</v>
      </c>
      <c r="P614" s="121" t="s">
        <v>18</v>
      </c>
      <c r="Q614" s="121" t="s">
        <v>124</v>
      </c>
      <c r="R614" s="127"/>
      <c r="T614" s="118"/>
    </row>
    <row r="615" customFormat="false" ht="12.75" hidden="false" customHeight="true" outlineLevel="0" collapsed="false">
      <c r="B615" s="119" t="n">
        <f aca="false">ROW()-4</f>
        <v>611</v>
      </c>
      <c r="C615" s="120" t="n">
        <f aca="false">COUNTIFS($D$5:D615,D615)</f>
        <v>56</v>
      </c>
      <c r="D615" s="121" t="s">
        <v>1209</v>
      </c>
      <c r="E615" s="122" t="s">
        <v>1319</v>
      </c>
      <c r="F615" s="123" t="n">
        <v>43950</v>
      </c>
      <c r="G615" s="121" t="s">
        <v>24</v>
      </c>
      <c r="H61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A0611</v>
      </c>
      <c r="I61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B0611</v>
      </c>
      <c r="J615" s="122" t="s">
        <v>1320</v>
      </c>
      <c r="K61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C0611</v>
      </c>
      <c r="L61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D0611</v>
      </c>
      <c r="M61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E0611</v>
      </c>
      <c r="N615" s="122" t="s">
        <v>72</v>
      </c>
      <c r="O615" s="126" t="n">
        <v>2000000</v>
      </c>
      <c r="P615" s="121" t="s">
        <v>18</v>
      </c>
      <c r="Q615" s="121" t="s">
        <v>124</v>
      </c>
      <c r="R615" s="127"/>
      <c r="T615" s="118"/>
    </row>
    <row r="616" customFormat="false" ht="12.75" hidden="false" customHeight="true" outlineLevel="0" collapsed="false">
      <c r="B616" s="119" t="n">
        <f aca="false">ROW()-4</f>
        <v>612</v>
      </c>
      <c r="C616" s="120" t="n">
        <f aca="false">COUNTIFS($D$5:D616,D616)</f>
        <v>57</v>
      </c>
      <c r="D616" s="121" t="s">
        <v>1209</v>
      </c>
      <c r="E616" s="122" t="s">
        <v>1321</v>
      </c>
      <c r="F616" s="123"/>
      <c r="G616" s="121" t="s">
        <v>210</v>
      </c>
      <c r="H616" s="122"/>
      <c r="I616" s="122"/>
      <c r="J616" s="122"/>
      <c r="K616" s="122"/>
      <c r="L616" s="125"/>
      <c r="M61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E0612</v>
      </c>
      <c r="N616" s="122" t="s">
        <v>72</v>
      </c>
      <c r="O616" s="126" t="n">
        <v>2000000</v>
      </c>
      <c r="P616" s="121" t="s">
        <v>19</v>
      </c>
      <c r="Q616" s="122"/>
      <c r="R616" s="128" t="s">
        <v>59</v>
      </c>
      <c r="T616" s="118"/>
    </row>
    <row r="617" customFormat="false" ht="12.75" hidden="false" customHeight="true" outlineLevel="0" collapsed="false">
      <c r="B617" s="119" t="n">
        <f aca="false">ROW()-4</f>
        <v>613</v>
      </c>
      <c r="C617" s="120" t="n">
        <f aca="false">COUNTIFS($D$5:D617,D617)</f>
        <v>58</v>
      </c>
      <c r="D617" s="121" t="s">
        <v>1209</v>
      </c>
      <c r="E617" s="122" t="s">
        <v>1322</v>
      </c>
      <c r="F617" s="123" t="n">
        <v>45869</v>
      </c>
      <c r="G617" s="121" t="s">
        <v>28</v>
      </c>
      <c r="H61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A0613</v>
      </c>
      <c r="I61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B0613</v>
      </c>
      <c r="J617" s="122" t="s">
        <v>1323</v>
      </c>
      <c r="K61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C0613</v>
      </c>
      <c r="L61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D0613</v>
      </c>
      <c r="M61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E0613</v>
      </c>
      <c r="N617" s="122" t="s">
        <v>72</v>
      </c>
      <c r="O617" s="126" t="n">
        <v>2000000</v>
      </c>
      <c r="P617" s="121" t="s">
        <v>18</v>
      </c>
      <c r="Q617" s="121" t="s">
        <v>124</v>
      </c>
      <c r="R617" s="127"/>
      <c r="T617" s="118"/>
    </row>
    <row r="618" customFormat="false" ht="12.75" hidden="false" customHeight="true" outlineLevel="0" collapsed="false">
      <c r="B618" s="119" t="n">
        <f aca="false">ROW()-4</f>
        <v>614</v>
      </c>
      <c r="C618" s="120" t="n">
        <f aca="false">COUNTIFS($D$5:D618,D618)</f>
        <v>59</v>
      </c>
      <c r="D618" s="121" t="s">
        <v>1209</v>
      </c>
      <c r="E618" s="122" t="s">
        <v>1324</v>
      </c>
      <c r="F618" s="123" t="n">
        <v>43984</v>
      </c>
      <c r="G618" s="121" t="s">
        <v>28</v>
      </c>
      <c r="H61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A0614</v>
      </c>
      <c r="I61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B0614</v>
      </c>
      <c r="J618" s="122" t="s">
        <v>1325</v>
      </c>
      <c r="K61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C0614</v>
      </c>
      <c r="L61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D0614</v>
      </c>
      <c r="M61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E0614</v>
      </c>
      <c r="N618" s="122" t="s">
        <v>72</v>
      </c>
      <c r="O618" s="126" t="n">
        <v>2000000</v>
      </c>
      <c r="P618" s="121" t="s">
        <v>18</v>
      </c>
      <c r="Q618" s="121" t="s">
        <v>124</v>
      </c>
      <c r="R618" s="127"/>
      <c r="T618" s="118"/>
    </row>
    <row r="619" customFormat="false" ht="12.75" hidden="false" customHeight="true" outlineLevel="0" collapsed="false">
      <c r="B619" s="119" t="n">
        <f aca="false">ROW()-4</f>
        <v>615</v>
      </c>
      <c r="C619" s="120" t="n">
        <f aca="false">COUNTIFS($D$5:D619,D619)</f>
        <v>60</v>
      </c>
      <c r="D619" s="121" t="s">
        <v>1209</v>
      </c>
      <c r="E619" s="122" t="s">
        <v>1326</v>
      </c>
      <c r="F619" s="123" t="n">
        <v>43999</v>
      </c>
      <c r="G619" s="121" t="s">
        <v>22</v>
      </c>
      <c r="H61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A0615</v>
      </c>
      <c r="I61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B0615</v>
      </c>
      <c r="J619" s="122" t="s">
        <v>1327</v>
      </c>
      <c r="K61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C0615</v>
      </c>
      <c r="L61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D0615</v>
      </c>
      <c r="M61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E0615</v>
      </c>
      <c r="N619" s="122" t="s">
        <v>72</v>
      </c>
      <c r="O619" s="126" t="n">
        <v>2000000</v>
      </c>
      <c r="P619" s="121" t="s">
        <v>18</v>
      </c>
      <c r="Q619" s="121" t="s">
        <v>124</v>
      </c>
      <c r="R619" s="127"/>
      <c r="T619" s="118"/>
    </row>
    <row r="620" customFormat="false" ht="12.75" hidden="false" customHeight="true" outlineLevel="0" collapsed="false">
      <c r="B620" s="119" t="n">
        <f aca="false">ROW()-4</f>
        <v>616</v>
      </c>
      <c r="C620" s="120" t="n">
        <f aca="false">COUNTIFS($D$5:D620,D620)</f>
        <v>61</v>
      </c>
      <c r="D620" s="121" t="s">
        <v>1209</v>
      </c>
      <c r="E620" s="122" t="s">
        <v>1328</v>
      </c>
      <c r="F620" s="123" t="n">
        <v>44000</v>
      </c>
      <c r="G620" s="121" t="s">
        <v>24</v>
      </c>
      <c r="H62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A0616</v>
      </c>
      <c r="I62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B0616</v>
      </c>
      <c r="J620" s="124" t="s">
        <v>1329</v>
      </c>
      <c r="K62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C0616</v>
      </c>
      <c r="L62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D0616</v>
      </c>
      <c r="M62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E0616</v>
      </c>
      <c r="N620" s="122" t="s">
        <v>72</v>
      </c>
      <c r="O620" s="126" t="n">
        <v>2000000</v>
      </c>
      <c r="P620" s="121" t="s">
        <v>18</v>
      </c>
      <c r="Q620" s="121" t="s">
        <v>124</v>
      </c>
      <c r="R620" s="127"/>
      <c r="T620" s="118"/>
    </row>
    <row r="621" customFormat="false" ht="12.75" hidden="false" customHeight="true" outlineLevel="0" collapsed="false">
      <c r="B621" s="119" t="n">
        <f aca="false">ROW()-4</f>
        <v>617</v>
      </c>
      <c r="C621" s="120" t="n">
        <f aca="false">COUNTIFS($D$5:D621,D621)</f>
        <v>62</v>
      </c>
      <c r="D621" s="121" t="s">
        <v>1209</v>
      </c>
      <c r="E621" s="122" t="s">
        <v>1330</v>
      </c>
      <c r="F621" s="123" t="n">
        <v>44014</v>
      </c>
      <c r="G621" s="121" t="s">
        <v>26</v>
      </c>
      <c r="H62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A0617</v>
      </c>
      <c r="I62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B0617</v>
      </c>
      <c r="J621" s="122" t="s">
        <v>1331</v>
      </c>
      <c r="K62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C0617</v>
      </c>
      <c r="L62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D0617</v>
      </c>
      <c r="M62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E0617</v>
      </c>
      <c r="N621" s="122" t="s">
        <v>72</v>
      </c>
      <c r="O621" s="126" t="n">
        <v>2000000</v>
      </c>
      <c r="P621" s="121" t="s">
        <v>18</v>
      </c>
      <c r="Q621" s="121" t="s">
        <v>124</v>
      </c>
      <c r="R621" s="127"/>
      <c r="T621" s="118"/>
    </row>
    <row r="622" customFormat="false" ht="12.75" hidden="false" customHeight="true" outlineLevel="0" collapsed="false">
      <c r="B622" s="119" t="n">
        <f aca="false">ROW()-4</f>
        <v>618</v>
      </c>
      <c r="C622" s="120" t="n">
        <f aca="false">COUNTIFS($D$5:D622,D622)</f>
        <v>63</v>
      </c>
      <c r="D622" s="121" t="s">
        <v>1209</v>
      </c>
      <c r="E622" s="122" t="s">
        <v>1332</v>
      </c>
      <c r="F622" s="123" t="n">
        <v>44027</v>
      </c>
      <c r="G622" s="121" t="s">
        <v>26</v>
      </c>
      <c r="H62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A0618</v>
      </c>
      <c r="I62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B0618</v>
      </c>
      <c r="J622" s="122" t="s">
        <v>1333</v>
      </c>
      <c r="K62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C0618</v>
      </c>
      <c r="L62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D0618</v>
      </c>
      <c r="M62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E0618</v>
      </c>
      <c r="N622" s="122" t="s">
        <v>72</v>
      </c>
      <c r="O622" s="126" t="n">
        <v>2000000</v>
      </c>
      <c r="P622" s="121" t="s">
        <v>18</v>
      </c>
      <c r="Q622" s="121" t="s">
        <v>124</v>
      </c>
      <c r="R622" s="127"/>
      <c r="T622" s="118"/>
    </row>
    <row r="623" customFormat="false" ht="12.75" hidden="false" customHeight="true" outlineLevel="0" collapsed="false">
      <c r="B623" s="119" t="n">
        <f aca="false">ROW()-4</f>
        <v>619</v>
      </c>
      <c r="C623" s="120" t="n">
        <f aca="false">COUNTIFS($D$5:D623,D623)</f>
        <v>64</v>
      </c>
      <c r="D623" s="121" t="s">
        <v>1209</v>
      </c>
      <c r="E623" s="122" t="s">
        <v>1334</v>
      </c>
      <c r="F623" s="123" t="n">
        <v>45162</v>
      </c>
      <c r="G623" s="121" t="s">
        <v>22</v>
      </c>
      <c r="H62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A0619</v>
      </c>
      <c r="I62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B0619</v>
      </c>
      <c r="J623" s="122" t="s">
        <v>1335</v>
      </c>
      <c r="K62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C0619</v>
      </c>
      <c r="L62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D0619</v>
      </c>
      <c r="M62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E0619</v>
      </c>
      <c r="N623" s="122" t="s">
        <v>72</v>
      </c>
      <c r="O623" s="126" t="n">
        <v>2000000</v>
      </c>
      <c r="P623" s="121" t="s">
        <v>18</v>
      </c>
      <c r="Q623" s="121" t="s">
        <v>124</v>
      </c>
      <c r="R623" s="127"/>
      <c r="T623" s="118"/>
    </row>
    <row r="624" customFormat="false" ht="12.75" hidden="false" customHeight="true" outlineLevel="0" collapsed="false">
      <c r="B624" s="119" t="n">
        <f aca="false">ROW()-4</f>
        <v>620</v>
      </c>
      <c r="C624" s="120" t="n">
        <f aca="false">COUNTIFS($D$5:D624,D624)</f>
        <v>65</v>
      </c>
      <c r="D624" s="121" t="s">
        <v>1209</v>
      </c>
      <c r="E624" s="122" t="s">
        <v>1336</v>
      </c>
      <c r="F624" s="123" t="n">
        <v>44096</v>
      </c>
      <c r="G624" s="121" t="s">
        <v>22</v>
      </c>
      <c r="H62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A0620</v>
      </c>
      <c r="I62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B0620</v>
      </c>
      <c r="J624" s="122" t="s">
        <v>1337</v>
      </c>
      <c r="K62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C0620</v>
      </c>
      <c r="L62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D0620</v>
      </c>
      <c r="M62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E0620</v>
      </c>
      <c r="N624" s="122" t="s">
        <v>72</v>
      </c>
      <c r="O624" s="126" t="n">
        <v>2000000</v>
      </c>
      <c r="P624" s="121" t="s">
        <v>18</v>
      </c>
      <c r="Q624" s="121" t="s">
        <v>124</v>
      </c>
      <c r="R624" s="127"/>
      <c r="T624" s="118"/>
    </row>
    <row r="625" customFormat="false" ht="12.75" hidden="false" customHeight="true" outlineLevel="0" collapsed="false">
      <c r="B625" s="119" t="n">
        <f aca="false">ROW()-4</f>
        <v>621</v>
      </c>
      <c r="C625" s="120" t="n">
        <f aca="false">COUNTIFS($D$5:D625,D625)</f>
        <v>66</v>
      </c>
      <c r="D625" s="121" t="s">
        <v>1209</v>
      </c>
      <c r="E625" s="122" t="s">
        <v>1338</v>
      </c>
      <c r="F625" s="123" t="n">
        <v>44664</v>
      </c>
      <c r="G625" s="121" t="s">
        <v>28</v>
      </c>
      <c r="H62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A0621</v>
      </c>
      <c r="I62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B0621</v>
      </c>
      <c r="J625" s="122" t="s">
        <v>1339</v>
      </c>
      <c r="K62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C0621</v>
      </c>
      <c r="L62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D0621</v>
      </c>
      <c r="M62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E0621</v>
      </c>
      <c r="N625" s="122" t="s">
        <v>72</v>
      </c>
      <c r="O625" s="126" t="n">
        <v>2000000</v>
      </c>
      <c r="P625" s="121" t="s">
        <v>18</v>
      </c>
      <c r="Q625" s="121" t="s">
        <v>124</v>
      </c>
      <c r="R625" s="127"/>
      <c r="T625" s="118"/>
    </row>
    <row r="626" customFormat="false" ht="12.75" hidden="false" customHeight="true" outlineLevel="0" collapsed="false">
      <c r="B626" s="119" t="n">
        <f aca="false">ROW()-4</f>
        <v>622</v>
      </c>
      <c r="C626" s="120" t="n">
        <f aca="false">COUNTIFS($D$5:D626,D626)</f>
        <v>67</v>
      </c>
      <c r="D626" s="121" t="s">
        <v>1209</v>
      </c>
      <c r="E626" s="122" t="s">
        <v>1340</v>
      </c>
      <c r="F626" s="123" t="n">
        <v>44187</v>
      </c>
      <c r="G626" s="121" t="s">
        <v>26</v>
      </c>
      <c r="H62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A0622</v>
      </c>
      <c r="I62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B0622</v>
      </c>
      <c r="J626" s="124" t="s">
        <v>1341</v>
      </c>
      <c r="K62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C0622</v>
      </c>
      <c r="L62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D0622</v>
      </c>
      <c r="M62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E0622</v>
      </c>
      <c r="N626" s="122" t="s">
        <v>72</v>
      </c>
      <c r="O626" s="126" t="n">
        <v>2000000</v>
      </c>
      <c r="P626" s="121" t="s">
        <v>18</v>
      </c>
      <c r="Q626" s="121" t="s">
        <v>124</v>
      </c>
      <c r="R626" s="127"/>
      <c r="T626" s="118"/>
    </row>
    <row r="627" customFormat="false" ht="12.75" hidden="false" customHeight="true" outlineLevel="0" collapsed="false">
      <c r="B627" s="119" t="n">
        <f aca="false">ROW()-4</f>
        <v>623</v>
      </c>
      <c r="C627" s="120" t="n">
        <f aca="false">COUNTIFS($D$5:D627,D627)</f>
        <v>68</v>
      </c>
      <c r="D627" s="121" t="s">
        <v>1209</v>
      </c>
      <c r="E627" s="122" t="s">
        <v>1342</v>
      </c>
      <c r="F627" s="123" t="n">
        <v>44286</v>
      </c>
      <c r="G627" s="121" t="s">
        <v>22</v>
      </c>
      <c r="H62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A0623</v>
      </c>
      <c r="I62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B0623</v>
      </c>
      <c r="J627" s="122" t="s">
        <v>1343</v>
      </c>
      <c r="K62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C0623</v>
      </c>
      <c r="L62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D0623</v>
      </c>
      <c r="M62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E0623</v>
      </c>
      <c r="N627" s="122" t="s">
        <v>72</v>
      </c>
      <c r="O627" s="126" t="n">
        <v>2000000</v>
      </c>
      <c r="P627" s="121" t="s">
        <v>18</v>
      </c>
      <c r="Q627" s="121" t="s">
        <v>124</v>
      </c>
      <c r="R627" s="127"/>
      <c r="T627" s="118"/>
    </row>
    <row r="628" customFormat="false" ht="12.75" hidden="false" customHeight="true" outlineLevel="0" collapsed="false">
      <c r="B628" s="119" t="n">
        <f aca="false">ROW()-4</f>
        <v>624</v>
      </c>
      <c r="C628" s="120" t="n">
        <f aca="false">COUNTIFS($D$5:D628,D628)</f>
        <v>69</v>
      </c>
      <c r="D628" s="121" t="s">
        <v>1209</v>
      </c>
      <c r="E628" s="122" t="s">
        <v>1344</v>
      </c>
      <c r="F628" s="123" t="n">
        <v>44293</v>
      </c>
      <c r="G628" s="121" t="s">
        <v>26</v>
      </c>
      <c r="H62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A0624</v>
      </c>
      <c r="I62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B0624</v>
      </c>
      <c r="J628" s="122" t="s">
        <v>1345</v>
      </c>
      <c r="K62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C0624</v>
      </c>
      <c r="L62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D0624</v>
      </c>
      <c r="M62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E0624</v>
      </c>
      <c r="N628" s="122" t="s">
        <v>72</v>
      </c>
      <c r="O628" s="126" t="n">
        <v>2000000</v>
      </c>
      <c r="P628" s="121" t="s">
        <v>18</v>
      </c>
      <c r="Q628" s="121" t="s">
        <v>124</v>
      </c>
      <c r="R628" s="127"/>
      <c r="T628" s="118"/>
    </row>
    <row r="629" customFormat="false" ht="12.75" hidden="false" customHeight="true" outlineLevel="0" collapsed="false">
      <c r="B629" s="119" t="n">
        <f aca="false">ROW()-4</f>
        <v>625</v>
      </c>
      <c r="C629" s="120" t="n">
        <f aca="false">COUNTIFS($D$5:D629,D629)</f>
        <v>70</v>
      </c>
      <c r="D629" s="121" t="s">
        <v>1209</v>
      </c>
      <c r="E629" s="122" t="s">
        <v>1346</v>
      </c>
      <c r="F629" s="123" t="n">
        <v>44559</v>
      </c>
      <c r="G629" s="121" t="s">
        <v>24</v>
      </c>
      <c r="H62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A0625</v>
      </c>
      <c r="I62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B0625</v>
      </c>
      <c r="J629" s="124" t="s">
        <v>1347</v>
      </c>
      <c r="K62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C0625</v>
      </c>
      <c r="L62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D0625</v>
      </c>
      <c r="M62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E0625</v>
      </c>
      <c r="N629" s="122" t="s">
        <v>72</v>
      </c>
      <c r="O629" s="126" t="n">
        <v>2000000</v>
      </c>
      <c r="P629" s="121" t="s">
        <v>18</v>
      </c>
      <c r="Q629" s="121" t="s">
        <v>124</v>
      </c>
      <c r="R629" s="127"/>
      <c r="T629" s="118"/>
    </row>
    <row r="630" customFormat="false" ht="12.75" hidden="false" customHeight="true" outlineLevel="0" collapsed="false">
      <c r="B630" s="119" t="n">
        <f aca="false">ROW()-4</f>
        <v>626</v>
      </c>
      <c r="C630" s="120" t="n">
        <f aca="false">COUNTIFS($D$5:D630,D630)</f>
        <v>71</v>
      </c>
      <c r="D630" s="121" t="s">
        <v>1209</v>
      </c>
      <c r="E630" s="122" t="s">
        <v>1348</v>
      </c>
      <c r="F630" s="123" t="n">
        <v>44326</v>
      </c>
      <c r="G630" s="121" t="s">
        <v>24</v>
      </c>
      <c r="H63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A0626</v>
      </c>
      <c r="I63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B0626</v>
      </c>
      <c r="J630" s="122" t="s">
        <v>1349</v>
      </c>
      <c r="K63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C0626</v>
      </c>
      <c r="L63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D0626</v>
      </c>
      <c r="M63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E0626</v>
      </c>
      <c r="N630" s="122" t="s">
        <v>72</v>
      </c>
      <c r="O630" s="126" t="n">
        <v>2000000</v>
      </c>
      <c r="P630" s="121" t="s">
        <v>18</v>
      </c>
      <c r="Q630" s="121" t="s">
        <v>124</v>
      </c>
      <c r="R630" s="127"/>
      <c r="T630" s="118"/>
    </row>
    <row r="631" customFormat="false" ht="12.75" hidden="false" customHeight="true" outlineLevel="0" collapsed="false">
      <c r="B631" s="119" t="n">
        <f aca="false">ROW()-4</f>
        <v>627</v>
      </c>
      <c r="C631" s="120" t="n">
        <f aca="false">COUNTIFS($D$5:D631,D631)</f>
        <v>72</v>
      </c>
      <c r="D631" s="121" t="s">
        <v>1209</v>
      </c>
      <c r="E631" s="122" t="s">
        <v>1350</v>
      </c>
      <c r="F631" s="123" t="n">
        <v>44326</v>
      </c>
      <c r="G631" s="121" t="s">
        <v>22</v>
      </c>
      <c r="H63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A0627</v>
      </c>
      <c r="I63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B0627</v>
      </c>
      <c r="J631" s="122" t="s">
        <v>1351</v>
      </c>
      <c r="K63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C0627</v>
      </c>
      <c r="L63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D0627</v>
      </c>
      <c r="M63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E0627</v>
      </c>
      <c r="N631" s="122" t="s">
        <v>72</v>
      </c>
      <c r="O631" s="126" t="n">
        <v>2000000</v>
      </c>
      <c r="P631" s="121" t="s">
        <v>18</v>
      </c>
      <c r="Q631" s="121" t="s">
        <v>124</v>
      </c>
      <c r="R631" s="127"/>
      <c r="T631" s="118"/>
    </row>
    <row r="632" customFormat="false" ht="12.75" hidden="false" customHeight="true" outlineLevel="0" collapsed="false">
      <c r="B632" s="119" t="n">
        <f aca="false">ROW()-4</f>
        <v>628</v>
      </c>
      <c r="C632" s="120" t="n">
        <f aca="false">COUNTIFS($D$5:D632,D632)</f>
        <v>73</v>
      </c>
      <c r="D632" s="121" t="s">
        <v>1209</v>
      </c>
      <c r="E632" s="122" t="s">
        <v>1352</v>
      </c>
      <c r="F632" s="123" t="n">
        <v>44567</v>
      </c>
      <c r="G632" s="121" t="s">
        <v>26</v>
      </c>
      <c r="H63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A0628</v>
      </c>
      <c r="I63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B0628</v>
      </c>
      <c r="J632" s="122" t="s">
        <v>1353</v>
      </c>
      <c r="K63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C0628</v>
      </c>
      <c r="L63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D0628</v>
      </c>
      <c r="M63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E0628</v>
      </c>
      <c r="N632" s="122" t="s">
        <v>72</v>
      </c>
      <c r="O632" s="126" t="n">
        <v>2000000</v>
      </c>
      <c r="P632" s="121" t="s">
        <v>18</v>
      </c>
      <c r="Q632" s="121" t="s">
        <v>124</v>
      </c>
      <c r="R632" s="127"/>
      <c r="T632" s="118"/>
    </row>
    <row r="633" customFormat="false" ht="12.75" hidden="false" customHeight="true" outlineLevel="0" collapsed="false">
      <c r="B633" s="119" t="n">
        <f aca="false">ROW()-4</f>
        <v>629</v>
      </c>
      <c r="C633" s="120" t="n">
        <f aca="false">COUNTIFS($D$5:D633,D633)</f>
        <v>74</v>
      </c>
      <c r="D633" s="121" t="s">
        <v>1209</v>
      </c>
      <c r="E633" s="122" t="s">
        <v>1354</v>
      </c>
      <c r="F633" s="123" t="n">
        <v>44385</v>
      </c>
      <c r="G633" s="121" t="s">
        <v>28</v>
      </c>
      <c r="H63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A0629</v>
      </c>
      <c r="I63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B0629</v>
      </c>
      <c r="J633" s="122" t="s">
        <v>1355</v>
      </c>
      <c r="K63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C0629</v>
      </c>
      <c r="L63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D0629</v>
      </c>
      <c r="M63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E0629</v>
      </c>
      <c r="N633" s="122" t="s">
        <v>72</v>
      </c>
      <c r="O633" s="126" t="n">
        <v>2000000</v>
      </c>
      <c r="P633" s="121" t="s">
        <v>18</v>
      </c>
      <c r="Q633" s="121" t="s">
        <v>124</v>
      </c>
      <c r="R633" s="127"/>
      <c r="T633" s="118"/>
    </row>
    <row r="634" customFormat="false" ht="12.75" hidden="false" customHeight="true" outlineLevel="0" collapsed="false">
      <c r="B634" s="119" t="n">
        <f aca="false">ROW()-4</f>
        <v>630</v>
      </c>
      <c r="C634" s="120" t="n">
        <f aca="false">COUNTIFS($D$5:D634,D634)</f>
        <v>75</v>
      </c>
      <c r="D634" s="121" t="s">
        <v>1209</v>
      </c>
      <c r="E634" s="122" t="s">
        <v>1356</v>
      </c>
      <c r="F634" s="123" t="n">
        <v>44386</v>
      </c>
      <c r="G634" s="121" t="s">
        <v>28</v>
      </c>
      <c r="H63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A0630</v>
      </c>
      <c r="I63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B0630</v>
      </c>
      <c r="J634" s="122" t="s">
        <v>1357</v>
      </c>
      <c r="K63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C0630</v>
      </c>
      <c r="L63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D0630</v>
      </c>
      <c r="M63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E0630</v>
      </c>
      <c r="N634" s="122" t="s">
        <v>72</v>
      </c>
      <c r="O634" s="126" t="n">
        <v>2000000</v>
      </c>
      <c r="P634" s="121" t="s">
        <v>18</v>
      </c>
      <c r="Q634" s="121" t="s">
        <v>124</v>
      </c>
      <c r="R634" s="127"/>
      <c r="T634" s="118"/>
    </row>
    <row r="635" customFormat="false" ht="12.75" hidden="false" customHeight="true" outlineLevel="0" collapsed="false">
      <c r="B635" s="119" t="n">
        <f aca="false">ROW()-4</f>
        <v>631</v>
      </c>
      <c r="C635" s="120" t="n">
        <f aca="false">COUNTIFS($D$5:D635,D635)</f>
        <v>76</v>
      </c>
      <c r="D635" s="121" t="s">
        <v>1209</v>
      </c>
      <c r="E635" s="122" t="s">
        <v>1358</v>
      </c>
      <c r="F635" s="123" t="n">
        <v>44393</v>
      </c>
      <c r="G635" s="121" t="s">
        <v>22</v>
      </c>
      <c r="H63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A0631</v>
      </c>
      <c r="I63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B0631</v>
      </c>
      <c r="J635" s="122" t="s">
        <v>1359</v>
      </c>
      <c r="K63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C0631</v>
      </c>
      <c r="L63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D0631</v>
      </c>
      <c r="M63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E0631</v>
      </c>
      <c r="N635" s="122" t="s">
        <v>72</v>
      </c>
      <c r="O635" s="126" t="n">
        <v>2000000</v>
      </c>
      <c r="P635" s="121" t="s">
        <v>18</v>
      </c>
      <c r="Q635" s="121" t="s">
        <v>124</v>
      </c>
      <c r="R635" s="127"/>
      <c r="T635" s="118"/>
    </row>
    <row r="636" customFormat="false" ht="12.75" hidden="false" customHeight="true" outlineLevel="0" collapsed="false">
      <c r="B636" s="119" t="n">
        <f aca="false">ROW()-4</f>
        <v>632</v>
      </c>
      <c r="C636" s="120" t="n">
        <f aca="false">COUNTIFS($D$5:D636,D636)</f>
        <v>77</v>
      </c>
      <c r="D636" s="121" t="s">
        <v>1209</v>
      </c>
      <c r="E636" s="122" t="s">
        <v>1360</v>
      </c>
      <c r="F636" s="123" t="n">
        <v>44407</v>
      </c>
      <c r="G636" s="121" t="s">
        <v>22</v>
      </c>
      <c r="H63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A0632</v>
      </c>
      <c r="I63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B0632</v>
      </c>
      <c r="J636" s="122" t="s">
        <v>1361</v>
      </c>
      <c r="K63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C0632</v>
      </c>
      <c r="L63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D0632</v>
      </c>
      <c r="M63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E0632</v>
      </c>
      <c r="N636" s="122" t="s">
        <v>72</v>
      </c>
      <c r="O636" s="126" t="n">
        <v>2000000</v>
      </c>
      <c r="P636" s="121" t="s">
        <v>18</v>
      </c>
      <c r="Q636" s="121" t="s">
        <v>124</v>
      </c>
      <c r="R636" s="127"/>
      <c r="T636" s="118"/>
    </row>
    <row r="637" customFormat="false" ht="12.75" hidden="false" customHeight="true" outlineLevel="0" collapsed="false">
      <c r="B637" s="119" t="n">
        <f aca="false">ROW()-4</f>
        <v>633</v>
      </c>
      <c r="C637" s="120" t="n">
        <f aca="false">COUNTIFS($D$5:D637,D637)</f>
        <v>78</v>
      </c>
      <c r="D637" s="121" t="s">
        <v>1209</v>
      </c>
      <c r="E637" s="122" t="s">
        <v>1362</v>
      </c>
      <c r="F637" s="123" t="n">
        <v>43424</v>
      </c>
      <c r="G637" s="121" t="s">
        <v>22</v>
      </c>
      <c r="H63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A0633</v>
      </c>
      <c r="I63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B0633</v>
      </c>
      <c r="J637" s="122" t="s">
        <v>1363</v>
      </c>
      <c r="K63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C0633</v>
      </c>
      <c r="L63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D0633</v>
      </c>
      <c r="M63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E0633</v>
      </c>
      <c r="N637" s="122" t="s">
        <v>72</v>
      </c>
      <c r="O637" s="126" t="n">
        <v>2000000</v>
      </c>
      <c r="P637" s="121" t="s">
        <v>18</v>
      </c>
      <c r="Q637" s="121" t="s">
        <v>124</v>
      </c>
      <c r="R637" s="127"/>
      <c r="T637" s="118"/>
    </row>
    <row r="638" customFormat="false" ht="12.75" hidden="false" customHeight="true" outlineLevel="0" collapsed="false">
      <c r="B638" s="119" t="n">
        <f aca="false">ROW()-4</f>
        <v>634</v>
      </c>
      <c r="C638" s="120" t="n">
        <f aca="false">COUNTIFS($D$5:D638,D638)</f>
        <v>79</v>
      </c>
      <c r="D638" s="121" t="s">
        <v>1209</v>
      </c>
      <c r="E638" s="122" t="s">
        <v>1364</v>
      </c>
      <c r="F638" s="123" t="n">
        <v>44426</v>
      </c>
      <c r="G638" s="121" t="s">
        <v>28</v>
      </c>
      <c r="H63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A0634</v>
      </c>
      <c r="I63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B0634</v>
      </c>
      <c r="J638" s="122" t="s">
        <v>1365</v>
      </c>
      <c r="K63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C0634</v>
      </c>
      <c r="L63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D0634</v>
      </c>
      <c r="M63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E0634</v>
      </c>
      <c r="N638" s="122" t="s">
        <v>72</v>
      </c>
      <c r="O638" s="126" t="n">
        <v>2000000</v>
      </c>
      <c r="P638" s="121" t="s">
        <v>18</v>
      </c>
      <c r="Q638" s="121" t="s">
        <v>124</v>
      </c>
      <c r="R638" s="127"/>
      <c r="T638" s="118"/>
    </row>
    <row r="639" customFormat="false" ht="12.75" hidden="false" customHeight="true" outlineLevel="0" collapsed="false">
      <c r="B639" s="119" t="n">
        <f aca="false">ROW()-4</f>
        <v>635</v>
      </c>
      <c r="C639" s="120" t="n">
        <f aca="false">COUNTIFS($D$5:D639,D639)</f>
        <v>80</v>
      </c>
      <c r="D639" s="121" t="s">
        <v>1209</v>
      </c>
      <c r="E639" s="122" t="s">
        <v>1366</v>
      </c>
      <c r="F639" s="123" t="n">
        <v>44790</v>
      </c>
      <c r="G639" s="121" t="s">
        <v>28</v>
      </c>
      <c r="H63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A0635</v>
      </c>
      <c r="I63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B0635</v>
      </c>
      <c r="J639" s="122" t="s">
        <v>1367</v>
      </c>
      <c r="K63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C0635</v>
      </c>
      <c r="L63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D0635</v>
      </c>
      <c r="M63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E0635</v>
      </c>
      <c r="N639" s="122" t="s">
        <v>72</v>
      </c>
      <c r="O639" s="126" t="n">
        <v>2000000</v>
      </c>
      <c r="P639" s="121" t="s">
        <v>18</v>
      </c>
      <c r="Q639" s="121" t="s">
        <v>124</v>
      </c>
      <c r="R639" s="127"/>
      <c r="T639" s="118"/>
    </row>
    <row r="640" customFormat="false" ht="12.75" hidden="false" customHeight="true" outlineLevel="0" collapsed="false">
      <c r="B640" s="119" t="n">
        <f aca="false">ROW()-4</f>
        <v>636</v>
      </c>
      <c r="C640" s="120" t="n">
        <f aca="false">COUNTIFS($D$5:D640,D640)</f>
        <v>81</v>
      </c>
      <c r="D640" s="121" t="s">
        <v>1209</v>
      </c>
      <c r="E640" s="122" t="s">
        <v>1368</v>
      </c>
      <c r="F640" s="123" t="n">
        <v>44446</v>
      </c>
      <c r="G640" s="121" t="s">
        <v>26</v>
      </c>
      <c r="H64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A0636</v>
      </c>
      <c r="I64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B0636</v>
      </c>
      <c r="J640" s="122" t="s">
        <v>1369</v>
      </c>
      <c r="K64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C0636</v>
      </c>
      <c r="L64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D0636</v>
      </c>
      <c r="M64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E0636</v>
      </c>
      <c r="N640" s="122" t="s">
        <v>72</v>
      </c>
      <c r="O640" s="126" t="n">
        <v>2000000</v>
      </c>
      <c r="P640" s="121" t="s">
        <v>18</v>
      </c>
      <c r="Q640" s="121" t="s">
        <v>124</v>
      </c>
      <c r="R640" s="127"/>
      <c r="T640" s="118"/>
    </row>
    <row r="641" customFormat="false" ht="12.75" hidden="false" customHeight="true" outlineLevel="0" collapsed="false">
      <c r="B641" s="119" t="n">
        <f aca="false">ROW()-4</f>
        <v>637</v>
      </c>
      <c r="C641" s="120" t="n">
        <f aca="false">COUNTIFS($D$5:D641,D641)</f>
        <v>82</v>
      </c>
      <c r="D641" s="121" t="s">
        <v>1209</v>
      </c>
      <c r="E641" s="122" t="s">
        <v>1370</v>
      </c>
      <c r="F641" s="123"/>
      <c r="G641" s="121" t="s">
        <v>24</v>
      </c>
      <c r="H641" s="122"/>
      <c r="I641" s="122"/>
      <c r="J641" s="122"/>
      <c r="K641" s="122"/>
      <c r="L641" s="125"/>
      <c r="M64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E0637</v>
      </c>
      <c r="N641" s="122" t="s">
        <v>72</v>
      </c>
      <c r="O641" s="126" t="n">
        <v>2000000</v>
      </c>
      <c r="P641" s="121" t="s">
        <v>19</v>
      </c>
      <c r="Q641" s="122"/>
      <c r="R641" s="128" t="s">
        <v>61</v>
      </c>
      <c r="T641" s="118"/>
    </row>
    <row r="642" customFormat="false" ht="12.75" hidden="false" customHeight="true" outlineLevel="0" collapsed="false">
      <c r="B642" s="119" t="n">
        <f aca="false">ROW()-4</f>
        <v>638</v>
      </c>
      <c r="C642" s="120" t="n">
        <f aca="false">COUNTIFS($D$5:D642,D642)</f>
        <v>83</v>
      </c>
      <c r="D642" s="121" t="s">
        <v>1209</v>
      </c>
      <c r="E642" s="122" t="s">
        <v>1371</v>
      </c>
      <c r="F642" s="123" t="n">
        <v>44008</v>
      </c>
      <c r="G642" s="121" t="s">
        <v>24</v>
      </c>
      <c r="H64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A0638</v>
      </c>
      <c r="I64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B0638</v>
      </c>
      <c r="J642" s="122" t="s">
        <v>1372</v>
      </c>
      <c r="K64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C0638</v>
      </c>
      <c r="L64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D0638</v>
      </c>
      <c r="M64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E0638</v>
      </c>
      <c r="N642" s="122" t="s">
        <v>72</v>
      </c>
      <c r="O642" s="126" t="n">
        <v>2000000</v>
      </c>
      <c r="P642" s="121" t="s">
        <v>18</v>
      </c>
      <c r="Q642" s="121" t="s">
        <v>124</v>
      </c>
      <c r="R642" s="127"/>
      <c r="T642" s="118"/>
    </row>
    <row r="643" customFormat="false" ht="12.75" hidden="false" customHeight="true" outlineLevel="0" collapsed="false">
      <c r="B643" s="119" t="n">
        <f aca="false">ROW()-4</f>
        <v>639</v>
      </c>
      <c r="C643" s="120" t="n">
        <f aca="false">COUNTIFS($D$5:D643,D643)</f>
        <v>84</v>
      </c>
      <c r="D643" s="121" t="s">
        <v>1209</v>
      </c>
      <c r="E643" s="122" t="s">
        <v>1373</v>
      </c>
      <c r="F643" s="123" t="n">
        <v>45056</v>
      </c>
      <c r="G643" s="121" t="s">
        <v>26</v>
      </c>
      <c r="H64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A0639</v>
      </c>
      <c r="I64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B0639</v>
      </c>
      <c r="J643" s="122" t="s">
        <v>1374</v>
      </c>
      <c r="K64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C0639</v>
      </c>
      <c r="L64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D0639</v>
      </c>
      <c r="M64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E0639</v>
      </c>
      <c r="N643" s="122" t="s">
        <v>72</v>
      </c>
      <c r="O643" s="126" t="n">
        <v>2000000</v>
      </c>
      <c r="P643" s="121" t="s">
        <v>18</v>
      </c>
      <c r="Q643" s="121" t="s">
        <v>124</v>
      </c>
      <c r="R643" s="127"/>
      <c r="T643" s="118"/>
    </row>
    <row r="644" customFormat="false" ht="12.75" hidden="false" customHeight="true" outlineLevel="0" collapsed="false">
      <c r="B644" s="119" t="n">
        <f aca="false">ROW()-4</f>
        <v>640</v>
      </c>
      <c r="C644" s="120" t="n">
        <f aca="false">COUNTIFS($D$5:D644,D644)</f>
        <v>85</v>
      </c>
      <c r="D644" s="121" t="s">
        <v>1209</v>
      </c>
      <c r="E644" s="122" t="s">
        <v>1375</v>
      </c>
      <c r="F644" s="123" t="n">
        <v>45238</v>
      </c>
      <c r="G644" s="121" t="s">
        <v>26</v>
      </c>
      <c r="H64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A0640</v>
      </c>
      <c r="I64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B0640</v>
      </c>
      <c r="J644" s="122" t="s">
        <v>1376</v>
      </c>
      <c r="K64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C0640</v>
      </c>
      <c r="L64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D0640</v>
      </c>
      <c r="M64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E0640</v>
      </c>
      <c r="N644" s="122" t="s">
        <v>72</v>
      </c>
      <c r="O644" s="126" t="n">
        <v>2000000</v>
      </c>
      <c r="P644" s="121" t="s">
        <v>18</v>
      </c>
      <c r="Q644" s="121" t="s">
        <v>124</v>
      </c>
      <c r="R644" s="127"/>
      <c r="T644" s="118"/>
    </row>
    <row r="645" customFormat="false" ht="12.75" hidden="false" customHeight="true" outlineLevel="0" collapsed="false">
      <c r="B645" s="119" t="n">
        <f aca="false">ROW()-4</f>
        <v>641</v>
      </c>
      <c r="C645" s="120" t="n">
        <f aca="false">COUNTIFS($D$5:D645,D645)</f>
        <v>86</v>
      </c>
      <c r="D645" s="121" t="s">
        <v>1209</v>
      </c>
      <c r="E645" s="122" t="s">
        <v>1377</v>
      </c>
      <c r="F645" s="123" t="n">
        <v>44560</v>
      </c>
      <c r="G645" s="121" t="s">
        <v>22</v>
      </c>
      <c r="H64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A0641</v>
      </c>
      <c r="I64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B0641</v>
      </c>
      <c r="J645" s="122" t="s">
        <v>1378</v>
      </c>
      <c r="K64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C0641</v>
      </c>
      <c r="L64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D0641</v>
      </c>
      <c r="M64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E0641</v>
      </c>
      <c r="N645" s="122" t="s">
        <v>72</v>
      </c>
      <c r="O645" s="126" t="n">
        <v>2000000</v>
      </c>
      <c r="P645" s="121" t="s">
        <v>18</v>
      </c>
      <c r="Q645" s="121" t="s">
        <v>124</v>
      </c>
      <c r="R645" s="127"/>
      <c r="T645" s="118"/>
    </row>
    <row r="646" customFormat="false" ht="12.75" hidden="false" customHeight="true" outlineLevel="0" collapsed="false">
      <c r="B646" s="119" t="n">
        <f aca="false">ROW()-4</f>
        <v>642</v>
      </c>
      <c r="C646" s="120" t="n">
        <f aca="false">COUNTIFS($D$5:D646,D646)</f>
        <v>87</v>
      </c>
      <c r="D646" s="121" t="s">
        <v>1209</v>
      </c>
      <c r="E646" s="122" t="s">
        <v>1379</v>
      </c>
      <c r="F646" s="123"/>
      <c r="G646" s="121" t="s">
        <v>28</v>
      </c>
      <c r="H646" s="122"/>
      <c r="I646" s="122"/>
      <c r="J646" s="122"/>
      <c r="K646" s="122"/>
      <c r="L646" s="125"/>
      <c r="M64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E0642</v>
      </c>
      <c r="N646" s="122" t="s">
        <v>72</v>
      </c>
      <c r="O646" s="126" t="n">
        <v>2000000</v>
      </c>
      <c r="P646" s="121" t="s">
        <v>19</v>
      </c>
      <c r="Q646" s="122"/>
      <c r="R646" s="128" t="s">
        <v>61</v>
      </c>
      <c r="T646" s="118"/>
    </row>
    <row r="647" customFormat="false" ht="12.75" hidden="false" customHeight="true" outlineLevel="0" collapsed="false">
      <c r="B647" s="119" t="n">
        <f aca="false">ROW()-4</f>
        <v>643</v>
      </c>
      <c r="C647" s="120" t="n">
        <f aca="false">COUNTIFS($D$5:D647,D647)</f>
        <v>88</v>
      </c>
      <c r="D647" s="121" t="s">
        <v>1209</v>
      </c>
      <c r="E647" s="122" t="s">
        <v>1380</v>
      </c>
      <c r="F647" s="123" t="n">
        <v>44020</v>
      </c>
      <c r="G647" s="121" t="s">
        <v>22</v>
      </c>
      <c r="H64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A0643</v>
      </c>
      <c r="I64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B0643</v>
      </c>
      <c r="J647" s="122" t="s">
        <v>1381</v>
      </c>
      <c r="K64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C0643</v>
      </c>
      <c r="L64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D0643</v>
      </c>
      <c r="M64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E0643</v>
      </c>
      <c r="N647" s="122" t="s">
        <v>72</v>
      </c>
      <c r="O647" s="126" t="n">
        <v>2000000</v>
      </c>
      <c r="P647" s="121" t="s">
        <v>18</v>
      </c>
      <c r="Q647" s="121" t="s">
        <v>124</v>
      </c>
      <c r="R647" s="127"/>
      <c r="T647" s="118"/>
    </row>
    <row r="648" customFormat="false" ht="12.75" hidden="false" customHeight="true" outlineLevel="0" collapsed="false">
      <c r="B648" s="119" t="n">
        <f aca="false">ROW()-4</f>
        <v>644</v>
      </c>
      <c r="C648" s="120" t="n">
        <f aca="false">COUNTIFS($D$5:D648,D648)</f>
        <v>89</v>
      </c>
      <c r="D648" s="121" t="s">
        <v>1209</v>
      </c>
      <c r="E648" s="122" t="s">
        <v>1382</v>
      </c>
      <c r="F648" s="123" t="n">
        <v>44062</v>
      </c>
      <c r="G648" s="121" t="s">
        <v>22</v>
      </c>
      <c r="H64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A0644</v>
      </c>
      <c r="I64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B0644</v>
      </c>
      <c r="J648" s="122" t="s">
        <v>1383</v>
      </c>
      <c r="K64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C0644</v>
      </c>
      <c r="L64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D0644</v>
      </c>
      <c r="M64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E0644</v>
      </c>
      <c r="N648" s="122" t="s">
        <v>72</v>
      </c>
      <c r="O648" s="126" t="n">
        <v>2000000</v>
      </c>
      <c r="P648" s="121" t="s">
        <v>18</v>
      </c>
      <c r="Q648" s="121" t="s">
        <v>124</v>
      </c>
      <c r="R648" s="127"/>
      <c r="T648" s="118"/>
    </row>
    <row r="649" customFormat="false" ht="12.75" hidden="false" customHeight="true" outlineLevel="0" collapsed="false">
      <c r="B649" s="119" t="n">
        <f aca="false">ROW()-4</f>
        <v>645</v>
      </c>
      <c r="C649" s="120" t="n">
        <f aca="false">COUNTIFS($D$5:D649,D649)</f>
        <v>90</v>
      </c>
      <c r="D649" s="121" t="s">
        <v>1209</v>
      </c>
      <c r="E649" s="122" t="s">
        <v>1384</v>
      </c>
      <c r="F649" s="123" t="n">
        <v>45323</v>
      </c>
      <c r="G649" s="121" t="s">
        <v>28</v>
      </c>
      <c r="H64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A0645</v>
      </c>
      <c r="I64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B0645</v>
      </c>
      <c r="J649" s="122" t="s">
        <v>1385</v>
      </c>
      <c r="K64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C0645</v>
      </c>
      <c r="L64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D0645</v>
      </c>
      <c r="M64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E0645</v>
      </c>
      <c r="N649" s="122" t="s">
        <v>72</v>
      </c>
      <c r="O649" s="126" t="n">
        <v>2000000</v>
      </c>
      <c r="P649" s="121" t="s">
        <v>18</v>
      </c>
      <c r="Q649" s="121" t="s">
        <v>124</v>
      </c>
      <c r="R649" s="127"/>
      <c r="T649" s="118"/>
    </row>
    <row r="650" customFormat="false" ht="12.75" hidden="false" customHeight="true" outlineLevel="0" collapsed="false">
      <c r="B650" s="119" t="n">
        <f aca="false">ROW()-4</f>
        <v>646</v>
      </c>
      <c r="C650" s="120" t="n">
        <f aca="false">COUNTIFS($D$5:D650,D650)</f>
        <v>91</v>
      </c>
      <c r="D650" s="121" t="s">
        <v>1209</v>
      </c>
      <c r="E650" s="122" t="s">
        <v>1386</v>
      </c>
      <c r="F650" s="123" t="n">
        <v>44271</v>
      </c>
      <c r="G650" s="121" t="s">
        <v>22</v>
      </c>
      <c r="H65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A0646</v>
      </c>
      <c r="I65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B0646</v>
      </c>
      <c r="J650" s="122" t="s">
        <v>1387</v>
      </c>
      <c r="K65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C0646</v>
      </c>
      <c r="L65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D0646</v>
      </c>
      <c r="M65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E0646</v>
      </c>
      <c r="N650" s="122" t="s">
        <v>72</v>
      </c>
      <c r="O650" s="126" t="n">
        <v>2000000</v>
      </c>
      <c r="P650" s="121" t="s">
        <v>18</v>
      </c>
      <c r="Q650" s="121" t="s">
        <v>124</v>
      </c>
      <c r="R650" s="127"/>
      <c r="T650" s="118"/>
    </row>
    <row r="651" customFormat="false" ht="12.75" hidden="false" customHeight="true" outlineLevel="0" collapsed="false">
      <c r="B651" s="119" t="n">
        <f aca="false">ROW()-4</f>
        <v>647</v>
      </c>
      <c r="C651" s="120" t="n">
        <f aca="false">COUNTIFS($D$5:D651,D651)</f>
        <v>92</v>
      </c>
      <c r="D651" s="121" t="s">
        <v>1209</v>
      </c>
      <c r="E651" s="122" t="s">
        <v>1388</v>
      </c>
      <c r="F651" s="123"/>
      <c r="G651" s="121" t="s">
        <v>210</v>
      </c>
      <c r="H651" s="122"/>
      <c r="I651" s="122"/>
      <c r="J651" s="122"/>
      <c r="K651" s="122"/>
      <c r="L651" s="125"/>
      <c r="M65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E0647</v>
      </c>
      <c r="N651" s="122" t="s">
        <v>72</v>
      </c>
      <c r="O651" s="126" t="n">
        <v>2000000</v>
      </c>
      <c r="P651" s="121" t="s">
        <v>19</v>
      </c>
      <c r="Q651" s="122"/>
      <c r="R651" s="128" t="s">
        <v>59</v>
      </c>
      <c r="T651" s="118"/>
    </row>
    <row r="652" customFormat="false" ht="12.75" hidden="false" customHeight="true" outlineLevel="0" collapsed="false">
      <c r="B652" s="119" t="n">
        <f aca="false">ROW()-4</f>
        <v>648</v>
      </c>
      <c r="C652" s="120" t="n">
        <f aca="false">COUNTIFS($D$5:D652,D652)</f>
        <v>93</v>
      </c>
      <c r="D652" s="121" t="s">
        <v>1209</v>
      </c>
      <c r="E652" s="122" t="s">
        <v>1389</v>
      </c>
      <c r="F652" s="123"/>
      <c r="G652" s="121" t="s">
        <v>210</v>
      </c>
      <c r="H652" s="122"/>
      <c r="I652" s="122"/>
      <c r="J652" s="122"/>
      <c r="K652" s="122"/>
      <c r="L652" s="125"/>
      <c r="M65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E0648</v>
      </c>
      <c r="N652" s="122" t="s">
        <v>72</v>
      </c>
      <c r="O652" s="126" t="n">
        <v>2000000</v>
      </c>
      <c r="P652" s="121" t="s">
        <v>19</v>
      </c>
      <c r="Q652" s="122"/>
      <c r="R652" s="128" t="s">
        <v>59</v>
      </c>
      <c r="T652" s="118"/>
    </row>
    <row r="653" customFormat="false" ht="12.75" hidden="false" customHeight="true" outlineLevel="0" collapsed="false">
      <c r="B653" s="110" t="n">
        <f aca="false">ROW()-4</f>
        <v>649</v>
      </c>
      <c r="C653" s="111" t="n">
        <f aca="false">COUNTIFS($D$5:D653,D653)</f>
        <v>1</v>
      </c>
      <c r="D653" s="112" t="s">
        <v>1390</v>
      </c>
      <c r="E653" s="113" t="s">
        <v>1391</v>
      </c>
      <c r="F653" s="114" t="n">
        <v>45359</v>
      </c>
      <c r="G653" s="112" t="s">
        <v>24</v>
      </c>
      <c r="H653" s="11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A0649</v>
      </c>
      <c r="I653" s="11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B0649</v>
      </c>
      <c r="J653" s="113" t="s">
        <v>1392</v>
      </c>
      <c r="K653" s="11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C0649</v>
      </c>
      <c r="L653" s="11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D0649</v>
      </c>
      <c r="M653" s="11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E0649</v>
      </c>
      <c r="N653" s="113" t="s">
        <v>72</v>
      </c>
      <c r="O653" s="116" t="n">
        <v>2000000</v>
      </c>
      <c r="P653" s="112" t="s">
        <v>18</v>
      </c>
      <c r="Q653" s="112" t="s">
        <v>124</v>
      </c>
      <c r="R653" s="117"/>
      <c r="T653" s="118"/>
    </row>
    <row r="654" customFormat="false" ht="12.75" hidden="false" customHeight="true" outlineLevel="0" collapsed="false">
      <c r="B654" s="119" t="n">
        <f aca="false">ROW()-4</f>
        <v>650</v>
      </c>
      <c r="C654" s="120" t="n">
        <f aca="false">COUNTIFS($D$5:D654,D654)</f>
        <v>2</v>
      </c>
      <c r="D654" s="121" t="s">
        <v>1390</v>
      </c>
      <c r="E654" s="122" t="s">
        <v>1393</v>
      </c>
      <c r="F654" s="123" t="n">
        <v>44235</v>
      </c>
      <c r="G654" s="121" t="s">
        <v>28</v>
      </c>
      <c r="H65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A0650</v>
      </c>
      <c r="I65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B0650</v>
      </c>
      <c r="J654" s="122" t="s">
        <v>1394</v>
      </c>
      <c r="K65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C0650</v>
      </c>
      <c r="L65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D0650</v>
      </c>
      <c r="M65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E0650</v>
      </c>
      <c r="N654" s="122" t="s">
        <v>72</v>
      </c>
      <c r="O654" s="126" t="n">
        <v>2000000</v>
      </c>
      <c r="P654" s="121" t="s">
        <v>18</v>
      </c>
      <c r="Q654" s="121" t="s">
        <v>124</v>
      </c>
      <c r="R654" s="127"/>
      <c r="T654" s="118"/>
    </row>
    <row r="655" customFormat="false" ht="12.75" hidden="false" customHeight="true" outlineLevel="0" collapsed="false">
      <c r="B655" s="119" t="n">
        <f aca="false">ROW()-4</f>
        <v>651</v>
      </c>
      <c r="C655" s="120" t="n">
        <f aca="false">COUNTIFS($D$5:D655,D655)</f>
        <v>3</v>
      </c>
      <c r="D655" s="121" t="s">
        <v>1390</v>
      </c>
      <c r="E655" s="122" t="s">
        <v>1395</v>
      </c>
      <c r="F655" s="123" t="n">
        <v>43909</v>
      </c>
      <c r="G655" s="121" t="s">
        <v>22</v>
      </c>
      <c r="H65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A0651</v>
      </c>
      <c r="I65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B0651</v>
      </c>
      <c r="J655" s="122" t="s">
        <v>1396</v>
      </c>
      <c r="K65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C0651</v>
      </c>
      <c r="L65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D0651</v>
      </c>
      <c r="M65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E0651</v>
      </c>
      <c r="N655" s="122" t="s">
        <v>72</v>
      </c>
      <c r="O655" s="126" t="n">
        <v>2000000</v>
      </c>
      <c r="P655" s="121" t="s">
        <v>18</v>
      </c>
      <c r="Q655" s="121" t="s">
        <v>124</v>
      </c>
      <c r="R655" s="127"/>
      <c r="T655" s="118"/>
    </row>
    <row r="656" customFormat="false" ht="12.75" hidden="false" customHeight="true" outlineLevel="0" collapsed="false">
      <c r="B656" s="119" t="n">
        <f aca="false">ROW()-4</f>
        <v>652</v>
      </c>
      <c r="C656" s="120" t="n">
        <f aca="false">COUNTIFS($D$5:D656,D656)</f>
        <v>4</v>
      </c>
      <c r="D656" s="121" t="s">
        <v>1390</v>
      </c>
      <c r="E656" s="122" t="s">
        <v>1397</v>
      </c>
      <c r="F656" s="123" t="n">
        <v>45827</v>
      </c>
      <c r="G656" s="121" t="s">
        <v>28</v>
      </c>
      <c r="H65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A0652</v>
      </c>
      <c r="I65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B0652</v>
      </c>
      <c r="J656" s="122" t="s">
        <v>1398</v>
      </c>
      <c r="K65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C0652</v>
      </c>
      <c r="L65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D0652</v>
      </c>
      <c r="M65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E0652</v>
      </c>
      <c r="N656" s="122" t="s">
        <v>72</v>
      </c>
      <c r="O656" s="126" t="n">
        <v>2000000</v>
      </c>
      <c r="P656" s="121" t="s">
        <v>18</v>
      </c>
      <c r="Q656" s="121" t="s">
        <v>124</v>
      </c>
      <c r="R656" s="127"/>
      <c r="T656" s="118"/>
    </row>
    <row r="657" customFormat="false" ht="12.75" hidden="false" customHeight="true" outlineLevel="0" collapsed="false">
      <c r="B657" s="119" t="n">
        <f aca="false">ROW()-4</f>
        <v>653</v>
      </c>
      <c r="C657" s="120" t="n">
        <f aca="false">COUNTIFS($D$5:D657,D657)</f>
        <v>5</v>
      </c>
      <c r="D657" s="121" t="s">
        <v>1390</v>
      </c>
      <c r="E657" s="122" t="s">
        <v>1399</v>
      </c>
      <c r="F657" s="123" t="n">
        <v>44655</v>
      </c>
      <c r="G657" s="121" t="s">
        <v>26</v>
      </c>
      <c r="H65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A0653</v>
      </c>
      <c r="I65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B0653</v>
      </c>
      <c r="J657" s="122" t="s">
        <v>1400</v>
      </c>
      <c r="K65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C0653</v>
      </c>
      <c r="L65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D0653</v>
      </c>
      <c r="M65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E0653</v>
      </c>
      <c r="N657" s="122" t="s">
        <v>72</v>
      </c>
      <c r="O657" s="126" t="n">
        <v>2000000</v>
      </c>
      <c r="P657" s="121" t="s">
        <v>18</v>
      </c>
      <c r="Q657" s="121" t="s">
        <v>124</v>
      </c>
      <c r="R657" s="127"/>
      <c r="T657" s="118"/>
    </row>
    <row r="658" customFormat="false" ht="12.75" hidden="false" customHeight="true" outlineLevel="0" collapsed="false">
      <c r="B658" s="119" t="n">
        <f aca="false">ROW()-4</f>
        <v>654</v>
      </c>
      <c r="C658" s="120" t="n">
        <f aca="false">COUNTIFS($D$5:D658,D658)</f>
        <v>6</v>
      </c>
      <c r="D658" s="121" t="s">
        <v>1390</v>
      </c>
      <c r="E658" s="122" t="s">
        <v>1401</v>
      </c>
      <c r="F658" s="123" t="n">
        <v>45538</v>
      </c>
      <c r="G658" s="121" t="s">
        <v>30</v>
      </c>
      <c r="H65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A0654</v>
      </c>
      <c r="I65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B0654</v>
      </c>
      <c r="J658" s="122" t="s">
        <v>1402</v>
      </c>
      <c r="K65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C0654</v>
      </c>
      <c r="L65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D0654</v>
      </c>
      <c r="M65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E0654</v>
      </c>
      <c r="N658" s="122" t="s">
        <v>72</v>
      </c>
      <c r="O658" s="126" t="n">
        <v>2000000</v>
      </c>
      <c r="P658" s="121" t="s">
        <v>18</v>
      </c>
      <c r="Q658" s="121" t="s">
        <v>124</v>
      </c>
      <c r="R658" s="127"/>
      <c r="T658" s="118"/>
    </row>
    <row r="659" customFormat="false" ht="12.75" hidden="false" customHeight="true" outlineLevel="0" collapsed="false">
      <c r="B659" s="119" t="n">
        <f aca="false">ROW()-4</f>
        <v>655</v>
      </c>
      <c r="C659" s="120" t="n">
        <f aca="false">COUNTIFS($D$5:D659,D659)</f>
        <v>7</v>
      </c>
      <c r="D659" s="121" t="s">
        <v>1390</v>
      </c>
      <c r="E659" s="122" t="s">
        <v>1403</v>
      </c>
      <c r="F659" s="123" t="n">
        <v>44664</v>
      </c>
      <c r="G659" s="121" t="s">
        <v>22</v>
      </c>
      <c r="H65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A0655</v>
      </c>
      <c r="I65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B0655</v>
      </c>
      <c r="J659" s="122" t="s">
        <v>1404</v>
      </c>
      <c r="K65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C0655</v>
      </c>
      <c r="L65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D0655</v>
      </c>
      <c r="M65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E0655</v>
      </c>
      <c r="N659" s="122" t="s">
        <v>72</v>
      </c>
      <c r="O659" s="126" t="n">
        <v>2000000</v>
      </c>
      <c r="P659" s="121" t="s">
        <v>18</v>
      </c>
      <c r="Q659" s="121" t="s">
        <v>124</v>
      </c>
      <c r="R659" s="127"/>
      <c r="T659" s="118"/>
    </row>
    <row r="660" customFormat="false" ht="12.75" hidden="false" customHeight="true" outlineLevel="0" collapsed="false">
      <c r="B660" s="119" t="n">
        <f aca="false">ROW()-4</f>
        <v>656</v>
      </c>
      <c r="C660" s="120" t="n">
        <f aca="false">COUNTIFS($D$5:D660,D660)</f>
        <v>8</v>
      </c>
      <c r="D660" s="121" t="s">
        <v>1390</v>
      </c>
      <c r="E660" s="122" t="s">
        <v>1405</v>
      </c>
      <c r="F660" s="123" t="n">
        <v>44665</v>
      </c>
      <c r="G660" s="121" t="s">
        <v>26</v>
      </c>
      <c r="H66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A0656</v>
      </c>
      <c r="I66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B0656</v>
      </c>
      <c r="J660" s="122" t="s">
        <v>1406</v>
      </c>
      <c r="K66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C0656</v>
      </c>
      <c r="L66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D0656</v>
      </c>
      <c r="M66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E0656</v>
      </c>
      <c r="N660" s="122" t="s">
        <v>72</v>
      </c>
      <c r="O660" s="126" t="n">
        <v>2000000</v>
      </c>
      <c r="P660" s="121" t="s">
        <v>18</v>
      </c>
      <c r="Q660" s="121" t="s">
        <v>124</v>
      </c>
      <c r="R660" s="127"/>
      <c r="T660" s="118"/>
    </row>
    <row r="661" customFormat="false" ht="12.75" hidden="false" customHeight="true" outlineLevel="0" collapsed="false">
      <c r="B661" s="119" t="n">
        <f aca="false">ROW()-4</f>
        <v>657</v>
      </c>
      <c r="C661" s="120" t="n">
        <f aca="false">COUNTIFS($D$5:D661,D661)</f>
        <v>9</v>
      </c>
      <c r="D661" s="121" t="s">
        <v>1390</v>
      </c>
      <c r="E661" s="122" t="s">
        <v>1407</v>
      </c>
      <c r="F661" s="123" t="n">
        <v>45419</v>
      </c>
      <c r="G661" s="121" t="s">
        <v>26</v>
      </c>
      <c r="H66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A0657</v>
      </c>
      <c r="I66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B0657</v>
      </c>
      <c r="J661" s="122" t="s">
        <v>1408</v>
      </c>
      <c r="K66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C0657</v>
      </c>
      <c r="L66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D0657</v>
      </c>
      <c r="M66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E0657</v>
      </c>
      <c r="N661" s="122" t="s">
        <v>72</v>
      </c>
      <c r="O661" s="126" t="n">
        <v>2000000</v>
      </c>
      <c r="P661" s="121" t="s">
        <v>18</v>
      </c>
      <c r="Q661" s="121" t="s">
        <v>124</v>
      </c>
      <c r="R661" s="127"/>
      <c r="T661" s="118"/>
    </row>
    <row r="662" customFormat="false" ht="12.75" hidden="false" customHeight="true" outlineLevel="0" collapsed="false">
      <c r="B662" s="119" t="n">
        <f aca="false">ROW()-4</f>
        <v>658</v>
      </c>
      <c r="C662" s="120" t="n">
        <f aca="false">COUNTIFS($D$5:D662,D662)</f>
        <v>10</v>
      </c>
      <c r="D662" s="121" t="s">
        <v>1390</v>
      </c>
      <c r="E662" s="122" t="s">
        <v>1409</v>
      </c>
      <c r="F662" s="123" t="n">
        <v>43343</v>
      </c>
      <c r="G662" s="121" t="s">
        <v>28</v>
      </c>
      <c r="H66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A0658</v>
      </c>
      <c r="I66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B0658</v>
      </c>
      <c r="J662" s="122" t="s">
        <v>1410</v>
      </c>
      <c r="K66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C0658</v>
      </c>
      <c r="L66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D0658</v>
      </c>
      <c r="M66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E0658</v>
      </c>
      <c r="N662" s="122" t="s">
        <v>72</v>
      </c>
      <c r="O662" s="126" t="n">
        <v>2000000</v>
      </c>
      <c r="P662" s="121" t="s">
        <v>18</v>
      </c>
      <c r="Q662" s="121" t="s">
        <v>124</v>
      </c>
      <c r="R662" s="127"/>
      <c r="T662" s="118"/>
    </row>
    <row r="663" customFormat="false" ht="12.75" hidden="false" customHeight="true" outlineLevel="0" collapsed="false">
      <c r="B663" s="119" t="n">
        <f aca="false">ROW()-4</f>
        <v>659</v>
      </c>
      <c r="C663" s="120" t="n">
        <f aca="false">COUNTIFS($D$5:D663,D663)</f>
        <v>11</v>
      </c>
      <c r="D663" s="121" t="s">
        <v>1390</v>
      </c>
      <c r="E663" s="122" t="s">
        <v>1411</v>
      </c>
      <c r="F663" s="137" t="n">
        <v>45894</v>
      </c>
      <c r="G663" s="121" t="s">
        <v>22</v>
      </c>
      <c r="H663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A0659</v>
      </c>
      <c r="I663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B0659</v>
      </c>
      <c r="J663" s="124" t="s">
        <v>1412</v>
      </c>
      <c r="K663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C0659</v>
      </c>
      <c r="L663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D0659</v>
      </c>
      <c r="M66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E0659</v>
      </c>
      <c r="N663" s="122" t="s">
        <v>72</v>
      </c>
      <c r="O663" s="126" t="n">
        <v>2000000</v>
      </c>
      <c r="P663" s="121" t="s">
        <v>18</v>
      </c>
      <c r="Q663" s="121" t="s">
        <v>124</v>
      </c>
      <c r="R663" s="127"/>
      <c r="T663" s="118"/>
    </row>
    <row r="664" customFormat="false" ht="12.75" hidden="false" customHeight="true" outlineLevel="0" collapsed="false">
      <c r="B664" s="119" t="n">
        <f aca="false">ROW()-4</f>
        <v>660</v>
      </c>
      <c r="C664" s="120" t="n">
        <f aca="false">COUNTIFS($D$5:D664,D664)</f>
        <v>12</v>
      </c>
      <c r="D664" s="121" t="s">
        <v>1390</v>
      </c>
      <c r="E664" s="122" t="s">
        <v>1413</v>
      </c>
      <c r="F664" s="123" t="n">
        <v>45797</v>
      </c>
      <c r="G664" s="121" t="s">
        <v>28</v>
      </c>
      <c r="H66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A0660</v>
      </c>
      <c r="I66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B0660</v>
      </c>
      <c r="J664" s="122" t="s">
        <v>1414</v>
      </c>
      <c r="K66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C0660</v>
      </c>
      <c r="L66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D0660</v>
      </c>
      <c r="M66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E0660</v>
      </c>
      <c r="N664" s="122" t="s">
        <v>72</v>
      </c>
      <c r="O664" s="126" t="n">
        <v>2000000</v>
      </c>
      <c r="P664" s="121" t="s">
        <v>18</v>
      </c>
      <c r="Q664" s="121" t="s">
        <v>124</v>
      </c>
      <c r="R664" s="127"/>
      <c r="T664" s="118"/>
    </row>
    <row r="665" customFormat="false" ht="12.75" hidden="false" customHeight="true" outlineLevel="0" collapsed="false">
      <c r="B665" s="119" t="n">
        <f aca="false">ROW()-4</f>
        <v>661</v>
      </c>
      <c r="C665" s="120" t="n">
        <f aca="false">COUNTIFS($D$5:D665,D665)</f>
        <v>13</v>
      </c>
      <c r="D665" s="121" t="s">
        <v>1390</v>
      </c>
      <c r="E665" s="122" t="s">
        <v>1415</v>
      </c>
      <c r="F665" s="123" t="n">
        <v>44676</v>
      </c>
      <c r="G665" s="121" t="s">
        <v>26</v>
      </c>
      <c r="H66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A0661</v>
      </c>
      <c r="I66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B0661</v>
      </c>
      <c r="J665" s="122" t="s">
        <v>1416</v>
      </c>
      <c r="K66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C0661</v>
      </c>
      <c r="L66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D0661</v>
      </c>
      <c r="M66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E0661</v>
      </c>
      <c r="N665" s="122" t="s">
        <v>72</v>
      </c>
      <c r="O665" s="126" t="n">
        <v>2000000</v>
      </c>
      <c r="P665" s="121" t="s">
        <v>18</v>
      </c>
      <c r="Q665" s="121" t="s">
        <v>124</v>
      </c>
      <c r="R665" s="127"/>
      <c r="T665" s="118"/>
    </row>
    <row r="666" customFormat="false" ht="12.75" hidden="false" customHeight="true" outlineLevel="0" collapsed="false">
      <c r="B666" s="119" t="n">
        <f aca="false">ROW()-4</f>
        <v>662</v>
      </c>
      <c r="C666" s="120" t="n">
        <f aca="false">COUNTIFS($D$5:D666,D666)</f>
        <v>14</v>
      </c>
      <c r="D666" s="121" t="s">
        <v>1390</v>
      </c>
      <c r="E666" s="122" t="s">
        <v>1417</v>
      </c>
      <c r="F666" s="123" t="n">
        <v>45993</v>
      </c>
      <c r="G666" s="121" t="s">
        <v>24</v>
      </c>
      <c r="H66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A0662</v>
      </c>
      <c r="I66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B0662</v>
      </c>
      <c r="J666" s="122" t="s">
        <v>1418</v>
      </c>
      <c r="K66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C0662</v>
      </c>
      <c r="L66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D0662</v>
      </c>
      <c r="M66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E0662</v>
      </c>
      <c r="N666" s="122" t="s">
        <v>72</v>
      </c>
      <c r="O666" s="126" t="n">
        <v>2000000</v>
      </c>
      <c r="P666" s="121" t="s">
        <v>18</v>
      </c>
      <c r="Q666" s="121" t="s">
        <v>124</v>
      </c>
      <c r="R666" s="127"/>
      <c r="T666" s="118"/>
    </row>
    <row r="667" customFormat="false" ht="12.75" hidden="false" customHeight="true" outlineLevel="0" collapsed="false">
      <c r="B667" s="119" t="n">
        <f aca="false">ROW()-4</f>
        <v>663</v>
      </c>
      <c r="C667" s="120" t="n">
        <f aca="false">COUNTIFS($D$5:D667,D667)</f>
        <v>15</v>
      </c>
      <c r="D667" s="121" t="s">
        <v>1390</v>
      </c>
      <c r="E667" s="122" t="s">
        <v>1419</v>
      </c>
      <c r="F667" s="123" t="n">
        <v>44701</v>
      </c>
      <c r="G667" s="121" t="s">
        <v>26</v>
      </c>
      <c r="H66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A0663</v>
      </c>
      <c r="I66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B0663</v>
      </c>
      <c r="J667" s="122" t="s">
        <v>1420</v>
      </c>
      <c r="K66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C0663</v>
      </c>
      <c r="L66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D0663</v>
      </c>
      <c r="M66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E0663</v>
      </c>
      <c r="N667" s="122" t="s">
        <v>72</v>
      </c>
      <c r="O667" s="126" t="n">
        <v>2000000</v>
      </c>
      <c r="P667" s="121" t="s">
        <v>18</v>
      </c>
      <c r="Q667" s="121" t="s">
        <v>124</v>
      </c>
      <c r="R667" s="127"/>
      <c r="T667" s="118"/>
    </row>
    <row r="668" customFormat="false" ht="12.75" hidden="false" customHeight="true" outlineLevel="0" collapsed="false">
      <c r="B668" s="119" t="n">
        <f aca="false">ROW()-4</f>
        <v>664</v>
      </c>
      <c r="C668" s="120" t="n">
        <f aca="false">COUNTIFS($D$5:D668,D668)</f>
        <v>16</v>
      </c>
      <c r="D668" s="121" t="s">
        <v>1390</v>
      </c>
      <c r="E668" s="122" t="s">
        <v>1421</v>
      </c>
      <c r="F668" s="123" t="n">
        <v>43984</v>
      </c>
      <c r="G668" s="121" t="s">
        <v>28</v>
      </c>
      <c r="H66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A0664</v>
      </c>
      <c r="I66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B0664</v>
      </c>
      <c r="J668" s="122" t="s">
        <v>1422</v>
      </c>
      <c r="K66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C0664</v>
      </c>
      <c r="L66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D0664</v>
      </c>
      <c r="M66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E0664</v>
      </c>
      <c r="N668" s="122" t="s">
        <v>72</v>
      </c>
      <c r="O668" s="126" t="n">
        <v>2000000</v>
      </c>
      <c r="P668" s="121" t="s">
        <v>18</v>
      </c>
      <c r="Q668" s="121" t="s">
        <v>124</v>
      </c>
      <c r="R668" s="127"/>
      <c r="T668" s="118"/>
    </row>
    <row r="669" customFormat="false" ht="12.75" hidden="false" customHeight="true" outlineLevel="0" collapsed="false">
      <c r="B669" s="119" t="n">
        <f aca="false">ROW()-4</f>
        <v>665</v>
      </c>
      <c r="C669" s="120" t="n">
        <f aca="false">COUNTIFS($D$5:D669,D669)</f>
        <v>17</v>
      </c>
      <c r="D669" s="121" t="s">
        <v>1390</v>
      </c>
      <c r="E669" s="122" t="s">
        <v>1423</v>
      </c>
      <c r="F669" s="123" t="n">
        <v>45120</v>
      </c>
      <c r="G669" s="121" t="s">
        <v>28</v>
      </c>
      <c r="H66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A0665</v>
      </c>
      <c r="I66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B0665</v>
      </c>
      <c r="J669" s="122" t="s">
        <v>1424</v>
      </c>
      <c r="K66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C0665</v>
      </c>
      <c r="L66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D0665</v>
      </c>
      <c r="M66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E0665</v>
      </c>
      <c r="N669" s="122" t="s">
        <v>72</v>
      </c>
      <c r="O669" s="126" t="n">
        <v>2000000</v>
      </c>
      <c r="P669" s="121" t="s">
        <v>18</v>
      </c>
      <c r="Q669" s="121" t="s">
        <v>124</v>
      </c>
      <c r="R669" s="127"/>
      <c r="T669" s="118"/>
    </row>
    <row r="670" customFormat="false" ht="12.75" hidden="false" customHeight="true" outlineLevel="0" collapsed="false">
      <c r="B670" s="119" t="n">
        <f aca="false">ROW()-4</f>
        <v>666</v>
      </c>
      <c r="C670" s="120" t="n">
        <f aca="false">COUNTIFS($D$5:D670,D670)</f>
        <v>18</v>
      </c>
      <c r="D670" s="121" t="s">
        <v>1390</v>
      </c>
      <c r="E670" s="122" t="s">
        <v>1425</v>
      </c>
      <c r="F670" s="123"/>
      <c r="G670" s="121" t="s">
        <v>210</v>
      </c>
      <c r="H670" s="122"/>
      <c r="I670" s="122"/>
      <c r="J670" s="122"/>
      <c r="K670" s="122"/>
      <c r="L670" s="125"/>
      <c r="M67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E0666</v>
      </c>
      <c r="N670" s="122" t="s">
        <v>72</v>
      </c>
      <c r="O670" s="126" t="n">
        <v>2000000</v>
      </c>
      <c r="P670" s="121" t="s">
        <v>19</v>
      </c>
      <c r="Q670" s="122"/>
      <c r="R670" s="128" t="s">
        <v>59</v>
      </c>
      <c r="T670" s="118"/>
    </row>
    <row r="671" customFormat="false" ht="12.75" hidden="false" customHeight="true" outlineLevel="0" collapsed="false">
      <c r="B671" s="119" t="n">
        <f aca="false">ROW()-4</f>
        <v>667</v>
      </c>
      <c r="C671" s="120" t="n">
        <f aca="false">COUNTIFS($D$5:D671,D671)</f>
        <v>19</v>
      </c>
      <c r="D671" s="121" t="s">
        <v>1390</v>
      </c>
      <c r="E671" s="122" t="s">
        <v>1426</v>
      </c>
      <c r="F671" s="123" t="n">
        <v>46022</v>
      </c>
      <c r="G671" s="121" t="s">
        <v>28</v>
      </c>
      <c r="H67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A0667</v>
      </c>
      <c r="I67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B0667</v>
      </c>
      <c r="J671" s="122" t="s">
        <v>1427</v>
      </c>
      <c r="K67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C0667</v>
      </c>
      <c r="L67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D0667</v>
      </c>
      <c r="M67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E0667</v>
      </c>
      <c r="N671" s="122" t="s">
        <v>72</v>
      </c>
      <c r="O671" s="126" t="n">
        <v>2000000</v>
      </c>
      <c r="P671" s="121" t="s">
        <v>18</v>
      </c>
      <c r="Q671" s="121" t="s">
        <v>124</v>
      </c>
      <c r="R671" s="127"/>
      <c r="T671" s="118"/>
    </row>
    <row r="672" customFormat="false" ht="12.75" hidden="false" customHeight="true" outlineLevel="0" collapsed="false">
      <c r="B672" s="119" t="n">
        <f aca="false">ROW()-4</f>
        <v>668</v>
      </c>
      <c r="C672" s="120" t="n">
        <f aca="false">COUNTIFS($D$5:D672,D672)</f>
        <v>20</v>
      </c>
      <c r="D672" s="121" t="s">
        <v>1390</v>
      </c>
      <c r="E672" s="122" t="s">
        <v>1428</v>
      </c>
      <c r="F672" s="123" t="n">
        <v>46062</v>
      </c>
      <c r="G672" s="121" t="s">
        <v>22</v>
      </c>
      <c r="H67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A0668</v>
      </c>
      <c r="I67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B0668</v>
      </c>
      <c r="J672" s="122" t="s">
        <v>1429</v>
      </c>
      <c r="K67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C0668</v>
      </c>
      <c r="L67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D0668</v>
      </c>
      <c r="M67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E0668</v>
      </c>
      <c r="N672" s="122" t="s">
        <v>72</v>
      </c>
      <c r="O672" s="126" t="n">
        <v>2000000</v>
      </c>
      <c r="P672" s="121" t="s">
        <v>18</v>
      </c>
      <c r="Q672" s="121" t="s">
        <v>124</v>
      </c>
      <c r="R672" s="127"/>
      <c r="T672" s="118"/>
    </row>
    <row r="673" customFormat="false" ht="12.75" hidden="false" customHeight="true" outlineLevel="0" collapsed="false">
      <c r="B673" s="119" t="n">
        <f aca="false">ROW()-4</f>
        <v>669</v>
      </c>
      <c r="C673" s="120" t="n">
        <f aca="false">COUNTIFS($D$5:D673,D673)</f>
        <v>21</v>
      </c>
      <c r="D673" s="121" t="s">
        <v>1390</v>
      </c>
      <c r="E673" s="122" t="s">
        <v>1430</v>
      </c>
      <c r="F673" s="123" t="n">
        <v>44216</v>
      </c>
      <c r="G673" s="121" t="s">
        <v>28</v>
      </c>
      <c r="H67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A0669</v>
      </c>
      <c r="I67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B0669</v>
      </c>
      <c r="J673" s="122" t="s">
        <v>1431</v>
      </c>
      <c r="K67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C0669</v>
      </c>
      <c r="L67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D0669</v>
      </c>
      <c r="M67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E0669</v>
      </c>
      <c r="N673" s="122" t="s">
        <v>72</v>
      </c>
      <c r="O673" s="126" t="n">
        <v>2000000</v>
      </c>
      <c r="P673" s="121" t="s">
        <v>18</v>
      </c>
      <c r="Q673" s="121" t="s">
        <v>124</v>
      </c>
      <c r="R673" s="127"/>
      <c r="T673" s="118"/>
    </row>
    <row r="674" customFormat="false" ht="12.75" hidden="false" customHeight="true" outlineLevel="0" collapsed="false">
      <c r="B674" s="119" t="n">
        <f aca="false">ROW()-4</f>
        <v>670</v>
      </c>
      <c r="C674" s="120" t="n">
        <f aca="false">COUNTIFS($D$5:D674,D674)</f>
        <v>22</v>
      </c>
      <c r="D674" s="121" t="s">
        <v>1390</v>
      </c>
      <c r="E674" s="122" t="s">
        <v>1432</v>
      </c>
      <c r="F674" s="123" t="n">
        <v>44243</v>
      </c>
      <c r="G674" s="121" t="s">
        <v>28</v>
      </c>
      <c r="H67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A0670</v>
      </c>
      <c r="I67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B0670</v>
      </c>
      <c r="J674" s="122" t="s">
        <v>1433</v>
      </c>
      <c r="K67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C0670</v>
      </c>
      <c r="L67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D0670</v>
      </c>
      <c r="M67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E0670</v>
      </c>
      <c r="N674" s="122" t="s">
        <v>72</v>
      </c>
      <c r="O674" s="126" t="n">
        <v>2000000</v>
      </c>
      <c r="P674" s="121" t="s">
        <v>18</v>
      </c>
      <c r="Q674" s="121" t="s">
        <v>124</v>
      </c>
      <c r="R674" s="127"/>
      <c r="T674" s="118"/>
    </row>
    <row r="675" customFormat="false" ht="12.75" hidden="false" customHeight="true" outlineLevel="0" collapsed="false">
      <c r="B675" s="119" t="n">
        <f aca="false">ROW()-4</f>
        <v>671</v>
      </c>
      <c r="C675" s="120" t="n">
        <f aca="false">COUNTIFS($D$5:D675,D675)</f>
        <v>23</v>
      </c>
      <c r="D675" s="121" t="s">
        <v>1390</v>
      </c>
      <c r="E675" s="122" t="s">
        <v>1434</v>
      </c>
      <c r="F675" s="123" t="n">
        <v>44259</v>
      </c>
      <c r="G675" s="121" t="s">
        <v>28</v>
      </c>
      <c r="H67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A0671</v>
      </c>
      <c r="I67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B0671</v>
      </c>
      <c r="J675" s="122" t="s">
        <v>1435</v>
      </c>
      <c r="K67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C0671</v>
      </c>
      <c r="L67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D0671</v>
      </c>
      <c r="M67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E0671</v>
      </c>
      <c r="N675" s="122" t="s">
        <v>72</v>
      </c>
      <c r="O675" s="126" t="n">
        <v>2000000</v>
      </c>
      <c r="P675" s="121" t="s">
        <v>18</v>
      </c>
      <c r="Q675" s="121" t="s">
        <v>124</v>
      </c>
      <c r="R675" s="127"/>
      <c r="T675" s="118"/>
    </row>
    <row r="676" s="118" customFormat="true" ht="12.75" hidden="false" customHeight="true" outlineLevel="0" collapsed="false">
      <c r="A676" s="98"/>
      <c r="B676" s="119" t="n">
        <f aca="false">ROW()-4</f>
        <v>672</v>
      </c>
      <c r="C676" s="120" t="n">
        <f aca="false">COUNTIFS($D$5:D676,D676)</f>
        <v>24</v>
      </c>
      <c r="D676" s="121" t="s">
        <v>1390</v>
      </c>
      <c r="E676" s="122" t="s">
        <v>1436</v>
      </c>
      <c r="F676" s="123" t="n">
        <v>44259</v>
      </c>
      <c r="G676" s="121" t="s">
        <v>28</v>
      </c>
      <c r="H67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A0672</v>
      </c>
      <c r="I67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B0672</v>
      </c>
      <c r="J676" s="122" t="s">
        <v>1437</v>
      </c>
      <c r="K67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C0672</v>
      </c>
      <c r="L67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D0672</v>
      </c>
      <c r="M67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E0672</v>
      </c>
      <c r="N676" s="122" t="s">
        <v>72</v>
      </c>
      <c r="O676" s="126" t="n">
        <v>2000000</v>
      </c>
      <c r="P676" s="121" t="s">
        <v>18</v>
      </c>
      <c r="Q676" s="121" t="s">
        <v>124</v>
      </c>
      <c r="R676" s="127"/>
    </row>
    <row r="677" customFormat="false" ht="12.75" hidden="false" customHeight="true" outlineLevel="0" collapsed="false">
      <c r="B677" s="119" t="n">
        <f aca="false">ROW()-4</f>
        <v>673</v>
      </c>
      <c r="C677" s="120" t="n">
        <f aca="false">COUNTIFS($D$5:D677,D677)</f>
        <v>25</v>
      </c>
      <c r="D677" s="121" t="s">
        <v>1390</v>
      </c>
      <c r="E677" s="122" t="s">
        <v>1438</v>
      </c>
      <c r="F677" s="123" t="n">
        <v>43243</v>
      </c>
      <c r="G677" s="121" t="s">
        <v>30</v>
      </c>
      <c r="H67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A0673</v>
      </c>
      <c r="I67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B0673</v>
      </c>
      <c r="J677" s="122" t="s">
        <v>1439</v>
      </c>
      <c r="K67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C0673</v>
      </c>
      <c r="L67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D0673</v>
      </c>
      <c r="M67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E0673</v>
      </c>
      <c r="N677" s="122" t="s">
        <v>72</v>
      </c>
      <c r="O677" s="126" t="n">
        <v>2000000</v>
      </c>
      <c r="P677" s="121" t="s">
        <v>18</v>
      </c>
      <c r="Q677" s="121" t="s">
        <v>124</v>
      </c>
      <c r="R677" s="127"/>
      <c r="T677" s="118"/>
    </row>
    <row r="678" customFormat="false" ht="12.75" hidden="false" customHeight="true" outlineLevel="0" collapsed="false">
      <c r="B678" s="119" t="n">
        <f aca="false">ROW()-4</f>
        <v>674</v>
      </c>
      <c r="C678" s="120" t="n">
        <f aca="false">COUNTIFS($D$5:D678,D678)</f>
        <v>26</v>
      </c>
      <c r="D678" s="121" t="s">
        <v>1390</v>
      </c>
      <c r="E678" s="122" t="s">
        <v>1440</v>
      </c>
      <c r="F678" s="123"/>
      <c r="G678" s="121" t="s">
        <v>210</v>
      </c>
      <c r="H678" s="122"/>
      <c r="I678" s="122"/>
      <c r="J678" s="122"/>
      <c r="K678" s="122"/>
      <c r="L678" s="125"/>
      <c r="M67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E0674</v>
      </c>
      <c r="N678" s="122" t="s">
        <v>72</v>
      </c>
      <c r="O678" s="126" t="n">
        <v>2000000</v>
      </c>
      <c r="P678" s="121" t="s">
        <v>19</v>
      </c>
      <c r="Q678" s="122"/>
      <c r="R678" s="128" t="s">
        <v>59</v>
      </c>
      <c r="T678" s="118"/>
    </row>
    <row r="679" customFormat="false" ht="12.75" hidden="false" customHeight="true" outlineLevel="0" collapsed="false">
      <c r="B679" s="119" t="n">
        <f aca="false">ROW()-4</f>
        <v>675</v>
      </c>
      <c r="C679" s="120" t="n">
        <f aca="false">COUNTIFS($D$5:D679,D679)</f>
        <v>27</v>
      </c>
      <c r="D679" s="121" t="s">
        <v>1390</v>
      </c>
      <c r="E679" s="122" t="s">
        <v>1441</v>
      </c>
      <c r="F679" s="123" t="n">
        <v>45660</v>
      </c>
      <c r="G679" s="121" t="s">
        <v>28</v>
      </c>
      <c r="H67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A0675</v>
      </c>
      <c r="I67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B0675</v>
      </c>
      <c r="J679" s="122" t="s">
        <v>1442</v>
      </c>
      <c r="K67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C0675</v>
      </c>
      <c r="L67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D0675</v>
      </c>
      <c r="M67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E0675</v>
      </c>
      <c r="N679" s="122" t="s">
        <v>72</v>
      </c>
      <c r="O679" s="126" t="n">
        <v>2000000</v>
      </c>
      <c r="P679" s="121" t="s">
        <v>18</v>
      </c>
      <c r="Q679" s="121" t="s">
        <v>124</v>
      </c>
      <c r="R679" s="127"/>
      <c r="T679" s="118"/>
    </row>
    <row r="680" customFormat="false" ht="12.75" hidden="false" customHeight="true" outlineLevel="0" collapsed="false">
      <c r="B680" s="119" t="n">
        <f aca="false">ROW()-4</f>
        <v>676</v>
      </c>
      <c r="C680" s="120" t="n">
        <f aca="false">COUNTIFS($D$5:D680,D680)</f>
        <v>28</v>
      </c>
      <c r="D680" s="121" t="s">
        <v>1390</v>
      </c>
      <c r="E680" s="122" t="s">
        <v>1443</v>
      </c>
      <c r="F680" s="123" t="n">
        <v>44350</v>
      </c>
      <c r="G680" s="121" t="s">
        <v>28</v>
      </c>
      <c r="H68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A0676</v>
      </c>
      <c r="I68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B0676</v>
      </c>
      <c r="J680" s="122" t="s">
        <v>1444</v>
      </c>
      <c r="K68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C0676</v>
      </c>
      <c r="L68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D0676</v>
      </c>
      <c r="M68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E0676</v>
      </c>
      <c r="N680" s="122" t="s">
        <v>72</v>
      </c>
      <c r="O680" s="126" t="n">
        <v>2000000</v>
      </c>
      <c r="P680" s="121" t="s">
        <v>18</v>
      </c>
      <c r="Q680" s="121" t="s">
        <v>124</v>
      </c>
      <c r="R680" s="127"/>
      <c r="T680" s="118"/>
    </row>
    <row r="681" customFormat="false" ht="12.75" hidden="false" customHeight="true" outlineLevel="0" collapsed="false">
      <c r="B681" s="119" t="n">
        <f aca="false">ROW()-4</f>
        <v>677</v>
      </c>
      <c r="C681" s="120" t="n">
        <f aca="false">COUNTIFS($D$5:D681,D681)</f>
        <v>29</v>
      </c>
      <c r="D681" s="121" t="s">
        <v>1390</v>
      </c>
      <c r="E681" s="122" t="s">
        <v>1445</v>
      </c>
      <c r="F681" s="123" t="n">
        <v>44350</v>
      </c>
      <c r="G681" s="121" t="s">
        <v>28</v>
      </c>
      <c r="H68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A0677</v>
      </c>
      <c r="I68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B0677</v>
      </c>
      <c r="J681" s="122" t="s">
        <v>1446</v>
      </c>
      <c r="K68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C0677</v>
      </c>
      <c r="L68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D0677</v>
      </c>
      <c r="M68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E0677</v>
      </c>
      <c r="N681" s="122" t="s">
        <v>72</v>
      </c>
      <c r="O681" s="126" t="n">
        <v>2000000</v>
      </c>
      <c r="P681" s="121" t="s">
        <v>18</v>
      </c>
      <c r="Q681" s="121" t="s">
        <v>124</v>
      </c>
      <c r="R681" s="127"/>
      <c r="T681" s="118"/>
    </row>
    <row r="682" customFormat="false" ht="12.75" hidden="false" customHeight="true" outlineLevel="0" collapsed="false">
      <c r="B682" s="119" t="n">
        <f aca="false">ROW()-4</f>
        <v>678</v>
      </c>
      <c r="C682" s="120" t="n">
        <f aca="false">COUNTIFS($D$5:D682,D682)</f>
        <v>30</v>
      </c>
      <c r="D682" s="121" t="s">
        <v>1390</v>
      </c>
      <c r="E682" s="122" t="s">
        <v>1447</v>
      </c>
      <c r="F682" s="123" t="n">
        <v>44568</v>
      </c>
      <c r="G682" s="121" t="s">
        <v>24</v>
      </c>
      <c r="H68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A0678</v>
      </c>
      <c r="I68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B0678</v>
      </c>
      <c r="J682" s="122" t="s">
        <v>1448</v>
      </c>
      <c r="K68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C0678</v>
      </c>
      <c r="L68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D0678</v>
      </c>
      <c r="M68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E0678</v>
      </c>
      <c r="N682" s="122" t="s">
        <v>72</v>
      </c>
      <c r="O682" s="126" t="n">
        <v>2000000</v>
      </c>
      <c r="P682" s="121" t="s">
        <v>18</v>
      </c>
      <c r="Q682" s="121" t="s">
        <v>124</v>
      </c>
      <c r="R682" s="127"/>
      <c r="T682" s="118"/>
    </row>
    <row r="683" customFormat="false" ht="12.75" hidden="false" customHeight="true" outlineLevel="0" collapsed="false">
      <c r="B683" s="119" t="n">
        <f aca="false">ROW()-4</f>
        <v>679</v>
      </c>
      <c r="C683" s="120" t="n">
        <f aca="false">COUNTIFS($D$5:D683,D683)</f>
        <v>31</v>
      </c>
      <c r="D683" s="121" t="s">
        <v>1390</v>
      </c>
      <c r="E683" s="122" t="s">
        <v>1449</v>
      </c>
      <c r="F683" s="123" t="n">
        <v>44862</v>
      </c>
      <c r="G683" s="121" t="s">
        <v>30</v>
      </c>
      <c r="H68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A0679</v>
      </c>
      <c r="I68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B0679</v>
      </c>
      <c r="J683" s="122" t="s">
        <v>1450</v>
      </c>
      <c r="K68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C0679</v>
      </c>
      <c r="L68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D0679</v>
      </c>
      <c r="M68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E0679</v>
      </c>
      <c r="N683" s="122" t="s">
        <v>72</v>
      </c>
      <c r="O683" s="126" t="n">
        <v>2000000</v>
      </c>
      <c r="P683" s="121" t="s">
        <v>18</v>
      </c>
      <c r="Q683" s="121" t="s">
        <v>124</v>
      </c>
      <c r="R683" s="127"/>
      <c r="T683" s="118"/>
    </row>
    <row r="684" customFormat="false" ht="12.75" hidden="false" customHeight="true" outlineLevel="0" collapsed="false">
      <c r="B684" s="119" t="n">
        <f aca="false">ROW()-4</f>
        <v>680</v>
      </c>
      <c r="C684" s="120" t="n">
        <f aca="false">COUNTIFS($D$5:D684,D684)</f>
        <v>32</v>
      </c>
      <c r="D684" s="121" t="s">
        <v>1390</v>
      </c>
      <c r="E684" s="122" t="s">
        <v>1451</v>
      </c>
      <c r="F684" s="123" t="n">
        <v>44984</v>
      </c>
      <c r="G684" s="121" t="s">
        <v>24</v>
      </c>
      <c r="H68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A0680</v>
      </c>
      <c r="I68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B0680</v>
      </c>
      <c r="J684" s="122" t="s">
        <v>1452</v>
      </c>
      <c r="K68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C0680</v>
      </c>
      <c r="L68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D0680</v>
      </c>
      <c r="M68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E0680</v>
      </c>
      <c r="N684" s="122" t="s">
        <v>72</v>
      </c>
      <c r="O684" s="126" t="n">
        <v>2000000</v>
      </c>
      <c r="P684" s="121" t="s">
        <v>18</v>
      </c>
      <c r="Q684" s="121" t="s">
        <v>124</v>
      </c>
      <c r="R684" s="127"/>
      <c r="T684" s="118"/>
    </row>
    <row r="685" customFormat="false" ht="12.75" hidden="false" customHeight="true" outlineLevel="0" collapsed="false">
      <c r="B685" s="119" t="n">
        <f aca="false">ROW()-4</f>
        <v>681</v>
      </c>
      <c r="C685" s="120" t="n">
        <f aca="false">COUNTIFS($D$5:D685,D685)</f>
        <v>33</v>
      </c>
      <c r="D685" s="121" t="s">
        <v>1390</v>
      </c>
      <c r="E685" s="122" t="s">
        <v>1453</v>
      </c>
      <c r="F685" s="123" t="n">
        <v>46015</v>
      </c>
      <c r="G685" s="121" t="s">
        <v>24</v>
      </c>
      <c r="H68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A0681</v>
      </c>
      <c r="I68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B0681</v>
      </c>
      <c r="J685" s="122" t="s">
        <v>1454</v>
      </c>
      <c r="K68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C0681</v>
      </c>
      <c r="L68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D0681</v>
      </c>
      <c r="M68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E0681</v>
      </c>
      <c r="N685" s="122" t="s">
        <v>72</v>
      </c>
      <c r="O685" s="126" t="n">
        <v>2000000</v>
      </c>
      <c r="P685" s="121" t="s">
        <v>18</v>
      </c>
      <c r="Q685" s="121" t="s">
        <v>124</v>
      </c>
      <c r="R685" s="127"/>
      <c r="T685" s="118"/>
    </row>
    <row r="686" customFormat="false" ht="12.75" hidden="false" customHeight="true" outlineLevel="0" collapsed="false">
      <c r="B686" s="119" t="n">
        <f aca="false">ROW()-4</f>
        <v>682</v>
      </c>
      <c r="C686" s="120" t="n">
        <f aca="false">COUNTIFS($D$5:D686,D686)</f>
        <v>34</v>
      </c>
      <c r="D686" s="121" t="s">
        <v>1390</v>
      </c>
      <c r="E686" s="122" t="s">
        <v>1455</v>
      </c>
      <c r="F686" s="123" t="n">
        <v>45373</v>
      </c>
      <c r="G686" s="121" t="s">
        <v>28</v>
      </c>
      <c r="H68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A0682</v>
      </c>
      <c r="I68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B0682</v>
      </c>
      <c r="J686" s="122" t="s">
        <v>1456</v>
      </c>
      <c r="K68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C0682</v>
      </c>
      <c r="L68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D0682</v>
      </c>
      <c r="M68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E0682</v>
      </c>
      <c r="N686" s="122" t="s">
        <v>72</v>
      </c>
      <c r="O686" s="126" t="n">
        <v>2000000</v>
      </c>
      <c r="P686" s="121" t="s">
        <v>18</v>
      </c>
      <c r="Q686" s="121" t="s">
        <v>124</v>
      </c>
      <c r="R686" s="127"/>
      <c r="T686" s="118"/>
    </row>
    <row r="687" customFormat="false" ht="12.75" hidden="false" customHeight="true" outlineLevel="0" collapsed="false">
      <c r="B687" s="119" t="n">
        <f aca="false">ROW()-4</f>
        <v>683</v>
      </c>
      <c r="C687" s="120" t="n">
        <f aca="false">COUNTIFS($D$5:D687,D687)</f>
        <v>35</v>
      </c>
      <c r="D687" s="121" t="s">
        <v>1390</v>
      </c>
      <c r="E687" s="122" t="s">
        <v>1457</v>
      </c>
      <c r="F687" s="123" t="n">
        <v>44608</v>
      </c>
      <c r="G687" s="121" t="s">
        <v>22</v>
      </c>
      <c r="H68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A0683</v>
      </c>
      <c r="I68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B0683</v>
      </c>
      <c r="J687" s="122" t="s">
        <v>1458</v>
      </c>
      <c r="K68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C0683</v>
      </c>
      <c r="L68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D0683</v>
      </c>
      <c r="M68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E0683</v>
      </c>
      <c r="N687" s="122" t="s">
        <v>72</v>
      </c>
      <c r="O687" s="126" t="n">
        <v>2000000</v>
      </c>
      <c r="P687" s="121" t="s">
        <v>18</v>
      </c>
      <c r="Q687" s="121" t="s">
        <v>124</v>
      </c>
      <c r="R687" s="127"/>
      <c r="T687" s="118"/>
    </row>
    <row r="688" customFormat="false" ht="12.75" hidden="false" customHeight="true" outlineLevel="0" collapsed="false">
      <c r="B688" s="119" t="n">
        <f aca="false">ROW()-4</f>
        <v>684</v>
      </c>
      <c r="C688" s="120" t="n">
        <f aca="false">COUNTIFS($D$5:D688,D688)</f>
        <v>36</v>
      </c>
      <c r="D688" s="121" t="s">
        <v>1390</v>
      </c>
      <c r="E688" s="122" t="s">
        <v>1459</v>
      </c>
      <c r="F688" s="123" t="n">
        <v>44608</v>
      </c>
      <c r="G688" s="121" t="s">
        <v>28</v>
      </c>
      <c r="H68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A0684</v>
      </c>
      <c r="I68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B0684</v>
      </c>
      <c r="J688" s="122" t="s">
        <v>1460</v>
      </c>
      <c r="K68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C0684</v>
      </c>
      <c r="L68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D0684</v>
      </c>
      <c r="M68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E0684</v>
      </c>
      <c r="N688" s="122" t="s">
        <v>72</v>
      </c>
      <c r="O688" s="126" t="n">
        <v>2000000</v>
      </c>
      <c r="P688" s="121" t="s">
        <v>18</v>
      </c>
      <c r="Q688" s="121" t="s">
        <v>124</v>
      </c>
      <c r="R688" s="127"/>
      <c r="T688" s="118"/>
    </row>
    <row r="689" customFormat="false" ht="12.75" hidden="false" customHeight="true" outlineLevel="0" collapsed="false">
      <c r="B689" s="119" t="n">
        <f aca="false">ROW()-4</f>
        <v>685</v>
      </c>
      <c r="C689" s="120" t="n">
        <f aca="false">COUNTIFS($D$5:D689,D689)</f>
        <v>37</v>
      </c>
      <c r="D689" s="121" t="s">
        <v>1390</v>
      </c>
      <c r="E689" s="122" t="s">
        <v>1461</v>
      </c>
      <c r="F689" s="123" t="n">
        <v>45849</v>
      </c>
      <c r="G689" s="121" t="s">
        <v>28</v>
      </c>
      <c r="H68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A0685</v>
      </c>
      <c r="I68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B0685</v>
      </c>
      <c r="J689" s="122" t="s">
        <v>1462</v>
      </c>
      <c r="K68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C0685</v>
      </c>
      <c r="L68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D0685</v>
      </c>
      <c r="M68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E0685</v>
      </c>
      <c r="N689" s="122" t="s">
        <v>72</v>
      </c>
      <c r="O689" s="126" t="n">
        <v>2000000</v>
      </c>
      <c r="P689" s="121" t="s">
        <v>18</v>
      </c>
      <c r="Q689" s="121" t="s">
        <v>124</v>
      </c>
      <c r="R689" s="127"/>
      <c r="T689" s="118"/>
    </row>
    <row r="690" customFormat="false" ht="12.75" hidden="false" customHeight="true" outlineLevel="0" collapsed="false">
      <c r="B690" s="119" t="n">
        <f aca="false">ROW()-4</f>
        <v>686</v>
      </c>
      <c r="C690" s="120" t="n">
        <f aca="false">COUNTIFS($D$5:D690,D690)</f>
        <v>38</v>
      </c>
      <c r="D690" s="121" t="s">
        <v>1390</v>
      </c>
      <c r="E690" s="122" t="s">
        <v>1463</v>
      </c>
      <c r="F690" s="123" t="n">
        <v>44799</v>
      </c>
      <c r="G690" s="121" t="s">
        <v>24</v>
      </c>
      <c r="H69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A0686</v>
      </c>
      <c r="I69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B0686</v>
      </c>
      <c r="J690" s="122" t="s">
        <v>1464</v>
      </c>
      <c r="K69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C0686</v>
      </c>
      <c r="L69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D0686</v>
      </c>
      <c r="M69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E0686</v>
      </c>
      <c r="N690" s="122" t="s">
        <v>72</v>
      </c>
      <c r="O690" s="126" t="n">
        <v>2000000</v>
      </c>
      <c r="P690" s="121" t="s">
        <v>18</v>
      </c>
      <c r="Q690" s="121" t="s">
        <v>124</v>
      </c>
      <c r="R690" s="127"/>
      <c r="T690" s="118"/>
    </row>
    <row r="691" customFormat="false" ht="12.75" hidden="false" customHeight="true" outlineLevel="0" collapsed="false">
      <c r="B691" s="119" t="n">
        <f aca="false">ROW()-4</f>
        <v>687</v>
      </c>
      <c r="C691" s="120" t="n">
        <f aca="false">COUNTIFS($D$5:D691,D691)</f>
        <v>39</v>
      </c>
      <c r="D691" s="121" t="s">
        <v>1390</v>
      </c>
      <c r="E691" s="122" t="s">
        <v>1465</v>
      </c>
      <c r="F691" s="123" t="n">
        <v>43432</v>
      </c>
      <c r="G691" s="121" t="s">
        <v>30</v>
      </c>
      <c r="H69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A0687</v>
      </c>
      <c r="I69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B0687</v>
      </c>
      <c r="J691" s="122" t="s">
        <v>1466</v>
      </c>
      <c r="K69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C0687</v>
      </c>
      <c r="L69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D0687</v>
      </c>
      <c r="M69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E0687</v>
      </c>
      <c r="N691" s="122" t="s">
        <v>72</v>
      </c>
      <c r="O691" s="126" t="n">
        <v>2000000</v>
      </c>
      <c r="P691" s="121" t="s">
        <v>18</v>
      </c>
      <c r="Q691" s="121" t="s">
        <v>124</v>
      </c>
      <c r="R691" s="127"/>
      <c r="T691" s="118"/>
    </row>
    <row r="692" customFormat="false" ht="12.75" hidden="false" customHeight="true" outlineLevel="0" collapsed="false">
      <c r="B692" s="119" t="n">
        <f aca="false">ROW()-4</f>
        <v>688</v>
      </c>
      <c r="C692" s="120" t="n">
        <f aca="false">COUNTIFS($D$5:D692,D692)</f>
        <v>40</v>
      </c>
      <c r="D692" s="121" t="s">
        <v>1390</v>
      </c>
      <c r="E692" s="122" t="s">
        <v>1467</v>
      </c>
      <c r="F692" s="123" t="n">
        <v>43277</v>
      </c>
      <c r="G692" s="121" t="s">
        <v>28</v>
      </c>
      <c r="H69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A0688</v>
      </c>
      <c r="I69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B0688</v>
      </c>
      <c r="J692" s="122" t="s">
        <v>1468</v>
      </c>
      <c r="K69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C0688</v>
      </c>
      <c r="L69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D0688</v>
      </c>
      <c r="M69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E0688</v>
      </c>
      <c r="N692" s="122" t="s">
        <v>72</v>
      </c>
      <c r="O692" s="126" t="n">
        <v>2000000</v>
      </c>
      <c r="P692" s="121" t="s">
        <v>18</v>
      </c>
      <c r="Q692" s="121" t="s">
        <v>124</v>
      </c>
      <c r="R692" s="127"/>
      <c r="T692" s="118"/>
    </row>
    <row r="693" customFormat="false" ht="12.75" hidden="false" customHeight="true" outlineLevel="0" collapsed="false">
      <c r="B693" s="119" t="n">
        <f aca="false">ROW()-4</f>
        <v>689</v>
      </c>
      <c r="C693" s="120" t="n">
        <f aca="false">COUNTIFS($D$5:D693,D693)</f>
        <v>41</v>
      </c>
      <c r="D693" s="121" t="s">
        <v>1390</v>
      </c>
      <c r="E693" s="122" t="s">
        <v>1469</v>
      </c>
      <c r="F693" s="123" t="n">
        <v>45770</v>
      </c>
      <c r="G693" s="121" t="s">
        <v>26</v>
      </c>
      <c r="H69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A0689</v>
      </c>
      <c r="I69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B0689</v>
      </c>
      <c r="J693" s="122" t="s">
        <v>1470</v>
      </c>
      <c r="K69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C0689</v>
      </c>
      <c r="L69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D0689</v>
      </c>
      <c r="M69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E0689</v>
      </c>
      <c r="N693" s="122" t="s">
        <v>72</v>
      </c>
      <c r="O693" s="126" t="n">
        <v>2000000</v>
      </c>
      <c r="P693" s="121" t="s">
        <v>18</v>
      </c>
      <c r="Q693" s="121" t="s">
        <v>124</v>
      </c>
      <c r="R693" s="127"/>
      <c r="T693" s="118"/>
    </row>
    <row r="694" customFormat="false" ht="12.75" hidden="false" customHeight="true" outlineLevel="0" collapsed="false">
      <c r="B694" s="119" t="n">
        <f aca="false">ROW()-4</f>
        <v>690</v>
      </c>
      <c r="C694" s="120" t="n">
        <f aca="false">COUNTIFS($D$5:D694,D694)</f>
        <v>42</v>
      </c>
      <c r="D694" s="121" t="s">
        <v>1390</v>
      </c>
      <c r="E694" s="122" t="s">
        <v>1471</v>
      </c>
      <c r="F694" s="123" t="n">
        <v>44615</v>
      </c>
      <c r="G694" s="121" t="s">
        <v>28</v>
      </c>
      <c r="H69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A0690</v>
      </c>
      <c r="I69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B0690</v>
      </c>
      <c r="J694" s="122" t="s">
        <v>1472</v>
      </c>
      <c r="K69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C0690</v>
      </c>
      <c r="L69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D0690</v>
      </c>
      <c r="M69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E0690</v>
      </c>
      <c r="N694" s="122" t="s">
        <v>72</v>
      </c>
      <c r="O694" s="126" t="n">
        <v>2000000</v>
      </c>
      <c r="P694" s="121" t="s">
        <v>18</v>
      </c>
      <c r="Q694" s="121" t="s">
        <v>124</v>
      </c>
      <c r="R694" s="127"/>
      <c r="T694" s="118"/>
    </row>
    <row r="695" customFormat="false" ht="12.75" hidden="false" customHeight="true" outlineLevel="0" collapsed="false">
      <c r="B695" s="119" t="n">
        <f aca="false">ROW()-4</f>
        <v>691</v>
      </c>
      <c r="C695" s="120" t="n">
        <f aca="false">COUNTIFS($D$5:D695,D695)</f>
        <v>43</v>
      </c>
      <c r="D695" s="121" t="s">
        <v>1390</v>
      </c>
      <c r="E695" s="122" t="s">
        <v>1473</v>
      </c>
      <c r="F695" s="123" t="n">
        <v>44622</v>
      </c>
      <c r="G695" s="121" t="s">
        <v>28</v>
      </c>
      <c r="H69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A0691</v>
      </c>
      <c r="I69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B0691</v>
      </c>
      <c r="J695" s="122" t="s">
        <v>1474</v>
      </c>
      <c r="K69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C0691</v>
      </c>
      <c r="L69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D0691</v>
      </c>
      <c r="M69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E0691</v>
      </c>
      <c r="N695" s="122" t="s">
        <v>72</v>
      </c>
      <c r="O695" s="126" t="n">
        <v>2000000</v>
      </c>
      <c r="P695" s="121" t="s">
        <v>18</v>
      </c>
      <c r="Q695" s="121" t="s">
        <v>124</v>
      </c>
      <c r="R695" s="127"/>
      <c r="T695" s="118"/>
    </row>
    <row r="696" s="118" customFormat="true" ht="12.75" hidden="false" customHeight="true" outlineLevel="0" collapsed="false">
      <c r="A696" s="98"/>
      <c r="B696" s="119" t="n">
        <f aca="false">ROW()-4</f>
        <v>692</v>
      </c>
      <c r="C696" s="120" t="n">
        <f aca="false">COUNTIFS($D$5:D696,D696)</f>
        <v>44</v>
      </c>
      <c r="D696" s="121" t="s">
        <v>1390</v>
      </c>
      <c r="E696" s="122" t="s">
        <v>1475</v>
      </c>
      <c r="F696" s="123" t="n">
        <v>43297</v>
      </c>
      <c r="G696" s="121" t="s">
        <v>24</v>
      </c>
      <c r="H69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A0692</v>
      </c>
      <c r="I69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B0692</v>
      </c>
      <c r="J696" s="122" t="s">
        <v>1476</v>
      </c>
      <c r="K69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C0692</v>
      </c>
      <c r="L69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D0692</v>
      </c>
      <c r="M69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E0692</v>
      </c>
      <c r="N696" s="122" t="s">
        <v>72</v>
      </c>
      <c r="O696" s="126" t="n">
        <v>2000000</v>
      </c>
      <c r="P696" s="121" t="s">
        <v>18</v>
      </c>
      <c r="Q696" s="121" t="s">
        <v>124</v>
      </c>
      <c r="R696" s="127"/>
    </row>
    <row r="697" customFormat="false" ht="12.75" hidden="false" customHeight="true" outlineLevel="0" collapsed="false">
      <c r="B697" s="119" t="n">
        <f aca="false">ROW()-4</f>
        <v>693</v>
      </c>
      <c r="C697" s="120" t="n">
        <f aca="false">COUNTIFS($D$5:D697,D697)</f>
        <v>45</v>
      </c>
      <c r="D697" s="121" t="s">
        <v>1390</v>
      </c>
      <c r="E697" s="122" t="s">
        <v>1477</v>
      </c>
      <c r="F697" s="123" t="n">
        <v>44799</v>
      </c>
      <c r="G697" s="121" t="s">
        <v>24</v>
      </c>
      <c r="H69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A0693</v>
      </c>
      <c r="I69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B0693</v>
      </c>
      <c r="J697" s="122" t="s">
        <v>1478</v>
      </c>
      <c r="K69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C0693</v>
      </c>
      <c r="L69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D0693</v>
      </c>
      <c r="M69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E0693</v>
      </c>
      <c r="N697" s="122" t="s">
        <v>72</v>
      </c>
      <c r="O697" s="126" t="n">
        <v>2000000</v>
      </c>
      <c r="P697" s="121" t="s">
        <v>18</v>
      </c>
      <c r="Q697" s="121" t="s">
        <v>124</v>
      </c>
      <c r="R697" s="127"/>
      <c r="T697" s="118"/>
    </row>
    <row r="698" customFormat="false" ht="12.75" hidden="false" customHeight="true" outlineLevel="0" collapsed="false">
      <c r="B698" s="119" t="n">
        <f aca="false">ROW()-4</f>
        <v>694</v>
      </c>
      <c r="C698" s="120" t="n">
        <f aca="false">COUNTIFS($D$5:D698,D698)</f>
        <v>46</v>
      </c>
      <c r="D698" s="121" t="s">
        <v>1390</v>
      </c>
      <c r="E698" s="122" t="s">
        <v>1479</v>
      </c>
      <c r="F698" s="123" t="n">
        <v>44637</v>
      </c>
      <c r="G698" s="121" t="s">
        <v>28</v>
      </c>
      <c r="H69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A0694</v>
      </c>
      <c r="I69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B0694</v>
      </c>
      <c r="J698" s="122" t="s">
        <v>1480</v>
      </c>
      <c r="K69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C0694</v>
      </c>
      <c r="L69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D0694</v>
      </c>
      <c r="M69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E0694</v>
      </c>
      <c r="N698" s="122" t="s">
        <v>72</v>
      </c>
      <c r="O698" s="126" t="n">
        <v>2000000</v>
      </c>
      <c r="P698" s="121" t="s">
        <v>18</v>
      </c>
      <c r="Q698" s="121" t="s">
        <v>124</v>
      </c>
      <c r="R698" s="127"/>
      <c r="T698" s="118"/>
    </row>
    <row r="699" customFormat="false" ht="12.75" hidden="false" customHeight="true" outlineLevel="0" collapsed="false">
      <c r="B699" s="119" t="n">
        <f aca="false">ROW()-4</f>
        <v>695</v>
      </c>
      <c r="C699" s="120" t="n">
        <f aca="false">COUNTIFS($D$5:D699,D699)</f>
        <v>47</v>
      </c>
      <c r="D699" s="121" t="s">
        <v>1390</v>
      </c>
      <c r="E699" s="122" t="s">
        <v>1481</v>
      </c>
      <c r="F699" s="123" t="n">
        <v>44644</v>
      </c>
      <c r="G699" s="121" t="s">
        <v>26</v>
      </c>
      <c r="H69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A0695</v>
      </c>
      <c r="I69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B0695</v>
      </c>
      <c r="J699" s="124" t="s">
        <v>1482</v>
      </c>
      <c r="K69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C0695</v>
      </c>
      <c r="L69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D0695</v>
      </c>
      <c r="M69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E0695</v>
      </c>
      <c r="N699" s="122" t="s">
        <v>72</v>
      </c>
      <c r="O699" s="126" t="n">
        <v>2000000</v>
      </c>
      <c r="P699" s="121" t="s">
        <v>18</v>
      </c>
      <c r="Q699" s="121" t="s">
        <v>124</v>
      </c>
      <c r="R699" s="127"/>
      <c r="T699" s="118"/>
    </row>
    <row r="700" customFormat="false" ht="12.75" hidden="false" customHeight="true" outlineLevel="0" collapsed="false">
      <c r="B700" s="119" t="n">
        <f aca="false">ROW()-4</f>
        <v>696</v>
      </c>
      <c r="C700" s="120" t="n">
        <f aca="false">COUNTIFS($D$5:D700,D700)</f>
        <v>48</v>
      </c>
      <c r="D700" s="121" t="s">
        <v>1390</v>
      </c>
      <c r="E700" s="122" t="s">
        <v>1483</v>
      </c>
      <c r="F700" s="123" t="n">
        <v>44692</v>
      </c>
      <c r="G700" s="121" t="s">
        <v>22</v>
      </c>
      <c r="H70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A0696</v>
      </c>
      <c r="I70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B0696</v>
      </c>
      <c r="J700" s="122" t="s">
        <v>1484</v>
      </c>
      <c r="K70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C0696</v>
      </c>
      <c r="L70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D0696</v>
      </c>
      <c r="M70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E0696</v>
      </c>
      <c r="N700" s="122" t="s">
        <v>72</v>
      </c>
      <c r="O700" s="126" t="n">
        <v>2000000</v>
      </c>
      <c r="P700" s="121" t="s">
        <v>18</v>
      </c>
      <c r="Q700" s="121" t="s">
        <v>124</v>
      </c>
      <c r="R700" s="127"/>
      <c r="T700" s="118"/>
    </row>
    <row r="701" customFormat="false" ht="12.75" hidden="false" customHeight="true" outlineLevel="0" collapsed="false">
      <c r="B701" s="119" t="n">
        <f aca="false">ROW()-4</f>
        <v>697</v>
      </c>
      <c r="C701" s="120" t="n">
        <f aca="false">COUNTIFS($D$5:D701,D701)</f>
        <v>49</v>
      </c>
      <c r="D701" s="121" t="s">
        <v>1390</v>
      </c>
      <c r="E701" s="122" t="s">
        <v>1485</v>
      </c>
      <c r="F701" s="123" t="n">
        <v>44715</v>
      </c>
      <c r="G701" s="121" t="s">
        <v>28</v>
      </c>
      <c r="H70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A0697</v>
      </c>
      <c r="I70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B0697</v>
      </c>
      <c r="J701" s="122" t="s">
        <v>1486</v>
      </c>
      <c r="K70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C0697</v>
      </c>
      <c r="L70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D0697</v>
      </c>
      <c r="M70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E0697</v>
      </c>
      <c r="N701" s="122" t="s">
        <v>72</v>
      </c>
      <c r="O701" s="126" t="n">
        <v>2000000</v>
      </c>
      <c r="P701" s="121" t="s">
        <v>18</v>
      </c>
      <c r="Q701" s="121" t="s">
        <v>124</v>
      </c>
      <c r="R701" s="127"/>
      <c r="T701" s="118"/>
    </row>
    <row r="702" customFormat="false" ht="12.75" hidden="false" customHeight="true" outlineLevel="0" collapsed="false">
      <c r="B702" s="119" t="n">
        <f aca="false">ROW()-4</f>
        <v>698</v>
      </c>
      <c r="C702" s="120" t="n">
        <f aca="false">COUNTIFS($D$5:D702,D702)</f>
        <v>50</v>
      </c>
      <c r="D702" s="121" t="s">
        <v>1390</v>
      </c>
      <c r="E702" s="122" t="s">
        <v>1487</v>
      </c>
      <c r="F702" s="123" t="n">
        <v>45996</v>
      </c>
      <c r="G702" s="121" t="s">
        <v>22</v>
      </c>
      <c r="H70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A0698</v>
      </c>
      <c r="I70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B0698</v>
      </c>
      <c r="J702" s="122" t="s">
        <v>1488</v>
      </c>
      <c r="K70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C0698</v>
      </c>
      <c r="L70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D0698</v>
      </c>
      <c r="M70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E0698</v>
      </c>
      <c r="N702" s="122" t="s">
        <v>72</v>
      </c>
      <c r="O702" s="126" t="n">
        <v>2000000</v>
      </c>
      <c r="P702" s="121" t="s">
        <v>18</v>
      </c>
      <c r="Q702" s="121" t="s">
        <v>124</v>
      </c>
      <c r="R702" s="127"/>
      <c r="T702" s="118"/>
    </row>
    <row r="703" s="118" customFormat="true" ht="12.75" hidden="false" customHeight="true" outlineLevel="0" collapsed="false">
      <c r="A703" s="98"/>
      <c r="B703" s="119" t="n">
        <f aca="false">ROW()-4</f>
        <v>699</v>
      </c>
      <c r="C703" s="120" t="n">
        <f aca="false">COUNTIFS($D$5:D703,D703)</f>
        <v>51</v>
      </c>
      <c r="D703" s="121" t="s">
        <v>1390</v>
      </c>
      <c r="E703" s="122" t="s">
        <v>1489</v>
      </c>
      <c r="F703" s="123" t="n">
        <v>44728</v>
      </c>
      <c r="G703" s="121" t="s">
        <v>24</v>
      </c>
      <c r="H70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A0699</v>
      </c>
      <c r="I70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B0699</v>
      </c>
      <c r="J703" s="122" t="s">
        <v>1490</v>
      </c>
      <c r="K70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C0699</v>
      </c>
      <c r="L70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D0699</v>
      </c>
      <c r="M70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E0699</v>
      </c>
      <c r="N703" s="122" t="s">
        <v>72</v>
      </c>
      <c r="O703" s="126" t="n">
        <v>2000000</v>
      </c>
      <c r="P703" s="121" t="s">
        <v>18</v>
      </c>
      <c r="Q703" s="121" t="s">
        <v>124</v>
      </c>
      <c r="R703" s="127"/>
    </row>
    <row r="704" customFormat="false" ht="12.75" hidden="false" customHeight="true" outlineLevel="0" collapsed="false">
      <c r="B704" s="119" t="n">
        <f aca="false">ROW()-4</f>
        <v>700</v>
      </c>
      <c r="C704" s="120" t="n">
        <f aca="false">COUNTIFS($D$5:D704,D704)</f>
        <v>52</v>
      </c>
      <c r="D704" s="121" t="s">
        <v>1390</v>
      </c>
      <c r="E704" s="122" t="s">
        <v>1491</v>
      </c>
      <c r="F704" s="123" t="n">
        <v>44736</v>
      </c>
      <c r="G704" s="121" t="s">
        <v>24</v>
      </c>
      <c r="H70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A0700</v>
      </c>
      <c r="I70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B0700</v>
      </c>
      <c r="J704" s="122" t="s">
        <v>1492</v>
      </c>
      <c r="K70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C0700</v>
      </c>
      <c r="L70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D0700</v>
      </c>
      <c r="M70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E0700</v>
      </c>
      <c r="N704" s="122" t="s">
        <v>72</v>
      </c>
      <c r="O704" s="126" t="n">
        <v>2000000</v>
      </c>
      <c r="P704" s="121" t="s">
        <v>18</v>
      </c>
      <c r="Q704" s="121" t="s">
        <v>124</v>
      </c>
      <c r="R704" s="127"/>
      <c r="T704" s="118"/>
    </row>
    <row r="705" customFormat="false" ht="12.75" hidden="false" customHeight="true" outlineLevel="0" collapsed="false">
      <c r="B705" s="119" t="n">
        <f aca="false">ROW()-4</f>
        <v>701</v>
      </c>
      <c r="C705" s="120" t="n">
        <f aca="false">COUNTIFS($D$5:D705,D705)</f>
        <v>53</v>
      </c>
      <c r="D705" s="121" t="s">
        <v>1390</v>
      </c>
      <c r="E705" s="122" t="s">
        <v>1493</v>
      </c>
      <c r="F705" s="123" t="n">
        <v>44736</v>
      </c>
      <c r="G705" s="121" t="s">
        <v>24</v>
      </c>
      <c r="H70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A0701</v>
      </c>
      <c r="I70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B0701</v>
      </c>
      <c r="J705" s="122" t="s">
        <v>1494</v>
      </c>
      <c r="K70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C0701</v>
      </c>
      <c r="L70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D0701</v>
      </c>
      <c r="M70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E0701</v>
      </c>
      <c r="N705" s="122" t="s">
        <v>72</v>
      </c>
      <c r="O705" s="126" t="n">
        <v>2000000</v>
      </c>
      <c r="P705" s="121" t="s">
        <v>18</v>
      </c>
      <c r="Q705" s="121" t="s">
        <v>124</v>
      </c>
      <c r="R705" s="127"/>
      <c r="T705" s="118"/>
    </row>
    <row r="706" customFormat="false" ht="12.75" hidden="false" customHeight="true" outlineLevel="0" collapsed="false">
      <c r="B706" s="119" t="n">
        <f aca="false">ROW()-4</f>
        <v>702</v>
      </c>
      <c r="C706" s="120" t="n">
        <f aca="false">COUNTIFS($D$5:D706,D706)</f>
        <v>54</v>
      </c>
      <c r="D706" s="121" t="s">
        <v>1390</v>
      </c>
      <c r="E706" s="122" t="s">
        <v>1495</v>
      </c>
      <c r="F706" s="123" t="n">
        <v>44742</v>
      </c>
      <c r="G706" s="121" t="s">
        <v>28</v>
      </c>
      <c r="H70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A0702</v>
      </c>
      <c r="I70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B0702</v>
      </c>
      <c r="J706" s="124" t="s">
        <v>1496</v>
      </c>
      <c r="K70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C0702</v>
      </c>
      <c r="L70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D0702</v>
      </c>
      <c r="M70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E0702</v>
      </c>
      <c r="N706" s="122" t="s">
        <v>72</v>
      </c>
      <c r="O706" s="126" t="n">
        <v>2000000</v>
      </c>
      <c r="P706" s="121" t="s">
        <v>18</v>
      </c>
      <c r="Q706" s="121" t="s">
        <v>124</v>
      </c>
      <c r="R706" s="127"/>
      <c r="T706" s="118"/>
    </row>
    <row r="707" customFormat="false" ht="12.75" hidden="false" customHeight="true" outlineLevel="0" collapsed="false">
      <c r="B707" s="119" t="n">
        <f aca="false">ROW()-4</f>
        <v>703</v>
      </c>
      <c r="C707" s="120" t="n">
        <f aca="false">COUNTIFS($D$5:D707,D707)</f>
        <v>55</v>
      </c>
      <c r="D707" s="121" t="s">
        <v>1390</v>
      </c>
      <c r="E707" s="122" t="s">
        <v>1497</v>
      </c>
      <c r="F707" s="123" t="n">
        <v>44743</v>
      </c>
      <c r="G707" s="121" t="s">
        <v>22</v>
      </c>
      <c r="H70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A0703</v>
      </c>
      <c r="I70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B0703</v>
      </c>
      <c r="J707" s="122" t="s">
        <v>1498</v>
      </c>
      <c r="K70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C0703</v>
      </c>
      <c r="L70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D0703</v>
      </c>
      <c r="M70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E0703</v>
      </c>
      <c r="N707" s="122" t="s">
        <v>72</v>
      </c>
      <c r="O707" s="126" t="n">
        <v>2000000</v>
      </c>
      <c r="P707" s="121" t="s">
        <v>18</v>
      </c>
      <c r="Q707" s="121" t="s">
        <v>124</v>
      </c>
      <c r="R707" s="127"/>
      <c r="T707" s="118"/>
    </row>
    <row r="708" customFormat="false" ht="12.75" hidden="false" customHeight="true" outlineLevel="0" collapsed="false">
      <c r="B708" s="119" t="n">
        <f aca="false">ROW()-4</f>
        <v>704</v>
      </c>
      <c r="C708" s="120" t="n">
        <f aca="false">COUNTIFS($D$5:D708,D708)</f>
        <v>56</v>
      </c>
      <c r="D708" s="121" t="s">
        <v>1390</v>
      </c>
      <c r="E708" s="122" t="s">
        <v>1499</v>
      </c>
      <c r="F708" s="123" t="n">
        <v>44743</v>
      </c>
      <c r="G708" s="121" t="s">
        <v>22</v>
      </c>
      <c r="H70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A0704</v>
      </c>
      <c r="I70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B0704</v>
      </c>
      <c r="J708" s="122" t="s">
        <v>1500</v>
      </c>
      <c r="K70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C0704</v>
      </c>
      <c r="L70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D0704</v>
      </c>
      <c r="M70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E0704</v>
      </c>
      <c r="N708" s="122" t="s">
        <v>72</v>
      </c>
      <c r="O708" s="126" t="n">
        <v>2000000</v>
      </c>
      <c r="P708" s="121" t="s">
        <v>18</v>
      </c>
      <c r="Q708" s="121" t="s">
        <v>124</v>
      </c>
      <c r="R708" s="127"/>
      <c r="T708" s="118"/>
    </row>
    <row r="709" customFormat="false" ht="12.75" hidden="false" customHeight="true" outlineLevel="0" collapsed="false">
      <c r="B709" s="119" t="n">
        <f aca="false">ROW()-4</f>
        <v>705</v>
      </c>
      <c r="C709" s="120" t="n">
        <f aca="false">COUNTIFS($D$5:D709,D709)</f>
        <v>57</v>
      </c>
      <c r="D709" s="121" t="s">
        <v>1390</v>
      </c>
      <c r="E709" s="122" t="s">
        <v>1501</v>
      </c>
      <c r="F709" s="123" t="n">
        <v>44523</v>
      </c>
      <c r="G709" s="121" t="s">
        <v>26</v>
      </c>
      <c r="H70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A0705</v>
      </c>
      <c r="I70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B0705</v>
      </c>
      <c r="J709" s="122" t="s">
        <v>1502</v>
      </c>
      <c r="K70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C0705</v>
      </c>
      <c r="L70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D0705</v>
      </c>
      <c r="M70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E0705</v>
      </c>
      <c r="N709" s="122" t="s">
        <v>72</v>
      </c>
      <c r="O709" s="126" t="n">
        <v>2000000</v>
      </c>
      <c r="P709" s="121" t="s">
        <v>18</v>
      </c>
      <c r="Q709" s="121" t="s">
        <v>124</v>
      </c>
      <c r="R709" s="127"/>
      <c r="T709" s="118"/>
    </row>
    <row r="710" customFormat="false" ht="12.75" hidden="false" customHeight="true" outlineLevel="0" collapsed="false">
      <c r="B710" s="119" t="n">
        <f aca="false">ROW()-4</f>
        <v>706</v>
      </c>
      <c r="C710" s="120" t="n">
        <f aca="false">COUNTIFS($D$5:D710,D710)</f>
        <v>58</v>
      </c>
      <c r="D710" s="121" t="s">
        <v>1390</v>
      </c>
      <c r="E710" s="122" t="s">
        <v>1503</v>
      </c>
      <c r="F710" s="123" t="n">
        <v>44755</v>
      </c>
      <c r="G710" s="121" t="s">
        <v>28</v>
      </c>
      <c r="H71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A0706</v>
      </c>
      <c r="I71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B0706</v>
      </c>
      <c r="J710" s="122" t="s">
        <v>1504</v>
      </c>
      <c r="K71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C0706</v>
      </c>
      <c r="L71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D0706</v>
      </c>
      <c r="M71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E0706</v>
      </c>
      <c r="N710" s="122" t="s">
        <v>72</v>
      </c>
      <c r="O710" s="126" t="n">
        <v>2000000</v>
      </c>
      <c r="P710" s="121" t="s">
        <v>18</v>
      </c>
      <c r="Q710" s="121" t="s">
        <v>124</v>
      </c>
      <c r="R710" s="127"/>
      <c r="T710" s="118"/>
    </row>
    <row r="711" customFormat="false" ht="12.75" hidden="false" customHeight="true" outlineLevel="0" collapsed="false">
      <c r="B711" s="119" t="n">
        <f aca="false">ROW()-4</f>
        <v>707</v>
      </c>
      <c r="C711" s="120" t="n">
        <f aca="false">COUNTIFS($D$5:D711,D711)</f>
        <v>59</v>
      </c>
      <c r="D711" s="121" t="s">
        <v>1390</v>
      </c>
      <c r="E711" s="122" t="s">
        <v>1505</v>
      </c>
      <c r="F711" s="123" t="n">
        <v>44760</v>
      </c>
      <c r="G711" s="121" t="s">
        <v>28</v>
      </c>
      <c r="H71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A0707</v>
      </c>
      <c r="I71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B0707</v>
      </c>
      <c r="J711" s="122" t="s">
        <v>1506</v>
      </c>
      <c r="K71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C0707</v>
      </c>
      <c r="L71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D0707</v>
      </c>
      <c r="M71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E0707</v>
      </c>
      <c r="N711" s="122" t="s">
        <v>72</v>
      </c>
      <c r="O711" s="126" t="n">
        <v>2000000</v>
      </c>
      <c r="P711" s="121" t="s">
        <v>18</v>
      </c>
      <c r="Q711" s="121" t="s">
        <v>124</v>
      </c>
      <c r="R711" s="127"/>
      <c r="T711" s="118"/>
    </row>
    <row r="712" customFormat="false" ht="12.75" hidden="false" customHeight="true" outlineLevel="0" collapsed="false">
      <c r="B712" s="119" t="n">
        <f aca="false">ROW()-4</f>
        <v>708</v>
      </c>
      <c r="C712" s="120" t="n">
        <f aca="false">COUNTIFS($D$5:D712,D712)</f>
        <v>60</v>
      </c>
      <c r="D712" s="121" t="s">
        <v>1390</v>
      </c>
      <c r="E712" s="122" t="s">
        <v>1507</v>
      </c>
      <c r="F712" s="123" t="n">
        <v>45476</v>
      </c>
      <c r="G712" s="121" t="s">
        <v>28</v>
      </c>
      <c r="H71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A0708</v>
      </c>
      <c r="I71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B0708</v>
      </c>
      <c r="J712" s="122" t="s">
        <v>1508</v>
      </c>
      <c r="K71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C0708</v>
      </c>
      <c r="L71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D0708</v>
      </c>
      <c r="M71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E0708</v>
      </c>
      <c r="N712" s="122" t="s">
        <v>72</v>
      </c>
      <c r="O712" s="126" t="n">
        <v>2000000</v>
      </c>
      <c r="P712" s="121" t="s">
        <v>18</v>
      </c>
      <c r="Q712" s="121" t="s">
        <v>124</v>
      </c>
      <c r="R712" s="127"/>
      <c r="T712" s="118"/>
    </row>
    <row r="713" customFormat="false" ht="12.75" hidden="false" customHeight="true" outlineLevel="0" collapsed="false">
      <c r="B713" s="119" t="n">
        <f aca="false">ROW()-4</f>
        <v>709</v>
      </c>
      <c r="C713" s="120" t="n">
        <f aca="false">COUNTIFS($D$5:D713,D713)</f>
        <v>61</v>
      </c>
      <c r="D713" s="121" t="s">
        <v>1390</v>
      </c>
      <c r="E713" s="122" t="s">
        <v>1509</v>
      </c>
      <c r="F713" s="123" t="n">
        <v>45656</v>
      </c>
      <c r="G713" s="121" t="s">
        <v>28</v>
      </c>
      <c r="H71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A0709</v>
      </c>
      <c r="I71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B0709</v>
      </c>
      <c r="J713" s="122" t="s">
        <v>1510</v>
      </c>
      <c r="K71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C0709</v>
      </c>
      <c r="L71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D0709</v>
      </c>
      <c r="M71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E0709</v>
      </c>
      <c r="N713" s="122" t="s">
        <v>72</v>
      </c>
      <c r="O713" s="126" t="n">
        <v>2000000</v>
      </c>
      <c r="P713" s="121" t="s">
        <v>18</v>
      </c>
      <c r="Q713" s="121" t="s">
        <v>124</v>
      </c>
      <c r="R713" s="127"/>
      <c r="T713" s="118"/>
    </row>
    <row r="714" customFormat="false" ht="12.75" hidden="false" customHeight="true" outlineLevel="0" collapsed="false">
      <c r="B714" s="119" t="n">
        <f aca="false">ROW()-4</f>
        <v>710</v>
      </c>
      <c r="C714" s="120" t="n">
        <f aca="false">COUNTIFS($D$5:D714,D714)</f>
        <v>62</v>
      </c>
      <c r="D714" s="121" t="s">
        <v>1390</v>
      </c>
      <c r="E714" s="122" t="s">
        <v>1511</v>
      </c>
      <c r="F714" s="137" t="n">
        <v>45910</v>
      </c>
      <c r="G714" s="138" t="s">
        <v>22</v>
      </c>
      <c r="H714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A0710</v>
      </c>
      <c r="I714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B0710</v>
      </c>
      <c r="J714" s="124" t="s">
        <v>1512</v>
      </c>
      <c r="K714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C0710</v>
      </c>
      <c r="L714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D0710</v>
      </c>
      <c r="M71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E0710</v>
      </c>
      <c r="N714" s="122" t="s">
        <v>72</v>
      </c>
      <c r="O714" s="126" t="n">
        <v>2000000</v>
      </c>
      <c r="P714" s="121" t="s">
        <v>18</v>
      </c>
      <c r="Q714" s="121" t="s">
        <v>124</v>
      </c>
      <c r="R714" s="127"/>
      <c r="T714" s="118"/>
    </row>
    <row r="715" customFormat="false" ht="12.75" hidden="false" customHeight="true" outlineLevel="0" collapsed="false">
      <c r="B715" s="119" t="n">
        <f aca="false">ROW()-4</f>
        <v>711</v>
      </c>
      <c r="C715" s="120" t="n">
        <f aca="false">COUNTIFS($D$5:D715,D715)</f>
        <v>63</v>
      </c>
      <c r="D715" s="121" t="s">
        <v>1390</v>
      </c>
      <c r="E715" s="122" t="s">
        <v>1513</v>
      </c>
      <c r="F715" s="123" t="n">
        <v>44831</v>
      </c>
      <c r="G715" s="121" t="s">
        <v>22</v>
      </c>
      <c r="H71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A0711</v>
      </c>
      <c r="I71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B0711</v>
      </c>
      <c r="J715" s="122" t="s">
        <v>1514</v>
      </c>
      <c r="K71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C0711</v>
      </c>
      <c r="L71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D0711</v>
      </c>
      <c r="M71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E0711</v>
      </c>
      <c r="N715" s="122" t="s">
        <v>72</v>
      </c>
      <c r="O715" s="126" t="n">
        <v>2000000</v>
      </c>
      <c r="P715" s="121" t="s">
        <v>18</v>
      </c>
      <c r="Q715" s="121" t="s">
        <v>124</v>
      </c>
      <c r="R715" s="127"/>
      <c r="T715" s="118"/>
    </row>
    <row r="716" customFormat="false" ht="12.75" hidden="false" customHeight="true" outlineLevel="0" collapsed="false">
      <c r="B716" s="119" t="n">
        <f aca="false">ROW()-4</f>
        <v>712</v>
      </c>
      <c r="C716" s="120" t="n">
        <f aca="false">COUNTIFS($D$5:D716,D716)</f>
        <v>64</v>
      </c>
      <c r="D716" s="121" t="s">
        <v>1390</v>
      </c>
      <c r="E716" s="122" t="s">
        <v>1515</v>
      </c>
      <c r="F716" s="123" t="n">
        <v>44834</v>
      </c>
      <c r="G716" s="121" t="s">
        <v>22</v>
      </c>
      <c r="H71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A0712</v>
      </c>
      <c r="I71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B0712</v>
      </c>
      <c r="J716" s="122" t="s">
        <v>1516</v>
      </c>
      <c r="K71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C0712</v>
      </c>
      <c r="L71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D0712</v>
      </c>
      <c r="M71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E0712</v>
      </c>
      <c r="N716" s="122" t="s">
        <v>72</v>
      </c>
      <c r="O716" s="126" t="n">
        <v>2000000</v>
      </c>
      <c r="P716" s="121" t="s">
        <v>18</v>
      </c>
      <c r="Q716" s="121" t="s">
        <v>124</v>
      </c>
      <c r="R716" s="127"/>
      <c r="T716" s="118"/>
    </row>
    <row r="717" customFormat="false" ht="12.75" hidden="false" customHeight="true" outlineLevel="0" collapsed="false">
      <c r="B717" s="119" t="n">
        <f aca="false">ROW()-4</f>
        <v>713</v>
      </c>
      <c r="C717" s="120" t="n">
        <f aca="false">COUNTIFS($D$5:D717,D717)</f>
        <v>65</v>
      </c>
      <c r="D717" s="121" t="s">
        <v>1390</v>
      </c>
      <c r="E717" s="122" t="s">
        <v>1517</v>
      </c>
      <c r="F717" s="123" t="n">
        <v>44838</v>
      </c>
      <c r="G717" s="121" t="s">
        <v>22</v>
      </c>
      <c r="H71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A0713</v>
      </c>
      <c r="I71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B0713</v>
      </c>
      <c r="J717" s="122" t="s">
        <v>1518</v>
      </c>
      <c r="K71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C0713</v>
      </c>
      <c r="L71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D0713</v>
      </c>
      <c r="M71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E0713</v>
      </c>
      <c r="N717" s="122" t="s">
        <v>72</v>
      </c>
      <c r="O717" s="126" t="n">
        <v>2000000</v>
      </c>
      <c r="P717" s="121" t="s">
        <v>18</v>
      </c>
      <c r="Q717" s="121" t="s">
        <v>124</v>
      </c>
      <c r="R717" s="127"/>
      <c r="T717" s="118"/>
    </row>
    <row r="718" customFormat="false" ht="12.75" hidden="false" customHeight="true" outlineLevel="0" collapsed="false">
      <c r="B718" s="119" t="n">
        <f aca="false">ROW()-4</f>
        <v>714</v>
      </c>
      <c r="C718" s="120" t="n">
        <f aca="false">COUNTIFS($D$5:D718,D718)</f>
        <v>66</v>
      </c>
      <c r="D718" s="121" t="s">
        <v>1390</v>
      </c>
      <c r="E718" s="122" t="s">
        <v>1519</v>
      </c>
      <c r="F718" s="123" t="n">
        <v>44847</v>
      </c>
      <c r="G718" s="121" t="s">
        <v>26</v>
      </c>
      <c r="H71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A0714</v>
      </c>
      <c r="I71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B0714</v>
      </c>
      <c r="J718" s="124" t="s">
        <v>1520</v>
      </c>
      <c r="K71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C0714</v>
      </c>
      <c r="L71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D0714</v>
      </c>
      <c r="M71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E0714</v>
      </c>
      <c r="N718" s="122" t="s">
        <v>72</v>
      </c>
      <c r="O718" s="126" t="n">
        <v>2000000</v>
      </c>
      <c r="P718" s="121" t="s">
        <v>18</v>
      </c>
      <c r="Q718" s="121" t="s">
        <v>124</v>
      </c>
      <c r="R718" s="127"/>
      <c r="T718" s="118"/>
    </row>
    <row r="719" s="118" customFormat="true" ht="12.75" hidden="false" customHeight="true" outlineLevel="0" collapsed="false">
      <c r="A719" s="98"/>
      <c r="B719" s="119" t="n">
        <f aca="false">ROW()-4</f>
        <v>715</v>
      </c>
      <c r="C719" s="120" t="n">
        <f aca="false">COUNTIFS($D$5:D719,D719)</f>
        <v>67</v>
      </c>
      <c r="D719" s="121" t="s">
        <v>1390</v>
      </c>
      <c r="E719" s="122" t="s">
        <v>1521</v>
      </c>
      <c r="F719" s="123" t="n">
        <v>44847</v>
      </c>
      <c r="G719" s="121" t="s">
        <v>26</v>
      </c>
      <c r="H71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A0715</v>
      </c>
      <c r="I71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B0715</v>
      </c>
      <c r="J719" s="124" t="s">
        <v>1522</v>
      </c>
      <c r="K71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C0715</v>
      </c>
      <c r="L71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D0715</v>
      </c>
      <c r="M71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E0715</v>
      </c>
      <c r="N719" s="122" t="s">
        <v>72</v>
      </c>
      <c r="O719" s="126" t="n">
        <v>2000000</v>
      </c>
      <c r="P719" s="121" t="s">
        <v>18</v>
      </c>
      <c r="Q719" s="121" t="s">
        <v>124</v>
      </c>
      <c r="R719" s="127"/>
    </row>
    <row r="720" customFormat="false" ht="12.75" hidden="false" customHeight="true" outlineLevel="0" collapsed="false">
      <c r="B720" s="119" t="n">
        <f aca="false">ROW()-4</f>
        <v>716</v>
      </c>
      <c r="C720" s="120" t="n">
        <f aca="false">COUNTIFS($D$5:D720,D720)</f>
        <v>68</v>
      </c>
      <c r="D720" s="121" t="s">
        <v>1390</v>
      </c>
      <c r="E720" s="122" t="s">
        <v>1523</v>
      </c>
      <c r="F720" s="123" t="n">
        <v>44854</v>
      </c>
      <c r="G720" s="121" t="s">
        <v>22</v>
      </c>
      <c r="H72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A0716</v>
      </c>
      <c r="I72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B0716</v>
      </c>
      <c r="J720" s="122" t="s">
        <v>1524</v>
      </c>
      <c r="K72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C0716</v>
      </c>
      <c r="L72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D0716</v>
      </c>
      <c r="M72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E0716</v>
      </c>
      <c r="N720" s="122" t="s">
        <v>72</v>
      </c>
      <c r="O720" s="126" t="n">
        <v>2000000</v>
      </c>
      <c r="P720" s="121" t="s">
        <v>18</v>
      </c>
      <c r="Q720" s="121" t="s">
        <v>124</v>
      </c>
      <c r="R720" s="127"/>
      <c r="T720" s="118"/>
    </row>
    <row r="721" customFormat="false" ht="12.75" hidden="false" customHeight="true" outlineLevel="0" collapsed="false">
      <c r="B721" s="119" t="n">
        <f aca="false">ROW()-4</f>
        <v>717</v>
      </c>
      <c r="C721" s="120" t="n">
        <f aca="false">COUNTIFS($D$5:D721,D721)</f>
        <v>69</v>
      </c>
      <c r="D721" s="121" t="s">
        <v>1390</v>
      </c>
      <c r="E721" s="122" t="s">
        <v>1525</v>
      </c>
      <c r="F721" s="123" t="n">
        <v>43993</v>
      </c>
      <c r="G721" s="121" t="s">
        <v>22</v>
      </c>
      <c r="H72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A0717</v>
      </c>
      <c r="I72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B0717</v>
      </c>
      <c r="J721" s="122" t="s">
        <v>1526</v>
      </c>
      <c r="K72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C0717</v>
      </c>
      <c r="L72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D0717</v>
      </c>
      <c r="M72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E0717</v>
      </c>
      <c r="N721" s="122" t="s">
        <v>72</v>
      </c>
      <c r="O721" s="126" t="n">
        <v>2000000</v>
      </c>
      <c r="P721" s="121" t="s">
        <v>18</v>
      </c>
      <c r="Q721" s="121" t="s">
        <v>124</v>
      </c>
      <c r="R721" s="127"/>
      <c r="T721" s="118"/>
    </row>
    <row r="722" customFormat="false" ht="12.75" hidden="false" customHeight="true" outlineLevel="0" collapsed="false">
      <c r="B722" s="119" t="n">
        <f aca="false">ROW()-4</f>
        <v>718</v>
      </c>
      <c r="C722" s="120" t="n">
        <f aca="false">COUNTIFS($D$5:D722,D722)</f>
        <v>70</v>
      </c>
      <c r="D722" s="121" t="s">
        <v>1390</v>
      </c>
      <c r="E722" s="122" t="s">
        <v>1527</v>
      </c>
      <c r="F722" s="123" t="n">
        <v>44869</v>
      </c>
      <c r="G722" s="121" t="s">
        <v>26</v>
      </c>
      <c r="H72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A0718</v>
      </c>
      <c r="I72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B0718</v>
      </c>
      <c r="J722" s="122" t="s">
        <v>1528</v>
      </c>
      <c r="K72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C0718</v>
      </c>
      <c r="L72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D0718</v>
      </c>
      <c r="M72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E0718</v>
      </c>
      <c r="N722" s="122" t="s">
        <v>72</v>
      </c>
      <c r="O722" s="126" t="n">
        <v>2000000</v>
      </c>
      <c r="P722" s="121" t="s">
        <v>18</v>
      </c>
      <c r="Q722" s="121" t="s">
        <v>124</v>
      </c>
      <c r="R722" s="127"/>
      <c r="T722" s="118"/>
    </row>
    <row r="723" customFormat="false" ht="12.75" hidden="false" customHeight="true" outlineLevel="0" collapsed="false">
      <c r="B723" s="119" t="n">
        <f aca="false">ROW()-4</f>
        <v>719</v>
      </c>
      <c r="C723" s="120" t="n">
        <f aca="false">COUNTIFS($D$5:D723,D723)</f>
        <v>71</v>
      </c>
      <c r="D723" s="121" t="s">
        <v>1390</v>
      </c>
      <c r="E723" s="122" t="s">
        <v>1529</v>
      </c>
      <c r="F723" s="123" t="n">
        <v>44881</v>
      </c>
      <c r="G723" s="121" t="s">
        <v>24</v>
      </c>
      <c r="H72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A0719</v>
      </c>
      <c r="I72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B0719</v>
      </c>
      <c r="J723" s="122" t="s">
        <v>1530</v>
      </c>
      <c r="K72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C0719</v>
      </c>
      <c r="L72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D0719</v>
      </c>
      <c r="M72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E0719</v>
      </c>
      <c r="N723" s="122" t="s">
        <v>72</v>
      </c>
      <c r="O723" s="126" t="n">
        <v>2000000</v>
      </c>
      <c r="P723" s="121" t="s">
        <v>18</v>
      </c>
      <c r="Q723" s="121" t="s">
        <v>124</v>
      </c>
      <c r="R723" s="127"/>
      <c r="T723" s="118"/>
    </row>
    <row r="724" customFormat="false" ht="12.75" hidden="false" customHeight="true" outlineLevel="0" collapsed="false">
      <c r="B724" s="140" t="n">
        <f aca="false">ROW()-4</f>
        <v>720</v>
      </c>
      <c r="C724" s="141" t="n">
        <f aca="false">COUNTIFS($D$5:D724,D724)</f>
        <v>72</v>
      </c>
      <c r="D724" s="142" t="s">
        <v>1390</v>
      </c>
      <c r="E724" s="143" t="s">
        <v>1531</v>
      </c>
      <c r="F724" s="144" t="n">
        <v>46062</v>
      </c>
      <c r="G724" s="142" t="s">
        <v>28</v>
      </c>
      <c r="H724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A0720</v>
      </c>
      <c r="I724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B0720</v>
      </c>
      <c r="J724" s="143" t="s">
        <v>1532</v>
      </c>
      <c r="K724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C0720</v>
      </c>
      <c r="L724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D0720</v>
      </c>
      <c r="M724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E0720</v>
      </c>
      <c r="N724" s="143" t="s">
        <v>72</v>
      </c>
      <c r="O724" s="146" t="n">
        <v>2000000</v>
      </c>
      <c r="P724" s="142" t="s">
        <v>1533</v>
      </c>
      <c r="Q724" s="143" t="s">
        <v>908</v>
      </c>
      <c r="R724" s="147"/>
      <c r="T724" s="118"/>
    </row>
    <row r="725" customFormat="false" ht="12.75" hidden="false" customHeight="true" outlineLevel="0" collapsed="false">
      <c r="B725" s="119" t="n">
        <f aca="false">ROW()-4</f>
        <v>721</v>
      </c>
      <c r="C725" s="120" t="n">
        <f aca="false">COUNTIFS($D$5:D725,D725)</f>
        <v>73</v>
      </c>
      <c r="D725" s="121" t="s">
        <v>1390</v>
      </c>
      <c r="E725" s="122" t="s">
        <v>1534</v>
      </c>
      <c r="F725" s="123" t="n">
        <v>45652</v>
      </c>
      <c r="G725" s="121" t="s">
        <v>26</v>
      </c>
      <c r="H72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A0721</v>
      </c>
      <c r="I72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B0721</v>
      </c>
      <c r="J725" s="122" t="s">
        <v>1535</v>
      </c>
      <c r="K72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C0721</v>
      </c>
      <c r="L72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D0721</v>
      </c>
      <c r="M72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E0721</v>
      </c>
      <c r="N725" s="122" t="s">
        <v>72</v>
      </c>
      <c r="O725" s="126" t="n">
        <v>2000000</v>
      </c>
      <c r="P725" s="121" t="s">
        <v>18</v>
      </c>
      <c r="Q725" s="121" t="s">
        <v>124</v>
      </c>
      <c r="R725" s="127"/>
      <c r="T725" s="118"/>
    </row>
    <row r="726" customFormat="false" ht="12.75" hidden="false" customHeight="true" outlineLevel="0" collapsed="false">
      <c r="B726" s="119" t="n">
        <f aca="false">ROW()-4</f>
        <v>722</v>
      </c>
      <c r="C726" s="120" t="n">
        <f aca="false">COUNTIFS($D$5:D726,D726)</f>
        <v>74</v>
      </c>
      <c r="D726" s="121" t="s">
        <v>1390</v>
      </c>
      <c r="E726" s="122" t="s">
        <v>1536</v>
      </c>
      <c r="F726" s="123" t="n">
        <v>44904</v>
      </c>
      <c r="G726" s="121" t="s">
        <v>24</v>
      </c>
      <c r="H72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A0722</v>
      </c>
      <c r="I72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B0722</v>
      </c>
      <c r="J726" s="122" t="s">
        <v>1537</v>
      </c>
      <c r="K72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C0722</v>
      </c>
      <c r="L72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D0722</v>
      </c>
      <c r="M72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E0722</v>
      </c>
      <c r="N726" s="122" t="s">
        <v>72</v>
      </c>
      <c r="O726" s="126" t="n">
        <v>2000000</v>
      </c>
      <c r="P726" s="121" t="s">
        <v>18</v>
      </c>
      <c r="Q726" s="121" t="s">
        <v>124</v>
      </c>
      <c r="R726" s="127"/>
      <c r="T726" s="118"/>
    </row>
    <row r="727" customFormat="false" ht="12.75" hidden="false" customHeight="true" outlineLevel="0" collapsed="false">
      <c r="B727" s="119" t="n">
        <f aca="false">ROW()-4</f>
        <v>723</v>
      </c>
      <c r="C727" s="120" t="n">
        <f aca="false">COUNTIFS($D$5:D727,D727)</f>
        <v>75</v>
      </c>
      <c r="D727" s="121" t="s">
        <v>1390</v>
      </c>
      <c r="E727" s="122" t="s">
        <v>1538</v>
      </c>
      <c r="F727" s="123" t="n">
        <v>44923</v>
      </c>
      <c r="G727" s="121" t="s">
        <v>24</v>
      </c>
      <c r="H72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A0723</v>
      </c>
      <c r="I72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B0723</v>
      </c>
      <c r="J727" s="122" t="s">
        <v>1539</v>
      </c>
      <c r="K72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C0723</v>
      </c>
      <c r="L72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D0723</v>
      </c>
      <c r="M72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E0723</v>
      </c>
      <c r="N727" s="122" t="s">
        <v>72</v>
      </c>
      <c r="O727" s="126" t="n">
        <v>2000000</v>
      </c>
      <c r="P727" s="121" t="s">
        <v>18</v>
      </c>
      <c r="Q727" s="121" t="s">
        <v>124</v>
      </c>
      <c r="R727" s="127"/>
      <c r="T727" s="118"/>
    </row>
    <row r="728" customFormat="false" ht="12.75" hidden="false" customHeight="true" outlineLevel="0" collapsed="false">
      <c r="B728" s="119" t="n">
        <f aca="false">ROW()-4</f>
        <v>724</v>
      </c>
      <c r="C728" s="120" t="n">
        <f aca="false">COUNTIFS($D$5:D728,D728)</f>
        <v>76</v>
      </c>
      <c r="D728" s="121" t="s">
        <v>1390</v>
      </c>
      <c r="E728" s="122" t="s">
        <v>1540</v>
      </c>
      <c r="F728" s="123" t="n">
        <v>44964</v>
      </c>
      <c r="G728" s="121" t="s">
        <v>26</v>
      </c>
      <c r="H72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A0724</v>
      </c>
      <c r="I72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B0724</v>
      </c>
      <c r="J728" s="122" t="s">
        <v>1541</v>
      </c>
      <c r="K72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C0724</v>
      </c>
      <c r="L72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D0724</v>
      </c>
      <c r="M72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E0724</v>
      </c>
      <c r="N728" s="122" t="s">
        <v>72</v>
      </c>
      <c r="O728" s="126" t="n">
        <v>2000000</v>
      </c>
      <c r="P728" s="121" t="s">
        <v>18</v>
      </c>
      <c r="Q728" s="121" t="s">
        <v>124</v>
      </c>
      <c r="R728" s="127"/>
      <c r="T728" s="118"/>
    </row>
    <row r="729" customFormat="false" ht="12.75" hidden="false" customHeight="true" outlineLevel="0" collapsed="false">
      <c r="B729" s="119" t="n">
        <f aca="false">ROW()-4</f>
        <v>725</v>
      </c>
      <c r="C729" s="120" t="n">
        <f aca="false">COUNTIFS($D$5:D729,D729)</f>
        <v>77</v>
      </c>
      <c r="D729" s="121" t="s">
        <v>1390</v>
      </c>
      <c r="E729" s="122" t="s">
        <v>1542</v>
      </c>
      <c r="F729" s="123" t="n">
        <v>44965</v>
      </c>
      <c r="G729" s="121" t="s">
        <v>24</v>
      </c>
      <c r="H72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A0725</v>
      </c>
      <c r="I72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B0725</v>
      </c>
      <c r="J729" s="122" t="s">
        <v>1543</v>
      </c>
      <c r="K72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C0725</v>
      </c>
      <c r="L72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D0725</v>
      </c>
      <c r="M72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E0725</v>
      </c>
      <c r="N729" s="122" t="s">
        <v>72</v>
      </c>
      <c r="O729" s="126" t="n">
        <v>2000000</v>
      </c>
      <c r="P729" s="121" t="s">
        <v>18</v>
      </c>
      <c r="Q729" s="121" t="s">
        <v>124</v>
      </c>
      <c r="R729" s="127"/>
      <c r="T729" s="118"/>
    </row>
    <row r="730" customFormat="false" ht="12.75" hidden="false" customHeight="true" outlineLevel="0" collapsed="false">
      <c r="B730" s="119" t="n">
        <f aca="false">ROW()-4</f>
        <v>726</v>
      </c>
      <c r="C730" s="120" t="n">
        <f aca="false">COUNTIFS($D$5:D730,D730)</f>
        <v>78</v>
      </c>
      <c r="D730" s="121" t="s">
        <v>1390</v>
      </c>
      <c r="E730" s="122" t="s">
        <v>1544</v>
      </c>
      <c r="F730" s="123" t="n">
        <v>43711</v>
      </c>
      <c r="G730" s="121" t="s">
        <v>22</v>
      </c>
      <c r="H73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A0726</v>
      </c>
      <c r="I73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B0726</v>
      </c>
      <c r="J730" s="122" t="s">
        <v>1545</v>
      </c>
      <c r="K73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C0726</v>
      </c>
      <c r="L73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D0726</v>
      </c>
      <c r="M73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E0726</v>
      </c>
      <c r="N730" s="122" t="s">
        <v>72</v>
      </c>
      <c r="O730" s="126" t="n">
        <v>2000000</v>
      </c>
      <c r="P730" s="121" t="s">
        <v>18</v>
      </c>
      <c r="Q730" s="121" t="s">
        <v>124</v>
      </c>
      <c r="R730" s="127"/>
      <c r="T730" s="118"/>
    </row>
    <row r="731" customFormat="false" ht="12.75" hidden="false" customHeight="true" outlineLevel="0" collapsed="false">
      <c r="B731" s="119" t="n">
        <f aca="false">ROW()-4</f>
        <v>727</v>
      </c>
      <c r="C731" s="120" t="n">
        <f aca="false">COUNTIFS($D$5:D731,D731)</f>
        <v>79</v>
      </c>
      <c r="D731" s="121" t="s">
        <v>1390</v>
      </c>
      <c r="E731" s="122" t="s">
        <v>1546</v>
      </c>
      <c r="F731" s="123" t="n">
        <v>44979</v>
      </c>
      <c r="G731" s="121" t="s">
        <v>24</v>
      </c>
      <c r="H73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A0727</v>
      </c>
      <c r="I73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B0727</v>
      </c>
      <c r="J731" s="122" t="s">
        <v>1547</v>
      </c>
      <c r="K73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C0727</v>
      </c>
      <c r="L73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D0727</v>
      </c>
      <c r="M73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E0727</v>
      </c>
      <c r="N731" s="122" t="s">
        <v>72</v>
      </c>
      <c r="O731" s="126" t="n">
        <v>2000000</v>
      </c>
      <c r="P731" s="121" t="s">
        <v>18</v>
      </c>
      <c r="Q731" s="121" t="s">
        <v>124</v>
      </c>
      <c r="R731" s="127"/>
      <c r="T731" s="118"/>
    </row>
    <row r="732" customFormat="false" ht="12.75" hidden="false" customHeight="true" outlineLevel="0" collapsed="false">
      <c r="B732" s="119" t="n">
        <f aca="false">ROW()-4</f>
        <v>728</v>
      </c>
      <c r="C732" s="120" t="n">
        <f aca="false">COUNTIFS($D$5:D732,D732)</f>
        <v>80</v>
      </c>
      <c r="D732" s="121" t="s">
        <v>1390</v>
      </c>
      <c r="E732" s="122" t="s">
        <v>1548</v>
      </c>
      <c r="F732" s="123" t="n">
        <v>44993</v>
      </c>
      <c r="G732" s="121" t="s">
        <v>24</v>
      </c>
      <c r="H73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A0728</v>
      </c>
      <c r="I73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B0728</v>
      </c>
      <c r="J732" s="122" t="s">
        <v>1549</v>
      </c>
      <c r="K73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C0728</v>
      </c>
      <c r="L73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D0728</v>
      </c>
      <c r="M73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E0728</v>
      </c>
      <c r="N732" s="122" t="s">
        <v>72</v>
      </c>
      <c r="O732" s="126" t="n">
        <v>2000000</v>
      </c>
      <c r="P732" s="121" t="s">
        <v>18</v>
      </c>
      <c r="Q732" s="121" t="s">
        <v>124</v>
      </c>
      <c r="R732" s="127"/>
      <c r="T732" s="118"/>
    </row>
    <row r="733" customFormat="false" ht="12.75" hidden="false" customHeight="true" outlineLevel="0" collapsed="false">
      <c r="B733" s="119" t="n">
        <f aca="false">ROW()-4</f>
        <v>729</v>
      </c>
      <c r="C733" s="120" t="n">
        <f aca="false">COUNTIFS($D$5:D733,D733)</f>
        <v>81</v>
      </c>
      <c r="D733" s="121" t="s">
        <v>1390</v>
      </c>
      <c r="E733" s="122" t="s">
        <v>1550</v>
      </c>
      <c r="F733" s="123" t="n">
        <v>45034</v>
      </c>
      <c r="G733" s="121" t="s">
        <v>24</v>
      </c>
      <c r="H73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A0729</v>
      </c>
      <c r="I73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B0729</v>
      </c>
      <c r="J733" s="122" t="s">
        <v>1551</v>
      </c>
      <c r="K73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C0729</v>
      </c>
      <c r="L73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D0729</v>
      </c>
      <c r="M73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E0729</v>
      </c>
      <c r="N733" s="122" t="s">
        <v>72</v>
      </c>
      <c r="O733" s="126" t="n">
        <v>2000000</v>
      </c>
      <c r="P733" s="121" t="s">
        <v>18</v>
      </c>
      <c r="Q733" s="121" t="s">
        <v>124</v>
      </c>
      <c r="R733" s="127"/>
      <c r="T733" s="118"/>
    </row>
    <row r="734" customFormat="false" ht="12.75" hidden="false" customHeight="true" outlineLevel="0" collapsed="false">
      <c r="B734" s="119" t="n">
        <f aca="false">ROW()-4</f>
        <v>730</v>
      </c>
      <c r="C734" s="120" t="n">
        <f aca="false">COUNTIFS($D$5:D734,D734)</f>
        <v>82</v>
      </c>
      <c r="D734" s="121" t="s">
        <v>1390</v>
      </c>
      <c r="E734" s="122" t="s">
        <v>1552</v>
      </c>
      <c r="F734" s="123" t="n">
        <v>45035</v>
      </c>
      <c r="G734" s="121" t="s">
        <v>26</v>
      </c>
      <c r="H73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A0730</v>
      </c>
      <c r="I73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B0730</v>
      </c>
      <c r="J734" s="122" t="s">
        <v>1553</v>
      </c>
      <c r="K73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C0730</v>
      </c>
      <c r="L73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D0730</v>
      </c>
      <c r="M73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E0730</v>
      </c>
      <c r="N734" s="122" t="s">
        <v>72</v>
      </c>
      <c r="O734" s="126" t="n">
        <v>2000000</v>
      </c>
      <c r="P734" s="121" t="s">
        <v>18</v>
      </c>
      <c r="Q734" s="121" t="s">
        <v>124</v>
      </c>
      <c r="R734" s="127"/>
      <c r="T734" s="118"/>
    </row>
    <row r="735" customFormat="false" ht="12.75" hidden="false" customHeight="true" outlineLevel="0" collapsed="false">
      <c r="B735" s="119" t="n">
        <f aca="false">ROW()-4</f>
        <v>731</v>
      </c>
      <c r="C735" s="120" t="n">
        <f aca="false">COUNTIFS($D$5:D735,D735)</f>
        <v>83</v>
      </c>
      <c r="D735" s="121" t="s">
        <v>1390</v>
      </c>
      <c r="E735" s="122" t="s">
        <v>1554</v>
      </c>
      <c r="F735" s="123" t="n">
        <v>45048</v>
      </c>
      <c r="G735" s="121" t="s">
        <v>28</v>
      </c>
      <c r="H73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A0731</v>
      </c>
      <c r="I73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B0731</v>
      </c>
      <c r="J735" s="122" t="s">
        <v>1555</v>
      </c>
      <c r="K73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C0731</v>
      </c>
      <c r="L73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D0731</v>
      </c>
      <c r="M73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E0731</v>
      </c>
      <c r="N735" s="122" t="s">
        <v>72</v>
      </c>
      <c r="O735" s="126" t="n">
        <v>2000000</v>
      </c>
      <c r="P735" s="121" t="s">
        <v>18</v>
      </c>
      <c r="Q735" s="121" t="s">
        <v>124</v>
      </c>
      <c r="R735" s="127"/>
      <c r="T735" s="118"/>
    </row>
    <row r="736" customFormat="false" ht="12.75" hidden="false" customHeight="true" outlineLevel="0" collapsed="false">
      <c r="B736" s="119" t="n">
        <f aca="false">ROW()-4</f>
        <v>732</v>
      </c>
      <c r="C736" s="120" t="n">
        <f aca="false">COUNTIFS($D$5:D736,D736)</f>
        <v>84</v>
      </c>
      <c r="D736" s="121" t="s">
        <v>1390</v>
      </c>
      <c r="E736" s="122" t="s">
        <v>1556</v>
      </c>
      <c r="F736" s="123" t="n">
        <v>45050</v>
      </c>
      <c r="G736" s="121" t="s">
        <v>28</v>
      </c>
      <c r="H73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A0732</v>
      </c>
      <c r="I73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B0732</v>
      </c>
      <c r="J736" s="122" t="s">
        <v>1557</v>
      </c>
      <c r="K73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C0732</v>
      </c>
      <c r="L73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D0732</v>
      </c>
      <c r="M73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E0732</v>
      </c>
      <c r="N736" s="122" t="s">
        <v>72</v>
      </c>
      <c r="O736" s="126" t="n">
        <v>2000000</v>
      </c>
      <c r="P736" s="121" t="s">
        <v>18</v>
      </c>
      <c r="Q736" s="121" t="s">
        <v>124</v>
      </c>
      <c r="R736" s="127"/>
      <c r="T736" s="118"/>
    </row>
    <row r="737" customFormat="false" ht="12.75" hidden="false" customHeight="true" outlineLevel="0" collapsed="false">
      <c r="B737" s="119" t="n">
        <f aca="false">ROW()-4</f>
        <v>733</v>
      </c>
      <c r="C737" s="120" t="n">
        <f aca="false">COUNTIFS($D$5:D737,D737)</f>
        <v>85</v>
      </c>
      <c r="D737" s="121" t="s">
        <v>1390</v>
      </c>
      <c r="E737" s="122" t="s">
        <v>1558</v>
      </c>
      <c r="F737" s="123" t="n">
        <v>45058</v>
      </c>
      <c r="G737" s="121" t="s">
        <v>28</v>
      </c>
      <c r="H73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A0733</v>
      </c>
      <c r="I73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B0733</v>
      </c>
      <c r="J737" s="122" t="s">
        <v>1559</v>
      </c>
      <c r="K73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C0733</v>
      </c>
      <c r="L73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D0733</v>
      </c>
      <c r="M73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E0733</v>
      </c>
      <c r="N737" s="122" t="s">
        <v>72</v>
      </c>
      <c r="O737" s="126" t="n">
        <v>2000000</v>
      </c>
      <c r="P737" s="121" t="s">
        <v>18</v>
      </c>
      <c r="Q737" s="121" t="s">
        <v>124</v>
      </c>
      <c r="R737" s="127"/>
      <c r="T737" s="118"/>
    </row>
    <row r="738" customFormat="false" ht="12.75" hidden="false" customHeight="true" outlineLevel="0" collapsed="false">
      <c r="B738" s="119" t="n">
        <f aca="false">ROW()-4</f>
        <v>734</v>
      </c>
      <c r="C738" s="120" t="n">
        <f aca="false">COUNTIFS($D$5:D738,D738)</f>
        <v>86</v>
      </c>
      <c r="D738" s="121" t="s">
        <v>1390</v>
      </c>
      <c r="E738" s="122" t="s">
        <v>1560</v>
      </c>
      <c r="F738" s="123" t="n">
        <v>45063</v>
      </c>
      <c r="G738" s="121" t="s">
        <v>28</v>
      </c>
      <c r="H73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A0734</v>
      </c>
      <c r="I73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B0734</v>
      </c>
      <c r="J738" s="122" t="s">
        <v>1561</v>
      </c>
      <c r="K73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C0734</v>
      </c>
      <c r="L73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D0734</v>
      </c>
      <c r="M73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E0734</v>
      </c>
      <c r="N738" s="122" t="s">
        <v>72</v>
      </c>
      <c r="O738" s="126" t="n">
        <v>2000000</v>
      </c>
      <c r="P738" s="121" t="s">
        <v>18</v>
      </c>
      <c r="Q738" s="121" t="s">
        <v>124</v>
      </c>
      <c r="R738" s="127"/>
      <c r="T738" s="118"/>
    </row>
    <row r="739" customFormat="false" ht="12.75" hidden="false" customHeight="true" outlineLevel="0" collapsed="false">
      <c r="B739" s="119" t="n">
        <f aca="false">ROW()-4</f>
        <v>735</v>
      </c>
      <c r="C739" s="120" t="n">
        <f aca="false">COUNTIFS($D$5:D739,D739)</f>
        <v>87</v>
      </c>
      <c r="D739" s="121" t="s">
        <v>1390</v>
      </c>
      <c r="E739" s="122" t="s">
        <v>1562</v>
      </c>
      <c r="F739" s="123" t="n">
        <v>45065</v>
      </c>
      <c r="G739" s="121" t="s">
        <v>28</v>
      </c>
      <c r="H73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A0735</v>
      </c>
      <c r="I73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B0735</v>
      </c>
      <c r="J739" s="122" t="s">
        <v>1563</v>
      </c>
      <c r="K73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C0735</v>
      </c>
      <c r="L73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D0735</v>
      </c>
      <c r="M73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E0735</v>
      </c>
      <c r="N739" s="122" t="s">
        <v>72</v>
      </c>
      <c r="O739" s="126" t="n">
        <v>2000000</v>
      </c>
      <c r="P739" s="121" t="s">
        <v>18</v>
      </c>
      <c r="Q739" s="121" t="s">
        <v>124</v>
      </c>
      <c r="R739" s="127"/>
      <c r="T739" s="118"/>
    </row>
    <row r="740" customFormat="false" ht="12.75" hidden="false" customHeight="true" outlineLevel="0" collapsed="false">
      <c r="B740" s="119" t="n">
        <f aca="false">ROW()-4</f>
        <v>736</v>
      </c>
      <c r="C740" s="120" t="n">
        <f aca="false">COUNTIFS($D$5:D740,D740)</f>
        <v>88</v>
      </c>
      <c r="D740" s="121" t="s">
        <v>1390</v>
      </c>
      <c r="E740" s="122" t="s">
        <v>1564</v>
      </c>
      <c r="F740" s="123" t="n">
        <v>45096</v>
      </c>
      <c r="G740" s="121" t="s">
        <v>28</v>
      </c>
      <c r="H74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A0736</v>
      </c>
      <c r="I74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B0736</v>
      </c>
      <c r="J740" s="122" t="s">
        <v>1565</v>
      </c>
      <c r="K74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C0736</v>
      </c>
      <c r="L74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D0736</v>
      </c>
      <c r="M74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E0736</v>
      </c>
      <c r="N740" s="122" t="s">
        <v>72</v>
      </c>
      <c r="O740" s="126" t="n">
        <v>2000000</v>
      </c>
      <c r="P740" s="121" t="s">
        <v>18</v>
      </c>
      <c r="Q740" s="121" t="s">
        <v>124</v>
      </c>
      <c r="R740" s="127"/>
      <c r="T740" s="118"/>
    </row>
    <row r="741" customFormat="false" ht="12.75" hidden="false" customHeight="true" outlineLevel="0" collapsed="false">
      <c r="B741" s="119" t="n">
        <f aca="false">ROW()-4</f>
        <v>737</v>
      </c>
      <c r="C741" s="120" t="n">
        <f aca="false">COUNTIFS($D$5:D741,D741)</f>
        <v>89</v>
      </c>
      <c r="D741" s="121" t="s">
        <v>1390</v>
      </c>
      <c r="E741" s="122" t="s">
        <v>1566</v>
      </c>
      <c r="F741" s="123" t="n">
        <v>45118</v>
      </c>
      <c r="G741" s="121" t="s">
        <v>28</v>
      </c>
      <c r="H74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A0737</v>
      </c>
      <c r="I74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B0737</v>
      </c>
      <c r="J741" s="122" t="s">
        <v>1567</v>
      </c>
      <c r="K74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C0737</v>
      </c>
      <c r="L74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D0737</v>
      </c>
      <c r="M74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E0737</v>
      </c>
      <c r="N741" s="122" t="s">
        <v>72</v>
      </c>
      <c r="O741" s="126" t="n">
        <v>2000000</v>
      </c>
      <c r="P741" s="121" t="s">
        <v>18</v>
      </c>
      <c r="Q741" s="121" t="s">
        <v>124</v>
      </c>
      <c r="R741" s="127"/>
      <c r="T741" s="118"/>
    </row>
    <row r="742" customFormat="false" ht="12.75" hidden="false" customHeight="true" outlineLevel="0" collapsed="false">
      <c r="B742" s="140" t="n">
        <f aca="false">ROW()-4</f>
        <v>738</v>
      </c>
      <c r="C742" s="141" t="n">
        <f aca="false">COUNTIFS($D$5:D742,D742)</f>
        <v>90</v>
      </c>
      <c r="D742" s="142" t="s">
        <v>1390</v>
      </c>
      <c r="E742" s="143" t="s">
        <v>1568</v>
      </c>
      <c r="F742" s="144" t="n">
        <v>46062</v>
      </c>
      <c r="G742" s="142" t="s">
        <v>22</v>
      </c>
      <c r="H742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A0738</v>
      </c>
      <c r="I742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B0738</v>
      </c>
      <c r="J742" s="143" t="s">
        <v>1569</v>
      </c>
      <c r="K742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C0738</v>
      </c>
      <c r="L742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D0738</v>
      </c>
      <c r="M742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E0738</v>
      </c>
      <c r="N742" s="143" t="s">
        <v>72</v>
      </c>
      <c r="O742" s="146" t="n">
        <v>2000000</v>
      </c>
      <c r="P742" s="142" t="s">
        <v>1533</v>
      </c>
      <c r="Q742" s="143" t="s">
        <v>908</v>
      </c>
      <c r="R742" s="147"/>
      <c r="T742" s="118"/>
    </row>
    <row r="743" customFormat="false" ht="12.75" hidden="false" customHeight="true" outlineLevel="0" collapsed="false">
      <c r="B743" s="119" t="n">
        <f aca="false">ROW()-4</f>
        <v>739</v>
      </c>
      <c r="C743" s="120" t="n">
        <f aca="false">COUNTIFS($D$5:D743,D743)</f>
        <v>91</v>
      </c>
      <c r="D743" s="121" t="s">
        <v>1390</v>
      </c>
      <c r="E743" s="122" t="s">
        <v>1570</v>
      </c>
      <c r="F743" s="123" t="n">
        <v>45146</v>
      </c>
      <c r="G743" s="121" t="s">
        <v>22</v>
      </c>
      <c r="H74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A0739</v>
      </c>
      <c r="I74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B0739</v>
      </c>
      <c r="J743" s="122" t="s">
        <v>1571</v>
      </c>
      <c r="K74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C0739</v>
      </c>
      <c r="L74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D0739</v>
      </c>
      <c r="M74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E0739</v>
      </c>
      <c r="N743" s="122" t="s">
        <v>72</v>
      </c>
      <c r="O743" s="126" t="n">
        <v>2000000</v>
      </c>
      <c r="P743" s="121" t="s">
        <v>18</v>
      </c>
      <c r="Q743" s="121" t="s">
        <v>124</v>
      </c>
      <c r="R743" s="127"/>
      <c r="T743" s="118"/>
    </row>
    <row r="744" customFormat="false" ht="12.75" hidden="false" customHeight="true" outlineLevel="0" collapsed="false">
      <c r="B744" s="119" t="n">
        <f aca="false">ROW()-4</f>
        <v>740</v>
      </c>
      <c r="C744" s="120" t="n">
        <f aca="false">COUNTIFS($D$5:D744,D744)</f>
        <v>92</v>
      </c>
      <c r="D744" s="121" t="s">
        <v>1390</v>
      </c>
      <c r="E744" s="122" t="s">
        <v>1572</v>
      </c>
      <c r="F744" s="123" t="n">
        <v>45162</v>
      </c>
      <c r="G744" s="121" t="s">
        <v>24</v>
      </c>
      <c r="H74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A0740</v>
      </c>
      <c r="I74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B0740</v>
      </c>
      <c r="J744" s="122" t="s">
        <v>1573</v>
      </c>
      <c r="K74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C0740</v>
      </c>
      <c r="L74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D0740</v>
      </c>
      <c r="M74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E0740</v>
      </c>
      <c r="N744" s="122" t="s">
        <v>72</v>
      </c>
      <c r="O744" s="126" t="n">
        <v>2000000</v>
      </c>
      <c r="P744" s="121" t="s">
        <v>18</v>
      </c>
      <c r="Q744" s="121" t="s">
        <v>124</v>
      </c>
      <c r="R744" s="127"/>
      <c r="T744" s="118"/>
    </row>
    <row r="745" customFormat="false" ht="12.75" hidden="false" customHeight="true" outlineLevel="0" collapsed="false">
      <c r="B745" s="119" t="n">
        <f aca="false">ROW()-4</f>
        <v>741</v>
      </c>
      <c r="C745" s="120" t="n">
        <f aca="false">COUNTIFS($D$5:D745,D745)</f>
        <v>93</v>
      </c>
      <c r="D745" s="121" t="s">
        <v>1390</v>
      </c>
      <c r="E745" s="122" t="s">
        <v>1574</v>
      </c>
      <c r="F745" s="123" t="n">
        <v>45163</v>
      </c>
      <c r="G745" s="121" t="s">
        <v>24</v>
      </c>
      <c r="H74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A0741</v>
      </c>
      <c r="I74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B0741</v>
      </c>
      <c r="J745" s="122" t="s">
        <v>1575</v>
      </c>
      <c r="K74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C0741</v>
      </c>
      <c r="L74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D0741</v>
      </c>
      <c r="M74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E0741</v>
      </c>
      <c r="N745" s="122" t="s">
        <v>72</v>
      </c>
      <c r="O745" s="126" t="n">
        <v>2000000</v>
      </c>
      <c r="P745" s="121" t="s">
        <v>18</v>
      </c>
      <c r="Q745" s="121" t="s">
        <v>124</v>
      </c>
      <c r="R745" s="127"/>
      <c r="T745" s="118"/>
    </row>
    <row r="746" customFormat="false" ht="12.75" hidden="false" customHeight="true" outlineLevel="0" collapsed="false">
      <c r="B746" s="119" t="n">
        <f aca="false">ROW()-4</f>
        <v>742</v>
      </c>
      <c r="C746" s="120" t="n">
        <f aca="false">COUNTIFS($D$5:D746,D746)</f>
        <v>94</v>
      </c>
      <c r="D746" s="121" t="s">
        <v>1390</v>
      </c>
      <c r="E746" s="122" t="s">
        <v>1576</v>
      </c>
      <c r="F746" s="123" t="n">
        <v>45168</v>
      </c>
      <c r="G746" s="121" t="s">
        <v>22</v>
      </c>
      <c r="H74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A0742</v>
      </c>
      <c r="I74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B0742</v>
      </c>
      <c r="J746" s="122" t="s">
        <v>1577</v>
      </c>
      <c r="K74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C0742</v>
      </c>
      <c r="L74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D0742</v>
      </c>
      <c r="M74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E0742</v>
      </c>
      <c r="N746" s="122" t="s">
        <v>72</v>
      </c>
      <c r="O746" s="126" t="n">
        <v>2000000</v>
      </c>
      <c r="P746" s="121" t="s">
        <v>18</v>
      </c>
      <c r="Q746" s="121" t="s">
        <v>124</v>
      </c>
      <c r="R746" s="127"/>
      <c r="T746" s="118"/>
    </row>
    <row r="747" customFormat="false" ht="12.75" hidden="false" customHeight="true" outlineLevel="0" collapsed="false">
      <c r="B747" s="119" t="n">
        <f aca="false">ROW()-4</f>
        <v>743</v>
      </c>
      <c r="C747" s="120" t="n">
        <f aca="false">COUNTIFS($D$5:D747,D747)</f>
        <v>95</v>
      </c>
      <c r="D747" s="121" t="s">
        <v>1390</v>
      </c>
      <c r="E747" s="122" t="s">
        <v>1578</v>
      </c>
      <c r="F747" s="123" t="n">
        <v>45476</v>
      </c>
      <c r="G747" s="121" t="s">
        <v>28</v>
      </c>
      <c r="H74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A0743</v>
      </c>
      <c r="I74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B0743</v>
      </c>
      <c r="J747" s="122" t="s">
        <v>1579</v>
      </c>
      <c r="K74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C0743</v>
      </c>
      <c r="L74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D0743</v>
      </c>
      <c r="M74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E0743</v>
      </c>
      <c r="N747" s="122" t="s">
        <v>72</v>
      </c>
      <c r="O747" s="126" t="n">
        <v>2000000</v>
      </c>
      <c r="P747" s="121" t="s">
        <v>18</v>
      </c>
      <c r="Q747" s="121" t="s">
        <v>124</v>
      </c>
      <c r="R747" s="127"/>
      <c r="T747" s="118"/>
    </row>
    <row r="748" customFormat="false" ht="12.75" hidden="false" customHeight="true" outlineLevel="0" collapsed="false">
      <c r="B748" s="119" t="n">
        <f aca="false">ROW()-4</f>
        <v>744</v>
      </c>
      <c r="C748" s="120" t="n">
        <f aca="false">COUNTIFS($D$5:D748,D748)</f>
        <v>96</v>
      </c>
      <c r="D748" s="121" t="s">
        <v>1390</v>
      </c>
      <c r="E748" s="122" t="s">
        <v>1580</v>
      </c>
      <c r="F748" s="123" t="n">
        <v>45243</v>
      </c>
      <c r="G748" s="121" t="s">
        <v>28</v>
      </c>
      <c r="H74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A0744</v>
      </c>
      <c r="I74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B0744</v>
      </c>
      <c r="J748" s="122" t="s">
        <v>1581</v>
      </c>
      <c r="K74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C0744</v>
      </c>
      <c r="L74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D0744</v>
      </c>
      <c r="M74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E0744</v>
      </c>
      <c r="N748" s="122" t="s">
        <v>72</v>
      </c>
      <c r="O748" s="126" t="n">
        <v>2000000</v>
      </c>
      <c r="P748" s="121" t="s">
        <v>18</v>
      </c>
      <c r="Q748" s="121" t="s">
        <v>124</v>
      </c>
      <c r="R748" s="127"/>
      <c r="T748" s="118"/>
    </row>
    <row r="749" customFormat="false" ht="12.75" hidden="false" customHeight="true" outlineLevel="0" collapsed="false">
      <c r="B749" s="119" t="n">
        <f aca="false">ROW()-4</f>
        <v>745</v>
      </c>
      <c r="C749" s="120" t="n">
        <f aca="false">COUNTIFS($D$5:D749,D749)</f>
        <v>97</v>
      </c>
      <c r="D749" s="121" t="s">
        <v>1390</v>
      </c>
      <c r="E749" s="122" t="s">
        <v>1582</v>
      </c>
      <c r="F749" s="123" t="n">
        <v>45246</v>
      </c>
      <c r="G749" s="121" t="s">
        <v>22</v>
      </c>
      <c r="H74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A0745</v>
      </c>
      <c r="I74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B0745</v>
      </c>
      <c r="J749" s="122" t="s">
        <v>1583</v>
      </c>
      <c r="K74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C0745</v>
      </c>
      <c r="L74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D0745</v>
      </c>
      <c r="M74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E0745</v>
      </c>
      <c r="N749" s="122" t="s">
        <v>72</v>
      </c>
      <c r="O749" s="126" t="n">
        <v>2000000</v>
      </c>
      <c r="P749" s="121" t="s">
        <v>18</v>
      </c>
      <c r="Q749" s="121" t="s">
        <v>124</v>
      </c>
      <c r="R749" s="127"/>
      <c r="T749" s="118"/>
    </row>
    <row r="750" customFormat="false" ht="12.75" hidden="false" customHeight="true" outlineLevel="0" collapsed="false">
      <c r="B750" s="119" t="n">
        <f aca="false">ROW()-4</f>
        <v>746</v>
      </c>
      <c r="C750" s="120" t="n">
        <f aca="false">COUNTIFS($D$5:D750,D750)</f>
        <v>98</v>
      </c>
      <c r="D750" s="121" t="s">
        <v>1390</v>
      </c>
      <c r="E750" s="122" t="s">
        <v>1584</v>
      </c>
      <c r="F750" s="123" t="n">
        <v>45222</v>
      </c>
      <c r="G750" s="121" t="s">
        <v>22</v>
      </c>
      <c r="H75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A0746</v>
      </c>
      <c r="I75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B0746</v>
      </c>
      <c r="J750" s="122" t="s">
        <v>1585</v>
      </c>
      <c r="K75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C0746</v>
      </c>
      <c r="L75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D0746</v>
      </c>
      <c r="M75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E0746</v>
      </c>
      <c r="N750" s="122" t="s">
        <v>72</v>
      </c>
      <c r="O750" s="126" t="n">
        <v>2000000</v>
      </c>
      <c r="P750" s="121" t="s">
        <v>18</v>
      </c>
      <c r="Q750" s="121" t="s">
        <v>124</v>
      </c>
      <c r="R750" s="127"/>
      <c r="T750" s="118"/>
    </row>
    <row r="751" customFormat="false" ht="12.75" hidden="false" customHeight="true" outlineLevel="0" collapsed="false">
      <c r="B751" s="119" t="n">
        <f aca="false">ROW()-4</f>
        <v>747</v>
      </c>
      <c r="C751" s="120" t="n">
        <f aca="false">COUNTIFS($D$5:D751,D751)</f>
        <v>99</v>
      </c>
      <c r="D751" s="121" t="s">
        <v>1390</v>
      </c>
      <c r="E751" s="122" t="s">
        <v>1586</v>
      </c>
      <c r="F751" s="123" t="n">
        <v>45229</v>
      </c>
      <c r="G751" s="121" t="s">
        <v>22</v>
      </c>
      <c r="H75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A0747</v>
      </c>
      <c r="I75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B0747</v>
      </c>
      <c r="J751" s="122" t="s">
        <v>1587</v>
      </c>
      <c r="K75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C0747</v>
      </c>
      <c r="L75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D0747</v>
      </c>
      <c r="M75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E0747</v>
      </c>
      <c r="N751" s="122" t="s">
        <v>72</v>
      </c>
      <c r="O751" s="126" t="n">
        <v>2000000</v>
      </c>
      <c r="P751" s="121" t="s">
        <v>18</v>
      </c>
      <c r="Q751" s="121" t="s">
        <v>124</v>
      </c>
      <c r="R751" s="127"/>
      <c r="T751" s="118"/>
    </row>
    <row r="752" customFormat="false" ht="12.75" hidden="false" customHeight="true" outlineLevel="0" collapsed="false">
      <c r="B752" s="119" t="n">
        <f aca="false">ROW()-4</f>
        <v>748</v>
      </c>
      <c r="C752" s="120" t="n">
        <f aca="false">COUNTIFS($D$5:D752,D752)</f>
        <v>100</v>
      </c>
      <c r="D752" s="121" t="s">
        <v>1390</v>
      </c>
      <c r="E752" s="122" t="s">
        <v>1588</v>
      </c>
      <c r="F752" s="123" t="n">
        <v>45827</v>
      </c>
      <c r="G752" s="121" t="s">
        <v>28</v>
      </c>
      <c r="H75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A0748</v>
      </c>
      <c r="I75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B0748</v>
      </c>
      <c r="J752" s="122" t="s">
        <v>1589</v>
      </c>
      <c r="K75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C0748</v>
      </c>
      <c r="L75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D0748</v>
      </c>
      <c r="M75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E0748</v>
      </c>
      <c r="N752" s="122" t="s">
        <v>72</v>
      </c>
      <c r="O752" s="126" t="n">
        <v>2000000</v>
      </c>
      <c r="P752" s="121" t="s">
        <v>18</v>
      </c>
      <c r="Q752" s="121" t="s">
        <v>124</v>
      </c>
      <c r="R752" s="127"/>
      <c r="T752" s="118"/>
    </row>
    <row r="753" customFormat="false" ht="12.75" hidden="false" customHeight="true" outlineLevel="0" collapsed="false">
      <c r="B753" s="119" t="n">
        <f aca="false">ROW()-4</f>
        <v>749</v>
      </c>
      <c r="C753" s="120" t="n">
        <f aca="false">COUNTIFS($D$5:D753,D753)</f>
        <v>101</v>
      </c>
      <c r="D753" s="121" t="s">
        <v>1390</v>
      </c>
      <c r="E753" s="122" t="s">
        <v>1590</v>
      </c>
      <c r="F753" s="123" t="n">
        <v>43983</v>
      </c>
      <c r="G753" s="121" t="s">
        <v>22</v>
      </c>
      <c r="H75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A0749</v>
      </c>
      <c r="I75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B0749</v>
      </c>
      <c r="J753" s="122" t="s">
        <v>1591</v>
      </c>
      <c r="K75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C0749</v>
      </c>
      <c r="L75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D0749</v>
      </c>
      <c r="M75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E0749</v>
      </c>
      <c r="N753" s="122" t="s">
        <v>72</v>
      </c>
      <c r="O753" s="126" t="n">
        <v>2000000</v>
      </c>
      <c r="P753" s="121" t="s">
        <v>18</v>
      </c>
      <c r="Q753" s="121" t="s">
        <v>124</v>
      </c>
      <c r="R753" s="127"/>
      <c r="T753" s="118"/>
    </row>
    <row r="754" customFormat="false" ht="12.75" hidden="false" customHeight="true" outlineLevel="0" collapsed="false">
      <c r="B754" s="119" t="n">
        <f aca="false">ROW()-4</f>
        <v>750</v>
      </c>
      <c r="C754" s="120" t="n">
        <f aca="false">COUNTIFS($D$5:D754,D754)</f>
        <v>102</v>
      </c>
      <c r="D754" s="121" t="s">
        <v>1390</v>
      </c>
      <c r="E754" s="122" t="s">
        <v>1592</v>
      </c>
      <c r="F754" s="123" t="n">
        <v>45288</v>
      </c>
      <c r="G754" s="121" t="s">
        <v>28</v>
      </c>
      <c r="H75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A0750</v>
      </c>
      <c r="I75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B0750</v>
      </c>
      <c r="J754" s="122" t="s">
        <v>1593</v>
      </c>
      <c r="K75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C0750</v>
      </c>
      <c r="L75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D0750</v>
      </c>
      <c r="M75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E0750</v>
      </c>
      <c r="N754" s="122" t="s">
        <v>72</v>
      </c>
      <c r="O754" s="126" t="n">
        <v>2000000</v>
      </c>
      <c r="P754" s="121" t="s">
        <v>18</v>
      </c>
      <c r="Q754" s="121" t="s">
        <v>124</v>
      </c>
      <c r="R754" s="127"/>
      <c r="T754" s="118"/>
    </row>
    <row r="755" customFormat="false" ht="12.75" hidden="false" customHeight="true" outlineLevel="0" collapsed="false">
      <c r="B755" s="119" t="n">
        <f aca="false">ROW()-4</f>
        <v>751</v>
      </c>
      <c r="C755" s="120" t="n">
        <f aca="false">COUNTIFS($D$5:D755,D755)</f>
        <v>103</v>
      </c>
      <c r="D755" s="121" t="s">
        <v>1390</v>
      </c>
      <c r="E755" s="122" t="s">
        <v>1594</v>
      </c>
      <c r="F755" s="123" t="n">
        <v>44799</v>
      </c>
      <c r="G755" s="121" t="s">
        <v>26</v>
      </c>
      <c r="H75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A0751</v>
      </c>
      <c r="I75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B0751</v>
      </c>
      <c r="J755" s="122" t="s">
        <v>1595</v>
      </c>
      <c r="K75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C0751</v>
      </c>
      <c r="L75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D0751</v>
      </c>
      <c r="M75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E0751</v>
      </c>
      <c r="N755" s="122" t="s">
        <v>72</v>
      </c>
      <c r="O755" s="126" t="n">
        <v>2000000</v>
      </c>
      <c r="P755" s="121" t="s">
        <v>18</v>
      </c>
      <c r="Q755" s="121" t="s">
        <v>124</v>
      </c>
      <c r="R755" s="127"/>
      <c r="T755" s="118"/>
    </row>
    <row r="756" customFormat="false" ht="12.75" hidden="false" customHeight="true" outlineLevel="0" collapsed="false">
      <c r="B756" s="119" t="n">
        <f aca="false">ROW()-4</f>
        <v>752</v>
      </c>
      <c r="C756" s="120" t="n">
        <f aca="false">COUNTIFS($D$5:D756,D756)</f>
        <v>104</v>
      </c>
      <c r="D756" s="121" t="s">
        <v>1390</v>
      </c>
      <c r="E756" s="122" t="s">
        <v>1596</v>
      </c>
      <c r="F756" s="123" t="n">
        <v>43578</v>
      </c>
      <c r="G756" s="121" t="s">
        <v>26</v>
      </c>
      <c r="H75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A0752</v>
      </c>
      <c r="I75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B0752</v>
      </c>
      <c r="J756" s="122" t="s">
        <v>1597</v>
      </c>
      <c r="K75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C0752</v>
      </c>
      <c r="L75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D0752</v>
      </c>
      <c r="M75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E0752</v>
      </c>
      <c r="N756" s="122" t="s">
        <v>72</v>
      </c>
      <c r="O756" s="126" t="n">
        <v>2000000</v>
      </c>
      <c r="P756" s="121" t="s">
        <v>18</v>
      </c>
      <c r="Q756" s="121" t="s">
        <v>124</v>
      </c>
      <c r="R756" s="127"/>
      <c r="T756" s="118"/>
    </row>
    <row r="757" customFormat="false" ht="12.75" hidden="false" customHeight="true" outlineLevel="0" collapsed="false">
      <c r="B757" s="119" t="n">
        <f aca="false">ROW()-4</f>
        <v>753</v>
      </c>
      <c r="C757" s="120" t="n">
        <f aca="false">COUNTIFS($D$5:D757,D757)</f>
        <v>105</v>
      </c>
      <c r="D757" s="121" t="s">
        <v>1390</v>
      </c>
      <c r="E757" s="122" t="s">
        <v>1598</v>
      </c>
      <c r="F757" s="123" t="n">
        <v>45947</v>
      </c>
      <c r="G757" s="121" t="s">
        <v>24</v>
      </c>
      <c r="H75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A0753</v>
      </c>
      <c r="I75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B0753</v>
      </c>
      <c r="J757" s="122" t="s">
        <v>1599</v>
      </c>
      <c r="K75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C0753</v>
      </c>
      <c r="L75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D0753</v>
      </c>
      <c r="M75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E0753</v>
      </c>
      <c r="N757" s="122" t="s">
        <v>72</v>
      </c>
      <c r="O757" s="126" t="n">
        <v>2000000</v>
      </c>
      <c r="P757" s="121" t="s">
        <v>18</v>
      </c>
      <c r="Q757" s="121" t="s">
        <v>124</v>
      </c>
      <c r="R757" s="127"/>
      <c r="T757" s="118"/>
    </row>
    <row r="758" customFormat="false" ht="12.75" hidden="false" customHeight="true" outlineLevel="0" collapsed="false">
      <c r="B758" s="119" t="n">
        <f aca="false">ROW()-4</f>
        <v>754</v>
      </c>
      <c r="C758" s="120" t="n">
        <f aca="false">COUNTIFS($D$5:D758,D758)</f>
        <v>106</v>
      </c>
      <c r="D758" s="121" t="s">
        <v>1390</v>
      </c>
      <c r="E758" s="122" t="s">
        <v>1600</v>
      </c>
      <c r="F758" s="123" t="n">
        <v>45576</v>
      </c>
      <c r="G758" s="121" t="s">
        <v>24</v>
      </c>
      <c r="H75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A0754</v>
      </c>
      <c r="I75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B0754</v>
      </c>
      <c r="J758" s="122" t="s">
        <v>1601</v>
      </c>
      <c r="K75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C0754</v>
      </c>
      <c r="L75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D0754</v>
      </c>
      <c r="M75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E0754</v>
      </c>
      <c r="N758" s="122" t="s">
        <v>72</v>
      </c>
      <c r="O758" s="126" t="n">
        <v>2000000</v>
      </c>
      <c r="P758" s="121" t="s">
        <v>18</v>
      </c>
      <c r="Q758" s="121" t="s">
        <v>124</v>
      </c>
      <c r="R758" s="127"/>
      <c r="T758" s="118"/>
    </row>
    <row r="759" customFormat="false" ht="12.75" hidden="false" customHeight="true" outlineLevel="0" collapsed="false">
      <c r="B759" s="119" t="n">
        <f aca="false">ROW()-4</f>
        <v>755</v>
      </c>
      <c r="C759" s="120" t="n">
        <f aca="false">COUNTIFS($D$5:D759,D759)</f>
        <v>107</v>
      </c>
      <c r="D759" s="121" t="s">
        <v>1390</v>
      </c>
      <c r="E759" s="122" t="s">
        <v>1602</v>
      </c>
      <c r="F759" s="123" t="n">
        <v>45295</v>
      </c>
      <c r="G759" s="121" t="s">
        <v>26</v>
      </c>
      <c r="H75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A0755</v>
      </c>
      <c r="I75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B0755</v>
      </c>
      <c r="J759" s="122" t="s">
        <v>1603</v>
      </c>
      <c r="K75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C0755</v>
      </c>
      <c r="L75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D0755</v>
      </c>
      <c r="M75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E0755</v>
      </c>
      <c r="N759" s="122" t="s">
        <v>72</v>
      </c>
      <c r="O759" s="126" t="n">
        <v>2000000</v>
      </c>
      <c r="P759" s="121" t="s">
        <v>18</v>
      </c>
      <c r="Q759" s="121" t="s">
        <v>124</v>
      </c>
      <c r="R759" s="127"/>
      <c r="T759" s="118"/>
    </row>
    <row r="760" customFormat="false" ht="12.75" hidden="false" customHeight="true" outlineLevel="0" collapsed="false">
      <c r="B760" s="119" t="n">
        <f aca="false">ROW()-4</f>
        <v>756</v>
      </c>
      <c r="C760" s="120" t="n">
        <f aca="false">COUNTIFS($D$5:D760,D760)</f>
        <v>108</v>
      </c>
      <c r="D760" s="121" t="s">
        <v>1390</v>
      </c>
      <c r="E760" s="122" t="s">
        <v>1604</v>
      </c>
      <c r="F760" s="123" t="n">
        <v>45987</v>
      </c>
      <c r="G760" s="121" t="s">
        <v>22</v>
      </c>
      <c r="H76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A0756</v>
      </c>
      <c r="I76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B0756</v>
      </c>
      <c r="J760" s="122" t="s">
        <v>1605</v>
      </c>
      <c r="K76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C0756</v>
      </c>
      <c r="L76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D0756</v>
      </c>
      <c r="M76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E0756</v>
      </c>
      <c r="N760" s="122" t="s">
        <v>72</v>
      </c>
      <c r="O760" s="126" t="n">
        <v>2000000</v>
      </c>
      <c r="P760" s="121" t="s">
        <v>18</v>
      </c>
      <c r="Q760" s="121" t="s">
        <v>124</v>
      </c>
      <c r="R760" s="127"/>
      <c r="T760" s="118"/>
    </row>
    <row r="761" customFormat="false" ht="12.75" hidden="false" customHeight="true" outlineLevel="0" collapsed="false">
      <c r="B761" s="119" t="n">
        <f aca="false">ROW()-4</f>
        <v>757</v>
      </c>
      <c r="C761" s="120" t="n">
        <f aca="false">COUNTIFS($D$5:D761,D761)</f>
        <v>109</v>
      </c>
      <c r="D761" s="121" t="s">
        <v>1390</v>
      </c>
      <c r="E761" s="122" t="s">
        <v>1606</v>
      </c>
      <c r="F761" s="123" t="n">
        <v>44748</v>
      </c>
      <c r="G761" s="121" t="s">
        <v>22</v>
      </c>
      <c r="H76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A0757</v>
      </c>
      <c r="I76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B0757</v>
      </c>
      <c r="J761" s="122" t="s">
        <v>1607</v>
      </c>
      <c r="K76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C0757</v>
      </c>
      <c r="L76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D0757</v>
      </c>
      <c r="M76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E0757</v>
      </c>
      <c r="N761" s="122" t="s">
        <v>72</v>
      </c>
      <c r="O761" s="126" t="n">
        <v>2000000</v>
      </c>
      <c r="P761" s="121" t="s">
        <v>18</v>
      </c>
      <c r="Q761" s="121" t="s">
        <v>124</v>
      </c>
      <c r="R761" s="127"/>
      <c r="T761" s="118"/>
    </row>
    <row r="762" customFormat="false" ht="12.75" hidden="false" customHeight="true" outlineLevel="0" collapsed="false">
      <c r="B762" s="119" t="n">
        <f aca="false">ROW()-4</f>
        <v>758</v>
      </c>
      <c r="C762" s="120" t="n">
        <f aca="false">COUNTIFS($D$5:D762,D762)</f>
        <v>110</v>
      </c>
      <c r="D762" s="121" t="s">
        <v>1390</v>
      </c>
      <c r="E762" s="122" t="s">
        <v>1608</v>
      </c>
      <c r="F762" s="123" t="n">
        <v>46062</v>
      </c>
      <c r="G762" s="121" t="s">
        <v>26</v>
      </c>
      <c r="H76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A0758</v>
      </c>
      <c r="I76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B0758</v>
      </c>
      <c r="J762" s="122" t="s">
        <v>1609</v>
      </c>
      <c r="K76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C0758</v>
      </c>
      <c r="L76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D0758</v>
      </c>
      <c r="M76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E0758</v>
      </c>
      <c r="N762" s="122" t="s">
        <v>72</v>
      </c>
      <c r="O762" s="126" t="n">
        <v>2000000</v>
      </c>
      <c r="P762" s="121" t="s">
        <v>18</v>
      </c>
      <c r="Q762" s="121" t="s">
        <v>124</v>
      </c>
      <c r="R762" s="127"/>
      <c r="T762" s="118"/>
    </row>
    <row r="763" customFormat="false" ht="12.75" hidden="false" customHeight="true" outlineLevel="0" collapsed="false">
      <c r="B763" s="119" t="n">
        <f aca="false">ROW()-4</f>
        <v>759</v>
      </c>
      <c r="C763" s="120" t="n">
        <f aca="false">COUNTIFS($D$5:D763,D763)</f>
        <v>111</v>
      </c>
      <c r="D763" s="121" t="s">
        <v>1390</v>
      </c>
      <c r="E763" s="122" t="s">
        <v>1610</v>
      </c>
      <c r="F763" s="123" t="n">
        <v>45294</v>
      </c>
      <c r="G763" s="121" t="s">
        <v>26</v>
      </c>
      <c r="H76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A0759</v>
      </c>
      <c r="I76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B0759</v>
      </c>
      <c r="J763" s="122" t="s">
        <v>1611</v>
      </c>
      <c r="K76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C0759</v>
      </c>
      <c r="L76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D0759</v>
      </c>
      <c r="M76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E0759</v>
      </c>
      <c r="N763" s="122" t="s">
        <v>72</v>
      </c>
      <c r="O763" s="126" t="n">
        <v>2000000</v>
      </c>
      <c r="P763" s="121" t="s">
        <v>18</v>
      </c>
      <c r="Q763" s="121" t="s">
        <v>124</v>
      </c>
      <c r="R763" s="127"/>
      <c r="T763" s="118"/>
    </row>
    <row r="764" customFormat="false" ht="12.75" hidden="false" customHeight="true" outlineLevel="0" collapsed="false">
      <c r="B764" s="119" t="n">
        <f aca="false">ROW()-4</f>
        <v>760</v>
      </c>
      <c r="C764" s="120" t="n">
        <f aca="false">COUNTIFS($D$5:D764,D764)</f>
        <v>112</v>
      </c>
      <c r="D764" s="121" t="s">
        <v>1390</v>
      </c>
      <c r="E764" s="122" t="s">
        <v>1612</v>
      </c>
      <c r="F764" s="123" t="n">
        <v>45342</v>
      </c>
      <c r="G764" s="121" t="s">
        <v>28</v>
      </c>
      <c r="H76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A0760</v>
      </c>
      <c r="I76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B0760</v>
      </c>
      <c r="J764" s="122" t="s">
        <v>1613</v>
      </c>
      <c r="K76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C0760</v>
      </c>
      <c r="L76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D0760</v>
      </c>
      <c r="M76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E0760</v>
      </c>
      <c r="N764" s="122" t="s">
        <v>72</v>
      </c>
      <c r="O764" s="126" t="n">
        <v>2000000</v>
      </c>
      <c r="P764" s="121" t="s">
        <v>18</v>
      </c>
      <c r="Q764" s="121" t="s">
        <v>124</v>
      </c>
      <c r="R764" s="127"/>
      <c r="T764" s="118"/>
    </row>
    <row r="765" customFormat="false" ht="12.75" hidden="false" customHeight="true" outlineLevel="0" collapsed="false">
      <c r="B765" s="119" t="n">
        <f aca="false">ROW()-4</f>
        <v>761</v>
      </c>
      <c r="C765" s="120" t="n">
        <f aca="false">COUNTIFS($D$5:D765,D765)</f>
        <v>113</v>
      </c>
      <c r="D765" s="121" t="s">
        <v>1390</v>
      </c>
      <c r="E765" s="122" t="s">
        <v>1614</v>
      </c>
      <c r="F765" s="137" t="n">
        <v>45918</v>
      </c>
      <c r="G765" s="138" t="s">
        <v>24</v>
      </c>
      <c r="H765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A0761</v>
      </c>
      <c r="I765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B0761</v>
      </c>
      <c r="J765" s="124" t="s">
        <v>1615</v>
      </c>
      <c r="K765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C0761</v>
      </c>
      <c r="L765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D0761</v>
      </c>
      <c r="M76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E0761</v>
      </c>
      <c r="N765" s="122" t="s">
        <v>72</v>
      </c>
      <c r="O765" s="126" t="n">
        <v>2000000</v>
      </c>
      <c r="P765" s="121" t="s">
        <v>18</v>
      </c>
      <c r="Q765" s="121" t="s">
        <v>124</v>
      </c>
      <c r="R765" s="127"/>
      <c r="T765" s="118"/>
    </row>
    <row r="766" customFormat="false" ht="12.75" hidden="false" customHeight="true" outlineLevel="0" collapsed="false">
      <c r="B766" s="119" t="n">
        <f aca="false">ROW()-4</f>
        <v>762</v>
      </c>
      <c r="C766" s="120" t="n">
        <f aca="false">COUNTIFS($D$5:D766,D766)</f>
        <v>114</v>
      </c>
      <c r="D766" s="121" t="s">
        <v>1390</v>
      </c>
      <c r="E766" s="122" t="s">
        <v>1616</v>
      </c>
      <c r="F766" s="123" t="n">
        <v>45294</v>
      </c>
      <c r="G766" s="121" t="s">
        <v>24</v>
      </c>
      <c r="H76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A0762</v>
      </c>
      <c r="I76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B0762</v>
      </c>
      <c r="J766" s="122" t="s">
        <v>1617</v>
      </c>
      <c r="K76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C0762</v>
      </c>
      <c r="L76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D0762</v>
      </c>
      <c r="M76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E0762</v>
      </c>
      <c r="N766" s="122" t="s">
        <v>72</v>
      </c>
      <c r="O766" s="126" t="n">
        <v>2000000</v>
      </c>
      <c r="P766" s="121" t="s">
        <v>18</v>
      </c>
      <c r="Q766" s="121" t="s">
        <v>124</v>
      </c>
      <c r="R766" s="127"/>
      <c r="T766" s="118"/>
    </row>
    <row r="767" customFormat="false" ht="12.75" hidden="false" customHeight="true" outlineLevel="0" collapsed="false">
      <c r="B767" s="119" t="n">
        <f aca="false">ROW()-4</f>
        <v>763</v>
      </c>
      <c r="C767" s="120" t="n">
        <f aca="false">COUNTIFS($D$5:D767,D767)</f>
        <v>115</v>
      </c>
      <c r="D767" s="121" t="s">
        <v>1390</v>
      </c>
      <c r="E767" s="122" t="s">
        <v>1618</v>
      </c>
      <c r="F767" s="123" t="n">
        <v>45316</v>
      </c>
      <c r="G767" s="121" t="s">
        <v>24</v>
      </c>
      <c r="H76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A0763</v>
      </c>
      <c r="I76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B0763</v>
      </c>
      <c r="J767" s="122" t="s">
        <v>1619</v>
      </c>
      <c r="K76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C0763</v>
      </c>
      <c r="L76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D0763</v>
      </c>
      <c r="M76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E0763</v>
      </c>
      <c r="N767" s="122" t="s">
        <v>72</v>
      </c>
      <c r="O767" s="126" t="n">
        <v>2000000</v>
      </c>
      <c r="P767" s="121" t="s">
        <v>18</v>
      </c>
      <c r="Q767" s="121" t="s">
        <v>124</v>
      </c>
      <c r="R767" s="127"/>
      <c r="T767" s="118"/>
    </row>
    <row r="768" customFormat="false" ht="12.75" hidden="false" customHeight="true" outlineLevel="0" collapsed="false">
      <c r="B768" s="119" t="n">
        <f aca="false">ROW()-4</f>
        <v>764</v>
      </c>
      <c r="C768" s="120" t="n">
        <f aca="false">COUNTIFS($D$5:D768,D768)</f>
        <v>116</v>
      </c>
      <c r="D768" s="121" t="s">
        <v>1390</v>
      </c>
      <c r="E768" s="122" t="s">
        <v>1620</v>
      </c>
      <c r="F768" s="123" t="n">
        <v>45237</v>
      </c>
      <c r="G768" s="121" t="s">
        <v>24</v>
      </c>
      <c r="H76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A0764</v>
      </c>
      <c r="I76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B0764</v>
      </c>
      <c r="J768" s="122" t="s">
        <v>1621</v>
      </c>
      <c r="K76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C0764</v>
      </c>
      <c r="L76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D0764</v>
      </c>
      <c r="M76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E0764</v>
      </c>
      <c r="N768" s="122" t="s">
        <v>72</v>
      </c>
      <c r="O768" s="126" t="n">
        <v>2000000</v>
      </c>
      <c r="P768" s="121" t="s">
        <v>18</v>
      </c>
      <c r="Q768" s="121" t="s">
        <v>124</v>
      </c>
      <c r="R768" s="127"/>
      <c r="T768" s="118"/>
    </row>
    <row r="769" customFormat="false" ht="12.75" hidden="false" customHeight="true" outlineLevel="0" collapsed="false">
      <c r="B769" s="119" t="n">
        <f aca="false">ROW()-4</f>
        <v>765</v>
      </c>
      <c r="C769" s="120" t="n">
        <f aca="false">COUNTIFS($D$5:D769,D769)</f>
        <v>117</v>
      </c>
      <c r="D769" s="121" t="s">
        <v>1390</v>
      </c>
      <c r="E769" s="122" t="s">
        <v>1622</v>
      </c>
      <c r="F769" s="123" t="n">
        <v>45280</v>
      </c>
      <c r="G769" s="121" t="s">
        <v>24</v>
      </c>
      <c r="H76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A0765</v>
      </c>
      <c r="I76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B0765</v>
      </c>
      <c r="J769" s="122" t="s">
        <v>1623</v>
      </c>
      <c r="K76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C0765</v>
      </c>
      <c r="L76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D0765</v>
      </c>
      <c r="M76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E0765</v>
      </c>
      <c r="N769" s="122" t="s">
        <v>72</v>
      </c>
      <c r="O769" s="126" t="n">
        <v>2000000</v>
      </c>
      <c r="P769" s="121" t="s">
        <v>18</v>
      </c>
      <c r="Q769" s="121" t="s">
        <v>124</v>
      </c>
      <c r="R769" s="127"/>
      <c r="T769" s="118"/>
    </row>
    <row r="770" customFormat="false" ht="12.75" hidden="false" customHeight="true" outlineLevel="0" collapsed="false">
      <c r="B770" s="119" t="n">
        <f aca="false">ROW()-4</f>
        <v>766</v>
      </c>
      <c r="C770" s="120" t="n">
        <f aca="false">COUNTIFS($D$5:D770,D770)</f>
        <v>118</v>
      </c>
      <c r="D770" s="121" t="s">
        <v>1390</v>
      </c>
      <c r="E770" s="122" t="s">
        <v>1624</v>
      </c>
      <c r="F770" s="123" t="n">
        <v>45314</v>
      </c>
      <c r="G770" s="121" t="s">
        <v>24</v>
      </c>
      <c r="H77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A0766</v>
      </c>
      <c r="I77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B0766</v>
      </c>
      <c r="J770" s="122" t="s">
        <v>1625</v>
      </c>
      <c r="K77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C0766</v>
      </c>
      <c r="L77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D0766</v>
      </c>
      <c r="M77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E0766</v>
      </c>
      <c r="N770" s="122" t="s">
        <v>72</v>
      </c>
      <c r="O770" s="126" t="n">
        <v>2000000</v>
      </c>
      <c r="P770" s="121" t="s">
        <v>18</v>
      </c>
      <c r="Q770" s="121" t="s">
        <v>124</v>
      </c>
      <c r="R770" s="127"/>
      <c r="T770" s="118"/>
    </row>
    <row r="771" customFormat="false" ht="12.75" hidden="false" customHeight="true" outlineLevel="0" collapsed="false">
      <c r="B771" s="119" t="n">
        <f aca="false">ROW()-4</f>
        <v>767</v>
      </c>
      <c r="C771" s="120" t="n">
        <f aca="false">COUNTIFS($D$5:D771,D771)</f>
        <v>119</v>
      </c>
      <c r="D771" s="121" t="s">
        <v>1390</v>
      </c>
      <c r="E771" s="122" t="s">
        <v>1626</v>
      </c>
      <c r="F771" s="123" t="n">
        <v>44999</v>
      </c>
      <c r="G771" s="121" t="s">
        <v>22</v>
      </c>
      <c r="H77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A0767</v>
      </c>
      <c r="I77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B0767</v>
      </c>
      <c r="J771" s="122" t="s">
        <v>1627</v>
      </c>
      <c r="K77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C0767</v>
      </c>
      <c r="L77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D0767</v>
      </c>
      <c r="M77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E0767</v>
      </c>
      <c r="N771" s="122" t="s">
        <v>72</v>
      </c>
      <c r="O771" s="126" t="n">
        <v>2000000</v>
      </c>
      <c r="P771" s="121" t="s">
        <v>18</v>
      </c>
      <c r="Q771" s="121" t="s">
        <v>124</v>
      </c>
      <c r="R771" s="127"/>
      <c r="T771" s="118"/>
    </row>
    <row r="772" customFormat="false" ht="12.75" hidden="false" customHeight="true" outlineLevel="0" collapsed="false">
      <c r="B772" s="119" t="n">
        <f aca="false">ROW()-4</f>
        <v>768</v>
      </c>
      <c r="C772" s="120" t="n">
        <f aca="false">COUNTIFS($D$5:D772,D772)</f>
        <v>120</v>
      </c>
      <c r="D772" s="121" t="s">
        <v>1390</v>
      </c>
      <c r="E772" s="122" t="s">
        <v>1628</v>
      </c>
      <c r="F772" s="123" t="n">
        <v>45355</v>
      </c>
      <c r="G772" s="121" t="s">
        <v>24</v>
      </c>
      <c r="H77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A0768</v>
      </c>
      <c r="I77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B0768</v>
      </c>
      <c r="J772" s="122" t="s">
        <v>1629</v>
      </c>
      <c r="K77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C0768</v>
      </c>
      <c r="L77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D0768</v>
      </c>
      <c r="M77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E0768</v>
      </c>
      <c r="N772" s="122" t="s">
        <v>72</v>
      </c>
      <c r="O772" s="126" t="n">
        <v>2000000</v>
      </c>
      <c r="P772" s="121" t="s">
        <v>18</v>
      </c>
      <c r="Q772" s="121" t="s">
        <v>124</v>
      </c>
      <c r="R772" s="127"/>
      <c r="T772" s="118"/>
    </row>
    <row r="773" customFormat="false" ht="12.75" hidden="false" customHeight="true" outlineLevel="0" collapsed="false">
      <c r="B773" s="119" t="n">
        <f aca="false">ROW()-4</f>
        <v>769</v>
      </c>
      <c r="C773" s="120" t="n">
        <f aca="false">COUNTIFS($D$5:D773,D773)</f>
        <v>121</v>
      </c>
      <c r="D773" s="121" t="s">
        <v>1390</v>
      </c>
      <c r="E773" s="122" t="s">
        <v>1630</v>
      </c>
      <c r="F773" s="123" t="n">
        <v>43738</v>
      </c>
      <c r="G773" s="121" t="s">
        <v>22</v>
      </c>
      <c r="H77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A0769</v>
      </c>
      <c r="I77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B0769</v>
      </c>
      <c r="J773" s="122" t="s">
        <v>1631</v>
      </c>
      <c r="K77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C0769</v>
      </c>
      <c r="L77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D0769</v>
      </c>
      <c r="M77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E0769</v>
      </c>
      <c r="N773" s="122" t="s">
        <v>72</v>
      </c>
      <c r="O773" s="126" t="n">
        <v>2000000</v>
      </c>
      <c r="P773" s="121" t="s">
        <v>18</v>
      </c>
      <c r="Q773" s="121" t="s">
        <v>124</v>
      </c>
      <c r="R773" s="127"/>
      <c r="T773" s="118"/>
    </row>
    <row r="774" customFormat="false" ht="12.75" hidden="false" customHeight="true" outlineLevel="0" collapsed="false">
      <c r="B774" s="119" t="n">
        <f aca="false">ROW()-4</f>
        <v>770</v>
      </c>
      <c r="C774" s="120" t="n">
        <f aca="false">COUNTIFS($D$5:D774,D774)</f>
        <v>122</v>
      </c>
      <c r="D774" s="121" t="s">
        <v>1390</v>
      </c>
      <c r="E774" s="122" t="s">
        <v>1632</v>
      </c>
      <c r="F774" s="123" t="n">
        <v>45588</v>
      </c>
      <c r="G774" s="121" t="s">
        <v>26</v>
      </c>
      <c r="H77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A0770</v>
      </c>
      <c r="I77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B0770</v>
      </c>
      <c r="J774" s="122" t="s">
        <v>1633</v>
      </c>
      <c r="K77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C0770</v>
      </c>
      <c r="L77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D0770</v>
      </c>
      <c r="M77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E0770</v>
      </c>
      <c r="N774" s="122" t="s">
        <v>72</v>
      </c>
      <c r="O774" s="126" t="n">
        <v>2000000</v>
      </c>
      <c r="P774" s="121" t="s">
        <v>18</v>
      </c>
      <c r="Q774" s="121" t="s">
        <v>124</v>
      </c>
      <c r="R774" s="127"/>
      <c r="T774" s="118"/>
    </row>
    <row r="775" customFormat="false" ht="12.75" hidden="false" customHeight="true" outlineLevel="0" collapsed="false">
      <c r="B775" s="119" t="n">
        <f aca="false">ROW()-4</f>
        <v>771</v>
      </c>
      <c r="C775" s="120" t="n">
        <f aca="false">COUNTIFS($D$5:D775,D775)</f>
        <v>123</v>
      </c>
      <c r="D775" s="121" t="s">
        <v>1390</v>
      </c>
      <c r="E775" s="122" t="s">
        <v>1634</v>
      </c>
      <c r="F775" s="123" t="n">
        <v>45399</v>
      </c>
      <c r="G775" s="121" t="s">
        <v>24</v>
      </c>
      <c r="H77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A0771</v>
      </c>
      <c r="I77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B0771</v>
      </c>
      <c r="J775" s="122" t="s">
        <v>1635</v>
      </c>
      <c r="K77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C0771</v>
      </c>
      <c r="L77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D0771</v>
      </c>
      <c r="M77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E0771</v>
      </c>
      <c r="N775" s="122" t="s">
        <v>72</v>
      </c>
      <c r="O775" s="126" t="n">
        <v>2000000</v>
      </c>
      <c r="P775" s="121" t="s">
        <v>18</v>
      </c>
      <c r="Q775" s="121" t="s">
        <v>124</v>
      </c>
      <c r="R775" s="127"/>
      <c r="T775" s="118"/>
    </row>
    <row r="776" customFormat="false" ht="12.75" hidden="false" customHeight="true" outlineLevel="0" collapsed="false">
      <c r="B776" s="119" t="n">
        <f aca="false">ROW()-4</f>
        <v>772</v>
      </c>
      <c r="C776" s="120" t="n">
        <f aca="false">COUNTIFS($D$5:D776,D776)</f>
        <v>124</v>
      </c>
      <c r="D776" s="121" t="s">
        <v>1390</v>
      </c>
      <c r="E776" s="122" t="s">
        <v>1636</v>
      </c>
      <c r="F776" s="123" t="n">
        <v>45390</v>
      </c>
      <c r="G776" s="121" t="s">
        <v>24</v>
      </c>
      <c r="H77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A0772</v>
      </c>
      <c r="I77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B0772</v>
      </c>
      <c r="J776" s="122" t="s">
        <v>1637</v>
      </c>
      <c r="K77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C0772</v>
      </c>
      <c r="L77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D0772</v>
      </c>
      <c r="M77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E0772</v>
      </c>
      <c r="N776" s="122" t="s">
        <v>72</v>
      </c>
      <c r="O776" s="126" t="n">
        <v>2000000</v>
      </c>
      <c r="P776" s="121" t="s">
        <v>18</v>
      </c>
      <c r="Q776" s="121" t="s">
        <v>124</v>
      </c>
      <c r="R776" s="127"/>
      <c r="T776" s="118"/>
    </row>
    <row r="777" customFormat="false" ht="12.75" hidden="false" customHeight="true" outlineLevel="0" collapsed="false">
      <c r="B777" s="119" t="n">
        <f aca="false">ROW()-4</f>
        <v>773</v>
      </c>
      <c r="C777" s="120" t="n">
        <f aca="false">COUNTIFS($D$5:D777,D777)</f>
        <v>125</v>
      </c>
      <c r="D777" s="121" t="s">
        <v>1390</v>
      </c>
      <c r="E777" s="122" t="s">
        <v>1638</v>
      </c>
      <c r="F777" s="123" t="n">
        <v>45383</v>
      </c>
      <c r="G777" s="121" t="s">
        <v>26</v>
      </c>
      <c r="H77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A0773</v>
      </c>
      <c r="I77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B0773</v>
      </c>
      <c r="J777" s="122" t="s">
        <v>1639</v>
      </c>
      <c r="K77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C0773</v>
      </c>
      <c r="L77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D0773</v>
      </c>
      <c r="M77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E0773</v>
      </c>
      <c r="N777" s="122" t="s">
        <v>72</v>
      </c>
      <c r="O777" s="126" t="n">
        <v>2000000</v>
      </c>
      <c r="P777" s="121" t="s">
        <v>18</v>
      </c>
      <c r="Q777" s="121" t="s">
        <v>124</v>
      </c>
      <c r="R777" s="127"/>
      <c r="T777" s="118"/>
    </row>
    <row r="778" customFormat="false" ht="12.75" hidden="false" customHeight="true" outlineLevel="0" collapsed="false">
      <c r="B778" s="119" t="n">
        <f aca="false">ROW()-4</f>
        <v>774</v>
      </c>
      <c r="C778" s="120" t="n">
        <f aca="false">COUNTIFS($D$5:D778,D778)</f>
        <v>126</v>
      </c>
      <c r="D778" s="121" t="s">
        <v>1390</v>
      </c>
      <c r="E778" s="122" t="s">
        <v>1640</v>
      </c>
      <c r="F778" s="123" t="n">
        <v>44728</v>
      </c>
      <c r="G778" s="121" t="s">
        <v>26</v>
      </c>
      <c r="H77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A0774</v>
      </c>
      <c r="I77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B0774</v>
      </c>
      <c r="J778" s="122" t="s">
        <v>1641</v>
      </c>
      <c r="K77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C0774</v>
      </c>
      <c r="L77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D0774</v>
      </c>
      <c r="M77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E0774</v>
      </c>
      <c r="N778" s="122" t="s">
        <v>72</v>
      </c>
      <c r="O778" s="126" t="n">
        <v>2000000</v>
      </c>
      <c r="P778" s="121" t="s">
        <v>18</v>
      </c>
      <c r="Q778" s="121" t="s">
        <v>124</v>
      </c>
      <c r="R778" s="127"/>
      <c r="T778" s="118"/>
    </row>
    <row r="779" customFormat="false" ht="12.75" hidden="false" customHeight="true" outlineLevel="0" collapsed="false">
      <c r="B779" s="119" t="n">
        <f aca="false">ROW()-4</f>
        <v>775</v>
      </c>
      <c r="C779" s="120" t="n">
        <f aca="false">COUNTIFS($D$5:D779,D779)</f>
        <v>127</v>
      </c>
      <c r="D779" s="121" t="s">
        <v>1390</v>
      </c>
      <c r="E779" s="122" t="s">
        <v>1642</v>
      </c>
      <c r="F779" s="123" t="n">
        <v>44866</v>
      </c>
      <c r="G779" s="121" t="s">
        <v>28</v>
      </c>
      <c r="H77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A0775</v>
      </c>
      <c r="I77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B0775</v>
      </c>
      <c r="J779" s="122" t="s">
        <v>1643</v>
      </c>
      <c r="K77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C0775</v>
      </c>
      <c r="L77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D0775</v>
      </c>
      <c r="M77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E0775</v>
      </c>
      <c r="N779" s="122" t="s">
        <v>72</v>
      </c>
      <c r="O779" s="126" t="n">
        <v>2000000</v>
      </c>
      <c r="P779" s="121" t="s">
        <v>18</v>
      </c>
      <c r="Q779" s="121" t="s">
        <v>124</v>
      </c>
      <c r="R779" s="127"/>
      <c r="T779" s="118"/>
    </row>
    <row r="780" customFormat="false" ht="12.75" hidden="false" customHeight="true" outlineLevel="0" collapsed="false">
      <c r="B780" s="119" t="n">
        <f aca="false">ROW()-4</f>
        <v>776</v>
      </c>
      <c r="C780" s="120" t="n">
        <f aca="false">COUNTIFS($D$5:D780,D780)</f>
        <v>128</v>
      </c>
      <c r="D780" s="121" t="s">
        <v>1390</v>
      </c>
      <c r="E780" s="122" t="s">
        <v>1644</v>
      </c>
      <c r="F780" s="123" t="n">
        <v>44767</v>
      </c>
      <c r="G780" s="121" t="s">
        <v>28</v>
      </c>
      <c r="H78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A0776</v>
      </c>
      <c r="I78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B0776</v>
      </c>
      <c r="J780" s="122" t="s">
        <v>1645</v>
      </c>
      <c r="K78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C0776</v>
      </c>
      <c r="L78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D0776</v>
      </c>
      <c r="M78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E0776</v>
      </c>
      <c r="N780" s="122" t="s">
        <v>72</v>
      </c>
      <c r="O780" s="126" t="n">
        <v>2000000</v>
      </c>
      <c r="P780" s="121" t="s">
        <v>18</v>
      </c>
      <c r="Q780" s="121" t="s">
        <v>124</v>
      </c>
      <c r="R780" s="127"/>
      <c r="T780" s="118"/>
    </row>
    <row r="781" customFormat="false" ht="12.75" hidden="false" customHeight="true" outlineLevel="0" collapsed="false">
      <c r="B781" s="119" t="n">
        <f aca="false">ROW()-4</f>
        <v>777</v>
      </c>
      <c r="C781" s="120" t="n">
        <f aca="false">COUNTIFS($D$5:D781,D781)</f>
        <v>129</v>
      </c>
      <c r="D781" s="121" t="s">
        <v>1390</v>
      </c>
      <c r="E781" s="122" t="s">
        <v>1646</v>
      </c>
      <c r="F781" s="123" t="n">
        <v>44567</v>
      </c>
      <c r="G781" s="121" t="s">
        <v>28</v>
      </c>
      <c r="H78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A0777</v>
      </c>
      <c r="I78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B0777</v>
      </c>
      <c r="J781" s="122" t="s">
        <v>1647</v>
      </c>
      <c r="K78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C0777</v>
      </c>
      <c r="L78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D0777</v>
      </c>
      <c r="M78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E0777</v>
      </c>
      <c r="N781" s="122" t="s">
        <v>72</v>
      </c>
      <c r="O781" s="126" t="n">
        <v>2000000</v>
      </c>
      <c r="P781" s="121" t="s">
        <v>18</v>
      </c>
      <c r="Q781" s="121" t="s">
        <v>124</v>
      </c>
      <c r="R781" s="127"/>
      <c r="T781" s="118"/>
    </row>
    <row r="782" customFormat="false" ht="12.75" hidden="false" customHeight="true" outlineLevel="0" collapsed="false">
      <c r="B782" s="119" t="n">
        <f aca="false">ROW()-4</f>
        <v>778</v>
      </c>
      <c r="C782" s="120" t="n">
        <f aca="false">COUNTIFS($D$5:D782,D782)</f>
        <v>130</v>
      </c>
      <c r="D782" s="121" t="s">
        <v>1390</v>
      </c>
      <c r="E782" s="122" t="s">
        <v>1648</v>
      </c>
      <c r="F782" s="123" t="n">
        <v>44532</v>
      </c>
      <c r="G782" s="121" t="s">
        <v>26</v>
      </c>
      <c r="H78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A0778</v>
      </c>
      <c r="I78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B0778</v>
      </c>
      <c r="J782" s="122" t="s">
        <v>1649</v>
      </c>
      <c r="K78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C0778</v>
      </c>
      <c r="L78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D0778</v>
      </c>
      <c r="M78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E0778</v>
      </c>
      <c r="N782" s="122" t="s">
        <v>72</v>
      </c>
      <c r="O782" s="126" t="n">
        <v>2000000</v>
      </c>
      <c r="P782" s="121" t="s">
        <v>18</v>
      </c>
      <c r="Q782" s="121" t="s">
        <v>124</v>
      </c>
      <c r="R782" s="127"/>
      <c r="T782" s="118"/>
    </row>
    <row r="783" customFormat="false" ht="12.75" hidden="false" customHeight="true" outlineLevel="0" collapsed="false">
      <c r="B783" s="119" t="n">
        <f aca="false">ROW()-4</f>
        <v>779</v>
      </c>
      <c r="C783" s="120" t="n">
        <f aca="false">COUNTIFS($D$5:D783,D783)</f>
        <v>131</v>
      </c>
      <c r="D783" s="121" t="s">
        <v>1390</v>
      </c>
      <c r="E783" s="122" t="s">
        <v>1650</v>
      </c>
      <c r="F783" s="123" t="n">
        <v>45959</v>
      </c>
      <c r="G783" s="121" t="s">
        <v>28</v>
      </c>
      <c r="H78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A0779</v>
      </c>
      <c r="I78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B0779</v>
      </c>
      <c r="J783" s="122" t="s">
        <v>1651</v>
      </c>
      <c r="K78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C0779</v>
      </c>
      <c r="L78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D0779</v>
      </c>
      <c r="M78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E0779</v>
      </c>
      <c r="N783" s="122" t="s">
        <v>72</v>
      </c>
      <c r="O783" s="126" t="n">
        <v>2000000</v>
      </c>
      <c r="P783" s="121" t="s">
        <v>18</v>
      </c>
      <c r="Q783" s="121" t="s">
        <v>124</v>
      </c>
      <c r="R783" s="127"/>
      <c r="T783" s="118"/>
    </row>
    <row r="784" customFormat="false" ht="12.75" hidden="false" customHeight="true" outlineLevel="0" collapsed="false">
      <c r="B784" s="119" t="n">
        <f aca="false">ROW()-4</f>
        <v>780</v>
      </c>
      <c r="C784" s="120" t="n">
        <f aca="false">COUNTIFS($D$5:D784,D784)</f>
        <v>132</v>
      </c>
      <c r="D784" s="121" t="s">
        <v>1390</v>
      </c>
      <c r="E784" s="122" t="s">
        <v>1652</v>
      </c>
      <c r="F784" s="123" t="n">
        <v>44571</v>
      </c>
      <c r="G784" s="121" t="s">
        <v>26</v>
      </c>
      <c r="H78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A0780</v>
      </c>
      <c r="I78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B0780</v>
      </c>
      <c r="J784" s="122" t="s">
        <v>1653</v>
      </c>
      <c r="K78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C0780</v>
      </c>
      <c r="L78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D0780</v>
      </c>
      <c r="M78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E0780</v>
      </c>
      <c r="N784" s="122" t="s">
        <v>72</v>
      </c>
      <c r="O784" s="126" t="n">
        <v>2000000</v>
      </c>
      <c r="P784" s="121" t="s">
        <v>18</v>
      </c>
      <c r="Q784" s="121" t="s">
        <v>124</v>
      </c>
      <c r="R784" s="127"/>
      <c r="T784" s="118"/>
    </row>
    <row r="785" customFormat="false" ht="12.75" hidden="false" customHeight="true" outlineLevel="0" collapsed="false">
      <c r="B785" s="119" t="n">
        <f aca="false">ROW()-4</f>
        <v>781</v>
      </c>
      <c r="C785" s="120" t="n">
        <f aca="false">COUNTIFS($D$5:D785,D785)</f>
        <v>133</v>
      </c>
      <c r="D785" s="121" t="s">
        <v>1390</v>
      </c>
      <c r="E785" s="122" t="s">
        <v>1654</v>
      </c>
      <c r="F785" s="123" t="n">
        <v>44572</v>
      </c>
      <c r="G785" s="121" t="s">
        <v>26</v>
      </c>
      <c r="H78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A0781</v>
      </c>
      <c r="I78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B0781</v>
      </c>
      <c r="J785" s="122" t="s">
        <v>1655</v>
      </c>
      <c r="K78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C0781</v>
      </c>
      <c r="L78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D0781</v>
      </c>
      <c r="M78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E0781</v>
      </c>
      <c r="N785" s="122" t="s">
        <v>72</v>
      </c>
      <c r="O785" s="126" t="n">
        <v>2000000</v>
      </c>
      <c r="P785" s="121" t="s">
        <v>18</v>
      </c>
      <c r="Q785" s="121" t="s">
        <v>124</v>
      </c>
      <c r="R785" s="127"/>
      <c r="T785" s="118"/>
    </row>
    <row r="786" customFormat="false" ht="12.75" hidden="false" customHeight="true" outlineLevel="0" collapsed="false">
      <c r="B786" s="119" t="n">
        <f aca="false">ROW()-4</f>
        <v>782</v>
      </c>
      <c r="C786" s="120" t="n">
        <f aca="false">COUNTIFS($D$5:D786,D786)</f>
        <v>134</v>
      </c>
      <c r="D786" s="121" t="s">
        <v>1390</v>
      </c>
      <c r="E786" s="122" t="s">
        <v>1656</v>
      </c>
      <c r="F786" s="123" t="n">
        <v>44524</v>
      </c>
      <c r="G786" s="121" t="s">
        <v>26</v>
      </c>
      <c r="H78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A0782</v>
      </c>
      <c r="I78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B0782</v>
      </c>
      <c r="J786" s="122" t="s">
        <v>1657</v>
      </c>
      <c r="K78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C0782</v>
      </c>
      <c r="L78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D0782</v>
      </c>
      <c r="M78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E0782</v>
      </c>
      <c r="N786" s="122" t="s">
        <v>72</v>
      </c>
      <c r="O786" s="126" t="n">
        <v>2000000</v>
      </c>
      <c r="P786" s="121" t="s">
        <v>18</v>
      </c>
      <c r="Q786" s="121" t="s">
        <v>124</v>
      </c>
      <c r="R786" s="127"/>
      <c r="T786" s="118"/>
    </row>
    <row r="787" customFormat="false" ht="12.75" hidden="false" customHeight="true" outlineLevel="0" collapsed="false">
      <c r="B787" s="119" t="n">
        <f aca="false">ROW()-4</f>
        <v>783</v>
      </c>
      <c r="C787" s="120" t="n">
        <f aca="false">COUNTIFS($D$5:D787,D787)</f>
        <v>135</v>
      </c>
      <c r="D787" s="121" t="s">
        <v>1390</v>
      </c>
      <c r="E787" s="122" t="s">
        <v>1658</v>
      </c>
      <c r="F787" s="123" t="n">
        <v>45602</v>
      </c>
      <c r="G787" s="121" t="s">
        <v>24</v>
      </c>
      <c r="H78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A0783</v>
      </c>
      <c r="I78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B0783</v>
      </c>
      <c r="J787" s="122" t="s">
        <v>1659</v>
      </c>
      <c r="K78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C0783</v>
      </c>
      <c r="L78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D0783</v>
      </c>
      <c r="M78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E0783</v>
      </c>
      <c r="N787" s="122" t="s">
        <v>72</v>
      </c>
      <c r="O787" s="126" t="n">
        <v>2000000</v>
      </c>
      <c r="P787" s="121" t="s">
        <v>18</v>
      </c>
      <c r="Q787" s="121" t="s">
        <v>124</v>
      </c>
      <c r="R787" s="127"/>
      <c r="T787" s="118"/>
    </row>
    <row r="788" customFormat="false" ht="12.75" hidden="false" customHeight="true" outlineLevel="0" collapsed="false">
      <c r="B788" s="119" t="n">
        <f aca="false">ROW()-4</f>
        <v>784</v>
      </c>
      <c r="C788" s="120" t="n">
        <f aca="false">COUNTIFS($D$5:D788,D788)</f>
        <v>136</v>
      </c>
      <c r="D788" s="121" t="s">
        <v>1390</v>
      </c>
      <c r="E788" s="122" t="s">
        <v>1660</v>
      </c>
      <c r="F788" s="123" t="n">
        <v>44587</v>
      </c>
      <c r="G788" s="121" t="s">
        <v>26</v>
      </c>
      <c r="H78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A0784</v>
      </c>
      <c r="I78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B0784</v>
      </c>
      <c r="J788" s="122" t="s">
        <v>1661</v>
      </c>
      <c r="K78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C0784</v>
      </c>
      <c r="L78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D0784</v>
      </c>
      <c r="M78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E0784</v>
      </c>
      <c r="N788" s="122" t="s">
        <v>72</v>
      </c>
      <c r="O788" s="126" t="n">
        <v>2000000</v>
      </c>
      <c r="P788" s="121" t="s">
        <v>18</v>
      </c>
      <c r="Q788" s="121" t="s">
        <v>124</v>
      </c>
      <c r="R788" s="127"/>
      <c r="T788" s="118"/>
    </row>
    <row r="789" customFormat="false" ht="12.75" hidden="false" customHeight="true" outlineLevel="0" collapsed="false">
      <c r="B789" s="119" t="n">
        <f aca="false">ROW()-4</f>
        <v>785</v>
      </c>
      <c r="C789" s="120" t="n">
        <f aca="false">COUNTIFS($D$5:D789,D789)</f>
        <v>137</v>
      </c>
      <c r="D789" s="121" t="s">
        <v>1390</v>
      </c>
      <c r="E789" s="122" t="s">
        <v>1662</v>
      </c>
      <c r="F789" s="123" t="n">
        <v>45944</v>
      </c>
      <c r="G789" s="121" t="s">
        <v>28</v>
      </c>
      <c r="H78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A0785</v>
      </c>
      <c r="I78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B0785</v>
      </c>
      <c r="J789" s="122" t="s">
        <v>1663</v>
      </c>
      <c r="K78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C0785</v>
      </c>
      <c r="L78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D0785</v>
      </c>
      <c r="M78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E0785</v>
      </c>
      <c r="N789" s="122" t="s">
        <v>72</v>
      </c>
      <c r="O789" s="126" t="n">
        <v>2000000</v>
      </c>
      <c r="P789" s="121" t="s">
        <v>18</v>
      </c>
      <c r="Q789" s="121" t="s">
        <v>124</v>
      </c>
      <c r="R789" s="127"/>
      <c r="T789" s="118"/>
    </row>
    <row r="790" customFormat="false" ht="12.75" hidden="false" customHeight="true" outlineLevel="0" collapsed="false">
      <c r="B790" s="119" t="n">
        <f aca="false">ROW()-4</f>
        <v>786</v>
      </c>
      <c r="C790" s="120" t="n">
        <f aca="false">COUNTIFS($D$5:D790,D790)</f>
        <v>138</v>
      </c>
      <c r="D790" s="121" t="s">
        <v>1390</v>
      </c>
      <c r="E790" s="122" t="s">
        <v>1664</v>
      </c>
      <c r="F790" s="123" t="n">
        <v>45434</v>
      </c>
      <c r="G790" s="121" t="s">
        <v>26</v>
      </c>
      <c r="H79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A0786</v>
      </c>
      <c r="I79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B0786</v>
      </c>
      <c r="J790" s="122" t="s">
        <v>1665</v>
      </c>
      <c r="K79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C0786</v>
      </c>
      <c r="L79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D0786</v>
      </c>
      <c r="M79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E0786</v>
      </c>
      <c r="N790" s="122" t="s">
        <v>72</v>
      </c>
      <c r="O790" s="126" t="n">
        <v>2000000</v>
      </c>
      <c r="P790" s="121" t="s">
        <v>18</v>
      </c>
      <c r="Q790" s="121" t="s">
        <v>124</v>
      </c>
      <c r="R790" s="127"/>
      <c r="T790" s="118"/>
    </row>
    <row r="791" customFormat="false" ht="12.75" hidden="false" customHeight="true" outlineLevel="0" collapsed="false">
      <c r="B791" s="119" t="n">
        <f aca="false">ROW()-4</f>
        <v>787</v>
      </c>
      <c r="C791" s="120" t="n">
        <f aca="false">COUNTIFS($D$5:D791,D791)</f>
        <v>139</v>
      </c>
      <c r="D791" s="121" t="s">
        <v>1390</v>
      </c>
      <c r="E791" s="122" t="s">
        <v>1666</v>
      </c>
      <c r="F791" s="123" t="n">
        <v>45432</v>
      </c>
      <c r="G791" s="121" t="s">
        <v>24</v>
      </c>
      <c r="H79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A0787</v>
      </c>
      <c r="I79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B0787</v>
      </c>
      <c r="J791" s="122" t="s">
        <v>1667</v>
      </c>
      <c r="K79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C0787</v>
      </c>
      <c r="L79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D0787</v>
      </c>
      <c r="M79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E0787</v>
      </c>
      <c r="N791" s="122" t="s">
        <v>72</v>
      </c>
      <c r="O791" s="126" t="n">
        <v>2000000</v>
      </c>
      <c r="P791" s="121" t="s">
        <v>18</v>
      </c>
      <c r="Q791" s="121" t="s">
        <v>124</v>
      </c>
      <c r="R791" s="127"/>
      <c r="T791" s="118"/>
    </row>
    <row r="792" customFormat="false" ht="12.75" hidden="false" customHeight="true" outlineLevel="0" collapsed="false">
      <c r="B792" s="119" t="n">
        <f aca="false">ROW()-4</f>
        <v>788</v>
      </c>
      <c r="C792" s="120" t="n">
        <f aca="false">COUNTIFS($D$5:D792,D792)</f>
        <v>140</v>
      </c>
      <c r="D792" s="121" t="s">
        <v>1390</v>
      </c>
      <c r="E792" s="122" t="s">
        <v>1668</v>
      </c>
      <c r="F792" s="123" t="n">
        <v>43305</v>
      </c>
      <c r="G792" s="121" t="s">
        <v>22</v>
      </c>
      <c r="H79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A0788</v>
      </c>
      <c r="I79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B0788</v>
      </c>
      <c r="J792" s="122" t="s">
        <v>1669</v>
      </c>
      <c r="K79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C0788</v>
      </c>
      <c r="L79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D0788</v>
      </c>
      <c r="M79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E0788</v>
      </c>
      <c r="N792" s="122" t="s">
        <v>72</v>
      </c>
      <c r="O792" s="126" t="n">
        <v>2000000</v>
      </c>
      <c r="P792" s="121" t="s">
        <v>18</v>
      </c>
      <c r="Q792" s="121" t="s">
        <v>124</v>
      </c>
      <c r="R792" s="127"/>
      <c r="T792" s="118"/>
    </row>
    <row r="793" customFormat="false" ht="12.75" hidden="false" customHeight="true" outlineLevel="0" collapsed="false">
      <c r="B793" s="119" t="n">
        <f aca="false">ROW()-4</f>
        <v>789</v>
      </c>
      <c r="C793" s="120" t="n">
        <f aca="false">COUNTIFS($D$5:D793,D793)</f>
        <v>141</v>
      </c>
      <c r="D793" s="121" t="s">
        <v>1390</v>
      </c>
      <c r="E793" s="122" t="s">
        <v>1670</v>
      </c>
      <c r="F793" s="123" t="n">
        <v>43454</v>
      </c>
      <c r="G793" s="121" t="s">
        <v>24</v>
      </c>
      <c r="H79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A0789</v>
      </c>
      <c r="I79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B0789</v>
      </c>
      <c r="J793" s="122" t="s">
        <v>1671</v>
      </c>
      <c r="K79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C0789</v>
      </c>
      <c r="L79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D0789</v>
      </c>
      <c r="M79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E0789</v>
      </c>
      <c r="N793" s="122" t="s">
        <v>72</v>
      </c>
      <c r="O793" s="126" t="n">
        <v>2000000</v>
      </c>
      <c r="P793" s="121" t="s">
        <v>18</v>
      </c>
      <c r="Q793" s="121" t="s">
        <v>124</v>
      </c>
      <c r="R793" s="127"/>
      <c r="T793" s="118"/>
    </row>
    <row r="794" customFormat="false" ht="12.75" hidden="false" customHeight="true" outlineLevel="0" collapsed="false">
      <c r="B794" s="119" t="n">
        <f aca="false">ROW()-4</f>
        <v>790</v>
      </c>
      <c r="C794" s="120" t="n">
        <f aca="false">COUNTIFS($D$5:D794,D794)</f>
        <v>142</v>
      </c>
      <c r="D794" s="121" t="s">
        <v>1390</v>
      </c>
      <c r="E794" s="122" t="s">
        <v>1672</v>
      </c>
      <c r="F794" s="123" t="n">
        <v>45414</v>
      </c>
      <c r="G794" s="121" t="s">
        <v>24</v>
      </c>
      <c r="H79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A0790</v>
      </c>
      <c r="I79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B0790</v>
      </c>
      <c r="J794" s="122" t="s">
        <v>1673</v>
      </c>
      <c r="K79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C0790</v>
      </c>
      <c r="L79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D0790</v>
      </c>
      <c r="M79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E0790</v>
      </c>
      <c r="N794" s="122" t="s">
        <v>72</v>
      </c>
      <c r="O794" s="126" t="n">
        <v>2000000</v>
      </c>
      <c r="P794" s="121" t="s">
        <v>18</v>
      </c>
      <c r="Q794" s="121" t="s">
        <v>124</v>
      </c>
      <c r="R794" s="127"/>
      <c r="T794" s="118"/>
    </row>
    <row r="795" customFormat="false" ht="12.75" hidden="false" customHeight="true" outlineLevel="0" collapsed="false">
      <c r="B795" s="119" t="n">
        <f aca="false">ROW()-4</f>
        <v>791</v>
      </c>
      <c r="C795" s="120" t="n">
        <f aca="false">COUNTIFS($D$5:D795,D795)</f>
        <v>143</v>
      </c>
      <c r="D795" s="121" t="s">
        <v>1390</v>
      </c>
      <c r="E795" s="122" t="s">
        <v>1674</v>
      </c>
      <c r="F795" s="123" t="n">
        <v>45387</v>
      </c>
      <c r="G795" s="121" t="s">
        <v>28</v>
      </c>
      <c r="H79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A0791</v>
      </c>
      <c r="I79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B0791</v>
      </c>
      <c r="J795" s="122" t="s">
        <v>1675</v>
      </c>
      <c r="K79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C0791</v>
      </c>
      <c r="L79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D0791</v>
      </c>
      <c r="M79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E0791</v>
      </c>
      <c r="N795" s="122" t="s">
        <v>72</v>
      </c>
      <c r="O795" s="126" t="n">
        <v>2000000</v>
      </c>
      <c r="P795" s="121" t="s">
        <v>18</v>
      </c>
      <c r="Q795" s="121" t="s">
        <v>124</v>
      </c>
      <c r="R795" s="127"/>
      <c r="T795" s="118"/>
    </row>
    <row r="796" customFormat="false" ht="12.75" hidden="false" customHeight="true" outlineLevel="0" collapsed="false">
      <c r="B796" s="119" t="n">
        <f aca="false">ROW()-4</f>
        <v>792</v>
      </c>
      <c r="C796" s="120" t="n">
        <f aca="false">COUNTIFS($D$5:D796,D796)</f>
        <v>144</v>
      </c>
      <c r="D796" s="121" t="s">
        <v>1390</v>
      </c>
      <c r="E796" s="122" t="s">
        <v>1676</v>
      </c>
      <c r="F796" s="123" t="n">
        <v>45826</v>
      </c>
      <c r="G796" s="121" t="s">
        <v>26</v>
      </c>
      <c r="H79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A0792</v>
      </c>
      <c r="I79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B0792</v>
      </c>
      <c r="J796" s="122" t="s">
        <v>1677</v>
      </c>
      <c r="K79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C0792</v>
      </c>
      <c r="L79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D0792</v>
      </c>
      <c r="M79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E0792</v>
      </c>
      <c r="N796" s="122" t="s">
        <v>72</v>
      </c>
      <c r="O796" s="126" t="n">
        <v>2000000</v>
      </c>
      <c r="P796" s="121" t="s">
        <v>18</v>
      </c>
      <c r="Q796" s="121" t="s">
        <v>124</v>
      </c>
      <c r="R796" s="127"/>
      <c r="T796" s="118"/>
    </row>
    <row r="797" customFormat="false" ht="12.75" hidden="false" customHeight="true" outlineLevel="0" collapsed="false">
      <c r="B797" s="119" t="n">
        <f aca="false">ROW()-4</f>
        <v>793</v>
      </c>
      <c r="C797" s="120" t="n">
        <f aca="false">COUNTIFS($D$5:D797,D797)</f>
        <v>145</v>
      </c>
      <c r="D797" s="121" t="s">
        <v>1390</v>
      </c>
      <c r="E797" s="122" t="s">
        <v>1678</v>
      </c>
      <c r="F797" s="123" t="n">
        <v>44566</v>
      </c>
      <c r="G797" s="121" t="s">
        <v>26</v>
      </c>
      <c r="H79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A0793</v>
      </c>
      <c r="I79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B0793</v>
      </c>
      <c r="J797" s="122" t="s">
        <v>1679</v>
      </c>
      <c r="K79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C0793</v>
      </c>
      <c r="L79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D0793</v>
      </c>
      <c r="M79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E0793</v>
      </c>
      <c r="N797" s="122" t="s">
        <v>72</v>
      </c>
      <c r="O797" s="126" t="n">
        <v>2000000</v>
      </c>
      <c r="P797" s="121" t="s">
        <v>18</v>
      </c>
      <c r="Q797" s="121" t="s">
        <v>124</v>
      </c>
      <c r="R797" s="127"/>
      <c r="T797" s="118"/>
    </row>
    <row r="798" customFormat="false" ht="12.75" hidden="false" customHeight="true" outlineLevel="0" collapsed="false">
      <c r="B798" s="119" t="n">
        <f aca="false">ROW()-4</f>
        <v>794</v>
      </c>
      <c r="C798" s="120" t="n">
        <f aca="false">COUNTIFS($D$5:D798,D798)</f>
        <v>146</v>
      </c>
      <c r="D798" s="121" t="s">
        <v>1390</v>
      </c>
      <c r="E798" s="122" t="s">
        <v>1680</v>
      </c>
      <c r="F798" s="123" t="n">
        <v>45827</v>
      </c>
      <c r="G798" s="121" t="s">
        <v>22</v>
      </c>
      <c r="H79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A0794</v>
      </c>
      <c r="I79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B0794</v>
      </c>
      <c r="J798" s="122" t="s">
        <v>1681</v>
      </c>
      <c r="K79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C0794</v>
      </c>
      <c r="L79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D0794</v>
      </c>
      <c r="M79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E0794</v>
      </c>
      <c r="N798" s="122" t="s">
        <v>72</v>
      </c>
      <c r="O798" s="126" t="n">
        <v>2000000</v>
      </c>
      <c r="P798" s="121" t="s">
        <v>18</v>
      </c>
      <c r="Q798" s="121" t="s">
        <v>124</v>
      </c>
      <c r="R798" s="127"/>
      <c r="T798" s="118"/>
    </row>
    <row r="799" customFormat="false" ht="12.75" hidden="false" customHeight="true" outlineLevel="0" collapsed="false">
      <c r="B799" s="119" t="n">
        <f aca="false">ROW()-4</f>
        <v>795</v>
      </c>
      <c r="C799" s="120" t="n">
        <f aca="false">COUNTIFS($D$5:D799,D799)</f>
        <v>147</v>
      </c>
      <c r="D799" s="121" t="s">
        <v>1390</v>
      </c>
      <c r="E799" s="122" t="s">
        <v>1682</v>
      </c>
      <c r="F799" s="123" t="n">
        <v>45468</v>
      </c>
      <c r="G799" s="121" t="s">
        <v>22</v>
      </c>
      <c r="H79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A0795</v>
      </c>
      <c r="I79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B0795</v>
      </c>
      <c r="J799" s="122" t="s">
        <v>1683</v>
      </c>
      <c r="K79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C0795</v>
      </c>
      <c r="L79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D0795</v>
      </c>
      <c r="M79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E0795</v>
      </c>
      <c r="N799" s="122" t="s">
        <v>72</v>
      </c>
      <c r="O799" s="126" t="n">
        <v>2000000</v>
      </c>
      <c r="P799" s="121" t="s">
        <v>18</v>
      </c>
      <c r="Q799" s="121" t="s">
        <v>124</v>
      </c>
      <c r="R799" s="127"/>
      <c r="T799" s="118"/>
    </row>
    <row r="800" customFormat="false" ht="12.75" hidden="false" customHeight="true" outlineLevel="0" collapsed="false">
      <c r="B800" s="119" t="n">
        <f aca="false">ROW()-4</f>
        <v>796</v>
      </c>
      <c r="C800" s="120" t="n">
        <f aca="false">COUNTIFS($D$5:D800,D800)</f>
        <v>148</v>
      </c>
      <c r="D800" s="121" t="s">
        <v>1390</v>
      </c>
      <c r="E800" s="122" t="s">
        <v>1684</v>
      </c>
      <c r="F800" s="123" t="n">
        <v>45484</v>
      </c>
      <c r="G800" s="121" t="s">
        <v>22</v>
      </c>
      <c r="H80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A0796</v>
      </c>
      <c r="I80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B0796</v>
      </c>
      <c r="J800" s="122" t="s">
        <v>1685</v>
      </c>
      <c r="K80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C0796</v>
      </c>
      <c r="L80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D0796</v>
      </c>
      <c r="M80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E0796</v>
      </c>
      <c r="N800" s="122" t="s">
        <v>72</v>
      </c>
      <c r="O800" s="126" t="n">
        <v>2000000</v>
      </c>
      <c r="P800" s="121" t="s">
        <v>18</v>
      </c>
      <c r="Q800" s="121" t="s">
        <v>124</v>
      </c>
      <c r="R800" s="127"/>
      <c r="T800" s="118"/>
    </row>
    <row r="801" customFormat="false" ht="12.75" hidden="false" customHeight="true" outlineLevel="0" collapsed="false">
      <c r="B801" s="119" t="n">
        <f aca="false">ROW()-4</f>
        <v>797</v>
      </c>
      <c r="C801" s="120" t="n">
        <f aca="false">COUNTIFS($D$5:D801,D801)</f>
        <v>149</v>
      </c>
      <c r="D801" s="121" t="s">
        <v>1390</v>
      </c>
      <c r="E801" s="122" t="s">
        <v>1686</v>
      </c>
      <c r="F801" s="137" t="n">
        <v>45918</v>
      </c>
      <c r="G801" s="138" t="s">
        <v>24</v>
      </c>
      <c r="H801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A0797</v>
      </c>
      <c r="I801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B0797</v>
      </c>
      <c r="J801" s="124" t="s">
        <v>1687</v>
      </c>
      <c r="K801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C0797</v>
      </c>
      <c r="L801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D0797</v>
      </c>
      <c r="M80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E0797</v>
      </c>
      <c r="N801" s="122" t="s">
        <v>72</v>
      </c>
      <c r="O801" s="126" t="n">
        <v>2000000</v>
      </c>
      <c r="P801" s="121" t="s">
        <v>18</v>
      </c>
      <c r="Q801" s="121" t="s">
        <v>124</v>
      </c>
      <c r="R801" s="127"/>
      <c r="T801" s="118"/>
    </row>
    <row r="802" customFormat="false" ht="12.75" hidden="false" customHeight="true" outlineLevel="0" collapsed="false">
      <c r="B802" s="119" t="n">
        <f aca="false">ROW()-4</f>
        <v>798</v>
      </c>
      <c r="C802" s="120" t="n">
        <f aca="false">COUNTIFS($D$5:D802,D802)</f>
        <v>150</v>
      </c>
      <c r="D802" s="121" t="s">
        <v>1390</v>
      </c>
      <c r="E802" s="122" t="s">
        <v>1688</v>
      </c>
      <c r="F802" s="123" t="n">
        <v>45491</v>
      </c>
      <c r="G802" s="121" t="s">
        <v>24</v>
      </c>
      <c r="H80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A0798</v>
      </c>
      <c r="I80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B0798</v>
      </c>
      <c r="J802" s="122" t="s">
        <v>1689</v>
      </c>
      <c r="K80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C0798</v>
      </c>
      <c r="L80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D0798</v>
      </c>
      <c r="M80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E0798</v>
      </c>
      <c r="N802" s="122" t="s">
        <v>72</v>
      </c>
      <c r="O802" s="126" t="n">
        <v>2000000</v>
      </c>
      <c r="P802" s="121" t="s">
        <v>18</v>
      </c>
      <c r="Q802" s="121" t="s">
        <v>124</v>
      </c>
      <c r="R802" s="127"/>
      <c r="T802" s="118"/>
    </row>
    <row r="803" customFormat="false" ht="12.75" hidden="false" customHeight="true" outlineLevel="0" collapsed="false">
      <c r="B803" s="119" t="n">
        <f aca="false">ROW()-4</f>
        <v>799</v>
      </c>
      <c r="C803" s="120" t="n">
        <f aca="false">COUNTIFS($D$5:D803,D803)</f>
        <v>151</v>
      </c>
      <c r="D803" s="121" t="s">
        <v>1390</v>
      </c>
      <c r="E803" s="122" t="s">
        <v>1690</v>
      </c>
      <c r="F803" s="123" t="n">
        <v>45420</v>
      </c>
      <c r="G803" s="121" t="s">
        <v>22</v>
      </c>
      <c r="H80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A0799</v>
      </c>
      <c r="I80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B0799</v>
      </c>
      <c r="J803" s="122" t="s">
        <v>1691</v>
      </c>
      <c r="K80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C0799</v>
      </c>
      <c r="L80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D0799</v>
      </c>
      <c r="M80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E0799</v>
      </c>
      <c r="N803" s="122" t="s">
        <v>72</v>
      </c>
      <c r="O803" s="126" t="n">
        <v>2000000</v>
      </c>
      <c r="P803" s="121" t="s">
        <v>18</v>
      </c>
      <c r="Q803" s="121" t="s">
        <v>124</v>
      </c>
      <c r="R803" s="127"/>
      <c r="T803" s="118"/>
    </row>
    <row r="804" customFormat="false" ht="12.75" hidden="false" customHeight="true" outlineLevel="0" collapsed="false">
      <c r="B804" s="119" t="n">
        <f aca="false">ROW()-4</f>
        <v>800</v>
      </c>
      <c r="C804" s="120" t="n">
        <f aca="false">COUNTIFS($D$5:D804,D804)</f>
        <v>152</v>
      </c>
      <c r="D804" s="121" t="s">
        <v>1390</v>
      </c>
      <c r="E804" s="122" t="s">
        <v>1692</v>
      </c>
      <c r="F804" s="123" t="n">
        <v>46062</v>
      </c>
      <c r="G804" s="121" t="s">
        <v>28</v>
      </c>
      <c r="H80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A0800</v>
      </c>
      <c r="I80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B0800</v>
      </c>
      <c r="J804" s="122" t="s">
        <v>1693</v>
      </c>
      <c r="K80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C0800</v>
      </c>
      <c r="L80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D0800</v>
      </c>
      <c r="M80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E0800</v>
      </c>
      <c r="N804" s="122" t="s">
        <v>72</v>
      </c>
      <c r="O804" s="126" t="n">
        <v>2000000</v>
      </c>
      <c r="P804" s="121" t="s">
        <v>18</v>
      </c>
      <c r="Q804" s="121" t="s">
        <v>124</v>
      </c>
      <c r="R804" s="127"/>
      <c r="T804" s="118"/>
    </row>
    <row r="805" customFormat="false" ht="12.75" hidden="false" customHeight="true" outlineLevel="0" collapsed="false">
      <c r="B805" s="119" t="n">
        <f aca="false">ROW()-4</f>
        <v>801</v>
      </c>
      <c r="C805" s="120" t="n">
        <f aca="false">COUNTIFS($D$5:D805,D805)</f>
        <v>153</v>
      </c>
      <c r="D805" s="121" t="s">
        <v>1390</v>
      </c>
      <c r="E805" s="122" t="s">
        <v>1694</v>
      </c>
      <c r="F805" s="123" t="n">
        <v>44767</v>
      </c>
      <c r="G805" s="121" t="s">
        <v>22</v>
      </c>
      <c r="H80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A0801</v>
      </c>
      <c r="I80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B0801</v>
      </c>
      <c r="J805" s="122" t="s">
        <v>1695</v>
      </c>
      <c r="K80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C0801</v>
      </c>
      <c r="L80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D0801</v>
      </c>
      <c r="M80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E0801</v>
      </c>
      <c r="N805" s="122" t="s">
        <v>72</v>
      </c>
      <c r="O805" s="126" t="n">
        <v>2000000</v>
      </c>
      <c r="P805" s="121" t="s">
        <v>18</v>
      </c>
      <c r="Q805" s="121" t="s">
        <v>124</v>
      </c>
      <c r="R805" s="127"/>
      <c r="T805" s="118"/>
    </row>
    <row r="806" customFormat="false" ht="12.75" hidden="false" customHeight="true" outlineLevel="0" collapsed="false">
      <c r="B806" s="119" t="n">
        <f aca="false">ROW()-4</f>
        <v>802</v>
      </c>
      <c r="C806" s="120" t="n">
        <f aca="false">COUNTIFS($D$5:D806,D806)</f>
        <v>154</v>
      </c>
      <c r="D806" s="121" t="s">
        <v>1390</v>
      </c>
      <c r="E806" s="122" t="s">
        <v>1696</v>
      </c>
      <c r="F806" s="123" t="n">
        <v>45498</v>
      </c>
      <c r="G806" s="121" t="s">
        <v>24</v>
      </c>
      <c r="H80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A0802</v>
      </c>
      <c r="I80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B0802</v>
      </c>
      <c r="J806" s="122" t="s">
        <v>1697</v>
      </c>
      <c r="K80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C0802</v>
      </c>
      <c r="L80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D0802</v>
      </c>
      <c r="M80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E0802</v>
      </c>
      <c r="N806" s="122" t="s">
        <v>72</v>
      </c>
      <c r="O806" s="126" t="n">
        <v>2000000</v>
      </c>
      <c r="P806" s="121" t="s">
        <v>18</v>
      </c>
      <c r="Q806" s="121" t="s">
        <v>124</v>
      </c>
      <c r="R806" s="127"/>
      <c r="T806" s="118"/>
    </row>
    <row r="807" customFormat="false" ht="12.75" hidden="false" customHeight="true" outlineLevel="0" collapsed="false">
      <c r="B807" s="119" t="n">
        <f aca="false">ROW()-4</f>
        <v>803</v>
      </c>
      <c r="C807" s="120" t="n">
        <f aca="false">COUNTIFS($D$5:D807,D807)</f>
        <v>155</v>
      </c>
      <c r="D807" s="121" t="s">
        <v>1390</v>
      </c>
      <c r="E807" s="122" t="s">
        <v>1698</v>
      </c>
      <c r="F807" s="123" t="n">
        <v>45776</v>
      </c>
      <c r="G807" s="121" t="s">
        <v>22</v>
      </c>
      <c r="H80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A0803</v>
      </c>
      <c r="I80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B0803</v>
      </c>
      <c r="J807" s="122" t="s">
        <v>1699</v>
      </c>
      <c r="K80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C0803</v>
      </c>
      <c r="L80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D0803</v>
      </c>
      <c r="M80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E0803</v>
      </c>
      <c r="N807" s="122" t="s">
        <v>72</v>
      </c>
      <c r="O807" s="126" t="n">
        <v>2000000</v>
      </c>
      <c r="P807" s="121" t="s">
        <v>18</v>
      </c>
      <c r="Q807" s="121" t="s">
        <v>124</v>
      </c>
      <c r="R807" s="127"/>
      <c r="T807" s="118"/>
    </row>
    <row r="808" customFormat="false" ht="12.75" hidden="false" customHeight="true" outlineLevel="0" collapsed="false">
      <c r="B808" s="119" t="n">
        <f aca="false">ROW()-4</f>
        <v>804</v>
      </c>
      <c r="C808" s="120" t="n">
        <f aca="false">COUNTIFS($D$5:D808,D808)</f>
        <v>156</v>
      </c>
      <c r="D808" s="121" t="s">
        <v>1390</v>
      </c>
      <c r="E808" s="122" t="s">
        <v>1700</v>
      </c>
      <c r="F808" s="123" t="n">
        <v>45491</v>
      </c>
      <c r="G808" s="121" t="s">
        <v>22</v>
      </c>
      <c r="H80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A0804</v>
      </c>
      <c r="I80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B0804</v>
      </c>
      <c r="J808" s="122" t="s">
        <v>1701</v>
      </c>
      <c r="K80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C0804</v>
      </c>
      <c r="L80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D0804</v>
      </c>
      <c r="M80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E0804</v>
      </c>
      <c r="N808" s="122" t="s">
        <v>72</v>
      </c>
      <c r="O808" s="126" t="n">
        <v>2000000</v>
      </c>
      <c r="P808" s="121" t="s">
        <v>18</v>
      </c>
      <c r="Q808" s="121" t="s">
        <v>124</v>
      </c>
      <c r="R808" s="127"/>
      <c r="T808" s="118"/>
    </row>
    <row r="809" customFormat="false" ht="12.75" hidden="false" customHeight="true" outlineLevel="0" collapsed="false">
      <c r="B809" s="119" t="n">
        <f aca="false">ROW()-4</f>
        <v>805</v>
      </c>
      <c r="C809" s="120" t="n">
        <f aca="false">COUNTIFS($D$5:D809,D809)</f>
        <v>157</v>
      </c>
      <c r="D809" s="121" t="s">
        <v>1390</v>
      </c>
      <c r="E809" s="122" t="s">
        <v>1702</v>
      </c>
      <c r="F809" s="123" t="n">
        <v>45503</v>
      </c>
      <c r="G809" s="121" t="s">
        <v>26</v>
      </c>
      <c r="H80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A0805</v>
      </c>
      <c r="I80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B0805</v>
      </c>
      <c r="J809" s="122" t="s">
        <v>1703</v>
      </c>
      <c r="K80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C0805</v>
      </c>
      <c r="L80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D0805</v>
      </c>
      <c r="M80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E0805</v>
      </c>
      <c r="N809" s="122" t="s">
        <v>72</v>
      </c>
      <c r="O809" s="126" t="n">
        <v>2000000</v>
      </c>
      <c r="P809" s="121" t="s">
        <v>18</v>
      </c>
      <c r="Q809" s="121" t="s">
        <v>124</v>
      </c>
      <c r="R809" s="127"/>
      <c r="T809" s="118"/>
    </row>
    <row r="810" customFormat="false" ht="12.75" hidden="false" customHeight="true" outlineLevel="0" collapsed="false">
      <c r="B810" s="119" t="n">
        <f aca="false">ROW()-4</f>
        <v>806</v>
      </c>
      <c r="C810" s="120" t="n">
        <f aca="false">COUNTIFS($D$5:D810,D810)</f>
        <v>158</v>
      </c>
      <c r="D810" s="121" t="s">
        <v>1390</v>
      </c>
      <c r="E810" s="122" t="s">
        <v>1704</v>
      </c>
      <c r="F810" s="123" t="n">
        <v>45200</v>
      </c>
      <c r="G810" s="121" t="s">
        <v>22</v>
      </c>
      <c r="H81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A0806</v>
      </c>
      <c r="I81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B0806</v>
      </c>
      <c r="J810" s="122" t="s">
        <v>1705</v>
      </c>
      <c r="K81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C0806</v>
      </c>
      <c r="L81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D0806</v>
      </c>
      <c r="M81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E0806</v>
      </c>
      <c r="N810" s="122" t="s">
        <v>72</v>
      </c>
      <c r="O810" s="126" t="n">
        <v>2000000</v>
      </c>
      <c r="P810" s="121" t="s">
        <v>18</v>
      </c>
      <c r="Q810" s="121" t="s">
        <v>124</v>
      </c>
      <c r="R810" s="127"/>
      <c r="T810" s="118"/>
    </row>
    <row r="811" customFormat="false" ht="12.75" hidden="false" customHeight="true" outlineLevel="0" collapsed="false">
      <c r="B811" s="119" t="n">
        <f aca="false">ROW()-4</f>
        <v>807</v>
      </c>
      <c r="C811" s="120" t="n">
        <f aca="false">COUNTIFS($D$5:D811,D811)</f>
        <v>159</v>
      </c>
      <c r="D811" s="121" t="s">
        <v>1390</v>
      </c>
      <c r="E811" s="122" t="s">
        <v>1706</v>
      </c>
      <c r="F811" s="123" t="n">
        <v>45425</v>
      </c>
      <c r="G811" s="121" t="s">
        <v>22</v>
      </c>
      <c r="H81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A0807</v>
      </c>
      <c r="I81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B0807</v>
      </c>
      <c r="J811" s="122" t="s">
        <v>1707</v>
      </c>
      <c r="K81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C0807</v>
      </c>
      <c r="L81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D0807</v>
      </c>
      <c r="M81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E0807</v>
      </c>
      <c r="N811" s="122" t="s">
        <v>72</v>
      </c>
      <c r="O811" s="126" t="n">
        <v>2000000</v>
      </c>
      <c r="P811" s="121" t="s">
        <v>18</v>
      </c>
      <c r="Q811" s="121" t="s">
        <v>124</v>
      </c>
      <c r="R811" s="127"/>
      <c r="T811" s="118"/>
    </row>
    <row r="812" customFormat="false" ht="12.75" hidden="false" customHeight="true" outlineLevel="0" collapsed="false">
      <c r="B812" s="119" t="n">
        <f aca="false">ROW()-4</f>
        <v>808</v>
      </c>
      <c r="C812" s="120" t="n">
        <f aca="false">COUNTIFS($D$5:D812,D812)</f>
        <v>160</v>
      </c>
      <c r="D812" s="121" t="s">
        <v>1390</v>
      </c>
      <c r="E812" s="122" t="s">
        <v>1708</v>
      </c>
      <c r="F812" s="123"/>
      <c r="G812" s="121" t="s">
        <v>210</v>
      </c>
      <c r="H812" s="122"/>
      <c r="I812" s="122"/>
      <c r="J812" s="122"/>
      <c r="K812" s="122"/>
      <c r="L812" s="125"/>
      <c r="M81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E0808</v>
      </c>
      <c r="N812" s="122" t="s">
        <v>72</v>
      </c>
      <c r="O812" s="126" t="n">
        <v>2000000</v>
      </c>
      <c r="P812" s="121" t="s">
        <v>19</v>
      </c>
      <c r="Q812" s="122"/>
      <c r="R812" s="128" t="s">
        <v>59</v>
      </c>
      <c r="T812" s="118"/>
    </row>
    <row r="813" customFormat="false" ht="12.75" hidden="false" customHeight="true" outlineLevel="0" collapsed="false">
      <c r="B813" s="119" t="n">
        <f aca="false">ROW()-4</f>
        <v>809</v>
      </c>
      <c r="C813" s="120" t="n">
        <f aca="false">COUNTIFS($D$5:D813,D813)</f>
        <v>161</v>
      </c>
      <c r="D813" s="121" t="s">
        <v>1390</v>
      </c>
      <c r="E813" s="122" t="s">
        <v>1709</v>
      </c>
      <c r="F813" s="123" t="n">
        <v>45523</v>
      </c>
      <c r="G813" s="121" t="s">
        <v>24</v>
      </c>
      <c r="H81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A0809</v>
      </c>
      <c r="I81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B0809</v>
      </c>
      <c r="J813" s="122" t="s">
        <v>1710</v>
      </c>
      <c r="K81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C0809</v>
      </c>
      <c r="L81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D0809</v>
      </c>
      <c r="M81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E0809</v>
      </c>
      <c r="N813" s="122" t="s">
        <v>72</v>
      </c>
      <c r="O813" s="126" t="n">
        <v>2000000</v>
      </c>
      <c r="P813" s="121" t="s">
        <v>18</v>
      </c>
      <c r="Q813" s="121" t="s">
        <v>124</v>
      </c>
      <c r="R813" s="127"/>
      <c r="T813" s="118"/>
    </row>
    <row r="814" customFormat="false" ht="12.75" hidden="false" customHeight="true" outlineLevel="0" collapsed="false">
      <c r="B814" s="119" t="n">
        <f aca="false">ROW()-4</f>
        <v>810</v>
      </c>
      <c r="C814" s="120" t="n">
        <f aca="false">COUNTIFS($D$5:D814,D814)</f>
        <v>162</v>
      </c>
      <c r="D814" s="121" t="s">
        <v>1390</v>
      </c>
      <c r="E814" s="122" t="s">
        <v>1711</v>
      </c>
      <c r="F814" s="123" t="n">
        <v>45523</v>
      </c>
      <c r="G814" s="121" t="s">
        <v>26</v>
      </c>
      <c r="H81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A0810</v>
      </c>
      <c r="I81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B0810</v>
      </c>
      <c r="J814" s="122" t="s">
        <v>1712</v>
      </c>
      <c r="K81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C0810</v>
      </c>
      <c r="L81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D0810</v>
      </c>
      <c r="M81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E0810</v>
      </c>
      <c r="N814" s="122" t="s">
        <v>72</v>
      </c>
      <c r="O814" s="126" t="n">
        <v>2000000</v>
      </c>
      <c r="P814" s="121" t="s">
        <v>18</v>
      </c>
      <c r="Q814" s="121" t="s">
        <v>124</v>
      </c>
      <c r="R814" s="127"/>
      <c r="T814" s="118"/>
    </row>
    <row r="815" customFormat="false" ht="12.75" hidden="false" customHeight="true" outlineLevel="0" collapsed="false">
      <c r="B815" s="119" t="n">
        <f aca="false">ROW()-4</f>
        <v>811</v>
      </c>
      <c r="C815" s="120" t="n">
        <f aca="false">COUNTIFS($D$5:D815,D815)</f>
        <v>163</v>
      </c>
      <c r="D815" s="121" t="s">
        <v>1390</v>
      </c>
      <c r="E815" s="122" t="s">
        <v>1713</v>
      </c>
      <c r="F815" s="123" t="n">
        <v>43438</v>
      </c>
      <c r="G815" s="121" t="s">
        <v>26</v>
      </c>
      <c r="H81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A0811</v>
      </c>
      <c r="I81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B0811</v>
      </c>
      <c r="J815" s="122" t="s">
        <v>1714</v>
      </c>
      <c r="K81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C0811</v>
      </c>
      <c r="L81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D0811</v>
      </c>
      <c r="M81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E0811</v>
      </c>
      <c r="N815" s="122" t="s">
        <v>72</v>
      </c>
      <c r="O815" s="126" t="n">
        <v>2000000</v>
      </c>
      <c r="P815" s="121" t="s">
        <v>18</v>
      </c>
      <c r="Q815" s="121" t="s">
        <v>124</v>
      </c>
      <c r="R815" s="127"/>
      <c r="T815" s="118"/>
    </row>
    <row r="816" customFormat="false" ht="12.75" hidden="false" customHeight="true" outlineLevel="0" collapsed="false">
      <c r="B816" s="119" t="n">
        <f aca="false">ROW()-4</f>
        <v>812</v>
      </c>
      <c r="C816" s="120" t="n">
        <f aca="false">COUNTIFS($D$5:D816,D816)</f>
        <v>164</v>
      </c>
      <c r="D816" s="121" t="s">
        <v>1390</v>
      </c>
      <c r="E816" s="122" t="s">
        <v>1715</v>
      </c>
      <c r="F816" s="123" t="n">
        <v>45518</v>
      </c>
      <c r="G816" s="121" t="s">
        <v>22</v>
      </c>
      <c r="H81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A0812</v>
      </c>
      <c r="I81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B0812</v>
      </c>
      <c r="J816" s="122" t="s">
        <v>1716</v>
      </c>
      <c r="K81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C0812</v>
      </c>
      <c r="L81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D0812</v>
      </c>
      <c r="M81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E0812</v>
      </c>
      <c r="N816" s="122" t="s">
        <v>72</v>
      </c>
      <c r="O816" s="126" t="n">
        <v>2000000</v>
      </c>
      <c r="P816" s="121" t="s">
        <v>18</v>
      </c>
      <c r="Q816" s="121" t="s">
        <v>124</v>
      </c>
      <c r="R816" s="127"/>
      <c r="T816" s="118"/>
    </row>
    <row r="817" customFormat="false" ht="12.75" hidden="false" customHeight="true" outlineLevel="0" collapsed="false">
      <c r="B817" s="119" t="n">
        <f aca="false">ROW()-4</f>
        <v>813</v>
      </c>
      <c r="C817" s="120" t="n">
        <f aca="false">COUNTIFS($D$5:D817,D817)</f>
        <v>165</v>
      </c>
      <c r="D817" s="121" t="s">
        <v>1390</v>
      </c>
      <c r="E817" s="122" t="s">
        <v>1717</v>
      </c>
      <c r="F817" s="123" t="n">
        <v>45533</v>
      </c>
      <c r="G817" s="121" t="s">
        <v>24</v>
      </c>
      <c r="H81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A0813</v>
      </c>
      <c r="I81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B0813</v>
      </c>
      <c r="J817" s="122" t="s">
        <v>1718</v>
      </c>
      <c r="K81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C0813</v>
      </c>
      <c r="L81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D0813</v>
      </c>
      <c r="M81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E0813</v>
      </c>
      <c r="N817" s="122" t="s">
        <v>72</v>
      </c>
      <c r="O817" s="126" t="n">
        <v>2000000</v>
      </c>
      <c r="P817" s="121" t="s">
        <v>18</v>
      </c>
      <c r="Q817" s="121" t="s">
        <v>124</v>
      </c>
      <c r="R817" s="127"/>
      <c r="T817" s="118"/>
    </row>
    <row r="818" customFormat="false" ht="12.75" hidden="false" customHeight="true" outlineLevel="0" collapsed="false">
      <c r="B818" s="119" t="n">
        <f aca="false">ROW()-4</f>
        <v>814</v>
      </c>
      <c r="C818" s="120" t="n">
        <f aca="false">COUNTIFS($D$5:D818,D818)</f>
        <v>166</v>
      </c>
      <c r="D818" s="121" t="s">
        <v>1390</v>
      </c>
      <c r="E818" s="122" t="s">
        <v>1719</v>
      </c>
      <c r="F818" s="123" t="n">
        <v>45555</v>
      </c>
      <c r="G818" s="121" t="s">
        <v>22</v>
      </c>
      <c r="H81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A0814</v>
      </c>
      <c r="I81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B0814</v>
      </c>
      <c r="J818" s="122" t="s">
        <v>1720</v>
      </c>
      <c r="K81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C0814</v>
      </c>
      <c r="L81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D0814</v>
      </c>
      <c r="M81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E0814</v>
      </c>
      <c r="N818" s="122" t="s">
        <v>72</v>
      </c>
      <c r="O818" s="126" t="n">
        <v>2000000</v>
      </c>
      <c r="P818" s="121" t="s">
        <v>18</v>
      </c>
      <c r="Q818" s="121" t="s">
        <v>124</v>
      </c>
      <c r="R818" s="127"/>
      <c r="T818" s="118"/>
    </row>
    <row r="819" customFormat="false" ht="12.75" hidden="false" customHeight="true" outlineLevel="0" collapsed="false">
      <c r="B819" s="119" t="n">
        <f aca="false">ROW()-4</f>
        <v>815</v>
      </c>
      <c r="C819" s="120" t="n">
        <f aca="false">COUNTIFS($D$5:D819,D819)</f>
        <v>167</v>
      </c>
      <c r="D819" s="121" t="s">
        <v>1390</v>
      </c>
      <c r="E819" s="122" t="s">
        <v>1721</v>
      </c>
      <c r="F819" s="123" t="n">
        <v>45777</v>
      </c>
      <c r="G819" s="121" t="s">
        <v>24</v>
      </c>
      <c r="H81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A0815</v>
      </c>
      <c r="I81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B0815</v>
      </c>
      <c r="J819" s="122" t="s">
        <v>1722</v>
      </c>
      <c r="K81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C0815</v>
      </c>
      <c r="L81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D0815</v>
      </c>
      <c r="M81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E0815</v>
      </c>
      <c r="N819" s="122" t="s">
        <v>72</v>
      </c>
      <c r="O819" s="126" t="n">
        <v>2000000</v>
      </c>
      <c r="P819" s="121" t="s">
        <v>18</v>
      </c>
      <c r="Q819" s="121" t="s">
        <v>124</v>
      </c>
      <c r="R819" s="127"/>
      <c r="T819" s="118"/>
    </row>
    <row r="820" customFormat="false" ht="12.75" hidden="false" customHeight="true" outlineLevel="0" collapsed="false">
      <c r="B820" s="119" t="n">
        <f aca="false">ROW()-4</f>
        <v>816</v>
      </c>
      <c r="C820" s="120" t="n">
        <f aca="false">COUNTIFS($D$5:D820,D820)</f>
        <v>168</v>
      </c>
      <c r="D820" s="121" t="s">
        <v>1390</v>
      </c>
      <c r="E820" s="122" t="s">
        <v>1723</v>
      </c>
      <c r="F820" s="123" t="n">
        <v>45769</v>
      </c>
      <c r="G820" s="121" t="s">
        <v>28</v>
      </c>
      <c r="H82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A0816</v>
      </c>
      <c r="I82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B0816</v>
      </c>
      <c r="J820" s="122" t="s">
        <v>1724</v>
      </c>
      <c r="K82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C0816</v>
      </c>
      <c r="L82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D0816</v>
      </c>
      <c r="M82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E0816</v>
      </c>
      <c r="N820" s="122" t="s">
        <v>72</v>
      </c>
      <c r="O820" s="126" t="n">
        <v>2000000</v>
      </c>
      <c r="P820" s="121" t="s">
        <v>18</v>
      </c>
      <c r="Q820" s="121" t="s">
        <v>124</v>
      </c>
      <c r="R820" s="127"/>
      <c r="T820" s="118"/>
    </row>
    <row r="821" customFormat="false" ht="12.75" hidden="false" customHeight="true" outlineLevel="0" collapsed="false">
      <c r="B821" s="119" t="n">
        <f aca="false">ROW()-4</f>
        <v>817</v>
      </c>
      <c r="C821" s="120" t="n">
        <f aca="false">COUNTIFS($D$5:D821,D821)</f>
        <v>169</v>
      </c>
      <c r="D821" s="121" t="s">
        <v>1390</v>
      </c>
      <c r="E821" s="122" t="s">
        <v>1725</v>
      </c>
      <c r="F821" s="123" t="n">
        <v>45589</v>
      </c>
      <c r="G821" s="121" t="s">
        <v>24</v>
      </c>
      <c r="H82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A0817</v>
      </c>
      <c r="I82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B0817</v>
      </c>
      <c r="J821" s="122" t="s">
        <v>1726</v>
      </c>
      <c r="K82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C0817</v>
      </c>
      <c r="L82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D0817</v>
      </c>
      <c r="M82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E0817</v>
      </c>
      <c r="N821" s="122" t="s">
        <v>72</v>
      </c>
      <c r="O821" s="126" t="n">
        <v>2000000</v>
      </c>
      <c r="P821" s="121" t="s">
        <v>18</v>
      </c>
      <c r="Q821" s="121" t="s">
        <v>124</v>
      </c>
      <c r="R821" s="127"/>
      <c r="T821" s="118"/>
    </row>
    <row r="822" customFormat="false" ht="12.75" hidden="false" customHeight="true" outlineLevel="0" collapsed="false">
      <c r="B822" s="119" t="n">
        <f aca="false">ROW()-4</f>
        <v>818</v>
      </c>
      <c r="C822" s="120" t="n">
        <f aca="false">COUNTIFS($D$5:D822,D822)</f>
        <v>170</v>
      </c>
      <c r="D822" s="121" t="s">
        <v>1390</v>
      </c>
      <c r="E822" s="122" t="s">
        <v>1727</v>
      </c>
      <c r="F822" s="123" t="n">
        <v>45621</v>
      </c>
      <c r="G822" s="121" t="s">
        <v>26</v>
      </c>
      <c r="H82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A0818</v>
      </c>
      <c r="I82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B0818</v>
      </c>
      <c r="J822" s="122" t="s">
        <v>1728</v>
      </c>
      <c r="K82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C0818</v>
      </c>
      <c r="L82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D0818</v>
      </c>
      <c r="M82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E0818</v>
      </c>
      <c r="N822" s="122" t="s">
        <v>72</v>
      </c>
      <c r="O822" s="126" t="n">
        <v>2000000</v>
      </c>
      <c r="P822" s="121" t="s">
        <v>18</v>
      </c>
      <c r="Q822" s="121" t="s">
        <v>124</v>
      </c>
      <c r="R822" s="127"/>
      <c r="T822" s="118"/>
    </row>
    <row r="823" s="118" customFormat="true" ht="12.75" hidden="false" customHeight="true" outlineLevel="0" collapsed="false">
      <c r="A823" s="98"/>
      <c r="B823" s="119" t="n">
        <f aca="false">ROW()-4</f>
        <v>819</v>
      </c>
      <c r="C823" s="120" t="n">
        <f aca="false">COUNTIFS($D$5:D823,D823)</f>
        <v>171</v>
      </c>
      <c r="D823" s="121" t="s">
        <v>1390</v>
      </c>
      <c r="E823" s="122" t="s">
        <v>1729</v>
      </c>
      <c r="F823" s="123" t="n">
        <v>45609</v>
      </c>
      <c r="G823" s="121" t="s">
        <v>22</v>
      </c>
      <c r="H82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A0819</v>
      </c>
      <c r="I82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B0819</v>
      </c>
      <c r="J823" s="122" t="s">
        <v>1730</v>
      </c>
      <c r="K82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C0819</v>
      </c>
      <c r="L82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D0819</v>
      </c>
      <c r="M82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E0819</v>
      </c>
      <c r="N823" s="122" t="s">
        <v>72</v>
      </c>
      <c r="O823" s="126" t="n">
        <v>2000000</v>
      </c>
      <c r="P823" s="121" t="s">
        <v>18</v>
      </c>
      <c r="Q823" s="121" t="s">
        <v>124</v>
      </c>
      <c r="R823" s="127"/>
    </row>
    <row r="824" customFormat="false" ht="12.75" hidden="false" customHeight="true" outlineLevel="0" collapsed="false">
      <c r="B824" s="119" t="n">
        <f aca="false">ROW()-4</f>
        <v>820</v>
      </c>
      <c r="C824" s="120" t="n">
        <f aca="false">COUNTIFS($D$5:D824,D824)</f>
        <v>172</v>
      </c>
      <c r="D824" s="121" t="s">
        <v>1390</v>
      </c>
      <c r="E824" s="122" t="s">
        <v>1731</v>
      </c>
      <c r="F824" s="123" t="n">
        <v>45645</v>
      </c>
      <c r="G824" s="121" t="s">
        <v>28</v>
      </c>
      <c r="H82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A0820</v>
      </c>
      <c r="I82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B0820</v>
      </c>
      <c r="J824" s="122" t="s">
        <v>1732</v>
      </c>
      <c r="K82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C0820</v>
      </c>
      <c r="L82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D0820</v>
      </c>
      <c r="M82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E0820</v>
      </c>
      <c r="N824" s="122" t="s">
        <v>72</v>
      </c>
      <c r="O824" s="126" t="n">
        <v>2000000</v>
      </c>
      <c r="P824" s="121" t="s">
        <v>18</v>
      </c>
      <c r="Q824" s="121" t="s">
        <v>124</v>
      </c>
      <c r="R824" s="127"/>
      <c r="T824" s="118"/>
    </row>
    <row r="825" customFormat="false" ht="12.75" hidden="false" customHeight="true" outlineLevel="0" collapsed="false">
      <c r="B825" s="119" t="n">
        <f aca="false">ROW()-4</f>
        <v>821</v>
      </c>
      <c r="C825" s="120" t="n">
        <f aca="false">COUNTIFS($D$5:D825,D825)</f>
        <v>173</v>
      </c>
      <c r="D825" s="121" t="s">
        <v>1390</v>
      </c>
      <c r="E825" s="122" t="s">
        <v>1733</v>
      </c>
      <c r="F825" s="123" t="n">
        <v>45628</v>
      </c>
      <c r="G825" s="121" t="s">
        <v>22</v>
      </c>
      <c r="H82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A0821</v>
      </c>
      <c r="I82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B0821</v>
      </c>
      <c r="J825" s="122" t="s">
        <v>1734</v>
      </c>
      <c r="K82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C0821</v>
      </c>
      <c r="L82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D0821</v>
      </c>
      <c r="M82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E0821</v>
      </c>
      <c r="N825" s="122" t="s">
        <v>72</v>
      </c>
      <c r="O825" s="126" t="n">
        <v>2000000</v>
      </c>
      <c r="P825" s="121" t="s">
        <v>18</v>
      </c>
      <c r="Q825" s="121" t="s">
        <v>124</v>
      </c>
      <c r="R825" s="127"/>
      <c r="T825" s="118"/>
    </row>
    <row r="826" customFormat="false" ht="12.75" hidden="false" customHeight="true" outlineLevel="0" collapsed="false">
      <c r="B826" s="119" t="n">
        <f aca="false">ROW()-4</f>
        <v>822</v>
      </c>
      <c r="C826" s="120" t="n">
        <f aca="false">COUNTIFS($D$5:D826,D826)</f>
        <v>174</v>
      </c>
      <c r="D826" s="121" t="s">
        <v>1390</v>
      </c>
      <c r="E826" s="122" t="s">
        <v>1735</v>
      </c>
      <c r="F826" s="123" t="n">
        <v>45638</v>
      </c>
      <c r="G826" s="121" t="s">
        <v>24</v>
      </c>
      <c r="H82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A0822</v>
      </c>
      <c r="I82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B0822</v>
      </c>
      <c r="J826" s="122" t="s">
        <v>1736</v>
      </c>
      <c r="K82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C0822</v>
      </c>
      <c r="L82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D0822</v>
      </c>
      <c r="M82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E0822</v>
      </c>
      <c r="N826" s="122" t="s">
        <v>72</v>
      </c>
      <c r="O826" s="126" t="n">
        <v>2000000</v>
      </c>
      <c r="P826" s="121" t="s">
        <v>18</v>
      </c>
      <c r="Q826" s="121" t="s">
        <v>124</v>
      </c>
      <c r="R826" s="127"/>
      <c r="T826" s="118"/>
    </row>
    <row r="827" customFormat="false" ht="12.75" hidden="false" customHeight="true" outlineLevel="0" collapsed="false">
      <c r="B827" s="119" t="n">
        <f aca="false">ROW()-4</f>
        <v>823</v>
      </c>
      <c r="C827" s="120" t="n">
        <f aca="false">COUNTIFS($D$5:D827,D827)</f>
        <v>175</v>
      </c>
      <c r="D827" s="121" t="s">
        <v>1390</v>
      </c>
      <c r="E827" s="122" t="s">
        <v>1737</v>
      </c>
      <c r="F827" s="123" t="n">
        <v>45643</v>
      </c>
      <c r="G827" s="121" t="s">
        <v>26</v>
      </c>
      <c r="H82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A0823</v>
      </c>
      <c r="I82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B0823</v>
      </c>
      <c r="J827" s="122" t="s">
        <v>1738</v>
      </c>
      <c r="K82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C0823</v>
      </c>
      <c r="L82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D0823</v>
      </c>
      <c r="M82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E0823</v>
      </c>
      <c r="N827" s="122" t="s">
        <v>72</v>
      </c>
      <c r="O827" s="126" t="n">
        <v>2000000</v>
      </c>
      <c r="P827" s="121" t="s">
        <v>18</v>
      </c>
      <c r="Q827" s="121" t="s">
        <v>124</v>
      </c>
      <c r="R827" s="127"/>
      <c r="T827" s="118"/>
    </row>
    <row r="828" customFormat="false" ht="12.75" hidden="false" customHeight="true" outlineLevel="0" collapsed="false">
      <c r="B828" s="119" t="n">
        <f aca="false">ROW()-4</f>
        <v>824</v>
      </c>
      <c r="C828" s="120" t="n">
        <f aca="false">COUNTIFS($D$5:D828,D828)</f>
        <v>176</v>
      </c>
      <c r="D828" s="121" t="s">
        <v>1390</v>
      </c>
      <c r="E828" s="122" t="s">
        <v>1739</v>
      </c>
      <c r="F828" s="123" t="n">
        <v>45635</v>
      </c>
      <c r="G828" s="121" t="s">
        <v>22</v>
      </c>
      <c r="H82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A0824</v>
      </c>
      <c r="I82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B0824</v>
      </c>
      <c r="J828" s="122" t="s">
        <v>1740</v>
      </c>
      <c r="K82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C0824</v>
      </c>
      <c r="L82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D0824</v>
      </c>
      <c r="M82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E0824</v>
      </c>
      <c r="N828" s="122" t="s">
        <v>72</v>
      </c>
      <c r="O828" s="126" t="n">
        <v>2000000</v>
      </c>
      <c r="P828" s="121" t="s">
        <v>18</v>
      </c>
      <c r="Q828" s="121" t="s">
        <v>124</v>
      </c>
      <c r="R828" s="127"/>
      <c r="T828" s="118"/>
    </row>
    <row r="829" customFormat="false" ht="12.75" hidden="false" customHeight="true" outlineLevel="0" collapsed="false">
      <c r="B829" s="119" t="n">
        <f aca="false">ROW()-4</f>
        <v>825</v>
      </c>
      <c r="C829" s="120" t="n">
        <f aca="false">COUNTIFS($D$5:D829,D829)</f>
        <v>177</v>
      </c>
      <c r="D829" s="121" t="s">
        <v>1390</v>
      </c>
      <c r="E829" s="122" t="s">
        <v>1741</v>
      </c>
      <c r="F829" s="123" t="n">
        <v>43581</v>
      </c>
      <c r="G829" s="121" t="s">
        <v>26</v>
      </c>
      <c r="H82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A0825</v>
      </c>
      <c r="I82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B0825</v>
      </c>
      <c r="J829" s="122" t="s">
        <v>1742</v>
      </c>
      <c r="K82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C0825</v>
      </c>
      <c r="L82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D0825</v>
      </c>
      <c r="M82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E0825</v>
      </c>
      <c r="N829" s="122" t="s">
        <v>72</v>
      </c>
      <c r="O829" s="126" t="n">
        <v>2000000</v>
      </c>
      <c r="P829" s="121" t="s">
        <v>18</v>
      </c>
      <c r="Q829" s="121" t="s">
        <v>124</v>
      </c>
      <c r="R829" s="127"/>
      <c r="T829" s="118"/>
    </row>
    <row r="830" customFormat="false" ht="12.75" hidden="false" customHeight="true" outlineLevel="0" collapsed="false">
      <c r="B830" s="119" t="n">
        <f aca="false">ROW()-4</f>
        <v>826</v>
      </c>
      <c r="C830" s="120" t="n">
        <f aca="false">COUNTIFS($D$5:D830,D830)</f>
        <v>178</v>
      </c>
      <c r="D830" s="121" t="s">
        <v>1390</v>
      </c>
      <c r="E830" s="122" t="s">
        <v>1743</v>
      </c>
      <c r="F830" s="123" t="n">
        <v>45667</v>
      </c>
      <c r="G830" s="121" t="s">
        <v>24</v>
      </c>
      <c r="H83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A0826</v>
      </c>
      <c r="I83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B0826</v>
      </c>
      <c r="J830" s="122" t="s">
        <v>1744</v>
      </c>
      <c r="K83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C0826</v>
      </c>
      <c r="L83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D0826</v>
      </c>
      <c r="M83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E0826</v>
      </c>
      <c r="N830" s="122" t="s">
        <v>72</v>
      </c>
      <c r="O830" s="126" t="n">
        <v>2000000</v>
      </c>
      <c r="P830" s="121" t="s">
        <v>18</v>
      </c>
      <c r="Q830" s="121" t="s">
        <v>124</v>
      </c>
      <c r="R830" s="127"/>
      <c r="T830" s="118"/>
    </row>
    <row r="831" customFormat="false" ht="12.75" hidden="false" customHeight="true" outlineLevel="0" collapsed="false">
      <c r="B831" s="119" t="n">
        <f aca="false">ROW()-4</f>
        <v>827</v>
      </c>
      <c r="C831" s="120" t="n">
        <f aca="false">COUNTIFS($D$5:D831,D831)</f>
        <v>179</v>
      </c>
      <c r="D831" s="121" t="s">
        <v>1390</v>
      </c>
      <c r="E831" s="122" t="s">
        <v>1745</v>
      </c>
      <c r="F831" s="123" t="n">
        <v>45670</v>
      </c>
      <c r="G831" s="121" t="s">
        <v>24</v>
      </c>
      <c r="H83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A0827</v>
      </c>
      <c r="I83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B0827</v>
      </c>
      <c r="J831" s="122" t="s">
        <v>1746</v>
      </c>
      <c r="K83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C0827</v>
      </c>
      <c r="L83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D0827</v>
      </c>
      <c r="M83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E0827</v>
      </c>
      <c r="N831" s="122" t="s">
        <v>72</v>
      </c>
      <c r="O831" s="126" t="n">
        <v>2000000</v>
      </c>
      <c r="P831" s="121" t="s">
        <v>18</v>
      </c>
      <c r="Q831" s="121" t="s">
        <v>124</v>
      </c>
      <c r="R831" s="127"/>
      <c r="T831" s="118"/>
    </row>
    <row r="832" customFormat="false" ht="12.75" hidden="false" customHeight="true" outlineLevel="0" collapsed="false">
      <c r="B832" s="119" t="n">
        <f aca="false">ROW()-4</f>
        <v>828</v>
      </c>
      <c r="C832" s="120" t="n">
        <f aca="false">COUNTIFS($D$5:D832,D832)</f>
        <v>180</v>
      </c>
      <c r="D832" s="121" t="s">
        <v>1390</v>
      </c>
      <c r="E832" s="122" t="s">
        <v>1747</v>
      </c>
      <c r="F832" s="123" t="n">
        <v>45923</v>
      </c>
      <c r="G832" s="121" t="s">
        <v>24</v>
      </c>
      <c r="H83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A0828</v>
      </c>
      <c r="I83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B0828</v>
      </c>
      <c r="J832" s="122" t="s">
        <v>1748</v>
      </c>
      <c r="K83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C0828</v>
      </c>
      <c r="L83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D0828</v>
      </c>
      <c r="M83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E0828</v>
      </c>
      <c r="N832" s="122" t="s">
        <v>72</v>
      </c>
      <c r="O832" s="126" t="n">
        <v>2000000</v>
      </c>
      <c r="P832" s="121" t="s">
        <v>18</v>
      </c>
      <c r="Q832" s="121" t="s">
        <v>124</v>
      </c>
      <c r="R832" s="127"/>
      <c r="T832" s="118"/>
    </row>
    <row r="833" customFormat="false" ht="12.75" hidden="false" customHeight="true" outlineLevel="0" collapsed="false">
      <c r="B833" s="119" t="n">
        <f aca="false">ROW()-4</f>
        <v>829</v>
      </c>
      <c r="C833" s="120" t="n">
        <f aca="false">COUNTIFS($D$5:D833,D833)</f>
        <v>181</v>
      </c>
      <c r="D833" s="121" t="s">
        <v>1390</v>
      </c>
      <c r="E833" s="122" t="s">
        <v>1749</v>
      </c>
      <c r="F833" s="123" t="n">
        <v>45673</v>
      </c>
      <c r="G833" s="121" t="s">
        <v>24</v>
      </c>
      <c r="H83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A0829</v>
      </c>
      <c r="I83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B0829</v>
      </c>
      <c r="J833" s="122" t="s">
        <v>1750</v>
      </c>
      <c r="K83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C0829</v>
      </c>
      <c r="L83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D0829</v>
      </c>
      <c r="M83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E0829</v>
      </c>
      <c r="N833" s="122" t="s">
        <v>72</v>
      </c>
      <c r="O833" s="126" t="n">
        <v>2000000</v>
      </c>
      <c r="P833" s="121" t="s">
        <v>18</v>
      </c>
      <c r="Q833" s="121" t="s">
        <v>124</v>
      </c>
      <c r="R833" s="127"/>
      <c r="T833" s="118"/>
    </row>
    <row r="834" customFormat="false" ht="12.75" hidden="false" customHeight="true" outlineLevel="0" collapsed="false">
      <c r="B834" s="119" t="n">
        <f aca="false">ROW()-4</f>
        <v>830</v>
      </c>
      <c r="C834" s="120" t="n">
        <f aca="false">COUNTIFS($D$5:D834,D834)</f>
        <v>182</v>
      </c>
      <c r="D834" s="121" t="s">
        <v>1390</v>
      </c>
      <c r="E834" s="122" t="s">
        <v>1751</v>
      </c>
      <c r="F834" s="123" t="n">
        <v>45666</v>
      </c>
      <c r="G834" s="121" t="s">
        <v>22</v>
      </c>
      <c r="H83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A0830</v>
      </c>
      <c r="I83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B0830</v>
      </c>
      <c r="J834" s="122" t="s">
        <v>1752</v>
      </c>
      <c r="K83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C0830</v>
      </c>
      <c r="L83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D0830</v>
      </c>
      <c r="M83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E0830</v>
      </c>
      <c r="N834" s="122" t="s">
        <v>72</v>
      </c>
      <c r="O834" s="126" t="n">
        <v>2000000</v>
      </c>
      <c r="P834" s="121" t="s">
        <v>18</v>
      </c>
      <c r="Q834" s="121" t="s">
        <v>124</v>
      </c>
      <c r="R834" s="127"/>
      <c r="T834" s="118"/>
    </row>
    <row r="835" customFormat="false" ht="12.75" hidden="false" customHeight="true" outlineLevel="0" collapsed="false">
      <c r="B835" s="119" t="n">
        <f aca="false">ROW()-4</f>
        <v>831</v>
      </c>
      <c r="C835" s="120" t="n">
        <f aca="false">COUNTIFS($D$5:D835,D835)</f>
        <v>183</v>
      </c>
      <c r="D835" s="121" t="s">
        <v>1390</v>
      </c>
      <c r="E835" s="122" t="s">
        <v>1753</v>
      </c>
      <c r="F835" s="123" t="n">
        <v>45660</v>
      </c>
      <c r="G835" s="121" t="s">
        <v>28</v>
      </c>
      <c r="H83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A0831</v>
      </c>
      <c r="I83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B0831</v>
      </c>
      <c r="J835" s="122" t="s">
        <v>1754</v>
      </c>
      <c r="K83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C0831</v>
      </c>
      <c r="L83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D0831</v>
      </c>
      <c r="M83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E0831</v>
      </c>
      <c r="N835" s="122" t="s">
        <v>72</v>
      </c>
      <c r="O835" s="126" t="n">
        <v>2000000</v>
      </c>
      <c r="P835" s="121" t="s">
        <v>18</v>
      </c>
      <c r="Q835" s="121" t="s">
        <v>124</v>
      </c>
      <c r="R835" s="127"/>
      <c r="T835" s="118"/>
    </row>
    <row r="836" customFormat="false" ht="12.75" hidden="false" customHeight="true" outlineLevel="0" collapsed="false">
      <c r="B836" s="119" t="n">
        <f aca="false">ROW()-4</f>
        <v>832</v>
      </c>
      <c r="C836" s="120" t="n">
        <f aca="false">COUNTIFS($D$5:D836,D836)</f>
        <v>184</v>
      </c>
      <c r="D836" s="121" t="s">
        <v>1390</v>
      </c>
      <c r="E836" s="122" t="s">
        <v>1755</v>
      </c>
      <c r="F836" s="123" t="n">
        <v>45692</v>
      </c>
      <c r="G836" s="121" t="s">
        <v>26</v>
      </c>
      <c r="H83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A0832</v>
      </c>
      <c r="I83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B0832</v>
      </c>
      <c r="J836" s="122" t="s">
        <v>1756</v>
      </c>
      <c r="K83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C0832</v>
      </c>
      <c r="L83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D0832</v>
      </c>
      <c r="M83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E0832</v>
      </c>
      <c r="N836" s="122" t="s">
        <v>72</v>
      </c>
      <c r="O836" s="126" t="n">
        <v>2000000</v>
      </c>
      <c r="P836" s="121" t="s">
        <v>18</v>
      </c>
      <c r="Q836" s="121" t="s">
        <v>124</v>
      </c>
      <c r="R836" s="127"/>
      <c r="T836" s="118"/>
    </row>
    <row r="837" customFormat="false" ht="12.75" hidden="false" customHeight="true" outlineLevel="0" collapsed="false">
      <c r="B837" s="119" t="n">
        <f aca="false">ROW()-4</f>
        <v>833</v>
      </c>
      <c r="C837" s="120" t="n">
        <f aca="false">COUNTIFS($D$5:D837,D837)</f>
        <v>185</v>
      </c>
      <c r="D837" s="121" t="s">
        <v>1390</v>
      </c>
      <c r="E837" s="122" t="s">
        <v>1757</v>
      </c>
      <c r="F837" s="123" t="n">
        <v>45680</v>
      </c>
      <c r="G837" s="121" t="s">
        <v>26</v>
      </c>
      <c r="H83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A0833</v>
      </c>
      <c r="I83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B0833</v>
      </c>
      <c r="J837" s="122" t="s">
        <v>1758</v>
      </c>
      <c r="K83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C0833</v>
      </c>
      <c r="L83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D0833</v>
      </c>
      <c r="M83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E0833</v>
      </c>
      <c r="N837" s="122" t="s">
        <v>72</v>
      </c>
      <c r="O837" s="126" t="n">
        <v>2000000</v>
      </c>
      <c r="P837" s="121" t="s">
        <v>18</v>
      </c>
      <c r="Q837" s="121" t="s">
        <v>124</v>
      </c>
      <c r="R837" s="127"/>
      <c r="T837" s="118"/>
    </row>
    <row r="838" customFormat="false" ht="12.75" hidden="false" customHeight="true" outlineLevel="0" collapsed="false">
      <c r="B838" s="119" t="n">
        <f aca="false">ROW()-4</f>
        <v>834</v>
      </c>
      <c r="C838" s="120" t="n">
        <f aca="false">COUNTIFS($D$5:D838,D838)</f>
        <v>186</v>
      </c>
      <c r="D838" s="121" t="s">
        <v>1390</v>
      </c>
      <c r="E838" s="122" t="s">
        <v>1759</v>
      </c>
      <c r="F838" s="123" t="n">
        <v>45667</v>
      </c>
      <c r="G838" s="121" t="s">
        <v>22</v>
      </c>
      <c r="H83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A0834</v>
      </c>
      <c r="I83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B0834</v>
      </c>
      <c r="J838" s="122" t="s">
        <v>1760</v>
      </c>
      <c r="K83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C0834</v>
      </c>
      <c r="L83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D0834</v>
      </c>
      <c r="M83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E0834</v>
      </c>
      <c r="N838" s="122" t="s">
        <v>72</v>
      </c>
      <c r="O838" s="126" t="n">
        <v>2000000</v>
      </c>
      <c r="P838" s="121" t="s">
        <v>18</v>
      </c>
      <c r="Q838" s="121" t="s">
        <v>124</v>
      </c>
      <c r="R838" s="127"/>
      <c r="T838" s="118"/>
    </row>
    <row r="839" customFormat="false" ht="12.75" hidden="false" customHeight="true" outlineLevel="0" collapsed="false">
      <c r="B839" s="119" t="n">
        <f aca="false">ROW()-4</f>
        <v>835</v>
      </c>
      <c r="C839" s="120" t="n">
        <f aca="false">COUNTIFS($D$5:D839,D839)</f>
        <v>187</v>
      </c>
      <c r="D839" s="121" t="s">
        <v>1390</v>
      </c>
      <c r="E839" s="122" t="s">
        <v>1761</v>
      </c>
      <c r="F839" s="123" t="n">
        <v>45701</v>
      </c>
      <c r="G839" s="121" t="s">
        <v>28</v>
      </c>
      <c r="H83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A0835</v>
      </c>
      <c r="I83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B0835</v>
      </c>
      <c r="J839" s="122" t="s">
        <v>1762</v>
      </c>
      <c r="K83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C0835</v>
      </c>
      <c r="L83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D0835</v>
      </c>
      <c r="M83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E0835</v>
      </c>
      <c r="N839" s="122" t="s">
        <v>72</v>
      </c>
      <c r="O839" s="126" t="n">
        <v>2000000</v>
      </c>
      <c r="P839" s="121" t="s">
        <v>18</v>
      </c>
      <c r="Q839" s="121" t="s">
        <v>124</v>
      </c>
      <c r="R839" s="127"/>
      <c r="T839" s="118"/>
    </row>
    <row r="840" customFormat="false" ht="12.75" hidden="false" customHeight="true" outlineLevel="0" collapsed="false">
      <c r="B840" s="119" t="n">
        <f aca="false">ROW()-4</f>
        <v>836</v>
      </c>
      <c r="C840" s="120" t="n">
        <f aca="false">COUNTIFS($D$5:D840,D840)</f>
        <v>188</v>
      </c>
      <c r="D840" s="121" t="s">
        <v>1390</v>
      </c>
      <c r="E840" s="122" t="s">
        <v>1763</v>
      </c>
      <c r="F840" s="123" t="n">
        <v>45610</v>
      </c>
      <c r="G840" s="121" t="s">
        <v>22</v>
      </c>
      <c r="H84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A0836</v>
      </c>
      <c r="I84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B0836</v>
      </c>
      <c r="J840" s="122" t="s">
        <v>1764</v>
      </c>
      <c r="K84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C0836</v>
      </c>
      <c r="L84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D0836</v>
      </c>
      <c r="M84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E0836</v>
      </c>
      <c r="N840" s="122" t="s">
        <v>72</v>
      </c>
      <c r="O840" s="126" t="n">
        <v>2000000</v>
      </c>
      <c r="P840" s="121" t="s">
        <v>18</v>
      </c>
      <c r="Q840" s="121" t="s">
        <v>124</v>
      </c>
      <c r="R840" s="127"/>
      <c r="T840" s="118"/>
    </row>
    <row r="841" customFormat="false" ht="12.75" hidden="false" customHeight="true" outlineLevel="0" collapsed="false">
      <c r="B841" s="119" t="n">
        <f aca="false">ROW()-4</f>
        <v>837</v>
      </c>
      <c r="C841" s="120" t="n">
        <f aca="false">COUNTIFS($D$5:D841,D841)</f>
        <v>189</v>
      </c>
      <c r="D841" s="121" t="s">
        <v>1390</v>
      </c>
      <c r="E841" s="122" t="s">
        <v>1765</v>
      </c>
      <c r="F841" s="123" t="n">
        <v>45734</v>
      </c>
      <c r="G841" s="121" t="s">
        <v>28</v>
      </c>
      <c r="H84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A0837</v>
      </c>
      <c r="I84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B0837</v>
      </c>
      <c r="J841" s="122" t="s">
        <v>1766</v>
      </c>
      <c r="K84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C0837</v>
      </c>
      <c r="L84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D0837</v>
      </c>
      <c r="M84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E0837</v>
      </c>
      <c r="N841" s="122" t="s">
        <v>72</v>
      </c>
      <c r="O841" s="126" t="n">
        <v>2000000</v>
      </c>
      <c r="P841" s="121" t="s">
        <v>18</v>
      </c>
      <c r="Q841" s="121" t="s">
        <v>124</v>
      </c>
      <c r="R841" s="127"/>
      <c r="T841" s="118"/>
    </row>
    <row r="842" customFormat="false" ht="12.75" hidden="false" customHeight="true" outlineLevel="0" collapsed="false">
      <c r="B842" s="119" t="n">
        <f aca="false">ROW()-4</f>
        <v>838</v>
      </c>
      <c r="C842" s="120" t="n">
        <f aca="false">COUNTIFS($D$5:D842,D842)</f>
        <v>190</v>
      </c>
      <c r="D842" s="121" t="s">
        <v>1390</v>
      </c>
      <c r="E842" s="122" t="s">
        <v>1767</v>
      </c>
      <c r="F842" s="123" t="n">
        <v>45716</v>
      </c>
      <c r="G842" s="121" t="s">
        <v>22</v>
      </c>
      <c r="H84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A0838</v>
      </c>
      <c r="I84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B0838</v>
      </c>
      <c r="J842" s="122" t="s">
        <v>1768</v>
      </c>
      <c r="K84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C0838</v>
      </c>
      <c r="L84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D0838</v>
      </c>
      <c r="M84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E0838</v>
      </c>
      <c r="N842" s="122" t="s">
        <v>72</v>
      </c>
      <c r="O842" s="126" t="n">
        <v>2000000</v>
      </c>
      <c r="P842" s="121" t="s">
        <v>18</v>
      </c>
      <c r="Q842" s="121" t="s">
        <v>124</v>
      </c>
      <c r="R842" s="127"/>
      <c r="T842" s="118"/>
    </row>
    <row r="843" customFormat="false" ht="12.75" hidden="false" customHeight="true" outlineLevel="0" collapsed="false">
      <c r="B843" s="119" t="n">
        <f aca="false">ROW()-4</f>
        <v>839</v>
      </c>
      <c r="C843" s="120" t="n">
        <f aca="false">COUNTIFS($D$5:D843,D843)</f>
        <v>191</v>
      </c>
      <c r="D843" s="121" t="s">
        <v>1390</v>
      </c>
      <c r="E843" s="122" t="s">
        <v>1769</v>
      </c>
      <c r="F843" s="123" t="n">
        <v>45737</v>
      </c>
      <c r="G843" s="121" t="s">
        <v>22</v>
      </c>
      <c r="H84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A0839</v>
      </c>
      <c r="I84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B0839</v>
      </c>
      <c r="J843" s="122" t="s">
        <v>1770</v>
      </c>
      <c r="K84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C0839</v>
      </c>
      <c r="L84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D0839</v>
      </c>
      <c r="M84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E0839</v>
      </c>
      <c r="N843" s="122" t="s">
        <v>72</v>
      </c>
      <c r="O843" s="126" t="n">
        <v>2000000</v>
      </c>
      <c r="P843" s="121" t="s">
        <v>18</v>
      </c>
      <c r="Q843" s="121" t="s">
        <v>124</v>
      </c>
      <c r="R843" s="127"/>
      <c r="T843" s="118"/>
    </row>
    <row r="844" customFormat="false" ht="12.75" hidden="false" customHeight="true" outlineLevel="0" collapsed="false">
      <c r="B844" s="119" t="n">
        <f aca="false">ROW()-4</f>
        <v>840</v>
      </c>
      <c r="C844" s="120" t="n">
        <f aca="false">COUNTIFS($D$5:D844,D844)</f>
        <v>192</v>
      </c>
      <c r="D844" s="121" t="s">
        <v>1390</v>
      </c>
      <c r="E844" s="122" t="s">
        <v>1771</v>
      </c>
      <c r="F844" s="123" t="n">
        <v>45737</v>
      </c>
      <c r="G844" s="121" t="s">
        <v>22</v>
      </c>
      <c r="H84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A0840</v>
      </c>
      <c r="I84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B0840</v>
      </c>
      <c r="J844" s="122" t="s">
        <v>1772</v>
      </c>
      <c r="K84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C0840</v>
      </c>
      <c r="L84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D0840</v>
      </c>
      <c r="M84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E0840</v>
      </c>
      <c r="N844" s="122" t="s">
        <v>72</v>
      </c>
      <c r="O844" s="126" t="n">
        <v>2000000</v>
      </c>
      <c r="P844" s="121" t="s">
        <v>18</v>
      </c>
      <c r="Q844" s="121" t="s">
        <v>124</v>
      </c>
      <c r="R844" s="127"/>
      <c r="T844" s="118"/>
    </row>
    <row r="845" customFormat="false" ht="12.75" hidden="false" customHeight="true" outlineLevel="0" collapsed="false">
      <c r="B845" s="119" t="n">
        <f aca="false">ROW()-4</f>
        <v>841</v>
      </c>
      <c r="C845" s="120" t="n">
        <f aca="false">COUNTIFS($D$5:D845,D845)</f>
        <v>193</v>
      </c>
      <c r="D845" s="121" t="s">
        <v>1390</v>
      </c>
      <c r="E845" s="122" t="s">
        <v>1773</v>
      </c>
      <c r="F845" s="123" t="n">
        <v>45761</v>
      </c>
      <c r="G845" s="121" t="s">
        <v>28</v>
      </c>
      <c r="H84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A0841</v>
      </c>
      <c r="I84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B0841</v>
      </c>
      <c r="J845" s="122" t="s">
        <v>1774</v>
      </c>
      <c r="K84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C0841</v>
      </c>
      <c r="L84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D0841</v>
      </c>
      <c r="M84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E0841</v>
      </c>
      <c r="N845" s="122" t="s">
        <v>72</v>
      </c>
      <c r="O845" s="126" t="n">
        <v>2000000</v>
      </c>
      <c r="P845" s="121" t="s">
        <v>18</v>
      </c>
      <c r="Q845" s="121" t="s">
        <v>124</v>
      </c>
      <c r="R845" s="127"/>
      <c r="T845" s="118"/>
    </row>
    <row r="846" customFormat="false" ht="12.75" hidden="false" customHeight="true" outlineLevel="0" collapsed="false">
      <c r="B846" s="119" t="n">
        <f aca="false">ROW()-4</f>
        <v>842</v>
      </c>
      <c r="C846" s="120" t="n">
        <f aca="false">COUNTIFS($D$5:D846,D846)</f>
        <v>194</v>
      </c>
      <c r="D846" s="121" t="s">
        <v>1390</v>
      </c>
      <c r="E846" s="122" t="s">
        <v>1775</v>
      </c>
      <c r="F846" s="123" t="n">
        <v>45769</v>
      </c>
      <c r="G846" s="121" t="s">
        <v>24</v>
      </c>
      <c r="H84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A0842</v>
      </c>
      <c r="I84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B0842</v>
      </c>
      <c r="J846" s="122" t="s">
        <v>1776</v>
      </c>
      <c r="K84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C0842</v>
      </c>
      <c r="L84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D0842</v>
      </c>
      <c r="M84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E0842</v>
      </c>
      <c r="N846" s="122" t="s">
        <v>72</v>
      </c>
      <c r="O846" s="126" t="n">
        <v>2000000</v>
      </c>
      <c r="P846" s="121" t="s">
        <v>18</v>
      </c>
      <c r="Q846" s="121" t="s">
        <v>124</v>
      </c>
      <c r="R846" s="127"/>
      <c r="T846" s="118"/>
    </row>
    <row r="847" customFormat="false" ht="12.75" hidden="false" customHeight="true" outlineLevel="0" collapsed="false">
      <c r="B847" s="119" t="n">
        <f aca="false">ROW()-4</f>
        <v>843</v>
      </c>
      <c r="C847" s="120" t="n">
        <f aca="false">COUNTIFS($D$5:D847,D847)</f>
        <v>195</v>
      </c>
      <c r="D847" s="121" t="s">
        <v>1390</v>
      </c>
      <c r="E847" s="122" t="s">
        <v>1777</v>
      </c>
      <c r="F847" s="123" t="n">
        <v>45776</v>
      </c>
      <c r="G847" s="121" t="s">
        <v>28</v>
      </c>
      <c r="H84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A0843</v>
      </c>
      <c r="I84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B0843</v>
      </c>
      <c r="J847" s="122" t="s">
        <v>1778</v>
      </c>
      <c r="K84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C0843</v>
      </c>
      <c r="L84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D0843</v>
      </c>
      <c r="M84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E0843</v>
      </c>
      <c r="N847" s="122" t="s">
        <v>72</v>
      </c>
      <c r="O847" s="126" t="n">
        <v>2000000</v>
      </c>
      <c r="P847" s="121" t="s">
        <v>18</v>
      </c>
      <c r="Q847" s="121" t="s">
        <v>124</v>
      </c>
      <c r="R847" s="127"/>
      <c r="T847" s="118"/>
    </row>
    <row r="848" customFormat="false" ht="12.75" hidden="false" customHeight="true" outlineLevel="0" collapsed="false">
      <c r="B848" s="119" t="n">
        <f aca="false">ROW()-4</f>
        <v>844</v>
      </c>
      <c r="C848" s="120" t="n">
        <f aca="false">COUNTIFS($D$5:D848,D848)</f>
        <v>196</v>
      </c>
      <c r="D848" s="121" t="s">
        <v>1390</v>
      </c>
      <c r="E848" s="122" t="s">
        <v>1779</v>
      </c>
      <c r="F848" s="123" t="n">
        <v>45992</v>
      </c>
      <c r="G848" s="121" t="s">
        <v>22</v>
      </c>
      <c r="H84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A0844</v>
      </c>
      <c r="I84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B0844</v>
      </c>
      <c r="J848" s="122" t="s">
        <v>1780</v>
      </c>
      <c r="K84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C0844</v>
      </c>
      <c r="L84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D0844</v>
      </c>
      <c r="M84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E0844</v>
      </c>
      <c r="N848" s="122" t="s">
        <v>72</v>
      </c>
      <c r="O848" s="126" t="n">
        <v>2000000</v>
      </c>
      <c r="P848" s="121" t="s">
        <v>18</v>
      </c>
      <c r="Q848" s="121" t="s">
        <v>124</v>
      </c>
      <c r="R848" s="127"/>
      <c r="T848" s="118"/>
    </row>
    <row r="849" customFormat="false" ht="12.75" hidden="false" customHeight="true" outlineLevel="0" collapsed="false">
      <c r="B849" s="119" t="n">
        <f aca="false">ROW()-4</f>
        <v>845</v>
      </c>
      <c r="C849" s="120" t="n">
        <f aca="false">COUNTIFS($D$5:D849,D849)</f>
        <v>197</v>
      </c>
      <c r="D849" s="121" t="s">
        <v>1390</v>
      </c>
      <c r="E849" s="122" t="s">
        <v>1781</v>
      </c>
      <c r="F849" s="123" t="n">
        <v>45827</v>
      </c>
      <c r="G849" s="121" t="s">
        <v>28</v>
      </c>
      <c r="H84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A0845</v>
      </c>
      <c r="I84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B0845</v>
      </c>
      <c r="J849" s="122" t="s">
        <v>1782</v>
      </c>
      <c r="K84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C0845</v>
      </c>
      <c r="L84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D0845</v>
      </c>
      <c r="M84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E0845</v>
      </c>
      <c r="N849" s="122" t="s">
        <v>72</v>
      </c>
      <c r="O849" s="126" t="n">
        <v>2000000</v>
      </c>
      <c r="P849" s="121" t="s">
        <v>18</v>
      </c>
      <c r="Q849" s="121" t="s">
        <v>124</v>
      </c>
      <c r="R849" s="127"/>
      <c r="T849" s="118"/>
    </row>
    <row r="850" customFormat="false" ht="12.75" hidden="false" customHeight="true" outlineLevel="0" collapsed="false">
      <c r="B850" s="119" t="n">
        <f aca="false">ROW()-4</f>
        <v>846</v>
      </c>
      <c r="C850" s="120" t="n">
        <f aca="false">COUNTIFS($D$5:D850,D850)</f>
        <v>198</v>
      </c>
      <c r="D850" s="121" t="s">
        <v>1390</v>
      </c>
      <c r="E850" s="122" t="s">
        <v>1783</v>
      </c>
      <c r="F850" s="123" t="n">
        <v>44222</v>
      </c>
      <c r="G850" s="121" t="s">
        <v>26</v>
      </c>
      <c r="H85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A0846</v>
      </c>
      <c r="I85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B0846</v>
      </c>
      <c r="J850" s="122" t="s">
        <v>1784</v>
      </c>
      <c r="K85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C0846</v>
      </c>
      <c r="L85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D0846</v>
      </c>
      <c r="M85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E0846</v>
      </c>
      <c r="N850" s="122" t="s">
        <v>72</v>
      </c>
      <c r="O850" s="126" t="n">
        <v>2000000</v>
      </c>
      <c r="P850" s="121" t="s">
        <v>18</v>
      </c>
      <c r="Q850" s="121" t="s">
        <v>124</v>
      </c>
      <c r="R850" s="127"/>
      <c r="T850" s="118"/>
    </row>
    <row r="851" customFormat="false" ht="12.75" hidden="false" customHeight="true" outlineLevel="0" collapsed="false">
      <c r="B851" s="119" t="n">
        <f aca="false">ROW()-4</f>
        <v>847</v>
      </c>
      <c r="C851" s="120" t="n">
        <f aca="false">COUNTIFS($D$5:D851,D851)</f>
        <v>199</v>
      </c>
      <c r="D851" s="121" t="s">
        <v>1390</v>
      </c>
      <c r="E851" s="122" t="s">
        <v>1785</v>
      </c>
      <c r="F851" s="123" t="n">
        <v>45833</v>
      </c>
      <c r="G851" s="121" t="s">
        <v>22</v>
      </c>
      <c r="H85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A0847</v>
      </c>
      <c r="I85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B0847</v>
      </c>
      <c r="J851" s="122" t="s">
        <v>1786</v>
      </c>
      <c r="K85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C0847</v>
      </c>
      <c r="L85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D0847</v>
      </c>
      <c r="M85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E0847</v>
      </c>
      <c r="N851" s="122" t="s">
        <v>72</v>
      </c>
      <c r="O851" s="126" t="n">
        <v>2000000</v>
      </c>
      <c r="P851" s="121" t="s">
        <v>18</v>
      </c>
      <c r="Q851" s="121" t="s">
        <v>124</v>
      </c>
      <c r="R851" s="127"/>
      <c r="T851" s="118"/>
    </row>
    <row r="852" s="118" customFormat="true" ht="12.75" hidden="false" customHeight="true" outlineLevel="0" collapsed="false">
      <c r="A852" s="98"/>
      <c r="B852" s="119" t="n">
        <f aca="false">ROW()-4</f>
        <v>848</v>
      </c>
      <c r="C852" s="120" t="n">
        <f aca="false">COUNTIFS($D$5:D852,D852)</f>
        <v>200</v>
      </c>
      <c r="D852" s="121" t="s">
        <v>1390</v>
      </c>
      <c r="E852" s="122" t="s">
        <v>1787</v>
      </c>
      <c r="F852" s="123" t="n">
        <v>45849</v>
      </c>
      <c r="G852" s="121" t="s">
        <v>28</v>
      </c>
      <c r="H85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A0848</v>
      </c>
      <c r="I85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B0848</v>
      </c>
      <c r="J852" s="122" t="s">
        <v>1788</v>
      </c>
      <c r="K85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C0848</v>
      </c>
      <c r="L85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D0848</v>
      </c>
      <c r="M85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E0848</v>
      </c>
      <c r="N852" s="122" t="s">
        <v>72</v>
      </c>
      <c r="O852" s="126" t="n">
        <v>2000000</v>
      </c>
      <c r="P852" s="121" t="s">
        <v>18</v>
      </c>
      <c r="Q852" s="121" t="s">
        <v>124</v>
      </c>
      <c r="R852" s="127"/>
    </row>
    <row r="853" s="118" customFormat="true" ht="12.75" hidden="false" customHeight="true" outlineLevel="0" collapsed="false">
      <c r="A853" s="98"/>
      <c r="B853" s="119" t="n">
        <f aca="false">ROW()-4</f>
        <v>849</v>
      </c>
      <c r="C853" s="120" t="n">
        <f aca="false">COUNTIFS($D$5:D853,D853)</f>
        <v>201</v>
      </c>
      <c r="D853" s="121" t="s">
        <v>1390</v>
      </c>
      <c r="E853" s="122" t="s">
        <v>1789</v>
      </c>
      <c r="F853" s="123" t="n">
        <v>45775</v>
      </c>
      <c r="G853" s="121" t="s">
        <v>28</v>
      </c>
      <c r="H85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A0849</v>
      </c>
      <c r="I85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B0849</v>
      </c>
      <c r="J853" s="122" t="s">
        <v>1790</v>
      </c>
      <c r="K85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C0849</v>
      </c>
      <c r="L85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D0849</v>
      </c>
      <c r="M85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E0849</v>
      </c>
      <c r="N853" s="122" t="s">
        <v>72</v>
      </c>
      <c r="O853" s="126" t="n">
        <v>2000000</v>
      </c>
      <c r="P853" s="121" t="s">
        <v>18</v>
      </c>
      <c r="Q853" s="121" t="s">
        <v>124</v>
      </c>
      <c r="R853" s="127"/>
    </row>
    <row r="854" customFormat="false" ht="12.75" hidden="false" customHeight="true" outlineLevel="0" collapsed="false">
      <c r="B854" s="119" t="n">
        <f aca="false">ROW()-4</f>
        <v>850</v>
      </c>
      <c r="C854" s="120" t="n">
        <f aca="false">COUNTIFS($D$5:D854,D854)</f>
        <v>202</v>
      </c>
      <c r="D854" s="121" t="s">
        <v>1390</v>
      </c>
      <c r="E854" s="122" t="s">
        <v>1791</v>
      </c>
      <c r="F854" s="123" t="n">
        <v>45875</v>
      </c>
      <c r="G854" s="121" t="s">
        <v>22</v>
      </c>
      <c r="H85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A0850</v>
      </c>
      <c r="I85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B0850</v>
      </c>
      <c r="J854" s="122" t="s">
        <v>1792</v>
      </c>
      <c r="K85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C0850</v>
      </c>
      <c r="L85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D0850</v>
      </c>
      <c r="M85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E0850</v>
      </c>
      <c r="N854" s="122" t="s">
        <v>72</v>
      </c>
      <c r="O854" s="126" t="n">
        <v>2000000</v>
      </c>
      <c r="P854" s="121" t="s">
        <v>18</v>
      </c>
      <c r="Q854" s="121" t="s">
        <v>124</v>
      </c>
      <c r="R854" s="127"/>
      <c r="T854" s="118"/>
    </row>
    <row r="855" customFormat="false" ht="12.75" hidden="false" customHeight="true" outlineLevel="0" collapsed="false">
      <c r="B855" s="119" t="n">
        <f aca="false">ROW()-4</f>
        <v>851</v>
      </c>
      <c r="C855" s="120" t="n">
        <f aca="false">COUNTIFS($D$5:D855,D855)</f>
        <v>203</v>
      </c>
      <c r="D855" s="121" t="s">
        <v>1390</v>
      </c>
      <c r="E855" s="122" t="s">
        <v>1793</v>
      </c>
      <c r="F855" s="123" t="n">
        <v>45880</v>
      </c>
      <c r="G855" s="121" t="s">
        <v>28</v>
      </c>
      <c r="H85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A0851</v>
      </c>
      <c r="I85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B0851</v>
      </c>
      <c r="J855" s="122" t="s">
        <v>1794</v>
      </c>
      <c r="K85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C0851</v>
      </c>
      <c r="L85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D0851</v>
      </c>
      <c r="M85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E0851</v>
      </c>
      <c r="N855" s="122" t="s">
        <v>72</v>
      </c>
      <c r="O855" s="126" t="n">
        <v>2000000</v>
      </c>
      <c r="P855" s="121" t="s">
        <v>18</v>
      </c>
      <c r="Q855" s="121" t="s">
        <v>124</v>
      </c>
      <c r="R855" s="127"/>
      <c r="T855" s="118"/>
    </row>
    <row r="856" customFormat="false" ht="12.75" hidden="false" customHeight="true" outlineLevel="0" collapsed="false">
      <c r="B856" s="119" t="n">
        <f aca="false">ROW()-4</f>
        <v>852</v>
      </c>
      <c r="C856" s="120" t="n">
        <f aca="false">COUNTIFS($D$5:D856,D856)</f>
        <v>204</v>
      </c>
      <c r="D856" s="121" t="s">
        <v>1390</v>
      </c>
      <c r="E856" s="122" t="s">
        <v>1795</v>
      </c>
      <c r="F856" s="123" t="n">
        <v>45887</v>
      </c>
      <c r="G856" s="121" t="s">
        <v>28</v>
      </c>
      <c r="H85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A0852</v>
      </c>
      <c r="I85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B0852</v>
      </c>
      <c r="J856" s="122" t="s">
        <v>1796</v>
      </c>
      <c r="K85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C0852</v>
      </c>
      <c r="L85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D0852</v>
      </c>
      <c r="M85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E0852</v>
      </c>
      <c r="N856" s="122" t="s">
        <v>72</v>
      </c>
      <c r="O856" s="126" t="n">
        <v>2000000</v>
      </c>
      <c r="P856" s="121" t="s">
        <v>18</v>
      </c>
      <c r="Q856" s="121" t="s">
        <v>124</v>
      </c>
      <c r="R856" s="127"/>
      <c r="T856" s="118"/>
    </row>
    <row r="857" s="118" customFormat="true" ht="12.75" hidden="false" customHeight="true" outlineLevel="0" collapsed="false">
      <c r="A857" s="98"/>
      <c r="B857" s="148" t="n">
        <f aca="false">ROW()-4</f>
        <v>853</v>
      </c>
      <c r="C857" s="149" t="n">
        <f aca="false">COUNTIFS($D$5:D857,D857)</f>
        <v>205</v>
      </c>
      <c r="D857" s="138" t="s">
        <v>1390</v>
      </c>
      <c r="E857" s="124" t="s">
        <v>1797</v>
      </c>
      <c r="F857" s="137" t="n">
        <v>45902</v>
      </c>
      <c r="G857" s="138" t="s">
        <v>24</v>
      </c>
      <c r="H857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A0853</v>
      </c>
      <c r="I857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B0853</v>
      </c>
      <c r="J857" s="124" t="s">
        <v>1798</v>
      </c>
      <c r="K857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C0853</v>
      </c>
      <c r="L857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D0853</v>
      </c>
      <c r="M857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E0853</v>
      </c>
      <c r="N857" s="124" t="s">
        <v>72</v>
      </c>
      <c r="O857" s="150" t="n">
        <v>2000000</v>
      </c>
      <c r="P857" s="138" t="s">
        <v>18</v>
      </c>
      <c r="Q857" s="138" t="s">
        <v>124</v>
      </c>
      <c r="R857" s="151"/>
    </row>
    <row r="858" s="118" customFormat="true" ht="12.75" hidden="false" customHeight="true" outlineLevel="0" collapsed="false">
      <c r="A858" s="98"/>
      <c r="B858" s="148" t="n">
        <f aca="false">ROW()-4</f>
        <v>854</v>
      </c>
      <c r="C858" s="149" t="n">
        <f aca="false">COUNTIFS($D$5:D858,D858)</f>
        <v>206</v>
      </c>
      <c r="D858" s="138" t="s">
        <v>1390</v>
      </c>
      <c r="E858" s="122" t="s">
        <v>1799</v>
      </c>
      <c r="F858" s="123" t="n">
        <v>45945</v>
      </c>
      <c r="G858" s="121" t="s">
        <v>22</v>
      </c>
      <c r="H85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A0854</v>
      </c>
      <c r="I85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B0854</v>
      </c>
      <c r="J858" s="122" t="s">
        <v>1800</v>
      </c>
      <c r="K85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C0854</v>
      </c>
      <c r="L85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D0854</v>
      </c>
      <c r="M85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E0854</v>
      </c>
      <c r="N858" s="122" t="s">
        <v>72</v>
      </c>
      <c r="O858" s="126" t="n">
        <v>2000000</v>
      </c>
      <c r="P858" s="121" t="s">
        <v>18</v>
      </c>
      <c r="Q858" s="138" t="s">
        <v>124</v>
      </c>
      <c r="R858" s="151"/>
    </row>
    <row r="859" s="118" customFormat="true" ht="12.75" hidden="false" customHeight="true" outlineLevel="0" collapsed="false">
      <c r="A859" s="98"/>
      <c r="B859" s="148" t="n">
        <f aca="false">ROW()-4</f>
        <v>855</v>
      </c>
      <c r="C859" s="149" t="n">
        <f aca="false">COUNTIFS($D$5:D859,D859)</f>
        <v>207</v>
      </c>
      <c r="D859" s="138" t="s">
        <v>1390</v>
      </c>
      <c r="E859" s="124" t="s">
        <v>1801</v>
      </c>
      <c r="F859" s="123" t="n">
        <v>45954</v>
      </c>
      <c r="G859" s="121" t="s">
        <v>28</v>
      </c>
      <c r="H85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A0855</v>
      </c>
      <c r="I85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B0855</v>
      </c>
      <c r="J859" s="122" t="s">
        <v>1802</v>
      </c>
      <c r="K85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C0855</v>
      </c>
      <c r="L85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D0855</v>
      </c>
      <c r="M859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E0855</v>
      </c>
      <c r="N859" s="124" t="s">
        <v>72</v>
      </c>
      <c r="O859" s="150" t="n">
        <v>2000000</v>
      </c>
      <c r="P859" s="121" t="s">
        <v>18</v>
      </c>
      <c r="Q859" s="138" t="s">
        <v>124</v>
      </c>
      <c r="R859" s="151"/>
    </row>
    <row r="860" s="118" customFormat="true" ht="12.75" hidden="false" customHeight="true" outlineLevel="0" collapsed="false">
      <c r="A860" s="98"/>
      <c r="B860" s="148" t="n">
        <f aca="false">ROW()-4</f>
        <v>856</v>
      </c>
      <c r="C860" s="149" t="n">
        <f aca="false">COUNTIFS($D$5:D860,D860)</f>
        <v>208</v>
      </c>
      <c r="D860" s="138" t="s">
        <v>1390</v>
      </c>
      <c r="E860" s="122" t="s">
        <v>1803</v>
      </c>
      <c r="F860" s="123" t="n">
        <v>45952</v>
      </c>
      <c r="G860" s="121" t="s">
        <v>22</v>
      </c>
      <c r="H86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A0856</v>
      </c>
      <c r="I86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B0856</v>
      </c>
      <c r="J860" s="122" t="s">
        <v>1804</v>
      </c>
      <c r="K86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C0856</v>
      </c>
      <c r="L86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D0856</v>
      </c>
      <c r="M86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E0856</v>
      </c>
      <c r="N860" s="122" t="s">
        <v>72</v>
      </c>
      <c r="O860" s="126" t="n">
        <v>2000000</v>
      </c>
      <c r="P860" s="121" t="s">
        <v>18</v>
      </c>
      <c r="Q860" s="121" t="s">
        <v>124</v>
      </c>
      <c r="R860" s="127"/>
    </row>
    <row r="861" s="118" customFormat="true" ht="12.75" hidden="false" customHeight="true" outlineLevel="0" collapsed="false">
      <c r="A861" s="98"/>
      <c r="B861" s="148" t="n">
        <f aca="false">ROW()-4</f>
        <v>857</v>
      </c>
      <c r="C861" s="149" t="n">
        <f aca="false">COUNTIFS($D$5:D861,D861)</f>
        <v>209</v>
      </c>
      <c r="D861" s="138" t="s">
        <v>1390</v>
      </c>
      <c r="E861" s="122" t="s">
        <v>1805</v>
      </c>
      <c r="F861" s="123" t="n">
        <v>45959</v>
      </c>
      <c r="G861" s="121" t="s">
        <v>22</v>
      </c>
      <c r="H86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A0857</v>
      </c>
      <c r="I86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B0857</v>
      </c>
      <c r="J861" s="122" t="s">
        <v>1806</v>
      </c>
      <c r="K86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C0857</v>
      </c>
      <c r="L86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D0857</v>
      </c>
      <c r="M86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E0857</v>
      </c>
      <c r="N861" s="122" t="s">
        <v>72</v>
      </c>
      <c r="O861" s="126" t="n">
        <v>2000000</v>
      </c>
      <c r="P861" s="121" t="s">
        <v>18</v>
      </c>
      <c r="Q861" s="121" t="s">
        <v>124</v>
      </c>
      <c r="R861" s="127"/>
    </row>
    <row r="862" s="118" customFormat="true" ht="12.75" hidden="false" customHeight="true" outlineLevel="0" collapsed="false">
      <c r="A862" s="98"/>
      <c r="B862" s="148" t="n">
        <f aca="false">ROW()-4</f>
        <v>858</v>
      </c>
      <c r="C862" s="149" t="n">
        <f aca="false">COUNTIFS($D$5:D862,D862)</f>
        <v>210</v>
      </c>
      <c r="D862" s="138" t="s">
        <v>1390</v>
      </c>
      <c r="E862" s="122" t="s">
        <v>1807</v>
      </c>
      <c r="F862" s="123" t="n">
        <v>45981</v>
      </c>
      <c r="G862" s="121" t="s">
        <v>24</v>
      </c>
      <c r="H86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A0858</v>
      </c>
      <c r="I86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B0858</v>
      </c>
      <c r="J862" s="122" t="s">
        <v>1808</v>
      </c>
      <c r="K86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C0858</v>
      </c>
      <c r="L86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D0858</v>
      </c>
      <c r="M86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E0858</v>
      </c>
      <c r="N862" s="122" t="s">
        <v>72</v>
      </c>
      <c r="O862" s="126" t="n">
        <v>2000000</v>
      </c>
      <c r="P862" s="121" t="s">
        <v>18</v>
      </c>
      <c r="Q862" s="121" t="s">
        <v>124</v>
      </c>
      <c r="R862" s="127"/>
    </row>
    <row r="863" s="118" customFormat="true" ht="12.75" hidden="false" customHeight="true" outlineLevel="0" collapsed="false">
      <c r="A863" s="98"/>
      <c r="B863" s="148" t="n">
        <f aca="false">ROW()-4</f>
        <v>859</v>
      </c>
      <c r="C863" s="149" t="n">
        <f aca="false">COUNTIFS($D$5:D863,D863)</f>
        <v>211</v>
      </c>
      <c r="D863" s="138" t="s">
        <v>1390</v>
      </c>
      <c r="E863" s="122" t="s">
        <v>1809</v>
      </c>
      <c r="F863" s="123" t="n">
        <v>46035</v>
      </c>
      <c r="G863" s="121" t="s">
        <v>22</v>
      </c>
      <c r="H86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A0859</v>
      </c>
      <c r="I86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B0859</v>
      </c>
      <c r="J863" s="122" t="s">
        <v>1810</v>
      </c>
      <c r="K86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C0859</v>
      </c>
      <c r="L86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D0859</v>
      </c>
      <c r="M86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E0859</v>
      </c>
      <c r="N863" s="122" t="s">
        <v>72</v>
      </c>
      <c r="O863" s="126" t="n">
        <v>2000000</v>
      </c>
      <c r="P863" s="121" t="s">
        <v>18</v>
      </c>
      <c r="Q863" s="121" t="s">
        <v>124</v>
      </c>
      <c r="R863" s="127"/>
    </row>
    <row r="864" s="118" customFormat="true" ht="12.75" hidden="false" customHeight="true" outlineLevel="0" collapsed="false">
      <c r="A864" s="98"/>
      <c r="B864" s="152" t="n">
        <f aca="false">ROW()-4</f>
        <v>860</v>
      </c>
      <c r="C864" s="153" t="n">
        <f aca="false">COUNTIFS($D$5:D864,D864)</f>
        <v>212</v>
      </c>
      <c r="D864" s="154" t="s">
        <v>1390</v>
      </c>
      <c r="E864" s="155" t="s">
        <v>1811</v>
      </c>
      <c r="F864" s="156" t="n">
        <v>46062</v>
      </c>
      <c r="G864" s="154" t="s">
        <v>28</v>
      </c>
      <c r="H864" s="155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A0860</v>
      </c>
      <c r="I864" s="155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B0860</v>
      </c>
      <c r="J864" s="155" t="s">
        <v>1812</v>
      </c>
      <c r="K864" s="155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C0860</v>
      </c>
      <c r="L864" s="157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D0860</v>
      </c>
      <c r="M864" s="155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E0860</v>
      </c>
      <c r="N864" s="155" t="s">
        <v>72</v>
      </c>
      <c r="O864" s="158" t="n">
        <v>2000000</v>
      </c>
      <c r="P864" s="154" t="s">
        <v>1813</v>
      </c>
      <c r="Q864" s="155" t="s">
        <v>908</v>
      </c>
      <c r="R864" s="159"/>
    </row>
    <row r="865" customFormat="false" ht="12.75" hidden="false" customHeight="true" outlineLevel="0" collapsed="false">
      <c r="B865" s="110" t="n">
        <f aca="false">ROW()-4</f>
        <v>861</v>
      </c>
      <c r="C865" s="111" t="n">
        <f aca="false">COUNTIFS($D$5:D865,D865)</f>
        <v>1</v>
      </c>
      <c r="D865" s="112" t="s">
        <v>1814</v>
      </c>
      <c r="E865" s="113" t="s">
        <v>1815</v>
      </c>
      <c r="F865" s="114" t="n">
        <v>45819</v>
      </c>
      <c r="G865" s="112" t="s">
        <v>22</v>
      </c>
      <c r="H865" s="11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A0861</v>
      </c>
      <c r="I865" s="11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B0861</v>
      </c>
      <c r="J865" s="113" t="s">
        <v>1816</v>
      </c>
      <c r="K865" s="11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C0861</v>
      </c>
      <c r="L865" s="11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D0861</v>
      </c>
      <c r="M865" s="11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E0861</v>
      </c>
      <c r="N865" s="113" t="s">
        <v>73</v>
      </c>
      <c r="O865" s="116" t="n">
        <v>3500000</v>
      </c>
      <c r="P865" s="112" t="s">
        <v>18</v>
      </c>
      <c r="Q865" s="112" t="s">
        <v>124</v>
      </c>
      <c r="R865" s="117"/>
      <c r="T865" s="118"/>
    </row>
    <row r="866" customFormat="false" ht="12.75" hidden="false" customHeight="true" outlineLevel="0" collapsed="false">
      <c r="B866" s="119" t="n">
        <f aca="false">ROW()-4</f>
        <v>862</v>
      </c>
      <c r="C866" s="120" t="n">
        <f aca="false">COUNTIFS($D$5:D866,D866)</f>
        <v>2</v>
      </c>
      <c r="D866" s="121" t="s">
        <v>1814</v>
      </c>
      <c r="E866" s="122" t="s">
        <v>1817</v>
      </c>
      <c r="F866" s="123"/>
      <c r="G866" s="121" t="s">
        <v>210</v>
      </c>
      <c r="H866" s="122"/>
      <c r="I866" s="122"/>
      <c r="J866" s="122"/>
      <c r="K866" s="122"/>
      <c r="L866" s="125"/>
      <c r="M86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E0862</v>
      </c>
      <c r="N866" s="122" t="s">
        <v>73</v>
      </c>
      <c r="O866" s="126" t="n">
        <v>3500000</v>
      </c>
      <c r="P866" s="121" t="s">
        <v>19</v>
      </c>
      <c r="Q866" s="122"/>
      <c r="R866" s="128" t="s">
        <v>59</v>
      </c>
      <c r="T866" s="118"/>
    </row>
    <row r="867" customFormat="false" ht="12.75" hidden="false" customHeight="true" outlineLevel="0" collapsed="false">
      <c r="B867" s="119" t="n">
        <f aca="false">ROW()-4</f>
        <v>863</v>
      </c>
      <c r="C867" s="120" t="n">
        <f aca="false">COUNTIFS($D$5:D867,D867)</f>
        <v>3</v>
      </c>
      <c r="D867" s="121" t="s">
        <v>1814</v>
      </c>
      <c r="E867" s="122" t="s">
        <v>1818</v>
      </c>
      <c r="F867" s="123" t="n">
        <v>45524</v>
      </c>
      <c r="G867" s="121" t="s">
        <v>22</v>
      </c>
      <c r="H86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A0863</v>
      </c>
      <c r="I86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B0863</v>
      </c>
      <c r="J867" s="122" t="s">
        <v>1819</v>
      </c>
      <c r="K86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C0863</v>
      </c>
      <c r="L86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D0863</v>
      </c>
      <c r="M86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E0863</v>
      </c>
      <c r="N867" s="122" t="s">
        <v>73</v>
      </c>
      <c r="O867" s="126" t="n">
        <v>3500000</v>
      </c>
      <c r="P867" s="121" t="s">
        <v>18</v>
      </c>
      <c r="Q867" s="121" t="s">
        <v>124</v>
      </c>
      <c r="R867" s="127"/>
      <c r="T867" s="118"/>
    </row>
    <row r="868" customFormat="false" ht="12.75" hidden="false" customHeight="true" outlineLevel="0" collapsed="false">
      <c r="B868" s="119" t="n">
        <f aca="false">ROW()-4</f>
        <v>864</v>
      </c>
      <c r="C868" s="120" t="n">
        <f aca="false">COUNTIFS($D$5:D868,D868)</f>
        <v>4</v>
      </c>
      <c r="D868" s="121" t="s">
        <v>1814</v>
      </c>
      <c r="E868" s="122" t="s">
        <v>1820</v>
      </c>
      <c r="F868" s="123" t="n">
        <v>44657</v>
      </c>
      <c r="G868" s="121" t="s">
        <v>28</v>
      </c>
      <c r="H86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A0864</v>
      </c>
      <c r="I86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B0864</v>
      </c>
      <c r="J868" s="122" t="s">
        <v>1821</v>
      </c>
      <c r="K86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C0864</v>
      </c>
      <c r="L86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D0864</v>
      </c>
      <c r="M86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E0864</v>
      </c>
      <c r="N868" s="122" t="s">
        <v>73</v>
      </c>
      <c r="O868" s="126" t="n">
        <v>3500000</v>
      </c>
      <c r="P868" s="121" t="s">
        <v>18</v>
      </c>
      <c r="Q868" s="121" t="s">
        <v>124</v>
      </c>
      <c r="R868" s="127"/>
      <c r="T868" s="118"/>
    </row>
    <row r="869" customFormat="false" ht="12.75" hidden="false" customHeight="true" outlineLevel="0" collapsed="false">
      <c r="B869" s="119" t="n">
        <f aca="false">ROW()-4</f>
        <v>865</v>
      </c>
      <c r="C869" s="120" t="n">
        <f aca="false">COUNTIFS($D$5:D869,D869)</f>
        <v>5</v>
      </c>
      <c r="D869" s="121" t="s">
        <v>1814</v>
      </c>
      <c r="E869" s="122" t="s">
        <v>1822</v>
      </c>
      <c r="F869" s="123" t="n">
        <v>46062</v>
      </c>
      <c r="G869" s="121" t="s">
        <v>28</v>
      </c>
      <c r="H86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A0865</v>
      </c>
      <c r="I86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B0865</v>
      </c>
      <c r="J869" s="122" t="s">
        <v>1823</v>
      </c>
      <c r="K86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C0865</v>
      </c>
      <c r="L86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D0865</v>
      </c>
      <c r="M86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E0865</v>
      </c>
      <c r="N869" s="122" t="s">
        <v>73</v>
      </c>
      <c r="O869" s="126" t="n">
        <v>3500000</v>
      </c>
      <c r="P869" s="121" t="s">
        <v>18</v>
      </c>
      <c r="Q869" s="121" t="s">
        <v>124</v>
      </c>
      <c r="R869" s="127"/>
      <c r="T869" s="118"/>
    </row>
    <row r="870" customFormat="false" ht="12.75" hidden="false" customHeight="true" outlineLevel="0" collapsed="false">
      <c r="B870" s="119" t="n">
        <f aca="false">ROW()-4</f>
        <v>866</v>
      </c>
      <c r="C870" s="120" t="n">
        <f aca="false">COUNTIFS($D$5:D870,D870)</f>
        <v>6</v>
      </c>
      <c r="D870" s="121" t="s">
        <v>1814</v>
      </c>
      <c r="E870" s="124" t="s">
        <v>1824</v>
      </c>
      <c r="F870" s="137" t="n">
        <v>45916</v>
      </c>
      <c r="G870" s="138" t="s">
        <v>28</v>
      </c>
      <c r="H870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A0866</v>
      </c>
      <c r="I870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B0866</v>
      </c>
      <c r="J870" s="124" t="s">
        <v>1825</v>
      </c>
      <c r="K870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C0866</v>
      </c>
      <c r="L870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D0866</v>
      </c>
      <c r="M87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E0866</v>
      </c>
      <c r="N870" s="122" t="s">
        <v>73</v>
      </c>
      <c r="O870" s="126" t="n">
        <v>3500000</v>
      </c>
      <c r="P870" s="121" t="s">
        <v>18</v>
      </c>
      <c r="Q870" s="121" t="s">
        <v>124</v>
      </c>
      <c r="R870" s="127"/>
      <c r="T870" s="118"/>
    </row>
    <row r="871" customFormat="false" ht="12.75" hidden="false" customHeight="true" outlineLevel="0" collapsed="false">
      <c r="B871" s="119" t="n">
        <f aca="false">ROW()-4</f>
        <v>867</v>
      </c>
      <c r="C871" s="120" t="n">
        <f aca="false">COUNTIFS($D$5:D871,D871)</f>
        <v>7</v>
      </c>
      <c r="D871" s="121" t="s">
        <v>1814</v>
      </c>
      <c r="E871" s="122" t="s">
        <v>1826</v>
      </c>
      <c r="F871" s="123" t="n">
        <v>44356</v>
      </c>
      <c r="G871" s="121" t="s">
        <v>28</v>
      </c>
      <c r="H87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A0867</v>
      </c>
      <c r="I87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B0867</v>
      </c>
      <c r="J871" s="122" t="s">
        <v>1827</v>
      </c>
      <c r="K87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C0867</v>
      </c>
      <c r="L87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D0867</v>
      </c>
      <c r="M87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E0867</v>
      </c>
      <c r="N871" s="122" t="s">
        <v>73</v>
      </c>
      <c r="O871" s="126" t="n">
        <v>3500000</v>
      </c>
      <c r="P871" s="121" t="s">
        <v>18</v>
      </c>
      <c r="Q871" s="121" t="s">
        <v>124</v>
      </c>
      <c r="R871" s="127"/>
      <c r="T871" s="118"/>
    </row>
    <row r="872" customFormat="false" ht="12.75" hidden="false" customHeight="true" outlineLevel="0" collapsed="false">
      <c r="B872" s="119" t="n">
        <f aca="false">ROW()-4</f>
        <v>868</v>
      </c>
      <c r="C872" s="120" t="n">
        <f aca="false">COUNTIFS($D$5:D872,D872)</f>
        <v>8</v>
      </c>
      <c r="D872" s="121" t="s">
        <v>1814</v>
      </c>
      <c r="E872" s="122" t="s">
        <v>1828</v>
      </c>
      <c r="F872" s="123" t="n">
        <v>44356</v>
      </c>
      <c r="G872" s="121" t="s">
        <v>28</v>
      </c>
      <c r="H87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A0868</v>
      </c>
      <c r="I87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B0868</v>
      </c>
      <c r="J872" s="122" t="s">
        <v>1829</v>
      </c>
      <c r="K87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C0868</v>
      </c>
      <c r="L87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D0868</v>
      </c>
      <c r="M87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E0868</v>
      </c>
      <c r="N872" s="122" t="s">
        <v>73</v>
      </c>
      <c r="O872" s="126" t="n">
        <v>3500000</v>
      </c>
      <c r="P872" s="121" t="s">
        <v>18</v>
      </c>
      <c r="Q872" s="121" t="s">
        <v>124</v>
      </c>
      <c r="R872" s="127"/>
      <c r="T872" s="118"/>
    </row>
    <row r="873" customFormat="false" ht="12.75" hidden="false" customHeight="true" outlineLevel="0" collapsed="false">
      <c r="B873" s="119" t="n">
        <f aca="false">ROW()-4</f>
        <v>869</v>
      </c>
      <c r="C873" s="120" t="n">
        <f aca="false">COUNTIFS($D$5:D873,D873)</f>
        <v>9</v>
      </c>
      <c r="D873" s="121" t="s">
        <v>1814</v>
      </c>
      <c r="E873" s="122" t="s">
        <v>1830</v>
      </c>
      <c r="F873" s="123" t="n">
        <v>44362</v>
      </c>
      <c r="G873" s="121" t="s">
        <v>24</v>
      </c>
      <c r="H87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A0869</v>
      </c>
      <c r="I87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B0869</v>
      </c>
      <c r="J873" s="122" t="s">
        <v>1831</v>
      </c>
      <c r="K87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C0869</v>
      </c>
      <c r="L87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D0869</v>
      </c>
      <c r="M87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E0869</v>
      </c>
      <c r="N873" s="122" t="s">
        <v>73</v>
      </c>
      <c r="O873" s="126" t="n">
        <v>3500000</v>
      </c>
      <c r="P873" s="121" t="s">
        <v>18</v>
      </c>
      <c r="Q873" s="121" t="s">
        <v>124</v>
      </c>
      <c r="R873" s="127"/>
      <c r="T873" s="118"/>
    </row>
    <row r="874" customFormat="false" ht="12.75" hidden="false" customHeight="true" outlineLevel="0" collapsed="false">
      <c r="B874" s="119" t="n">
        <f aca="false">ROW()-4</f>
        <v>870</v>
      </c>
      <c r="C874" s="120" t="n">
        <f aca="false">COUNTIFS($D$5:D874,D874)</f>
        <v>10</v>
      </c>
      <c r="D874" s="121" t="s">
        <v>1814</v>
      </c>
      <c r="E874" s="122" t="s">
        <v>1832</v>
      </c>
      <c r="F874" s="123" t="n">
        <v>45751</v>
      </c>
      <c r="G874" s="121" t="s">
        <v>26</v>
      </c>
      <c r="H87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A0870</v>
      </c>
      <c r="I87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B0870</v>
      </c>
      <c r="J874" s="122" t="s">
        <v>1833</v>
      </c>
      <c r="K87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C0870</v>
      </c>
      <c r="L87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D0870</v>
      </c>
      <c r="M87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E0870</v>
      </c>
      <c r="N874" s="122" t="s">
        <v>73</v>
      </c>
      <c r="O874" s="126" t="n">
        <v>3500000</v>
      </c>
      <c r="P874" s="121" t="s">
        <v>18</v>
      </c>
      <c r="Q874" s="121" t="s">
        <v>124</v>
      </c>
      <c r="R874" s="127"/>
      <c r="T874" s="118"/>
    </row>
    <row r="875" customFormat="false" ht="12.75" hidden="false" customHeight="true" outlineLevel="0" collapsed="false">
      <c r="B875" s="119" t="n">
        <f aca="false">ROW()-4</f>
        <v>871</v>
      </c>
      <c r="C875" s="120" t="n">
        <f aca="false">COUNTIFS($D$5:D875,D875)</f>
        <v>11</v>
      </c>
      <c r="D875" s="121" t="s">
        <v>1814</v>
      </c>
      <c r="E875" s="122" t="s">
        <v>1834</v>
      </c>
      <c r="F875" s="123" t="n">
        <v>44375</v>
      </c>
      <c r="G875" s="121" t="s">
        <v>22</v>
      </c>
      <c r="H87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A0871</v>
      </c>
      <c r="I87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B0871</v>
      </c>
      <c r="J875" s="122" t="s">
        <v>1835</v>
      </c>
      <c r="K87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C0871</v>
      </c>
      <c r="L87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D0871</v>
      </c>
      <c r="M87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E0871</v>
      </c>
      <c r="N875" s="122" t="s">
        <v>73</v>
      </c>
      <c r="O875" s="126" t="n">
        <v>3500000</v>
      </c>
      <c r="P875" s="121" t="s">
        <v>18</v>
      </c>
      <c r="Q875" s="121" t="s">
        <v>124</v>
      </c>
      <c r="R875" s="127"/>
      <c r="T875" s="118"/>
    </row>
    <row r="876" customFormat="false" ht="12.75" hidden="false" customHeight="true" outlineLevel="0" collapsed="false">
      <c r="B876" s="119" t="n">
        <f aca="false">ROW()-4</f>
        <v>872</v>
      </c>
      <c r="C876" s="120" t="n">
        <f aca="false">COUNTIFS($D$5:D876,D876)</f>
        <v>12</v>
      </c>
      <c r="D876" s="121" t="s">
        <v>1814</v>
      </c>
      <c r="E876" s="122" t="s">
        <v>1836</v>
      </c>
      <c r="F876" s="123" t="n">
        <v>44405</v>
      </c>
      <c r="G876" s="121" t="s">
        <v>22</v>
      </c>
      <c r="H87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A0872</v>
      </c>
      <c r="I87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B0872</v>
      </c>
      <c r="J876" s="122" t="s">
        <v>1837</v>
      </c>
      <c r="K87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C0872</v>
      </c>
      <c r="L87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D0872</v>
      </c>
      <c r="M87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E0872</v>
      </c>
      <c r="N876" s="122" t="s">
        <v>73</v>
      </c>
      <c r="O876" s="126" t="n">
        <v>3500000</v>
      </c>
      <c r="P876" s="121" t="s">
        <v>18</v>
      </c>
      <c r="Q876" s="121" t="s">
        <v>124</v>
      </c>
      <c r="R876" s="127"/>
      <c r="T876" s="118"/>
    </row>
    <row r="877" customFormat="false" ht="12.75" hidden="false" customHeight="true" outlineLevel="0" collapsed="false">
      <c r="B877" s="119" t="n">
        <f aca="false">ROW()-4</f>
        <v>873</v>
      </c>
      <c r="C877" s="120" t="n">
        <f aca="false">COUNTIFS($D$5:D877,D877)</f>
        <v>13</v>
      </c>
      <c r="D877" s="121" t="s">
        <v>1814</v>
      </c>
      <c r="E877" s="122" t="s">
        <v>1838</v>
      </c>
      <c r="F877" s="123" t="n">
        <v>44378</v>
      </c>
      <c r="G877" s="121" t="s">
        <v>28</v>
      </c>
      <c r="H87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A0873</v>
      </c>
      <c r="I87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B0873</v>
      </c>
      <c r="J877" s="122" t="s">
        <v>1839</v>
      </c>
      <c r="K87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C0873</v>
      </c>
      <c r="L87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D0873</v>
      </c>
      <c r="M87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E0873</v>
      </c>
      <c r="N877" s="122" t="s">
        <v>73</v>
      </c>
      <c r="O877" s="126" t="n">
        <v>3500000</v>
      </c>
      <c r="P877" s="121" t="s">
        <v>18</v>
      </c>
      <c r="Q877" s="121" t="s">
        <v>124</v>
      </c>
      <c r="R877" s="127"/>
      <c r="T877" s="118"/>
    </row>
    <row r="878" customFormat="false" ht="12.75" hidden="false" customHeight="true" outlineLevel="0" collapsed="false">
      <c r="B878" s="119" t="n">
        <f aca="false">ROW()-4</f>
        <v>874</v>
      </c>
      <c r="C878" s="120" t="n">
        <f aca="false">COUNTIFS($D$5:D878,D878)</f>
        <v>14</v>
      </c>
      <c r="D878" s="121" t="s">
        <v>1814</v>
      </c>
      <c r="E878" s="122" t="s">
        <v>1840</v>
      </c>
      <c r="F878" s="123" t="n">
        <v>44385</v>
      </c>
      <c r="G878" s="121" t="s">
        <v>28</v>
      </c>
      <c r="H87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A0874</v>
      </c>
      <c r="I87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B0874</v>
      </c>
      <c r="J878" s="122" t="s">
        <v>1841</v>
      </c>
      <c r="K87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C0874</v>
      </c>
      <c r="L87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D0874</v>
      </c>
      <c r="M87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E0874</v>
      </c>
      <c r="N878" s="122" t="s">
        <v>73</v>
      </c>
      <c r="O878" s="126" t="n">
        <v>3500000</v>
      </c>
      <c r="P878" s="121" t="s">
        <v>18</v>
      </c>
      <c r="Q878" s="121" t="s">
        <v>124</v>
      </c>
      <c r="R878" s="127"/>
      <c r="T878" s="118"/>
    </row>
    <row r="879" customFormat="false" ht="12.75" hidden="false" customHeight="true" outlineLevel="0" collapsed="false">
      <c r="B879" s="119" t="n">
        <f aca="false">ROW()-4</f>
        <v>875</v>
      </c>
      <c r="C879" s="120" t="n">
        <f aca="false">COUNTIFS($D$5:D879,D879)</f>
        <v>15</v>
      </c>
      <c r="D879" s="121" t="s">
        <v>1814</v>
      </c>
      <c r="E879" s="122" t="s">
        <v>1842</v>
      </c>
      <c r="F879" s="123" t="n">
        <v>44386</v>
      </c>
      <c r="G879" s="121" t="s">
        <v>28</v>
      </c>
      <c r="H87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A0875</v>
      </c>
      <c r="I87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B0875</v>
      </c>
      <c r="J879" s="122" t="s">
        <v>1843</v>
      </c>
      <c r="K87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C0875</v>
      </c>
      <c r="L87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D0875</v>
      </c>
      <c r="M87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E0875</v>
      </c>
      <c r="N879" s="122" t="s">
        <v>73</v>
      </c>
      <c r="O879" s="126" t="n">
        <v>3500000</v>
      </c>
      <c r="P879" s="121" t="s">
        <v>18</v>
      </c>
      <c r="Q879" s="121" t="s">
        <v>124</v>
      </c>
      <c r="R879" s="127"/>
      <c r="T879" s="118"/>
    </row>
    <row r="880" customFormat="false" ht="12.75" hidden="false" customHeight="true" outlineLevel="0" collapsed="false">
      <c r="B880" s="119" t="n">
        <f aca="false">ROW()-4</f>
        <v>876</v>
      </c>
      <c r="C880" s="120" t="n">
        <f aca="false">COUNTIFS($D$5:D880,D880)</f>
        <v>16</v>
      </c>
      <c r="D880" s="121" t="s">
        <v>1814</v>
      </c>
      <c r="E880" s="122" t="s">
        <v>1844</v>
      </c>
      <c r="F880" s="123" t="n">
        <v>44405</v>
      </c>
      <c r="G880" s="121" t="s">
        <v>28</v>
      </c>
      <c r="H88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A0876</v>
      </c>
      <c r="I88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B0876</v>
      </c>
      <c r="J880" s="122" t="s">
        <v>1845</v>
      </c>
      <c r="K88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C0876</v>
      </c>
      <c r="L88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D0876</v>
      </c>
      <c r="M88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E0876</v>
      </c>
      <c r="N880" s="122" t="s">
        <v>73</v>
      </c>
      <c r="O880" s="126" t="n">
        <v>3500000</v>
      </c>
      <c r="P880" s="121" t="s">
        <v>18</v>
      </c>
      <c r="Q880" s="121" t="s">
        <v>124</v>
      </c>
      <c r="R880" s="127"/>
      <c r="T880" s="118"/>
    </row>
    <row r="881" customFormat="false" ht="12.75" hidden="false" customHeight="true" outlineLevel="0" collapsed="false">
      <c r="B881" s="119" t="n">
        <f aca="false">ROW()-4</f>
        <v>877</v>
      </c>
      <c r="C881" s="120" t="n">
        <f aca="false">COUNTIFS($D$5:D881,D881)</f>
        <v>17</v>
      </c>
      <c r="D881" s="121" t="s">
        <v>1814</v>
      </c>
      <c r="E881" s="122" t="s">
        <v>1846</v>
      </c>
      <c r="F881" s="123" t="n">
        <v>45006</v>
      </c>
      <c r="G881" s="121" t="s">
        <v>30</v>
      </c>
      <c r="H88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A0877</v>
      </c>
      <c r="I88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B0877</v>
      </c>
      <c r="J881" s="122" t="s">
        <v>1847</v>
      </c>
      <c r="K88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C0877</v>
      </c>
      <c r="L88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D0877</v>
      </c>
      <c r="M88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E0877</v>
      </c>
      <c r="N881" s="122" t="s">
        <v>73</v>
      </c>
      <c r="O881" s="126" t="n">
        <v>3500000</v>
      </c>
      <c r="P881" s="121" t="s">
        <v>18</v>
      </c>
      <c r="Q881" s="121" t="s">
        <v>124</v>
      </c>
      <c r="R881" s="127"/>
      <c r="T881" s="118"/>
    </row>
    <row r="882" customFormat="false" ht="12.75" hidden="false" customHeight="true" outlineLevel="0" collapsed="false">
      <c r="B882" s="119" t="n">
        <f aca="false">ROW()-4</f>
        <v>878</v>
      </c>
      <c r="C882" s="120" t="n">
        <f aca="false">COUNTIFS($D$5:D882,D882)</f>
        <v>18</v>
      </c>
      <c r="D882" s="121" t="s">
        <v>1814</v>
      </c>
      <c r="E882" s="122" t="s">
        <v>1848</v>
      </c>
      <c r="F882" s="123" t="n">
        <v>44390</v>
      </c>
      <c r="G882" s="121" t="s">
        <v>24</v>
      </c>
      <c r="H88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A0878</v>
      </c>
      <c r="I88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B0878</v>
      </c>
      <c r="J882" s="124" t="s">
        <v>1849</v>
      </c>
      <c r="K88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C0878</v>
      </c>
      <c r="L88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D0878</v>
      </c>
      <c r="M88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E0878</v>
      </c>
      <c r="N882" s="122" t="s">
        <v>73</v>
      </c>
      <c r="O882" s="126" t="n">
        <v>3500000</v>
      </c>
      <c r="P882" s="121" t="s">
        <v>18</v>
      </c>
      <c r="Q882" s="121" t="s">
        <v>124</v>
      </c>
      <c r="R882" s="127"/>
      <c r="T882" s="118"/>
    </row>
    <row r="883" customFormat="false" ht="12.75" hidden="false" customHeight="true" outlineLevel="0" collapsed="false">
      <c r="B883" s="119" t="n">
        <f aca="false">ROW()-4</f>
        <v>879</v>
      </c>
      <c r="C883" s="120" t="n">
        <f aca="false">COUNTIFS($D$5:D883,D883)</f>
        <v>19</v>
      </c>
      <c r="D883" s="121" t="s">
        <v>1814</v>
      </c>
      <c r="E883" s="122" t="s">
        <v>1850</v>
      </c>
      <c r="F883" s="123"/>
      <c r="G883" s="121" t="s">
        <v>210</v>
      </c>
      <c r="H883" s="122"/>
      <c r="I883" s="122"/>
      <c r="J883" s="122"/>
      <c r="K883" s="122"/>
      <c r="L883" s="125"/>
      <c r="M88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E0879</v>
      </c>
      <c r="N883" s="122" t="s">
        <v>73</v>
      </c>
      <c r="O883" s="126" t="n">
        <v>3500000</v>
      </c>
      <c r="P883" s="121" t="s">
        <v>19</v>
      </c>
      <c r="Q883" s="122"/>
      <c r="R883" s="128" t="s">
        <v>59</v>
      </c>
      <c r="T883" s="118"/>
    </row>
    <row r="884" customFormat="false" ht="12.75" hidden="false" customHeight="true" outlineLevel="0" collapsed="false">
      <c r="B884" s="160" t="n">
        <f aca="false">ROW()-4</f>
        <v>880</v>
      </c>
      <c r="C884" s="161" t="n">
        <f aca="false">COUNTIFS($D$5:D884,D884)</f>
        <v>20</v>
      </c>
      <c r="D884" s="162" t="s">
        <v>1851</v>
      </c>
      <c r="E884" s="122" t="s">
        <v>1852</v>
      </c>
      <c r="F884" s="123" t="n">
        <v>45925</v>
      </c>
      <c r="G884" s="121" t="s">
        <v>28</v>
      </c>
      <c r="H88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A0880</v>
      </c>
      <c r="I88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B0880</v>
      </c>
      <c r="J884" s="122" t="s">
        <v>1853</v>
      </c>
      <c r="K88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C0880</v>
      </c>
      <c r="L88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D0880</v>
      </c>
      <c r="M884" s="16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E0880</v>
      </c>
      <c r="N884" s="163" t="s">
        <v>73</v>
      </c>
      <c r="O884" s="164" t="n">
        <v>3500000</v>
      </c>
      <c r="P884" s="121" t="s">
        <v>18</v>
      </c>
      <c r="Q884" s="162" t="s">
        <v>124</v>
      </c>
      <c r="R884" s="165"/>
      <c r="T884" s="118"/>
    </row>
    <row r="885" customFormat="false" ht="12.75" hidden="false" customHeight="true" outlineLevel="0" collapsed="false">
      <c r="B885" s="119" t="n">
        <f aca="false">ROW()-4</f>
        <v>881</v>
      </c>
      <c r="C885" s="120" t="n">
        <f aca="false">COUNTIFS($D$5:D885,D885)</f>
        <v>21</v>
      </c>
      <c r="D885" s="121" t="s">
        <v>1814</v>
      </c>
      <c r="E885" s="122" t="s">
        <v>1854</v>
      </c>
      <c r="F885" s="123"/>
      <c r="G885" s="121" t="s">
        <v>210</v>
      </c>
      <c r="H885" s="122"/>
      <c r="I885" s="122"/>
      <c r="J885" s="122"/>
      <c r="K885" s="122"/>
      <c r="L885" s="125"/>
      <c r="M88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E0881</v>
      </c>
      <c r="N885" s="122" t="s">
        <v>73</v>
      </c>
      <c r="O885" s="126" t="n">
        <v>3500000</v>
      </c>
      <c r="P885" s="121" t="s">
        <v>19</v>
      </c>
      <c r="Q885" s="122"/>
      <c r="R885" s="128" t="s">
        <v>59</v>
      </c>
      <c r="T885" s="118"/>
    </row>
    <row r="886" customFormat="false" ht="12.75" hidden="false" customHeight="true" outlineLevel="0" collapsed="false">
      <c r="B886" s="119" t="n">
        <f aca="false">ROW()-4</f>
        <v>882</v>
      </c>
      <c r="C886" s="120" t="n">
        <f aca="false">COUNTIFS($D$5:D886,D886)</f>
        <v>22</v>
      </c>
      <c r="D886" s="121" t="s">
        <v>1814</v>
      </c>
      <c r="E886" s="122" t="s">
        <v>1855</v>
      </c>
      <c r="F886" s="123" t="n">
        <v>44428</v>
      </c>
      <c r="G886" s="121" t="s">
        <v>22</v>
      </c>
      <c r="H88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A0882</v>
      </c>
      <c r="I88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B0882</v>
      </c>
      <c r="J886" s="122" t="s">
        <v>1856</v>
      </c>
      <c r="K88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C0882</v>
      </c>
      <c r="L88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D0882</v>
      </c>
      <c r="M88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E0882</v>
      </c>
      <c r="N886" s="122" t="s">
        <v>73</v>
      </c>
      <c r="O886" s="126" t="n">
        <v>3500000</v>
      </c>
      <c r="P886" s="121" t="s">
        <v>18</v>
      </c>
      <c r="Q886" s="121" t="s">
        <v>124</v>
      </c>
      <c r="R886" s="127"/>
      <c r="T886" s="118"/>
    </row>
    <row r="887" customFormat="false" ht="12.75" hidden="false" customHeight="true" outlineLevel="0" collapsed="false">
      <c r="B887" s="119" t="n">
        <f aca="false">ROW()-4</f>
        <v>883</v>
      </c>
      <c r="C887" s="120" t="n">
        <f aca="false">COUNTIFS($D$5:D887,D887)</f>
        <v>23</v>
      </c>
      <c r="D887" s="121" t="s">
        <v>1814</v>
      </c>
      <c r="E887" s="122" t="s">
        <v>1857</v>
      </c>
      <c r="F887" s="123" t="n">
        <v>45828</v>
      </c>
      <c r="G887" s="121" t="s">
        <v>28</v>
      </c>
      <c r="H88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A0883</v>
      </c>
      <c r="I88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B0883</v>
      </c>
      <c r="J887" s="122" t="s">
        <v>1858</v>
      </c>
      <c r="K88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C0883</v>
      </c>
      <c r="L88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D0883</v>
      </c>
      <c r="M88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E0883</v>
      </c>
      <c r="N887" s="122" t="s">
        <v>73</v>
      </c>
      <c r="O887" s="126" t="n">
        <v>3500000</v>
      </c>
      <c r="P887" s="121" t="s">
        <v>18</v>
      </c>
      <c r="Q887" s="121" t="s">
        <v>124</v>
      </c>
      <c r="R887" s="127"/>
      <c r="T887" s="118"/>
    </row>
    <row r="888" customFormat="false" ht="12.75" hidden="false" customHeight="true" outlineLevel="0" collapsed="false">
      <c r="B888" s="119" t="n">
        <f aca="false">ROW()-4</f>
        <v>884</v>
      </c>
      <c r="C888" s="120" t="n">
        <f aca="false">COUNTIFS($D$5:D888,D888)</f>
        <v>24</v>
      </c>
      <c r="D888" s="121" t="s">
        <v>1814</v>
      </c>
      <c r="E888" s="122" t="s">
        <v>1859</v>
      </c>
      <c r="F888" s="123" t="n">
        <v>44426</v>
      </c>
      <c r="G888" s="121" t="s">
        <v>28</v>
      </c>
      <c r="H88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A0884</v>
      </c>
      <c r="I88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B0884</v>
      </c>
      <c r="J888" s="122" t="s">
        <v>1860</v>
      </c>
      <c r="K88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C0884</v>
      </c>
      <c r="L88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D0884</v>
      </c>
      <c r="M88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E0884</v>
      </c>
      <c r="N888" s="122" t="s">
        <v>73</v>
      </c>
      <c r="O888" s="126" t="n">
        <v>3500000</v>
      </c>
      <c r="P888" s="121" t="s">
        <v>18</v>
      </c>
      <c r="Q888" s="121" t="s">
        <v>124</v>
      </c>
      <c r="R888" s="127"/>
      <c r="T888" s="118"/>
    </row>
    <row r="889" customFormat="false" ht="12.75" hidden="false" customHeight="true" outlineLevel="0" collapsed="false">
      <c r="B889" s="119" t="n">
        <f aca="false">ROW()-4</f>
        <v>885</v>
      </c>
      <c r="C889" s="120" t="n">
        <f aca="false">COUNTIFS($D$5:D889,D889)</f>
        <v>25</v>
      </c>
      <c r="D889" s="121" t="s">
        <v>1814</v>
      </c>
      <c r="E889" s="122" t="s">
        <v>1861</v>
      </c>
      <c r="F889" s="123" t="n">
        <v>44425</v>
      </c>
      <c r="G889" s="121" t="s">
        <v>26</v>
      </c>
      <c r="H88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A0885</v>
      </c>
      <c r="I88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B0885</v>
      </c>
      <c r="J889" s="122" t="s">
        <v>1862</v>
      </c>
      <c r="K88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C0885</v>
      </c>
      <c r="L88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D0885</v>
      </c>
      <c r="M88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E0885</v>
      </c>
      <c r="N889" s="122" t="s">
        <v>73</v>
      </c>
      <c r="O889" s="126" t="n">
        <v>3500000</v>
      </c>
      <c r="P889" s="121" t="s">
        <v>18</v>
      </c>
      <c r="Q889" s="121" t="s">
        <v>124</v>
      </c>
      <c r="R889" s="127"/>
      <c r="T889" s="118"/>
    </row>
    <row r="890" customFormat="false" ht="12.75" hidden="false" customHeight="true" outlineLevel="0" collapsed="false">
      <c r="B890" s="119" t="n">
        <f aca="false">ROW()-4</f>
        <v>886</v>
      </c>
      <c r="C890" s="120" t="n">
        <f aca="false">COUNTIFS($D$5:D890,D890)</f>
        <v>26</v>
      </c>
      <c r="D890" s="121" t="s">
        <v>1814</v>
      </c>
      <c r="E890" s="122" t="s">
        <v>1863</v>
      </c>
      <c r="F890" s="123" t="n">
        <v>44446</v>
      </c>
      <c r="G890" s="121" t="s">
        <v>26</v>
      </c>
      <c r="H89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A0886</v>
      </c>
      <c r="I89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B0886</v>
      </c>
      <c r="J890" s="122" t="s">
        <v>1864</v>
      </c>
      <c r="K89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C0886</v>
      </c>
      <c r="L89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D0886</v>
      </c>
      <c r="M89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E0886</v>
      </c>
      <c r="N890" s="122" t="s">
        <v>73</v>
      </c>
      <c r="O890" s="126" t="n">
        <v>3500000</v>
      </c>
      <c r="P890" s="121" t="s">
        <v>18</v>
      </c>
      <c r="Q890" s="121" t="s">
        <v>124</v>
      </c>
      <c r="R890" s="127"/>
      <c r="T890" s="118"/>
    </row>
    <row r="891" customFormat="false" ht="12.75" hidden="false" customHeight="true" outlineLevel="0" collapsed="false">
      <c r="B891" s="119" t="n">
        <f aca="false">ROW()-4</f>
        <v>887</v>
      </c>
      <c r="C891" s="120" t="n">
        <f aca="false">COUNTIFS($D$5:D891,D891)</f>
        <v>27</v>
      </c>
      <c r="D891" s="121" t="s">
        <v>1814</v>
      </c>
      <c r="E891" s="122" t="s">
        <v>1865</v>
      </c>
      <c r="F891" s="123" t="n">
        <v>44435</v>
      </c>
      <c r="G891" s="121" t="s">
        <v>28</v>
      </c>
      <c r="H89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A0887</v>
      </c>
      <c r="I89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B0887</v>
      </c>
      <c r="J891" s="122" t="s">
        <v>1866</v>
      </c>
      <c r="K89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C0887</v>
      </c>
      <c r="L89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D0887</v>
      </c>
      <c r="M89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E0887</v>
      </c>
      <c r="N891" s="122" t="s">
        <v>73</v>
      </c>
      <c r="O891" s="126" t="n">
        <v>3500000</v>
      </c>
      <c r="P891" s="121" t="s">
        <v>18</v>
      </c>
      <c r="Q891" s="121" t="s">
        <v>124</v>
      </c>
      <c r="R891" s="127"/>
      <c r="T891" s="118"/>
    </row>
    <row r="892" customFormat="false" ht="12.75" hidden="false" customHeight="true" outlineLevel="0" collapsed="false">
      <c r="B892" s="119" t="n">
        <f aca="false">ROW()-4</f>
        <v>888</v>
      </c>
      <c r="C892" s="120" t="n">
        <f aca="false">COUNTIFS($D$5:D892,D892)</f>
        <v>28</v>
      </c>
      <c r="D892" s="121" t="s">
        <v>1814</v>
      </c>
      <c r="E892" s="122" t="s">
        <v>1867</v>
      </c>
      <c r="F892" s="123" t="n">
        <v>45436</v>
      </c>
      <c r="G892" s="121" t="s">
        <v>28</v>
      </c>
      <c r="H89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A0888</v>
      </c>
      <c r="I89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B0888</v>
      </c>
      <c r="J892" s="122" t="s">
        <v>1868</v>
      </c>
      <c r="K89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C0888</v>
      </c>
      <c r="L89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D0888</v>
      </c>
      <c r="M89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E0888</v>
      </c>
      <c r="N892" s="122" t="s">
        <v>73</v>
      </c>
      <c r="O892" s="126" t="n">
        <v>3500000</v>
      </c>
      <c r="P892" s="121" t="s">
        <v>18</v>
      </c>
      <c r="Q892" s="121" t="s">
        <v>124</v>
      </c>
      <c r="R892" s="127"/>
      <c r="T892" s="118"/>
    </row>
    <row r="893" customFormat="false" ht="12.75" hidden="false" customHeight="true" outlineLevel="0" collapsed="false">
      <c r="B893" s="119" t="n">
        <f aca="false">ROW()-4</f>
        <v>889</v>
      </c>
      <c r="C893" s="120" t="n">
        <f aca="false">COUNTIFS($D$5:D893,D893)</f>
        <v>29</v>
      </c>
      <c r="D893" s="121" t="s">
        <v>1814</v>
      </c>
      <c r="E893" s="122" t="s">
        <v>1869</v>
      </c>
      <c r="F893" s="123" t="n">
        <v>44476</v>
      </c>
      <c r="G893" s="121" t="s">
        <v>22</v>
      </c>
      <c r="H89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A0889</v>
      </c>
      <c r="I89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B0889</v>
      </c>
      <c r="J893" s="122" t="s">
        <v>1870</v>
      </c>
      <c r="K89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C0889</v>
      </c>
      <c r="L89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D0889</v>
      </c>
      <c r="M89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E0889</v>
      </c>
      <c r="N893" s="122" t="s">
        <v>73</v>
      </c>
      <c r="O893" s="126" t="n">
        <v>3500000</v>
      </c>
      <c r="P893" s="121" t="s">
        <v>18</v>
      </c>
      <c r="Q893" s="121" t="s">
        <v>124</v>
      </c>
      <c r="R893" s="127"/>
      <c r="T893" s="118"/>
    </row>
    <row r="894" customFormat="false" ht="12.75" hidden="false" customHeight="true" outlineLevel="0" collapsed="false">
      <c r="B894" s="119" t="n">
        <f aca="false">ROW()-4</f>
        <v>890</v>
      </c>
      <c r="C894" s="120" t="n">
        <f aca="false">COUNTIFS($D$5:D894,D894)</f>
        <v>30</v>
      </c>
      <c r="D894" s="121" t="s">
        <v>1814</v>
      </c>
      <c r="E894" s="122" t="s">
        <v>1871</v>
      </c>
      <c r="F894" s="123" t="n">
        <v>45084</v>
      </c>
      <c r="G894" s="121" t="s">
        <v>28</v>
      </c>
      <c r="H89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A0890</v>
      </c>
      <c r="I89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B0890</v>
      </c>
      <c r="J894" s="122" t="s">
        <v>1872</v>
      </c>
      <c r="K89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C0890</v>
      </c>
      <c r="L89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D0890</v>
      </c>
      <c r="M89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E0890</v>
      </c>
      <c r="N894" s="122" t="s">
        <v>73</v>
      </c>
      <c r="O894" s="126" t="n">
        <v>3500000</v>
      </c>
      <c r="P894" s="121" t="s">
        <v>18</v>
      </c>
      <c r="Q894" s="121" t="s">
        <v>124</v>
      </c>
      <c r="R894" s="127"/>
      <c r="T894" s="118"/>
    </row>
    <row r="895" customFormat="false" ht="12.75" hidden="false" customHeight="true" outlineLevel="0" collapsed="false">
      <c r="B895" s="119" t="n">
        <f aca="false">ROW()-4</f>
        <v>891</v>
      </c>
      <c r="C895" s="120" t="n">
        <f aca="false">COUNTIFS($D$5:D895,D895)</f>
        <v>31</v>
      </c>
      <c r="D895" s="121" t="s">
        <v>1814</v>
      </c>
      <c r="E895" s="122" t="s">
        <v>1873</v>
      </c>
      <c r="F895" s="123" t="n">
        <v>44553</v>
      </c>
      <c r="G895" s="121" t="s">
        <v>22</v>
      </c>
      <c r="H89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A0891</v>
      </c>
      <c r="I89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B0891</v>
      </c>
      <c r="J895" s="122" t="s">
        <v>1874</v>
      </c>
      <c r="K89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C0891</v>
      </c>
      <c r="L89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D0891</v>
      </c>
      <c r="M89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E0891</v>
      </c>
      <c r="N895" s="122" t="s">
        <v>73</v>
      </c>
      <c r="O895" s="126" t="n">
        <v>3500000</v>
      </c>
      <c r="P895" s="121" t="s">
        <v>18</v>
      </c>
      <c r="Q895" s="121" t="s">
        <v>124</v>
      </c>
      <c r="R895" s="127"/>
      <c r="T895" s="118"/>
    </row>
    <row r="896" customFormat="false" ht="12.75" hidden="false" customHeight="true" outlineLevel="0" collapsed="false">
      <c r="B896" s="119" t="n">
        <f aca="false">ROW()-4</f>
        <v>892</v>
      </c>
      <c r="C896" s="120" t="n">
        <f aca="false">COUNTIFS($D$5:D896,D896)</f>
        <v>32</v>
      </c>
      <c r="D896" s="121" t="s">
        <v>1814</v>
      </c>
      <c r="E896" s="122" t="s">
        <v>1875</v>
      </c>
      <c r="F896" s="123" t="n">
        <v>44729</v>
      </c>
      <c r="G896" s="121" t="s">
        <v>28</v>
      </c>
      <c r="H89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A0892</v>
      </c>
      <c r="I89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B0892</v>
      </c>
      <c r="J896" s="122" t="s">
        <v>1876</v>
      </c>
      <c r="K89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C0892</v>
      </c>
      <c r="L89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D0892</v>
      </c>
      <c r="M89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E0892</v>
      </c>
      <c r="N896" s="122" t="s">
        <v>73</v>
      </c>
      <c r="O896" s="126" t="n">
        <v>3500000</v>
      </c>
      <c r="P896" s="121" t="s">
        <v>18</v>
      </c>
      <c r="Q896" s="121" t="s">
        <v>124</v>
      </c>
      <c r="R896" s="127"/>
      <c r="T896" s="118"/>
    </row>
    <row r="897" customFormat="false" ht="12.75" hidden="false" customHeight="true" outlineLevel="0" collapsed="false">
      <c r="B897" s="119" t="n">
        <f aca="false">ROW()-4</f>
        <v>893</v>
      </c>
      <c r="C897" s="120" t="n">
        <f aca="false">COUNTIFS($D$5:D897,D897)</f>
        <v>33</v>
      </c>
      <c r="D897" s="121" t="s">
        <v>1814</v>
      </c>
      <c r="E897" s="122" t="s">
        <v>1877</v>
      </c>
      <c r="F897" s="123" t="n">
        <v>44568</v>
      </c>
      <c r="G897" s="121" t="s">
        <v>24</v>
      </c>
      <c r="H89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A0893</v>
      </c>
      <c r="I89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B0893</v>
      </c>
      <c r="J897" s="122" t="s">
        <v>1878</v>
      </c>
      <c r="K89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C0893</v>
      </c>
      <c r="L89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D0893</v>
      </c>
      <c r="M89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E0893</v>
      </c>
      <c r="N897" s="122" t="s">
        <v>73</v>
      </c>
      <c r="O897" s="126" t="n">
        <v>3500000</v>
      </c>
      <c r="P897" s="121" t="s">
        <v>18</v>
      </c>
      <c r="Q897" s="121" t="s">
        <v>124</v>
      </c>
      <c r="R897" s="127"/>
      <c r="T897" s="118"/>
    </row>
    <row r="898" customFormat="false" ht="12.75" hidden="false" customHeight="true" outlineLevel="0" collapsed="false">
      <c r="B898" s="119" t="n">
        <f aca="false">ROW()-4</f>
        <v>894</v>
      </c>
      <c r="C898" s="120" t="n">
        <f aca="false">COUNTIFS($D$5:D898,D898)</f>
        <v>34</v>
      </c>
      <c r="D898" s="121" t="s">
        <v>1814</v>
      </c>
      <c r="E898" s="122" t="s">
        <v>1879</v>
      </c>
      <c r="F898" s="123" t="n">
        <v>44533</v>
      </c>
      <c r="G898" s="121" t="s">
        <v>24</v>
      </c>
      <c r="H89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A0894</v>
      </c>
      <c r="I89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B0894</v>
      </c>
      <c r="J898" s="122" t="s">
        <v>1880</v>
      </c>
      <c r="K89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C0894</v>
      </c>
      <c r="L89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D0894</v>
      </c>
      <c r="M89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E0894</v>
      </c>
      <c r="N898" s="122" t="s">
        <v>73</v>
      </c>
      <c r="O898" s="126" t="n">
        <v>3500000</v>
      </c>
      <c r="P898" s="121" t="s">
        <v>18</v>
      </c>
      <c r="Q898" s="121" t="s">
        <v>124</v>
      </c>
      <c r="R898" s="127"/>
      <c r="T898" s="118"/>
    </row>
    <row r="899" customFormat="false" ht="12.75" hidden="false" customHeight="true" outlineLevel="0" collapsed="false">
      <c r="B899" s="119" t="n">
        <f aca="false">ROW()-4</f>
        <v>895</v>
      </c>
      <c r="C899" s="120" t="n">
        <f aca="false">COUNTIFS($D$5:D899,D899)</f>
        <v>35</v>
      </c>
      <c r="D899" s="121" t="s">
        <v>1814</v>
      </c>
      <c r="E899" s="122" t="s">
        <v>1881</v>
      </c>
      <c r="F899" s="123" t="n">
        <v>44574</v>
      </c>
      <c r="G899" s="121" t="s">
        <v>22</v>
      </c>
      <c r="H89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A0895</v>
      </c>
      <c r="I89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B0895</v>
      </c>
      <c r="J899" s="122" t="s">
        <v>1882</v>
      </c>
      <c r="K89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C0895</v>
      </c>
      <c r="L89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D0895</v>
      </c>
      <c r="M89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E0895</v>
      </c>
      <c r="N899" s="122" t="s">
        <v>73</v>
      </c>
      <c r="O899" s="126" t="n">
        <v>3500000</v>
      </c>
      <c r="P899" s="121" t="s">
        <v>18</v>
      </c>
      <c r="Q899" s="121" t="s">
        <v>124</v>
      </c>
      <c r="R899" s="127"/>
      <c r="T899" s="118"/>
    </row>
    <row r="900" customFormat="false" ht="12.75" hidden="false" customHeight="true" outlineLevel="0" collapsed="false">
      <c r="B900" s="119" t="n">
        <f aca="false">ROW()-4</f>
        <v>896</v>
      </c>
      <c r="C900" s="120" t="n">
        <f aca="false">COUNTIFS($D$5:D900,D900)</f>
        <v>36</v>
      </c>
      <c r="D900" s="121" t="s">
        <v>1814</v>
      </c>
      <c r="E900" s="122" t="s">
        <v>1883</v>
      </c>
      <c r="F900" s="123" t="n">
        <v>44616</v>
      </c>
      <c r="G900" s="121" t="s">
        <v>26</v>
      </c>
      <c r="H90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A0896</v>
      </c>
      <c r="I90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B0896</v>
      </c>
      <c r="J900" s="122" t="s">
        <v>1884</v>
      </c>
      <c r="K90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C0896</v>
      </c>
      <c r="L90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D0896</v>
      </c>
      <c r="M90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E0896</v>
      </c>
      <c r="N900" s="122" t="s">
        <v>73</v>
      </c>
      <c r="O900" s="126" t="n">
        <v>3500000</v>
      </c>
      <c r="P900" s="121" t="s">
        <v>18</v>
      </c>
      <c r="Q900" s="121" t="s">
        <v>124</v>
      </c>
      <c r="R900" s="127"/>
      <c r="T900" s="118"/>
    </row>
    <row r="901" customFormat="false" ht="12.75" hidden="false" customHeight="true" outlineLevel="0" collapsed="false">
      <c r="B901" s="119" t="n">
        <f aca="false">ROW()-4</f>
        <v>897</v>
      </c>
      <c r="C901" s="120" t="n">
        <f aca="false">COUNTIFS($D$5:D901,D901)</f>
        <v>37</v>
      </c>
      <c r="D901" s="121" t="s">
        <v>1814</v>
      </c>
      <c r="E901" s="122" t="s">
        <v>1885</v>
      </c>
      <c r="F901" s="123" t="n">
        <v>45041</v>
      </c>
      <c r="G901" s="121" t="s">
        <v>26</v>
      </c>
      <c r="H90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A0897</v>
      </c>
      <c r="I90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B0897</v>
      </c>
      <c r="J901" s="122" t="s">
        <v>1886</v>
      </c>
      <c r="K90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C0897</v>
      </c>
      <c r="L90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D0897</v>
      </c>
      <c r="M90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E0897</v>
      </c>
      <c r="N901" s="122" t="s">
        <v>73</v>
      </c>
      <c r="O901" s="126" t="n">
        <v>3500000</v>
      </c>
      <c r="P901" s="121" t="s">
        <v>18</v>
      </c>
      <c r="Q901" s="121" t="s">
        <v>124</v>
      </c>
      <c r="R901" s="127"/>
      <c r="T901" s="118"/>
    </row>
    <row r="902" customFormat="false" ht="12.75" hidden="false" customHeight="true" outlineLevel="0" collapsed="false">
      <c r="B902" s="119" t="n">
        <f aca="false">ROW()-4</f>
        <v>898</v>
      </c>
      <c r="C902" s="120" t="n">
        <f aca="false">COUNTIFS($D$5:D902,D902)</f>
        <v>38</v>
      </c>
      <c r="D902" s="121" t="s">
        <v>1814</v>
      </c>
      <c r="E902" s="122" t="s">
        <v>1887</v>
      </c>
      <c r="F902" s="123" t="n">
        <v>44587</v>
      </c>
      <c r="G902" s="121" t="s">
        <v>26</v>
      </c>
      <c r="H90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A0898</v>
      </c>
      <c r="I90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B0898</v>
      </c>
      <c r="J902" s="122" t="s">
        <v>1888</v>
      </c>
      <c r="K90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C0898</v>
      </c>
      <c r="L90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D0898</v>
      </c>
      <c r="M90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E0898</v>
      </c>
      <c r="N902" s="122" t="s">
        <v>73</v>
      </c>
      <c r="O902" s="126" t="n">
        <v>3500000</v>
      </c>
      <c r="P902" s="121" t="s">
        <v>18</v>
      </c>
      <c r="Q902" s="121" t="s">
        <v>124</v>
      </c>
      <c r="R902" s="127"/>
      <c r="T902" s="118"/>
    </row>
    <row r="903" customFormat="false" ht="12.75" hidden="false" customHeight="true" outlineLevel="0" collapsed="false">
      <c r="B903" s="119" t="n">
        <f aca="false">ROW()-4</f>
        <v>899</v>
      </c>
      <c r="C903" s="120" t="n">
        <f aca="false">COUNTIFS($D$5:D903,D903)</f>
        <v>39</v>
      </c>
      <c r="D903" s="121" t="s">
        <v>1814</v>
      </c>
      <c r="E903" s="122" t="s">
        <v>1889</v>
      </c>
      <c r="F903" s="123" t="n">
        <v>45805</v>
      </c>
      <c r="G903" s="121" t="s">
        <v>22</v>
      </c>
      <c r="H90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A0899</v>
      </c>
      <c r="I90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B0899</v>
      </c>
      <c r="J903" s="122" t="s">
        <v>1890</v>
      </c>
      <c r="K90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C0899</v>
      </c>
      <c r="L90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D0899</v>
      </c>
      <c r="M90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E0899</v>
      </c>
      <c r="N903" s="122" t="s">
        <v>73</v>
      </c>
      <c r="O903" s="126" t="n">
        <v>3500000</v>
      </c>
      <c r="P903" s="121" t="s">
        <v>18</v>
      </c>
      <c r="Q903" s="121" t="s">
        <v>124</v>
      </c>
      <c r="R903" s="127"/>
      <c r="T903" s="118"/>
    </row>
    <row r="904" customFormat="false" ht="12.75" hidden="false" customHeight="true" outlineLevel="0" collapsed="false">
      <c r="B904" s="119" t="n">
        <f aca="false">ROW()-4</f>
        <v>900</v>
      </c>
      <c r="C904" s="120" t="n">
        <f aca="false">COUNTIFS($D$5:D904,D904)</f>
        <v>40</v>
      </c>
      <c r="D904" s="121" t="s">
        <v>1814</v>
      </c>
      <c r="E904" s="122" t="s">
        <v>1891</v>
      </c>
      <c r="F904" s="123" t="n">
        <v>45384</v>
      </c>
      <c r="G904" s="121" t="s">
        <v>22</v>
      </c>
      <c r="H90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A0900</v>
      </c>
      <c r="I90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B0900</v>
      </c>
      <c r="J904" s="122" t="s">
        <v>1892</v>
      </c>
      <c r="K90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C0900</v>
      </c>
      <c r="L90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D0900</v>
      </c>
      <c r="M90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E0900</v>
      </c>
      <c r="N904" s="122" t="s">
        <v>73</v>
      </c>
      <c r="O904" s="126" t="n">
        <v>3500000</v>
      </c>
      <c r="P904" s="121" t="s">
        <v>18</v>
      </c>
      <c r="Q904" s="121" t="s">
        <v>124</v>
      </c>
      <c r="R904" s="127"/>
      <c r="T904" s="118"/>
    </row>
    <row r="905" customFormat="false" ht="12.75" hidden="false" customHeight="true" outlineLevel="0" collapsed="false">
      <c r="B905" s="119" t="n">
        <f aca="false">ROW()-4</f>
        <v>901</v>
      </c>
      <c r="C905" s="120" t="n">
        <f aca="false">COUNTIFS($D$5:D905,D905)</f>
        <v>41</v>
      </c>
      <c r="D905" s="121" t="s">
        <v>1814</v>
      </c>
      <c r="E905" s="122" t="s">
        <v>1893</v>
      </c>
      <c r="F905" s="123"/>
      <c r="G905" s="121" t="s">
        <v>210</v>
      </c>
      <c r="H905" s="122"/>
      <c r="I905" s="122"/>
      <c r="J905" s="122"/>
      <c r="K905" s="122"/>
      <c r="L905" s="125"/>
      <c r="M90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E0901</v>
      </c>
      <c r="N905" s="122" t="s">
        <v>73</v>
      </c>
      <c r="O905" s="126" t="n">
        <v>3500000</v>
      </c>
      <c r="P905" s="121" t="s">
        <v>19</v>
      </c>
      <c r="Q905" s="122"/>
      <c r="R905" s="128" t="s">
        <v>59</v>
      </c>
      <c r="T905" s="118"/>
    </row>
    <row r="906" customFormat="false" ht="12.75" hidden="false" customHeight="true" outlineLevel="0" collapsed="false">
      <c r="B906" s="119" t="n">
        <f aca="false">ROW()-4</f>
        <v>902</v>
      </c>
      <c r="C906" s="120" t="n">
        <f aca="false">COUNTIFS($D$5:D906,D906)</f>
        <v>42</v>
      </c>
      <c r="D906" s="121" t="s">
        <v>1814</v>
      </c>
      <c r="E906" s="122" t="s">
        <v>1894</v>
      </c>
      <c r="F906" s="123" t="n">
        <v>45603</v>
      </c>
      <c r="G906" s="121" t="s">
        <v>30</v>
      </c>
      <c r="H90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A0902</v>
      </c>
      <c r="I90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B0902</v>
      </c>
      <c r="J906" s="122" t="s">
        <v>1895</v>
      </c>
      <c r="K90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C0902</v>
      </c>
      <c r="L90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D0902</v>
      </c>
      <c r="M90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E0902</v>
      </c>
      <c r="N906" s="122" t="s">
        <v>73</v>
      </c>
      <c r="O906" s="126" t="n">
        <v>3500000</v>
      </c>
      <c r="P906" s="121" t="s">
        <v>18</v>
      </c>
      <c r="Q906" s="121" t="s">
        <v>124</v>
      </c>
      <c r="R906" s="127"/>
      <c r="T906" s="118"/>
    </row>
    <row r="907" customFormat="false" ht="12.75" hidden="false" customHeight="true" outlineLevel="0" collapsed="false">
      <c r="B907" s="119" t="n">
        <f aca="false">ROW()-4</f>
        <v>903</v>
      </c>
      <c r="C907" s="120" t="n">
        <f aca="false">COUNTIFS($D$5:D907,D907)</f>
        <v>43</v>
      </c>
      <c r="D907" s="121" t="s">
        <v>1814</v>
      </c>
      <c r="E907" s="122" t="s">
        <v>1896</v>
      </c>
      <c r="F907" s="123" t="n">
        <v>44609</v>
      </c>
      <c r="G907" s="121" t="s">
        <v>30</v>
      </c>
      <c r="H90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A0903</v>
      </c>
      <c r="I90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B0903</v>
      </c>
      <c r="J907" s="122" t="s">
        <v>1897</v>
      </c>
      <c r="K90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C0903</v>
      </c>
      <c r="L90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D0903</v>
      </c>
      <c r="M90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E0903</v>
      </c>
      <c r="N907" s="122" t="s">
        <v>73</v>
      </c>
      <c r="O907" s="126" t="n">
        <v>3500000</v>
      </c>
      <c r="P907" s="121" t="s">
        <v>18</v>
      </c>
      <c r="Q907" s="121" t="s">
        <v>124</v>
      </c>
      <c r="R907" s="127"/>
      <c r="T907" s="118"/>
    </row>
    <row r="908" customFormat="false" ht="12.75" hidden="false" customHeight="true" outlineLevel="0" collapsed="false">
      <c r="B908" s="119" t="n">
        <f aca="false">ROW()-4</f>
        <v>904</v>
      </c>
      <c r="C908" s="120" t="n">
        <f aca="false">COUNTIFS($D$5:D908,D908)</f>
        <v>44</v>
      </c>
      <c r="D908" s="121" t="s">
        <v>1814</v>
      </c>
      <c r="E908" s="122" t="s">
        <v>1898</v>
      </c>
      <c r="F908" s="123" t="n">
        <v>44607</v>
      </c>
      <c r="G908" s="121" t="s">
        <v>28</v>
      </c>
      <c r="H90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A0904</v>
      </c>
      <c r="I90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B0904</v>
      </c>
      <c r="J908" s="122" t="s">
        <v>1899</v>
      </c>
      <c r="K90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C0904</v>
      </c>
      <c r="L90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D0904</v>
      </c>
      <c r="M90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E0904</v>
      </c>
      <c r="N908" s="122" t="s">
        <v>73</v>
      </c>
      <c r="O908" s="126" t="n">
        <v>3500000</v>
      </c>
      <c r="P908" s="121" t="s">
        <v>18</v>
      </c>
      <c r="Q908" s="121" t="s">
        <v>124</v>
      </c>
      <c r="R908" s="127"/>
      <c r="T908" s="118"/>
    </row>
    <row r="909" customFormat="false" ht="12.75" hidden="false" customHeight="true" outlineLevel="0" collapsed="false">
      <c r="B909" s="119" t="n">
        <f aca="false">ROW()-4</f>
        <v>905</v>
      </c>
      <c r="C909" s="120" t="n">
        <f aca="false">COUNTIFS($D$5:D909,D909)</f>
        <v>45</v>
      </c>
      <c r="D909" s="121" t="s">
        <v>1814</v>
      </c>
      <c r="E909" s="122" t="s">
        <v>1900</v>
      </c>
      <c r="F909" s="123" t="n">
        <v>44553</v>
      </c>
      <c r="G909" s="121" t="s">
        <v>28</v>
      </c>
      <c r="H90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A0905</v>
      </c>
      <c r="I90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B0905</v>
      </c>
      <c r="J909" s="122" t="s">
        <v>1901</v>
      </c>
      <c r="K90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C0905</v>
      </c>
      <c r="L90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D0905</v>
      </c>
      <c r="M90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E0905</v>
      </c>
      <c r="N909" s="122" t="s">
        <v>73</v>
      </c>
      <c r="O909" s="126" t="n">
        <v>3500000</v>
      </c>
      <c r="P909" s="121" t="s">
        <v>18</v>
      </c>
      <c r="Q909" s="121" t="s">
        <v>124</v>
      </c>
      <c r="R909" s="127"/>
      <c r="T909" s="118"/>
    </row>
    <row r="910" customFormat="false" ht="12.75" hidden="false" customHeight="true" outlineLevel="0" collapsed="false">
      <c r="B910" s="119" t="n">
        <f aca="false">ROW()-4</f>
        <v>906</v>
      </c>
      <c r="C910" s="120" t="n">
        <f aca="false">COUNTIFS($D$5:D910,D910)</f>
        <v>46</v>
      </c>
      <c r="D910" s="121" t="s">
        <v>1814</v>
      </c>
      <c r="E910" s="122" t="s">
        <v>1902</v>
      </c>
      <c r="F910" s="123" t="n">
        <v>44553</v>
      </c>
      <c r="G910" s="121" t="s">
        <v>28</v>
      </c>
      <c r="H91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A0906</v>
      </c>
      <c r="I91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B0906</v>
      </c>
      <c r="J910" s="122" t="s">
        <v>1903</v>
      </c>
      <c r="K91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C0906</v>
      </c>
      <c r="L91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D0906</v>
      </c>
      <c r="M91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E0906</v>
      </c>
      <c r="N910" s="122" t="s">
        <v>73</v>
      </c>
      <c r="O910" s="126" t="n">
        <v>3500000</v>
      </c>
      <c r="P910" s="121" t="s">
        <v>18</v>
      </c>
      <c r="Q910" s="121" t="s">
        <v>124</v>
      </c>
      <c r="R910" s="127"/>
      <c r="T910" s="118"/>
    </row>
    <row r="911" customFormat="false" ht="12.75" hidden="false" customHeight="true" outlineLevel="0" collapsed="false">
      <c r="B911" s="119" t="n">
        <f aca="false">ROW()-4</f>
        <v>907</v>
      </c>
      <c r="C911" s="120" t="n">
        <f aca="false">COUNTIFS($D$5:D911,D911)</f>
        <v>47</v>
      </c>
      <c r="D911" s="121" t="s">
        <v>1814</v>
      </c>
      <c r="E911" s="122" t="s">
        <v>1904</v>
      </c>
      <c r="F911" s="123" t="n">
        <v>45373</v>
      </c>
      <c r="G911" s="121" t="s">
        <v>28</v>
      </c>
      <c r="H91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A0907</v>
      </c>
      <c r="I91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B0907</v>
      </c>
      <c r="J911" s="122" t="s">
        <v>1905</v>
      </c>
      <c r="K91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C0907</v>
      </c>
      <c r="L91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D0907</v>
      </c>
      <c r="M91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E0907</v>
      </c>
      <c r="N911" s="122" t="s">
        <v>73</v>
      </c>
      <c r="O911" s="126" t="n">
        <v>3500000</v>
      </c>
      <c r="P911" s="121" t="s">
        <v>18</v>
      </c>
      <c r="Q911" s="121" t="s">
        <v>124</v>
      </c>
      <c r="R911" s="127"/>
      <c r="T911" s="118"/>
    </row>
    <row r="912" customFormat="false" ht="12.75" hidden="false" customHeight="true" outlineLevel="0" collapsed="false">
      <c r="B912" s="119" t="n">
        <f aca="false">ROW()-4</f>
        <v>908</v>
      </c>
      <c r="C912" s="120" t="n">
        <f aca="false">COUNTIFS($D$5:D912,D912)</f>
        <v>48</v>
      </c>
      <c r="D912" s="121" t="s">
        <v>1814</v>
      </c>
      <c r="E912" s="122" t="s">
        <v>1906</v>
      </c>
      <c r="F912" s="123" t="n">
        <v>44623</v>
      </c>
      <c r="G912" s="121" t="s">
        <v>22</v>
      </c>
      <c r="H91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A0908</v>
      </c>
      <c r="I91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B0908</v>
      </c>
      <c r="J912" s="122" t="s">
        <v>1907</v>
      </c>
      <c r="K91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C0908</v>
      </c>
      <c r="L91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D0908</v>
      </c>
      <c r="M91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E0908</v>
      </c>
      <c r="N912" s="122" t="s">
        <v>73</v>
      </c>
      <c r="O912" s="126" t="n">
        <v>3500000</v>
      </c>
      <c r="P912" s="121" t="s">
        <v>18</v>
      </c>
      <c r="Q912" s="121" t="s">
        <v>124</v>
      </c>
      <c r="R912" s="127"/>
      <c r="T912" s="118"/>
    </row>
    <row r="913" customFormat="false" ht="12.75" hidden="false" customHeight="true" outlineLevel="0" collapsed="false">
      <c r="B913" s="119" t="n">
        <f aca="false">ROW()-4</f>
        <v>909</v>
      </c>
      <c r="C913" s="120" t="n">
        <f aca="false">COUNTIFS($D$5:D913,D913)</f>
        <v>49</v>
      </c>
      <c r="D913" s="121" t="s">
        <v>1814</v>
      </c>
      <c r="E913" s="122" t="s">
        <v>1908</v>
      </c>
      <c r="F913" s="123" t="n">
        <v>44623</v>
      </c>
      <c r="G913" s="121" t="s">
        <v>22</v>
      </c>
      <c r="H91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A0909</v>
      </c>
      <c r="I91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B0909</v>
      </c>
      <c r="J913" s="122" t="s">
        <v>1909</v>
      </c>
      <c r="K91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C0909</v>
      </c>
      <c r="L91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D0909</v>
      </c>
      <c r="M91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E0909</v>
      </c>
      <c r="N913" s="122" t="s">
        <v>73</v>
      </c>
      <c r="O913" s="126" t="n">
        <v>3500000</v>
      </c>
      <c r="P913" s="121" t="s">
        <v>18</v>
      </c>
      <c r="Q913" s="121" t="s">
        <v>124</v>
      </c>
      <c r="R913" s="127"/>
      <c r="T913" s="118"/>
    </row>
    <row r="914" customFormat="false" ht="12.75" hidden="false" customHeight="true" outlineLevel="0" collapsed="false">
      <c r="B914" s="119" t="n">
        <f aca="false">ROW()-4</f>
        <v>910</v>
      </c>
      <c r="C914" s="120" t="n">
        <f aca="false">COUNTIFS($D$5:D914,D914)</f>
        <v>50</v>
      </c>
      <c r="D914" s="121" t="s">
        <v>1814</v>
      </c>
      <c r="E914" s="122" t="s">
        <v>1910</v>
      </c>
      <c r="F914" s="123" t="n">
        <v>44627</v>
      </c>
      <c r="G914" s="121" t="s">
        <v>22</v>
      </c>
      <c r="H91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A0910</v>
      </c>
      <c r="I91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B0910</v>
      </c>
      <c r="J914" s="122" t="s">
        <v>1911</v>
      </c>
      <c r="K91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C0910</v>
      </c>
      <c r="L91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D0910</v>
      </c>
      <c r="M91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E0910</v>
      </c>
      <c r="N914" s="122" t="s">
        <v>73</v>
      </c>
      <c r="O914" s="126" t="n">
        <v>3500000</v>
      </c>
      <c r="P914" s="121" t="s">
        <v>18</v>
      </c>
      <c r="Q914" s="121" t="s">
        <v>124</v>
      </c>
      <c r="R914" s="127"/>
      <c r="T914" s="118"/>
    </row>
    <row r="915" customFormat="false" ht="12.75" hidden="false" customHeight="true" outlineLevel="0" collapsed="false">
      <c r="B915" s="119" t="n">
        <f aca="false">ROW()-4</f>
        <v>911</v>
      </c>
      <c r="C915" s="120" t="n">
        <f aca="false">COUNTIFS($D$5:D915,D915)</f>
        <v>51</v>
      </c>
      <c r="D915" s="121" t="s">
        <v>1814</v>
      </c>
      <c r="E915" s="122" t="s">
        <v>1912</v>
      </c>
      <c r="F915" s="123" t="n">
        <v>44643</v>
      </c>
      <c r="G915" s="121" t="s">
        <v>22</v>
      </c>
      <c r="H91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A0911</v>
      </c>
      <c r="I91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B0911</v>
      </c>
      <c r="J915" s="122" t="s">
        <v>1913</v>
      </c>
      <c r="K91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C0911</v>
      </c>
      <c r="L91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D0911</v>
      </c>
      <c r="M91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E0911</v>
      </c>
      <c r="N915" s="122" t="s">
        <v>73</v>
      </c>
      <c r="O915" s="126" t="n">
        <v>3500000</v>
      </c>
      <c r="P915" s="121" t="s">
        <v>18</v>
      </c>
      <c r="Q915" s="121" t="s">
        <v>124</v>
      </c>
      <c r="R915" s="127"/>
      <c r="T915" s="118"/>
    </row>
    <row r="916" customFormat="false" ht="12.75" hidden="false" customHeight="true" outlineLevel="0" collapsed="false">
      <c r="B916" s="119" t="n">
        <f aca="false">ROW()-4</f>
        <v>912</v>
      </c>
      <c r="C916" s="120" t="n">
        <f aca="false">COUNTIFS($D$5:D916,D916)</f>
        <v>52</v>
      </c>
      <c r="D916" s="121" t="s">
        <v>1814</v>
      </c>
      <c r="E916" s="122" t="s">
        <v>1914</v>
      </c>
      <c r="F916" s="123" t="n">
        <v>44622</v>
      </c>
      <c r="G916" s="121" t="s">
        <v>28</v>
      </c>
      <c r="H91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A0912</v>
      </c>
      <c r="I91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B0912</v>
      </c>
      <c r="J916" s="122" t="s">
        <v>1915</v>
      </c>
      <c r="K91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C0912</v>
      </c>
      <c r="L91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D0912</v>
      </c>
      <c r="M91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E0912</v>
      </c>
      <c r="N916" s="122" t="s">
        <v>73</v>
      </c>
      <c r="O916" s="126" t="n">
        <v>3500000</v>
      </c>
      <c r="P916" s="121" t="s">
        <v>18</v>
      </c>
      <c r="Q916" s="121" t="s">
        <v>124</v>
      </c>
      <c r="R916" s="127"/>
      <c r="T916" s="118"/>
    </row>
    <row r="917" customFormat="false" ht="12.75" hidden="false" customHeight="true" outlineLevel="0" collapsed="false">
      <c r="B917" s="119" t="n">
        <f aca="false">ROW()-4</f>
        <v>913</v>
      </c>
      <c r="C917" s="120" t="n">
        <f aca="false">COUNTIFS($D$5:D917,D917)</f>
        <v>53</v>
      </c>
      <c r="D917" s="121" t="s">
        <v>1814</v>
      </c>
      <c r="E917" s="122" t="s">
        <v>1916</v>
      </c>
      <c r="F917" s="123" t="n">
        <v>44637</v>
      </c>
      <c r="G917" s="121" t="s">
        <v>28</v>
      </c>
      <c r="H91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A0913</v>
      </c>
      <c r="I91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B0913</v>
      </c>
      <c r="J917" s="122" t="s">
        <v>1917</v>
      </c>
      <c r="K91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C0913</v>
      </c>
      <c r="L91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D0913</v>
      </c>
      <c r="M91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E0913</v>
      </c>
      <c r="N917" s="122" t="s">
        <v>73</v>
      </c>
      <c r="O917" s="126" t="n">
        <v>3500000</v>
      </c>
      <c r="P917" s="121" t="s">
        <v>18</v>
      </c>
      <c r="Q917" s="121" t="s">
        <v>124</v>
      </c>
      <c r="R917" s="127"/>
      <c r="T917" s="118"/>
    </row>
    <row r="918" customFormat="false" ht="12.75" hidden="false" customHeight="true" outlineLevel="0" collapsed="false">
      <c r="B918" s="119" t="n">
        <f aca="false">ROW()-4</f>
        <v>914</v>
      </c>
      <c r="C918" s="120" t="n">
        <f aca="false">COUNTIFS($D$5:D918,D918)</f>
        <v>54</v>
      </c>
      <c r="D918" s="121" t="s">
        <v>1814</v>
      </c>
      <c r="E918" s="122" t="s">
        <v>1918</v>
      </c>
      <c r="F918" s="123" t="n">
        <v>44622</v>
      </c>
      <c r="G918" s="121" t="s">
        <v>24</v>
      </c>
      <c r="H91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A0914</v>
      </c>
      <c r="I91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B0914</v>
      </c>
      <c r="J918" s="122" t="s">
        <v>1919</v>
      </c>
      <c r="K91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C0914</v>
      </c>
      <c r="L91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D0914</v>
      </c>
      <c r="M91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E0914</v>
      </c>
      <c r="N918" s="122" t="s">
        <v>73</v>
      </c>
      <c r="O918" s="126" t="n">
        <v>3500000</v>
      </c>
      <c r="P918" s="121" t="s">
        <v>18</v>
      </c>
      <c r="Q918" s="121" t="s">
        <v>124</v>
      </c>
      <c r="R918" s="127"/>
      <c r="T918" s="118"/>
    </row>
    <row r="919" customFormat="false" ht="12.75" hidden="false" customHeight="true" outlineLevel="0" collapsed="false">
      <c r="B919" s="119" t="n">
        <f aca="false">ROW()-4</f>
        <v>915</v>
      </c>
      <c r="C919" s="120" t="n">
        <f aca="false">COUNTIFS($D$5:D919,D919)</f>
        <v>55</v>
      </c>
      <c r="D919" s="121" t="s">
        <v>1814</v>
      </c>
      <c r="E919" s="122" t="s">
        <v>1920</v>
      </c>
      <c r="F919" s="123" t="n">
        <v>44622</v>
      </c>
      <c r="G919" s="121" t="s">
        <v>24</v>
      </c>
      <c r="H91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A0915</v>
      </c>
      <c r="I91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B0915</v>
      </c>
      <c r="J919" s="122" t="s">
        <v>1921</v>
      </c>
      <c r="K91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C0915</v>
      </c>
      <c r="L91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D0915</v>
      </c>
      <c r="M91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E0915</v>
      </c>
      <c r="N919" s="122" t="s">
        <v>73</v>
      </c>
      <c r="O919" s="126" t="n">
        <v>3500000</v>
      </c>
      <c r="P919" s="121" t="s">
        <v>18</v>
      </c>
      <c r="Q919" s="121" t="s">
        <v>124</v>
      </c>
      <c r="R919" s="127"/>
      <c r="T919" s="118"/>
    </row>
    <row r="920" customFormat="false" ht="12.75" hidden="false" customHeight="true" outlineLevel="0" collapsed="false">
      <c r="B920" s="119" t="n">
        <f aca="false">ROW()-4</f>
        <v>916</v>
      </c>
      <c r="C920" s="120" t="n">
        <f aca="false">COUNTIFS($D$5:D920,D920)</f>
        <v>56</v>
      </c>
      <c r="D920" s="121" t="s">
        <v>1814</v>
      </c>
      <c r="E920" s="122" t="s">
        <v>1922</v>
      </c>
      <c r="F920" s="123" t="n">
        <v>45523</v>
      </c>
      <c r="G920" s="121" t="s">
        <v>24</v>
      </c>
      <c r="H92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A0916</v>
      </c>
      <c r="I92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B0916</v>
      </c>
      <c r="J920" s="122" t="s">
        <v>1923</v>
      </c>
      <c r="K92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C0916</v>
      </c>
      <c r="L92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D0916</v>
      </c>
      <c r="M92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E0916</v>
      </c>
      <c r="N920" s="122" t="s">
        <v>73</v>
      </c>
      <c r="O920" s="126" t="n">
        <v>3500000</v>
      </c>
      <c r="P920" s="121" t="s">
        <v>18</v>
      </c>
      <c r="Q920" s="121" t="s">
        <v>124</v>
      </c>
      <c r="R920" s="127"/>
      <c r="T920" s="118"/>
    </row>
    <row r="921" customFormat="false" ht="12.75" hidden="false" customHeight="true" outlineLevel="0" collapsed="false">
      <c r="B921" s="119" t="n">
        <f aca="false">ROW()-4</f>
        <v>917</v>
      </c>
      <c r="C921" s="120" t="n">
        <f aca="false">COUNTIFS($D$5:D921,D921)</f>
        <v>57</v>
      </c>
      <c r="D921" s="121" t="s">
        <v>1814</v>
      </c>
      <c r="E921" s="122" t="s">
        <v>1924</v>
      </c>
      <c r="F921" s="123" t="n">
        <v>44642</v>
      </c>
      <c r="G921" s="121" t="s">
        <v>24</v>
      </c>
      <c r="H92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A0917</v>
      </c>
      <c r="I92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B0917</v>
      </c>
      <c r="J921" s="122" t="s">
        <v>1925</v>
      </c>
      <c r="K92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C0917</v>
      </c>
      <c r="L92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D0917</v>
      </c>
      <c r="M92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E0917</v>
      </c>
      <c r="N921" s="122" t="s">
        <v>73</v>
      </c>
      <c r="O921" s="126" t="n">
        <v>3500000</v>
      </c>
      <c r="P921" s="121" t="s">
        <v>18</v>
      </c>
      <c r="Q921" s="121" t="s">
        <v>124</v>
      </c>
      <c r="R921" s="127"/>
      <c r="T921" s="118"/>
    </row>
    <row r="922" customFormat="false" ht="12.75" hidden="false" customHeight="true" outlineLevel="0" collapsed="false">
      <c r="B922" s="119" t="n">
        <f aca="false">ROW()-4</f>
        <v>918</v>
      </c>
      <c r="C922" s="120" t="n">
        <f aca="false">COUNTIFS($D$5:D922,D922)</f>
        <v>58</v>
      </c>
      <c r="D922" s="121" t="s">
        <v>1814</v>
      </c>
      <c r="E922" s="122" t="s">
        <v>1926</v>
      </c>
      <c r="F922" s="123" t="n">
        <v>45881</v>
      </c>
      <c r="G922" s="121" t="s">
        <v>26</v>
      </c>
      <c r="H92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A0918</v>
      </c>
      <c r="I92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B0918</v>
      </c>
      <c r="J922" s="122" t="s">
        <v>1927</v>
      </c>
      <c r="K92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C0918</v>
      </c>
      <c r="L92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D0918</v>
      </c>
      <c r="M92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E0918</v>
      </c>
      <c r="N922" s="122" t="s">
        <v>73</v>
      </c>
      <c r="O922" s="126" t="n">
        <v>3500000</v>
      </c>
      <c r="P922" s="121" t="s">
        <v>18</v>
      </c>
      <c r="Q922" s="121" t="s">
        <v>124</v>
      </c>
      <c r="R922" s="127"/>
      <c r="T922" s="118"/>
    </row>
    <row r="923" s="118" customFormat="true" ht="12.75" hidden="false" customHeight="true" outlineLevel="0" collapsed="false">
      <c r="A923" s="98"/>
      <c r="B923" s="119" t="n">
        <f aca="false">ROW()-4</f>
        <v>919</v>
      </c>
      <c r="C923" s="120" t="n">
        <f aca="false">COUNTIFS($D$5:D923,D923)</f>
        <v>59</v>
      </c>
      <c r="D923" s="121" t="s">
        <v>1814</v>
      </c>
      <c r="E923" s="122" t="s">
        <v>1928</v>
      </c>
      <c r="F923" s="123" t="n">
        <v>45750</v>
      </c>
      <c r="G923" s="121" t="s">
        <v>26</v>
      </c>
      <c r="H92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A0919</v>
      </c>
      <c r="I92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B0919</v>
      </c>
      <c r="J923" s="122" t="s">
        <v>1929</v>
      </c>
      <c r="K92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C0919</v>
      </c>
      <c r="L92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D0919</v>
      </c>
      <c r="M92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E0919</v>
      </c>
      <c r="N923" s="122" t="s">
        <v>73</v>
      </c>
      <c r="O923" s="126" t="n">
        <v>3500000</v>
      </c>
      <c r="P923" s="121" t="s">
        <v>18</v>
      </c>
      <c r="Q923" s="121" t="s">
        <v>124</v>
      </c>
      <c r="R923" s="127"/>
    </row>
    <row r="924" customFormat="false" ht="12.75" hidden="false" customHeight="true" outlineLevel="0" collapsed="false">
      <c r="B924" s="119" t="n">
        <f aca="false">ROW()-4</f>
        <v>920</v>
      </c>
      <c r="C924" s="120" t="n">
        <f aca="false">COUNTIFS($D$5:D924,D924)</f>
        <v>60</v>
      </c>
      <c r="D924" s="121" t="s">
        <v>1814</v>
      </c>
      <c r="E924" s="122" t="s">
        <v>1930</v>
      </c>
      <c r="F924" s="123" t="n">
        <v>44652</v>
      </c>
      <c r="G924" s="121" t="s">
        <v>22</v>
      </c>
      <c r="H92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A0920</v>
      </c>
      <c r="I92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B0920</v>
      </c>
      <c r="J924" s="122" t="s">
        <v>1931</v>
      </c>
      <c r="K92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C0920</v>
      </c>
      <c r="L92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D0920</v>
      </c>
      <c r="M92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E0920</v>
      </c>
      <c r="N924" s="122" t="s">
        <v>73</v>
      </c>
      <c r="O924" s="126" t="n">
        <v>3500000</v>
      </c>
      <c r="P924" s="121" t="s">
        <v>18</v>
      </c>
      <c r="Q924" s="121" t="s">
        <v>124</v>
      </c>
      <c r="R924" s="127"/>
      <c r="T924" s="118"/>
    </row>
    <row r="925" customFormat="false" ht="12.75" hidden="false" customHeight="true" outlineLevel="0" collapsed="false">
      <c r="B925" s="140" t="n">
        <f aca="false">ROW()-4</f>
        <v>921</v>
      </c>
      <c r="C925" s="141" t="n">
        <f aca="false">COUNTIFS($D$5:D925,D925)</f>
        <v>61</v>
      </c>
      <c r="D925" s="142" t="s">
        <v>1814</v>
      </c>
      <c r="E925" s="143" t="s">
        <v>1932</v>
      </c>
      <c r="F925" s="144" t="n">
        <v>46062</v>
      </c>
      <c r="G925" s="142" t="s">
        <v>22</v>
      </c>
      <c r="H925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A0921</v>
      </c>
      <c r="I925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B0921</v>
      </c>
      <c r="J925" s="143" t="s">
        <v>1933</v>
      </c>
      <c r="K925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C0921</v>
      </c>
      <c r="L925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D0921</v>
      </c>
      <c r="M925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E0921</v>
      </c>
      <c r="N925" s="143" t="s">
        <v>73</v>
      </c>
      <c r="O925" s="146" t="n">
        <v>3500000</v>
      </c>
      <c r="P925" s="142" t="s">
        <v>1533</v>
      </c>
      <c r="Q925" s="143" t="s">
        <v>908</v>
      </c>
      <c r="R925" s="147"/>
      <c r="T925" s="118"/>
    </row>
    <row r="926" customFormat="false" ht="12.75" hidden="false" customHeight="true" outlineLevel="0" collapsed="false">
      <c r="B926" s="119" t="n">
        <f aca="false">ROW()-4</f>
        <v>922</v>
      </c>
      <c r="C926" s="120" t="n">
        <f aca="false">COUNTIFS($D$5:D926,D926)</f>
        <v>62</v>
      </c>
      <c r="D926" s="121" t="s">
        <v>1814</v>
      </c>
      <c r="E926" s="122" t="s">
        <v>1934</v>
      </c>
      <c r="F926" s="123" t="n">
        <v>45545</v>
      </c>
      <c r="G926" s="121" t="s">
        <v>22</v>
      </c>
      <c r="H92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A0922</v>
      </c>
      <c r="I92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B0922</v>
      </c>
      <c r="J926" s="122" t="s">
        <v>1935</v>
      </c>
      <c r="K92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C0922</v>
      </c>
      <c r="L92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D0922</v>
      </c>
      <c r="M92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E0922</v>
      </c>
      <c r="N926" s="122" t="s">
        <v>73</v>
      </c>
      <c r="O926" s="126" t="n">
        <v>3500000</v>
      </c>
      <c r="P926" s="121" t="s">
        <v>18</v>
      </c>
      <c r="Q926" s="121" t="s">
        <v>124</v>
      </c>
      <c r="R926" s="127"/>
      <c r="T926" s="118"/>
    </row>
    <row r="927" customFormat="false" ht="12.75" hidden="false" customHeight="true" outlineLevel="0" collapsed="false">
      <c r="B927" s="119" t="n">
        <f aca="false">ROW()-4</f>
        <v>923</v>
      </c>
      <c r="C927" s="120" t="n">
        <f aca="false">COUNTIFS($D$5:D927,D927)</f>
        <v>63</v>
      </c>
      <c r="D927" s="121" t="s">
        <v>1814</v>
      </c>
      <c r="E927" s="122" t="s">
        <v>1936</v>
      </c>
      <c r="F927" s="123" t="n">
        <v>44656</v>
      </c>
      <c r="G927" s="121" t="s">
        <v>28</v>
      </c>
      <c r="H92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A0923</v>
      </c>
      <c r="I92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B0923</v>
      </c>
      <c r="J927" s="122" t="s">
        <v>1937</v>
      </c>
      <c r="K92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C0923</v>
      </c>
      <c r="L92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D0923</v>
      </c>
      <c r="M92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E0923</v>
      </c>
      <c r="N927" s="122" t="s">
        <v>73</v>
      </c>
      <c r="O927" s="126" t="n">
        <v>3500000</v>
      </c>
      <c r="P927" s="121" t="s">
        <v>18</v>
      </c>
      <c r="Q927" s="121" t="s">
        <v>124</v>
      </c>
      <c r="R927" s="127"/>
      <c r="T927" s="118"/>
    </row>
    <row r="928" customFormat="false" ht="12.75" hidden="false" customHeight="true" outlineLevel="0" collapsed="false">
      <c r="B928" s="119" t="n">
        <f aca="false">ROW()-4</f>
        <v>924</v>
      </c>
      <c r="C928" s="120" t="n">
        <f aca="false">COUNTIFS($D$5:D928,D928)</f>
        <v>64</v>
      </c>
      <c r="D928" s="121" t="s">
        <v>1814</v>
      </c>
      <c r="E928" s="122" t="s">
        <v>1938</v>
      </c>
      <c r="F928" s="123" t="n">
        <v>44649</v>
      </c>
      <c r="G928" s="121" t="s">
        <v>28</v>
      </c>
      <c r="H92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A0924</v>
      </c>
      <c r="I92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B0924</v>
      </c>
      <c r="J928" s="122" t="s">
        <v>1583</v>
      </c>
      <c r="K92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C0924</v>
      </c>
      <c r="L92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D0924</v>
      </c>
      <c r="M92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E0924</v>
      </c>
      <c r="N928" s="122" t="s">
        <v>73</v>
      </c>
      <c r="O928" s="126" t="n">
        <v>3500000</v>
      </c>
      <c r="P928" s="121" t="s">
        <v>18</v>
      </c>
      <c r="Q928" s="121" t="s">
        <v>124</v>
      </c>
      <c r="R928" s="127"/>
      <c r="T928" s="118"/>
    </row>
    <row r="929" customFormat="false" ht="12.75" hidden="false" customHeight="true" outlineLevel="0" collapsed="false">
      <c r="B929" s="119" t="n">
        <f aca="false">ROW()-4</f>
        <v>925</v>
      </c>
      <c r="C929" s="120" t="n">
        <f aca="false">COUNTIFS($D$5:D929,D929)</f>
        <v>65</v>
      </c>
      <c r="D929" s="121" t="s">
        <v>1814</v>
      </c>
      <c r="E929" s="122" t="s">
        <v>1939</v>
      </c>
      <c r="F929" s="123" t="n">
        <v>44671</v>
      </c>
      <c r="G929" s="121" t="s">
        <v>24</v>
      </c>
      <c r="H92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A0925</v>
      </c>
      <c r="I92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B0925</v>
      </c>
      <c r="J929" s="124" t="s">
        <v>1940</v>
      </c>
      <c r="K92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C0925</v>
      </c>
      <c r="L92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D0925</v>
      </c>
      <c r="M92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E0925</v>
      </c>
      <c r="N929" s="122" t="s">
        <v>73</v>
      </c>
      <c r="O929" s="126" t="n">
        <v>3500000</v>
      </c>
      <c r="P929" s="121" t="s">
        <v>18</v>
      </c>
      <c r="Q929" s="121" t="s">
        <v>124</v>
      </c>
      <c r="R929" s="127"/>
      <c r="T929" s="118"/>
    </row>
    <row r="930" customFormat="false" ht="12.75" hidden="false" customHeight="true" outlineLevel="0" collapsed="false">
      <c r="B930" s="119" t="n">
        <f aca="false">ROW()-4</f>
        <v>926</v>
      </c>
      <c r="C930" s="120" t="n">
        <f aca="false">COUNTIFS($D$5:D930,D930)</f>
        <v>66</v>
      </c>
      <c r="D930" s="121" t="s">
        <v>1814</v>
      </c>
      <c r="E930" s="122" t="s">
        <v>1941</v>
      </c>
      <c r="F930" s="123" t="n">
        <v>44657</v>
      </c>
      <c r="G930" s="121" t="s">
        <v>24</v>
      </c>
      <c r="H93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A0926</v>
      </c>
      <c r="I93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B0926</v>
      </c>
      <c r="J930" s="122" t="s">
        <v>1942</v>
      </c>
      <c r="K93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C0926</v>
      </c>
      <c r="L93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D0926</v>
      </c>
      <c r="M93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E0926</v>
      </c>
      <c r="N930" s="122" t="s">
        <v>73</v>
      </c>
      <c r="O930" s="126" t="n">
        <v>3500000</v>
      </c>
      <c r="P930" s="121" t="s">
        <v>18</v>
      </c>
      <c r="Q930" s="121" t="s">
        <v>124</v>
      </c>
      <c r="R930" s="127"/>
      <c r="T930" s="118"/>
    </row>
    <row r="931" customFormat="false" ht="12.75" hidden="false" customHeight="true" outlineLevel="0" collapsed="false">
      <c r="B931" s="119" t="n">
        <f aca="false">ROW()-4</f>
        <v>927</v>
      </c>
      <c r="C931" s="120" t="n">
        <f aca="false">COUNTIFS($D$5:D931,D931)</f>
        <v>67</v>
      </c>
      <c r="D931" s="121" t="s">
        <v>1814</v>
      </c>
      <c r="E931" s="122" t="s">
        <v>1943</v>
      </c>
      <c r="F931" s="123" t="n">
        <v>44679</v>
      </c>
      <c r="G931" s="121" t="s">
        <v>24</v>
      </c>
      <c r="H93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A0927</v>
      </c>
      <c r="I93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B0927</v>
      </c>
      <c r="J931" s="122" t="s">
        <v>1944</v>
      </c>
      <c r="K93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C0927</v>
      </c>
      <c r="L93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D0927</v>
      </c>
      <c r="M93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E0927</v>
      </c>
      <c r="N931" s="122" t="s">
        <v>73</v>
      </c>
      <c r="O931" s="126" t="n">
        <v>3500000</v>
      </c>
      <c r="P931" s="121" t="s">
        <v>18</v>
      </c>
      <c r="Q931" s="121" t="s">
        <v>124</v>
      </c>
      <c r="R931" s="127"/>
      <c r="T931" s="118"/>
    </row>
    <row r="932" customFormat="false" ht="12.75" hidden="false" customHeight="true" outlineLevel="0" collapsed="false">
      <c r="B932" s="119" t="n">
        <f aca="false">ROW()-4</f>
        <v>928</v>
      </c>
      <c r="C932" s="120" t="n">
        <f aca="false">COUNTIFS($D$5:D932,D932)</f>
        <v>68</v>
      </c>
      <c r="D932" s="121" t="s">
        <v>1814</v>
      </c>
      <c r="E932" s="122" t="s">
        <v>1945</v>
      </c>
      <c r="F932" s="123" t="n">
        <v>44677</v>
      </c>
      <c r="G932" s="121" t="s">
        <v>24</v>
      </c>
      <c r="H93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A0928</v>
      </c>
      <c r="I93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B0928</v>
      </c>
      <c r="J932" s="124" t="s">
        <v>1946</v>
      </c>
      <c r="K93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C0928</v>
      </c>
      <c r="L93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D0928</v>
      </c>
      <c r="M93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E0928</v>
      </c>
      <c r="N932" s="122" t="s">
        <v>73</v>
      </c>
      <c r="O932" s="126" t="n">
        <v>3500000</v>
      </c>
      <c r="P932" s="121" t="s">
        <v>18</v>
      </c>
      <c r="Q932" s="121" t="s">
        <v>124</v>
      </c>
      <c r="R932" s="127"/>
      <c r="T932" s="118"/>
    </row>
    <row r="933" customFormat="false" ht="12.75" hidden="false" customHeight="true" outlineLevel="0" collapsed="false">
      <c r="B933" s="119" t="n">
        <f aca="false">ROW()-4</f>
        <v>929</v>
      </c>
      <c r="C933" s="120" t="n">
        <f aca="false">COUNTIFS($D$5:D933,D933)</f>
        <v>69</v>
      </c>
      <c r="D933" s="121" t="s">
        <v>1814</v>
      </c>
      <c r="E933" s="122" t="s">
        <v>1947</v>
      </c>
      <c r="F933" s="123" t="n">
        <v>44655</v>
      </c>
      <c r="G933" s="121" t="s">
        <v>30</v>
      </c>
      <c r="H93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A0929</v>
      </c>
      <c r="I93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B0929</v>
      </c>
      <c r="J933" s="122" t="s">
        <v>1948</v>
      </c>
      <c r="K93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C0929</v>
      </c>
      <c r="L93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D0929</v>
      </c>
      <c r="M93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E0929</v>
      </c>
      <c r="N933" s="122" t="s">
        <v>73</v>
      </c>
      <c r="O933" s="126" t="n">
        <v>3500000</v>
      </c>
      <c r="P933" s="121" t="s">
        <v>18</v>
      </c>
      <c r="Q933" s="121" t="s">
        <v>124</v>
      </c>
      <c r="R933" s="127"/>
      <c r="T933" s="118"/>
    </row>
    <row r="934" customFormat="false" ht="12.75" hidden="false" customHeight="true" outlineLevel="0" collapsed="false">
      <c r="B934" s="119" t="n">
        <f aca="false">ROW()-4</f>
        <v>930</v>
      </c>
      <c r="C934" s="120" t="n">
        <f aca="false">COUNTIFS($D$5:D934,D934)</f>
        <v>70</v>
      </c>
      <c r="D934" s="121" t="s">
        <v>1814</v>
      </c>
      <c r="E934" s="122" t="s">
        <v>1949</v>
      </c>
      <c r="F934" s="123" t="n">
        <v>45048</v>
      </c>
      <c r="G934" s="121" t="s">
        <v>26</v>
      </c>
      <c r="H93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A0930</v>
      </c>
      <c r="I93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B0930</v>
      </c>
      <c r="J934" s="122" t="s">
        <v>1950</v>
      </c>
      <c r="K93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C0930</v>
      </c>
      <c r="L93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D0930</v>
      </c>
      <c r="M93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E0930</v>
      </c>
      <c r="N934" s="122" t="s">
        <v>73</v>
      </c>
      <c r="O934" s="126" t="n">
        <v>3500000</v>
      </c>
      <c r="P934" s="121" t="s">
        <v>18</v>
      </c>
      <c r="Q934" s="121" t="s">
        <v>124</v>
      </c>
      <c r="R934" s="127"/>
      <c r="T934" s="118"/>
    </row>
    <row r="935" customFormat="false" ht="12.75" hidden="false" customHeight="true" outlineLevel="0" collapsed="false">
      <c r="B935" s="119" t="n">
        <f aca="false">ROW()-4</f>
        <v>931</v>
      </c>
      <c r="C935" s="120" t="n">
        <f aca="false">COUNTIFS($D$5:D935,D935)</f>
        <v>71</v>
      </c>
      <c r="D935" s="121" t="s">
        <v>1814</v>
      </c>
      <c r="E935" s="122" t="s">
        <v>1951</v>
      </c>
      <c r="F935" s="123" t="n">
        <v>44671</v>
      </c>
      <c r="G935" s="121" t="s">
        <v>26</v>
      </c>
      <c r="H93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A0931</v>
      </c>
      <c r="I93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B0931</v>
      </c>
      <c r="J935" s="122" t="s">
        <v>1952</v>
      </c>
      <c r="K93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C0931</v>
      </c>
      <c r="L93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D0931</v>
      </c>
      <c r="M93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E0931</v>
      </c>
      <c r="N935" s="122" t="s">
        <v>73</v>
      </c>
      <c r="O935" s="126" t="n">
        <v>3500000</v>
      </c>
      <c r="P935" s="121" t="s">
        <v>18</v>
      </c>
      <c r="Q935" s="121" t="s">
        <v>124</v>
      </c>
      <c r="R935" s="127"/>
      <c r="T935" s="118"/>
    </row>
    <row r="936" customFormat="false" ht="12.75" hidden="false" customHeight="true" outlineLevel="0" collapsed="false">
      <c r="B936" s="119" t="n">
        <f aca="false">ROW()-4</f>
        <v>932</v>
      </c>
      <c r="C936" s="120" t="n">
        <f aca="false">COUNTIFS($D$5:D936,D936)</f>
        <v>72</v>
      </c>
      <c r="D936" s="121" t="s">
        <v>1814</v>
      </c>
      <c r="E936" s="122" t="s">
        <v>1953</v>
      </c>
      <c r="F936" s="123" t="n">
        <v>45190</v>
      </c>
      <c r="G936" s="121" t="s">
        <v>26</v>
      </c>
      <c r="H93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A0932</v>
      </c>
      <c r="I93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B0932</v>
      </c>
      <c r="J936" s="122" t="s">
        <v>1954</v>
      </c>
      <c r="K93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C0932</v>
      </c>
      <c r="L93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D0932</v>
      </c>
      <c r="M93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E0932</v>
      </c>
      <c r="N936" s="122" t="s">
        <v>73</v>
      </c>
      <c r="O936" s="126" t="n">
        <v>3500000</v>
      </c>
      <c r="P936" s="121" t="s">
        <v>18</v>
      </c>
      <c r="Q936" s="121" t="s">
        <v>124</v>
      </c>
      <c r="R936" s="127"/>
      <c r="T936" s="118"/>
    </row>
    <row r="937" customFormat="false" ht="12.75" hidden="false" customHeight="true" outlineLevel="0" collapsed="false">
      <c r="B937" s="119" t="n">
        <f aca="false">ROW()-4</f>
        <v>933</v>
      </c>
      <c r="C937" s="120" t="n">
        <f aca="false">COUNTIFS($D$5:D937,D937)</f>
        <v>73</v>
      </c>
      <c r="D937" s="121" t="s">
        <v>1814</v>
      </c>
      <c r="E937" s="122" t="s">
        <v>1955</v>
      </c>
      <c r="F937" s="123" t="n">
        <v>44830</v>
      </c>
      <c r="G937" s="121" t="s">
        <v>28</v>
      </c>
      <c r="H93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A0933</v>
      </c>
      <c r="I93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B0933</v>
      </c>
      <c r="J937" s="122" t="s">
        <v>1956</v>
      </c>
      <c r="K93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C0933</v>
      </c>
      <c r="L93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D0933</v>
      </c>
      <c r="M93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E0933</v>
      </c>
      <c r="N937" s="122" t="s">
        <v>73</v>
      </c>
      <c r="O937" s="126" t="n">
        <v>3500000</v>
      </c>
      <c r="P937" s="121" t="s">
        <v>18</v>
      </c>
      <c r="Q937" s="121" t="s">
        <v>124</v>
      </c>
      <c r="R937" s="127"/>
      <c r="T937" s="118"/>
    </row>
    <row r="938" customFormat="false" ht="12.75" hidden="false" customHeight="true" outlineLevel="0" collapsed="false">
      <c r="B938" s="119" t="n">
        <f aca="false">ROW()-4</f>
        <v>934</v>
      </c>
      <c r="C938" s="120" t="n">
        <f aca="false">COUNTIFS($D$5:D938,D938)</f>
        <v>74</v>
      </c>
      <c r="D938" s="121" t="s">
        <v>1814</v>
      </c>
      <c r="E938" s="122" t="s">
        <v>1957</v>
      </c>
      <c r="F938" s="123" t="n">
        <v>44691</v>
      </c>
      <c r="G938" s="121" t="s">
        <v>24</v>
      </c>
      <c r="H93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A0934</v>
      </c>
      <c r="I93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B0934</v>
      </c>
      <c r="J938" s="122" t="s">
        <v>1958</v>
      </c>
      <c r="K93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C0934</v>
      </c>
      <c r="L93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D0934</v>
      </c>
      <c r="M93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E0934</v>
      </c>
      <c r="N938" s="122" t="s">
        <v>73</v>
      </c>
      <c r="O938" s="126" t="n">
        <v>3500000</v>
      </c>
      <c r="P938" s="121" t="s">
        <v>18</v>
      </c>
      <c r="Q938" s="121" t="s">
        <v>124</v>
      </c>
      <c r="R938" s="127"/>
      <c r="T938" s="118"/>
    </row>
    <row r="939" customFormat="false" ht="12.75" hidden="false" customHeight="true" outlineLevel="0" collapsed="false">
      <c r="B939" s="119" t="n">
        <f aca="false">ROW()-4</f>
        <v>935</v>
      </c>
      <c r="C939" s="120" t="n">
        <f aca="false">COUNTIFS($D$5:D939,D939)</f>
        <v>75</v>
      </c>
      <c r="D939" s="121" t="s">
        <v>1814</v>
      </c>
      <c r="E939" s="122" t="s">
        <v>1959</v>
      </c>
      <c r="F939" s="123" t="n">
        <v>45986</v>
      </c>
      <c r="G939" s="121" t="s">
        <v>28</v>
      </c>
      <c r="H93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A0935</v>
      </c>
      <c r="I93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B0935</v>
      </c>
      <c r="J939" s="122" t="s">
        <v>1960</v>
      </c>
      <c r="K93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C0935</v>
      </c>
      <c r="L93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D0935</v>
      </c>
      <c r="M93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E0935</v>
      </c>
      <c r="N939" s="122" t="s">
        <v>73</v>
      </c>
      <c r="O939" s="126" t="n">
        <v>3500000</v>
      </c>
      <c r="P939" s="121" t="s">
        <v>18</v>
      </c>
      <c r="Q939" s="121" t="s">
        <v>124</v>
      </c>
      <c r="R939" s="127"/>
      <c r="T939" s="118"/>
    </row>
    <row r="940" customFormat="false" ht="12.75" hidden="false" customHeight="true" outlineLevel="0" collapsed="false">
      <c r="B940" s="119" t="n">
        <f aca="false">ROW()-4</f>
        <v>936</v>
      </c>
      <c r="C940" s="120" t="n">
        <f aca="false">COUNTIFS($D$5:D940,D940)</f>
        <v>76</v>
      </c>
      <c r="D940" s="121" t="s">
        <v>1814</v>
      </c>
      <c r="E940" s="122" t="s">
        <v>1961</v>
      </c>
      <c r="F940" s="123" t="n">
        <v>44706</v>
      </c>
      <c r="G940" s="121" t="s">
        <v>24</v>
      </c>
      <c r="H94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A0936</v>
      </c>
      <c r="I94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B0936</v>
      </c>
      <c r="J940" s="122" t="s">
        <v>1962</v>
      </c>
      <c r="K94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C0936</v>
      </c>
      <c r="L94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D0936</v>
      </c>
      <c r="M94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E0936</v>
      </c>
      <c r="N940" s="122" t="s">
        <v>73</v>
      </c>
      <c r="O940" s="126" t="n">
        <v>3500000</v>
      </c>
      <c r="P940" s="121" t="s">
        <v>18</v>
      </c>
      <c r="Q940" s="121" t="s">
        <v>124</v>
      </c>
      <c r="R940" s="127"/>
      <c r="T940" s="118"/>
    </row>
    <row r="941" customFormat="false" ht="12.75" hidden="false" customHeight="true" outlineLevel="0" collapsed="false">
      <c r="B941" s="119" t="n">
        <f aca="false">ROW()-4</f>
        <v>937</v>
      </c>
      <c r="C941" s="120" t="n">
        <f aca="false">COUNTIFS($D$5:D941,D941)</f>
        <v>77</v>
      </c>
      <c r="D941" s="121" t="s">
        <v>1814</v>
      </c>
      <c r="E941" s="122" t="s">
        <v>1963</v>
      </c>
      <c r="F941" s="123" t="n">
        <v>46051</v>
      </c>
      <c r="G941" s="121" t="s">
        <v>24</v>
      </c>
      <c r="H94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A0937</v>
      </c>
      <c r="I94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B0937</v>
      </c>
      <c r="J941" s="122" t="s">
        <v>1964</v>
      </c>
      <c r="K94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C0937</v>
      </c>
      <c r="L94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D0937</v>
      </c>
      <c r="M94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E0937</v>
      </c>
      <c r="N941" s="122" t="s">
        <v>73</v>
      </c>
      <c r="O941" s="126" t="n">
        <v>3500000</v>
      </c>
      <c r="P941" s="121" t="s">
        <v>18</v>
      </c>
      <c r="Q941" s="121" t="s">
        <v>124</v>
      </c>
      <c r="R941" s="127"/>
      <c r="T941" s="118"/>
    </row>
    <row r="942" customFormat="false" ht="12.75" hidden="false" customHeight="true" outlineLevel="0" collapsed="false">
      <c r="B942" s="119" t="n">
        <f aca="false">ROW()-4</f>
        <v>938</v>
      </c>
      <c r="C942" s="120" t="n">
        <f aca="false">COUNTIFS($D$5:D942,D942)</f>
        <v>78</v>
      </c>
      <c r="D942" s="121" t="s">
        <v>1814</v>
      </c>
      <c r="E942" s="122" t="s">
        <v>1965</v>
      </c>
      <c r="F942" s="123" t="n">
        <v>44705</v>
      </c>
      <c r="G942" s="121" t="s">
        <v>26</v>
      </c>
      <c r="H94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A0938</v>
      </c>
      <c r="I94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B0938</v>
      </c>
      <c r="J942" s="122" t="s">
        <v>1966</v>
      </c>
      <c r="K94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C0938</v>
      </c>
      <c r="L94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D0938</v>
      </c>
      <c r="M94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E0938</v>
      </c>
      <c r="N942" s="122" t="s">
        <v>73</v>
      </c>
      <c r="O942" s="126" t="n">
        <v>3500000</v>
      </c>
      <c r="P942" s="121" t="s">
        <v>18</v>
      </c>
      <c r="Q942" s="121" t="s">
        <v>124</v>
      </c>
      <c r="R942" s="127"/>
      <c r="T942" s="118"/>
    </row>
    <row r="943" customFormat="false" ht="12.75" hidden="false" customHeight="true" outlineLevel="0" collapsed="false">
      <c r="B943" s="119" t="n">
        <f aca="false">ROW()-4</f>
        <v>939</v>
      </c>
      <c r="C943" s="120" t="n">
        <f aca="false">COUNTIFS($D$5:D943,D943)</f>
        <v>79</v>
      </c>
      <c r="D943" s="121" t="s">
        <v>1814</v>
      </c>
      <c r="E943" s="122" t="s">
        <v>1967</v>
      </c>
      <c r="F943" s="123" t="n">
        <v>45673</v>
      </c>
      <c r="G943" s="121" t="s">
        <v>26</v>
      </c>
      <c r="H94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A0939</v>
      </c>
      <c r="I94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B0939</v>
      </c>
      <c r="J943" s="122" t="s">
        <v>1968</v>
      </c>
      <c r="K94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C0939</v>
      </c>
      <c r="L94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D0939</v>
      </c>
      <c r="M94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E0939</v>
      </c>
      <c r="N943" s="122" t="s">
        <v>73</v>
      </c>
      <c r="O943" s="126" t="n">
        <v>3500000</v>
      </c>
      <c r="P943" s="121" t="s">
        <v>18</v>
      </c>
      <c r="Q943" s="121" t="s">
        <v>124</v>
      </c>
      <c r="R943" s="127"/>
      <c r="T943" s="118"/>
    </row>
    <row r="944" customFormat="false" ht="12.75" hidden="false" customHeight="true" outlineLevel="0" collapsed="false">
      <c r="B944" s="119" t="n">
        <f aca="false">ROW()-4</f>
        <v>940</v>
      </c>
      <c r="C944" s="120" t="n">
        <f aca="false">COUNTIFS($D$5:D944,D944)</f>
        <v>80</v>
      </c>
      <c r="D944" s="121" t="s">
        <v>1814</v>
      </c>
      <c r="E944" s="122" t="s">
        <v>1969</v>
      </c>
      <c r="F944" s="123" t="n">
        <v>45989</v>
      </c>
      <c r="G944" s="121" t="s">
        <v>26</v>
      </c>
      <c r="H94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A0940</v>
      </c>
      <c r="I94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B0940</v>
      </c>
      <c r="J944" s="122" t="s">
        <v>1970</v>
      </c>
      <c r="K94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C0940</v>
      </c>
      <c r="L94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D0940</v>
      </c>
      <c r="M94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E0940</v>
      </c>
      <c r="N944" s="122" t="s">
        <v>73</v>
      </c>
      <c r="O944" s="126" t="n">
        <v>3500000</v>
      </c>
      <c r="P944" s="121" t="s">
        <v>18</v>
      </c>
      <c r="Q944" s="121" t="s">
        <v>124</v>
      </c>
      <c r="R944" s="127"/>
      <c r="T944" s="118"/>
    </row>
    <row r="945" customFormat="false" ht="12.75" hidden="false" customHeight="true" outlineLevel="0" collapsed="false">
      <c r="B945" s="119" t="n">
        <f aca="false">ROW()-4</f>
        <v>941</v>
      </c>
      <c r="C945" s="120" t="n">
        <f aca="false">COUNTIFS($D$5:D945,D945)</f>
        <v>81</v>
      </c>
      <c r="D945" s="121" t="s">
        <v>1814</v>
      </c>
      <c r="E945" s="122" t="s">
        <v>1971</v>
      </c>
      <c r="F945" s="123" t="n">
        <v>44699</v>
      </c>
      <c r="G945" s="121" t="s">
        <v>30</v>
      </c>
      <c r="H94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A0941</v>
      </c>
      <c r="I94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B0941</v>
      </c>
      <c r="J945" s="122" t="s">
        <v>1972</v>
      </c>
      <c r="K94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C0941</v>
      </c>
      <c r="L94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D0941</v>
      </c>
      <c r="M94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E0941</v>
      </c>
      <c r="N945" s="122" t="s">
        <v>73</v>
      </c>
      <c r="O945" s="126" t="n">
        <v>3500000</v>
      </c>
      <c r="P945" s="121" t="s">
        <v>18</v>
      </c>
      <c r="Q945" s="121" t="s">
        <v>124</v>
      </c>
      <c r="R945" s="127"/>
      <c r="T945" s="118"/>
    </row>
    <row r="946" customFormat="false" ht="12.75" hidden="false" customHeight="true" outlineLevel="0" collapsed="false">
      <c r="B946" s="119" t="n">
        <f aca="false">ROW()-4</f>
        <v>942</v>
      </c>
      <c r="C946" s="120" t="n">
        <f aca="false">COUNTIFS($D$5:D946,D946)</f>
        <v>82</v>
      </c>
      <c r="D946" s="121" t="s">
        <v>1814</v>
      </c>
      <c r="E946" s="122" t="s">
        <v>1973</v>
      </c>
      <c r="F946" s="123" t="n">
        <v>44699</v>
      </c>
      <c r="G946" s="121" t="s">
        <v>30</v>
      </c>
      <c r="H94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A0942</v>
      </c>
      <c r="I94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B0942</v>
      </c>
      <c r="J946" s="122" t="s">
        <v>1974</v>
      </c>
      <c r="K94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C0942</v>
      </c>
      <c r="L94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D0942</v>
      </c>
      <c r="M94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E0942</v>
      </c>
      <c r="N946" s="122" t="s">
        <v>73</v>
      </c>
      <c r="O946" s="126" t="n">
        <v>3500000</v>
      </c>
      <c r="P946" s="121" t="s">
        <v>18</v>
      </c>
      <c r="Q946" s="121" t="s">
        <v>124</v>
      </c>
      <c r="R946" s="127"/>
      <c r="T946" s="118"/>
    </row>
    <row r="947" customFormat="false" ht="12.75" hidden="false" customHeight="true" outlineLevel="0" collapsed="false">
      <c r="B947" s="119" t="n">
        <f aca="false">ROW()-4</f>
        <v>943</v>
      </c>
      <c r="C947" s="120" t="n">
        <f aca="false">COUNTIFS($D$5:D947,D947)</f>
        <v>83</v>
      </c>
      <c r="D947" s="121" t="s">
        <v>1814</v>
      </c>
      <c r="E947" s="122" t="s">
        <v>1975</v>
      </c>
      <c r="F947" s="123" t="n">
        <v>45660</v>
      </c>
      <c r="G947" s="121" t="s">
        <v>24</v>
      </c>
      <c r="H94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A0943</v>
      </c>
      <c r="I94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B0943</v>
      </c>
      <c r="J947" s="122" t="s">
        <v>1976</v>
      </c>
      <c r="K94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C0943</v>
      </c>
      <c r="L94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D0943</v>
      </c>
      <c r="M94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E0943</v>
      </c>
      <c r="N947" s="122" t="s">
        <v>73</v>
      </c>
      <c r="O947" s="126" t="n">
        <v>3500000</v>
      </c>
      <c r="P947" s="121" t="s">
        <v>18</v>
      </c>
      <c r="Q947" s="121" t="s">
        <v>124</v>
      </c>
      <c r="R947" s="127"/>
      <c r="T947" s="118"/>
    </row>
    <row r="948" customFormat="false" ht="12.75" hidden="false" customHeight="true" outlineLevel="0" collapsed="false">
      <c r="B948" s="119" t="n">
        <f aca="false">ROW()-4</f>
        <v>944</v>
      </c>
      <c r="C948" s="120" t="n">
        <f aca="false">COUNTIFS($D$5:D948,D948)</f>
        <v>84</v>
      </c>
      <c r="D948" s="121" t="s">
        <v>1814</v>
      </c>
      <c r="E948" s="122" t="s">
        <v>1977</v>
      </c>
      <c r="F948" s="123" t="n">
        <v>44929</v>
      </c>
      <c r="G948" s="121" t="s">
        <v>22</v>
      </c>
      <c r="H94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A0944</v>
      </c>
      <c r="I94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B0944</v>
      </c>
      <c r="J948" s="122" t="s">
        <v>1978</v>
      </c>
      <c r="K94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C0944</v>
      </c>
      <c r="L94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D0944</v>
      </c>
      <c r="M94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E0944</v>
      </c>
      <c r="N948" s="122" t="s">
        <v>73</v>
      </c>
      <c r="O948" s="126" t="n">
        <v>3500000</v>
      </c>
      <c r="P948" s="121" t="s">
        <v>18</v>
      </c>
      <c r="Q948" s="121" t="s">
        <v>124</v>
      </c>
      <c r="R948" s="127"/>
      <c r="T948" s="118"/>
    </row>
    <row r="949" customFormat="false" ht="12.75" hidden="false" customHeight="true" outlineLevel="0" collapsed="false">
      <c r="B949" s="119" t="n">
        <f aca="false">ROW()-4</f>
        <v>945</v>
      </c>
      <c r="C949" s="120" t="n">
        <f aca="false">COUNTIFS($D$5:D949,D949)</f>
        <v>85</v>
      </c>
      <c r="D949" s="121" t="s">
        <v>1814</v>
      </c>
      <c r="E949" s="122" t="s">
        <v>1979</v>
      </c>
      <c r="F949" s="123"/>
      <c r="G949" s="121" t="s">
        <v>210</v>
      </c>
      <c r="H949" s="122"/>
      <c r="I949" s="122"/>
      <c r="J949" s="122"/>
      <c r="K949" s="122"/>
      <c r="L949" s="125"/>
      <c r="M94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E0945</v>
      </c>
      <c r="N949" s="122" t="s">
        <v>73</v>
      </c>
      <c r="O949" s="126" t="n">
        <v>3500000</v>
      </c>
      <c r="P949" s="121" t="s">
        <v>19</v>
      </c>
      <c r="Q949" s="122"/>
      <c r="R949" s="128" t="s">
        <v>59</v>
      </c>
      <c r="T949" s="118"/>
    </row>
    <row r="950" customFormat="false" ht="12.75" hidden="false" customHeight="true" outlineLevel="0" collapsed="false">
      <c r="B950" s="119" t="n">
        <f aca="false">ROW()-4</f>
        <v>946</v>
      </c>
      <c r="C950" s="120" t="n">
        <f aca="false">COUNTIFS($D$5:D950,D950)</f>
        <v>86</v>
      </c>
      <c r="D950" s="121" t="s">
        <v>1814</v>
      </c>
      <c r="E950" s="122" t="s">
        <v>1980</v>
      </c>
      <c r="F950" s="123"/>
      <c r="G950" s="121" t="s">
        <v>210</v>
      </c>
      <c r="H950" s="122"/>
      <c r="I950" s="122"/>
      <c r="J950" s="122"/>
      <c r="K950" s="122"/>
      <c r="L950" s="125"/>
      <c r="M95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E0946</v>
      </c>
      <c r="N950" s="122" t="s">
        <v>73</v>
      </c>
      <c r="O950" s="126" t="n">
        <v>3500000</v>
      </c>
      <c r="P950" s="121" t="s">
        <v>19</v>
      </c>
      <c r="Q950" s="122"/>
      <c r="R950" s="128" t="s">
        <v>59</v>
      </c>
      <c r="T950" s="118"/>
    </row>
    <row r="951" customFormat="false" ht="12.75" hidden="false" customHeight="true" outlineLevel="0" collapsed="false">
      <c r="B951" s="119" t="n">
        <f aca="false">ROW()-4</f>
        <v>947</v>
      </c>
      <c r="C951" s="120" t="n">
        <f aca="false">COUNTIFS($D$5:D951,D951)</f>
        <v>87</v>
      </c>
      <c r="D951" s="121" t="s">
        <v>1814</v>
      </c>
      <c r="E951" s="122" t="s">
        <v>1981</v>
      </c>
      <c r="F951" s="123" t="n">
        <v>44400</v>
      </c>
      <c r="G951" s="121" t="s">
        <v>22</v>
      </c>
      <c r="H95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A0947</v>
      </c>
      <c r="I95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B0947</v>
      </c>
      <c r="J951" s="122" t="s">
        <v>1982</v>
      </c>
      <c r="K95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C0947</v>
      </c>
      <c r="L95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D0947</v>
      </c>
      <c r="M95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E0947</v>
      </c>
      <c r="N951" s="122" t="s">
        <v>73</v>
      </c>
      <c r="O951" s="126" t="n">
        <v>3500000</v>
      </c>
      <c r="P951" s="121" t="s">
        <v>18</v>
      </c>
      <c r="Q951" s="121" t="s">
        <v>124</v>
      </c>
      <c r="R951" s="127"/>
      <c r="T951" s="118"/>
    </row>
    <row r="952" customFormat="false" ht="12.75" hidden="false" customHeight="true" outlineLevel="0" collapsed="false">
      <c r="B952" s="119" t="n">
        <f aca="false">ROW()-4</f>
        <v>948</v>
      </c>
      <c r="C952" s="120" t="n">
        <f aca="false">COUNTIFS($D$5:D952,D952)</f>
        <v>88</v>
      </c>
      <c r="D952" s="121" t="s">
        <v>1814</v>
      </c>
      <c r="E952" s="122" t="s">
        <v>1983</v>
      </c>
      <c r="F952" s="123" t="n">
        <v>45812</v>
      </c>
      <c r="G952" s="121" t="s">
        <v>22</v>
      </c>
      <c r="H95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A0948</v>
      </c>
      <c r="I95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B0948</v>
      </c>
      <c r="J952" s="122" t="s">
        <v>1984</v>
      </c>
      <c r="K95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C0948</v>
      </c>
      <c r="L95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D0948</v>
      </c>
      <c r="M95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E0948</v>
      </c>
      <c r="N952" s="122" t="s">
        <v>73</v>
      </c>
      <c r="O952" s="126" t="n">
        <v>3500000</v>
      </c>
      <c r="P952" s="121" t="s">
        <v>18</v>
      </c>
      <c r="Q952" s="121" t="s">
        <v>124</v>
      </c>
      <c r="R952" s="127"/>
      <c r="T952" s="118"/>
    </row>
    <row r="953" customFormat="false" ht="12.75" hidden="false" customHeight="true" outlineLevel="0" collapsed="false">
      <c r="B953" s="119" t="n">
        <f aca="false">ROW()-4</f>
        <v>949</v>
      </c>
      <c r="C953" s="120" t="n">
        <f aca="false">COUNTIFS($D$5:D953,D953)</f>
        <v>89</v>
      </c>
      <c r="D953" s="121" t="s">
        <v>1814</v>
      </c>
      <c r="E953" s="122" t="s">
        <v>1985</v>
      </c>
      <c r="F953" s="123" t="n">
        <v>45470</v>
      </c>
      <c r="G953" s="121" t="s">
        <v>22</v>
      </c>
      <c r="H95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A0949</v>
      </c>
      <c r="I95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B0949</v>
      </c>
      <c r="J953" s="122" t="s">
        <v>1986</v>
      </c>
      <c r="K95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C0949</v>
      </c>
      <c r="L95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D0949</v>
      </c>
      <c r="M95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E0949</v>
      </c>
      <c r="N953" s="122" t="s">
        <v>73</v>
      </c>
      <c r="O953" s="126" t="n">
        <v>3500000</v>
      </c>
      <c r="P953" s="121" t="s">
        <v>18</v>
      </c>
      <c r="Q953" s="121" t="s">
        <v>124</v>
      </c>
      <c r="R953" s="127"/>
      <c r="T953" s="118"/>
    </row>
    <row r="954" customFormat="false" ht="12.75" hidden="false" customHeight="true" outlineLevel="0" collapsed="false">
      <c r="B954" s="119" t="n">
        <f aca="false">ROW()-4</f>
        <v>950</v>
      </c>
      <c r="C954" s="120" t="n">
        <f aca="false">COUNTIFS($D$5:D954,D954)</f>
        <v>90</v>
      </c>
      <c r="D954" s="121" t="s">
        <v>1814</v>
      </c>
      <c r="E954" s="122" t="s">
        <v>1987</v>
      </c>
      <c r="F954" s="123" t="n">
        <v>45637</v>
      </c>
      <c r="G954" s="121" t="s">
        <v>28</v>
      </c>
      <c r="H95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A0950</v>
      </c>
      <c r="I95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B0950</v>
      </c>
      <c r="J954" s="122" t="s">
        <v>1988</v>
      </c>
      <c r="K95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C0950</v>
      </c>
      <c r="L95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D0950</v>
      </c>
      <c r="M95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E0950</v>
      </c>
      <c r="N954" s="122" t="s">
        <v>73</v>
      </c>
      <c r="O954" s="126" t="n">
        <v>3500000</v>
      </c>
      <c r="P954" s="121" t="s">
        <v>18</v>
      </c>
      <c r="Q954" s="121" t="s">
        <v>124</v>
      </c>
      <c r="R954" s="127"/>
      <c r="T954" s="118"/>
    </row>
    <row r="955" customFormat="false" ht="12.75" hidden="false" customHeight="true" outlineLevel="0" collapsed="false">
      <c r="B955" s="119" t="n">
        <f aca="false">ROW()-4</f>
        <v>951</v>
      </c>
      <c r="C955" s="120" t="n">
        <f aca="false">COUNTIFS($D$5:D955,D955)</f>
        <v>91</v>
      </c>
      <c r="D955" s="121" t="s">
        <v>1814</v>
      </c>
      <c r="E955" s="122" t="s">
        <v>1989</v>
      </c>
      <c r="F955" s="123" t="n">
        <v>45916</v>
      </c>
      <c r="G955" s="121" t="s">
        <v>28</v>
      </c>
      <c r="H95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A0951</v>
      </c>
      <c r="I95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B0951</v>
      </c>
      <c r="J955" s="122" t="s">
        <v>1990</v>
      </c>
      <c r="K95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C0951</v>
      </c>
      <c r="L95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D0951</v>
      </c>
      <c r="M95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E0951</v>
      </c>
      <c r="N955" s="122" t="s">
        <v>73</v>
      </c>
      <c r="O955" s="126" t="n">
        <v>3500000</v>
      </c>
      <c r="P955" s="121" t="s">
        <v>18</v>
      </c>
      <c r="Q955" s="121" t="s">
        <v>124</v>
      </c>
      <c r="R955" s="127"/>
      <c r="T955" s="118"/>
    </row>
    <row r="956" customFormat="false" ht="12.75" hidden="false" customHeight="true" outlineLevel="0" collapsed="false">
      <c r="B956" s="119" t="n">
        <f aca="false">ROW()-4</f>
        <v>952</v>
      </c>
      <c r="C956" s="120" t="n">
        <f aca="false">COUNTIFS($D$5:D956,D956)</f>
        <v>92</v>
      </c>
      <c r="D956" s="121" t="s">
        <v>1814</v>
      </c>
      <c r="E956" s="122" t="s">
        <v>1991</v>
      </c>
      <c r="F956" s="123" t="n">
        <v>45533</v>
      </c>
      <c r="G956" s="121" t="s">
        <v>24</v>
      </c>
      <c r="H95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A0952</v>
      </c>
      <c r="I95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B0952</v>
      </c>
      <c r="J956" s="122" t="s">
        <v>1992</v>
      </c>
      <c r="K95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C0952</v>
      </c>
      <c r="L95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D0952</v>
      </c>
      <c r="M95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E0952</v>
      </c>
      <c r="N956" s="122" t="s">
        <v>73</v>
      </c>
      <c r="O956" s="126" t="n">
        <v>3500000</v>
      </c>
      <c r="P956" s="121" t="s">
        <v>18</v>
      </c>
      <c r="Q956" s="121" t="s">
        <v>124</v>
      </c>
      <c r="R956" s="127"/>
      <c r="T956" s="118"/>
    </row>
    <row r="957" customFormat="false" ht="12.75" hidden="false" customHeight="true" outlineLevel="0" collapsed="false">
      <c r="B957" s="119" t="n">
        <f aca="false">ROW()-4</f>
        <v>953</v>
      </c>
      <c r="C957" s="120" t="n">
        <f aca="false">COUNTIFS($D$5:D957,D957)</f>
        <v>93</v>
      </c>
      <c r="D957" s="121" t="s">
        <v>1814</v>
      </c>
      <c r="E957" s="122" t="s">
        <v>1993</v>
      </c>
      <c r="F957" s="123" t="n">
        <v>45596</v>
      </c>
      <c r="G957" s="121" t="s">
        <v>28</v>
      </c>
      <c r="H95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A0953</v>
      </c>
      <c r="I95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B0953</v>
      </c>
      <c r="J957" s="122" t="s">
        <v>1994</v>
      </c>
      <c r="K95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C0953</v>
      </c>
      <c r="L95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D0953</v>
      </c>
      <c r="M95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E0953</v>
      </c>
      <c r="N957" s="122" t="s">
        <v>73</v>
      </c>
      <c r="O957" s="126" t="n">
        <v>3500000</v>
      </c>
      <c r="P957" s="121" t="s">
        <v>18</v>
      </c>
      <c r="Q957" s="121" t="s">
        <v>124</v>
      </c>
      <c r="R957" s="127"/>
      <c r="T957" s="118"/>
    </row>
    <row r="958" customFormat="false" ht="12.75" hidden="false" customHeight="true" outlineLevel="0" collapsed="false">
      <c r="B958" s="119" t="n">
        <f aca="false">ROW()-4</f>
        <v>954</v>
      </c>
      <c r="C958" s="120" t="n">
        <f aca="false">COUNTIFS($D$5:D958,D958)</f>
        <v>94</v>
      </c>
      <c r="D958" s="121" t="s">
        <v>1814</v>
      </c>
      <c r="E958" s="122" t="s">
        <v>1995</v>
      </c>
      <c r="F958" s="123" t="n">
        <v>45604</v>
      </c>
      <c r="G958" s="121" t="s">
        <v>28</v>
      </c>
      <c r="H95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A0954</v>
      </c>
      <c r="I95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B0954</v>
      </c>
      <c r="J958" s="122" t="s">
        <v>1996</v>
      </c>
      <c r="K95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C0954</v>
      </c>
      <c r="L95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D0954</v>
      </c>
      <c r="M95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E0954</v>
      </c>
      <c r="N958" s="122" t="s">
        <v>73</v>
      </c>
      <c r="O958" s="126" t="n">
        <v>3500000</v>
      </c>
      <c r="P958" s="121" t="s">
        <v>18</v>
      </c>
      <c r="Q958" s="121" t="s">
        <v>124</v>
      </c>
      <c r="R958" s="127"/>
      <c r="T958" s="118"/>
    </row>
    <row r="959" customFormat="false" ht="12.75" hidden="false" customHeight="true" outlineLevel="0" collapsed="false">
      <c r="B959" s="119" t="n">
        <f aca="false">ROW()-4</f>
        <v>955</v>
      </c>
      <c r="C959" s="120" t="n">
        <f aca="false">COUNTIFS($D$5:D959,D959)</f>
        <v>95</v>
      </c>
      <c r="D959" s="121" t="s">
        <v>1814</v>
      </c>
      <c r="E959" s="122" t="s">
        <v>1997</v>
      </c>
      <c r="F959" s="123" t="n">
        <v>45615</v>
      </c>
      <c r="G959" s="121" t="s">
        <v>28</v>
      </c>
      <c r="H95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A0955</v>
      </c>
      <c r="I95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B0955</v>
      </c>
      <c r="J959" s="122" t="s">
        <v>1998</v>
      </c>
      <c r="K95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C0955</v>
      </c>
      <c r="L95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D0955</v>
      </c>
      <c r="M95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E0955</v>
      </c>
      <c r="N959" s="122" t="s">
        <v>73</v>
      </c>
      <c r="O959" s="126" t="n">
        <v>3500000</v>
      </c>
      <c r="P959" s="121" t="s">
        <v>18</v>
      </c>
      <c r="Q959" s="121" t="s">
        <v>124</v>
      </c>
      <c r="R959" s="127"/>
      <c r="T959" s="118"/>
    </row>
    <row r="960" s="118" customFormat="true" ht="12.75" hidden="false" customHeight="true" outlineLevel="0" collapsed="false">
      <c r="A960" s="98"/>
      <c r="B960" s="119" t="n">
        <f aca="false">ROW()-4</f>
        <v>956</v>
      </c>
      <c r="C960" s="120" t="n">
        <f aca="false">COUNTIFS($D$5:D960,D960)</f>
        <v>96</v>
      </c>
      <c r="D960" s="121" t="s">
        <v>1814</v>
      </c>
      <c r="E960" s="122" t="s">
        <v>1999</v>
      </c>
      <c r="F960" s="123" t="n">
        <v>45615</v>
      </c>
      <c r="G960" s="121" t="s">
        <v>28</v>
      </c>
      <c r="H96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A0956</v>
      </c>
      <c r="I96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B0956</v>
      </c>
      <c r="J960" s="122" t="s">
        <v>2000</v>
      </c>
      <c r="K96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C0956</v>
      </c>
      <c r="L96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D0956</v>
      </c>
      <c r="M96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E0956</v>
      </c>
      <c r="N960" s="122" t="s">
        <v>73</v>
      </c>
      <c r="O960" s="126" t="n">
        <v>3500000</v>
      </c>
      <c r="P960" s="121" t="s">
        <v>18</v>
      </c>
      <c r="Q960" s="121" t="s">
        <v>124</v>
      </c>
      <c r="R960" s="127"/>
    </row>
    <row r="961" customFormat="false" ht="12.75" hidden="false" customHeight="true" outlineLevel="0" collapsed="false">
      <c r="B961" s="119" t="n">
        <f aca="false">ROW()-4</f>
        <v>957</v>
      </c>
      <c r="C961" s="120" t="n">
        <f aca="false">COUNTIFS($D$5:D961,D961)</f>
        <v>97</v>
      </c>
      <c r="D961" s="121" t="s">
        <v>1814</v>
      </c>
      <c r="E961" s="122" t="s">
        <v>2001</v>
      </c>
      <c r="F961" s="123"/>
      <c r="G961" s="121" t="s">
        <v>210</v>
      </c>
      <c r="H961" s="122"/>
      <c r="I961" s="122"/>
      <c r="J961" s="122"/>
      <c r="K961" s="122"/>
      <c r="L961" s="125"/>
      <c r="M96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E0957</v>
      </c>
      <c r="N961" s="122" t="s">
        <v>73</v>
      </c>
      <c r="O961" s="126" t="n">
        <v>3500000</v>
      </c>
      <c r="P961" s="121" t="s">
        <v>19</v>
      </c>
      <c r="Q961" s="122"/>
      <c r="R961" s="128" t="s">
        <v>59</v>
      </c>
      <c r="T961" s="118"/>
    </row>
    <row r="962" customFormat="false" ht="12.75" hidden="false" customHeight="true" outlineLevel="0" collapsed="false">
      <c r="B962" s="119" t="n">
        <f aca="false">ROW()-4</f>
        <v>958</v>
      </c>
      <c r="C962" s="120" t="n">
        <f aca="false">COUNTIFS($D$5:D962,D962)</f>
        <v>98</v>
      </c>
      <c r="D962" s="121" t="s">
        <v>1814</v>
      </c>
      <c r="E962" s="122" t="s">
        <v>2002</v>
      </c>
      <c r="F962" s="123" t="n">
        <v>45678</v>
      </c>
      <c r="G962" s="121" t="s">
        <v>22</v>
      </c>
      <c r="H96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A0958</v>
      </c>
      <c r="I96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B0958</v>
      </c>
      <c r="J962" s="122" t="s">
        <v>2003</v>
      </c>
      <c r="K96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C0958</v>
      </c>
      <c r="L96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D0958</v>
      </c>
      <c r="M96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E0958</v>
      </c>
      <c r="N962" s="122" t="s">
        <v>73</v>
      </c>
      <c r="O962" s="126" t="n">
        <v>3500000</v>
      </c>
      <c r="P962" s="121" t="s">
        <v>18</v>
      </c>
      <c r="Q962" s="121" t="s">
        <v>124</v>
      </c>
      <c r="R962" s="127"/>
      <c r="T962" s="118"/>
    </row>
    <row r="963" customFormat="false" ht="12.75" hidden="false" customHeight="true" outlineLevel="0" collapsed="false">
      <c r="B963" s="129" t="n">
        <f aca="false">ROW()-4</f>
        <v>959</v>
      </c>
      <c r="C963" s="130" t="n">
        <f aca="false">COUNTIFS($D$5:D963,D963)</f>
        <v>99</v>
      </c>
      <c r="D963" s="131" t="s">
        <v>1814</v>
      </c>
      <c r="E963" s="132" t="s">
        <v>2004</v>
      </c>
      <c r="F963" s="133" t="n">
        <v>45672</v>
      </c>
      <c r="G963" s="131" t="s">
        <v>22</v>
      </c>
      <c r="H963" s="13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A0959</v>
      </c>
      <c r="I963" s="13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B0959</v>
      </c>
      <c r="J963" s="132" t="s">
        <v>2005</v>
      </c>
      <c r="K963" s="13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C0959</v>
      </c>
      <c r="L963" s="134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D0959</v>
      </c>
      <c r="M963" s="13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E0959</v>
      </c>
      <c r="N963" s="132" t="s">
        <v>73</v>
      </c>
      <c r="O963" s="135" t="n">
        <v>3500000</v>
      </c>
      <c r="P963" s="131" t="s">
        <v>18</v>
      </c>
      <c r="Q963" s="131" t="s">
        <v>124</v>
      </c>
      <c r="R963" s="136"/>
      <c r="T963" s="118"/>
    </row>
    <row r="964" customFormat="false" ht="12.75" hidden="false" customHeight="true" outlineLevel="0" collapsed="false">
      <c r="B964" s="110" t="n">
        <f aca="false">ROW()-4</f>
        <v>960</v>
      </c>
      <c r="C964" s="111" t="n">
        <f aca="false">COUNTIFS($D$5:D964,D964)</f>
        <v>1</v>
      </c>
      <c r="D964" s="112" t="s">
        <v>2006</v>
      </c>
      <c r="E964" s="113" t="s">
        <v>2007</v>
      </c>
      <c r="F964" s="114" t="n">
        <v>44419</v>
      </c>
      <c r="G964" s="112" t="s">
        <v>24</v>
      </c>
      <c r="H964" s="11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A0960</v>
      </c>
      <c r="I964" s="11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B0960</v>
      </c>
      <c r="J964" s="113" t="s">
        <v>2008</v>
      </c>
      <c r="K964" s="11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C0960</v>
      </c>
      <c r="L964" s="11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D0960</v>
      </c>
      <c r="M964" s="11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E0960</v>
      </c>
      <c r="N964" s="113" t="s">
        <v>73</v>
      </c>
      <c r="O964" s="116" t="n">
        <v>3500000</v>
      </c>
      <c r="P964" s="112" t="s">
        <v>18</v>
      </c>
      <c r="Q964" s="112" t="s">
        <v>124</v>
      </c>
      <c r="R964" s="117"/>
      <c r="T964" s="118"/>
    </row>
    <row r="965" customFormat="false" ht="12.75" hidden="false" customHeight="true" outlineLevel="0" collapsed="false">
      <c r="B965" s="119" t="n">
        <f aca="false">ROW()-4</f>
        <v>961</v>
      </c>
      <c r="C965" s="120" t="n">
        <f aca="false">COUNTIFS($D$5:D965,D965)</f>
        <v>2</v>
      </c>
      <c r="D965" s="121" t="s">
        <v>2006</v>
      </c>
      <c r="E965" s="122" t="s">
        <v>2009</v>
      </c>
      <c r="F965" s="123" t="n">
        <v>44663</v>
      </c>
      <c r="G965" s="121" t="s">
        <v>26</v>
      </c>
      <c r="H96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A0961</v>
      </c>
      <c r="I96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B0961</v>
      </c>
      <c r="J965" s="122" t="s">
        <v>2010</v>
      </c>
      <c r="K96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C0961</v>
      </c>
      <c r="L96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D0961</v>
      </c>
      <c r="M96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E0961</v>
      </c>
      <c r="N965" s="122" t="s">
        <v>73</v>
      </c>
      <c r="O965" s="126" t="n">
        <v>3500000</v>
      </c>
      <c r="P965" s="121" t="s">
        <v>18</v>
      </c>
      <c r="Q965" s="121" t="s">
        <v>124</v>
      </c>
      <c r="R965" s="127"/>
      <c r="T965" s="118"/>
    </row>
    <row r="966" customFormat="false" ht="12.75" hidden="false" customHeight="true" outlineLevel="0" collapsed="false">
      <c r="B966" s="119" t="n">
        <f aca="false">ROW()-4</f>
        <v>962</v>
      </c>
      <c r="C966" s="120" t="n">
        <f aca="false">COUNTIFS($D$5:D966,D966)</f>
        <v>3</v>
      </c>
      <c r="D966" s="121" t="s">
        <v>2006</v>
      </c>
      <c r="E966" s="122" t="s">
        <v>2011</v>
      </c>
      <c r="F966" s="123" t="n">
        <v>45523</v>
      </c>
      <c r="G966" s="121" t="s">
        <v>26</v>
      </c>
      <c r="H96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A0962</v>
      </c>
      <c r="I96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B0962</v>
      </c>
      <c r="J966" s="122" t="s">
        <v>2012</v>
      </c>
      <c r="K96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C0962</v>
      </c>
      <c r="L96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D0962</v>
      </c>
      <c r="M96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E0962</v>
      </c>
      <c r="N966" s="122" t="s">
        <v>73</v>
      </c>
      <c r="O966" s="126" t="n">
        <v>3500000</v>
      </c>
      <c r="P966" s="121" t="s">
        <v>18</v>
      </c>
      <c r="Q966" s="121" t="s">
        <v>124</v>
      </c>
      <c r="R966" s="127"/>
      <c r="T966" s="118"/>
    </row>
    <row r="967" customFormat="false" ht="12.75" hidden="false" customHeight="true" outlineLevel="0" collapsed="false">
      <c r="B967" s="119" t="n">
        <f aca="false">ROW()-4</f>
        <v>963</v>
      </c>
      <c r="C967" s="120" t="n">
        <f aca="false">COUNTIFS($D$5:D967,D967)</f>
        <v>4</v>
      </c>
      <c r="D967" s="121" t="s">
        <v>2006</v>
      </c>
      <c r="E967" s="122" t="s">
        <v>2013</v>
      </c>
      <c r="F967" s="123" t="n">
        <v>45579</v>
      </c>
      <c r="G967" s="121" t="s">
        <v>30</v>
      </c>
      <c r="H96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A0963</v>
      </c>
      <c r="I96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B0963</v>
      </c>
      <c r="J967" s="122" t="s">
        <v>2014</v>
      </c>
      <c r="K96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C0963</v>
      </c>
      <c r="L96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D0963</v>
      </c>
      <c r="M96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E0963</v>
      </c>
      <c r="N967" s="122" t="s">
        <v>73</v>
      </c>
      <c r="O967" s="126" t="n">
        <v>3500000</v>
      </c>
      <c r="P967" s="121" t="s">
        <v>18</v>
      </c>
      <c r="Q967" s="121" t="s">
        <v>124</v>
      </c>
      <c r="R967" s="127"/>
      <c r="T967" s="118"/>
    </row>
    <row r="968" customFormat="false" ht="12.75" hidden="false" customHeight="true" outlineLevel="0" collapsed="false">
      <c r="B968" s="119" t="n">
        <f aca="false">ROW()-4</f>
        <v>964</v>
      </c>
      <c r="C968" s="120" t="n">
        <f aca="false">COUNTIFS($D$5:D968,D968)</f>
        <v>5</v>
      </c>
      <c r="D968" s="121" t="s">
        <v>2006</v>
      </c>
      <c r="E968" s="122" t="s">
        <v>2015</v>
      </c>
      <c r="F968" s="123" t="n">
        <v>45434</v>
      </c>
      <c r="G968" s="121" t="s">
        <v>26</v>
      </c>
      <c r="H96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A0964</v>
      </c>
      <c r="I96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B0964</v>
      </c>
      <c r="J968" s="122" t="s">
        <v>2016</v>
      </c>
      <c r="K96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C0964</v>
      </c>
      <c r="L96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D0964</v>
      </c>
      <c r="M96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E0964</v>
      </c>
      <c r="N968" s="122" t="s">
        <v>73</v>
      </c>
      <c r="O968" s="126" t="n">
        <v>3500000</v>
      </c>
      <c r="P968" s="121" t="s">
        <v>18</v>
      </c>
      <c r="Q968" s="121" t="s">
        <v>124</v>
      </c>
      <c r="R968" s="127"/>
      <c r="T968" s="118"/>
    </row>
    <row r="969" customFormat="false" ht="12.75" hidden="false" customHeight="true" outlineLevel="0" collapsed="false">
      <c r="B969" s="119" t="n">
        <f aca="false">ROW()-4</f>
        <v>965</v>
      </c>
      <c r="C969" s="120" t="n">
        <f aca="false">COUNTIFS($D$5:D969,D969)</f>
        <v>6</v>
      </c>
      <c r="D969" s="121" t="s">
        <v>2006</v>
      </c>
      <c r="E969" s="122" t="s">
        <v>2017</v>
      </c>
      <c r="F969" s="123" t="n">
        <v>45476</v>
      </c>
      <c r="G969" s="121" t="s">
        <v>26</v>
      </c>
      <c r="H96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A0965</v>
      </c>
      <c r="I96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B0965</v>
      </c>
      <c r="J969" s="122" t="s">
        <v>2018</v>
      </c>
      <c r="K96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C0965</v>
      </c>
      <c r="L96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D0965</v>
      </c>
      <c r="M96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E0965</v>
      </c>
      <c r="N969" s="122" t="s">
        <v>73</v>
      </c>
      <c r="O969" s="126" t="n">
        <v>3500000</v>
      </c>
      <c r="P969" s="121" t="s">
        <v>18</v>
      </c>
      <c r="Q969" s="121" t="s">
        <v>124</v>
      </c>
      <c r="R969" s="127"/>
      <c r="T969" s="118"/>
    </row>
    <row r="970" customFormat="false" ht="12.75" hidden="false" customHeight="true" outlineLevel="0" collapsed="false">
      <c r="B970" s="119" t="n">
        <f aca="false">ROW()-4</f>
        <v>966</v>
      </c>
      <c r="C970" s="120" t="n">
        <f aca="false">COUNTIFS($D$5:D970,D970)</f>
        <v>7</v>
      </c>
      <c r="D970" s="121" t="s">
        <v>2006</v>
      </c>
      <c r="E970" s="122" t="s">
        <v>2019</v>
      </c>
      <c r="F970" s="123" t="n">
        <v>44539</v>
      </c>
      <c r="G970" s="121" t="s">
        <v>22</v>
      </c>
      <c r="H97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A0966</v>
      </c>
      <c r="I97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B0966</v>
      </c>
      <c r="J970" s="122" t="s">
        <v>2020</v>
      </c>
      <c r="K97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C0966</v>
      </c>
      <c r="L97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D0966</v>
      </c>
      <c r="M97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E0966</v>
      </c>
      <c r="N970" s="122" t="s">
        <v>73</v>
      </c>
      <c r="O970" s="126" t="n">
        <v>3500000</v>
      </c>
      <c r="P970" s="121" t="s">
        <v>18</v>
      </c>
      <c r="Q970" s="121" t="s">
        <v>124</v>
      </c>
      <c r="R970" s="127"/>
      <c r="T970" s="118"/>
    </row>
    <row r="971" customFormat="false" ht="12.75" hidden="false" customHeight="true" outlineLevel="0" collapsed="false">
      <c r="B971" s="119" t="n">
        <f aca="false">ROW()-4</f>
        <v>967</v>
      </c>
      <c r="C971" s="120" t="n">
        <f aca="false">COUNTIFS($D$5:D971,D971)</f>
        <v>8</v>
      </c>
      <c r="D971" s="121" t="s">
        <v>2006</v>
      </c>
      <c r="E971" s="122" t="s">
        <v>2021</v>
      </c>
      <c r="F971" s="123" t="n">
        <v>44879</v>
      </c>
      <c r="G971" s="121" t="s">
        <v>22</v>
      </c>
      <c r="H97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A0967</v>
      </c>
      <c r="I97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B0967</v>
      </c>
      <c r="J971" s="122" t="s">
        <v>2022</v>
      </c>
      <c r="K97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C0967</v>
      </c>
      <c r="L97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D0967</v>
      </c>
      <c r="M97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E0967</v>
      </c>
      <c r="N971" s="122" t="s">
        <v>73</v>
      </c>
      <c r="O971" s="126" t="n">
        <v>3500000</v>
      </c>
      <c r="P971" s="121" t="s">
        <v>18</v>
      </c>
      <c r="Q971" s="121" t="s">
        <v>124</v>
      </c>
      <c r="R971" s="127"/>
      <c r="T971" s="118"/>
    </row>
    <row r="972" customFormat="false" ht="12.75" hidden="false" customHeight="true" outlineLevel="0" collapsed="false">
      <c r="B972" s="119" t="n">
        <f aca="false">ROW()-4</f>
        <v>968</v>
      </c>
      <c r="C972" s="120" t="n">
        <f aca="false">COUNTIFS($D$5:D972,D972)</f>
        <v>9</v>
      </c>
      <c r="D972" s="121" t="s">
        <v>2006</v>
      </c>
      <c r="E972" s="122" t="s">
        <v>2023</v>
      </c>
      <c r="F972" s="123"/>
      <c r="G972" s="121" t="s">
        <v>210</v>
      </c>
      <c r="H972" s="122"/>
      <c r="I972" s="122"/>
      <c r="J972" s="122"/>
      <c r="K972" s="122"/>
      <c r="L972" s="125"/>
      <c r="M97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E0968</v>
      </c>
      <c r="N972" s="122" t="s">
        <v>73</v>
      </c>
      <c r="O972" s="126" t="n">
        <v>3500000</v>
      </c>
      <c r="P972" s="121" t="s">
        <v>19</v>
      </c>
      <c r="Q972" s="122"/>
      <c r="R972" s="128" t="s">
        <v>59</v>
      </c>
      <c r="T972" s="118"/>
    </row>
    <row r="973" customFormat="false" ht="12.75" hidden="false" customHeight="true" outlineLevel="0" collapsed="false">
      <c r="B973" s="119" t="n">
        <f aca="false">ROW()-4</f>
        <v>969</v>
      </c>
      <c r="C973" s="120" t="n">
        <f aca="false">COUNTIFS($D$5:D973,D973)</f>
        <v>10</v>
      </c>
      <c r="D973" s="121" t="s">
        <v>2006</v>
      </c>
      <c r="E973" s="122" t="s">
        <v>2024</v>
      </c>
      <c r="F973" s="123"/>
      <c r="G973" s="121" t="s">
        <v>210</v>
      </c>
      <c r="H973" s="122"/>
      <c r="I973" s="122"/>
      <c r="J973" s="122"/>
      <c r="K973" s="122"/>
      <c r="L973" s="125"/>
      <c r="M97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E0969</v>
      </c>
      <c r="N973" s="122" t="s">
        <v>73</v>
      </c>
      <c r="O973" s="126" t="n">
        <v>3500000</v>
      </c>
      <c r="P973" s="121" t="s">
        <v>19</v>
      </c>
      <c r="Q973" s="122"/>
      <c r="R973" s="128" t="s">
        <v>59</v>
      </c>
      <c r="T973" s="118"/>
    </row>
    <row r="974" customFormat="false" ht="12.75" hidden="false" customHeight="true" outlineLevel="0" collapsed="false">
      <c r="B974" s="119" t="n">
        <f aca="false">ROW()-4</f>
        <v>970</v>
      </c>
      <c r="C974" s="120" t="n">
        <f aca="false">COUNTIFS($D$5:D974,D974)</f>
        <v>11</v>
      </c>
      <c r="D974" s="121" t="s">
        <v>2006</v>
      </c>
      <c r="E974" s="122" t="s">
        <v>2025</v>
      </c>
      <c r="F974" s="123" t="n">
        <v>44559</v>
      </c>
      <c r="G974" s="121" t="s">
        <v>28</v>
      </c>
      <c r="H97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A0970</v>
      </c>
      <c r="I97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B0970</v>
      </c>
      <c r="J974" s="122" t="s">
        <v>2026</v>
      </c>
      <c r="K97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C0970</v>
      </c>
      <c r="L97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D0970</v>
      </c>
      <c r="M97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E0970</v>
      </c>
      <c r="N974" s="122" t="s">
        <v>73</v>
      </c>
      <c r="O974" s="126" t="n">
        <v>3500000</v>
      </c>
      <c r="P974" s="121" t="s">
        <v>18</v>
      </c>
      <c r="Q974" s="121" t="s">
        <v>124</v>
      </c>
      <c r="R974" s="127"/>
      <c r="T974" s="118"/>
    </row>
    <row r="975" customFormat="false" ht="12.75" hidden="false" customHeight="true" outlineLevel="0" collapsed="false">
      <c r="B975" s="119" t="n">
        <f aca="false">ROW()-4</f>
        <v>971</v>
      </c>
      <c r="C975" s="120" t="n">
        <f aca="false">COUNTIFS($D$5:D975,D975)</f>
        <v>12</v>
      </c>
      <c r="D975" s="121" t="s">
        <v>2006</v>
      </c>
      <c r="E975" s="122" t="s">
        <v>2027</v>
      </c>
      <c r="F975" s="123" t="n">
        <v>44559</v>
      </c>
      <c r="G975" s="121" t="s">
        <v>28</v>
      </c>
      <c r="H97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A0971</v>
      </c>
      <c r="I97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B0971</v>
      </c>
      <c r="J975" s="122" t="s">
        <v>2028</v>
      </c>
      <c r="K97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C0971</v>
      </c>
      <c r="L97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D0971</v>
      </c>
      <c r="M97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E0971</v>
      </c>
      <c r="N975" s="122" t="s">
        <v>73</v>
      </c>
      <c r="O975" s="126" t="n">
        <v>3500000</v>
      </c>
      <c r="P975" s="121" t="s">
        <v>18</v>
      </c>
      <c r="Q975" s="121" t="s">
        <v>124</v>
      </c>
      <c r="R975" s="127"/>
      <c r="T975" s="118"/>
    </row>
    <row r="976" customFormat="false" ht="12.75" hidden="false" customHeight="true" outlineLevel="0" collapsed="false">
      <c r="B976" s="119" t="n">
        <f aca="false">ROW()-4</f>
        <v>972</v>
      </c>
      <c r="C976" s="120" t="n">
        <f aca="false">COUNTIFS($D$5:D976,D976)</f>
        <v>13</v>
      </c>
      <c r="D976" s="121" t="s">
        <v>2006</v>
      </c>
      <c r="E976" s="122" t="s">
        <v>2029</v>
      </c>
      <c r="F976" s="123" t="n">
        <v>44588</v>
      </c>
      <c r="G976" s="121" t="s">
        <v>22</v>
      </c>
      <c r="H97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A0972</v>
      </c>
      <c r="I97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B0972</v>
      </c>
      <c r="J976" s="122" t="s">
        <v>2030</v>
      </c>
      <c r="K97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C0972</v>
      </c>
      <c r="L97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D0972</v>
      </c>
      <c r="M97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E0972</v>
      </c>
      <c r="N976" s="122" t="s">
        <v>73</v>
      </c>
      <c r="O976" s="126" t="n">
        <v>3500000</v>
      </c>
      <c r="P976" s="121" t="s">
        <v>18</v>
      </c>
      <c r="Q976" s="121" t="s">
        <v>124</v>
      </c>
      <c r="R976" s="127"/>
      <c r="T976" s="118"/>
    </row>
    <row r="977" customFormat="false" ht="12.75" hidden="false" customHeight="true" outlineLevel="0" collapsed="false">
      <c r="B977" s="119" t="n">
        <f aca="false">ROW()-4</f>
        <v>973</v>
      </c>
      <c r="C977" s="120" t="n">
        <f aca="false">COUNTIFS($D$5:D977,D977)</f>
        <v>14</v>
      </c>
      <c r="D977" s="121" t="s">
        <v>2006</v>
      </c>
      <c r="E977" s="122" t="s">
        <v>2031</v>
      </c>
      <c r="F977" s="123" t="n">
        <v>45671</v>
      </c>
      <c r="G977" s="121" t="s">
        <v>22</v>
      </c>
      <c r="H97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A0973</v>
      </c>
      <c r="I97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B0973</v>
      </c>
      <c r="J977" s="122" t="s">
        <v>2032</v>
      </c>
      <c r="K97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C0973</v>
      </c>
      <c r="L97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D0973</v>
      </c>
      <c r="M97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E0973</v>
      </c>
      <c r="N977" s="122" t="s">
        <v>73</v>
      </c>
      <c r="O977" s="126" t="n">
        <v>3500000</v>
      </c>
      <c r="P977" s="121" t="s">
        <v>18</v>
      </c>
      <c r="Q977" s="121" t="s">
        <v>124</v>
      </c>
      <c r="R977" s="127"/>
      <c r="T977" s="118"/>
    </row>
    <row r="978" customFormat="false" ht="12.75" hidden="false" customHeight="true" outlineLevel="0" collapsed="false">
      <c r="B978" s="119" t="n">
        <f aca="false">ROW()-4</f>
        <v>974</v>
      </c>
      <c r="C978" s="120" t="n">
        <f aca="false">COUNTIFS($D$5:D978,D978)</f>
        <v>15</v>
      </c>
      <c r="D978" s="121" t="s">
        <v>2006</v>
      </c>
      <c r="E978" s="122" t="s">
        <v>2033</v>
      </c>
      <c r="F978" s="123" t="n">
        <v>46003</v>
      </c>
      <c r="G978" s="121" t="s">
        <v>30</v>
      </c>
      <c r="H97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A0974</v>
      </c>
      <c r="I97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B0974</v>
      </c>
      <c r="J978" s="122" t="s">
        <v>2034</v>
      </c>
      <c r="K97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C0974</v>
      </c>
      <c r="L97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D0974</v>
      </c>
      <c r="M97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E0974</v>
      </c>
      <c r="N978" s="122" t="s">
        <v>73</v>
      </c>
      <c r="O978" s="126" t="n">
        <v>3500000</v>
      </c>
      <c r="P978" s="121" t="s">
        <v>18</v>
      </c>
      <c r="Q978" s="121" t="s">
        <v>124</v>
      </c>
      <c r="R978" s="127"/>
      <c r="T978" s="118"/>
    </row>
    <row r="979" customFormat="false" ht="12.75" hidden="false" customHeight="true" outlineLevel="0" collapsed="false">
      <c r="B979" s="119" t="n">
        <f aca="false">ROW()-4</f>
        <v>975</v>
      </c>
      <c r="C979" s="120" t="n">
        <f aca="false">COUNTIFS($D$5:D979,D979)</f>
        <v>16</v>
      </c>
      <c r="D979" s="121" t="s">
        <v>2006</v>
      </c>
      <c r="E979" s="122" t="s">
        <v>2035</v>
      </c>
      <c r="F979" s="123" t="n">
        <v>45313</v>
      </c>
      <c r="G979" s="121" t="s">
        <v>28</v>
      </c>
      <c r="H97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A0975</v>
      </c>
      <c r="I97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B0975</v>
      </c>
      <c r="J979" s="122" t="s">
        <v>2036</v>
      </c>
      <c r="K97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C0975</v>
      </c>
      <c r="L97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D0975</v>
      </c>
      <c r="M97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E0975</v>
      </c>
      <c r="N979" s="122" t="s">
        <v>73</v>
      </c>
      <c r="O979" s="126" t="n">
        <v>3500000</v>
      </c>
      <c r="P979" s="121" t="s">
        <v>18</v>
      </c>
      <c r="Q979" s="121" t="s">
        <v>124</v>
      </c>
      <c r="R979" s="127"/>
      <c r="T979" s="118"/>
    </row>
    <row r="980" customFormat="false" ht="12.75" hidden="false" customHeight="true" outlineLevel="0" collapsed="false">
      <c r="B980" s="119" t="n">
        <f aca="false">ROW()-4</f>
        <v>976</v>
      </c>
      <c r="C980" s="120" t="n">
        <f aca="false">COUNTIFS($D$5:D980,D980)</f>
        <v>17</v>
      </c>
      <c r="D980" s="121" t="s">
        <v>2006</v>
      </c>
      <c r="E980" s="122" t="s">
        <v>2037</v>
      </c>
      <c r="F980" s="123" t="n">
        <v>44608</v>
      </c>
      <c r="G980" s="121" t="s">
        <v>22</v>
      </c>
      <c r="H98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A0976</v>
      </c>
      <c r="I98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B0976</v>
      </c>
      <c r="J980" s="122" t="s">
        <v>2038</v>
      </c>
      <c r="K98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C0976</v>
      </c>
      <c r="L98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D0976</v>
      </c>
      <c r="M98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E0976</v>
      </c>
      <c r="N980" s="122" t="s">
        <v>73</v>
      </c>
      <c r="O980" s="126" t="n">
        <v>3500000</v>
      </c>
      <c r="P980" s="121" t="s">
        <v>18</v>
      </c>
      <c r="Q980" s="121" t="s">
        <v>124</v>
      </c>
      <c r="R980" s="127"/>
      <c r="T980" s="118"/>
    </row>
    <row r="981" customFormat="false" ht="12.75" hidden="false" customHeight="true" outlineLevel="0" collapsed="false">
      <c r="B981" s="119" t="n">
        <f aca="false">ROW()-4</f>
        <v>977</v>
      </c>
      <c r="C981" s="120" t="n">
        <f aca="false">COUNTIFS($D$5:D981,D981)</f>
        <v>18</v>
      </c>
      <c r="D981" s="121" t="s">
        <v>2006</v>
      </c>
      <c r="E981" s="122" t="s">
        <v>2039</v>
      </c>
      <c r="F981" s="123" t="n">
        <v>44608</v>
      </c>
      <c r="G981" s="121" t="s">
        <v>22</v>
      </c>
      <c r="H98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A0977</v>
      </c>
      <c r="I98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B0977</v>
      </c>
      <c r="J981" s="122" t="s">
        <v>2040</v>
      </c>
      <c r="K98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C0977</v>
      </c>
      <c r="L98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D0977</v>
      </c>
      <c r="M98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E0977</v>
      </c>
      <c r="N981" s="122" t="s">
        <v>73</v>
      </c>
      <c r="O981" s="126" t="n">
        <v>3500000</v>
      </c>
      <c r="P981" s="121" t="s">
        <v>18</v>
      </c>
      <c r="Q981" s="121" t="s">
        <v>124</v>
      </c>
      <c r="R981" s="127"/>
      <c r="T981" s="118"/>
    </row>
    <row r="982" s="118" customFormat="true" ht="12.75" hidden="false" customHeight="true" outlineLevel="0" collapsed="false">
      <c r="A982" s="98"/>
      <c r="B982" s="119" t="n">
        <f aca="false">ROW()-4</f>
        <v>978</v>
      </c>
      <c r="C982" s="120" t="n">
        <f aca="false">COUNTIFS($D$5:D982,D982)</f>
        <v>19</v>
      </c>
      <c r="D982" s="121" t="s">
        <v>2006</v>
      </c>
      <c r="E982" s="122" t="s">
        <v>2041</v>
      </c>
      <c r="F982" s="123" t="n">
        <v>45852</v>
      </c>
      <c r="G982" s="121" t="s">
        <v>28</v>
      </c>
      <c r="H98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A0978</v>
      </c>
      <c r="I98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B0978</v>
      </c>
      <c r="J982" s="122" t="s">
        <v>2042</v>
      </c>
      <c r="K98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C0978</v>
      </c>
      <c r="L98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D0978</v>
      </c>
      <c r="M98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E0978</v>
      </c>
      <c r="N982" s="122" t="s">
        <v>73</v>
      </c>
      <c r="O982" s="126" t="n">
        <v>3500000</v>
      </c>
      <c r="P982" s="121" t="s">
        <v>18</v>
      </c>
      <c r="Q982" s="121" t="s">
        <v>124</v>
      </c>
      <c r="R982" s="127"/>
    </row>
    <row r="983" customFormat="false" ht="12.75" hidden="false" customHeight="true" outlineLevel="0" collapsed="false">
      <c r="B983" s="119" t="n">
        <f aca="false">ROW()-4</f>
        <v>979</v>
      </c>
      <c r="C983" s="120" t="n">
        <f aca="false">COUNTIFS($D$5:D983,D983)</f>
        <v>20</v>
      </c>
      <c r="D983" s="121" t="s">
        <v>2006</v>
      </c>
      <c r="E983" s="122" t="s">
        <v>2043</v>
      </c>
      <c r="F983" s="123" t="n">
        <v>44610</v>
      </c>
      <c r="G983" s="121" t="s">
        <v>22</v>
      </c>
      <c r="H98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A0979</v>
      </c>
      <c r="I98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B0979</v>
      </c>
      <c r="J983" s="122" t="s">
        <v>2044</v>
      </c>
      <c r="K98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C0979</v>
      </c>
      <c r="L98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D0979</v>
      </c>
      <c r="M98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E0979</v>
      </c>
      <c r="N983" s="122" t="s">
        <v>73</v>
      </c>
      <c r="O983" s="126" t="n">
        <v>3500000</v>
      </c>
      <c r="P983" s="121" t="s">
        <v>18</v>
      </c>
      <c r="Q983" s="121" t="s">
        <v>124</v>
      </c>
      <c r="R983" s="127"/>
      <c r="T983" s="118"/>
    </row>
    <row r="984" customFormat="false" ht="12.75" hidden="false" customHeight="true" outlineLevel="0" collapsed="false">
      <c r="B984" s="119" t="n">
        <f aca="false">ROW()-4</f>
        <v>980</v>
      </c>
      <c r="C984" s="120" t="n">
        <f aca="false">COUNTIFS($D$5:D984,D984)</f>
        <v>21</v>
      </c>
      <c r="D984" s="121" t="s">
        <v>2006</v>
      </c>
      <c r="E984" s="122" t="s">
        <v>2045</v>
      </c>
      <c r="F984" s="123" t="n">
        <v>45789</v>
      </c>
      <c r="G984" s="121" t="s">
        <v>26</v>
      </c>
      <c r="H98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A0980</v>
      </c>
      <c r="I98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B0980</v>
      </c>
      <c r="J984" s="122" t="s">
        <v>2046</v>
      </c>
      <c r="K98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C0980</v>
      </c>
      <c r="L98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D0980</v>
      </c>
      <c r="M98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E0980</v>
      </c>
      <c r="N984" s="122" t="s">
        <v>73</v>
      </c>
      <c r="O984" s="126" t="n">
        <v>3500000</v>
      </c>
      <c r="P984" s="121" t="s">
        <v>18</v>
      </c>
      <c r="Q984" s="121" t="s">
        <v>124</v>
      </c>
      <c r="R984" s="127"/>
      <c r="T984" s="118"/>
    </row>
    <row r="985" customFormat="false" ht="12.75" hidden="false" customHeight="true" outlineLevel="0" collapsed="false">
      <c r="B985" s="119" t="n">
        <f aca="false">ROW()-4</f>
        <v>981</v>
      </c>
      <c r="C985" s="120" t="n">
        <f aca="false">COUNTIFS($D$5:D985,D985)</f>
        <v>22</v>
      </c>
      <c r="D985" s="121" t="s">
        <v>2006</v>
      </c>
      <c r="E985" s="122" t="s">
        <v>2047</v>
      </c>
      <c r="F985" s="123" t="n">
        <v>44615</v>
      </c>
      <c r="G985" s="121" t="s">
        <v>28</v>
      </c>
      <c r="H98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A0981</v>
      </c>
      <c r="I98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B0981</v>
      </c>
      <c r="J985" s="122" t="s">
        <v>2048</v>
      </c>
      <c r="K98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C0981</v>
      </c>
      <c r="L98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D0981</v>
      </c>
      <c r="M98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E0981</v>
      </c>
      <c r="N985" s="122" t="s">
        <v>73</v>
      </c>
      <c r="O985" s="126" t="n">
        <v>3500000</v>
      </c>
      <c r="P985" s="121" t="s">
        <v>18</v>
      </c>
      <c r="Q985" s="121" t="s">
        <v>124</v>
      </c>
      <c r="R985" s="127"/>
      <c r="T985" s="118"/>
    </row>
    <row r="986" customFormat="false" ht="12.75" hidden="false" customHeight="true" outlineLevel="0" collapsed="false">
      <c r="B986" s="119" t="n">
        <f aca="false">ROW()-4</f>
        <v>982</v>
      </c>
      <c r="C986" s="120" t="n">
        <f aca="false">COUNTIFS($D$5:D986,D986)</f>
        <v>23</v>
      </c>
      <c r="D986" s="121" t="s">
        <v>2006</v>
      </c>
      <c r="E986" s="122" t="s">
        <v>2049</v>
      </c>
      <c r="F986" s="123" t="n">
        <v>44630</v>
      </c>
      <c r="G986" s="121" t="s">
        <v>28</v>
      </c>
      <c r="H98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A0982</v>
      </c>
      <c r="I98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B0982</v>
      </c>
      <c r="J986" s="122" t="s">
        <v>2050</v>
      </c>
      <c r="K98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C0982</v>
      </c>
      <c r="L98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D0982</v>
      </c>
      <c r="M98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E0982</v>
      </c>
      <c r="N986" s="122" t="s">
        <v>73</v>
      </c>
      <c r="O986" s="126" t="n">
        <v>3500000</v>
      </c>
      <c r="P986" s="121" t="s">
        <v>18</v>
      </c>
      <c r="Q986" s="121" t="s">
        <v>124</v>
      </c>
      <c r="R986" s="127"/>
      <c r="T986" s="118"/>
    </row>
    <row r="987" customFormat="false" ht="12.75" hidden="false" customHeight="true" outlineLevel="0" collapsed="false">
      <c r="B987" s="119" t="n">
        <f aca="false">ROW()-4</f>
        <v>983</v>
      </c>
      <c r="C987" s="120" t="n">
        <f aca="false">COUNTIFS($D$5:D987,D987)</f>
        <v>24</v>
      </c>
      <c r="D987" s="121" t="s">
        <v>2006</v>
      </c>
      <c r="E987" s="122" t="s">
        <v>2051</v>
      </c>
      <c r="F987" s="123" t="n">
        <v>45322</v>
      </c>
      <c r="G987" s="121" t="s">
        <v>30</v>
      </c>
      <c r="H98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A0983</v>
      </c>
      <c r="I98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B0983</v>
      </c>
      <c r="J987" s="122" t="s">
        <v>2052</v>
      </c>
      <c r="K98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C0983</v>
      </c>
      <c r="L98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D0983</v>
      </c>
      <c r="M98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E0983</v>
      </c>
      <c r="N987" s="122" t="s">
        <v>73</v>
      </c>
      <c r="O987" s="126" t="n">
        <v>3500000</v>
      </c>
      <c r="P987" s="121" t="s">
        <v>18</v>
      </c>
      <c r="Q987" s="121" t="s">
        <v>124</v>
      </c>
      <c r="R987" s="127"/>
      <c r="T987" s="118"/>
    </row>
    <row r="988" customFormat="false" ht="12.75" hidden="false" customHeight="true" outlineLevel="0" collapsed="false">
      <c r="B988" s="119" t="n">
        <f aca="false">ROW()-4</f>
        <v>984</v>
      </c>
      <c r="C988" s="120" t="n">
        <f aca="false">COUNTIFS($D$5:D988,D988)</f>
        <v>25</v>
      </c>
      <c r="D988" s="121" t="s">
        <v>2006</v>
      </c>
      <c r="E988" s="122" t="s">
        <v>2053</v>
      </c>
      <c r="F988" s="123" t="n">
        <v>44769</v>
      </c>
      <c r="G988" s="121" t="s">
        <v>24</v>
      </c>
      <c r="H98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A0984</v>
      </c>
      <c r="I98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B0984</v>
      </c>
      <c r="J988" s="122" t="s">
        <v>2054</v>
      </c>
      <c r="K98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C0984</v>
      </c>
      <c r="L98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D0984</v>
      </c>
      <c r="M98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E0984</v>
      </c>
      <c r="N988" s="122" t="s">
        <v>73</v>
      </c>
      <c r="O988" s="126" t="n">
        <v>3500000</v>
      </c>
      <c r="P988" s="121" t="s">
        <v>18</v>
      </c>
      <c r="Q988" s="121" t="s">
        <v>124</v>
      </c>
      <c r="R988" s="127"/>
      <c r="T988" s="118"/>
    </row>
    <row r="989" customFormat="false" ht="12.75" hidden="false" customHeight="true" outlineLevel="0" collapsed="false">
      <c r="B989" s="119" t="n">
        <f aca="false">ROW()-4</f>
        <v>985</v>
      </c>
      <c r="C989" s="120" t="n">
        <f aca="false">COUNTIFS($D$5:D989,D989)</f>
        <v>26</v>
      </c>
      <c r="D989" s="121" t="s">
        <v>2006</v>
      </c>
      <c r="E989" s="122" t="s">
        <v>2055</v>
      </c>
      <c r="F989" s="123" t="n">
        <v>45715</v>
      </c>
      <c r="G989" s="121" t="s">
        <v>22</v>
      </c>
      <c r="H98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A0985</v>
      </c>
      <c r="I98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B0985</v>
      </c>
      <c r="J989" s="122" t="s">
        <v>2056</v>
      </c>
      <c r="K98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C0985</v>
      </c>
      <c r="L98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D0985</v>
      </c>
      <c r="M98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E0985</v>
      </c>
      <c r="N989" s="122" t="s">
        <v>73</v>
      </c>
      <c r="O989" s="126" t="n">
        <v>3500000</v>
      </c>
      <c r="P989" s="121" t="s">
        <v>18</v>
      </c>
      <c r="Q989" s="121" t="s">
        <v>124</v>
      </c>
      <c r="R989" s="127"/>
      <c r="T989" s="118"/>
    </row>
    <row r="990" customFormat="false" ht="12.75" hidden="false" customHeight="true" outlineLevel="0" collapsed="false">
      <c r="B990" s="119" t="n">
        <f aca="false">ROW()-4</f>
        <v>986</v>
      </c>
      <c r="C990" s="120" t="n">
        <f aca="false">COUNTIFS($D$5:D990,D990)</f>
        <v>27</v>
      </c>
      <c r="D990" s="121" t="s">
        <v>2006</v>
      </c>
      <c r="E990" s="122" t="s">
        <v>2057</v>
      </c>
      <c r="F990" s="123" t="n">
        <v>45763</v>
      </c>
      <c r="G990" s="121" t="s">
        <v>22</v>
      </c>
      <c r="H99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A0986</v>
      </c>
      <c r="I99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B0986</v>
      </c>
      <c r="J990" s="122" t="s">
        <v>2058</v>
      </c>
      <c r="K99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C0986</v>
      </c>
      <c r="L99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D0986</v>
      </c>
      <c r="M99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E0986</v>
      </c>
      <c r="N990" s="122" t="s">
        <v>73</v>
      </c>
      <c r="O990" s="126" t="n">
        <v>3500000</v>
      </c>
      <c r="P990" s="121" t="s">
        <v>18</v>
      </c>
      <c r="Q990" s="121" t="s">
        <v>124</v>
      </c>
      <c r="R990" s="127"/>
      <c r="T990" s="118"/>
    </row>
    <row r="991" customFormat="false" ht="12.75" hidden="false" customHeight="true" outlineLevel="0" collapsed="false">
      <c r="B991" s="119" t="n">
        <f aca="false">ROW()-4</f>
        <v>987</v>
      </c>
      <c r="C991" s="120" t="n">
        <f aca="false">COUNTIFS($D$5:D991,D991)</f>
        <v>28</v>
      </c>
      <c r="D991" s="121" t="s">
        <v>2006</v>
      </c>
      <c r="E991" s="122" t="s">
        <v>2059</v>
      </c>
      <c r="F991" s="123" t="n">
        <v>44672</v>
      </c>
      <c r="G991" s="121" t="s">
        <v>26</v>
      </c>
      <c r="H99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A0987</v>
      </c>
      <c r="I99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B0987</v>
      </c>
      <c r="J991" s="122" t="s">
        <v>2060</v>
      </c>
      <c r="K99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C0987</v>
      </c>
      <c r="L99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D0987</v>
      </c>
      <c r="M99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E0987</v>
      </c>
      <c r="N991" s="122" t="s">
        <v>73</v>
      </c>
      <c r="O991" s="126" t="n">
        <v>3500000</v>
      </c>
      <c r="P991" s="121" t="s">
        <v>18</v>
      </c>
      <c r="Q991" s="121" t="s">
        <v>124</v>
      </c>
      <c r="R991" s="127"/>
      <c r="T991" s="118"/>
    </row>
    <row r="992" customFormat="false" ht="12.75" hidden="false" customHeight="true" outlineLevel="0" collapsed="false">
      <c r="B992" s="119" t="n">
        <f aca="false">ROW()-4</f>
        <v>988</v>
      </c>
      <c r="C992" s="120" t="n">
        <f aca="false">COUNTIFS($D$5:D992,D992)</f>
        <v>29</v>
      </c>
      <c r="D992" s="121" t="s">
        <v>2006</v>
      </c>
      <c r="E992" s="122" t="s">
        <v>2061</v>
      </c>
      <c r="F992" s="123" t="n">
        <v>44522</v>
      </c>
      <c r="G992" s="121" t="s">
        <v>24</v>
      </c>
      <c r="H99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A0988</v>
      </c>
      <c r="I99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B0988</v>
      </c>
      <c r="J992" s="122" t="s">
        <v>2062</v>
      </c>
      <c r="K99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C0988</v>
      </c>
      <c r="L99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D0988</v>
      </c>
      <c r="M99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E0988</v>
      </c>
      <c r="N992" s="122" t="s">
        <v>73</v>
      </c>
      <c r="O992" s="126" t="n">
        <v>3500000</v>
      </c>
      <c r="P992" s="121" t="s">
        <v>18</v>
      </c>
      <c r="Q992" s="121" t="s">
        <v>124</v>
      </c>
      <c r="R992" s="127"/>
      <c r="T992" s="118"/>
    </row>
    <row r="993" s="118" customFormat="true" ht="12.75" hidden="false" customHeight="true" outlineLevel="0" collapsed="false">
      <c r="A993" s="98"/>
      <c r="B993" s="119" t="n">
        <f aca="false">ROW()-4</f>
        <v>989</v>
      </c>
      <c r="C993" s="120" t="n">
        <f aca="false">COUNTIFS($D$5:D993,D993)</f>
        <v>30</v>
      </c>
      <c r="D993" s="121" t="s">
        <v>2006</v>
      </c>
      <c r="E993" s="122" t="s">
        <v>2063</v>
      </c>
      <c r="F993" s="123" t="n">
        <v>45517</v>
      </c>
      <c r="G993" s="121" t="s">
        <v>26</v>
      </c>
      <c r="H99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A0989</v>
      </c>
      <c r="I99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B0989</v>
      </c>
      <c r="J993" s="122" t="s">
        <v>2064</v>
      </c>
      <c r="K99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C0989</v>
      </c>
      <c r="L99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D0989</v>
      </c>
      <c r="M99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E0989</v>
      </c>
      <c r="N993" s="122" t="s">
        <v>73</v>
      </c>
      <c r="O993" s="126" t="n">
        <v>3500000</v>
      </c>
      <c r="P993" s="121" t="s">
        <v>18</v>
      </c>
      <c r="Q993" s="121" t="s">
        <v>124</v>
      </c>
      <c r="R993" s="127"/>
    </row>
    <row r="994" customFormat="false" ht="12.75" hidden="false" customHeight="true" outlineLevel="0" collapsed="false">
      <c r="B994" s="119" t="n">
        <f aca="false">ROW()-4</f>
        <v>990</v>
      </c>
      <c r="C994" s="120" t="n">
        <f aca="false">COUNTIFS($D$5:D994,D994)</f>
        <v>31</v>
      </c>
      <c r="D994" s="121" t="s">
        <v>2006</v>
      </c>
      <c r="E994" s="122" t="s">
        <v>2065</v>
      </c>
      <c r="F994" s="123" t="n">
        <v>45517</v>
      </c>
      <c r="G994" s="121" t="s">
        <v>26</v>
      </c>
      <c r="H99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A0990</v>
      </c>
      <c r="I99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B0990</v>
      </c>
      <c r="J994" s="122" t="s">
        <v>2066</v>
      </c>
      <c r="K99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C0990</v>
      </c>
      <c r="L99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D0990</v>
      </c>
      <c r="M99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E0990</v>
      </c>
      <c r="N994" s="122" t="s">
        <v>73</v>
      </c>
      <c r="O994" s="126" t="n">
        <v>3500000</v>
      </c>
      <c r="P994" s="121" t="s">
        <v>18</v>
      </c>
      <c r="Q994" s="121" t="s">
        <v>124</v>
      </c>
      <c r="R994" s="127"/>
      <c r="T994" s="118"/>
    </row>
    <row r="995" customFormat="false" ht="12.75" hidden="false" customHeight="true" outlineLevel="0" collapsed="false">
      <c r="B995" s="119" t="n">
        <f aca="false">ROW()-4</f>
        <v>991</v>
      </c>
      <c r="C995" s="120" t="n">
        <f aca="false">COUNTIFS($D$5:D995,D995)</f>
        <v>32</v>
      </c>
      <c r="D995" s="121" t="s">
        <v>2006</v>
      </c>
      <c r="E995" s="122" t="s">
        <v>2067</v>
      </c>
      <c r="F995" s="123" t="n">
        <v>45523</v>
      </c>
      <c r="G995" s="121" t="s">
        <v>22</v>
      </c>
      <c r="H99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A0991</v>
      </c>
      <c r="I99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B0991</v>
      </c>
      <c r="J995" s="122" t="s">
        <v>2068</v>
      </c>
      <c r="K99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C0991</v>
      </c>
      <c r="L99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D0991</v>
      </c>
      <c r="M99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E0991</v>
      </c>
      <c r="N995" s="122" t="s">
        <v>73</v>
      </c>
      <c r="O995" s="126" t="n">
        <v>3500000</v>
      </c>
      <c r="P995" s="121" t="s">
        <v>18</v>
      </c>
      <c r="Q995" s="121" t="s">
        <v>124</v>
      </c>
      <c r="R995" s="127"/>
      <c r="T995" s="118"/>
    </row>
    <row r="996" customFormat="false" ht="12.75" hidden="false" customHeight="true" outlineLevel="0" collapsed="false">
      <c r="B996" s="119" t="n">
        <f aca="false">ROW()-4</f>
        <v>992</v>
      </c>
      <c r="C996" s="120" t="n">
        <f aca="false">COUNTIFS($D$5:D996,D996)</f>
        <v>33</v>
      </c>
      <c r="D996" s="121" t="s">
        <v>2006</v>
      </c>
      <c r="E996" s="122" t="s">
        <v>2069</v>
      </c>
      <c r="F996" s="123"/>
      <c r="G996" s="121" t="s">
        <v>210</v>
      </c>
      <c r="H996" s="122"/>
      <c r="I996" s="122"/>
      <c r="J996" s="122"/>
      <c r="K996" s="122"/>
      <c r="L996" s="125"/>
      <c r="M99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E0992</v>
      </c>
      <c r="N996" s="122" t="s">
        <v>73</v>
      </c>
      <c r="O996" s="126" t="n">
        <v>3500000</v>
      </c>
      <c r="P996" s="121" t="s">
        <v>19</v>
      </c>
      <c r="Q996" s="122"/>
      <c r="R996" s="128" t="s">
        <v>59</v>
      </c>
      <c r="T996" s="118"/>
    </row>
    <row r="997" customFormat="false" ht="12.75" hidden="false" customHeight="true" outlineLevel="0" collapsed="false">
      <c r="B997" s="119" t="n">
        <f aca="false">ROW()-4</f>
        <v>993</v>
      </c>
      <c r="C997" s="120" t="n">
        <f aca="false">COUNTIFS($D$5:D997,D997)</f>
        <v>34</v>
      </c>
      <c r="D997" s="121" t="s">
        <v>2006</v>
      </c>
      <c r="E997" s="122" t="s">
        <v>2070</v>
      </c>
      <c r="F997" s="123"/>
      <c r="G997" s="121" t="s">
        <v>210</v>
      </c>
      <c r="H997" s="122"/>
      <c r="I997" s="122"/>
      <c r="J997" s="122"/>
      <c r="K997" s="122"/>
      <c r="L997" s="125"/>
      <c r="M99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E0993</v>
      </c>
      <c r="N997" s="122" t="s">
        <v>73</v>
      </c>
      <c r="O997" s="126" t="n">
        <v>3500000</v>
      </c>
      <c r="P997" s="121" t="s">
        <v>19</v>
      </c>
      <c r="Q997" s="122"/>
      <c r="R997" s="128" t="s">
        <v>59</v>
      </c>
      <c r="T997" s="118"/>
    </row>
    <row r="998" customFormat="false" ht="12.75" hidden="false" customHeight="true" outlineLevel="0" collapsed="false">
      <c r="B998" s="119" t="n">
        <f aca="false">ROW()-4</f>
        <v>994</v>
      </c>
      <c r="C998" s="120" t="n">
        <f aca="false">COUNTIFS($D$5:D998,D998)</f>
        <v>35</v>
      </c>
      <c r="D998" s="121" t="s">
        <v>2006</v>
      </c>
      <c r="E998" s="122" t="s">
        <v>2071</v>
      </c>
      <c r="F998" s="123" t="n">
        <v>45405</v>
      </c>
      <c r="G998" s="121" t="s">
        <v>22</v>
      </c>
      <c r="H99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A0994</v>
      </c>
      <c r="I99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B0994</v>
      </c>
      <c r="J998" s="122" t="s">
        <v>2072</v>
      </c>
      <c r="K99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C0994</v>
      </c>
      <c r="L99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D0994</v>
      </c>
      <c r="M99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E0994</v>
      </c>
      <c r="N998" s="122" t="s">
        <v>73</v>
      </c>
      <c r="O998" s="126" t="n">
        <v>3500000</v>
      </c>
      <c r="P998" s="121" t="s">
        <v>18</v>
      </c>
      <c r="Q998" s="121" t="s">
        <v>124</v>
      </c>
      <c r="R998" s="127"/>
      <c r="T998" s="118"/>
    </row>
    <row r="999" customFormat="false" ht="12.75" hidden="false" customHeight="true" outlineLevel="0" collapsed="false">
      <c r="B999" s="119" t="n">
        <f aca="false">ROW()-4</f>
        <v>995</v>
      </c>
      <c r="C999" s="120" t="n">
        <f aca="false">COUNTIFS($D$5:D999,D999)</f>
        <v>36</v>
      </c>
      <c r="D999" s="121" t="s">
        <v>2006</v>
      </c>
      <c r="E999" s="122" t="s">
        <v>2073</v>
      </c>
      <c r="F999" s="123" t="n">
        <v>45447</v>
      </c>
      <c r="G999" s="121" t="s">
        <v>22</v>
      </c>
      <c r="H99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A0995</v>
      </c>
      <c r="I99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B0995</v>
      </c>
      <c r="J999" s="122" t="s">
        <v>2074</v>
      </c>
      <c r="K99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C0995</v>
      </c>
      <c r="L99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D0995</v>
      </c>
      <c r="M99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E0995</v>
      </c>
      <c r="N999" s="122" t="s">
        <v>73</v>
      </c>
      <c r="O999" s="126" t="n">
        <v>3500000</v>
      </c>
      <c r="P999" s="121" t="s">
        <v>18</v>
      </c>
      <c r="Q999" s="121" t="s">
        <v>124</v>
      </c>
      <c r="R999" s="127"/>
      <c r="T999" s="118"/>
    </row>
    <row r="1000" customFormat="false" ht="12.75" hidden="false" customHeight="true" outlineLevel="0" collapsed="false">
      <c r="B1000" s="119" t="n">
        <f aca="false">ROW()-4</f>
        <v>996</v>
      </c>
      <c r="C1000" s="120" t="n">
        <f aca="false">COUNTIFS($D$5:D1000,D1000)</f>
        <v>37</v>
      </c>
      <c r="D1000" s="121" t="s">
        <v>2006</v>
      </c>
      <c r="E1000" s="122" t="s">
        <v>2075</v>
      </c>
      <c r="F1000" s="123" t="n">
        <v>45182</v>
      </c>
      <c r="G1000" s="121" t="s">
        <v>22</v>
      </c>
      <c r="H100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A0996</v>
      </c>
      <c r="I100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B0996</v>
      </c>
      <c r="J1000" s="122" t="s">
        <v>2076</v>
      </c>
      <c r="K100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C0996</v>
      </c>
      <c r="L100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D0996</v>
      </c>
      <c r="M100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E0996</v>
      </c>
      <c r="N1000" s="122" t="s">
        <v>73</v>
      </c>
      <c r="O1000" s="126" t="n">
        <v>3500000</v>
      </c>
      <c r="P1000" s="121" t="s">
        <v>18</v>
      </c>
      <c r="Q1000" s="121" t="s">
        <v>124</v>
      </c>
      <c r="R1000" s="127"/>
      <c r="T1000" s="118"/>
    </row>
    <row r="1001" customFormat="false" ht="12.75" hidden="false" customHeight="true" outlineLevel="0" collapsed="false">
      <c r="B1001" s="119" t="n">
        <f aca="false">ROW()-4</f>
        <v>997</v>
      </c>
      <c r="C1001" s="120" t="n">
        <f aca="false">COUNTIFS($D$5:D1001,D1001)</f>
        <v>38</v>
      </c>
      <c r="D1001" s="121" t="s">
        <v>2006</v>
      </c>
      <c r="E1001" s="122" t="s">
        <v>2077</v>
      </c>
      <c r="F1001" s="123" t="n">
        <v>46052</v>
      </c>
      <c r="G1001" s="121" t="s">
        <v>22</v>
      </c>
      <c r="H100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A0997</v>
      </c>
      <c r="I100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B0997</v>
      </c>
      <c r="J1001" s="122" t="s">
        <v>2078</v>
      </c>
      <c r="K100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C0997</v>
      </c>
      <c r="L100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D0997</v>
      </c>
      <c r="M100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E0997</v>
      </c>
      <c r="N1001" s="122" t="s">
        <v>73</v>
      </c>
      <c r="O1001" s="126" t="n">
        <v>3500000</v>
      </c>
      <c r="P1001" s="121" t="s">
        <v>18</v>
      </c>
      <c r="Q1001" s="121" t="s">
        <v>124</v>
      </c>
      <c r="R1001" s="127"/>
      <c r="T1001" s="118"/>
    </row>
    <row r="1002" customFormat="false" ht="12.75" hidden="false" customHeight="true" outlineLevel="0" collapsed="false">
      <c r="B1002" s="140" t="n">
        <f aca="false">ROW()-4</f>
        <v>998</v>
      </c>
      <c r="C1002" s="141" t="n">
        <f aca="false">COUNTIFS($D$5:D1002,D1002)</f>
        <v>39</v>
      </c>
      <c r="D1002" s="142" t="s">
        <v>2006</v>
      </c>
      <c r="E1002" s="143" t="s">
        <v>2079</v>
      </c>
      <c r="F1002" s="144" t="n">
        <v>46062</v>
      </c>
      <c r="G1002" s="142" t="s">
        <v>22</v>
      </c>
      <c r="H1002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A0998</v>
      </c>
      <c r="I1002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B0998</v>
      </c>
      <c r="J1002" s="143" t="s">
        <v>2080</v>
      </c>
      <c r="K1002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C0998</v>
      </c>
      <c r="L1002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D0998</v>
      </c>
      <c r="M1002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E0998</v>
      </c>
      <c r="N1002" s="143" t="s">
        <v>73</v>
      </c>
      <c r="O1002" s="146" t="n">
        <v>3500000</v>
      </c>
      <c r="P1002" s="142" t="s">
        <v>1533</v>
      </c>
      <c r="Q1002" s="143" t="s">
        <v>908</v>
      </c>
      <c r="R1002" s="147"/>
      <c r="T1002" s="118"/>
    </row>
    <row r="1003" customFormat="false" ht="12.75" hidden="false" customHeight="true" outlineLevel="0" collapsed="false">
      <c r="B1003" s="119" t="n">
        <f aca="false">ROW()-4</f>
        <v>999</v>
      </c>
      <c r="C1003" s="120" t="n">
        <f aca="false">COUNTIFS($D$5:D1003,D1003)</f>
        <v>40</v>
      </c>
      <c r="D1003" s="121" t="s">
        <v>2006</v>
      </c>
      <c r="E1003" s="122" t="s">
        <v>2081</v>
      </c>
      <c r="F1003" s="123" t="n">
        <v>45575</v>
      </c>
      <c r="G1003" s="121" t="s">
        <v>22</v>
      </c>
      <c r="H100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A0999</v>
      </c>
      <c r="I100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B0999</v>
      </c>
      <c r="J1003" s="122" t="s">
        <v>2082</v>
      </c>
      <c r="K100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C0999</v>
      </c>
      <c r="L100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D0999</v>
      </c>
      <c r="M100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E0999</v>
      </c>
      <c r="N1003" s="122" t="s">
        <v>73</v>
      </c>
      <c r="O1003" s="126" t="n">
        <v>3500000</v>
      </c>
      <c r="P1003" s="121" t="s">
        <v>18</v>
      </c>
      <c r="Q1003" s="121" t="s">
        <v>124</v>
      </c>
      <c r="R1003" s="127"/>
      <c r="T1003" s="118"/>
    </row>
    <row r="1004" customFormat="false" ht="12.75" hidden="false" customHeight="true" outlineLevel="0" collapsed="false">
      <c r="B1004" s="119" t="n">
        <f aca="false">ROW()-4</f>
        <v>1000</v>
      </c>
      <c r="C1004" s="120" t="n">
        <f aca="false">COUNTIFS($D$5:D1004,D1004)</f>
        <v>41</v>
      </c>
      <c r="D1004" s="121" t="s">
        <v>2006</v>
      </c>
      <c r="E1004" s="122" t="s">
        <v>2083</v>
      </c>
      <c r="F1004" s="123"/>
      <c r="G1004" s="121" t="s">
        <v>28</v>
      </c>
      <c r="H1004" s="122"/>
      <c r="I1004" s="122"/>
      <c r="J1004" s="122"/>
      <c r="K1004" s="122"/>
      <c r="L1004" s="125"/>
      <c r="M100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E1000</v>
      </c>
      <c r="N1004" s="122" t="s">
        <v>73</v>
      </c>
      <c r="O1004" s="126" t="n">
        <v>3500000</v>
      </c>
      <c r="P1004" s="121" t="s">
        <v>19</v>
      </c>
      <c r="Q1004" s="122"/>
      <c r="R1004" s="128" t="s">
        <v>61</v>
      </c>
      <c r="T1004" s="118"/>
    </row>
    <row r="1005" customFormat="false" ht="12.75" hidden="false" customHeight="true" outlineLevel="0" collapsed="false">
      <c r="B1005" s="119" t="n">
        <f aca="false">ROW()-4</f>
        <v>1001</v>
      </c>
      <c r="C1005" s="120" t="n">
        <f aca="false">COUNTIFS($D$5:D1005,D1005)</f>
        <v>42</v>
      </c>
      <c r="D1005" s="121" t="s">
        <v>2006</v>
      </c>
      <c r="E1005" s="122" t="s">
        <v>2084</v>
      </c>
      <c r="F1005" s="123" t="n">
        <v>45691</v>
      </c>
      <c r="G1005" s="121" t="s">
        <v>22</v>
      </c>
      <c r="H100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A1001</v>
      </c>
      <c r="I100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B1001</v>
      </c>
      <c r="J1005" s="122" t="s">
        <v>2085</v>
      </c>
      <c r="K100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C1001</v>
      </c>
      <c r="L100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D1001</v>
      </c>
      <c r="M100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E1001</v>
      </c>
      <c r="N1005" s="122" t="s">
        <v>73</v>
      </c>
      <c r="O1005" s="126" t="n">
        <v>3500000</v>
      </c>
      <c r="P1005" s="121" t="s">
        <v>18</v>
      </c>
      <c r="Q1005" s="121" t="s">
        <v>124</v>
      </c>
      <c r="R1005" s="127"/>
      <c r="T1005" s="118"/>
    </row>
    <row r="1006" customFormat="false" ht="12.75" hidden="false" customHeight="true" outlineLevel="0" collapsed="false">
      <c r="B1006" s="119" t="n">
        <f aca="false">ROW()-4</f>
        <v>1002</v>
      </c>
      <c r="C1006" s="120" t="n">
        <f aca="false">COUNTIFS($D$5:D1006,D1006)</f>
        <v>43</v>
      </c>
      <c r="D1006" s="121" t="s">
        <v>2006</v>
      </c>
      <c r="E1006" s="122" t="s">
        <v>2086</v>
      </c>
      <c r="F1006" s="123" t="n">
        <v>45728</v>
      </c>
      <c r="G1006" s="121" t="s">
        <v>22</v>
      </c>
      <c r="H100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A1002</v>
      </c>
      <c r="I100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B1002</v>
      </c>
      <c r="J1006" s="122" t="s">
        <v>2087</v>
      </c>
      <c r="K100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C1002</v>
      </c>
      <c r="L100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D1002</v>
      </c>
      <c r="M100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E1002</v>
      </c>
      <c r="N1006" s="122" t="s">
        <v>73</v>
      </c>
      <c r="O1006" s="126" t="n">
        <v>3500000</v>
      </c>
      <c r="P1006" s="121" t="s">
        <v>18</v>
      </c>
      <c r="Q1006" s="121" t="s">
        <v>124</v>
      </c>
      <c r="R1006" s="127"/>
      <c r="T1006" s="118"/>
    </row>
    <row r="1007" customFormat="false" ht="12.75" hidden="false" customHeight="true" outlineLevel="0" collapsed="false">
      <c r="B1007" s="119" t="n">
        <f aca="false">ROW()-4</f>
        <v>1003</v>
      </c>
      <c r="C1007" s="120" t="n">
        <f aca="false">COUNTIFS($D$5:D1007,D1007)</f>
        <v>44</v>
      </c>
      <c r="D1007" s="121" t="s">
        <v>2006</v>
      </c>
      <c r="E1007" s="122" t="s">
        <v>2088</v>
      </c>
      <c r="F1007" s="123" t="n">
        <v>45728</v>
      </c>
      <c r="G1007" s="121" t="s">
        <v>22</v>
      </c>
      <c r="H100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A1003</v>
      </c>
      <c r="I100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B1003</v>
      </c>
      <c r="J1007" s="122" t="s">
        <v>2089</v>
      </c>
      <c r="K100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C1003</v>
      </c>
      <c r="L100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D1003</v>
      </c>
      <c r="M100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E1003</v>
      </c>
      <c r="N1007" s="122" t="s">
        <v>73</v>
      </c>
      <c r="O1007" s="126" t="n">
        <v>3500000</v>
      </c>
      <c r="P1007" s="121" t="s">
        <v>18</v>
      </c>
      <c r="Q1007" s="121" t="s">
        <v>124</v>
      </c>
      <c r="R1007" s="127"/>
      <c r="T1007" s="118"/>
    </row>
    <row r="1008" customFormat="false" ht="12.75" hidden="false" customHeight="true" outlineLevel="0" collapsed="false">
      <c r="B1008" s="119" t="n">
        <f aca="false">ROW()-4</f>
        <v>1004</v>
      </c>
      <c r="C1008" s="120" t="n">
        <f aca="false">COUNTIFS($D$5:D1008,D1008)</f>
        <v>45</v>
      </c>
      <c r="D1008" s="121" t="s">
        <v>2006</v>
      </c>
      <c r="E1008" s="122" t="s">
        <v>2090</v>
      </c>
      <c r="F1008" s="123" t="n">
        <v>44656</v>
      </c>
      <c r="G1008" s="121" t="s">
        <v>22</v>
      </c>
      <c r="H100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A1004</v>
      </c>
      <c r="I100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B1004</v>
      </c>
      <c r="J1008" s="122" t="s">
        <v>2091</v>
      </c>
      <c r="K100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C1004</v>
      </c>
      <c r="L100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D1004</v>
      </c>
      <c r="M100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E1004</v>
      </c>
      <c r="N1008" s="122" t="s">
        <v>73</v>
      </c>
      <c r="O1008" s="126" t="n">
        <v>3500000</v>
      </c>
      <c r="P1008" s="121" t="s">
        <v>18</v>
      </c>
      <c r="Q1008" s="121" t="s">
        <v>124</v>
      </c>
      <c r="R1008" s="127"/>
      <c r="T1008" s="118"/>
    </row>
    <row r="1009" customFormat="false" ht="12.75" hidden="false" customHeight="true" outlineLevel="0" collapsed="false">
      <c r="B1009" s="119" t="n">
        <f aca="false">ROW()-4</f>
        <v>1005</v>
      </c>
      <c r="C1009" s="120" t="n">
        <f aca="false">COUNTIFS($D$5:D1009,D1009)</f>
        <v>46</v>
      </c>
      <c r="D1009" s="121" t="s">
        <v>2006</v>
      </c>
      <c r="E1009" s="122" t="s">
        <v>2092</v>
      </c>
      <c r="F1009" s="123" t="n">
        <v>44656</v>
      </c>
      <c r="G1009" s="121" t="s">
        <v>22</v>
      </c>
      <c r="H100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A1005</v>
      </c>
      <c r="I100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B1005</v>
      </c>
      <c r="J1009" s="122" t="s">
        <v>2093</v>
      </c>
      <c r="K100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C1005</v>
      </c>
      <c r="L100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D1005</v>
      </c>
      <c r="M100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E1005</v>
      </c>
      <c r="N1009" s="122" t="s">
        <v>73</v>
      </c>
      <c r="O1009" s="126" t="n">
        <v>3500000</v>
      </c>
      <c r="P1009" s="121" t="s">
        <v>18</v>
      </c>
      <c r="Q1009" s="121" t="s">
        <v>124</v>
      </c>
      <c r="R1009" s="127"/>
      <c r="T1009" s="118"/>
    </row>
    <row r="1010" customFormat="false" ht="12.75" hidden="false" customHeight="true" outlineLevel="0" collapsed="false">
      <c r="B1010" s="119" t="n">
        <f aca="false">ROW()-4</f>
        <v>1006</v>
      </c>
      <c r="C1010" s="120" t="n">
        <f aca="false">COUNTIFS($D$5:D1010,D1010)</f>
        <v>47</v>
      </c>
      <c r="D1010" s="121" t="s">
        <v>2006</v>
      </c>
      <c r="E1010" s="122" t="s">
        <v>2094</v>
      </c>
      <c r="F1010" s="123" t="n">
        <v>45453</v>
      </c>
      <c r="G1010" s="121" t="s">
        <v>22</v>
      </c>
      <c r="H101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A1006</v>
      </c>
      <c r="I101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B1006</v>
      </c>
      <c r="J1010" s="122" t="s">
        <v>2095</v>
      </c>
      <c r="K101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C1006</v>
      </c>
      <c r="L101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D1006</v>
      </c>
      <c r="M101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E1006</v>
      </c>
      <c r="N1010" s="122" t="s">
        <v>73</v>
      </c>
      <c r="O1010" s="126" t="n">
        <v>3500000</v>
      </c>
      <c r="P1010" s="121" t="s">
        <v>18</v>
      </c>
      <c r="Q1010" s="121" t="s">
        <v>124</v>
      </c>
      <c r="R1010" s="127"/>
      <c r="T1010" s="118"/>
    </row>
    <row r="1011" customFormat="false" ht="12.75" hidden="false" customHeight="true" outlineLevel="0" collapsed="false">
      <c r="B1011" s="119" t="n">
        <f aca="false">ROW()-4</f>
        <v>1007</v>
      </c>
      <c r="C1011" s="120" t="n">
        <f aca="false">COUNTIFS($D$5:D1011,D1011)</f>
        <v>48</v>
      </c>
      <c r="D1011" s="121" t="s">
        <v>2006</v>
      </c>
      <c r="E1011" s="122" t="s">
        <v>2096</v>
      </c>
      <c r="F1011" s="123" t="n">
        <v>45841</v>
      </c>
      <c r="G1011" s="121" t="s">
        <v>22</v>
      </c>
      <c r="H101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A1007</v>
      </c>
      <c r="I101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B1007</v>
      </c>
      <c r="J1011" s="122" t="s">
        <v>2097</v>
      </c>
      <c r="K101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C1007</v>
      </c>
      <c r="L101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D1007</v>
      </c>
      <c r="M101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E1007</v>
      </c>
      <c r="N1011" s="122" t="s">
        <v>73</v>
      </c>
      <c r="O1011" s="126" t="n">
        <v>3500000</v>
      </c>
      <c r="P1011" s="121" t="s">
        <v>18</v>
      </c>
      <c r="Q1011" s="121" t="s">
        <v>124</v>
      </c>
      <c r="R1011" s="127"/>
      <c r="T1011" s="118"/>
    </row>
    <row r="1012" customFormat="false" ht="12.75" hidden="false" customHeight="true" outlineLevel="0" collapsed="false">
      <c r="B1012" s="119" t="n">
        <f aca="false">ROW()-4</f>
        <v>1008</v>
      </c>
      <c r="C1012" s="120" t="n">
        <f aca="false">COUNTIFS($D$5:D1012,D1012)</f>
        <v>49</v>
      </c>
      <c r="D1012" s="121" t="s">
        <v>2006</v>
      </c>
      <c r="E1012" s="122" t="s">
        <v>2098</v>
      </c>
      <c r="F1012" s="123" t="n">
        <v>46043</v>
      </c>
      <c r="G1012" s="121" t="s">
        <v>22</v>
      </c>
      <c r="H101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A1008</v>
      </c>
      <c r="I101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B1008</v>
      </c>
      <c r="J1012" s="122" t="s">
        <v>2099</v>
      </c>
      <c r="K101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C1008</v>
      </c>
      <c r="L101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D1008</v>
      </c>
      <c r="M101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E1008</v>
      </c>
      <c r="N1012" s="122" t="s">
        <v>73</v>
      </c>
      <c r="O1012" s="126" t="n">
        <v>3500000</v>
      </c>
      <c r="P1012" s="121" t="s">
        <v>18</v>
      </c>
      <c r="Q1012" s="121" t="s">
        <v>124</v>
      </c>
      <c r="R1012" s="127"/>
      <c r="T1012" s="118"/>
    </row>
    <row r="1013" customFormat="false" ht="12.75" hidden="false" customHeight="true" outlineLevel="0" collapsed="false">
      <c r="B1013" s="119" t="n">
        <f aca="false">ROW()-4</f>
        <v>1009</v>
      </c>
      <c r="C1013" s="120" t="n">
        <f aca="false">COUNTIFS($D$5:D1013,D1013)</f>
        <v>50</v>
      </c>
      <c r="D1013" s="121" t="s">
        <v>2006</v>
      </c>
      <c r="E1013" s="122" t="s">
        <v>2100</v>
      </c>
      <c r="F1013" s="123" t="n">
        <v>44874</v>
      </c>
      <c r="G1013" s="121" t="s">
        <v>22</v>
      </c>
      <c r="H101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A1009</v>
      </c>
      <c r="I101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B1009</v>
      </c>
      <c r="J1013" s="122" t="s">
        <v>2101</v>
      </c>
      <c r="K101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C1009</v>
      </c>
      <c r="L101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D1009</v>
      </c>
      <c r="M101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E1009</v>
      </c>
      <c r="N1013" s="122" t="s">
        <v>73</v>
      </c>
      <c r="O1013" s="126" t="n">
        <v>3500000</v>
      </c>
      <c r="P1013" s="121" t="s">
        <v>18</v>
      </c>
      <c r="Q1013" s="121" t="s">
        <v>124</v>
      </c>
      <c r="R1013" s="127"/>
      <c r="T1013" s="118"/>
    </row>
    <row r="1014" customFormat="false" ht="12.75" hidden="false" customHeight="true" outlineLevel="0" collapsed="false">
      <c r="B1014" s="119" t="n">
        <f aca="false">ROW()-4</f>
        <v>1010</v>
      </c>
      <c r="C1014" s="120" t="n">
        <f aca="false">COUNTIFS($D$5:D1014,D1014)</f>
        <v>51</v>
      </c>
      <c r="D1014" s="121" t="s">
        <v>2006</v>
      </c>
      <c r="E1014" s="122" t="s">
        <v>2102</v>
      </c>
      <c r="F1014" s="123" t="n">
        <v>44907</v>
      </c>
      <c r="G1014" s="121" t="s">
        <v>22</v>
      </c>
      <c r="H101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A1010</v>
      </c>
      <c r="I101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B1010</v>
      </c>
      <c r="J1014" s="122" t="s">
        <v>2103</v>
      </c>
      <c r="K101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C1010</v>
      </c>
      <c r="L101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D1010</v>
      </c>
      <c r="M101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E1010</v>
      </c>
      <c r="N1014" s="122" t="s">
        <v>73</v>
      </c>
      <c r="O1014" s="126" t="n">
        <v>3500000</v>
      </c>
      <c r="P1014" s="121" t="s">
        <v>18</v>
      </c>
      <c r="Q1014" s="121" t="s">
        <v>124</v>
      </c>
      <c r="R1014" s="127"/>
      <c r="T1014" s="118"/>
    </row>
    <row r="1015" customFormat="false" ht="12.75" hidden="false" customHeight="true" outlineLevel="0" collapsed="false">
      <c r="B1015" s="119" t="n">
        <f aca="false">ROW()-4</f>
        <v>1011</v>
      </c>
      <c r="C1015" s="120" t="n">
        <f aca="false">COUNTIFS($D$5:D1015,D1015)</f>
        <v>52</v>
      </c>
      <c r="D1015" s="121" t="s">
        <v>2006</v>
      </c>
      <c r="E1015" s="122" t="s">
        <v>2104</v>
      </c>
      <c r="F1015" s="123" t="n">
        <v>44896</v>
      </c>
      <c r="G1015" s="121" t="s">
        <v>22</v>
      </c>
      <c r="H101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A1011</v>
      </c>
      <c r="I101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B1011</v>
      </c>
      <c r="J1015" s="122" t="s">
        <v>2105</v>
      </c>
      <c r="K101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C1011</v>
      </c>
      <c r="L101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D1011</v>
      </c>
      <c r="M101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E1011</v>
      </c>
      <c r="N1015" s="122" t="s">
        <v>73</v>
      </c>
      <c r="O1015" s="126" t="n">
        <v>3500000</v>
      </c>
      <c r="P1015" s="121" t="s">
        <v>18</v>
      </c>
      <c r="Q1015" s="121" t="s">
        <v>124</v>
      </c>
      <c r="R1015" s="127"/>
      <c r="T1015" s="118"/>
    </row>
    <row r="1016" customFormat="false" ht="12.75" hidden="false" customHeight="true" outlineLevel="0" collapsed="false">
      <c r="B1016" s="119" t="n">
        <f aca="false">ROW()-4</f>
        <v>1012</v>
      </c>
      <c r="C1016" s="120" t="n">
        <f aca="false">COUNTIFS($D$5:D1016,D1016)</f>
        <v>53</v>
      </c>
      <c r="D1016" s="121" t="s">
        <v>2006</v>
      </c>
      <c r="E1016" s="122" t="s">
        <v>2106</v>
      </c>
      <c r="F1016" s="123" t="n">
        <v>45399</v>
      </c>
      <c r="G1016" s="121" t="s">
        <v>22</v>
      </c>
      <c r="H101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A1012</v>
      </c>
      <c r="I101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B1012</v>
      </c>
      <c r="J1016" s="122" t="s">
        <v>2107</v>
      </c>
      <c r="K101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C1012</v>
      </c>
      <c r="L101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D1012</v>
      </c>
      <c r="M101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E1012</v>
      </c>
      <c r="N1016" s="122" t="s">
        <v>73</v>
      </c>
      <c r="O1016" s="126" t="n">
        <v>3500000</v>
      </c>
      <c r="P1016" s="121" t="s">
        <v>18</v>
      </c>
      <c r="Q1016" s="121" t="s">
        <v>124</v>
      </c>
      <c r="R1016" s="127"/>
      <c r="T1016" s="118"/>
    </row>
    <row r="1017" customFormat="false" ht="12.75" hidden="false" customHeight="true" outlineLevel="0" collapsed="false">
      <c r="B1017" s="119" t="n">
        <f aca="false">ROW()-4</f>
        <v>1013</v>
      </c>
      <c r="C1017" s="120" t="n">
        <f aca="false">COUNTIFS($D$5:D1017,D1017)</f>
        <v>54</v>
      </c>
      <c r="D1017" s="121" t="s">
        <v>2006</v>
      </c>
      <c r="E1017" s="122" t="s">
        <v>2108</v>
      </c>
      <c r="F1017" s="123" t="n">
        <v>45442</v>
      </c>
      <c r="G1017" s="121" t="s">
        <v>22</v>
      </c>
      <c r="H101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A1013</v>
      </c>
      <c r="I101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B1013</v>
      </c>
      <c r="J1017" s="122" t="s">
        <v>2109</v>
      </c>
      <c r="K101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C1013</v>
      </c>
      <c r="L101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D1013</v>
      </c>
      <c r="M101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E1013</v>
      </c>
      <c r="N1017" s="122" t="s">
        <v>73</v>
      </c>
      <c r="O1017" s="126" t="n">
        <v>3500000</v>
      </c>
      <c r="P1017" s="121" t="s">
        <v>18</v>
      </c>
      <c r="Q1017" s="121" t="s">
        <v>124</v>
      </c>
      <c r="R1017" s="127"/>
      <c r="T1017" s="118"/>
    </row>
    <row r="1018" customFormat="false" ht="12.75" hidden="false" customHeight="true" outlineLevel="0" collapsed="false">
      <c r="B1018" s="119" t="n">
        <f aca="false">ROW()-4</f>
        <v>1014</v>
      </c>
      <c r="C1018" s="120" t="n">
        <f aca="false">COUNTIFS($D$5:D1018,D1018)</f>
        <v>55</v>
      </c>
      <c r="D1018" s="121" t="s">
        <v>2006</v>
      </c>
      <c r="E1018" s="122" t="s">
        <v>2110</v>
      </c>
      <c r="F1018" s="123" t="n">
        <v>45812</v>
      </c>
      <c r="G1018" s="121" t="s">
        <v>22</v>
      </c>
      <c r="H101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A1014</v>
      </c>
      <c r="I101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B1014</v>
      </c>
      <c r="J1018" s="122" t="s">
        <v>2111</v>
      </c>
      <c r="K101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C1014</v>
      </c>
      <c r="L101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D1014</v>
      </c>
      <c r="M101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E1014</v>
      </c>
      <c r="N1018" s="122" t="s">
        <v>73</v>
      </c>
      <c r="O1018" s="126" t="n">
        <v>3500000</v>
      </c>
      <c r="P1018" s="121" t="s">
        <v>18</v>
      </c>
      <c r="Q1018" s="121" t="s">
        <v>124</v>
      </c>
      <c r="R1018" s="127"/>
      <c r="T1018" s="118"/>
    </row>
    <row r="1019" s="118" customFormat="true" ht="12.75" hidden="false" customHeight="true" outlineLevel="0" collapsed="false">
      <c r="A1019" s="98"/>
      <c r="B1019" s="119" t="n">
        <f aca="false">ROW()-4</f>
        <v>1015</v>
      </c>
      <c r="C1019" s="120" t="n">
        <f aca="false">COUNTIFS($D$5:D1019,D1019)</f>
        <v>56</v>
      </c>
      <c r="D1019" s="121" t="s">
        <v>2006</v>
      </c>
      <c r="E1019" s="122" t="s">
        <v>2112</v>
      </c>
      <c r="F1019" s="123" t="n">
        <v>44656</v>
      </c>
      <c r="G1019" s="121" t="s">
        <v>22</v>
      </c>
      <c r="H101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A1015</v>
      </c>
      <c r="I101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B1015</v>
      </c>
      <c r="J1019" s="124" t="s">
        <v>2113</v>
      </c>
      <c r="K101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C1015</v>
      </c>
      <c r="L101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D1015</v>
      </c>
      <c r="M101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E1015</v>
      </c>
      <c r="N1019" s="122" t="s">
        <v>73</v>
      </c>
      <c r="O1019" s="126" t="n">
        <v>3500000</v>
      </c>
      <c r="P1019" s="121" t="s">
        <v>18</v>
      </c>
      <c r="Q1019" s="121" t="s">
        <v>124</v>
      </c>
      <c r="R1019" s="127"/>
    </row>
    <row r="1020" customFormat="false" ht="12.75" hidden="false" customHeight="true" outlineLevel="0" collapsed="false">
      <c r="B1020" s="119" t="n">
        <f aca="false">ROW()-4</f>
        <v>1016</v>
      </c>
      <c r="C1020" s="120" t="n">
        <f aca="false">COUNTIFS($D$5:D1020,D1020)</f>
        <v>57</v>
      </c>
      <c r="D1020" s="121" t="s">
        <v>2006</v>
      </c>
      <c r="E1020" s="122" t="s">
        <v>2114</v>
      </c>
      <c r="F1020" s="137" t="n">
        <v>45894</v>
      </c>
      <c r="G1020" s="138" t="s">
        <v>22</v>
      </c>
      <c r="H1020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A1016</v>
      </c>
      <c r="I1020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B1016</v>
      </c>
      <c r="J1020" s="124" t="s">
        <v>2115</v>
      </c>
      <c r="K1020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C1016</v>
      </c>
      <c r="L1020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D1016</v>
      </c>
      <c r="M102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E1016</v>
      </c>
      <c r="N1020" s="122" t="s">
        <v>73</v>
      </c>
      <c r="O1020" s="126" t="n">
        <v>3500000</v>
      </c>
      <c r="P1020" s="121" t="s">
        <v>18</v>
      </c>
      <c r="Q1020" s="121" t="s">
        <v>124</v>
      </c>
      <c r="R1020" s="127"/>
      <c r="T1020" s="118"/>
    </row>
    <row r="1021" customFormat="false" ht="12.75" hidden="false" customHeight="true" outlineLevel="0" collapsed="false">
      <c r="B1021" s="119" t="n">
        <f aca="false">ROW()-4</f>
        <v>1017</v>
      </c>
      <c r="C1021" s="120" t="n">
        <f aca="false">COUNTIFS($D$5:D1021,D1021)</f>
        <v>58</v>
      </c>
      <c r="D1021" s="121" t="s">
        <v>2006</v>
      </c>
      <c r="E1021" s="122" t="s">
        <v>2116</v>
      </c>
      <c r="F1021" s="123" t="n">
        <v>45854</v>
      </c>
      <c r="G1021" s="121" t="s">
        <v>22</v>
      </c>
      <c r="H102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A1017</v>
      </c>
      <c r="I102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B1017</v>
      </c>
      <c r="J1021" s="122" t="s">
        <v>2117</v>
      </c>
      <c r="K102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C1017</v>
      </c>
      <c r="L102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D1017</v>
      </c>
      <c r="M102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E1017</v>
      </c>
      <c r="N1021" s="122" t="s">
        <v>73</v>
      </c>
      <c r="O1021" s="126" t="n">
        <v>3500000</v>
      </c>
      <c r="P1021" s="121" t="s">
        <v>18</v>
      </c>
      <c r="Q1021" s="121" t="s">
        <v>124</v>
      </c>
      <c r="R1021" s="127"/>
      <c r="T1021" s="118"/>
    </row>
    <row r="1022" customFormat="false" ht="12.75" hidden="false" customHeight="true" outlineLevel="0" collapsed="false">
      <c r="B1022" s="119" t="n">
        <f aca="false">ROW()-4</f>
        <v>1018</v>
      </c>
      <c r="C1022" s="120" t="n">
        <f aca="false">COUNTIFS($D$5:D1022,D1022)</f>
        <v>59</v>
      </c>
      <c r="D1022" s="121" t="s">
        <v>2006</v>
      </c>
      <c r="E1022" s="122" t="s">
        <v>2118</v>
      </c>
      <c r="F1022" s="123" t="n">
        <v>45854</v>
      </c>
      <c r="G1022" s="121" t="s">
        <v>22</v>
      </c>
      <c r="H102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A1018</v>
      </c>
      <c r="I102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B1018</v>
      </c>
      <c r="J1022" s="122" t="s">
        <v>2119</v>
      </c>
      <c r="K102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C1018</v>
      </c>
      <c r="L102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D1018</v>
      </c>
      <c r="M102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E1018</v>
      </c>
      <c r="N1022" s="122" t="s">
        <v>73</v>
      </c>
      <c r="O1022" s="126" t="n">
        <v>3500000</v>
      </c>
      <c r="P1022" s="121" t="s">
        <v>18</v>
      </c>
      <c r="Q1022" s="121" t="s">
        <v>124</v>
      </c>
      <c r="R1022" s="127"/>
      <c r="T1022" s="118"/>
    </row>
    <row r="1023" customFormat="false" ht="12.75" hidden="false" customHeight="true" outlineLevel="0" collapsed="false">
      <c r="B1023" s="119" t="n">
        <f aca="false">ROW()-4</f>
        <v>1019</v>
      </c>
      <c r="C1023" s="120" t="n">
        <f aca="false">COUNTIFS($D$5:D1023,D1023)</f>
        <v>60</v>
      </c>
      <c r="D1023" s="121" t="s">
        <v>2006</v>
      </c>
      <c r="E1023" s="122" t="s">
        <v>2120</v>
      </c>
      <c r="F1023" s="123" t="n">
        <v>45777</v>
      </c>
      <c r="G1023" s="121" t="s">
        <v>22</v>
      </c>
      <c r="H102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A1019</v>
      </c>
      <c r="I102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B1019</v>
      </c>
      <c r="J1023" s="122" t="s">
        <v>2121</v>
      </c>
      <c r="K102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C1019</v>
      </c>
      <c r="L102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D1019</v>
      </c>
      <c r="M102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E1019</v>
      </c>
      <c r="N1023" s="122" t="s">
        <v>73</v>
      </c>
      <c r="O1023" s="126" t="n">
        <v>3500000</v>
      </c>
      <c r="P1023" s="121" t="s">
        <v>18</v>
      </c>
      <c r="Q1023" s="121" t="s">
        <v>124</v>
      </c>
      <c r="R1023" s="127"/>
      <c r="T1023" s="118"/>
    </row>
    <row r="1024" customFormat="false" ht="12.75" hidden="false" customHeight="true" outlineLevel="0" collapsed="false">
      <c r="B1024" s="119" t="n">
        <f aca="false">ROW()-4</f>
        <v>1020</v>
      </c>
      <c r="C1024" s="120" t="n">
        <f aca="false">COUNTIFS($D$5:D1024,D1024)</f>
        <v>61</v>
      </c>
      <c r="D1024" s="121" t="s">
        <v>2006</v>
      </c>
      <c r="E1024" s="122" t="s">
        <v>2122</v>
      </c>
      <c r="F1024" s="123" t="n">
        <v>45820</v>
      </c>
      <c r="G1024" s="121" t="s">
        <v>22</v>
      </c>
      <c r="H102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A1020</v>
      </c>
      <c r="I102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B1020</v>
      </c>
      <c r="J1024" s="122" t="s">
        <v>2123</v>
      </c>
      <c r="K102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C1020</v>
      </c>
      <c r="L102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D1020</v>
      </c>
      <c r="M102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E1020</v>
      </c>
      <c r="N1024" s="122" t="s">
        <v>73</v>
      </c>
      <c r="O1024" s="126" t="n">
        <v>3500000</v>
      </c>
      <c r="P1024" s="121" t="s">
        <v>18</v>
      </c>
      <c r="Q1024" s="121" t="s">
        <v>124</v>
      </c>
      <c r="R1024" s="127"/>
      <c r="T1024" s="118"/>
    </row>
    <row r="1025" customFormat="false" ht="12.75" hidden="false" customHeight="true" outlineLevel="0" collapsed="false">
      <c r="B1025" s="119" t="n">
        <f aca="false">ROW()-4</f>
        <v>1021</v>
      </c>
      <c r="C1025" s="120" t="n">
        <f aca="false">COUNTIFS($D$5:D1025,D1025)</f>
        <v>62</v>
      </c>
      <c r="D1025" s="121" t="s">
        <v>2006</v>
      </c>
      <c r="E1025" s="122" t="s">
        <v>2124</v>
      </c>
      <c r="F1025" s="123" t="n">
        <v>45393</v>
      </c>
      <c r="G1025" s="121" t="s">
        <v>22</v>
      </c>
      <c r="H102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A1021</v>
      </c>
      <c r="I102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B1021</v>
      </c>
      <c r="J1025" s="122" t="s">
        <v>2125</v>
      </c>
      <c r="K102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C1021</v>
      </c>
      <c r="L102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D1021</v>
      </c>
      <c r="M102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E1021</v>
      </c>
      <c r="N1025" s="122" t="s">
        <v>73</v>
      </c>
      <c r="O1025" s="126" t="n">
        <v>3500000</v>
      </c>
      <c r="P1025" s="121" t="s">
        <v>18</v>
      </c>
      <c r="Q1025" s="121" t="s">
        <v>124</v>
      </c>
      <c r="R1025" s="127"/>
      <c r="T1025" s="118"/>
    </row>
    <row r="1026" customFormat="false" ht="12.75" hidden="false" customHeight="true" outlineLevel="0" collapsed="false">
      <c r="B1026" s="119" t="n">
        <f aca="false">ROW()-4</f>
        <v>1022</v>
      </c>
      <c r="C1026" s="120" t="n">
        <f aca="false">COUNTIFS($D$5:D1026,D1026)</f>
        <v>63</v>
      </c>
      <c r="D1026" s="121" t="s">
        <v>2006</v>
      </c>
      <c r="E1026" s="122" t="s">
        <v>2126</v>
      </c>
      <c r="F1026" s="123" t="n">
        <v>45393</v>
      </c>
      <c r="G1026" s="121" t="s">
        <v>22</v>
      </c>
      <c r="H102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A1022</v>
      </c>
      <c r="I102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B1022</v>
      </c>
      <c r="J1026" s="122" t="s">
        <v>2127</v>
      </c>
      <c r="K102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C1022</v>
      </c>
      <c r="L102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D1022</v>
      </c>
      <c r="M102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E1022</v>
      </c>
      <c r="N1026" s="122" t="s">
        <v>73</v>
      </c>
      <c r="O1026" s="126" t="n">
        <v>3500000</v>
      </c>
      <c r="P1026" s="121" t="s">
        <v>18</v>
      </c>
      <c r="Q1026" s="121" t="s">
        <v>124</v>
      </c>
      <c r="R1026" s="127"/>
      <c r="T1026" s="118"/>
    </row>
    <row r="1027" customFormat="false" ht="12.75" hidden="false" customHeight="true" outlineLevel="0" collapsed="false">
      <c r="B1027" s="119" t="n">
        <f aca="false">ROW()-4</f>
        <v>1023</v>
      </c>
      <c r="C1027" s="120" t="n">
        <f aca="false">COUNTIFS($D$5:D1027,D1027)</f>
        <v>64</v>
      </c>
      <c r="D1027" s="121" t="s">
        <v>2006</v>
      </c>
      <c r="E1027" s="122" t="s">
        <v>2128</v>
      </c>
      <c r="F1027" s="123" t="n">
        <v>44673</v>
      </c>
      <c r="G1027" s="121" t="s">
        <v>22</v>
      </c>
      <c r="H102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A1023</v>
      </c>
      <c r="I102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B1023</v>
      </c>
      <c r="J1027" s="122" t="s">
        <v>2129</v>
      </c>
      <c r="K102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C1023</v>
      </c>
      <c r="L102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D1023</v>
      </c>
      <c r="M102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E1023</v>
      </c>
      <c r="N1027" s="122" t="s">
        <v>73</v>
      </c>
      <c r="O1027" s="126" t="n">
        <v>3500000</v>
      </c>
      <c r="P1027" s="121" t="s">
        <v>18</v>
      </c>
      <c r="Q1027" s="121" t="s">
        <v>124</v>
      </c>
      <c r="R1027" s="127"/>
      <c r="T1027" s="118"/>
    </row>
    <row r="1028" customFormat="false" ht="12.75" hidden="false" customHeight="true" outlineLevel="0" collapsed="false">
      <c r="B1028" s="119" t="n">
        <f aca="false">ROW()-4</f>
        <v>1024</v>
      </c>
      <c r="C1028" s="120" t="n">
        <f aca="false">COUNTIFS($D$5:D1028,D1028)</f>
        <v>65</v>
      </c>
      <c r="D1028" s="121" t="s">
        <v>2006</v>
      </c>
      <c r="E1028" s="122" t="s">
        <v>2130</v>
      </c>
      <c r="F1028" s="123" t="n">
        <v>45476</v>
      </c>
      <c r="G1028" s="121" t="s">
        <v>22</v>
      </c>
      <c r="H102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A1024</v>
      </c>
      <c r="I102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B1024</v>
      </c>
      <c r="J1028" s="122" t="s">
        <v>2131</v>
      </c>
      <c r="K102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C1024</v>
      </c>
      <c r="L102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D1024</v>
      </c>
      <c r="M102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E1024</v>
      </c>
      <c r="N1028" s="122" t="s">
        <v>73</v>
      </c>
      <c r="O1028" s="126" t="n">
        <v>3500000</v>
      </c>
      <c r="P1028" s="121" t="s">
        <v>18</v>
      </c>
      <c r="Q1028" s="121" t="s">
        <v>124</v>
      </c>
      <c r="R1028" s="127"/>
      <c r="T1028" s="118"/>
    </row>
    <row r="1029" customFormat="false" ht="12.75" hidden="false" customHeight="true" outlineLevel="0" collapsed="false">
      <c r="B1029" s="119" t="n">
        <f aca="false">ROW()-4</f>
        <v>1025</v>
      </c>
      <c r="C1029" s="120" t="n">
        <f aca="false">COUNTIFS($D$5:D1029,D1029)</f>
        <v>66</v>
      </c>
      <c r="D1029" s="121" t="s">
        <v>2006</v>
      </c>
      <c r="E1029" s="122" t="s">
        <v>2132</v>
      </c>
      <c r="F1029" s="123" t="n">
        <v>45484</v>
      </c>
      <c r="G1029" s="121" t="s">
        <v>22</v>
      </c>
      <c r="H102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A1025</v>
      </c>
      <c r="I102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B1025</v>
      </c>
      <c r="J1029" s="122" t="s">
        <v>2133</v>
      </c>
      <c r="K102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C1025</v>
      </c>
      <c r="L102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D1025</v>
      </c>
      <c r="M102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E1025</v>
      </c>
      <c r="N1029" s="122" t="s">
        <v>73</v>
      </c>
      <c r="O1029" s="126" t="n">
        <v>3500000</v>
      </c>
      <c r="P1029" s="121" t="s">
        <v>18</v>
      </c>
      <c r="Q1029" s="121" t="s">
        <v>124</v>
      </c>
      <c r="R1029" s="127"/>
      <c r="T1029" s="118"/>
    </row>
    <row r="1030" customFormat="false" ht="12.75" hidden="false" customHeight="true" outlineLevel="0" collapsed="false">
      <c r="B1030" s="119" t="n">
        <f aca="false">ROW()-4</f>
        <v>1026</v>
      </c>
      <c r="C1030" s="120" t="n">
        <f aca="false">COUNTIFS($D$5:D1030,D1030)</f>
        <v>67</v>
      </c>
      <c r="D1030" s="121" t="s">
        <v>2006</v>
      </c>
      <c r="E1030" s="122" t="s">
        <v>2134</v>
      </c>
      <c r="F1030" s="123" t="n">
        <v>45810</v>
      </c>
      <c r="G1030" s="121" t="s">
        <v>22</v>
      </c>
      <c r="H103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A1026</v>
      </c>
      <c r="I103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B1026</v>
      </c>
      <c r="J1030" s="122" t="s">
        <v>2135</v>
      </c>
      <c r="K103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C1026</v>
      </c>
      <c r="L103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D1026</v>
      </c>
      <c r="M103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E1026</v>
      </c>
      <c r="N1030" s="122" t="s">
        <v>73</v>
      </c>
      <c r="O1030" s="126" t="n">
        <v>3500000</v>
      </c>
      <c r="P1030" s="121" t="s">
        <v>18</v>
      </c>
      <c r="Q1030" s="121" t="s">
        <v>124</v>
      </c>
      <c r="R1030" s="127"/>
      <c r="T1030" s="118"/>
    </row>
    <row r="1031" customFormat="false" ht="12.75" hidden="false" customHeight="true" outlineLevel="0" collapsed="false">
      <c r="B1031" s="119" t="n">
        <f aca="false">ROW()-4</f>
        <v>1027</v>
      </c>
      <c r="C1031" s="120" t="n">
        <f aca="false">COUNTIFS($D$5:D1031,D1031)</f>
        <v>68</v>
      </c>
      <c r="D1031" s="121" t="s">
        <v>2006</v>
      </c>
      <c r="E1031" s="122" t="s">
        <v>2136</v>
      </c>
      <c r="F1031" s="123" t="n">
        <v>45825</v>
      </c>
      <c r="G1031" s="121" t="s">
        <v>22</v>
      </c>
      <c r="H103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A1027</v>
      </c>
      <c r="I103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B1027</v>
      </c>
      <c r="J1031" s="122" t="s">
        <v>2137</v>
      </c>
      <c r="K103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C1027</v>
      </c>
      <c r="L103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D1027</v>
      </c>
      <c r="M103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E1027</v>
      </c>
      <c r="N1031" s="122" t="s">
        <v>73</v>
      </c>
      <c r="O1031" s="126" t="n">
        <v>3500000</v>
      </c>
      <c r="P1031" s="121" t="s">
        <v>18</v>
      </c>
      <c r="Q1031" s="121" t="s">
        <v>124</v>
      </c>
      <c r="R1031" s="127"/>
      <c r="T1031" s="118"/>
    </row>
    <row r="1032" customFormat="false" ht="12.75" hidden="false" customHeight="true" outlineLevel="0" collapsed="false">
      <c r="B1032" s="119" t="n">
        <f aca="false">ROW()-4</f>
        <v>1028</v>
      </c>
      <c r="C1032" s="120" t="n">
        <f aca="false">COUNTIFS($D$5:D1032,D1032)</f>
        <v>69</v>
      </c>
      <c r="D1032" s="121" t="s">
        <v>2006</v>
      </c>
      <c r="E1032" s="122" t="s">
        <v>2138</v>
      </c>
      <c r="F1032" s="123" t="n">
        <v>45715</v>
      </c>
      <c r="G1032" s="121" t="s">
        <v>22</v>
      </c>
      <c r="H103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A1028</v>
      </c>
      <c r="I103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B1028</v>
      </c>
      <c r="J1032" s="122" t="s">
        <v>2139</v>
      </c>
      <c r="K103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C1028</v>
      </c>
      <c r="L103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D1028</v>
      </c>
      <c r="M103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E1028</v>
      </c>
      <c r="N1032" s="122" t="s">
        <v>73</v>
      </c>
      <c r="O1032" s="126" t="n">
        <v>3500000</v>
      </c>
      <c r="P1032" s="121" t="s">
        <v>18</v>
      </c>
      <c r="Q1032" s="121" t="s">
        <v>124</v>
      </c>
      <c r="R1032" s="127"/>
      <c r="T1032" s="118"/>
    </row>
    <row r="1033" customFormat="false" ht="12.75" hidden="false" customHeight="true" outlineLevel="0" collapsed="false">
      <c r="B1033" s="119" t="n">
        <f aca="false">ROW()-4</f>
        <v>1029</v>
      </c>
      <c r="C1033" s="120" t="n">
        <f aca="false">COUNTIFS($D$5:D1033,D1033)</f>
        <v>70</v>
      </c>
      <c r="D1033" s="121" t="s">
        <v>2006</v>
      </c>
      <c r="E1033" s="122" t="s">
        <v>2140</v>
      </c>
      <c r="F1033" s="123" t="n">
        <v>44652</v>
      </c>
      <c r="G1033" s="121" t="s">
        <v>22</v>
      </c>
      <c r="H103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A1029</v>
      </c>
      <c r="I103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B1029</v>
      </c>
      <c r="J1033" s="122" t="s">
        <v>2141</v>
      </c>
      <c r="K103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C1029</v>
      </c>
      <c r="L103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D1029</v>
      </c>
      <c r="M103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E1029</v>
      </c>
      <c r="N1033" s="122" t="s">
        <v>73</v>
      </c>
      <c r="O1033" s="126" t="n">
        <v>3500000</v>
      </c>
      <c r="P1033" s="121" t="s">
        <v>18</v>
      </c>
      <c r="Q1033" s="121" t="s">
        <v>124</v>
      </c>
      <c r="R1033" s="127"/>
      <c r="T1033" s="118"/>
    </row>
    <row r="1034" customFormat="false" ht="12.75" hidden="false" customHeight="true" outlineLevel="0" collapsed="false">
      <c r="B1034" s="119" t="n">
        <f aca="false">ROW()-4</f>
        <v>1030</v>
      </c>
      <c r="C1034" s="120" t="n">
        <f aca="false">COUNTIFS($D$5:D1034,D1034)</f>
        <v>71</v>
      </c>
      <c r="D1034" s="121" t="s">
        <v>2006</v>
      </c>
      <c r="E1034" s="122" t="s">
        <v>2142</v>
      </c>
      <c r="F1034" s="123" t="n">
        <v>45770</v>
      </c>
      <c r="G1034" s="121" t="s">
        <v>28</v>
      </c>
      <c r="H103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A1030</v>
      </c>
      <c r="I103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B1030</v>
      </c>
      <c r="J1034" s="122" t="s">
        <v>2143</v>
      </c>
      <c r="K103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C1030</v>
      </c>
      <c r="L103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D1030</v>
      </c>
      <c r="M103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E1030</v>
      </c>
      <c r="N1034" s="122" t="s">
        <v>73</v>
      </c>
      <c r="O1034" s="126" t="n">
        <v>3500000</v>
      </c>
      <c r="P1034" s="121" t="s">
        <v>18</v>
      </c>
      <c r="Q1034" s="121" t="s">
        <v>124</v>
      </c>
      <c r="R1034" s="127"/>
      <c r="T1034" s="118"/>
    </row>
    <row r="1035" customFormat="false" ht="12.75" hidden="false" customHeight="true" outlineLevel="0" collapsed="false">
      <c r="B1035" s="119" t="n">
        <f aca="false">ROW()-4</f>
        <v>1031</v>
      </c>
      <c r="C1035" s="120" t="n">
        <f aca="false">COUNTIFS($D$5:D1035,D1035)</f>
        <v>72</v>
      </c>
      <c r="D1035" s="121" t="s">
        <v>2006</v>
      </c>
      <c r="E1035" s="122" t="s">
        <v>2144</v>
      </c>
      <c r="F1035" s="123" t="n">
        <v>46062</v>
      </c>
      <c r="G1035" s="121" t="s">
        <v>28</v>
      </c>
      <c r="H103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A1031</v>
      </c>
      <c r="I103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B1031</v>
      </c>
      <c r="J1035" s="122" t="s">
        <v>2145</v>
      </c>
      <c r="K103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C1031</v>
      </c>
      <c r="L103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D1031</v>
      </c>
      <c r="M103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E1031</v>
      </c>
      <c r="N1035" s="122" t="s">
        <v>73</v>
      </c>
      <c r="O1035" s="126" t="n">
        <v>3500000</v>
      </c>
      <c r="P1035" s="121" t="s">
        <v>18</v>
      </c>
      <c r="Q1035" s="121" t="s">
        <v>124</v>
      </c>
      <c r="R1035" s="127"/>
      <c r="T1035" s="118"/>
    </row>
    <row r="1036" customFormat="false" ht="12.75" hidden="false" customHeight="true" outlineLevel="0" collapsed="false">
      <c r="B1036" s="119" t="n">
        <f aca="false">ROW()-4</f>
        <v>1032</v>
      </c>
      <c r="C1036" s="120" t="n">
        <f aca="false">COUNTIFS($D$5:D1036,D1036)</f>
        <v>73</v>
      </c>
      <c r="D1036" s="121" t="s">
        <v>2006</v>
      </c>
      <c r="E1036" s="122" t="s">
        <v>2146</v>
      </c>
      <c r="F1036" s="123" t="n">
        <v>45412</v>
      </c>
      <c r="G1036" s="121" t="s">
        <v>30</v>
      </c>
      <c r="H103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A1032</v>
      </c>
      <c r="I103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B1032</v>
      </c>
      <c r="J1036" s="122" t="s">
        <v>2147</v>
      </c>
      <c r="K103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C1032</v>
      </c>
      <c r="L103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D1032</v>
      </c>
      <c r="M103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E1032</v>
      </c>
      <c r="N1036" s="122" t="s">
        <v>73</v>
      </c>
      <c r="O1036" s="126" t="n">
        <v>3500000</v>
      </c>
      <c r="P1036" s="121" t="s">
        <v>18</v>
      </c>
      <c r="Q1036" s="121" t="s">
        <v>124</v>
      </c>
      <c r="R1036" s="127"/>
      <c r="T1036" s="118"/>
    </row>
    <row r="1037" customFormat="false" ht="12.75" hidden="false" customHeight="true" outlineLevel="0" collapsed="false">
      <c r="B1037" s="119" t="n">
        <f aca="false">ROW()-4</f>
        <v>1033</v>
      </c>
      <c r="C1037" s="120" t="n">
        <f aca="false">COUNTIFS($D$5:D1037,D1037)</f>
        <v>74</v>
      </c>
      <c r="D1037" s="121" t="s">
        <v>2006</v>
      </c>
      <c r="E1037" s="122" t="s">
        <v>2148</v>
      </c>
      <c r="F1037" s="123" t="n">
        <v>45412</v>
      </c>
      <c r="G1037" s="121" t="s">
        <v>30</v>
      </c>
      <c r="H103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A1033</v>
      </c>
      <c r="I103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B1033</v>
      </c>
      <c r="J1037" s="122" t="s">
        <v>2149</v>
      </c>
      <c r="K103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C1033</v>
      </c>
      <c r="L103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D1033</v>
      </c>
      <c r="M103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E1033</v>
      </c>
      <c r="N1037" s="122" t="s">
        <v>73</v>
      </c>
      <c r="O1037" s="126" t="n">
        <v>3500000</v>
      </c>
      <c r="P1037" s="121" t="s">
        <v>18</v>
      </c>
      <c r="Q1037" s="121" t="s">
        <v>124</v>
      </c>
      <c r="R1037" s="127"/>
      <c r="T1037" s="118"/>
    </row>
    <row r="1038" customFormat="false" ht="12.75" hidden="false" customHeight="true" outlineLevel="0" collapsed="false">
      <c r="B1038" s="119" t="n">
        <f aca="false">ROW()-4</f>
        <v>1034</v>
      </c>
      <c r="C1038" s="120" t="n">
        <f aca="false">COUNTIFS($D$5:D1038,D1038)</f>
        <v>75</v>
      </c>
      <c r="D1038" s="121" t="s">
        <v>2006</v>
      </c>
      <c r="E1038" s="122" t="s">
        <v>2150</v>
      </c>
      <c r="F1038" s="123" t="n">
        <v>45069</v>
      </c>
      <c r="G1038" s="121" t="s">
        <v>22</v>
      </c>
      <c r="H103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A1034</v>
      </c>
      <c r="I103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B1034</v>
      </c>
      <c r="J1038" s="122" t="s">
        <v>2151</v>
      </c>
      <c r="K103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C1034</v>
      </c>
      <c r="L103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D1034</v>
      </c>
      <c r="M103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E1034</v>
      </c>
      <c r="N1038" s="122" t="s">
        <v>73</v>
      </c>
      <c r="O1038" s="126" t="n">
        <v>3500000</v>
      </c>
      <c r="P1038" s="121" t="s">
        <v>18</v>
      </c>
      <c r="Q1038" s="121" t="s">
        <v>124</v>
      </c>
      <c r="R1038" s="127"/>
      <c r="T1038" s="118"/>
    </row>
    <row r="1039" customFormat="false" ht="12.75" hidden="false" customHeight="true" outlineLevel="0" collapsed="false">
      <c r="B1039" s="119" t="n">
        <f aca="false">ROW()-4</f>
        <v>1035</v>
      </c>
      <c r="C1039" s="120" t="n">
        <f aca="false">COUNTIFS($D$5:D1039,D1039)</f>
        <v>76</v>
      </c>
      <c r="D1039" s="121" t="s">
        <v>2006</v>
      </c>
      <c r="E1039" s="122" t="s">
        <v>2152</v>
      </c>
      <c r="F1039" s="123" t="n">
        <v>44700</v>
      </c>
      <c r="G1039" s="121" t="s">
        <v>22</v>
      </c>
      <c r="H103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A1035</v>
      </c>
      <c r="I103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B1035</v>
      </c>
      <c r="J1039" s="122" t="s">
        <v>2153</v>
      </c>
      <c r="K103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C1035</v>
      </c>
      <c r="L103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D1035</v>
      </c>
      <c r="M103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E1035</v>
      </c>
      <c r="N1039" s="122" t="s">
        <v>73</v>
      </c>
      <c r="O1039" s="126" t="n">
        <v>3500000</v>
      </c>
      <c r="P1039" s="121" t="s">
        <v>18</v>
      </c>
      <c r="Q1039" s="121" t="s">
        <v>124</v>
      </c>
      <c r="R1039" s="127"/>
      <c r="T1039" s="118"/>
    </row>
    <row r="1040" customFormat="false" ht="12.75" hidden="false" customHeight="true" outlineLevel="0" collapsed="false">
      <c r="B1040" s="119" t="n">
        <f aca="false">ROW()-4</f>
        <v>1036</v>
      </c>
      <c r="C1040" s="120" t="n">
        <f aca="false">COUNTIFS($D$5:D1040,D1040)</f>
        <v>77</v>
      </c>
      <c r="D1040" s="121" t="s">
        <v>2006</v>
      </c>
      <c r="E1040" s="122" t="s">
        <v>2154</v>
      </c>
      <c r="F1040" s="123" t="n">
        <v>45656</v>
      </c>
      <c r="G1040" s="121" t="s">
        <v>22</v>
      </c>
      <c r="H104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A1036</v>
      </c>
      <c r="I104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B1036</v>
      </c>
      <c r="J1040" s="122" t="s">
        <v>2155</v>
      </c>
      <c r="K104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C1036</v>
      </c>
      <c r="L104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D1036</v>
      </c>
      <c r="M104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E1036</v>
      </c>
      <c r="N1040" s="122" t="s">
        <v>73</v>
      </c>
      <c r="O1040" s="126" t="n">
        <v>3500000</v>
      </c>
      <c r="P1040" s="121" t="s">
        <v>18</v>
      </c>
      <c r="Q1040" s="121" t="s">
        <v>124</v>
      </c>
      <c r="R1040" s="127"/>
      <c r="T1040" s="118"/>
    </row>
    <row r="1041" customFormat="false" ht="12.75" hidden="false" customHeight="true" outlineLevel="0" collapsed="false">
      <c r="B1041" s="119" t="n">
        <f aca="false">ROW()-4</f>
        <v>1037</v>
      </c>
      <c r="C1041" s="120" t="n">
        <f aca="false">COUNTIFS($D$5:D1041,D1041)</f>
        <v>78</v>
      </c>
      <c r="D1041" s="121" t="s">
        <v>2006</v>
      </c>
      <c r="E1041" s="122" t="s">
        <v>2156</v>
      </c>
      <c r="F1041" s="123" t="n">
        <v>45272</v>
      </c>
      <c r="G1041" s="121" t="s">
        <v>26</v>
      </c>
      <c r="H104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A1037</v>
      </c>
      <c r="I104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B1037</v>
      </c>
      <c r="J1041" s="122" t="s">
        <v>2157</v>
      </c>
      <c r="K104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C1037</v>
      </c>
      <c r="L104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D1037</v>
      </c>
      <c r="M104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E1037</v>
      </c>
      <c r="N1041" s="122" t="s">
        <v>73</v>
      </c>
      <c r="O1041" s="126" t="n">
        <v>3500000</v>
      </c>
      <c r="P1041" s="121" t="s">
        <v>18</v>
      </c>
      <c r="Q1041" s="121" t="s">
        <v>124</v>
      </c>
      <c r="R1041" s="127"/>
      <c r="T1041" s="118"/>
    </row>
    <row r="1042" s="118" customFormat="true" ht="12.75" hidden="false" customHeight="true" outlineLevel="0" collapsed="false">
      <c r="A1042" s="98"/>
      <c r="B1042" s="119" t="n">
        <f aca="false">ROW()-4</f>
        <v>1038</v>
      </c>
      <c r="C1042" s="120" t="n">
        <f aca="false">COUNTIFS($D$5:D1042,D1042)</f>
        <v>79</v>
      </c>
      <c r="D1042" s="121" t="s">
        <v>2006</v>
      </c>
      <c r="E1042" s="122" t="s">
        <v>2158</v>
      </c>
      <c r="F1042" s="123" t="n">
        <v>46002</v>
      </c>
      <c r="G1042" s="121" t="s">
        <v>22</v>
      </c>
      <c r="H104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A1038</v>
      </c>
      <c r="I104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B1038</v>
      </c>
      <c r="J1042" s="122" t="s">
        <v>2159</v>
      </c>
      <c r="K104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C1038</v>
      </c>
      <c r="L104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D1038</v>
      </c>
      <c r="M104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E1038</v>
      </c>
      <c r="N1042" s="122" t="s">
        <v>73</v>
      </c>
      <c r="O1042" s="126" t="n">
        <v>3500000</v>
      </c>
      <c r="P1042" s="121" t="s">
        <v>18</v>
      </c>
      <c r="Q1042" s="121" t="s">
        <v>124</v>
      </c>
      <c r="R1042" s="127"/>
    </row>
    <row r="1043" customFormat="false" ht="12.75" hidden="false" customHeight="true" outlineLevel="0" collapsed="false">
      <c r="B1043" s="119" t="n">
        <f aca="false">ROW()-4</f>
        <v>1039</v>
      </c>
      <c r="C1043" s="120" t="n">
        <f aca="false">COUNTIFS($D$5:D1043,D1043)</f>
        <v>80</v>
      </c>
      <c r="D1043" s="121" t="s">
        <v>2006</v>
      </c>
      <c r="E1043" s="122" t="s">
        <v>2160</v>
      </c>
      <c r="F1043" s="123" t="n">
        <v>44782</v>
      </c>
      <c r="G1043" s="121" t="s">
        <v>22</v>
      </c>
      <c r="H104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A1039</v>
      </c>
      <c r="I104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B1039</v>
      </c>
      <c r="J1043" s="122" t="s">
        <v>2161</v>
      </c>
      <c r="K104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C1039</v>
      </c>
      <c r="L104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D1039</v>
      </c>
      <c r="M104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E1039</v>
      </c>
      <c r="N1043" s="122" t="s">
        <v>73</v>
      </c>
      <c r="O1043" s="126" t="n">
        <v>3500000</v>
      </c>
      <c r="P1043" s="121" t="s">
        <v>18</v>
      </c>
      <c r="Q1043" s="121" t="s">
        <v>124</v>
      </c>
      <c r="R1043" s="127"/>
      <c r="T1043" s="118"/>
    </row>
    <row r="1044" customFormat="false" ht="12.75" hidden="false" customHeight="true" outlineLevel="0" collapsed="false">
      <c r="B1044" s="119" t="n">
        <f aca="false">ROW()-4</f>
        <v>1040</v>
      </c>
      <c r="C1044" s="120" t="n">
        <f aca="false">COUNTIFS($D$5:D1044,D1044)</f>
        <v>81</v>
      </c>
      <c r="D1044" s="121" t="s">
        <v>2006</v>
      </c>
      <c r="E1044" s="122" t="s">
        <v>2162</v>
      </c>
      <c r="F1044" s="123" t="n">
        <v>45261</v>
      </c>
      <c r="G1044" s="121" t="s">
        <v>22</v>
      </c>
      <c r="H104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A1040</v>
      </c>
      <c r="I104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B1040</v>
      </c>
      <c r="J1044" s="122" t="s">
        <v>2163</v>
      </c>
      <c r="K104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C1040</v>
      </c>
      <c r="L104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D1040</v>
      </c>
      <c r="M104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E1040</v>
      </c>
      <c r="N1044" s="122" t="s">
        <v>73</v>
      </c>
      <c r="O1044" s="126" t="n">
        <v>3500000</v>
      </c>
      <c r="P1044" s="121" t="s">
        <v>18</v>
      </c>
      <c r="Q1044" s="121" t="s">
        <v>124</v>
      </c>
      <c r="R1044" s="127"/>
      <c r="T1044" s="118"/>
    </row>
    <row r="1045" customFormat="false" ht="12.75" hidden="false" customHeight="true" outlineLevel="0" collapsed="false">
      <c r="B1045" s="119" t="n">
        <f aca="false">ROW()-4</f>
        <v>1041</v>
      </c>
      <c r="C1045" s="120" t="n">
        <f aca="false">COUNTIFS($D$5:D1045,D1045)</f>
        <v>82</v>
      </c>
      <c r="D1045" s="121" t="s">
        <v>2006</v>
      </c>
      <c r="E1045" s="122" t="s">
        <v>2164</v>
      </c>
      <c r="F1045" s="123" t="n">
        <v>45266</v>
      </c>
      <c r="G1045" s="121" t="s">
        <v>22</v>
      </c>
      <c r="H104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A1041</v>
      </c>
      <c r="I104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B1041</v>
      </c>
      <c r="J1045" s="122" t="s">
        <v>2165</v>
      </c>
      <c r="K104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C1041</v>
      </c>
      <c r="L104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D1041</v>
      </c>
      <c r="M104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E1041</v>
      </c>
      <c r="N1045" s="122" t="s">
        <v>73</v>
      </c>
      <c r="O1045" s="126" t="n">
        <v>3500000</v>
      </c>
      <c r="P1045" s="121" t="s">
        <v>18</v>
      </c>
      <c r="Q1045" s="121" t="s">
        <v>124</v>
      </c>
      <c r="R1045" s="127"/>
      <c r="T1045" s="118"/>
    </row>
    <row r="1046" customFormat="false" ht="12.75" hidden="false" customHeight="true" outlineLevel="0" collapsed="false">
      <c r="B1046" s="140" t="n">
        <f aca="false">ROW()-4</f>
        <v>1042</v>
      </c>
      <c r="C1046" s="141" t="n">
        <f aca="false">COUNTIFS($D$5:D1046,D1046)</f>
        <v>83</v>
      </c>
      <c r="D1046" s="142" t="s">
        <v>2006</v>
      </c>
      <c r="E1046" s="143" t="s">
        <v>2166</v>
      </c>
      <c r="F1046" s="144" t="n">
        <v>46062</v>
      </c>
      <c r="G1046" s="142" t="s">
        <v>22</v>
      </c>
      <c r="H1046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A1042</v>
      </c>
      <c r="I1046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B1042</v>
      </c>
      <c r="J1046" s="143" t="s">
        <v>2167</v>
      </c>
      <c r="K1046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C1042</v>
      </c>
      <c r="L1046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D1042</v>
      </c>
      <c r="M1046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E1042</v>
      </c>
      <c r="N1046" s="143" t="s">
        <v>73</v>
      </c>
      <c r="O1046" s="146" t="n">
        <v>3500000</v>
      </c>
      <c r="P1046" s="142" t="s">
        <v>1533</v>
      </c>
      <c r="Q1046" s="143" t="s">
        <v>908</v>
      </c>
      <c r="R1046" s="147"/>
      <c r="T1046" s="118"/>
    </row>
    <row r="1047" customFormat="false" ht="12.75" hidden="false" customHeight="true" outlineLevel="0" collapsed="false">
      <c r="B1047" s="119" t="n">
        <f aca="false">ROW()-4</f>
        <v>1043</v>
      </c>
      <c r="C1047" s="120" t="n">
        <f aca="false">COUNTIFS($D$5:D1047,D1047)</f>
        <v>84</v>
      </c>
      <c r="D1047" s="121" t="s">
        <v>2006</v>
      </c>
      <c r="E1047" s="122" t="s">
        <v>2168</v>
      </c>
      <c r="F1047" s="123" t="n">
        <v>45671</v>
      </c>
      <c r="G1047" s="121" t="s">
        <v>22</v>
      </c>
      <c r="H104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A1043</v>
      </c>
      <c r="I104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B1043</v>
      </c>
      <c r="J1047" s="122" t="s">
        <v>2169</v>
      </c>
      <c r="K104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C1043</v>
      </c>
      <c r="L104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D1043</v>
      </c>
      <c r="M104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E1043</v>
      </c>
      <c r="N1047" s="122" t="s">
        <v>73</v>
      </c>
      <c r="O1047" s="126" t="n">
        <v>3500000</v>
      </c>
      <c r="P1047" s="121" t="s">
        <v>18</v>
      </c>
      <c r="Q1047" s="121" t="s">
        <v>124</v>
      </c>
      <c r="R1047" s="127"/>
      <c r="T1047" s="118"/>
    </row>
    <row r="1048" customFormat="false" ht="12.75" hidden="false" customHeight="true" outlineLevel="0" collapsed="false">
      <c r="B1048" s="119" t="n">
        <f aca="false">ROW()-4</f>
        <v>1044</v>
      </c>
      <c r="C1048" s="120" t="n">
        <f aca="false">COUNTIFS($D$5:D1048,D1048)</f>
        <v>85</v>
      </c>
      <c r="D1048" s="121" t="s">
        <v>2006</v>
      </c>
      <c r="E1048" s="122" t="s">
        <v>2170</v>
      </c>
      <c r="F1048" s="123" t="n">
        <v>45678</v>
      </c>
      <c r="G1048" s="121" t="s">
        <v>22</v>
      </c>
      <c r="H104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A1044</v>
      </c>
      <c r="I104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B1044</v>
      </c>
      <c r="J1048" s="122" t="s">
        <v>2171</v>
      </c>
      <c r="K104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C1044</v>
      </c>
      <c r="L104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D1044</v>
      </c>
      <c r="M104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E1044</v>
      </c>
      <c r="N1048" s="122" t="s">
        <v>73</v>
      </c>
      <c r="O1048" s="126" t="n">
        <v>3500000</v>
      </c>
      <c r="P1048" s="121" t="s">
        <v>18</v>
      </c>
      <c r="Q1048" s="121" t="s">
        <v>124</v>
      </c>
      <c r="R1048" s="127"/>
      <c r="T1048" s="118"/>
    </row>
    <row r="1049" customFormat="false" ht="12.75" hidden="false" customHeight="true" outlineLevel="0" collapsed="false">
      <c r="B1049" s="119" t="n">
        <f aca="false">ROW()-4</f>
        <v>1045</v>
      </c>
      <c r="C1049" s="120" t="n">
        <f aca="false">COUNTIFS($D$5:D1049,D1049)</f>
        <v>86</v>
      </c>
      <c r="D1049" s="121" t="s">
        <v>2006</v>
      </c>
      <c r="E1049" s="122" t="s">
        <v>2172</v>
      </c>
      <c r="F1049" s="123" t="n">
        <v>44699</v>
      </c>
      <c r="G1049" s="121" t="s">
        <v>22</v>
      </c>
      <c r="H104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A1045</v>
      </c>
      <c r="I104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B1045</v>
      </c>
      <c r="J1049" s="122" t="s">
        <v>2173</v>
      </c>
      <c r="K104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C1045</v>
      </c>
      <c r="L104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D1045</v>
      </c>
      <c r="M104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E1045</v>
      </c>
      <c r="N1049" s="122" t="s">
        <v>73</v>
      </c>
      <c r="O1049" s="126" t="n">
        <v>3500000</v>
      </c>
      <c r="P1049" s="121" t="s">
        <v>18</v>
      </c>
      <c r="Q1049" s="121" t="s">
        <v>124</v>
      </c>
      <c r="R1049" s="127"/>
      <c r="T1049" s="118"/>
    </row>
    <row r="1050" customFormat="false" ht="12.75" hidden="false" customHeight="true" outlineLevel="0" collapsed="false">
      <c r="B1050" s="119" t="n">
        <f aca="false">ROW()-4</f>
        <v>1046</v>
      </c>
      <c r="C1050" s="120" t="n">
        <f aca="false">COUNTIFS($D$5:D1050,D1050)</f>
        <v>87</v>
      </c>
      <c r="D1050" s="121" t="s">
        <v>2006</v>
      </c>
      <c r="E1050" s="122" t="s">
        <v>2174</v>
      </c>
      <c r="F1050" s="123" t="n">
        <v>44691</v>
      </c>
      <c r="G1050" s="121" t="s">
        <v>22</v>
      </c>
      <c r="H105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A1046</v>
      </c>
      <c r="I105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B1046</v>
      </c>
      <c r="J1050" s="122" t="s">
        <v>2175</v>
      </c>
      <c r="K105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C1046</v>
      </c>
      <c r="L105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D1046</v>
      </c>
      <c r="M105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E1046</v>
      </c>
      <c r="N1050" s="122" t="s">
        <v>73</v>
      </c>
      <c r="O1050" s="126" t="n">
        <v>3500000</v>
      </c>
      <c r="P1050" s="121" t="s">
        <v>18</v>
      </c>
      <c r="Q1050" s="121" t="s">
        <v>124</v>
      </c>
      <c r="R1050" s="127"/>
      <c r="T1050" s="118"/>
    </row>
    <row r="1051" customFormat="false" ht="12.75" hidden="false" customHeight="true" outlineLevel="0" collapsed="false">
      <c r="B1051" s="119" t="n">
        <f aca="false">ROW()-4</f>
        <v>1047</v>
      </c>
      <c r="C1051" s="120" t="n">
        <f aca="false">COUNTIFS($D$5:D1051,D1051)</f>
        <v>88</v>
      </c>
      <c r="D1051" s="121" t="s">
        <v>2006</v>
      </c>
      <c r="E1051" s="122" t="s">
        <v>2176</v>
      </c>
      <c r="F1051" s="123" t="n">
        <v>44691</v>
      </c>
      <c r="G1051" s="121" t="s">
        <v>22</v>
      </c>
      <c r="H105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A1047</v>
      </c>
      <c r="I105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B1047</v>
      </c>
      <c r="J1051" s="122" t="s">
        <v>2177</v>
      </c>
      <c r="K105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C1047</v>
      </c>
      <c r="L105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D1047</v>
      </c>
      <c r="M105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E1047</v>
      </c>
      <c r="N1051" s="122" t="s">
        <v>73</v>
      </c>
      <c r="O1051" s="126" t="n">
        <v>3500000</v>
      </c>
      <c r="P1051" s="121" t="s">
        <v>18</v>
      </c>
      <c r="Q1051" s="121" t="s">
        <v>124</v>
      </c>
      <c r="R1051" s="127"/>
      <c r="T1051" s="118"/>
    </row>
    <row r="1052" customFormat="false" ht="12.75" hidden="false" customHeight="true" outlineLevel="0" collapsed="false">
      <c r="B1052" s="119" t="n">
        <f aca="false">ROW()-4</f>
        <v>1048</v>
      </c>
      <c r="C1052" s="120" t="n">
        <f aca="false">COUNTIFS($D$5:D1052,D1052)</f>
        <v>89</v>
      </c>
      <c r="D1052" s="121" t="s">
        <v>2006</v>
      </c>
      <c r="E1052" s="122" t="s">
        <v>2178</v>
      </c>
      <c r="F1052" s="123" t="n">
        <v>45796</v>
      </c>
      <c r="G1052" s="121" t="s">
        <v>22</v>
      </c>
      <c r="H105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A1048</v>
      </c>
      <c r="I105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B1048</v>
      </c>
      <c r="J1052" s="122" t="s">
        <v>2179</v>
      </c>
      <c r="K105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C1048</v>
      </c>
      <c r="L105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D1048</v>
      </c>
      <c r="M105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E1048</v>
      </c>
      <c r="N1052" s="122" t="s">
        <v>73</v>
      </c>
      <c r="O1052" s="126" t="n">
        <v>3500000</v>
      </c>
      <c r="P1052" s="121" t="s">
        <v>18</v>
      </c>
      <c r="Q1052" s="121" t="s">
        <v>124</v>
      </c>
      <c r="R1052" s="127"/>
      <c r="T1052" s="118"/>
    </row>
    <row r="1053" customFormat="false" ht="12.75" hidden="false" customHeight="true" outlineLevel="0" collapsed="false">
      <c r="B1053" s="119" t="n">
        <f aca="false">ROW()-4</f>
        <v>1049</v>
      </c>
      <c r="C1053" s="120" t="n">
        <f aca="false">COUNTIFS($D$5:D1053,D1053)</f>
        <v>90</v>
      </c>
      <c r="D1053" s="121" t="s">
        <v>2006</v>
      </c>
      <c r="E1053" s="122" t="s">
        <v>2180</v>
      </c>
      <c r="F1053" s="123" t="n">
        <v>45798</v>
      </c>
      <c r="G1053" s="121" t="s">
        <v>22</v>
      </c>
      <c r="H105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A1049</v>
      </c>
      <c r="I105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B1049</v>
      </c>
      <c r="J1053" s="122" t="s">
        <v>2181</v>
      </c>
      <c r="K105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C1049</v>
      </c>
      <c r="L105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D1049</v>
      </c>
      <c r="M105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E1049</v>
      </c>
      <c r="N1053" s="122" t="s">
        <v>73</v>
      </c>
      <c r="O1053" s="126" t="n">
        <v>3500000</v>
      </c>
      <c r="P1053" s="121" t="s">
        <v>18</v>
      </c>
      <c r="Q1053" s="121" t="s">
        <v>124</v>
      </c>
      <c r="R1053" s="127"/>
      <c r="T1053" s="118"/>
    </row>
    <row r="1054" customFormat="false" ht="12.75" hidden="false" customHeight="true" outlineLevel="0" collapsed="false">
      <c r="B1054" s="119" t="n">
        <f aca="false">ROW()-4</f>
        <v>1050</v>
      </c>
      <c r="C1054" s="120" t="n">
        <f aca="false">COUNTIFS($D$5:D1054,D1054)</f>
        <v>91</v>
      </c>
      <c r="D1054" s="121" t="s">
        <v>2006</v>
      </c>
      <c r="E1054" s="122" t="s">
        <v>2182</v>
      </c>
      <c r="F1054" s="123" t="n">
        <v>44698</v>
      </c>
      <c r="G1054" s="121" t="s">
        <v>22</v>
      </c>
      <c r="H105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A1050</v>
      </c>
      <c r="I105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B1050</v>
      </c>
      <c r="J1054" s="122" t="s">
        <v>2183</v>
      </c>
      <c r="K105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C1050</v>
      </c>
      <c r="L105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D1050</v>
      </c>
      <c r="M105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E1050</v>
      </c>
      <c r="N1054" s="122" t="s">
        <v>73</v>
      </c>
      <c r="O1054" s="126" t="n">
        <v>3500000</v>
      </c>
      <c r="P1054" s="121" t="s">
        <v>18</v>
      </c>
      <c r="Q1054" s="121" t="s">
        <v>124</v>
      </c>
      <c r="R1054" s="127"/>
      <c r="T1054" s="118"/>
    </row>
    <row r="1055" customFormat="false" ht="12.75" hidden="false" customHeight="true" outlineLevel="0" collapsed="false">
      <c r="B1055" s="119" t="n">
        <f aca="false">ROW()-4</f>
        <v>1051</v>
      </c>
      <c r="C1055" s="120" t="n">
        <f aca="false">COUNTIFS($D$5:D1055,D1055)</f>
        <v>92</v>
      </c>
      <c r="D1055" s="121" t="s">
        <v>2006</v>
      </c>
      <c r="E1055" s="122" t="s">
        <v>2184</v>
      </c>
      <c r="F1055" s="123" t="n">
        <v>45421</v>
      </c>
      <c r="G1055" s="121" t="s">
        <v>22</v>
      </c>
      <c r="H105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A1051</v>
      </c>
      <c r="I105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B1051</v>
      </c>
      <c r="J1055" s="122" t="s">
        <v>1915</v>
      </c>
      <c r="K105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C1051</v>
      </c>
      <c r="L105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D1051</v>
      </c>
      <c r="M105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E1051</v>
      </c>
      <c r="N1055" s="122" t="s">
        <v>73</v>
      </c>
      <c r="O1055" s="126" t="n">
        <v>3500000</v>
      </c>
      <c r="P1055" s="121" t="s">
        <v>18</v>
      </c>
      <c r="Q1055" s="121" t="s">
        <v>124</v>
      </c>
      <c r="R1055" s="127"/>
      <c r="T1055" s="118"/>
    </row>
    <row r="1056" customFormat="false" ht="12.75" hidden="false" customHeight="true" outlineLevel="0" collapsed="false">
      <c r="B1056" s="119" t="n">
        <f aca="false">ROW()-4</f>
        <v>1052</v>
      </c>
      <c r="C1056" s="120" t="n">
        <f aca="false">COUNTIFS($D$5:D1056,D1056)</f>
        <v>93</v>
      </c>
      <c r="D1056" s="121" t="s">
        <v>2006</v>
      </c>
      <c r="E1056" s="122" t="s">
        <v>2185</v>
      </c>
      <c r="F1056" s="123" t="n">
        <v>45947</v>
      </c>
      <c r="G1056" s="121" t="s">
        <v>22</v>
      </c>
      <c r="H105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A1052</v>
      </c>
      <c r="I105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B1052</v>
      </c>
      <c r="J1056" s="122" t="s">
        <v>2186</v>
      </c>
      <c r="K105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C1052</v>
      </c>
      <c r="L105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D1052</v>
      </c>
      <c r="M105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E1052</v>
      </c>
      <c r="N1056" s="122" t="s">
        <v>73</v>
      </c>
      <c r="O1056" s="126" t="n">
        <v>3500000</v>
      </c>
      <c r="P1056" s="121" t="s">
        <v>18</v>
      </c>
      <c r="Q1056" s="121" t="s">
        <v>124</v>
      </c>
      <c r="R1056" s="127"/>
      <c r="T1056" s="118"/>
    </row>
    <row r="1057" customFormat="false" ht="12.75" hidden="false" customHeight="true" outlineLevel="0" collapsed="false">
      <c r="B1057" s="119" t="n">
        <f aca="false">ROW()-4</f>
        <v>1053</v>
      </c>
      <c r="C1057" s="120" t="n">
        <f aca="false">COUNTIFS($D$5:D1057,D1057)</f>
        <v>94</v>
      </c>
      <c r="D1057" s="121" t="s">
        <v>2006</v>
      </c>
      <c r="E1057" s="122" t="s">
        <v>2187</v>
      </c>
      <c r="F1057" s="123" t="n">
        <v>45961</v>
      </c>
      <c r="G1057" s="121" t="s">
        <v>22</v>
      </c>
      <c r="H105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A1053</v>
      </c>
      <c r="I105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B1053</v>
      </c>
      <c r="J1057" s="122" t="s">
        <v>2188</v>
      </c>
      <c r="K105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C1053</v>
      </c>
      <c r="L105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D1053</v>
      </c>
      <c r="M105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E1053</v>
      </c>
      <c r="N1057" s="122" t="s">
        <v>73</v>
      </c>
      <c r="O1057" s="126" t="n">
        <v>3500000</v>
      </c>
      <c r="P1057" s="121" t="s">
        <v>18</v>
      </c>
      <c r="Q1057" s="121" t="s">
        <v>124</v>
      </c>
      <c r="R1057" s="127"/>
      <c r="T1057" s="118"/>
    </row>
    <row r="1058" customFormat="false" ht="12.75" hidden="false" customHeight="true" outlineLevel="0" collapsed="false">
      <c r="B1058" s="119" t="n">
        <f aca="false">ROW()-4</f>
        <v>1054</v>
      </c>
      <c r="C1058" s="120" t="n">
        <f aca="false">COUNTIFS($D$5:D1058,D1058)</f>
        <v>95</v>
      </c>
      <c r="D1058" s="121" t="s">
        <v>2006</v>
      </c>
      <c r="E1058" s="122" t="s">
        <v>2189</v>
      </c>
      <c r="F1058" s="123" t="n">
        <v>44677</v>
      </c>
      <c r="G1058" s="121" t="s">
        <v>26</v>
      </c>
      <c r="H105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A1054</v>
      </c>
      <c r="I105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B1054</v>
      </c>
      <c r="J1058" s="122" t="s">
        <v>2190</v>
      </c>
      <c r="K105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C1054</v>
      </c>
      <c r="L105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D1054</v>
      </c>
      <c r="M105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E1054</v>
      </c>
      <c r="N1058" s="122" t="s">
        <v>73</v>
      </c>
      <c r="O1058" s="126" t="n">
        <v>3500000</v>
      </c>
      <c r="P1058" s="121" t="s">
        <v>18</v>
      </c>
      <c r="Q1058" s="121" t="s">
        <v>124</v>
      </c>
      <c r="R1058" s="127"/>
      <c r="T1058" s="118"/>
    </row>
    <row r="1059" customFormat="false" ht="12.75" hidden="false" customHeight="true" outlineLevel="0" collapsed="false">
      <c r="B1059" s="119" t="n">
        <f aca="false">ROW()-4</f>
        <v>1055</v>
      </c>
      <c r="C1059" s="120" t="n">
        <f aca="false">COUNTIFS($D$5:D1059,D1059)</f>
        <v>96</v>
      </c>
      <c r="D1059" s="121" t="s">
        <v>2006</v>
      </c>
      <c r="E1059" s="122" t="s">
        <v>2191</v>
      </c>
      <c r="F1059" s="123" t="n">
        <v>44701</v>
      </c>
      <c r="G1059" s="121" t="s">
        <v>26</v>
      </c>
      <c r="H105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A1055</v>
      </c>
      <c r="I105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B1055</v>
      </c>
      <c r="J1059" s="122" t="s">
        <v>2192</v>
      </c>
      <c r="K105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C1055</v>
      </c>
      <c r="L105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D1055</v>
      </c>
      <c r="M105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E1055</v>
      </c>
      <c r="N1059" s="122" t="s">
        <v>73</v>
      </c>
      <c r="O1059" s="126" t="n">
        <v>3500000</v>
      </c>
      <c r="P1059" s="121" t="s">
        <v>18</v>
      </c>
      <c r="Q1059" s="121" t="s">
        <v>124</v>
      </c>
      <c r="R1059" s="127"/>
      <c r="T1059" s="118"/>
    </row>
    <row r="1060" customFormat="false" ht="12.75" hidden="false" customHeight="true" outlineLevel="0" collapsed="false">
      <c r="B1060" s="119" t="n">
        <f aca="false">ROW()-4</f>
        <v>1056</v>
      </c>
      <c r="C1060" s="120" t="n">
        <f aca="false">COUNTIFS($D$5:D1060,D1060)</f>
        <v>97</v>
      </c>
      <c r="D1060" s="121" t="s">
        <v>2006</v>
      </c>
      <c r="E1060" s="122" t="s">
        <v>2193</v>
      </c>
      <c r="F1060" s="123" t="n">
        <v>45672</v>
      </c>
      <c r="G1060" s="121" t="s">
        <v>28</v>
      </c>
      <c r="H106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A1056</v>
      </c>
      <c r="I106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B1056</v>
      </c>
      <c r="J1060" s="122" t="s">
        <v>2194</v>
      </c>
      <c r="K106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C1056</v>
      </c>
      <c r="L106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D1056</v>
      </c>
      <c r="M106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E1056</v>
      </c>
      <c r="N1060" s="122" t="s">
        <v>73</v>
      </c>
      <c r="O1060" s="126" t="n">
        <v>3500000</v>
      </c>
      <c r="P1060" s="121" t="s">
        <v>18</v>
      </c>
      <c r="Q1060" s="121" t="s">
        <v>124</v>
      </c>
      <c r="R1060" s="127"/>
      <c r="T1060" s="118"/>
    </row>
    <row r="1061" customFormat="false" ht="12.75" hidden="false" customHeight="true" outlineLevel="0" collapsed="false">
      <c r="B1061" s="119" t="n">
        <f aca="false">ROW()-4</f>
        <v>1057</v>
      </c>
      <c r="C1061" s="120" t="n">
        <f aca="false">COUNTIFS($D$5:D1061,D1061)</f>
        <v>98</v>
      </c>
      <c r="D1061" s="121" t="s">
        <v>2006</v>
      </c>
      <c r="E1061" s="122" t="s">
        <v>2195</v>
      </c>
      <c r="F1061" s="123" t="n">
        <v>45636</v>
      </c>
      <c r="G1061" s="121" t="s">
        <v>28</v>
      </c>
      <c r="H106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A1057</v>
      </c>
      <c r="I106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B1057</v>
      </c>
      <c r="J1061" s="122" t="s">
        <v>2196</v>
      </c>
      <c r="K106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C1057</v>
      </c>
      <c r="L106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D1057</v>
      </c>
      <c r="M106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E1057</v>
      </c>
      <c r="N1061" s="122" t="s">
        <v>73</v>
      </c>
      <c r="O1061" s="126" t="n">
        <v>3500000</v>
      </c>
      <c r="P1061" s="121" t="s">
        <v>18</v>
      </c>
      <c r="Q1061" s="121" t="s">
        <v>124</v>
      </c>
      <c r="R1061" s="127"/>
      <c r="T1061" s="118"/>
    </row>
    <row r="1062" customFormat="false" ht="12.75" hidden="false" customHeight="true" outlineLevel="0" collapsed="false">
      <c r="B1062" s="119" t="n">
        <f aca="false">ROW()-4</f>
        <v>1058</v>
      </c>
      <c r="C1062" s="120" t="n">
        <f aca="false">COUNTIFS($D$5:D1062,D1062)</f>
        <v>99</v>
      </c>
      <c r="D1062" s="121" t="s">
        <v>2006</v>
      </c>
      <c r="E1062" s="122" t="s">
        <v>2197</v>
      </c>
      <c r="F1062" s="123" t="n">
        <v>45343</v>
      </c>
      <c r="G1062" s="121" t="s">
        <v>22</v>
      </c>
      <c r="H106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A1058</v>
      </c>
      <c r="I106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B1058</v>
      </c>
      <c r="J1062" s="122" t="s">
        <v>2198</v>
      </c>
      <c r="K106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C1058</v>
      </c>
      <c r="L106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D1058</v>
      </c>
      <c r="M106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E1058</v>
      </c>
      <c r="N1062" s="122" t="s">
        <v>73</v>
      </c>
      <c r="O1062" s="126" t="n">
        <v>3500000</v>
      </c>
      <c r="P1062" s="121" t="s">
        <v>18</v>
      </c>
      <c r="Q1062" s="121" t="s">
        <v>124</v>
      </c>
      <c r="R1062" s="127"/>
      <c r="T1062" s="118"/>
    </row>
    <row r="1063" customFormat="false" ht="12.75" hidden="false" customHeight="true" outlineLevel="0" collapsed="false">
      <c r="B1063" s="119" t="n">
        <f aca="false">ROW()-4</f>
        <v>1059</v>
      </c>
      <c r="C1063" s="120" t="n">
        <f aca="false">COUNTIFS($D$5:D1063,D1063)</f>
        <v>100</v>
      </c>
      <c r="D1063" s="121" t="s">
        <v>2006</v>
      </c>
      <c r="E1063" s="122" t="s">
        <v>2199</v>
      </c>
      <c r="F1063" s="123" t="n">
        <v>44720</v>
      </c>
      <c r="G1063" s="121" t="s">
        <v>22</v>
      </c>
      <c r="H106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A1059</v>
      </c>
      <c r="I106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B1059</v>
      </c>
      <c r="J1063" s="124" t="s">
        <v>2200</v>
      </c>
      <c r="K106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C1059</v>
      </c>
      <c r="L106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D1059</v>
      </c>
      <c r="M106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E1059</v>
      </c>
      <c r="N1063" s="122" t="s">
        <v>73</v>
      </c>
      <c r="O1063" s="126" t="n">
        <v>3500000</v>
      </c>
      <c r="P1063" s="121" t="s">
        <v>18</v>
      </c>
      <c r="Q1063" s="121" t="s">
        <v>124</v>
      </c>
      <c r="R1063" s="127"/>
      <c r="T1063" s="118"/>
    </row>
    <row r="1064" customFormat="false" ht="12.75" hidden="false" customHeight="true" outlineLevel="0" collapsed="false">
      <c r="B1064" s="119" t="n">
        <f aca="false">ROW()-4</f>
        <v>1060</v>
      </c>
      <c r="C1064" s="120" t="n">
        <f aca="false">COUNTIFS($D$5:D1064,D1064)</f>
        <v>101</v>
      </c>
      <c r="D1064" s="121" t="s">
        <v>2006</v>
      </c>
      <c r="E1064" s="122" t="s">
        <v>2201</v>
      </c>
      <c r="F1064" s="123" t="n">
        <v>44720</v>
      </c>
      <c r="G1064" s="121" t="s">
        <v>22</v>
      </c>
      <c r="H106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A1060</v>
      </c>
      <c r="I106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B1060</v>
      </c>
      <c r="J1064" s="124" t="s">
        <v>2202</v>
      </c>
      <c r="K106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C1060</v>
      </c>
      <c r="L106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D1060</v>
      </c>
      <c r="M106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E1060</v>
      </c>
      <c r="N1064" s="122" t="s">
        <v>73</v>
      </c>
      <c r="O1064" s="126" t="n">
        <v>3500000</v>
      </c>
      <c r="P1064" s="121" t="s">
        <v>18</v>
      </c>
      <c r="Q1064" s="121" t="s">
        <v>124</v>
      </c>
      <c r="R1064" s="127"/>
      <c r="T1064" s="118"/>
    </row>
    <row r="1065" customFormat="false" ht="12.75" hidden="false" customHeight="true" outlineLevel="0" collapsed="false">
      <c r="B1065" s="119" t="n">
        <f aca="false">ROW()-4</f>
        <v>1061</v>
      </c>
      <c r="C1065" s="120" t="n">
        <f aca="false">COUNTIFS($D$5:D1065,D1065)</f>
        <v>102</v>
      </c>
      <c r="D1065" s="121" t="s">
        <v>2006</v>
      </c>
      <c r="E1065" s="122" t="s">
        <v>2203</v>
      </c>
      <c r="F1065" s="123" t="n">
        <v>44734</v>
      </c>
      <c r="G1065" s="121" t="s">
        <v>22</v>
      </c>
      <c r="H106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A1061</v>
      </c>
      <c r="I106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B1061</v>
      </c>
      <c r="J1065" s="122" t="s">
        <v>2204</v>
      </c>
      <c r="K106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C1061</v>
      </c>
      <c r="L106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D1061</v>
      </c>
      <c r="M106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E1061</v>
      </c>
      <c r="N1065" s="122" t="s">
        <v>73</v>
      </c>
      <c r="O1065" s="126" t="n">
        <v>3500000</v>
      </c>
      <c r="P1065" s="121" t="s">
        <v>18</v>
      </c>
      <c r="Q1065" s="121" t="s">
        <v>124</v>
      </c>
      <c r="R1065" s="127"/>
      <c r="T1065" s="118"/>
    </row>
    <row r="1066" customFormat="false" ht="12.75" hidden="false" customHeight="true" outlineLevel="0" collapsed="false">
      <c r="B1066" s="119" t="n">
        <f aca="false">ROW()-4</f>
        <v>1062</v>
      </c>
      <c r="C1066" s="120" t="n">
        <f aca="false">COUNTIFS($D$5:D1066,D1066)</f>
        <v>103</v>
      </c>
      <c r="D1066" s="121" t="s">
        <v>2006</v>
      </c>
      <c r="E1066" s="122" t="s">
        <v>2205</v>
      </c>
      <c r="F1066" s="123" t="n">
        <v>44734</v>
      </c>
      <c r="G1066" s="121" t="s">
        <v>22</v>
      </c>
      <c r="H106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A1062</v>
      </c>
      <c r="I106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B1062</v>
      </c>
      <c r="J1066" s="122" t="s">
        <v>2206</v>
      </c>
      <c r="K106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C1062</v>
      </c>
      <c r="L106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D1062</v>
      </c>
      <c r="M106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E1062</v>
      </c>
      <c r="N1066" s="122" t="s">
        <v>73</v>
      </c>
      <c r="O1066" s="126" t="n">
        <v>3500000</v>
      </c>
      <c r="P1066" s="121" t="s">
        <v>18</v>
      </c>
      <c r="Q1066" s="121" t="s">
        <v>124</v>
      </c>
      <c r="R1066" s="127"/>
      <c r="T1066" s="118"/>
    </row>
    <row r="1067" customFormat="false" ht="12.75" hidden="false" customHeight="true" outlineLevel="0" collapsed="false">
      <c r="B1067" s="119" t="n">
        <f aca="false">ROW()-4</f>
        <v>1063</v>
      </c>
      <c r="C1067" s="120" t="n">
        <f aca="false">COUNTIFS($D$5:D1067,D1067)</f>
        <v>104</v>
      </c>
      <c r="D1067" s="121" t="s">
        <v>2006</v>
      </c>
      <c r="E1067" s="122" t="s">
        <v>2207</v>
      </c>
      <c r="F1067" s="123" t="n">
        <v>45341</v>
      </c>
      <c r="G1067" s="121" t="s">
        <v>22</v>
      </c>
      <c r="H106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A1063</v>
      </c>
      <c r="I106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B1063</v>
      </c>
      <c r="J1067" s="122" t="s">
        <v>2208</v>
      </c>
      <c r="K106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C1063</v>
      </c>
      <c r="L106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D1063</v>
      </c>
      <c r="M106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E1063</v>
      </c>
      <c r="N1067" s="122" t="s">
        <v>73</v>
      </c>
      <c r="O1067" s="126" t="n">
        <v>3500000</v>
      </c>
      <c r="P1067" s="121" t="s">
        <v>18</v>
      </c>
      <c r="Q1067" s="121" t="s">
        <v>124</v>
      </c>
      <c r="R1067" s="127"/>
      <c r="T1067" s="118"/>
    </row>
    <row r="1068" customFormat="false" ht="12.75" hidden="false" customHeight="true" outlineLevel="0" collapsed="false">
      <c r="B1068" s="119" t="n">
        <f aca="false">ROW()-4</f>
        <v>1064</v>
      </c>
      <c r="C1068" s="120" t="n">
        <f aca="false">COUNTIFS($D$5:D1068,D1068)</f>
        <v>105</v>
      </c>
      <c r="D1068" s="121" t="s">
        <v>2006</v>
      </c>
      <c r="E1068" s="122" t="s">
        <v>2209</v>
      </c>
      <c r="F1068" s="123" t="n">
        <v>45345</v>
      </c>
      <c r="G1068" s="121" t="s">
        <v>26</v>
      </c>
      <c r="H106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A1064</v>
      </c>
      <c r="I106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B1064</v>
      </c>
      <c r="J1068" s="122" t="s">
        <v>2210</v>
      </c>
      <c r="K106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C1064</v>
      </c>
      <c r="L106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D1064</v>
      </c>
      <c r="M106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E1064</v>
      </c>
      <c r="N1068" s="122" t="s">
        <v>73</v>
      </c>
      <c r="O1068" s="126" t="n">
        <v>3500000</v>
      </c>
      <c r="P1068" s="121" t="s">
        <v>18</v>
      </c>
      <c r="Q1068" s="121" t="s">
        <v>124</v>
      </c>
      <c r="R1068" s="127"/>
      <c r="T1068" s="118"/>
    </row>
    <row r="1069" customFormat="false" ht="12.75" hidden="false" customHeight="true" outlineLevel="0" collapsed="false">
      <c r="B1069" s="119" t="n">
        <f aca="false">ROW()-4</f>
        <v>1065</v>
      </c>
      <c r="C1069" s="120" t="n">
        <f aca="false">COUNTIFS($D$5:D1069,D1069)</f>
        <v>106</v>
      </c>
      <c r="D1069" s="121" t="s">
        <v>2006</v>
      </c>
      <c r="E1069" s="122" t="s">
        <v>2211</v>
      </c>
      <c r="F1069" s="123" t="n">
        <v>44725</v>
      </c>
      <c r="G1069" s="121" t="s">
        <v>22</v>
      </c>
      <c r="H106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A1065</v>
      </c>
      <c r="I106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B1065</v>
      </c>
      <c r="J1069" s="124" t="s">
        <v>2212</v>
      </c>
      <c r="K106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C1065</v>
      </c>
      <c r="L106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D1065</v>
      </c>
      <c r="M106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E1065</v>
      </c>
      <c r="N1069" s="122" t="s">
        <v>73</v>
      </c>
      <c r="O1069" s="126" t="n">
        <v>3500000</v>
      </c>
      <c r="P1069" s="121" t="s">
        <v>18</v>
      </c>
      <c r="Q1069" s="121" t="s">
        <v>124</v>
      </c>
      <c r="R1069" s="127"/>
      <c r="T1069" s="118"/>
    </row>
    <row r="1070" customFormat="false" ht="12.75" hidden="false" customHeight="true" outlineLevel="0" collapsed="false">
      <c r="B1070" s="119" t="n">
        <f aca="false">ROW()-4</f>
        <v>1066</v>
      </c>
      <c r="C1070" s="120" t="n">
        <f aca="false">COUNTIFS($D$5:D1070,D1070)</f>
        <v>107</v>
      </c>
      <c r="D1070" s="121" t="s">
        <v>2006</v>
      </c>
      <c r="E1070" s="122" t="s">
        <v>2213</v>
      </c>
      <c r="F1070" s="123" t="n">
        <v>44725</v>
      </c>
      <c r="G1070" s="121" t="s">
        <v>22</v>
      </c>
      <c r="H107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A1066</v>
      </c>
      <c r="I107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B1066</v>
      </c>
      <c r="J1070" s="124" t="s">
        <v>2214</v>
      </c>
      <c r="K107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C1066</v>
      </c>
      <c r="L107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D1066</v>
      </c>
      <c r="M107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E1066</v>
      </c>
      <c r="N1070" s="122" t="s">
        <v>73</v>
      </c>
      <c r="O1070" s="126" t="n">
        <v>3500000</v>
      </c>
      <c r="P1070" s="121" t="s">
        <v>18</v>
      </c>
      <c r="Q1070" s="121" t="s">
        <v>124</v>
      </c>
      <c r="R1070" s="127"/>
      <c r="T1070" s="118"/>
    </row>
    <row r="1071" customFormat="false" ht="12.75" hidden="false" customHeight="true" outlineLevel="0" collapsed="false">
      <c r="B1071" s="119" t="n">
        <f aca="false">ROW()-4</f>
        <v>1067</v>
      </c>
      <c r="C1071" s="120" t="n">
        <f aca="false">COUNTIFS($D$5:D1071,D1071)</f>
        <v>108</v>
      </c>
      <c r="D1071" s="121" t="s">
        <v>2006</v>
      </c>
      <c r="E1071" s="122" t="s">
        <v>2215</v>
      </c>
      <c r="F1071" s="123" t="n">
        <v>44728</v>
      </c>
      <c r="G1071" s="121" t="s">
        <v>22</v>
      </c>
      <c r="H107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A1067</v>
      </c>
      <c r="I107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B1067</v>
      </c>
      <c r="J1071" s="124" t="s">
        <v>2216</v>
      </c>
      <c r="K107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C1067</v>
      </c>
      <c r="L107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D1067</v>
      </c>
      <c r="M107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E1067</v>
      </c>
      <c r="N1071" s="122" t="s">
        <v>73</v>
      </c>
      <c r="O1071" s="126" t="n">
        <v>3500000</v>
      </c>
      <c r="P1071" s="121" t="s">
        <v>18</v>
      </c>
      <c r="Q1071" s="121" t="s">
        <v>124</v>
      </c>
      <c r="R1071" s="127"/>
      <c r="T1071" s="118"/>
    </row>
    <row r="1072" customFormat="false" ht="12.75" hidden="false" customHeight="true" outlineLevel="0" collapsed="false">
      <c r="B1072" s="119" t="n">
        <f aca="false">ROW()-4</f>
        <v>1068</v>
      </c>
      <c r="C1072" s="120" t="n">
        <f aca="false">COUNTIFS($D$5:D1072,D1072)</f>
        <v>109</v>
      </c>
      <c r="D1072" s="121" t="s">
        <v>2006</v>
      </c>
      <c r="E1072" s="122" t="s">
        <v>2217</v>
      </c>
      <c r="F1072" s="123" t="n">
        <v>44719</v>
      </c>
      <c r="G1072" s="121" t="s">
        <v>22</v>
      </c>
      <c r="H107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A1068</v>
      </c>
      <c r="I107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B1068</v>
      </c>
      <c r="J1072" s="122" t="s">
        <v>2218</v>
      </c>
      <c r="K107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C1068</v>
      </c>
      <c r="L107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D1068</v>
      </c>
      <c r="M107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E1068</v>
      </c>
      <c r="N1072" s="122" t="s">
        <v>73</v>
      </c>
      <c r="O1072" s="126" t="n">
        <v>3500000</v>
      </c>
      <c r="P1072" s="121" t="s">
        <v>18</v>
      </c>
      <c r="Q1072" s="121" t="s">
        <v>124</v>
      </c>
      <c r="R1072" s="127"/>
      <c r="T1072" s="118"/>
    </row>
    <row r="1073" customFormat="false" ht="12.75" hidden="false" customHeight="true" outlineLevel="0" collapsed="false">
      <c r="B1073" s="119" t="n">
        <f aca="false">ROW()-4</f>
        <v>1069</v>
      </c>
      <c r="C1073" s="120" t="n">
        <f aca="false">COUNTIFS($D$5:D1073,D1073)</f>
        <v>110</v>
      </c>
      <c r="D1073" s="121" t="s">
        <v>2006</v>
      </c>
      <c r="E1073" s="122" t="s">
        <v>2219</v>
      </c>
      <c r="F1073" s="123" t="n">
        <v>44719</v>
      </c>
      <c r="G1073" s="121" t="s">
        <v>22</v>
      </c>
      <c r="H107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A1069</v>
      </c>
      <c r="I107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B1069</v>
      </c>
      <c r="J1073" s="122" t="s">
        <v>2220</v>
      </c>
      <c r="K107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C1069</v>
      </c>
      <c r="L107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D1069</v>
      </c>
      <c r="M107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E1069</v>
      </c>
      <c r="N1073" s="122" t="s">
        <v>73</v>
      </c>
      <c r="O1073" s="126" t="n">
        <v>3500000</v>
      </c>
      <c r="P1073" s="121" t="s">
        <v>18</v>
      </c>
      <c r="Q1073" s="121" t="s">
        <v>124</v>
      </c>
      <c r="R1073" s="127"/>
      <c r="T1073" s="118"/>
    </row>
    <row r="1074" customFormat="false" ht="12.75" hidden="false" customHeight="true" outlineLevel="0" collapsed="false">
      <c r="B1074" s="119" t="n">
        <f aca="false">ROW()-4</f>
        <v>1070</v>
      </c>
      <c r="C1074" s="120" t="n">
        <f aca="false">COUNTIFS($D$5:D1074,D1074)</f>
        <v>111</v>
      </c>
      <c r="D1074" s="121" t="s">
        <v>2006</v>
      </c>
      <c r="E1074" s="122" t="s">
        <v>2221</v>
      </c>
      <c r="F1074" s="123" t="n">
        <v>44719</v>
      </c>
      <c r="G1074" s="121" t="s">
        <v>22</v>
      </c>
      <c r="H107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A1070</v>
      </c>
      <c r="I107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B1070</v>
      </c>
      <c r="J1074" s="122" t="s">
        <v>2222</v>
      </c>
      <c r="K107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C1070</v>
      </c>
      <c r="L107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D1070</v>
      </c>
      <c r="M107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E1070</v>
      </c>
      <c r="N1074" s="122" t="s">
        <v>73</v>
      </c>
      <c r="O1074" s="126" t="n">
        <v>3500000</v>
      </c>
      <c r="P1074" s="121" t="s">
        <v>18</v>
      </c>
      <c r="Q1074" s="121" t="s">
        <v>124</v>
      </c>
      <c r="R1074" s="127"/>
      <c r="T1074" s="118"/>
    </row>
    <row r="1075" customFormat="false" ht="12.75" hidden="false" customHeight="true" outlineLevel="0" collapsed="false">
      <c r="B1075" s="119" t="n">
        <f aca="false">ROW()-4</f>
        <v>1071</v>
      </c>
      <c r="C1075" s="120" t="n">
        <f aca="false">COUNTIFS($D$5:D1075,D1075)</f>
        <v>112</v>
      </c>
      <c r="D1075" s="121" t="s">
        <v>2006</v>
      </c>
      <c r="E1075" s="122" t="s">
        <v>2223</v>
      </c>
      <c r="F1075" s="123" t="n">
        <v>44966</v>
      </c>
      <c r="G1075" s="121" t="s">
        <v>22</v>
      </c>
      <c r="H107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A1071</v>
      </c>
      <c r="I107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B1071</v>
      </c>
      <c r="J1075" s="122" t="s">
        <v>2224</v>
      </c>
      <c r="K107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C1071</v>
      </c>
      <c r="L107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D1071</v>
      </c>
      <c r="M107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E1071</v>
      </c>
      <c r="N1075" s="122" t="s">
        <v>73</v>
      </c>
      <c r="O1075" s="126" t="n">
        <v>3500000</v>
      </c>
      <c r="P1075" s="121" t="s">
        <v>18</v>
      </c>
      <c r="Q1075" s="121" t="s">
        <v>124</v>
      </c>
      <c r="R1075" s="127"/>
      <c r="T1075" s="118"/>
    </row>
    <row r="1076" customFormat="false" ht="12.75" hidden="false" customHeight="true" outlineLevel="0" collapsed="false">
      <c r="B1076" s="119" t="n">
        <f aca="false">ROW()-4</f>
        <v>1072</v>
      </c>
      <c r="C1076" s="120" t="n">
        <f aca="false">COUNTIFS($D$5:D1076,D1076)</f>
        <v>113</v>
      </c>
      <c r="D1076" s="121" t="s">
        <v>2006</v>
      </c>
      <c r="E1076" s="122" t="s">
        <v>2225</v>
      </c>
      <c r="F1076" s="123" t="n">
        <v>45996</v>
      </c>
      <c r="G1076" s="121" t="s">
        <v>22</v>
      </c>
      <c r="H107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A1072</v>
      </c>
      <c r="I107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B1072</v>
      </c>
      <c r="J1076" s="122" t="s">
        <v>2226</v>
      </c>
      <c r="K107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C1072</v>
      </c>
      <c r="L107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D1072</v>
      </c>
      <c r="M107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E1072</v>
      </c>
      <c r="N1076" s="122" t="s">
        <v>73</v>
      </c>
      <c r="O1076" s="126" t="n">
        <v>3500000</v>
      </c>
      <c r="P1076" s="121" t="s">
        <v>18</v>
      </c>
      <c r="Q1076" s="121" t="s">
        <v>124</v>
      </c>
      <c r="R1076" s="127"/>
      <c r="T1076" s="118"/>
    </row>
    <row r="1077" customFormat="false" ht="12.75" hidden="false" customHeight="true" outlineLevel="0" collapsed="false">
      <c r="B1077" s="119" t="n">
        <f aca="false">ROW()-4</f>
        <v>1073</v>
      </c>
      <c r="C1077" s="120" t="n">
        <f aca="false">COUNTIFS($D$5:D1077,D1077)</f>
        <v>114</v>
      </c>
      <c r="D1077" s="121" t="s">
        <v>2006</v>
      </c>
      <c r="E1077" s="122" t="s">
        <v>2227</v>
      </c>
      <c r="F1077" s="123" t="n">
        <v>44736</v>
      </c>
      <c r="G1077" s="121" t="s">
        <v>22</v>
      </c>
      <c r="H107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A1073</v>
      </c>
      <c r="I107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B1073</v>
      </c>
      <c r="J1077" s="122" t="s">
        <v>2228</v>
      </c>
      <c r="K107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C1073</v>
      </c>
      <c r="L107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D1073</v>
      </c>
      <c r="M107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E1073</v>
      </c>
      <c r="N1077" s="122" t="s">
        <v>73</v>
      </c>
      <c r="O1077" s="126" t="n">
        <v>3500000</v>
      </c>
      <c r="P1077" s="121" t="s">
        <v>18</v>
      </c>
      <c r="Q1077" s="121" t="s">
        <v>124</v>
      </c>
      <c r="R1077" s="127"/>
      <c r="T1077" s="118"/>
    </row>
    <row r="1078" customFormat="false" ht="12.75" hidden="false" customHeight="true" outlineLevel="0" collapsed="false">
      <c r="B1078" s="119" t="n">
        <f aca="false">ROW()-4</f>
        <v>1074</v>
      </c>
      <c r="C1078" s="120" t="n">
        <f aca="false">COUNTIFS($D$5:D1078,D1078)</f>
        <v>115</v>
      </c>
      <c r="D1078" s="121" t="s">
        <v>2006</v>
      </c>
      <c r="E1078" s="122" t="s">
        <v>2229</v>
      </c>
      <c r="F1078" s="123" t="n">
        <v>44715</v>
      </c>
      <c r="G1078" s="121" t="s">
        <v>22</v>
      </c>
      <c r="H107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A1074</v>
      </c>
      <c r="I107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B1074</v>
      </c>
      <c r="J1078" s="122" t="s">
        <v>2230</v>
      </c>
      <c r="K107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C1074</v>
      </c>
      <c r="L107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D1074</v>
      </c>
      <c r="M107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E1074</v>
      </c>
      <c r="N1078" s="122" t="s">
        <v>73</v>
      </c>
      <c r="O1078" s="126" t="n">
        <v>3500000</v>
      </c>
      <c r="P1078" s="121" t="s">
        <v>18</v>
      </c>
      <c r="Q1078" s="121" t="s">
        <v>124</v>
      </c>
      <c r="R1078" s="127"/>
      <c r="T1078" s="118"/>
    </row>
    <row r="1079" customFormat="false" ht="12.75" hidden="false" customHeight="true" outlineLevel="0" collapsed="false">
      <c r="B1079" s="119" t="n">
        <f aca="false">ROW()-4</f>
        <v>1075</v>
      </c>
      <c r="C1079" s="120" t="n">
        <f aca="false">COUNTIFS($D$5:D1079,D1079)</f>
        <v>116</v>
      </c>
      <c r="D1079" s="121" t="s">
        <v>2006</v>
      </c>
      <c r="E1079" s="122" t="s">
        <v>2231</v>
      </c>
      <c r="F1079" s="123" t="n">
        <v>44827</v>
      </c>
      <c r="G1079" s="121" t="s">
        <v>22</v>
      </c>
      <c r="H107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A1075</v>
      </c>
      <c r="I107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B1075</v>
      </c>
      <c r="J1079" s="122" t="s">
        <v>2232</v>
      </c>
      <c r="K107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C1075</v>
      </c>
      <c r="L107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D1075</v>
      </c>
      <c r="M107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E1075</v>
      </c>
      <c r="N1079" s="122" t="s">
        <v>73</v>
      </c>
      <c r="O1079" s="126" t="n">
        <v>3500000</v>
      </c>
      <c r="P1079" s="121" t="s">
        <v>18</v>
      </c>
      <c r="Q1079" s="121" t="s">
        <v>124</v>
      </c>
      <c r="R1079" s="127"/>
      <c r="T1079" s="118"/>
    </row>
    <row r="1080" customFormat="false" ht="12.75" hidden="false" customHeight="true" outlineLevel="0" collapsed="false">
      <c r="B1080" s="119" t="n">
        <f aca="false">ROW()-4</f>
        <v>1076</v>
      </c>
      <c r="C1080" s="120" t="n">
        <f aca="false">COUNTIFS($D$5:D1080,D1080)</f>
        <v>117</v>
      </c>
      <c r="D1080" s="121" t="s">
        <v>2006</v>
      </c>
      <c r="E1080" s="122" t="s">
        <v>2233</v>
      </c>
      <c r="F1080" s="123" t="n">
        <v>44715</v>
      </c>
      <c r="G1080" s="121" t="s">
        <v>22</v>
      </c>
      <c r="H108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A1076</v>
      </c>
      <c r="I108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B1076</v>
      </c>
      <c r="J1080" s="122" t="s">
        <v>2234</v>
      </c>
      <c r="K108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C1076</v>
      </c>
      <c r="L108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D1076</v>
      </c>
      <c r="M108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E1076</v>
      </c>
      <c r="N1080" s="122" t="s">
        <v>73</v>
      </c>
      <c r="O1080" s="126" t="n">
        <v>3500000</v>
      </c>
      <c r="P1080" s="121" t="s">
        <v>18</v>
      </c>
      <c r="Q1080" s="121" t="s">
        <v>124</v>
      </c>
      <c r="R1080" s="127"/>
      <c r="T1080" s="118"/>
    </row>
    <row r="1081" customFormat="false" ht="12.75" hidden="false" customHeight="true" outlineLevel="0" collapsed="false">
      <c r="B1081" s="119" t="n">
        <f aca="false">ROW()-4</f>
        <v>1077</v>
      </c>
      <c r="C1081" s="120" t="n">
        <f aca="false">COUNTIFS($D$5:D1081,D1081)</f>
        <v>118</v>
      </c>
      <c r="D1081" s="121" t="s">
        <v>2006</v>
      </c>
      <c r="E1081" s="122" t="s">
        <v>2235</v>
      </c>
      <c r="F1081" s="123" t="n">
        <v>44711</v>
      </c>
      <c r="G1081" s="121" t="s">
        <v>22</v>
      </c>
      <c r="H108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A1077</v>
      </c>
      <c r="I108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B1077</v>
      </c>
      <c r="J1081" s="122" t="s">
        <v>2236</v>
      </c>
      <c r="K108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C1077</v>
      </c>
      <c r="L108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D1077</v>
      </c>
      <c r="M108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E1077</v>
      </c>
      <c r="N1081" s="122" t="s">
        <v>73</v>
      </c>
      <c r="O1081" s="126" t="n">
        <v>3500000</v>
      </c>
      <c r="P1081" s="121" t="s">
        <v>18</v>
      </c>
      <c r="Q1081" s="121" t="s">
        <v>124</v>
      </c>
      <c r="R1081" s="127"/>
      <c r="T1081" s="118"/>
    </row>
    <row r="1082" customFormat="false" ht="12.75" hidden="false" customHeight="true" outlineLevel="0" collapsed="false">
      <c r="B1082" s="119" t="n">
        <f aca="false">ROW()-4</f>
        <v>1078</v>
      </c>
      <c r="C1082" s="120" t="n">
        <f aca="false">COUNTIFS($D$5:D1082,D1082)</f>
        <v>119</v>
      </c>
      <c r="D1082" s="121" t="s">
        <v>2006</v>
      </c>
      <c r="E1082" s="122" t="s">
        <v>2237</v>
      </c>
      <c r="F1082" s="123" t="n">
        <v>44711</v>
      </c>
      <c r="G1082" s="121" t="s">
        <v>22</v>
      </c>
      <c r="H108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A1078</v>
      </c>
      <c r="I108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B1078</v>
      </c>
      <c r="J1082" s="122" t="s">
        <v>2238</v>
      </c>
      <c r="K108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C1078</v>
      </c>
      <c r="L108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D1078</v>
      </c>
      <c r="M108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E1078</v>
      </c>
      <c r="N1082" s="122" t="s">
        <v>73</v>
      </c>
      <c r="O1082" s="126" t="n">
        <v>3500000</v>
      </c>
      <c r="P1082" s="121" t="s">
        <v>18</v>
      </c>
      <c r="Q1082" s="121" t="s">
        <v>124</v>
      </c>
      <c r="R1082" s="127"/>
      <c r="T1082" s="118"/>
    </row>
    <row r="1083" customFormat="false" ht="12.75" hidden="false" customHeight="true" outlineLevel="0" collapsed="false">
      <c r="B1083" s="119" t="n">
        <f aca="false">ROW()-4</f>
        <v>1079</v>
      </c>
      <c r="C1083" s="120" t="n">
        <f aca="false">COUNTIFS($D$5:D1083,D1083)</f>
        <v>120</v>
      </c>
      <c r="D1083" s="121" t="s">
        <v>2006</v>
      </c>
      <c r="E1083" s="122" t="s">
        <v>2239</v>
      </c>
      <c r="F1083" s="123" t="n">
        <v>45498</v>
      </c>
      <c r="G1083" s="121" t="s">
        <v>22</v>
      </c>
      <c r="H108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A1079</v>
      </c>
      <c r="I108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B1079</v>
      </c>
      <c r="J1083" s="122" t="s">
        <v>2240</v>
      </c>
      <c r="K108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C1079</v>
      </c>
      <c r="L108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D1079</v>
      </c>
      <c r="M108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E1079</v>
      </c>
      <c r="N1083" s="122" t="s">
        <v>73</v>
      </c>
      <c r="O1083" s="126" t="n">
        <v>3500000</v>
      </c>
      <c r="P1083" s="121" t="s">
        <v>18</v>
      </c>
      <c r="Q1083" s="121" t="s">
        <v>124</v>
      </c>
      <c r="R1083" s="127"/>
      <c r="T1083" s="118"/>
    </row>
    <row r="1084" customFormat="false" ht="12.75" hidden="false" customHeight="true" outlineLevel="0" collapsed="false">
      <c r="B1084" s="119" t="n">
        <f aca="false">ROW()-4</f>
        <v>1080</v>
      </c>
      <c r="C1084" s="120" t="n">
        <f aca="false">COUNTIFS($D$5:D1084,D1084)</f>
        <v>121</v>
      </c>
      <c r="D1084" s="121" t="s">
        <v>2006</v>
      </c>
      <c r="E1084" s="122" t="s">
        <v>2241</v>
      </c>
      <c r="F1084" s="123" t="n">
        <v>44712</v>
      </c>
      <c r="G1084" s="121" t="s">
        <v>22</v>
      </c>
      <c r="H108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A1080</v>
      </c>
      <c r="I108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B1080</v>
      </c>
      <c r="J1084" s="122" t="s">
        <v>2242</v>
      </c>
      <c r="K108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C1080</v>
      </c>
      <c r="L108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D1080</v>
      </c>
      <c r="M108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E1080</v>
      </c>
      <c r="N1084" s="122" t="s">
        <v>73</v>
      </c>
      <c r="O1084" s="126" t="n">
        <v>3500000</v>
      </c>
      <c r="P1084" s="121" t="s">
        <v>18</v>
      </c>
      <c r="Q1084" s="121" t="s">
        <v>124</v>
      </c>
      <c r="R1084" s="127"/>
      <c r="T1084" s="118"/>
    </row>
    <row r="1085" customFormat="false" ht="12.75" hidden="false" customHeight="true" outlineLevel="0" collapsed="false">
      <c r="B1085" s="119" t="n">
        <f aca="false">ROW()-4</f>
        <v>1081</v>
      </c>
      <c r="C1085" s="120" t="n">
        <f aca="false">COUNTIFS($D$5:D1085,D1085)</f>
        <v>122</v>
      </c>
      <c r="D1085" s="121" t="s">
        <v>2006</v>
      </c>
      <c r="E1085" s="122" t="s">
        <v>2243</v>
      </c>
      <c r="F1085" s="123" t="n">
        <v>44712</v>
      </c>
      <c r="G1085" s="121" t="s">
        <v>22</v>
      </c>
      <c r="H108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A1081</v>
      </c>
      <c r="I108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B1081</v>
      </c>
      <c r="J1085" s="122" t="s">
        <v>2244</v>
      </c>
      <c r="K108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C1081</v>
      </c>
      <c r="L108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D1081</v>
      </c>
      <c r="M108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E1081</v>
      </c>
      <c r="N1085" s="122" t="s">
        <v>73</v>
      </c>
      <c r="O1085" s="126" t="n">
        <v>3500000</v>
      </c>
      <c r="P1085" s="121" t="s">
        <v>18</v>
      </c>
      <c r="Q1085" s="121" t="s">
        <v>124</v>
      </c>
      <c r="R1085" s="127"/>
      <c r="T1085" s="118"/>
    </row>
    <row r="1086" customFormat="false" ht="12.75" hidden="false" customHeight="true" outlineLevel="0" collapsed="false">
      <c r="B1086" s="119" t="n">
        <f aca="false">ROW()-4</f>
        <v>1082</v>
      </c>
      <c r="C1086" s="120" t="n">
        <f aca="false">COUNTIFS($D$5:D1086,D1086)</f>
        <v>123</v>
      </c>
      <c r="D1086" s="121" t="s">
        <v>2006</v>
      </c>
      <c r="E1086" s="122" t="s">
        <v>2245</v>
      </c>
      <c r="F1086" s="123" t="n">
        <v>44726</v>
      </c>
      <c r="G1086" s="121" t="s">
        <v>28</v>
      </c>
      <c r="H108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A1082</v>
      </c>
      <c r="I108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B1082</v>
      </c>
      <c r="J1086" s="122" t="s">
        <v>2246</v>
      </c>
      <c r="K108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C1082</v>
      </c>
      <c r="L108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D1082</v>
      </c>
      <c r="M108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E1082</v>
      </c>
      <c r="N1086" s="122" t="s">
        <v>73</v>
      </c>
      <c r="O1086" s="126" t="n">
        <v>3500000</v>
      </c>
      <c r="P1086" s="121" t="s">
        <v>18</v>
      </c>
      <c r="Q1086" s="121" t="s">
        <v>124</v>
      </c>
      <c r="R1086" s="127"/>
      <c r="T1086" s="118"/>
    </row>
    <row r="1087" customFormat="false" ht="12.75" hidden="false" customHeight="true" outlineLevel="0" collapsed="false">
      <c r="B1087" s="119" t="n">
        <f aca="false">ROW()-4</f>
        <v>1083</v>
      </c>
      <c r="C1087" s="120" t="n">
        <f aca="false">COUNTIFS($D$5:D1087,D1087)</f>
        <v>124</v>
      </c>
      <c r="D1087" s="121" t="s">
        <v>2006</v>
      </c>
      <c r="E1087" s="122" t="s">
        <v>2247</v>
      </c>
      <c r="F1087" s="123" t="n">
        <v>44726</v>
      </c>
      <c r="G1087" s="121" t="s">
        <v>28</v>
      </c>
      <c r="H108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A1083</v>
      </c>
      <c r="I108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B1083</v>
      </c>
      <c r="J1087" s="122" t="s">
        <v>2248</v>
      </c>
      <c r="K108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C1083</v>
      </c>
      <c r="L108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D1083</v>
      </c>
      <c r="M108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E1083</v>
      </c>
      <c r="N1087" s="122" t="s">
        <v>73</v>
      </c>
      <c r="O1087" s="126" t="n">
        <v>3500000</v>
      </c>
      <c r="P1087" s="121" t="s">
        <v>18</v>
      </c>
      <c r="Q1087" s="121" t="s">
        <v>124</v>
      </c>
      <c r="R1087" s="127"/>
      <c r="T1087" s="118"/>
    </row>
    <row r="1088" customFormat="false" ht="12.75" hidden="false" customHeight="true" outlineLevel="0" collapsed="false">
      <c r="B1088" s="119" t="n">
        <f aca="false">ROW()-4</f>
        <v>1084</v>
      </c>
      <c r="C1088" s="120" t="n">
        <f aca="false">COUNTIFS($D$5:D1088,D1088)</f>
        <v>125</v>
      </c>
      <c r="D1088" s="121" t="s">
        <v>2006</v>
      </c>
      <c r="E1088" s="122" t="s">
        <v>2249</v>
      </c>
      <c r="F1088" s="123"/>
      <c r="G1088" s="121" t="s">
        <v>28</v>
      </c>
      <c r="H1088" s="122"/>
      <c r="I1088" s="122"/>
      <c r="J1088" s="122"/>
      <c r="K1088" s="122"/>
      <c r="L1088" s="125"/>
      <c r="M108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E1084</v>
      </c>
      <c r="N1088" s="122" t="s">
        <v>73</v>
      </c>
      <c r="O1088" s="126" t="n">
        <v>3500000</v>
      </c>
      <c r="P1088" s="121" t="s">
        <v>19</v>
      </c>
      <c r="Q1088" s="122"/>
      <c r="R1088" s="128" t="s">
        <v>61</v>
      </c>
      <c r="T1088" s="118"/>
    </row>
    <row r="1089" customFormat="false" ht="12.75" hidden="false" customHeight="true" outlineLevel="0" collapsed="false">
      <c r="B1089" s="119" t="n">
        <f aca="false">ROW()-4</f>
        <v>1085</v>
      </c>
      <c r="C1089" s="120" t="n">
        <f aca="false">COUNTIFS($D$5:D1089,D1089)</f>
        <v>126</v>
      </c>
      <c r="D1089" s="121" t="s">
        <v>2006</v>
      </c>
      <c r="E1089" s="122" t="s">
        <v>2250</v>
      </c>
      <c r="F1089" s="123" t="n">
        <v>45110</v>
      </c>
      <c r="G1089" s="121" t="s">
        <v>26</v>
      </c>
      <c r="H108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A1085</v>
      </c>
      <c r="I108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B1085</v>
      </c>
      <c r="J1089" s="122" t="s">
        <v>2251</v>
      </c>
      <c r="K108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C1085</v>
      </c>
      <c r="L108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D1085</v>
      </c>
      <c r="M108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E1085</v>
      </c>
      <c r="N1089" s="122" t="s">
        <v>73</v>
      </c>
      <c r="O1089" s="126" t="n">
        <v>3500000</v>
      </c>
      <c r="P1089" s="121" t="s">
        <v>18</v>
      </c>
      <c r="Q1089" s="121" t="s">
        <v>124</v>
      </c>
      <c r="R1089" s="127"/>
      <c r="T1089" s="118"/>
    </row>
    <row r="1090" customFormat="false" ht="12.75" hidden="false" customHeight="true" outlineLevel="0" collapsed="false">
      <c r="B1090" s="119" t="n">
        <f aca="false">ROW()-4</f>
        <v>1086</v>
      </c>
      <c r="C1090" s="120" t="n">
        <f aca="false">COUNTIFS($D$5:D1090,D1090)</f>
        <v>127</v>
      </c>
      <c r="D1090" s="121" t="s">
        <v>2006</v>
      </c>
      <c r="E1090" s="122" t="s">
        <v>2252</v>
      </c>
      <c r="F1090" s="123" t="n">
        <v>45174</v>
      </c>
      <c r="G1090" s="121" t="s">
        <v>26</v>
      </c>
      <c r="H109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A1086</v>
      </c>
      <c r="I109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B1086</v>
      </c>
      <c r="J1090" s="122" t="s">
        <v>2253</v>
      </c>
      <c r="K109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C1086</v>
      </c>
      <c r="L109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D1086</v>
      </c>
      <c r="M109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E1086</v>
      </c>
      <c r="N1090" s="122" t="s">
        <v>73</v>
      </c>
      <c r="O1090" s="126" t="n">
        <v>3500000</v>
      </c>
      <c r="P1090" s="121" t="s">
        <v>18</v>
      </c>
      <c r="Q1090" s="121" t="s">
        <v>124</v>
      </c>
      <c r="R1090" s="127"/>
      <c r="T1090" s="118"/>
    </row>
    <row r="1091" customFormat="false" ht="12.75" hidden="false" customHeight="true" outlineLevel="0" collapsed="false">
      <c r="B1091" s="119" t="n">
        <f aca="false">ROW()-4</f>
        <v>1087</v>
      </c>
      <c r="C1091" s="120" t="n">
        <f aca="false">COUNTIFS($D$5:D1091,D1091)</f>
        <v>128</v>
      </c>
      <c r="D1091" s="121" t="s">
        <v>2006</v>
      </c>
      <c r="E1091" s="122" t="s">
        <v>2254</v>
      </c>
      <c r="F1091" s="123" t="n">
        <v>44747</v>
      </c>
      <c r="G1091" s="121" t="s">
        <v>26</v>
      </c>
      <c r="H109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A1087</v>
      </c>
      <c r="I109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B1087</v>
      </c>
      <c r="J1091" s="122" t="s">
        <v>2255</v>
      </c>
      <c r="K109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C1087</v>
      </c>
      <c r="L109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D1087</v>
      </c>
      <c r="M109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E1087</v>
      </c>
      <c r="N1091" s="122" t="s">
        <v>73</v>
      </c>
      <c r="O1091" s="126" t="n">
        <v>3500000</v>
      </c>
      <c r="P1091" s="121" t="s">
        <v>18</v>
      </c>
      <c r="Q1091" s="121" t="s">
        <v>124</v>
      </c>
      <c r="R1091" s="127"/>
      <c r="T1091" s="118"/>
    </row>
    <row r="1092" customFormat="false" ht="12.75" hidden="false" customHeight="true" outlineLevel="0" collapsed="false">
      <c r="B1092" s="119" t="n">
        <f aca="false">ROW()-4</f>
        <v>1088</v>
      </c>
      <c r="C1092" s="120" t="n">
        <f aca="false">COUNTIFS($D$5:D1092,D1092)</f>
        <v>129</v>
      </c>
      <c r="D1092" s="121" t="s">
        <v>2006</v>
      </c>
      <c r="E1092" s="122" t="s">
        <v>2256</v>
      </c>
      <c r="F1092" s="123" t="n">
        <v>45833</v>
      </c>
      <c r="G1092" s="121" t="s">
        <v>22</v>
      </c>
      <c r="H109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A1088</v>
      </c>
      <c r="I109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B1088</v>
      </c>
      <c r="J1092" s="122" t="s">
        <v>2257</v>
      </c>
      <c r="K109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C1088</v>
      </c>
      <c r="L109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D1088</v>
      </c>
      <c r="M109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E1088</v>
      </c>
      <c r="N1092" s="122" t="s">
        <v>73</v>
      </c>
      <c r="O1092" s="126" t="n">
        <v>3500000</v>
      </c>
      <c r="P1092" s="121" t="s">
        <v>18</v>
      </c>
      <c r="Q1092" s="121" t="s">
        <v>124</v>
      </c>
      <c r="R1092" s="127"/>
      <c r="T1092" s="118"/>
    </row>
    <row r="1093" customFormat="false" ht="12.75" hidden="false" customHeight="true" outlineLevel="0" collapsed="false">
      <c r="B1093" s="119" t="n">
        <f aca="false">ROW()-4</f>
        <v>1089</v>
      </c>
      <c r="C1093" s="120" t="n">
        <f aca="false">COUNTIFS($D$5:D1093,D1093)</f>
        <v>130</v>
      </c>
      <c r="D1093" s="121" t="s">
        <v>2006</v>
      </c>
      <c r="E1093" s="122" t="s">
        <v>2258</v>
      </c>
      <c r="F1093" s="123" t="n">
        <v>45833</v>
      </c>
      <c r="G1093" s="121" t="s">
        <v>22</v>
      </c>
      <c r="H109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A1089</v>
      </c>
      <c r="I109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B1089</v>
      </c>
      <c r="J1093" s="122" t="s">
        <v>2259</v>
      </c>
      <c r="K109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C1089</v>
      </c>
      <c r="L109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D1089</v>
      </c>
      <c r="M109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E1089</v>
      </c>
      <c r="N1093" s="122" t="s">
        <v>73</v>
      </c>
      <c r="O1093" s="126" t="n">
        <v>3500000</v>
      </c>
      <c r="P1093" s="121" t="s">
        <v>18</v>
      </c>
      <c r="Q1093" s="121" t="s">
        <v>124</v>
      </c>
      <c r="R1093" s="127"/>
      <c r="T1093" s="118"/>
    </row>
    <row r="1094" customFormat="false" ht="12.75" hidden="false" customHeight="true" outlineLevel="0" collapsed="false">
      <c r="B1094" s="119" t="n">
        <f aca="false">ROW()-4</f>
        <v>1090</v>
      </c>
      <c r="C1094" s="120" t="n">
        <f aca="false">COUNTIFS($D$5:D1094,D1094)</f>
        <v>131</v>
      </c>
      <c r="D1094" s="121" t="s">
        <v>2006</v>
      </c>
      <c r="E1094" s="122" t="s">
        <v>2260</v>
      </c>
      <c r="F1094" s="123" t="n">
        <v>45491</v>
      </c>
      <c r="G1094" s="121" t="s">
        <v>22</v>
      </c>
      <c r="H109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A1090</v>
      </c>
      <c r="I109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B1090</v>
      </c>
      <c r="J1094" s="122" t="s">
        <v>2261</v>
      </c>
      <c r="K109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C1090</v>
      </c>
      <c r="L109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D1090</v>
      </c>
      <c r="M109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E1090</v>
      </c>
      <c r="N1094" s="122" t="s">
        <v>73</v>
      </c>
      <c r="O1094" s="126" t="n">
        <v>3500000</v>
      </c>
      <c r="P1094" s="121" t="s">
        <v>18</v>
      </c>
      <c r="Q1094" s="121" t="s">
        <v>124</v>
      </c>
      <c r="R1094" s="127"/>
      <c r="T1094" s="118"/>
    </row>
    <row r="1095" customFormat="false" ht="12.75" hidden="false" customHeight="true" outlineLevel="0" collapsed="false">
      <c r="B1095" s="119" t="n">
        <f aca="false">ROW()-4</f>
        <v>1091</v>
      </c>
      <c r="C1095" s="120" t="n">
        <f aca="false">COUNTIFS($D$5:D1095,D1095)</f>
        <v>132</v>
      </c>
      <c r="D1095" s="121" t="s">
        <v>2006</v>
      </c>
      <c r="E1095" s="122" t="s">
        <v>2262</v>
      </c>
      <c r="F1095" s="123" t="n">
        <v>45484</v>
      </c>
      <c r="G1095" s="121" t="s">
        <v>22</v>
      </c>
      <c r="H109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A1091</v>
      </c>
      <c r="I109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B1091</v>
      </c>
      <c r="J1095" s="122" t="s">
        <v>2263</v>
      </c>
      <c r="K109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C1091</v>
      </c>
      <c r="L109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D1091</v>
      </c>
      <c r="M109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E1091</v>
      </c>
      <c r="N1095" s="122" t="s">
        <v>73</v>
      </c>
      <c r="O1095" s="126" t="n">
        <v>3500000</v>
      </c>
      <c r="P1095" s="121" t="s">
        <v>18</v>
      </c>
      <c r="Q1095" s="121" t="s">
        <v>124</v>
      </c>
      <c r="R1095" s="127"/>
      <c r="T1095" s="118"/>
    </row>
    <row r="1096" customFormat="false" ht="12.75" hidden="false" customHeight="true" outlineLevel="0" collapsed="false">
      <c r="B1096" s="119" t="n">
        <f aca="false">ROW()-4</f>
        <v>1092</v>
      </c>
      <c r="C1096" s="120" t="n">
        <f aca="false">COUNTIFS($D$5:D1096,D1096)</f>
        <v>133</v>
      </c>
      <c r="D1096" s="121" t="s">
        <v>2006</v>
      </c>
      <c r="E1096" s="122" t="s">
        <v>2264</v>
      </c>
      <c r="F1096" s="123" t="n">
        <v>45981</v>
      </c>
      <c r="G1096" s="121" t="s">
        <v>22</v>
      </c>
      <c r="H109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A1092</v>
      </c>
      <c r="I109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B1092</v>
      </c>
      <c r="J1096" s="122" t="s">
        <v>2265</v>
      </c>
      <c r="K109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C1092</v>
      </c>
      <c r="L109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D1092</v>
      </c>
      <c r="M109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E1092</v>
      </c>
      <c r="N1096" s="122" t="s">
        <v>73</v>
      </c>
      <c r="O1096" s="126" t="n">
        <v>3500000</v>
      </c>
      <c r="P1096" s="121" t="s">
        <v>18</v>
      </c>
      <c r="Q1096" s="121" t="s">
        <v>124</v>
      </c>
      <c r="R1096" s="127"/>
      <c r="T1096" s="118"/>
    </row>
    <row r="1097" customFormat="false" ht="12.75" hidden="false" customHeight="true" outlineLevel="0" collapsed="false">
      <c r="B1097" s="119" t="n">
        <f aca="false">ROW()-4</f>
        <v>1093</v>
      </c>
      <c r="C1097" s="120" t="n">
        <f aca="false">COUNTIFS($D$5:D1097,D1097)</f>
        <v>134</v>
      </c>
      <c r="D1097" s="121" t="s">
        <v>2006</v>
      </c>
      <c r="E1097" s="122" t="s">
        <v>2266</v>
      </c>
      <c r="F1097" s="123" t="n">
        <v>45981</v>
      </c>
      <c r="G1097" s="121" t="s">
        <v>22</v>
      </c>
      <c r="H109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A1093</v>
      </c>
      <c r="I109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B1093</v>
      </c>
      <c r="J1097" s="122" t="s">
        <v>2267</v>
      </c>
      <c r="K109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C1093</v>
      </c>
      <c r="L109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D1093</v>
      </c>
      <c r="M109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E1093</v>
      </c>
      <c r="N1097" s="122" t="s">
        <v>73</v>
      </c>
      <c r="O1097" s="126" t="n">
        <v>3500000</v>
      </c>
      <c r="P1097" s="121" t="s">
        <v>18</v>
      </c>
      <c r="Q1097" s="121" t="s">
        <v>124</v>
      </c>
      <c r="R1097" s="127"/>
      <c r="T1097" s="118"/>
    </row>
    <row r="1098" customFormat="false" ht="12.75" hidden="false" customHeight="true" outlineLevel="0" collapsed="false">
      <c r="B1098" s="119" t="n">
        <f aca="false">ROW()-4</f>
        <v>1094</v>
      </c>
      <c r="C1098" s="120" t="n">
        <f aca="false">COUNTIFS($D$5:D1098,D1098)</f>
        <v>135</v>
      </c>
      <c r="D1098" s="121" t="s">
        <v>2006</v>
      </c>
      <c r="E1098" s="122" t="s">
        <v>2268</v>
      </c>
      <c r="F1098" s="123" t="n">
        <v>44742</v>
      </c>
      <c r="G1098" s="121" t="s">
        <v>22</v>
      </c>
      <c r="H109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A1094</v>
      </c>
      <c r="I109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B1094</v>
      </c>
      <c r="J1098" s="122" t="s">
        <v>2269</v>
      </c>
      <c r="K109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C1094</v>
      </c>
      <c r="L109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D1094</v>
      </c>
      <c r="M109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E1094</v>
      </c>
      <c r="N1098" s="122" t="s">
        <v>73</v>
      </c>
      <c r="O1098" s="126" t="n">
        <v>3500000</v>
      </c>
      <c r="P1098" s="121" t="s">
        <v>18</v>
      </c>
      <c r="Q1098" s="121" t="s">
        <v>124</v>
      </c>
      <c r="R1098" s="127"/>
      <c r="T1098" s="118"/>
    </row>
    <row r="1099" customFormat="false" ht="12.75" hidden="false" customHeight="true" outlineLevel="0" collapsed="false">
      <c r="B1099" s="119" t="n">
        <f aca="false">ROW()-4</f>
        <v>1095</v>
      </c>
      <c r="C1099" s="120" t="n">
        <f aca="false">COUNTIFS($D$5:D1099,D1099)</f>
        <v>136</v>
      </c>
      <c r="D1099" s="121" t="s">
        <v>2006</v>
      </c>
      <c r="E1099" s="122" t="s">
        <v>2270</v>
      </c>
      <c r="F1099" s="123" t="n">
        <v>45681</v>
      </c>
      <c r="G1099" s="121" t="s">
        <v>22</v>
      </c>
      <c r="H109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A1095</v>
      </c>
      <c r="I109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B1095</v>
      </c>
      <c r="J1099" s="122" t="s">
        <v>2271</v>
      </c>
      <c r="K109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C1095</v>
      </c>
      <c r="L109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D1095</v>
      </c>
      <c r="M109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E1095</v>
      </c>
      <c r="N1099" s="122" t="s">
        <v>73</v>
      </c>
      <c r="O1099" s="126" t="n">
        <v>3500000</v>
      </c>
      <c r="P1099" s="121" t="s">
        <v>18</v>
      </c>
      <c r="Q1099" s="121" t="s">
        <v>124</v>
      </c>
      <c r="R1099" s="127"/>
      <c r="T1099" s="118"/>
    </row>
    <row r="1100" customFormat="false" ht="12.75" hidden="false" customHeight="true" outlineLevel="0" collapsed="false">
      <c r="B1100" s="119" t="n">
        <f aca="false">ROW()-4</f>
        <v>1096</v>
      </c>
      <c r="C1100" s="120" t="n">
        <f aca="false">COUNTIFS($D$5:D1100,D1100)</f>
        <v>137</v>
      </c>
      <c r="D1100" s="121" t="s">
        <v>2006</v>
      </c>
      <c r="E1100" s="122" t="s">
        <v>2272</v>
      </c>
      <c r="F1100" s="123" t="n">
        <v>44763</v>
      </c>
      <c r="G1100" s="121" t="s">
        <v>22</v>
      </c>
      <c r="H110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A1096</v>
      </c>
      <c r="I110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B1096</v>
      </c>
      <c r="J1100" s="122" t="s">
        <v>2273</v>
      </c>
      <c r="K110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C1096</v>
      </c>
      <c r="L110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D1096</v>
      </c>
      <c r="M110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E1096</v>
      </c>
      <c r="N1100" s="122" t="s">
        <v>73</v>
      </c>
      <c r="O1100" s="126" t="n">
        <v>3500000</v>
      </c>
      <c r="P1100" s="121" t="s">
        <v>18</v>
      </c>
      <c r="Q1100" s="121" t="s">
        <v>124</v>
      </c>
      <c r="R1100" s="127"/>
      <c r="T1100" s="118"/>
    </row>
    <row r="1101" customFormat="false" ht="12.75" hidden="false" customHeight="true" outlineLevel="0" collapsed="false">
      <c r="B1101" s="119" t="n">
        <f aca="false">ROW()-4</f>
        <v>1097</v>
      </c>
      <c r="C1101" s="120" t="n">
        <f aca="false">COUNTIFS($D$5:D1101,D1101)</f>
        <v>138</v>
      </c>
      <c r="D1101" s="121" t="s">
        <v>2006</v>
      </c>
      <c r="E1101" s="122" t="s">
        <v>2274</v>
      </c>
      <c r="F1101" s="123" t="n">
        <v>44768</v>
      </c>
      <c r="G1101" s="121" t="s">
        <v>22</v>
      </c>
      <c r="H110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A1097</v>
      </c>
      <c r="I110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B1097</v>
      </c>
      <c r="J1101" s="122" t="s">
        <v>2275</v>
      </c>
      <c r="K110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C1097</v>
      </c>
      <c r="L110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D1097</v>
      </c>
      <c r="M110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E1097</v>
      </c>
      <c r="N1101" s="122" t="s">
        <v>73</v>
      </c>
      <c r="O1101" s="126" t="n">
        <v>3500000</v>
      </c>
      <c r="P1101" s="121" t="s">
        <v>18</v>
      </c>
      <c r="Q1101" s="121" t="s">
        <v>124</v>
      </c>
      <c r="R1101" s="127"/>
      <c r="T1101" s="118"/>
    </row>
    <row r="1102" customFormat="false" ht="12.75" hidden="false" customHeight="true" outlineLevel="0" collapsed="false">
      <c r="B1102" s="119" t="n">
        <f aca="false">ROW()-4</f>
        <v>1098</v>
      </c>
      <c r="C1102" s="120" t="n">
        <f aca="false">COUNTIFS($D$5:D1102,D1102)</f>
        <v>139</v>
      </c>
      <c r="D1102" s="121" t="s">
        <v>2006</v>
      </c>
      <c r="E1102" s="122" t="s">
        <v>2276</v>
      </c>
      <c r="F1102" s="123" t="n">
        <v>44767</v>
      </c>
      <c r="G1102" s="121" t="s">
        <v>22</v>
      </c>
      <c r="H110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A1098</v>
      </c>
      <c r="I110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B1098</v>
      </c>
      <c r="J1102" s="122" t="s">
        <v>2277</v>
      </c>
      <c r="K110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C1098</v>
      </c>
      <c r="L110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D1098</v>
      </c>
      <c r="M110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E1098</v>
      </c>
      <c r="N1102" s="122" t="s">
        <v>73</v>
      </c>
      <c r="O1102" s="126" t="n">
        <v>3500000</v>
      </c>
      <c r="P1102" s="121" t="s">
        <v>18</v>
      </c>
      <c r="Q1102" s="121" t="s">
        <v>124</v>
      </c>
      <c r="R1102" s="127"/>
      <c r="T1102" s="118"/>
    </row>
    <row r="1103" customFormat="false" ht="12.75" hidden="false" customHeight="true" outlineLevel="0" collapsed="false">
      <c r="B1103" s="119" t="n">
        <f aca="false">ROW()-4</f>
        <v>1099</v>
      </c>
      <c r="C1103" s="120" t="n">
        <f aca="false">COUNTIFS($D$5:D1103,D1103)</f>
        <v>140</v>
      </c>
      <c r="D1103" s="121" t="s">
        <v>2006</v>
      </c>
      <c r="E1103" s="122" t="s">
        <v>2278</v>
      </c>
      <c r="F1103" s="123" t="n">
        <v>44763</v>
      </c>
      <c r="G1103" s="121" t="s">
        <v>22</v>
      </c>
      <c r="H110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A1099</v>
      </c>
      <c r="I110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B1099</v>
      </c>
      <c r="J1103" s="122" t="s">
        <v>2279</v>
      </c>
      <c r="K110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C1099</v>
      </c>
      <c r="L110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D1099</v>
      </c>
      <c r="M110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E1099</v>
      </c>
      <c r="N1103" s="122" t="s">
        <v>73</v>
      </c>
      <c r="O1103" s="126" t="n">
        <v>3500000</v>
      </c>
      <c r="P1103" s="121" t="s">
        <v>18</v>
      </c>
      <c r="Q1103" s="121" t="s">
        <v>124</v>
      </c>
      <c r="R1103" s="127"/>
      <c r="T1103" s="118"/>
    </row>
    <row r="1104" customFormat="false" ht="12.75" hidden="false" customHeight="true" outlineLevel="0" collapsed="false">
      <c r="B1104" s="119" t="n">
        <f aca="false">ROW()-4</f>
        <v>1100</v>
      </c>
      <c r="C1104" s="120" t="n">
        <f aca="false">COUNTIFS($D$5:D1104,D1104)</f>
        <v>141</v>
      </c>
      <c r="D1104" s="121" t="s">
        <v>2006</v>
      </c>
      <c r="E1104" s="122" t="s">
        <v>2280</v>
      </c>
      <c r="F1104" s="123" t="n">
        <v>45141</v>
      </c>
      <c r="G1104" s="121" t="s">
        <v>22</v>
      </c>
      <c r="H110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A1100</v>
      </c>
      <c r="I110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B1100</v>
      </c>
      <c r="J1104" s="122" t="s">
        <v>2281</v>
      </c>
      <c r="K110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C1100</v>
      </c>
      <c r="L110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D1100</v>
      </c>
      <c r="M110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E1100</v>
      </c>
      <c r="N1104" s="122" t="s">
        <v>73</v>
      </c>
      <c r="O1104" s="126" t="n">
        <v>3500000</v>
      </c>
      <c r="P1104" s="121" t="s">
        <v>18</v>
      </c>
      <c r="Q1104" s="121" t="s">
        <v>124</v>
      </c>
      <c r="R1104" s="127"/>
      <c r="T1104" s="118"/>
    </row>
    <row r="1105" customFormat="false" ht="12.75" hidden="false" customHeight="true" outlineLevel="0" collapsed="false">
      <c r="B1105" s="119" t="n">
        <f aca="false">ROW()-4</f>
        <v>1101</v>
      </c>
      <c r="C1105" s="120" t="n">
        <f aca="false">COUNTIFS($D$5:D1105,D1105)</f>
        <v>142</v>
      </c>
      <c r="D1105" s="121" t="s">
        <v>2006</v>
      </c>
      <c r="E1105" s="122" t="s">
        <v>2282</v>
      </c>
      <c r="F1105" s="123" t="n">
        <v>45358</v>
      </c>
      <c r="G1105" s="121" t="s">
        <v>22</v>
      </c>
      <c r="H110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A1101</v>
      </c>
      <c r="I110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B1101</v>
      </c>
      <c r="J1105" s="122" t="s">
        <v>2283</v>
      </c>
      <c r="K110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C1101</v>
      </c>
      <c r="L110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D1101</v>
      </c>
      <c r="M110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E1101</v>
      </c>
      <c r="N1105" s="122" t="s">
        <v>73</v>
      </c>
      <c r="O1105" s="126" t="n">
        <v>3500000</v>
      </c>
      <c r="P1105" s="121" t="s">
        <v>18</v>
      </c>
      <c r="Q1105" s="121" t="s">
        <v>124</v>
      </c>
      <c r="R1105" s="127"/>
      <c r="T1105" s="118"/>
    </row>
    <row r="1106" customFormat="false" ht="12.75" hidden="false" customHeight="true" outlineLevel="0" collapsed="false">
      <c r="B1106" s="119" t="n">
        <f aca="false">ROW()-4</f>
        <v>1102</v>
      </c>
      <c r="C1106" s="120" t="n">
        <f aca="false">COUNTIFS($D$5:D1106,D1106)</f>
        <v>143</v>
      </c>
      <c r="D1106" s="121" t="s">
        <v>2006</v>
      </c>
      <c r="E1106" s="122" t="s">
        <v>2284</v>
      </c>
      <c r="F1106" s="123" t="n">
        <v>44761</v>
      </c>
      <c r="G1106" s="121" t="s">
        <v>22</v>
      </c>
      <c r="H110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A1102</v>
      </c>
      <c r="I110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B1102</v>
      </c>
      <c r="J1106" s="122" t="s">
        <v>2285</v>
      </c>
      <c r="K110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C1102</v>
      </c>
      <c r="L110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D1102</v>
      </c>
      <c r="M110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E1102</v>
      </c>
      <c r="N1106" s="122" t="s">
        <v>73</v>
      </c>
      <c r="O1106" s="126" t="n">
        <v>3500000</v>
      </c>
      <c r="P1106" s="121" t="s">
        <v>18</v>
      </c>
      <c r="Q1106" s="121" t="s">
        <v>124</v>
      </c>
      <c r="R1106" s="127"/>
      <c r="T1106" s="118"/>
    </row>
    <row r="1107" customFormat="false" ht="12.75" hidden="false" customHeight="true" outlineLevel="0" collapsed="false">
      <c r="B1107" s="119" t="n">
        <f aca="false">ROW()-4</f>
        <v>1103</v>
      </c>
      <c r="C1107" s="120" t="n">
        <f aca="false">COUNTIFS($D$5:D1107,D1107)</f>
        <v>144</v>
      </c>
      <c r="D1107" s="121" t="s">
        <v>2006</v>
      </c>
      <c r="E1107" s="122" t="s">
        <v>2286</v>
      </c>
      <c r="F1107" s="123"/>
      <c r="G1107" s="121" t="s">
        <v>210</v>
      </c>
      <c r="H1107" s="122"/>
      <c r="I1107" s="122"/>
      <c r="J1107" s="122"/>
      <c r="K1107" s="122"/>
      <c r="L1107" s="125"/>
      <c r="M110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E1103</v>
      </c>
      <c r="N1107" s="122" t="s">
        <v>73</v>
      </c>
      <c r="O1107" s="126" t="n">
        <v>3500000</v>
      </c>
      <c r="P1107" s="121" t="s">
        <v>19</v>
      </c>
      <c r="Q1107" s="122"/>
      <c r="R1107" s="128" t="s">
        <v>59</v>
      </c>
      <c r="T1107" s="118"/>
    </row>
    <row r="1108" customFormat="false" ht="12.75" hidden="false" customHeight="true" outlineLevel="0" collapsed="false">
      <c r="B1108" s="119" t="n">
        <f aca="false">ROW()-4</f>
        <v>1104</v>
      </c>
      <c r="C1108" s="120" t="n">
        <f aca="false">COUNTIFS($D$5:D1108,D1108)</f>
        <v>145</v>
      </c>
      <c r="D1108" s="121" t="s">
        <v>2006</v>
      </c>
      <c r="E1108" s="122" t="s">
        <v>2287</v>
      </c>
      <c r="F1108" s="123" t="n">
        <v>44762</v>
      </c>
      <c r="G1108" s="121" t="s">
        <v>22</v>
      </c>
      <c r="H110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A1104</v>
      </c>
      <c r="I110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B1104</v>
      </c>
      <c r="J1108" s="122" t="s">
        <v>2288</v>
      </c>
      <c r="K110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C1104</v>
      </c>
      <c r="L110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D1104</v>
      </c>
      <c r="M110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E1104</v>
      </c>
      <c r="N1108" s="122" t="s">
        <v>73</v>
      </c>
      <c r="O1108" s="126" t="n">
        <v>3500000</v>
      </c>
      <c r="P1108" s="121" t="s">
        <v>18</v>
      </c>
      <c r="Q1108" s="121" t="s">
        <v>124</v>
      </c>
      <c r="R1108" s="127"/>
      <c r="T1108" s="118"/>
    </row>
    <row r="1109" customFormat="false" ht="12.75" hidden="false" customHeight="true" outlineLevel="0" collapsed="false">
      <c r="B1109" s="119" t="n">
        <f aca="false">ROW()-4</f>
        <v>1105</v>
      </c>
      <c r="C1109" s="120" t="n">
        <f aca="false">COUNTIFS($D$5:D1109,D1109)</f>
        <v>146</v>
      </c>
      <c r="D1109" s="121" t="s">
        <v>2006</v>
      </c>
      <c r="E1109" s="122" t="s">
        <v>2289</v>
      </c>
      <c r="F1109" s="123" t="n">
        <v>44763</v>
      </c>
      <c r="G1109" s="121" t="s">
        <v>22</v>
      </c>
      <c r="H110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A1105</v>
      </c>
      <c r="I110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B1105</v>
      </c>
      <c r="J1109" s="122" t="s">
        <v>2290</v>
      </c>
      <c r="K110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C1105</v>
      </c>
      <c r="L110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D1105</v>
      </c>
      <c r="M110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E1105</v>
      </c>
      <c r="N1109" s="122" t="s">
        <v>73</v>
      </c>
      <c r="O1109" s="126" t="n">
        <v>3500000</v>
      </c>
      <c r="P1109" s="121" t="s">
        <v>18</v>
      </c>
      <c r="Q1109" s="121" t="s">
        <v>124</v>
      </c>
      <c r="R1109" s="127"/>
      <c r="T1109" s="118"/>
    </row>
    <row r="1110" customFormat="false" ht="12.75" hidden="false" customHeight="true" outlineLevel="0" collapsed="false">
      <c r="B1110" s="119" t="n">
        <f aca="false">ROW()-4</f>
        <v>1106</v>
      </c>
      <c r="C1110" s="120" t="n">
        <f aca="false">COUNTIFS($D$5:D1110,D1110)</f>
        <v>147</v>
      </c>
      <c r="D1110" s="121" t="s">
        <v>2006</v>
      </c>
      <c r="E1110" s="122" t="s">
        <v>2291</v>
      </c>
      <c r="F1110" s="123" t="n">
        <v>45400</v>
      </c>
      <c r="G1110" s="121" t="s">
        <v>24</v>
      </c>
      <c r="H111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A1106</v>
      </c>
      <c r="I111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B1106</v>
      </c>
      <c r="J1110" s="122" t="s">
        <v>2292</v>
      </c>
      <c r="K111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C1106</v>
      </c>
      <c r="L111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D1106</v>
      </c>
      <c r="M111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E1106</v>
      </c>
      <c r="N1110" s="122" t="s">
        <v>73</v>
      </c>
      <c r="O1110" s="126" t="n">
        <v>3500000</v>
      </c>
      <c r="P1110" s="121" t="s">
        <v>18</v>
      </c>
      <c r="Q1110" s="121" t="s">
        <v>124</v>
      </c>
      <c r="R1110" s="127"/>
      <c r="T1110" s="118"/>
    </row>
    <row r="1111" customFormat="false" ht="12.75" hidden="false" customHeight="true" outlineLevel="0" collapsed="false">
      <c r="B1111" s="119" t="n">
        <f aca="false">ROW()-4</f>
        <v>1107</v>
      </c>
      <c r="C1111" s="120" t="n">
        <f aca="false">COUNTIFS($D$5:D1111,D1111)</f>
        <v>148</v>
      </c>
      <c r="D1111" s="121" t="s">
        <v>2006</v>
      </c>
      <c r="E1111" s="122" t="s">
        <v>2293</v>
      </c>
      <c r="F1111" s="123" t="n">
        <v>45623</v>
      </c>
      <c r="G1111" s="121" t="s">
        <v>22</v>
      </c>
      <c r="H111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A1107</v>
      </c>
      <c r="I111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B1107</v>
      </c>
      <c r="J1111" s="122" t="s">
        <v>2294</v>
      </c>
      <c r="K111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C1107</v>
      </c>
      <c r="L111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D1107</v>
      </c>
      <c r="M111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E1107</v>
      </c>
      <c r="N1111" s="122" t="s">
        <v>73</v>
      </c>
      <c r="O1111" s="126" t="n">
        <v>3500000</v>
      </c>
      <c r="P1111" s="121" t="s">
        <v>18</v>
      </c>
      <c r="Q1111" s="121" t="s">
        <v>124</v>
      </c>
      <c r="R1111" s="127"/>
      <c r="T1111" s="118"/>
    </row>
    <row r="1112" customFormat="false" ht="12.75" hidden="false" customHeight="true" outlineLevel="0" collapsed="false">
      <c r="B1112" s="119" t="n">
        <f aca="false">ROW()-4</f>
        <v>1108</v>
      </c>
      <c r="C1112" s="120" t="n">
        <f aca="false">COUNTIFS($D$5:D1112,D1112)</f>
        <v>149</v>
      </c>
      <c r="D1112" s="121" t="s">
        <v>2006</v>
      </c>
      <c r="E1112" s="122" t="s">
        <v>2295</v>
      </c>
      <c r="F1112" s="123" t="n">
        <v>45693</v>
      </c>
      <c r="G1112" s="121" t="s">
        <v>22</v>
      </c>
      <c r="H111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A1108</v>
      </c>
      <c r="I111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B1108</v>
      </c>
      <c r="J1112" s="122" t="s">
        <v>2296</v>
      </c>
      <c r="K111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C1108</v>
      </c>
      <c r="L111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D1108</v>
      </c>
      <c r="M111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E1108</v>
      </c>
      <c r="N1112" s="122" t="s">
        <v>73</v>
      </c>
      <c r="O1112" s="126" t="n">
        <v>3500000</v>
      </c>
      <c r="P1112" s="121" t="s">
        <v>18</v>
      </c>
      <c r="Q1112" s="121" t="s">
        <v>124</v>
      </c>
      <c r="R1112" s="127"/>
      <c r="T1112" s="118"/>
    </row>
    <row r="1113" customFormat="false" ht="12.75" hidden="false" customHeight="true" outlineLevel="0" collapsed="false">
      <c r="B1113" s="119" t="n">
        <f aca="false">ROW()-4</f>
        <v>1109</v>
      </c>
      <c r="C1113" s="120" t="n">
        <f aca="false">COUNTIFS($D$5:D1113,D1113)</f>
        <v>150</v>
      </c>
      <c r="D1113" s="121" t="s">
        <v>2006</v>
      </c>
      <c r="E1113" s="122" t="s">
        <v>2297</v>
      </c>
      <c r="F1113" s="123" t="n">
        <v>45727</v>
      </c>
      <c r="G1113" s="121" t="s">
        <v>22</v>
      </c>
      <c r="H111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A1109</v>
      </c>
      <c r="I111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B1109</v>
      </c>
      <c r="J1113" s="122" t="s">
        <v>2298</v>
      </c>
      <c r="K111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C1109</v>
      </c>
      <c r="L111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D1109</v>
      </c>
      <c r="M111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E1109</v>
      </c>
      <c r="N1113" s="122" t="s">
        <v>73</v>
      </c>
      <c r="O1113" s="126" t="n">
        <v>3500000</v>
      </c>
      <c r="P1113" s="121" t="s">
        <v>18</v>
      </c>
      <c r="Q1113" s="121" t="s">
        <v>124</v>
      </c>
      <c r="R1113" s="127"/>
      <c r="T1113" s="118"/>
    </row>
    <row r="1114" customFormat="false" ht="12.75" hidden="false" customHeight="true" outlineLevel="0" collapsed="false">
      <c r="B1114" s="119" t="n">
        <f aca="false">ROW()-4</f>
        <v>1110</v>
      </c>
      <c r="C1114" s="120" t="n">
        <f aca="false">COUNTIFS($D$5:D1114,D1114)</f>
        <v>151</v>
      </c>
      <c r="D1114" s="121" t="s">
        <v>2006</v>
      </c>
      <c r="E1114" s="122" t="s">
        <v>2299</v>
      </c>
      <c r="F1114" s="123" t="n">
        <v>45447</v>
      </c>
      <c r="G1114" s="121" t="s">
        <v>22</v>
      </c>
      <c r="H111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A1110</v>
      </c>
      <c r="I111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B1110</v>
      </c>
      <c r="J1114" s="122" t="s">
        <v>2300</v>
      </c>
      <c r="K111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C1110</v>
      </c>
      <c r="L111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D1110</v>
      </c>
      <c r="M111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E1110</v>
      </c>
      <c r="N1114" s="122" t="s">
        <v>73</v>
      </c>
      <c r="O1114" s="126" t="n">
        <v>3500000</v>
      </c>
      <c r="P1114" s="121" t="s">
        <v>18</v>
      </c>
      <c r="Q1114" s="121" t="s">
        <v>124</v>
      </c>
      <c r="R1114" s="127"/>
      <c r="T1114" s="118"/>
    </row>
    <row r="1115" customFormat="false" ht="12.75" hidden="false" customHeight="true" outlineLevel="0" collapsed="false">
      <c r="B1115" s="119" t="n">
        <f aca="false">ROW()-4</f>
        <v>1111</v>
      </c>
      <c r="C1115" s="120" t="n">
        <f aca="false">COUNTIFS($D$5:D1115,D1115)</f>
        <v>152</v>
      </c>
      <c r="D1115" s="121" t="s">
        <v>2006</v>
      </c>
      <c r="E1115" s="122" t="s">
        <v>2301</v>
      </c>
      <c r="F1115" s="123" t="n">
        <v>44795</v>
      </c>
      <c r="G1115" s="121" t="s">
        <v>22</v>
      </c>
      <c r="H111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A1111</v>
      </c>
      <c r="I111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B1111</v>
      </c>
      <c r="J1115" s="122" t="s">
        <v>2302</v>
      </c>
      <c r="K111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C1111</v>
      </c>
      <c r="L111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D1111</v>
      </c>
      <c r="M111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E1111</v>
      </c>
      <c r="N1115" s="122" t="s">
        <v>73</v>
      </c>
      <c r="O1115" s="126" t="n">
        <v>3500000</v>
      </c>
      <c r="P1115" s="121" t="s">
        <v>18</v>
      </c>
      <c r="Q1115" s="121" t="s">
        <v>124</v>
      </c>
      <c r="R1115" s="127"/>
      <c r="T1115" s="118"/>
    </row>
    <row r="1116" customFormat="false" ht="12.75" hidden="false" customHeight="true" outlineLevel="0" collapsed="false">
      <c r="B1116" s="119" t="n">
        <f aca="false">ROW()-4</f>
        <v>1112</v>
      </c>
      <c r="C1116" s="120" t="n">
        <f aca="false">COUNTIFS($D$5:D1116,D1116)</f>
        <v>153</v>
      </c>
      <c r="D1116" s="121" t="s">
        <v>2006</v>
      </c>
      <c r="E1116" s="124" t="s">
        <v>2303</v>
      </c>
      <c r="F1116" s="137" t="n">
        <v>45904</v>
      </c>
      <c r="G1116" s="138" t="s">
        <v>22</v>
      </c>
      <c r="H1116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A1112</v>
      </c>
      <c r="I1116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B1112</v>
      </c>
      <c r="J1116" s="124" t="s">
        <v>2304</v>
      </c>
      <c r="K1116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C1112</v>
      </c>
      <c r="L1116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D1112</v>
      </c>
      <c r="M111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E1112</v>
      </c>
      <c r="N1116" s="122" t="s">
        <v>73</v>
      </c>
      <c r="O1116" s="126" t="n">
        <v>3500000</v>
      </c>
      <c r="P1116" s="121" t="s">
        <v>18</v>
      </c>
      <c r="Q1116" s="121" t="s">
        <v>124</v>
      </c>
      <c r="R1116" s="127"/>
      <c r="T1116" s="118"/>
    </row>
    <row r="1117" customFormat="false" ht="12.75" hidden="false" customHeight="true" outlineLevel="0" collapsed="false">
      <c r="B1117" s="119" t="n">
        <f aca="false">ROW()-4</f>
        <v>1113</v>
      </c>
      <c r="C1117" s="120" t="n">
        <f aca="false">COUNTIFS($D$5:D1117,D1117)</f>
        <v>154</v>
      </c>
      <c r="D1117" s="121" t="s">
        <v>2006</v>
      </c>
      <c r="E1117" s="122" t="s">
        <v>2305</v>
      </c>
      <c r="F1117" s="123" t="n">
        <v>45968</v>
      </c>
      <c r="G1117" s="121" t="s">
        <v>22</v>
      </c>
      <c r="H111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A1113</v>
      </c>
      <c r="I111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B1113</v>
      </c>
      <c r="J1117" s="122" t="s">
        <v>2306</v>
      </c>
      <c r="K111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C1113</v>
      </c>
      <c r="L111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D1113</v>
      </c>
      <c r="M111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E1113</v>
      </c>
      <c r="N1117" s="122" t="s">
        <v>73</v>
      </c>
      <c r="O1117" s="126" t="n">
        <v>3500000</v>
      </c>
      <c r="P1117" s="121" t="s">
        <v>18</v>
      </c>
      <c r="Q1117" s="121" t="s">
        <v>124</v>
      </c>
      <c r="R1117" s="127"/>
      <c r="T1117" s="118"/>
    </row>
    <row r="1118" customFormat="false" ht="12.75" hidden="false" customHeight="true" outlineLevel="0" collapsed="false">
      <c r="B1118" s="119" t="n">
        <f aca="false">ROW()-4</f>
        <v>1114</v>
      </c>
      <c r="C1118" s="120" t="n">
        <f aca="false">COUNTIFS($D$5:D1118,D1118)</f>
        <v>155</v>
      </c>
      <c r="D1118" s="121" t="s">
        <v>2006</v>
      </c>
      <c r="E1118" s="122" t="s">
        <v>2307</v>
      </c>
      <c r="F1118" s="123" t="n">
        <v>45797</v>
      </c>
      <c r="G1118" s="121" t="s">
        <v>22</v>
      </c>
      <c r="H111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A1114</v>
      </c>
      <c r="I111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B1114</v>
      </c>
      <c r="J1118" s="122" t="s">
        <v>2308</v>
      </c>
      <c r="K111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C1114</v>
      </c>
      <c r="L111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D1114</v>
      </c>
      <c r="M111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E1114</v>
      </c>
      <c r="N1118" s="122" t="s">
        <v>73</v>
      </c>
      <c r="O1118" s="126" t="n">
        <v>3500000</v>
      </c>
      <c r="P1118" s="121" t="s">
        <v>18</v>
      </c>
      <c r="Q1118" s="121" t="s">
        <v>124</v>
      </c>
      <c r="R1118" s="127"/>
      <c r="T1118" s="118"/>
    </row>
    <row r="1119" customFormat="false" ht="12.75" hidden="false" customHeight="true" outlineLevel="0" collapsed="false">
      <c r="B1119" s="119" t="n">
        <f aca="false">ROW()-4</f>
        <v>1115</v>
      </c>
      <c r="C1119" s="120" t="n">
        <f aca="false">COUNTIFS($D$5:D1119,D1119)</f>
        <v>156</v>
      </c>
      <c r="D1119" s="121" t="s">
        <v>2006</v>
      </c>
      <c r="E1119" s="122" t="s">
        <v>2309</v>
      </c>
      <c r="F1119" s="123" t="n">
        <v>44769</v>
      </c>
      <c r="G1119" s="121" t="s">
        <v>22</v>
      </c>
      <c r="H111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A1115</v>
      </c>
      <c r="I111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B1115</v>
      </c>
      <c r="J1119" s="122" t="s">
        <v>2310</v>
      </c>
      <c r="K111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C1115</v>
      </c>
      <c r="L111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D1115</v>
      </c>
      <c r="M111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E1115</v>
      </c>
      <c r="N1119" s="122" t="s">
        <v>73</v>
      </c>
      <c r="O1119" s="126" t="n">
        <v>3500000</v>
      </c>
      <c r="P1119" s="121" t="s">
        <v>18</v>
      </c>
      <c r="Q1119" s="121" t="s">
        <v>124</v>
      </c>
      <c r="R1119" s="127"/>
      <c r="T1119" s="118"/>
    </row>
    <row r="1120" customFormat="false" ht="12.75" hidden="false" customHeight="true" outlineLevel="0" collapsed="false">
      <c r="B1120" s="119" t="n">
        <f aca="false">ROW()-4</f>
        <v>1116</v>
      </c>
      <c r="C1120" s="120" t="n">
        <f aca="false">COUNTIFS($D$5:D1120,D1120)</f>
        <v>157</v>
      </c>
      <c r="D1120" s="121" t="s">
        <v>2006</v>
      </c>
      <c r="E1120" s="122" t="s">
        <v>2311</v>
      </c>
      <c r="F1120" s="123" t="n">
        <v>45849</v>
      </c>
      <c r="G1120" s="121" t="s">
        <v>22</v>
      </c>
      <c r="H112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A1116</v>
      </c>
      <c r="I112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B1116</v>
      </c>
      <c r="J1120" s="122" t="s">
        <v>2312</v>
      </c>
      <c r="K112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C1116</v>
      </c>
      <c r="L112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D1116</v>
      </c>
      <c r="M112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E1116</v>
      </c>
      <c r="N1120" s="122" t="s">
        <v>73</v>
      </c>
      <c r="O1120" s="126" t="n">
        <v>3500000</v>
      </c>
      <c r="P1120" s="121" t="s">
        <v>18</v>
      </c>
      <c r="Q1120" s="121" t="s">
        <v>124</v>
      </c>
      <c r="R1120" s="127"/>
      <c r="T1120" s="118"/>
    </row>
    <row r="1121" customFormat="false" ht="12.75" hidden="false" customHeight="true" outlineLevel="0" collapsed="false">
      <c r="B1121" s="119" t="n">
        <f aca="false">ROW()-4</f>
        <v>1117</v>
      </c>
      <c r="C1121" s="120" t="n">
        <f aca="false">COUNTIFS($D$5:D1121,D1121)</f>
        <v>158</v>
      </c>
      <c r="D1121" s="121" t="s">
        <v>2006</v>
      </c>
      <c r="E1121" s="122" t="s">
        <v>2313</v>
      </c>
      <c r="F1121" s="123" t="n">
        <v>45414</v>
      </c>
      <c r="G1121" s="121" t="s">
        <v>26</v>
      </c>
      <c r="H112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A1117</v>
      </c>
      <c r="I112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B1117</v>
      </c>
      <c r="J1121" s="122" t="s">
        <v>2314</v>
      </c>
      <c r="K112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C1117</v>
      </c>
      <c r="L112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D1117</v>
      </c>
      <c r="M112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E1117</v>
      </c>
      <c r="N1121" s="122" t="s">
        <v>73</v>
      </c>
      <c r="O1121" s="126" t="n">
        <v>3500000</v>
      </c>
      <c r="P1121" s="121" t="s">
        <v>18</v>
      </c>
      <c r="Q1121" s="121" t="s">
        <v>124</v>
      </c>
      <c r="R1121" s="127"/>
      <c r="T1121" s="118"/>
    </row>
    <row r="1122" customFormat="false" ht="12.75" hidden="false" customHeight="true" outlineLevel="0" collapsed="false">
      <c r="B1122" s="119" t="n">
        <f aca="false">ROW()-4</f>
        <v>1118</v>
      </c>
      <c r="C1122" s="120" t="n">
        <f aca="false">COUNTIFS($D$5:D1122,D1122)</f>
        <v>159</v>
      </c>
      <c r="D1122" s="121" t="s">
        <v>2006</v>
      </c>
      <c r="E1122" s="122" t="s">
        <v>2315</v>
      </c>
      <c r="F1122" s="123" t="n">
        <v>45656</v>
      </c>
      <c r="G1122" s="121" t="s">
        <v>28</v>
      </c>
      <c r="H112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A1118</v>
      </c>
      <c r="I112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B1118</v>
      </c>
      <c r="J1122" s="122" t="s">
        <v>2316</v>
      </c>
      <c r="K112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C1118</v>
      </c>
      <c r="L112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D1118</v>
      </c>
      <c r="M112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E1118</v>
      </c>
      <c r="N1122" s="122" t="s">
        <v>73</v>
      </c>
      <c r="O1122" s="126" t="n">
        <v>3500000</v>
      </c>
      <c r="P1122" s="121" t="s">
        <v>18</v>
      </c>
      <c r="Q1122" s="121" t="s">
        <v>124</v>
      </c>
      <c r="R1122" s="127"/>
      <c r="T1122" s="118"/>
    </row>
    <row r="1123" customFormat="false" ht="12.75" hidden="false" customHeight="true" outlineLevel="0" collapsed="false">
      <c r="B1123" s="119" t="n">
        <f aca="false">ROW()-4</f>
        <v>1119</v>
      </c>
      <c r="C1123" s="120" t="n">
        <f aca="false">COUNTIFS($D$5:D1123,D1123)</f>
        <v>160</v>
      </c>
      <c r="D1123" s="121" t="s">
        <v>2006</v>
      </c>
      <c r="E1123" s="122" t="s">
        <v>2317</v>
      </c>
      <c r="F1123" s="123" t="n">
        <v>45223</v>
      </c>
      <c r="G1123" s="121" t="s">
        <v>22</v>
      </c>
      <c r="H112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A1119</v>
      </c>
      <c r="I112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B1119</v>
      </c>
      <c r="J1123" s="122" t="s">
        <v>2318</v>
      </c>
      <c r="K112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C1119</v>
      </c>
      <c r="L112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D1119</v>
      </c>
      <c r="M112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E1119</v>
      </c>
      <c r="N1123" s="122" t="s">
        <v>73</v>
      </c>
      <c r="O1123" s="126" t="n">
        <v>3500000</v>
      </c>
      <c r="P1123" s="121" t="s">
        <v>18</v>
      </c>
      <c r="Q1123" s="121" t="s">
        <v>124</v>
      </c>
      <c r="R1123" s="127"/>
      <c r="T1123" s="118"/>
    </row>
    <row r="1124" customFormat="false" ht="12.75" hidden="false" customHeight="true" outlineLevel="0" collapsed="false">
      <c r="B1124" s="119" t="n">
        <f aca="false">ROW()-4</f>
        <v>1120</v>
      </c>
      <c r="C1124" s="120" t="n">
        <f aca="false">COUNTIFS($D$5:D1124,D1124)</f>
        <v>161</v>
      </c>
      <c r="D1124" s="121" t="s">
        <v>2006</v>
      </c>
      <c r="E1124" s="122" t="s">
        <v>2319</v>
      </c>
      <c r="F1124" s="123" t="n">
        <v>45216</v>
      </c>
      <c r="G1124" s="121" t="s">
        <v>22</v>
      </c>
      <c r="H112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A1120</v>
      </c>
      <c r="I112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B1120</v>
      </c>
      <c r="J1124" s="122" t="s">
        <v>2320</v>
      </c>
      <c r="K112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C1120</v>
      </c>
      <c r="L112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D1120</v>
      </c>
      <c r="M112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E1120</v>
      </c>
      <c r="N1124" s="122" t="s">
        <v>73</v>
      </c>
      <c r="O1124" s="126" t="n">
        <v>3500000</v>
      </c>
      <c r="P1124" s="121" t="s">
        <v>18</v>
      </c>
      <c r="Q1124" s="121" t="s">
        <v>124</v>
      </c>
      <c r="R1124" s="127"/>
      <c r="T1124" s="118"/>
    </row>
    <row r="1125" customFormat="false" ht="12.75" hidden="false" customHeight="true" outlineLevel="0" collapsed="false">
      <c r="B1125" s="119" t="n">
        <f aca="false">ROW()-4</f>
        <v>1121</v>
      </c>
      <c r="C1125" s="120" t="n">
        <f aca="false">COUNTIFS($D$5:D1125,D1125)</f>
        <v>162</v>
      </c>
      <c r="D1125" s="121" t="s">
        <v>2006</v>
      </c>
      <c r="E1125" s="122" t="s">
        <v>2321</v>
      </c>
      <c r="F1125" s="123" t="n">
        <v>44651</v>
      </c>
      <c r="G1125" s="121" t="s">
        <v>22</v>
      </c>
      <c r="H112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A1121</v>
      </c>
      <c r="I112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B1121</v>
      </c>
      <c r="J1125" s="122" t="s">
        <v>2322</v>
      </c>
      <c r="K112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C1121</v>
      </c>
      <c r="L112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D1121</v>
      </c>
      <c r="M112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E1121</v>
      </c>
      <c r="N1125" s="122" t="s">
        <v>73</v>
      </c>
      <c r="O1125" s="126" t="n">
        <v>3500000</v>
      </c>
      <c r="P1125" s="121" t="s">
        <v>18</v>
      </c>
      <c r="Q1125" s="121" t="s">
        <v>124</v>
      </c>
      <c r="R1125" s="127"/>
      <c r="T1125" s="118"/>
    </row>
    <row r="1126" customFormat="false" ht="12.75" hidden="false" customHeight="true" outlineLevel="0" collapsed="false">
      <c r="B1126" s="119" t="n">
        <f aca="false">ROW()-4</f>
        <v>1122</v>
      </c>
      <c r="C1126" s="120" t="n">
        <f aca="false">COUNTIFS($D$5:D1126,D1126)</f>
        <v>163</v>
      </c>
      <c r="D1126" s="121" t="s">
        <v>2006</v>
      </c>
      <c r="E1126" s="122" t="s">
        <v>2323</v>
      </c>
      <c r="F1126" s="123" t="n">
        <v>44651</v>
      </c>
      <c r="G1126" s="121" t="s">
        <v>22</v>
      </c>
      <c r="H112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A1122</v>
      </c>
      <c r="I112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B1122</v>
      </c>
      <c r="J1126" s="122" t="s">
        <v>2324</v>
      </c>
      <c r="K112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C1122</v>
      </c>
      <c r="L112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D1122</v>
      </c>
      <c r="M112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E1122</v>
      </c>
      <c r="N1126" s="122" t="s">
        <v>73</v>
      </c>
      <c r="O1126" s="126" t="n">
        <v>3500000</v>
      </c>
      <c r="P1126" s="121" t="s">
        <v>18</v>
      </c>
      <c r="Q1126" s="121" t="s">
        <v>124</v>
      </c>
      <c r="R1126" s="127"/>
      <c r="T1126" s="118"/>
    </row>
    <row r="1127" customFormat="false" ht="12.75" hidden="false" customHeight="true" outlineLevel="0" collapsed="false">
      <c r="B1127" s="119" t="n">
        <f aca="false">ROW()-4</f>
        <v>1123</v>
      </c>
      <c r="C1127" s="120" t="n">
        <f aca="false">COUNTIFS($D$5:D1127,D1127)</f>
        <v>164</v>
      </c>
      <c r="D1127" s="121" t="s">
        <v>2006</v>
      </c>
      <c r="E1127" s="122" t="s">
        <v>2325</v>
      </c>
      <c r="F1127" s="123"/>
      <c r="G1127" s="121" t="s">
        <v>210</v>
      </c>
      <c r="H1127" s="122"/>
      <c r="I1127" s="122"/>
      <c r="J1127" s="122"/>
      <c r="K1127" s="122"/>
      <c r="L1127" s="125"/>
      <c r="M112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E1123</v>
      </c>
      <c r="N1127" s="122" t="s">
        <v>73</v>
      </c>
      <c r="O1127" s="126" t="n">
        <v>3500000</v>
      </c>
      <c r="P1127" s="121" t="s">
        <v>19</v>
      </c>
      <c r="Q1127" s="122"/>
      <c r="R1127" s="128" t="s">
        <v>59</v>
      </c>
      <c r="T1127" s="118"/>
    </row>
    <row r="1128" customFormat="false" ht="12.75" hidden="false" customHeight="true" outlineLevel="0" collapsed="false">
      <c r="B1128" s="119" t="n">
        <f aca="false">ROW()-4</f>
        <v>1124</v>
      </c>
      <c r="C1128" s="120" t="n">
        <f aca="false">COUNTIFS($D$5:D1128,D1128)</f>
        <v>165</v>
      </c>
      <c r="D1128" s="121" t="s">
        <v>2006</v>
      </c>
      <c r="E1128" s="122" t="s">
        <v>2326</v>
      </c>
      <c r="F1128" s="123" t="n">
        <v>45428</v>
      </c>
      <c r="G1128" s="121" t="s">
        <v>22</v>
      </c>
      <c r="H112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A1124</v>
      </c>
      <c r="I112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B1124</v>
      </c>
      <c r="J1128" s="122" t="s">
        <v>2327</v>
      </c>
      <c r="K112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C1124</v>
      </c>
      <c r="L112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D1124</v>
      </c>
      <c r="M112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E1124</v>
      </c>
      <c r="N1128" s="122" t="s">
        <v>73</v>
      </c>
      <c r="O1128" s="126" t="n">
        <v>3500000</v>
      </c>
      <c r="P1128" s="121" t="s">
        <v>18</v>
      </c>
      <c r="Q1128" s="121" t="s">
        <v>124</v>
      </c>
      <c r="R1128" s="127"/>
      <c r="T1128" s="118"/>
    </row>
    <row r="1129" customFormat="false" ht="12.75" hidden="false" customHeight="true" outlineLevel="0" collapsed="false">
      <c r="B1129" s="119" t="n">
        <f aca="false">ROW()-4</f>
        <v>1125</v>
      </c>
      <c r="C1129" s="120" t="n">
        <f aca="false">COUNTIFS($D$5:D1129,D1129)</f>
        <v>166</v>
      </c>
      <c r="D1129" s="121" t="s">
        <v>2006</v>
      </c>
      <c r="E1129" s="122" t="s">
        <v>2328</v>
      </c>
      <c r="F1129" s="123" t="n">
        <v>45467</v>
      </c>
      <c r="G1129" s="121" t="s">
        <v>22</v>
      </c>
      <c r="H112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A1125</v>
      </c>
      <c r="I112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B1125</v>
      </c>
      <c r="J1129" s="122" t="s">
        <v>2329</v>
      </c>
      <c r="K112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C1125</v>
      </c>
      <c r="L112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D1125</v>
      </c>
      <c r="M112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E1125</v>
      </c>
      <c r="N1129" s="122" t="s">
        <v>73</v>
      </c>
      <c r="O1129" s="126" t="n">
        <v>3500000</v>
      </c>
      <c r="P1129" s="121" t="s">
        <v>18</v>
      </c>
      <c r="Q1129" s="121" t="s">
        <v>124</v>
      </c>
      <c r="R1129" s="127"/>
      <c r="T1129" s="118"/>
    </row>
    <row r="1130" customFormat="false" ht="12.75" hidden="false" customHeight="true" outlineLevel="0" collapsed="false">
      <c r="B1130" s="119" t="n">
        <f aca="false">ROW()-4</f>
        <v>1126</v>
      </c>
      <c r="C1130" s="120" t="n">
        <f aca="false">COUNTIFS($D$5:D1130,D1130)</f>
        <v>167</v>
      </c>
      <c r="D1130" s="121" t="s">
        <v>2006</v>
      </c>
      <c r="E1130" s="122" t="s">
        <v>2330</v>
      </c>
      <c r="F1130" s="123" t="n">
        <v>45467</v>
      </c>
      <c r="G1130" s="121" t="s">
        <v>22</v>
      </c>
      <c r="H113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A1126</v>
      </c>
      <c r="I113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B1126</v>
      </c>
      <c r="J1130" s="122" t="s">
        <v>2331</v>
      </c>
      <c r="K113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C1126</v>
      </c>
      <c r="L113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D1126</v>
      </c>
      <c r="M113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E1126</v>
      </c>
      <c r="N1130" s="122" t="s">
        <v>73</v>
      </c>
      <c r="O1130" s="126" t="n">
        <v>3500000</v>
      </c>
      <c r="P1130" s="121" t="s">
        <v>18</v>
      </c>
      <c r="Q1130" s="121" t="s">
        <v>124</v>
      </c>
      <c r="R1130" s="127"/>
      <c r="T1130" s="118"/>
    </row>
    <row r="1131" customFormat="false" ht="12.75" hidden="false" customHeight="true" outlineLevel="0" collapsed="false">
      <c r="B1131" s="119" t="n">
        <f aca="false">ROW()-4</f>
        <v>1127</v>
      </c>
      <c r="C1131" s="120" t="n">
        <f aca="false">COUNTIFS($D$5:D1131,D1131)</f>
        <v>168</v>
      </c>
      <c r="D1131" s="121" t="s">
        <v>2006</v>
      </c>
      <c r="E1131" s="122" t="s">
        <v>2332</v>
      </c>
      <c r="F1131" s="123" t="n">
        <v>46008</v>
      </c>
      <c r="G1131" s="121" t="s">
        <v>22</v>
      </c>
      <c r="H113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A1127</v>
      </c>
      <c r="I113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B1127</v>
      </c>
      <c r="J1131" s="122" t="s">
        <v>2333</v>
      </c>
      <c r="K113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C1127</v>
      </c>
      <c r="L113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D1127</v>
      </c>
      <c r="M113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E1127</v>
      </c>
      <c r="N1131" s="122" t="s">
        <v>73</v>
      </c>
      <c r="O1131" s="126" t="n">
        <v>3500000</v>
      </c>
      <c r="P1131" s="121" t="s">
        <v>18</v>
      </c>
      <c r="Q1131" s="121" t="s">
        <v>124</v>
      </c>
      <c r="R1131" s="127"/>
      <c r="T1131" s="118"/>
    </row>
    <row r="1132" customFormat="false" ht="12.75" hidden="false" customHeight="true" outlineLevel="0" collapsed="false">
      <c r="B1132" s="119" t="n">
        <f aca="false">ROW()-4</f>
        <v>1128</v>
      </c>
      <c r="C1132" s="120" t="n">
        <f aca="false">COUNTIFS($D$5:D1132,D1132)</f>
        <v>169</v>
      </c>
      <c r="D1132" s="121" t="s">
        <v>2006</v>
      </c>
      <c r="E1132" s="122" t="s">
        <v>2334</v>
      </c>
      <c r="F1132" s="123"/>
      <c r="G1132" s="121" t="s">
        <v>210</v>
      </c>
      <c r="H1132" s="122"/>
      <c r="I1132" s="122"/>
      <c r="J1132" s="122"/>
      <c r="K1132" s="122"/>
      <c r="L1132" s="125"/>
      <c r="M113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E1128</v>
      </c>
      <c r="N1132" s="122" t="s">
        <v>73</v>
      </c>
      <c r="O1132" s="126" t="n">
        <v>3500000</v>
      </c>
      <c r="P1132" s="121" t="s">
        <v>19</v>
      </c>
      <c r="Q1132" s="122"/>
      <c r="R1132" s="128" t="s">
        <v>59</v>
      </c>
      <c r="T1132" s="118"/>
    </row>
    <row r="1133" customFormat="false" ht="12.75" hidden="false" customHeight="true" outlineLevel="0" collapsed="false">
      <c r="B1133" s="119" t="n">
        <f aca="false">ROW()-4</f>
        <v>1129</v>
      </c>
      <c r="C1133" s="120" t="n">
        <f aca="false">COUNTIFS($D$5:D1133,D1133)</f>
        <v>170</v>
      </c>
      <c r="D1133" s="121" t="s">
        <v>2006</v>
      </c>
      <c r="E1133" s="122" t="s">
        <v>2335</v>
      </c>
      <c r="F1133" s="123" t="n">
        <v>45631</v>
      </c>
      <c r="G1133" s="121" t="s">
        <v>22</v>
      </c>
      <c r="H113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A1129</v>
      </c>
      <c r="I113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B1129</v>
      </c>
      <c r="J1133" s="122" t="s">
        <v>2336</v>
      </c>
      <c r="K113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C1129</v>
      </c>
      <c r="L113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D1129</v>
      </c>
      <c r="M113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E1129</v>
      </c>
      <c r="N1133" s="122" t="s">
        <v>73</v>
      </c>
      <c r="O1133" s="126" t="n">
        <v>3500000</v>
      </c>
      <c r="P1133" s="121" t="s">
        <v>18</v>
      </c>
      <c r="Q1133" s="121" t="s">
        <v>124</v>
      </c>
      <c r="R1133" s="127"/>
      <c r="T1133" s="118"/>
    </row>
    <row r="1134" customFormat="false" ht="12.75" hidden="false" customHeight="true" outlineLevel="0" collapsed="false">
      <c r="B1134" s="119" t="n">
        <f aca="false">ROW()-4</f>
        <v>1130</v>
      </c>
      <c r="C1134" s="120" t="n">
        <f aca="false">COUNTIFS($D$5:D1134,D1134)</f>
        <v>171</v>
      </c>
      <c r="D1134" s="121" t="s">
        <v>2006</v>
      </c>
      <c r="E1134" s="122" t="s">
        <v>2337</v>
      </c>
      <c r="F1134" s="123" t="n">
        <v>45631</v>
      </c>
      <c r="G1134" s="121" t="s">
        <v>22</v>
      </c>
      <c r="H113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A1130</v>
      </c>
      <c r="I113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B1130</v>
      </c>
      <c r="J1134" s="122" t="s">
        <v>2338</v>
      </c>
      <c r="K113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C1130</v>
      </c>
      <c r="L113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D1130</v>
      </c>
      <c r="M113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E1130</v>
      </c>
      <c r="N1134" s="122" t="s">
        <v>73</v>
      </c>
      <c r="O1134" s="126" t="n">
        <v>3500000</v>
      </c>
      <c r="P1134" s="121" t="s">
        <v>18</v>
      </c>
      <c r="Q1134" s="121" t="s">
        <v>124</v>
      </c>
      <c r="R1134" s="127"/>
      <c r="T1134" s="118"/>
    </row>
    <row r="1135" customFormat="false" ht="12.75" hidden="false" customHeight="true" outlineLevel="0" collapsed="false">
      <c r="B1135" s="119" t="n">
        <f aca="false">ROW()-4</f>
        <v>1131</v>
      </c>
      <c r="C1135" s="120" t="n">
        <f aca="false">COUNTIFS($D$5:D1135,D1135)</f>
        <v>172</v>
      </c>
      <c r="D1135" s="121" t="s">
        <v>2006</v>
      </c>
      <c r="E1135" s="122" t="s">
        <v>2339</v>
      </c>
      <c r="F1135" s="123" t="n">
        <v>45804</v>
      </c>
      <c r="G1135" s="121" t="s">
        <v>22</v>
      </c>
      <c r="H113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A1131</v>
      </c>
      <c r="I113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B1131</v>
      </c>
      <c r="J1135" s="122" t="s">
        <v>2340</v>
      </c>
      <c r="K113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C1131</v>
      </c>
      <c r="L113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D1131</v>
      </c>
      <c r="M113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E1131</v>
      </c>
      <c r="N1135" s="122" t="s">
        <v>73</v>
      </c>
      <c r="O1135" s="126" t="n">
        <v>3500000</v>
      </c>
      <c r="P1135" s="121" t="s">
        <v>18</v>
      </c>
      <c r="Q1135" s="121" t="s">
        <v>124</v>
      </c>
      <c r="R1135" s="127"/>
      <c r="T1135" s="118"/>
    </row>
    <row r="1136" customFormat="false" ht="12.75" hidden="false" customHeight="true" outlineLevel="0" collapsed="false">
      <c r="B1136" s="119" t="n">
        <f aca="false">ROW()-4</f>
        <v>1132</v>
      </c>
      <c r="C1136" s="120" t="n">
        <f aca="false">COUNTIFS($D$5:D1136,D1136)</f>
        <v>173</v>
      </c>
      <c r="D1136" s="121" t="s">
        <v>2006</v>
      </c>
      <c r="E1136" s="122" t="s">
        <v>2341</v>
      </c>
      <c r="F1136" s="123" t="n">
        <v>45408</v>
      </c>
      <c r="G1136" s="121" t="s">
        <v>22</v>
      </c>
      <c r="H113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A1132</v>
      </c>
      <c r="I113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B1132</v>
      </c>
      <c r="J1136" s="122" t="s">
        <v>2342</v>
      </c>
      <c r="K113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C1132</v>
      </c>
      <c r="L113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D1132</v>
      </c>
      <c r="M113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E1132</v>
      </c>
      <c r="N1136" s="122" t="s">
        <v>73</v>
      </c>
      <c r="O1136" s="126" t="n">
        <v>3500000</v>
      </c>
      <c r="P1136" s="121" t="s">
        <v>18</v>
      </c>
      <c r="Q1136" s="121" t="s">
        <v>124</v>
      </c>
      <c r="R1136" s="127"/>
      <c r="T1136" s="118"/>
    </row>
    <row r="1137" customFormat="false" ht="12.75" hidden="false" customHeight="true" outlineLevel="0" collapsed="false">
      <c r="B1137" s="140" t="n">
        <f aca="false">ROW()-4</f>
        <v>1133</v>
      </c>
      <c r="C1137" s="141" t="n">
        <f aca="false">COUNTIFS($D$5:D1137,D1137)</f>
        <v>174</v>
      </c>
      <c r="D1137" s="142" t="s">
        <v>2006</v>
      </c>
      <c r="E1137" s="143" t="s">
        <v>2343</v>
      </c>
      <c r="F1137" s="144" t="n">
        <v>46062</v>
      </c>
      <c r="G1137" s="142" t="s">
        <v>22</v>
      </c>
      <c r="H1137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A1133</v>
      </c>
      <c r="I1137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B1133</v>
      </c>
      <c r="J1137" s="143" t="s">
        <v>2344</v>
      </c>
      <c r="K1137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C1133</v>
      </c>
      <c r="L1137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D1133</v>
      </c>
      <c r="M1137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E1133</v>
      </c>
      <c r="N1137" s="143" t="s">
        <v>73</v>
      </c>
      <c r="O1137" s="146" t="n">
        <v>3500000</v>
      </c>
      <c r="P1137" s="142" t="s">
        <v>1533</v>
      </c>
      <c r="Q1137" s="143" t="s">
        <v>908</v>
      </c>
      <c r="R1137" s="147"/>
      <c r="T1137" s="118"/>
    </row>
    <row r="1138" customFormat="false" ht="12.75" hidden="false" customHeight="true" outlineLevel="0" collapsed="false">
      <c r="B1138" s="119" t="n">
        <f aca="false">ROW()-4</f>
        <v>1134</v>
      </c>
      <c r="C1138" s="120" t="n">
        <f aca="false">COUNTIFS($D$5:D1138,D1138)</f>
        <v>175</v>
      </c>
      <c r="D1138" s="121" t="s">
        <v>2006</v>
      </c>
      <c r="E1138" s="122" t="s">
        <v>2345</v>
      </c>
      <c r="F1138" s="123" t="n">
        <v>45670</v>
      </c>
      <c r="G1138" s="121" t="s">
        <v>22</v>
      </c>
      <c r="H113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A1134</v>
      </c>
      <c r="I113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B1134</v>
      </c>
      <c r="J1138" s="122" t="s">
        <v>2346</v>
      </c>
      <c r="K113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C1134</v>
      </c>
      <c r="L113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D1134</v>
      </c>
      <c r="M113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E1134</v>
      </c>
      <c r="N1138" s="122" t="s">
        <v>73</v>
      </c>
      <c r="O1138" s="126" t="n">
        <v>3500000</v>
      </c>
      <c r="P1138" s="121" t="s">
        <v>18</v>
      </c>
      <c r="Q1138" s="121" t="s">
        <v>124</v>
      </c>
      <c r="R1138" s="127"/>
      <c r="T1138" s="118"/>
    </row>
    <row r="1139" customFormat="false" ht="12.75" hidden="false" customHeight="true" outlineLevel="0" collapsed="false">
      <c r="B1139" s="119" t="n">
        <f aca="false">ROW()-4</f>
        <v>1135</v>
      </c>
      <c r="C1139" s="120" t="n">
        <f aca="false">COUNTIFS($D$5:D1139,D1139)</f>
        <v>176</v>
      </c>
      <c r="D1139" s="121" t="s">
        <v>2006</v>
      </c>
      <c r="E1139" s="122" t="s">
        <v>2347</v>
      </c>
      <c r="F1139" s="123" t="n">
        <v>44830</v>
      </c>
      <c r="G1139" s="121" t="s">
        <v>22</v>
      </c>
      <c r="H113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A1135</v>
      </c>
      <c r="I113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B1135</v>
      </c>
      <c r="J1139" s="122" t="s">
        <v>2348</v>
      </c>
      <c r="K113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C1135</v>
      </c>
      <c r="L113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D1135</v>
      </c>
      <c r="M113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E1135</v>
      </c>
      <c r="N1139" s="122" t="s">
        <v>73</v>
      </c>
      <c r="O1139" s="126" t="n">
        <v>3500000</v>
      </c>
      <c r="P1139" s="121" t="s">
        <v>18</v>
      </c>
      <c r="Q1139" s="121" t="s">
        <v>124</v>
      </c>
      <c r="R1139" s="127"/>
      <c r="T1139" s="118"/>
    </row>
    <row r="1140" customFormat="false" ht="12.75" hidden="false" customHeight="true" outlineLevel="0" collapsed="false">
      <c r="B1140" s="119" t="n">
        <f aca="false">ROW()-4</f>
        <v>1136</v>
      </c>
      <c r="C1140" s="120" t="n">
        <f aca="false">COUNTIFS($D$5:D1140,D1140)</f>
        <v>177</v>
      </c>
      <c r="D1140" s="121" t="s">
        <v>2006</v>
      </c>
      <c r="E1140" s="122" t="s">
        <v>2349</v>
      </c>
      <c r="F1140" s="123" t="n">
        <v>45565</v>
      </c>
      <c r="G1140" s="121" t="s">
        <v>28</v>
      </c>
      <c r="H114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A1136</v>
      </c>
      <c r="I114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B1136</v>
      </c>
      <c r="J1140" s="122" t="s">
        <v>2350</v>
      </c>
      <c r="K114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C1136</v>
      </c>
      <c r="L114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D1136</v>
      </c>
      <c r="M114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E1136</v>
      </c>
      <c r="N1140" s="122" t="s">
        <v>73</v>
      </c>
      <c r="O1140" s="126" t="n">
        <v>3500000</v>
      </c>
      <c r="P1140" s="121" t="s">
        <v>18</v>
      </c>
      <c r="Q1140" s="121" t="s">
        <v>124</v>
      </c>
      <c r="R1140" s="127"/>
      <c r="T1140" s="118"/>
    </row>
    <row r="1141" customFormat="false" ht="12.75" hidden="false" customHeight="true" outlineLevel="0" collapsed="false">
      <c r="B1141" s="119" t="n">
        <f aca="false">ROW()-4</f>
        <v>1137</v>
      </c>
      <c r="C1141" s="120" t="n">
        <f aca="false">COUNTIFS($D$5:D1141,D1141)</f>
        <v>178</v>
      </c>
      <c r="D1141" s="121" t="s">
        <v>2006</v>
      </c>
      <c r="E1141" s="122" t="s">
        <v>2351</v>
      </c>
      <c r="F1141" s="123" t="n">
        <v>45336</v>
      </c>
      <c r="G1141" s="121" t="s">
        <v>22</v>
      </c>
      <c r="H114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A1137</v>
      </c>
      <c r="I114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B1137</v>
      </c>
      <c r="J1141" s="122" t="s">
        <v>2352</v>
      </c>
      <c r="K114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C1137</v>
      </c>
      <c r="L114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D1137</v>
      </c>
      <c r="M114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E1137</v>
      </c>
      <c r="N1141" s="122" t="s">
        <v>73</v>
      </c>
      <c r="O1141" s="126" t="n">
        <v>3500000</v>
      </c>
      <c r="P1141" s="121" t="s">
        <v>18</v>
      </c>
      <c r="Q1141" s="121" t="s">
        <v>124</v>
      </c>
      <c r="R1141" s="127"/>
      <c r="T1141" s="118"/>
    </row>
    <row r="1142" customFormat="false" ht="12.75" hidden="false" customHeight="true" outlineLevel="0" collapsed="false">
      <c r="B1142" s="119" t="n">
        <f aca="false">ROW()-4</f>
        <v>1138</v>
      </c>
      <c r="C1142" s="120" t="n">
        <f aca="false">COUNTIFS($D$5:D1142,D1142)</f>
        <v>179</v>
      </c>
      <c r="D1142" s="121" t="s">
        <v>2006</v>
      </c>
      <c r="E1142" s="122" t="s">
        <v>2353</v>
      </c>
      <c r="F1142" s="123" t="n">
        <v>44820</v>
      </c>
      <c r="G1142" s="121" t="s">
        <v>28</v>
      </c>
      <c r="H114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A1138</v>
      </c>
      <c r="I114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B1138</v>
      </c>
      <c r="J1142" s="124" t="s">
        <v>2354</v>
      </c>
      <c r="K114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C1138</v>
      </c>
      <c r="L114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D1138</v>
      </c>
      <c r="M114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E1138</v>
      </c>
      <c r="N1142" s="122" t="s">
        <v>73</v>
      </c>
      <c r="O1142" s="126" t="n">
        <v>3500000</v>
      </c>
      <c r="P1142" s="121" t="s">
        <v>18</v>
      </c>
      <c r="Q1142" s="121" t="s">
        <v>124</v>
      </c>
      <c r="R1142" s="127"/>
      <c r="T1142" s="118"/>
    </row>
    <row r="1143" customFormat="false" ht="12.75" hidden="false" customHeight="true" outlineLevel="0" collapsed="false">
      <c r="B1143" s="119" t="n">
        <f aca="false">ROW()-4</f>
        <v>1139</v>
      </c>
      <c r="C1143" s="120" t="n">
        <f aca="false">COUNTIFS($D$5:D1143,D1143)</f>
        <v>180</v>
      </c>
      <c r="D1143" s="121" t="s">
        <v>2006</v>
      </c>
      <c r="E1143" s="122" t="s">
        <v>2355</v>
      </c>
      <c r="F1143" s="123" t="n">
        <v>45943</v>
      </c>
      <c r="G1143" s="121" t="s">
        <v>24</v>
      </c>
      <c r="H114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A1139</v>
      </c>
      <c r="I114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B1139</v>
      </c>
      <c r="J1143" s="122" t="s">
        <v>2356</v>
      </c>
      <c r="K114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C1139</v>
      </c>
      <c r="L114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D1139</v>
      </c>
      <c r="M114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E1139</v>
      </c>
      <c r="N1143" s="122" t="s">
        <v>73</v>
      </c>
      <c r="O1143" s="126" t="n">
        <v>3500000</v>
      </c>
      <c r="P1143" s="121" t="s">
        <v>18</v>
      </c>
      <c r="Q1143" s="121" t="s">
        <v>124</v>
      </c>
      <c r="R1143" s="127"/>
      <c r="T1143" s="118"/>
    </row>
    <row r="1144" customFormat="false" ht="12.75" hidden="false" customHeight="true" outlineLevel="0" collapsed="false">
      <c r="B1144" s="119" t="n">
        <f aca="false">ROW()-4</f>
        <v>1140</v>
      </c>
      <c r="C1144" s="120" t="n">
        <f aca="false">COUNTIFS($D$5:D1144,D1144)</f>
        <v>181</v>
      </c>
      <c r="D1144" s="121" t="s">
        <v>2006</v>
      </c>
      <c r="E1144" s="122" t="s">
        <v>2357</v>
      </c>
      <c r="F1144" s="123" t="n">
        <v>45943</v>
      </c>
      <c r="G1144" s="121" t="s">
        <v>24</v>
      </c>
      <c r="H114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A1140</v>
      </c>
      <c r="I114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B1140</v>
      </c>
      <c r="J1144" s="122" t="s">
        <v>2358</v>
      </c>
      <c r="K114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C1140</v>
      </c>
      <c r="L114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D1140</v>
      </c>
      <c r="M114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E1140</v>
      </c>
      <c r="N1144" s="122" t="s">
        <v>73</v>
      </c>
      <c r="O1144" s="126" t="n">
        <v>3500000</v>
      </c>
      <c r="P1144" s="121" t="s">
        <v>18</v>
      </c>
      <c r="Q1144" s="121" t="s">
        <v>124</v>
      </c>
      <c r="R1144" s="127"/>
      <c r="T1144" s="118"/>
    </row>
    <row r="1145" customFormat="false" ht="12.75" hidden="false" customHeight="true" outlineLevel="0" collapsed="false">
      <c r="B1145" s="119" t="n">
        <f aca="false">ROW()-4</f>
        <v>1141</v>
      </c>
      <c r="C1145" s="120" t="n">
        <f aca="false">COUNTIFS($D$5:D1145,D1145)</f>
        <v>182</v>
      </c>
      <c r="D1145" s="121" t="s">
        <v>2006</v>
      </c>
      <c r="E1145" s="122" t="s">
        <v>2359</v>
      </c>
      <c r="F1145" s="123" t="n">
        <v>45943</v>
      </c>
      <c r="G1145" s="121" t="s">
        <v>24</v>
      </c>
      <c r="H114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A1141</v>
      </c>
      <c r="I114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B1141</v>
      </c>
      <c r="J1145" s="122" t="s">
        <v>2360</v>
      </c>
      <c r="K114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C1141</v>
      </c>
      <c r="L114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D1141</v>
      </c>
      <c r="M114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E1141</v>
      </c>
      <c r="N1145" s="122" t="s">
        <v>73</v>
      </c>
      <c r="O1145" s="126" t="n">
        <v>3500000</v>
      </c>
      <c r="P1145" s="121" t="s">
        <v>18</v>
      </c>
      <c r="Q1145" s="121" t="s">
        <v>124</v>
      </c>
      <c r="R1145" s="127"/>
      <c r="T1145" s="118"/>
    </row>
    <row r="1146" customFormat="false" ht="12.75" hidden="false" customHeight="true" outlineLevel="0" collapsed="false">
      <c r="B1146" s="119" t="n">
        <f aca="false">ROW()-4</f>
        <v>1142</v>
      </c>
      <c r="C1146" s="120" t="n">
        <f aca="false">COUNTIFS($D$5:D1146,D1146)</f>
        <v>183</v>
      </c>
      <c r="D1146" s="121" t="s">
        <v>2006</v>
      </c>
      <c r="E1146" s="122" t="s">
        <v>2361</v>
      </c>
      <c r="F1146" s="123" t="n">
        <v>44861</v>
      </c>
      <c r="G1146" s="121" t="s">
        <v>22</v>
      </c>
      <c r="H114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A1142</v>
      </c>
      <c r="I114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B1142</v>
      </c>
      <c r="J1146" s="122" t="s">
        <v>2214</v>
      </c>
      <c r="K114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C1142</v>
      </c>
      <c r="L114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D1142</v>
      </c>
      <c r="M114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E1142</v>
      </c>
      <c r="N1146" s="122" t="s">
        <v>73</v>
      </c>
      <c r="O1146" s="126" t="n">
        <v>3500000</v>
      </c>
      <c r="P1146" s="121" t="s">
        <v>18</v>
      </c>
      <c r="Q1146" s="121" t="s">
        <v>124</v>
      </c>
      <c r="R1146" s="127"/>
      <c r="T1146" s="118"/>
    </row>
    <row r="1147" customFormat="false" ht="12.75" hidden="false" customHeight="true" outlineLevel="0" collapsed="false">
      <c r="B1147" s="119" t="n">
        <f aca="false">ROW()-4</f>
        <v>1143</v>
      </c>
      <c r="C1147" s="120" t="n">
        <f aca="false">COUNTIFS($D$5:D1147,D1147)</f>
        <v>184</v>
      </c>
      <c r="D1147" s="121" t="s">
        <v>2006</v>
      </c>
      <c r="E1147" s="122" t="s">
        <v>2362</v>
      </c>
      <c r="F1147" s="123" t="n">
        <v>44861</v>
      </c>
      <c r="G1147" s="121" t="s">
        <v>22</v>
      </c>
      <c r="H114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A1143</v>
      </c>
      <c r="I114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B1143</v>
      </c>
      <c r="J1147" s="122" t="s">
        <v>2363</v>
      </c>
      <c r="K114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C1143</v>
      </c>
      <c r="L114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D1143</v>
      </c>
      <c r="M114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E1143</v>
      </c>
      <c r="N1147" s="122" t="s">
        <v>73</v>
      </c>
      <c r="O1147" s="126" t="n">
        <v>3500000</v>
      </c>
      <c r="P1147" s="121" t="s">
        <v>18</v>
      </c>
      <c r="Q1147" s="121" t="s">
        <v>124</v>
      </c>
      <c r="R1147" s="127"/>
      <c r="T1147" s="118"/>
    </row>
    <row r="1148" customFormat="false" ht="12.75" hidden="false" customHeight="true" outlineLevel="0" collapsed="false">
      <c r="B1148" s="119" t="n">
        <f aca="false">ROW()-4</f>
        <v>1144</v>
      </c>
      <c r="C1148" s="120" t="n">
        <f aca="false">COUNTIFS($D$5:D1148,D1148)</f>
        <v>185</v>
      </c>
      <c r="D1148" s="121" t="s">
        <v>2006</v>
      </c>
      <c r="E1148" s="122" t="s">
        <v>2364</v>
      </c>
      <c r="F1148" s="123" t="n">
        <v>44861</v>
      </c>
      <c r="G1148" s="121" t="s">
        <v>22</v>
      </c>
      <c r="H114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A1144</v>
      </c>
      <c r="I114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B1144</v>
      </c>
      <c r="J1148" s="122" t="s">
        <v>2365</v>
      </c>
      <c r="K114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C1144</v>
      </c>
      <c r="L114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D1144</v>
      </c>
      <c r="M114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E1144</v>
      </c>
      <c r="N1148" s="122" t="s">
        <v>73</v>
      </c>
      <c r="O1148" s="126" t="n">
        <v>3500000</v>
      </c>
      <c r="P1148" s="121" t="s">
        <v>18</v>
      </c>
      <c r="Q1148" s="121" t="s">
        <v>124</v>
      </c>
      <c r="R1148" s="127"/>
      <c r="T1148" s="118"/>
    </row>
    <row r="1149" customFormat="false" ht="12.75" hidden="false" customHeight="true" outlineLevel="0" collapsed="false">
      <c r="B1149" s="119" t="n">
        <f aca="false">ROW()-4</f>
        <v>1145</v>
      </c>
      <c r="C1149" s="120" t="n">
        <f aca="false">COUNTIFS($D$5:D1149,D1149)</f>
        <v>186</v>
      </c>
      <c r="D1149" s="121" t="s">
        <v>2006</v>
      </c>
      <c r="E1149" s="122" t="s">
        <v>2366</v>
      </c>
      <c r="F1149" s="123" t="n">
        <v>44861</v>
      </c>
      <c r="G1149" s="121" t="s">
        <v>22</v>
      </c>
      <c r="H114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A1145</v>
      </c>
      <c r="I114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B1145</v>
      </c>
      <c r="J1149" s="122" t="s">
        <v>2367</v>
      </c>
      <c r="K114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C1145</v>
      </c>
      <c r="L114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D1145</v>
      </c>
      <c r="M114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E1145</v>
      </c>
      <c r="N1149" s="122" t="s">
        <v>73</v>
      </c>
      <c r="O1149" s="126" t="n">
        <v>3500000</v>
      </c>
      <c r="P1149" s="121" t="s">
        <v>18</v>
      </c>
      <c r="Q1149" s="121" t="s">
        <v>124</v>
      </c>
      <c r="R1149" s="127"/>
      <c r="T1149" s="118"/>
    </row>
    <row r="1150" customFormat="false" ht="12.75" hidden="false" customHeight="true" outlineLevel="0" collapsed="false">
      <c r="B1150" s="119" t="n">
        <f aca="false">ROW()-4</f>
        <v>1146</v>
      </c>
      <c r="C1150" s="120" t="n">
        <f aca="false">COUNTIFS($D$5:D1150,D1150)</f>
        <v>187</v>
      </c>
      <c r="D1150" s="121" t="s">
        <v>2006</v>
      </c>
      <c r="E1150" s="122" t="s">
        <v>2368</v>
      </c>
      <c r="F1150" s="123" t="n">
        <v>45316</v>
      </c>
      <c r="G1150" s="121" t="s">
        <v>22</v>
      </c>
      <c r="H115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A1146</v>
      </c>
      <c r="I115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B1146</v>
      </c>
      <c r="J1150" s="122" t="s">
        <v>1237</v>
      </c>
      <c r="K115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C1146</v>
      </c>
      <c r="L115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D1146</v>
      </c>
      <c r="M115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E1146</v>
      </c>
      <c r="N1150" s="122" t="s">
        <v>73</v>
      </c>
      <c r="O1150" s="126" t="n">
        <v>3500000</v>
      </c>
      <c r="P1150" s="121" t="s">
        <v>18</v>
      </c>
      <c r="Q1150" s="121" t="s">
        <v>124</v>
      </c>
      <c r="R1150" s="127"/>
      <c r="T1150" s="118"/>
    </row>
    <row r="1151" customFormat="false" ht="12.75" hidden="false" customHeight="true" outlineLevel="0" collapsed="false">
      <c r="B1151" s="119" t="n">
        <f aca="false">ROW()-4</f>
        <v>1147</v>
      </c>
      <c r="C1151" s="120" t="n">
        <f aca="false">COUNTIFS($D$5:D1151,D1151)</f>
        <v>188</v>
      </c>
      <c r="D1151" s="121" t="s">
        <v>2006</v>
      </c>
      <c r="E1151" s="122" t="s">
        <v>2369</v>
      </c>
      <c r="F1151" s="123" t="n">
        <v>45316</v>
      </c>
      <c r="G1151" s="121" t="s">
        <v>22</v>
      </c>
      <c r="H115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A1147</v>
      </c>
      <c r="I115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B1147</v>
      </c>
      <c r="J1151" s="122" t="s">
        <v>2370</v>
      </c>
      <c r="K115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C1147</v>
      </c>
      <c r="L115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D1147</v>
      </c>
      <c r="M115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E1147</v>
      </c>
      <c r="N1151" s="122" t="s">
        <v>73</v>
      </c>
      <c r="O1151" s="126" t="n">
        <v>3500000</v>
      </c>
      <c r="P1151" s="121" t="s">
        <v>18</v>
      </c>
      <c r="Q1151" s="121" t="s">
        <v>124</v>
      </c>
      <c r="R1151" s="127"/>
      <c r="T1151" s="118"/>
    </row>
    <row r="1152" customFormat="false" ht="12.75" hidden="false" customHeight="true" outlineLevel="0" collapsed="false">
      <c r="B1152" s="119" t="n">
        <f aca="false">ROW()-4</f>
        <v>1148</v>
      </c>
      <c r="C1152" s="120" t="n">
        <f aca="false">COUNTIFS($D$5:D1152,D1152)</f>
        <v>189</v>
      </c>
      <c r="D1152" s="121" t="s">
        <v>2006</v>
      </c>
      <c r="E1152" s="122" t="s">
        <v>2371</v>
      </c>
      <c r="F1152" s="123" t="n">
        <v>45961</v>
      </c>
      <c r="G1152" s="121" t="s">
        <v>26</v>
      </c>
      <c r="H115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A1148</v>
      </c>
      <c r="I115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B1148</v>
      </c>
      <c r="J1152" s="122" t="s">
        <v>2372</v>
      </c>
      <c r="K115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C1148</v>
      </c>
      <c r="L115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D1148</v>
      </c>
      <c r="M115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E1148</v>
      </c>
      <c r="N1152" s="122" t="s">
        <v>73</v>
      </c>
      <c r="O1152" s="126" t="n">
        <v>3500000</v>
      </c>
      <c r="P1152" s="121" t="s">
        <v>18</v>
      </c>
      <c r="Q1152" s="121" t="s">
        <v>124</v>
      </c>
      <c r="R1152" s="127"/>
      <c r="T1152" s="118"/>
    </row>
    <row r="1153" customFormat="false" ht="12.75" hidden="false" customHeight="true" outlineLevel="0" collapsed="false">
      <c r="B1153" s="119" t="n">
        <f aca="false">ROW()-4</f>
        <v>1149</v>
      </c>
      <c r="C1153" s="120" t="n">
        <f aca="false">COUNTIFS($D$5:D1153,D1153)</f>
        <v>190</v>
      </c>
      <c r="D1153" s="121" t="s">
        <v>2006</v>
      </c>
      <c r="E1153" s="122" t="s">
        <v>2373</v>
      </c>
      <c r="F1153" s="123" t="n">
        <v>44831</v>
      </c>
      <c r="G1153" s="121" t="s">
        <v>22</v>
      </c>
      <c r="H115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A1149</v>
      </c>
      <c r="I115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B1149</v>
      </c>
      <c r="J1153" s="122" t="s">
        <v>2374</v>
      </c>
      <c r="K115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C1149</v>
      </c>
      <c r="L115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D1149</v>
      </c>
      <c r="M115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E1149</v>
      </c>
      <c r="N1153" s="122" t="s">
        <v>73</v>
      </c>
      <c r="O1153" s="126" t="n">
        <v>3500000</v>
      </c>
      <c r="P1153" s="121" t="s">
        <v>18</v>
      </c>
      <c r="Q1153" s="121" t="s">
        <v>124</v>
      </c>
      <c r="R1153" s="127"/>
      <c r="T1153" s="118"/>
    </row>
    <row r="1154" customFormat="false" ht="12.75" hidden="false" customHeight="true" outlineLevel="0" collapsed="false">
      <c r="B1154" s="119" t="n">
        <f aca="false">ROW()-4</f>
        <v>1150</v>
      </c>
      <c r="C1154" s="120" t="n">
        <f aca="false">COUNTIFS($D$5:D1154,D1154)</f>
        <v>191</v>
      </c>
      <c r="D1154" s="121" t="s">
        <v>2006</v>
      </c>
      <c r="E1154" s="122" t="s">
        <v>2375</v>
      </c>
      <c r="F1154" s="123" t="n">
        <v>44831</v>
      </c>
      <c r="G1154" s="121" t="s">
        <v>22</v>
      </c>
      <c r="H115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A1150</v>
      </c>
      <c r="I115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B1150</v>
      </c>
      <c r="J1154" s="122" t="s">
        <v>2376</v>
      </c>
      <c r="K115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C1150</v>
      </c>
      <c r="L115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D1150</v>
      </c>
      <c r="M115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E1150</v>
      </c>
      <c r="N1154" s="122" t="s">
        <v>73</v>
      </c>
      <c r="O1154" s="126" t="n">
        <v>3500000</v>
      </c>
      <c r="P1154" s="121" t="s">
        <v>18</v>
      </c>
      <c r="Q1154" s="121" t="s">
        <v>124</v>
      </c>
      <c r="R1154" s="127"/>
      <c r="T1154" s="118"/>
    </row>
    <row r="1155" customFormat="false" ht="12.75" hidden="false" customHeight="true" outlineLevel="0" collapsed="false">
      <c r="B1155" s="119" t="n">
        <f aca="false">ROW()-4</f>
        <v>1151</v>
      </c>
      <c r="C1155" s="120" t="n">
        <f aca="false">COUNTIFS($D$5:D1155,D1155)</f>
        <v>192</v>
      </c>
      <c r="D1155" s="121" t="s">
        <v>2006</v>
      </c>
      <c r="E1155" s="122" t="s">
        <v>2377</v>
      </c>
      <c r="F1155" s="123" t="n">
        <v>44834</v>
      </c>
      <c r="G1155" s="121" t="s">
        <v>22</v>
      </c>
      <c r="H115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A1151</v>
      </c>
      <c r="I115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B1151</v>
      </c>
      <c r="J1155" s="122" t="s">
        <v>2378</v>
      </c>
      <c r="K115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C1151</v>
      </c>
      <c r="L115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D1151</v>
      </c>
      <c r="M115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E1151</v>
      </c>
      <c r="N1155" s="122" t="s">
        <v>73</v>
      </c>
      <c r="O1155" s="126" t="n">
        <v>3500000</v>
      </c>
      <c r="P1155" s="121" t="s">
        <v>18</v>
      </c>
      <c r="Q1155" s="121" t="s">
        <v>124</v>
      </c>
      <c r="R1155" s="127"/>
      <c r="T1155" s="118"/>
    </row>
    <row r="1156" customFormat="false" ht="12.75" hidden="false" customHeight="true" outlineLevel="0" collapsed="false">
      <c r="B1156" s="119" t="n">
        <f aca="false">ROW()-4</f>
        <v>1152</v>
      </c>
      <c r="C1156" s="120" t="n">
        <f aca="false">COUNTIFS($D$5:D1156,D1156)</f>
        <v>193</v>
      </c>
      <c r="D1156" s="121" t="s">
        <v>2006</v>
      </c>
      <c r="E1156" s="122" t="s">
        <v>2379</v>
      </c>
      <c r="F1156" s="123" t="n">
        <v>44832</v>
      </c>
      <c r="G1156" s="121" t="s">
        <v>22</v>
      </c>
      <c r="H115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A1152</v>
      </c>
      <c r="I115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B1152</v>
      </c>
      <c r="J1156" s="122" t="s">
        <v>2380</v>
      </c>
      <c r="K115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C1152</v>
      </c>
      <c r="L115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D1152</v>
      </c>
      <c r="M115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E1152</v>
      </c>
      <c r="N1156" s="122" t="s">
        <v>73</v>
      </c>
      <c r="O1156" s="126" t="n">
        <v>3500000</v>
      </c>
      <c r="P1156" s="121" t="s">
        <v>18</v>
      </c>
      <c r="Q1156" s="121" t="s">
        <v>124</v>
      </c>
      <c r="R1156" s="127"/>
      <c r="T1156" s="118"/>
    </row>
    <row r="1157" customFormat="false" ht="12.75" hidden="false" customHeight="true" outlineLevel="0" collapsed="false">
      <c r="B1157" s="119" t="n">
        <f aca="false">ROW()-4</f>
        <v>1153</v>
      </c>
      <c r="C1157" s="120" t="n">
        <f aca="false">COUNTIFS($D$5:D1157,D1157)</f>
        <v>194</v>
      </c>
      <c r="D1157" s="121" t="s">
        <v>2006</v>
      </c>
      <c r="E1157" s="122" t="s">
        <v>2381</v>
      </c>
      <c r="F1157" s="123" t="n">
        <v>45107</v>
      </c>
      <c r="G1157" s="121" t="s">
        <v>22</v>
      </c>
      <c r="H115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A1153</v>
      </c>
      <c r="I115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B1153</v>
      </c>
      <c r="J1157" s="122" t="s">
        <v>2382</v>
      </c>
      <c r="K115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C1153</v>
      </c>
      <c r="L115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D1153</v>
      </c>
      <c r="M115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E1153</v>
      </c>
      <c r="N1157" s="122" t="s">
        <v>73</v>
      </c>
      <c r="O1157" s="126" t="n">
        <v>3500000</v>
      </c>
      <c r="P1157" s="121" t="s">
        <v>18</v>
      </c>
      <c r="Q1157" s="121" t="s">
        <v>124</v>
      </c>
      <c r="R1157" s="127"/>
      <c r="T1157" s="118"/>
    </row>
    <row r="1158" customFormat="false" ht="12.75" hidden="false" customHeight="true" outlineLevel="0" collapsed="false">
      <c r="B1158" s="119" t="n">
        <f aca="false">ROW()-4</f>
        <v>1154</v>
      </c>
      <c r="C1158" s="120" t="n">
        <f aca="false">COUNTIFS($D$5:D1158,D1158)</f>
        <v>195</v>
      </c>
      <c r="D1158" s="121" t="s">
        <v>2006</v>
      </c>
      <c r="E1158" s="122" t="s">
        <v>2383</v>
      </c>
      <c r="F1158" s="123" t="n">
        <v>45492</v>
      </c>
      <c r="G1158" s="121" t="s">
        <v>28</v>
      </c>
      <c r="H115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A1154</v>
      </c>
      <c r="I115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B1154</v>
      </c>
      <c r="J1158" s="122" t="s">
        <v>1129</v>
      </c>
      <c r="K115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C1154</v>
      </c>
      <c r="L115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D1154</v>
      </c>
      <c r="M115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E1154</v>
      </c>
      <c r="N1158" s="122" t="s">
        <v>73</v>
      </c>
      <c r="O1158" s="126" t="n">
        <v>3500000</v>
      </c>
      <c r="P1158" s="121" t="s">
        <v>18</v>
      </c>
      <c r="Q1158" s="121" t="s">
        <v>124</v>
      </c>
      <c r="R1158" s="127"/>
      <c r="T1158" s="118"/>
    </row>
    <row r="1159" customFormat="false" ht="12.75" hidden="false" customHeight="true" outlineLevel="0" collapsed="false">
      <c r="B1159" s="119" t="n">
        <f aca="false">ROW()-4</f>
        <v>1155</v>
      </c>
      <c r="C1159" s="120" t="n">
        <f aca="false">COUNTIFS($D$5:D1159,D1159)</f>
        <v>196</v>
      </c>
      <c r="D1159" s="121" t="s">
        <v>2006</v>
      </c>
      <c r="E1159" s="122" t="s">
        <v>2384</v>
      </c>
      <c r="F1159" s="123" t="n">
        <v>45237</v>
      </c>
      <c r="G1159" s="121" t="s">
        <v>24</v>
      </c>
      <c r="H115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A1155</v>
      </c>
      <c r="I115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B1155</v>
      </c>
      <c r="J1159" s="122" t="s">
        <v>2385</v>
      </c>
      <c r="K115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C1155</v>
      </c>
      <c r="L115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D1155</v>
      </c>
      <c r="M115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E1155</v>
      </c>
      <c r="N1159" s="122" t="s">
        <v>73</v>
      </c>
      <c r="O1159" s="126" t="n">
        <v>3500000</v>
      </c>
      <c r="P1159" s="121" t="s">
        <v>18</v>
      </c>
      <c r="Q1159" s="121" t="s">
        <v>124</v>
      </c>
      <c r="R1159" s="127"/>
      <c r="T1159" s="118"/>
    </row>
    <row r="1160" customFormat="false" ht="12.75" hidden="false" customHeight="true" outlineLevel="0" collapsed="false">
      <c r="B1160" s="119" t="n">
        <f aca="false">ROW()-4</f>
        <v>1156</v>
      </c>
      <c r="C1160" s="120" t="n">
        <f aca="false">COUNTIFS($D$5:D1160,D1160)</f>
        <v>197</v>
      </c>
      <c r="D1160" s="121" t="s">
        <v>2006</v>
      </c>
      <c r="E1160" s="122" t="s">
        <v>2386</v>
      </c>
      <c r="F1160" s="123" t="n">
        <v>44834</v>
      </c>
      <c r="G1160" s="121" t="s">
        <v>28</v>
      </c>
      <c r="H116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A1156</v>
      </c>
      <c r="I116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B1156</v>
      </c>
      <c r="J1160" s="122" t="s">
        <v>2387</v>
      </c>
      <c r="K116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C1156</v>
      </c>
      <c r="L116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D1156</v>
      </c>
      <c r="M116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E1156</v>
      </c>
      <c r="N1160" s="122" t="s">
        <v>73</v>
      </c>
      <c r="O1160" s="126" t="n">
        <v>3500000</v>
      </c>
      <c r="P1160" s="121" t="s">
        <v>18</v>
      </c>
      <c r="Q1160" s="121" t="s">
        <v>124</v>
      </c>
      <c r="R1160" s="127"/>
      <c r="T1160" s="118"/>
    </row>
    <row r="1161" customFormat="false" ht="12.75" hidden="false" customHeight="true" outlineLevel="0" collapsed="false">
      <c r="B1161" s="119" t="n">
        <f aca="false">ROW()-4</f>
        <v>1157</v>
      </c>
      <c r="C1161" s="120" t="n">
        <f aca="false">COUNTIFS($D$5:D1161,D1161)</f>
        <v>198</v>
      </c>
      <c r="D1161" s="121" t="s">
        <v>2006</v>
      </c>
      <c r="E1161" s="122" t="s">
        <v>2388</v>
      </c>
      <c r="F1161" s="123" t="n">
        <v>44804</v>
      </c>
      <c r="G1161" s="121" t="s">
        <v>28</v>
      </c>
      <c r="H116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A1157</v>
      </c>
      <c r="I116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B1157</v>
      </c>
      <c r="J1161" s="122" t="s">
        <v>2389</v>
      </c>
      <c r="K116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C1157</v>
      </c>
      <c r="L116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D1157</v>
      </c>
      <c r="M116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E1157</v>
      </c>
      <c r="N1161" s="122" t="s">
        <v>73</v>
      </c>
      <c r="O1161" s="126" t="n">
        <v>3500000</v>
      </c>
      <c r="P1161" s="121" t="s">
        <v>18</v>
      </c>
      <c r="Q1161" s="121" t="s">
        <v>124</v>
      </c>
      <c r="R1161" s="127"/>
      <c r="T1161" s="118"/>
    </row>
    <row r="1162" customFormat="false" ht="12.75" hidden="false" customHeight="true" outlineLevel="0" collapsed="false">
      <c r="B1162" s="119" t="n">
        <f aca="false">ROW()-4</f>
        <v>1158</v>
      </c>
      <c r="C1162" s="120" t="n">
        <f aca="false">COUNTIFS($D$5:D1162,D1162)</f>
        <v>199</v>
      </c>
      <c r="D1162" s="121" t="s">
        <v>2006</v>
      </c>
      <c r="E1162" s="122" t="s">
        <v>2390</v>
      </c>
      <c r="F1162" s="123" t="n">
        <v>44845</v>
      </c>
      <c r="G1162" s="121" t="s">
        <v>24</v>
      </c>
      <c r="H116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A1158</v>
      </c>
      <c r="I116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B1158</v>
      </c>
      <c r="J1162" s="122" t="s">
        <v>2391</v>
      </c>
      <c r="K116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C1158</v>
      </c>
      <c r="L116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D1158</v>
      </c>
      <c r="M116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E1158</v>
      </c>
      <c r="N1162" s="122" t="s">
        <v>73</v>
      </c>
      <c r="O1162" s="126" t="n">
        <v>3500000</v>
      </c>
      <c r="P1162" s="121" t="s">
        <v>18</v>
      </c>
      <c r="Q1162" s="121" t="s">
        <v>124</v>
      </c>
      <c r="R1162" s="127"/>
      <c r="T1162" s="118"/>
    </row>
    <row r="1163" customFormat="false" ht="12.75" hidden="false" customHeight="true" outlineLevel="0" collapsed="false">
      <c r="B1163" s="119" t="n">
        <f aca="false">ROW()-4</f>
        <v>1159</v>
      </c>
      <c r="C1163" s="120" t="n">
        <f aca="false">COUNTIFS($D$5:D1163,D1163)</f>
        <v>200</v>
      </c>
      <c r="D1163" s="121" t="s">
        <v>2006</v>
      </c>
      <c r="E1163" s="122" t="s">
        <v>2392</v>
      </c>
      <c r="F1163" s="123" t="n">
        <v>44845</v>
      </c>
      <c r="G1163" s="121" t="s">
        <v>24</v>
      </c>
      <c r="H116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A1159</v>
      </c>
      <c r="I116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B1159</v>
      </c>
      <c r="J1163" s="122" t="s">
        <v>2393</v>
      </c>
      <c r="K116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C1159</v>
      </c>
      <c r="L116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D1159</v>
      </c>
      <c r="M116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E1159</v>
      </c>
      <c r="N1163" s="122" t="s">
        <v>73</v>
      </c>
      <c r="O1163" s="126" t="n">
        <v>3500000</v>
      </c>
      <c r="P1163" s="121" t="s">
        <v>18</v>
      </c>
      <c r="Q1163" s="121" t="s">
        <v>124</v>
      </c>
      <c r="R1163" s="127"/>
      <c r="T1163" s="118"/>
    </row>
    <row r="1164" customFormat="false" ht="12.75" hidden="false" customHeight="true" outlineLevel="0" collapsed="false">
      <c r="B1164" s="119" t="n">
        <f aca="false">ROW()-4</f>
        <v>1160</v>
      </c>
      <c r="C1164" s="120" t="n">
        <f aca="false">COUNTIFS($D$5:D1164,D1164)</f>
        <v>201</v>
      </c>
      <c r="D1164" s="121" t="s">
        <v>2006</v>
      </c>
      <c r="E1164" s="122" t="s">
        <v>2394</v>
      </c>
      <c r="F1164" s="123" t="n">
        <v>45505</v>
      </c>
      <c r="G1164" s="121" t="s">
        <v>30</v>
      </c>
      <c r="H116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A1160</v>
      </c>
      <c r="I116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B1160</v>
      </c>
      <c r="J1164" s="122" t="s">
        <v>2395</v>
      </c>
      <c r="K116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C1160</v>
      </c>
      <c r="L116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D1160</v>
      </c>
      <c r="M116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E1160</v>
      </c>
      <c r="N1164" s="122" t="s">
        <v>73</v>
      </c>
      <c r="O1164" s="126" t="n">
        <v>3500000</v>
      </c>
      <c r="P1164" s="121" t="s">
        <v>18</v>
      </c>
      <c r="Q1164" s="121" t="s">
        <v>124</v>
      </c>
      <c r="R1164" s="127"/>
      <c r="T1164" s="118"/>
    </row>
    <row r="1165" s="118" customFormat="true" ht="12.75" hidden="false" customHeight="true" outlineLevel="0" collapsed="false">
      <c r="A1165" s="98"/>
      <c r="B1165" s="140" t="n">
        <f aca="false">ROW()-4</f>
        <v>1161</v>
      </c>
      <c r="C1165" s="141" t="n">
        <f aca="false">COUNTIFS($D$5:D1165,D1165)</f>
        <v>202</v>
      </c>
      <c r="D1165" s="142" t="s">
        <v>2006</v>
      </c>
      <c r="E1165" s="143" t="s">
        <v>2396</v>
      </c>
      <c r="F1165" s="144" t="n">
        <v>46062</v>
      </c>
      <c r="G1165" s="142" t="s">
        <v>28</v>
      </c>
      <c r="H1165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A1161</v>
      </c>
      <c r="I1165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B1161</v>
      </c>
      <c r="J1165" s="143" t="s">
        <v>2397</v>
      </c>
      <c r="K1165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C1161</v>
      </c>
      <c r="L1165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D1161</v>
      </c>
      <c r="M1165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E1161</v>
      </c>
      <c r="N1165" s="143" t="s">
        <v>73</v>
      </c>
      <c r="O1165" s="146" t="n">
        <v>3500000</v>
      </c>
      <c r="P1165" s="142" t="s">
        <v>1533</v>
      </c>
      <c r="Q1165" s="143" t="s">
        <v>908</v>
      </c>
      <c r="R1165" s="147"/>
    </row>
    <row r="1166" customFormat="false" ht="12.75" hidden="false" customHeight="true" outlineLevel="0" collapsed="false">
      <c r="B1166" s="119" t="n">
        <f aca="false">ROW()-4</f>
        <v>1162</v>
      </c>
      <c r="C1166" s="120" t="n">
        <f aca="false">COUNTIFS($D$5:D1166,D1166)</f>
        <v>203</v>
      </c>
      <c r="D1166" s="121" t="s">
        <v>2006</v>
      </c>
      <c r="E1166" s="122" t="s">
        <v>2398</v>
      </c>
      <c r="F1166" s="123" t="n">
        <v>45716</v>
      </c>
      <c r="G1166" s="121" t="s">
        <v>22</v>
      </c>
      <c r="H116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A1162</v>
      </c>
      <c r="I116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B1162</v>
      </c>
      <c r="J1166" s="122" t="s">
        <v>2399</v>
      </c>
      <c r="K116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C1162</v>
      </c>
      <c r="L116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D1162</v>
      </c>
      <c r="M116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E1162</v>
      </c>
      <c r="N1166" s="122" t="s">
        <v>73</v>
      </c>
      <c r="O1166" s="126" t="n">
        <v>3500000</v>
      </c>
      <c r="P1166" s="121" t="s">
        <v>18</v>
      </c>
      <c r="Q1166" s="121" t="s">
        <v>124</v>
      </c>
      <c r="R1166" s="127"/>
      <c r="T1166" s="118"/>
    </row>
    <row r="1167" customFormat="false" ht="12.75" hidden="false" customHeight="true" outlineLevel="0" collapsed="false">
      <c r="B1167" s="119" t="n">
        <f aca="false">ROW()-4</f>
        <v>1163</v>
      </c>
      <c r="C1167" s="120" t="n">
        <f aca="false">COUNTIFS($D$5:D1167,D1167)</f>
        <v>204</v>
      </c>
      <c r="D1167" s="121" t="s">
        <v>2006</v>
      </c>
      <c r="E1167" s="122" t="s">
        <v>2400</v>
      </c>
      <c r="F1167" s="123" t="n">
        <v>45959</v>
      </c>
      <c r="G1167" s="121" t="s">
        <v>22</v>
      </c>
      <c r="H116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A1163</v>
      </c>
      <c r="I116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B1163</v>
      </c>
      <c r="J1167" s="122" t="s">
        <v>2401</v>
      </c>
      <c r="K116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C1163</v>
      </c>
      <c r="L116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D1163</v>
      </c>
      <c r="M116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E1163</v>
      </c>
      <c r="N1167" s="122" t="s">
        <v>73</v>
      </c>
      <c r="O1167" s="126" t="n">
        <v>3500000</v>
      </c>
      <c r="P1167" s="121" t="s">
        <v>18</v>
      </c>
      <c r="Q1167" s="121" t="s">
        <v>124</v>
      </c>
      <c r="R1167" s="127"/>
      <c r="T1167" s="118"/>
    </row>
    <row r="1168" customFormat="false" ht="12.75" hidden="false" customHeight="true" outlineLevel="0" collapsed="false">
      <c r="B1168" s="119" t="n">
        <f aca="false">ROW()-4</f>
        <v>1164</v>
      </c>
      <c r="C1168" s="120" t="n">
        <f aca="false">COUNTIFS($D$5:D1168,D1168)</f>
        <v>205</v>
      </c>
      <c r="D1168" s="121" t="s">
        <v>2006</v>
      </c>
      <c r="E1168" s="122" t="s">
        <v>2402</v>
      </c>
      <c r="F1168" s="123"/>
      <c r="G1168" s="121" t="s">
        <v>210</v>
      </c>
      <c r="H1168" s="122"/>
      <c r="I1168" s="122"/>
      <c r="J1168" s="122"/>
      <c r="K1168" s="122"/>
      <c r="L1168" s="125"/>
      <c r="M116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E1164</v>
      </c>
      <c r="N1168" s="122" t="s">
        <v>73</v>
      </c>
      <c r="O1168" s="126" t="n">
        <v>3500000</v>
      </c>
      <c r="P1168" s="121" t="s">
        <v>19</v>
      </c>
      <c r="Q1168" s="122"/>
      <c r="R1168" s="128" t="s">
        <v>59</v>
      </c>
      <c r="T1168" s="118"/>
    </row>
    <row r="1169" customFormat="false" ht="12.75" hidden="false" customHeight="true" outlineLevel="0" collapsed="false">
      <c r="B1169" s="119" t="n">
        <f aca="false">ROW()-4</f>
        <v>1165</v>
      </c>
      <c r="C1169" s="120" t="n">
        <f aca="false">COUNTIFS($D$5:D1169,D1169)</f>
        <v>206</v>
      </c>
      <c r="D1169" s="121" t="s">
        <v>2006</v>
      </c>
      <c r="E1169" s="122" t="s">
        <v>2403</v>
      </c>
      <c r="F1169" s="123" t="n">
        <v>44882</v>
      </c>
      <c r="G1169" s="121" t="s">
        <v>22</v>
      </c>
      <c r="H116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A1165</v>
      </c>
      <c r="I116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B1165</v>
      </c>
      <c r="J1169" s="122" t="s">
        <v>2404</v>
      </c>
      <c r="K116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C1165</v>
      </c>
      <c r="L116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D1165</v>
      </c>
      <c r="M116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E1165</v>
      </c>
      <c r="N1169" s="122" t="s">
        <v>73</v>
      </c>
      <c r="O1169" s="126" t="n">
        <v>3500000</v>
      </c>
      <c r="P1169" s="121" t="s">
        <v>18</v>
      </c>
      <c r="Q1169" s="121" t="s">
        <v>124</v>
      </c>
      <c r="R1169" s="127"/>
      <c r="T1169" s="118"/>
    </row>
    <row r="1170" customFormat="false" ht="12.75" hidden="false" customHeight="true" outlineLevel="0" collapsed="false">
      <c r="B1170" s="119" t="n">
        <f aca="false">ROW()-4</f>
        <v>1166</v>
      </c>
      <c r="C1170" s="120" t="n">
        <f aca="false">COUNTIFS($D$5:D1170,D1170)</f>
        <v>207</v>
      </c>
      <c r="D1170" s="121" t="s">
        <v>2006</v>
      </c>
      <c r="E1170" s="122" t="s">
        <v>2405</v>
      </c>
      <c r="F1170" s="123" t="n">
        <v>44868</v>
      </c>
      <c r="G1170" s="121" t="s">
        <v>22</v>
      </c>
      <c r="H117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A1166</v>
      </c>
      <c r="I117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B1166</v>
      </c>
      <c r="J1170" s="122" t="s">
        <v>2406</v>
      </c>
      <c r="K117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C1166</v>
      </c>
      <c r="L117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D1166</v>
      </c>
      <c r="M117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E1166</v>
      </c>
      <c r="N1170" s="122" t="s">
        <v>73</v>
      </c>
      <c r="O1170" s="126" t="n">
        <v>3500000</v>
      </c>
      <c r="P1170" s="121" t="s">
        <v>18</v>
      </c>
      <c r="Q1170" s="121" t="s">
        <v>124</v>
      </c>
      <c r="R1170" s="127"/>
      <c r="T1170" s="118"/>
    </row>
    <row r="1171" customFormat="false" ht="12.75" hidden="false" customHeight="true" outlineLevel="0" collapsed="false">
      <c r="B1171" s="119" t="n">
        <f aca="false">ROW()-4</f>
        <v>1167</v>
      </c>
      <c r="C1171" s="120" t="n">
        <f aca="false">COUNTIFS($D$5:D1171,D1171)</f>
        <v>208</v>
      </c>
      <c r="D1171" s="121" t="s">
        <v>2006</v>
      </c>
      <c r="E1171" s="122" t="s">
        <v>2407</v>
      </c>
      <c r="F1171" s="123" t="n">
        <v>44865</v>
      </c>
      <c r="G1171" s="121" t="s">
        <v>22</v>
      </c>
      <c r="H117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A1167</v>
      </c>
      <c r="I117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B1167</v>
      </c>
      <c r="J1171" s="122" t="s">
        <v>2408</v>
      </c>
      <c r="K117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C1167</v>
      </c>
      <c r="L117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D1167</v>
      </c>
      <c r="M117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E1167</v>
      </c>
      <c r="N1171" s="122" t="s">
        <v>73</v>
      </c>
      <c r="O1171" s="126" t="n">
        <v>3500000</v>
      </c>
      <c r="P1171" s="121" t="s">
        <v>18</v>
      </c>
      <c r="Q1171" s="121" t="s">
        <v>124</v>
      </c>
      <c r="R1171" s="127"/>
      <c r="T1171" s="118"/>
    </row>
    <row r="1172" customFormat="false" ht="12.75" hidden="false" customHeight="true" outlineLevel="0" collapsed="false">
      <c r="B1172" s="119" t="n">
        <f aca="false">ROW()-4</f>
        <v>1168</v>
      </c>
      <c r="C1172" s="120" t="n">
        <f aca="false">COUNTIFS($D$5:D1172,D1172)</f>
        <v>209</v>
      </c>
      <c r="D1172" s="121" t="s">
        <v>2006</v>
      </c>
      <c r="E1172" s="122" t="s">
        <v>2409</v>
      </c>
      <c r="F1172" s="123" t="n">
        <v>45275</v>
      </c>
      <c r="G1172" s="121" t="s">
        <v>28</v>
      </c>
      <c r="H117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A1168</v>
      </c>
      <c r="I117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B1168</v>
      </c>
      <c r="J1172" s="122" t="s">
        <v>2410</v>
      </c>
      <c r="K117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C1168</v>
      </c>
      <c r="L117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D1168</v>
      </c>
      <c r="M117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E1168</v>
      </c>
      <c r="N1172" s="122" t="s">
        <v>73</v>
      </c>
      <c r="O1172" s="126" t="n">
        <v>3500000</v>
      </c>
      <c r="P1172" s="121" t="s">
        <v>18</v>
      </c>
      <c r="Q1172" s="121" t="s">
        <v>124</v>
      </c>
      <c r="R1172" s="127"/>
      <c r="T1172" s="118"/>
    </row>
    <row r="1173" customFormat="false" ht="12.75" hidden="false" customHeight="true" outlineLevel="0" collapsed="false">
      <c r="B1173" s="119" t="n">
        <f aca="false">ROW()-4</f>
        <v>1169</v>
      </c>
      <c r="C1173" s="120" t="n">
        <f aca="false">COUNTIFS($D$5:D1173,D1173)</f>
        <v>210</v>
      </c>
      <c r="D1173" s="121" t="s">
        <v>2006</v>
      </c>
      <c r="E1173" s="122" t="s">
        <v>2411</v>
      </c>
      <c r="F1173" s="123" t="n">
        <v>44904</v>
      </c>
      <c r="G1173" s="121" t="s">
        <v>30</v>
      </c>
      <c r="H117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A1169</v>
      </c>
      <c r="I117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B1169</v>
      </c>
      <c r="J1173" s="124" t="s">
        <v>2412</v>
      </c>
      <c r="K117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C1169</v>
      </c>
      <c r="L117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D1169</v>
      </c>
      <c r="M117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E1169</v>
      </c>
      <c r="N1173" s="122" t="s">
        <v>73</v>
      </c>
      <c r="O1173" s="126" t="n">
        <v>3500000</v>
      </c>
      <c r="P1173" s="121" t="s">
        <v>18</v>
      </c>
      <c r="Q1173" s="121" t="s">
        <v>124</v>
      </c>
      <c r="R1173" s="127"/>
      <c r="T1173" s="118"/>
    </row>
    <row r="1174" customFormat="false" ht="12.75" hidden="false" customHeight="true" outlineLevel="0" collapsed="false">
      <c r="B1174" s="119" t="n">
        <f aca="false">ROW()-4</f>
        <v>1170</v>
      </c>
      <c r="C1174" s="120" t="n">
        <f aca="false">COUNTIFS($D$5:D1174,D1174)</f>
        <v>211</v>
      </c>
      <c r="D1174" s="121" t="s">
        <v>2006</v>
      </c>
      <c r="E1174" s="122" t="s">
        <v>2413</v>
      </c>
      <c r="F1174" s="123" t="n">
        <v>44728</v>
      </c>
      <c r="G1174" s="121" t="s">
        <v>22</v>
      </c>
      <c r="H117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A1170</v>
      </c>
      <c r="I117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B1170</v>
      </c>
      <c r="J1174" s="122" t="s">
        <v>2414</v>
      </c>
      <c r="K117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C1170</v>
      </c>
      <c r="L117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D1170</v>
      </c>
      <c r="M117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E1170</v>
      </c>
      <c r="N1174" s="122" t="s">
        <v>73</v>
      </c>
      <c r="O1174" s="126" t="n">
        <v>3500000</v>
      </c>
      <c r="P1174" s="121" t="s">
        <v>18</v>
      </c>
      <c r="Q1174" s="121" t="s">
        <v>124</v>
      </c>
      <c r="R1174" s="127"/>
      <c r="T1174" s="118"/>
    </row>
    <row r="1175" customFormat="false" ht="12.75" hidden="false" customHeight="true" outlineLevel="0" collapsed="false">
      <c r="B1175" s="119" t="n">
        <f aca="false">ROW()-4</f>
        <v>1171</v>
      </c>
      <c r="C1175" s="120" t="n">
        <f aca="false">COUNTIFS($D$5:D1175,D1175)</f>
        <v>212</v>
      </c>
      <c r="D1175" s="121" t="s">
        <v>2006</v>
      </c>
      <c r="E1175" s="122" t="s">
        <v>2415</v>
      </c>
      <c r="F1175" s="123" t="n">
        <v>45945</v>
      </c>
      <c r="G1175" s="121" t="s">
        <v>22</v>
      </c>
      <c r="H117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A1171</v>
      </c>
      <c r="I117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B1171</v>
      </c>
      <c r="J1175" s="122" t="s">
        <v>2416</v>
      </c>
      <c r="K117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C1171</v>
      </c>
      <c r="L117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D1171</v>
      </c>
      <c r="M117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E1171</v>
      </c>
      <c r="N1175" s="122" t="s">
        <v>73</v>
      </c>
      <c r="O1175" s="126" t="n">
        <v>3500000</v>
      </c>
      <c r="P1175" s="121" t="s">
        <v>18</v>
      </c>
      <c r="Q1175" s="121" t="s">
        <v>124</v>
      </c>
      <c r="R1175" s="127"/>
      <c r="T1175" s="118"/>
    </row>
    <row r="1176" customFormat="false" ht="12.75" hidden="false" customHeight="true" outlineLevel="0" collapsed="false">
      <c r="B1176" s="119" t="n">
        <f aca="false">ROW()-4</f>
        <v>1172</v>
      </c>
      <c r="C1176" s="120" t="n">
        <f aca="false">COUNTIFS($D$5:D1176,D1176)</f>
        <v>213</v>
      </c>
      <c r="D1176" s="121" t="s">
        <v>2006</v>
      </c>
      <c r="E1176" s="122" t="s">
        <v>2417</v>
      </c>
      <c r="F1176" s="123" t="n">
        <v>44735</v>
      </c>
      <c r="G1176" s="121" t="s">
        <v>22</v>
      </c>
      <c r="H117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A1172</v>
      </c>
      <c r="I117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B1172</v>
      </c>
      <c r="J1176" s="122" t="s">
        <v>2418</v>
      </c>
      <c r="K117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C1172</v>
      </c>
      <c r="L117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D1172</v>
      </c>
      <c r="M117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E1172</v>
      </c>
      <c r="N1176" s="122" t="s">
        <v>73</v>
      </c>
      <c r="O1176" s="126" t="n">
        <v>3500000</v>
      </c>
      <c r="P1176" s="121" t="s">
        <v>18</v>
      </c>
      <c r="Q1176" s="121" t="s">
        <v>124</v>
      </c>
      <c r="R1176" s="127"/>
      <c r="T1176" s="118"/>
    </row>
    <row r="1177" customFormat="false" ht="12.75" hidden="false" customHeight="true" outlineLevel="0" collapsed="false">
      <c r="B1177" s="119" t="n">
        <f aca="false">ROW()-4</f>
        <v>1173</v>
      </c>
      <c r="C1177" s="120" t="n">
        <f aca="false">COUNTIFS($D$5:D1177,D1177)</f>
        <v>214</v>
      </c>
      <c r="D1177" s="121" t="s">
        <v>2006</v>
      </c>
      <c r="E1177" s="122" t="s">
        <v>2419</v>
      </c>
      <c r="F1177" s="123" t="n">
        <v>45625</v>
      </c>
      <c r="G1177" s="121" t="s">
        <v>22</v>
      </c>
      <c r="H117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A1173</v>
      </c>
      <c r="I117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B1173</v>
      </c>
      <c r="J1177" s="122" t="s">
        <v>2420</v>
      </c>
      <c r="K117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C1173</v>
      </c>
      <c r="L117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D1173</v>
      </c>
      <c r="M117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E1173</v>
      </c>
      <c r="N1177" s="122" t="s">
        <v>73</v>
      </c>
      <c r="O1177" s="126" t="n">
        <v>3500000</v>
      </c>
      <c r="P1177" s="121" t="s">
        <v>18</v>
      </c>
      <c r="Q1177" s="121" t="s">
        <v>124</v>
      </c>
      <c r="R1177" s="127"/>
      <c r="T1177" s="118"/>
    </row>
    <row r="1178" customFormat="false" ht="12.75" hidden="false" customHeight="true" outlineLevel="0" collapsed="false">
      <c r="B1178" s="119" t="n">
        <f aca="false">ROW()-4</f>
        <v>1174</v>
      </c>
      <c r="C1178" s="120" t="n">
        <f aca="false">COUNTIFS($D$5:D1178,D1178)</f>
        <v>215</v>
      </c>
      <c r="D1178" s="121" t="s">
        <v>2006</v>
      </c>
      <c r="E1178" s="122" t="s">
        <v>2421</v>
      </c>
      <c r="F1178" s="123" t="n">
        <v>44936</v>
      </c>
      <c r="G1178" s="121" t="s">
        <v>22</v>
      </c>
      <c r="H117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A1174</v>
      </c>
      <c r="I117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B1174</v>
      </c>
      <c r="J1178" s="122" t="s">
        <v>2422</v>
      </c>
      <c r="K117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C1174</v>
      </c>
      <c r="L117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D1174</v>
      </c>
      <c r="M117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E1174</v>
      </c>
      <c r="N1178" s="122" t="s">
        <v>73</v>
      </c>
      <c r="O1178" s="126" t="n">
        <v>3500000</v>
      </c>
      <c r="P1178" s="121" t="s">
        <v>18</v>
      </c>
      <c r="Q1178" s="121" t="s">
        <v>124</v>
      </c>
      <c r="R1178" s="127"/>
      <c r="T1178" s="118"/>
    </row>
    <row r="1179" customFormat="false" ht="12.75" hidden="false" customHeight="true" outlineLevel="0" collapsed="false">
      <c r="B1179" s="119" t="n">
        <f aca="false">ROW()-4</f>
        <v>1175</v>
      </c>
      <c r="C1179" s="120" t="n">
        <f aca="false">COUNTIFS($D$5:D1179,D1179)</f>
        <v>216</v>
      </c>
      <c r="D1179" s="121" t="s">
        <v>2006</v>
      </c>
      <c r="E1179" s="122" t="s">
        <v>2423</v>
      </c>
      <c r="F1179" s="123" t="n">
        <v>45512</v>
      </c>
      <c r="G1179" s="121" t="s">
        <v>28</v>
      </c>
      <c r="H117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A1175</v>
      </c>
      <c r="I117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B1175</v>
      </c>
      <c r="J1179" s="122" t="s">
        <v>2424</v>
      </c>
      <c r="K117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C1175</v>
      </c>
      <c r="L117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D1175</v>
      </c>
      <c r="M117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E1175</v>
      </c>
      <c r="N1179" s="122" t="s">
        <v>73</v>
      </c>
      <c r="O1179" s="126" t="n">
        <v>3500000</v>
      </c>
      <c r="P1179" s="121" t="s">
        <v>18</v>
      </c>
      <c r="Q1179" s="121" t="s">
        <v>124</v>
      </c>
      <c r="R1179" s="127"/>
      <c r="T1179" s="118"/>
    </row>
    <row r="1180" customFormat="false" ht="12.75" hidden="false" customHeight="true" outlineLevel="0" collapsed="false">
      <c r="B1180" s="119" t="n">
        <f aca="false">ROW()-4</f>
        <v>1176</v>
      </c>
      <c r="C1180" s="120" t="n">
        <f aca="false">COUNTIFS($D$5:D1180,D1180)</f>
        <v>217</v>
      </c>
      <c r="D1180" s="121" t="s">
        <v>2006</v>
      </c>
      <c r="E1180" s="122" t="s">
        <v>2425</v>
      </c>
      <c r="F1180" s="123" t="n">
        <v>45572</v>
      </c>
      <c r="G1180" s="121" t="s">
        <v>22</v>
      </c>
      <c r="H118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A1176</v>
      </c>
      <c r="I118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B1176</v>
      </c>
      <c r="J1180" s="122" t="s">
        <v>2426</v>
      </c>
      <c r="K118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C1176</v>
      </c>
      <c r="L118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D1176</v>
      </c>
      <c r="M118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E1176</v>
      </c>
      <c r="N1180" s="122" t="s">
        <v>73</v>
      </c>
      <c r="O1180" s="126" t="n">
        <v>3500000</v>
      </c>
      <c r="P1180" s="121" t="s">
        <v>18</v>
      </c>
      <c r="Q1180" s="121" t="s">
        <v>124</v>
      </c>
      <c r="R1180" s="127"/>
      <c r="T1180" s="118"/>
    </row>
    <row r="1181" customFormat="false" ht="12.75" hidden="false" customHeight="true" outlineLevel="0" collapsed="false">
      <c r="B1181" s="119" t="n">
        <f aca="false">ROW()-4</f>
        <v>1177</v>
      </c>
      <c r="C1181" s="120" t="n">
        <f aca="false">COUNTIFS($D$5:D1181,D1181)</f>
        <v>218</v>
      </c>
      <c r="D1181" s="121" t="s">
        <v>2006</v>
      </c>
      <c r="E1181" s="122" t="s">
        <v>2427</v>
      </c>
      <c r="F1181" s="123" t="n">
        <v>44972</v>
      </c>
      <c r="G1181" s="121" t="s">
        <v>22</v>
      </c>
      <c r="H118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A1177</v>
      </c>
      <c r="I118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B1177</v>
      </c>
      <c r="J1181" s="122" t="s">
        <v>2428</v>
      </c>
      <c r="K118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C1177</v>
      </c>
      <c r="L118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D1177</v>
      </c>
      <c r="M118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E1177</v>
      </c>
      <c r="N1181" s="122" t="s">
        <v>73</v>
      </c>
      <c r="O1181" s="126" t="n">
        <v>3500000</v>
      </c>
      <c r="P1181" s="121" t="s">
        <v>18</v>
      </c>
      <c r="Q1181" s="121" t="s">
        <v>124</v>
      </c>
      <c r="R1181" s="127"/>
      <c r="T1181" s="118"/>
    </row>
    <row r="1182" customFormat="false" ht="12.75" hidden="false" customHeight="true" outlineLevel="0" collapsed="false">
      <c r="B1182" s="119" t="n">
        <f aca="false">ROW()-4</f>
        <v>1178</v>
      </c>
      <c r="C1182" s="120" t="n">
        <f aca="false">COUNTIFS($D$5:D1182,D1182)</f>
        <v>219</v>
      </c>
      <c r="D1182" s="121" t="s">
        <v>2006</v>
      </c>
      <c r="E1182" s="122" t="s">
        <v>2429</v>
      </c>
      <c r="F1182" s="123" t="n">
        <v>44978</v>
      </c>
      <c r="G1182" s="121" t="s">
        <v>22</v>
      </c>
      <c r="H118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A1178</v>
      </c>
      <c r="I118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B1178</v>
      </c>
      <c r="J1182" s="122" t="s">
        <v>2430</v>
      </c>
      <c r="K118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C1178</v>
      </c>
      <c r="L118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D1178</v>
      </c>
      <c r="M118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E1178</v>
      </c>
      <c r="N1182" s="122" t="s">
        <v>73</v>
      </c>
      <c r="O1182" s="126" t="n">
        <v>3500000</v>
      </c>
      <c r="P1182" s="121" t="s">
        <v>18</v>
      </c>
      <c r="Q1182" s="121" t="s">
        <v>124</v>
      </c>
      <c r="R1182" s="127"/>
      <c r="T1182" s="118"/>
    </row>
    <row r="1183" customFormat="false" ht="12.75" hidden="false" customHeight="true" outlineLevel="0" collapsed="false">
      <c r="B1183" s="119" t="n">
        <f aca="false">ROW()-4</f>
        <v>1179</v>
      </c>
      <c r="C1183" s="120" t="n">
        <f aca="false">COUNTIFS($D$5:D1183,D1183)</f>
        <v>220</v>
      </c>
      <c r="D1183" s="121" t="s">
        <v>2006</v>
      </c>
      <c r="E1183" s="122" t="s">
        <v>2431</v>
      </c>
      <c r="F1183" s="123" t="n">
        <v>44952</v>
      </c>
      <c r="G1183" s="121" t="s">
        <v>22</v>
      </c>
      <c r="H118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A1179</v>
      </c>
      <c r="I118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B1179</v>
      </c>
      <c r="J1183" s="122" t="s">
        <v>2432</v>
      </c>
      <c r="K118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C1179</v>
      </c>
      <c r="L118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D1179</v>
      </c>
      <c r="M118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E1179</v>
      </c>
      <c r="N1183" s="122" t="s">
        <v>73</v>
      </c>
      <c r="O1183" s="126" t="n">
        <v>3500000</v>
      </c>
      <c r="P1183" s="121" t="s">
        <v>18</v>
      </c>
      <c r="Q1183" s="121" t="s">
        <v>124</v>
      </c>
      <c r="R1183" s="127"/>
      <c r="T1183" s="118"/>
    </row>
    <row r="1184" customFormat="false" ht="12.75" hidden="false" customHeight="true" outlineLevel="0" collapsed="false">
      <c r="B1184" s="119" t="n">
        <f aca="false">ROW()-4</f>
        <v>1180</v>
      </c>
      <c r="C1184" s="120" t="n">
        <f aca="false">COUNTIFS($D$5:D1184,D1184)</f>
        <v>221</v>
      </c>
      <c r="D1184" s="121" t="s">
        <v>2006</v>
      </c>
      <c r="E1184" s="122" t="s">
        <v>2433</v>
      </c>
      <c r="F1184" s="123" t="n">
        <v>45953</v>
      </c>
      <c r="G1184" s="121" t="s">
        <v>22</v>
      </c>
      <c r="H118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A1180</v>
      </c>
      <c r="I118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B1180</v>
      </c>
      <c r="J1184" s="122" t="s">
        <v>2434</v>
      </c>
      <c r="K118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C1180</v>
      </c>
      <c r="L118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D1180</v>
      </c>
      <c r="M118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E1180</v>
      </c>
      <c r="N1184" s="122" t="s">
        <v>73</v>
      </c>
      <c r="O1184" s="126" t="n">
        <v>3500000</v>
      </c>
      <c r="P1184" s="121" t="s">
        <v>18</v>
      </c>
      <c r="Q1184" s="121" t="s">
        <v>124</v>
      </c>
      <c r="R1184" s="127"/>
      <c r="T1184" s="118"/>
    </row>
    <row r="1185" customFormat="false" ht="12.75" hidden="false" customHeight="true" outlineLevel="0" collapsed="false">
      <c r="B1185" s="119" t="n">
        <f aca="false">ROW()-4</f>
        <v>1181</v>
      </c>
      <c r="C1185" s="120" t="n">
        <f aca="false">COUNTIFS($D$5:D1185,D1185)</f>
        <v>222</v>
      </c>
      <c r="D1185" s="121" t="s">
        <v>2006</v>
      </c>
      <c r="E1185" s="122" t="s">
        <v>2435</v>
      </c>
      <c r="F1185" s="123" t="n">
        <v>45475</v>
      </c>
      <c r="G1185" s="121" t="s">
        <v>22</v>
      </c>
      <c r="H118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A1181</v>
      </c>
      <c r="I118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B1181</v>
      </c>
      <c r="J1185" s="122" t="s">
        <v>2436</v>
      </c>
      <c r="K118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C1181</v>
      </c>
      <c r="L118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D1181</v>
      </c>
      <c r="M118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E1181</v>
      </c>
      <c r="N1185" s="122" t="s">
        <v>73</v>
      </c>
      <c r="O1185" s="126" t="n">
        <v>3500000</v>
      </c>
      <c r="P1185" s="121" t="s">
        <v>18</v>
      </c>
      <c r="Q1185" s="121" t="s">
        <v>124</v>
      </c>
      <c r="R1185" s="127"/>
      <c r="T1185" s="118"/>
    </row>
    <row r="1186" customFormat="false" ht="12.75" hidden="false" customHeight="true" outlineLevel="0" collapsed="false">
      <c r="B1186" s="119" t="n">
        <f aca="false">ROW()-4</f>
        <v>1182</v>
      </c>
      <c r="C1186" s="120" t="n">
        <f aca="false">COUNTIFS($D$5:D1186,D1186)</f>
        <v>223</v>
      </c>
      <c r="D1186" s="121" t="s">
        <v>2006</v>
      </c>
      <c r="E1186" s="122" t="s">
        <v>2437</v>
      </c>
      <c r="F1186" s="123" t="n">
        <v>44952</v>
      </c>
      <c r="G1186" s="121" t="s">
        <v>22</v>
      </c>
      <c r="H118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A1182</v>
      </c>
      <c r="I118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B1182</v>
      </c>
      <c r="J1186" s="122" t="s">
        <v>2438</v>
      </c>
      <c r="K118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C1182</v>
      </c>
      <c r="L118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D1182</v>
      </c>
      <c r="M118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E1182</v>
      </c>
      <c r="N1186" s="122" t="s">
        <v>73</v>
      </c>
      <c r="O1186" s="126" t="n">
        <v>3500000</v>
      </c>
      <c r="P1186" s="121" t="s">
        <v>18</v>
      </c>
      <c r="Q1186" s="121" t="s">
        <v>124</v>
      </c>
      <c r="R1186" s="127"/>
      <c r="T1186" s="118"/>
    </row>
    <row r="1187" customFormat="false" ht="12.75" hidden="false" customHeight="true" outlineLevel="0" collapsed="false">
      <c r="B1187" s="119" t="n">
        <f aca="false">ROW()-4</f>
        <v>1183</v>
      </c>
      <c r="C1187" s="120" t="n">
        <f aca="false">COUNTIFS($D$5:D1187,D1187)</f>
        <v>224</v>
      </c>
      <c r="D1187" s="121" t="s">
        <v>2006</v>
      </c>
      <c r="E1187" s="122" t="s">
        <v>2439</v>
      </c>
      <c r="F1187" s="123" t="n">
        <v>44967</v>
      </c>
      <c r="G1187" s="121" t="s">
        <v>22</v>
      </c>
      <c r="H118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A1183</v>
      </c>
      <c r="I118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B1183</v>
      </c>
      <c r="J1187" s="124" t="s">
        <v>2440</v>
      </c>
      <c r="K118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C1183</v>
      </c>
      <c r="L118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D1183</v>
      </c>
      <c r="M118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E1183</v>
      </c>
      <c r="N1187" s="122" t="s">
        <v>73</v>
      </c>
      <c r="O1187" s="126" t="n">
        <v>3500000</v>
      </c>
      <c r="P1187" s="121" t="s">
        <v>18</v>
      </c>
      <c r="Q1187" s="121" t="s">
        <v>124</v>
      </c>
      <c r="R1187" s="127"/>
      <c r="T1187" s="118"/>
    </row>
    <row r="1188" customFormat="false" ht="12.75" hidden="false" customHeight="true" outlineLevel="0" collapsed="false">
      <c r="B1188" s="119" t="n">
        <f aca="false">ROW()-4</f>
        <v>1184</v>
      </c>
      <c r="C1188" s="120" t="n">
        <f aca="false">COUNTIFS($D$5:D1188,D1188)</f>
        <v>225</v>
      </c>
      <c r="D1188" s="121" t="s">
        <v>2006</v>
      </c>
      <c r="E1188" s="122" t="s">
        <v>2441</v>
      </c>
      <c r="F1188" s="123" t="n">
        <v>45008</v>
      </c>
      <c r="G1188" s="121" t="s">
        <v>22</v>
      </c>
      <c r="H118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A1184</v>
      </c>
      <c r="I118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B1184</v>
      </c>
      <c r="J1188" s="122" t="s">
        <v>2442</v>
      </c>
      <c r="K118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C1184</v>
      </c>
      <c r="L118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D1184</v>
      </c>
      <c r="M118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E1184</v>
      </c>
      <c r="N1188" s="122" t="s">
        <v>73</v>
      </c>
      <c r="O1188" s="126" t="n">
        <v>3500000</v>
      </c>
      <c r="P1188" s="121" t="s">
        <v>18</v>
      </c>
      <c r="Q1188" s="121" t="s">
        <v>124</v>
      </c>
      <c r="R1188" s="127"/>
      <c r="T1188" s="118"/>
    </row>
    <row r="1189" customFormat="false" ht="12.75" hidden="false" customHeight="true" outlineLevel="0" collapsed="false">
      <c r="B1189" s="119" t="n">
        <f aca="false">ROW()-4</f>
        <v>1185</v>
      </c>
      <c r="C1189" s="120" t="n">
        <f aca="false">COUNTIFS($D$5:D1189,D1189)</f>
        <v>226</v>
      </c>
      <c r="D1189" s="121" t="s">
        <v>2006</v>
      </c>
      <c r="E1189" s="122" t="s">
        <v>2443</v>
      </c>
      <c r="F1189" s="123" t="n">
        <v>44999</v>
      </c>
      <c r="G1189" s="121" t="s">
        <v>22</v>
      </c>
      <c r="H118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A1185</v>
      </c>
      <c r="I118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B1185</v>
      </c>
      <c r="J1189" s="122" t="s">
        <v>2444</v>
      </c>
      <c r="K118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C1185</v>
      </c>
      <c r="L118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D1185</v>
      </c>
      <c r="M118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E1185</v>
      </c>
      <c r="N1189" s="122" t="s">
        <v>73</v>
      </c>
      <c r="O1189" s="126" t="n">
        <v>3500000</v>
      </c>
      <c r="P1189" s="121" t="s">
        <v>18</v>
      </c>
      <c r="Q1189" s="121" t="s">
        <v>124</v>
      </c>
      <c r="R1189" s="127"/>
      <c r="T1189" s="118"/>
    </row>
    <row r="1190" customFormat="false" ht="12.75" hidden="false" customHeight="true" outlineLevel="0" collapsed="false">
      <c r="B1190" s="119" t="n">
        <f aca="false">ROW()-4</f>
        <v>1186</v>
      </c>
      <c r="C1190" s="120" t="n">
        <f aca="false">COUNTIFS($D$5:D1190,D1190)</f>
        <v>227</v>
      </c>
      <c r="D1190" s="121" t="s">
        <v>2006</v>
      </c>
      <c r="E1190" s="122" t="s">
        <v>2445</v>
      </c>
      <c r="F1190" s="123" t="n">
        <v>44999</v>
      </c>
      <c r="G1190" s="121" t="s">
        <v>22</v>
      </c>
      <c r="H119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A1186</v>
      </c>
      <c r="I119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B1186</v>
      </c>
      <c r="J1190" s="122" t="s">
        <v>2446</v>
      </c>
      <c r="K119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C1186</v>
      </c>
      <c r="L119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D1186</v>
      </c>
      <c r="M119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E1186</v>
      </c>
      <c r="N1190" s="122" t="s">
        <v>73</v>
      </c>
      <c r="O1190" s="126" t="n">
        <v>3500000</v>
      </c>
      <c r="P1190" s="121" t="s">
        <v>18</v>
      </c>
      <c r="Q1190" s="121" t="s">
        <v>124</v>
      </c>
      <c r="R1190" s="127"/>
      <c r="T1190" s="118"/>
    </row>
    <row r="1191" customFormat="false" ht="12.75" hidden="false" customHeight="true" outlineLevel="0" collapsed="false">
      <c r="B1191" s="119" t="n">
        <f aca="false">ROW()-4</f>
        <v>1187</v>
      </c>
      <c r="C1191" s="120" t="n">
        <f aca="false">COUNTIFS($D$5:D1191,D1191)</f>
        <v>228</v>
      </c>
      <c r="D1191" s="121" t="s">
        <v>2006</v>
      </c>
      <c r="E1191" s="122" t="s">
        <v>2447</v>
      </c>
      <c r="F1191" s="123" t="n">
        <v>45877</v>
      </c>
      <c r="G1191" s="121" t="s">
        <v>22</v>
      </c>
      <c r="H119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A1187</v>
      </c>
      <c r="I119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B1187</v>
      </c>
      <c r="J1191" s="122" t="s">
        <v>2448</v>
      </c>
      <c r="K119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C1187</v>
      </c>
      <c r="L119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D1187</v>
      </c>
      <c r="M119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E1187</v>
      </c>
      <c r="N1191" s="122" t="s">
        <v>73</v>
      </c>
      <c r="O1191" s="126" t="n">
        <v>3500000</v>
      </c>
      <c r="P1191" s="121" t="s">
        <v>18</v>
      </c>
      <c r="Q1191" s="121" t="s">
        <v>124</v>
      </c>
      <c r="R1191" s="127"/>
      <c r="T1191" s="118"/>
    </row>
    <row r="1192" customFormat="false" ht="12.75" hidden="false" customHeight="true" outlineLevel="0" collapsed="false">
      <c r="B1192" s="119" t="n">
        <f aca="false">ROW()-4</f>
        <v>1188</v>
      </c>
      <c r="C1192" s="120" t="n">
        <f aca="false">COUNTIFS($D$5:D1192,D1192)</f>
        <v>229</v>
      </c>
      <c r="D1192" s="121" t="s">
        <v>2006</v>
      </c>
      <c r="E1192" s="122" t="s">
        <v>2449</v>
      </c>
      <c r="F1192" s="123" t="n">
        <v>45007</v>
      </c>
      <c r="G1192" s="121" t="s">
        <v>22</v>
      </c>
      <c r="H119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A1188</v>
      </c>
      <c r="I119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B1188</v>
      </c>
      <c r="J1192" s="122" t="s">
        <v>2450</v>
      </c>
      <c r="K119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C1188</v>
      </c>
      <c r="L119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D1188</v>
      </c>
      <c r="M119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E1188</v>
      </c>
      <c r="N1192" s="122" t="s">
        <v>73</v>
      </c>
      <c r="O1192" s="126" t="n">
        <v>3500000</v>
      </c>
      <c r="P1192" s="121" t="s">
        <v>18</v>
      </c>
      <c r="Q1192" s="121" t="s">
        <v>124</v>
      </c>
      <c r="R1192" s="127"/>
      <c r="T1192" s="118"/>
    </row>
    <row r="1193" customFormat="false" ht="12.75" hidden="false" customHeight="true" outlineLevel="0" collapsed="false">
      <c r="B1193" s="119" t="n">
        <f aca="false">ROW()-4</f>
        <v>1189</v>
      </c>
      <c r="C1193" s="120" t="n">
        <f aca="false">COUNTIFS($D$5:D1193,D1193)</f>
        <v>230</v>
      </c>
      <c r="D1193" s="121" t="s">
        <v>2006</v>
      </c>
      <c r="E1193" s="122" t="s">
        <v>2451</v>
      </c>
      <c r="F1193" s="123" t="n">
        <v>44993</v>
      </c>
      <c r="G1193" s="121" t="s">
        <v>22</v>
      </c>
      <c r="H119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A1189</v>
      </c>
      <c r="I119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B1189</v>
      </c>
      <c r="J1193" s="122" t="s">
        <v>2452</v>
      </c>
      <c r="K119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C1189</v>
      </c>
      <c r="L119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D1189</v>
      </c>
      <c r="M119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E1189</v>
      </c>
      <c r="N1193" s="122" t="s">
        <v>73</v>
      </c>
      <c r="O1193" s="126" t="n">
        <v>3500000</v>
      </c>
      <c r="P1193" s="121" t="s">
        <v>18</v>
      </c>
      <c r="Q1193" s="121" t="s">
        <v>124</v>
      </c>
      <c r="R1193" s="127"/>
      <c r="T1193" s="118"/>
    </row>
    <row r="1194" customFormat="false" ht="12.75" hidden="false" customHeight="true" outlineLevel="0" collapsed="false">
      <c r="B1194" s="119" t="n">
        <f aca="false">ROW()-4</f>
        <v>1190</v>
      </c>
      <c r="C1194" s="120" t="n">
        <f aca="false">COUNTIFS($D$5:D1194,D1194)</f>
        <v>231</v>
      </c>
      <c r="D1194" s="121" t="s">
        <v>2006</v>
      </c>
      <c r="E1194" s="122" t="s">
        <v>2453</v>
      </c>
      <c r="F1194" s="123" t="n">
        <v>45006</v>
      </c>
      <c r="G1194" s="121" t="s">
        <v>22</v>
      </c>
      <c r="H119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A1190</v>
      </c>
      <c r="I119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B1190</v>
      </c>
      <c r="J1194" s="122" t="s">
        <v>2454</v>
      </c>
      <c r="K119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C1190</v>
      </c>
      <c r="L119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D1190</v>
      </c>
      <c r="M119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E1190</v>
      </c>
      <c r="N1194" s="122" t="s">
        <v>73</v>
      </c>
      <c r="O1194" s="126" t="n">
        <v>3500000</v>
      </c>
      <c r="P1194" s="121" t="s">
        <v>18</v>
      </c>
      <c r="Q1194" s="121" t="s">
        <v>124</v>
      </c>
      <c r="R1194" s="127"/>
      <c r="T1194" s="118"/>
    </row>
    <row r="1195" customFormat="false" ht="12.75" hidden="false" customHeight="true" outlineLevel="0" collapsed="false">
      <c r="B1195" s="119" t="n">
        <f aca="false">ROW()-4</f>
        <v>1191</v>
      </c>
      <c r="C1195" s="120" t="n">
        <f aca="false">COUNTIFS($D$5:D1195,D1195)</f>
        <v>232</v>
      </c>
      <c r="D1195" s="121" t="s">
        <v>2006</v>
      </c>
      <c r="E1195" s="122" t="s">
        <v>2455</v>
      </c>
      <c r="F1195" s="123" t="n">
        <v>44984</v>
      </c>
      <c r="G1195" s="121" t="s">
        <v>22</v>
      </c>
      <c r="H119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A1191</v>
      </c>
      <c r="I119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B1191</v>
      </c>
      <c r="J1195" s="122" t="s">
        <v>2456</v>
      </c>
      <c r="K119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C1191</v>
      </c>
      <c r="L119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D1191</v>
      </c>
      <c r="M119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E1191</v>
      </c>
      <c r="N1195" s="122" t="s">
        <v>73</v>
      </c>
      <c r="O1195" s="126" t="n">
        <v>3500000</v>
      </c>
      <c r="P1195" s="121" t="s">
        <v>18</v>
      </c>
      <c r="Q1195" s="121" t="s">
        <v>124</v>
      </c>
      <c r="R1195" s="127"/>
      <c r="T1195" s="118"/>
    </row>
    <row r="1196" customFormat="false" ht="12.75" hidden="false" customHeight="true" outlineLevel="0" collapsed="false">
      <c r="B1196" s="119" t="n">
        <f aca="false">ROW()-4</f>
        <v>1192</v>
      </c>
      <c r="C1196" s="120" t="n">
        <f aca="false">COUNTIFS($D$5:D1196,D1196)</f>
        <v>233</v>
      </c>
      <c r="D1196" s="121" t="s">
        <v>2006</v>
      </c>
      <c r="E1196" s="122" t="s">
        <v>2457</v>
      </c>
      <c r="F1196" s="123" t="n">
        <v>44985</v>
      </c>
      <c r="G1196" s="121" t="s">
        <v>22</v>
      </c>
      <c r="H119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A1192</v>
      </c>
      <c r="I119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B1192</v>
      </c>
      <c r="J1196" s="122" t="s">
        <v>2458</v>
      </c>
      <c r="K119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C1192</v>
      </c>
      <c r="L119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D1192</v>
      </c>
      <c r="M119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E1192</v>
      </c>
      <c r="N1196" s="122" t="s">
        <v>73</v>
      </c>
      <c r="O1196" s="126" t="n">
        <v>3500000</v>
      </c>
      <c r="P1196" s="121" t="s">
        <v>18</v>
      </c>
      <c r="Q1196" s="121" t="s">
        <v>124</v>
      </c>
      <c r="R1196" s="127"/>
      <c r="T1196" s="118"/>
    </row>
    <row r="1197" customFormat="false" ht="12.75" hidden="false" customHeight="true" outlineLevel="0" collapsed="false">
      <c r="B1197" s="119" t="n">
        <f aca="false">ROW()-4</f>
        <v>1193</v>
      </c>
      <c r="C1197" s="120" t="n">
        <f aca="false">COUNTIFS($D$5:D1197,D1197)</f>
        <v>234</v>
      </c>
      <c r="D1197" s="121" t="s">
        <v>2006</v>
      </c>
      <c r="E1197" s="122" t="s">
        <v>2459</v>
      </c>
      <c r="F1197" s="123" t="n">
        <v>44984</v>
      </c>
      <c r="G1197" s="121" t="s">
        <v>22</v>
      </c>
      <c r="H119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A1193</v>
      </c>
      <c r="I119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B1193</v>
      </c>
      <c r="J1197" s="122" t="s">
        <v>2460</v>
      </c>
      <c r="K119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C1193</v>
      </c>
      <c r="L119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D1193</v>
      </c>
      <c r="M119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E1193</v>
      </c>
      <c r="N1197" s="122" t="s">
        <v>73</v>
      </c>
      <c r="O1197" s="126" t="n">
        <v>3500000</v>
      </c>
      <c r="P1197" s="121" t="s">
        <v>18</v>
      </c>
      <c r="Q1197" s="121" t="s">
        <v>124</v>
      </c>
      <c r="R1197" s="127"/>
      <c r="T1197" s="118"/>
    </row>
    <row r="1198" customFormat="false" ht="12.75" hidden="false" customHeight="true" outlineLevel="0" collapsed="false">
      <c r="B1198" s="119" t="n">
        <f aca="false">ROW()-4</f>
        <v>1194</v>
      </c>
      <c r="C1198" s="120" t="n">
        <f aca="false">COUNTIFS($D$5:D1198,D1198)</f>
        <v>235</v>
      </c>
      <c r="D1198" s="121" t="s">
        <v>2006</v>
      </c>
      <c r="E1198" s="122" t="s">
        <v>2461</v>
      </c>
      <c r="F1198" s="123" t="n">
        <v>45099</v>
      </c>
      <c r="G1198" s="121" t="s">
        <v>22</v>
      </c>
      <c r="H119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A1194</v>
      </c>
      <c r="I119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B1194</v>
      </c>
      <c r="J1198" s="122" t="s">
        <v>2462</v>
      </c>
      <c r="K119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C1194</v>
      </c>
      <c r="L119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D1194</v>
      </c>
      <c r="M119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E1194</v>
      </c>
      <c r="N1198" s="122" t="s">
        <v>73</v>
      </c>
      <c r="O1198" s="126" t="n">
        <v>3500000</v>
      </c>
      <c r="P1198" s="121" t="s">
        <v>18</v>
      </c>
      <c r="Q1198" s="121" t="s">
        <v>124</v>
      </c>
      <c r="R1198" s="127"/>
      <c r="T1198" s="118"/>
    </row>
    <row r="1199" customFormat="false" ht="12.75" hidden="false" customHeight="true" outlineLevel="0" collapsed="false">
      <c r="B1199" s="119" t="n">
        <f aca="false">ROW()-4</f>
        <v>1195</v>
      </c>
      <c r="C1199" s="120" t="n">
        <f aca="false">COUNTIFS($D$5:D1199,D1199)</f>
        <v>236</v>
      </c>
      <c r="D1199" s="121" t="s">
        <v>2006</v>
      </c>
      <c r="E1199" s="122" t="s">
        <v>2463</v>
      </c>
      <c r="F1199" s="123" t="n">
        <v>44985</v>
      </c>
      <c r="G1199" s="121" t="s">
        <v>22</v>
      </c>
      <c r="H119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A1195</v>
      </c>
      <c r="I119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B1195</v>
      </c>
      <c r="J1199" s="122" t="s">
        <v>1367</v>
      </c>
      <c r="K119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C1195</v>
      </c>
      <c r="L119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D1195</v>
      </c>
      <c r="M119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E1195</v>
      </c>
      <c r="N1199" s="122" t="s">
        <v>73</v>
      </c>
      <c r="O1199" s="126" t="n">
        <v>3500000</v>
      </c>
      <c r="P1199" s="121" t="s">
        <v>18</v>
      </c>
      <c r="Q1199" s="121" t="s">
        <v>124</v>
      </c>
      <c r="R1199" s="127"/>
      <c r="T1199" s="118"/>
    </row>
    <row r="1200" customFormat="false" ht="12.75" hidden="false" customHeight="true" outlineLevel="0" collapsed="false">
      <c r="B1200" s="119" t="n">
        <f aca="false">ROW()-4</f>
        <v>1196</v>
      </c>
      <c r="C1200" s="120" t="n">
        <f aca="false">COUNTIFS($D$5:D1200,D1200)</f>
        <v>237</v>
      </c>
      <c r="D1200" s="121" t="s">
        <v>2006</v>
      </c>
      <c r="E1200" s="122" t="s">
        <v>2464</v>
      </c>
      <c r="F1200" s="123" t="n">
        <v>45405</v>
      </c>
      <c r="G1200" s="121" t="s">
        <v>22</v>
      </c>
      <c r="H120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A1196</v>
      </c>
      <c r="I120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B1196</v>
      </c>
      <c r="J1200" s="122" t="s">
        <v>2465</v>
      </c>
      <c r="K120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C1196</v>
      </c>
      <c r="L120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D1196</v>
      </c>
      <c r="M120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E1196</v>
      </c>
      <c r="N1200" s="122" t="s">
        <v>73</v>
      </c>
      <c r="O1200" s="126" t="n">
        <v>3500000</v>
      </c>
      <c r="P1200" s="121" t="s">
        <v>18</v>
      </c>
      <c r="Q1200" s="121" t="s">
        <v>124</v>
      </c>
      <c r="R1200" s="127"/>
      <c r="T1200" s="118"/>
    </row>
    <row r="1201" customFormat="false" ht="12.75" hidden="false" customHeight="true" outlineLevel="0" collapsed="false">
      <c r="B1201" s="119" t="n">
        <f aca="false">ROW()-4</f>
        <v>1197</v>
      </c>
      <c r="C1201" s="120" t="n">
        <f aca="false">COUNTIFS($D$5:D1201,D1201)</f>
        <v>238</v>
      </c>
      <c r="D1201" s="121" t="s">
        <v>2006</v>
      </c>
      <c r="E1201" s="122" t="s">
        <v>2466</v>
      </c>
      <c r="F1201" s="123" t="n">
        <v>45999</v>
      </c>
      <c r="G1201" s="121" t="s">
        <v>22</v>
      </c>
      <c r="H120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A1197</v>
      </c>
      <c r="I120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B1197</v>
      </c>
      <c r="J1201" s="122" t="s">
        <v>2467</v>
      </c>
      <c r="K120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C1197</v>
      </c>
      <c r="L120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D1197</v>
      </c>
      <c r="M120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E1197</v>
      </c>
      <c r="N1201" s="122" t="s">
        <v>73</v>
      </c>
      <c r="O1201" s="126" t="n">
        <v>3500000</v>
      </c>
      <c r="P1201" s="121" t="s">
        <v>18</v>
      </c>
      <c r="Q1201" s="121" t="s">
        <v>124</v>
      </c>
      <c r="R1201" s="127"/>
      <c r="T1201" s="118"/>
    </row>
    <row r="1202" customFormat="false" ht="12.75" hidden="false" customHeight="true" outlineLevel="0" collapsed="false">
      <c r="B1202" s="119" t="n">
        <f aca="false">ROW()-4</f>
        <v>1198</v>
      </c>
      <c r="C1202" s="120" t="n">
        <f aca="false">COUNTIFS($D$5:D1202,D1202)</f>
        <v>239</v>
      </c>
      <c r="D1202" s="121" t="s">
        <v>2006</v>
      </c>
      <c r="E1202" s="122" t="s">
        <v>2468</v>
      </c>
      <c r="F1202" s="123" t="n">
        <v>44994</v>
      </c>
      <c r="G1202" s="121" t="s">
        <v>22</v>
      </c>
      <c r="H120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A1198</v>
      </c>
      <c r="I120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B1198</v>
      </c>
      <c r="J1202" s="122" t="s">
        <v>2469</v>
      </c>
      <c r="K120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C1198</v>
      </c>
      <c r="L120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D1198</v>
      </c>
      <c r="M120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E1198</v>
      </c>
      <c r="N1202" s="122" t="s">
        <v>73</v>
      </c>
      <c r="O1202" s="126" t="n">
        <v>3500000</v>
      </c>
      <c r="P1202" s="121" t="s">
        <v>18</v>
      </c>
      <c r="Q1202" s="121" t="s">
        <v>124</v>
      </c>
      <c r="R1202" s="127"/>
      <c r="T1202" s="118"/>
    </row>
    <row r="1203" customFormat="false" ht="12.75" hidden="false" customHeight="true" outlineLevel="0" collapsed="false">
      <c r="B1203" s="119" t="n">
        <f aca="false">ROW()-4</f>
        <v>1199</v>
      </c>
      <c r="C1203" s="120" t="n">
        <f aca="false">COUNTIFS($D$5:D1203,D1203)</f>
        <v>240</v>
      </c>
      <c r="D1203" s="121" t="s">
        <v>2006</v>
      </c>
      <c r="E1203" s="122" t="s">
        <v>2470</v>
      </c>
      <c r="F1203" s="123" t="n">
        <v>45679</v>
      </c>
      <c r="G1203" s="121" t="s">
        <v>22</v>
      </c>
      <c r="H120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A1199</v>
      </c>
      <c r="I120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B1199</v>
      </c>
      <c r="J1203" s="122" t="s">
        <v>2471</v>
      </c>
      <c r="K120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C1199</v>
      </c>
      <c r="L120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D1199</v>
      </c>
      <c r="M120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E1199</v>
      </c>
      <c r="N1203" s="122" t="s">
        <v>73</v>
      </c>
      <c r="O1203" s="126" t="n">
        <v>3500000</v>
      </c>
      <c r="P1203" s="121" t="s">
        <v>18</v>
      </c>
      <c r="Q1203" s="121" t="s">
        <v>124</v>
      </c>
      <c r="R1203" s="127"/>
      <c r="T1203" s="118"/>
    </row>
    <row r="1204" customFormat="false" ht="12.75" hidden="false" customHeight="true" outlineLevel="0" collapsed="false">
      <c r="B1204" s="119" t="n">
        <f aca="false">ROW()-4</f>
        <v>1200</v>
      </c>
      <c r="C1204" s="120" t="n">
        <f aca="false">COUNTIFS($D$5:D1204,D1204)</f>
        <v>241</v>
      </c>
      <c r="D1204" s="121" t="s">
        <v>2006</v>
      </c>
      <c r="E1204" s="122" t="s">
        <v>2472</v>
      </c>
      <c r="F1204" s="123" t="n">
        <v>45804</v>
      </c>
      <c r="G1204" s="121" t="s">
        <v>22</v>
      </c>
      <c r="H120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A1200</v>
      </c>
      <c r="I120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B1200</v>
      </c>
      <c r="J1204" s="122" t="s">
        <v>2473</v>
      </c>
      <c r="K120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C1200</v>
      </c>
      <c r="L120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D1200</v>
      </c>
      <c r="M120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E1200</v>
      </c>
      <c r="N1204" s="122" t="s">
        <v>73</v>
      </c>
      <c r="O1204" s="126" t="n">
        <v>3500000</v>
      </c>
      <c r="P1204" s="121" t="s">
        <v>18</v>
      </c>
      <c r="Q1204" s="121" t="s">
        <v>124</v>
      </c>
      <c r="R1204" s="127"/>
      <c r="T1204" s="118"/>
    </row>
    <row r="1205" customFormat="false" ht="12.75" hidden="false" customHeight="true" outlineLevel="0" collapsed="false">
      <c r="B1205" s="119" t="n">
        <f aca="false">ROW()-4</f>
        <v>1201</v>
      </c>
      <c r="C1205" s="120" t="n">
        <f aca="false">COUNTIFS($D$5:D1205,D1205)</f>
        <v>242</v>
      </c>
      <c r="D1205" s="121" t="s">
        <v>2006</v>
      </c>
      <c r="E1205" s="122" t="s">
        <v>2474</v>
      </c>
      <c r="F1205" s="123" t="n">
        <v>45379</v>
      </c>
      <c r="G1205" s="121" t="s">
        <v>22</v>
      </c>
      <c r="H120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A1201</v>
      </c>
      <c r="I120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B1201</v>
      </c>
      <c r="J1205" s="122" t="s">
        <v>2475</v>
      </c>
      <c r="K120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C1201</v>
      </c>
      <c r="L120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D1201</v>
      </c>
      <c r="M120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E1201</v>
      </c>
      <c r="N1205" s="122" t="s">
        <v>73</v>
      </c>
      <c r="O1205" s="126" t="n">
        <v>3500000</v>
      </c>
      <c r="P1205" s="121" t="s">
        <v>18</v>
      </c>
      <c r="Q1205" s="121" t="s">
        <v>124</v>
      </c>
      <c r="R1205" s="127"/>
      <c r="T1205" s="118"/>
    </row>
    <row r="1206" customFormat="false" ht="12.75" hidden="false" customHeight="true" outlineLevel="0" collapsed="false">
      <c r="B1206" s="119" t="n">
        <f aca="false">ROW()-4</f>
        <v>1202</v>
      </c>
      <c r="C1206" s="120" t="n">
        <f aca="false">COUNTIFS($D$5:D1206,D1206)</f>
        <v>243</v>
      </c>
      <c r="D1206" s="121" t="s">
        <v>2006</v>
      </c>
      <c r="E1206" s="122" t="s">
        <v>2476</v>
      </c>
      <c r="F1206" s="123" t="n">
        <v>45379</v>
      </c>
      <c r="G1206" s="121" t="s">
        <v>22</v>
      </c>
      <c r="H120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A1202</v>
      </c>
      <c r="I120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B1202</v>
      </c>
      <c r="J1206" s="122" t="s">
        <v>2477</v>
      </c>
      <c r="K120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C1202</v>
      </c>
      <c r="L120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D1202</v>
      </c>
      <c r="M120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E1202</v>
      </c>
      <c r="N1206" s="122" t="s">
        <v>73</v>
      </c>
      <c r="O1206" s="126" t="n">
        <v>3500000</v>
      </c>
      <c r="P1206" s="121" t="s">
        <v>18</v>
      </c>
      <c r="Q1206" s="121" t="s">
        <v>124</v>
      </c>
      <c r="R1206" s="127"/>
      <c r="T1206" s="118"/>
    </row>
    <row r="1207" customFormat="false" ht="12.75" hidden="false" customHeight="true" outlineLevel="0" collapsed="false">
      <c r="B1207" s="119" t="n">
        <f aca="false">ROW()-4</f>
        <v>1203</v>
      </c>
      <c r="C1207" s="120" t="n">
        <f aca="false">COUNTIFS($D$5:D1207,D1207)</f>
        <v>244</v>
      </c>
      <c r="D1207" s="121" t="s">
        <v>2006</v>
      </c>
      <c r="E1207" s="122" t="s">
        <v>2478</v>
      </c>
      <c r="F1207" s="123" t="n">
        <v>44998</v>
      </c>
      <c r="G1207" s="121" t="s">
        <v>22</v>
      </c>
      <c r="H120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A1203</v>
      </c>
      <c r="I120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B1203</v>
      </c>
      <c r="J1207" s="122" t="s">
        <v>2479</v>
      </c>
      <c r="K120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C1203</v>
      </c>
      <c r="L120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D1203</v>
      </c>
      <c r="M120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E1203</v>
      </c>
      <c r="N1207" s="122" t="s">
        <v>73</v>
      </c>
      <c r="O1207" s="126" t="n">
        <v>3500000</v>
      </c>
      <c r="P1207" s="121" t="s">
        <v>18</v>
      </c>
      <c r="Q1207" s="121" t="s">
        <v>124</v>
      </c>
      <c r="R1207" s="127"/>
      <c r="T1207" s="118"/>
    </row>
    <row r="1208" customFormat="false" ht="12.75" hidden="false" customHeight="true" outlineLevel="0" collapsed="false">
      <c r="B1208" s="119" t="n">
        <f aca="false">ROW()-4</f>
        <v>1204</v>
      </c>
      <c r="C1208" s="120" t="n">
        <f aca="false">COUNTIFS($D$5:D1208,D1208)</f>
        <v>245</v>
      </c>
      <c r="D1208" s="121" t="s">
        <v>2006</v>
      </c>
      <c r="E1208" s="122" t="s">
        <v>2480</v>
      </c>
      <c r="F1208" s="123" t="n">
        <v>45482</v>
      </c>
      <c r="G1208" s="121" t="s">
        <v>22</v>
      </c>
      <c r="H120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A1204</v>
      </c>
      <c r="I120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B1204</v>
      </c>
      <c r="J1208" s="122" t="s">
        <v>2481</v>
      </c>
      <c r="K120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C1204</v>
      </c>
      <c r="L120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D1204</v>
      </c>
      <c r="M120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E1204</v>
      </c>
      <c r="N1208" s="122" t="s">
        <v>73</v>
      </c>
      <c r="O1208" s="126" t="n">
        <v>3500000</v>
      </c>
      <c r="P1208" s="121" t="s">
        <v>18</v>
      </c>
      <c r="Q1208" s="121" t="s">
        <v>124</v>
      </c>
      <c r="R1208" s="127"/>
      <c r="T1208" s="118"/>
    </row>
    <row r="1209" customFormat="false" ht="12.75" hidden="false" customHeight="true" outlineLevel="0" collapsed="false">
      <c r="B1209" s="119" t="n">
        <f aca="false">ROW()-4</f>
        <v>1205</v>
      </c>
      <c r="C1209" s="120" t="n">
        <f aca="false">COUNTIFS($D$5:D1209,D1209)</f>
        <v>246</v>
      </c>
      <c r="D1209" s="121" t="s">
        <v>2006</v>
      </c>
      <c r="E1209" s="122" t="s">
        <v>2482</v>
      </c>
      <c r="F1209" s="123" t="n">
        <v>45020</v>
      </c>
      <c r="G1209" s="121" t="s">
        <v>28</v>
      </c>
      <c r="H120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A1205</v>
      </c>
      <c r="I120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B1205</v>
      </c>
      <c r="J1209" s="122" t="s">
        <v>2483</v>
      </c>
      <c r="K120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C1205</v>
      </c>
      <c r="L120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D1205</v>
      </c>
      <c r="M120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E1205</v>
      </c>
      <c r="N1209" s="122" t="s">
        <v>73</v>
      </c>
      <c r="O1209" s="126" t="n">
        <v>3500000</v>
      </c>
      <c r="P1209" s="121" t="s">
        <v>18</v>
      </c>
      <c r="Q1209" s="121" t="s">
        <v>124</v>
      </c>
      <c r="R1209" s="127"/>
      <c r="T1209" s="118"/>
    </row>
    <row r="1210" customFormat="false" ht="12.75" hidden="false" customHeight="true" outlineLevel="0" collapsed="false">
      <c r="B1210" s="119" t="n">
        <f aca="false">ROW()-4</f>
        <v>1206</v>
      </c>
      <c r="C1210" s="120" t="n">
        <f aca="false">COUNTIFS($D$5:D1210,D1210)</f>
        <v>247</v>
      </c>
      <c r="D1210" s="121" t="s">
        <v>2006</v>
      </c>
      <c r="E1210" s="122" t="s">
        <v>2484</v>
      </c>
      <c r="F1210" s="123" t="n">
        <v>45026</v>
      </c>
      <c r="G1210" s="121" t="s">
        <v>22</v>
      </c>
      <c r="H121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A1206</v>
      </c>
      <c r="I121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B1206</v>
      </c>
      <c r="J1210" s="122" t="s">
        <v>2485</v>
      </c>
      <c r="K121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C1206</v>
      </c>
      <c r="L121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D1206</v>
      </c>
      <c r="M121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E1206</v>
      </c>
      <c r="N1210" s="122" t="s">
        <v>73</v>
      </c>
      <c r="O1210" s="126" t="n">
        <v>3500000</v>
      </c>
      <c r="P1210" s="121" t="s">
        <v>18</v>
      </c>
      <c r="Q1210" s="121" t="s">
        <v>124</v>
      </c>
      <c r="R1210" s="127"/>
      <c r="T1210" s="118"/>
    </row>
    <row r="1211" customFormat="false" ht="12.75" hidden="false" customHeight="true" outlineLevel="0" collapsed="false">
      <c r="B1211" s="119" t="n">
        <f aca="false">ROW()-4</f>
        <v>1207</v>
      </c>
      <c r="C1211" s="120" t="n">
        <f aca="false">COUNTIFS($D$5:D1211,D1211)</f>
        <v>248</v>
      </c>
      <c r="D1211" s="121" t="s">
        <v>2006</v>
      </c>
      <c r="E1211" s="122" t="s">
        <v>2486</v>
      </c>
      <c r="F1211" s="123" t="n">
        <v>45014</v>
      </c>
      <c r="G1211" s="121" t="s">
        <v>22</v>
      </c>
      <c r="H121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A1207</v>
      </c>
      <c r="I121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B1207</v>
      </c>
      <c r="J1211" s="122" t="s">
        <v>2487</v>
      </c>
      <c r="K121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C1207</v>
      </c>
      <c r="L121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D1207</v>
      </c>
      <c r="M121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E1207</v>
      </c>
      <c r="N1211" s="122" t="s">
        <v>73</v>
      </c>
      <c r="O1211" s="126" t="n">
        <v>3500000</v>
      </c>
      <c r="P1211" s="121" t="s">
        <v>18</v>
      </c>
      <c r="Q1211" s="121" t="s">
        <v>124</v>
      </c>
      <c r="R1211" s="127"/>
      <c r="T1211" s="118"/>
    </row>
    <row r="1212" customFormat="false" ht="12.75" hidden="false" customHeight="true" outlineLevel="0" collapsed="false">
      <c r="B1212" s="119" t="n">
        <f aca="false">ROW()-4</f>
        <v>1208</v>
      </c>
      <c r="C1212" s="120" t="n">
        <f aca="false">COUNTIFS($D$5:D1212,D1212)</f>
        <v>249</v>
      </c>
      <c r="D1212" s="121" t="s">
        <v>2006</v>
      </c>
      <c r="E1212" s="122" t="s">
        <v>2488</v>
      </c>
      <c r="F1212" s="123" t="n">
        <v>45015</v>
      </c>
      <c r="G1212" s="121" t="s">
        <v>22</v>
      </c>
      <c r="H121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A1208</v>
      </c>
      <c r="I121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B1208</v>
      </c>
      <c r="J1212" s="122" t="s">
        <v>2489</v>
      </c>
      <c r="K121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C1208</v>
      </c>
      <c r="L121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D1208</v>
      </c>
      <c r="M121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E1208</v>
      </c>
      <c r="N1212" s="122" t="s">
        <v>73</v>
      </c>
      <c r="O1212" s="126" t="n">
        <v>3500000</v>
      </c>
      <c r="P1212" s="121" t="s">
        <v>18</v>
      </c>
      <c r="Q1212" s="121" t="s">
        <v>124</v>
      </c>
      <c r="R1212" s="127"/>
      <c r="T1212" s="118"/>
    </row>
    <row r="1213" customFormat="false" ht="12.75" hidden="false" customHeight="true" outlineLevel="0" collapsed="false">
      <c r="B1213" s="119" t="n">
        <f aca="false">ROW()-4</f>
        <v>1209</v>
      </c>
      <c r="C1213" s="120" t="n">
        <f aca="false">COUNTIFS($D$5:D1213,D1213)</f>
        <v>250</v>
      </c>
      <c r="D1213" s="121" t="s">
        <v>2006</v>
      </c>
      <c r="E1213" s="122" t="s">
        <v>2490</v>
      </c>
      <c r="F1213" s="123" t="n">
        <v>45015</v>
      </c>
      <c r="G1213" s="121" t="s">
        <v>22</v>
      </c>
      <c r="H121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A1209</v>
      </c>
      <c r="I121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B1209</v>
      </c>
      <c r="J1213" s="122" t="s">
        <v>2491</v>
      </c>
      <c r="K121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C1209</v>
      </c>
      <c r="L121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D1209</v>
      </c>
      <c r="M121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E1209</v>
      </c>
      <c r="N1213" s="122" t="s">
        <v>73</v>
      </c>
      <c r="O1213" s="126" t="n">
        <v>3500000</v>
      </c>
      <c r="P1213" s="121" t="s">
        <v>18</v>
      </c>
      <c r="Q1213" s="121" t="s">
        <v>124</v>
      </c>
      <c r="R1213" s="127"/>
      <c r="T1213" s="118"/>
    </row>
    <row r="1214" customFormat="false" ht="12.75" hidden="false" customHeight="true" outlineLevel="0" collapsed="false">
      <c r="B1214" s="119" t="n">
        <f aca="false">ROW()-4</f>
        <v>1210</v>
      </c>
      <c r="C1214" s="120" t="n">
        <f aca="false">COUNTIFS($D$5:D1214,D1214)</f>
        <v>251</v>
      </c>
      <c r="D1214" s="121" t="s">
        <v>2006</v>
      </c>
      <c r="E1214" s="122" t="s">
        <v>2492</v>
      </c>
      <c r="F1214" s="123" t="n">
        <v>45058</v>
      </c>
      <c r="G1214" s="121" t="s">
        <v>28</v>
      </c>
      <c r="H121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A1210</v>
      </c>
      <c r="I121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B1210</v>
      </c>
      <c r="J1214" s="122" t="s">
        <v>2493</v>
      </c>
      <c r="K121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C1210</v>
      </c>
      <c r="L121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D1210</v>
      </c>
      <c r="M121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E1210</v>
      </c>
      <c r="N1214" s="122" t="s">
        <v>73</v>
      </c>
      <c r="O1214" s="126" t="n">
        <v>3500000</v>
      </c>
      <c r="P1214" s="121" t="s">
        <v>18</v>
      </c>
      <c r="Q1214" s="121" t="s">
        <v>124</v>
      </c>
      <c r="R1214" s="127"/>
      <c r="T1214" s="118"/>
    </row>
    <row r="1215" customFormat="false" ht="12.75" hidden="false" customHeight="true" outlineLevel="0" collapsed="false">
      <c r="B1215" s="119" t="n">
        <f aca="false">ROW()-4</f>
        <v>1211</v>
      </c>
      <c r="C1215" s="120" t="n">
        <f aca="false">COUNTIFS($D$5:D1215,D1215)</f>
        <v>252</v>
      </c>
      <c r="D1215" s="121" t="s">
        <v>2006</v>
      </c>
      <c r="E1215" s="122" t="s">
        <v>2494</v>
      </c>
      <c r="F1215" s="123" t="n">
        <v>44719</v>
      </c>
      <c r="G1215" s="121" t="s">
        <v>26</v>
      </c>
      <c r="H121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A1211</v>
      </c>
      <c r="I121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B1211</v>
      </c>
      <c r="J1215" s="122" t="s">
        <v>2495</v>
      </c>
      <c r="K121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C1211</v>
      </c>
      <c r="L121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D1211</v>
      </c>
      <c r="M121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E1211</v>
      </c>
      <c r="N1215" s="122" t="s">
        <v>73</v>
      </c>
      <c r="O1215" s="126" t="n">
        <v>3500000</v>
      </c>
      <c r="P1215" s="121" t="s">
        <v>18</v>
      </c>
      <c r="Q1215" s="121" t="s">
        <v>124</v>
      </c>
      <c r="R1215" s="127"/>
      <c r="T1215" s="118"/>
    </row>
    <row r="1216" customFormat="false" ht="12.75" hidden="false" customHeight="true" outlineLevel="0" collapsed="false">
      <c r="B1216" s="119" t="n">
        <f aca="false">ROW()-4</f>
        <v>1212</v>
      </c>
      <c r="C1216" s="120" t="n">
        <f aca="false">COUNTIFS($D$5:D1216,D1216)</f>
        <v>253</v>
      </c>
      <c r="D1216" s="121" t="s">
        <v>2006</v>
      </c>
      <c r="E1216" s="122" t="s">
        <v>2496</v>
      </c>
      <c r="F1216" s="123" t="n">
        <v>45803</v>
      </c>
      <c r="G1216" s="121" t="s">
        <v>22</v>
      </c>
      <c r="H121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A1212</v>
      </c>
      <c r="I121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B1212</v>
      </c>
      <c r="J1216" s="122" t="s">
        <v>2497</v>
      </c>
      <c r="K121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C1212</v>
      </c>
      <c r="L121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D1212</v>
      </c>
      <c r="M121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E1212</v>
      </c>
      <c r="N1216" s="122" t="s">
        <v>73</v>
      </c>
      <c r="O1216" s="126" t="n">
        <v>3500000</v>
      </c>
      <c r="P1216" s="121" t="s">
        <v>18</v>
      </c>
      <c r="Q1216" s="121" t="s">
        <v>124</v>
      </c>
      <c r="R1216" s="127"/>
      <c r="T1216" s="118"/>
    </row>
    <row r="1217" customFormat="false" ht="12.75" hidden="false" customHeight="true" outlineLevel="0" collapsed="false">
      <c r="B1217" s="119" t="n">
        <f aca="false">ROW()-4</f>
        <v>1213</v>
      </c>
      <c r="C1217" s="120" t="n">
        <f aca="false">COUNTIFS($D$5:D1217,D1217)</f>
        <v>254</v>
      </c>
      <c r="D1217" s="121" t="s">
        <v>2006</v>
      </c>
      <c r="E1217" s="122" t="s">
        <v>2498</v>
      </c>
      <c r="F1217" s="123" t="n">
        <v>44817</v>
      </c>
      <c r="G1217" s="121" t="s">
        <v>22</v>
      </c>
      <c r="H121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A1213</v>
      </c>
      <c r="I121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B1213</v>
      </c>
      <c r="J1217" s="122" t="s">
        <v>2499</v>
      </c>
      <c r="K121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C1213</v>
      </c>
      <c r="L121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D1213</v>
      </c>
      <c r="M121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E1213</v>
      </c>
      <c r="N1217" s="122" t="s">
        <v>73</v>
      </c>
      <c r="O1217" s="126" t="n">
        <v>3500000</v>
      </c>
      <c r="P1217" s="121" t="s">
        <v>18</v>
      </c>
      <c r="Q1217" s="121" t="s">
        <v>124</v>
      </c>
      <c r="R1217" s="127"/>
      <c r="T1217" s="118"/>
    </row>
    <row r="1218" customFormat="false" ht="12.75" hidden="false" customHeight="true" outlineLevel="0" collapsed="false">
      <c r="B1218" s="119" t="n">
        <f aca="false">ROW()-4</f>
        <v>1214</v>
      </c>
      <c r="C1218" s="120" t="n">
        <f aca="false">COUNTIFS($D$5:D1218,D1218)</f>
        <v>255</v>
      </c>
      <c r="D1218" s="121" t="s">
        <v>2006</v>
      </c>
      <c r="E1218" s="122" t="s">
        <v>2500</v>
      </c>
      <c r="F1218" s="123" t="n">
        <v>44853</v>
      </c>
      <c r="G1218" s="121" t="s">
        <v>22</v>
      </c>
      <c r="H121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A1214</v>
      </c>
      <c r="I121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B1214</v>
      </c>
      <c r="J1218" s="122" t="s">
        <v>2501</v>
      </c>
      <c r="K121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C1214</v>
      </c>
      <c r="L121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D1214</v>
      </c>
      <c r="M121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E1214</v>
      </c>
      <c r="N1218" s="122" t="s">
        <v>73</v>
      </c>
      <c r="O1218" s="126" t="n">
        <v>3500000</v>
      </c>
      <c r="P1218" s="121" t="s">
        <v>18</v>
      </c>
      <c r="Q1218" s="121" t="s">
        <v>124</v>
      </c>
      <c r="R1218" s="127"/>
      <c r="T1218" s="118"/>
    </row>
    <row r="1219" customFormat="false" ht="12.75" hidden="false" customHeight="true" outlineLevel="0" collapsed="false">
      <c r="B1219" s="119" t="n">
        <f aca="false">ROW()-4</f>
        <v>1215</v>
      </c>
      <c r="C1219" s="120" t="n">
        <f aca="false">COUNTIFS($D$5:D1219,D1219)</f>
        <v>256</v>
      </c>
      <c r="D1219" s="121" t="s">
        <v>2006</v>
      </c>
      <c r="E1219" s="122" t="s">
        <v>2502</v>
      </c>
      <c r="F1219" s="123" t="n">
        <v>44853</v>
      </c>
      <c r="G1219" s="121" t="s">
        <v>22</v>
      </c>
      <c r="H121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A1215</v>
      </c>
      <c r="I121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B1215</v>
      </c>
      <c r="J1219" s="122" t="s">
        <v>2503</v>
      </c>
      <c r="K121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C1215</v>
      </c>
      <c r="L121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D1215</v>
      </c>
      <c r="M121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E1215</v>
      </c>
      <c r="N1219" s="122" t="s">
        <v>73</v>
      </c>
      <c r="O1219" s="126" t="n">
        <v>3500000</v>
      </c>
      <c r="P1219" s="121" t="s">
        <v>18</v>
      </c>
      <c r="Q1219" s="121" t="s">
        <v>124</v>
      </c>
      <c r="R1219" s="127"/>
      <c r="T1219" s="118"/>
    </row>
    <row r="1220" customFormat="false" ht="12.75" hidden="false" customHeight="true" outlineLevel="0" collapsed="false">
      <c r="B1220" s="119" t="n">
        <f aca="false">ROW()-4</f>
        <v>1216</v>
      </c>
      <c r="C1220" s="120" t="n">
        <f aca="false">COUNTIFS($D$5:D1220,D1220)</f>
        <v>257</v>
      </c>
      <c r="D1220" s="121" t="s">
        <v>2006</v>
      </c>
      <c r="E1220" s="122" t="s">
        <v>2504</v>
      </c>
      <c r="F1220" s="123" t="n">
        <v>45048</v>
      </c>
      <c r="G1220" s="121" t="s">
        <v>22</v>
      </c>
      <c r="H122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A1216</v>
      </c>
      <c r="I122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B1216</v>
      </c>
      <c r="J1220" s="122" t="s">
        <v>2505</v>
      </c>
      <c r="K122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C1216</v>
      </c>
      <c r="L122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D1216</v>
      </c>
      <c r="M122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E1216</v>
      </c>
      <c r="N1220" s="122" t="s">
        <v>73</v>
      </c>
      <c r="O1220" s="126" t="n">
        <v>3500000</v>
      </c>
      <c r="P1220" s="121" t="s">
        <v>18</v>
      </c>
      <c r="Q1220" s="121" t="s">
        <v>124</v>
      </c>
      <c r="R1220" s="127"/>
      <c r="T1220" s="118"/>
    </row>
    <row r="1221" customFormat="false" ht="12.75" hidden="false" customHeight="true" outlineLevel="0" collapsed="false">
      <c r="B1221" s="119" t="n">
        <f aca="false">ROW()-4</f>
        <v>1217</v>
      </c>
      <c r="C1221" s="120" t="n">
        <f aca="false">COUNTIFS($D$5:D1221,D1221)</f>
        <v>258</v>
      </c>
      <c r="D1221" s="121" t="s">
        <v>2006</v>
      </c>
      <c r="E1221" s="122" t="s">
        <v>2506</v>
      </c>
      <c r="F1221" s="123" t="n">
        <v>46003</v>
      </c>
      <c r="G1221" s="121" t="s">
        <v>22</v>
      </c>
      <c r="H122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A1217</v>
      </c>
      <c r="I122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B1217</v>
      </c>
      <c r="J1221" s="122" t="s">
        <v>2507</v>
      </c>
      <c r="K122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C1217</v>
      </c>
      <c r="L122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D1217</v>
      </c>
      <c r="M122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E1217</v>
      </c>
      <c r="N1221" s="122" t="s">
        <v>73</v>
      </c>
      <c r="O1221" s="126" t="n">
        <v>3500000</v>
      </c>
      <c r="P1221" s="121" t="s">
        <v>18</v>
      </c>
      <c r="Q1221" s="121" t="s">
        <v>124</v>
      </c>
      <c r="R1221" s="127"/>
      <c r="T1221" s="118"/>
    </row>
    <row r="1222" customFormat="false" ht="12.75" hidden="false" customHeight="true" outlineLevel="0" collapsed="false">
      <c r="B1222" s="119" t="n">
        <f aca="false">ROW()-4</f>
        <v>1218</v>
      </c>
      <c r="C1222" s="120" t="n">
        <f aca="false">COUNTIFS($D$5:D1222,D1222)</f>
        <v>259</v>
      </c>
      <c r="D1222" s="121" t="s">
        <v>2006</v>
      </c>
      <c r="E1222" s="122" t="s">
        <v>2508</v>
      </c>
      <c r="F1222" s="123" t="n">
        <v>45236</v>
      </c>
      <c r="G1222" s="121" t="s">
        <v>22</v>
      </c>
      <c r="H122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A1218</v>
      </c>
      <c r="I122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B1218</v>
      </c>
      <c r="J1222" s="122" t="s">
        <v>2509</v>
      </c>
      <c r="K122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C1218</v>
      </c>
      <c r="L122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D1218</v>
      </c>
      <c r="M122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E1218</v>
      </c>
      <c r="N1222" s="122" t="s">
        <v>73</v>
      </c>
      <c r="O1222" s="126" t="n">
        <v>3500000</v>
      </c>
      <c r="P1222" s="121" t="s">
        <v>18</v>
      </c>
      <c r="Q1222" s="121" t="s">
        <v>124</v>
      </c>
      <c r="R1222" s="127"/>
      <c r="T1222" s="118"/>
    </row>
    <row r="1223" customFormat="false" ht="12.75" hidden="false" customHeight="true" outlineLevel="0" collapsed="false">
      <c r="B1223" s="119" t="n">
        <f aca="false">ROW()-4</f>
        <v>1219</v>
      </c>
      <c r="C1223" s="120" t="n">
        <f aca="false">COUNTIFS($D$5:D1223,D1223)</f>
        <v>260</v>
      </c>
      <c r="D1223" s="121" t="s">
        <v>2006</v>
      </c>
      <c r="E1223" s="122" t="s">
        <v>2510</v>
      </c>
      <c r="F1223" s="123" t="n">
        <v>45978</v>
      </c>
      <c r="G1223" s="121" t="s">
        <v>22</v>
      </c>
      <c r="H122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A1219</v>
      </c>
      <c r="I122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B1219</v>
      </c>
      <c r="J1223" s="122" t="s">
        <v>2511</v>
      </c>
      <c r="K122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C1219</v>
      </c>
      <c r="L122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D1219</v>
      </c>
      <c r="M122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E1219</v>
      </c>
      <c r="N1223" s="122" t="s">
        <v>73</v>
      </c>
      <c r="O1223" s="126" t="n">
        <v>3500000</v>
      </c>
      <c r="P1223" s="121" t="s">
        <v>18</v>
      </c>
      <c r="Q1223" s="121" t="s">
        <v>124</v>
      </c>
      <c r="R1223" s="127"/>
      <c r="T1223" s="118"/>
    </row>
    <row r="1224" customFormat="false" ht="12.75" hidden="false" customHeight="true" outlineLevel="0" collapsed="false">
      <c r="B1224" s="119" t="n">
        <f aca="false">ROW()-4</f>
        <v>1220</v>
      </c>
      <c r="C1224" s="120" t="n">
        <f aca="false">COUNTIFS($D$5:D1224,D1224)</f>
        <v>261</v>
      </c>
      <c r="D1224" s="121" t="s">
        <v>2006</v>
      </c>
      <c r="E1224" s="122" t="s">
        <v>2512</v>
      </c>
      <c r="F1224" s="123" t="n">
        <v>45233</v>
      </c>
      <c r="G1224" s="121" t="s">
        <v>22</v>
      </c>
      <c r="H122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A1220</v>
      </c>
      <c r="I122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B1220</v>
      </c>
      <c r="J1224" s="122" t="s">
        <v>2513</v>
      </c>
      <c r="K122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C1220</v>
      </c>
      <c r="L122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D1220</v>
      </c>
      <c r="M122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E1220</v>
      </c>
      <c r="N1224" s="122" t="s">
        <v>73</v>
      </c>
      <c r="O1224" s="126" t="n">
        <v>3500000</v>
      </c>
      <c r="P1224" s="121" t="s">
        <v>18</v>
      </c>
      <c r="Q1224" s="121" t="s">
        <v>124</v>
      </c>
      <c r="R1224" s="127"/>
      <c r="T1224" s="118"/>
    </row>
    <row r="1225" customFormat="false" ht="12.75" hidden="false" customHeight="true" outlineLevel="0" collapsed="false">
      <c r="B1225" s="119" t="n">
        <f aca="false">ROW()-4</f>
        <v>1221</v>
      </c>
      <c r="C1225" s="120" t="n">
        <f aca="false">COUNTIFS($D$5:D1225,D1225)</f>
        <v>262</v>
      </c>
      <c r="D1225" s="121" t="s">
        <v>2006</v>
      </c>
      <c r="E1225" s="122" t="s">
        <v>2514</v>
      </c>
      <c r="F1225" s="123" t="n">
        <v>45008</v>
      </c>
      <c r="G1225" s="121" t="s">
        <v>22</v>
      </c>
      <c r="H122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A1221</v>
      </c>
      <c r="I122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B1221</v>
      </c>
      <c r="J1225" s="122" t="s">
        <v>2515</v>
      </c>
      <c r="K122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C1221</v>
      </c>
      <c r="L122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D1221</v>
      </c>
      <c r="M122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E1221</v>
      </c>
      <c r="N1225" s="122" t="s">
        <v>73</v>
      </c>
      <c r="O1225" s="126" t="n">
        <v>3500000</v>
      </c>
      <c r="P1225" s="121" t="s">
        <v>18</v>
      </c>
      <c r="Q1225" s="121" t="s">
        <v>124</v>
      </c>
      <c r="R1225" s="127"/>
      <c r="T1225" s="118"/>
    </row>
    <row r="1226" customFormat="false" ht="12.75" hidden="false" customHeight="true" outlineLevel="0" collapsed="false">
      <c r="B1226" s="119" t="n">
        <f aca="false">ROW()-4</f>
        <v>1222</v>
      </c>
      <c r="C1226" s="120" t="n">
        <f aca="false">COUNTIFS($D$5:D1226,D1226)</f>
        <v>263</v>
      </c>
      <c r="D1226" s="121" t="s">
        <v>2006</v>
      </c>
      <c r="E1226" s="122" t="s">
        <v>2516</v>
      </c>
      <c r="F1226" s="123" t="n">
        <v>45840</v>
      </c>
      <c r="G1226" s="121" t="s">
        <v>22</v>
      </c>
      <c r="H122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A1222</v>
      </c>
      <c r="I122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B1222</v>
      </c>
      <c r="J1226" s="122" t="s">
        <v>2517</v>
      </c>
      <c r="K122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C1222</v>
      </c>
      <c r="L122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D1222</v>
      </c>
      <c r="M122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E1222</v>
      </c>
      <c r="N1226" s="122" t="s">
        <v>73</v>
      </c>
      <c r="O1226" s="126" t="n">
        <v>3500000</v>
      </c>
      <c r="P1226" s="121" t="s">
        <v>18</v>
      </c>
      <c r="Q1226" s="121" t="s">
        <v>124</v>
      </c>
      <c r="R1226" s="127"/>
      <c r="T1226" s="118"/>
    </row>
    <row r="1227" customFormat="false" ht="12.75" hidden="false" customHeight="true" outlineLevel="0" collapsed="false">
      <c r="B1227" s="119" t="n">
        <f aca="false">ROW()-4</f>
        <v>1223</v>
      </c>
      <c r="C1227" s="120" t="n">
        <f aca="false">COUNTIFS($D$5:D1227,D1227)</f>
        <v>264</v>
      </c>
      <c r="D1227" s="121" t="s">
        <v>2006</v>
      </c>
      <c r="E1227" s="122" t="s">
        <v>2518</v>
      </c>
      <c r="F1227" s="123" t="n">
        <v>45278</v>
      </c>
      <c r="G1227" s="121" t="s">
        <v>22</v>
      </c>
      <c r="H122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A1223</v>
      </c>
      <c r="I122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B1223</v>
      </c>
      <c r="J1227" s="122" t="s">
        <v>1611</v>
      </c>
      <c r="K122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C1223</v>
      </c>
      <c r="L122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D1223</v>
      </c>
      <c r="M122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E1223</v>
      </c>
      <c r="N1227" s="122" t="s">
        <v>73</v>
      </c>
      <c r="O1227" s="126" t="n">
        <v>3500000</v>
      </c>
      <c r="P1227" s="121" t="s">
        <v>18</v>
      </c>
      <c r="Q1227" s="121" t="s">
        <v>124</v>
      </c>
      <c r="R1227" s="127"/>
      <c r="T1227" s="118"/>
    </row>
    <row r="1228" customFormat="false" ht="12.75" hidden="false" customHeight="true" outlineLevel="0" collapsed="false">
      <c r="B1228" s="119" t="n">
        <f aca="false">ROW()-4</f>
        <v>1224</v>
      </c>
      <c r="C1228" s="120" t="n">
        <f aca="false">COUNTIFS($D$5:D1228,D1228)</f>
        <v>265</v>
      </c>
      <c r="D1228" s="121" t="s">
        <v>2006</v>
      </c>
      <c r="E1228" s="122" t="s">
        <v>2519</v>
      </c>
      <c r="F1228" s="123" t="n">
        <v>45278</v>
      </c>
      <c r="G1228" s="121" t="s">
        <v>22</v>
      </c>
      <c r="H122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A1224</v>
      </c>
      <c r="I122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B1224</v>
      </c>
      <c r="J1228" s="122" t="s">
        <v>2520</v>
      </c>
      <c r="K122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C1224</v>
      </c>
      <c r="L122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D1224</v>
      </c>
      <c r="M122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E1224</v>
      </c>
      <c r="N1228" s="122" t="s">
        <v>73</v>
      </c>
      <c r="O1228" s="126" t="n">
        <v>3500000</v>
      </c>
      <c r="P1228" s="121" t="s">
        <v>18</v>
      </c>
      <c r="Q1228" s="121" t="s">
        <v>124</v>
      </c>
      <c r="R1228" s="127"/>
      <c r="T1228" s="118"/>
    </row>
    <row r="1229" s="118" customFormat="true" ht="12.75" hidden="false" customHeight="true" outlineLevel="0" collapsed="false">
      <c r="A1229" s="98"/>
      <c r="B1229" s="119" t="n">
        <f aca="false">ROW()-4</f>
        <v>1225</v>
      </c>
      <c r="C1229" s="120" t="n">
        <f aca="false">COUNTIFS($D$5:D1229,D1229)</f>
        <v>266</v>
      </c>
      <c r="D1229" s="121" t="s">
        <v>2006</v>
      </c>
      <c r="E1229" s="122" t="s">
        <v>2521</v>
      </c>
      <c r="F1229" s="123" t="n">
        <v>46002</v>
      </c>
      <c r="G1229" s="121" t="s">
        <v>22</v>
      </c>
      <c r="H122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A1225</v>
      </c>
      <c r="I122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B1225</v>
      </c>
      <c r="J1229" s="122" t="s">
        <v>2522</v>
      </c>
      <c r="K122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C1225</v>
      </c>
      <c r="L122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D1225</v>
      </c>
      <c r="M122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E1225</v>
      </c>
      <c r="N1229" s="122" t="s">
        <v>73</v>
      </c>
      <c r="O1229" s="126" t="n">
        <v>3500000</v>
      </c>
      <c r="P1229" s="121" t="s">
        <v>18</v>
      </c>
      <c r="Q1229" s="121" t="s">
        <v>124</v>
      </c>
      <c r="R1229" s="127"/>
    </row>
    <row r="1230" customFormat="false" ht="12.75" hidden="false" customHeight="true" outlineLevel="0" collapsed="false">
      <c r="B1230" s="119" t="n">
        <f aca="false">ROW()-4</f>
        <v>1226</v>
      </c>
      <c r="C1230" s="120" t="n">
        <f aca="false">COUNTIFS($D$5:D1230,D1230)</f>
        <v>267</v>
      </c>
      <c r="D1230" s="121" t="s">
        <v>2006</v>
      </c>
      <c r="E1230" s="122" t="s">
        <v>2523</v>
      </c>
      <c r="F1230" s="123" t="n">
        <v>45160</v>
      </c>
      <c r="G1230" s="121" t="s">
        <v>22</v>
      </c>
      <c r="H123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A1226</v>
      </c>
      <c r="I123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B1226</v>
      </c>
      <c r="J1230" s="122" t="s">
        <v>2524</v>
      </c>
      <c r="K123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C1226</v>
      </c>
      <c r="L123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D1226</v>
      </c>
      <c r="M123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E1226</v>
      </c>
      <c r="N1230" s="122" t="s">
        <v>73</v>
      </c>
      <c r="O1230" s="126" t="n">
        <v>3500000</v>
      </c>
      <c r="P1230" s="121" t="s">
        <v>18</v>
      </c>
      <c r="Q1230" s="121" t="s">
        <v>124</v>
      </c>
      <c r="R1230" s="127"/>
      <c r="T1230" s="118"/>
    </row>
    <row r="1231" customFormat="false" ht="12.75" hidden="false" customHeight="true" outlineLevel="0" collapsed="false">
      <c r="B1231" s="119" t="n">
        <f aca="false">ROW()-4</f>
        <v>1227</v>
      </c>
      <c r="C1231" s="120" t="n">
        <f aca="false">COUNTIFS($D$5:D1231,D1231)</f>
        <v>268</v>
      </c>
      <c r="D1231" s="121" t="s">
        <v>2006</v>
      </c>
      <c r="E1231" s="122" t="s">
        <v>2525</v>
      </c>
      <c r="F1231" s="123" t="n">
        <v>44972</v>
      </c>
      <c r="G1231" s="121" t="s">
        <v>22</v>
      </c>
      <c r="H123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A1227</v>
      </c>
      <c r="I123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B1227</v>
      </c>
      <c r="J1231" s="122" t="s">
        <v>2526</v>
      </c>
      <c r="K123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C1227</v>
      </c>
      <c r="L123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D1227</v>
      </c>
      <c r="M123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E1227</v>
      </c>
      <c r="N1231" s="122" t="s">
        <v>73</v>
      </c>
      <c r="O1231" s="126" t="n">
        <v>3500000</v>
      </c>
      <c r="P1231" s="121" t="s">
        <v>18</v>
      </c>
      <c r="Q1231" s="121" t="s">
        <v>124</v>
      </c>
      <c r="R1231" s="127"/>
      <c r="T1231" s="118"/>
    </row>
    <row r="1232" customFormat="false" ht="12.75" hidden="false" customHeight="true" outlineLevel="0" collapsed="false">
      <c r="B1232" s="119" t="n">
        <f aca="false">ROW()-4</f>
        <v>1228</v>
      </c>
      <c r="C1232" s="120" t="n">
        <f aca="false">COUNTIFS($D$5:D1232,D1232)</f>
        <v>269</v>
      </c>
      <c r="D1232" s="121" t="s">
        <v>2006</v>
      </c>
      <c r="E1232" s="122" t="s">
        <v>2527</v>
      </c>
      <c r="F1232" s="123" t="n">
        <v>45238</v>
      </c>
      <c r="G1232" s="121" t="s">
        <v>22</v>
      </c>
      <c r="H123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A1228</v>
      </c>
      <c r="I123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B1228</v>
      </c>
      <c r="J1232" s="122" t="s">
        <v>2528</v>
      </c>
      <c r="K123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C1228</v>
      </c>
      <c r="L123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D1228</v>
      </c>
      <c r="M123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E1228</v>
      </c>
      <c r="N1232" s="122" t="s">
        <v>73</v>
      </c>
      <c r="O1232" s="126" t="n">
        <v>3500000</v>
      </c>
      <c r="P1232" s="121" t="s">
        <v>18</v>
      </c>
      <c r="Q1232" s="121" t="s">
        <v>124</v>
      </c>
      <c r="R1232" s="127"/>
      <c r="T1232" s="118"/>
    </row>
    <row r="1233" customFormat="false" ht="12.75" hidden="false" customHeight="true" outlineLevel="0" collapsed="false">
      <c r="B1233" s="119" t="n">
        <f aca="false">ROW()-4</f>
        <v>1229</v>
      </c>
      <c r="C1233" s="120" t="n">
        <f aca="false">COUNTIFS($D$5:D1233,D1233)</f>
        <v>270</v>
      </c>
      <c r="D1233" s="121" t="s">
        <v>2006</v>
      </c>
      <c r="E1233" s="122" t="s">
        <v>2529</v>
      </c>
      <c r="F1233" s="123" t="n">
        <v>45005</v>
      </c>
      <c r="G1233" s="121" t="s">
        <v>22</v>
      </c>
      <c r="H123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A1229</v>
      </c>
      <c r="I123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B1229</v>
      </c>
      <c r="J1233" s="122" t="s">
        <v>406</v>
      </c>
      <c r="K123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C1229</v>
      </c>
      <c r="L123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D1229</v>
      </c>
      <c r="M123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E1229</v>
      </c>
      <c r="N1233" s="122" t="s">
        <v>73</v>
      </c>
      <c r="O1233" s="126" t="n">
        <v>3500000</v>
      </c>
      <c r="P1233" s="121" t="s">
        <v>18</v>
      </c>
      <c r="Q1233" s="121" t="s">
        <v>124</v>
      </c>
      <c r="R1233" s="127"/>
      <c r="T1233" s="118"/>
    </row>
    <row r="1234" customFormat="false" ht="12.75" hidden="false" customHeight="true" outlineLevel="0" collapsed="false">
      <c r="B1234" s="119" t="n">
        <f aca="false">ROW()-4</f>
        <v>1230</v>
      </c>
      <c r="C1234" s="120" t="n">
        <f aca="false">COUNTIFS($D$5:D1234,D1234)</f>
        <v>271</v>
      </c>
      <c r="D1234" s="121" t="s">
        <v>2006</v>
      </c>
      <c r="E1234" s="122" t="s">
        <v>2530</v>
      </c>
      <c r="F1234" s="123" t="n">
        <v>45005</v>
      </c>
      <c r="G1234" s="121" t="s">
        <v>22</v>
      </c>
      <c r="H123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A1230</v>
      </c>
      <c r="I123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B1230</v>
      </c>
      <c r="J1234" s="122" t="s">
        <v>2531</v>
      </c>
      <c r="K123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C1230</v>
      </c>
      <c r="L123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D1230</v>
      </c>
      <c r="M123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E1230</v>
      </c>
      <c r="N1234" s="122" t="s">
        <v>73</v>
      </c>
      <c r="O1234" s="126" t="n">
        <v>3500000</v>
      </c>
      <c r="P1234" s="121" t="s">
        <v>18</v>
      </c>
      <c r="Q1234" s="121" t="s">
        <v>124</v>
      </c>
      <c r="R1234" s="127"/>
      <c r="T1234" s="118"/>
    </row>
    <row r="1235" customFormat="false" ht="12.75" hidden="false" customHeight="true" outlineLevel="0" collapsed="false">
      <c r="B1235" s="119" t="n">
        <f aca="false">ROW()-4</f>
        <v>1231</v>
      </c>
      <c r="C1235" s="120" t="n">
        <f aca="false">COUNTIFS($D$5:D1235,D1235)</f>
        <v>272</v>
      </c>
      <c r="D1235" s="121" t="s">
        <v>2006</v>
      </c>
      <c r="E1235" s="122" t="s">
        <v>2532</v>
      </c>
      <c r="F1235" s="123" t="n">
        <v>45266</v>
      </c>
      <c r="G1235" s="121" t="s">
        <v>22</v>
      </c>
      <c r="H123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A1231</v>
      </c>
      <c r="I123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B1231</v>
      </c>
      <c r="J1235" s="122" t="s">
        <v>2533</v>
      </c>
      <c r="K123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C1231</v>
      </c>
      <c r="L123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D1231</v>
      </c>
      <c r="M123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E1231</v>
      </c>
      <c r="N1235" s="122" t="s">
        <v>73</v>
      </c>
      <c r="O1235" s="126" t="n">
        <v>3500000</v>
      </c>
      <c r="P1235" s="121" t="s">
        <v>18</v>
      </c>
      <c r="Q1235" s="121" t="s">
        <v>124</v>
      </c>
      <c r="R1235" s="127"/>
      <c r="T1235" s="118"/>
    </row>
    <row r="1236" customFormat="false" ht="12.75" hidden="false" customHeight="true" outlineLevel="0" collapsed="false">
      <c r="B1236" s="119" t="n">
        <f aca="false">ROW()-4</f>
        <v>1232</v>
      </c>
      <c r="C1236" s="120" t="n">
        <f aca="false">COUNTIFS($D$5:D1236,D1236)</f>
        <v>273</v>
      </c>
      <c r="D1236" s="121" t="s">
        <v>2006</v>
      </c>
      <c r="E1236" s="122" t="s">
        <v>2534</v>
      </c>
      <c r="F1236" s="123" t="n">
        <v>45307</v>
      </c>
      <c r="G1236" s="121" t="s">
        <v>22</v>
      </c>
      <c r="H123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A1232</v>
      </c>
      <c r="I123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B1232</v>
      </c>
      <c r="J1236" s="122" t="s">
        <v>2535</v>
      </c>
      <c r="K123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C1232</v>
      </c>
      <c r="L123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D1232</v>
      </c>
      <c r="M123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E1232</v>
      </c>
      <c r="N1236" s="122" t="s">
        <v>73</v>
      </c>
      <c r="O1236" s="126" t="n">
        <v>3500000</v>
      </c>
      <c r="P1236" s="121" t="s">
        <v>18</v>
      </c>
      <c r="Q1236" s="121" t="s">
        <v>124</v>
      </c>
      <c r="R1236" s="127"/>
      <c r="T1236" s="118"/>
    </row>
    <row r="1237" customFormat="false" ht="12.75" hidden="false" customHeight="true" outlineLevel="0" collapsed="false">
      <c r="B1237" s="119" t="n">
        <f aca="false">ROW()-4</f>
        <v>1233</v>
      </c>
      <c r="C1237" s="120" t="n">
        <f aca="false">COUNTIFS($D$5:D1237,D1237)</f>
        <v>274</v>
      </c>
      <c r="D1237" s="121" t="s">
        <v>2006</v>
      </c>
      <c r="E1237" s="122" t="s">
        <v>2536</v>
      </c>
      <c r="F1237" s="123" t="n">
        <v>45491</v>
      </c>
      <c r="G1237" s="121" t="s">
        <v>22</v>
      </c>
      <c r="H123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A1233</v>
      </c>
      <c r="I123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B1233</v>
      </c>
      <c r="J1237" s="122" t="s">
        <v>2537</v>
      </c>
      <c r="K123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C1233</v>
      </c>
      <c r="L123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D1233</v>
      </c>
      <c r="M123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E1233</v>
      </c>
      <c r="N1237" s="122" t="s">
        <v>73</v>
      </c>
      <c r="O1237" s="126" t="n">
        <v>3500000</v>
      </c>
      <c r="P1237" s="121" t="s">
        <v>18</v>
      </c>
      <c r="Q1237" s="121" t="s">
        <v>124</v>
      </c>
      <c r="R1237" s="127"/>
      <c r="T1237" s="118"/>
    </row>
    <row r="1238" customFormat="false" ht="12.75" hidden="false" customHeight="true" outlineLevel="0" collapsed="false">
      <c r="B1238" s="119" t="n">
        <f aca="false">ROW()-4</f>
        <v>1234</v>
      </c>
      <c r="C1238" s="120" t="n">
        <f aca="false">COUNTIFS($D$5:D1238,D1238)</f>
        <v>275</v>
      </c>
      <c r="D1238" s="121" t="s">
        <v>2006</v>
      </c>
      <c r="E1238" s="122" t="s">
        <v>2538</v>
      </c>
      <c r="F1238" s="123" t="n">
        <v>45351</v>
      </c>
      <c r="G1238" s="121" t="s">
        <v>22</v>
      </c>
      <c r="H123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A1234</v>
      </c>
      <c r="I123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B1234</v>
      </c>
      <c r="J1238" s="122" t="s">
        <v>2539</v>
      </c>
      <c r="K123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C1234</v>
      </c>
      <c r="L123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D1234</v>
      </c>
      <c r="M123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E1234</v>
      </c>
      <c r="N1238" s="122" t="s">
        <v>73</v>
      </c>
      <c r="O1238" s="126" t="n">
        <v>3500000</v>
      </c>
      <c r="P1238" s="121" t="s">
        <v>18</v>
      </c>
      <c r="Q1238" s="121" t="s">
        <v>124</v>
      </c>
      <c r="R1238" s="127"/>
      <c r="T1238" s="118"/>
    </row>
    <row r="1239" customFormat="false" ht="12.75" hidden="false" customHeight="true" outlineLevel="0" collapsed="false">
      <c r="B1239" s="119" t="n">
        <f aca="false">ROW()-4</f>
        <v>1235</v>
      </c>
      <c r="C1239" s="120" t="n">
        <f aca="false">COUNTIFS($D$5:D1239,D1239)</f>
        <v>276</v>
      </c>
      <c r="D1239" s="121" t="s">
        <v>2006</v>
      </c>
      <c r="E1239" s="122" t="s">
        <v>2540</v>
      </c>
      <c r="F1239" s="123" t="n">
        <v>45364</v>
      </c>
      <c r="G1239" s="121" t="s">
        <v>22</v>
      </c>
      <c r="H123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A1235</v>
      </c>
      <c r="I123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B1235</v>
      </c>
      <c r="J1239" s="122" t="s">
        <v>2541</v>
      </c>
      <c r="K123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C1235</v>
      </c>
      <c r="L123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D1235</v>
      </c>
      <c r="M123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E1235</v>
      </c>
      <c r="N1239" s="122" t="s">
        <v>73</v>
      </c>
      <c r="O1239" s="126" t="n">
        <v>3500000</v>
      </c>
      <c r="P1239" s="121" t="s">
        <v>18</v>
      </c>
      <c r="Q1239" s="121" t="s">
        <v>124</v>
      </c>
      <c r="R1239" s="127"/>
      <c r="T1239" s="118"/>
    </row>
    <row r="1240" customFormat="false" ht="12.75" hidden="false" customHeight="true" outlineLevel="0" collapsed="false">
      <c r="B1240" s="119" t="n">
        <f aca="false">ROW()-4</f>
        <v>1236</v>
      </c>
      <c r="C1240" s="120" t="n">
        <f aca="false">COUNTIFS($D$5:D1240,D1240)</f>
        <v>277</v>
      </c>
      <c r="D1240" s="121" t="s">
        <v>2006</v>
      </c>
      <c r="E1240" s="122" t="s">
        <v>2542</v>
      </c>
      <c r="F1240" s="123" t="n">
        <v>45362</v>
      </c>
      <c r="G1240" s="121" t="s">
        <v>22</v>
      </c>
      <c r="H124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A1236</v>
      </c>
      <c r="I124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B1236</v>
      </c>
      <c r="J1240" s="122" t="s">
        <v>2543</v>
      </c>
      <c r="K124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C1236</v>
      </c>
      <c r="L124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D1236</v>
      </c>
      <c r="M124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E1236</v>
      </c>
      <c r="N1240" s="122" t="s">
        <v>73</v>
      </c>
      <c r="O1240" s="126" t="n">
        <v>3500000</v>
      </c>
      <c r="P1240" s="121" t="s">
        <v>18</v>
      </c>
      <c r="Q1240" s="121" t="s">
        <v>124</v>
      </c>
      <c r="R1240" s="127"/>
      <c r="T1240" s="118"/>
    </row>
    <row r="1241" customFormat="false" ht="12.75" hidden="false" customHeight="true" outlineLevel="0" collapsed="false">
      <c r="B1241" s="119" t="n">
        <f aca="false">ROW()-4</f>
        <v>1237</v>
      </c>
      <c r="C1241" s="120" t="n">
        <f aca="false">COUNTIFS($D$5:D1241,D1241)</f>
        <v>278</v>
      </c>
      <c r="D1241" s="121" t="s">
        <v>2006</v>
      </c>
      <c r="E1241" s="122" t="s">
        <v>2544</v>
      </c>
      <c r="F1241" s="123" t="n">
        <v>45113</v>
      </c>
      <c r="G1241" s="121" t="s">
        <v>22</v>
      </c>
      <c r="H124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A1237</v>
      </c>
      <c r="I124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B1237</v>
      </c>
      <c r="J1241" s="122" t="s">
        <v>2545</v>
      </c>
      <c r="K124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C1237</v>
      </c>
      <c r="L124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D1237</v>
      </c>
      <c r="M124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E1237</v>
      </c>
      <c r="N1241" s="122" t="s">
        <v>73</v>
      </c>
      <c r="O1241" s="126" t="n">
        <v>3500000</v>
      </c>
      <c r="P1241" s="121" t="s">
        <v>18</v>
      </c>
      <c r="Q1241" s="121" t="s">
        <v>124</v>
      </c>
      <c r="R1241" s="127"/>
      <c r="T1241" s="118"/>
    </row>
    <row r="1242" customFormat="false" ht="12.75" hidden="false" customHeight="true" outlineLevel="0" collapsed="false">
      <c r="B1242" s="119" t="n">
        <f aca="false">ROW()-4</f>
        <v>1238</v>
      </c>
      <c r="C1242" s="120" t="n">
        <f aca="false">COUNTIFS($D$5:D1242,D1242)</f>
        <v>279</v>
      </c>
      <c r="D1242" s="121" t="s">
        <v>2006</v>
      </c>
      <c r="E1242" s="122" t="s">
        <v>2546</v>
      </c>
      <c r="F1242" s="123" t="n">
        <v>45170</v>
      </c>
      <c r="G1242" s="121" t="s">
        <v>22</v>
      </c>
      <c r="H124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A1238</v>
      </c>
      <c r="I124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B1238</v>
      </c>
      <c r="J1242" s="122" t="s">
        <v>2547</v>
      </c>
      <c r="K124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C1238</v>
      </c>
      <c r="L124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D1238</v>
      </c>
      <c r="M124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E1238</v>
      </c>
      <c r="N1242" s="122" t="s">
        <v>73</v>
      </c>
      <c r="O1242" s="126" t="n">
        <v>3500000</v>
      </c>
      <c r="P1242" s="121" t="s">
        <v>18</v>
      </c>
      <c r="Q1242" s="121" t="s">
        <v>124</v>
      </c>
      <c r="R1242" s="127"/>
      <c r="T1242" s="118"/>
    </row>
    <row r="1243" customFormat="false" ht="12.75" hidden="false" customHeight="true" outlineLevel="0" collapsed="false">
      <c r="B1243" s="119" t="n">
        <f aca="false">ROW()-4</f>
        <v>1239</v>
      </c>
      <c r="C1243" s="120" t="n">
        <f aca="false">COUNTIFS($D$5:D1243,D1243)</f>
        <v>280</v>
      </c>
      <c r="D1243" s="121" t="s">
        <v>2006</v>
      </c>
      <c r="E1243" s="122" t="s">
        <v>2548</v>
      </c>
      <c r="F1243" s="123" t="n">
        <v>45350</v>
      </c>
      <c r="G1243" s="121" t="s">
        <v>22</v>
      </c>
      <c r="H124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A1239</v>
      </c>
      <c r="I124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B1239</v>
      </c>
      <c r="J1243" s="122" t="s">
        <v>2549</v>
      </c>
      <c r="K124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C1239</v>
      </c>
      <c r="L124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D1239</v>
      </c>
      <c r="M124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E1239</v>
      </c>
      <c r="N1243" s="122" t="s">
        <v>73</v>
      </c>
      <c r="O1243" s="126" t="n">
        <v>3500000</v>
      </c>
      <c r="P1243" s="121" t="s">
        <v>18</v>
      </c>
      <c r="Q1243" s="121" t="s">
        <v>124</v>
      </c>
      <c r="R1243" s="127"/>
      <c r="T1243" s="118"/>
    </row>
    <row r="1244" customFormat="false" ht="12.75" hidden="false" customHeight="true" outlineLevel="0" collapsed="false">
      <c r="B1244" s="119" t="n">
        <f aca="false">ROW()-4</f>
        <v>1240</v>
      </c>
      <c r="C1244" s="120" t="n">
        <f aca="false">COUNTIFS($D$5:D1244,D1244)</f>
        <v>281</v>
      </c>
      <c r="D1244" s="121" t="s">
        <v>2006</v>
      </c>
      <c r="E1244" s="122" t="s">
        <v>2550</v>
      </c>
      <c r="F1244" s="123" t="n">
        <v>45400</v>
      </c>
      <c r="G1244" s="121" t="s">
        <v>24</v>
      </c>
      <c r="H124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A1240</v>
      </c>
      <c r="I124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B1240</v>
      </c>
      <c r="J1244" s="122" t="s">
        <v>2551</v>
      </c>
      <c r="K124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C1240</v>
      </c>
      <c r="L124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D1240</v>
      </c>
      <c r="M124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E1240</v>
      </c>
      <c r="N1244" s="122" t="s">
        <v>73</v>
      </c>
      <c r="O1244" s="126" t="n">
        <v>3500000</v>
      </c>
      <c r="P1244" s="121" t="s">
        <v>18</v>
      </c>
      <c r="Q1244" s="121" t="s">
        <v>124</v>
      </c>
      <c r="R1244" s="127"/>
      <c r="T1244" s="118"/>
    </row>
    <row r="1245" customFormat="false" ht="12.75" hidden="false" customHeight="true" outlineLevel="0" collapsed="false">
      <c r="B1245" s="119" t="n">
        <f aca="false">ROW()-4</f>
        <v>1241</v>
      </c>
      <c r="C1245" s="120" t="n">
        <f aca="false">COUNTIFS($D$5:D1245,D1245)</f>
        <v>282</v>
      </c>
      <c r="D1245" s="121" t="s">
        <v>2006</v>
      </c>
      <c r="E1245" s="122" t="s">
        <v>2552</v>
      </c>
      <c r="F1245" s="123" t="n">
        <v>46049</v>
      </c>
      <c r="G1245" s="121" t="s">
        <v>22</v>
      </c>
      <c r="H124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A1241</v>
      </c>
      <c r="I124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B1241</v>
      </c>
      <c r="J1245" s="122" t="s">
        <v>2553</v>
      </c>
      <c r="K124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C1241</v>
      </c>
      <c r="L124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D1241</v>
      </c>
      <c r="M124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E1241</v>
      </c>
      <c r="N1245" s="122" t="s">
        <v>73</v>
      </c>
      <c r="O1245" s="126" t="n">
        <v>3500000</v>
      </c>
      <c r="P1245" s="121" t="s">
        <v>18</v>
      </c>
      <c r="Q1245" s="121" t="s">
        <v>124</v>
      </c>
      <c r="R1245" s="127"/>
      <c r="T1245" s="118"/>
    </row>
    <row r="1246" customFormat="false" ht="12.75" hidden="false" customHeight="true" outlineLevel="0" collapsed="false">
      <c r="B1246" s="119" t="n">
        <f aca="false">ROW()-4</f>
        <v>1242</v>
      </c>
      <c r="C1246" s="120" t="n">
        <f aca="false">COUNTIFS($D$5:D1246,D1246)</f>
        <v>283</v>
      </c>
      <c r="D1246" s="121" t="s">
        <v>2006</v>
      </c>
      <c r="E1246" s="122" t="s">
        <v>2554</v>
      </c>
      <c r="F1246" s="123" t="n">
        <v>44805</v>
      </c>
      <c r="G1246" s="121" t="s">
        <v>22</v>
      </c>
      <c r="H124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A1242</v>
      </c>
      <c r="I124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B1242</v>
      </c>
      <c r="J1246" s="122" t="s">
        <v>2555</v>
      </c>
      <c r="K124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C1242</v>
      </c>
      <c r="L124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D1242</v>
      </c>
      <c r="M124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E1242</v>
      </c>
      <c r="N1246" s="122" t="s">
        <v>73</v>
      </c>
      <c r="O1246" s="126" t="n">
        <v>3500000</v>
      </c>
      <c r="P1246" s="121" t="s">
        <v>18</v>
      </c>
      <c r="Q1246" s="121" t="s">
        <v>124</v>
      </c>
      <c r="R1246" s="127"/>
      <c r="T1246" s="118"/>
    </row>
    <row r="1247" customFormat="false" ht="12.75" hidden="false" customHeight="true" outlineLevel="0" collapsed="false">
      <c r="B1247" s="119" t="n">
        <f aca="false">ROW()-4</f>
        <v>1243</v>
      </c>
      <c r="C1247" s="120" t="n">
        <f aca="false">COUNTIFS($D$5:D1247,D1247)</f>
        <v>284</v>
      </c>
      <c r="D1247" s="121" t="s">
        <v>2006</v>
      </c>
      <c r="E1247" s="122" t="s">
        <v>2556</v>
      </c>
      <c r="F1247" s="123" t="n">
        <v>45575</v>
      </c>
      <c r="G1247" s="121" t="s">
        <v>22</v>
      </c>
      <c r="H124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A1243</v>
      </c>
      <c r="I124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B1243</v>
      </c>
      <c r="J1247" s="122" t="s">
        <v>2557</v>
      </c>
      <c r="K124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C1243</v>
      </c>
      <c r="L124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D1243</v>
      </c>
      <c r="M124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E1243</v>
      </c>
      <c r="N1247" s="122" t="s">
        <v>73</v>
      </c>
      <c r="O1247" s="126" t="n">
        <v>3500000</v>
      </c>
      <c r="P1247" s="121" t="s">
        <v>18</v>
      </c>
      <c r="Q1247" s="121" t="s">
        <v>124</v>
      </c>
      <c r="R1247" s="127"/>
      <c r="T1247" s="118"/>
    </row>
    <row r="1248" customFormat="false" ht="12.75" hidden="false" customHeight="true" outlineLevel="0" collapsed="false">
      <c r="B1248" s="119" t="n">
        <f aca="false">ROW()-4</f>
        <v>1244</v>
      </c>
      <c r="C1248" s="120" t="n">
        <f aca="false">COUNTIFS($D$5:D1248,D1248)</f>
        <v>285</v>
      </c>
      <c r="D1248" s="121" t="s">
        <v>2006</v>
      </c>
      <c r="E1248" s="122" t="s">
        <v>2558</v>
      </c>
      <c r="F1248" s="123" t="n">
        <v>45518</v>
      </c>
      <c r="G1248" s="121" t="s">
        <v>22</v>
      </c>
      <c r="H124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A1244</v>
      </c>
      <c r="I124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B1244</v>
      </c>
      <c r="J1248" s="122" t="s">
        <v>2559</v>
      </c>
      <c r="K124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C1244</v>
      </c>
      <c r="L124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D1244</v>
      </c>
      <c r="M124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E1244</v>
      </c>
      <c r="N1248" s="122" t="s">
        <v>73</v>
      </c>
      <c r="O1248" s="126" t="n">
        <v>3500000</v>
      </c>
      <c r="P1248" s="121" t="s">
        <v>18</v>
      </c>
      <c r="Q1248" s="121" t="s">
        <v>124</v>
      </c>
      <c r="R1248" s="127"/>
      <c r="T1248" s="118"/>
    </row>
    <row r="1249" customFormat="false" ht="12.75" hidden="false" customHeight="true" outlineLevel="0" collapsed="false">
      <c r="B1249" s="119" t="n">
        <f aca="false">ROW()-4</f>
        <v>1245</v>
      </c>
      <c r="C1249" s="120" t="n">
        <f aca="false">COUNTIFS($D$5:D1249,D1249)</f>
        <v>286</v>
      </c>
      <c r="D1249" s="121" t="s">
        <v>2006</v>
      </c>
      <c r="E1249" s="122" t="s">
        <v>2560</v>
      </c>
      <c r="F1249" s="123" t="n">
        <v>45635</v>
      </c>
      <c r="G1249" s="121" t="s">
        <v>22</v>
      </c>
      <c r="H124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A1245</v>
      </c>
      <c r="I124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B1245</v>
      </c>
      <c r="J1249" s="122" t="s">
        <v>2561</v>
      </c>
      <c r="K124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C1245</v>
      </c>
      <c r="L124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D1245</v>
      </c>
      <c r="M124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E1245</v>
      </c>
      <c r="N1249" s="122" t="s">
        <v>73</v>
      </c>
      <c r="O1249" s="126" t="n">
        <v>3500000</v>
      </c>
      <c r="P1249" s="121" t="s">
        <v>18</v>
      </c>
      <c r="Q1249" s="121" t="s">
        <v>124</v>
      </c>
      <c r="R1249" s="127"/>
      <c r="T1249" s="118"/>
    </row>
    <row r="1250" customFormat="false" ht="12.75" hidden="false" customHeight="true" outlineLevel="0" collapsed="false">
      <c r="B1250" s="119" t="n">
        <f aca="false">ROW()-4</f>
        <v>1246</v>
      </c>
      <c r="C1250" s="120" t="n">
        <f aca="false">COUNTIFS($D$5:D1250,D1250)</f>
        <v>287</v>
      </c>
      <c r="D1250" s="121" t="s">
        <v>2006</v>
      </c>
      <c r="E1250" s="122" t="s">
        <v>2562</v>
      </c>
      <c r="F1250" s="123" t="n">
        <v>45341</v>
      </c>
      <c r="G1250" s="121" t="s">
        <v>22</v>
      </c>
      <c r="H125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A1246</v>
      </c>
      <c r="I125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B1246</v>
      </c>
      <c r="J1250" s="122" t="s">
        <v>2563</v>
      </c>
      <c r="K125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C1246</v>
      </c>
      <c r="L125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D1246</v>
      </c>
      <c r="M125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E1246</v>
      </c>
      <c r="N1250" s="122" t="s">
        <v>73</v>
      </c>
      <c r="O1250" s="126" t="n">
        <v>3500000</v>
      </c>
      <c r="P1250" s="121" t="s">
        <v>18</v>
      </c>
      <c r="Q1250" s="121" t="s">
        <v>124</v>
      </c>
      <c r="R1250" s="127"/>
      <c r="T1250" s="118"/>
    </row>
    <row r="1251" customFormat="false" ht="12.75" hidden="false" customHeight="true" outlineLevel="0" collapsed="false">
      <c r="B1251" s="119" t="n">
        <f aca="false">ROW()-4</f>
        <v>1247</v>
      </c>
      <c r="C1251" s="120" t="n">
        <f aca="false">COUNTIFS($D$5:D1251,D1251)</f>
        <v>288</v>
      </c>
      <c r="D1251" s="121" t="s">
        <v>2006</v>
      </c>
      <c r="E1251" s="122" t="s">
        <v>2564</v>
      </c>
      <c r="F1251" s="123" t="n">
        <v>45390</v>
      </c>
      <c r="G1251" s="121" t="s">
        <v>22</v>
      </c>
      <c r="H125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A1247</v>
      </c>
      <c r="I125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B1247</v>
      </c>
      <c r="J1251" s="122" t="s">
        <v>2565</v>
      </c>
      <c r="K125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C1247</v>
      </c>
      <c r="L125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D1247</v>
      </c>
      <c r="M125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E1247</v>
      </c>
      <c r="N1251" s="122" t="s">
        <v>73</v>
      </c>
      <c r="O1251" s="126" t="n">
        <v>3500000</v>
      </c>
      <c r="P1251" s="121" t="s">
        <v>18</v>
      </c>
      <c r="Q1251" s="121" t="s">
        <v>124</v>
      </c>
      <c r="R1251" s="127"/>
      <c r="T1251" s="118"/>
    </row>
    <row r="1252" customFormat="false" ht="12.75" hidden="false" customHeight="true" outlineLevel="0" collapsed="false">
      <c r="B1252" s="119" t="n">
        <f aca="false">ROW()-4</f>
        <v>1248</v>
      </c>
      <c r="C1252" s="120" t="n">
        <f aca="false">COUNTIFS($D$5:D1252,D1252)</f>
        <v>289</v>
      </c>
      <c r="D1252" s="121" t="s">
        <v>2006</v>
      </c>
      <c r="E1252" s="122" t="s">
        <v>2566</v>
      </c>
      <c r="F1252" s="123" t="n">
        <v>45573</v>
      </c>
      <c r="G1252" s="121" t="s">
        <v>26</v>
      </c>
      <c r="H125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A1248</v>
      </c>
      <c r="I125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B1248</v>
      </c>
      <c r="J1252" s="122" t="s">
        <v>2567</v>
      </c>
      <c r="K125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C1248</v>
      </c>
      <c r="L125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D1248</v>
      </c>
      <c r="M125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E1248</v>
      </c>
      <c r="N1252" s="122" t="s">
        <v>73</v>
      </c>
      <c r="O1252" s="126" t="n">
        <v>3500000</v>
      </c>
      <c r="P1252" s="121" t="s">
        <v>18</v>
      </c>
      <c r="Q1252" s="121" t="s">
        <v>124</v>
      </c>
      <c r="R1252" s="127"/>
      <c r="T1252" s="118"/>
    </row>
    <row r="1253" customFormat="false" ht="12.75" hidden="false" customHeight="true" outlineLevel="0" collapsed="false">
      <c r="B1253" s="119" t="n">
        <f aca="false">ROW()-4</f>
        <v>1249</v>
      </c>
      <c r="C1253" s="120" t="n">
        <f aca="false">COUNTIFS($D$5:D1253,D1253)</f>
        <v>290</v>
      </c>
      <c r="D1253" s="121" t="s">
        <v>2006</v>
      </c>
      <c r="E1253" s="122" t="s">
        <v>2568</v>
      </c>
      <c r="F1253" s="123" t="n">
        <v>45595</v>
      </c>
      <c r="G1253" s="121" t="s">
        <v>26</v>
      </c>
      <c r="H125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A1249</v>
      </c>
      <c r="I125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B1249</v>
      </c>
      <c r="J1253" s="122" t="s">
        <v>2569</v>
      </c>
      <c r="K125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C1249</v>
      </c>
      <c r="L125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D1249</v>
      </c>
      <c r="M125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E1249</v>
      </c>
      <c r="N1253" s="122" t="s">
        <v>73</v>
      </c>
      <c r="O1253" s="126" t="n">
        <v>3500000</v>
      </c>
      <c r="P1253" s="121" t="s">
        <v>18</v>
      </c>
      <c r="Q1253" s="121" t="s">
        <v>124</v>
      </c>
      <c r="R1253" s="127"/>
      <c r="T1253" s="118"/>
    </row>
    <row r="1254" customFormat="false" ht="12.75" hidden="false" customHeight="true" outlineLevel="0" collapsed="false">
      <c r="B1254" s="119" t="n">
        <f aca="false">ROW()-4</f>
        <v>1250</v>
      </c>
      <c r="C1254" s="120" t="n">
        <f aca="false">COUNTIFS($D$5:D1254,D1254)</f>
        <v>291</v>
      </c>
      <c r="D1254" s="121" t="s">
        <v>2006</v>
      </c>
      <c r="E1254" s="122" t="s">
        <v>2570</v>
      </c>
      <c r="F1254" s="123" t="n">
        <v>45491</v>
      </c>
      <c r="G1254" s="121" t="s">
        <v>22</v>
      </c>
      <c r="H125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A1250</v>
      </c>
      <c r="I125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B1250</v>
      </c>
      <c r="J1254" s="122" t="s">
        <v>2571</v>
      </c>
      <c r="K125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C1250</v>
      </c>
      <c r="L125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D1250</v>
      </c>
      <c r="M125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E1250</v>
      </c>
      <c r="N1254" s="122" t="s">
        <v>73</v>
      </c>
      <c r="O1254" s="126" t="n">
        <v>3500000</v>
      </c>
      <c r="P1254" s="121" t="s">
        <v>18</v>
      </c>
      <c r="Q1254" s="121" t="s">
        <v>124</v>
      </c>
      <c r="R1254" s="127"/>
      <c r="T1254" s="118"/>
    </row>
    <row r="1255" customFormat="false" ht="12.75" hidden="false" customHeight="true" outlineLevel="0" collapsed="false">
      <c r="B1255" s="119" t="n">
        <f aca="false">ROW()-4</f>
        <v>1251</v>
      </c>
      <c r="C1255" s="120" t="n">
        <f aca="false">COUNTIFS($D$5:D1255,D1255)</f>
        <v>292</v>
      </c>
      <c r="D1255" s="121" t="s">
        <v>2006</v>
      </c>
      <c r="E1255" s="122" t="s">
        <v>2572</v>
      </c>
      <c r="F1255" s="123" t="n">
        <v>45468</v>
      </c>
      <c r="G1255" s="121" t="s">
        <v>22</v>
      </c>
      <c r="H125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A1251</v>
      </c>
      <c r="I125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B1251</v>
      </c>
      <c r="J1255" s="122" t="s">
        <v>2573</v>
      </c>
      <c r="K125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C1251</v>
      </c>
      <c r="L125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D1251</v>
      </c>
      <c r="M125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E1251</v>
      </c>
      <c r="N1255" s="122" t="s">
        <v>73</v>
      </c>
      <c r="O1255" s="126" t="n">
        <v>3500000</v>
      </c>
      <c r="P1255" s="121" t="s">
        <v>18</v>
      </c>
      <c r="Q1255" s="121" t="s">
        <v>124</v>
      </c>
      <c r="R1255" s="127"/>
      <c r="T1255" s="118"/>
    </row>
    <row r="1256" customFormat="false" ht="12.75" hidden="false" customHeight="true" outlineLevel="0" collapsed="false">
      <c r="B1256" s="119" t="n">
        <f aca="false">ROW()-4</f>
        <v>1252</v>
      </c>
      <c r="C1256" s="120" t="n">
        <f aca="false">COUNTIFS($D$5:D1256,D1256)</f>
        <v>293</v>
      </c>
      <c r="D1256" s="121" t="s">
        <v>2006</v>
      </c>
      <c r="E1256" s="122" t="s">
        <v>2574</v>
      </c>
      <c r="F1256" s="123" t="n">
        <v>45471</v>
      </c>
      <c r="G1256" s="121" t="s">
        <v>22</v>
      </c>
      <c r="H125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A1252</v>
      </c>
      <c r="I125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B1252</v>
      </c>
      <c r="J1256" s="122" t="s">
        <v>2575</v>
      </c>
      <c r="K125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C1252</v>
      </c>
      <c r="L125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D1252</v>
      </c>
      <c r="M125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E1252</v>
      </c>
      <c r="N1256" s="122" t="s">
        <v>73</v>
      </c>
      <c r="O1256" s="126" t="n">
        <v>3500000</v>
      </c>
      <c r="P1256" s="121" t="s">
        <v>18</v>
      </c>
      <c r="Q1256" s="121" t="s">
        <v>124</v>
      </c>
      <c r="R1256" s="127"/>
      <c r="T1256" s="118"/>
    </row>
    <row r="1257" customFormat="false" ht="12.75" hidden="false" customHeight="true" outlineLevel="0" collapsed="false">
      <c r="B1257" s="119" t="n">
        <f aca="false">ROW()-4</f>
        <v>1253</v>
      </c>
      <c r="C1257" s="120" t="n">
        <f aca="false">COUNTIFS($D$5:D1257,D1257)</f>
        <v>294</v>
      </c>
      <c r="D1257" s="121" t="s">
        <v>2006</v>
      </c>
      <c r="E1257" s="122" t="s">
        <v>2576</v>
      </c>
      <c r="F1257" s="123" t="n">
        <v>45471</v>
      </c>
      <c r="G1257" s="121" t="s">
        <v>22</v>
      </c>
      <c r="H125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A1253</v>
      </c>
      <c r="I125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B1253</v>
      </c>
      <c r="J1257" s="122" t="s">
        <v>2577</v>
      </c>
      <c r="K125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C1253</v>
      </c>
      <c r="L125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D1253</v>
      </c>
      <c r="M125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E1253</v>
      </c>
      <c r="N1257" s="122" t="s">
        <v>73</v>
      </c>
      <c r="O1257" s="126" t="n">
        <v>3500000</v>
      </c>
      <c r="P1257" s="121" t="s">
        <v>18</v>
      </c>
      <c r="Q1257" s="121" t="s">
        <v>124</v>
      </c>
      <c r="R1257" s="127"/>
      <c r="T1257" s="118"/>
    </row>
    <row r="1258" customFormat="false" ht="12.75" hidden="false" customHeight="true" outlineLevel="0" collapsed="false">
      <c r="B1258" s="119" t="n">
        <f aca="false">ROW()-4</f>
        <v>1254</v>
      </c>
      <c r="C1258" s="120" t="n">
        <f aca="false">COUNTIFS($D$5:D1258,D1258)</f>
        <v>295</v>
      </c>
      <c r="D1258" s="121" t="s">
        <v>2006</v>
      </c>
      <c r="E1258" s="122" t="s">
        <v>2578</v>
      </c>
      <c r="F1258" s="123" t="n">
        <v>45442</v>
      </c>
      <c r="G1258" s="121" t="s">
        <v>22</v>
      </c>
      <c r="H125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A1254</v>
      </c>
      <c r="I125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B1254</v>
      </c>
      <c r="J1258" s="122" t="s">
        <v>2579</v>
      </c>
      <c r="K125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C1254</v>
      </c>
      <c r="L125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D1254</v>
      </c>
      <c r="M125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E1254</v>
      </c>
      <c r="N1258" s="122" t="s">
        <v>73</v>
      </c>
      <c r="O1258" s="126" t="n">
        <v>3500000</v>
      </c>
      <c r="P1258" s="121" t="s">
        <v>18</v>
      </c>
      <c r="Q1258" s="121" t="s">
        <v>124</v>
      </c>
      <c r="R1258" s="127"/>
      <c r="T1258" s="118"/>
    </row>
    <row r="1259" customFormat="false" ht="12.75" hidden="false" customHeight="true" outlineLevel="0" collapsed="false">
      <c r="B1259" s="119" t="n">
        <f aca="false">ROW()-4</f>
        <v>1255</v>
      </c>
      <c r="C1259" s="120" t="n">
        <f aca="false">COUNTIFS($D$5:D1259,D1259)</f>
        <v>296</v>
      </c>
      <c r="D1259" s="121" t="s">
        <v>2006</v>
      </c>
      <c r="E1259" s="122" t="s">
        <v>2580</v>
      </c>
      <c r="F1259" s="123" t="n">
        <v>45658</v>
      </c>
      <c r="G1259" s="121" t="s">
        <v>22</v>
      </c>
      <c r="H125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A1255</v>
      </c>
      <c r="I125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B1255</v>
      </c>
      <c r="J1259" s="122" t="s">
        <v>2581</v>
      </c>
      <c r="K125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C1255</v>
      </c>
      <c r="L125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D1255</v>
      </c>
      <c r="M125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E1255</v>
      </c>
      <c r="N1259" s="122" t="s">
        <v>73</v>
      </c>
      <c r="O1259" s="126" t="n">
        <v>3500000</v>
      </c>
      <c r="P1259" s="121" t="s">
        <v>18</v>
      </c>
      <c r="Q1259" s="121" t="s">
        <v>124</v>
      </c>
      <c r="R1259" s="127"/>
      <c r="T1259" s="118"/>
    </row>
    <row r="1260" customFormat="false" ht="12.75" hidden="false" customHeight="true" outlineLevel="0" collapsed="false">
      <c r="B1260" s="119" t="n">
        <f aca="false">ROW()-4</f>
        <v>1256</v>
      </c>
      <c r="C1260" s="120" t="n">
        <f aca="false">COUNTIFS($D$5:D1260,D1260)</f>
        <v>297</v>
      </c>
      <c r="D1260" s="121" t="s">
        <v>2006</v>
      </c>
      <c r="E1260" s="122" t="s">
        <v>2582</v>
      </c>
      <c r="F1260" s="123" t="n">
        <v>45393</v>
      </c>
      <c r="G1260" s="121" t="s">
        <v>22</v>
      </c>
      <c r="H126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A1256</v>
      </c>
      <c r="I126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B1256</v>
      </c>
      <c r="J1260" s="122" t="s">
        <v>2583</v>
      </c>
      <c r="K126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C1256</v>
      </c>
      <c r="L126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D1256</v>
      </c>
      <c r="M126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E1256</v>
      </c>
      <c r="N1260" s="122" t="s">
        <v>73</v>
      </c>
      <c r="O1260" s="126" t="n">
        <v>3500000</v>
      </c>
      <c r="P1260" s="121" t="s">
        <v>18</v>
      </c>
      <c r="Q1260" s="121" t="s">
        <v>124</v>
      </c>
      <c r="R1260" s="127"/>
      <c r="T1260" s="118"/>
    </row>
    <row r="1261" customFormat="false" ht="12.75" hidden="false" customHeight="true" outlineLevel="0" collapsed="false">
      <c r="B1261" s="119" t="n">
        <f aca="false">ROW()-4</f>
        <v>1257</v>
      </c>
      <c r="C1261" s="120" t="n">
        <f aca="false">COUNTIFS($D$5:D1261,D1261)</f>
        <v>298</v>
      </c>
      <c r="D1261" s="121" t="s">
        <v>2006</v>
      </c>
      <c r="E1261" s="122" t="s">
        <v>2584</v>
      </c>
      <c r="F1261" s="123" t="n">
        <v>45490</v>
      </c>
      <c r="G1261" s="121" t="s">
        <v>28</v>
      </c>
      <c r="H126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A1257</v>
      </c>
      <c r="I126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B1257</v>
      </c>
      <c r="J1261" s="122" t="s">
        <v>2585</v>
      </c>
      <c r="K126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C1257</v>
      </c>
      <c r="L126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D1257</v>
      </c>
      <c r="M126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E1257</v>
      </c>
      <c r="N1261" s="122" t="s">
        <v>73</v>
      </c>
      <c r="O1261" s="126" t="n">
        <v>3500000</v>
      </c>
      <c r="P1261" s="121" t="s">
        <v>18</v>
      </c>
      <c r="Q1261" s="121" t="s">
        <v>124</v>
      </c>
      <c r="R1261" s="127"/>
      <c r="T1261" s="118"/>
    </row>
    <row r="1262" customFormat="false" ht="12.75" hidden="false" customHeight="true" outlineLevel="0" collapsed="false">
      <c r="B1262" s="119" t="n">
        <f aca="false">ROW()-4</f>
        <v>1258</v>
      </c>
      <c r="C1262" s="120" t="n">
        <f aca="false">COUNTIFS($D$5:D1262,D1262)</f>
        <v>299</v>
      </c>
      <c r="D1262" s="121" t="s">
        <v>2006</v>
      </c>
      <c r="E1262" s="122" t="s">
        <v>2586</v>
      </c>
      <c r="F1262" s="123" t="n">
        <v>45776</v>
      </c>
      <c r="G1262" s="121" t="s">
        <v>22</v>
      </c>
      <c r="H126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A1258</v>
      </c>
      <c r="I126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B1258</v>
      </c>
      <c r="J1262" s="122" t="s">
        <v>2587</v>
      </c>
      <c r="K126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C1258</v>
      </c>
      <c r="L126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D1258</v>
      </c>
      <c r="M126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E1258</v>
      </c>
      <c r="N1262" s="122" t="s">
        <v>73</v>
      </c>
      <c r="O1262" s="126" t="n">
        <v>3500000</v>
      </c>
      <c r="P1262" s="121" t="s">
        <v>18</v>
      </c>
      <c r="Q1262" s="121" t="s">
        <v>124</v>
      </c>
      <c r="R1262" s="127"/>
      <c r="T1262" s="118"/>
    </row>
    <row r="1263" customFormat="false" ht="12.75" hidden="false" customHeight="true" outlineLevel="0" collapsed="false">
      <c r="B1263" s="119" t="n">
        <f aca="false">ROW()-4</f>
        <v>1259</v>
      </c>
      <c r="C1263" s="120" t="n">
        <f aca="false">COUNTIFS($D$5:D1263,D1263)</f>
        <v>300</v>
      </c>
      <c r="D1263" s="121" t="s">
        <v>2006</v>
      </c>
      <c r="E1263" s="122" t="s">
        <v>2588</v>
      </c>
      <c r="F1263" s="123" t="n">
        <v>45491</v>
      </c>
      <c r="G1263" s="121" t="s">
        <v>22</v>
      </c>
      <c r="H126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A1259</v>
      </c>
      <c r="I126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B1259</v>
      </c>
      <c r="J1263" s="122" t="s">
        <v>2589</v>
      </c>
      <c r="K126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C1259</v>
      </c>
      <c r="L126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D1259</v>
      </c>
      <c r="M126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E1259</v>
      </c>
      <c r="N1263" s="122" t="s">
        <v>73</v>
      </c>
      <c r="O1263" s="126" t="n">
        <v>3500000</v>
      </c>
      <c r="P1263" s="121" t="s">
        <v>18</v>
      </c>
      <c r="Q1263" s="121" t="s">
        <v>124</v>
      </c>
      <c r="R1263" s="127"/>
      <c r="T1263" s="118"/>
    </row>
    <row r="1264" customFormat="false" ht="12.75" hidden="false" customHeight="true" outlineLevel="0" collapsed="false">
      <c r="B1264" s="119" t="n">
        <f aca="false">ROW()-4</f>
        <v>1260</v>
      </c>
      <c r="C1264" s="120" t="n">
        <f aca="false">COUNTIFS($D$5:D1264,D1264)</f>
        <v>301</v>
      </c>
      <c r="D1264" s="121" t="s">
        <v>2006</v>
      </c>
      <c r="E1264" s="122" t="s">
        <v>2590</v>
      </c>
      <c r="F1264" s="123" t="n">
        <v>45547</v>
      </c>
      <c r="G1264" s="121" t="s">
        <v>22</v>
      </c>
      <c r="H126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A1260</v>
      </c>
      <c r="I126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B1260</v>
      </c>
      <c r="J1264" s="122" t="s">
        <v>2591</v>
      </c>
      <c r="K126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C1260</v>
      </c>
      <c r="L126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D1260</v>
      </c>
      <c r="M126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E1260</v>
      </c>
      <c r="N1264" s="122" t="s">
        <v>73</v>
      </c>
      <c r="O1264" s="126" t="n">
        <v>3500000</v>
      </c>
      <c r="P1264" s="121" t="s">
        <v>18</v>
      </c>
      <c r="Q1264" s="121" t="s">
        <v>124</v>
      </c>
      <c r="R1264" s="127"/>
      <c r="T1264" s="118"/>
    </row>
    <row r="1265" customFormat="false" ht="12.75" hidden="false" customHeight="true" outlineLevel="0" collapsed="false">
      <c r="B1265" s="119" t="n">
        <f aca="false">ROW()-4</f>
        <v>1261</v>
      </c>
      <c r="C1265" s="120" t="n">
        <f aca="false">COUNTIFS($D$5:D1265,D1265)</f>
        <v>302</v>
      </c>
      <c r="D1265" s="121" t="s">
        <v>2006</v>
      </c>
      <c r="E1265" s="122" t="s">
        <v>2592</v>
      </c>
      <c r="F1265" s="123" t="n">
        <v>45547</v>
      </c>
      <c r="G1265" s="121" t="s">
        <v>22</v>
      </c>
      <c r="H126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A1261</v>
      </c>
      <c r="I126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B1261</v>
      </c>
      <c r="J1265" s="122" t="s">
        <v>2593</v>
      </c>
      <c r="K126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C1261</v>
      </c>
      <c r="L126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D1261</v>
      </c>
      <c r="M126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E1261</v>
      </c>
      <c r="N1265" s="122" t="s">
        <v>73</v>
      </c>
      <c r="O1265" s="126" t="n">
        <v>3500000</v>
      </c>
      <c r="P1265" s="121" t="s">
        <v>18</v>
      </c>
      <c r="Q1265" s="121" t="s">
        <v>124</v>
      </c>
      <c r="R1265" s="127"/>
      <c r="T1265" s="118"/>
    </row>
    <row r="1266" customFormat="false" ht="12.75" hidden="false" customHeight="true" outlineLevel="0" collapsed="false">
      <c r="B1266" s="119" t="n">
        <f aca="false">ROW()-4</f>
        <v>1262</v>
      </c>
      <c r="C1266" s="120" t="n">
        <f aca="false">COUNTIFS($D$5:D1266,D1266)</f>
        <v>303</v>
      </c>
      <c r="D1266" s="121" t="s">
        <v>2006</v>
      </c>
      <c r="E1266" s="124" t="s">
        <v>2594</v>
      </c>
      <c r="F1266" s="137" t="n">
        <v>45919</v>
      </c>
      <c r="G1266" s="138" t="s">
        <v>22</v>
      </c>
      <c r="H1266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A1262</v>
      </c>
      <c r="I1266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B1262</v>
      </c>
      <c r="J1266" s="124" t="s">
        <v>2595</v>
      </c>
      <c r="K1266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C1262</v>
      </c>
      <c r="L1266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D1262</v>
      </c>
      <c r="M126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E1262</v>
      </c>
      <c r="N1266" s="122" t="s">
        <v>73</v>
      </c>
      <c r="O1266" s="126" t="n">
        <v>3500000</v>
      </c>
      <c r="P1266" s="121" t="s">
        <v>18</v>
      </c>
      <c r="Q1266" s="121" t="s">
        <v>124</v>
      </c>
      <c r="R1266" s="127"/>
      <c r="T1266" s="118"/>
    </row>
    <row r="1267" customFormat="false" ht="12.75" hidden="false" customHeight="true" outlineLevel="0" collapsed="false">
      <c r="B1267" s="119" t="n">
        <f aca="false">ROW()-4</f>
        <v>1263</v>
      </c>
      <c r="C1267" s="120" t="n">
        <f aca="false">COUNTIFS($D$5:D1267,D1267)</f>
        <v>304</v>
      </c>
      <c r="D1267" s="121" t="s">
        <v>2006</v>
      </c>
      <c r="E1267" s="122" t="s">
        <v>2596</v>
      </c>
      <c r="F1267" s="123" t="n">
        <v>45666</v>
      </c>
      <c r="G1267" s="121" t="s">
        <v>28</v>
      </c>
      <c r="H126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A1263</v>
      </c>
      <c r="I126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B1263</v>
      </c>
      <c r="J1267" s="122" t="s">
        <v>2597</v>
      </c>
      <c r="K126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C1263</v>
      </c>
      <c r="L126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D1263</v>
      </c>
      <c r="M126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E1263</v>
      </c>
      <c r="N1267" s="122" t="s">
        <v>73</v>
      </c>
      <c r="O1267" s="126" t="n">
        <v>3500000</v>
      </c>
      <c r="P1267" s="121" t="s">
        <v>18</v>
      </c>
      <c r="Q1267" s="121" t="s">
        <v>124</v>
      </c>
      <c r="R1267" s="127"/>
      <c r="T1267" s="118"/>
    </row>
    <row r="1268" customFormat="false" ht="12.75" hidden="false" customHeight="true" outlineLevel="0" collapsed="false">
      <c r="B1268" s="119" t="n">
        <f aca="false">ROW()-4</f>
        <v>1264</v>
      </c>
      <c r="C1268" s="120" t="n">
        <f aca="false">COUNTIFS($D$5:D1268,D1268)</f>
        <v>305</v>
      </c>
      <c r="D1268" s="121" t="s">
        <v>2006</v>
      </c>
      <c r="E1268" s="122" t="s">
        <v>2598</v>
      </c>
      <c r="F1268" s="137" t="n">
        <v>45902</v>
      </c>
      <c r="G1268" s="138" t="s">
        <v>22</v>
      </c>
      <c r="H1268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A1264</v>
      </c>
      <c r="I1268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B1264</v>
      </c>
      <c r="J1268" s="124" t="s">
        <v>2599</v>
      </c>
      <c r="K1268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C1264</v>
      </c>
      <c r="L1268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D1264</v>
      </c>
      <c r="M126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E1264</v>
      </c>
      <c r="N1268" s="122" t="s">
        <v>73</v>
      </c>
      <c r="O1268" s="126" t="n">
        <v>3500000</v>
      </c>
      <c r="P1268" s="121" t="s">
        <v>18</v>
      </c>
      <c r="Q1268" s="121" t="s">
        <v>124</v>
      </c>
      <c r="R1268" s="127"/>
      <c r="T1268" s="118"/>
    </row>
    <row r="1269" customFormat="false" ht="12.75" hidden="false" customHeight="true" outlineLevel="0" collapsed="false">
      <c r="B1269" s="119" t="n">
        <f aca="false">ROW()-4</f>
        <v>1265</v>
      </c>
      <c r="C1269" s="120" t="n">
        <f aca="false">COUNTIFS($D$5:D1269,D1269)</f>
        <v>306</v>
      </c>
      <c r="D1269" s="121" t="s">
        <v>2006</v>
      </c>
      <c r="E1269" s="122" t="s">
        <v>2600</v>
      </c>
      <c r="F1269" s="123"/>
      <c r="G1269" s="121" t="s">
        <v>210</v>
      </c>
      <c r="H1269" s="122"/>
      <c r="I1269" s="122"/>
      <c r="J1269" s="122"/>
      <c r="K1269" s="122"/>
      <c r="L1269" s="125"/>
      <c r="M126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E1265</v>
      </c>
      <c r="N1269" s="122" t="s">
        <v>73</v>
      </c>
      <c r="O1269" s="126" t="n">
        <v>3500000</v>
      </c>
      <c r="P1269" s="121" t="s">
        <v>19</v>
      </c>
      <c r="Q1269" s="122"/>
      <c r="R1269" s="128" t="s">
        <v>59</v>
      </c>
      <c r="T1269" s="118"/>
    </row>
    <row r="1270" customFormat="false" ht="12.75" hidden="false" customHeight="true" outlineLevel="0" collapsed="false">
      <c r="B1270" s="119" t="n">
        <f aca="false">ROW()-4</f>
        <v>1266</v>
      </c>
      <c r="C1270" s="120" t="n">
        <f aca="false">COUNTIFS($D$5:D1270,D1270)</f>
        <v>307</v>
      </c>
      <c r="D1270" s="121" t="s">
        <v>2006</v>
      </c>
      <c r="E1270" s="122" t="s">
        <v>2601</v>
      </c>
      <c r="F1270" s="123"/>
      <c r="G1270" s="121" t="s">
        <v>210</v>
      </c>
      <c r="H1270" s="122"/>
      <c r="I1270" s="122"/>
      <c r="J1270" s="122"/>
      <c r="K1270" s="122"/>
      <c r="L1270" s="125"/>
      <c r="M127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E1266</v>
      </c>
      <c r="N1270" s="122" t="s">
        <v>73</v>
      </c>
      <c r="O1270" s="126" t="n">
        <v>3500000</v>
      </c>
      <c r="P1270" s="121" t="s">
        <v>19</v>
      </c>
      <c r="Q1270" s="122"/>
      <c r="R1270" s="128" t="s">
        <v>59</v>
      </c>
      <c r="T1270" s="118"/>
    </row>
    <row r="1271" customFormat="false" ht="12.75" hidden="false" customHeight="true" outlineLevel="0" collapsed="false">
      <c r="B1271" s="119" t="n">
        <f aca="false">ROW()-4</f>
        <v>1267</v>
      </c>
      <c r="C1271" s="120" t="n">
        <f aca="false">COUNTIFS($D$5:D1271,D1271)</f>
        <v>308</v>
      </c>
      <c r="D1271" s="121" t="s">
        <v>2006</v>
      </c>
      <c r="E1271" s="122" t="s">
        <v>2602</v>
      </c>
      <c r="F1271" s="123" t="n">
        <v>45646</v>
      </c>
      <c r="G1271" s="121" t="s">
        <v>28</v>
      </c>
      <c r="H127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A1267</v>
      </c>
      <c r="I127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B1267</v>
      </c>
      <c r="J1271" s="122" t="s">
        <v>2603</v>
      </c>
      <c r="K127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C1267</v>
      </c>
      <c r="L127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D1267</v>
      </c>
      <c r="M127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E1267</v>
      </c>
      <c r="N1271" s="122" t="s">
        <v>73</v>
      </c>
      <c r="O1271" s="126" t="n">
        <v>3500000</v>
      </c>
      <c r="P1271" s="121" t="s">
        <v>18</v>
      </c>
      <c r="Q1271" s="121" t="s">
        <v>124</v>
      </c>
      <c r="R1271" s="127"/>
      <c r="T1271" s="118"/>
    </row>
    <row r="1272" customFormat="false" ht="12.75" hidden="false" customHeight="true" outlineLevel="0" collapsed="false">
      <c r="B1272" s="119" t="n">
        <f aca="false">ROW()-4</f>
        <v>1268</v>
      </c>
      <c r="C1272" s="120" t="n">
        <f aca="false">COUNTIFS($D$5:D1272,D1272)</f>
        <v>309</v>
      </c>
      <c r="D1272" s="121" t="s">
        <v>2006</v>
      </c>
      <c r="E1272" s="122" t="s">
        <v>2604</v>
      </c>
      <c r="F1272" s="123"/>
      <c r="G1272" s="121" t="s">
        <v>210</v>
      </c>
      <c r="H1272" s="122"/>
      <c r="I1272" s="122"/>
      <c r="J1272" s="122"/>
      <c r="K1272" s="122"/>
      <c r="L1272" s="125"/>
      <c r="M127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E1268</v>
      </c>
      <c r="N1272" s="122" t="s">
        <v>73</v>
      </c>
      <c r="O1272" s="126" t="n">
        <v>3500000</v>
      </c>
      <c r="P1272" s="121" t="s">
        <v>19</v>
      </c>
      <c r="Q1272" s="122"/>
      <c r="R1272" s="128" t="s">
        <v>59</v>
      </c>
      <c r="T1272" s="118"/>
    </row>
    <row r="1273" customFormat="false" ht="12.75" hidden="false" customHeight="true" outlineLevel="0" collapsed="false">
      <c r="B1273" s="119" t="n">
        <f aca="false">ROW()-4</f>
        <v>1269</v>
      </c>
      <c r="C1273" s="120" t="n">
        <f aca="false">COUNTIFS($D$5:D1273,D1273)</f>
        <v>310</v>
      </c>
      <c r="D1273" s="121" t="s">
        <v>2006</v>
      </c>
      <c r="E1273" s="122" t="s">
        <v>2605</v>
      </c>
      <c r="F1273" s="123" t="n">
        <v>45666</v>
      </c>
      <c r="G1273" s="121" t="s">
        <v>28</v>
      </c>
      <c r="H127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A1269</v>
      </c>
      <c r="I127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B1269</v>
      </c>
      <c r="J1273" s="122" t="s">
        <v>2606</v>
      </c>
      <c r="K127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C1269</v>
      </c>
      <c r="L127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D1269</v>
      </c>
      <c r="M127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E1269</v>
      </c>
      <c r="N1273" s="122" t="s">
        <v>73</v>
      </c>
      <c r="O1273" s="126" t="n">
        <v>3500000</v>
      </c>
      <c r="P1273" s="121" t="s">
        <v>18</v>
      </c>
      <c r="Q1273" s="121" t="s">
        <v>124</v>
      </c>
      <c r="R1273" s="127"/>
      <c r="T1273" s="118"/>
    </row>
    <row r="1274" customFormat="false" ht="12.75" hidden="false" customHeight="true" outlineLevel="0" collapsed="false">
      <c r="B1274" s="119" t="n">
        <f aca="false">ROW()-4</f>
        <v>1270</v>
      </c>
      <c r="C1274" s="120" t="n">
        <f aca="false">COUNTIFS($D$5:D1274,D1274)</f>
        <v>311</v>
      </c>
      <c r="D1274" s="121" t="s">
        <v>2006</v>
      </c>
      <c r="E1274" s="122" t="s">
        <v>2607</v>
      </c>
      <c r="F1274" s="123"/>
      <c r="G1274" s="121" t="s">
        <v>210</v>
      </c>
      <c r="H1274" s="122"/>
      <c r="I1274" s="122"/>
      <c r="J1274" s="122"/>
      <c r="K1274" s="122"/>
      <c r="L1274" s="125"/>
      <c r="M127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E1270</v>
      </c>
      <c r="N1274" s="122" t="s">
        <v>73</v>
      </c>
      <c r="O1274" s="126" t="n">
        <v>3500000</v>
      </c>
      <c r="P1274" s="121" t="s">
        <v>19</v>
      </c>
      <c r="Q1274" s="122"/>
      <c r="R1274" s="128" t="s">
        <v>59</v>
      </c>
      <c r="T1274" s="118"/>
    </row>
    <row r="1275" customFormat="false" ht="12.75" hidden="false" customHeight="true" outlineLevel="0" collapsed="false">
      <c r="B1275" s="119" t="n">
        <f aca="false">ROW()-4</f>
        <v>1271</v>
      </c>
      <c r="C1275" s="120" t="n">
        <f aca="false">COUNTIFS($D$5:D1275,D1275)</f>
        <v>312</v>
      </c>
      <c r="D1275" s="121" t="s">
        <v>2006</v>
      </c>
      <c r="E1275" s="122" t="s">
        <v>2608</v>
      </c>
      <c r="F1275" s="123" t="n">
        <v>45644</v>
      </c>
      <c r="G1275" s="121" t="s">
        <v>22</v>
      </c>
      <c r="H127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A1271</v>
      </c>
      <c r="I127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B1271</v>
      </c>
      <c r="J1275" s="122" t="s">
        <v>2609</v>
      </c>
      <c r="K127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C1271</v>
      </c>
      <c r="L127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D1271</v>
      </c>
      <c r="M127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E1271</v>
      </c>
      <c r="N1275" s="122" t="s">
        <v>73</v>
      </c>
      <c r="O1275" s="126" t="n">
        <v>3500000</v>
      </c>
      <c r="P1275" s="121" t="s">
        <v>18</v>
      </c>
      <c r="Q1275" s="121" t="s">
        <v>124</v>
      </c>
      <c r="R1275" s="127"/>
      <c r="T1275" s="118"/>
    </row>
    <row r="1276" customFormat="false" ht="12.75" hidden="false" customHeight="true" outlineLevel="0" collapsed="false">
      <c r="B1276" s="119" t="n">
        <f aca="false">ROW()-4</f>
        <v>1272</v>
      </c>
      <c r="C1276" s="120" t="n">
        <f aca="false">COUNTIFS($D$5:D1276,D1276)</f>
        <v>313</v>
      </c>
      <c r="D1276" s="121" t="s">
        <v>2006</v>
      </c>
      <c r="E1276" s="122" t="s">
        <v>2610</v>
      </c>
      <c r="F1276" s="123" t="n">
        <v>45868</v>
      </c>
      <c r="G1276" s="121" t="s">
        <v>22</v>
      </c>
      <c r="H127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A1272</v>
      </c>
      <c r="I127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B1272</v>
      </c>
      <c r="J1276" s="122" t="s">
        <v>2611</v>
      </c>
      <c r="K127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C1272</v>
      </c>
      <c r="L127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D1272</v>
      </c>
      <c r="M127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E1272</v>
      </c>
      <c r="N1276" s="122" t="s">
        <v>73</v>
      </c>
      <c r="O1276" s="126" t="n">
        <v>3500000</v>
      </c>
      <c r="P1276" s="121" t="s">
        <v>18</v>
      </c>
      <c r="Q1276" s="121" t="s">
        <v>124</v>
      </c>
      <c r="R1276" s="127"/>
      <c r="T1276" s="118"/>
    </row>
    <row r="1277" customFormat="false" ht="12.75" hidden="false" customHeight="true" outlineLevel="0" collapsed="false">
      <c r="B1277" s="119" t="n">
        <f aca="false">ROW()-4</f>
        <v>1273</v>
      </c>
      <c r="C1277" s="120" t="n">
        <f aca="false">COUNTIFS($D$5:D1277,D1277)</f>
        <v>314</v>
      </c>
      <c r="D1277" s="121" t="s">
        <v>2006</v>
      </c>
      <c r="E1277" s="122" t="s">
        <v>2612</v>
      </c>
      <c r="F1277" s="123" t="n">
        <v>45491</v>
      </c>
      <c r="G1277" s="121" t="s">
        <v>22</v>
      </c>
      <c r="H127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A1273</v>
      </c>
      <c r="I127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B1273</v>
      </c>
      <c r="J1277" s="122" t="s">
        <v>2613</v>
      </c>
      <c r="K127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C1273</v>
      </c>
      <c r="L127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D1273</v>
      </c>
      <c r="M127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E1273</v>
      </c>
      <c r="N1277" s="122" t="s">
        <v>73</v>
      </c>
      <c r="O1277" s="126" t="n">
        <v>3500000</v>
      </c>
      <c r="P1277" s="121" t="s">
        <v>18</v>
      </c>
      <c r="Q1277" s="121" t="s">
        <v>124</v>
      </c>
      <c r="R1277" s="127"/>
      <c r="T1277" s="118"/>
    </row>
    <row r="1278" customFormat="false" ht="12.75" hidden="false" customHeight="true" outlineLevel="0" collapsed="false">
      <c r="B1278" s="119" t="n">
        <f aca="false">ROW()-4</f>
        <v>1274</v>
      </c>
      <c r="C1278" s="120" t="n">
        <f aca="false">COUNTIFS($D$5:D1278,D1278)</f>
        <v>315</v>
      </c>
      <c r="D1278" s="121" t="s">
        <v>2006</v>
      </c>
      <c r="E1278" s="122" t="s">
        <v>2614</v>
      </c>
      <c r="F1278" s="123" t="n">
        <v>45630</v>
      </c>
      <c r="G1278" s="121" t="s">
        <v>22</v>
      </c>
      <c r="H127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A1274</v>
      </c>
      <c r="I127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B1274</v>
      </c>
      <c r="J1278" s="122" t="s">
        <v>2615</v>
      </c>
      <c r="K127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C1274</v>
      </c>
      <c r="L127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D1274</v>
      </c>
      <c r="M127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E1274</v>
      </c>
      <c r="N1278" s="122" t="s">
        <v>73</v>
      </c>
      <c r="O1278" s="126" t="n">
        <v>3500000</v>
      </c>
      <c r="P1278" s="121" t="s">
        <v>18</v>
      </c>
      <c r="Q1278" s="121" t="s">
        <v>124</v>
      </c>
      <c r="R1278" s="127"/>
      <c r="T1278" s="118"/>
    </row>
    <row r="1279" customFormat="false" ht="12.75" hidden="false" customHeight="true" outlineLevel="0" collapsed="false">
      <c r="B1279" s="119" t="n">
        <f aca="false">ROW()-4</f>
        <v>1275</v>
      </c>
      <c r="C1279" s="120" t="n">
        <f aca="false">COUNTIFS($D$5:D1279,D1279)</f>
        <v>316</v>
      </c>
      <c r="D1279" s="121" t="s">
        <v>2006</v>
      </c>
      <c r="E1279" s="122" t="s">
        <v>2616</v>
      </c>
      <c r="F1279" s="123" t="n">
        <v>45702</v>
      </c>
      <c r="G1279" s="121" t="s">
        <v>22</v>
      </c>
      <c r="H127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A1275</v>
      </c>
      <c r="I127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B1275</v>
      </c>
      <c r="J1279" s="122" t="s">
        <v>2617</v>
      </c>
      <c r="K127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C1275</v>
      </c>
      <c r="L127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D1275</v>
      </c>
      <c r="M127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E1275</v>
      </c>
      <c r="N1279" s="122" t="s">
        <v>73</v>
      </c>
      <c r="O1279" s="126" t="n">
        <v>3500000</v>
      </c>
      <c r="P1279" s="121" t="s">
        <v>18</v>
      </c>
      <c r="Q1279" s="121" t="s">
        <v>124</v>
      </c>
      <c r="R1279" s="127"/>
      <c r="T1279" s="118"/>
    </row>
    <row r="1280" customFormat="false" ht="12.75" hidden="false" customHeight="true" outlineLevel="0" collapsed="false">
      <c r="B1280" s="119" t="n">
        <f aca="false">ROW()-4</f>
        <v>1276</v>
      </c>
      <c r="C1280" s="120" t="n">
        <f aca="false">COUNTIFS($D$5:D1280,D1280)</f>
        <v>317</v>
      </c>
      <c r="D1280" s="121" t="s">
        <v>2006</v>
      </c>
      <c r="E1280" s="122" t="s">
        <v>2618</v>
      </c>
      <c r="F1280" s="123" t="n">
        <v>45734</v>
      </c>
      <c r="G1280" s="121" t="s">
        <v>22</v>
      </c>
      <c r="H128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A1276</v>
      </c>
      <c r="I128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B1276</v>
      </c>
      <c r="J1280" s="122" t="s">
        <v>2619</v>
      </c>
      <c r="K128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C1276</v>
      </c>
      <c r="L128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D1276</v>
      </c>
      <c r="M128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E1276</v>
      </c>
      <c r="N1280" s="122" t="s">
        <v>73</v>
      </c>
      <c r="O1280" s="126" t="n">
        <v>3500000</v>
      </c>
      <c r="P1280" s="121" t="s">
        <v>18</v>
      </c>
      <c r="Q1280" s="121" t="s">
        <v>124</v>
      </c>
      <c r="R1280" s="127"/>
      <c r="T1280" s="118"/>
    </row>
    <row r="1281" customFormat="false" ht="12.75" hidden="false" customHeight="true" outlineLevel="0" collapsed="false">
      <c r="B1281" s="119" t="n">
        <f aca="false">ROW()-4</f>
        <v>1277</v>
      </c>
      <c r="C1281" s="120" t="n">
        <f aca="false">COUNTIFS($D$5:D1281,D1281)</f>
        <v>318</v>
      </c>
      <c r="D1281" s="121" t="s">
        <v>2006</v>
      </c>
      <c r="E1281" s="122" t="s">
        <v>2620</v>
      </c>
      <c r="F1281" s="123" t="n">
        <v>45656</v>
      </c>
      <c r="G1281" s="121" t="s">
        <v>22</v>
      </c>
      <c r="H128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A1277</v>
      </c>
      <c r="I128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B1277</v>
      </c>
      <c r="J1281" s="122" t="s">
        <v>2621</v>
      </c>
      <c r="K128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C1277</v>
      </c>
      <c r="L128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D1277</v>
      </c>
      <c r="M128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E1277</v>
      </c>
      <c r="N1281" s="122" t="s">
        <v>73</v>
      </c>
      <c r="O1281" s="126" t="n">
        <v>3500000</v>
      </c>
      <c r="P1281" s="121" t="s">
        <v>18</v>
      </c>
      <c r="Q1281" s="121" t="s">
        <v>124</v>
      </c>
      <c r="R1281" s="127"/>
      <c r="T1281" s="118"/>
    </row>
    <row r="1282" customFormat="false" ht="12.75" hidden="false" customHeight="true" outlineLevel="0" collapsed="false">
      <c r="B1282" s="119" t="n">
        <f aca="false">ROW()-4</f>
        <v>1278</v>
      </c>
      <c r="C1282" s="120" t="n">
        <f aca="false">COUNTIFS($D$5:D1282,D1282)</f>
        <v>319</v>
      </c>
      <c r="D1282" s="121" t="s">
        <v>2006</v>
      </c>
      <c r="E1282" s="122" t="s">
        <v>2622</v>
      </c>
      <c r="F1282" s="123"/>
      <c r="G1282" s="121" t="s">
        <v>22</v>
      </c>
      <c r="H1282" s="122"/>
      <c r="I1282" s="122"/>
      <c r="J1282" s="122"/>
      <c r="K1282" s="122"/>
      <c r="L1282" s="125"/>
      <c r="M128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E1278</v>
      </c>
      <c r="N1282" s="122" t="s">
        <v>73</v>
      </c>
      <c r="O1282" s="126" t="n">
        <v>3500000</v>
      </c>
      <c r="P1282" s="121" t="s">
        <v>19</v>
      </c>
      <c r="Q1282" s="122"/>
      <c r="R1282" s="128" t="s">
        <v>61</v>
      </c>
      <c r="T1282" s="118"/>
    </row>
    <row r="1283" customFormat="false" ht="12.75" hidden="false" customHeight="true" outlineLevel="0" collapsed="false">
      <c r="B1283" s="119" t="n">
        <f aca="false">ROW()-4</f>
        <v>1279</v>
      </c>
      <c r="C1283" s="120" t="n">
        <f aca="false">COUNTIFS($D$5:D1283,D1283)</f>
        <v>320</v>
      </c>
      <c r="D1283" s="121" t="s">
        <v>2006</v>
      </c>
      <c r="E1283" s="122" t="s">
        <v>2623</v>
      </c>
      <c r="F1283" s="123" t="n">
        <v>45601</v>
      </c>
      <c r="G1283" s="121" t="s">
        <v>22</v>
      </c>
      <c r="H128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A1279</v>
      </c>
      <c r="I128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B1279</v>
      </c>
      <c r="J1283" s="122" t="s">
        <v>2624</v>
      </c>
      <c r="K128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C1279</v>
      </c>
      <c r="L128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D1279</v>
      </c>
      <c r="M128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E1279</v>
      </c>
      <c r="N1283" s="122" t="s">
        <v>73</v>
      </c>
      <c r="O1283" s="126" t="n">
        <v>3500000</v>
      </c>
      <c r="P1283" s="121" t="s">
        <v>18</v>
      </c>
      <c r="Q1283" s="121" t="s">
        <v>124</v>
      </c>
      <c r="R1283" s="127"/>
      <c r="T1283" s="118"/>
    </row>
    <row r="1284" customFormat="false" ht="12.75" hidden="false" customHeight="true" outlineLevel="0" collapsed="false">
      <c r="B1284" s="119" t="n">
        <f aca="false">ROW()-4</f>
        <v>1280</v>
      </c>
      <c r="C1284" s="120" t="n">
        <f aca="false">COUNTIFS($D$5:D1284,D1284)</f>
        <v>321</v>
      </c>
      <c r="D1284" s="121" t="s">
        <v>2006</v>
      </c>
      <c r="E1284" s="122" t="s">
        <v>2625</v>
      </c>
      <c r="F1284" s="123" t="n">
        <v>45604</v>
      </c>
      <c r="G1284" s="121" t="s">
        <v>22</v>
      </c>
      <c r="H128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A1280</v>
      </c>
      <c r="I128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B1280</v>
      </c>
      <c r="J1284" s="122" t="s">
        <v>2626</v>
      </c>
      <c r="K128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C1280</v>
      </c>
      <c r="L128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D1280</v>
      </c>
      <c r="M128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E1280</v>
      </c>
      <c r="N1284" s="122" t="s">
        <v>73</v>
      </c>
      <c r="O1284" s="126" t="n">
        <v>3500000</v>
      </c>
      <c r="P1284" s="121" t="s">
        <v>18</v>
      </c>
      <c r="Q1284" s="121" t="s">
        <v>124</v>
      </c>
      <c r="R1284" s="127"/>
      <c r="T1284" s="118"/>
    </row>
    <row r="1285" customFormat="false" ht="12.75" hidden="false" customHeight="true" outlineLevel="0" collapsed="false">
      <c r="B1285" s="119" t="n">
        <f aca="false">ROW()-4</f>
        <v>1281</v>
      </c>
      <c r="C1285" s="120" t="n">
        <f aca="false">COUNTIFS($D$5:D1285,D1285)</f>
        <v>322</v>
      </c>
      <c r="D1285" s="121" t="s">
        <v>2006</v>
      </c>
      <c r="E1285" s="122" t="s">
        <v>2627</v>
      </c>
      <c r="F1285" s="123" t="n">
        <v>45643</v>
      </c>
      <c r="G1285" s="121" t="s">
        <v>22</v>
      </c>
      <c r="H128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A1281</v>
      </c>
      <c r="I128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B1281</v>
      </c>
      <c r="J1285" s="122" t="s">
        <v>2628</v>
      </c>
      <c r="K128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C1281</v>
      </c>
      <c r="L128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D1281</v>
      </c>
      <c r="M128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E1281</v>
      </c>
      <c r="N1285" s="122" t="s">
        <v>73</v>
      </c>
      <c r="O1285" s="126" t="n">
        <v>3500000</v>
      </c>
      <c r="P1285" s="121" t="s">
        <v>18</v>
      </c>
      <c r="Q1285" s="121" t="s">
        <v>124</v>
      </c>
      <c r="R1285" s="127"/>
      <c r="T1285" s="118"/>
    </row>
    <row r="1286" customFormat="false" ht="12.75" hidden="false" customHeight="true" outlineLevel="0" collapsed="false">
      <c r="B1286" s="119" t="n">
        <f aca="false">ROW()-4</f>
        <v>1282</v>
      </c>
      <c r="C1286" s="120" t="n">
        <f aca="false">COUNTIFS($D$5:D1286,D1286)</f>
        <v>323</v>
      </c>
      <c r="D1286" s="121" t="s">
        <v>2006</v>
      </c>
      <c r="E1286" s="122" t="s">
        <v>2629</v>
      </c>
      <c r="F1286" s="123" t="n">
        <v>45646</v>
      </c>
      <c r="G1286" s="121" t="s">
        <v>22</v>
      </c>
      <c r="H128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A1282</v>
      </c>
      <c r="I128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B1282</v>
      </c>
      <c r="J1286" s="122" t="s">
        <v>2630</v>
      </c>
      <c r="K128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C1282</v>
      </c>
      <c r="L128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D1282</v>
      </c>
      <c r="M128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E1282</v>
      </c>
      <c r="N1286" s="122" t="s">
        <v>73</v>
      </c>
      <c r="O1286" s="126" t="n">
        <v>3500000</v>
      </c>
      <c r="P1286" s="121" t="s">
        <v>18</v>
      </c>
      <c r="Q1286" s="121" t="s">
        <v>124</v>
      </c>
      <c r="R1286" s="127"/>
      <c r="T1286" s="118"/>
    </row>
    <row r="1287" customFormat="false" ht="12.75" hidden="false" customHeight="true" outlineLevel="0" collapsed="false">
      <c r="B1287" s="119" t="n">
        <f aca="false">ROW()-4</f>
        <v>1283</v>
      </c>
      <c r="C1287" s="120" t="n">
        <f aca="false">COUNTIFS($D$5:D1287,D1287)</f>
        <v>324</v>
      </c>
      <c r="D1287" s="121" t="s">
        <v>2006</v>
      </c>
      <c r="E1287" s="122" t="s">
        <v>2631</v>
      </c>
      <c r="F1287" s="123" t="n">
        <v>45659</v>
      </c>
      <c r="G1287" s="121" t="s">
        <v>26</v>
      </c>
      <c r="H128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A1283</v>
      </c>
      <c r="I128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B1283</v>
      </c>
      <c r="J1287" s="122" t="s">
        <v>2632</v>
      </c>
      <c r="K128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C1283</v>
      </c>
      <c r="L128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D1283</v>
      </c>
      <c r="M128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E1283</v>
      </c>
      <c r="N1287" s="122" t="s">
        <v>73</v>
      </c>
      <c r="O1287" s="126" t="n">
        <v>3500000</v>
      </c>
      <c r="P1287" s="121" t="s">
        <v>18</v>
      </c>
      <c r="Q1287" s="121" t="s">
        <v>124</v>
      </c>
      <c r="R1287" s="127"/>
      <c r="T1287" s="118"/>
    </row>
    <row r="1288" customFormat="false" ht="12.75" hidden="false" customHeight="true" outlineLevel="0" collapsed="false">
      <c r="B1288" s="119" t="n">
        <f aca="false">ROW()-4</f>
        <v>1284</v>
      </c>
      <c r="C1288" s="120" t="n">
        <f aca="false">COUNTIFS($D$5:D1288,D1288)</f>
        <v>325</v>
      </c>
      <c r="D1288" s="121" t="s">
        <v>2006</v>
      </c>
      <c r="E1288" s="122" t="s">
        <v>2633</v>
      </c>
      <c r="F1288" s="123" t="n">
        <v>45659</v>
      </c>
      <c r="G1288" s="121" t="s">
        <v>26</v>
      </c>
      <c r="H128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A1284</v>
      </c>
      <c r="I128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B1284</v>
      </c>
      <c r="J1288" s="122" t="s">
        <v>2634</v>
      </c>
      <c r="K128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C1284</v>
      </c>
      <c r="L128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D1284</v>
      </c>
      <c r="M128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E1284</v>
      </c>
      <c r="N1288" s="122" t="s">
        <v>73</v>
      </c>
      <c r="O1288" s="126" t="n">
        <v>3500000</v>
      </c>
      <c r="P1288" s="121" t="s">
        <v>18</v>
      </c>
      <c r="Q1288" s="121" t="s">
        <v>124</v>
      </c>
      <c r="R1288" s="127"/>
      <c r="T1288" s="118"/>
    </row>
    <row r="1289" customFormat="false" ht="12.75" hidden="false" customHeight="true" outlineLevel="0" collapsed="false">
      <c r="B1289" s="119" t="n">
        <f aca="false">ROW()-4</f>
        <v>1285</v>
      </c>
      <c r="C1289" s="120" t="n">
        <f aca="false">COUNTIFS($D$5:D1289,D1289)</f>
        <v>326</v>
      </c>
      <c r="D1289" s="121" t="s">
        <v>2006</v>
      </c>
      <c r="E1289" s="122" t="s">
        <v>2635</v>
      </c>
      <c r="F1289" s="123" t="n">
        <v>45461</v>
      </c>
      <c r="G1289" s="121" t="s">
        <v>22</v>
      </c>
      <c r="H128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A1285</v>
      </c>
      <c r="I128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B1285</v>
      </c>
      <c r="J1289" s="122" t="s">
        <v>2636</v>
      </c>
      <c r="K128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C1285</v>
      </c>
      <c r="L128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D1285</v>
      </c>
      <c r="M128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E1285</v>
      </c>
      <c r="N1289" s="122" t="s">
        <v>73</v>
      </c>
      <c r="O1289" s="126" t="n">
        <v>3500000</v>
      </c>
      <c r="P1289" s="121" t="s">
        <v>18</v>
      </c>
      <c r="Q1289" s="121" t="s">
        <v>124</v>
      </c>
      <c r="R1289" s="127"/>
      <c r="T1289" s="118"/>
    </row>
    <row r="1290" customFormat="false" ht="12.75" hidden="false" customHeight="true" outlineLevel="0" collapsed="false">
      <c r="B1290" s="119" t="n">
        <f aca="false">ROW()-4</f>
        <v>1286</v>
      </c>
      <c r="C1290" s="120" t="n">
        <f aca="false">COUNTIFS($D$5:D1290,D1290)</f>
        <v>327</v>
      </c>
      <c r="D1290" s="121" t="s">
        <v>2006</v>
      </c>
      <c r="E1290" s="122" t="s">
        <v>2637</v>
      </c>
      <c r="F1290" s="123" t="n">
        <v>45034</v>
      </c>
      <c r="G1290" s="121" t="s">
        <v>22</v>
      </c>
      <c r="H129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A1286</v>
      </c>
      <c r="I129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B1286</v>
      </c>
      <c r="J1290" s="122" t="s">
        <v>2638</v>
      </c>
      <c r="K129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C1286</v>
      </c>
      <c r="L129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D1286</v>
      </c>
      <c r="M129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E1286</v>
      </c>
      <c r="N1290" s="122" t="s">
        <v>73</v>
      </c>
      <c r="O1290" s="126" t="n">
        <v>3500000</v>
      </c>
      <c r="P1290" s="121" t="s">
        <v>18</v>
      </c>
      <c r="Q1290" s="121" t="s">
        <v>124</v>
      </c>
      <c r="R1290" s="127"/>
      <c r="T1290" s="118"/>
    </row>
    <row r="1291" customFormat="false" ht="12.75" hidden="false" customHeight="true" outlineLevel="0" collapsed="false">
      <c r="B1291" s="119" t="n">
        <f aca="false">ROW()-4</f>
        <v>1287</v>
      </c>
      <c r="C1291" s="120" t="n">
        <f aca="false">COUNTIFS($D$5:D1291,D1291)</f>
        <v>328</v>
      </c>
      <c r="D1291" s="121" t="s">
        <v>2006</v>
      </c>
      <c r="E1291" s="122" t="s">
        <v>2639</v>
      </c>
      <c r="F1291" s="123" t="n">
        <v>45035</v>
      </c>
      <c r="G1291" s="121" t="s">
        <v>22</v>
      </c>
      <c r="H129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A1287</v>
      </c>
      <c r="I129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B1287</v>
      </c>
      <c r="J1291" s="122" t="s">
        <v>2640</v>
      </c>
      <c r="K129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C1287</v>
      </c>
      <c r="L129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D1287</v>
      </c>
      <c r="M129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E1287</v>
      </c>
      <c r="N1291" s="122" t="s">
        <v>73</v>
      </c>
      <c r="O1291" s="126" t="n">
        <v>3500000</v>
      </c>
      <c r="P1291" s="121" t="s">
        <v>18</v>
      </c>
      <c r="Q1291" s="121" t="s">
        <v>124</v>
      </c>
      <c r="R1291" s="127"/>
      <c r="T1291" s="118"/>
    </row>
    <row r="1292" customFormat="false" ht="12.75" hidden="false" customHeight="true" outlineLevel="0" collapsed="false">
      <c r="B1292" s="119" t="n">
        <f aca="false">ROW()-4</f>
        <v>1288</v>
      </c>
      <c r="C1292" s="120" t="n">
        <f aca="false">COUNTIFS($D$5:D1292,D1292)</f>
        <v>329</v>
      </c>
      <c r="D1292" s="121" t="s">
        <v>2006</v>
      </c>
      <c r="E1292" s="122" t="s">
        <v>2641</v>
      </c>
      <c r="F1292" s="123" t="n">
        <v>45041</v>
      </c>
      <c r="G1292" s="121" t="s">
        <v>22</v>
      </c>
      <c r="H129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A1288</v>
      </c>
      <c r="I129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B1288</v>
      </c>
      <c r="J1292" s="122" t="s">
        <v>2642</v>
      </c>
      <c r="K129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C1288</v>
      </c>
      <c r="L129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D1288</v>
      </c>
      <c r="M129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E1288</v>
      </c>
      <c r="N1292" s="122" t="s">
        <v>73</v>
      </c>
      <c r="O1292" s="126" t="n">
        <v>3500000</v>
      </c>
      <c r="P1292" s="121" t="s">
        <v>18</v>
      </c>
      <c r="Q1292" s="121" t="s">
        <v>124</v>
      </c>
      <c r="R1292" s="127"/>
      <c r="T1292" s="118"/>
    </row>
    <row r="1293" customFormat="false" ht="12.75" hidden="false" customHeight="true" outlineLevel="0" collapsed="false">
      <c r="B1293" s="119" t="n">
        <f aca="false">ROW()-4</f>
        <v>1289</v>
      </c>
      <c r="C1293" s="120" t="n">
        <f aca="false">COUNTIFS($D$5:D1293,D1293)</f>
        <v>330</v>
      </c>
      <c r="D1293" s="121" t="s">
        <v>2006</v>
      </c>
      <c r="E1293" s="122" t="s">
        <v>2643</v>
      </c>
      <c r="F1293" s="123" t="n">
        <v>45369</v>
      </c>
      <c r="G1293" s="121" t="s">
        <v>22</v>
      </c>
      <c r="H129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A1289</v>
      </c>
      <c r="I129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B1289</v>
      </c>
      <c r="J1293" s="122" t="s">
        <v>2644</v>
      </c>
      <c r="K129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C1289</v>
      </c>
      <c r="L129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D1289</v>
      </c>
      <c r="M129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E1289</v>
      </c>
      <c r="N1293" s="122" t="s">
        <v>73</v>
      </c>
      <c r="O1293" s="126" t="n">
        <v>3500000</v>
      </c>
      <c r="P1293" s="121" t="s">
        <v>18</v>
      </c>
      <c r="Q1293" s="121" t="s">
        <v>124</v>
      </c>
      <c r="R1293" s="127"/>
      <c r="T1293" s="118"/>
    </row>
    <row r="1294" customFormat="false" ht="12.75" hidden="false" customHeight="true" outlineLevel="0" collapsed="false">
      <c r="B1294" s="119" t="n">
        <f aca="false">ROW()-4</f>
        <v>1290</v>
      </c>
      <c r="C1294" s="120" t="n">
        <f aca="false">COUNTIFS($D$5:D1294,D1294)</f>
        <v>331</v>
      </c>
      <c r="D1294" s="121" t="s">
        <v>2006</v>
      </c>
      <c r="E1294" s="122" t="s">
        <v>2645</v>
      </c>
      <c r="F1294" s="123" t="n">
        <v>45369</v>
      </c>
      <c r="G1294" s="121" t="s">
        <v>22</v>
      </c>
      <c r="H129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A1290</v>
      </c>
      <c r="I129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B1290</v>
      </c>
      <c r="J1294" s="122" t="s">
        <v>2646</v>
      </c>
      <c r="K129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C1290</v>
      </c>
      <c r="L129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D1290</v>
      </c>
      <c r="M129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E1290</v>
      </c>
      <c r="N1294" s="122" t="s">
        <v>73</v>
      </c>
      <c r="O1294" s="126" t="n">
        <v>3500000</v>
      </c>
      <c r="P1294" s="121" t="s">
        <v>18</v>
      </c>
      <c r="Q1294" s="121" t="s">
        <v>124</v>
      </c>
      <c r="R1294" s="127"/>
      <c r="T1294" s="118"/>
    </row>
    <row r="1295" customFormat="false" ht="12.75" hidden="false" customHeight="true" outlineLevel="0" collapsed="false">
      <c r="B1295" s="119" t="n">
        <f aca="false">ROW()-4</f>
        <v>1291</v>
      </c>
      <c r="C1295" s="120" t="n">
        <f aca="false">COUNTIFS($D$5:D1295,D1295)</f>
        <v>332</v>
      </c>
      <c r="D1295" s="121" t="s">
        <v>2006</v>
      </c>
      <c r="E1295" s="122" t="s">
        <v>2647</v>
      </c>
      <c r="F1295" s="123" t="n">
        <v>45041</v>
      </c>
      <c r="G1295" s="121" t="s">
        <v>22</v>
      </c>
      <c r="H129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A1291</v>
      </c>
      <c r="I129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B1291</v>
      </c>
      <c r="J1295" s="122" t="s">
        <v>2648</v>
      </c>
      <c r="K129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C1291</v>
      </c>
      <c r="L129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D1291</v>
      </c>
      <c r="M129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E1291</v>
      </c>
      <c r="N1295" s="122" t="s">
        <v>73</v>
      </c>
      <c r="O1295" s="126" t="n">
        <v>3500000</v>
      </c>
      <c r="P1295" s="121" t="s">
        <v>18</v>
      </c>
      <c r="Q1295" s="121" t="s">
        <v>124</v>
      </c>
      <c r="R1295" s="127"/>
      <c r="T1295" s="118"/>
    </row>
    <row r="1296" customFormat="false" ht="12.75" hidden="false" customHeight="true" outlineLevel="0" collapsed="false">
      <c r="B1296" s="119" t="n">
        <f aca="false">ROW()-4</f>
        <v>1292</v>
      </c>
      <c r="C1296" s="120" t="n">
        <f aca="false">COUNTIFS($D$5:D1296,D1296)</f>
        <v>333</v>
      </c>
      <c r="D1296" s="121" t="s">
        <v>2006</v>
      </c>
      <c r="E1296" s="122" t="s">
        <v>2649</v>
      </c>
      <c r="F1296" s="123" t="n">
        <v>45028</v>
      </c>
      <c r="G1296" s="121" t="s">
        <v>22</v>
      </c>
      <c r="H129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A1292</v>
      </c>
      <c r="I129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B1292</v>
      </c>
      <c r="J1296" s="122" t="s">
        <v>2650</v>
      </c>
      <c r="K129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C1292</v>
      </c>
      <c r="L129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D1292</v>
      </c>
      <c r="M129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E1292</v>
      </c>
      <c r="N1296" s="122" t="s">
        <v>73</v>
      </c>
      <c r="O1296" s="126" t="n">
        <v>3500000</v>
      </c>
      <c r="P1296" s="121" t="s">
        <v>18</v>
      </c>
      <c r="Q1296" s="121" t="s">
        <v>124</v>
      </c>
      <c r="R1296" s="127"/>
      <c r="T1296" s="118"/>
    </row>
    <row r="1297" customFormat="false" ht="12.75" hidden="false" customHeight="true" outlineLevel="0" collapsed="false">
      <c r="B1297" s="119" t="n">
        <f aca="false">ROW()-4</f>
        <v>1293</v>
      </c>
      <c r="C1297" s="120" t="n">
        <f aca="false">COUNTIFS($D$5:D1297,D1297)</f>
        <v>334</v>
      </c>
      <c r="D1297" s="121" t="s">
        <v>2006</v>
      </c>
      <c r="E1297" s="122" t="s">
        <v>2651</v>
      </c>
      <c r="F1297" s="123" t="n">
        <v>45028</v>
      </c>
      <c r="G1297" s="121" t="s">
        <v>22</v>
      </c>
      <c r="H129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A1293</v>
      </c>
      <c r="I129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B1293</v>
      </c>
      <c r="J1297" s="122" t="s">
        <v>2652</v>
      </c>
      <c r="K129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C1293</v>
      </c>
      <c r="L129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D1293</v>
      </c>
      <c r="M129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E1293</v>
      </c>
      <c r="N1297" s="122" t="s">
        <v>73</v>
      </c>
      <c r="O1297" s="126" t="n">
        <v>3500000</v>
      </c>
      <c r="P1297" s="121" t="s">
        <v>18</v>
      </c>
      <c r="Q1297" s="121" t="s">
        <v>124</v>
      </c>
      <c r="R1297" s="127"/>
      <c r="T1297" s="118"/>
    </row>
    <row r="1298" customFormat="false" ht="12.75" hidden="false" customHeight="true" outlineLevel="0" collapsed="false">
      <c r="B1298" s="119" t="n">
        <f aca="false">ROW()-4</f>
        <v>1294</v>
      </c>
      <c r="C1298" s="120" t="n">
        <f aca="false">COUNTIFS($D$5:D1298,D1298)</f>
        <v>335</v>
      </c>
      <c r="D1298" s="121" t="s">
        <v>2006</v>
      </c>
      <c r="E1298" s="122" t="s">
        <v>2653</v>
      </c>
      <c r="F1298" s="123" t="n">
        <v>46000</v>
      </c>
      <c r="G1298" s="121" t="s">
        <v>22</v>
      </c>
      <c r="H129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A1294</v>
      </c>
      <c r="I129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B1294</v>
      </c>
      <c r="J1298" s="122" t="s">
        <v>2654</v>
      </c>
      <c r="K129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C1294</v>
      </c>
      <c r="L129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D1294</v>
      </c>
      <c r="M129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E1294</v>
      </c>
      <c r="N1298" s="122" t="s">
        <v>73</v>
      </c>
      <c r="O1298" s="126" t="n">
        <v>3500000</v>
      </c>
      <c r="P1298" s="121" t="s">
        <v>18</v>
      </c>
      <c r="Q1298" s="121" t="s">
        <v>124</v>
      </c>
      <c r="R1298" s="127"/>
      <c r="T1298" s="118"/>
    </row>
    <row r="1299" customFormat="false" ht="12.75" hidden="false" customHeight="true" outlineLevel="0" collapsed="false">
      <c r="B1299" s="119" t="n">
        <f aca="false">ROW()-4</f>
        <v>1295</v>
      </c>
      <c r="C1299" s="120" t="n">
        <f aca="false">COUNTIFS($D$5:D1299,D1299)</f>
        <v>336</v>
      </c>
      <c r="D1299" s="121" t="s">
        <v>2006</v>
      </c>
      <c r="E1299" s="122" t="s">
        <v>2655</v>
      </c>
      <c r="F1299" s="123" t="n">
        <v>45477</v>
      </c>
      <c r="G1299" s="121" t="s">
        <v>22</v>
      </c>
      <c r="H129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A1295</v>
      </c>
      <c r="I129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B1295</v>
      </c>
      <c r="J1299" s="122" t="s">
        <v>2656</v>
      </c>
      <c r="K129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C1295</v>
      </c>
      <c r="L129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D1295</v>
      </c>
      <c r="M129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E1295</v>
      </c>
      <c r="N1299" s="122" t="s">
        <v>73</v>
      </c>
      <c r="O1299" s="126" t="n">
        <v>3500000</v>
      </c>
      <c r="P1299" s="121" t="s">
        <v>18</v>
      </c>
      <c r="Q1299" s="121" t="s">
        <v>124</v>
      </c>
      <c r="R1299" s="127"/>
      <c r="T1299" s="118"/>
    </row>
    <row r="1300" customFormat="false" ht="12.75" hidden="false" customHeight="true" outlineLevel="0" collapsed="false">
      <c r="B1300" s="119" t="n">
        <f aca="false">ROW()-4</f>
        <v>1296</v>
      </c>
      <c r="C1300" s="120" t="n">
        <f aca="false">COUNTIFS($D$5:D1300,D1300)</f>
        <v>337</v>
      </c>
      <c r="D1300" s="121" t="s">
        <v>2006</v>
      </c>
      <c r="E1300" s="122" t="s">
        <v>2657</v>
      </c>
      <c r="F1300" s="123" t="n">
        <v>45037</v>
      </c>
      <c r="G1300" s="121" t="s">
        <v>30</v>
      </c>
      <c r="H130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A1296</v>
      </c>
      <c r="I130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B1296</v>
      </c>
      <c r="J1300" s="122" t="s">
        <v>2658</v>
      </c>
      <c r="K130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C1296</v>
      </c>
      <c r="L130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D1296</v>
      </c>
      <c r="M130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E1296</v>
      </c>
      <c r="N1300" s="122" t="s">
        <v>73</v>
      </c>
      <c r="O1300" s="126" t="n">
        <v>3500000</v>
      </c>
      <c r="P1300" s="121" t="s">
        <v>18</v>
      </c>
      <c r="Q1300" s="121" t="s">
        <v>124</v>
      </c>
      <c r="R1300" s="127"/>
      <c r="T1300" s="118"/>
    </row>
    <row r="1301" customFormat="false" ht="12.75" hidden="false" customHeight="true" outlineLevel="0" collapsed="false">
      <c r="B1301" s="119" t="n">
        <f aca="false">ROW()-4</f>
        <v>1297</v>
      </c>
      <c r="C1301" s="120" t="n">
        <f aca="false">COUNTIFS($D$5:D1301,D1301)</f>
        <v>338</v>
      </c>
      <c r="D1301" s="121" t="s">
        <v>2006</v>
      </c>
      <c r="E1301" s="122" t="s">
        <v>2659</v>
      </c>
      <c r="F1301" s="123" t="n">
        <v>45343</v>
      </c>
      <c r="G1301" s="121" t="s">
        <v>24</v>
      </c>
      <c r="H130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A1297</v>
      </c>
      <c r="I130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B1297</v>
      </c>
      <c r="J1301" s="122" t="s">
        <v>2660</v>
      </c>
      <c r="K130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C1297</v>
      </c>
      <c r="L130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D1297</v>
      </c>
      <c r="M130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E1297</v>
      </c>
      <c r="N1301" s="122" t="s">
        <v>73</v>
      </c>
      <c r="O1301" s="126" t="n">
        <v>3500000</v>
      </c>
      <c r="P1301" s="121" t="s">
        <v>18</v>
      </c>
      <c r="Q1301" s="121" t="s">
        <v>124</v>
      </c>
      <c r="R1301" s="127"/>
      <c r="T1301" s="118"/>
    </row>
    <row r="1302" customFormat="false" ht="12.75" hidden="false" customHeight="true" outlineLevel="0" collapsed="false">
      <c r="B1302" s="119" t="n">
        <f aca="false">ROW()-4</f>
        <v>1298</v>
      </c>
      <c r="C1302" s="120" t="n">
        <f aca="false">COUNTIFS($D$5:D1302,D1302)</f>
        <v>339</v>
      </c>
      <c r="D1302" s="121" t="s">
        <v>2006</v>
      </c>
      <c r="E1302" s="122" t="s">
        <v>2661</v>
      </c>
      <c r="F1302" s="123" t="n">
        <v>45043</v>
      </c>
      <c r="G1302" s="121" t="s">
        <v>22</v>
      </c>
      <c r="H130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A1298</v>
      </c>
      <c r="I130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B1298</v>
      </c>
      <c r="J1302" s="124" t="s">
        <v>2662</v>
      </c>
      <c r="K130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C1298</v>
      </c>
      <c r="L130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D1298</v>
      </c>
      <c r="M130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E1298</v>
      </c>
      <c r="N1302" s="122" t="s">
        <v>73</v>
      </c>
      <c r="O1302" s="126" t="n">
        <v>3500000</v>
      </c>
      <c r="P1302" s="121" t="s">
        <v>18</v>
      </c>
      <c r="Q1302" s="121" t="s">
        <v>124</v>
      </c>
      <c r="R1302" s="127"/>
      <c r="T1302" s="118"/>
    </row>
    <row r="1303" customFormat="false" ht="12.75" hidden="false" customHeight="true" outlineLevel="0" collapsed="false">
      <c r="B1303" s="119" t="n">
        <f aca="false">ROW()-4</f>
        <v>1299</v>
      </c>
      <c r="C1303" s="120" t="n">
        <f aca="false">COUNTIFS($D$5:D1303,D1303)</f>
        <v>340</v>
      </c>
      <c r="D1303" s="121" t="s">
        <v>2006</v>
      </c>
      <c r="E1303" s="122" t="s">
        <v>2663</v>
      </c>
      <c r="F1303" s="123" t="n">
        <v>45055</v>
      </c>
      <c r="G1303" s="121" t="s">
        <v>22</v>
      </c>
      <c r="H130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A1299</v>
      </c>
      <c r="I130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B1299</v>
      </c>
      <c r="J1303" s="122" t="s">
        <v>2664</v>
      </c>
      <c r="K130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C1299</v>
      </c>
      <c r="L130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D1299</v>
      </c>
      <c r="M130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E1299</v>
      </c>
      <c r="N1303" s="122" t="s">
        <v>73</v>
      </c>
      <c r="O1303" s="126" t="n">
        <v>3500000</v>
      </c>
      <c r="P1303" s="121" t="s">
        <v>18</v>
      </c>
      <c r="Q1303" s="121" t="s">
        <v>124</v>
      </c>
      <c r="R1303" s="127"/>
      <c r="T1303" s="118"/>
    </row>
    <row r="1304" customFormat="false" ht="12.75" hidden="false" customHeight="true" outlineLevel="0" collapsed="false">
      <c r="B1304" s="119" t="n">
        <f aca="false">ROW()-4</f>
        <v>1300</v>
      </c>
      <c r="C1304" s="120" t="n">
        <f aca="false">COUNTIFS($D$5:D1304,D1304)</f>
        <v>341</v>
      </c>
      <c r="D1304" s="121" t="s">
        <v>2006</v>
      </c>
      <c r="E1304" s="122" t="s">
        <v>2665</v>
      </c>
      <c r="F1304" s="123" t="n">
        <v>45190</v>
      </c>
      <c r="G1304" s="121" t="s">
        <v>22</v>
      </c>
      <c r="H130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A1300</v>
      </c>
      <c r="I130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B1300</v>
      </c>
      <c r="J1304" s="122" t="s">
        <v>2666</v>
      </c>
      <c r="K130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C1300</v>
      </c>
      <c r="L130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D1300</v>
      </c>
      <c r="M130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E1300</v>
      </c>
      <c r="N1304" s="122" t="s">
        <v>73</v>
      </c>
      <c r="O1304" s="126" t="n">
        <v>3500000</v>
      </c>
      <c r="P1304" s="121" t="s">
        <v>18</v>
      </c>
      <c r="Q1304" s="121" t="s">
        <v>124</v>
      </c>
      <c r="R1304" s="127"/>
      <c r="T1304" s="118"/>
    </row>
    <row r="1305" customFormat="false" ht="12.75" hidden="false" customHeight="true" outlineLevel="0" collapsed="false">
      <c r="B1305" s="119" t="n">
        <f aca="false">ROW()-4</f>
        <v>1301</v>
      </c>
      <c r="C1305" s="120" t="n">
        <f aca="false">COUNTIFS($D$5:D1305,D1305)</f>
        <v>342</v>
      </c>
      <c r="D1305" s="121" t="s">
        <v>2006</v>
      </c>
      <c r="E1305" s="122" t="s">
        <v>2667</v>
      </c>
      <c r="F1305" s="123" t="n">
        <v>45096</v>
      </c>
      <c r="G1305" s="121" t="s">
        <v>28</v>
      </c>
      <c r="H130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A1301</v>
      </c>
      <c r="I130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B1301</v>
      </c>
      <c r="J1305" s="122" t="s">
        <v>2668</v>
      </c>
      <c r="K130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C1301</v>
      </c>
      <c r="L130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D1301</v>
      </c>
      <c r="M130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E1301</v>
      </c>
      <c r="N1305" s="122" t="s">
        <v>73</v>
      </c>
      <c r="O1305" s="126" t="n">
        <v>3500000</v>
      </c>
      <c r="P1305" s="121" t="s">
        <v>18</v>
      </c>
      <c r="Q1305" s="121" t="s">
        <v>124</v>
      </c>
      <c r="R1305" s="127"/>
      <c r="T1305" s="118"/>
    </row>
    <row r="1306" customFormat="false" ht="12.75" hidden="false" customHeight="true" outlineLevel="0" collapsed="false">
      <c r="B1306" s="119" t="n">
        <f aca="false">ROW()-4</f>
        <v>1302</v>
      </c>
      <c r="C1306" s="120" t="n">
        <f aca="false">COUNTIFS($D$5:D1306,D1306)</f>
        <v>343</v>
      </c>
      <c r="D1306" s="121" t="s">
        <v>2006</v>
      </c>
      <c r="E1306" s="122" t="s">
        <v>2669</v>
      </c>
      <c r="F1306" s="123" t="n">
        <v>45091</v>
      </c>
      <c r="G1306" s="121" t="s">
        <v>28</v>
      </c>
      <c r="H130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A1302</v>
      </c>
      <c r="I130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B1302</v>
      </c>
      <c r="J1306" s="122" t="s">
        <v>2670</v>
      </c>
      <c r="K130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C1302</v>
      </c>
      <c r="L130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D1302</v>
      </c>
      <c r="M130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E1302</v>
      </c>
      <c r="N1306" s="122" t="s">
        <v>73</v>
      </c>
      <c r="O1306" s="126" t="n">
        <v>3500000</v>
      </c>
      <c r="P1306" s="121" t="s">
        <v>18</v>
      </c>
      <c r="Q1306" s="121" t="s">
        <v>124</v>
      </c>
      <c r="R1306" s="127"/>
      <c r="T1306" s="118"/>
    </row>
    <row r="1307" customFormat="false" ht="12.75" hidden="false" customHeight="true" outlineLevel="0" collapsed="false">
      <c r="B1307" s="119" t="n">
        <f aca="false">ROW()-4</f>
        <v>1303</v>
      </c>
      <c r="C1307" s="120" t="n">
        <f aca="false">COUNTIFS($D$5:D1307,D1307)</f>
        <v>344</v>
      </c>
      <c r="D1307" s="121" t="s">
        <v>2006</v>
      </c>
      <c r="E1307" s="122" t="s">
        <v>2671</v>
      </c>
      <c r="F1307" s="123" t="n">
        <v>45909</v>
      </c>
      <c r="G1307" s="121" t="s">
        <v>28</v>
      </c>
      <c r="H130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A1303</v>
      </c>
      <c r="I130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B1303</v>
      </c>
      <c r="J1307" s="122" t="s">
        <v>2672</v>
      </c>
      <c r="K130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C1303</v>
      </c>
      <c r="L130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D1303</v>
      </c>
      <c r="M130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E1303</v>
      </c>
      <c r="N1307" s="122" t="s">
        <v>73</v>
      </c>
      <c r="O1307" s="126" t="n">
        <v>3500000</v>
      </c>
      <c r="P1307" s="121" t="s">
        <v>18</v>
      </c>
      <c r="Q1307" s="121" t="s">
        <v>124</v>
      </c>
      <c r="R1307" s="127"/>
      <c r="T1307" s="118"/>
    </row>
    <row r="1308" customFormat="false" ht="12.75" hidden="false" customHeight="true" outlineLevel="0" collapsed="false">
      <c r="B1308" s="119" t="n">
        <f aca="false">ROW()-4</f>
        <v>1304</v>
      </c>
      <c r="C1308" s="120" t="n">
        <f aca="false">COUNTIFS($D$5:D1308,D1308)</f>
        <v>345</v>
      </c>
      <c r="D1308" s="121" t="s">
        <v>2006</v>
      </c>
      <c r="E1308" s="122" t="s">
        <v>2673</v>
      </c>
      <c r="F1308" s="123" t="n">
        <v>45096</v>
      </c>
      <c r="G1308" s="121" t="s">
        <v>22</v>
      </c>
      <c r="H130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A1304</v>
      </c>
      <c r="I130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B1304</v>
      </c>
      <c r="J1308" s="122" t="s">
        <v>2674</v>
      </c>
      <c r="K130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C1304</v>
      </c>
      <c r="L130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D1304</v>
      </c>
      <c r="M130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E1304</v>
      </c>
      <c r="N1308" s="122" t="s">
        <v>73</v>
      </c>
      <c r="O1308" s="126" t="n">
        <v>3500000</v>
      </c>
      <c r="P1308" s="121" t="s">
        <v>18</v>
      </c>
      <c r="Q1308" s="121" t="s">
        <v>124</v>
      </c>
      <c r="R1308" s="127"/>
      <c r="T1308" s="118"/>
    </row>
    <row r="1309" customFormat="false" ht="12.75" hidden="false" customHeight="true" outlineLevel="0" collapsed="false">
      <c r="B1309" s="119" t="n">
        <f aca="false">ROW()-4</f>
        <v>1305</v>
      </c>
      <c r="C1309" s="120" t="n">
        <f aca="false">COUNTIFS($D$5:D1309,D1309)</f>
        <v>346</v>
      </c>
      <c r="D1309" s="121" t="s">
        <v>2006</v>
      </c>
      <c r="E1309" s="122" t="s">
        <v>2675</v>
      </c>
      <c r="F1309" s="123"/>
      <c r="G1309" s="121" t="s">
        <v>210</v>
      </c>
      <c r="H1309" s="122"/>
      <c r="I1309" s="122"/>
      <c r="J1309" s="122"/>
      <c r="K1309" s="122"/>
      <c r="L1309" s="125"/>
      <c r="M130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E1305</v>
      </c>
      <c r="N1309" s="122" t="s">
        <v>73</v>
      </c>
      <c r="O1309" s="126" t="n">
        <v>3500000</v>
      </c>
      <c r="P1309" s="121" t="s">
        <v>19</v>
      </c>
      <c r="Q1309" s="122"/>
      <c r="R1309" s="128" t="s">
        <v>59</v>
      </c>
      <c r="T1309" s="118"/>
    </row>
    <row r="1310" customFormat="false" ht="12.75" hidden="false" customHeight="true" outlineLevel="0" collapsed="false">
      <c r="B1310" s="119" t="n">
        <f aca="false">ROW()-4</f>
        <v>1306</v>
      </c>
      <c r="C1310" s="120" t="n">
        <f aca="false">COUNTIFS($D$5:D1310,D1310)</f>
        <v>347</v>
      </c>
      <c r="D1310" s="121" t="s">
        <v>2006</v>
      </c>
      <c r="E1310" s="122" t="s">
        <v>2676</v>
      </c>
      <c r="F1310" s="123" t="n">
        <v>45441</v>
      </c>
      <c r="G1310" s="121" t="s">
        <v>22</v>
      </c>
      <c r="H131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A1306</v>
      </c>
      <c r="I131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B1306</v>
      </c>
      <c r="J1310" s="122" t="s">
        <v>2677</v>
      </c>
      <c r="K131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C1306</v>
      </c>
      <c r="L131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D1306</v>
      </c>
      <c r="M131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E1306</v>
      </c>
      <c r="N1310" s="122" t="s">
        <v>73</v>
      </c>
      <c r="O1310" s="126" t="n">
        <v>3500000</v>
      </c>
      <c r="P1310" s="121" t="s">
        <v>18</v>
      </c>
      <c r="Q1310" s="121" t="s">
        <v>124</v>
      </c>
      <c r="R1310" s="127"/>
      <c r="T1310" s="118"/>
    </row>
    <row r="1311" customFormat="false" ht="12.75" hidden="false" customHeight="true" outlineLevel="0" collapsed="false">
      <c r="B1311" s="119" t="n">
        <f aca="false">ROW()-4</f>
        <v>1307</v>
      </c>
      <c r="C1311" s="120" t="n">
        <f aca="false">COUNTIFS($D$5:D1311,D1311)</f>
        <v>348</v>
      </c>
      <c r="D1311" s="121" t="s">
        <v>2006</v>
      </c>
      <c r="E1311" s="122" t="s">
        <v>2678</v>
      </c>
      <c r="F1311" s="123" t="n">
        <v>45085</v>
      </c>
      <c r="G1311" s="121" t="s">
        <v>22</v>
      </c>
      <c r="H131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A1307</v>
      </c>
      <c r="I131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B1307</v>
      </c>
      <c r="J1311" s="122" t="s">
        <v>2679</v>
      </c>
      <c r="K131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C1307</v>
      </c>
      <c r="L131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D1307</v>
      </c>
      <c r="M131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E1307</v>
      </c>
      <c r="N1311" s="122" t="s">
        <v>73</v>
      </c>
      <c r="O1311" s="126" t="n">
        <v>3500000</v>
      </c>
      <c r="P1311" s="121" t="s">
        <v>18</v>
      </c>
      <c r="Q1311" s="121" t="s">
        <v>124</v>
      </c>
      <c r="R1311" s="127"/>
      <c r="T1311" s="118"/>
    </row>
    <row r="1312" customFormat="false" ht="12.75" hidden="false" customHeight="true" outlineLevel="0" collapsed="false">
      <c r="B1312" s="119" t="n">
        <f aca="false">ROW()-4</f>
        <v>1308</v>
      </c>
      <c r="C1312" s="120" t="n">
        <f aca="false">COUNTIFS($D$5:D1312,D1312)</f>
        <v>349</v>
      </c>
      <c r="D1312" s="121" t="s">
        <v>2006</v>
      </c>
      <c r="E1312" s="122" t="s">
        <v>2680</v>
      </c>
      <c r="F1312" s="123" t="n">
        <v>45558</v>
      </c>
      <c r="G1312" s="121" t="s">
        <v>28</v>
      </c>
      <c r="H131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A1308</v>
      </c>
      <c r="I131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B1308</v>
      </c>
      <c r="J1312" s="122" t="s">
        <v>2681</v>
      </c>
      <c r="K131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C1308</v>
      </c>
      <c r="L131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D1308</v>
      </c>
      <c r="M131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E1308</v>
      </c>
      <c r="N1312" s="122" t="s">
        <v>73</v>
      </c>
      <c r="O1312" s="126" t="n">
        <v>3500000</v>
      </c>
      <c r="P1312" s="121" t="s">
        <v>18</v>
      </c>
      <c r="Q1312" s="121" t="s">
        <v>124</v>
      </c>
      <c r="R1312" s="127"/>
      <c r="T1312" s="118"/>
    </row>
    <row r="1313" customFormat="false" ht="12.75" hidden="false" customHeight="true" outlineLevel="0" collapsed="false">
      <c r="B1313" s="119" t="n">
        <f aca="false">ROW()-4</f>
        <v>1309</v>
      </c>
      <c r="C1313" s="120" t="n">
        <f aca="false">COUNTIFS($D$5:D1313,D1313)</f>
        <v>350</v>
      </c>
      <c r="D1313" s="121" t="s">
        <v>2006</v>
      </c>
      <c r="E1313" s="122" t="s">
        <v>2682</v>
      </c>
      <c r="F1313" s="123" t="n">
        <v>45090</v>
      </c>
      <c r="G1313" s="121" t="s">
        <v>22</v>
      </c>
      <c r="H131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A1309</v>
      </c>
      <c r="I131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B1309</v>
      </c>
      <c r="J1313" s="122" t="s">
        <v>2683</v>
      </c>
      <c r="K131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C1309</v>
      </c>
      <c r="L131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D1309</v>
      </c>
      <c r="M131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E1309</v>
      </c>
      <c r="N1313" s="122" t="s">
        <v>73</v>
      </c>
      <c r="O1313" s="126" t="n">
        <v>3500000</v>
      </c>
      <c r="P1313" s="121" t="s">
        <v>18</v>
      </c>
      <c r="Q1313" s="121" t="s">
        <v>124</v>
      </c>
      <c r="R1313" s="127"/>
      <c r="T1313" s="118"/>
    </row>
    <row r="1314" customFormat="false" ht="12.75" hidden="false" customHeight="true" outlineLevel="0" collapsed="false">
      <c r="B1314" s="119" t="n">
        <f aca="false">ROW()-4</f>
        <v>1310</v>
      </c>
      <c r="C1314" s="120" t="n">
        <f aca="false">COUNTIFS($D$5:D1314,D1314)</f>
        <v>351</v>
      </c>
      <c r="D1314" s="121" t="s">
        <v>2006</v>
      </c>
      <c r="E1314" s="122" t="s">
        <v>2684</v>
      </c>
      <c r="F1314" s="123" t="n">
        <v>45657</v>
      </c>
      <c r="G1314" s="121" t="s">
        <v>22</v>
      </c>
      <c r="H131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A1310</v>
      </c>
      <c r="I131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B1310</v>
      </c>
      <c r="J1314" s="122" t="s">
        <v>2685</v>
      </c>
      <c r="K131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C1310</v>
      </c>
      <c r="L131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D1310</v>
      </c>
      <c r="M131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E1310</v>
      </c>
      <c r="N1314" s="122" t="s">
        <v>73</v>
      </c>
      <c r="O1314" s="126" t="n">
        <v>3500000</v>
      </c>
      <c r="P1314" s="121" t="s">
        <v>18</v>
      </c>
      <c r="Q1314" s="121" t="s">
        <v>124</v>
      </c>
      <c r="R1314" s="127"/>
      <c r="T1314" s="118"/>
    </row>
    <row r="1315" customFormat="false" ht="12.75" hidden="false" customHeight="true" outlineLevel="0" collapsed="false">
      <c r="B1315" s="119" t="n">
        <f aca="false">ROW()-4</f>
        <v>1311</v>
      </c>
      <c r="C1315" s="120" t="n">
        <f aca="false">COUNTIFS($D$5:D1315,D1315)</f>
        <v>352</v>
      </c>
      <c r="D1315" s="121" t="s">
        <v>2006</v>
      </c>
      <c r="E1315" s="122" t="s">
        <v>2686</v>
      </c>
      <c r="F1315" s="123" t="n">
        <v>45644</v>
      </c>
      <c r="G1315" s="121" t="s">
        <v>22</v>
      </c>
      <c r="H131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A1311</v>
      </c>
      <c r="I131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B1311</v>
      </c>
      <c r="J1315" s="122" t="s">
        <v>2687</v>
      </c>
      <c r="K131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C1311</v>
      </c>
      <c r="L131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D1311</v>
      </c>
      <c r="M131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E1311</v>
      </c>
      <c r="N1315" s="122" t="s">
        <v>73</v>
      </c>
      <c r="O1315" s="126" t="n">
        <v>3500000</v>
      </c>
      <c r="P1315" s="121" t="s">
        <v>18</v>
      </c>
      <c r="Q1315" s="121" t="s">
        <v>124</v>
      </c>
      <c r="R1315" s="127"/>
      <c r="T1315" s="118"/>
    </row>
    <row r="1316" customFormat="false" ht="12.75" hidden="false" customHeight="true" outlineLevel="0" collapsed="false">
      <c r="B1316" s="119" t="n">
        <f aca="false">ROW()-4</f>
        <v>1312</v>
      </c>
      <c r="C1316" s="120" t="n">
        <f aca="false">COUNTIFS($D$5:D1316,D1316)</f>
        <v>353</v>
      </c>
      <c r="D1316" s="121" t="s">
        <v>2006</v>
      </c>
      <c r="E1316" s="122" t="s">
        <v>2688</v>
      </c>
      <c r="F1316" s="123" t="n">
        <v>45981</v>
      </c>
      <c r="G1316" s="121" t="s">
        <v>22</v>
      </c>
      <c r="H131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A1312</v>
      </c>
      <c r="I131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B1312</v>
      </c>
      <c r="J1316" s="122" t="s">
        <v>2689</v>
      </c>
      <c r="K131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C1312</v>
      </c>
      <c r="L131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D1312</v>
      </c>
      <c r="M131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E1312</v>
      </c>
      <c r="N1316" s="122" t="s">
        <v>73</v>
      </c>
      <c r="O1316" s="126" t="n">
        <v>3500000</v>
      </c>
      <c r="P1316" s="121" t="s">
        <v>18</v>
      </c>
      <c r="Q1316" s="121" t="s">
        <v>124</v>
      </c>
      <c r="R1316" s="127"/>
      <c r="T1316" s="118"/>
    </row>
    <row r="1317" customFormat="false" ht="12.75" hidden="false" customHeight="true" outlineLevel="0" collapsed="false">
      <c r="B1317" s="119" t="n">
        <f aca="false">ROW()-4</f>
        <v>1313</v>
      </c>
      <c r="C1317" s="120" t="n">
        <f aca="false">COUNTIFS($D$5:D1317,D1317)</f>
        <v>354</v>
      </c>
      <c r="D1317" s="121" t="s">
        <v>2006</v>
      </c>
      <c r="E1317" s="122" t="s">
        <v>2690</v>
      </c>
      <c r="F1317" s="123" t="n">
        <v>45803</v>
      </c>
      <c r="G1317" s="121" t="s">
        <v>22</v>
      </c>
      <c r="H131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A1313</v>
      </c>
      <c r="I131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B1313</v>
      </c>
      <c r="J1317" s="122" t="s">
        <v>2691</v>
      </c>
      <c r="K131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C1313</v>
      </c>
      <c r="L131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D1313</v>
      </c>
      <c r="M131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E1313</v>
      </c>
      <c r="N1317" s="122" t="s">
        <v>73</v>
      </c>
      <c r="O1317" s="126" t="n">
        <v>3500000</v>
      </c>
      <c r="P1317" s="121" t="s">
        <v>18</v>
      </c>
      <c r="Q1317" s="121" t="s">
        <v>124</v>
      </c>
      <c r="R1317" s="127"/>
      <c r="T1317" s="118"/>
    </row>
    <row r="1318" customFormat="false" ht="12.75" hidden="false" customHeight="true" outlineLevel="0" collapsed="false">
      <c r="B1318" s="119" t="n">
        <f aca="false">ROW()-4</f>
        <v>1314</v>
      </c>
      <c r="C1318" s="120" t="n">
        <f aca="false">COUNTIFS($D$5:D1318,D1318)</f>
        <v>355</v>
      </c>
      <c r="D1318" s="121" t="s">
        <v>2006</v>
      </c>
      <c r="E1318" s="122" t="s">
        <v>2692</v>
      </c>
      <c r="F1318" s="123" t="n">
        <v>45155</v>
      </c>
      <c r="G1318" s="121" t="s">
        <v>28</v>
      </c>
      <c r="H131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A1314</v>
      </c>
      <c r="I131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B1314</v>
      </c>
      <c r="J1318" s="122" t="s">
        <v>2693</v>
      </c>
      <c r="K131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C1314</v>
      </c>
      <c r="L131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D1314</v>
      </c>
      <c r="M131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E1314</v>
      </c>
      <c r="N1318" s="122" t="s">
        <v>73</v>
      </c>
      <c r="O1318" s="126" t="n">
        <v>3500000</v>
      </c>
      <c r="P1318" s="121" t="s">
        <v>18</v>
      </c>
      <c r="Q1318" s="121" t="s">
        <v>124</v>
      </c>
      <c r="R1318" s="127"/>
      <c r="T1318" s="118"/>
    </row>
    <row r="1319" customFormat="false" ht="12.75" hidden="false" customHeight="true" outlineLevel="0" collapsed="false">
      <c r="B1319" s="119" t="n">
        <f aca="false">ROW()-4</f>
        <v>1315</v>
      </c>
      <c r="C1319" s="120" t="n">
        <f aca="false">COUNTIFS($D$5:D1319,D1319)</f>
        <v>356</v>
      </c>
      <c r="D1319" s="121" t="s">
        <v>2006</v>
      </c>
      <c r="E1319" s="122" t="s">
        <v>2694</v>
      </c>
      <c r="F1319" s="123"/>
      <c r="G1319" s="121" t="s">
        <v>210</v>
      </c>
      <c r="H1319" s="122"/>
      <c r="I1319" s="122"/>
      <c r="J1319" s="122"/>
      <c r="K1319" s="122"/>
      <c r="L1319" s="125"/>
      <c r="M131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E1315</v>
      </c>
      <c r="N1319" s="122" t="s">
        <v>73</v>
      </c>
      <c r="O1319" s="126" t="n">
        <v>3500000</v>
      </c>
      <c r="P1319" s="121" t="s">
        <v>19</v>
      </c>
      <c r="Q1319" s="122"/>
      <c r="R1319" s="128" t="s">
        <v>59</v>
      </c>
      <c r="T1319" s="118"/>
    </row>
    <row r="1320" customFormat="false" ht="12.75" hidden="false" customHeight="true" outlineLevel="0" collapsed="false">
      <c r="B1320" s="119" t="n">
        <f aca="false">ROW()-4</f>
        <v>1316</v>
      </c>
      <c r="C1320" s="120" t="n">
        <f aca="false">COUNTIFS($D$5:D1320,D1320)</f>
        <v>357</v>
      </c>
      <c r="D1320" s="121" t="s">
        <v>2006</v>
      </c>
      <c r="E1320" s="122" t="s">
        <v>2695</v>
      </c>
      <c r="F1320" s="123" t="n">
        <v>45147</v>
      </c>
      <c r="G1320" s="121" t="s">
        <v>22</v>
      </c>
      <c r="H132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A1316</v>
      </c>
      <c r="I132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B1316</v>
      </c>
      <c r="J1320" s="122" t="s">
        <v>2696</v>
      </c>
      <c r="K132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C1316</v>
      </c>
      <c r="L132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D1316</v>
      </c>
      <c r="M132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E1316</v>
      </c>
      <c r="N1320" s="122" t="s">
        <v>73</v>
      </c>
      <c r="O1320" s="126" t="n">
        <v>3500000</v>
      </c>
      <c r="P1320" s="121" t="s">
        <v>18</v>
      </c>
      <c r="Q1320" s="121" t="s">
        <v>124</v>
      </c>
      <c r="R1320" s="127"/>
      <c r="T1320" s="118"/>
    </row>
    <row r="1321" customFormat="false" ht="12.75" hidden="false" customHeight="true" outlineLevel="0" collapsed="false">
      <c r="B1321" s="119" t="n">
        <f aca="false">ROW()-4</f>
        <v>1317</v>
      </c>
      <c r="C1321" s="120" t="n">
        <f aca="false">COUNTIFS($D$5:D1321,D1321)</f>
        <v>358</v>
      </c>
      <c r="D1321" s="121" t="s">
        <v>2006</v>
      </c>
      <c r="E1321" s="122" t="s">
        <v>2697</v>
      </c>
      <c r="F1321" s="123" t="n">
        <v>45141</v>
      </c>
      <c r="G1321" s="121" t="s">
        <v>22</v>
      </c>
      <c r="H132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A1317</v>
      </c>
      <c r="I132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B1317</v>
      </c>
      <c r="J1321" s="122" t="s">
        <v>2698</v>
      </c>
      <c r="K132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C1317</v>
      </c>
      <c r="L132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D1317</v>
      </c>
      <c r="M132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E1317</v>
      </c>
      <c r="N1321" s="122" t="s">
        <v>73</v>
      </c>
      <c r="O1321" s="126" t="n">
        <v>3500000</v>
      </c>
      <c r="P1321" s="121" t="s">
        <v>18</v>
      </c>
      <c r="Q1321" s="121" t="s">
        <v>124</v>
      </c>
      <c r="R1321" s="127"/>
      <c r="T1321" s="118"/>
    </row>
    <row r="1322" customFormat="false" ht="12.75" hidden="false" customHeight="true" outlineLevel="0" collapsed="false">
      <c r="B1322" s="119" t="n">
        <f aca="false">ROW()-4</f>
        <v>1318</v>
      </c>
      <c r="C1322" s="120" t="n">
        <f aca="false">COUNTIFS($D$5:D1322,D1322)</f>
        <v>359</v>
      </c>
      <c r="D1322" s="121" t="s">
        <v>2006</v>
      </c>
      <c r="E1322" s="122" t="s">
        <v>2699</v>
      </c>
      <c r="F1322" s="123" t="n">
        <v>45159</v>
      </c>
      <c r="G1322" s="121" t="s">
        <v>22</v>
      </c>
      <c r="H132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A1318</v>
      </c>
      <c r="I132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B1318</v>
      </c>
      <c r="J1322" s="122" t="s">
        <v>2700</v>
      </c>
      <c r="K132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C1318</v>
      </c>
      <c r="L132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D1318</v>
      </c>
      <c r="M132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E1318</v>
      </c>
      <c r="N1322" s="122" t="s">
        <v>73</v>
      </c>
      <c r="O1322" s="126" t="n">
        <v>3500000</v>
      </c>
      <c r="P1322" s="121" t="s">
        <v>18</v>
      </c>
      <c r="Q1322" s="121" t="s">
        <v>124</v>
      </c>
      <c r="R1322" s="127"/>
      <c r="T1322" s="118"/>
    </row>
    <row r="1323" customFormat="false" ht="12.75" hidden="false" customHeight="true" outlineLevel="0" collapsed="false">
      <c r="B1323" s="119" t="n">
        <f aca="false">ROW()-4</f>
        <v>1319</v>
      </c>
      <c r="C1323" s="120" t="n">
        <f aca="false">COUNTIFS($D$5:D1323,D1323)</f>
        <v>360</v>
      </c>
      <c r="D1323" s="121" t="s">
        <v>2006</v>
      </c>
      <c r="E1323" s="122" t="s">
        <v>2701</v>
      </c>
      <c r="F1323" s="123" t="n">
        <v>45167</v>
      </c>
      <c r="G1323" s="121" t="s">
        <v>22</v>
      </c>
      <c r="H132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A1319</v>
      </c>
      <c r="I132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B1319</v>
      </c>
      <c r="J1323" s="124" t="s">
        <v>2702</v>
      </c>
      <c r="K132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C1319</v>
      </c>
      <c r="L132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D1319</v>
      </c>
      <c r="M132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E1319</v>
      </c>
      <c r="N1323" s="122" t="s">
        <v>73</v>
      </c>
      <c r="O1323" s="126" t="n">
        <v>3500000</v>
      </c>
      <c r="P1323" s="121" t="s">
        <v>18</v>
      </c>
      <c r="Q1323" s="121" t="s">
        <v>124</v>
      </c>
      <c r="R1323" s="127"/>
      <c r="T1323" s="118"/>
    </row>
    <row r="1324" customFormat="false" ht="12.75" hidden="false" customHeight="true" outlineLevel="0" collapsed="false">
      <c r="B1324" s="119" t="n">
        <f aca="false">ROW()-4</f>
        <v>1320</v>
      </c>
      <c r="C1324" s="120" t="n">
        <f aca="false">COUNTIFS($D$5:D1324,D1324)</f>
        <v>361</v>
      </c>
      <c r="D1324" s="121" t="s">
        <v>2006</v>
      </c>
      <c r="E1324" s="122" t="s">
        <v>2703</v>
      </c>
      <c r="F1324" s="123" t="n">
        <v>45175</v>
      </c>
      <c r="G1324" s="121" t="s">
        <v>24</v>
      </c>
      <c r="H132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A1320</v>
      </c>
      <c r="I132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B1320</v>
      </c>
      <c r="J1324" s="122" t="s">
        <v>2704</v>
      </c>
      <c r="K132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C1320</v>
      </c>
      <c r="L132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D1320</v>
      </c>
      <c r="M132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E1320</v>
      </c>
      <c r="N1324" s="122" t="s">
        <v>73</v>
      </c>
      <c r="O1324" s="126" t="n">
        <v>3500000</v>
      </c>
      <c r="P1324" s="121" t="s">
        <v>18</v>
      </c>
      <c r="Q1324" s="121" t="s">
        <v>124</v>
      </c>
      <c r="R1324" s="127"/>
      <c r="T1324" s="118"/>
    </row>
    <row r="1325" customFormat="false" ht="12.75" hidden="false" customHeight="true" outlineLevel="0" collapsed="false">
      <c r="B1325" s="119" t="n">
        <f aca="false">ROW()-4</f>
        <v>1321</v>
      </c>
      <c r="C1325" s="120" t="n">
        <f aca="false">COUNTIFS($D$5:D1325,D1325)</f>
        <v>362</v>
      </c>
      <c r="D1325" s="121" t="s">
        <v>2006</v>
      </c>
      <c r="E1325" s="122" t="s">
        <v>2705</v>
      </c>
      <c r="F1325" s="123" t="n">
        <v>45182</v>
      </c>
      <c r="G1325" s="121" t="s">
        <v>22</v>
      </c>
      <c r="H132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A1321</v>
      </c>
      <c r="I132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B1321</v>
      </c>
      <c r="J1325" s="122" t="s">
        <v>2706</v>
      </c>
      <c r="K132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C1321</v>
      </c>
      <c r="L132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D1321</v>
      </c>
      <c r="M132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E1321</v>
      </c>
      <c r="N1325" s="122" t="s">
        <v>73</v>
      </c>
      <c r="O1325" s="126" t="n">
        <v>3500000</v>
      </c>
      <c r="P1325" s="121" t="s">
        <v>18</v>
      </c>
      <c r="Q1325" s="121" t="s">
        <v>124</v>
      </c>
      <c r="R1325" s="127"/>
      <c r="T1325" s="118"/>
    </row>
    <row r="1326" customFormat="false" ht="12.75" hidden="false" customHeight="true" outlineLevel="0" collapsed="false">
      <c r="B1326" s="119" t="n">
        <f aca="false">ROW()-4</f>
        <v>1322</v>
      </c>
      <c r="C1326" s="120" t="n">
        <f aca="false">COUNTIFS($D$5:D1326,D1326)</f>
        <v>363</v>
      </c>
      <c r="D1326" s="121" t="s">
        <v>2006</v>
      </c>
      <c r="E1326" s="122" t="s">
        <v>2707</v>
      </c>
      <c r="F1326" s="123" t="n">
        <v>45929</v>
      </c>
      <c r="G1326" s="121" t="s">
        <v>28</v>
      </c>
      <c r="H132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A1322</v>
      </c>
      <c r="I132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B1322</v>
      </c>
      <c r="J1326" s="122" t="s">
        <v>2708</v>
      </c>
      <c r="K132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C1322</v>
      </c>
      <c r="L132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D1322</v>
      </c>
      <c r="M132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E1322</v>
      </c>
      <c r="N1326" s="122" t="s">
        <v>73</v>
      </c>
      <c r="O1326" s="126" t="n">
        <v>3500000</v>
      </c>
      <c r="P1326" s="121" t="s">
        <v>18</v>
      </c>
      <c r="Q1326" s="162" t="s">
        <v>124</v>
      </c>
      <c r="R1326" s="127"/>
      <c r="T1326" s="118"/>
    </row>
    <row r="1327" customFormat="false" ht="12.75" hidden="false" customHeight="true" outlineLevel="0" collapsed="false">
      <c r="B1327" s="119" t="n">
        <f aca="false">ROW()-4</f>
        <v>1323</v>
      </c>
      <c r="C1327" s="120" t="n">
        <f aca="false">COUNTIFS($D$5:D1327,D1327)</f>
        <v>364</v>
      </c>
      <c r="D1327" s="121" t="s">
        <v>2006</v>
      </c>
      <c r="E1327" s="122" t="s">
        <v>2709</v>
      </c>
      <c r="F1327" s="123" t="n">
        <v>45771</v>
      </c>
      <c r="G1327" s="121" t="s">
        <v>22</v>
      </c>
      <c r="H132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A1323</v>
      </c>
      <c r="I132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B1323</v>
      </c>
      <c r="J1327" s="122" t="s">
        <v>2710</v>
      </c>
      <c r="K132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C1323</v>
      </c>
      <c r="L132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D1323</v>
      </c>
      <c r="M132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E1323</v>
      </c>
      <c r="N1327" s="122" t="s">
        <v>73</v>
      </c>
      <c r="O1327" s="126" t="n">
        <v>3500000</v>
      </c>
      <c r="P1327" s="121" t="s">
        <v>18</v>
      </c>
      <c r="Q1327" s="121" t="s">
        <v>124</v>
      </c>
      <c r="R1327" s="127"/>
      <c r="T1327" s="118"/>
    </row>
    <row r="1328" customFormat="false" ht="12.75" hidden="false" customHeight="true" outlineLevel="0" collapsed="false">
      <c r="B1328" s="119" t="n">
        <f aca="false">ROW()-4</f>
        <v>1324</v>
      </c>
      <c r="C1328" s="120" t="n">
        <f aca="false">COUNTIFS($D$5:D1328,D1328)</f>
        <v>365</v>
      </c>
      <c r="D1328" s="121" t="s">
        <v>2006</v>
      </c>
      <c r="E1328" s="122" t="s">
        <v>2711</v>
      </c>
      <c r="F1328" s="123" t="n">
        <v>45972</v>
      </c>
      <c r="G1328" s="121" t="s">
        <v>22</v>
      </c>
      <c r="H132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A1324</v>
      </c>
      <c r="I132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B1324</v>
      </c>
      <c r="J1328" s="122" t="s">
        <v>2712</v>
      </c>
      <c r="K132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C1324</v>
      </c>
      <c r="L132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D1324</v>
      </c>
      <c r="M132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E1324</v>
      </c>
      <c r="N1328" s="122" t="s">
        <v>73</v>
      </c>
      <c r="O1328" s="126" t="n">
        <v>3500000</v>
      </c>
      <c r="P1328" s="121" t="s">
        <v>18</v>
      </c>
      <c r="Q1328" s="121" t="s">
        <v>124</v>
      </c>
      <c r="R1328" s="127"/>
      <c r="T1328" s="118"/>
    </row>
    <row r="1329" customFormat="false" ht="12.75" hidden="false" customHeight="true" outlineLevel="0" collapsed="false">
      <c r="B1329" s="119" t="n">
        <f aca="false">ROW()-4</f>
        <v>1325</v>
      </c>
      <c r="C1329" s="120" t="n">
        <f aca="false">COUNTIFS($D$5:D1329,D1329)</f>
        <v>366</v>
      </c>
      <c r="D1329" s="121" t="s">
        <v>2006</v>
      </c>
      <c r="E1329" s="122" t="s">
        <v>2713</v>
      </c>
      <c r="F1329" s="123" t="n">
        <v>45978</v>
      </c>
      <c r="G1329" s="121" t="s">
        <v>22</v>
      </c>
      <c r="H132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A1325</v>
      </c>
      <c r="I132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B1325</v>
      </c>
      <c r="J1329" s="122" t="s">
        <v>2714</v>
      </c>
      <c r="K132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C1325</v>
      </c>
      <c r="L132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D1325</v>
      </c>
      <c r="M132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E1325</v>
      </c>
      <c r="N1329" s="122" t="s">
        <v>73</v>
      </c>
      <c r="O1329" s="126" t="n">
        <v>3500000</v>
      </c>
      <c r="P1329" s="121" t="s">
        <v>18</v>
      </c>
      <c r="Q1329" s="121" t="s">
        <v>124</v>
      </c>
      <c r="R1329" s="127"/>
      <c r="T1329" s="118"/>
    </row>
    <row r="1330" customFormat="false" ht="12.75" hidden="false" customHeight="true" outlineLevel="0" collapsed="false">
      <c r="B1330" s="119" t="n">
        <f aca="false">ROW()-4</f>
        <v>1326</v>
      </c>
      <c r="C1330" s="120" t="n">
        <f aca="false">COUNTIFS($D$5:D1330,D1330)</f>
        <v>367</v>
      </c>
      <c r="D1330" s="121" t="s">
        <v>2006</v>
      </c>
      <c r="E1330" s="122" t="s">
        <v>2715</v>
      </c>
      <c r="F1330" s="123" t="n">
        <v>45932</v>
      </c>
      <c r="G1330" s="121" t="s">
        <v>22</v>
      </c>
      <c r="H133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A1326</v>
      </c>
      <c r="I133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B1326</v>
      </c>
      <c r="J1330" s="122" t="s">
        <v>2716</v>
      </c>
      <c r="K133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C1326</v>
      </c>
      <c r="L133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D1326</v>
      </c>
      <c r="M133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E1326</v>
      </c>
      <c r="N1330" s="122" t="s">
        <v>73</v>
      </c>
      <c r="O1330" s="126" t="n">
        <v>3500000</v>
      </c>
      <c r="P1330" s="121" t="s">
        <v>18</v>
      </c>
      <c r="Q1330" s="121" t="s">
        <v>124</v>
      </c>
      <c r="R1330" s="127"/>
      <c r="T1330" s="118"/>
    </row>
    <row r="1331" customFormat="false" ht="12.75" hidden="false" customHeight="true" outlineLevel="0" collapsed="false">
      <c r="B1331" s="119" t="n">
        <f aca="false">ROW()-4</f>
        <v>1327</v>
      </c>
      <c r="C1331" s="120" t="n">
        <f aca="false">COUNTIFS($D$5:D1331,D1331)</f>
        <v>368</v>
      </c>
      <c r="D1331" s="121" t="s">
        <v>2006</v>
      </c>
      <c r="E1331" s="122" t="s">
        <v>2717</v>
      </c>
      <c r="F1331" s="123" t="n">
        <v>45182</v>
      </c>
      <c r="G1331" s="121" t="s">
        <v>22</v>
      </c>
      <c r="H133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A1327</v>
      </c>
      <c r="I133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B1327</v>
      </c>
      <c r="J1331" s="122" t="s">
        <v>2718</v>
      </c>
      <c r="K133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C1327</v>
      </c>
      <c r="L133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D1327</v>
      </c>
      <c r="M133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E1327</v>
      </c>
      <c r="N1331" s="122" t="s">
        <v>73</v>
      </c>
      <c r="O1331" s="126" t="n">
        <v>3500000</v>
      </c>
      <c r="P1331" s="121" t="s">
        <v>18</v>
      </c>
      <c r="Q1331" s="121" t="s">
        <v>124</v>
      </c>
      <c r="R1331" s="127"/>
      <c r="T1331" s="118"/>
    </row>
    <row r="1332" customFormat="false" ht="12.75" hidden="false" customHeight="true" outlineLevel="0" collapsed="false">
      <c r="B1332" s="119" t="n">
        <f aca="false">ROW()-4</f>
        <v>1328</v>
      </c>
      <c r="C1332" s="120" t="n">
        <f aca="false">COUNTIFS($D$5:D1332,D1332)</f>
        <v>369</v>
      </c>
      <c r="D1332" s="121" t="s">
        <v>2006</v>
      </c>
      <c r="E1332" s="122" t="s">
        <v>2719</v>
      </c>
      <c r="F1332" s="123" t="n">
        <v>45715</v>
      </c>
      <c r="G1332" s="121" t="s">
        <v>22</v>
      </c>
      <c r="H133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A1328</v>
      </c>
      <c r="I133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B1328</v>
      </c>
      <c r="J1332" s="122" t="s">
        <v>2720</v>
      </c>
      <c r="K133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C1328</v>
      </c>
      <c r="L133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D1328</v>
      </c>
      <c r="M133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E1328</v>
      </c>
      <c r="N1332" s="122" t="s">
        <v>73</v>
      </c>
      <c r="O1332" s="126" t="n">
        <v>3500000</v>
      </c>
      <c r="P1332" s="121" t="s">
        <v>18</v>
      </c>
      <c r="Q1332" s="121" t="s">
        <v>124</v>
      </c>
      <c r="R1332" s="127"/>
      <c r="T1332" s="118"/>
    </row>
    <row r="1333" customFormat="false" ht="12.75" hidden="false" customHeight="true" outlineLevel="0" collapsed="false">
      <c r="B1333" s="119" t="n">
        <f aca="false">ROW()-4</f>
        <v>1329</v>
      </c>
      <c r="C1333" s="120" t="n">
        <f aca="false">COUNTIFS($D$5:D1333,D1333)</f>
        <v>370</v>
      </c>
      <c r="D1333" s="121" t="s">
        <v>2006</v>
      </c>
      <c r="E1333" s="122" t="s">
        <v>2721</v>
      </c>
      <c r="F1333" s="123" t="n">
        <v>45789</v>
      </c>
      <c r="G1333" s="121" t="s">
        <v>22</v>
      </c>
      <c r="H133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A1329</v>
      </c>
      <c r="I133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B1329</v>
      </c>
      <c r="J1333" s="122" t="s">
        <v>685</v>
      </c>
      <c r="K133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C1329</v>
      </c>
      <c r="L133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D1329</v>
      </c>
      <c r="M133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E1329</v>
      </c>
      <c r="N1333" s="122" t="s">
        <v>73</v>
      </c>
      <c r="O1333" s="126" t="n">
        <v>3500000</v>
      </c>
      <c r="P1333" s="121" t="s">
        <v>18</v>
      </c>
      <c r="Q1333" s="121" t="s">
        <v>124</v>
      </c>
      <c r="R1333" s="127"/>
      <c r="T1333" s="118"/>
    </row>
    <row r="1334" customFormat="false" ht="12.75" hidden="false" customHeight="true" outlineLevel="0" collapsed="false">
      <c r="B1334" s="119" t="n">
        <f aca="false">ROW()-4</f>
        <v>1330</v>
      </c>
      <c r="C1334" s="120" t="n">
        <f aca="false">COUNTIFS($D$5:D1334,D1334)</f>
        <v>371</v>
      </c>
      <c r="D1334" s="121" t="s">
        <v>2006</v>
      </c>
      <c r="E1334" s="122" t="s">
        <v>2722</v>
      </c>
      <c r="F1334" s="123" t="n">
        <v>45188</v>
      </c>
      <c r="G1334" s="121" t="s">
        <v>24</v>
      </c>
      <c r="H133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A1330</v>
      </c>
      <c r="I133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B1330</v>
      </c>
      <c r="J1334" s="122" t="s">
        <v>2723</v>
      </c>
      <c r="K133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C1330</v>
      </c>
      <c r="L133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D1330</v>
      </c>
      <c r="M133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E1330</v>
      </c>
      <c r="N1334" s="122" t="s">
        <v>73</v>
      </c>
      <c r="O1334" s="126" t="n">
        <v>3500000</v>
      </c>
      <c r="P1334" s="121" t="s">
        <v>18</v>
      </c>
      <c r="Q1334" s="121" t="s">
        <v>124</v>
      </c>
      <c r="R1334" s="127"/>
      <c r="T1334" s="118"/>
    </row>
    <row r="1335" customFormat="false" ht="12.75" hidden="false" customHeight="true" outlineLevel="0" collapsed="false">
      <c r="B1335" s="119" t="n">
        <f aca="false">ROW()-4</f>
        <v>1331</v>
      </c>
      <c r="C1335" s="120" t="n">
        <f aca="false">COUNTIFS($D$5:D1335,D1335)</f>
        <v>372</v>
      </c>
      <c r="D1335" s="121" t="s">
        <v>2006</v>
      </c>
      <c r="E1335" s="122" t="s">
        <v>2724</v>
      </c>
      <c r="F1335" s="123" t="n">
        <v>45188</v>
      </c>
      <c r="G1335" s="121" t="s">
        <v>24</v>
      </c>
      <c r="H133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A1331</v>
      </c>
      <c r="I133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B1331</v>
      </c>
      <c r="J1335" s="122" t="s">
        <v>2725</v>
      </c>
      <c r="K133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C1331</v>
      </c>
      <c r="L133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D1331</v>
      </c>
      <c r="M133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E1331</v>
      </c>
      <c r="N1335" s="122" t="s">
        <v>73</v>
      </c>
      <c r="O1335" s="126" t="n">
        <v>3500000</v>
      </c>
      <c r="P1335" s="121" t="s">
        <v>18</v>
      </c>
      <c r="Q1335" s="121" t="s">
        <v>124</v>
      </c>
      <c r="R1335" s="127"/>
      <c r="T1335" s="118"/>
    </row>
    <row r="1336" customFormat="false" ht="12.75" hidden="false" customHeight="true" outlineLevel="0" collapsed="false">
      <c r="B1336" s="119" t="n">
        <f aca="false">ROW()-4</f>
        <v>1332</v>
      </c>
      <c r="C1336" s="120" t="n">
        <f aca="false">COUNTIFS($D$5:D1336,D1336)</f>
        <v>373</v>
      </c>
      <c r="D1336" s="121" t="s">
        <v>2006</v>
      </c>
      <c r="E1336" s="122" t="s">
        <v>2726</v>
      </c>
      <c r="F1336" s="123" t="n">
        <v>45175</v>
      </c>
      <c r="G1336" s="121" t="s">
        <v>28</v>
      </c>
      <c r="H133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A1332</v>
      </c>
      <c r="I133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B1332</v>
      </c>
      <c r="J1336" s="122" t="s">
        <v>2727</v>
      </c>
      <c r="K133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C1332</v>
      </c>
      <c r="L133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D1332</v>
      </c>
      <c r="M133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E1332</v>
      </c>
      <c r="N1336" s="122" t="s">
        <v>73</v>
      </c>
      <c r="O1336" s="126" t="n">
        <v>3500000</v>
      </c>
      <c r="P1336" s="121" t="s">
        <v>18</v>
      </c>
      <c r="Q1336" s="121" t="s">
        <v>124</v>
      </c>
      <c r="R1336" s="127"/>
      <c r="T1336" s="118"/>
    </row>
    <row r="1337" customFormat="false" ht="12.75" hidden="false" customHeight="true" outlineLevel="0" collapsed="false">
      <c r="B1337" s="119" t="n">
        <f aca="false">ROW()-4</f>
        <v>1333</v>
      </c>
      <c r="C1337" s="120" t="n">
        <f aca="false">COUNTIFS($D$5:D1337,D1337)</f>
        <v>374</v>
      </c>
      <c r="D1337" s="121" t="s">
        <v>2006</v>
      </c>
      <c r="E1337" s="122" t="s">
        <v>2728</v>
      </c>
      <c r="F1337" s="123" t="n">
        <v>45175</v>
      </c>
      <c r="G1337" s="121" t="s">
        <v>28</v>
      </c>
      <c r="H133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A1333</v>
      </c>
      <c r="I133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B1333</v>
      </c>
      <c r="J1337" s="122" t="s">
        <v>2729</v>
      </c>
      <c r="K133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C1333</v>
      </c>
      <c r="L133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D1333</v>
      </c>
      <c r="M133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E1333</v>
      </c>
      <c r="N1337" s="122" t="s">
        <v>73</v>
      </c>
      <c r="O1337" s="126" t="n">
        <v>3500000</v>
      </c>
      <c r="P1337" s="121" t="s">
        <v>18</v>
      </c>
      <c r="Q1337" s="121" t="s">
        <v>124</v>
      </c>
      <c r="R1337" s="127"/>
      <c r="T1337" s="118"/>
    </row>
    <row r="1338" customFormat="false" ht="12.75" hidden="false" customHeight="true" outlineLevel="0" collapsed="false">
      <c r="B1338" s="119" t="n">
        <f aca="false">ROW()-4</f>
        <v>1334</v>
      </c>
      <c r="C1338" s="120" t="n">
        <f aca="false">COUNTIFS($D$5:D1338,D1338)</f>
        <v>375</v>
      </c>
      <c r="D1338" s="121" t="s">
        <v>2006</v>
      </c>
      <c r="E1338" s="122" t="s">
        <v>2730</v>
      </c>
      <c r="F1338" s="123" t="n">
        <v>45189</v>
      </c>
      <c r="G1338" s="121" t="s">
        <v>28</v>
      </c>
      <c r="H133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A1334</v>
      </c>
      <c r="I133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B1334</v>
      </c>
      <c r="J1338" s="122" t="s">
        <v>2731</v>
      </c>
      <c r="K133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C1334</v>
      </c>
      <c r="L133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D1334</v>
      </c>
      <c r="M133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E1334</v>
      </c>
      <c r="N1338" s="122" t="s">
        <v>73</v>
      </c>
      <c r="O1338" s="126" t="n">
        <v>3500000</v>
      </c>
      <c r="P1338" s="121" t="s">
        <v>18</v>
      </c>
      <c r="Q1338" s="121" t="s">
        <v>124</v>
      </c>
      <c r="R1338" s="127"/>
      <c r="T1338" s="118"/>
    </row>
    <row r="1339" customFormat="false" ht="12.75" hidden="false" customHeight="true" outlineLevel="0" collapsed="false">
      <c r="B1339" s="119" t="n">
        <f aca="false">ROW()-4</f>
        <v>1335</v>
      </c>
      <c r="C1339" s="120" t="n">
        <f aca="false">COUNTIFS($D$5:D1339,D1339)</f>
        <v>376</v>
      </c>
      <c r="D1339" s="121" t="s">
        <v>2006</v>
      </c>
      <c r="E1339" s="122" t="s">
        <v>2732</v>
      </c>
      <c r="F1339" s="123" t="n">
        <v>45191</v>
      </c>
      <c r="G1339" s="121" t="s">
        <v>26</v>
      </c>
      <c r="H133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A1335</v>
      </c>
      <c r="I133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B1335</v>
      </c>
      <c r="J1339" s="122" t="s">
        <v>2733</v>
      </c>
      <c r="K133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C1335</v>
      </c>
      <c r="L133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D1335</v>
      </c>
      <c r="M133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E1335</v>
      </c>
      <c r="N1339" s="122" t="s">
        <v>73</v>
      </c>
      <c r="O1339" s="126" t="n">
        <v>3500000</v>
      </c>
      <c r="P1339" s="121" t="s">
        <v>18</v>
      </c>
      <c r="Q1339" s="121" t="s">
        <v>124</v>
      </c>
      <c r="R1339" s="127"/>
      <c r="T1339" s="118"/>
    </row>
    <row r="1340" customFormat="false" ht="12.75" hidden="false" customHeight="true" outlineLevel="0" collapsed="false">
      <c r="B1340" s="119" t="n">
        <f aca="false">ROW()-4</f>
        <v>1336</v>
      </c>
      <c r="C1340" s="120" t="n">
        <f aca="false">COUNTIFS($D$5:D1340,D1340)</f>
        <v>377</v>
      </c>
      <c r="D1340" s="121" t="s">
        <v>2006</v>
      </c>
      <c r="E1340" s="122" t="s">
        <v>2734</v>
      </c>
      <c r="F1340" s="123" t="n">
        <v>45209</v>
      </c>
      <c r="G1340" s="121" t="s">
        <v>28</v>
      </c>
      <c r="H134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A1336</v>
      </c>
      <c r="I134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B1336</v>
      </c>
      <c r="J1340" s="122" t="s">
        <v>2735</v>
      </c>
      <c r="K134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C1336</v>
      </c>
      <c r="L134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D1336</v>
      </c>
      <c r="M134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E1336</v>
      </c>
      <c r="N1340" s="122" t="s">
        <v>73</v>
      </c>
      <c r="O1340" s="126" t="n">
        <v>3500000</v>
      </c>
      <c r="P1340" s="121" t="s">
        <v>18</v>
      </c>
      <c r="Q1340" s="121" t="s">
        <v>124</v>
      </c>
      <c r="R1340" s="127"/>
      <c r="T1340" s="118"/>
    </row>
    <row r="1341" customFormat="false" ht="12.75" hidden="false" customHeight="true" outlineLevel="0" collapsed="false">
      <c r="B1341" s="119" t="n">
        <f aca="false">ROW()-4</f>
        <v>1337</v>
      </c>
      <c r="C1341" s="120" t="n">
        <f aca="false">COUNTIFS($D$5:D1341,D1341)</f>
        <v>378</v>
      </c>
      <c r="D1341" s="121" t="s">
        <v>2006</v>
      </c>
      <c r="E1341" s="122" t="s">
        <v>2736</v>
      </c>
      <c r="F1341" s="123" t="n">
        <v>45211</v>
      </c>
      <c r="G1341" s="121" t="s">
        <v>26</v>
      </c>
      <c r="H134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A1337</v>
      </c>
      <c r="I134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B1337</v>
      </c>
      <c r="J1341" s="122" t="s">
        <v>2737</v>
      </c>
      <c r="K134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C1337</v>
      </c>
      <c r="L134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D1337</v>
      </c>
      <c r="M134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E1337</v>
      </c>
      <c r="N1341" s="122" t="s">
        <v>73</v>
      </c>
      <c r="O1341" s="126" t="n">
        <v>3500000</v>
      </c>
      <c r="P1341" s="121" t="s">
        <v>18</v>
      </c>
      <c r="Q1341" s="121" t="s">
        <v>124</v>
      </c>
      <c r="R1341" s="127"/>
      <c r="T1341" s="118"/>
    </row>
    <row r="1342" customFormat="false" ht="12.75" hidden="false" customHeight="true" outlineLevel="0" collapsed="false">
      <c r="B1342" s="119" t="n">
        <f aca="false">ROW()-4</f>
        <v>1338</v>
      </c>
      <c r="C1342" s="120" t="n">
        <f aca="false">COUNTIFS($D$5:D1342,D1342)</f>
        <v>379</v>
      </c>
      <c r="D1342" s="121" t="s">
        <v>2006</v>
      </c>
      <c r="E1342" s="122" t="s">
        <v>2738</v>
      </c>
      <c r="F1342" s="123" t="n">
        <v>45216</v>
      </c>
      <c r="G1342" s="121" t="s">
        <v>26</v>
      </c>
      <c r="H134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A1338</v>
      </c>
      <c r="I134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B1338</v>
      </c>
      <c r="J1342" s="122" t="s">
        <v>2739</v>
      </c>
      <c r="K134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C1338</v>
      </c>
      <c r="L134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D1338</v>
      </c>
      <c r="M134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E1338</v>
      </c>
      <c r="N1342" s="122" t="s">
        <v>73</v>
      </c>
      <c r="O1342" s="126" t="n">
        <v>3500000</v>
      </c>
      <c r="P1342" s="121" t="s">
        <v>18</v>
      </c>
      <c r="Q1342" s="121" t="s">
        <v>124</v>
      </c>
      <c r="R1342" s="127"/>
      <c r="T1342" s="118"/>
    </row>
    <row r="1343" customFormat="false" ht="12.75" hidden="false" customHeight="true" outlineLevel="0" collapsed="false">
      <c r="B1343" s="119" t="n">
        <f aca="false">ROW()-4</f>
        <v>1339</v>
      </c>
      <c r="C1343" s="120" t="n">
        <f aca="false">COUNTIFS($D$5:D1343,D1343)</f>
        <v>380</v>
      </c>
      <c r="D1343" s="121" t="s">
        <v>2006</v>
      </c>
      <c r="E1343" s="122" t="s">
        <v>2740</v>
      </c>
      <c r="F1343" s="123" t="n">
        <v>45191</v>
      </c>
      <c r="G1343" s="121" t="s">
        <v>30</v>
      </c>
      <c r="H134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A1339</v>
      </c>
      <c r="I134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B1339</v>
      </c>
      <c r="J1343" s="122" t="s">
        <v>2741</v>
      </c>
      <c r="K134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C1339</v>
      </c>
      <c r="L134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D1339</v>
      </c>
      <c r="M134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E1339</v>
      </c>
      <c r="N1343" s="122" t="s">
        <v>73</v>
      </c>
      <c r="O1343" s="126" t="n">
        <v>3500000</v>
      </c>
      <c r="P1343" s="121" t="s">
        <v>18</v>
      </c>
      <c r="Q1343" s="121" t="s">
        <v>124</v>
      </c>
      <c r="R1343" s="127"/>
      <c r="T1343" s="118"/>
    </row>
    <row r="1344" customFormat="false" ht="12.75" hidden="false" customHeight="true" outlineLevel="0" collapsed="false">
      <c r="B1344" s="119" t="n">
        <f aca="false">ROW()-4</f>
        <v>1340</v>
      </c>
      <c r="C1344" s="120" t="n">
        <f aca="false">COUNTIFS($D$5:D1344,D1344)</f>
        <v>381</v>
      </c>
      <c r="D1344" s="121" t="s">
        <v>2006</v>
      </c>
      <c r="E1344" s="122" t="s">
        <v>2742</v>
      </c>
      <c r="F1344" s="123" t="n">
        <v>45189</v>
      </c>
      <c r="G1344" s="121" t="s">
        <v>22</v>
      </c>
      <c r="H134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A1340</v>
      </c>
      <c r="I134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B1340</v>
      </c>
      <c r="J1344" s="122" t="s">
        <v>2743</v>
      </c>
      <c r="K134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C1340</v>
      </c>
      <c r="L134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D1340</v>
      </c>
      <c r="M134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E1340</v>
      </c>
      <c r="N1344" s="122" t="s">
        <v>73</v>
      </c>
      <c r="O1344" s="126" t="n">
        <v>3500000</v>
      </c>
      <c r="P1344" s="121" t="s">
        <v>18</v>
      </c>
      <c r="Q1344" s="121" t="s">
        <v>124</v>
      </c>
      <c r="R1344" s="127"/>
      <c r="T1344" s="118"/>
    </row>
    <row r="1345" customFormat="false" ht="12.75" hidden="false" customHeight="true" outlineLevel="0" collapsed="false">
      <c r="B1345" s="119" t="n">
        <f aca="false">ROW()-4</f>
        <v>1341</v>
      </c>
      <c r="C1345" s="120" t="n">
        <f aca="false">COUNTIFS($D$5:D1345,D1345)</f>
        <v>382</v>
      </c>
      <c r="D1345" s="121" t="s">
        <v>2006</v>
      </c>
      <c r="E1345" s="122" t="s">
        <v>2744</v>
      </c>
      <c r="F1345" s="123" t="n">
        <v>45216</v>
      </c>
      <c r="G1345" s="121" t="s">
        <v>22</v>
      </c>
      <c r="H134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A1341</v>
      </c>
      <c r="I134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B1341</v>
      </c>
      <c r="J1345" s="122" t="s">
        <v>2111</v>
      </c>
      <c r="K134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C1341</v>
      </c>
      <c r="L134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D1341</v>
      </c>
      <c r="M134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E1341</v>
      </c>
      <c r="N1345" s="122" t="s">
        <v>73</v>
      </c>
      <c r="O1345" s="126" t="n">
        <v>3500000</v>
      </c>
      <c r="P1345" s="121" t="s">
        <v>18</v>
      </c>
      <c r="Q1345" s="121" t="s">
        <v>124</v>
      </c>
      <c r="R1345" s="127"/>
      <c r="T1345" s="118"/>
    </row>
    <row r="1346" customFormat="false" ht="12.75" hidden="false" customHeight="true" outlineLevel="0" collapsed="false">
      <c r="B1346" s="119" t="n">
        <f aca="false">ROW()-4</f>
        <v>1342</v>
      </c>
      <c r="C1346" s="120" t="n">
        <f aca="false">COUNTIFS($D$5:D1346,D1346)</f>
        <v>383</v>
      </c>
      <c r="D1346" s="121" t="s">
        <v>2006</v>
      </c>
      <c r="E1346" s="122" t="s">
        <v>2745</v>
      </c>
      <c r="F1346" s="123" t="n">
        <v>45229</v>
      </c>
      <c r="G1346" s="121" t="s">
        <v>26</v>
      </c>
      <c r="H134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A1342</v>
      </c>
      <c r="I134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B1342</v>
      </c>
      <c r="J1346" s="122" t="s">
        <v>2746</v>
      </c>
      <c r="K134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C1342</v>
      </c>
      <c r="L134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D1342</v>
      </c>
      <c r="M134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E1342</v>
      </c>
      <c r="N1346" s="122" t="s">
        <v>73</v>
      </c>
      <c r="O1346" s="126" t="n">
        <v>3500000</v>
      </c>
      <c r="P1346" s="121" t="s">
        <v>18</v>
      </c>
      <c r="Q1346" s="121" t="s">
        <v>124</v>
      </c>
      <c r="R1346" s="127"/>
      <c r="T1346" s="118"/>
    </row>
    <row r="1347" customFormat="false" ht="12.75" hidden="false" customHeight="true" outlineLevel="0" collapsed="false">
      <c r="B1347" s="119" t="n">
        <f aca="false">ROW()-4</f>
        <v>1343</v>
      </c>
      <c r="C1347" s="120" t="n">
        <f aca="false">COUNTIFS($D$5:D1347,D1347)</f>
        <v>384</v>
      </c>
      <c r="D1347" s="121" t="s">
        <v>2006</v>
      </c>
      <c r="E1347" s="122" t="s">
        <v>2747</v>
      </c>
      <c r="F1347" s="123" t="n">
        <v>45230</v>
      </c>
      <c r="G1347" s="121" t="s">
        <v>28</v>
      </c>
      <c r="H134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A1343</v>
      </c>
      <c r="I134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B1343</v>
      </c>
      <c r="J1347" s="122" t="s">
        <v>2748</v>
      </c>
      <c r="K134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C1343</v>
      </c>
      <c r="L134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D1343</v>
      </c>
      <c r="M134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E1343</v>
      </c>
      <c r="N1347" s="122" t="s">
        <v>73</v>
      </c>
      <c r="O1347" s="126" t="n">
        <v>3500000</v>
      </c>
      <c r="P1347" s="121" t="s">
        <v>18</v>
      </c>
      <c r="Q1347" s="121" t="s">
        <v>124</v>
      </c>
      <c r="R1347" s="127"/>
      <c r="T1347" s="118"/>
    </row>
    <row r="1348" customFormat="false" ht="12.75" hidden="false" customHeight="true" outlineLevel="0" collapsed="false">
      <c r="B1348" s="119" t="n">
        <f aca="false">ROW()-4</f>
        <v>1344</v>
      </c>
      <c r="C1348" s="120" t="n">
        <f aca="false">COUNTIFS($D$5:D1348,D1348)</f>
        <v>385</v>
      </c>
      <c r="D1348" s="121" t="s">
        <v>2006</v>
      </c>
      <c r="E1348" s="122" t="s">
        <v>2749</v>
      </c>
      <c r="F1348" s="123" t="n">
        <v>45195</v>
      </c>
      <c r="G1348" s="121" t="s">
        <v>30</v>
      </c>
      <c r="H134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A1344</v>
      </c>
      <c r="I134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B1344</v>
      </c>
      <c r="J1348" s="122" t="s">
        <v>2750</v>
      </c>
      <c r="K134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C1344</v>
      </c>
      <c r="L134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D1344</v>
      </c>
      <c r="M134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E1344</v>
      </c>
      <c r="N1348" s="122" t="s">
        <v>73</v>
      </c>
      <c r="O1348" s="126" t="n">
        <v>3500000</v>
      </c>
      <c r="P1348" s="121" t="s">
        <v>18</v>
      </c>
      <c r="Q1348" s="121" t="s">
        <v>124</v>
      </c>
      <c r="R1348" s="127"/>
      <c r="T1348" s="118"/>
    </row>
    <row r="1349" customFormat="false" ht="12.75" hidden="false" customHeight="true" outlineLevel="0" collapsed="false">
      <c r="B1349" s="119" t="n">
        <f aca="false">ROW()-4</f>
        <v>1345</v>
      </c>
      <c r="C1349" s="120" t="n">
        <f aca="false">COUNTIFS($D$5:D1349,D1349)</f>
        <v>386</v>
      </c>
      <c r="D1349" s="121" t="s">
        <v>2006</v>
      </c>
      <c r="E1349" s="122" t="s">
        <v>2751</v>
      </c>
      <c r="F1349" s="123" t="n">
        <v>45138</v>
      </c>
      <c r="G1349" s="121" t="s">
        <v>22</v>
      </c>
      <c r="H134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A1345</v>
      </c>
      <c r="I134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B1345</v>
      </c>
      <c r="J1349" s="122" t="s">
        <v>2752</v>
      </c>
      <c r="K134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C1345</v>
      </c>
      <c r="L134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D1345</v>
      </c>
      <c r="M134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E1345</v>
      </c>
      <c r="N1349" s="122" t="s">
        <v>73</v>
      </c>
      <c r="O1349" s="126" t="n">
        <v>3500000</v>
      </c>
      <c r="P1349" s="121" t="s">
        <v>18</v>
      </c>
      <c r="Q1349" s="121" t="s">
        <v>124</v>
      </c>
      <c r="R1349" s="127"/>
      <c r="T1349" s="118"/>
    </row>
    <row r="1350" customFormat="false" ht="12.75" hidden="false" customHeight="true" outlineLevel="0" collapsed="false">
      <c r="B1350" s="119" t="n">
        <f aca="false">ROW()-4</f>
        <v>1346</v>
      </c>
      <c r="C1350" s="120" t="n">
        <f aca="false">COUNTIFS($D$5:D1350,D1350)</f>
        <v>387</v>
      </c>
      <c r="D1350" s="121" t="s">
        <v>2006</v>
      </c>
      <c r="E1350" s="122" t="s">
        <v>2753</v>
      </c>
      <c r="F1350" s="123" t="n">
        <v>45229</v>
      </c>
      <c r="G1350" s="121" t="s">
        <v>30</v>
      </c>
      <c r="H135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A1346</v>
      </c>
      <c r="I135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B1346</v>
      </c>
      <c r="J1350" s="122" t="s">
        <v>2754</v>
      </c>
      <c r="K135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C1346</v>
      </c>
      <c r="L135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D1346</v>
      </c>
      <c r="M135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E1346</v>
      </c>
      <c r="N1350" s="122" t="s">
        <v>73</v>
      </c>
      <c r="O1350" s="126" t="n">
        <v>3500000</v>
      </c>
      <c r="P1350" s="121" t="s">
        <v>18</v>
      </c>
      <c r="Q1350" s="121" t="s">
        <v>124</v>
      </c>
      <c r="R1350" s="127"/>
      <c r="T1350" s="118"/>
    </row>
    <row r="1351" customFormat="false" ht="12.75" hidden="false" customHeight="true" outlineLevel="0" collapsed="false">
      <c r="B1351" s="119" t="n">
        <f aca="false">ROW()-4</f>
        <v>1347</v>
      </c>
      <c r="C1351" s="120" t="n">
        <f aca="false">COUNTIFS($D$5:D1351,D1351)</f>
        <v>388</v>
      </c>
      <c r="D1351" s="121" t="s">
        <v>2006</v>
      </c>
      <c r="E1351" s="122" t="s">
        <v>2755</v>
      </c>
      <c r="F1351" s="123" t="n">
        <v>45195</v>
      </c>
      <c r="G1351" s="121" t="s">
        <v>30</v>
      </c>
      <c r="H135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A1347</v>
      </c>
      <c r="I135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B1347</v>
      </c>
      <c r="J1351" s="122" t="s">
        <v>2756</v>
      </c>
      <c r="K135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C1347</v>
      </c>
      <c r="L135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D1347</v>
      </c>
      <c r="M135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E1347</v>
      </c>
      <c r="N1351" s="122" t="s">
        <v>73</v>
      </c>
      <c r="O1351" s="126" t="n">
        <v>3500000</v>
      </c>
      <c r="P1351" s="121" t="s">
        <v>18</v>
      </c>
      <c r="Q1351" s="121" t="s">
        <v>124</v>
      </c>
      <c r="R1351" s="127"/>
      <c r="T1351" s="118"/>
    </row>
    <row r="1352" customFormat="false" ht="12.75" hidden="false" customHeight="true" outlineLevel="0" collapsed="false">
      <c r="B1352" s="119" t="n">
        <f aca="false">ROW()-4</f>
        <v>1348</v>
      </c>
      <c r="C1352" s="120" t="n">
        <f aca="false">COUNTIFS($D$5:D1352,D1352)</f>
        <v>389</v>
      </c>
      <c r="D1352" s="121" t="s">
        <v>2006</v>
      </c>
      <c r="E1352" s="122" t="s">
        <v>2757</v>
      </c>
      <c r="F1352" s="123" t="n">
        <v>45064</v>
      </c>
      <c r="G1352" s="121" t="s">
        <v>22</v>
      </c>
      <c r="H135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A1348</v>
      </c>
      <c r="I135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B1348</v>
      </c>
      <c r="J1352" s="122" t="s">
        <v>2758</v>
      </c>
      <c r="K135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C1348</v>
      </c>
      <c r="L135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D1348</v>
      </c>
      <c r="M135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E1348</v>
      </c>
      <c r="N1352" s="122" t="s">
        <v>73</v>
      </c>
      <c r="O1352" s="126" t="n">
        <v>3500000</v>
      </c>
      <c r="P1352" s="121" t="s">
        <v>18</v>
      </c>
      <c r="Q1352" s="121" t="s">
        <v>124</v>
      </c>
      <c r="R1352" s="127"/>
      <c r="T1352" s="118"/>
    </row>
    <row r="1353" customFormat="false" ht="12.75" hidden="false" customHeight="true" outlineLevel="0" collapsed="false">
      <c r="B1353" s="119" t="n">
        <f aca="false">ROW()-4</f>
        <v>1349</v>
      </c>
      <c r="C1353" s="120" t="n">
        <f aca="false">COUNTIFS($D$5:D1353,D1353)</f>
        <v>390</v>
      </c>
      <c r="D1353" s="121" t="s">
        <v>2006</v>
      </c>
      <c r="E1353" s="122" t="s">
        <v>2759</v>
      </c>
      <c r="F1353" s="123" t="n">
        <v>45229</v>
      </c>
      <c r="G1353" s="121" t="s">
        <v>22</v>
      </c>
      <c r="H135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A1349</v>
      </c>
      <c r="I135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B1349</v>
      </c>
      <c r="J1353" s="122" t="s">
        <v>2760</v>
      </c>
      <c r="K135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C1349</v>
      </c>
      <c r="L135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D1349</v>
      </c>
      <c r="M135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E1349</v>
      </c>
      <c r="N1353" s="122" t="s">
        <v>73</v>
      </c>
      <c r="O1353" s="126" t="n">
        <v>3500000</v>
      </c>
      <c r="P1353" s="121" t="s">
        <v>18</v>
      </c>
      <c r="Q1353" s="121" t="s">
        <v>124</v>
      </c>
      <c r="R1353" s="127"/>
      <c r="T1353" s="118"/>
    </row>
    <row r="1354" customFormat="false" ht="12.75" hidden="false" customHeight="true" outlineLevel="0" collapsed="false">
      <c r="B1354" s="119" t="n">
        <f aca="false">ROW()-4</f>
        <v>1350</v>
      </c>
      <c r="C1354" s="120" t="n">
        <f aca="false">COUNTIFS($D$5:D1354,D1354)</f>
        <v>391</v>
      </c>
      <c r="D1354" s="121" t="s">
        <v>2006</v>
      </c>
      <c r="E1354" s="122" t="s">
        <v>2761</v>
      </c>
      <c r="F1354" s="123" t="n">
        <v>45222</v>
      </c>
      <c r="G1354" s="121" t="s">
        <v>22</v>
      </c>
      <c r="H135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A1350</v>
      </c>
      <c r="I135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B1350</v>
      </c>
      <c r="J1354" s="122" t="s">
        <v>2762</v>
      </c>
      <c r="K135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C1350</v>
      </c>
      <c r="L135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D1350</v>
      </c>
      <c r="M135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E1350</v>
      </c>
      <c r="N1354" s="122" t="s">
        <v>73</v>
      </c>
      <c r="O1354" s="126" t="n">
        <v>3500000</v>
      </c>
      <c r="P1354" s="121" t="s">
        <v>18</v>
      </c>
      <c r="Q1354" s="121" t="s">
        <v>124</v>
      </c>
      <c r="R1354" s="127"/>
      <c r="T1354" s="118"/>
    </row>
    <row r="1355" customFormat="false" ht="12.75" hidden="false" customHeight="true" outlineLevel="0" collapsed="false">
      <c r="B1355" s="119" t="n">
        <f aca="false">ROW()-4</f>
        <v>1351</v>
      </c>
      <c r="C1355" s="120" t="n">
        <f aca="false">COUNTIFS($D$5:D1355,D1355)</f>
        <v>392</v>
      </c>
      <c r="D1355" s="121" t="s">
        <v>2006</v>
      </c>
      <c r="E1355" s="122" t="s">
        <v>2763</v>
      </c>
      <c r="F1355" s="123" t="n">
        <v>45237</v>
      </c>
      <c r="G1355" s="121" t="s">
        <v>22</v>
      </c>
      <c r="H135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A1351</v>
      </c>
      <c r="I135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B1351</v>
      </c>
      <c r="J1355" s="122" t="s">
        <v>2764</v>
      </c>
      <c r="K135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C1351</v>
      </c>
      <c r="L135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D1351</v>
      </c>
      <c r="M135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E1351</v>
      </c>
      <c r="N1355" s="122" t="s">
        <v>73</v>
      </c>
      <c r="O1355" s="126" t="n">
        <v>3500000</v>
      </c>
      <c r="P1355" s="121" t="s">
        <v>18</v>
      </c>
      <c r="Q1355" s="121" t="s">
        <v>124</v>
      </c>
      <c r="R1355" s="127"/>
      <c r="T1355" s="118"/>
    </row>
    <row r="1356" customFormat="false" ht="12.75" hidden="false" customHeight="true" outlineLevel="0" collapsed="false">
      <c r="B1356" s="119" t="n">
        <f aca="false">ROW()-4</f>
        <v>1352</v>
      </c>
      <c r="C1356" s="120" t="n">
        <f aca="false">COUNTIFS($D$5:D1356,D1356)</f>
        <v>393</v>
      </c>
      <c r="D1356" s="121" t="s">
        <v>2006</v>
      </c>
      <c r="E1356" s="122" t="s">
        <v>2765</v>
      </c>
      <c r="F1356" s="123" t="n">
        <v>45533</v>
      </c>
      <c r="G1356" s="121" t="s">
        <v>22</v>
      </c>
      <c r="H135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A1352</v>
      </c>
      <c r="I135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B1352</v>
      </c>
      <c r="J1356" s="122" t="s">
        <v>2766</v>
      </c>
      <c r="K135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C1352</v>
      </c>
      <c r="L135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D1352</v>
      </c>
      <c r="M135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E1352</v>
      </c>
      <c r="N1356" s="122" t="s">
        <v>73</v>
      </c>
      <c r="O1356" s="126" t="n">
        <v>3500000</v>
      </c>
      <c r="P1356" s="121" t="s">
        <v>18</v>
      </c>
      <c r="Q1356" s="121" t="s">
        <v>124</v>
      </c>
      <c r="R1356" s="127"/>
      <c r="T1356" s="118"/>
    </row>
    <row r="1357" customFormat="false" ht="12.75" hidden="false" customHeight="true" outlineLevel="0" collapsed="false">
      <c r="B1357" s="119" t="n">
        <f aca="false">ROW()-4</f>
        <v>1353</v>
      </c>
      <c r="C1357" s="120" t="n">
        <f aca="false">COUNTIFS($D$5:D1357,D1357)</f>
        <v>394</v>
      </c>
      <c r="D1357" s="121" t="s">
        <v>2006</v>
      </c>
      <c r="E1357" s="122" t="s">
        <v>2767</v>
      </c>
      <c r="F1357" s="123" t="n">
        <v>45547</v>
      </c>
      <c r="G1357" s="121" t="s">
        <v>22</v>
      </c>
      <c r="H135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A1353</v>
      </c>
      <c r="I135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B1353</v>
      </c>
      <c r="J1357" s="122" t="s">
        <v>2768</v>
      </c>
      <c r="K135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C1353</v>
      </c>
      <c r="L135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D1353</v>
      </c>
      <c r="M135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E1353</v>
      </c>
      <c r="N1357" s="122" t="s">
        <v>73</v>
      </c>
      <c r="O1357" s="126" t="n">
        <v>3500000</v>
      </c>
      <c r="P1357" s="121" t="s">
        <v>18</v>
      </c>
      <c r="Q1357" s="121" t="s">
        <v>124</v>
      </c>
      <c r="R1357" s="127"/>
      <c r="T1357" s="118"/>
    </row>
    <row r="1358" customFormat="false" ht="12.75" hidden="false" customHeight="true" outlineLevel="0" collapsed="false">
      <c r="B1358" s="119" t="n">
        <f aca="false">ROW()-4</f>
        <v>1354</v>
      </c>
      <c r="C1358" s="120" t="n">
        <f aca="false">COUNTIFS($D$5:D1358,D1358)</f>
        <v>395</v>
      </c>
      <c r="D1358" s="121" t="s">
        <v>2006</v>
      </c>
      <c r="E1358" s="122" t="s">
        <v>2769</v>
      </c>
      <c r="F1358" s="123" t="n">
        <v>45974</v>
      </c>
      <c r="G1358" s="121" t="s">
        <v>22</v>
      </c>
      <c r="H135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A1354</v>
      </c>
      <c r="I135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B1354</v>
      </c>
      <c r="J1358" s="122" t="s">
        <v>2770</v>
      </c>
      <c r="K135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C1354</v>
      </c>
      <c r="L135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D1354</v>
      </c>
      <c r="M135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E1354</v>
      </c>
      <c r="N1358" s="122" t="s">
        <v>73</v>
      </c>
      <c r="O1358" s="126" t="n">
        <v>3500000</v>
      </c>
      <c r="P1358" s="121" t="s">
        <v>18</v>
      </c>
      <c r="Q1358" s="121" t="s">
        <v>124</v>
      </c>
      <c r="R1358" s="127"/>
      <c r="T1358" s="118"/>
    </row>
    <row r="1359" customFormat="false" ht="12.75" hidden="false" customHeight="true" outlineLevel="0" collapsed="false">
      <c r="B1359" s="119" t="n">
        <f aca="false">ROW()-4</f>
        <v>1355</v>
      </c>
      <c r="C1359" s="120" t="n">
        <f aca="false">COUNTIFS($D$5:D1359,D1359)</f>
        <v>396</v>
      </c>
      <c r="D1359" s="121" t="s">
        <v>2006</v>
      </c>
      <c r="E1359" s="122" t="s">
        <v>2771</v>
      </c>
      <c r="F1359" s="123" t="n">
        <v>45266</v>
      </c>
      <c r="G1359" s="121" t="s">
        <v>22</v>
      </c>
      <c r="H135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A1355</v>
      </c>
      <c r="I135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B1355</v>
      </c>
      <c r="J1359" s="122" t="s">
        <v>2772</v>
      </c>
      <c r="K135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C1355</v>
      </c>
      <c r="L135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D1355</v>
      </c>
      <c r="M135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E1355</v>
      </c>
      <c r="N1359" s="122" t="s">
        <v>73</v>
      </c>
      <c r="O1359" s="126" t="n">
        <v>3500000</v>
      </c>
      <c r="P1359" s="121" t="s">
        <v>18</v>
      </c>
      <c r="Q1359" s="121" t="s">
        <v>124</v>
      </c>
      <c r="R1359" s="127"/>
      <c r="T1359" s="118"/>
    </row>
    <row r="1360" customFormat="false" ht="12.75" hidden="false" customHeight="true" outlineLevel="0" collapsed="false">
      <c r="B1360" s="119" t="n">
        <f aca="false">ROW()-4</f>
        <v>1356</v>
      </c>
      <c r="C1360" s="120" t="n">
        <f aca="false">COUNTIFS($D$5:D1360,D1360)</f>
        <v>397</v>
      </c>
      <c r="D1360" s="121" t="s">
        <v>2006</v>
      </c>
      <c r="E1360" s="122" t="s">
        <v>2773</v>
      </c>
      <c r="F1360" s="123" t="n">
        <v>45265</v>
      </c>
      <c r="G1360" s="121" t="s">
        <v>22</v>
      </c>
      <c r="H136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A1356</v>
      </c>
      <c r="I136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B1356</v>
      </c>
      <c r="J1360" s="122" t="s">
        <v>2774</v>
      </c>
      <c r="K136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C1356</v>
      </c>
      <c r="L136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D1356</v>
      </c>
      <c r="M136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E1356</v>
      </c>
      <c r="N1360" s="122" t="s">
        <v>73</v>
      </c>
      <c r="O1360" s="126" t="n">
        <v>3500000</v>
      </c>
      <c r="P1360" s="121" t="s">
        <v>18</v>
      </c>
      <c r="Q1360" s="121" t="s">
        <v>124</v>
      </c>
      <c r="R1360" s="127"/>
      <c r="T1360" s="118"/>
    </row>
    <row r="1361" customFormat="false" ht="12.75" hidden="false" customHeight="true" outlineLevel="0" collapsed="false">
      <c r="B1361" s="119" t="n">
        <f aca="false">ROW()-4</f>
        <v>1357</v>
      </c>
      <c r="C1361" s="120" t="n">
        <f aca="false">COUNTIFS($D$5:D1361,D1361)</f>
        <v>398</v>
      </c>
      <c r="D1361" s="121" t="s">
        <v>2006</v>
      </c>
      <c r="E1361" s="122" t="s">
        <v>2775</v>
      </c>
      <c r="F1361" s="123" t="n">
        <v>45253</v>
      </c>
      <c r="G1361" s="121" t="s">
        <v>30</v>
      </c>
      <c r="H136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A1357</v>
      </c>
      <c r="I136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B1357</v>
      </c>
      <c r="J1361" s="122" t="s">
        <v>2776</v>
      </c>
      <c r="K136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C1357</v>
      </c>
      <c r="L136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D1357</v>
      </c>
      <c r="M136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E1357</v>
      </c>
      <c r="N1361" s="122" t="s">
        <v>73</v>
      </c>
      <c r="O1361" s="126" t="n">
        <v>3500000</v>
      </c>
      <c r="P1361" s="121" t="s">
        <v>18</v>
      </c>
      <c r="Q1361" s="121" t="s">
        <v>124</v>
      </c>
      <c r="R1361" s="127"/>
      <c r="T1361" s="118"/>
    </row>
    <row r="1362" customFormat="false" ht="12.75" hidden="false" customHeight="true" outlineLevel="0" collapsed="false">
      <c r="B1362" s="119" t="n">
        <f aca="false">ROW()-4</f>
        <v>1358</v>
      </c>
      <c r="C1362" s="120" t="n">
        <f aca="false">COUNTIFS($D$5:D1362,D1362)</f>
        <v>399</v>
      </c>
      <c r="D1362" s="121" t="s">
        <v>2006</v>
      </c>
      <c r="E1362" s="122" t="s">
        <v>2777</v>
      </c>
      <c r="F1362" s="123" t="n">
        <v>45286</v>
      </c>
      <c r="G1362" s="121" t="s">
        <v>22</v>
      </c>
      <c r="H136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A1358</v>
      </c>
      <c r="I136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B1358</v>
      </c>
      <c r="J1362" s="122" t="s">
        <v>2778</v>
      </c>
      <c r="K136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C1358</v>
      </c>
      <c r="L136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D1358</v>
      </c>
      <c r="M136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E1358</v>
      </c>
      <c r="N1362" s="122" t="s">
        <v>73</v>
      </c>
      <c r="O1362" s="126" t="n">
        <v>3500000</v>
      </c>
      <c r="P1362" s="121" t="s">
        <v>18</v>
      </c>
      <c r="Q1362" s="121" t="s">
        <v>124</v>
      </c>
      <c r="R1362" s="127"/>
      <c r="T1362" s="118"/>
    </row>
    <row r="1363" customFormat="false" ht="12.75" hidden="false" customHeight="true" outlineLevel="0" collapsed="false">
      <c r="B1363" s="119" t="n">
        <f aca="false">ROW()-4</f>
        <v>1359</v>
      </c>
      <c r="C1363" s="120" t="n">
        <f aca="false">COUNTIFS($D$5:D1363,D1363)</f>
        <v>400</v>
      </c>
      <c r="D1363" s="121" t="s">
        <v>2006</v>
      </c>
      <c r="E1363" s="122" t="s">
        <v>2779</v>
      </c>
      <c r="F1363" s="123" t="n">
        <v>45296</v>
      </c>
      <c r="G1363" s="121" t="s">
        <v>28</v>
      </c>
      <c r="H136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A1359</v>
      </c>
      <c r="I136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B1359</v>
      </c>
      <c r="J1363" s="122" t="s">
        <v>2780</v>
      </c>
      <c r="K136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C1359</v>
      </c>
      <c r="L136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D1359</v>
      </c>
      <c r="M136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E1359</v>
      </c>
      <c r="N1363" s="122" t="s">
        <v>73</v>
      </c>
      <c r="O1363" s="126" t="n">
        <v>3500000</v>
      </c>
      <c r="P1363" s="121" t="s">
        <v>18</v>
      </c>
      <c r="Q1363" s="121" t="s">
        <v>124</v>
      </c>
      <c r="R1363" s="127"/>
      <c r="T1363" s="118"/>
    </row>
    <row r="1364" customFormat="false" ht="12.75" hidden="false" customHeight="true" outlineLevel="0" collapsed="false">
      <c r="B1364" s="119" t="n">
        <f aca="false">ROW()-4</f>
        <v>1360</v>
      </c>
      <c r="C1364" s="120" t="n">
        <f aca="false">COUNTIFS($D$5:D1364,D1364)</f>
        <v>401</v>
      </c>
      <c r="D1364" s="121" t="s">
        <v>2006</v>
      </c>
      <c r="E1364" s="122" t="s">
        <v>2781</v>
      </c>
      <c r="F1364" s="123" t="n">
        <v>45306</v>
      </c>
      <c r="G1364" s="121" t="s">
        <v>22</v>
      </c>
      <c r="H136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A1360</v>
      </c>
      <c r="I136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B1360</v>
      </c>
      <c r="J1364" s="122" t="s">
        <v>2782</v>
      </c>
      <c r="K136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C1360</v>
      </c>
      <c r="L136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D1360</v>
      </c>
      <c r="M136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E1360</v>
      </c>
      <c r="N1364" s="122" t="s">
        <v>73</v>
      </c>
      <c r="O1364" s="126" t="n">
        <v>3500000</v>
      </c>
      <c r="P1364" s="121" t="s">
        <v>18</v>
      </c>
      <c r="Q1364" s="121" t="s">
        <v>124</v>
      </c>
      <c r="R1364" s="127"/>
      <c r="T1364" s="118"/>
    </row>
    <row r="1365" customFormat="false" ht="12.75" hidden="false" customHeight="true" outlineLevel="0" collapsed="false">
      <c r="B1365" s="119" t="n">
        <f aca="false">ROW()-4</f>
        <v>1361</v>
      </c>
      <c r="C1365" s="120" t="n">
        <f aca="false">COUNTIFS($D$5:D1365,D1365)</f>
        <v>402</v>
      </c>
      <c r="D1365" s="121" t="s">
        <v>2006</v>
      </c>
      <c r="E1365" s="122" t="s">
        <v>2783</v>
      </c>
      <c r="F1365" s="123" t="n">
        <v>45306</v>
      </c>
      <c r="G1365" s="121" t="s">
        <v>22</v>
      </c>
      <c r="H136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A1361</v>
      </c>
      <c r="I136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B1361</v>
      </c>
      <c r="J1365" s="122" t="s">
        <v>2784</v>
      </c>
      <c r="K136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C1361</v>
      </c>
      <c r="L136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D1361</v>
      </c>
      <c r="M136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E1361</v>
      </c>
      <c r="N1365" s="122" t="s">
        <v>73</v>
      </c>
      <c r="O1365" s="126" t="n">
        <v>3500000</v>
      </c>
      <c r="P1365" s="121" t="s">
        <v>18</v>
      </c>
      <c r="Q1365" s="121" t="s">
        <v>124</v>
      </c>
      <c r="R1365" s="127"/>
      <c r="T1365" s="118"/>
    </row>
    <row r="1366" customFormat="false" ht="12.75" hidden="false" customHeight="true" outlineLevel="0" collapsed="false">
      <c r="B1366" s="119" t="n">
        <f aca="false">ROW()-4</f>
        <v>1362</v>
      </c>
      <c r="C1366" s="120" t="n">
        <f aca="false">COUNTIFS($D$5:D1366,D1366)</f>
        <v>403</v>
      </c>
      <c r="D1366" s="121" t="s">
        <v>2006</v>
      </c>
      <c r="E1366" s="122" t="s">
        <v>2785</v>
      </c>
      <c r="F1366" s="123" t="n">
        <v>45281</v>
      </c>
      <c r="G1366" s="121" t="s">
        <v>22</v>
      </c>
      <c r="H136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A1362</v>
      </c>
      <c r="I136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B1362</v>
      </c>
      <c r="J1366" s="122" t="s">
        <v>2786</v>
      </c>
      <c r="K136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C1362</v>
      </c>
      <c r="L136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D1362</v>
      </c>
      <c r="M136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E1362</v>
      </c>
      <c r="N1366" s="122" t="s">
        <v>73</v>
      </c>
      <c r="O1366" s="126" t="n">
        <v>3500000</v>
      </c>
      <c r="P1366" s="121" t="s">
        <v>18</v>
      </c>
      <c r="Q1366" s="121" t="s">
        <v>124</v>
      </c>
      <c r="R1366" s="127"/>
      <c r="T1366" s="118"/>
    </row>
    <row r="1367" customFormat="false" ht="12.75" hidden="false" customHeight="true" outlineLevel="0" collapsed="false">
      <c r="B1367" s="119" t="n">
        <f aca="false">ROW()-4</f>
        <v>1363</v>
      </c>
      <c r="C1367" s="120" t="n">
        <f aca="false">COUNTIFS($D$5:D1367,D1367)</f>
        <v>404</v>
      </c>
      <c r="D1367" s="121" t="s">
        <v>2006</v>
      </c>
      <c r="E1367" s="122" t="s">
        <v>2787</v>
      </c>
      <c r="F1367" s="123" t="n">
        <v>45847</v>
      </c>
      <c r="G1367" s="121" t="s">
        <v>22</v>
      </c>
      <c r="H136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A1363</v>
      </c>
      <c r="I136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B1363</v>
      </c>
      <c r="J1367" s="122" t="s">
        <v>2788</v>
      </c>
      <c r="K136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C1363</v>
      </c>
      <c r="L136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D1363</v>
      </c>
      <c r="M136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E1363</v>
      </c>
      <c r="N1367" s="122" t="s">
        <v>73</v>
      </c>
      <c r="O1367" s="126" t="n">
        <v>3500000</v>
      </c>
      <c r="P1367" s="121" t="s">
        <v>18</v>
      </c>
      <c r="Q1367" s="121" t="s">
        <v>124</v>
      </c>
      <c r="R1367" s="127"/>
      <c r="T1367" s="118"/>
    </row>
    <row r="1368" customFormat="false" ht="12.75" hidden="false" customHeight="true" outlineLevel="0" collapsed="false">
      <c r="B1368" s="119" t="n">
        <f aca="false">ROW()-4</f>
        <v>1364</v>
      </c>
      <c r="C1368" s="120" t="n">
        <f aca="false">COUNTIFS($D$5:D1368,D1368)</f>
        <v>405</v>
      </c>
      <c r="D1368" s="121" t="s">
        <v>2006</v>
      </c>
      <c r="E1368" s="122" t="s">
        <v>2789</v>
      </c>
      <c r="F1368" s="123" t="n">
        <v>45957</v>
      </c>
      <c r="G1368" s="121" t="s">
        <v>22</v>
      </c>
      <c r="H136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A1364</v>
      </c>
      <c r="I136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B1364</v>
      </c>
      <c r="J1368" s="122" t="s">
        <v>2790</v>
      </c>
      <c r="K136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C1364</v>
      </c>
      <c r="L136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D1364</v>
      </c>
      <c r="M136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E1364</v>
      </c>
      <c r="N1368" s="122" t="s">
        <v>73</v>
      </c>
      <c r="O1368" s="126" t="n">
        <v>3500000</v>
      </c>
      <c r="P1368" s="121" t="s">
        <v>18</v>
      </c>
      <c r="Q1368" s="121" t="s">
        <v>124</v>
      </c>
      <c r="R1368" s="127"/>
      <c r="T1368" s="118"/>
    </row>
    <row r="1369" customFormat="false" ht="12.75" hidden="false" customHeight="true" outlineLevel="0" collapsed="false">
      <c r="B1369" s="119" t="n">
        <f aca="false">ROW()-4</f>
        <v>1365</v>
      </c>
      <c r="C1369" s="120" t="n">
        <f aca="false">COUNTIFS($D$5:D1369,D1369)</f>
        <v>406</v>
      </c>
      <c r="D1369" s="121" t="s">
        <v>2006</v>
      </c>
      <c r="E1369" s="122" t="s">
        <v>2791</v>
      </c>
      <c r="F1369" s="123" t="n">
        <v>45317</v>
      </c>
      <c r="G1369" s="121" t="s">
        <v>26</v>
      </c>
      <c r="H136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A1365</v>
      </c>
      <c r="I136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B1365</v>
      </c>
      <c r="J1369" s="122" t="s">
        <v>2792</v>
      </c>
      <c r="K136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C1365</v>
      </c>
      <c r="L136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D1365</v>
      </c>
      <c r="M136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E1365</v>
      </c>
      <c r="N1369" s="122" t="s">
        <v>73</v>
      </c>
      <c r="O1369" s="126" t="n">
        <v>3500000</v>
      </c>
      <c r="P1369" s="121" t="s">
        <v>18</v>
      </c>
      <c r="Q1369" s="121" t="s">
        <v>124</v>
      </c>
      <c r="R1369" s="127"/>
      <c r="T1369" s="118"/>
    </row>
    <row r="1370" customFormat="false" ht="12.75" hidden="false" customHeight="true" outlineLevel="0" collapsed="false">
      <c r="B1370" s="140" t="n">
        <f aca="false">ROW()-4</f>
        <v>1366</v>
      </c>
      <c r="C1370" s="141" t="n">
        <f aca="false">COUNTIFS($D$5:D1370,D1370)</f>
        <v>407</v>
      </c>
      <c r="D1370" s="142" t="s">
        <v>2006</v>
      </c>
      <c r="E1370" s="143" t="s">
        <v>2793</v>
      </c>
      <c r="F1370" s="144" t="n">
        <v>46062</v>
      </c>
      <c r="G1370" s="142" t="s">
        <v>22</v>
      </c>
      <c r="H1370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A1366</v>
      </c>
      <c r="I1370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B1366</v>
      </c>
      <c r="J1370" s="143" t="s">
        <v>2794</v>
      </c>
      <c r="K1370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C1366</v>
      </c>
      <c r="L1370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D1366</v>
      </c>
      <c r="M1370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E1366</v>
      </c>
      <c r="N1370" s="143" t="s">
        <v>73</v>
      </c>
      <c r="O1370" s="146" t="n">
        <v>3500000</v>
      </c>
      <c r="P1370" s="142" t="s">
        <v>1533</v>
      </c>
      <c r="Q1370" s="143" t="s">
        <v>908</v>
      </c>
      <c r="R1370" s="147"/>
      <c r="T1370" s="118"/>
    </row>
    <row r="1371" customFormat="false" ht="12.75" hidden="false" customHeight="true" outlineLevel="0" collapsed="false">
      <c r="B1371" s="119" t="n">
        <f aca="false">ROW()-4</f>
        <v>1367</v>
      </c>
      <c r="C1371" s="120" t="n">
        <f aca="false">COUNTIFS($D$5:D1371,D1371)</f>
        <v>408</v>
      </c>
      <c r="D1371" s="121" t="s">
        <v>2006</v>
      </c>
      <c r="E1371" s="124" t="s">
        <v>2795</v>
      </c>
      <c r="F1371" s="137" t="n">
        <v>45904</v>
      </c>
      <c r="G1371" s="138" t="s">
        <v>28</v>
      </c>
      <c r="H1371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A1367</v>
      </c>
      <c r="I1371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B1367</v>
      </c>
      <c r="J1371" s="124" t="s">
        <v>2796</v>
      </c>
      <c r="K1371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C1367</v>
      </c>
      <c r="L1371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D1367</v>
      </c>
      <c r="M137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E1367</v>
      </c>
      <c r="N1371" s="122" t="s">
        <v>73</v>
      </c>
      <c r="O1371" s="126" t="n">
        <v>3500000</v>
      </c>
      <c r="P1371" s="121" t="s">
        <v>18</v>
      </c>
      <c r="Q1371" s="121" t="s">
        <v>124</v>
      </c>
      <c r="R1371" s="127"/>
      <c r="T1371" s="118"/>
    </row>
    <row r="1372" customFormat="false" ht="12.75" hidden="false" customHeight="true" outlineLevel="0" collapsed="false">
      <c r="B1372" s="119" t="n">
        <f aca="false">ROW()-4</f>
        <v>1368</v>
      </c>
      <c r="C1372" s="120" t="n">
        <f aca="false">COUNTIFS($D$5:D1372,D1372)</f>
        <v>409</v>
      </c>
      <c r="D1372" s="121" t="s">
        <v>2006</v>
      </c>
      <c r="E1372" s="122" t="s">
        <v>2797</v>
      </c>
      <c r="F1372" s="123" t="n">
        <v>45307</v>
      </c>
      <c r="G1372" s="121" t="s">
        <v>22</v>
      </c>
      <c r="H137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A1368</v>
      </c>
      <c r="I137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B1368</v>
      </c>
      <c r="J1372" s="122" t="s">
        <v>2798</v>
      </c>
      <c r="K137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C1368</v>
      </c>
      <c r="L137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D1368</v>
      </c>
      <c r="M137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E1368</v>
      </c>
      <c r="N1372" s="122" t="s">
        <v>73</v>
      </c>
      <c r="O1372" s="126" t="n">
        <v>3500000</v>
      </c>
      <c r="P1372" s="121" t="s">
        <v>18</v>
      </c>
      <c r="Q1372" s="121" t="s">
        <v>124</v>
      </c>
      <c r="R1372" s="127"/>
      <c r="T1372" s="118"/>
    </row>
    <row r="1373" customFormat="false" ht="12.75" hidden="false" customHeight="true" outlineLevel="0" collapsed="false">
      <c r="B1373" s="119" t="n">
        <f aca="false">ROW()-4</f>
        <v>1369</v>
      </c>
      <c r="C1373" s="120" t="n">
        <f aca="false">COUNTIFS($D$5:D1373,D1373)</f>
        <v>410</v>
      </c>
      <c r="D1373" s="121" t="s">
        <v>2006</v>
      </c>
      <c r="E1373" s="122" t="s">
        <v>2799</v>
      </c>
      <c r="F1373" s="123" t="n">
        <v>45323</v>
      </c>
      <c r="G1373" s="121" t="s">
        <v>22</v>
      </c>
      <c r="H137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A1369</v>
      </c>
      <c r="I137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B1369</v>
      </c>
      <c r="J1373" s="122" t="s">
        <v>2800</v>
      </c>
      <c r="K137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C1369</v>
      </c>
      <c r="L137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D1369</v>
      </c>
      <c r="M137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E1369</v>
      </c>
      <c r="N1373" s="122" t="s">
        <v>73</v>
      </c>
      <c r="O1373" s="126" t="n">
        <v>3500000</v>
      </c>
      <c r="P1373" s="121" t="s">
        <v>18</v>
      </c>
      <c r="Q1373" s="121" t="s">
        <v>124</v>
      </c>
      <c r="R1373" s="127"/>
      <c r="T1373" s="118"/>
    </row>
    <row r="1374" customFormat="false" ht="12.75" hidden="false" customHeight="true" outlineLevel="0" collapsed="false">
      <c r="B1374" s="119" t="n">
        <f aca="false">ROW()-4</f>
        <v>1370</v>
      </c>
      <c r="C1374" s="120" t="n">
        <f aca="false">COUNTIFS($D$5:D1374,D1374)</f>
        <v>411</v>
      </c>
      <c r="D1374" s="121" t="s">
        <v>2006</v>
      </c>
      <c r="E1374" s="122" t="s">
        <v>2801</v>
      </c>
      <c r="F1374" s="123" t="n">
        <v>45764</v>
      </c>
      <c r="G1374" s="121" t="s">
        <v>28</v>
      </c>
      <c r="H137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A1370</v>
      </c>
      <c r="I137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B1370</v>
      </c>
      <c r="J1374" s="122" t="s">
        <v>2802</v>
      </c>
      <c r="K137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C1370</v>
      </c>
      <c r="L137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D1370</v>
      </c>
      <c r="M137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E1370</v>
      </c>
      <c r="N1374" s="122" t="s">
        <v>73</v>
      </c>
      <c r="O1374" s="126" t="n">
        <v>3500000</v>
      </c>
      <c r="P1374" s="121" t="s">
        <v>18</v>
      </c>
      <c r="Q1374" s="121" t="s">
        <v>124</v>
      </c>
      <c r="R1374" s="127"/>
      <c r="T1374" s="118"/>
    </row>
    <row r="1375" customFormat="false" ht="12.75" hidden="false" customHeight="true" outlineLevel="0" collapsed="false">
      <c r="B1375" s="119" t="n">
        <f aca="false">ROW()-4</f>
        <v>1371</v>
      </c>
      <c r="C1375" s="120" t="n">
        <f aca="false">COUNTIFS($D$5:D1375,D1375)</f>
        <v>412</v>
      </c>
      <c r="D1375" s="121" t="s">
        <v>2006</v>
      </c>
      <c r="E1375" s="122" t="s">
        <v>2803</v>
      </c>
      <c r="F1375" s="123" t="n">
        <v>45441</v>
      </c>
      <c r="G1375" s="121" t="s">
        <v>22</v>
      </c>
      <c r="H137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A1371</v>
      </c>
      <c r="I137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B1371</v>
      </c>
      <c r="J1375" s="122" t="s">
        <v>2804</v>
      </c>
      <c r="K137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C1371</v>
      </c>
      <c r="L137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D1371</v>
      </c>
      <c r="M137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E1371</v>
      </c>
      <c r="N1375" s="122" t="s">
        <v>73</v>
      </c>
      <c r="O1375" s="126" t="n">
        <v>3500000</v>
      </c>
      <c r="P1375" s="121" t="s">
        <v>18</v>
      </c>
      <c r="Q1375" s="121" t="s">
        <v>124</v>
      </c>
      <c r="R1375" s="127"/>
      <c r="T1375" s="118"/>
    </row>
    <row r="1376" customFormat="false" ht="12.75" hidden="false" customHeight="true" outlineLevel="0" collapsed="false">
      <c r="B1376" s="119" t="n">
        <f aca="false">ROW()-4</f>
        <v>1372</v>
      </c>
      <c r="C1376" s="120" t="n">
        <f aca="false">COUNTIFS($D$5:D1376,D1376)</f>
        <v>413</v>
      </c>
      <c r="D1376" s="121" t="s">
        <v>2006</v>
      </c>
      <c r="E1376" s="122" t="s">
        <v>2805</v>
      </c>
      <c r="F1376" s="123" t="n">
        <v>45491</v>
      </c>
      <c r="G1376" s="121" t="s">
        <v>24</v>
      </c>
      <c r="H137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A1372</v>
      </c>
      <c r="I137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B1372</v>
      </c>
      <c r="J1376" s="122" t="s">
        <v>2806</v>
      </c>
      <c r="K137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C1372</v>
      </c>
      <c r="L137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D1372</v>
      </c>
      <c r="M137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E1372</v>
      </c>
      <c r="N1376" s="122" t="s">
        <v>73</v>
      </c>
      <c r="O1376" s="126" t="n">
        <v>3500000</v>
      </c>
      <c r="P1376" s="121" t="s">
        <v>18</v>
      </c>
      <c r="Q1376" s="121" t="s">
        <v>124</v>
      </c>
      <c r="R1376" s="127"/>
      <c r="T1376" s="118"/>
    </row>
    <row r="1377" customFormat="false" ht="12.75" hidden="false" customHeight="true" outlineLevel="0" collapsed="false">
      <c r="B1377" s="119" t="n">
        <f aca="false">ROW()-4</f>
        <v>1373</v>
      </c>
      <c r="C1377" s="120" t="n">
        <f aca="false">COUNTIFS($D$5:D1377,D1377)</f>
        <v>414</v>
      </c>
      <c r="D1377" s="121" t="s">
        <v>2006</v>
      </c>
      <c r="E1377" s="122" t="s">
        <v>2807</v>
      </c>
      <c r="F1377" s="123" t="n">
        <v>45567</v>
      </c>
      <c r="G1377" s="121" t="s">
        <v>26</v>
      </c>
      <c r="H137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A1373</v>
      </c>
      <c r="I137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B1373</v>
      </c>
      <c r="J1377" s="122" t="s">
        <v>2808</v>
      </c>
      <c r="K137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C1373</v>
      </c>
      <c r="L137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D1373</v>
      </c>
      <c r="M137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E1373</v>
      </c>
      <c r="N1377" s="122" t="s">
        <v>73</v>
      </c>
      <c r="O1377" s="126" t="n">
        <v>3500000</v>
      </c>
      <c r="P1377" s="121" t="s">
        <v>18</v>
      </c>
      <c r="Q1377" s="121" t="s">
        <v>124</v>
      </c>
      <c r="R1377" s="127"/>
      <c r="T1377" s="118"/>
    </row>
    <row r="1378" customFormat="false" ht="12.75" hidden="false" customHeight="true" outlineLevel="0" collapsed="false">
      <c r="B1378" s="119" t="n">
        <f aca="false">ROW()-4</f>
        <v>1374</v>
      </c>
      <c r="C1378" s="120" t="n">
        <f aca="false">COUNTIFS($D$5:D1378,D1378)</f>
        <v>415</v>
      </c>
      <c r="D1378" s="121" t="s">
        <v>2006</v>
      </c>
      <c r="E1378" s="122" t="s">
        <v>2809</v>
      </c>
      <c r="F1378" s="123" t="n">
        <v>46062</v>
      </c>
      <c r="G1378" s="121" t="s">
        <v>28</v>
      </c>
      <c r="H137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A1374</v>
      </c>
      <c r="I137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B1374</v>
      </c>
      <c r="J1378" s="122" t="s">
        <v>2810</v>
      </c>
      <c r="K137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C1374</v>
      </c>
      <c r="L137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D1374</v>
      </c>
      <c r="M137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E1374</v>
      </c>
      <c r="N1378" s="122" t="s">
        <v>73</v>
      </c>
      <c r="O1378" s="126" t="n">
        <v>3500000</v>
      </c>
      <c r="P1378" s="121" t="s">
        <v>18</v>
      </c>
      <c r="Q1378" s="121" t="s">
        <v>124</v>
      </c>
      <c r="R1378" s="127"/>
      <c r="T1378" s="118"/>
    </row>
    <row r="1379" customFormat="false" ht="12.75" hidden="false" customHeight="true" outlineLevel="0" collapsed="false">
      <c r="B1379" s="119" t="n">
        <f aca="false">ROW()-4</f>
        <v>1375</v>
      </c>
      <c r="C1379" s="120" t="n">
        <f aca="false">COUNTIFS($D$5:D1379,D1379)</f>
        <v>416</v>
      </c>
      <c r="D1379" s="121" t="s">
        <v>2006</v>
      </c>
      <c r="E1379" s="122" t="s">
        <v>2811</v>
      </c>
      <c r="F1379" s="123" t="n">
        <v>45876</v>
      </c>
      <c r="G1379" s="121" t="s">
        <v>22</v>
      </c>
      <c r="H137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A1375</v>
      </c>
      <c r="I137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B1375</v>
      </c>
      <c r="J1379" s="122" t="s">
        <v>2376</v>
      </c>
      <c r="K137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C1375</v>
      </c>
      <c r="L137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D1375</v>
      </c>
      <c r="M137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E1375</v>
      </c>
      <c r="N1379" s="122" t="s">
        <v>73</v>
      </c>
      <c r="O1379" s="126" t="n">
        <v>3500000</v>
      </c>
      <c r="P1379" s="121" t="s">
        <v>18</v>
      </c>
      <c r="Q1379" s="121" t="s">
        <v>124</v>
      </c>
      <c r="R1379" s="127"/>
      <c r="T1379" s="118"/>
    </row>
    <row r="1380" customFormat="false" ht="12.75" hidden="false" customHeight="true" outlineLevel="0" collapsed="false">
      <c r="B1380" s="119" t="n">
        <f aca="false">ROW()-4</f>
        <v>1376</v>
      </c>
      <c r="C1380" s="120" t="n">
        <f aca="false">COUNTIFS($D$5:D1380,D1380)</f>
        <v>417</v>
      </c>
      <c r="D1380" s="121" t="s">
        <v>2006</v>
      </c>
      <c r="E1380" s="122" t="s">
        <v>2812</v>
      </c>
      <c r="F1380" s="123" t="n">
        <v>45975</v>
      </c>
      <c r="G1380" s="121" t="s">
        <v>28</v>
      </c>
      <c r="H138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A1376</v>
      </c>
      <c r="I138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B1376</v>
      </c>
      <c r="J1380" s="122" t="s">
        <v>2813</v>
      </c>
      <c r="K138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C1376</v>
      </c>
      <c r="L138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D1376</v>
      </c>
      <c r="M138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E1376</v>
      </c>
      <c r="N1380" s="122" t="s">
        <v>73</v>
      </c>
      <c r="O1380" s="126" t="n">
        <v>3500000</v>
      </c>
      <c r="P1380" s="121" t="s">
        <v>18</v>
      </c>
      <c r="Q1380" s="121" t="s">
        <v>124</v>
      </c>
      <c r="R1380" s="127"/>
      <c r="T1380" s="118"/>
    </row>
    <row r="1381" customFormat="false" ht="12.75" hidden="false" customHeight="true" outlineLevel="0" collapsed="false">
      <c r="B1381" s="119" t="n">
        <f aca="false">ROW()-4</f>
        <v>1377</v>
      </c>
      <c r="C1381" s="120" t="n">
        <f aca="false">COUNTIFS($D$5:D1381,D1381)</f>
        <v>418</v>
      </c>
      <c r="D1381" s="121" t="s">
        <v>2006</v>
      </c>
      <c r="E1381" s="122" t="s">
        <v>2814</v>
      </c>
      <c r="F1381" s="123" t="n">
        <v>45649</v>
      </c>
      <c r="G1381" s="121" t="s">
        <v>22</v>
      </c>
      <c r="H138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A1377</v>
      </c>
      <c r="I138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B1377</v>
      </c>
      <c r="J1381" s="122" t="s">
        <v>2815</v>
      </c>
      <c r="K138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C1377</v>
      </c>
      <c r="L138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D1377</v>
      </c>
      <c r="M138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E1377</v>
      </c>
      <c r="N1381" s="122" t="s">
        <v>73</v>
      </c>
      <c r="O1381" s="126" t="n">
        <v>3500000</v>
      </c>
      <c r="P1381" s="121" t="s">
        <v>18</v>
      </c>
      <c r="Q1381" s="121" t="s">
        <v>124</v>
      </c>
      <c r="R1381" s="127"/>
      <c r="T1381" s="118"/>
    </row>
    <row r="1382" customFormat="false" ht="12.75" hidden="false" customHeight="true" outlineLevel="0" collapsed="false">
      <c r="B1382" s="119" t="n">
        <f aca="false">ROW()-4</f>
        <v>1378</v>
      </c>
      <c r="C1382" s="120" t="n">
        <f aca="false">COUNTIFS($D$5:D1382,D1382)</f>
        <v>419</v>
      </c>
      <c r="D1382" s="121" t="s">
        <v>2006</v>
      </c>
      <c r="E1382" s="122" t="s">
        <v>2816</v>
      </c>
      <c r="F1382" s="123" t="n">
        <v>45656</v>
      </c>
      <c r="G1382" s="121" t="s">
        <v>22</v>
      </c>
      <c r="H138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A1378</v>
      </c>
      <c r="I138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B1378</v>
      </c>
      <c r="J1382" s="122" t="s">
        <v>2817</v>
      </c>
      <c r="K138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C1378</v>
      </c>
      <c r="L138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D1378</v>
      </c>
      <c r="M138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E1378</v>
      </c>
      <c r="N1382" s="122" t="s">
        <v>73</v>
      </c>
      <c r="O1382" s="126" t="n">
        <v>3500000</v>
      </c>
      <c r="P1382" s="121" t="s">
        <v>18</v>
      </c>
      <c r="Q1382" s="121" t="s">
        <v>124</v>
      </c>
      <c r="R1382" s="127"/>
      <c r="T1382" s="118"/>
    </row>
    <row r="1383" customFormat="false" ht="12.75" hidden="false" customHeight="true" outlineLevel="0" collapsed="false">
      <c r="B1383" s="119" t="n">
        <f aca="false">ROW()-4</f>
        <v>1379</v>
      </c>
      <c r="C1383" s="120" t="n">
        <f aca="false">COUNTIFS($D$5:D1383,D1383)</f>
        <v>420</v>
      </c>
      <c r="D1383" s="121" t="s">
        <v>2006</v>
      </c>
      <c r="E1383" s="122" t="s">
        <v>2818</v>
      </c>
      <c r="F1383" s="123" t="n">
        <v>45639</v>
      </c>
      <c r="G1383" s="121" t="s">
        <v>22</v>
      </c>
      <c r="H138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A1379</v>
      </c>
      <c r="I138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B1379</v>
      </c>
      <c r="J1383" s="122" t="s">
        <v>2819</v>
      </c>
      <c r="K138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C1379</v>
      </c>
      <c r="L138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D1379</v>
      </c>
      <c r="M138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E1379</v>
      </c>
      <c r="N1383" s="122" t="s">
        <v>73</v>
      </c>
      <c r="O1383" s="126" t="n">
        <v>3500000</v>
      </c>
      <c r="P1383" s="121" t="s">
        <v>18</v>
      </c>
      <c r="Q1383" s="121" t="s">
        <v>124</v>
      </c>
      <c r="R1383" s="127"/>
      <c r="T1383" s="118"/>
    </row>
    <row r="1384" customFormat="false" ht="12.75" hidden="false" customHeight="true" outlineLevel="0" collapsed="false">
      <c r="B1384" s="119" t="n">
        <f aca="false">ROW()-4</f>
        <v>1380</v>
      </c>
      <c r="C1384" s="120" t="n">
        <f aca="false">COUNTIFS($D$5:D1384,D1384)</f>
        <v>421</v>
      </c>
      <c r="D1384" s="121" t="s">
        <v>2006</v>
      </c>
      <c r="E1384" s="122" t="s">
        <v>2820</v>
      </c>
      <c r="F1384" s="123" t="n">
        <v>45735</v>
      </c>
      <c r="G1384" s="121" t="s">
        <v>30</v>
      </c>
      <c r="H138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A1380</v>
      </c>
      <c r="I138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B1380</v>
      </c>
      <c r="J1384" s="122" t="s">
        <v>2821</v>
      </c>
      <c r="K138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C1380</v>
      </c>
      <c r="L138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D1380</v>
      </c>
      <c r="M138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E1380</v>
      </c>
      <c r="N1384" s="122" t="s">
        <v>73</v>
      </c>
      <c r="O1384" s="126" t="n">
        <v>3500000</v>
      </c>
      <c r="P1384" s="121" t="s">
        <v>18</v>
      </c>
      <c r="Q1384" s="121" t="s">
        <v>124</v>
      </c>
      <c r="R1384" s="127"/>
      <c r="T1384" s="118"/>
    </row>
    <row r="1385" customFormat="false" ht="12.75" hidden="false" customHeight="true" outlineLevel="0" collapsed="false">
      <c r="B1385" s="119" t="n">
        <f aca="false">ROW()-4</f>
        <v>1381</v>
      </c>
      <c r="C1385" s="120" t="n">
        <f aca="false">COUNTIFS($D$5:D1385,D1385)</f>
        <v>422</v>
      </c>
      <c r="D1385" s="121" t="s">
        <v>2006</v>
      </c>
      <c r="E1385" s="122" t="s">
        <v>2822</v>
      </c>
      <c r="F1385" s="123" t="n">
        <v>45931</v>
      </c>
      <c r="G1385" s="121" t="s">
        <v>22</v>
      </c>
      <c r="H138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A1381</v>
      </c>
      <c r="I138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B1381</v>
      </c>
      <c r="J1385" s="122" t="s">
        <v>2823</v>
      </c>
      <c r="K138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C1381</v>
      </c>
      <c r="L138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D1381</v>
      </c>
      <c r="M138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E1381</v>
      </c>
      <c r="N1385" s="122" t="s">
        <v>73</v>
      </c>
      <c r="O1385" s="126" t="n">
        <v>3500000</v>
      </c>
      <c r="P1385" s="121" t="s">
        <v>18</v>
      </c>
      <c r="Q1385" s="121" t="s">
        <v>124</v>
      </c>
      <c r="R1385" s="127"/>
      <c r="T1385" s="118"/>
    </row>
    <row r="1386" customFormat="false" ht="12.75" hidden="false" customHeight="true" outlineLevel="0" collapsed="false">
      <c r="B1386" s="119" t="n">
        <f aca="false">ROW()-4</f>
        <v>1382</v>
      </c>
      <c r="C1386" s="120" t="n">
        <f aca="false">COUNTIFS($D$5:D1386,D1386)</f>
        <v>423</v>
      </c>
      <c r="D1386" s="121" t="s">
        <v>2006</v>
      </c>
      <c r="E1386" s="122" t="s">
        <v>2824</v>
      </c>
      <c r="F1386" s="137" t="n">
        <v>45911</v>
      </c>
      <c r="G1386" s="138" t="s">
        <v>22</v>
      </c>
      <c r="H1386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A1382</v>
      </c>
      <c r="I1386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B1382</v>
      </c>
      <c r="J1386" s="124" t="s">
        <v>2825</v>
      </c>
      <c r="K1386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C1382</v>
      </c>
      <c r="L1386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D1382</v>
      </c>
      <c r="M138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E1382</v>
      </c>
      <c r="N1386" s="122" t="s">
        <v>73</v>
      </c>
      <c r="O1386" s="126" t="n">
        <v>3500000</v>
      </c>
      <c r="P1386" s="121" t="s">
        <v>18</v>
      </c>
      <c r="Q1386" s="121" t="s">
        <v>124</v>
      </c>
      <c r="R1386" s="127"/>
      <c r="T1386" s="118"/>
    </row>
    <row r="1387" customFormat="false" ht="12.75" hidden="false" customHeight="true" outlineLevel="0" collapsed="false">
      <c r="B1387" s="119" t="n">
        <f aca="false">ROW()-4</f>
        <v>1383</v>
      </c>
      <c r="C1387" s="120" t="n">
        <f aca="false">COUNTIFS($D$5:D1387,D1387)</f>
        <v>424</v>
      </c>
      <c r="D1387" s="121" t="s">
        <v>2006</v>
      </c>
      <c r="E1387" s="122" t="s">
        <v>2826</v>
      </c>
      <c r="F1387" s="123" t="n">
        <v>45369</v>
      </c>
      <c r="G1387" s="121" t="s">
        <v>28</v>
      </c>
      <c r="H138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A1383</v>
      </c>
      <c r="I138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B1383</v>
      </c>
      <c r="J1387" s="122" t="s">
        <v>2827</v>
      </c>
      <c r="K138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C1383</v>
      </c>
      <c r="L138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D1383</v>
      </c>
      <c r="M138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E1383</v>
      </c>
      <c r="N1387" s="122" t="s">
        <v>73</v>
      </c>
      <c r="O1387" s="126" t="n">
        <v>3500000</v>
      </c>
      <c r="P1387" s="121" t="s">
        <v>18</v>
      </c>
      <c r="Q1387" s="121" t="s">
        <v>124</v>
      </c>
      <c r="R1387" s="127"/>
      <c r="T1387" s="118"/>
    </row>
    <row r="1388" customFormat="false" ht="12.75" hidden="false" customHeight="true" outlineLevel="0" collapsed="false">
      <c r="B1388" s="119" t="n">
        <f aca="false">ROW()-4</f>
        <v>1384</v>
      </c>
      <c r="C1388" s="120" t="n">
        <f aca="false">COUNTIFS($D$5:D1388,D1388)</f>
        <v>425</v>
      </c>
      <c r="D1388" s="121" t="s">
        <v>2006</v>
      </c>
      <c r="E1388" s="122" t="s">
        <v>2828</v>
      </c>
      <c r="F1388" s="123" t="n">
        <v>45412</v>
      </c>
      <c r="G1388" s="121" t="s">
        <v>28</v>
      </c>
      <c r="H138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A1384</v>
      </c>
      <c r="I138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B1384</v>
      </c>
      <c r="J1388" s="122" t="s">
        <v>2829</v>
      </c>
      <c r="K138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C1384</v>
      </c>
      <c r="L138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D1384</v>
      </c>
      <c r="M138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E1384</v>
      </c>
      <c r="N1388" s="122" t="s">
        <v>73</v>
      </c>
      <c r="O1388" s="126" t="n">
        <v>3500000</v>
      </c>
      <c r="P1388" s="121" t="s">
        <v>18</v>
      </c>
      <c r="Q1388" s="121" t="s">
        <v>124</v>
      </c>
      <c r="R1388" s="127"/>
      <c r="T1388" s="118"/>
    </row>
    <row r="1389" customFormat="false" ht="12.75" hidden="false" customHeight="true" outlineLevel="0" collapsed="false">
      <c r="B1389" s="119" t="n">
        <f aca="false">ROW()-4</f>
        <v>1385</v>
      </c>
      <c r="C1389" s="120" t="n">
        <f aca="false">COUNTIFS($D$5:D1389,D1389)</f>
        <v>426</v>
      </c>
      <c r="D1389" s="121" t="s">
        <v>2006</v>
      </c>
      <c r="E1389" s="122" t="s">
        <v>2830</v>
      </c>
      <c r="F1389" s="123"/>
      <c r="G1389" s="121" t="s">
        <v>210</v>
      </c>
      <c r="H1389" s="122"/>
      <c r="I1389" s="122"/>
      <c r="J1389" s="122"/>
      <c r="K1389" s="122"/>
      <c r="L1389" s="125"/>
      <c r="M138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E1385</v>
      </c>
      <c r="N1389" s="122" t="s">
        <v>73</v>
      </c>
      <c r="O1389" s="126" t="n">
        <v>3500000</v>
      </c>
      <c r="P1389" s="121" t="s">
        <v>19</v>
      </c>
      <c r="Q1389" s="122"/>
      <c r="R1389" s="128" t="s">
        <v>59</v>
      </c>
      <c r="T1389" s="118"/>
    </row>
    <row r="1390" customFormat="false" ht="12.75" hidden="false" customHeight="true" outlineLevel="0" collapsed="false">
      <c r="B1390" s="119" t="n">
        <f aca="false">ROW()-4</f>
        <v>1386</v>
      </c>
      <c r="C1390" s="120" t="n">
        <f aca="false">COUNTIFS($D$5:D1390,D1390)</f>
        <v>427</v>
      </c>
      <c r="D1390" s="121" t="s">
        <v>2006</v>
      </c>
      <c r="E1390" s="122" t="s">
        <v>2831</v>
      </c>
      <c r="F1390" s="123" t="n">
        <v>45362</v>
      </c>
      <c r="G1390" s="121" t="s">
        <v>22</v>
      </c>
      <c r="H139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A1386</v>
      </c>
      <c r="I139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B1386</v>
      </c>
      <c r="J1390" s="122" t="s">
        <v>2832</v>
      </c>
      <c r="K139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C1386</v>
      </c>
      <c r="L139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D1386</v>
      </c>
      <c r="M139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E1386</v>
      </c>
      <c r="N1390" s="122" t="s">
        <v>73</v>
      </c>
      <c r="O1390" s="126" t="n">
        <v>3500000</v>
      </c>
      <c r="P1390" s="121" t="s">
        <v>18</v>
      </c>
      <c r="Q1390" s="121" t="s">
        <v>124</v>
      </c>
      <c r="R1390" s="127"/>
      <c r="T1390" s="118"/>
    </row>
    <row r="1391" customFormat="false" ht="12.75" hidden="false" customHeight="true" outlineLevel="0" collapsed="false">
      <c r="B1391" s="119" t="n">
        <f aca="false">ROW()-4</f>
        <v>1387</v>
      </c>
      <c r="C1391" s="120" t="n">
        <f aca="false">COUNTIFS($D$5:D1391,D1391)</f>
        <v>428</v>
      </c>
      <c r="D1391" s="121" t="s">
        <v>2006</v>
      </c>
      <c r="E1391" s="122" t="s">
        <v>2833</v>
      </c>
      <c r="F1391" s="123" t="n">
        <v>45349</v>
      </c>
      <c r="G1391" s="121" t="s">
        <v>28</v>
      </c>
      <c r="H139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A1387</v>
      </c>
      <c r="I139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B1387</v>
      </c>
      <c r="J1391" s="122" t="s">
        <v>2834</v>
      </c>
      <c r="K139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C1387</v>
      </c>
      <c r="L139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D1387</v>
      </c>
      <c r="M139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E1387</v>
      </c>
      <c r="N1391" s="122" t="s">
        <v>73</v>
      </c>
      <c r="O1391" s="126" t="n">
        <v>3500000</v>
      </c>
      <c r="P1391" s="121" t="s">
        <v>18</v>
      </c>
      <c r="Q1391" s="121" t="s">
        <v>124</v>
      </c>
      <c r="R1391" s="127"/>
      <c r="T1391" s="118"/>
    </row>
    <row r="1392" customFormat="false" ht="12.75" hidden="false" customHeight="true" outlineLevel="0" collapsed="false">
      <c r="B1392" s="119" t="n">
        <f aca="false">ROW()-4</f>
        <v>1388</v>
      </c>
      <c r="C1392" s="120" t="n">
        <f aca="false">COUNTIFS($D$5:D1392,D1392)</f>
        <v>429</v>
      </c>
      <c r="D1392" s="121" t="s">
        <v>2006</v>
      </c>
      <c r="E1392" s="122" t="s">
        <v>2835</v>
      </c>
      <c r="F1392" s="123" t="n">
        <v>45371</v>
      </c>
      <c r="G1392" s="121" t="s">
        <v>26</v>
      </c>
      <c r="H139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A1388</v>
      </c>
      <c r="I139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B1388</v>
      </c>
      <c r="J1392" s="122" t="s">
        <v>2836</v>
      </c>
      <c r="K139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C1388</v>
      </c>
      <c r="L139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D1388</v>
      </c>
      <c r="M139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E1388</v>
      </c>
      <c r="N1392" s="122" t="s">
        <v>73</v>
      </c>
      <c r="O1392" s="126" t="n">
        <v>3500000</v>
      </c>
      <c r="P1392" s="121" t="s">
        <v>18</v>
      </c>
      <c r="Q1392" s="121" t="s">
        <v>124</v>
      </c>
      <c r="R1392" s="127"/>
      <c r="T1392" s="118"/>
    </row>
    <row r="1393" customFormat="false" ht="12.75" hidden="false" customHeight="true" outlineLevel="0" collapsed="false">
      <c r="B1393" s="119" t="n">
        <f aca="false">ROW()-4</f>
        <v>1389</v>
      </c>
      <c r="C1393" s="120" t="n">
        <f aca="false">COUNTIFS($D$5:D1393,D1393)</f>
        <v>430</v>
      </c>
      <c r="D1393" s="121" t="s">
        <v>2006</v>
      </c>
      <c r="E1393" s="122" t="s">
        <v>2837</v>
      </c>
      <c r="F1393" s="123" t="n">
        <v>45370</v>
      </c>
      <c r="G1393" s="121" t="s">
        <v>24</v>
      </c>
      <c r="H139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A1389</v>
      </c>
      <c r="I139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B1389</v>
      </c>
      <c r="J1393" s="122" t="s">
        <v>2838</v>
      </c>
      <c r="K139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C1389</v>
      </c>
      <c r="L139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D1389</v>
      </c>
      <c r="M139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E1389</v>
      </c>
      <c r="N1393" s="122" t="s">
        <v>73</v>
      </c>
      <c r="O1393" s="126" t="n">
        <v>3500000</v>
      </c>
      <c r="P1393" s="121" t="s">
        <v>18</v>
      </c>
      <c r="Q1393" s="121" t="s">
        <v>124</v>
      </c>
      <c r="R1393" s="127"/>
      <c r="T1393" s="118"/>
    </row>
    <row r="1394" customFormat="false" ht="12.75" hidden="false" customHeight="true" outlineLevel="0" collapsed="false">
      <c r="B1394" s="119" t="n">
        <f aca="false">ROW()-4</f>
        <v>1390</v>
      </c>
      <c r="C1394" s="120" t="n">
        <f aca="false">COUNTIFS($D$5:D1394,D1394)</f>
        <v>431</v>
      </c>
      <c r="D1394" s="121" t="s">
        <v>2006</v>
      </c>
      <c r="E1394" s="122" t="s">
        <v>2839</v>
      </c>
      <c r="F1394" s="123" t="n">
        <v>45370</v>
      </c>
      <c r="G1394" s="121" t="s">
        <v>24</v>
      </c>
      <c r="H139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A1390</v>
      </c>
      <c r="I139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B1390</v>
      </c>
      <c r="J1394" s="122" t="s">
        <v>2840</v>
      </c>
      <c r="K139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C1390</v>
      </c>
      <c r="L139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D1390</v>
      </c>
      <c r="M139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E1390</v>
      </c>
      <c r="N1394" s="122" t="s">
        <v>73</v>
      </c>
      <c r="O1394" s="126" t="n">
        <v>3500000</v>
      </c>
      <c r="P1394" s="121" t="s">
        <v>18</v>
      </c>
      <c r="Q1394" s="121" t="s">
        <v>124</v>
      </c>
      <c r="R1394" s="127"/>
      <c r="T1394" s="118"/>
    </row>
    <row r="1395" customFormat="false" ht="12.75" hidden="false" customHeight="true" outlineLevel="0" collapsed="false">
      <c r="B1395" s="119" t="n">
        <f aca="false">ROW()-4</f>
        <v>1391</v>
      </c>
      <c r="C1395" s="120" t="n">
        <f aca="false">COUNTIFS($D$5:D1395,D1395)</f>
        <v>432</v>
      </c>
      <c r="D1395" s="121" t="s">
        <v>2006</v>
      </c>
      <c r="E1395" s="122" t="s">
        <v>2841</v>
      </c>
      <c r="F1395" s="123" t="n">
        <v>45371</v>
      </c>
      <c r="G1395" s="121" t="s">
        <v>24</v>
      </c>
      <c r="H139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A1391</v>
      </c>
      <c r="I139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B1391</v>
      </c>
      <c r="J1395" s="122" t="s">
        <v>2842</v>
      </c>
      <c r="K139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C1391</v>
      </c>
      <c r="L139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D1391</v>
      </c>
      <c r="M139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E1391</v>
      </c>
      <c r="N1395" s="122" t="s">
        <v>73</v>
      </c>
      <c r="O1395" s="126" t="n">
        <v>3500000</v>
      </c>
      <c r="P1395" s="121" t="s">
        <v>18</v>
      </c>
      <c r="Q1395" s="121" t="s">
        <v>124</v>
      </c>
      <c r="R1395" s="127"/>
      <c r="T1395" s="118"/>
    </row>
    <row r="1396" customFormat="false" ht="12.75" hidden="false" customHeight="true" outlineLevel="0" collapsed="false">
      <c r="B1396" s="119" t="n">
        <f aca="false">ROW()-4</f>
        <v>1392</v>
      </c>
      <c r="C1396" s="120" t="n">
        <f aca="false">COUNTIFS($D$5:D1396,D1396)</f>
        <v>433</v>
      </c>
      <c r="D1396" s="121" t="s">
        <v>2006</v>
      </c>
      <c r="E1396" s="122" t="s">
        <v>2843</v>
      </c>
      <c r="F1396" s="123" t="n">
        <v>45371</v>
      </c>
      <c r="G1396" s="121" t="s">
        <v>24</v>
      </c>
      <c r="H139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A1392</v>
      </c>
      <c r="I139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B1392</v>
      </c>
      <c r="J1396" s="122" t="s">
        <v>2844</v>
      </c>
      <c r="K139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C1392</v>
      </c>
      <c r="L139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D1392</v>
      </c>
      <c r="M139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E1392</v>
      </c>
      <c r="N1396" s="122" t="s">
        <v>73</v>
      </c>
      <c r="O1396" s="126" t="n">
        <v>3500000</v>
      </c>
      <c r="P1396" s="121" t="s">
        <v>18</v>
      </c>
      <c r="Q1396" s="121" t="s">
        <v>124</v>
      </c>
      <c r="R1396" s="127"/>
      <c r="T1396" s="118"/>
    </row>
    <row r="1397" customFormat="false" ht="12.75" hidden="false" customHeight="true" outlineLevel="0" collapsed="false">
      <c r="B1397" s="119" t="n">
        <f aca="false">ROW()-4</f>
        <v>1393</v>
      </c>
      <c r="C1397" s="120" t="n">
        <f aca="false">COUNTIFS($D$5:D1397,D1397)</f>
        <v>434</v>
      </c>
      <c r="D1397" s="121" t="s">
        <v>2006</v>
      </c>
      <c r="E1397" s="122" t="s">
        <v>2845</v>
      </c>
      <c r="F1397" s="123" t="n">
        <v>45348</v>
      </c>
      <c r="G1397" s="121" t="s">
        <v>22</v>
      </c>
      <c r="H139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A1393</v>
      </c>
      <c r="I139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B1393</v>
      </c>
      <c r="J1397" s="122" t="s">
        <v>2846</v>
      </c>
      <c r="K139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C1393</v>
      </c>
      <c r="L139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D1393</v>
      </c>
      <c r="M139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E1393</v>
      </c>
      <c r="N1397" s="122" t="s">
        <v>73</v>
      </c>
      <c r="O1397" s="126" t="n">
        <v>3500000</v>
      </c>
      <c r="P1397" s="121" t="s">
        <v>18</v>
      </c>
      <c r="Q1397" s="121" t="s">
        <v>124</v>
      </c>
      <c r="R1397" s="127"/>
      <c r="T1397" s="118"/>
    </row>
    <row r="1398" customFormat="false" ht="12.75" hidden="false" customHeight="true" outlineLevel="0" collapsed="false">
      <c r="B1398" s="119" t="n">
        <f aca="false">ROW()-4</f>
        <v>1394</v>
      </c>
      <c r="C1398" s="120" t="n">
        <f aca="false">COUNTIFS($D$5:D1398,D1398)</f>
        <v>435</v>
      </c>
      <c r="D1398" s="121" t="s">
        <v>2006</v>
      </c>
      <c r="E1398" s="122" t="s">
        <v>2847</v>
      </c>
      <c r="F1398" s="123" t="n">
        <v>45348</v>
      </c>
      <c r="G1398" s="121" t="s">
        <v>22</v>
      </c>
      <c r="H139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A1394</v>
      </c>
      <c r="I139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B1394</v>
      </c>
      <c r="J1398" s="122" t="s">
        <v>2848</v>
      </c>
      <c r="K139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C1394</v>
      </c>
      <c r="L139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D1394</v>
      </c>
      <c r="M139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E1394</v>
      </c>
      <c r="N1398" s="122" t="s">
        <v>73</v>
      </c>
      <c r="O1398" s="126" t="n">
        <v>3500000</v>
      </c>
      <c r="P1398" s="121" t="s">
        <v>18</v>
      </c>
      <c r="Q1398" s="121" t="s">
        <v>124</v>
      </c>
      <c r="R1398" s="127"/>
      <c r="T1398" s="118"/>
    </row>
    <row r="1399" customFormat="false" ht="12.75" hidden="false" customHeight="true" outlineLevel="0" collapsed="false">
      <c r="B1399" s="119" t="n">
        <f aca="false">ROW()-4</f>
        <v>1395</v>
      </c>
      <c r="C1399" s="120" t="n">
        <f aca="false">COUNTIFS($D$5:D1399,D1399)</f>
        <v>436</v>
      </c>
      <c r="D1399" s="121" t="s">
        <v>2006</v>
      </c>
      <c r="E1399" s="122" t="s">
        <v>2849</v>
      </c>
      <c r="F1399" s="123" t="n">
        <v>45819</v>
      </c>
      <c r="G1399" s="121" t="s">
        <v>26</v>
      </c>
      <c r="H139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A1395</v>
      </c>
      <c r="I139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B1395</v>
      </c>
      <c r="J1399" s="122" t="s">
        <v>2850</v>
      </c>
      <c r="K139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C1395</v>
      </c>
      <c r="L139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D1395</v>
      </c>
      <c r="M139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E1395</v>
      </c>
      <c r="N1399" s="122" t="s">
        <v>73</v>
      </c>
      <c r="O1399" s="126" t="n">
        <v>3500000</v>
      </c>
      <c r="P1399" s="121" t="s">
        <v>18</v>
      </c>
      <c r="Q1399" s="121" t="s">
        <v>124</v>
      </c>
      <c r="R1399" s="127"/>
      <c r="T1399" s="118"/>
    </row>
    <row r="1400" customFormat="false" ht="12.75" hidden="false" customHeight="true" outlineLevel="0" collapsed="false">
      <c r="B1400" s="119" t="n">
        <f aca="false">ROW()-4</f>
        <v>1396</v>
      </c>
      <c r="C1400" s="120" t="n">
        <f aca="false">COUNTIFS($D$5:D1400,D1400)</f>
        <v>437</v>
      </c>
      <c r="D1400" s="121" t="s">
        <v>2006</v>
      </c>
      <c r="E1400" s="122" t="s">
        <v>2851</v>
      </c>
      <c r="F1400" s="123" t="n">
        <v>45819</v>
      </c>
      <c r="G1400" s="121" t="s">
        <v>26</v>
      </c>
      <c r="H140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A1396</v>
      </c>
      <c r="I140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B1396</v>
      </c>
      <c r="J1400" s="122" t="s">
        <v>2852</v>
      </c>
      <c r="K140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C1396</v>
      </c>
      <c r="L140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D1396</v>
      </c>
      <c r="M140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E1396</v>
      </c>
      <c r="N1400" s="122" t="s">
        <v>73</v>
      </c>
      <c r="O1400" s="126" t="n">
        <v>3500000</v>
      </c>
      <c r="P1400" s="121" t="s">
        <v>18</v>
      </c>
      <c r="Q1400" s="121" t="s">
        <v>124</v>
      </c>
      <c r="R1400" s="127"/>
      <c r="T1400" s="118"/>
    </row>
    <row r="1401" customFormat="false" ht="12.75" hidden="false" customHeight="true" outlineLevel="0" collapsed="false">
      <c r="B1401" s="119" t="n">
        <f aca="false">ROW()-4</f>
        <v>1397</v>
      </c>
      <c r="C1401" s="120" t="n">
        <f aca="false">COUNTIFS($D$5:D1401,D1401)</f>
        <v>438</v>
      </c>
      <c r="D1401" s="121" t="s">
        <v>2006</v>
      </c>
      <c r="E1401" s="122" t="s">
        <v>2853</v>
      </c>
      <c r="F1401" s="123" t="n">
        <v>45349</v>
      </c>
      <c r="G1401" s="121" t="s">
        <v>26</v>
      </c>
      <c r="H140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A1397</v>
      </c>
      <c r="I140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B1397</v>
      </c>
      <c r="J1401" s="122" t="s">
        <v>2418</v>
      </c>
      <c r="K140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C1397</v>
      </c>
      <c r="L140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D1397</v>
      </c>
      <c r="M140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E1397</v>
      </c>
      <c r="N1401" s="122" t="s">
        <v>73</v>
      </c>
      <c r="O1401" s="126" t="n">
        <v>3500000</v>
      </c>
      <c r="P1401" s="121" t="s">
        <v>18</v>
      </c>
      <c r="Q1401" s="121" t="s">
        <v>124</v>
      </c>
      <c r="R1401" s="127"/>
      <c r="T1401" s="118"/>
    </row>
    <row r="1402" customFormat="false" ht="12.75" hidden="false" customHeight="true" outlineLevel="0" collapsed="false">
      <c r="B1402" s="119" t="n">
        <f aca="false">ROW()-4</f>
        <v>1398</v>
      </c>
      <c r="C1402" s="120" t="n">
        <f aca="false">COUNTIFS($D$5:D1402,D1402)</f>
        <v>439</v>
      </c>
      <c r="D1402" s="121" t="s">
        <v>2006</v>
      </c>
      <c r="E1402" s="122" t="s">
        <v>2854</v>
      </c>
      <c r="F1402" s="123" t="n">
        <v>45365</v>
      </c>
      <c r="G1402" s="121" t="s">
        <v>24</v>
      </c>
      <c r="H140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A1398</v>
      </c>
      <c r="I140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B1398</v>
      </c>
      <c r="J1402" s="122" t="s">
        <v>2855</v>
      </c>
      <c r="K140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C1398</v>
      </c>
      <c r="L140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D1398</v>
      </c>
      <c r="M140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E1398</v>
      </c>
      <c r="N1402" s="122" t="s">
        <v>73</v>
      </c>
      <c r="O1402" s="126" t="n">
        <v>3500000</v>
      </c>
      <c r="P1402" s="121" t="s">
        <v>18</v>
      </c>
      <c r="Q1402" s="121" t="s">
        <v>124</v>
      </c>
      <c r="R1402" s="127"/>
      <c r="T1402" s="118"/>
    </row>
    <row r="1403" customFormat="false" ht="12.75" hidden="false" customHeight="true" outlineLevel="0" collapsed="false">
      <c r="B1403" s="119" t="n">
        <f aca="false">ROW()-4</f>
        <v>1399</v>
      </c>
      <c r="C1403" s="120" t="n">
        <f aca="false">COUNTIFS($D$5:D1403,D1403)</f>
        <v>440</v>
      </c>
      <c r="D1403" s="121" t="s">
        <v>2006</v>
      </c>
      <c r="E1403" s="122" t="s">
        <v>2856</v>
      </c>
      <c r="F1403" s="123" t="n">
        <v>45373</v>
      </c>
      <c r="G1403" s="121" t="s">
        <v>28</v>
      </c>
      <c r="H140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A1399</v>
      </c>
      <c r="I140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B1399</v>
      </c>
      <c r="J1403" s="122" t="s">
        <v>2857</v>
      </c>
      <c r="K140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C1399</v>
      </c>
      <c r="L140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D1399</v>
      </c>
      <c r="M140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E1399</v>
      </c>
      <c r="N1403" s="122" t="s">
        <v>73</v>
      </c>
      <c r="O1403" s="126" t="n">
        <v>3500000</v>
      </c>
      <c r="P1403" s="121" t="s">
        <v>18</v>
      </c>
      <c r="Q1403" s="121" t="s">
        <v>124</v>
      </c>
      <c r="R1403" s="127"/>
      <c r="T1403" s="118"/>
    </row>
    <row r="1404" customFormat="false" ht="12.75" hidden="false" customHeight="true" outlineLevel="0" collapsed="false">
      <c r="B1404" s="119" t="n">
        <f aca="false">ROW()-4</f>
        <v>1400</v>
      </c>
      <c r="C1404" s="120" t="n">
        <f aca="false">COUNTIFS($D$5:D1404,D1404)</f>
        <v>441</v>
      </c>
      <c r="D1404" s="121" t="s">
        <v>2006</v>
      </c>
      <c r="E1404" s="122" t="s">
        <v>2858</v>
      </c>
      <c r="F1404" s="123" t="n">
        <v>45373</v>
      </c>
      <c r="G1404" s="121" t="s">
        <v>28</v>
      </c>
      <c r="H140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A1400</v>
      </c>
      <c r="I140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B1400</v>
      </c>
      <c r="J1404" s="122" t="s">
        <v>2859</v>
      </c>
      <c r="K140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C1400</v>
      </c>
      <c r="L140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D1400</v>
      </c>
      <c r="M140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E1400</v>
      </c>
      <c r="N1404" s="122" t="s">
        <v>73</v>
      </c>
      <c r="O1404" s="126" t="n">
        <v>3500000</v>
      </c>
      <c r="P1404" s="121" t="s">
        <v>18</v>
      </c>
      <c r="Q1404" s="121" t="s">
        <v>124</v>
      </c>
      <c r="R1404" s="127"/>
      <c r="T1404" s="118"/>
    </row>
    <row r="1405" customFormat="false" ht="12.75" hidden="false" customHeight="true" outlineLevel="0" collapsed="false">
      <c r="B1405" s="119" t="n">
        <f aca="false">ROW()-4</f>
        <v>1401</v>
      </c>
      <c r="C1405" s="120" t="n">
        <f aca="false">COUNTIFS($D$5:D1405,D1405)</f>
        <v>442</v>
      </c>
      <c r="D1405" s="121" t="s">
        <v>2006</v>
      </c>
      <c r="E1405" s="122" t="s">
        <v>2860</v>
      </c>
      <c r="F1405" s="123" t="n">
        <v>45363</v>
      </c>
      <c r="G1405" s="121" t="s">
        <v>24</v>
      </c>
      <c r="H140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A1401</v>
      </c>
      <c r="I140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B1401</v>
      </c>
      <c r="J1405" s="122" t="s">
        <v>2861</v>
      </c>
      <c r="K140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C1401</v>
      </c>
      <c r="L140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D1401</v>
      </c>
      <c r="M140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E1401</v>
      </c>
      <c r="N1405" s="122" t="s">
        <v>73</v>
      </c>
      <c r="O1405" s="126" t="n">
        <v>3500000</v>
      </c>
      <c r="P1405" s="121" t="s">
        <v>18</v>
      </c>
      <c r="Q1405" s="121" t="s">
        <v>124</v>
      </c>
      <c r="R1405" s="127"/>
      <c r="T1405" s="118"/>
    </row>
    <row r="1406" customFormat="false" ht="12.75" hidden="false" customHeight="true" outlineLevel="0" collapsed="false">
      <c r="B1406" s="119" t="n">
        <f aca="false">ROW()-4</f>
        <v>1402</v>
      </c>
      <c r="C1406" s="120" t="n">
        <f aca="false">COUNTIFS($D$5:D1406,D1406)</f>
        <v>443</v>
      </c>
      <c r="D1406" s="121" t="s">
        <v>2006</v>
      </c>
      <c r="E1406" s="122" t="s">
        <v>2862</v>
      </c>
      <c r="F1406" s="123" t="n">
        <v>45363</v>
      </c>
      <c r="G1406" s="121" t="s">
        <v>24</v>
      </c>
      <c r="H140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A1402</v>
      </c>
      <c r="I140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B1402</v>
      </c>
      <c r="J1406" s="122" t="s">
        <v>2863</v>
      </c>
      <c r="K140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C1402</v>
      </c>
      <c r="L140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D1402</v>
      </c>
      <c r="M140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E1402</v>
      </c>
      <c r="N1406" s="122" t="s">
        <v>73</v>
      </c>
      <c r="O1406" s="126" t="n">
        <v>3500000</v>
      </c>
      <c r="P1406" s="121" t="s">
        <v>18</v>
      </c>
      <c r="Q1406" s="121" t="s">
        <v>124</v>
      </c>
      <c r="R1406" s="127"/>
      <c r="T1406" s="118"/>
    </row>
    <row r="1407" customFormat="false" ht="12.75" hidden="false" customHeight="true" outlineLevel="0" collapsed="false">
      <c r="B1407" s="119" t="n">
        <f aca="false">ROW()-4</f>
        <v>1403</v>
      </c>
      <c r="C1407" s="120" t="n">
        <f aca="false">COUNTIFS($D$5:D1407,D1407)</f>
        <v>444</v>
      </c>
      <c r="D1407" s="121" t="s">
        <v>2006</v>
      </c>
      <c r="E1407" s="122" t="s">
        <v>2864</v>
      </c>
      <c r="F1407" s="123" t="n">
        <v>45372</v>
      </c>
      <c r="G1407" s="121" t="s">
        <v>24</v>
      </c>
      <c r="H140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A1403</v>
      </c>
      <c r="I140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B1403</v>
      </c>
      <c r="J1407" s="122" t="s">
        <v>2865</v>
      </c>
      <c r="K140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C1403</v>
      </c>
      <c r="L140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D1403</v>
      </c>
      <c r="M140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E1403</v>
      </c>
      <c r="N1407" s="122" t="s">
        <v>73</v>
      </c>
      <c r="O1407" s="126" t="n">
        <v>3500000</v>
      </c>
      <c r="P1407" s="121" t="s">
        <v>18</v>
      </c>
      <c r="Q1407" s="121" t="s">
        <v>124</v>
      </c>
      <c r="R1407" s="127"/>
      <c r="T1407" s="118"/>
    </row>
    <row r="1408" customFormat="false" ht="12.75" hidden="false" customHeight="true" outlineLevel="0" collapsed="false">
      <c r="B1408" s="119" t="n">
        <f aca="false">ROW()-4</f>
        <v>1404</v>
      </c>
      <c r="C1408" s="120" t="n">
        <f aca="false">COUNTIFS($D$5:D1408,D1408)</f>
        <v>445</v>
      </c>
      <c r="D1408" s="121" t="s">
        <v>2006</v>
      </c>
      <c r="E1408" s="122" t="s">
        <v>2866</v>
      </c>
      <c r="F1408" s="123" t="n">
        <v>45376</v>
      </c>
      <c r="G1408" s="121" t="s">
        <v>22</v>
      </c>
      <c r="H140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A1404</v>
      </c>
      <c r="I140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B1404</v>
      </c>
      <c r="J1408" s="122" t="s">
        <v>2867</v>
      </c>
      <c r="K140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C1404</v>
      </c>
      <c r="L140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D1404</v>
      </c>
      <c r="M140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E1404</v>
      </c>
      <c r="N1408" s="122" t="s">
        <v>73</v>
      </c>
      <c r="O1408" s="126" t="n">
        <v>3500000</v>
      </c>
      <c r="P1408" s="121" t="s">
        <v>18</v>
      </c>
      <c r="Q1408" s="121" t="s">
        <v>124</v>
      </c>
      <c r="R1408" s="127"/>
      <c r="T1408" s="118"/>
    </row>
    <row r="1409" customFormat="false" ht="12.75" hidden="false" customHeight="true" outlineLevel="0" collapsed="false">
      <c r="B1409" s="119" t="n">
        <f aca="false">ROW()-4</f>
        <v>1405</v>
      </c>
      <c r="C1409" s="120" t="n">
        <f aca="false">COUNTIFS($D$5:D1409,D1409)</f>
        <v>446</v>
      </c>
      <c r="D1409" s="121" t="s">
        <v>2006</v>
      </c>
      <c r="E1409" s="122" t="s">
        <v>2868</v>
      </c>
      <c r="F1409" s="123" t="n">
        <v>45384</v>
      </c>
      <c r="G1409" s="121" t="s">
        <v>26</v>
      </c>
      <c r="H140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A1405</v>
      </c>
      <c r="I140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B1405</v>
      </c>
      <c r="J1409" s="122" t="s">
        <v>2869</v>
      </c>
      <c r="K140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C1405</v>
      </c>
      <c r="L140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D1405</v>
      </c>
      <c r="M140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E1405</v>
      </c>
      <c r="N1409" s="122" t="s">
        <v>73</v>
      </c>
      <c r="O1409" s="126" t="n">
        <v>3500000</v>
      </c>
      <c r="P1409" s="121" t="s">
        <v>18</v>
      </c>
      <c r="Q1409" s="121" t="s">
        <v>124</v>
      </c>
      <c r="R1409" s="127"/>
      <c r="T1409" s="118"/>
    </row>
    <row r="1410" customFormat="false" ht="12.75" hidden="false" customHeight="true" outlineLevel="0" collapsed="false">
      <c r="B1410" s="119" t="n">
        <f aca="false">ROW()-4</f>
        <v>1406</v>
      </c>
      <c r="C1410" s="120" t="n">
        <f aca="false">COUNTIFS($D$5:D1410,D1410)</f>
        <v>447</v>
      </c>
      <c r="D1410" s="121" t="s">
        <v>2006</v>
      </c>
      <c r="E1410" s="122" t="s">
        <v>2870</v>
      </c>
      <c r="F1410" s="123" t="n">
        <v>45657</v>
      </c>
      <c r="G1410" s="121" t="s">
        <v>22</v>
      </c>
      <c r="H141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A1406</v>
      </c>
      <c r="I141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B1406</v>
      </c>
      <c r="J1410" s="122" t="s">
        <v>2871</v>
      </c>
      <c r="K141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C1406</v>
      </c>
      <c r="L141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D1406</v>
      </c>
      <c r="M141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E1406</v>
      </c>
      <c r="N1410" s="122" t="s">
        <v>73</v>
      </c>
      <c r="O1410" s="126" t="n">
        <v>3500000</v>
      </c>
      <c r="P1410" s="121" t="s">
        <v>18</v>
      </c>
      <c r="Q1410" s="121" t="s">
        <v>124</v>
      </c>
      <c r="R1410" s="127"/>
      <c r="T1410" s="118"/>
    </row>
    <row r="1411" customFormat="false" ht="12.75" hidden="false" customHeight="true" outlineLevel="0" collapsed="false">
      <c r="B1411" s="119" t="n">
        <f aca="false">ROW()-4</f>
        <v>1407</v>
      </c>
      <c r="C1411" s="120" t="n">
        <f aca="false">COUNTIFS($D$5:D1411,D1411)</f>
        <v>448</v>
      </c>
      <c r="D1411" s="121" t="s">
        <v>2006</v>
      </c>
      <c r="E1411" s="122" t="s">
        <v>2872</v>
      </c>
      <c r="F1411" s="123" t="n">
        <v>45385</v>
      </c>
      <c r="G1411" s="121" t="s">
        <v>24</v>
      </c>
      <c r="H141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A1407</v>
      </c>
      <c r="I141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B1407</v>
      </c>
      <c r="J1411" s="122" t="s">
        <v>2873</v>
      </c>
      <c r="K141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C1407</v>
      </c>
      <c r="L141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D1407</v>
      </c>
      <c r="M141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E1407</v>
      </c>
      <c r="N1411" s="122" t="s">
        <v>73</v>
      </c>
      <c r="O1411" s="126" t="n">
        <v>3500000</v>
      </c>
      <c r="P1411" s="121" t="s">
        <v>18</v>
      </c>
      <c r="Q1411" s="121" t="s">
        <v>124</v>
      </c>
      <c r="R1411" s="127"/>
      <c r="T1411" s="118"/>
    </row>
    <row r="1412" customFormat="false" ht="12.75" hidden="false" customHeight="true" outlineLevel="0" collapsed="false">
      <c r="B1412" s="119" t="n">
        <f aca="false">ROW()-4</f>
        <v>1408</v>
      </c>
      <c r="C1412" s="120" t="n">
        <f aca="false">COUNTIFS($D$5:D1412,D1412)</f>
        <v>449</v>
      </c>
      <c r="D1412" s="121" t="s">
        <v>2006</v>
      </c>
      <c r="E1412" s="122" t="s">
        <v>2874</v>
      </c>
      <c r="F1412" s="123" t="n">
        <v>45385</v>
      </c>
      <c r="G1412" s="121" t="s">
        <v>24</v>
      </c>
      <c r="H141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A1408</v>
      </c>
      <c r="I141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B1408</v>
      </c>
      <c r="J1412" s="122" t="s">
        <v>2875</v>
      </c>
      <c r="K141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C1408</v>
      </c>
      <c r="L141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D1408</v>
      </c>
      <c r="M141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E1408</v>
      </c>
      <c r="N1412" s="122" t="s">
        <v>73</v>
      </c>
      <c r="O1412" s="126" t="n">
        <v>3500000</v>
      </c>
      <c r="P1412" s="121" t="s">
        <v>18</v>
      </c>
      <c r="Q1412" s="121" t="s">
        <v>124</v>
      </c>
      <c r="R1412" s="127"/>
      <c r="T1412" s="118"/>
    </row>
    <row r="1413" customFormat="false" ht="12.75" hidden="false" customHeight="true" outlineLevel="0" collapsed="false">
      <c r="B1413" s="119" t="n">
        <f aca="false">ROW()-4</f>
        <v>1409</v>
      </c>
      <c r="C1413" s="120" t="n">
        <f aca="false">COUNTIFS($D$5:D1413,D1413)</f>
        <v>450</v>
      </c>
      <c r="D1413" s="121" t="s">
        <v>2006</v>
      </c>
      <c r="E1413" s="122" t="s">
        <v>2876</v>
      </c>
      <c r="F1413" s="123" t="n">
        <v>45387</v>
      </c>
      <c r="G1413" s="121" t="s">
        <v>22</v>
      </c>
      <c r="H141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A1409</v>
      </c>
      <c r="I141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B1409</v>
      </c>
      <c r="J1413" s="122" t="s">
        <v>2877</v>
      </c>
      <c r="K141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C1409</v>
      </c>
      <c r="L141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D1409</v>
      </c>
      <c r="M141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E1409</v>
      </c>
      <c r="N1413" s="122" t="s">
        <v>73</v>
      </c>
      <c r="O1413" s="126" t="n">
        <v>3500000</v>
      </c>
      <c r="P1413" s="121" t="s">
        <v>18</v>
      </c>
      <c r="Q1413" s="121" t="s">
        <v>124</v>
      </c>
      <c r="R1413" s="127"/>
      <c r="T1413" s="118"/>
    </row>
    <row r="1414" customFormat="false" ht="12.75" hidden="false" customHeight="true" outlineLevel="0" collapsed="false">
      <c r="B1414" s="119" t="n">
        <f aca="false">ROW()-4</f>
        <v>1410</v>
      </c>
      <c r="C1414" s="120" t="n">
        <f aca="false">COUNTIFS($D$5:D1414,D1414)</f>
        <v>451</v>
      </c>
      <c r="D1414" s="121" t="s">
        <v>2006</v>
      </c>
      <c r="E1414" s="122" t="s">
        <v>2878</v>
      </c>
      <c r="F1414" s="123" t="n">
        <v>45383</v>
      </c>
      <c r="G1414" s="121" t="s">
        <v>22</v>
      </c>
      <c r="H141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A1410</v>
      </c>
      <c r="I141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B1410</v>
      </c>
      <c r="J1414" s="122" t="s">
        <v>2879</v>
      </c>
      <c r="K141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C1410</v>
      </c>
      <c r="L141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D1410</v>
      </c>
      <c r="M141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E1410</v>
      </c>
      <c r="N1414" s="122" t="s">
        <v>73</v>
      </c>
      <c r="O1414" s="126" t="n">
        <v>3500000</v>
      </c>
      <c r="P1414" s="121" t="s">
        <v>18</v>
      </c>
      <c r="Q1414" s="121" t="s">
        <v>124</v>
      </c>
      <c r="R1414" s="127"/>
      <c r="T1414" s="118"/>
    </row>
    <row r="1415" customFormat="false" ht="12.75" hidden="false" customHeight="true" outlineLevel="0" collapsed="false">
      <c r="B1415" s="119" t="n">
        <f aca="false">ROW()-4</f>
        <v>1411</v>
      </c>
      <c r="C1415" s="120" t="n">
        <f aca="false">COUNTIFS($D$5:D1415,D1415)</f>
        <v>452</v>
      </c>
      <c r="D1415" s="121" t="s">
        <v>2006</v>
      </c>
      <c r="E1415" s="122" t="s">
        <v>2880</v>
      </c>
      <c r="F1415" s="123" t="n">
        <v>45390</v>
      </c>
      <c r="G1415" s="121" t="s">
        <v>26</v>
      </c>
      <c r="H141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A1411</v>
      </c>
      <c r="I141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B1411</v>
      </c>
      <c r="J1415" s="122" t="s">
        <v>2881</v>
      </c>
      <c r="K141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C1411</v>
      </c>
      <c r="L141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D1411</v>
      </c>
      <c r="M141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E1411</v>
      </c>
      <c r="N1415" s="122" t="s">
        <v>73</v>
      </c>
      <c r="O1415" s="126" t="n">
        <v>3500000</v>
      </c>
      <c r="P1415" s="121" t="s">
        <v>18</v>
      </c>
      <c r="Q1415" s="121" t="s">
        <v>124</v>
      </c>
      <c r="R1415" s="127"/>
      <c r="T1415" s="118"/>
    </row>
    <row r="1416" customFormat="false" ht="12.75" hidden="false" customHeight="true" outlineLevel="0" collapsed="false">
      <c r="B1416" s="119" t="n">
        <f aca="false">ROW()-4</f>
        <v>1412</v>
      </c>
      <c r="C1416" s="120" t="n">
        <f aca="false">COUNTIFS($D$5:D1416,D1416)</f>
        <v>453</v>
      </c>
      <c r="D1416" s="121" t="s">
        <v>2006</v>
      </c>
      <c r="E1416" s="122" t="s">
        <v>2882</v>
      </c>
      <c r="F1416" s="123" t="n">
        <v>45390</v>
      </c>
      <c r="G1416" s="121" t="s">
        <v>26</v>
      </c>
      <c r="H141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A1412</v>
      </c>
      <c r="I141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B1412</v>
      </c>
      <c r="J1416" s="122" t="s">
        <v>2883</v>
      </c>
      <c r="K141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C1412</v>
      </c>
      <c r="L141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D1412</v>
      </c>
      <c r="M141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E1412</v>
      </c>
      <c r="N1416" s="122" t="s">
        <v>73</v>
      </c>
      <c r="O1416" s="126" t="n">
        <v>3500000</v>
      </c>
      <c r="P1416" s="121" t="s">
        <v>18</v>
      </c>
      <c r="Q1416" s="121" t="s">
        <v>124</v>
      </c>
      <c r="R1416" s="127"/>
      <c r="T1416" s="118"/>
    </row>
    <row r="1417" s="118" customFormat="true" ht="12.75" hidden="false" customHeight="true" outlineLevel="0" collapsed="false">
      <c r="A1417" s="98"/>
      <c r="B1417" s="119" t="n">
        <f aca="false">ROW()-4</f>
        <v>1413</v>
      </c>
      <c r="C1417" s="120" t="n">
        <f aca="false">COUNTIFS($D$5:D1417,D1417)</f>
        <v>454</v>
      </c>
      <c r="D1417" s="121" t="s">
        <v>2006</v>
      </c>
      <c r="E1417" s="122" t="s">
        <v>2884</v>
      </c>
      <c r="F1417" s="123" t="n">
        <v>45391</v>
      </c>
      <c r="G1417" s="121" t="s">
        <v>26</v>
      </c>
      <c r="H141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A1413</v>
      </c>
      <c r="I141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B1413</v>
      </c>
      <c r="J1417" s="122" t="s">
        <v>2885</v>
      </c>
      <c r="K141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C1413</v>
      </c>
      <c r="L141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D1413</v>
      </c>
      <c r="M141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E1413</v>
      </c>
      <c r="N1417" s="122" t="s">
        <v>73</v>
      </c>
      <c r="O1417" s="126" t="n">
        <v>3500000</v>
      </c>
      <c r="P1417" s="121" t="s">
        <v>18</v>
      </c>
      <c r="Q1417" s="121" t="s">
        <v>124</v>
      </c>
      <c r="R1417" s="127"/>
    </row>
    <row r="1418" customFormat="false" ht="12.75" hidden="false" customHeight="true" outlineLevel="0" collapsed="false">
      <c r="B1418" s="119" t="n">
        <f aca="false">ROW()-4</f>
        <v>1414</v>
      </c>
      <c r="C1418" s="120" t="n">
        <f aca="false">COUNTIFS($D$5:D1418,D1418)</f>
        <v>455</v>
      </c>
      <c r="D1418" s="121" t="s">
        <v>2006</v>
      </c>
      <c r="E1418" s="122" t="s">
        <v>2886</v>
      </c>
      <c r="F1418" s="123" t="n">
        <v>45378</v>
      </c>
      <c r="G1418" s="121" t="s">
        <v>30</v>
      </c>
      <c r="H141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A1414</v>
      </c>
      <c r="I141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B1414</v>
      </c>
      <c r="J1418" s="122" t="s">
        <v>2887</v>
      </c>
      <c r="K141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C1414</v>
      </c>
      <c r="L141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D1414</v>
      </c>
      <c r="M141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E1414</v>
      </c>
      <c r="N1418" s="122" t="s">
        <v>73</v>
      </c>
      <c r="O1418" s="126" t="n">
        <v>3500000</v>
      </c>
      <c r="P1418" s="121" t="s">
        <v>18</v>
      </c>
      <c r="Q1418" s="121" t="s">
        <v>124</v>
      </c>
      <c r="R1418" s="127"/>
      <c r="T1418" s="118"/>
    </row>
    <row r="1419" customFormat="false" ht="12.75" hidden="false" customHeight="true" outlineLevel="0" collapsed="false">
      <c r="B1419" s="119" t="n">
        <f aca="false">ROW()-4</f>
        <v>1415</v>
      </c>
      <c r="C1419" s="120" t="n">
        <f aca="false">COUNTIFS($D$5:D1419,D1419)</f>
        <v>456</v>
      </c>
      <c r="D1419" s="121" t="s">
        <v>2006</v>
      </c>
      <c r="E1419" s="122" t="s">
        <v>2888</v>
      </c>
      <c r="F1419" s="123" t="n">
        <v>45378</v>
      </c>
      <c r="G1419" s="121" t="s">
        <v>30</v>
      </c>
      <c r="H141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A1415</v>
      </c>
      <c r="I141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B1415</v>
      </c>
      <c r="J1419" s="122" t="s">
        <v>2889</v>
      </c>
      <c r="K141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C1415</v>
      </c>
      <c r="L141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D1415</v>
      </c>
      <c r="M141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E1415</v>
      </c>
      <c r="N1419" s="122" t="s">
        <v>73</v>
      </c>
      <c r="O1419" s="126" t="n">
        <v>3500000</v>
      </c>
      <c r="P1419" s="121" t="s">
        <v>18</v>
      </c>
      <c r="Q1419" s="121" t="s">
        <v>124</v>
      </c>
      <c r="R1419" s="127"/>
      <c r="T1419" s="118"/>
    </row>
    <row r="1420" customFormat="false" ht="12.75" hidden="false" customHeight="true" outlineLevel="0" collapsed="false">
      <c r="B1420" s="119" t="n">
        <f aca="false">ROW()-4</f>
        <v>1416</v>
      </c>
      <c r="C1420" s="120" t="n">
        <f aca="false">COUNTIFS($D$5:D1420,D1420)</f>
        <v>457</v>
      </c>
      <c r="D1420" s="121" t="s">
        <v>2006</v>
      </c>
      <c r="E1420" s="122" t="s">
        <v>2890</v>
      </c>
      <c r="F1420" s="123" t="n">
        <v>45398</v>
      </c>
      <c r="G1420" s="121" t="s">
        <v>24</v>
      </c>
      <c r="H142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A1416</v>
      </c>
      <c r="I142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B1416</v>
      </c>
      <c r="J1420" s="122" t="s">
        <v>2891</v>
      </c>
      <c r="K142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C1416</v>
      </c>
      <c r="L142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D1416</v>
      </c>
      <c r="M142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E1416</v>
      </c>
      <c r="N1420" s="122" t="s">
        <v>73</v>
      </c>
      <c r="O1420" s="126" t="n">
        <v>3500000</v>
      </c>
      <c r="P1420" s="121" t="s">
        <v>18</v>
      </c>
      <c r="Q1420" s="121" t="s">
        <v>124</v>
      </c>
      <c r="R1420" s="127"/>
      <c r="T1420" s="118"/>
    </row>
    <row r="1421" customFormat="false" ht="12.75" hidden="false" customHeight="true" outlineLevel="0" collapsed="false">
      <c r="B1421" s="119" t="n">
        <f aca="false">ROW()-4</f>
        <v>1417</v>
      </c>
      <c r="C1421" s="120" t="n">
        <f aca="false">COUNTIFS($D$5:D1421,D1421)</f>
        <v>458</v>
      </c>
      <c r="D1421" s="121" t="s">
        <v>2006</v>
      </c>
      <c r="E1421" s="122" t="s">
        <v>2892</v>
      </c>
      <c r="F1421" s="123" t="n">
        <v>45398</v>
      </c>
      <c r="G1421" s="121" t="s">
        <v>24</v>
      </c>
      <c r="H142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A1417</v>
      </c>
      <c r="I142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B1417</v>
      </c>
      <c r="J1421" s="122" t="s">
        <v>2893</v>
      </c>
      <c r="K142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C1417</v>
      </c>
      <c r="L142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D1417</v>
      </c>
      <c r="M142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E1417</v>
      </c>
      <c r="N1421" s="122" t="s">
        <v>73</v>
      </c>
      <c r="O1421" s="126" t="n">
        <v>3500000</v>
      </c>
      <c r="P1421" s="121" t="s">
        <v>18</v>
      </c>
      <c r="Q1421" s="121" t="s">
        <v>124</v>
      </c>
      <c r="R1421" s="127"/>
      <c r="T1421" s="118"/>
    </row>
    <row r="1422" customFormat="false" ht="12.75" hidden="false" customHeight="true" outlineLevel="0" collapsed="false">
      <c r="B1422" s="119" t="n">
        <f aca="false">ROW()-4</f>
        <v>1418</v>
      </c>
      <c r="C1422" s="120" t="n">
        <f aca="false">COUNTIFS($D$5:D1422,D1422)</f>
        <v>459</v>
      </c>
      <c r="D1422" s="121" t="s">
        <v>2006</v>
      </c>
      <c r="E1422" s="122" t="s">
        <v>2894</v>
      </c>
      <c r="F1422" s="123" t="n">
        <v>45394</v>
      </c>
      <c r="G1422" s="121" t="s">
        <v>24</v>
      </c>
      <c r="H142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A1418</v>
      </c>
      <c r="I142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B1418</v>
      </c>
      <c r="J1422" s="122" t="s">
        <v>2895</v>
      </c>
      <c r="K142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C1418</v>
      </c>
      <c r="L142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D1418</v>
      </c>
      <c r="M142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E1418</v>
      </c>
      <c r="N1422" s="122" t="s">
        <v>73</v>
      </c>
      <c r="O1422" s="126" t="n">
        <v>3500000</v>
      </c>
      <c r="P1422" s="121" t="s">
        <v>18</v>
      </c>
      <c r="Q1422" s="121" t="s">
        <v>124</v>
      </c>
      <c r="R1422" s="127"/>
      <c r="T1422" s="118"/>
    </row>
    <row r="1423" customFormat="false" ht="12.75" hidden="false" customHeight="true" outlineLevel="0" collapsed="false">
      <c r="B1423" s="119" t="n">
        <f aca="false">ROW()-4</f>
        <v>1419</v>
      </c>
      <c r="C1423" s="120" t="n">
        <f aca="false">COUNTIFS($D$5:D1423,D1423)</f>
        <v>460</v>
      </c>
      <c r="D1423" s="121" t="s">
        <v>2006</v>
      </c>
      <c r="E1423" s="122" t="s">
        <v>2896</v>
      </c>
      <c r="F1423" s="123" t="n">
        <v>45394</v>
      </c>
      <c r="G1423" s="121" t="s">
        <v>24</v>
      </c>
      <c r="H142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A1419</v>
      </c>
      <c r="I142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B1419</v>
      </c>
      <c r="J1423" s="122" t="s">
        <v>2897</v>
      </c>
      <c r="K142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C1419</v>
      </c>
      <c r="L142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D1419</v>
      </c>
      <c r="M142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E1419</v>
      </c>
      <c r="N1423" s="122" t="s">
        <v>73</v>
      </c>
      <c r="O1423" s="126" t="n">
        <v>3500000</v>
      </c>
      <c r="P1423" s="121" t="s">
        <v>18</v>
      </c>
      <c r="Q1423" s="121" t="s">
        <v>124</v>
      </c>
      <c r="R1423" s="127"/>
      <c r="T1423" s="118"/>
    </row>
    <row r="1424" customFormat="false" ht="12.75" hidden="false" customHeight="true" outlineLevel="0" collapsed="false">
      <c r="B1424" s="119" t="n">
        <f aca="false">ROW()-4</f>
        <v>1420</v>
      </c>
      <c r="C1424" s="120" t="n">
        <f aca="false">COUNTIFS($D$5:D1424,D1424)</f>
        <v>461</v>
      </c>
      <c r="D1424" s="121" t="s">
        <v>2006</v>
      </c>
      <c r="E1424" s="122" t="s">
        <v>2898</v>
      </c>
      <c r="F1424" s="123" t="n">
        <v>45379</v>
      </c>
      <c r="G1424" s="121" t="s">
        <v>30</v>
      </c>
      <c r="H142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A1420</v>
      </c>
      <c r="I142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B1420</v>
      </c>
      <c r="J1424" s="122" t="s">
        <v>2899</v>
      </c>
      <c r="K142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C1420</v>
      </c>
      <c r="L142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D1420</v>
      </c>
      <c r="M142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E1420</v>
      </c>
      <c r="N1424" s="122" t="s">
        <v>73</v>
      </c>
      <c r="O1424" s="126" t="n">
        <v>3500000</v>
      </c>
      <c r="P1424" s="121" t="s">
        <v>18</v>
      </c>
      <c r="Q1424" s="121" t="s">
        <v>124</v>
      </c>
      <c r="R1424" s="127"/>
      <c r="T1424" s="118"/>
    </row>
    <row r="1425" customFormat="false" ht="12.75" hidden="false" customHeight="true" outlineLevel="0" collapsed="false">
      <c r="B1425" s="119" t="n">
        <f aca="false">ROW()-4</f>
        <v>1421</v>
      </c>
      <c r="C1425" s="120" t="n">
        <f aca="false">COUNTIFS($D$5:D1425,D1425)</f>
        <v>462</v>
      </c>
      <c r="D1425" s="121" t="s">
        <v>2006</v>
      </c>
      <c r="E1425" s="122" t="s">
        <v>2900</v>
      </c>
      <c r="F1425" s="123" t="n">
        <v>45379</v>
      </c>
      <c r="G1425" s="121" t="s">
        <v>30</v>
      </c>
      <c r="H142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A1421</v>
      </c>
      <c r="I142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B1421</v>
      </c>
      <c r="J1425" s="122" t="s">
        <v>2901</v>
      </c>
      <c r="K142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C1421</v>
      </c>
      <c r="L142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D1421</v>
      </c>
      <c r="M142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E1421</v>
      </c>
      <c r="N1425" s="122" t="s">
        <v>73</v>
      </c>
      <c r="O1425" s="126" t="n">
        <v>3500000</v>
      </c>
      <c r="P1425" s="121" t="s">
        <v>18</v>
      </c>
      <c r="Q1425" s="121" t="s">
        <v>124</v>
      </c>
      <c r="R1425" s="127"/>
      <c r="T1425" s="118"/>
    </row>
    <row r="1426" customFormat="false" ht="12.75" hidden="false" customHeight="true" outlineLevel="0" collapsed="false">
      <c r="B1426" s="119" t="n">
        <f aca="false">ROW()-4</f>
        <v>1422</v>
      </c>
      <c r="C1426" s="120" t="n">
        <f aca="false">COUNTIFS($D$5:D1426,D1426)</f>
        <v>463</v>
      </c>
      <c r="D1426" s="121" t="s">
        <v>2006</v>
      </c>
      <c r="E1426" s="122" t="s">
        <v>2902</v>
      </c>
      <c r="F1426" s="123" t="n">
        <v>45397</v>
      </c>
      <c r="G1426" s="121" t="s">
        <v>26</v>
      </c>
      <c r="H142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A1422</v>
      </c>
      <c r="I142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B1422</v>
      </c>
      <c r="J1426" s="124" t="s">
        <v>2903</v>
      </c>
      <c r="K142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C1422</v>
      </c>
      <c r="L142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D1422</v>
      </c>
      <c r="M142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E1422</v>
      </c>
      <c r="N1426" s="122" t="s">
        <v>73</v>
      </c>
      <c r="O1426" s="126" t="n">
        <v>3500000</v>
      </c>
      <c r="P1426" s="121" t="s">
        <v>18</v>
      </c>
      <c r="Q1426" s="121" t="s">
        <v>124</v>
      </c>
      <c r="R1426" s="127"/>
      <c r="T1426" s="118"/>
    </row>
    <row r="1427" customFormat="false" ht="12.75" hidden="false" customHeight="true" outlineLevel="0" collapsed="false">
      <c r="B1427" s="119" t="n">
        <f aca="false">ROW()-4</f>
        <v>1423</v>
      </c>
      <c r="C1427" s="120" t="n">
        <f aca="false">COUNTIFS($D$5:D1427,D1427)</f>
        <v>464</v>
      </c>
      <c r="D1427" s="121" t="s">
        <v>2006</v>
      </c>
      <c r="E1427" s="122" t="s">
        <v>2904</v>
      </c>
      <c r="F1427" s="123" t="n">
        <v>45397</v>
      </c>
      <c r="G1427" s="121" t="s">
        <v>26</v>
      </c>
      <c r="H142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A1423</v>
      </c>
      <c r="I142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B1423</v>
      </c>
      <c r="J1427" s="124" t="s">
        <v>2905</v>
      </c>
      <c r="K142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C1423</v>
      </c>
      <c r="L142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D1423</v>
      </c>
      <c r="M142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E1423</v>
      </c>
      <c r="N1427" s="122" t="s">
        <v>73</v>
      </c>
      <c r="O1427" s="126" t="n">
        <v>3500000</v>
      </c>
      <c r="P1427" s="121" t="s">
        <v>18</v>
      </c>
      <c r="Q1427" s="121" t="s">
        <v>124</v>
      </c>
      <c r="R1427" s="127"/>
      <c r="T1427" s="118"/>
    </row>
    <row r="1428" customFormat="false" ht="12.75" hidden="false" customHeight="true" outlineLevel="0" collapsed="false">
      <c r="B1428" s="119" t="n">
        <f aca="false">ROW()-4</f>
        <v>1424</v>
      </c>
      <c r="C1428" s="120" t="n">
        <f aca="false">COUNTIFS($D$5:D1428,D1428)</f>
        <v>465</v>
      </c>
      <c r="D1428" s="121" t="s">
        <v>2006</v>
      </c>
      <c r="E1428" s="122" t="s">
        <v>2906</v>
      </c>
      <c r="F1428" s="123" t="n">
        <v>45397</v>
      </c>
      <c r="G1428" s="121" t="s">
        <v>26</v>
      </c>
      <c r="H142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A1424</v>
      </c>
      <c r="I142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B1424</v>
      </c>
      <c r="J1428" s="124" t="s">
        <v>2907</v>
      </c>
      <c r="K142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C1424</v>
      </c>
      <c r="L142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D1424</v>
      </c>
      <c r="M142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E1424</v>
      </c>
      <c r="N1428" s="122" t="s">
        <v>73</v>
      </c>
      <c r="O1428" s="126" t="n">
        <v>3500000</v>
      </c>
      <c r="P1428" s="121" t="s">
        <v>18</v>
      </c>
      <c r="Q1428" s="121" t="s">
        <v>124</v>
      </c>
      <c r="R1428" s="127"/>
      <c r="T1428" s="118"/>
    </row>
    <row r="1429" customFormat="false" ht="12.75" hidden="false" customHeight="true" outlineLevel="0" collapsed="false">
      <c r="B1429" s="119" t="n">
        <f aca="false">ROW()-4</f>
        <v>1425</v>
      </c>
      <c r="C1429" s="120" t="n">
        <f aca="false">COUNTIFS($D$5:D1429,D1429)</f>
        <v>466</v>
      </c>
      <c r="D1429" s="121" t="s">
        <v>2006</v>
      </c>
      <c r="E1429" s="122" t="s">
        <v>2908</v>
      </c>
      <c r="F1429" s="123" t="n">
        <v>45397</v>
      </c>
      <c r="G1429" s="121" t="s">
        <v>26</v>
      </c>
      <c r="H142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A1425</v>
      </c>
      <c r="I142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B1425</v>
      </c>
      <c r="J1429" s="124" t="s">
        <v>2909</v>
      </c>
      <c r="K142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C1425</v>
      </c>
      <c r="L142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D1425</v>
      </c>
      <c r="M142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E1425</v>
      </c>
      <c r="N1429" s="122" t="s">
        <v>73</v>
      </c>
      <c r="O1429" s="126" t="n">
        <v>3500000</v>
      </c>
      <c r="P1429" s="121" t="s">
        <v>18</v>
      </c>
      <c r="Q1429" s="121" t="s">
        <v>124</v>
      </c>
      <c r="R1429" s="127"/>
      <c r="T1429" s="118"/>
    </row>
    <row r="1430" customFormat="false" ht="12.75" hidden="false" customHeight="true" outlineLevel="0" collapsed="false">
      <c r="B1430" s="119" t="n">
        <f aca="false">ROW()-4</f>
        <v>1426</v>
      </c>
      <c r="C1430" s="120" t="n">
        <f aca="false">COUNTIFS($D$5:D1430,D1430)</f>
        <v>467</v>
      </c>
      <c r="D1430" s="121" t="s">
        <v>2006</v>
      </c>
      <c r="E1430" s="122" t="s">
        <v>2910</v>
      </c>
      <c r="F1430" s="123" t="n">
        <v>45526</v>
      </c>
      <c r="G1430" s="121" t="s">
        <v>26</v>
      </c>
      <c r="H143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A1426</v>
      </c>
      <c r="I143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B1426</v>
      </c>
      <c r="J1430" s="122" t="s">
        <v>2911</v>
      </c>
      <c r="K143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C1426</v>
      </c>
      <c r="L143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D1426</v>
      </c>
      <c r="M143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E1426</v>
      </c>
      <c r="N1430" s="122" t="s">
        <v>73</v>
      </c>
      <c r="O1430" s="126" t="n">
        <v>3500000</v>
      </c>
      <c r="P1430" s="121" t="s">
        <v>18</v>
      </c>
      <c r="Q1430" s="121" t="s">
        <v>124</v>
      </c>
      <c r="R1430" s="127"/>
      <c r="T1430" s="118"/>
    </row>
    <row r="1431" customFormat="false" ht="12.75" hidden="false" customHeight="true" outlineLevel="0" collapsed="false">
      <c r="B1431" s="119" t="n">
        <f aca="false">ROW()-4</f>
        <v>1427</v>
      </c>
      <c r="C1431" s="120" t="n">
        <f aca="false">COUNTIFS($D$5:D1431,D1431)</f>
        <v>468</v>
      </c>
      <c r="D1431" s="121" t="s">
        <v>2006</v>
      </c>
      <c r="E1431" s="122" t="s">
        <v>2912</v>
      </c>
      <c r="F1431" s="123" t="n">
        <v>45531</v>
      </c>
      <c r="G1431" s="121" t="s">
        <v>26</v>
      </c>
      <c r="H143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A1427</v>
      </c>
      <c r="I143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B1427</v>
      </c>
      <c r="J1431" s="122" t="s">
        <v>2913</v>
      </c>
      <c r="K143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C1427</v>
      </c>
      <c r="L143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D1427</v>
      </c>
      <c r="M143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E1427</v>
      </c>
      <c r="N1431" s="122" t="s">
        <v>73</v>
      </c>
      <c r="O1431" s="126" t="n">
        <v>3500000</v>
      </c>
      <c r="P1431" s="121" t="s">
        <v>18</v>
      </c>
      <c r="Q1431" s="121" t="s">
        <v>124</v>
      </c>
      <c r="R1431" s="127"/>
      <c r="T1431" s="118"/>
    </row>
    <row r="1432" customFormat="false" ht="12.75" hidden="false" customHeight="true" outlineLevel="0" collapsed="false">
      <c r="B1432" s="119" t="n">
        <f aca="false">ROW()-4</f>
        <v>1428</v>
      </c>
      <c r="C1432" s="120" t="n">
        <f aca="false">COUNTIFS($D$5:D1432,D1432)</f>
        <v>469</v>
      </c>
      <c r="D1432" s="121" t="s">
        <v>2006</v>
      </c>
      <c r="E1432" s="122" t="s">
        <v>2914</v>
      </c>
      <c r="F1432" s="123" t="n">
        <v>45393</v>
      </c>
      <c r="G1432" s="121" t="s">
        <v>30</v>
      </c>
      <c r="H143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A1428</v>
      </c>
      <c r="I143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B1428</v>
      </c>
      <c r="J1432" s="122" t="s">
        <v>2915</v>
      </c>
      <c r="K143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C1428</v>
      </c>
      <c r="L143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D1428</v>
      </c>
      <c r="M143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E1428</v>
      </c>
      <c r="N1432" s="122" t="s">
        <v>73</v>
      </c>
      <c r="O1432" s="126" t="n">
        <v>3500000</v>
      </c>
      <c r="P1432" s="121" t="s">
        <v>18</v>
      </c>
      <c r="Q1432" s="121" t="s">
        <v>124</v>
      </c>
      <c r="R1432" s="127"/>
      <c r="T1432" s="118"/>
    </row>
    <row r="1433" customFormat="false" ht="12.75" hidden="false" customHeight="true" outlineLevel="0" collapsed="false">
      <c r="B1433" s="119" t="n">
        <f aca="false">ROW()-4</f>
        <v>1429</v>
      </c>
      <c r="C1433" s="120" t="n">
        <f aca="false">COUNTIFS($D$5:D1433,D1433)</f>
        <v>470</v>
      </c>
      <c r="D1433" s="121" t="s">
        <v>2006</v>
      </c>
      <c r="E1433" s="122" t="s">
        <v>2916</v>
      </c>
      <c r="F1433" s="123" t="n">
        <v>45399</v>
      </c>
      <c r="G1433" s="121" t="s">
        <v>22</v>
      </c>
      <c r="H143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A1429</v>
      </c>
      <c r="I143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B1429</v>
      </c>
      <c r="J1433" s="122" t="s">
        <v>2917</v>
      </c>
      <c r="K143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C1429</v>
      </c>
      <c r="L143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D1429</v>
      </c>
      <c r="M143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E1429</v>
      </c>
      <c r="N1433" s="122" t="s">
        <v>73</v>
      </c>
      <c r="O1433" s="126" t="n">
        <v>3500000</v>
      </c>
      <c r="P1433" s="121" t="s">
        <v>18</v>
      </c>
      <c r="Q1433" s="121" t="s">
        <v>124</v>
      </c>
      <c r="R1433" s="127"/>
      <c r="T1433" s="118"/>
    </row>
    <row r="1434" customFormat="false" ht="12.75" hidden="false" customHeight="true" outlineLevel="0" collapsed="false">
      <c r="B1434" s="119" t="n">
        <f aca="false">ROW()-4</f>
        <v>1430</v>
      </c>
      <c r="C1434" s="120" t="n">
        <f aca="false">COUNTIFS($D$5:D1434,D1434)</f>
        <v>471</v>
      </c>
      <c r="D1434" s="121" t="s">
        <v>2006</v>
      </c>
      <c r="E1434" s="122" t="s">
        <v>2918</v>
      </c>
      <c r="F1434" s="123" t="n">
        <v>45398</v>
      </c>
      <c r="G1434" s="121" t="s">
        <v>22</v>
      </c>
      <c r="H143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A1430</v>
      </c>
      <c r="I143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B1430</v>
      </c>
      <c r="J1434" s="122" t="s">
        <v>2919</v>
      </c>
      <c r="K143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C1430</v>
      </c>
      <c r="L143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D1430</v>
      </c>
      <c r="M143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E1430</v>
      </c>
      <c r="N1434" s="122" t="s">
        <v>73</v>
      </c>
      <c r="O1434" s="126" t="n">
        <v>3500000</v>
      </c>
      <c r="P1434" s="121" t="s">
        <v>18</v>
      </c>
      <c r="Q1434" s="121" t="s">
        <v>124</v>
      </c>
      <c r="R1434" s="127"/>
      <c r="T1434" s="118"/>
    </row>
    <row r="1435" customFormat="false" ht="12.75" hidden="false" customHeight="true" outlineLevel="0" collapsed="false">
      <c r="B1435" s="119" t="n">
        <f aca="false">ROW()-4</f>
        <v>1431</v>
      </c>
      <c r="C1435" s="120" t="n">
        <f aca="false">COUNTIFS($D$5:D1435,D1435)</f>
        <v>472</v>
      </c>
      <c r="D1435" s="121" t="s">
        <v>2006</v>
      </c>
      <c r="E1435" s="122" t="s">
        <v>2920</v>
      </c>
      <c r="F1435" s="123" t="n">
        <v>45404</v>
      </c>
      <c r="G1435" s="121" t="s">
        <v>26</v>
      </c>
      <c r="H143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A1431</v>
      </c>
      <c r="I143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B1431</v>
      </c>
      <c r="J1435" s="122" t="s">
        <v>2921</v>
      </c>
      <c r="K143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C1431</v>
      </c>
      <c r="L143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D1431</v>
      </c>
      <c r="M143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E1431</v>
      </c>
      <c r="N1435" s="122" t="s">
        <v>73</v>
      </c>
      <c r="O1435" s="126" t="n">
        <v>3500000</v>
      </c>
      <c r="P1435" s="121" t="s">
        <v>18</v>
      </c>
      <c r="Q1435" s="121" t="s">
        <v>124</v>
      </c>
      <c r="R1435" s="127"/>
      <c r="T1435" s="118"/>
    </row>
    <row r="1436" customFormat="false" ht="12.75" hidden="false" customHeight="true" outlineLevel="0" collapsed="false">
      <c r="B1436" s="119" t="n">
        <f aca="false">ROW()-4</f>
        <v>1432</v>
      </c>
      <c r="C1436" s="120" t="n">
        <f aca="false">COUNTIFS($D$5:D1436,D1436)</f>
        <v>473</v>
      </c>
      <c r="D1436" s="121" t="s">
        <v>2006</v>
      </c>
      <c r="E1436" s="122" t="s">
        <v>2922</v>
      </c>
      <c r="F1436" s="123" t="n">
        <v>45404</v>
      </c>
      <c r="G1436" s="121" t="s">
        <v>26</v>
      </c>
      <c r="H143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A1432</v>
      </c>
      <c r="I143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B1432</v>
      </c>
      <c r="J1436" s="122" t="s">
        <v>2923</v>
      </c>
      <c r="K143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C1432</v>
      </c>
      <c r="L143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D1432</v>
      </c>
      <c r="M143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E1432</v>
      </c>
      <c r="N1436" s="122" t="s">
        <v>73</v>
      </c>
      <c r="O1436" s="126" t="n">
        <v>3500000</v>
      </c>
      <c r="P1436" s="121" t="s">
        <v>18</v>
      </c>
      <c r="Q1436" s="121" t="s">
        <v>124</v>
      </c>
      <c r="R1436" s="127"/>
      <c r="T1436" s="118"/>
    </row>
    <row r="1437" customFormat="false" ht="12.75" hidden="false" customHeight="true" outlineLevel="0" collapsed="false">
      <c r="B1437" s="119" t="n">
        <f aca="false">ROW()-4</f>
        <v>1433</v>
      </c>
      <c r="C1437" s="120" t="n">
        <f aca="false">COUNTIFS($D$5:D1437,D1437)</f>
        <v>474</v>
      </c>
      <c r="D1437" s="121" t="s">
        <v>2006</v>
      </c>
      <c r="E1437" s="122" t="s">
        <v>2924</v>
      </c>
      <c r="F1437" s="123" t="n">
        <v>45747</v>
      </c>
      <c r="G1437" s="121" t="s">
        <v>22</v>
      </c>
      <c r="H143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A1433</v>
      </c>
      <c r="I143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B1433</v>
      </c>
      <c r="J1437" s="122" t="s">
        <v>2925</v>
      </c>
      <c r="K143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C1433</v>
      </c>
      <c r="L143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D1433</v>
      </c>
      <c r="M143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E1433</v>
      </c>
      <c r="N1437" s="122" t="s">
        <v>73</v>
      </c>
      <c r="O1437" s="126" t="n">
        <v>3500000</v>
      </c>
      <c r="P1437" s="121" t="s">
        <v>18</v>
      </c>
      <c r="Q1437" s="121" t="s">
        <v>124</v>
      </c>
      <c r="R1437" s="127"/>
      <c r="T1437" s="118"/>
    </row>
    <row r="1438" customFormat="false" ht="12.75" hidden="false" customHeight="true" outlineLevel="0" collapsed="false">
      <c r="B1438" s="119" t="n">
        <f aca="false">ROW()-4</f>
        <v>1434</v>
      </c>
      <c r="C1438" s="120" t="n">
        <f aca="false">COUNTIFS($D$5:D1438,D1438)</f>
        <v>475</v>
      </c>
      <c r="D1438" s="121" t="s">
        <v>2006</v>
      </c>
      <c r="E1438" s="122" t="s">
        <v>2926</v>
      </c>
      <c r="F1438" s="123" t="n">
        <v>45420</v>
      </c>
      <c r="G1438" s="121" t="s">
        <v>26</v>
      </c>
      <c r="H143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A1434</v>
      </c>
      <c r="I143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B1434</v>
      </c>
      <c r="J1438" s="122" t="s">
        <v>2927</v>
      </c>
      <c r="K143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C1434</v>
      </c>
      <c r="L143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D1434</v>
      </c>
      <c r="M143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E1434</v>
      </c>
      <c r="N1438" s="122" t="s">
        <v>73</v>
      </c>
      <c r="O1438" s="126" t="n">
        <v>3500000</v>
      </c>
      <c r="P1438" s="121" t="s">
        <v>18</v>
      </c>
      <c r="Q1438" s="121" t="s">
        <v>124</v>
      </c>
      <c r="R1438" s="127"/>
      <c r="T1438" s="118"/>
    </row>
    <row r="1439" customFormat="false" ht="12.75" hidden="false" customHeight="true" outlineLevel="0" collapsed="false">
      <c r="B1439" s="119" t="n">
        <f aca="false">ROW()-4</f>
        <v>1435</v>
      </c>
      <c r="C1439" s="120" t="n">
        <f aca="false">COUNTIFS($D$5:D1439,D1439)</f>
        <v>476</v>
      </c>
      <c r="D1439" s="121" t="s">
        <v>2006</v>
      </c>
      <c r="E1439" s="122" t="s">
        <v>2928</v>
      </c>
      <c r="F1439" s="123" t="n">
        <v>45420</v>
      </c>
      <c r="G1439" s="121" t="s">
        <v>26</v>
      </c>
      <c r="H143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A1435</v>
      </c>
      <c r="I143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B1435</v>
      </c>
      <c r="J1439" s="122" t="s">
        <v>2929</v>
      </c>
      <c r="K143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C1435</v>
      </c>
      <c r="L143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D1435</v>
      </c>
      <c r="M143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E1435</v>
      </c>
      <c r="N1439" s="122" t="s">
        <v>73</v>
      </c>
      <c r="O1439" s="126" t="n">
        <v>3500000</v>
      </c>
      <c r="P1439" s="121" t="s">
        <v>18</v>
      </c>
      <c r="Q1439" s="121" t="s">
        <v>124</v>
      </c>
      <c r="R1439" s="127"/>
      <c r="T1439" s="118"/>
    </row>
    <row r="1440" customFormat="false" ht="12.75" hidden="false" customHeight="true" outlineLevel="0" collapsed="false">
      <c r="B1440" s="119" t="n">
        <f aca="false">ROW()-4</f>
        <v>1436</v>
      </c>
      <c r="C1440" s="120" t="n">
        <f aca="false">COUNTIFS($D$5:D1440,D1440)</f>
        <v>477</v>
      </c>
      <c r="D1440" s="121" t="s">
        <v>2006</v>
      </c>
      <c r="E1440" s="122" t="s">
        <v>2930</v>
      </c>
      <c r="F1440" s="123" t="n">
        <v>45426</v>
      </c>
      <c r="G1440" s="121" t="s">
        <v>22</v>
      </c>
      <c r="H144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A1436</v>
      </c>
      <c r="I144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B1436</v>
      </c>
      <c r="J1440" s="122" t="s">
        <v>2931</v>
      </c>
      <c r="K144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C1436</v>
      </c>
      <c r="L144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D1436</v>
      </c>
      <c r="M144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E1436</v>
      </c>
      <c r="N1440" s="122" t="s">
        <v>73</v>
      </c>
      <c r="O1440" s="126" t="n">
        <v>3500000</v>
      </c>
      <c r="P1440" s="121" t="s">
        <v>18</v>
      </c>
      <c r="Q1440" s="121" t="s">
        <v>124</v>
      </c>
      <c r="R1440" s="127"/>
      <c r="T1440" s="118"/>
    </row>
    <row r="1441" customFormat="false" ht="12.75" hidden="false" customHeight="true" outlineLevel="0" collapsed="false">
      <c r="B1441" s="119" t="n">
        <f aca="false">ROW()-4</f>
        <v>1437</v>
      </c>
      <c r="C1441" s="120" t="n">
        <f aca="false">COUNTIFS($D$5:D1441,D1441)</f>
        <v>478</v>
      </c>
      <c r="D1441" s="121" t="s">
        <v>2006</v>
      </c>
      <c r="E1441" s="122" t="s">
        <v>2932</v>
      </c>
      <c r="F1441" s="123" t="n">
        <v>45426</v>
      </c>
      <c r="G1441" s="121" t="s">
        <v>22</v>
      </c>
      <c r="H144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A1437</v>
      </c>
      <c r="I144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B1437</v>
      </c>
      <c r="J1441" s="122" t="s">
        <v>2933</v>
      </c>
      <c r="K144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C1437</v>
      </c>
      <c r="L144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D1437</v>
      </c>
      <c r="M144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E1437</v>
      </c>
      <c r="N1441" s="122" t="s">
        <v>73</v>
      </c>
      <c r="O1441" s="126" t="n">
        <v>3500000</v>
      </c>
      <c r="P1441" s="121" t="s">
        <v>18</v>
      </c>
      <c r="Q1441" s="121" t="s">
        <v>124</v>
      </c>
      <c r="R1441" s="127"/>
      <c r="T1441" s="118"/>
    </row>
    <row r="1442" customFormat="false" ht="12.75" hidden="false" customHeight="true" outlineLevel="0" collapsed="false">
      <c r="B1442" s="119" t="n">
        <f aca="false">ROW()-4</f>
        <v>1438</v>
      </c>
      <c r="C1442" s="120" t="n">
        <f aca="false">COUNTIFS($D$5:D1442,D1442)</f>
        <v>479</v>
      </c>
      <c r="D1442" s="121" t="s">
        <v>2006</v>
      </c>
      <c r="E1442" s="122" t="s">
        <v>2934</v>
      </c>
      <c r="F1442" s="123" t="n">
        <v>45565</v>
      </c>
      <c r="G1442" s="121" t="s">
        <v>24</v>
      </c>
      <c r="H144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A1438</v>
      </c>
      <c r="I144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B1438</v>
      </c>
      <c r="J1442" s="122" t="s">
        <v>2935</v>
      </c>
      <c r="K144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C1438</v>
      </c>
      <c r="L144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D1438</v>
      </c>
      <c r="M144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E1438</v>
      </c>
      <c r="N1442" s="122" t="s">
        <v>73</v>
      </c>
      <c r="O1442" s="126" t="n">
        <v>3500000</v>
      </c>
      <c r="P1442" s="121" t="s">
        <v>18</v>
      </c>
      <c r="Q1442" s="121" t="s">
        <v>124</v>
      </c>
      <c r="R1442" s="127"/>
      <c r="T1442" s="118"/>
    </row>
    <row r="1443" customFormat="false" ht="12.75" hidden="false" customHeight="true" outlineLevel="0" collapsed="false">
      <c r="B1443" s="119" t="n">
        <f aca="false">ROW()-4</f>
        <v>1439</v>
      </c>
      <c r="C1443" s="120" t="n">
        <f aca="false">COUNTIFS($D$5:D1443,D1443)</f>
        <v>480</v>
      </c>
      <c r="D1443" s="121" t="s">
        <v>2006</v>
      </c>
      <c r="E1443" s="122" t="s">
        <v>2936</v>
      </c>
      <c r="F1443" s="123" t="n">
        <v>45565</v>
      </c>
      <c r="G1443" s="121" t="s">
        <v>24</v>
      </c>
      <c r="H144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A1439</v>
      </c>
      <c r="I144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B1439</v>
      </c>
      <c r="J1443" s="122" t="s">
        <v>2937</v>
      </c>
      <c r="K144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C1439</v>
      </c>
      <c r="L144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D1439</v>
      </c>
      <c r="M144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E1439</v>
      </c>
      <c r="N1443" s="122" t="s">
        <v>73</v>
      </c>
      <c r="O1443" s="126" t="n">
        <v>3500000</v>
      </c>
      <c r="P1443" s="121" t="s">
        <v>18</v>
      </c>
      <c r="Q1443" s="121" t="s">
        <v>124</v>
      </c>
      <c r="R1443" s="127"/>
      <c r="T1443" s="118"/>
    </row>
    <row r="1444" customFormat="false" ht="12.75" hidden="false" customHeight="true" outlineLevel="0" collapsed="false">
      <c r="B1444" s="119" t="n">
        <f aca="false">ROW()-4</f>
        <v>1440</v>
      </c>
      <c r="C1444" s="120" t="n">
        <f aca="false">COUNTIFS($D$5:D1444,D1444)</f>
        <v>481</v>
      </c>
      <c r="D1444" s="121" t="s">
        <v>2006</v>
      </c>
      <c r="E1444" s="122" t="s">
        <v>2938</v>
      </c>
      <c r="F1444" s="123" t="n">
        <v>45826</v>
      </c>
      <c r="G1444" s="121" t="s">
        <v>26</v>
      </c>
      <c r="H144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A1440</v>
      </c>
      <c r="I144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B1440</v>
      </c>
      <c r="J1444" s="122" t="s">
        <v>2939</v>
      </c>
      <c r="K144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C1440</v>
      </c>
      <c r="L144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D1440</v>
      </c>
      <c r="M144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E1440</v>
      </c>
      <c r="N1444" s="122" t="s">
        <v>73</v>
      </c>
      <c r="O1444" s="126" t="n">
        <v>3500000</v>
      </c>
      <c r="P1444" s="121" t="s">
        <v>18</v>
      </c>
      <c r="Q1444" s="121" t="s">
        <v>124</v>
      </c>
      <c r="R1444" s="127"/>
      <c r="T1444" s="118"/>
    </row>
    <row r="1445" customFormat="false" ht="12.75" hidden="false" customHeight="true" outlineLevel="0" collapsed="false">
      <c r="B1445" s="119" t="n">
        <f aca="false">ROW()-4</f>
        <v>1441</v>
      </c>
      <c r="C1445" s="120" t="n">
        <f aca="false">COUNTIFS($D$5:D1445,D1445)</f>
        <v>482</v>
      </c>
      <c r="D1445" s="121" t="s">
        <v>2006</v>
      </c>
      <c r="E1445" s="122" t="s">
        <v>2940</v>
      </c>
      <c r="F1445" s="123" t="n">
        <v>45406</v>
      </c>
      <c r="G1445" s="121" t="s">
        <v>26</v>
      </c>
      <c r="H144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A1441</v>
      </c>
      <c r="I144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B1441</v>
      </c>
      <c r="J1445" s="122" t="s">
        <v>2941</v>
      </c>
      <c r="K144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C1441</v>
      </c>
      <c r="L144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D1441</v>
      </c>
      <c r="M144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E1441</v>
      </c>
      <c r="N1445" s="122" t="s">
        <v>73</v>
      </c>
      <c r="O1445" s="126" t="n">
        <v>3500000</v>
      </c>
      <c r="P1445" s="121" t="s">
        <v>18</v>
      </c>
      <c r="Q1445" s="121" t="s">
        <v>124</v>
      </c>
      <c r="R1445" s="127"/>
      <c r="T1445" s="118"/>
    </row>
    <row r="1446" customFormat="false" ht="12.75" hidden="false" customHeight="true" outlineLevel="0" collapsed="false">
      <c r="B1446" s="119" t="n">
        <f aca="false">ROW()-4</f>
        <v>1442</v>
      </c>
      <c r="C1446" s="120" t="n">
        <f aca="false">COUNTIFS($D$5:D1446,D1446)</f>
        <v>483</v>
      </c>
      <c r="D1446" s="121" t="s">
        <v>2006</v>
      </c>
      <c r="E1446" s="122" t="s">
        <v>2942</v>
      </c>
      <c r="F1446" s="123" t="n">
        <v>45406</v>
      </c>
      <c r="G1446" s="121" t="s">
        <v>26</v>
      </c>
      <c r="H144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A1442</v>
      </c>
      <c r="I144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B1442</v>
      </c>
      <c r="J1446" s="122" t="s">
        <v>2943</v>
      </c>
      <c r="K144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C1442</v>
      </c>
      <c r="L144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D1442</v>
      </c>
      <c r="M144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E1442</v>
      </c>
      <c r="N1446" s="122" t="s">
        <v>73</v>
      </c>
      <c r="O1446" s="126" t="n">
        <v>3500000</v>
      </c>
      <c r="P1446" s="121" t="s">
        <v>18</v>
      </c>
      <c r="Q1446" s="121" t="s">
        <v>124</v>
      </c>
      <c r="R1446" s="127"/>
      <c r="T1446" s="118"/>
    </row>
    <row r="1447" customFormat="false" ht="12.75" hidden="false" customHeight="true" outlineLevel="0" collapsed="false">
      <c r="B1447" s="119" t="n">
        <f aca="false">ROW()-4</f>
        <v>1443</v>
      </c>
      <c r="C1447" s="120" t="n">
        <f aca="false">COUNTIFS($D$5:D1447,D1447)</f>
        <v>484</v>
      </c>
      <c r="D1447" s="121" t="s">
        <v>2006</v>
      </c>
      <c r="E1447" s="122" t="s">
        <v>2944</v>
      </c>
      <c r="F1447" s="123" t="n">
        <v>45420</v>
      </c>
      <c r="G1447" s="121" t="s">
        <v>26</v>
      </c>
      <c r="H144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A1443</v>
      </c>
      <c r="I144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B1443</v>
      </c>
      <c r="J1447" s="122" t="s">
        <v>2945</v>
      </c>
      <c r="K144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C1443</v>
      </c>
      <c r="L144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D1443</v>
      </c>
      <c r="M144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E1443</v>
      </c>
      <c r="N1447" s="122" t="s">
        <v>73</v>
      </c>
      <c r="O1447" s="126" t="n">
        <v>3500000</v>
      </c>
      <c r="P1447" s="121" t="s">
        <v>18</v>
      </c>
      <c r="Q1447" s="121" t="s">
        <v>124</v>
      </c>
      <c r="R1447" s="127"/>
      <c r="T1447" s="118"/>
    </row>
    <row r="1448" customFormat="false" ht="12.75" hidden="false" customHeight="true" outlineLevel="0" collapsed="false">
      <c r="B1448" s="119" t="n">
        <f aca="false">ROW()-4</f>
        <v>1444</v>
      </c>
      <c r="C1448" s="120" t="n">
        <f aca="false">COUNTIFS($D$5:D1448,D1448)</f>
        <v>485</v>
      </c>
      <c r="D1448" s="121" t="s">
        <v>2006</v>
      </c>
      <c r="E1448" s="122" t="s">
        <v>2946</v>
      </c>
      <c r="F1448" s="123" t="n">
        <v>45407</v>
      </c>
      <c r="G1448" s="121" t="s">
        <v>22</v>
      </c>
      <c r="H144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A1444</v>
      </c>
      <c r="I144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B1444</v>
      </c>
      <c r="J1448" s="122" t="s">
        <v>2947</v>
      </c>
      <c r="K144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C1444</v>
      </c>
      <c r="L144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D1444</v>
      </c>
      <c r="M144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E1444</v>
      </c>
      <c r="N1448" s="122" t="s">
        <v>73</v>
      </c>
      <c r="O1448" s="126" t="n">
        <v>3500000</v>
      </c>
      <c r="P1448" s="121" t="s">
        <v>18</v>
      </c>
      <c r="Q1448" s="121" t="s">
        <v>124</v>
      </c>
      <c r="R1448" s="127"/>
      <c r="T1448" s="118"/>
    </row>
    <row r="1449" customFormat="false" ht="12.75" hidden="false" customHeight="true" outlineLevel="0" collapsed="false">
      <c r="B1449" s="119" t="n">
        <f aca="false">ROW()-4</f>
        <v>1445</v>
      </c>
      <c r="C1449" s="120" t="n">
        <f aca="false">COUNTIFS($D$5:D1449,D1449)</f>
        <v>486</v>
      </c>
      <c r="D1449" s="121" t="s">
        <v>2006</v>
      </c>
      <c r="E1449" s="122" t="s">
        <v>2948</v>
      </c>
      <c r="F1449" s="123" t="n">
        <v>45407</v>
      </c>
      <c r="G1449" s="121" t="s">
        <v>22</v>
      </c>
      <c r="H144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A1445</v>
      </c>
      <c r="I144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B1445</v>
      </c>
      <c r="J1449" s="122" t="s">
        <v>2949</v>
      </c>
      <c r="K144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C1445</v>
      </c>
      <c r="L144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D1445</v>
      </c>
      <c r="M144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E1445</v>
      </c>
      <c r="N1449" s="122" t="s">
        <v>73</v>
      </c>
      <c r="O1449" s="126" t="n">
        <v>3500000</v>
      </c>
      <c r="P1449" s="121" t="s">
        <v>18</v>
      </c>
      <c r="Q1449" s="121" t="s">
        <v>124</v>
      </c>
      <c r="R1449" s="127"/>
      <c r="T1449" s="118"/>
    </row>
    <row r="1450" customFormat="false" ht="12.75" hidden="false" customHeight="true" outlineLevel="0" collapsed="false">
      <c r="B1450" s="119" t="n">
        <f aca="false">ROW()-4</f>
        <v>1446</v>
      </c>
      <c r="C1450" s="120" t="n">
        <f aca="false">COUNTIFS($D$5:D1450,D1450)</f>
        <v>487</v>
      </c>
      <c r="D1450" s="121" t="s">
        <v>2006</v>
      </c>
      <c r="E1450" s="122" t="s">
        <v>2950</v>
      </c>
      <c r="F1450" s="123" t="n">
        <v>45429</v>
      </c>
      <c r="G1450" s="121" t="s">
        <v>22</v>
      </c>
      <c r="H145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A1446</v>
      </c>
      <c r="I145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B1446</v>
      </c>
      <c r="J1450" s="122" t="s">
        <v>2951</v>
      </c>
      <c r="K145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C1446</v>
      </c>
      <c r="L145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D1446</v>
      </c>
      <c r="M145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E1446</v>
      </c>
      <c r="N1450" s="122" t="s">
        <v>73</v>
      </c>
      <c r="O1450" s="126" t="n">
        <v>3500000</v>
      </c>
      <c r="P1450" s="121" t="s">
        <v>18</v>
      </c>
      <c r="Q1450" s="121" t="s">
        <v>124</v>
      </c>
      <c r="R1450" s="127"/>
      <c r="T1450" s="118"/>
    </row>
    <row r="1451" customFormat="false" ht="12.75" hidden="false" customHeight="true" outlineLevel="0" collapsed="false">
      <c r="B1451" s="119" t="n">
        <f aca="false">ROW()-4</f>
        <v>1447</v>
      </c>
      <c r="C1451" s="120" t="n">
        <f aca="false">COUNTIFS($D$5:D1451,D1451)</f>
        <v>488</v>
      </c>
      <c r="D1451" s="121" t="s">
        <v>2006</v>
      </c>
      <c r="E1451" s="122" t="s">
        <v>2952</v>
      </c>
      <c r="F1451" s="123" t="n">
        <v>45429</v>
      </c>
      <c r="G1451" s="121" t="s">
        <v>22</v>
      </c>
      <c r="H145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A1447</v>
      </c>
      <c r="I145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B1447</v>
      </c>
      <c r="J1451" s="122" t="s">
        <v>2953</v>
      </c>
      <c r="K145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C1447</v>
      </c>
      <c r="L145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D1447</v>
      </c>
      <c r="M145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E1447</v>
      </c>
      <c r="N1451" s="122" t="s">
        <v>73</v>
      </c>
      <c r="O1451" s="126" t="n">
        <v>3500000</v>
      </c>
      <c r="P1451" s="121" t="s">
        <v>18</v>
      </c>
      <c r="Q1451" s="121" t="s">
        <v>124</v>
      </c>
      <c r="R1451" s="127"/>
      <c r="T1451" s="118"/>
    </row>
    <row r="1452" customFormat="false" ht="12.75" hidden="false" customHeight="true" outlineLevel="0" collapsed="false">
      <c r="B1452" s="119" t="n">
        <f aca="false">ROW()-4</f>
        <v>1448</v>
      </c>
      <c r="C1452" s="120" t="n">
        <f aca="false">COUNTIFS($D$5:D1452,D1452)</f>
        <v>489</v>
      </c>
      <c r="D1452" s="121" t="s">
        <v>2006</v>
      </c>
      <c r="E1452" s="122" t="s">
        <v>2954</v>
      </c>
      <c r="F1452" s="123" t="n">
        <v>45406</v>
      </c>
      <c r="G1452" s="121" t="s">
        <v>28</v>
      </c>
      <c r="H145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A1448</v>
      </c>
      <c r="I145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B1448</v>
      </c>
      <c r="J1452" s="122" t="s">
        <v>2955</v>
      </c>
      <c r="K145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C1448</v>
      </c>
      <c r="L145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D1448</v>
      </c>
      <c r="M145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E1448</v>
      </c>
      <c r="N1452" s="122" t="s">
        <v>73</v>
      </c>
      <c r="O1452" s="126" t="n">
        <v>3500000</v>
      </c>
      <c r="P1452" s="121" t="s">
        <v>18</v>
      </c>
      <c r="Q1452" s="121" t="s">
        <v>124</v>
      </c>
      <c r="R1452" s="127"/>
      <c r="T1452" s="118"/>
    </row>
    <row r="1453" customFormat="false" ht="12.75" hidden="false" customHeight="true" outlineLevel="0" collapsed="false">
      <c r="B1453" s="119" t="n">
        <f aca="false">ROW()-4</f>
        <v>1449</v>
      </c>
      <c r="C1453" s="120" t="n">
        <f aca="false">COUNTIFS($D$5:D1453,D1453)</f>
        <v>490</v>
      </c>
      <c r="D1453" s="121" t="s">
        <v>2006</v>
      </c>
      <c r="E1453" s="122" t="s">
        <v>2956</v>
      </c>
      <c r="F1453" s="123" t="n">
        <v>45412</v>
      </c>
      <c r="G1453" s="121" t="s">
        <v>28</v>
      </c>
      <c r="H145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A1449</v>
      </c>
      <c r="I145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B1449</v>
      </c>
      <c r="J1453" s="122" t="s">
        <v>2957</v>
      </c>
      <c r="K145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C1449</v>
      </c>
      <c r="L145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D1449</v>
      </c>
      <c r="M145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E1449</v>
      </c>
      <c r="N1453" s="122" t="s">
        <v>73</v>
      </c>
      <c r="O1453" s="126" t="n">
        <v>3500000</v>
      </c>
      <c r="P1453" s="121" t="s">
        <v>18</v>
      </c>
      <c r="Q1453" s="121" t="s">
        <v>124</v>
      </c>
      <c r="R1453" s="127"/>
      <c r="T1453" s="118"/>
    </row>
    <row r="1454" customFormat="false" ht="12.75" hidden="false" customHeight="true" outlineLevel="0" collapsed="false">
      <c r="B1454" s="119" t="n">
        <f aca="false">ROW()-4</f>
        <v>1450</v>
      </c>
      <c r="C1454" s="120" t="n">
        <f aca="false">COUNTIFS($D$5:D1454,D1454)</f>
        <v>491</v>
      </c>
      <c r="D1454" s="121" t="s">
        <v>2006</v>
      </c>
      <c r="E1454" s="122" t="s">
        <v>2958</v>
      </c>
      <c r="F1454" s="123" t="n">
        <v>45415</v>
      </c>
      <c r="G1454" s="121" t="s">
        <v>28</v>
      </c>
      <c r="H145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A1450</v>
      </c>
      <c r="I145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B1450</v>
      </c>
      <c r="J1454" s="122" t="s">
        <v>2959</v>
      </c>
      <c r="K145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C1450</v>
      </c>
      <c r="L145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D1450</v>
      </c>
      <c r="M145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E1450</v>
      </c>
      <c r="N1454" s="122" t="s">
        <v>73</v>
      </c>
      <c r="O1454" s="126" t="n">
        <v>3500000</v>
      </c>
      <c r="P1454" s="121" t="s">
        <v>18</v>
      </c>
      <c r="Q1454" s="121" t="s">
        <v>124</v>
      </c>
      <c r="R1454" s="127"/>
      <c r="T1454" s="118"/>
    </row>
    <row r="1455" customFormat="false" ht="12.75" hidden="false" customHeight="true" outlineLevel="0" collapsed="false">
      <c r="B1455" s="119" t="n">
        <f aca="false">ROW()-4</f>
        <v>1451</v>
      </c>
      <c r="C1455" s="120" t="n">
        <f aca="false">COUNTIFS($D$5:D1455,D1455)</f>
        <v>492</v>
      </c>
      <c r="D1455" s="121" t="s">
        <v>2006</v>
      </c>
      <c r="E1455" s="122" t="s">
        <v>2960</v>
      </c>
      <c r="F1455" s="123" t="n">
        <v>45412</v>
      </c>
      <c r="G1455" s="121" t="s">
        <v>30</v>
      </c>
      <c r="H145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A1451</v>
      </c>
      <c r="I145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B1451</v>
      </c>
      <c r="J1455" s="122" t="s">
        <v>2961</v>
      </c>
      <c r="K145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C1451</v>
      </c>
      <c r="L145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D1451</v>
      </c>
      <c r="M145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E1451</v>
      </c>
      <c r="N1455" s="122" t="s">
        <v>73</v>
      </c>
      <c r="O1455" s="126" t="n">
        <v>3500000</v>
      </c>
      <c r="P1455" s="121" t="s">
        <v>18</v>
      </c>
      <c r="Q1455" s="121" t="s">
        <v>124</v>
      </c>
      <c r="R1455" s="127"/>
      <c r="T1455" s="118"/>
    </row>
    <row r="1456" customFormat="false" ht="12.75" hidden="false" customHeight="true" outlineLevel="0" collapsed="false">
      <c r="B1456" s="119" t="n">
        <f aca="false">ROW()-4</f>
        <v>1452</v>
      </c>
      <c r="C1456" s="120" t="n">
        <f aca="false">COUNTIFS($D$5:D1456,D1456)</f>
        <v>493</v>
      </c>
      <c r="D1456" s="121" t="s">
        <v>2006</v>
      </c>
      <c r="E1456" s="122" t="s">
        <v>2962</v>
      </c>
      <c r="F1456" s="123" t="n">
        <v>45412</v>
      </c>
      <c r="G1456" s="121" t="s">
        <v>30</v>
      </c>
      <c r="H145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A1452</v>
      </c>
      <c r="I145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B1452</v>
      </c>
      <c r="J1456" s="122" t="s">
        <v>2963</v>
      </c>
      <c r="K145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C1452</v>
      </c>
      <c r="L145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D1452</v>
      </c>
      <c r="M145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E1452</v>
      </c>
      <c r="N1456" s="122" t="s">
        <v>73</v>
      </c>
      <c r="O1456" s="126" t="n">
        <v>3500000</v>
      </c>
      <c r="P1456" s="121" t="s">
        <v>18</v>
      </c>
      <c r="Q1456" s="121" t="s">
        <v>124</v>
      </c>
      <c r="R1456" s="127"/>
      <c r="T1456" s="118"/>
    </row>
    <row r="1457" customFormat="false" ht="12.75" hidden="false" customHeight="true" outlineLevel="0" collapsed="false">
      <c r="B1457" s="119" t="n">
        <f aca="false">ROW()-4</f>
        <v>1453</v>
      </c>
      <c r="C1457" s="120" t="n">
        <f aca="false">COUNTIFS($D$5:D1457,D1457)</f>
        <v>494</v>
      </c>
      <c r="D1457" s="121" t="s">
        <v>2006</v>
      </c>
      <c r="E1457" s="122" t="s">
        <v>2964</v>
      </c>
      <c r="F1457" s="123" t="n">
        <v>45925</v>
      </c>
      <c r="G1457" s="121" t="s">
        <v>28</v>
      </c>
      <c r="H145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A1453</v>
      </c>
      <c r="I145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B1453</v>
      </c>
      <c r="J1457" s="122" t="s">
        <v>2965</v>
      </c>
      <c r="K145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C1453</v>
      </c>
      <c r="L145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D1453</v>
      </c>
      <c r="M145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E1453</v>
      </c>
      <c r="N1457" s="122" t="s">
        <v>73</v>
      </c>
      <c r="O1457" s="126" t="n">
        <v>3500000</v>
      </c>
      <c r="P1457" s="121" t="s">
        <v>18</v>
      </c>
      <c r="Q1457" s="121" t="s">
        <v>124</v>
      </c>
      <c r="R1457" s="127"/>
      <c r="T1457" s="118"/>
    </row>
    <row r="1458" customFormat="false" ht="12.75" hidden="false" customHeight="true" outlineLevel="0" collapsed="false">
      <c r="B1458" s="119" t="n">
        <f aca="false">ROW()-4</f>
        <v>1454</v>
      </c>
      <c r="C1458" s="120" t="n">
        <f aca="false">COUNTIFS($D$5:D1458,D1458)</f>
        <v>495</v>
      </c>
      <c r="D1458" s="121" t="s">
        <v>2006</v>
      </c>
      <c r="E1458" s="122" t="s">
        <v>2966</v>
      </c>
      <c r="F1458" s="123"/>
      <c r="G1458" s="121" t="s">
        <v>22</v>
      </c>
      <c r="H1458" s="122"/>
      <c r="I1458" s="122"/>
      <c r="J1458" s="122"/>
      <c r="K1458" s="122"/>
      <c r="L1458" s="125"/>
      <c r="M145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E1454</v>
      </c>
      <c r="N1458" s="122" t="s">
        <v>73</v>
      </c>
      <c r="O1458" s="126" t="n">
        <v>3500000</v>
      </c>
      <c r="P1458" s="121" t="s">
        <v>19</v>
      </c>
      <c r="Q1458" s="122"/>
      <c r="R1458" s="128" t="s">
        <v>61</v>
      </c>
      <c r="T1458" s="118"/>
    </row>
    <row r="1459" customFormat="false" ht="12.75" hidden="false" customHeight="true" outlineLevel="0" collapsed="false">
      <c r="B1459" s="119" t="n">
        <f aca="false">ROW()-4</f>
        <v>1455</v>
      </c>
      <c r="C1459" s="120" t="n">
        <f aca="false">COUNTIFS($D$5:D1459,D1459)</f>
        <v>496</v>
      </c>
      <c r="D1459" s="121" t="s">
        <v>2006</v>
      </c>
      <c r="E1459" s="122" t="s">
        <v>2967</v>
      </c>
      <c r="F1459" s="123"/>
      <c r="G1459" s="121" t="s">
        <v>22</v>
      </c>
      <c r="H1459" s="122"/>
      <c r="I1459" s="122"/>
      <c r="J1459" s="122"/>
      <c r="K1459" s="122"/>
      <c r="L1459" s="125"/>
      <c r="M145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E1455</v>
      </c>
      <c r="N1459" s="122" t="s">
        <v>73</v>
      </c>
      <c r="O1459" s="126" t="n">
        <v>3500000</v>
      </c>
      <c r="P1459" s="121" t="s">
        <v>19</v>
      </c>
      <c r="Q1459" s="122"/>
      <c r="R1459" s="128" t="s">
        <v>61</v>
      </c>
      <c r="T1459" s="118"/>
    </row>
    <row r="1460" customFormat="false" ht="12.75" hidden="false" customHeight="true" outlineLevel="0" collapsed="false">
      <c r="B1460" s="119" t="n">
        <f aca="false">ROW()-4</f>
        <v>1456</v>
      </c>
      <c r="C1460" s="120" t="n">
        <f aca="false">COUNTIFS($D$5:D1460,D1460)</f>
        <v>497</v>
      </c>
      <c r="D1460" s="121" t="s">
        <v>2006</v>
      </c>
      <c r="E1460" s="122" t="s">
        <v>2968</v>
      </c>
      <c r="F1460" s="123"/>
      <c r="G1460" s="121" t="s">
        <v>210</v>
      </c>
      <c r="H1460" s="122"/>
      <c r="I1460" s="122"/>
      <c r="J1460" s="122"/>
      <c r="K1460" s="122"/>
      <c r="L1460" s="125"/>
      <c r="M146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E1456</v>
      </c>
      <c r="N1460" s="122" t="s">
        <v>73</v>
      </c>
      <c r="O1460" s="126" t="n">
        <v>3500000</v>
      </c>
      <c r="P1460" s="121" t="s">
        <v>19</v>
      </c>
      <c r="Q1460" s="122"/>
      <c r="R1460" s="128" t="s">
        <v>59</v>
      </c>
      <c r="T1460" s="118"/>
    </row>
    <row r="1461" customFormat="false" ht="12.75" hidden="false" customHeight="true" outlineLevel="0" collapsed="false">
      <c r="B1461" s="119" t="n">
        <f aca="false">ROW()-4</f>
        <v>1457</v>
      </c>
      <c r="C1461" s="120" t="n">
        <f aca="false">COUNTIFS($D$5:D1461,D1461)</f>
        <v>498</v>
      </c>
      <c r="D1461" s="121" t="s">
        <v>2006</v>
      </c>
      <c r="E1461" s="122" t="s">
        <v>2969</v>
      </c>
      <c r="F1461" s="123" t="n">
        <v>46052</v>
      </c>
      <c r="G1461" s="121" t="s">
        <v>22</v>
      </c>
      <c r="H146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A1457</v>
      </c>
      <c r="I146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B1457</v>
      </c>
      <c r="J1461" s="122" t="s">
        <v>2970</v>
      </c>
      <c r="K146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C1457</v>
      </c>
      <c r="L146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D1457</v>
      </c>
      <c r="M146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E1457</v>
      </c>
      <c r="N1461" s="122" t="s">
        <v>73</v>
      </c>
      <c r="O1461" s="126" t="n">
        <v>3500000</v>
      </c>
      <c r="P1461" s="121" t="s">
        <v>18</v>
      </c>
      <c r="Q1461" s="121" t="s">
        <v>124</v>
      </c>
      <c r="R1461" s="127"/>
      <c r="T1461" s="118"/>
    </row>
    <row r="1462" customFormat="false" ht="12.75" hidden="false" customHeight="true" outlineLevel="0" collapsed="false">
      <c r="B1462" s="119" t="n">
        <f aca="false">ROW()-4</f>
        <v>1458</v>
      </c>
      <c r="C1462" s="120" t="n">
        <f aca="false">COUNTIFS($D$5:D1462,D1462)</f>
        <v>499</v>
      </c>
      <c r="D1462" s="121" t="s">
        <v>2006</v>
      </c>
      <c r="E1462" s="122" t="s">
        <v>2971</v>
      </c>
      <c r="F1462" s="123" t="n">
        <v>46062</v>
      </c>
      <c r="G1462" s="121" t="s">
        <v>22</v>
      </c>
      <c r="H146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A1458</v>
      </c>
      <c r="I146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B1458</v>
      </c>
      <c r="J1462" s="122" t="s">
        <v>2972</v>
      </c>
      <c r="K146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C1458</v>
      </c>
      <c r="L146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D1458</v>
      </c>
      <c r="M146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E1458</v>
      </c>
      <c r="N1462" s="122" t="s">
        <v>73</v>
      </c>
      <c r="O1462" s="126" t="n">
        <v>3500000</v>
      </c>
      <c r="P1462" s="121" t="s">
        <v>18</v>
      </c>
      <c r="Q1462" s="121" t="s">
        <v>124</v>
      </c>
      <c r="R1462" s="127"/>
      <c r="T1462" s="118"/>
    </row>
    <row r="1463" customFormat="false" ht="12.75" hidden="false" customHeight="true" outlineLevel="0" collapsed="false">
      <c r="B1463" s="119" t="n">
        <f aca="false">ROW()-4</f>
        <v>1459</v>
      </c>
      <c r="C1463" s="120" t="n">
        <f aca="false">COUNTIFS($D$5:D1463,D1463)</f>
        <v>500</v>
      </c>
      <c r="D1463" s="121" t="s">
        <v>2006</v>
      </c>
      <c r="E1463" s="122" t="s">
        <v>2973</v>
      </c>
      <c r="F1463" s="123" t="n">
        <v>46052</v>
      </c>
      <c r="G1463" s="121" t="s">
        <v>22</v>
      </c>
      <c r="H146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A1459</v>
      </c>
      <c r="I146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B1459</v>
      </c>
      <c r="J1463" s="122" t="s">
        <v>2974</v>
      </c>
      <c r="K146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C1459</v>
      </c>
      <c r="L146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D1459</v>
      </c>
      <c r="M146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E1459</v>
      </c>
      <c r="N1463" s="122" t="s">
        <v>73</v>
      </c>
      <c r="O1463" s="126" t="n">
        <v>3500000</v>
      </c>
      <c r="P1463" s="121" t="s">
        <v>18</v>
      </c>
      <c r="Q1463" s="121" t="s">
        <v>124</v>
      </c>
      <c r="R1463" s="127"/>
      <c r="T1463" s="118"/>
    </row>
    <row r="1464" customFormat="false" ht="12.75" hidden="false" customHeight="true" outlineLevel="0" collapsed="false">
      <c r="B1464" s="119" t="n">
        <f aca="false">ROW()-4</f>
        <v>1460</v>
      </c>
      <c r="C1464" s="120" t="n">
        <f aca="false">COUNTIFS($D$5:D1464,D1464)</f>
        <v>501</v>
      </c>
      <c r="D1464" s="121" t="s">
        <v>2006</v>
      </c>
      <c r="E1464" s="122" t="s">
        <v>2975</v>
      </c>
      <c r="F1464" s="123" t="n">
        <v>46052</v>
      </c>
      <c r="G1464" s="121" t="s">
        <v>22</v>
      </c>
      <c r="H146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A1460</v>
      </c>
      <c r="I146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B1460</v>
      </c>
      <c r="J1464" s="122" t="s">
        <v>2976</v>
      </c>
      <c r="K146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C1460</v>
      </c>
      <c r="L146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D1460</v>
      </c>
      <c r="M146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E1460</v>
      </c>
      <c r="N1464" s="122" t="s">
        <v>73</v>
      </c>
      <c r="O1464" s="126" t="n">
        <v>3500000</v>
      </c>
      <c r="P1464" s="121" t="s">
        <v>18</v>
      </c>
      <c r="Q1464" s="121" t="s">
        <v>124</v>
      </c>
      <c r="R1464" s="127"/>
      <c r="T1464" s="118"/>
    </row>
    <row r="1465" customFormat="false" ht="12.75" hidden="false" customHeight="true" outlineLevel="0" collapsed="false">
      <c r="B1465" s="119" t="n">
        <f aca="false">ROW()-4</f>
        <v>1461</v>
      </c>
      <c r="C1465" s="120" t="n">
        <f aca="false">COUNTIFS($D$5:D1465,D1465)</f>
        <v>502</v>
      </c>
      <c r="D1465" s="121" t="s">
        <v>2006</v>
      </c>
      <c r="E1465" s="122" t="s">
        <v>2977</v>
      </c>
      <c r="F1465" s="123" t="n">
        <v>45777</v>
      </c>
      <c r="G1465" s="121" t="s">
        <v>24</v>
      </c>
      <c r="H146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A1461</v>
      </c>
      <c r="I146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B1461</v>
      </c>
      <c r="J1465" s="122" t="s">
        <v>2978</v>
      </c>
      <c r="K146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C1461</v>
      </c>
      <c r="L146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D1461</v>
      </c>
      <c r="M146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E1461</v>
      </c>
      <c r="N1465" s="122" t="s">
        <v>73</v>
      </c>
      <c r="O1465" s="126" t="n">
        <v>3500000</v>
      </c>
      <c r="P1465" s="121" t="s">
        <v>18</v>
      </c>
      <c r="Q1465" s="121" t="s">
        <v>124</v>
      </c>
      <c r="R1465" s="127"/>
      <c r="T1465" s="118"/>
    </row>
    <row r="1466" customFormat="false" ht="12.75" hidden="false" customHeight="true" outlineLevel="0" collapsed="false">
      <c r="B1466" s="119" t="n">
        <f aca="false">ROW()-4</f>
        <v>1462</v>
      </c>
      <c r="C1466" s="120" t="n">
        <f aca="false">COUNTIFS($D$5:D1466,D1466)</f>
        <v>503</v>
      </c>
      <c r="D1466" s="121" t="s">
        <v>2006</v>
      </c>
      <c r="E1466" s="122" t="s">
        <v>2979</v>
      </c>
      <c r="F1466" s="123" t="n">
        <v>45841</v>
      </c>
      <c r="G1466" s="121" t="s">
        <v>24</v>
      </c>
      <c r="H146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A1462</v>
      </c>
      <c r="I146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B1462</v>
      </c>
      <c r="J1466" s="122" t="s">
        <v>2980</v>
      </c>
      <c r="K146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C1462</v>
      </c>
      <c r="L146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D1462</v>
      </c>
      <c r="M146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E1462</v>
      </c>
      <c r="N1466" s="122" t="s">
        <v>73</v>
      </c>
      <c r="O1466" s="126" t="n">
        <v>3500000</v>
      </c>
      <c r="P1466" s="121" t="s">
        <v>18</v>
      </c>
      <c r="Q1466" s="121" t="s">
        <v>124</v>
      </c>
      <c r="R1466" s="127"/>
      <c r="T1466" s="118"/>
    </row>
    <row r="1467" customFormat="false" ht="12.75" hidden="false" customHeight="true" outlineLevel="0" collapsed="false">
      <c r="B1467" s="119" t="n">
        <f aca="false">ROW()-4</f>
        <v>1463</v>
      </c>
      <c r="C1467" s="120" t="n">
        <f aca="false">COUNTIFS($D$5:D1467,D1467)</f>
        <v>504</v>
      </c>
      <c r="D1467" s="121" t="s">
        <v>2006</v>
      </c>
      <c r="E1467" s="122" t="s">
        <v>2981</v>
      </c>
      <c r="F1467" s="123" t="n">
        <v>45442</v>
      </c>
      <c r="G1467" s="121" t="s">
        <v>28</v>
      </c>
      <c r="H146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A1463</v>
      </c>
      <c r="I146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B1463</v>
      </c>
      <c r="J1467" s="122" t="s">
        <v>2982</v>
      </c>
      <c r="K146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C1463</v>
      </c>
      <c r="L146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D1463</v>
      </c>
      <c r="M146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E1463</v>
      </c>
      <c r="N1467" s="122" t="s">
        <v>73</v>
      </c>
      <c r="O1467" s="126" t="n">
        <v>3500000</v>
      </c>
      <c r="P1467" s="121" t="s">
        <v>18</v>
      </c>
      <c r="Q1467" s="121" t="s">
        <v>124</v>
      </c>
      <c r="R1467" s="127"/>
      <c r="T1467" s="118"/>
    </row>
    <row r="1468" customFormat="false" ht="12.75" hidden="false" customHeight="true" outlineLevel="0" collapsed="false">
      <c r="B1468" s="119" t="n">
        <f aca="false">ROW()-4</f>
        <v>1464</v>
      </c>
      <c r="C1468" s="120" t="n">
        <f aca="false">COUNTIFS($D$5:D1468,D1468)</f>
        <v>505</v>
      </c>
      <c r="D1468" s="121" t="s">
        <v>2006</v>
      </c>
      <c r="E1468" s="122" t="s">
        <v>2983</v>
      </c>
      <c r="F1468" s="123" t="n">
        <v>45387</v>
      </c>
      <c r="G1468" s="121" t="s">
        <v>28</v>
      </c>
      <c r="H146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A1464</v>
      </c>
      <c r="I146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B1464</v>
      </c>
      <c r="J1468" s="122" t="s">
        <v>2984</v>
      </c>
      <c r="K146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C1464</v>
      </c>
      <c r="L146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D1464</v>
      </c>
      <c r="M146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E1464</v>
      </c>
      <c r="N1468" s="122" t="s">
        <v>73</v>
      </c>
      <c r="O1468" s="126" t="n">
        <v>3500000</v>
      </c>
      <c r="P1468" s="121" t="s">
        <v>18</v>
      </c>
      <c r="Q1468" s="121" t="s">
        <v>124</v>
      </c>
      <c r="R1468" s="127"/>
      <c r="T1468" s="118"/>
    </row>
    <row r="1469" customFormat="false" ht="12.75" hidden="false" customHeight="true" outlineLevel="0" collapsed="false">
      <c r="B1469" s="119" t="n">
        <f aca="false">ROW()-4</f>
        <v>1465</v>
      </c>
      <c r="C1469" s="120" t="n">
        <f aca="false">COUNTIFS($D$5:D1469,D1469)</f>
        <v>506</v>
      </c>
      <c r="D1469" s="121" t="s">
        <v>2006</v>
      </c>
      <c r="E1469" s="122" t="s">
        <v>2985</v>
      </c>
      <c r="F1469" s="123" t="n">
        <v>45462</v>
      </c>
      <c r="G1469" s="121" t="s">
        <v>26</v>
      </c>
      <c r="H146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A1465</v>
      </c>
      <c r="I146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B1465</v>
      </c>
      <c r="J1469" s="122" t="s">
        <v>2986</v>
      </c>
      <c r="K146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C1465</v>
      </c>
      <c r="L146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D1465</v>
      </c>
      <c r="M146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E1465</v>
      </c>
      <c r="N1469" s="122" t="s">
        <v>73</v>
      </c>
      <c r="O1469" s="126" t="n">
        <v>3500000</v>
      </c>
      <c r="P1469" s="121" t="s">
        <v>18</v>
      </c>
      <c r="Q1469" s="121" t="s">
        <v>124</v>
      </c>
      <c r="R1469" s="127"/>
      <c r="T1469" s="118"/>
    </row>
    <row r="1470" customFormat="false" ht="12.75" hidden="false" customHeight="true" outlineLevel="0" collapsed="false">
      <c r="B1470" s="119" t="n">
        <f aca="false">ROW()-4</f>
        <v>1466</v>
      </c>
      <c r="C1470" s="120" t="n">
        <f aca="false">COUNTIFS($D$5:D1470,D1470)</f>
        <v>507</v>
      </c>
      <c r="D1470" s="121" t="s">
        <v>2006</v>
      </c>
      <c r="E1470" s="122" t="s">
        <v>2987</v>
      </c>
      <c r="F1470" s="123" t="n">
        <v>45462</v>
      </c>
      <c r="G1470" s="121" t="s">
        <v>26</v>
      </c>
      <c r="H147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A1466</v>
      </c>
      <c r="I147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B1466</v>
      </c>
      <c r="J1470" s="122" t="s">
        <v>2988</v>
      </c>
      <c r="K147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C1466</v>
      </c>
      <c r="L147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D1466</v>
      </c>
      <c r="M147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E1466</v>
      </c>
      <c r="N1470" s="122" t="s">
        <v>73</v>
      </c>
      <c r="O1470" s="126" t="n">
        <v>3500000</v>
      </c>
      <c r="P1470" s="121" t="s">
        <v>18</v>
      </c>
      <c r="Q1470" s="121" t="s">
        <v>124</v>
      </c>
      <c r="R1470" s="127"/>
      <c r="T1470" s="118"/>
    </row>
    <row r="1471" customFormat="false" ht="12.75" hidden="false" customHeight="true" outlineLevel="0" collapsed="false">
      <c r="B1471" s="119" t="n">
        <f aca="false">ROW()-4</f>
        <v>1467</v>
      </c>
      <c r="C1471" s="120" t="n">
        <f aca="false">COUNTIFS($D$5:D1471,D1471)</f>
        <v>508</v>
      </c>
      <c r="D1471" s="121" t="s">
        <v>2006</v>
      </c>
      <c r="E1471" s="122" t="s">
        <v>2989</v>
      </c>
      <c r="F1471" s="123" t="n">
        <v>45380</v>
      </c>
      <c r="G1471" s="121" t="s">
        <v>22</v>
      </c>
      <c r="H147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A1467</v>
      </c>
      <c r="I147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B1467</v>
      </c>
      <c r="J1471" s="122" t="s">
        <v>2990</v>
      </c>
      <c r="K147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C1467</v>
      </c>
      <c r="L147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D1467</v>
      </c>
      <c r="M147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E1467</v>
      </c>
      <c r="N1471" s="122" t="s">
        <v>73</v>
      </c>
      <c r="O1471" s="126" t="n">
        <v>3500000</v>
      </c>
      <c r="P1471" s="121" t="s">
        <v>18</v>
      </c>
      <c r="Q1471" s="121" t="s">
        <v>124</v>
      </c>
      <c r="R1471" s="127"/>
      <c r="T1471" s="118"/>
    </row>
    <row r="1472" customFormat="false" ht="12.75" hidden="false" customHeight="true" outlineLevel="0" collapsed="false">
      <c r="B1472" s="119" t="n">
        <f aca="false">ROW()-4</f>
        <v>1468</v>
      </c>
      <c r="C1472" s="120" t="n">
        <f aca="false">COUNTIFS($D$5:D1472,D1472)</f>
        <v>509</v>
      </c>
      <c r="D1472" s="121" t="s">
        <v>2006</v>
      </c>
      <c r="E1472" s="122" t="s">
        <v>2991</v>
      </c>
      <c r="F1472" s="123" t="n">
        <v>45446</v>
      </c>
      <c r="G1472" s="121" t="s">
        <v>22</v>
      </c>
      <c r="H147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A1468</v>
      </c>
      <c r="I147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B1468</v>
      </c>
      <c r="J1472" s="122" t="s">
        <v>2992</v>
      </c>
      <c r="K147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C1468</v>
      </c>
      <c r="L147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D1468</v>
      </c>
      <c r="M147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E1468</v>
      </c>
      <c r="N1472" s="122" t="s">
        <v>73</v>
      </c>
      <c r="O1472" s="126" t="n">
        <v>3500000</v>
      </c>
      <c r="P1472" s="121" t="s">
        <v>18</v>
      </c>
      <c r="Q1472" s="121" t="s">
        <v>124</v>
      </c>
      <c r="R1472" s="127"/>
      <c r="T1472" s="118"/>
    </row>
    <row r="1473" customFormat="false" ht="12.75" hidden="false" customHeight="true" outlineLevel="0" collapsed="false">
      <c r="B1473" s="119" t="n">
        <f aca="false">ROW()-4</f>
        <v>1469</v>
      </c>
      <c r="C1473" s="120" t="n">
        <f aca="false">COUNTIFS($D$5:D1473,D1473)</f>
        <v>510</v>
      </c>
      <c r="D1473" s="121" t="s">
        <v>2006</v>
      </c>
      <c r="E1473" s="122" t="s">
        <v>2993</v>
      </c>
      <c r="F1473" s="123" t="n">
        <v>45447</v>
      </c>
      <c r="G1473" s="121" t="s">
        <v>22</v>
      </c>
      <c r="H147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A1469</v>
      </c>
      <c r="I147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B1469</v>
      </c>
      <c r="J1473" s="122" t="s">
        <v>2994</v>
      </c>
      <c r="K147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C1469</v>
      </c>
      <c r="L147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D1469</v>
      </c>
      <c r="M147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E1469</v>
      </c>
      <c r="N1473" s="122" t="s">
        <v>73</v>
      </c>
      <c r="O1473" s="126" t="n">
        <v>3500000</v>
      </c>
      <c r="P1473" s="121" t="s">
        <v>18</v>
      </c>
      <c r="Q1473" s="121" t="s">
        <v>124</v>
      </c>
      <c r="R1473" s="127"/>
      <c r="T1473" s="118"/>
    </row>
    <row r="1474" customFormat="false" ht="12.75" hidden="false" customHeight="true" outlineLevel="0" collapsed="false">
      <c r="B1474" s="119" t="n">
        <f aca="false">ROW()-4</f>
        <v>1470</v>
      </c>
      <c r="C1474" s="120" t="n">
        <f aca="false">COUNTIFS($D$5:D1474,D1474)</f>
        <v>511</v>
      </c>
      <c r="D1474" s="121" t="s">
        <v>2006</v>
      </c>
      <c r="E1474" s="122" t="s">
        <v>2995</v>
      </c>
      <c r="F1474" s="123" t="n">
        <v>45447</v>
      </c>
      <c r="G1474" s="121" t="s">
        <v>22</v>
      </c>
      <c r="H147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A1470</v>
      </c>
      <c r="I147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B1470</v>
      </c>
      <c r="J1474" s="122" t="s">
        <v>2996</v>
      </c>
      <c r="K147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C1470</v>
      </c>
      <c r="L147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D1470</v>
      </c>
      <c r="M147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E1470</v>
      </c>
      <c r="N1474" s="122" t="s">
        <v>73</v>
      </c>
      <c r="O1474" s="126" t="n">
        <v>3500000</v>
      </c>
      <c r="P1474" s="121" t="s">
        <v>18</v>
      </c>
      <c r="Q1474" s="121" t="s">
        <v>124</v>
      </c>
      <c r="R1474" s="127"/>
      <c r="T1474" s="118"/>
    </row>
    <row r="1475" customFormat="false" ht="12.75" hidden="false" customHeight="true" outlineLevel="0" collapsed="false">
      <c r="B1475" s="119" t="n">
        <f aca="false">ROW()-4</f>
        <v>1471</v>
      </c>
      <c r="C1475" s="120" t="n">
        <f aca="false">COUNTIFS($D$5:D1475,D1475)</f>
        <v>512</v>
      </c>
      <c r="D1475" s="121" t="s">
        <v>2006</v>
      </c>
      <c r="E1475" s="122" t="s">
        <v>2997</v>
      </c>
      <c r="F1475" s="123" t="n">
        <v>45428</v>
      </c>
      <c r="G1475" s="121" t="s">
        <v>22</v>
      </c>
      <c r="H147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A1471</v>
      </c>
      <c r="I147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B1471</v>
      </c>
      <c r="J1475" s="122" t="s">
        <v>2998</v>
      </c>
      <c r="K147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C1471</v>
      </c>
      <c r="L147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D1471</v>
      </c>
      <c r="M147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E1471</v>
      </c>
      <c r="N1475" s="122" t="s">
        <v>73</v>
      </c>
      <c r="O1475" s="126" t="n">
        <v>3500000</v>
      </c>
      <c r="P1475" s="121" t="s">
        <v>18</v>
      </c>
      <c r="Q1475" s="121" t="s">
        <v>124</v>
      </c>
      <c r="R1475" s="127"/>
      <c r="T1475" s="118"/>
    </row>
    <row r="1476" customFormat="false" ht="12.75" hidden="false" customHeight="true" outlineLevel="0" collapsed="false">
      <c r="B1476" s="119" t="n">
        <f aca="false">ROW()-4</f>
        <v>1472</v>
      </c>
      <c r="C1476" s="120" t="n">
        <f aca="false">COUNTIFS($D$5:D1476,D1476)</f>
        <v>513</v>
      </c>
      <c r="D1476" s="121" t="s">
        <v>2006</v>
      </c>
      <c r="E1476" s="122" t="s">
        <v>2999</v>
      </c>
      <c r="F1476" s="123" t="n">
        <v>45467</v>
      </c>
      <c r="G1476" s="121" t="s">
        <v>26</v>
      </c>
      <c r="H147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A1472</v>
      </c>
      <c r="I147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B1472</v>
      </c>
      <c r="J1476" s="122" t="s">
        <v>3000</v>
      </c>
      <c r="K147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C1472</v>
      </c>
      <c r="L147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D1472</v>
      </c>
      <c r="M147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E1472</v>
      </c>
      <c r="N1476" s="122" t="s">
        <v>73</v>
      </c>
      <c r="O1476" s="126" t="n">
        <v>3500000</v>
      </c>
      <c r="P1476" s="121" t="s">
        <v>18</v>
      </c>
      <c r="Q1476" s="121" t="s">
        <v>124</v>
      </c>
      <c r="R1476" s="127"/>
      <c r="T1476" s="118"/>
    </row>
    <row r="1477" customFormat="false" ht="12.75" hidden="false" customHeight="true" outlineLevel="0" collapsed="false">
      <c r="B1477" s="119" t="n">
        <f aca="false">ROW()-4</f>
        <v>1473</v>
      </c>
      <c r="C1477" s="120" t="n">
        <f aca="false">COUNTIFS($D$5:D1477,D1477)</f>
        <v>514</v>
      </c>
      <c r="D1477" s="121" t="s">
        <v>2006</v>
      </c>
      <c r="E1477" s="122" t="s">
        <v>3001</v>
      </c>
      <c r="F1477" s="123" t="n">
        <v>45889</v>
      </c>
      <c r="G1477" s="121" t="s">
        <v>22</v>
      </c>
      <c r="H147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A1473</v>
      </c>
      <c r="I147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B1473</v>
      </c>
      <c r="J1477" s="122" t="s">
        <v>3002</v>
      </c>
      <c r="K147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C1473</v>
      </c>
      <c r="L147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D1473</v>
      </c>
      <c r="M147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E1473</v>
      </c>
      <c r="N1477" s="122" t="s">
        <v>73</v>
      </c>
      <c r="O1477" s="126" t="n">
        <v>3500000</v>
      </c>
      <c r="P1477" s="121" t="s">
        <v>18</v>
      </c>
      <c r="Q1477" s="121" t="s">
        <v>124</v>
      </c>
      <c r="R1477" s="127"/>
      <c r="T1477" s="118"/>
    </row>
    <row r="1478" customFormat="false" ht="12.75" hidden="false" customHeight="true" outlineLevel="0" collapsed="false">
      <c r="B1478" s="140" t="n">
        <f aca="false">ROW()-4</f>
        <v>1474</v>
      </c>
      <c r="C1478" s="141" t="n">
        <f aca="false">COUNTIFS($D$5:D1478,D1478)</f>
        <v>515</v>
      </c>
      <c r="D1478" s="142" t="s">
        <v>2006</v>
      </c>
      <c r="E1478" s="143" t="s">
        <v>3003</v>
      </c>
      <c r="F1478" s="144" t="n">
        <v>46062</v>
      </c>
      <c r="G1478" s="142" t="s">
        <v>22</v>
      </c>
      <c r="H1478" s="166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A1474</v>
      </c>
      <c r="I1478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B1474</v>
      </c>
      <c r="J1478" s="143" t="s">
        <v>3004</v>
      </c>
      <c r="K1478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C1474</v>
      </c>
      <c r="L1478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D1474</v>
      </c>
      <c r="M1478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E1474</v>
      </c>
      <c r="N1478" s="143" t="s">
        <v>73</v>
      </c>
      <c r="O1478" s="146" t="n">
        <v>3500000</v>
      </c>
      <c r="P1478" s="142" t="s">
        <v>907</v>
      </c>
      <c r="Q1478" s="143" t="s">
        <v>908</v>
      </c>
      <c r="R1478" s="147"/>
      <c r="T1478" s="118"/>
    </row>
    <row r="1479" customFormat="false" ht="12.75" hidden="false" customHeight="true" outlineLevel="0" collapsed="false">
      <c r="B1479" s="119" t="n">
        <f aca="false">ROW()-4</f>
        <v>1475</v>
      </c>
      <c r="C1479" s="120" t="n">
        <f aca="false">COUNTIFS($D$5:D1479,D1479)</f>
        <v>516</v>
      </c>
      <c r="D1479" s="121" t="s">
        <v>2006</v>
      </c>
      <c r="E1479" s="122" t="s">
        <v>3005</v>
      </c>
      <c r="F1479" s="123" t="n">
        <v>45483</v>
      </c>
      <c r="G1479" s="121" t="s">
        <v>22</v>
      </c>
      <c r="H147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A1475</v>
      </c>
      <c r="I147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B1475</v>
      </c>
      <c r="J1479" s="122" t="s">
        <v>3006</v>
      </c>
      <c r="K147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C1475</v>
      </c>
      <c r="L147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D1475</v>
      </c>
      <c r="M147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E1475</v>
      </c>
      <c r="N1479" s="122" t="s">
        <v>73</v>
      </c>
      <c r="O1479" s="126" t="n">
        <v>3500000</v>
      </c>
      <c r="P1479" s="121" t="s">
        <v>18</v>
      </c>
      <c r="Q1479" s="121" t="s">
        <v>124</v>
      </c>
      <c r="R1479" s="127"/>
      <c r="T1479" s="118"/>
    </row>
    <row r="1480" customFormat="false" ht="12.75" hidden="false" customHeight="true" outlineLevel="0" collapsed="false">
      <c r="B1480" s="119" t="n">
        <f aca="false">ROW()-4</f>
        <v>1476</v>
      </c>
      <c r="C1480" s="120" t="n">
        <f aca="false">COUNTIFS($D$5:D1480,D1480)</f>
        <v>517</v>
      </c>
      <c r="D1480" s="121" t="s">
        <v>2006</v>
      </c>
      <c r="E1480" s="122" t="s">
        <v>3007</v>
      </c>
      <c r="F1480" s="123" t="n">
        <v>45534</v>
      </c>
      <c r="G1480" s="121" t="s">
        <v>26</v>
      </c>
      <c r="H148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A1476</v>
      </c>
      <c r="I148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B1476</v>
      </c>
      <c r="J1480" s="122" t="s">
        <v>3008</v>
      </c>
      <c r="K148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C1476</v>
      </c>
      <c r="L148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D1476</v>
      </c>
      <c r="M148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E1476</v>
      </c>
      <c r="N1480" s="122" t="s">
        <v>73</v>
      </c>
      <c r="O1480" s="126" t="n">
        <v>3500000</v>
      </c>
      <c r="P1480" s="121" t="s">
        <v>18</v>
      </c>
      <c r="Q1480" s="121" t="s">
        <v>124</v>
      </c>
      <c r="R1480" s="127"/>
      <c r="T1480" s="118"/>
    </row>
    <row r="1481" customFormat="false" ht="12.75" hidden="false" customHeight="true" outlineLevel="0" collapsed="false">
      <c r="B1481" s="119" t="n">
        <f aca="false">ROW()-4</f>
        <v>1477</v>
      </c>
      <c r="C1481" s="120" t="n">
        <f aca="false">COUNTIFS($D$5:D1481,D1481)</f>
        <v>518</v>
      </c>
      <c r="D1481" s="121" t="s">
        <v>2006</v>
      </c>
      <c r="E1481" s="122" t="s">
        <v>3009</v>
      </c>
      <c r="F1481" s="123" t="n">
        <v>45988</v>
      </c>
      <c r="G1481" s="121" t="s">
        <v>30</v>
      </c>
      <c r="H148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A1477</v>
      </c>
      <c r="I148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B1477</v>
      </c>
      <c r="J1481" s="122" t="s">
        <v>3010</v>
      </c>
      <c r="K148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C1477</v>
      </c>
      <c r="L148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D1477</v>
      </c>
      <c r="M148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E1477</v>
      </c>
      <c r="N1481" s="122" t="s">
        <v>73</v>
      </c>
      <c r="O1481" s="126" t="n">
        <v>3500000</v>
      </c>
      <c r="P1481" s="121" t="s">
        <v>18</v>
      </c>
      <c r="Q1481" s="121" t="s">
        <v>124</v>
      </c>
      <c r="R1481" s="127"/>
      <c r="T1481" s="118"/>
    </row>
    <row r="1482" s="118" customFormat="true" ht="12.75" hidden="false" customHeight="true" outlineLevel="0" collapsed="false">
      <c r="A1482" s="98"/>
      <c r="B1482" s="119" t="n">
        <f aca="false">ROW()-4</f>
        <v>1478</v>
      </c>
      <c r="C1482" s="120" t="n">
        <f aca="false">COUNTIFS($D$5:D1482,D1482)</f>
        <v>519</v>
      </c>
      <c r="D1482" s="121" t="s">
        <v>2006</v>
      </c>
      <c r="E1482" s="122" t="s">
        <v>3011</v>
      </c>
      <c r="F1482" s="123" t="n">
        <v>46043</v>
      </c>
      <c r="G1482" s="121" t="s">
        <v>30</v>
      </c>
      <c r="H148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A1478</v>
      </c>
      <c r="I148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B1478</v>
      </c>
      <c r="J1482" s="122" t="s">
        <v>3012</v>
      </c>
      <c r="K148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C1478</v>
      </c>
      <c r="L148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D1478</v>
      </c>
      <c r="M148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E1478</v>
      </c>
      <c r="N1482" s="122" t="s">
        <v>73</v>
      </c>
      <c r="O1482" s="126" t="n">
        <v>3500000</v>
      </c>
      <c r="P1482" s="121" t="s">
        <v>18</v>
      </c>
      <c r="Q1482" s="121" t="s">
        <v>124</v>
      </c>
      <c r="R1482" s="127"/>
    </row>
    <row r="1483" customFormat="false" ht="12.75" hidden="false" customHeight="true" outlineLevel="0" collapsed="false">
      <c r="B1483" s="119" t="n">
        <f aca="false">ROW()-4</f>
        <v>1479</v>
      </c>
      <c r="C1483" s="120" t="n">
        <f aca="false">COUNTIFS($D$5:D1483,D1483)</f>
        <v>520</v>
      </c>
      <c r="D1483" s="121" t="s">
        <v>2006</v>
      </c>
      <c r="E1483" s="122" t="s">
        <v>3013</v>
      </c>
      <c r="F1483" s="123" t="n">
        <v>45476</v>
      </c>
      <c r="G1483" s="121" t="s">
        <v>26</v>
      </c>
      <c r="H148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A1479</v>
      </c>
      <c r="I148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B1479</v>
      </c>
      <c r="J1483" s="122" t="s">
        <v>3014</v>
      </c>
      <c r="K148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C1479</v>
      </c>
      <c r="L148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D1479</v>
      </c>
      <c r="M148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E1479</v>
      </c>
      <c r="N1483" s="122" t="s">
        <v>73</v>
      </c>
      <c r="O1483" s="126" t="n">
        <v>3500000</v>
      </c>
      <c r="P1483" s="121" t="s">
        <v>18</v>
      </c>
      <c r="Q1483" s="121" t="s">
        <v>124</v>
      </c>
      <c r="R1483" s="127"/>
      <c r="T1483" s="118"/>
    </row>
    <row r="1484" customFormat="false" ht="12.75" hidden="false" customHeight="true" outlineLevel="0" collapsed="false">
      <c r="B1484" s="119" t="n">
        <f aca="false">ROW()-4</f>
        <v>1480</v>
      </c>
      <c r="C1484" s="120" t="n">
        <f aca="false">COUNTIFS($D$5:D1484,D1484)</f>
        <v>521</v>
      </c>
      <c r="D1484" s="121" t="s">
        <v>2006</v>
      </c>
      <c r="E1484" s="122" t="s">
        <v>3015</v>
      </c>
      <c r="F1484" s="123" t="n">
        <v>45471</v>
      </c>
      <c r="G1484" s="121" t="s">
        <v>22</v>
      </c>
      <c r="H148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A1480</v>
      </c>
      <c r="I148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B1480</v>
      </c>
      <c r="J1484" s="122" t="s">
        <v>3016</v>
      </c>
      <c r="K148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C1480</v>
      </c>
      <c r="L148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D1480</v>
      </c>
      <c r="M148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E1480</v>
      </c>
      <c r="N1484" s="122" t="s">
        <v>73</v>
      </c>
      <c r="O1484" s="126" t="n">
        <v>3500000</v>
      </c>
      <c r="P1484" s="121" t="s">
        <v>18</v>
      </c>
      <c r="Q1484" s="121" t="s">
        <v>124</v>
      </c>
      <c r="R1484" s="127"/>
      <c r="T1484" s="118"/>
    </row>
    <row r="1485" customFormat="false" ht="12.75" hidden="false" customHeight="true" outlineLevel="0" collapsed="false">
      <c r="B1485" s="119" t="n">
        <f aca="false">ROW()-4</f>
        <v>1481</v>
      </c>
      <c r="C1485" s="120" t="n">
        <f aca="false">COUNTIFS($D$5:D1485,D1485)</f>
        <v>522</v>
      </c>
      <c r="D1485" s="121" t="s">
        <v>2006</v>
      </c>
      <c r="E1485" s="122" t="s">
        <v>3017</v>
      </c>
      <c r="F1485" s="123" t="n">
        <v>45476</v>
      </c>
      <c r="G1485" s="121" t="s">
        <v>24</v>
      </c>
      <c r="H148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A1481</v>
      </c>
      <c r="I148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B1481</v>
      </c>
      <c r="J1485" s="122" t="s">
        <v>3018</v>
      </c>
      <c r="K148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C1481</v>
      </c>
      <c r="L148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D1481</v>
      </c>
      <c r="M148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E1481</v>
      </c>
      <c r="N1485" s="122" t="s">
        <v>73</v>
      </c>
      <c r="O1485" s="126" t="n">
        <v>3500000</v>
      </c>
      <c r="P1485" s="121" t="s">
        <v>18</v>
      </c>
      <c r="Q1485" s="121" t="s">
        <v>124</v>
      </c>
      <c r="R1485" s="127"/>
      <c r="T1485" s="118"/>
    </row>
    <row r="1486" customFormat="false" ht="12.75" hidden="false" customHeight="true" outlineLevel="0" collapsed="false">
      <c r="B1486" s="119" t="n">
        <f aca="false">ROW()-4</f>
        <v>1482</v>
      </c>
      <c r="C1486" s="120" t="n">
        <f aca="false">COUNTIFS($D$5:D1486,D1486)</f>
        <v>523</v>
      </c>
      <c r="D1486" s="121" t="s">
        <v>2006</v>
      </c>
      <c r="E1486" s="122" t="s">
        <v>3019</v>
      </c>
      <c r="F1486" s="123" t="n">
        <v>45476</v>
      </c>
      <c r="G1486" s="121" t="s">
        <v>24</v>
      </c>
      <c r="H148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A1482</v>
      </c>
      <c r="I148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B1482</v>
      </c>
      <c r="J1486" s="122" t="s">
        <v>3020</v>
      </c>
      <c r="K148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C1482</v>
      </c>
      <c r="L148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D1482</v>
      </c>
      <c r="M148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E1482</v>
      </c>
      <c r="N1486" s="122" t="s">
        <v>73</v>
      </c>
      <c r="O1486" s="126" t="n">
        <v>3500000</v>
      </c>
      <c r="P1486" s="121" t="s">
        <v>18</v>
      </c>
      <c r="Q1486" s="121" t="s">
        <v>124</v>
      </c>
      <c r="R1486" s="127"/>
      <c r="T1486" s="118"/>
    </row>
    <row r="1487" customFormat="false" ht="12.75" hidden="false" customHeight="true" outlineLevel="0" collapsed="false">
      <c r="B1487" s="119" t="n">
        <f aca="false">ROW()-4</f>
        <v>1483</v>
      </c>
      <c r="C1487" s="120" t="n">
        <f aca="false">COUNTIFS($D$5:D1487,D1487)</f>
        <v>524</v>
      </c>
      <c r="D1487" s="121" t="s">
        <v>2006</v>
      </c>
      <c r="E1487" s="122" t="s">
        <v>3021</v>
      </c>
      <c r="F1487" s="123" t="n">
        <v>45475</v>
      </c>
      <c r="G1487" s="121" t="s">
        <v>22</v>
      </c>
      <c r="H148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A1483</v>
      </c>
      <c r="I148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B1483</v>
      </c>
      <c r="J1487" s="122" t="s">
        <v>3022</v>
      </c>
      <c r="K148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C1483</v>
      </c>
      <c r="L148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D1483</v>
      </c>
      <c r="M148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E1483</v>
      </c>
      <c r="N1487" s="122" t="s">
        <v>73</v>
      </c>
      <c r="O1487" s="126" t="n">
        <v>3500000</v>
      </c>
      <c r="P1487" s="121" t="s">
        <v>18</v>
      </c>
      <c r="Q1487" s="121" t="s">
        <v>124</v>
      </c>
      <c r="R1487" s="127"/>
      <c r="T1487" s="118"/>
    </row>
    <row r="1488" customFormat="false" ht="12.75" hidden="false" customHeight="true" outlineLevel="0" collapsed="false">
      <c r="B1488" s="119" t="n">
        <f aca="false">ROW()-4</f>
        <v>1484</v>
      </c>
      <c r="C1488" s="120" t="n">
        <f aca="false">COUNTIFS($D$5:D1488,D1488)</f>
        <v>525</v>
      </c>
      <c r="D1488" s="121" t="s">
        <v>2006</v>
      </c>
      <c r="E1488" s="122" t="s">
        <v>3023</v>
      </c>
      <c r="F1488" s="123" t="n">
        <v>45475</v>
      </c>
      <c r="G1488" s="121" t="s">
        <v>22</v>
      </c>
      <c r="H148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A1484</v>
      </c>
      <c r="I148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B1484</v>
      </c>
      <c r="J1488" s="122" t="s">
        <v>3024</v>
      </c>
      <c r="K148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C1484</v>
      </c>
      <c r="L148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D1484</v>
      </c>
      <c r="M148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E1484</v>
      </c>
      <c r="N1488" s="122" t="s">
        <v>73</v>
      </c>
      <c r="O1488" s="126" t="n">
        <v>3500000</v>
      </c>
      <c r="P1488" s="121" t="s">
        <v>18</v>
      </c>
      <c r="Q1488" s="121" t="s">
        <v>124</v>
      </c>
      <c r="R1488" s="127"/>
      <c r="T1488" s="118"/>
    </row>
    <row r="1489" customFormat="false" ht="12.75" hidden="false" customHeight="true" outlineLevel="0" collapsed="false">
      <c r="B1489" s="119" t="n">
        <f aca="false">ROW()-4</f>
        <v>1485</v>
      </c>
      <c r="C1489" s="120" t="n">
        <f aca="false">COUNTIFS($D$5:D1489,D1489)</f>
        <v>526</v>
      </c>
      <c r="D1489" s="121" t="s">
        <v>2006</v>
      </c>
      <c r="E1489" s="122" t="s">
        <v>3025</v>
      </c>
      <c r="F1489" s="123" t="n">
        <v>45491</v>
      </c>
      <c r="G1489" s="121" t="s">
        <v>26</v>
      </c>
      <c r="H148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A1485</v>
      </c>
      <c r="I148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B1485</v>
      </c>
      <c r="J1489" s="122" t="s">
        <v>3026</v>
      </c>
      <c r="K148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C1485</v>
      </c>
      <c r="L148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D1485</v>
      </c>
      <c r="M148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E1485</v>
      </c>
      <c r="N1489" s="122" t="s">
        <v>73</v>
      </c>
      <c r="O1489" s="126" t="n">
        <v>3500000</v>
      </c>
      <c r="P1489" s="121" t="s">
        <v>18</v>
      </c>
      <c r="Q1489" s="121" t="s">
        <v>124</v>
      </c>
      <c r="R1489" s="127"/>
      <c r="T1489" s="118"/>
    </row>
    <row r="1490" customFormat="false" ht="12.75" hidden="false" customHeight="true" outlineLevel="0" collapsed="false">
      <c r="B1490" s="119" t="n">
        <f aca="false">ROW()-4</f>
        <v>1486</v>
      </c>
      <c r="C1490" s="120" t="n">
        <f aca="false">COUNTIFS($D$5:D1490,D1490)</f>
        <v>527</v>
      </c>
      <c r="D1490" s="121" t="s">
        <v>2006</v>
      </c>
      <c r="E1490" s="122" t="s">
        <v>3027</v>
      </c>
      <c r="F1490" s="123" t="n">
        <v>45491</v>
      </c>
      <c r="G1490" s="121" t="s">
        <v>26</v>
      </c>
      <c r="H149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A1486</v>
      </c>
      <c r="I149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B1486</v>
      </c>
      <c r="J1490" s="122" t="s">
        <v>3028</v>
      </c>
      <c r="K149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C1486</v>
      </c>
      <c r="L149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D1486</v>
      </c>
      <c r="M149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E1486</v>
      </c>
      <c r="N1490" s="122" t="s">
        <v>73</v>
      </c>
      <c r="O1490" s="126" t="n">
        <v>3500000</v>
      </c>
      <c r="P1490" s="121" t="s">
        <v>18</v>
      </c>
      <c r="Q1490" s="121" t="s">
        <v>124</v>
      </c>
      <c r="R1490" s="127"/>
      <c r="T1490" s="118"/>
    </row>
    <row r="1491" customFormat="false" ht="12.75" hidden="false" customHeight="true" outlineLevel="0" collapsed="false">
      <c r="B1491" s="119" t="n">
        <f aca="false">ROW()-4</f>
        <v>1487</v>
      </c>
      <c r="C1491" s="120" t="n">
        <f aca="false">COUNTIFS($D$5:D1491,D1491)</f>
        <v>528</v>
      </c>
      <c r="D1491" s="121" t="s">
        <v>2006</v>
      </c>
      <c r="E1491" s="122" t="s">
        <v>3029</v>
      </c>
      <c r="F1491" s="123" t="n">
        <v>45483</v>
      </c>
      <c r="G1491" s="121" t="s">
        <v>22</v>
      </c>
      <c r="H149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A1487</v>
      </c>
      <c r="I149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B1487</v>
      </c>
      <c r="J1491" s="122" t="s">
        <v>3030</v>
      </c>
      <c r="K149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C1487</v>
      </c>
      <c r="L149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D1487</v>
      </c>
      <c r="M149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E1487</v>
      </c>
      <c r="N1491" s="122" t="s">
        <v>73</v>
      </c>
      <c r="O1491" s="126" t="n">
        <v>3500000</v>
      </c>
      <c r="P1491" s="121" t="s">
        <v>18</v>
      </c>
      <c r="Q1491" s="121" t="s">
        <v>124</v>
      </c>
      <c r="R1491" s="127"/>
      <c r="T1491" s="118"/>
    </row>
    <row r="1492" customFormat="false" ht="12.75" hidden="false" customHeight="true" outlineLevel="0" collapsed="false">
      <c r="B1492" s="119" t="n">
        <f aca="false">ROW()-4</f>
        <v>1488</v>
      </c>
      <c r="C1492" s="120" t="n">
        <f aca="false">COUNTIFS($D$5:D1492,D1492)</f>
        <v>529</v>
      </c>
      <c r="D1492" s="121" t="s">
        <v>2006</v>
      </c>
      <c r="E1492" s="122" t="s">
        <v>3031</v>
      </c>
      <c r="F1492" s="123" t="n">
        <v>45548</v>
      </c>
      <c r="G1492" s="121" t="s">
        <v>22</v>
      </c>
      <c r="H149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A1488</v>
      </c>
      <c r="I149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B1488</v>
      </c>
      <c r="J1492" s="122" t="s">
        <v>3032</v>
      </c>
      <c r="K149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C1488</v>
      </c>
      <c r="L149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D1488</v>
      </c>
      <c r="M149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E1488</v>
      </c>
      <c r="N1492" s="122" t="s">
        <v>73</v>
      </c>
      <c r="O1492" s="126" t="n">
        <v>3500000</v>
      </c>
      <c r="P1492" s="121" t="s">
        <v>18</v>
      </c>
      <c r="Q1492" s="121" t="s">
        <v>124</v>
      </c>
      <c r="R1492" s="127"/>
      <c r="T1492" s="118"/>
    </row>
    <row r="1493" customFormat="false" ht="12.75" hidden="false" customHeight="true" outlineLevel="0" collapsed="false">
      <c r="B1493" s="119" t="n">
        <f aca="false">ROW()-4</f>
        <v>1489</v>
      </c>
      <c r="C1493" s="120" t="n">
        <f aca="false">COUNTIFS($D$5:D1493,D1493)</f>
        <v>530</v>
      </c>
      <c r="D1493" s="121" t="s">
        <v>2006</v>
      </c>
      <c r="E1493" s="122" t="s">
        <v>3033</v>
      </c>
      <c r="F1493" s="123" t="n">
        <v>46056</v>
      </c>
      <c r="G1493" s="121" t="s">
        <v>22</v>
      </c>
      <c r="H149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A1489</v>
      </c>
      <c r="I149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B1489</v>
      </c>
      <c r="J1493" s="122" t="s">
        <v>3034</v>
      </c>
      <c r="K149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C1489</v>
      </c>
      <c r="L149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D1489</v>
      </c>
      <c r="M149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E1489</v>
      </c>
      <c r="N1493" s="122" t="s">
        <v>73</v>
      </c>
      <c r="O1493" s="126" t="n">
        <v>3500000</v>
      </c>
      <c r="P1493" s="121" t="s">
        <v>18</v>
      </c>
      <c r="Q1493" s="121" t="s">
        <v>124</v>
      </c>
      <c r="R1493" s="127"/>
      <c r="T1493" s="118"/>
    </row>
    <row r="1494" customFormat="false" ht="12.75" hidden="false" customHeight="true" outlineLevel="0" collapsed="false">
      <c r="B1494" s="119" t="n">
        <f aca="false">ROW()-4</f>
        <v>1490</v>
      </c>
      <c r="C1494" s="120" t="n">
        <f aca="false">COUNTIFS($D$5:D1494,D1494)</f>
        <v>531</v>
      </c>
      <c r="D1494" s="121" t="s">
        <v>2006</v>
      </c>
      <c r="E1494" s="122" t="s">
        <v>3035</v>
      </c>
      <c r="F1494" s="123"/>
      <c r="G1494" s="121" t="s">
        <v>210</v>
      </c>
      <c r="H1494" s="122"/>
      <c r="I1494" s="122"/>
      <c r="J1494" s="122"/>
      <c r="K1494" s="122"/>
      <c r="L1494" s="125"/>
      <c r="M149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E1490</v>
      </c>
      <c r="N1494" s="122" t="s">
        <v>73</v>
      </c>
      <c r="O1494" s="126" t="n">
        <v>3500000</v>
      </c>
      <c r="P1494" s="121" t="s">
        <v>19</v>
      </c>
      <c r="Q1494" s="122"/>
      <c r="R1494" s="128" t="s">
        <v>59</v>
      </c>
      <c r="T1494" s="118"/>
    </row>
    <row r="1495" customFormat="false" ht="12.75" hidden="false" customHeight="true" outlineLevel="0" collapsed="false">
      <c r="B1495" s="119" t="n">
        <f aca="false">ROW()-4</f>
        <v>1491</v>
      </c>
      <c r="C1495" s="120" t="n">
        <f aca="false">COUNTIFS($D$5:D1495,D1495)</f>
        <v>532</v>
      </c>
      <c r="D1495" s="121" t="s">
        <v>2006</v>
      </c>
      <c r="E1495" s="122" t="s">
        <v>3036</v>
      </c>
      <c r="F1495" s="123"/>
      <c r="G1495" s="121" t="s">
        <v>210</v>
      </c>
      <c r="H1495" s="122"/>
      <c r="I1495" s="122"/>
      <c r="J1495" s="122"/>
      <c r="K1495" s="122"/>
      <c r="L1495" s="125"/>
      <c r="M149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E1491</v>
      </c>
      <c r="N1495" s="122" t="s">
        <v>73</v>
      </c>
      <c r="O1495" s="126" t="n">
        <v>3500000</v>
      </c>
      <c r="P1495" s="121" t="s">
        <v>19</v>
      </c>
      <c r="Q1495" s="122"/>
      <c r="R1495" s="128" t="s">
        <v>59</v>
      </c>
      <c r="T1495" s="118"/>
    </row>
    <row r="1496" customFormat="false" ht="12.75" hidden="false" customHeight="true" outlineLevel="0" collapsed="false">
      <c r="B1496" s="119" t="n">
        <f aca="false">ROW()-4</f>
        <v>1492</v>
      </c>
      <c r="C1496" s="120" t="n">
        <f aca="false">COUNTIFS($D$5:D1496,D1496)</f>
        <v>533</v>
      </c>
      <c r="D1496" s="121" t="s">
        <v>2006</v>
      </c>
      <c r="E1496" s="122" t="s">
        <v>3037</v>
      </c>
      <c r="F1496" s="123" t="n">
        <v>45482</v>
      </c>
      <c r="G1496" s="121" t="s">
        <v>22</v>
      </c>
      <c r="H149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A1492</v>
      </c>
      <c r="I149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B1492</v>
      </c>
      <c r="J1496" s="122" t="s">
        <v>3038</v>
      </c>
      <c r="K149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C1492</v>
      </c>
      <c r="L149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D1492</v>
      </c>
      <c r="M149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E1492</v>
      </c>
      <c r="N1496" s="122" t="s">
        <v>73</v>
      </c>
      <c r="O1496" s="126" t="n">
        <v>3500000</v>
      </c>
      <c r="P1496" s="121" t="s">
        <v>18</v>
      </c>
      <c r="Q1496" s="121" t="s">
        <v>124</v>
      </c>
      <c r="R1496" s="127"/>
      <c r="T1496" s="118"/>
    </row>
    <row r="1497" customFormat="false" ht="12.75" hidden="false" customHeight="true" outlineLevel="0" collapsed="false">
      <c r="B1497" s="119" t="n">
        <f aca="false">ROW()-4</f>
        <v>1493</v>
      </c>
      <c r="C1497" s="120" t="n">
        <f aca="false">COUNTIFS($D$5:D1497,D1497)</f>
        <v>534</v>
      </c>
      <c r="D1497" s="121" t="s">
        <v>2006</v>
      </c>
      <c r="E1497" s="122" t="s">
        <v>3039</v>
      </c>
      <c r="F1497" s="123"/>
      <c r="G1497" s="121" t="s">
        <v>210</v>
      </c>
      <c r="H1497" s="124"/>
      <c r="I1497" s="122"/>
      <c r="J1497" s="122"/>
      <c r="K1497" s="122"/>
      <c r="L1497" s="125"/>
      <c r="M149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E1493</v>
      </c>
      <c r="N1497" s="122" t="s">
        <v>73</v>
      </c>
      <c r="O1497" s="126" t="n">
        <v>3500000</v>
      </c>
      <c r="P1497" s="121" t="s">
        <v>19</v>
      </c>
      <c r="Q1497" s="122"/>
      <c r="R1497" s="128" t="s">
        <v>59</v>
      </c>
      <c r="T1497" s="118"/>
    </row>
    <row r="1498" customFormat="false" ht="12.75" hidden="false" customHeight="true" outlineLevel="0" collapsed="false">
      <c r="B1498" s="119" t="n">
        <f aca="false">ROW()-4</f>
        <v>1494</v>
      </c>
      <c r="C1498" s="120" t="n">
        <f aca="false">COUNTIFS($D$5:D1498,D1498)</f>
        <v>535</v>
      </c>
      <c r="D1498" s="121" t="s">
        <v>2006</v>
      </c>
      <c r="E1498" s="122" t="s">
        <v>3040</v>
      </c>
      <c r="F1498" s="123" t="n">
        <v>45482</v>
      </c>
      <c r="G1498" s="121" t="s">
        <v>28</v>
      </c>
      <c r="H149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A1494</v>
      </c>
      <c r="I149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B1494</v>
      </c>
      <c r="J1498" s="122" t="s">
        <v>3041</v>
      </c>
      <c r="K149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C1494</v>
      </c>
      <c r="L149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D1494</v>
      </c>
      <c r="M149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E1494</v>
      </c>
      <c r="N1498" s="122" t="s">
        <v>73</v>
      </c>
      <c r="O1498" s="126" t="n">
        <v>3500000</v>
      </c>
      <c r="P1498" s="121" t="s">
        <v>18</v>
      </c>
      <c r="Q1498" s="121" t="s">
        <v>124</v>
      </c>
      <c r="R1498" s="127"/>
      <c r="T1498" s="118"/>
    </row>
    <row r="1499" customFormat="false" ht="12.75" hidden="false" customHeight="true" outlineLevel="0" collapsed="false">
      <c r="B1499" s="119" t="n">
        <f aca="false">ROW()-4</f>
        <v>1495</v>
      </c>
      <c r="C1499" s="120" t="n">
        <f aca="false">COUNTIFS($D$5:D1499,D1499)</f>
        <v>536</v>
      </c>
      <c r="D1499" s="121" t="s">
        <v>2006</v>
      </c>
      <c r="E1499" s="122" t="s">
        <v>3042</v>
      </c>
      <c r="F1499" s="123" t="n">
        <v>45502</v>
      </c>
      <c r="G1499" s="121" t="s">
        <v>22</v>
      </c>
      <c r="H149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A1495</v>
      </c>
      <c r="I149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B1495</v>
      </c>
      <c r="J1499" s="122" t="s">
        <v>3043</v>
      </c>
      <c r="K149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C1495</v>
      </c>
      <c r="L149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D1495</v>
      </c>
      <c r="M149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E1495</v>
      </c>
      <c r="N1499" s="122" t="s">
        <v>73</v>
      </c>
      <c r="O1499" s="126" t="n">
        <v>3500000</v>
      </c>
      <c r="P1499" s="121" t="s">
        <v>18</v>
      </c>
      <c r="Q1499" s="121" t="s">
        <v>124</v>
      </c>
      <c r="R1499" s="127"/>
      <c r="T1499" s="118"/>
    </row>
    <row r="1500" customFormat="false" ht="12.75" hidden="false" customHeight="true" outlineLevel="0" collapsed="false">
      <c r="B1500" s="119" t="n">
        <f aca="false">ROW()-4</f>
        <v>1496</v>
      </c>
      <c r="C1500" s="120" t="n">
        <f aca="false">COUNTIFS($D$5:D1500,D1500)</f>
        <v>537</v>
      </c>
      <c r="D1500" s="121" t="s">
        <v>2006</v>
      </c>
      <c r="E1500" s="122" t="s">
        <v>3044</v>
      </c>
      <c r="F1500" s="123" t="n">
        <v>45743</v>
      </c>
      <c r="G1500" s="121" t="s">
        <v>28</v>
      </c>
      <c r="H150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A1496</v>
      </c>
      <c r="I150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B1496</v>
      </c>
      <c r="J1500" s="122" t="s">
        <v>3045</v>
      </c>
      <c r="K150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C1496</v>
      </c>
      <c r="L150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D1496</v>
      </c>
      <c r="M150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E1496</v>
      </c>
      <c r="N1500" s="122" t="s">
        <v>73</v>
      </c>
      <c r="O1500" s="126" t="n">
        <v>3500000</v>
      </c>
      <c r="P1500" s="121" t="s">
        <v>18</v>
      </c>
      <c r="Q1500" s="121" t="s">
        <v>124</v>
      </c>
      <c r="R1500" s="127"/>
      <c r="T1500" s="118"/>
    </row>
    <row r="1501" customFormat="false" ht="12.75" hidden="false" customHeight="true" outlineLevel="0" collapsed="false">
      <c r="B1501" s="119" t="n">
        <f aca="false">ROW()-4</f>
        <v>1497</v>
      </c>
      <c r="C1501" s="120" t="n">
        <f aca="false">COUNTIFS($D$5:D1501,D1501)</f>
        <v>538</v>
      </c>
      <c r="D1501" s="121" t="s">
        <v>2006</v>
      </c>
      <c r="E1501" s="122" t="s">
        <v>3046</v>
      </c>
      <c r="F1501" s="123" t="n">
        <v>45516</v>
      </c>
      <c r="G1501" s="121" t="s">
        <v>26</v>
      </c>
      <c r="H150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A1497</v>
      </c>
      <c r="I150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B1497</v>
      </c>
      <c r="J1501" s="122" t="s">
        <v>3047</v>
      </c>
      <c r="K150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C1497</v>
      </c>
      <c r="L150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D1497</v>
      </c>
      <c r="M150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E1497</v>
      </c>
      <c r="N1501" s="122" t="s">
        <v>73</v>
      </c>
      <c r="O1501" s="126" t="n">
        <v>3500000</v>
      </c>
      <c r="P1501" s="121" t="s">
        <v>18</v>
      </c>
      <c r="Q1501" s="121" t="s">
        <v>124</v>
      </c>
      <c r="R1501" s="127"/>
      <c r="T1501" s="118"/>
    </row>
    <row r="1502" customFormat="false" ht="12.75" hidden="false" customHeight="true" outlineLevel="0" collapsed="false">
      <c r="B1502" s="119" t="n">
        <f aca="false">ROW()-4</f>
        <v>1498</v>
      </c>
      <c r="C1502" s="120" t="n">
        <f aca="false">COUNTIFS($D$5:D1502,D1502)</f>
        <v>539</v>
      </c>
      <c r="D1502" s="121" t="s">
        <v>2006</v>
      </c>
      <c r="E1502" s="122" t="s">
        <v>3048</v>
      </c>
      <c r="F1502" s="123" t="n">
        <v>45504</v>
      </c>
      <c r="G1502" s="121" t="s">
        <v>22</v>
      </c>
      <c r="H150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A1498</v>
      </c>
      <c r="I150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B1498</v>
      </c>
      <c r="J1502" s="122" t="s">
        <v>3049</v>
      </c>
      <c r="K150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C1498</v>
      </c>
      <c r="L150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D1498</v>
      </c>
      <c r="M150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E1498</v>
      </c>
      <c r="N1502" s="122" t="s">
        <v>73</v>
      </c>
      <c r="O1502" s="126" t="n">
        <v>3500000</v>
      </c>
      <c r="P1502" s="121" t="s">
        <v>18</v>
      </c>
      <c r="Q1502" s="121" t="s">
        <v>124</v>
      </c>
      <c r="R1502" s="127"/>
      <c r="T1502" s="118"/>
    </row>
    <row r="1503" customFormat="false" ht="12.75" hidden="false" customHeight="true" outlineLevel="0" collapsed="false">
      <c r="B1503" s="119" t="n">
        <f aca="false">ROW()-4</f>
        <v>1499</v>
      </c>
      <c r="C1503" s="120" t="n">
        <f aca="false">COUNTIFS($D$5:D1503,D1503)</f>
        <v>540</v>
      </c>
      <c r="D1503" s="121" t="s">
        <v>2006</v>
      </c>
      <c r="E1503" s="122" t="s">
        <v>3050</v>
      </c>
      <c r="F1503" s="123" t="n">
        <v>45505</v>
      </c>
      <c r="G1503" s="121" t="s">
        <v>24</v>
      </c>
      <c r="H150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A1499</v>
      </c>
      <c r="I150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B1499</v>
      </c>
      <c r="J1503" s="122" t="s">
        <v>3051</v>
      </c>
      <c r="K150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C1499</v>
      </c>
      <c r="L150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D1499</v>
      </c>
      <c r="M150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E1499</v>
      </c>
      <c r="N1503" s="122" t="s">
        <v>73</v>
      </c>
      <c r="O1503" s="126" t="n">
        <v>3500000</v>
      </c>
      <c r="P1503" s="121" t="s">
        <v>18</v>
      </c>
      <c r="Q1503" s="121" t="s">
        <v>124</v>
      </c>
      <c r="R1503" s="127"/>
      <c r="T1503" s="118"/>
    </row>
    <row r="1504" customFormat="false" ht="12.75" hidden="false" customHeight="true" outlineLevel="0" collapsed="false">
      <c r="B1504" s="119" t="n">
        <f aca="false">ROW()-4</f>
        <v>1500</v>
      </c>
      <c r="C1504" s="120" t="n">
        <f aca="false">COUNTIFS($D$5:D1504,D1504)</f>
        <v>541</v>
      </c>
      <c r="D1504" s="121" t="s">
        <v>2006</v>
      </c>
      <c r="E1504" s="122" t="s">
        <v>3052</v>
      </c>
      <c r="F1504" s="123" t="n">
        <v>45505</v>
      </c>
      <c r="G1504" s="121" t="s">
        <v>24</v>
      </c>
      <c r="H150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A1500</v>
      </c>
      <c r="I150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B1500</v>
      </c>
      <c r="J1504" s="122" t="s">
        <v>3053</v>
      </c>
      <c r="K150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C1500</v>
      </c>
      <c r="L150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D1500</v>
      </c>
      <c r="M150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E1500</v>
      </c>
      <c r="N1504" s="122" t="s">
        <v>73</v>
      </c>
      <c r="O1504" s="126" t="n">
        <v>3500000</v>
      </c>
      <c r="P1504" s="121" t="s">
        <v>18</v>
      </c>
      <c r="Q1504" s="121" t="s">
        <v>124</v>
      </c>
      <c r="R1504" s="127"/>
      <c r="T1504" s="118"/>
    </row>
    <row r="1505" customFormat="false" ht="12.75" hidden="false" customHeight="true" outlineLevel="0" collapsed="false">
      <c r="B1505" s="119" t="n">
        <f aca="false">ROW()-4</f>
        <v>1501</v>
      </c>
      <c r="C1505" s="120" t="n">
        <f aca="false">COUNTIFS($D$5:D1505,D1505)</f>
        <v>542</v>
      </c>
      <c r="D1505" s="121" t="s">
        <v>2006</v>
      </c>
      <c r="E1505" s="122" t="s">
        <v>3054</v>
      </c>
      <c r="F1505" s="123" t="n">
        <v>45540</v>
      </c>
      <c r="G1505" s="121" t="s">
        <v>24</v>
      </c>
      <c r="H150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A1501</v>
      </c>
      <c r="I150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B1501</v>
      </c>
      <c r="J1505" s="122" t="s">
        <v>3055</v>
      </c>
      <c r="K150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C1501</v>
      </c>
      <c r="L150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D1501</v>
      </c>
      <c r="M150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E1501</v>
      </c>
      <c r="N1505" s="122" t="s">
        <v>73</v>
      </c>
      <c r="O1505" s="126" t="n">
        <v>3500000</v>
      </c>
      <c r="P1505" s="121" t="s">
        <v>18</v>
      </c>
      <c r="Q1505" s="121" t="s">
        <v>124</v>
      </c>
      <c r="R1505" s="127"/>
      <c r="T1505" s="118"/>
    </row>
    <row r="1506" customFormat="false" ht="12.75" hidden="false" customHeight="true" outlineLevel="0" collapsed="false">
      <c r="B1506" s="119" t="n">
        <f aca="false">ROW()-4</f>
        <v>1502</v>
      </c>
      <c r="C1506" s="120" t="n">
        <f aca="false">COUNTIFS($D$5:D1506,D1506)</f>
        <v>543</v>
      </c>
      <c r="D1506" s="121" t="s">
        <v>2006</v>
      </c>
      <c r="E1506" s="122" t="s">
        <v>3056</v>
      </c>
      <c r="F1506" s="123" t="n">
        <v>45530</v>
      </c>
      <c r="G1506" s="121" t="s">
        <v>22</v>
      </c>
      <c r="H150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A1502</v>
      </c>
      <c r="I150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B1502</v>
      </c>
      <c r="J1506" s="122" t="s">
        <v>3057</v>
      </c>
      <c r="K150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C1502</v>
      </c>
      <c r="L150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D1502</v>
      </c>
      <c r="M150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E1502</v>
      </c>
      <c r="N1506" s="122" t="s">
        <v>73</v>
      </c>
      <c r="O1506" s="126" t="n">
        <v>3500000</v>
      </c>
      <c r="P1506" s="121" t="s">
        <v>18</v>
      </c>
      <c r="Q1506" s="121" t="s">
        <v>124</v>
      </c>
      <c r="R1506" s="127"/>
      <c r="T1506" s="118"/>
    </row>
    <row r="1507" customFormat="false" ht="12.75" hidden="false" customHeight="true" outlineLevel="0" collapsed="false">
      <c r="B1507" s="119" t="n">
        <f aca="false">ROW()-4</f>
        <v>1503</v>
      </c>
      <c r="C1507" s="120" t="n">
        <f aca="false">COUNTIFS($D$5:D1507,D1507)</f>
        <v>544</v>
      </c>
      <c r="D1507" s="121" t="s">
        <v>2006</v>
      </c>
      <c r="E1507" s="122" t="s">
        <v>3058</v>
      </c>
      <c r="F1507" s="123" t="n">
        <v>45558</v>
      </c>
      <c r="G1507" s="121" t="s">
        <v>26</v>
      </c>
      <c r="H150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A1503</v>
      </c>
      <c r="I150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B1503</v>
      </c>
      <c r="J1507" s="122" t="s">
        <v>3059</v>
      </c>
      <c r="K150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C1503</v>
      </c>
      <c r="L150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D1503</v>
      </c>
      <c r="M150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E1503</v>
      </c>
      <c r="N1507" s="122" t="s">
        <v>73</v>
      </c>
      <c r="O1507" s="126" t="n">
        <v>3500000</v>
      </c>
      <c r="P1507" s="121" t="s">
        <v>18</v>
      </c>
      <c r="Q1507" s="121" t="s">
        <v>124</v>
      </c>
      <c r="R1507" s="127"/>
      <c r="T1507" s="118"/>
    </row>
    <row r="1508" customFormat="false" ht="12.75" hidden="false" customHeight="true" outlineLevel="0" collapsed="false">
      <c r="B1508" s="119" t="n">
        <f aca="false">ROW()-4</f>
        <v>1504</v>
      </c>
      <c r="C1508" s="120" t="n">
        <f aca="false">COUNTIFS($D$5:D1508,D1508)</f>
        <v>545</v>
      </c>
      <c r="D1508" s="121" t="s">
        <v>2006</v>
      </c>
      <c r="E1508" s="122" t="s">
        <v>3060</v>
      </c>
      <c r="F1508" s="123" t="n">
        <v>45558</v>
      </c>
      <c r="G1508" s="121" t="s">
        <v>30</v>
      </c>
      <c r="H150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A1504</v>
      </c>
      <c r="I150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B1504</v>
      </c>
      <c r="J1508" s="122" t="s">
        <v>3061</v>
      </c>
      <c r="K150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C1504</v>
      </c>
      <c r="L150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D1504</v>
      </c>
      <c r="M150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E1504</v>
      </c>
      <c r="N1508" s="122" t="s">
        <v>73</v>
      </c>
      <c r="O1508" s="126" t="n">
        <v>3500000</v>
      </c>
      <c r="P1508" s="121" t="s">
        <v>18</v>
      </c>
      <c r="Q1508" s="121" t="s">
        <v>124</v>
      </c>
      <c r="R1508" s="127"/>
      <c r="T1508" s="118"/>
    </row>
    <row r="1509" customFormat="false" ht="12.75" hidden="false" customHeight="true" outlineLevel="0" collapsed="false">
      <c r="B1509" s="119" t="n">
        <f aca="false">ROW()-4</f>
        <v>1505</v>
      </c>
      <c r="C1509" s="120" t="n">
        <f aca="false">COUNTIFS($D$5:D1509,D1509)</f>
        <v>546</v>
      </c>
      <c r="D1509" s="121" t="s">
        <v>2006</v>
      </c>
      <c r="E1509" s="122" t="s">
        <v>3062</v>
      </c>
      <c r="F1509" s="123" t="n">
        <v>45558</v>
      </c>
      <c r="G1509" s="121" t="s">
        <v>30</v>
      </c>
      <c r="H150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A1505</v>
      </c>
      <c r="I150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B1505</v>
      </c>
      <c r="J1509" s="122" t="s">
        <v>3063</v>
      </c>
      <c r="K150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C1505</v>
      </c>
      <c r="L150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D1505</v>
      </c>
      <c r="M150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E1505</v>
      </c>
      <c r="N1509" s="122" t="s">
        <v>73</v>
      </c>
      <c r="O1509" s="126" t="n">
        <v>3500000</v>
      </c>
      <c r="P1509" s="121" t="s">
        <v>18</v>
      </c>
      <c r="Q1509" s="121" t="s">
        <v>124</v>
      </c>
      <c r="R1509" s="127"/>
      <c r="T1509" s="118"/>
    </row>
    <row r="1510" customFormat="false" ht="12.75" hidden="false" customHeight="true" outlineLevel="0" collapsed="false">
      <c r="B1510" s="119" t="n">
        <f aca="false">ROW()-4</f>
        <v>1506</v>
      </c>
      <c r="C1510" s="120" t="n">
        <f aca="false">COUNTIFS($D$5:D1510,D1510)</f>
        <v>547</v>
      </c>
      <c r="D1510" s="121" t="s">
        <v>2006</v>
      </c>
      <c r="E1510" s="122" t="s">
        <v>3064</v>
      </c>
      <c r="F1510" s="123" t="n">
        <v>45562</v>
      </c>
      <c r="G1510" s="121" t="s">
        <v>30</v>
      </c>
      <c r="H151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A1506</v>
      </c>
      <c r="I151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B1506</v>
      </c>
      <c r="J1510" s="122" t="s">
        <v>3065</v>
      </c>
      <c r="K151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C1506</v>
      </c>
      <c r="L151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D1506</v>
      </c>
      <c r="M151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E1506</v>
      </c>
      <c r="N1510" s="122" t="s">
        <v>73</v>
      </c>
      <c r="O1510" s="126" t="n">
        <v>3500000</v>
      </c>
      <c r="P1510" s="121" t="s">
        <v>18</v>
      </c>
      <c r="Q1510" s="121" t="s">
        <v>124</v>
      </c>
      <c r="R1510" s="127"/>
      <c r="T1510" s="118"/>
    </row>
    <row r="1511" customFormat="false" ht="12.75" hidden="false" customHeight="true" outlineLevel="0" collapsed="false">
      <c r="B1511" s="119" t="n">
        <f aca="false">ROW()-4</f>
        <v>1507</v>
      </c>
      <c r="C1511" s="120" t="n">
        <f aca="false">COUNTIFS($D$5:D1511,D1511)</f>
        <v>548</v>
      </c>
      <c r="D1511" s="121" t="s">
        <v>2006</v>
      </c>
      <c r="E1511" s="122" t="s">
        <v>3066</v>
      </c>
      <c r="F1511" s="123" t="n">
        <v>45573</v>
      </c>
      <c r="G1511" s="121" t="s">
        <v>30</v>
      </c>
      <c r="H151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A1507</v>
      </c>
      <c r="I151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B1507</v>
      </c>
      <c r="J1511" s="122" t="s">
        <v>3067</v>
      </c>
      <c r="K151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C1507</v>
      </c>
      <c r="L151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D1507</v>
      </c>
      <c r="M151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E1507</v>
      </c>
      <c r="N1511" s="122" t="s">
        <v>73</v>
      </c>
      <c r="O1511" s="126" t="n">
        <v>3500000</v>
      </c>
      <c r="P1511" s="121" t="s">
        <v>18</v>
      </c>
      <c r="Q1511" s="121" t="s">
        <v>124</v>
      </c>
      <c r="R1511" s="127"/>
      <c r="T1511" s="118"/>
    </row>
    <row r="1512" customFormat="false" ht="12.75" hidden="false" customHeight="true" outlineLevel="0" collapsed="false">
      <c r="B1512" s="119" t="n">
        <f aca="false">ROW()-4</f>
        <v>1508</v>
      </c>
      <c r="C1512" s="120" t="n">
        <f aca="false">COUNTIFS($D$5:D1512,D1512)</f>
        <v>549</v>
      </c>
      <c r="D1512" s="121" t="s">
        <v>2006</v>
      </c>
      <c r="E1512" s="122" t="s">
        <v>3068</v>
      </c>
      <c r="F1512" s="123" t="n">
        <v>46007</v>
      </c>
      <c r="G1512" s="121" t="s">
        <v>22</v>
      </c>
      <c r="H151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A1508</v>
      </c>
      <c r="I151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B1508</v>
      </c>
      <c r="J1512" s="122" t="s">
        <v>3069</v>
      </c>
      <c r="K151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C1508</v>
      </c>
      <c r="L151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D1508</v>
      </c>
      <c r="M151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E1508</v>
      </c>
      <c r="N1512" s="122" t="s">
        <v>73</v>
      </c>
      <c r="O1512" s="126" t="n">
        <v>3500000</v>
      </c>
      <c r="P1512" s="121" t="s">
        <v>18</v>
      </c>
      <c r="Q1512" s="121" t="s">
        <v>124</v>
      </c>
      <c r="R1512" s="127"/>
      <c r="T1512" s="118"/>
    </row>
    <row r="1513" customFormat="false" ht="12.75" hidden="false" customHeight="true" outlineLevel="0" collapsed="false">
      <c r="B1513" s="119" t="n">
        <f aca="false">ROW()-4</f>
        <v>1509</v>
      </c>
      <c r="C1513" s="120" t="n">
        <f aca="false">COUNTIFS($D$5:D1513,D1513)</f>
        <v>550</v>
      </c>
      <c r="D1513" s="121" t="s">
        <v>2006</v>
      </c>
      <c r="E1513" s="122" t="s">
        <v>3070</v>
      </c>
      <c r="F1513" s="123" t="n">
        <v>45597</v>
      </c>
      <c r="G1513" s="121" t="s">
        <v>24</v>
      </c>
      <c r="H151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A1509</v>
      </c>
      <c r="I151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B1509</v>
      </c>
      <c r="J1513" s="122" t="s">
        <v>3071</v>
      </c>
      <c r="K151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C1509</v>
      </c>
      <c r="L151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D1509</v>
      </c>
      <c r="M151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E1509</v>
      </c>
      <c r="N1513" s="122" t="s">
        <v>73</v>
      </c>
      <c r="O1513" s="126" t="n">
        <v>3500000</v>
      </c>
      <c r="P1513" s="121" t="s">
        <v>18</v>
      </c>
      <c r="Q1513" s="121" t="s">
        <v>124</v>
      </c>
      <c r="R1513" s="127"/>
      <c r="T1513" s="118"/>
    </row>
    <row r="1514" customFormat="false" ht="12.75" hidden="false" customHeight="true" outlineLevel="0" collapsed="false">
      <c r="B1514" s="119" t="n">
        <f aca="false">ROW()-4</f>
        <v>1510</v>
      </c>
      <c r="C1514" s="120" t="n">
        <f aca="false">COUNTIFS($D$5:D1514,D1514)</f>
        <v>551</v>
      </c>
      <c r="D1514" s="121" t="s">
        <v>2006</v>
      </c>
      <c r="E1514" s="122" t="s">
        <v>3072</v>
      </c>
      <c r="F1514" s="123" t="n">
        <v>45838</v>
      </c>
      <c r="G1514" s="121" t="s">
        <v>22</v>
      </c>
      <c r="H151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A1510</v>
      </c>
      <c r="I151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B1510</v>
      </c>
      <c r="J1514" s="122" t="s">
        <v>3073</v>
      </c>
      <c r="K151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C1510</v>
      </c>
      <c r="L151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D1510</v>
      </c>
      <c r="M151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E1510</v>
      </c>
      <c r="N1514" s="122" t="s">
        <v>73</v>
      </c>
      <c r="O1514" s="126" t="n">
        <v>3500000</v>
      </c>
      <c r="P1514" s="121" t="s">
        <v>18</v>
      </c>
      <c r="Q1514" s="121" t="s">
        <v>124</v>
      </c>
      <c r="R1514" s="127"/>
      <c r="T1514" s="118"/>
    </row>
    <row r="1515" s="118" customFormat="true" ht="12.75" hidden="false" customHeight="true" outlineLevel="0" collapsed="false">
      <c r="A1515" s="98"/>
      <c r="B1515" s="119" t="n">
        <f aca="false">ROW()-4</f>
        <v>1511</v>
      </c>
      <c r="C1515" s="120" t="n">
        <f aca="false">COUNTIFS($D$5:D1515,D1515)</f>
        <v>552</v>
      </c>
      <c r="D1515" s="121" t="s">
        <v>2006</v>
      </c>
      <c r="E1515" s="122" t="s">
        <v>3074</v>
      </c>
      <c r="F1515" s="123" t="n">
        <v>45855</v>
      </c>
      <c r="G1515" s="121" t="s">
        <v>22</v>
      </c>
      <c r="H151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A1511</v>
      </c>
      <c r="I151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B1511</v>
      </c>
      <c r="J1515" s="122" t="s">
        <v>3075</v>
      </c>
      <c r="K151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C1511</v>
      </c>
      <c r="L151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D1511</v>
      </c>
      <c r="M151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E1511</v>
      </c>
      <c r="N1515" s="122" t="s">
        <v>73</v>
      </c>
      <c r="O1515" s="126" t="n">
        <v>3500000</v>
      </c>
      <c r="P1515" s="121" t="s">
        <v>18</v>
      </c>
      <c r="Q1515" s="121" t="s">
        <v>124</v>
      </c>
      <c r="R1515" s="127"/>
    </row>
    <row r="1516" customFormat="false" ht="12.75" hidden="false" customHeight="true" outlineLevel="0" collapsed="false">
      <c r="B1516" s="119" t="n">
        <f aca="false">ROW()-4</f>
        <v>1512</v>
      </c>
      <c r="C1516" s="120" t="n">
        <f aca="false">COUNTIFS($D$5:D1516,D1516)</f>
        <v>553</v>
      </c>
      <c r="D1516" s="121" t="s">
        <v>2006</v>
      </c>
      <c r="E1516" s="122" t="s">
        <v>3076</v>
      </c>
      <c r="F1516" s="123" t="n">
        <v>45856</v>
      </c>
      <c r="G1516" s="121" t="s">
        <v>22</v>
      </c>
      <c r="H151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A1512</v>
      </c>
      <c r="I151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B1512</v>
      </c>
      <c r="J1516" s="122" t="s">
        <v>3077</v>
      </c>
      <c r="K151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C1512</v>
      </c>
      <c r="L151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D1512</v>
      </c>
      <c r="M151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E1512</v>
      </c>
      <c r="N1516" s="122" t="s">
        <v>73</v>
      </c>
      <c r="O1516" s="126" t="n">
        <v>3500000</v>
      </c>
      <c r="P1516" s="121" t="s">
        <v>18</v>
      </c>
      <c r="Q1516" s="121" t="s">
        <v>124</v>
      </c>
      <c r="R1516" s="127"/>
      <c r="T1516" s="118"/>
    </row>
    <row r="1517" customFormat="false" ht="12.75" hidden="false" customHeight="true" outlineLevel="0" collapsed="false">
      <c r="B1517" s="119" t="n">
        <f aca="false">ROW()-4</f>
        <v>1513</v>
      </c>
      <c r="C1517" s="120" t="n">
        <f aca="false">COUNTIFS($D$5:D1517,D1517)</f>
        <v>554</v>
      </c>
      <c r="D1517" s="121" t="s">
        <v>2006</v>
      </c>
      <c r="E1517" s="122" t="s">
        <v>3078</v>
      </c>
      <c r="F1517" s="123" t="n">
        <v>45511</v>
      </c>
      <c r="G1517" s="121" t="s">
        <v>22</v>
      </c>
      <c r="H151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A1513</v>
      </c>
      <c r="I151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B1513</v>
      </c>
      <c r="J1517" s="122" t="s">
        <v>3079</v>
      </c>
      <c r="K151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C1513</v>
      </c>
      <c r="L151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D1513</v>
      </c>
      <c r="M151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E1513</v>
      </c>
      <c r="N1517" s="122" t="s">
        <v>73</v>
      </c>
      <c r="O1517" s="126" t="n">
        <v>3500000</v>
      </c>
      <c r="P1517" s="121" t="s">
        <v>18</v>
      </c>
      <c r="Q1517" s="121" t="s">
        <v>124</v>
      </c>
      <c r="R1517" s="127"/>
      <c r="T1517" s="118"/>
    </row>
    <row r="1518" customFormat="false" ht="12.75" hidden="false" customHeight="true" outlineLevel="0" collapsed="false">
      <c r="B1518" s="119" t="n">
        <f aca="false">ROW()-4</f>
        <v>1514</v>
      </c>
      <c r="C1518" s="120" t="n">
        <f aca="false">COUNTIFS($D$5:D1518,D1518)</f>
        <v>555</v>
      </c>
      <c r="D1518" s="121" t="s">
        <v>2006</v>
      </c>
      <c r="E1518" s="122" t="s">
        <v>3080</v>
      </c>
      <c r="F1518" s="123" t="n">
        <v>45512</v>
      </c>
      <c r="G1518" s="121" t="s">
        <v>28</v>
      </c>
      <c r="H151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A1514</v>
      </c>
      <c r="I151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B1514</v>
      </c>
      <c r="J1518" s="122" t="s">
        <v>3081</v>
      </c>
      <c r="K151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C1514</v>
      </c>
      <c r="L151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D1514</v>
      </c>
      <c r="M151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E1514</v>
      </c>
      <c r="N1518" s="122" t="s">
        <v>73</v>
      </c>
      <c r="O1518" s="126" t="n">
        <v>3500000</v>
      </c>
      <c r="P1518" s="121" t="s">
        <v>18</v>
      </c>
      <c r="Q1518" s="121" t="s">
        <v>124</v>
      </c>
      <c r="R1518" s="127"/>
      <c r="T1518" s="118"/>
    </row>
    <row r="1519" customFormat="false" ht="12.75" hidden="false" customHeight="true" outlineLevel="0" collapsed="false">
      <c r="B1519" s="119" t="n">
        <f aca="false">ROW()-4</f>
        <v>1515</v>
      </c>
      <c r="C1519" s="120" t="n">
        <f aca="false">COUNTIFS($D$5:D1519,D1519)</f>
        <v>556</v>
      </c>
      <c r="D1519" s="121" t="s">
        <v>2006</v>
      </c>
      <c r="E1519" s="122" t="s">
        <v>3082</v>
      </c>
      <c r="F1519" s="123" t="n">
        <v>45524</v>
      </c>
      <c r="G1519" s="121" t="s">
        <v>26</v>
      </c>
      <c r="H151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A1515</v>
      </c>
      <c r="I151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B1515</v>
      </c>
      <c r="J1519" s="122" t="s">
        <v>3083</v>
      </c>
      <c r="K151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C1515</v>
      </c>
      <c r="L151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D1515</v>
      </c>
      <c r="M151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E1515</v>
      </c>
      <c r="N1519" s="122" t="s">
        <v>73</v>
      </c>
      <c r="O1519" s="126" t="n">
        <v>3500000</v>
      </c>
      <c r="P1519" s="121" t="s">
        <v>18</v>
      </c>
      <c r="Q1519" s="121" t="s">
        <v>124</v>
      </c>
      <c r="R1519" s="127"/>
      <c r="T1519" s="118"/>
    </row>
    <row r="1520" customFormat="false" ht="12.75" hidden="false" customHeight="true" outlineLevel="0" collapsed="false">
      <c r="B1520" s="119" t="n">
        <f aca="false">ROW()-4</f>
        <v>1516</v>
      </c>
      <c r="C1520" s="120" t="n">
        <f aca="false">COUNTIFS($D$5:D1520,D1520)</f>
        <v>557</v>
      </c>
      <c r="D1520" s="121" t="s">
        <v>2006</v>
      </c>
      <c r="E1520" s="122" t="s">
        <v>3084</v>
      </c>
      <c r="F1520" s="123" t="n">
        <v>45524</v>
      </c>
      <c r="G1520" s="121" t="s">
        <v>26</v>
      </c>
      <c r="H152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A1516</v>
      </c>
      <c r="I152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B1516</v>
      </c>
      <c r="J1520" s="122" t="s">
        <v>3085</v>
      </c>
      <c r="K152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C1516</v>
      </c>
      <c r="L152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D1516</v>
      </c>
      <c r="M152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E1516</v>
      </c>
      <c r="N1520" s="122" t="s">
        <v>73</v>
      </c>
      <c r="O1520" s="126" t="n">
        <v>3500000</v>
      </c>
      <c r="P1520" s="121" t="s">
        <v>18</v>
      </c>
      <c r="Q1520" s="121" t="s">
        <v>124</v>
      </c>
      <c r="R1520" s="127"/>
      <c r="T1520" s="118"/>
    </row>
    <row r="1521" customFormat="false" ht="12.75" hidden="false" customHeight="true" outlineLevel="0" collapsed="false">
      <c r="B1521" s="119" t="n">
        <f aca="false">ROW()-4</f>
        <v>1517</v>
      </c>
      <c r="C1521" s="120" t="n">
        <f aca="false">COUNTIFS($D$5:D1521,D1521)</f>
        <v>558</v>
      </c>
      <c r="D1521" s="121" t="s">
        <v>2006</v>
      </c>
      <c r="E1521" s="122" t="s">
        <v>3086</v>
      </c>
      <c r="F1521" s="123" t="n">
        <v>45513</v>
      </c>
      <c r="G1521" s="121" t="s">
        <v>22</v>
      </c>
      <c r="H152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A1517</v>
      </c>
      <c r="I152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B1517</v>
      </c>
      <c r="J1521" s="122" t="s">
        <v>3087</v>
      </c>
      <c r="K152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C1517</v>
      </c>
      <c r="L152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D1517</v>
      </c>
      <c r="M152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E1517</v>
      </c>
      <c r="N1521" s="122" t="s">
        <v>73</v>
      </c>
      <c r="O1521" s="126" t="n">
        <v>3500000</v>
      </c>
      <c r="P1521" s="121" t="s">
        <v>18</v>
      </c>
      <c r="Q1521" s="121" t="s">
        <v>124</v>
      </c>
      <c r="R1521" s="127"/>
      <c r="T1521" s="118"/>
    </row>
    <row r="1522" customFormat="false" ht="12.75" hidden="false" customHeight="true" outlineLevel="0" collapsed="false">
      <c r="B1522" s="119" t="n">
        <f aca="false">ROW()-4</f>
        <v>1518</v>
      </c>
      <c r="C1522" s="120" t="n">
        <f aca="false">COUNTIFS($D$5:D1522,D1522)</f>
        <v>559</v>
      </c>
      <c r="D1522" s="121" t="s">
        <v>2006</v>
      </c>
      <c r="E1522" s="122" t="s">
        <v>3088</v>
      </c>
      <c r="F1522" s="123" t="n">
        <v>45517</v>
      </c>
      <c r="G1522" s="121" t="s">
        <v>22</v>
      </c>
      <c r="H152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A1518</v>
      </c>
      <c r="I152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B1518</v>
      </c>
      <c r="J1522" s="122" t="s">
        <v>3089</v>
      </c>
      <c r="K152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C1518</v>
      </c>
      <c r="L152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D1518</v>
      </c>
      <c r="M152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E1518</v>
      </c>
      <c r="N1522" s="122" t="s">
        <v>73</v>
      </c>
      <c r="O1522" s="126" t="n">
        <v>3500000</v>
      </c>
      <c r="P1522" s="121" t="s">
        <v>18</v>
      </c>
      <c r="Q1522" s="121" t="s">
        <v>124</v>
      </c>
      <c r="R1522" s="127"/>
      <c r="T1522" s="118"/>
    </row>
    <row r="1523" customFormat="false" ht="12.75" hidden="false" customHeight="true" outlineLevel="0" collapsed="false">
      <c r="B1523" s="119" t="n">
        <f aca="false">ROW()-4</f>
        <v>1519</v>
      </c>
      <c r="C1523" s="120" t="n">
        <f aca="false">COUNTIFS($D$5:D1523,D1523)</f>
        <v>560</v>
      </c>
      <c r="D1523" s="121" t="s">
        <v>2006</v>
      </c>
      <c r="E1523" s="122" t="s">
        <v>3090</v>
      </c>
      <c r="F1523" s="123" t="n">
        <v>45504</v>
      </c>
      <c r="G1523" s="121" t="s">
        <v>22</v>
      </c>
      <c r="H152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A1519</v>
      </c>
      <c r="I152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B1519</v>
      </c>
      <c r="J1523" s="122" t="s">
        <v>3091</v>
      </c>
      <c r="K152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C1519</v>
      </c>
      <c r="L152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D1519</v>
      </c>
      <c r="M152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E1519</v>
      </c>
      <c r="N1523" s="122" t="s">
        <v>73</v>
      </c>
      <c r="O1523" s="126" t="n">
        <v>3500000</v>
      </c>
      <c r="P1523" s="121" t="s">
        <v>18</v>
      </c>
      <c r="Q1523" s="121" t="s">
        <v>124</v>
      </c>
      <c r="R1523" s="127"/>
      <c r="T1523" s="118"/>
    </row>
    <row r="1524" customFormat="false" ht="12.75" hidden="false" customHeight="true" outlineLevel="0" collapsed="false">
      <c r="B1524" s="119" t="n">
        <f aca="false">ROW()-4</f>
        <v>1520</v>
      </c>
      <c r="C1524" s="120" t="n">
        <f aca="false">COUNTIFS($D$5:D1524,D1524)</f>
        <v>561</v>
      </c>
      <c r="D1524" s="121" t="s">
        <v>2006</v>
      </c>
      <c r="E1524" s="122" t="s">
        <v>3092</v>
      </c>
      <c r="F1524" s="123" t="n">
        <v>45504</v>
      </c>
      <c r="G1524" s="121" t="s">
        <v>22</v>
      </c>
      <c r="H152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A1520</v>
      </c>
      <c r="I152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B1520</v>
      </c>
      <c r="J1524" s="122" t="s">
        <v>3093</v>
      </c>
      <c r="K152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C1520</v>
      </c>
      <c r="L152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D1520</v>
      </c>
      <c r="M152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E1520</v>
      </c>
      <c r="N1524" s="122" t="s">
        <v>73</v>
      </c>
      <c r="O1524" s="126" t="n">
        <v>3500000</v>
      </c>
      <c r="P1524" s="121" t="s">
        <v>18</v>
      </c>
      <c r="Q1524" s="121" t="s">
        <v>124</v>
      </c>
      <c r="R1524" s="127"/>
      <c r="T1524" s="118"/>
    </row>
    <row r="1525" customFormat="false" ht="12.75" hidden="false" customHeight="true" outlineLevel="0" collapsed="false">
      <c r="B1525" s="119" t="n">
        <f aca="false">ROW()-4</f>
        <v>1521</v>
      </c>
      <c r="C1525" s="120" t="n">
        <f aca="false">COUNTIFS($D$5:D1525,D1525)</f>
        <v>562</v>
      </c>
      <c r="D1525" s="121" t="s">
        <v>2006</v>
      </c>
      <c r="E1525" s="122" t="s">
        <v>3094</v>
      </c>
      <c r="F1525" s="123" t="n">
        <v>45512</v>
      </c>
      <c r="G1525" s="121" t="s">
        <v>22</v>
      </c>
      <c r="H152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A1521</v>
      </c>
      <c r="I152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B1521</v>
      </c>
      <c r="J1525" s="122" t="s">
        <v>3095</v>
      </c>
      <c r="K152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C1521</v>
      </c>
      <c r="L152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D1521</v>
      </c>
      <c r="M152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E1521</v>
      </c>
      <c r="N1525" s="122" t="s">
        <v>73</v>
      </c>
      <c r="O1525" s="126" t="n">
        <v>3500000</v>
      </c>
      <c r="P1525" s="121" t="s">
        <v>18</v>
      </c>
      <c r="Q1525" s="121" t="s">
        <v>124</v>
      </c>
      <c r="R1525" s="127"/>
      <c r="T1525" s="118"/>
    </row>
    <row r="1526" customFormat="false" ht="12.75" hidden="false" customHeight="true" outlineLevel="0" collapsed="false">
      <c r="B1526" s="119" t="n">
        <f aca="false">ROW()-4</f>
        <v>1522</v>
      </c>
      <c r="C1526" s="120" t="n">
        <f aca="false">COUNTIFS($D$5:D1526,D1526)</f>
        <v>563</v>
      </c>
      <c r="D1526" s="121" t="s">
        <v>2006</v>
      </c>
      <c r="E1526" s="122" t="s">
        <v>3096</v>
      </c>
      <c r="F1526" s="123" t="n">
        <v>45538</v>
      </c>
      <c r="G1526" s="121" t="s">
        <v>24</v>
      </c>
      <c r="H152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A1522</v>
      </c>
      <c r="I152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B1522</v>
      </c>
      <c r="J1526" s="122" t="s">
        <v>3097</v>
      </c>
      <c r="K152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C1522</v>
      </c>
      <c r="L152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D1522</v>
      </c>
      <c r="M152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E1522</v>
      </c>
      <c r="N1526" s="122" t="s">
        <v>73</v>
      </c>
      <c r="O1526" s="126" t="n">
        <v>3500000</v>
      </c>
      <c r="P1526" s="121" t="s">
        <v>18</v>
      </c>
      <c r="Q1526" s="121" t="s">
        <v>124</v>
      </c>
      <c r="R1526" s="127"/>
      <c r="T1526" s="118"/>
    </row>
    <row r="1527" customFormat="false" ht="12.75" hidden="false" customHeight="true" outlineLevel="0" collapsed="false">
      <c r="B1527" s="119" t="n">
        <f aca="false">ROW()-4</f>
        <v>1523</v>
      </c>
      <c r="C1527" s="120" t="n">
        <f aca="false">COUNTIFS($D$5:D1527,D1527)</f>
        <v>564</v>
      </c>
      <c r="D1527" s="121" t="s">
        <v>2006</v>
      </c>
      <c r="E1527" s="122" t="s">
        <v>3098</v>
      </c>
      <c r="F1527" s="123" t="n">
        <v>45538</v>
      </c>
      <c r="G1527" s="121" t="s">
        <v>24</v>
      </c>
      <c r="H152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A1523</v>
      </c>
      <c r="I152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B1523</v>
      </c>
      <c r="J1527" s="122" t="s">
        <v>3099</v>
      </c>
      <c r="K152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C1523</v>
      </c>
      <c r="L152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D1523</v>
      </c>
      <c r="M152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E1523</v>
      </c>
      <c r="N1527" s="122" t="s">
        <v>73</v>
      </c>
      <c r="O1527" s="126" t="n">
        <v>3500000</v>
      </c>
      <c r="P1527" s="121" t="s">
        <v>18</v>
      </c>
      <c r="Q1527" s="121" t="s">
        <v>124</v>
      </c>
      <c r="R1527" s="127"/>
      <c r="T1527" s="118"/>
    </row>
    <row r="1528" customFormat="false" ht="12.75" hidden="false" customHeight="true" outlineLevel="0" collapsed="false">
      <c r="B1528" s="119" t="n">
        <f aca="false">ROW()-4</f>
        <v>1524</v>
      </c>
      <c r="C1528" s="120" t="n">
        <f aca="false">COUNTIFS($D$5:D1528,D1528)</f>
        <v>565</v>
      </c>
      <c r="D1528" s="121" t="s">
        <v>2006</v>
      </c>
      <c r="E1528" s="122" t="s">
        <v>3100</v>
      </c>
      <c r="F1528" s="123" t="n">
        <v>45531</v>
      </c>
      <c r="G1528" s="121" t="s">
        <v>22</v>
      </c>
      <c r="H152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A1524</v>
      </c>
      <c r="I152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B1524</v>
      </c>
      <c r="J1528" s="122" t="s">
        <v>3101</v>
      </c>
      <c r="K152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C1524</v>
      </c>
      <c r="L152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D1524</v>
      </c>
      <c r="M152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E1524</v>
      </c>
      <c r="N1528" s="122" t="s">
        <v>73</v>
      </c>
      <c r="O1528" s="126" t="n">
        <v>3500000</v>
      </c>
      <c r="P1528" s="121" t="s">
        <v>18</v>
      </c>
      <c r="Q1528" s="121" t="s">
        <v>124</v>
      </c>
      <c r="R1528" s="127"/>
      <c r="T1528" s="118"/>
    </row>
    <row r="1529" customFormat="false" ht="12.75" hidden="false" customHeight="true" outlineLevel="0" collapsed="false">
      <c r="B1529" s="119" t="n">
        <f aca="false">ROW()-4</f>
        <v>1525</v>
      </c>
      <c r="C1529" s="120" t="n">
        <f aca="false">COUNTIFS($D$5:D1529,D1529)</f>
        <v>566</v>
      </c>
      <c r="D1529" s="121" t="s">
        <v>2006</v>
      </c>
      <c r="E1529" s="122" t="s">
        <v>3102</v>
      </c>
      <c r="F1529" s="137" t="n">
        <v>45903</v>
      </c>
      <c r="G1529" s="138" t="s">
        <v>22</v>
      </c>
      <c r="H1529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A1525</v>
      </c>
      <c r="I1529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B1525</v>
      </c>
      <c r="J1529" s="124" t="s">
        <v>3103</v>
      </c>
      <c r="K1529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C1525</v>
      </c>
      <c r="L1529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D1525</v>
      </c>
      <c r="M152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E1525</v>
      </c>
      <c r="N1529" s="122" t="s">
        <v>73</v>
      </c>
      <c r="O1529" s="126" t="n">
        <v>3500000</v>
      </c>
      <c r="P1529" s="121" t="s">
        <v>18</v>
      </c>
      <c r="Q1529" s="121" t="s">
        <v>124</v>
      </c>
      <c r="R1529" s="127"/>
      <c r="T1529" s="118"/>
    </row>
    <row r="1530" customFormat="false" ht="12.75" hidden="false" customHeight="true" outlineLevel="0" collapsed="false">
      <c r="B1530" s="119" t="n">
        <f aca="false">ROW()-4</f>
        <v>1526</v>
      </c>
      <c r="C1530" s="120" t="n">
        <f aca="false">COUNTIFS($D$5:D1530,D1530)</f>
        <v>567</v>
      </c>
      <c r="D1530" s="121" t="s">
        <v>2006</v>
      </c>
      <c r="E1530" s="122" t="s">
        <v>3104</v>
      </c>
      <c r="F1530" s="123" t="n">
        <v>45520</v>
      </c>
      <c r="G1530" s="121" t="s">
        <v>22</v>
      </c>
      <c r="H153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A1526</v>
      </c>
      <c r="I153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B1526</v>
      </c>
      <c r="J1530" s="122" t="s">
        <v>3105</v>
      </c>
      <c r="K153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C1526</v>
      </c>
      <c r="L153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D1526</v>
      </c>
      <c r="M153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E1526</v>
      </c>
      <c r="N1530" s="122" t="s">
        <v>73</v>
      </c>
      <c r="O1530" s="126" t="n">
        <v>3500000</v>
      </c>
      <c r="P1530" s="121" t="s">
        <v>18</v>
      </c>
      <c r="Q1530" s="121" t="s">
        <v>124</v>
      </c>
      <c r="R1530" s="127"/>
      <c r="T1530" s="118"/>
    </row>
    <row r="1531" customFormat="false" ht="12.75" hidden="false" customHeight="true" outlineLevel="0" collapsed="false">
      <c r="B1531" s="119" t="n">
        <f aca="false">ROW()-4</f>
        <v>1527</v>
      </c>
      <c r="C1531" s="120" t="n">
        <f aca="false">COUNTIFS($D$5:D1531,D1531)</f>
        <v>568</v>
      </c>
      <c r="D1531" s="121" t="s">
        <v>2006</v>
      </c>
      <c r="E1531" s="122" t="s">
        <v>3106</v>
      </c>
      <c r="F1531" s="123" t="n">
        <v>45540</v>
      </c>
      <c r="G1531" s="121" t="s">
        <v>24</v>
      </c>
      <c r="H153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A1527</v>
      </c>
      <c r="I153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B1527</v>
      </c>
      <c r="J1531" s="122" t="s">
        <v>3107</v>
      </c>
      <c r="K153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C1527</v>
      </c>
      <c r="L153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D1527</v>
      </c>
      <c r="M153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E1527</v>
      </c>
      <c r="N1531" s="122" t="s">
        <v>73</v>
      </c>
      <c r="O1531" s="126" t="n">
        <v>3500000</v>
      </c>
      <c r="P1531" s="121" t="s">
        <v>18</v>
      </c>
      <c r="Q1531" s="121" t="s">
        <v>124</v>
      </c>
      <c r="R1531" s="127"/>
      <c r="T1531" s="118"/>
    </row>
    <row r="1532" customFormat="false" ht="12.75" hidden="false" customHeight="true" outlineLevel="0" collapsed="false">
      <c r="B1532" s="119" t="n">
        <f aca="false">ROW()-4</f>
        <v>1528</v>
      </c>
      <c r="C1532" s="120" t="n">
        <f aca="false">COUNTIFS($D$5:D1532,D1532)</f>
        <v>569</v>
      </c>
      <c r="D1532" s="121" t="s">
        <v>2006</v>
      </c>
      <c r="E1532" s="122" t="s">
        <v>3108</v>
      </c>
      <c r="F1532" s="123" t="n">
        <v>45504</v>
      </c>
      <c r="G1532" s="121" t="s">
        <v>22</v>
      </c>
      <c r="H153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A1528</v>
      </c>
      <c r="I153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B1528</v>
      </c>
      <c r="J1532" s="122" t="s">
        <v>3109</v>
      </c>
      <c r="K153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C1528</v>
      </c>
      <c r="L153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D1528</v>
      </c>
      <c r="M153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E1528</v>
      </c>
      <c r="N1532" s="122" t="s">
        <v>73</v>
      </c>
      <c r="O1532" s="126" t="n">
        <v>3500000</v>
      </c>
      <c r="P1532" s="121" t="s">
        <v>18</v>
      </c>
      <c r="Q1532" s="121" t="s">
        <v>124</v>
      </c>
      <c r="R1532" s="127"/>
      <c r="T1532" s="118"/>
    </row>
    <row r="1533" customFormat="false" ht="12.75" hidden="false" customHeight="true" outlineLevel="0" collapsed="false">
      <c r="B1533" s="119" t="n">
        <f aca="false">ROW()-4</f>
        <v>1529</v>
      </c>
      <c r="C1533" s="120" t="n">
        <f aca="false">COUNTIFS($D$5:D1533,D1533)</f>
        <v>570</v>
      </c>
      <c r="D1533" s="121" t="s">
        <v>2006</v>
      </c>
      <c r="E1533" s="122" t="s">
        <v>3110</v>
      </c>
      <c r="F1533" s="123" t="n">
        <v>45540</v>
      </c>
      <c r="G1533" s="121" t="s">
        <v>26</v>
      </c>
      <c r="H153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A1529</v>
      </c>
      <c r="I153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B1529</v>
      </c>
      <c r="J1533" s="122" t="s">
        <v>3111</v>
      </c>
      <c r="K153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C1529</v>
      </c>
      <c r="L153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D1529</v>
      </c>
      <c r="M153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E1529</v>
      </c>
      <c r="N1533" s="122" t="s">
        <v>73</v>
      </c>
      <c r="O1533" s="126" t="n">
        <v>3500000</v>
      </c>
      <c r="P1533" s="121" t="s">
        <v>18</v>
      </c>
      <c r="Q1533" s="121" t="s">
        <v>124</v>
      </c>
      <c r="R1533" s="127"/>
      <c r="T1533" s="118"/>
    </row>
    <row r="1534" customFormat="false" ht="12.75" hidden="false" customHeight="true" outlineLevel="0" collapsed="false">
      <c r="B1534" s="119" t="n">
        <f aca="false">ROW()-4</f>
        <v>1530</v>
      </c>
      <c r="C1534" s="120" t="n">
        <f aca="false">COUNTIFS($D$5:D1534,D1534)</f>
        <v>571</v>
      </c>
      <c r="D1534" s="121" t="s">
        <v>2006</v>
      </c>
      <c r="E1534" s="122" t="s">
        <v>3112</v>
      </c>
      <c r="F1534" s="123" t="n">
        <v>45523</v>
      </c>
      <c r="G1534" s="121" t="s">
        <v>22</v>
      </c>
      <c r="H153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A1530</v>
      </c>
      <c r="I153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B1530</v>
      </c>
      <c r="J1534" s="122" t="s">
        <v>3113</v>
      </c>
      <c r="K153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C1530</v>
      </c>
      <c r="L153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D1530</v>
      </c>
      <c r="M153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E1530</v>
      </c>
      <c r="N1534" s="122" t="s">
        <v>73</v>
      </c>
      <c r="O1534" s="126" t="n">
        <v>3500000</v>
      </c>
      <c r="P1534" s="121" t="s">
        <v>18</v>
      </c>
      <c r="Q1534" s="121" t="s">
        <v>124</v>
      </c>
      <c r="R1534" s="127"/>
      <c r="T1534" s="118"/>
    </row>
    <row r="1535" customFormat="false" ht="12.75" hidden="false" customHeight="true" outlineLevel="0" collapsed="false">
      <c r="B1535" s="119" t="n">
        <f aca="false">ROW()-4</f>
        <v>1531</v>
      </c>
      <c r="C1535" s="120" t="n">
        <f aca="false">COUNTIFS($D$5:D1535,D1535)</f>
        <v>572</v>
      </c>
      <c r="D1535" s="121" t="s">
        <v>2006</v>
      </c>
      <c r="E1535" s="122" t="s">
        <v>3114</v>
      </c>
      <c r="F1535" s="123" t="n">
        <v>45523</v>
      </c>
      <c r="G1535" s="121" t="s">
        <v>22</v>
      </c>
      <c r="H153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A1531</v>
      </c>
      <c r="I153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B1531</v>
      </c>
      <c r="J1535" s="122" t="s">
        <v>3115</v>
      </c>
      <c r="K153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C1531</v>
      </c>
      <c r="L153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D1531</v>
      </c>
      <c r="M153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E1531</v>
      </c>
      <c r="N1535" s="122" t="s">
        <v>73</v>
      </c>
      <c r="O1535" s="126" t="n">
        <v>3500000</v>
      </c>
      <c r="P1535" s="121" t="s">
        <v>18</v>
      </c>
      <c r="Q1535" s="121" t="s">
        <v>124</v>
      </c>
      <c r="R1535" s="127"/>
      <c r="T1535" s="118"/>
    </row>
    <row r="1536" customFormat="false" ht="12.75" hidden="false" customHeight="true" outlineLevel="0" collapsed="false">
      <c r="B1536" s="119" t="n">
        <f aca="false">ROW()-4</f>
        <v>1532</v>
      </c>
      <c r="C1536" s="120" t="n">
        <f aca="false">COUNTIFS($D$5:D1536,D1536)</f>
        <v>573</v>
      </c>
      <c r="D1536" s="121" t="s">
        <v>2006</v>
      </c>
      <c r="E1536" s="122" t="s">
        <v>3116</v>
      </c>
      <c r="F1536" s="123" t="n">
        <v>45537</v>
      </c>
      <c r="G1536" s="121" t="s">
        <v>24</v>
      </c>
      <c r="H153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A1532</v>
      </c>
      <c r="I153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B1532</v>
      </c>
      <c r="J1536" s="122" t="s">
        <v>3117</v>
      </c>
      <c r="K153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C1532</v>
      </c>
      <c r="L153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D1532</v>
      </c>
      <c r="M153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E1532</v>
      </c>
      <c r="N1536" s="122" t="s">
        <v>73</v>
      </c>
      <c r="O1536" s="126" t="n">
        <v>3500000</v>
      </c>
      <c r="P1536" s="121" t="s">
        <v>18</v>
      </c>
      <c r="Q1536" s="121" t="s">
        <v>124</v>
      </c>
      <c r="R1536" s="127"/>
      <c r="T1536" s="118"/>
    </row>
    <row r="1537" customFormat="false" ht="12.75" hidden="false" customHeight="true" outlineLevel="0" collapsed="false">
      <c r="B1537" s="119" t="n">
        <f aca="false">ROW()-4</f>
        <v>1533</v>
      </c>
      <c r="C1537" s="120" t="n">
        <f aca="false">COUNTIFS($D$5:D1537,D1537)</f>
        <v>574</v>
      </c>
      <c r="D1537" s="121" t="s">
        <v>2006</v>
      </c>
      <c r="E1537" s="122" t="s">
        <v>3118</v>
      </c>
      <c r="F1537" s="123" t="n">
        <v>45537</v>
      </c>
      <c r="G1537" s="121" t="s">
        <v>24</v>
      </c>
      <c r="H153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A1533</v>
      </c>
      <c r="I153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B1533</v>
      </c>
      <c r="J1537" s="122" t="s">
        <v>3119</v>
      </c>
      <c r="K153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C1533</v>
      </c>
      <c r="L153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D1533</v>
      </c>
      <c r="M153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E1533</v>
      </c>
      <c r="N1537" s="122" t="s">
        <v>73</v>
      </c>
      <c r="O1537" s="126" t="n">
        <v>3500000</v>
      </c>
      <c r="P1537" s="121" t="s">
        <v>18</v>
      </c>
      <c r="Q1537" s="121" t="s">
        <v>124</v>
      </c>
      <c r="R1537" s="127"/>
      <c r="T1537" s="118"/>
    </row>
    <row r="1538" customFormat="false" ht="12.75" hidden="false" customHeight="true" outlineLevel="0" collapsed="false">
      <c r="B1538" s="119" t="n">
        <f aca="false">ROW()-4</f>
        <v>1534</v>
      </c>
      <c r="C1538" s="120" t="n">
        <f aca="false">COUNTIFS($D$5:D1538,D1538)</f>
        <v>575</v>
      </c>
      <c r="D1538" s="121" t="s">
        <v>2006</v>
      </c>
      <c r="E1538" s="122" t="s">
        <v>3120</v>
      </c>
      <c r="F1538" s="123" t="n">
        <v>45544</v>
      </c>
      <c r="G1538" s="121" t="s">
        <v>26</v>
      </c>
      <c r="H153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A1534</v>
      </c>
      <c r="I153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B1534</v>
      </c>
      <c r="J1538" s="122" t="s">
        <v>3121</v>
      </c>
      <c r="K153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C1534</v>
      </c>
      <c r="L153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D1534</v>
      </c>
      <c r="M153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E1534</v>
      </c>
      <c r="N1538" s="122" t="s">
        <v>73</v>
      </c>
      <c r="O1538" s="126" t="n">
        <v>3500000</v>
      </c>
      <c r="P1538" s="121" t="s">
        <v>18</v>
      </c>
      <c r="Q1538" s="121" t="s">
        <v>124</v>
      </c>
      <c r="R1538" s="127"/>
      <c r="T1538" s="118"/>
    </row>
    <row r="1539" customFormat="false" ht="12.75" hidden="false" customHeight="true" outlineLevel="0" collapsed="false">
      <c r="B1539" s="119" t="n">
        <f aca="false">ROW()-4</f>
        <v>1535</v>
      </c>
      <c r="C1539" s="120" t="n">
        <f aca="false">COUNTIFS($D$5:D1539,D1539)</f>
        <v>576</v>
      </c>
      <c r="D1539" s="121" t="s">
        <v>2006</v>
      </c>
      <c r="E1539" s="122" t="s">
        <v>3122</v>
      </c>
      <c r="F1539" s="123" t="n">
        <v>45544</v>
      </c>
      <c r="G1539" s="121" t="s">
        <v>26</v>
      </c>
      <c r="H153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A1535</v>
      </c>
      <c r="I153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B1535</v>
      </c>
      <c r="J1539" s="122" t="s">
        <v>3123</v>
      </c>
      <c r="K153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C1535</v>
      </c>
      <c r="L153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D1535</v>
      </c>
      <c r="M153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E1535</v>
      </c>
      <c r="N1539" s="122" t="s">
        <v>73</v>
      </c>
      <c r="O1539" s="126" t="n">
        <v>3500000</v>
      </c>
      <c r="P1539" s="121" t="s">
        <v>18</v>
      </c>
      <c r="Q1539" s="121" t="s">
        <v>124</v>
      </c>
      <c r="R1539" s="127"/>
      <c r="T1539" s="118"/>
    </row>
    <row r="1540" customFormat="false" ht="12.75" hidden="false" customHeight="true" outlineLevel="0" collapsed="false">
      <c r="B1540" s="119" t="n">
        <f aca="false">ROW()-4</f>
        <v>1536</v>
      </c>
      <c r="C1540" s="120" t="n">
        <f aca="false">COUNTIFS($D$5:D1540,D1540)</f>
        <v>577</v>
      </c>
      <c r="D1540" s="121" t="s">
        <v>2006</v>
      </c>
      <c r="E1540" s="122" t="s">
        <v>3124</v>
      </c>
      <c r="F1540" s="123" t="n">
        <v>45539</v>
      </c>
      <c r="G1540" s="121" t="s">
        <v>28</v>
      </c>
      <c r="H154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A1536</v>
      </c>
      <c r="I154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B1536</v>
      </c>
      <c r="J1540" s="122" t="s">
        <v>3125</v>
      </c>
      <c r="K154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C1536</v>
      </c>
      <c r="L154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D1536</v>
      </c>
      <c r="M154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E1536</v>
      </c>
      <c r="N1540" s="122" t="s">
        <v>73</v>
      </c>
      <c r="O1540" s="126" t="n">
        <v>3500000</v>
      </c>
      <c r="P1540" s="121" t="s">
        <v>18</v>
      </c>
      <c r="Q1540" s="121" t="s">
        <v>124</v>
      </c>
      <c r="R1540" s="127"/>
      <c r="T1540" s="118"/>
    </row>
    <row r="1541" customFormat="false" ht="12.75" hidden="false" customHeight="true" outlineLevel="0" collapsed="false">
      <c r="B1541" s="119" t="n">
        <f aca="false">ROW()-4</f>
        <v>1537</v>
      </c>
      <c r="C1541" s="120" t="n">
        <f aca="false">COUNTIFS($D$5:D1541,D1541)</f>
        <v>578</v>
      </c>
      <c r="D1541" s="121" t="s">
        <v>2006</v>
      </c>
      <c r="E1541" s="122" t="s">
        <v>3126</v>
      </c>
      <c r="F1541" s="123" t="n">
        <v>45539</v>
      </c>
      <c r="G1541" s="121" t="s">
        <v>28</v>
      </c>
      <c r="H154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A1537</v>
      </c>
      <c r="I154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B1537</v>
      </c>
      <c r="J1541" s="122" t="s">
        <v>3127</v>
      </c>
      <c r="K154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C1537</v>
      </c>
      <c r="L154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D1537</v>
      </c>
      <c r="M154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E1537</v>
      </c>
      <c r="N1541" s="122" t="s">
        <v>73</v>
      </c>
      <c r="O1541" s="126" t="n">
        <v>3500000</v>
      </c>
      <c r="P1541" s="121" t="s">
        <v>18</v>
      </c>
      <c r="Q1541" s="121" t="s">
        <v>124</v>
      </c>
      <c r="R1541" s="127"/>
      <c r="T1541" s="118"/>
    </row>
    <row r="1542" customFormat="false" ht="12.75" hidden="false" customHeight="true" outlineLevel="0" collapsed="false">
      <c r="B1542" s="119" t="n">
        <f aca="false">ROW()-4</f>
        <v>1538</v>
      </c>
      <c r="C1542" s="120" t="n">
        <f aca="false">COUNTIFS($D$5:D1542,D1542)</f>
        <v>579</v>
      </c>
      <c r="D1542" s="121" t="s">
        <v>2006</v>
      </c>
      <c r="E1542" s="122" t="s">
        <v>3128</v>
      </c>
      <c r="F1542" s="123" t="n">
        <v>45527</v>
      </c>
      <c r="G1542" s="121" t="s">
        <v>22</v>
      </c>
      <c r="H154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A1538</v>
      </c>
      <c r="I154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B1538</v>
      </c>
      <c r="J1542" s="122" t="s">
        <v>3129</v>
      </c>
      <c r="K154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C1538</v>
      </c>
      <c r="L154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D1538</v>
      </c>
      <c r="M154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E1538</v>
      </c>
      <c r="N1542" s="122" t="s">
        <v>73</v>
      </c>
      <c r="O1542" s="126" t="n">
        <v>3500000</v>
      </c>
      <c r="P1542" s="121" t="s">
        <v>18</v>
      </c>
      <c r="Q1542" s="121" t="s">
        <v>124</v>
      </c>
      <c r="R1542" s="127"/>
      <c r="T1542" s="118"/>
    </row>
    <row r="1543" customFormat="false" ht="12.75" hidden="false" customHeight="true" outlineLevel="0" collapsed="false">
      <c r="B1543" s="119" t="n">
        <f aca="false">ROW()-4</f>
        <v>1539</v>
      </c>
      <c r="C1543" s="120" t="n">
        <f aca="false">COUNTIFS($D$5:D1543,D1543)</f>
        <v>580</v>
      </c>
      <c r="D1543" s="121" t="s">
        <v>2006</v>
      </c>
      <c r="E1543" s="122" t="s">
        <v>3130</v>
      </c>
      <c r="F1543" s="123" t="n">
        <v>45532</v>
      </c>
      <c r="G1543" s="121" t="s">
        <v>22</v>
      </c>
      <c r="H154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A1539</v>
      </c>
      <c r="I154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B1539</v>
      </c>
      <c r="J1543" s="122" t="s">
        <v>3131</v>
      </c>
      <c r="K154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C1539</v>
      </c>
      <c r="L154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D1539</v>
      </c>
      <c r="M154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E1539</v>
      </c>
      <c r="N1543" s="122" t="s">
        <v>73</v>
      </c>
      <c r="O1543" s="126" t="n">
        <v>3500000</v>
      </c>
      <c r="P1543" s="121" t="s">
        <v>18</v>
      </c>
      <c r="Q1543" s="121" t="s">
        <v>124</v>
      </c>
      <c r="R1543" s="127"/>
      <c r="T1543" s="118"/>
    </row>
    <row r="1544" customFormat="false" ht="12.75" hidden="false" customHeight="true" outlineLevel="0" collapsed="false">
      <c r="B1544" s="119" t="n">
        <f aca="false">ROW()-4</f>
        <v>1540</v>
      </c>
      <c r="C1544" s="120" t="n">
        <f aca="false">COUNTIFS($D$5:D1544,D1544)</f>
        <v>581</v>
      </c>
      <c r="D1544" s="121" t="s">
        <v>2006</v>
      </c>
      <c r="E1544" s="122" t="s">
        <v>3132</v>
      </c>
      <c r="F1544" s="123" t="n">
        <v>45532</v>
      </c>
      <c r="G1544" s="121" t="s">
        <v>22</v>
      </c>
      <c r="H154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A1540</v>
      </c>
      <c r="I154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B1540</v>
      </c>
      <c r="J1544" s="122" t="s">
        <v>3133</v>
      </c>
      <c r="K154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C1540</v>
      </c>
      <c r="L154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D1540</v>
      </c>
      <c r="M154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E1540</v>
      </c>
      <c r="N1544" s="122" t="s">
        <v>73</v>
      </c>
      <c r="O1544" s="126" t="n">
        <v>3500000</v>
      </c>
      <c r="P1544" s="121" t="s">
        <v>18</v>
      </c>
      <c r="Q1544" s="121" t="s">
        <v>124</v>
      </c>
      <c r="R1544" s="127"/>
      <c r="T1544" s="118"/>
    </row>
    <row r="1545" customFormat="false" ht="12.75" hidden="false" customHeight="true" outlineLevel="0" collapsed="false">
      <c r="B1545" s="119" t="n">
        <f aca="false">ROW()-4</f>
        <v>1541</v>
      </c>
      <c r="C1545" s="120" t="n">
        <f aca="false">COUNTIFS($D$5:D1545,D1545)</f>
        <v>582</v>
      </c>
      <c r="D1545" s="121" t="s">
        <v>2006</v>
      </c>
      <c r="E1545" s="122" t="s">
        <v>3134</v>
      </c>
      <c r="F1545" s="123" t="n">
        <v>45537</v>
      </c>
      <c r="G1545" s="121" t="s">
        <v>22</v>
      </c>
      <c r="H154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A1541</v>
      </c>
      <c r="I154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B1541</v>
      </c>
      <c r="J1545" s="122" t="s">
        <v>3135</v>
      </c>
      <c r="K154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C1541</v>
      </c>
      <c r="L154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D1541</v>
      </c>
      <c r="M154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E1541</v>
      </c>
      <c r="N1545" s="122" t="s">
        <v>73</v>
      </c>
      <c r="O1545" s="126" t="n">
        <v>3500000</v>
      </c>
      <c r="P1545" s="121" t="s">
        <v>18</v>
      </c>
      <c r="Q1545" s="121" t="s">
        <v>124</v>
      </c>
      <c r="R1545" s="127"/>
      <c r="T1545" s="118"/>
    </row>
    <row r="1546" customFormat="false" ht="12.75" hidden="false" customHeight="true" outlineLevel="0" collapsed="false">
      <c r="B1546" s="119" t="n">
        <f aca="false">ROW()-4</f>
        <v>1542</v>
      </c>
      <c r="C1546" s="120" t="n">
        <f aca="false">COUNTIFS($D$5:D1546,D1546)</f>
        <v>583</v>
      </c>
      <c r="D1546" s="121" t="s">
        <v>2006</v>
      </c>
      <c r="E1546" s="122" t="s">
        <v>3136</v>
      </c>
      <c r="F1546" s="123" t="n">
        <v>45547</v>
      </c>
      <c r="G1546" s="121" t="s">
        <v>22</v>
      </c>
      <c r="H154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A1542</v>
      </c>
      <c r="I154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B1542</v>
      </c>
      <c r="J1546" s="122" t="s">
        <v>3137</v>
      </c>
      <c r="K154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C1542</v>
      </c>
      <c r="L154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D1542</v>
      </c>
      <c r="M154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E1542</v>
      </c>
      <c r="N1546" s="122" t="s">
        <v>73</v>
      </c>
      <c r="O1546" s="126" t="n">
        <v>3500000</v>
      </c>
      <c r="P1546" s="121" t="s">
        <v>18</v>
      </c>
      <c r="Q1546" s="121" t="s">
        <v>124</v>
      </c>
      <c r="R1546" s="127"/>
      <c r="T1546" s="118"/>
    </row>
    <row r="1547" customFormat="false" ht="12.75" hidden="false" customHeight="true" outlineLevel="0" collapsed="false">
      <c r="B1547" s="119" t="n">
        <f aca="false">ROW()-4</f>
        <v>1543</v>
      </c>
      <c r="C1547" s="120" t="n">
        <f aca="false">COUNTIFS($D$5:D1547,D1547)</f>
        <v>584</v>
      </c>
      <c r="D1547" s="121" t="s">
        <v>2006</v>
      </c>
      <c r="E1547" s="122" t="s">
        <v>3138</v>
      </c>
      <c r="F1547" s="123" t="n">
        <v>45548</v>
      </c>
      <c r="G1547" s="121" t="s">
        <v>22</v>
      </c>
      <c r="H154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A1543</v>
      </c>
      <c r="I154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B1543</v>
      </c>
      <c r="J1547" s="122" t="s">
        <v>3139</v>
      </c>
      <c r="K154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C1543</v>
      </c>
      <c r="L154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D1543</v>
      </c>
      <c r="M154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E1543</v>
      </c>
      <c r="N1547" s="122" t="s">
        <v>73</v>
      </c>
      <c r="O1547" s="126" t="n">
        <v>3500000</v>
      </c>
      <c r="P1547" s="121" t="s">
        <v>18</v>
      </c>
      <c r="Q1547" s="121" t="s">
        <v>124</v>
      </c>
      <c r="R1547" s="127"/>
      <c r="T1547" s="118"/>
    </row>
    <row r="1548" customFormat="false" ht="12.75" hidden="false" customHeight="true" outlineLevel="0" collapsed="false">
      <c r="B1548" s="119" t="n">
        <f aca="false">ROW()-4</f>
        <v>1544</v>
      </c>
      <c r="C1548" s="120" t="n">
        <f aca="false">COUNTIFS($D$5:D1548,D1548)</f>
        <v>585</v>
      </c>
      <c r="D1548" s="121" t="s">
        <v>2006</v>
      </c>
      <c r="E1548" s="122" t="s">
        <v>3140</v>
      </c>
      <c r="F1548" s="123" t="n">
        <v>45548</v>
      </c>
      <c r="G1548" s="121" t="s">
        <v>22</v>
      </c>
      <c r="H154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A1544</v>
      </c>
      <c r="I154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B1544</v>
      </c>
      <c r="J1548" s="122" t="s">
        <v>3141</v>
      </c>
      <c r="K154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C1544</v>
      </c>
      <c r="L154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D1544</v>
      </c>
      <c r="M154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E1544</v>
      </c>
      <c r="N1548" s="122" t="s">
        <v>73</v>
      </c>
      <c r="O1548" s="126" t="n">
        <v>3500000</v>
      </c>
      <c r="P1548" s="121" t="s">
        <v>18</v>
      </c>
      <c r="Q1548" s="121" t="s">
        <v>124</v>
      </c>
      <c r="R1548" s="127"/>
      <c r="T1548" s="118"/>
    </row>
    <row r="1549" customFormat="false" ht="12.75" hidden="false" customHeight="true" outlineLevel="0" collapsed="false">
      <c r="B1549" s="119" t="n">
        <f aca="false">ROW()-4</f>
        <v>1545</v>
      </c>
      <c r="C1549" s="120" t="n">
        <f aca="false">COUNTIFS($D$5:D1549,D1549)</f>
        <v>586</v>
      </c>
      <c r="D1549" s="121" t="s">
        <v>2006</v>
      </c>
      <c r="E1549" s="122" t="s">
        <v>3142</v>
      </c>
      <c r="F1549" s="123" t="n">
        <v>45558</v>
      </c>
      <c r="G1549" s="121" t="s">
        <v>24</v>
      </c>
      <c r="H154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A1545</v>
      </c>
      <c r="I154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B1545</v>
      </c>
      <c r="J1549" s="122" t="s">
        <v>3143</v>
      </c>
      <c r="K154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C1545</v>
      </c>
      <c r="L154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D1545</v>
      </c>
      <c r="M154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E1545</v>
      </c>
      <c r="N1549" s="122" t="s">
        <v>73</v>
      </c>
      <c r="O1549" s="126" t="n">
        <v>3500000</v>
      </c>
      <c r="P1549" s="121" t="s">
        <v>18</v>
      </c>
      <c r="Q1549" s="121" t="s">
        <v>124</v>
      </c>
      <c r="R1549" s="127"/>
      <c r="T1549" s="118"/>
    </row>
    <row r="1550" customFormat="false" ht="12.75" hidden="false" customHeight="true" outlineLevel="0" collapsed="false">
      <c r="B1550" s="119" t="n">
        <f aca="false">ROW()-4</f>
        <v>1546</v>
      </c>
      <c r="C1550" s="120" t="n">
        <f aca="false">COUNTIFS($D$5:D1550,D1550)</f>
        <v>587</v>
      </c>
      <c r="D1550" s="121" t="s">
        <v>2006</v>
      </c>
      <c r="E1550" s="122" t="s">
        <v>3144</v>
      </c>
      <c r="F1550" s="123" t="n">
        <v>45558</v>
      </c>
      <c r="G1550" s="121" t="s">
        <v>24</v>
      </c>
      <c r="H155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A1546</v>
      </c>
      <c r="I155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B1546</v>
      </c>
      <c r="J1550" s="122" t="s">
        <v>3145</v>
      </c>
      <c r="K155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C1546</v>
      </c>
      <c r="L155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D1546</v>
      </c>
      <c r="M155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E1546</v>
      </c>
      <c r="N1550" s="122" t="s">
        <v>73</v>
      </c>
      <c r="O1550" s="126" t="n">
        <v>3500000</v>
      </c>
      <c r="P1550" s="121" t="s">
        <v>18</v>
      </c>
      <c r="Q1550" s="121" t="s">
        <v>124</v>
      </c>
      <c r="R1550" s="127"/>
      <c r="T1550" s="118"/>
    </row>
    <row r="1551" customFormat="false" ht="12.75" hidden="false" customHeight="true" outlineLevel="0" collapsed="false">
      <c r="B1551" s="119" t="n">
        <f aca="false">ROW()-4</f>
        <v>1547</v>
      </c>
      <c r="C1551" s="120" t="n">
        <f aca="false">COUNTIFS($D$5:D1551,D1551)</f>
        <v>588</v>
      </c>
      <c r="D1551" s="121" t="s">
        <v>2006</v>
      </c>
      <c r="E1551" s="122" t="s">
        <v>3146</v>
      </c>
      <c r="F1551" s="123" t="n">
        <v>45579</v>
      </c>
      <c r="G1551" s="121" t="s">
        <v>22</v>
      </c>
      <c r="H155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A1547</v>
      </c>
      <c r="I155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B1547</v>
      </c>
      <c r="J1551" s="122" t="s">
        <v>3147</v>
      </c>
      <c r="K155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C1547</v>
      </c>
      <c r="L155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D1547</v>
      </c>
      <c r="M155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E1547</v>
      </c>
      <c r="N1551" s="122" t="s">
        <v>73</v>
      </c>
      <c r="O1551" s="126" t="n">
        <v>3500000</v>
      </c>
      <c r="P1551" s="121" t="s">
        <v>18</v>
      </c>
      <c r="Q1551" s="121" t="s">
        <v>124</v>
      </c>
      <c r="R1551" s="127"/>
      <c r="T1551" s="118"/>
    </row>
    <row r="1552" customFormat="false" ht="12.75" hidden="false" customHeight="true" outlineLevel="0" collapsed="false">
      <c r="B1552" s="119" t="n">
        <f aca="false">ROW()-4</f>
        <v>1548</v>
      </c>
      <c r="C1552" s="120" t="n">
        <f aca="false">COUNTIFS($D$5:D1552,D1552)</f>
        <v>589</v>
      </c>
      <c r="D1552" s="121" t="s">
        <v>2006</v>
      </c>
      <c r="E1552" s="122" t="s">
        <v>3148</v>
      </c>
      <c r="F1552" s="123" t="n">
        <v>45579</v>
      </c>
      <c r="G1552" s="121" t="s">
        <v>22</v>
      </c>
      <c r="H155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A1548</v>
      </c>
      <c r="I155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B1548</v>
      </c>
      <c r="J1552" s="122" t="s">
        <v>3149</v>
      </c>
      <c r="K155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C1548</v>
      </c>
      <c r="L155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D1548</v>
      </c>
      <c r="M155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E1548</v>
      </c>
      <c r="N1552" s="122" t="s">
        <v>73</v>
      </c>
      <c r="O1552" s="126" t="n">
        <v>3500000</v>
      </c>
      <c r="P1552" s="121" t="s">
        <v>18</v>
      </c>
      <c r="Q1552" s="121" t="s">
        <v>124</v>
      </c>
      <c r="R1552" s="127"/>
      <c r="T1552" s="118"/>
    </row>
    <row r="1553" customFormat="false" ht="12.75" hidden="false" customHeight="true" outlineLevel="0" collapsed="false">
      <c r="B1553" s="119" t="n">
        <f aca="false">ROW()-4</f>
        <v>1549</v>
      </c>
      <c r="C1553" s="120" t="n">
        <f aca="false">COUNTIFS($D$5:D1553,D1553)</f>
        <v>590</v>
      </c>
      <c r="D1553" s="121" t="s">
        <v>2006</v>
      </c>
      <c r="E1553" s="122" t="s">
        <v>3150</v>
      </c>
      <c r="F1553" s="123" t="n">
        <v>45579</v>
      </c>
      <c r="G1553" s="121" t="s">
        <v>24</v>
      </c>
      <c r="H155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A1549</v>
      </c>
      <c r="I155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B1549</v>
      </c>
      <c r="J1553" s="122" t="s">
        <v>3151</v>
      </c>
      <c r="K155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C1549</v>
      </c>
      <c r="L155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D1549</v>
      </c>
      <c r="M155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E1549</v>
      </c>
      <c r="N1553" s="122" t="s">
        <v>73</v>
      </c>
      <c r="O1553" s="126" t="n">
        <v>3500000</v>
      </c>
      <c r="P1553" s="121" t="s">
        <v>18</v>
      </c>
      <c r="Q1553" s="121" t="s">
        <v>124</v>
      </c>
      <c r="R1553" s="127"/>
      <c r="T1553" s="118"/>
    </row>
    <row r="1554" customFormat="false" ht="12.75" hidden="false" customHeight="true" outlineLevel="0" collapsed="false">
      <c r="B1554" s="119" t="n">
        <f aca="false">ROW()-4</f>
        <v>1550</v>
      </c>
      <c r="C1554" s="120" t="n">
        <f aca="false">COUNTIFS($D$5:D1554,D1554)</f>
        <v>591</v>
      </c>
      <c r="D1554" s="121" t="s">
        <v>2006</v>
      </c>
      <c r="E1554" s="122" t="s">
        <v>3152</v>
      </c>
      <c r="F1554" s="123" t="n">
        <v>45579</v>
      </c>
      <c r="G1554" s="121" t="s">
        <v>24</v>
      </c>
      <c r="H155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A1550</v>
      </c>
      <c r="I155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B1550</v>
      </c>
      <c r="J1554" s="122" t="s">
        <v>3153</v>
      </c>
      <c r="K155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C1550</v>
      </c>
      <c r="L155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D1550</v>
      </c>
      <c r="M155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E1550</v>
      </c>
      <c r="N1554" s="122" t="s">
        <v>73</v>
      </c>
      <c r="O1554" s="126" t="n">
        <v>3500000</v>
      </c>
      <c r="P1554" s="121" t="s">
        <v>18</v>
      </c>
      <c r="Q1554" s="121" t="s">
        <v>124</v>
      </c>
      <c r="R1554" s="127"/>
      <c r="T1554" s="118"/>
    </row>
    <row r="1555" customFormat="false" ht="12.75" hidden="false" customHeight="true" outlineLevel="0" collapsed="false">
      <c r="B1555" s="119" t="n">
        <f aca="false">ROW()-4</f>
        <v>1551</v>
      </c>
      <c r="C1555" s="120" t="n">
        <f aca="false">COUNTIFS($D$5:D1555,D1555)</f>
        <v>592</v>
      </c>
      <c r="D1555" s="121" t="s">
        <v>2006</v>
      </c>
      <c r="E1555" s="122" t="s">
        <v>3154</v>
      </c>
      <c r="F1555" s="123" t="n">
        <v>45579</v>
      </c>
      <c r="G1555" s="121" t="s">
        <v>24</v>
      </c>
      <c r="H155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A1551</v>
      </c>
      <c r="I155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B1551</v>
      </c>
      <c r="J1555" s="122" t="s">
        <v>3155</v>
      </c>
      <c r="K155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C1551</v>
      </c>
      <c r="L155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D1551</v>
      </c>
      <c r="M155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E1551</v>
      </c>
      <c r="N1555" s="122" t="s">
        <v>73</v>
      </c>
      <c r="O1555" s="126" t="n">
        <v>3500000</v>
      </c>
      <c r="P1555" s="121" t="s">
        <v>18</v>
      </c>
      <c r="Q1555" s="121" t="s">
        <v>124</v>
      </c>
      <c r="R1555" s="127"/>
      <c r="T1555" s="118"/>
    </row>
    <row r="1556" customFormat="false" ht="12.75" hidden="false" customHeight="true" outlineLevel="0" collapsed="false">
      <c r="B1556" s="119" t="n">
        <f aca="false">ROW()-4</f>
        <v>1552</v>
      </c>
      <c r="C1556" s="120" t="n">
        <f aca="false">COUNTIFS($D$5:D1556,D1556)</f>
        <v>593</v>
      </c>
      <c r="D1556" s="121" t="s">
        <v>2006</v>
      </c>
      <c r="E1556" s="122" t="s">
        <v>3156</v>
      </c>
      <c r="F1556" s="123" t="n">
        <v>45579</v>
      </c>
      <c r="G1556" s="121" t="s">
        <v>24</v>
      </c>
      <c r="H155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A1552</v>
      </c>
      <c r="I155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B1552</v>
      </c>
      <c r="J1556" s="122" t="s">
        <v>3157</v>
      </c>
      <c r="K155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C1552</v>
      </c>
      <c r="L155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D1552</v>
      </c>
      <c r="M155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E1552</v>
      </c>
      <c r="N1556" s="122" t="s">
        <v>73</v>
      </c>
      <c r="O1556" s="126" t="n">
        <v>3500000</v>
      </c>
      <c r="P1556" s="121" t="s">
        <v>18</v>
      </c>
      <c r="Q1556" s="121" t="s">
        <v>124</v>
      </c>
      <c r="R1556" s="127"/>
      <c r="T1556" s="118"/>
    </row>
    <row r="1557" customFormat="false" ht="12.75" hidden="false" customHeight="true" outlineLevel="0" collapsed="false">
      <c r="B1557" s="119" t="n">
        <f aca="false">ROW()-4</f>
        <v>1553</v>
      </c>
      <c r="C1557" s="120" t="n">
        <f aca="false">COUNTIFS($D$5:D1557,D1557)</f>
        <v>594</v>
      </c>
      <c r="D1557" s="121" t="s">
        <v>2006</v>
      </c>
      <c r="E1557" s="122" t="s">
        <v>3158</v>
      </c>
      <c r="F1557" s="123" t="n">
        <v>45558</v>
      </c>
      <c r="G1557" s="121" t="s">
        <v>22</v>
      </c>
      <c r="H155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A1553</v>
      </c>
      <c r="I155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B1553</v>
      </c>
      <c r="J1557" s="122" t="s">
        <v>3159</v>
      </c>
      <c r="K155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C1553</v>
      </c>
      <c r="L155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D1553</v>
      </c>
      <c r="M155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E1553</v>
      </c>
      <c r="N1557" s="122" t="s">
        <v>73</v>
      </c>
      <c r="O1557" s="126" t="n">
        <v>3500000</v>
      </c>
      <c r="P1557" s="121" t="s">
        <v>18</v>
      </c>
      <c r="Q1557" s="121" t="s">
        <v>124</v>
      </c>
      <c r="R1557" s="127"/>
      <c r="T1557" s="118"/>
    </row>
    <row r="1558" customFormat="false" ht="12.75" hidden="false" customHeight="true" outlineLevel="0" collapsed="false">
      <c r="B1558" s="119" t="n">
        <f aca="false">ROW()-4</f>
        <v>1554</v>
      </c>
      <c r="C1558" s="120" t="n">
        <f aca="false">COUNTIFS($D$5:D1558,D1558)</f>
        <v>595</v>
      </c>
      <c r="D1558" s="121" t="s">
        <v>2006</v>
      </c>
      <c r="E1558" s="122" t="s">
        <v>3160</v>
      </c>
      <c r="F1558" s="123" t="n">
        <v>45518</v>
      </c>
      <c r="G1558" s="121" t="s">
        <v>22</v>
      </c>
      <c r="H155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A1554</v>
      </c>
      <c r="I155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B1554</v>
      </c>
      <c r="J1558" s="122" t="s">
        <v>3161</v>
      </c>
      <c r="K155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C1554</v>
      </c>
      <c r="L155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D1554</v>
      </c>
      <c r="M155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E1554</v>
      </c>
      <c r="N1558" s="122" t="s">
        <v>73</v>
      </c>
      <c r="O1558" s="126" t="n">
        <v>3500000</v>
      </c>
      <c r="P1558" s="121" t="s">
        <v>18</v>
      </c>
      <c r="Q1558" s="121" t="s">
        <v>124</v>
      </c>
      <c r="R1558" s="127"/>
      <c r="T1558" s="118"/>
    </row>
    <row r="1559" customFormat="false" ht="12.75" hidden="false" customHeight="true" outlineLevel="0" collapsed="false">
      <c r="B1559" s="119" t="n">
        <f aca="false">ROW()-4</f>
        <v>1555</v>
      </c>
      <c r="C1559" s="120" t="n">
        <f aca="false">COUNTIFS($D$5:D1559,D1559)</f>
        <v>596</v>
      </c>
      <c r="D1559" s="121" t="s">
        <v>2006</v>
      </c>
      <c r="E1559" s="122" t="s">
        <v>3162</v>
      </c>
      <c r="F1559" s="123" t="n">
        <v>45603</v>
      </c>
      <c r="G1559" s="121" t="s">
        <v>30</v>
      </c>
      <c r="H155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A1555</v>
      </c>
      <c r="I155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B1555</v>
      </c>
      <c r="J1559" s="122" t="s">
        <v>3163</v>
      </c>
      <c r="K155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C1555</v>
      </c>
      <c r="L155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D1555</v>
      </c>
      <c r="M155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E1555</v>
      </c>
      <c r="N1559" s="122" t="s">
        <v>73</v>
      </c>
      <c r="O1559" s="126" t="n">
        <v>3500000</v>
      </c>
      <c r="P1559" s="121" t="s">
        <v>18</v>
      </c>
      <c r="Q1559" s="121" t="s">
        <v>124</v>
      </c>
      <c r="R1559" s="127"/>
      <c r="T1559" s="118"/>
    </row>
    <row r="1560" customFormat="false" ht="12.75" hidden="false" customHeight="true" outlineLevel="0" collapsed="false">
      <c r="B1560" s="119" t="n">
        <f aca="false">ROW()-4</f>
        <v>1556</v>
      </c>
      <c r="C1560" s="120" t="n">
        <f aca="false">COUNTIFS($D$5:D1560,D1560)</f>
        <v>597</v>
      </c>
      <c r="D1560" s="121" t="s">
        <v>2006</v>
      </c>
      <c r="E1560" s="122" t="s">
        <v>3164</v>
      </c>
      <c r="F1560" s="123" t="n">
        <v>45587</v>
      </c>
      <c r="G1560" s="121" t="s">
        <v>28</v>
      </c>
      <c r="H156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A1556</v>
      </c>
      <c r="I156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B1556</v>
      </c>
      <c r="J1560" s="122" t="s">
        <v>3165</v>
      </c>
      <c r="K156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C1556</v>
      </c>
      <c r="L156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D1556</v>
      </c>
      <c r="M156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E1556</v>
      </c>
      <c r="N1560" s="122" t="s">
        <v>73</v>
      </c>
      <c r="O1560" s="126" t="n">
        <v>3500000</v>
      </c>
      <c r="P1560" s="121" t="s">
        <v>18</v>
      </c>
      <c r="Q1560" s="121" t="s">
        <v>124</v>
      </c>
      <c r="R1560" s="127"/>
      <c r="T1560" s="118"/>
    </row>
    <row r="1561" customFormat="false" ht="12.75" hidden="false" customHeight="true" outlineLevel="0" collapsed="false">
      <c r="B1561" s="119" t="n">
        <f aca="false">ROW()-4</f>
        <v>1557</v>
      </c>
      <c r="C1561" s="120" t="n">
        <f aca="false">COUNTIFS($D$5:D1561,D1561)</f>
        <v>598</v>
      </c>
      <c r="D1561" s="121" t="s">
        <v>2006</v>
      </c>
      <c r="E1561" s="122" t="s">
        <v>3166</v>
      </c>
      <c r="F1561" s="123" t="n">
        <v>45960</v>
      </c>
      <c r="G1561" s="121" t="s">
        <v>26</v>
      </c>
      <c r="H156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A1557</v>
      </c>
      <c r="I156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B1557</v>
      </c>
      <c r="J1561" s="122" t="s">
        <v>3167</v>
      </c>
      <c r="K156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C1557</v>
      </c>
      <c r="L156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D1557</v>
      </c>
      <c r="M156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E1557</v>
      </c>
      <c r="N1561" s="122" t="s">
        <v>73</v>
      </c>
      <c r="O1561" s="126" t="n">
        <v>3500000</v>
      </c>
      <c r="P1561" s="121" t="s">
        <v>18</v>
      </c>
      <c r="Q1561" s="121" t="s">
        <v>124</v>
      </c>
      <c r="R1561" s="127"/>
      <c r="T1561" s="118"/>
    </row>
    <row r="1562" customFormat="false" ht="12.75" hidden="false" customHeight="true" outlineLevel="0" collapsed="false">
      <c r="B1562" s="119" t="n">
        <f aca="false">ROW()-4</f>
        <v>1558</v>
      </c>
      <c r="C1562" s="120" t="n">
        <f aca="false">COUNTIFS($D$5:D1562,D1562)</f>
        <v>599</v>
      </c>
      <c r="D1562" s="121" t="s">
        <v>2006</v>
      </c>
      <c r="E1562" s="122" t="s">
        <v>3168</v>
      </c>
      <c r="F1562" s="123" t="n">
        <v>45609</v>
      </c>
      <c r="G1562" s="121" t="s">
        <v>28</v>
      </c>
      <c r="H156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A1558</v>
      </c>
      <c r="I156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B1558</v>
      </c>
      <c r="J1562" s="122" t="s">
        <v>3169</v>
      </c>
      <c r="K156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C1558</v>
      </c>
      <c r="L156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D1558</v>
      </c>
      <c r="M156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E1558</v>
      </c>
      <c r="N1562" s="122" t="s">
        <v>73</v>
      </c>
      <c r="O1562" s="126" t="n">
        <v>3500000</v>
      </c>
      <c r="P1562" s="121" t="s">
        <v>18</v>
      </c>
      <c r="Q1562" s="121" t="s">
        <v>124</v>
      </c>
      <c r="R1562" s="127"/>
      <c r="T1562" s="118"/>
    </row>
    <row r="1563" customFormat="false" ht="12.75" hidden="false" customHeight="true" outlineLevel="0" collapsed="false">
      <c r="B1563" s="119" t="n">
        <f aca="false">ROW()-4</f>
        <v>1559</v>
      </c>
      <c r="C1563" s="120" t="n">
        <f aca="false">COUNTIFS($D$5:D1563,D1563)</f>
        <v>600</v>
      </c>
      <c r="D1563" s="121" t="s">
        <v>2006</v>
      </c>
      <c r="E1563" s="122" t="s">
        <v>3170</v>
      </c>
      <c r="F1563" s="123" t="n">
        <v>45594</v>
      </c>
      <c r="G1563" s="121" t="s">
        <v>22</v>
      </c>
      <c r="H156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A1559</v>
      </c>
      <c r="I156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B1559</v>
      </c>
      <c r="J1563" s="122" t="s">
        <v>3171</v>
      </c>
      <c r="K156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C1559</v>
      </c>
      <c r="L156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D1559</v>
      </c>
      <c r="M156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E1559</v>
      </c>
      <c r="N1563" s="122" t="s">
        <v>73</v>
      </c>
      <c r="O1563" s="126" t="n">
        <v>3500000</v>
      </c>
      <c r="P1563" s="121" t="s">
        <v>18</v>
      </c>
      <c r="Q1563" s="121" t="s">
        <v>124</v>
      </c>
      <c r="R1563" s="127"/>
      <c r="T1563" s="118"/>
    </row>
    <row r="1564" customFormat="false" ht="12.75" hidden="false" customHeight="true" outlineLevel="0" collapsed="false">
      <c r="B1564" s="119" t="n">
        <f aca="false">ROW()-4</f>
        <v>1560</v>
      </c>
      <c r="C1564" s="120" t="n">
        <f aca="false">COUNTIFS($D$5:D1564,D1564)</f>
        <v>601</v>
      </c>
      <c r="D1564" s="121" t="s">
        <v>2006</v>
      </c>
      <c r="E1564" s="122" t="s">
        <v>3172</v>
      </c>
      <c r="F1564" s="123" t="n">
        <v>45595</v>
      </c>
      <c r="G1564" s="121" t="s">
        <v>22</v>
      </c>
      <c r="H156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A1560</v>
      </c>
      <c r="I156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B1560</v>
      </c>
      <c r="J1564" s="122" t="s">
        <v>3173</v>
      </c>
      <c r="K156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C1560</v>
      </c>
      <c r="L156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D1560</v>
      </c>
      <c r="M156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E1560</v>
      </c>
      <c r="N1564" s="122" t="s">
        <v>73</v>
      </c>
      <c r="O1564" s="126" t="n">
        <v>3500000</v>
      </c>
      <c r="P1564" s="121" t="s">
        <v>18</v>
      </c>
      <c r="Q1564" s="121" t="s">
        <v>124</v>
      </c>
      <c r="R1564" s="127"/>
      <c r="T1564" s="118"/>
    </row>
    <row r="1565" customFormat="false" ht="12.75" hidden="false" customHeight="true" outlineLevel="0" collapsed="false">
      <c r="B1565" s="119" t="n">
        <f aca="false">ROW()-4</f>
        <v>1561</v>
      </c>
      <c r="C1565" s="120" t="n">
        <f aca="false">COUNTIFS($D$5:D1565,D1565)</f>
        <v>602</v>
      </c>
      <c r="D1565" s="121" t="s">
        <v>2006</v>
      </c>
      <c r="E1565" s="122" t="s">
        <v>3174</v>
      </c>
      <c r="F1565" s="123" t="n">
        <v>45609</v>
      </c>
      <c r="G1565" s="121" t="s">
        <v>22</v>
      </c>
      <c r="H156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A1561</v>
      </c>
      <c r="I156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B1561</v>
      </c>
      <c r="J1565" s="122" t="s">
        <v>3175</v>
      </c>
      <c r="K156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C1561</v>
      </c>
      <c r="L156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D1561</v>
      </c>
      <c r="M156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E1561</v>
      </c>
      <c r="N1565" s="122" t="s">
        <v>73</v>
      </c>
      <c r="O1565" s="126" t="n">
        <v>3500000</v>
      </c>
      <c r="P1565" s="121" t="s">
        <v>18</v>
      </c>
      <c r="Q1565" s="121" t="s">
        <v>124</v>
      </c>
      <c r="R1565" s="127"/>
      <c r="T1565" s="118"/>
    </row>
    <row r="1566" customFormat="false" ht="12.75" hidden="false" customHeight="true" outlineLevel="0" collapsed="false">
      <c r="B1566" s="119" t="n">
        <f aca="false">ROW()-4</f>
        <v>1562</v>
      </c>
      <c r="C1566" s="120" t="n">
        <f aca="false">COUNTIFS($D$5:D1566,D1566)</f>
        <v>603</v>
      </c>
      <c r="D1566" s="121" t="s">
        <v>2006</v>
      </c>
      <c r="E1566" s="122" t="s">
        <v>3176</v>
      </c>
      <c r="F1566" s="123" t="n">
        <v>45609</v>
      </c>
      <c r="G1566" s="121" t="s">
        <v>22</v>
      </c>
      <c r="H156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A1562</v>
      </c>
      <c r="I156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B1562</v>
      </c>
      <c r="J1566" s="122" t="s">
        <v>3177</v>
      </c>
      <c r="K156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C1562</v>
      </c>
      <c r="L156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D1562</v>
      </c>
      <c r="M156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E1562</v>
      </c>
      <c r="N1566" s="122" t="s">
        <v>73</v>
      </c>
      <c r="O1566" s="126" t="n">
        <v>3500000</v>
      </c>
      <c r="P1566" s="121" t="s">
        <v>18</v>
      </c>
      <c r="Q1566" s="121" t="s">
        <v>124</v>
      </c>
      <c r="R1566" s="127"/>
      <c r="T1566" s="118"/>
    </row>
    <row r="1567" customFormat="false" ht="12.75" hidden="false" customHeight="true" outlineLevel="0" collapsed="false">
      <c r="B1567" s="119" t="n">
        <f aca="false">ROW()-4</f>
        <v>1563</v>
      </c>
      <c r="C1567" s="120" t="n">
        <f aca="false">COUNTIFS($D$5:D1567,D1567)</f>
        <v>604</v>
      </c>
      <c r="D1567" s="121" t="s">
        <v>2006</v>
      </c>
      <c r="E1567" s="122" t="s">
        <v>3178</v>
      </c>
      <c r="F1567" s="123" t="n">
        <v>45602</v>
      </c>
      <c r="G1567" s="121" t="s">
        <v>24</v>
      </c>
      <c r="H156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A1563</v>
      </c>
      <c r="I156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B1563</v>
      </c>
      <c r="J1567" s="122" t="s">
        <v>3179</v>
      </c>
      <c r="K156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C1563</v>
      </c>
      <c r="L156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D1563</v>
      </c>
      <c r="M156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E1563</v>
      </c>
      <c r="N1567" s="122" t="s">
        <v>73</v>
      </c>
      <c r="O1567" s="126" t="n">
        <v>3500000</v>
      </c>
      <c r="P1567" s="121" t="s">
        <v>18</v>
      </c>
      <c r="Q1567" s="121" t="s">
        <v>124</v>
      </c>
      <c r="R1567" s="127"/>
      <c r="T1567" s="118"/>
    </row>
    <row r="1568" customFormat="false" ht="12.75" hidden="false" customHeight="true" outlineLevel="0" collapsed="false">
      <c r="B1568" s="119" t="n">
        <f aca="false">ROW()-4</f>
        <v>1564</v>
      </c>
      <c r="C1568" s="120" t="n">
        <f aca="false">COUNTIFS($D$5:D1568,D1568)</f>
        <v>605</v>
      </c>
      <c r="D1568" s="121" t="s">
        <v>2006</v>
      </c>
      <c r="E1568" s="122" t="s">
        <v>3180</v>
      </c>
      <c r="F1568" s="123" t="n">
        <v>45610</v>
      </c>
      <c r="G1568" s="121" t="s">
        <v>24</v>
      </c>
      <c r="H156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A1564</v>
      </c>
      <c r="I156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B1564</v>
      </c>
      <c r="J1568" s="122" t="s">
        <v>3181</v>
      </c>
      <c r="K156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C1564</v>
      </c>
      <c r="L156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D1564</v>
      </c>
      <c r="M156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E1564</v>
      </c>
      <c r="N1568" s="122" t="s">
        <v>73</v>
      </c>
      <c r="O1568" s="126" t="n">
        <v>3500000</v>
      </c>
      <c r="P1568" s="121" t="s">
        <v>18</v>
      </c>
      <c r="Q1568" s="121" t="s">
        <v>124</v>
      </c>
      <c r="R1568" s="127"/>
      <c r="T1568" s="118"/>
    </row>
    <row r="1569" customFormat="false" ht="12.75" hidden="false" customHeight="true" outlineLevel="0" collapsed="false">
      <c r="B1569" s="119" t="n">
        <f aca="false">ROW()-4</f>
        <v>1565</v>
      </c>
      <c r="C1569" s="120" t="n">
        <f aca="false">COUNTIFS($D$5:D1569,D1569)</f>
        <v>606</v>
      </c>
      <c r="D1569" s="121" t="s">
        <v>2006</v>
      </c>
      <c r="E1569" s="122" t="s">
        <v>3182</v>
      </c>
      <c r="F1569" s="123" t="n">
        <v>45610</v>
      </c>
      <c r="G1569" s="121" t="s">
        <v>24</v>
      </c>
      <c r="H156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A1565</v>
      </c>
      <c r="I156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B1565</v>
      </c>
      <c r="J1569" s="122" t="s">
        <v>3183</v>
      </c>
      <c r="K156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C1565</v>
      </c>
      <c r="L156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D1565</v>
      </c>
      <c r="M156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E1565</v>
      </c>
      <c r="N1569" s="122" t="s">
        <v>73</v>
      </c>
      <c r="O1569" s="126" t="n">
        <v>3500000</v>
      </c>
      <c r="P1569" s="121" t="s">
        <v>18</v>
      </c>
      <c r="Q1569" s="121" t="s">
        <v>124</v>
      </c>
      <c r="R1569" s="127"/>
      <c r="T1569" s="118"/>
    </row>
    <row r="1570" customFormat="false" ht="12.75" hidden="false" customHeight="true" outlineLevel="0" collapsed="false">
      <c r="B1570" s="119" t="n">
        <f aca="false">ROW()-4</f>
        <v>1566</v>
      </c>
      <c r="C1570" s="120" t="n">
        <f aca="false">COUNTIFS($D$5:D1570,D1570)</f>
        <v>607</v>
      </c>
      <c r="D1570" s="121" t="s">
        <v>2006</v>
      </c>
      <c r="E1570" s="122" t="s">
        <v>3184</v>
      </c>
      <c r="F1570" s="123" t="n">
        <v>45615</v>
      </c>
      <c r="G1570" s="121" t="s">
        <v>24</v>
      </c>
      <c r="H157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A1566</v>
      </c>
      <c r="I157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B1566</v>
      </c>
      <c r="J1570" s="122" t="s">
        <v>3185</v>
      </c>
      <c r="K157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C1566</v>
      </c>
      <c r="L157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D1566</v>
      </c>
      <c r="M157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E1566</v>
      </c>
      <c r="N1570" s="122" t="s">
        <v>73</v>
      </c>
      <c r="O1570" s="126" t="n">
        <v>3500000</v>
      </c>
      <c r="P1570" s="121" t="s">
        <v>18</v>
      </c>
      <c r="Q1570" s="121" t="s">
        <v>124</v>
      </c>
      <c r="R1570" s="127"/>
      <c r="T1570" s="118"/>
    </row>
    <row r="1571" customFormat="false" ht="12.75" hidden="false" customHeight="true" outlineLevel="0" collapsed="false">
      <c r="B1571" s="119" t="n">
        <f aca="false">ROW()-4</f>
        <v>1567</v>
      </c>
      <c r="C1571" s="120" t="n">
        <f aca="false">COUNTIFS($D$5:D1571,D1571)</f>
        <v>608</v>
      </c>
      <c r="D1571" s="121" t="s">
        <v>2006</v>
      </c>
      <c r="E1571" s="122" t="s">
        <v>3186</v>
      </c>
      <c r="F1571" s="123" t="n">
        <v>45618</v>
      </c>
      <c r="G1571" s="121" t="s">
        <v>28</v>
      </c>
      <c r="H157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A1567</v>
      </c>
      <c r="I157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B1567</v>
      </c>
      <c r="J1571" s="122" t="s">
        <v>3187</v>
      </c>
      <c r="K157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C1567</v>
      </c>
      <c r="L157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D1567</v>
      </c>
      <c r="M157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E1567</v>
      </c>
      <c r="N1571" s="122" t="s">
        <v>73</v>
      </c>
      <c r="O1571" s="126" t="n">
        <v>3500000</v>
      </c>
      <c r="P1571" s="121" t="s">
        <v>18</v>
      </c>
      <c r="Q1571" s="121" t="s">
        <v>124</v>
      </c>
      <c r="R1571" s="127"/>
      <c r="T1571" s="118"/>
    </row>
    <row r="1572" customFormat="false" ht="12.75" hidden="false" customHeight="true" outlineLevel="0" collapsed="false">
      <c r="B1572" s="119" t="n">
        <f aca="false">ROW()-4</f>
        <v>1568</v>
      </c>
      <c r="C1572" s="120" t="n">
        <f aca="false">COUNTIFS($D$5:D1572,D1572)</f>
        <v>609</v>
      </c>
      <c r="D1572" s="121" t="s">
        <v>2006</v>
      </c>
      <c r="E1572" s="122" t="s">
        <v>3188</v>
      </c>
      <c r="F1572" s="123" t="n">
        <v>45622</v>
      </c>
      <c r="G1572" s="121" t="s">
        <v>26</v>
      </c>
      <c r="H157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A1568</v>
      </c>
      <c r="I157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B1568</v>
      </c>
      <c r="J1572" s="122" t="s">
        <v>3189</v>
      </c>
      <c r="K157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C1568</v>
      </c>
      <c r="L157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D1568</v>
      </c>
      <c r="M157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E1568</v>
      </c>
      <c r="N1572" s="122" t="s">
        <v>73</v>
      </c>
      <c r="O1572" s="126" t="n">
        <v>3500000</v>
      </c>
      <c r="P1572" s="121" t="s">
        <v>18</v>
      </c>
      <c r="Q1572" s="121" t="s">
        <v>124</v>
      </c>
      <c r="R1572" s="127"/>
      <c r="T1572" s="118"/>
    </row>
    <row r="1573" customFormat="false" ht="12.75" hidden="false" customHeight="true" outlineLevel="0" collapsed="false">
      <c r="B1573" s="119" t="n">
        <f aca="false">ROW()-4</f>
        <v>1569</v>
      </c>
      <c r="C1573" s="120" t="n">
        <f aca="false">COUNTIFS($D$5:D1573,D1573)</f>
        <v>610</v>
      </c>
      <c r="D1573" s="121" t="s">
        <v>2006</v>
      </c>
      <c r="E1573" s="122" t="s">
        <v>3190</v>
      </c>
      <c r="F1573" s="123" t="n">
        <v>45622</v>
      </c>
      <c r="G1573" s="121" t="s">
        <v>24</v>
      </c>
      <c r="H157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A1569</v>
      </c>
      <c r="I157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B1569</v>
      </c>
      <c r="J1573" s="122" t="s">
        <v>3191</v>
      </c>
      <c r="K157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C1569</v>
      </c>
      <c r="L157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D1569</v>
      </c>
      <c r="M157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E1569</v>
      </c>
      <c r="N1573" s="122" t="s">
        <v>73</v>
      </c>
      <c r="O1573" s="126" t="n">
        <v>3500000</v>
      </c>
      <c r="P1573" s="121" t="s">
        <v>18</v>
      </c>
      <c r="Q1573" s="121" t="s">
        <v>124</v>
      </c>
      <c r="R1573" s="127"/>
      <c r="T1573" s="118"/>
    </row>
    <row r="1574" customFormat="false" ht="12.75" hidden="false" customHeight="true" outlineLevel="0" collapsed="false">
      <c r="B1574" s="119" t="n">
        <f aca="false">ROW()-4</f>
        <v>1570</v>
      </c>
      <c r="C1574" s="120" t="n">
        <f aca="false">COUNTIFS($D$5:D1574,D1574)</f>
        <v>611</v>
      </c>
      <c r="D1574" s="121" t="s">
        <v>2006</v>
      </c>
      <c r="E1574" s="122" t="s">
        <v>3192</v>
      </c>
      <c r="F1574" s="123" t="n">
        <v>46051</v>
      </c>
      <c r="G1574" s="121" t="s">
        <v>26</v>
      </c>
      <c r="H157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A1570</v>
      </c>
      <c r="I157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B1570</v>
      </c>
      <c r="J1574" s="122" t="s">
        <v>3193</v>
      </c>
      <c r="K157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C1570</v>
      </c>
      <c r="L157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D1570</v>
      </c>
      <c r="M157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E1570</v>
      </c>
      <c r="N1574" s="122" t="s">
        <v>73</v>
      </c>
      <c r="O1574" s="126" t="n">
        <v>3500000</v>
      </c>
      <c r="P1574" s="121" t="s">
        <v>18</v>
      </c>
      <c r="Q1574" s="121" t="s">
        <v>124</v>
      </c>
      <c r="R1574" s="127"/>
      <c r="T1574" s="118"/>
    </row>
    <row r="1575" customFormat="false" ht="12.75" hidden="false" customHeight="true" outlineLevel="0" collapsed="false">
      <c r="B1575" s="119" t="n">
        <f aca="false">ROW()-4</f>
        <v>1571</v>
      </c>
      <c r="C1575" s="120" t="n">
        <f aca="false">COUNTIFS($D$5:D1575,D1575)</f>
        <v>612</v>
      </c>
      <c r="D1575" s="121" t="s">
        <v>2006</v>
      </c>
      <c r="E1575" s="122" t="s">
        <v>3194</v>
      </c>
      <c r="F1575" s="123" t="n">
        <v>45603</v>
      </c>
      <c r="G1575" s="121" t="s">
        <v>26</v>
      </c>
      <c r="H157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A1571</v>
      </c>
      <c r="I157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B1571</v>
      </c>
      <c r="J1575" s="122" t="s">
        <v>3195</v>
      </c>
      <c r="K157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C1571</v>
      </c>
      <c r="L157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D1571</v>
      </c>
      <c r="M157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E1571</v>
      </c>
      <c r="N1575" s="122" t="s">
        <v>73</v>
      </c>
      <c r="O1575" s="126" t="n">
        <v>3500000</v>
      </c>
      <c r="P1575" s="121" t="s">
        <v>18</v>
      </c>
      <c r="Q1575" s="121" t="s">
        <v>124</v>
      </c>
      <c r="R1575" s="127"/>
      <c r="T1575" s="118"/>
    </row>
    <row r="1576" customFormat="false" ht="12.75" hidden="false" customHeight="true" outlineLevel="0" collapsed="false">
      <c r="B1576" s="119" t="n">
        <f aca="false">ROW()-4</f>
        <v>1572</v>
      </c>
      <c r="C1576" s="120" t="n">
        <f aca="false">COUNTIFS($D$5:D1576,D1576)</f>
        <v>613</v>
      </c>
      <c r="D1576" s="121" t="s">
        <v>2006</v>
      </c>
      <c r="E1576" s="122" t="s">
        <v>3196</v>
      </c>
      <c r="F1576" s="123" t="n">
        <v>45713</v>
      </c>
      <c r="G1576" s="121" t="s">
        <v>22</v>
      </c>
      <c r="H157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A1572</v>
      </c>
      <c r="I157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B1572</v>
      </c>
      <c r="J1576" s="122" t="s">
        <v>3197</v>
      </c>
      <c r="K157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C1572</v>
      </c>
      <c r="L157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D1572</v>
      </c>
      <c r="M157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E1572</v>
      </c>
      <c r="N1576" s="122" t="s">
        <v>73</v>
      </c>
      <c r="O1576" s="126" t="n">
        <v>3500000</v>
      </c>
      <c r="P1576" s="121" t="s">
        <v>18</v>
      </c>
      <c r="Q1576" s="121" t="s">
        <v>124</v>
      </c>
      <c r="R1576" s="127"/>
      <c r="T1576" s="118"/>
    </row>
    <row r="1577" customFormat="false" ht="12.75" hidden="false" customHeight="true" outlineLevel="0" collapsed="false">
      <c r="B1577" s="119" t="n">
        <f aca="false">ROW()-4</f>
        <v>1573</v>
      </c>
      <c r="C1577" s="120" t="n">
        <f aca="false">COUNTIFS($D$5:D1577,D1577)</f>
        <v>614</v>
      </c>
      <c r="D1577" s="121" t="s">
        <v>2006</v>
      </c>
      <c r="E1577" s="122" t="s">
        <v>3198</v>
      </c>
      <c r="F1577" s="123" t="n">
        <v>45713</v>
      </c>
      <c r="G1577" s="121" t="s">
        <v>22</v>
      </c>
      <c r="H157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A1573</v>
      </c>
      <c r="I157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B1573</v>
      </c>
      <c r="J1577" s="122" t="s">
        <v>3199</v>
      </c>
      <c r="K157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C1573</v>
      </c>
      <c r="L157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D1573</v>
      </c>
      <c r="M157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E1573</v>
      </c>
      <c r="N1577" s="122" t="s">
        <v>73</v>
      </c>
      <c r="O1577" s="126" t="n">
        <v>3500000</v>
      </c>
      <c r="P1577" s="121" t="s">
        <v>18</v>
      </c>
      <c r="Q1577" s="121" t="s">
        <v>124</v>
      </c>
      <c r="R1577" s="127"/>
      <c r="T1577" s="118"/>
    </row>
    <row r="1578" customFormat="false" ht="12.75" hidden="false" customHeight="true" outlineLevel="0" collapsed="false">
      <c r="B1578" s="119" t="n">
        <f aca="false">ROW()-4</f>
        <v>1574</v>
      </c>
      <c r="C1578" s="120" t="n">
        <f aca="false">COUNTIFS($D$5:D1578,D1578)</f>
        <v>615</v>
      </c>
      <c r="D1578" s="121" t="s">
        <v>2006</v>
      </c>
      <c r="E1578" s="122" t="s">
        <v>3200</v>
      </c>
      <c r="F1578" s="123" t="n">
        <v>45617</v>
      </c>
      <c r="G1578" s="121" t="s">
        <v>22</v>
      </c>
      <c r="H157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A1574</v>
      </c>
      <c r="I157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B1574</v>
      </c>
      <c r="J1578" s="122" t="s">
        <v>3201</v>
      </c>
      <c r="K157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C1574</v>
      </c>
      <c r="L157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D1574</v>
      </c>
      <c r="M157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E1574</v>
      </c>
      <c r="N1578" s="122" t="s">
        <v>73</v>
      </c>
      <c r="O1578" s="126" t="n">
        <v>3500000</v>
      </c>
      <c r="P1578" s="121" t="s">
        <v>18</v>
      </c>
      <c r="Q1578" s="121" t="s">
        <v>124</v>
      </c>
      <c r="R1578" s="127"/>
      <c r="T1578" s="118"/>
    </row>
    <row r="1579" customFormat="false" ht="12.75" hidden="false" customHeight="true" outlineLevel="0" collapsed="false">
      <c r="B1579" s="119" t="n">
        <f aca="false">ROW()-4</f>
        <v>1575</v>
      </c>
      <c r="C1579" s="120" t="n">
        <f aca="false">COUNTIFS($D$5:D1579,D1579)</f>
        <v>616</v>
      </c>
      <c r="D1579" s="121" t="s">
        <v>2006</v>
      </c>
      <c r="E1579" s="122" t="s">
        <v>3202</v>
      </c>
      <c r="F1579" s="123" t="n">
        <v>45622</v>
      </c>
      <c r="G1579" s="121" t="s">
        <v>22</v>
      </c>
      <c r="H157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A1575</v>
      </c>
      <c r="I157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B1575</v>
      </c>
      <c r="J1579" s="122" t="s">
        <v>3203</v>
      </c>
      <c r="K157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C1575</v>
      </c>
      <c r="L157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D1575</v>
      </c>
      <c r="M157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E1575</v>
      </c>
      <c r="N1579" s="122" t="s">
        <v>73</v>
      </c>
      <c r="O1579" s="126" t="n">
        <v>3500000</v>
      </c>
      <c r="P1579" s="121" t="s">
        <v>18</v>
      </c>
      <c r="Q1579" s="121" t="s">
        <v>124</v>
      </c>
      <c r="R1579" s="127"/>
      <c r="T1579" s="118"/>
    </row>
    <row r="1580" customFormat="false" ht="12.75" hidden="false" customHeight="true" outlineLevel="0" collapsed="false">
      <c r="B1580" s="119" t="n">
        <f aca="false">ROW()-4</f>
        <v>1576</v>
      </c>
      <c r="C1580" s="120" t="n">
        <f aca="false">COUNTIFS($D$5:D1580,D1580)</f>
        <v>617</v>
      </c>
      <c r="D1580" s="121" t="s">
        <v>2006</v>
      </c>
      <c r="E1580" s="122" t="s">
        <v>3204</v>
      </c>
      <c r="F1580" s="123" t="n">
        <v>45622</v>
      </c>
      <c r="G1580" s="121" t="s">
        <v>22</v>
      </c>
      <c r="H158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A1576</v>
      </c>
      <c r="I158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B1576</v>
      </c>
      <c r="J1580" s="122" t="s">
        <v>3205</v>
      </c>
      <c r="K158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C1576</v>
      </c>
      <c r="L158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D1576</v>
      </c>
      <c r="M158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E1576</v>
      </c>
      <c r="N1580" s="122" t="s">
        <v>73</v>
      </c>
      <c r="O1580" s="126" t="n">
        <v>3500000</v>
      </c>
      <c r="P1580" s="121" t="s">
        <v>18</v>
      </c>
      <c r="Q1580" s="121" t="s">
        <v>124</v>
      </c>
      <c r="R1580" s="127"/>
      <c r="T1580" s="118"/>
    </row>
    <row r="1581" customFormat="false" ht="12.75" hidden="false" customHeight="true" outlineLevel="0" collapsed="false">
      <c r="B1581" s="119" t="n">
        <f aca="false">ROW()-4</f>
        <v>1577</v>
      </c>
      <c r="C1581" s="120" t="n">
        <f aca="false">COUNTIFS($D$5:D1581,D1581)</f>
        <v>618</v>
      </c>
      <c r="D1581" s="121" t="s">
        <v>2006</v>
      </c>
      <c r="E1581" s="122" t="s">
        <v>3206</v>
      </c>
      <c r="F1581" s="123" t="n">
        <v>45628</v>
      </c>
      <c r="G1581" s="121" t="s">
        <v>28</v>
      </c>
      <c r="H158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A1577</v>
      </c>
      <c r="I158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B1577</v>
      </c>
      <c r="J1581" s="122" t="s">
        <v>3207</v>
      </c>
      <c r="K158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C1577</v>
      </c>
      <c r="L158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D1577</v>
      </c>
      <c r="M158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E1577</v>
      </c>
      <c r="N1581" s="122" t="s">
        <v>73</v>
      </c>
      <c r="O1581" s="126" t="n">
        <v>3500000</v>
      </c>
      <c r="P1581" s="121" t="s">
        <v>18</v>
      </c>
      <c r="Q1581" s="121" t="s">
        <v>124</v>
      </c>
      <c r="R1581" s="127"/>
      <c r="T1581" s="118"/>
    </row>
    <row r="1582" customFormat="false" ht="12.75" hidden="false" customHeight="true" outlineLevel="0" collapsed="false">
      <c r="B1582" s="119" t="n">
        <f aca="false">ROW()-4</f>
        <v>1578</v>
      </c>
      <c r="C1582" s="120" t="n">
        <f aca="false">COUNTIFS($D$5:D1582,D1582)</f>
        <v>619</v>
      </c>
      <c r="D1582" s="121" t="s">
        <v>2006</v>
      </c>
      <c r="E1582" s="122" t="s">
        <v>3208</v>
      </c>
      <c r="F1582" s="123" t="n">
        <v>45628</v>
      </c>
      <c r="G1582" s="121" t="s">
        <v>28</v>
      </c>
      <c r="H158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A1578</v>
      </c>
      <c r="I158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B1578</v>
      </c>
      <c r="J1582" s="122" t="s">
        <v>3209</v>
      </c>
      <c r="K158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C1578</v>
      </c>
      <c r="L158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D1578</v>
      </c>
      <c r="M158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E1578</v>
      </c>
      <c r="N1582" s="122" t="s">
        <v>73</v>
      </c>
      <c r="O1582" s="126" t="n">
        <v>3500000</v>
      </c>
      <c r="P1582" s="121" t="s">
        <v>18</v>
      </c>
      <c r="Q1582" s="121" t="s">
        <v>124</v>
      </c>
      <c r="R1582" s="127"/>
      <c r="T1582" s="118"/>
    </row>
    <row r="1583" customFormat="false" ht="12.75" hidden="false" customHeight="true" outlineLevel="0" collapsed="false">
      <c r="B1583" s="119" t="n">
        <f aca="false">ROW()-4</f>
        <v>1579</v>
      </c>
      <c r="C1583" s="120" t="n">
        <f aca="false">COUNTIFS($D$5:D1583,D1583)</f>
        <v>620</v>
      </c>
      <c r="D1583" s="121" t="s">
        <v>2006</v>
      </c>
      <c r="E1583" s="122" t="s">
        <v>3210</v>
      </c>
      <c r="F1583" s="123" t="n">
        <v>45624</v>
      </c>
      <c r="G1583" s="121" t="s">
        <v>28</v>
      </c>
      <c r="H158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A1579</v>
      </c>
      <c r="I158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B1579</v>
      </c>
      <c r="J1583" s="122" t="s">
        <v>3211</v>
      </c>
      <c r="K158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C1579</v>
      </c>
      <c r="L158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D1579</v>
      </c>
      <c r="M158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E1579</v>
      </c>
      <c r="N1583" s="122" t="s">
        <v>73</v>
      </c>
      <c r="O1583" s="126" t="n">
        <v>3500000</v>
      </c>
      <c r="P1583" s="121" t="s">
        <v>18</v>
      </c>
      <c r="Q1583" s="121" t="s">
        <v>124</v>
      </c>
      <c r="R1583" s="127"/>
      <c r="T1583" s="118"/>
    </row>
    <row r="1584" customFormat="false" ht="12.75" hidden="false" customHeight="true" outlineLevel="0" collapsed="false">
      <c r="B1584" s="119" t="n">
        <f aca="false">ROW()-4</f>
        <v>1580</v>
      </c>
      <c r="C1584" s="120" t="n">
        <f aca="false">COUNTIFS($D$5:D1584,D1584)</f>
        <v>621</v>
      </c>
      <c r="D1584" s="121" t="s">
        <v>2006</v>
      </c>
      <c r="E1584" s="122" t="s">
        <v>3212</v>
      </c>
      <c r="F1584" s="123" t="n">
        <v>45602</v>
      </c>
      <c r="G1584" s="121" t="s">
        <v>30</v>
      </c>
      <c r="H158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A1580</v>
      </c>
      <c r="I158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B1580</v>
      </c>
      <c r="J1584" s="122" t="s">
        <v>3213</v>
      </c>
      <c r="K158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C1580</v>
      </c>
      <c r="L158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D1580</v>
      </c>
      <c r="M158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E1580</v>
      </c>
      <c r="N1584" s="122" t="s">
        <v>73</v>
      </c>
      <c r="O1584" s="126" t="n">
        <v>3500000</v>
      </c>
      <c r="P1584" s="121" t="s">
        <v>18</v>
      </c>
      <c r="Q1584" s="121" t="s">
        <v>124</v>
      </c>
      <c r="R1584" s="127"/>
      <c r="T1584" s="118"/>
    </row>
    <row r="1585" customFormat="false" ht="12.75" hidden="false" customHeight="true" outlineLevel="0" collapsed="false">
      <c r="B1585" s="119" t="n">
        <f aca="false">ROW()-4</f>
        <v>1581</v>
      </c>
      <c r="C1585" s="120" t="n">
        <f aca="false">COUNTIFS($D$5:D1585,D1585)</f>
        <v>622</v>
      </c>
      <c r="D1585" s="121" t="s">
        <v>2006</v>
      </c>
      <c r="E1585" s="122" t="s">
        <v>3214</v>
      </c>
      <c r="F1585" s="123" t="n">
        <v>45588</v>
      </c>
      <c r="G1585" s="121" t="s">
        <v>28</v>
      </c>
      <c r="H158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A1581</v>
      </c>
      <c r="I158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B1581</v>
      </c>
      <c r="J1585" s="122" t="s">
        <v>1414</v>
      </c>
      <c r="K158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C1581</v>
      </c>
      <c r="L158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D1581</v>
      </c>
      <c r="M158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E1581</v>
      </c>
      <c r="N1585" s="122" t="s">
        <v>73</v>
      </c>
      <c r="O1585" s="126" t="n">
        <v>3500000</v>
      </c>
      <c r="P1585" s="121" t="s">
        <v>18</v>
      </c>
      <c r="Q1585" s="121" t="s">
        <v>124</v>
      </c>
      <c r="R1585" s="127"/>
      <c r="T1585" s="118"/>
    </row>
    <row r="1586" customFormat="false" ht="12.75" hidden="false" customHeight="true" outlineLevel="0" collapsed="false">
      <c r="B1586" s="119" t="n">
        <f aca="false">ROW()-4</f>
        <v>1582</v>
      </c>
      <c r="C1586" s="120" t="n">
        <f aca="false">COUNTIFS($D$5:D1586,D1586)</f>
        <v>623</v>
      </c>
      <c r="D1586" s="121" t="s">
        <v>2006</v>
      </c>
      <c r="E1586" s="122" t="s">
        <v>3215</v>
      </c>
      <c r="F1586" s="123" t="n">
        <v>45635</v>
      </c>
      <c r="G1586" s="121" t="s">
        <v>22</v>
      </c>
      <c r="H158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A1582</v>
      </c>
      <c r="I158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B1582</v>
      </c>
      <c r="J1586" s="122" t="s">
        <v>3216</v>
      </c>
      <c r="K158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C1582</v>
      </c>
      <c r="L158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D1582</v>
      </c>
      <c r="M158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E1582</v>
      </c>
      <c r="N1586" s="122" t="s">
        <v>73</v>
      </c>
      <c r="O1586" s="126" t="n">
        <v>3500000</v>
      </c>
      <c r="P1586" s="121" t="s">
        <v>18</v>
      </c>
      <c r="Q1586" s="121" t="s">
        <v>124</v>
      </c>
      <c r="R1586" s="127"/>
      <c r="T1586" s="118"/>
    </row>
    <row r="1587" customFormat="false" ht="12.75" hidden="false" customHeight="true" outlineLevel="0" collapsed="false">
      <c r="B1587" s="119" t="n">
        <f aca="false">ROW()-4</f>
        <v>1583</v>
      </c>
      <c r="C1587" s="120" t="n">
        <f aca="false">COUNTIFS($D$5:D1587,D1587)</f>
        <v>624</v>
      </c>
      <c r="D1587" s="121" t="s">
        <v>2006</v>
      </c>
      <c r="E1587" s="122" t="s">
        <v>3217</v>
      </c>
      <c r="F1587" s="123" t="n">
        <v>45635</v>
      </c>
      <c r="G1587" s="121" t="s">
        <v>22</v>
      </c>
      <c r="H158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A1583</v>
      </c>
      <c r="I158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B1583</v>
      </c>
      <c r="J1587" s="122" t="s">
        <v>3218</v>
      </c>
      <c r="K158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C1583</v>
      </c>
      <c r="L158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D1583</v>
      </c>
      <c r="M158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E1583</v>
      </c>
      <c r="N1587" s="122" t="s">
        <v>73</v>
      </c>
      <c r="O1587" s="126" t="n">
        <v>3500000</v>
      </c>
      <c r="P1587" s="121" t="s">
        <v>18</v>
      </c>
      <c r="Q1587" s="121" t="s">
        <v>124</v>
      </c>
      <c r="R1587" s="127"/>
      <c r="T1587" s="118"/>
    </row>
    <row r="1588" customFormat="false" ht="12.75" hidden="false" customHeight="true" outlineLevel="0" collapsed="false">
      <c r="B1588" s="119" t="n">
        <f aca="false">ROW()-4</f>
        <v>1584</v>
      </c>
      <c r="C1588" s="120" t="n">
        <f aca="false">COUNTIFS($D$5:D1588,D1588)</f>
        <v>625</v>
      </c>
      <c r="D1588" s="121" t="s">
        <v>2006</v>
      </c>
      <c r="E1588" s="122" t="s">
        <v>3219</v>
      </c>
      <c r="F1588" s="123" t="n">
        <v>45751</v>
      </c>
      <c r="G1588" s="121" t="s">
        <v>22</v>
      </c>
      <c r="H158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A1584</v>
      </c>
      <c r="I158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B1584</v>
      </c>
      <c r="J1588" s="122" t="s">
        <v>3220</v>
      </c>
      <c r="K158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C1584</v>
      </c>
      <c r="L158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D1584</v>
      </c>
      <c r="M158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E1584</v>
      </c>
      <c r="N1588" s="122" t="s">
        <v>73</v>
      </c>
      <c r="O1588" s="126" t="n">
        <v>3500000</v>
      </c>
      <c r="P1588" s="121" t="s">
        <v>18</v>
      </c>
      <c r="Q1588" s="121" t="s">
        <v>124</v>
      </c>
      <c r="R1588" s="127"/>
      <c r="T1588" s="118"/>
    </row>
    <row r="1589" customFormat="false" ht="12.75" hidden="false" customHeight="true" outlineLevel="0" collapsed="false">
      <c r="B1589" s="119" t="n">
        <f aca="false">ROW()-4</f>
        <v>1585</v>
      </c>
      <c r="C1589" s="120" t="n">
        <f aca="false">COUNTIFS($D$5:D1589,D1589)</f>
        <v>626</v>
      </c>
      <c r="D1589" s="121" t="s">
        <v>2006</v>
      </c>
      <c r="E1589" s="122" t="s">
        <v>3221</v>
      </c>
      <c r="F1589" s="123" t="n">
        <v>45751</v>
      </c>
      <c r="G1589" s="121" t="s">
        <v>22</v>
      </c>
      <c r="H158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A1585</v>
      </c>
      <c r="I158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B1585</v>
      </c>
      <c r="J1589" s="122" t="s">
        <v>3222</v>
      </c>
      <c r="K158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C1585</v>
      </c>
      <c r="L158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D1585</v>
      </c>
      <c r="M158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E1585</v>
      </c>
      <c r="N1589" s="122" t="s">
        <v>73</v>
      </c>
      <c r="O1589" s="126" t="n">
        <v>3500000</v>
      </c>
      <c r="P1589" s="121" t="s">
        <v>18</v>
      </c>
      <c r="Q1589" s="121" t="s">
        <v>124</v>
      </c>
      <c r="R1589" s="127"/>
      <c r="T1589" s="118"/>
    </row>
    <row r="1590" customFormat="false" ht="12.75" hidden="false" customHeight="true" outlineLevel="0" collapsed="false">
      <c r="B1590" s="119" t="n">
        <f aca="false">ROW()-4</f>
        <v>1586</v>
      </c>
      <c r="C1590" s="120" t="n">
        <f aca="false">COUNTIFS($D$5:D1590,D1590)</f>
        <v>627</v>
      </c>
      <c r="D1590" s="121" t="s">
        <v>2006</v>
      </c>
      <c r="E1590" s="122" t="s">
        <v>3223</v>
      </c>
      <c r="F1590" s="123" t="n">
        <v>45992</v>
      </c>
      <c r="G1590" s="121" t="s">
        <v>26</v>
      </c>
      <c r="H159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A1586</v>
      </c>
      <c r="I159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B1586</v>
      </c>
      <c r="J1590" s="122" t="s">
        <v>3224</v>
      </c>
      <c r="K159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C1586</v>
      </c>
      <c r="L159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D1586</v>
      </c>
      <c r="M159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E1586</v>
      </c>
      <c r="N1590" s="122" t="s">
        <v>73</v>
      </c>
      <c r="O1590" s="126" t="n">
        <v>3500000</v>
      </c>
      <c r="P1590" s="121" t="s">
        <v>18</v>
      </c>
      <c r="Q1590" s="121" t="s">
        <v>124</v>
      </c>
      <c r="R1590" s="127"/>
      <c r="T1590" s="118"/>
    </row>
    <row r="1591" customFormat="false" ht="12.75" hidden="false" customHeight="true" outlineLevel="0" collapsed="false">
      <c r="B1591" s="119" t="n">
        <f aca="false">ROW()-4</f>
        <v>1587</v>
      </c>
      <c r="C1591" s="120" t="n">
        <f aca="false">COUNTIFS($D$5:D1591,D1591)</f>
        <v>628</v>
      </c>
      <c r="D1591" s="121" t="s">
        <v>2006</v>
      </c>
      <c r="E1591" s="122" t="s">
        <v>3225</v>
      </c>
      <c r="F1591" s="123" t="n">
        <v>45639</v>
      </c>
      <c r="G1591" s="121" t="s">
        <v>28</v>
      </c>
      <c r="H159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A1587</v>
      </c>
      <c r="I159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B1587</v>
      </c>
      <c r="J1591" s="122" t="s">
        <v>3226</v>
      </c>
      <c r="K159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C1587</v>
      </c>
      <c r="L159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D1587</v>
      </c>
      <c r="M159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E1587</v>
      </c>
      <c r="N1591" s="122" t="s">
        <v>73</v>
      </c>
      <c r="O1591" s="126" t="n">
        <v>3500000</v>
      </c>
      <c r="P1591" s="121" t="s">
        <v>18</v>
      </c>
      <c r="Q1591" s="121" t="s">
        <v>124</v>
      </c>
      <c r="R1591" s="127"/>
      <c r="T1591" s="118"/>
    </row>
    <row r="1592" customFormat="false" ht="12.75" hidden="false" customHeight="true" outlineLevel="0" collapsed="false">
      <c r="B1592" s="119" t="n">
        <f aca="false">ROW()-4</f>
        <v>1588</v>
      </c>
      <c r="C1592" s="120" t="n">
        <f aca="false">COUNTIFS($D$5:D1592,D1592)</f>
        <v>629</v>
      </c>
      <c r="D1592" s="121" t="s">
        <v>2006</v>
      </c>
      <c r="E1592" s="122" t="s">
        <v>3227</v>
      </c>
      <c r="F1592" s="123" t="n">
        <v>45621</v>
      </c>
      <c r="G1592" s="121" t="s">
        <v>30</v>
      </c>
      <c r="H159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A1588</v>
      </c>
      <c r="I159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B1588</v>
      </c>
      <c r="J1592" s="122" t="s">
        <v>3228</v>
      </c>
      <c r="K159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C1588</v>
      </c>
      <c r="L159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D1588</v>
      </c>
      <c r="M159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E1588</v>
      </c>
      <c r="N1592" s="122" t="s">
        <v>73</v>
      </c>
      <c r="O1592" s="126" t="n">
        <v>3500000</v>
      </c>
      <c r="P1592" s="121" t="s">
        <v>18</v>
      </c>
      <c r="Q1592" s="121" t="s">
        <v>124</v>
      </c>
      <c r="R1592" s="127"/>
      <c r="T1592" s="118"/>
    </row>
    <row r="1593" customFormat="false" ht="12.75" hidden="false" customHeight="true" outlineLevel="0" collapsed="false">
      <c r="B1593" s="119" t="n">
        <f aca="false">ROW()-4</f>
        <v>1589</v>
      </c>
      <c r="C1593" s="120" t="n">
        <f aca="false">COUNTIFS($D$5:D1593,D1593)</f>
        <v>630</v>
      </c>
      <c r="D1593" s="121" t="s">
        <v>2006</v>
      </c>
      <c r="E1593" s="122" t="s">
        <v>3229</v>
      </c>
      <c r="F1593" s="123" t="n">
        <v>45621</v>
      </c>
      <c r="G1593" s="121" t="s">
        <v>30</v>
      </c>
      <c r="H159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A1589</v>
      </c>
      <c r="I159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B1589</v>
      </c>
      <c r="J1593" s="122" t="s">
        <v>3230</v>
      </c>
      <c r="K159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C1589</v>
      </c>
      <c r="L159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D1589</v>
      </c>
      <c r="M159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E1589</v>
      </c>
      <c r="N1593" s="122" t="s">
        <v>73</v>
      </c>
      <c r="O1593" s="126" t="n">
        <v>3500000</v>
      </c>
      <c r="P1593" s="121" t="s">
        <v>18</v>
      </c>
      <c r="Q1593" s="121" t="s">
        <v>124</v>
      </c>
      <c r="R1593" s="127"/>
      <c r="T1593" s="118"/>
    </row>
    <row r="1594" customFormat="false" ht="12.75" hidden="false" customHeight="true" outlineLevel="0" collapsed="false">
      <c r="B1594" s="119" t="n">
        <f aca="false">ROW()-4</f>
        <v>1590</v>
      </c>
      <c r="C1594" s="120" t="n">
        <f aca="false">COUNTIFS($D$5:D1594,D1594)</f>
        <v>631</v>
      </c>
      <c r="D1594" s="121" t="s">
        <v>2006</v>
      </c>
      <c r="E1594" s="122" t="s">
        <v>3231</v>
      </c>
      <c r="F1594" s="123" t="n">
        <v>45642</v>
      </c>
      <c r="G1594" s="121" t="s">
        <v>26</v>
      </c>
      <c r="H159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A1590</v>
      </c>
      <c r="I159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B1590</v>
      </c>
      <c r="J1594" s="122" t="s">
        <v>3232</v>
      </c>
      <c r="K159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C1590</v>
      </c>
      <c r="L159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D1590</v>
      </c>
      <c r="M159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E1590</v>
      </c>
      <c r="N1594" s="122" t="s">
        <v>73</v>
      </c>
      <c r="O1594" s="126" t="n">
        <v>3500000</v>
      </c>
      <c r="P1594" s="121" t="s">
        <v>18</v>
      </c>
      <c r="Q1594" s="121" t="s">
        <v>124</v>
      </c>
      <c r="R1594" s="127"/>
      <c r="T1594" s="118"/>
    </row>
    <row r="1595" customFormat="false" ht="12.75" hidden="false" customHeight="true" outlineLevel="0" collapsed="false">
      <c r="B1595" s="119" t="n">
        <f aca="false">ROW()-4</f>
        <v>1591</v>
      </c>
      <c r="C1595" s="120" t="n">
        <f aca="false">COUNTIFS($D$5:D1595,D1595)</f>
        <v>632</v>
      </c>
      <c r="D1595" s="121" t="s">
        <v>2006</v>
      </c>
      <c r="E1595" s="122" t="s">
        <v>3233</v>
      </c>
      <c r="F1595" s="123" t="n">
        <v>45645</v>
      </c>
      <c r="G1595" s="121" t="s">
        <v>22</v>
      </c>
      <c r="H159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A1591</v>
      </c>
      <c r="I159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B1591</v>
      </c>
      <c r="J1595" s="122" t="s">
        <v>3234</v>
      </c>
      <c r="K159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C1591</v>
      </c>
      <c r="L159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D1591</v>
      </c>
      <c r="M159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E1591</v>
      </c>
      <c r="N1595" s="122" t="s">
        <v>73</v>
      </c>
      <c r="O1595" s="126" t="n">
        <v>3500000</v>
      </c>
      <c r="P1595" s="121" t="s">
        <v>18</v>
      </c>
      <c r="Q1595" s="121" t="s">
        <v>124</v>
      </c>
      <c r="R1595" s="127"/>
      <c r="T1595" s="118"/>
    </row>
    <row r="1596" customFormat="false" ht="12.75" hidden="false" customHeight="true" outlineLevel="0" collapsed="false">
      <c r="B1596" s="119" t="n">
        <f aca="false">ROW()-4</f>
        <v>1592</v>
      </c>
      <c r="C1596" s="120" t="n">
        <f aca="false">COUNTIFS($D$5:D1596,D1596)</f>
        <v>633</v>
      </c>
      <c r="D1596" s="121" t="s">
        <v>2006</v>
      </c>
      <c r="E1596" s="122" t="s">
        <v>3235</v>
      </c>
      <c r="F1596" s="123" t="n">
        <v>45645</v>
      </c>
      <c r="G1596" s="121" t="s">
        <v>22</v>
      </c>
      <c r="H159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A1592</v>
      </c>
      <c r="I159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B1592</v>
      </c>
      <c r="J1596" s="122" t="s">
        <v>3236</v>
      </c>
      <c r="K159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C1592</v>
      </c>
      <c r="L159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D1592</v>
      </c>
      <c r="M159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E1592</v>
      </c>
      <c r="N1596" s="122" t="s">
        <v>73</v>
      </c>
      <c r="O1596" s="126" t="n">
        <v>3500000</v>
      </c>
      <c r="P1596" s="121" t="s">
        <v>18</v>
      </c>
      <c r="Q1596" s="121" t="s">
        <v>124</v>
      </c>
      <c r="R1596" s="127"/>
      <c r="T1596" s="118"/>
    </row>
    <row r="1597" customFormat="false" ht="12.75" hidden="false" customHeight="true" outlineLevel="0" collapsed="false">
      <c r="B1597" s="119" t="n">
        <f aca="false">ROW()-4</f>
        <v>1593</v>
      </c>
      <c r="C1597" s="120" t="n">
        <f aca="false">COUNTIFS($D$5:D1597,D1597)</f>
        <v>634</v>
      </c>
      <c r="D1597" s="121" t="s">
        <v>2006</v>
      </c>
      <c r="E1597" s="122" t="s">
        <v>3237</v>
      </c>
      <c r="F1597" s="123" t="n">
        <v>45656</v>
      </c>
      <c r="G1597" s="121" t="s">
        <v>22</v>
      </c>
      <c r="H159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A1593</v>
      </c>
      <c r="I159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B1593</v>
      </c>
      <c r="J1597" s="122" t="s">
        <v>3238</v>
      </c>
      <c r="K159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C1593</v>
      </c>
      <c r="L159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D1593</v>
      </c>
      <c r="M159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E1593</v>
      </c>
      <c r="N1597" s="122" t="s">
        <v>73</v>
      </c>
      <c r="O1597" s="126" t="n">
        <v>3500000</v>
      </c>
      <c r="P1597" s="121" t="s">
        <v>18</v>
      </c>
      <c r="Q1597" s="121" t="s">
        <v>124</v>
      </c>
      <c r="R1597" s="127"/>
      <c r="T1597" s="118"/>
    </row>
    <row r="1598" customFormat="false" ht="12.75" hidden="false" customHeight="true" outlineLevel="0" collapsed="false">
      <c r="B1598" s="119" t="n">
        <f aca="false">ROW()-4</f>
        <v>1594</v>
      </c>
      <c r="C1598" s="120" t="n">
        <f aca="false">COUNTIFS($D$5:D1598,D1598)</f>
        <v>635</v>
      </c>
      <c r="D1598" s="121" t="s">
        <v>2006</v>
      </c>
      <c r="E1598" s="122" t="s">
        <v>3239</v>
      </c>
      <c r="F1598" s="123" t="n">
        <v>45645</v>
      </c>
      <c r="G1598" s="121" t="s">
        <v>28</v>
      </c>
      <c r="H159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A1594</v>
      </c>
      <c r="I159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B1594</v>
      </c>
      <c r="J1598" s="122" t="s">
        <v>3240</v>
      </c>
      <c r="K159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C1594</v>
      </c>
      <c r="L159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D1594</v>
      </c>
      <c r="M159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E1594</v>
      </c>
      <c r="N1598" s="122" t="s">
        <v>73</v>
      </c>
      <c r="O1598" s="126" t="n">
        <v>3500000</v>
      </c>
      <c r="P1598" s="121" t="s">
        <v>18</v>
      </c>
      <c r="Q1598" s="121" t="s">
        <v>124</v>
      </c>
      <c r="R1598" s="127"/>
      <c r="T1598" s="118"/>
    </row>
    <row r="1599" customFormat="false" ht="12.75" hidden="false" customHeight="true" outlineLevel="0" collapsed="false">
      <c r="B1599" s="119" t="n">
        <f aca="false">ROW()-4</f>
        <v>1595</v>
      </c>
      <c r="C1599" s="120" t="n">
        <f aca="false">COUNTIFS($D$5:D1599,D1599)</f>
        <v>636</v>
      </c>
      <c r="D1599" s="121" t="s">
        <v>2006</v>
      </c>
      <c r="E1599" s="122" t="s">
        <v>3241</v>
      </c>
      <c r="F1599" s="123" t="n">
        <v>45649</v>
      </c>
      <c r="G1599" s="121" t="s">
        <v>28</v>
      </c>
      <c r="H159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A1595</v>
      </c>
      <c r="I159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B1595</v>
      </c>
      <c r="J1599" s="122" t="s">
        <v>3242</v>
      </c>
      <c r="K159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C1595</v>
      </c>
      <c r="L159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D1595</v>
      </c>
      <c r="M159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E1595</v>
      </c>
      <c r="N1599" s="122" t="s">
        <v>73</v>
      </c>
      <c r="O1599" s="126" t="n">
        <v>3500000</v>
      </c>
      <c r="P1599" s="121" t="s">
        <v>18</v>
      </c>
      <c r="Q1599" s="121" t="s">
        <v>124</v>
      </c>
      <c r="R1599" s="127"/>
      <c r="T1599" s="118"/>
    </row>
    <row r="1600" customFormat="false" ht="12.75" hidden="false" customHeight="true" outlineLevel="0" collapsed="false">
      <c r="B1600" s="119" t="n">
        <f aca="false">ROW()-4</f>
        <v>1596</v>
      </c>
      <c r="C1600" s="120" t="n">
        <f aca="false">COUNTIFS($D$5:D1600,D1600)</f>
        <v>637</v>
      </c>
      <c r="D1600" s="121" t="s">
        <v>2006</v>
      </c>
      <c r="E1600" s="122" t="s">
        <v>3243</v>
      </c>
      <c r="F1600" s="123" t="n">
        <v>45649</v>
      </c>
      <c r="G1600" s="121" t="s">
        <v>28</v>
      </c>
      <c r="H160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A1596</v>
      </c>
      <c r="I160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B1596</v>
      </c>
      <c r="J1600" s="122" t="s">
        <v>3244</v>
      </c>
      <c r="K160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C1596</v>
      </c>
      <c r="L160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D1596</v>
      </c>
      <c r="M160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E1596</v>
      </c>
      <c r="N1600" s="122" t="s">
        <v>73</v>
      </c>
      <c r="O1600" s="126" t="n">
        <v>3500000</v>
      </c>
      <c r="P1600" s="121" t="s">
        <v>18</v>
      </c>
      <c r="Q1600" s="121" t="s">
        <v>124</v>
      </c>
      <c r="R1600" s="127"/>
      <c r="T1600" s="118"/>
    </row>
    <row r="1601" customFormat="false" ht="12.75" hidden="false" customHeight="true" outlineLevel="0" collapsed="false">
      <c r="B1601" s="119" t="n">
        <f aca="false">ROW()-4</f>
        <v>1597</v>
      </c>
      <c r="C1601" s="120" t="n">
        <f aca="false">COUNTIFS($D$5:D1601,D1601)</f>
        <v>638</v>
      </c>
      <c r="D1601" s="121" t="s">
        <v>2006</v>
      </c>
      <c r="E1601" s="122" t="s">
        <v>3245</v>
      </c>
      <c r="F1601" s="123" t="n">
        <v>45632</v>
      </c>
      <c r="G1601" s="121" t="s">
        <v>24</v>
      </c>
      <c r="H160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A1597</v>
      </c>
      <c r="I160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B1597</v>
      </c>
      <c r="J1601" s="122" t="s">
        <v>3246</v>
      </c>
      <c r="K160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C1597</v>
      </c>
      <c r="L160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D1597</v>
      </c>
      <c r="M160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E1597</v>
      </c>
      <c r="N1601" s="122" t="s">
        <v>73</v>
      </c>
      <c r="O1601" s="126" t="n">
        <v>3500000</v>
      </c>
      <c r="P1601" s="121" t="s">
        <v>18</v>
      </c>
      <c r="Q1601" s="121" t="s">
        <v>124</v>
      </c>
      <c r="R1601" s="127"/>
      <c r="T1601" s="118"/>
    </row>
    <row r="1602" customFormat="false" ht="12.75" hidden="false" customHeight="true" outlineLevel="0" collapsed="false">
      <c r="B1602" s="119" t="n">
        <f aca="false">ROW()-4</f>
        <v>1598</v>
      </c>
      <c r="C1602" s="120" t="n">
        <f aca="false">COUNTIFS($D$5:D1602,D1602)</f>
        <v>639</v>
      </c>
      <c r="D1602" s="121" t="s">
        <v>2006</v>
      </c>
      <c r="E1602" s="122" t="s">
        <v>3247</v>
      </c>
      <c r="F1602" s="123" t="n">
        <v>45632</v>
      </c>
      <c r="G1602" s="121" t="s">
        <v>24</v>
      </c>
      <c r="H160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A1598</v>
      </c>
      <c r="I160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B1598</v>
      </c>
      <c r="J1602" s="122" t="s">
        <v>3248</v>
      </c>
      <c r="K160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C1598</v>
      </c>
      <c r="L160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D1598</v>
      </c>
      <c r="M160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E1598</v>
      </c>
      <c r="N1602" s="122" t="s">
        <v>73</v>
      </c>
      <c r="O1602" s="126" t="n">
        <v>3500000</v>
      </c>
      <c r="P1602" s="121" t="s">
        <v>18</v>
      </c>
      <c r="Q1602" s="121" t="s">
        <v>124</v>
      </c>
      <c r="R1602" s="127"/>
      <c r="T1602" s="118"/>
    </row>
    <row r="1603" customFormat="false" ht="12.75" hidden="false" customHeight="true" outlineLevel="0" collapsed="false">
      <c r="B1603" s="119" t="n">
        <f aca="false">ROW()-4</f>
        <v>1599</v>
      </c>
      <c r="C1603" s="120" t="n">
        <f aca="false">COUNTIFS($D$5:D1603,D1603)</f>
        <v>640</v>
      </c>
      <c r="D1603" s="121" t="s">
        <v>2006</v>
      </c>
      <c r="E1603" s="122" t="s">
        <v>3249</v>
      </c>
      <c r="F1603" s="123" t="n">
        <v>45652</v>
      </c>
      <c r="G1603" s="121" t="s">
        <v>26</v>
      </c>
      <c r="H160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A1599</v>
      </c>
      <c r="I160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B1599</v>
      </c>
      <c r="J1603" s="122" t="s">
        <v>3250</v>
      </c>
      <c r="K160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C1599</v>
      </c>
      <c r="L160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D1599</v>
      </c>
      <c r="M160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E1599</v>
      </c>
      <c r="N1603" s="122" t="s">
        <v>73</v>
      </c>
      <c r="O1603" s="126" t="n">
        <v>3500000</v>
      </c>
      <c r="P1603" s="121" t="s">
        <v>18</v>
      </c>
      <c r="Q1603" s="121" t="s">
        <v>124</v>
      </c>
      <c r="R1603" s="127"/>
      <c r="T1603" s="118"/>
    </row>
    <row r="1604" customFormat="false" ht="12.75" hidden="false" customHeight="true" outlineLevel="0" collapsed="false">
      <c r="B1604" s="119" t="n">
        <f aca="false">ROW()-4</f>
        <v>1600</v>
      </c>
      <c r="C1604" s="120" t="n">
        <f aca="false">COUNTIFS($D$5:D1604,D1604)</f>
        <v>641</v>
      </c>
      <c r="D1604" s="121" t="s">
        <v>2006</v>
      </c>
      <c r="E1604" s="122" t="s">
        <v>3251</v>
      </c>
      <c r="F1604" s="123" t="n">
        <v>45652</v>
      </c>
      <c r="G1604" s="121" t="s">
        <v>26</v>
      </c>
      <c r="H160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A1600</v>
      </c>
      <c r="I160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B1600</v>
      </c>
      <c r="J1604" s="122" t="s">
        <v>3252</v>
      </c>
      <c r="K160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C1600</v>
      </c>
      <c r="L160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D1600</v>
      </c>
      <c r="M160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E1600</v>
      </c>
      <c r="N1604" s="122" t="s">
        <v>73</v>
      </c>
      <c r="O1604" s="126" t="n">
        <v>3500000</v>
      </c>
      <c r="P1604" s="121" t="s">
        <v>18</v>
      </c>
      <c r="Q1604" s="121" t="s">
        <v>124</v>
      </c>
      <c r="R1604" s="127"/>
      <c r="T1604" s="118"/>
    </row>
    <row r="1605" customFormat="false" ht="12.75" hidden="false" customHeight="true" outlineLevel="0" collapsed="false">
      <c r="B1605" s="119" t="n">
        <f aca="false">ROW()-4</f>
        <v>1601</v>
      </c>
      <c r="C1605" s="120" t="n">
        <f aca="false">COUNTIFS($D$5:D1605,D1605)</f>
        <v>642</v>
      </c>
      <c r="D1605" s="121" t="s">
        <v>2006</v>
      </c>
      <c r="E1605" s="122" t="s">
        <v>3253</v>
      </c>
      <c r="F1605" s="123" t="n">
        <v>45652</v>
      </c>
      <c r="G1605" s="121" t="s">
        <v>22</v>
      </c>
      <c r="H160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A1601</v>
      </c>
      <c r="I160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B1601</v>
      </c>
      <c r="J1605" s="122" t="s">
        <v>3254</v>
      </c>
      <c r="K160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C1601</v>
      </c>
      <c r="L160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D1601</v>
      </c>
      <c r="M160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E1601</v>
      </c>
      <c r="N1605" s="122" t="s">
        <v>73</v>
      </c>
      <c r="O1605" s="126" t="n">
        <v>3500000</v>
      </c>
      <c r="P1605" s="121" t="s">
        <v>18</v>
      </c>
      <c r="Q1605" s="121" t="s">
        <v>124</v>
      </c>
      <c r="R1605" s="127"/>
      <c r="T1605" s="118"/>
    </row>
    <row r="1606" customFormat="false" ht="12.75" hidden="false" customHeight="true" outlineLevel="0" collapsed="false">
      <c r="B1606" s="119" t="n">
        <f aca="false">ROW()-4</f>
        <v>1602</v>
      </c>
      <c r="C1606" s="120" t="n">
        <f aca="false">COUNTIFS($D$5:D1606,D1606)</f>
        <v>643</v>
      </c>
      <c r="D1606" s="121" t="s">
        <v>2006</v>
      </c>
      <c r="E1606" s="122" t="s">
        <v>3255</v>
      </c>
      <c r="F1606" s="123" t="n">
        <v>45652</v>
      </c>
      <c r="G1606" s="121" t="s">
        <v>22</v>
      </c>
      <c r="H160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A1602</v>
      </c>
      <c r="I160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B1602</v>
      </c>
      <c r="J1606" s="122" t="s">
        <v>3256</v>
      </c>
      <c r="K160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C1602</v>
      </c>
      <c r="L160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D1602</v>
      </c>
      <c r="M160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E1602</v>
      </c>
      <c r="N1606" s="122" t="s">
        <v>73</v>
      </c>
      <c r="O1606" s="126" t="n">
        <v>3500000</v>
      </c>
      <c r="P1606" s="121" t="s">
        <v>18</v>
      </c>
      <c r="Q1606" s="121" t="s">
        <v>124</v>
      </c>
      <c r="R1606" s="127"/>
      <c r="T1606" s="118"/>
    </row>
    <row r="1607" customFormat="false" ht="12.75" hidden="false" customHeight="true" outlineLevel="0" collapsed="false">
      <c r="B1607" s="119" t="n">
        <f aca="false">ROW()-4</f>
        <v>1603</v>
      </c>
      <c r="C1607" s="120" t="n">
        <f aca="false">COUNTIFS($D$5:D1607,D1607)</f>
        <v>644</v>
      </c>
      <c r="D1607" s="121" t="s">
        <v>2006</v>
      </c>
      <c r="E1607" s="122" t="s">
        <v>3257</v>
      </c>
      <c r="F1607" s="123" t="n">
        <v>45700</v>
      </c>
      <c r="G1607" s="121" t="s">
        <v>30</v>
      </c>
      <c r="H160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A1603</v>
      </c>
      <c r="I160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B1603</v>
      </c>
      <c r="J1607" s="122" t="s">
        <v>3258</v>
      </c>
      <c r="K160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C1603</v>
      </c>
      <c r="L160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D1603</v>
      </c>
      <c r="M160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E1603</v>
      </c>
      <c r="N1607" s="122" t="s">
        <v>73</v>
      </c>
      <c r="O1607" s="126" t="n">
        <v>3500000</v>
      </c>
      <c r="P1607" s="121" t="s">
        <v>18</v>
      </c>
      <c r="Q1607" s="121" t="s">
        <v>124</v>
      </c>
      <c r="R1607" s="127"/>
      <c r="T1607" s="118"/>
    </row>
    <row r="1608" customFormat="false" ht="12.75" hidden="false" customHeight="true" outlineLevel="0" collapsed="false">
      <c r="B1608" s="119" t="n">
        <f aca="false">ROW()-4</f>
        <v>1604</v>
      </c>
      <c r="C1608" s="120" t="n">
        <f aca="false">COUNTIFS($D$5:D1608,D1608)</f>
        <v>645</v>
      </c>
      <c r="D1608" s="121" t="s">
        <v>2006</v>
      </c>
      <c r="E1608" s="122" t="s">
        <v>3259</v>
      </c>
      <c r="F1608" s="123" t="n">
        <v>45652</v>
      </c>
      <c r="G1608" s="121" t="s">
        <v>22</v>
      </c>
      <c r="H160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A1604</v>
      </c>
      <c r="I160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B1604</v>
      </c>
      <c r="J1608" s="122" t="s">
        <v>3260</v>
      </c>
      <c r="K160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C1604</v>
      </c>
      <c r="L160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D1604</v>
      </c>
      <c r="M160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E1604</v>
      </c>
      <c r="N1608" s="122" t="s">
        <v>73</v>
      </c>
      <c r="O1608" s="126" t="n">
        <v>3500000</v>
      </c>
      <c r="P1608" s="121" t="s">
        <v>18</v>
      </c>
      <c r="Q1608" s="121" t="s">
        <v>124</v>
      </c>
      <c r="R1608" s="127"/>
      <c r="T1608" s="118"/>
    </row>
    <row r="1609" customFormat="false" ht="12.75" hidden="false" customHeight="true" outlineLevel="0" collapsed="false">
      <c r="B1609" s="119" t="n">
        <f aca="false">ROW()-4</f>
        <v>1605</v>
      </c>
      <c r="C1609" s="120" t="n">
        <f aca="false">COUNTIFS($D$5:D1609,D1609)</f>
        <v>646</v>
      </c>
      <c r="D1609" s="121" t="s">
        <v>2006</v>
      </c>
      <c r="E1609" s="122" t="s">
        <v>3261</v>
      </c>
      <c r="F1609" s="123" t="n">
        <v>45656</v>
      </c>
      <c r="G1609" s="121" t="s">
        <v>22</v>
      </c>
      <c r="H160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A1605</v>
      </c>
      <c r="I160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B1605</v>
      </c>
      <c r="J1609" s="122" t="s">
        <v>3262</v>
      </c>
      <c r="K160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C1605</v>
      </c>
      <c r="L160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D1605</v>
      </c>
      <c r="M160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E1605</v>
      </c>
      <c r="N1609" s="122" t="s">
        <v>73</v>
      </c>
      <c r="O1609" s="126" t="n">
        <v>3500000</v>
      </c>
      <c r="P1609" s="121" t="s">
        <v>18</v>
      </c>
      <c r="Q1609" s="121" t="s">
        <v>124</v>
      </c>
      <c r="R1609" s="127"/>
      <c r="T1609" s="118"/>
    </row>
    <row r="1610" customFormat="false" ht="12.75" hidden="false" customHeight="true" outlineLevel="0" collapsed="false">
      <c r="B1610" s="140" t="n">
        <f aca="false">ROW()-4</f>
        <v>1606</v>
      </c>
      <c r="C1610" s="141" t="n">
        <f aca="false">COUNTIFS($D$5:D1610,D1610)</f>
        <v>647</v>
      </c>
      <c r="D1610" s="142" t="s">
        <v>2006</v>
      </c>
      <c r="E1610" s="143" t="s">
        <v>3263</v>
      </c>
      <c r="F1610" s="144" t="n">
        <v>46062</v>
      </c>
      <c r="G1610" s="142" t="s">
        <v>22</v>
      </c>
      <c r="H1610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A1606</v>
      </c>
      <c r="I1610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B1606</v>
      </c>
      <c r="J1610" s="143" t="s">
        <v>3264</v>
      </c>
      <c r="K1610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C1606</v>
      </c>
      <c r="L1610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D1606</v>
      </c>
      <c r="M1610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E1606</v>
      </c>
      <c r="N1610" s="143" t="s">
        <v>73</v>
      </c>
      <c r="O1610" s="146" t="n">
        <v>3500000</v>
      </c>
      <c r="P1610" s="142" t="s">
        <v>907</v>
      </c>
      <c r="Q1610" s="143" t="s">
        <v>908</v>
      </c>
      <c r="R1610" s="147"/>
      <c r="T1610" s="118"/>
    </row>
    <row r="1611" customFormat="false" ht="12.75" hidden="false" customHeight="true" outlineLevel="0" collapsed="false">
      <c r="B1611" s="140" t="n">
        <f aca="false">ROW()-4</f>
        <v>1607</v>
      </c>
      <c r="C1611" s="141" t="n">
        <f aca="false">COUNTIFS($D$5:D1611,D1611)</f>
        <v>648</v>
      </c>
      <c r="D1611" s="142" t="s">
        <v>2006</v>
      </c>
      <c r="E1611" s="143" t="s">
        <v>3265</v>
      </c>
      <c r="F1611" s="144" t="n">
        <v>46062</v>
      </c>
      <c r="G1611" s="142" t="s">
        <v>22</v>
      </c>
      <c r="H1611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A1607</v>
      </c>
      <c r="I1611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B1607</v>
      </c>
      <c r="J1611" s="143" t="s">
        <v>3266</v>
      </c>
      <c r="K1611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C1607</v>
      </c>
      <c r="L1611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D1607</v>
      </c>
      <c r="M1611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E1607</v>
      </c>
      <c r="N1611" s="143" t="s">
        <v>73</v>
      </c>
      <c r="O1611" s="146" t="n">
        <v>3500000</v>
      </c>
      <c r="P1611" s="142" t="s">
        <v>1533</v>
      </c>
      <c r="Q1611" s="143" t="s">
        <v>908</v>
      </c>
      <c r="R1611" s="147"/>
      <c r="T1611" s="118"/>
    </row>
    <row r="1612" customFormat="false" ht="12.75" hidden="false" customHeight="true" outlineLevel="0" collapsed="false">
      <c r="B1612" s="119" t="n">
        <f aca="false">ROW()-4</f>
        <v>1608</v>
      </c>
      <c r="C1612" s="120" t="n">
        <f aca="false">COUNTIFS($D$5:D1612,D1612)</f>
        <v>649</v>
      </c>
      <c r="D1612" s="121" t="s">
        <v>2006</v>
      </c>
      <c r="E1612" s="122" t="s">
        <v>3267</v>
      </c>
      <c r="F1612" s="123" t="n">
        <v>45636</v>
      </c>
      <c r="G1612" s="121" t="s">
        <v>22</v>
      </c>
      <c r="H161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A1608</v>
      </c>
      <c r="I161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B1608</v>
      </c>
      <c r="J1612" s="122" t="s">
        <v>3268</v>
      </c>
      <c r="K161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C1608</v>
      </c>
      <c r="L161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D1608</v>
      </c>
      <c r="M161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E1608</v>
      </c>
      <c r="N1612" s="122" t="s">
        <v>73</v>
      </c>
      <c r="O1612" s="126" t="n">
        <v>3500000</v>
      </c>
      <c r="P1612" s="121" t="s">
        <v>18</v>
      </c>
      <c r="Q1612" s="121" t="s">
        <v>124</v>
      </c>
      <c r="R1612" s="127"/>
      <c r="T1612" s="118"/>
    </row>
    <row r="1613" customFormat="false" ht="12.75" hidden="false" customHeight="true" outlineLevel="0" collapsed="false">
      <c r="B1613" s="119" t="n">
        <f aca="false">ROW()-4</f>
        <v>1609</v>
      </c>
      <c r="C1613" s="120" t="n">
        <f aca="false">COUNTIFS($D$5:D1613,D1613)</f>
        <v>650</v>
      </c>
      <c r="D1613" s="121" t="s">
        <v>2006</v>
      </c>
      <c r="E1613" s="122" t="s">
        <v>3269</v>
      </c>
      <c r="F1613" s="123" t="n">
        <v>45636</v>
      </c>
      <c r="G1613" s="121" t="s">
        <v>22</v>
      </c>
      <c r="H161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A1609</v>
      </c>
      <c r="I161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B1609</v>
      </c>
      <c r="J1613" s="122" t="s">
        <v>3270</v>
      </c>
      <c r="K161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C1609</v>
      </c>
      <c r="L161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D1609</v>
      </c>
      <c r="M161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E1609</v>
      </c>
      <c r="N1613" s="122" t="s">
        <v>73</v>
      </c>
      <c r="O1613" s="126" t="n">
        <v>3500000</v>
      </c>
      <c r="P1613" s="121" t="s">
        <v>18</v>
      </c>
      <c r="Q1613" s="121" t="s">
        <v>124</v>
      </c>
      <c r="R1613" s="127"/>
      <c r="T1613" s="118"/>
    </row>
    <row r="1614" customFormat="false" ht="12.75" hidden="false" customHeight="true" outlineLevel="0" collapsed="false">
      <c r="B1614" s="119" t="n">
        <f aca="false">ROW()-4</f>
        <v>1610</v>
      </c>
      <c r="C1614" s="120" t="n">
        <f aca="false">COUNTIFS($D$5:D1614,D1614)</f>
        <v>651</v>
      </c>
      <c r="D1614" s="121" t="s">
        <v>2006</v>
      </c>
      <c r="E1614" s="122" t="s">
        <v>3271</v>
      </c>
      <c r="F1614" s="123" t="n">
        <v>45665</v>
      </c>
      <c r="G1614" s="121" t="s">
        <v>24</v>
      </c>
      <c r="H161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A1610</v>
      </c>
      <c r="I161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B1610</v>
      </c>
      <c r="J1614" s="122" t="s">
        <v>3272</v>
      </c>
      <c r="K161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C1610</v>
      </c>
      <c r="L161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D1610</v>
      </c>
      <c r="M161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E1610</v>
      </c>
      <c r="N1614" s="122" t="s">
        <v>73</v>
      </c>
      <c r="O1614" s="126" t="n">
        <v>3500000</v>
      </c>
      <c r="P1614" s="121" t="s">
        <v>18</v>
      </c>
      <c r="Q1614" s="121" t="s">
        <v>124</v>
      </c>
      <c r="R1614" s="127"/>
      <c r="T1614" s="118"/>
    </row>
    <row r="1615" customFormat="false" ht="12.75" hidden="false" customHeight="true" outlineLevel="0" collapsed="false">
      <c r="B1615" s="119" t="n">
        <f aca="false">ROW()-4</f>
        <v>1611</v>
      </c>
      <c r="C1615" s="120" t="n">
        <f aca="false">COUNTIFS($D$5:D1615,D1615)</f>
        <v>652</v>
      </c>
      <c r="D1615" s="121" t="s">
        <v>2006</v>
      </c>
      <c r="E1615" s="122" t="s">
        <v>3273</v>
      </c>
      <c r="F1615" s="123" t="n">
        <v>45663</v>
      </c>
      <c r="G1615" s="121" t="s">
        <v>22</v>
      </c>
      <c r="H161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A1611</v>
      </c>
      <c r="I161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B1611</v>
      </c>
      <c r="J1615" s="122" t="s">
        <v>3274</v>
      </c>
      <c r="K161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C1611</v>
      </c>
      <c r="L161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D1611</v>
      </c>
      <c r="M161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E1611</v>
      </c>
      <c r="N1615" s="122" t="s">
        <v>73</v>
      </c>
      <c r="O1615" s="126" t="n">
        <v>3500000</v>
      </c>
      <c r="P1615" s="121" t="s">
        <v>18</v>
      </c>
      <c r="Q1615" s="121" t="s">
        <v>124</v>
      </c>
      <c r="R1615" s="127"/>
      <c r="T1615" s="118"/>
    </row>
    <row r="1616" customFormat="false" ht="12.75" hidden="false" customHeight="true" outlineLevel="0" collapsed="false">
      <c r="B1616" s="119" t="n">
        <f aca="false">ROW()-4</f>
        <v>1612</v>
      </c>
      <c r="C1616" s="120" t="n">
        <f aca="false">COUNTIFS($D$5:D1616,D1616)</f>
        <v>653</v>
      </c>
      <c r="D1616" s="121" t="s">
        <v>2006</v>
      </c>
      <c r="E1616" s="122" t="s">
        <v>3275</v>
      </c>
      <c r="F1616" s="123" t="n">
        <v>45663</v>
      </c>
      <c r="G1616" s="121" t="s">
        <v>22</v>
      </c>
      <c r="H161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A1612</v>
      </c>
      <c r="I161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B1612</v>
      </c>
      <c r="J1616" s="122" t="s">
        <v>3276</v>
      </c>
      <c r="K161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C1612</v>
      </c>
      <c r="L161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D1612</v>
      </c>
      <c r="M161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E1612</v>
      </c>
      <c r="N1616" s="122" t="s">
        <v>73</v>
      </c>
      <c r="O1616" s="126" t="n">
        <v>3500000</v>
      </c>
      <c r="P1616" s="121" t="s">
        <v>18</v>
      </c>
      <c r="Q1616" s="121" t="s">
        <v>124</v>
      </c>
      <c r="R1616" s="127"/>
      <c r="T1616" s="118"/>
    </row>
    <row r="1617" customFormat="false" ht="12.75" hidden="false" customHeight="true" outlineLevel="0" collapsed="false">
      <c r="B1617" s="119" t="n">
        <f aca="false">ROW()-4</f>
        <v>1613</v>
      </c>
      <c r="C1617" s="120" t="n">
        <f aca="false">COUNTIFS($D$5:D1617,D1617)</f>
        <v>654</v>
      </c>
      <c r="D1617" s="121" t="s">
        <v>2006</v>
      </c>
      <c r="E1617" s="122" t="s">
        <v>3277</v>
      </c>
      <c r="F1617" s="123" t="n">
        <v>45667</v>
      </c>
      <c r="G1617" s="121" t="s">
        <v>26</v>
      </c>
      <c r="H161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A1613</v>
      </c>
      <c r="I161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B1613</v>
      </c>
      <c r="J1617" s="122" t="s">
        <v>3278</v>
      </c>
      <c r="K161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C1613</v>
      </c>
      <c r="L161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D1613</v>
      </c>
      <c r="M161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E1613</v>
      </c>
      <c r="N1617" s="122" t="s">
        <v>73</v>
      </c>
      <c r="O1617" s="126" t="n">
        <v>3500000</v>
      </c>
      <c r="P1617" s="121" t="s">
        <v>18</v>
      </c>
      <c r="Q1617" s="121" t="s">
        <v>124</v>
      </c>
      <c r="R1617" s="127"/>
      <c r="T1617" s="118"/>
    </row>
    <row r="1618" customFormat="false" ht="12.75" hidden="false" customHeight="true" outlineLevel="0" collapsed="false">
      <c r="B1618" s="119" t="n">
        <f aca="false">ROW()-4</f>
        <v>1614</v>
      </c>
      <c r="C1618" s="120" t="n">
        <f aca="false">COUNTIFS($D$5:D1618,D1618)</f>
        <v>655</v>
      </c>
      <c r="D1618" s="121" t="s">
        <v>2006</v>
      </c>
      <c r="E1618" s="122" t="s">
        <v>3279</v>
      </c>
      <c r="F1618" s="123" t="n">
        <v>45667</v>
      </c>
      <c r="G1618" s="121" t="s">
        <v>26</v>
      </c>
      <c r="H161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A1614</v>
      </c>
      <c r="I161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B1614</v>
      </c>
      <c r="J1618" s="122" t="s">
        <v>3280</v>
      </c>
      <c r="K161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C1614</v>
      </c>
      <c r="L161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D1614</v>
      </c>
      <c r="M161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E1614</v>
      </c>
      <c r="N1618" s="122" t="s">
        <v>73</v>
      </c>
      <c r="O1618" s="126" t="n">
        <v>3500000</v>
      </c>
      <c r="P1618" s="121" t="s">
        <v>18</v>
      </c>
      <c r="Q1618" s="121" t="s">
        <v>124</v>
      </c>
      <c r="R1618" s="127"/>
      <c r="T1618" s="118"/>
    </row>
    <row r="1619" customFormat="false" ht="12.75" hidden="false" customHeight="true" outlineLevel="0" collapsed="false">
      <c r="B1619" s="119" t="n">
        <f aca="false">ROW()-4</f>
        <v>1615</v>
      </c>
      <c r="C1619" s="120" t="n">
        <f aca="false">COUNTIFS($D$5:D1619,D1619)</f>
        <v>656</v>
      </c>
      <c r="D1619" s="121" t="s">
        <v>2006</v>
      </c>
      <c r="E1619" s="122" t="s">
        <v>3281</v>
      </c>
      <c r="F1619" s="123" t="n">
        <v>45670</v>
      </c>
      <c r="G1619" s="121" t="s">
        <v>30</v>
      </c>
      <c r="H161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A1615</v>
      </c>
      <c r="I161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B1615</v>
      </c>
      <c r="J1619" s="122" t="s">
        <v>3282</v>
      </c>
      <c r="K161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C1615</v>
      </c>
      <c r="L161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D1615</v>
      </c>
      <c r="M161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E1615</v>
      </c>
      <c r="N1619" s="122" t="s">
        <v>73</v>
      </c>
      <c r="O1619" s="126" t="n">
        <v>3500000</v>
      </c>
      <c r="P1619" s="121" t="s">
        <v>18</v>
      </c>
      <c r="Q1619" s="121" t="s">
        <v>124</v>
      </c>
      <c r="R1619" s="127"/>
      <c r="T1619" s="118"/>
    </row>
    <row r="1620" customFormat="false" ht="12.75" hidden="false" customHeight="true" outlineLevel="0" collapsed="false">
      <c r="B1620" s="119" t="n">
        <f aca="false">ROW()-4</f>
        <v>1616</v>
      </c>
      <c r="C1620" s="120" t="n">
        <f aca="false">COUNTIFS($D$5:D1620,D1620)</f>
        <v>657</v>
      </c>
      <c r="D1620" s="121" t="s">
        <v>2006</v>
      </c>
      <c r="E1620" s="122" t="s">
        <v>3283</v>
      </c>
      <c r="F1620" s="123" t="n">
        <v>45660</v>
      </c>
      <c r="G1620" s="121" t="s">
        <v>28</v>
      </c>
      <c r="H162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A1616</v>
      </c>
      <c r="I162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B1616</v>
      </c>
      <c r="J1620" s="122" t="s">
        <v>3284</v>
      </c>
      <c r="K162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C1616</v>
      </c>
      <c r="L162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D1616</v>
      </c>
      <c r="M162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E1616</v>
      </c>
      <c r="N1620" s="122" t="s">
        <v>73</v>
      </c>
      <c r="O1620" s="126" t="n">
        <v>3500000</v>
      </c>
      <c r="P1620" s="121" t="s">
        <v>18</v>
      </c>
      <c r="Q1620" s="121" t="s">
        <v>124</v>
      </c>
      <c r="R1620" s="127"/>
      <c r="T1620" s="118"/>
    </row>
    <row r="1621" customFormat="false" ht="12.75" hidden="false" customHeight="true" outlineLevel="0" collapsed="false">
      <c r="B1621" s="119" t="n">
        <f aca="false">ROW()-4</f>
        <v>1617</v>
      </c>
      <c r="C1621" s="120" t="n">
        <f aca="false">COUNTIFS($D$5:D1621,D1621)</f>
        <v>658</v>
      </c>
      <c r="D1621" s="121" t="s">
        <v>2006</v>
      </c>
      <c r="E1621" s="122" t="s">
        <v>3285</v>
      </c>
      <c r="F1621" s="137" t="n">
        <v>45908</v>
      </c>
      <c r="G1621" s="138" t="s">
        <v>30</v>
      </c>
      <c r="H1621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A1617</v>
      </c>
      <c r="I1621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B1617</v>
      </c>
      <c r="J1621" s="124" t="s">
        <v>3286</v>
      </c>
      <c r="K1621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C1617</v>
      </c>
      <c r="L1621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D1617</v>
      </c>
      <c r="M162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E1617</v>
      </c>
      <c r="N1621" s="122" t="s">
        <v>73</v>
      </c>
      <c r="O1621" s="126" t="n">
        <v>3500000</v>
      </c>
      <c r="P1621" s="121" t="s">
        <v>18</v>
      </c>
      <c r="Q1621" s="121" t="s">
        <v>124</v>
      </c>
      <c r="R1621" s="127"/>
      <c r="T1621" s="118"/>
    </row>
    <row r="1622" customFormat="false" ht="12.75" hidden="false" customHeight="true" outlineLevel="0" collapsed="false">
      <c r="B1622" s="119" t="n">
        <f aca="false">ROW()-4</f>
        <v>1618</v>
      </c>
      <c r="C1622" s="120" t="n">
        <f aca="false">COUNTIFS($D$5:D1622,D1622)</f>
        <v>659</v>
      </c>
      <c r="D1622" s="121" t="s">
        <v>2006</v>
      </c>
      <c r="E1622" s="122" t="s">
        <v>3287</v>
      </c>
      <c r="F1622" s="123" t="n">
        <v>45665</v>
      </c>
      <c r="G1622" s="121" t="s">
        <v>22</v>
      </c>
      <c r="H162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A1618</v>
      </c>
      <c r="I162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B1618</v>
      </c>
      <c r="J1622" s="122" t="s">
        <v>3288</v>
      </c>
      <c r="K162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C1618</v>
      </c>
      <c r="L162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D1618</v>
      </c>
      <c r="M162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E1618</v>
      </c>
      <c r="N1622" s="122" t="s">
        <v>73</v>
      </c>
      <c r="O1622" s="126" t="n">
        <v>3500000</v>
      </c>
      <c r="P1622" s="121" t="s">
        <v>18</v>
      </c>
      <c r="Q1622" s="121" t="s">
        <v>124</v>
      </c>
      <c r="R1622" s="127"/>
      <c r="T1622" s="118"/>
    </row>
    <row r="1623" customFormat="false" ht="12.75" hidden="false" customHeight="true" outlineLevel="0" collapsed="false">
      <c r="B1623" s="119" t="n">
        <f aca="false">ROW()-4</f>
        <v>1619</v>
      </c>
      <c r="C1623" s="120" t="n">
        <f aca="false">COUNTIFS($D$5:D1623,D1623)</f>
        <v>660</v>
      </c>
      <c r="D1623" s="121" t="s">
        <v>2006</v>
      </c>
      <c r="E1623" s="122" t="s">
        <v>3289</v>
      </c>
      <c r="F1623" s="123" t="n">
        <v>45663</v>
      </c>
      <c r="G1623" s="121" t="s">
        <v>22</v>
      </c>
      <c r="H162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A1619</v>
      </c>
      <c r="I162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B1619</v>
      </c>
      <c r="J1623" s="122" t="s">
        <v>3290</v>
      </c>
      <c r="K162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C1619</v>
      </c>
      <c r="L162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D1619</v>
      </c>
      <c r="M162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E1619</v>
      </c>
      <c r="N1623" s="122" t="s">
        <v>73</v>
      </c>
      <c r="O1623" s="126" t="n">
        <v>3500000</v>
      </c>
      <c r="P1623" s="121" t="s">
        <v>18</v>
      </c>
      <c r="Q1623" s="121" t="s">
        <v>124</v>
      </c>
      <c r="R1623" s="127"/>
      <c r="T1623" s="118"/>
    </row>
    <row r="1624" customFormat="false" ht="12.75" hidden="false" customHeight="true" outlineLevel="0" collapsed="false">
      <c r="B1624" s="119" t="n">
        <f aca="false">ROW()-4</f>
        <v>1620</v>
      </c>
      <c r="C1624" s="120" t="n">
        <f aca="false">COUNTIFS($D$5:D1624,D1624)</f>
        <v>661</v>
      </c>
      <c r="D1624" s="121" t="s">
        <v>2006</v>
      </c>
      <c r="E1624" s="122" t="s">
        <v>3291</v>
      </c>
      <c r="F1624" s="123" t="n">
        <v>45663</v>
      </c>
      <c r="G1624" s="121" t="s">
        <v>22</v>
      </c>
      <c r="H162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A1620</v>
      </c>
      <c r="I162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B1620</v>
      </c>
      <c r="J1624" s="122" t="s">
        <v>3292</v>
      </c>
      <c r="K162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C1620</v>
      </c>
      <c r="L162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D1620</v>
      </c>
      <c r="M162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E1620</v>
      </c>
      <c r="N1624" s="122" t="s">
        <v>73</v>
      </c>
      <c r="O1624" s="126" t="n">
        <v>3500000</v>
      </c>
      <c r="P1624" s="121" t="s">
        <v>18</v>
      </c>
      <c r="Q1624" s="121" t="s">
        <v>124</v>
      </c>
      <c r="R1624" s="127"/>
      <c r="T1624" s="118"/>
    </row>
    <row r="1625" customFormat="false" ht="12.75" hidden="false" customHeight="true" outlineLevel="0" collapsed="false">
      <c r="B1625" s="119" t="n">
        <f aca="false">ROW()-4</f>
        <v>1621</v>
      </c>
      <c r="C1625" s="120" t="n">
        <f aca="false">COUNTIFS($D$5:D1625,D1625)</f>
        <v>662</v>
      </c>
      <c r="D1625" s="121" t="s">
        <v>2006</v>
      </c>
      <c r="E1625" s="122" t="s">
        <v>3293</v>
      </c>
      <c r="F1625" s="123" t="n">
        <v>45678</v>
      </c>
      <c r="G1625" s="121" t="s">
        <v>30</v>
      </c>
      <c r="H162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A1621</v>
      </c>
      <c r="I162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B1621</v>
      </c>
      <c r="J1625" s="122" t="s">
        <v>3294</v>
      </c>
      <c r="K162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C1621</v>
      </c>
      <c r="L162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D1621</v>
      </c>
      <c r="M162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E1621</v>
      </c>
      <c r="N1625" s="122" t="s">
        <v>73</v>
      </c>
      <c r="O1625" s="126" t="n">
        <v>3500000</v>
      </c>
      <c r="P1625" s="121" t="s">
        <v>18</v>
      </c>
      <c r="Q1625" s="121" t="s">
        <v>124</v>
      </c>
      <c r="R1625" s="127"/>
      <c r="T1625" s="118"/>
    </row>
    <row r="1626" customFormat="false" ht="12.75" hidden="false" customHeight="true" outlineLevel="0" collapsed="false">
      <c r="B1626" s="119" t="n">
        <f aca="false">ROW()-4</f>
        <v>1622</v>
      </c>
      <c r="C1626" s="120" t="n">
        <f aca="false">COUNTIFS($D$5:D1626,D1626)</f>
        <v>663</v>
      </c>
      <c r="D1626" s="121" t="s">
        <v>2006</v>
      </c>
      <c r="E1626" s="122" t="s">
        <v>3295</v>
      </c>
      <c r="F1626" s="123" t="n">
        <v>45678</v>
      </c>
      <c r="G1626" s="121" t="s">
        <v>30</v>
      </c>
      <c r="H162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A1622</v>
      </c>
      <c r="I162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B1622</v>
      </c>
      <c r="J1626" s="122" t="s">
        <v>3296</v>
      </c>
      <c r="K162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C1622</v>
      </c>
      <c r="L162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D1622</v>
      </c>
      <c r="M162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E1622</v>
      </c>
      <c r="N1626" s="122" t="s">
        <v>73</v>
      </c>
      <c r="O1626" s="126" t="n">
        <v>3500000</v>
      </c>
      <c r="P1626" s="121" t="s">
        <v>18</v>
      </c>
      <c r="Q1626" s="121" t="s">
        <v>124</v>
      </c>
      <c r="R1626" s="127"/>
      <c r="T1626" s="118"/>
    </row>
    <row r="1627" customFormat="false" ht="12.75" hidden="false" customHeight="true" outlineLevel="0" collapsed="false">
      <c r="B1627" s="119" t="n">
        <f aca="false">ROW()-4</f>
        <v>1623</v>
      </c>
      <c r="C1627" s="120" t="n">
        <f aca="false">COUNTIFS($D$5:D1627,D1627)</f>
        <v>664</v>
      </c>
      <c r="D1627" s="121" t="s">
        <v>2006</v>
      </c>
      <c r="E1627" s="122" t="s">
        <v>3297</v>
      </c>
      <c r="F1627" s="123" t="n">
        <v>45702</v>
      </c>
      <c r="G1627" s="121" t="s">
        <v>22</v>
      </c>
      <c r="H162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A1623</v>
      </c>
      <c r="I162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B1623</v>
      </c>
      <c r="J1627" s="122" t="s">
        <v>3298</v>
      </c>
      <c r="K162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C1623</v>
      </c>
      <c r="L162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D1623</v>
      </c>
      <c r="M162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E1623</v>
      </c>
      <c r="N1627" s="122" t="s">
        <v>73</v>
      </c>
      <c r="O1627" s="126" t="n">
        <v>3500000</v>
      </c>
      <c r="P1627" s="121" t="s">
        <v>18</v>
      </c>
      <c r="Q1627" s="121" t="s">
        <v>124</v>
      </c>
      <c r="R1627" s="127"/>
      <c r="T1627" s="118"/>
    </row>
    <row r="1628" customFormat="false" ht="12.75" hidden="false" customHeight="true" outlineLevel="0" collapsed="false">
      <c r="B1628" s="119" t="n">
        <f aca="false">ROW()-4</f>
        <v>1624</v>
      </c>
      <c r="C1628" s="120" t="n">
        <f aca="false">COUNTIFS($D$5:D1628,D1628)</f>
        <v>665</v>
      </c>
      <c r="D1628" s="121" t="s">
        <v>2006</v>
      </c>
      <c r="E1628" s="122" t="s">
        <v>3299</v>
      </c>
      <c r="F1628" s="123" t="n">
        <v>45708</v>
      </c>
      <c r="G1628" s="121" t="s">
        <v>22</v>
      </c>
      <c r="H162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A1624</v>
      </c>
      <c r="I162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B1624</v>
      </c>
      <c r="J1628" s="122" t="s">
        <v>3300</v>
      </c>
      <c r="K162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C1624</v>
      </c>
      <c r="L162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D1624</v>
      </c>
      <c r="M162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E1624</v>
      </c>
      <c r="N1628" s="122" t="s">
        <v>73</v>
      </c>
      <c r="O1628" s="126" t="n">
        <v>3500000</v>
      </c>
      <c r="P1628" s="121" t="s">
        <v>18</v>
      </c>
      <c r="Q1628" s="121" t="s">
        <v>124</v>
      </c>
      <c r="R1628" s="127"/>
      <c r="T1628" s="118"/>
    </row>
    <row r="1629" customFormat="false" ht="12.75" hidden="false" customHeight="true" outlineLevel="0" collapsed="false">
      <c r="B1629" s="119" t="n">
        <f aca="false">ROW()-4</f>
        <v>1625</v>
      </c>
      <c r="C1629" s="120" t="n">
        <f aca="false">COUNTIFS($D$5:D1629,D1629)</f>
        <v>666</v>
      </c>
      <c r="D1629" s="121" t="s">
        <v>2006</v>
      </c>
      <c r="E1629" s="122" t="s">
        <v>3301</v>
      </c>
      <c r="F1629" s="123" t="n">
        <v>45702</v>
      </c>
      <c r="G1629" s="121" t="s">
        <v>22</v>
      </c>
      <c r="H162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A1625</v>
      </c>
      <c r="I162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B1625</v>
      </c>
      <c r="J1629" s="122" t="s">
        <v>3302</v>
      </c>
      <c r="K162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C1625</v>
      </c>
      <c r="L162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D1625</v>
      </c>
      <c r="M162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E1625</v>
      </c>
      <c r="N1629" s="122" t="s">
        <v>73</v>
      </c>
      <c r="O1629" s="126" t="n">
        <v>3500000</v>
      </c>
      <c r="P1629" s="121" t="s">
        <v>18</v>
      </c>
      <c r="Q1629" s="121" t="s">
        <v>124</v>
      </c>
      <c r="R1629" s="127"/>
      <c r="T1629" s="118"/>
    </row>
    <row r="1630" customFormat="false" ht="12.75" hidden="false" customHeight="true" outlineLevel="0" collapsed="false">
      <c r="B1630" s="119" t="n">
        <f aca="false">ROW()-4</f>
        <v>1626</v>
      </c>
      <c r="C1630" s="120" t="n">
        <f aca="false">COUNTIFS($D$5:D1630,D1630)</f>
        <v>667</v>
      </c>
      <c r="D1630" s="121" t="s">
        <v>2006</v>
      </c>
      <c r="E1630" s="122" t="s">
        <v>3303</v>
      </c>
      <c r="F1630" s="123" t="n">
        <v>45702</v>
      </c>
      <c r="G1630" s="121" t="s">
        <v>22</v>
      </c>
      <c r="H163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A1626</v>
      </c>
      <c r="I163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B1626</v>
      </c>
      <c r="J1630" s="122" t="s">
        <v>3304</v>
      </c>
      <c r="K163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C1626</v>
      </c>
      <c r="L163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D1626</v>
      </c>
      <c r="M163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E1626</v>
      </c>
      <c r="N1630" s="122" t="s">
        <v>73</v>
      </c>
      <c r="O1630" s="126" t="n">
        <v>3500000</v>
      </c>
      <c r="P1630" s="121" t="s">
        <v>18</v>
      </c>
      <c r="Q1630" s="121" t="s">
        <v>124</v>
      </c>
      <c r="R1630" s="127"/>
      <c r="T1630" s="118"/>
    </row>
    <row r="1631" customFormat="false" ht="12.75" hidden="false" customHeight="true" outlineLevel="0" collapsed="false">
      <c r="B1631" s="119" t="n">
        <f aca="false">ROW()-4</f>
        <v>1627</v>
      </c>
      <c r="C1631" s="120" t="n">
        <f aca="false">COUNTIFS($D$5:D1631,D1631)</f>
        <v>668</v>
      </c>
      <c r="D1631" s="121" t="s">
        <v>2006</v>
      </c>
      <c r="E1631" s="122" t="s">
        <v>3305</v>
      </c>
      <c r="F1631" s="123" t="n">
        <v>45702</v>
      </c>
      <c r="G1631" s="121" t="s">
        <v>22</v>
      </c>
      <c r="H163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A1627</v>
      </c>
      <c r="I163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B1627</v>
      </c>
      <c r="J1631" s="122" t="s">
        <v>3306</v>
      </c>
      <c r="K163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C1627</v>
      </c>
      <c r="L163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D1627</v>
      </c>
      <c r="M163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E1627</v>
      </c>
      <c r="N1631" s="122" t="s">
        <v>73</v>
      </c>
      <c r="O1631" s="126" t="n">
        <v>3500000</v>
      </c>
      <c r="P1631" s="121" t="s">
        <v>18</v>
      </c>
      <c r="Q1631" s="121" t="s">
        <v>124</v>
      </c>
      <c r="R1631" s="127"/>
      <c r="T1631" s="118"/>
    </row>
    <row r="1632" customFormat="false" ht="12.75" hidden="false" customHeight="true" outlineLevel="0" collapsed="false">
      <c r="B1632" s="119" t="n">
        <f aca="false">ROW()-4</f>
        <v>1628</v>
      </c>
      <c r="C1632" s="120" t="n">
        <f aca="false">COUNTIFS($D$5:D1632,D1632)</f>
        <v>669</v>
      </c>
      <c r="D1632" s="121" t="s">
        <v>2006</v>
      </c>
      <c r="E1632" s="122" t="s">
        <v>3307</v>
      </c>
      <c r="F1632" s="123" t="n">
        <v>45702</v>
      </c>
      <c r="G1632" s="121" t="s">
        <v>22</v>
      </c>
      <c r="H163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A1628</v>
      </c>
      <c r="I163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B1628</v>
      </c>
      <c r="J1632" s="122" t="s">
        <v>3308</v>
      </c>
      <c r="K163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C1628</v>
      </c>
      <c r="L163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D1628</v>
      </c>
      <c r="M163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E1628</v>
      </c>
      <c r="N1632" s="122" t="s">
        <v>73</v>
      </c>
      <c r="O1632" s="126" t="n">
        <v>3500000</v>
      </c>
      <c r="P1632" s="121" t="s">
        <v>18</v>
      </c>
      <c r="Q1632" s="121" t="s">
        <v>124</v>
      </c>
      <c r="R1632" s="127"/>
      <c r="T1632" s="118"/>
    </row>
    <row r="1633" customFormat="false" ht="12.75" hidden="false" customHeight="true" outlineLevel="0" collapsed="false">
      <c r="B1633" s="119" t="n">
        <f aca="false">ROW()-4</f>
        <v>1629</v>
      </c>
      <c r="C1633" s="120" t="n">
        <f aca="false">COUNTIFS($D$5:D1633,D1633)</f>
        <v>670</v>
      </c>
      <c r="D1633" s="121" t="s">
        <v>2006</v>
      </c>
      <c r="E1633" s="122" t="s">
        <v>3309</v>
      </c>
      <c r="F1633" s="123" t="n">
        <v>45708</v>
      </c>
      <c r="G1633" s="121" t="s">
        <v>24</v>
      </c>
      <c r="H163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A1629</v>
      </c>
      <c r="I163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B1629</v>
      </c>
      <c r="J1633" s="122" t="s">
        <v>3310</v>
      </c>
      <c r="K163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C1629</v>
      </c>
      <c r="L163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D1629</v>
      </c>
      <c r="M163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E1629</v>
      </c>
      <c r="N1633" s="122" t="s">
        <v>73</v>
      </c>
      <c r="O1633" s="126" t="n">
        <v>3500000</v>
      </c>
      <c r="P1633" s="121" t="s">
        <v>18</v>
      </c>
      <c r="Q1633" s="121" t="s">
        <v>124</v>
      </c>
      <c r="R1633" s="127"/>
      <c r="T1633" s="118"/>
    </row>
    <row r="1634" customFormat="false" ht="12.75" hidden="false" customHeight="true" outlineLevel="0" collapsed="false">
      <c r="B1634" s="119" t="n">
        <f aca="false">ROW()-4</f>
        <v>1630</v>
      </c>
      <c r="C1634" s="120" t="n">
        <f aca="false">COUNTIFS($D$5:D1634,D1634)</f>
        <v>671</v>
      </c>
      <c r="D1634" s="121" t="s">
        <v>2006</v>
      </c>
      <c r="E1634" s="122" t="s">
        <v>3311</v>
      </c>
      <c r="F1634" s="123" t="n">
        <v>45708</v>
      </c>
      <c r="G1634" s="121" t="s">
        <v>24</v>
      </c>
      <c r="H163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A1630</v>
      </c>
      <c r="I163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B1630</v>
      </c>
      <c r="J1634" s="122" t="s">
        <v>3312</v>
      </c>
      <c r="K163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C1630</v>
      </c>
      <c r="L163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D1630</v>
      </c>
      <c r="M163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E1630</v>
      </c>
      <c r="N1634" s="122" t="s">
        <v>73</v>
      </c>
      <c r="O1634" s="126" t="n">
        <v>3500000</v>
      </c>
      <c r="P1634" s="121" t="s">
        <v>18</v>
      </c>
      <c r="Q1634" s="121" t="s">
        <v>124</v>
      </c>
      <c r="R1634" s="127"/>
      <c r="T1634" s="118"/>
    </row>
    <row r="1635" customFormat="false" ht="12.75" hidden="false" customHeight="true" outlineLevel="0" collapsed="false">
      <c r="B1635" s="119" t="n">
        <f aca="false">ROW()-4</f>
        <v>1631</v>
      </c>
      <c r="C1635" s="120" t="n">
        <f aca="false">COUNTIFS($D$5:D1635,D1635)</f>
        <v>672</v>
      </c>
      <c r="D1635" s="121" t="s">
        <v>2006</v>
      </c>
      <c r="E1635" s="122" t="s">
        <v>3313</v>
      </c>
      <c r="F1635" s="123" t="n">
        <v>45712</v>
      </c>
      <c r="G1635" s="121" t="s">
        <v>26</v>
      </c>
      <c r="H163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A1631</v>
      </c>
      <c r="I163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B1631</v>
      </c>
      <c r="J1635" s="122" t="s">
        <v>3314</v>
      </c>
      <c r="K163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C1631</v>
      </c>
      <c r="L163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D1631</v>
      </c>
      <c r="M163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E1631</v>
      </c>
      <c r="N1635" s="122" t="s">
        <v>73</v>
      </c>
      <c r="O1635" s="126" t="n">
        <v>3500000</v>
      </c>
      <c r="P1635" s="121" t="s">
        <v>18</v>
      </c>
      <c r="Q1635" s="121" t="s">
        <v>124</v>
      </c>
      <c r="R1635" s="127"/>
      <c r="T1635" s="118"/>
    </row>
    <row r="1636" customFormat="false" ht="12.75" hidden="false" customHeight="true" outlineLevel="0" collapsed="false">
      <c r="B1636" s="119" t="n">
        <f aca="false">ROW()-4</f>
        <v>1632</v>
      </c>
      <c r="C1636" s="120" t="n">
        <f aca="false">COUNTIFS($D$5:D1636,D1636)</f>
        <v>673</v>
      </c>
      <c r="D1636" s="121" t="s">
        <v>2006</v>
      </c>
      <c r="E1636" s="122" t="s">
        <v>3315</v>
      </c>
      <c r="F1636" s="123" t="n">
        <v>45721</v>
      </c>
      <c r="G1636" s="121" t="s">
        <v>24</v>
      </c>
      <c r="H163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A1632</v>
      </c>
      <c r="I163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B1632</v>
      </c>
      <c r="J1636" s="122" t="s">
        <v>3316</v>
      </c>
      <c r="K163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C1632</v>
      </c>
      <c r="L163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D1632</v>
      </c>
      <c r="M163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E1632</v>
      </c>
      <c r="N1636" s="122" t="s">
        <v>73</v>
      </c>
      <c r="O1636" s="126" t="n">
        <v>3500000</v>
      </c>
      <c r="P1636" s="121" t="s">
        <v>18</v>
      </c>
      <c r="Q1636" s="121" t="s">
        <v>124</v>
      </c>
      <c r="R1636" s="127"/>
      <c r="T1636" s="118"/>
    </row>
    <row r="1637" customFormat="false" ht="12.75" hidden="false" customHeight="true" outlineLevel="0" collapsed="false">
      <c r="B1637" s="119" t="n">
        <f aca="false">ROW()-4</f>
        <v>1633</v>
      </c>
      <c r="C1637" s="120" t="n">
        <f aca="false">COUNTIFS($D$5:D1637,D1637)</f>
        <v>674</v>
      </c>
      <c r="D1637" s="121" t="s">
        <v>2006</v>
      </c>
      <c r="E1637" s="122" t="s">
        <v>3317</v>
      </c>
      <c r="F1637" s="123" t="n">
        <v>45721</v>
      </c>
      <c r="G1637" s="121" t="s">
        <v>24</v>
      </c>
      <c r="H163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A1633</v>
      </c>
      <c r="I163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B1633</v>
      </c>
      <c r="J1637" s="122" t="s">
        <v>3318</v>
      </c>
      <c r="K163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C1633</v>
      </c>
      <c r="L163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D1633</v>
      </c>
      <c r="M163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E1633</v>
      </c>
      <c r="N1637" s="122" t="s">
        <v>73</v>
      </c>
      <c r="O1637" s="126" t="n">
        <v>3500000</v>
      </c>
      <c r="P1637" s="121" t="s">
        <v>18</v>
      </c>
      <c r="Q1637" s="121" t="s">
        <v>124</v>
      </c>
      <c r="R1637" s="127"/>
      <c r="T1637" s="118"/>
    </row>
    <row r="1638" customFormat="false" ht="12.75" hidden="false" customHeight="true" outlineLevel="0" collapsed="false">
      <c r="B1638" s="119" t="n">
        <f aca="false">ROW()-4</f>
        <v>1634</v>
      </c>
      <c r="C1638" s="120" t="n">
        <f aca="false">COUNTIFS($D$5:D1638,D1638)</f>
        <v>675</v>
      </c>
      <c r="D1638" s="121" t="s">
        <v>2006</v>
      </c>
      <c r="E1638" s="122" t="s">
        <v>3319</v>
      </c>
      <c r="F1638" s="123" t="n">
        <v>45722</v>
      </c>
      <c r="G1638" s="121" t="s">
        <v>22</v>
      </c>
      <c r="H163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A1634</v>
      </c>
      <c r="I163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B1634</v>
      </c>
      <c r="J1638" s="122" t="s">
        <v>3320</v>
      </c>
      <c r="K163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C1634</v>
      </c>
      <c r="L163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D1634</v>
      </c>
      <c r="M163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E1634</v>
      </c>
      <c r="N1638" s="122" t="s">
        <v>73</v>
      </c>
      <c r="O1638" s="126" t="n">
        <v>3500000</v>
      </c>
      <c r="P1638" s="121" t="s">
        <v>18</v>
      </c>
      <c r="Q1638" s="121" t="s">
        <v>124</v>
      </c>
      <c r="R1638" s="127"/>
      <c r="T1638" s="118"/>
    </row>
    <row r="1639" customFormat="false" ht="12.75" hidden="false" customHeight="true" outlineLevel="0" collapsed="false">
      <c r="B1639" s="119" t="n">
        <f aca="false">ROW()-4</f>
        <v>1635</v>
      </c>
      <c r="C1639" s="120" t="n">
        <f aca="false">COUNTIFS($D$5:D1639,D1639)</f>
        <v>676</v>
      </c>
      <c r="D1639" s="121" t="s">
        <v>2006</v>
      </c>
      <c r="E1639" s="122" t="s">
        <v>3321</v>
      </c>
      <c r="F1639" s="123" t="n">
        <v>45728</v>
      </c>
      <c r="G1639" s="121" t="s">
        <v>22</v>
      </c>
      <c r="H163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A1635</v>
      </c>
      <c r="I163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B1635</v>
      </c>
      <c r="J1639" s="122" t="s">
        <v>3322</v>
      </c>
      <c r="K163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C1635</v>
      </c>
      <c r="L163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D1635</v>
      </c>
      <c r="M163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E1635</v>
      </c>
      <c r="N1639" s="122" t="s">
        <v>73</v>
      </c>
      <c r="O1639" s="126" t="n">
        <v>3500000</v>
      </c>
      <c r="P1639" s="121" t="s">
        <v>18</v>
      </c>
      <c r="Q1639" s="121" t="s">
        <v>124</v>
      </c>
      <c r="R1639" s="127"/>
      <c r="T1639" s="118"/>
    </row>
    <row r="1640" customFormat="false" ht="12.75" hidden="false" customHeight="true" outlineLevel="0" collapsed="false">
      <c r="B1640" s="119" t="n">
        <f aca="false">ROW()-4</f>
        <v>1636</v>
      </c>
      <c r="C1640" s="120" t="n">
        <f aca="false">COUNTIFS($D$5:D1640,D1640)</f>
        <v>677</v>
      </c>
      <c r="D1640" s="121" t="s">
        <v>2006</v>
      </c>
      <c r="E1640" s="122" t="s">
        <v>3323</v>
      </c>
      <c r="F1640" s="123" t="n">
        <v>45728</v>
      </c>
      <c r="G1640" s="121" t="s">
        <v>22</v>
      </c>
      <c r="H164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A1636</v>
      </c>
      <c r="I164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B1636</v>
      </c>
      <c r="J1640" s="122" t="s">
        <v>3324</v>
      </c>
      <c r="K164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C1636</v>
      </c>
      <c r="L164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D1636</v>
      </c>
      <c r="M164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E1636</v>
      </c>
      <c r="N1640" s="122" t="s">
        <v>73</v>
      </c>
      <c r="O1640" s="126" t="n">
        <v>3500000</v>
      </c>
      <c r="P1640" s="121" t="s">
        <v>18</v>
      </c>
      <c r="Q1640" s="121" t="s">
        <v>124</v>
      </c>
      <c r="R1640" s="127"/>
      <c r="T1640" s="118"/>
    </row>
    <row r="1641" customFormat="false" ht="12.75" hidden="false" customHeight="true" outlineLevel="0" collapsed="false">
      <c r="B1641" s="119" t="n">
        <f aca="false">ROW()-4</f>
        <v>1637</v>
      </c>
      <c r="C1641" s="120" t="n">
        <f aca="false">COUNTIFS($D$5:D1641,D1641)</f>
        <v>678</v>
      </c>
      <c r="D1641" s="121" t="s">
        <v>2006</v>
      </c>
      <c r="E1641" s="122" t="s">
        <v>3325</v>
      </c>
      <c r="F1641" s="123" t="n">
        <v>45734</v>
      </c>
      <c r="G1641" s="121" t="s">
        <v>28</v>
      </c>
      <c r="H164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A1637</v>
      </c>
      <c r="I164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B1637</v>
      </c>
      <c r="J1641" s="122" t="s">
        <v>3326</v>
      </c>
      <c r="K164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C1637</v>
      </c>
      <c r="L164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D1637</v>
      </c>
      <c r="M164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E1637</v>
      </c>
      <c r="N1641" s="122" t="s">
        <v>73</v>
      </c>
      <c r="O1641" s="126" t="n">
        <v>3500000</v>
      </c>
      <c r="P1641" s="121" t="s">
        <v>18</v>
      </c>
      <c r="Q1641" s="121" t="s">
        <v>124</v>
      </c>
      <c r="R1641" s="127"/>
      <c r="T1641" s="118"/>
    </row>
    <row r="1642" customFormat="false" ht="12.75" hidden="false" customHeight="true" outlineLevel="0" collapsed="false">
      <c r="B1642" s="119" t="n">
        <f aca="false">ROW()-4</f>
        <v>1638</v>
      </c>
      <c r="C1642" s="120" t="n">
        <f aca="false">COUNTIFS($D$5:D1642,D1642)</f>
        <v>679</v>
      </c>
      <c r="D1642" s="121" t="s">
        <v>2006</v>
      </c>
      <c r="E1642" s="122" t="s">
        <v>3327</v>
      </c>
      <c r="F1642" s="123" t="n">
        <v>45742</v>
      </c>
      <c r="G1642" s="121" t="s">
        <v>22</v>
      </c>
      <c r="H164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A1638</v>
      </c>
      <c r="I164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B1638</v>
      </c>
      <c r="J1642" s="122" t="s">
        <v>3328</v>
      </c>
      <c r="K164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C1638</v>
      </c>
      <c r="L164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D1638</v>
      </c>
      <c r="M164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E1638</v>
      </c>
      <c r="N1642" s="122" t="s">
        <v>73</v>
      </c>
      <c r="O1642" s="126" t="n">
        <v>3500000</v>
      </c>
      <c r="P1642" s="121" t="s">
        <v>18</v>
      </c>
      <c r="Q1642" s="121" t="s">
        <v>124</v>
      </c>
      <c r="R1642" s="127"/>
      <c r="T1642" s="118"/>
    </row>
    <row r="1643" customFormat="false" ht="12.75" hidden="false" customHeight="true" outlineLevel="0" collapsed="false">
      <c r="B1643" s="119" t="n">
        <f aca="false">ROW()-4</f>
        <v>1639</v>
      </c>
      <c r="C1643" s="120" t="n">
        <f aca="false">COUNTIFS($D$5:D1643,D1643)</f>
        <v>680</v>
      </c>
      <c r="D1643" s="121" t="s">
        <v>2006</v>
      </c>
      <c r="E1643" s="122" t="s">
        <v>3329</v>
      </c>
      <c r="F1643" s="123" t="n">
        <v>45755</v>
      </c>
      <c r="G1643" s="121" t="s">
        <v>30</v>
      </c>
      <c r="H164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A1639</v>
      </c>
      <c r="I164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B1639</v>
      </c>
      <c r="J1643" s="122" t="s">
        <v>3330</v>
      </c>
      <c r="K164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C1639</v>
      </c>
      <c r="L164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D1639</v>
      </c>
      <c r="M164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E1639</v>
      </c>
      <c r="N1643" s="122" t="s">
        <v>73</v>
      </c>
      <c r="O1643" s="126" t="n">
        <v>3500000</v>
      </c>
      <c r="P1643" s="121" t="s">
        <v>18</v>
      </c>
      <c r="Q1643" s="121" t="s">
        <v>124</v>
      </c>
      <c r="R1643" s="127"/>
      <c r="T1643" s="118"/>
    </row>
    <row r="1644" customFormat="false" ht="12.75" hidden="false" customHeight="true" outlineLevel="0" collapsed="false">
      <c r="B1644" s="119" t="n">
        <f aca="false">ROW()-4</f>
        <v>1640</v>
      </c>
      <c r="C1644" s="120" t="n">
        <f aca="false">COUNTIFS($D$5:D1644,D1644)</f>
        <v>681</v>
      </c>
      <c r="D1644" s="121" t="s">
        <v>2006</v>
      </c>
      <c r="E1644" s="122" t="s">
        <v>3331</v>
      </c>
      <c r="F1644" s="123" t="n">
        <v>45755</v>
      </c>
      <c r="G1644" s="121" t="s">
        <v>30</v>
      </c>
      <c r="H164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A1640</v>
      </c>
      <c r="I164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B1640</v>
      </c>
      <c r="J1644" s="122" t="s">
        <v>3332</v>
      </c>
      <c r="K164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C1640</v>
      </c>
      <c r="L164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D1640</v>
      </c>
      <c r="M164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E1640</v>
      </c>
      <c r="N1644" s="122" t="s">
        <v>73</v>
      </c>
      <c r="O1644" s="126" t="n">
        <v>3500000</v>
      </c>
      <c r="P1644" s="121" t="s">
        <v>18</v>
      </c>
      <c r="Q1644" s="121" t="s">
        <v>124</v>
      </c>
      <c r="R1644" s="127"/>
      <c r="T1644" s="118"/>
    </row>
    <row r="1645" customFormat="false" ht="12.75" hidden="false" customHeight="true" outlineLevel="0" collapsed="false">
      <c r="B1645" s="119" t="n">
        <f aca="false">ROW()-4</f>
        <v>1641</v>
      </c>
      <c r="C1645" s="120" t="n">
        <f aca="false">COUNTIFS($D$5:D1645,D1645)</f>
        <v>682</v>
      </c>
      <c r="D1645" s="121" t="s">
        <v>2006</v>
      </c>
      <c r="E1645" s="122" t="s">
        <v>3333</v>
      </c>
      <c r="F1645" s="123" t="n">
        <v>45757</v>
      </c>
      <c r="G1645" s="121" t="s">
        <v>28</v>
      </c>
      <c r="H164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A1641</v>
      </c>
      <c r="I164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B1641</v>
      </c>
      <c r="J1645" s="122" t="s">
        <v>3334</v>
      </c>
      <c r="K164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C1641</v>
      </c>
      <c r="L164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D1641</v>
      </c>
      <c r="M164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E1641</v>
      </c>
      <c r="N1645" s="122" t="s">
        <v>73</v>
      </c>
      <c r="O1645" s="126" t="n">
        <v>3500000</v>
      </c>
      <c r="P1645" s="121" t="s">
        <v>18</v>
      </c>
      <c r="Q1645" s="121" t="s">
        <v>124</v>
      </c>
      <c r="R1645" s="127" t="s">
        <v>3335</v>
      </c>
      <c r="T1645" s="118"/>
    </row>
    <row r="1646" customFormat="false" ht="12.75" hidden="false" customHeight="true" outlineLevel="0" collapsed="false">
      <c r="B1646" s="119" t="n">
        <f aca="false">ROW()-4</f>
        <v>1642</v>
      </c>
      <c r="C1646" s="120" t="n">
        <f aca="false">COUNTIFS($D$5:D1646,D1646)</f>
        <v>683</v>
      </c>
      <c r="D1646" s="121" t="s">
        <v>2006</v>
      </c>
      <c r="E1646" s="122" t="s">
        <v>3336</v>
      </c>
      <c r="F1646" s="123" t="n">
        <v>45757</v>
      </c>
      <c r="G1646" s="121" t="s">
        <v>28</v>
      </c>
      <c r="H164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A1642</v>
      </c>
      <c r="I164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B1642</v>
      </c>
      <c r="J1646" s="122" t="s">
        <v>3337</v>
      </c>
      <c r="K164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C1642</v>
      </c>
      <c r="L164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D1642</v>
      </c>
      <c r="M164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E1642</v>
      </c>
      <c r="N1646" s="122" t="s">
        <v>73</v>
      </c>
      <c r="O1646" s="126" t="n">
        <v>3500000</v>
      </c>
      <c r="P1646" s="121" t="s">
        <v>18</v>
      </c>
      <c r="Q1646" s="121" t="s">
        <v>124</v>
      </c>
      <c r="R1646" s="127"/>
      <c r="T1646" s="118"/>
    </row>
    <row r="1647" customFormat="false" ht="12.75" hidden="false" customHeight="true" outlineLevel="0" collapsed="false">
      <c r="B1647" s="119" t="n">
        <f aca="false">ROW()-4</f>
        <v>1643</v>
      </c>
      <c r="C1647" s="120" t="n">
        <f aca="false">COUNTIFS($D$5:D1647,D1647)</f>
        <v>684</v>
      </c>
      <c r="D1647" s="121" t="s">
        <v>2006</v>
      </c>
      <c r="E1647" s="122" t="s">
        <v>3338</v>
      </c>
      <c r="F1647" s="123" t="n">
        <v>45757</v>
      </c>
      <c r="G1647" s="121" t="s">
        <v>22</v>
      </c>
      <c r="H164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A1643</v>
      </c>
      <c r="I164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B1643</v>
      </c>
      <c r="J1647" s="122" t="s">
        <v>3339</v>
      </c>
      <c r="K164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C1643</v>
      </c>
      <c r="L164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D1643</v>
      </c>
      <c r="M164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E1643</v>
      </c>
      <c r="N1647" s="122" t="s">
        <v>73</v>
      </c>
      <c r="O1647" s="126" t="n">
        <v>3500000</v>
      </c>
      <c r="P1647" s="121" t="s">
        <v>18</v>
      </c>
      <c r="Q1647" s="121" t="s">
        <v>124</v>
      </c>
      <c r="R1647" s="127"/>
      <c r="T1647" s="118"/>
    </row>
    <row r="1648" customFormat="false" ht="12.75" hidden="false" customHeight="true" outlineLevel="0" collapsed="false">
      <c r="B1648" s="119" t="n">
        <f aca="false">ROW()-4</f>
        <v>1644</v>
      </c>
      <c r="C1648" s="120" t="n">
        <f aca="false">COUNTIFS($D$5:D1648,D1648)</f>
        <v>685</v>
      </c>
      <c r="D1648" s="121" t="s">
        <v>2006</v>
      </c>
      <c r="E1648" s="122" t="s">
        <v>3340</v>
      </c>
      <c r="F1648" s="123" t="n">
        <v>45762</v>
      </c>
      <c r="G1648" s="121" t="s">
        <v>22</v>
      </c>
      <c r="H164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A1644</v>
      </c>
      <c r="I164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B1644</v>
      </c>
      <c r="J1648" s="122" t="s">
        <v>3341</v>
      </c>
      <c r="K164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C1644</v>
      </c>
      <c r="L164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D1644</v>
      </c>
      <c r="M164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E1644</v>
      </c>
      <c r="N1648" s="122" t="s">
        <v>73</v>
      </c>
      <c r="O1648" s="126" t="n">
        <v>3500000</v>
      </c>
      <c r="P1648" s="121" t="s">
        <v>18</v>
      </c>
      <c r="Q1648" s="121" t="s">
        <v>124</v>
      </c>
      <c r="R1648" s="127"/>
      <c r="T1648" s="118"/>
    </row>
    <row r="1649" customFormat="false" ht="12.75" hidden="false" customHeight="true" outlineLevel="0" collapsed="false">
      <c r="B1649" s="119" t="n">
        <f aca="false">ROW()-4</f>
        <v>1645</v>
      </c>
      <c r="C1649" s="120" t="n">
        <f aca="false">COUNTIFS($D$5:D1649,D1649)</f>
        <v>686</v>
      </c>
      <c r="D1649" s="121" t="s">
        <v>2006</v>
      </c>
      <c r="E1649" s="124" t="s">
        <v>3342</v>
      </c>
      <c r="F1649" s="137" t="n">
        <v>45905</v>
      </c>
      <c r="G1649" s="138" t="s">
        <v>24</v>
      </c>
      <c r="H1649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A1645</v>
      </c>
      <c r="I1649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B1645</v>
      </c>
      <c r="J1649" s="124" t="s">
        <v>3343</v>
      </c>
      <c r="K1649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C1645</v>
      </c>
      <c r="L1649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D1645</v>
      </c>
      <c r="M164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E1645</v>
      </c>
      <c r="N1649" s="122" t="s">
        <v>73</v>
      </c>
      <c r="O1649" s="126" t="n">
        <v>3500000</v>
      </c>
      <c r="P1649" s="121" t="s">
        <v>18</v>
      </c>
      <c r="Q1649" s="121" t="s">
        <v>124</v>
      </c>
      <c r="R1649" s="127"/>
      <c r="T1649" s="118"/>
    </row>
    <row r="1650" customFormat="false" ht="12.75" hidden="false" customHeight="true" outlineLevel="0" collapsed="false">
      <c r="B1650" s="119" t="n">
        <f aca="false">ROW()-4</f>
        <v>1646</v>
      </c>
      <c r="C1650" s="120" t="n">
        <f aca="false">COUNTIFS($D$5:D1650,D1650)</f>
        <v>687</v>
      </c>
      <c r="D1650" s="121" t="s">
        <v>2006</v>
      </c>
      <c r="E1650" s="122" t="s">
        <v>3344</v>
      </c>
      <c r="F1650" s="123" t="n">
        <v>45762</v>
      </c>
      <c r="G1650" s="121" t="s">
        <v>26</v>
      </c>
      <c r="H165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A1646</v>
      </c>
      <c r="I165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B1646</v>
      </c>
      <c r="J1650" s="122" t="s">
        <v>3345</v>
      </c>
      <c r="K165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C1646</v>
      </c>
      <c r="L165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D1646</v>
      </c>
      <c r="M165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E1646</v>
      </c>
      <c r="N1650" s="122" t="s">
        <v>73</v>
      </c>
      <c r="O1650" s="126" t="n">
        <v>3500000</v>
      </c>
      <c r="P1650" s="121" t="s">
        <v>18</v>
      </c>
      <c r="Q1650" s="121" t="s">
        <v>124</v>
      </c>
      <c r="R1650" s="127"/>
      <c r="T1650" s="118"/>
    </row>
    <row r="1651" customFormat="false" ht="12.75" hidden="false" customHeight="true" outlineLevel="0" collapsed="false">
      <c r="B1651" s="119" t="n">
        <f aca="false">ROW()-4</f>
        <v>1647</v>
      </c>
      <c r="C1651" s="120" t="n">
        <f aca="false">COUNTIFS($D$5:D1651,D1651)</f>
        <v>688</v>
      </c>
      <c r="D1651" s="121" t="s">
        <v>2006</v>
      </c>
      <c r="E1651" s="122" t="s">
        <v>3346</v>
      </c>
      <c r="F1651" s="123" t="n">
        <v>45758</v>
      </c>
      <c r="G1651" s="121" t="s">
        <v>22</v>
      </c>
      <c r="H165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A1647</v>
      </c>
      <c r="I165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B1647</v>
      </c>
      <c r="J1651" s="122" t="s">
        <v>3347</v>
      </c>
      <c r="K165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C1647</v>
      </c>
      <c r="L165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D1647</v>
      </c>
      <c r="M165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E1647</v>
      </c>
      <c r="N1651" s="122" t="s">
        <v>73</v>
      </c>
      <c r="O1651" s="126" t="n">
        <v>3500000</v>
      </c>
      <c r="P1651" s="121" t="s">
        <v>18</v>
      </c>
      <c r="Q1651" s="121" t="s">
        <v>124</v>
      </c>
      <c r="R1651" s="127"/>
      <c r="T1651" s="118"/>
    </row>
    <row r="1652" customFormat="false" ht="12.75" hidden="false" customHeight="true" outlineLevel="0" collapsed="false">
      <c r="B1652" s="119" t="n">
        <f aca="false">ROW()-4</f>
        <v>1648</v>
      </c>
      <c r="C1652" s="120" t="n">
        <f aca="false">COUNTIFS($D$5:D1652,D1652)</f>
        <v>689</v>
      </c>
      <c r="D1652" s="121" t="s">
        <v>2006</v>
      </c>
      <c r="E1652" s="122" t="s">
        <v>3348</v>
      </c>
      <c r="F1652" s="123" t="n">
        <v>45758</v>
      </c>
      <c r="G1652" s="121" t="s">
        <v>22</v>
      </c>
      <c r="H165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A1648</v>
      </c>
      <c r="I165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B1648</v>
      </c>
      <c r="J1652" s="122" t="s">
        <v>3349</v>
      </c>
      <c r="K165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C1648</v>
      </c>
      <c r="L165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D1648</v>
      </c>
      <c r="M165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E1648</v>
      </c>
      <c r="N1652" s="122" t="s">
        <v>73</v>
      </c>
      <c r="O1652" s="126" t="n">
        <v>3500000</v>
      </c>
      <c r="P1652" s="121" t="s">
        <v>18</v>
      </c>
      <c r="Q1652" s="121" t="s">
        <v>124</v>
      </c>
      <c r="R1652" s="127"/>
      <c r="T1652" s="118"/>
    </row>
    <row r="1653" customFormat="false" ht="12.75" hidden="false" customHeight="true" outlineLevel="0" collapsed="false">
      <c r="B1653" s="119" t="n">
        <f aca="false">ROW()-4</f>
        <v>1649</v>
      </c>
      <c r="C1653" s="120" t="n">
        <f aca="false">COUNTIFS($D$5:D1653,D1653)</f>
        <v>690</v>
      </c>
      <c r="D1653" s="121" t="s">
        <v>2006</v>
      </c>
      <c r="E1653" s="122" t="s">
        <v>3350</v>
      </c>
      <c r="F1653" s="123" t="n">
        <v>45761</v>
      </c>
      <c r="G1653" s="121" t="s">
        <v>28</v>
      </c>
      <c r="H165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A1649</v>
      </c>
      <c r="I165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B1649</v>
      </c>
      <c r="J1653" s="122" t="s">
        <v>3351</v>
      </c>
      <c r="K165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C1649</v>
      </c>
      <c r="L165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D1649</v>
      </c>
      <c r="M165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E1649</v>
      </c>
      <c r="N1653" s="122" t="s">
        <v>73</v>
      </c>
      <c r="O1653" s="126" t="n">
        <v>3500000</v>
      </c>
      <c r="P1653" s="121" t="s">
        <v>18</v>
      </c>
      <c r="Q1653" s="121" t="s">
        <v>124</v>
      </c>
      <c r="R1653" s="127"/>
      <c r="T1653" s="118"/>
    </row>
    <row r="1654" customFormat="false" ht="12.75" hidden="false" customHeight="true" outlineLevel="0" collapsed="false">
      <c r="B1654" s="119" t="n">
        <f aca="false">ROW()-4</f>
        <v>1650</v>
      </c>
      <c r="C1654" s="120" t="n">
        <f aca="false">COUNTIFS($D$5:D1654,D1654)</f>
        <v>691</v>
      </c>
      <c r="D1654" s="121" t="s">
        <v>2006</v>
      </c>
      <c r="E1654" s="122" t="s">
        <v>3352</v>
      </c>
      <c r="F1654" s="123"/>
      <c r="G1654" s="121" t="s">
        <v>22</v>
      </c>
      <c r="H1654" s="124"/>
      <c r="I1654" s="122"/>
      <c r="J1654" s="122"/>
      <c r="K1654" s="122"/>
      <c r="L1654" s="125"/>
      <c r="M165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E1650</v>
      </c>
      <c r="N1654" s="122" t="s">
        <v>73</v>
      </c>
      <c r="O1654" s="126" t="n">
        <v>3500000</v>
      </c>
      <c r="P1654" s="121" t="s">
        <v>19</v>
      </c>
      <c r="Q1654" s="122"/>
      <c r="R1654" s="128" t="s">
        <v>61</v>
      </c>
      <c r="T1654" s="118"/>
    </row>
    <row r="1655" customFormat="false" ht="12.75" hidden="false" customHeight="true" outlineLevel="0" collapsed="false">
      <c r="B1655" s="119" t="n">
        <f aca="false">ROW()-4</f>
        <v>1651</v>
      </c>
      <c r="C1655" s="120" t="n">
        <f aca="false">COUNTIFS($D$5:D1655,D1655)</f>
        <v>692</v>
      </c>
      <c r="D1655" s="121" t="s">
        <v>2006</v>
      </c>
      <c r="E1655" s="122" t="s">
        <v>3353</v>
      </c>
      <c r="F1655" s="123" t="n">
        <v>45981</v>
      </c>
      <c r="G1655" s="121" t="s">
        <v>22</v>
      </c>
      <c r="H165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A1651</v>
      </c>
      <c r="I165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B1651</v>
      </c>
      <c r="J1655" s="122" t="s">
        <v>3354</v>
      </c>
      <c r="K165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C1651</v>
      </c>
      <c r="L165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D1651</v>
      </c>
      <c r="M165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E1651</v>
      </c>
      <c r="N1655" s="122" t="s">
        <v>73</v>
      </c>
      <c r="O1655" s="126" t="n">
        <v>3500000</v>
      </c>
      <c r="P1655" s="121" t="s">
        <v>18</v>
      </c>
      <c r="Q1655" s="121" t="s">
        <v>124</v>
      </c>
      <c r="R1655" s="127"/>
      <c r="T1655" s="118"/>
    </row>
    <row r="1656" customFormat="false" ht="12.75" hidden="false" customHeight="true" outlineLevel="0" collapsed="false">
      <c r="B1656" s="119" t="n">
        <f aca="false">ROW()-4</f>
        <v>1652</v>
      </c>
      <c r="C1656" s="120" t="n">
        <f aca="false">COUNTIFS($D$5:D1656,D1656)</f>
        <v>693</v>
      </c>
      <c r="D1656" s="121" t="s">
        <v>2006</v>
      </c>
      <c r="E1656" s="122" t="s">
        <v>3355</v>
      </c>
      <c r="F1656" s="123" t="n">
        <v>45770</v>
      </c>
      <c r="G1656" s="121" t="s">
        <v>22</v>
      </c>
      <c r="H165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A1652</v>
      </c>
      <c r="I165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B1652</v>
      </c>
      <c r="J1656" s="122" t="s">
        <v>3356</v>
      </c>
      <c r="K165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C1652</v>
      </c>
      <c r="L165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D1652</v>
      </c>
      <c r="M165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E1652</v>
      </c>
      <c r="N1656" s="122" t="s">
        <v>73</v>
      </c>
      <c r="O1656" s="126" t="n">
        <v>3500000</v>
      </c>
      <c r="P1656" s="121" t="s">
        <v>18</v>
      </c>
      <c r="Q1656" s="121" t="s">
        <v>124</v>
      </c>
      <c r="R1656" s="127"/>
      <c r="T1656" s="118"/>
    </row>
    <row r="1657" customFormat="false" ht="12.75" hidden="false" customHeight="true" outlineLevel="0" collapsed="false">
      <c r="B1657" s="119" t="n">
        <f aca="false">ROW()-4</f>
        <v>1653</v>
      </c>
      <c r="C1657" s="120" t="n">
        <f aca="false">COUNTIFS($D$5:D1657,D1657)</f>
        <v>694</v>
      </c>
      <c r="D1657" s="121" t="s">
        <v>2006</v>
      </c>
      <c r="E1657" s="122" t="s">
        <v>3357</v>
      </c>
      <c r="F1657" s="123" t="n">
        <v>45770</v>
      </c>
      <c r="G1657" s="121" t="s">
        <v>26</v>
      </c>
      <c r="H165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A1653</v>
      </c>
      <c r="I165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B1653</v>
      </c>
      <c r="J1657" s="122" t="s">
        <v>3358</v>
      </c>
      <c r="K165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C1653</v>
      </c>
      <c r="L165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D1653</v>
      </c>
      <c r="M165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E1653</v>
      </c>
      <c r="N1657" s="122" t="s">
        <v>73</v>
      </c>
      <c r="O1657" s="126" t="n">
        <v>3500000</v>
      </c>
      <c r="P1657" s="121" t="s">
        <v>18</v>
      </c>
      <c r="Q1657" s="121" t="s">
        <v>124</v>
      </c>
      <c r="R1657" s="127"/>
      <c r="T1657" s="118"/>
    </row>
    <row r="1658" customFormat="false" ht="12.75" hidden="false" customHeight="true" outlineLevel="0" collapsed="false">
      <c r="B1658" s="119" t="n">
        <f aca="false">ROW()-4</f>
        <v>1654</v>
      </c>
      <c r="C1658" s="120" t="n">
        <f aca="false">COUNTIFS($D$5:D1658,D1658)</f>
        <v>695</v>
      </c>
      <c r="D1658" s="121" t="s">
        <v>2006</v>
      </c>
      <c r="E1658" s="122" t="s">
        <v>3359</v>
      </c>
      <c r="F1658" s="123" t="n">
        <v>45768</v>
      </c>
      <c r="G1658" s="121" t="s">
        <v>30</v>
      </c>
      <c r="H165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A1654</v>
      </c>
      <c r="I165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B1654</v>
      </c>
      <c r="J1658" s="122" t="s">
        <v>3360</v>
      </c>
      <c r="K165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C1654</v>
      </c>
      <c r="L165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D1654</v>
      </c>
      <c r="M165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E1654</v>
      </c>
      <c r="N1658" s="122" t="s">
        <v>73</v>
      </c>
      <c r="O1658" s="126" t="n">
        <v>3500000</v>
      </c>
      <c r="P1658" s="121" t="s">
        <v>18</v>
      </c>
      <c r="Q1658" s="121" t="s">
        <v>124</v>
      </c>
      <c r="R1658" s="127"/>
      <c r="T1658" s="118"/>
    </row>
    <row r="1659" customFormat="false" ht="12.75" hidden="false" customHeight="true" outlineLevel="0" collapsed="false">
      <c r="B1659" s="119" t="n">
        <f aca="false">ROW()-4</f>
        <v>1655</v>
      </c>
      <c r="C1659" s="120" t="n">
        <f aca="false">COUNTIFS($D$5:D1659,D1659)</f>
        <v>696</v>
      </c>
      <c r="D1659" s="121" t="s">
        <v>2006</v>
      </c>
      <c r="E1659" s="122" t="s">
        <v>3361</v>
      </c>
      <c r="F1659" s="123" t="n">
        <v>45757</v>
      </c>
      <c r="G1659" s="121" t="s">
        <v>30</v>
      </c>
      <c r="H165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A1655</v>
      </c>
      <c r="I165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B1655</v>
      </c>
      <c r="J1659" s="122" t="s">
        <v>3362</v>
      </c>
      <c r="K165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C1655</v>
      </c>
      <c r="L165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D1655</v>
      </c>
      <c r="M165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E1655</v>
      </c>
      <c r="N1659" s="122" t="s">
        <v>73</v>
      </c>
      <c r="O1659" s="126" t="n">
        <v>3500000</v>
      </c>
      <c r="P1659" s="121" t="s">
        <v>18</v>
      </c>
      <c r="Q1659" s="121" t="s">
        <v>124</v>
      </c>
      <c r="R1659" s="127"/>
      <c r="T1659" s="118"/>
    </row>
    <row r="1660" customFormat="false" ht="12.75" hidden="false" customHeight="true" outlineLevel="0" collapsed="false">
      <c r="B1660" s="119" t="n">
        <f aca="false">ROW()-4</f>
        <v>1656</v>
      </c>
      <c r="C1660" s="120" t="n">
        <f aca="false">COUNTIFS($D$5:D1660,D1660)</f>
        <v>697</v>
      </c>
      <c r="D1660" s="121" t="s">
        <v>2006</v>
      </c>
      <c r="E1660" s="122" t="s">
        <v>3363</v>
      </c>
      <c r="F1660" s="123" t="n">
        <v>45757</v>
      </c>
      <c r="G1660" s="121" t="s">
        <v>30</v>
      </c>
      <c r="H166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A1656</v>
      </c>
      <c r="I166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B1656</v>
      </c>
      <c r="J1660" s="122" t="s">
        <v>3364</v>
      </c>
      <c r="K166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C1656</v>
      </c>
      <c r="L166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D1656</v>
      </c>
      <c r="M166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E1656</v>
      </c>
      <c r="N1660" s="122" t="s">
        <v>73</v>
      </c>
      <c r="O1660" s="126" t="n">
        <v>3500000</v>
      </c>
      <c r="P1660" s="121" t="s">
        <v>18</v>
      </c>
      <c r="Q1660" s="121" t="s">
        <v>124</v>
      </c>
      <c r="R1660" s="127"/>
      <c r="T1660" s="118"/>
    </row>
    <row r="1661" customFormat="false" ht="12.75" hidden="false" customHeight="true" outlineLevel="0" collapsed="false">
      <c r="B1661" s="119" t="n">
        <f aca="false">ROW()-4</f>
        <v>1657</v>
      </c>
      <c r="C1661" s="120" t="n">
        <f aca="false">COUNTIFS($D$5:D1661,D1661)</f>
        <v>698</v>
      </c>
      <c r="D1661" s="121" t="s">
        <v>2006</v>
      </c>
      <c r="E1661" s="122" t="s">
        <v>3365</v>
      </c>
      <c r="F1661" s="123" t="n">
        <v>45772</v>
      </c>
      <c r="G1661" s="121" t="s">
        <v>24</v>
      </c>
      <c r="H166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A1657</v>
      </c>
      <c r="I166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B1657</v>
      </c>
      <c r="J1661" s="122" t="s">
        <v>3366</v>
      </c>
      <c r="K166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C1657</v>
      </c>
      <c r="L166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D1657</v>
      </c>
      <c r="M166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E1657</v>
      </c>
      <c r="N1661" s="122" t="s">
        <v>73</v>
      </c>
      <c r="O1661" s="126" t="n">
        <v>3500000</v>
      </c>
      <c r="P1661" s="121" t="s">
        <v>18</v>
      </c>
      <c r="Q1661" s="121" t="s">
        <v>124</v>
      </c>
      <c r="R1661" s="127"/>
      <c r="T1661" s="118"/>
    </row>
    <row r="1662" customFormat="false" ht="12.75" hidden="false" customHeight="true" outlineLevel="0" collapsed="false">
      <c r="B1662" s="119" t="n">
        <f aca="false">ROW()-4</f>
        <v>1658</v>
      </c>
      <c r="C1662" s="120" t="n">
        <f aca="false">COUNTIFS($D$5:D1662,D1662)</f>
        <v>699</v>
      </c>
      <c r="D1662" s="121" t="s">
        <v>2006</v>
      </c>
      <c r="E1662" s="122" t="s">
        <v>3367</v>
      </c>
      <c r="F1662" s="123" t="n">
        <v>45775</v>
      </c>
      <c r="G1662" s="121" t="s">
        <v>26</v>
      </c>
      <c r="H166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A1658</v>
      </c>
      <c r="I166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B1658</v>
      </c>
      <c r="J1662" s="122" t="s">
        <v>3368</v>
      </c>
      <c r="K166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C1658</v>
      </c>
      <c r="L166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D1658</v>
      </c>
      <c r="M166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E1658</v>
      </c>
      <c r="N1662" s="122" t="s">
        <v>73</v>
      </c>
      <c r="O1662" s="126" t="n">
        <v>3500000</v>
      </c>
      <c r="P1662" s="121" t="s">
        <v>18</v>
      </c>
      <c r="Q1662" s="121" t="s">
        <v>124</v>
      </c>
      <c r="R1662" s="127"/>
      <c r="T1662" s="118"/>
    </row>
    <row r="1663" customFormat="false" ht="12.75" hidden="false" customHeight="true" outlineLevel="0" collapsed="false">
      <c r="B1663" s="119" t="n">
        <f aca="false">ROW()-4</f>
        <v>1659</v>
      </c>
      <c r="C1663" s="120" t="n">
        <f aca="false">COUNTIFS($D$5:D1663,D1663)</f>
        <v>700</v>
      </c>
      <c r="D1663" s="121" t="s">
        <v>2006</v>
      </c>
      <c r="E1663" s="122" t="s">
        <v>3369</v>
      </c>
      <c r="F1663" s="123" t="n">
        <v>45775</v>
      </c>
      <c r="G1663" s="121" t="s">
        <v>22</v>
      </c>
      <c r="H166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A1659</v>
      </c>
      <c r="I166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B1659</v>
      </c>
      <c r="J1663" s="122" t="s">
        <v>3370</v>
      </c>
      <c r="K166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C1659</v>
      </c>
      <c r="L166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D1659</v>
      </c>
      <c r="M166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E1659</v>
      </c>
      <c r="N1663" s="122" t="s">
        <v>73</v>
      </c>
      <c r="O1663" s="126" t="n">
        <v>3500000</v>
      </c>
      <c r="P1663" s="121" t="s">
        <v>18</v>
      </c>
      <c r="Q1663" s="121" t="s">
        <v>124</v>
      </c>
      <c r="R1663" s="127"/>
      <c r="T1663" s="118"/>
    </row>
    <row r="1664" customFormat="false" ht="12.75" hidden="false" customHeight="true" outlineLevel="0" collapsed="false">
      <c r="B1664" s="119" t="n">
        <f aca="false">ROW()-4</f>
        <v>1660</v>
      </c>
      <c r="C1664" s="120" t="n">
        <f aca="false">COUNTIFS($D$5:D1664,D1664)</f>
        <v>701</v>
      </c>
      <c r="D1664" s="121" t="s">
        <v>2006</v>
      </c>
      <c r="E1664" s="122" t="s">
        <v>3371</v>
      </c>
      <c r="F1664" s="123" t="n">
        <v>45775</v>
      </c>
      <c r="G1664" s="121" t="s">
        <v>22</v>
      </c>
      <c r="H166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A1660</v>
      </c>
      <c r="I166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B1660</v>
      </c>
      <c r="J1664" s="122" t="s">
        <v>3372</v>
      </c>
      <c r="K166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C1660</v>
      </c>
      <c r="L166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D1660</v>
      </c>
      <c r="M166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E1660</v>
      </c>
      <c r="N1664" s="122" t="s">
        <v>73</v>
      </c>
      <c r="O1664" s="126" t="n">
        <v>3500000</v>
      </c>
      <c r="P1664" s="121" t="s">
        <v>18</v>
      </c>
      <c r="Q1664" s="121" t="s">
        <v>124</v>
      </c>
      <c r="R1664" s="127"/>
      <c r="T1664" s="118"/>
    </row>
    <row r="1665" customFormat="false" ht="12.75" hidden="false" customHeight="true" outlineLevel="0" collapsed="false">
      <c r="B1665" s="119" t="n">
        <f aca="false">ROW()-4</f>
        <v>1661</v>
      </c>
      <c r="C1665" s="120" t="n">
        <f aca="false">COUNTIFS($D$5:D1665,D1665)</f>
        <v>702</v>
      </c>
      <c r="D1665" s="121" t="s">
        <v>2006</v>
      </c>
      <c r="E1665" s="122" t="s">
        <v>3373</v>
      </c>
      <c r="F1665" s="123" t="n">
        <v>45776</v>
      </c>
      <c r="G1665" s="121" t="s">
        <v>24</v>
      </c>
      <c r="H166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A1661</v>
      </c>
      <c r="I166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B1661</v>
      </c>
      <c r="J1665" s="122" t="s">
        <v>3374</v>
      </c>
      <c r="K166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C1661</v>
      </c>
      <c r="L166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D1661</v>
      </c>
      <c r="M166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E1661</v>
      </c>
      <c r="N1665" s="122" t="s">
        <v>73</v>
      </c>
      <c r="O1665" s="126" t="n">
        <v>3500000</v>
      </c>
      <c r="P1665" s="121" t="s">
        <v>18</v>
      </c>
      <c r="Q1665" s="121" t="s">
        <v>124</v>
      </c>
      <c r="R1665" s="127"/>
      <c r="T1665" s="118"/>
    </row>
    <row r="1666" customFormat="false" ht="12.75" hidden="false" customHeight="true" outlineLevel="0" collapsed="false">
      <c r="B1666" s="119" t="n">
        <f aca="false">ROW()-4</f>
        <v>1662</v>
      </c>
      <c r="C1666" s="120" t="n">
        <f aca="false">COUNTIFS($D$5:D1666,D1666)</f>
        <v>703</v>
      </c>
      <c r="D1666" s="121" t="s">
        <v>2006</v>
      </c>
      <c r="E1666" s="122" t="s">
        <v>3375</v>
      </c>
      <c r="F1666" s="123" t="n">
        <v>45769</v>
      </c>
      <c r="G1666" s="121" t="s">
        <v>30</v>
      </c>
      <c r="H166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A1662</v>
      </c>
      <c r="I166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B1662</v>
      </c>
      <c r="J1666" s="122" t="s">
        <v>2700</v>
      </c>
      <c r="K166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C1662</v>
      </c>
      <c r="L166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D1662</v>
      </c>
      <c r="M166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E1662</v>
      </c>
      <c r="N1666" s="122" t="s">
        <v>73</v>
      </c>
      <c r="O1666" s="126" t="n">
        <v>3500000</v>
      </c>
      <c r="P1666" s="121" t="s">
        <v>18</v>
      </c>
      <c r="Q1666" s="121" t="s">
        <v>124</v>
      </c>
      <c r="R1666" s="127"/>
      <c r="T1666" s="118"/>
    </row>
    <row r="1667" customFormat="false" ht="12.75" hidden="false" customHeight="true" outlineLevel="0" collapsed="false">
      <c r="B1667" s="119" t="n">
        <f aca="false">ROW()-4</f>
        <v>1663</v>
      </c>
      <c r="C1667" s="120" t="n">
        <f aca="false">COUNTIFS($D$5:D1667,D1667)</f>
        <v>704</v>
      </c>
      <c r="D1667" s="121" t="s">
        <v>2006</v>
      </c>
      <c r="E1667" s="122" t="s">
        <v>3376</v>
      </c>
      <c r="F1667" s="123" t="n">
        <v>45776</v>
      </c>
      <c r="G1667" s="121" t="s">
        <v>28</v>
      </c>
      <c r="H166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A1663</v>
      </c>
      <c r="I166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B1663</v>
      </c>
      <c r="J1667" s="122" t="s">
        <v>3377</v>
      </c>
      <c r="K166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C1663</v>
      </c>
      <c r="L166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D1663</v>
      </c>
      <c r="M166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E1663</v>
      </c>
      <c r="N1667" s="122" t="s">
        <v>73</v>
      </c>
      <c r="O1667" s="126" t="n">
        <v>3500000</v>
      </c>
      <c r="P1667" s="121" t="s">
        <v>18</v>
      </c>
      <c r="Q1667" s="121" t="s">
        <v>124</v>
      </c>
      <c r="R1667" s="127"/>
      <c r="T1667" s="118"/>
    </row>
    <row r="1668" customFormat="false" ht="12.75" hidden="false" customHeight="true" outlineLevel="0" collapsed="false">
      <c r="B1668" s="119" t="n">
        <f aca="false">ROW()-4</f>
        <v>1664</v>
      </c>
      <c r="C1668" s="120" t="n">
        <f aca="false">COUNTIFS($D$5:D1668,D1668)</f>
        <v>705</v>
      </c>
      <c r="D1668" s="121" t="s">
        <v>2006</v>
      </c>
      <c r="E1668" s="122" t="s">
        <v>3378</v>
      </c>
      <c r="F1668" s="123" t="n">
        <v>45776</v>
      </c>
      <c r="G1668" s="121" t="s">
        <v>28</v>
      </c>
      <c r="H166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A1664</v>
      </c>
      <c r="I166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B1664</v>
      </c>
      <c r="J1668" s="122" t="s">
        <v>3379</v>
      </c>
      <c r="K166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C1664</v>
      </c>
      <c r="L166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D1664</v>
      </c>
      <c r="M166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E1664</v>
      </c>
      <c r="N1668" s="122" t="s">
        <v>73</v>
      </c>
      <c r="O1668" s="126" t="n">
        <v>3500000</v>
      </c>
      <c r="P1668" s="121" t="s">
        <v>18</v>
      </c>
      <c r="Q1668" s="121" t="s">
        <v>124</v>
      </c>
      <c r="R1668" s="127"/>
      <c r="T1668" s="118"/>
    </row>
    <row r="1669" customFormat="false" ht="12.75" hidden="false" customHeight="true" outlineLevel="0" collapsed="false">
      <c r="B1669" s="119" t="n">
        <f aca="false">ROW()-4</f>
        <v>1665</v>
      </c>
      <c r="C1669" s="120" t="n">
        <f aca="false">COUNTIFS($D$5:D1669,D1669)</f>
        <v>706</v>
      </c>
      <c r="D1669" s="121" t="s">
        <v>2006</v>
      </c>
      <c r="E1669" s="122" t="s">
        <v>3380</v>
      </c>
      <c r="F1669" s="123" t="n">
        <v>45775</v>
      </c>
      <c r="G1669" s="121" t="s">
        <v>28</v>
      </c>
      <c r="H166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A1665</v>
      </c>
      <c r="I166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B1665</v>
      </c>
      <c r="J1669" s="122" t="s">
        <v>3381</v>
      </c>
      <c r="K166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C1665</v>
      </c>
      <c r="L166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D1665</v>
      </c>
      <c r="M166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E1665</v>
      </c>
      <c r="N1669" s="122" t="s">
        <v>73</v>
      </c>
      <c r="O1669" s="126" t="n">
        <v>3500000</v>
      </c>
      <c r="P1669" s="121" t="s">
        <v>18</v>
      </c>
      <c r="Q1669" s="121" t="s">
        <v>124</v>
      </c>
      <c r="R1669" s="127"/>
      <c r="T1669" s="118"/>
    </row>
    <row r="1670" customFormat="false" ht="12.75" hidden="false" customHeight="true" outlineLevel="0" collapsed="false">
      <c r="B1670" s="119" t="n">
        <f aca="false">ROW()-4</f>
        <v>1666</v>
      </c>
      <c r="C1670" s="120" t="n">
        <f aca="false">COUNTIFS($D$5:D1670,D1670)</f>
        <v>707</v>
      </c>
      <c r="D1670" s="121" t="s">
        <v>2006</v>
      </c>
      <c r="E1670" s="122" t="s">
        <v>3382</v>
      </c>
      <c r="F1670" s="123"/>
      <c r="G1670" s="121" t="s">
        <v>22</v>
      </c>
      <c r="H1670" s="122"/>
      <c r="I1670" s="122"/>
      <c r="J1670" s="122"/>
      <c r="K1670" s="122"/>
      <c r="L1670" s="125"/>
      <c r="M167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E1666</v>
      </c>
      <c r="N1670" s="122" t="s">
        <v>73</v>
      </c>
      <c r="O1670" s="126" t="n">
        <v>3500000</v>
      </c>
      <c r="P1670" s="121" t="s">
        <v>19</v>
      </c>
      <c r="Q1670" s="122"/>
      <c r="R1670" s="128" t="s">
        <v>61</v>
      </c>
      <c r="T1670" s="118"/>
    </row>
    <row r="1671" customFormat="false" ht="12.75" hidden="false" customHeight="true" outlineLevel="0" collapsed="false">
      <c r="B1671" s="119" t="n">
        <f aca="false">ROW()-4</f>
        <v>1667</v>
      </c>
      <c r="C1671" s="120" t="n">
        <f aca="false">COUNTIFS($D$5:D1671,D1671)</f>
        <v>708</v>
      </c>
      <c r="D1671" s="121" t="s">
        <v>2006</v>
      </c>
      <c r="E1671" s="122" t="s">
        <v>3383</v>
      </c>
      <c r="F1671" s="123" t="n">
        <v>45789</v>
      </c>
      <c r="G1671" s="121" t="s">
        <v>26</v>
      </c>
      <c r="H167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A1667</v>
      </c>
      <c r="I167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B1667</v>
      </c>
      <c r="J1671" s="122" t="s">
        <v>3384</v>
      </c>
      <c r="K167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C1667</v>
      </c>
      <c r="L167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D1667</v>
      </c>
      <c r="M167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E1667</v>
      </c>
      <c r="N1671" s="122" t="s">
        <v>73</v>
      </c>
      <c r="O1671" s="126" t="n">
        <v>3500000</v>
      </c>
      <c r="P1671" s="121" t="s">
        <v>18</v>
      </c>
      <c r="Q1671" s="121" t="s">
        <v>124</v>
      </c>
      <c r="R1671" s="127"/>
      <c r="T1671" s="118"/>
    </row>
    <row r="1672" customFormat="false" ht="12.75" hidden="false" customHeight="true" outlineLevel="0" collapsed="false">
      <c r="B1672" s="140" t="n">
        <f aca="false">ROW()-4</f>
        <v>1668</v>
      </c>
      <c r="C1672" s="141" t="n">
        <f aca="false">COUNTIFS($D$5:D1672,D1672)</f>
        <v>709</v>
      </c>
      <c r="D1672" s="142" t="s">
        <v>2006</v>
      </c>
      <c r="E1672" s="143" t="s">
        <v>3385</v>
      </c>
      <c r="F1672" s="144" t="n">
        <v>46062</v>
      </c>
      <c r="G1672" s="142" t="s">
        <v>22</v>
      </c>
      <c r="H1672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A1668</v>
      </c>
      <c r="I1672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B1668</v>
      </c>
      <c r="J1672" s="143" t="s">
        <v>3386</v>
      </c>
      <c r="K1672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C1668</v>
      </c>
      <c r="L1672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D1668</v>
      </c>
      <c r="M1672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E1668</v>
      </c>
      <c r="N1672" s="143" t="s">
        <v>73</v>
      </c>
      <c r="O1672" s="146" t="n">
        <v>3500000</v>
      </c>
      <c r="P1672" s="142" t="s">
        <v>907</v>
      </c>
      <c r="Q1672" s="143" t="s">
        <v>908</v>
      </c>
      <c r="R1672" s="147"/>
      <c r="T1672" s="118"/>
    </row>
    <row r="1673" customFormat="false" ht="12.75" hidden="false" customHeight="true" outlineLevel="0" collapsed="false">
      <c r="B1673" s="140" t="n">
        <f aca="false">ROW()-4</f>
        <v>1669</v>
      </c>
      <c r="C1673" s="141" t="n">
        <f aca="false">COUNTIFS($D$5:D1673,D1673)</f>
        <v>710</v>
      </c>
      <c r="D1673" s="142" t="s">
        <v>2006</v>
      </c>
      <c r="E1673" s="143" t="s">
        <v>3387</v>
      </c>
      <c r="F1673" s="144" t="n">
        <v>46062</v>
      </c>
      <c r="G1673" s="142" t="s">
        <v>22</v>
      </c>
      <c r="H1673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A1669</v>
      </c>
      <c r="I1673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B1669</v>
      </c>
      <c r="J1673" s="143" t="s">
        <v>3388</v>
      </c>
      <c r="K1673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C1669</v>
      </c>
      <c r="L1673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D1669</v>
      </c>
      <c r="M1673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E1669</v>
      </c>
      <c r="N1673" s="143" t="s">
        <v>73</v>
      </c>
      <c r="O1673" s="146" t="n">
        <v>3500000</v>
      </c>
      <c r="P1673" s="142" t="s">
        <v>1533</v>
      </c>
      <c r="Q1673" s="143" t="s">
        <v>908</v>
      </c>
      <c r="R1673" s="147"/>
      <c r="T1673" s="118"/>
    </row>
    <row r="1674" customFormat="false" ht="12.75" hidden="false" customHeight="true" outlineLevel="0" collapsed="false">
      <c r="B1674" s="119" t="n">
        <f aca="false">ROW()-4</f>
        <v>1670</v>
      </c>
      <c r="C1674" s="120" t="n">
        <f aca="false">COUNTIFS($D$5:D1674,D1674)</f>
        <v>711</v>
      </c>
      <c r="D1674" s="121" t="s">
        <v>2006</v>
      </c>
      <c r="E1674" s="122" t="s">
        <v>3389</v>
      </c>
      <c r="F1674" s="123" t="n">
        <v>45791</v>
      </c>
      <c r="G1674" s="121" t="s">
        <v>22</v>
      </c>
      <c r="H167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A1670</v>
      </c>
      <c r="I167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B1670</v>
      </c>
      <c r="J1674" s="122" t="s">
        <v>3390</v>
      </c>
      <c r="K167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C1670</v>
      </c>
      <c r="L167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D1670</v>
      </c>
      <c r="M167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E1670</v>
      </c>
      <c r="N1674" s="122" t="s">
        <v>73</v>
      </c>
      <c r="O1674" s="126" t="n">
        <v>3500000</v>
      </c>
      <c r="P1674" s="121" t="s">
        <v>18</v>
      </c>
      <c r="Q1674" s="121" t="s">
        <v>124</v>
      </c>
      <c r="R1674" s="127"/>
      <c r="T1674" s="118"/>
    </row>
    <row r="1675" customFormat="false" ht="12.75" hidden="false" customHeight="true" outlineLevel="0" collapsed="false">
      <c r="B1675" s="119" t="n">
        <f aca="false">ROW()-4</f>
        <v>1671</v>
      </c>
      <c r="C1675" s="120" t="n">
        <f aca="false">COUNTIFS($D$5:D1675,D1675)</f>
        <v>712</v>
      </c>
      <c r="D1675" s="121" t="s">
        <v>2006</v>
      </c>
      <c r="E1675" s="122" t="s">
        <v>3391</v>
      </c>
      <c r="F1675" s="123" t="n">
        <v>45786</v>
      </c>
      <c r="G1675" s="121" t="s">
        <v>30</v>
      </c>
      <c r="H167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A1671</v>
      </c>
      <c r="I167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B1671</v>
      </c>
      <c r="J1675" s="122" t="s">
        <v>3392</v>
      </c>
      <c r="K167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C1671</v>
      </c>
      <c r="L167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D1671</v>
      </c>
      <c r="M167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E1671</v>
      </c>
      <c r="N1675" s="122" t="s">
        <v>73</v>
      </c>
      <c r="O1675" s="126" t="n">
        <v>3500000</v>
      </c>
      <c r="P1675" s="121" t="s">
        <v>18</v>
      </c>
      <c r="Q1675" s="121" t="s">
        <v>124</v>
      </c>
      <c r="R1675" s="127"/>
      <c r="T1675" s="118"/>
    </row>
    <row r="1676" customFormat="false" ht="12.75" hidden="false" customHeight="true" outlineLevel="0" collapsed="false">
      <c r="B1676" s="119" t="n">
        <f aca="false">ROW()-4</f>
        <v>1672</v>
      </c>
      <c r="C1676" s="120" t="n">
        <f aca="false">COUNTIFS($D$5:D1676,D1676)</f>
        <v>713</v>
      </c>
      <c r="D1676" s="121" t="s">
        <v>2006</v>
      </c>
      <c r="E1676" s="122" t="s">
        <v>3393</v>
      </c>
      <c r="F1676" s="123" t="n">
        <v>45786</v>
      </c>
      <c r="G1676" s="121" t="s">
        <v>30</v>
      </c>
      <c r="H167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A1672</v>
      </c>
      <c r="I167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B1672</v>
      </c>
      <c r="J1676" s="122" t="s">
        <v>3394</v>
      </c>
      <c r="K167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C1672</v>
      </c>
      <c r="L167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D1672</v>
      </c>
      <c r="M167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E1672</v>
      </c>
      <c r="N1676" s="122" t="s">
        <v>73</v>
      </c>
      <c r="O1676" s="126" t="n">
        <v>3500000</v>
      </c>
      <c r="P1676" s="121" t="s">
        <v>18</v>
      </c>
      <c r="Q1676" s="121" t="s">
        <v>124</v>
      </c>
      <c r="R1676" s="127"/>
      <c r="T1676" s="118"/>
    </row>
    <row r="1677" customFormat="false" ht="12.75" hidden="false" customHeight="true" outlineLevel="0" collapsed="false">
      <c r="B1677" s="119" t="n">
        <f aca="false">ROW()-4</f>
        <v>1673</v>
      </c>
      <c r="C1677" s="120" t="n">
        <f aca="false">COUNTIFS($D$5:D1677,D1677)</f>
        <v>714</v>
      </c>
      <c r="D1677" s="121" t="s">
        <v>2006</v>
      </c>
      <c r="E1677" s="122" t="s">
        <v>3395</v>
      </c>
      <c r="F1677" s="123" t="n">
        <v>45797</v>
      </c>
      <c r="G1677" s="121" t="s">
        <v>22</v>
      </c>
      <c r="H167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A1673</v>
      </c>
      <c r="I167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B1673</v>
      </c>
      <c r="J1677" s="122" t="s">
        <v>3396</v>
      </c>
      <c r="K167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C1673</v>
      </c>
      <c r="L167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D1673</v>
      </c>
      <c r="M167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E1673</v>
      </c>
      <c r="N1677" s="122" t="s">
        <v>73</v>
      </c>
      <c r="O1677" s="126" t="n">
        <v>3500000</v>
      </c>
      <c r="P1677" s="121" t="s">
        <v>18</v>
      </c>
      <c r="Q1677" s="121" t="s">
        <v>124</v>
      </c>
      <c r="R1677" s="127"/>
      <c r="T1677" s="118"/>
    </row>
    <row r="1678" customFormat="false" ht="12.75" hidden="false" customHeight="true" outlineLevel="0" collapsed="false">
      <c r="B1678" s="119" t="n">
        <f aca="false">ROW()-4</f>
        <v>1674</v>
      </c>
      <c r="C1678" s="120" t="n">
        <f aca="false">COUNTIFS($D$5:D1678,D1678)</f>
        <v>715</v>
      </c>
      <c r="D1678" s="121" t="s">
        <v>2006</v>
      </c>
      <c r="E1678" s="122" t="s">
        <v>3397</v>
      </c>
      <c r="F1678" s="123" t="n">
        <v>45777</v>
      </c>
      <c r="G1678" s="121" t="s">
        <v>30</v>
      </c>
      <c r="H167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A1674</v>
      </c>
      <c r="I167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B1674</v>
      </c>
      <c r="J1678" s="122" t="s">
        <v>3398</v>
      </c>
      <c r="K167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C1674</v>
      </c>
      <c r="L167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D1674</v>
      </c>
      <c r="M167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E1674</v>
      </c>
      <c r="N1678" s="122" t="s">
        <v>73</v>
      </c>
      <c r="O1678" s="126" t="n">
        <v>3500000</v>
      </c>
      <c r="P1678" s="121" t="s">
        <v>18</v>
      </c>
      <c r="Q1678" s="121" t="s">
        <v>124</v>
      </c>
      <c r="R1678" s="127"/>
      <c r="T1678" s="118"/>
    </row>
    <row r="1679" customFormat="false" ht="12.75" hidden="false" customHeight="true" outlineLevel="0" collapsed="false">
      <c r="B1679" s="119" t="n">
        <f aca="false">ROW()-4</f>
        <v>1675</v>
      </c>
      <c r="C1679" s="120" t="n">
        <f aca="false">COUNTIFS($D$5:D1679,D1679)</f>
        <v>716</v>
      </c>
      <c r="D1679" s="121" t="s">
        <v>2006</v>
      </c>
      <c r="E1679" s="122" t="s">
        <v>3399</v>
      </c>
      <c r="F1679" s="123" t="n">
        <v>45776</v>
      </c>
      <c r="G1679" s="121" t="s">
        <v>30</v>
      </c>
      <c r="H167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A1675</v>
      </c>
      <c r="I167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B1675</v>
      </c>
      <c r="J1679" s="122" t="s">
        <v>3400</v>
      </c>
      <c r="K167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C1675</v>
      </c>
      <c r="L167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D1675</v>
      </c>
      <c r="M167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E1675</v>
      </c>
      <c r="N1679" s="122" t="s">
        <v>73</v>
      </c>
      <c r="O1679" s="126" t="n">
        <v>3500000</v>
      </c>
      <c r="P1679" s="121" t="s">
        <v>18</v>
      </c>
      <c r="Q1679" s="121" t="s">
        <v>124</v>
      </c>
      <c r="R1679" s="127"/>
      <c r="T1679" s="118"/>
    </row>
    <row r="1680" customFormat="false" ht="12.75" hidden="false" customHeight="true" outlineLevel="0" collapsed="false">
      <c r="B1680" s="119" t="n">
        <f aca="false">ROW()-4</f>
        <v>1676</v>
      </c>
      <c r="C1680" s="120" t="n">
        <f aca="false">COUNTIFS($D$5:D1680,D1680)</f>
        <v>717</v>
      </c>
      <c r="D1680" s="121" t="s">
        <v>2006</v>
      </c>
      <c r="E1680" s="122" t="s">
        <v>3401</v>
      </c>
      <c r="F1680" s="123" t="n">
        <v>45797</v>
      </c>
      <c r="G1680" s="121" t="s">
        <v>28</v>
      </c>
      <c r="H168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A1676</v>
      </c>
      <c r="I168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B1676</v>
      </c>
      <c r="J1680" s="122" t="s">
        <v>3402</v>
      </c>
      <c r="K168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C1676</v>
      </c>
      <c r="L168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D1676</v>
      </c>
      <c r="M168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E1676</v>
      </c>
      <c r="N1680" s="122" t="s">
        <v>73</v>
      </c>
      <c r="O1680" s="126" t="n">
        <v>3500000</v>
      </c>
      <c r="P1680" s="121" t="s">
        <v>18</v>
      </c>
      <c r="Q1680" s="121" t="s">
        <v>124</v>
      </c>
      <c r="R1680" s="127"/>
      <c r="T1680" s="118"/>
    </row>
    <row r="1681" customFormat="false" ht="12.75" hidden="false" customHeight="true" outlineLevel="0" collapsed="false">
      <c r="B1681" s="119" t="n">
        <f aca="false">ROW()-4</f>
        <v>1677</v>
      </c>
      <c r="C1681" s="120" t="n">
        <f aca="false">COUNTIFS($D$5:D1681,D1681)</f>
        <v>718</v>
      </c>
      <c r="D1681" s="121" t="s">
        <v>2006</v>
      </c>
      <c r="E1681" s="122" t="s">
        <v>3403</v>
      </c>
      <c r="F1681" s="123"/>
      <c r="G1681" s="121" t="s">
        <v>22</v>
      </c>
      <c r="H1681" s="122"/>
      <c r="I1681" s="122"/>
      <c r="J1681" s="122"/>
      <c r="K1681" s="122"/>
      <c r="L1681" s="125"/>
      <c r="M168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E1677</v>
      </c>
      <c r="N1681" s="122" t="s">
        <v>73</v>
      </c>
      <c r="O1681" s="126" t="n">
        <v>3500000</v>
      </c>
      <c r="P1681" s="121" t="s">
        <v>19</v>
      </c>
      <c r="Q1681" s="122"/>
      <c r="R1681" s="128" t="s">
        <v>61</v>
      </c>
      <c r="T1681" s="118"/>
    </row>
    <row r="1682" customFormat="false" ht="12.75" hidden="false" customHeight="true" outlineLevel="0" collapsed="false">
      <c r="B1682" s="140" t="n">
        <f aca="false">ROW()-4</f>
        <v>1678</v>
      </c>
      <c r="C1682" s="141" t="n">
        <f aca="false">COUNTIFS($D$5:D1682,D1682)</f>
        <v>719</v>
      </c>
      <c r="D1682" s="142" t="s">
        <v>2006</v>
      </c>
      <c r="E1682" s="143" t="s">
        <v>3404</v>
      </c>
      <c r="F1682" s="144" t="n">
        <v>46062</v>
      </c>
      <c r="G1682" s="142" t="s">
        <v>22</v>
      </c>
      <c r="H1682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A1678</v>
      </c>
      <c r="I1682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B1678</v>
      </c>
      <c r="J1682" s="143" t="s">
        <v>3405</v>
      </c>
      <c r="K1682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C1678</v>
      </c>
      <c r="L1682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D1678</v>
      </c>
      <c r="M1682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E1678</v>
      </c>
      <c r="N1682" s="143" t="s">
        <v>73</v>
      </c>
      <c r="O1682" s="146" t="n">
        <v>3500000</v>
      </c>
      <c r="P1682" s="142" t="s">
        <v>907</v>
      </c>
      <c r="Q1682" s="143" t="s">
        <v>908</v>
      </c>
      <c r="R1682" s="147"/>
      <c r="T1682" s="118"/>
    </row>
    <row r="1683" customFormat="false" ht="12.75" hidden="false" customHeight="true" outlineLevel="0" collapsed="false">
      <c r="B1683" s="119" t="n">
        <f aca="false">ROW()-4</f>
        <v>1679</v>
      </c>
      <c r="C1683" s="120" t="n">
        <f aca="false">COUNTIFS($D$5:D1683,D1683)</f>
        <v>720</v>
      </c>
      <c r="D1683" s="121" t="s">
        <v>2006</v>
      </c>
      <c r="E1683" s="122" t="s">
        <v>3406</v>
      </c>
      <c r="F1683" s="123" t="n">
        <v>45798</v>
      </c>
      <c r="G1683" s="121" t="s">
        <v>26</v>
      </c>
      <c r="H168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A1679</v>
      </c>
      <c r="I168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B1679</v>
      </c>
      <c r="J1683" s="122" t="s">
        <v>3407</v>
      </c>
      <c r="K168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C1679</v>
      </c>
      <c r="L168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D1679</v>
      </c>
      <c r="M168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E1679</v>
      </c>
      <c r="N1683" s="122" t="s">
        <v>73</v>
      </c>
      <c r="O1683" s="126" t="n">
        <v>3500000</v>
      </c>
      <c r="P1683" s="121" t="s">
        <v>18</v>
      </c>
      <c r="Q1683" s="121" t="s">
        <v>124</v>
      </c>
      <c r="R1683" s="127"/>
      <c r="T1683" s="118"/>
    </row>
    <row r="1684" customFormat="false" ht="12.75" hidden="false" customHeight="true" outlineLevel="0" collapsed="false">
      <c r="B1684" s="119" t="n">
        <f aca="false">ROW()-4</f>
        <v>1680</v>
      </c>
      <c r="C1684" s="120" t="n">
        <f aca="false">COUNTIFS($D$5:D1684,D1684)</f>
        <v>721</v>
      </c>
      <c r="D1684" s="121" t="s">
        <v>2006</v>
      </c>
      <c r="E1684" s="122" t="s">
        <v>3408</v>
      </c>
      <c r="F1684" s="123" t="n">
        <v>45799</v>
      </c>
      <c r="G1684" s="121" t="s">
        <v>24</v>
      </c>
      <c r="H168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A1680</v>
      </c>
      <c r="I168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B1680</v>
      </c>
      <c r="J1684" s="122" t="s">
        <v>3409</v>
      </c>
      <c r="K168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C1680</v>
      </c>
      <c r="L168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D1680</v>
      </c>
      <c r="M168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E1680</v>
      </c>
      <c r="N1684" s="122" t="s">
        <v>73</v>
      </c>
      <c r="O1684" s="126" t="n">
        <v>3500000</v>
      </c>
      <c r="P1684" s="121" t="s">
        <v>18</v>
      </c>
      <c r="Q1684" s="121" t="s">
        <v>124</v>
      </c>
      <c r="R1684" s="127"/>
      <c r="T1684" s="118"/>
    </row>
    <row r="1685" customFormat="false" ht="12.75" hidden="false" customHeight="true" outlineLevel="0" collapsed="false">
      <c r="B1685" s="119" t="n">
        <f aca="false">ROW()-4</f>
        <v>1681</v>
      </c>
      <c r="C1685" s="120" t="n">
        <f aca="false">COUNTIFS($D$5:D1685,D1685)</f>
        <v>722</v>
      </c>
      <c r="D1685" s="121" t="s">
        <v>2006</v>
      </c>
      <c r="E1685" s="122" t="s">
        <v>3410</v>
      </c>
      <c r="F1685" s="123" t="n">
        <v>45799</v>
      </c>
      <c r="G1685" s="121" t="s">
        <v>24</v>
      </c>
      <c r="H168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A1681</v>
      </c>
      <c r="I168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B1681</v>
      </c>
      <c r="J1685" s="122" t="s">
        <v>3411</v>
      </c>
      <c r="K168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C1681</v>
      </c>
      <c r="L168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D1681</v>
      </c>
      <c r="M168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E1681</v>
      </c>
      <c r="N1685" s="122" t="s">
        <v>73</v>
      </c>
      <c r="O1685" s="126" t="n">
        <v>3500000</v>
      </c>
      <c r="P1685" s="121" t="s">
        <v>18</v>
      </c>
      <c r="Q1685" s="121" t="s">
        <v>124</v>
      </c>
      <c r="R1685" s="127"/>
      <c r="T1685" s="118"/>
    </row>
    <row r="1686" customFormat="false" ht="12.75" hidden="false" customHeight="true" outlineLevel="0" collapsed="false">
      <c r="B1686" s="119" t="n">
        <f aca="false">ROW()-4</f>
        <v>1682</v>
      </c>
      <c r="C1686" s="120" t="n">
        <f aca="false">COUNTIFS($D$5:D1686,D1686)</f>
        <v>723</v>
      </c>
      <c r="D1686" s="121" t="s">
        <v>2006</v>
      </c>
      <c r="E1686" s="122" t="s">
        <v>3412</v>
      </c>
      <c r="F1686" s="123" t="n">
        <v>45804</v>
      </c>
      <c r="G1686" s="121" t="s">
        <v>28</v>
      </c>
      <c r="H168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A1682</v>
      </c>
      <c r="I168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B1682</v>
      </c>
      <c r="J1686" s="122" t="s">
        <v>3413</v>
      </c>
      <c r="K168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C1682</v>
      </c>
      <c r="L168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D1682</v>
      </c>
      <c r="M168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E1682</v>
      </c>
      <c r="N1686" s="122" t="s">
        <v>73</v>
      </c>
      <c r="O1686" s="126" t="n">
        <v>3500000</v>
      </c>
      <c r="P1686" s="121" t="s">
        <v>18</v>
      </c>
      <c r="Q1686" s="121" t="s">
        <v>124</v>
      </c>
      <c r="R1686" s="127"/>
      <c r="T1686" s="118"/>
    </row>
    <row r="1687" customFormat="false" ht="12.75" hidden="false" customHeight="true" outlineLevel="0" collapsed="false">
      <c r="B1687" s="119" t="n">
        <f aca="false">ROW()-4</f>
        <v>1683</v>
      </c>
      <c r="C1687" s="120" t="n">
        <f aca="false">COUNTIFS($D$5:D1687,D1687)</f>
        <v>724</v>
      </c>
      <c r="D1687" s="121" t="s">
        <v>2006</v>
      </c>
      <c r="E1687" s="122" t="s">
        <v>3414</v>
      </c>
      <c r="F1687" s="123" t="n">
        <v>45804</v>
      </c>
      <c r="G1687" s="121" t="s">
        <v>28</v>
      </c>
      <c r="H168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A1683</v>
      </c>
      <c r="I168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B1683</v>
      </c>
      <c r="J1687" s="122" t="s">
        <v>3415</v>
      </c>
      <c r="K168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C1683</v>
      </c>
      <c r="L168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D1683</v>
      </c>
      <c r="M168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E1683</v>
      </c>
      <c r="N1687" s="122" t="s">
        <v>73</v>
      </c>
      <c r="O1687" s="126" t="n">
        <v>3500000</v>
      </c>
      <c r="P1687" s="121" t="s">
        <v>18</v>
      </c>
      <c r="Q1687" s="121" t="s">
        <v>124</v>
      </c>
      <c r="R1687" s="127"/>
      <c r="T1687" s="118"/>
    </row>
    <row r="1688" customFormat="false" ht="12.75" hidden="false" customHeight="true" outlineLevel="0" collapsed="false">
      <c r="B1688" s="119" t="n">
        <f aca="false">ROW()-4</f>
        <v>1684</v>
      </c>
      <c r="C1688" s="120" t="n">
        <f aca="false">COUNTIFS($D$5:D1688,D1688)</f>
        <v>725</v>
      </c>
      <c r="D1688" s="121" t="s">
        <v>2006</v>
      </c>
      <c r="E1688" s="122" t="s">
        <v>3416</v>
      </c>
      <c r="F1688" s="123" t="n">
        <v>45804</v>
      </c>
      <c r="G1688" s="121" t="s">
        <v>22</v>
      </c>
      <c r="H168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A1684</v>
      </c>
      <c r="I168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B1684</v>
      </c>
      <c r="J1688" s="122" t="s">
        <v>3417</v>
      </c>
      <c r="K168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C1684</v>
      </c>
      <c r="L168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D1684</v>
      </c>
      <c r="M168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E1684</v>
      </c>
      <c r="N1688" s="122" t="s">
        <v>73</v>
      </c>
      <c r="O1688" s="126" t="n">
        <v>3500000</v>
      </c>
      <c r="P1688" s="121" t="s">
        <v>18</v>
      </c>
      <c r="Q1688" s="121" t="s">
        <v>124</v>
      </c>
      <c r="R1688" s="127"/>
      <c r="T1688" s="118"/>
    </row>
    <row r="1689" customFormat="false" ht="12.75" hidden="false" customHeight="true" outlineLevel="0" collapsed="false">
      <c r="B1689" s="119" t="n">
        <f aca="false">ROW()-4</f>
        <v>1685</v>
      </c>
      <c r="C1689" s="120" t="n">
        <f aca="false">COUNTIFS($D$5:D1689,D1689)</f>
        <v>726</v>
      </c>
      <c r="D1689" s="121" t="s">
        <v>2006</v>
      </c>
      <c r="E1689" s="122" t="s">
        <v>3418</v>
      </c>
      <c r="F1689" s="123" t="n">
        <v>45803</v>
      </c>
      <c r="G1689" s="121" t="s">
        <v>22</v>
      </c>
      <c r="H168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A1685</v>
      </c>
      <c r="I168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B1685</v>
      </c>
      <c r="J1689" s="122" t="s">
        <v>3419</v>
      </c>
      <c r="K168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C1685</v>
      </c>
      <c r="L168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D1685</v>
      </c>
      <c r="M168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E1685</v>
      </c>
      <c r="N1689" s="122" t="s">
        <v>73</v>
      </c>
      <c r="O1689" s="126" t="n">
        <v>3500000</v>
      </c>
      <c r="P1689" s="121" t="s">
        <v>18</v>
      </c>
      <c r="Q1689" s="121" t="s">
        <v>124</v>
      </c>
      <c r="R1689" s="127"/>
      <c r="T1689" s="118"/>
    </row>
    <row r="1690" customFormat="false" ht="12.75" hidden="false" customHeight="true" outlineLevel="0" collapsed="false">
      <c r="B1690" s="119" t="n">
        <f aca="false">ROW()-4</f>
        <v>1686</v>
      </c>
      <c r="C1690" s="120" t="n">
        <f aca="false">COUNTIFS($D$5:D1690,D1690)</f>
        <v>727</v>
      </c>
      <c r="D1690" s="121" t="s">
        <v>2006</v>
      </c>
      <c r="E1690" s="122" t="s">
        <v>3420</v>
      </c>
      <c r="F1690" s="123" t="n">
        <v>45803</v>
      </c>
      <c r="G1690" s="121" t="s">
        <v>22</v>
      </c>
      <c r="H169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A1686</v>
      </c>
      <c r="I169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B1686</v>
      </c>
      <c r="J1690" s="122" t="s">
        <v>3421</v>
      </c>
      <c r="K169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C1686</v>
      </c>
      <c r="L169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D1686</v>
      </c>
      <c r="M169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E1686</v>
      </c>
      <c r="N1690" s="122" t="s">
        <v>73</v>
      </c>
      <c r="O1690" s="126" t="n">
        <v>3500000</v>
      </c>
      <c r="P1690" s="121" t="s">
        <v>18</v>
      </c>
      <c r="Q1690" s="121" t="s">
        <v>124</v>
      </c>
      <c r="R1690" s="127"/>
      <c r="T1690" s="118"/>
    </row>
    <row r="1691" customFormat="false" ht="12.75" hidden="false" customHeight="true" outlineLevel="0" collapsed="false">
      <c r="B1691" s="119" t="n">
        <f aca="false">ROW()-4</f>
        <v>1687</v>
      </c>
      <c r="C1691" s="120" t="n">
        <f aca="false">COUNTIFS($D$5:D1691,D1691)</f>
        <v>728</v>
      </c>
      <c r="D1691" s="121" t="s">
        <v>2006</v>
      </c>
      <c r="E1691" s="122" t="s">
        <v>3422</v>
      </c>
      <c r="F1691" s="123" t="n">
        <v>45805</v>
      </c>
      <c r="G1691" s="121" t="s">
        <v>22</v>
      </c>
      <c r="H169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A1687</v>
      </c>
      <c r="I169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B1687</v>
      </c>
      <c r="J1691" s="122" t="s">
        <v>3423</v>
      </c>
      <c r="K169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C1687</v>
      </c>
      <c r="L169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D1687</v>
      </c>
      <c r="M169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E1687</v>
      </c>
      <c r="N1691" s="122" t="s">
        <v>73</v>
      </c>
      <c r="O1691" s="126" t="n">
        <v>3500000</v>
      </c>
      <c r="P1691" s="121" t="s">
        <v>18</v>
      </c>
      <c r="Q1691" s="121" t="s">
        <v>124</v>
      </c>
      <c r="R1691" s="127"/>
      <c r="T1691" s="118"/>
    </row>
    <row r="1692" customFormat="false" ht="12.75" hidden="false" customHeight="true" outlineLevel="0" collapsed="false">
      <c r="B1692" s="119" t="n">
        <f aca="false">ROW()-4</f>
        <v>1688</v>
      </c>
      <c r="C1692" s="120" t="n">
        <f aca="false">COUNTIFS($D$5:D1692,D1692)</f>
        <v>729</v>
      </c>
      <c r="D1692" s="121" t="s">
        <v>2006</v>
      </c>
      <c r="E1692" s="122" t="s">
        <v>3424</v>
      </c>
      <c r="F1692" s="123" t="n">
        <v>45805</v>
      </c>
      <c r="G1692" s="121" t="s">
        <v>22</v>
      </c>
      <c r="H169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A1688</v>
      </c>
      <c r="I169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B1688</v>
      </c>
      <c r="J1692" s="122" t="s">
        <v>3425</v>
      </c>
      <c r="K169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C1688</v>
      </c>
      <c r="L169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D1688</v>
      </c>
      <c r="M169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E1688</v>
      </c>
      <c r="N1692" s="122" t="s">
        <v>73</v>
      </c>
      <c r="O1692" s="126" t="n">
        <v>3500000</v>
      </c>
      <c r="P1692" s="121" t="s">
        <v>18</v>
      </c>
      <c r="Q1692" s="121" t="s">
        <v>124</v>
      </c>
      <c r="R1692" s="127"/>
      <c r="T1692" s="118"/>
    </row>
    <row r="1693" customFormat="false" ht="12.75" hidden="false" customHeight="true" outlineLevel="0" collapsed="false">
      <c r="B1693" s="119" t="n">
        <f aca="false">ROW()-4</f>
        <v>1689</v>
      </c>
      <c r="C1693" s="120" t="n">
        <f aca="false">COUNTIFS($D$5:D1693,D1693)</f>
        <v>730</v>
      </c>
      <c r="D1693" s="121" t="s">
        <v>2006</v>
      </c>
      <c r="E1693" s="122" t="s">
        <v>3426</v>
      </c>
      <c r="F1693" s="123" t="n">
        <v>45793</v>
      </c>
      <c r="G1693" s="121" t="s">
        <v>22</v>
      </c>
      <c r="H169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A1689</v>
      </c>
      <c r="I169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B1689</v>
      </c>
      <c r="J1693" s="122" t="s">
        <v>3427</v>
      </c>
      <c r="K169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C1689</v>
      </c>
      <c r="L169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D1689</v>
      </c>
      <c r="M169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E1689</v>
      </c>
      <c r="N1693" s="122" t="s">
        <v>73</v>
      </c>
      <c r="O1693" s="126" t="n">
        <v>3500000</v>
      </c>
      <c r="P1693" s="121" t="s">
        <v>18</v>
      </c>
      <c r="Q1693" s="121" t="s">
        <v>124</v>
      </c>
      <c r="R1693" s="127"/>
      <c r="T1693" s="118"/>
    </row>
    <row r="1694" customFormat="false" ht="12.75" hidden="false" customHeight="true" outlineLevel="0" collapsed="false">
      <c r="B1694" s="119" t="n">
        <f aca="false">ROW()-4</f>
        <v>1690</v>
      </c>
      <c r="C1694" s="120" t="n">
        <f aca="false">COUNTIFS($D$5:D1694,D1694)</f>
        <v>731</v>
      </c>
      <c r="D1694" s="121" t="s">
        <v>2006</v>
      </c>
      <c r="E1694" s="122" t="s">
        <v>3428</v>
      </c>
      <c r="F1694" s="123" t="n">
        <v>45810</v>
      </c>
      <c r="G1694" s="121" t="s">
        <v>26</v>
      </c>
      <c r="H169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A1690</v>
      </c>
      <c r="I169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B1690</v>
      </c>
      <c r="J1694" s="122" t="s">
        <v>3429</v>
      </c>
      <c r="K169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C1690</v>
      </c>
      <c r="L169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D1690</v>
      </c>
      <c r="M169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E1690</v>
      </c>
      <c r="N1694" s="122" t="s">
        <v>73</v>
      </c>
      <c r="O1694" s="126" t="n">
        <v>3500000</v>
      </c>
      <c r="P1694" s="121" t="s">
        <v>18</v>
      </c>
      <c r="Q1694" s="121" t="s">
        <v>124</v>
      </c>
      <c r="R1694" s="127"/>
      <c r="T1694" s="118"/>
    </row>
    <row r="1695" customFormat="false" ht="12.75" hidden="false" customHeight="true" outlineLevel="0" collapsed="false">
      <c r="B1695" s="119" t="n">
        <f aca="false">ROW()-4</f>
        <v>1691</v>
      </c>
      <c r="C1695" s="120" t="n">
        <f aca="false">COUNTIFS($D$5:D1695,D1695)</f>
        <v>732</v>
      </c>
      <c r="D1695" s="121" t="s">
        <v>2006</v>
      </c>
      <c r="E1695" s="122" t="s">
        <v>3430</v>
      </c>
      <c r="F1695" s="123" t="n">
        <v>45818</v>
      </c>
      <c r="G1695" s="121" t="s">
        <v>24</v>
      </c>
      <c r="H169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A1691</v>
      </c>
      <c r="I169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B1691</v>
      </c>
      <c r="J1695" s="122" t="s">
        <v>3431</v>
      </c>
      <c r="K169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C1691</v>
      </c>
      <c r="L169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D1691</v>
      </c>
      <c r="M169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E1691</v>
      </c>
      <c r="N1695" s="122" t="s">
        <v>73</v>
      </c>
      <c r="O1695" s="126" t="n">
        <v>3500000</v>
      </c>
      <c r="P1695" s="121" t="s">
        <v>18</v>
      </c>
      <c r="Q1695" s="121" t="s">
        <v>124</v>
      </c>
      <c r="R1695" s="127"/>
      <c r="T1695" s="118"/>
    </row>
    <row r="1696" customFormat="false" ht="12.75" hidden="false" customHeight="true" outlineLevel="0" collapsed="false">
      <c r="B1696" s="119" t="n">
        <f aca="false">ROW()-4</f>
        <v>1692</v>
      </c>
      <c r="C1696" s="120" t="n">
        <f aca="false">COUNTIFS($D$5:D1696,D1696)</f>
        <v>733</v>
      </c>
      <c r="D1696" s="121" t="s">
        <v>2006</v>
      </c>
      <c r="E1696" s="122" t="s">
        <v>3432</v>
      </c>
      <c r="F1696" s="123" t="n">
        <v>45819</v>
      </c>
      <c r="G1696" s="121" t="s">
        <v>22</v>
      </c>
      <c r="H169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A1692</v>
      </c>
      <c r="I169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B1692</v>
      </c>
      <c r="J1696" s="122" t="s">
        <v>3433</v>
      </c>
      <c r="K169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C1692</v>
      </c>
      <c r="L169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D1692</v>
      </c>
      <c r="M169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E1692</v>
      </c>
      <c r="N1696" s="122" t="s">
        <v>73</v>
      </c>
      <c r="O1696" s="126" t="n">
        <v>3500000</v>
      </c>
      <c r="P1696" s="121" t="s">
        <v>18</v>
      </c>
      <c r="Q1696" s="121" t="s">
        <v>124</v>
      </c>
      <c r="R1696" s="127"/>
      <c r="T1696" s="118"/>
    </row>
    <row r="1697" customFormat="false" ht="12.75" hidden="false" customHeight="true" outlineLevel="0" collapsed="false">
      <c r="B1697" s="119" t="n">
        <f aca="false">ROW()-4</f>
        <v>1693</v>
      </c>
      <c r="C1697" s="120" t="n">
        <f aca="false">COUNTIFS($D$5:D1697,D1697)</f>
        <v>734</v>
      </c>
      <c r="D1697" s="121" t="s">
        <v>2006</v>
      </c>
      <c r="E1697" s="122" t="s">
        <v>3434</v>
      </c>
      <c r="F1697" s="123" t="n">
        <v>45813</v>
      </c>
      <c r="G1697" s="121" t="s">
        <v>22</v>
      </c>
      <c r="H169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A1693</v>
      </c>
      <c r="I169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B1693</v>
      </c>
      <c r="J1697" s="122" t="s">
        <v>3435</v>
      </c>
      <c r="K169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C1693</v>
      </c>
      <c r="L169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D1693</v>
      </c>
      <c r="M169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E1693</v>
      </c>
      <c r="N1697" s="122" t="s">
        <v>73</v>
      </c>
      <c r="O1697" s="126" t="n">
        <v>3500000</v>
      </c>
      <c r="P1697" s="121" t="s">
        <v>18</v>
      </c>
      <c r="Q1697" s="121" t="s">
        <v>124</v>
      </c>
      <c r="R1697" s="127"/>
      <c r="T1697" s="118"/>
    </row>
    <row r="1698" customFormat="false" ht="12.75" hidden="false" customHeight="true" outlineLevel="0" collapsed="false">
      <c r="B1698" s="119" t="n">
        <f aca="false">ROW()-4</f>
        <v>1694</v>
      </c>
      <c r="C1698" s="120" t="n">
        <f aca="false">COUNTIFS($D$5:D1698,D1698)</f>
        <v>735</v>
      </c>
      <c r="D1698" s="121" t="s">
        <v>2006</v>
      </c>
      <c r="E1698" s="122" t="s">
        <v>3436</v>
      </c>
      <c r="F1698" s="123" t="n">
        <v>45807</v>
      </c>
      <c r="G1698" s="121" t="s">
        <v>22</v>
      </c>
      <c r="H169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A1694</v>
      </c>
      <c r="I169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B1694</v>
      </c>
      <c r="J1698" s="122" t="s">
        <v>3437</v>
      </c>
      <c r="K169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C1694</v>
      </c>
      <c r="L169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D1694</v>
      </c>
      <c r="M169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E1694</v>
      </c>
      <c r="N1698" s="122" t="s">
        <v>73</v>
      </c>
      <c r="O1698" s="126" t="n">
        <v>3500000</v>
      </c>
      <c r="P1698" s="121" t="s">
        <v>18</v>
      </c>
      <c r="Q1698" s="121" t="s">
        <v>124</v>
      </c>
      <c r="R1698" s="127"/>
      <c r="T1698" s="118"/>
    </row>
    <row r="1699" customFormat="false" ht="12.75" hidden="false" customHeight="true" outlineLevel="0" collapsed="false">
      <c r="B1699" s="119" t="n">
        <f aca="false">ROW()-4</f>
        <v>1695</v>
      </c>
      <c r="C1699" s="120" t="n">
        <f aca="false">COUNTIFS($D$5:D1699,D1699)</f>
        <v>736</v>
      </c>
      <c r="D1699" s="121" t="s">
        <v>2006</v>
      </c>
      <c r="E1699" s="122" t="s">
        <v>3438</v>
      </c>
      <c r="F1699" s="123" t="n">
        <v>45807</v>
      </c>
      <c r="G1699" s="121" t="s">
        <v>22</v>
      </c>
      <c r="H169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A1695</v>
      </c>
      <c r="I169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B1695</v>
      </c>
      <c r="J1699" s="122" t="s">
        <v>3439</v>
      </c>
      <c r="K169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C1695</v>
      </c>
      <c r="L169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D1695</v>
      </c>
      <c r="M169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E1695</v>
      </c>
      <c r="N1699" s="122" t="s">
        <v>73</v>
      </c>
      <c r="O1699" s="126" t="n">
        <v>3500000</v>
      </c>
      <c r="P1699" s="121" t="s">
        <v>18</v>
      </c>
      <c r="Q1699" s="121" t="s">
        <v>124</v>
      </c>
      <c r="R1699" s="127"/>
      <c r="T1699" s="118"/>
    </row>
    <row r="1700" customFormat="false" ht="12.75" hidden="false" customHeight="true" outlineLevel="0" collapsed="false">
      <c r="B1700" s="119" t="n">
        <f aca="false">ROW()-4</f>
        <v>1696</v>
      </c>
      <c r="C1700" s="120" t="n">
        <f aca="false">COUNTIFS($D$5:D1700,D1700)</f>
        <v>737</v>
      </c>
      <c r="D1700" s="121" t="s">
        <v>2006</v>
      </c>
      <c r="E1700" s="122" t="s">
        <v>3440</v>
      </c>
      <c r="F1700" s="123" t="n">
        <v>45810</v>
      </c>
      <c r="G1700" s="121" t="s">
        <v>22</v>
      </c>
      <c r="H170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A1696</v>
      </c>
      <c r="I170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B1696</v>
      </c>
      <c r="J1700" s="122" t="s">
        <v>3441</v>
      </c>
      <c r="K170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C1696</v>
      </c>
      <c r="L170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D1696</v>
      </c>
      <c r="M170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E1696</v>
      </c>
      <c r="N1700" s="122" t="s">
        <v>73</v>
      </c>
      <c r="O1700" s="126" t="n">
        <v>3500000</v>
      </c>
      <c r="P1700" s="121" t="s">
        <v>18</v>
      </c>
      <c r="Q1700" s="121" t="s">
        <v>124</v>
      </c>
      <c r="R1700" s="127"/>
      <c r="T1700" s="118"/>
    </row>
    <row r="1701" customFormat="false" ht="12.75" hidden="false" customHeight="true" outlineLevel="0" collapsed="false">
      <c r="B1701" s="119" t="n">
        <f aca="false">ROW()-4</f>
        <v>1697</v>
      </c>
      <c r="C1701" s="120" t="n">
        <f aca="false">COUNTIFS($D$5:D1701,D1701)</f>
        <v>738</v>
      </c>
      <c r="D1701" s="121" t="s">
        <v>2006</v>
      </c>
      <c r="E1701" s="122" t="s">
        <v>3442</v>
      </c>
      <c r="F1701" s="123" t="n">
        <v>45810</v>
      </c>
      <c r="G1701" s="121" t="s">
        <v>22</v>
      </c>
      <c r="H170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A1697</v>
      </c>
      <c r="I170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B1697</v>
      </c>
      <c r="J1701" s="122" t="s">
        <v>3443</v>
      </c>
      <c r="K170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C1697</v>
      </c>
      <c r="L170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D1697</v>
      </c>
      <c r="M170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E1697</v>
      </c>
      <c r="N1701" s="122" t="s">
        <v>73</v>
      </c>
      <c r="O1701" s="126" t="n">
        <v>3500000</v>
      </c>
      <c r="P1701" s="121" t="s">
        <v>18</v>
      </c>
      <c r="Q1701" s="121" t="s">
        <v>124</v>
      </c>
      <c r="R1701" s="127"/>
      <c r="T1701" s="118"/>
    </row>
    <row r="1702" customFormat="false" ht="12.75" hidden="false" customHeight="true" outlineLevel="0" collapsed="false">
      <c r="B1702" s="119" t="n">
        <f aca="false">ROW()-4</f>
        <v>1698</v>
      </c>
      <c r="C1702" s="120" t="n">
        <f aca="false">COUNTIFS($D$5:D1702,D1702)</f>
        <v>739</v>
      </c>
      <c r="D1702" s="121" t="s">
        <v>2006</v>
      </c>
      <c r="E1702" s="122" t="s">
        <v>3444</v>
      </c>
      <c r="F1702" s="123" t="n">
        <v>45810</v>
      </c>
      <c r="G1702" s="121" t="s">
        <v>22</v>
      </c>
      <c r="H170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A1698</v>
      </c>
      <c r="I170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B1698</v>
      </c>
      <c r="J1702" s="122" t="s">
        <v>3445</v>
      </c>
      <c r="K170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C1698</v>
      </c>
      <c r="L170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D1698</v>
      </c>
      <c r="M170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E1698</v>
      </c>
      <c r="N1702" s="122" t="s">
        <v>73</v>
      </c>
      <c r="O1702" s="126" t="n">
        <v>3500000</v>
      </c>
      <c r="P1702" s="121" t="s">
        <v>18</v>
      </c>
      <c r="Q1702" s="121" t="s">
        <v>124</v>
      </c>
      <c r="R1702" s="127"/>
      <c r="T1702" s="118"/>
    </row>
    <row r="1703" customFormat="false" ht="12.75" hidden="false" customHeight="true" outlineLevel="0" collapsed="false">
      <c r="B1703" s="119" t="n">
        <f aca="false">ROW()-4</f>
        <v>1699</v>
      </c>
      <c r="C1703" s="120" t="n">
        <f aca="false">COUNTIFS($D$5:D1703,D1703)</f>
        <v>740</v>
      </c>
      <c r="D1703" s="121" t="s">
        <v>2006</v>
      </c>
      <c r="E1703" s="122" t="s">
        <v>3446</v>
      </c>
      <c r="F1703" s="123" t="n">
        <v>45807</v>
      </c>
      <c r="G1703" s="121" t="s">
        <v>22</v>
      </c>
      <c r="H170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A1699</v>
      </c>
      <c r="I170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B1699</v>
      </c>
      <c r="J1703" s="122" t="s">
        <v>3447</v>
      </c>
      <c r="K170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C1699</v>
      </c>
      <c r="L170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D1699</v>
      </c>
      <c r="M170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E1699</v>
      </c>
      <c r="N1703" s="122" t="s">
        <v>73</v>
      </c>
      <c r="O1703" s="126" t="n">
        <v>3500000</v>
      </c>
      <c r="P1703" s="121" t="s">
        <v>18</v>
      </c>
      <c r="Q1703" s="121" t="s">
        <v>124</v>
      </c>
      <c r="R1703" s="127"/>
      <c r="T1703" s="118"/>
    </row>
    <row r="1704" customFormat="false" ht="12.75" hidden="false" customHeight="true" outlineLevel="0" collapsed="false">
      <c r="B1704" s="119" t="n">
        <f aca="false">ROW()-4</f>
        <v>1700</v>
      </c>
      <c r="C1704" s="120" t="n">
        <f aca="false">COUNTIFS($D$5:D1704,D1704)</f>
        <v>741</v>
      </c>
      <c r="D1704" s="121" t="s">
        <v>2006</v>
      </c>
      <c r="E1704" s="122" t="s">
        <v>3448</v>
      </c>
      <c r="F1704" s="123" t="n">
        <v>45807</v>
      </c>
      <c r="G1704" s="121" t="s">
        <v>22</v>
      </c>
      <c r="H170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A1700</v>
      </c>
      <c r="I170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B1700</v>
      </c>
      <c r="J1704" s="122" t="s">
        <v>3449</v>
      </c>
      <c r="K170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C1700</v>
      </c>
      <c r="L170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D1700</v>
      </c>
      <c r="M170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E1700</v>
      </c>
      <c r="N1704" s="122" t="s">
        <v>73</v>
      </c>
      <c r="O1704" s="126" t="n">
        <v>3500000</v>
      </c>
      <c r="P1704" s="121" t="s">
        <v>18</v>
      </c>
      <c r="Q1704" s="121" t="s">
        <v>124</v>
      </c>
      <c r="R1704" s="127"/>
      <c r="T1704" s="118"/>
    </row>
    <row r="1705" customFormat="false" ht="12.75" hidden="false" customHeight="true" outlineLevel="0" collapsed="false">
      <c r="B1705" s="119" t="n">
        <f aca="false">ROW()-4</f>
        <v>1701</v>
      </c>
      <c r="C1705" s="120" t="n">
        <f aca="false">COUNTIFS($D$5:D1705,D1705)</f>
        <v>742</v>
      </c>
      <c r="D1705" s="121" t="s">
        <v>2006</v>
      </c>
      <c r="E1705" s="122" t="s">
        <v>3450</v>
      </c>
      <c r="F1705" s="123" t="n">
        <v>45779</v>
      </c>
      <c r="G1705" s="121" t="s">
        <v>22</v>
      </c>
      <c r="H170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A1701</v>
      </c>
      <c r="I170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B1701</v>
      </c>
      <c r="J1705" s="122" t="s">
        <v>3451</v>
      </c>
      <c r="K170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C1701</v>
      </c>
      <c r="L170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D1701</v>
      </c>
      <c r="M170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E1701</v>
      </c>
      <c r="N1705" s="122" t="s">
        <v>73</v>
      </c>
      <c r="O1705" s="126" t="n">
        <v>3500000</v>
      </c>
      <c r="P1705" s="121" t="s">
        <v>18</v>
      </c>
      <c r="Q1705" s="121" t="s">
        <v>124</v>
      </c>
      <c r="R1705" s="127"/>
      <c r="T1705" s="118"/>
    </row>
    <row r="1706" customFormat="false" ht="12.75" hidden="false" customHeight="true" outlineLevel="0" collapsed="false">
      <c r="B1706" s="119" t="n">
        <f aca="false">ROW()-4</f>
        <v>1702</v>
      </c>
      <c r="C1706" s="120" t="n">
        <f aca="false">COUNTIFS($D$5:D1706,D1706)</f>
        <v>743</v>
      </c>
      <c r="D1706" s="121" t="s">
        <v>2006</v>
      </c>
      <c r="E1706" s="122" t="s">
        <v>3452</v>
      </c>
      <c r="F1706" s="123" t="n">
        <v>45763</v>
      </c>
      <c r="G1706" s="121" t="s">
        <v>22</v>
      </c>
      <c r="H170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A1702</v>
      </c>
      <c r="I170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B1702</v>
      </c>
      <c r="J1706" s="122" t="s">
        <v>3453</v>
      </c>
      <c r="K170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C1702</v>
      </c>
      <c r="L170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D1702</v>
      </c>
      <c r="M170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E1702</v>
      </c>
      <c r="N1706" s="122" t="s">
        <v>73</v>
      </c>
      <c r="O1706" s="126" t="n">
        <v>3500000</v>
      </c>
      <c r="P1706" s="121" t="s">
        <v>18</v>
      </c>
      <c r="Q1706" s="121" t="s">
        <v>124</v>
      </c>
      <c r="R1706" s="127"/>
      <c r="T1706" s="118"/>
    </row>
    <row r="1707" customFormat="false" ht="12.75" hidden="false" customHeight="true" outlineLevel="0" collapsed="false">
      <c r="B1707" s="119" t="n">
        <f aca="false">ROW()-4</f>
        <v>1703</v>
      </c>
      <c r="C1707" s="120" t="n">
        <f aca="false">COUNTIFS($D$5:D1707,D1707)</f>
        <v>744</v>
      </c>
      <c r="D1707" s="121" t="s">
        <v>2006</v>
      </c>
      <c r="E1707" s="122" t="s">
        <v>3454</v>
      </c>
      <c r="F1707" s="123" t="n">
        <v>45763</v>
      </c>
      <c r="G1707" s="121" t="s">
        <v>22</v>
      </c>
      <c r="H170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A1703</v>
      </c>
      <c r="I170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B1703</v>
      </c>
      <c r="J1707" s="122" t="s">
        <v>3455</v>
      </c>
      <c r="K170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C1703</v>
      </c>
      <c r="L170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D1703</v>
      </c>
      <c r="M170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E1703</v>
      </c>
      <c r="N1707" s="122" t="s">
        <v>73</v>
      </c>
      <c r="O1707" s="126" t="n">
        <v>3500000</v>
      </c>
      <c r="P1707" s="121" t="s">
        <v>18</v>
      </c>
      <c r="Q1707" s="121" t="s">
        <v>124</v>
      </c>
      <c r="R1707" s="127"/>
      <c r="T1707" s="118"/>
    </row>
    <row r="1708" customFormat="false" ht="12.75" hidden="false" customHeight="true" outlineLevel="0" collapsed="false">
      <c r="B1708" s="119" t="n">
        <f aca="false">ROW()-4</f>
        <v>1704</v>
      </c>
      <c r="C1708" s="120" t="n">
        <f aca="false">COUNTIFS($D$5:D1708,D1708)</f>
        <v>745</v>
      </c>
      <c r="D1708" s="121" t="s">
        <v>2006</v>
      </c>
      <c r="E1708" s="122" t="s">
        <v>3456</v>
      </c>
      <c r="F1708" s="123" t="n">
        <v>45772</v>
      </c>
      <c r="G1708" s="121" t="s">
        <v>22</v>
      </c>
      <c r="H170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A1704</v>
      </c>
      <c r="I170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B1704</v>
      </c>
      <c r="J1708" s="122" t="s">
        <v>3457</v>
      </c>
      <c r="K170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C1704</v>
      </c>
      <c r="L170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D1704</v>
      </c>
      <c r="M170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E1704</v>
      </c>
      <c r="N1708" s="122" t="s">
        <v>73</v>
      </c>
      <c r="O1708" s="126" t="n">
        <v>3500000</v>
      </c>
      <c r="P1708" s="121" t="s">
        <v>18</v>
      </c>
      <c r="Q1708" s="121" t="s">
        <v>124</v>
      </c>
      <c r="R1708" s="127"/>
      <c r="T1708" s="118"/>
    </row>
    <row r="1709" customFormat="false" ht="12.75" hidden="false" customHeight="true" outlineLevel="0" collapsed="false">
      <c r="B1709" s="119" t="n">
        <f aca="false">ROW()-4</f>
        <v>1705</v>
      </c>
      <c r="C1709" s="120" t="n">
        <f aca="false">COUNTIFS($D$5:D1709,D1709)</f>
        <v>746</v>
      </c>
      <c r="D1709" s="121" t="s">
        <v>2006</v>
      </c>
      <c r="E1709" s="122" t="s">
        <v>3458</v>
      </c>
      <c r="F1709" s="123" t="n">
        <v>45798</v>
      </c>
      <c r="G1709" s="121" t="s">
        <v>22</v>
      </c>
      <c r="H170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A1705</v>
      </c>
      <c r="I170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B1705</v>
      </c>
      <c r="J1709" s="122" t="s">
        <v>3459</v>
      </c>
      <c r="K170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C1705</v>
      </c>
      <c r="L170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D1705</v>
      </c>
      <c r="M170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E1705</v>
      </c>
      <c r="N1709" s="122" t="s">
        <v>73</v>
      </c>
      <c r="O1709" s="126" t="n">
        <v>3500000</v>
      </c>
      <c r="P1709" s="121" t="s">
        <v>18</v>
      </c>
      <c r="Q1709" s="121" t="s">
        <v>124</v>
      </c>
      <c r="R1709" s="127"/>
      <c r="T1709" s="118"/>
    </row>
    <row r="1710" customFormat="false" ht="12.75" hidden="false" customHeight="true" outlineLevel="0" collapsed="false">
      <c r="B1710" s="119" t="n">
        <f aca="false">ROW()-4</f>
        <v>1706</v>
      </c>
      <c r="C1710" s="120" t="n">
        <f aca="false">COUNTIFS($D$5:D1710,D1710)</f>
        <v>747</v>
      </c>
      <c r="D1710" s="121" t="s">
        <v>2006</v>
      </c>
      <c r="E1710" s="122" t="s">
        <v>3460</v>
      </c>
      <c r="F1710" s="123" t="n">
        <v>45810</v>
      </c>
      <c r="G1710" s="121" t="s">
        <v>22</v>
      </c>
      <c r="H171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A1706</v>
      </c>
      <c r="I171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B1706</v>
      </c>
      <c r="J1710" s="122" t="s">
        <v>3461</v>
      </c>
      <c r="K171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C1706</v>
      </c>
      <c r="L171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D1706</v>
      </c>
      <c r="M171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E1706</v>
      </c>
      <c r="N1710" s="122" t="s">
        <v>73</v>
      </c>
      <c r="O1710" s="126" t="n">
        <v>3500000</v>
      </c>
      <c r="P1710" s="121" t="s">
        <v>18</v>
      </c>
      <c r="Q1710" s="121" t="s">
        <v>124</v>
      </c>
      <c r="R1710" s="127"/>
      <c r="T1710" s="118"/>
    </row>
    <row r="1711" customFormat="false" ht="12.75" hidden="false" customHeight="true" outlineLevel="0" collapsed="false">
      <c r="B1711" s="119" t="n">
        <f aca="false">ROW()-4</f>
        <v>1707</v>
      </c>
      <c r="C1711" s="120" t="n">
        <f aca="false">COUNTIFS($D$5:D1711,D1711)</f>
        <v>748</v>
      </c>
      <c r="D1711" s="121" t="s">
        <v>2006</v>
      </c>
      <c r="E1711" s="122" t="s">
        <v>3462</v>
      </c>
      <c r="F1711" s="123" t="n">
        <v>45806</v>
      </c>
      <c r="G1711" s="121" t="s">
        <v>22</v>
      </c>
      <c r="H171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A1707</v>
      </c>
      <c r="I171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B1707</v>
      </c>
      <c r="J1711" s="122" t="s">
        <v>3463</v>
      </c>
      <c r="K171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C1707</v>
      </c>
      <c r="L171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D1707</v>
      </c>
      <c r="M171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E1707</v>
      </c>
      <c r="N1711" s="122" t="s">
        <v>73</v>
      </c>
      <c r="O1711" s="126" t="n">
        <v>3500000</v>
      </c>
      <c r="P1711" s="121" t="s">
        <v>18</v>
      </c>
      <c r="Q1711" s="121" t="s">
        <v>124</v>
      </c>
      <c r="R1711" s="127"/>
      <c r="T1711" s="118"/>
    </row>
    <row r="1712" customFormat="false" ht="12.75" hidden="false" customHeight="true" outlineLevel="0" collapsed="false">
      <c r="B1712" s="119" t="n">
        <f aca="false">ROW()-4</f>
        <v>1708</v>
      </c>
      <c r="C1712" s="120" t="n">
        <f aca="false">COUNTIFS($D$5:D1712,D1712)</f>
        <v>749</v>
      </c>
      <c r="D1712" s="121" t="s">
        <v>2006</v>
      </c>
      <c r="E1712" s="122" t="s">
        <v>3464</v>
      </c>
      <c r="F1712" s="123" t="n">
        <v>45824</v>
      </c>
      <c r="G1712" s="121" t="s">
        <v>26</v>
      </c>
      <c r="H171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A1708</v>
      </c>
      <c r="I171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B1708</v>
      </c>
      <c r="J1712" s="122" t="s">
        <v>2487</v>
      </c>
      <c r="K171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C1708</v>
      </c>
      <c r="L171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D1708</v>
      </c>
      <c r="M171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E1708</v>
      </c>
      <c r="N1712" s="122" t="s">
        <v>73</v>
      </c>
      <c r="O1712" s="126" t="n">
        <v>3500000</v>
      </c>
      <c r="P1712" s="121" t="s">
        <v>18</v>
      </c>
      <c r="Q1712" s="121" t="s">
        <v>124</v>
      </c>
      <c r="R1712" s="127"/>
      <c r="T1712" s="118"/>
    </row>
    <row r="1713" customFormat="false" ht="12.75" hidden="false" customHeight="true" outlineLevel="0" collapsed="false">
      <c r="B1713" s="119" t="n">
        <f aca="false">ROW()-4</f>
        <v>1709</v>
      </c>
      <c r="C1713" s="120" t="n">
        <f aca="false">COUNTIFS($D$5:D1713,D1713)</f>
        <v>750</v>
      </c>
      <c r="D1713" s="121" t="s">
        <v>2006</v>
      </c>
      <c r="E1713" s="122" t="s">
        <v>3465</v>
      </c>
      <c r="F1713" s="123" t="n">
        <v>45824</v>
      </c>
      <c r="G1713" s="121" t="s">
        <v>22</v>
      </c>
      <c r="H171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A1709</v>
      </c>
      <c r="I171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B1709</v>
      </c>
      <c r="J1713" s="122" t="s">
        <v>3466</v>
      </c>
      <c r="K171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C1709</v>
      </c>
      <c r="L171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D1709</v>
      </c>
      <c r="M171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E1709</v>
      </c>
      <c r="N1713" s="122" t="s">
        <v>73</v>
      </c>
      <c r="O1713" s="126" t="n">
        <v>3500000</v>
      </c>
      <c r="P1713" s="121" t="s">
        <v>18</v>
      </c>
      <c r="Q1713" s="121" t="s">
        <v>124</v>
      </c>
      <c r="R1713" s="127"/>
      <c r="T1713" s="118"/>
    </row>
    <row r="1714" customFormat="false" ht="12.75" hidden="false" customHeight="true" outlineLevel="0" collapsed="false">
      <c r="B1714" s="119" t="n">
        <f aca="false">ROW()-4</f>
        <v>1710</v>
      </c>
      <c r="C1714" s="120" t="n">
        <f aca="false">COUNTIFS($D$5:D1714,D1714)</f>
        <v>751</v>
      </c>
      <c r="D1714" s="121" t="s">
        <v>2006</v>
      </c>
      <c r="E1714" s="122" t="s">
        <v>3467</v>
      </c>
      <c r="F1714" s="123" t="n">
        <v>45824</v>
      </c>
      <c r="G1714" s="121" t="s">
        <v>22</v>
      </c>
      <c r="H171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A1710</v>
      </c>
      <c r="I171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B1710</v>
      </c>
      <c r="J1714" s="122" t="s">
        <v>3468</v>
      </c>
      <c r="K171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C1710</v>
      </c>
      <c r="L171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D1710</v>
      </c>
      <c r="M171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E1710</v>
      </c>
      <c r="N1714" s="122" t="s">
        <v>73</v>
      </c>
      <c r="O1714" s="126" t="n">
        <v>3500000</v>
      </c>
      <c r="P1714" s="121" t="s">
        <v>18</v>
      </c>
      <c r="Q1714" s="121" t="s">
        <v>124</v>
      </c>
      <c r="R1714" s="127"/>
      <c r="T1714" s="118"/>
    </row>
    <row r="1715" customFormat="false" ht="12.75" hidden="false" customHeight="true" outlineLevel="0" collapsed="false">
      <c r="B1715" s="119" t="n">
        <f aca="false">ROW()-4</f>
        <v>1711</v>
      </c>
      <c r="C1715" s="120" t="n">
        <f aca="false">COUNTIFS($D$5:D1715,D1715)</f>
        <v>752</v>
      </c>
      <c r="D1715" s="121" t="s">
        <v>2006</v>
      </c>
      <c r="E1715" s="122" t="s">
        <v>3469</v>
      </c>
      <c r="F1715" s="123" t="n">
        <v>45825</v>
      </c>
      <c r="G1715" s="121" t="s">
        <v>26</v>
      </c>
      <c r="H171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A1711</v>
      </c>
      <c r="I171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B1711</v>
      </c>
      <c r="J1715" s="122" t="s">
        <v>3470</v>
      </c>
      <c r="K171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C1711</v>
      </c>
      <c r="L171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D1711</v>
      </c>
      <c r="M171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E1711</v>
      </c>
      <c r="N1715" s="122" t="s">
        <v>73</v>
      </c>
      <c r="O1715" s="126" t="n">
        <v>3500000</v>
      </c>
      <c r="P1715" s="121" t="s">
        <v>18</v>
      </c>
      <c r="Q1715" s="121" t="s">
        <v>124</v>
      </c>
      <c r="R1715" s="127"/>
      <c r="T1715" s="118"/>
    </row>
    <row r="1716" customFormat="false" ht="12.75" hidden="false" customHeight="true" outlineLevel="0" collapsed="false">
      <c r="B1716" s="119" t="n">
        <f aca="false">ROW()-4</f>
        <v>1712</v>
      </c>
      <c r="C1716" s="120" t="n">
        <f aca="false">COUNTIFS($D$5:D1716,D1716)</f>
        <v>753</v>
      </c>
      <c r="D1716" s="121" t="s">
        <v>2006</v>
      </c>
      <c r="E1716" s="122" t="s">
        <v>3471</v>
      </c>
      <c r="F1716" s="123" t="n">
        <v>45825</v>
      </c>
      <c r="G1716" s="121" t="s">
        <v>26</v>
      </c>
      <c r="H171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A1712</v>
      </c>
      <c r="I171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B1712</v>
      </c>
      <c r="J1716" s="122" t="s">
        <v>3472</v>
      </c>
      <c r="K171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C1712</v>
      </c>
      <c r="L171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D1712</v>
      </c>
      <c r="M171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E1712</v>
      </c>
      <c r="N1716" s="122" t="s">
        <v>73</v>
      </c>
      <c r="O1716" s="126" t="n">
        <v>3500000</v>
      </c>
      <c r="P1716" s="121" t="s">
        <v>18</v>
      </c>
      <c r="Q1716" s="121" t="s">
        <v>124</v>
      </c>
      <c r="R1716" s="127"/>
      <c r="T1716" s="118"/>
    </row>
    <row r="1717" customFormat="false" ht="12.75" hidden="false" customHeight="true" outlineLevel="0" collapsed="false">
      <c r="B1717" s="119" t="n">
        <f aca="false">ROW()-4</f>
        <v>1713</v>
      </c>
      <c r="C1717" s="120" t="n">
        <f aca="false">COUNTIFS($D$5:D1717,D1717)</f>
        <v>754</v>
      </c>
      <c r="D1717" s="121" t="s">
        <v>2006</v>
      </c>
      <c r="E1717" s="122" t="s">
        <v>3473</v>
      </c>
      <c r="F1717" s="123" t="n">
        <v>45825</v>
      </c>
      <c r="G1717" s="121" t="s">
        <v>26</v>
      </c>
      <c r="H171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A1713</v>
      </c>
      <c r="I171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B1713</v>
      </c>
      <c r="J1717" s="122" t="s">
        <v>3474</v>
      </c>
      <c r="K171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C1713</v>
      </c>
      <c r="L171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D1713</v>
      </c>
      <c r="M171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E1713</v>
      </c>
      <c r="N1717" s="122" t="s">
        <v>73</v>
      </c>
      <c r="O1717" s="126" t="n">
        <v>3500000</v>
      </c>
      <c r="P1717" s="121" t="s">
        <v>18</v>
      </c>
      <c r="Q1717" s="121" t="s">
        <v>124</v>
      </c>
      <c r="R1717" s="127"/>
      <c r="T1717" s="118"/>
    </row>
    <row r="1718" customFormat="false" ht="12.75" hidden="false" customHeight="true" outlineLevel="0" collapsed="false">
      <c r="B1718" s="119" t="n">
        <f aca="false">ROW()-4</f>
        <v>1714</v>
      </c>
      <c r="C1718" s="120" t="n">
        <f aca="false">COUNTIFS($D$5:D1718,D1718)</f>
        <v>755</v>
      </c>
      <c r="D1718" s="121" t="s">
        <v>2006</v>
      </c>
      <c r="E1718" s="122" t="s">
        <v>3475</v>
      </c>
      <c r="F1718" s="123" t="n">
        <v>45824</v>
      </c>
      <c r="G1718" s="121" t="s">
        <v>30</v>
      </c>
      <c r="H171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A1714</v>
      </c>
      <c r="I171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B1714</v>
      </c>
      <c r="J1718" s="122" t="s">
        <v>3476</v>
      </c>
      <c r="K171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C1714</v>
      </c>
      <c r="L171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D1714</v>
      </c>
      <c r="M171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E1714</v>
      </c>
      <c r="N1718" s="122" t="s">
        <v>73</v>
      </c>
      <c r="O1718" s="126" t="n">
        <v>3500000</v>
      </c>
      <c r="P1718" s="121" t="s">
        <v>18</v>
      </c>
      <c r="Q1718" s="121" t="s">
        <v>124</v>
      </c>
      <c r="R1718" s="127"/>
      <c r="T1718" s="118"/>
    </row>
    <row r="1719" customFormat="false" ht="12.75" hidden="false" customHeight="true" outlineLevel="0" collapsed="false">
      <c r="B1719" s="119" t="n">
        <f aca="false">ROW()-4</f>
        <v>1715</v>
      </c>
      <c r="C1719" s="120" t="n">
        <f aca="false">COUNTIFS($D$5:D1719,D1719)</f>
        <v>756</v>
      </c>
      <c r="D1719" s="121" t="s">
        <v>2006</v>
      </c>
      <c r="E1719" s="122" t="s">
        <v>3477</v>
      </c>
      <c r="F1719" s="123" t="n">
        <v>45821</v>
      </c>
      <c r="G1719" s="121" t="s">
        <v>22</v>
      </c>
      <c r="H171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A1715</v>
      </c>
      <c r="I171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B1715</v>
      </c>
      <c r="J1719" s="122" t="s">
        <v>3478</v>
      </c>
      <c r="K171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C1715</v>
      </c>
      <c r="L171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D1715</v>
      </c>
      <c r="M171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E1715</v>
      </c>
      <c r="N1719" s="122" t="s">
        <v>73</v>
      </c>
      <c r="O1719" s="126" t="n">
        <v>3500000</v>
      </c>
      <c r="P1719" s="121" t="s">
        <v>18</v>
      </c>
      <c r="Q1719" s="121" t="s">
        <v>124</v>
      </c>
      <c r="R1719" s="127"/>
      <c r="T1719" s="118"/>
    </row>
    <row r="1720" customFormat="false" ht="12.75" hidden="false" customHeight="true" outlineLevel="0" collapsed="false">
      <c r="B1720" s="119" t="n">
        <f aca="false">ROW()-4</f>
        <v>1716</v>
      </c>
      <c r="C1720" s="120" t="n">
        <f aca="false">COUNTIFS($D$5:D1720,D1720)</f>
        <v>757</v>
      </c>
      <c r="D1720" s="121" t="s">
        <v>2006</v>
      </c>
      <c r="E1720" s="122" t="s">
        <v>3479</v>
      </c>
      <c r="F1720" s="123" t="n">
        <v>45821</v>
      </c>
      <c r="G1720" s="121" t="s">
        <v>22</v>
      </c>
      <c r="H172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A1716</v>
      </c>
      <c r="I172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B1716</v>
      </c>
      <c r="J1720" s="122" t="s">
        <v>3480</v>
      </c>
      <c r="K172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C1716</v>
      </c>
      <c r="L172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D1716</v>
      </c>
      <c r="M172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E1716</v>
      </c>
      <c r="N1720" s="122" t="s">
        <v>73</v>
      </c>
      <c r="O1720" s="126" t="n">
        <v>3500000</v>
      </c>
      <c r="P1720" s="121" t="s">
        <v>18</v>
      </c>
      <c r="Q1720" s="121" t="s">
        <v>124</v>
      </c>
      <c r="R1720" s="127"/>
      <c r="T1720" s="118"/>
    </row>
    <row r="1721" customFormat="false" ht="12.75" hidden="false" customHeight="true" outlineLevel="0" collapsed="false">
      <c r="B1721" s="119" t="n">
        <f aca="false">ROW()-4</f>
        <v>1717</v>
      </c>
      <c r="C1721" s="120" t="n">
        <f aca="false">COUNTIFS($D$5:D1721,D1721)</f>
        <v>758</v>
      </c>
      <c r="D1721" s="121" t="s">
        <v>2006</v>
      </c>
      <c r="E1721" s="122" t="s">
        <v>3481</v>
      </c>
      <c r="F1721" s="123" t="n">
        <v>45825</v>
      </c>
      <c r="G1721" s="121" t="s">
        <v>26</v>
      </c>
      <c r="H172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A1717</v>
      </c>
      <c r="I172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B1717</v>
      </c>
      <c r="J1721" s="122" t="s">
        <v>3482</v>
      </c>
      <c r="K172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C1717</v>
      </c>
      <c r="L172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D1717</v>
      </c>
      <c r="M172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E1717</v>
      </c>
      <c r="N1721" s="122" t="s">
        <v>73</v>
      </c>
      <c r="O1721" s="126" t="n">
        <v>3500000</v>
      </c>
      <c r="P1721" s="121" t="s">
        <v>18</v>
      </c>
      <c r="Q1721" s="121" t="s">
        <v>124</v>
      </c>
      <c r="R1721" s="127"/>
      <c r="T1721" s="118"/>
    </row>
    <row r="1722" customFormat="false" ht="12.75" hidden="false" customHeight="true" outlineLevel="0" collapsed="false">
      <c r="B1722" s="119" t="n">
        <f aca="false">ROW()-4</f>
        <v>1718</v>
      </c>
      <c r="C1722" s="120" t="n">
        <f aca="false">COUNTIFS($D$5:D1722,D1722)</f>
        <v>759</v>
      </c>
      <c r="D1722" s="121" t="s">
        <v>2006</v>
      </c>
      <c r="E1722" s="122" t="s">
        <v>3483</v>
      </c>
      <c r="F1722" s="123" t="n">
        <v>45812</v>
      </c>
      <c r="G1722" s="121" t="s">
        <v>28</v>
      </c>
      <c r="H172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A1718</v>
      </c>
      <c r="I172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B1718</v>
      </c>
      <c r="J1722" s="122" t="s">
        <v>3484</v>
      </c>
      <c r="K172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C1718</v>
      </c>
      <c r="L172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D1718</v>
      </c>
      <c r="M172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E1718</v>
      </c>
      <c r="N1722" s="122" t="s">
        <v>73</v>
      </c>
      <c r="O1722" s="126" t="n">
        <v>3500000</v>
      </c>
      <c r="P1722" s="121" t="s">
        <v>18</v>
      </c>
      <c r="Q1722" s="121" t="s">
        <v>124</v>
      </c>
      <c r="R1722" s="127"/>
      <c r="T1722" s="118"/>
    </row>
    <row r="1723" customFormat="false" ht="12.75" hidden="false" customHeight="true" outlineLevel="0" collapsed="false">
      <c r="B1723" s="119" t="n">
        <f aca="false">ROW()-4</f>
        <v>1719</v>
      </c>
      <c r="C1723" s="120" t="n">
        <f aca="false">COUNTIFS($D$5:D1723,D1723)</f>
        <v>760</v>
      </c>
      <c r="D1723" s="121" t="s">
        <v>2006</v>
      </c>
      <c r="E1723" s="122" t="s">
        <v>3485</v>
      </c>
      <c r="F1723" s="123" t="n">
        <v>45826</v>
      </c>
      <c r="G1723" s="121" t="s">
        <v>24</v>
      </c>
      <c r="H172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A1719</v>
      </c>
      <c r="I172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B1719</v>
      </c>
      <c r="J1723" s="122" t="s">
        <v>3486</v>
      </c>
      <c r="K172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C1719</v>
      </c>
      <c r="L172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D1719</v>
      </c>
      <c r="M172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E1719</v>
      </c>
      <c r="N1723" s="122" t="s">
        <v>73</v>
      </c>
      <c r="O1723" s="126" t="n">
        <v>3500000</v>
      </c>
      <c r="P1723" s="121" t="s">
        <v>18</v>
      </c>
      <c r="Q1723" s="121" t="s">
        <v>124</v>
      </c>
      <c r="R1723" s="127"/>
      <c r="T1723" s="118"/>
    </row>
    <row r="1724" customFormat="false" ht="12.75" hidden="false" customHeight="true" outlineLevel="0" collapsed="false">
      <c r="B1724" s="119" t="n">
        <f aca="false">ROW()-4</f>
        <v>1720</v>
      </c>
      <c r="C1724" s="120" t="n">
        <f aca="false">COUNTIFS($D$5:D1724,D1724)</f>
        <v>761</v>
      </c>
      <c r="D1724" s="121" t="s">
        <v>2006</v>
      </c>
      <c r="E1724" s="122" t="s">
        <v>3487</v>
      </c>
      <c r="F1724" s="123" t="n">
        <v>45826</v>
      </c>
      <c r="G1724" s="121" t="s">
        <v>24</v>
      </c>
      <c r="H172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A1720</v>
      </c>
      <c r="I172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B1720</v>
      </c>
      <c r="J1724" s="122" t="s">
        <v>3488</v>
      </c>
      <c r="K172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C1720</v>
      </c>
      <c r="L172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D1720</v>
      </c>
      <c r="M172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E1720</v>
      </c>
      <c r="N1724" s="122" t="s">
        <v>73</v>
      </c>
      <c r="O1724" s="126" t="n">
        <v>3500000</v>
      </c>
      <c r="P1724" s="121" t="s">
        <v>18</v>
      </c>
      <c r="Q1724" s="121" t="s">
        <v>124</v>
      </c>
      <c r="R1724" s="127"/>
      <c r="T1724" s="118"/>
    </row>
    <row r="1725" customFormat="false" ht="12.75" hidden="false" customHeight="true" outlineLevel="0" collapsed="false">
      <c r="B1725" s="119" t="n">
        <f aca="false">ROW()-4</f>
        <v>1721</v>
      </c>
      <c r="C1725" s="120" t="n">
        <f aca="false">COUNTIFS($D$5:D1725,D1725)</f>
        <v>762</v>
      </c>
      <c r="D1725" s="121" t="s">
        <v>2006</v>
      </c>
      <c r="E1725" s="122" t="s">
        <v>3489</v>
      </c>
      <c r="F1725" s="123" t="n">
        <v>45826</v>
      </c>
      <c r="G1725" s="121" t="s">
        <v>26</v>
      </c>
      <c r="H172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A1721</v>
      </c>
      <c r="I172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B1721</v>
      </c>
      <c r="J1725" s="122" t="s">
        <v>3490</v>
      </c>
      <c r="K172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C1721</v>
      </c>
      <c r="L172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D1721</v>
      </c>
      <c r="M172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E1721</v>
      </c>
      <c r="N1725" s="122" t="s">
        <v>73</v>
      </c>
      <c r="O1725" s="126" t="n">
        <v>3500000</v>
      </c>
      <c r="P1725" s="121" t="s">
        <v>18</v>
      </c>
      <c r="Q1725" s="121" t="s">
        <v>124</v>
      </c>
      <c r="R1725" s="127"/>
      <c r="T1725" s="118"/>
    </row>
    <row r="1726" customFormat="false" ht="12.75" hidden="false" customHeight="true" outlineLevel="0" collapsed="false">
      <c r="B1726" s="119" t="n">
        <f aca="false">ROW()-4</f>
        <v>1722</v>
      </c>
      <c r="C1726" s="120" t="n">
        <f aca="false">COUNTIFS($D$5:D1726,D1726)</f>
        <v>763</v>
      </c>
      <c r="D1726" s="121" t="s">
        <v>2006</v>
      </c>
      <c r="E1726" s="122" t="s">
        <v>3491</v>
      </c>
      <c r="F1726" s="123" t="n">
        <v>45826</v>
      </c>
      <c r="G1726" s="121" t="s">
        <v>26</v>
      </c>
      <c r="H172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A1722</v>
      </c>
      <c r="I172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B1722</v>
      </c>
      <c r="J1726" s="122" t="s">
        <v>3492</v>
      </c>
      <c r="K172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C1722</v>
      </c>
      <c r="L172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D1722</v>
      </c>
      <c r="M172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E1722</v>
      </c>
      <c r="N1726" s="122" t="s">
        <v>73</v>
      </c>
      <c r="O1726" s="126" t="n">
        <v>3500000</v>
      </c>
      <c r="P1726" s="121" t="s">
        <v>18</v>
      </c>
      <c r="Q1726" s="121" t="s">
        <v>124</v>
      </c>
      <c r="R1726" s="127"/>
      <c r="T1726" s="118"/>
    </row>
    <row r="1727" customFormat="false" ht="12.75" hidden="false" customHeight="true" outlineLevel="0" collapsed="false">
      <c r="B1727" s="119" t="n">
        <f aca="false">ROW()-4</f>
        <v>1723</v>
      </c>
      <c r="C1727" s="120" t="n">
        <f aca="false">COUNTIFS($D$5:D1727,D1727)</f>
        <v>764</v>
      </c>
      <c r="D1727" s="121" t="s">
        <v>2006</v>
      </c>
      <c r="E1727" s="122" t="s">
        <v>3493</v>
      </c>
      <c r="F1727" s="123" t="n">
        <v>45827</v>
      </c>
      <c r="G1727" s="121" t="s">
        <v>28</v>
      </c>
      <c r="H172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A1723</v>
      </c>
      <c r="I172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B1723</v>
      </c>
      <c r="J1727" s="122" t="s">
        <v>3494</v>
      </c>
      <c r="K172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C1723</v>
      </c>
      <c r="L172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D1723</v>
      </c>
      <c r="M172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E1723</v>
      </c>
      <c r="N1727" s="122" t="s">
        <v>73</v>
      </c>
      <c r="O1727" s="126" t="n">
        <v>3500000</v>
      </c>
      <c r="P1727" s="121" t="s">
        <v>18</v>
      </c>
      <c r="Q1727" s="121" t="s">
        <v>124</v>
      </c>
      <c r="R1727" s="127"/>
      <c r="T1727" s="118"/>
    </row>
    <row r="1728" customFormat="false" ht="12.75" hidden="false" customHeight="true" outlineLevel="0" collapsed="false">
      <c r="B1728" s="119" t="n">
        <f aca="false">ROW()-4</f>
        <v>1724</v>
      </c>
      <c r="C1728" s="120" t="n">
        <f aca="false">COUNTIFS($D$5:D1728,D1728)</f>
        <v>765</v>
      </c>
      <c r="D1728" s="121" t="s">
        <v>2006</v>
      </c>
      <c r="E1728" s="122" t="s">
        <v>3495</v>
      </c>
      <c r="F1728" s="123" t="n">
        <v>45827</v>
      </c>
      <c r="G1728" s="121" t="s">
        <v>30</v>
      </c>
      <c r="H172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A1724</v>
      </c>
      <c r="I172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B1724</v>
      </c>
      <c r="J1728" s="122" t="s">
        <v>2970</v>
      </c>
      <c r="K172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C1724</v>
      </c>
      <c r="L172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D1724</v>
      </c>
      <c r="M172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E1724</v>
      </c>
      <c r="N1728" s="122" t="s">
        <v>73</v>
      </c>
      <c r="O1728" s="126" t="n">
        <v>3500000</v>
      </c>
      <c r="P1728" s="121" t="s">
        <v>18</v>
      </c>
      <c r="Q1728" s="121" t="s">
        <v>124</v>
      </c>
      <c r="R1728" s="127"/>
      <c r="T1728" s="118"/>
    </row>
    <row r="1729" customFormat="false" ht="12.75" hidden="false" customHeight="true" outlineLevel="0" collapsed="false">
      <c r="B1729" s="119" t="n">
        <f aca="false">ROW()-4</f>
        <v>1725</v>
      </c>
      <c r="C1729" s="120" t="n">
        <f aca="false">COUNTIFS($D$5:D1729,D1729)</f>
        <v>766</v>
      </c>
      <c r="D1729" s="121" t="s">
        <v>2006</v>
      </c>
      <c r="E1729" s="122" t="s">
        <v>3496</v>
      </c>
      <c r="F1729" s="123" t="n">
        <v>45827</v>
      </c>
      <c r="G1729" s="121" t="s">
        <v>30</v>
      </c>
      <c r="H172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A1725</v>
      </c>
      <c r="I172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B1725</v>
      </c>
      <c r="J1729" s="122" t="s">
        <v>3497</v>
      </c>
      <c r="K172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C1725</v>
      </c>
      <c r="L172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D1725</v>
      </c>
      <c r="M172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E1725</v>
      </c>
      <c r="N1729" s="122" t="s">
        <v>73</v>
      </c>
      <c r="O1729" s="126" t="n">
        <v>3500000</v>
      </c>
      <c r="P1729" s="121" t="s">
        <v>18</v>
      </c>
      <c r="Q1729" s="121" t="s">
        <v>124</v>
      </c>
      <c r="R1729" s="127"/>
      <c r="T1729" s="118"/>
    </row>
    <row r="1730" customFormat="false" ht="12.75" hidden="false" customHeight="true" outlineLevel="0" collapsed="false">
      <c r="B1730" s="119" t="n">
        <f aca="false">ROW()-4</f>
        <v>1726</v>
      </c>
      <c r="C1730" s="120" t="n">
        <f aca="false">COUNTIFS($D$5:D1730,D1730)</f>
        <v>767</v>
      </c>
      <c r="D1730" s="121" t="s">
        <v>2006</v>
      </c>
      <c r="E1730" s="122" t="s">
        <v>3498</v>
      </c>
      <c r="F1730" s="123" t="n">
        <v>45832</v>
      </c>
      <c r="G1730" s="121" t="s">
        <v>28</v>
      </c>
      <c r="H173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A1726</v>
      </c>
      <c r="I173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B1726</v>
      </c>
      <c r="J1730" s="122" t="s">
        <v>2363</v>
      </c>
      <c r="K173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C1726</v>
      </c>
      <c r="L173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D1726</v>
      </c>
      <c r="M173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E1726</v>
      </c>
      <c r="N1730" s="122" t="s">
        <v>73</v>
      </c>
      <c r="O1730" s="126" t="n">
        <v>3500000</v>
      </c>
      <c r="P1730" s="121" t="s">
        <v>18</v>
      </c>
      <c r="Q1730" s="121" t="s">
        <v>124</v>
      </c>
      <c r="R1730" s="127"/>
      <c r="T1730" s="118"/>
    </row>
    <row r="1731" customFormat="false" ht="12.75" hidden="false" customHeight="true" outlineLevel="0" collapsed="false">
      <c r="B1731" s="119" t="n">
        <f aca="false">ROW()-4</f>
        <v>1727</v>
      </c>
      <c r="C1731" s="120" t="n">
        <f aca="false">COUNTIFS($D$5:D1731,D1731)</f>
        <v>768</v>
      </c>
      <c r="D1731" s="121" t="s">
        <v>2006</v>
      </c>
      <c r="E1731" s="122" t="s">
        <v>3499</v>
      </c>
      <c r="F1731" s="123" t="n">
        <v>45833</v>
      </c>
      <c r="G1731" s="121" t="s">
        <v>22</v>
      </c>
      <c r="H173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A1727</v>
      </c>
      <c r="I173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B1727</v>
      </c>
      <c r="J1731" s="122" t="s">
        <v>3500</v>
      </c>
      <c r="K173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C1727</v>
      </c>
      <c r="L173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D1727</v>
      </c>
      <c r="M173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E1727</v>
      </c>
      <c r="N1731" s="122" t="s">
        <v>73</v>
      </c>
      <c r="O1731" s="126" t="n">
        <v>3500000</v>
      </c>
      <c r="P1731" s="121" t="s">
        <v>18</v>
      </c>
      <c r="Q1731" s="121" t="s">
        <v>124</v>
      </c>
      <c r="R1731" s="127"/>
      <c r="T1731" s="118"/>
    </row>
    <row r="1732" customFormat="false" ht="12.75" hidden="false" customHeight="true" outlineLevel="0" collapsed="false">
      <c r="B1732" s="119" t="n">
        <f aca="false">ROW()-4</f>
        <v>1728</v>
      </c>
      <c r="C1732" s="120" t="n">
        <f aca="false">COUNTIFS($D$5:D1732,D1732)</f>
        <v>769</v>
      </c>
      <c r="D1732" s="121" t="s">
        <v>2006</v>
      </c>
      <c r="E1732" s="122" t="s">
        <v>3501</v>
      </c>
      <c r="F1732" s="123" t="n">
        <v>45833</v>
      </c>
      <c r="G1732" s="121" t="s">
        <v>22</v>
      </c>
      <c r="H173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A1728</v>
      </c>
      <c r="I173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B1728</v>
      </c>
      <c r="J1732" s="122" t="s">
        <v>3502</v>
      </c>
      <c r="K173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C1728</v>
      </c>
      <c r="L173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D1728</v>
      </c>
      <c r="M173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E1728</v>
      </c>
      <c r="N1732" s="122" t="s">
        <v>73</v>
      </c>
      <c r="O1732" s="126" t="n">
        <v>3500000</v>
      </c>
      <c r="P1732" s="121" t="s">
        <v>18</v>
      </c>
      <c r="Q1732" s="121" t="s">
        <v>124</v>
      </c>
      <c r="R1732" s="127"/>
      <c r="T1732" s="118"/>
    </row>
    <row r="1733" customFormat="false" ht="12.75" hidden="false" customHeight="true" outlineLevel="0" collapsed="false">
      <c r="B1733" s="119" t="n">
        <f aca="false">ROW()-4</f>
        <v>1729</v>
      </c>
      <c r="C1733" s="120" t="n">
        <f aca="false">COUNTIFS($D$5:D1733,D1733)</f>
        <v>770</v>
      </c>
      <c r="D1733" s="121" t="s">
        <v>2006</v>
      </c>
      <c r="E1733" s="122" t="s">
        <v>3503</v>
      </c>
      <c r="F1733" s="123" t="n">
        <v>45834</v>
      </c>
      <c r="G1733" s="121" t="s">
        <v>22</v>
      </c>
      <c r="H173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A1729</v>
      </c>
      <c r="I173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B1729</v>
      </c>
      <c r="J1733" s="122" t="s">
        <v>3504</v>
      </c>
      <c r="K173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C1729</v>
      </c>
      <c r="L173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D1729</v>
      </c>
      <c r="M173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E1729</v>
      </c>
      <c r="N1733" s="122" t="s">
        <v>73</v>
      </c>
      <c r="O1733" s="126" t="n">
        <v>3500000</v>
      </c>
      <c r="P1733" s="121" t="s">
        <v>18</v>
      </c>
      <c r="Q1733" s="121" t="s">
        <v>124</v>
      </c>
      <c r="R1733" s="127"/>
      <c r="T1733" s="118"/>
    </row>
    <row r="1734" customFormat="false" ht="12.75" hidden="false" customHeight="true" outlineLevel="0" collapsed="false">
      <c r="B1734" s="119" t="n">
        <f aca="false">ROW()-4</f>
        <v>1730</v>
      </c>
      <c r="C1734" s="120" t="n">
        <f aca="false">COUNTIFS($D$5:D1734,D1734)</f>
        <v>771</v>
      </c>
      <c r="D1734" s="121" t="s">
        <v>2006</v>
      </c>
      <c r="E1734" s="122" t="s">
        <v>3505</v>
      </c>
      <c r="F1734" s="123" t="n">
        <v>45832</v>
      </c>
      <c r="G1734" s="121" t="s">
        <v>26</v>
      </c>
      <c r="H173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A1730</v>
      </c>
      <c r="I173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B1730</v>
      </c>
      <c r="J1734" s="122" t="s">
        <v>3506</v>
      </c>
      <c r="K173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C1730</v>
      </c>
      <c r="L173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D1730</v>
      </c>
      <c r="M173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E1730</v>
      </c>
      <c r="N1734" s="122" t="s">
        <v>73</v>
      </c>
      <c r="O1734" s="126" t="n">
        <v>3500000</v>
      </c>
      <c r="P1734" s="121" t="s">
        <v>18</v>
      </c>
      <c r="Q1734" s="121" t="s">
        <v>124</v>
      </c>
      <c r="R1734" s="127"/>
      <c r="T1734" s="118"/>
    </row>
    <row r="1735" customFormat="false" ht="12.75" hidden="false" customHeight="true" outlineLevel="0" collapsed="false">
      <c r="B1735" s="119" t="n">
        <f aca="false">ROW()-4</f>
        <v>1731</v>
      </c>
      <c r="C1735" s="120" t="n">
        <f aca="false">COUNTIFS($D$5:D1735,D1735)</f>
        <v>772</v>
      </c>
      <c r="D1735" s="121" t="s">
        <v>2006</v>
      </c>
      <c r="E1735" s="122" t="s">
        <v>3507</v>
      </c>
      <c r="F1735" s="123" t="n">
        <v>45832</v>
      </c>
      <c r="G1735" s="121" t="s">
        <v>26</v>
      </c>
      <c r="H173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A1731</v>
      </c>
      <c r="I173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B1731</v>
      </c>
      <c r="J1735" s="122" t="s">
        <v>3508</v>
      </c>
      <c r="K173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C1731</v>
      </c>
      <c r="L173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D1731</v>
      </c>
      <c r="M173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E1731</v>
      </c>
      <c r="N1735" s="122" t="s">
        <v>73</v>
      </c>
      <c r="O1735" s="126" t="n">
        <v>3500000</v>
      </c>
      <c r="P1735" s="121" t="s">
        <v>18</v>
      </c>
      <c r="Q1735" s="121" t="s">
        <v>124</v>
      </c>
      <c r="R1735" s="127"/>
      <c r="T1735" s="118"/>
    </row>
    <row r="1736" customFormat="false" ht="12.75" hidden="false" customHeight="true" outlineLevel="0" collapsed="false">
      <c r="B1736" s="119" t="n">
        <f aca="false">ROW()-4</f>
        <v>1732</v>
      </c>
      <c r="C1736" s="120" t="n">
        <f aca="false">COUNTIFS($D$5:D1736,D1736)</f>
        <v>773</v>
      </c>
      <c r="D1736" s="121" t="s">
        <v>2006</v>
      </c>
      <c r="E1736" s="122" t="s">
        <v>3509</v>
      </c>
      <c r="F1736" s="123" t="n">
        <v>45819</v>
      </c>
      <c r="G1736" s="121" t="s">
        <v>30</v>
      </c>
      <c r="H173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A1732</v>
      </c>
      <c r="I173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B1732</v>
      </c>
      <c r="J1736" s="122" t="s">
        <v>3510</v>
      </c>
      <c r="K173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C1732</v>
      </c>
      <c r="L173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D1732</v>
      </c>
      <c r="M173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E1732</v>
      </c>
      <c r="N1736" s="122" t="s">
        <v>73</v>
      </c>
      <c r="O1736" s="126" t="n">
        <v>3500000</v>
      </c>
      <c r="P1736" s="121" t="s">
        <v>18</v>
      </c>
      <c r="Q1736" s="121" t="s">
        <v>124</v>
      </c>
      <c r="R1736" s="127"/>
      <c r="T1736" s="118"/>
    </row>
    <row r="1737" customFormat="false" ht="12.75" hidden="false" customHeight="true" outlineLevel="0" collapsed="false">
      <c r="B1737" s="119" t="n">
        <f aca="false">ROW()-4</f>
        <v>1733</v>
      </c>
      <c r="C1737" s="120" t="n">
        <f aca="false">COUNTIFS($D$5:D1737,D1737)</f>
        <v>774</v>
      </c>
      <c r="D1737" s="121" t="s">
        <v>2006</v>
      </c>
      <c r="E1737" s="122" t="s">
        <v>3511</v>
      </c>
      <c r="F1737" s="123" t="n">
        <v>45819</v>
      </c>
      <c r="G1737" s="121" t="s">
        <v>30</v>
      </c>
      <c r="H173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A1733</v>
      </c>
      <c r="I173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B1733</v>
      </c>
      <c r="J1737" s="122" t="s">
        <v>3512</v>
      </c>
      <c r="K173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C1733</v>
      </c>
      <c r="L173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D1733</v>
      </c>
      <c r="M173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E1733</v>
      </c>
      <c r="N1737" s="122" t="s">
        <v>73</v>
      </c>
      <c r="O1737" s="126" t="n">
        <v>3500000</v>
      </c>
      <c r="P1737" s="121" t="s">
        <v>18</v>
      </c>
      <c r="Q1737" s="121" t="s">
        <v>124</v>
      </c>
      <c r="R1737" s="127"/>
      <c r="T1737" s="118"/>
    </row>
    <row r="1738" customFormat="false" ht="12.75" hidden="false" customHeight="true" outlineLevel="0" collapsed="false">
      <c r="B1738" s="119" t="n">
        <f aca="false">ROW()-4</f>
        <v>1734</v>
      </c>
      <c r="C1738" s="120" t="n">
        <f aca="false">COUNTIFS($D$5:D1738,D1738)</f>
        <v>775</v>
      </c>
      <c r="D1738" s="121" t="s">
        <v>2006</v>
      </c>
      <c r="E1738" s="122" t="s">
        <v>3513</v>
      </c>
      <c r="F1738" s="123" t="n">
        <v>45824</v>
      </c>
      <c r="G1738" s="121" t="s">
        <v>30</v>
      </c>
      <c r="H173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A1734</v>
      </c>
      <c r="I173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B1734</v>
      </c>
      <c r="J1738" s="122" t="s">
        <v>3514</v>
      </c>
      <c r="K173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C1734</v>
      </c>
      <c r="L173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D1734</v>
      </c>
      <c r="M173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E1734</v>
      </c>
      <c r="N1738" s="122" t="s">
        <v>73</v>
      </c>
      <c r="O1738" s="126" t="n">
        <v>3500000</v>
      </c>
      <c r="P1738" s="121" t="s">
        <v>18</v>
      </c>
      <c r="Q1738" s="121" t="s">
        <v>124</v>
      </c>
      <c r="R1738" s="127"/>
      <c r="T1738" s="118"/>
    </row>
    <row r="1739" customFormat="false" ht="12.75" hidden="false" customHeight="true" outlineLevel="0" collapsed="false">
      <c r="B1739" s="119" t="n">
        <f aca="false">ROW()-4</f>
        <v>1735</v>
      </c>
      <c r="C1739" s="120" t="n">
        <f aca="false">COUNTIFS($D$5:D1739,D1739)</f>
        <v>776</v>
      </c>
      <c r="D1739" s="121" t="s">
        <v>2006</v>
      </c>
      <c r="E1739" s="122" t="s">
        <v>3515</v>
      </c>
      <c r="F1739" s="123" t="n">
        <v>45804</v>
      </c>
      <c r="G1739" s="121" t="s">
        <v>22</v>
      </c>
      <c r="H173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A1735</v>
      </c>
      <c r="I173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B1735</v>
      </c>
      <c r="J1739" s="122" t="s">
        <v>3516</v>
      </c>
      <c r="K173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C1735</v>
      </c>
      <c r="L173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D1735</v>
      </c>
      <c r="M173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E1735</v>
      </c>
      <c r="N1739" s="122" t="s">
        <v>73</v>
      </c>
      <c r="O1739" s="126" t="n">
        <v>3500000</v>
      </c>
      <c r="P1739" s="121" t="s">
        <v>18</v>
      </c>
      <c r="Q1739" s="121" t="s">
        <v>124</v>
      </c>
      <c r="R1739" s="127"/>
      <c r="T1739" s="118"/>
    </row>
    <row r="1740" customFormat="false" ht="12.75" hidden="false" customHeight="true" outlineLevel="0" collapsed="false">
      <c r="B1740" s="119" t="n">
        <f aca="false">ROW()-4</f>
        <v>1736</v>
      </c>
      <c r="C1740" s="120" t="n">
        <f aca="false">COUNTIFS($D$5:D1740,D1740)</f>
        <v>777</v>
      </c>
      <c r="D1740" s="121" t="s">
        <v>2006</v>
      </c>
      <c r="E1740" s="122" t="s">
        <v>3517</v>
      </c>
      <c r="F1740" s="123" t="n">
        <v>45834</v>
      </c>
      <c r="G1740" s="121" t="s">
        <v>22</v>
      </c>
      <c r="H174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A1736</v>
      </c>
      <c r="I174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B1736</v>
      </c>
      <c r="J1740" s="122" t="s">
        <v>3518</v>
      </c>
      <c r="K174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C1736</v>
      </c>
      <c r="L174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D1736</v>
      </c>
      <c r="M174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E1736</v>
      </c>
      <c r="N1740" s="122" t="s">
        <v>73</v>
      </c>
      <c r="O1740" s="126" t="n">
        <v>3500000</v>
      </c>
      <c r="P1740" s="121" t="s">
        <v>18</v>
      </c>
      <c r="Q1740" s="121" t="s">
        <v>124</v>
      </c>
      <c r="R1740" s="127"/>
      <c r="T1740" s="118"/>
    </row>
    <row r="1741" customFormat="false" ht="12.75" hidden="false" customHeight="true" outlineLevel="0" collapsed="false">
      <c r="B1741" s="119" t="n">
        <f aca="false">ROW()-4</f>
        <v>1737</v>
      </c>
      <c r="C1741" s="120" t="n">
        <f aca="false">COUNTIFS($D$5:D1741,D1741)</f>
        <v>778</v>
      </c>
      <c r="D1741" s="121" t="s">
        <v>2006</v>
      </c>
      <c r="E1741" s="122" t="s">
        <v>3519</v>
      </c>
      <c r="F1741" s="123" t="n">
        <v>45819</v>
      </c>
      <c r="G1741" s="121" t="s">
        <v>28</v>
      </c>
      <c r="H174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A1737</v>
      </c>
      <c r="I174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B1737</v>
      </c>
      <c r="J1741" s="122" t="s">
        <v>3520</v>
      </c>
      <c r="K174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C1737</v>
      </c>
      <c r="L174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D1737</v>
      </c>
      <c r="M174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E1737</v>
      </c>
      <c r="N1741" s="122" t="s">
        <v>73</v>
      </c>
      <c r="O1741" s="126" t="n">
        <v>3500000</v>
      </c>
      <c r="P1741" s="121" t="s">
        <v>18</v>
      </c>
      <c r="Q1741" s="121" t="s">
        <v>124</v>
      </c>
      <c r="R1741" s="127"/>
      <c r="T1741" s="118"/>
    </row>
    <row r="1742" customFormat="false" ht="12.75" hidden="false" customHeight="true" outlineLevel="0" collapsed="false">
      <c r="B1742" s="119" t="n">
        <f aca="false">ROW()-4</f>
        <v>1738</v>
      </c>
      <c r="C1742" s="120" t="n">
        <f aca="false">COUNTIFS($D$5:D1742,D1742)</f>
        <v>779</v>
      </c>
      <c r="D1742" s="121" t="s">
        <v>2006</v>
      </c>
      <c r="E1742" s="122" t="s">
        <v>3521</v>
      </c>
      <c r="F1742" s="123" t="n">
        <v>45841</v>
      </c>
      <c r="G1742" s="121" t="s">
        <v>28</v>
      </c>
      <c r="H174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A1738</v>
      </c>
      <c r="I174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B1738</v>
      </c>
      <c r="J1742" s="122" t="s">
        <v>3522</v>
      </c>
      <c r="K174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C1738</v>
      </c>
      <c r="L174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D1738</v>
      </c>
      <c r="M174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E1738</v>
      </c>
      <c r="N1742" s="122" t="s">
        <v>73</v>
      </c>
      <c r="O1742" s="126" t="n">
        <v>3500000</v>
      </c>
      <c r="P1742" s="121" t="s">
        <v>18</v>
      </c>
      <c r="Q1742" s="121" t="s">
        <v>124</v>
      </c>
      <c r="R1742" s="127"/>
      <c r="T1742" s="118"/>
    </row>
    <row r="1743" customFormat="false" ht="12.75" hidden="false" customHeight="true" outlineLevel="0" collapsed="false">
      <c r="B1743" s="119" t="n">
        <f aca="false">ROW()-4</f>
        <v>1739</v>
      </c>
      <c r="C1743" s="120" t="n">
        <f aca="false">COUNTIFS($D$5:D1743,D1743)</f>
        <v>780</v>
      </c>
      <c r="D1743" s="121" t="s">
        <v>2006</v>
      </c>
      <c r="E1743" s="122" t="s">
        <v>3523</v>
      </c>
      <c r="F1743" s="123" t="n">
        <v>45841</v>
      </c>
      <c r="G1743" s="121" t="s">
        <v>28</v>
      </c>
      <c r="H174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A1739</v>
      </c>
      <c r="I174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B1739</v>
      </c>
      <c r="J1743" s="122" t="s">
        <v>3524</v>
      </c>
      <c r="K174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C1739</v>
      </c>
      <c r="L174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D1739</v>
      </c>
      <c r="M174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E1739</v>
      </c>
      <c r="N1743" s="122" t="s">
        <v>73</v>
      </c>
      <c r="O1743" s="126" t="n">
        <v>3500000</v>
      </c>
      <c r="P1743" s="121" t="s">
        <v>18</v>
      </c>
      <c r="Q1743" s="121" t="s">
        <v>124</v>
      </c>
      <c r="R1743" s="127"/>
      <c r="T1743" s="118"/>
    </row>
    <row r="1744" customFormat="false" ht="12.75" hidden="false" customHeight="true" outlineLevel="0" collapsed="false">
      <c r="B1744" s="119" t="n">
        <f aca="false">ROW()-4</f>
        <v>1740</v>
      </c>
      <c r="C1744" s="120" t="n">
        <f aca="false">COUNTIFS($D$5:D1744,D1744)</f>
        <v>781</v>
      </c>
      <c r="D1744" s="121" t="s">
        <v>2006</v>
      </c>
      <c r="E1744" s="122" t="s">
        <v>3525</v>
      </c>
      <c r="F1744" s="123" t="n">
        <v>45841</v>
      </c>
      <c r="G1744" s="121" t="s">
        <v>28</v>
      </c>
      <c r="H174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A1740</v>
      </c>
      <c r="I174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B1740</v>
      </c>
      <c r="J1744" s="122" t="s">
        <v>3526</v>
      </c>
      <c r="K174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C1740</v>
      </c>
      <c r="L174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D1740</v>
      </c>
      <c r="M174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E1740</v>
      </c>
      <c r="N1744" s="122" t="s">
        <v>73</v>
      </c>
      <c r="O1744" s="126" t="n">
        <v>3500000</v>
      </c>
      <c r="P1744" s="121" t="s">
        <v>18</v>
      </c>
      <c r="Q1744" s="121" t="s">
        <v>124</v>
      </c>
      <c r="R1744" s="127"/>
      <c r="T1744" s="118"/>
    </row>
    <row r="1745" customFormat="false" ht="12.75" hidden="false" customHeight="true" outlineLevel="0" collapsed="false">
      <c r="B1745" s="119" t="n">
        <f aca="false">ROW()-4</f>
        <v>1741</v>
      </c>
      <c r="C1745" s="120" t="n">
        <f aca="false">COUNTIFS($D$5:D1745,D1745)</f>
        <v>782</v>
      </c>
      <c r="D1745" s="121" t="s">
        <v>2006</v>
      </c>
      <c r="E1745" s="122" t="s">
        <v>3527</v>
      </c>
      <c r="F1745" s="123" t="n">
        <v>45841</v>
      </c>
      <c r="G1745" s="121" t="s">
        <v>22</v>
      </c>
      <c r="H174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A1741</v>
      </c>
      <c r="I174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B1741</v>
      </c>
      <c r="J1745" s="122" t="s">
        <v>3528</v>
      </c>
      <c r="K174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C1741</v>
      </c>
      <c r="L174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D1741</v>
      </c>
      <c r="M174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E1741</v>
      </c>
      <c r="N1745" s="122" t="s">
        <v>73</v>
      </c>
      <c r="O1745" s="126" t="n">
        <v>3500000</v>
      </c>
      <c r="P1745" s="121" t="s">
        <v>18</v>
      </c>
      <c r="Q1745" s="121" t="s">
        <v>124</v>
      </c>
      <c r="R1745" s="127"/>
      <c r="T1745" s="118"/>
    </row>
    <row r="1746" customFormat="false" ht="12.75" hidden="false" customHeight="true" outlineLevel="0" collapsed="false">
      <c r="B1746" s="119" t="n">
        <f aca="false">ROW()-4</f>
        <v>1742</v>
      </c>
      <c r="C1746" s="120" t="n">
        <f aca="false">COUNTIFS($D$5:D1746,D1746)</f>
        <v>783</v>
      </c>
      <c r="D1746" s="121" t="s">
        <v>2006</v>
      </c>
      <c r="E1746" s="122" t="s">
        <v>3529</v>
      </c>
      <c r="F1746" s="123" t="n">
        <v>45974</v>
      </c>
      <c r="G1746" s="121" t="s">
        <v>26</v>
      </c>
      <c r="H174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A1742</v>
      </c>
      <c r="I174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B1742</v>
      </c>
      <c r="J1746" s="122" t="s">
        <v>3530</v>
      </c>
      <c r="K174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C1742</v>
      </c>
      <c r="L174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D1742</v>
      </c>
      <c r="M174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E1742</v>
      </c>
      <c r="N1746" s="122" t="s">
        <v>73</v>
      </c>
      <c r="O1746" s="126" t="n">
        <v>3500000</v>
      </c>
      <c r="P1746" s="121" t="s">
        <v>18</v>
      </c>
      <c r="Q1746" s="121" t="s">
        <v>124</v>
      </c>
      <c r="R1746" s="127"/>
      <c r="T1746" s="118"/>
    </row>
    <row r="1747" customFormat="false" ht="12.75" hidden="false" customHeight="true" outlineLevel="0" collapsed="false">
      <c r="B1747" s="119" t="n">
        <f aca="false">ROW()-4</f>
        <v>1743</v>
      </c>
      <c r="C1747" s="120" t="n">
        <f aca="false">COUNTIFS($D$5:D1747,D1747)</f>
        <v>784</v>
      </c>
      <c r="D1747" s="121" t="s">
        <v>2006</v>
      </c>
      <c r="E1747" s="122" t="s">
        <v>3531</v>
      </c>
      <c r="F1747" s="123" t="n">
        <v>45838</v>
      </c>
      <c r="G1747" s="121" t="s">
        <v>24</v>
      </c>
      <c r="H174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A1743</v>
      </c>
      <c r="I174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B1743</v>
      </c>
      <c r="J1747" s="122" t="s">
        <v>3532</v>
      </c>
      <c r="K174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C1743</v>
      </c>
      <c r="L174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D1743</v>
      </c>
      <c r="M174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E1743</v>
      </c>
      <c r="N1747" s="122" t="s">
        <v>73</v>
      </c>
      <c r="O1747" s="126" t="n">
        <v>3500000</v>
      </c>
      <c r="P1747" s="121" t="s">
        <v>18</v>
      </c>
      <c r="Q1747" s="121" t="s">
        <v>124</v>
      </c>
      <c r="R1747" s="127"/>
      <c r="T1747" s="118"/>
    </row>
    <row r="1748" customFormat="false" ht="12.75" hidden="false" customHeight="true" outlineLevel="0" collapsed="false">
      <c r="B1748" s="119" t="n">
        <f aca="false">ROW()-4</f>
        <v>1744</v>
      </c>
      <c r="C1748" s="120" t="n">
        <f aca="false">COUNTIFS($D$5:D1748,D1748)</f>
        <v>785</v>
      </c>
      <c r="D1748" s="121" t="s">
        <v>2006</v>
      </c>
      <c r="E1748" s="122" t="s">
        <v>3533</v>
      </c>
      <c r="F1748" s="123" t="n">
        <v>45838</v>
      </c>
      <c r="G1748" s="121" t="s">
        <v>24</v>
      </c>
      <c r="H174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A1744</v>
      </c>
      <c r="I174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B1744</v>
      </c>
      <c r="J1748" s="122" t="s">
        <v>3534</v>
      </c>
      <c r="K174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C1744</v>
      </c>
      <c r="L174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D1744</v>
      </c>
      <c r="M174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E1744</v>
      </c>
      <c r="N1748" s="122" t="s">
        <v>73</v>
      </c>
      <c r="O1748" s="126" t="n">
        <v>3500000</v>
      </c>
      <c r="P1748" s="121" t="s">
        <v>18</v>
      </c>
      <c r="Q1748" s="121" t="s">
        <v>124</v>
      </c>
      <c r="R1748" s="127"/>
      <c r="T1748" s="118"/>
    </row>
    <row r="1749" customFormat="false" ht="12.75" hidden="false" customHeight="true" outlineLevel="0" collapsed="false">
      <c r="B1749" s="119" t="n">
        <f aca="false">ROW()-4</f>
        <v>1745</v>
      </c>
      <c r="C1749" s="120" t="n">
        <f aca="false">COUNTIFS($D$5:D1749,D1749)</f>
        <v>786</v>
      </c>
      <c r="D1749" s="121" t="s">
        <v>2006</v>
      </c>
      <c r="E1749" s="122" t="s">
        <v>3535</v>
      </c>
      <c r="F1749" s="123" t="n">
        <v>45838</v>
      </c>
      <c r="G1749" s="121" t="s">
        <v>28</v>
      </c>
      <c r="H174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A1745</v>
      </c>
      <c r="I174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B1745</v>
      </c>
      <c r="J1749" s="122" t="s">
        <v>3536</v>
      </c>
      <c r="K174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C1745</v>
      </c>
      <c r="L174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D1745</v>
      </c>
      <c r="M174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E1745</v>
      </c>
      <c r="N1749" s="122" t="s">
        <v>73</v>
      </c>
      <c r="O1749" s="126" t="n">
        <v>3500000</v>
      </c>
      <c r="P1749" s="121" t="s">
        <v>18</v>
      </c>
      <c r="Q1749" s="121" t="s">
        <v>124</v>
      </c>
      <c r="R1749" s="127"/>
      <c r="T1749" s="118"/>
    </row>
    <row r="1750" customFormat="false" ht="12.75" hidden="false" customHeight="true" outlineLevel="0" collapsed="false">
      <c r="B1750" s="119" t="n">
        <f aca="false">ROW()-4</f>
        <v>1746</v>
      </c>
      <c r="C1750" s="120" t="n">
        <f aca="false">COUNTIFS($D$5:D1750,D1750)</f>
        <v>787</v>
      </c>
      <c r="D1750" s="121" t="s">
        <v>2006</v>
      </c>
      <c r="E1750" s="122" t="s">
        <v>3537</v>
      </c>
      <c r="F1750" s="123" t="n">
        <v>45828</v>
      </c>
      <c r="G1750" s="121" t="s">
        <v>30</v>
      </c>
      <c r="H175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A1746</v>
      </c>
      <c r="I175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B1746</v>
      </c>
      <c r="J1750" s="122" t="s">
        <v>3538</v>
      </c>
      <c r="K175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C1746</v>
      </c>
      <c r="L175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D1746</v>
      </c>
      <c r="M175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E1746</v>
      </c>
      <c r="N1750" s="122" t="s">
        <v>73</v>
      </c>
      <c r="O1750" s="126" t="n">
        <v>3500000</v>
      </c>
      <c r="P1750" s="121" t="s">
        <v>18</v>
      </c>
      <c r="Q1750" s="121" t="s">
        <v>124</v>
      </c>
      <c r="R1750" s="127"/>
      <c r="T1750" s="118"/>
    </row>
    <row r="1751" customFormat="false" ht="12.75" hidden="false" customHeight="true" outlineLevel="0" collapsed="false">
      <c r="B1751" s="119" t="n">
        <f aca="false">ROW()-4</f>
        <v>1747</v>
      </c>
      <c r="C1751" s="120" t="n">
        <f aca="false">COUNTIFS($D$5:D1751,D1751)</f>
        <v>788</v>
      </c>
      <c r="D1751" s="121" t="s">
        <v>2006</v>
      </c>
      <c r="E1751" s="122" t="s">
        <v>3539</v>
      </c>
      <c r="F1751" s="123" t="n">
        <v>45828</v>
      </c>
      <c r="G1751" s="121" t="s">
        <v>30</v>
      </c>
      <c r="H175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A1747</v>
      </c>
      <c r="I175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B1747</v>
      </c>
      <c r="J1751" s="122" t="s">
        <v>3540</v>
      </c>
      <c r="K175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C1747</v>
      </c>
      <c r="L175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D1747</v>
      </c>
      <c r="M175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E1747</v>
      </c>
      <c r="N1751" s="122" t="s">
        <v>73</v>
      </c>
      <c r="O1751" s="126" t="n">
        <v>3500000</v>
      </c>
      <c r="P1751" s="121" t="s">
        <v>18</v>
      </c>
      <c r="Q1751" s="121" t="s">
        <v>124</v>
      </c>
      <c r="R1751" s="127"/>
      <c r="T1751" s="118"/>
    </row>
    <row r="1752" customFormat="false" ht="12.75" hidden="false" customHeight="true" outlineLevel="0" collapsed="false">
      <c r="B1752" s="119" t="n">
        <f aca="false">ROW()-4</f>
        <v>1748</v>
      </c>
      <c r="C1752" s="120" t="n">
        <f aca="false">COUNTIFS($D$5:D1752,D1752)</f>
        <v>789</v>
      </c>
      <c r="D1752" s="121" t="s">
        <v>2006</v>
      </c>
      <c r="E1752" s="122" t="s">
        <v>3541</v>
      </c>
      <c r="F1752" s="123" t="n">
        <v>45828</v>
      </c>
      <c r="G1752" s="121" t="s">
        <v>30</v>
      </c>
      <c r="H175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A1748</v>
      </c>
      <c r="I175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B1748</v>
      </c>
      <c r="J1752" s="122" t="s">
        <v>3542</v>
      </c>
      <c r="K175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C1748</v>
      </c>
      <c r="L175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D1748</v>
      </c>
      <c r="M175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E1748</v>
      </c>
      <c r="N1752" s="122" t="s">
        <v>73</v>
      </c>
      <c r="O1752" s="126" t="n">
        <v>3500000</v>
      </c>
      <c r="P1752" s="121" t="s">
        <v>18</v>
      </c>
      <c r="Q1752" s="121" t="s">
        <v>124</v>
      </c>
      <c r="R1752" s="127"/>
      <c r="T1752" s="118"/>
    </row>
    <row r="1753" customFormat="false" ht="12.75" hidden="false" customHeight="true" outlineLevel="0" collapsed="false">
      <c r="B1753" s="119" t="n">
        <f aca="false">ROW()-4</f>
        <v>1749</v>
      </c>
      <c r="C1753" s="120" t="n">
        <f aca="false">COUNTIFS($D$5:D1753,D1753)</f>
        <v>790</v>
      </c>
      <c r="D1753" s="121" t="s">
        <v>2006</v>
      </c>
      <c r="E1753" s="122" t="s">
        <v>3543</v>
      </c>
      <c r="F1753" s="123" t="n">
        <v>45839</v>
      </c>
      <c r="G1753" s="121" t="s">
        <v>22</v>
      </c>
      <c r="H175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A1749</v>
      </c>
      <c r="I175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B1749</v>
      </c>
      <c r="J1753" s="122" t="s">
        <v>3544</v>
      </c>
      <c r="K175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C1749</v>
      </c>
      <c r="L175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D1749</v>
      </c>
      <c r="M175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E1749</v>
      </c>
      <c r="N1753" s="122" t="s">
        <v>73</v>
      </c>
      <c r="O1753" s="126" t="n">
        <v>3500000</v>
      </c>
      <c r="P1753" s="121" t="s">
        <v>18</v>
      </c>
      <c r="Q1753" s="121" t="s">
        <v>124</v>
      </c>
      <c r="R1753" s="127"/>
      <c r="T1753" s="118"/>
    </row>
    <row r="1754" customFormat="false" ht="12.75" hidden="false" customHeight="true" outlineLevel="0" collapsed="false">
      <c r="B1754" s="119" t="n">
        <f aca="false">ROW()-4</f>
        <v>1750</v>
      </c>
      <c r="C1754" s="120" t="n">
        <f aca="false">COUNTIFS($D$5:D1754,D1754)</f>
        <v>791</v>
      </c>
      <c r="D1754" s="121" t="s">
        <v>2006</v>
      </c>
      <c r="E1754" s="122" t="s">
        <v>3545</v>
      </c>
      <c r="F1754" s="123" t="n">
        <v>45839</v>
      </c>
      <c r="G1754" s="121" t="s">
        <v>22</v>
      </c>
      <c r="H175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A1750</v>
      </c>
      <c r="I175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B1750</v>
      </c>
      <c r="J1754" s="122" t="s">
        <v>3546</v>
      </c>
      <c r="K175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C1750</v>
      </c>
      <c r="L175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D1750</v>
      </c>
      <c r="M175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E1750</v>
      </c>
      <c r="N1754" s="122" t="s">
        <v>73</v>
      </c>
      <c r="O1754" s="126" t="n">
        <v>3500000</v>
      </c>
      <c r="P1754" s="121" t="s">
        <v>18</v>
      </c>
      <c r="Q1754" s="121" t="s">
        <v>124</v>
      </c>
      <c r="R1754" s="127"/>
      <c r="T1754" s="118"/>
    </row>
    <row r="1755" customFormat="false" ht="12.75" hidden="false" customHeight="true" outlineLevel="0" collapsed="false">
      <c r="B1755" s="119" t="n">
        <f aca="false">ROW()-4</f>
        <v>1751</v>
      </c>
      <c r="C1755" s="120" t="n">
        <f aca="false">COUNTIFS($D$5:D1755,D1755)</f>
        <v>792</v>
      </c>
      <c r="D1755" s="121" t="s">
        <v>2006</v>
      </c>
      <c r="E1755" s="122" t="s">
        <v>3547</v>
      </c>
      <c r="F1755" s="123" t="n">
        <v>45845</v>
      </c>
      <c r="G1755" s="121" t="s">
        <v>24</v>
      </c>
      <c r="H175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A1751</v>
      </c>
      <c r="I175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B1751</v>
      </c>
      <c r="J1755" s="122" t="s">
        <v>3548</v>
      </c>
      <c r="K175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C1751</v>
      </c>
      <c r="L175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D1751</v>
      </c>
      <c r="M175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E1751</v>
      </c>
      <c r="N1755" s="122" t="s">
        <v>73</v>
      </c>
      <c r="O1755" s="126" t="n">
        <v>3500000</v>
      </c>
      <c r="P1755" s="121" t="s">
        <v>18</v>
      </c>
      <c r="Q1755" s="121" t="s">
        <v>124</v>
      </c>
      <c r="R1755" s="127"/>
      <c r="T1755" s="118"/>
    </row>
    <row r="1756" customFormat="false" ht="12.75" hidden="false" customHeight="true" outlineLevel="0" collapsed="false">
      <c r="B1756" s="119" t="n">
        <f aca="false">ROW()-4</f>
        <v>1752</v>
      </c>
      <c r="C1756" s="120" t="n">
        <f aca="false">COUNTIFS($D$5:D1756,D1756)</f>
        <v>793</v>
      </c>
      <c r="D1756" s="121" t="s">
        <v>2006</v>
      </c>
      <c r="E1756" s="122" t="s">
        <v>3549</v>
      </c>
      <c r="F1756" s="123" t="n">
        <v>45854</v>
      </c>
      <c r="G1756" s="121" t="s">
        <v>22</v>
      </c>
      <c r="H175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A1752</v>
      </c>
      <c r="I175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B1752</v>
      </c>
      <c r="J1756" s="122" t="s">
        <v>3550</v>
      </c>
      <c r="K175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C1752</v>
      </c>
      <c r="L175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D1752</v>
      </c>
      <c r="M175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E1752</v>
      </c>
      <c r="N1756" s="122" t="s">
        <v>73</v>
      </c>
      <c r="O1756" s="126" t="n">
        <v>3500000</v>
      </c>
      <c r="P1756" s="121" t="s">
        <v>18</v>
      </c>
      <c r="Q1756" s="121" t="s">
        <v>124</v>
      </c>
      <c r="R1756" s="127"/>
      <c r="T1756" s="118"/>
    </row>
    <row r="1757" customFormat="false" ht="12.75" hidden="false" customHeight="true" outlineLevel="0" collapsed="false">
      <c r="B1757" s="119" t="n">
        <f aca="false">ROW()-4</f>
        <v>1753</v>
      </c>
      <c r="C1757" s="120" t="n">
        <f aca="false">COUNTIFS($D$5:D1757,D1757)</f>
        <v>794</v>
      </c>
      <c r="D1757" s="121" t="s">
        <v>2006</v>
      </c>
      <c r="E1757" s="122" t="s">
        <v>3551</v>
      </c>
      <c r="F1757" s="123" t="n">
        <v>45996</v>
      </c>
      <c r="G1757" s="121" t="s">
        <v>22</v>
      </c>
      <c r="H175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A1753</v>
      </c>
      <c r="I175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B1753</v>
      </c>
      <c r="J1757" s="122" t="s">
        <v>3552</v>
      </c>
      <c r="K175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C1753</v>
      </c>
      <c r="L175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D1753</v>
      </c>
      <c r="M175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E1753</v>
      </c>
      <c r="N1757" s="122" t="s">
        <v>73</v>
      </c>
      <c r="O1757" s="126" t="n">
        <v>3500000</v>
      </c>
      <c r="P1757" s="121" t="s">
        <v>18</v>
      </c>
      <c r="Q1757" s="121" t="s">
        <v>124</v>
      </c>
      <c r="R1757" s="127"/>
      <c r="T1757" s="118"/>
    </row>
    <row r="1758" customFormat="false" ht="12.75" hidden="false" customHeight="true" outlineLevel="0" collapsed="false">
      <c r="B1758" s="119" t="n">
        <f aca="false">ROW()-4</f>
        <v>1754</v>
      </c>
      <c r="C1758" s="120" t="n">
        <f aca="false">COUNTIFS($D$5:D1758,D1758)</f>
        <v>795</v>
      </c>
      <c r="D1758" s="121" t="s">
        <v>2006</v>
      </c>
      <c r="E1758" s="122" t="s">
        <v>3553</v>
      </c>
      <c r="F1758" s="123" t="n">
        <v>45852</v>
      </c>
      <c r="G1758" s="121" t="s">
        <v>26</v>
      </c>
      <c r="H175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A1754</v>
      </c>
      <c r="I175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B1754</v>
      </c>
      <c r="J1758" s="122" t="s">
        <v>3554</v>
      </c>
      <c r="K175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C1754</v>
      </c>
      <c r="L175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D1754</v>
      </c>
      <c r="M175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E1754</v>
      </c>
      <c r="N1758" s="122" t="s">
        <v>73</v>
      </c>
      <c r="O1758" s="126" t="n">
        <v>3500000</v>
      </c>
      <c r="P1758" s="121" t="s">
        <v>18</v>
      </c>
      <c r="Q1758" s="121" t="s">
        <v>124</v>
      </c>
      <c r="R1758" s="127"/>
      <c r="T1758" s="118"/>
    </row>
    <row r="1759" customFormat="false" ht="12.75" hidden="false" customHeight="true" outlineLevel="0" collapsed="false">
      <c r="B1759" s="119" t="n">
        <f aca="false">ROW()-4</f>
        <v>1755</v>
      </c>
      <c r="C1759" s="120" t="n">
        <f aca="false">COUNTIFS($D$5:D1759,D1759)</f>
        <v>796</v>
      </c>
      <c r="D1759" s="121" t="s">
        <v>2006</v>
      </c>
      <c r="E1759" s="122" t="s">
        <v>3555</v>
      </c>
      <c r="F1759" s="123" t="n">
        <v>45854</v>
      </c>
      <c r="G1759" s="121" t="s">
        <v>26</v>
      </c>
      <c r="H175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A1755</v>
      </c>
      <c r="I175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B1755</v>
      </c>
      <c r="J1759" s="122" t="s">
        <v>3556</v>
      </c>
      <c r="K175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C1755</v>
      </c>
      <c r="L175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D1755</v>
      </c>
      <c r="M175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E1755</v>
      </c>
      <c r="N1759" s="122" t="s">
        <v>73</v>
      </c>
      <c r="O1759" s="126" t="n">
        <v>3500000</v>
      </c>
      <c r="P1759" s="121" t="s">
        <v>18</v>
      </c>
      <c r="Q1759" s="121" t="s">
        <v>124</v>
      </c>
      <c r="R1759" s="127"/>
      <c r="T1759" s="118"/>
    </row>
    <row r="1760" customFormat="false" ht="12.75" hidden="false" customHeight="true" outlineLevel="0" collapsed="false">
      <c r="B1760" s="119" t="n">
        <f aca="false">ROW()-4</f>
        <v>1756</v>
      </c>
      <c r="C1760" s="120" t="n">
        <f aca="false">COUNTIFS($D$5:D1760,D1760)</f>
        <v>797</v>
      </c>
      <c r="D1760" s="121" t="s">
        <v>2006</v>
      </c>
      <c r="E1760" s="122" t="s">
        <v>3557</v>
      </c>
      <c r="F1760" s="123" t="n">
        <v>45853</v>
      </c>
      <c r="G1760" s="121" t="s">
        <v>26</v>
      </c>
      <c r="H176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A1756</v>
      </c>
      <c r="I176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B1756</v>
      </c>
      <c r="J1760" s="122" t="s">
        <v>3558</v>
      </c>
      <c r="K176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C1756</v>
      </c>
      <c r="L176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D1756</v>
      </c>
      <c r="M176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E1756</v>
      </c>
      <c r="N1760" s="122" t="s">
        <v>73</v>
      </c>
      <c r="O1760" s="126" t="n">
        <v>3500000</v>
      </c>
      <c r="P1760" s="121" t="s">
        <v>18</v>
      </c>
      <c r="Q1760" s="121" t="s">
        <v>124</v>
      </c>
      <c r="R1760" s="127"/>
      <c r="T1760" s="118"/>
    </row>
    <row r="1761" customFormat="false" ht="12.75" hidden="false" customHeight="true" outlineLevel="0" collapsed="false">
      <c r="B1761" s="119" t="n">
        <f aca="false">ROW()-4</f>
        <v>1757</v>
      </c>
      <c r="C1761" s="120" t="n">
        <f aca="false">COUNTIFS($D$5:D1761,D1761)</f>
        <v>798</v>
      </c>
      <c r="D1761" s="121" t="s">
        <v>2006</v>
      </c>
      <c r="E1761" s="122" t="s">
        <v>3559</v>
      </c>
      <c r="F1761" s="123" t="n">
        <v>45860</v>
      </c>
      <c r="G1761" s="121" t="s">
        <v>22</v>
      </c>
      <c r="H176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A1757</v>
      </c>
      <c r="I176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B1757</v>
      </c>
      <c r="J1761" s="122" t="s">
        <v>3560</v>
      </c>
      <c r="K176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C1757</v>
      </c>
      <c r="L176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D1757</v>
      </c>
      <c r="M176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E1757</v>
      </c>
      <c r="N1761" s="122" t="s">
        <v>73</v>
      </c>
      <c r="O1761" s="126" t="n">
        <v>3500000</v>
      </c>
      <c r="P1761" s="121" t="s">
        <v>18</v>
      </c>
      <c r="Q1761" s="121" t="s">
        <v>124</v>
      </c>
      <c r="R1761" s="127"/>
      <c r="T1761" s="118"/>
    </row>
    <row r="1762" customFormat="false" ht="12.75" hidden="false" customHeight="true" outlineLevel="0" collapsed="false">
      <c r="B1762" s="119" t="n">
        <f aca="false">ROW()-4</f>
        <v>1758</v>
      </c>
      <c r="C1762" s="120" t="n">
        <f aca="false">COUNTIFS($D$5:D1762,D1762)</f>
        <v>799</v>
      </c>
      <c r="D1762" s="121" t="s">
        <v>2006</v>
      </c>
      <c r="E1762" s="122" t="s">
        <v>3561</v>
      </c>
      <c r="F1762" s="123" t="n">
        <v>45860</v>
      </c>
      <c r="G1762" s="121" t="s">
        <v>22</v>
      </c>
      <c r="H176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A1758</v>
      </c>
      <c r="I176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B1758</v>
      </c>
      <c r="J1762" s="122" t="s">
        <v>3562</v>
      </c>
      <c r="K176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C1758</v>
      </c>
      <c r="L176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D1758</v>
      </c>
      <c r="M176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E1758</v>
      </c>
      <c r="N1762" s="122" t="s">
        <v>73</v>
      </c>
      <c r="O1762" s="126" t="n">
        <v>3500000</v>
      </c>
      <c r="P1762" s="121" t="s">
        <v>18</v>
      </c>
      <c r="Q1762" s="121" t="s">
        <v>124</v>
      </c>
      <c r="R1762" s="127"/>
      <c r="T1762" s="118"/>
    </row>
    <row r="1763" s="118" customFormat="true" ht="12.75" hidden="false" customHeight="true" outlineLevel="0" collapsed="false">
      <c r="A1763" s="98"/>
      <c r="B1763" s="119" t="n">
        <f aca="false">ROW()-4</f>
        <v>1759</v>
      </c>
      <c r="C1763" s="120" t="n">
        <f aca="false">COUNTIFS($D$5:D1763,D1763)</f>
        <v>800</v>
      </c>
      <c r="D1763" s="121" t="s">
        <v>2006</v>
      </c>
      <c r="E1763" s="122" t="s">
        <v>3563</v>
      </c>
      <c r="F1763" s="123" t="n">
        <v>45854</v>
      </c>
      <c r="G1763" s="121" t="s">
        <v>28</v>
      </c>
      <c r="H176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A1759</v>
      </c>
      <c r="I176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B1759</v>
      </c>
      <c r="J1763" s="122" t="s">
        <v>3564</v>
      </c>
      <c r="K176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C1759</v>
      </c>
      <c r="L176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D1759</v>
      </c>
      <c r="M176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E1759</v>
      </c>
      <c r="N1763" s="122" t="s">
        <v>73</v>
      </c>
      <c r="O1763" s="126" t="n">
        <v>3500000</v>
      </c>
      <c r="P1763" s="121" t="s">
        <v>18</v>
      </c>
      <c r="Q1763" s="121" t="s">
        <v>124</v>
      </c>
      <c r="R1763" s="127"/>
    </row>
    <row r="1764" s="118" customFormat="true" ht="12.75" hidden="false" customHeight="true" outlineLevel="0" collapsed="false">
      <c r="A1764" s="98"/>
      <c r="B1764" s="119" t="n">
        <f aca="false">ROW()-4</f>
        <v>1760</v>
      </c>
      <c r="C1764" s="120" t="n">
        <f aca="false">COUNTIFS($D$5:D1764,D1764)</f>
        <v>801</v>
      </c>
      <c r="D1764" s="121" t="s">
        <v>2006</v>
      </c>
      <c r="E1764" s="122" t="s">
        <v>3565</v>
      </c>
      <c r="F1764" s="123" t="n">
        <v>45854</v>
      </c>
      <c r="G1764" s="121" t="s">
        <v>28</v>
      </c>
      <c r="H176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A1760</v>
      </c>
      <c r="I176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B1760</v>
      </c>
      <c r="J1764" s="122" t="s">
        <v>3566</v>
      </c>
      <c r="K176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C1760</v>
      </c>
      <c r="L176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D1760</v>
      </c>
      <c r="M176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E1760</v>
      </c>
      <c r="N1764" s="122" t="s">
        <v>73</v>
      </c>
      <c r="O1764" s="126" t="n">
        <v>3500000</v>
      </c>
      <c r="P1764" s="121" t="s">
        <v>18</v>
      </c>
      <c r="Q1764" s="121" t="s">
        <v>124</v>
      </c>
      <c r="R1764" s="127"/>
    </row>
    <row r="1765" customFormat="false" ht="12.75" hidden="false" customHeight="true" outlineLevel="0" collapsed="false">
      <c r="B1765" s="119" t="n">
        <f aca="false">ROW()-4</f>
        <v>1761</v>
      </c>
      <c r="C1765" s="120" t="n">
        <f aca="false">COUNTIFS($D$5:D1765,D1765)</f>
        <v>802</v>
      </c>
      <c r="D1765" s="121" t="s">
        <v>2006</v>
      </c>
      <c r="E1765" s="122" t="s">
        <v>3567</v>
      </c>
      <c r="F1765" s="123" t="n">
        <v>45840</v>
      </c>
      <c r="G1765" s="121" t="s">
        <v>28</v>
      </c>
      <c r="H176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A1761</v>
      </c>
      <c r="I176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B1761</v>
      </c>
      <c r="J1765" s="122" t="s">
        <v>3568</v>
      </c>
      <c r="K176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C1761</v>
      </c>
      <c r="L176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D1761</v>
      </c>
      <c r="M176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E1761</v>
      </c>
      <c r="N1765" s="122" t="s">
        <v>73</v>
      </c>
      <c r="O1765" s="126" t="n">
        <v>3500000</v>
      </c>
      <c r="P1765" s="121" t="s">
        <v>18</v>
      </c>
      <c r="Q1765" s="121" t="s">
        <v>124</v>
      </c>
      <c r="R1765" s="127"/>
      <c r="T1765" s="118"/>
    </row>
    <row r="1766" customFormat="false" ht="12.75" hidden="false" customHeight="true" outlineLevel="0" collapsed="false">
      <c r="B1766" s="119" t="n">
        <f aca="false">ROW()-4</f>
        <v>1762</v>
      </c>
      <c r="C1766" s="120" t="n">
        <f aca="false">COUNTIFS($D$5:D1766,D1766)</f>
        <v>803</v>
      </c>
      <c r="D1766" s="121" t="s">
        <v>2006</v>
      </c>
      <c r="E1766" s="122" t="s">
        <v>3569</v>
      </c>
      <c r="F1766" s="123" t="n">
        <v>45859</v>
      </c>
      <c r="G1766" s="121" t="s">
        <v>30</v>
      </c>
      <c r="H176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A1762</v>
      </c>
      <c r="I176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B1762</v>
      </c>
      <c r="J1766" s="122" t="s">
        <v>3570</v>
      </c>
      <c r="K176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C1762</v>
      </c>
      <c r="L176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D1762</v>
      </c>
      <c r="M176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E1762</v>
      </c>
      <c r="N1766" s="122" t="s">
        <v>73</v>
      </c>
      <c r="O1766" s="126" t="n">
        <v>3500000</v>
      </c>
      <c r="P1766" s="121" t="s">
        <v>18</v>
      </c>
      <c r="Q1766" s="121" t="s">
        <v>124</v>
      </c>
      <c r="R1766" s="127"/>
      <c r="T1766" s="118"/>
    </row>
    <row r="1767" customFormat="false" ht="12.75" hidden="false" customHeight="true" outlineLevel="0" collapsed="false">
      <c r="B1767" s="119" t="n">
        <f aca="false">ROW()-4</f>
        <v>1763</v>
      </c>
      <c r="C1767" s="120" t="n">
        <f aca="false">COUNTIFS($D$5:D1767,D1767)</f>
        <v>804</v>
      </c>
      <c r="D1767" s="121" t="s">
        <v>2006</v>
      </c>
      <c r="E1767" s="122" t="s">
        <v>3571</v>
      </c>
      <c r="F1767" s="123" t="n">
        <v>45846</v>
      </c>
      <c r="G1767" s="121" t="s">
        <v>28</v>
      </c>
      <c r="H176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A1763</v>
      </c>
      <c r="I176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B1763</v>
      </c>
      <c r="J1767" s="122" t="s">
        <v>3572</v>
      </c>
      <c r="K176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C1763</v>
      </c>
      <c r="L176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D1763</v>
      </c>
      <c r="M176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E1763</v>
      </c>
      <c r="N1767" s="122" t="s">
        <v>73</v>
      </c>
      <c r="O1767" s="126" t="n">
        <v>3500000</v>
      </c>
      <c r="P1767" s="121" t="s">
        <v>18</v>
      </c>
      <c r="Q1767" s="121" t="s">
        <v>124</v>
      </c>
      <c r="R1767" s="127"/>
      <c r="T1767" s="118"/>
    </row>
    <row r="1768" s="118" customFormat="true" ht="12.75" hidden="false" customHeight="true" outlineLevel="0" collapsed="false">
      <c r="A1768" s="98"/>
      <c r="B1768" s="119" t="n">
        <f aca="false">ROW()-4</f>
        <v>1764</v>
      </c>
      <c r="C1768" s="120" t="n">
        <f aca="false">COUNTIFS($D$5:D1768,D1768)</f>
        <v>805</v>
      </c>
      <c r="D1768" s="121" t="s">
        <v>2006</v>
      </c>
      <c r="E1768" s="122" t="s">
        <v>3573</v>
      </c>
      <c r="F1768" s="123" t="n">
        <v>45846</v>
      </c>
      <c r="G1768" s="121" t="s">
        <v>28</v>
      </c>
      <c r="H176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A1764</v>
      </c>
      <c r="I176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B1764</v>
      </c>
      <c r="J1768" s="122" t="s">
        <v>3574</v>
      </c>
      <c r="K176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C1764</v>
      </c>
      <c r="L176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D1764</v>
      </c>
      <c r="M176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E1764</v>
      </c>
      <c r="N1768" s="122" t="s">
        <v>73</v>
      </c>
      <c r="O1768" s="126" t="n">
        <v>3500000</v>
      </c>
      <c r="P1768" s="121" t="s">
        <v>18</v>
      </c>
      <c r="Q1768" s="121" t="s">
        <v>124</v>
      </c>
      <c r="R1768" s="127"/>
    </row>
    <row r="1769" customFormat="false" ht="12.75" hidden="false" customHeight="true" outlineLevel="0" collapsed="false">
      <c r="B1769" s="119" t="n">
        <f aca="false">ROW()-4</f>
        <v>1765</v>
      </c>
      <c r="C1769" s="120" t="n">
        <f aca="false">COUNTIFS($D$5:D1769,D1769)</f>
        <v>806</v>
      </c>
      <c r="D1769" s="121" t="s">
        <v>2006</v>
      </c>
      <c r="E1769" s="122" t="s">
        <v>3575</v>
      </c>
      <c r="F1769" s="123" t="n">
        <v>45841</v>
      </c>
      <c r="G1769" s="121" t="s">
        <v>26</v>
      </c>
      <c r="H176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A1765</v>
      </c>
      <c r="I176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B1765</v>
      </c>
      <c r="J1769" s="122" t="s">
        <v>3576</v>
      </c>
      <c r="K176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C1765</v>
      </c>
      <c r="L176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D1765</v>
      </c>
      <c r="M176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E1765</v>
      </c>
      <c r="N1769" s="122" t="s">
        <v>73</v>
      </c>
      <c r="O1769" s="126" t="n">
        <v>3500000</v>
      </c>
      <c r="P1769" s="121" t="s">
        <v>18</v>
      </c>
      <c r="Q1769" s="121" t="s">
        <v>124</v>
      </c>
      <c r="R1769" s="127"/>
      <c r="T1769" s="118"/>
    </row>
    <row r="1770" customFormat="false" ht="12.75" hidden="false" customHeight="true" outlineLevel="0" collapsed="false">
      <c r="B1770" s="119" t="n">
        <f aca="false">ROW()-4</f>
        <v>1766</v>
      </c>
      <c r="C1770" s="120" t="n">
        <f aca="false">COUNTIFS($D$5:D1770,D1770)</f>
        <v>807</v>
      </c>
      <c r="D1770" s="121" t="s">
        <v>2006</v>
      </c>
      <c r="E1770" s="122" t="s">
        <v>3577</v>
      </c>
      <c r="F1770" s="123" t="n">
        <v>45853</v>
      </c>
      <c r="G1770" s="121" t="s">
        <v>26</v>
      </c>
      <c r="H177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A1766</v>
      </c>
      <c r="I177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B1766</v>
      </c>
      <c r="J1770" s="122" t="s">
        <v>3578</v>
      </c>
      <c r="K177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C1766</v>
      </c>
      <c r="L177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D1766</v>
      </c>
      <c r="M177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E1766</v>
      </c>
      <c r="N1770" s="122" t="s">
        <v>73</v>
      </c>
      <c r="O1770" s="126" t="n">
        <v>3500000</v>
      </c>
      <c r="P1770" s="121" t="s">
        <v>18</v>
      </c>
      <c r="Q1770" s="121" t="s">
        <v>124</v>
      </c>
      <c r="R1770" s="127"/>
      <c r="T1770" s="118"/>
    </row>
    <row r="1771" customFormat="false" ht="12.75" hidden="false" customHeight="true" outlineLevel="0" collapsed="false">
      <c r="B1771" s="119" t="n">
        <f aca="false">ROW()-4</f>
        <v>1767</v>
      </c>
      <c r="C1771" s="120" t="n">
        <f aca="false">COUNTIFS($D$5:D1771,D1771)</f>
        <v>808</v>
      </c>
      <c r="D1771" s="121" t="s">
        <v>2006</v>
      </c>
      <c r="E1771" s="122" t="s">
        <v>3579</v>
      </c>
      <c r="F1771" s="123" t="n">
        <v>45852</v>
      </c>
      <c r="G1771" s="121" t="s">
        <v>26</v>
      </c>
      <c r="H177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A1767</v>
      </c>
      <c r="I177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B1767</v>
      </c>
      <c r="J1771" s="122" t="s">
        <v>3580</v>
      </c>
      <c r="K177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C1767</v>
      </c>
      <c r="L177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D1767</v>
      </c>
      <c r="M177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E1767</v>
      </c>
      <c r="N1771" s="122" t="s">
        <v>73</v>
      </c>
      <c r="O1771" s="126" t="n">
        <v>3500000</v>
      </c>
      <c r="P1771" s="121" t="s">
        <v>18</v>
      </c>
      <c r="Q1771" s="121" t="s">
        <v>124</v>
      </c>
      <c r="R1771" s="127"/>
      <c r="T1771" s="118"/>
    </row>
    <row r="1772" customFormat="false" ht="12.75" hidden="false" customHeight="true" outlineLevel="0" collapsed="false">
      <c r="B1772" s="119" t="n">
        <f aca="false">ROW()-4</f>
        <v>1768</v>
      </c>
      <c r="C1772" s="120" t="n">
        <f aca="false">COUNTIFS($D$5:D1772,D1772)</f>
        <v>809</v>
      </c>
      <c r="D1772" s="121" t="s">
        <v>2006</v>
      </c>
      <c r="E1772" s="122" t="s">
        <v>3581</v>
      </c>
      <c r="F1772" s="123" t="n">
        <v>45853</v>
      </c>
      <c r="G1772" s="121" t="s">
        <v>22</v>
      </c>
      <c r="H177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A1768</v>
      </c>
      <c r="I177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B1768</v>
      </c>
      <c r="J1772" s="122" t="s">
        <v>3582</v>
      </c>
      <c r="K177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C1768</v>
      </c>
      <c r="L177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D1768</v>
      </c>
      <c r="M177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E1768</v>
      </c>
      <c r="N1772" s="122" t="s">
        <v>73</v>
      </c>
      <c r="O1772" s="126" t="n">
        <v>3500000</v>
      </c>
      <c r="P1772" s="121" t="s">
        <v>18</v>
      </c>
      <c r="Q1772" s="121" t="s">
        <v>124</v>
      </c>
      <c r="R1772" s="127"/>
      <c r="T1772" s="118"/>
    </row>
    <row r="1773" customFormat="false" ht="12.75" hidden="false" customHeight="true" outlineLevel="0" collapsed="false">
      <c r="B1773" s="119" t="n">
        <f aca="false">ROW()-4</f>
        <v>1769</v>
      </c>
      <c r="C1773" s="120" t="n">
        <f aca="false">COUNTIFS($D$5:D1773,D1773)</f>
        <v>810</v>
      </c>
      <c r="D1773" s="121" t="s">
        <v>2006</v>
      </c>
      <c r="E1773" s="122" t="s">
        <v>3583</v>
      </c>
      <c r="F1773" s="123" t="n">
        <v>45853</v>
      </c>
      <c r="G1773" s="121" t="s">
        <v>22</v>
      </c>
      <c r="H177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A1769</v>
      </c>
      <c r="I177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B1769</v>
      </c>
      <c r="J1773" s="122" t="s">
        <v>3584</v>
      </c>
      <c r="K177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C1769</v>
      </c>
      <c r="L177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D1769</v>
      </c>
      <c r="M177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E1769</v>
      </c>
      <c r="N1773" s="122" t="s">
        <v>73</v>
      </c>
      <c r="O1773" s="126" t="n">
        <v>3500000</v>
      </c>
      <c r="P1773" s="121" t="s">
        <v>18</v>
      </c>
      <c r="Q1773" s="121" t="s">
        <v>124</v>
      </c>
      <c r="R1773" s="127"/>
      <c r="T1773" s="118"/>
    </row>
    <row r="1774" customFormat="false" ht="12.75" hidden="false" customHeight="true" outlineLevel="0" collapsed="false">
      <c r="B1774" s="119" t="n">
        <f aca="false">ROW()-4</f>
        <v>1770</v>
      </c>
      <c r="C1774" s="120" t="n">
        <f aca="false">COUNTIFS($D$5:D1774,D1774)</f>
        <v>811</v>
      </c>
      <c r="D1774" s="121" t="s">
        <v>2006</v>
      </c>
      <c r="E1774" s="122" t="s">
        <v>3585</v>
      </c>
      <c r="F1774" s="123" t="n">
        <v>45863</v>
      </c>
      <c r="G1774" s="121" t="s">
        <v>24</v>
      </c>
      <c r="H177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A1770</v>
      </c>
      <c r="I177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B1770</v>
      </c>
      <c r="J1774" s="122" t="s">
        <v>3586</v>
      </c>
      <c r="K177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C1770</v>
      </c>
      <c r="L177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D1770</v>
      </c>
      <c r="M177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E1770</v>
      </c>
      <c r="N1774" s="122" t="s">
        <v>73</v>
      </c>
      <c r="O1774" s="126" t="n">
        <v>3500000</v>
      </c>
      <c r="P1774" s="121" t="s">
        <v>18</v>
      </c>
      <c r="Q1774" s="121" t="s">
        <v>124</v>
      </c>
      <c r="R1774" s="127"/>
      <c r="T1774" s="118"/>
    </row>
    <row r="1775" customFormat="false" ht="12.75" hidden="false" customHeight="true" outlineLevel="0" collapsed="false">
      <c r="B1775" s="119" t="n">
        <f aca="false">ROW()-4</f>
        <v>1771</v>
      </c>
      <c r="C1775" s="120" t="n">
        <f aca="false">COUNTIFS($D$5:D1775,D1775)</f>
        <v>812</v>
      </c>
      <c r="D1775" s="121" t="s">
        <v>2006</v>
      </c>
      <c r="E1775" s="122" t="s">
        <v>3587</v>
      </c>
      <c r="F1775" s="123" t="n">
        <v>45863</v>
      </c>
      <c r="G1775" s="121" t="s">
        <v>30</v>
      </c>
      <c r="H177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A1771</v>
      </c>
      <c r="I177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B1771</v>
      </c>
      <c r="J1775" s="122" t="s">
        <v>3588</v>
      </c>
      <c r="K177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C1771</v>
      </c>
      <c r="L177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D1771</v>
      </c>
      <c r="M177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E1771</v>
      </c>
      <c r="N1775" s="122" t="s">
        <v>73</v>
      </c>
      <c r="O1775" s="126" t="n">
        <v>3500000</v>
      </c>
      <c r="P1775" s="121" t="s">
        <v>18</v>
      </c>
      <c r="Q1775" s="121" t="s">
        <v>124</v>
      </c>
      <c r="R1775" s="127"/>
      <c r="T1775" s="118"/>
    </row>
    <row r="1776" customFormat="false" ht="12.75" hidden="false" customHeight="true" outlineLevel="0" collapsed="false">
      <c r="B1776" s="119" t="n">
        <f aca="false">ROW()-4</f>
        <v>1772</v>
      </c>
      <c r="C1776" s="120" t="n">
        <f aca="false">COUNTIFS($D$5:D1776,D1776)</f>
        <v>813</v>
      </c>
      <c r="D1776" s="121" t="s">
        <v>2006</v>
      </c>
      <c r="E1776" s="122" t="s">
        <v>3589</v>
      </c>
      <c r="F1776" s="123"/>
      <c r="G1776" s="121" t="s">
        <v>210</v>
      </c>
      <c r="H1776" s="122"/>
      <c r="I1776" s="122"/>
      <c r="J1776" s="122"/>
      <c r="K1776" s="122"/>
      <c r="L1776" s="125"/>
      <c r="M177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E1772</v>
      </c>
      <c r="N1776" s="122" t="s">
        <v>73</v>
      </c>
      <c r="O1776" s="126" t="n">
        <v>3500000</v>
      </c>
      <c r="P1776" s="121" t="s">
        <v>19</v>
      </c>
      <c r="Q1776" s="122"/>
      <c r="R1776" s="128" t="s">
        <v>59</v>
      </c>
      <c r="T1776" s="118"/>
    </row>
    <row r="1777" customFormat="false" ht="12.75" hidden="false" customHeight="true" outlineLevel="0" collapsed="false">
      <c r="B1777" s="119" t="n">
        <f aca="false">ROW()-4</f>
        <v>1773</v>
      </c>
      <c r="C1777" s="120" t="n">
        <f aca="false">COUNTIFS($D$5:D1777,D1777)</f>
        <v>814</v>
      </c>
      <c r="D1777" s="121" t="s">
        <v>2006</v>
      </c>
      <c r="E1777" s="122" t="s">
        <v>3590</v>
      </c>
      <c r="F1777" s="123" t="n">
        <v>45854</v>
      </c>
      <c r="G1777" s="121" t="s">
        <v>28</v>
      </c>
      <c r="H177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A1773</v>
      </c>
      <c r="I177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B1773</v>
      </c>
      <c r="J1777" s="122" t="s">
        <v>3591</v>
      </c>
      <c r="K177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C1773</v>
      </c>
      <c r="L177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D1773</v>
      </c>
      <c r="M177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E1773</v>
      </c>
      <c r="N1777" s="122" t="s">
        <v>73</v>
      </c>
      <c r="O1777" s="126" t="n">
        <v>3500000</v>
      </c>
      <c r="P1777" s="121" t="s">
        <v>18</v>
      </c>
      <c r="Q1777" s="121" t="s">
        <v>124</v>
      </c>
      <c r="R1777" s="127"/>
      <c r="T1777" s="118"/>
    </row>
    <row r="1778" customFormat="false" ht="12.75" hidden="false" customHeight="true" outlineLevel="0" collapsed="false">
      <c r="B1778" s="119" t="n">
        <f aca="false">ROW()-4</f>
        <v>1774</v>
      </c>
      <c r="C1778" s="120" t="n">
        <f aca="false">COUNTIFS($D$5:D1778,D1778)</f>
        <v>815</v>
      </c>
      <c r="D1778" s="121" t="s">
        <v>2006</v>
      </c>
      <c r="E1778" s="122" t="s">
        <v>3592</v>
      </c>
      <c r="F1778" s="123" t="n">
        <v>45863</v>
      </c>
      <c r="G1778" s="121" t="s">
        <v>24</v>
      </c>
      <c r="H177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A1774</v>
      </c>
      <c r="I177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B1774</v>
      </c>
      <c r="J1778" s="122" t="s">
        <v>3593</v>
      </c>
      <c r="K177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C1774</v>
      </c>
      <c r="L177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D1774</v>
      </c>
      <c r="M177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E1774</v>
      </c>
      <c r="N1778" s="122" t="s">
        <v>73</v>
      </c>
      <c r="O1778" s="126" t="n">
        <v>3500000</v>
      </c>
      <c r="P1778" s="121" t="s">
        <v>18</v>
      </c>
      <c r="Q1778" s="121" t="s">
        <v>124</v>
      </c>
      <c r="R1778" s="127"/>
      <c r="T1778" s="118"/>
    </row>
    <row r="1779" customFormat="false" ht="12.75" hidden="false" customHeight="true" outlineLevel="0" collapsed="false">
      <c r="B1779" s="119" t="n">
        <f aca="false">ROW()-4</f>
        <v>1775</v>
      </c>
      <c r="C1779" s="120" t="n">
        <f aca="false">COUNTIFS($D$5:D1779,D1779)</f>
        <v>816</v>
      </c>
      <c r="D1779" s="121" t="s">
        <v>2006</v>
      </c>
      <c r="E1779" s="122" t="s">
        <v>3594</v>
      </c>
      <c r="F1779" s="123" t="n">
        <v>45867</v>
      </c>
      <c r="G1779" s="121" t="s">
        <v>24</v>
      </c>
      <c r="H177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A1775</v>
      </c>
      <c r="I177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B1775</v>
      </c>
      <c r="J1779" s="122" t="s">
        <v>3595</v>
      </c>
      <c r="K177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C1775</v>
      </c>
      <c r="L177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D1775</v>
      </c>
      <c r="M177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E1775</v>
      </c>
      <c r="N1779" s="122" t="s">
        <v>73</v>
      </c>
      <c r="O1779" s="126" t="n">
        <v>3500000</v>
      </c>
      <c r="P1779" s="121" t="s">
        <v>18</v>
      </c>
      <c r="Q1779" s="121" t="s">
        <v>124</v>
      </c>
      <c r="R1779" s="127"/>
      <c r="T1779" s="118"/>
    </row>
    <row r="1780" customFormat="false" ht="12.75" hidden="false" customHeight="true" outlineLevel="0" collapsed="false">
      <c r="B1780" s="119" t="n">
        <f aca="false">ROW()-4</f>
        <v>1776</v>
      </c>
      <c r="C1780" s="120" t="n">
        <f aca="false">COUNTIFS($D$5:D1780,D1780)</f>
        <v>817</v>
      </c>
      <c r="D1780" s="121" t="s">
        <v>2006</v>
      </c>
      <c r="E1780" s="122" t="s">
        <v>3596</v>
      </c>
      <c r="F1780" s="123" t="n">
        <v>45875</v>
      </c>
      <c r="G1780" s="121" t="s">
        <v>22</v>
      </c>
      <c r="H178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A1776</v>
      </c>
      <c r="I178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B1776</v>
      </c>
      <c r="J1780" s="122" t="s">
        <v>3597</v>
      </c>
      <c r="K178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C1776</v>
      </c>
      <c r="L178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D1776</v>
      </c>
      <c r="M178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E1776</v>
      </c>
      <c r="N1780" s="122" t="s">
        <v>73</v>
      </c>
      <c r="O1780" s="126" t="n">
        <v>3500000</v>
      </c>
      <c r="P1780" s="121" t="s">
        <v>18</v>
      </c>
      <c r="Q1780" s="121" t="s">
        <v>124</v>
      </c>
      <c r="R1780" s="127"/>
      <c r="T1780" s="118"/>
    </row>
    <row r="1781" customFormat="false" ht="12.75" hidden="false" customHeight="true" outlineLevel="0" collapsed="false">
      <c r="B1781" s="119" t="n">
        <f aca="false">ROW()-4</f>
        <v>1777</v>
      </c>
      <c r="C1781" s="120" t="n">
        <f aca="false">COUNTIFS($D$5:D1781,D1781)</f>
        <v>818</v>
      </c>
      <c r="D1781" s="121" t="s">
        <v>2006</v>
      </c>
      <c r="E1781" s="122" t="s">
        <v>3598</v>
      </c>
      <c r="F1781" s="123" t="n">
        <v>45862</v>
      </c>
      <c r="G1781" s="121" t="s">
        <v>22</v>
      </c>
      <c r="H178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A1777</v>
      </c>
      <c r="I178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B1777</v>
      </c>
      <c r="J1781" s="122" t="s">
        <v>3599</v>
      </c>
      <c r="K178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C1777</v>
      </c>
      <c r="L178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D1777</v>
      </c>
      <c r="M178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E1777</v>
      </c>
      <c r="N1781" s="122" t="s">
        <v>73</v>
      </c>
      <c r="O1781" s="126" t="n">
        <v>3500000</v>
      </c>
      <c r="P1781" s="121" t="s">
        <v>18</v>
      </c>
      <c r="Q1781" s="121" t="s">
        <v>124</v>
      </c>
      <c r="R1781" s="127"/>
      <c r="T1781" s="118"/>
    </row>
    <row r="1782" customFormat="false" ht="12.75" hidden="false" customHeight="true" outlineLevel="0" collapsed="false">
      <c r="B1782" s="119" t="n">
        <f aca="false">ROW()-4</f>
        <v>1778</v>
      </c>
      <c r="C1782" s="120" t="n">
        <f aca="false">COUNTIFS($D$5:D1782,D1782)</f>
        <v>819</v>
      </c>
      <c r="D1782" s="121" t="s">
        <v>2006</v>
      </c>
      <c r="E1782" s="122" t="s">
        <v>3600</v>
      </c>
      <c r="F1782" s="123" t="n">
        <v>45874</v>
      </c>
      <c r="G1782" s="121" t="s">
        <v>22</v>
      </c>
      <c r="H178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A1778</v>
      </c>
      <c r="I178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B1778</v>
      </c>
      <c r="J1782" s="122" t="s">
        <v>3601</v>
      </c>
      <c r="K178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C1778</v>
      </c>
      <c r="L178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D1778</v>
      </c>
      <c r="M178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E1778</v>
      </c>
      <c r="N1782" s="122" t="s">
        <v>73</v>
      </c>
      <c r="O1782" s="126" t="n">
        <v>3500000</v>
      </c>
      <c r="P1782" s="121" t="s">
        <v>18</v>
      </c>
      <c r="Q1782" s="121" t="s">
        <v>124</v>
      </c>
      <c r="R1782" s="127"/>
      <c r="T1782" s="118"/>
    </row>
    <row r="1783" customFormat="false" ht="12.75" hidden="false" customHeight="true" outlineLevel="0" collapsed="false">
      <c r="B1783" s="119" t="n">
        <f aca="false">ROW()-4</f>
        <v>1779</v>
      </c>
      <c r="C1783" s="120" t="n">
        <f aca="false">COUNTIFS($D$5:D1783,D1783)</f>
        <v>820</v>
      </c>
      <c r="D1783" s="121" t="s">
        <v>2006</v>
      </c>
      <c r="E1783" s="122" t="s">
        <v>3602</v>
      </c>
      <c r="F1783" s="123" t="n">
        <v>45874</v>
      </c>
      <c r="G1783" s="121" t="s">
        <v>22</v>
      </c>
      <c r="H178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A1779</v>
      </c>
      <c r="I178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B1779</v>
      </c>
      <c r="J1783" s="122" t="s">
        <v>3603</v>
      </c>
      <c r="K178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C1779</v>
      </c>
      <c r="L178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D1779</v>
      </c>
      <c r="M178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E1779</v>
      </c>
      <c r="N1783" s="122" t="s">
        <v>73</v>
      </c>
      <c r="O1783" s="126" t="n">
        <v>3500000</v>
      </c>
      <c r="P1783" s="121" t="s">
        <v>18</v>
      </c>
      <c r="Q1783" s="121" t="s">
        <v>124</v>
      </c>
      <c r="R1783" s="127"/>
      <c r="T1783" s="118"/>
    </row>
    <row r="1784" customFormat="false" ht="12.75" hidden="false" customHeight="true" outlineLevel="0" collapsed="false">
      <c r="B1784" s="119" t="n">
        <f aca="false">ROW()-4</f>
        <v>1780</v>
      </c>
      <c r="C1784" s="120" t="n">
        <f aca="false">COUNTIFS($D$5:D1784,D1784)</f>
        <v>821</v>
      </c>
      <c r="D1784" s="121" t="s">
        <v>2006</v>
      </c>
      <c r="E1784" s="122" t="s">
        <v>3604</v>
      </c>
      <c r="F1784" s="123" t="n">
        <v>45873</v>
      </c>
      <c r="G1784" s="121" t="s">
        <v>24</v>
      </c>
      <c r="H178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A1780</v>
      </c>
      <c r="I178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B1780</v>
      </c>
      <c r="J1784" s="122" t="s">
        <v>3605</v>
      </c>
      <c r="K178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C1780</v>
      </c>
      <c r="L178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D1780</v>
      </c>
      <c r="M178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E1780</v>
      </c>
      <c r="N1784" s="122" t="s">
        <v>73</v>
      </c>
      <c r="O1784" s="126" t="n">
        <v>3500000</v>
      </c>
      <c r="P1784" s="121" t="s">
        <v>18</v>
      </c>
      <c r="Q1784" s="121" t="s">
        <v>124</v>
      </c>
      <c r="R1784" s="127"/>
      <c r="T1784" s="118"/>
    </row>
    <row r="1785" s="118" customFormat="true" ht="12.75" hidden="false" customHeight="true" outlineLevel="0" collapsed="false">
      <c r="A1785" s="98"/>
      <c r="B1785" s="119" t="n">
        <f aca="false">ROW()-4</f>
        <v>1781</v>
      </c>
      <c r="C1785" s="120" t="n">
        <f aca="false">COUNTIFS($D$5:D1785,D1785)</f>
        <v>822</v>
      </c>
      <c r="D1785" s="121" t="s">
        <v>2006</v>
      </c>
      <c r="E1785" s="122" t="s">
        <v>3606</v>
      </c>
      <c r="F1785" s="123" t="n">
        <v>45866</v>
      </c>
      <c r="G1785" s="121" t="s">
        <v>24</v>
      </c>
      <c r="H178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A1781</v>
      </c>
      <c r="I178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B1781</v>
      </c>
      <c r="J1785" s="122" t="s">
        <v>3607</v>
      </c>
      <c r="K178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C1781</v>
      </c>
      <c r="L178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D1781</v>
      </c>
      <c r="M178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E1781</v>
      </c>
      <c r="N1785" s="122" t="s">
        <v>73</v>
      </c>
      <c r="O1785" s="126" t="n">
        <v>3500000</v>
      </c>
      <c r="P1785" s="121" t="s">
        <v>18</v>
      </c>
      <c r="Q1785" s="121" t="s">
        <v>124</v>
      </c>
      <c r="R1785" s="127"/>
    </row>
    <row r="1786" s="118" customFormat="true" ht="12.75" hidden="false" customHeight="true" outlineLevel="0" collapsed="false">
      <c r="A1786" s="98"/>
      <c r="B1786" s="119" t="n">
        <f aca="false">ROW()-4</f>
        <v>1782</v>
      </c>
      <c r="C1786" s="120" t="n">
        <f aca="false">COUNTIFS($D$5:D1786,D1786)</f>
        <v>823</v>
      </c>
      <c r="D1786" s="121" t="s">
        <v>2006</v>
      </c>
      <c r="E1786" s="122" t="s">
        <v>3608</v>
      </c>
      <c r="F1786" s="123" t="n">
        <v>45869</v>
      </c>
      <c r="G1786" s="121" t="s">
        <v>30</v>
      </c>
      <c r="H178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A1782</v>
      </c>
      <c r="I178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B1782</v>
      </c>
      <c r="J1786" s="122" t="s">
        <v>3609</v>
      </c>
      <c r="K178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C1782</v>
      </c>
      <c r="L178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D1782</v>
      </c>
      <c r="M178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E1782</v>
      </c>
      <c r="N1786" s="122" t="s">
        <v>73</v>
      </c>
      <c r="O1786" s="126" t="n">
        <v>3500000</v>
      </c>
      <c r="P1786" s="121" t="s">
        <v>18</v>
      </c>
      <c r="Q1786" s="121" t="s">
        <v>124</v>
      </c>
      <c r="R1786" s="127"/>
    </row>
    <row r="1787" s="118" customFormat="true" ht="12.75" hidden="false" customHeight="true" outlineLevel="0" collapsed="false">
      <c r="A1787" s="98"/>
      <c r="B1787" s="119" t="n">
        <f aca="false">ROW()-4</f>
        <v>1783</v>
      </c>
      <c r="C1787" s="120" t="n">
        <f aca="false">COUNTIFS($D$5:D1787,D1787)</f>
        <v>824</v>
      </c>
      <c r="D1787" s="121" t="s">
        <v>2006</v>
      </c>
      <c r="E1787" s="122" t="s">
        <v>3610</v>
      </c>
      <c r="F1787" s="123" t="n">
        <v>45869</v>
      </c>
      <c r="G1787" s="121" t="s">
        <v>30</v>
      </c>
      <c r="H178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A1783</v>
      </c>
      <c r="I178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B1783</v>
      </c>
      <c r="J1787" s="122" t="s">
        <v>3611</v>
      </c>
      <c r="K178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C1783</v>
      </c>
      <c r="L178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D1783</v>
      </c>
      <c r="M178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E1783</v>
      </c>
      <c r="N1787" s="122" t="s">
        <v>73</v>
      </c>
      <c r="O1787" s="126" t="n">
        <v>3500000</v>
      </c>
      <c r="P1787" s="121" t="s">
        <v>18</v>
      </c>
      <c r="Q1787" s="121" t="s">
        <v>124</v>
      </c>
      <c r="R1787" s="127"/>
    </row>
    <row r="1788" s="118" customFormat="true" ht="12.75" hidden="false" customHeight="true" outlineLevel="0" collapsed="false">
      <c r="A1788" s="98"/>
      <c r="B1788" s="119" t="n">
        <f aca="false">ROW()-4</f>
        <v>1784</v>
      </c>
      <c r="C1788" s="120" t="n">
        <f aca="false">COUNTIFS($D$5:D1788,D1788)</f>
        <v>825</v>
      </c>
      <c r="D1788" s="121" t="s">
        <v>2006</v>
      </c>
      <c r="E1788" s="122" t="s">
        <v>3612</v>
      </c>
      <c r="F1788" s="123" t="n">
        <v>45867</v>
      </c>
      <c r="G1788" s="121" t="s">
        <v>22</v>
      </c>
      <c r="H178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A1784</v>
      </c>
      <c r="I178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B1784</v>
      </c>
      <c r="J1788" s="122" t="s">
        <v>3613</v>
      </c>
      <c r="K178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C1784</v>
      </c>
      <c r="L178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D1784</v>
      </c>
      <c r="M178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E1784</v>
      </c>
      <c r="N1788" s="122" t="s">
        <v>73</v>
      </c>
      <c r="O1788" s="126" t="n">
        <v>3500000</v>
      </c>
      <c r="P1788" s="121" t="s">
        <v>18</v>
      </c>
      <c r="Q1788" s="121" t="s">
        <v>124</v>
      </c>
      <c r="R1788" s="127"/>
    </row>
    <row r="1789" s="118" customFormat="true" ht="12.75" hidden="false" customHeight="true" outlineLevel="0" collapsed="false">
      <c r="A1789" s="98"/>
      <c r="B1789" s="119" t="n">
        <f aca="false">ROW()-4</f>
        <v>1785</v>
      </c>
      <c r="C1789" s="120" t="n">
        <f aca="false">COUNTIFS($D$5:D1789,D1789)</f>
        <v>826</v>
      </c>
      <c r="D1789" s="121" t="s">
        <v>2006</v>
      </c>
      <c r="E1789" s="122" t="s">
        <v>3614</v>
      </c>
      <c r="F1789" s="123" t="n">
        <v>45882</v>
      </c>
      <c r="G1789" s="121" t="s">
        <v>30</v>
      </c>
      <c r="H178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A1785</v>
      </c>
      <c r="I178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B1785</v>
      </c>
      <c r="J1789" s="122" t="s">
        <v>3615</v>
      </c>
      <c r="K178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C1785</v>
      </c>
      <c r="L178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D1785</v>
      </c>
      <c r="M178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E1785</v>
      </c>
      <c r="N1789" s="122" t="s">
        <v>73</v>
      </c>
      <c r="O1789" s="126" t="n">
        <v>3500000</v>
      </c>
      <c r="P1789" s="121" t="s">
        <v>18</v>
      </c>
      <c r="Q1789" s="121" t="s">
        <v>124</v>
      </c>
      <c r="R1789" s="127"/>
    </row>
    <row r="1790" s="118" customFormat="true" ht="12.75" hidden="false" customHeight="true" outlineLevel="0" collapsed="false">
      <c r="A1790" s="98"/>
      <c r="B1790" s="119" t="n">
        <f aca="false">ROW()-4</f>
        <v>1786</v>
      </c>
      <c r="C1790" s="120" t="n">
        <f aca="false">COUNTIFS($D$5:D1790,D1790)</f>
        <v>827</v>
      </c>
      <c r="D1790" s="121" t="s">
        <v>2006</v>
      </c>
      <c r="E1790" s="122" t="s">
        <v>3616</v>
      </c>
      <c r="F1790" s="123" t="n">
        <v>45882</v>
      </c>
      <c r="G1790" s="121" t="s">
        <v>30</v>
      </c>
      <c r="H179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A1786</v>
      </c>
      <c r="I179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B1786</v>
      </c>
      <c r="J1790" s="122" t="s">
        <v>3617</v>
      </c>
      <c r="K179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C1786</v>
      </c>
      <c r="L179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D1786</v>
      </c>
      <c r="M179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E1786</v>
      </c>
      <c r="N1790" s="122" t="s">
        <v>73</v>
      </c>
      <c r="O1790" s="126" t="n">
        <v>3500000</v>
      </c>
      <c r="P1790" s="121" t="s">
        <v>18</v>
      </c>
      <c r="Q1790" s="121" t="s">
        <v>124</v>
      </c>
      <c r="R1790" s="127"/>
    </row>
    <row r="1791" s="118" customFormat="true" ht="12.75" hidden="false" customHeight="true" outlineLevel="0" collapsed="false">
      <c r="A1791" s="98"/>
      <c r="B1791" s="119" t="n">
        <f aca="false">ROW()-4</f>
        <v>1787</v>
      </c>
      <c r="C1791" s="120" t="n">
        <f aca="false">COUNTIFS($D$5:D1791,D1791)</f>
        <v>828</v>
      </c>
      <c r="D1791" s="121" t="s">
        <v>2006</v>
      </c>
      <c r="E1791" s="122" t="s">
        <v>3618</v>
      </c>
      <c r="F1791" s="123" t="n">
        <v>45880</v>
      </c>
      <c r="G1791" s="121" t="s">
        <v>28</v>
      </c>
      <c r="H179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A1787</v>
      </c>
      <c r="I179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B1787</v>
      </c>
      <c r="J1791" s="122" t="s">
        <v>3619</v>
      </c>
      <c r="K179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C1787</v>
      </c>
      <c r="L179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D1787</v>
      </c>
      <c r="M179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E1787</v>
      </c>
      <c r="N1791" s="122" t="s">
        <v>73</v>
      </c>
      <c r="O1791" s="126" t="n">
        <v>3500000</v>
      </c>
      <c r="P1791" s="121" t="s">
        <v>18</v>
      </c>
      <c r="Q1791" s="121" t="s">
        <v>124</v>
      </c>
      <c r="R1791" s="127"/>
    </row>
    <row r="1792" s="118" customFormat="true" ht="12.75" hidden="false" customHeight="true" outlineLevel="0" collapsed="false">
      <c r="A1792" s="98"/>
      <c r="B1792" s="119" t="n">
        <f aca="false">ROW()-4</f>
        <v>1788</v>
      </c>
      <c r="C1792" s="120" t="n">
        <f aca="false">COUNTIFS($D$5:D1792,D1792)</f>
        <v>829</v>
      </c>
      <c r="D1792" s="121" t="s">
        <v>2006</v>
      </c>
      <c r="E1792" s="122" t="s">
        <v>3620</v>
      </c>
      <c r="F1792" s="123" t="n">
        <v>45870</v>
      </c>
      <c r="G1792" s="121" t="s">
        <v>30</v>
      </c>
      <c r="H179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A1788</v>
      </c>
      <c r="I179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B1788</v>
      </c>
      <c r="J1792" s="122" t="s">
        <v>3621</v>
      </c>
      <c r="K179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C1788</v>
      </c>
      <c r="L179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D1788</v>
      </c>
      <c r="M179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E1788</v>
      </c>
      <c r="N1792" s="122" t="s">
        <v>73</v>
      </c>
      <c r="O1792" s="126" t="n">
        <v>3500000</v>
      </c>
      <c r="P1792" s="121" t="s">
        <v>18</v>
      </c>
      <c r="Q1792" s="121" t="s">
        <v>124</v>
      </c>
      <c r="R1792" s="127"/>
    </row>
    <row r="1793" s="118" customFormat="true" ht="12.75" hidden="false" customHeight="true" outlineLevel="0" collapsed="false">
      <c r="A1793" s="98"/>
      <c r="B1793" s="119" t="n">
        <f aca="false">ROW()-4</f>
        <v>1789</v>
      </c>
      <c r="C1793" s="120" t="n">
        <f aca="false">COUNTIFS($D$5:D1793,D1793)</f>
        <v>830</v>
      </c>
      <c r="D1793" s="121" t="s">
        <v>2006</v>
      </c>
      <c r="E1793" s="122" t="s">
        <v>3622</v>
      </c>
      <c r="F1793" s="123" t="n">
        <v>45875</v>
      </c>
      <c r="G1793" s="121" t="s">
        <v>30</v>
      </c>
      <c r="H179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A1789</v>
      </c>
      <c r="I179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B1789</v>
      </c>
      <c r="J1793" s="122" t="s">
        <v>3623</v>
      </c>
      <c r="K179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C1789</v>
      </c>
      <c r="L179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D1789</v>
      </c>
      <c r="M179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E1789</v>
      </c>
      <c r="N1793" s="122" t="s">
        <v>73</v>
      </c>
      <c r="O1793" s="126" t="n">
        <v>3500000</v>
      </c>
      <c r="P1793" s="121" t="s">
        <v>18</v>
      </c>
      <c r="Q1793" s="121" t="s">
        <v>124</v>
      </c>
      <c r="R1793" s="127"/>
    </row>
    <row r="1794" s="118" customFormat="true" ht="12.75" hidden="false" customHeight="true" outlineLevel="0" collapsed="false">
      <c r="A1794" s="98"/>
      <c r="B1794" s="119" t="n">
        <f aca="false">ROW()-4</f>
        <v>1790</v>
      </c>
      <c r="C1794" s="120" t="n">
        <f aca="false">COUNTIFS($D$5:D1794,D1794)</f>
        <v>831</v>
      </c>
      <c r="D1794" s="121" t="s">
        <v>2006</v>
      </c>
      <c r="E1794" s="122" t="s">
        <v>3624</v>
      </c>
      <c r="F1794" s="123" t="n">
        <v>45882</v>
      </c>
      <c r="G1794" s="121" t="s">
        <v>28</v>
      </c>
      <c r="H179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A1790</v>
      </c>
      <c r="I179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B1790</v>
      </c>
      <c r="J1794" s="122" t="s">
        <v>3625</v>
      </c>
      <c r="K179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C1790</v>
      </c>
      <c r="L179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D1790</v>
      </c>
      <c r="M179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E1790</v>
      </c>
      <c r="N1794" s="122" t="s">
        <v>73</v>
      </c>
      <c r="O1794" s="126" t="n">
        <v>3500000</v>
      </c>
      <c r="P1794" s="121" t="s">
        <v>18</v>
      </c>
      <c r="Q1794" s="121" t="s">
        <v>124</v>
      </c>
      <c r="R1794" s="127"/>
    </row>
    <row r="1795" s="118" customFormat="true" ht="12.75" hidden="false" customHeight="true" outlineLevel="0" collapsed="false">
      <c r="A1795" s="98"/>
      <c r="B1795" s="119" t="n">
        <f aca="false">ROW()-4</f>
        <v>1791</v>
      </c>
      <c r="C1795" s="120" t="n">
        <f aca="false">COUNTIFS($D$5:D1795,D1795)</f>
        <v>832</v>
      </c>
      <c r="D1795" s="121" t="s">
        <v>2006</v>
      </c>
      <c r="E1795" s="122" t="s">
        <v>3626</v>
      </c>
      <c r="F1795" s="123" t="n">
        <v>45888</v>
      </c>
      <c r="G1795" s="121" t="s">
        <v>22</v>
      </c>
      <c r="H179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A1791</v>
      </c>
      <c r="I179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B1791</v>
      </c>
      <c r="J1795" s="122" t="s">
        <v>3627</v>
      </c>
      <c r="K179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C1791</v>
      </c>
      <c r="L179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D1791</v>
      </c>
      <c r="M179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E1791</v>
      </c>
      <c r="N1795" s="122" t="s">
        <v>73</v>
      </c>
      <c r="O1795" s="126" t="n">
        <v>3500000</v>
      </c>
      <c r="P1795" s="121" t="s">
        <v>18</v>
      </c>
      <c r="Q1795" s="121" t="s">
        <v>124</v>
      </c>
      <c r="R1795" s="127"/>
    </row>
    <row r="1796" s="118" customFormat="true" ht="12.75" hidden="false" customHeight="true" outlineLevel="0" collapsed="false">
      <c r="A1796" s="98"/>
      <c r="B1796" s="119" t="n">
        <f aca="false">ROW()-4</f>
        <v>1792</v>
      </c>
      <c r="C1796" s="120" t="n">
        <f aca="false">COUNTIFS($D$5:D1796,D1796)</f>
        <v>833</v>
      </c>
      <c r="D1796" s="121" t="s">
        <v>2006</v>
      </c>
      <c r="E1796" s="122" t="s">
        <v>3628</v>
      </c>
      <c r="F1796" s="123" t="n">
        <v>45888</v>
      </c>
      <c r="G1796" s="121" t="s">
        <v>22</v>
      </c>
      <c r="H179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A1792</v>
      </c>
      <c r="I179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B1792</v>
      </c>
      <c r="J1796" s="122" t="s">
        <v>3629</v>
      </c>
      <c r="K179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C1792</v>
      </c>
      <c r="L179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D1792</v>
      </c>
      <c r="M179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E1792</v>
      </c>
      <c r="N1796" s="122" t="s">
        <v>73</v>
      </c>
      <c r="O1796" s="126" t="n">
        <v>3500000</v>
      </c>
      <c r="P1796" s="121" t="s">
        <v>18</v>
      </c>
      <c r="Q1796" s="121" t="s">
        <v>124</v>
      </c>
      <c r="R1796" s="127"/>
    </row>
    <row r="1797" s="118" customFormat="true" ht="12.75" hidden="false" customHeight="true" outlineLevel="0" collapsed="false">
      <c r="A1797" s="98"/>
      <c r="B1797" s="119" t="n">
        <f aca="false">ROW()-4</f>
        <v>1793</v>
      </c>
      <c r="C1797" s="120" t="n">
        <f aca="false">COUNTIFS($D$5:D1797,D1797)</f>
        <v>834</v>
      </c>
      <c r="D1797" s="121" t="s">
        <v>2006</v>
      </c>
      <c r="E1797" s="122" t="s">
        <v>3630</v>
      </c>
      <c r="F1797" s="123" t="n">
        <v>45887</v>
      </c>
      <c r="G1797" s="121" t="s">
        <v>28</v>
      </c>
      <c r="H179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A1793</v>
      </c>
      <c r="I179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B1793</v>
      </c>
      <c r="J1797" s="122" t="s">
        <v>3631</v>
      </c>
      <c r="K179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C1793</v>
      </c>
      <c r="L179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D1793</v>
      </c>
      <c r="M179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E1793</v>
      </c>
      <c r="N1797" s="122" t="s">
        <v>73</v>
      </c>
      <c r="O1797" s="126" t="n">
        <v>3500000</v>
      </c>
      <c r="P1797" s="121" t="s">
        <v>18</v>
      </c>
      <c r="Q1797" s="121" t="s">
        <v>124</v>
      </c>
      <c r="R1797" s="127"/>
    </row>
    <row r="1798" s="118" customFormat="true" ht="12.75" hidden="false" customHeight="true" outlineLevel="0" collapsed="false">
      <c r="A1798" s="98"/>
      <c r="B1798" s="119" t="n">
        <f aca="false">ROW()-4</f>
        <v>1794</v>
      </c>
      <c r="C1798" s="120" t="n">
        <f aca="false">COUNTIFS($D$5:D1798,D1798)</f>
        <v>835</v>
      </c>
      <c r="D1798" s="121" t="s">
        <v>2006</v>
      </c>
      <c r="E1798" s="122" t="s">
        <v>3632</v>
      </c>
      <c r="F1798" s="123" t="n">
        <v>45883</v>
      </c>
      <c r="G1798" s="121" t="s">
        <v>30</v>
      </c>
      <c r="H179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A1794</v>
      </c>
      <c r="I179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B1794</v>
      </c>
      <c r="J1798" s="122" t="s">
        <v>3633</v>
      </c>
      <c r="K179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C1794</v>
      </c>
      <c r="L179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D1794</v>
      </c>
      <c r="M179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E1794</v>
      </c>
      <c r="N1798" s="122" t="s">
        <v>73</v>
      </c>
      <c r="O1798" s="126" t="n">
        <v>3500000</v>
      </c>
      <c r="P1798" s="121" t="s">
        <v>18</v>
      </c>
      <c r="Q1798" s="121" t="s">
        <v>124</v>
      </c>
      <c r="R1798" s="127"/>
    </row>
    <row r="1799" s="118" customFormat="true" ht="12.75" hidden="false" customHeight="true" outlineLevel="0" collapsed="false">
      <c r="A1799" s="98"/>
      <c r="B1799" s="119" t="n">
        <f aca="false">ROW()-4</f>
        <v>1795</v>
      </c>
      <c r="C1799" s="120" t="n">
        <f aca="false">COUNTIFS($D$5:D1799,D1799)</f>
        <v>836</v>
      </c>
      <c r="D1799" s="121" t="s">
        <v>2006</v>
      </c>
      <c r="E1799" s="122" t="s">
        <v>3634</v>
      </c>
      <c r="F1799" s="123" t="n">
        <v>45883</v>
      </c>
      <c r="G1799" s="121" t="s">
        <v>30</v>
      </c>
      <c r="H179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A1795</v>
      </c>
      <c r="I179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B1795</v>
      </c>
      <c r="J1799" s="122" t="s">
        <v>3635</v>
      </c>
      <c r="K179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C1795</v>
      </c>
      <c r="L179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D1795</v>
      </c>
      <c r="M179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E1795</v>
      </c>
      <c r="N1799" s="122" t="s">
        <v>73</v>
      </c>
      <c r="O1799" s="126" t="n">
        <v>3500000</v>
      </c>
      <c r="P1799" s="121" t="s">
        <v>18</v>
      </c>
      <c r="Q1799" s="121" t="s">
        <v>124</v>
      </c>
      <c r="R1799" s="127"/>
    </row>
    <row r="1800" s="118" customFormat="true" ht="12.75" hidden="false" customHeight="true" outlineLevel="0" collapsed="false">
      <c r="A1800" s="98"/>
      <c r="B1800" s="119" t="n">
        <f aca="false">ROW()-4</f>
        <v>1796</v>
      </c>
      <c r="C1800" s="120" t="n">
        <f aca="false">COUNTIFS($D$5:D1800,D1800)</f>
        <v>837</v>
      </c>
      <c r="D1800" s="121" t="s">
        <v>2006</v>
      </c>
      <c r="E1800" s="122" t="s">
        <v>3636</v>
      </c>
      <c r="F1800" s="123" t="n">
        <v>45895</v>
      </c>
      <c r="G1800" s="121" t="s">
        <v>22</v>
      </c>
      <c r="H180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A1796</v>
      </c>
      <c r="I180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B1796</v>
      </c>
      <c r="J1800" s="122" t="s">
        <v>3637</v>
      </c>
      <c r="K180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C1796</v>
      </c>
      <c r="L180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D1796</v>
      </c>
      <c r="M180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E1796</v>
      </c>
      <c r="N1800" s="122" t="s">
        <v>73</v>
      </c>
      <c r="O1800" s="126" t="n">
        <v>3500000</v>
      </c>
      <c r="P1800" s="121" t="s">
        <v>18</v>
      </c>
      <c r="Q1800" s="121" t="s">
        <v>124</v>
      </c>
      <c r="R1800" s="127"/>
    </row>
    <row r="1801" s="118" customFormat="true" ht="12.75" hidden="false" customHeight="true" outlineLevel="0" collapsed="false">
      <c r="A1801" s="98"/>
      <c r="B1801" s="119" t="n">
        <f aca="false">ROW()-4</f>
        <v>1797</v>
      </c>
      <c r="C1801" s="120" t="n">
        <f aca="false">COUNTIFS($D$5:D1801,D1801)</f>
        <v>838</v>
      </c>
      <c r="D1801" s="121" t="s">
        <v>2006</v>
      </c>
      <c r="E1801" s="122" t="s">
        <v>3638</v>
      </c>
      <c r="F1801" s="123" t="n">
        <v>45895</v>
      </c>
      <c r="G1801" s="121" t="s">
        <v>22</v>
      </c>
      <c r="H180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A1797</v>
      </c>
      <c r="I180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B1797</v>
      </c>
      <c r="J1801" s="122" t="s">
        <v>3639</v>
      </c>
      <c r="K180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C1797</v>
      </c>
      <c r="L180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D1797</v>
      </c>
      <c r="M180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E1797</v>
      </c>
      <c r="N1801" s="122" t="s">
        <v>73</v>
      </c>
      <c r="O1801" s="126" t="n">
        <v>3500000</v>
      </c>
      <c r="P1801" s="121" t="s">
        <v>18</v>
      </c>
      <c r="Q1801" s="121" t="s">
        <v>124</v>
      </c>
      <c r="R1801" s="127"/>
    </row>
    <row r="1802" s="118" customFormat="true" ht="12.75" hidden="false" customHeight="true" outlineLevel="0" collapsed="false">
      <c r="A1802" s="98"/>
      <c r="B1802" s="119" t="n">
        <f aca="false">ROW()-4</f>
        <v>1798</v>
      </c>
      <c r="C1802" s="120" t="n">
        <f aca="false">COUNTIFS($D$5:D1802,D1802)</f>
        <v>839</v>
      </c>
      <c r="D1802" s="121" t="s">
        <v>2006</v>
      </c>
      <c r="E1802" s="122" t="s">
        <v>3640</v>
      </c>
      <c r="F1802" s="123" t="n">
        <v>45895</v>
      </c>
      <c r="G1802" s="121" t="s">
        <v>22</v>
      </c>
      <c r="H180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A1798</v>
      </c>
      <c r="I180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B1798</v>
      </c>
      <c r="J1802" s="122" t="s">
        <v>3641</v>
      </c>
      <c r="K180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C1798</v>
      </c>
      <c r="L180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D1798</v>
      </c>
      <c r="M180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E1798</v>
      </c>
      <c r="N1802" s="122" t="s">
        <v>73</v>
      </c>
      <c r="O1802" s="126" t="n">
        <v>3500000</v>
      </c>
      <c r="P1802" s="121" t="s">
        <v>18</v>
      </c>
      <c r="Q1802" s="121" t="s">
        <v>124</v>
      </c>
      <c r="R1802" s="127"/>
    </row>
    <row r="1803" s="118" customFormat="true" ht="12.75" hidden="false" customHeight="true" outlineLevel="0" collapsed="false">
      <c r="A1803" s="98"/>
      <c r="B1803" s="119" t="n">
        <f aca="false">ROW()-4</f>
        <v>1799</v>
      </c>
      <c r="C1803" s="120" t="n">
        <f aca="false">COUNTIFS($D$5:D1803,D1803)</f>
        <v>840</v>
      </c>
      <c r="D1803" s="121" t="s">
        <v>2006</v>
      </c>
      <c r="E1803" s="122" t="s">
        <v>3642</v>
      </c>
      <c r="F1803" s="123" t="n">
        <v>45889</v>
      </c>
      <c r="G1803" s="121" t="s">
        <v>22</v>
      </c>
      <c r="H180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A1799</v>
      </c>
      <c r="I180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B1799</v>
      </c>
      <c r="J1803" s="122" t="s">
        <v>3643</v>
      </c>
      <c r="K180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C1799</v>
      </c>
      <c r="L180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D1799</v>
      </c>
      <c r="M180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E1799</v>
      </c>
      <c r="N1803" s="122" t="s">
        <v>73</v>
      </c>
      <c r="O1803" s="126" t="n">
        <v>3500000</v>
      </c>
      <c r="P1803" s="121" t="s">
        <v>18</v>
      </c>
      <c r="Q1803" s="121" t="s">
        <v>124</v>
      </c>
      <c r="R1803" s="127"/>
    </row>
    <row r="1804" s="118" customFormat="true" ht="12.75" hidden="false" customHeight="true" outlineLevel="0" collapsed="false">
      <c r="A1804" s="98"/>
      <c r="B1804" s="119" t="n">
        <f aca="false">ROW()-4</f>
        <v>1800</v>
      </c>
      <c r="C1804" s="149" t="n">
        <f aca="false">COUNTIFS($D$5:D1804,D1804)</f>
        <v>841</v>
      </c>
      <c r="D1804" s="138" t="s">
        <v>2006</v>
      </c>
      <c r="E1804" s="124" t="s">
        <v>3644</v>
      </c>
      <c r="F1804" s="137" t="n">
        <v>45902</v>
      </c>
      <c r="G1804" s="138" t="s">
        <v>22</v>
      </c>
      <c r="H1804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A1800</v>
      </c>
      <c r="I1804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B1800</v>
      </c>
      <c r="J1804" s="124" t="s">
        <v>3645</v>
      </c>
      <c r="K1804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C1800</v>
      </c>
      <c r="L1804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D1800</v>
      </c>
      <c r="M1804" s="124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E1800</v>
      </c>
      <c r="N1804" s="122" t="s">
        <v>73</v>
      </c>
      <c r="O1804" s="150" t="n">
        <v>3500000</v>
      </c>
      <c r="P1804" s="121" t="s">
        <v>18</v>
      </c>
      <c r="Q1804" s="138" t="s">
        <v>124</v>
      </c>
      <c r="R1804" s="151"/>
    </row>
    <row r="1805" s="118" customFormat="true" ht="12.75" hidden="false" customHeight="true" outlineLevel="0" collapsed="false">
      <c r="A1805" s="98"/>
      <c r="B1805" s="119" t="n">
        <f aca="false">ROW()-4</f>
        <v>1801</v>
      </c>
      <c r="C1805" s="149" t="n">
        <f aca="false">COUNTIFS($D$5:D1805,D1805)</f>
        <v>842</v>
      </c>
      <c r="D1805" s="138" t="s">
        <v>2006</v>
      </c>
      <c r="E1805" s="124" t="s">
        <v>3646</v>
      </c>
      <c r="F1805" s="137" t="n">
        <v>45902</v>
      </c>
      <c r="G1805" s="138" t="s">
        <v>22</v>
      </c>
      <c r="H1805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A1801</v>
      </c>
      <c r="I1805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B1801</v>
      </c>
      <c r="J1805" s="124" t="s">
        <v>3647</v>
      </c>
      <c r="K1805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C1801</v>
      </c>
      <c r="L1805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D1801</v>
      </c>
      <c r="M180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E1801</v>
      </c>
      <c r="N1805" s="122" t="s">
        <v>73</v>
      </c>
      <c r="O1805" s="150" t="n">
        <v>3500000</v>
      </c>
      <c r="P1805" s="121" t="s">
        <v>18</v>
      </c>
      <c r="Q1805" s="138" t="s">
        <v>124</v>
      </c>
      <c r="R1805" s="151"/>
    </row>
    <row r="1806" s="118" customFormat="true" ht="12.75" hidden="false" customHeight="true" outlineLevel="0" collapsed="false">
      <c r="A1806" s="98"/>
      <c r="B1806" s="119" t="n">
        <f aca="false">ROW()-4</f>
        <v>1802</v>
      </c>
      <c r="C1806" s="149" t="n">
        <f aca="false">COUNTIFS($D$5:D1806,D1806)</f>
        <v>843</v>
      </c>
      <c r="D1806" s="138" t="s">
        <v>2006</v>
      </c>
      <c r="E1806" s="122" t="s">
        <v>3648</v>
      </c>
      <c r="F1806" s="123" t="n">
        <v>45903</v>
      </c>
      <c r="G1806" s="121" t="s">
        <v>28</v>
      </c>
      <c r="H180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A1802</v>
      </c>
      <c r="I180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B1802</v>
      </c>
      <c r="J1806" s="122" t="s">
        <v>3649</v>
      </c>
      <c r="K180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C1802</v>
      </c>
      <c r="L180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D1802</v>
      </c>
      <c r="M180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E1802</v>
      </c>
      <c r="N1806" s="122" t="s">
        <v>73</v>
      </c>
      <c r="O1806" s="150" t="n">
        <v>3500000</v>
      </c>
      <c r="P1806" s="121" t="s">
        <v>18</v>
      </c>
      <c r="Q1806" s="138" t="s">
        <v>124</v>
      </c>
      <c r="R1806" s="151"/>
    </row>
    <row r="1807" s="118" customFormat="true" ht="12.75" hidden="false" customHeight="true" outlineLevel="0" collapsed="false">
      <c r="A1807" s="98"/>
      <c r="B1807" s="119" t="n">
        <f aca="false">ROW()-4</f>
        <v>1803</v>
      </c>
      <c r="C1807" s="149" t="n">
        <f aca="false">COUNTIFS($D$5:D1807,D1807)</f>
        <v>844</v>
      </c>
      <c r="D1807" s="138" t="s">
        <v>2006</v>
      </c>
      <c r="E1807" s="124" t="s">
        <v>3650</v>
      </c>
      <c r="F1807" s="137" t="n">
        <v>45889</v>
      </c>
      <c r="G1807" s="138" t="s">
        <v>28</v>
      </c>
      <c r="H1807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A1803</v>
      </c>
      <c r="I1807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B1803</v>
      </c>
      <c r="J1807" s="124" t="s">
        <v>3651</v>
      </c>
      <c r="K1807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C1803</v>
      </c>
      <c r="L1807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D1803</v>
      </c>
      <c r="M180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E1803</v>
      </c>
      <c r="N1807" s="122" t="s">
        <v>73</v>
      </c>
      <c r="O1807" s="150" t="n">
        <v>3500000</v>
      </c>
      <c r="P1807" s="121" t="s">
        <v>18</v>
      </c>
      <c r="Q1807" s="138" t="s">
        <v>124</v>
      </c>
      <c r="R1807" s="151"/>
    </row>
    <row r="1808" s="118" customFormat="true" ht="12.75" hidden="false" customHeight="true" outlineLevel="0" collapsed="false">
      <c r="A1808" s="98"/>
      <c r="B1808" s="119" t="n">
        <f aca="false">ROW()-4</f>
        <v>1804</v>
      </c>
      <c r="C1808" s="149" t="n">
        <f aca="false">COUNTIFS($D$5:D1808,D1808)</f>
        <v>845</v>
      </c>
      <c r="D1808" s="138" t="s">
        <v>2006</v>
      </c>
      <c r="E1808" s="124" t="s">
        <v>3652</v>
      </c>
      <c r="F1808" s="137" t="n">
        <v>45889</v>
      </c>
      <c r="G1808" s="138" t="s">
        <v>28</v>
      </c>
      <c r="H1808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A1804</v>
      </c>
      <c r="I1808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B1804</v>
      </c>
      <c r="J1808" s="124" t="s">
        <v>3653</v>
      </c>
      <c r="K1808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C1804</v>
      </c>
      <c r="L1808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D1804</v>
      </c>
      <c r="M180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E1804</v>
      </c>
      <c r="N1808" s="122" t="s">
        <v>73</v>
      </c>
      <c r="O1808" s="126" t="n">
        <v>3500000</v>
      </c>
      <c r="P1808" s="121" t="s">
        <v>18</v>
      </c>
      <c r="Q1808" s="138" t="s">
        <v>124</v>
      </c>
      <c r="R1808" s="151"/>
    </row>
    <row r="1809" s="118" customFormat="true" ht="12.75" hidden="false" customHeight="true" outlineLevel="0" collapsed="false">
      <c r="A1809" s="98"/>
      <c r="B1809" s="119" t="n">
        <f aca="false">ROW()-4</f>
        <v>1805</v>
      </c>
      <c r="C1809" s="149" t="n">
        <f aca="false">COUNTIFS($D$5:D1809,D1809)</f>
        <v>846</v>
      </c>
      <c r="D1809" s="138" t="s">
        <v>2006</v>
      </c>
      <c r="E1809" s="124" t="s">
        <v>3654</v>
      </c>
      <c r="F1809" s="137" t="n">
        <v>45902</v>
      </c>
      <c r="G1809" s="138" t="s">
        <v>28</v>
      </c>
      <c r="H1809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A1805</v>
      </c>
      <c r="I1809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B1805</v>
      </c>
      <c r="J1809" s="124" t="s">
        <v>3655</v>
      </c>
      <c r="K1809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C1805</v>
      </c>
      <c r="L1809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D1805</v>
      </c>
      <c r="M180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E1805</v>
      </c>
      <c r="N1809" s="122" t="s">
        <v>73</v>
      </c>
      <c r="O1809" s="126" t="n">
        <v>3500000</v>
      </c>
      <c r="P1809" s="121" t="s">
        <v>18</v>
      </c>
      <c r="Q1809" s="138" t="s">
        <v>124</v>
      </c>
      <c r="R1809" s="151"/>
    </row>
    <row r="1810" s="118" customFormat="true" ht="12.75" hidden="false" customHeight="true" outlineLevel="0" collapsed="false">
      <c r="A1810" s="98"/>
      <c r="B1810" s="119" t="n">
        <f aca="false">ROW()-4</f>
        <v>1806</v>
      </c>
      <c r="C1810" s="149" t="n">
        <f aca="false">COUNTIFS($D$5:D1810,D1810)</f>
        <v>847</v>
      </c>
      <c r="D1810" s="138" t="s">
        <v>2006</v>
      </c>
      <c r="E1810" s="124" t="s">
        <v>3656</v>
      </c>
      <c r="F1810" s="137" t="n">
        <v>45897</v>
      </c>
      <c r="G1810" s="138" t="s">
        <v>28</v>
      </c>
      <c r="H1810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A1806</v>
      </c>
      <c r="I1810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B1806</v>
      </c>
      <c r="J1810" s="124" t="s">
        <v>3657</v>
      </c>
      <c r="K1810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C1806</v>
      </c>
      <c r="L1810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D1806</v>
      </c>
      <c r="M181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E1806</v>
      </c>
      <c r="N1810" s="122" t="s">
        <v>73</v>
      </c>
      <c r="O1810" s="126" t="n">
        <v>3500000</v>
      </c>
      <c r="P1810" s="121" t="s">
        <v>18</v>
      </c>
      <c r="Q1810" s="138" t="s">
        <v>124</v>
      </c>
      <c r="R1810" s="151"/>
    </row>
    <row r="1811" s="118" customFormat="true" ht="12.75" hidden="false" customHeight="true" outlineLevel="0" collapsed="false">
      <c r="A1811" s="98"/>
      <c r="B1811" s="119" t="n">
        <f aca="false">ROW()-4</f>
        <v>1807</v>
      </c>
      <c r="C1811" s="149" t="n">
        <f aca="false">COUNTIFS($D$5:D1811,D1811)</f>
        <v>848</v>
      </c>
      <c r="D1811" s="138" t="s">
        <v>2006</v>
      </c>
      <c r="E1811" s="124" t="s">
        <v>3658</v>
      </c>
      <c r="F1811" s="137" t="n">
        <v>45897</v>
      </c>
      <c r="G1811" s="138" t="s">
        <v>28</v>
      </c>
      <c r="H1811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A1807</v>
      </c>
      <c r="I1811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B1807</v>
      </c>
      <c r="J1811" s="124" t="s">
        <v>3659</v>
      </c>
      <c r="K1811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C1807</v>
      </c>
      <c r="L1811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D1807</v>
      </c>
      <c r="M181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E1807</v>
      </c>
      <c r="N1811" s="122" t="s">
        <v>73</v>
      </c>
      <c r="O1811" s="126" t="n">
        <v>3500000</v>
      </c>
      <c r="P1811" s="121" t="s">
        <v>18</v>
      </c>
      <c r="Q1811" s="138" t="s">
        <v>124</v>
      </c>
      <c r="R1811" s="151"/>
    </row>
    <row r="1812" s="118" customFormat="true" ht="12.75" hidden="false" customHeight="true" outlineLevel="0" collapsed="false">
      <c r="A1812" s="98"/>
      <c r="B1812" s="119" t="n">
        <f aca="false">ROW()-4</f>
        <v>1808</v>
      </c>
      <c r="C1812" s="149" t="n">
        <f aca="false">COUNTIFS($D$5:D1812,D1812)</f>
        <v>849</v>
      </c>
      <c r="D1812" s="138" t="s">
        <v>2006</v>
      </c>
      <c r="E1812" s="124" t="s">
        <v>3660</v>
      </c>
      <c r="F1812" s="137" t="n">
        <v>45902</v>
      </c>
      <c r="G1812" s="138" t="s">
        <v>28</v>
      </c>
      <c r="H1812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A1808</v>
      </c>
      <c r="I1812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B1808</v>
      </c>
      <c r="J1812" s="124" t="s">
        <v>3661</v>
      </c>
      <c r="K1812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C1808</v>
      </c>
      <c r="L1812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D1808</v>
      </c>
      <c r="M181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E1808</v>
      </c>
      <c r="N1812" s="122" t="s">
        <v>73</v>
      </c>
      <c r="O1812" s="126" t="n">
        <v>3500000</v>
      </c>
      <c r="P1812" s="121" t="s">
        <v>18</v>
      </c>
      <c r="Q1812" s="138" t="s">
        <v>124</v>
      </c>
      <c r="R1812" s="151"/>
    </row>
    <row r="1813" s="118" customFormat="true" ht="12.75" hidden="false" customHeight="true" outlineLevel="0" collapsed="false">
      <c r="A1813" s="98"/>
      <c r="B1813" s="119" t="n">
        <f aca="false">ROW()-4</f>
        <v>1809</v>
      </c>
      <c r="C1813" s="149" t="n">
        <f aca="false">COUNTIFS($D$5:D1813,D1813)</f>
        <v>850</v>
      </c>
      <c r="D1813" s="138" t="s">
        <v>2006</v>
      </c>
      <c r="E1813" s="124" t="s">
        <v>3662</v>
      </c>
      <c r="F1813" s="137" t="n">
        <v>45897</v>
      </c>
      <c r="G1813" s="138" t="s">
        <v>22</v>
      </c>
      <c r="H1813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A1809</v>
      </c>
      <c r="I1813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B1809</v>
      </c>
      <c r="J1813" s="124" t="s">
        <v>3663</v>
      </c>
      <c r="K1813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C1809</v>
      </c>
      <c r="L1813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D1809</v>
      </c>
      <c r="M181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E1809</v>
      </c>
      <c r="N1813" s="122" t="s">
        <v>73</v>
      </c>
      <c r="O1813" s="126" t="n">
        <v>3500000</v>
      </c>
      <c r="P1813" s="121" t="s">
        <v>18</v>
      </c>
      <c r="Q1813" s="138" t="s">
        <v>124</v>
      </c>
      <c r="R1813" s="151"/>
    </row>
    <row r="1814" s="118" customFormat="true" ht="12.75" hidden="false" customHeight="true" outlineLevel="0" collapsed="false">
      <c r="A1814" s="98"/>
      <c r="B1814" s="119" t="n">
        <f aca="false">ROW()-4</f>
        <v>1810</v>
      </c>
      <c r="C1814" s="149" t="n">
        <f aca="false">COUNTIFS($D$5:D1814,D1814)</f>
        <v>851</v>
      </c>
      <c r="D1814" s="138" t="s">
        <v>2006</v>
      </c>
      <c r="E1814" s="124" t="s">
        <v>3664</v>
      </c>
      <c r="F1814" s="137" t="n">
        <v>45897</v>
      </c>
      <c r="G1814" s="138" t="s">
        <v>22</v>
      </c>
      <c r="H1814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A1810</v>
      </c>
      <c r="I1814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B1810</v>
      </c>
      <c r="J1814" s="124" t="s">
        <v>3665</v>
      </c>
      <c r="K1814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C1810</v>
      </c>
      <c r="L1814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D1810</v>
      </c>
      <c r="M181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E1810</v>
      </c>
      <c r="N1814" s="122" t="s">
        <v>73</v>
      </c>
      <c r="O1814" s="126" t="n">
        <v>3500000</v>
      </c>
      <c r="P1814" s="121" t="s">
        <v>18</v>
      </c>
      <c r="Q1814" s="138" t="s">
        <v>124</v>
      </c>
      <c r="R1814" s="151"/>
    </row>
    <row r="1815" s="118" customFormat="true" ht="12.75" hidden="false" customHeight="true" outlineLevel="0" collapsed="false">
      <c r="A1815" s="98"/>
      <c r="B1815" s="119" t="n">
        <f aca="false">ROW()-4</f>
        <v>1811</v>
      </c>
      <c r="C1815" s="149" t="n">
        <f aca="false">COUNTIFS($D$5:D1815,D1815)</f>
        <v>852</v>
      </c>
      <c r="D1815" s="138" t="s">
        <v>2006</v>
      </c>
      <c r="E1815" s="124" t="s">
        <v>3666</v>
      </c>
      <c r="F1815" s="137" t="n">
        <v>45896</v>
      </c>
      <c r="G1815" s="138" t="s">
        <v>22</v>
      </c>
      <c r="H1815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A1811</v>
      </c>
      <c r="I1815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B1811</v>
      </c>
      <c r="J1815" s="124" t="s">
        <v>3667</v>
      </c>
      <c r="K1815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C1811</v>
      </c>
      <c r="L1815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D1811</v>
      </c>
      <c r="M181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E1811</v>
      </c>
      <c r="N1815" s="122" t="s">
        <v>73</v>
      </c>
      <c r="O1815" s="126" t="n">
        <v>3500000</v>
      </c>
      <c r="P1815" s="121" t="s">
        <v>18</v>
      </c>
      <c r="Q1815" s="138" t="s">
        <v>124</v>
      </c>
      <c r="R1815" s="151"/>
    </row>
    <row r="1816" s="118" customFormat="true" ht="12.75" hidden="false" customHeight="true" outlineLevel="0" collapsed="false">
      <c r="A1816" s="98"/>
      <c r="B1816" s="119" t="n">
        <f aca="false">ROW()-4</f>
        <v>1812</v>
      </c>
      <c r="C1816" s="149" t="n">
        <f aca="false">COUNTIFS($D$5:D1816,D1816)</f>
        <v>853</v>
      </c>
      <c r="D1816" s="138" t="s">
        <v>2006</v>
      </c>
      <c r="E1816" s="124" t="s">
        <v>3668</v>
      </c>
      <c r="F1816" s="137" t="n">
        <v>45896</v>
      </c>
      <c r="G1816" s="138" t="s">
        <v>22</v>
      </c>
      <c r="H1816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A1812</v>
      </c>
      <c r="I1816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B1812</v>
      </c>
      <c r="J1816" s="124" t="s">
        <v>3669</v>
      </c>
      <c r="K1816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C1812</v>
      </c>
      <c r="L1816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D1812</v>
      </c>
      <c r="M181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E1812</v>
      </c>
      <c r="N1816" s="122" t="s">
        <v>73</v>
      </c>
      <c r="O1816" s="126" t="n">
        <v>3500000</v>
      </c>
      <c r="P1816" s="121" t="s">
        <v>18</v>
      </c>
      <c r="Q1816" s="138" t="s">
        <v>124</v>
      </c>
      <c r="R1816" s="151"/>
    </row>
    <row r="1817" s="118" customFormat="true" ht="12.75" hidden="false" customHeight="true" outlineLevel="0" collapsed="false">
      <c r="A1817" s="98"/>
      <c r="B1817" s="119" t="n">
        <f aca="false">ROW()-4</f>
        <v>1813</v>
      </c>
      <c r="C1817" s="149" t="n">
        <f aca="false">COUNTIFS($D$5:D1817,D1817)</f>
        <v>854</v>
      </c>
      <c r="D1817" s="138" t="s">
        <v>2006</v>
      </c>
      <c r="E1817" s="122" t="s">
        <v>3670</v>
      </c>
      <c r="F1817" s="123" t="n">
        <v>45945</v>
      </c>
      <c r="G1817" s="121" t="s">
        <v>24</v>
      </c>
      <c r="H181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A1813</v>
      </c>
      <c r="I181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B1813</v>
      </c>
      <c r="J1817" s="122" t="s">
        <v>3671</v>
      </c>
      <c r="K181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C1813</v>
      </c>
      <c r="L181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D1813</v>
      </c>
      <c r="M181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E1813</v>
      </c>
      <c r="N1817" s="122" t="s">
        <v>73</v>
      </c>
      <c r="O1817" s="126" t="n">
        <v>3500000</v>
      </c>
      <c r="P1817" s="121" t="s">
        <v>18</v>
      </c>
      <c r="Q1817" s="138" t="s">
        <v>124</v>
      </c>
      <c r="R1817" s="151"/>
    </row>
    <row r="1818" s="118" customFormat="true" ht="12.75" hidden="false" customHeight="true" outlineLevel="0" collapsed="false">
      <c r="A1818" s="98"/>
      <c r="B1818" s="119" t="n">
        <f aca="false">ROW()-4</f>
        <v>1814</v>
      </c>
      <c r="C1818" s="149" t="n">
        <f aca="false">COUNTIFS($D$5:D1818,D1818)</f>
        <v>855</v>
      </c>
      <c r="D1818" s="138" t="s">
        <v>2006</v>
      </c>
      <c r="E1818" s="124" t="s">
        <v>3672</v>
      </c>
      <c r="F1818" s="137" t="n">
        <v>45887</v>
      </c>
      <c r="G1818" s="138" t="s">
        <v>24</v>
      </c>
      <c r="H1818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A1814</v>
      </c>
      <c r="I1818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B1814</v>
      </c>
      <c r="J1818" s="124" t="s">
        <v>3673</v>
      </c>
      <c r="K1818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C1814</v>
      </c>
      <c r="L1818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D1814</v>
      </c>
      <c r="M181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E1814</v>
      </c>
      <c r="N1818" s="122" t="s">
        <v>73</v>
      </c>
      <c r="O1818" s="126" t="n">
        <v>3500000</v>
      </c>
      <c r="P1818" s="121" t="s">
        <v>18</v>
      </c>
      <c r="Q1818" s="138" t="s">
        <v>124</v>
      </c>
      <c r="R1818" s="151"/>
    </row>
    <row r="1819" s="118" customFormat="true" ht="12.75" hidden="false" customHeight="true" outlineLevel="0" collapsed="false">
      <c r="A1819" s="98"/>
      <c r="B1819" s="119" t="n">
        <f aca="false">ROW()-4</f>
        <v>1815</v>
      </c>
      <c r="C1819" s="149" t="n">
        <f aca="false">COUNTIFS($D$5:D1819,D1819)</f>
        <v>856</v>
      </c>
      <c r="D1819" s="138" t="s">
        <v>2006</v>
      </c>
      <c r="E1819" s="124" t="s">
        <v>3674</v>
      </c>
      <c r="F1819" s="123" t="n">
        <v>46062</v>
      </c>
      <c r="G1819" s="121" t="s">
        <v>24</v>
      </c>
      <c r="H181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A1815</v>
      </c>
      <c r="I181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B1815</v>
      </c>
      <c r="J1819" s="122" t="s">
        <v>3675</v>
      </c>
      <c r="K181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C1815</v>
      </c>
      <c r="L181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D1815</v>
      </c>
      <c r="M181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E1815</v>
      </c>
      <c r="N1819" s="122" t="s">
        <v>73</v>
      </c>
      <c r="O1819" s="126" t="n">
        <v>3500000</v>
      </c>
      <c r="P1819" s="121" t="s">
        <v>18</v>
      </c>
      <c r="Q1819" s="138" t="s">
        <v>124</v>
      </c>
      <c r="R1819" s="151"/>
    </row>
    <row r="1820" customFormat="false" ht="12.75" hidden="false" customHeight="true" outlineLevel="0" collapsed="false">
      <c r="B1820" s="119" t="n">
        <f aca="false">ROW()-4</f>
        <v>1816</v>
      </c>
      <c r="C1820" s="149" t="n">
        <f aca="false">COUNTIFS($D$5:D1820,D1820)</f>
        <v>857</v>
      </c>
      <c r="D1820" s="138" t="s">
        <v>2006</v>
      </c>
      <c r="E1820" s="124" t="s">
        <v>3676</v>
      </c>
      <c r="F1820" s="123" t="n">
        <v>46062</v>
      </c>
      <c r="G1820" s="121" t="s">
        <v>24</v>
      </c>
      <c r="H182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A1816</v>
      </c>
      <c r="I182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B1816</v>
      </c>
      <c r="J1820" s="122" t="s">
        <v>3677</v>
      </c>
      <c r="K182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C1816</v>
      </c>
      <c r="L182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D1816</v>
      </c>
      <c r="M182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E1816</v>
      </c>
      <c r="N1820" s="122" t="s">
        <v>73</v>
      </c>
      <c r="O1820" s="126" t="n">
        <v>3500000</v>
      </c>
      <c r="P1820" s="121" t="s">
        <v>18</v>
      </c>
      <c r="Q1820" s="138" t="s">
        <v>124</v>
      </c>
      <c r="R1820" s="151"/>
      <c r="T1820" s="118"/>
    </row>
    <row r="1821" customFormat="false" ht="12.75" hidden="false" customHeight="true" outlineLevel="0" collapsed="false">
      <c r="B1821" s="119" t="n">
        <f aca="false">ROW()-4</f>
        <v>1817</v>
      </c>
      <c r="C1821" s="149" t="n">
        <f aca="false">COUNTIFS($D$5:D1821,D1821)</f>
        <v>858</v>
      </c>
      <c r="D1821" s="138" t="s">
        <v>2006</v>
      </c>
      <c r="E1821" s="124" t="s">
        <v>3678</v>
      </c>
      <c r="F1821" s="137" t="n">
        <v>45908</v>
      </c>
      <c r="G1821" s="138" t="s">
        <v>28</v>
      </c>
      <c r="H1821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A1817</v>
      </c>
      <c r="I1821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B1817</v>
      </c>
      <c r="J1821" s="124" t="s">
        <v>3679</v>
      </c>
      <c r="K1821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C1817</v>
      </c>
      <c r="L1821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D1817</v>
      </c>
      <c r="M182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E1817</v>
      </c>
      <c r="N1821" s="122" t="s">
        <v>73</v>
      </c>
      <c r="O1821" s="126" t="n">
        <v>3500000</v>
      </c>
      <c r="P1821" s="121" t="s">
        <v>18</v>
      </c>
      <c r="Q1821" s="138" t="s">
        <v>124</v>
      </c>
      <c r="R1821" s="151"/>
      <c r="T1821" s="118"/>
    </row>
    <row r="1822" customFormat="false" ht="12.75" hidden="false" customHeight="true" outlineLevel="0" collapsed="false">
      <c r="B1822" s="119" t="n">
        <f aca="false">ROW()-4</f>
        <v>1818</v>
      </c>
      <c r="C1822" s="149" t="n">
        <f aca="false">COUNTIFS($D$5:D1822,D1822)</f>
        <v>859</v>
      </c>
      <c r="D1822" s="138" t="s">
        <v>2006</v>
      </c>
      <c r="E1822" s="124" t="s">
        <v>3680</v>
      </c>
      <c r="F1822" s="137" t="n">
        <v>45903</v>
      </c>
      <c r="G1822" s="138" t="s">
        <v>30</v>
      </c>
      <c r="H1822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A1818</v>
      </c>
      <c r="I1822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B1818</v>
      </c>
      <c r="J1822" s="124" t="s">
        <v>3681</v>
      </c>
      <c r="K1822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C1818</v>
      </c>
      <c r="L1822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D1818</v>
      </c>
      <c r="M182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E1818</v>
      </c>
      <c r="N1822" s="122" t="s">
        <v>73</v>
      </c>
      <c r="O1822" s="126" t="n">
        <v>3500000</v>
      </c>
      <c r="P1822" s="121" t="s">
        <v>18</v>
      </c>
      <c r="Q1822" s="138" t="s">
        <v>124</v>
      </c>
      <c r="R1822" s="151"/>
      <c r="T1822" s="118"/>
    </row>
    <row r="1823" customFormat="false" ht="12.75" hidden="false" customHeight="true" outlineLevel="0" collapsed="false">
      <c r="B1823" s="119" t="n">
        <f aca="false">ROW()-4</f>
        <v>1819</v>
      </c>
      <c r="C1823" s="149" t="n">
        <f aca="false">COUNTIFS($D$5:D1823,D1823)</f>
        <v>860</v>
      </c>
      <c r="D1823" s="138" t="s">
        <v>2006</v>
      </c>
      <c r="E1823" s="124" t="s">
        <v>3682</v>
      </c>
      <c r="F1823" s="137" t="n">
        <v>45903</v>
      </c>
      <c r="G1823" s="138" t="s">
        <v>30</v>
      </c>
      <c r="H1823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A1819</v>
      </c>
      <c r="I1823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B1819</v>
      </c>
      <c r="J1823" s="124" t="s">
        <v>3683</v>
      </c>
      <c r="K1823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C1819</v>
      </c>
      <c r="L1823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D1819</v>
      </c>
      <c r="M182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E1819</v>
      </c>
      <c r="N1823" s="122" t="s">
        <v>73</v>
      </c>
      <c r="O1823" s="126" t="n">
        <v>3500000</v>
      </c>
      <c r="P1823" s="121" t="s">
        <v>18</v>
      </c>
      <c r="Q1823" s="138" t="s">
        <v>124</v>
      </c>
      <c r="R1823" s="151"/>
      <c r="T1823" s="118"/>
    </row>
    <row r="1824" customFormat="false" ht="12.75" hidden="false" customHeight="true" outlineLevel="0" collapsed="false">
      <c r="B1824" s="119" t="n">
        <f aca="false">ROW()-4</f>
        <v>1820</v>
      </c>
      <c r="C1824" s="149" t="n">
        <f aca="false">COUNTIFS($D$5:D1824,D1824)</f>
        <v>861</v>
      </c>
      <c r="D1824" s="138" t="s">
        <v>2006</v>
      </c>
      <c r="E1824" s="122" t="s">
        <v>3684</v>
      </c>
      <c r="F1824" s="123" t="n">
        <v>46055</v>
      </c>
      <c r="G1824" s="121" t="s">
        <v>22</v>
      </c>
      <c r="H182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A1820</v>
      </c>
      <c r="I182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B1820</v>
      </c>
      <c r="J1824" s="122" t="s">
        <v>3685</v>
      </c>
      <c r="K182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C1820</v>
      </c>
      <c r="L182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D1820</v>
      </c>
      <c r="M182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E1820</v>
      </c>
      <c r="N1824" s="122" t="s">
        <v>73</v>
      </c>
      <c r="O1824" s="126" t="n">
        <v>3500000</v>
      </c>
      <c r="P1824" s="121" t="s">
        <v>18</v>
      </c>
      <c r="Q1824" s="138" t="s">
        <v>124</v>
      </c>
      <c r="R1824" s="127"/>
      <c r="T1824" s="118"/>
    </row>
    <row r="1825" customFormat="false" ht="12.75" hidden="false" customHeight="true" outlineLevel="0" collapsed="false">
      <c r="B1825" s="119" t="n">
        <f aca="false">ROW()-4</f>
        <v>1821</v>
      </c>
      <c r="C1825" s="149" t="n">
        <f aca="false">COUNTIFS($D$5:D1825,D1825)</f>
        <v>862</v>
      </c>
      <c r="D1825" s="138" t="s">
        <v>2006</v>
      </c>
      <c r="E1825" s="122" t="s">
        <v>3686</v>
      </c>
      <c r="F1825" s="123" t="n">
        <v>46055</v>
      </c>
      <c r="G1825" s="121" t="s">
        <v>22</v>
      </c>
      <c r="H182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A1821</v>
      </c>
      <c r="I182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B1821</v>
      </c>
      <c r="J1825" s="122" t="s">
        <v>3687</v>
      </c>
      <c r="K182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C1821</v>
      </c>
      <c r="L182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D1821</v>
      </c>
      <c r="M182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E1821</v>
      </c>
      <c r="N1825" s="122" t="s">
        <v>73</v>
      </c>
      <c r="O1825" s="126" t="n">
        <v>3500000</v>
      </c>
      <c r="P1825" s="121" t="s">
        <v>18</v>
      </c>
      <c r="Q1825" s="138" t="s">
        <v>124</v>
      </c>
      <c r="R1825" s="151"/>
      <c r="T1825" s="118"/>
    </row>
    <row r="1826" customFormat="false" ht="12.75" hidden="false" customHeight="true" outlineLevel="0" collapsed="false">
      <c r="B1826" s="119" t="n">
        <f aca="false">ROW()-4</f>
        <v>1822</v>
      </c>
      <c r="C1826" s="149" t="n">
        <f aca="false">COUNTIFS($D$5:D1826,D1826)</f>
        <v>863</v>
      </c>
      <c r="D1826" s="138" t="s">
        <v>2006</v>
      </c>
      <c r="E1826" s="122" t="s">
        <v>3688</v>
      </c>
      <c r="F1826" s="123" t="n">
        <v>45954</v>
      </c>
      <c r="G1826" s="121" t="s">
        <v>22</v>
      </c>
      <c r="H182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A1822</v>
      </c>
      <c r="I182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B1822</v>
      </c>
      <c r="J1826" s="122" t="s">
        <v>3689</v>
      </c>
      <c r="K182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C1822</v>
      </c>
      <c r="L182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D1822</v>
      </c>
      <c r="M182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E1822</v>
      </c>
      <c r="N1826" s="122" t="s">
        <v>73</v>
      </c>
      <c r="O1826" s="126" t="n">
        <v>3500000</v>
      </c>
      <c r="P1826" s="121" t="s">
        <v>18</v>
      </c>
      <c r="Q1826" s="138" t="s">
        <v>124</v>
      </c>
      <c r="R1826" s="151"/>
      <c r="T1826" s="118"/>
    </row>
    <row r="1827" customFormat="false" ht="12.75" hidden="false" customHeight="true" outlineLevel="0" collapsed="false">
      <c r="B1827" s="119" t="n">
        <f aca="false">ROW()-4</f>
        <v>1823</v>
      </c>
      <c r="C1827" s="149" t="n">
        <f aca="false">COUNTIFS($D$5:D1827,D1827)</f>
        <v>864</v>
      </c>
      <c r="D1827" s="138" t="s">
        <v>2006</v>
      </c>
      <c r="E1827" s="122" t="s">
        <v>3690</v>
      </c>
      <c r="F1827" s="123" t="n">
        <v>45954</v>
      </c>
      <c r="G1827" s="121" t="s">
        <v>22</v>
      </c>
      <c r="H182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A1823</v>
      </c>
      <c r="I182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B1823</v>
      </c>
      <c r="J1827" s="122" t="s">
        <v>3691</v>
      </c>
      <c r="K182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C1823</v>
      </c>
      <c r="L182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D1823</v>
      </c>
      <c r="M182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E1823</v>
      </c>
      <c r="N1827" s="122" t="s">
        <v>73</v>
      </c>
      <c r="O1827" s="126" t="n">
        <v>3500000</v>
      </c>
      <c r="P1827" s="121" t="s">
        <v>18</v>
      </c>
      <c r="Q1827" s="138" t="s">
        <v>124</v>
      </c>
      <c r="R1827" s="151"/>
      <c r="T1827" s="118"/>
    </row>
    <row r="1828" customFormat="false" ht="12.75" hidden="false" customHeight="true" outlineLevel="0" collapsed="false">
      <c r="B1828" s="119" t="n">
        <f aca="false">ROW()-4</f>
        <v>1824</v>
      </c>
      <c r="C1828" s="149" t="n">
        <f aca="false">COUNTIFS($D$5:D1828,D1828)</f>
        <v>865</v>
      </c>
      <c r="D1828" s="138" t="s">
        <v>2006</v>
      </c>
      <c r="E1828" s="124" t="s">
        <v>3692</v>
      </c>
      <c r="F1828" s="137" t="n">
        <v>45910</v>
      </c>
      <c r="G1828" s="138" t="s">
        <v>28</v>
      </c>
      <c r="H1828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A1824</v>
      </c>
      <c r="I1828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B1824</v>
      </c>
      <c r="J1828" s="124" t="s">
        <v>3693</v>
      </c>
      <c r="K1828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C1824</v>
      </c>
      <c r="L1828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D1824</v>
      </c>
      <c r="M182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E1824</v>
      </c>
      <c r="N1828" s="122" t="s">
        <v>73</v>
      </c>
      <c r="O1828" s="126" t="n">
        <v>3500000</v>
      </c>
      <c r="P1828" s="121" t="s">
        <v>18</v>
      </c>
      <c r="Q1828" s="138" t="s">
        <v>124</v>
      </c>
      <c r="R1828" s="151"/>
      <c r="T1828" s="118"/>
    </row>
    <row r="1829" customFormat="false" ht="12.75" hidden="false" customHeight="true" outlineLevel="0" collapsed="false">
      <c r="B1829" s="119" t="n">
        <f aca="false">ROW()-4</f>
        <v>1825</v>
      </c>
      <c r="C1829" s="149" t="n">
        <f aca="false">COUNTIFS($D$5:D1829,D1829)</f>
        <v>866</v>
      </c>
      <c r="D1829" s="138" t="s">
        <v>2006</v>
      </c>
      <c r="E1829" s="122" t="s">
        <v>3694</v>
      </c>
      <c r="F1829" s="123" t="n">
        <v>45932</v>
      </c>
      <c r="G1829" s="121" t="s">
        <v>22</v>
      </c>
      <c r="H182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A1825</v>
      </c>
      <c r="I182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B1825</v>
      </c>
      <c r="J1829" s="122" t="s">
        <v>3695</v>
      </c>
      <c r="K182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C1825</v>
      </c>
      <c r="L182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D1825</v>
      </c>
      <c r="M182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E1825</v>
      </c>
      <c r="N1829" s="122" t="s">
        <v>73</v>
      </c>
      <c r="O1829" s="126" t="n">
        <v>3500000</v>
      </c>
      <c r="P1829" s="121" t="s">
        <v>18</v>
      </c>
      <c r="Q1829" s="138" t="s">
        <v>124</v>
      </c>
      <c r="R1829" s="151"/>
      <c r="T1829" s="118"/>
    </row>
    <row r="1830" customFormat="false" ht="12.75" hidden="false" customHeight="true" outlineLevel="0" collapsed="false">
      <c r="B1830" s="119" t="n">
        <f aca="false">ROW()-4</f>
        <v>1826</v>
      </c>
      <c r="C1830" s="149" t="n">
        <f aca="false">COUNTIFS($D$5:D1830,D1830)</f>
        <v>867</v>
      </c>
      <c r="D1830" s="138" t="s">
        <v>2006</v>
      </c>
      <c r="E1830" s="124" t="s">
        <v>3696</v>
      </c>
      <c r="F1830" s="137" t="n">
        <v>45912</v>
      </c>
      <c r="G1830" s="138" t="s">
        <v>22</v>
      </c>
      <c r="H1830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A1826</v>
      </c>
      <c r="I1830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B1826</v>
      </c>
      <c r="J1830" s="124" t="s">
        <v>3697</v>
      </c>
      <c r="K1830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C1826</v>
      </c>
      <c r="L1830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D1826</v>
      </c>
      <c r="M183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E1826</v>
      </c>
      <c r="N1830" s="122" t="s">
        <v>73</v>
      </c>
      <c r="O1830" s="126" t="n">
        <v>3500000</v>
      </c>
      <c r="P1830" s="121" t="s">
        <v>18</v>
      </c>
      <c r="Q1830" s="138" t="s">
        <v>124</v>
      </c>
      <c r="R1830" s="151"/>
      <c r="T1830" s="118"/>
    </row>
    <row r="1831" customFormat="false" ht="12.75" hidden="false" customHeight="true" outlineLevel="0" collapsed="false">
      <c r="B1831" s="119" t="n">
        <f aca="false">ROW()-4</f>
        <v>1827</v>
      </c>
      <c r="C1831" s="149" t="n">
        <f aca="false">COUNTIFS($D$5:D1831,D1831)</f>
        <v>868</v>
      </c>
      <c r="D1831" s="138" t="s">
        <v>2006</v>
      </c>
      <c r="E1831" s="124" t="s">
        <v>3698</v>
      </c>
      <c r="F1831" s="137" t="n">
        <v>45918</v>
      </c>
      <c r="G1831" s="138" t="s">
        <v>22</v>
      </c>
      <c r="H1831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A1827</v>
      </c>
      <c r="I1831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B1827</v>
      </c>
      <c r="J1831" s="124" t="s">
        <v>3699</v>
      </c>
      <c r="K1831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C1827</v>
      </c>
      <c r="L1831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D1827</v>
      </c>
      <c r="M183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E1827</v>
      </c>
      <c r="N1831" s="122" t="s">
        <v>73</v>
      </c>
      <c r="O1831" s="126" t="n">
        <v>3500000</v>
      </c>
      <c r="P1831" s="121" t="s">
        <v>18</v>
      </c>
      <c r="Q1831" s="138" t="s">
        <v>124</v>
      </c>
      <c r="R1831" s="151"/>
      <c r="T1831" s="118"/>
    </row>
    <row r="1832" customFormat="false" ht="12.75" hidden="false" customHeight="true" outlineLevel="0" collapsed="false">
      <c r="B1832" s="119" t="n">
        <f aca="false">ROW()-4</f>
        <v>1828</v>
      </c>
      <c r="C1832" s="149" t="n">
        <f aca="false">COUNTIFS($D$5:D1832,D1832)</f>
        <v>869</v>
      </c>
      <c r="D1832" s="138" t="s">
        <v>2006</v>
      </c>
      <c r="E1832" s="124" t="s">
        <v>3700</v>
      </c>
      <c r="F1832" s="123" t="n">
        <v>46017</v>
      </c>
      <c r="G1832" s="121" t="s">
        <v>22</v>
      </c>
      <c r="H183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A1828</v>
      </c>
      <c r="I183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B1828</v>
      </c>
      <c r="J1832" s="122" t="s">
        <v>3701</v>
      </c>
      <c r="K183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C1828</v>
      </c>
      <c r="L183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D1828</v>
      </c>
      <c r="M183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E1828</v>
      </c>
      <c r="N1832" s="122" t="s">
        <v>73</v>
      </c>
      <c r="O1832" s="126" t="n">
        <v>3500000</v>
      </c>
      <c r="P1832" s="121" t="s">
        <v>18</v>
      </c>
      <c r="Q1832" s="138" t="s">
        <v>124</v>
      </c>
      <c r="R1832" s="151"/>
      <c r="T1832" s="118"/>
    </row>
    <row r="1833" customFormat="false" ht="12.75" hidden="false" customHeight="true" outlineLevel="0" collapsed="false">
      <c r="B1833" s="119" t="n">
        <f aca="false">ROW()-4</f>
        <v>1829</v>
      </c>
      <c r="C1833" s="149" t="n">
        <f aca="false">COUNTIFS($D$5:D1833,D1833)</f>
        <v>870</v>
      </c>
      <c r="D1833" s="138" t="s">
        <v>2006</v>
      </c>
      <c r="E1833" s="124" t="s">
        <v>3702</v>
      </c>
      <c r="F1833" s="123" t="n">
        <v>46017</v>
      </c>
      <c r="G1833" s="121" t="s">
        <v>22</v>
      </c>
      <c r="H183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A1829</v>
      </c>
      <c r="I183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B1829</v>
      </c>
      <c r="J1833" s="122" t="s">
        <v>3703</v>
      </c>
      <c r="K183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C1829</v>
      </c>
      <c r="L183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D1829</v>
      </c>
      <c r="M183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E1829</v>
      </c>
      <c r="N1833" s="122" t="s">
        <v>73</v>
      </c>
      <c r="O1833" s="126" t="n">
        <v>3500000</v>
      </c>
      <c r="P1833" s="121" t="s">
        <v>18</v>
      </c>
      <c r="Q1833" s="138" t="s">
        <v>124</v>
      </c>
      <c r="R1833" s="151"/>
      <c r="T1833" s="118"/>
    </row>
    <row r="1834" customFormat="false" ht="12.75" hidden="false" customHeight="true" outlineLevel="0" collapsed="false">
      <c r="B1834" s="119" t="n">
        <f aca="false">ROW()-4</f>
        <v>1830</v>
      </c>
      <c r="C1834" s="149" t="n">
        <f aca="false">COUNTIFS($D$5:D1834,D1834)</f>
        <v>871</v>
      </c>
      <c r="D1834" s="138" t="s">
        <v>2006</v>
      </c>
      <c r="E1834" s="124" t="s">
        <v>3704</v>
      </c>
      <c r="F1834" s="137" t="n">
        <v>45916</v>
      </c>
      <c r="G1834" s="138" t="s">
        <v>28</v>
      </c>
      <c r="H1834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A1830</v>
      </c>
      <c r="I1834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B1830</v>
      </c>
      <c r="J1834" s="124" t="s">
        <v>3705</v>
      </c>
      <c r="K1834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C1830</v>
      </c>
      <c r="L1834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D1830</v>
      </c>
      <c r="M183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E1830</v>
      </c>
      <c r="N1834" s="122" t="s">
        <v>73</v>
      </c>
      <c r="O1834" s="126" t="n">
        <v>3500000</v>
      </c>
      <c r="P1834" s="121" t="s">
        <v>18</v>
      </c>
      <c r="Q1834" s="138" t="s">
        <v>124</v>
      </c>
      <c r="R1834" s="151"/>
      <c r="T1834" s="118"/>
    </row>
    <row r="1835" customFormat="false" ht="12.75" hidden="false" customHeight="true" outlineLevel="0" collapsed="false">
      <c r="B1835" s="119" t="n">
        <f aca="false">ROW()-4</f>
        <v>1831</v>
      </c>
      <c r="C1835" s="149" t="n">
        <f aca="false">COUNTIFS($D$5:D1835,D1835)</f>
        <v>872</v>
      </c>
      <c r="D1835" s="138" t="s">
        <v>2006</v>
      </c>
      <c r="E1835" s="124" t="s">
        <v>3706</v>
      </c>
      <c r="F1835" s="137" t="n">
        <v>45916</v>
      </c>
      <c r="G1835" s="138" t="s">
        <v>28</v>
      </c>
      <c r="H1835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A1831</v>
      </c>
      <c r="I1835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B1831</v>
      </c>
      <c r="J1835" s="124" t="s">
        <v>3707</v>
      </c>
      <c r="K1835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C1831</v>
      </c>
      <c r="L1835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D1831</v>
      </c>
      <c r="M183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E1831</v>
      </c>
      <c r="N1835" s="122" t="s">
        <v>73</v>
      </c>
      <c r="O1835" s="126" t="n">
        <v>3500000</v>
      </c>
      <c r="P1835" s="121" t="s">
        <v>18</v>
      </c>
      <c r="Q1835" s="138" t="s">
        <v>124</v>
      </c>
      <c r="R1835" s="151"/>
      <c r="T1835" s="118"/>
    </row>
    <row r="1836" s="118" customFormat="true" ht="12.75" hidden="false" customHeight="true" outlineLevel="0" collapsed="false">
      <c r="A1836" s="98"/>
      <c r="B1836" s="119" t="n">
        <f aca="false">ROW()-4</f>
        <v>1832</v>
      </c>
      <c r="C1836" s="149" t="n">
        <f aca="false">COUNTIFS($D$5:D1836,D1836)</f>
        <v>873</v>
      </c>
      <c r="D1836" s="138" t="s">
        <v>2006</v>
      </c>
      <c r="E1836" s="124" t="s">
        <v>3708</v>
      </c>
      <c r="F1836" s="137" t="n">
        <v>45924</v>
      </c>
      <c r="G1836" s="138" t="s">
        <v>24</v>
      </c>
      <c r="H1836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A1832</v>
      </c>
      <c r="I1836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B1832</v>
      </c>
      <c r="J1836" s="124" t="s">
        <v>3709</v>
      </c>
      <c r="K1836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C1832</v>
      </c>
      <c r="L1836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D1832</v>
      </c>
      <c r="M183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E1832</v>
      </c>
      <c r="N1836" s="122" t="s">
        <v>73</v>
      </c>
      <c r="O1836" s="126" t="n">
        <v>3500000</v>
      </c>
      <c r="P1836" s="121" t="s">
        <v>18</v>
      </c>
      <c r="Q1836" s="138" t="s">
        <v>124</v>
      </c>
      <c r="R1836" s="151"/>
    </row>
    <row r="1837" s="118" customFormat="true" ht="12.75" hidden="false" customHeight="true" outlineLevel="0" collapsed="false">
      <c r="A1837" s="98"/>
      <c r="B1837" s="119" t="n">
        <f aca="false">ROW()-4</f>
        <v>1833</v>
      </c>
      <c r="C1837" s="149" t="n">
        <f aca="false">COUNTIFS($D$5:D1837,D1837)</f>
        <v>874</v>
      </c>
      <c r="D1837" s="138" t="s">
        <v>2006</v>
      </c>
      <c r="E1837" s="124" t="s">
        <v>3710</v>
      </c>
      <c r="F1837" s="137" t="n">
        <v>45924</v>
      </c>
      <c r="G1837" s="138" t="s">
        <v>24</v>
      </c>
      <c r="H1837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A1833</v>
      </c>
      <c r="I1837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B1833</v>
      </c>
      <c r="J1837" s="124" t="s">
        <v>3711</v>
      </c>
      <c r="K1837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C1833</v>
      </c>
      <c r="L1837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D1833</v>
      </c>
      <c r="M183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E1833</v>
      </c>
      <c r="N1837" s="122" t="s">
        <v>73</v>
      </c>
      <c r="O1837" s="126" t="n">
        <v>3500000</v>
      </c>
      <c r="P1837" s="121" t="s">
        <v>18</v>
      </c>
      <c r="Q1837" s="138" t="s">
        <v>124</v>
      </c>
      <c r="R1837" s="151"/>
    </row>
    <row r="1838" s="118" customFormat="true" ht="12.75" hidden="false" customHeight="true" outlineLevel="0" collapsed="false">
      <c r="A1838" s="98"/>
      <c r="B1838" s="119" t="n">
        <f aca="false">ROW()-4</f>
        <v>1834</v>
      </c>
      <c r="C1838" s="149" t="n">
        <f aca="false">COUNTIFS($D$5:D1838,D1838)</f>
        <v>875</v>
      </c>
      <c r="D1838" s="138" t="s">
        <v>2006</v>
      </c>
      <c r="E1838" s="124" t="s">
        <v>3712</v>
      </c>
      <c r="F1838" s="137" t="n">
        <v>45919</v>
      </c>
      <c r="G1838" s="138" t="s">
        <v>30</v>
      </c>
      <c r="H1838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A1834</v>
      </c>
      <c r="I1838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B1834</v>
      </c>
      <c r="J1838" s="124" t="s">
        <v>3713</v>
      </c>
      <c r="K1838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C1834</v>
      </c>
      <c r="L1838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D1834</v>
      </c>
      <c r="M183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E1834</v>
      </c>
      <c r="N1838" s="122" t="s">
        <v>73</v>
      </c>
      <c r="O1838" s="126" t="n">
        <v>3500000</v>
      </c>
      <c r="P1838" s="121" t="s">
        <v>18</v>
      </c>
      <c r="Q1838" s="138" t="s">
        <v>124</v>
      </c>
      <c r="R1838" s="151"/>
    </row>
    <row r="1839" s="118" customFormat="true" ht="12.75" hidden="false" customHeight="true" outlineLevel="0" collapsed="false">
      <c r="A1839" s="98"/>
      <c r="B1839" s="119" t="n">
        <f aca="false">ROW()-4</f>
        <v>1835</v>
      </c>
      <c r="C1839" s="149" t="n">
        <f aca="false">COUNTIFS($D$5:D1839,D1839)</f>
        <v>876</v>
      </c>
      <c r="D1839" s="138" t="s">
        <v>2006</v>
      </c>
      <c r="E1839" s="124" t="s">
        <v>3714</v>
      </c>
      <c r="F1839" s="137" t="n">
        <v>45919</v>
      </c>
      <c r="G1839" s="138" t="s">
        <v>30</v>
      </c>
      <c r="H1839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A1835</v>
      </c>
      <c r="I1839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B1835</v>
      </c>
      <c r="J1839" s="124" t="s">
        <v>3715</v>
      </c>
      <c r="K1839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C1835</v>
      </c>
      <c r="L1839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D1835</v>
      </c>
      <c r="M183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E1835</v>
      </c>
      <c r="N1839" s="122" t="s">
        <v>73</v>
      </c>
      <c r="O1839" s="126" t="n">
        <v>3500000</v>
      </c>
      <c r="P1839" s="121" t="s">
        <v>18</v>
      </c>
      <c r="Q1839" s="138" t="s">
        <v>124</v>
      </c>
      <c r="R1839" s="151"/>
    </row>
    <row r="1840" s="118" customFormat="true" ht="12.75" hidden="false" customHeight="true" outlineLevel="0" collapsed="false">
      <c r="A1840" s="98"/>
      <c r="B1840" s="119" t="n">
        <f aca="false">ROW()-4</f>
        <v>1836</v>
      </c>
      <c r="C1840" s="149" t="n">
        <f aca="false">COUNTIFS($D$5:D1840,D1840)</f>
        <v>877</v>
      </c>
      <c r="D1840" s="138" t="s">
        <v>2006</v>
      </c>
      <c r="E1840" s="124" t="s">
        <v>3716</v>
      </c>
      <c r="F1840" s="137" t="n">
        <v>45918</v>
      </c>
      <c r="G1840" s="138" t="s">
        <v>22</v>
      </c>
      <c r="H1840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A1836</v>
      </c>
      <c r="I1840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B1836</v>
      </c>
      <c r="J1840" s="124" t="s">
        <v>3717</v>
      </c>
      <c r="K1840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C1836</v>
      </c>
      <c r="L1840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D1836</v>
      </c>
      <c r="M184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E1836</v>
      </c>
      <c r="N1840" s="122" t="s">
        <v>73</v>
      </c>
      <c r="O1840" s="126" t="n">
        <v>3500000</v>
      </c>
      <c r="P1840" s="121" t="s">
        <v>18</v>
      </c>
      <c r="Q1840" s="138" t="s">
        <v>124</v>
      </c>
      <c r="R1840" s="151"/>
    </row>
    <row r="1841" s="118" customFormat="true" ht="12.75" hidden="false" customHeight="true" outlineLevel="0" collapsed="false">
      <c r="A1841" s="98"/>
      <c r="B1841" s="119" t="n">
        <f aca="false">ROW()-4</f>
        <v>1837</v>
      </c>
      <c r="C1841" s="149" t="n">
        <f aca="false">COUNTIFS($D$5:D1841,D1841)</f>
        <v>878</v>
      </c>
      <c r="D1841" s="138" t="s">
        <v>2006</v>
      </c>
      <c r="E1841" s="124" t="s">
        <v>3718</v>
      </c>
      <c r="F1841" s="137" t="n">
        <v>45919</v>
      </c>
      <c r="G1841" s="138" t="s">
        <v>24</v>
      </c>
      <c r="H1841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A1837</v>
      </c>
      <c r="I1841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B1837</v>
      </c>
      <c r="J1841" s="124" t="s">
        <v>3719</v>
      </c>
      <c r="K1841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C1837</v>
      </c>
      <c r="L1841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D1837</v>
      </c>
      <c r="M184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E1837</v>
      </c>
      <c r="N1841" s="122" t="s">
        <v>73</v>
      </c>
      <c r="O1841" s="126" t="n">
        <v>3500000</v>
      </c>
      <c r="P1841" s="121" t="s">
        <v>18</v>
      </c>
      <c r="Q1841" s="138" t="s">
        <v>124</v>
      </c>
      <c r="R1841" s="151"/>
    </row>
    <row r="1842" s="118" customFormat="true" ht="12.75" hidden="false" customHeight="true" outlineLevel="0" collapsed="false">
      <c r="A1842" s="98"/>
      <c r="B1842" s="119" t="n">
        <f aca="false">ROW()-4</f>
        <v>1838</v>
      </c>
      <c r="C1842" s="149" t="n">
        <f aca="false">COUNTIFS($D$5:D1842,D1842)</f>
        <v>879</v>
      </c>
      <c r="D1842" s="138" t="s">
        <v>2006</v>
      </c>
      <c r="E1842" s="124" t="s">
        <v>3720</v>
      </c>
      <c r="F1842" s="137" t="n">
        <v>45919</v>
      </c>
      <c r="G1842" s="138" t="s">
        <v>24</v>
      </c>
      <c r="H1842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A1838</v>
      </c>
      <c r="I1842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B1838</v>
      </c>
      <c r="J1842" s="124" t="s">
        <v>3721</v>
      </c>
      <c r="K1842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C1838</v>
      </c>
      <c r="L1842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D1838</v>
      </c>
      <c r="M184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E1838</v>
      </c>
      <c r="N1842" s="122" t="s">
        <v>73</v>
      </c>
      <c r="O1842" s="126" t="n">
        <v>3500000</v>
      </c>
      <c r="P1842" s="121" t="s">
        <v>18</v>
      </c>
      <c r="Q1842" s="138" t="s">
        <v>124</v>
      </c>
      <c r="R1842" s="151"/>
    </row>
    <row r="1843" s="118" customFormat="true" ht="12.75" hidden="false" customHeight="true" outlineLevel="0" collapsed="false">
      <c r="A1843" s="98"/>
      <c r="B1843" s="119" t="n">
        <f aca="false">ROW()-4</f>
        <v>1839</v>
      </c>
      <c r="C1843" s="149" t="n">
        <f aca="false">COUNTIFS($D$5:D1843,D1843)</f>
        <v>880</v>
      </c>
      <c r="D1843" s="138" t="s">
        <v>2006</v>
      </c>
      <c r="E1843" s="124" t="s">
        <v>3722</v>
      </c>
      <c r="F1843" s="137" t="n">
        <v>45917</v>
      </c>
      <c r="G1843" s="138" t="s">
        <v>30</v>
      </c>
      <c r="H1843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A1839</v>
      </c>
      <c r="I1843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B1839</v>
      </c>
      <c r="J1843" s="124" t="s">
        <v>3723</v>
      </c>
      <c r="K1843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C1839</v>
      </c>
      <c r="L1843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D1839</v>
      </c>
      <c r="M184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E1839</v>
      </c>
      <c r="N1843" s="122" t="s">
        <v>73</v>
      </c>
      <c r="O1843" s="126" t="n">
        <v>3500000</v>
      </c>
      <c r="P1843" s="121" t="s">
        <v>18</v>
      </c>
      <c r="Q1843" s="138" t="s">
        <v>124</v>
      </c>
      <c r="R1843" s="151"/>
    </row>
    <row r="1844" s="118" customFormat="true" ht="12.75" hidden="false" customHeight="true" outlineLevel="0" collapsed="false">
      <c r="A1844" s="98"/>
      <c r="B1844" s="119" t="n">
        <f aca="false">ROW()-4</f>
        <v>1840</v>
      </c>
      <c r="C1844" s="149" t="n">
        <f aca="false">COUNTIFS($D$5:D1844,D1844)</f>
        <v>881</v>
      </c>
      <c r="D1844" s="138" t="s">
        <v>2006</v>
      </c>
      <c r="E1844" s="124" t="s">
        <v>3724</v>
      </c>
      <c r="F1844" s="137" t="n">
        <v>45926</v>
      </c>
      <c r="G1844" s="138" t="s">
        <v>30</v>
      </c>
      <c r="H1844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A1840</v>
      </c>
      <c r="I1844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B1840</v>
      </c>
      <c r="J1844" s="124" t="s">
        <v>3725</v>
      </c>
      <c r="K1844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C1840</v>
      </c>
      <c r="L1844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D1840</v>
      </c>
      <c r="M184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E1840</v>
      </c>
      <c r="N1844" s="122" t="s">
        <v>73</v>
      </c>
      <c r="O1844" s="126" t="n">
        <v>3500000</v>
      </c>
      <c r="P1844" s="121" t="s">
        <v>18</v>
      </c>
      <c r="Q1844" s="138" t="s">
        <v>124</v>
      </c>
      <c r="R1844" s="151"/>
    </row>
    <row r="1845" s="118" customFormat="true" ht="12.75" hidden="false" customHeight="true" outlineLevel="0" collapsed="false">
      <c r="A1845" s="98"/>
      <c r="B1845" s="119" t="n">
        <f aca="false">ROW()-4</f>
        <v>1841</v>
      </c>
      <c r="C1845" s="149" t="n">
        <f aca="false">COUNTIFS($D$5:D1845,D1845)</f>
        <v>882</v>
      </c>
      <c r="D1845" s="138" t="s">
        <v>2006</v>
      </c>
      <c r="E1845" s="124" t="s">
        <v>3726</v>
      </c>
      <c r="F1845" s="137" t="n">
        <v>45918</v>
      </c>
      <c r="G1845" s="138" t="s">
        <v>30</v>
      </c>
      <c r="H1845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A1841</v>
      </c>
      <c r="I1845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B1841</v>
      </c>
      <c r="J1845" s="124" t="s">
        <v>3727</v>
      </c>
      <c r="K1845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C1841</v>
      </c>
      <c r="L1845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D1841</v>
      </c>
      <c r="M184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E1841</v>
      </c>
      <c r="N1845" s="122" t="s">
        <v>73</v>
      </c>
      <c r="O1845" s="126" t="n">
        <v>3500000</v>
      </c>
      <c r="P1845" s="121" t="s">
        <v>18</v>
      </c>
      <c r="Q1845" s="138" t="s">
        <v>124</v>
      </c>
      <c r="R1845" s="151"/>
    </row>
    <row r="1846" s="118" customFormat="true" ht="12.75" hidden="false" customHeight="true" outlineLevel="0" collapsed="false">
      <c r="A1846" s="98"/>
      <c r="B1846" s="119" t="n">
        <f aca="false">ROW()-4</f>
        <v>1842</v>
      </c>
      <c r="C1846" s="149" t="n">
        <f aca="false">COUNTIFS($D$5:D1846,D1846)</f>
        <v>883</v>
      </c>
      <c r="D1846" s="138" t="s">
        <v>2006</v>
      </c>
      <c r="E1846" s="124" t="s">
        <v>3728</v>
      </c>
      <c r="F1846" s="137" t="n">
        <v>45924</v>
      </c>
      <c r="G1846" s="138" t="s">
        <v>30</v>
      </c>
      <c r="H1846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A1842</v>
      </c>
      <c r="I1846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B1842</v>
      </c>
      <c r="J1846" s="124" t="s">
        <v>3729</v>
      </c>
      <c r="K1846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C1842</v>
      </c>
      <c r="L1846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D1842</v>
      </c>
      <c r="M184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E1842</v>
      </c>
      <c r="N1846" s="122" t="s">
        <v>73</v>
      </c>
      <c r="O1846" s="126" t="n">
        <v>3500000</v>
      </c>
      <c r="P1846" s="121" t="s">
        <v>18</v>
      </c>
      <c r="Q1846" s="138" t="s">
        <v>124</v>
      </c>
      <c r="R1846" s="151"/>
    </row>
    <row r="1847" s="118" customFormat="true" ht="12.75" hidden="false" customHeight="true" outlineLevel="0" collapsed="false">
      <c r="A1847" s="98"/>
      <c r="B1847" s="119" t="n">
        <f aca="false">ROW()-4</f>
        <v>1843</v>
      </c>
      <c r="C1847" s="149" t="n">
        <f aca="false">COUNTIFS($D$5:D1847,D1847)</f>
        <v>884</v>
      </c>
      <c r="D1847" s="138" t="s">
        <v>2006</v>
      </c>
      <c r="E1847" s="124" t="s">
        <v>3730</v>
      </c>
      <c r="F1847" s="137" t="n">
        <v>45924</v>
      </c>
      <c r="G1847" s="138" t="s">
        <v>30</v>
      </c>
      <c r="H1847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A1843</v>
      </c>
      <c r="I1847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B1843</v>
      </c>
      <c r="J1847" s="124" t="s">
        <v>3731</v>
      </c>
      <c r="K1847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C1843</v>
      </c>
      <c r="L1847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D1843</v>
      </c>
      <c r="M184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E1843</v>
      </c>
      <c r="N1847" s="122" t="s">
        <v>73</v>
      </c>
      <c r="O1847" s="126" t="n">
        <v>3500000</v>
      </c>
      <c r="P1847" s="121" t="s">
        <v>18</v>
      </c>
      <c r="Q1847" s="138" t="s">
        <v>124</v>
      </c>
      <c r="R1847" s="151"/>
    </row>
    <row r="1848" s="118" customFormat="true" ht="12.75" hidden="false" customHeight="true" outlineLevel="0" collapsed="false">
      <c r="A1848" s="98"/>
      <c r="B1848" s="119" t="n">
        <f aca="false">ROW()-4</f>
        <v>1844</v>
      </c>
      <c r="C1848" s="149" t="n">
        <f aca="false">COUNTIFS($D$5:D1848,D1848)</f>
        <v>885</v>
      </c>
      <c r="D1848" s="138" t="s">
        <v>2006</v>
      </c>
      <c r="E1848" s="124" t="s">
        <v>3732</v>
      </c>
      <c r="F1848" s="137" t="n">
        <v>45926</v>
      </c>
      <c r="G1848" s="138" t="s">
        <v>30</v>
      </c>
      <c r="H1848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A1844</v>
      </c>
      <c r="I1848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B1844</v>
      </c>
      <c r="J1848" s="124" t="s">
        <v>3733</v>
      </c>
      <c r="K1848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C1844</v>
      </c>
      <c r="L1848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D1844</v>
      </c>
      <c r="M184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E1844</v>
      </c>
      <c r="N1848" s="122" t="s">
        <v>73</v>
      </c>
      <c r="O1848" s="126" t="n">
        <v>3500000</v>
      </c>
      <c r="P1848" s="121" t="s">
        <v>18</v>
      </c>
      <c r="Q1848" s="138" t="s">
        <v>124</v>
      </c>
      <c r="R1848" s="151"/>
    </row>
    <row r="1849" s="118" customFormat="true" ht="12.75" hidden="false" customHeight="true" outlineLevel="0" collapsed="false">
      <c r="A1849" s="98"/>
      <c r="B1849" s="119" t="n">
        <f aca="false">ROW()-4</f>
        <v>1845</v>
      </c>
      <c r="C1849" s="149" t="n">
        <f aca="false">COUNTIFS($D$5:D1849,D1849)</f>
        <v>886</v>
      </c>
      <c r="D1849" s="138" t="s">
        <v>2006</v>
      </c>
      <c r="E1849" s="124" t="s">
        <v>3734</v>
      </c>
      <c r="F1849" s="137" t="n">
        <v>45926</v>
      </c>
      <c r="G1849" s="138" t="s">
        <v>30</v>
      </c>
      <c r="H1849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A1845</v>
      </c>
      <c r="I1849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B1845</v>
      </c>
      <c r="J1849" s="124" t="s">
        <v>3735</v>
      </c>
      <c r="K1849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C1845</v>
      </c>
      <c r="L1849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D1845</v>
      </c>
      <c r="M184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E1845</v>
      </c>
      <c r="N1849" s="122" t="s">
        <v>73</v>
      </c>
      <c r="O1849" s="126" t="n">
        <v>3500000</v>
      </c>
      <c r="P1849" s="121" t="s">
        <v>18</v>
      </c>
      <c r="Q1849" s="138" t="s">
        <v>124</v>
      </c>
      <c r="R1849" s="151"/>
    </row>
    <row r="1850" s="118" customFormat="true" ht="12.75" hidden="false" customHeight="true" outlineLevel="0" collapsed="false">
      <c r="A1850" s="98"/>
      <c r="B1850" s="119" t="n">
        <f aca="false">ROW()-4</f>
        <v>1846</v>
      </c>
      <c r="C1850" s="149" t="n">
        <f aca="false">COUNTIFS($D$5:D1850,D1850)</f>
        <v>887</v>
      </c>
      <c r="D1850" s="138" t="s">
        <v>2006</v>
      </c>
      <c r="E1850" s="124" t="s">
        <v>3736</v>
      </c>
      <c r="F1850" s="137" t="n">
        <v>45925</v>
      </c>
      <c r="G1850" s="138" t="s">
        <v>30</v>
      </c>
      <c r="H1850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A1846</v>
      </c>
      <c r="I1850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B1846</v>
      </c>
      <c r="J1850" s="124" t="s">
        <v>3737</v>
      </c>
      <c r="K1850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C1846</v>
      </c>
      <c r="L1850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D1846</v>
      </c>
      <c r="M185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E1846</v>
      </c>
      <c r="N1850" s="122" t="s">
        <v>73</v>
      </c>
      <c r="O1850" s="126" t="n">
        <v>3500000</v>
      </c>
      <c r="P1850" s="121" t="s">
        <v>18</v>
      </c>
      <c r="Q1850" s="138" t="s">
        <v>124</v>
      </c>
      <c r="R1850" s="151"/>
    </row>
    <row r="1851" s="118" customFormat="true" ht="12.75" hidden="false" customHeight="true" outlineLevel="0" collapsed="false">
      <c r="A1851" s="98"/>
      <c r="B1851" s="119" t="n">
        <f aca="false">ROW()-4</f>
        <v>1847</v>
      </c>
      <c r="C1851" s="149" t="n">
        <f aca="false">COUNTIFS($D$5:D1851,D1851)</f>
        <v>888</v>
      </c>
      <c r="D1851" s="138" t="s">
        <v>2006</v>
      </c>
      <c r="E1851" s="124" t="s">
        <v>3738</v>
      </c>
      <c r="F1851" s="137" t="n">
        <v>45922</v>
      </c>
      <c r="G1851" s="138" t="s">
        <v>22</v>
      </c>
      <c r="H1851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A1847</v>
      </c>
      <c r="I1851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B1847</v>
      </c>
      <c r="J1851" s="124" t="s">
        <v>3739</v>
      </c>
      <c r="K1851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C1847</v>
      </c>
      <c r="L1851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D1847</v>
      </c>
      <c r="M185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E1847</v>
      </c>
      <c r="N1851" s="122" t="s">
        <v>73</v>
      </c>
      <c r="O1851" s="126" t="n">
        <v>3500000</v>
      </c>
      <c r="P1851" s="121" t="s">
        <v>18</v>
      </c>
      <c r="Q1851" s="138" t="s">
        <v>124</v>
      </c>
      <c r="R1851" s="151"/>
    </row>
    <row r="1852" s="118" customFormat="true" ht="12.75" hidden="false" customHeight="true" outlineLevel="0" collapsed="false">
      <c r="A1852" s="98"/>
      <c r="B1852" s="119" t="n">
        <f aca="false">ROW()-4</f>
        <v>1848</v>
      </c>
      <c r="C1852" s="149" t="n">
        <f aca="false">COUNTIFS($D$5:D1852,D1852)</f>
        <v>889</v>
      </c>
      <c r="D1852" s="138" t="s">
        <v>2006</v>
      </c>
      <c r="E1852" s="124" t="s">
        <v>3740</v>
      </c>
      <c r="F1852" s="137" t="n">
        <v>45923</v>
      </c>
      <c r="G1852" s="138" t="s">
        <v>22</v>
      </c>
      <c r="H1852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A1848</v>
      </c>
      <c r="I1852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B1848</v>
      </c>
      <c r="J1852" s="124" t="s">
        <v>3741</v>
      </c>
      <c r="K1852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C1848</v>
      </c>
      <c r="L1852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D1848</v>
      </c>
      <c r="M185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E1848</v>
      </c>
      <c r="N1852" s="122" t="s">
        <v>73</v>
      </c>
      <c r="O1852" s="126" t="n">
        <v>3500000</v>
      </c>
      <c r="P1852" s="121" t="s">
        <v>18</v>
      </c>
      <c r="Q1852" s="138" t="s">
        <v>124</v>
      </c>
      <c r="R1852" s="151"/>
    </row>
    <row r="1853" s="118" customFormat="true" ht="12.75" hidden="false" customHeight="true" outlineLevel="0" collapsed="false">
      <c r="A1853" s="98"/>
      <c r="B1853" s="119" t="n">
        <f aca="false">ROW()-4</f>
        <v>1849</v>
      </c>
      <c r="C1853" s="149" t="n">
        <f aca="false">COUNTIFS($D$5:D1853,D1853)</f>
        <v>890</v>
      </c>
      <c r="D1853" s="138" t="s">
        <v>2006</v>
      </c>
      <c r="E1853" s="124" t="s">
        <v>3742</v>
      </c>
      <c r="F1853" s="137" t="n">
        <v>45923</v>
      </c>
      <c r="G1853" s="138" t="s">
        <v>22</v>
      </c>
      <c r="H1853" s="124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A1849</v>
      </c>
      <c r="I1853" s="124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B1849</v>
      </c>
      <c r="J1853" s="124" t="s">
        <v>3743</v>
      </c>
      <c r="K1853" s="124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C1849</v>
      </c>
      <c r="L1853" s="139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D1849</v>
      </c>
      <c r="M185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E1849</v>
      </c>
      <c r="N1853" s="122" t="s">
        <v>73</v>
      </c>
      <c r="O1853" s="126" t="n">
        <v>3500000</v>
      </c>
      <c r="P1853" s="121" t="s">
        <v>18</v>
      </c>
      <c r="Q1853" s="138" t="s">
        <v>124</v>
      </c>
      <c r="R1853" s="151"/>
    </row>
    <row r="1854" s="118" customFormat="true" ht="12.75" hidden="false" customHeight="true" outlineLevel="0" collapsed="false">
      <c r="A1854" s="98"/>
      <c r="B1854" s="119" t="n">
        <f aca="false">ROW()-4</f>
        <v>1850</v>
      </c>
      <c r="C1854" s="120" t="n">
        <f aca="false">COUNTIFS($D$5:D1854,D1854)</f>
        <v>891</v>
      </c>
      <c r="D1854" s="121" t="s">
        <v>2006</v>
      </c>
      <c r="E1854" s="122" t="s">
        <v>3744</v>
      </c>
      <c r="F1854" s="123" t="n">
        <v>45931</v>
      </c>
      <c r="G1854" s="121" t="s">
        <v>22</v>
      </c>
      <c r="H185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A1850</v>
      </c>
      <c r="I185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B1850</v>
      </c>
      <c r="J1854" s="122" t="s">
        <v>3745</v>
      </c>
      <c r="K185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C1850</v>
      </c>
      <c r="L185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D1850</v>
      </c>
      <c r="M185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E1850</v>
      </c>
      <c r="N1854" s="122" t="s">
        <v>73</v>
      </c>
      <c r="O1854" s="126" t="n">
        <v>3500000</v>
      </c>
      <c r="P1854" s="121" t="s">
        <v>18</v>
      </c>
      <c r="Q1854" s="121" t="s">
        <v>124</v>
      </c>
      <c r="R1854" s="127"/>
    </row>
    <row r="1855" s="118" customFormat="true" ht="12.75" hidden="false" customHeight="true" outlineLevel="0" collapsed="false">
      <c r="A1855" s="98"/>
      <c r="B1855" s="119" t="n">
        <f aca="false">ROW()-4</f>
        <v>1851</v>
      </c>
      <c r="C1855" s="120" t="n">
        <f aca="false">COUNTIFS($D$5:D1855,D1855)</f>
        <v>892</v>
      </c>
      <c r="D1855" s="121" t="s">
        <v>2006</v>
      </c>
      <c r="E1855" s="122" t="s">
        <v>3746</v>
      </c>
      <c r="F1855" s="123" t="n">
        <v>45931</v>
      </c>
      <c r="G1855" s="121" t="s">
        <v>22</v>
      </c>
      <c r="H185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A1851</v>
      </c>
      <c r="I185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B1851</v>
      </c>
      <c r="J1855" s="122" t="s">
        <v>3747</v>
      </c>
      <c r="K185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C1851</v>
      </c>
      <c r="L185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D1851</v>
      </c>
      <c r="M185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E1851</v>
      </c>
      <c r="N1855" s="122" t="s">
        <v>73</v>
      </c>
      <c r="O1855" s="126" t="n">
        <v>3500000</v>
      </c>
      <c r="P1855" s="121" t="s">
        <v>18</v>
      </c>
      <c r="Q1855" s="121" t="s">
        <v>124</v>
      </c>
      <c r="R1855" s="127"/>
    </row>
    <row r="1856" s="118" customFormat="true" ht="12.75" hidden="false" customHeight="true" outlineLevel="0" collapsed="false">
      <c r="A1856" s="98"/>
      <c r="B1856" s="119" t="n">
        <f aca="false">ROW()-4</f>
        <v>1852</v>
      </c>
      <c r="C1856" s="120" t="n">
        <f aca="false">COUNTIFS($D$5:D1856,D1856)</f>
        <v>893</v>
      </c>
      <c r="D1856" s="121" t="s">
        <v>2006</v>
      </c>
      <c r="E1856" s="122" t="s">
        <v>3748</v>
      </c>
      <c r="F1856" s="123" t="n">
        <v>45929</v>
      </c>
      <c r="G1856" s="121" t="s">
        <v>26</v>
      </c>
      <c r="H185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A1852</v>
      </c>
      <c r="I185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B1852</v>
      </c>
      <c r="J1856" s="122" t="s">
        <v>3749</v>
      </c>
      <c r="K185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C1852</v>
      </c>
      <c r="L185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D1852</v>
      </c>
      <c r="M185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E1852</v>
      </c>
      <c r="N1856" s="122" t="s">
        <v>73</v>
      </c>
      <c r="O1856" s="126" t="n">
        <v>3500000</v>
      </c>
      <c r="P1856" s="121" t="s">
        <v>18</v>
      </c>
      <c r="Q1856" s="121" t="s">
        <v>124</v>
      </c>
      <c r="R1856" s="127"/>
    </row>
    <row r="1857" s="118" customFormat="true" ht="12.75" hidden="false" customHeight="true" outlineLevel="0" collapsed="false">
      <c r="A1857" s="98"/>
      <c r="B1857" s="119" t="n">
        <f aca="false">ROW()-4</f>
        <v>1853</v>
      </c>
      <c r="C1857" s="120" t="n">
        <f aca="false">COUNTIFS($D$5:D1857,D1857)</f>
        <v>894</v>
      </c>
      <c r="D1857" s="121" t="s">
        <v>2006</v>
      </c>
      <c r="E1857" s="122" t="s">
        <v>3750</v>
      </c>
      <c r="F1857" s="123" t="n">
        <v>45918</v>
      </c>
      <c r="G1857" s="121" t="s">
        <v>30</v>
      </c>
      <c r="H185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A1853</v>
      </c>
      <c r="I185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B1853</v>
      </c>
      <c r="J1857" s="122" t="s">
        <v>3751</v>
      </c>
      <c r="K185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C1853</v>
      </c>
      <c r="L185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D1853</v>
      </c>
      <c r="M185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E1853</v>
      </c>
      <c r="N1857" s="122" t="s">
        <v>73</v>
      </c>
      <c r="O1857" s="126" t="n">
        <v>3500000</v>
      </c>
      <c r="P1857" s="121" t="s">
        <v>18</v>
      </c>
      <c r="Q1857" s="121" t="s">
        <v>124</v>
      </c>
      <c r="R1857" s="127"/>
    </row>
    <row r="1858" s="118" customFormat="true" ht="12.75" hidden="false" customHeight="true" outlineLevel="0" collapsed="false">
      <c r="A1858" s="98"/>
      <c r="B1858" s="119" t="n">
        <f aca="false">ROW()-4</f>
        <v>1854</v>
      </c>
      <c r="C1858" s="120" t="n">
        <f aca="false">COUNTIFS($D$5:D1858,D1858)</f>
        <v>895</v>
      </c>
      <c r="D1858" s="121" t="s">
        <v>2006</v>
      </c>
      <c r="E1858" s="122" t="s">
        <v>3752</v>
      </c>
      <c r="F1858" s="123" t="n">
        <v>45926</v>
      </c>
      <c r="G1858" s="121" t="s">
        <v>28</v>
      </c>
      <c r="H185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A1854</v>
      </c>
      <c r="I185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B1854</v>
      </c>
      <c r="J1858" s="122" t="s">
        <v>3753</v>
      </c>
      <c r="K185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C1854</v>
      </c>
      <c r="L185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D1854</v>
      </c>
      <c r="M185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E1854</v>
      </c>
      <c r="N1858" s="122" t="s">
        <v>73</v>
      </c>
      <c r="O1858" s="126" t="n">
        <v>3500000</v>
      </c>
      <c r="P1858" s="121" t="s">
        <v>18</v>
      </c>
      <c r="Q1858" s="121" t="s">
        <v>124</v>
      </c>
      <c r="R1858" s="127"/>
    </row>
    <row r="1859" s="118" customFormat="true" ht="12.75" hidden="false" customHeight="true" outlineLevel="0" collapsed="false">
      <c r="A1859" s="98"/>
      <c r="B1859" s="119" t="n">
        <f aca="false">ROW()-4</f>
        <v>1855</v>
      </c>
      <c r="C1859" s="120" t="n">
        <f aca="false">COUNTIFS($D$5:D1859,D1859)</f>
        <v>896</v>
      </c>
      <c r="D1859" s="121" t="s">
        <v>2006</v>
      </c>
      <c r="E1859" s="122" t="s">
        <v>3754</v>
      </c>
      <c r="F1859" s="123" t="n">
        <v>45930</v>
      </c>
      <c r="G1859" s="121" t="s">
        <v>22</v>
      </c>
      <c r="H185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A1855</v>
      </c>
      <c r="I185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B1855</v>
      </c>
      <c r="J1859" s="122" t="s">
        <v>3755</v>
      </c>
      <c r="K185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C1855</v>
      </c>
      <c r="L185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D1855</v>
      </c>
      <c r="M185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E1855</v>
      </c>
      <c r="N1859" s="122" t="s">
        <v>73</v>
      </c>
      <c r="O1859" s="126" t="n">
        <v>3500000</v>
      </c>
      <c r="P1859" s="121" t="s">
        <v>18</v>
      </c>
      <c r="Q1859" s="121" t="s">
        <v>124</v>
      </c>
      <c r="R1859" s="127"/>
    </row>
    <row r="1860" s="118" customFormat="true" ht="12.75" hidden="false" customHeight="true" outlineLevel="0" collapsed="false">
      <c r="A1860" s="98"/>
      <c r="B1860" s="119" t="n">
        <f aca="false">ROW()-4</f>
        <v>1856</v>
      </c>
      <c r="C1860" s="120" t="n">
        <f aca="false">COUNTIFS($D$5:D1860,D1860)</f>
        <v>897</v>
      </c>
      <c r="D1860" s="121" t="s">
        <v>2006</v>
      </c>
      <c r="E1860" s="122" t="s">
        <v>3756</v>
      </c>
      <c r="F1860" s="123" t="n">
        <v>45932</v>
      </c>
      <c r="G1860" s="121" t="s">
        <v>22</v>
      </c>
      <c r="H186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A1856</v>
      </c>
      <c r="I186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B1856</v>
      </c>
      <c r="J1860" s="122" t="s">
        <v>3757</v>
      </c>
      <c r="K186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C1856</v>
      </c>
      <c r="L186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D1856</v>
      </c>
      <c r="M186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E1856</v>
      </c>
      <c r="N1860" s="122" t="s">
        <v>73</v>
      </c>
      <c r="O1860" s="126" t="n">
        <v>3500000</v>
      </c>
      <c r="P1860" s="121" t="s">
        <v>18</v>
      </c>
      <c r="Q1860" s="121" t="s">
        <v>124</v>
      </c>
      <c r="R1860" s="127"/>
    </row>
    <row r="1861" s="118" customFormat="true" ht="12.75" hidden="false" customHeight="true" outlineLevel="0" collapsed="false">
      <c r="A1861" s="98"/>
      <c r="B1861" s="119" t="n">
        <f aca="false">ROW()-4</f>
        <v>1857</v>
      </c>
      <c r="C1861" s="120" t="n">
        <f aca="false">COUNTIFS($D$5:D1861,D1861)</f>
        <v>898</v>
      </c>
      <c r="D1861" s="121" t="s">
        <v>2006</v>
      </c>
      <c r="E1861" s="122" t="s">
        <v>3758</v>
      </c>
      <c r="F1861" s="123" t="n">
        <v>45931</v>
      </c>
      <c r="G1861" s="121" t="s">
        <v>22</v>
      </c>
      <c r="H186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A1857</v>
      </c>
      <c r="I186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B1857</v>
      </c>
      <c r="J1861" s="122" t="s">
        <v>3759</v>
      </c>
      <c r="K186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C1857</v>
      </c>
      <c r="L186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D1857</v>
      </c>
      <c r="M186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E1857</v>
      </c>
      <c r="N1861" s="122" t="s">
        <v>73</v>
      </c>
      <c r="O1861" s="126" t="n">
        <v>3500000</v>
      </c>
      <c r="P1861" s="121" t="s">
        <v>18</v>
      </c>
      <c r="Q1861" s="121" t="s">
        <v>124</v>
      </c>
      <c r="R1861" s="127"/>
    </row>
    <row r="1862" s="118" customFormat="true" ht="12.75" hidden="false" customHeight="true" outlineLevel="0" collapsed="false">
      <c r="A1862" s="98"/>
      <c r="B1862" s="119" t="n">
        <f aca="false">ROW()-4</f>
        <v>1858</v>
      </c>
      <c r="C1862" s="120" t="n">
        <f aca="false">COUNTIFS($D$5:D1862,D1862)</f>
        <v>899</v>
      </c>
      <c r="D1862" s="121" t="s">
        <v>2006</v>
      </c>
      <c r="E1862" s="122" t="s">
        <v>3760</v>
      </c>
      <c r="F1862" s="123" t="n">
        <v>45931</v>
      </c>
      <c r="G1862" s="121" t="s">
        <v>22</v>
      </c>
      <c r="H186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A1858</v>
      </c>
      <c r="I186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B1858</v>
      </c>
      <c r="J1862" s="122" t="s">
        <v>3761</v>
      </c>
      <c r="K186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C1858</v>
      </c>
      <c r="L186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D1858</v>
      </c>
      <c r="M186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E1858</v>
      </c>
      <c r="N1862" s="122" t="s">
        <v>73</v>
      </c>
      <c r="O1862" s="126" t="n">
        <v>3500000</v>
      </c>
      <c r="P1862" s="121" t="s">
        <v>18</v>
      </c>
      <c r="Q1862" s="121" t="s">
        <v>124</v>
      </c>
      <c r="R1862" s="127"/>
    </row>
    <row r="1863" s="118" customFormat="true" ht="12.75" hidden="false" customHeight="true" outlineLevel="0" collapsed="false">
      <c r="A1863" s="98"/>
      <c r="B1863" s="119" t="n">
        <f aca="false">ROW()-4</f>
        <v>1859</v>
      </c>
      <c r="C1863" s="120" t="n">
        <f aca="false">COUNTIFS($D$5:D1863,D1863)</f>
        <v>900</v>
      </c>
      <c r="D1863" s="121" t="s">
        <v>2006</v>
      </c>
      <c r="E1863" s="122" t="s">
        <v>3762</v>
      </c>
      <c r="F1863" s="123" t="n">
        <v>45946</v>
      </c>
      <c r="G1863" s="121" t="s">
        <v>22</v>
      </c>
      <c r="H186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A1859</v>
      </c>
      <c r="I186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B1859</v>
      </c>
      <c r="J1863" s="122" t="s">
        <v>3763</v>
      </c>
      <c r="K186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C1859</v>
      </c>
      <c r="L186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D1859</v>
      </c>
      <c r="M186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E1859</v>
      </c>
      <c r="N1863" s="122" t="s">
        <v>73</v>
      </c>
      <c r="O1863" s="126" t="n">
        <v>3500000</v>
      </c>
      <c r="P1863" s="121" t="s">
        <v>18</v>
      </c>
      <c r="Q1863" s="121" t="s">
        <v>124</v>
      </c>
      <c r="R1863" s="127"/>
    </row>
    <row r="1864" s="118" customFormat="true" ht="12.75" hidden="false" customHeight="true" outlineLevel="0" collapsed="false">
      <c r="A1864" s="98"/>
      <c r="B1864" s="119" t="n">
        <f aca="false">ROW()-4</f>
        <v>1860</v>
      </c>
      <c r="C1864" s="120" t="n">
        <f aca="false">COUNTIFS($D$5:D1864,D1864)</f>
        <v>901</v>
      </c>
      <c r="D1864" s="121" t="s">
        <v>2006</v>
      </c>
      <c r="E1864" s="122" t="s">
        <v>3764</v>
      </c>
      <c r="F1864" s="123" t="n">
        <v>45945</v>
      </c>
      <c r="G1864" s="121" t="s">
        <v>22</v>
      </c>
      <c r="H186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A1860</v>
      </c>
      <c r="I186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B1860</v>
      </c>
      <c r="J1864" s="122" t="s">
        <v>3765</v>
      </c>
      <c r="K186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C1860</v>
      </c>
      <c r="L186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D1860</v>
      </c>
      <c r="M186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E1860</v>
      </c>
      <c r="N1864" s="122" t="s">
        <v>73</v>
      </c>
      <c r="O1864" s="126" t="n">
        <v>3500000</v>
      </c>
      <c r="P1864" s="121" t="s">
        <v>18</v>
      </c>
      <c r="Q1864" s="121" t="s">
        <v>124</v>
      </c>
      <c r="R1864" s="127"/>
    </row>
    <row r="1865" s="118" customFormat="true" ht="12.75" hidden="false" customHeight="true" outlineLevel="0" collapsed="false">
      <c r="A1865" s="98"/>
      <c r="B1865" s="119" t="n">
        <f aca="false">ROW()-4</f>
        <v>1861</v>
      </c>
      <c r="C1865" s="120" t="n">
        <f aca="false">COUNTIFS($D$5:D1865,D1865)</f>
        <v>902</v>
      </c>
      <c r="D1865" s="121" t="s">
        <v>2006</v>
      </c>
      <c r="E1865" s="122" t="s">
        <v>3766</v>
      </c>
      <c r="F1865" s="123" t="n">
        <v>45945</v>
      </c>
      <c r="G1865" s="121" t="s">
        <v>22</v>
      </c>
      <c r="H186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A1861</v>
      </c>
      <c r="I186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B1861</v>
      </c>
      <c r="J1865" s="122" t="s">
        <v>3767</v>
      </c>
      <c r="K186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C1861</v>
      </c>
      <c r="L186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D1861</v>
      </c>
      <c r="M186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E1861</v>
      </c>
      <c r="N1865" s="122" t="s">
        <v>73</v>
      </c>
      <c r="O1865" s="126" t="n">
        <v>3500000</v>
      </c>
      <c r="P1865" s="121" t="s">
        <v>18</v>
      </c>
      <c r="Q1865" s="121" t="s">
        <v>124</v>
      </c>
      <c r="R1865" s="127"/>
    </row>
    <row r="1866" s="118" customFormat="true" ht="12.75" hidden="false" customHeight="true" outlineLevel="0" collapsed="false">
      <c r="A1866" s="98"/>
      <c r="B1866" s="119" t="n">
        <f aca="false">ROW()-4</f>
        <v>1862</v>
      </c>
      <c r="C1866" s="120" t="n">
        <f aca="false">COUNTIFS($D$5:D1866,D1866)</f>
        <v>903</v>
      </c>
      <c r="D1866" s="121" t="s">
        <v>2006</v>
      </c>
      <c r="E1866" s="122" t="s">
        <v>3768</v>
      </c>
      <c r="F1866" s="123" t="n">
        <v>45945</v>
      </c>
      <c r="G1866" s="121" t="s">
        <v>28</v>
      </c>
      <c r="H186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A1862</v>
      </c>
      <c r="I186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B1862</v>
      </c>
      <c r="J1866" s="122" t="s">
        <v>3769</v>
      </c>
      <c r="K186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C1862</v>
      </c>
      <c r="L186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D1862</v>
      </c>
      <c r="M186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E1862</v>
      </c>
      <c r="N1866" s="122" t="s">
        <v>73</v>
      </c>
      <c r="O1866" s="126" t="n">
        <v>3500000</v>
      </c>
      <c r="P1866" s="121" t="s">
        <v>18</v>
      </c>
      <c r="Q1866" s="121" t="s">
        <v>124</v>
      </c>
      <c r="R1866" s="127"/>
    </row>
    <row r="1867" s="118" customFormat="true" ht="12.75" hidden="false" customHeight="true" outlineLevel="0" collapsed="false">
      <c r="A1867" s="98"/>
      <c r="B1867" s="119" t="n">
        <f aca="false">ROW()-4</f>
        <v>1863</v>
      </c>
      <c r="C1867" s="120" t="n">
        <f aca="false">COUNTIFS($D$5:D1867,D1867)</f>
        <v>904</v>
      </c>
      <c r="D1867" s="121" t="s">
        <v>2006</v>
      </c>
      <c r="E1867" s="122" t="s">
        <v>3770</v>
      </c>
      <c r="F1867" s="123" t="n">
        <v>45945</v>
      </c>
      <c r="G1867" s="121" t="s">
        <v>22</v>
      </c>
      <c r="H186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A1863</v>
      </c>
      <c r="I186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B1863</v>
      </c>
      <c r="J1867" s="122" t="s">
        <v>603</v>
      </c>
      <c r="K186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C1863</v>
      </c>
      <c r="L186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D1863</v>
      </c>
      <c r="M186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E1863</v>
      </c>
      <c r="N1867" s="122" t="s">
        <v>73</v>
      </c>
      <c r="O1867" s="126" t="n">
        <v>3500000</v>
      </c>
      <c r="P1867" s="121" t="s">
        <v>18</v>
      </c>
      <c r="Q1867" s="121" t="s">
        <v>124</v>
      </c>
      <c r="R1867" s="127"/>
    </row>
    <row r="1868" s="118" customFormat="true" ht="12.75" hidden="false" customHeight="true" outlineLevel="0" collapsed="false">
      <c r="A1868" s="98"/>
      <c r="B1868" s="119" t="n">
        <f aca="false">ROW()-4</f>
        <v>1864</v>
      </c>
      <c r="C1868" s="120" t="n">
        <f aca="false">COUNTIFS($D$5:D1868,D1868)</f>
        <v>905</v>
      </c>
      <c r="D1868" s="121" t="s">
        <v>2006</v>
      </c>
      <c r="E1868" s="122" t="s">
        <v>3771</v>
      </c>
      <c r="F1868" s="123" t="n">
        <v>45943</v>
      </c>
      <c r="G1868" s="121" t="s">
        <v>26</v>
      </c>
      <c r="H186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A1864</v>
      </c>
      <c r="I186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B1864</v>
      </c>
      <c r="J1868" s="122" t="s">
        <v>3772</v>
      </c>
      <c r="K186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C1864</v>
      </c>
      <c r="L186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D1864</v>
      </c>
      <c r="M186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E1864</v>
      </c>
      <c r="N1868" s="122" t="s">
        <v>73</v>
      </c>
      <c r="O1868" s="126" t="n">
        <v>3500000</v>
      </c>
      <c r="P1868" s="121" t="s">
        <v>18</v>
      </c>
      <c r="Q1868" s="121" t="s">
        <v>124</v>
      </c>
      <c r="R1868" s="127"/>
    </row>
    <row r="1869" s="118" customFormat="true" ht="12.75" hidden="false" customHeight="true" outlineLevel="0" collapsed="false">
      <c r="A1869" s="98"/>
      <c r="B1869" s="119" t="n">
        <f aca="false">ROW()-4</f>
        <v>1865</v>
      </c>
      <c r="C1869" s="120" t="n">
        <f aca="false">COUNTIFS($D$5:D1869,D1869)</f>
        <v>906</v>
      </c>
      <c r="D1869" s="121" t="s">
        <v>2006</v>
      </c>
      <c r="E1869" s="122" t="s">
        <v>3773</v>
      </c>
      <c r="F1869" s="123" t="n">
        <v>45943</v>
      </c>
      <c r="G1869" s="121" t="s">
        <v>26</v>
      </c>
      <c r="H186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A1865</v>
      </c>
      <c r="I186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B1865</v>
      </c>
      <c r="J1869" s="122" t="s">
        <v>3774</v>
      </c>
      <c r="K186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C1865</v>
      </c>
      <c r="L186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D1865</v>
      </c>
      <c r="M186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E1865</v>
      </c>
      <c r="N1869" s="122" t="s">
        <v>73</v>
      </c>
      <c r="O1869" s="126" t="n">
        <v>3500000</v>
      </c>
      <c r="P1869" s="121" t="s">
        <v>18</v>
      </c>
      <c r="Q1869" s="121" t="s">
        <v>124</v>
      </c>
      <c r="R1869" s="127"/>
    </row>
    <row r="1870" s="118" customFormat="true" ht="12.75" hidden="false" customHeight="true" outlineLevel="0" collapsed="false">
      <c r="A1870" s="98"/>
      <c r="B1870" s="119" t="n">
        <f aca="false">ROW()-4</f>
        <v>1866</v>
      </c>
      <c r="C1870" s="120" t="n">
        <f aca="false">COUNTIFS($D$5:D1870,D1870)</f>
        <v>907</v>
      </c>
      <c r="D1870" s="121" t="s">
        <v>2006</v>
      </c>
      <c r="E1870" s="122" t="s">
        <v>3775</v>
      </c>
      <c r="F1870" s="123" t="n">
        <v>45944</v>
      </c>
      <c r="G1870" s="121" t="s">
        <v>28</v>
      </c>
      <c r="H187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A1866</v>
      </c>
      <c r="I187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B1866</v>
      </c>
      <c r="J1870" s="122" t="s">
        <v>3776</v>
      </c>
      <c r="K187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C1866</v>
      </c>
      <c r="L187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D1866</v>
      </c>
      <c r="M187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E1866</v>
      </c>
      <c r="N1870" s="122" t="s">
        <v>73</v>
      </c>
      <c r="O1870" s="126" t="n">
        <v>3500000</v>
      </c>
      <c r="P1870" s="121" t="s">
        <v>18</v>
      </c>
      <c r="Q1870" s="121" t="s">
        <v>124</v>
      </c>
      <c r="R1870" s="127"/>
    </row>
    <row r="1871" s="118" customFormat="true" ht="12.75" hidden="false" customHeight="true" outlineLevel="0" collapsed="false">
      <c r="A1871" s="98"/>
      <c r="B1871" s="119" t="n">
        <f aca="false">ROW()-4</f>
        <v>1867</v>
      </c>
      <c r="C1871" s="120" t="n">
        <f aca="false">COUNTIFS($D$5:D1871,D1871)</f>
        <v>908</v>
      </c>
      <c r="D1871" s="121" t="s">
        <v>2006</v>
      </c>
      <c r="E1871" s="122" t="s">
        <v>3777</v>
      </c>
      <c r="F1871" s="123" t="n">
        <v>45952</v>
      </c>
      <c r="G1871" s="121" t="s">
        <v>22</v>
      </c>
      <c r="H187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A1867</v>
      </c>
      <c r="I187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B1867</v>
      </c>
      <c r="J1871" s="122" t="s">
        <v>3778</v>
      </c>
      <c r="K187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C1867</v>
      </c>
      <c r="L187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D1867</v>
      </c>
      <c r="M187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E1867</v>
      </c>
      <c r="N1871" s="122" t="s">
        <v>73</v>
      </c>
      <c r="O1871" s="126" t="n">
        <v>3500000</v>
      </c>
      <c r="P1871" s="121" t="s">
        <v>18</v>
      </c>
      <c r="Q1871" s="121" t="s">
        <v>124</v>
      </c>
      <c r="R1871" s="127"/>
    </row>
    <row r="1872" s="118" customFormat="true" ht="12.75" hidden="false" customHeight="true" outlineLevel="0" collapsed="false">
      <c r="A1872" s="98"/>
      <c r="B1872" s="119" t="n">
        <f aca="false">ROW()-4</f>
        <v>1868</v>
      </c>
      <c r="C1872" s="120" t="n">
        <f aca="false">COUNTIFS($D$5:D1872,D1872)</f>
        <v>909</v>
      </c>
      <c r="D1872" s="121" t="s">
        <v>2006</v>
      </c>
      <c r="E1872" s="122" t="s">
        <v>3779</v>
      </c>
      <c r="F1872" s="123" t="n">
        <v>45952</v>
      </c>
      <c r="G1872" s="121" t="s">
        <v>30</v>
      </c>
      <c r="H187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A1868</v>
      </c>
      <c r="I187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B1868</v>
      </c>
      <c r="J1872" s="122" t="s">
        <v>3780</v>
      </c>
      <c r="K187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C1868</v>
      </c>
      <c r="L187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D1868</v>
      </c>
      <c r="M187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E1868</v>
      </c>
      <c r="N1872" s="122" t="s">
        <v>73</v>
      </c>
      <c r="O1872" s="126" t="n">
        <v>3500000</v>
      </c>
      <c r="P1872" s="121" t="s">
        <v>18</v>
      </c>
      <c r="Q1872" s="121" t="s">
        <v>124</v>
      </c>
      <c r="R1872" s="127"/>
    </row>
    <row r="1873" s="118" customFormat="true" ht="12.75" hidden="false" customHeight="true" outlineLevel="0" collapsed="false">
      <c r="A1873" s="98"/>
      <c r="B1873" s="119" t="n">
        <f aca="false">ROW()-4</f>
        <v>1869</v>
      </c>
      <c r="C1873" s="120" t="n">
        <f aca="false">COUNTIFS($D$5:D1873,D1873)</f>
        <v>910</v>
      </c>
      <c r="D1873" s="121" t="s">
        <v>2006</v>
      </c>
      <c r="E1873" s="122" t="s">
        <v>3781</v>
      </c>
      <c r="F1873" s="123" t="n">
        <v>45952</v>
      </c>
      <c r="G1873" s="121" t="s">
        <v>30</v>
      </c>
      <c r="H187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A1869</v>
      </c>
      <c r="I187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B1869</v>
      </c>
      <c r="J1873" s="122" t="s">
        <v>3782</v>
      </c>
      <c r="K187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C1869</v>
      </c>
      <c r="L187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D1869</v>
      </c>
      <c r="M187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E1869</v>
      </c>
      <c r="N1873" s="122" t="s">
        <v>73</v>
      </c>
      <c r="O1873" s="126" t="n">
        <v>3500000</v>
      </c>
      <c r="P1873" s="121" t="s">
        <v>18</v>
      </c>
      <c r="Q1873" s="121" t="s">
        <v>124</v>
      </c>
      <c r="R1873" s="127"/>
    </row>
    <row r="1874" s="118" customFormat="true" ht="12.75" hidden="false" customHeight="true" outlineLevel="0" collapsed="false">
      <c r="A1874" s="98"/>
      <c r="B1874" s="119" t="n">
        <f aca="false">ROW()-4</f>
        <v>1870</v>
      </c>
      <c r="C1874" s="120" t="n">
        <f aca="false">COUNTIFS($D$5:D1874,D1874)</f>
        <v>911</v>
      </c>
      <c r="D1874" s="121" t="s">
        <v>2006</v>
      </c>
      <c r="E1874" s="122" t="s">
        <v>3783</v>
      </c>
      <c r="F1874" s="123" t="n">
        <v>45957</v>
      </c>
      <c r="G1874" s="121" t="s">
        <v>30</v>
      </c>
      <c r="H187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A1870</v>
      </c>
      <c r="I187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B1870</v>
      </c>
      <c r="J1874" s="122" t="s">
        <v>3784</v>
      </c>
      <c r="K187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C1870</v>
      </c>
      <c r="L187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D1870</v>
      </c>
      <c r="M187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E1870</v>
      </c>
      <c r="N1874" s="122" t="s">
        <v>73</v>
      </c>
      <c r="O1874" s="126" t="n">
        <v>3500000</v>
      </c>
      <c r="P1874" s="121" t="s">
        <v>18</v>
      </c>
      <c r="Q1874" s="121" t="s">
        <v>124</v>
      </c>
      <c r="R1874" s="127"/>
    </row>
    <row r="1875" s="118" customFormat="true" ht="12.75" hidden="false" customHeight="true" outlineLevel="0" collapsed="false">
      <c r="A1875" s="98"/>
      <c r="B1875" s="119" t="n">
        <f aca="false">ROW()-4</f>
        <v>1871</v>
      </c>
      <c r="C1875" s="120" t="n">
        <f aca="false">COUNTIFS($D$5:D1875,D1875)</f>
        <v>912</v>
      </c>
      <c r="D1875" s="121" t="s">
        <v>2006</v>
      </c>
      <c r="E1875" s="122" t="s">
        <v>3785</v>
      </c>
      <c r="F1875" s="123" t="n">
        <v>45957</v>
      </c>
      <c r="G1875" s="121" t="s">
        <v>30</v>
      </c>
      <c r="H187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A1871</v>
      </c>
      <c r="I187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B1871</v>
      </c>
      <c r="J1875" s="122" t="s">
        <v>3786</v>
      </c>
      <c r="K187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C1871</v>
      </c>
      <c r="L187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D1871</v>
      </c>
      <c r="M187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E1871</v>
      </c>
      <c r="N1875" s="122" t="s">
        <v>73</v>
      </c>
      <c r="O1875" s="126" t="n">
        <v>3500000</v>
      </c>
      <c r="P1875" s="121" t="s">
        <v>18</v>
      </c>
      <c r="Q1875" s="121" t="s">
        <v>124</v>
      </c>
      <c r="R1875" s="127"/>
    </row>
    <row r="1876" s="118" customFormat="true" ht="12.75" hidden="false" customHeight="true" outlineLevel="0" collapsed="false">
      <c r="A1876" s="98"/>
      <c r="B1876" s="119" t="n">
        <f aca="false">ROW()-4</f>
        <v>1872</v>
      </c>
      <c r="C1876" s="120" t="n">
        <f aca="false">COUNTIFS($D$5:D1876,D1876)</f>
        <v>913</v>
      </c>
      <c r="D1876" s="121" t="s">
        <v>2006</v>
      </c>
      <c r="E1876" s="122" t="s">
        <v>3787</v>
      </c>
      <c r="F1876" s="123" t="n">
        <v>45957</v>
      </c>
      <c r="G1876" s="121" t="s">
        <v>26</v>
      </c>
      <c r="H187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A1872</v>
      </c>
      <c r="I187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B1872</v>
      </c>
      <c r="J1876" s="122" t="s">
        <v>3788</v>
      </c>
      <c r="K187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C1872</v>
      </c>
      <c r="L187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D1872</v>
      </c>
      <c r="M187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E1872</v>
      </c>
      <c r="N1876" s="122" t="s">
        <v>73</v>
      </c>
      <c r="O1876" s="126" t="n">
        <v>3500000</v>
      </c>
      <c r="P1876" s="121" t="s">
        <v>18</v>
      </c>
      <c r="Q1876" s="121" t="s">
        <v>124</v>
      </c>
      <c r="R1876" s="127"/>
    </row>
    <row r="1877" customFormat="false" ht="12.75" hidden="false" customHeight="true" outlineLevel="0" collapsed="false">
      <c r="B1877" s="119" t="n">
        <f aca="false">ROW()-4</f>
        <v>1873</v>
      </c>
      <c r="C1877" s="120" t="n">
        <f aca="false">COUNTIFS($D$5:D1877,D1877)</f>
        <v>914</v>
      </c>
      <c r="D1877" s="121" t="s">
        <v>2006</v>
      </c>
      <c r="E1877" s="122" t="s">
        <v>3789</v>
      </c>
      <c r="F1877" s="123" t="n">
        <v>45957</v>
      </c>
      <c r="G1877" s="121" t="s">
        <v>26</v>
      </c>
      <c r="H187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A1873</v>
      </c>
      <c r="I187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B1873</v>
      </c>
      <c r="J1877" s="122" t="s">
        <v>3790</v>
      </c>
      <c r="K187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C1873</v>
      </c>
      <c r="L187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D1873</v>
      </c>
      <c r="M187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E1873</v>
      </c>
      <c r="N1877" s="122" t="s">
        <v>73</v>
      </c>
      <c r="O1877" s="126" t="n">
        <v>3500000</v>
      </c>
      <c r="P1877" s="121" t="s">
        <v>18</v>
      </c>
      <c r="Q1877" s="121" t="s">
        <v>124</v>
      </c>
      <c r="R1877" s="127"/>
      <c r="T1877" s="118"/>
    </row>
    <row r="1878" customFormat="false" ht="12.75" hidden="false" customHeight="true" outlineLevel="0" collapsed="false">
      <c r="B1878" s="119" t="n">
        <f aca="false">ROW()-4</f>
        <v>1874</v>
      </c>
      <c r="C1878" s="120" t="n">
        <f aca="false">COUNTIFS($D$5:D1878,D1878)</f>
        <v>915</v>
      </c>
      <c r="D1878" s="121" t="s">
        <v>2006</v>
      </c>
      <c r="E1878" s="122" t="s">
        <v>3791</v>
      </c>
      <c r="F1878" s="123" t="n">
        <v>45957</v>
      </c>
      <c r="G1878" s="121" t="s">
        <v>28</v>
      </c>
      <c r="H187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A1874</v>
      </c>
      <c r="I187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B1874</v>
      </c>
      <c r="J1878" s="122" t="s">
        <v>3792</v>
      </c>
      <c r="K187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C1874</v>
      </c>
      <c r="L187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D1874</v>
      </c>
      <c r="M187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E1874</v>
      </c>
      <c r="N1878" s="122" t="s">
        <v>73</v>
      </c>
      <c r="O1878" s="126" t="n">
        <v>3500000</v>
      </c>
      <c r="P1878" s="121" t="s">
        <v>18</v>
      </c>
      <c r="Q1878" s="121" t="s">
        <v>124</v>
      </c>
      <c r="R1878" s="127"/>
      <c r="T1878" s="118"/>
    </row>
    <row r="1879" customFormat="false" ht="12.75" hidden="false" customHeight="true" outlineLevel="0" collapsed="false">
      <c r="B1879" s="119" t="n">
        <f aca="false">ROW()-4</f>
        <v>1875</v>
      </c>
      <c r="C1879" s="120" t="n">
        <f aca="false">COUNTIFS($D$5:D1879,D1879)</f>
        <v>916</v>
      </c>
      <c r="D1879" s="121" t="s">
        <v>2006</v>
      </c>
      <c r="E1879" s="122" t="s">
        <v>3793</v>
      </c>
      <c r="F1879" s="123" t="n">
        <v>45950</v>
      </c>
      <c r="G1879" s="121" t="s">
        <v>30</v>
      </c>
      <c r="H187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A1875</v>
      </c>
      <c r="I187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B1875</v>
      </c>
      <c r="J1879" s="122" t="s">
        <v>3794</v>
      </c>
      <c r="K187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C1875</v>
      </c>
      <c r="L187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D1875</v>
      </c>
      <c r="M187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E1875</v>
      </c>
      <c r="N1879" s="122" t="s">
        <v>73</v>
      </c>
      <c r="O1879" s="126" t="n">
        <v>3500000</v>
      </c>
      <c r="P1879" s="121" t="s">
        <v>18</v>
      </c>
      <c r="Q1879" s="121" t="s">
        <v>124</v>
      </c>
      <c r="R1879" s="127"/>
      <c r="T1879" s="118"/>
    </row>
    <row r="1880" customFormat="false" ht="12.75" hidden="false" customHeight="true" outlineLevel="0" collapsed="false">
      <c r="B1880" s="119" t="n">
        <f aca="false">ROW()-4</f>
        <v>1876</v>
      </c>
      <c r="C1880" s="120" t="n">
        <f aca="false">COUNTIFS($D$5:D1880,D1880)</f>
        <v>917</v>
      </c>
      <c r="D1880" s="121" t="s">
        <v>2006</v>
      </c>
      <c r="E1880" s="122" t="s">
        <v>3795</v>
      </c>
      <c r="F1880" s="123" t="n">
        <v>45950</v>
      </c>
      <c r="G1880" s="121" t="s">
        <v>30</v>
      </c>
      <c r="H188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A1876</v>
      </c>
      <c r="I188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B1876</v>
      </c>
      <c r="J1880" s="122" t="s">
        <v>3796</v>
      </c>
      <c r="K188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C1876</v>
      </c>
      <c r="L188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D1876</v>
      </c>
      <c r="M188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E1876</v>
      </c>
      <c r="N1880" s="122" t="s">
        <v>73</v>
      </c>
      <c r="O1880" s="126" t="n">
        <v>3500000</v>
      </c>
      <c r="P1880" s="121" t="s">
        <v>18</v>
      </c>
      <c r="Q1880" s="121" t="s">
        <v>124</v>
      </c>
      <c r="R1880" s="127"/>
      <c r="T1880" s="118"/>
    </row>
    <row r="1881" customFormat="false" ht="12.75" hidden="false" customHeight="true" outlineLevel="0" collapsed="false">
      <c r="B1881" s="119" t="n">
        <f aca="false">ROW()-4</f>
        <v>1877</v>
      </c>
      <c r="C1881" s="120" t="n">
        <f aca="false">COUNTIFS($D$5:D1881,D1881)</f>
        <v>918</v>
      </c>
      <c r="D1881" s="121" t="s">
        <v>2006</v>
      </c>
      <c r="E1881" s="122" t="s">
        <v>3797</v>
      </c>
      <c r="F1881" s="123" t="n">
        <v>45954</v>
      </c>
      <c r="G1881" s="121" t="s">
        <v>28</v>
      </c>
      <c r="H188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A1877</v>
      </c>
      <c r="I188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B1877</v>
      </c>
      <c r="J1881" s="122" t="s">
        <v>3798</v>
      </c>
      <c r="K188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C1877</v>
      </c>
      <c r="L188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D1877</v>
      </c>
      <c r="M188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E1877</v>
      </c>
      <c r="N1881" s="122" t="s">
        <v>73</v>
      </c>
      <c r="O1881" s="126" t="n">
        <v>3500000</v>
      </c>
      <c r="P1881" s="121" t="s">
        <v>18</v>
      </c>
      <c r="Q1881" s="121" t="s">
        <v>124</v>
      </c>
      <c r="R1881" s="127"/>
      <c r="T1881" s="118"/>
    </row>
    <row r="1882" customFormat="false" ht="12.75" hidden="false" customHeight="true" outlineLevel="0" collapsed="false">
      <c r="B1882" s="119" t="n">
        <f aca="false">ROW()-4</f>
        <v>1878</v>
      </c>
      <c r="C1882" s="120" t="n">
        <f aca="false">COUNTIFS($D$5:D1882,D1882)</f>
        <v>919</v>
      </c>
      <c r="D1882" s="121" t="s">
        <v>2006</v>
      </c>
      <c r="E1882" s="122" t="s">
        <v>3799</v>
      </c>
      <c r="F1882" s="123" t="n">
        <v>45953</v>
      </c>
      <c r="G1882" s="121" t="s">
        <v>28</v>
      </c>
      <c r="H188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A1878</v>
      </c>
      <c r="I188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B1878</v>
      </c>
      <c r="J1882" s="122" t="s">
        <v>3800</v>
      </c>
      <c r="K188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C1878</v>
      </c>
      <c r="L188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D1878</v>
      </c>
      <c r="M188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E1878</v>
      </c>
      <c r="N1882" s="122" t="s">
        <v>73</v>
      </c>
      <c r="O1882" s="126" t="n">
        <v>3500000</v>
      </c>
      <c r="P1882" s="121" t="s">
        <v>18</v>
      </c>
      <c r="Q1882" s="121" t="s">
        <v>124</v>
      </c>
      <c r="R1882" s="127"/>
      <c r="T1882" s="118"/>
    </row>
    <row r="1883" customFormat="false" ht="12.75" hidden="false" customHeight="true" outlineLevel="0" collapsed="false">
      <c r="B1883" s="119" t="n">
        <f aca="false">ROW()-4</f>
        <v>1879</v>
      </c>
      <c r="C1883" s="120" t="n">
        <f aca="false">COUNTIFS($D$5:D1883,D1883)</f>
        <v>920</v>
      </c>
      <c r="D1883" s="121" t="s">
        <v>2006</v>
      </c>
      <c r="E1883" s="122" t="s">
        <v>3801</v>
      </c>
      <c r="F1883" s="123" t="n">
        <v>46055</v>
      </c>
      <c r="G1883" s="121" t="s">
        <v>22</v>
      </c>
      <c r="H188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A1879</v>
      </c>
      <c r="I188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B1879</v>
      </c>
      <c r="J1883" s="122" t="s">
        <v>3802</v>
      </c>
      <c r="K188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C1879</v>
      </c>
      <c r="L188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D1879</v>
      </c>
      <c r="M188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E1879</v>
      </c>
      <c r="N1883" s="122" t="s">
        <v>73</v>
      </c>
      <c r="O1883" s="126" t="n">
        <v>3500000</v>
      </c>
      <c r="P1883" s="121" t="s">
        <v>18</v>
      </c>
      <c r="Q1883" s="121" t="s">
        <v>124</v>
      </c>
      <c r="R1883" s="127"/>
      <c r="T1883" s="118"/>
    </row>
    <row r="1884" customFormat="false" ht="12.75" hidden="false" customHeight="true" outlineLevel="0" collapsed="false">
      <c r="B1884" s="119" t="n">
        <f aca="false">ROW()-4</f>
        <v>1880</v>
      </c>
      <c r="C1884" s="120" t="n">
        <f aca="false">COUNTIFS($D$5:D1884,D1884)</f>
        <v>921</v>
      </c>
      <c r="D1884" s="121" t="s">
        <v>2006</v>
      </c>
      <c r="E1884" s="122" t="s">
        <v>3803</v>
      </c>
      <c r="F1884" s="123" t="n">
        <v>45958</v>
      </c>
      <c r="G1884" s="121" t="s">
        <v>28</v>
      </c>
      <c r="H188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A1880</v>
      </c>
      <c r="I188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B1880</v>
      </c>
      <c r="J1884" s="122" t="s">
        <v>3804</v>
      </c>
      <c r="K188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C1880</v>
      </c>
      <c r="L188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D1880</v>
      </c>
      <c r="M188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E1880</v>
      </c>
      <c r="N1884" s="122" t="s">
        <v>73</v>
      </c>
      <c r="O1884" s="126" t="n">
        <v>3500000</v>
      </c>
      <c r="P1884" s="121" t="s">
        <v>18</v>
      </c>
      <c r="Q1884" s="121" t="s">
        <v>124</v>
      </c>
      <c r="R1884" s="127"/>
      <c r="T1884" s="118"/>
    </row>
    <row r="1885" s="118" customFormat="true" ht="12.75" hidden="false" customHeight="true" outlineLevel="0" collapsed="false">
      <c r="A1885" s="98"/>
      <c r="B1885" s="119" t="n">
        <f aca="false">ROW()-4</f>
        <v>1881</v>
      </c>
      <c r="C1885" s="120" t="n">
        <f aca="false">COUNTIFS($D$5:D1885,D1885)</f>
        <v>922</v>
      </c>
      <c r="D1885" s="121" t="s">
        <v>2006</v>
      </c>
      <c r="E1885" s="122" t="s">
        <v>3805</v>
      </c>
      <c r="F1885" s="123" t="n">
        <v>45945</v>
      </c>
      <c r="G1885" s="121" t="s">
        <v>22</v>
      </c>
      <c r="H188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A1881</v>
      </c>
      <c r="I188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B1881</v>
      </c>
      <c r="J1885" s="122" t="s">
        <v>3806</v>
      </c>
      <c r="K188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C1881</v>
      </c>
      <c r="L188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D1881</v>
      </c>
      <c r="M188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E1881</v>
      </c>
      <c r="N1885" s="122" t="s">
        <v>73</v>
      </c>
      <c r="O1885" s="126" t="n">
        <v>3500000</v>
      </c>
      <c r="P1885" s="121" t="s">
        <v>18</v>
      </c>
      <c r="Q1885" s="121" t="s">
        <v>124</v>
      </c>
      <c r="R1885" s="127"/>
    </row>
    <row r="1886" s="118" customFormat="true" ht="12.75" hidden="false" customHeight="true" outlineLevel="0" collapsed="false">
      <c r="A1886" s="98"/>
      <c r="B1886" s="119" t="n">
        <f aca="false">ROW()-4</f>
        <v>1882</v>
      </c>
      <c r="C1886" s="120" t="n">
        <f aca="false">COUNTIFS($D$5:D1886,D1886)</f>
        <v>923</v>
      </c>
      <c r="D1886" s="121" t="s">
        <v>2006</v>
      </c>
      <c r="E1886" s="122" t="s">
        <v>3807</v>
      </c>
      <c r="F1886" s="123" t="n">
        <v>45945</v>
      </c>
      <c r="G1886" s="121" t="s">
        <v>22</v>
      </c>
      <c r="H188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A1882</v>
      </c>
      <c r="I188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B1882</v>
      </c>
      <c r="J1886" s="122" t="s">
        <v>3808</v>
      </c>
      <c r="K188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C1882</v>
      </c>
      <c r="L188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D1882</v>
      </c>
      <c r="M188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E1882</v>
      </c>
      <c r="N1886" s="122" t="s">
        <v>73</v>
      </c>
      <c r="O1886" s="126" t="n">
        <v>3500000</v>
      </c>
      <c r="P1886" s="121" t="s">
        <v>18</v>
      </c>
      <c r="Q1886" s="121" t="s">
        <v>124</v>
      </c>
      <c r="R1886" s="127"/>
    </row>
    <row r="1887" customFormat="false" ht="12.75" hidden="false" customHeight="true" outlineLevel="0" collapsed="false">
      <c r="B1887" s="119" t="n">
        <f aca="false">ROW()-4</f>
        <v>1883</v>
      </c>
      <c r="C1887" s="120" t="n">
        <f aca="false">COUNTIFS($D$5:D1887,D1887)</f>
        <v>924</v>
      </c>
      <c r="D1887" s="121" t="s">
        <v>2006</v>
      </c>
      <c r="E1887" s="122" t="s">
        <v>3809</v>
      </c>
      <c r="F1887" s="123" t="n">
        <v>45959</v>
      </c>
      <c r="G1887" s="121" t="s">
        <v>28</v>
      </c>
      <c r="H188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A1883</v>
      </c>
      <c r="I188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B1883</v>
      </c>
      <c r="J1887" s="122" t="s">
        <v>3810</v>
      </c>
      <c r="K188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C1883</v>
      </c>
      <c r="L188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D1883</v>
      </c>
      <c r="M188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E1883</v>
      </c>
      <c r="N1887" s="122" t="s">
        <v>73</v>
      </c>
      <c r="O1887" s="126" t="n">
        <v>3500000</v>
      </c>
      <c r="P1887" s="121" t="s">
        <v>18</v>
      </c>
      <c r="Q1887" s="121" t="s">
        <v>124</v>
      </c>
      <c r="R1887" s="127"/>
      <c r="T1887" s="118"/>
    </row>
    <row r="1888" customFormat="false" ht="12.75" hidden="false" customHeight="true" outlineLevel="0" collapsed="false">
      <c r="B1888" s="119" t="n">
        <f aca="false">ROW()-4</f>
        <v>1884</v>
      </c>
      <c r="C1888" s="120" t="n">
        <f aca="false">COUNTIFS($D$5:D1888,D1888)</f>
        <v>925</v>
      </c>
      <c r="D1888" s="121" t="s">
        <v>2006</v>
      </c>
      <c r="E1888" s="122" t="s">
        <v>3811</v>
      </c>
      <c r="F1888" s="123" t="n">
        <v>45965</v>
      </c>
      <c r="G1888" s="121" t="s">
        <v>28</v>
      </c>
      <c r="H188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A1884</v>
      </c>
      <c r="I188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B1884</v>
      </c>
      <c r="J1888" s="122" t="s">
        <v>3812</v>
      </c>
      <c r="K188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C1884</v>
      </c>
      <c r="L188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D1884</v>
      </c>
      <c r="M188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E1884</v>
      </c>
      <c r="N1888" s="122" t="s">
        <v>73</v>
      </c>
      <c r="O1888" s="126" t="n">
        <v>3500000</v>
      </c>
      <c r="P1888" s="121" t="s">
        <v>18</v>
      </c>
      <c r="Q1888" s="121" t="s">
        <v>124</v>
      </c>
      <c r="R1888" s="127"/>
      <c r="T1888" s="118"/>
    </row>
    <row r="1889" customFormat="false" ht="12.75" hidden="false" customHeight="true" outlineLevel="0" collapsed="false">
      <c r="B1889" s="119" t="n">
        <f aca="false">ROW()-4</f>
        <v>1885</v>
      </c>
      <c r="C1889" s="120" t="n">
        <f aca="false">COUNTIFS($D$5:D1889,D1889)</f>
        <v>926</v>
      </c>
      <c r="D1889" s="121" t="s">
        <v>2006</v>
      </c>
      <c r="E1889" s="122" t="s">
        <v>3813</v>
      </c>
      <c r="F1889" s="123" t="n">
        <v>45966</v>
      </c>
      <c r="G1889" s="121" t="s">
        <v>24</v>
      </c>
      <c r="H188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A1885</v>
      </c>
      <c r="I188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B1885</v>
      </c>
      <c r="J1889" s="122" t="s">
        <v>3814</v>
      </c>
      <c r="K188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C1885</v>
      </c>
      <c r="L188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D1885</v>
      </c>
      <c r="M188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E1885</v>
      </c>
      <c r="N1889" s="122" t="s">
        <v>73</v>
      </c>
      <c r="O1889" s="126" t="n">
        <v>3500000</v>
      </c>
      <c r="P1889" s="121" t="s">
        <v>18</v>
      </c>
      <c r="Q1889" s="121" t="s">
        <v>124</v>
      </c>
      <c r="R1889" s="127"/>
      <c r="T1889" s="118"/>
    </row>
    <row r="1890" customFormat="false" ht="12.75" hidden="false" customHeight="true" outlineLevel="0" collapsed="false">
      <c r="B1890" s="119" t="n">
        <f aca="false">ROW()-4</f>
        <v>1886</v>
      </c>
      <c r="C1890" s="120" t="n">
        <f aca="false">COUNTIFS($D$5:D1890,D1890)</f>
        <v>927</v>
      </c>
      <c r="D1890" s="121" t="s">
        <v>2006</v>
      </c>
      <c r="E1890" s="122" t="s">
        <v>3815</v>
      </c>
      <c r="F1890" s="123" t="n">
        <v>45958</v>
      </c>
      <c r="G1890" s="121" t="s">
        <v>24</v>
      </c>
      <c r="H189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A1886</v>
      </c>
      <c r="I189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B1886</v>
      </c>
      <c r="J1890" s="122" t="s">
        <v>3816</v>
      </c>
      <c r="K189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C1886</v>
      </c>
      <c r="L189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D1886</v>
      </c>
      <c r="M189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E1886</v>
      </c>
      <c r="N1890" s="122" t="s">
        <v>73</v>
      </c>
      <c r="O1890" s="126" t="n">
        <v>3500000</v>
      </c>
      <c r="P1890" s="121" t="s">
        <v>18</v>
      </c>
      <c r="Q1890" s="121" t="s">
        <v>124</v>
      </c>
      <c r="R1890" s="127"/>
      <c r="T1890" s="118"/>
    </row>
    <row r="1891" customFormat="false" ht="12.75" hidden="false" customHeight="true" outlineLevel="0" collapsed="false">
      <c r="B1891" s="119" t="n">
        <f aca="false">ROW()-4</f>
        <v>1887</v>
      </c>
      <c r="C1891" s="120" t="n">
        <f aca="false">COUNTIFS($D$5:D1891,D1891)</f>
        <v>928</v>
      </c>
      <c r="D1891" s="121" t="s">
        <v>2006</v>
      </c>
      <c r="E1891" s="122" t="s">
        <v>3817</v>
      </c>
      <c r="F1891" s="123" t="n">
        <v>45971</v>
      </c>
      <c r="G1891" s="121" t="s">
        <v>24</v>
      </c>
      <c r="H189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A1887</v>
      </c>
      <c r="I189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B1887</v>
      </c>
      <c r="J1891" s="122" t="s">
        <v>3818</v>
      </c>
      <c r="K189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C1887</v>
      </c>
      <c r="L189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D1887</v>
      </c>
      <c r="M189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E1887</v>
      </c>
      <c r="N1891" s="122" t="s">
        <v>73</v>
      </c>
      <c r="O1891" s="126" t="n">
        <v>3500000</v>
      </c>
      <c r="P1891" s="121" t="s">
        <v>18</v>
      </c>
      <c r="Q1891" s="121" t="s">
        <v>124</v>
      </c>
      <c r="R1891" s="127"/>
      <c r="T1891" s="118"/>
    </row>
    <row r="1892" s="118" customFormat="true" ht="12.75" hidden="false" customHeight="true" outlineLevel="0" collapsed="false">
      <c r="A1892" s="98"/>
      <c r="B1892" s="119" t="n">
        <f aca="false">ROW()-4</f>
        <v>1888</v>
      </c>
      <c r="C1892" s="120" t="n">
        <f aca="false">COUNTIFS($D$5:D1892,D1892)</f>
        <v>929</v>
      </c>
      <c r="D1892" s="121" t="s">
        <v>2006</v>
      </c>
      <c r="E1892" s="122" t="s">
        <v>3819</v>
      </c>
      <c r="F1892" s="123" t="n">
        <v>45975</v>
      </c>
      <c r="G1892" s="121" t="s">
        <v>26</v>
      </c>
      <c r="H189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A1888</v>
      </c>
      <c r="I189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B1888</v>
      </c>
      <c r="J1892" s="122" t="s">
        <v>3820</v>
      </c>
      <c r="K189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C1888</v>
      </c>
      <c r="L189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D1888</v>
      </c>
      <c r="M189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E1888</v>
      </c>
      <c r="N1892" s="122" t="s">
        <v>73</v>
      </c>
      <c r="O1892" s="126" t="n">
        <v>3500000</v>
      </c>
      <c r="P1892" s="121" t="s">
        <v>18</v>
      </c>
      <c r="Q1892" s="121" t="s">
        <v>124</v>
      </c>
      <c r="R1892" s="127"/>
    </row>
    <row r="1893" s="118" customFormat="true" ht="12.75" hidden="false" customHeight="true" outlineLevel="0" collapsed="false">
      <c r="A1893" s="98"/>
      <c r="B1893" s="119" t="n">
        <f aca="false">ROW()-4</f>
        <v>1889</v>
      </c>
      <c r="C1893" s="120" t="n">
        <f aca="false">COUNTIFS($D$5:D1893,D1893)</f>
        <v>930</v>
      </c>
      <c r="D1893" s="121" t="s">
        <v>2006</v>
      </c>
      <c r="E1893" s="122" t="s">
        <v>3821</v>
      </c>
      <c r="F1893" s="123" t="n">
        <v>45972</v>
      </c>
      <c r="G1893" s="121" t="s">
        <v>28</v>
      </c>
      <c r="H189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A1889</v>
      </c>
      <c r="I189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B1889</v>
      </c>
      <c r="J1893" s="122" t="s">
        <v>3822</v>
      </c>
      <c r="K189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C1889</v>
      </c>
      <c r="L189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D1889</v>
      </c>
      <c r="M189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E1889</v>
      </c>
      <c r="N1893" s="122" t="s">
        <v>73</v>
      </c>
      <c r="O1893" s="126" t="n">
        <v>3500000</v>
      </c>
      <c r="P1893" s="121" t="s">
        <v>18</v>
      </c>
      <c r="Q1893" s="121" t="s">
        <v>124</v>
      </c>
      <c r="R1893" s="127"/>
    </row>
    <row r="1894" s="118" customFormat="true" ht="12.75" hidden="false" customHeight="true" outlineLevel="0" collapsed="false">
      <c r="A1894" s="98"/>
      <c r="B1894" s="119" t="n">
        <f aca="false">ROW()-4</f>
        <v>1890</v>
      </c>
      <c r="C1894" s="120" t="n">
        <f aca="false">COUNTIFS($D$5:D1894,D1894)</f>
        <v>931</v>
      </c>
      <c r="D1894" s="121" t="s">
        <v>2006</v>
      </c>
      <c r="E1894" s="122" t="s">
        <v>3823</v>
      </c>
      <c r="F1894" s="123" t="n">
        <v>45972</v>
      </c>
      <c r="G1894" s="121" t="s">
        <v>28</v>
      </c>
      <c r="H189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A1890</v>
      </c>
      <c r="I189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B1890</v>
      </c>
      <c r="J1894" s="122" t="s">
        <v>3824</v>
      </c>
      <c r="K189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C1890</v>
      </c>
      <c r="L189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D1890</v>
      </c>
      <c r="M189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E1890</v>
      </c>
      <c r="N1894" s="122" t="s">
        <v>73</v>
      </c>
      <c r="O1894" s="126" t="n">
        <v>3500000</v>
      </c>
      <c r="P1894" s="121" t="s">
        <v>18</v>
      </c>
      <c r="Q1894" s="121" t="s">
        <v>124</v>
      </c>
      <c r="R1894" s="127"/>
    </row>
    <row r="1895" s="118" customFormat="true" ht="12.75" hidden="false" customHeight="true" outlineLevel="0" collapsed="false">
      <c r="A1895" s="98"/>
      <c r="B1895" s="119" t="n">
        <f aca="false">ROW()-4</f>
        <v>1891</v>
      </c>
      <c r="C1895" s="120" t="n">
        <f aca="false">COUNTIFS($D$5:D1895,D1895)</f>
        <v>932</v>
      </c>
      <c r="D1895" s="121" t="s">
        <v>2006</v>
      </c>
      <c r="E1895" s="122" t="s">
        <v>3825</v>
      </c>
      <c r="F1895" s="123" t="n">
        <v>45972</v>
      </c>
      <c r="G1895" s="121" t="s">
        <v>22</v>
      </c>
      <c r="H189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A1891</v>
      </c>
      <c r="I189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B1891</v>
      </c>
      <c r="J1895" s="122" t="s">
        <v>3826</v>
      </c>
      <c r="K189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C1891</v>
      </c>
      <c r="L189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D1891</v>
      </c>
      <c r="M189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E1891</v>
      </c>
      <c r="N1895" s="122" t="s">
        <v>73</v>
      </c>
      <c r="O1895" s="126" t="n">
        <v>3500000</v>
      </c>
      <c r="P1895" s="121" t="s">
        <v>18</v>
      </c>
      <c r="Q1895" s="121" t="s">
        <v>124</v>
      </c>
      <c r="R1895" s="127"/>
    </row>
    <row r="1896" s="118" customFormat="true" ht="12.75" hidden="false" customHeight="true" outlineLevel="0" collapsed="false">
      <c r="A1896" s="98"/>
      <c r="B1896" s="119" t="n">
        <f aca="false">ROW()-4</f>
        <v>1892</v>
      </c>
      <c r="C1896" s="120" t="n">
        <f aca="false">COUNTIFS($D$5:D1896,D1896)</f>
        <v>933</v>
      </c>
      <c r="D1896" s="121" t="s">
        <v>2006</v>
      </c>
      <c r="E1896" s="122" t="s">
        <v>3827</v>
      </c>
      <c r="F1896" s="123" t="n">
        <v>45979</v>
      </c>
      <c r="G1896" s="121" t="s">
        <v>22</v>
      </c>
      <c r="H189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A1892</v>
      </c>
      <c r="I189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B1892</v>
      </c>
      <c r="J1896" s="122" t="s">
        <v>3828</v>
      </c>
      <c r="K189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C1892</v>
      </c>
      <c r="L189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D1892</v>
      </c>
      <c r="M189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E1892</v>
      </c>
      <c r="N1896" s="122" t="s">
        <v>73</v>
      </c>
      <c r="O1896" s="126" t="n">
        <v>3500000</v>
      </c>
      <c r="P1896" s="121" t="s">
        <v>18</v>
      </c>
      <c r="Q1896" s="121" t="s">
        <v>124</v>
      </c>
      <c r="R1896" s="127"/>
    </row>
    <row r="1897" s="118" customFormat="true" ht="12.75" hidden="false" customHeight="true" outlineLevel="0" collapsed="false">
      <c r="A1897" s="98"/>
      <c r="B1897" s="119" t="n">
        <f aca="false">ROW()-4</f>
        <v>1893</v>
      </c>
      <c r="C1897" s="120" t="n">
        <f aca="false">COUNTIFS($D$5:D1897,D1897)</f>
        <v>934</v>
      </c>
      <c r="D1897" s="121" t="s">
        <v>2006</v>
      </c>
      <c r="E1897" s="122" t="s">
        <v>3829</v>
      </c>
      <c r="F1897" s="123" t="n">
        <v>45979</v>
      </c>
      <c r="G1897" s="121" t="s">
        <v>22</v>
      </c>
      <c r="H189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A1893</v>
      </c>
      <c r="I189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B1893</v>
      </c>
      <c r="J1897" s="122" t="s">
        <v>3830</v>
      </c>
      <c r="K189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C1893</v>
      </c>
      <c r="L189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D1893</v>
      </c>
      <c r="M189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E1893</v>
      </c>
      <c r="N1897" s="122" t="s">
        <v>73</v>
      </c>
      <c r="O1897" s="126" t="n">
        <v>3500000</v>
      </c>
      <c r="P1897" s="121" t="s">
        <v>18</v>
      </c>
      <c r="Q1897" s="121" t="s">
        <v>124</v>
      </c>
      <c r="R1897" s="127"/>
    </row>
    <row r="1898" customFormat="false" ht="12.75" hidden="false" customHeight="true" outlineLevel="0" collapsed="false">
      <c r="B1898" s="119" t="n">
        <f aca="false">ROW()-4</f>
        <v>1894</v>
      </c>
      <c r="C1898" s="120" t="n">
        <f aca="false">COUNTIFS($D$5:D1898,D1898)</f>
        <v>935</v>
      </c>
      <c r="D1898" s="121" t="s">
        <v>2006</v>
      </c>
      <c r="E1898" s="122" t="s">
        <v>3831</v>
      </c>
      <c r="F1898" s="123" t="n">
        <v>45980</v>
      </c>
      <c r="G1898" s="121" t="s">
        <v>22</v>
      </c>
      <c r="H189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A1894</v>
      </c>
      <c r="I189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B1894</v>
      </c>
      <c r="J1898" s="122" t="s">
        <v>3832</v>
      </c>
      <c r="K189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C1894</v>
      </c>
      <c r="L189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D1894</v>
      </c>
      <c r="M189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E1894</v>
      </c>
      <c r="N1898" s="122" t="s">
        <v>73</v>
      </c>
      <c r="O1898" s="126" t="n">
        <v>3500000</v>
      </c>
      <c r="P1898" s="121" t="s">
        <v>18</v>
      </c>
      <c r="Q1898" s="121" t="s">
        <v>124</v>
      </c>
      <c r="R1898" s="127"/>
      <c r="T1898" s="118"/>
    </row>
    <row r="1899" customFormat="false" ht="12.75" hidden="false" customHeight="true" outlineLevel="0" collapsed="false">
      <c r="B1899" s="119" t="n">
        <f aca="false">ROW()-4</f>
        <v>1895</v>
      </c>
      <c r="C1899" s="120" t="n">
        <f aca="false">COUNTIFS($D$5:D1899,D1899)</f>
        <v>936</v>
      </c>
      <c r="D1899" s="121" t="s">
        <v>2006</v>
      </c>
      <c r="E1899" s="122" t="s">
        <v>3833</v>
      </c>
      <c r="F1899" s="123" t="n">
        <v>45980</v>
      </c>
      <c r="G1899" s="121" t="s">
        <v>22</v>
      </c>
      <c r="H189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A1895</v>
      </c>
      <c r="I189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B1895</v>
      </c>
      <c r="J1899" s="122" t="s">
        <v>3834</v>
      </c>
      <c r="K189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C1895</v>
      </c>
      <c r="L189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D1895</v>
      </c>
      <c r="M189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E1895</v>
      </c>
      <c r="N1899" s="122" t="s">
        <v>73</v>
      </c>
      <c r="O1899" s="126" t="n">
        <v>3500000</v>
      </c>
      <c r="P1899" s="121" t="s">
        <v>18</v>
      </c>
      <c r="Q1899" s="121" t="s">
        <v>124</v>
      </c>
      <c r="R1899" s="127"/>
      <c r="T1899" s="118"/>
    </row>
    <row r="1900" customFormat="false" ht="12.75" hidden="false" customHeight="true" outlineLevel="0" collapsed="false">
      <c r="B1900" s="119" t="n">
        <f aca="false">ROW()-4</f>
        <v>1896</v>
      </c>
      <c r="C1900" s="120" t="n">
        <f aca="false">COUNTIFS($D$5:D1900,D1900)</f>
        <v>937</v>
      </c>
      <c r="D1900" s="121" t="s">
        <v>2006</v>
      </c>
      <c r="E1900" s="122" t="s">
        <v>3835</v>
      </c>
      <c r="F1900" s="123" t="n">
        <v>45980</v>
      </c>
      <c r="G1900" s="121" t="s">
        <v>22</v>
      </c>
      <c r="H190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A1896</v>
      </c>
      <c r="I190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B1896</v>
      </c>
      <c r="J1900" s="122" t="s">
        <v>3836</v>
      </c>
      <c r="K190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C1896</v>
      </c>
      <c r="L190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D1896</v>
      </c>
      <c r="M190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E1896</v>
      </c>
      <c r="N1900" s="122" t="s">
        <v>73</v>
      </c>
      <c r="O1900" s="126" t="n">
        <v>3500000</v>
      </c>
      <c r="P1900" s="121" t="s">
        <v>18</v>
      </c>
      <c r="Q1900" s="121" t="s">
        <v>124</v>
      </c>
      <c r="R1900" s="127"/>
      <c r="T1900" s="118"/>
    </row>
    <row r="1901" customFormat="false" ht="12.75" hidden="false" customHeight="true" outlineLevel="0" collapsed="false">
      <c r="B1901" s="119" t="n">
        <f aca="false">ROW()-4</f>
        <v>1897</v>
      </c>
      <c r="C1901" s="120" t="n">
        <f aca="false">COUNTIFS($D$5:D1901,D1901)</f>
        <v>938</v>
      </c>
      <c r="D1901" s="121" t="s">
        <v>2006</v>
      </c>
      <c r="E1901" s="122" t="s">
        <v>3837</v>
      </c>
      <c r="F1901" s="123" t="n">
        <v>45980</v>
      </c>
      <c r="G1901" s="121" t="s">
        <v>22</v>
      </c>
      <c r="H190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A1897</v>
      </c>
      <c r="I190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B1897</v>
      </c>
      <c r="J1901" s="122" t="s">
        <v>3838</v>
      </c>
      <c r="K190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C1897</v>
      </c>
      <c r="L190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D1897</v>
      </c>
      <c r="M190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E1897</v>
      </c>
      <c r="N1901" s="122" t="s">
        <v>73</v>
      </c>
      <c r="O1901" s="126" t="n">
        <v>3500000</v>
      </c>
      <c r="P1901" s="121" t="s">
        <v>18</v>
      </c>
      <c r="Q1901" s="121" t="s">
        <v>124</v>
      </c>
      <c r="R1901" s="127"/>
      <c r="T1901" s="118"/>
    </row>
    <row r="1902" customFormat="false" ht="12.75" hidden="false" customHeight="true" outlineLevel="0" collapsed="false">
      <c r="B1902" s="119" t="n">
        <f aca="false">ROW()-4</f>
        <v>1898</v>
      </c>
      <c r="C1902" s="120" t="n">
        <f aca="false">COUNTIFS($D$5:D1902,D1902)</f>
        <v>939</v>
      </c>
      <c r="D1902" s="121" t="s">
        <v>2006</v>
      </c>
      <c r="E1902" s="122" t="s">
        <v>3839</v>
      </c>
      <c r="F1902" s="123" t="n">
        <v>45968</v>
      </c>
      <c r="G1902" s="121" t="s">
        <v>22</v>
      </c>
      <c r="H190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A1898</v>
      </c>
      <c r="I190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B1898</v>
      </c>
      <c r="J1902" s="122" t="s">
        <v>3840</v>
      </c>
      <c r="K190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C1898</v>
      </c>
      <c r="L190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D1898</v>
      </c>
      <c r="M190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E1898</v>
      </c>
      <c r="N1902" s="122" t="s">
        <v>73</v>
      </c>
      <c r="O1902" s="126" t="n">
        <v>3500000</v>
      </c>
      <c r="P1902" s="121" t="s">
        <v>18</v>
      </c>
      <c r="Q1902" s="121" t="s">
        <v>124</v>
      </c>
      <c r="R1902" s="127"/>
      <c r="T1902" s="118"/>
    </row>
    <row r="1903" customFormat="false" ht="12.75" hidden="false" customHeight="true" outlineLevel="0" collapsed="false">
      <c r="B1903" s="119" t="n">
        <f aca="false">ROW()-4</f>
        <v>1899</v>
      </c>
      <c r="C1903" s="120" t="n">
        <f aca="false">COUNTIFS($D$5:D1903,D1903)</f>
        <v>940</v>
      </c>
      <c r="D1903" s="121" t="s">
        <v>2006</v>
      </c>
      <c r="E1903" s="122" t="s">
        <v>3841</v>
      </c>
      <c r="F1903" s="123" t="n">
        <v>45981</v>
      </c>
      <c r="G1903" s="121" t="s">
        <v>24</v>
      </c>
      <c r="H190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A1899</v>
      </c>
      <c r="I190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B1899</v>
      </c>
      <c r="J1903" s="122" t="s">
        <v>3842</v>
      </c>
      <c r="K190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C1899</v>
      </c>
      <c r="L190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D1899</v>
      </c>
      <c r="M190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E1899</v>
      </c>
      <c r="N1903" s="122" t="s">
        <v>73</v>
      </c>
      <c r="O1903" s="126" t="n">
        <v>3500000</v>
      </c>
      <c r="P1903" s="121" t="s">
        <v>18</v>
      </c>
      <c r="Q1903" s="121" t="s">
        <v>124</v>
      </c>
      <c r="R1903" s="127"/>
    </row>
    <row r="1904" customFormat="false" ht="12.75" hidden="false" customHeight="true" outlineLevel="0" collapsed="false">
      <c r="B1904" s="119" t="n">
        <f aca="false">ROW()-4</f>
        <v>1900</v>
      </c>
      <c r="C1904" s="120" t="n">
        <f aca="false">COUNTIFS($D$5:D1904,D1904)</f>
        <v>941</v>
      </c>
      <c r="D1904" s="121" t="s">
        <v>2006</v>
      </c>
      <c r="E1904" s="122" t="s">
        <v>3843</v>
      </c>
      <c r="F1904" s="123" t="n">
        <v>45992</v>
      </c>
      <c r="G1904" s="121" t="s">
        <v>24</v>
      </c>
      <c r="H190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A1900</v>
      </c>
      <c r="I190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B1900</v>
      </c>
      <c r="J1904" s="122" t="s">
        <v>3844</v>
      </c>
      <c r="K190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C1900</v>
      </c>
      <c r="L190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D1900</v>
      </c>
      <c r="M190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E1900</v>
      </c>
      <c r="N1904" s="122" t="s">
        <v>73</v>
      </c>
      <c r="O1904" s="126" t="n">
        <v>3500000</v>
      </c>
      <c r="P1904" s="121" t="s">
        <v>18</v>
      </c>
      <c r="Q1904" s="121" t="s">
        <v>124</v>
      </c>
      <c r="R1904" s="127"/>
    </row>
    <row r="1905" customFormat="false" ht="12.75" hidden="false" customHeight="true" outlineLevel="0" collapsed="false">
      <c r="B1905" s="119" t="n">
        <f aca="false">ROW()-4</f>
        <v>1901</v>
      </c>
      <c r="C1905" s="120" t="n">
        <f aca="false">COUNTIFS($D$5:D1905,D1905)</f>
        <v>942</v>
      </c>
      <c r="D1905" s="121" t="s">
        <v>2006</v>
      </c>
      <c r="E1905" s="122" t="s">
        <v>3845</v>
      </c>
      <c r="F1905" s="123" t="n">
        <v>45989</v>
      </c>
      <c r="G1905" s="121" t="s">
        <v>26</v>
      </c>
      <c r="H190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A1901</v>
      </c>
      <c r="I190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B1901</v>
      </c>
      <c r="J1905" s="122" t="s">
        <v>3846</v>
      </c>
      <c r="K190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C1901</v>
      </c>
      <c r="L190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D1901</v>
      </c>
      <c r="M190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E1901</v>
      </c>
      <c r="N1905" s="122" t="s">
        <v>73</v>
      </c>
      <c r="O1905" s="126" t="n">
        <v>3500000</v>
      </c>
      <c r="P1905" s="121" t="s">
        <v>18</v>
      </c>
      <c r="Q1905" s="121" t="s">
        <v>124</v>
      </c>
      <c r="R1905" s="127"/>
    </row>
    <row r="1906" customFormat="false" ht="12.75" hidden="false" customHeight="true" outlineLevel="0" collapsed="false">
      <c r="B1906" s="119" t="n">
        <f aca="false">ROW()-4</f>
        <v>1902</v>
      </c>
      <c r="C1906" s="120" t="n">
        <f aca="false">COUNTIFS($D$5:D1906,D1906)</f>
        <v>943</v>
      </c>
      <c r="D1906" s="121" t="s">
        <v>2006</v>
      </c>
      <c r="E1906" s="122" t="s">
        <v>3847</v>
      </c>
      <c r="F1906" s="123" t="n">
        <v>45992</v>
      </c>
      <c r="G1906" s="121" t="s">
        <v>28</v>
      </c>
      <c r="H190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A1902</v>
      </c>
      <c r="I190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B1902</v>
      </c>
      <c r="J1906" s="122" t="s">
        <v>3848</v>
      </c>
      <c r="K190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C1902</v>
      </c>
      <c r="L190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D1902</v>
      </c>
      <c r="M190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E1902</v>
      </c>
      <c r="N1906" s="122" t="s">
        <v>73</v>
      </c>
      <c r="O1906" s="126" t="n">
        <v>3500000</v>
      </c>
      <c r="P1906" s="121" t="s">
        <v>18</v>
      </c>
      <c r="Q1906" s="121" t="s">
        <v>124</v>
      </c>
      <c r="R1906" s="127"/>
    </row>
    <row r="1907" s="118" customFormat="true" ht="12.75" hidden="false" customHeight="true" outlineLevel="0" collapsed="false">
      <c r="A1907" s="98"/>
      <c r="B1907" s="119" t="n">
        <f aca="false">ROW()-4</f>
        <v>1903</v>
      </c>
      <c r="C1907" s="120" t="n">
        <f aca="false">COUNTIFS($D$5:D1907,D1907)</f>
        <v>944</v>
      </c>
      <c r="D1907" s="121" t="s">
        <v>2006</v>
      </c>
      <c r="E1907" s="122" t="s">
        <v>3849</v>
      </c>
      <c r="F1907" s="123" t="n">
        <v>45986</v>
      </c>
      <c r="G1907" s="121" t="s">
        <v>28</v>
      </c>
      <c r="H190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A1903</v>
      </c>
      <c r="I190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B1903</v>
      </c>
      <c r="J1907" s="122" t="s">
        <v>3850</v>
      </c>
      <c r="K190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C1903</v>
      </c>
      <c r="L190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D1903</v>
      </c>
      <c r="M190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E1903</v>
      </c>
      <c r="N1907" s="122" t="s">
        <v>73</v>
      </c>
      <c r="O1907" s="126" t="n">
        <v>3500000</v>
      </c>
      <c r="P1907" s="121" t="s">
        <v>18</v>
      </c>
      <c r="Q1907" s="121" t="s">
        <v>124</v>
      </c>
      <c r="R1907" s="127"/>
    </row>
    <row r="1908" s="118" customFormat="true" ht="12.75" hidden="false" customHeight="true" outlineLevel="0" collapsed="false">
      <c r="A1908" s="98"/>
      <c r="B1908" s="119" t="n">
        <f aca="false">ROW()-4</f>
        <v>1904</v>
      </c>
      <c r="C1908" s="120" t="n">
        <f aca="false">COUNTIFS($D$5:D1908,D1908)</f>
        <v>945</v>
      </c>
      <c r="D1908" s="121" t="s">
        <v>2006</v>
      </c>
      <c r="E1908" s="122" t="s">
        <v>3851</v>
      </c>
      <c r="F1908" s="123" t="n">
        <v>46044</v>
      </c>
      <c r="G1908" s="121" t="s">
        <v>26</v>
      </c>
      <c r="H190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A1904</v>
      </c>
      <c r="I190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B1904</v>
      </c>
      <c r="J1908" s="122" t="s">
        <v>3852</v>
      </c>
      <c r="K190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C1904</v>
      </c>
      <c r="L190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D1904</v>
      </c>
      <c r="M190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E1904</v>
      </c>
      <c r="N1908" s="122" t="s">
        <v>73</v>
      </c>
      <c r="O1908" s="126" t="n">
        <v>3500000</v>
      </c>
      <c r="P1908" s="121" t="s">
        <v>18</v>
      </c>
      <c r="Q1908" s="121" t="s">
        <v>124</v>
      </c>
      <c r="R1908" s="127"/>
    </row>
    <row r="1909" s="118" customFormat="true" ht="12.75" hidden="false" customHeight="true" outlineLevel="0" collapsed="false">
      <c r="A1909" s="98"/>
      <c r="B1909" s="119" t="n">
        <f aca="false">ROW()-4</f>
        <v>1905</v>
      </c>
      <c r="C1909" s="120" t="n">
        <f aca="false">COUNTIFS($D$5:D1909,D1909)</f>
        <v>946</v>
      </c>
      <c r="D1909" s="121" t="s">
        <v>2006</v>
      </c>
      <c r="E1909" s="122" t="s">
        <v>3853</v>
      </c>
      <c r="F1909" s="123" t="n">
        <v>46044</v>
      </c>
      <c r="G1909" s="121" t="s">
        <v>26</v>
      </c>
      <c r="H190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A1905</v>
      </c>
      <c r="I190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B1905</v>
      </c>
      <c r="J1909" s="122" t="s">
        <v>3854</v>
      </c>
      <c r="K190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C1905</v>
      </c>
      <c r="L190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D1905</v>
      </c>
      <c r="M190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E1905</v>
      </c>
      <c r="N1909" s="122" t="s">
        <v>73</v>
      </c>
      <c r="O1909" s="126" t="n">
        <v>3500000</v>
      </c>
      <c r="P1909" s="121" t="s">
        <v>18</v>
      </c>
      <c r="Q1909" s="121" t="s">
        <v>124</v>
      </c>
      <c r="R1909" s="127"/>
    </row>
    <row r="1910" s="118" customFormat="true" ht="12.75" hidden="false" customHeight="true" outlineLevel="0" collapsed="false">
      <c r="A1910" s="98"/>
      <c r="B1910" s="119" t="n">
        <f aca="false">ROW()-4</f>
        <v>1906</v>
      </c>
      <c r="C1910" s="120" t="n">
        <f aca="false">COUNTIFS($D$5:D1910,D1910)</f>
        <v>947</v>
      </c>
      <c r="D1910" s="121" t="s">
        <v>2006</v>
      </c>
      <c r="E1910" s="122" t="s">
        <v>3855</v>
      </c>
      <c r="F1910" s="123" t="n">
        <v>46044</v>
      </c>
      <c r="G1910" s="121" t="s">
        <v>26</v>
      </c>
      <c r="H191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A1906</v>
      </c>
      <c r="I191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B1906</v>
      </c>
      <c r="J1910" s="122" t="s">
        <v>3856</v>
      </c>
      <c r="K191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C1906</v>
      </c>
      <c r="L191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D1906</v>
      </c>
      <c r="M191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E1906</v>
      </c>
      <c r="N1910" s="122" t="s">
        <v>73</v>
      </c>
      <c r="O1910" s="126" t="n">
        <v>3500000</v>
      </c>
      <c r="P1910" s="121" t="s">
        <v>18</v>
      </c>
      <c r="Q1910" s="121" t="s">
        <v>124</v>
      </c>
      <c r="R1910" s="127"/>
    </row>
    <row r="1911" s="118" customFormat="true" ht="12.75" hidden="false" customHeight="true" outlineLevel="0" collapsed="false">
      <c r="A1911" s="98"/>
      <c r="B1911" s="119" t="n">
        <f aca="false">ROW()-4</f>
        <v>1907</v>
      </c>
      <c r="C1911" s="120" t="n">
        <f aca="false">COUNTIFS($D$5:D1911,D1911)</f>
        <v>948</v>
      </c>
      <c r="D1911" s="121" t="s">
        <v>2006</v>
      </c>
      <c r="E1911" s="122" t="s">
        <v>3857</v>
      </c>
      <c r="F1911" s="123" t="n">
        <v>46062</v>
      </c>
      <c r="G1911" s="121" t="s">
        <v>26</v>
      </c>
      <c r="H191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A1907</v>
      </c>
      <c r="I191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B1907</v>
      </c>
      <c r="J1911" s="122" t="s">
        <v>3858</v>
      </c>
      <c r="K191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C1907</v>
      </c>
      <c r="L191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D1907</v>
      </c>
      <c r="M191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E1907</v>
      </c>
      <c r="N1911" s="122" t="s">
        <v>73</v>
      </c>
      <c r="O1911" s="126" t="n">
        <v>3500000</v>
      </c>
      <c r="P1911" s="121" t="s">
        <v>18</v>
      </c>
      <c r="Q1911" s="121" t="s">
        <v>124</v>
      </c>
      <c r="R1911" s="127"/>
    </row>
    <row r="1912" s="118" customFormat="true" ht="12.75" hidden="false" customHeight="true" outlineLevel="0" collapsed="false">
      <c r="A1912" s="98"/>
      <c r="B1912" s="119" t="n">
        <f aca="false">ROW()-4</f>
        <v>1908</v>
      </c>
      <c r="C1912" s="120" t="n">
        <f aca="false">COUNTIFS($D$5:D1912,D1912)</f>
        <v>949</v>
      </c>
      <c r="D1912" s="121" t="s">
        <v>2006</v>
      </c>
      <c r="E1912" s="122" t="s">
        <v>3859</v>
      </c>
      <c r="F1912" s="123" t="n">
        <v>45989</v>
      </c>
      <c r="G1912" s="121" t="s">
        <v>22</v>
      </c>
      <c r="H191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A1908</v>
      </c>
      <c r="I191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B1908</v>
      </c>
      <c r="J1912" s="122" t="s">
        <v>3860</v>
      </c>
      <c r="K191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C1908</v>
      </c>
      <c r="L191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D1908</v>
      </c>
      <c r="M191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E1908</v>
      </c>
      <c r="N1912" s="122" t="s">
        <v>73</v>
      </c>
      <c r="O1912" s="126" t="n">
        <v>3500000</v>
      </c>
      <c r="P1912" s="121" t="s">
        <v>18</v>
      </c>
      <c r="Q1912" s="121" t="s">
        <v>124</v>
      </c>
      <c r="R1912" s="127"/>
    </row>
    <row r="1913" s="118" customFormat="true" ht="12.75" hidden="false" customHeight="true" outlineLevel="0" collapsed="false">
      <c r="A1913" s="98"/>
      <c r="B1913" s="119" t="n">
        <f aca="false">ROW()-4</f>
        <v>1909</v>
      </c>
      <c r="C1913" s="120" t="n">
        <f aca="false">COUNTIFS($D$5:D1913,D1913)</f>
        <v>950</v>
      </c>
      <c r="D1913" s="121" t="s">
        <v>2006</v>
      </c>
      <c r="E1913" s="122" t="s">
        <v>3861</v>
      </c>
      <c r="F1913" s="123" t="n">
        <v>45989</v>
      </c>
      <c r="G1913" s="121" t="s">
        <v>22</v>
      </c>
      <c r="H191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A1909</v>
      </c>
      <c r="I191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B1909</v>
      </c>
      <c r="J1913" s="122" t="s">
        <v>3862</v>
      </c>
      <c r="K191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C1909</v>
      </c>
      <c r="L191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D1909</v>
      </c>
      <c r="M191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E1909</v>
      </c>
      <c r="N1913" s="122" t="s">
        <v>73</v>
      </c>
      <c r="O1913" s="126" t="n">
        <v>3500000</v>
      </c>
      <c r="P1913" s="121" t="s">
        <v>18</v>
      </c>
      <c r="Q1913" s="121" t="s">
        <v>124</v>
      </c>
      <c r="R1913" s="127"/>
    </row>
    <row r="1914" s="118" customFormat="true" ht="12.75" hidden="false" customHeight="true" outlineLevel="0" collapsed="false">
      <c r="A1914" s="98"/>
      <c r="B1914" s="119" t="n">
        <f aca="false">ROW()-4</f>
        <v>1910</v>
      </c>
      <c r="C1914" s="120" t="n">
        <f aca="false">COUNTIFS($D$5:D1914,D1914)</f>
        <v>951</v>
      </c>
      <c r="D1914" s="121" t="s">
        <v>2006</v>
      </c>
      <c r="E1914" s="122" t="s">
        <v>3863</v>
      </c>
      <c r="F1914" s="123" t="n">
        <v>45992</v>
      </c>
      <c r="G1914" s="121" t="s">
        <v>22</v>
      </c>
      <c r="H191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A1910</v>
      </c>
      <c r="I191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B1910</v>
      </c>
      <c r="J1914" s="122" t="s">
        <v>3864</v>
      </c>
      <c r="K191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C1910</v>
      </c>
      <c r="L191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D1910</v>
      </c>
      <c r="M191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E1910</v>
      </c>
      <c r="N1914" s="122" t="s">
        <v>73</v>
      </c>
      <c r="O1914" s="126" t="n">
        <v>3500000</v>
      </c>
      <c r="P1914" s="121" t="s">
        <v>18</v>
      </c>
      <c r="Q1914" s="121" t="s">
        <v>124</v>
      </c>
      <c r="R1914" s="127"/>
    </row>
    <row r="1915" s="118" customFormat="true" ht="12.75" hidden="false" customHeight="true" outlineLevel="0" collapsed="false">
      <c r="A1915" s="98"/>
      <c r="B1915" s="119" t="n">
        <f aca="false">ROW()-4</f>
        <v>1911</v>
      </c>
      <c r="C1915" s="120" t="n">
        <f aca="false">COUNTIFS($D$5:D1915,D1915)</f>
        <v>952</v>
      </c>
      <c r="D1915" s="121" t="s">
        <v>2006</v>
      </c>
      <c r="E1915" s="122" t="s">
        <v>3865</v>
      </c>
      <c r="F1915" s="123" t="n">
        <v>45992</v>
      </c>
      <c r="G1915" s="121" t="s">
        <v>22</v>
      </c>
      <c r="H191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A1911</v>
      </c>
      <c r="I191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B1911</v>
      </c>
      <c r="J1915" s="122" t="s">
        <v>3866</v>
      </c>
      <c r="K191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C1911</v>
      </c>
      <c r="L191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D1911</v>
      </c>
      <c r="M191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E1911</v>
      </c>
      <c r="N1915" s="122" t="s">
        <v>73</v>
      </c>
      <c r="O1915" s="126" t="n">
        <v>3500000</v>
      </c>
      <c r="P1915" s="121" t="s">
        <v>18</v>
      </c>
      <c r="Q1915" s="121" t="s">
        <v>124</v>
      </c>
      <c r="R1915" s="127"/>
    </row>
    <row r="1916" s="118" customFormat="true" ht="12.75" hidden="false" customHeight="true" outlineLevel="0" collapsed="false">
      <c r="A1916" s="98"/>
      <c r="B1916" s="119" t="n">
        <f aca="false">ROW()-4</f>
        <v>1912</v>
      </c>
      <c r="C1916" s="120" t="n">
        <f aca="false">COUNTIFS($D$5:D1916,D1916)</f>
        <v>953</v>
      </c>
      <c r="D1916" s="121" t="s">
        <v>2006</v>
      </c>
      <c r="E1916" s="122" t="s">
        <v>3867</v>
      </c>
      <c r="F1916" s="123" t="n">
        <v>46000</v>
      </c>
      <c r="G1916" s="121" t="s">
        <v>30</v>
      </c>
      <c r="H191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A1912</v>
      </c>
      <c r="I191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B1912</v>
      </c>
      <c r="J1916" s="122" t="s">
        <v>3868</v>
      </c>
      <c r="K191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C1912</v>
      </c>
      <c r="L191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D1912</v>
      </c>
      <c r="M191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E1912</v>
      </c>
      <c r="N1916" s="122" t="s">
        <v>73</v>
      </c>
      <c r="O1916" s="126" t="n">
        <v>3500000</v>
      </c>
      <c r="P1916" s="121" t="s">
        <v>18</v>
      </c>
      <c r="Q1916" s="121" t="s">
        <v>124</v>
      </c>
      <c r="R1916" s="127"/>
    </row>
    <row r="1917" s="118" customFormat="true" ht="12.75" hidden="false" customHeight="true" outlineLevel="0" collapsed="false">
      <c r="A1917" s="98"/>
      <c r="B1917" s="119" t="n">
        <f aca="false">ROW()-4</f>
        <v>1913</v>
      </c>
      <c r="C1917" s="120" t="n">
        <f aca="false">COUNTIFS($D$5:D1917,D1917)</f>
        <v>954</v>
      </c>
      <c r="D1917" s="121" t="s">
        <v>2006</v>
      </c>
      <c r="E1917" s="122" t="s">
        <v>3869</v>
      </c>
      <c r="F1917" s="123" t="n">
        <v>46000</v>
      </c>
      <c r="G1917" s="121" t="s">
        <v>30</v>
      </c>
      <c r="H191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A1913</v>
      </c>
      <c r="I191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B1913</v>
      </c>
      <c r="J1917" s="122" t="s">
        <v>3870</v>
      </c>
      <c r="K191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C1913</v>
      </c>
      <c r="L191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D1913</v>
      </c>
      <c r="M191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E1913</v>
      </c>
      <c r="N1917" s="122" t="s">
        <v>73</v>
      </c>
      <c r="O1917" s="126" t="n">
        <v>3500000</v>
      </c>
      <c r="P1917" s="121" t="s">
        <v>18</v>
      </c>
      <c r="Q1917" s="121" t="s">
        <v>124</v>
      </c>
      <c r="R1917" s="127"/>
    </row>
    <row r="1918" s="118" customFormat="true" ht="12.75" hidden="false" customHeight="true" outlineLevel="0" collapsed="false">
      <c r="A1918" s="98"/>
      <c r="B1918" s="119" t="n">
        <f aca="false">ROW()-4</f>
        <v>1914</v>
      </c>
      <c r="C1918" s="120" t="n">
        <f aca="false">COUNTIFS($D$5:D1918,D1918)</f>
        <v>955</v>
      </c>
      <c r="D1918" s="121" t="s">
        <v>2006</v>
      </c>
      <c r="E1918" s="122" t="s">
        <v>3871</v>
      </c>
      <c r="F1918" s="123" t="n">
        <v>46000</v>
      </c>
      <c r="G1918" s="121" t="s">
        <v>30</v>
      </c>
      <c r="H191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A1914</v>
      </c>
      <c r="I191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B1914</v>
      </c>
      <c r="J1918" s="122" t="s">
        <v>3872</v>
      </c>
      <c r="K191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C1914</v>
      </c>
      <c r="L191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D1914</v>
      </c>
      <c r="M191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E1914</v>
      </c>
      <c r="N1918" s="122" t="s">
        <v>73</v>
      </c>
      <c r="O1918" s="126" t="n">
        <v>3500000</v>
      </c>
      <c r="P1918" s="121" t="s">
        <v>18</v>
      </c>
      <c r="Q1918" s="121" t="s">
        <v>124</v>
      </c>
      <c r="R1918" s="127"/>
    </row>
    <row r="1919" s="118" customFormat="true" ht="12.75" hidden="false" customHeight="true" outlineLevel="0" collapsed="false">
      <c r="A1919" s="98"/>
      <c r="B1919" s="119" t="n">
        <f aca="false">ROW()-4</f>
        <v>1915</v>
      </c>
      <c r="C1919" s="120" t="n">
        <f aca="false">COUNTIFS($D$5:D1919,D1919)</f>
        <v>956</v>
      </c>
      <c r="D1919" s="121" t="s">
        <v>2006</v>
      </c>
      <c r="E1919" s="122" t="s">
        <v>3873</v>
      </c>
      <c r="F1919" s="123" t="n">
        <v>46014</v>
      </c>
      <c r="G1919" s="121" t="s">
        <v>24</v>
      </c>
      <c r="H191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A1915</v>
      </c>
      <c r="I191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B1915</v>
      </c>
      <c r="J1919" s="122" t="s">
        <v>3874</v>
      </c>
      <c r="K191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C1915</v>
      </c>
      <c r="L191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D1915</v>
      </c>
      <c r="M191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E1915</v>
      </c>
      <c r="N1919" s="122" t="s">
        <v>73</v>
      </c>
      <c r="O1919" s="126" t="n">
        <v>3500000</v>
      </c>
      <c r="P1919" s="121" t="s">
        <v>18</v>
      </c>
      <c r="Q1919" s="121" t="s">
        <v>124</v>
      </c>
      <c r="R1919" s="127"/>
    </row>
    <row r="1920" s="118" customFormat="true" ht="12.75" hidden="false" customHeight="true" outlineLevel="0" collapsed="false">
      <c r="A1920" s="98"/>
      <c r="B1920" s="119" t="n">
        <f aca="false">ROW()-4</f>
        <v>1916</v>
      </c>
      <c r="C1920" s="120" t="n">
        <f aca="false">COUNTIFS($D$5:D1920,D1920)</f>
        <v>957</v>
      </c>
      <c r="D1920" s="121" t="s">
        <v>2006</v>
      </c>
      <c r="E1920" s="122" t="s">
        <v>3875</v>
      </c>
      <c r="F1920" s="123" t="n">
        <v>46014</v>
      </c>
      <c r="G1920" s="121" t="s">
        <v>24</v>
      </c>
      <c r="H192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A1916</v>
      </c>
      <c r="I192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B1916</v>
      </c>
      <c r="J1920" s="122" t="s">
        <v>3876</v>
      </c>
      <c r="K192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C1916</v>
      </c>
      <c r="L192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D1916</v>
      </c>
      <c r="M192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E1916</v>
      </c>
      <c r="N1920" s="122" t="s">
        <v>73</v>
      </c>
      <c r="O1920" s="126" t="n">
        <v>3500000</v>
      </c>
      <c r="P1920" s="121" t="s">
        <v>18</v>
      </c>
      <c r="Q1920" s="121" t="s">
        <v>124</v>
      </c>
      <c r="R1920" s="127"/>
    </row>
    <row r="1921" s="118" customFormat="true" ht="12.75" hidden="false" customHeight="true" outlineLevel="0" collapsed="false">
      <c r="A1921" s="98"/>
      <c r="B1921" s="119" t="n">
        <f aca="false">ROW()-4</f>
        <v>1917</v>
      </c>
      <c r="C1921" s="120" t="n">
        <f aca="false">COUNTIFS($D$5:D1921,D1921)</f>
        <v>958</v>
      </c>
      <c r="D1921" s="121" t="s">
        <v>2006</v>
      </c>
      <c r="E1921" s="122" t="s">
        <v>3877</v>
      </c>
      <c r="F1921" s="123" t="n">
        <v>46010</v>
      </c>
      <c r="G1921" s="121" t="s">
        <v>28</v>
      </c>
      <c r="H192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A1917</v>
      </c>
      <c r="I192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B1917</v>
      </c>
      <c r="J1921" s="122" t="s">
        <v>3878</v>
      </c>
      <c r="K192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C1917</v>
      </c>
      <c r="L192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D1917</v>
      </c>
      <c r="M192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E1917</v>
      </c>
      <c r="N1921" s="122" t="s">
        <v>73</v>
      </c>
      <c r="O1921" s="126" t="n">
        <v>3500000</v>
      </c>
      <c r="P1921" s="121" t="s">
        <v>18</v>
      </c>
      <c r="Q1921" s="121" t="s">
        <v>124</v>
      </c>
      <c r="R1921" s="127"/>
    </row>
    <row r="1922" s="118" customFormat="true" ht="12.75" hidden="false" customHeight="true" outlineLevel="0" collapsed="false">
      <c r="A1922" s="98"/>
      <c r="B1922" s="119" t="n">
        <f aca="false">ROW()-4</f>
        <v>1918</v>
      </c>
      <c r="C1922" s="120" t="n">
        <f aca="false">COUNTIFS($D$5:D1922,D1922)</f>
        <v>959</v>
      </c>
      <c r="D1922" s="121" t="s">
        <v>2006</v>
      </c>
      <c r="E1922" s="122" t="s">
        <v>3879</v>
      </c>
      <c r="F1922" s="123" t="n">
        <v>46010</v>
      </c>
      <c r="G1922" s="121" t="s">
        <v>28</v>
      </c>
      <c r="H192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A1918</v>
      </c>
      <c r="I192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B1918</v>
      </c>
      <c r="J1922" s="122" t="s">
        <v>3880</v>
      </c>
      <c r="K192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C1918</v>
      </c>
      <c r="L192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D1918</v>
      </c>
      <c r="M192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E1918</v>
      </c>
      <c r="N1922" s="122" t="s">
        <v>73</v>
      </c>
      <c r="O1922" s="126" t="n">
        <v>3500000</v>
      </c>
      <c r="P1922" s="121" t="s">
        <v>18</v>
      </c>
      <c r="Q1922" s="121" t="s">
        <v>124</v>
      </c>
      <c r="R1922" s="127"/>
    </row>
    <row r="1923" s="118" customFormat="true" ht="12.75" hidden="false" customHeight="true" outlineLevel="0" collapsed="false">
      <c r="A1923" s="98"/>
      <c r="B1923" s="119" t="n">
        <f aca="false">ROW()-4</f>
        <v>1919</v>
      </c>
      <c r="C1923" s="120" t="n">
        <f aca="false">COUNTIFS($D$5:D1923,D1923)</f>
        <v>960</v>
      </c>
      <c r="D1923" s="121" t="s">
        <v>2006</v>
      </c>
      <c r="E1923" s="122" t="s">
        <v>3881</v>
      </c>
      <c r="F1923" s="123" t="n">
        <v>46009</v>
      </c>
      <c r="G1923" s="121" t="s">
        <v>22</v>
      </c>
      <c r="H192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A1919</v>
      </c>
      <c r="I192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B1919</v>
      </c>
      <c r="J1923" s="122" t="s">
        <v>3882</v>
      </c>
      <c r="K192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C1919</v>
      </c>
      <c r="L192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D1919</v>
      </c>
      <c r="M192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E1919</v>
      </c>
      <c r="N1923" s="122" t="s">
        <v>73</v>
      </c>
      <c r="O1923" s="126" t="n">
        <v>3500000</v>
      </c>
      <c r="P1923" s="121" t="s">
        <v>18</v>
      </c>
      <c r="Q1923" s="121" t="s">
        <v>124</v>
      </c>
      <c r="R1923" s="127"/>
    </row>
    <row r="1924" s="118" customFormat="true" ht="12.75" hidden="false" customHeight="true" outlineLevel="0" collapsed="false">
      <c r="A1924" s="98"/>
      <c r="B1924" s="119" t="n">
        <f aca="false">ROW()-4</f>
        <v>1920</v>
      </c>
      <c r="C1924" s="120" t="n">
        <f aca="false">COUNTIFS($D$5:D1924,D1924)</f>
        <v>961</v>
      </c>
      <c r="D1924" s="121" t="s">
        <v>2006</v>
      </c>
      <c r="E1924" s="122" t="s">
        <v>3883</v>
      </c>
      <c r="F1924" s="123" t="n">
        <v>45994</v>
      </c>
      <c r="G1924" s="121" t="s">
        <v>26</v>
      </c>
      <c r="H192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A1920</v>
      </c>
      <c r="I192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B1920</v>
      </c>
      <c r="J1924" s="122" t="s">
        <v>3884</v>
      </c>
      <c r="K192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C1920</v>
      </c>
      <c r="L192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D1920</v>
      </c>
      <c r="M192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E1920</v>
      </c>
      <c r="N1924" s="122" t="s">
        <v>73</v>
      </c>
      <c r="O1924" s="126" t="n">
        <v>3500000</v>
      </c>
      <c r="P1924" s="121" t="s">
        <v>18</v>
      </c>
      <c r="Q1924" s="121" t="s">
        <v>124</v>
      </c>
      <c r="R1924" s="127"/>
    </row>
    <row r="1925" s="118" customFormat="true" ht="12.75" hidden="false" customHeight="true" outlineLevel="0" collapsed="false">
      <c r="A1925" s="98"/>
      <c r="B1925" s="119" t="n">
        <f aca="false">ROW()-4</f>
        <v>1921</v>
      </c>
      <c r="C1925" s="120" t="n">
        <f aca="false">COUNTIFS($D$5:D1925,D1925)</f>
        <v>962</v>
      </c>
      <c r="D1925" s="121" t="s">
        <v>2006</v>
      </c>
      <c r="E1925" s="122" t="s">
        <v>3885</v>
      </c>
      <c r="F1925" s="123" t="n">
        <v>45994</v>
      </c>
      <c r="G1925" s="121" t="s">
        <v>26</v>
      </c>
      <c r="H192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A1921</v>
      </c>
      <c r="I192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B1921</v>
      </c>
      <c r="J1925" s="122" t="s">
        <v>3886</v>
      </c>
      <c r="K192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C1921</v>
      </c>
      <c r="L192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D1921</v>
      </c>
      <c r="M192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E1921</v>
      </c>
      <c r="N1925" s="122" t="s">
        <v>73</v>
      </c>
      <c r="O1925" s="126" t="n">
        <v>3500000</v>
      </c>
      <c r="P1925" s="121" t="s">
        <v>18</v>
      </c>
      <c r="Q1925" s="121" t="s">
        <v>124</v>
      </c>
      <c r="R1925" s="127"/>
    </row>
    <row r="1926" s="118" customFormat="true" ht="12.75" hidden="false" customHeight="true" outlineLevel="0" collapsed="false">
      <c r="A1926" s="98"/>
      <c r="B1926" s="119" t="n">
        <f aca="false">ROW()-4</f>
        <v>1922</v>
      </c>
      <c r="C1926" s="120" t="n">
        <f aca="false">COUNTIFS($D$5:D1926,D1926)</f>
        <v>963</v>
      </c>
      <c r="D1926" s="121" t="s">
        <v>2006</v>
      </c>
      <c r="E1926" s="122" t="s">
        <v>3887</v>
      </c>
      <c r="F1926" s="123" t="n">
        <v>45994</v>
      </c>
      <c r="G1926" s="121" t="s">
        <v>26</v>
      </c>
      <c r="H192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A1922</v>
      </c>
      <c r="I192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B1922</v>
      </c>
      <c r="J1926" s="122" t="s">
        <v>3888</v>
      </c>
      <c r="K192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C1922</v>
      </c>
      <c r="L192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D1922</v>
      </c>
      <c r="M192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E1922</v>
      </c>
      <c r="N1926" s="122" t="s">
        <v>73</v>
      </c>
      <c r="O1926" s="126" t="n">
        <v>3500000</v>
      </c>
      <c r="P1926" s="121" t="s">
        <v>18</v>
      </c>
      <c r="Q1926" s="121" t="s">
        <v>124</v>
      </c>
      <c r="R1926" s="127"/>
    </row>
    <row r="1927" s="118" customFormat="true" ht="12.75" hidden="false" customHeight="true" outlineLevel="0" collapsed="false">
      <c r="A1927" s="98"/>
      <c r="B1927" s="119" t="n">
        <f aca="false">ROW()-4</f>
        <v>1923</v>
      </c>
      <c r="C1927" s="120" t="n">
        <f aca="false">COUNTIFS($D$5:D1927,D1927)</f>
        <v>964</v>
      </c>
      <c r="D1927" s="121" t="s">
        <v>2006</v>
      </c>
      <c r="E1927" s="122" t="s">
        <v>3889</v>
      </c>
      <c r="F1927" s="123" t="n">
        <v>46020</v>
      </c>
      <c r="G1927" s="121" t="s">
        <v>26</v>
      </c>
      <c r="H192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A1923</v>
      </c>
      <c r="I192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B1923</v>
      </c>
      <c r="J1927" s="122" t="s">
        <v>3890</v>
      </c>
      <c r="K192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C1923</v>
      </c>
      <c r="L192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D1923</v>
      </c>
      <c r="M192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E1923</v>
      </c>
      <c r="N1927" s="122" t="s">
        <v>73</v>
      </c>
      <c r="O1927" s="126" t="n">
        <v>3500000</v>
      </c>
      <c r="P1927" s="121" t="s">
        <v>18</v>
      </c>
      <c r="Q1927" s="121" t="s">
        <v>124</v>
      </c>
      <c r="R1927" s="127"/>
    </row>
    <row r="1928" s="118" customFormat="true" ht="12.75" hidden="false" customHeight="true" outlineLevel="0" collapsed="false">
      <c r="A1928" s="98"/>
      <c r="B1928" s="119" t="n">
        <f aca="false">ROW()-4</f>
        <v>1924</v>
      </c>
      <c r="C1928" s="120" t="n">
        <f aca="false">COUNTIFS($D$5:D1928,D1928)</f>
        <v>965</v>
      </c>
      <c r="D1928" s="121" t="s">
        <v>2006</v>
      </c>
      <c r="E1928" s="122" t="s">
        <v>3891</v>
      </c>
      <c r="F1928" s="123" t="n">
        <v>46020</v>
      </c>
      <c r="G1928" s="121" t="s">
        <v>26</v>
      </c>
      <c r="H192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A1924</v>
      </c>
      <c r="I192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B1924</v>
      </c>
      <c r="J1928" s="122" t="s">
        <v>3892</v>
      </c>
      <c r="K192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C1924</v>
      </c>
      <c r="L192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D1924</v>
      </c>
      <c r="M192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E1924</v>
      </c>
      <c r="N1928" s="122" t="s">
        <v>73</v>
      </c>
      <c r="O1928" s="126" t="n">
        <v>3500000</v>
      </c>
      <c r="P1928" s="121" t="s">
        <v>18</v>
      </c>
      <c r="Q1928" s="121" t="s">
        <v>124</v>
      </c>
      <c r="R1928" s="127"/>
    </row>
    <row r="1929" s="118" customFormat="true" ht="12.75" hidden="false" customHeight="true" outlineLevel="0" collapsed="false">
      <c r="A1929" s="98"/>
      <c r="B1929" s="119" t="n">
        <f aca="false">ROW()-4</f>
        <v>1925</v>
      </c>
      <c r="C1929" s="120" t="n">
        <f aca="false">COUNTIFS($D$5:D1929,D1929)</f>
        <v>966</v>
      </c>
      <c r="D1929" s="121" t="s">
        <v>2006</v>
      </c>
      <c r="E1929" s="122" t="s">
        <v>3893</v>
      </c>
      <c r="F1929" s="123" t="n">
        <v>46028</v>
      </c>
      <c r="G1929" s="121" t="s">
        <v>22</v>
      </c>
      <c r="H192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A1925</v>
      </c>
      <c r="I192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B1925</v>
      </c>
      <c r="J1929" s="122" t="s">
        <v>3894</v>
      </c>
      <c r="K192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C1925</v>
      </c>
      <c r="L192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D1925</v>
      </c>
      <c r="M192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E1925</v>
      </c>
      <c r="N1929" s="122" t="s">
        <v>73</v>
      </c>
      <c r="O1929" s="126" t="n">
        <v>3500000</v>
      </c>
      <c r="P1929" s="121" t="s">
        <v>18</v>
      </c>
      <c r="Q1929" s="121" t="s">
        <v>124</v>
      </c>
      <c r="R1929" s="127"/>
    </row>
    <row r="1930" s="118" customFormat="true" ht="12.75" hidden="false" customHeight="true" outlineLevel="0" collapsed="false">
      <c r="A1930" s="98"/>
      <c r="B1930" s="119" t="n">
        <f aca="false">ROW()-4</f>
        <v>1926</v>
      </c>
      <c r="C1930" s="120" t="n">
        <f aca="false">COUNTIFS($D$5:D1930,D1930)</f>
        <v>967</v>
      </c>
      <c r="D1930" s="121" t="s">
        <v>2006</v>
      </c>
      <c r="E1930" s="122" t="s">
        <v>3895</v>
      </c>
      <c r="F1930" s="123" t="n">
        <v>46028</v>
      </c>
      <c r="G1930" s="121" t="s">
        <v>22</v>
      </c>
      <c r="H193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A1926</v>
      </c>
      <c r="I193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B1926</v>
      </c>
      <c r="J1930" s="122" t="s">
        <v>3896</v>
      </c>
      <c r="K193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C1926</v>
      </c>
      <c r="L193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D1926</v>
      </c>
      <c r="M193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E1926</v>
      </c>
      <c r="N1930" s="122" t="s">
        <v>73</v>
      </c>
      <c r="O1930" s="126" t="n">
        <v>3500000</v>
      </c>
      <c r="P1930" s="121" t="s">
        <v>18</v>
      </c>
      <c r="Q1930" s="121" t="s">
        <v>124</v>
      </c>
      <c r="R1930" s="127"/>
    </row>
    <row r="1931" customFormat="false" ht="12.75" hidden="false" customHeight="true" outlineLevel="0" collapsed="false">
      <c r="B1931" s="119" t="n">
        <f aca="false">ROW()-4</f>
        <v>1927</v>
      </c>
      <c r="C1931" s="120" t="n">
        <f aca="false">COUNTIFS($D$5:D1931,D1931)</f>
        <v>968</v>
      </c>
      <c r="D1931" s="121" t="s">
        <v>2006</v>
      </c>
      <c r="E1931" s="122" t="s">
        <v>3897</v>
      </c>
      <c r="F1931" s="123" t="n">
        <v>46030</v>
      </c>
      <c r="G1931" s="121" t="s">
        <v>22</v>
      </c>
      <c r="H193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A1927</v>
      </c>
      <c r="I193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B1927</v>
      </c>
      <c r="J1931" s="122" t="s">
        <v>3898</v>
      </c>
      <c r="K193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C1927</v>
      </c>
      <c r="L193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D1927</v>
      </c>
      <c r="M193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E1927</v>
      </c>
      <c r="N1931" s="122" t="s">
        <v>73</v>
      </c>
      <c r="O1931" s="126" t="n">
        <v>3500000</v>
      </c>
      <c r="P1931" s="121" t="s">
        <v>18</v>
      </c>
      <c r="Q1931" s="121" t="s">
        <v>124</v>
      </c>
      <c r="R1931" s="127"/>
    </row>
    <row r="1932" customFormat="false" ht="12.75" hidden="false" customHeight="true" outlineLevel="0" collapsed="false">
      <c r="B1932" s="119" t="n">
        <f aca="false">ROW()-4</f>
        <v>1928</v>
      </c>
      <c r="C1932" s="120" t="n">
        <f aca="false">COUNTIFS($D$5:D1932,D1932)</f>
        <v>969</v>
      </c>
      <c r="D1932" s="121" t="s">
        <v>2006</v>
      </c>
      <c r="E1932" s="122" t="s">
        <v>3899</v>
      </c>
      <c r="F1932" s="123" t="n">
        <v>46030</v>
      </c>
      <c r="G1932" s="121" t="s">
        <v>22</v>
      </c>
      <c r="H193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A1928</v>
      </c>
      <c r="I193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B1928</v>
      </c>
      <c r="J1932" s="122" t="s">
        <v>3900</v>
      </c>
      <c r="K193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C1928</v>
      </c>
      <c r="L193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D1928</v>
      </c>
      <c r="M193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E1928</v>
      </c>
      <c r="N1932" s="122" t="s">
        <v>73</v>
      </c>
      <c r="O1932" s="126" t="n">
        <v>3500000</v>
      </c>
      <c r="P1932" s="121" t="s">
        <v>18</v>
      </c>
      <c r="Q1932" s="121" t="s">
        <v>124</v>
      </c>
      <c r="R1932" s="127"/>
    </row>
    <row r="1933" customFormat="false" ht="12.75" hidden="false" customHeight="true" outlineLevel="0" collapsed="false">
      <c r="B1933" s="119" t="n">
        <f aca="false">ROW()-4</f>
        <v>1929</v>
      </c>
      <c r="C1933" s="120" t="n">
        <f aca="false">COUNTIFS($D$5:D1933,D1933)</f>
        <v>970</v>
      </c>
      <c r="D1933" s="121" t="s">
        <v>2006</v>
      </c>
      <c r="E1933" s="122" t="s">
        <v>3901</v>
      </c>
      <c r="F1933" s="123" t="n">
        <v>46024</v>
      </c>
      <c r="G1933" s="121" t="s">
        <v>22</v>
      </c>
      <c r="H193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A1929</v>
      </c>
      <c r="I193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B1929</v>
      </c>
      <c r="J1933" s="122" t="s">
        <v>3902</v>
      </c>
      <c r="K193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C1929</v>
      </c>
      <c r="L193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D1929</v>
      </c>
      <c r="M193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E1929</v>
      </c>
      <c r="N1933" s="122" t="s">
        <v>73</v>
      </c>
      <c r="O1933" s="126" t="n">
        <v>3500000</v>
      </c>
      <c r="P1933" s="121" t="s">
        <v>18</v>
      </c>
      <c r="Q1933" s="121" t="s">
        <v>124</v>
      </c>
      <c r="R1933" s="127"/>
    </row>
    <row r="1934" customFormat="false" ht="12.75" hidden="false" customHeight="true" outlineLevel="0" collapsed="false">
      <c r="B1934" s="119" t="n">
        <f aca="false">ROW()-4</f>
        <v>1930</v>
      </c>
      <c r="C1934" s="120" t="n">
        <f aca="false">COUNTIFS($D$5:D1934,D1934)</f>
        <v>971</v>
      </c>
      <c r="D1934" s="121" t="s">
        <v>2006</v>
      </c>
      <c r="E1934" s="122" t="s">
        <v>3903</v>
      </c>
      <c r="F1934" s="123" t="n">
        <v>46030</v>
      </c>
      <c r="G1934" s="121" t="s">
        <v>24</v>
      </c>
      <c r="H193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A1930</v>
      </c>
      <c r="I193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B1930</v>
      </c>
      <c r="J1934" s="122" t="s">
        <v>3904</v>
      </c>
      <c r="K193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C1930</v>
      </c>
      <c r="L193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D1930</v>
      </c>
      <c r="M193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E1930</v>
      </c>
      <c r="N1934" s="122" t="s">
        <v>73</v>
      </c>
      <c r="O1934" s="126" t="n">
        <v>3500000</v>
      </c>
      <c r="P1934" s="121" t="s">
        <v>18</v>
      </c>
      <c r="Q1934" s="121" t="s">
        <v>124</v>
      </c>
      <c r="R1934" s="127"/>
    </row>
    <row r="1935" customFormat="false" ht="12.75" hidden="false" customHeight="true" outlineLevel="0" collapsed="false">
      <c r="B1935" s="119" t="n">
        <f aca="false">ROW()-4</f>
        <v>1931</v>
      </c>
      <c r="C1935" s="120" t="n">
        <f aca="false">COUNTIFS($D$5:D1935,D1935)</f>
        <v>972</v>
      </c>
      <c r="D1935" s="121" t="s">
        <v>2006</v>
      </c>
      <c r="E1935" s="122" t="s">
        <v>3905</v>
      </c>
      <c r="F1935" s="123" t="n">
        <v>46034</v>
      </c>
      <c r="G1935" s="121" t="s">
        <v>24</v>
      </c>
      <c r="H193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A1931</v>
      </c>
      <c r="I193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B1931</v>
      </c>
      <c r="J1935" s="122" t="s">
        <v>3906</v>
      </c>
      <c r="K193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C1931</v>
      </c>
      <c r="L193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D1931</v>
      </c>
      <c r="M193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E1931</v>
      </c>
      <c r="N1935" s="122" t="s">
        <v>73</v>
      </c>
      <c r="O1935" s="126" t="n">
        <v>3500000</v>
      </c>
      <c r="P1935" s="121" t="s">
        <v>18</v>
      </c>
      <c r="Q1935" s="121" t="s">
        <v>124</v>
      </c>
      <c r="R1935" s="127"/>
    </row>
    <row r="1936" customFormat="false" ht="12.75" hidden="false" customHeight="true" outlineLevel="0" collapsed="false">
      <c r="B1936" s="119" t="n">
        <f aca="false">ROW()-4</f>
        <v>1932</v>
      </c>
      <c r="C1936" s="120" t="n">
        <f aca="false">COUNTIFS($D$5:D1936,D1936)</f>
        <v>973</v>
      </c>
      <c r="D1936" s="121" t="s">
        <v>2006</v>
      </c>
      <c r="E1936" s="122" t="s">
        <v>3907</v>
      </c>
      <c r="F1936" s="123" t="n">
        <v>46034</v>
      </c>
      <c r="G1936" s="121" t="s">
        <v>26</v>
      </c>
      <c r="H193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A1932</v>
      </c>
      <c r="I193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B1932</v>
      </c>
      <c r="J1936" s="122" t="s">
        <v>3908</v>
      </c>
      <c r="K193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C1932</v>
      </c>
      <c r="L193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D1932</v>
      </c>
      <c r="M193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E1932</v>
      </c>
      <c r="N1936" s="122" t="s">
        <v>73</v>
      </c>
      <c r="O1936" s="126" t="n">
        <v>3500000</v>
      </c>
      <c r="P1936" s="121" t="s">
        <v>18</v>
      </c>
      <c r="Q1936" s="121" t="s">
        <v>124</v>
      </c>
      <c r="R1936" s="127"/>
    </row>
    <row r="1937" customFormat="false" ht="12.75" hidden="false" customHeight="true" outlineLevel="0" collapsed="false">
      <c r="B1937" s="119" t="n">
        <f aca="false">ROW()-4</f>
        <v>1933</v>
      </c>
      <c r="C1937" s="120" t="n">
        <f aca="false">COUNTIFS($D$5:D1937,D1937)</f>
        <v>974</v>
      </c>
      <c r="D1937" s="121" t="s">
        <v>2006</v>
      </c>
      <c r="E1937" s="122" t="s">
        <v>3909</v>
      </c>
      <c r="F1937" s="123" t="n">
        <v>46034</v>
      </c>
      <c r="G1937" s="121" t="s">
        <v>26</v>
      </c>
      <c r="H193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A1933</v>
      </c>
      <c r="I193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B1933</v>
      </c>
      <c r="J1937" s="122" t="s">
        <v>3910</v>
      </c>
      <c r="K193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C1933</v>
      </c>
      <c r="L193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D1933</v>
      </c>
      <c r="M193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E1933</v>
      </c>
      <c r="N1937" s="122" t="s">
        <v>73</v>
      </c>
      <c r="O1937" s="126" t="n">
        <v>3500000</v>
      </c>
      <c r="P1937" s="121" t="s">
        <v>18</v>
      </c>
      <c r="Q1937" s="121" t="s">
        <v>124</v>
      </c>
      <c r="R1937" s="127"/>
    </row>
    <row r="1938" s="118" customFormat="true" ht="12.75" hidden="false" customHeight="true" outlineLevel="0" collapsed="false">
      <c r="A1938" s="98"/>
      <c r="B1938" s="119" t="n">
        <f aca="false">ROW()-4</f>
        <v>1934</v>
      </c>
      <c r="C1938" s="120" t="n">
        <f aca="false">COUNTIFS($D$5:D1938,D1938)</f>
        <v>975</v>
      </c>
      <c r="D1938" s="121" t="s">
        <v>2006</v>
      </c>
      <c r="E1938" s="122" t="s">
        <v>3911</v>
      </c>
      <c r="F1938" s="123" t="n">
        <v>46037</v>
      </c>
      <c r="G1938" s="121" t="s">
        <v>30</v>
      </c>
      <c r="H193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A1934</v>
      </c>
      <c r="I193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B1934</v>
      </c>
      <c r="J1938" s="122" t="s">
        <v>3912</v>
      </c>
      <c r="K193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C1934</v>
      </c>
      <c r="L193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D1934</v>
      </c>
      <c r="M193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E1934</v>
      </c>
      <c r="N1938" s="122" t="s">
        <v>73</v>
      </c>
      <c r="O1938" s="126" t="n">
        <v>3500000</v>
      </c>
      <c r="P1938" s="121" t="s">
        <v>18</v>
      </c>
      <c r="Q1938" s="121" t="s">
        <v>124</v>
      </c>
      <c r="R1938" s="127"/>
    </row>
    <row r="1939" s="118" customFormat="true" ht="12.75" hidden="false" customHeight="true" outlineLevel="0" collapsed="false">
      <c r="A1939" s="98"/>
      <c r="B1939" s="119" t="n">
        <f aca="false">ROW()-4</f>
        <v>1935</v>
      </c>
      <c r="C1939" s="120" t="n">
        <f aca="false">COUNTIFS($D$5:D1939,D1939)</f>
        <v>976</v>
      </c>
      <c r="D1939" s="121" t="s">
        <v>2006</v>
      </c>
      <c r="E1939" s="122" t="s">
        <v>3913</v>
      </c>
      <c r="F1939" s="123" t="n">
        <v>46049</v>
      </c>
      <c r="G1939" s="121" t="s">
        <v>26</v>
      </c>
      <c r="H193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A1935</v>
      </c>
      <c r="I193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B1935</v>
      </c>
      <c r="J1939" s="122" t="s">
        <v>597</v>
      </c>
      <c r="K193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C1935</v>
      </c>
      <c r="L193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D1935</v>
      </c>
      <c r="M193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E1935</v>
      </c>
      <c r="N1939" s="122" t="s">
        <v>73</v>
      </c>
      <c r="O1939" s="126" t="n">
        <v>3500000</v>
      </c>
      <c r="P1939" s="121" t="s">
        <v>18</v>
      </c>
      <c r="Q1939" s="121" t="s">
        <v>124</v>
      </c>
      <c r="R1939" s="127"/>
    </row>
    <row r="1940" s="118" customFormat="true" ht="12.75" hidden="false" customHeight="true" outlineLevel="0" collapsed="false">
      <c r="A1940" s="98"/>
      <c r="B1940" s="119" t="n">
        <f aca="false">ROW()-4</f>
        <v>1936</v>
      </c>
      <c r="C1940" s="120" t="n">
        <f aca="false">COUNTIFS($D$5:D1940,D1940)</f>
        <v>977</v>
      </c>
      <c r="D1940" s="121" t="s">
        <v>2006</v>
      </c>
      <c r="E1940" s="122" t="s">
        <v>3914</v>
      </c>
      <c r="F1940" s="123" t="n">
        <v>46051</v>
      </c>
      <c r="G1940" s="121" t="s">
        <v>26</v>
      </c>
      <c r="H194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A1936</v>
      </c>
      <c r="I194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B1936</v>
      </c>
      <c r="J1940" s="122" t="s">
        <v>3915</v>
      </c>
      <c r="K194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C1936</v>
      </c>
      <c r="L194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D1936</v>
      </c>
      <c r="M194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E1936</v>
      </c>
      <c r="N1940" s="122" t="s">
        <v>73</v>
      </c>
      <c r="O1940" s="126" t="n">
        <v>3500000</v>
      </c>
      <c r="P1940" s="121" t="s">
        <v>18</v>
      </c>
      <c r="Q1940" s="121" t="s">
        <v>124</v>
      </c>
      <c r="R1940" s="127"/>
    </row>
    <row r="1941" s="118" customFormat="true" ht="12.75" hidden="false" customHeight="true" outlineLevel="0" collapsed="false">
      <c r="A1941" s="98"/>
      <c r="B1941" s="119" t="n">
        <f aca="false">ROW()-4</f>
        <v>1937</v>
      </c>
      <c r="C1941" s="120" t="n">
        <f aca="false">COUNTIFS($D$5:D1941,D1941)</f>
        <v>978</v>
      </c>
      <c r="D1941" s="121" t="s">
        <v>2006</v>
      </c>
      <c r="E1941" s="122" t="s">
        <v>3916</v>
      </c>
      <c r="F1941" s="123" t="n">
        <v>46051</v>
      </c>
      <c r="G1941" s="121" t="s">
        <v>26</v>
      </c>
      <c r="H194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A1937</v>
      </c>
      <c r="I194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B1937</v>
      </c>
      <c r="J1941" s="122" t="s">
        <v>3917</v>
      </c>
      <c r="K194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C1937</v>
      </c>
      <c r="L194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D1937</v>
      </c>
      <c r="M194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E1937</v>
      </c>
      <c r="N1941" s="122" t="s">
        <v>73</v>
      </c>
      <c r="O1941" s="126" t="n">
        <v>3500000</v>
      </c>
      <c r="P1941" s="121" t="s">
        <v>18</v>
      </c>
      <c r="Q1941" s="121" t="s">
        <v>124</v>
      </c>
      <c r="R1941" s="127"/>
    </row>
    <row r="1942" s="118" customFormat="true" ht="12.75" hidden="false" customHeight="true" outlineLevel="0" collapsed="false">
      <c r="A1942" s="98"/>
      <c r="B1942" s="119" t="n">
        <f aca="false">ROW()-4</f>
        <v>1938</v>
      </c>
      <c r="C1942" s="120" t="n">
        <f aca="false">COUNTIFS($D$5:D1942,D1942)</f>
        <v>979</v>
      </c>
      <c r="D1942" s="121" t="s">
        <v>2006</v>
      </c>
      <c r="E1942" s="122" t="s">
        <v>3918</v>
      </c>
      <c r="F1942" s="123" t="n">
        <v>46058</v>
      </c>
      <c r="G1942" s="121" t="s">
        <v>24</v>
      </c>
      <c r="H194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A1938</v>
      </c>
      <c r="I194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B1938</v>
      </c>
      <c r="J1942" s="122" t="s">
        <v>3919</v>
      </c>
      <c r="K194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C1938</v>
      </c>
      <c r="L194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D1938</v>
      </c>
      <c r="M194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E1938</v>
      </c>
      <c r="N1942" s="122" t="s">
        <v>73</v>
      </c>
      <c r="O1942" s="126" t="n">
        <v>3500000</v>
      </c>
      <c r="P1942" s="121" t="s">
        <v>18</v>
      </c>
      <c r="Q1942" s="121" t="s">
        <v>124</v>
      </c>
      <c r="R1942" s="127"/>
    </row>
    <row r="1943" s="118" customFormat="true" ht="12.75" hidden="false" customHeight="true" outlineLevel="0" collapsed="false">
      <c r="A1943" s="98"/>
      <c r="B1943" s="119" t="n">
        <f aca="false">ROW()-4</f>
        <v>1939</v>
      </c>
      <c r="C1943" s="120" t="n">
        <f aca="false">COUNTIFS($D$5:D1943,D1943)</f>
        <v>980</v>
      </c>
      <c r="D1943" s="121" t="s">
        <v>2006</v>
      </c>
      <c r="E1943" s="122" t="s">
        <v>3920</v>
      </c>
      <c r="F1943" s="123" t="n">
        <v>46058</v>
      </c>
      <c r="G1943" s="121" t="s">
        <v>24</v>
      </c>
      <c r="H194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A1939</v>
      </c>
      <c r="I194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B1939</v>
      </c>
      <c r="J1943" s="122" t="s">
        <v>3921</v>
      </c>
      <c r="K194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C1939</v>
      </c>
      <c r="L194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D1939</v>
      </c>
      <c r="M194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E1939</v>
      </c>
      <c r="N1943" s="122" t="s">
        <v>73</v>
      </c>
      <c r="O1943" s="126" t="n">
        <v>3500000</v>
      </c>
      <c r="P1943" s="121" t="s">
        <v>18</v>
      </c>
      <c r="Q1943" s="121" t="s">
        <v>124</v>
      </c>
      <c r="R1943" s="127"/>
    </row>
    <row r="1944" s="118" customFormat="true" ht="12.75" hidden="false" customHeight="true" outlineLevel="0" collapsed="false">
      <c r="A1944" s="98"/>
      <c r="B1944" s="119" t="n">
        <f aca="false">ROW()-4</f>
        <v>1940</v>
      </c>
      <c r="C1944" s="120" t="n">
        <f aca="false">COUNTIFS($D$5:D1944,D1944)</f>
        <v>981</v>
      </c>
      <c r="D1944" s="121" t="s">
        <v>2006</v>
      </c>
      <c r="E1944" s="122" t="s">
        <v>3922</v>
      </c>
      <c r="F1944" s="123" t="n">
        <v>46051</v>
      </c>
      <c r="G1944" s="121" t="s">
        <v>26</v>
      </c>
      <c r="H194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A1940</v>
      </c>
      <c r="I194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B1940</v>
      </c>
      <c r="J1944" s="122" t="s">
        <v>3923</v>
      </c>
      <c r="K194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C1940</v>
      </c>
      <c r="L194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D1940</v>
      </c>
      <c r="M194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E1940</v>
      </c>
      <c r="N1944" s="122" t="s">
        <v>73</v>
      </c>
      <c r="O1944" s="126" t="n">
        <v>3500000</v>
      </c>
      <c r="P1944" s="121" t="s">
        <v>18</v>
      </c>
      <c r="Q1944" s="121" t="s">
        <v>124</v>
      </c>
      <c r="R1944" s="127"/>
    </row>
    <row r="1945" s="118" customFormat="true" ht="12.75" hidden="false" customHeight="true" outlineLevel="0" collapsed="false">
      <c r="A1945" s="98"/>
      <c r="B1945" s="119" t="n">
        <f aca="false">ROW()-4</f>
        <v>1941</v>
      </c>
      <c r="C1945" s="120" t="n">
        <f aca="false">COUNTIFS($D$5:D1945,D1945)</f>
        <v>982</v>
      </c>
      <c r="D1945" s="121" t="s">
        <v>2006</v>
      </c>
      <c r="E1945" s="122" t="s">
        <v>3924</v>
      </c>
      <c r="F1945" s="123" t="n">
        <v>46058</v>
      </c>
      <c r="G1945" s="121" t="s">
        <v>28</v>
      </c>
      <c r="H194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A1941</v>
      </c>
      <c r="I194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B1941</v>
      </c>
      <c r="J1945" s="122" t="s">
        <v>3925</v>
      </c>
      <c r="K194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C1941</v>
      </c>
      <c r="L194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D1941</v>
      </c>
      <c r="M194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E1941</v>
      </c>
      <c r="N1945" s="122" t="s">
        <v>73</v>
      </c>
      <c r="O1945" s="126" t="n">
        <v>3500000</v>
      </c>
      <c r="P1945" s="121" t="s">
        <v>18</v>
      </c>
      <c r="Q1945" s="121" t="s">
        <v>124</v>
      </c>
      <c r="R1945" s="127"/>
    </row>
    <row r="1946" s="118" customFormat="true" ht="12.75" hidden="false" customHeight="true" outlineLevel="0" collapsed="false">
      <c r="A1946" s="98"/>
      <c r="B1946" s="119" t="n">
        <f aca="false">ROW()-4</f>
        <v>1942</v>
      </c>
      <c r="C1946" s="120" t="n">
        <f aca="false">COUNTIFS($D$5:D1946,D1946)</f>
        <v>983</v>
      </c>
      <c r="D1946" s="121" t="s">
        <v>2006</v>
      </c>
      <c r="E1946" s="122" t="s">
        <v>3926</v>
      </c>
      <c r="F1946" s="123" t="n">
        <v>46062</v>
      </c>
      <c r="G1946" s="121" t="s">
        <v>22</v>
      </c>
      <c r="H194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A1942</v>
      </c>
      <c r="I194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B1942</v>
      </c>
      <c r="J1946" s="122" t="s">
        <v>3927</v>
      </c>
      <c r="K194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C1942</v>
      </c>
      <c r="L194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D1942</v>
      </c>
      <c r="M194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E1942</v>
      </c>
      <c r="N1946" s="122" t="s">
        <v>73</v>
      </c>
      <c r="O1946" s="126" t="n">
        <v>3500000</v>
      </c>
      <c r="P1946" s="121" t="s">
        <v>18</v>
      </c>
      <c r="Q1946" s="121" t="s">
        <v>124</v>
      </c>
      <c r="R1946" s="127"/>
    </row>
    <row r="1947" s="118" customFormat="true" ht="12.75" hidden="false" customHeight="true" outlineLevel="0" collapsed="false">
      <c r="A1947" s="98"/>
      <c r="B1947" s="119" t="n">
        <f aca="false">ROW()-4</f>
        <v>1943</v>
      </c>
      <c r="C1947" s="120" t="n">
        <f aca="false">COUNTIFS($D$5:D1947,D1947)</f>
        <v>984</v>
      </c>
      <c r="D1947" s="121" t="s">
        <v>2006</v>
      </c>
      <c r="E1947" s="122" t="s">
        <v>3928</v>
      </c>
      <c r="F1947" s="123" t="n">
        <v>46062</v>
      </c>
      <c r="G1947" s="121" t="s">
        <v>22</v>
      </c>
      <c r="H194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A1943</v>
      </c>
      <c r="I194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B1943</v>
      </c>
      <c r="J1947" s="122" t="s">
        <v>3929</v>
      </c>
      <c r="K194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C1943</v>
      </c>
      <c r="L194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D1943</v>
      </c>
      <c r="M194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E1943</v>
      </c>
      <c r="N1947" s="122" t="s">
        <v>73</v>
      </c>
      <c r="O1947" s="126" t="n">
        <v>3500000</v>
      </c>
      <c r="P1947" s="121" t="s">
        <v>18</v>
      </c>
      <c r="Q1947" s="121" t="s">
        <v>124</v>
      </c>
      <c r="R1947" s="127"/>
    </row>
    <row r="1948" s="118" customFormat="true" ht="12.75" hidden="false" customHeight="true" outlineLevel="0" collapsed="false">
      <c r="A1948" s="98"/>
      <c r="B1948" s="119" t="n">
        <f aca="false">ROW()-4</f>
        <v>1944</v>
      </c>
      <c r="C1948" s="120" t="n">
        <f aca="false">COUNTIFS($D$5:D1948,D1948)</f>
        <v>985</v>
      </c>
      <c r="D1948" s="121" t="s">
        <v>2006</v>
      </c>
      <c r="E1948" s="122" t="s">
        <v>3930</v>
      </c>
      <c r="F1948" s="123" t="n">
        <v>46062</v>
      </c>
      <c r="G1948" s="121" t="s">
        <v>26</v>
      </c>
      <c r="H1948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A1944</v>
      </c>
      <c r="I1948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B1944</v>
      </c>
      <c r="J1948" s="122" t="s">
        <v>3931</v>
      </c>
      <c r="K1948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C1944</v>
      </c>
      <c r="L1948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D1944</v>
      </c>
      <c r="M1948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E1944</v>
      </c>
      <c r="N1948" s="122" t="s">
        <v>73</v>
      </c>
      <c r="O1948" s="126" t="n">
        <v>3500000</v>
      </c>
      <c r="P1948" s="121" t="s">
        <v>18</v>
      </c>
      <c r="Q1948" s="121" t="s">
        <v>124</v>
      </c>
      <c r="R1948" s="127"/>
    </row>
    <row r="1949" s="118" customFormat="true" ht="12.75" hidden="false" customHeight="true" outlineLevel="0" collapsed="false">
      <c r="A1949" s="98"/>
      <c r="B1949" s="119" t="n">
        <f aca="false">ROW()-4</f>
        <v>1945</v>
      </c>
      <c r="C1949" s="120" t="n">
        <f aca="false">COUNTIFS($D$5:D1949,D1949)</f>
        <v>986</v>
      </c>
      <c r="D1949" s="121" t="s">
        <v>2006</v>
      </c>
      <c r="E1949" s="122" t="s">
        <v>3932</v>
      </c>
      <c r="F1949" s="123" t="n">
        <v>46062</v>
      </c>
      <c r="G1949" s="121" t="s">
        <v>26</v>
      </c>
      <c r="H1949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A1945</v>
      </c>
      <c r="I1949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B1945</v>
      </c>
      <c r="J1949" s="122" t="s">
        <v>3933</v>
      </c>
      <c r="K1949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C1945</v>
      </c>
      <c r="L1949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D1945</v>
      </c>
      <c r="M1949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E1945</v>
      </c>
      <c r="N1949" s="122" t="s">
        <v>73</v>
      </c>
      <c r="O1949" s="126" t="n">
        <v>3500000</v>
      </c>
      <c r="P1949" s="121" t="s">
        <v>18</v>
      </c>
      <c r="Q1949" s="121" t="s">
        <v>124</v>
      </c>
      <c r="R1949" s="127"/>
    </row>
    <row r="1950" s="118" customFormat="true" ht="12.75" hidden="false" customHeight="true" outlineLevel="0" collapsed="false">
      <c r="A1950" s="98"/>
      <c r="B1950" s="119" t="n">
        <f aca="false">ROW()-4</f>
        <v>1946</v>
      </c>
      <c r="C1950" s="120" t="n">
        <f aca="false">COUNTIFS($D$5:D1950,D1950)</f>
        <v>987</v>
      </c>
      <c r="D1950" s="121" t="s">
        <v>2006</v>
      </c>
      <c r="E1950" s="122" t="s">
        <v>3934</v>
      </c>
      <c r="F1950" s="123" t="n">
        <v>46062</v>
      </c>
      <c r="G1950" s="121" t="s">
        <v>26</v>
      </c>
      <c r="H1950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A1946</v>
      </c>
      <c r="I1950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B1946</v>
      </c>
      <c r="J1950" s="122" t="s">
        <v>3935</v>
      </c>
      <c r="K1950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C1946</v>
      </c>
      <c r="L1950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D1946</v>
      </c>
      <c r="M1950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E1946</v>
      </c>
      <c r="N1950" s="122" t="s">
        <v>73</v>
      </c>
      <c r="O1950" s="126" t="n">
        <v>3500000</v>
      </c>
      <c r="P1950" s="121" t="s">
        <v>18</v>
      </c>
      <c r="Q1950" s="121" t="s">
        <v>124</v>
      </c>
      <c r="R1950" s="127"/>
    </row>
    <row r="1951" s="118" customFormat="true" ht="12.75" hidden="false" customHeight="true" outlineLevel="0" collapsed="false">
      <c r="A1951" s="98"/>
      <c r="B1951" s="119" t="n">
        <f aca="false">ROW()-4</f>
        <v>1947</v>
      </c>
      <c r="C1951" s="120" t="n">
        <f aca="false">COUNTIFS($D$5:D1951,D1951)</f>
        <v>988</v>
      </c>
      <c r="D1951" s="121" t="s">
        <v>2006</v>
      </c>
      <c r="E1951" s="122" t="s">
        <v>3936</v>
      </c>
      <c r="F1951" s="123" t="n">
        <v>46062</v>
      </c>
      <c r="G1951" s="121" t="s">
        <v>28</v>
      </c>
      <c r="H1951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A1947</v>
      </c>
      <c r="I1951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B1947</v>
      </c>
      <c r="J1951" s="122" t="s">
        <v>3937</v>
      </c>
      <c r="K1951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C1947</v>
      </c>
      <c r="L1951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D1947</v>
      </c>
      <c r="M1951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E1947</v>
      </c>
      <c r="N1951" s="122" t="s">
        <v>73</v>
      </c>
      <c r="O1951" s="126" t="n">
        <v>3500000</v>
      </c>
      <c r="P1951" s="121" t="s">
        <v>18</v>
      </c>
      <c r="Q1951" s="121" t="s">
        <v>124</v>
      </c>
      <c r="R1951" s="127"/>
    </row>
    <row r="1952" s="118" customFormat="true" ht="12.75" hidden="false" customHeight="true" outlineLevel="0" collapsed="false">
      <c r="A1952" s="98"/>
      <c r="B1952" s="119" t="n">
        <f aca="false">ROW()-4</f>
        <v>1948</v>
      </c>
      <c r="C1952" s="120" t="n">
        <f aca="false">COUNTIFS($D$5:D1952,D1952)</f>
        <v>989</v>
      </c>
      <c r="D1952" s="121" t="s">
        <v>2006</v>
      </c>
      <c r="E1952" s="122" t="s">
        <v>3938</v>
      </c>
      <c r="F1952" s="123" t="n">
        <v>46062</v>
      </c>
      <c r="G1952" s="121" t="s">
        <v>26</v>
      </c>
      <c r="H1952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A1948</v>
      </c>
      <c r="I1952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B1948</v>
      </c>
      <c r="J1952" s="122" t="s">
        <v>3939</v>
      </c>
      <c r="K1952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C1948</v>
      </c>
      <c r="L1952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D1948</v>
      </c>
      <c r="M1952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E1948</v>
      </c>
      <c r="N1952" s="122" t="s">
        <v>73</v>
      </c>
      <c r="O1952" s="126" t="n">
        <v>3500000</v>
      </c>
      <c r="P1952" s="121" t="s">
        <v>18</v>
      </c>
      <c r="Q1952" s="121" t="s">
        <v>124</v>
      </c>
      <c r="R1952" s="127"/>
    </row>
    <row r="1953" s="118" customFormat="true" ht="12.75" hidden="false" customHeight="true" outlineLevel="0" collapsed="false">
      <c r="A1953" s="98"/>
      <c r="B1953" s="119" t="n">
        <f aca="false">ROW()-4</f>
        <v>1949</v>
      </c>
      <c r="C1953" s="120" t="n">
        <f aca="false">COUNTIFS($D$5:D1953,D1953)</f>
        <v>990</v>
      </c>
      <c r="D1953" s="121" t="s">
        <v>2006</v>
      </c>
      <c r="E1953" s="122" t="s">
        <v>3940</v>
      </c>
      <c r="F1953" s="123" t="n">
        <v>46062</v>
      </c>
      <c r="G1953" s="121" t="s">
        <v>28</v>
      </c>
      <c r="H1953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A1949</v>
      </c>
      <c r="I1953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B1949</v>
      </c>
      <c r="J1953" s="122" t="s">
        <v>3941</v>
      </c>
      <c r="K1953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C1949</v>
      </c>
      <c r="L1953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D1949</v>
      </c>
      <c r="M1953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E1949</v>
      </c>
      <c r="N1953" s="122" t="s">
        <v>73</v>
      </c>
      <c r="O1953" s="126" t="n">
        <v>3500000</v>
      </c>
      <c r="P1953" s="121" t="s">
        <v>18</v>
      </c>
      <c r="Q1953" s="121" t="s">
        <v>124</v>
      </c>
      <c r="R1953" s="127"/>
    </row>
    <row r="1954" s="118" customFormat="true" ht="12.75" hidden="false" customHeight="true" outlineLevel="0" collapsed="false">
      <c r="A1954" s="98"/>
      <c r="B1954" s="119" t="n">
        <f aca="false">ROW()-4</f>
        <v>1950</v>
      </c>
      <c r="C1954" s="120" t="n">
        <f aca="false">COUNTIFS($D$5:D1954,D1954)</f>
        <v>991</v>
      </c>
      <c r="D1954" s="121" t="s">
        <v>2006</v>
      </c>
      <c r="E1954" s="122" t="s">
        <v>3942</v>
      </c>
      <c r="F1954" s="123" t="n">
        <v>46062</v>
      </c>
      <c r="G1954" s="121" t="s">
        <v>28</v>
      </c>
      <c r="H1954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A1950</v>
      </c>
      <c r="I1954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B1950</v>
      </c>
      <c r="J1954" s="122" t="s">
        <v>3943</v>
      </c>
      <c r="K1954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C1950</v>
      </c>
      <c r="L1954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D1950</v>
      </c>
      <c r="M1954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E1950</v>
      </c>
      <c r="N1954" s="122" t="s">
        <v>73</v>
      </c>
      <c r="O1954" s="126" t="n">
        <v>3500000</v>
      </c>
      <c r="P1954" s="121" t="s">
        <v>18</v>
      </c>
      <c r="Q1954" s="121" t="s">
        <v>124</v>
      </c>
      <c r="R1954" s="127"/>
    </row>
    <row r="1955" s="118" customFormat="true" ht="12.75" hidden="false" customHeight="true" outlineLevel="0" collapsed="false">
      <c r="A1955" s="98"/>
      <c r="B1955" s="119" t="n">
        <f aca="false">ROW()-4</f>
        <v>1951</v>
      </c>
      <c r="C1955" s="120" t="n">
        <f aca="false">COUNTIFS($D$5:D1955,D1955)</f>
        <v>992</v>
      </c>
      <c r="D1955" s="121" t="s">
        <v>2006</v>
      </c>
      <c r="E1955" s="122" t="s">
        <v>3944</v>
      </c>
      <c r="F1955" s="123" t="n">
        <v>46062</v>
      </c>
      <c r="G1955" s="121" t="s">
        <v>28</v>
      </c>
      <c r="H1955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A1951</v>
      </c>
      <c r="I1955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B1951</v>
      </c>
      <c r="J1955" s="122" t="s">
        <v>3945</v>
      </c>
      <c r="K1955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C1951</v>
      </c>
      <c r="L1955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D1951</v>
      </c>
      <c r="M1955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E1951</v>
      </c>
      <c r="N1955" s="122" t="s">
        <v>73</v>
      </c>
      <c r="O1955" s="126" t="n">
        <v>3500000</v>
      </c>
      <c r="P1955" s="121" t="s">
        <v>18</v>
      </c>
      <c r="Q1955" s="121" t="s">
        <v>124</v>
      </c>
      <c r="R1955" s="127"/>
    </row>
    <row r="1956" s="118" customFormat="true" ht="12.75" hidden="false" customHeight="true" outlineLevel="0" collapsed="false">
      <c r="A1956" s="98"/>
      <c r="B1956" s="119" t="n">
        <f aca="false">ROW()-4</f>
        <v>1952</v>
      </c>
      <c r="C1956" s="120" t="n">
        <f aca="false">COUNTIFS($D$5:D1956,D1956)</f>
        <v>993</v>
      </c>
      <c r="D1956" s="121" t="s">
        <v>2006</v>
      </c>
      <c r="E1956" s="122" t="s">
        <v>3946</v>
      </c>
      <c r="F1956" s="123" t="n">
        <v>46062</v>
      </c>
      <c r="G1956" s="121" t="s">
        <v>22</v>
      </c>
      <c r="H1956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A1952</v>
      </c>
      <c r="I1956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B1952</v>
      </c>
      <c r="J1956" s="122" t="s">
        <v>3947</v>
      </c>
      <c r="K1956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C1952</v>
      </c>
      <c r="L1956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D1952</v>
      </c>
      <c r="M1956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E1952</v>
      </c>
      <c r="N1956" s="122" t="s">
        <v>73</v>
      </c>
      <c r="O1956" s="126" t="n">
        <v>3500000</v>
      </c>
      <c r="P1956" s="121" t="s">
        <v>18</v>
      </c>
      <c r="Q1956" s="121" t="s">
        <v>124</v>
      </c>
      <c r="R1956" s="127"/>
    </row>
    <row r="1957" s="118" customFormat="true" ht="12.75" hidden="false" customHeight="true" outlineLevel="0" collapsed="false">
      <c r="A1957" s="98"/>
      <c r="B1957" s="119" t="n">
        <f aca="false">ROW()-4</f>
        <v>1953</v>
      </c>
      <c r="C1957" s="120" t="n">
        <f aca="false">COUNTIFS($D$5:D1957,D1957)</f>
        <v>994</v>
      </c>
      <c r="D1957" s="121" t="s">
        <v>2006</v>
      </c>
      <c r="E1957" s="122" t="s">
        <v>3948</v>
      </c>
      <c r="F1957" s="123" t="n">
        <v>46062</v>
      </c>
      <c r="G1957" s="121" t="s">
        <v>22</v>
      </c>
      <c r="H1957" s="122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A1953</v>
      </c>
      <c r="I1957" s="122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B1953</v>
      </c>
      <c r="J1957" s="122" t="s">
        <v>3949</v>
      </c>
      <c r="K1957" s="122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C1953</v>
      </c>
      <c r="L1957" s="12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D1953</v>
      </c>
      <c r="M1957" s="122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E1953</v>
      </c>
      <c r="N1957" s="122" t="s">
        <v>73</v>
      </c>
      <c r="O1957" s="126" t="n">
        <v>3500000</v>
      </c>
      <c r="P1957" s="121" t="s">
        <v>18</v>
      </c>
      <c r="Q1957" s="121" t="s">
        <v>124</v>
      </c>
      <c r="R1957" s="127"/>
    </row>
    <row r="1958" s="118" customFormat="true" ht="12.75" hidden="false" customHeight="true" outlineLevel="0" collapsed="false">
      <c r="A1958" s="98"/>
      <c r="B1958" s="140" t="n">
        <f aca="false">ROW()-4</f>
        <v>1954</v>
      </c>
      <c r="C1958" s="141" t="n">
        <f aca="false">COUNTIFS($D$5:D1958,D1958)</f>
        <v>995</v>
      </c>
      <c r="D1958" s="142" t="s">
        <v>2006</v>
      </c>
      <c r="E1958" s="143" t="s">
        <v>3950</v>
      </c>
      <c r="F1958" s="144" t="n">
        <v>46062</v>
      </c>
      <c r="G1958" s="142" t="s">
        <v>24</v>
      </c>
      <c r="H1958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A1954</v>
      </c>
      <c r="I1958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B1954</v>
      </c>
      <c r="J1958" s="143" t="s">
        <v>3951</v>
      </c>
      <c r="K1958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C1954</v>
      </c>
      <c r="L1958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D1954</v>
      </c>
      <c r="M1958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E1954</v>
      </c>
      <c r="N1958" s="143" t="s">
        <v>73</v>
      </c>
      <c r="O1958" s="146" t="n">
        <v>3500000</v>
      </c>
      <c r="P1958" s="142" t="s">
        <v>1208</v>
      </c>
      <c r="Q1958" s="143" t="s">
        <v>908</v>
      </c>
      <c r="R1958" s="147"/>
    </row>
    <row r="1959" s="118" customFormat="true" ht="12.75" hidden="false" customHeight="true" outlineLevel="0" collapsed="false">
      <c r="A1959" s="98"/>
      <c r="B1959" s="140" t="n">
        <f aca="false">ROW()-4</f>
        <v>1955</v>
      </c>
      <c r="C1959" s="141" t="n">
        <f aca="false">COUNTIFS($D$5:D1959,D1959)</f>
        <v>996</v>
      </c>
      <c r="D1959" s="142" t="s">
        <v>2006</v>
      </c>
      <c r="E1959" s="143" t="s">
        <v>3952</v>
      </c>
      <c r="F1959" s="144" t="n">
        <v>46062</v>
      </c>
      <c r="G1959" s="142" t="s">
        <v>24</v>
      </c>
      <c r="H1959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A1955</v>
      </c>
      <c r="I1959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B1955</v>
      </c>
      <c r="J1959" s="143" t="s">
        <v>3953</v>
      </c>
      <c r="K1959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C1955</v>
      </c>
      <c r="L1959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D1955</v>
      </c>
      <c r="M1959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E1955</v>
      </c>
      <c r="N1959" s="143" t="s">
        <v>73</v>
      </c>
      <c r="O1959" s="146" t="n">
        <v>3500000</v>
      </c>
      <c r="P1959" s="142" t="s">
        <v>1208</v>
      </c>
      <c r="Q1959" s="143" t="s">
        <v>908</v>
      </c>
      <c r="R1959" s="147"/>
    </row>
    <row r="1960" s="118" customFormat="true" ht="12.75" hidden="false" customHeight="true" outlineLevel="0" collapsed="false">
      <c r="A1960" s="98"/>
      <c r="B1960" s="140" t="n">
        <f aca="false">ROW()-4</f>
        <v>1956</v>
      </c>
      <c r="C1960" s="141" t="n">
        <f aca="false">COUNTIFS($D$5:D1960,D1960)</f>
        <v>997</v>
      </c>
      <c r="D1960" s="142" t="s">
        <v>2006</v>
      </c>
      <c r="E1960" s="143" t="s">
        <v>3954</v>
      </c>
      <c r="F1960" s="144" t="n">
        <v>46062</v>
      </c>
      <c r="G1960" s="142" t="s">
        <v>24</v>
      </c>
      <c r="H1960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A1956</v>
      </c>
      <c r="I1960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B1956</v>
      </c>
      <c r="J1960" s="143" t="s">
        <v>3955</v>
      </c>
      <c r="K1960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C1956</v>
      </c>
      <c r="L1960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D1956</v>
      </c>
      <c r="M1960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E1956</v>
      </c>
      <c r="N1960" s="143" t="s">
        <v>73</v>
      </c>
      <c r="O1960" s="146" t="n">
        <v>3500000</v>
      </c>
      <c r="P1960" s="142" t="s">
        <v>1208</v>
      </c>
      <c r="Q1960" s="143" t="s">
        <v>908</v>
      </c>
      <c r="R1960" s="147"/>
    </row>
    <row r="1961" s="118" customFormat="true" ht="12.75" hidden="false" customHeight="true" outlineLevel="0" collapsed="false">
      <c r="A1961" s="98"/>
      <c r="B1961" s="140" t="n">
        <f aca="false">ROW()-4</f>
        <v>1957</v>
      </c>
      <c r="C1961" s="141" t="n">
        <f aca="false">COUNTIFS($D$5:D1961,D1961)</f>
        <v>998</v>
      </c>
      <c r="D1961" s="142" t="s">
        <v>2006</v>
      </c>
      <c r="E1961" s="143" t="s">
        <v>3956</v>
      </c>
      <c r="F1961" s="144" t="n">
        <v>46062</v>
      </c>
      <c r="G1961" s="142" t="s">
        <v>24</v>
      </c>
      <c r="H1961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A1957</v>
      </c>
      <c r="I1961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B1957</v>
      </c>
      <c r="J1961" s="143" t="s">
        <v>3957</v>
      </c>
      <c r="K1961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C1957</v>
      </c>
      <c r="L1961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D1957</v>
      </c>
      <c r="M1961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E1957</v>
      </c>
      <c r="N1961" s="143" t="s">
        <v>73</v>
      </c>
      <c r="O1961" s="146" t="n">
        <v>3500000</v>
      </c>
      <c r="P1961" s="142" t="s">
        <v>1208</v>
      </c>
      <c r="Q1961" s="143" t="s">
        <v>908</v>
      </c>
      <c r="R1961" s="147"/>
    </row>
    <row r="1962" s="118" customFormat="true" ht="12.75" hidden="false" customHeight="true" outlineLevel="0" collapsed="false">
      <c r="A1962" s="98"/>
      <c r="B1962" s="140" t="n">
        <f aca="false">ROW()-4</f>
        <v>1958</v>
      </c>
      <c r="C1962" s="141" t="n">
        <f aca="false">COUNTIFS($D$5:D1962,D1962)</f>
        <v>999</v>
      </c>
      <c r="D1962" s="142" t="s">
        <v>2006</v>
      </c>
      <c r="E1962" s="143" t="s">
        <v>3958</v>
      </c>
      <c r="F1962" s="144" t="n">
        <v>46062</v>
      </c>
      <c r="G1962" s="142" t="s">
        <v>24</v>
      </c>
      <c r="H1962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A1958</v>
      </c>
      <c r="I1962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B1958</v>
      </c>
      <c r="J1962" s="143" t="s">
        <v>3959</v>
      </c>
      <c r="K1962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C1958</v>
      </c>
      <c r="L1962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D1958</v>
      </c>
      <c r="M1962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E1958</v>
      </c>
      <c r="N1962" s="143" t="s">
        <v>73</v>
      </c>
      <c r="O1962" s="146" t="n">
        <v>3500000</v>
      </c>
      <c r="P1962" s="142" t="s">
        <v>1208</v>
      </c>
      <c r="Q1962" s="143" t="s">
        <v>908</v>
      </c>
      <c r="R1962" s="147"/>
    </row>
    <row r="1963" s="118" customFormat="true" ht="12.75" hidden="false" customHeight="true" outlineLevel="0" collapsed="false">
      <c r="A1963" s="98"/>
      <c r="B1963" s="140" t="n">
        <f aca="false">ROW()-4</f>
        <v>1959</v>
      </c>
      <c r="C1963" s="141" t="n">
        <f aca="false">COUNTIFS($D$5:D1963,D1963)</f>
        <v>1000</v>
      </c>
      <c r="D1963" s="142" t="s">
        <v>2006</v>
      </c>
      <c r="E1963" s="143" t="s">
        <v>3960</v>
      </c>
      <c r="F1963" s="144" t="n">
        <v>46062</v>
      </c>
      <c r="G1963" s="142" t="s">
        <v>30</v>
      </c>
      <c r="H1963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A1959</v>
      </c>
      <c r="I1963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B1959</v>
      </c>
      <c r="J1963" s="143" t="s">
        <v>3961</v>
      </c>
      <c r="K1963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C1959</v>
      </c>
      <c r="L1963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D1959</v>
      </c>
      <c r="M1963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E1959</v>
      </c>
      <c r="N1963" s="143" t="s">
        <v>73</v>
      </c>
      <c r="O1963" s="146" t="n">
        <v>3500000</v>
      </c>
      <c r="P1963" s="142" t="s">
        <v>1208</v>
      </c>
      <c r="Q1963" s="143" t="s">
        <v>908</v>
      </c>
      <c r="R1963" s="147"/>
    </row>
    <row r="1964" s="118" customFormat="true" ht="12.75" hidden="false" customHeight="true" outlineLevel="0" collapsed="false">
      <c r="A1964" s="98"/>
      <c r="B1964" s="140" t="n">
        <f aca="false">ROW()-4</f>
        <v>1960</v>
      </c>
      <c r="C1964" s="141" t="n">
        <f aca="false">COUNTIFS($D$5:D1964,D1964)</f>
        <v>1001</v>
      </c>
      <c r="D1964" s="142" t="s">
        <v>2006</v>
      </c>
      <c r="E1964" s="143" t="s">
        <v>3962</v>
      </c>
      <c r="F1964" s="144" t="n">
        <v>46062</v>
      </c>
      <c r="G1964" s="142" t="s">
        <v>30</v>
      </c>
      <c r="H1964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A1960</v>
      </c>
      <c r="I1964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B1960</v>
      </c>
      <c r="J1964" s="143" t="s">
        <v>3963</v>
      </c>
      <c r="K1964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C1960</v>
      </c>
      <c r="L1964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D1960</v>
      </c>
      <c r="M1964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E1960</v>
      </c>
      <c r="N1964" s="143" t="s">
        <v>73</v>
      </c>
      <c r="O1964" s="146" t="n">
        <v>3500000</v>
      </c>
      <c r="P1964" s="142" t="s">
        <v>1208</v>
      </c>
      <c r="Q1964" s="143" t="s">
        <v>908</v>
      </c>
      <c r="R1964" s="147"/>
    </row>
    <row r="1965" s="118" customFormat="true" ht="12.75" hidden="false" customHeight="true" outlineLevel="0" collapsed="false">
      <c r="A1965" s="98"/>
      <c r="B1965" s="140" t="n">
        <f aca="false">ROW()-4</f>
        <v>1961</v>
      </c>
      <c r="C1965" s="141" t="n">
        <f aca="false">COUNTIFS($D$5:D1965,D1965)</f>
        <v>1002</v>
      </c>
      <c r="D1965" s="142" t="s">
        <v>2006</v>
      </c>
      <c r="E1965" s="143" t="s">
        <v>3964</v>
      </c>
      <c r="F1965" s="144" t="n">
        <v>46062</v>
      </c>
      <c r="G1965" s="142" t="s">
        <v>28</v>
      </c>
      <c r="H1965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A1961</v>
      </c>
      <c r="I1965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B1961</v>
      </c>
      <c r="J1965" s="143" t="s">
        <v>3965</v>
      </c>
      <c r="K1965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C1961</v>
      </c>
      <c r="L1965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D1961</v>
      </c>
      <c r="M1965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E1961</v>
      </c>
      <c r="N1965" s="143" t="s">
        <v>73</v>
      </c>
      <c r="O1965" s="146" t="n">
        <v>3500000</v>
      </c>
      <c r="P1965" s="142" t="s">
        <v>1208</v>
      </c>
      <c r="Q1965" s="143" t="s">
        <v>908</v>
      </c>
      <c r="R1965" s="147"/>
    </row>
    <row r="1966" s="118" customFormat="true" ht="12.75" hidden="false" customHeight="true" outlineLevel="0" collapsed="false">
      <c r="A1966" s="98"/>
      <c r="B1966" s="140" t="n">
        <f aca="false">ROW()-4</f>
        <v>1962</v>
      </c>
      <c r="C1966" s="141" t="n">
        <f aca="false">COUNTIFS($D$5:D1966,D1966)</f>
        <v>1003</v>
      </c>
      <c r="D1966" s="142" t="s">
        <v>2006</v>
      </c>
      <c r="E1966" s="143" t="s">
        <v>3966</v>
      </c>
      <c r="F1966" s="144" t="n">
        <v>46062</v>
      </c>
      <c r="G1966" s="142" t="s">
        <v>22</v>
      </c>
      <c r="H1966" s="143" t="str">
        <f aca="false">
IF(LEN("A"&amp;"000"&amp;ROW()-4)=5,"A"&amp;"000"&amp;ROW()-4,
IF(LEN("A"&amp;"000"&amp;ROW()-4)=6,"A"&amp;"00"&amp;ROW()-4,
IF(LEN("A"&amp;"000"&amp;ROW()-4)=7,"A"&amp;"0"&amp;ROW()-4,
IF(LEN("A"&amp;"000"&amp;ROW()-4)=8,"A"&amp;ROW()-4,
"Error"))))</f>
        <v>A1962</v>
      </c>
      <c r="I1966" s="143" t="str">
        <f aca="false">
IF(LEN("B"&amp;"000"&amp;ROW()-4)=5,"B"&amp;"000"&amp;ROW()-4,
IF(LEN("B"&amp;"000"&amp;ROW()-4)=6,"B"&amp;"00"&amp;ROW()-4,
IF(LEN("B"&amp;"000"&amp;ROW()-4)=7,"B"&amp;"0"&amp;ROW()-4,
IF(LEN("B"&amp;"000"&amp;ROW()-4)=8,"B"&amp;ROW()-4,
"Error"))))</f>
        <v>B1962</v>
      </c>
      <c r="J1966" s="143" t="s">
        <v>3967</v>
      </c>
      <c r="K1966" s="143" t="str">
        <f aca="false">
IF(LEN("C"&amp;"000"&amp;ROW()-4)=5,"C"&amp;"000"&amp;ROW()-4,
IF(LEN("C"&amp;"000"&amp;ROW()-4)=6,"C"&amp;"00"&amp;ROW()-4,
IF(LEN("C"&amp;"000"&amp;ROW()-4)=7,"C"&amp;"0"&amp;ROW()-4,
IF(LEN("C"&amp;"000"&amp;ROW()-4)=8,"C"&amp;ROW()-4,
"Error"))))</f>
        <v>C1962</v>
      </c>
      <c r="L1966" s="145" t="str">
        <f aca="false">
IF(LEN("D"&amp;"000"&amp;ROW()-4)=5,"D"&amp;"000"&amp;ROW()-4,
IF(LEN("D"&amp;"000"&amp;ROW()-4)=6,"D"&amp;"00"&amp;ROW()-4,
IF(LEN("D"&amp;"000"&amp;ROW()-4)=7,"D"&amp;"0"&amp;ROW()-4,
IF(LEN("D"&amp;"000"&amp;ROW()-4)=8,"D"&amp;ROW()-4,
"Error"))))</f>
        <v>D1962</v>
      </c>
      <c r="M1966" s="143" t="str">
        <f aca="false">
IF(LEN("E"&amp;"000"&amp;ROW()-4)=5,"E"&amp;"000"&amp;ROW()-4,
IF(LEN("E"&amp;"000"&amp;ROW()-4)=6,"E"&amp;"00"&amp;ROW()-4,
IF(LEN("E"&amp;"000"&amp;ROW()-4)=7,"E"&amp;"0"&amp;ROW()-4,
IF(LEN("E"&amp;"000"&amp;ROW()-4)=8,"E"&amp;ROW()-4,
"Error"))))</f>
        <v>E1962</v>
      </c>
      <c r="N1966" s="143" t="s">
        <v>73</v>
      </c>
      <c r="O1966" s="146" t="n">
        <v>3500000</v>
      </c>
      <c r="P1966" s="142" t="s">
        <v>1208</v>
      </c>
      <c r="Q1966" s="143" t="s">
        <v>908</v>
      </c>
      <c r="R1966" s="147"/>
    </row>
    <row r="1967" s="118" customFormat="true" ht="12.75" hidden="false" customHeight="true" outlineLevel="0" collapsed="false">
      <c r="A1967" s="98"/>
      <c r="B1967" s="119"/>
      <c r="C1967" s="120"/>
      <c r="D1967" s="122"/>
      <c r="E1967" s="122"/>
      <c r="F1967" s="123"/>
      <c r="G1967" s="122"/>
      <c r="H1967" s="122"/>
      <c r="I1967" s="122"/>
      <c r="J1967" s="122"/>
      <c r="K1967" s="122"/>
      <c r="L1967" s="125"/>
      <c r="M1967" s="122"/>
      <c r="N1967" s="122"/>
      <c r="O1967" s="126"/>
      <c r="P1967" s="122"/>
      <c r="Q1967" s="122"/>
      <c r="R1967" s="127"/>
    </row>
    <row r="1968" s="118" customFormat="true" ht="12.75" hidden="false" customHeight="true" outlineLevel="0" collapsed="false">
      <c r="A1968" s="98"/>
      <c r="B1968" s="119"/>
      <c r="C1968" s="120"/>
      <c r="D1968" s="122"/>
      <c r="E1968" s="122"/>
      <c r="F1968" s="123"/>
      <c r="G1968" s="122"/>
      <c r="H1968" s="122"/>
      <c r="I1968" s="122"/>
      <c r="J1968" s="122"/>
      <c r="K1968" s="122"/>
      <c r="L1968" s="125"/>
      <c r="M1968" s="122"/>
      <c r="N1968" s="122"/>
      <c r="O1968" s="126"/>
      <c r="P1968" s="122"/>
      <c r="Q1968" s="122"/>
      <c r="R1968" s="127"/>
    </row>
    <row r="1969" s="118" customFormat="true" ht="12.75" hidden="false" customHeight="true" outlineLevel="0" collapsed="false">
      <c r="A1969" s="98"/>
      <c r="B1969" s="119"/>
      <c r="C1969" s="120"/>
      <c r="D1969" s="122"/>
      <c r="E1969" s="122"/>
      <c r="F1969" s="123"/>
      <c r="G1969" s="122"/>
      <c r="H1969" s="122"/>
      <c r="I1969" s="122"/>
      <c r="J1969" s="122"/>
      <c r="K1969" s="122"/>
      <c r="L1969" s="125"/>
      <c r="M1969" s="122"/>
      <c r="N1969" s="122"/>
      <c r="O1969" s="126"/>
      <c r="P1969" s="122"/>
      <c r="Q1969" s="122"/>
      <c r="R1969" s="127"/>
    </row>
    <row r="1970" s="118" customFormat="true" ht="12.75" hidden="false" customHeight="true" outlineLevel="0" collapsed="false">
      <c r="A1970" s="98"/>
      <c r="B1970" s="119"/>
      <c r="C1970" s="120"/>
      <c r="D1970" s="122"/>
      <c r="E1970" s="122"/>
      <c r="F1970" s="123"/>
      <c r="G1970" s="122"/>
      <c r="H1970" s="122"/>
      <c r="I1970" s="122"/>
      <c r="J1970" s="122"/>
      <c r="K1970" s="122"/>
      <c r="L1970" s="125"/>
      <c r="M1970" s="122"/>
      <c r="N1970" s="122"/>
      <c r="O1970" s="126"/>
      <c r="P1970" s="122"/>
      <c r="Q1970" s="122"/>
      <c r="R1970" s="127"/>
    </row>
    <row r="1971" s="118" customFormat="true" ht="12.75" hidden="false" customHeight="true" outlineLevel="0" collapsed="false">
      <c r="A1971" s="98"/>
      <c r="B1971" s="119"/>
      <c r="C1971" s="120"/>
      <c r="D1971" s="122"/>
      <c r="E1971" s="122"/>
      <c r="F1971" s="123"/>
      <c r="G1971" s="122"/>
      <c r="H1971" s="122"/>
      <c r="I1971" s="122"/>
      <c r="J1971" s="122"/>
      <c r="K1971" s="122"/>
      <c r="L1971" s="125"/>
      <c r="M1971" s="122"/>
      <c r="N1971" s="122"/>
      <c r="O1971" s="126"/>
      <c r="P1971" s="122"/>
      <c r="Q1971" s="122"/>
      <c r="R1971" s="127"/>
    </row>
    <row r="1972" s="118" customFormat="true" ht="12.75" hidden="false" customHeight="true" outlineLevel="0" collapsed="false">
      <c r="A1972" s="98"/>
      <c r="B1972" s="119"/>
      <c r="C1972" s="120"/>
      <c r="D1972" s="122"/>
      <c r="E1972" s="122"/>
      <c r="F1972" s="123"/>
      <c r="G1972" s="122"/>
      <c r="H1972" s="122"/>
      <c r="I1972" s="122"/>
      <c r="J1972" s="122"/>
      <c r="K1972" s="122"/>
      <c r="L1972" s="125"/>
      <c r="M1972" s="122"/>
      <c r="N1972" s="122"/>
      <c r="O1972" s="126"/>
      <c r="P1972" s="122"/>
      <c r="Q1972" s="122"/>
      <c r="R1972" s="127"/>
    </row>
    <row r="1973" s="118" customFormat="true" ht="12.75" hidden="false" customHeight="true" outlineLevel="0" collapsed="false">
      <c r="A1973" s="98"/>
      <c r="B1973" s="119"/>
      <c r="C1973" s="120"/>
      <c r="D1973" s="122"/>
      <c r="E1973" s="122"/>
      <c r="F1973" s="123"/>
      <c r="G1973" s="122"/>
      <c r="H1973" s="122"/>
      <c r="I1973" s="122"/>
      <c r="J1973" s="122"/>
      <c r="K1973" s="122"/>
      <c r="L1973" s="125"/>
      <c r="M1973" s="122"/>
      <c r="N1973" s="122"/>
      <c r="O1973" s="126"/>
      <c r="P1973" s="122"/>
      <c r="Q1973" s="122"/>
      <c r="R1973" s="127"/>
    </row>
    <row r="1974" s="118" customFormat="true" ht="12.75" hidden="false" customHeight="true" outlineLevel="0" collapsed="false">
      <c r="A1974" s="98"/>
      <c r="B1974" s="119"/>
      <c r="C1974" s="120"/>
      <c r="D1974" s="122"/>
      <c r="E1974" s="122"/>
      <c r="F1974" s="123"/>
      <c r="G1974" s="122"/>
      <c r="H1974" s="122"/>
      <c r="I1974" s="122"/>
      <c r="J1974" s="122"/>
      <c r="K1974" s="122"/>
      <c r="L1974" s="125"/>
      <c r="M1974" s="122"/>
      <c r="N1974" s="122"/>
      <c r="O1974" s="126"/>
      <c r="P1974" s="122"/>
      <c r="Q1974" s="122"/>
      <c r="R1974" s="127"/>
    </row>
    <row r="1975" s="118" customFormat="true" ht="12.75" hidden="false" customHeight="true" outlineLevel="0" collapsed="false">
      <c r="A1975" s="98"/>
      <c r="B1975" s="119"/>
      <c r="C1975" s="120"/>
      <c r="D1975" s="122"/>
      <c r="E1975" s="122"/>
      <c r="F1975" s="123"/>
      <c r="G1975" s="122"/>
      <c r="H1975" s="122"/>
      <c r="I1975" s="122"/>
      <c r="J1975" s="122"/>
      <c r="K1975" s="122"/>
      <c r="L1975" s="125"/>
      <c r="M1975" s="122"/>
      <c r="N1975" s="122"/>
      <c r="O1975" s="126"/>
      <c r="P1975" s="122"/>
      <c r="Q1975" s="122"/>
      <c r="R1975" s="127"/>
    </row>
    <row r="1976" s="118" customFormat="true" ht="12.75" hidden="false" customHeight="true" outlineLevel="0" collapsed="false">
      <c r="A1976" s="98"/>
      <c r="B1976" s="119"/>
      <c r="C1976" s="120"/>
      <c r="D1976" s="122"/>
      <c r="E1976" s="122"/>
      <c r="F1976" s="123"/>
      <c r="G1976" s="122"/>
      <c r="H1976" s="122"/>
      <c r="I1976" s="122"/>
      <c r="J1976" s="122"/>
      <c r="K1976" s="122"/>
      <c r="L1976" s="125"/>
      <c r="M1976" s="122"/>
      <c r="N1976" s="122"/>
      <c r="O1976" s="126"/>
      <c r="P1976" s="122"/>
      <c r="Q1976" s="122"/>
      <c r="R1976" s="127"/>
    </row>
    <row r="1977" s="118" customFormat="true" ht="12.75" hidden="false" customHeight="true" outlineLevel="0" collapsed="false">
      <c r="A1977" s="98"/>
      <c r="B1977" s="119"/>
      <c r="C1977" s="120"/>
      <c r="D1977" s="122"/>
      <c r="E1977" s="122"/>
      <c r="F1977" s="123"/>
      <c r="G1977" s="122"/>
      <c r="H1977" s="122"/>
      <c r="I1977" s="122"/>
      <c r="J1977" s="122"/>
      <c r="K1977" s="122"/>
      <c r="L1977" s="125"/>
      <c r="M1977" s="122"/>
      <c r="N1977" s="122"/>
      <c r="O1977" s="126"/>
      <c r="P1977" s="122"/>
      <c r="Q1977" s="122"/>
      <c r="R1977" s="127"/>
    </row>
    <row r="1978" s="118" customFormat="true" ht="12.75" hidden="false" customHeight="true" outlineLevel="0" collapsed="false">
      <c r="A1978" s="98"/>
      <c r="B1978" s="119"/>
      <c r="C1978" s="120"/>
      <c r="D1978" s="122"/>
      <c r="E1978" s="122"/>
      <c r="F1978" s="123"/>
      <c r="G1978" s="122"/>
      <c r="H1978" s="122"/>
      <c r="I1978" s="122"/>
      <c r="J1978" s="122"/>
      <c r="K1978" s="122"/>
      <c r="L1978" s="125"/>
      <c r="M1978" s="122"/>
      <c r="N1978" s="122"/>
      <c r="O1978" s="126"/>
      <c r="P1978" s="122"/>
      <c r="Q1978" s="122"/>
      <c r="R1978" s="127"/>
    </row>
    <row r="1979" s="118" customFormat="true" ht="12.75" hidden="false" customHeight="true" outlineLevel="0" collapsed="false">
      <c r="A1979" s="98"/>
      <c r="B1979" s="119"/>
      <c r="C1979" s="120"/>
      <c r="D1979" s="122"/>
      <c r="E1979" s="122"/>
      <c r="F1979" s="123"/>
      <c r="G1979" s="122"/>
      <c r="H1979" s="122"/>
      <c r="I1979" s="122"/>
      <c r="J1979" s="122"/>
      <c r="K1979" s="122"/>
      <c r="L1979" s="125"/>
      <c r="M1979" s="122"/>
      <c r="N1979" s="122"/>
      <c r="O1979" s="126"/>
      <c r="P1979" s="122"/>
      <c r="Q1979" s="122"/>
      <c r="R1979" s="127"/>
    </row>
    <row r="1980" s="118" customFormat="true" ht="12.75" hidden="false" customHeight="true" outlineLevel="0" collapsed="false">
      <c r="A1980" s="98"/>
      <c r="B1980" s="119"/>
      <c r="C1980" s="120"/>
      <c r="D1980" s="122"/>
      <c r="E1980" s="122"/>
      <c r="F1980" s="123"/>
      <c r="G1980" s="122"/>
      <c r="H1980" s="122"/>
      <c r="I1980" s="122"/>
      <c r="J1980" s="122"/>
      <c r="K1980" s="122"/>
      <c r="L1980" s="125"/>
      <c r="M1980" s="122"/>
      <c r="N1980" s="122"/>
      <c r="O1980" s="126"/>
      <c r="P1980" s="122"/>
      <c r="Q1980" s="122"/>
      <c r="R1980" s="127"/>
    </row>
    <row r="1981" s="118" customFormat="true" ht="12.75" hidden="false" customHeight="true" outlineLevel="0" collapsed="false">
      <c r="A1981" s="98"/>
      <c r="B1981" s="119"/>
      <c r="C1981" s="120"/>
      <c r="D1981" s="122"/>
      <c r="E1981" s="122"/>
      <c r="F1981" s="123"/>
      <c r="G1981" s="122"/>
      <c r="H1981" s="122"/>
      <c r="I1981" s="122"/>
      <c r="J1981" s="122"/>
      <c r="K1981" s="122"/>
      <c r="L1981" s="125"/>
      <c r="M1981" s="122"/>
      <c r="N1981" s="122"/>
      <c r="O1981" s="126"/>
      <c r="P1981" s="122"/>
      <c r="Q1981" s="122"/>
      <c r="R1981" s="127"/>
    </row>
    <row r="1982" s="118" customFormat="true" ht="12.75" hidden="false" customHeight="true" outlineLevel="0" collapsed="false">
      <c r="A1982" s="98"/>
      <c r="B1982" s="119"/>
      <c r="C1982" s="120"/>
      <c r="D1982" s="122"/>
      <c r="E1982" s="122"/>
      <c r="F1982" s="123"/>
      <c r="G1982" s="122"/>
      <c r="H1982" s="122"/>
      <c r="I1982" s="122"/>
      <c r="J1982" s="122"/>
      <c r="K1982" s="122"/>
      <c r="L1982" s="125"/>
      <c r="M1982" s="122"/>
      <c r="N1982" s="122"/>
      <c r="O1982" s="126"/>
      <c r="P1982" s="122"/>
      <c r="Q1982" s="122"/>
      <c r="R1982" s="127"/>
    </row>
    <row r="1983" s="118" customFormat="true" ht="12.75" hidden="false" customHeight="true" outlineLevel="0" collapsed="false">
      <c r="A1983" s="98"/>
      <c r="B1983" s="119"/>
      <c r="C1983" s="120"/>
      <c r="D1983" s="122"/>
      <c r="E1983" s="122"/>
      <c r="F1983" s="123"/>
      <c r="G1983" s="122"/>
      <c r="H1983" s="122"/>
      <c r="I1983" s="122"/>
      <c r="J1983" s="122"/>
      <c r="K1983" s="122"/>
      <c r="L1983" s="125"/>
      <c r="M1983" s="122"/>
      <c r="N1983" s="122"/>
      <c r="O1983" s="126"/>
      <c r="P1983" s="122"/>
      <c r="Q1983" s="122"/>
      <c r="R1983" s="127"/>
    </row>
    <row r="1984" s="118" customFormat="true" ht="12.75" hidden="false" customHeight="true" outlineLevel="0" collapsed="false">
      <c r="A1984" s="98"/>
      <c r="B1984" s="119"/>
      <c r="C1984" s="120"/>
      <c r="D1984" s="122"/>
      <c r="E1984" s="122"/>
      <c r="F1984" s="123"/>
      <c r="G1984" s="122"/>
      <c r="H1984" s="122"/>
      <c r="I1984" s="122"/>
      <c r="J1984" s="122"/>
      <c r="K1984" s="122"/>
      <c r="L1984" s="125"/>
      <c r="M1984" s="122"/>
      <c r="N1984" s="122"/>
      <c r="O1984" s="126"/>
      <c r="P1984" s="122"/>
      <c r="Q1984" s="122"/>
      <c r="R1984" s="127"/>
    </row>
    <row r="1985" s="118" customFormat="true" ht="12.75" hidden="false" customHeight="true" outlineLevel="0" collapsed="false">
      <c r="A1985" s="98"/>
      <c r="B1985" s="119"/>
      <c r="C1985" s="120"/>
      <c r="D1985" s="122"/>
      <c r="E1985" s="122"/>
      <c r="F1985" s="123"/>
      <c r="G1985" s="122"/>
      <c r="H1985" s="122"/>
      <c r="I1985" s="122"/>
      <c r="J1985" s="122"/>
      <c r="K1985" s="122"/>
      <c r="L1985" s="125"/>
      <c r="M1985" s="122"/>
      <c r="N1985" s="122"/>
      <c r="O1985" s="126"/>
      <c r="P1985" s="122"/>
      <c r="Q1985" s="122"/>
      <c r="R1985" s="127"/>
    </row>
    <row r="1986" s="118" customFormat="true" ht="12.75" hidden="false" customHeight="true" outlineLevel="0" collapsed="false">
      <c r="A1986" s="98"/>
      <c r="B1986" s="119"/>
      <c r="C1986" s="120"/>
      <c r="D1986" s="122"/>
      <c r="E1986" s="122"/>
      <c r="F1986" s="123"/>
      <c r="G1986" s="122"/>
      <c r="H1986" s="122"/>
      <c r="I1986" s="122"/>
      <c r="J1986" s="122"/>
      <c r="K1986" s="122"/>
      <c r="L1986" s="125"/>
      <c r="M1986" s="122"/>
      <c r="N1986" s="122"/>
      <c r="O1986" s="126"/>
      <c r="P1986" s="122"/>
      <c r="Q1986" s="122"/>
      <c r="R1986" s="127"/>
    </row>
    <row r="1987" s="118" customFormat="true" ht="12.75" hidden="false" customHeight="true" outlineLevel="0" collapsed="false">
      <c r="A1987" s="98"/>
      <c r="B1987" s="119"/>
      <c r="C1987" s="120"/>
      <c r="D1987" s="122"/>
      <c r="E1987" s="122"/>
      <c r="F1987" s="123"/>
      <c r="G1987" s="122"/>
      <c r="H1987" s="122"/>
      <c r="I1987" s="122"/>
      <c r="J1987" s="122"/>
      <c r="K1987" s="122"/>
      <c r="L1987" s="125"/>
      <c r="M1987" s="122"/>
      <c r="N1987" s="122"/>
      <c r="O1987" s="126"/>
      <c r="P1987" s="122"/>
      <c r="Q1987" s="122"/>
      <c r="R1987" s="127"/>
    </row>
    <row r="1988" s="118" customFormat="true" ht="12.75" hidden="false" customHeight="true" outlineLevel="0" collapsed="false">
      <c r="A1988" s="98"/>
      <c r="B1988" s="119"/>
      <c r="C1988" s="120"/>
      <c r="D1988" s="122"/>
      <c r="E1988" s="122"/>
      <c r="F1988" s="123"/>
      <c r="G1988" s="122"/>
      <c r="H1988" s="122"/>
      <c r="I1988" s="122"/>
      <c r="J1988" s="122"/>
      <c r="K1988" s="122"/>
      <c r="L1988" s="125"/>
      <c r="M1988" s="122"/>
      <c r="N1988" s="122"/>
      <c r="O1988" s="126"/>
      <c r="P1988" s="122"/>
      <c r="Q1988" s="122"/>
      <c r="R1988" s="127"/>
    </row>
    <row r="1989" s="118" customFormat="true" ht="12.75" hidden="false" customHeight="true" outlineLevel="0" collapsed="false">
      <c r="A1989" s="98"/>
      <c r="B1989" s="119"/>
      <c r="C1989" s="120"/>
      <c r="D1989" s="122"/>
      <c r="E1989" s="122"/>
      <c r="F1989" s="123"/>
      <c r="G1989" s="122"/>
      <c r="H1989" s="122"/>
      <c r="I1989" s="122"/>
      <c r="J1989" s="122"/>
      <c r="K1989" s="122"/>
      <c r="L1989" s="125"/>
      <c r="M1989" s="122"/>
      <c r="N1989" s="122"/>
      <c r="O1989" s="126"/>
      <c r="P1989" s="122"/>
      <c r="Q1989" s="122"/>
      <c r="R1989" s="127"/>
    </row>
    <row r="1990" s="118" customFormat="true" ht="12.75" hidden="false" customHeight="true" outlineLevel="0" collapsed="false">
      <c r="A1990" s="98"/>
      <c r="B1990" s="119"/>
      <c r="C1990" s="120"/>
      <c r="D1990" s="122"/>
      <c r="E1990" s="122"/>
      <c r="F1990" s="123"/>
      <c r="G1990" s="122"/>
      <c r="H1990" s="122"/>
      <c r="I1990" s="122"/>
      <c r="J1990" s="122"/>
      <c r="K1990" s="122"/>
      <c r="L1990" s="125"/>
      <c r="M1990" s="122"/>
      <c r="N1990" s="122"/>
      <c r="O1990" s="126"/>
      <c r="P1990" s="122"/>
      <c r="Q1990" s="122"/>
      <c r="R1990" s="127"/>
    </row>
    <row r="1991" s="118" customFormat="true" ht="12.75" hidden="false" customHeight="true" outlineLevel="0" collapsed="false">
      <c r="A1991" s="98"/>
      <c r="B1991" s="119"/>
      <c r="C1991" s="120"/>
      <c r="D1991" s="122"/>
      <c r="E1991" s="122"/>
      <c r="F1991" s="123"/>
      <c r="G1991" s="122"/>
      <c r="H1991" s="122"/>
      <c r="I1991" s="122"/>
      <c r="J1991" s="122"/>
      <c r="K1991" s="122"/>
      <c r="L1991" s="125"/>
      <c r="M1991" s="122"/>
      <c r="N1991" s="122"/>
      <c r="O1991" s="126"/>
      <c r="P1991" s="122"/>
      <c r="Q1991" s="122"/>
      <c r="R1991" s="127"/>
    </row>
    <row r="1992" s="118" customFormat="true" ht="12.75" hidden="false" customHeight="true" outlineLevel="0" collapsed="false">
      <c r="A1992" s="98"/>
      <c r="B1992" s="119"/>
      <c r="C1992" s="120"/>
      <c r="D1992" s="122"/>
      <c r="E1992" s="122"/>
      <c r="F1992" s="123"/>
      <c r="G1992" s="122"/>
      <c r="H1992" s="122"/>
      <c r="I1992" s="122"/>
      <c r="J1992" s="122"/>
      <c r="K1992" s="122"/>
      <c r="L1992" s="125"/>
      <c r="M1992" s="122"/>
      <c r="N1992" s="122"/>
      <c r="O1992" s="126"/>
      <c r="P1992" s="122"/>
      <c r="Q1992" s="122"/>
      <c r="R1992" s="127"/>
    </row>
    <row r="1993" s="118" customFormat="true" ht="12.75" hidden="false" customHeight="true" outlineLevel="0" collapsed="false">
      <c r="A1993" s="98"/>
      <c r="B1993" s="119"/>
      <c r="C1993" s="120"/>
      <c r="D1993" s="122"/>
      <c r="E1993" s="122"/>
      <c r="F1993" s="123"/>
      <c r="G1993" s="122"/>
      <c r="H1993" s="122"/>
      <c r="I1993" s="122"/>
      <c r="J1993" s="122"/>
      <c r="K1993" s="122"/>
      <c r="L1993" s="125"/>
      <c r="M1993" s="122"/>
      <c r="N1993" s="122"/>
      <c r="O1993" s="126"/>
      <c r="P1993" s="122"/>
      <c r="Q1993" s="122"/>
      <c r="R1993" s="127"/>
    </row>
    <row r="1994" s="118" customFormat="true" ht="12.75" hidden="false" customHeight="true" outlineLevel="0" collapsed="false">
      <c r="A1994" s="98"/>
      <c r="B1994" s="119"/>
      <c r="C1994" s="120"/>
      <c r="D1994" s="122"/>
      <c r="E1994" s="122"/>
      <c r="F1994" s="123"/>
      <c r="G1994" s="122"/>
      <c r="H1994" s="122"/>
      <c r="I1994" s="122"/>
      <c r="J1994" s="122"/>
      <c r="K1994" s="122"/>
      <c r="L1994" s="125"/>
      <c r="M1994" s="122"/>
      <c r="N1994" s="122"/>
      <c r="O1994" s="126"/>
      <c r="P1994" s="122"/>
      <c r="Q1994" s="122"/>
      <c r="R1994" s="127"/>
    </row>
    <row r="1995" s="118" customFormat="true" ht="12.75" hidden="false" customHeight="true" outlineLevel="0" collapsed="false">
      <c r="A1995" s="98"/>
      <c r="B1995" s="119"/>
      <c r="C1995" s="120"/>
      <c r="D1995" s="122"/>
      <c r="E1995" s="122"/>
      <c r="F1995" s="123"/>
      <c r="G1995" s="122"/>
      <c r="H1995" s="122"/>
      <c r="I1995" s="122"/>
      <c r="J1995" s="122"/>
      <c r="K1995" s="122"/>
      <c r="L1995" s="125"/>
      <c r="M1995" s="122"/>
      <c r="N1995" s="122"/>
      <c r="O1995" s="126"/>
      <c r="P1995" s="122"/>
      <c r="Q1995" s="122"/>
      <c r="R1995" s="127"/>
    </row>
  </sheetData>
  <autoFilter ref="A4:T4"/>
  <mergeCells count="16">
    <mergeCell ref="B3:C3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R3:R4"/>
  </mergeCells>
  <conditionalFormatting sqref="M559">
    <cfRule type="duplicateValues" priority="2" aboveAverage="0" equalAverage="0" bottom="0" percent="0" rank="0" text="" dxfId="5"/>
  </conditionalFormatting>
  <conditionalFormatting sqref="M1:M3 M5:M1957 M1967:M1048576">
    <cfRule type="duplicateValues" priority="3" aboveAverage="0" equalAverage="0" bottom="0" percent="0" rank="0" text="" dxfId="5"/>
  </conditionalFormatting>
  <conditionalFormatting sqref="M1958:M1995">
    <cfRule type="duplicateValues" priority="4" aboveAverage="0" equalAverage="0" bottom="0" percent="0" rank="0" text="" dxfId="5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B1:T7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75" activeCellId="0" sqref="C75"/>
    </sheetView>
  </sheetViews>
  <sheetFormatPr defaultColWidth="9" defaultRowHeight="13.5" zeroHeight="false" outlineLevelRow="0" outlineLevelCol="0"/>
  <cols>
    <col collapsed="false" customWidth="true" hidden="false" outlineLevel="0" max="1" min="1" style="98" width="13.25"/>
    <col collapsed="false" customWidth="true" hidden="false" outlineLevel="0" max="3" min="2" style="99" width="5"/>
    <col collapsed="false" customWidth="true" hidden="false" outlineLevel="0" max="4" min="4" style="99" width="20.5"/>
    <col collapsed="false" customWidth="true" hidden="false" outlineLevel="0" max="5" min="5" style="99" width="11"/>
    <col collapsed="false" customWidth="true" hidden="false" outlineLevel="0" max="6" min="6" style="99" width="11.63"/>
    <col collapsed="false" customWidth="false" hidden="false" outlineLevel="0" max="7" min="7" style="99" width="9"/>
    <col collapsed="false" customWidth="true" hidden="false" outlineLevel="0" max="8" min="8" style="99" width="31"/>
    <col collapsed="false" customWidth="true" hidden="false" outlineLevel="0" max="9" min="9" style="99" width="15.25"/>
    <col collapsed="false" customWidth="true" hidden="false" outlineLevel="0" max="10" min="10" style="99" width="15.38"/>
    <col collapsed="false" customWidth="true" hidden="false" outlineLevel="0" max="11" min="11" style="99" width="17.25"/>
    <col collapsed="false" customWidth="true" hidden="false" outlineLevel="0" max="12" min="12" style="99" width="42"/>
    <col collapsed="false" customWidth="true" hidden="false" outlineLevel="0" max="13" min="13" style="99" width="12.38"/>
    <col collapsed="false" customWidth="true" hidden="false" outlineLevel="0" max="14" min="14" style="99" width="6.5"/>
    <col collapsed="false" customWidth="true" hidden="false" outlineLevel="0" max="15" min="15" style="99" width="11.5"/>
    <col collapsed="false" customWidth="true" hidden="false" outlineLevel="0" max="16" min="16" style="99" width="22.38"/>
    <col collapsed="false" customWidth="true" hidden="false" outlineLevel="0" max="17" min="17" style="99" width="7.38"/>
    <col collapsed="false" customWidth="true" hidden="false" outlineLevel="0" max="18" min="18" style="100" width="43.75"/>
    <col collapsed="false" customWidth="false" hidden="false" outlineLevel="0" max="16384" min="19" style="99" width="9"/>
  </cols>
  <sheetData>
    <row r="1" customFormat="false" ht="13.5" hidden="false" customHeight="false" outlineLevel="0" collapsed="false">
      <c r="L1" s="101"/>
    </row>
    <row r="2" customFormat="false" ht="17.25" hidden="false" customHeight="true" outlineLevel="0" collapsed="false"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3"/>
      <c r="P2" s="102"/>
      <c r="Q2" s="102"/>
      <c r="R2" s="104"/>
    </row>
    <row r="3" customFormat="false" ht="24" hidden="false" customHeight="true" outlineLevel="0" collapsed="false">
      <c r="B3" s="105" t="s">
        <v>112</v>
      </c>
      <c r="C3" s="105"/>
      <c r="D3" s="106" t="s">
        <v>113</v>
      </c>
      <c r="E3" s="106" t="s">
        <v>114</v>
      </c>
      <c r="F3" s="106" t="s">
        <v>83</v>
      </c>
      <c r="G3" s="106" t="s">
        <v>76</v>
      </c>
      <c r="H3" s="106" t="s">
        <v>84</v>
      </c>
      <c r="I3" s="106" t="s">
        <v>115</v>
      </c>
      <c r="J3" s="106" t="s">
        <v>85</v>
      </c>
      <c r="K3" s="106" t="s">
        <v>86</v>
      </c>
      <c r="L3" s="106" t="s">
        <v>87</v>
      </c>
      <c r="M3" s="106" t="s">
        <v>116</v>
      </c>
      <c r="N3" s="106" t="s">
        <v>68</v>
      </c>
      <c r="O3" s="107" t="s">
        <v>117</v>
      </c>
      <c r="P3" s="106" t="s">
        <v>75</v>
      </c>
      <c r="Q3" s="106" t="s">
        <v>118</v>
      </c>
      <c r="R3" s="108" t="s">
        <v>56</v>
      </c>
    </row>
    <row r="4" customFormat="false" ht="24" hidden="false" customHeight="true" outlineLevel="0" collapsed="false">
      <c r="B4" s="105" t="s">
        <v>119</v>
      </c>
      <c r="C4" s="109" t="s">
        <v>120</v>
      </c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  <c r="P4" s="106"/>
      <c r="Q4" s="106"/>
      <c r="R4" s="108"/>
    </row>
    <row r="5" customFormat="false" ht="12.75" hidden="false" customHeight="true" outlineLevel="0" collapsed="false">
      <c r="B5" s="110" t="n">
        <f aca="false">ROW()-4</f>
        <v>1</v>
      </c>
      <c r="C5" s="111" t="n">
        <f aca="false">COUNTIFS($D$5:D5,D5)</f>
        <v>1</v>
      </c>
      <c r="D5" s="112" t="s">
        <v>121</v>
      </c>
      <c r="E5" s="113" t="s">
        <v>149</v>
      </c>
      <c r="F5" s="114" t="n">
        <v>42790</v>
      </c>
      <c r="G5" s="167" t="s">
        <v>22</v>
      </c>
      <c r="H5" s="113" t="s">
        <v>3968</v>
      </c>
      <c r="I5" s="113" t="s">
        <v>3969</v>
      </c>
      <c r="J5" s="168" t="s">
        <v>3970</v>
      </c>
      <c r="K5" s="113" t="s">
        <v>3971</v>
      </c>
      <c r="L5" s="115" t="s">
        <v>3972</v>
      </c>
      <c r="M5" s="113" t="s">
        <v>3973</v>
      </c>
      <c r="N5" s="113" t="s">
        <v>71</v>
      </c>
      <c r="O5" s="116" t="n">
        <v>1000000</v>
      </c>
      <c r="P5" s="112" t="s">
        <v>18</v>
      </c>
      <c r="Q5" s="112" t="s">
        <v>124</v>
      </c>
      <c r="R5" s="169" t="s">
        <v>61</v>
      </c>
      <c r="T5" s="118"/>
    </row>
    <row r="6" customFormat="false" ht="12.75" hidden="false" customHeight="true" outlineLevel="0" collapsed="false">
      <c r="B6" s="119" t="n">
        <f aca="false">ROW()-4</f>
        <v>2</v>
      </c>
      <c r="C6" s="120" t="n">
        <f aca="false">COUNTIFS($D$5:D6,D6)</f>
        <v>2</v>
      </c>
      <c r="D6" s="121" t="s">
        <v>121</v>
      </c>
      <c r="E6" s="122" t="s">
        <v>204</v>
      </c>
      <c r="F6" s="123" t="n">
        <v>43045</v>
      </c>
      <c r="G6" s="170" t="s">
        <v>28</v>
      </c>
      <c r="H6" s="122" t="s">
        <v>3974</v>
      </c>
      <c r="I6" s="122" t="s">
        <v>3975</v>
      </c>
      <c r="J6" s="124" t="s">
        <v>3976</v>
      </c>
      <c r="K6" s="122" t="s">
        <v>3977</v>
      </c>
      <c r="L6" s="125" t="s">
        <v>3978</v>
      </c>
      <c r="M6" s="122" t="s">
        <v>3979</v>
      </c>
      <c r="N6" s="122" t="s">
        <v>71</v>
      </c>
      <c r="O6" s="126" t="n">
        <v>1000000</v>
      </c>
      <c r="P6" s="121" t="s">
        <v>18</v>
      </c>
      <c r="Q6" s="121" t="s">
        <v>124</v>
      </c>
      <c r="R6" s="128" t="s">
        <v>61</v>
      </c>
      <c r="T6" s="118"/>
    </row>
    <row r="7" customFormat="false" ht="12.75" hidden="false" customHeight="true" outlineLevel="0" collapsed="false">
      <c r="B7" s="119" t="n">
        <f aca="false">ROW()-4</f>
        <v>3</v>
      </c>
      <c r="C7" s="120" t="n">
        <f aca="false">COUNTIFS($D$5:D7,D7)</f>
        <v>3</v>
      </c>
      <c r="D7" s="121" t="s">
        <v>121</v>
      </c>
      <c r="E7" s="122" t="s">
        <v>209</v>
      </c>
      <c r="F7" s="123" t="n">
        <v>45805</v>
      </c>
      <c r="G7" s="170" t="s">
        <v>22</v>
      </c>
      <c r="H7" s="122" t="s">
        <v>3980</v>
      </c>
      <c r="I7" s="122" t="s">
        <v>3981</v>
      </c>
      <c r="J7" s="124" t="s">
        <v>3982</v>
      </c>
      <c r="K7" s="122" t="s">
        <v>3983</v>
      </c>
      <c r="L7" s="125" t="s">
        <v>3984</v>
      </c>
      <c r="M7" s="122" t="s">
        <v>3985</v>
      </c>
      <c r="N7" s="122" t="s">
        <v>71</v>
      </c>
      <c r="O7" s="126" t="n">
        <v>1000000</v>
      </c>
      <c r="P7" s="121" t="s">
        <v>18</v>
      </c>
      <c r="Q7" s="121" t="s">
        <v>124</v>
      </c>
      <c r="R7" s="128" t="s">
        <v>59</v>
      </c>
      <c r="T7" s="118"/>
    </row>
    <row r="8" customFormat="false" ht="12.75" hidden="false" customHeight="true" outlineLevel="0" collapsed="false">
      <c r="B8" s="119" t="n">
        <f aca="false">ROW()-4</f>
        <v>4</v>
      </c>
      <c r="C8" s="120" t="n">
        <f aca="false">COUNTIFS($D$5:D8,D8)</f>
        <v>4</v>
      </c>
      <c r="D8" s="121" t="s">
        <v>121</v>
      </c>
      <c r="E8" s="122" t="s">
        <v>265</v>
      </c>
      <c r="F8" s="123" t="n">
        <v>44846</v>
      </c>
      <c r="G8" s="170" t="s">
        <v>24</v>
      </c>
      <c r="H8" s="122" t="s">
        <v>3986</v>
      </c>
      <c r="I8" s="122" t="s">
        <v>3987</v>
      </c>
      <c r="J8" s="124" t="s">
        <v>3988</v>
      </c>
      <c r="K8" s="122" t="s">
        <v>3989</v>
      </c>
      <c r="L8" s="125" t="s">
        <v>3990</v>
      </c>
      <c r="M8" s="122" t="s">
        <v>3991</v>
      </c>
      <c r="N8" s="122" t="s">
        <v>71</v>
      </c>
      <c r="O8" s="126" t="n">
        <v>1000000</v>
      </c>
      <c r="P8" s="121" t="s">
        <v>18</v>
      </c>
      <c r="Q8" s="121" t="s">
        <v>124</v>
      </c>
      <c r="R8" s="128" t="s">
        <v>61</v>
      </c>
      <c r="T8" s="118"/>
    </row>
    <row r="9" customFormat="false" ht="12.75" hidden="false" customHeight="true" outlineLevel="0" collapsed="false">
      <c r="B9" s="119" t="n">
        <f aca="false">ROW()-4</f>
        <v>5</v>
      </c>
      <c r="C9" s="120" t="n">
        <f aca="false">COUNTIFS($D$5:D9,D9)</f>
        <v>5</v>
      </c>
      <c r="D9" s="121" t="s">
        <v>121</v>
      </c>
      <c r="E9" s="122" t="s">
        <v>328</v>
      </c>
      <c r="F9" s="123" t="n">
        <v>43802</v>
      </c>
      <c r="G9" s="170" t="s">
        <v>24</v>
      </c>
      <c r="H9" s="122" t="s">
        <v>3992</v>
      </c>
      <c r="I9" s="122" t="s">
        <v>3993</v>
      </c>
      <c r="J9" s="124" t="s">
        <v>3994</v>
      </c>
      <c r="K9" s="122" t="s">
        <v>3995</v>
      </c>
      <c r="L9" s="125" t="s">
        <v>3996</v>
      </c>
      <c r="M9" s="122" t="s">
        <v>3997</v>
      </c>
      <c r="N9" s="122" t="s">
        <v>71</v>
      </c>
      <c r="O9" s="126" t="n">
        <v>1000000</v>
      </c>
      <c r="P9" s="121" t="s">
        <v>18</v>
      </c>
      <c r="Q9" s="121" t="s">
        <v>124</v>
      </c>
      <c r="R9" s="128" t="s">
        <v>61</v>
      </c>
      <c r="T9" s="118"/>
    </row>
    <row r="10" customFormat="false" ht="12.75" hidden="false" customHeight="true" outlineLevel="0" collapsed="false">
      <c r="B10" s="119" t="n">
        <f aca="false">ROW()-4</f>
        <v>6</v>
      </c>
      <c r="C10" s="120" t="n">
        <f aca="false">COUNTIFS($D$5:D10,D10)</f>
        <v>6</v>
      </c>
      <c r="D10" s="121" t="s">
        <v>121</v>
      </c>
      <c r="E10" s="122" t="s">
        <v>337</v>
      </c>
      <c r="F10" s="123" t="n">
        <v>44109</v>
      </c>
      <c r="G10" s="170" t="s">
        <v>30</v>
      </c>
      <c r="H10" s="122" t="s">
        <v>3998</v>
      </c>
      <c r="I10" s="122" t="s">
        <v>3999</v>
      </c>
      <c r="J10" s="124" t="s">
        <v>4000</v>
      </c>
      <c r="K10" s="122" t="s">
        <v>4001</v>
      </c>
      <c r="L10" s="125" t="s">
        <v>4002</v>
      </c>
      <c r="M10" s="122" t="s">
        <v>4003</v>
      </c>
      <c r="N10" s="122" t="s">
        <v>71</v>
      </c>
      <c r="O10" s="126" t="n">
        <v>1000000</v>
      </c>
      <c r="P10" s="121" t="s">
        <v>18</v>
      </c>
      <c r="Q10" s="121" t="s">
        <v>124</v>
      </c>
      <c r="R10" s="128" t="s">
        <v>59</v>
      </c>
      <c r="T10" s="118"/>
    </row>
    <row r="11" customFormat="false" ht="12.75" hidden="false" customHeight="true" outlineLevel="0" collapsed="false">
      <c r="B11" s="119" t="n">
        <f aca="false">ROW()-4</f>
        <v>7</v>
      </c>
      <c r="C11" s="120" t="n">
        <f aca="false">COUNTIFS($D$5:D11,D11)</f>
        <v>7</v>
      </c>
      <c r="D11" s="121" t="s">
        <v>121</v>
      </c>
      <c r="E11" s="122" t="s">
        <v>380</v>
      </c>
      <c r="F11" s="123" t="n">
        <v>42838</v>
      </c>
      <c r="G11" s="170" t="s">
        <v>30</v>
      </c>
      <c r="H11" s="122" t="s">
        <v>4004</v>
      </c>
      <c r="I11" s="122" t="s">
        <v>4005</v>
      </c>
      <c r="J11" s="124" t="s">
        <v>4006</v>
      </c>
      <c r="K11" s="122" t="s">
        <v>4007</v>
      </c>
      <c r="L11" s="125" t="s">
        <v>4008</v>
      </c>
      <c r="M11" s="122" t="s">
        <v>4009</v>
      </c>
      <c r="N11" s="122" t="s">
        <v>71</v>
      </c>
      <c r="O11" s="126" t="n">
        <v>1000000</v>
      </c>
      <c r="P11" s="121" t="s">
        <v>18</v>
      </c>
      <c r="Q11" s="121" t="s">
        <v>124</v>
      </c>
      <c r="R11" s="128" t="s">
        <v>59</v>
      </c>
      <c r="T11" s="118"/>
    </row>
    <row r="12" customFormat="false" ht="12.75" hidden="false" customHeight="true" outlineLevel="0" collapsed="false">
      <c r="B12" s="119" t="n">
        <f aca="false">ROW()-4</f>
        <v>8</v>
      </c>
      <c r="C12" s="120" t="n">
        <f aca="false">COUNTIFS($D$5:D12,D12)</f>
        <v>1</v>
      </c>
      <c r="D12" s="121" t="s">
        <v>391</v>
      </c>
      <c r="E12" s="122" t="s">
        <v>394</v>
      </c>
      <c r="F12" s="123" t="n">
        <v>45861</v>
      </c>
      <c r="G12" s="170" t="s">
        <v>22</v>
      </c>
      <c r="H12" s="122" t="s">
        <v>4010</v>
      </c>
      <c r="I12" s="122" t="s">
        <v>4011</v>
      </c>
      <c r="J12" s="124" t="s">
        <v>4012</v>
      </c>
      <c r="K12" s="122" t="s">
        <v>4013</v>
      </c>
      <c r="L12" s="125" t="s">
        <v>4014</v>
      </c>
      <c r="M12" s="122" t="s">
        <v>4015</v>
      </c>
      <c r="N12" s="122" t="s">
        <v>71</v>
      </c>
      <c r="O12" s="126" t="n">
        <v>1000000</v>
      </c>
      <c r="P12" s="121" t="s">
        <v>18</v>
      </c>
      <c r="Q12" s="121" t="s">
        <v>124</v>
      </c>
      <c r="R12" s="128" t="s">
        <v>59</v>
      </c>
      <c r="T12" s="118"/>
    </row>
    <row r="13" customFormat="false" ht="12.75" hidden="false" customHeight="true" outlineLevel="0" collapsed="false">
      <c r="B13" s="119" t="n">
        <f aca="false">ROW()-4</f>
        <v>9</v>
      </c>
      <c r="C13" s="120" t="n">
        <f aca="false">COUNTIFS($D$5:D13,D13)</f>
        <v>2</v>
      </c>
      <c r="D13" s="121" t="s">
        <v>391</v>
      </c>
      <c r="E13" s="122" t="s">
        <v>413</v>
      </c>
      <c r="F13" s="123" t="n">
        <v>45483</v>
      </c>
      <c r="G13" s="170" t="s">
        <v>24</v>
      </c>
      <c r="H13" s="122" t="s">
        <v>4016</v>
      </c>
      <c r="I13" s="122" t="s">
        <v>4017</v>
      </c>
      <c r="J13" s="124" t="s">
        <v>4018</v>
      </c>
      <c r="K13" s="122" t="s">
        <v>4019</v>
      </c>
      <c r="L13" s="125" t="s">
        <v>4020</v>
      </c>
      <c r="M13" s="122" t="s">
        <v>4021</v>
      </c>
      <c r="N13" s="122" t="s">
        <v>71</v>
      </c>
      <c r="O13" s="126" t="n">
        <v>1000000</v>
      </c>
      <c r="P13" s="121" t="s">
        <v>18</v>
      </c>
      <c r="Q13" s="121" t="s">
        <v>124</v>
      </c>
      <c r="R13" s="128" t="s">
        <v>59</v>
      </c>
      <c r="T13" s="118"/>
    </row>
    <row r="14" customFormat="false" ht="12.75" hidden="false" customHeight="true" outlineLevel="0" collapsed="false">
      <c r="B14" s="119" t="n">
        <f aca="false">ROW()-4</f>
        <v>10</v>
      </c>
      <c r="C14" s="120" t="n">
        <f aca="false">COUNTIFS($D$5:D14,D14)</f>
        <v>3</v>
      </c>
      <c r="D14" s="121" t="s">
        <v>391</v>
      </c>
      <c r="E14" s="122" t="s">
        <v>472</v>
      </c>
      <c r="F14" s="123" t="n">
        <v>44757</v>
      </c>
      <c r="G14" s="170" t="s">
        <v>22</v>
      </c>
      <c r="H14" s="122" t="s">
        <v>4022</v>
      </c>
      <c r="I14" s="122" t="s">
        <v>4023</v>
      </c>
      <c r="J14" s="124" t="s">
        <v>4024</v>
      </c>
      <c r="K14" s="122" t="s">
        <v>4025</v>
      </c>
      <c r="L14" s="125" t="s">
        <v>4026</v>
      </c>
      <c r="M14" s="122" t="s">
        <v>4027</v>
      </c>
      <c r="N14" s="122" t="s">
        <v>71</v>
      </c>
      <c r="O14" s="126" t="n">
        <v>1000000</v>
      </c>
      <c r="P14" s="121" t="s">
        <v>18</v>
      </c>
      <c r="Q14" s="121" t="s">
        <v>124</v>
      </c>
      <c r="R14" s="128" t="s">
        <v>61</v>
      </c>
      <c r="T14" s="118"/>
    </row>
    <row r="15" customFormat="false" ht="12.75" hidden="false" customHeight="true" outlineLevel="0" collapsed="false">
      <c r="B15" s="119" t="n">
        <f aca="false">ROW()-4</f>
        <v>11</v>
      </c>
      <c r="C15" s="120" t="n">
        <f aca="false">COUNTIFS($D$5:D15,D15)</f>
        <v>4</v>
      </c>
      <c r="D15" s="121" t="s">
        <v>391</v>
      </c>
      <c r="E15" s="122" t="s">
        <v>497</v>
      </c>
      <c r="F15" s="123" t="n">
        <v>44830</v>
      </c>
      <c r="G15" s="170" t="s">
        <v>22</v>
      </c>
      <c r="H15" s="122" t="s">
        <v>4028</v>
      </c>
      <c r="I15" s="122" t="s">
        <v>4029</v>
      </c>
      <c r="J15" s="124" t="s">
        <v>4030</v>
      </c>
      <c r="K15" s="122" t="s">
        <v>4031</v>
      </c>
      <c r="L15" s="125" t="s">
        <v>4032</v>
      </c>
      <c r="M15" s="122" t="s">
        <v>4033</v>
      </c>
      <c r="N15" s="122" t="s">
        <v>71</v>
      </c>
      <c r="O15" s="126" t="n">
        <v>1000000</v>
      </c>
      <c r="P15" s="121" t="s">
        <v>18</v>
      </c>
      <c r="Q15" s="121" t="s">
        <v>124</v>
      </c>
      <c r="R15" s="128" t="s">
        <v>61</v>
      </c>
      <c r="T15" s="118"/>
    </row>
    <row r="16" customFormat="false" ht="12.75" hidden="false" customHeight="true" outlineLevel="0" collapsed="false">
      <c r="B16" s="119" t="n">
        <f aca="false">ROW()-4</f>
        <v>12</v>
      </c>
      <c r="C16" s="120" t="n">
        <f aca="false">COUNTIFS($D$5:D16,D16)</f>
        <v>5</v>
      </c>
      <c r="D16" s="121" t="s">
        <v>391</v>
      </c>
      <c r="E16" s="122" t="s">
        <v>578</v>
      </c>
      <c r="F16" s="123" t="n">
        <v>45442</v>
      </c>
      <c r="G16" s="170" t="s">
        <v>28</v>
      </c>
      <c r="H16" s="122" t="s">
        <v>4034</v>
      </c>
      <c r="I16" s="122" t="s">
        <v>4035</v>
      </c>
      <c r="J16" s="124" t="s">
        <v>4036</v>
      </c>
      <c r="K16" s="122" t="s">
        <v>4037</v>
      </c>
      <c r="L16" s="125" t="s">
        <v>4038</v>
      </c>
      <c r="M16" s="122" t="s">
        <v>4039</v>
      </c>
      <c r="N16" s="122" t="s">
        <v>71</v>
      </c>
      <c r="O16" s="126" t="n">
        <v>1000000</v>
      </c>
      <c r="P16" s="121" t="s">
        <v>18</v>
      </c>
      <c r="Q16" s="121" t="s">
        <v>124</v>
      </c>
      <c r="R16" s="128" t="s">
        <v>59</v>
      </c>
      <c r="T16" s="118"/>
    </row>
    <row r="17" customFormat="false" ht="12.75" hidden="false" customHeight="true" outlineLevel="0" collapsed="false">
      <c r="B17" s="119" t="n">
        <f aca="false">ROW()-4</f>
        <v>13</v>
      </c>
      <c r="C17" s="120" t="n">
        <f aca="false">COUNTIFS($D$5:D17,D17)</f>
        <v>6</v>
      </c>
      <c r="D17" s="121" t="s">
        <v>391</v>
      </c>
      <c r="E17" s="122" t="s">
        <v>585</v>
      </c>
      <c r="F17" s="123" t="n">
        <v>44998</v>
      </c>
      <c r="G17" s="170" t="s">
        <v>22</v>
      </c>
      <c r="H17" s="122" t="s">
        <v>4040</v>
      </c>
      <c r="I17" s="122" t="s">
        <v>4041</v>
      </c>
      <c r="J17" s="124" t="s">
        <v>4042</v>
      </c>
      <c r="K17" s="122" t="s">
        <v>4043</v>
      </c>
      <c r="L17" s="125" t="s">
        <v>4044</v>
      </c>
      <c r="M17" s="122" t="s">
        <v>4045</v>
      </c>
      <c r="N17" s="122" t="s">
        <v>71</v>
      </c>
      <c r="O17" s="126" t="n">
        <v>1000000</v>
      </c>
      <c r="P17" s="121" t="s">
        <v>18</v>
      </c>
      <c r="Q17" s="121" t="s">
        <v>124</v>
      </c>
      <c r="R17" s="128" t="s">
        <v>59</v>
      </c>
      <c r="T17" s="118"/>
    </row>
    <row r="18" customFormat="false" ht="12.75" hidden="false" customHeight="true" outlineLevel="0" collapsed="false">
      <c r="B18" s="119" t="n">
        <f aca="false">ROW()-4</f>
        <v>14</v>
      </c>
      <c r="C18" s="120" t="n">
        <f aca="false">COUNTIFS($D$5:D18,D18)</f>
        <v>7</v>
      </c>
      <c r="D18" s="121" t="s">
        <v>391</v>
      </c>
      <c r="E18" s="122" t="s">
        <v>714</v>
      </c>
      <c r="F18" s="123" t="n">
        <v>45196</v>
      </c>
      <c r="G18" s="170" t="s">
        <v>30</v>
      </c>
      <c r="H18" s="122" t="s">
        <v>4046</v>
      </c>
      <c r="I18" s="122" t="s">
        <v>4047</v>
      </c>
      <c r="J18" s="124" t="s">
        <v>4048</v>
      </c>
      <c r="K18" s="122" t="s">
        <v>4049</v>
      </c>
      <c r="L18" s="125" t="s">
        <v>4050</v>
      </c>
      <c r="M18" s="122" t="s">
        <v>4051</v>
      </c>
      <c r="N18" s="122" t="s">
        <v>71</v>
      </c>
      <c r="O18" s="126" t="n">
        <v>1000000</v>
      </c>
      <c r="P18" s="121" t="s">
        <v>18</v>
      </c>
      <c r="Q18" s="121" t="s">
        <v>124</v>
      </c>
      <c r="R18" s="128" t="s">
        <v>59</v>
      </c>
      <c r="T18" s="118"/>
    </row>
    <row r="19" customFormat="false" ht="12.75" hidden="false" customHeight="true" outlineLevel="0" collapsed="false">
      <c r="B19" s="119" t="n">
        <f aca="false">ROW()-4</f>
        <v>15</v>
      </c>
      <c r="C19" s="120" t="n">
        <f aca="false">COUNTIFS($D$5:D19,D19)</f>
        <v>8</v>
      </c>
      <c r="D19" s="121" t="s">
        <v>391</v>
      </c>
      <c r="E19" s="122" t="s">
        <v>715</v>
      </c>
      <c r="F19" s="123" t="n">
        <v>45196</v>
      </c>
      <c r="G19" s="170" t="s">
        <v>30</v>
      </c>
      <c r="H19" s="122" t="s">
        <v>4052</v>
      </c>
      <c r="I19" s="122" t="s">
        <v>4053</v>
      </c>
      <c r="J19" s="124" t="s">
        <v>4054</v>
      </c>
      <c r="K19" s="122" t="s">
        <v>4055</v>
      </c>
      <c r="L19" s="125" t="s">
        <v>4056</v>
      </c>
      <c r="M19" s="122" t="s">
        <v>4057</v>
      </c>
      <c r="N19" s="122" t="s">
        <v>71</v>
      </c>
      <c r="O19" s="126" t="n">
        <v>1000000</v>
      </c>
      <c r="P19" s="121" t="s">
        <v>18</v>
      </c>
      <c r="Q19" s="121" t="s">
        <v>124</v>
      </c>
      <c r="R19" s="128" t="s">
        <v>59</v>
      </c>
      <c r="T19" s="118"/>
    </row>
    <row r="20" customFormat="false" ht="12.75" hidden="false" customHeight="true" outlineLevel="0" collapsed="false">
      <c r="B20" s="119" t="n">
        <f aca="false">ROW()-4</f>
        <v>16</v>
      </c>
      <c r="C20" s="120" t="n">
        <f aca="false">COUNTIFS($D$5:D20,D20)</f>
        <v>9</v>
      </c>
      <c r="D20" s="121" t="s">
        <v>391</v>
      </c>
      <c r="E20" s="122" t="s">
        <v>734</v>
      </c>
      <c r="F20" s="123" t="n">
        <v>45306</v>
      </c>
      <c r="G20" s="170" t="s">
        <v>22</v>
      </c>
      <c r="H20" s="122" t="s">
        <v>4058</v>
      </c>
      <c r="I20" s="122" t="s">
        <v>4059</v>
      </c>
      <c r="J20" s="124" t="s">
        <v>4060</v>
      </c>
      <c r="K20" s="122" t="s">
        <v>4061</v>
      </c>
      <c r="L20" s="125" t="s">
        <v>4062</v>
      </c>
      <c r="M20" s="122" t="s">
        <v>4063</v>
      </c>
      <c r="N20" s="122" t="s">
        <v>71</v>
      </c>
      <c r="O20" s="126" t="n">
        <v>1000000</v>
      </c>
      <c r="P20" s="121" t="s">
        <v>18</v>
      </c>
      <c r="Q20" s="121" t="s">
        <v>124</v>
      </c>
      <c r="R20" s="128" t="s">
        <v>61</v>
      </c>
      <c r="T20" s="118"/>
    </row>
    <row r="21" customFormat="false" ht="12.75" hidden="false" customHeight="true" outlineLevel="0" collapsed="false">
      <c r="B21" s="119" t="n">
        <f aca="false">ROW()-4</f>
        <v>17</v>
      </c>
      <c r="C21" s="120" t="n">
        <f aca="false">COUNTIFS($D$5:D21,D21)</f>
        <v>10</v>
      </c>
      <c r="D21" s="121" t="s">
        <v>391</v>
      </c>
      <c r="E21" s="122" t="s">
        <v>741</v>
      </c>
      <c r="F21" s="123" t="n">
        <v>45862</v>
      </c>
      <c r="G21" s="170" t="s">
        <v>26</v>
      </c>
      <c r="H21" s="122" t="s">
        <v>4064</v>
      </c>
      <c r="I21" s="122" t="s">
        <v>4065</v>
      </c>
      <c r="J21" s="124" t="s">
        <v>4066</v>
      </c>
      <c r="K21" s="122" t="s">
        <v>4067</v>
      </c>
      <c r="L21" s="125" t="s">
        <v>4068</v>
      </c>
      <c r="M21" s="122" t="s">
        <v>4069</v>
      </c>
      <c r="N21" s="122" t="s">
        <v>71</v>
      </c>
      <c r="O21" s="126" t="n">
        <v>1000000</v>
      </c>
      <c r="P21" s="121" t="s">
        <v>18</v>
      </c>
      <c r="Q21" s="121" t="s">
        <v>124</v>
      </c>
      <c r="R21" s="128" t="s">
        <v>59</v>
      </c>
      <c r="T21" s="118"/>
    </row>
    <row r="22" customFormat="false" ht="12.75" hidden="false" customHeight="true" outlineLevel="0" collapsed="false">
      <c r="B22" s="119" t="n">
        <f aca="false">ROW()-4</f>
        <v>18</v>
      </c>
      <c r="C22" s="120" t="n">
        <f aca="false">COUNTIFS($D$5:D22,D22)</f>
        <v>11</v>
      </c>
      <c r="D22" s="121" t="s">
        <v>391</v>
      </c>
      <c r="E22" s="122" t="s">
        <v>794</v>
      </c>
      <c r="F22" s="123" t="n">
        <v>45092</v>
      </c>
      <c r="G22" s="170" t="s">
        <v>22</v>
      </c>
      <c r="H22" s="122" t="s">
        <v>4070</v>
      </c>
      <c r="I22" s="122" t="s">
        <v>4071</v>
      </c>
      <c r="J22" s="124" t="s">
        <v>4072</v>
      </c>
      <c r="K22" s="122" t="s">
        <v>4073</v>
      </c>
      <c r="L22" s="125" t="s">
        <v>4074</v>
      </c>
      <c r="M22" s="122" t="s">
        <v>4075</v>
      </c>
      <c r="N22" s="122" t="s">
        <v>71</v>
      </c>
      <c r="O22" s="126" t="n">
        <v>1000000</v>
      </c>
      <c r="P22" s="121" t="s">
        <v>18</v>
      </c>
      <c r="Q22" s="121" t="s">
        <v>124</v>
      </c>
      <c r="R22" s="128" t="s">
        <v>59</v>
      </c>
      <c r="T22" s="118"/>
    </row>
    <row r="23" customFormat="false" ht="12.75" hidden="false" customHeight="true" outlineLevel="0" collapsed="false">
      <c r="B23" s="119" t="n">
        <f aca="false">ROW()-4</f>
        <v>19</v>
      </c>
      <c r="C23" s="120" t="n">
        <f aca="false">COUNTIFS($D$5:D23,D23)</f>
        <v>12</v>
      </c>
      <c r="D23" s="121" t="s">
        <v>391</v>
      </c>
      <c r="E23" s="122" t="s">
        <v>808</v>
      </c>
      <c r="F23" s="123" t="n">
        <v>45667</v>
      </c>
      <c r="G23" s="170" t="s">
        <v>24</v>
      </c>
      <c r="H23" s="122" t="s">
        <v>4076</v>
      </c>
      <c r="I23" s="122" t="s">
        <v>4077</v>
      </c>
      <c r="J23" s="124" t="s">
        <v>4078</v>
      </c>
      <c r="K23" s="122" t="s">
        <v>4079</v>
      </c>
      <c r="L23" s="125" t="s">
        <v>4080</v>
      </c>
      <c r="M23" s="122" t="s">
        <v>4081</v>
      </c>
      <c r="N23" s="122" t="s">
        <v>71</v>
      </c>
      <c r="O23" s="126" t="n">
        <v>1000000</v>
      </c>
      <c r="P23" s="121" t="s">
        <v>18</v>
      </c>
      <c r="Q23" s="121" t="s">
        <v>124</v>
      </c>
      <c r="R23" s="128" t="s">
        <v>61</v>
      </c>
      <c r="T23" s="118"/>
    </row>
    <row r="24" customFormat="false" ht="12.75" hidden="false" customHeight="true" outlineLevel="0" collapsed="false">
      <c r="B24" s="119" t="n">
        <f aca="false">ROW()-4</f>
        <v>20</v>
      </c>
      <c r="C24" s="120" t="n">
        <f aca="false">COUNTIFS($D$5:D24,D24)</f>
        <v>13</v>
      </c>
      <c r="D24" s="121" t="s">
        <v>391</v>
      </c>
      <c r="E24" s="122" t="s">
        <v>809</v>
      </c>
      <c r="F24" s="123" t="n">
        <v>45667</v>
      </c>
      <c r="G24" s="170" t="s">
        <v>24</v>
      </c>
      <c r="H24" s="122" t="s">
        <v>4082</v>
      </c>
      <c r="I24" s="122" t="s">
        <v>4083</v>
      </c>
      <c r="J24" s="124" t="s">
        <v>4084</v>
      </c>
      <c r="K24" s="122" t="s">
        <v>4085</v>
      </c>
      <c r="L24" s="125" t="s">
        <v>4086</v>
      </c>
      <c r="M24" s="122" t="s">
        <v>4087</v>
      </c>
      <c r="N24" s="122" t="s">
        <v>71</v>
      </c>
      <c r="O24" s="126" t="n">
        <v>1000000</v>
      </c>
      <c r="P24" s="121" t="s">
        <v>18</v>
      </c>
      <c r="Q24" s="121" t="s">
        <v>124</v>
      </c>
      <c r="R24" s="128" t="s">
        <v>61</v>
      </c>
      <c r="T24" s="118"/>
    </row>
    <row r="25" customFormat="false" ht="12.75" hidden="false" customHeight="true" outlineLevel="0" collapsed="false">
      <c r="B25" s="119" t="n">
        <f aca="false">ROW()-4</f>
        <v>21</v>
      </c>
      <c r="C25" s="120" t="n">
        <f aca="false">COUNTIFS($D$5:D25,D25)</f>
        <v>14</v>
      </c>
      <c r="D25" s="121" t="s">
        <v>391</v>
      </c>
      <c r="E25" s="122" t="s">
        <v>826</v>
      </c>
      <c r="F25" s="123" t="n">
        <v>45393</v>
      </c>
      <c r="G25" s="170" t="s">
        <v>26</v>
      </c>
      <c r="H25" s="122" t="s">
        <v>4088</v>
      </c>
      <c r="I25" s="122" t="s">
        <v>4089</v>
      </c>
      <c r="J25" s="124" t="s">
        <v>4090</v>
      </c>
      <c r="K25" s="122" t="s">
        <v>4091</v>
      </c>
      <c r="L25" s="125" t="s">
        <v>4092</v>
      </c>
      <c r="M25" s="122" t="s">
        <v>4093</v>
      </c>
      <c r="N25" s="122" t="s">
        <v>71</v>
      </c>
      <c r="O25" s="126" t="n">
        <v>1000000</v>
      </c>
      <c r="P25" s="121" t="s">
        <v>18</v>
      </c>
      <c r="Q25" s="121" t="s">
        <v>124</v>
      </c>
      <c r="R25" s="128" t="s">
        <v>59</v>
      </c>
      <c r="T25" s="118"/>
    </row>
    <row r="26" customFormat="false" ht="12.75" hidden="false" customHeight="true" outlineLevel="0" collapsed="false">
      <c r="B26" s="119" t="n">
        <f aca="false">ROW()-4</f>
        <v>22</v>
      </c>
      <c r="C26" s="120" t="n">
        <f aca="false">COUNTIFS($D$5:D26,D26)</f>
        <v>15</v>
      </c>
      <c r="D26" s="121" t="s">
        <v>391</v>
      </c>
      <c r="E26" s="122" t="s">
        <v>827</v>
      </c>
      <c r="F26" s="123" t="n">
        <v>45393</v>
      </c>
      <c r="G26" s="170" t="s">
        <v>26</v>
      </c>
      <c r="H26" s="122" t="s">
        <v>4094</v>
      </c>
      <c r="I26" s="122" t="s">
        <v>4095</v>
      </c>
      <c r="J26" s="124" t="s">
        <v>4096</v>
      </c>
      <c r="K26" s="122" t="s">
        <v>4097</v>
      </c>
      <c r="L26" s="125" t="s">
        <v>4098</v>
      </c>
      <c r="M26" s="122" t="s">
        <v>4099</v>
      </c>
      <c r="N26" s="122" t="s">
        <v>71</v>
      </c>
      <c r="O26" s="126" t="n">
        <v>1000000</v>
      </c>
      <c r="P26" s="121" t="s">
        <v>18</v>
      </c>
      <c r="Q26" s="121" t="s">
        <v>124</v>
      </c>
      <c r="R26" s="128" t="s">
        <v>59</v>
      </c>
      <c r="T26" s="118"/>
    </row>
    <row r="27" customFormat="false" ht="12.75" hidden="false" customHeight="true" outlineLevel="0" collapsed="false">
      <c r="B27" s="119" t="n">
        <f aca="false">ROW()-4</f>
        <v>23</v>
      </c>
      <c r="C27" s="120" t="n">
        <f aca="false">COUNTIFS($D$5:D27,D27)</f>
        <v>16</v>
      </c>
      <c r="D27" s="121" t="s">
        <v>391</v>
      </c>
      <c r="E27" s="122" t="s">
        <v>882</v>
      </c>
      <c r="F27" s="123" t="n">
        <v>45471</v>
      </c>
      <c r="G27" s="170" t="s">
        <v>30</v>
      </c>
      <c r="H27" s="122" t="s">
        <v>4100</v>
      </c>
      <c r="I27" s="122" t="s">
        <v>4101</v>
      </c>
      <c r="J27" s="124" t="s">
        <v>4102</v>
      </c>
      <c r="K27" s="122" t="s">
        <v>4103</v>
      </c>
      <c r="L27" s="125" t="s">
        <v>4104</v>
      </c>
      <c r="M27" s="122" t="s">
        <v>4105</v>
      </c>
      <c r="N27" s="122" t="s">
        <v>71</v>
      </c>
      <c r="O27" s="126" t="n">
        <v>1000000</v>
      </c>
      <c r="P27" s="121" t="s">
        <v>18</v>
      </c>
      <c r="Q27" s="121" t="s">
        <v>124</v>
      </c>
      <c r="R27" s="128" t="s">
        <v>61</v>
      </c>
      <c r="T27" s="118"/>
    </row>
    <row r="28" customFormat="false" ht="12.75" hidden="false" customHeight="true" outlineLevel="0" collapsed="false">
      <c r="B28" s="119" t="n">
        <f aca="false">ROW()-4</f>
        <v>24</v>
      </c>
      <c r="C28" s="120" t="n">
        <f aca="false">COUNTIFS($D$5:D28,D28)</f>
        <v>17</v>
      </c>
      <c r="D28" s="121" t="s">
        <v>391</v>
      </c>
      <c r="E28" s="122" t="s">
        <v>921</v>
      </c>
      <c r="F28" s="123" t="n">
        <v>45562</v>
      </c>
      <c r="G28" s="170" t="s">
        <v>30</v>
      </c>
      <c r="H28" s="122" t="s">
        <v>4106</v>
      </c>
      <c r="I28" s="122" t="s">
        <v>4107</v>
      </c>
      <c r="J28" s="124" t="s">
        <v>4108</v>
      </c>
      <c r="K28" s="122" t="s">
        <v>4109</v>
      </c>
      <c r="L28" s="125" t="s">
        <v>4110</v>
      </c>
      <c r="M28" s="122" t="s">
        <v>4111</v>
      </c>
      <c r="N28" s="122" t="s">
        <v>71</v>
      </c>
      <c r="O28" s="126" t="n">
        <v>1000000</v>
      </c>
      <c r="P28" s="121" t="s">
        <v>18</v>
      </c>
      <c r="Q28" s="121" t="s">
        <v>124</v>
      </c>
      <c r="R28" s="128" t="s">
        <v>61</v>
      </c>
      <c r="T28" s="118"/>
    </row>
    <row r="29" customFormat="false" ht="12.75" hidden="false" customHeight="true" outlineLevel="0" collapsed="false">
      <c r="B29" s="119" t="n">
        <f aca="false">ROW()-4</f>
        <v>25</v>
      </c>
      <c r="C29" s="120" t="n">
        <f aca="false">COUNTIFS($D$5:D29,D29)</f>
        <v>18</v>
      </c>
      <c r="D29" s="121" t="s">
        <v>391</v>
      </c>
      <c r="E29" s="122" t="s">
        <v>928</v>
      </c>
      <c r="F29" s="123" t="n">
        <v>45569</v>
      </c>
      <c r="G29" s="170" t="s">
        <v>22</v>
      </c>
      <c r="H29" s="122" t="s">
        <v>4112</v>
      </c>
      <c r="I29" s="122" t="s">
        <v>4113</v>
      </c>
      <c r="J29" s="124" t="s">
        <v>4114</v>
      </c>
      <c r="K29" s="122" t="s">
        <v>4115</v>
      </c>
      <c r="L29" s="125" t="s">
        <v>4116</v>
      </c>
      <c r="M29" s="122" t="s">
        <v>4117</v>
      </c>
      <c r="N29" s="122" t="s">
        <v>71</v>
      </c>
      <c r="O29" s="126" t="n">
        <v>1000000</v>
      </c>
      <c r="P29" s="121" t="s">
        <v>18</v>
      </c>
      <c r="Q29" s="121" t="s">
        <v>124</v>
      </c>
      <c r="R29" s="128" t="s">
        <v>59</v>
      </c>
      <c r="T29" s="118"/>
    </row>
    <row r="30" customFormat="false" ht="12.75" hidden="false" customHeight="true" outlineLevel="0" collapsed="false">
      <c r="B30" s="119" t="n">
        <f aca="false">ROW()-4</f>
        <v>26</v>
      </c>
      <c r="C30" s="120" t="n">
        <f aca="false">COUNTIFS($D$5:D30,D30)</f>
        <v>19</v>
      </c>
      <c r="D30" s="121" t="s">
        <v>391</v>
      </c>
      <c r="E30" s="122" t="s">
        <v>943</v>
      </c>
      <c r="F30" s="123" t="n">
        <v>45622</v>
      </c>
      <c r="G30" s="170" t="s">
        <v>26</v>
      </c>
      <c r="H30" s="122" t="s">
        <v>4118</v>
      </c>
      <c r="I30" s="122" t="s">
        <v>4119</v>
      </c>
      <c r="J30" s="124" t="s">
        <v>4120</v>
      </c>
      <c r="K30" s="122" t="s">
        <v>4121</v>
      </c>
      <c r="L30" s="125" t="s">
        <v>4122</v>
      </c>
      <c r="M30" s="122" t="s">
        <v>4123</v>
      </c>
      <c r="N30" s="122" t="s">
        <v>71</v>
      </c>
      <c r="O30" s="126" t="n">
        <v>1000000</v>
      </c>
      <c r="P30" s="121" t="s">
        <v>18</v>
      </c>
      <c r="Q30" s="121" t="s">
        <v>124</v>
      </c>
      <c r="R30" s="128" t="s">
        <v>59</v>
      </c>
      <c r="T30" s="118"/>
    </row>
    <row r="31" customFormat="false" ht="12.75" hidden="false" customHeight="true" outlineLevel="0" collapsed="false">
      <c r="B31" s="119" t="n">
        <f aca="false">ROW()-4</f>
        <v>27</v>
      </c>
      <c r="C31" s="120" t="n">
        <f aca="false">COUNTIFS($D$5:D31,D31)</f>
        <v>20</v>
      </c>
      <c r="D31" s="121" t="s">
        <v>391</v>
      </c>
      <c r="E31" s="122" t="s">
        <v>944</v>
      </c>
      <c r="F31" s="123" t="n">
        <v>45622</v>
      </c>
      <c r="G31" s="170" t="s">
        <v>26</v>
      </c>
      <c r="H31" s="122" t="s">
        <v>4124</v>
      </c>
      <c r="I31" s="122" t="s">
        <v>4125</v>
      </c>
      <c r="J31" s="124" t="s">
        <v>4126</v>
      </c>
      <c r="K31" s="122" t="s">
        <v>4127</v>
      </c>
      <c r="L31" s="125" t="s">
        <v>4128</v>
      </c>
      <c r="M31" s="122" t="s">
        <v>4129</v>
      </c>
      <c r="N31" s="122" t="s">
        <v>71</v>
      </c>
      <c r="O31" s="126" t="n">
        <v>1000000</v>
      </c>
      <c r="P31" s="121" t="s">
        <v>18</v>
      </c>
      <c r="Q31" s="121" t="s">
        <v>124</v>
      </c>
      <c r="R31" s="128" t="s">
        <v>59</v>
      </c>
      <c r="T31" s="118"/>
    </row>
    <row r="32" customFormat="false" ht="12.75" hidden="false" customHeight="true" outlineLevel="0" collapsed="false">
      <c r="B32" s="119" t="n">
        <f aca="false">ROW()-4</f>
        <v>28</v>
      </c>
      <c r="C32" s="120" t="n">
        <f aca="false">COUNTIFS($D$5:D32,D32)</f>
        <v>21</v>
      </c>
      <c r="D32" s="121" t="s">
        <v>391</v>
      </c>
      <c r="E32" s="122" t="s">
        <v>945</v>
      </c>
      <c r="F32" s="123" t="n">
        <v>45622</v>
      </c>
      <c r="G32" s="170" t="s">
        <v>26</v>
      </c>
      <c r="H32" s="122" t="s">
        <v>4130</v>
      </c>
      <c r="I32" s="122" t="s">
        <v>4131</v>
      </c>
      <c r="J32" s="124" t="s">
        <v>4132</v>
      </c>
      <c r="K32" s="122" t="s">
        <v>4133</v>
      </c>
      <c r="L32" s="125" t="s">
        <v>4134</v>
      </c>
      <c r="M32" s="122" t="s">
        <v>4135</v>
      </c>
      <c r="N32" s="122" t="s">
        <v>71</v>
      </c>
      <c r="O32" s="126" t="n">
        <v>1000000</v>
      </c>
      <c r="P32" s="121" t="s">
        <v>18</v>
      </c>
      <c r="Q32" s="121" t="s">
        <v>124</v>
      </c>
      <c r="R32" s="128" t="s">
        <v>59</v>
      </c>
      <c r="T32" s="118"/>
    </row>
    <row r="33" customFormat="false" ht="12.75" hidden="false" customHeight="true" outlineLevel="0" collapsed="false">
      <c r="B33" s="119" t="n">
        <f aca="false">ROW()-4</f>
        <v>29</v>
      </c>
      <c r="C33" s="120" t="n">
        <f aca="false">COUNTIFS($D$5:D33,D33)</f>
        <v>1</v>
      </c>
      <c r="D33" s="121" t="s">
        <v>1209</v>
      </c>
      <c r="E33" s="122" t="s">
        <v>1321</v>
      </c>
      <c r="F33" s="123" t="n">
        <v>43950</v>
      </c>
      <c r="G33" s="170" t="s">
        <v>24</v>
      </c>
      <c r="H33" s="122" t="s">
        <v>4136</v>
      </c>
      <c r="I33" s="122" t="s">
        <v>4137</v>
      </c>
      <c r="J33" s="124" t="s">
        <v>4138</v>
      </c>
      <c r="K33" s="122" t="s">
        <v>4139</v>
      </c>
      <c r="L33" s="125" t="s">
        <v>4140</v>
      </c>
      <c r="M33" s="122" t="s">
        <v>4141</v>
      </c>
      <c r="N33" s="122" t="s">
        <v>71</v>
      </c>
      <c r="O33" s="126" t="n">
        <v>1000000</v>
      </c>
      <c r="P33" s="121" t="s">
        <v>18</v>
      </c>
      <c r="Q33" s="121" t="s">
        <v>124</v>
      </c>
      <c r="R33" s="128" t="s">
        <v>59</v>
      </c>
      <c r="T33" s="118"/>
    </row>
    <row r="34" customFormat="false" ht="12.75" hidden="false" customHeight="true" outlineLevel="0" collapsed="false">
      <c r="B34" s="119" t="n">
        <f aca="false">ROW()-4</f>
        <v>30</v>
      </c>
      <c r="C34" s="120" t="n">
        <f aca="false">COUNTIFS($D$5:D34,D34)</f>
        <v>2</v>
      </c>
      <c r="D34" s="121" t="s">
        <v>1209</v>
      </c>
      <c r="E34" s="122" t="s">
        <v>1370</v>
      </c>
      <c r="F34" s="123" t="n">
        <v>44446</v>
      </c>
      <c r="G34" s="170" t="s">
        <v>26</v>
      </c>
      <c r="H34" s="122" t="s">
        <v>4142</v>
      </c>
      <c r="I34" s="122" t="s">
        <v>4143</v>
      </c>
      <c r="J34" s="124" t="s">
        <v>4144</v>
      </c>
      <c r="K34" s="122" t="s">
        <v>4145</v>
      </c>
      <c r="L34" s="125" t="s">
        <v>4146</v>
      </c>
      <c r="M34" s="122" t="s">
        <v>4147</v>
      </c>
      <c r="N34" s="122" t="s">
        <v>71</v>
      </c>
      <c r="O34" s="126" t="n">
        <v>1000000</v>
      </c>
      <c r="P34" s="121" t="s">
        <v>18</v>
      </c>
      <c r="Q34" s="121" t="s">
        <v>124</v>
      </c>
      <c r="R34" s="128" t="s">
        <v>61</v>
      </c>
      <c r="T34" s="118"/>
    </row>
    <row r="35" customFormat="false" ht="12.75" hidden="false" customHeight="true" outlineLevel="0" collapsed="false">
      <c r="B35" s="119" t="n">
        <f aca="false">ROW()-4</f>
        <v>31</v>
      </c>
      <c r="C35" s="120" t="n">
        <f aca="false">COUNTIFS($D$5:D35,D35)</f>
        <v>3</v>
      </c>
      <c r="D35" s="121" t="s">
        <v>1209</v>
      </c>
      <c r="E35" s="122" t="s">
        <v>1379</v>
      </c>
      <c r="F35" s="123" t="n">
        <v>44560</v>
      </c>
      <c r="G35" s="170" t="s">
        <v>22</v>
      </c>
      <c r="H35" s="122" t="s">
        <v>4148</v>
      </c>
      <c r="I35" s="122" t="s">
        <v>4149</v>
      </c>
      <c r="J35" s="124" t="s">
        <v>4150</v>
      </c>
      <c r="K35" s="122" t="s">
        <v>4151</v>
      </c>
      <c r="L35" s="125" t="s">
        <v>4152</v>
      </c>
      <c r="M35" s="122" t="s">
        <v>4153</v>
      </c>
      <c r="N35" s="122" t="s">
        <v>71</v>
      </c>
      <c r="O35" s="126" t="n">
        <v>1000000</v>
      </c>
      <c r="P35" s="121" t="s">
        <v>18</v>
      </c>
      <c r="Q35" s="121" t="s">
        <v>124</v>
      </c>
      <c r="R35" s="128" t="s">
        <v>61</v>
      </c>
      <c r="T35" s="118"/>
    </row>
    <row r="36" customFormat="false" ht="12.75" hidden="false" customHeight="true" outlineLevel="0" collapsed="false">
      <c r="B36" s="119" t="n">
        <f aca="false">ROW()-4</f>
        <v>32</v>
      </c>
      <c r="C36" s="120" t="n">
        <f aca="false">COUNTIFS($D$5:D36,D36)</f>
        <v>4</v>
      </c>
      <c r="D36" s="121" t="s">
        <v>1209</v>
      </c>
      <c r="E36" s="122" t="s">
        <v>1388</v>
      </c>
      <c r="F36" s="123" t="n">
        <v>44271</v>
      </c>
      <c r="G36" s="170" t="s">
        <v>22</v>
      </c>
      <c r="H36" s="122" t="s">
        <v>4154</v>
      </c>
      <c r="I36" s="122" t="s">
        <v>4155</v>
      </c>
      <c r="J36" s="124" t="s">
        <v>4156</v>
      </c>
      <c r="K36" s="122" t="s">
        <v>4157</v>
      </c>
      <c r="L36" s="125" t="s">
        <v>4158</v>
      </c>
      <c r="M36" s="122" t="s">
        <v>4159</v>
      </c>
      <c r="N36" s="122" t="s">
        <v>71</v>
      </c>
      <c r="O36" s="126" t="n">
        <v>1000000</v>
      </c>
      <c r="P36" s="121" t="s">
        <v>18</v>
      </c>
      <c r="Q36" s="121" t="s">
        <v>124</v>
      </c>
      <c r="R36" s="128" t="s">
        <v>59</v>
      </c>
      <c r="T36" s="118"/>
    </row>
    <row r="37" customFormat="false" ht="12.75" hidden="false" customHeight="true" outlineLevel="0" collapsed="false">
      <c r="B37" s="119" t="n">
        <f aca="false">ROW()-4</f>
        <v>33</v>
      </c>
      <c r="C37" s="120" t="n">
        <f aca="false">COUNTIFS($D$5:D37,D37)</f>
        <v>5</v>
      </c>
      <c r="D37" s="121" t="s">
        <v>1209</v>
      </c>
      <c r="E37" s="122" t="s">
        <v>1389</v>
      </c>
      <c r="F37" s="123" t="n">
        <v>44271</v>
      </c>
      <c r="G37" s="170" t="s">
        <v>22</v>
      </c>
      <c r="H37" s="122" t="s">
        <v>4160</v>
      </c>
      <c r="I37" s="122" t="s">
        <v>4161</v>
      </c>
      <c r="J37" s="124" t="s">
        <v>4162</v>
      </c>
      <c r="K37" s="122" t="s">
        <v>4163</v>
      </c>
      <c r="L37" s="125" t="s">
        <v>4164</v>
      </c>
      <c r="M37" s="122" t="s">
        <v>4165</v>
      </c>
      <c r="N37" s="122" t="s">
        <v>71</v>
      </c>
      <c r="O37" s="126" t="n">
        <v>1000000</v>
      </c>
      <c r="P37" s="121" t="s">
        <v>18</v>
      </c>
      <c r="Q37" s="121" t="s">
        <v>124</v>
      </c>
      <c r="R37" s="128" t="s">
        <v>59</v>
      </c>
      <c r="T37" s="118"/>
    </row>
    <row r="38" customFormat="false" ht="12.75" hidden="false" customHeight="true" outlineLevel="0" collapsed="false">
      <c r="B38" s="119" t="n">
        <f aca="false">ROW()-4</f>
        <v>34</v>
      </c>
      <c r="C38" s="120" t="n">
        <f aca="false">COUNTIFS($D$5:D38,D38)</f>
        <v>1</v>
      </c>
      <c r="D38" s="121" t="s">
        <v>1390</v>
      </c>
      <c r="E38" s="122" t="s">
        <v>1425</v>
      </c>
      <c r="F38" s="123" t="n">
        <v>45120</v>
      </c>
      <c r="G38" s="170" t="s">
        <v>28</v>
      </c>
      <c r="H38" s="122" t="s">
        <v>4166</v>
      </c>
      <c r="I38" s="122" t="s">
        <v>4167</v>
      </c>
      <c r="J38" s="124" t="s">
        <v>4168</v>
      </c>
      <c r="K38" s="122" t="s">
        <v>4169</v>
      </c>
      <c r="L38" s="125" t="s">
        <v>4170</v>
      </c>
      <c r="M38" s="122" t="s">
        <v>4171</v>
      </c>
      <c r="N38" s="122" t="s">
        <v>71</v>
      </c>
      <c r="O38" s="126" t="n">
        <v>1000000</v>
      </c>
      <c r="P38" s="121" t="s">
        <v>18</v>
      </c>
      <c r="Q38" s="121" t="s">
        <v>124</v>
      </c>
      <c r="R38" s="128" t="s">
        <v>59</v>
      </c>
      <c r="T38" s="118"/>
    </row>
    <row r="39" customFormat="false" ht="12.75" hidden="false" customHeight="true" outlineLevel="0" collapsed="false">
      <c r="B39" s="119" t="n">
        <f aca="false">ROW()-4</f>
        <v>35</v>
      </c>
      <c r="C39" s="120" t="n">
        <f aca="false">COUNTIFS($D$5:D39,D39)</f>
        <v>2</v>
      </c>
      <c r="D39" s="121" t="s">
        <v>1390</v>
      </c>
      <c r="E39" s="122" t="s">
        <v>1440</v>
      </c>
      <c r="F39" s="123" t="n">
        <v>43243</v>
      </c>
      <c r="G39" s="170" t="s">
        <v>30</v>
      </c>
      <c r="H39" s="122" t="s">
        <v>4172</v>
      </c>
      <c r="I39" s="122" t="s">
        <v>4173</v>
      </c>
      <c r="J39" s="124" t="s">
        <v>4174</v>
      </c>
      <c r="K39" s="122" t="s">
        <v>4175</v>
      </c>
      <c r="L39" s="125" t="s">
        <v>4176</v>
      </c>
      <c r="M39" s="122" t="s">
        <v>4177</v>
      </c>
      <c r="N39" s="122" t="s">
        <v>71</v>
      </c>
      <c r="O39" s="126" t="n">
        <v>1000000</v>
      </c>
      <c r="P39" s="121" t="s">
        <v>18</v>
      </c>
      <c r="Q39" s="121" t="s">
        <v>124</v>
      </c>
      <c r="R39" s="128" t="s">
        <v>59</v>
      </c>
      <c r="T39" s="118"/>
    </row>
    <row r="40" customFormat="false" ht="12.75" hidden="false" customHeight="true" outlineLevel="0" collapsed="false">
      <c r="B40" s="119" t="n">
        <f aca="false">ROW()-4</f>
        <v>36</v>
      </c>
      <c r="C40" s="120" t="n">
        <f aca="false">COUNTIFS($D$5:D40,D40)</f>
        <v>3</v>
      </c>
      <c r="D40" s="121" t="s">
        <v>1390</v>
      </c>
      <c r="E40" s="122" t="s">
        <v>1708</v>
      </c>
      <c r="F40" s="123" t="n">
        <v>45425</v>
      </c>
      <c r="G40" s="170" t="s">
        <v>22</v>
      </c>
      <c r="H40" s="122" t="s">
        <v>4178</v>
      </c>
      <c r="I40" s="122" t="s">
        <v>4179</v>
      </c>
      <c r="J40" s="124" t="s">
        <v>4180</v>
      </c>
      <c r="K40" s="122" t="s">
        <v>4181</v>
      </c>
      <c r="L40" s="125" t="s">
        <v>4182</v>
      </c>
      <c r="M40" s="122" t="s">
        <v>4183</v>
      </c>
      <c r="N40" s="122" t="s">
        <v>71</v>
      </c>
      <c r="O40" s="126" t="n">
        <v>1000000</v>
      </c>
      <c r="P40" s="121" t="s">
        <v>18</v>
      </c>
      <c r="Q40" s="121" t="s">
        <v>124</v>
      </c>
      <c r="R40" s="128" t="s">
        <v>59</v>
      </c>
      <c r="T40" s="118"/>
    </row>
    <row r="41" customFormat="false" ht="12.75" hidden="false" customHeight="true" outlineLevel="0" collapsed="false">
      <c r="B41" s="119" t="n">
        <f aca="false">ROW()-4</f>
        <v>37</v>
      </c>
      <c r="C41" s="120" t="n">
        <f aca="false">COUNTIFS($D$5:D41,D41)</f>
        <v>1</v>
      </c>
      <c r="D41" s="121" t="s">
        <v>1814</v>
      </c>
      <c r="E41" s="122" t="s">
        <v>1817</v>
      </c>
      <c r="F41" s="123" t="n">
        <v>45819</v>
      </c>
      <c r="G41" s="170" t="s">
        <v>22</v>
      </c>
      <c r="H41" s="122" t="s">
        <v>4184</v>
      </c>
      <c r="I41" s="122" t="s">
        <v>4185</v>
      </c>
      <c r="J41" s="124" t="s">
        <v>4186</v>
      </c>
      <c r="K41" s="122" t="s">
        <v>4187</v>
      </c>
      <c r="L41" s="125" t="s">
        <v>4188</v>
      </c>
      <c r="M41" s="122" t="s">
        <v>4189</v>
      </c>
      <c r="N41" s="122" t="s">
        <v>71</v>
      </c>
      <c r="O41" s="126" t="n">
        <v>1000000</v>
      </c>
      <c r="P41" s="121" t="s">
        <v>18</v>
      </c>
      <c r="Q41" s="121" t="s">
        <v>124</v>
      </c>
      <c r="R41" s="128" t="s">
        <v>59</v>
      </c>
      <c r="T41" s="118"/>
    </row>
    <row r="42" customFormat="false" ht="12.75" hidden="false" customHeight="true" outlineLevel="0" collapsed="false">
      <c r="B42" s="119" t="n">
        <f aca="false">ROW()-4</f>
        <v>38</v>
      </c>
      <c r="C42" s="120" t="n">
        <f aca="false">COUNTIFS($D$5:D42,D42)</f>
        <v>2</v>
      </c>
      <c r="D42" s="121" t="s">
        <v>1814</v>
      </c>
      <c r="E42" s="122" t="s">
        <v>1850</v>
      </c>
      <c r="F42" s="123" t="n">
        <v>44390</v>
      </c>
      <c r="G42" s="170" t="s">
        <v>24</v>
      </c>
      <c r="H42" s="122" t="s">
        <v>4190</v>
      </c>
      <c r="I42" s="122" t="s">
        <v>4191</v>
      </c>
      <c r="J42" s="124" t="s">
        <v>4192</v>
      </c>
      <c r="K42" s="122" t="s">
        <v>4193</v>
      </c>
      <c r="L42" s="125" t="s">
        <v>4194</v>
      </c>
      <c r="M42" s="122" t="s">
        <v>4195</v>
      </c>
      <c r="N42" s="122" t="s">
        <v>71</v>
      </c>
      <c r="O42" s="126" t="n">
        <v>1000000</v>
      </c>
      <c r="P42" s="121" t="s">
        <v>18</v>
      </c>
      <c r="Q42" s="121" t="s">
        <v>124</v>
      </c>
      <c r="R42" s="128" t="s">
        <v>59</v>
      </c>
      <c r="T42" s="118"/>
    </row>
    <row r="43" customFormat="false" ht="12.75" hidden="false" customHeight="true" outlineLevel="0" collapsed="false">
      <c r="B43" s="119" t="n">
        <f aca="false">ROW()-4</f>
        <v>39</v>
      </c>
      <c r="C43" s="120" t="n">
        <f aca="false">COUNTIFS($D$5:D43,D43)</f>
        <v>3</v>
      </c>
      <c r="D43" s="121" t="s">
        <v>1814</v>
      </c>
      <c r="E43" s="122" t="s">
        <v>1854</v>
      </c>
      <c r="F43" s="123" t="n">
        <v>45925</v>
      </c>
      <c r="G43" s="170" t="s">
        <v>28</v>
      </c>
      <c r="H43" s="122" t="s">
        <v>4196</v>
      </c>
      <c r="I43" s="122" t="s">
        <v>4197</v>
      </c>
      <c r="J43" s="124" t="s">
        <v>4198</v>
      </c>
      <c r="K43" s="122" t="s">
        <v>4199</v>
      </c>
      <c r="L43" s="125" t="s">
        <v>4200</v>
      </c>
      <c r="M43" s="122" t="s">
        <v>4201</v>
      </c>
      <c r="N43" s="122" t="s">
        <v>71</v>
      </c>
      <c r="O43" s="126" t="n">
        <v>1000000</v>
      </c>
      <c r="P43" s="121" t="s">
        <v>18</v>
      </c>
      <c r="Q43" s="121" t="s">
        <v>124</v>
      </c>
      <c r="R43" s="128" t="s">
        <v>59</v>
      </c>
      <c r="T43" s="118"/>
    </row>
    <row r="44" customFormat="false" ht="12.75" hidden="false" customHeight="true" outlineLevel="0" collapsed="false">
      <c r="B44" s="119" t="n">
        <f aca="false">ROW()-4</f>
        <v>40</v>
      </c>
      <c r="C44" s="120" t="n">
        <f aca="false">COUNTIFS($D$5:D44,D44)</f>
        <v>4</v>
      </c>
      <c r="D44" s="121" t="s">
        <v>1814</v>
      </c>
      <c r="E44" s="122" t="s">
        <v>1893</v>
      </c>
      <c r="F44" s="123" t="n">
        <v>45384</v>
      </c>
      <c r="G44" s="170" t="s">
        <v>22</v>
      </c>
      <c r="H44" s="122" t="s">
        <v>4202</v>
      </c>
      <c r="I44" s="122" t="s">
        <v>4203</v>
      </c>
      <c r="J44" s="124" t="s">
        <v>4204</v>
      </c>
      <c r="K44" s="122" t="s">
        <v>4205</v>
      </c>
      <c r="L44" s="125" t="s">
        <v>4206</v>
      </c>
      <c r="M44" s="122" t="s">
        <v>4207</v>
      </c>
      <c r="N44" s="122" t="s">
        <v>71</v>
      </c>
      <c r="O44" s="126" t="n">
        <v>1000000</v>
      </c>
      <c r="P44" s="121" t="s">
        <v>18</v>
      </c>
      <c r="Q44" s="121" t="s">
        <v>124</v>
      </c>
      <c r="R44" s="128" t="s">
        <v>59</v>
      </c>
      <c r="T44" s="118"/>
    </row>
    <row r="45" customFormat="false" ht="12.75" hidden="false" customHeight="true" outlineLevel="0" collapsed="false">
      <c r="B45" s="119" t="n">
        <f aca="false">ROW()-4</f>
        <v>41</v>
      </c>
      <c r="C45" s="120" t="n">
        <f aca="false">COUNTIFS($D$5:D45,D45)</f>
        <v>5</v>
      </c>
      <c r="D45" s="121" t="s">
        <v>1814</v>
      </c>
      <c r="E45" s="122" t="s">
        <v>1979</v>
      </c>
      <c r="F45" s="123" t="n">
        <v>44929</v>
      </c>
      <c r="G45" s="170" t="s">
        <v>22</v>
      </c>
      <c r="H45" s="122" t="s">
        <v>4208</v>
      </c>
      <c r="I45" s="122" t="s">
        <v>4209</v>
      </c>
      <c r="J45" s="124" t="s">
        <v>4210</v>
      </c>
      <c r="K45" s="122" t="s">
        <v>4211</v>
      </c>
      <c r="L45" s="125" t="s">
        <v>4212</v>
      </c>
      <c r="M45" s="122" t="s">
        <v>4213</v>
      </c>
      <c r="N45" s="122" t="s">
        <v>71</v>
      </c>
      <c r="O45" s="126" t="n">
        <v>1000000</v>
      </c>
      <c r="P45" s="121" t="s">
        <v>18</v>
      </c>
      <c r="Q45" s="121" t="s">
        <v>124</v>
      </c>
      <c r="R45" s="128" t="s">
        <v>59</v>
      </c>
      <c r="T45" s="118"/>
    </row>
    <row r="46" customFormat="false" ht="12.75" hidden="false" customHeight="true" outlineLevel="0" collapsed="false">
      <c r="B46" s="119" t="n">
        <f aca="false">ROW()-4</f>
        <v>42</v>
      </c>
      <c r="C46" s="120" t="n">
        <f aca="false">COUNTIFS($D$5:D46,D46)</f>
        <v>6</v>
      </c>
      <c r="D46" s="121" t="s">
        <v>1814</v>
      </c>
      <c r="E46" s="122" t="s">
        <v>1980</v>
      </c>
      <c r="F46" s="123" t="n">
        <v>44929</v>
      </c>
      <c r="G46" s="170" t="s">
        <v>22</v>
      </c>
      <c r="H46" s="122" t="s">
        <v>4214</v>
      </c>
      <c r="I46" s="122" t="s">
        <v>4215</v>
      </c>
      <c r="J46" s="124" t="s">
        <v>4216</v>
      </c>
      <c r="K46" s="122" t="s">
        <v>4217</v>
      </c>
      <c r="L46" s="125" t="s">
        <v>4218</v>
      </c>
      <c r="M46" s="122" t="s">
        <v>4219</v>
      </c>
      <c r="N46" s="122" t="s">
        <v>71</v>
      </c>
      <c r="O46" s="126" t="n">
        <v>1000000</v>
      </c>
      <c r="P46" s="121" t="s">
        <v>18</v>
      </c>
      <c r="Q46" s="121" t="s">
        <v>124</v>
      </c>
      <c r="R46" s="128" t="s">
        <v>59</v>
      </c>
      <c r="T46" s="118"/>
    </row>
    <row r="47" customFormat="false" ht="12.75" hidden="false" customHeight="true" outlineLevel="0" collapsed="false">
      <c r="B47" s="119" t="n">
        <f aca="false">ROW()-4</f>
        <v>43</v>
      </c>
      <c r="C47" s="120" t="n">
        <f aca="false">COUNTIFS($D$5:D47,D47)</f>
        <v>7</v>
      </c>
      <c r="D47" s="121" t="s">
        <v>1814</v>
      </c>
      <c r="E47" s="122" t="s">
        <v>2001</v>
      </c>
      <c r="F47" s="123" t="n">
        <v>45615</v>
      </c>
      <c r="G47" s="170" t="s">
        <v>28</v>
      </c>
      <c r="H47" s="122" t="s">
        <v>4220</v>
      </c>
      <c r="I47" s="122" t="s">
        <v>4221</v>
      </c>
      <c r="J47" s="124" t="s">
        <v>4222</v>
      </c>
      <c r="K47" s="122" t="s">
        <v>4223</v>
      </c>
      <c r="L47" s="125" t="s">
        <v>4224</v>
      </c>
      <c r="M47" s="122" t="s">
        <v>4225</v>
      </c>
      <c r="N47" s="122" t="s">
        <v>71</v>
      </c>
      <c r="O47" s="126" t="n">
        <v>1000000</v>
      </c>
      <c r="P47" s="121" t="s">
        <v>18</v>
      </c>
      <c r="Q47" s="121" t="s">
        <v>124</v>
      </c>
      <c r="R47" s="128" t="s">
        <v>59</v>
      </c>
      <c r="T47" s="118"/>
    </row>
    <row r="48" customFormat="false" ht="12.75" hidden="false" customHeight="true" outlineLevel="0" collapsed="false">
      <c r="B48" s="119" t="n">
        <f aca="false">ROW()-4</f>
        <v>44</v>
      </c>
      <c r="C48" s="120" t="n">
        <f aca="false">COUNTIFS($D$5:D48,D48)</f>
        <v>1</v>
      </c>
      <c r="D48" s="121" t="s">
        <v>2006</v>
      </c>
      <c r="E48" s="122" t="s">
        <v>2023</v>
      </c>
      <c r="F48" s="123" t="n">
        <v>44879</v>
      </c>
      <c r="G48" s="170" t="s">
        <v>22</v>
      </c>
      <c r="H48" s="122" t="s">
        <v>4226</v>
      </c>
      <c r="I48" s="122" t="s">
        <v>4227</v>
      </c>
      <c r="J48" s="124" t="s">
        <v>4228</v>
      </c>
      <c r="K48" s="122" t="s">
        <v>4229</v>
      </c>
      <c r="L48" s="125" t="s">
        <v>4230</v>
      </c>
      <c r="M48" s="122" t="s">
        <v>4231</v>
      </c>
      <c r="N48" s="122" t="s">
        <v>71</v>
      </c>
      <c r="O48" s="126" t="n">
        <v>1000000</v>
      </c>
      <c r="P48" s="121" t="s">
        <v>18</v>
      </c>
      <c r="Q48" s="121" t="s">
        <v>124</v>
      </c>
      <c r="R48" s="128" t="s">
        <v>59</v>
      </c>
      <c r="T48" s="118"/>
    </row>
    <row r="49" customFormat="false" ht="12.75" hidden="false" customHeight="true" outlineLevel="0" collapsed="false">
      <c r="B49" s="119" t="n">
        <f aca="false">ROW()-4</f>
        <v>45</v>
      </c>
      <c r="C49" s="120" t="n">
        <f aca="false">COUNTIFS($D$5:D49,D49)</f>
        <v>2</v>
      </c>
      <c r="D49" s="121" t="s">
        <v>2006</v>
      </c>
      <c r="E49" s="122" t="s">
        <v>2024</v>
      </c>
      <c r="F49" s="123" t="n">
        <v>44879</v>
      </c>
      <c r="G49" s="170" t="s">
        <v>22</v>
      </c>
      <c r="H49" s="122" t="s">
        <v>4232</v>
      </c>
      <c r="I49" s="122" t="s">
        <v>4233</v>
      </c>
      <c r="J49" s="124" t="s">
        <v>4234</v>
      </c>
      <c r="K49" s="122" t="s">
        <v>4235</v>
      </c>
      <c r="L49" s="125" t="s">
        <v>4236</v>
      </c>
      <c r="M49" s="122" t="s">
        <v>4237</v>
      </c>
      <c r="N49" s="122" t="s">
        <v>71</v>
      </c>
      <c r="O49" s="126" t="n">
        <v>1000000</v>
      </c>
      <c r="P49" s="121" t="s">
        <v>18</v>
      </c>
      <c r="Q49" s="121" t="s">
        <v>124</v>
      </c>
      <c r="R49" s="128" t="s">
        <v>59</v>
      </c>
      <c r="T49" s="118"/>
    </row>
    <row r="50" customFormat="false" ht="12.75" hidden="false" customHeight="true" outlineLevel="0" collapsed="false">
      <c r="B50" s="119" t="n">
        <f aca="false">ROW()-4</f>
        <v>46</v>
      </c>
      <c r="C50" s="120" t="n">
        <f aca="false">COUNTIFS($D$5:D50,D50)</f>
        <v>3</v>
      </c>
      <c r="D50" s="121" t="s">
        <v>2006</v>
      </c>
      <c r="E50" s="122" t="s">
        <v>2069</v>
      </c>
      <c r="F50" s="123" t="n">
        <v>45523</v>
      </c>
      <c r="G50" s="170" t="s">
        <v>22</v>
      </c>
      <c r="H50" s="122" t="s">
        <v>4238</v>
      </c>
      <c r="I50" s="122" t="s">
        <v>4239</v>
      </c>
      <c r="J50" s="124" t="s">
        <v>4240</v>
      </c>
      <c r="K50" s="122" t="s">
        <v>4241</v>
      </c>
      <c r="L50" s="125" t="s">
        <v>4242</v>
      </c>
      <c r="M50" s="122" t="s">
        <v>4243</v>
      </c>
      <c r="N50" s="122" t="s">
        <v>71</v>
      </c>
      <c r="O50" s="126" t="n">
        <v>1000000</v>
      </c>
      <c r="P50" s="121" t="s">
        <v>18</v>
      </c>
      <c r="Q50" s="121" t="s">
        <v>124</v>
      </c>
      <c r="R50" s="128" t="s">
        <v>59</v>
      </c>
      <c r="T50" s="118"/>
    </row>
    <row r="51" customFormat="false" ht="12.75" hidden="false" customHeight="true" outlineLevel="0" collapsed="false">
      <c r="B51" s="119" t="n">
        <f aca="false">ROW()-4</f>
        <v>47</v>
      </c>
      <c r="C51" s="120" t="n">
        <f aca="false">COUNTIFS($D$5:D51,D51)</f>
        <v>4</v>
      </c>
      <c r="D51" s="121" t="s">
        <v>2006</v>
      </c>
      <c r="E51" s="122" t="s">
        <v>2070</v>
      </c>
      <c r="F51" s="123" t="n">
        <v>45523</v>
      </c>
      <c r="G51" s="170" t="s">
        <v>22</v>
      </c>
      <c r="H51" s="122" t="s">
        <v>4244</v>
      </c>
      <c r="I51" s="122" t="s">
        <v>4245</v>
      </c>
      <c r="J51" s="124" t="s">
        <v>4246</v>
      </c>
      <c r="K51" s="122" t="s">
        <v>4247</v>
      </c>
      <c r="L51" s="125" t="s">
        <v>4248</v>
      </c>
      <c r="M51" s="122" t="s">
        <v>4249</v>
      </c>
      <c r="N51" s="122" t="s">
        <v>71</v>
      </c>
      <c r="O51" s="126" t="n">
        <v>1000000</v>
      </c>
      <c r="P51" s="121" t="s">
        <v>18</v>
      </c>
      <c r="Q51" s="121" t="s">
        <v>124</v>
      </c>
      <c r="R51" s="128" t="s">
        <v>59</v>
      </c>
      <c r="T51" s="118"/>
    </row>
    <row r="52" customFormat="false" ht="12.75" hidden="false" customHeight="true" outlineLevel="0" collapsed="false">
      <c r="B52" s="119" t="n">
        <f aca="false">ROW()-4</f>
        <v>48</v>
      </c>
      <c r="C52" s="120" t="n">
        <f aca="false">COUNTIFS($D$5:D52,D52)</f>
        <v>5</v>
      </c>
      <c r="D52" s="121" t="s">
        <v>2006</v>
      </c>
      <c r="E52" s="122" t="s">
        <v>2083</v>
      </c>
      <c r="F52" s="123" t="n">
        <v>45575</v>
      </c>
      <c r="G52" s="170" t="s">
        <v>22</v>
      </c>
      <c r="H52" s="122" t="s">
        <v>4250</v>
      </c>
      <c r="I52" s="122" t="s">
        <v>4251</v>
      </c>
      <c r="J52" s="124" t="s">
        <v>4252</v>
      </c>
      <c r="K52" s="122" t="s">
        <v>4253</v>
      </c>
      <c r="L52" s="125" t="s">
        <v>4254</v>
      </c>
      <c r="M52" s="122" t="s">
        <v>4255</v>
      </c>
      <c r="N52" s="122" t="s">
        <v>71</v>
      </c>
      <c r="O52" s="126" t="n">
        <v>1000000</v>
      </c>
      <c r="P52" s="121" t="s">
        <v>18</v>
      </c>
      <c r="Q52" s="121" t="s">
        <v>124</v>
      </c>
      <c r="R52" s="128" t="s">
        <v>61</v>
      </c>
      <c r="T52" s="118"/>
    </row>
    <row r="53" customFormat="false" ht="12.75" hidden="false" customHeight="true" outlineLevel="0" collapsed="false">
      <c r="B53" s="119" t="n">
        <f aca="false">ROW()-4</f>
        <v>49</v>
      </c>
      <c r="C53" s="120" t="n">
        <f aca="false">COUNTIFS($D$5:D53,D53)</f>
        <v>6</v>
      </c>
      <c r="D53" s="121" t="s">
        <v>2006</v>
      </c>
      <c r="E53" s="122" t="s">
        <v>2249</v>
      </c>
      <c r="F53" s="123" t="n">
        <v>44726</v>
      </c>
      <c r="G53" s="170" t="s">
        <v>28</v>
      </c>
      <c r="H53" s="122" t="s">
        <v>4256</v>
      </c>
      <c r="I53" s="122" t="s">
        <v>4257</v>
      </c>
      <c r="J53" s="124" t="s">
        <v>4258</v>
      </c>
      <c r="K53" s="122" t="s">
        <v>4259</v>
      </c>
      <c r="L53" s="125" t="s">
        <v>4260</v>
      </c>
      <c r="M53" s="122" t="s">
        <v>4261</v>
      </c>
      <c r="N53" s="122" t="s">
        <v>71</v>
      </c>
      <c r="O53" s="126" t="n">
        <v>1000000</v>
      </c>
      <c r="P53" s="121" t="s">
        <v>18</v>
      </c>
      <c r="Q53" s="121" t="s">
        <v>124</v>
      </c>
      <c r="R53" s="128" t="s">
        <v>61</v>
      </c>
      <c r="T53" s="118"/>
    </row>
    <row r="54" customFormat="false" ht="12.75" hidden="false" customHeight="true" outlineLevel="0" collapsed="false">
      <c r="B54" s="119" t="n">
        <f aca="false">ROW()-4</f>
        <v>50</v>
      </c>
      <c r="C54" s="120" t="n">
        <f aca="false">COUNTIFS($D$5:D54,D54)</f>
        <v>7</v>
      </c>
      <c r="D54" s="121" t="s">
        <v>2006</v>
      </c>
      <c r="E54" s="122" t="s">
        <v>2286</v>
      </c>
      <c r="F54" s="123" t="n">
        <v>44761</v>
      </c>
      <c r="G54" s="170" t="s">
        <v>22</v>
      </c>
      <c r="H54" s="122" t="s">
        <v>4262</v>
      </c>
      <c r="I54" s="122" t="s">
        <v>4263</v>
      </c>
      <c r="J54" s="124" t="s">
        <v>4264</v>
      </c>
      <c r="K54" s="122" t="s">
        <v>4265</v>
      </c>
      <c r="L54" s="125" t="s">
        <v>4266</v>
      </c>
      <c r="M54" s="122" t="s">
        <v>4267</v>
      </c>
      <c r="N54" s="122" t="s">
        <v>71</v>
      </c>
      <c r="O54" s="126" t="n">
        <v>1000000</v>
      </c>
      <c r="P54" s="121" t="s">
        <v>18</v>
      </c>
      <c r="Q54" s="121" t="s">
        <v>124</v>
      </c>
      <c r="R54" s="128" t="s">
        <v>59</v>
      </c>
      <c r="T54" s="118"/>
    </row>
    <row r="55" customFormat="false" ht="12.75" hidden="false" customHeight="true" outlineLevel="0" collapsed="false">
      <c r="B55" s="119" t="n">
        <f aca="false">ROW()-4</f>
        <v>51</v>
      </c>
      <c r="C55" s="120" t="n">
        <f aca="false">COUNTIFS($D$5:D55,D55)</f>
        <v>8</v>
      </c>
      <c r="D55" s="121" t="s">
        <v>2006</v>
      </c>
      <c r="E55" s="122" t="s">
        <v>2325</v>
      </c>
      <c r="F55" s="123" t="n">
        <v>44651</v>
      </c>
      <c r="G55" s="170" t="s">
        <v>22</v>
      </c>
      <c r="H55" s="122" t="s">
        <v>4268</v>
      </c>
      <c r="I55" s="122" t="s">
        <v>4269</v>
      </c>
      <c r="J55" s="124" t="s">
        <v>4270</v>
      </c>
      <c r="K55" s="122" t="s">
        <v>4271</v>
      </c>
      <c r="L55" s="125" t="s">
        <v>4272</v>
      </c>
      <c r="M55" s="122" t="s">
        <v>4273</v>
      </c>
      <c r="N55" s="122" t="s">
        <v>71</v>
      </c>
      <c r="O55" s="126" t="n">
        <v>1000000</v>
      </c>
      <c r="P55" s="121" t="s">
        <v>18</v>
      </c>
      <c r="Q55" s="121" t="s">
        <v>124</v>
      </c>
      <c r="R55" s="128" t="s">
        <v>59</v>
      </c>
      <c r="T55" s="118"/>
    </row>
    <row r="56" customFormat="false" ht="12.75" hidden="false" customHeight="true" outlineLevel="0" collapsed="false">
      <c r="B56" s="119" t="n">
        <f aca="false">ROW()-4</f>
        <v>52</v>
      </c>
      <c r="C56" s="120" t="n">
        <f aca="false">COUNTIFS($D$5:D56,D56)</f>
        <v>9</v>
      </c>
      <c r="D56" s="121" t="s">
        <v>2006</v>
      </c>
      <c r="E56" s="122" t="s">
        <v>2334</v>
      </c>
      <c r="F56" s="123" t="n">
        <v>46008</v>
      </c>
      <c r="G56" s="170" t="s">
        <v>22</v>
      </c>
      <c r="H56" s="122" t="s">
        <v>4274</v>
      </c>
      <c r="I56" s="122" t="s">
        <v>4275</v>
      </c>
      <c r="J56" s="124" t="s">
        <v>4276</v>
      </c>
      <c r="K56" s="122" t="s">
        <v>4277</v>
      </c>
      <c r="L56" s="125" t="s">
        <v>4278</v>
      </c>
      <c r="M56" s="122" t="s">
        <v>4279</v>
      </c>
      <c r="N56" s="122" t="s">
        <v>71</v>
      </c>
      <c r="O56" s="126" t="n">
        <v>1000000</v>
      </c>
      <c r="P56" s="121" t="s">
        <v>18</v>
      </c>
      <c r="Q56" s="121" t="s">
        <v>124</v>
      </c>
      <c r="R56" s="128" t="s">
        <v>59</v>
      </c>
      <c r="T56" s="118"/>
    </row>
    <row r="57" customFormat="false" ht="12.75" hidden="false" customHeight="true" outlineLevel="0" collapsed="false">
      <c r="B57" s="119" t="n">
        <f aca="false">ROW()-4</f>
        <v>53</v>
      </c>
      <c r="C57" s="120" t="n">
        <f aca="false">COUNTIFS($D$5:D57,D57)</f>
        <v>10</v>
      </c>
      <c r="D57" s="121" t="s">
        <v>2006</v>
      </c>
      <c r="E57" s="122" t="s">
        <v>2402</v>
      </c>
      <c r="F57" s="123" t="n">
        <v>45959</v>
      </c>
      <c r="G57" s="170" t="s">
        <v>22</v>
      </c>
      <c r="H57" s="122" t="s">
        <v>4280</v>
      </c>
      <c r="I57" s="122" t="s">
        <v>4281</v>
      </c>
      <c r="J57" s="124" t="s">
        <v>4282</v>
      </c>
      <c r="K57" s="122" t="s">
        <v>4283</v>
      </c>
      <c r="L57" s="125" t="s">
        <v>4284</v>
      </c>
      <c r="M57" s="122" t="s">
        <v>4285</v>
      </c>
      <c r="N57" s="122" t="s">
        <v>71</v>
      </c>
      <c r="O57" s="126" t="n">
        <v>1000000</v>
      </c>
      <c r="P57" s="121" t="s">
        <v>18</v>
      </c>
      <c r="Q57" s="121" t="s">
        <v>124</v>
      </c>
      <c r="R57" s="128" t="s">
        <v>59</v>
      </c>
      <c r="T57" s="118"/>
    </row>
    <row r="58" customFormat="false" ht="12.75" hidden="false" customHeight="true" outlineLevel="0" collapsed="false">
      <c r="B58" s="119" t="n">
        <f aca="false">ROW()-4</f>
        <v>54</v>
      </c>
      <c r="C58" s="120" t="n">
        <f aca="false">COUNTIFS($D$5:D58,D58)</f>
        <v>11</v>
      </c>
      <c r="D58" s="121" t="s">
        <v>2006</v>
      </c>
      <c r="E58" s="122" t="s">
        <v>2600</v>
      </c>
      <c r="F58" s="123" t="n">
        <v>45902</v>
      </c>
      <c r="G58" s="170" t="s">
        <v>22</v>
      </c>
      <c r="H58" s="122" t="s">
        <v>4286</v>
      </c>
      <c r="I58" s="122" t="s">
        <v>4287</v>
      </c>
      <c r="J58" s="124" t="s">
        <v>4288</v>
      </c>
      <c r="K58" s="122" t="s">
        <v>4289</v>
      </c>
      <c r="L58" s="125" t="s">
        <v>4290</v>
      </c>
      <c r="M58" s="122" t="s">
        <v>4291</v>
      </c>
      <c r="N58" s="122" t="s">
        <v>71</v>
      </c>
      <c r="O58" s="126" t="n">
        <v>1000000</v>
      </c>
      <c r="P58" s="121" t="s">
        <v>18</v>
      </c>
      <c r="Q58" s="121" t="s">
        <v>124</v>
      </c>
      <c r="R58" s="128" t="s">
        <v>59</v>
      </c>
      <c r="T58" s="118"/>
    </row>
    <row r="59" customFormat="false" ht="12.75" hidden="false" customHeight="true" outlineLevel="0" collapsed="false">
      <c r="B59" s="119" t="n">
        <f aca="false">ROW()-4</f>
        <v>55</v>
      </c>
      <c r="C59" s="120" t="n">
        <f aca="false">COUNTIFS($D$5:D59,D59)</f>
        <v>12</v>
      </c>
      <c r="D59" s="121" t="s">
        <v>2006</v>
      </c>
      <c r="E59" s="122" t="s">
        <v>2601</v>
      </c>
      <c r="F59" s="123" t="n">
        <v>45902</v>
      </c>
      <c r="G59" s="170" t="s">
        <v>22</v>
      </c>
      <c r="H59" s="122" t="s">
        <v>4292</v>
      </c>
      <c r="I59" s="122" t="s">
        <v>4293</v>
      </c>
      <c r="J59" s="124" t="s">
        <v>4294</v>
      </c>
      <c r="K59" s="122" t="s">
        <v>4295</v>
      </c>
      <c r="L59" s="125" t="s">
        <v>4296</v>
      </c>
      <c r="M59" s="122" t="s">
        <v>4297</v>
      </c>
      <c r="N59" s="122" t="s">
        <v>71</v>
      </c>
      <c r="O59" s="126" t="n">
        <v>1000000</v>
      </c>
      <c r="P59" s="121" t="s">
        <v>18</v>
      </c>
      <c r="Q59" s="121" t="s">
        <v>124</v>
      </c>
      <c r="R59" s="128" t="s">
        <v>59</v>
      </c>
      <c r="T59" s="118"/>
    </row>
    <row r="60" customFormat="false" ht="12.75" hidden="false" customHeight="true" outlineLevel="0" collapsed="false">
      <c r="B60" s="119" t="n">
        <f aca="false">ROW()-4</f>
        <v>56</v>
      </c>
      <c r="C60" s="120" t="n">
        <f aca="false">COUNTIFS($D$5:D60,D60)</f>
        <v>13</v>
      </c>
      <c r="D60" s="121" t="s">
        <v>2006</v>
      </c>
      <c r="E60" s="122" t="s">
        <v>2604</v>
      </c>
      <c r="F60" s="123" t="n">
        <v>45646</v>
      </c>
      <c r="G60" s="170" t="s">
        <v>28</v>
      </c>
      <c r="H60" s="122" t="s">
        <v>4298</v>
      </c>
      <c r="I60" s="122" t="s">
        <v>4299</v>
      </c>
      <c r="J60" s="124" t="s">
        <v>4300</v>
      </c>
      <c r="K60" s="122" t="s">
        <v>4301</v>
      </c>
      <c r="L60" s="125" t="s">
        <v>4302</v>
      </c>
      <c r="M60" s="122" t="s">
        <v>4303</v>
      </c>
      <c r="N60" s="122" t="s">
        <v>71</v>
      </c>
      <c r="O60" s="126" t="n">
        <v>1000000</v>
      </c>
      <c r="P60" s="121" t="s">
        <v>18</v>
      </c>
      <c r="Q60" s="121" t="s">
        <v>124</v>
      </c>
      <c r="R60" s="128" t="s">
        <v>59</v>
      </c>
      <c r="T60" s="118"/>
    </row>
    <row r="61" customFormat="false" ht="12.75" hidden="false" customHeight="true" outlineLevel="0" collapsed="false">
      <c r="B61" s="119" t="n">
        <f aca="false">ROW()-4</f>
        <v>57</v>
      </c>
      <c r="C61" s="120" t="n">
        <f aca="false">COUNTIFS($D$5:D61,D61)</f>
        <v>14</v>
      </c>
      <c r="D61" s="121" t="s">
        <v>2006</v>
      </c>
      <c r="E61" s="122" t="s">
        <v>2607</v>
      </c>
      <c r="F61" s="123" t="n">
        <v>45666</v>
      </c>
      <c r="G61" s="170" t="s">
        <v>28</v>
      </c>
      <c r="H61" s="122" t="s">
        <v>4304</v>
      </c>
      <c r="I61" s="122" t="s">
        <v>4305</v>
      </c>
      <c r="J61" s="124" t="s">
        <v>4306</v>
      </c>
      <c r="K61" s="122" t="s">
        <v>4307</v>
      </c>
      <c r="L61" s="125" t="s">
        <v>4308</v>
      </c>
      <c r="M61" s="122" t="s">
        <v>4309</v>
      </c>
      <c r="N61" s="122" t="s">
        <v>71</v>
      </c>
      <c r="O61" s="126" t="n">
        <v>1000000</v>
      </c>
      <c r="P61" s="121" t="s">
        <v>18</v>
      </c>
      <c r="Q61" s="121" t="s">
        <v>124</v>
      </c>
      <c r="R61" s="128" t="s">
        <v>59</v>
      </c>
      <c r="T61" s="118"/>
    </row>
    <row r="62" customFormat="false" ht="12.75" hidden="false" customHeight="true" outlineLevel="0" collapsed="false">
      <c r="B62" s="119" t="n">
        <f aca="false">ROW()-4</f>
        <v>58</v>
      </c>
      <c r="C62" s="120" t="n">
        <f aca="false">COUNTIFS($D$5:D62,D62)</f>
        <v>15</v>
      </c>
      <c r="D62" s="121" t="s">
        <v>2006</v>
      </c>
      <c r="E62" s="122" t="s">
        <v>2622</v>
      </c>
      <c r="F62" s="123" t="n">
        <v>45656</v>
      </c>
      <c r="G62" s="170" t="s">
        <v>22</v>
      </c>
      <c r="H62" s="122" t="s">
        <v>4310</v>
      </c>
      <c r="I62" s="122" t="s">
        <v>4311</v>
      </c>
      <c r="J62" s="124" t="s">
        <v>3322</v>
      </c>
      <c r="K62" s="122" t="s">
        <v>4312</v>
      </c>
      <c r="L62" s="125" t="s">
        <v>4313</v>
      </c>
      <c r="M62" s="122" t="s">
        <v>4314</v>
      </c>
      <c r="N62" s="122" t="s">
        <v>71</v>
      </c>
      <c r="O62" s="126" t="n">
        <v>1000000</v>
      </c>
      <c r="P62" s="121" t="s">
        <v>18</v>
      </c>
      <c r="Q62" s="121" t="s">
        <v>124</v>
      </c>
      <c r="R62" s="128" t="s">
        <v>61</v>
      </c>
      <c r="T62" s="118"/>
    </row>
    <row r="63" customFormat="false" ht="12.75" hidden="false" customHeight="true" outlineLevel="0" collapsed="false">
      <c r="B63" s="119" t="n">
        <f aca="false">ROW()-4</f>
        <v>59</v>
      </c>
      <c r="C63" s="120" t="n">
        <f aca="false">COUNTIFS($D$5:D63,D63)</f>
        <v>16</v>
      </c>
      <c r="D63" s="121" t="s">
        <v>2006</v>
      </c>
      <c r="E63" s="122" t="s">
        <v>2675</v>
      </c>
      <c r="F63" s="123" t="n">
        <v>45096</v>
      </c>
      <c r="G63" s="170" t="s">
        <v>22</v>
      </c>
      <c r="H63" s="122" t="s">
        <v>4315</v>
      </c>
      <c r="I63" s="122" t="s">
        <v>4316</v>
      </c>
      <c r="J63" s="124" t="s">
        <v>4317</v>
      </c>
      <c r="K63" s="122" t="s">
        <v>4318</v>
      </c>
      <c r="L63" s="125" t="s">
        <v>4319</v>
      </c>
      <c r="M63" s="122" t="s">
        <v>4320</v>
      </c>
      <c r="N63" s="122" t="s">
        <v>71</v>
      </c>
      <c r="O63" s="126" t="n">
        <v>1000000</v>
      </c>
      <c r="P63" s="121" t="s">
        <v>18</v>
      </c>
      <c r="Q63" s="121" t="s">
        <v>124</v>
      </c>
      <c r="R63" s="128" t="s">
        <v>59</v>
      </c>
      <c r="T63" s="118"/>
    </row>
    <row r="64" customFormat="false" ht="12.75" hidden="false" customHeight="true" outlineLevel="0" collapsed="false">
      <c r="B64" s="119" t="n">
        <f aca="false">ROW()-4</f>
        <v>60</v>
      </c>
      <c r="C64" s="120" t="n">
        <f aca="false">COUNTIFS($D$5:D64,D64)</f>
        <v>17</v>
      </c>
      <c r="D64" s="121" t="s">
        <v>2006</v>
      </c>
      <c r="E64" s="122" t="s">
        <v>2694</v>
      </c>
      <c r="F64" s="123" t="n">
        <v>45155</v>
      </c>
      <c r="G64" s="170" t="s">
        <v>28</v>
      </c>
      <c r="H64" s="122" t="s">
        <v>4321</v>
      </c>
      <c r="I64" s="122" t="s">
        <v>4322</v>
      </c>
      <c r="J64" s="124" t="s">
        <v>4323</v>
      </c>
      <c r="K64" s="122" t="s">
        <v>4324</v>
      </c>
      <c r="L64" s="125" t="s">
        <v>4325</v>
      </c>
      <c r="M64" s="122" t="s">
        <v>4326</v>
      </c>
      <c r="N64" s="122" t="s">
        <v>71</v>
      </c>
      <c r="O64" s="126" t="n">
        <v>1000000</v>
      </c>
      <c r="P64" s="121" t="s">
        <v>18</v>
      </c>
      <c r="Q64" s="121" t="s">
        <v>124</v>
      </c>
      <c r="R64" s="128" t="s">
        <v>59</v>
      </c>
      <c r="T64" s="118"/>
    </row>
    <row r="65" customFormat="false" ht="12.75" hidden="false" customHeight="true" outlineLevel="0" collapsed="false">
      <c r="B65" s="119" t="n">
        <f aca="false">ROW()-4</f>
        <v>61</v>
      </c>
      <c r="C65" s="120" t="n">
        <f aca="false">COUNTIFS($D$5:D65,D65)</f>
        <v>18</v>
      </c>
      <c r="D65" s="121" t="s">
        <v>2006</v>
      </c>
      <c r="E65" s="122" t="s">
        <v>2830</v>
      </c>
      <c r="F65" s="123" t="n">
        <v>45412</v>
      </c>
      <c r="G65" s="170" t="s">
        <v>28</v>
      </c>
      <c r="H65" s="122" t="s">
        <v>4327</v>
      </c>
      <c r="I65" s="122" t="s">
        <v>4328</v>
      </c>
      <c r="J65" s="124" t="s">
        <v>3171</v>
      </c>
      <c r="K65" s="122" t="s">
        <v>4329</v>
      </c>
      <c r="L65" s="125" t="s">
        <v>4330</v>
      </c>
      <c r="M65" s="122" t="s">
        <v>4331</v>
      </c>
      <c r="N65" s="122" t="s">
        <v>71</v>
      </c>
      <c r="O65" s="126" t="n">
        <v>1000000</v>
      </c>
      <c r="P65" s="121" t="s">
        <v>18</v>
      </c>
      <c r="Q65" s="121" t="s">
        <v>124</v>
      </c>
      <c r="R65" s="128" t="s">
        <v>59</v>
      </c>
      <c r="T65" s="118"/>
    </row>
    <row r="66" customFormat="false" ht="12.75" hidden="false" customHeight="true" outlineLevel="0" collapsed="false">
      <c r="B66" s="119" t="n">
        <f aca="false">ROW()-4</f>
        <v>62</v>
      </c>
      <c r="C66" s="120" t="n">
        <f aca="false">COUNTIFS($D$5:D66,D66)</f>
        <v>19</v>
      </c>
      <c r="D66" s="121" t="s">
        <v>2006</v>
      </c>
      <c r="E66" s="122" t="s">
        <v>2966</v>
      </c>
      <c r="F66" s="123" t="n">
        <v>45925</v>
      </c>
      <c r="G66" s="170" t="s">
        <v>28</v>
      </c>
      <c r="H66" s="122" t="s">
        <v>4332</v>
      </c>
      <c r="I66" s="122" t="s">
        <v>4333</v>
      </c>
      <c r="J66" s="124" t="s">
        <v>4334</v>
      </c>
      <c r="K66" s="122" t="s">
        <v>4335</v>
      </c>
      <c r="L66" s="125" t="s">
        <v>4336</v>
      </c>
      <c r="M66" s="122" t="s">
        <v>4337</v>
      </c>
      <c r="N66" s="122" t="s">
        <v>71</v>
      </c>
      <c r="O66" s="126" t="n">
        <v>1000000</v>
      </c>
      <c r="P66" s="121" t="s">
        <v>18</v>
      </c>
      <c r="Q66" s="121" t="s">
        <v>124</v>
      </c>
      <c r="R66" s="128" t="s">
        <v>61</v>
      </c>
      <c r="T66" s="118"/>
    </row>
    <row r="67" customFormat="false" ht="12.75" hidden="false" customHeight="true" outlineLevel="0" collapsed="false">
      <c r="B67" s="119" t="n">
        <f aca="false">ROW()-4</f>
        <v>63</v>
      </c>
      <c r="C67" s="120" t="n">
        <f aca="false">COUNTIFS($D$5:D67,D67)</f>
        <v>20</v>
      </c>
      <c r="D67" s="121" t="s">
        <v>2006</v>
      </c>
      <c r="E67" s="122" t="s">
        <v>2967</v>
      </c>
      <c r="F67" s="123" t="n">
        <v>45925</v>
      </c>
      <c r="G67" s="170" t="s">
        <v>28</v>
      </c>
      <c r="H67" s="122" t="s">
        <v>4338</v>
      </c>
      <c r="I67" s="122" t="s">
        <v>4339</v>
      </c>
      <c r="J67" s="124" t="s">
        <v>4340</v>
      </c>
      <c r="K67" s="122" t="s">
        <v>4341</v>
      </c>
      <c r="L67" s="125" t="s">
        <v>4342</v>
      </c>
      <c r="M67" s="122" t="s">
        <v>4343</v>
      </c>
      <c r="N67" s="122" t="s">
        <v>71</v>
      </c>
      <c r="O67" s="126" t="n">
        <v>1000000</v>
      </c>
      <c r="P67" s="121" t="s">
        <v>18</v>
      </c>
      <c r="Q67" s="121" t="s">
        <v>124</v>
      </c>
      <c r="R67" s="128" t="s">
        <v>61</v>
      </c>
      <c r="T67" s="118"/>
    </row>
    <row r="68" customFormat="false" ht="12.75" hidden="false" customHeight="true" outlineLevel="0" collapsed="false">
      <c r="B68" s="119" t="n">
        <f aca="false">ROW()-4</f>
        <v>64</v>
      </c>
      <c r="C68" s="120" t="n">
        <f aca="false">COUNTIFS($D$5:D68,D68)</f>
        <v>21</v>
      </c>
      <c r="D68" s="121" t="s">
        <v>2006</v>
      </c>
      <c r="E68" s="122" t="s">
        <v>2968</v>
      </c>
      <c r="F68" s="123" t="n">
        <v>45925</v>
      </c>
      <c r="G68" s="170" t="s">
        <v>28</v>
      </c>
      <c r="H68" s="122" t="s">
        <v>4344</v>
      </c>
      <c r="I68" s="122" t="s">
        <v>4345</v>
      </c>
      <c r="J68" s="124" t="s">
        <v>4346</v>
      </c>
      <c r="K68" s="122" t="s">
        <v>4347</v>
      </c>
      <c r="L68" s="125" t="s">
        <v>4348</v>
      </c>
      <c r="M68" s="122" t="s">
        <v>4349</v>
      </c>
      <c r="N68" s="122" t="s">
        <v>71</v>
      </c>
      <c r="O68" s="126" t="n">
        <v>1000000</v>
      </c>
      <c r="P68" s="121" t="s">
        <v>18</v>
      </c>
      <c r="Q68" s="121" t="s">
        <v>124</v>
      </c>
      <c r="R68" s="128" t="s">
        <v>59</v>
      </c>
      <c r="T68" s="118"/>
    </row>
    <row r="69" customFormat="false" ht="12.75" hidden="false" customHeight="true" outlineLevel="0" collapsed="false">
      <c r="B69" s="119" t="n">
        <f aca="false">ROW()-4</f>
        <v>65</v>
      </c>
      <c r="C69" s="120" t="n">
        <f aca="false">COUNTIFS($D$5:D69,D69)</f>
        <v>22</v>
      </c>
      <c r="D69" s="121" t="s">
        <v>2006</v>
      </c>
      <c r="E69" s="122" t="s">
        <v>3035</v>
      </c>
      <c r="F69" s="123" t="n">
        <v>46056</v>
      </c>
      <c r="G69" s="170" t="s">
        <v>22</v>
      </c>
      <c r="H69" s="122" t="s">
        <v>4350</v>
      </c>
      <c r="I69" s="122" t="s">
        <v>4351</v>
      </c>
      <c r="J69" s="124" t="s">
        <v>4352</v>
      </c>
      <c r="K69" s="122" t="s">
        <v>4353</v>
      </c>
      <c r="L69" s="125" t="s">
        <v>4354</v>
      </c>
      <c r="M69" s="122" t="s">
        <v>4355</v>
      </c>
      <c r="N69" s="122" t="s">
        <v>71</v>
      </c>
      <c r="O69" s="126" t="n">
        <v>1000000</v>
      </c>
      <c r="P69" s="121" t="s">
        <v>18</v>
      </c>
      <c r="Q69" s="121" t="s">
        <v>124</v>
      </c>
      <c r="R69" s="128" t="s">
        <v>59</v>
      </c>
      <c r="T69" s="118"/>
    </row>
    <row r="70" customFormat="false" ht="12.75" hidden="false" customHeight="true" outlineLevel="0" collapsed="false">
      <c r="B70" s="119" t="n">
        <f aca="false">ROW()-4</f>
        <v>66</v>
      </c>
      <c r="C70" s="120" t="n">
        <f aca="false">COUNTIFS($D$5:D70,D70)</f>
        <v>23</v>
      </c>
      <c r="D70" s="121" t="s">
        <v>2006</v>
      </c>
      <c r="E70" s="122" t="s">
        <v>3036</v>
      </c>
      <c r="F70" s="123" t="n">
        <v>46056</v>
      </c>
      <c r="G70" s="170" t="s">
        <v>22</v>
      </c>
      <c r="H70" s="122" t="s">
        <v>4356</v>
      </c>
      <c r="I70" s="122" t="s">
        <v>4357</v>
      </c>
      <c r="J70" s="124" t="s">
        <v>4358</v>
      </c>
      <c r="K70" s="122" t="s">
        <v>4359</v>
      </c>
      <c r="L70" s="125" t="s">
        <v>4360</v>
      </c>
      <c r="M70" s="122" t="s">
        <v>4361</v>
      </c>
      <c r="N70" s="122" t="s">
        <v>71</v>
      </c>
      <c r="O70" s="126" t="n">
        <v>1000000</v>
      </c>
      <c r="P70" s="121" t="s">
        <v>18</v>
      </c>
      <c r="Q70" s="121" t="s">
        <v>124</v>
      </c>
      <c r="R70" s="128" t="s">
        <v>59</v>
      </c>
      <c r="T70" s="118"/>
    </row>
    <row r="71" customFormat="false" ht="12.75" hidden="false" customHeight="true" outlineLevel="0" collapsed="false">
      <c r="B71" s="119" t="n">
        <f aca="false">ROW()-4</f>
        <v>67</v>
      </c>
      <c r="C71" s="120" t="n">
        <f aca="false">COUNTIFS($D$5:D71,D71)</f>
        <v>24</v>
      </c>
      <c r="D71" s="121" t="s">
        <v>2006</v>
      </c>
      <c r="E71" s="122" t="s">
        <v>3039</v>
      </c>
      <c r="F71" s="123" t="n">
        <v>45482</v>
      </c>
      <c r="G71" s="170" t="s">
        <v>22</v>
      </c>
      <c r="H71" s="122" t="s">
        <v>4362</v>
      </c>
      <c r="I71" s="122" t="s">
        <v>4363</v>
      </c>
      <c r="J71" s="124" t="s">
        <v>4364</v>
      </c>
      <c r="K71" s="122" t="s">
        <v>4365</v>
      </c>
      <c r="L71" s="125" t="s">
        <v>4366</v>
      </c>
      <c r="M71" s="122" t="s">
        <v>4367</v>
      </c>
      <c r="N71" s="122" t="s">
        <v>71</v>
      </c>
      <c r="O71" s="126" t="n">
        <v>1000000</v>
      </c>
      <c r="P71" s="121" t="s">
        <v>18</v>
      </c>
      <c r="Q71" s="121" t="s">
        <v>124</v>
      </c>
      <c r="R71" s="128" t="s">
        <v>59</v>
      </c>
      <c r="T71" s="118"/>
    </row>
    <row r="72" customFormat="false" ht="12.75" hidden="false" customHeight="true" outlineLevel="0" collapsed="false">
      <c r="B72" s="119" t="n">
        <f aca="false">ROW()-4</f>
        <v>68</v>
      </c>
      <c r="C72" s="120" t="n">
        <f aca="false">COUNTIFS($D$5:D72,D72)</f>
        <v>25</v>
      </c>
      <c r="D72" s="121" t="s">
        <v>2006</v>
      </c>
      <c r="E72" s="122" t="s">
        <v>3352</v>
      </c>
      <c r="F72" s="123" t="n">
        <v>45761</v>
      </c>
      <c r="G72" s="170" t="s">
        <v>28</v>
      </c>
      <c r="H72" s="122" t="s">
        <v>4368</v>
      </c>
      <c r="I72" s="122" t="s">
        <v>4369</v>
      </c>
      <c r="J72" s="124" t="s">
        <v>4370</v>
      </c>
      <c r="K72" s="122" t="s">
        <v>4371</v>
      </c>
      <c r="L72" s="125" t="s">
        <v>4372</v>
      </c>
      <c r="M72" s="122" t="s">
        <v>4373</v>
      </c>
      <c r="N72" s="122" t="s">
        <v>71</v>
      </c>
      <c r="O72" s="126" t="n">
        <v>1000000</v>
      </c>
      <c r="P72" s="121" t="s">
        <v>18</v>
      </c>
      <c r="Q72" s="121" t="s">
        <v>124</v>
      </c>
      <c r="R72" s="128" t="s">
        <v>61</v>
      </c>
      <c r="T72" s="118"/>
    </row>
    <row r="73" customFormat="false" ht="12.75" hidden="false" customHeight="true" outlineLevel="0" collapsed="false">
      <c r="B73" s="119" t="n">
        <f aca="false">ROW()-4</f>
        <v>69</v>
      </c>
      <c r="C73" s="120" t="n">
        <f aca="false">COUNTIFS($D$5:D73,D73)</f>
        <v>26</v>
      </c>
      <c r="D73" s="121" t="s">
        <v>2006</v>
      </c>
      <c r="E73" s="122" t="s">
        <v>3382</v>
      </c>
      <c r="F73" s="123" t="n">
        <v>45775</v>
      </c>
      <c r="G73" s="170" t="s">
        <v>28</v>
      </c>
      <c r="H73" s="122" t="s">
        <v>4374</v>
      </c>
      <c r="I73" s="122" t="s">
        <v>4375</v>
      </c>
      <c r="J73" s="124" t="s">
        <v>4376</v>
      </c>
      <c r="K73" s="122" t="s">
        <v>4377</v>
      </c>
      <c r="L73" s="125" t="s">
        <v>4378</v>
      </c>
      <c r="M73" s="122" t="s">
        <v>4379</v>
      </c>
      <c r="N73" s="122" t="s">
        <v>71</v>
      </c>
      <c r="O73" s="126" t="n">
        <v>1000000</v>
      </c>
      <c r="P73" s="121" t="s">
        <v>18</v>
      </c>
      <c r="Q73" s="121" t="s">
        <v>124</v>
      </c>
      <c r="R73" s="128" t="s">
        <v>61</v>
      </c>
      <c r="T73" s="118"/>
    </row>
    <row r="74" customFormat="false" ht="12.75" hidden="false" customHeight="true" outlineLevel="0" collapsed="false">
      <c r="B74" s="119" t="n">
        <f aca="false">ROW()-4</f>
        <v>70</v>
      </c>
      <c r="C74" s="120" t="n">
        <f aca="false">COUNTIFS($D$5:D74,D74)</f>
        <v>27</v>
      </c>
      <c r="D74" s="121" t="s">
        <v>2006</v>
      </c>
      <c r="E74" s="122" t="s">
        <v>3403</v>
      </c>
      <c r="F74" s="123" t="n">
        <v>45797</v>
      </c>
      <c r="G74" s="170" t="s">
        <v>28</v>
      </c>
      <c r="H74" s="122" t="s">
        <v>4380</v>
      </c>
      <c r="I74" s="122" t="s">
        <v>4381</v>
      </c>
      <c r="J74" s="124" t="s">
        <v>4382</v>
      </c>
      <c r="K74" s="122" t="s">
        <v>4383</v>
      </c>
      <c r="L74" s="125" t="s">
        <v>4384</v>
      </c>
      <c r="M74" s="122" t="s">
        <v>4385</v>
      </c>
      <c r="N74" s="122" t="s">
        <v>71</v>
      </c>
      <c r="O74" s="126" t="n">
        <v>1000000</v>
      </c>
      <c r="P74" s="121" t="s">
        <v>18</v>
      </c>
      <c r="Q74" s="121" t="s">
        <v>124</v>
      </c>
      <c r="R74" s="128" t="s">
        <v>61</v>
      </c>
      <c r="T74" s="118"/>
    </row>
    <row r="75" customFormat="false" ht="12.75" hidden="false" customHeight="true" outlineLevel="0" collapsed="false">
      <c r="B75" s="129" t="n">
        <f aca="false">ROW()-4</f>
        <v>71</v>
      </c>
      <c r="C75" s="130" t="n">
        <f aca="false">COUNTIFS($D$5:D75,D75)</f>
        <v>28</v>
      </c>
      <c r="D75" s="131" t="s">
        <v>2006</v>
      </c>
      <c r="E75" s="132" t="s">
        <v>3589</v>
      </c>
      <c r="F75" s="133" t="n">
        <v>45863</v>
      </c>
      <c r="G75" s="171" t="s">
        <v>30</v>
      </c>
      <c r="H75" s="132" t="s">
        <v>4386</v>
      </c>
      <c r="I75" s="132" t="s">
        <v>4387</v>
      </c>
      <c r="J75" s="132" t="s">
        <v>4388</v>
      </c>
      <c r="K75" s="132" t="s">
        <v>4389</v>
      </c>
      <c r="L75" s="134" t="s">
        <v>4390</v>
      </c>
      <c r="M75" s="132" t="s">
        <v>4391</v>
      </c>
      <c r="N75" s="132" t="s">
        <v>71</v>
      </c>
      <c r="O75" s="135" t="n">
        <v>1000000</v>
      </c>
      <c r="P75" s="131" t="s">
        <v>18</v>
      </c>
      <c r="Q75" s="131" t="s">
        <v>124</v>
      </c>
      <c r="R75" s="172" t="s">
        <v>59</v>
      </c>
      <c r="T75" s="118"/>
    </row>
  </sheetData>
  <mergeCells count="16">
    <mergeCell ref="B3:C3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R3:R4"/>
  </mergeCells>
  <conditionalFormatting sqref="M6:M75">
    <cfRule type="duplicateValues" priority="2" aboveAverage="0" equalAverage="0" bottom="0" percent="0" rank="0" text="" dxfId="5"/>
  </conditionalFormatting>
  <conditionalFormatting sqref="M1:M3 M5">
    <cfRule type="duplicateValues" priority="3" aboveAverage="0" equalAverage="0" bottom="0" percent="0" rank="0" text="" dxfId="5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2025-06-18T00:30:37Z</dcterms:created>
  <dc:creator>임정택</dc:creator>
  <dc:description/>
  <dc:language>en-US</dc:language>
  <cp:lastModifiedBy>임정택</cp:lastModifiedBy>
  <cp:lastPrinted>2025-12-31T00:45:25Z</cp:lastPrinted>
  <dcterms:modified xsi:type="dcterms:W3CDTF">2026-03-16T05:41:35Z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asoo_Trace_ID">
    <vt:lpwstr>eyJub2RlMSI6eyJkc2QiOiIwMTAwMDAwMDAwMDAyNTkyIiwibG9nVGltZSI6IjIwMjYtMDMtMTNUMDY6MDQ6MjNaIiwicElEIjoxLCJ0cmFjZUlkIjoiMzEwQzFBNEJDQ0ZCNDA5RTk1Q0NCNkM5MjI4MDI3RjYiLCJ1c2VyQ29kZSI6ImxpbWp0In0sIm5vZGUyIjp7ImRzZCI6IjAxMDAwMDAwMDAwMDI1OTIiLCJsb2dUaW1lIjoiMjAyNi0wMy0xNlQwMDowMzo1OVoiLCJwSUQiOjEsInRyYWNlSWQiOiI0OUQ2NERFMDhCQTM0ODUzQTg5RUEyMzlDQUZCQjQwNSIsInVzZXJDb2RlIjoibGltanQifSwibm9kZTMiOnsiZHNkIjoiMDAwMDAwMDAwMDAwMDAwMCIsImxvZ1RpbWUiOiIyMDI2LTAzLTE2VDAyOjUzOjI1WiIsInBJRCI6MjA0OCwidHJhY2VJZCI6IkUwMzhFODAzRDgzNzQ5M0NBNEI3RTg4RjZGRjM3QjY4IiwidXNlckNvZGUiOiJsaW1qdCJ9LCJub2RlNCI6eyJkc2QiOiIwMTAwMDAwMDAwMDAyNTkyIiwibG9nVGltZSI6IjIwMjYtMDMtMTZUMDI6NTY6MjJaIiwicElEIjoxLCJ0cmFjZUlkIjoiRTU4RDQyQTI4MERCNEExM0FEMDVFMkRFRTAxRUFDOTkiLCJ1c2VyQ29kZSI6ImxpbWp0In0sIm5vZGU1Ijp7ImRzZCI6IjAwMDAwMDAwMDAwMDAwMDAiLCJsb2dUaW1lIjoiMjAyNi0wMy0xNlQwNTozNjoyN1oiLCJwSUQiOjIwNDgsInRyYWNlSWQiOiIzRkNFQTJCRTkyNkM0RDVGQkFFNUI1MzA3MzRBNzVFMCIsInVzZXJDb2RlIjoid25zZHVkMTM1In0sIm5vZGVDb3VudCI6NjB9</vt:lpwstr>
  </property>
</Properties>
</file>